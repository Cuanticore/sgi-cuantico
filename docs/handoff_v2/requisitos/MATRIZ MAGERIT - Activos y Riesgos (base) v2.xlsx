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944" firstSheet="2" activeTab="6" autoFilterDateGrouping="1"/>
  </bookViews>
  <sheets>
    <sheet xmlns:r="http://schemas.openxmlformats.org/officeDocument/2006/relationships" name="Dashboard" sheetId="1" state="visible" r:id="rId1"/>
    <sheet xmlns:r="http://schemas.openxmlformats.org/officeDocument/2006/relationships" name="Guía de uso" sheetId="2" state="visible" r:id="rId2"/>
    <sheet xmlns:r="http://schemas.openxmlformats.org/officeDocument/2006/relationships" name="1. Matriz de Activos" sheetId="3" state="visible" r:id="rId3"/>
    <sheet xmlns:r="http://schemas.openxmlformats.org/officeDocument/2006/relationships" name="1.1 Agregar Activo" sheetId="4" state="visible" r:id="rId4"/>
    <sheet xmlns:r="http://schemas.openxmlformats.org/officeDocument/2006/relationships" name="2. Valoración " sheetId="5" state="visible" r:id="rId5"/>
    <sheet xmlns:r="http://schemas.openxmlformats.org/officeDocument/2006/relationships" name="3. Matrices de Riesgo" sheetId="6" state="visible" r:id="rId6"/>
    <sheet xmlns:r="http://schemas.openxmlformats.org/officeDocument/2006/relationships" name="4. Controles y Madurez" sheetId="7" state="visible" r:id="rId7"/>
    <sheet xmlns:r="http://schemas.openxmlformats.org/officeDocument/2006/relationships" name="5. Madurez y Progreso" sheetId="8" state="visible" r:id="rId8"/>
    <sheet xmlns:r="http://schemas.openxmlformats.org/officeDocument/2006/relationships" name="6. Plan de Tratamiento" sheetId="9" state="visible" r:id="rId9"/>
    <sheet xmlns:r="http://schemas.openxmlformats.org/officeDocument/2006/relationships" name="Amenazas MAGERIT" sheetId="10" state="visible" r:id="rId10"/>
    <sheet xmlns:r="http://schemas.openxmlformats.org/officeDocument/2006/relationships" name="Tipos de Activo " sheetId="11" state="visible" r:id="rId11"/>
    <sheet xmlns:r="http://schemas.openxmlformats.org/officeDocument/2006/relationships" name="Escalas MAGERIT" sheetId="12" state="visible" r:id="rId12"/>
    <sheet xmlns:r="http://schemas.openxmlformats.org/officeDocument/2006/relationships" name="Listas" sheetId="13" state="visible" r:id="rId13"/>
  </sheets>
  <definedNames>
    <definedName name="AmenTabla">Listas!$AJ$5:$AK$141</definedName>
    <definedName name="AmenTipo">Listas!$AJ$5:$AJ$141</definedName>
    <definedName name="LstActivo">Listas!$AH$5:$AH$238</definedName>
    <definedName name="LstCargo">Listas!$C$5:$C$14</definedName>
    <definedName name="LstEntorno">Listas!$E$5:$E$8</definedName>
    <definedName name="LstEstado">Listas!$G$5:$G$8</definedName>
    <definedName name="LstProceso">Listas!$B$5:$B$9</definedName>
    <definedName name="LstProcesoTodos">Listas!$AD$5:$AD$10</definedName>
    <definedName name="LstProveedor">Listas!$D$5:$D$18</definedName>
    <definedName name="LstSiNo">Listas!$F$5:$F$7</definedName>
    <definedName name="LstSubtipoTodos">Listas!$AG$5:$AG$142</definedName>
    <definedName name="LstTipo">Listas!$I$5:$I$14</definedName>
    <definedName name="LstTipoTodos">Listas!$AF$5:$AF$15</definedName>
    <definedName name="LstTratamiento">Listas!$H$5:$H$8</definedName>
    <definedName name="MgActId">'1. Matriz de Activos'!$B$6:$B$239</definedName>
    <definedName name="MgAmenClave">'Amenazas MAGERIT'!$V$6:$V$62</definedName>
    <definedName name="MgAmenCod">'Amenazas MAGERIT'!$B$6:$B$62</definedName>
    <definedName name="MgAmenCtrl">'Amenazas MAGERIT'!$S$6:$S$62</definedName>
    <definedName name="MgAmenDegC">'Amenazas MAGERIT'!$Q$6:$Q$62</definedName>
    <definedName name="MgAmenDegD">'Amenazas MAGERIT'!$O$6:$O$62</definedName>
    <definedName name="MgAmenDegI">'Amenazas MAGERIT'!$P$6:$P$62</definedName>
    <definedName name="MgAmenFrec">'Amenazas MAGERIT'!$R$6:$R$62</definedName>
    <definedName name="MgAmenGrupo">'Amenazas MAGERIT'!$D$6:$D$62</definedName>
    <definedName name="MgAmenNombre">'Amenazas MAGERIT'!$C$6:$C$62</definedName>
    <definedName name="MgDeg">'Escalas MAGERIT'!$B$20:$C$25</definedName>
    <definedName name="MgDegEt">'Escalas MAGERIT'!$B$20:$B$25</definedName>
    <definedName name="MgFrec">'Escalas MAGERIT'!$B$30:$C$34</definedName>
    <definedName name="MgFrecEt">'Escalas MAGERIT'!$B$30:$B$34</definedName>
    <definedName name="MgMad">'Escalas MAGERIT'!$B$40:$C$45</definedName>
    <definedName name="MgMadEt">'Escalas MAGERIT'!$B$40:$B$45</definedName>
    <definedName name="MgNombre">'1. Matriz de Activos'!$C$6:$C$239</definedName>
    <definedName name="MgProceso">'1. Matriz de Activos'!$G$6:$G$239</definedName>
    <definedName name="MgSubtipo">'1. Matriz de Activos'!$F$6:$F$239</definedName>
    <definedName name="MgTipo">'1. Matriz de Activos'!$E$6:$E$239</definedName>
    <definedName name="MgValor">'Escalas MAGERIT'!$B$6:$C$11</definedName>
    <definedName name="MgValorAct">'1. Matriz de Activos'!$T$6:$T$239</definedName>
    <definedName name="MgValorEt">'Escalas MAGERIT'!$B$6:$B$11</definedName>
    <definedName name="RankProc">'Amenazas MAGERIT'!$AN$6:$AN$62</definedName>
    <definedName name="SUB_AUX">Listas!$Q$5:$Q$16</definedName>
    <definedName name="SUB_COM">Listas!$O$5:$O$16</definedName>
    <definedName name="SUB_D">Listas!$J$5:$J$15</definedName>
    <definedName name="SUB_HW">Listas!$N$5:$N$26</definedName>
    <definedName name="SUB_K">Listas!$K$5:$K$18</definedName>
    <definedName name="SUB_L">Listas!$R$5:$R$14</definedName>
    <definedName name="SUB_Media">Listas!$P$5:$P$19</definedName>
    <definedName name="SUB_P">Listas!$S$5:$S$14</definedName>
    <definedName name="SUB_S">Listas!$L$5:$L$18</definedName>
    <definedName name="SUB_SW">Listas!$M$5:$M$21</definedName>
    <definedName name="TotProc">'Amenazas MAGERIT'!$AO$6:$AO$62</definedName>
    <definedName name="LstMadurez">Listas!$AM$5:$AM$10</definedName>
    <definedName name="LstAplica">Listas!$AN$5:$AN$6</definedName>
    <definedName name="LstCapacidad">Listas!$AO$5:$AO$19</definedName>
    <definedName name="CtrlCod">'4. Controles y Madurez'!$B$6:$B$98</definedName>
    <definedName name="CtrlDom">'4. Controles y Madurez'!$D$6:$D$98</definedName>
    <definedName name="CtrlCap">'4. Controles y Madurez'!$E$6:$E$98</definedName>
    <definedName name="CtrlAplica">'4. Controles y Madurez'!$F$6:$F$98</definedName>
    <definedName name="CtrlBase">'4. Controles y Madurez'!$G$6:$G$98</definedName>
    <definedName name="CtrlActual">'4. Controles y Madurez'!$H$6:$H$98</definedName>
    <definedName name="CtrlObjetivo">'4. Controles y Madurez'!$I$6:$I$98</definedName>
    <definedName name="CtrlEfic">'4. Controles y Madurez'!$J$6:$J$98</definedName>
    <definedName name="CtrlNivAct">'4. Controles y Madurez'!$K$6:$K$98</definedName>
    <definedName name="CtrlNivObj">'4. Controles y Madurez'!$L$6:$L$98</definedName>
    <definedName name="NivAplic">'4. Controles y Madurez'!$V$6:$V$98</definedName>
    <definedName name="NivOrg">'4. Controles y Madurez'!$W$6:$W$98</definedName>
    <definedName name="NivPer">'4. Controles y Madurez'!$X$6:$X$98</definedName>
    <definedName name="NivFis">'4. Controles y Madurez'!$Y$6:$Y$98</definedName>
    <definedName name="NivTec">'4. Controles y Madurez'!$Z$6:$Z$98</definedName>
    <definedName name="CtrlNivBase">'4. Controles y Madurez'!$U$6:$U$98</definedName>
    <definedName name="MgAmenEfic">'Amenazas MAGERIT'!$AX$6:$AX$62</definedName>
    <definedName name="LstTipoTto">Listas!$AU$5:$AU$8</definedName>
    <definedName name="LstEstadoAcc">Listas!$AV$5:$AV$9</definedName>
    <definedName name="LstVerif">Listas!$AW$5:$AW$8</definedName>
    <definedName name="_xlnm._FilterDatabase" localSheetId="2" hidden="1">'1. Matriz de Activos'!$B$5:$U$239</definedName>
    <definedName name="_xlnm._FilterDatabase" localSheetId="3" hidden="1">'1.1 Agregar Activo'!$B$255:$Q$312</definedName>
    <definedName name="_xlnm._FilterDatabase" localSheetId="4" hidden="1">'2. Valoración '!$B$5:$AL$2261</definedName>
    <definedName name="_xlnm._FilterDatabase" localSheetId="6" hidden="1">'4. Controles y Madurez'!$B$5:$T$98</definedName>
    <definedName name="_xlnm._FilterDatabase" localSheetId="8" hidden="1">'6. Plan de Tratamiento'!$B$5:$X$30</definedName>
    <definedName name="_xlnm._FilterDatabase" localSheetId="9" hidden="1">'Amenazas MAGERIT'!$B$5:$T$62</definedName>
    <definedName name="_xlnm._FilterDatabase" localSheetId="10" hidden="1">'Tipos de Activo '!$B$5:$E$152</definedName>
  </definedNames>
  <calcPr calcId="191029" fullCalcOnLoad="1"/>
</workbook>
</file>

<file path=xl/styles.xml><?xml version="1.0" encoding="utf-8"?>
<styleSheet xmlns="http://schemas.openxmlformats.org/spreadsheetml/2006/main">
  <numFmts count="5">
    <numFmt numFmtId="164" formatCode="0.0"/>
    <numFmt numFmtId="165" formatCode="0 %"/>
    <numFmt numFmtId="166" formatCode="dd/mm/yyyy"/>
    <numFmt numFmtId="167" formatCode="0.0 %"/>
    <numFmt numFmtId="168" formatCode="yyyy-mm-dd"/>
  </numFmts>
  <fonts count="14">
    <font>
      <name val="Calibri"/>
      <family val="2"/>
      <color theme="1"/>
      <sz val="11"/>
      <scheme val="minor"/>
    </font>
    <font>
      <name val="Montserrat"/>
      <b val="1"/>
      <color rgb="FF0F9ED5"/>
      <sz val="14"/>
    </font>
    <font>
      <name val="Montserrat"/>
      <i val="1"/>
      <color rgb="FF595959"/>
      <sz val="9"/>
    </font>
    <font>
      <name val="Montserrat"/>
      <b val="1"/>
      <color rgb="FFFFFFFF"/>
      <sz val="11"/>
    </font>
    <font>
      <name val="Montserrat"/>
      <b val="1"/>
      <color rgb="FFFFFFFF"/>
      <sz val="10"/>
    </font>
    <font>
      <name val="Montserrat"/>
      <sz val="10"/>
    </font>
    <font>
      <name val="Montserrat"/>
      <i val="1"/>
      <sz val="10"/>
    </font>
    <font>
      <name val="Montserrat"/>
      <b val="1"/>
      <color rgb="FF595959"/>
      <sz val="9"/>
    </font>
    <font>
      <name val="Montserrat"/>
      <sz val="9"/>
    </font>
    <font>
      <name val="Montserrat"/>
      <b val="1"/>
      <sz val="10"/>
    </font>
    <font>
      <name val="Montserrat"/>
      <b val="1"/>
      <color rgb="FF002060"/>
      <sz val="12"/>
    </font>
    <font>
      <name val="Montserrat"/>
      <b val="1"/>
      <color rgb="FF002060"/>
      <sz val="14"/>
    </font>
    <font>
      <name val="Montserrat"/>
      <b val="1"/>
      <color rgb="FFFFFFFF"/>
      <sz val="9"/>
    </font>
    <font>
      <name val="Montserrat"/>
      <b val="1"/>
      <color rgb="FF002060"/>
      <sz val="18"/>
    </font>
  </fonts>
  <fills count="14">
    <fill>
      <patternFill/>
    </fill>
    <fill>
      <patternFill patternType="gray125"/>
    </fill>
    <fill>
      <patternFill patternType="solid">
        <fgColor rgb="FF002060"/>
      </patternFill>
    </fill>
    <fill>
      <patternFill patternType="solid">
        <fgColor rgb="FF538DD5"/>
      </patternFill>
    </fill>
    <fill>
      <patternFill patternType="solid">
        <fgColor rgb="FFFF5B5B"/>
      </patternFill>
    </fill>
    <fill>
      <patternFill patternType="solid">
        <fgColor rgb="FFF4B183"/>
      </patternFill>
    </fill>
    <fill>
      <patternFill patternType="solid">
        <fgColor rgb="FFFFD966"/>
      </patternFill>
    </fill>
    <fill>
      <patternFill patternType="solid">
        <fgColor rgb="FFC6E0B4"/>
      </patternFill>
    </fill>
    <fill>
      <patternFill patternType="solid">
        <fgColor rgb="FFF2F2F2"/>
      </patternFill>
    </fill>
    <fill>
      <patternFill patternType="solid">
        <fgColor rgb="FF92D050"/>
      </patternFill>
    </fill>
    <fill>
      <patternFill patternType="solid">
        <fgColor rgb="FFFFF2CC"/>
      </patternFill>
    </fill>
    <fill>
      <patternFill patternType="solid">
        <fgColor rgb="FFE4DFEC"/>
      </patternFill>
    </fill>
    <fill>
      <patternFill patternType="solid">
        <fgColor rgb="FFE2EFDA"/>
      </patternFill>
    </fill>
    <fill>
      <patternFill patternType="solid">
        <fgColor theme="5"/>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style="thin">
        <color rgb="FFBFBFBF"/>
      </bottom>
    </border>
  </borders>
  <cellStyleXfs count="1">
    <xf numFmtId="0" fontId="0" fillId="0" borderId="4"/>
  </cellStyleXfs>
  <cellXfs count="10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0"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9"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9" borderId="1" applyAlignment="1" pivotButton="0" quotePrefix="0" xfId="0">
      <alignment horizontal="left"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pivotButton="0" quotePrefix="0" xfId="0"/>
    <xf numFmtId="0" fontId="9" fillId="8" borderId="1" applyAlignment="1" pivotButton="0" quotePrefix="0" xfId="0">
      <alignment horizontal="left" vertical="center" wrapText="1"/>
    </xf>
    <xf numFmtId="0" fontId="9" fillId="11" borderId="1" applyAlignment="1" pivotButton="0" quotePrefix="0" xfId="0">
      <alignment horizontal="center" vertical="center" wrapText="1"/>
    </xf>
    <xf numFmtId="0" fontId="5" fillId="10" borderId="1" applyAlignment="1" pivotButton="0" quotePrefix="0" xfId="0">
      <alignment horizontal="left" vertical="center" wrapText="1"/>
    </xf>
    <xf numFmtId="0" fontId="5" fillId="10" borderId="1" applyAlignment="1" pivotButton="0" quotePrefix="0" xfId="0">
      <alignment horizontal="center" vertical="center" wrapText="1"/>
    </xf>
    <xf numFmtId="0" fontId="4" fillId="0" borderId="0" pivotButton="0" quotePrefix="0" xfId="0"/>
    <xf numFmtId="0" fontId="9" fillId="0"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0" borderId="0" pivotButton="0" quotePrefix="0" xfId="0"/>
    <xf numFmtId="0" fontId="5" fillId="11" borderId="1" applyAlignment="1" pivotButton="0" quotePrefix="0" xfId="0">
      <alignment horizontal="left" vertical="center" wrapText="1"/>
    </xf>
    <xf numFmtId="0" fontId="5" fillId="11" borderId="1" applyAlignment="1" pivotButton="0" quotePrefix="0" xfId="0">
      <alignment horizontal="center" vertical="center" wrapText="1"/>
    </xf>
    <xf numFmtId="164" fontId="5" fillId="11" borderId="1" applyAlignment="1" pivotButton="0" quotePrefix="0" xfId="0">
      <alignment horizontal="center" vertical="center" wrapText="1"/>
    </xf>
    <xf numFmtId="2" fontId="9" fillId="11" borderId="1" applyAlignment="1" pivotButton="0" quotePrefix="0" xfId="0">
      <alignment horizontal="center" vertical="center" wrapText="1"/>
    </xf>
    <xf numFmtId="2" fontId="5" fillId="11"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0" fillId="2" borderId="1" pivotButton="0" quotePrefix="0" xfId="0"/>
    <xf numFmtId="0" fontId="9" fillId="0" borderId="1" applyAlignment="1" pivotButton="0" quotePrefix="0" xfId="0">
      <alignment horizontal="left" vertical="center" wrapText="1"/>
    </xf>
    <xf numFmtId="0" fontId="11" fillId="11" borderId="1" applyAlignment="1" pivotButton="0" quotePrefix="0" xfId="0">
      <alignment horizontal="center" vertical="center" wrapText="1"/>
    </xf>
    <xf numFmtId="0" fontId="9" fillId="4" borderId="1" applyAlignment="1" pivotButton="0" quotePrefix="0" xfId="0">
      <alignment horizontal="left" vertical="center" wrapText="1"/>
    </xf>
    <xf numFmtId="0" fontId="9" fillId="5" borderId="1" applyAlignment="1" pivotButton="0" quotePrefix="0" xfId="0">
      <alignment horizontal="left" vertical="center" wrapText="1"/>
    </xf>
    <xf numFmtId="0" fontId="9" fillId="6" borderId="1" applyAlignment="1" pivotButton="0" quotePrefix="0" xfId="0">
      <alignment horizontal="left" vertical="center" wrapText="1"/>
    </xf>
    <xf numFmtId="0" fontId="9" fillId="7" borderId="1" applyAlignment="1" pivotButton="0" quotePrefix="0" xfId="0">
      <alignment horizontal="left" vertical="center" wrapText="1"/>
    </xf>
    <xf numFmtId="0" fontId="12" fillId="3" borderId="1" applyAlignment="1" pivotButton="0" quotePrefix="0" xfId="0">
      <alignment horizontal="center" vertical="center" wrapText="1"/>
    </xf>
    <xf numFmtId="0" fontId="9" fillId="12" borderId="1" applyAlignment="1" pivotButton="0" quotePrefix="0" xfId="0">
      <alignment horizontal="center" vertical="center" wrapText="1"/>
    </xf>
    <xf numFmtId="0" fontId="0" fillId="0" borderId="1" applyAlignment="1" pivotButton="0" quotePrefix="0" xfId="0">
      <alignment horizontal="left" vertical="center" wrapText="1"/>
    </xf>
    <xf numFmtId="0" fontId="13" fillId="11" borderId="1" applyAlignment="1" pivotButton="0" quotePrefix="0" xfId="0">
      <alignment horizontal="center" vertical="center" wrapText="1"/>
    </xf>
    <xf numFmtId="0" fontId="5" fillId="0" borderId="4" applyAlignment="1" pivotButton="0" quotePrefix="0" xfId="0">
      <alignment horizontal="center" vertical="center" wrapText="1"/>
    </xf>
    <xf numFmtId="0" fontId="4" fillId="13" borderId="1" applyAlignment="1" pivotButton="0" quotePrefix="0" xfId="0">
      <alignment horizontal="center" vertical="center" wrapText="1"/>
    </xf>
    <xf numFmtId="0" fontId="5" fillId="6" borderId="5" applyAlignment="1" pivotButton="0" quotePrefix="0" xfId="0">
      <alignment horizontal="left" vertical="center" wrapText="1"/>
    </xf>
    <xf numFmtId="0" fontId="5" fillId="0" borderId="5" applyAlignment="1" pivotButton="0" quotePrefix="0" xfId="0">
      <alignment horizontal="center" vertical="center" wrapText="1"/>
    </xf>
    <xf numFmtId="0" fontId="5" fillId="0" borderId="4" applyAlignment="1" pivotButton="0" quotePrefix="0" xfId="0">
      <alignment horizontal="left" vertical="center" wrapText="1"/>
    </xf>
    <xf numFmtId="0" fontId="5" fillId="0" borderId="6" applyAlignment="1" pivotButton="0" quotePrefix="0" xfId="0">
      <alignment horizontal="left" vertical="center" wrapText="1"/>
    </xf>
    <xf numFmtId="0" fontId="5" fillId="0" borderId="0" applyAlignment="1" pivotButton="0" quotePrefix="0" xfId="0">
      <alignment horizontal="left" vertical="center" wrapText="1"/>
    </xf>
    <xf numFmtId="0" fontId="0" fillId="0" borderId="0" pivotButton="0" quotePrefix="0" xfId="0"/>
    <xf numFmtId="0" fontId="8" fillId="10" borderId="1" applyAlignment="1" pivotButton="0" quotePrefix="0" xfId="0">
      <alignment horizontal="center" vertical="center" wrapText="1"/>
    </xf>
    <xf numFmtId="0" fontId="0" fillId="0" borderId="2" pivotButton="0" quotePrefix="0" xfId="0"/>
    <xf numFmtId="0" fontId="8" fillId="8" borderId="1" applyAlignment="1" pivotButton="0" quotePrefix="0" xfId="0">
      <alignment horizontal="center" vertical="center" wrapText="1"/>
    </xf>
    <xf numFmtId="0" fontId="8" fillId="11" borderId="1" applyAlignment="1" pivotButton="0" quotePrefix="0" xfId="0">
      <alignment horizontal="center" vertical="center" wrapText="1"/>
    </xf>
    <xf numFmtId="0" fontId="5" fillId="0" borderId="1" applyAlignment="1" pivotButton="0" quotePrefix="0" xfId="0">
      <alignment horizontal="center" vertical="center" wrapText="1"/>
    </xf>
    <xf numFmtId="0" fontId="11" fillId="11" borderId="1" applyAlignment="1" pivotButton="0" quotePrefix="0" xfId="0">
      <alignment horizontal="center" vertical="center" wrapText="1"/>
    </xf>
    <xf numFmtId="0" fontId="10" fillId="10" borderId="1" applyAlignment="1" pivotButton="0" quotePrefix="0" xfId="0">
      <alignment horizontal="center" vertical="center" wrapText="1"/>
    </xf>
    <xf numFmtId="0" fontId="0" fillId="0" borderId="3" pivotButton="0" quotePrefix="0" xfId="0"/>
    <xf numFmtId="0" fontId="12" fillId="3" borderId="1" applyAlignment="1" pivotButton="0" quotePrefix="0" xfId="0">
      <alignment horizontal="center" vertical="center" wrapText="1"/>
    </xf>
    <xf numFmtId="0" fontId="5" fillId="11" borderId="1" applyAlignment="1" pivotButton="0" quotePrefix="0" xfId="0">
      <alignment horizontal="left" vertical="center" wrapText="1"/>
    </xf>
    <xf numFmtId="0" fontId="9" fillId="10" borderId="1"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4" applyAlignment="1" pivotButton="0" quotePrefix="0" xfId="0">
      <alignment horizontal="left" vertical="center" wrapText="1"/>
    </xf>
    <xf numFmtId="0" fontId="4" fillId="3" borderId="9" applyAlignment="1" pivotButton="0" quotePrefix="0" xfId="0">
      <alignment horizontal="center" vertical="center" wrapText="1"/>
    </xf>
    <xf numFmtId="0" fontId="5" fillId="0" borderId="9" applyAlignment="1" pivotButton="0" quotePrefix="0" xfId="0">
      <alignment horizontal="left" vertical="center" wrapText="1"/>
    </xf>
    <xf numFmtId="0" fontId="8" fillId="10" borderId="9" applyAlignment="1" pivotButton="0" quotePrefix="0" xfId="0">
      <alignment horizontal="center" vertical="center" wrapText="1"/>
    </xf>
    <xf numFmtId="0" fontId="8" fillId="11" borderId="9" applyAlignment="1" pivotButton="0" quotePrefix="0" xfId="0">
      <alignment horizontal="center" vertical="center" wrapText="1"/>
    </xf>
    <xf numFmtId="0" fontId="8" fillId="8" borderId="9" applyAlignment="1" pivotButton="0" quotePrefix="0" xfId="0">
      <alignment horizontal="center" vertical="center" wrapText="1"/>
    </xf>
    <xf numFmtId="0" fontId="9" fillId="0" borderId="9" applyAlignment="1" pivotButton="0" quotePrefix="0" xfId="0">
      <alignment horizontal="center" vertical="center" wrapText="1"/>
    </xf>
    <xf numFmtId="0" fontId="5" fillId="0" borderId="9" applyAlignment="1" pivotButton="0" quotePrefix="0" xfId="0">
      <alignment horizontal="center" vertical="center" wrapText="1"/>
    </xf>
    <xf numFmtId="0" fontId="5" fillId="10" borderId="9" applyAlignment="1" pivotButton="0" quotePrefix="0" xfId="0">
      <alignment horizontal="center" vertical="center" wrapText="1"/>
    </xf>
    <xf numFmtId="0" fontId="5" fillId="10" borderId="9" applyAlignment="1" pivotButton="0" quotePrefix="0" xfId="0">
      <alignment horizontal="left" vertical="center" wrapText="1"/>
    </xf>
    <xf numFmtId="165" fontId="5" fillId="11" borderId="9" applyAlignment="1" pivotButton="0" quotePrefix="0" xfId="0">
      <alignment horizontal="center" vertical="center" wrapText="1"/>
    </xf>
    <xf numFmtId="0" fontId="5" fillId="11" borderId="9" applyAlignment="1" pivotButton="0" quotePrefix="0" xfId="0">
      <alignment horizontal="center" vertical="center" wrapText="1"/>
    </xf>
    <xf numFmtId="0" fontId="9" fillId="11" borderId="9" applyAlignment="1" pivotButton="0" quotePrefix="0" xfId="0">
      <alignment horizontal="center" vertical="center" wrapText="1"/>
    </xf>
    <xf numFmtId="166" fontId="5" fillId="10" borderId="9" applyAlignment="1" pivotButton="0" quotePrefix="0" xfId="0">
      <alignment horizontal="center" vertical="center" wrapText="1"/>
    </xf>
    <xf numFmtId="0" fontId="3" fillId="2" borderId="9" applyAlignment="1" pivotButton="0" quotePrefix="0" xfId="0">
      <alignment horizontal="left" vertical="center"/>
    </xf>
    <xf numFmtId="0" fontId="0" fillId="2" borderId="9" applyAlignment="1" pivotButton="0" quotePrefix="0" xfId="0">
      <alignment horizontal="center" vertical="center" wrapText="1"/>
    </xf>
    <xf numFmtId="0" fontId="9" fillId="0" borderId="9" applyAlignment="1" pivotButton="0" quotePrefix="0" xfId="0">
      <alignment horizontal="left" vertical="center" wrapText="1"/>
    </xf>
    <xf numFmtId="0" fontId="10" fillId="11" borderId="9" applyAlignment="1" pivotButton="0" quotePrefix="0" xfId="0">
      <alignment horizontal="center" vertical="center" wrapText="1"/>
    </xf>
    <xf numFmtId="167" fontId="10" fillId="11" borderId="9" applyAlignment="1" pivotButton="0" quotePrefix="0" xfId="0">
      <alignment horizontal="center" vertical="center" wrapText="1"/>
    </xf>
    <xf numFmtId="0" fontId="5" fillId="11" borderId="9" applyAlignment="1" pivotButton="0" quotePrefix="0" xfId="0">
      <alignment horizontal="left" vertical="center" wrapText="1"/>
    </xf>
    <xf numFmtId="2" fontId="10" fillId="11" borderId="9" applyAlignment="1" pivotButton="0" quotePrefix="0" xfId="0">
      <alignment horizontal="center" vertical="center" wrapText="1"/>
    </xf>
    <xf numFmtId="0" fontId="9" fillId="8" borderId="9" applyAlignment="1" pivotButton="0" quotePrefix="0" xfId="0">
      <alignment horizontal="left" vertical="center" wrapText="1"/>
    </xf>
    <xf numFmtId="0" fontId="0" fillId="11" borderId="9" applyAlignment="1" pivotButton="0" quotePrefix="0" xfId="0">
      <alignment horizontal="center" vertical="center" wrapText="1"/>
    </xf>
    <xf numFmtId="167" fontId="0" fillId="11" borderId="9" applyAlignment="1" pivotButton="0" quotePrefix="0" xfId="0">
      <alignment horizontal="center" vertical="center" wrapText="1"/>
    </xf>
    <xf numFmtId="0" fontId="9" fillId="4" borderId="9" applyAlignment="1" pivotButton="0" quotePrefix="0" xfId="0">
      <alignment horizontal="left" vertical="center" wrapText="1"/>
    </xf>
    <xf numFmtId="0" fontId="9" fillId="5" borderId="9" applyAlignment="1" pivotButton="0" quotePrefix="0" xfId="0">
      <alignment horizontal="left" vertical="center" wrapText="1"/>
    </xf>
    <xf numFmtId="0" fontId="9" fillId="6" borderId="9" applyAlignment="1" pivotButton="0" quotePrefix="0" xfId="0">
      <alignment horizontal="left" vertical="center" wrapText="1"/>
    </xf>
    <xf numFmtId="0" fontId="9" fillId="7" borderId="9" applyAlignment="1" pivotButton="0" quotePrefix="0" xfId="0">
      <alignment horizontal="left" vertical="center" wrapText="1"/>
    </xf>
    <xf numFmtId="0" fontId="9" fillId="9" borderId="9" applyAlignment="1" pivotButton="0" quotePrefix="0" xfId="0">
      <alignment horizontal="left" vertical="center" wrapText="1"/>
    </xf>
    <xf numFmtId="2" fontId="0" fillId="11" borderId="9" applyAlignment="1" pivotButton="0" quotePrefix="0" xfId="0">
      <alignment horizontal="center" vertical="center" wrapText="1"/>
    </xf>
    <xf numFmtId="165" fontId="0" fillId="0" borderId="0" pivotButton="0" quotePrefix="0" xfId="0"/>
    <xf numFmtId="165" fontId="5" fillId="10" borderId="9" applyAlignment="1" pivotButton="0" quotePrefix="0" xfId="0">
      <alignment horizontal="center" vertical="center" wrapText="1"/>
    </xf>
    <xf numFmtId="0" fontId="3" fillId="2" borderId="9" applyAlignment="1" pivotButton="0" quotePrefix="0" xfId="0">
      <alignment horizontal="left" vertical="center"/>
    </xf>
    <xf numFmtId="165" fontId="10" fillId="11" borderId="9" applyAlignment="1" pivotButton="0" quotePrefix="0" xfId="0">
      <alignment horizontal="center" vertical="center" wrapText="1"/>
    </xf>
    <xf numFmtId="0" fontId="3" fillId="2" borderId="9" applyAlignment="1" pivotButton="0" quotePrefix="0" xfId="0">
      <alignment horizontal="left" vertical="center"/>
    </xf>
  </cellXfs>
  <cellStyles count="1">
    <cellStyle name="Normal" xfId="0" builtinId="0"/>
  </cellStyles>
  <dxfs count="81">
    <dxf>
      <fill>
        <patternFill patternType="solid">
          <fgColor rgb="FF92D050"/>
        </patternFill>
      </fill>
    </dxf>
    <dxf>
      <fill>
        <patternFill patternType="solid">
          <fgColor rgb="FFC6E0B4"/>
        </patternFill>
      </fill>
    </dxf>
    <dxf>
      <fill>
        <patternFill patternType="solid">
          <fgColor rgb="FFFFD966"/>
        </patternFill>
      </fill>
    </dxf>
    <dxf>
      <fill>
        <patternFill patternType="solid">
          <fgColor rgb="FFF4B183"/>
        </patternFill>
      </fill>
    </dxf>
    <dxf>
      <fill>
        <patternFill patternType="solid">
          <fgColor rgb="FFFF5B5B"/>
        </patternFill>
      </fill>
    </dxf>
    <dxf>
      <fill>
        <patternFill patternType="solid">
          <fgColor rgb="FFF2F2F2"/>
        </patternFill>
      </fill>
    </dxf>
    <dxf>
      <fill>
        <patternFill patternType="solid">
          <fgColor rgb="FF92D050"/>
        </patternFill>
      </fill>
    </dxf>
    <dxf>
      <fill>
        <patternFill patternType="solid">
          <fgColor rgb="FFC6E0B4"/>
        </patternFill>
      </fill>
    </dxf>
    <dxf>
      <fill>
        <patternFill patternType="solid">
          <fgColor rgb="FFFFD966"/>
        </patternFill>
      </fill>
    </dxf>
    <dxf>
      <fill>
        <patternFill patternType="solid">
          <fgColor rgb="FFF4B183"/>
        </patternFill>
      </fill>
    </dxf>
    <dxf>
      <fill>
        <patternFill patternType="solid">
          <fgColor rgb="FFFF5B5B"/>
        </patternFill>
      </fill>
    </dxf>
    <dxf>
      <fill>
        <patternFill patternType="solid">
          <fgColor rgb="FFF2F2F2"/>
        </patternFill>
      </fill>
    </dxf>
    <dxf>
      <fill>
        <patternFill patternType="solid">
          <fgColor rgb="FFFF5B5B"/>
        </patternFill>
      </fill>
    </dxf>
    <dxf>
      <fill>
        <patternFill patternType="solid">
          <fgColor rgb="FFFF5B5B"/>
        </patternFill>
      </fill>
    </dxf>
    <dxf>
      <fill>
        <patternFill patternType="solid">
          <fgColor rgb="FFC6E0B4"/>
        </patternFill>
      </fill>
    </dxf>
    <dxf>
      <fill>
        <patternFill patternType="solid">
          <fgColor rgb="FFFFD966"/>
        </patternFill>
      </fill>
    </dxf>
    <dxf>
      <fill>
        <patternFill patternType="solid">
          <fgColor rgb="FFF4B183"/>
        </patternFill>
      </fill>
    </dxf>
    <dxf>
      <fill>
        <patternFill patternType="solid">
          <fgColor rgb="FFC6E0B4"/>
        </patternFill>
      </fill>
    </dxf>
    <dxf>
      <fill>
        <patternFill patternType="solid">
          <fgColor rgb="FFF4B183"/>
        </patternFill>
      </fill>
    </dxf>
    <dxf>
      <fill>
        <patternFill patternType="solid">
          <fgColor rgb="FFFF5B5B"/>
        </patternFill>
      </fill>
    </dxf>
    <dxf>
      <fill>
        <patternFill patternType="solid">
          <fgColor rgb="FFFFD966"/>
        </patternFill>
      </fill>
    </dxf>
    <dxf>
      <fill>
        <patternFill patternType="solid">
          <fgColor rgb="FFF2F2F2"/>
        </patternFill>
      </fill>
    </dxf>
    <dxf>
      <fill>
        <patternFill patternType="solid">
          <fgColor rgb="FFFF5B5B"/>
        </patternFill>
      </fill>
    </dxf>
    <dxf>
      <fill>
        <patternFill patternType="solid">
          <fgColor rgb="FFC6E0B4"/>
        </patternFill>
      </fill>
    </dxf>
    <dxf>
      <fill>
        <patternFill patternType="solid">
          <fgColor rgb="FFFFD966"/>
        </patternFill>
      </fill>
    </dxf>
    <dxf>
      <fill>
        <patternFill patternType="solid">
          <fgColor rgb="FFF4B183"/>
        </patternFill>
      </fill>
    </dxf>
    <dxf>
      <fill>
        <patternFill patternType="solid">
          <fgColor rgb="FFFF5B5B"/>
        </patternFill>
      </fill>
    </dxf>
    <dxf>
      <fill>
        <patternFill patternType="solid">
          <fgColor rgb="FF92D050"/>
        </patternFill>
      </fill>
    </dxf>
    <dxf>
      <fill>
        <patternFill patternType="solid">
          <fgColor rgb="FFC6E0B4"/>
        </patternFill>
      </fill>
    </dxf>
    <dxf>
      <fill>
        <patternFill patternType="solid">
          <fgColor rgb="FFFFD966"/>
        </patternFill>
      </fill>
    </dxf>
    <dxf>
      <fill>
        <patternFill patternType="solid">
          <fgColor rgb="FFF4B183"/>
        </patternFill>
      </fill>
    </dxf>
    <dxf>
      <fill>
        <patternFill patternType="solid">
          <fgColor rgb="FFFF5B5B"/>
        </patternFill>
      </fill>
    </dxf>
    <dxf>
      <fill>
        <patternFill patternType="solid">
          <fgColor rgb="FFF2F2F2"/>
        </patternFill>
      </fill>
    </dxf>
    <dxf>
      <fill>
        <patternFill patternType="solid">
          <fgColor rgb="FFC6E0B4"/>
        </patternFill>
      </fill>
    </dxf>
    <dxf>
      <fill>
        <patternFill patternType="solid">
          <fgColor rgb="FFFFD966"/>
        </patternFill>
      </fill>
    </dxf>
    <dxf>
      <fill>
        <patternFill patternType="solid">
          <fgColor rgb="FFF4B183"/>
        </patternFill>
      </fill>
    </dxf>
    <dxf>
      <fill>
        <patternFill patternType="solid">
          <fgColor rgb="FFFF5B5B"/>
        </patternFill>
      </fill>
    </dxf>
    <dxf>
      <fill>
        <patternFill patternType="solid">
          <fgColor rgb="FFFF5B5B"/>
        </patternFill>
      </fill>
    </dxf>
    <dxf>
      <fill>
        <patternFill patternType="solid">
          <fgColor rgb="FFF2F2F2"/>
        </patternFill>
      </fill>
    </dxf>
    <dxf>
      <fill>
        <patternFill patternType="solid">
          <fgColor rgb="FFFF5B5B"/>
        </patternFill>
      </fill>
    </dxf>
    <dxf>
      <fill>
        <patternFill patternType="solid">
          <fgColor rgb="FF92D050"/>
        </patternFill>
      </fill>
    </dxf>
    <dxf>
      <fill>
        <patternFill patternType="solid">
          <fgColor rgb="FFC6E0B4"/>
        </patternFill>
      </fill>
    </dxf>
    <dxf>
      <fill>
        <patternFill patternType="solid">
          <fgColor rgb="FFFFD966"/>
        </patternFill>
      </fill>
    </dxf>
    <dxf>
      <fill>
        <patternFill patternType="solid">
          <fgColor rgb="FFF4B183"/>
        </patternFill>
      </fill>
    </dxf>
    <dxf>
      <fill>
        <patternFill patternType="solid">
          <fgColor rgb="FFF2F2F2"/>
        </patternFill>
      </fill>
    </dxf>
    <dxf>
      <fill>
        <patternFill patternType="solid">
          <fgColor rgb="FFC6E0B4"/>
        </patternFill>
      </fill>
    </dxf>
    <dxf>
      <fill>
        <patternFill patternType="solid">
          <fgColor rgb="FFC6E0B4"/>
        </patternFill>
      </fill>
    </dxf>
    <dxf>
      <fill>
        <patternFill patternType="solid">
          <fgColor rgb="FFFFD966"/>
        </patternFill>
      </fill>
    </dxf>
    <dxf>
      <fill>
        <patternFill patternType="solid">
          <fgColor rgb="FFFFD966"/>
        </patternFill>
      </fill>
    </dxf>
    <dxf>
      <fill>
        <patternFill patternType="solid">
          <fgColor rgb="FFFFD966"/>
        </patternFill>
      </fill>
    </dxf>
    <dxf>
      <fill>
        <patternFill patternType="solid">
          <fgColor rgb="FFF4B183"/>
        </patternFill>
      </fill>
    </dxf>
    <dxf>
      <fill>
        <patternFill patternType="solid">
          <fgColor rgb="FFF4B183"/>
        </patternFill>
      </fill>
    </dxf>
    <dxf>
      <fill>
        <patternFill patternType="solid">
          <fgColor rgb="FFFF5B5B"/>
        </patternFill>
      </fill>
    </dxf>
    <dxf>
      <fill>
        <patternFill patternType="solid">
          <fgColor rgb="FFFF5B5B"/>
        </patternFill>
      </fill>
    </dxf>
    <dxf>
      <fill>
        <patternFill patternType="solid">
          <fgColor rgb="FFF4B183"/>
        </patternFill>
      </fill>
    </dxf>
    <dxf>
      <fill>
        <patternFill patternType="solid">
          <fgColor rgb="FFFFD966"/>
        </patternFill>
      </fill>
    </dxf>
    <dxf>
      <fill>
        <patternFill patternType="solid">
          <fgColor rgb="FFF2F2F2"/>
        </patternFill>
      </fill>
    </dxf>
    <dxf>
      <fill>
        <patternFill patternType="solid">
          <fgColor rgb="FF92D050"/>
        </patternFill>
      </fill>
    </dxf>
    <dxf>
      <fill>
        <patternFill patternType="solid">
          <fgColor rgb="FFF4B183"/>
        </patternFill>
      </fill>
    </dxf>
    <dxf>
      <fill>
        <patternFill patternType="solid">
          <fgColor rgb="FFFF5B5B"/>
        </patternFill>
      </fill>
    </dxf>
    <dxf>
      <fill>
        <patternFill patternType="solid">
          <fgColor rgb="FFF2F2F2"/>
        </patternFill>
      </fill>
    </dxf>
    <dxf>
      <font>
        <name val="Montserrat"/>
        <b val="1"/>
        <sz val="10"/>
      </font>
      <fill>
        <patternFill patternType="solid">
          <fgColor rgb="FF92D050"/>
        </patternFill>
      </fill>
    </dxf>
    <dxf>
      <fill>
        <patternFill patternType="solid">
          <fgColor rgb="FFE2EFDA"/>
        </patternFill>
      </fill>
    </dxf>
    <dxf>
      <fill>
        <patternFill patternType="solid">
          <fgColor rgb="FFF2F2F2"/>
        </patternFill>
      </fill>
    </dxf>
    <dxf>
      <fill>
        <patternFill patternType="solid">
          <fgColor rgb="FFC6E0B4"/>
        </patternFill>
      </fill>
    </dxf>
    <dxf>
      <fill>
        <patternFill patternType="solid">
          <fgColor rgb="FFFFD966"/>
        </patternFill>
      </fill>
    </dxf>
    <dxf>
      <fill>
        <patternFill patternType="solid">
          <fgColor rgb="FFF4B183"/>
        </patternFill>
      </fill>
    </dxf>
    <dxf>
      <fill>
        <patternFill patternType="solid">
          <fgColor rgb="FFFF5B5B"/>
        </patternFill>
      </fill>
    </dxf>
    <dxf>
      <fill>
        <patternFill patternType="solid">
          <fgColor rgb="FFF2F2F2"/>
        </patternFill>
      </fill>
    </dxf>
    <dxf>
      <fill>
        <patternFill patternType="solid">
          <fgColor rgb="FFC6E0B4"/>
        </patternFill>
      </fill>
    </dxf>
    <dxf>
      <fill>
        <patternFill patternType="solid">
          <fgColor rgb="FFC6E0B4"/>
        </patternFill>
      </fill>
    </dxf>
    <dxf>
      <fill>
        <patternFill patternType="solid">
          <fgColor rgb="FFFFD966"/>
        </patternFill>
      </fill>
    </dxf>
    <dxf>
      <fill>
        <patternFill patternType="solid">
          <fgColor rgb="FFFFD966"/>
        </patternFill>
      </fill>
    </dxf>
    <dxf>
      <fill>
        <patternFill patternType="solid">
          <fgColor rgb="FFFFD966"/>
        </patternFill>
      </fill>
    </dxf>
    <dxf>
      <fill>
        <patternFill patternType="solid">
          <fgColor rgb="FFF4B183"/>
        </patternFill>
      </fill>
    </dxf>
    <dxf>
      <fill>
        <patternFill patternType="solid">
          <fgColor rgb="FFF4B183"/>
        </patternFill>
      </fill>
    </dxf>
    <dxf>
      <fill>
        <patternFill patternType="solid">
          <fgColor rgb="FFF4B183"/>
        </patternFill>
      </fill>
    </dxf>
    <dxf>
      <fill>
        <patternFill patternType="solid">
          <fgColor rgb="FFFF5B5B"/>
        </patternFill>
      </fill>
    </dxf>
    <dxf>
      <fill>
        <patternFill patternType="solid">
          <fgColor rgb="FFFF5B5B"/>
        </patternFill>
      </fill>
    </dxf>
    <dxf>
      <fill>
        <patternFill patternType="solid">
          <fgColor rgb="FFBFBFBF"/>
        </patternFill>
      </fill>
    </dxf>
    <dxf>
      <font>
        <name val="Montserrat"/>
        <b val="1"/>
        <sz val="10"/>
      </font>
      <fill>
        <patternFill patternType="solid">
          <fgColor rgb="FFFF5B5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Riesgo inherente frente a residual</a:t>
            </a:r>
          </a:p>
        </rich>
      </tx>
      <overlay val="1"/>
    </title>
    <plotArea>
      <layout/>
      <barChart>
        <barDir val="col"/>
        <grouping val="clustered"/>
        <varyColors val="1"/>
        <ser>
          <idx val="0"/>
          <order val="0"/>
          <tx>
            <strRef>
              <f>Dashboard!$G$15</f>
              <strCache>
                <ptCount val="1"/>
                <pt idx="0">
                  <v>Inherente</v>
                </pt>
              </strCache>
            </strRef>
          </tx>
          <spPr>
            <a:ln xmlns:a="http://schemas.openxmlformats.org/drawingml/2006/main">
              <a:prstDash val="solid"/>
            </a:ln>
          </spPr>
          <invertIfNegative val="1"/>
          <cat>
            <strRef>
              <f>Dashboard!$F$16:$F$19</f>
              <strCache>
                <ptCount val="4"/>
                <pt idx="0">
                  <v>Crítico</v>
                </pt>
                <pt idx="1">
                  <v>Alto</v>
                </pt>
                <pt idx="2">
                  <v>Medio</v>
                </pt>
                <pt idx="3">
                  <v>Bajo</v>
                </pt>
              </strCache>
            </strRef>
          </cat>
          <val>
            <numRef>
              <f>Dashboard!$G$16:$G$19</f>
              <numCache>
                <formatCode>General</formatCode>
                <ptCount val="4"/>
                <pt idx="0">
                  <v>231</v>
                </pt>
                <pt idx="1">
                  <v>98</v>
                </pt>
                <pt idx="2">
                  <v>1118</v>
                </pt>
                <pt idx="3">
                  <v>809</v>
                </pt>
              </numCache>
            </numRef>
          </val>
        </ser>
        <ser>
          <idx val="1"/>
          <order val="1"/>
          <tx>
            <strRef>
              <f>Dashboard!$H$15</f>
              <strCache>
                <ptCount val="1"/>
                <pt idx="0">
                  <v>Residual</v>
                </pt>
              </strCache>
            </strRef>
          </tx>
          <spPr>
            <a:ln xmlns:a="http://schemas.openxmlformats.org/drawingml/2006/main">
              <a:prstDash val="solid"/>
            </a:ln>
          </spPr>
          <invertIfNegative val="1"/>
          <cat>
            <strRef>
              <f>Dashboard!$F$16:$F$19</f>
              <strCache>
                <ptCount val="4"/>
                <pt idx="0">
                  <v>Crítico</v>
                </pt>
                <pt idx="1">
                  <v>Alto</v>
                </pt>
                <pt idx="2">
                  <v>Medio</v>
                </pt>
                <pt idx="3">
                  <v>Bajo</v>
                </pt>
              </strCache>
            </strRef>
          </cat>
          <val>
            <numRef>
              <f>Dashboard!$H$16:$H$19</f>
              <numCache>
                <formatCode>General</formatCode>
                <ptCount val="4"/>
                <pt idx="0">
                  <v>231</v>
                </pt>
                <pt idx="1">
                  <v>98</v>
                </pt>
                <pt idx="2">
                  <v>1118</v>
                </pt>
                <pt idx="3">
                  <v>809</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Riesgos por grupo de amenaza</a:t>
            </a:r>
          </a:p>
        </rich>
      </tx>
      <overlay val="1"/>
    </title>
    <plotArea>
      <layout/>
      <pieChart>
        <varyColors val="1"/>
        <ser>
          <idx val="0"/>
          <order val="0"/>
          <tx>
            <strRef>
              <f>Dashboard!$C$29</f>
              <strCache>
                <ptCount val="1"/>
                <pt idx="0">
                  <v>Riesgos</v>
                </pt>
              </strCache>
            </strRef>
          </tx>
          <spPr>
            <a:ln xmlns:a="http://schemas.openxmlformats.org/drawingml/2006/main">
              <a:prstDash val="solid"/>
            </a:ln>
          </spPr>
          <cat>
            <strRef>
              <f>Dashboard!$B$30:$B$33</f>
              <strCache>
                <ptCount val="4"/>
                <pt idx="0">
                  <v>[A] Ataques intencionados</v>
                </pt>
                <pt idx="1">
                  <v>[E] Errores y fallos no intencionados</v>
                </pt>
                <pt idx="2">
                  <v>[I] De origen industrial</v>
                </pt>
                <pt idx="3">
                  <v>[N] Desastres naturales</v>
                </pt>
              </strCache>
            </strRef>
          </cat>
          <val>
            <numRef>
              <f>Dashboard!$C$30:$C$33</f>
              <numCache>
                <formatCode>General</formatCode>
                <ptCount val="4"/>
                <pt idx="0">
                  <v>1138</v>
                </pt>
                <pt idx="1">
                  <v>975</v>
                </pt>
                <pt idx="2">
                  <v>119</v>
                </pt>
                <pt idx="3">
                  <v>24</v>
                </pt>
              </numCache>
            </numRef>
          </val>
        </ser>
        <dLbls>
          <showLegendKey val="0"/>
          <showVal val="0"/>
          <showCatName val="0"/>
          <showSerName val="0"/>
          <showPercent val="0"/>
          <showBubbleSize val="0"/>
          <showLeaderLines val="1"/>
        </dLbls>
        <firstSliceAng val="0"/>
      </pieChart>
    </plotArea>
    <legend>
      <legendPos val="r"/>
      <overlay val="1"/>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Madurez por capacidad operativa — línea base, actual y objetivo</a:t>
            </a:r>
          </a:p>
        </rich>
      </tx>
    </title>
    <plotArea>
      <radarChart>
        <radarStyle val="marker"/>
        <ser>
          <idx val="0"/>
          <order val="0"/>
          <tx>
            <strRef>
              <f>'5. Madurez y Progreso'!C36</f>
            </strRef>
          </tx>
          <spPr>
            <a:ln xmlns:a="http://schemas.openxmlformats.org/drawingml/2006/main">
              <a:prstDash val="solid"/>
            </a:ln>
          </spPr>
          <marker>
            <symbol val="none"/>
            <spPr>
              <a:ln xmlns:a="http://schemas.openxmlformats.org/drawingml/2006/main">
                <a:prstDash val="solid"/>
              </a:ln>
            </spPr>
          </marker>
          <cat>
            <numRef>
              <f>'5. Madurez y Progreso'!$B$37:$B$51</f>
            </numRef>
          </cat>
          <val>
            <numRef>
              <f>'5. Madurez y Progreso'!$C$37:$C$51</f>
            </numRef>
          </val>
        </ser>
        <ser>
          <idx val="1"/>
          <order val="1"/>
          <tx>
            <strRef>
              <f>'5. Madurez y Progreso'!D36</f>
            </strRef>
          </tx>
          <spPr>
            <a:ln xmlns:a="http://schemas.openxmlformats.org/drawingml/2006/main">
              <a:prstDash val="solid"/>
            </a:ln>
          </spPr>
          <marker>
            <symbol val="none"/>
            <spPr>
              <a:ln xmlns:a="http://schemas.openxmlformats.org/drawingml/2006/main">
                <a:prstDash val="solid"/>
              </a:ln>
            </spPr>
          </marker>
          <cat>
            <numRef>
              <f>'5. Madurez y Progreso'!$B$37:$B$51</f>
            </numRef>
          </cat>
          <val>
            <numRef>
              <f>'5. Madurez y Progreso'!$D$37:$D$51</f>
            </numRef>
          </val>
        </ser>
        <ser>
          <idx val="2"/>
          <order val="2"/>
          <tx>
            <strRef>
              <f>'5. Madurez y Progreso'!E36</f>
            </strRef>
          </tx>
          <spPr>
            <a:ln xmlns:a="http://schemas.openxmlformats.org/drawingml/2006/main">
              <a:prstDash val="solid"/>
            </a:ln>
          </spPr>
          <marker>
            <symbol val="none"/>
            <spPr>
              <a:ln xmlns:a="http://schemas.openxmlformats.org/drawingml/2006/main">
                <a:prstDash val="solid"/>
              </a:ln>
            </spPr>
          </marker>
          <cat>
            <numRef>
              <f>'5. Madurez y Progreso'!$B$37:$B$51</f>
            </numRef>
          </cat>
          <val>
            <numRef>
              <f>'5. Madurez y Progreso'!$E$37:$E$51</f>
            </numRef>
          </val>
        </ser>
        <axId val="10"/>
        <axId val="100"/>
      </radarChart>
      <catAx>
        <axId val="10"/>
        <scaling>
          <orientation val="minMax"/>
        </scaling>
        <axPos val="l"/>
        <majorTickMark val="none"/>
        <minorTickMark val="none"/>
        <crossAx val="100"/>
        <lblOffset val="100"/>
      </catAx>
      <valAx>
        <axId val="100"/>
        <scaling>
          <orientation val="minMax"/>
          <max val="5"/>
          <min val="0"/>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Controles por nivel de madurez</a:t>
            </a:r>
          </a:p>
        </rich>
      </tx>
    </title>
    <plotArea>
      <barChart>
        <barDir val="col"/>
        <grouping val="clustered"/>
        <ser>
          <idx val="0"/>
          <order val="0"/>
          <tx>
            <strRef>
              <f>'5. Madurez y Progreso'!C20</f>
            </strRef>
          </tx>
          <spPr>
            <a:ln xmlns:a="http://schemas.openxmlformats.org/drawingml/2006/main">
              <a:prstDash val="solid"/>
            </a:ln>
          </spPr>
          <cat>
            <numRef>
              <f>'5. Madurez y Progreso'!$B$21:$B$26</f>
            </numRef>
          </cat>
          <val>
            <numRef>
              <f>'5. Madurez y Progreso'!$C$21:$C$26</f>
            </numRef>
          </val>
        </ser>
        <ser>
          <idx val="1"/>
          <order val="1"/>
          <tx>
            <strRef>
              <f>'5. Madurez y Progreso'!D20</f>
            </strRef>
          </tx>
          <spPr>
            <a:ln xmlns:a="http://schemas.openxmlformats.org/drawingml/2006/main">
              <a:prstDash val="solid"/>
            </a:ln>
          </spPr>
          <cat>
            <numRef>
              <f>'5. Madurez y Progreso'!$B$21:$B$26</f>
            </numRef>
          </cat>
          <val>
            <numRef>
              <f>'5. Madurez y Progreso'!$D$21:$D$26</f>
            </numRef>
          </val>
        </ser>
        <ser>
          <idx val="2"/>
          <order val="2"/>
          <tx>
            <strRef>
              <f>'5. Madurez y Progreso'!E20</f>
            </strRef>
          </tx>
          <spPr>
            <a:ln xmlns:a="http://schemas.openxmlformats.org/drawingml/2006/main">
              <a:prstDash val="solid"/>
            </a:ln>
          </spPr>
          <cat>
            <numRef>
              <f>'5. Madurez y Progreso'!$B$21:$B$26</f>
            </numRef>
          </cat>
          <val>
            <numRef>
              <f>'5. Madurez y Progreso'!$E$21:$E$26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Porcentaje de controles en L3 o superior, por dominio</a:t>
            </a:r>
          </a:p>
        </rich>
      </tx>
    </title>
    <plotArea>
      <barChart>
        <barDir val="bar"/>
        <grouping val="clustered"/>
        <ser>
          <idx val="0"/>
          <order val="0"/>
          <tx>
            <strRef>
              <f>'5. Madurez y Progreso'!F29</f>
            </strRef>
          </tx>
          <spPr>
            <a:ln xmlns:a="http://schemas.openxmlformats.org/drawingml/2006/main">
              <a:prstDash val="solid"/>
            </a:ln>
          </spPr>
          <cat>
            <numRef>
              <f>'5. Madurez y Progreso'!$B$30:$B$33</f>
            </numRef>
          </cat>
          <val>
            <numRef>
              <f>'5. Madurez y Progreso'!$F$30:$F$33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Acciones por estado</a:t>
            </a:r>
          </a:p>
        </rich>
      </tx>
    </title>
    <plotArea>
      <barChart>
        <barDir val="bar"/>
        <grouping val="clustered"/>
        <ser>
          <idx val="0"/>
          <order val="0"/>
          <tx>
            <strRef>
              <f>'6. Plan de Tratamiento'!C44</f>
            </strRef>
          </tx>
          <spPr>
            <a:ln xmlns:a="http://schemas.openxmlformats.org/drawingml/2006/main">
              <a:prstDash val="solid"/>
            </a:ln>
          </spPr>
          <cat>
            <numRef>
              <f>'6. Plan de Tratamiento'!$B$45:$B$49</f>
            </numRef>
          </cat>
          <val>
            <numRef>
              <f>'6. Plan de Tratamiento'!$C$45:$C$49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1</col>
      <colOff>0</colOff>
      <row>51</row>
      <rowOff>0</rowOff>
    </from>
    <ext cx="432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51</row>
      <rowOff>0</rowOff>
    </from>
    <ext cx="432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61</row>
      <rowOff>0</rowOff>
    </from>
    <ext cx="792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61</row>
      <rowOff>0</rowOff>
    </from>
    <ext cx="57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81</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5</col>
      <colOff>0</colOff>
      <row>33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H69"/>
  <sheetViews>
    <sheetView showGridLines="0" topLeftCell="A7" workbookViewId="0">
      <selection activeCell="F8" sqref="F8"/>
    </sheetView>
  </sheetViews>
  <sheetFormatPr baseColWidth="10" defaultColWidth="8.7265625" defaultRowHeight="14.5"/>
  <cols>
    <col width="2.36328125" customWidth="1" style="54" min="1" max="1"/>
    <col width="40" customWidth="1" style="54" min="2" max="2"/>
    <col width="15" customWidth="1" style="54" min="3" max="5"/>
    <col width="14.54296875" customWidth="1" style="54" min="6" max="6"/>
    <col width="44" customWidth="1" style="54" min="7" max="7"/>
    <col width="15" customWidth="1" style="54" min="8" max="12"/>
  </cols>
  <sheetData>
    <row r="1" ht="21.5" customHeight="1" s="54">
      <c r="B1" s="1" t="inlineStr">
        <is>
          <t>TABLERO DE RIESGOS — MAGERIT v3.0</t>
        </is>
      </c>
    </row>
    <row r="2" ht="15" customHeight="1" s="54">
      <c r="B2" s="2" t="inlineStr">
        <is>
          <t>Todo responde al proceso elegido en la celda amarilla.</t>
        </is>
      </c>
    </row>
    <row r="3" ht="28" customHeight="1" s="54">
      <c r="B3" s="17" t="inlineStr">
        <is>
          <t>Código de color:</t>
        </is>
      </c>
      <c r="C3" s="55" t="inlineStr">
        <is>
          <t>Amarillo = Campo de entrada — se selecciona de una lista</t>
        </is>
      </c>
      <c r="D3" s="56" t="n"/>
      <c r="E3" s="58" t="inlineStr">
        <is>
          <t>Lila = Calculado automáticamente — no escribir encima</t>
        </is>
      </c>
      <c r="F3" s="56" t="n"/>
      <c r="G3" s="57" t="inlineStr">
        <is>
          <t>Gris = Dato de la norma MAGERIT — no modificar</t>
        </is>
      </c>
      <c r="H3" s="56" t="n"/>
    </row>
    <row r="5" ht="26" customHeight="1" s="54">
      <c r="B5" s="5" t="inlineStr">
        <is>
          <t>Proceso o Área</t>
        </is>
      </c>
      <c r="C5" s="61" t="inlineStr">
        <is>
          <t>(Todos los procesos)</t>
        </is>
      </c>
      <c r="D5" s="62" t="n"/>
      <c r="E5" s="62" t="n"/>
      <c r="F5" s="56" t="n"/>
    </row>
    <row r="7" ht="20" customHeight="1" s="54">
      <c r="B7" s="3" t="inlineStr">
        <is>
          <t>INDICADORES DEL PROCESO SELECCIONADO</t>
        </is>
      </c>
      <c r="C7" s="4" t="n"/>
      <c r="D7" s="4" t="n"/>
    </row>
    <row r="8" ht="22" customHeight="1" s="54">
      <c r="B8" s="37" t="inlineStr">
        <is>
          <t>Activos del proceso</t>
        </is>
      </c>
      <c r="C8" s="60">
        <f>IF($C$5="(Todos los procesos)",COUNTA('1. Matriz de Activos'!$B$6:$B$239),COUNTIF('1. Matriz de Activos'!$G$6:$G$239,$C$5))</f>
        <v/>
      </c>
      <c r="D8" s="56" t="n"/>
    </row>
    <row r="9" ht="22" customHeight="1" s="54">
      <c r="B9" s="37" t="inlineStr">
        <is>
          <t>Activos valorados (valor 4 o más)</t>
        </is>
      </c>
      <c r="C9" s="60">
        <f>IF($C$5="(Todos los procesos)",COUNTIF(MgValorAct,"&gt;=4"),COUNTIFS('1. Matriz de Activos'!$G$6:$G$239,$C$5,MgValorAct,"&gt;=4"))</f>
        <v/>
      </c>
      <c r="D9" s="56" t="n"/>
    </row>
    <row r="10" ht="22" customHeight="1" s="54">
      <c r="B10" s="37" t="inlineStr">
        <is>
          <t>Riesgos evaluados</t>
        </is>
      </c>
      <c r="C10" s="60">
        <f>IF($C$5="(Todos los procesos)",COUNTA('2. Valoración '!$B$6:$B$2261),COUNTIF('2. Valoración '!$E$6:$E$2261,$C$5))</f>
        <v/>
      </c>
      <c r="D10" s="56" t="n"/>
    </row>
    <row r="11" ht="22" customHeight="1" s="54">
      <c r="B11" s="37" t="inlineStr">
        <is>
          <t>Riesgos Alto o Crítico (inherente)</t>
        </is>
      </c>
      <c r="C11" s="60">
        <f>IF($C$5="(Todos los procesos)",COUNTIF('2. Valoración '!$Z$6:$Z$2261,"Alto")+COUNTIF('2. Valoración '!$Z$6:$Z$2261,"Crítico"),COUNTIFS('2. Valoración '!$E$6:$E$2261,$C$5,'2. Valoración '!$Z$6:$Z$2261,"Alto")+COUNTIFS('2. Valoración '!$E$6:$E$2261,$C$5,'2. Valoración '!$Z$6:$Z$2261,"Crítico"))</f>
        <v/>
      </c>
      <c r="D11" s="56" t="n"/>
    </row>
    <row r="12" ht="22" customHeight="1" s="54">
      <c r="B12" s="37" t="inlineStr">
        <is>
          <t>Riesgos Alto o Crítico (residual)</t>
        </is>
      </c>
      <c r="C12" s="60">
        <f>IF($C$5="(Todos los procesos)",COUNTIF('2. Valoración '!$AG$6:$AG$2261,"Alto")+COUNTIF('2. Valoración '!$AG$6:$AG$2261,"Crítico"),COUNTIFS('2. Valoración '!$E$6:$E$2261,$C$5,'2. Valoración '!$AG$6:$AG$2261,"Alto")+COUNTIFS('2. Valoración '!$E$6:$E$2261,$C$5,'2. Valoración '!$AG$6:$AG$2261,"Crítico"))</f>
        <v/>
      </c>
      <c r="D12" s="56" t="n"/>
    </row>
    <row r="14" ht="20" customHeight="1" s="54">
      <c r="B14" s="3" t="inlineStr">
        <is>
          <t>ACTIVOS POR TIPO MAGERIT</t>
        </is>
      </c>
      <c r="C14" s="4" t="n"/>
      <c r="D14" s="4" t="n"/>
      <c r="F14" s="3" t="inlineStr">
        <is>
          <t>RIESGO INHERENTE FRENTE A RESIDUAL</t>
        </is>
      </c>
      <c r="G14" s="4" t="n"/>
      <c r="H14" s="4" t="n"/>
    </row>
    <row r="15" ht="26" customHeight="1" s="54">
      <c r="B15" s="5" t="inlineStr">
        <is>
          <t>Tipo de activo</t>
        </is>
      </c>
      <c r="C15" s="5" t="inlineStr">
        <is>
          <t>Activos</t>
        </is>
      </c>
      <c r="D15" s="5" t="inlineStr">
        <is>
          <t>Valorados</t>
        </is>
      </c>
      <c r="F15" s="5" t="inlineStr">
        <is>
          <t>Nivel de riesgo</t>
        </is>
      </c>
      <c r="G15" s="5" t="inlineStr">
        <is>
          <t>Inherente</t>
        </is>
      </c>
      <c r="H15" s="5" t="inlineStr">
        <is>
          <t>Residual</t>
        </is>
      </c>
    </row>
    <row r="16" ht="15" customHeight="1" s="54">
      <c r="B16" s="13" t="inlineStr">
        <is>
          <t>[D] Datos / Información</t>
        </is>
      </c>
      <c r="C16" s="28">
        <f>IF($C$5="(Todos los procesos)",COUNTIF(MgTipo,$B16),COUNTIFS('1. Matriz de Activos'!$G$6:$G$239,$C$5,MgTipo,$B16))</f>
        <v/>
      </c>
      <c r="D16" s="28">
        <f>IF($C$5="(Todos los procesos)",COUNTIFS(MgTipo,$B16,MgValorAct,"&gt;=4"),COUNTIFS('1. Matriz de Activos'!$G$6:$G$239,$C$5,MgTipo,$B16,MgValorAct,"&gt;=4"))</f>
        <v/>
      </c>
      <c r="F16" s="39" t="inlineStr">
        <is>
          <t>Crítico</t>
        </is>
      </c>
      <c r="G16" s="28">
        <f>IF($C$5="(Todos los procesos)",COUNTIF('2. Valoración '!$Z$6:$Z$2261,$F16),COUNTIFS('2. Valoración '!$E$6:$E$2261,$C$5,'2. Valoración '!$Z$6:$Z$2261,$F16))</f>
        <v/>
      </c>
      <c r="H16" s="28">
        <f>IF($C$5="(Todos los procesos)",COUNTIF('2. Valoración '!$AG$6:$AG$2261,$F16),COUNTIFS('2. Valoración '!$E$6:$E$2261,$C$5,'2. Valoración '!$AG$6:$AG$2261,$F16))</f>
        <v/>
      </c>
    </row>
    <row r="17" ht="15" customHeight="1" s="54">
      <c r="B17" s="13" t="inlineStr">
        <is>
          <t>[K] Claves criptográficas</t>
        </is>
      </c>
      <c r="C17" s="28">
        <f>IF($C$5="(Todos los procesos)",COUNTIF(MgTipo,$B17),COUNTIFS('1. Matriz de Activos'!$G$6:$G$239,$C$5,MgTipo,$B17))</f>
        <v/>
      </c>
      <c r="D17" s="28">
        <f>IF($C$5="(Todos los procesos)",COUNTIFS(MgTipo,$B17,MgValorAct,"&gt;=4"),COUNTIFS('1. Matriz de Activos'!$G$6:$G$239,$C$5,MgTipo,$B17,MgValorAct,"&gt;=4"))</f>
        <v/>
      </c>
      <c r="F17" s="40" t="inlineStr">
        <is>
          <t>Alto</t>
        </is>
      </c>
      <c r="G17" s="28">
        <f>IF($C$5="(Todos los procesos)",COUNTIF('2. Valoración '!$Z$6:$Z$2261,$F17),COUNTIFS('2. Valoración '!$E$6:$E$2261,$C$5,'2. Valoración '!$Z$6:$Z$2261,$F17))</f>
        <v/>
      </c>
      <c r="H17" s="28">
        <f>IF($C$5="(Todos los procesos)",COUNTIF('2. Valoración '!$AG$6:$AG$2261,$F17),COUNTIFS('2. Valoración '!$E$6:$E$2261,$C$5,'2. Valoración '!$AG$6:$AG$2261,$F17))</f>
        <v/>
      </c>
    </row>
    <row r="18" ht="30" customHeight="1" s="54">
      <c r="B18" s="13" t="inlineStr">
        <is>
          <t>[S] Servicios</t>
        </is>
      </c>
      <c r="C18" s="28">
        <f>IF($C$5="(Todos los procesos)",COUNTIF(MgTipo,$B18),COUNTIFS('1. Matriz de Activos'!$G$6:$G$239,$C$5,MgTipo,$B18))</f>
        <v/>
      </c>
      <c r="D18" s="28">
        <f>IF($C$5="(Todos los procesos)",COUNTIFS(MgTipo,$B18,MgValorAct,"&gt;=4"),COUNTIFS('1. Matriz de Activos'!$G$6:$G$239,$C$5,MgTipo,$B18,MgValorAct,"&gt;=4"))</f>
        <v/>
      </c>
      <c r="F18" s="41" t="inlineStr">
        <is>
          <t>Medio</t>
        </is>
      </c>
      <c r="G18" s="28">
        <f>IF($C$5="(Todos los procesos)",COUNTIF('2. Valoración '!$Z$6:$Z$2261,$F18),COUNTIFS('2. Valoración '!$E$6:$E$2261,$C$5,'2. Valoración '!$Z$6:$Z$2261,$F18))</f>
        <v/>
      </c>
      <c r="H18" s="28">
        <f>IF($C$5="(Todos los procesos)",COUNTIF('2. Valoración '!$AG$6:$AG$2261,$F18),COUNTIFS('2. Valoración '!$E$6:$E$2261,$C$5,'2. Valoración '!$AG$6:$AG$2261,$F18))</f>
        <v/>
      </c>
    </row>
    <row r="19" ht="30" customHeight="1" s="54">
      <c r="B19" s="13" t="inlineStr">
        <is>
          <t>[SW] Aplicaciones (software)</t>
        </is>
      </c>
      <c r="C19" s="28">
        <f>IF($C$5="(Todos los procesos)",COUNTIF(MgTipo,$B19),COUNTIFS('1. Matriz de Activos'!$G$6:$G$239,$C$5,MgTipo,$B19))</f>
        <v/>
      </c>
      <c r="D19" s="28">
        <f>IF($C$5="(Todos los procesos)",COUNTIFS(MgTipo,$B19,MgValorAct,"&gt;=4"),COUNTIFS('1. Matriz de Activos'!$G$6:$G$239,$C$5,MgTipo,$B19,MgValorAct,"&gt;=4"))</f>
        <v/>
      </c>
      <c r="F19" s="42" t="inlineStr">
        <is>
          <t>Bajo</t>
        </is>
      </c>
      <c r="G19" s="28">
        <f>IF($C$5="(Todos los procesos)",COUNTIF('2. Valoración '!$Z$6:$Z$2261,$F19),COUNTIFS('2. Valoración '!$E$6:$E$2261,$C$5,'2. Valoración '!$Z$6:$Z$2261,$F19))</f>
        <v/>
      </c>
      <c r="H19" s="28">
        <f>IF($C$5="(Todos los procesos)",COUNTIF('2. Valoración '!$AG$6:$AG$2261,$F19),COUNTIFS('2. Valoración '!$E$6:$E$2261,$C$5,'2. Valoración '!$AG$6:$AG$2261,$F19))</f>
        <v/>
      </c>
    </row>
    <row r="20" ht="30" customHeight="1" s="54">
      <c r="B20" s="13" t="inlineStr">
        <is>
          <t>[HW] Equipamiento informático (hardware)</t>
        </is>
      </c>
      <c r="C20" s="28">
        <f>IF($C$5="(Todos los procesos)",COUNTIF(MgTipo,$B20),COUNTIFS('1. Matriz de Activos'!$G$6:$G$239,$C$5,MgTipo,$B20))</f>
        <v/>
      </c>
      <c r="D20" s="28">
        <f>IF($C$5="(Todos los procesos)",COUNTIFS(MgTipo,$B20,MgValorAct,"&gt;=4"),COUNTIFS('1. Matriz de Activos'!$G$6:$G$239,$C$5,MgTipo,$B20,MgValorAct,"&gt;=4"))</f>
        <v/>
      </c>
    </row>
    <row r="21" ht="15" customHeight="1" s="54">
      <c r="B21" s="13" t="inlineStr">
        <is>
          <t>[COM] Redes de comunicaciones</t>
        </is>
      </c>
      <c r="C21" s="28">
        <f>IF($C$5="(Todos los procesos)",COUNTIF(MgTipo,$B21),COUNTIFS('1. Matriz de Activos'!$G$6:$G$239,$C$5,MgTipo,$B21))</f>
        <v/>
      </c>
      <c r="D21" s="28">
        <f>IF($C$5="(Todos los procesos)",COUNTIFS(MgTipo,$B21,MgValorAct,"&gt;=4"),COUNTIFS('1. Matriz de Activos'!$G$6:$G$239,$C$5,MgTipo,$B21,MgValorAct,"&gt;=4"))</f>
        <v/>
      </c>
    </row>
    <row r="22" ht="15" customHeight="1" s="54">
      <c r="B22" s="13" t="inlineStr">
        <is>
          <t>[Media] Soportes de información</t>
        </is>
      </c>
      <c r="C22" s="28">
        <f>IF($C$5="(Todos los procesos)",COUNTIF(MgTipo,$B22),COUNTIFS('1. Matriz de Activos'!$G$6:$G$239,$C$5,MgTipo,$B22))</f>
        <v/>
      </c>
      <c r="D22" s="28">
        <f>IF($C$5="(Todos los procesos)",COUNTIFS(MgTipo,$B22,MgValorAct,"&gt;=4"),COUNTIFS('1. Matriz de Activos'!$G$6:$G$239,$C$5,MgTipo,$B22,MgValorAct,"&gt;=4"))</f>
        <v/>
      </c>
    </row>
    <row r="23" ht="15" customHeight="1" s="54">
      <c r="B23" s="13" t="inlineStr">
        <is>
          <t>[AUX] Equipamiento auxiliar</t>
        </is>
      </c>
      <c r="C23" s="28">
        <f>IF($C$5="(Todos los procesos)",COUNTIF(MgTipo,$B23),COUNTIFS('1. Matriz de Activos'!$G$6:$G$239,$C$5,MgTipo,$B23))</f>
        <v/>
      </c>
      <c r="D23" s="28">
        <f>IF($C$5="(Todos los procesos)",COUNTIFS(MgTipo,$B23,MgValorAct,"&gt;=4"),COUNTIFS('1. Matriz de Activos'!$G$6:$G$239,$C$5,MgTipo,$B23,MgValorAct,"&gt;=4"))</f>
        <v/>
      </c>
    </row>
    <row r="24" ht="15" customHeight="1" s="54">
      <c r="B24" s="13" t="inlineStr">
        <is>
          <t>[L] Instalaciones</t>
        </is>
      </c>
      <c r="C24" s="28">
        <f>IF($C$5="(Todos los procesos)",COUNTIF(MgTipo,$B24),COUNTIFS('1. Matriz de Activos'!$G$6:$G$239,$C$5,MgTipo,$B24))</f>
        <v/>
      </c>
      <c r="D24" s="28">
        <f>IF($C$5="(Todos los procesos)",COUNTIFS(MgTipo,$B24,MgValorAct,"&gt;=4"),COUNTIFS('1. Matriz de Activos'!$G$6:$G$239,$C$5,MgTipo,$B24,MgValorAct,"&gt;=4"))</f>
        <v/>
      </c>
    </row>
    <row r="25" ht="15" customHeight="1" s="54">
      <c r="B25" s="13" t="inlineStr">
        <is>
          <t>[P] Personal</t>
        </is>
      </c>
      <c r="C25" s="28">
        <f>IF($C$5="(Todos los procesos)",COUNTIF(MgTipo,$B25),COUNTIFS('1. Matriz de Activos'!$G$6:$G$239,$C$5,MgTipo,$B25))</f>
        <v/>
      </c>
      <c r="D25" s="28">
        <f>IF($C$5="(Todos los procesos)",COUNTIFS(MgTipo,$B25,MgValorAct,"&gt;=4"),COUNTIFS('1. Matriz de Activos'!$G$6:$G$239,$C$5,MgTipo,$B25,MgValorAct,"&gt;=4"))</f>
        <v/>
      </c>
    </row>
    <row r="28" ht="20" customHeight="1" s="54">
      <c r="B28" s="3" t="inlineStr">
        <is>
          <t>RIESGOS POR GRUPO DE AMENAZA</t>
        </is>
      </c>
      <c r="C28" s="4" t="n"/>
      <c r="D28" s="4" t="n"/>
      <c r="F28" s="3" t="inlineStr">
        <is>
          <t>MADUREZ DE LOS CONTROLES REGISTRADA</t>
        </is>
      </c>
      <c r="G28" s="4" t="n"/>
    </row>
    <row r="29" ht="26" customHeight="1" s="54">
      <c r="B29" s="5" t="inlineStr">
        <is>
          <t>Grupo MAGERIT</t>
        </is>
      </c>
      <c r="C29" s="5" t="inlineStr">
        <is>
          <t>Riesgos</t>
        </is>
      </c>
      <c r="D29" s="5" t="inlineStr">
        <is>
          <t>Alto o Crítico</t>
        </is>
      </c>
      <c r="F29" s="5" t="inlineStr">
        <is>
          <t>Nivel de madurez</t>
        </is>
      </c>
      <c r="G29" s="5" t="inlineStr">
        <is>
          <t>Riesgos</t>
        </is>
      </c>
    </row>
    <row r="30" ht="30" customHeight="1" s="54">
      <c r="B30" s="13" t="inlineStr">
        <is>
          <t>[A] Ataques intencionados</t>
        </is>
      </c>
      <c r="C30" s="28">
        <f>IF($C$5="(Todos los procesos)",COUNTIF('2. Valoración '!$J$6:$J$2261,$B30),COUNTIFS('2. Valoración '!$E$6:$E$2261,$C$5,'2. Valoración '!$J$6:$J$2261,$B30))</f>
        <v/>
      </c>
      <c r="D30" s="28">
        <f>IF($C$5="(Todos los procesos)",COUNTIFS('2. Valoración '!$J$6:$J$2261,$B30,'2. Valoración '!$Z$6:$Z$2261,"Alto")+COUNTIFS('2. Valoración '!$J$6:$J$2261,$B30,'2. Valoración '!$Z$6:$Z$2261,"Crítico"),COUNTIFS('2. Valoración '!$E$6:$E$2261,$C$5,'2. Valoración '!$J$6:$J$2261,$B30,'2. Valoración '!$Z$6:$Z$2261,"Alto")+COUNTIFS('2. Valoración '!$E$6:$E$2261,$C$5,'2. Valoración '!$J$6:$J$2261,$B30,'2. Valoración '!$Z$6:$Z$2261,"Crítico"))</f>
        <v/>
      </c>
      <c r="F30" s="13" t="inlineStr">
        <is>
          <t>L0 — Inexistente</t>
        </is>
      </c>
      <c r="G30" s="28">
        <f>IF($C$5="(Todos los procesos)",COUNTIF('2. Valoración '!$AC$6:$AC$2261,$F30),COUNTIFS('2. Valoración '!$E$6:$E$2261,$C$5,'2. Valoración '!$AC$6:$AC$2261,$F30))</f>
        <v/>
      </c>
    </row>
    <row r="31" ht="30" customHeight="1" s="54">
      <c r="B31" s="13" t="inlineStr">
        <is>
          <t>[E] Errores y fallos no intencionados</t>
        </is>
      </c>
      <c r="C31" s="28">
        <f>IF($C$5="(Todos los procesos)",COUNTIF('2. Valoración '!$J$6:$J$2261,$B31),COUNTIFS('2. Valoración '!$E$6:$E$2261,$C$5,'2. Valoración '!$J$6:$J$2261,$B31))</f>
        <v/>
      </c>
      <c r="D31" s="28">
        <f>IF($C$5="(Todos los procesos)",COUNTIFS('2. Valoración '!$J$6:$J$2261,$B31,'2. Valoración '!$Z$6:$Z$2261,"Alto")+COUNTIFS('2. Valoración '!$J$6:$J$2261,$B31,'2. Valoración '!$Z$6:$Z$2261,"Crítico"),COUNTIFS('2. Valoración '!$E$6:$E$2261,$C$5,'2. Valoración '!$J$6:$J$2261,$B31,'2. Valoración '!$Z$6:$Z$2261,"Alto")+COUNTIFS('2. Valoración '!$E$6:$E$2261,$C$5,'2. Valoración '!$J$6:$J$2261,$B31,'2. Valoración '!$Z$6:$Z$2261,"Crítico"))</f>
        <v/>
      </c>
      <c r="F31" s="13" t="inlineStr">
        <is>
          <t>L1 — Inicial / ad hoc</t>
        </is>
      </c>
      <c r="G31" s="28">
        <f>IF($C$5="(Todos los procesos)",COUNTIF('2. Valoración '!$AC$6:$AC$2261,$F31),COUNTIFS('2. Valoración '!$E$6:$E$2261,$C$5,'2. Valoración '!$AC$6:$AC$2261,$F31))</f>
        <v/>
      </c>
    </row>
    <row r="32" ht="45" customHeight="1" s="54">
      <c r="B32" s="13" t="inlineStr">
        <is>
          <t>[I] De origen industrial</t>
        </is>
      </c>
      <c r="C32" s="28">
        <f>IF($C$5="(Todos los procesos)",COUNTIF('2. Valoración '!$J$6:$J$2261,$B32),COUNTIFS('2. Valoración '!$E$6:$E$2261,$C$5,'2. Valoración '!$J$6:$J$2261,$B32))</f>
        <v/>
      </c>
      <c r="D32" s="28">
        <f>IF($C$5="(Todos los procesos)",COUNTIFS('2. Valoración '!$J$6:$J$2261,$B32,'2. Valoración '!$Z$6:$Z$2261,"Alto")+COUNTIFS('2. Valoración '!$J$6:$J$2261,$B32,'2. Valoración '!$Z$6:$Z$2261,"Crítico"),COUNTIFS('2. Valoración '!$E$6:$E$2261,$C$5,'2. Valoración '!$J$6:$J$2261,$B32,'2. Valoración '!$Z$6:$Z$2261,"Alto")+COUNTIFS('2. Valoración '!$E$6:$E$2261,$C$5,'2. Valoración '!$J$6:$J$2261,$B32,'2. Valoración '!$Z$6:$Z$2261,"Crítico"))</f>
        <v/>
      </c>
      <c r="F32" s="13" t="inlineStr">
        <is>
          <t>L2 — Reproducible pero intuitivo</t>
        </is>
      </c>
      <c r="G32" s="28">
        <f>IF($C$5="(Todos los procesos)",COUNTIF('2. Valoración '!$AC$6:$AC$2261,$F32),COUNTIFS('2. Valoración '!$E$6:$E$2261,$C$5,'2. Valoración '!$AC$6:$AC$2261,$F32))</f>
        <v/>
      </c>
    </row>
    <row r="33" ht="30" customHeight="1" s="54">
      <c r="B33" s="13" t="inlineStr">
        <is>
          <t>[N] Desastres naturales</t>
        </is>
      </c>
      <c r="C33" s="28">
        <f>IF($C$5="(Todos los procesos)",COUNTIF('2. Valoración '!$J$6:$J$2261,$B33),COUNTIFS('2. Valoración '!$E$6:$E$2261,$C$5,'2. Valoración '!$J$6:$J$2261,$B33))</f>
        <v/>
      </c>
      <c r="D33" s="28">
        <f>IF($C$5="(Todos los procesos)",COUNTIFS('2. Valoración '!$J$6:$J$2261,$B33,'2. Valoración '!$Z$6:$Z$2261,"Alto")+COUNTIFS('2. Valoración '!$J$6:$J$2261,$B33,'2. Valoración '!$Z$6:$Z$2261,"Crítico"),COUNTIFS('2. Valoración '!$E$6:$E$2261,$C$5,'2. Valoración '!$J$6:$J$2261,$B33,'2. Valoración '!$Z$6:$Z$2261,"Alto")+COUNTIFS('2. Valoración '!$E$6:$E$2261,$C$5,'2. Valoración '!$J$6:$J$2261,$B33,'2. Valoración '!$Z$6:$Z$2261,"Crítico"))</f>
        <v/>
      </c>
      <c r="F33" s="13" t="inlineStr">
        <is>
          <t>L3 — Proceso definido</t>
        </is>
      </c>
      <c r="G33" s="28">
        <f>IF($C$5="(Todos los procesos)",COUNTIF('2. Valoración '!$AC$6:$AC$2261,$F33),COUNTIFS('2. Valoración '!$E$6:$E$2261,$C$5,'2. Valoración '!$AC$6:$AC$2261,$F33))</f>
        <v/>
      </c>
    </row>
    <row r="34" ht="45" customHeight="1" s="54">
      <c r="F34" s="13" t="inlineStr">
        <is>
          <t>L4 — Gestionado y medible</t>
        </is>
      </c>
      <c r="G34" s="28">
        <f>IF($C$5="(Todos los procesos)",COUNTIF('2. Valoración '!$AC$6:$AC$2261,$F34),COUNTIFS('2. Valoración '!$E$6:$E$2261,$C$5,'2. Valoración '!$AC$6:$AC$2261,$F34))</f>
        <v/>
      </c>
    </row>
    <row r="35" ht="30" customHeight="1" s="54">
      <c r="F35" s="13" t="inlineStr">
        <is>
          <t>L5 — Optimizado</t>
        </is>
      </c>
      <c r="G35" s="28">
        <f>IF($C$5="(Todos los procesos)",COUNTIF('2. Valoración '!$AC$6:$AC$2261,$F35),COUNTIFS('2. Valoración '!$E$6:$E$2261,$C$5,'2. Valoración '!$AC$6:$AC$2261,$F35))</f>
        <v/>
      </c>
    </row>
    <row r="38" ht="20" customHeight="1" s="54">
      <c r="B38" s="3" t="inlineStr">
        <is>
          <t>AMENAZAS CON MÁS RIESGOS ALTO O CRÍTICO EN EL PROCESO SELECCIONADO</t>
        </is>
      </c>
      <c r="C38" s="4" t="n"/>
      <c r="D38" s="4" t="n"/>
      <c r="E38" s="4" t="n"/>
    </row>
    <row r="39" ht="26" customHeight="1" s="54">
      <c r="B39" s="5" t="inlineStr">
        <is>
          <t>Código</t>
        </is>
      </c>
      <c r="C39" s="5" t="inlineStr">
        <is>
          <t>Amenaza</t>
        </is>
      </c>
      <c r="D39" s="5" t="inlineStr">
        <is>
          <t>Riesgos Alto o Crítico</t>
        </is>
      </c>
      <c r="E39" s="5" t="inlineStr">
        <is>
          <t>Riesgos totales</t>
        </is>
      </c>
    </row>
    <row r="40" ht="30" customHeight="1" s="54">
      <c r="B40" s="19">
        <f>IFERROR(INDEX('Amenazas MAGERIT'!$B$6:$B$62,MATCH(LARGE(RankProc,1),RankProc,0)),"")</f>
        <v/>
      </c>
      <c r="C40" s="64">
        <f>IFERROR(INDEX('Amenazas MAGERIT'!$C$6:$C$62,MATCH(LARGE(RankProc,1),RankProc,0)),"")</f>
        <v/>
      </c>
      <c r="D40" s="28">
        <f>IFERROR(INT(LARGE(RankProc,1)),"")</f>
        <v/>
      </c>
      <c r="E40" s="28">
        <f>IFERROR(INDEX(TotProc,MATCH(LARGE(RankProc,1),RankProc,0)),"")</f>
        <v/>
      </c>
    </row>
    <row r="41" ht="45" customHeight="1" s="54">
      <c r="B41" s="19">
        <f>IFERROR(INDEX('Amenazas MAGERIT'!$B$6:$B$62,MATCH(LARGE(RankProc,2),RankProc,0)),"")</f>
        <v/>
      </c>
      <c r="C41" s="64">
        <f>IFERROR(INDEX('Amenazas MAGERIT'!$C$6:$C$62,MATCH(LARGE(RankProc,2),RankProc,0)),"")</f>
        <v/>
      </c>
      <c r="D41" s="28">
        <f>IFERROR(INT(LARGE(RankProc,2)),"")</f>
        <v/>
      </c>
      <c r="E41" s="28">
        <f>IFERROR(INDEX(TotProc,MATCH(LARGE(RankProc,2),RankProc,0)),"")</f>
        <v/>
      </c>
    </row>
    <row r="42" ht="30" customHeight="1" s="54">
      <c r="B42" s="19">
        <f>IFERROR(INDEX('Amenazas MAGERIT'!$B$6:$B$62,MATCH(LARGE(RankProc,3),RankProc,0)),"")</f>
        <v/>
      </c>
      <c r="C42" s="64">
        <f>IFERROR(INDEX('Amenazas MAGERIT'!$C$6:$C$62,MATCH(LARGE(RankProc,3),RankProc,0)),"")</f>
        <v/>
      </c>
      <c r="D42" s="28">
        <f>IFERROR(INT(LARGE(RankProc,3)),"")</f>
        <v/>
      </c>
      <c r="E42" s="28">
        <f>IFERROR(INDEX(TotProc,MATCH(LARGE(RankProc,3),RankProc,0)),"")</f>
        <v/>
      </c>
    </row>
    <row r="43" ht="45" customHeight="1" s="54">
      <c r="B43" s="19">
        <f>IFERROR(INDEX('Amenazas MAGERIT'!$B$6:$B$62,MATCH(LARGE(RankProc,4),RankProc,0)),"")</f>
        <v/>
      </c>
      <c r="C43" s="64">
        <f>IFERROR(INDEX('Amenazas MAGERIT'!$C$6:$C$62,MATCH(LARGE(RankProc,4),RankProc,0)),"")</f>
        <v/>
      </c>
      <c r="D43" s="28">
        <f>IFERROR(INT(LARGE(RankProc,4)),"")</f>
        <v/>
      </c>
      <c r="E43" s="28">
        <f>IFERROR(INDEX(TotProc,MATCH(LARGE(RankProc,4),RankProc,0)),"")</f>
        <v/>
      </c>
    </row>
    <row r="44" ht="45" customHeight="1" s="54">
      <c r="B44" s="19">
        <f>IFERROR(INDEX('Amenazas MAGERIT'!$B$6:$B$62,MATCH(LARGE(RankProc,5),RankProc,0)),"")</f>
        <v/>
      </c>
      <c r="C44" s="64">
        <f>IFERROR(INDEX('Amenazas MAGERIT'!$C$6:$C$62,MATCH(LARGE(RankProc,5),RankProc,0)),"")</f>
        <v/>
      </c>
      <c r="D44" s="28">
        <f>IFERROR(INT(LARGE(RankProc,5)),"")</f>
        <v/>
      </c>
      <c r="E44" s="28">
        <f>IFERROR(INDEX(TotProc,MATCH(LARGE(RankProc,5),RankProc,0)),"")</f>
        <v/>
      </c>
    </row>
    <row r="45" ht="15" customHeight="1" s="54">
      <c r="B45" s="19">
        <f>IFERROR(INDEX('Amenazas MAGERIT'!$B$6:$B$62,MATCH(LARGE(RankProc,6),RankProc,0)),"")</f>
        <v/>
      </c>
      <c r="C45" s="64">
        <f>IFERROR(INDEX('Amenazas MAGERIT'!$C$6:$C$62,MATCH(LARGE(RankProc,6),RankProc,0)),"")</f>
        <v/>
      </c>
      <c r="D45" s="28">
        <f>IFERROR(INT(LARGE(RankProc,6)),"")</f>
        <v/>
      </c>
      <c r="E45" s="28">
        <f>IFERROR(INDEX(TotProc,MATCH(LARGE(RankProc,6),RankProc,0)),"")</f>
        <v/>
      </c>
    </row>
    <row r="46" ht="30" customHeight="1" s="54">
      <c r="B46" s="19">
        <f>IFERROR(INDEX('Amenazas MAGERIT'!$B$6:$B$62,MATCH(LARGE(RankProc,7),RankProc,0)),"")</f>
        <v/>
      </c>
      <c r="C46" s="64">
        <f>IFERROR(INDEX('Amenazas MAGERIT'!$C$6:$C$62,MATCH(LARGE(RankProc,7),RankProc,0)),"")</f>
        <v/>
      </c>
      <c r="D46" s="28">
        <f>IFERROR(INT(LARGE(RankProc,7)),"")</f>
        <v/>
      </c>
      <c r="E46" s="28">
        <f>IFERROR(INDEX(TotProc,MATCH(LARGE(RankProc,7),RankProc,0)),"")</f>
        <v/>
      </c>
    </row>
    <row r="47" ht="30" customHeight="1" s="54">
      <c r="B47" s="19">
        <f>IFERROR(INDEX('Amenazas MAGERIT'!$B$6:$B$62,MATCH(LARGE(RankProc,8),RankProc,0)),"")</f>
        <v/>
      </c>
      <c r="C47" s="64">
        <f>IFERROR(INDEX('Amenazas MAGERIT'!$C$6:$C$62,MATCH(LARGE(RankProc,8),RankProc,0)),"")</f>
        <v/>
      </c>
      <c r="D47" s="28">
        <f>IFERROR(INT(LARGE(RankProc,8)),"")</f>
        <v/>
      </c>
      <c r="E47" s="28">
        <f>IFERROR(INDEX(TotProc,MATCH(LARGE(RankProc,8),RankProc,0)),"")</f>
        <v/>
      </c>
    </row>
    <row r="48" ht="30" customHeight="1" s="54">
      <c r="B48" s="19">
        <f>IFERROR(INDEX('Amenazas MAGERIT'!$B$6:$B$62,MATCH(LARGE(RankProc,9),RankProc,0)),"")</f>
        <v/>
      </c>
      <c r="C48" s="64">
        <f>IFERROR(INDEX('Amenazas MAGERIT'!$C$6:$C$62,MATCH(LARGE(RankProc,9),RankProc,0)),"")</f>
        <v/>
      </c>
      <c r="D48" s="28">
        <f>IFERROR(INT(LARGE(RankProc,9)),"")</f>
        <v/>
      </c>
      <c r="E48" s="28">
        <f>IFERROR(INDEX(TotProc,MATCH(LARGE(RankProc,9),RankProc,0)),"")</f>
        <v/>
      </c>
    </row>
    <row r="49" ht="15" customHeight="1" s="54">
      <c r="B49" s="19">
        <f>IFERROR(INDEX('Amenazas MAGERIT'!$B$6:$B$62,MATCH(LARGE(RankProc,10),RankProc,0)),"")</f>
        <v/>
      </c>
      <c r="C49" s="64">
        <f>IFERROR(INDEX('Amenazas MAGERIT'!$C$6:$C$62,MATCH(LARGE(RankProc,10),RankProc,0)),"")</f>
        <v/>
      </c>
      <c r="D49" s="28">
        <f>IFERROR(INT(LARGE(RankProc,10)),"")</f>
        <v/>
      </c>
      <c r="E49" s="28">
        <f>IFERROR(INDEX(TotProc,MATCH(LARGE(RankProc,10),RankProc,0)),"")</f>
        <v/>
      </c>
    </row>
    <row r="69" ht="15" customHeight="1" s="54">
      <c r="B69" s="2" t="inlineStr">
        <is>
          <t>Todos los indicadores se recalculan al cambiar el proceso en la celda amarilla. Fuentes: MAGERIT v3.0 e ISO/IEC 27001:2022 Anexo A.</t>
        </is>
      </c>
    </row>
  </sheetData>
  <mergeCells count="9">
    <mergeCell ref="C12:D12"/>
    <mergeCell ref="C10:D10"/>
    <mergeCell ref="C8:D8"/>
    <mergeCell ref="C11:D11"/>
    <mergeCell ref="C9:D9"/>
    <mergeCell ref="C5:F5"/>
    <mergeCell ref="C3:D3"/>
    <mergeCell ref="G3:H3"/>
    <mergeCell ref="E3:F3"/>
  </mergeCells>
  <dataValidations count="1">
    <dataValidation sqref="C5" showDropDown="0" showInputMessage="0" showErrorMessage="0" allowBlank="0" type="list">
      <formula1>LstProcesoTodos</formula1>
    </dataValidation>
  </dataValidations>
  <pageMargins left="0.75" right="0.75" top="1" bottom="1" header="0.5" footer="0.5"/>
  <headerFooter>
    <oddHeader/>
    <oddFooter>&amp;L&amp;"Aptos"&amp;10 &amp;K000000_x000d_# DOCUMENTO PRIVADO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H33"/>
  <sheetViews>
    <sheetView showGridLines="0" workbookViewId="0">
      <selection activeCell="C11" sqref="C11"/>
    </sheetView>
  </sheetViews>
  <sheetFormatPr baseColWidth="10" defaultColWidth="8.7265625" defaultRowHeight="14.5"/>
  <cols>
    <col width="2.36328125" customWidth="1" style="54" min="1" max="1"/>
    <col width="34" customWidth="1" style="54" min="2" max="2"/>
    <col width="66" customWidth="1" style="54" min="3" max="3"/>
    <col width="20" customWidth="1" style="54" min="4" max="7"/>
  </cols>
  <sheetData>
    <row r="1" ht="21.5" customHeight="1" s="54">
      <c r="B1" s="1" t="inlineStr">
        <is>
          <t>ANÁLISIS DE RIESGOS SEGÚN MAGERIT v3.0 — GUÍA DE USO</t>
        </is>
      </c>
    </row>
    <row r="2" ht="15" customHeight="1" s="54">
      <c r="B2" s="2" t="inlineStr">
        <is>
          <t>Cuántico adopta MAGERIT de manera integral. Esta hoja explica para qué sirve cada hoja y en qué orden se trabaja.</t>
        </is>
      </c>
    </row>
    <row r="3" ht="28" customHeight="1" s="54">
      <c r="B3" s="17" t="inlineStr">
        <is>
          <t>Código de color:</t>
        </is>
      </c>
      <c r="C3" s="55" t="inlineStr">
        <is>
          <t>Amarillo = Campo de entrada — se selecciona de una lista</t>
        </is>
      </c>
      <c r="D3" s="56" t="n"/>
      <c r="E3" s="58" t="inlineStr">
        <is>
          <t>Lila = Calculado automáticamente — no escribir encima</t>
        </is>
      </c>
      <c r="F3" s="56" t="n"/>
      <c r="G3" s="57" t="inlineStr">
        <is>
          <t>Gris = Dato de la norma MAGERIT — no modificar</t>
        </is>
      </c>
      <c r="H3" s="56" t="n"/>
    </row>
    <row r="5" ht="20" customHeight="1" s="54">
      <c r="B5" s="3" t="inlineStr">
        <is>
          <t>QUÉ CONTIENE ESTE ARCHIVO</t>
        </is>
      </c>
      <c r="C5" s="4" t="n"/>
      <c r="D5" s="4" t="n"/>
    </row>
    <row r="6" ht="24" customHeight="1" s="54">
      <c r="B6" s="5" t="inlineStr">
        <is>
          <t>Hoja</t>
        </is>
      </c>
      <c r="C6" s="5" t="inlineStr">
        <is>
          <t>Para qué sirve</t>
        </is>
      </c>
      <c r="D6" s="5" t="inlineStr">
        <is>
          <t>Su papel</t>
        </is>
      </c>
    </row>
    <row r="7" ht="30" customHeight="1" s="54">
      <c r="B7" s="37" t="inlineStr">
        <is>
          <t>Dashboard</t>
        </is>
      </c>
      <c r="C7" s="13" t="inlineStr">
        <is>
          <t>Indicadores de riesgo filtrables por proceso. Es la vista de arranque y la que se lleva al Comité.</t>
        </is>
      </c>
      <c r="D7" s="59" t="inlineStr">
        <is>
          <t>Ver</t>
        </is>
      </c>
    </row>
    <row r="8" ht="30" customHeight="1" s="54">
      <c r="B8" s="37" t="inlineStr">
        <is>
          <t>Matriz de Activos MAGERIT</t>
        </is>
      </c>
      <c r="C8" s="13" t="inlineStr">
        <is>
          <t>El inventario: 234 activos clasificados por tipo MAGERIT y valorados en las tres dimensiones.</t>
        </is>
      </c>
      <c r="D8" s="21" t="inlineStr">
        <is>
          <t>Diligenciar</t>
        </is>
      </c>
    </row>
    <row r="9" ht="30" customHeight="1" s="54">
      <c r="B9" s="37" t="inlineStr">
        <is>
          <t>Agregar Activo</t>
        </is>
      </c>
      <c r="C9" s="13" t="inlineStr">
        <is>
          <t>Muestra qué activos faltan por valorar y genera, listas para copiar, las filas que hay que crear en la Valoración.</t>
        </is>
      </c>
      <c r="D9" s="21" t="inlineStr">
        <is>
          <t>Usar</t>
        </is>
      </c>
    </row>
    <row r="10" ht="30" customHeight="1" s="54">
      <c r="B10" s="37" t="inlineStr">
        <is>
          <t>Valoración MAGERIT</t>
        </is>
      </c>
      <c r="C10" s="13" t="inlineStr">
        <is>
          <t>La evaluación de riesgos: impacto por dimensión, riesgo anual y riesgo residual según la madurez de los controles.</t>
        </is>
      </c>
      <c r="D10" s="21" t="inlineStr">
        <is>
          <t>Diligenciar</t>
        </is>
      </c>
    </row>
    <row r="11" ht="15" customHeight="1" s="54">
      <c r="B11" s="37" t="inlineStr">
        <is>
          <t>Matrices de Riesgo</t>
        </is>
      </c>
      <c r="C11" s="13" t="inlineStr">
        <is>
          <t>Los mapas de calor inherente y residual, con el recuento por nivel.</t>
        </is>
      </c>
      <c r="D11" s="59" t="inlineStr">
        <is>
          <t>Ver</t>
        </is>
      </c>
    </row>
    <row r="12" ht="30" customHeight="1" s="54">
      <c r="B12" s="37" t="inlineStr">
        <is>
          <t>Amenazas MAGERIT</t>
        </is>
      </c>
      <c r="C12" s="13" t="inlineStr">
        <is>
          <t>Las 57 amenazas con los tipos de activo y dimensiones que la norma les asigna. Aquí se ajusta la degradación y la frecuencia.</t>
        </is>
      </c>
      <c r="D12" s="21" t="inlineStr">
        <is>
          <t>Diligenciar</t>
        </is>
      </c>
    </row>
    <row r="13" ht="30" customHeight="1" s="54">
      <c r="B13" s="37" t="inlineStr">
        <is>
          <t>Tipos de Activo MAGERIT</t>
        </is>
      </c>
      <c r="C13" s="13" t="inlineStr">
        <is>
          <t>Los 10 tipos y 137 subtipos oficiales, con la cantidad de activos que hay en cada uno.</t>
        </is>
      </c>
      <c r="D13" s="59" t="inlineStr">
        <is>
          <t>Referencia</t>
        </is>
      </c>
    </row>
    <row r="14" ht="30" customHeight="1" s="54">
      <c r="B14" s="37" t="inlineStr">
        <is>
          <t>Escalas MAGERIT</t>
        </is>
      </c>
      <c r="C14" s="13" t="inlineStr">
        <is>
          <t>Todas las listas y reglas de cálculo. Cambiar un valor aquí recalcula la valoración entera.</t>
        </is>
      </c>
      <c r="D14" s="59" t="inlineStr">
        <is>
          <t>Parámetros</t>
        </is>
      </c>
    </row>
    <row r="15" ht="15" customHeight="1" s="54">
      <c r="B15" s="37" t="inlineStr">
        <is>
          <t>Listas</t>
        </is>
      </c>
      <c r="C15" s="13" t="inlineStr">
        <is>
          <t>Alimenta los desplegables. No se modifica sin autorización.</t>
        </is>
      </c>
      <c r="D15" s="59" t="inlineStr">
        <is>
          <t>Apoyo</t>
        </is>
      </c>
    </row>
    <row r="16" ht="30" customHeight="1" s="54">
      <c r="B16" s="37" t="inlineStr">
        <is>
          <t>Comparativa de Modelos</t>
        </is>
      </c>
      <c r="C16" s="13" t="inlineStr">
        <is>
          <t>Registro de la comparación entre el modelo anterior y MAGERIT. Sustenta la decisión ante el auditor.</t>
        </is>
      </c>
      <c r="D16" s="59" t="inlineStr">
        <is>
          <t>Evidencia</t>
        </is>
      </c>
    </row>
    <row r="18" ht="20" customHeight="1" s="54">
      <c r="B18" s="3" t="inlineStr">
        <is>
          <t>EN QUÉ ORDEN SE TRABAJA</t>
        </is>
      </c>
      <c r="C18" s="4" t="n"/>
      <c r="D18" s="4" t="n"/>
    </row>
    <row r="19" ht="24" customHeight="1" s="54">
      <c r="B19" s="5" t="inlineStr">
        <is>
          <t>Paso</t>
        </is>
      </c>
      <c r="C19" s="5" t="inlineStr">
        <is>
          <t>Qué se hace</t>
        </is>
      </c>
      <c r="D19" s="5" t="n"/>
    </row>
    <row r="20" ht="60" customHeight="1" s="54">
      <c r="B20" s="37" t="inlineStr">
        <is>
          <t>1 · Mantener el inventario</t>
        </is>
      </c>
      <c r="C20" s="13" t="inlineStr">
        <is>
          <t>En «Matriz de Activos MAGERIT» se registra cada activo nuevo, se clasifica con los desplegables de tipo y subtipo, se completan sus atributos y se valora en Disponibilidad, Integridad y Confidencialidad. El valor del activo se calcula solo.</t>
        </is>
      </c>
      <c r="D20" s="45" t="n"/>
    </row>
    <row r="21" ht="45" customHeight="1" s="54">
      <c r="B21" s="37" t="inlineStr">
        <is>
          <t>2 · Ver qué falta por valorar</t>
        </is>
      </c>
      <c r="C21" s="13" t="inlineStr">
        <is>
          <t>En «Agregar Activo» se filtra por proceso, tipo y subtipo. La columna «Situación» dice si a cada activo le faltan filas en la Valoración y cuántas.</t>
        </is>
      </c>
      <c r="D21" s="45" t="n"/>
    </row>
    <row r="22" ht="30" customHeight="1" s="54">
      <c r="B22" s="37" t="inlineStr">
        <is>
          <t>3 · Crear las filas de riesgo</t>
        </is>
      </c>
      <c r="C22" s="13" t="inlineStr">
        <is>
          <t>En el bloque 3 de esa misma hoja se elige el activo, se filtra «¿Aplica?» por «Sí» y se copian las filas a «Valoración MAGERIT».</t>
        </is>
      </c>
      <c r="D22" s="45" t="n"/>
    </row>
    <row r="23" ht="30" customHeight="1" s="54">
      <c r="B23" s="37" t="inlineStr">
        <is>
          <t>4 · Ajustar degradación y frecuencia</t>
        </is>
      </c>
      <c r="C23" s="13" t="inlineStr">
        <is>
          <t>Se hace en «Amenazas MAGERIT», no fila por fila: lo que se cambie ahí se propaga a todos los riesgos de esa amenaza.</t>
        </is>
      </c>
      <c r="D23" s="45" t="n"/>
    </row>
    <row r="24" ht="30" customHeight="1" s="54">
      <c r="B24" s="37" t="inlineStr">
        <is>
          <t>5 · Registrar la madurez de los controles</t>
        </is>
      </c>
      <c r="C24" s="13" t="inlineStr">
        <is>
          <t>En «Valoración MAGERIT», columna amarilla. Es lo único que separa el riesgo residual del inherente.</t>
        </is>
      </c>
      <c r="D24" s="45" t="n"/>
    </row>
    <row r="25" ht="30" customHeight="1" s="54">
      <c r="B25" s="37" t="inlineStr">
        <is>
          <t>6 · Revisar y decidir</t>
        </is>
      </c>
      <c r="C25" s="13" t="inlineStr">
        <is>
          <t>El Dashboard y las Matrices de Riesgo dan la lectura por proceso y el mapa de calor para llevar al Comité.</t>
        </is>
      </c>
      <c r="D25" s="45" t="n"/>
    </row>
    <row r="27" ht="20" customHeight="1" s="54">
      <c r="B27" s="3" t="inlineStr">
        <is>
          <t>RESUMEN NUMÉRICO</t>
        </is>
      </c>
      <c r="C27" s="4" t="n"/>
      <c r="D27" s="4" t="n"/>
      <c r="E27" s="4" t="n"/>
      <c r="F27" s="4" t="n"/>
    </row>
    <row r="28" ht="26" customHeight="1" s="54">
      <c r="B28" s="63" t="inlineStr">
        <is>
          <t>Activos inventariados</t>
        </is>
      </c>
      <c r="C28" s="63" t="inlineStr">
        <is>
          <t>Tipos MAGERIT en uso</t>
        </is>
      </c>
      <c r="D28" s="63" t="inlineStr">
        <is>
          <t>Amenazas del catálogo</t>
        </is>
      </c>
      <c r="E28" s="63" t="inlineStr">
        <is>
          <t>Activos valorados</t>
        </is>
      </c>
      <c r="F28" s="63" t="inlineStr">
        <is>
          <t>Riesgos evaluados</t>
        </is>
      </c>
    </row>
    <row r="29" ht="34" customHeight="1" s="54">
      <c r="B29" s="46" t="n">
        <v>234</v>
      </c>
      <c r="C29" s="46" t="n">
        <v>7</v>
      </c>
      <c r="D29" s="46" t="n">
        <v>57</v>
      </c>
      <c r="E29" s="46" t="n">
        <v>122</v>
      </c>
      <c r="F29" s="46" t="n">
        <v>2256</v>
      </c>
    </row>
    <row r="31" ht="15" customHeight="1" s="54">
      <c r="B31" s="2" t="inlineStr">
        <is>
          <t>Fuentes: MAGERIT v3.0, Libro I «Método» y Libro II «Catálogo de Elementos» (Ministerio de Hacienda y Administraciones Públicas de España, octubre de 2012), e ISO/IEC 27001:2022 Anexo A.</t>
        </is>
      </c>
    </row>
    <row r="33">
      <c r="B33" s="66" t="inlineStr">
        <is>
          <t>Novedad de esta versión: la eficacia que reduce el riesgo residual ya no se escribe riesgo por riesgo. Sale de la madurez real de los controles registrada en la hoja «4. Controles y Madurez»: cada amenaza toma la eficacia media de los controles que la mitigan. La columna de madurez en la hoja de Valoración queda como sobrescritura manual para casos puntuales.</t>
        </is>
      </c>
    </row>
  </sheetData>
  <mergeCells count="3">
    <mergeCell ref="C3:D3"/>
    <mergeCell ref="G3:H3"/>
    <mergeCell ref="E3:F3"/>
  </mergeCells>
  <pageMargins left="0.75" right="0.75" top="1" bottom="1" header="0.5" footer="0.5"/>
  <headerFooter>
    <oddHeader/>
    <oddFooter>&amp;L&amp;"Aptos"&amp;10 &amp;K000000_x000d_# DOCUMENTO PRIVADO</oddFooter>
    <evenHeader/>
    <evenFooter/>
    <firstHeader/>
    <firstFooter/>
  </headerFooter>
</worksheet>
</file>

<file path=xl/worksheets/sheet3.xml><?xml version="1.0" encoding="utf-8"?>
<worksheet xmlns="http://schemas.openxmlformats.org/spreadsheetml/2006/main">
  <sheetPr>
    <tabColor rgb="FF92D050"/>
    <outlinePr summaryBelow="1" summaryRight="1"/>
    <pageSetUpPr/>
  </sheetPr>
  <dimension ref="B1:U239"/>
  <sheetViews>
    <sheetView showGridLines="0" zoomScale="70" zoomScaleNormal="70" workbookViewId="0">
      <pane xSplit="3" ySplit="5" topLeftCell="G6" activePane="bottomRight" state="frozen"/>
      <selection pane="topRight" activeCell="A1" sqref="A1"/>
      <selection pane="bottomLeft" activeCell="A1" sqref="A1"/>
      <selection pane="bottomRight" activeCell="P6" sqref="P6"/>
    </sheetView>
  </sheetViews>
  <sheetFormatPr baseColWidth="10" defaultColWidth="8.7265625" defaultRowHeight="14.5"/>
  <cols>
    <col width="2.36328125" customWidth="1" style="54" min="1" max="1"/>
    <col width="11" customWidth="1" style="54" min="2" max="2"/>
    <col width="40" customWidth="1" style="54" min="3" max="5"/>
    <col width="44" customWidth="1" style="54" min="6" max="6"/>
    <col width="18" customWidth="1" style="54" min="7" max="7"/>
    <col width="22" customWidth="1" style="54" min="8" max="8"/>
    <col width="20" customWidth="1" style="54" min="9" max="9"/>
    <col width="11" customWidth="1" style="54" min="10" max="10"/>
    <col width="14" customWidth="1" style="54" min="11" max="11"/>
    <col width="16.08984375" customWidth="1" style="54" min="12" max="12"/>
    <col width="16.453125" customWidth="1" style="54" min="13" max="13"/>
    <col width="14.26953125" customWidth="1" style="54" min="14" max="14"/>
    <col width="27.36328125" customWidth="1" style="54" min="15" max="15"/>
    <col width="24" customWidth="1" style="54" min="16" max="16"/>
    <col width="40" customWidth="1" style="54" min="17" max="19"/>
    <col width="14.36328125" customWidth="1" style="54" min="20" max="20"/>
    <col width="14" customWidth="1" style="54" min="21" max="21"/>
  </cols>
  <sheetData>
    <row r="1" ht="21.5" customHeight="1" s="54">
      <c r="B1" s="1" t="inlineStr">
        <is>
          <t>MATRIZ DE ACTIVOS — ESTRUCTURA MAGERIT v3.0</t>
        </is>
      </c>
    </row>
    <row r="2" ht="15" customHeight="1" s="54">
      <c r="B2" s="2" t="inlineStr">
        <is>
          <t>Inventario reorganizado por tipo MAGERIT y valorado en Disponibilidad, Integridad y Confidencialidad (escala 0 a 5).</t>
        </is>
      </c>
    </row>
    <row r="3" ht="28" customHeight="1" s="54">
      <c r="B3" s="17" t="inlineStr">
        <is>
          <t>Código de color:</t>
        </is>
      </c>
      <c r="C3" s="55" t="inlineStr">
        <is>
          <t>Amarillo = Campo de entrada — se selecciona de una lista</t>
        </is>
      </c>
      <c r="D3" s="56" t="n"/>
      <c r="E3" s="58" t="inlineStr">
        <is>
          <t>Lila = Calculado automáticamente — no escribir encima</t>
        </is>
      </c>
      <c r="F3" s="56" t="n"/>
      <c r="G3" s="57" t="inlineStr">
        <is>
          <t>Gris = Dato de la norma MAGERIT — no modificar</t>
        </is>
      </c>
      <c r="H3" s="56" t="n"/>
    </row>
    <row r="5" ht="46" customHeight="1" s="54">
      <c r="B5" s="5" t="inlineStr">
        <is>
          <t>Código</t>
        </is>
      </c>
      <c r="C5" s="5" t="inlineStr">
        <is>
          <t>Nombre del activo</t>
        </is>
      </c>
      <c r="D5" s="5" t="inlineStr">
        <is>
          <t>Descripción</t>
        </is>
      </c>
      <c r="E5" s="5" t="inlineStr">
        <is>
          <t>Tipo</t>
        </is>
      </c>
      <c r="F5" s="5" t="inlineStr">
        <is>
          <t>Subtipo</t>
        </is>
      </c>
      <c r="G5" s="5" t="inlineStr">
        <is>
          <t>Proceso o Área</t>
        </is>
      </c>
      <c r="H5" s="5" t="inlineStr">
        <is>
          <t>Responsable (custodio)</t>
        </is>
      </c>
      <c r="I5" s="5" t="inlineStr">
        <is>
          <t>Propietario del activo</t>
        </is>
      </c>
      <c r="J5" s="5" t="inlineStr">
        <is>
          <t>Ubicación</t>
        </is>
      </c>
      <c r="K5" s="5" t="inlineStr">
        <is>
          <t>Entorno</t>
        </is>
      </c>
      <c r="L5" s="5" t="inlineStr">
        <is>
          <t>¿Contiene datos de cliente?</t>
        </is>
      </c>
      <c r="M5" s="5" t="inlineStr">
        <is>
          <t>¿Contiene datos personales (Ley 1581)?</t>
        </is>
      </c>
      <c r="N5" s="5" t="inlineStr">
        <is>
          <t>¿Está expuesto a Internet?</t>
        </is>
      </c>
      <c r="O5" s="5" t="inlineStr">
        <is>
          <t>Proveedor o subencargado</t>
        </is>
      </c>
      <c r="P5" s="5" t="inlineStr">
        <is>
          <t>Depende del activo superior</t>
        </is>
      </c>
      <c r="Q5" s="48" t="inlineStr">
        <is>
          <t>Valor en Disponibilidad</t>
        </is>
      </c>
      <c r="R5" s="48" t="inlineStr">
        <is>
          <t>Valor en Integridad</t>
        </is>
      </c>
      <c r="S5" s="48" t="inlineStr">
        <is>
          <t>Valor en Confidencialidad</t>
        </is>
      </c>
      <c r="T5" s="5" t="inlineStr">
        <is>
          <t>Valor del activo (0 a 5)</t>
        </is>
      </c>
      <c r="U5" s="5" t="inlineStr">
        <is>
          <t>Nivel del activo</t>
        </is>
      </c>
    </row>
    <row r="6" ht="30" customHeight="1" s="54">
      <c r="B6" s="59" t="inlineStr">
        <is>
          <t>TEC-008</t>
        </is>
      </c>
      <c r="C6" s="13" t="inlineStr">
        <is>
          <t>Backups-Diarios</t>
        </is>
      </c>
      <c r="D6" s="13" t="n"/>
      <c r="E6" s="20" t="inlineStr">
        <is>
          <t>[D] Datos / Información</t>
        </is>
      </c>
      <c r="F6" s="20" t="inlineStr">
        <is>
          <t>[backup] Copias de respaldo</t>
        </is>
      </c>
      <c r="G6" s="21" t="inlineStr">
        <is>
          <t>Gestión Tecnológica</t>
        </is>
      </c>
      <c r="H6" s="21" t="inlineStr">
        <is>
          <t>Gestión Tecnológica</t>
        </is>
      </c>
      <c r="I6" s="21" t="n"/>
      <c r="J6" s="21" t="inlineStr">
        <is>
          <t>Nube</t>
        </is>
      </c>
      <c r="K6" s="21" t="inlineStr">
        <is>
          <t>No aplica</t>
        </is>
      </c>
      <c r="L6" s="21" t="inlineStr">
        <is>
          <t>Por definir</t>
        </is>
      </c>
      <c r="M6" s="21" t="inlineStr">
        <is>
          <t>Por definir</t>
        </is>
      </c>
      <c r="N6" s="21" t="inlineStr">
        <is>
          <t>Por definir</t>
        </is>
      </c>
      <c r="O6" s="21" t="inlineStr">
        <is>
          <t>Amazon Web Services</t>
        </is>
      </c>
      <c r="P6" s="21" t="n"/>
      <c r="Q6" s="20" t="inlineStr">
        <is>
          <t>3 — Medio</t>
        </is>
      </c>
      <c r="R6" s="20" t="inlineStr">
        <is>
          <t>4 — Alto</t>
        </is>
      </c>
      <c r="S6" s="20" t="inlineStr">
        <is>
          <t>4 — Alto</t>
        </is>
      </c>
      <c r="T6" s="19">
        <f>MAX(IFERROR(VLOOKUP(Q6,MgValor,2,0),0),IFERROR(VLOOKUP(R6,MgValor,2,0),0),IFERROR(VLOOKUP(S6,MgValor,2,0),0))</f>
        <v/>
      </c>
      <c r="U6" s="19">
        <f>IFERROR(LOOKUP(T6,{0;1;2;3;4;5},{"Irrelevante";"Muy Bajo";"Bajo";"Medio";"Alto";"Muy Alto"}),"")</f>
        <v/>
      </c>
    </row>
    <row r="7" ht="45" customHeight="1" s="54">
      <c r="B7" s="59" t="inlineStr">
        <is>
          <t>GH-057</t>
        </is>
      </c>
      <c r="C7" s="13" t="inlineStr">
        <is>
          <t>rpa-impoconsumo-releases</t>
        </is>
      </c>
      <c r="D7" s="13" t="inlineStr">
        <is>
          <t>Repositorio de releases (paquetes y versiones distribuibles) de la aplicación Impoconsumo ILC</t>
        </is>
      </c>
      <c r="E7" s="20" t="inlineStr">
        <is>
          <t>[D] Datos / Información</t>
        </is>
      </c>
      <c r="F7" s="20" t="inlineStr">
        <is>
          <t>[exe] Código ejecutable</t>
        </is>
      </c>
      <c r="G7" s="21" t="inlineStr">
        <is>
          <t>Gestión Tecnológica</t>
        </is>
      </c>
      <c r="H7" s="21" t="inlineStr">
        <is>
          <t>Jhon Tamayo</t>
        </is>
      </c>
      <c r="I7" s="21" t="n"/>
      <c r="J7" s="21" t="inlineStr">
        <is>
          <t>Nube</t>
        </is>
      </c>
      <c r="K7" s="21" t="inlineStr">
        <is>
          <t>No aplica</t>
        </is>
      </c>
      <c r="L7" s="21" t="inlineStr">
        <is>
          <t>Por definir</t>
        </is>
      </c>
      <c r="M7" s="21" t="inlineStr">
        <is>
          <t>Por definir</t>
        </is>
      </c>
      <c r="N7" s="21" t="inlineStr">
        <is>
          <t>Por definir</t>
        </is>
      </c>
      <c r="O7" s="21" t="n"/>
      <c r="P7" s="21" t="n"/>
      <c r="Q7" s="20" t="inlineStr">
        <is>
          <t>3 — Medio</t>
        </is>
      </c>
      <c r="R7" s="20" t="inlineStr">
        <is>
          <t>4 — Alto</t>
        </is>
      </c>
      <c r="S7" s="20" t="inlineStr">
        <is>
          <t>4 — Alto</t>
        </is>
      </c>
      <c r="T7" s="19">
        <f>MAX(IFERROR(VLOOKUP(Q7,MgValor,2,0),0),IFERROR(VLOOKUP(R7,MgValor,2,0),0),IFERROR(VLOOKUP(S7,MgValor,2,0),0))</f>
        <v/>
      </c>
      <c r="U7" s="19">
        <f>IFERROR(LOOKUP(T7,{0;1;2;3;4;5},{"Irrelevante";"Muy Bajo";"Bajo";"Medio";"Alto";"Muy Alto"}),"")</f>
        <v/>
      </c>
    </row>
    <row r="8" ht="45" customHeight="1" s="54">
      <c r="B8" s="59" t="inlineStr">
        <is>
          <t>TAL-11</t>
        </is>
      </c>
      <c r="C8" s="13" t="inlineStr">
        <is>
          <t>Actas de descargos / procesos disciplinarios</t>
        </is>
      </c>
      <c r="D8" s="13" t="inlineStr">
        <is>
          <t>Registro de llamados de atención y procesos disciplinarios</t>
        </is>
      </c>
      <c r="E8" s="20" t="inlineStr">
        <is>
          <t>[D] Datos / Información</t>
        </is>
      </c>
      <c r="F8" s="20" t="inlineStr">
        <is>
          <t>[files] Archivos</t>
        </is>
      </c>
      <c r="G8" s="21" t="inlineStr">
        <is>
          <t>Talento Humano</t>
        </is>
      </c>
      <c r="H8" s="21" t="inlineStr">
        <is>
          <t>Finance and Administrative Manager</t>
        </is>
      </c>
      <c r="I8" s="21" t="n"/>
      <c r="J8" s="21" t="inlineStr">
        <is>
          <t>Nube</t>
        </is>
      </c>
      <c r="K8" s="21" t="inlineStr">
        <is>
          <t>No aplica</t>
        </is>
      </c>
      <c r="L8" s="21" t="inlineStr">
        <is>
          <t>Por definir</t>
        </is>
      </c>
      <c r="M8" s="21" t="inlineStr">
        <is>
          <t>Por definir</t>
        </is>
      </c>
      <c r="N8" s="21" t="inlineStr">
        <is>
          <t>Por definir</t>
        </is>
      </c>
      <c r="O8" s="21" t="n"/>
      <c r="P8" s="21" t="n"/>
      <c r="Q8" s="20" t="inlineStr">
        <is>
          <t>3 — Medio</t>
        </is>
      </c>
      <c r="R8" s="20" t="inlineStr">
        <is>
          <t>4 — Alto</t>
        </is>
      </c>
      <c r="S8" s="20" t="inlineStr">
        <is>
          <t>4 — Alto</t>
        </is>
      </c>
      <c r="T8" s="19">
        <f>MAX(IFERROR(VLOOKUP(Q8,MgValor,2,0),0),IFERROR(VLOOKUP(R8,MgValor,2,0),0),IFERROR(VLOOKUP(S8,MgValor,2,0),0))</f>
        <v/>
      </c>
      <c r="U8" s="19">
        <f>IFERROR(LOOKUP(T8,{0;1;2;3;4;5},{"Irrelevante";"Muy Bajo";"Bajo";"Medio";"Alto";"Muy Alto"}),"")</f>
        <v/>
      </c>
    </row>
    <row r="9" ht="60" customHeight="1" s="54">
      <c r="B9" s="59" t="inlineStr">
        <is>
          <t>COM-16</t>
        </is>
      </c>
      <c r="C9" s="13" t="inlineStr">
        <is>
          <t>Base de datos de prospectos de MinTrace</t>
        </is>
      </c>
      <c r="D9" s="13" t="inlineStr">
        <is>
          <t>Repositorio que contiene la información comercial y de contacto de empresas y personas potencialmente interesadas en los productos y servicios de MinTrace.</t>
        </is>
      </c>
      <c r="E9" s="20" t="inlineStr">
        <is>
          <t>[D] Datos / Información</t>
        </is>
      </c>
      <c r="F9" s="20" t="inlineStr">
        <is>
          <t>[files] Archivos</t>
        </is>
      </c>
      <c r="G9" s="21" t="inlineStr">
        <is>
          <t>Gestión Comercial</t>
        </is>
      </c>
      <c r="H9" s="21" t="inlineStr">
        <is>
          <t>Chief Commercial Officer</t>
        </is>
      </c>
      <c r="I9" s="21" t="n"/>
      <c r="J9" s="21" t="inlineStr">
        <is>
          <t>N.A.</t>
        </is>
      </c>
      <c r="K9" s="21" t="inlineStr">
        <is>
          <t>No aplica</t>
        </is>
      </c>
      <c r="L9" s="21" t="inlineStr">
        <is>
          <t>Sí</t>
        </is>
      </c>
      <c r="M9" s="21" t="inlineStr">
        <is>
          <t>Por definir</t>
        </is>
      </c>
      <c r="N9" s="21" t="inlineStr">
        <is>
          <t>Por definir</t>
        </is>
      </c>
      <c r="O9" s="21" t="n"/>
      <c r="P9" s="21" t="n"/>
      <c r="Q9" s="20" t="inlineStr">
        <is>
          <t>3 — Medio</t>
        </is>
      </c>
      <c r="R9" s="20" t="inlineStr">
        <is>
          <t>4 — Alto</t>
        </is>
      </c>
      <c r="S9" s="20" t="inlineStr">
        <is>
          <t>4 — Alto</t>
        </is>
      </c>
      <c r="T9" s="19">
        <f>MAX(IFERROR(VLOOKUP(Q9,MgValor,2,0),0),IFERROR(VLOOKUP(R9,MgValor,2,0),0),IFERROR(VLOOKUP(S9,MgValor,2,0),0))</f>
        <v/>
      </c>
      <c r="U9" s="19">
        <f>IFERROR(LOOKUP(T9,{0;1;2;3;4;5},{"Irrelevante";"Muy Bajo";"Bajo";"Medio";"Alto";"Muy Alto"}),"")</f>
        <v/>
      </c>
    </row>
    <row r="10" ht="135" customHeight="1" s="54">
      <c r="B10" s="59" t="inlineStr">
        <is>
          <t>COM-21</t>
        </is>
      </c>
      <c r="C10" s="13" t="inlineStr">
        <is>
          <t>Capacitaciones</t>
        </is>
      </c>
      <c r="D10" s="13" t="inlineStr">
        <is>
          <t>Repositorio que contiene los materiales de formación utilizados para entrenar a los nuevos integrantes del equipo comercial en el portafolio de soluciones de Cuantico, los procesos comerciales, las metodologías de venta, el uso de herramientas y demás lineamientos necesarios para el desarrollo de sus funciones.</t>
        </is>
      </c>
      <c r="E10" s="20" t="inlineStr">
        <is>
          <t>[D] Datos / Información</t>
        </is>
      </c>
      <c r="F10" s="20" t="inlineStr">
        <is>
          <t>[files] Archivos</t>
        </is>
      </c>
      <c r="G10" s="21" t="inlineStr">
        <is>
          <t>Gestión Comercial</t>
        </is>
      </c>
      <c r="H10" s="21" t="inlineStr">
        <is>
          <t>Chief Commercial Officer</t>
        </is>
      </c>
      <c r="I10" s="21" t="n"/>
      <c r="J10" s="21" t="inlineStr">
        <is>
          <t>N.A.</t>
        </is>
      </c>
      <c r="K10" s="21" t="inlineStr">
        <is>
          <t>Desarrollo</t>
        </is>
      </c>
      <c r="L10" s="21" t="inlineStr">
        <is>
          <t>Por definir</t>
        </is>
      </c>
      <c r="M10" s="21" t="inlineStr">
        <is>
          <t>Por definir</t>
        </is>
      </c>
      <c r="N10" s="21" t="inlineStr">
        <is>
          <t>Por definir</t>
        </is>
      </c>
      <c r="O10" s="21" t="n"/>
      <c r="P10" s="21" t="n"/>
      <c r="Q10" s="20" t="inlineStr">
        <is>
          <t>3 — Medio</t>
        </is>
      </c>
      <c r="R10" s="20" t="inlineStr">
        <is>
          <t>4 — Alto</t>
        </is>
      </c>
      <c r="S10" s="20" t="inlineStr">
        <is>
          <t>4 — Alto</t>
        </is>
      </c>
      <c r="T10" s="19">
        <f>MAX(IFERROR(VLOOKUP(Q10,MgValor,2,0),0),IFERROR(VLOOKUP(R10,MgValor,2,0),0),IFERROR(VLOOKUP(S10,MgValor,2,0),0))</f>
        <v/>
      </c>
      <c r="U10" s="19">
        <f>IFERROR(LOOKUP(T10,{0;1;2;3;4;5},{"Irrelevante";"Muy Bajo";"Bajo";"Medio";"Alto";"Muy Alto"}),"")</f>
        <v/>
      </c>
    </row>
    <row r="11" ht="45" customHeight="1" s="54">
      <c r="B11" s="59" t="inlineStr">
        <is>
          <t>TAL-13</t>
        </is>
      </c>
      <c r="C11" s="13" t="inlineStr">
        <is>
          <t>Carpeta de desvinculación</t>
        </is>
      </c>
      <c r="D11" s="13" t="inlineStr">
        <is>
          <t>Renuncia/terminación, paz y salvo, liquidación, certificaciones</t>
        </is>
      </c>
      <c r="E11" s="20" t="inlineStr">
        <is>
          <t>[D] Datos / Información</t>
        </is>
      </c>
      <c r="F11" s="20" t="inlineStr">
        <is>
          <t>[files] Archivos</t>
        </is>
      </c>
      <c r="G11" s="21" t="inlineStr">
        <is>
          <t>Talento Humano</t>
        </is>
      </c>
      <c r="H11" s="21" t="inlineStr">
        <is>
          <t>Finance and Administrative Manager</t>
        </is>
      </c>
      <c r="I11" s="21" t="n"/>
      <c r="J11" s="21" t="inlineStr">
        <is>
          <t>Nube</t>
        </is>
      </c>
      <c r="K11" s="21" t="inlineStr">
        <is>
          <t>No aplica</t>
        </is>
      </c>
      <c r="L11" s="21" t="inlineStr">
        <is>
          <t>Por definir</t>
        </is>
      </c>
      <c r="M11" s="21" t="inlineStr">
        <is>
          <t>Sí</t>
        </is>
      </c>
      <c r="N11" s="21" t="inlineStr">
        <is>
          <t>Por definir</t>
        </is>
      </c>
      <c r="O11" s="21" t="n"/>
      <c r="P11" s="21" t="n"/>
      <c r="Q11" s="20" t="inlineStr">
        <is>
          <t>3 — Medio</t>
        </is>
      </c>
      <c r="R11" s="20" t="inlineStr">
        <is>
          <t>4 — Alto</t>
        </is>
      </c>
      <c r="S11" s="20" t="inlineStr">
        <is>
          <t>4 — Alto</t>
        </is>
      </c>
      <c r="T11" s="19">
        <f>MAX(IFERROR(VLOOKUP(Q11,MgValor,2,0),0),IFERROR(VLOOKUP(R11,MgValor,2,0),0),IFERROR(VLOOKUP(S11,MgValor,2,0),0))</f>
        <v/>
      </c>
      <c r="U11" s="19">
        <f>IFERROR(LOOKUP(T11,{0;1;2;3;4;5},{"Irrelevante";"Muy Bajo";"Bajo";"Medio";"Alto";"Muy Alto"}),"")</f>
        <v/>
      </c>
    </row>
    <row r="12" ht="45" customHeight="1" s="54">
      <c r="B12" s="59" t="inlineStr">
        <is>
          <t>TAL-12</t>
        </is>
      </c>
      <c r="C12" s="13" t="inlineStr">
        <is>
          <t>Carpeta de ingreso de colaborador</t>
        </is>
      </c>
      <c r="D12" s="13" t="inlineStr">
        <is>
          <t>RUT, hoja de vida, cédula, EPS, AFP, fondo de cesantías, certificados</t>
        </is>
      </c>
      <c r="E12" s="20" t="inlineStr">
        <is>
          <t>[D] Datos / Información</t>
        </is>
      </c>
      <c r="F12" s="20" t="inlineStr">
        <is>
          <t>[files] Archivos</t>
        </is>
      </c>
      <c r="G12" s="21" t="inlineStr">
        <is>
          <t>Talento Humano</t>
        </is>
      </c>
      <c r="H12" s="21" t="inlineStr">
        <is>
          <t>Finance and Administrative Manager</t>
        </is>
      </c>
      <c r="I12" s="21" t="n"/>
      <c r="J12" s="21" t="inlineStr">
        <is>
          <t>Nube</t>
        </is>
      </c>
      <c r="K12" s="21" t="inlineStr">
        <is>
          <t>No aplica</t>
        </is>
      </c>
      <c r="L12" s="21" t="inlineStr">
        <is>
          <t>Por definir</t>
        </is>
      </c>
      <c r="M12" s="21" t="inlineStr">
        <is>
          <t>Sí</t>
        </is>
      </c>
      <c r="N12" s="21" t="inlineStr">
        <is>
          <t>Por definir</t>
        </is>
      </c>
      <c r="O12" s="21" t="n"/>
      <c r="P12" s="21" t="n"/>
      <c r="Q12" s="20" t="inlineStr">
        <is>
          <t>3 — Medio</t>
        </is>
      </c>
      <c r="R12" s="20" t="inlineStr">
        <is>
          <t>4 — Alto</t>
        </is>
      </c>
      <c r="S12" s="20" t="inlineStr">
        <is>
          <t>4 — Alto</t>
        </is>
      </c>
      <c r="T12" s="19">
        <f>MAX(IFERROR(VLOOKUP(Q12,MgValor,2,0),0),IFERROR(VLOOKUP(R12,MgValor,2,0),0),IFERROR(VLOOKUP(S12,MgValor,2,0),0))</f>
        <v/>
      </c>
      <c r="U12" s="19">
        <f>IFERROR(LOOKUP(T12,{0;1;2;3;4;5},{"Irrelevante";"Muy Bajo";"Bajo";"Medio";"Alto";"Muy Alto"}),"")</f>
        <v/>
      </c>
    </row>
    <row r="13" ht="45" customHeight="1" s="54">
      <c r="B13" s="59" t="inlineStr">
        <is>
          <t>FIN-06</t>
        </is>
      </c>
      <c r="C13" s="13" t="inlineStr">
        <is>
          <t>Consolidado control financiero Egresos (FOR-FIN-03)</t>
        </is>
      </c>
      <c r="D13" s="13" t="inlineStr">
        <is>
          <t>Registro y control de egresos y pagos</t>
        </is>
      </c>
      <c r="E13" s="20" t="inlineStr">
        <is>
          <t>[D] Datos / Información</t>
        </is>
      </c>
      <c r="F13" s="20" t="inlineStr">
        <is>
          <t>[files] Archivos</t>
        </is>
      </c>
      <c r="G13" s="21" t="inlineStr">
        <is>
          <t>Gestión Financiera</t>
        </is>
      </c>
      <c r="H13" s="21" t="inlineStr">
        <is>
          <t>Finance and Administrative Manager</t>
        </is>
      </c>
      <c r="I13" s="21" t="n"/>
      <c r="J13" s="21" t="inlineStr">
        <is>
          <t>Nube</t>
        </is>
      </c>
      <c r="K13" s="21" t="inlineStr">
        <is>
          <t>No aplica</t>
        </is>
      </c>
      <c r="L13" s="21" t="inlineStr">
        <is>
          <t>Por definir</t>
        </is>
      </c>
      <c r="M13" s="21" t="inlineStr">
        <is>
          <t>Por definir</t>
        </is>
      </c>
      <c r="N13" s="21" t="inlineStr">
        <is>
          <t>Por definir</t>
        </is>
      </c>
      <c r="O13" s="21" t="n"/>
      <c r="P13" s="21" t="n"/>
      <c r="Q13" s="20" t="inlineStr">
        <is>
          <t>3 — Medio</t>
        </is>
      </c>
      <c r="R13" s="20" t="inlineStr">
        <is>
          <t>4 — Alto</t>
        </is>
      </c>
      <c r="S13" s="20" t="inlineStr">
        <is>
          <t>4 — Alto</t>
        </is>
      </c>
      <c r="T13" s="19">
        <f>MAX(IFERROR(VLOOKUP(Q13,MgValor,2,0),0),IFERROR(VLOOKUP(R13,MgValor,2,0),0),IFERROR(VLOOKUP(S13,MgValor,2,0),0))</f>
        <v/>
      </c>
      <c r="U13" s="19">
        <f>IFERROR(LOOKUP(T13,{0;1;2;3;4;5},{"Irrelevante";"Muy Bajo";"Bajo";"Medio";"Alto";"Muy Alto"}),"")</f>
        <v/>
      </c>
    </row>
    <row r="14" ht="45" customHeight="1" s="54">
      <c r="B14" s="59" t="inlineStr">
        <is>
          <t>FIN-07</t>
        </is>
      </c>
      <c r="C14" s="13" t="inlineStr">
        <is>
          <t>Consolidado control financiero Ingresos (FOR-FIN-05)</t>
        </is>
      </c>
      <c r="D14" s="13" t="inlineStr">
        <is>
          <t>Registro y control de ingresos y facturación</t>
        </is>
      </c>
      <c r="E14" s="20" t="inlineStr">
        <is>
          <t>[D] Datos / Información</t>
        </is>
      </c>
      <c r="F14" s="20" t="inlineStr">
        <is>
          <t>[files] Archivos</t>
        </is>
      </c>
      <c r="G14" s="21" t="inlineStr">
        <is>
          <t>Gestión Financiera</t>
        </is>
      </c>
      <c r="H14" s="21" t="inlineStr">
        <is>
          <t>Finance and Administrative Manager</t>
        </is>
      </c>
      <c r="I14" s="21" t="n"/>
      <c r="J14" s="21" t="inlineStr">
        <is>
          <t>Nube</t>
        </is>
      </c>
      <c r="K14" s="21" t="inlineStr">
        <is>
          <t>No aplica</t>
        </is>
      </c>
      <c r="L14" s="21" t="inlineStr">
        <is>
          <t>Por definir</t>
        </is>
      </c>
      <c r="M14" s="21" t="inlineStr">
        <is>
          <t>Por definir</t>
        </is>
      </c>
      <c r="N14" s="21" t="inlineStr">
        <is>
          <t>Por definir</t>
        </is>
      </c>
      <c r="O14" s="21" t="n"/>
      <c r="P14" s="21" t="n"/>
      <c r="Q14" s="20" t="inlineStr">
        <is>
          <t>3 — Medio</t>
        </is>
      </c>
      <c r="R14" s="20" t="inlineStr">
        <is>
          <t>4 — Alto</t>
        </is>
      </c>
      <c r="S14" s="20" t="inlineStr">
        <is>
          <t>4 — Alto</t>
        </is>
      </c>
      <c r="T14" s="19">
        <f>MAX(IFERROR(VLOOKUP(Q14,MgValor,2,0),0),IFERROR(VLOOKUP(R14,MgValor,2,0),0),IFERROR(VLOOKUP(S14,MgValor,2,0),0))</f>
        <v/>
      </c>
      <c r="U14" s="19">
        <f>IFERROR(LOOKUP(T14,{0;1;2;3;4;5},{"Irrelevante";"Muy Bajo";"Bajo";"Medio";"Alto";"Muy Alto"}),"")</f>
        <v/>
      </c>
    </row>
    <row r="15" ht="45" customHeight="1" s="54">
      <c r="B15" s="59" t="inlineStr">
        <is>
          <t>LCO-08</t>
        </is>
      </c>
      <c r="C15" s="13" t="inlineStr">
        <is>
          <t>Documentación de contratistas (hojas de vida, cédula, RUT, certificaciones)</t>
        </is>
      </c>
      <c r="D15" s="13" t="inlineStr">
        <is>
          <t>Documentos de identificación y soporte contractual de contratistas personas naturales</t>
        </is>
      </c>
      <c r="E15" s="20" t="inlineStr">
        <is>
          <t>[D] Datos / Información</t>
        </is>
      </c>
      <c r="F15" s="20" t="inlineStr">
        <is>
          <t>[files] Archivos</t>
        </is>
      </c>
      <c r="G15" s="21" t="inlineStr">
        <is>
          <t>Gestión Legal y Compras</t>
        </is>
      </c>
      <c r="H15" s="21" t="inlineStr">
        <is>
          <t>Chief Legal Officer</t>
        </is>
      </c>
      <c r="I15" s="21" t="n"/>
      <c r="J15" s="21" t="inlineStr">
        <is>
          <t>Nube</t>
        </is>
      </c>
      <c r="K15" s="21" t="inlineStr">
        <is>
          <t>No aplica</t>
        </is>
      </c>
      <c r="L15" s="21" t="inlineStr">
        <is>
          <t>Por definir</t>
        </is>
      </c>
      <c r="M15" s="21" t="inlineStr">
        <is>
          <t>Sí</t>
        </is>
      </c>
      <c r="N15" s="21" t="inlineStr">
        <is>
          <t>Por definir</t>
        </is>
      </c>
      <c r="O15" s="21" t="n"/>
      <c r="P15" s="21" t="n"/>
      <c r="Q15" s="20" t="inlineStr">
        <is>
          <t>3 — Medio</t>
        </is>
      </c>
      <c r="R15" s="20" t="inlineStr">
        <is>
          <t>3 — Medio</t>
        </is>
      </c>
      <c r="S15" s="20" t="inlineStr">
        <is>
          <t>4 — Alto</t>
        </is>
      </c>
      <c r="T15" s="19">
        <f>MAX(IFERROR(VLOOKUP(Q15,MgValor,2,0),0),IFERROR(VLOOKUP(R15,MgValor,2,0),0),IFERROR(VLOOKUP(S15,MgValor,2,0),0))</f>
        <v/>
      </c>
      <c r="U15" s="19">
        <f>IFERROR(LOOKUP(T15,{0;1;2;3;4;5},{"Irrelevante";"Muy Bajo";"Bajo";"Medio";"Alto";"Muy Alto"}),"")</f>
        <v/>
      </c>
    </row>
    <row r="16" ht="105" customHeight="1" s="54">
      <c r="B16" s="59" t="inlineStr">
        <is>
          <t>COM-18</t>
        </is>
      </c>
      <c r="C16" s="13" t="inlineStr">
        <is>
          <t>Equipo de Trabajo</t>
        </is>
      </c>
      <c r="D16" s="13" t="inlineStr">
        <is>
          <t>Repositorio consolidado con la información de funcionarios y proveedores de Cuantico, organizada en el formato de hoja de vida corporativa. Se utiliza para validar perfiles, experiencia, formación y cumplimiento de requisitos en procesos de contratación y licitaciones.</t>
        </is>
      </c>
      <c r="E16" s="20" t="inlineStr">
        <is>
          <t>[D] Datos / Información</t>
        </is>
      </c>
      <c r="F16" s="20" t="inlineStr">
        <is>
          <t>[files] Archivos</t>
        </is>
      </c>
      <c r="G16" s="21" t="inlineStr">
        <is>
          <t>Gestión Comercial</t>
        </is>
      </c>
      <c r="H16" s="21" t="inlineStr">
        <is>
          <t>Chief Commercial Officer</t>
        </is>
      </c>
      <c r="I16" s="21" t="n"/>
      <c r="J16" s="21" t="inlineStr">
        <is>
          <t>N.A.</t>
        </is>
      </c>
      <c r="K16" s="21" t="inlineStr">
        <is>
          <t>No aplica</t>
        </is>
      </c>
      <c r="L16" s="21" t="inlineStr">
        <is>
          <t>Por definir</t>
        </is>
      </c>
      <c r="M16" s="21" t="inlineStr">
        <is>
          <t>Sí</t>
        </is>
      </c>
      <c r="N16" s="21" t="inlineStr">
        <is>
          <t>Por definir</t>
        </is>
      </c>
      <c r="O16" s="21" t="n"/>
      <c r="P16" s="21" t="n"/>
      <c r="Q16" s="20" t="inlineStr">
        <is>
          <t>3 — Medio</t>
        </is>
      </c>
      <c r="R16" s="20" t="inlineStr">
        <is>
          <t>4 — Alto</t>
        </is>
      </c>
      <c r="S16" s="20" t="inlineStr">
        <is>
          <t>4 — Alto</t>
        </is>
      </c>
      <c r="T16" s="19">
        <f>MAX(IFERROR(VLOOKUP(Q16,MgValor,2,0),0),IFERROR(VLOOKUP(R16,MgValor,2,0),0),IFERROR(VLOOKUP(S16,MgValor,2,0),0))</f>
        <v/>
      </c>
      <c r="U16" s="19">
        <f>IFERROR(LOOKUP(T16,{0;1;2;3;4;5},{"Irrelevante";"Muy Bajo";"Bajo";"Medio";"Alto";"Muy Alto"}),"")</f>
        <v/>
      </c>
    </row>
    <row r="17" ht="135" customHeight="1" s="54">
      <c r="B17" s="59" t="inlineStr">
        <is>
          <t>COM-19</t>
        </is>
      </c>
      <c r="C17" s="13" t="inlineStr">
        <is>
          <t>Experiencia</t>
        </is>
      </c>
      <c r="D17" s="13" t="inlineStr">
        <is>
          <t>Repositorio que consolida las certificaciones de los clientes, contratos y proyectos en los que ha participado Cuantico, incluyendo las experiencias registradas en el RUP. Se utiliza para acreditar la trayectoria de la empresa y validar el cumplimiento de requisitos de experiencia en procesos de contratación y licitaciones.</t>
        </is>
      </c>
      <c r="E17" s="20" t="inlineStr">
        <is>
          <t>[D] Datos / Información</t>
        </is>
      </c>
      <c r="F17" s="20" t="inlineStr">
        <is>
          <t>[files] Archivos</t>
        </is>
      </c>
      <c r="G17" s="21" t="inlineStr">
        <is>
          <t>Gestión Comercial</t>
        </is>
      </c>
      <c r="H17" s="21" t="inlineStr">
        <is>
          <t>Chief Commercial Officer</t>
        </is>
      </c>
      <c r="I17" s="21" t="n"/>
      <c r="J17" s="21" t="inlineStr">
        <is>
          <t>N.A.</t>
        </is>
      </c>
      <c r="K17" s="21" t="inlineStr">
        <is>
          <t>No aplica</t>
        </is>
      </c>
      <c r="L17" s="21" t="inlineStr">
        <is>
          <t>Sí</t>
        </is>
      </c>
      <c r="M17" s="21" t="inlineStr">
        <is>
          <t>Por definir</t>
        </is>
      </c>
      <c r="N17" s="21" t="inlineStr">
        <is>
          <t>Por definir</t>
        </is>
      </c>
      <c r="O17" s="21" t="n"/>
      <c r="P17" s="21" t="n"/>
      <c r="Q17" s="20" t="inlineStr">
        <is>
          <t>3 — Medio</t>
        </is>
      </c>
      <c r="R17" s="20" t="inlineStr">
        <is>
          <t>4 — Alto</t>
        </is>
      </c>
      <c r="S17" s="20" t="inlineStr">
        <is>
          <t>4 — Alto</t>
        </is>
      </c>
      <c r="T17" s="19">
        <f>MAX(IFERROR(VLOOKUP(Q17,MgValor,2,0),0),IFERROR(VLOOKUP(R17,MgValor,2,0),0),IFERROR(VLOOKUP(S17,MgValor,2,0),0))</f>
        <v/>
      </c>
      <c r="U17" s="19">
        <f>IFERROR(LOOKUP(T17,{0;1;2;3;4;5},{"Irrelevante";"Muy Bajo";"Bajo";"Medio";"Alto";"Muy Alto"}),"")</f>
        <v/>
      </c>
    </row>
    <row r="18" ht="30" customHeight="1" s="54">
      <c r="B18" s="59" t="inlineStr">
        <is>
          <t>COM-05</t>
        </is>
      </c>
      <c r="C18" s="13" t="inlineStr">
        <is>
          <t>Forecast (FOR-COM-01)</t>
        </is>
      </c>
      <c r="D18" s="13" t="inlineStr">
        <is>
          <t>Proyección y seguimiento de oportunidades y ventas</t>
        </is>
      </c>
      <c r="E18" s="20" t="inlineStr">
        <is>
          <t>[D] Datos / Información</t>
        </is>
      </c>
      <c r="F18" s="20" t="inlineStr">
        <is>
          <t>[files] Archivos</t>
        </is>
      </c>
      <c r="G18" s="21" t="inlineStr">
        <is>
          <t>Gestión Comercial</t>
        </is>
      </c>
      <c r="H18" s="21" t="inlineStr">
        <is>
          <t>Chief Commercial Officer</t>
        </is>
      </c>
      <c r="I18" s="21" t="n"/>
      <c r="J18" s="21" t="inlineStr">
        <is>
          <t>Nube</t>
        </is>
      </c>
      <c r="K18" s="21" t="inlineStr">
        <is>
          <t>No aplica</t>
        </is>
      </c>
      <c r="L18" s="21" t="inlineStr">
        <is>
          <t>Por definir</t>
        </is>
      </c>
      <c r="M18" s="21" t="inlineStr">
        <is>
          <t>Por definir</t>
        </is>
      </c>
      <c r="N18" s="21" t="inlineStr">
        <is>
          <t>Por definir</t>
        </is>
      </c>
      <c r="O18" s="21" t="n"/>
      <c r="P18" s="21" t="n"/>
      <c r="Q18" s="20" t="inlineStr">
        <is>
          <t>3 — Medio</t>
        </is>
      </c>
      <c r="R18" s="20" t="inlineStr">
        <is>
          <t>4 — Alto</t>
        </is>
      </c>
      <c r="S18" s="20" t="inlineStr">
        <is>
          <t>4 — Alto</t>
        </is>
      </c>
      <c r="T18" s="19">
        <f>MAX(IFERROR(VLOOKUP(Q18,MgValor,2,0),0),IFERROR(VLOOKUP(R18,MgValor,2,0),0),IFERROR(VLOOKUP(S18,MgValor,2,0),0))</f>
        <v/>
      </c>
      <c r="U18" s="19">
        <f>IFERROR(LOOKUP(T18,{0;1;2;3;4;5},{"Irrelevante";"Muy Bajo";"Bajo";"Medio";"Alto";"Muy Alto"}),"")</f>
        <v/>
      </c>
    </row>
    <row r="19" ht="30" customHeight="1" s="54">
      <c r="B19" s="59" t="inlineStr">
        <is>
          <t>LCO-06</t>
        </is>
      </c>
      <c r="C19" s="13" t="inlineStr">
        <is>
          <t>Formato Control de Contratos (FOR-LCO-03)</t>
        </is>
      </c>
      <c r="D19" s="13" t="inlineStr">
        <is>
          <t>Registro y seguimiento de contratos vigentes</t>
        </is>
      </c>
      <c r="E19" s="20" t="inlineStr">
        <is>
          <t>[D] Datos / Información</t>
        </is>
      </c>
      <c r="F19" s="20" t="inlineStr">
        <is>
          <t>[files] Archivos</t>
        </is>
      </c>
      <c r="G19" s="21" t="inlineStr">
        <is>
          <t>Gestión Legal y Compras</t>
        </is>
      </c>
      <c r="H19" s="21" t="inlineStr">
        <is>
          <t>Chief Legal Officer</t>
        </is>
      </c>
      <c r="I19" s="21" t="n"/>
      <c r="J19" s="21" t="inlineStr">
        <is>
          <t>Nube</t>
        </is>
      </c>
      <c r="K19" s="21" t="inlineStr">
        <is>
          <t>No aplica</t>
        </is>
      </c>
      <c r="L19" s="21" t="inlineStr">
        <is>
          <t>Sí</t>
        </is>
      </c>
      <c r="M19" s="21" t="inlineStr">
        <is>
          <t>Por definir</t>
        </is>
      </c>
      <c r="N19" s="21" t="inlineStr">
        <is>
          <t>Por definir</t>
        </is>
      </c>
      <c r="O19" s="21" t="n"/>
      <c r="P19" s="21" t="n"/>
      <c r="Q19" s="20" t="inlineStr">
        <is>
          <t>3 — Medio</t>
        </is>
      </c>
      <c r="R19" s="20" t="inlineStr">
        <is>
          <t>4 — Alto</t>
        </is>
      </c>
      <c r="S19" s="20" t="inlineStr">
        <is>
          <t>4 — Alto</t>
        </is>
      </c>
      <c r="T19" s="19">
        <f>MAX(IFERROR(VLOOKUP(Q19,MgValor,2,0),0),IFERROR(VLOOKUP(R19,MgValor,2,0),0),IFERROR(VLOOKUP(S19,MgValor,2,0),0))</f>
        <v/>
      </c>
      <c r="U19" s="19">
        <f>IFERROR(LOOKUP(T19,{0;1;2;3;4;5},{"Irrelevante";"Muy Bajo";"Bajo";"Medio";"Alto";"Muy Alto"}),"")</f>
        <v/>
      </c>
    </row>
    <row r="20" ht="45" customHeight="1" s="54">
      <c r="B20" s="59" t="inlineStr">
        <is>
          <t>FIN-09</t>
        </is>
      </c>
      <c r="C20" s="13" t="inlineStr">
        <is>
          <t>Formato Egresos (FOR-FIN-07)</t>
        </is>
      </c>
      <c r="D20" s="13" t="inlineStr">
        <is>
          <t>Formato de egresos y soportes de pago</t>
        </is>
      </c>
      <c r="E20" s="20" t="inlineStr">
        <is>
          <t>[D] Datos / Información</t>
        </is>
      </c>
      <c r="F20" s="20" t="inlineStr">
        <is>
          <t>[files] Archivos</t>
        </is>
      </c>
      <c r="G20" s="21" t="inlineStr">
        <is>
          <t>Gestión Financiera</t>
        </is>
      </c>
      <c r="H20" s="21" t="inlineStr">
        <is>
          <t>Finance and Administrative Manager</t>
        </is>
      </c>
      <c r="I20" s="21" t="n"/>
      <c r="J20" s="21" t="inlineStr">
        <is>
          <t>Nube</t>
        </is>
      </c>
      <c r="K20" s="21" t="inlineStr">
        <is>
          <t>No aplica</t>
        </is>
      </c>
      <c r="L20" s="21" t="inlineStr">
        <is>
          <t>Por definir</t>
        </is>
      </c>
      <c r="M20" s="21" t="inlineStr">
        <is>
          <t>Por definir</t>
        </is>
      </c>
      <c r="N20" s="21" t="inlineStr">
        <is>
          <t>Por definir</t>
        </is>
      </c>
      <c r="O20" s="21" t="n"/>
      <c r="P20" s="21" t="n"/>
      <c r="Q20" s="20" t="inlineStr">
        <is>
          <t>3 — Medio</t>
        </is>
      </c>
      <c r="R20" s="20" t="inlineStr">
        <is>
          <t>4 — Alto</t>
        </is>
      </c>
      <c r="S20" s="20" t="inlineStr">
        <is>
          <t>3 — Medio</t>
        </is>
      </c>
      <c r="T20" s="19">
        <f>MAX(IFERROR(VLOOKUP(Q20,MgValor,2,0),0),IFERROR(VLOOKUP(R20,MgValor,2,0),0),IFERROR(VLOOKUP(S20,MgValor,2,0),0))</f>
        <v/>
      </c>
      <c r="U20" s="19">
        <f>IFERROR(LOOKUP(T20,{0;1;2;3;4;5},{"Irrelevante";"Muy Bajo";"Bajo";"Medio";"Alto";"Muy Alto"}),"")</f>
        <v/>
      </c>
    </row>
    <row r="21" ht="30" customHeight="1" s="54">
      <c r="B21" s="59" t="inlineStr">
        <is>
          <t>LCO-07</t>
        </is>
      </c>
      <c r="C21" s="13" t="inlineStr">
        <is>
          <t>Formato Evaluación de Proveedores (FOR-LCO-04)</t>
        </is>
      </c>
      <c r="D21" s="13" t="inlineStr">
        <is>
          <t>Resultados de evaluación/reevaluación de proveedores</t>
        </is>
      </c>
      <c r="E21" s="20" t="inlineStr">
        <is>
          <t>[D] Datos / Información</t>
        </is>
      </c>
      <c r="F21" s="20" t="inlineStr">
        <is>
          <t>[files] Archivos</t>
        </is>
      </c>
      <c r="G21" s="21" t="inlineStr">
        <is>
          <t>Gestión Legal y Compras</t>
        </is>
      </c>
      <c r="H21" s="21" t="inlineStr">
        <is>
          <t>Chief Legal Officer</t>
        </is>
      </c>
      <c r="I21" s="21" t="n"/>
      <c r="J21" s="21" t="inlineStr">
        <is>
          <t>Nube</t>
        </is>
      </c>
      <c r="K21" s="21" t="inlineStr">
        <is>
          <t>No aplica</t>
        </is>
      </c>
      <c r="L21" s="21" t="inlineStr">
        <is>
          <t>Por definir</t>
        </is>
      </c>
      <c r="M21" s="21" t="inlineStr">
        <is>
          <t>Por definir</t>
        </is>
      </c>
      <c r="N21" s="21" t="inlineStr">
        <is>
          <t>Por definir</t>
        </is>
      </c>
      <c r="O21" s="21" t="n"/>
      <c r="P21" s="21" t="n"/>
      <c r="Q21" s="20" t="inlineStr">
        <is>
          <t>3 — Medio</t>
        </is>
      </c>
      <c r="R21" s="20" t="inlineStr">
        <is>
          <t>4 — Alto</t>
        </is>
      </c>
      <c r="S21" s="20" t="inlineStr">
        <is>
          <t>3 — Medio</t>
        </is>
      </c>
      <c r="T21" s="19">
        <f>MAX(IFERROR(VLOOKUP(Q21,MgValor,2,0),0),IFERROR(VLOOKUP(R21,MgValor,2,0),0),IFERROR(VLOOKUP(S21,MgValor,2,0),0))</f>
        <v/>
      </c>
      <c r="U21" s="19">
        <f>IFERROR(LOOKUP(T21,{0;1;2;3;4;5},{"Irrelevante";"Muy Bajo";"Bajo";"Medio";"Alto";"Muy Alto"}),"")</f>
        <v/>
      </c>
    </row>
    <row r="22" ht="45" customHeight="1" s="54">
      <c r="B22" s="59" t="inlineStr">
        <is>
          <t>TAL-08</t>
        </is>
      </c>
      <c r="C22" s="13" t="inlineStr">
        <is>
          <t>Formato Evaluación del Desempeño (FOR-TAL-02)</t>
        </is>
      </c>
      <c r="D22" s="13" t="inlineStr">
        <is>
          <t>Resultados anuales de evaluación de colaboradores</t>
        </is>
      </c>
      <c r="E22" s="20" t="inlineStr">
        <is>
          <t>[D] Datos / Información</t>
        </is>
      </c>
      <c r="F22" s="20" t="inlineStr">
        <is>
          <t>[files] Archivos</t>
        </is>
      </c>
      <c r="G22" s="21" t="inlineStr">
        <is>
          <t>Talento Humano</t>
        </is>
      </c>
      <c r="H22" s="21" t="inlineStr">
        <is>
          <t>Finance and Administrative Manager</t>
        </is>
      </c>
      <c r="I22" s="21" t="n"/>
      <c r="J22" s="21" t="inlineStr">
        <is>
          <t>Nube</t>
        </is>
      </c>
      <c r="K22" s="21" t="inlineStr">
        <is>
          <t>No aplica</t>
        </is>
      </c>
      <c r="L22" s="21" t="inlineStr">
        <is>
          <t>Por definir</t>
        </is>
      </c>
      <c r="M22" s="21" t="inlineStr">
        <is>
          <t>Por definir</t>
        </is>
      </c>
      <c r="N22" s="21" t="inlineStr">
        <is>
          <t>Por definir</t>
        </is>
      </c>
      <c r="O22" s="21" t="n"/>
      <c r="P22" s="21" t="n"/>
      <c r="Q22" s="20" t="inlineStr">
        <is>
          <t>3 — Medio</t>
        </is>
      </c>
      <c r="R22" s="20" t="inlineStr">
        <is>
          <t>3 — Medio</t>
        </is>
      </c>
      <c r="S22" s="20" t="inlineStr">
        <is>
          <t>4 — Alto</t>
        </is>
      </c>
      <c r="T22" s="19">
        <f>MAX(IFERROR(VLOOKUP(Q22,MgValor,2,0),0),IFERROR(VLOOKUP(R22,MgValor,2,0),0),IFERROR(VLOOKUP(S22,MgValor,2,0),0))</f>
        <v/>
      </c>
      <c r="U22" s="19">
        <f>IFERROR(LOOKUP(T22,{0;1;2;3;4;5},{"Irrelevante";"Muy Bajo";"Bajo";"Medio";"Alto";"Muy Alto"}),"")</f>
        <v/>
      </c>
    </row>
    <row r="23" ht="45" customHeight="1" s="54">
      <c r="B23" s="59" t="inlineStr">
        <is>
          <t>TAL-09</t>
        </is>
      </c>
      <c r="C23" s="13" t="inlineStr">
        <is>
          <t>Formato Paz y Salvo (FOR-TAL-03)</t>
        </is>
      </c>
      <c r="D23" s="13" t="inlineStr">
        <is>
          <t>Confirmación de no pendientes al desvincular colaborador</t>
        </is>
      </c>
      <c r="E23" s="20" t="inlineStr">
        <is>
          <t>[D] Datos / Información</t>
        </is>
      </c>
      <c r="F23" s="20" t="inlineStr">
        <is>
          <t>[files] Archivos</t>
        </is>
      </c>
      <c r="G23" s="21" t="inlineStr">
        <is>
          <t>Talento Humano</t>
        </is>
      </c>
      <c r="H23" s="21" t="inlineStr">
        <is>
          <t>Finance and Administrative Manager</t>
        </is>
      </c>
      <c r="I23" s="21" t="n"/>
      <c r="J23" s="21" t="inlineStr">
        <is>
          <t>Nube</t>
        </is>
      </c>
      <c r="K23" s="21" t="inlineStr">
        <is>
          <t>No aplica</t>
        </is>
      </c>
      <c r="L23" s="21" t="inlineStr">
        <is>
          <t>Por definir</t>
        </is>
      </c>
      <c r="M23" s="21" t="inlineStr">
        <is>
          <t>Por definir</t>
        </is>
      </c>
      <c r="N23" s="21" t="inlineStr">
        <is>
          <t>Por definir</t>
        </is>
      </c>
      <c r="O23" s="21" t="n"/>
      <c r="P23" s="21" t="n"/>
      <c r="Q23" s="20" t="inlineStr">
        <is>
          <t>3 — Medio</t>
        </is>
      </c>
      <c r="R23" s="20" t="inlineStr">
        <is>
          <t>3 — Medio</t>
        </is>
      </c>
      <c r="S23" s="20" t="inlineStr">
        <is>
          <t>3 — Medio</t>
        </is>
      </c>
      <c r="T23" s="19">
        <f>MAX(IFERROR(VLOOKUP(Q23,MgValor,2,0),0),IFERROR(VLOOKUP(R23,MgValor,2,0),0),IFERROR(VLOOKUP(S23,MgValor,2,0),0))</f>
        <v/>
      </c>
      <c r="U23" s="19">
        <f>IFERROR(LOOKUP(T23,{0;1;2;3;4;5},{"Irrelevante";"Muy Bajo";"Bajo";"Medio";"Alto";"Muy Alto"}),"")</f>
        <v/>
      </c>
    </row>
    <row r="24" ht="45" customHeight="1" s="54">
      <c r="B24" s="59" t="inlineStr">
        <is>
          <t>TAL-07</t>
        </is>
      </c>
      <c r="C24" s="13" t="inlineStr">
        <is>
          <t>Formato Plan de Formación y Capacitación (FOR-TAL-01)</t>
        </is>
      </c>
      <c r="D24" s="13" t="inlineStr">
        <is>
          <t>Actividades de inducción, reinducción y capacitación</t>
        </is>
      </c>
      <c r="E24" s="20" t="inlineStr">
        <is>
          <t>[D] Datos / Información</t>
        </is>
      </c>
      <c r="F24" s="20" t="inlineStr">
        <is>
          <t>[files] Archivos</t>
        </is>
      </c>
      <c r="G24" s="21" t="inlineStr">
        <is>
          <t>Talento Humano</t>
        </is>
      </c>
      <c r="H24" s="21" t="inlineStr">
        <is>
          <t>Finance and Administrative Manager</t>
        </is>
      </c>
      <c r="I24" s="21" t="n"/>
      <c r="J24" s="21" t="inlineStr">
        <is>
          <t>Nube</t>
        </is>
      </c>
      <c r="K24" s="21" t="inlineStr">
        <is>
          <t>No aplica</t>
        </is>
      </c>
      <c r="L24" s="21" t="inlineStr">
        <is>
          <t>Por definir</t>
        </is>
      </c>
      <c r="M24" s="21" t="inlineStr">
        <is>
          <t>Por definir</t>
        </is>
      </c>
      <c r="N24" s="21" t="inlineStr">
        <is>
          <t>Por definir</t>
        </is>
      </c>
      <c r="O24" s="21" t="n"/>
      <c r="P24" s="21" t="n"/>
      <c r="Q24" s="20" t="inlineStr">
        <is>
          <t>3 — Medio</t>
        </is>
      </c>
      <c r="R24" s="20" t="inlineStr">
        <is>
          <t>3 — Medio</t>
        </is>
      </c>
      <c r="S24" s="20" t="inlineStr">
        <is>
          <t>3 — Medio</t>
        </is>
      </c>
      <c r="T24" s="19">
        <f>MAX(IFERROR(VLOOKUP(Q24,MgValor,2,0),0),IFERROR(VLOOKUP(R24,MgValor,2,0),0),IFERROR(VLOOKUP(S24,MgValor,2,0),0))</f>
        <v/>
      </c>
      <c r="U24" s="19">
        <f>IFERROR(LOOKUP(T24,{0;1;2;3;4;5},{"Irrelevante";"Muy Bajo";"Bajo";"Medio";"Alto";"Muy Alto"}),"")</f>
        <v/>
      </c>
    </row>
    <row r="25" ht="45" customHeight="1" s="54">
      <c r="B25" s="59" t="inlineStr">
        <is>
          <t>FIN-08</t>
        </is>
      </c>
      <c r="C25" s="13" t="inlineStr">
        <is>
          <t>Formato Planeación ventas (FOR-FIN-06)</t>
        </is>
      </c>
      <c r="D25" s="13" t="inlineStr">
        <is>
          <t>Plan de pagos mensual acordado con clientes</t>
        </is>
      </c>
      <c r="E25" s="20" t="inlineStr">
        <is>
          <t>[D] Datos / Información</t>
        </is>
      </c>
      <c r="F25" s="20" t="inlineStr">
        <is>
          <t>[files] Archivos</t>
        </is>
      </c>
      <c r="G25" s="21" t="inlineStr">
        <is>
          <t>Gestión Financiera</t>
        </is>
      </c>
      <c r="H25" s="21" t="inlineStr">
        <is>
          <t>Finance and Administrative Manager</t>
        </is>
      </c>
      <c r="I25" s="21" t="n"/>
      <c r="J25" s="21" t="inlineStr">
        <is>
          <t>Nube</t>
        </is>
      </c>
      <c r="K25" s="21" t="inlineStr">
        <is>
          <t>No aplica</t>
        </is>
      </c>
      <c r="L25" s="21" t="inlineStr">
        <is>
          <t>Sí</t>
        </is>
      </c>
      <c r="M25" s="21" t="inlineStr">
        <is>
          <t>Por definir</t>
        </is>
      </c>
      <c r="N25" s="21" t="inlineStr">
        <is>
          <t>Por definir</t>
        </is>
      </c>
      <c r="O25" s="21" t="n"/>
      <c r="P25" s="21" t="n"/>
      <c r="Q25" s="20" t="inlineStr">
        <is>
          <t>3 — Medio</t>
        </is>
      </c>
      <c r="R25" s="20" t="inlineStr">
        <is>
          <t>4 — Alto</t>
        </is>
      </c>
      <c r="S25" s="20" t="inlineStr">
        <is>
          <t>3 — Medio</t>
        </is>
      </c>
      <c r="T25" s="19">
        <f>MAX(IFERROR(VLOOKUP(Q25,MgValor,2,0),0),IFERROR(VLOOKUP(R25,MgValor,2,0),0),IFERROR(VLOOKUP(S25,MgValor,2,0),0))</f>
        <v/>
      </c>
      <c r="U25" s="19">
        <f>IFERROR(LOOKUP(T25,{0;1;2;3;4;5},{"Irrelevante";"Muy Bajo";"Bajo";"Medio";"Alto";"Muy Alto"}),"")</f>
        <v/>
      </c>
    </row>
    <row r="26" ht="30" customHeight="1" s="54">
      <c r="B26" s="59" t="inlineStr">
        <is>
          <t>LCO-04</t>
        </is>
      </c>
      <c r="C26" s="13" t="inlineStr">
        <is>
          <t>Formato Relación de Proveedores (FOR-LCO-01)</t>
        </is>
      </c>
      <c r="D26" s="13" t="inlineStr">
        <is>
          <t>Listado y datos de proveedores registrados</t>
        </is>
      </c>
      <c r="E26" s="20" t="inlineStr">
        <is>
          <t>[D] Datos / Información</t>
        </is>
      </c>
      <c r="F26" s="20" t="inlineStr">
        <is>
          <t>[files] Archivos</t>
        </is>
      </c>
      <c r="G26" s="21" t="inlineStr">
        <is>
          <t>Gestión Legal y Compras</t>
        </is>
      </c>
      <c r="H26" s="21" t="inlineStr">
        <is>
          <t>Chief Legal Officer</t>
        </is>
      </c>
      <c r="I26" s="21" t="n"/>
      <c r="J26" s="21" t="inlineStr">
        <is>
          <t>Nube</t>
        </is>
      </c>
      <c r="K26" s="21" t="inlineStr">
        <is>
          <t>No aplica</t>
        </is>
      </c>
      <c r="L26" s="21" t="inlineStr">
        <is>
          <t>Por definir</t>
        </is>
      </c>
      <c r="M26" s="21" t="inlineStr">
        <is>
          <t>Por definir</t>
        </is>
      </c>
      <c r="N26" s="21" t="inlineStr">
        <is>
          <t>Por definir</t>
        </is>
      </c>
      <c r="O26" s="21" t="n"/>
      <c r="P26" s="21" t="n"/>
      <c r="Q26" s="20" t="inlineStr">
        <is>
          <t>3 — Medio</t>
        </is>
      </c>
      <c r="R26" s="20" t="inlineStr">
        <is>
          <t>4 — Alto</t>
        </is>
      </c>
      <c r="S26" s="20" t="inlineStr">
        <is>
          <t>3 — Medio</t>
        </is>
      </c>
      <c r="T26" s="19">
        <f>MAX(IFERROR(VLOOKUP(Q26,MgValor,2,0),0),IFERROR(VLOOKUP(R26,MgValor,2,0),0),IFERROR(VLOOKUP(S26,MgValor,2,0),0))</f>
        <v/>
      </c>
      <c r="U26" s="19">
        <f>IFERROR(LOOKUP(T26,{0;1;2;3;4;5},{"Irrelevante";"Muy Bajo";"Bajo";"Medio";"Alto";"Muy Alto"}),"")</f>
        <v/>
      </c>
    </row>
    <row r="27" ht="30" customHeight="1" s="54">
      <c r="B27" s="59" t="inlineStr">
        <is>
          <t>LCO-05</t>
        </is>
      </c>
      <c r="C27" s="13" t="inlineStr">
        <is>
          <t>Formato Selección de Proveedores (FOR-LCO-02)</t>
        </is>
      </c>
      <c r="D27" s="13" t="inlineStr">
        <is>
          <t>Criterios y resultado de selección de proveedores</t>
        </is>
      </c>
      <c r="E27" s="20" t="inlineStr">
        <is>
          <t>[D] Datos / Información</t>
        </is>
      </c>
      <c r="F27" s="20" t="inlineStr">
        <is>
          <t>[files] Archivos</t>
        </is>
      </c>
      <c r="G27" s="21" t="inlineStr">
        <is>
          <t>Gestión Legal y Compras</t>
        </is>
      </c>
      <c r="H27" s="21" t="inlineStr">
        <is>
          <t>Chief Legal Officer</t>
        </is>
      </c>
      <c r="I27" s="21" t="n"/>
      <c r="J27" s="21" t="inlineStr">
        <is>
          <t>Nube</t>
        </is>
      </c>
      <c r="K27" s="21" t="inlineStr">
        <is>
          <t>No aplica</t>
        </is>
      </c>
      <c r="L27" s="21" t="inlineStr">
        <is>
          <t>Por definir</t>
        </is>
      </c>
      <c r="M27" s="21" t="inlineStr">
        <is>
          <t>Por definir</t>
        </is>
      </c>
      <c r="N27" s="21" t="inlineStr">
        <is>
          <t>Por definir</t>
        </is>
      </c>
      <c r="O27" s="21" t="n"/>
      <c r="P27" s="21" t="n"/>
      <c r="Q27" s="20" t="inlineStr">
        <is>
          <t>3 — Medio</t>
        </is>
      </c>
      <c r="R27" s="20" t="inlineStr">
        <is>
          <t>4 — Alto</t>
        </is>
      </c>
      <c r="S27" s="20" t="inlineStr">
        <is>
          <t>3 — Medio</t>
        </is>
      </c>
      <c r="T27" s="19">
        <f>MAX(IFERROR(VLOOKUP(Q27,MgValor,2,0),0),IFERROR(VLOOKUP(R27,MgValor,2,0),0),IFERROR(VLOOKUP(S27,MgValor,2,0),0))</f>
        <v/>
      </c>
      <c r="U27" s="19">
        <f>IFERROR(LOOKUP(T27,{0;1;2;3;4;5},{"Irrelevante";"Muy Bajo";"Bajo";"Medio";"Alto";"Muy Alto"}),"")</f>
        <v/>
      </c>
    </row>
    <row r="28" ht="45" customHeight="1" s="54">
      <c r="B28" s="59" t="inlineStr">
        <is>
          <t>FIN-05</t>
        </is>
      </c>
      <c r="C28" s="13" t="inlineStr">
        <is>
          <t>Formato Solicitud de viáticos (FOR-FIN-01)</t>
        </is>
      </c>
      <c r="D28" s="13" t="inlineStr">
        <is>
          <t>Formato de solicitud y aprobación de viáticos</t>
        </is>
      </c>
      <c r="E28" s="20" t="inlineStr">
        <is>
          <t>[D] Datos / Información</t>
        </is>
      </c>
      <c r="F28" s="20" t="inlineStr">
        <is>
          <t>[files] Archivos</t>
        </is>
      </c>
      <c r="G28" s="21" t="inlineStr">
        <is>
          <t>Gestión Financiera</t>
        </is>
      </c>
      <c r="H28" s="21" t="inlineStr">
        <is>
          <t>Finance and Administrative Manager</t>
        </is>
      </c>
      <c r="I28" s="21" t="n"/>
      <c r="J28" s="21" t="inlineStr">
        <is>
          <t>Nube</t>
        </is>
      </c>
      <c r="K28" s="21" t="inlineStr">
        <is>
          <t>No aplica</t>
        </is>
      </c>
      <c r="L28" s="21" t="inlineStr">
        <is>
          <t>Por definir</t>
        </is>
      </c>
      <c r="M28" s="21" t="inlineStr">
        <is>
          <t>Por definir</t>
        </is>
      </c>
      <c r="N28" s="21" t="inlineStr">
        <is>
          <t>Por definir</t>
        </is>
      </c>
      <c r="O28" s="21" t="n"/>
      <c r="P28" s="21" t="n"/>
      <c r="Q28" s="20" t="inlineStr">
        <is>
          <t>3 — Medio</t>
        </is>
      </c>
      <c r="R28" s="20" t="inlineStr">
        <is>
          <t>3 — Medio</t>
        </is>
      </c>
      <c r="S28" s="20" t="inlineStr">
        <is>
          <t>3 — Medio</t>
        </is>
      </c>
      <c r="T28" s="19">
        <f>MAX(IFERROR(VLOOKUP(Q28,MgValor,2,0),0),IFERROR(VLOOKUP(R28,MgValor,2,0),0),IFERROR(VLOOKUP(S28,MgValor,2,0),0))</f>
        <v/>
      </c>
      <c r="U28" s="19">
        <f>IFERROR(LOOKUP(T28,{0;1;2;3;4;5},{"Irrelevante";"Muy Bajo";"Bajo";"Medio";"Alto";"Muy Alto"}),"")</f>
        <v/>
      </c>
    </row>
    <row r="29" ht="45" customHeight="1" s="54">
      <c r="B29" s="59" t="inlineStr">
        <is>
          <t>FIN-10</t>
        </is>
      </c>
      <c r="C29" s="13" t="inlineStr">
        <is>
          <t>Información de nómina</t>
        </is>
      </c>
      <c r="D29" s="13" t="inlineStr">
        <is>
          <t>Novedades, liquidaciones y desprendibles de nómina</t>
        </is>
      </c>
      <c r="E29" s="20" t="inlineStr">
        <is>
          <t>[D] Datos / Información</t>
        </is>
      </c>
      <c r="F29" s="20" t="inlineStr">
        <is>
          <t>[files] Archivos</t>
        </is>
      </c>
      <c r="G29" s="21" t="inlineStr">
        <is>
          <t>Gestión Financiera</t>
        </is>
      </c>
      <c r="H29" s="21" t="inlineStr">
        <is>
          <t>Finance and Administrative Manager</t>
        </is>
      </c>
      <c r="I29" s="21" t="n"/>
      <c r="J29" s="21" t="inlineStr">
        <is>
          <t>Nube</t>
        </is>
      </c>
      <c r="K29" s="21" t="inlineStr">
        <is>
          <t>No aplica</t>
        </is>
      </c>
      <c r="L29" s="21" t="inlineStr">
        <is>
          <t>Por definir</t>
        </is>
      </c>
      <c r="M29" s="21" t="inlineStr">
        <is>
          <t>Sí</t>
        </is>
      </c>
      <c r="N29" s="21" t="inlineStr">
        <is>
          <t>Por definir</t>
        </is>
      </c>
      <c r="O29" s="21" t="n"/>
      <c r="P29" s="21" t="n"/>
      <c r="Q29" s="20" t="inlineStr">
        <is>
          <t>3 — Medio</t>
        </is>
      </c>
      <c r="R29" s="20" t="inlineStr">
        <is>
          <t>4 — Alto</t>
        </is>
      </c>
      <c r="S29" s="20" t="inlineStr">
        <is>
          <t>4 — Alto</t>
        </is>
      </c>
      <c r="T29" s="19">
        <f>MAX(IFERROR(VLOOKUP(Q29,MgValor,2,0),0),IFERROR(VLOOKUP(R29,MgValor,2,0),0),IFERROR(VLOOKUP(S29,MgValor,2,0),0))</f>
        <v/>
      </c>
      <c r="U29" s="19">
        <f>IFERROR(LOOKUP(T29,{0;1;2;3;4;5},{"Irrelevante";"Muy Bajo";"Bajo";"Medio";"Alto";"Muy Alto"}),"")</f>
        <v/>
      </c>
    </row>
    <row r="30" ht="30" customHeight="1" s="54">
      <c r="B30" s="59" t="inlineStr">
        <is>
          <t>COM-09</t>
        </is>
      </c>
      <c r="C30" s="13" t="inlineStr">
        <is>
          <t>Matriz Propiedad del Cliente (MAT-PRO-01)</t>
        </is>
      </c>
      <c r="D30" s="13" t="inlineStr">
        <is>
          <t>Información suministrada y de propiedad del cliente</t>
        </is>
      </c>
      <c r="E30" s="20" t="inlineStr">
        <is>
          <t>[D] Datos / Información</t>
        </is>
      </c>
      <c r="F30" s="20" t="inlineStr">
        <is>
          <t>[files] Archivos</t>
        </is>
      </c>
      <c r="G30" s="21" t="inlineStr">
        <is>
          <t>Gestión Comercial</t>
        </is>
      </c>
      <c r="H30" s="21" t="inlineStr">
        <is>
          <t>Chief Commercial Officer</t>
        </is>
      </c>
      <c r="I30" s="21" t="n"/>
      <c r="J30" s="21" t="inlineStr">
        <is>
          <t>Nube</t>
        </is>
      </c>
      <c r="K30" s="21" t="inlineStr">
        <is>
          <t>No aplica</t>
        </is>
      </c>
      <c r="L30" s="21" t="inlineStr">
        <is>
          <t>Sí</t>
        </is>
      </c>
      <c r="M30" s="21" t="inlineStr">
        <is>
          <t>Por definir</t>
        </is>
      </c>
      <c r="N30" s="21" t="inlineStr">
        <is>
          <t>Por definir</t>
        </is>
      </c>
      <c r="O30" s="21" t="n"/>
      <c r="P30" s="21" t="n"/>
      <c r="Q30" s="20" t="inlineStr">
        <is>
          <t>3 — Medio</t>
        </is>
      </c>
      <c r="R30" s="20" t="inlineStr">
        <is>
          <t>4 — Alto</t>
        </is>
      </c>
      <c r="S30" s="20" t="inlineStr">
        <is>
          <t>4 — Alto</t>
        </is>
      </c>
      <c r="T30" s="19">
        <f>MAX(IFERROR(VLOOKUP(Q30,MgValor,2,0),0),IFERROR(VLOOKUP(R30,MgValor,2,0),0),IFERROR(VLOOKUP(S30,MgValor,2,0),0))</f>
        <v/>
      </c>
      <c r="U30" s="19">
        <f>IFERROR(LOOKUP(T30,{0;1;2;3;4;5},{"Irrelevante";"Muy Bajo";"Bajo";"Medio";"Alto";"Muy Alto"}),"")</f>
        <v/>
      </c>
    </row>
    <row r="31" ht="120" customHeight="1" s="54">
      <c r="B31" s="59" t="inlineStr">
        <is>
          <t>COM-20</t>
        </is>
      </c>
      <c r="C31" s="13" t="inlineStr">
        <is>
          <t>Presentaciones</t>
        </is>
      </c>
      <c r="D31" s="13" t="inlineStr">
        <is>
          <t>Repositorio que consolida las presentaciones corporativas y comerciales del portafolio de soluciones de Cuantico. Está disponible para que el equipo comercial pueda utilizar material actualizado y estandarizado en reuniones, demostraciones, propuestas y presentaciones a clientes.</t>
        </is>
      </c>
      <c r="E31" s="20" t="inlineStr">
        <is>
          <t>[D] Datos / Información</t>
        </is>
      </c>
      <c r="F31" s="20" t="inlineStr">
        <is>
          <t>[files] Archivos</t>
        </is>
      </c>
      <c r="G31" s="21" t="inlineStr">
        <is>
          <t>Gestión Comercial</t>
        </is>
      </c>
      <c r="H31" s="21" t="inlineStr">
        <is>
          <t>Chief Commercial Officer</t>
        </is>
      </c>
      <c r="I31" s="21" t="n"/>
      <c r="J31" s="21" t="inlineStr">
        <is>
          <t>N.A.</t>
        </is>
      </c>
      <c r="K31" s="21" t="inlineStr">
        <is>
          <t>No aplica</t>
        </is>
      </c>
      <c r="L31" s="21" t="inlineStr">
        <is>
          <t>Sí</t>
        </is>
      </c>
      <c r="M31" s="21" t="inlineStr">
        <is>
          <t>Por definir</t>
        </is>
      </c>
      <c r="N31" s="21" t="inlineStr">
        <is>
          <t>Por definir</t>
        </is>
      </c>
      <c r="O31" s="21" t="n"/>
      <c r="P31" s="21" t="n"/>
      <c r="Q31" s="20" t="inlineStr">
        <is>
          <t>3 — Medio</t>
        </is>
      </c>
      <c r="R31" s="20" t="inlineStr">
        <is>
          <t>4 — Alto</t>
        </is>
      </c>
      <c r="S31" s="20" t="inlineStr">
        <is>
          <t>4 — Alto</t>
        </is>
      </c>
      <c r="T31" s="19">
        <f>MAX(IFERROR(VLOOKUP(Q31,MgValor,2,0),0),IFERROR(VLOOKUP(R31,MgValor,2,0),0),IFERROR(VLOOKUP(S31,MgValor,2,0),0))</f>
        <v/>
      </c>
      <c r="U31" s="19">
        <f>IFERROR(LOOKUP(T31,{0;1;2;3;4;5},{"Irrelevante";"Muy Bajo";"Bajo";"Medio";"Alto";"Muy Alto"}),"")</f>
        <v/>
      </c>
    </row>
    <row r="32" ht="60" customHeight="1" s="54">
      <c r="B32" s="59" t="inlineStr">
        <is>
          <t>COM-17</t>
        </is>
      </c>
      <c r="C32" s="13" t="inlineStr">
        <is>
          <t>Propuesta Comercial Cuantico</t>
        </is>
      </c>
      <c r="D32" s="13" t="inlineStr">
        <is>
          <t>Documento que presenta el alcance, servicios, metodología, condiciones comerciales y valores de la oferta de Cuantico</t>
        </is>
      </c>
      <c r="E32" s="20" t="inlineStr">
        <is>
          <t>[D] Datos / Información</t>
        </is>
      </c>
      <c r="F32" s="20" t="inlineStr">
        <is>
          <t>[files] Archivos</t>
        </is>
      </c>
      <c r="G32" s="21" t="inlineStr">
        <is>
          <t>Gestión Comercial</t>
        </is>
      </c>
      <c r="H32" s="21" t="inlineStr">
        <is>
          <t>Chief Commercial Officer</t>
        </is>
      </c>
      <c r="I32" s="21" t="n"/>
      <c r="J32" s="21" t="inlineStr">
        <is>
          <t>N.A.</t>
        </is>
      </c>
      <c r="K32" s="21" t="inlineStr">
        <is>
          <t>No aplica</t>
        </is>
      </c>
      <c r="L32" s="21" t="inlineStr">
        <is>
          <t>Por definir</t>
        </is>
      </c>
      <c r="M32" s="21" t="inlineStr">
        <is>
          <t>Por definir</t>
        </is>
      </c>
      <c r="N32" s="21" t="inlineStr">
        <is>
          <t>Por definir</t>
        </is>
      </c>
      <c r="O32" s="21" t="n"/>
      <c r="P32" s="21" t="n"/>
      <c r="Q32" s="20" t="inlineStr">
        <is>
          <t>3 — Medio</t>
        </is>
      </c>
      <c r="R32" s="20" t="inlineStr">
        <is>
          <t>4 — Alto</t>
        </is>
      </c>
      <c r="S32" s="20" t="inlineStr">
        <is>
          <t>4 — Alto</t>
        </is>
      </c>
      <c r="T32" s="19">
        <f>MAX(IFERROR(VLOOKUP(Q32,MgValor,2,0),0),IFERROR(VLOOKUP(R32,MgValor,2,0),0),IFERROR(VLOOKUP(S32,MgValor,2,0),0))</f>
        <v/>
      </c>
      <c r="U32" s="19">
        <f>IFERROR(LOOKUP(T32,{0;1;2;3;4;5},{"Irrelevante";"Muy Bajo";"Bajo";"Medio";"Alto";"Muy Alto"}),"")</f>
        <v/>
      </c>
    </row>
    <row r="33" ht="60" customHeight="1" s="54">
      <c r="B33" s="59" t="inlineStr">
        <is>
          <t>FIN-29</t>
        </is>
      </c>
      <c r="C33" s="13" t="inlineStr">
        <is>
          <t>Repositorio financiero SharePoint/OneDrive</t>
        </is>
      </c>
      <c r="D33" s="13" t="inlineStr">
        <is>
          <t>Carpeta: Gestión Financiera por año/entidad: facturación, cuentas de cobro, egresos, nómina, impuestos, extractos, cierres</t>
        </is>
      </c>
      <c r="E33" s="20" t="inlineStr">
        <is>
          <t>[D] Datos / Información</t>
        </is>
      </c>
      <c r="F33" s="20" t="inlineStr">
        <is>
          <t>[files] Archivos</t>
        </is>
      </c>
      <c r="G33" s="21" t="inlineStr">
        <is>
          <t>Gestión Financiera</t>
        </is>
      </c>
      <c r="H33" s="21" t="inlineStr">
        <is>
          <t>Gestión Tecnológica</t>
        </is>
      </c>
      <c r="I33" s="21" t="n"/>
      <c r="J33" s="21" t="inlineStr">
        <is>
          <t>Nube</t>
        </is>
      </c>
      <c r="K33" s="21" t="inlineStr">
        <is>
          <t>No aplica</t>
        </is>
      </c>
      <c r="L33" s="21" t="inlineStr">
        <is>
          <t>Por definir</t>
        </is>
      </c>
      <c r="M33" s="21" t="inlineStr">
        <is>
          <t>Sí</t>
        </is>
      </c>
      <c r="N33" s="21" t="inlineStr">
        <is>
          <t>Por definir</t>
        </is>
      </c>
      <c r="O33" s="21" t="n"/>
      <c r="P33" s="21" t="n"/>
      <c r="Q33" s="20" t="inlineStr">
        <is>
          <t>4 — Alto</t>
        </is>
      </c>
      <c r="R33" s="20" t="inlineStr">
        <is>
          <t>4 — Alto</t>
        </is>
      </c>
      <c r="S33" s="20" t="inlineStr">
        <is>
          <t>4 — Alto</t>
        </is>
      </c>
      <c r="T33" s="19">
        <f>MAX(IFERROR(VLOOKUP(Q33,MgValor,2,0),0),IFERROR(VLOOKUP(R33,MgValor,2,0),0),IFERROR(VLOOKUP(S33,MgValor,2,0),0))</f>
        <v/>
      </c>
      <c r="U33" s="19">
        <f>IFERROR(LOOKUP(T33,{0;1;2;3;4;5},{"Irrelevante";"Muy Bajo";"Bajo";"Medio";"Alto";"Muy Alto"}),"")</f>
        <v/>
      </c>
    </row>
    <row r="34" ht="30" customHeight="1" s="54">
      <c r="B34" s="59" t="inlineStr">
        <is>
          <t>COM-01</t>
        </is>
      </c>
      <c r="C34" s="13" t="inlineStr">
        <is>
          <t>Caracterización Gestión Comercial (CAR-COM-01)</t>
        </is>
      </c>
      <c r="D34" s="13" t="inlineStr">
        <is>
          <t>Objetivo, alcance y actividades PHVA del proceso</t>
        </is>
      </c>
      <c r="E34" s="20" t="inlineStr">
        <is>
          <t>[D] Datos / Información</t>
        </is>
      </c>
      <c r="F34" s="20" t="inlineStr">
        <is>
          <t>[int] Datos de gestión interna</t>
        </is>
      </c>
      <c r="G34" s="21" t="inlineStr">
        <is>
          <t>Gestión Comercial</t>
        </is>
      </c>
      <c r="H34" s="21" t="inlineStr">
        <is>
          <t>Lider del SIG</t>
        </is>
      </c>
      <c r="I34" s="21" t="n"/>
      <c r="J34" s="21" t="inlineStr">
        <is>
          <t>Nube</t>
        </is>
      </c>
      <c r="K34" s="21" t="inlineStr">
        <is>
          <t>No aplica</t>
        </is>
      </c>
      <c r="L34" s="21" t="inlineStr">
        <is>
          <t>Por definir</t>
        </is>
      </c>
      <c r="M34" s="21" t="inlineStr">
        <is>
          <t>Por definir</t>
        </is>
      </c>
      <c r="N34" s="21" t="inlineStr">
        <is>
          <t>Por definir</t>
        </is>
      </c>
      <c r="O34" s="21" t="n"/>
      <c r="P34" s="21" t="n"/>
      <c r="Q34" s="20" t="inlineStr">
        <is>
          <t>3 — Medio</t>
        </is>
      </c>
      <c r="R34" s="20" t="inlineStr">
        <is>
          <t>3 — Medio</t>
        </is>
      </c>
      <c r="S34" s="20" t="inlineStr">
        <is>
          <t>2 — Bajo</t>
        </is>
      </c>
      <c r="T34" s="19">
        <f>MAX(IFERROR(VLOOKUP(Q34,MgValor,2,0),0),IFERROR(VLOOKUP(R34,MgValor,2,0),0),IFERROR(VLOOKUP(S34,MgValor,2,0),0))</f>
        <v/>
      </c>
      <c r="U34" s="19">
        <f>IFERROR(LOOKUP(T34,{0;1;2;3;4;5},{"Irrelevante";"Muy Bajo";"Bajo";"Medio";"Alto";"Muy Alto"}),"")</f>
        <v/>
      </c>
    </row>
    <row r="35" ht="30" customHeight="1" s="54">
      <c r="B35" s="59" t="inlineStr">
        <is>
          <t>FIN-01</t>
        </is>
      </c>
      <c r="C35" s="13" t="inlineStr">
        <is>
          <t>Caracterización Gestión Financiera (CAR-FIN-01)</t>
        </is>
      </c>
      <c r="D35" s="13" t="inlineStr">
        <is>
          <t>Objetivo, alcance y actividades PHVA del proceso</t>
        </is>
      </c>
      <c r="E35" s="20" t="inlineStr">
        <is>
          <t>[D] Datos / Información</t>
        </is>
      </c>
      <c r="F35" s="20" t="inlineStr">
        <is>
          <t>[int] Datos de gestión interna</t>
        </is>
      </c>
      <c r="G35" s="21" t="inlineStr">
        <is>
          <t>Gestión Financiera</t>
        </is>
      </c>
      <c r="H35" s="21" t="inlineStr">
        <is>
          <t>Líder del SIG</t>
        </is>
      </c>
      <c r="I35" s="21" t="n"/>
      <c r="J35" s="21" t="inlineStr">
        <is>
          <t>Nube</t>
        </is>
      </c>
      <c r="K35" s="21" t="inlineStr">
        <is>
          <t>No aplica</t>
        </is>
      </c>
      <c r="L35" s="21" t="inlineStr">
        <is>
          <t>Por definir</t>
        </is>
      </c>
      <c r="M35" s="21" t="inlineStr">
        <is>
          <t>Por definir</t>
        </is>
      </c>
      <c r="N35" s="21" t="inlineStr">
        <is>
          <t>Por definir</t>
        </is>
      </c>
      <c r="O35" s="21" t="n"/>
      <c r="P35" s="21" t="n"/>
      <c r="Q35" s="20" t="inlineStr">
        <is>
          <t>3 — Medio</t>
        </is>
      </c>
      <c r="R35" s="20" t="inlineStr">
        <is>
          <t>3 — Medio</t>
        </is>
      </c>
      <c r="S35" s="20" t="inlineStr">
        <is>
          <t>2 — Bajo</t>
        </is>
      </c>
      <c r="T35" s="19">
        <f>MAX(IFERROR(VLOOKUP(Q35,MgValor,2,0),0),IFERROR(VLOOKUP(R35,MgValor,2,0),0),IFERROR(VLOOKUP(S35,MgValor,2,0),0))</f>
        <v/>
      </c>
      <c r="U35" s="19">
        <f>IFERROR(LOOKUP(T35,{0;1;2;3;4;5},{"Irrelevante";"Muy Bajo";"Bajo";"Medio";"Alto";"Muy Alto"}),"")</f>
        <v/>
      </c>
    </row>
    <row r="36" ht="30" customHeight="1" s="54">
      <c r="B36" s="59" t="inlineStr">
        <is>
          <t>LCO-01</t>
        </is>
      </c>
      <c r="C36" s="13" t="inlineStr">
        <is>
          <t>Caracterización Gestión Legal y Compras (CAR-LCO-01)</t>
        </is>
      </c>
      <c r="D36" s="13" t="inlineStr">
        <is>
          <t>Objetivo, alcance y actividades PHVA del proceso</t>
        </is>
      </c>
      <c r="E36" s="20" t="inlineStr">
        <is>
          <t>[D] Datos / Información</t>
        </is>
      </c>
      <c r="F36" s="20" t="inlineStr">
        <is>
          <t>[int] Datos de gestión interna</t>
        </is>
      </c>
      <c r="G36" s="21" t="inlineStr">
        <is>
          <t>Gestión Legal y Compras</t>
        </is>
      </c>
      <c r="H36" s="21" t="inlineStr">
        <is>
          <t>Lider del SIG</t>
        </is>
      </c>
      <c r="I36" s="21" t="n"/>
      <c r="J36" s="21" t="inlineStr">
        <is>
          <t>Nube</t>
        </is>
      </c>
      <c r="K36" s="21" t="inlineStr">
        <is>
          <t>No aplica</t>
        </is>
      </c>
      <c r="L36" s="21" t="inlineStr">
        <is>
          <t>Por definir</t>
        </is>
      </c>
      <c r="M36" s="21" t="inlineStr">
        <is>
          <t>Por definir</t>
        </is>
      </c>
      <c r="N36" s="21" t="inlineStr">
        <is>
          <t>Por definir</t>
        </is>
      </c>
      <c r="O36" s="21" t="n"/>
      <c r="P36" s="21" t="n"/>
      <c r="Q36" s="20" t="inlineStr">
        <is>
          <t>3 — Medio</t>
        </is>
      </c>
      <c r="R36" s="20" t="inlineStr">
        <is>
          <t>3 — Medio</t>
        </is>
      </c>
      <c r="S36" s="20" t="inlineStr">
        <is>
          <t>2 — Bajo</t>
        </is>
      </c>
      <c r="T36" s="19">
        <f>MAX(IFERROR(VLOOKUP(Q36,MgValor,2,0),0),IFERROR(VLOOKUP(R36,MgValor,2,0),0),IFERROR(VLOOKUP(S36,MgValor,2,0),0))</f>
        <v/>
      </c>
      <c r="U36" s="19">
        <f>IFERROR(LOOKUP(T36,{0;1;2;3;4;5},{"Irrelevante";"Muy Bajo";"Bajo";"Medio";"Alto";"Muy Alto"}),"")</f>
        <v/>
      </c>
    </row>
    <row r="37" ht="30" customHeight="1" s="54">
      <c r="B37" s="59" t="inlineStr">
        <is>
          <t>TAL-01</t>
        </is>
      </c>
      <c r="C37" s="13" t="inlineStr">
        <is>
          <t>Caracterización Talento Humano (CAR-TAL-01)</t>
        </is>
      </c>
      <c r="D37" s="13" t="inlineStr">
        <is>
          <t>Objetivo, alcance y actividades PHVA del proceso</t>
        </is>
      </c>
      <c r="E37" s="20" t="inlineStr">
        <is>
          <t>[D] Datos / Información</t>
        </is>
      </c>
      <c r="F37" s="20" t="inlineStr">
        <is>
          <t>[int] Datos de gestión interna</t>
        </is>
      </c>
      <c r="G37" s="21" t="inlineStr">
        <is>
          <t>Talento Humano</t>
        </is>
      </c>
      <c r="H37" s="21" t="inlineStr">
        <is>
          <t>Líder del SIG</t>
        </is>
      </c>
      <c r="I37" s="21" t="n"/>
      <c r="J37" s="21" t="inlineStr">
        <is>
          <t>Nube</t>
        </is>
      </c>
      <c r="K37" s="21" t="inlineStr">
        <is>
          <t>No aplica</t>
        </is>
      </c>
      <c r="L37" s="21" t="inlineStr">
        <is>
          <t>Por definir</t>
        </is>
      </c>
      <c r="M37" s="21" t="inlineStr">
        <is>
          <t>Sí</t>
        </is>
      </c>
      <c r="N37" s="21" t="inlineStr">
        <is>
          <t>Por definir</t>
        </is>
      </c>
      <c r="O37" s="21" t="n"/>
      <c r="P37" s="21" t="n"/>
      <c r="Q37" s="20" t="inlineStr">
        <is>
          <t>3 — Medio</t>
        </is>
      </c>
      <c r="R37" s="20" t="inlineStr">
        <is>
          <t>3 — Medio</t>
        </is>
      </c>
      <c r="S37" s="20" t="inlineStr">
        <is>
          <t>2 — Bajo</t>
        </is>
      </c>
      <c r="T37" s="19">
        <f>MAX(IFERROR(VLOOKUP(Q37,MgValor,2,0),0),IFERROR(VLOOKUP(R37,MgValor,2,0),0),IFERROR(VLOOKUP(S37,MgValor,2,0),0))</f>
        <v/>
      </c>
      <c r="U37" s="19">
        <f>IFERROR(LOOKUP(T37,{0;1;2;3;4;5},{"Irrelevante";"Muy Bajo";"Bajo";"Medio";"Alto";"Muy Alto"}),"")</f>
        <v/>
      </c>
    </row>
    <row r="38" ht="45" customHeight="1" s="54">
      <c r="B38" s="59" t="inlineStr">
        <is>
          <t>FIN-12</t>
        </is>
      </c>
      <c r="C38" s="13" t="inlineStr">
        <is>
          <t>Flujos de caja y presupuestos</t>
        </is>
      </c>
      <c r="D38" s="13" t="inlineStr">
        <is>
          <t>Planeación financiera, flujo de caja semanal, presupuesto anual</t>
        </is>
      </c>
      <c r="E38" s="20" t="inlineStr">
        <is>
          <t>[D] Datos / Información</t>
        </is>
      </c>
      <c r="F38" s="20" t="inlineStr">
        <is>
          <t>[int] Datos de gestión interna</t>
        </is>
      </c>
      <c r="G38" s="21" t="inlineStr">
        <is>
          <t>Gestión Financiera</t>
        </is>
      </c>
      <c r="H38" s="21" t="inlineStr">
        <is>
          <t>Finance and Administrative Manager</t>
        </is>
      </c>
      <c r="I38" s="21" t="n"/>
      <c r="J38" s="21" t="inlineStr">
        <is>
          <t>Nube</t>
        </is>
      </c>
      <c r="K38" s="21" t="inlineStr">
        <is>
          <t>No aplica</t>
        </is>
      </c>
      <c r="L38" s="21" t="inlineStr">
        <is>
          <t>Por definir</t>
        </is>
      </c>
      <c r="M38" s="21" t="inlineStr">
        <is>
          <t>Por definir</t>
        </is>
      </c>
      <c r="N38" s="21" t="inlineStr">
        <is>
          <t>Por definir</t>
        </is>
      </c>
      <c r="O38" s="21" t="n"/>
      <c r="P38" s="21" t="n"/>
      <c r="Q38" s="20" t="inlineStr">
        <is>
          <t>3 — Medio</t>
        </is>
      </c>
      <c r="R38" s="20" t="inlineStr">
        <is>
          <t>4 — Alto</t>
        </is>
      </c>
      <c r="S38" s="20" t="inlineStr">
        <is>
          <t>4 — Alto</t>
        </is>
      </c>
      <c r="T38" s="19">
        <f>MAX(IFERROR(VLOOKUP(Q38,MgValor,2,0),0),IFERROR(VLOOKUP(R38,MgValor,2,0),0),IFERROR(VLOOKUP(S38,MgValor,2,0),0))</f>
        <v/>
      </c>
      <c r="U38" s="19">
        <f>IFERROR(LOOKUP(T38,{0;1;2;3;4;5},{"Irrelevante";"Muy Bajo";"Bajo";"Medio";"Alto";"Muy Alto"}),"")</f>
        <v/>
      </c>
    </row>
    <row r="39" ht="30" customHeight="1" s="54">
      <c r="B39" s="59" t="inlineStr">
        <is>
          <t>COM-08</t>
        </is>
      </c>
      <c r="C39" s="13" t="inlineStr">
        <is>
          <t>Informes de seguimiento y métricas de mercadeo</t>
        </is>
      </c>
      <c r="D39" s="13" t="inlineStr">
        <is>
          <t>Resultados y métricas de campañas ejecutadas</t>
        </is>
      </c>
      <c r="E39" s="20" t="inlineStr">
        <is>
          <t>[D] Datos / Información</t>
        </is>
      </c>
      <c r="F39" s="20" t="inlineStr">
        <is>
          <t>[int] Datos de gestión interna</t>
        </is>
      </c>
      <c r="G39" s="21" t="inlineStr">
        <is>
          <t>Gestión Comercial</t>
        </is>
      </c>
      <c r="H39" s="21" t="inlineStr">
        <is>
          <t>Chief Commercial Officer</t>
        </is>
      </c>
      <c r="I39" s="21" t="n"/>
      <c r="J39" s="21" t="inlineStr">
        <is>
          <t>Nube</t>
        </is>
      </c>
      <c r="K39" s="21" t="inlineStr">
        <is>
          <t>No aplica</t>
        </is>
      </c>
      <c r="L39" s="21" t="inlineStr">
        <is>
          <t>Por definir</t>
        </is>
      </c>
      <c r="M39" s="21" t="inlineStr">
        <is>
          <t>Por definir</t>
        </is>
      </c>
      <c r="N39" s="21" t="inlineStr">
        <is>
          <t>Por definir</t>
        </is>
      </c>
      <c r="O39" s="21" t="n"/>
      <c r="P39" s="21" t="n"/>
      <c r="Q39" s="20" t="inlineStr">
        <is>
          <t>3 — Medio</t>
        </is>
      </c>
      <c r="R39" s="20" t="inlineStr">
        <is>
          <t>3 — Medio</t>
        </is>
      </c>
      <c r="S39" s="20" t="inlineStr">
        <is>
          <t>3 — Medio</t>
        </is>
      </c>
      <c r="T39" s="19">
        <f>MAX(IFERROR(VLOOKUP(Q39,MgValor,2,0),0),IFERROR(VLOOKUP(R39,MgValor,2,0),0),IFERROR(VLOOKUP(S39,MgValor,2,0),0))</f>
        <v/>
      </c>
      <c r="U39" s="19">
        <f>IFERROR(LOOKUP(T39,{0;1;2;3;4;5},{"Irrelevante";"Muy Bajo";"Bajo";"Medio";"Alto";"Muy Alto"}),"")</f>
        <v/>
      </c>
    </row>
    <row r="40" ht="45" customHeight="1" s="54">
      <c r="B40" s="59" t="inlineStr">
        <is>
          <t>FIN-11</t>
        </is>
      </c>
      <c r="C40" s="13" t="inlineStr">
        <is>
          <t>Informes financieros e intercompañía</t>
        </is>
      </c>
      <c r="D40" s="13" t="inlineStr">
        <is>
          <t>Informe financiero, balances de prueba, conciliaciones, reporte intercompañía Cuantico–Innovaciencia</t>
        </is>
      </c>
      <c r="E40" s="20" t="inlineStr">
        <is>
          <t>[D] Datos / Información</t>
        </is>
      </c>
      <c r="F40" s="20" t="inlineStr">
        <is>
          <t>[int] Datos de gestión interna</t>
        </is>
      </c>
      <c r="G40" s="21" t="inlineStr">
        <is>
          <t>Gestión Financiera</t>
        </is>
      </c>
      <c r="H40" s="21" t="inlineStr">
        <is>
          <t>Finance and Administrative Manager</t>
        </is>
      </c>
      <c r="I40" s="21" t="n"/>
      <c r="J40" s="21" t="inlineStr">
        <is>
          <t>Nube</t>
        </is>
      </c>
      <c r="K40" s="21" t="inlineStr">
        <is>
          <t>No aplica</t>
        </is>
      </c>
      <c r="L40" s="21" t="inlineStr">
        <is>
          <t>Por definir</t>
        </is>
      </c>
      <c r="M40" s="21" t="inlineStr">
        <is>
          <t>Por definir</t>
        </is>
      </c>
      <c r="N40" s="21" t="inlineStr">
        <is>
          <t>Por definir</t>
        </is>
      </c>
      <c r="O40" s="21" t="n"/>
      <c r="P40" s="21" t="n"/>
      <c r="Q40" s="20" t="inlineStr">
        <is>
          <t>3 — Medio</t>
        </is>
      </c>
      <c r="R40" s="20" t="inlineStr">
        <is>
          <t>4 — Alto</t>
        </is>
      </c>
      <c r="S40" s="20" t="inlineStr">
        <is>
          <t>4 — Alto</t>
        </is>
      </c>
      <c r="T40" s="19">
        <f>MAX(IFERROR(VLOOKUP(Q40,MgValor,2,0),0),IFERROR(VLOOKUP(R40,MgValor,2,0),0),IFERROR(VLOOKUP(S40,MgValor,2,0),0))</f>
        <v/>
      </c>
      <c r="U40" s="19">
        <f>IFERROR(LOOKUP(T40,{0;1;2;3;4;5},{"Irrelevante";"Muy Bajo";"Bajo";"Medio";"Alto";"Muy Alto"}),"")</f>
        <v/>
      </c>
    </row>
    <row r="41" ht="30" customHeight="1" s="54">
      <c r="B41" s="59" t="inlineStr">
        <is>
          <t>COM-04</t>
        </is>
      </c>
      <c r="C41" s="13" t="inlineStr">
        <is>
          <t>Manual de Marca Cuantico (MAN-COM-01)</t>
        </is>
      </c>
      <c r="D41" s="13" t="inlineStr">
        <is>
          <t>Lineamientos de identidad visual, logo, colores y tipografías de la marca</t>
        </is>
      </c>
      <c r="E41" s="20" t="inlineStr">
        <is>
          <t>[D] Datos / Información</t>
        </is>
      </c>
      <c r="F41" s="20" t="inlineStr">
        <is>
          <t>[int] Datos de gestión interna</t>
        </is>
      </c>
      <c r="G41" s="21" t="inlineStr">
        <is>
          <t>Gestión Comercial</t>
        </is>
      </c>
      <c r="H41" s="21" t="inlineStr">
        <is>
          <t>Lider del SIG</t>
        </is>
      </c>
      <c r="I41" s="21" t="n"/>
      <c r="J41" s="21" t="inlineStr">
        <is>
          <t>Nube</t>
        </is>
      </c>
      <c r="K41" s="21" t="inlineStr">
        <is>
          <t>No aplica</t>
        </is>
      </c>
      <c r="L41" s="21" t="inlineStr">
        <is>
          <t>Por definir</t>
        </is>
      </c>
      <c r="M41" s="21" t="inlineStr">
        <is>
          <t>Por definir</t>
        </is>
      </c>
      <c r="N41" s="21" t="inlineStr">
        <is>
          <t>Por definir</t>
        </is>
      </c>
      <c r="O41" s="21" t="n"/>
      <c r="P41" s="21" t="n"/>
      <c r="Q41" s="20" t="inlineStr">
        <is>
          <t>3 — Medio</t>
        </is>
      </c>
      <c r="R41" s="20" t="inlineStr">
        <is>
          <t>4 — Alto</t>
        </is>
      </c>
      <c r="S41" s="20" t="inlineStr">
        <is>
          <t>2 — Bajo</t>
        </is>
      </c>
      <c r="T41" s="19">
        <f>MAX(IFERROR(VLOOKUP(Q41,MgValor,2,0),0),IFERROR(VLOOKUP(R41,MgValor,2,0),0),IFERROR(VLOOKUP(S41,MgValor,2,0),0))</f>
        <v/>
      </c>
      <c r="U41" s="19">
        <f>IFERROR(LOOKUP(T41,{0;1;2;3;4;5},{"Irrelevante";"Muy Bajo";"Bajo";"Medio";"Alto";"Muy Alto"}),"")</f>
        <v/>
      </c>
    </row>
    <row r="42" ht="30" customHeight="1" s="54">
      <c r="B42" s="59" t="inlineStr">
        <is>
          <t>TAL-06</t>
        </is>
      </c>
      <c r="C42" s="13" t="inlineStr">
        <is>
          <t>Manual de Perfiles de Cargo (MAN-TAL-01)</t>
        </is>
      </c>
      <c r="D42" s="13" t="inlineStr">
        <is>
          <t>Requisitos, funciones y competencias por cargo</t>
        </is>
      </c>
      <c r="E42" s="20" t="inlineStr">
        <is>
          <t>[D] Datos / Información</t>
        </is>
      </c>
      <c r="F42" s="20" t="inlineStr">
        <is>
          <t>[int] Datos de gestión interna</t>
        </is>
      </c>
      <c r="G42" s="21" t="inlineStr">
        <is>
          <t>Talento Humano</t>
        </is>
      </c>
      <c r="H42" s="21" t="inlineStr">
        <is>
          <t>Líder del SIG</t>
        </is>
      </c>
      <c r="I42" s="21" t="n"/>
      <c r="J42" s="21" t="inlineStr">
        <is>
          <t>Nube</t>
        </is>
      </c>
      <c r="K42" s="21" t="inlineStr">
        <is>
          <t>No aplica</t>
        </is>
      </c>
      <c r="L42" s="21" t="inlineStr">
        <is>
          <t>Por definir</t>
        </is>
      </c>
      <c r="M42" s="21" t="inlineStr">
        <is>
          <t>Por definir</t>
        </is>
      </c>
      <c r="N42" s="21" t="inlineStr">
        <is>
          <t>Por definir</t>
        </is>
      </c>
      <c r="O42" s="21" t="n"/>
      <c r="P42" s="21" t="n"/>
      <c r="Q42" s="20" t="inlineStr">
        <is>
          <t>3 — Medio</t>
        </is>
      </c>
      <c r="R42" s="20" t="inlineStr">
        <is>
          <t>4 — Alto</t>
        </is>
      </c>
      <c r="S42" s="20" t="inlineStr">
        <is>
          <t>2 — Bajo</t>
        </is>
      </c>
      <c r="T42" s="19">
        <f>MAX(IFERROR(VLOOKUP(Q42,MgValor,2,0),0),IFERROR(VLOOKUP(R42,MgValor,2,0),0),IFERROR(VLOOKUP(S42,MgValor,2,0),0))</f>
        <v/>
      </c>
      <c r="U42" s="19">
        <f>IFERROR(LOOKUP(T42,{0;1;2;3;4;5},{"Irrelevante";"Muy Bajo";"Bajo";"Medio";"Alto";"Muy Alto"}),"")</f>
        <v/>
      </c>
    </row>
    <row r="43" ht="120" customHeight="1" s="54">
      <c r="B43" s="59" t="inlineStr">
        <is>
          <t>COM-07</t>
        </is>
      </c>
      <c r="C43" s="13" t="inlineStr">
        <is>
          <t>Marketing</t>
        </is>
      </c>
      <c r="D43" s="13" t="inlineStr">
        <is>
          <t>Repositorio centralizado que contiene la información y los recursos de marketing de todas las soluciones de Cuantico, incluyendo logotipos, manuales de marca, campañas, piezas gráficas, contenidos para sitios web, presentaciones, material comercial, publicaciones y demás activos de comunicación.</t>
        </is>
      </c>
      <c r="E43" s="20" t="inlineStr">
        <is>
          <t>[D] Datos / Información</t>
        </is>
      </c>
      <c r="F43" s="20" t="inlineStr">
        <is>
          <t>[int] Datos de gestión interna</t>
        </is>
      </c>
      <c r="G43" s="21" t="inlineStr">
        <is>
          <t>Gestión Comercial</t>
        </is>
      </c>
      <c r="H43" s="21" t="inlineStr">
        <is>
          <t>Chief Commercial Officer</t>
        </is>
      </c>
      <c r="I43" s="21" t="n"/>
      <c r="J43" s="21" t="inlineStr">
        <is>
          <t>Nube</t>
        </is>
      </c>
      <c r="K43" s="21" t="inlineStr">
        <is>
          <t>No aplica</t>
        </is>
      </c>
      <c r="L43" s="21" t="inlineStr">
        <is>
          <t>Por definir</t>
        </is>
      </c>
      <c r="M43" s="21" t="inlineStr">
        <is>
          <t>Por definir</t>
        </is>
      </c>
      <c r="N43" s="21" t="inlineStr">
        <is>
          <t>Por definir</t>
        </is>
      </c>
      <c r="O43" s="21" t="n"/>
      <c r="P43" s="21" t="n"/>
      <c r="Q43" s="20" t="inlineStr">
        <is>
          <t>3 — Medio</t>
        </is>
      </c>
      <c r="R43" s="20" t="inlineStr">
        <is>
          <t>3 — Medio</t>
        </is>
      </c>
      <c r="S43" s="20" t="inlineStr">
        <is>
          <t>2 — Bajo</t>
        </is>
      </c>
      <c r="T43" s="19">
        <f>MAX(IFERROR(VLOOKUP(Q43,MgValor,2,0),0),IFERROR(VLOOKUP(R43,MgValor,2,0),0),IFERROR(VLOOKUP(S43,MgValor,2,0),0))</f>
        <v/>
      </c>
      <c r="U43" s="19">
        <f>IFERROR(LOOKUP(T43,{0;1;2;3;4;5},{"Irrelevante";"Muy Bajo";"Bajo";"Medio";"Alto";"Muy Alto"}),"")</f>
        <v/>
      </c>
    </row>
    <row r="44" ht="45" customHeight="1" s="54">
      <c r="B44" s="59" t="inlineStr">
        <is>
          <t>TAL-14</t>
        </is>
      </c>
      <c r="C44" s="13" t="inlineStr">
        <is>
          <t>Matriz de Planeación de Talento Humano</t>
        </is>
      </c>
      <c r="D44" s="13" t="inlineStr">
        <is>
          <t>Necesidades de talento, aprobada en Comité de Gerencia</t>
        </is>
      </c>
      <c r="E44" s="20" t="inlineStr">
        <is>
          <t>[D] Datos / Información</t>
        </is>
      </c>
      <c r="F44" s="20" t="inlineStr">
        <is>
          <t>[int] Datos de gestión interna</t>
        </is>
      </c>
      <c r="G44" s="21" t="inlineStr">
        <is>
          <t>Talento Humano</t>
        </is>
      </c>
      <c r="H44" s="21" t="inlineStr">
        <is>
          <t>Finance and Administrative Manager</t>
        </is>
      </c>
      <c r="I44" s="21" t="n"/>
      <c r="J44" s="21" t="inlineStr">
        <is>
          <t>Nube</t>
        </is>
      </c>
      <c r="K44" s="21" t="inlineStr">
        <is>
          <t>No aplica</t>
        </is>
      </c>
      <c r="L44" s="21" t="inlineStr">
        <is>
          <t>Por definir</t>
        </is>
      </c>
      <c r="M44" s="21" t="inlineStr">
        <is>
          <t>Sí</t>
        </is>
      </c>
      <c r="N44" s="21" t="inlineStr">
        <is>
          <t>Por definir</t>
        </is>
      </c>
      <c r="O44" s="21" t="n"/>
      <c r="P44" s="21" t="n"/>
      <c r="Q44" s="20" t="inlineStr">
        <is>
          <t>3 — Medio</t>
        </is>
      </c>
      <c r="R44" s="20" t="inlineStr">
        <is>
          <t>4 — Alto</t>
        </is>
      </c>
      <c r="S44" s="20" t="inlineStr">
        <is>
          <t>3 — Medio</t>
        </is>
      </c>
      <c r="T44" s="19">
        <f>MAX(IFERROR(VLOOKUP(Q44,MgValor,2,0),0),IFERROR(VLOOKUP(R44,MgValor,2,0),0),IFERROR(VLOOKUP(S44,MgValor,2,0),0))</f>
        <v/>
      </c>
      <c r="U44" s="19">
        <f>IFERROR(LOOKUP(T44,{0;1;2;3;4;5},{"Irrelevante";"Muy Bajo";"Bajo";"Medio";"Alto";"Muy Alto"}),"")</f>
        <v/>
      </c>
    </row>
    <row r="45" ht="30" customHeight="1" s="54">
      <c r="B45" s="59" t="inlineStr">
        <is>
          <t>COM-06</t>
        </is>
      </c>
      <c r="C45" s="13" t="inlineStr">
        <is>
          <t>Plan de marketing</t>
        </is>
      </c>
      <c r="D45" s="13" t="inlineStr">
        <is>
          <t>Estrategias, tácticas y campañas de mercadeo</t>
        </is>
      </c>
      <c r="E45" s="20" t="inlineStr">
        <is>
          <t>[D] Datos / Información</t>
        </is>
      </c>
      <c r="F45" s="20" t="inlineStr">
        <is>
          <t>[int] Datos de gestión interna</t>
        </is>
      </c>
      <c r="G45" s="21" t="inlineStr">
        <is>
          <t>Gestión Comercial</t>
        </is>
      </c>
      <c r="H45" s="21" t="inlineStr">
        <is>
          <t>Chief Commercial Officer</t>
        </is>
      </c>
      <c r="I45" s="21" t="n"/>
      <c r="J45" s="21" t="inlineStr">
        <is>
          <t>Nube</t>
        </is>
      </c>
      <c r="K45" s="21" t="inlineStr">
        <is>
          <t>No aplica</t>
        </is>
      </c>
      <c r="L45" s="21" t="inlineStr">
        <is>
          <t>Por definir</t>
        </is>
      </c>
      <c r="M45" s="21" t="inlineStr">
        <is>
          <t>Por definir</t>
        </is>
      </c>
      <c r="N45" s="21" t="inlineStr">
        <is>
          <t>Por definir</t>
        </is>
      </c>
      <c r="O45" s="21" t="n"/>
      <c r="P45" s="21" t="n"/>
      <c r="Q45" s="20" t="inlineStr">
        <is>
          <t>3 — Medio</t>
        </is>
      </c>
      <c r="R45" s="20" t="inlineStr">
        <is>
          <t>4 — Alto</t>
        </is>
      </c>
      <c r="S45" s="20" t="inlineStr">
        <is>
          <t>3 — Medio</t>
        </is>
      </c>
      <c r="T45" s="19">
        <f>MAX(IFERROR(VLOOKUP(Q45,MgValor,2,0),0),IFERROR(VLOOKUP(R45,MgValor,2,0),0),IFERROR(VLOOKUP(S45,MgValor,2,0),0))</f>
        <v/>
      </c>
      <c r="U45" s="19">
        <f>IFERROR(LOOKUP(T45,{0;1;2;3;4;5},{"Irrelevante";"Muy Bajo";"Bajo";"Medio";"Alto";"Muy Alto"}),"")</f>
        <v/>
      </c>
    </row>
    <row r="46" ht="30" customHeight="1" s="54">
      <c r="B46" s="59" t="inlineStr">
        <is>
          <t>FIN-04</t>
        </is>
      </c>
      <c r="C46" s="13" t="inlineStr">
        <is>
          <t>Política de Viáticos Cuantico (POL-FIN-01)</t>
        </is>
      </c>
      <c r="D46" s="13" t="inlineStr">
        <is>
          <t>Lineamientos para solicitud y aprobación de viáticos</t>
        </is>
      </c>
      <c r="E46" s="20" t="inlineStr">
        <is>
          <t>[D] Datos / Información</t>
        </is>
      </c>
      <c r="F46" s="20" t="inlineStr">
        <is>
          <t>[int] Datos de gestión interna</t>
        </is>
      </c>
      <c r="G46" s="21" t="inlineStr">
        <is>
          <t>Gestión Financiera</t>
        </is>
      </c>
      <c r="H46" s="21" t="inlineStr">
        <is>
          <t>Líder del SIG</t>
        </is>
      </c>
      <c r="I46" s="21" t="n"/>
      <c r="J46" s="21" t="inlineStr">
        <is>
          <t>Nube</t>
        </is>
      </c>
      <c r="K46" s="21" t="inlineStr">
        <is>
          <t>No aplica</t>
        </is>
      </c>
      <c r="L46" s="21" t="inlineStr">
        <is>
          <t>Por definir</t>
        </is>
      </c>
      <c r="M46" s="21" t="inlineStr">
        <is>
          <t>Por definir</t>
        </is>
      </c>
      <c r="N46" s="21" t="inlineStr">
        <is>
          <t>Por definir</t>
        </is>
      </c>
      <c r="O46" s="21" t="n"/>
      <c r="P46" s="21" t="n"/>
      <c r="Q46" s="20" t="inlineStr">
        <is>
          <t>3 — Medio</t>
        </is>
      </c>
      <c r="R46" s="20" t="inlineStr">
        <is>
          <t>4 — Alto</t>
        </is>
      </c>
      <c r="S46" s="20" t="inlineStr">
        <is>
          <t>2 — Bajo</t>
        </is>
      </c>
      <c r="T46" s="19">
        <f>MAX(IFERROR(VLOOKUP(Q46,MgValor,2,0),0),IFERROR(VLOOKUP(R46,MgValor,2,0),0),IFERROR(VLOOKUP(S46,MgValor,2,0),0))</f>
        <v/>
      </c>
      <c r="U46" s="19">
        <f>IFERROR(LOOKUP(T46,{0;1;2;3;4;5},{"Irrelevante";"Muy Bajo";"Bajo";"Medio";"Alto";"Muy Alto"}),"")</f>
        <v/>
      </c>
    </row>
    <row r="47" ht="30" customHeight="1" s="54">
      <c r="B47" s="59" t="inlineStr">
        <is>
          <t>TAL-04</t>
        </is>
      </c>
      <c r="C47" s="13" t="inlineStr">
        <is>
          <t>Procedimiento Desvinculación de personal (PRO-TAL-03)</t>
        </is>
      </c>
      <c r="D47" s="13" t="inlineStr">
        <is>
          <t>Gestión de retiro y desvinculación de colaboradores</t>
        </is>
      </c>
      <c r="E47" s="20" t="inlineStr">
        <is>
          <t>[D] Datos / Información</t>
        </is>
      </c>
      <c r="F47" s="20" t="inlineStr">
        <is>
          <t>[int] Datos de gestión interna</t>
        </is>
      </c>
      <c r="G47" s="21" t="inlineStr">
        <is>
          <t>Talento Humano</t>
        </is>
      </c>
      <c r="H47" s="21" t="inlineStr">
        <is>
          <t>Líder del SIG</t>
        </is>
      </c>
      <c r="I47" s="21" t="n"/>
      <c r="J47" s="21" t="inlineStr">
        <is>
          <t>Nube</t>
        </is>
      </c>
      <c r="K47" s="21" t="inlineStr">
        <is>
          <t>No aplica</t>
        </is>
      </c>
      <c r="L47" s="21" t="inlineStr">
        <is>
          <t>Por definir</t>
        </is>
      </c>
      <c r="M47" s="21" t="inlineStr">
        <is>
          <t>Sí</t>
        </is>
      </c>
      <c r="N47" s="21" t="inlineStr">
        <is>
          <t>Por definir</t>
        </is>
      </c>
      <c r="O47" s="21" t="n"/>
      <c r="P47" s="21" t="n"/>
      <c r="Q47" s="20" t="inlineStr">
        <is>
          <t>3 — Medio</t>
        </is>
      </c>
      <c r="R47" s="20" t="inlineStr">
        <is>
          <t>2 — Bajo</t>
        </is>
      </c>
      <c r="S47" s="20" t="inlineStr">
        <is>
          <t>2 — Bajo</t>
        </is>
      </c>
      <c r="T47" s="19">
        <f>MAX(IFERROR(VLOOKUP(Q47,MgValor,2,0),0),IFERROR(VLOOKUP(R47,MgValor,2,0),0),IFERROR(VLOOKUP(S47,MgValor,2,0),0))</f>
        <v/>
      </c>
      <c r="U47" s="19">
        <f>IFERROR(LOOKUP(T47,{0;1;2;3;4;5},{"Irrelevante";"Muy Bajo";"Bajo";"Medio";"Alto";"Muy Alto"}),"")</f>
        <v/>
      </c>
    </row>
    <row r="48" ht="30" customHeight="1" s="54">
      <c r="B48" s="59" t="inlineStr">
        <is>
          <t>TAL-05</t>
        </is>
      </c>
      <c r="C48" s="13" t="inlineStr">
        <is>
          <t>Procedimiento Formación y Capacitación de Personal (PRO-TAL-04)</t>
        </is>
      </c>
      <c r="D48" s="13" t="inlineStr">
        <is>
          <t>Inducción, reinducción, capacitación y evaluación</t>
        </is>
      </c>
      <c r="E48" s="20" t="inlineStr">
        <is>
          <t>[D] Datos / Información</t>
        </is>
      </c>
      <c r="F48" s="20" t="inlineStr">
        <is>
          <t>[int] Datos de gestión interna</t>
        </is>
      </c>
      <c r="G48" s="21" t="inlineStr">
        <is>
          <t>Talento Humano</t>
        </is>
      </c>
      <c r="H48" s="21" t="inlineStr">
        <is>
          <t>Líder del SIG</t>
        </is>
      </c>
      <c r="I48" s="21" t="n"/>
      <c r="J48" s="21" t="inlineStr">
        <is>
          <t>Nube</t>
        </is>
      </c>
      <c r="K48" s="21" t="inlineStr">
        <is>
          <t>No aplica</t>
        </is>
      </c>
      <c r="L48" s="21" t="inlineStr">
        <is>
          <t>Por definir</t>
        </is>
      </c>
      <c r="M48" s="21" t="inlineStr">
        <is>
          <t>Sí</t>
        </is>
      </c>
      <c r="N48" s="21" t="inlineStr">
        <is>
          <t>Por definir</t>
        </is>
      </c>
      <c r="O48" s="21" t="n"/>
      <c r="P48" s="21" t="n"/>
      <c r="Q48" s="20" t="inlineStr">
        <is>
          <t>3 — Medio</t>
        </is>
      </c>
      <c r="R48" s="20" t="inlineStr">
        <is>
          <t>2 — Bajo</t>
        </is>
      </c>
      <c r="S48" s="20" t="inlineStr">
        <is>
          <t>2 — Bajo</t>
        </is>
      </c>
      <c r="T48" s="19">
        <f>MAX(IFERROR(VLOOKUP(Q48,MgValor,2,0),0),IFERROR(VLOOKUP(R48,MgValor,2,0),0),IFERROR(VLOOKUP(S48,MgValor,2,0),0))</f>
        <v/>
      </c>
      <c r="U48" s="19">
        <f>IFERROR(LOOKUP(T48,{0;1;2;3;4;5},{"Irrelevante";"Muy Bajo";"Bajo";"Medio";"Alto";"Muy Alto"}),"")</f>
        <v/>
      </c>
    </row>
    <row r="49" ht="30" customHeight="1" s="54">
      <c r="B49" s="59" t="inlineStr">
        <is>
          <t>COM-03</t>
        </is>
      </c>
      <c r="C49" s="13" t="inlineStr">
        <is>
          <t>Procedimiento Gestión Comercial (PRO-COM-02)</t>
        </is>
      </c>
      <c r="D49" s="13" t="inlineStr">
        <is>
          <t>Lineamientos para estructuración de negocios y gestión de ventas</t>
        </is>
      </c>
      <c r="E49" s="20" t="inlineStr">
        <is>
          <t>[D] Datos / Información</t>
        </is>
      </c>
      <c r="F49" s="20" t="inlineStr">
        <is>
          <t>[int] Datos de gestión interna</t>
        </is>
      </c>
      <c r="G49" s="21" t="inlineStr">
        <is>
          <t>Gestión Comercial</t>
        </is>
      </c>
      <c r="H49" s="21" t="inlineStr">
        <is>
          <t>Lider del SIG</t>
        </is>
      </c>
      <c r="I49" s="21" t="n"/>
      <c r="J49" s="21" t="inlineStr">
        <is>
          <t>Nube</t>
        </is>
      </c>
      <c r="K49" s="21" t="inlineStr">
        <is>
          <t>No aplica</t>
        </is>
      </c>
      <c r="L49" s="21" t="inlineStr">
        <is>
          <t>Por definir</t>
        </is>
      </c>
      <c r="M49" s="21" t="inlineStr">
        <is>
          <t>Por definir</t>
        </is>
      </c>
      <c r="N49" s="21" t="inlineStr">
        <is>
          <t>Por definir</t>
        </is>
      </c>
      <c r="O49" s="21" t="n"/>
      <c r="P49" s="21" t="n"/>
      <c r="Q49" s="20" t="inlineStr">
        <is>
          <t>3 — Medio</t>
        </is>
      </c>
      <c r="R49" s="20" t="inlineStr">
        <is>
          <t>2 — Bajo</t>
        </is>
      </c>
      <c r="S49" s="20" t="inlineStr">
        <is>
          <t>2 — Bajo</t>
        </is>
      </c>
      <c r="T49" s="19">
        <f>MAX(IFERROR(VLOOKUP(Q49,MgValor,2,0),0),IFERROR(VLOOKUP(R49,MgValor,2,0),0),IFERROR(VLOOKUP(S49,MgValor,2,0),0))</f>
        <v/>
      </c>
      <c r="U49" s="19">
        <f>IFERROR(LOOKUP(T49,{0;1;2;3;4;5},{"Irrelevante";"Muy Bajo";"Bajo";"Medio";"Alto";"Muy Alto"}),"")</f>
        <v/>
      </c>
    </row>
    <row r="50" ht="30" customHeight="1" s="54">
      <c r="B50" s="59" t="inlineStr">
        <is>
          <t>FIN-02</t>
        </is>
      </c>
      <c r="C50" s="13" t="inlineStr">
        <is>
          <t>Procedimiento Gestión contable y tributaria (PRO-FIN-02)</t>
        </is>
      </c>
      <c r="D50" s="13" t="inlineStr">
        <is>
          <t>Lineamientos para gestión contable, tributaria y liquidación de nómina</t>
        </is>
      </c>
      <c r="E50" s="20" t="inlineStr">
        <is>
          <t>[D] Datos / Información</t>
        </is>
      </c>
      <c r="F50" s="20" t="inlineStr">
        <is>
          <t>[int] Datos de gestión interna</t>
        </is>
      </c>
      <c r="G50" s="21" t="inlineStr">
        <is>
          <t>Gestión Financiera</t>
        </is>
      </c>
      <c r="H50" s="21" t="inlineStr">
        <is>
          <t>Líder del SIG</t>
        </is>
      </c>
      <c r="I50" s="21" t="n"/>
      <c r="J50" s="21" t="inlineStr">
        <is>
          <t>Nube</t>
        </is>
      </c>
      <c r="K50" s="21" t="inlineStr">
        <is>
          <t>No aplica</t>
        </is>
      </c>
      <c r="L50" s="21" t="inlineStr">
        <is>
          <t>Por definir</t>
        </is>
      </c>
      <c r="M50" s="21" t="inlineStr">
        <is>
          <t>Sí</t>
        </is>
      </c>
      <c r="N50" s="21" t="inlineStr">
        <is>
          <t>Por definir</t>
        </is>
      </c>
      <c r="O50" s="21" t="n"/>
      <c r="P50" s="21" t="n"/>
      <c r="Q50" s="20" t="inlineStr">
        <is>
          <t>3 — Medio</t>
        </is>
      </c>
      <c r="R50" s="20" t="inlineStr">
        <is>
          <t>2 — Bajo</t>
        </is>
      </c>
      <c r="S50" s="20" t="inlineStr">
        <is>
          <t>2 — Bajo</t>
        </is>
      </c>
      <c r="T50" s="19">
        <f>MAX(IFERROR(VLOOKUP(Q50,MgValor,2,0),0),IFERROR(VLOOKUP(R50,MgValor,2,0),0),IFERROR(VLOOKUP(S50,MgValor,2,0),0))</f>
        <v/>
      </c>
      <c r="U50" s="19">
        <f>IFERROR(LOOKUP(T50,{0;1;2;3;4;5},{"Irrelevante";"Muy Bajo";"Bajo";"Medio";"Alto";"Muy Alto"}),"")</f>
        <v/>
      </c>
    </row>
    <row r="51" ht="30" customHeight="1" s="54">
      <c r="B51" s="59" t="inlineStr">
        <is>
          <t>COM-02</t>
        </is>
      </c>
      <c r="C51" s="13" t="inlineStr">
        <is>
          <t>Procedimiento Gestión de Mercadeo (PRO-COM-01)</t>
        </is>
      </c>
      <c r="D51" s="13" t="inlineStr">
        <is>
          <t>Lineamientos para desarrollar y ejecutar estrategias de mercadeo</t>
        </is>
      </c>
      <c r="E51" s="20" t="inlineStr">
        <is>
          <t>[D] Datos / Información</t>
        </is>
      </c>
      <c r="F51" s="20" t="inlineStr">
        <is>
          <t>[int] Datos de gestión interna</t>
        </is>
      </c>
      <c r="G51" s="21" t="inlineStr">
        <is>
          <t>Gestión Comercial</t>
        </is>
      </c>
      <c r="H51" s="21" t="inlineStr">
        <is>
          <t>Lider del SIG</t>
        </is>
      </c>
      <c r="I51" s="21" t="n"/>
      <c r="J51" s="21" t="inlineStr">
        <is>
          <t>Nube</t>
        </is>
      </c>
      <c r="K51" s="21" t="inlineStr">
        <is>
          <t>No aplica</t>
        </is>
      </c>
      <c r="L51" s="21" t="inlineStr">
        <is>
          <t>Por definir</t>
        </is>
      </c>
      <c r="M51" s="21" t="inlineStr">
        <is>
          <t>Por definir</t>
        </is>
      </c>
      <c r="N51" s="21" t="inlineStr">
        <is>
          <t>Por definir</t>
        </is>
      </c>
      <c r="O51" s="21" t="n"/>
      <c r="P51" s="21" t="n"/>
      <c r="Q51" s="20" t="inlineStr">
        <is>
          <t>3 — Medio</t>
        </is>
      </c>
      <c r="R51" s="20" t="inlineStr">
        <is>
          <t>2 — Bajo</t>
        </is>
      </c>
      <c r="S51" s="20" t="inlineStr">
        <is>
          <t>2 — Bajo</t>
        </is>
      </c>
      <c r="T51" s="19">
        <f>MAX(IFERROR(VLOOKUP(Q51,MgValor,2,0),0),IFERROR(VLOOKUP(R51,MgValor,2,0),0),IFERROR(VLOOKUP(S51,MgValor,2,0),0))</f>
        <v/>
      </c>
      <c r="U51" s="19">
        <f>IFERROR(LOOKUP(T51,{0;1;2;3;4;5},{"Irrelevante";"Muy Bajo";"Bajo";"Medio";"Alto";"Muy Alto"}),"")</f>
        <v/>
      </c>
    </row>
    <row r="52" ht="30" customHeight="1" s="54">
      <c r="B52" s="59" t="inlineStr">
        <is>
          <t>FIN-03</t>
        </is>
      </c>
      <c r="C52" s="13" t="inlineStr">
        <is>
          <t>Procedimiento Gestión de tesorería (PRO-FIN-03)</t>
        </is>
      </c>
      <c r="D52" s="13" t="inlineStr">
        <is>
          <t>Lineamientos para programación, aprobación y ejecución de pagos</t>
        </is>
      </c>
      <c r="E52" s="20" t="inlineStr">
        <is>
          <t>[D] Datos / Información</t>
        </is>
      </c>
      <c r="F52" s="20" t="inlineStr">
        <is>
          <t>[int] Datos de gestión interna</t>
        </is>
      </c>
      <c r="G52" s="21" t="inlineStr">
        <is>
          <t>Gestión Financiera</t>
        </is>
      </c>
      <c r="H52" s="21" t="inlineStr">
        <is>
          <t>Líder del SIG</t>
        </is>
      </c>
      <c r="I52" s="21" t="n"/>
      <c r="J52" s="21" t="inlineStr">
        <is>
          <t>Nube</t>
        </is>
      </c>
      <c r="K52" s="21" t="inlineStr">
        <is>
          <t>No aplica</t>
        </is>
      </c>
      <c r="L52" s="21" t="inlineStr">
        <is>
          <t>Por definir</t>
        </is>
      </c>
      <c r="M52" s="21" t="inlineStr">
        <is>
          <t>Por definir</t>
        </is>
      </c>
      <c r="N52" s="21" t="inlineStr">
        <is>
          <t>Por definir</t>
        </is>
      </c>
      <c r="O52" s="21" t="n"/>
      <c r="P52" s="21" t="n"/>
      <c r="Q52" s="20" t="inlineStr">
        <is>
          <t>3 — Medio</t>
        </is>
      </c>
      <c r="R52" s="20" t="inlineStr">
        <is>
          <t>2 — Bajo</t>
        </is>
      </c>
      <c r="S52" s="20" t="inlineStr">
        <is>
          <t>2 — Bajo</t>
        </is>
      </c>
      <c r="T52" s="19">
        <f>MAX(IFERROR(VLOOKUP(Q52,MgValor,2,0),0),IFERROR(VLOOKUP(R52,MgValor,2,0),0),IFERROR(VLOOKUP(S52,MgValor,2,0),0))</f>
        <v/>
      </c>
      <c r="U52" s="19">
        <f>IFERROR(LOOKUP(T52,{0;1;2;3;4;5},{"Irrelevante";"Muy Bajo";"Bajo";"Medio";"Alto";"Muy Alto"}),"")</f>
        <v/>
      </c>
    </row>
    <row r="53" ht="30" customHeight="1" s="54">
      <c r="B53" s="59" t="inlineStr">
        <is>
          <t>TAL-02</t>
        </is>
      </c>
      <c r="C53" s="13" t="inlineStr">
        <is>
          <t>Procedimiento Gestión del Talento Humano (PRO-TAL-01)</t>
        </is>
      </c>
      <c r="D53" s="13" t="inlineStr">
        <is>
          <t>Convocatoria, selección y contratación de personal</t>
        </is>
      </c>
      <c r="E53" s="20" t="inlineStr">
        <is>
          <t>[D] Datos / Información</t>
        </is>
      </c>
      <c r="F53" s="20" t="inlineStr">
        <is>
          <t>[int] Datos de gestión interna</t>
        </is>
      </c>
      <c r="G53" s="21" t="inlineStr">
        <is>
          <t>Talento Humano</t>
        </is>
      </c>
      <c r="H53" s="21" t="inlineStr">
        <is>
          <t>Líder del SIG</t>
        </is>
      </c>
      <c r="I53" s="21" t="n"/>
      <c r="J53" s="21" t="inlineStr">
        <is>
          <t>Nube</t>
        </is>
      </c>
      <c r="K53" s="21" t="inlineStr">
        <is>
          <t>No aplica</t>
        </is>
      </c>
      <c r="L53" s="21" t="inlineStr">
        <is>
          <t>Por definir</t>
        </is>
      </c>
      <c r="M53" s="21" t="inlineStr">
        <is>
          <t>Sí</t>
        </is>
      </c>
      <c r="N53" s="21" t="inlineStr">
        <is>
          <t>Por definir</t>
        </is>
      </c>
      <c r="O53" s="21" t="n"/>
      <c r="P53" s="21" t="n"/>
      <c r="Q53" s="20" t="inlineStr">
        <is>
          <t>3 — Medio</t>
        </is>
      </c>
      <c r="R53" s="20" t="inlineStr">
        <is>
          <t>2 — Bajo</t>
        </is>
      </c>
      <c r="S53" s="20" t="inlineStr">
        <is>
          <t>2 — Bajo</t>
        </is>
      </c>
      <c r="T53" s="19">
        <f>MAX(IFERROR(VLOOKUP(Q53,MgValor,2,0),0),IFERROR(VLOOKUP(R53,MgValor,2,0),0),IFERROR(VLOOKUP(S53,MgValor,2,0),0))</f>
        <v/>
      </c>
      <c r="U53" s="19">
        <f>IFERROR(LOOKUP(T53,{0;1;2;3;4;5},{"Irrelevante";"Muy Bajo";"Bajo";"Medio";"Alto";"Muy Alto"}),"")</f>
        <v/>
      </c>
    </row>
    <row r="54" ht="30" customHeight="1" s="54">
      <c r="B54" s="59" t="inlineStr">
        <is>
          <t>TAL-03</t>
        </is>
      </c>
      <c r="C54" s="13" t="inlineStr">
        <is>
          <t>Procedimiento Planeación y Desarrollo del Talento Humano (PRO-TAL-02)</t>
        </is>
      </c>
      <c r="D54" s="13" t="inlineStr">
        <is>
          <t>Planeación de perfiles y necesidades de formación</t>
        </is>
      </c>
      <c r="E54" s="20" t="inlineStr">
        <is>
          <t>[D] Datos / Información</t>
        </is>
      </c>
      <c r="F54" s="20" t="inlineStr">
        <is>
          <t>[int] Datos de gestión interna</t>
        </is>
      </c>
      <c r="G54" s="21" t="inlineStr">
        <is>
          <t>Talento Humano</t>
        </is>
      </c>
      <c r="H54" s="21" t="inlineStr">
        <is>
          <t>Líder del SIG</t>
        </is>
      </c>
      <c r="I54" s="21" t="n"/>
      <c r="J54" s="21" t="inlineStr">
        <is>
          <t>Nube</t>
        </is>
      </c>
      <c r="K54" s="21" t="inlineStr">
        <is>
          <t>Desarrollo</t>
        </is>
      </c>
      <c r="L54" s="21" t="inlineStr">
        <is>
          <t>Por definir</t>
        </is>
      </c>
      <c r="M54" s="21" t="inlineStr">
        <is>
          <t>Sí</t>
        </is>
      </c>
      <c r="N54" s="21" t="inlineStr">
        <is>
          <t>Por definir</t>
        </is>
      </c>
      <c r="O54" s="21" t="n"/>
      <c r="P54" s="21" t="n"/>
      <c r="Q54" s="20" t="inlineStr">
        <is>
          <t>3 — Medio</t>
        </is>
      </c>
      <c r="R54" s="20" t="inlineStr">
        <is>
          <t>2 — Bajo</t>
        </is>
      </c>
      <c r="S54" s="20" t="inlineStr">
        <is>
          <t>2 — Bajo</t>
        </is>
      </c>
      <c r="T54" s="19">
        <f>MAX(IFERROR(VLOOKUP(Q54,MgValor,2,0),0),IFERROR(VLOOKUP(R54,MgValor,2,0),0),IFERROR(VLOOKUP(S54,MgValor,2,0),0))</f>
        <v/>
      </c>
      <c r="U54" s="19">
        <f>IFERROR(LOOKUP(T54,{0;1;2;3;4;5},{"Irrelevante";"Muy Bajo";"Bajo";"Medio";"Alto";"Muy Alto"}),"")</f>
        <v/>
      </c>
    </row>
    <row r="55" ht="30" customHeight="1" s="54">
      <c r="B55" s="59" t="inlineStr">
        <is>
          <t>LCO-03</t>
        </is>
      </c>
      <c r="C55" s="13" t="inlineStr">
        <is>
          <t>Procedimiento evaluación y reevaluación de proveedores (PRO-LCO-02)</t>
        </is>
      </c>
      <c r="D55" s="13" t="inlineStr">
        <is>
          <t>Lineamientos para evaluar desempeño de proveedores</t>
        </is>
      </c>
      <c r="E55" s="20" t="inlineStr">
        <is>
          <t>[D] Datos / Información</t>
        </is>
      </c>
      <c r="F55" s="20" t="inlineStr">
        <is>
          <t>[int] Datos de gestión interna</t>
        </is>
      </c>
      <c r="G55" s="21" t="inlineStr">
        <is>
          <t>Gestión Legal y Compras</t>
        </is>
      </c>
      <c r="H55" s="21" t="inlineStr">
        <is>
          <t>Lider del SIG</t>
        </is>
      </c>
      <c r="I55" s="21" t="n"/>
      <c r="J55" s="21" t="inlineStr">
        <is>
          <t>Nube</t>
        </is>
      </c>
      <c r="K55" s="21" t="inlineStr">
        <is>
          <t>No aplica</t>
        </is>
      </c>
      <c r="L55" s="21" t="inlineStr">
        <is>
          <t>Por definir</t>
        </is>
      </c>
      <c r="M55" s="21" t="inlineStr">
        <is>
          <t>Por definir</t>
        </is>
      </c>
      <c r="N55" s="21" t="inlineStr">
        <is>
          <t>Por definir</t>
        </is>
      </c>
      <c r="O55" s="21" t="n"/>
      <c r="P55" s="21" t="n"/>
      <c r="Q55" s="20" t="inlineStr">
        <is>
          <t>3 — Medio</t>
        </is>
      </c>
      <c r="R55" s="20" t="inlineStr">
        <is>
          <t>2 — Bajo</t>
        </is>
      </c>
      <c r="S55" s="20" t="inlineStr">
        <is>
          <t>2 — Bajo</t>
        </is>
      </c>
      <c r="T55" s="19">
        <f>MAX(IFERROR(VLOOKUP(Q55,MgValor,2,0),0),IFERROR(VLOOKUP(R55,MgValor,2,0),0),IFERROR(VLOOKUP(S55,MgValor,2,0),0))</f>
        <v/>
      </c>
      <c r="U55" s="19">
        <f>IFERROR(LOOKUP(T55,{0;1;2;3;4;5},{"Irrelevante";"Muy Bajo";"Bajo";"Medio";"Alto";"Muy Alto"}),"")</f>
        <v/>
      </c>
    </row>
    <row r="56" ht="30" customHeight="1" s="54">
      <c r="B56" s="59" t="inlineStr">
        <is>
          <t>LCO-02</t>
        </is>
      </c>
      <c r="C56" s="13" t="inlineStr">
        <is>
          <t>Procedimiento selección y contratación de proveedores (PRO-LCO-01)</t>
        </is>
      </c>
      <c r="D56" s="13" t="inlineStr">
        <is>
          <t>Lineamientos para seleccionar y contratar proveedores</t>
        </is>
      </c>
      <c r="E56" s="20" t="inlineStr">
        <is>
          <t>[D] Datos / Información</t>
        </is>
      </c>
      <c r="F56" s="20" t="inlineStr">
        <is>
          <t>[int] Datos de gestión interna</t>
        </is>
      </c>
      <c r="G56" s="21" t="inlineStr">
        <is>
          <t>Gestión Legal y Compras</t>
        </is>
      </c>
      <c r="H56" s="21" t="inlineStr">
        <is>
          <t>Lider del SIG</t>
        </is>
      </c>
      <c r="I56" s="21" t="n"/>
      <c r="J56" s="21" t="inlineStr">
        <is>
          <t>Nube</t>
        </is>
      </c>
      <c r="K56" s="21" t="inlineStr">
        <is>
          <t>No aplica</t>
        </is>
      </c>
      <c r="L56" s="21" t="inlineStr">
        <is>
          <t>Por definir</t>
        </is>
      </c>
      <c r="M56" s="21" t="inlineStr">
        <is>
          <t>Por definir</t>
        </is>
      </c>
      <c r="N56" s="21" t="inlineStr">
        <is>
          <t>Por definir</t>
        </is>
      </c>
      <c r="O56" s="21" t="n"/>
      <c r="P56" s="21" t="n"/>
      <c r="Q56" s="20" t="inlineStr">
        <is>
          <t>3 — Medio</t>
        </is>
      </c>
      <c r="R56" s="20" t="inlineStr">
        <is>
          <t>3 — Medio</t>
        </is>
      </c>
      <c r="S56" s="20" t="inlineStr">
        <is>
          <t>2 — Bajo</t>
        </is>
      </c>
      <c r="T56" s="19">
        <f>MAX(IFERROR(VLOOKUP(Q56,MgValor,2,0),0),IFERROR(VLOOKUP(R56,MgValor,2,0),0),IFERROR(VLOOKUP(S56,MgValor,2,0),0))</f>
        <v/>
      </c>
      <c r="U56" s="19">
        <f>IFERROR(LOOKUP(T56,{0;1;2;3;4;5},{"Irrelevante";"Muy Bajo";"Bajo";"Medio";"Alto";"Muy Alto"}),"")</f>
        <v/>
      </c>
    </row>
    <row r="57" ht="45" customHeight="1" s="54">
      <c r="B57" s="59" t="inlineStr">
        <is>
          <t>TAL-10</t>
        </is>
      </c>
      <c r="C57" s="13" t="inlineStr">
        <is>
          <t>Reglamento Interno de Trabajo</t>
        </is>
      </c>
      <c r="D57" s="13" t="inlineStr">
        <is>
          <t>Normas internas de la relación laboral</t>
        </is>
      </c>
      <c r="E57" s="20" t="inlineStr">
        <is>
          <t>[D] Datos / Información</t>
        </is>
      </c>
      <c r="F57" s="20" t="inlineStr">
        <is>
          <t>[int] Datos de gestión interna</t>
        </is>
      </c>
      <c r="G57" s="21" t="inlineStr">
        <is>
          <t>Talento Humano</t>
        </is>
      </c>
      <c r="H57" s="21" t="inlineStr">
        <is>
          <t>Finance and Administrative Manager</t>
        </is>
      </c>
      <c r="I57" s="21" t="n"/>
      <c r="J57" s="21" t="inlineStr">
        <is>
          <t>Nube</t>
        </is>
      </c>
      <c r="K57" s="21" t="inlineStr">
        <is>
          <t>No aplica</t>
        </is>
      </c>
      <c r="L57" s="21" t="inlineStr">
        <is>
          <t>Por definir</t>
        </is>
      </c>
      <c r="M57" s="21" t="inlineStr">
        <is>
          <t>Por definir</t>
        </is>
      </c>
      <c r="N57" s="21" t="inlineStr">
        <is>
          <t>Por definir</t>
        </is>
      </c>
      <c r="O57" s="21" t="n"/>
      <c r="P57" s="21" t="n"/>
      <c r="Q57" s="20" t="inlineStr">
        <is>
          <t>2 — Bajo</t>
        </is>
      </c>
      <c r="R57" s="20" t="inlineStr">
        <is>
          <t>4 — Alto</t>
        </is>
      </c>
      <c r="S57" s="20" t="inlineStr">
        <is>
          <t>2 — Bajo</t>
        </is>
      </c>
      <c r="T57" s="19">
        <f>MAX(IFERROR(VLOOKUP(Q57,MgValor,2,0),0),IFERROR(VLOOKUP(R57,MgValor,2,0),0),IFERROR(VLOOKUP(S57,MgValor,2,0),0))</f>
        <v/>
      </c>
      <c r="U57" s="19">
        <f>IFERROR(LOOKUP(T57,{0;1;2;3;4;5},{"Irrelevante";"Muy Bajo";"Bajo";"Medio";"Alto";"Muy Alto"}),"")</f>
        <v/>
      </c>
    </row>
    <row r="58" ht="30" customHeight="1" s="54">
      <c r="B58" s="59" t="inlineStr">
        <is>
          <t>GH-022</t>
        </is>
      </c>
      <c r="C58" s="13" t="inlineStr">
        <is>
          <t>ai-specs</t>
        </is>
      </c>
      <c r="D58" s="13" t="inlineStr">
        <is>
          <t>AI Specifications</t>
        </is>
      </c>
      <c r="E58" s="20" t="inlineStr">
        <is>
          <t>[D] Datos / Información</t>
        </is>
      </c>
      <c r="F58" s="20" t="inlineStr">
        <is>
          <t>[source] Código fuente</t>
        </is>
      </c>
      <c r="G58" s="21" t="inlineStr">
        <is>
          <t>Gestión Tecnológica</t>
        </is>
      </c>
      <c r="H58" s="21" t="inlineStr">
        <is>
          <t>Jhon Tamayo</t>
        </is>
      </c>
      <c r="I58" s="21" t="n"/>
      <c r="J58" s="21" t="inlineStr">
        <is>
          <t>Nube</t>
        </is>
      </c>
      <c r="K58" s="21" t="inlineStr">
        <is>
          <t>No aplica</t>
        </is>
      </c>
      <c r="L58" s="21" t="inlineStr">
        <is>
          <t>Por definir</t>
        </is>
      </c>
      <c r="M58" s="21" t="inlineStr">
        <is>
          <t>Por definir</t>
        </is>
      </c>
      <c r="N58" s="21" t="inlineStr">
        <is>
          <t>Por definir</t>
        </is>
      </c>
      <c r="O58" s="21" t="n"/>
      <c r="P58" s="21" t="n"/>
      <c r="Q58" s="20" t="inlineStr">
        <is>
          <t>3 — Medio</t>
        </is>
      </c>
      <c r="R58" s="20" t="inlineStr">
        <is>
          <t>3 — Medio</t>
        </is>
      </c>
      <c r="S58" s="20" t="inlineStr">
        <is>
          <t>3 — Medio</t>
        </is>
      </c>
      <c r="T58" s="19">
        <f>MAX(IFERROR(VLOOKUP(Q58,MgValor,2,0),0),IFERROR(VLOOKUP(R58,MgValor,2,0),0),IFERROR(VLOOKUP(S58,MgValor,2,0),0))</f>
        <v/>
      </c>
      <c r="U58" s="19">
        <f>IFERROR(LOOKUP(T58,{0;1;2;3;4;5},{"Irrelevante";"Muy Bajo";"Bajo";"Medio";"Alto";"Muy Alto"}),"")</f>
        <v/>
      </c>
    </row>
    <row r="59" ht="30" customHeight="1" s="54">
      <c r="B59" s="59" t="inlineStr">
        <is>
          <t>GH-015</t>
        </is>
      </c>
      <c r="C59" s="13" t="inlineStr">
        <is>
          <t>automatizcion_inc</t>
        </is>
      </c>
      <c r="D59" s="13" t="inlineStr">
        <is>
          <t>Automatizaciones INC</t>
        </is>
      </c>
      <c r="E59" s="20" t="inlineStr">
        <is>
          <t>[D] Datos / Información</t>
        </is>
      </c>
      <c r="F59" s="20" t="inlineStr">
        <is>
          <t>[source] Código fuente</t>
        </is>
      </c>
      <c r="G59" s="21" t="inlineStr">
        <is>
          <t>Gestión Tecnológica</t>
        </is>
      </c>
      <c r="H59" s="21" t="inlineStr">
        <is>
          <t>Jhon Tamayo</t>
        </is>
      </c>
      <c r="I59" s="21" t="n"/>
      <c r="J59" s="21" t="inlineStr">
        <is>
          <t>Nube</t>
        </is>
      </c>
      <c r="K59" s="21" t="inlineStr">
        <is>
          <t>No aplica</t>
        </is>
      </c>
      <c r="L59" s="21" t="inlineStr">
        <is>
          <t>Por definir</t>
        </is>
      </c>
      <c r="M59" s="21" t="inlineStr">
        <is>
          <t>Por definir</t>
        </is>
      </c>
      <c r="N59" s="21" t="inlineStr">
        <is>
          <t>Por definir</t>
        </is>
      </c>
      <c r="O59" s="21" t="n"/>
      <c r="P59" s="21" t="n"/>
      <c r="Q59" s="20" t="inlineStr">
        <is>
          <t>3 — Medio</t>
        </is>
      </c>
      <c r="R59" s="20" t="inlineStr">
        <is>
          <t>3 — Medio</t>
        </is>
      </c>
      <c r="S59" s="20" t="inlineStr">
        <is>
          <t>4 — Alto</t>
        </is>
      </c>
      <c r="T59" s="19">
        <f>MAX(IFERROR(VLOOKUP(Q59,MgValor,2,0),0),IFERROR(VLOOKUP(R59,MgValor,2,0),0),IFERROR(VLOOKUP(S59,MgValor,2,0),0))</f>
        <v/>
      </c>
      <c r="U59" s="19">
        <f>IFERROR(LOOKUP(T59,{0;1;2;3;4;5},{"Irrelevante";"Muy Bajo";"Bajo";"Medio";"Alto";"Muy Alto"}),"")</f>
        <v/>
      </c>
    </row>
    <row r="60" ht="30" customHeight="1" s="54">
      <c r="B60" s="59" t="inlineStr">
        <is>
          <t>GH-019</t>
        </is>
      </c>
      <c r="C60" s="13" t="inlineStr">
        <is>
          <t>bot-almera</t>
        </is>
      </c>
      <c r="D60" s="13" t="inlineStr">
        <is>
          <t>Bot Almera</t>
        </is>
      </c>
      <c r="E60" s="20" t="inlineStr">
        <is>
          <t>[D] Datos / Información</t>
        </is>
      </c>
      <c r="F60" s="20" t="inlineStr">
        <is>
          <t>[source] Código fuente</t>
        </is>
      </c>
      <c r="G60" s="21" t="inlineStr">
        <is>
          <t>Gestión Tecnológica</t>
        </is>
      </c>
      <c r="H60" s="21" t="inlineStr">
        <is>
          <t>Jhon Tamayo</t>
        </is>
      </c>
      <c r="I60" s="21" t="n"/>
      <c r="J60" s="21" t="inlineStr">
        <is>
          <t>Nube</t>
        </is>
      </c>
      <c r="K60" s="21" t="inlineStr">
        <is>
          <t>No aplica</t>
        </is>
      </c>
      <c r="L60" s="21" t="inlineStr">
        <is>
          <t>Por definir</t>
        </is>
      </c>
      <c r="M60" s="21" t="inlineStr">
        <is>
          <t>Por definir</t>
        </is>
      </c>
      <c r="N60" s="21" t="inlineStr">
        <is>
          <t>Por definir</t>
        </is>
      </c>
      <c r="O60" s="21" t="n"/>
      <c r="P60" s="21" t="n"/>
      <c r="Q60" s="20" t="inlineStr">
        <is>
          <t>3 — Medio</t>
        </is>
      </c>
      <c r="R60" s="20" t="inlineStr">
        <is>
          <t>3 — Medio</t>
        </is>
      </c>
      <c r="S60" s="20" t="inlineStr">
        <is>
          <t>3 — Medio</t>
        </is>
      </c>
      <c r="T60" s="19">
        <f>MAX(IFERROR(VLOOKUP(Q60,MgValor,2,0),0),IFERROR(VLOOKUP(R60,MgValor,2,0),0),IFERROR(VLOOKUP(S60,MgValor,2,0),0))</f>
        <v/>
      </c>
      <c r="U60" s="19">
        <f>IFERROR(LOOKUP(T60,{0;1;2;3;4;5},{"Irrelevante";"Muy Bajo";"Bajo";"Medio";"Alto";"Muy Alto"}),"")</f>
        <v/>
      </c>
    </row>
    <row r="61" ht="30" customHeight="1" s="54">
      <c r="B61" s="59" t="inlineStr">
        <is>
          <t>GH-055</t>
        </is>
      </c>
      <c r="C61" s="13" t="inlineStr">
        <is>
          <t>cuant-lizca-wp-a</t>
        </is>
      </c>
      <c r="D61" s="13" t="inlineStr">
        <is>
          <t>Implementacion componentes ML</t>
        </is>
      </c>
      <c r="E61" s="20" t="inlineStr">
        <is>
          <t>[D] Datos / Información</t>
        </is>
      </c>
      <c r="F61" s="20" t="inlineStr">
        <is>
          <t>[source] Código fuente</t>
        </is>
      </c>
      <c r="G61" s="21" t="inlineStr">
        <is>
          <t>Gestión Tecnológica</t>
        </is>
      </c>
      <c r="H61" s="21" t="inlineStr">
        <is>
          <t>Jhon Tamayo</t>
        </is>
      </c>
      <c r="I61" s="21" t="n"/>
      <c r="J61" s="21" t="inlineStr">
        <is>
          <t>Nube</t>
        </is>
      </c>
      <c r="K61" s="21" t="inlineStr">
        <is>
          <t>No aplica</t>
        </is>
      </c>
      <c r="L61" s="21" t="inlineStr">
        <is>
          <t>Por definir</t>
        </is>
      </c>
      <c r="M61" s="21" t="inlineStr">
        <is>
          <t>Por definir</t>
        </is>
      </c>
      <c r="N61" s="21" t="inlineStr">
        <is>
          <t>Por definir</t>
        </is>
      </c>
      <c r="O61" s="21" t="n"/>
      <c r="P61" s="21" t="n"/>
      <c r="Q61" s="20" t="inlineStr">
        <is>
          <t>3 — Medio</t>
        </is>
      </c>
      <c r="R61" s="20" t="inlineStr">
        <is>
          <t>3 — Medio</t>
        </is>
      </c>
      <c r="S61" s="20" t="inlineStr">
        <is>
          <t>4 — Alto</t>
        </is>
      </c>
      <c r="T61" s="19">
        <f>MAX(IFERROR(VLOOKUP(Q61,MgValor,2,0),0),IFERROR(VLOOKUP(R61,MgValor,2,0),0),IFERROR(VLOOKUP(S61,MgValor,2,0),0))</f>
        <v/>
      </c>
      <c r="U61" s="19">
        <f>IFERROR(LOOKUP(T61,{0;1;2;3;4;5},{"Irrelevante";"Muy Bajo";"Bajo";"Medio";"Alto";"Muy Alto"}),"")</f>
        <v/>
      </c>
    </row>
    <row r="62" ht="30" customHeight="1" s="54">
      <c r="B62" s="59" t="inlineStr">
        <is>
          <t>GH-037</t>
        </is>
      </c>
      <c r="C62" s="13" t="inlineStr">
        <is>
          <t>cuant-payments-wp-1cero1</t>
        </is>
      </c>
      <c r="D62" s="13" t="inlineStr">
        <is>
          <t>Plugin de integracion pagos con la pasarela 1cero1</t>
        </is>
      </c>
      <c r="E62" s="20" t="inlineStr">
        <is>
          <t>[D] Datos / Información</t>
        </is>
      </c>
      <c r="F62" s="20" t="inlineStr">
        <is>
          <t>[source] Código fuente</t>
        </is>
      </c>
      <c r="G62" s="21" t="inlineStr">
        <is>
          <t>Gestión Tecnológica</t>
        </is>
      </c>
      <c r="H62" s="21" t="inlineStr">
        <is>
          <t>Jhon Tamayo</t>
        </is>
      </c>
      <c r="I62" s="21" t="n"/>
      <c r="J62" s="21" t="inlineStr">
        <is>
          <t>Nube</t>
        </is>
      </c>
      <c r="K62" s="21" t="inlineStr">
        <is>
          <t>No aplica</t>
        </is>
      </c>
      <c r="L62" s="21" t="inlineStr">
        <is>
          <t>Por definir</t>
        </is>
      </c>
      <c r="M62" s="21" t="inlineStr">
        <is>
          <t>Por definir</t>
        </is>
      </c>
      <c r="N62" s="21" t="inlineStr">
        <is>
          <t>Por definir</t>
        </is>
      </c>
      <c r="O62" s="21" t="n"/>
      <c r="P62" s="21" t="n"/>
      <c r="Q62" s="20" t="inlineStr">
        <is>
          <t>3 — Medio</t>
        </is>
      </c>
      <c r="R62" s="20" t="inlineStr">
        <is>
          <t>4 — Alto</t>
        </is>
      </c>
      <c r="S62" s="20" t="inlineStr">
        <is>
          <t>4 — Alto</t>
        </is>
      </c>
      <c r="T62" s="19">
        <f>MAX(IFERROR(VLOOKUP(Q62,MgValor,2,0),0),IFERROR(VLOOKUP(R62,MgValor,2,0),0),IFERROR(VLOOKUP(S62,MgValor,2,0),0))</f>
        <v/>
      </c>
      <c r="U62" s="19">
        <f>IFERROR(LOOKUP(T62,{0;1;2;3;4;5},{"Irrelevante";"Muy Bajo";"Bajo";"Medio";"Alto";"Muy Alto"}),"")</f>
        <v/>
      </c>
    </row>
    <row r="63" ht="30" customHeight="1" s="54">
      <c r="B63" s="59" t="inlineStr">
        <is>
          <t>GH-044</t>
        </is>
      </c>
      <c r="C63" s="13" t="inlineStr">
        <is>
          <t>cuantico-agente-conversacional-ilc</t>
        </is>
      </c>
      <c r="D63" s="13" t="inlineStr">
        <is>
          <t>Agente conversacional ILC</t>
        </is>
      </c>
      <c r="E63" s="20" t="inlineStr">
        <is>
          <t>[D] Datos / Información</t>
        </is>
      </c>
      <c r="F63" s="20" t="inlineStr">
        <is>
          <t>[source] Código fuente</t>
        </is>
      </c>
      <c r="G63" s="21" t="inlineStr">
        <is>
          <t>Gestión Tecnológica</t>
        </is>
      </c>
      <c r="H63" s="21" t="inlineStr">
        <is>
          <t>Jhon Tamayo</t>
        </is>
      </c>
      <c r="I63" s="21" t="n"/>
      <c r="J63" s="21" t="inlineStr">
        <is>
          <t>Nube</t>
        </is>
      </c>
      <c r="K63" s="21" t="inlineStr">
        <is>
          <t>No aplica</t>
        </is>
      </c>
      <c r="L63" s="21" t="inlineStr">
        <is>
          <t>Por definir</t>
        </is>
      </c>
      <c r="M63" s="21" t="inlineStr">
        <is>
          <t>Por definir</t>
        </is>
      </c>
      <c r="N63" s="21" t="inlineStr">
        <is>
          <t>Por definir</t>
        </is>
      </c>
      <c r="O63" s="21" t="n"/>
      <c r="P63" s="21" t="n"/>
      <c r="Q63" s="20" t="inlineStr">
        <is>
          <t>3 — Medio</t>
        </is>
      </c>
      <c r="R63" s="20" t="inlineStr">
        <is>
          <t>3 — Medio</t>
        </is>
      </c>
      <c r="S63" s="20" t="inlineStr">
        <is>
          <t>4 — Alto</t>
        </is>
      </c>
      <c r="T63" s="19">
        <f>MAX(IFERROR(VLOOKUP(Q63,MgValor,2,0),0),IFERROR(VLOOKUP(R63,MgValor,2,0),0),IFERROR(VLOOKUP(S63,MgValor,2,0),0))</f>
        <v/>
      </c>
      <c r="U63" s="19">
        <f>IFERROR(LOOKUP(T63,{0;1;2;3;4;5},{"Irrelevante";"Muy Bajo";"Bajo";"Medio";"Alto";"Muy Alto"}),"")</f>
        <v/>
      </c>
    </row>
    <row r="64" ht="30" customHeight="1" s="54">
      <c r="B64" s="59" t="inlineStr">
        <is>
          <t>GH-045</t>
        </is>
      </c>
      <c r="C64" s="13" t="inlineStr">
        <is>
          <t>cuantico-automatizaciones-flujos-n8n</t>
        </is>
      </c>
      <c r="D64" s="13" t="inlineStr">
        <is>
          <t>Automatizaciones flujos n8n</t>
        </is>
      </c>
      <c r="E64" s="20" t="inlineStr">
        <is>
          <t>[D] Datos / Información</t>
        </is>
      </c>
      <c r="F64" s="20" t="inlineStr">
        <is>
          <t>[source] Código fuente</t>
        </is>
      </c>
      <c r="G64" s="21" t="inlineStr">
        <is>
          <t>Gestión Tecnológica</t>
        </is>
      </c>
      <c r="H64" s="21" t="inlineStr">
        <is>
          <t>Jhon Tamayo</t>
        </is>
      </c>
      <c r="I64" s="21" t="n"/>
      <c r="J64" s="21" t="inlineStr">
        <is>
          <t>Nube</t>
        </is>
      </c>
      <c r="K64" s="21" t="inlineStr">
        <is>
          <t>No aplica</t>
        </is>
      </c>
      <c r="L64" s="21" t="inlineStr">
        <is>
          <t>Por definir</t>
        </is>
      </c>
      <c r="M64" s="21" t="inlineStr">
        <is>
          <t>Por definir</t>
        </is>
      </c>
      <c r="N64" s="21" t="inlineStr">
        <is>
          <t>Por definir</t>
        </is>
      </c>
      <c r="O64" s="21" t="n"/>
      <c r="P64" s="21" t="n"/>
      <c r="Q64" s="20" t="inlineStr">
        <is>
          <t>3 — Medio</t>
        </is>
      </c>
      <c r="R64" s="20" t="inlineStr">
        <is>
          <t>3 — Medio</t>
        </is>
      </c>
      <c r="S64" s="20" t="inlineStr">
        <is>
          <t>4 — Alto</t>
        </is>
      </c>
      <c r="T64" s="19">
        <f>MAX(IFERROR(VLOOKUP(Q64,MgValor,2,0),0),IFERROR(VLOOKUP(R64,MgValor,2,0),0),IFERROR(VLOOKUP(S64,MgValor,2,0),0))</f>
        <v/>
      </c>
      <c r="U64" s="19">
        <f>IFERROR(LOOKUP(T64,{0;1;2;3;4;5},{"Irrelevante";"Muy Bajo";"Bajo";"Medio";"Alto";"Muy Alto"}),"")</f>
        <v/>
      </c>
    </row>
    <row r="65" ht="30" customHeight="1" s="54">
      <c r="B65" s="59" t="inlineStr">
        <is>
          <t>GH-020</t>
        </is>
      </c>
      <c r="C65" s="13" t="inlineStr">
        <is>
          <t>cuantico-ceo-agent</t>
        </is>
      </c>
      <c r="D65" s="13" t="inlineStr">
        <is>
          <t>CEO Agent IA</t>
        </is>
      </c>
      <c r="E65" s="20" t="inlineStr">
        <is>
          <t>[D] Datos / Información</t>
        </is>
      </c>
      <c r="F65" s="20" t="inlineStr">
        <is>
          <t>[source] Código fuente</t>
        </is>
      </c>
      <c r="G65" s="21" t="inlineStr">
        <is>
          <t>Gestión Tecnológica</t>
        </is>
      </c>
      <c r="H65" s="21" t="inlineStr">
        <is>
          <t>Jhon Tamayo</t>
        </is>
      </c>
      <c r="I65" s="21" t="n"/>
      <c r="J65" s="21" t="inlineStr">
        <is>
          <t>Nube</t>
        </is>
      </c>
      <c r="K65" s="21" t="inlineStr">
        <is>
          <t>No aplica</t>
        </is>
      </c>
      <c r="L65" s="21" t="inlineStr">
        <is>
          <t>Por definir</t>
        </is>
      </c>
      <c r="M65" s="21" t="inlineStr">
        <is>
          <t>Por definir</t>
        </is>
      </c>
      <c r="N65" s="21" t="inlineStr">
        <is>
          <t>Por definir</t>
        </is>
      </c>
      <c r="O65" s="21" t="n"/>
      <c r="P65" s="21" t="n"/>
      <c r="Q65" s="20" t="inlineStr">
        <is>
          <t>3 — Medio</t>
        </is>
      </c>
      <c r="R65" s="20" t="inlineStr">
        <is>
          <t>4 — Alto</t>
        </is>
      </c>
      <c r="S65" s="20" t="inlineStr">
        <is>
          <t>4 — Alto</t>
        </is>
      </c>
      <c r="T65" s="19">
        <f>MAX(IFERROR(VLOOKUP(Q65,MgValor,2,0),0),IFERROR(VLOOKUP(R65,MgValor,2,0),0),IFERROR(VLOOKUP(S65,MgValor,2,0),0))</f>
        <v/>
      </c>
      <c r="U65" s="19">
        <f>IFERROR(LOOKUP(T65,{0;1;2;3;4;5},{"Irrelevante";"Muy Bajo";"Bajo";"Medio";"Alto";"Muy Alto"}),"")</f>
        <v/>
      </c>
    </row>
    <row r="66" ht="30" customHeight="1" s="54">
      <c r="B66" s="59" t="inlineStr">
        <is>
          <t>GH-001</t>
        </is>
      </c>
      <c r="C66" s="13" t="inlineStr">
        <is>
          <t>cuantico-crm-pry-l</t>
        </is>
      </c>
      <c r="D66" s="13" t="inlineStr">
        <is>
          <t>Proyecto crm cuantico pry</t>
        </is>
      </c>
      <c r="E66" s="20" t="inlineStr">
        <is>
          <t>[D] Datos / Información</t>
        </is>
      </c>
      <c r="F66" s="20" t="inlineStr">
        <is>
          <t>[source] Código fuente</t>
        </is>
      </c>
      <c r="G66" s="21" t="inlineStr">
        <is>
          <t>Gestión Tecnológica</t>
        </is>
      </c>
      <c r="H66" s="21" t="inlineStr">
        <is>
          <t>Jhon Tamayo</t>
        </is>
      </c>
      <c r="I66" s="21" t="n"/>
      <c r="J66" s="21" t="inlineStr">
        <is>
          <t>Nube</t>
        </is>
      </c>
      <c r="K66" s="21" t="inlineStr">
        <is>
          <t>No aplica</t>
        </is>
      </c>
      <c r="L66" s="21" t="inlineStr">
        <is>
          <t>Sí</t>
        </is>
      </c>
      <c r="M66" s="21" t="inlineStr">
        <is>
          <t>Por definir</t>
        </is>
      </c>
      <c r="N66" s="21" t="inlineStr">
        <is>
          <t>Por definir</t>
        </is>
      </c>
      <c r="O66" s="21" t="n"/>
      <c r="P66" s="21" t="n"/>
      <c r="Q66" s="20" t="inlineStr">
        <is>
          <t>3 — Medio</t>
        </is>
      </c>
      <c r="R66" s="20" t="inlineStr">
        <is>
          <t>4 — Alto</t>
        </is>
      </c>
      <c r="S66" s="20" t="inlineStr">
        <is>
          <t>4 — Alto</t>
        </is>
      </c>
      <c r="T66" s="19">
        <f>MAX(IFERROR(VLOOKUP(Q66,MgValor,2,0),0),IFERROR(VLOOKUP(R66,MgValor,2,0),0),IFERROR(VLOOKUP(S66,MgValor,2,0),0))</f>
        <v/>
      </c>
      <c r="U66" s="19">
        <f>IFERROR(LOOKUP(T66,{0;1;2;3;4;5},{"Irrelevante";"Muy Bajo";"Bajo";"Medio";"Alto";"Muy Alto"}),"")</f>
        <v/>
      </c>
    </row>
    <row r="67" ht="30" customHeight="1" s="54">
      <c r="B67" s="59" t="inlineStr">
        <is>
          <t>GH-034</t>
        </is>
      </c>
      <c r="C67" s="13" t="inlineStr">
        <is>
          <t>cuantico-node-whatsapp-masiv-grange</t>
        </is>
      </c>
      <c r="D67" s="13" t="inlineStr">
        <is>
          <t>Plugin conexion masiva envios whatsapp</t>
        </is>
      </c>
      <c r="E67" s="20" t="inlineStr">
        <is>
          <t>[D] Datos / Información</t>
        </is>
      </c>
      <c r="F67" s="20" t="inlineStr">
        <is>
          <t>[source] Código fuente</t>
        </is>
      </c>
      <c r="G67" s="21" t="inlineStr">
        <is>
          <t>Gestión Tecnológica</t>
        </is>
      </c>
      <c r="H67" s="21" t="inlineStr">
        <is>
          <t>Jhon Tamayo</t>
        </is>
      </c>
      <c r="I67" s="21" t="n"/>
      <c r="J67" s="21" t="inlineStr">
        <is>
          <t>Nube</t>
        </is>
      </c>
      <c r="K67" s="21" t="inlineStr">
        <is>
          <t>No aplica</t>
        </is>
      </c>
      <c r="L67" s="21" t="inlineStr">
        <is>
          <t>Por definir</t>
        </is>
      </c>
      <c r="M67" s="21" t="inlineStr">
        <is>
          <t>Por definir</t>
        </is>
      </c>
      <c r="N67" s="21" t="inlineStr">
        <is>
          <t>Por definir</t>
        </is>
      </c>
      <c r="O67" s="21" t="n"/>
      <c r="P67" s="21" t="n"/>
      <c r="Q67" s="20" t="inlineStr">
        <is>
          <t>3 — Medio</t>
        </is>
      </c>
      <c r="R67" s="20" t="inlineStr">
        <is>
          <t>3 — Medio</t>
        </is>
      </c>
      <c r="S67" s="20" t="inlineStr">
        <is>
          <t>4 — Alto</t>
        </is>
      </c>
      <c r="T67" s="19">
        <f>MAX(IFERROR(VLOOKUP(Q67,MgValor,2,0),0),IFERROR(VLOOKUP(R67,MgValor,2,0),0),IFERROR(VLOOKUP(S67,MgValor,2,0),0))</f>
        <v/>
      </c>
      <c r="U67" s="19">
        <f>IFERROR(LOOKUP(T67,{0;1;2;3;4;5},{"Irrelevante";"Muy Bajo";"Bajo";"Medio";"Alto";"Muy Alto"}),"")</f>
        <v/>
      </c>
    </row>
    <row r="68" ht="30" customHeight="1" s="54">
      <c r="B68" s="59" t="inlineStr">
        <is>
          <t>GH-039</t>
        </is>
      </c>
      <c r="C68" s="13" t="inlineStr">
        <is>
          <t>cuantico-wp-whatsapp-masiv-plg</t>
        </is>
      </c>
      <c r="D68" s="13" t="inlineStr">
        <is>
          <t>Plugin administracion campanas masivas whatsapp</t>
        </is>
      </c>
      <c r="E68" s="20" t="inlineStr">
        <is>
          <t>[D] Datos / Información</t>
        </is>
      </c>
      <c r="F68" s="20" t="inlineStr">
        <is>
          <t>[source] Código fuente</t>
        </is>
      </c>
      <c r="G68" s="21" t="inlineStr">
        <is>
          <t>Gestión Tecnológica</t>
        </is>
      </c>
      <c r="H68" s="21" t="inlineStr">
        <is>
          <t>Jhon Tamayo</t>
        </is>
      </c>
      <c r="I68" s="21" t="n"/>
      <c r="J68" s="21" t="inlineStr">
        <is>
          <t>Nube</t>
        </is>
      </c>
      <c r="K68" s="21" t="inlineStr">
        <is>
          <t>No aplica</t>
        </is>
      </c>
      <c r="L68" s="21" t="inlineStr">
        <is>
          <t>Por definir</t>
        </is>
      </c>
      <c r="M68" s="21" t="inlineStr">
        <is>
          <t>Por definir</t>
        </is>
      </c>
      <c r="N68" s="21" t="inlineStr">
        <is>
          <t>Por definir</t>
        </is>
      </c>
      <c r="O68" s="21" t="n"/>
      <c r="P68" s="21" t="n"/>
      <c r="Q68" s="20" t="inlineStr">
        <is>
          <t>3 — Medio</t>
        </is>
      </c>
      <c r="R68" s="20" t="inlineStr">
        <is>
          <t>3 — Medio</t>
        </is>
      </c>
      <c r="S68" s="20" t="inlineStr">
        <is>
          <t>3 — Medio</t>
        </is>
      </c>
      <c r="T68" s="19">
        <f>MAX(IFERROR(VLOOKUP(Q68,MgValor,2,0),0),IFERROR(VLOOKUP(R68,MgValor,2,0),0),IFERROR(VLOOKUP(S68,MgValor,2,0),0))</f>
        <v/>
      </c>
      <c r="U68" s="19">
        <f>IFERROR(LOOKUP(T68,{0;1;2;3;4;5},{"Irrelevante";"Muy Bajo";"Bajo";"Medio";"Alto";"Muy Alto"}),"")</f>
        <v/>
      </c>
    </row>
    <row r="69" ht="30" customHeight="1" s="54">
      <c r="B69" s="59" t="inlineStr">
        <is>
          <t>GH-054</t>
        </is>
      </c>
      <c r="C69" s="13" t="inlineStr">
        <is>
          <t>cuantico-wp-whatsapp-plg</t>
        </is>
      </c>
      <c r="D69" s="13" t="inlineStr">
        <is>
          <t>Plugin envio notificaciones integracion whatsapp</t>
        </is>
      </c>
      <c r="E69" s="20" t="inlineStr">
        <is>
          <t>[D] Datos / Información</t>
        </is>
      </c>
      <c r="F69" s="20" t="inlineStr">
        <is>
          <t>[source] Código fuente</t>
        </is>
      </c>
      <c r="G69" s="21" t="inlineStr">
        <is>
          <t>Gestión Tecnológica</t>
        </is>
      </c>
      <c r="H69" s="21" t="inlineStr">
        <is>
          <t>Jhon Tamayo</t>
        </is>
      </c>
      <c r="I69" s="21" t="n"/>
      <c r="J69" s="21" t="inlineStr">
        <is>
          <t>Nube</t>
        </is>
      </c>
      <c r="K69" s="21" t="inlineStr">
        <is>
          <t>No aplica</t>
        </is>
      </c>
      <c r="L69" s="21" t="inlineStr">
        <is>
          <t>Por definir</t>
        </is>
      </c>
      <c r="M69" s="21" t="inlineStr">
        <is>
          <t>Por definir</t>
        </is>
      </c>
      <c r="N69" s="21" t="inlineStr">
        <is>
          <t>Por definir</t>
        </is>
      </c>
      <c r="O69" s="21" t="n"/>
      <c r="P69" s="21" t="n"/>
      <c r="Q69" s="20" t="inlineStr">
        <is>
          <t>3 — Medio</t>
        </is>
      </c>
      <c r="R69" s="20" t="inlineStr">
        <is>
          <t>3 — Medio</t>
        </is>
      </c>
      <c r="S69" s="20" t="inlineStr">
        <is>
          <t>3 — Medio</t>
        </is>
      </c>
      <c r="T69" s="19">
        <f>MAX(IFERROR(VLOOKUP(Q69,MgValor,2,0),0),IFERROR(VLOOKUP(R69,MgValor,2,0),0),IFERROR(VLOOKUP(S69,MgValor,2,0),0))</f>
        <v/>
      </c>
      <c r="U69" s="19">
        <f>IFERROR(LOOKUP(T69,{0;1;2;3;4;5},{"Irrelevante";"Muy Bajo";"Bajo";"Medio";"Alto";"Muy Alto"}),"")</f>
        <v/>
      </c>
    </row>
    <row r="70" ht="30" customHeight="1" s="54">
      <c r="B70" s="59" t="inlineStr">
        <is>
          <t>GH-017</t>
        </is>
      </c>
      <c r="C70" s="13" t="inlineStr">
        <is>
          <t>cuantico_start_project</t>
        </is>
      </c>
      <c r="D70" s="13" t="inlineStr">
        <is>
          <t>Start project template</t>
        </is>
      </c>
      <c r="E70" s="20" t="inlineStr">
        <is>
          <t>[D] Datos / Información</t>
        </is>
      </c>
      <c r="F70" s="20" t="inlineStr">
        <is>
          <t>[source] Código fuente</t>
        </is>
      </c>
      <c r="G70" s="21" t="inlineStr">
        <is>
          <t>Gestión Tecnológica</t>
        </is>
      </c>
      <c r="H70" s="21" t="inlineStr">
        <is>
          <t>Jhon Tamayo</t>
        </is>
      </c>
      <c r="I70" s="21" t="n"/>
      <c r="J70" s="21" t="inlineStr">
        <is>
          <t>Nube</t>
        </is>
      </c>
      <c r="K70" s="21" t="inlineStr">
        <is>
          <t>No aplica</t>
        </is>
      </c>
      <c r="L70" s="21" t="inlineStr">
        <is>
          <t>Por definir</t>
        </is>
      </c>
      <c r="M70" s="21" t="inlineStr">
        <is>
          <t>Por definir</t>
        </is>
      </c>
      <c r="N70" s="21" t="inlineStr">
        <is>
          <t>Por definir</t>
        </is>
      </c>
      <c r="O70" s="21" t="n"/>
      <c r="P70" s="21" t="n"/>
      <c r="Q70" s="20" t="inlineStr">
        <is>
          <t>2 — Bajo</t>
        </is>
      </c>
      <c r="R70" s="20" t="inlineStr">
        <is>
          <t>2 — Bajo</t>
        </is>
      </c>
      <c r="S70" s="20" t="inlineStr">
        <is>
          <t>2 — Bajo</t>
        </is>
      </c>
      <c r="T70" s="19">
        <f>MAX(IFERROR(VLOOKUP(Q70,MgValor,2,0),0),IFERROR(VLOOKUP(R70,MgValor,2,0),0),IFERROR(VLOOKUP(S70,MgValor,2,0),0))</f>
        <v/>
      </c>
      <c r="U70" s="19">
        <f>IFERROR(LOOKUP(T70,{0;1;2;3;4;5},{"Irrelevante";"Muy Bajo";"Bajo";"Medio";"Alto";"Muy Alto"}),"")</f>
        <v/>
      </c>
    </row>
    <row r="71" ht="30" customHeight="1" s="54">
      <c r="B71" s="59" t="inlineStr">
        <is>
          <t>GH-032</t>
        </is>
      </c>
      <c r="C71" s="13" t="inlineStr">
        <is>
          <t>dashboard_mintrace</t>
        </is>
      </c>
      <c r="D71" s="13" t="inlineStr">
        <is>
          <t>Dashboard Mintrace</t>
        </is>
      </c>
      <c r="E71" s="20" t="inlineStr">
        <is>
          <t>[D] Datos / Información</t>
        </is>
      </c>
      <c r="F71" s="20" t="inlineStr">
        <is>
          <t>[source] Código fuente</t>
        </is>
      </c>
      <c r="G71" s="21" t="inlineStr">
        <is>
          <t>Gestión Tecnológica</t>
        </is>
      </c>
      <c r="H71" s="21" t="inlineStr">
        <is>
          <t>Jhon Tamayo</t>
        </is>
      </c>
      <c r="I71" s="21" t="n"/>
      <c r="J71" s="21" t="inlineStr">
        <is>
          <t>Nube</t>
        </is>
      </c>
      <c r="K71" s="21" t="inlineStr">
        <is>
          <t>No aplica</t>
        </is>
      </c>
      <c r="L71" s="21" t="inlineStr">
        <is>
          <t>Sí</t>
        </is>
      </c>
      <c r="M71" s="21" t="inlineStr">
        <is>
          <t>Por definir</t>
        </is>
      </c>
      <c r="N71" s="21" t="inlineStr">
        <is>
          <t>Por definir</t>
        </is>
      </c>
      <c r="O71" s="21" t="n"/>
      <c r="P71" s="21" t="n"/>
      <c r="Q71" s="20" t="inlineStr">
        <is>
          <t>3 — Medio</t>
        </is>
      </c>
      <c r="R71" s="20" t="inlineStr">
        <is>
          <t>3 — Medio</t>
        </is>
      </c>
      <c r="S71" s="20" t="inlineStr">
        <is>
          <t>3 — Medio</t>
        </is>
      </c>
      <c r="T71" s="19">
        <f>MAX(IFERROR(VLOOKUP(Q71,MgValor,2,0),0),IFERROR(VLOOKUP(R71,MgValor,2,0),0),IFERROR(VLOOKUP(S71,MgValor,2,0),0))</f>
        <v/>
      </c>
      <c r="U71" s="19">
        <f>IFERROR(LOOKUP(T71,{0;1;2;3;4;5},{"Irrelevante";"Muy Bajo";"Bajo";"Medio";"Alto";"Muy Alto"}),"")</f>
        <v/>
      </c>
    </row>
    <row r="72" ht="30" customHeight="1" s="54">
      <c r="B72" s="59" t="inlineStr">
        <is>
          <t>GH-035</t>
        </is>
      </c>
      <c r="C72" s="13" t="inlineStr">
        <is>
          <t>data_analisis</t>
        </is>
      </c>
      <c r="D72" s="13" t="inlineStr">
        <is>
          <t>Scripts etl python para analitica de datos</t>
        </is>
      </c>
      <c r="E72" s="20" t="inlineStr">
        <is>
          <t>[D] Datos / Información</t>
        </is>
      </c>
      <c r="F72" s="20" t="inlineStr">
        <is>
          <t>[source] Código fuente</t>
        </is>
      </c>
      <c r="G72" s="21" t="inlineStr">
        <is>
          <t>Gestión Tecnológica</t>
        </is>
      </c>
      <c r="H72" s="21" t="inlineStr">
        <is>
          <t>Jhon Tamayo</t>
        </is>
      </c>
      <c r="I72" s="21" t="n"/>
      <c r="J72" s="21" t="inlineStr">
        <is>
          <t>Nube</t>
        </is>
      </c>
      <c r="K72" s="21" t="inlineStr">
        <is>
          <t>No aplica</t>
        </is>
      </c>
      <c r="L72" s="21" t="inlineStr">
        <is>
          <t>Por definir</t>
        </is>
      </c>
      <c r="M72" s="21" t="inlineStr">
        <is>
          <t>Por definir</t>
        </is>
      </c>
      <c r="N72" s="21" t="inlineStr">
        <is>
          <t>Por definir</t>
        </is>
      </c>
      <c r="O72" s="21" t="n"/>
      <c r="P72" s="21" t="n"/>
      <c r="Q72" s="20" t="inlineStr">
        <is>
          <t>3 — Medio</t>
        </is>
      </c>
      <c r="R72" s="20" t="inlineStr">
        <is>
          <t>3 — Medio</t>
        </is>
      </c>
      <c r="S72" s="20" t="inlineStr">
        <is>
          <t>4 — Alto</t>
        </is>
      </c>
      <c r="T72" s="19">
        <f>MAX(IFERROR(VLOOKUP(Q72,MgValor,2,0),0),IFERROR(VLOOKUP(R72,MgValor,2,0),0),IFERROR(VLOOKUP(S72,MgValor,2,0),0))</f>
        <v/>
      </c>
      <c r="U72" s="19">
        <f>IFERROR(LOOKUP(T72,{0;1;2;3;4;5},{"Irrelevante";"Muy Bajo";"Bajo";"Medio";"Alto";"Muy Alto"}),"")</f>
        <v/>
      </c>
    </row>
    <row r="73" ht="30" customHeight="1" s="54">
      <c r="B73" s="59" t="inlineStr">
        <is>
          <t>GH-021</t>
        </is>
      </c>
      <c r="C73" s="13" t="inlineStr">
        <is>
          <t>hub-analytics-ilc</t>
        </is>
      </c>
      <c r="D73" s="13" t="inlineStr">
        <is>
          <t>Hub Analytics ILC</t>
        </is>
      </c>
      <c r="E73" s="20" t="inlineStr">
        <is>
          <t>[D] Datos / Información</t>
        </is>
      </c>
      <c r="F73" s="20" t="inlineStr">
        <is>
          <t>[source] Código fuente</t>
        </is>
      </c>
      <c r="G73" s="21" t="inlineStr">
        <is>
          <t>Gestión Tecnológica</t>
        </is>
      </c>
      <c r="H73" s="21" t="inlineStr">
        <is>
          <t>Jhon Tamayo</t>
        </is>
      </c>
      <c r="I73" s="21" t="n"/>
      <c r="J73" s="21" t="inlineStr">
        <is>
          <t>Nube</t>
        </is>
      </c>
      <c r="K73" s="21" t="inlineStr">
        <is>
          <t>No aplica</t>
        </is>
      </c>
      <c r="L73" s="21" t="inlineStr">
        <is>
          <t>Por definir</t>
        </is>
      </c>
      <c r="M73" s="21" t="inlineStr">
        <is>
          <t>Por definir</t>
        </is>
      </c>
      <c r="N73" s="21" t="inlineStr">
        <is>
          <t>Por definir</t>
        </is>
      </c>
      <c r="O73" s="21" t="n"/>
      <c r="P73" s="21" t="n"/>
      <c r="Q73" s="20" t="inlineStr">
        <is>
          <t>3 — Medio</t>
        </is>
      </c>
      <c r="R73" s="20" t="inlineStr">
        <is>
          <t>3 — Medio</t>
        </is>
      </c>
      <c r="S73" s="20" t="inlineStr">
        <is>
          <t>4 — Alto</t>
        </is>
      </c>
      <c r="T73" s="19">
        <f>MAX(IFERROR(VLOOKUP(Q73,MgValor,2,0),0),IFERROR(VLOOKUP(R73,MgValor,2,0),0),IFERROR(VLOOKUP(S73,MgValor,2,0),0))</f>
        <v/>
      </c>
      <c r="U73" s="19">
        <f>IFERROR(LOOKUP(T73,{0;1;2;3;4;5},{"Irrelevante";"Muy Bajo";"Bajo";"Medio";"Alto";"Muy Alto"}),"")</f>
        <v/>
      </c>
    </row>
    <row r="74" ht="30" customHeight="1" s="54">
      <c r="B74" s="59" t="inlineStr">
        <is>
          <t>GH-016</t>
        </is>
      </c>
      <c r="C74" s="13" t="inlineStr">
        <is>
          <t>mintrace-admin</t>
        </is>
      </c>
      <c r="D74" s="13" t="inlineStr">
        <is>
          <t>Admin panel Mintrace</t>
        </is>
      </c>
      <c r="E74" s="20" t="inlineStr">
        <is>
          <t>[D] Datos / Información</t>
        </is>
      </c>
      <c r="F74" s="20" t="inlineStr">
        <is>
          <t>[source] Código fuente</t>
        </is>
      </c>
      <c r="G74" s="21" t="inlineStr">
        <is>
          <t>Gestión Tecnológica</t>
        </is>
      </c>
      <c r="H74" s="21" t="inlineStr">
        <is>
          <t>Jhon Tamayo</t>
        </is>
      </c>
      <c r="I74" s="21" t="n"/>
      <c r="J74" s="21" t="inlineStr">
        <is>
          <t>Nube</t>
        </is>
      </c>
      <c r="K74" s="21" t="inlineStr">
        <is>
          <t>No aplica</t>
        </is>
      </c>
      <c r="L74" s="21" t="inlineStr">
        <is>
          <t>Sí</t>
        </is>
      </c>
      <c r="M74" s="21" t="inlineStr">
        <is>
          <t>Por definir</t>
        </is>
      </c>
      <c r="N74" s="21" t="inlineStr">
        <is>
          <t>Por definir</t>
        </is>
      </c>
      <c r="O74" s="21" t="n"/>
      <c r="P74" s="21" t="n"/>
      <c r="Q74" s="20" t="inlineStr">
        <is>
          <t>3 — Medio</t>
        </is>
      </c>
      <c r="R74" s="20" t="inlineStr">
        <is>
          <t>3 — Medio</t>
        </is>
      </c>
      <c r="S74" s="20" t="inlineStr">
        <is>
          <t>4 — Alto</t>
        </is>
      </c>
      <c r="T74" s="19">
        <f>MAX(IFERROR(VLOOKUP(Q74,MgValor,2,0),0),IFERROR(VLOOKUP(R74,MgValor,2,0),0),IFERROR(VLOOKUP(S74,MgValor,2,0),0))</f>
        <v/>
      </c>
      <c r="U74" s="19">
        <f>IFERROR(LOOKUP(T74,{0;1;2;3;4;5},{"Irrelevante";"Muy Bajo";"Bajo";"Medio";"Alto";"Muy Alto"}),"")</f>
        <v/>
      </c>
    </row>
    <row r="75" ht="30" customHeight="1" s="54">
      <c r="B75" s="59" t="inlineStr">
        <is>
          <t>GH-004</t>
        </is>
      </c>
      <c r="C75" s="13" t="inlineStr">
        <is>
          <t>mintrace-back-core-n</t>
        </is>
      </c>
      <c r="D75" s="13" t="inlineStr">
        <is>
          <t>Proyecto node back core servicios mintrace</t>
        </is>
      </c>
      <c r="E75" s="20" t="inlineStr">
        <is>
          <t>[D] Datos / Información</t>
        </is>
      </c>
      <c r="F75" s="20" t="inlineStr">
        <is>
          <t>[source] Código fuente</t>
        </is>
      </c>
      <c r="G75" s="21" t="inlineStr">
        <is>
          <t>Gestión Tecnológica</t>
        </is>
      </c>
      <c r="H75" s="21" t="inlineStr">
        <is>
          <t>Jhon Tamayo</t>
        </is>
      </c>
      <c r="I75" s="21" t="n"/>
      <c r="J75" s="21" t="inlineStr">
        <is>
          <t>Nube</t>
        </is>
      </c>
      <c r="K75" s="21" t="inlineStr">
        <is>
          <t>No aplica</t>
        </is>
      </c>
      <c r="L75" s="21" t="inlineStr">
        <is>
          <t>Sí</t>
        </is>
      </c>
      <c r="M75" s="21" t="inlineStr">
        <is>
          <t>Por definir</t>
        </is>
      </c>
      <c r="N75" s="21" t="inlineStr">
        <is>
          <t>Por definir</t>
        </is>
      </c>
      <c r="O75" s="21" t="n"/>
      <c r="P75" s="21" t="n"/>
      <c r="Q75" s="20" t="inlineStr">
        <is>
          <t>3 — Medio</t>
        </is>
      </c>
      <c r="R75" s="20" t="inlineStr">
        <is>
          <t>4 — Alto</t>
        </is>
      </c>
      <c r="S75" s="20" t="inlineStr">
        <is>
          <t>4 — Alto</t>
        </is>
      </c>
      <c r="T75" s="19">
        <f>MAX(IFERROR(VLOOKUP(Q75,MgValor,2,0),0),IFERROR(VLOOKUP(R75,MgValor,2,0),0),IFERROR(VLOOKUP(S75,MgValor,2,0),0))</f>
        <v/>
      </c>
      <c r="U75" s="19">
        <f>IFERROR(LOOKUP(T75,{0;1;2;3;4;5},{"Irrelevante";"Muy Bajo";"Bajo";"Medio";"Alto";"Muy Alto"}),"")</f>
        <v/>
      </c>
    </row>
    <row r="76" ht="30" customHeight="1" s="54">
      <c r="B76" s="59" t="inlineStr">
        <is>
          <t>GH-009</t>
        </is>
      </c>
      <c r="C76" s="13" t="inlineStr">
        <is>
          <t>mintrace-back-gateway-api-n</t>
        </is>
      </c>
      <c r="D76" s="13" t="inlineStr">
        <is>
          <t>Proyecto back API Gateway node Mintrace</t>
        </is>
      </c>
      <c r="E76" s="20" t="inlineStr">
        <is>
          <t>[D] Datos / Información</t>
        </is>
      </c>
      <c r="F76" s="20" t="inlineStr">
        <is>
          <t>[source] Código fuente</t>
        </is>
      </c>
      <c r="G76" s="21" t="inlineStr">
        <is>
          <t>Gestión Tecnológica</t>
        </is>
      </c>
      <c r="H76" s="21" t="inlineStr">
        <is>
          <t>Jhon Tamayo</t>
        </is>
      </c>
      <c r="I76" s="21" t="n"/>
      <c r="J76" s="21" t="inlineStr">
        <is>
          <t>Nube</t>
        </is>
      </c>
      <c r="K76" s="21" t="inlineStr">
        <is>
          <t>No aplica</t>
        </is>
      </c>
      <c r="L76" s="21" t="inlineStr">
        <is>
          <t>Sí</t>
        </is>
      </c>
      <c r="M76" s="21" t="inlineStr">
        <is>
          <t>Por definir</t>
        </is>
      </c>
      <c r="N76" s="21" t="inlineStr">
        <is>
          <t>Por definir</t>
        </is>
      </c>
      <c r="O76" s="21" t="n"/>
      <c r="P76" s="21" t="n"/>
      <c r="Q76" s="20" t="inlineStr">
        <is>
          <t>3 — Medio</t>
        </is>
      </c>
      <c r="R76" s="20" t="inlineStr">
        <is>
          <t>4 — Alto</t>
        </is>
      </c>
      <c r="S76" s="20" t="inlineStr">
        <is>
          <t>4 — Alto</t>
        </is>
      </c>
      <c r="T76" s="19">
        <f>MAX(IFERROR(VLOOKUP(Q76,MgValor,2,0),0),IFERROR(VLOOKUP(R76,MgValor,2,0),0),IFERROR(VLOOKUP(S76,MgValor,2,0),0))</f>
        <v/>
      </c>
      <c r="U76" s="19">
        <f>IFERROR(LOOKUP(T76,{0;1;2;3;4;5},{"Irrelevante";"Muy Bajo";"Bajo";"Medio";"Alto";"Muy Alto"}),"")</f>
        <v/>
      </c>
    </row>
    <row r="77" ht="30" customHeight="1" s="54">
      <c r="B77" s="59" t="inlineStr">
        <is>
          <t>GH-014</t>
        </is>
      </c>
      <c r="C77" s="13" t="inlineStr">
        <is>
          <t>mintrace-back-ptm-n</t>
        </is>
      </c>
      <c r="D77" s="13" t="inlineStr">
        <is>
          <t>Servicios BACK integracion PTM APIs</t>
        </is>
      </c>
      <c r="E77" s="20" t="inlineStr">
        <is>
          <t>[D] Datos / Información</t>
        </is>
      </c>
      <c r="F77" s="20" t="inlineStr">
        <is>
          <t>[source] Código fuente</t>
        </is>
      </c>
      <c r="G77" s="21" t="inlineStr">
        <is>
          <t>Gestión Tecnológica</t>
        </is>
      </c>
      <c r="H77" s="21" t="inlineStr">
        <is>
          <t>Jhon Tamayo</t>
        </is>
      </c>
      <c r="I77" s="21" t="n"/>
      <c r="J77" s="21" t="inlineStr">
        <is>
          <t>Nube</t>
        </is>
      </c>
      <c r="K77" s="21" t="inlineStr">
        <is>
          <t>No aplica</t>
        </is>
      </c>
      <c r="L77" s="21" t="inlineStr">
        <is>
          <t>Sí</t>
        </is>
      </c>
      <c r="M77" s="21" t="inlineStr">
        <is>
          <t>Por definir</t>
        </is>
      </c>
      <c r="N77" s="21" t="inlineStr">
        <is>
          <t>Por definir</t>
        </is>
      </c>
      <c r="O77" s="21" t="n"/>
      <c r="P77" s="21" t="n"/>
      <c r="Q77" s="20" t="inlineStr">
        <is>
          <t>3 — Medio</t>
        </is>
      </c>
      <c r="R77" s="20" t="inlineStr">
        <is>
          <t>4 — Alto</t>
        </is>
      </c>
      <c r="S77" s="20" t="inlineStr">
        <is>
          <t>4 — Alto</t>
        </is>
      </c>
      <c r="T77" s="19">
        <f>MAX(IFERROR(VLOOKUP(Q77,MgValor,2,0),0),IFERROR(VLOOKUP(R77,MgValor,2,0),0),IFERROR(VLOOKUP(S77,MgValor,2,0),0))</f>
        <v/>
      </c>
      <c r="U77" s="19">
        <f>IFERROR(LOOKUP(T77,{0;1;2;3;4;5},{"Irrelevante";"Muy Bajo";"Bajo";"Medio";"Alto";"Muy Alto"}),"")</f>
        <v/>
      </c>
    </row>
    <row r="78" ht="30" customHeight="1" s="54">
      <c r="B78" s="59" t="inlineStr">
        <is>
          <t>GH-008</t>
        </is>
      </c>
      <c r="C78" s="13" t="inlineStr">
        <is>
          <t>mintrace-back-rabbitmq-n</t>
        </is>
      </c>
      <c r="D78" s="13" t="inlineStr">
        <is>
          <t>Proyecto node intermediario controlador de colas</t>
        </is>
      </c>
      <c r="E78" s="20" t="inlineStr">
        <is>
          <t>[D] Datos / Información</t>
        </is>
      </c>
      <c r="F78" s="20" t="inlineStr">
        <is>
          <t>[source] Código fuente</t>
        </is>
      </c>
      <c r="G78" s="21" t="inlineStr">
        <is>
          <t>Gestión Tecnológica</t>
        </is>
      </c>
      <c r="H78" s="21" t="inlineStr">
        <is>
          <t>Jhon Tamayo</t>
        </is>
      </c>
      <c r="I78" s="21" t="n"/>
      <c r="J78" s="21" t="inlineStr">
        <is>
          <t>Nube</t>
        </is>
      </c>
      <c r="K78" s="21" t="inlineStr">
        <is>
          <t>No aplica</t>
        </is>
      </c>
      <c r="L78" s="21" t="inlineStr">
        <is>
          <t>Sí</t>
        </is>
      </c>
      <c r="M78" s="21" t="inlineStr">
        <is>
          <t>Por definir</t>
        </is>
      </c>
      <c r="N78" s="21" t="inlineStr">
        <is>
          <t>Por definir</t>
        </is>
      </c>
      <c r="O78" s="21" t="n"/>
      <c r="P78" s="21" t="n"/>
      <c r="Q78" s="20" t="inlineStr">
        <is>
          <t>3 — Medio</t>
        </is>
      </c>
      <c r="R78" s="20" t="inlineStr">
        <is>
          <t>4 — Alto</t>
        </is>
      </c>
      <c r="S78" s="20" t="inlineStr">
        <is>
          <t>4 — Alto</t>
        </is>
      </c>
      <c r="T78" s="19">
        <f>MAX(IFERROR(VLOOKUP(Q78,MgValor,2,0),0),IFERROR(VLOOKUP(R78,MgValor,2,0),0),IFERROR(VLOOKUP(S78,MgValor,2,0),0))</f>
        <v/>
      </c>
      <c r="U78" s="19">
        <f>IFERROR(LOOKUP(T78,{0;1;2;3;4;5},{"Irrelevante";"Muy Bajo";"Bajo";"Medio";"Alto";"Muy Alto"}),"")</f>
        <v/>
      </c>
    </row>
    <row r="79" ht="30" customHeight="1" s="54">
      <c r="B79" s="59" t="inlineStr">
        <is>
          <t>GH-038</t>
        </is>
      </c>
      <c r="C79" s="13" t="inlineStr">
        <is>
          <t>mintrace-back-wallets-n</t>
        </is>
      </c>
      <c r="D79" s="13" t="inlineStr">
        <is>
          <t>Servicio back billeteras digitales procesos de pagos</t>
        </is>
      </c>
      <c r="E79" s="20" t="inlineStr">
        <is>
          <t>[D] Datos / Información</t>
        </is>
      </c>
      <c r="F79" s="20" t="inlineStr">
        <is>
          <t>[source] Código fuente</t>
        </is>
      </c>
      <c r="G79" s="21" t="inlineStr">
        <is>
          <t>Gestión Tecnológica</t>
        </is>
      </c>
      <c r="H79" s="21" t="inlineStr">
        <is>
          <t>Jhon Tamayo</t>
        </is>
      </c>
      <c r="I79" s="21" t="n"/>
      <c r="J79" s="21" t="inlineStr">
        <is>
          <t>Nube</t>
        </is>
      </c>
      <c r="K79" s="21" t="inlineStr">
        <is>
          <t>No aplica</t>
        </is>
      </c>
      <c r="L79" s="21" t="inlineStr">
        <is>
          <t>Sí</t>
        </is>
      </c>
      <c r="M79" s="21" t="inlineStr">
        <is>
          <t>Por definir</t>
        </is>
      </c>
      <c r="N79" s="21" t="inlineStr">
        <is>
          <t>Por definir</t>
        </is>
      </c>
      <c r="O79" s="21" t="n"/>
      <c r="P79" s="21" t="n"/>
      <c r="Q79" s="20" t="inlineStr">
        <is>
          <t>3 — Medio</t>
        </is>
      </c>
      <c r="R79" s="20" t="inlineStr">
        <is>
          <t>4 — Alto</t>
        </is>
      </c>
      <c r="S79" s="20" t="inlineStr">
        <is>
          <t>4 — Alto</t>
        </is>
      </c>
      <c r="T79" s="19">
        <f>MAX(IFERROR(VLOOKUP(Q79,MgValor,2,0),0),IFERROR(VLOOKUP(R79,MgValor,2,0),0),IFERROR(VLOOKUP(S79,MgValor,2,0),0))</f>
        <v/>
      </c>
      <c r="U79" s="19">
        <f>IFERROR(LOOKUP(T79,{0;1;2;3;4;5},{"Irrelevante";"Muy Bajo";"Bajo";"Medio";"Alto";"Muy Alto"}),"")</f>
        <v/>
      </c>
    </row>
    <row r="80" ht="30" customHeight="1" s="54">
      <c r="B80" s="59" t="inlineStr">
        <is>
          <t>GH-025</t>
        </is>
      </c>
      <c r="C80" s="13" t="inlineStr">
        <is>
          <t>mintrace-back-webhoohs-logs-n</t>
        </is>
      </c>
      <c r="D80" s="13" t="inlineStr">
        <is>
          <t>Servicio de back webhooks notificaciones a terceros</t>
        </is>
      </c>
      <c r="E80" s="20" t="inlineStr">
        <is>
          <t>[D] Datos / Información</t>
        </is>
      </c>
      <c r="F80" s="20" t="inlineStr">
        <is>
          <t>[source] Código fuente</t>
        </is>
      </c>
      <c r="G80" s="21" t="inlineStr">
        <is>
          <t>Gestión Tecnológica</t>
        </is>
      </c>
      <c r="H80" s="21" t="inlineStr">
        <is>
          <t>Jhon Tamayo</t>
        </is>
      </c>
      <c r="I80" s="21" t="n"/>
      <c r="J80" s="21" t="inlineStr">
        <is>
          <t>Nube</t>
        </is>
      </c>
      <c r="K80" s="21" t="inlineStr">
        <is>
          <t>No aplica</t>
        </is>
      </c>
      <c r="L80" s="21" t="inlineStr">
        <is>
          <t>Sí</t>
        </is>
      </c>
      <c r="M80" s="21" t="inlineStr">
        <is>
          <t>Por definir</t>
        </is>
      </c>
      <c r="N80" s="21" t="inlineStr">
        <is>
          <t>Por definir</t>
        </is>
      </c>
      <c r="O80" s="21" t="n"/>
      <c r="P80" s="21" t="n"/>
      <c r="Q80" s="20" t="inlineStr">
        <is>
          <t>3 — Medio</t>
        </is>
      </c>
      <c r="R80" s="20" t="inlineStr">
        <is>
          <t>4 — Alto</t>
        </is>
      </c>
      <c r="S80" s="20" t="inlineStr">
        <is>
          <t>4 — Alto</t>
        </is>
      </c>
      <c r="T80" s="19">
        <f>MAX(IFERROR(VLOOKUP(Q80,MgValor,2,0),0),IFERROR(VLOOKUP(R80,MgValor,2,0),0),IFERROR(VLOOKUP(S80,MgValor,2,0),0))</f>
        <v/>
      </c>
      <c r="U80" s="19">
        <f>IFERROR(LOOKUP(T80,{0;1;2;3;4;5},{"Irrelevante";"Muy Bajo";"Bajo";"Medio";"Alto";"Muy Alto"}),"")</f>
        <v/>
      </c>
    </row>
    <row r="81" ht="30" customHeight="1" s="54">
      <c r="B81" s="59" t="inlineStr">
        <is>
          <t>GH-027</t>
        </is>
      </c>
      <c r="C81" s="13" t="inlineStr">
        <is>
          <t>mintrace-plugin-async-a</t>
        </is>
      </c>
      <c r="D81" s="13" t="inlineStr">
        <is>
          <t>Proyecto plugin wordpress manejo asincronico operaciones</t>
        </is>
      </c>
      <c r="E81" s="20" t="inlineStr">
        <is>
          <t>[D] Datos / Información</t>
        </is>
      </c>
      <c r="F81" s="20" t="inlineStr">
        <is>
          <t>[source] Código fuente</t>
        </is>
      </c>
      <c r="G81" s="21" t="inlineStr">
        <is>
          <t>Gestión Tecnológica</t>
        </is>
      </c>
      <c r="H81" s="21" t="inlineStr">
        <is>
          <t>Jhon Tamayo</t>
        </is>
      </c>
      <c r="I81" s="21" t="n"/>
      <c r="J81" s="21" t="inlineStr">
        <is>
          <t>Nube</t>
        </is>
      </c>
      <c r="K81" s="21" t="inlineStr">
        <is>
          <t>No aplica</t>
        </is>
      </c>
      <c r="L81" s="21" t="inlineStr">
        <is>
          <t>Sí</t>
        </is>
      </c>
      <c r="M81" s="21" t="inlineStr">
        <is>
          <t>Por definir</t>
        </is>
      </c>
      <c r="N81" s="21" t="inlineStr">
        <is>
          <t>Por definir</t>
        </is>
      </c>
      <c r="O81" s="21" t="n"/>
      <c r="P81" s="21" t="n"/>
      <c r="Q81" s="20" t="inlineStr">
        <is>
          <t>3 — Medio</t>
        </is>
      </c>
      <c r="R81" s="20" t="inlineStr">
        <is>
          <t>3 — Medio</t>
        </is>
      </c>
      <c r="S81" s="20" t="inlineStr">
        <is>
          <t>3 — Medio</t>
        </is>
      </c>
      <c r="T81" s="19">
        <f>MAX(IFERROR(VLOOKUP(Q81,MgValor,2,0),0),IFERROR(VLOOKUP(R81,MgValor,2,0),0),IFERROR(VLOOKUP(S81,MgValor,2,0),0))</f>
        <v/>
      </c>
      <c r="U81" s="19">
        <f>IFERROR(LOOKUP(T81,{0;1;2;3;4;5},{"Irrelevante";"Muy Bajo";"Bajo";"Medio";"Alto";"Muy Alto"}),"")</f>
        <v/>
      </c>
    </row>
    <row r="82" ht="30" customHeight="1" s="54">
      <c r="B82" s="59" t="inlineStr">
        <is>
          <t>GH-031</t>
        </is>
      </c>
      <c r="C82" s="13" t="inlineStr">
        <is>
          <t>mintrace-plugin-autoregistro-wp-b</t>
        </is>
      </c>
      <c r="D82" s="13" t="inlineStr">
        <is>
          <t>Plugin de autoregistro gestionado b</t>
        </is>
      </c>
      <c r="E82" s="20" t="inlineStr">
        <is>
          <t>[D] Datos / Información</t>
        </is>
      </c>
      <c r="F82" s="20" t="inlineStr">
        <is>
          <t>[source] Código fuente</t>
        </is>
      </c>
      <c r="G82" s="21" t="inlineStr">
        <is>
          <t>Gestión Tecnológica</t>
        </is>
      </c>
      <c r="H82" s="21" t="inlineStr">
        <is>
          <t>Jhon Tamayo</t>
        </is>
      </c>
      <c r="I82" s="21" t="n"/>
      <c r="J82" s="21" t="inlineStr">
        <is>
          <t>Nube</t>
        </is>
      </c>
      <c r="K82" s="21" t="inlineStr">
        <is>
          <t>No aplica</t>
        </is>
      </c>
      <c r="L82" s="21" t="inlineStr">
        <is>
          <t>Sí</t>
        </is>
      </c>
      <c r="M82" s="21" t="inlineStr">
        <is>
          <t>Por definir</t>
        </is>
      </c>
      <c r="N82" s="21" t="inlineStr">
        <is>
          <t>Por definir</t>
        </is>
      </c>
      <c r="O82" s="21" t="n"/>
      <c r="P82" s="21" t="n"/>
      <c r="Q82" s="20" t="inlineStr">
        <is>
          <t>3 — Medio</t>
        </is>
      </c>
      <c r="R82" s="20" t="inlineStr">
        <is>
          <t>3 — Medio</t>
        </is>
      </c>
      <c r="S82" s="20" t="inlineStr">
        <is>
          <t>3 — Medio</t>
        </is>
      </c>
      <c r="T82" s="19">
        <f>MAX(IFERROR(VLOOKUP(Q82,MgValor,2,0),0),IFERROR(VLOOKUP(R82,MgValor,2,0),0),IFERROR(VLOOKUP(S82,MgValor,2,0),0))</f>
        <v/>
      </c>
      <c r="U82" s="19">
        <f>IFERROR(LOOKUP(T82,{0;1;2;3;4;5},{"Irrelevante";"Muy Bajo";"Bajo";"Medio";"Alto";"Muy Alto"}),"")</f>
        <v/>
      </c>
    </row>
    <row r="83" ht="30" customHeight="1" s="54">
      <c r="B83" s="59" t="inlineStr">
        <is>
          <t>GH-029</t>
        </is>
      </c>
      <c r="C83" s="13" t="inlineStr">
        <is>
          <t>mintrace-powwi-api-n</t>
        </is>
      </c>
      <c r="D83" s="13" t="inlineStr">
        <is>
          <t>Proyecto con los servicios API de integracion hacia Powwi</t>
        </is>
      </c>
      <c r="E83" s="20" t="inlineStr">
        <is>
          <t>[D] Datos / Información</t>
        </is>
      </c>
      <c r="F83" s="20" t="inlineStr">
        <is>
          <t>[source] Código fuente</t>
        </is>
      </c>
      <c r="G83" s="21" t="inlineStr">
        <is>
          <t>Gestión Tecnológica</t>
        </is>
      </c>
      <c r="H83" s="21" t="inlineStr">
        <is>
          <t>Jhon Tamayo</t>
        </is>
      </c>
      <c r="I83" s="21" t="n"/>
      <c r="J83" s="21" t="inlineStr">
        <is>
          <t>Nube</t>
        </is>
      </c>
      <c r="K83" s="21" t="inlineStr">
        <is>
          <t>No aplica</t>
        </is>
      </c>
      <c r="L83" s="21" t="inlineStr">
        <is>
          <t>Sí</t>
        </is>
      </c>
      <c r="M83" s="21" t="inlineStr">
        <is>
          <t>Por definir</t>
        </is>
      </c>
      <c r="N83" s="21" t="inlineStr">
        <is>
          <t>Por definir</t>
        </is>
      </c>
      <c r="O83" s="21" t="n"/>
      <c r="P83" s="21" t="n"/>
      <c r="Q83" s="20" t="inlineStr">
        <is>
          <t>3 — Medio</t>
        </is>
      </c>
      <c r="R83" s="20" t="inlineStr">
        <is>
          <t>4 — Alto</t>
        </is>
      </c>
      <c r="S83" s="20" t="inlineStr">
        <is>
          <t>4 — Alto</t>
        </is>
      </c>
      <c r="T83" s="19">
        <f>MAX(IFERROR(VLOOKUP(Q83,MgValor,2,0),0),IFERROR(VLOOKUP(R83,MgValor,2,0),0),IFERROR(VLOOKUP(S83,MgValor,2,0),0))</f>
        <v/>
      </c>
      <c r="U83" s="19">
        <f>IFERROR(LOOKUP(T83,{0;1;2;3;4;5},{"Irrelevante";"Muy Bajo";"Bajo";"Medio";"Alto";"Muy Alto"}),"")</f>
        <v/>
      </c>
    </row>
    <row r="84" ht="30" customHeight="1" s="54">
      <c r="B84" s="59" t="inlineStr">
        <is>
          <t>GH-026</t>
        </is>
      </c>
      <c r="C84" s="13" t="inlineStr">
        <is>
          <t>mintrace-public-service-api</t>
        </is>
      </c>
      <c r="D84" s="13" t="inlineStr">
        <is>
          <t>Proyecto publico exposicion fachada de servicios mintrace</t>
        </is>
      </c>
      <c r="E84" s="20" t="inlineStr">
        <is>
          <t>[D] Datos / Información</t>
        </is>
      </c>
      <c r="F84" s="20" t="inlineStr">
        <is>
          <t>[source] Código fuente</t>
        </is>
      </c>
      <c r="G84" s="21" t="inlineStr">
        <is>
          <t>Gestión Tecnológica</t>
        </is>
      </c>
      <c r="H84" s="21" t="inlineStr">
        <is>
          <t>Jhon Tamayo</t>
        </is>
      </c>
      <c r="I84" s="21" t="n"/>
      <c r="J84" s="21" t="inlineStr">
        <is>
          <t>Nube</t>
        </is>
      </c>
      <c r="K84" s="21" t="inlineStr">
        <is>
          <t>No aplica</t>
        </is>
      </c>
      <c r="L84" s="21" t="inlineStr">
        <is>
          <t>Sí</t>
        </is>
      </c>
      <c r="M84" s="21" t="inlineStr">
        <is>
          <t>Por definir</t>
        </is>
      </c>
      <c r="N84" s="21" t="inlineStr">
        <is>
          <t>Por definir</t>
        </is>
      </c>
      <c r="O84" s="21" t="n"/>
      <c r="P84" s="21" t="n"/>
      <c r="Q84" s="20" t="inlineStr">
        <is>
          <t>3 — Medio</t>
        </is>
      </c>
      <c r="R84" s="20" t="inlineStr">
        <is>
          <t>4 — Alto</t>
        </is>
      </c>
      <c r="S84" s="20" t="inlineStr">
        <is>
          <t>4 — Alto</t>
        </is>
      </c>
      <c r="T84" s="19">
        <f>MAX(IFERROR(VLOOKUP(Q84,MgValor,2,0),0),IFERROR(VLOOKUP(R84,MgValor,2,0),0),IFERROR(VLOOKUP(S84,MgValor,2,0),0))</f>
        <v/>
      </c>
      <c r="U84" s="19">
        <f>IFERROR(LOOKUP(T84,{0;1;2;3;4;5},{"Irrelevante";"Muy Bajo";"Bajo";"Medio";"Alto";"Muy Alto"}),"")</f>
        <v/>
      </c>
    </row>
    <row r="85" ht="30" customHeight="1" s="54">
      <c r="B85" s="59" t="inlineStr">
        <is>
          <t>GH-042</t>
        </is>
      </c>
      <c r="C85" s="13" t="inlineStr">
        <is>
          <t>mintrace-registro-automatico-plg</t>
        </is>
      </c>
      <c r="D85" s="13" t="inlineStr">
        <is>
          <t>Plugin wordpress registro minero de subsistencia</t>
        </is>
      </c>
      <c r="E85" s="20" t="inlineStr">
        <is>
          <t>[D] Datos / Información</t>
        </is>
      </c>
      <c r="F85" s="20" t="inlineStr">
        <is>
          <t>[source] Código fuente</t>
        </is>
      </c>
      <c r="G85" s="21" t="inlineStr">
        <is>
          <t>Gestión Tecnológica</t>
        </is>
      </c>
      <c r="H85" s="21" t="inlineStr">
        <is>
          <t>Jhon Tamayo</t>
        </is>
      </c>
      <c r="I85" s="21" t="n"/>
      <c r="J85" s="21" t="inlineStr">
        <is>
          <t>Nube</t>
        </is>
      </c>
      <c r="K85" s="21" t="inlineStr">
        <is>
          <t>No aplica</t>
        </is>
      </c>
      <c r="L85" s="21" t="inlineStr">
        <is>
          <t>Sí</t>
        </is>
      </c>
      <c r="M85" s="21" t="inlineStr">
        <is>
          <t>Por definir</t>
        </is>
      </c>
      <c r="N85" s="21" t="inlineStr">
        <is>
          <t>Por definir</t>
        </is>
      </c>
      <c r="O85" s="21" t="n"/>
      <c r="P85" s="21" t="n"/>
      <c r="Q85" s="20" t="inlineStr">
        <is>
          <t>3 — Medio</t>
        </is>
      </c>
      <c r="R85" s="20" t="inlineStr">
        <is>
          <t>3 — Medio</t>
        </is>
      </c>
      <c r="S85" s="20" t="inlineStr">
        <is>
          <t>3 — Medio</t>
        </is>
      </c>
      <c r="T85" s="19">
        <f>MAX(IFERROR(VLOOKUP(Q85,MgValor,2,0),0),IFERROR(VLOOKUP(R85,MgValor,2,0),0),IFERROR(VLOOKUP(S85,MgValor,2,0),0))</f>
        <v/>
      </c>
      <c r="U85" s="19">
        <f>IFERROR(LOOKUP(T85,{0;1;2;3;4;5},{"Irrelevante";"Muy Bajo";"Bajo";"Medio";"Alto";"Muy Alto"}),"")</f>
        <v/>
      </c>
    </row>
    <row r="86" ht="30" customHeight="1" s="54">
      <c r="B86" s="59" t="inlineStr">
        <is>
          <t>GH-006</t>
        </is>
      </c>
      <c r="C86" s="13" t="inlineStr">
        <is>
          <t>mop_bot</t>
        </is>
      </c>
      <c r="D86" s="13" t="inlineStr">
        <is>
          <t>Bot MOP</t>
        </is>
      </c>
      <c r="E86" s="20" t="inlineStr">
        <is>
          <t>[D] Datos / Información</t>
        </is>
      </c>
      <c r="F86" s="20" t="inlineStr">
        <is>
          <t>[source] Código fuente</t>
        </is>
      </c>
      <c r="G86" s="21" t="inlineStr">
        <is>
          <t>Gestión Tecnológica</t>
        </is>
      </c>
      <c r="H86" s="21" t="inlineStr">
        <is>
          <t>Jhon Tamayo</t>
        </is>
      </c>
      <c r="I86" s="21" t="n"/>
      <c r="J86" s="21" t="inlineStr">
        <is>
          <t>Nube</t>
        </is>
      </c>
      <c r="K86" s="21" t="inlineStr">
        <is>
          <t>No aplica</t>
        </is>
      </c>
      <c r="L86" s="21" t="inlineStr">
        <is>
          <t>Por definir</t>
        </is>
      </c>
      <c r="M86" s="21" t="inlineStr">
        <is>
          <t>Por definir</t>
        </is>
      </c>
      <c r="N86" s="21" t="inlineStr">
        <is>
          <t>Por definir</t>
        </is>
      </c>
      <c r="O86" s="21" t="n"/>
      <c r="P86" s="21" t="n"/>
      <c r="Q86" s="20" t="inlineStr">
        <is>
          <t>3 — Medio</t>
        </is>
      </c>
      <c r="R86" s="20" t="inlineStr">
        <is>
          <t>3 — Medio</t>
        </is>
      </c>
      <c r="S86" s="20" t="inlineStr">
        <is>
          <t>3 — Medio</t>
        </is>
      </c>
      <c r="T86" s="19">
        <f>MAX(IFERROR(VLOOKUP(Q86,MgValor,2,0),0),IFERROR(VLOOKUP(R86,MgValor,2,0),0),IFERROR(VLOOKUP(S86,MgValor,2,0),0))</f>
        <v/>
      </c>
      <c r="U86" s="19">
        <f>IFERROR(LOOKUP(T86,{0;1;2;3;4;5},{"Irrelevante";"Muy Bajo";"Bajo";"Medio";"Alto";"Muy Alto"}),"")</f>
        <v/>
      </c>
    </row>
    <row r="87" ht="30" customHeight="1" s="54">
      <c r="B87" s="59" t="inlineStr">
        <is>
          <t>GH-030</t>
        </is>
      </c>
      <c r="C87" s="13" t="inlineStr">
        <is>
          <t>oee-dashboard</t>
        </is>
      </c>
      <c r="D87" s="13" t="inlineStr">
        <is>
          <t>OEE Dashboard</t>
        </is>
      </c>
      <c r="E87" s="20" t="inlineStr">
        <is>
          <t>[D] Datos / Información</t>
        </is>
      </c>
      <c r="F87" s="20" t="inlineStr">
        <is>
          <t>[source] Código fuente</t>
        </is>
      </c>
      <c r="G87" s="21" t="inlineStr">
        <is>
          <t>Gestión Tecnológica</t>
        </is>
      </c>
      <c r="H87" s="21" t="inlineStr">
        <is>
          <t>Jhon Tamayo</t>
        </is>
      </c>
      <c r="I87" s="21" t="n"/>
      <c r="J87" s="21" t="inlineStr">
        <is>
          <t>Nube</t>
        </is>
      </c>
      <c r="K87" s="21" t="inlineStr">
        <is>
          <t>No aplica</t>
        </is>
      </c>
      <c r="L87" s="21" t="inlineStr">
        <is>
          <t>Por definir</t>
        </is>
      </c>
      <c r="M87" s="21" t="inlineStr">
        <is>
          <t>Por definir</t>
        </is>
      </c>
      <c r="N87" s="21" t="inlineStr">
        <is>
          <t>Por definir</t>
        </is>
      </c>
      <c r="O87" s="21" t="n"/>
      <c r="P87" s="21" t="n"/>
      <c r="Q87" s="20" t="inlineStr">
        <is>
          <t>3 — Medio</t>
        </is>
      </c>
      <c r="R87" s="20" t="inlineStr">
        <is>
          <t>3 — Medio</t>
        </is>
      </c>
      <c r="S87" s="20" t="inlineStr">
        <is>
          <t>3 — Medio</t>
        </is>
      </c>
      <c r="T87" s="19">
        <f>MAX(IFERROR(VLOOKUP(Q87,MgValor,2,0),0),IFERROR(VLOOKUP(R87,MgValor,2,0),0),IFERROR(VLOOKUP(S87,MgValor,2,0),0))</f>
        <v/>
      </c>
      <c r="U87" s="19">
        <f>IFERROR(LOOKUP(T87,{0;1;2;3;4;5},{"Irrelevante";"Muy Bajo";"Bajo";"Medio";"Alto";"Muy Alto"}),"")</f>
        <v/>
      </c>
    </row>
    <row r="88" ht="30" customHeight="1" s="54">
      <c r="B88" s="59" t="inlineStr">
        <is>
          <t>GH-050</t>
        </is>
      </c>
      <c r="C88" s="13" t="inlineStr">
        <is>
          <t>ottm-back-ptm</t>
        </is>
      </c>
      <c r="D88" s="13" t="inlineStr">
        <is>
          <t>Repositorio lambdas back service ottm</t>
        </is>
      </c>
      <c r="E88" s="20" t="inlineStr">
        <is>
          <t>[D] Datos / Información</t>
        </is>
      </c>
      <c r="F88" s="20" t="inlineStr">
        <is>
          <t>[source] Código fuente</t>
        </is>
      </c>
      <c r="G88" s="21" t="inlineStr">
        <is>
          <t>Gestión Tecnológica</t>
        </is>
      </c>
      <c r="H88" s="21" t="inlineStr">
        <is>
          <t>Jhon Tamayo</t>
        </is>
      </c>
      <c r="I88" s="21" t="n"/>
      <c r="J88" s="21" t="inlineStr">
        <is>
          <t>Nube</t>
        </is>
      </c>
      <c r="K88" s="21" t="inlineStr">
        <is>
          <t>No aplica</t>
        </is>
      </c>
      <c r="L88" s="21" t="inlineStr">
        <is>
          <t>Por definir</t>
        </is>
      </c>
      <c r="M88" s="21" t="inlineStr">
        <is>
          <t>Por definir</t>
        </is>
      </c>
      <c r="N88" s="21" t="inlineStr">
        <is>
          <t>Por definir</t>
        </is>
      </c>
      <c r="O88" s="21" t="n"/>
      <c r="P88" s="21" t="n"/>
      <c r="Q88" s="20" t="inlineStr">
        <is>
          <t>3 — Medio</t>
        </is>
      </c>
      <c r="R88" s="20" t="inlineStr">
        <is>
          <t>4 — Alto</t>
        </is>
      </c>
      <c r="S88" s="20" t="inlineStr">
        <is>
          <t>4 — Alto</t>
        </is>
      </c>
      <c r="T88" s="19">
        <f>MAX(IFERROR(VLOOKUP(Q88,MgValor,2,0),0),IFERROR(VLOOKUP(R88,MgValor,2,0),0),IFERROR(VLOOKUP(S88,MgValor,2,0),0))</f>
        <v/>
      </c>
      <c r="U88" s="19">
        <f>IFERROR(LOOKUP(T88,{0;1;2;3;4;5},{"Irrelevante";"Muy Bajo";"Bajo";"Medio";"Alto";"Muy Alto"}),"")</f>
        <v/>
      </c>
    </row>
    <row r="89" ht="30" customHeight="1" s="54">
      <c r="B89" s="59" t="inlineStr">
        <is>
          <t>GH-007</t>
        </is>
      </c>
      <c r="C89" s="13" t="inlineStr">
        <is>
          <t>ottm-wp-base-theme</t>
        </is>
      </c>
      <c r="D89" s="13" t="inlineStr">
        <is>
          <t>Proyecto theme base para iniciar actividades proyecto OTTM</t>
        </is>
      </c>
      <c r="E89" s="20" t="inlineStr">
        <is>
          <t>[D] Datos / Información</t>
        </is>
      </c>
      <c r="F89" s="20" t="inlineStr">
        <is>
          <t>[source] Código fuente</t>
        </is>
      </c>
      <c r="G89" s="21" t="inlineStr">
        <is>
          <t>Gestión Tecnológica</t>
        </is>
      </c>
      <c r="H89" s="21" t="inlineStr">
        <is>
          <t>Jhon Tamayo</t>
        </is>
      </c>
      <c r="I89" s="21" t="n"/>
      <c r="J89" s="21" t="inlineStr">
        <is>
          <t>Nube</t>
        </is>
      </c>
      <c r="K89" s="21" t="inlineStr">
        <is>
          <t>No aplica</t>
        </is>
      </c>
      <c r="L89" s="21" t="inlineStr">
        <is>
          <t>Por definir</t>
        </is>
      </c>
      <c r="M89" s="21" t="inlineStr">
        <is>
          <t>Por definir</t>
        </is>
      </c>
      <c r="N89" s="21" t="inlineStr">
        <is>
          <t>Por definir</t>
        </is>
      </c>
      <c r="O89" s="21" t="n"/>
      <c r="P89" s="21" t="n"/>
      <c r="Q89" s="20" t="inlineStr">
        <is>
          <t>3 — Medio</t>
        </is>
      </c>
      <c r="R89" s="20" t="inlineStr">
        <is>
          <t>3 — Medio</t>
        </is>
      </c>
      <c r="S89" s="20" t="inlineStr">
        <is>
          <t>3 — Medio</t>
        </is>
      </c>
      <c r="T89" s="19">
        <f>MAX(IFERROR(VLOOKUP(Q89,MgValor,2,0),0),IFERROR(VLOOKUP(R89,MgValor,2,0),0),IFERROR(VLOOKUP(S89,MgValor,2,0),0))</f>
        <v/>
      </c>
      <c r="U89" s="19">
        <f>IFERROR(LOOKUP(T89,{0;1;2;3;4;5},{"Irrelevante";"Muy Bajo";"Bajo";"Medio";"Alto";"Muy Alto"}),"")</f>
        <v/>
      </c>
    </row>
    <row r="90" ht="30" customHeight="1" s="54">
      <c r="B90" s="59" t="inlineStr">
        <is>
          <t>GH-036</t>
        </is>
      </c>
      <c r="C90" s="13" t="inlineStr">
        <is>
          <t>ottm-wp-plugin-autoregistro-a</t>
        </is>
      </c>
      <c r="D90" s="13" t="inlineStr">
        <is>
          <t>Plugin funciones de autoregistros proveedores</t>
        </is>
      </c>
      <c r="E90" s="20" t="inlineStr">
        <is>
          <t>[D] Datos / Información</t>
        </is>
      </c>
      <c r="F90" s="20" t="inlineStr">
        <is>
          <t>[source] Código fuente</t>
        </is>
      </c>
      <c r="G90" s="21" t="inlineStr">
        <is>
          <t>Gestión Tecnológica</t>
        </is>
      </c>
      <c r="H90" s="21" t="inlineStr">
        <is>
          <t>Jhon Tamayo</t>
        </is>
      </c>
      <c r="I90" s="21" t="n"/>
      <c r="J90" s="21" t="inlineStr">
        <is>
          <t>Nube</t>
        </is>
      </c>
      <c r="K90" s="21" t="inlineStr">
        <is>
          <t>No aplica</t>
        </is>
      </c>
      <c r="L90" s="21" t="inlineStr">
        <is>
          <t>Por definir</t>
        </is>
      </c>
      <c r="M90" s="21" t="inlineStr">
        <is>
          <t>Por definir</t>
        </is>
      </c>
      <c r="N90" s="21" t="inlineStr">
        <is>
          <t>Por definir</t>
        </is>
      </c>
      <c r="O90" s="21" t="n"/>
      <c r="P90" s="21" t="n"/>
      <c r="Q90" s="20" t="inlineStr">
        <is>
          <t>3 — Medio</t>
        </is>
      </c>
      <c r="R90" s="20" t="inlineStr">
        <is>
          <t>3 — Medio</t>
        </is>
      </c>
      <c r="S90" s="20" t="inlineStr">
        <is>
          <t>3 — Medio</t>
        </is>
      </c>
      <c r="T90" s="19">
        <f>MAX(IFERROR(VLOOKUP(Q90,MgValor,2,0),0),IFERROR(VLOOKUP(R90,MgValor,2,0),0),IFERROR(VLOOKUP(S90,MgValor,2,0),0))</f>
        <v/>
      </c>
      <c r="U90" s="19">
        <f>IFERROR(LOOKUP(T90,{0;1;2;3;4;5},{"Irrelevante";"Muy Bajo";"Bajo";"Medio";"Alto";"Muy Alto"}),"")</f>
        <v/>
      </c>
    </row>
    <row r="91" ht="30" customHeight="1" s="54">
      <c r="B91" s="59" t="inlineStr">
        <is>
          <t>GH-028</t>
        </is>
      </c>
      <c r="C91" s="13" t="inlineStr">
        <is>
          <t>panel_admin</t>
        </is>
      </c>
      <c r="D91" s="13" t="inlineStr">
        <is>
          <t>Panel Admin</t>
        </is>
      </c>
      <c r="E91" s="20" t="inlineStr">
        <is>
          <t>[D] Datos / Información</t>
        </is>
      </c>
      <c r="F91" s="20" t="inlineStr">
        <is>
          <t>[source] Código fuente</t>
        </is>
      </c>
      <c r="G91" s="21" t="inlineStr">
        <is>
          <t>Gestión Tecnológica</t>
        </is>
      </c>
      <c r="H91" s="21" t="inlineStr">
        <is>
          <t>Jhon Tamayo</t>
        </is>
      </c>
      <c r="I91" s="21" t="n"/>
      <c r="J91" s="21" t="inlineStr">
        <is>
          <t>Nube</t>
        </is>
      </c>
      <c r="K91" s="21" t="inlineStr">
        <is>
          <t>No aplica</t>
        </is>
      </c>
      <c r="L91" s="21" t="inlineStr">
        <is>
          <t>Por definir</t>
        </is>
      </c>
      <c r="M91" s="21" t="inlineStr">
        <is>
          <t>Por definir</t>
        </is>
      </c>
      <c r="N91" s="21" t="inlineStr">
        <is>
          <t>Por definir</t>
        </is>
      </c>
      <c r="O91" s="21" t="n"/>
      <c r="P91" s="21" t="n"/>
      <c r="Q91" s="20" t="inlineStr">
        <is>
          <t>3 — Medio</t>
        </is>
      </c>
      <c r="R91" s="20" t="inlineStr">
        <is>
          <t>3 — Medio</t>
        </is>
      </c>
      <c r="S91" s="20" t="inlineStr">
        <is>
          <t>3 — Medio</t>
        </is>
      </c>
      <c r="T91" s="19">
        <f>MAX(IFERROR(VLOOKUP(Q91,MgValor,2,0),0),IFERROR(VLOOKUP(R91,MgValor,2,0),0),IFERROR(VLOOKUP(S91,MgValor,2,0),0))</f>
        <v/>
      </c>
      <c r="U91" s="19">
        <f>IFERROR(LOOKUP(T91,{0;1;2;3;4;5},{"Irrelevante";"Muy Bajo";"Bajo";"Medio";"Alto";"Muy Alto"}),"")</f>
        <v/>
      </c>
    </row>
    <row r="92" ht="30" customHeight="1" s="54">
      <c r="B92" s="59" t="inlineStr">
        <is>
          <t>GH-002</t>
        </is>
      </c>
      <c r="C92" s="13" t="inlineStr">
        <is>
          <t>powerbi_reports</t>
        </is>
      </c>
      <c r="D92" s="13" t="inlineStr">
        <is>
          <t>Reportes PowerBI</t>
        </is>
      </c>
      <c r="E92" s="20" t="inlineStr">
        <is>
          <t>[D] Datos / Información</t>
        </is>
      </c>
      <c r="F92" s="20" t="inlineStr">
        <is>
          <t>[source] Código fuente</t>
        </is>
      </c>
      <c r="G92" s="21" t="inlineStr">
        <is>
          <t>Gestión Tecnológica</t>
        </is>
      </c>
      <c r="H92" s="21" t="inlineStr">
        <is>
          <t>Jhon Tamayo</t>
        </is>
      </c>
      <c r="I92" s="21" t="n"/>
      <c r="J92" s="21" t="inlineStr">
        <is>
          <t>Nube</t>
        </is>
      </c>
      <c r="K92" s="21" t="inlineStr">
        <is>
          <t>No aplica</t>
        </is>
      </c>
      <c r="L92" s="21" t="inlineStr">
        <is>
          <t>Por definir</t>
        </is>
      </c>
      <c r="M92" s="21" t="inlineStr">
        <is>
          <t>Por definir</t>
        </is>
      </c>
      <c r="N92" s="21" t="inlineStr">
        <is>
          <t>Por definir</t>
        </is>
      </c>
      <c r="O92" s="21" t="n"/>
      <c r="P92" s="21" t="n"/>
      <c r="Q92" s="20" t="inlineStr">
        <is>
          <t>3 — Medio</t>
        </is>
      </c>
      <c r="R92" s="20" t="inlineStr">
        <is>
          <t>3 — Medio</t>
        </is>
      </c>
      <c r="S92" s="20" t="inlineStr">
        <is>
          <t>3 — Medio</t>
        </is>
      </c>
      <c r="T92" s="19">
        <f>MAX(IFERROR(VLOOKUP(Q92,MgValor,2,0),0),IFERROR(VLOOKUP(R92,MgValor,2,0),0),IFERROR(VLOOKUP(S92,MgValor,2,0),0))</f>
        <v/>
      </c>
      <c r="U92" s="19">
        <f>IFERROR(LOOKUP(T92,{0;1;2;3;4;5},{"Irrelevante";"Muy Bajo";"Bajo";"Medio";"Alto";"Muy Alto"}),"")</f>
        <v/>
      </c>
    </row>
    <row r="93" ht="30" customHeight="1" s="54">
      <c r="B93" s="59" t="inlineStr">
        <is>
          <t>GH-033</t>
        </is>
      </c>
      <c r="C93" s="13" t="inlineStr">
        <is>
          <t>pruebas_mintrace</t>
        </is>
      </c>
      <c r="D93" s="13" t="inlineStr">
        <is>
          <t>Pruebas Mintrace</t>
        </is>
      </c>
      <c r="E93" s="20" t="inlineStr">
        <is>
          <t>[D] Datos / Información</t>
        </is>
      </c>
      <c r="F93" s="20" t="inlineStr">
        <is>
          <t>[source] Código fuente</t>
        </is>
      </c>
      <c r="G93" s="21" t="inlineStr">
        <is>
          <t>Gestión Tecnológica</t>
        </is>
      </c>
      <c r="H93" s="21" t="inlineStr">
        <is>
          <t>Jhon Tamayo</t>
        </is>
      </c>
      <c r="I93" s="21" t="n"/>
      <c r="J93" s="21" t="inlineStr">
        <is>
          <t>Nube</t>
        </is>
      </c>
      <c r="K93" s="21" t="inlineStr">
        <is>
          <t>No aplica</t>
        </is>
      </c>
      <c r="L93" s="21" t="inlineStr">
        <is>
          <t>Sí</t>
        </is>
      </c>
      <c r="M93" s="21" t="inlineStr">
        <is>
          <t>Por definir</t>
        </is>
      </c>
      <c r="N93" s="21" t="inlineStr">
        <is>
          <t>Por definir</t>
        </is>
      </c>
      <c r="O93" s="21" t="n"/>
      <c r="P93" s="21" t="n"/>
      <c r="Q93" s="20" t="inlineStr">
        <is>
          <t>2 — Bajo</t>
        </is>
      </c>
      <c r="R93" s="20" t="inlineStr">
        <is>
          <t>2 — Bajo</t>
        </is>
      </c>
      <c r="S93" s="20" t="inlineStr">
        <is>
          <t>2 — Bajo</t>
        </is>
      </c>
      <c r="T93" s="19">
        <f>MAX(IFERROR(VLOOKUP(Q93,MgValor,2,0),0),IFERROR(VLOOKUP(R93,MgValor,2,0),0),IFERROR(VLOOKUP(S93,MgValor,2,0),0))</f>
        <v/>
      </c>
      <c r="U93" s="19">
        <f>IFERROR(LOOKUP(T93,{0;1;2;3;4;5},{"Irrelevante";"Muy Bajo";"Bajo";"Medio";"Alto";"Muy Alto"}),"")</f>
        <v/>
      </c>
    </row>
    <row r="94" ht="30" customHeight="1" s="54">
      <c r="B94" s="59" t="inlineStr">
        <is>
          <t>GH-018</t>
        </is>
      </c>
      <c r="C94" s="13" t="inlineStr">
        <is>
          <t>rpa-impoconsumo</t>
        </is>
      </c>
      <c r="D94" s="13" t="inlineStr">
        <is>
          <t>RPA Impoconsumo</t>
        </is>
      </c>
      <c r="E94" s="20" t="inlineStr">
        <is>
          <t>[D] Datos / Información</t>
        </is>
      </c>
      <c r="F94" s="20" t="inlineStr">
        <is>
          <t>[source] Código fuente</t>
        </is>
      </c>
      <c r="G94" s="21" t="inlineStr">
        <is>
          <t>Gestión Tecnológica</t>
        </is>
      </c>
      <c r="H94" s="21" t="inlineStr">
        <is>
          <t>Jhon Tamayo</t>
        </is>
      </c>
      <c r="I94" s="21" t="n"/>
      <c r="J94" s="21" t="inlineStr">
        <is>
          <t>Nube</t>
        </is>
      </c>
      <c r="K94" s="21" t="inlineStr">
        <is>
          <t>No aplica</t>
        </is>
      </c>
      <c r="L94" s="21" t="inlineStr">
        <is>
          <t>Por definir</t>
        </is>
      </c>
      <c r="M94" s="21" t="inlineStr">
        <is>
          <t>Por definir</t>
        </is>
      </c>
      <c r="N94" s="21" t="inlineStr">
        <is>
          <t>Por definir</t>
        </is>
      </c>
      <c r="O94" s="21" t="n"/>
      <c r="P94" s="21" t="n"/>
      <c r="Q94" s="20" t="inlineStr">
        <is>
          <t>3 — Medio</t>
        </is>
      </c>
      <c r="R94" s="20" t="inlineStr">
        <is>
          <t>4 — Alto</t>
        </is>
      </c>
      <c r="S94" s="20" t="inlineStr">
        <is>
          <t>4 — Alto</t>
        </is>
      </c>
      <c r="T94" s="19">
        <f>MAX(IFERROR(VLOOKUP(Q94,MgValor,2,0),0),IFERROR(VLOOKUP(R94,MgValor,2,0),0),IFERROR(VLOOKUP(S94,MgValor,2,0),0))</f>
        <v/>
      </c>
      <c r="U94" s="19">
        <f>IFERROR(LOOKUP(T94,{0;1;2;3;4;5},{"Irrelevante";"Muy Bajo";"Bajo";"Medio";"Alto";"Muy Alto"}),"")</f>
        <v/>
      </c>
    </row>
    <row r="95" ht="30" customHeight="1" s="54">
      <c r="B95" s="59" t="inlineStr">
        <is>
          <t>GH-024</t>
        </is>
      </c>
      <c r="C95" s="13" t="inlineStr">
        <is>
          <t>rpa-secop-sia</t>
        </is>
      </c>
      <c r="D95" s="13" t="inlineStr">
        <is>
          <t>RPA SECOP SIA</t>
        </is>
      </c>
      <c r="E95" s="20" t="inlineStr">
        <is>
          <t>[D] Datos / Información</t>
        </is>
      </c>
      <c r="F95" s="20" t="inlineStr">
        <is>
          <t>[source] Código fuente</t>
        </is>
      </c>
      <c r="G95" s="21" t="inlineStr">
        <is>
          <t>Gestión Tecnológica</t>
        </is>
      </c>
      <c r="H95" s="21" t="inlineStr">
        <is>
          <t>Jhon Tamayo</t>
        </is>
      </c>
      <c r="I95" s="21" t="n"/>
      <c r="J95" s="21" t="inlineStr">
        <is>
          <t>Nube</t>
        </is>
      </c>
      <c r="K95" s="21" t="inlineStr">
        <is>
          <t>No aplica</t>
        </is>
      </c>
      <c r="L95" s="21" t="inlineStr">
        <is>
          <t>Por definir</t>
        </is>
      </c>
      <c r="M95" s="21" t="inlineStr">
        <is>
          <t>Por definir</t>
        </is>
      </c>
      <c r="N95" s="21" t="inlineStr">
        <is>
          <t>Por definir</t>
        </is>
      </c>
      <c r="O95" s="21" t="n"/>
      <c r="P95" s="21" t="n"/>
      <c r="Q95" s="20" t="inlineStr">
        <is>
          <t>3 — Medio</t>
        </is>
      </c>
      <c r="R95" s="20" t="inlineStr">
        <is>
          <t>3 — Medio</t>
        </is>
      </c>
      <c r="S95" s="20" t="inlineStr">
        <is>
          <t>4 — Alto</t>
        </is>
      </c>
      <c r="T95" s="19">
        <f>MAX(IFERROR(VLOOKUP(Q95,MgValor,2,0),0),IFERROR(VLOOKUP(R95,MgValor,2,0),0),IFERROR(VLOOKUP(S95,MgValor,2,0),0))</f>
        <v/>
      </c>
      <c r="U95" s="19">
        <f>IFERROR(LOOKUP(T95,{0;1;2;3;4;5},{"Irrelevante";"Muy Bajo";"Bajo";"Medio";"Alto";"Muy Alto"}),"")</f>
        <v/>
      </c>
    </row>
    <row r="96" ht="30" customHeight="1" s="54">
      <c r="B96" s="59" t="inlineStr">
        <is>
          <t>GH-005</t>
        </is>
      </c>
      <c r="C96" s="13" t="inlineStr">
        <is>
          <t>rpa_sig</t>
        </is>
      </c>
      <c r="D96" s="13" t="inlineStr">
        <is>
          <t>RPA para SGI/SIG</t>
        </is>
      </c>
      <c r="E96" s="20" t="inlineStr">
        <is>
          <t>[D] Datos / Información</t>
        </is>
      </c>
      <c r="F96" s="20" t="inlineStr">
        <is>
          <t>[source] Código fuente</t>
        </is>
      </c>
      <c r="G96" s="21" t="inlineStr">
        <is>
          <t>Gestión Tecnológica</t>
        </is>
      </c>
      <c r="H96" s="21" t="inlineStr">
        <is>
          <t>Jhon Tamayo</t>
        </is>
      </c>
      <c r="I96" s="21" t="n"/>
      <c r="J96" s="21" t="inlineStr">
        <is>
          <t>Nube</t>
        </is>
      </c>
      <c r="K96" s="21" t="inlineStr">
        <is>
          <t>No aplica</t>
        </is>
      </c>
      <c r="L96" s="21" t="inlineStr">
        <is>
          <t>Por definir</t>
        </is>
      </c>
      <c r="M96" s="21" t="inlineStr">
        <is>
          <t>Por definir</t>
        </is>
      </c>
      <c r="N96" s="21" t="inlineStr">
        <is>
          <t>Por definir</t>
        </is>
      </c>
      <c r="O96" s="21" t="n"/>
      <c r="P96" s="21" t="n"/>
      <c r="Q96" s="20" t="inlineStr">
        <is>
          <t>3 — Medio</t>
        </is>
      </c>
      <c r="R96" s="20" t="inlineStr">
        <is>
          <t>4 — Alto</t>
        </is>
      </c>
      <c r="S96" s="20" t="inlineStr">
        <is>
          <t>4 — Alto</t>
        </is>
      </c>
      <c r="T96" s="19">
        <f>MAX(IFERROR(VLOOKUP(Q96,MgValor,2,0),0),IFERROR(VLOOKUP(R96,MgValor,2,0),0),IFERROR(VLOOKUP(S96,MgValor,2,0),0))</f>
        <v/>
      </c>
      <c r="U96" s="19">
        <f>IFERROR(LOOKUP(T96,{0;1;2;3;4;5},{"Irrelevante";"Muy Bajo";"Bajo";"Medio";"Alto";"Muy Alto"}),"")</f>
        <v/>
      </c>
    </row>
    <row r="97" ht="30" customHeight="1" s="54">
      <c r="B97" s="59" t="inlineStr">
        <is>
          <t>GH-023</t>
        </is>
      </c>
      <c r="C97" s="13" t="inlineStr">
        <is>
          <t>sgi-cuantico</t>
        </is>
      </c>
      <c r="D97" s="13" t="inlineStr">
        <is>
          <t>SGI Cuantico (PUBLICO)</t>
        </is>
      </c>
      <c r="E97" s="20" t="inlineStr">
        <is>
          <t>[D] Datos / Información</t>
        </is>
      </c>
      <c r="F97" s="20" t="inlineStr">
        <is>
          <t>[source] Código fuente</t>
        </is>
      </c>
      <c r="G97" s="21" t="inlineStr">
        <is>
          <t>Gestión Tecnológica</t>
        </is>
      </c>
      <c r="H97" s="21" t="inlineStr">
        <is>
          <t>Jhon Tamayo</t>
        </is>
      </c>
      <c r="I97" s="21" t="n"/>
      <c r="J97" s="21" t="inlineStr">
        <is>
          <t>Nube</t>
        </is>
      </c>
      <c r="K97" s="21" t="inlineStr">
        <is>
          <t>No aplica</t>
        </is>
      </c>
      <c r="L97" s="21" t="inlineStr">
        <is>
          <t>Por definir</t>
        </is>
      </c>
      <c r="M97" s="21" t="inlineStr">
        <is>
          <t>Por definir</t>
        </is>
      </c>
      <c r="N97" s="21" t="inlineStr">
        <is>
          <t>Por definir</t>
        </is>
      </c>
      <c r="O97" s="21" t="n"/>
      <c r="P97" s="21" t="n"/>
      <c r="Q97" s="20" t="inlineStr">
        <is>
          <t>4 — Alto</t>
        </is>
      </c>
      <c r="R97" s="20" t="inlineStr">
        <is>
          <t>4 — Alto</t>
        </is>
      </c>
      <c r="S97" s="20" t="inlineStr">
        <is>
          <t>2 — Bajo</t>
        </is>
      </c>
      <c r="T97" s="19">
        <f>MAX(IFERROR(VLOOKUP(Q97,MgValor,2,0),0),IFERROR(VLOOKUP(R97,MgValor,2,0),0),IFERROR(VLOOKUP(S97,MgValor,2,0),0))</f>
        <v/>
      </c>
      <c r="U97" s="19">
        <f>IFERROR(LOOKUP(T97,{0;1;2;3;4;5},{"Irrelevante";"Muy Bajo";"Bajo";"Medio";"Alto";"Muy Alto"}),"")</f>
        <v/>
      </c>
    </row>
    <row r="98" ht="30" customHeight="1" s="54">
      <c r="B98" s="59" t="inlineStr">
        <is>
          <t>GH-048</t>
        </is>
      </c>
      <c r="C98" s="13" t="inlineStr">
        <is>
          <t>sicov-app-instructor-f</t>
        </is>
      </c>
      <c r="D98" s="13" t="inlineStr">
        <is>
          <t>Proyecto aplicacion movil instructor SICOV</t>
        </is>
      </c>
      <c r="E98" s="20" t="inlineStr">
        <is>
          <t>[D] Datos / Información</t>
        </is>
      </c>
      <c r="F98" s="20" t="inlineStr">
        <is>
          <t>[source] Código fuente</t>
        </is>
      </c>
      <c r="G98" s="21" t="inlineStr">
        <is>
          <t>Gestión Tecnológica</t>
        </is>
      </c>
      <c r="H98" s="21" t="inlineStr">
        <is>
          <t>Jhon Tamayo</t>
        </is>
      </c>
      <c r="I98" s="21" t="n"/>
      <c r="J98" s="21" t="inlineStr">
        <is>
          <t>Nube</t>
        </is>
      </c>
      <c r="K98" s="21" t="inlineStr">
        <is>
          <t>No aplica</t>
        </is>
      </c>
      <c r="L98" s="21" t="inlineStr">
        <is>
          <t>Por definir</t>
        </is>
      </c>
      <c r="M98" s="21" t="inlineStr">
        <is>
          <t>Por definir</t>
        </is>
      </c>
      <c r="N98" s="21" t="inlineStr">
        <is>
          <t>Por definir</t>
        </is>
      </c>
      <c r="O98" s="21" t="n"/>
      <c r="P98" s="21" t="n"/>
      <c r="Q98" s="20" t="inlineStr">
        <is>
          <t>3 — Medio</t>
        </is>
      </c>
      <c r="R98" s="20" t="inlineStr">
        <is>
          <t>4 — Alto</t>
        </is>
      </c>
      <c r="S98" s="20" t="inlineStr">
        <is>
          <t>4 — Alto</t>
        </is>
      </c>
      <c r="T98" s="19">
        <f>MAX(IFERROR(VLOOKUP(Q98,MgValor,2,0),0),IFERROR(VLOOKUP(R98,MgValor,2,0),0),IFERROR(VLOOKUP(S98,MgValor,2,0),0))</f>
        <v/>
      </c>
      <c r="U98" s="19">
        <f>IFERROR(LOOKUP(T98,{0;1;2;3;4;5},{"Irrelevante";"Muy Bajo";"Bajo";"Medio";"Alto";"Muy Alto"}),"")</f>
        <v/>
      </c>
    </row>
    <row r="99" ht="30" customHeight="1" s="54">
      <c r="B99" s="59" t="inlineStr">
        <is>
          <t>GH-040</t>
        </is>
      </c>
      <c r="C99" s="13" t="inlineStr">
        <is>
          <t>sicov-back-api-gateway-n</t>
        </is>
      </c>
      <c r="D99" s="13" t="inlineStr">
        <is>
          <t>Proyecto API Gateway orquestador de servicios</t>
        </is>
      </c>
      <c r="E99" s="20" t="inlineStr">
        <is>
          <t>[D] Datos / Información</t>
        </is>
      </c>
      <c r="F99" s="20" t="inlineStr">
        <is>
          <t>[source] Código fuente</t>
        </is>
      </c>
      <c r="G99" s="21" t="inlineStr">
        <is>
          <t>Gestión Tecnológica</t>
        </is>
      </c>
      <c r="H99" s="21" t="inlineStr">
        <is>
          <t>Jhon Tamayo</t>
        </is>
      </c>
      <c r="I99" s="21" t="n"/>
      <c r="J99" s="21" t="inlineStr">
        <is>
          <t>Nube</t>
        </is>
      </c>
      <c r="K99" s="21" t="inlineStr">
        <is>
          <t>No aplica</t>
        </is>
      </c>
      <c r="L99" s="21" t="inlineStr">
        <is>
          <t>Por definir</t>
        </is>
      </c>
      <c r="M99" s="21" t="inlineStr">
        <is>
          <t>Por definir</t>
        </is>
      </c>
      <c r="N99" s="21" t="inlineStr">
        <is>
          <t>Por definir</t>
        </is>
      </c>
      <c r="O99" s="21" t="n"/>
      <c r="P99" s="21" t="n"/>
      <c r="Q99" s="20" t="inlineStr">
        <is>
          <t>3 — Medio</t>
        </is>
      </c>
      <c r="R99" s="20" t="inlineStr">
        <is>
          <t>4 — Alto</t>
        </is>
      </c>
      <c r="S99" s="20" t="inlineStr">
        <is>
          <t>4 — Alto</t>
        </is>
      </c>
      <c r="T99" s="19">
        <f>MAX(IFERROR(VLOOKUP(Q99,MgValor,2,0),0),IFERROR(VLOOKUP(R99,MgValor,2,0),0),IFERROR(VLOOKUP(S99,MgValor,2,0),0))</f>
        <v/>
      </c>
      <c r="U99" s="19">
        <f>IFERROR(LOOKUP(T99,{0;1;2;3;4;5},{"Irrelevante";"Muy Bajo";"Bajo";"Medio";"Alto";"Muy Alto"}),"")</f>
        <v/>
      </c>
    </row>
    <row r="100" ht="30" customHeight="1" s="54">
      <c r="B100" s="59" t="inlineStr">
        <is>
          <t>GH-003</t>
        </is>
      </c>
      <c r="C100" s="13" t="inlineStr">
        <is>
          <t>sicov-back-identidades</t>
        </is>
      </c>
      <c r="D100" s="13" t="inlineStr">
        <is>
          <t>Proyecto Back servicios enrolamiento</t>
        </is>
      </c>
      <c r="E100" s="20" t="inlineStr">
        <is>
          <t>[D] Datos / Información</t>
        </is>
      </c>
      <c r="F100" s="20" t="inlineStr">
        <is>
          <t>[source] Código fuente</t>
        </is>
      </c>
      <c r="G100" s="21" t="inlineStr">
        <is>
          <t>Gestión Tecnológica</t>
        </is>
      </c>
      <c r="H100" s="21" t="inlineStr">
        <is>
          <t>Jhon Tamayo</t>
        </is>
      </c>
      <c r="I100" s="21" t="n"/>
      <c r="J100" s="21" t="inlineStr">
        <is>
          <t>Nube</t>
        </is>
      </c>
      <c r="K100" s="21" t="inlineStr">
        <is>
          <t>No aplica</t>
        </is>
      </c>
      <c r="L100" s="21" t="inlineStr">
        <is>
          <t>Por definir</t>
        </is>
      </c>
      <c r="M100" s="21" t="inlineStr">
        <is>
          <t>Por definir</t>
        </is>
      </c>
      <c r="N100" s="21" t="inlineStr">
        <is>
          <t>Por definir</t>
        </is>
      </c>
      <c r="O100" s="21" t="n"/>
      <c r="P100" s="21" t="n"/>
      <c r="Q100" s="20" t="inlineStr">
        <is>
          <t>3 — Medio</t>
        </is>
      </c>
      <c r="R100" s="20" t="inlineStr">
        <is>
          <t>4 — Alto</t>
        </is>
      </c>
      <c r="S100" s="20" t="inlineStr">
        <is>
          <t>4 — Alto</t>
        </is>
      </c>
      <c r="T100" s="19">
        <f>MAX(IFERROR(VLOOKUP(Q100,MgValor,2,0),0),IFERROR(VLOOKUP(R100,MgValor,2,0),0),IFERROR(VLOOKUP(S100,MgValor,2,0),0))</f>
        <v/>
      </c>
      <c r="U100" s="19">
        <f>IFERROR(LOOKUP(T100,{0;1;2;3;4;5},{"Irrelevante";"Muy Bajo";"Bajo";"Medio";"Alto";"Muy Alto"}),"")</f>
        <v/>
      </c>
    </row>
    <row r="101" ht="30" customHeight="1" s="54">
      <c r="B101" s="59" t="inlineStr">
        <is>
          <t>GH-046</t>
        </is>
      </c>
      <c r="C101" s="13" t="inlineStr">
        <is>
          <t>sicov-back-instructor</t>
        </is>
      </c>
      <c r="D101" s="13" t="inlineStr">
        <is>
          <t>Repositorio lambdas back service instructor</t>
        </is>
      </c>
      <c r="E101" s="20" t="inlineStr">
        <is>
          <t>[D] Datos / Información</t>
        </is>
      </c>
      <c r="F101" s="20" t="inlineStr">
        <is>
          <t>[source] Código fuente</t>
        </is>
      </c>
      <c r="G101" s="21" t="inlineStr">
        <is>
          <t>Gestión Tecnológica</t>
        </is>
      </c>
      <c r="H101" s="21" t="inlineStr">
        <is>
          <t>Jhon Tamayo</t>
        </is>
      </c>
      <c r="I101" s="21" t="n"/>
      <c r="J101" s="21" t="inlineStr">
        <is>
          <t>Nube</t>
        </is>
      </c>
      <c r="K101" s="21" t="inlineStr">
        <is>
          <t>No aplica</t>
        </is>
      </c>
      <c r="L101" s="21" t="inlineStr">
        <is>
          <t>Por definir</t>
        </is>
      </c>
      <c r="M101" s="21" t="inlineStr">
        <is>
          <t>Por definir</t>
        </is>
      </c>
      <c r="N101" s="21" t="inlineStr">
        <is>
          <t>Por definir</t>
        </is>
      </c>
      <c r="O101" s="21" t="n"/>
      <c r="P101" s="21" t="n"/>
      <c r="Q101" s="20" t="inlineStr">
        <is>
          <t>3 — Medio</t>
        </is>
      </c>
      <c r="R101" s="20" t="inlineStr">
        <is>
          <t>4 — Alto</t>
        </is>
      </c>
      <c r="S101" s="20" t="inlineStr">
        <is>
          <t>4 — Alto</t>
        </is>
      </c>
      <c r="T101" s="19">
        <f>MAX(IFERROR(VLOOKUP(Q101,MgValor,2,0),0),IFERROR(VLOOKUP(R101,MgValor,2,0),0),IFERROR(VLOOKUP(S101,MgValor,2,0),0))</f>
        <v/>
      </c>
      <c r="U101" s="19">
        <f>IFERROR(LOOKUP(T101,{0;1;2;3;4;5},{"Irrelevante";"Muy Bajo";"Bajo";"Medio";"Alto";"Muy Alto"}),"")</f>
        <v/>
      </c>
    </row>
    <row r="102" ht="30" customHeight="1" s="54">
      <c r="B102" s="59" t="inlineStr">
        <is>
          <t>GH-043</t>
        </is>
      </c>
      <c r="C102" s="13" t="inlineStr">
        <is>
          <t>sicov-back-negocio-core</t>
        </is>
      </c>
      <c r="D102" s="13" t="inlineStr">
        <is>
          <t>Back de servicios operaciones sicov</t>
        </is>
      </c>
      <c r="E102" s="20" t="inlineStr">
        <is>
          <t>[D] Datos / Información</t>
        </is>
      </c>
      <c r="F102" s="20" t="inlineStr">
        <is>
          <t>[source] Código fuente</t>
        </is>
      </c>
      <c r="G102" s="21" t="inlineStr">
        <is>
          <t>Gestión Tecnológica</t>
        </is>
      </c>
      <c r="H102" s="21" t="inlineStr">
        <is>
          <t>Jhon Tamayo</t>
        </is>
      </c>
      <c r="I102" s="21" t="n"/>
      <c r="J102" s="21" t="inlineStr">
        <is>
          <t>Nube</t>
        </is>
      </c>
      <c r="K102" s="21" t="inlineStr">
        <is>
          <t>No aplica</t>
        </is>
      </c>
      <c r="L102" s="21" t="inlineStr">
        <is>
          <t>Por definir</t>
        </is>
      </c>
      <c r="M102" s="21" t="inlineStr">
        <is>
          <t>Por definir</t>
        </is>
      </c>
      <c r="N102" s="21" t="inlineStr">
        <is>
          <t>Por definir</t>
        </is>
      </c>
      <c r="O102" s="21" t="n"/>
      <c r="P102" s="21" t="n"/>
      <c r="Q102" s="20" t="inlineStr">
        <is>
          <t>3 — Medio</t>
        </is>
      </c>
      <c r="R102" s="20" t="inlineStr">
        <is>
          <t>4 — Alto</t>
        </is>
      </c>
      <c r="S102" s="20" t="inlineStr">
        <is>
          <t>4 — Alto</t>
        </is>
      </c>
      <c r="T102" s="19">
        <f>MAX(IFERROR(VLOOKUP(Q102,MgValor,2,0),0),IFERROR(VLOOKUP(R102,MgValor,2,0),0),IFERROR(VLOOKUP(S102,MgValor,2,0),0))</f>
        <v/>
      </c>
      <c r="U102" s="19">
        <f>IFERROR(LOOKUP(T102,{0;1;2;3;4;5},{"Irrelevante";"Muy Bajo";"Bajo";"Medio";"Alto";"Muy Alto"}),"")</f>
        <v/>
      </c>
    </row>
    <row r="103" ht="30" customHeight="1" s="54">
      <c r="B103" s="59" t="inlineStr">
        <is>
          <t>GH-041</t>
        </is>
      </c>
      <c r="C103" s="13" t="inlineStr">
        <is>
          <t>sicov-back-recaudo</t>
        </is>
      </c>
      <c r="D103" s="13" t="inlineStr">
        <is>
          <t>Proyecto lambdas back recaudo SICOV</t>
        </is>
      </c>
      <c r="E103" s="20" t="inlineStr">
        <is>
          <t>[D] Datos / Información</t>
        </is>
      </c>
      <c r="F103" s="20" t="inlineStr">
        <is>
          <t>[source] Código fuente</t>
        </is>
      </c>
      <c r="G103" s="21" t="inlineStr">
        <is>
          <t>Gestión Tecnológica</t>
        </is>
      </c>
      <c r="H103" s="21" t="inlineStr">
        <is>
          <t>Jhon Tamayo</t>
        </is>
      </c>
      <c r="I103" s="21" t="n"/>
      <c r="J103" s="21" t="inlineStr">
        <is>
          <t>Nube</t>
        </is>
      </c>
      <c r="K103" s="21" t="inlineStr">
        <is>
          <t>No aplica</t>
        </is>
      </c>
      <c r="L103" s="21" t="inlineStr">
        <is>
          <t>Por definir</t>
        </is>
      </c>
      <c r="M103" s="21" t="inlineStr">
        <is>
          <t>Por definir</t>
        </is>
      </c>
      <c r="N103" s="21" t="inlineStr">
        <is>
          <t>Por definir</t>
        </is>
      </c>
      <c r="O103" s="21" t="n"/>
      <c r="P103" s="21" t="n"/>
      <c r="Q103" s="20" t="inlineStr">
        <is>
          <t>3 — Medio</t>
        </is>
      </c>
      <c r="R103" s="20" t="inlineStr">
        <is>
          <t>4 — Alto</t>
        </is>
      </c>
      <c r="S103" s="20" t="inlineStr">
        <is>
          <t>4 — Alto</t>
        </is>
      </c>
      <c r="T103" s="19">
        <f>MAX(IFERROR(VLOOKUP(Q103,MgValor,2,0),0),IFERROR(VLOOKUP(R103,MgValor,2,0),0),IFERROR(VLOOKUP(S103,MgValor,2,0),0))</f>
        <v/>
      </c>
      <c r="U103" s="19">
        <f>IFERROR(LOOKUP(T103,{0;1;2;3;4;5},{"Irrelevante";"Muy Bajo";"Bajo";"Medio";"Alto";"Muy Alto"}),"")</f>
        <v/>
      </c>
    </row>
    <row r="104" ht="30" customHeight="1" s="54">
      <c r="B104" s="59" t="inlineStr">
        <is>
          <t>GH-013</t>
        </is>
      </c>
      <c r="C104" s="13" t="inlineStr">
        <is>
          <t>sicov-integrado-cea-data-gateway</t>
        </is>
      </c>
      <c r="D104" s="13" t="inlineStr">
        <is>
          <t>Cuantico.DataGateway</t>
        </is>
      </c>
      <c r="E104" s="20" t="inlineStr">
        <is>
          <t>[D] Datos / Información</t>
        </is>
      </c>
      <c r="F104" s="20" t="inlineStr">
        <is>
          <t>[source] Código fuente</t>
        </is>
      </c>
      <c r="G104" s="21" t="inlineStr">
        <is>
          <t>Gestión Tecnológica</t>
        </is>
      </c>
      <c r="H104" s="21" t="inlineStr">
        <is>
          <t>Jhon Tamayo</t>
        </is>
      </c>
      <c r="I104" s="21" t="n"/>
      <c r="J104" s="21" t="inlineStr">
        <is>
          <t>Nube</t>
        </is>
      </c>
      <c r="K104" s="21" t="inlineStr">
        <is>
          <t>No aplica</t>
        </is>
      </c>
      <c r="L104" s="21" t="inlineStr">
        <is>
          <t>Por definir</t>
        </is>
      </c>
      <c r="M104" s="21" t="inlineStr">
        <is>
          <t>Por definir</t>
        </is>
      </c>
      <c r="N104" s="21" t="inlineStr">
        <is>
          <t>Por definir</t>
        </is>
      </c>
      <c r="O104" s="21" t="n"/>
      <c r="P104" s="21" t="n"/>
      <c r="Q104" s="20" t="inlineStr">
        <is>
          <t>3 — Medio</t>
        </is>
      </c>
      <c r="R104" s="20" t="inlineStr">
        <is>
          <t>4 — Alto</t>
        </is>
      </c>
      <c r="S104" s="20" t="inlineStr">
        <is>
          <t>4 — Alto</t>
        </is>
      </c>
      <c r="T104" s="19">
        <f>MAX(IFERROR(VLOOKUP(Q104,MgValor,2,0),0),IFERROR(VLOOKUP(R104,MgValor,2,0),0),IFERROR(VLOOKUP(S104,MgValor,2,0),0))</f>
        <v/>
      </c>
      <c r="U104" s="19">
        <f>IFERROR(LOOKUP(T104,{0;1;2;3;4;5},{"Irrelevante";"Muy Bajo";"Bajo";"Medio";"Alto";"Muy Alto"}),"")</f>
        <v/>
      </c>
    </row>
    <row r="105" ht="30" customHeight="1" s="54">
      <c r="B105" s="59" t="inlineStr">
        <is>
          <t>GH-010</t>
        </is>
      </c>
      <c r="C105" s="13" t="inlineStr">
        <is>
          <t>sicov-integrado-cea-data-gateway-front</t>
        </is>
      </c>
      <c r="D105" s="13" t="inlineStr">
        <is>
          <t>Cuantico.DataGateway.Front</t>
        </is>
      </c>
      <c r="E105" s="20" t="inlineStr">
        <is>
          <t>[D] Datos / Información</t>
        </is>
      </c>
      <c r="F105" s="20" t="inlineStr">
        <is>
          <t>[source] Código fuente</t>
        </is>
      </c>
      <c r="G105" s="21" t="inlineStr">
        <is>
          <t>Gestión Tecnológica</t>
        </is>
      </c>
      <c r="H105" s="21" t="inlineStr">
        <is>
          <t>Jhon Tamayo</t>
        </is>
      </c>
      <c r="I105" s="21" t="n"/>
      <c r="J105" s="21" t="inlineStr">
        <is>
          <t>Nube</t>
        </is>
      </c>
      <c r="K105" s="21" t="inlineStr">
        <is>
          <t>No aplica</t>
        </is>
      </c>
      <c r="L105" s="21" t="inlineStr">
        <is>
          <t>Por definir</t>
        </is>
      </c>
      <c r="M105" s="21" t="inlineStr">
        <is>
          <t>Por definir</t>
        </is>
      </c>
      <c r="N105" s="21" t="inlineStr">
        <is>
          <t>Por definir</t>
        </is>
      </c>
      <c r="O105" s="21" t="n"/>
      <c r="P105" s="21" t="n"/>
      <c r="Q105" s="20" t="inlineStr">
        <is>
          <t>3 — Medio</t>
        </is>
      </c>
      <c r="R105" s="20" t="inlineStr">
        <is>
          <t>4 — Alto</t>
        </is>
      </c>
      <c r="S105" s="20" t="inlineStr">
        <is>
          <t>4 — Alto</t>
        </is>
      </c>
      <c r="T105" s="19">
        <f>MAX(IFERROR(VLOOKUP(Q105,MgValor,2,0),0),IFERROR(VLOOKUP(R105,MgValor,2,0),0),IFERROR(VLOOKUP(S105,MgValor,2,0),0))</f>
        <v/>
      </c>
      <c r="U105" s="19">
        <f>IFERROR(LOOKUP(T105,{0;1;2;3;4;5},{"Irrelevante";"Muy Bajo";"Bajo";"Medio";"Alto";"Muy Alto"}),"")</f>
        <v/>
      </c>
    </row>
    <row r="106" ht="30" customHeight="1" s="54">
      <c r="B106" s="59" t="inlineStr">
        <is>
          <t>GH-012</t>
        </is>
      </c>
      <c r="C106" s="13" t="inlineStr">
        <is>
          <t>sicov-integrado-cea-data-vault</t>
        </is>
      </c>
      <c r="D106" s="13" t="inlineStr">
        <is>
          <t>Cuantico.DataVault</t>
        </is>
      </c>
      <c r="E106" s="20" t="inlineStr">
        <is>
          <t>[D] Datos / Información</t>
        </is>
      </c>
      <c r="F106" s="20" t="inlineStr">
        <is>
          <t>[source] Código fuente</t>
        </is>
      </c>
      <c r="G106" s="21" t="inlineStr">
        <is>
          <t>Gestión Tecnológica</t>
        </is>
      </c>
      <c r="H106" s="21" t="inlineStr">
        <is>
          <t>Jhon Tamayo</t>
        </is>
      </c>
      <c r="I106" s="21" t="n"/>
      <c r="J106" s="21" t="inlineStr">
        <is>
          <t>Nube</t>
        </is>
      </c>
      <c r="K106" s="21" t="inlineStr">
        <is>
          <t>No aplica</t>
        </is>
      </c>
      <c r="L106" s="21" t="inlineStr">
        <is>
          <t>Por definir</t>
        </is>
      </c>
      <c r="M106" s="21" t="inlineStr">
        <is>
          <t>Por definir</t>
        </is>
      </c>
      <c r="N106" s="21" t="inlineStr">
        <is>
          <t>Por definir</t>
        </is>
      </c>
      <c r="O106" s="21" t="n"/>
      <c r="P106" s="21" t="n"/>
      <c r="Q106" s="20" t="inlineStr">
        <is>
          <t>3 — Medio</t>
        </is>
      </c>
      <c r="R106" s="20" t="inlineStr">
        <is>
          <t>4 — Alto</t>
        </is>
      </c>
      <c r="S106" s="20" t="inlineStr">
        <is>
          <t>4 — Alto</t>
        </is>
      </c>
      <c r="T106" s="19">
        <f>MAX(IFERROR(VLOOKUP(Q106,MgValor,2,0),0),IFERROR(VLOOKUP(R106,MgValor,2,0),0),IFERROR(VLOOKUP(S106,MgValor,2,0),0))</f>
        <v/>
      </c>
      <c r="U106" s="19">
        <f>IFERROR(LOOKUP(T106,{0;1;2;3;4;5},{"Irrelevante";"Muy Bajo";"Bajo";"Medio";"Alto";"Muy Alto"}),"")</f>
        <v/>
      </c>
    </row>
    <row r="107" ht="30" customHeight="1" s="54">
      <c r="B107" s="59" t="inlineStr">
        <is>
          <t>GH-011</t>
        </is>
      </c>
      <c r="C107" s="13" t="inlineStr">
        <is>
          <t>sicov-integrado-cea-desktop-agent</t>
        </is>
      </c>
      <c r="D107" s="13" t="inlineStr">
        <is>
          <t>Cuantico.DesktopAgent</t>
        </is>
      </c>
      <c r="E107" s="20" t="inlineStr">
        <is>
          <t>[D] Datos / Información</t>
        </is>
      </c>
      <c r="F107" s="20" t="inlineStr">
        <is>
          <t>[source] Código fuente</t>
        </is>
      </c>
      <c r="G107" s="21" t="inlineStr">
        <is>
          <t>Gestión Tecnológica</t>
        </is>
      </c>
      <c r="H107" s="21" t="inlineStr">
        <is>
          <t>Jhon Tamayo</t>
        </is>
      </c>
      <c r="I107" s="21" t="n"/>
      <c r="J107" s="21" t="inlineStr">
        <is>
          <t>Nube</t>
        </is>
      </c>
      <c r="K107" s="21" t="inlineStr">
        <is>
          <t>No aplica</t>
        </is>
      </c>
      <c r="L107" s="21" t="inlineStr">
        <is>
          <t>Por definir</t>
        </is>
      </c>
      <c r="M107" s="21" t="inlineStr">
        <is>
          <t>Por definir</t>
        </is>
      </c>
      <c r="N107" s="21" t="inlineStr">
        <is>
          <t>Por definir</t>
        </is>
      </c>
      <c r="O107" s="21" t="n"/>
      <c r="P107" s="21" t="n"/>
      <c r="Q107" s="20" t="inlineStr">
        <is>
          <t>3 — Medio</t>
        </is>
      </c>
      <c r="R107" s="20" t="inlineStr">
        <is>
          <t>4 — Alto</t>
        </is>
      </c>
      <c r="S107" s="20" t="inlineStr">
        <is>
          <t>4 — Alto</t>
        </is>
      </c>
      <c r="T107" s="19">
        <f>MAX(IFERROR(VLOOKUP(Q107,MgValor,2,0),0),IFERROR(VLOOKUP(R107,MgValor,2,0),0),IFERROR(VLOOKUP(S107,MgValor,2,0),0))</f>
        <v/>
      </c>
      <c r="U107" s="19">
        <f>IFERROR(LOOKUP(T107,{0;1;2;3;4;5},{"Irrelevante";"Muy Bajo";"Bajo";"Medio";"Alto";"Muy Alto"}),"")</f>
        <v/>
      </c>
    </row>
    <row r="108" ht="30" customHeight="1" s="54">
      <c r="B108" s="59" t="inlineStr">
        <is>
          <t>GH-051</t>
        </is>
      </c>
      <c r="C108" s="13" t="inlineStr">
        <is>
          <t>sicov-integrado-cea-service-master</t>
        </is>
      </c>
      <c r="D108" s="13" t="inlineStr">
        <is>
          <t>Cuantico.ServiceMaster</t>
        </is>
      </c>
      <c r="E108" s="20" t="inlineStr">
        <is>
          <t>[D] Datos / Información</t>
        </is>
      </c>
      <c r="F108" s="20" t="inlineStr">
        <is>
          <t>[source] Código fuente</t>
        </is>
      </c>
      <c r="G108" s="21" t="inlineStr">
        <is>
          <t>Gestión Tecnológica</t>
        </is>
      </c>
      <c r="H108" s="21" t="inlineStr">
        <is>
          <t>Jhon Tamayo</t>
        </is>
      </c>
      <c r="I108" s="21" t="n"/>
      <c r="J108" s="21" t="inlineStr">
        <is>
          <t>Nube</t>
        </is>
      </c>
      <c r="K108" s="21" t="inlineStr">
        <is>
          <t>No aplica</t>
        </is>
      </c>
      <c r="L108" s="21" t="inlineStr">
        <is>
          <t>Por definir</t>
        </is>
      </c>
      <c r="M108" s="21" t="inlineStr">
        <is>
          <t>Por definir</t>
        </is>
      </c>
      <c r="N108" s="21" t="inlineStr">
        <is>
          <t>Por definir</t>
        </is>
      </c>
      <c r="O108" s="21" t="n"/>
      <c r="P108" s="21" t="n"/>
      <c r="Q108" s="20" t="inlineStr">
        <is>
          <t>3 — Medio</t>
        </is>
      </c>
      <c r="R108" s="20" t="inlineStr">
        <is>
          <t>4 — Alto</t>
        </is>
      </c>
      <c r="S108" s="20" t="inlineStr">
        <is>
          <t>4 — Alto</t>
        </is>
      </c>
      <c r="T108" s="19">
        <f>MAX(IFERROR(VLOOKUP(Q108,MgValor,2,0),0),IFERROR(VLOOKUP(R108,MgValor,2,0),0),IFERROR(VLOOKUP(S108,MgValor,2,0),0))</f>
        <v/>
      </c>
      <c r="U108" s="19">
        <f>IFERROR(LOOKUP(T108,{0;1;2;3;4;5},{"Irrelevante";"Muy Bajo";"Bajo";"Medio";"Alto";"Muy Alto"}),"")</f>
        <v/>
      </c>
    </row>
    <row r="109" ht="30" customHeight="1" s="54">
      <c r="B109" s="59" t="inlineStr">
        <is>
          <t>GH-056</t>
        </is>
      </c>
      <c r="C109" s="13" t="inlineStr">
        <is>
          <t>sicov-wp-calculadora-plg</t>
        </is>
      </c>
      <c r="D109" s="13" t="inlineStr">
        <is>
          <t>Plugin calculadora tarifario ciudadano SICOV</t>
        </is>
      </c>
      <c r="E109" s="20" t="inlineStr">
        <is>
          <t>[D] Datos / Información</t>
        </is>
      </c>
      <c r="F109" s="20" t="inlineStr">
        <is>
          <t>[source] Código fuente</t>
        </is>
      </c>
      <c r="G109" s="21" t="inlineStr">
        <is>
          <t>Gestión Tecnológica</t>
        </is>
      </c>
      <c r="H109" s="21" t="inlineStr">
        <is>
          <t>Jhon Tamayo</t>
        </is>
      </c>
      <c r="I109" s="21" t="n"/>
      <c r="J109" s="21" t="inlineStr">
        <is>
          <t>Nube</t>
        </is>
      </c>
      <c r="K109" s="21" t="inlineStr">
        <is>
          <t>No aplica</t>
        </is>
      </c>
      <c r="L109" s="21" t="inlineStr">
        <is>
          <t>Por definir</t>
        </is>
      </c>
      <c r="M109" s="21" t="inlineStr">
        <is>
          <t>Por definir</t>
        </is>
      </c>
      <c r="N109" s="21" t="inlineStr">
        <is>
          <t>Por definir</t>
        </is>
      </c>
      <c r="O109" s="21" t="n"/>
      <c r="P109" s="21" t="n"/>
      <c r="Q109" s="20" t="inlineStr">
        <is>
          <t>3 — Medio</t>
        </is>
      </c>
      <c r="R109" s="20" t="inlineStr">
        <is>
          <t>3 — Medio</t>
        </is>
      </c>
      <c r="S109" s="20" t="inlineStr">
        <is>
          <t>3 — Medio</t>
        </is>
      </c>
      <c r="T109" s="19">
        <f>MAX(IFERROR(VLOOKUP(Q109,MgValor,2,0),0),IFERROR(VLOOKUP(R109,MgValor,2,0),0),IFERROR(VLOOKUP(S109,MgValor,2,0),0))</f>
        <v/>
      </c>
      <c r="U109" s="19">
        <f>IFERROR(LOOKUP(T109,{0;1;2;3;4;5},{"Irrelevante";"Muy Bajo";"Bajo";"Medio";"Alto";"Muy Alto"}),"")</f>
        <v/>
      </c>
    </row>
    <row r="110" ht="30" customHeight="1" s="54">
      <c r="B110" s="59" t="inlineStr">
        <is>
          <t>GH-047</t>
        </is>
      </c>
      <c r="C110" s="13" t="inlineStr">
        <is>
          <t>sicov-wp-cea-control</t>
        </is>
      </c>
      <c r="D110" s="13" t="inlineStr">
        <is>
          <t>Theme Wordpress CEA Control portal administracion</t>
        </is>
      </c>
      <c r="E110" s="20" t="inlineStr">
        <is>
          <t>[D] Datos / Información</t>
        </is>
      </c>
      <c r="F110" s="20" t="inlineStr">
        <is>
          <t>[source] Código fuente</t>
        </is>
      </c>
      <c r="G110" s="21" t="inlineStr">
        <is>
          <t>Gestión Tecnológica</t>
        </is>
      </c>
      <c r="H110" s="21" t="inlineStr">
        <is>
          <t>Jhon Tamayo</t>
        </is>
      </c>
      <c r="I110" s="21" t="n"/>
      <c r="J110" s="21" t="inlineStr">
        <is>
          <t>Nube</t>
        </is>
      </c>
      <c r="K110" s="21" t="inlineStr">
        <is>
          <t>No aplica</t>
        </is>
      </c>
      <c r="L110" s="21" t="inlineStr">
        <is>
          <t>Por definir</t>
        </is>
      </c>
      <c r="M110" s="21" t="inlineStr">
        <is>
          <t>Por definir</t>
        </is>
      </c>
      <c r="N110" s="21" t="inlineStr">
        <is>
          <t>Por definir</t>
        </is>
      </c>
      <c r="O110" s="21" t="n"/>
      <c r="P110" s="21" t="n"/>
      <c r="Q110" s="20" t="inlineStr">
        <is>
          <t>3 — Medio</t>
        </is>
      </c>
      <c r="R110" s="20" t="inlineStr">
        <is>
          <t>3 — Medio</t>
        </is>
      </c>
      <c r="S110" s="20" t="inlineStr">
        <is>
          <t>3 — Medio</t>
        </is>
      </c>
      <c r="T110" s="19">
        <f>MAX(IFERROR(VLOOKUP(Q110,MgValor,2,0),0),IFERROR(VLOOKUP(R110,MgValor,2,0),0),IFERROR(VLOOKUP(S110,MgValor,2,0),0))</f>
        <v/>
      </c>
      <c r="U110" s="19">
        <f>IFERROR(LOOKUP(T110,{0;1;2;3;4;5},{"Irrelevante";"Muy Bajo";"Bajo";"Medio";"Alto";"Muy Alto"}),"")</f>
        <v/>
      </c>
    </row>
    <row r="111" ht="30" customHeight="1" s="54">
      <c r="B111" s="59" t="inlineStr">
        <is>
          <t>GH-052</t>
        </is>
      </c>
      <c r="C111" s="13" t="inlineStr">
        <is>
          <t>sicov-wp-ciudadano-calculadora</t>
        </is>
      </c>
      <c r="D111" s="13" t="inlineStr">
        <is>
          <t>Plugin Wordpress cotizacion calculadora compra PIN</t>
        </is>
      </c>
      <c r="E111" s="20" t="inlineStr">
        <is>
          <t>[D] Datos / Información</t>
        </is>
      </c>
      <c r="F111" s="20" t="inlineStr">
        <is>
          <t>[source] Código fuente</t>
        </is>
      </c>
      <c r="G111" s="21" t="inlineStr">
        <is>
          <t>Gestión Tecnológica</t>
        </is>
      </c>
      <c r="H111" s="21" t="inlineStr">
        <is>
          <t>Jhon Tamayo</t>
        </is>
      </c>
      <c r="I111" s="21" t="n"/>
      <c r="J111" s="21" t="inlineStr">
        <is>
          <t>Nube</t>
        </is>
      </c>
      <c r="K111" s="21" t="inlineStr">
        <is>
          <t>No aplica</t>
        </is>
      </c>
      <c r="L111" s="21" t="inlineStr">
        <is>
          <t>Por definir</t>
        </is>
      </c>
      <c r="M111" s="21" t="inlineStr">
        <is>
          <t>Por definir</t>
        </is>
      </c>
      <c r="N111" s="21" t="inlineStr">
        <is>
          <t>Por definir</t>
        </is>
      </c>
      <c r="O111" s="21" t="n"/>
      <c r="P111" s="21" t="n"/>
      <c r="Q111" s="20" t="inlineStr">
        <is>
          <t>3 — Medio</t>
        </is>
      </c>
      <c r="R111" s="20" t="inlineStr">
        <is>
          <t>3 — Medio</t>
        </is>
      </c>
      <c r="S111" s="20" t="inlineStr">
        <is>
          <t>3 — Medio</t>
        </is>
      </c>
      <c r="T111" s="19">
        <f>MAX(IFERROR(VLOOKUP(Q111,MgValor,2,0),0),IFERROR(VLOOKUP(R111,MgValor,2,0),0),IFERROR(VLOOKUP(S111,MgValor,2,0),0))</f>
        <v/>
      </c>
      <c r="U111" s="19">
        <f>IFERROR(LOOKUP(T111,{0;1;2;3;4;5},{"Irrelevante";"Muy Bajo";"Bajo";"Medio";"Alto";"Muy Alto"}),"")</f>
        <v/>
      </c>
    </row>
    <row r="112" ht="30" customHeight="1" s="54">
      <c r="B112" s="59" t="inlineStr">
        <is>
          <t>GH-053</t>
        </is>
      </c>
      <c r="C112" s="13" t="inlineStr">
        <is>
          <t>sicov-wp-ciudadano-calculadora-lib</t>
        </is>
      </c>
      <c r="D112" s="13" t="inlineStr">
        <is>
          <t>Libreria plugin para alimentar la informacion calculadora SICOV</t>
        </is>
      </c>
      <c r="E112" s="20" t="inlineStr">
        <is>
          <t>[D] Datos / Información</t>
        </is>
      </c>
      <c r="F112" s="20" t="inlineStr">
        <is>
          <t>[source] Código fuente</t>
        </is>
      </c>
      <c r="G112" s="21" t="inlineStr">
        <is>
          <t>Gestión Tecnológica</t>
        </is>
      </c>
      <c r="H112" s="21" t="inlineStr">
        <is>
          <t>Jhon Tamayo</t>
        </is>
      </c>
      <c r="I112" s="21" t="n"/>
      <c r="J112" s="21" t="inlineStr">
        <is>
          <t>Nube</t>
        </is>
      </c>
      <c r="K112" s="21" t="inlineStr">
        <is>
          <t>No aplica</t>
        </is>
      </c>
      <c r="L112" s="21" t="inlineStr">
        <is>
          <t>Por definir</t>
        </is>
      </c>
      <c r="M112" s="21" t="inlineStr">
        <is>
          <t>Por definir</t>
        </is>
      </c>
      <c r="N112" s="21" t="inlineStr">
        <is>
          <t>Por definir</t>
        </is>
      </c>
      <c r="O112" s="21" t="n"/>
      <c r="P112" s="21" t="n"/>
      <c r="Q112" s="20" t="inlineStr">
        <is>
          <t>3 — Medio</t>
        </is>
      </c>
      <c r="R112" s="20" t="inlineStr">
        <is>
          <t>3 — Medio</t>
        </is>
      </c>
      <c r="S112" s="20" t="inlineStr">
        <is>
          <t>3 — Medio</t>
        </is>
      </c>
      <c r="T112" s="19">
        <f>MAX(IFERROR(VLOOKUP(Q112,MgValor,2,0),0),IFERROR(VLOOKUP(R112,MgValor,2,0),0),IFERROR(VLOOKUP(S112,MgValor,2,0),0))</f>
        <v/>
      </c>
      <c r="U112" s="19">
        <f>IFERROR(LOOKUP(T112,{0;1;2;3;4;5},{"Irrelevante";"Muy Bajo";"Bajo";"Medio";"Alto";"Muy Alto"}),"")</f>
        <v/>
      </c>
    </row>
    <row r="113" ht="30" customHeight="1" s="54">
      <c r="B113" s="59" t="inlineStr">
        <is>
          <t>GH-049</t>
        </is>
      </c>
      <c r="C113" s="13" t="inlineStr">
        <is>
          <t>sicov-wp-portal-ciudadano-t</t>
        </is>
      </c>
      <c r="D113" s="13" t="inlineStr">
        <is>
          <t>Theme Wordpress portal ciudadano SICOV</t>
        </is>
      </c>
      <c r="E113" s="20" t="inlineStr">
        <is>
          <t>[D] Datos / Información</t>
        </is>
      </c>
      <c r="F113" s="20" t="inlineStr">
        <is>
          <t>[source] Código fuente</t>
        </is>
      </c>
      <c r="G113" s="21" t="inlineStr">
        <is>
          <t>Gestión Tecnológica</t>
        </is>
      </c>
      <c r="H113" s="21" t="inlineStr">
        <is>
          <t>Jhon Tamayo</t>
        </is>
      </c>
      <c r="I113" s="21" t="n"/>
      <c r="J113" s="21" t="inlineStr">
        <is>
          <t>Nube</t>
        </is>
      </c>
      <c r="K113" s="21" t="inlineStr">
        <is>
          <t>No aplica</t>
        </is>
      </c>
      <c r="L113" s="21" t="inlineStr">
        <is>
          <t>Por definir</t>
        </is>
      </c>
      <c r="M113" s="21" t="inlineStr">
        <is>
          <t>Por definir</t>
        </is>
      </c>
      <c r="N113" s="21" t="inlineStr">
        <is>
          <t>Por definir</t>
        </is>
      </c>
      <c r="O113" s="21" t="n"/>
      <c r="P113" s="21" t="n"/>
      <c r="Q113" s="20" t="inlineStr">
        <is>
          <t>3 — Medio</t>
        </is>
      </c>
      <c r="R113" s="20" t="inlineStr">
        <is>
          <t>3 — Medio</t>
        </is>
      </c>
      <c r="S113" s="20" t="inlineStr">
        <is>
          <t>3 — Medio</t>
        </is>
      </c>
      <c r="T113" s="19">
        <f>MAX(IFERROR(VLOOKUP(Q113,MgValor,2,0),0),IFERROR(VLOOKUP(R113,MgValor,2,0),0),IFERROR(VLOOKUP(S113,MgValor,2,0),0))</f>
        <v/>
      </c>
      <c r="U113" s="19">
        <f>IFERROR(LOOKUP(T113,{0;1;2;3;4;5},{"Irrelevante";"Muy Bajo";"Bajo";"Medio";"Alto";"Muy Alto"}),"")</f>
        <v/>
      </c>
    </row>
    <row r="114" ht="30" customHeight="1" s="54">
      <c r="B114" s="59" t="inlineStr">
        <is>
          <t>MS-01</t>
        </is>
      </c>
      <c r="C114" s="13" t="inlineStr">
        <is>
          <t>Exchange Online (Plan 1)</t>
        </is>
      </c>
      <c r="D114" s="13" t="inlineStr">
        <is>
          <t>Servicio de correo corporativo en la nube</t>
        </is>
      </c>
      <c r="E114" s="20" t="inlineStr">
        <is>
          <t>[S] Servicios</t>
        </is>
      </c>
      <c r="F114" s="20" t="inlineStr">
        <is>
          <t>[ext] A usuarios externos bajo una relación contractual</t>
        </is>
      </c>
      <c r="G114" s="21" t="inlineStr">
        <is>
          <t>Gestión Tecnológica</t>
        </is>
      </c>
      <c r="H114" s="21" t="inlineStr">
        <is>
          <t>Gestión Tecnológica</t>
        </is>
      </c>
      <c r="I114" s="21" t="n"/>
      <c r="J114" s="21" t="inlineStr">
        <is>
          <t>Nube</t>
        </is>
      </c>
      <c r="K114" s="21" t="inlineStr">
        <is>
          <t>Producción</t>
        </is>
      </c>
      <c r="L114" s="21" t="inlineStr">
        <is>
          <t>Por definir</t>
        </is>
      </c>
      <c r="M114" s="21" t="inlineStr">
        <is>
          <t>Por definir</t>
        </is>
      </c>
      <c r="N114" s="21" t="inlineStr">
        <is>
          <t>Por definir</t>
        </is>
      </c>
      <c r="O114" s="21" t="n"/>
      <c r="P114" s="21" t="n"/>
      <c r="Q114" s="20" t="inlineStr">
        <is>
          <t>3 — Medio</t>
        </is>
      </c>
      <c r="R114" s="20" t="inlineStr">
        <is>
          <t>4 — Alto</t>
        </is>
      </c>
      <c r="S114" s="20" t="inlineStr">
        <is>
          <t>4 — Alto</t>
        </is>
      </c>
      <c r="T114" s="19">
        <f>MAX(IFERROR(VLOOKUP(Q114,MgValor,2,0),0),IFERROR(VLOOKUP(R114,MgValor,2,0),0),IFERROR(VLOOKUP(S114,MgValor,2,0),0))</f>
        <v/>
      </c>
      <c r="U114" s="19">
        <f>IFERROR(LOOKUP(T114,{0;1;2;3;4;5},{"Irrelevante";"Muy Bajo";"Bajo";"Medio";"Alto";"Muy Alto"}),"")</f>
        <v/>
      </c>
    </row>
    <row r="115" ht="30" customHeight="1" s="54">
      <c r="B115" s="59" t="inlineStr">
        <is>
          <t>FIN-27</t>
        </is>
      </c>
      <c r="C115" s="13" t="inlineStr">
        <is>
          <t>Facturación electrónica DIAN / RADIAN</t>
        </is>
      </c>
      <c r="D115" s="13" t="inlineStr">
        <is>
          <t>Emisión/recepción de facturas electrónicas vía Siigo</t>
        </is>
      </c>
      <c r="E115" s="20" t="inlineStr">
        <is>
          <t>[S] Servicios</t>
        </is>
      </c>
      <c r="F115" s="20" t="inlineStr">
        <is>
          <t>[ext] A usuarios externos bajo una relación contractual</t>
        </is>
      </c>
      <c r="G115" s="21" t="inlineStr">
        <is>
          <t>Gestión Financiera</t>
        </is>
      </c>
      <c r="H115" s="21" t="inlineStr">
        <is>
          <t>Gestión Tecnológica</t>
        </is>
      </c>
      <c r="I115" s="21" t="n"/>
      <c r="J115" s="21" t="inlineStr">
        <is>
          <t>Nube</t>
        </is>
      </c>
      <c r="K115" s="21" t="inlineStr">
        <is>
          <t>Producción</t>
        </is>
      </c>
      <c r="L115" s="21" t="inlineStr">
        <is>
          <t>Por definir</t>
        </is>
      </c>
      <c r="M115" s="21" t="inlineStr">
        <is>
          <t>Por definir</t>
        </is>
      </c>
      <c r="N115" s="21" t="inlineStr">
        <is>
          <t>Por definir</t>
        </is>
      </c>
      <c r="O115" s="21" t="n"/>
      <c r="P115" s="21" t="n"/>
      <c r="Q115" s="20" t="inlineStr">
        <is>
          <t>4 — Alto</t>
        </is>
      </c>
      <c r="R115" s="20" t="inlineStr">
        <is>
          <t>4 — Alto</t>
        </is>
      </c>
      <c r="S115" s="20" t="inlineStr">
        <is>
          <t>3 — Medio</t>
        </is>
      </c>
      <c r="T115" s="19">
        <f>MAX(IFERROR(VLOOKUP(Q115,MgValor,2,0),0),IFERROR(VLOOKUP(R115,MgValor,2,0),0),IFERROR(VLOOKUP(S115,MgValor,2,0),0))</f>
        <v/>
      </c>
      <c r="U115" s="19">
        <f>IFERROR(LOOKUP(T115,{0;1;2;3;4;5},{"Irrelevante";"Muy Bajo";"Bajo";"Medio";"Alto";"Muy Alto"}),"")</f>
        <v/>
      </c>
    </row>
    <row r="116" ht="30" customHeight="1" s="54">
      <c r="B116" s="59" t="inlineStr">
        <is>
          <t>TEC-014</t>
        </is>
      </c>
      <c r="C116" s="13" t="inlineStr">
        <is>
          <t>Hosting-Web</t>
        </is>
      </c>
      <c r="D116" s="13" t="n"/>
      <c r="E116" s="20" t="inlineStr">
        <is>
          <t>[S] Servicios</t>
        </is>
      </c>
      <c r="F116" s="20" t="inlineStr">
        <is>
          <t>[ext] A usuarios externos bajo una relación contractual</t>
        </is>
      </c>
      <c r="G116" s="21" t="inlineStr">
        <is>
          <t>Gestión Tecnológica</t>
        </is>
      </c>
      <c r="H116" s="21" t="inlineStr">
        <is>
          <t>Gestión Tecnológica</t>
        </is>
      </c>
      <c r="I116" s="21" t="n"/>
      <c r="J116" s="21" t="inlineStr">
        <is>
          <t>Nube</t>
        </is>
      </c>
      <c r="K116" s="21" t="inlineStr">
        <is>
          <t>Producción</t>
        </is>
      </c>
      <c r="L116" s="21" t="inlineStr">
        <is>
          <t>Por definir</t>
        </is>
      </c>
      <c r="M116" s="21" t="inlineStr">
        <is>
          <t>Por definir</t>
        </is>
      </c>
      <c r="N116" s="21" t="inlineStr">
        <is>
          <t>Por definir</t>
        </is>
      </c>
      <c r="O116" s="21" t="n"/>
      <c r="P116" s="21" t="n"/>
      <c r="Q116" s="20" t="inlineStr">
        <is>
          <t>4 — Alto</t>
        </is>
      </c>
      <c r="R116" s="20" t="inlineStr">
        <is>
          <t>3 — Medio</t>
        </is>
      </c>
      <c r="S116" s="20" t="inlineStr">
        <is>
          <t>2 — Bajo</t>
        </is>
      </c>
      <c r="T116" s="19">
        <f>MAX(IFERROR(VLOOKUP(Q116,MgValor,2,0),0),IFERROR(VLOOKUP(R116,MgValor,2,0),0),IFERROR(VLOOKUP(S116,MgValor,2,0),0))</f>
        <v/>
      </c>
      <c r="U116" s="19">
        <f>IFERROR(LOOKUP(T116,{0;1;2;3;4;5},{"Irrelevante";"Muy Bajo";"Bajo";"Medio";"Alto";"Muy Alto"}),"")</f>
        <v/>
      </c>
    </row>
    <row r="117" ht="30" customHeight="1" s="54">
      <c r="B117" s="59" t="inlineStr">
        <is>
          <t>MS-02</t>
        </is>
      </c>
      <c r="C117" s="13" t="inlineStr">
        <is>
          <t>Microsoft 365 Business Standard</t>
        </is>
      </c>
      <c r="D117" s="13" t="inlineStr">
        <is>
          <t>Suite de ofimática y colaboración (Office, Teams, OneDrive)</t>
        </is>
      </c>
      <c r="E117" s="20" t="inlineStr">
        <is>
          <t>[S] Servicios</t>
        </is>
      </c>
      <c r="F117" s="20" t="inlineStr">
        <is>
          <t>[ext] A usuarios externos bajo una relación contractual</t>
        </is>
      </c>
      <c r="G117" s="21" t="inlineStr">
        <is>
          <t>Gestión Tecnológica</t>
        </is>
      </c>
      <c r="H117" s="21" t="inlineStr">
        <is>
          <t>Gestión Tecnológica</t>
        </is>
      </c>
      <c r="I117" s="21" t="n"/>
      <c r="J117" s="21" t="inlineStr">
        <is>
          <t>Nube</t>
        </is>
      </c>
      <c r="K117" s="21" t="inlineStr">
        <is>
          <t>Producción</t>
        </is>
      </c>
      <c r="L117" s="21" t="inlineStr">
        <is>
          <t>Por definir</t>
        </is>
      </c>
      <c r="M117" s="21" t="inlineStr">
        <is>
          <t>Por definir</t>
        </is>
      </c>
      <c r="N117" s="21" t="inlineStr">
        <is>
          <t>Por definir</t>
        </is>
      </c>
      <c r="O117" s="21" t="n"/>
      <c r="P117" s="21" t="n"/>
      <c r="Q117" s="20" t="inlineStr">
        <is>
          <t>4 — Alto</t>
        </is>
      </c>
      <c r="R117" s="20" t="inlineStr">
        <is>
          <t>4 — Alto</t>
        </is>
      </c>
      <c r="S117" s="20" t="inlineStr">
        <is>
          <t>4 — Alto</t>
        </is>
      </c>
      <c r="T117" s="19">
        <f>MAX(IFERROR(VLOOKUP(Q117,MgValor,2,0),0),IFERROR(VLOOKUP(R117,MgValor,2,0),0),IFERROR(VLOOKUP(S117,MgValor,2,0),0))</f>
        <v/>
      </c>
      <c r="U117" s="19">
        <f>IFERROR(LOOKUP(T117,{0;1;2;3;4;5},{"Irrelevante";"Muy Bajo";"Bajo";"Medio";"Alto";"Muy Alto"}),"")</f>
        <v/>
      </c>
    </row>
    <row r="118" ht="45" customHeight="1" s="54">
      <c r="B118" s="59" t="inlineStr">
        <is>
          <t>FIN-28</t>
        </is>
      </c>
      <c r="C118" s="13" t="inlineStr">
        <is>
          <t>Plataforma de seguridad social (PILA)</t>
        </is>
      </c>
      <c r="D118" s="13" t="inlineStr">
        <is>
          <t>Liquidación y pago de aportes de seguridad social</t>
        </is>
      </c>
      <c r="E118" s="20" t="inlineStr">
        <is>
          <t>[S] Servicios</t>
        </is>
      </c>
      <c r="F118" s="20" t="inlineStr">
        <is>
          <t>[ext] A usuarios externos bajo una relación contractual</t>
        </is>
      </c>
      <c r="G118" s="21" t="inlineStr">
        <is>
          <t>Gestión Financiera</t>
        </is>
      </c>
      <c r="H118" s="21" t="inlineStr">
        <is>
          <t>Finance and Administrative Manager</t>
        </is>
      </c>
      <c r="I118" s="21" t="n"/>
      <c r="J118" s="21" t="inlineStr">
        <is>
          <t>Nube</t>
        </is>
      </c>
      <c r="K118" s="21" t="inlineStr">
        <is>
          <t>Producción</t>
        </is>
      </c>
      <c r="L118" s="21" t="inlineStr">
        <is>
          <t>Por definir</t>
        </is>
      </c>
      <c r="M118" s="21" t="inlineStr">
        <is>
          <t>Por definir</t>
        </is>
      </c>
      <c r="N118" s="21" t="inlineStr">
        <is>
          <t>Por definir</t>
        </is>
      </c>
      <c r="O118" s="21" t="n"/>
      <c r="P118" s="21" t="n"/>
      <c r="Q118" s="20" t="inlineStr">
        <is>
          <t>4 — Alto</t>
        </is>
      </c>
      <c r="R118" s="20" t="inlineStr">
        <is>
          <t>4 — Alto</t>
        </is>
      </c>
      <c r="S118" s="20" t="inlineStr">
        <is>
          <t>4 — Alto</t>
        </is>
      </c>
      <c r="T118" s="19">
        <f>MAX(IFERROR(VLOOKUP(Q118,MgValor,2,0),0),IFERROR(VLOOKUP(R118,MgValor,2,0),0),IFERROR(VLOOKUP(S118,MgValor,2,0),0))</f>
        <v/>
      </c>
      <c r="U118" s="19">
        <f>IFERROR(LOOKUP(T118,{0;1;2;3;4;5},{"Irrelevante";"Muy Bajo";"Bajo";"Medio";"Alto";"Muy Alto"}),"")</f>
        <v/>
      </c>
    </row>
    <row r="119" ht="45" customHeight="1" s="54">
      <c r="B119" s="59" t="inlineStr">
        <is>
          <t>FIN-23</t>
        </is>
      </c>
      <c r="C119" s="13" t="inlineStr">
        <is>
          <t>Portal bancario (Innovaciencia)</t>
        </is>
      </c>
      <c r="D119" s="13" t="inlineStr">
        <is>
          <t>Portal bancario de la entidad Innovaciencia</t>
        </is>
      </c>
      <c r="E119" s="20" t="inlineStr">
        <is>
          <t>[S] Servicios</t>
        </is>
      </c>
      <c r="F119" s="20" t="inlineStr">
        <is>
          <t>[ext] A usuarios externos bajo una relación contractual</t>
        </is>
      </c>
      <c r="G119" s="21" t="inlineStr">
        <is>
          <t>Gestión Financiera</t>
        </is>
      </c>
      <c r="H119" s="21" t="inlineStr">
        <is>
          <t>Finance and Administrative Manager</t>
        </is>
      </c>
      <c r="I119" s="21" t="n"/>
      <c r="J119" s="21" t="inlineStr">
        <is>
          <t>Nube</t>
        </is>
      </c>
      <c r="K119" s="21" t="inlineStr">
        <is>
          <t>Producción</t>
        </is>
      </c>
      <c r="L119" s="21" t="inlineStr">
        <is>
          <t>Por definir</t>
        </is>
      </c>
      <c r="M119" s="21" t="inlineStr">
        <is>
          <t>Por definir</t>
        </is>
      </c>
      <c r="N119" s="21" t="inlineStr">
        <is>
          <t>Por definir</t>
        </is>
      </c>
      <c r="O119" s="21" t="n"/>
      <c r="P119" s="21" t="n"/>
      <c r="Q119" s="20" t="inlineStr">
        <is>
          <t>4 — Alto</t>
        </is>
      </c>
      <c r="R119" s="20" t="inlineStr">
        <is>
          <t>4 — Alto</t>
        </is>
      </c>
      <c r="S119" s="20" t="inlineStr">
        <is>
          <t>4 — Alto</t>
        </is>
      </c>
      <c r="T119" s="19">
        <f>MAX(IFERROR(VLOOKUP(Q119,MgValor,2,0),0),IFERROR(VLOOKUP(R119,MgValor,2,0),0),IFERROR(VLOOKUP(S119,MgValor,2,0),0))</f>
        <v/>
      </c>
      <c r="U119" s="19">
        <f>IFERROR(LOOKUP(T119,{0;1;2;3;4;5},{"Irrelevante";"Muy Bajo";"Bajo";"Medio";"Alto";"Muy Alto"}),"")</f>
        <v/>
      </c>
    </row>
    <row r="120" ht="45" customHeight="1" s="54">
      <c r="B120" s="59" t="inlineStr">
        <is>
          <t>FIN-22</t>
        </is>
      </c>
      <c r="C120" s="13" t="inlineStr">
        <is>
          <t>Portal bancario Colpatria (Cuantico Corporation)</t>
        </is>
      </c>
      <c r="D120" s="13" t="inlineStr">
        <is>
          <t>Portal de tesorería: pagos a proveedores, impuestos y nómina</t>
        </is>
      </c>
      <c r="E120" s="20" t="inlineStr">
        <is>
          <t>[S] Servicios</t>
        </is>
      </c>
      <c r="F120" s="20" t="inlineStr">
        <is>
          <t>[ext] A usuarios externos bajo una relación contractual</t>
        </is>
      </c>
      <c r="G120" s="21" t="inlineStr">
        <is>
          <t>Gestión Financiera</t>
        </is>
      </c>
      <c r="H120" s="21" t="inlineStr">
        <is>
          <t>Finance and Administrative Manager</t>
        </is>
      </c>
      <c r="I120" s="21" t="n"/>
      <c r="J120" s="21" t="inlineStr">
        <is>
          <t>Nube</t>
        </is>
      </c>
      <c r="K120" s="21" t="inlineStr">
        <is>
          <t>Producción</t>
        </is>
      </c>
      <c r="L120" s="21" t="inlineStr">
        <is>
          <t>Por definir</t>
        </is>
      </c>
      <c r="M120" s="21" t="inlineStr">
        <is>
          <t>Sí</t>
        </is>
      </c>
      <c r="N120" s="21" t="inlineStr">
        <is>
          <t>Por definir</t>
        </is>
      </c>
      <c r="O120" s="21" t="n"/>
      <c r="P120" s="21" t="n"/>
      <c r="Q120" s="20" t="inlineStr">
        <is>
          <t>4 — Alto</t>
        </is>
      </c>
      <c r="R120" s="20" t="inlineStr">
        <is>
          <t>4 — Alto</t>
        </is>
      </c>
      <c r="S120" s="20" t="inlineStr">
        <is>
          <t>4 — Alto</t>
        </is>
      </c>
      <c r="T120" s="19">
        <f>MAX(IFERROR(VLOOKUP(Q120,MgValor,2,0),0),IFERROR(VLOOKUP(R120,MgValor,2,0),0),IFERROR(VLOOKUP(S120,MgValor,2,0),0))</f>
        <v/>
      </c>
      <c r="U120" s="19">
        <f>IFERROR(LOOKUP(T120,{0;1;2;3;4;5},{"Irrelevante";"Muy Bajo";"Bajo";"Medio";"Alto";"Muy Alto"}),"")</f>
        <v/>
      </c>
    </row>
    <row r="121" ht="45" customHeight="1" s="54">
      <c r="B121" s="59" t="inlineStr">
        <is>
          <t>FIN-24</t>
        </is>
      </c>
      <c r="C121" s="13" t="inlineStr">
        <is>
          <t>Portal(es) bancario(s) — GovTech / otras entidades</t>
        </is>
      </c>
      <c r="D121" s="13" t="inlineStr">
        <is>
          <t>Portales bancarios de otras entidades del grupo</t>
        </is>
      </c>
      <c r="E121" s="20" t="inlineStr">
        <is>
          <t>[S] Servicios</t>
        </is>
      </c>
      <c r="F121" s="20" t="inlineStr">
        <is>
          <t>[ext] A usuarios externos bajo una relación contractual</t>
        </is>
      </c>
      <c r="G121" s="21" t="inlineStr">
        <is>
          <t>Gestión Financiera</t>
        </is>
      </c>
      <c r="H121" s="21" t="inlineStr">
        <is>
          <t>Finance and Administrative Manager</t>
        </is>
      </c>
      <c r="I121" s="21" t="n"/>
      <c r="J121" s="21" t="inlineStr">
        <is>
          <t>Nube</t>
        </is>
      </c>
      <c r="K121" s="21" t="inlineStr">
        <is>
          <t>Producción</t>
        </is>
      </c>
      <c r="L121" s="21" t="inlineStr">
        <is>
          <t>Por definir</t>
        </is>
      </c>
      <c r="M121" s="21" t="inlineStr">
        <is>
          <t>Por definir</t>
        </is>
      </c>
      <c r="N121" s="21" t="inlineStr">
        <is>
          <t>Por definir</t>
        </is>
      </c>
      <c r="O121" s="21" t="n"/>
      <c r="P121" s="21" t="n"/>
      <c r="Q121" s="20" t="inlineStr">
        <is>
          <t>4 — Alto</t>
        </is>
      </c>
      <c r="R121" s="20" t="inlineStr">
        <is>
          <t>4 — Alto</t>
        </is>
      </c>
      <c r="S121" s="20" t="inlineStr">
        <is>
          <t>4 — Alto</t>
        </is>
      </c>
      <c r="T121" s="19">
        <f>MAX(IFERROR(VLOOKUP(Q121,MgValor,2,0),0),IFERROR(VLOOKUP(R121,MgValor,2,0),0),IFERROR(VLOOKUP(S121,MgValor,2,0),0))</f>
        <v/>
      </c>
      <c r="U121" s="19">
        <f>IFERROR(LOOKUP(T121,{0;1;2;3;4;5},{"Irrelevante";"Muy Bajo";"Bajo";"Medio";"Alto";"Muy Alto"}),"")</f>
        <v/>
      </c>
    </row>
    <row r="122" ht="30" customHeight="1" s="54">
      <c r="B122" s="59" t="inlineStr">
        <is>
          <t>MS-03</t>
        </is>
      </c>
      <c r="C122" s="13" t="inlineStr">
        <is>
          <t>Power BI Premium Per User Add-On</t>
        </is>
      </c>
      <c r="D122" s="13" t="inlineStr">
        <is>
          <t>Complemento de analítica y visualización de datos</t>
        </is>
      </c>
      <c r="E122" s="20" t="inlineStr">
        <is>
          <t>[S] Servicios</t>
        </is>
      </c>
      <c r="F122" s="20" t="inlineStr">
        <is>
          <t>[ext] A usuarios externos bajo una relación contractual</t>
        </is>
      </c>
      <c r="G122" s="21" t="inlineStr">
        <is>
          <t>Gestión Tecnológica</t>
        </is>
      </c>
      <c r="H122" s="21" t="inlineStr">
        <is>
          <t>Gestión Tecnológica</t>
        </is>
      </c>
      <c r="I122" s="21" t="n"/>
      <c r="J122" s="21" t="inlineStr">
        <is>
          <t>Nube</t>
        </is>
      </c>
      <c r="K122" s="21" t="inlineStr">
        <is>
          <t>Producción</t>
        </is>
      </c>
      <c r="L122" s="21" t="inlineStr">
        <is>
          <t>Por definir</t>
        </is>
      </c>
      <c r="M122" s="21" t="inlineStr">
        <is>
          <t>Por definir</t>
        </is>
      </c>
      <c r="N122" s="21" t="inlineStr">
        <is>
          <t>Por definir</t>
        </is>
      </c>
      <c r="O122" s="21" t="n"/>
      <c r="P122" s="21" t="n"/>
      <c r="Q122" s="20" t="inlineStr">
        <is>
          <t>3 — Medio</t>
        </is>
      </c>
      <c r="R122" s="20" t="inlineStr">
        <is>
          <t>3 — Medio</t>
        </is>
      </c>
      <c r="S122" s="20" t="inlineStr">
        <is>
          <t>4 — Alto</t>
        </is>
      </c>
      <c r="T122" s="19">
        <f>MAX(IFERROR(VLOOKUP(Q122,MgValor,2,0),0),IFERROR(VLOOKUP(R122,MgValor,2,0),0),IFERROR(VLOOKUP(S122,MgValor,2,0),0))</f>
        <v/>
      </c>
      <c r="U122" s="19">
        <f>IFERROR(LOOKUP(T122,{0;1;2;3;4;5},{"Irrelevante";"Muy Bajo";"Bajo";"Medio";"Alto";"Muy Alto"}),"")</f>
        <v/>
      </c>
    </row>
    <row r="123" ht="30" customHeight="1" s="54">
      <c r="B123" s="59" t="inlineStr">
        <is>
          <t>MS-04</t>
        </is>
      </c>
      <c r="C123" s="13" t="inlineStr">
        <is>
          <t>Power BI Pro</t>
        </is>
      </c>
      <c r="D123" s="13" t="inlineStr">
        <is>
          <t>Licencia de analítica y publicación de tableros</t>
        </is>
      </c>
      <c r="E123" s="20" t="inlineStr">
        <is>
          <t>[S] Servicios</t>
        </is>
      </c>
      <c r="F123" s="20" t="inlineStr">
        <is>
          <t>[ext] A usuarios externos bajo una relación contractual</t>
        </is>
      </c>
      <c r="G123" s="21" t="inlineStr">
        <is>
          <t>Gestión Tecnológica</t>
        </is>
      </c>
      <c r="H123" s="21" t="inlineStr">
        <is>
          <t>Gestión Tecnológica</t>
        </is>
      </c>
      <c r="I123" s="21" t="n"/>
      <c r="J123" s="21" t="inlineStr">
        <is>
          <t>Nube</t>
        </is>
      </c>
      <c r="K123" s="21" t="inlineStr">
        <is>
          <t>Producción</t>
        </is>
      </c>
      <c r="L123" s="21" t="inlineStr">
        <is>
          <t>Por definir</t>
        </is>
      </c>
      <c r="M123" s="21" t="inlineStr">
        <is>
          <t>Por definir</t>
        </is>
      </c>
      <c r="N123" s="21" t="inlineStr">
        <is>
          <t>Por definir</t>
        </is>
      </c>
      <c r="O123" s="21" t="n"/>
      <c r="P123" s="21" t="n"/>
      <c r="Q123" s="20" t="inlineStr">
        <is>
          <t>3 — Medio</t>
        </is>
      </c>
      <c r="R123" s="20" t="inlineStr">
        <is>
          <t>3 — Medio</t>
        </is>
      </c>
      <c r="S123" s="20" t="inlineStr">
        <is>
          <t>4 — Alto</t>
        </is>
      </c>
      <c r="T123" s="19">
        <f>MAX(IFERROR(VLOOKUP(Q123,MgValor,2,0),0),IFERROR(VLOOKUP(R123,MgValor,2,0),0),IFERROR(VLOOKUP(S123,MgValor,2,0),0))</f>
        <v/>
      </c>
      <c r="U123" s="19">
        <f>IFERROR(LOOKUP(T123,{0;1;2;3;4;5},{"Irrelevante";"Muy Bajo";"Bajo";"Medio";"Alto";"Muy Alto"}),"")</f>
        <v/>
      </c>
    </row>
    <row r="124" ht="30" customHeight="1" s="54">
      <c r="B124" s="59" t="inlineStr">
        <is>
          <t>SW-01</t>
        </is>
      </c>
      <c r="C124" s="13" t="inlineStr">
        <is>
          <t>Zohodesk</t>
        </is>
      </c>
      <c r="D124" s="13" t="inlineStr">
        <is>
          <t>Plataforma SaaS de mesa de ayuda y gestión de tickets de soporte</t>
        </is>
      </c>
      <c r="E124" s="20" t="inlineStr">
        <is>
          <t>[S] Servicios</t>
        </is>
      </c>
      <c r="F124" s="20" t="inlineStr">
        <is>
          <t>[ext] A usuarios externos bajo una relación contractual</t>
        </is>
      </c>
      <c r="G124" s="21" t="inlineStr">
        <is>
          <t>Gestión Tecnológica</t>
        </is>
      </c>
      <c r="H124" s="21" t="inlineStr">
        <is>
          <t>Gestión Tecnológica</t>
        </is>
      </c>
      <c r="I124" s="21" t="n"/>
      <c r="J124" s="21" t="inlineStr">
        <is>
          <t>Nube</t>
        </is>
      </c>
      <c r="K124" s="21" t="inlineStr">
        <is>
          <t>Producción</t>
        </is>
      </c>
      <c r="L124" s="21" t="inlineStr">
        <is>
          <t>Por definir</t>
        </is>
      </c>
      <c r="M124" s="21" t="inlineStr">
        <is>
          <t>Por definir</t>
        </is>
      </c>
      <c r="N124" s="21" t="inlineStr">
        <is>
          <t>Por definir</t>
        </is>
      </c>
      <c r="O124" s="21" t="n"/>
      <c r="P124" s="21" t="n"/>
      <c r="Q124" s="20" t="inlineStr">
        <is>
          <t>3 — Medio</t>
        </is>
      </c>
      <c r="R124" s="20" t="inlineStr">
        <is>
          <t>3 — Medio</t>
        </is>
      </c>
      <c r="S124" s="20" t="inlineStr">
        <is>
          <t>4 — Alto</t>
        </is>
      </c>
      <c r="T124" s="19">
        <f>MAX(IFERROR(VLOOKUP(Q124,MgValor,2,0),0),IFERROR(VLOOKUP(R124,MgValor,2,0),0),IFERROR(VLOOKUP(S124,MgValor,2,0),0))</f>
        <v/>
      </c>
      <c r="U124" s="19">
        <f>IFERROR(LOOKUP(T124,{0;1;2;3;4;5},{"Irrelevante";"Muy Bajo";"Bajo";"Medio";"Alto";"Muy Alto"}),"")</f>
        <v/>
      </c>
    </row>
    <row r="125" ht="30" customHeight="1" s="54">
      <c r="B125" s="59" t="inlineStr">
        <is>
          <t>FIN-26</t>
        </is>
      </c>
      <c r="C125" s="13" t="inlineStr">
        <is>
          <t>Firma electrónica DIAN (por entidad)</t>
        </is>
      </c>
      <c r="D125" s="13" t="inlineStr">
        <is>
          <t>Certificados de firma para declaraciones y trámites DIAN</t>
        </is>
      </c>
      <c r="E125" s="20" t="inlineStr">
        <is>
          <t>[S] Servicios</t>
        </is>
      </c>
      <c r="F125" s="20" t="inlineStr">
        <is>
          <t>[int] Interno (a usuarios de la organización)</t>
        </is>
      </c>
      <c r="G125" s="21" t="inlineStr">
        <is>
          <t>Gestión Financiera</t>
        </is>
      </c>
      <c r="H125" s="21" t="n"/>
      <c r="I125" s="21" t="n"/>
      <c r="J125" s="21" t="inlineStr">
        <is>
          <t>Nube</t>
        </is>
      </c>
      <c r="K125" s="21" t="inlineStr">
        <is>
          <t>Producción</t>
        </is>
      </c>
      <c r="L125" s="21" t="inlineStr">
        <is>
          <t>Por definir</t>
        </is>
      </c>
      <c r="M125" s="21" t="inlineStr">
        <is>
          <t>Por definir</t>
        </is>
      </c>
      <c r="N125" s="21" t="inlineStr">
        <is>
          <t>Por definir</t>
        </is>
      </c>
      <c r="O125" s="21" t="n"/>
      <c r="P125" s="21" t="n"/>
      <c r="Q125" s="20" t="inlineStr">
        <is>
          <t>4 — Alto</t>
        </is>
      </c>
      <c r="R125" s="20" t="inlineStr">
        <is>
          <t>4 — Alto</t>
        </is>
      </c>
      <c r="S125" s="20" t="inlineStr">
        <is>
          <t>4 — Alto</t>
        </is>
      </c>
      <c r="T125" s="19">
        <f>MAX(IFERROR(VLOOKUP(Q125,MgValor,2,0),0),IFERROR(VLOOKUP(R125,MgValor,2,0),0),IFERROR(VLOOKUP(S125,MgValor,2,0),0))</f>
        <v/>
      </c>
      <c r="U125" s="19">
        <f>IFERROR(LOOKUP(T125,{0;1;2;3;4;5},{"Irrelevante";"Muy Bajo";"Bajo";"Medio";"Alto";"Muy Alto"}),"")</f>
        <v/>
      </c>
    </row>
    <row r="126" ht="30" customHeight="1" s="54">
      <c r="B126" s="59" t="inlineStr">
        <is>
          <t>TEC-029</t>
        </is>
      </c>
      <c r="C126" s="13" t="inlineStr">
        <is>
          <t>grafana-with-postgresql-stt1myj34…</t>
        </is>
      </c>
      <c r="D126" s="13" t="n"/>
      <c r="E126" s="20" t="inlineStr">
        <is>
          <t>[S] Servicios</t>
        </is>
      </c>
      <c r="F126" s="20" t="inlineStr">
        <is>
          <t>[int] Interno (a usuarios de la organización)</t>
        </is>
      </c>
      <c r="G126" s="21" t="inlineStr">
        <is>
          <t>Gestión Tecnológica</t>
        </is>
      </c>
      <c r="H126" s="21" t="inlineStr">
        <is>
          <t>Gestión Tecnológica</t>
        </is>
      </c>
      <c r="I126" s="21" t="n"/>
      <c r="J126" s="21" t="inlineStr">
        <is>
          <t>Nube</t>
        </is>
      </c>
      <c r="K126" s="21" t="inlineStr">
        <is>
          <t>Producción</t>
        </is>
      </c>
      <c r="L126" s="21" t="inlineStr">
        <is>
          <t>Por definir</t>
        </is>
      </c>
      <c r="M126" s="21" t="inlineStr">
        <is>
          <t>Por definir</t>
        </is>
      </c>
      <c r="N126" s="21" t="inlineStr">
        <is>
          <t>Por definir</t>
        </is>
      </c>
      <c r="O126" s="21" t="n"/>
      <c r="P126" s="21" t="n"/>
      <c r="Q126" s="20" t="inlineStr">
        <is>
          <t>2 — Bajo</t>
        </is>
      </c>
      <c r="R126" s="20" t="inlineStr">
        <is>
          <t>2 — Bajo</t>
        </is>
      </c>
      <c r="S126" s="20" t="inlineStr">
        <is>
          <t>2 — Bajo</t>
        </is>
      </c>
      <c r="T126" s="19">
        <f>MAX(IFERROR(VLOOKUP(Q126,MgValor,2,0),0),IFERROR(VLOOKUP(R126,MgValor,2,0),0),IFERROR(VLOOKUP(S126,MgValor,2,0),0))</f>
        <v/>
      </c>
      <c r="U126" s="19">
        <f>IFERROR(LOOKUP(T126,{0;1;2;3;4;5},{"Irrelevante";"Muy Bajo";"Bajo";"Medio";"Alto";"Muy Alto"}),"")</f>
        <v/>
      </c>
    </row>
    <row r="127" ht="30" customHeight="1" s="54">
      <c r="B127" s="59" t="inlineStr">
        <is>
          <t>TEC-037</t>
        </is>
      </c>
      <c r="C127" s="13" t="inlineStr">
        <is>
          <t>n8n-with-postgres-and-worker-o48w…</t>
        </is>
      </c>
      <c r="D127" s="13" t="n"/>
      <c r="E127" s="20" t="inlineStr">
        <is>
          <t>[S] Servicios</t>
        </is>
      </c>
      <c r="F127" s="20" t="inlineStr">
        <is>
          <t>[int] Interno (a usuarios de la organización)</t>
        </is>
      </c>
      <c r="G127" s="21" t="inlineStr">
        <is>
          <t>Gestión Tecnológica</t>
        </is>
      </c>
      <c r="H127" s="21" t="inlineStr">
        <is>
          <t>Gestión Tecnológica</t>
        </is>
      </c>
      <c r="I127" s="21" t="n"/>
      <c r="J127" s="21" t="inlineStr">
        <is>
          <t>Nube</t>
        </is>
      </c>
      <c r="K127" s="21" t="inlineStr">
        <is>
          <t>Producción</t>
        </is>
      </c>
      <c r="L127" s="21" t="inlineStr">
        <is>
          <t>Por definir</t>
        </is>
      </c>
      <c r="M127" s="21" t="inlineStr">
        <is>
          <t>Por definir</t>
        </is>
      </c>
      <c r="N127" s="21" t="inlineStr">
        <is>
          <t>Por definir</t>
        </is>
      </c>
      <c r="O127" s="21" t="n"/>
      <c r="P127" s="21" t="n"/>
      <c r="Q127" s="20" t="inlineStr">
        <is>
          <t>3 — Medio</t>
        </is>
      </c>
      <c r="R127" s="20" t="inlineStr">
        <is>
          <t>3 — Medio</t>
        </is>
      </c>
      <c r="S127" s="20" t="inlineStr">
        <is>
          <t>3 — Medio</t>
        </is>
      </c>
      <c r="T127" s="19">
        <f>MAX(IFERROR(VLOOKUP(Q127,MgValor,2,0),0),IFERROR(VLOOKUP(R127,MgValor,2,0),0),IFERROR(VLOOKUP(S127,MgValor,2,0),0))</f>
        <v/>
      </c>
      <c r="U127" s="19">
        <f>IFERROR(LOOKUP(T127,{0;1;2;3;4;5},{"Irrelevante";"Muy Bajo";"Bajo";"Medio";"Alto";"Muy Alto"}),"")</f>
        <v/>
      </c>
    </row>
    <row r="128" ht="30" customHeight="1" s="54">
      <c r="B128" s="59" t="inlineStr">
        <is>
          <t>TEC-039</t>
        </is>
      </c>
      <c r="C128" s="13" t="inlineStr">
        <is>
          <t>plane-q08s8ccksok44w8k4cs0ow0g</t>
        </is>
      </c>
      <c r="D128" s="13" t="n"/>
      <c r="E128" s="20" t="inlineStr">
        <is>
          <t>[S] Servicios</t>
        </is>
      </c>
      <c r="F128" s="20" t="inlineStr">
        <is>
          <t>[int] Interno (a usuarios de la organización)</t>
        </is>
      </c>
      <c r="G128" s="21" t="inlineStr">
        <is>
          <t>Gestión Tecnológica</t>
        </is>
      </c>
      <c r="H128" s="21" t="inlineStr">
        <is>
          <t>Gestión Tecnológica</t>
        </is>
      </c>
      <c r="I128" s="21" t="n"/>
      <c r="J128" s="21" t="inlineStr">
        <is>
          <t>Nube</t>
        </is>
      </c>
      <c r="K128" s="21" t="inlineStr">
        <is>
          <t>Producción</t>
        </is>
      </c>
      <c r="L128" s="21" t="inlineStr">
        <is>
          <t>Por definir</t>
        </is>
      </c>
      <c r="M128" s="21" t="inlineStr">
        <is>
          <t>Por definir</t>
        </is>
      </c>
      <c r="N128" s="21" t="inlineStr">
        <is>
          <t>Por definir</t>
        </is>
      </c>
      <c r="O128" s="21" t="n"/>
      <c r="P128" s="21" t="n"/>
      <c r="Q128" s="20" t="inlineStr">
        <is>
          <t>3 — Medio</t>
        </is>
      </c>
      <c r="R128" s="20" t="inlineStr">
        <is>
          <t>3 — Medio</t>
        </is>
      </c>
      <c r="S128" s="20" t="inlineStr">
        <is>
          <t>3 — Medio</t>
        </is>
      </c>
      <c r="T128" s="19">
        <f>MAX(IFERROR(VLOOKUP(Q128,MgValor,2,0),0),IFERROR(VLOOKUP(R128,MgValor,2,0),0),IFERROR(VLOOKUP(S128,MgValor,2,0),0))</f>
        <v/>
      </c>
      <c r="U128" s="19">
        <f>IFERROR(LOOKUP(T128,{0;1;2;3;4;5},{"Irrelevante";"Muy Bajo";"Bajo";"Medio";"Alto";"Muy Alto"}),"")</f>
        <v/>
      </c>
    </row>
    <row r="129" ht="30" customHeight="1" s="54">
      <c r="B129" s="59" t="inlineStr">
        <is>
          <t>TEC-041</t>
        </is>
      </c>
      <c r="C129" s="13" t="inlineStr">
        <is>
          <t>service-ucsoggg4w400swcskwsookkw</t>
        </is>
      </c>
      <c r="D129" s="13" t="n"/>
      <c r="E129" s="20" t="inlineStr">
        <is>
          <t>[S] Servicios</t>
        </is>
      </c>
      <c r="F129" s="20" t="inlineStr">
        <is>
          <t>[int] Interno (a usuarios de la organización)</t>
        </is>
      </c>
      <c r="G129" s="21" t="inlineStr">
        <is>
          <t>Gestión Tecnológica</t>
        </is>
      </c>
      <c r="H129" s="21" t="inlineStr">
        <is>
          <t>Gestión Tecnológica</t>
        </is>
      </c>
      <c r="I129" s="21" t="n"/>
      <c r="J129" s="21" t="inlineStr">
        <is>
          <t>Nube</t>
        </is>
      </c>
      <c r="K129" s="21" t="inlineStr">
        <is>
          <t>Producción</t>
        </is>
      </c>
      <c r="L129" s="21" t="inlineStr">
        <is>
          <t>Por definir</t>
        </is>
      </c>
      <c r="M129" s="21" t="inlineStr">
        <is>
          <t>Por definir</t>
        </is>
      </c>
      <c r="N129" s="21" t="inlineStr">
        <is>
          <t>Por definir</t>
        </is>
      </c>
      <c r="O129" s="21" t="n"/>
      <c r="P129" s="21" t="n"/>
      <c r="Q129" s="20" t="inlineStr">
        <is>
          <t>3 — Medio</t>
        </is>
      </c>
      <c r="R129" s="20" t="inlineStr">
        <is>
          <t>3 — Medio</t>
        </is>
      </c>
      <c r="S129" s="20" t="inlineStr">
        <is>
          <t>3 — Medio</t>
        </is>
      </c>
      <c r="T129" s="19">
        <f>MAX(IFERROR(VLOOKUP(Q129,MgValor,2,0),0),IFERROR(VLOOKUP(R129,MgValor,2,0),0),IFERROR(VLOOKUP(S129,MgValor,2,0),0))</f>
        <v/>
      </c>
      <c r="U129" s="19">
        <f>IFERROR(LOOKUP(T129,{0;1;2;3;4;5},{"Irrelevante";"Muy Bajo";"Bajo";"Medio";"Alto";"Muy Alto"}),"")</f>
        <v/>
      </c>
    </row>
    <row r="130" ht="30" customHeight="1" s="54">
      <c r="B130" s="59" t="inlineStr">
        <is>
          <t>TEC-070</t>
        </is>
      </c>
      <c r="C130" s="13" t="inlineStr">
        <is>
          <t>umami-vf22xvxrc2a08lc8nl6vmtyt</t>
        </is>
      </c>
      <c r="D130" s="13" t="n"/>
      <c r="E130" s="20" t="inlineStr">
        <is>
          <t>[S] Servicios</t>
        </is>
      </c>
      <c r="F130" s="20" t="inlineStr">
        <is>
          <t>[int] Interno (a usuarios de la organización)</t>
        </is>
      </c>
      <c r="G130" s="21" t="inlineStr">
        <is>
          <t>Gestión Tecnológica</t>
        </is>
      </c>
      <c r="H130" s="21" t="inlineStr">
        <is>
          <t>Gestión Tecnológica</t>
        </is>
      </c>
      <c r="I130" s="21" t="n"/>
      <c r="J130" s="21" t="inlineStr">
        <is>
          <t>Nube</t>
        </is>
      </c>
      <c r="K130" s="21" t="inlineStr">
        <is>
          <t>Producción</t>
        </is>
      </c>
      <c r="L130" s="21" t="inlineStr">
        <is>
          <t>Por definir</t>
        </is>
      </c>
      <c r="M130" s="21" t="inlineStr">
        <is>
          <t>Por definir</t>
        </is>
      </c>
      <c r="N130" s="21" t="inlineStr">
        <is>
          <t>Por definir</t>
        </is>
      </c>
      <c r="O130" s="21" t="n"/>
      <c r="P130" s="21" t="n"/>
      <c r="Q130" s="20" t="inlineStr">
        <is>
          <t>3 — Medio</t>
        </is>
      </c>
      <c r="R130" s="20" t="inlineStr">
        <is>
          <t>3 — Medio</t>
        </is>
      </c>
      <c r="S130" s="20" t="inlineStr">
        <is>
          <t>3 — Medio</t>
        </is>
      </c>
      <c r="T130" s="19">
        <f>MAX(IFERROR(VLOOKUP(Q130,MgValor,2,0),0),IFERROR(VLOOKUP(R130,MgValor,2,0),0),IFERROR(VLOOKUP(S130,MgValor,2,0),0))</f>
        <v/>
      </c>
      <c r="U130" s="19">
        <f>IFERROR(LOOKUP(T130,{0;1;2;3;4;5},{"Irrelevante";"Muy Bajo";"Bajo";"Medio";"Alto";"Muy Alto"}),"")</f>
        <v/>
      </c>
    </row>
    <row r="131" ht="30" customHeight="1" s="54">
      <c r="B131" s="59" t="inlineStr">
        <is>
          <t>TEC-002</t>
        </is>
      </c>
      <c r="C131" s="13" t="inlineStr">
        <is>
          <t>BD-Postgres-Main</t>
        </is>
      </c>
      <c r="D131" s="13" t="n"/>
      <c r="E131" s="20" t="inlineStr">
        <is>
          <t>[SW] Aplicaciones (software)</t>
        </is>
      </c>
      <c r="F131" s="20" t="inlineStr">
        <is>
          <t>[dbms] Sistema de gestión de bases de datos</t>
        </is>
      </c>
      <c r="G131" s="21" t="inlineStr">
        <is>
          <t>Gestión Tecnológica</t>
        </is>
      </c>
      <c r="H131" s="21" t="inlineStr">
        <is>
          <t>Gestión Tecnológica</t>
        </is>
      </c>
      <c r="I131" s="21" t="n"/>
      <c r="J131" s="21" t="inlineStr">
        <is>
          <t>Nube</t>
        </is>
      </c>
      <c r="K131" s="21" t="inlineStr">
        <is>
          <t>Producción</t>
        </is>
      </c>
      <c r="L131" s="21" t="inlineStr">
        <is>
          <t>Por definir</t>
        </is>
      </c>
      <c r="M131" s="21" t="inlineStr">
        <is>
          <t>Por definir</t>
        </is>
      </c>
      <c r="N131" s="21" t="inlineStr">
        <is>
          <t>Por definir</t>
        </is>
      </c>
      <c r="O131" s="21" t="n"/>
      <c r="P131" s="21" t="n"/>
      <c r="Q131" s="20" t="inlineStr">
        <is>
          <t>4 — Alto</t>
        </is>
      </c>
      <c r="R131" s="20" t="inlineStr">
        <is>
          <t>4 — Alto</t>
        </is>
      </c>
      <c r="S131" s="20" t="inlineStr">
        <is>
          <t>4 — Alto</t>
        </is>
      </c>
      <c r="T131" s="19">
        <f>MAX(IFERROR(VLOOKUP(Q131,MgValor,2,0),0),IFERROR(VLOOKUP(R131,MgValor,2,0),0),IFERROR(VLOOKUP(S131,MgValor,2,0),0))</f>
        <v/>
      </c>
      <c r="U131" s="19">
        <f>IFERROR(LOOKUP(T131,{0;1;2;3;4;5},{"Irrelevante";"Muy Bajo";"Bajo";"Medio";"Alto";"Muy Alto"}),"")</f>
        <v/>
      </c>
    </row>
    <row r="132" ht="30" customHeight="1" s="54">
      <c r="B132" s="59" t="inlineStr">
        <is>
          <t>TEC-001</t>
        </is>
      </c>
      <c r="C132" s="13" t="inlineStr">
        <is>
          <t>API-Gateway</t>
        </is>
      </c>
      <c r="D132" s="13" t="n"/>
      <c r="E132" s="20" t="inlineStr">
        <is>
          <t>[SW] Aplicaciones (software)</t>
        </is>
      </c>
      <c r="F132" s="20" t="inlineStr">
        <is>
          <t>[prp] Desarrollo propio (in house)</t>
        </is>
      </c>
      <c r="G132" s="21" t="inlineStr">
        <is>
          <t>Gestión Tecnológica</t>
        </is>
      </c>
      <c r="H132" s="21" t="inlineStr">
        <is>
          <t>Gestión Tecnológica</t>
        </is>
      </c>
      <c r="I132" s="21" t="n"/>
      <c r="J132" s="21" t="inlineStr">
        <is>
          <t>Nube</t>
        </is>
      </c>
      <c r="K132" s="21" t="inlineStr">
        <is>
          <t>Producción</t>
        </is>
      </c>
      <c r="L132" s="21" t="inlineStr">
        <is>
          <t>Por definir</t>
        </is>
      </c>
      <c r="M132" s="21" t="inlineStr">
        <is>
          <t>Por definir</t>
        </is>
      </c>
      <c r="N132" s="21" t="inlineStr">
        <is>
          <t>Por definir</t>
        </is>
      </c>
      <c r="O132" s="21" t="n"/>
      <c r="P132" s="21" t="n"/>
      <c r="Q132" s="20" t="inlineStr">
        <is>
          <t>4 — Alto</t>
        </is>
      </c>
      <c r="R132" s="20" t="inlineStr">
        <is>
          <t>4 — Alto</t>
        </is>
      </c>
      <c r="S132" s="20" t="inlineStr">
        <is>
          <t>3 — Medio</t>
        </is>
      </c>
      <c r="T132" s="19">
        <f>MAX(IFERROR(VLOOKUP(Q132,MgValor,2,0),0),IFERROR(VLOOKUP(R132,MgValor,2,0),0),IFERROR(VLOOKUP(S132,MgValor,2,0),0))</f>
        <v/>
      </c>
      <c r="U132" s="19">
        <f>IFERROR(LOOKUP(T132,{0;1;2;3;4;5},{"Irrelevante";"Muy Bajo";"Bajo";"Medio";"Alto";"Muy Alto"}),"")</f>
        <v/>
      </c>
    </row>
    <row r="133" ht="75" customHeight="1" s="54">
      <c r="B133" s="59" t="inlineStr">
        <is>
          <t>COM-14</t>
        </is>
      </c>
      <c r="C133" s="13" t="inlineStr">
        <is>
          <t>CRM comercial de MinTrace.</t>
        </is>
      </c>
      <c r="D133" s="13" t="inlineStr">
        <is>
          <t>Herramienta utilizada para registrar y gestionar prospectos, clientes, oportunidades comerciales, seguimientos, propuestas, negociaciones y cierres de venta de MinTrace.</t>
        </is>
      </c>
      <c r="E133" s="20" t="inlineStr">
        <is>
          <t>[SW] Aplicaciones (software)</t>
        </is>
      </c>
      <c r="F133" s="20" t="inlineStr">
        <is>
          <t>[prp] Desarrollo propio (in house)</t>
        </is>
      </c>
      <c r="G133" s="21" t="inlineStr">
        <is>
          <t>Gestión Comercial</t>
        </is>
      </c>
      <c r="H133" s="21" t="inlineStr">
        <is>
          <t>Chief Commercial Officer</t>
        </is>
      </c>
      <c r="I133" s="21" t="n"/>
      <c r="J133" s="21" t="inlineStr">
        <is>
          <t>N.A.</t>
        </is>
      </c>
      <c r="K133" s="21" t="inlineStr">
        <is>
          <t>Producción</t>
        </is>
      </c>
      <c r="L133" s="21" t="inlineStr">
        <is>
          <t>Sí</t>
        </is>
      </c>
      <c r="M133" s="21" t="inlineStr">
        <is>
          <t>Por definir</t>
        </is>
      </c>
      <c r="N133" s="21" t="inlineStr">
        <is>
          <t>Por definir</t>
        </is>
      </c>
      <c r="O133" s="21" t="n"/>
      <c r="P133" s="21" t="n"/>
      <c r="Q133" s="20" t="inlineStr">
        <is>
          <t>3 — Medio</t>
        </is>
      </c>
      <c r="R133" s="20" t="inlineStr">
        <is>
          <t>4 — Alto</t>
        </is>
      </c>
      <c r="S133" s="20" t="inlineStr">
        <is>
          <t>4 — Alto</t>
        </is>
      </c>
      <c r="T133" s="19">
        <f>MAX(IFERROR(VLOOKUP(Q133,MgValor,2,0),0),IFERROR(VLOOKUP(R133,MgValor,2,0),0),IFERROR(VLOOKUP(S133,MgValor,2,0),0))</f>
        <v/>
      </c>
      <c r="U133" s="19">
        <f>IFERROR(LOOKUP(T133,{0;1;2;3;4;5},{"Irrelevante";"Muy Bajo";"Bajo";"Medio";"Alto";"Muy Alto"}),"")</f>
        <v/>
      </c>
    </row>
    <row r="134" ht="75" customHeight="1" s="54">
      <c r="B134" s="59" t="inlineStr">
        <is>
          <t>COM-15</t>
        </is>
      </c>
      <c r="C134" s="13" t="inlineStr">
        <is>
          <t>Cuantico Verify.</t>
        </is>
      </c>
      <c r="D134" s="13" t="inlineStr">
        <is>
          <t>Aplicación utilizada para realizar procesos de validación, debida diligencia, consulta en listas restrictivas y verificación de información de clientes, proveedores o terceros.</t>
        </is>
      </c>
      <c r="E134" s="20" t="inlineStr">
        <is>
          <t>[SW] Aplicaciones (software)</t>
        </is>
      </c>
      <c r="F134" s="20" t="inlineStr">
        <is>
          <t>[prp] Desarrollo propio (in house)</t>
        </is>
      </c>
      <c r="G134" s="21" t="inlineStr">
        <is>
          <t>Gestión Comercial</t>
        </is>
      </c>
      <c r="H134" s="21" t="inlineStr">
        <is>
          <t>Chief Commercial Officer</t>
        </is>
      </c>
      <c r="I134" s="21" t="n"/>
      <c r="J134" s="21" t="inlineStr">
        <is>
          <t>N.A.</t>
        </is>
      </c>
      <c r="K134" s="21" t="inlineStr">
        <is>
          <t>Producción</t>
        </is>
      </c>
      <c r="L134" s="21" t="inlineStr">
        <is>
          <t>Sí</t>
        </is>
      </c>
      <c r="M134" s="21" t="inlineStr">
        <is>
          <t>Por definir</t>
        </is>
      </c>
      <c r="N134" s="21" t="inlineStr">
        <is>
          <t>Por definir</t>
        </is>
      </c>
      <c r="O134" s="21" t="n"/>
      <c r="P134" s="21" t="n"/>
      <c r="Q134" s="20" t="inlineStr">
        <is>
          <t>3 — Medio</t>
        </is>
      </c>
      <c r="R134" s="20" t="inlineStr">
        <is>
          <t>4 — Alto</t>
        </is>
      </c>
      <c r="S134" s="20" t="inlineStr">
        <is>
          <t>4 — Alto</t>
        </is>
      </c>
      <c r="T134" s="19">
        <f>MAX(IFERROR(VLOOKUP(Q134,MgValor,2,0),0),IFERROR(VLOOKUP(R134,MgValor,2,0),0),IFERROR(VLOOKUP(S134,MgValor,2,0),0))</f>
        <v/>
      </c>
      <c r="U134" s="19">
        <f>IFERROR(LOOKUP(T134,{0;1;2;3;4;5},{"Irrelevante";"Muy Bajo";"Bajo";"Medio";"Alto";"Muy Alto"}),"")</f>
        <v/>
      </c>
    </row>
    <row r="135" ht="30" customHeight="1" s="54">
      <c r="B135" s="59" t="inlineStr">
        <is>
          <t>TEC-024</t>
        </is>
      </c>
      <c r="C135" s="13" t="inlineStr">
        <is>
          <t>evolution-api-uehp2jesgnh7cfzl6sy…</t>
        </is>
      </c>
      <c r="D135" s="13" t="n"/>
      <c r="E135" s="20" t="inlineStr">
        <is>
          <t>[SW] Aplicaciones (software)</t>
        </is>
      </c>
      <c r="F135" s="20" t="inlineStr">
        <is>
          <t>[prp] Desarrollo propio (in house)</t>
        </is>
      </c>
      <c r="G135" s="21" t="inlineStr">
        <is>
          <t>Gestión Tecnológica</t>
        </is>
      </c>
      <c r="H135" s="21" t="inlineStr">
        <is>
          <t>Gestión Tecnológica</t>
        </is>
      </c>
      <c r="I135" s="21" t="n"/>
      <c r="J135" s="21" t="inlineStr">
        <is>
          <t>Nube</t>
        </is>
      </c>
      <c r="K135" s="21" t="inlineStr">
        <is>
          <t>Producción</t>
        </is>
      </c>
      <c r="L135" s="21" t="inlineStr">
        <is>
          <t>Por definir</t>
        </is>
      </c>
      <c r="M135" s="21" t="inlineStr">
        <is>
          <t>Por definir</t>
        </is>
      </c>
      <c r="N135" s="21" t="inlineStr">
        <is>
          <t>Por definir</t>
        </is>
      </c>
      <c r="O135" s="21" t="n"/>
      <c r="P135" s="21" t="n"/>
      <c r="Q135" s="20" t="inlineStr">
        <is>
          <t>3 — Medio</t>
        </is>
      </c>
      <c r="R135" s="20" t="inlineStr">
        <is>
          <t>3 — Medio</t>
        </is>
      </c>
      <c r="S135" s="20" t="inlineStr">
        <is>
          <t>3 — Medio</t>
        </is>
      </c>
      <c r="T135" s="19">
        <f>MAX(IFERROR(VLOOKUP(Q135,MgValor,2,0),0),IFERROR(VLOOKUP(R135,MgValor,2,0),0),IFERROR(VLOOKUP(S135,MgValor,2,0),0))</f>
        <v/>
      </c>
      <c r="U135" s="19">
        <f>IFERROR(LOOKUP(T135,{0;1;2;3;4;5},{"Irrelevante";"Muy Bajo";"Bajo";"Medio";"Alto";"Muy Alto"}),"")</f>
        <v/>
      </c>
    </row>
    <row r="136" ht="30" customHeight="1" s="54">
      <c r="B136" s="59" t="inlineStr">
        <is>
          <t>TEC-025</t>
        </is>
      </c>
      <c r="C136" s="13" t="inlineStr">
        <is>
          <t>gateway-admin-dev</t>
        </is>
      </c>
      <c r="D136" s="13" t="n"/>
      <c r="E136" s="20" t="inlineStr">
        <is>
          <t>[SW] Aplicaciones (software)</t>
        </is>
      </c>
      <c r="F136" s="20" t="inlineStr">
        <is>
          <t>[prp] Desarrollo propio (in house)</t>
        </is>
      </c>
      <c r="G136" s="21" t="inlineStr">
        <is>
          <t>Gestión Tecnológica</t>
        </is>
      </c>
      <c r="H136" s="21" t="inlineStr">
        <is>
          <t>Gestión Tecnológica</t>
        </is>
      </c>
      <c r="I136" s="21" t="n"/>
      <c r="J136" s="21" t="inlineStr">
        <is>
          <t>Nube</t>
        </is>
      </c>
      <c r="K136" s="21" t="inlineStr">
        <is>
          <t>Producción</t>
        </is>
      </c>
      <c r="L136" s="21" t="inlineStr">
        <is>
          <t>Por definir</t>
        </is>
      </c>
      <c r="M136" s="21" t="inlineStr">
        <is>
          <t>Por definir</t>
        </is>
      </c>
      <c r="N136" s="21" t="inlineStr">
        <is>
          <t>Por definir</t>
        </is>
      </c>
      <c r="O136" s="21" t="n"/>
      <c r="P136" s="21" t="n"/>
      <c r="Q136" s="20" t="inlineStr">
        <is>
          <t>2 — Bajo</t>
        </is>
      </c>
      <c r="R136" s="20" t="inlineStr">
        <is>
          <t>2 — Bajo</t>
        </is>
      </c>
      <c r="S136" s="20" t="inlineStr">
        <is>
          <t>2 — Bajo</t>
        </is>
      </c>
      <c r="T136" s="19">
        <f>MAX(IFERROR(VLOOKUP(Q136,MgValor,2,0),0),IFERROR(VLOOKUP(R136,MgValor,2,0),0),IFERROR(VLOOKUP(S136,MgValor,2,0),0))</f>
        <v/>
      </c>
      <c r="U136" s="19">
        <f>IFERROR(LOOKUP(T136,{0;1;2;3;4;5},{"Irrelevante";"Muy Bajo";"Bajo";"Medio";"Alto";"Muy Alto"}),"")</f>
        <v/>
      </c>
    </row>
    <row r="137" ht="30" customHeight="1" s="54">
      <c r="B137" s="59" t="inlineStr">
        <is>
          <t>TEC-026</t>
        </is>
      </c>
      <c r="C137" s="13" t="inlineStr">
        <is>
          <t>gateway-admin-staging</t>
        </is>
      </c>
      <c r="D137" s="13" t="n"/>
      <c r="E137" s="20" t="inlineStr">
        <is>
          <t>[SW] Aplicaciones (software)</t>
        </is>
      </c>
      <c r="F137" s="20" t="inlineStr">
        <is>
          <t>[prp] Desarrollo propio (in house)</t>
        </is>
      </c>
      <c r="G137" s="21" t="inlineStr">
        <is>
          <t>Gestión Tecnológica</t>
        </is>
      </c>
      <c r="H137" s="21" t="inlineStr">
        <is>
          <t>Gestión Tecnológica</t>
        </is>
      </c>
      <c r="I137" s="21" t="n"/>
      <c r="J137" s="21" t="inlineStr">
        <is>
          <t>Nube</t>
        </is>
      </c>
      <c r="K137" s="21" t="inlineStr">
        <is>
          <t>Staging</t>
        </is>
      </c>
      <c r="L137" s="21" t="inlineStr">
        <is>
          <t>Por definir</t>
        </is>
      </c>
      <c r="M137" s="21" t="inlineStr">
        <is>
          <t>Por definir</t>
        </is>
      </c>
      <c r="N137" s="21" t="inlineStr">
        <is>
          <t>Por definir</t>
        </is>
      </c>
      <c r="O137" s="21" t="n"/>
      <c r="P137" s="21" t="n"/>
      <c r="Q137" s="20" t="inlineStr">
        <is>
          <t>2 — Bajo</t>
        </is>
      </c>
      <c r="R137" s="20" t="inlineStr">
        <is>
          <t>2 — Bajo</t>
        </is>
      </c>
      <c r="S137" s="20" t="inlineStr">
        <is>
          <t>2 — Bajo</t>
        </is>
      </c>
      <c r="T137" s="19">
        <f>MAX(IFERROR(VLOOKUP(Q137,MgValor,2,0),0),IFERROR(VLOOKUP(R137,MgValor,2,0),0),IFERROR(VLOOKUP(S137,MgValor,2,0),0))</f>
        <v/>
      </c>
      <c r="U137" s="19">
        <f>IFERROR(LOOKUP(T137,{0;1;2;3;4;5},{"Irrelevante";"Muy Bajo";"Bajo";"Medio";"Alto";"Muy Alto"}),"")</f>
        <v/>
      </c>
    </row>
    <row r="138" ht="30" customHeight="1" s="54">
      <c r="B138" s="59" t="inlineStr">
        <is>
          <t>TEC-027</t>
        </is>
      </c>
      <c r="C138" s="13" t="inlineStr">
        <is>
          <t>gateway-api-dev</t>
        </is>
      </c>
      <c r="D138" s="13" t="n"/>
      <c r="E138" s="20" t="inlineStr">
        <is>
          <t>[SW] Aplicaciones (software)</t>
        </is>
      </c>
      <c r="F138" s="20" t="inlineStr">
        <is>
          <t>[prp] Desarrollo propio (in house)</t>
        </is>
      </c>
      <c r="G138" s="21" t="inlineStr">
        <is>
          <t>Gestión Tecnológica</t>
        </is>
      </c>
      <c r="H138" s="21" t="inlineStr">
        <is>
          <t>Gestión Tecnológica</t>
        </is>
      </c>
      <c r="I138" s="21" t="n"/>
      <c r="J138" s="21" t="inlineStr">
        <is>
          <t>Nube</t>
        </is>
      </c>
      <c r="K138" s="21" t="inlineStr">
        <is>
          <t>Producción</t>
        </is>
      </c>
      <c r="L138" s="21" t="inlineStr">
        <is>
          <t>Por definir</t>
        </is>
      </c>
      <c r="M138" s="21" t="inlineStr">
        <is>
          <t>Por definir</t>
        </is>
      </c>
      <c r="N138" s="21" t="inlineStr">
        <is>
          <t>Por definir</t>
        </is>
      </c>
      <c r="O138" s="21" t="n"/>
      <c r="P138" s="21" t="n"/>
      <c r="Q138" s="20" t="inlineStr">
        <is>
          <t>2 — Bajo</t>
        </is>
      </c>
      <c r="R138" s="20" t="inlineStr">
        <is>
          <t>2 — Bajo</t>
        </is>
      </c>
      <c r="S138" s="20" t="inlineStr">
        <is>
          <t>2 — Bajo</t>
        </is>
      </c>
      <c r="T138" s="19">
        <f>MAX(IFERROR(VLOOKUP(Q138,MgValor,2,0),0),IFERROR(VLOOKUP(R138,MgValor,2,0),0),IFERROR(VLOOKUP(S138,MgValor,2,0),0))</f>
        <v/>
      </c>
      <c r="U138" s="19">
        <f>IFERROR(LOOKUP(T138,{0;1;2;3;4;5},{"Irrelevante";"Muy Bajo";"Bajo";"Medio";"Alto";"Muy Alto"}),"")</f>
        <v/>
      </c>
    </row>
    <row r="139" ht="30" customHeight="1" s="54">
      <c r="B139" s="59" t="inlineStr">
        <is>
          <t>TEC-028</t>
        </is>
      </c>
      <c r="C139" s="13" t="inlineStr">
        <is>
          <t>gateway-api-staging</t>
        </is>
      </c>
      <c r="D139" s="13" t="n"/>
      <c r="E139" s="20" t="inlineStr">
        <is>
          <t>[SW] Aplicaciones (software)</t>
        </is>
      </c>
      <c r="F139" s="20" t="inlineStr">
        <is>
          <t>[prp] Desarrollo propio (in house)</t>
        </is>
      </c>
      <c r="G139" s="21" t="inlineStr">
        <is>
          <t>Gestión Tecnológica</t>
        </is>
      </c>
      <c r="H139" s="21" t="inlineStr">
        <is>
          <t>Gestión Tecnológica</t>
        </is>
      </c>
      <c r="I139" s="21" t="n"/>
      <c r="J139" s="21" t="inlineStr">
        <is>
          <t>Nube</t>
        </is>
      </c>
      <c r="K139" s="21" t="inlineStr">
        <is>
          <t>Staging</t>
        </is>
      </c>
      <c r="L139" s="21" t="inlineStr">
        <is>
          <t>Por definir</t>
        </is>
      </c>
      <c r="M139" s="21" t="inlineStr">
        <is>
          <t>Por definir</t>
        </is>
      </c>
      <c r="N139" s="21" t="inlineStr">
        <is>
          <t>Por definir</t>
        </is>
      </c>
      <c r="O139" s="21" t="n"/>
      <c r="P139" s="21" t="n"/>
      <c r="Q139" s="20" t="inlineStr">
        <is>
          <t>2 — Bajo</t>
        </is>
      </c>
      <c r="R139" s="20" t="inlineStr">
        <is>
          <t>2 — Bajo</t>
        </is>
      </c>
      <c r="S139" s="20" t="inlineStr">
        <is>
          <t>2 — Bajo</t>
        </is>
      </c>
      <c r="T139" s="19">
        <f>MAX(IFERROR(VLOOKUP(Q139,MgValor,2,0),0),IFERROR(VLOOKUP(R139,MgValor,2,0),0),IFERROR(VLOOKUP(S139,MgValor,2,0),0))</f>
        <v/>
      </c>
      <c r="U139" s="19">
        <f>IFERROR(LOOKUP(T139,{0;1;2;3;4;5},{"Irrelevante";"Muy Bajo";"Bajo";"Medio";"Alto";"Muy Alto"}),"")</f>
        <v/>
      </c>
    </row>
    <row r="140" ht="30" customHeight="1" s="54">
      <c r="B140" s="59" t="inlineStr">
        <is>
          <t>TEC-032</t>
        </is>
      </c>
      <c r="C140" s="13" t="inlineStr">
        <is>
          <t>monitor-agents</t>
        </is>
      </c>
      <c r="D140" s="13" t="n"/>
      <c r="E140" s="20" t="inlineStr">
        <is>
          <t>[SW] Aplicaciones (software)</t>
        </is>
      </c>
      <c r="F140" s="20" t="inlineStr">
        <is>
          <t>[prp] Desarrollo propio (in house)</t>
        </is>
      </c>
      <c r="G140" s="21" t="inlineStr">
        <is>
          <t>Gestión Tecnológica</t>
        </is>
      </c>
      <c r="H140" s="21" t="inlineStr">
        <is>
          <t>Gestión Tecnológica</t>
        </is>
      </c>
      <c r="I140" s="21" t="n"/>
      <c r="J140" s="21" t="inlineStr">
        <is>
          <t>Nube</t>
        </is>
      </c>
      <c r="K140" s="21" t="inlineStr">
        <is>
          <t>Producción</t>
        </is>
      </c>
      <c r="L140" s="21" t="inlineStr">
        <is>
          <t>Por definir</t>
        </is>
      </c>
      <c r="M140" s="21" t="inlineStr">
        <is>
          <t>Por definir</t>
        </is>
      </c>
      <c r="N140" s="21" t="inlineStr">
        <is>
          <t>Por definir</t>
        </is>
      </c>
      <c r="O140" s="21" t="n"/>
      <c r="P140" s="21" t="n"/>
      <c r="Q140" s="20" t="inlineStr">
        <is>
          <t>2 — Bajo</t>
        </is>
      </c>
      <c r="R140" s="20" t="inlineStr">
        <is>
          <t>2 — Bajo</t>
        </is>
      </c>
      <c r="S140" s="20" t="inlineStr">
        <is>
          <t>2 — Bajo</t>
        </is>
      </c>
      <c r="T140" s="19">
        <f>MAX(IFERROR(VLOOKUP(Q140,MgValor,2,0),0),IFERROR(VLOOKUP(R140,MgValor,2,0),0),IFERROR(VLOOKUP(S140,MgValor,2,0),0))</f>
        <v/>
      </c>
      <c r="U140" s="19">
        <f>IFERROR(LOOKUP(T140,{0;1;2;3;4;5},{"Irrelevante";"Muy Bajo";"Bajo";"Medio";"Alto";"Muy Alto"}),"")</f>
        <v/>
      </c>
    </row>
    <row r="141" ht="30" customHeight="1" s="54">
      <c r="B141" s="59" t="inlineStr">
        <is>
          <t>TEC-033</t>
        </is>
      </c>
      <c r="C141" s="13" t="inlineStr">
        <is>
          <t>monitor-api</t>
        </is>
      </c>
      <c r="D141" s="13" t="n"/>
      <c r="E141" s="20" t="inlineStr">
        <is>
          <t>[SW] Aplicaciones (software)</t>
        </is>
      </c>
      <c r="F141" s="20" t="inlineStr">
        <is>
          <t>[prp] Desarrollo propio (in house)</t>
        </is>
      </c>
      <c r="G141" s="21" t="inlineStr">
        <is>
          <t>Gestión Tecnológica</t>
        </is>
      </c>
      <c r="H141" s="21" t="inlineStr">
        <is>
          <t>Gestión Tecnológica</t>
        </is>
      </c>
      <c r="I141" s="21" t="n"/>
      <c r="J141" s="21" t="inlineStr">
        <is>
          <t>Nube</t>
        </is>
      </c>
      <c r="K141" s="21" t="inlineStr">
        <is>
          <t>Producción</t>
        </is>
      </c>
      <c r="L141" s="21" t="inlineStr">
        <is>
          <t>Por definir</t>
        </is>
      </c>
      <c r="M141" s="21" t="inlineStr">
        <is>
          <t>Por definir</t>
        </is>
      </c>
      <c r="N141" s="21" t="inlineStr">
        <is>
          <t>Por definir</t>
        </is>
      </c>
      <c r="O141" s="21" t="n"/>
      <c r="P141" s="21" t="n"/>
      <c r="Q141" s="20" t="inlineStr">
        <is>
          <t>2 — Bajo</t>
        </is>
      </c>
      <c r="R141" s="20" t="inlineStr">
        <is>
          <t>2 — Bajo</t>
        </is>
      </c>
      <c r="S141" s="20" t="inlineStr">
        <is>
          <t>2 — Bajo</t>
        </is>
      </c>
      <c r="T141" s="19">
        <f>MAX(IFERROR(VLOOKUP(Q141,MgValor,2,0),0),IFERROR(VLOOKUP(R141,MgValor,2,0),0),IFERROR(VLOOKUP(S141,MgValor,2,0),0))</f>
        <v/>
      </c>
      <c r="U141" s="19">
        <f>IFERROR(LOOKUP(T141,{0;1;2;3;4;5},{"Irrelevante";"Muy Bajo";"Bajo";"Medio";"Alto";"Muy Alto"}),"")</f>
        <v/>
      </c>
    </row>
    <row r="142" ht="30" customHeight="1" s="54">
      <c r="B142" s="59" t="inlineStr">
        <is>
          <t>TEC-034</t>
        </is>
      </c>
      <c r="C142" s="13" t="inlineStr">
        <is>
          <t>monitor-celery</t>
        </is>
      </c>
      <c r="D142" s="13" t="n"/>
      <c r="E142" s="20" t="inlineStr">
        <is>
          <t>[SW] Aplicaciones (software)</t>
        </is>
      </c>
      <c r="F142" s="20" t="inlineStr">
        <is>
          <t>[prp] Desarrollo propio (in house)</t>
        </is>
      </c>
      <c r="G142" s="21" t="inlineStr">
        <is>
          <t>Gestión Tecnológica</t>
        </is>
      </c>
      <c r="H142" s="21" t="inlineStr">
        <is>
          <t>Gestión Tecnológica</t>
        </is>
      </c>
      <c r="I142" s="21" t="n"/>
      <c r="J142" s="21" t="inlineStr">
        <is>
          <t>Nube</t>
        </is>
      </c>
      <c r="K142" s="21" t="inlineStr">
        <is>
          <t>Producción</t>
        </is>
      </c>
      <c r="L142" s="21" t="inlineStr">
        <is>
          <t>Por definir</t>
        </is>
      </c>
      <c r="M142" s="21" t="inlineStr">
        <is>
          <t>Por definir</t>
        </is>
      </c>
      <c r="N142" s="21" t="inlineStr">
        <is>
          <t>Por definir</t>
        </is>
      </c>
      <c r="O142" s="21" t="n"/>
      <c r="P142" s="21" t="n"/>
      <c r="Q142" s="20" t="inlineStr">
        <is>
          <t>2 — Bajo</t>
        </is>
      </c>
      <c r="R142" s="20" t="inlineStr">
        <is>
          <t>2 — Bajo</t>
        </is>
      </c>
      <c r="S142" s="20" t="inlineStr">
        <is>
          <t>2 — Bajo</t>
        </is>
      </c>
      <c r="T142" s="19">
        <f>MAX(IFERROR(VLOOKUP(Q142,MgValor,2,0),0),IFERROR(VLOOKUP(R142,MgValor,2,0),0),IFERROR(VLOOKUP(S142,MgValor,2,0),0))</f>
        <v/>
      </c>
      <c r="U142" s="19">
        <f>IFERROR(LOOKUP(T142,{0;1;2;3;4;5},{"Irrelevante";"Muy Bajo";"Bajo";"Medio";"Alto";"Muy Alto"}),"")</f>
        <v/>
      </c>
    </row>
    <row r="143" ht="30" customHeight="1" s="54">
      <c r="B143" s="59" t="inlineStr">
        <is>
          <t>TEC-036</t>
        </is>
      </c>
      <c r="C143" s="13" t="inlineStr">
        <is>
          <t>monitor-frontend</t>
        </is>
      </c>
      <c r="D143" s="13" t="n"/>
      <c r="E143" s="20" t="inlineStr">
        <is>
          <t>[SW] Aplicaciones (software)</t>
        </is>
      </c>
      <c r="F143" s="20" t="inlineStr">
        <is>
          <t>[prp] Desarrollo propio (in house)</t>
        </is>
      </c>
      <c r="G143" s="21" t="inlineStr">
        <is>
          <t>Gestión Tecnológica</t>
        </is>
      </c>
      <c r="H143" s="21" t="inlineStr">
        <is>
          <t>Gestión Tecnológica</t>
        </is>
      </c>
      <c r="I143" s="21" t="n"/>
      <c r="J143" s="21" t="inlineStr">
        <is>
          <t>Nube</t>
        </is>
      </c>
      <c r="K143" s="21" t="inlineStr">
        <is>
          <t>Producción</t>
        </is>
      </c>
      <c r="L143" s="21" t="inlineStr">
        <is>
          <t>Por definir</t>
        </is>
      </c>
      <c r="M143" s="21" t="inlineStr">
        <is>
          <t>Por definir</t>
        </is>
      </c>
      <c r="N143" s="21" t="inlineStr">
        <is>
          <t>Por definir</t>
        </is>
      </c>
      <c r="O143" s="21" t="n"/>
      <c r="P143" s="21" t="n"/>
      <c r="Q143" s="20" t="inlineStr">
        <is>
          <t>2 — Bajo</t>
        </is>
      </c>
      <c r="R143" s="20" t="inlineStr">
        <is>
          <t>2 — Bajo</t>
        </is>
      </c>
      <c r="S143" s="20" t="inlineStr">
        <is>
          <t>2 — Bajo</t>
        </is>
      </c>
      <c r="T143" s="19">
        <f>MAX(IFERROR(VLOOKUP(Q143,MgValor,2,0),0),IFERROR(VLOOKUP(R143,MgValor,2,0),0),IFERROR(VLOOKUP(S143,MgValor,2,0),0))</f>
        <v/>
      </c>
      <c r="U143" s="19">
        <f>IFERROR(LOOKUP(T143,{0;1;2;3;4;5},{"Irrelevante";"Muy Bajo";"Bajo";"Medio";"Alto";"Muy Alto"}),"")</f>
        <v/>
      </c>
    </row>
    <row r="144" ht="30" customHeight="1" s="54">
      <c r="B144" s="59" t="inlineStr">
        <is>
          <t>TEC-040</t>
        </is>
      </c>
      <c r="C144" s="13" t="inlineStr">
        <is>
          <t>projectflow</t>
        </is>
      </c>
      <c r="D144" s="13" t="n"/>
      <c r="E144" s="20" t="inlineStr">
        <is>
          <t>[SW] Aplicaciones (software)</t>
        </is>
      </c>
      <c r="F144" s="20" t="inlineStr">
        <is>
          <t>[prp] Desarrollo propio (in house)</t>
        </is>
      </c>
      <c r="G144" s="21" t="inlineStr">
        <is>
          <t>Gestión Tecnológica</t>
        </is>
      </c>
      <c r="H144" s="21" t="inlineStr">
        <is>
          <t>Gestión Tecnológica</t>
        </is>
      </c>
      <c r="I144" s="21" t="n"/>
      <c r="J144" s="21" t="inlineStr">
        <is>
          <t>Nube</t>
        </is>
      </c>
      <c r="K144" s="21" t="inlineStr">
        <is>
          <t>Producción</t>
        </is>
      </c>
      <c r="L144" s="21" t="inlineStr">
        <is>
          <t>Por definir</t>
        </is>
      </c>
      <c r="M144" s="21" t="inlineStr">
        <is>
          <t>Por definir</t>
        </is>
      </c>
      <c r="N144" s="21" t="inlineStr">
        <is>
          <t>Por definir</t>
        </is>
      </c>
      <c r="O144" s="21" t="n"/>
      <c r="P144" s="21" t="n"/>
      <c r="Q144" s="20" t="inlineStr">
        <is>
          <t>3 — Medio</t>
        </is>
      </c>
      <c r="R144" s="20" t="inlineStr">
        <is>
          <t>3 — Medio</t>
        </is>
      </c>
      <c r="S144" s="20" t="inlineStr">
        <is>
          <t>3 — Medio</t>
        </is>
      </c>
      <c r="T144" s="19">
        <f>MAX(IFERROR(VLOOKUP(Q144,MgValor,2,0),0),IFERROR(VLOOKUP(R144,MgValor,2,0),0),IFERROR(VLOOKUP(S144,MgValor,2,0),0))</f>
        <v/>
      </c>
      <c r="U144" s="19">
        <f>IFERROR(LOOKUP(T144,{0;1;2;3;4;5},{"Irrelevante";"Muy Bajo";"Bajo";"Medio";"Alto";"Muy Alto"}),"")</f>
        <v/>
      </c>
    </row>
    <row r="145" ht="30" customHeight="1" s="54">
      <c r="B145" s="59" t="inlineStr">
        <is>
          <t>TEC-042</t>
        </is>
      </c>
      <c r="C145" s="13" t="inlineStr">
        <is>
          <t>sgi-cuantico</t>
        </is>
      </c>
      <c r="D145" s="13" t="n"/>
      <c r="E145" s="20" t="inlineStr">
        <is>
          <t>[SW] Aplicaciones (software)</t>
        </is>
      </c>
      <c r="F145" s="20" t="inlineStr">
        <is>
          <t>[prp] Desarrollo propio (in house)</t>
        </is>
      </c>
      <c r="G145" s="21" t="inlineStr">
        <is>
          <t>Gestión Tecnológica</t>
        </is>
      </c>
      <c r="H145" s="21" t="inlineStr">
        <is>
          <t>Gestión Tecnológica</t>
        </is>
      </c>
      <c r="I145" s="21" t="n"/>
      <c r="J145" s="21" t="inlineStr">
        <is>
          <t>Nube</t>
        </is>
      </c>
      <c r="K145" s="21" t="inlineStr">
        <is>
          <t>Producción</t>
        </is>
      </c>
      <c r="L145" s="21" t="inlineStr">
        <is>
          <t>Por definir</t>
        </is>
      </c>
      <c r="M145" s="21" t="inlineStr">
        <is>
          <t>Por definir</t>
        </is>
      </c>
      <c r="N145" s="21" t="inlineStr">
        <is>
          <t>Por definir</t>
        </is>
      </c>
      <c r="O145" s="21" t="n"/>
      <c r="P145" s="21" t="n"/>
      <c r="Q145" s="20" t="inlineStr">
        <is>
          <t>3 — Medio</t>
        </is>
      </c>
      <c r="R145" s="20" t="inlineStr">
        <is>
          <t>3 — Medio</t>
        </is>
      </c>
      <c r="S145" s="20" t="inlineStr">
        <is>
          <t>3 — Medio</t>
        </is>
      </c>
      <c r="T145" s="19">
        <f>MAX(IFERROR(VLOOKUP(Q145,MgValor,2,0),0),IFERROR(VLOOKUP(R145,MgValor,2,0),0),IFERROR(VLOOKUP(S145,MgValor,2,0),0))</f>
        <v/>
      </c>
      <c r="U145" s="19">
        <f>IFERROR(LOOKUP(T145,{0;1;2;3;4;5},{"Irrelevante";"Muy Bajo";"Bajo";"Medio";"Alto";"Muy Alto"}),"")</f>
        <v/>
      </c>
    </row>
    <row r="146" ht="30" customHeight="1" s="54">
      <c r="B146" s="59" t="inlineStr">
        <is>
          <t>TEC-058</t>
        </is>
      </c>
      <c r="C146" s="13" t="inlineStr">
        <is>
          <t>territorios-lbd-agro-clima-presen…</t>
        </is>
      </c>
      <c r="D146" s="13" t="n"/>
      <c r="E146" s="20" t="inlineStr">
        <is>
          <t>[SW] Aplicaciones (software)</t>
        </is>
      </c>
      <c r="F146" s="20" t="inlineStr">
        <is>
          <t>[prp] Desarrollo propio (in house)</t>
        </is>
      </c>
      <c r="G146" s="21" t="inlineStr">
        <is>
          <t>Gestión Tecnológica</t>
        </is>
      </c>
      <c r="H146" s="21" t="inlineStr">
        <is>
          <t>Gestión Tecnológica</t>
        </is>
      </c>
      <c r="I146" s="21" t="n"/>
      <c r="J146" s="21" t="inlineStr">
        <is>
          <t>Nube</t>
        </is>
      </c>
      <c r="K146" s="21" t="inlineStr">
        <is>
          <t>Producción</t>
        </is>
      </c>
      <c r="L146" s="21" t="inlineStr">
        <is>
          <t>Por definir</t>
        </is>
      </c>
      <c r="M146" s="21" t="inlineStr">
        <is>
          <t>Por definir</t>
        </is>
      </c>
      <c r="N146" s="21" t="inlineStr">
        <is>
          <t>Por definir</t>
        </is>
      </c>
      <c r="O146" s="21" t="n"/>
      <c r="P146" s="21" t="n"/>
      <c r="Q146" s="20" t="inlineStr">
        <is>
          <t>2 — Bajo</t>
        </is>
      </c>
      <c r="R146" s="20" t="inlineStr">
        <is>
          <t>2 — Bajo</t>
        </is>
      </c>
      <c r="S146" s="20" t="inlineStr">
        <is>
          <t>2 — Bajo</t>
        </is>
      </c>
      <c r="T146" s="19">
        <f>MAX(IFERROR(VLOOKUP(Q146,MgValor,2,0),0),IFERROR(VLOOKUP(R146,MgValor,2,0),0),IFERROR(VLOOKUP(S146,MgValor,2,0),0))</f>
        <v/>
      </c>
      <c r="U146" s="19">
        <f>IFERROR(LOOKUP(T146,{0;1;2;3;4;5},{"Irrelevante";"Muy Bajo";"Bajo";"Medio";"Alto";"Muy Alto"}),"")</f>
        <v/>
      </c>
    </row>
    <row r="147" ht="30" customHeight="1" s="54">
      <c r="B147" s="59" t="inlineStr">
        <is>
          <t>TEC-059</t>
        </is>
      </c>
      <c r="C147" s="13" t="inlineStr">
        <is>
          <t>territorios-lbd-indicador-agro-cl…</t>
        </is>
      </c>
      <c r="D147" s="13" t="n"/>
      <c r="E147" s="20" t="inlineStr">
        <is>
          <t>[SW] Aplicaciones (software)</t>
        </is>
      </c>
      <c r="F147" s="20" t="inlineStr">
        <is>
          <t>[prp] Desarrollo propio (in house)</t>
        </is>
      </c>
      <c r="G147" s="21" t="inlineStr">
        <is>
          <t>Gestión Tecnológica</t>
        </is>
      </c>
      <c r="H147" s="21" t="inlineStr">
        <is>
          <t>Gestión Tecnológica</t>
        </is>
      </c>
      <c r="I147" s="21" t="n"/>
      <c r="J147" s="21" t="inlineStr">
        <is>
          <t>Nube</t>
        </is>
      </c>
      <c r="K147" s="21" t="inlineStr">
        <is>
          <t>Producción</t>
        </is>
      </c>
      <c r="L147" s="21" t="inlineStr">
        <is>
          <t>Por definir</t>
        </is>
      </c>
      <c r="M147" s="21" t="inlineStr">
        <is>
          <t>Por definir</t>
        </is>
      </c>
      <c r="N147" s="21" t="inlineStr">
        <is>
          <t>Por definir</t>
        </is>
      </c>
      <c r="O147" s="21" t="n"/>
      <c r="P147" s="21" t="n"/>
      <c r="Q147" s="20" t="inlineStr">
        <is>
          <t>2 — Bajo</t>
        </is>
      </c>
      <c r="R147" s="20" t="inlineStr">
        <is>
          <t>2 — Bajo</t>
        </is>
      </c>
      <c r="S147" s="20" t="inlineStr">
        <is>
          <t>2 — Bajo</t>
        </is>
      </c>
      <c r="T147" s="19">
        <f>MAX(IFERROR(VLOOKUP(Q147,MgValor,2,0),0),IFERROR(VLOOKUP(R147,MgValor,2,0),0),IFERROR(VLOOKUP(S147,MgValor,2,0),0))</f>
        <v/>
      </c>
      <c r="U147" s="19">
        <f>IFERROR(LOOKUP(T147,{0;1;2;3;4;5},{"Irrelevante";"Muy Bajo";"Bajo";"Medio";"Alto";"Muy Alto"}),"")</f>
        <v/>
      </c>
    </row>
    <row r="148" ht="30" customHeight="1" s="54">
      <c r="B148" s="59" t="inlineStr">
        <is>
          <t>TEC-060</t>
        </is>
      </c>
      <c r="C148" s="13" t="inlineStr">
        <is>
          <t>territorios-lbd-indicador-agro-cu…</t>
        </is>
      </c>
      <c r="D148" s="13" t="n"/>
      <c r="E148" s="20" t="inlineStr">
        <is>
          <t>[SW] Aplicaciones (software)</t>
        </is>
      </c>
      <c r="F148" s="20" t="inlineStr">
        <is>
          <t>[prp] Desarrollo propio (in house)</t>
        </is>
      </c>
      <c r="G148" s="21" t="inlineStr">
        <is>
          <t>Gestión Tecnológica</t>
        </is>
      </c>
      <c r="H148" s="21" t="inlineStr">
        <is>
          <t>Gestión Tecnológica</t>
        </is>
      </c>
      <c r="I148" s="21" t="n"/>
      <c r="J148" s="21" t="inlineStr">
        <is>
          <t>Nube</t>
        </is>
      </c>
      <c r="K148" s="21" t="inlineStr">
        <is>
          <t>Producción</t>
        </is>
      </c>
      <c r="L148" s="21" t="inlineStr">
        <is>
          <t>Por definir</t>
        </is>
      </c>
      <c r="M148" s="21" t="inlineStr">
        <is>
          <t>Por definir</t>
        </is>
      </c>
      <c r="N148" s="21" t="inlineStr">
        <is>
          <t>Por definir</t>
        </is>
      </c>
      <c r="O148" s="21" t="n"/>
      <c r="P148" s="21" t="n"/>
      <c r="Q148" s="20" t="inlineStr">
        <is>
          <t>2 — Bajo</t>
        </is>
      </c>
      <c r="R148" s="20" t="inlineStr">
        <is>
          <t>2 — Bajo</t>
        </is>
      </c>
      <c r="S148" s="20" t="inlineStr">
        <is>
          <t>2 — Bajo</t>
        </is>
      </c>
      <c r="T148" s="19">
        <f>MAX(IFERROR(VLOOKUP(Q148,MgValor,2,0),0),IFERROR(VLOOKUP(R148,MgValor,2,0),0),IFERROR(VLOOKUP(S148,MgValor,2,0),0))</f>
        <v/>
      </c>
      <c r="U148" s="19">
        <f>IFERROR(LOOKUP(T148,{0;1;2;3;4;5},{"Irrelevante";"Muy Bajo";"Bajo";"Medio";"Alto";"Muy Alto"}),"")</f>
        <v/>
      </c>
    </row>
    <row r="149" ht="30" customHeight="1" s="54">
      <c r="B149" s="59" t="inlineStr">
        <is>
          <t>TEC-061</t>
        </is>
      </c>
      <c r="C149" s="13" t="inlineStr">
        <is>
          <t>territorios-lbd-indicador-agro-de…</t>
        </is>
      </c>
      <c r="D149" s="13" t="n"/>
      <c r="E149" s="20" t="inlineStr">
        <is>
          <t>[SW] Aplicaciones (software)</t>
        </is>
      </c>
      <c r="F149" s="20" t="inlineStr">
        <is>
          <t>[prp] Desarrollo propio (in house)</t>
        </is>
      </c>
      <c r="G149" s="21" t="inlineStr">
        <is>
          <t>Gestión Tecnológica</t>
        </is>
      </c>
      <c r="H149" s="21" t="inlineStr">
        <is>
          <t>Gestión Tecnológica</t>
        </is>
      </c>
      <c r="I149" s="21" t="n"/>
      <c r="J149" s="21" t="inlineStr">
        <is>
          <t>Nube</t>
        </is>
      </c>
      <c r="K149" s="21" t="inlineStr">
        <is>
          <t>Producción</t>
        </is>
      </c>
      <c r="L149" s="21" t="inlineStr">
        <is>
          <t>Por definir</t>
        </is>
      </c>
      <c r="M149" s="21" t="inlineStr">
        <is>
          <t>Por definir</t>
        </is>
      </c>
      <c r="N149" s="21" t="inlineStr">
        <is>
          <t>Por definir</t>
        </is>
      </c>
      <c r="O149" s="21" t="n"/>
      <c r="P149" s="21" t="n"/>
      <c r="Q149" s="20" t="inlineStr">
        <is>
          <t>2 — Bajo</t>
        </is>
      </c>
      <c r="R149" s="20" t="inlineStr">
        <is>
          <t>2 — Bajo</t>
        </is>
      </c>
      <c r="S149" s="20" t="inlineStr">
        <is>
          <t>2 — Bajo</t>
        </is>
      </c>
      <c r="T149" s="19">
        <f>MAX(IFERROR(VLOOKUP(Q149,MgValor,2,0),0),IFERROR(VLOOKUP(R149,MgValor,2,0),0),IFERROR(VLOOKUP(S149,MgValor,2,0),0))</f>
        <v/>
      </c>
      <c r="U149" s="19">
        <f>IFERROR(LOOKUP(T149,{0;1;2;3;4;5},{"Irrelevante";"Muy Bajo";"Bajo";"Medio";"Alto";"Muy Alto"}),"")</f>
        <v/>
      </c>
    </row>
    <row r="150" ht="30" customHeight="1" s="54">
      <c r="B150" s="59" t="inlineStr">
        <is>
          <t>TEC-062</t>
        </is>
      </c>
      <c r="C150" s="13" t="inlineStr">
        <is>
          <t>territorios-lbd-indicador-agro-hi…</t>
        </is>
      </c>
      <c r="D150" s="13" t="n"/>
      <c r="E150" s="20" t="inlineStr">
        <is>
          <t>[SW] Aplicaciones (software)</t>
        </is>
      </c>
      <c r="F150" s="20" t="inlineStr">
        <is>
          <t>[prp] Desarrollo propio (in house)</t>
        </is>
      </c>
      <c r="G150" s="21" t="inlineStr">
        <is>
          <t>Gestión Tecnológica</t>
        </is>
      </c>
      <c r="H150" s="21" t="inlineStr">
        <is>
          <t>Gestión Tecnológica</t>
        </is>
      </c>
      <c r="I150" s="21" t="n"/>
      <c r="J150" s="21" t="inlineStr">
        <is>
          <t>Nube</t>
        </is>
      </c>
      <c r="K150" s="21" t="inlineStr">
        <is>
          <t>Producción</t>
        </is>
      </c>
      <c r="L150" s="21" t="inlineStr">
        <is>
          <t>Por definir</t>
        </is>
      </c>
      <c r="M150" s="21" t="inlineStr">
        <is>
          <t>Por definir</t>
        </is>
      </c>
      <c r="N150" s="21" t="inlineStr">
        <is>
          <t>Por definir</t>
        </is>
      </c>
      <c r="O150" s="21" t="n"/>
      <c r="P150" s="21" t="n"/>
      <c r="Q150" s="20" t="inlineStr">
        <is>
          <t>2 — Bajo</t>
        </is>
      </c>
      <c r="R150" s="20" t="inlineStr">
        <is>
          <t>2 — Bajo</t>
        </is>
      </c>
      <c r="S150" s="20" t="inlineStr">
        <is>
          <t>2 — Bajo</t>
        </is>
      </c>
      <c r="T150" s="19">
        <f>MAX(IFERROR(VLOOKUP(Q150,MgValor,2,0),0),IFERROR(VLOOKUP(R150,MgValor,2,0),0),IFERROR(VLOOKUP(S150,MgValor,2,0),0))</f>
        <v/>
      </c>
      <c r="U150" s="19">
        <f>IFERROR(LOOKUP(T150,{0;1;2;3;4;5},{"Irrelevante";"Muy Bajo";"Bajo";"Medio";"Alto";"Muy Alto"}),"")</f>
        <v/>
      </c>
    </row>
    <row r="151" ht="30" customHeight="1" s="54">
      <c r="B151" s="59" t="inlineStr">
        <is>
          <t>TEC-063</t>
        </is>
      </c>
      <c r="C151" s="13" t="inlineStr">
        <is>
          <t>territorios-lbd-indicador-agro-na…</t>
        </is>
      </c>
      <c r="D151" s="13" t="n"/>
      <c r="E151" s="20" t="inlineStr">
        <is>
          <t>[SW] Aplicaciones (software)</t>
        </is>
      </c>
      <c r="F151" s="20" t="inlineStr">
        <is>
          <t>[prp] Desarrollo propio (in house)</t>
        </is>
      </c>
      <c r="G151" s="21" t="inlineStr">
        <is>
          <t>Gestión Tecnológica</t>
        </is>
      </c>
      <c r="H151" s="21" t="inlineStr">
        <is>
          <t>Gestión Tecnológica</t>
        </is>
      </c>
      <c r="I151" s="21" t="n"/>
      <c r="J151" s="21" t="inlineStr">
        <is>
          <t>Nube</t>
        </is>
      </c>
      <c r="K151" s="21" t="inlineStr">
        <is>
          <t>Producción</t>
        </is>
      </c>
      <c r="L151" s="21" t="inlineStr">
        <is>
          <t>Por definir</t>
        </is>
      </c>
      <c r="M151" s="21" t="inlineStr">
        <is>
          <t>Por definir</t>
        </is>
      </c>
      <c r="N151" s="21" t="inlineStr">
        <is>
          <t>Por definir</t>
        </is>
      </c>
      <c r="O151" s="21" t="n"/>
      <c r="P151" s="21" t="n"/>
      <c r="Q151" s="20" t="inlineStr">
        <is>
          <t>2 — Bajo</t>
        </is>
      </c>
      <c r="R151" s="20" t="inlineStr">
        <is>
          <t>2 — Bajo</t>
        </is>
      </c>
      <c r="S151" s="20" t="inlineStr">
        <is>
          <t>2 — Bajo</t>
        </is>
      </c>
      <c r="T151" s="19">
        <f>MAX(IFERROR(VLOOKUP(Q151,MgValor,2,0),0),IFERROR(VLOOKUP(R151,MgValor,2,0),0),IFERROR(VLOOKUP(S151,MgValor,2,0),0))</f>
        <v/>
      </c>
      <c r="U151" s="19">
        <f>IFERROR(LOOKUP(T151,{0;1;2;3;4;5},{"Irrelevante";"Muy Bajo";"Bajo";"Medio";"Alto";"Muy Alto"}),"")</f>
        <v/>
      </c>
    </row>
    <row r="152" ht="30" customHeight="1" s="54">
      <c r="B152" s="59" t="inlineStr">
        <is>
          <t>TEC-064</t>
        </is>
      </c>
      <c r="C152" s="13" t="inlineStr">
        <is>
          <t>territorios-lbd-indicador-compra-…</t>
        </is>
      </c>
      <c r="D152" s="13" t="n"/>
      <c r="E152" s="20" t="inlineStr">
        <is>
          <t>[SW] Aplicaciones (software)</t>
        </is>
      </c>
      <c r="F152" s="20" t="inlineStr">
        <is>
          <t>[prp] Desarrollo propio (in house)</t>
        </is>
      </c>
      <c r="G152" s="21" t="inlineStr">
        <is>
          <t>Gestión Tecnológica</t>
        </is>
      </c>
      <c r="H152" s="21" t="inlineStr">
        <is>
          <t>Gestión Tecnológica</t>
        </is>
      </c>
      <c r="I152" s="21" t="n"/>
      <c r="J152" s="21" t="inlineStr">
        <is>
          <t>Nube</t>
        </is>
      </c>
      <c r="K152" s="21" t="inlineStr">
        <is>
          <t>Producción</t>
        </is>
      </c>
      <c r="L152" s="21" t="inlineStr">
        <is>
          <t>Por definir</t>
        </is>
      </c>
      <c r="M152" s="21" t="inlineStr">
        <is>
          <t>Por definir</t>
        </is>
      </c>
      <c r="N152" s="21" t="inlineStr">
        <is>
          <t>Por definir</t>
        </is>
      </c>
      <c r="O152" s="21" t="n"/>
      <c r="P152" s="21" t="n"/>
      <c r="Q152" s="20" t="inlineStr">
        <is>
          <t>2 — Bajo</t>
        </is>
      </c>
      <c r="R152" s="20" t="inlineStr">
        <is>
          <t>2 — Bajo</t>
        </is>
      </c>
      <c r="S152" s="20" t="inlineStr">
        <is>
          <t>2 — Bajo</t>
        </is>
      </c>
      <c r="T152" s="19">
        <f>MAX(IFERROR(VLOOKUP(Q152,MgValor,2,0),0),IFERROR(VLOOKUP(R152,MgValor,2,0),0),IFERROR(VLOOKUP(S152,MgValor,2,0),0))</f>
        <v/>
      </c>
      <c r="U152" s="19">
        <f>IFERROR(LOOKUP(T152,{0;1;2;3;4;5},{"Irrelevante";"Muy Bajo";"Bajo";"Medio";"Alto";"Muy Alto"}),"")</f>
        <v/>
      </c>
    </row>
    <row r="153" ht="30" customHeight="1" s="54">
      <c r="B153" s="59" t="inlineStr">
        <is>
          <t>TEC-065</t>
        </is>
      </c>
      <c r="C153" s="13" t="inlineStr">
        <is>
          <t>territorios-lbd-indicador-compra-…</t>
        </is>
      </c>
      <c r="D153" s="13" t="n"/>
      <c r="E153" s="20" t="inlineStr">
        <is>
          <t>[SW] Aplicaciones (software)</t>
        </is>
      </c>
      <c r="F153" s="20" t="inlineStr">
        <is>
          <t>[prp] Desarrollo propio (in house)</t>
        </is>
      </c>
      <c r="G153" s="21" t="inlineStr">
        <is>
          <t>Gestión Tecnológica</t>
        </is>
      </c>
      <c r="H153" s="21" t="inlineStr">
        <is>
          <t>Gestión Tecnológica</t>
        </is>
      </c>
      <c r="I153" s="21" t="n"/>
      <c r="J153" s="21" t="inlineStr">
        <is>
          <t>Nube</t>
        </is>
      </c>
      <c r="K153" s="21" t="inlineStr">
        <is>
          <t>Producción</t>
        </is>
      </c>
      <c r="L153" s="21" t="inlineStr">
        <is>
          <t>Por definir</t>
        </is>
      </c>
      <c r="M153" s="21" t="inlineStr">
        <is>
          <t>Por definir</t>
        </is>
      </c>
      <c r="N153" s="21" t="inlineStr">
        <is>
          <t>Por definir</t>
        </is>
      </c>
      <c r="O153" s="21" t="n"/>
      <c r="P153" s="21" t="n"/>
      <c r="Q153" s="20" t="inlineStr">
        <is>
          <t>2 — Bajo</t>
        </is>
      </c>
      <c r="R153" s="20" t="inlineStr">
        <is>
          <t>2 — Bajo</t>
        </is>
      </c>
      <c r="S153" s="20" t="inlineStr">
        <is>
          <t>2 — Bajo</t>
        </is>
      </c>
      <c r="T153" s="19">
        <f>MAX(IFERROR(VLOOKUP(Q153,MgValor,2,0),0),IFERROR(VLOOKUP(R153,MgValor,2,0),0),IFERROR(VLOOKUP(S153,MgValor,2,0),0))</f>
        <v/>
      </c>
      <c r="U153" s="19">
        <f>IFERROR(LOOKUP(T153,{0;1;2;3;4;5},{"Irrelevante";"Muy Bajo";"Bajo";"Medio";"Alto";"Muy Alto"}),"")</f>
        <v/>
      </c>
    </row>
    <row r="154" ht="30" customHeight="1" s="54">
      <c r="B154" s="59" t="inlineStr">
        <is>
          <t>TEC-066</t>
        </is>
      </c>
      <c r="C154" s="13" t="inlineStr">
        <is>
          <t>territorios-lbd-indicador-general…</t>
        </is>
      </c>
      <c r="D154" s="13" t="n"/>
      <c r="E154" s="20" t="inlineStr">
        <is>
          <t>[SW] Aplicaciones (software)</t>
        </is>
      </c>
      <c r="F154" s="20" t="inlineStr">
        <is>
          <t>[prp] Desarrollo propio (in house)</t>
        </is>
      </c>
      <c r="G154" s="21" t="inlineStr">
        <is>
          <t>Gestión Tecnológica</t>
        </is>
      </c>
      <c r="H154" s="21" t="inlineStr">
        <is>
          <t>Gestión Tecnológica</t>
        </is>
      </c>
      <c r="I154" s="21" t="n"/>
      <c r="J154" s="21" t="inlineStr">
        <is>
          <t>Nube</t>
        </is>
      </c>
      <c r="K154" s="21" t="inlineStr">
        <is>
          <t>Producción</t>
        </is>
      </c>
      <c r="L154" s="21" t="inlineStr">
        <is>
          <t>Por definir</t>
        </is>
      </c>
      <c r="M154" s="21" t="inlineStr">
        <is>
          <t>Por definir</t>
        </is>
      </c>
      <c r="N154" s="21" t="inlineStr">
        <is>
          <t>Por definir</t>
        </is>
      </c>
      <c r="O154" s="21" t="n"/>
      <c r="P154" s="21" t="n"/>
      <c r="Q154" s="20" t="inlineStr">
        <is>
          <t>2 — Bajo</t>
        </is>
      </c>
      <c r="R154" s="20" t="inlineStr">
        <is>
          <t>2 — Bajo</t>
        </is>
      </c>
      <c r="S154" s="20" t="inlineStr">
        <is>
          <t>2 — Bajo</t>
        </is>
      </c>
      <c r="T154" s="19">
        <f>MAX(IFERROR(VLOOKUP(Q154,MgValor,2,0),0),IFERROR(VLOOKUP(R154,MgValor,2,0),0),IFERROR(VLOOKUP(S154,MgValor,2,0),0))</f>
        <v/>
      </c>
      <c r="U154" s="19">
        <f>IFERROR(LOOKUP(T154,{0;1;2;3;4;5},{"Irrelevante";"Muy Bajo";"Bajo";"Medio";"Alto";"Muy Alto"}),"")</f>
        <v/>
      </c>
    </row>
    <row r="155" ht="30" customHeight="1" s="54">
      <c r="B155" s="59" t="inlineStr">
        <is>
          <t>TEC-067</t>
        </is>
      </c>
      <c r="C155" s="13" t="inlineStr">
        <is>
          <t>territorios-lbd-indicador-movilid…</t>
        </is>
      </c>
      <c r="D155" s="13" t="n"/>
      <c r="E155" s="20" t="inlineStr">
        <is>
          <t>[SW] Aplicaciones (software)</t>
        </is>
      </c>
      <c r="F155" s="20" t="inlineStr">
        <is>
          <t>[prp] Desarrollo propio (in house)</t>
        </is>
      </c>
      <c r="G155" s="21" t="inlineStr">
        <is>
          <t>Gestión Tecnológica</t>
        </is>
      </c>
      <c r="H155" s="21" t="inlineStr">
        <is>
          <t>Gestión Tecnológica</t>
        </is>
      </c>
      <c r="I155" s="21" t="n"/>
      <c r="J155" s="21" t="inlineStr">
        <is>
          <t>Nube</t>
        </is>
      </c>
      <c r="K155" s="21" t="inlineStr">
        <is>
          <t>Producción</t>
        </is>
      </c>
      <c r="L155" s="21" t="inlineStr">
        <is>
          <t>Por definir</t>
        </is>
      </c>
      <c r="M155" s="21" t="inlineStr">
        <is>
          <t>Por definir</t>
        </is>
      </c>
      <c r="N155" s="21" t="inlineStr">
        <is>
          <t>Por definir</t>
        </is>
      </c>
      <c r="O155" s="21" t="n"/>
      <c r="P155" s="21" t="n"/>
      <c r="Q155" s="20" t="inlineStr">
        <is>
          <t>2 — Bajo</t>
        </is>
      </c>
      <c r="R155" s="20" t="inlineStr">
        <is>
          <t>2 — Bajo</t>
        </is>
      </c>
      <c r="S155" s="20" t="inlineStr">
        <is>
          <t>2 — Bajo</t>
        </is>
      </c>
      <c r="T155" s="19">
        <f>MAX(IFERROR(VLOOKUP(Q155,MgValor,2,0),0),IFERROR(VLOOKUP(R155,MgValor,2,0),0),IFERROR(VLOOKUP(S155,MgValor,2,0),0))</f>
        <v/>
      </c>
      <c r="U155" s="19">
        <f>IFERROR(LOOKUP(T155,{0;1;2;3;4;5},{"Irrelevante";"Muy Bajo";"Bajo";"Medio";"Alto";"Muy Alto"}),"")</f>
        <v/>
      </c>
    </row>
    <row r="156" ht="30" customHeight="1" s="54">
      <c r="B156" s="59" t="inlineStr">
        <is>
          <t>TEC-068</t>
        </is>
      </c>
      <c r="C156" s="13" t="inlineStr">
        <is>
          <t>territorios-lbd-indicador-segurid…</t>
        </is>
      </c>
      <c r="D156" s="13" t="n"/>
      <c r="E156" s="20" t="inlineStr">
        <is>
          <t>[SW] Aplicaciones (software)</t>
        </is>
      </c>
      <c r="F156" s="20" t="inlineStr">
        <is>
          <t>[prp] Desarrollo propio (in house)</t>
        </is>
      </c>
      <c r="G156" s="21" t="inlineStr">
        <is>
          <t>Gestión Tecnológica</t>
        </is>
      </c>
      <c r="H156" s="21" t="inlineStr">
        <is>
          <t>Gestión Tecnológica</t>
        </is>
      </c>
      <c r="I156" s="21" t="n"/>
      <c r="J156" s="21" t="inlineStr">
        <is>
          <t>Nube</t>
        </is>
      </c>
      <c r="K156" s="21" t="inlineStr">
        <is>
          <t>Producción</t>
        </is>
      </c>
      <c r="L156" s="21" t="inlineStr">
        <is>
          <t>Por definir</t>
        </is>
      </c>
      <c r="M156" s="21" t="inlineStr">
        <is>
          <t>Por definir</t>
        </is>
      </c>
      <c r="N156" s="21" t="inlineStr">
        <is>
          <t>Por definir</t>
        </is>
      </c>
      <c r="O156" s="21" t="n"/>
      <c r="P156" s="21" t="n"/>
      <c r="Q156" s="20" t="inlineStr">
        <is>
          <t>2 — Bajo</t>
        </is>
      </c>
      <c r="R156" s="20" t="inlineStr">
        <is>
          <t>2 — Bajo</t>
        </is>
      </c>
      <c r="S156" s="20" t="inlineStr">
        <is>
          <t>2 — Bajo</t>
        </is>
      </c>
      <c r="T156" s="19">
        <f>MAX(IFERROR(VLOOKUP(Q156,MgValor,2,0),0),IFERROR(VLOOKUP(R156,MgValor,2,0),0),IFERROR(VLOOKUP(S156,MgValor,2,0),0))</f>
        <v/>
      </c>
      <c r="U156" s="19">
        <f>IFERROR(LOOKUP(T156,{0;1;2;3;4;5},{"Irrelevante";"Muy Bajo";"Bajo";"Medio";"Alto";"Muy Alto"}),"")</f>
        <v/>
      </c>
    </row>
    <row r="157" ht="30" customHeight="1" s="54">
      <c r="B157" s="59" t="inlineStr">
        <is>
          <t>TEC-069</t>
        </is>
      </c>
      <c r="C157" s="13" t="inlineStr">
        <is>
          <t>territorios-lbd-waze-procesar-tra…</t>
        </is>
      </c>
      <c r="D157" s="13" t="n"/>
      <c r="E157" s="20" t="inlineStr">
        <is>
          <t>[SW] Aplicaciones (software)</t>
        </is>
      </c>
      <c r="F157" s="20" t="inlineStr">
        <is>
          <t>[prp] Desarrollo propio (in house)</t>
        </is>
      </c>
      <c r="G157" s="21" t="inlineStr">
        <is>
          <t>Gestión Tecnológica</t>
        </is>
      </c>
      <c r="H157" s="21" t="inlineStr">
        <is>
          <t>Gestión Tecnológica</t>
        </is>
      </c>
      <c r="I157" s="21" t="n"/>
      <c r="J157" s="21" t="inlineStr">
        <is>
          <t>Nube</t>
        </is>
      </c>
      <c r="K157" s="21" t="inlineStr">
        <is>
          <t>Producción</t>
        </is>
      </c>
      <c r="L157" s="21" t="inlineStr">
        <is>
          <t>Por definir</t>
        </is>
      </c>
      <c r="M157" s="21" t="inlineStr">
        <is>
          <t>Por definir</t>
        </is>
      </c>
      <c r="N157" s="21" t="inlineStr">
        <is>
          <t>Por definir</t>
        </is>
      </c>
      <c r="O157" s="21" t="n"/>
      <c r="P157" s="21" t="n"/>
      <c r="Q157" s="20" t="inlineStr">
        <is>
          <t>2 — Bajo</t>
        </is>
      </c>
      <c r="R157" s="20" t="inlineStr">
        <is>
          <t>2 — Bajo</t>
        </is>
      </c>
      <c r="S157" s="20" t="inlineStr">
        <is>
          <t>2 — Bajo</t>
        </is>
      </c>
      <c r="T157" s="19">
        <f>MAX(IFERROR(VLOOKUP(Q157,MgValor,2,0),0),IFERROR(VLOOKUP(R157,MgValor,2,0),0),IFERROR(VLOOKUP(S157,MgValor,2,0),0))</f>
        <v/>
      </c>
      <c r="U157" s="19">
        <f>IFERROR(LOOKUP(T157,{0;1;2;3;4;5},{"Irrelevante";"Muy Bajo";"Bajo";"Medio";"Alto";"Muy Alto"}),"")</f>
        <v/>
      </c>
    </row>
    <row r="158" ht="30" customHeight="1" s="54">
      <c r="B158" s="59" t="inlineStr">
        <is>
          <t>TEC-071</t>
        </is>
      </c>
      <c r="C158" s="13" t="inlineStr">
        <is>
          <t>valida</t>
        </is>
      </c>
      <c r="D158" s="13" t="n"/>
      <c r="E158" s="20" t="inlineStr">
        <is>
          <t>[SW] Aplicaciones (software)</t>
        </is>
      </c>
      <c r="F158" s="20" t="inlineStr">
        <is>
          <t>[prp] Desarrollo propio (in house)</t>
        </is>
      </c>
      <c r="G158" s="21" t="inlineStr">
        <is>
          <t>Gestión Tecnológica</t>
        </is>
      </c>
      <c r="H158" s="21" t="inlineStr">
        <is>
          <t>Gestión Tecnológica</t>
        </is>
      </c>
      <c r="I158" s="21" t="n"/>
      <c r="J158" s="21" t="inlineStr">
        <is>
          <t>Nube</t>
        </is>
      </c>
      <c r="K158" s="21" t="inlineStr">
        <is>
          <t>Producción</t>
        </is>
      </c>
      <c r="L158" s="21" t="inlineStr">
        <is>
          <t>Por definir</t>
        </is>
      </c>
      <c r="M158" s="21" t="inlineStr">
        <is>
          <t>Por definir</t>
        </is>
      </c>
      <c r="N158" s="21" t="inlineStr">
        <is>
          <t>Por definir</t>
        </is>
      </c>
      <c r="O158" s="21" t="n"/>
      <c r="P158" s="21" t="n"/>
      <c r="Q158" s="20" t="inlineStr">
        <is>
          <t>2 — Bajo</t>
        </is>
      </c>
      <c r="R158" s="20" t="inlineStr">
        <is>
          <t>2 — Bajo</t>
        </is>
      </c>
      <c r="S158" s="20" t="inlineStr">
        <is>
          <t>2 — Bajo</t>
        </is>
      </c>
      <c r="T158" s="19">
        <f>MAX(IFERROR(VLOOKUP(Q158,MgValor,2,0),0),IFERROR(VLOOKUP(R158,MgValor,2,0),0),IFERROR(VLOOKUP(S158,MgValor,2,0),0))</f>
        <v/>
      </c>
      <c r="U158" s="19">
        <f>IFERROR(LOOKUP(T158,{0;1;2;3;4;5},{"Irrelevante";"Muy Bajo";"Bajo";"Medio";"Alto";"Muy Alto"}),"")</f>
        <v/>
      </c>
    </row>
    <row r="159" ht="30" customHeight="1" s="54">
      <c r="B159" s="59" t="inlineStr">
        <is>
          <t>TEC-009</t>
        </is>
      </c>
      <c r="C159" s="13" t="inlineStr">
        <is>
          <t>CRM-Cuántico</t>
        </is>
      </c>
      <c r="D159" s="13" t="n"/>
      <c r="E159" s="20" t="inlineStr">
        <is>
          <t>[SW] Aplicaciones (software)</t>
        </is>
      </c>
      <c r="F159" s="20" t="inlineStr">
        <is>
          <t>[std] Estándar (off the shelf)</t>
        </is>
      </c>
      <c r="G159" s="21" t="inlineStr">
        <is>
          <t>Gestión Tecnológica</t>
        </is>
      </c>
      <c r="H159" s="21" t="inlineStr">
        <is>
          <t>Gestión Tecnológica</t>
        </is>
      </c>
      <c r="I159" s="21" t="n"/>
      <c r="J159" s="21" t="inlineStr">
        <is>
          <t>Nube</t>
        </is>
      </c>
      <c r="K159" s="21" t="inlineStr">
        <is>
          <t>Producción</t>
        </is>
      </c>
      <c r="L159" s="21" t="inlineStr">
        <is>
          <t>Sí</t>
        </is>
      </c>
      <c r="M159" s="21" t="inlineStr">
        <is>
          <t>Por definir</t>
        </is>
      </c>
      <c r="N159" s="21" t="inlineStr">
        <is>
          <t>Por definir</t>
        </is>
      </c>
      <c r="O159" s="21" t="n"/>
      <c r="P159" s="21" t="n"/>
      <c r="Q159" s="20" t="inlineStr">
        <is>
          <t>4 — Alto</t>
        </is>
      </c>
      <c r="R159" s="20" t="inlineStr">
        <is>
          <t>4 — Alto</t>
        </is>
      </c>
      <c r="S159" s="20" t="inlineStr">
        <is>
          <t>4 — Alto</t>
        </is>
      </c>
      <c r="T159" s="19">
        <f>MAX(IFERROR(VLOOKUP(Q159,MgValor,2,0),0),IFERROR(VLOOKUP(R159,MgValor,2,0),0),IFERROR(VLOOKUP(S159,MgValor,2,0),0))</f>
        <v/>
      </c>
      <c r="U159" s="19">
        <f>IFERROR(LOOKUP(T159,{0;1;2;3;4;5},{"Irrelevante";"Muy Bajo";"Bajo";"Medio";"Alto";"Muy Alto"}),"")</f>
        <v/>
      </c>
    </row>
    <row r="160" ht="30" customHeight="1" s="54">
      <c r="B160" s="59" t="inlineStr">
        <is>
          <t>TEC-003</t>
        </is>
      </c>
      <c r="C160" s="13" t="inlineStr">
        <is>
          <t>ERP-Financiero</t>
        </is>
      </c>
      <c r="D160" s="13" t="n"/>
      <c r="E160" s="20" t="inlineStr">
        <is>
          <t>[SW] Aplicaciones (software)</t>
        </is>
      </c>
      <c r="F160" s="20" t="inlineStr">
        <is>
          <t>[std] Estándar (off the shelf)</t>
        </is>
      </c>
      <c r="G160" s="21" t="inlineStr">
        <is>
          <t>Gestión Tecnológica</t>
        </is>
      </c>
      <c r="H160" s="21" t="inlineStr">
        <is>
          <t>Gestión Tecnológica</t>
        </is>
      </c>
      <c r="I160" s="21" t="n"/>
      <c r="J160" s="21" t="inlineStr">
        <is>
          <t>Nube</t>
        </is>
      </c>
      <c r="K160" s="21" t="inlineStr">
        <is>
          <t>Producción</t>
        </is>
      </c>
      <c r="L160" s="21" t="inlineStr">
        <is>
          <t>Por definir</t>
        </is>
      </c>
      <c r="M160" s="21" t="inlineStr">
        <is>
          <t>Por definir</t>
        </is>
      </c>
      <c r="N160" s="21" t="inlineStr">
        <is>
          <t>Por definir</t>
        </is>
      </c>
      <c r="O160" s="21" t="n"/>
      <c r="P160" s="21" t="n"/>
      <c r="Q160" s="20" t="inlineStr">
        <is>
          <t>4 — Alto</t>
        </is>
      </c>
      <c r="R160" s="20" t="inlineStr">
        <is>
          <t>4 — Alto</t>
        </is>
      </c>
      <c r="S160" s="20" t="inlineStr">
        <is>
          <t>4 — Alto</t>
        </is>
      </c>
      <c r="T160" s="19">
        <f>MAX(IFERROR(VLOOKUP(Q160,MgValor,2,0),0),IFERROR(VLOOKUP(R160,MgValor,2,0),0),IFERROR(VLOOKUP(S160,MgValor,2,0),0))</f>
        <v/>
      </c>
      <c r="U160" s="19">
        <f>IFERROR(LOOKUP(T160,{0;1;2;3;4;5},{"Irrelevante";"Muy Bajo";"Bajo";"Medio";"Alto";"Muy Alto"}),"")</f>
        <v/>
      </c>
    </row>
    <row r="161" ht="30" customHeight="1" s="54">
      <c r="B161" s="59" t="inlineStr">
        <is>
          <t>FIN-20</t>
        </is>
      </c>
      <c r="C161" s="13" t="inlineStr">
        <is>
          <t>Siigo (factura electronica)</t>
        </is>
      </c>
      <c r="D161" s="13" t="inlineStr">
        <is>
          <t>Sistema contable en la nube: facturas, causación, balances, factura electrónica</t>
        </is>
      </c>
      <c r="E161" s="20" t="inlineStr">
        <is>
          <t>[SW] Aplicaciones (software)</t>
        </is>
      </c>
      <c r="F161" s="20" t="inlineStr">
        <is>
          <t>[std] Estándar (off the shelf)</t>
        </is>
      </c>
      <c r="G161" s="21" t="inlineStr">
        <is>
          <t>Gestión Financiera</t>
        </is>
      </c>
      <c r="H161" s="21" t="inlineStr">
        <is>
          <t>Gestión Tecnológica</t>
        </is>
      </c>
      <c r="I161" s="21" t="n"/>
      <c r="J161" s="21" t="inlineStr">
        <is>
          <t>Nube</t>
        </is>
      </c>
      <c r="K161" s="21" t="inlineStr">
        <is>
          <t>Producción</t>
        </is>
      </c>
      <c r="L161" s="21" t="inlineStr">
        <is>
          <t>Por definir</t>
        </is>
      </c>
      <c r="M161" s="21" t="inlineStr">
        <is>
          <t>Por definir</t>
        </is>
      </c>
      <c r="N161" s="21" t="inlineStr">
        <is>
          <t>Por definir</t>
        </is>
      </c>
      <c r="O161" s="21" t="n"/>
      <c r="P161" s="21" t="n"/>
      <c r="Q161" s="20" t="inlineStr">
        <is>
          <t>4 — Alto</t>
        </is>
      </c>
      <c r="R161" s="20" t="inlineStr">
        <is>
          <t>4 — Alto</t>
        </is>
      </c>
      <c r="S161" s="20" t="inlineStr">
        <is>
          <t>4 — Alto</t>
        </is>
      </c>
      <c r="T161" s="19">
        <f>MAX(IFERROR(VLOOKUP(Q161,MgValor,2,0),0),IFERROR(VLOOKUP(R161,MgValor,2,0),0),IFERROR(VLOOKUP(S161,MgValor,2,0),0))</f>
        <v/>
      </c>
      <c r="U161" s="19">
        <f>IFERROR(LOOKUP(T161,{0;1;2;3;4;5},{"Irrelevante";"Muy Bajo";"Bajo";"Medio";"Alto";"Muy Alto"}),"")</f>
        <v/>
      </c>
    </row>
    <row r="162" ht="30" customHeight="1" s="54">
      <c r="B162" s="59" t="inlineStr">
        <is>
          <t>FIN-21</t>
        </is>
      </c>
      <c r="C162" s="13" t="inlineStr">
        <is>
          <t>Usuarios y credenciales de Siigo</t>
        </is>
      </c>
      <c r="D162" s="13" t="inlineStr">
        <is>
          <t>Cuentas de acceso al sistema contable</t>
        </is>
      </c>
      <c r="E162" s="20" t="inlineStr">
        <is>
          <t>[SW] Aplicaciones (software)</t>
        </is>
      </c>
      <c r="F162" s="20" t="inlineStr">
        <is>
          <t>[std] Estándar (off the shelf)</t>
        </is>
      </c>
      <c r="G162" s="21" t="inlineStr">
        <is>
          <t>Gestión Financiera</t>
        </is>
      </c>
      <c r="H162" s="21" t="inlineStr">
        <is>
          <t>Cada titular</t>
        </is>
      </c>
      <c r="I162" s="21" t="n"/>
      <c r="J162" s="21" t="inlineStr">
        <is>
          <t>Nube</t>
        </is>
      </c>
      <c r="K162" s="21" t="inlineStr">
        <is>
          <t>Producción</t>
        </is>
      </c>
      <c r="L162" s="21" t="inlineStr">
        <is>
          <t>Por definir</t>
        </is>
      </c>
      <c r="M162" s="21" t="inlineStr">
        <is>
          <t>Por definir</t>
        </is>
      </c>
      <c r="N162" s="21" t="inlineStr">
        <is>
          <t>Por definir</t>
        </is>
      </c>
      <c r="O162" s="21" t="n"/>
      <c r="P162" s="21" t="n"/>
      <c r="Q162" s="20" t="inlineStr">
        <is>
          <t>3 — Medio</t>
        </is>
      </c>
      <c r="R162" s="20" t="inlineStr">
        <is>
          <t>4 — Alto</t>
        </is>
      </c>
      <c r="S162" s="20" t="inlineStr">
        <is>
          <t>4 — Alto</t>
        </is>
      </c>
      <c r="T162" s="19">
        <f>MAX(IFERROR(VLOOKUP(Q162,MgValor,2,0),0),IFERROR(VLOOKUP(R162,MgValor,2,0),0),IFERROR(VLOOKUP(S162,MgValor,2,0),0))</f>
        <v/>
      </c>
      <c r="U162" s="19">
        <f>IFERROR(LOOKUP(T162,{0;1;2;3;4;5},{"Irrelevante";"Muy Bajo";"Bajo";"Medio";"Alto";"Muy Alto"}),"")</f>
        <v/>
      </c>
    </row>
    <row r="163" ht="30" customHeight="1" s="54">
      <c r="B163" s="59" t="inlineStr">
        <is>
          <t>TEC-018</t>
        </is>
      </c>
      <c r="C163" s="13" t="inlineStr">
        <is>
          <t>crm-app</t>
        </is>
      </c>
      <c r="D163" s="13" t="n"/>
      <c r="E163" s="20" t="inlineStr">
        <is>
          <t>[SW] Aplicaciones (software)</t>
        </is>
      </c>
      <c r="F163" s="20" t="inlineStr">
        <is>
          <t>[std] Estándar (off the shelf)</t>
        </is>
      </c>
      <c r="G163" s="21" t="inlineStr">
        <is>
          <t>Gestión Tecnológica</t>
        </is>
      </c>
      <c r="H163" s="21" t="inlineStr">
        <is>
          <t>Gestión Tecnológica</t>
        </is>
      </c>
      <c r="I163" s="21" t="n"/>
      <c r="J163" s="21" t="inlineStr">
        <is>
          <t>Nube</t>
        </is>
      </c>
      <c r="K163" s="21" t="inlineStr">
        <is>
          <t>Producción</t>
        </is>
      </c>
      <c r="L163" s="21" t="inlineStr">
        <is>
          <t>Sí</t>
        </is>
      </c>
      <c r="M163" s="21" t="inlineStr">
        <is>
          <t>Por definir</t>
        </is>
      </c>
      <c r="N163" s="21" t="inlineStr">
        <is>
          <t>Por definir</t>
        </is>
      </c>
      <c r="O163" s="21" t="n"/>
      <c r="P163" s="21" t="n"/>
      <c r="Q163" s="20" t="inlineStr">
        <is>
          <t>2 — Bajo</t>
        </is>
      </c>
      <c r="R163" s="20" t="inlineStr">
        <is>
          <t>2 — Bajo</t>
        </is>
      </c>
      <c r="S163" s="20" t="inlineStr">
        <is>
          <t>2 — Bajo</t>
        </is>
      </c>
      <c r="T163" s="19">
        <f>MAX(IFERROR(VLOOKUP(Q163,MgValor,2,0),0),IFERROR(VLOOKUP(R163,MgValor,2,0),0),IFERROR(VLOOKUP(S163,MgValor,2,0),0))</f>
        <v/>
      </c>
      <c r="U163" s="19">
        <f>IFERROR(LOOKUP(T163,{0;1;2;3;4;5},{"Irrelevante";"Muy Bajo";"Bajo";"Medio";"Alto";"Muy Alto"}),"")</f>
        <v/>
      </c>
    </row>
    <row r="164" ht="30" customHeight="1" s="54">
      <c r="B164" s="59" t="inlineStr">
        <is>
          <t>TEC-056</t>
        </is>
      </c>
      <c r="C164" s="13" t="inlineStr">
        <is>
          <t>superset-with-postgresql-e0kg480c…</t>
        </is>
      </c>
      <c r="D164" s="13" t="n"/>
      <c r="E164" s="20" t="inlineStr">
        <is>
          <t>[SW] Aplicaciones (software)</t>
        </is>
      </c>
      <c r="F164" s="20" t="inlineStr">
        <is>
          <t>[std] Estándar (off the shelf)</t>
        </is>
      </c>
      <c r="G164" s="21" t="inlineStr">
        <is>
          <t>Gestión Tecnológica</t>
        </is>
      </c>
      <c r="H164" s="21" t="inlineStr">
        <is>
          <t>Gestión Tecnológica</t>
        </is>
      </c>
      <c r="I164" s="21" t="n"/>
      <c r="J164" s="21" t="inlineStr">
        <is>
          <t>Nube</t>
        </is>
      </c>
      <c r="K164" s="21" t="inlineStr">
        <is>
          <t>Producción</t>
        </is>
      </c>
      <c r="L164" s="21" t="inlineStr">
        <is>
          <t>Por definir</t>
        </is>
      </c>
      <c r="M164" s="21" t="inlineStr">
        <is>
          <t>Por definir</t>
        </is>
      </c>
      <c r="N164" s="21" t="inlineStr">
        <is>
          <t>Por definir</t>
        </is>
      </c>
      <c r="O164" s="21" t="n"/>
      <c r="P164" s="21" t="n"/>
      <c r="Q164" s="20" t="inlineStr">
        <is>
          <t>3 — Medio</t>
        </is>
      </c>
      <c r="R164" s="20" t="inlineStr">
        <is>
          <t>3 — Medio</t>
        </is>
      </c>
      <c r="S164" s="20" t="inlineStr">
        <is>
          <t>3 — Medio</t>
        </is>
      </c>
      <c r="T164" s="19">
        <f>MAX(IFERROR(VLOOKUP(Q164,MgValor,2,0),0),IFERROR(VLOOKUP(R164,MgValor,2,0),0),IFERROR(VLOOKUP(S164,MgValor,2,0),0))</f>
        <v/>
      </c>
      <c r="U164" s="19">
        <f>IFERROR(LOOKUP(T164,{0;1;2;3;4;5},{"Irrelevante";"Muy Bajo";"Bajo";"Medio";"Alto";"Muy Alto"}),"")</f>
        <v/>
      </c>
    </row>
    <row r="165" ht="30" customHeight="1" s="54">
      <c r="B165" s="59" t="inlineStr">
        <is>
          <t>TEC-057</t>
        </is>
      </c>
      <c r="C165" s="13" t="inlineStr">
        <is>
          <t>superset-with-postgresql-f0o8co0w…</t>
        </is>
      </c>
      <c r="D165" s="13" t="n"/>
      <c r="E165" s="20" t="inlineStr">
        <is>
          <t>[SW] Aplicaciones (software)</t>
        </is>
      </c>
      <c r="F165" s="20" t="inlineStr">
        <is>
          <t>[std] Estándar (off the shelf)</t>
        </is>
      </c>
      <c r="G165" s="21" t="inlineStr">
        <is>
          <t>Gestión Tecnológica</t>
        </is>
      </c>
      <c r="H165" s="21" t="inlineStr">
        <is>
          <t>Gestión Tecnológica</t>
        </is>
      </c>
      <c r="I165" s="21" t="n"/>
      <c r="J165" s="21" t="inlineStr">
        <is>
          <t>Nube</t>
        </is>
      </c>
      <c r="K165" s="21" t="inlineStr">
        <is>
          <t>Producción</t>
        </is>
      </c>
      <c r="L165" s="21" t="inlineStr">
        <is>
          <t>Por definir</t>
        </is>
      </c>
      <c r="M165" s="21" t="inlineStr">
        <is>
          <t>Por definir</t>
        </is>
      </c>
      <c r="N165" s="21" t="inlineStr">
        <is>
          <t>Por definir</t>
        </is>
      </c>
      <c r="O165" s="21" t="n"/>
      <c r="P165" s="21" t="n"/>
      <c r="Q165" s="20" t="inlineStr">
        <is>
          <t>2 — Bajo</t>
        </is>
      </c>
      <c r="R165" s="20" t="inlineStr">
        <is>
          <t>2 — Bajo</t>
        </is>
      </c>
      <c r="S165" s="20" t="inlineStr">
        <is>
          <t>2 — Bajo</t>
        </is>
      </c>
      <c r="T165" s="19">
        <f>MAX(IFERROR(VLOOKUP(Q165,MgValor,2,0),0),IFERROR(VLOOKUP(R165,MgValor,2,0),0),IFERROR(VLOOKUP(S165,MgValor,2,0),0))</f>
        <v/>
      </c>
      <c r="U165" s="19">
        <f>IFERROR(LOOKUP(T165,{0;1;2;3;4;5},{"Irrelevante";"Muy Bajo";"Bajo";"Medio";"Alto";"Muy Alto"}),"")</f>
        <v/>
      </c>
    </row>
    <row r="166" ht="30" customHeight="1" s="54">
      <c r="B166" s="59" t="inlineStr">
        <is>
          <t>TEC-011</t>
        </is>
      </c>
      <c r="C166" s="13" t="inlineStr">
        <is>
          <t>Portal-Clientes</t>
        </is>
      </c>
      <c r="D166" s="13" t="n"/>
      <c r="E166" s="20" t="inlineStr">
        <is>
          <t>[SW] Aplicaciones (software)</t>
        </is>
      </c>
      <c r="F166" s="20" t="inlineStr">
        <is>
          <t>[www] Servidor de presentación</t>
        </is>
      </c>
      <c r="G166" s="21" t="inlineStr">
        <is>
          <t>Gestión Tecnológica</t>
        </is>
      </c>
      <c r="H166" s="21" t="inlineStr">
        <is>
          <t>Gestión Tecnológica</t>
        </is>
      </c>
      <c r="I166" s="21" t="n"/>
      <c r="J166" s="21" t="inlineStr">
        <is>
          <t>Nube</t>
        </is>
      </c>
      <c r="K166" s="21" t="inlineStr">
        <is>
          <t>Producción</t>
        </is>
      </c>
      <c r="L166" s="21" t="inlineStr">
        <is>
          <t>Sí</t>
        </is>
      </c>
      <c r="M166" s="21" t="inlineStr">
        <is>
          <t>Por definir</t>
        </is>
      </c>
      <c r="N166" s="21" t="inlineStr">
        <is>
          <t>Sí</t>
        </is>
      </c>
      <c r="O166" s="21" t="n"/>
      <c r="P166" s="21" t="n"/>
      <c r="Q166" s="20" t="inlineStr">
        <is>
          <t>4 — Alto</t>
        </is>
      </c>
      <c r="R166" s="20" t="inlineStr">
        <is>
          <t>4 — Alto</t>
        </is>
      </c>
      <c r="S166" s="20" t="inlineStr">
        <is>
          <t>3 — Medio</t>
        </is>
      </c>
      <c r="T166" s="19">
        <f>MAX(IFERROR(VLOOKUP(Q166,MgValor,2,0),0),IFERROR(VLOOKUP(R166,MgValor,2,0),0),IFERROR(VLOOKUP(S166,MgValor,2,0),0))</f>
        <v/>
      </c>
      <c r="U166" s="19">
        <f>IFERROR(LOOKUP(T166,{0;1;2;3;4;5},{"Irrelevante";"Muy Bajo";"Bajo";"Medio";"Alto";"Muy Alto"}),"")</f>
        <v/>
      </c>
    </row>
    <row r="167" ht="30" customHeight="1" s="54">
      <c r="B167" s="59" t="inlineStr">
        <is>
          <t>TEC-074</t>
        </is>
      </c>
      <c r="C167" s="13" t="inlineStr">
        <is>
          <t>wordpress-qa-junta</t>
        </is>
      </c>
      <c r="D167" s="13" t="n"/>
      <c r="E167" s="20" t="inlineStr">
        <is>
          <t>[SW] Aplicaciones (software)</t>
        </is>
      </c>
      <c r="F167" s="20" t="inlineStr">
        <is>
          <t>[www] Servidor de presentación</t>
        </is>
      </c>
      <c r="G167" s="21" t="inlineStr">
        <is>
          <t>Gestión Tecnológica</t>
        </is>
      </c>
      <c r="H167" s="21" t="inlineStr">
        <is>
          <t>Gestión Tecnológica</t>
        </is>
      </c>
      <c r="I167" s="21" t="n"/>
      <c r="J167" s="21" t="inlineStr">
        <is>
          <t>Nube</t>
        </is>
      </c>
      <c r="K167" s="21" t="inlineStr">
        <is>
          <t>Producción</t>
        </is>
      </c>
      <c r="L167" s="21" t="inlineStr">
        <is>
          <t>Por definir</t>
        </is>
      </c>
      <c r="M167" s="21" t="inlineStr">
        <is>
          <t>Por definir</t>
        </is>
      </c>
      <c r="N167" s="21" t="inlineStr">
        <is>
          <t>Sí</t>
        </is>
      </c>
      <c r="O167" s="21" t="n"/>
      <c r="P167" s="21" t="n"/>
      <c r="Q167" s="20" t="inlineStr">
        <is>
          <t>3 — Medio</t>
        </is>
      </c>
      <c r="R167" s="20" t="inlineStr">
        <is>
          <t>3 — Medio</t>
        </is>
      </c>
      <c r="S167" s="20" t="inlineStr">
        <is>
          <t>3 — Medio</t>
        </is>
      </c>
      <c r="T167" s="19">
        <f>MAX(IFERROR(VLOOKUP(Q167,MgValor,2,0),0),IFERROR(VLOOKUP(R167,MgValor,2,0),0),IFERROR(VLOOKUP(S167,MgValor,2,0),0))</f>
        <v/>
      </c>
      <c r="U167" s="19">
        <f>IFERROR(LOOKUP(T167,{0;1;2;3;4;5},{"Irrelevante";"Muy Bajo";"Bajo";"Medio";"Alto";"Muy Alto"}),"")</f>
        <v/>
      </c>
    </row>
    <row r="168" ht="30" customHeight="1" s="54">
      <c r="B168" s="59" t="inlineStr">
        <is>
          <t>TEC-075</t>
        </is>
      </c>
      <c r="C168" s="13" t="inlineStr">
        <is>
          <t>wordpress-with-mysql-n0o08kw0004c…</t>
        </is>
      </c>
      <c r="D168" s="13" t="n"/>
      <c r="E168" s="20" t="inlineStr">
        <is>
          <t>[SW] Aplicaciones (software)</t>
        </is>
      </c>
      <c r="F168" s="20" t="inlineStr">
        <is>
          <t>[www] Servidor de presentación</t>
        </is>
      </c>
      <c r="G168" s="21" t="inlineStr">
        <is>
          <t>Gestión Tecnológica</t>
        </is>
      </c>
      <c r="H168" s="21" t="inlineStr">
        <is>
          <t>Gestión Tecnológica</t>
        </is>
      </c>
      <c r="I168" s="21" t="n"/>
      <c r="J168" s="21" t="inlineStr">
        <is>
          <t>Nube</t>
        </is>
      </c>
      <c r="K168" s="21" t="inlineStr">
        <is>
          <t>Producción</t>
        </is>
      </c>
      <c r="L168" s="21" t="inlineStr">
        <is>
          <t>Por definir</t>
        </is>
      </c>
      <c r="M168" s="21" t="inlineStr">
        <is>
          <t>Por definir</t>
        </is>
      </c>
      <c r="N168" s="21" t="inlineStr">
        <is>
          <t>Sí</t>
        </is>
      </c>
      <c r="O168" s="21" t="n"/>
      <c r="P168" s="21" t="n"/>
      <c r="Q168" s="20" t="inlineStr">
        <is>
          <t>3 — Medio</t>
        </is>
      </c>
      <c r="R168" s="20" t="inlineStr">
        <is>
          <t>3 — Medio</t>
        </is>
      </c>
      <c r="S168" s="20" t="inlineStr">
        <is>
          <t>3 — Medio</t>
        </is>
      </c>
      <c r="T168" s="19">
        <f>MAX(IFERROR(VLOOKUP(Q168,MgValor,2,0),0),IFERROR(VLOOKUP(R168,MgValor,2,0),0),IFERROR(VLOOKUP(S168,MgValor,2,0),0))</f>
        <v/>
      </c>
      <c r="U168" s="19">
        <f>IFERROR(LOOKUP(T168,{0;1;2;3;4;5},{"Irrelevante";"Muy Bajo";"Bajo";"Medio";"Alto";"Muy Alto"}),"")</f>
        <v/>
      </c>
    </row>
    <row r="169" ht="30" customHeight="1" s="54">
      <c r="B169" s="59" t="inlineStr">
        <is>
          <t>FIN-25</t>
        </is>
      </c>
      <c r="C169" s="13" t="inlineStr">
        <is>
          <t>Tokens/dispositivos de autorización bancaria</t>
        </is>
      </c>
      <c r="D169" s="13" t="inlineStr">
        <is>
          <t>Dispositivos y claves de autorización de transferencias</t>
        </is>
      </c>
      <c r="E169" s="20" t="inlineStr">
        <is>
          <t>[HW] Equipamiento informático (hardware)</t>
        </is>
      </c>
      <c r="F169" s="20" t="inlineStr">
        <is>
          <t>[crypto] Dispositivos criptográficos</t>
        </is>
      </c>
      <c r="G169" s="21" t="inlineStr">
        <is>
          <t>Gestión Financiera</t>
        </is>
      </c>
      <c r="H169" s="21" t="n"/>
      <c r="I169" s="21" t="n"/>
      <c r="J169" s="21" t="inlineStr">
        <is>
          <t>Física</t>
        </is>
      </c>
      <c r="K169" s="21" t="inlineStr">
        <is>
          <t>Producción</t>
        </is>
      </c>
      <c r="L169" s="21" t="inlineStr">
        <is>
          <t>Por definir</t>
        </is>
      </c>
      <c r="M169" s="21" t="inlineStr">
        <is>
          <t>Por definir</t>
        </is>
      </c>
      <c r="N169" s="21" t="inlineStr">
        <is>
          <t>Por definir</t>
        </is>
      </c>
      <c r="O169" s="21" t="n"/>
      <c r="P169" s="21" t="n"/>
      <c r="Q169" s="20" t="inlineStr">
        <is>
          <t>4 — Alto</t>
        </is>
      </c>
      <c r="R169" s="20" t="inlineStr">
        <is>
          <t>4 — Alto</t>
        </is>
      </c>
      <c r="S169" s="20" t="inlineStr">
        <is>
          <t>4 — Alto</t>
        </is>
      </c>
      <c r="T169" s="19">
        <f>MAX(IFERROR(VLOOKUP(Q169,MgValor,2,0),0),IFERROR(VLOOKUP(R169,MgValor,2,0),0),IFERROR(VLOOKUP(S169,MgValor,2,0),0))</f>
        <v/>
      </c>
      <c r="U169" s="19">
        <f>IFERROR(LOOKUP(T169,{0;1;2;3;4;5},{"Irrelevante";"Muy Bajo";"Bajo";"Medio";"Alto";"Muy Alto"}),"")</f>
        <v/>
      </c>
    </row>
    <row r="170" ht="30" customHeight="1" s="54">
      <c r="B170" s="59" t="inlineStr">
        <is>
          <t>TEC-004</t>
        </is>
      </c>
      <c r="C170" s="13" t="inlineStr">
        <is>
          <t>FW-CORE-01</t>
        </is>
      </c>
      <c r="D170" s="13" t="n"/>
      <c r="E170" s="20" t="inlineStr">
        <is>
          <t>[HW] Equipamiento informático (hardware)</t>
        </is>
      </c>
      <c r="F170" s="20" t="inlineStr">
        <is>
          <t>[firewall] Cortafuegos</t>
        </is>
      </c>
      <c r="G170" s="21" t="inlineStr">
        <is>
          <t>Gestión Tecnológica</t>
        </is>
      </c>
      <c r="H170" s="21" t="inlineStr">
        <is>
          <t>Gestión Tecnológica</t>
        </is>
      </c>
      <c r="I170" s="21" t="n"/>
      <c r="J170" s="21" t="inlineStr">
        <is>
          <t>Nube</t>
        </is>
      </c>
      <c r="K170" s="21" t="inlineStr">
        <is>
          <t>Producción</t>
        </is>
      </c>
      <c r="L170" s="21" t="inlineStr">
        <is>
          <t>Por definir</t>
        </is>
      </c>
      <c r="M170" s="21" t="inlineStr">
        <is>
          <t>Por definir</t>
        </is>
      </c>
      <c r="N170" s="21" t="inlineStr">
        <is>
          <t>Por definir</t>
        </is>
      </c>
      <c r="O170" s="21" t="n"/>
      <c r="P170" s="21" t="n"/>
      <c r="Q170" s="20" t="inlineStr">
        <is>
          <t>4 — Alto</t>
        </is>
      </c>
      <c r="R170" s="20" t="inlineStr">
        <is>
          <t>3 — Medio</t>
        </is>
      </c>
      <c r="S170" s="20" t="inlineStr">
        <is>
          <t>3 — Medio</t>
        </is>
      </c>
      <c r="T170" s="19">
        <f>MAX(IFERROR(VLOOKUP(Q170,MgValor,2,0),0),IFERROR(VLOOKUP(R170,MgValor,2,0),0),IFERROR(VLOOKUP(S170,MgValor,2,0),0))</f>
        <v/>
      </c>
      <c r="U170" s="19">
        <f>IFERROR(LOOKUP(T170,{0;1;2;3;4;5},{"Irrelevante";"Muy Bajo";"Bajo";"Medio";"Alto";"Muy Alto"}),"")</f>
        <v/>
      </c>
    </row>
    <row r="171" ht="30" customHeight="1" s="54">
      <c r="B171" s="59" t="inlineStr">
        <is>
          <t>TEC-015</t>
        </is>
      </c>
      <c r="C171" s="13" t="inlineStr">
        <is>
          <t>LAP-JT-001</t>
        </is>
      </c>
      <c r="D171" s="13" t="n"/>
      <c r="E171" s="20" t="inlineStr">
        <is>
          <t>[HW] Equipamiento informático (hardware)</t>
        </is>
      </c>
      <c r="F171" s="20" t="inlineStr">
        <is>
          <t>[pc] Informática personal</t>
        </is>
      </c>
      <c r="G171" s="21" t="inlineStr">
        <is>
          <t>Gestión Tecnológica</t>
        </is>
      </c>
      <c r="H171" s="21" t="inlineStr">
        <is>
          <t>Gestión Tecnológica</t>
        </is>
      </c>
      <c r="I171" s="21" t="n"/>
      <c r="J171" s="21" t="inlineStr">
        <is>
          <t>Nube</t>
        </is>
      </c>
      <c r="K171" s="21" t="inlineStr">
        <is>
          <t>Producción</t>
        </is>
      </c>
      <c r="L171" s="21" t="inlineStr">
        <is>
          <t>Por definir</t>
        </is>
      </c>
      <c r="M171" s="21" t="inlineStr">
        <is>
          <t>Por definir</t>
        </is>
      </c>
      <c r="N171" s="21" t="inlineStr">
        <is>
          <t>Por definir</t>
        </is>
      </c>
      <c r="O171" s="21" t="n"/>
      <c r="P171" s="21" t="n"/>
      <c r="Q171" s="20" t="inlineStr">
        <is>
          <t>2 — Bajo</t>
        </is>
      </c>
      <c r="R171" s="20" t="inlineStr">
        <is>
          <t>3 — Medio</t>
        </is>
      </c>
      <c r="S171" s="20" t="inlineStr">
        <is>
          <t>4 — Alto</t>
        </is>
      </c>
      <c r="T171" s="19">
        <f>MAX(IFERROR(VLOOKUP(Q171,MgValor,2,0),0),IFERROR(VLOOKUP(R171,MgValor,2,0),0),IFERROR(VLOOKUP(S171,MgValor,2,0),0))</f>
        <v/>
      </c>
      <c r="U171" s="19">
        <f>IFERROR(LOOKUP(T171,{0;1;2;3;4;5},{"Irrelevante";"Muy Bajo";"Bajo";"Medio";"Alto";"Muy Alto"}),"")</f>
        <v/>
      </c>
    </row>
    <row r="172" ht="30" customHeight="1" s="54">
      <c r="B172" s="59" t="inlineStr">
        <is>
          <t>TEC-007</t>
        </is>
      </c>
      <c r="C172" s="13" t="inlineStr">
        <is>
          <t>AWS-Prod</t>
        </is>
      </c>
      <c r="D172" s="13" t="n"/>
      <c r="E172" s="20" t="inlineStr">
        <is>
          <t>[HW] Equipamiento informático (hardware)</t>
        </is>
      </c>
      <c r="F172" s="20" t="inlineStr">
        <is>
          <t>[vhost] Equipo virtual</t>
        </is>
      </c>
      <c r="G172" s="21" t="inlineStr">
        <is>
          <t>Gestión Tecnológica</t>
        </is>
      </c>
      <c r="H172" s="21" t="inlineStr">
        <is>
          <t>Gestión Tecnológica</t>
        </is>
      </c>
      <c r="I172" s="21" t="n"/>
      <c r="J172" s="21" t="inlineStr">
        <is>
          <t>Nube</t>
        </is>
      </c>
      <c r="K172" s="21" t="inlineStr">
        <is>
          <t>Producción</t>
        </is>
      </c>
      <c r="L172" s="21" t="inlineStr">
        <is>
          <t>Por definir</t>
        </is>
      </c>
      <c r="M172" s="21" t="inlineStr">
        <is>
          <t>Por definir</t>
        </is>
      </c>
      <c r="N172" s="21" t="inlineStr">
        <is>
          <t>Por definir</t>
        </is>
      </c>
      <c r="O172" s="21" t="n"/>
      <c r="P172" s="21" t="n"/>
      <c r="Q172" s="20" t="inlineStr">
        <is>
          <t>4 — Alto</t>
        </is>
      </c>
      <c r="R172" s="20" t="inlineStr">
        <is>
          <t>4 — Alto</t>
        </is>
      </c>
      <c r="S172" s="20" t="inlineStr">
        <is>
          <t>4 — Alto</t>
        </is>
      </c>
      <c r="T172" s="19">
        <f>MAX(IFERROR(VLOOKUP(Q172,MgValor,2,0),0),IFERROR(VLOOKUP(R172,MgValor,2,0),0),IFERROR(VLOOKUP(S172,MgValor,2,0),0))</f>
        <v/>
      </c>
      <c r="U172" s="19">
        <f>IFERROR(LOOKUP(T172,{0;1;2;3;4;5},{"Irrelevante";"Muy Bajo";"Bajo";"Medio";"Alto";"Muy Alto"}),"")</f>
        <v/>
      </c>
    </row>
    <row r="173" ht="30" customHeight="1" s="54">
      <c r="B173" s="59" t="inlineStr">
        <is>
          <t>TEC-005</t>
        </is>
      </c>
      <c r="C173" s="13" t="inlineStr">
        <is>
          <t>SRV-DB-01</t>
        </is>
      </c>
      <c r="D173" s="13" t="n"/>
      <c r="E173" s="20" t="inlineStr">
        <is>
          <t>[HW] Equipamiento informático (hardware)</t>
        </is>
      </c>
      <c r="F173" s="20" t="inlineStr">
        <is>
          <t>[vhost] Equipo virtual</t>
        </is>
      </c>
      <c r="G173" s="21" t="inlineStr">
        <is>
          <t>Gestión Tecnológica</t>
        </is>
      </c>
      <c r="H173" s="21" t="inlineStr">
        <is>
          <t>Gestión Tecnológica</t>
        </is>
      </c>
      <c r="I173" s="21" t="n"/>
      <c r="J173" s="21" t="inlineStr">
        <is>
          <t>Nube</t>
        </is>
      </c>
      <c r="K173" s="21" t="inlineStr">
        <is>
          <t>Producción</t>
        </is>
      </c>
      <c r="L173" s="21" t="inlineStr">
        <is>
          <t>Por definir</t>
        </is>
      </c>
      <c r="M173" s="21" t="inlineStr">
        <is>
          <t>Por definir</t>
        </is>
      </c>
      <c r="N173" s="21" t="inlineStr">
        <is>
          <t>Por definir</t>
        </is>
      </c>
      <c r="O173" s="21" t="n"/>
      <c r="P173" s="21" t="n"/>
      <c r="Q173" s="20" t="inlineStr">
        <is>
          <t>4 — Alto</t>
        </is>
      </c>
      <c r="R173" s="20" t="inlineStr">
        <is>
          <t>4 — Alto</t>
        </is>
      </c>
      <c r="S173" s="20" t="inlineStr">
        <is>
          <t>4 — Alto</t>
        </is>
      </c>
      <c r="T173" s="19">
        <f>MAX(IFERROR(VLOOKUP(Q173,MgValor,2,0),0),IFERROR(VLOOKUP(R173,MgValor,2,0),0),IFERROR(VLOOKUP(S173,MgValor,2,0),0))</f>
        <v/>
      </c>
      <c r="U173" s="19">
        <f>IFERROR(LOOKUP(T173,{0;1;2;3;4;5},{"Irrelevante";"Muy Bajo";"Bajo";"Medio";"Alto";"Muy Alto"}),"")</f>
        <v/>
      </c>
    </row>
    <row r="174" ht="30" customHeight="1" s="54">
      <c r="B174" s="59" t="inlineStr">
        <is>
          <t>TEC-006</t>
        </is>
      </c>
      <c r="C174" s="13" t="inlineStr">
        <is>
          <t>SRV-PROD-01</t>
        </is>
      </c>
      <c r="D174" s="13" t="n"/>
      <c r="E174" s="20" t="inlineStr">
        <is>
          <t>[HW] Equipamiento informático (hardware)</t>
        </is>
      </c>
      <c r="F174" s="20" t="inlineStr">
        <is>
          <t>[vhost] Equipo virtual</t>
        </is>
      </c>
      <c r="G174" s="21" t="inlineStr">
        <is>
          <t>Gestión Tecnológica</t>
        </is>
      </c>
      <c r="H174" s="21" t="inlineStr">
        <is>
          <t>Gestión Tecnológica</t>
        </is>
      </c>
      <c r="I174" s="21" t="n"/>
      <c r="J174" s="21" t="inlineStr">
        <is>
          <t>Nube</t>
        </is>
      </c>
      <c r="K174" s="21" t="inlineStr">
        <is>
          <t>Producción</t>
        </is>
      </c>
      <c r="L174" s="21" t="inlineStr">
        <is>
          <t>Por definir</t>
        </is>
      </c>
      <c r="M174" s="21" t="inlineStr">
        <is>
          <t>Por definir</t>
        </is>
      </c>
      <c r="N174" s="21" t="inlineStr">
        <is>
          <t>Por definir</t>
        </is>
      </c>
      <c r="O174" s="21" t="n"/>
      <c r="P174" s="21" t="n"/>
      <c r="Q174" s="20" t="inlineStr">
        <is>
          <t>4 — Alto</t>
        </is>
      </c>
      <c r="R174" s="20" t="inlineStr">
        <is>
          <t>4 — Alto</t>
        </is>
      </c>
      <c r="S174" s="20" t="inlineStr">
        <is>
          <t>4 — Alto</t>
        </is>
      </c>
      <c r="T174" s="19">
        <f>MAX(IFERROR(VLOOKUP(Q174,MgValor,2,0),0),IFERROR(VLOOKUP(R174,MgValor,2,0),0),IFERROR(VLOOKUP(S174,MgValor,2,0),0))</f>
        <v/>
      </c>
      <c r="U174" s="19">
        <f>IFERROR(LOOKUP(T174,{0;1;2;3;4;5},{"Irrelevante";"Muy Bajo";"Bajo";"Medio";"Alto";"Muy Alto"}),"")</f>
        <v/>
      </c>
    </row>
    <row r="175" ht="30" customHeight="1" s="54">
      <c r="B175" s="59" t="inlineStr">
        <is>
          <t>TEC-030</t>
        </is>
      </c>
      <c r="C175" s="13" t="inlineStr">
        <is>
          <t>localhost</t>
        </is>
      </c>
      <c r="D175" s="13" t="n"/>
      <c r="E175" s="20" t="inlineStr">
        <is>
          <t>[HW] Equipamiento informático (hardware)</t>
        </is>
      </c>
      <c r="F175" s="20" t="inlineStr">
        <is>
          <t>[vhost] Equipo virtual</t>
        </is>
      </c>
      <c r="G175" s="21" t="inlineStr">
        <is>
          <t>Gestión Tecnológica</t>
        </is>
      </c>
      <c r="H175" s="21" t="inlineStr">
        <is>
          <t>Gestión Tecnológica</t>
        </is>
      </c>
      <c r="I175" s="21" t="n"/>
      <c r="J175" s="21" t="inlineStr">
        <is>
          <t>Nube</t>
        </is>
      </c>
      <c r="K175" s="21" t="inlineStr">
        <is>
          <t>Producción</t>
        </is>
      </c>
      <c r="L175" s="21" t="inlineStr">
        <is>
          <t>Por definir</t>
        </is>
      </c>
      <c r="M175" s="21" t="inlineStr">
        <is>
          <t>Por definir</t>
        </is>
      </c>
      <c r="N175" s="21" t="inlineStr">
        <is>
          <t>Por definir</t>
        </is>
      </c>
      <c r="O175" s="21" t="n"/>
      <c r="P175" s="21" t="n"/>
      <c r="Q175" s="20" t="inlineStr">
        <is>
          <t>2 — Bajo</t>
        </is>
      </c>
      <c r="R175" s="20" t="inlineStr">
        <is>
          <t>2 — Bajo</t>
        </is>
      </c>
      <c r="S175" s="20" t="inlineStr">
        <is>
          <t>2 — Bajo</t>
        </is>
      </c>
      <c r="T175" s="19">
        <f>MAX(IFERROR(VLOOKUP(Q175,MgValor,2,0),0),IFERROR(VLOOKUP(R175,MgValor,2,0),0),IFERROR(VLOOKUP(S175,MgValor,2,0),0))</f>
        <v/>
      </c>
      <c r="U175" s="19">
        <f>IFERROR(LOOKUP(T175,{0;1;2;3;4;5},{"Irrelevante";"Muy Bajo";"Bajo";"Medio";"Alto";"Muy Alto"}),"")</f>
        <v/>
      </c>
    </row>
    <row r="176" ht="30" customHeight="1" s="54">
      <c r="B176" s="59" t="inlineStr">
        <is>
          <t>TEC-043</t>
        </is>
      </c>
      <c r="C176" s="13" t="inlineStr">
        <is>
          <t>srv-cuantaia-front</t>
        </is>
      </c>
      <c r="D176" s="13" t="n"/>
      <c r="E176" s="20" t="inlineStr">
        <is>
          <t>[HW] Equipamiento informático (hardware)</t>
        </is>
      </c>
      <c r="F176" s="20" t="inlineStr">
        <is>
          <t>[vhost] Equipo virtual</t>
        </is>
      </c>
      <c r="G176" s="21" t="inlineStr">
        <is>
          <t>Gestión Tecnológica</t>
        </is>
      </c>
      <c r="H176" s="21" t="inlineStr">
        <is>
          <t>Gestión Tecnológica</t>
        </is>
      </c>
      <c r="I176" s="21" t="n"/>
      <c r="J176" s="21" t="inlineStr">
        <is>
          <t>Nube</t>
        </is>
      </c>
      <c r="K176" s="21" t="inlineStr">
        <is>
          <t>Producción</t>
        </is>
      </c>
      <c r="L176" s="21" t="inlineStr">
        <is>
          <t>Por definir</t>
        </is>
      </c>
      <c r="M176" s="21" t="inlineStr">
        <is>
          <t>Por definir</t>
        </is>
      </c>
      <c r="N176" s="21" t="inlineStr">
        <is>
          <t>Por definir</t>
        </is>
      </c>
      <c r="O176" s="21" t="n"/>
      <c r="P176" s="21" t="n"/>
      <c r="Q176" s="20" t="inlineStr">
        <is>
          <t>3 — Medio</t>
        </is>
      </c>
      <c r="R176" s="20" t="inlineStr">
        <is>
          <t>3 — Medio</t>
        </is>
      </c>
      <c r="S176" s="20" t="inlineStr">
        <is>
          <t>3 — Medio</t>
        </is>
      </c>
      <c r="T176" s="19">
        <f>MAX(IFERROR(VLOOKUP(Q176,MgValor,2,0),0),IFERROR(VLOOKUP(R176,MgValor,2,0),0),IFERROR(VLOOKUP(S176,MgValor,2,0),0))</f>
        <v/>
      </c>
      <c r="U176" s="19">
        <f>IFERROR(LOOKUP(T176,{0;1;2;3;4;5},{"Irrelevante";"Muy Bajo";"Bajo";"Medio";"Alto";"Muy Alto"}),"")</f>
        <v/>
      </c>
    </row>
    <row r="177" ht="30" customHeight="1" s="54">
      <c r="B177" s="59" t="inlineStr">
        <is>
          <t>TEC-044</t>
        </is>
      </c>
      <c r="C177" s="13" t="inlineStr">
        <is>
          <t>srv-cuantaia-front</t>
        </is>
      </c>
      <c r="D177" s="13" t="n"/>
      <c r="E177" s="20" t="inlineStr">
        <is>
          <t>[HW] Equipamiento informático (hardware)</t>
        </is>
      </c>
      <c r="F177" s="20" t="inlineStr">
        <is>
          <t>[vhost] Equipo virtual</t>
        </is>
      </c>
      <c r="G177" s="21" t="inlineStr">
        <is>
          <t>Gestión Tecnológica</t>
        </is>
      </c>
      <c r="H177" s="21" t="inlineStr">
        <is>
          <t>Gestión Tecnológica</t>
        </is>
      </c>
      <c r="I177" s="21" t="n"/>
      <c r="J177" s="21" t="inlineStr">
        <is>
          <t>Nube</t>
        </is>
      </c>
      <c r="K177" s="21" t="inlineStr">
        <is>
          <t>Producción</t>
        </is>
      </c>
      <c r="L177" s="21" t="inlineStr">
        <is>
          <t>Por definir</t>
        </is>
      </c>
      <c r="M177" s="21" t="inlineStr">
        <is>
          <t>Por definir</t>
        </is>
      </c>
      <c r="N177" s="21" t="inlineStr">
        <is>
          <t>Por definir</t>
        </is>
      </c>
      <c r="O177" s="21" t="n"/>
      <c r="P177" s="21" t="n"/>
      <c r="Q177" s="20" t="inlineStr">
        <is>
          <t>2 — Bajo</t>
        </is>
      </c>
      <c r="R177" s="20" t="inlineStr">
        <is>
          <t>2 — Bajo</t>
        </is>
      </c>
      <c r="S177" s="20" t="inlineStr">
        <is>
          <t>2 — Bajo</t>
        </is>
      </c>
      <c r="T177" s="19">
        <f>MAX(IFERROR(VLOOKUP(Q177,MgValor,2,0),0),IFERROR(VLOOKUP(R177,MgValor,2,0),0),IFERROR(VLOOKUP(S177,MgValor,2,0),0))</f>
        <v/>
      </c>
      <c r="U177" s="19">
        <f>IFERROR(LOOKUP(T177,{0;1;2;3;4;5},{"Irrelevante";"Muy Bajo";"Bajo";"Medio";"Alto";"Muy Alto"}),"")</f>
        <v/>
      </c>
    </row>
    <row r="178" ht="30" customHeight="1" s="54">
      <c r="B178" s="59" t="inlineStr">
        <is>
          <t>TEC-045</t>
        </is>
      </c>
      <c r="C178" s="13" t="inlineStr">
        <is>
          <t>srv-cuantico-bots-n8n-a</t>
        </is>
      </c>
      <c r="D178" s="13" t="n"/>
      <c r="E178" s="20" t="inlineStr">
        <is>
          <t>[HW] Equipamiento informático (hardware)</t>
        </is>
      </c>
      <c r="F178" s="20" t="inlineStr">
        <is>
          <t>[vhost] Equipo virtual</t>
        </is>
      </c>
      <c r="G178" s="21" t="inlineStr">
        <is>
          <t>Gestión Tecnológica</t>
        </is>
      </c>
      <c r="H178" s="21" t="inlineStr">
        <is>
          <t>Gestión Tecnológica</t>
        </is>
      </c>
      <c r="I178" s="21" t="n"/>
      <c r="J178" s="21" t="inlineStr">
        <is>
          <t>Nube</t>
        </is>
      </c>
      <c r="K178" s="21" t="inlineStr">
        <is>
          <t>Producción</t>
        </is>
      </c>
      <c r="L178" s="21" t="inlineStr">
        <is>
          <t>Por definir</t>
        </is>
      </c>
      <c r="M178" s="21" t="inlineStr">
        <is>
          <t>Por definir</t>
        </is>
      </c>
      <c r="N178" s="21" t="inlineStr">
        <is>
          <t>Por definir</t>
        </is>
      </c>
      <c r="O178" s="21" t="n"/>
      <c r="P178" s="21" t="n"/>
      <c r="Q178" s="20" t="inlineStr">
        <is>
          <t>2 — Bajo</t>
        </is>
      </c>
      <c r="R178" s="20" t="inlineStr">
        <is>
          <t>2 — Bajo</t>
        </is>
      </c>
      <c r="S178" s="20" t="inlineStr">
        <is>
          <t>2 — Bajo</t>
        </is>
      </c>
      <c r="T178" s="19">
        <f>MAX(IFERROR(VLOOKUP(Q178,MgValor,2,0),0),IFERROR(VLOOKUP(R178,MgValor,2,0),0),IFERROR(VLOOKUP(S178,MgValor,2,0),0))</f>
        <v/>
      </c>
      <c r="U178" s="19">
        <f>IFERROR(LOOKUP(T178,{0;1;2;3;4;5},{"Irrelevante";"Muy Bajo";"Bajo";"Medio";"Alto";"Muy Alto"}),"")</f>
        <v/>
      </c>
    </row>
    <row r="179" ht="30" customHeight="1" s="54">
      <c r="B179" s="59" t="inlineStr">
        <is>
          <t>TEC-046</t>
        </is>
      </c>
      <c r="C179" s="13" t="inlineStr">
        <is>
          <t>srv-cuantico-bots-n8n-a</t>
        </is>
      </c>
      <c r="D179" s="13" t="n"/>
      <c r="E179" s="20" t="inlineStr">
        <is>
          <t>[HW] Equipamiento informático (hardware)</t>
        </is>
      </c>
      <c r="F179" s="20" t="inlineStr">
        <is>
          <t>[vhost] Equipo virtual</t>
        </is>
      </c>
      <c r="G179" s="21" t="inlineStr">
        <is>
          <t>Gestión Tecnológica</t>
        </is>
      </c>
      <c r="H179" s="21" t="inlineStr">
        <is>
          <t>Gestión Tecnológica</t>
        </is>
      </c>
      <c r="I179" s="21" t="n"/>
      <c r="J179" s="21" t="inlineStr">
        <is>
          <t>Nube</t>
        </is>
      </c>
      <c r="K179" s="21" t="inlineStr">
        <is>
          <t>Producción</t>
        </is>
      </c>
      <c r="L179" s="21" t="inlineStr">
        <is>
          <t>Por definir</t>
        </is>
      </c>
      <c r="M179" s="21" t="inlineStr">
        <is>
          <t>Por definir</t>
        </is>
      </c>
      <c r="N179" s="21" t="inlineStr">
        <is>
          <t>Por definir</t>
        </is>
      </c>
      <c r="O179" s="21" t="n"/>
      <c r="P179" s="21" t="n"/>
      <c r="Q179" s="20" t="inlineStr">
        <is>
          <t>2 — Bajo</t>
        </is>
      </c>
      <c r="R179" s="20" t="inlineStr">
        <is>
          <t>2 — Bajo</t>
        </is>
      </c>
      <c r="S179" s="20" t="inlineStr">
        <is>
          <t>2 — Bajo</t>
        </is>
      </c>
      <c r="T179" s="19">
        <f>MAX(IFERROR(VLOOKUP(Q179,MgValor,2,0),0),IFERROR(VLOOKUP(R179,MgValor,2,0),0),IFERROR(VLOOKUP(S179,MgValor,2,0),0))</f>
        <v/>
      </c>
      <c r="U179" s="19">
        <f>IFERROR(LOOKUP(T179,{0;1;2;3;4;5},{"Irrelevante";"Muy Bajo";"Bajo";"Medio";"Alto";"Muy Alto"}),"")</f>
        <v/>
      </c>
    </row>
    <row r="180" ht="30" customHeight="1" s="54">
      <c r="B180" s="59" t="inlineStr">
        <is>
          <t>TEC-047</t>
        </is>
      </c>
      <c r="C180" s="13" t="inlineStr">
        <is>
          <t>srv-cuantico-stack</t>
        </is>
      </c>
      <c r="D180" s="13" t="n"/>
      <c r="E180" s="20" t="inlineStr">
        <is>
          <t>[HW] Equipamiento informático (hardware)</t>
        </is>
      </c>
      <c r="F180" s="20" t="inlineStr">
        <is>
          <t>[vhost] Equipo virtual</t>
        </is>
      </c>
      <c r="G180" s="21" t="inlineStr">
        <is>
          <t>Gestión Tecnológica</t>
        </is>
      </c>
      <c r="H180" s="21" t="inlineStr">
        <is>
          <t>Gestión Tecnológica</t>
        </is>
      </c>
      <c r="I180" s="21" t="n"/>
      <c r="J180" s="21" t="inlineStr">
        <is>
          <t>Nube</t>
        </is>
      </c>
      <c r="K180" s="21" t="inlineStr">
        <is>
          <t>Producción</t>
        </is>
      </c>
      <c r="L180" s="21" t="inlineStr">
        <is>
          <t>Por definir</t>
        </is>
      </c>
      <c r="M180" s="21" t="inlineStr">
        <is>
          <t>Por definir</t>
        </is>
      </c>
      <c r="N180" s="21" t="inlineStr">
        <is>
          <t>Por definir</t>
        </is>
      </c>
      <c r="O180" s="21" t="n"/>
      <c r="P180" s="21" t="n"/>
      <c r="Q180" s="20" t="inlineStr">
        <is>
          <t>2 — Bajo</t>
        </is>
      </c>
      <c r="R180" s="20" t="inlineStr">
        <is>
          <t>2 — Bajo</t>
        </is>
      </c>
      <c r="S180" s="20" t="inlineStr">
        <is>
          <t>2 — Bajo</t>
        </is>
      </c>
      <c r="T180" s="19">
        <f>MAX(IFERROR(VLOOKUP(Q180,MgValor,2,0),0),IFERROR(VLOOKUP(R180,MgValor,2,0),0),IFERROR(VLOOKUP(S180,MgValor,2,0),0))</f>
        <v/>
      </c>
      <c r="U180" s="19">
        <f>IFERROR(LOOKUP(T180,{0;1;2;3;4;5},{"Irrelevante";"Muy Bajo";"Bajo";"Medio";"Alto";"Muy Alto"}),"")</f>
        <v/>
      </c>
    </row>
    <row r="181" ht="30" customHeight="1" s="54">
      <c r="B181" s="59" t="inlineStr">
        <is>
          <t>TEC-048</t>
        </is>
      </c>
      <c r="C181" s="13" t="inlineStr">
        <is>
          <t>srv-cuantico-stack</t>
        </is>
      </c>
      <c r="D181" s="13" t="n"/>
      <c r="E181" s="20" t="inlineStr">
        <is>
          <t>[HW] Equipamiento informático (hardware)</t>
        </is>
      </c>
      <c r="F181" s="20" t="inlineStr">
        <is>
          <t>[vhost] Equipo virtual</t>
        </is>
      </c>
      <c r="G181" s="21" t="inlineStr">
        <is>
          <t>Gestión Tecnológica</t>
        </is>
      </c>
      <c r="H181" s="21" t="inlineStr">
        <is>
          <t>Gestión Tecnológica</t>
        </is>
      </c>
      <c r="I181" s="21" t="n"/>
      <c r="J181" s="21" t="inlineStr">
        <is>
          <t>Nube</t>
        </is>
      </c>
      <c r="K181" s="21" t="inlineStr">
        <is>
          <t>Producción</t>
        </is>
      </c>
      <c r="L181" s="21" t="inlineStr">
        <is>
          <t>Por definir</t>
        </is>
      </c>
      <c r="M181" s="21" t="inlineStr">
        <is>
          <t>Por definir</t>
        </is>
      </c>
      <c r="N181" s="21" t="inlineStr">
        <is>
          <t>Por definir</t>
        </is>
      </c>
      <c r="O181" s="21" t="n"/>
      <c r="P181" s="21" t="n"/>
      <c r="Q181" s="20" t="inlineStr">
        <is>
          <t>2 — Bajo</t>
        </is>
      </c>
      <c r="R181" s="20" t="inlineStr">
        <is>
          <t>2 — Bajo</t>
        </is>
      </c>
      <c r="S181" s="20" t="inlineStr">
        <is>
          <t>2 — Bajo</t>
        </is>
      </c>
      <c r="T181" s="19">
        <f>MAX(IFERROR(VLOOKUP(Q181,MgValor,2,0),0),IFERROR(VLOOKUP(R181,MgValor,2,0),0),IFERROR(VLOOKUP(S181,MgValor,2,0),0))</f>
        <v/>
      </c>
      <c r="U181" s="19">
        <f>IFERROR(LOOKUP(T181,{0;1;2;3;4;5},{"Irrelevante";"Muy Bajo";"Bajo";"Medio";"Alto";"Muy Alto"}),"")</f>
        <v/>
      </c>
    </row>
    <row r="182" ht="30" customHeight="1" s="54">
      <c r="B182" s="59" t="inlineStr">
        <is>
          <t>TEC-049</t>
        </is>
      </c>
      <c r="C182" s="13" t="inlineStr">
        <is>
          <t>srv-mintrace-prod-master-n</t>
        </is>
      </c>
      <c r="D182" s="13" t="n"/>
      <c r="E182" s="20" t="inlineStr">
        <is>
          <t>[HW] Equipamiento informático (hardware)</t>
        </is>
      </c>
      <c r="F182" s="20" t="inlineStr">
        <is>
          <t>[vhost] Equipo virtual</t>
        </is>
      </c>
      <c r="G182" s="21" t="inlineStr">
        <is>
          <t>Gestión Tecnológica</t>
        </is>
      </c>
      <c r="H182" s="21" t="inlineStr">
        <is>
          <t>Gestión Tecnológica</t>
        </is>
      </c>
      <c r="I182" s="21" t="n"/>
      <c r="J182" s="21" t="inlineStr">
        <is>
          <t>Nube</t>
        </is>
      </c>
      <c r="K182" s="21" t="inlineStr">
        <is>
          <t>Producción</t>
        </is>
      </c>
      <c r="L182" s="21" t="inlineStr">
        <is>
          <t>Sí</t>
        </is>
      </c>
      <c r="M182" s="21" t="inlineStr">
        <is>
          <t>Por definir</t>
        </is>
      </c>
      <c r="N182" s="21" t="inlineStr">
        <is>
          <t>Por definir</t>
        </is>
      </c>
      <c r="O182" s="21" t="n"/>
      <c r="P182" s="21" t="n"/>
      <c r="Q182" s="20" t="inlineStr">
        <is>
          <t>2 — Bajo</t>
        </is>
      </c>
      <c r="R182" s="20" t="inlineStr">
        <is>
          <t>2 — Bajo</t>
        </is>
      </c>
      <c r="S182" s="20" t="inlineStr">
        <is>
          <t>2 — Bajo</t>
        </is>
      </c>
      <c r="T182" s="19">
        <f>MAX(IFERROR(VLOOKUP(Q182,MgValor,2,0),0),IFERROR(VLOOKUP(R182,MgValor,2,0),0),IFERROR(VLOOKUP(S182,MgValor,2,0),0))</f>
        <v/>
      </c>
      <c r="U182" s="19">
        <f>IFERROR(LOOKUP(T182,{0;1;2;3;4;5},{"Irrelevante";"Muy Bajo";"Bajo";"Medio";"Alto";"Muy Alto"}),"")</f>
        <v/>
      </c>
    </row>
    <row r="183" ht="30" customHeight="1" s="54">
      <c r="B183" s="59" t="inlineStr">
        <is>
          <t>TEC-050</t>
        </is>
      </c>
      <c r="C183" s="13" t="inlineStr">
        <is>
          <t>srv-mintrace-prod-master-n</t>
        </is>
      </c>
      <c r="D183" s="13" t="n"/>
      <c r="E183" s="20" t="inlineStr">
        <is>
          <t>[HW] Equipamiento informático (hardware)</t>
        </is>
      </c>
      <c r="F183" s="20" t="inlineStr">
        <is>
          <t>[vhost] Equipo virtual</t>
        </is>
      </c>
      <c r="G183" s="21" t="inlineStr">
        <is>
          <t>Gestión Tecnológica</t>
        </is>
      </c>
      <c r="H183" s="21" t="inlineStr">
        <is>
          <t>Gestión Tecnológica</t>
        </is>
      </c>
      <c r="I183" s="21" t="n"/>
      <c r="J183" s="21" t="inlineStr">
        <is>
          <t>Nube</t>
        </is>
      </c>
      <c r="K183" s="21" t="inlineStr">
        <is>
          <t>Producción</t>
        </is>
      </c>
      <c r="L183" s="21" t="inlineStr">
        <is>
          <t>Sí</t>
        </is>
      </c>
      <c r="M183" s="21" t="inlineStr">
        <is>
          <t>Por definir</t>
        </is>
      </c>
      <c r="N183" s="21" t="inlineStr">
        <is>
          <t>Por definir</t>
        </is>
      </c>
      <c r="O183" s="21" t="n"/>
      <c r="P183" s="21" t="n"/>
      <c r="Q183" s="20" t="inlineStr">
        <is>
          <t>2 — Bajo</t>
        </is>
      </c>
      <c r="R183" s="20" t="inlineStr">
        <is>
          <t>2 — Bajo</t>
        </is>
      </c>
      <c r="S183" s="20" t="inlineStr">
        <is>
          <t>2 — Bajo</t>
        </is>
      </c>
      <c r="T183" s="19">
        <f>MAX(IFERROR(VLOOKUP(Q183,MgValor,2,0),0),IFERROR(VLOOKUP(R183,MgValor,2,0),0),IFERROR(VLOOKUP(S183,MgValor,2,0),0))</f>
        <v/>
      </c>
      <c r="U183" s="19">
        <f>IFERROR(LOOKUP(T183,{0;1;2;3;4;5},{"Irrelevante";"Muy Bajo";"Bajo";"Medio";"Alto";"Muy Alto"}),"")</f>
        <v/>
      </c>
    </row>
    <row r="184" ht="30" customHeight="1" s="54">
      <c r="B184" s="59" t="inlineStr">
        <is>
          <t>TEC-051</t>
        </is>
      </c>
      <c r="C184" s="13" t="inlineStr">
        <is>
          <t>srv-ottm-db-cluster</t>
        </is>
      </c>
      <c r="D184" s="13" t="n"/>
      <c r="E184" s="20" t="inlineStr">
        <is>
          <t>[HW] Equipamiento informático (hardware)</t>
        </is>
      </c>
      <c r="F184" s="20" t="inlineStr">
        <is>
          <t>[vhost] Equipo virtual</t>
        </is>
      </c>
      <c r="G184" s="21" t="inlineStr">
        <is>
          <t>Gestión Tecnológica</t>
        </is>
      </c>
      <c r="H184" s="21" t="inlineStr">
        <is>
          <t>Gestión Tecnológica</t>
        </is>
      </c>
      <c r="I184" s="21" t="n"/>
      <c r="J184" s="21" t="inlineStr">
        <is>
          <t>Nube</t>
        </is>
      </c>
      <c r="K184" s="21" t="inlineStr">
        <is>
          <t>Producción</t>
        </is>
      </c>
      <c r="L184" s="21" t="inlineStr">
        <is>
          <t>Por definir</t>
        </is>
      </c>
      <c r="M184" s="21" t="inlineStr">
        <is>
          <t>Por definir</t>
        </is>
      </c>
      <c r="N184" s="21" t="inlineStr">
        <is>
          <t>Por definir</t>
        </is>
      </c>
      <c r="O184" s="21" t="n"/>
      <c r="P184" s="21" t="n"/>
      <c r="Q184" s="20" t="inlineStr">
        <is>
          <t>2 — Bajo</t>
        </is>
      </c>
      <c r="R184" s="20" t="inlineStr">
        <is>
          <t>2 — Bajo</t>
        </is>
      </c>
      <c r="S184" s="20" t="inlineStr">
        <is>
          <t>2 — Bajo</t>
        </is>
      </c>
      <c r="T184" s="19">
        <f>MAX(IFERROR(VLOOKUP(Q184,MgValor,2,0),0),IFERROR(VLOOKUP(R184,MgValor,2,0),0),IFERROR(VLOOKUP(S184,MgValor,2,0),0))</f>
        <v/>
      </c>
      <c r="U184" s="19">
        <f>IFERROR(LOOKUP(T184,{0;1;2;3;4;5},{"Irrelevante";"Muy Bajo";"Bajo";"Medio";"Alto";"Muy Alto"}),"")</f>
        <v/>
      </c>
    </row>
    <row r="185" ht="30" customHeight="1" s="54">
      <c r="B185" s="59" t="inlineStr">
        <is>
          <t>TEC-052</t>
        </is>
      </c>
      <c r="C185" s="13" t="inlineStr">
        <is>
          <t>srv-ottm-db-cluster</t>
        </is>
      </c>
      <c r="D185" s="13" t="n"/>
      <c r="E185" s="20" t="inlineStr">
        <is>
          <t>[HW] Equipamiento informático (hardware)</t>
        </is>
      </c>
      <c r="F185" s="20" t="inlineStr">
        <is>
          <t>[vhost] Equipo virtual</t>
        </is>
      </c>
      <c r="G185" s="21" t="inlineStr">
        <is>
          <t>Gestión Tecnológica</t>
        </is>
      </c>
      <c r="H185" s="21" t="inlineStr">
        <is>
          <t>Gestión Tecnológica</t>
        </is>
      </c>
      <c r="I185" s="21" t="n"/>
      <c r="J185" s="21" t="inlineStr">
        <is>
          <t>Nube</t>
        </is>
      </c>
      <c r="K185" s="21" t="inlineStr">
        <is>
          <t>Producción</t>
        </is>
      </c>
      <c r="L185" s="21" t="inlineStr">
        <is>
          <t>Por definir</t>
        </is>
      </c>
      <c r="M185" s="21" t="inlineStr">
        <is>
          <t>Por definir</t>
        </is>
      </c>
      <c r="N185" s="21" t="inlineStr">
        <is>
          <t>Por definir</t>
        </is>
      </c>
      <c r="O185" s="21" t="n"/>
      <c r="P185" s="21" t="n"/>
      <c r="Q185" s="20" t="inlineStr">
        <is>
          <t>2 — Bajo</t>
        </is>
      </c>
      <c r="R185" s="20" t="inlineStr">
        <is>
          <t>2 — Bajo</t>
        </is>
      </c>
      <c r="S185" s="20" t="inlineStr">
        <is>
          <t>2 — Bajo</t>
        </is>
      </c>
      <c r="T185" s="19">
        <f>MAX(IFERROR(VLOOKUP(Q185,MgValor,2,0),0),IFERROR(VLOOKUP(R185,MgValor,2,0),0),IFERROR(VLOOKUP(S185,MgValor,2,0),0))</f>
        <v/>
      </c>
      <c r="U185" s="19">
        <f>IFERROR(LOOKUP(T185,{0;1;2;3;4;5},{"Irrelevante";"Muy Bajo";"Bajo";"Medio";"Alto";"Muy Alto"}),"")</f>
        <v/>
      </c>
    </row>
    <row r="186" ht="30" customHeight="1" s="54">
      <c r="B186" s="59" t="inlineStr">
        <is>
          <t>TEC-053</t>
        </is>
      </c>
      <c r="C186" s="13" t="inlineStr">
        <is>
          <t>srv-sicov-matcher-facial</t>
        </is>
      </c>
      <c r="D186" s="13" t="n"/>
      <c r="E186" s="20" t="inlineStr">
        <is>
          <t>[HW] Equipamiento informático (hardware)</t>
        </is>
      </c>
      <c r="F186" s="20" t="inlineStr">
        <is>
          <t>[vhost] Equipo virtual</t>
        </is>
      </c>
      <c r="G186" s="21" t="inlineStr">
        <is>
          <t>Gestión Tecnológica</t>
        </is>
      </c>
      <c r="H186" s="21" t="inlineStr">
        <is>
          <t>Gestión Tecnológica</t>
        </is>
      </c>
      <c r="I186" s="21" t="n"/>
      <c r="J186" s="21" t="inlineStr">
        <is>
          <t>Nube</t>
        </is>
      </c>
      <c r="K186" s="21" t="inlineStr">
        <is>
          <t>Producción</t>
        </is>
      </c>
      <c r="L186" s="21" t="inlineStr">
        <is>
          <t>Por definir</t>
        </is>
      </c>
      <c r="M186" s="21" t="inlineStr">
        <is>
          <t>Por definir</t>
        </is>
      </c>
      <c r="N186" s="21" t="inlineStr">
        <is>
          <t>Por definir</t>
        </is>
      </c>
      <c r="O186" s="21" t="n"/>
      <c r="P186" s="21" t="n"/>
      <c r="Q186" s="20" t="inlineStr">
        <is>
          <t>2 — Bajo</t>
        </is>
      </c>
      <c r="R186" s="20" t="inlineStr">
        <is>
          <t>2 — Bajo</t>
        </is>
      </c>
      <c r="S186" s="20" t="inlineStr">
        <is>
          <t>2 — Bajo</t>
        </is>
      </c>
      <c r="T186" s="19">
        <f>MAX(IFERROR(VLOOKUP(Q186,MgValor,2,0),0),IFERROR(VLOOKUP(R186,MgValor,2,0),0),IFERROR(VLOOKUP(S186,MgValor,2,0),0))</f>
        <v/>
      </c>
      <c r="U186" s="19">
        <f>IFERROR(LOOKUP(T186,{0;1;2;3;4;5},{"Irrelevante";"Muy Bajo";"Bajo";"Medio";"Alto";"Muy Alto"}),"")</f>
        <v/>
      </c>
    </row>
    <row r="187" ht="30" customHeight="1" s="54">
      <c r="B187" s="59" t="inlineStr">
        <is>
          <t>TEC-054</t>
        </is>
      </c>
      <c r="C187" s="13" t="inlineStr">
        <is>
          <t>srv-sicov-matcher-facial</t>
        </is>
      </c>
      <c r="D187" s="13" t="n"/>
      <c r="E187" s="20" t="inlineStr">
        <is>
          <t>[HW] Equipamiento informático (hardware)</t>
        </is>
      </c>
      <c r="F187" s="20" t="inlineStr">
        <is>
          <t>[vhost] Equipo virtual</t>
        </is>
      </c>
      <c r="G187" s="21" t="inlineStr">
        <is>
          <t>Gestión Tecnológica</t>
        </is>
      </c>
      <c r="H187" s="21" t="inlineStr">
        <is>
          <t>Gestión Tecnológica</t>
        </is>
      </c>
      <c r="I187" s="21" t="n"/>
      <c r="J187" s="21" t="inlineStr">
        <is>
          <t>Nube</t>
        </is>
      </c>
      <c r="K187" s="21" t="inlineStr">
        <is>
          <t>Producción</t>
        </is>
      </c>
      <c r="L187" s="21" t="inlineStr">
        <is>
          <t>Por definir</t>
        </is>
      </c>
      <c r="M187" s="21" t="inlineStr">
        <is>
          <t>Por definir</t>
        </is>
      </c>
      <c r="N187" s="21" t="inlineStr">
        <is>
          <t>Por definir</t>
        </is>
      </c>
      <c r="O187" s="21" t="n"/>
      <c r="P187" s="21" t="n"/>
      <c r="Q187" s="20" t="inlineStr">
        <is>
          <t>2 — Bajo</t>
        </is>
      </c>
      <c r="R187" s="20" t="inlineStr">
        <is>
          <t>2 — Bajo</t>
        </is>
      </c>
      <c r="S187" s="20" t="inlineStr">
        <is>
          <t>2 — Bajo</t>
        </is>
      </c>
      <c r="T187" s="19">
        <f>MAX(IFERROR(VLOOKUP(Q187,MgValor,2,0),0),IFERROR(VLOOKUP(R187,MgValor,2,0),0),IFERROR(VLOOKUP(S187,MgValor,2,0),0))</f>
        <v/>
      </c>
      <c r="U187" s="19">
        <f>IFERROR(LOOKUP(T187,{0;1;2;3;4;5},{"Irrelevante";"Muy Bajo";"Bajo";"Medio";"Alto";"Muy Alto"}),"")</f>
        <v/>
      </c>
    </row>
    <row r="188" ht="45" customHeight="1" s="54">
      <c r="B188" s="59" t="inlineStr">
        <is>
          <t>DO-14</t>
        </is>
      </c>
      <c r="C188" s="13" t="inlineStr">
        <is>
          <t>Conduce.pro</t>
        </is>
      </c>
      <c r="D188" s="13" t="inlineStr">
        <is>
          <t>Dominio .pro de ConducePro; registro defensivo de marca que redirige a la plataforma</t>
        </is>
      </c>
      <c r="E188" s="20" t="inlineStr">
        <is>
          <t>[COM] Redes de comunicaciones</t>
        </is>
      </c>
      <c r="F188" s="20" t="inlineStr">
        <is>
          <t>[Internet] Internet</t>
        </is>
      </c>
      <c r="G188" s="21" t="inlineStr">
        <is>
          <t>Gestión Tecnológica</t>
        </is>
      </c>
      <c r="H188" s="21" t="inlineStr">
        <is>
          <t>Gestión Tecnológica</t>
        </is>
      </c>
      <c r="I188" s="21" t="n"/>
      <c r="J188" s="21" t="inlineStr">
        <is>
          <t>Nube</t>
        </is>
      </c>
      <c r="K188" s="21" t="inlineStr">
        <is>
          <t>Producción</t>
        </is>
      </c>
      <c r="L188" s="21" t="inlineStr">
        <is>
          <t>Por definir</t>
        </is>
      </c>
      <c r="M188" s="21" t="inlineStr">
        <is>
          <t>Por definir</t>
        </is>
      </c>
      <c r="N188" s="21" t="inlineStr">
        <is>
          <t>Sí</t>
        </is>
      </c>
      <c r="O188" s="21" t="n"/>
      <c r="P188" s="21" t="n"/>
      <c r="Q188" s="20" t="inlineStr">
        <is>
          <t>4 — Alto</t>
        </is>
      </c>
      <c r="R188" s="20" t="inlineStr">
        <is>
          <t>4 — Alto</t>
        </is>
      </c>
      <c r="S188" s="20" t="inlineStr">
        <is>
          <t>2 — Bajo</t>
        </is>
      </c>
      <c r="T188" s="19">
        <f>MAX(IFERROR(VLOOKUP(Q188,MgValor,2,0),0),IFERROR(VLOOKUP(R188,MgValor,2,0),0),IFERROR(VLOOKUP(S188,MgValor,2,0),0))</f>
        <v/>
      </c>
      <c r="U188" s="19">
        <f>IFERROR(LOOKUP(T188,{0;1;2;3;4;5},{"Irrelevante";"Muy Bajo";"Bajo";"Medio";"Alto";"Muy Alto"}),"")</f>
        <v/>
      </c>
    </row>
    <row r="189" ht="45" customHeight="1" s="54">
      <c r="B189" s="59" t="inlineStr">
        <is>
          <t>DO-13</t>
        </is>
      </c>
      <c r="C189" s="13" t="inlineStr">
        <is>
          <t>ConducePro.com</t>
        </is>
      </c>
      <c r="D189" s="13" t="inlineStr">
        <is>
          <t>Dominio .com de la plataforma ConducePro; registro principal de la marca</t>
        </is>
      </c>
      <c r="E189" s="20" t="inlineStr">
        <is>
          <t>[COM] Redes de comunicaciones</t>
        </is>
      </c>
      <c r="F189" s="20" t="inlineStr">
        <is>
          <t>[Internet] Internet</t>
        </is>
      </c>
      <c r="G189" s="21" t="inlineStr">
        <is>
          <t>Gestión Tecnológica</t>
        </is>
      </c>
      <c r="H189" s="21" t="inlineStr">
        <is>
          <t>Gestión Tecnológica</t>
        </is>
      </c>
      <c r="I189" s="21" t="n"/>
      <c r="J189" s="21" t="inlineStr">
        <is>
          <t>Nube</t>
        </is>
      </c>
      <c r="K189" s="21" t="inlineStr">
        <is>
          <t>Producción</t>
        </is>
      </c>
      <c r="L189" s="21" t="inlineStr">
        <is>
          <t>Por definir</t>
        </is>
      </c>
      <c r="M189" s="21" t="inlineStr">
        <is>
          <t>Por definir</t>
        </is>
      </c>
      <c r="N189" s="21" t="inlineStr">
        <is>
          <t>Sí</t>
        </is>
      </c>
      <c r="O189" s="21" t="n"/>
      <c r="P189" s="21" t="n"/>
      <c r="Q189" s="20" t="inlineStr">
        <is>
          <t>4 — Alto</t>
        </is>
      </c>
      <c r="R189" s="20" t="inlineStr">
        <is>
          <t>4 — Alto</t>
        </is>
      </c>
      <c r="S189" s="20" t="inlineStr">
        <is>
          <t>2 — Bajo</t>
        </is>
      </c>
      <c r="T189" s="19">
        <f>MAX(IFERROR(VLOOKUP(Q189,MgValor,2,0),0),IFERROR(VLOOKUP(R189,MgValor,2,0),0),IFERROR(VLOOKUP(S189,MgValor,2,0),0))</f>
        <v/>
      </c>
      <c r="U189" s="19">
        <f>IFERROR(LOOKUP(T189,{0;1;2;3;4;5},{"Irrelevante";"Muy Bajo";"Bajo";"Medio";"Alto";"Muy Alto"}),"")</f>
        <v/>
      </c>
    </row>
    <row r="190" ht="30" customHeight="1" s="54">
      <c r="B190" s="59" t="inlineStr">
        <is>
          <t>DO-15</t>
        </is>
      </c>
      <c r="C190" s="13" t="inlineStr">
        <is>
          <t>ConducePro.com.co</t>
        </is>
      </c>
      <c r="D190" s="13" t="inlineStr">
        <is>
          <t>Dominio .com.co de ConducePro; registro defensivo de marca para Colombia</t>
        </is>
      </c>
      <c r="E190" s="20" t="inlineStr">
        <is>
          <t>[COM] Redes de comunicaciones</t>
        </is>
      </c>
      <c r="F190" s="20" t="inlineStr">
        <is>
          <t>[Internet] Internet</t>
        </is>
      </c>
      <c r="G190" s="21" t="inlineStr">
        <is>
          <t>Gestión Tecnológica</t>
        </is>
      </c>
      <c r="H190" s="21" t="inlineStr">
        <is>
          <t>Gestión Tecnológica</t>
        </is>
      </c>
      <c r="I190" s="21" t="n"/>
      <c r="J190" s="21" t="inlineStr">
        <is>
          <t>Nube</t>
        </is>
      </c>
      <c r="K190" s="21" t="inlineStr">
        <is>
          <t>Producción</t>
        </is>
      </c>
      <c r="L190" s="21" t="inlineStr">
        <is>
          <t>Por definir</t>
        </is>
      </c>
      <c r="M190" s="21" t="inlineStr">
        <is>
          <t>Por definir</t>
        </is>
      </c>
      <c r="N190" s="21" t="inlineStr">
        <is>
          <t>Sí</t>
        </is>
      </c>
      <c r="O190" s="21" t="n"/>
      <c r="P190" s="21" t="n"/>
      <c r="Q190" s="20" t="inlineStr">
        <is>
          <t>4 — Alto</t>
        </is>
      </c>
      <c r="R190" s="20" t="inlineStr">
        <is>
          <t>4 — Alto</t>
        </is>
      </c>
      <c r="S190" s="20" t="inlineStr">
        <is>
          <t>2 — Bajo</t>
        </is>
      </c>
      <c r="T190" s="19">
        <f>MAX(IFERROR(VLOOKUP(Q190,MgValor,2,0),0),IFERROR(VLOOKUP(R190,MgValor,2,0),0),IFERROR(VLOOKUP(S190,MgValor,2,0),0))</f>
        <v/>
      </c>
      <c r="U190" s="19">
        <f>IFERROR(LOOKUP(T190,{0;1;2;3;4;5},{"Irrelevante";"Muy Bajo";"Bajo";"Medio";"Alto";"Muy Alto"}),"")</f>
        <v/>
      </c>
    </row>
    <row r="191" ht="30" customHeight="1" s="54">
      <c r="B191" s="59" t="inlineStr">
        <is>
          <t>TEC-010</t>
        </is>
      </c>
      <c r="C191" s="13" t="inlineStr">
        <is>
          <t>DNS-Cuántico</t>
        </is>
      </c>
      <c r="D191" s="13" t="n"/>
      <c r="E191" s="20" t="inlineStr">
        <is>
          <t>[COM] Redes de comunicaciones</t>
        </is>
      </c>
      <c r="F191" s="20" t="inlineStr">
        <is>
          <t>[Internet] Internet</t>
        </is>
      </c>
      <c r="G191" s="21" t="inlineStr">
        <is>
          <t>Gestión Tecnológica</t>
        </is>
      </c>
      <c r="H191" s="21" t="inlineStr">
        <is>
          <t>Gestión Tecnológica</t>
        </is>
      </c>
      <c r="I191" s="21" t="n"/>
      <c r="J191" s="21" t="inlineStr">
        <is>
          <t>Nube</t>
        </is>
      </c>
      <c r="K191" s="21" t="inlineStr">
        <is>
          <t>Producción</t>
        </is>
      </c>
      <c r="L191" s="21" t="inlineStr">
        <is>
          <t>Por definir</t>
        </is>
      </c>
      <c r="M191" s="21" t="inlineStr">
        <is>
          <t>Por definir</t>
        </is>
      </c>
      <c r="N191" s="21" t="inlineStr">
        <is>
          <t>Sí</t>
        </is>
      </c>
      <c r="O191" s="21" t="n"/>
      <c r="P191" s="21" t="n"/>
      <c r="Q191" s="20" t="inlineStr">
        <is>
          <t>4 — Alto</t>
        </is>
      </c>
      <c r="R191" s="20" t="inlineStr">
        <is>
          <t>3 — Medio</t>
        </is>
      </c>
      <c r="S191" s="20" t="inlineStr">
        <is>
          <t>2 — Bajo</t>
        </is>
      </c>
      <c r="T191" s="19">
        <f>MAX(IFERROR(VLOOKUP(Q191,MgValor,2,0),0),IFERROR(VLOOKUP(R191,MgValor,2,0),0),IFERROR(VLOOKUP(S191,MgValor,2,0),0))</f>
        <v/>
      </c>
      <c r="U191" s="19">
        <f>IFERROR(LOOKUP(T191,{0;1;2;3;4;5},{"Irrelevante";"Muy Bajo";"Bajo";"Medio";"Alto";"Muy Alto"}),"")</f>
        <v/>
      </c>
    </row>
    <row r="192" ht="30" customHeight="1" s="54">
      <c r="B192" s="59" t="inlineStr">
        <is>
          <t>DO-09</t>
        </is>
      </c>
      <c r="C192" s="13" t="inlineStr">
        <is>
          <t>Mauriciolizcano.co</t>
        </is>
      </c>
      <c r="D192" s="13" t="inlineStr">
        <is>
          <t>Dominio .co personal/institucional de Mauricio Lizcano; sitio web público</t>
        </is>
      </c>
      <c r="E192" s="20" t="inlineStr">
        <is>
          <t>[COM] Redes de comunicaciones</t>
        </is>
      </c>
      <c r="F192" s="20" t="inlineStr">
        <is>
          <t>[Internet] Internet</t>
        </is>
      </c>
      <c r="G192" s="21" t="inlineStr">
        <is>
          <t>Gestión Tecnológica</t>
        </is>
      </c>
      <c r="H192" s="21" t="inlineStr">
        <is>
          <t>Gestión Tecnológica</t>
        </is>
      </c>
      <c r="I192" s="21" t="n"/>
      <c r="J192" s="21" t="inlineStr">
        <is>
          <t>Nube</t>
        </is>
      </c>
      <c r="K192" s="21" t="inlineStr">
        <is>
          <t>Producción</t>
        </is>
      </c>
      <c r="L192" s="21" t="inlineStr">
        <is>
          <t>Por definir</t>
        </is>
      </c>
      <c r="M192" s="21" t="inlineStr">
        <is>
          <t>Sí</t>
        </is>
      </c>
      <c r="N192" s="21" t="inlineStr">
        <is>
          <t>Sí</t>
        </is>
      </c>
      <c r="O192" s="21" t="n"/>
      <c r="P192" s="21" t="n"/>
      <c r="Q192" s="20" t="inlineStr">
        <is>
          <t>4 — Alto</t>
        </is>
      </c>
      <c r="R192" s="20" t="inlineStr">
        <is>
          <t>4 — Alto</t>
        </is>
      </c>
      <c r="S192" s="20" t="inlineStr">
        <is>
          <t>2 — Bajo</t>
        </is>
      </c>
      <c r="T192" s="19">
        <f>MAX(IFERROR(VLOOKUP(Q192,MgValor,2,0),0),IFERROR(VLOOKUP(R192,MgValor,2,0),0),IFERROR(VLOOKUP(S192,MgValor,2,0),0))</f>
        <v/>
      </c>
      <c r="U192" s="19">
        <f>IFERROR(LOOKUP(T192,{0;1;2;3;4;5},{"Irrelevante";"Muy Bajo";"Bajo";"Medio";"Alto";"Muy Alto"}),"")</f>
        <v/>
      </c>
    </row>
    <row r="193" ht="45" customHeight="1" s="54">
      <c r="B193" s="59" t="inlineStr">
        <is>
          <t>DO-12</t>
        </is>
      </c>
      <c r="C193" s="13" t="inlineStr">
        <is>
          <t>Mauriciolizcano.co</t>
        </is>
      </c>
      <c r="D193" s="13" t="inlineStr">
        <is>
          <t>Dominio .co de Mauricio Lizcano (registro duplicado en el inventario; validar si corresponde a otra extensión)</t>
        </is>
      </c>
      <c r="E193" s="20" t="inlineStr">
        <is>
          <t>[COM] Redes de comunicaciones</t>
        </is>
      </c>
      <c r="F193" s="20" t="inlineStr">
        <is>
          <t>[Internet] Internet</t>
        </is>
      </c>
      <c r="G193" s="21" t="inlineStr">
        <is>
          <t>Gestión Tecnológica</t>
        </is>
      </c>
      <c r="H193" s="21" t="inlineStr">
        <is>
          <t>Gestión Tecnológica</t>
        </is>
      </c>
      <c r="I193" s="21" t="n"/>
      <c r="J193" s="21" t="inlineStr">
        <is>
          <t>Nube</t>
        </is>
      </c>
      <c r="K193" s="21" t="inlineStr">
        <is>
          <t>Producción</t>
        </is>
      </c>
      <c r="L193" s="21" t="inlineStr">
        <is>
          <t>Por definir</t>
        </is>
      </c>
      <c r="M193" s="21" t="inlineStr">
        <is>
          <t>Por definir</t>
        </is>
      </c>
      <c r="N193" s="21" t="inlineStr">
        <is>
          <t>Sí</t>
        </is>
      </c>
      <c r="O193" s="21" t="n"/>
      <c r="P193" s="21" t="n"/>
      <c r="Q193" s="20" t="inlineStr">
        <is>
          <t>4 — Alto</t>
        </is>
      </c>
      <c r="R193" s="20" t="inlineStr">
        <is>
          <t>4 — Alto</t>
        </is>
      </c>
      <c r="S193" s="20" t="inlineStr">
        <is>
          <t>2 — Bajo</t>
        </is>
      </c>
      <c r="T193" s="19">
        <f>MAX(IFERROR(VLOOKUP(Q193,MgValor,2,0),0),IFERROR(VLOOKUP(R193,MgValor,2,0),0),IFERROR(VLOOKUP(S193,MgValor,2,0),0))</f>
        <v/>
      </c>
      <c r="U193" s="19">
        <f>IFERROR(LOOKUP(T193,{0;1;2;3;4;5},{"Irrelevante";"Muy Bajo";"Bajo";"Medio";"Alto";"Muy Alto"}),"")</f>
        <v/>
      </c>
    </row>
    <row r="194" ht="30" customHeight="1" s="54">
      <c r="B194" s="59" t="inlineStr">
        <is>
          <t>DO-11</t>
        </is>
      </c>
      <c r="C194" s="13" t="inlineStr">
        <is>
          <t>Mauriciolizcano.com</t>
        </is>
      </c>
      <c r="D194" s="13" t="inlineStr">
        <is>
          <t>Dominio .com de Mauricio Lizcano; registro principal de la marca personal</t>
        </is>
      </c>
      <c r="E194" s="20" t="inlineStr">
        <is>
          <t>[COM] Redes de comunicaciones</t>
        </is>
      </c>
      <c r="F194" s="20" t="inlineStr">
        <is>
          <t>[Internet] Internet</t>
        </is>
      </c>
      <c r="G194" s="21" t="inlineStr">
        <is>
          <t>Gestión Tecnológica</t>
        </is>
      </c>
      <c r="H194" s="21" t="inlineStr">
        <is>
          <t>Gestión Tecnológica</t>
        </is>
      </c>
      <c r="I194" s="21" t="n"/>
      <c r="J194" s="21" t="inlineStr">
        <is>
          <t>Nube</t>
        </is>
      </c>
      <c r="K194" s="21" t="inlineStr">
        <is>
          <t>Producción</t>
        </is>
      </c>
      <c r="L194" s="21" t="inlineStr">
        <is>
          <t>Por definir</t>
        </is>
      </c>
      <c r="M194" s="21" t="inlineStr">
        <is>
          <t>Sí</t>
        </is>
      </c>
      <c r="N194" s="21" t="inlineStr">
        <is>
          <t>Sí</t>
        </is>
      </c>
      <c r="O194" s="21" t="n"/>
      <c r="P194" s="21" t="n"/>
      <c r="Q194" s="20" t="inlineStr">
        <is>
          <t>4 — Alto</t>
        </is>
      </c>
      <c r="R194" s="20" t="inlineStr">
        <is>
          <t>4 — Alto</t>
        </is>
      </c>
      <c r="S194" s="20" t="inlineStr">
        <is>
          <t>2 — Bajo</t>
        </is>
      </c>
      <c r="T194" s="19">
        <f>MAX(IFERROR(VLOOKUP(Q194,MgValor,2,0),0),IFERROR(VLOOKUP(R194,MgValor,2,0),0),IFERROR(VLOOKUP(S194,MgValor,2,0),0))</f>
        <v/>
      </c>
      <c r="U194" s="19">
        <f>IFERROR(LOOKUP(T194,{0;1;2;3;4;5},{"Irrelevante";"Muy Bajo";"Bajo";"Medio";"Alto";"Muy Alto"}),"")</f>
        <v/>
      </c>
    </row>
    <row r="195" ht="45" customHeight="1" s="54">
      <c r="B195" s="59" t="inlineStr">
        <is>
          <t>DO-08</t>
        </is>
      </c>
      <c r="C195" s="13" t="inlineStr">
        <is>
          <t>Mintrace.co</t>
        </is>
      </c>
      <c r="D195" s="13" t="inlineStr">
        <is>
          <t>Dominio .co de la plataforma Mintrace; apunta a los servicios de trazabilidad minera</t>
        </is>
      </c>
      <c r="E195" s="20" t="inlineStr">
        <is>
          <t>[COM] Redes de comunicaciones</t>
        </is>
      </c>
      <c r="F195" s="20" t="inlineStr">
        <is>
          <t>[Internet] Internet</t>
        </is>
      </c>
      <c r="G195" s="21" t="inlineStr">
        <is>
          <t>Gestión Tecnológica</t>
        </is>
      </c>
      <c r="H195" s="21" t="inlineStr">
        <is>
          <t>Gestión Tecnológica</t>
        </is>
      </c>
      <c r="I195" s="21" t="n"/>
      <c r="J195" s="21" t="inlineStr">
        <is>
          <t>Nube</t>
        </is>
      </c>
      <c r="K195" s="21" t="inlineStr">
        <is>
          <t>Producción</t>
        </is>
      </c>
      <c r="L195" s="21" t="inlineStr">
        <is>
          <t>Sí</t>
        </is>
      </c>
      <c r="M195" s="21" t="inlineStr">
        <is>
          <t>Por definir</t>
        </is>
      </c>
      <c r="N195" s="21" t="inlineStr">
        <is>
          <t>Sí</t>
        </is>
      </c>
      <c r="O195" s="21" t="n"/>
      <c r="P195" s="21" t="n"/>
      <c r="Q195" s="20" t="inlineStr">
        <is>
          <t>4 — Alto</t>
        </is>
      </c>
      <c r="R195" s="20" t="inlineStr">
        <is>
          <t>4 — Alto</t>
        </is>
      </c>
      <c r="S195" s="20" t="inlineStr">
        <is>
          <t>2 — Bajo</t>
        </is>
      </c>
      <c r="T195" s="19">
        <f>MAX(IFERROR(VLOOKUP(Q195,MgValor,2,0),0),IFERROR(VLOOKUP(R195,MgValor,2,0),0),IFERROR(VLOOKUP(S195,MgValor,2,0),0))</f>
        <v/>
      </c>
      <c r="U195" s="19">
        <f>IFERROR(LOOKUP(T195,{0;1;2;3;4;5},{"Irrelevante";"Muy Bajo";"Bajo";"Medio";"Alto";"Muy Alto"}),"")</f>
        <v/>
      </c>
    </row>
    <row r="196" ht="45" customHeight="1" s="54">
      <c r="B196" s="59" t="inlineStr">
        <is>
          <t>DO-10</t>
        </is>
      </c>
      <c r="C196" s="13" t="inlineStr">
        <is>
          <t>Mintrace.com</t>
        </is>
      </c>
      <c r="D196" s="13" t="inlineStr">
        <is>
          <t>Dominio .com de la plataforma Mintrace; registro principal de la marca de trazabilidad minera</t>
        </is>
      </c>
      <c r="E196" s="20" t="inlineStr">
        <is>
          <t>[COM] Redes de comunicaciones</t>
        </is>
      </c>
      <c r="F196" s="20" t="inlineStr">
        <is>
          <t>[Internet] Internet</t>
        </is>
      </c>
      <c r="G196" s="21" t="inlineStr">
        <is>
          <t>Gestión Tecnológica</t>
        </is>
      </c>
      <c r="H196" s="21" t="inlineStr">
        <is>
          <t>Gestión Tecnológica</t>
        </is>
      </c>
      <c r="I196" s="21" t="n"/>
      <c r="J196" s="21" t="inlineStr">
        <is>
          <t>Nube</t>
        </is>
      </c>
      <c r="K196" s="21" t="inlineStr">
        <is>
          <t>Producción</t>
        </is>
      </c>
      <c r="L196" s="21" t="inlineStr">
        <is>
          <t>Sí</t>
        </is>
      </c>
      <c r="M196" s="21" t="inlineStr">
        <is>
          <t>Por definir</t>
        </is>
      </c>
      <c r="N196" s="21" t="inlineStr">
        <is>
          <t>Sí</t>
        </is>
      </c>
      <c r="O196" s="21" t="n"/>
      <c r="P196" s="21" t="n"/>
      <c r="Q196" s="20" t="inlineStr">
        <is>
          <t>4 — Alto</t>
        </is>
      </c>
      <c r="R196" s="20" t="inlineStr">
        <is>
          <t>4 — Alto</t>
        </is>
      </c>
      <c r="S196" s="20" t="inlineStr">
        <is>
          <t>2 — Bajo</t>
        </is>
      </c>
      <c r="T196" s="19">
        <f>MAX(IFERROR(VLOOKUP(Q196,MgValor,2,0),0),IFERROR(VLOOKUP(R196,MgValor,2,0),0),IFERROR(VLOOKUP(S196,MgValor,2,0),0))</f>
        <v/>
      </c>
      <c r="U196" s="19">
        <f>IFERROR(LOOKUP(T196,{0;1;2;3;4;5},{"Irrelevante";"Muy Bajo";"Bajo";"Medio";"Alto";"Muy Alto"}),"")</f>
        <v/>
      </c>
    </row>
    <row r="197" ht="30" customHeight="1" s="54">
      <c r="B197" s="59" t="inlineStr">
        <is>
          <t>DO-16</t>
        </is>
      </c>
      <c r="C197" s="13" t="inlineStr">
        <is>
          <t>Rapivolt.com</t>
        </is>
      </c>
      <c r="D197" s="13" t="inlineStr">
        <is>
          <t>Dominio de la marca Rapivolt; sitio web de la línea de movilidad eléctrica</t>
        </is>
      </c>
      <c r="E197" s="20" t="inlineStr">
        <is>
          <t>[COM] Redes de comunicaciones</t>
        </is>
      </c>
      <c r="F197" s="20" t="inlineStr">
        <is>
          <t>[Internet] Internet</t>
        </is>
      </c>
      <c r="G197" s="21" t="inlineStr">
        <is>
          <t>Gestión Tecnológica</t>
        </is>
      </c>
      <c r="H197" s="21" t="inlineStr">
        <is>
          <t>Gestión Tecnológica</t>
        </is>
      </c>
      <c r="I197" s="21" t="n"/>
      <c r="J197" s="21" t="inlineStr">
        <is>
          <t>Nube</t>
        </is>
      </c>
      <c r="K197" s="21" t="inlineStr">
        <is>
          <t>Producción</t>
        </is>
      </c>
      <c r="L197" s="21" t="inlineStr">
        <is>
          <t>Por definir</t>
        </is>
      </c>
      <c r="M197" s="21" t="inlineStr">
        <is>
          <t>Por definir</t>
        </is>
      </c>
      <c r="N197" s="21" t="inlineStr">
        <is>
          <t>Sí</t>
        </is>
      </c>
      <c r="O197" s="21" t="n"/>
      <c r="P197" s="21" t="n"/>
      <c r="Q197" s="20" t="inlineStr">
        <is>
          <t>4 — Alto</t>
        </is>
      </c>
      <c r="R197" s="20" t="inlineStr">
        <is>
          <t>4 — Alto</t>
        </is>
      </c>
      <c r="S197" s="20" t="inlineStr">
        <is>
          <t>2 — Bajo</t>
        </is>
      </c>
      <c r="T197" s="19">
        <f>MAX(IFERROR(VLOOKUP(Q197,MgValor,2,0),0),IFERROR(VLOOKUP(R197,MgValor,2,0),0),IFERROR(VLOOKUP(S197,MgValor,2,0),0))</f>
        <v/>
      </c>
      <c r="U197" s="19">
        <f>IFERROR(LOOKUP(T197,{0;1;2;3;4;5},{"Irrelevante";"Muy Bajo";"Bajo";"Medio";"Alto";"Muy Alto"}),"")</f>
        <v/>
      </c>
    </row>
    <row r="198" ht="30" customHeight="1" s="54">
      <c r="B198" s="59" t="inlineStr">
        <is>
          <t>DO-06</t>
        </is>
      </c>
      <c r="C198" s="13" t="inlineStr">
        <is>
          <t>Territoriosia.com</t>
        </is>
      </c>
      <c r="D198" s="13" t="inlineStr">
        <is>
          <t>Dominio de la marca CuantAIA; sitio web</t>
        </is>
      </c>
      <c r="E198" s="20" t="inlineStr">
        <is>
          <t>[COM] Redes de comunicaciones</t>
        </is>
      </c>
      <c r="F198" s="20" t="inlineStr">
        <is>
          <t>[Internet] Internet</t>
        </is>
      </c>
      <c r="G198" s="21" t="inlineStr">
        <is>
          <t>Gestión Tecnológica</t>
        </is>
      </c>
      <c r="H198" s="21" t="inlineStr">
        <is>
          <t>Gestión Tecnológica</t>
        </is>
      </c>
      <c r="I198" s="21" t="n"/>
      <c r="J198" s="21" t="inlineStr">
        <is>
          <t>Nube</t>
        </is>
      </c>
      <c r="K198" s="21" t="inlineStr">
        <is>
          <t>Producción</t>
        </is>
      </c>
      <c r="L198" s="21" t="inlineStr">
        <is>
          <t>Por definir</t>
        </is>
      </c>
      <c r="M198" s="21" t="inlineStr">
        <is>
          <t>Por definir</t>
        </is>
      </c>
      <c r="N198" s="21" t="inlineStr">
        <is>
          <t>Sí</t>
        </is>
      </c>
      <c r="O198" s="21" t="n"/>
      <c r="P198" s="21" t="n"/>
      <c r="Q198" s="20" t="inlineStr">
        <is>
          <t>4 — Alto</t>
        </is>
      </c>
      <c r="R198" s="20" t="inlineStr">
        <is>
          <t>4 — Alto</t>
        </is>
      </c>
      <c r="S198" s="20" t="inlineStr">
        <is>
          <t>2 — Bajo</t>
        </is>
      </c>
      <c r="T198" s="19">
        <f>MAX(IFERROR(VLOOKUP(Q198,MgValor,2,0),0),IFERROR(VLOOKUP(R198,MgValor,2,0),0),IFERROR(VLOOKUP(S198,MgValor,2,0),0))</f>
        <v/>
      </c>
      <c r="U198" s="19">
        <f>IFERROR(LOOKUP(T198,{0;1;2;3;4;5},{"Irrelevante";"Muy Bajo";"Bajo";"Medio";"Alto";"Muy Alto"}),"")</f>
        <v/>
      </c>
    </row>
    <row r="199" ht="30" customHeight="1" s="54">
      <c r="B199" s="59" t="inlineStr">
        <is>
          <t>DO-05</t>
        </is>
      </c>
      <c r="C199" s="13" t="inlineStr">
        <is>
          <t>cuantaia.com</t>
        </is>
      </c>
      <c r="D199" s="13" t="inlineStr">
        <is>
          <t>Dominio de la marca CuantAIA; sitio web</t>
        </is>
      </c>
      <c r="E199" s="20" t="inlineStr">
        <is>
          <t>[COM] Redes de comunicaciones</t>
        </is>
      </c>
      <c r="F199" s="20" t="inlineStr">
        <is>
          <t>[Internet] Internet</t>
        </is>
      </c>
      <c r="G199" s="21" t="inlineStr">
        <is>
          <t>Gestión Tecnológica</t>
        </is>
      </c>
      <c r="H199" s="21" t="inlineStr">
        <is>
          <t>Gestión Tecnológica</t>
        </is>
      </c>
      <c r="I199" s="21" t="n"/>
      <c r="J199" s="21" t="inlineStr">
        <is>
          <t>Nube</t>
        </is>
      </c>
      <c r="K199" s="21" t="inlineStr">
        <is>
          <t>Producción</t>
        </is>
      </c>
      <c r="L199" s="21" t="inlineStr">
        <is>
          <t>Por definir</t>
        </is>
      </c>
      <c r="M199" s="21" t="inlineStr">
        <is>
          <t>Por definir</t>
        </is>
      </c>
      <c r="N199" s="21" t="inlineStr">
        <is>
          <t>Sí</t>
        </is>
      </c>
      <c r="O199" s="21" t="n"/>
      <c r="P199" s="21" t="n"/>
      <c r="Q199" s="20" t="inlineStr">
        <is>
          <t>4 — Alto</t>
        </is>
      </c>
      <c r="R199" s="20" t="inlineStr">
        <is>
          <t>4 — Alto</t>
        </is>
      </c>
      <c r="S199" s="20" t="inlineStr">
        <is>
          <t>2 — Bajo</t>
        </is>
      </c>
      <c r="T199" s="19">
        <f>MAX(IFERROR(VLOOKUP(Q199,MgValor,2,0),0),IFERROR(VLOOKUP(R199,MgValor,2,0),0),IFERROR(VLOOKUP(S199,MgValor,2,0),0))</f>
        <v/>
      </c>
      <c r="U199" s="19">
        <f>IFERROR(LOOKUP(T199,{0;1;2;3;4;5},{"Irrelevante";"Muy Bajo";"Bajo";"Medio";"Alto";"Muy Alto"}),"")</f>
        <v/>
      </c>
    </row>
    <row r="200" ht="45" customHeight="1" s="54">
      <c r="B200" s="59" t="inlineStr">
        <is>
          <t>DO-01</t>
        </is>
      </c>
      <c r="C200" s="13" t="inlineStr">
        <is>
          <t>cuantico.com</t>
        </is>
      </c>
      <c r="D200" s="13" t="inlineStr">
        <is>
          <t>Dominio corporativo principal de Cuántico; soporta el sitio web institucional y el correo corporativo</t>
        </is>
      </c>
      <c r="E200" s="20" t="inlineStr">
        <is>
          <t>[COM] Redes de comunicaciones</t>
        </is>
      </c>
      <c r="F200" s="20" t="inlineStr">
        <is>
          <t>[Internet] Internet</t>
        </is>
      </c>
      <c r="G200" s="21" t="inlineStr">
        <is>
          <t>Gestión Tecnológica</t>
        </is>
      </c>
      <c r="H200" s="21" t="inlineStr">
        <is>
          <t>Gestión Tecnológica</t>
        </is>
      </c>
      <c r="I200" s="21" t="n"/>
      <c r="J200" s="21" t="inlineStr">
        <is>
          <t>Nube</t>
        </is>
      </c>
      <c r="K200" s="21" t="inlineStr">
        <is>
          <t>Producción</t>
        </is>
      </c>
      <c r="L200" s="21" t="inlineStr">
        <is>
          <t>Por definir</t>
        </is>
      </c>
      <c r="M200" s="21" t="inlineStr">
        <is>
          <t>Por definir</t>
        </is>
      </c>
      <c r="N200" s="21" t="inlineStr">
        <is>
          <t>Sí</t>
        </is>
      </c>
      <c r="O200" s="21" t="n"/>
      <c r="P200" s="21" t="n"/>
      <c r="Q200" s="20" t="inlineStr">
        <is>
          <t>4 — Alto</t>
        </is>
      </c>
      <c r="R200" s="20" t="inlineStr">
        <is>
          <t>4 — Alto</t>
        </is>
      </c>
      <c r="S200" s="20" t="inlineStr">
        <is>
          <t>2 — Bajo</t>
        </is>
      </c>
      <c r="T200" s="19">
        <f>MAX(IFERROR(VLOOKUP(Q200,MgValor,2,0),0),IFERROR(VLOOKUP(R200,MgValor,2,0),0),IFERROR(VLOOKUP(S200,MgValor,2,0),0))</f>
        <v/>
      </c>
      <c r="U200" s="19">
        <f>IFERROR(LOOKUP(T200,{0;1;2;3;4;5},{"Irrelevante";"Muy Bajo";"Bajo";"Medio";"Alto";"Muy Alto"}),"")</f>
        <v/>
      </c>
    </row>
    <row r="201" ht="45" customHeight="1" s="54">
      <c r="B201" s="59" t="inlineStr">
        <is>
          <t>DO-02</t>
        </is>
      </c>
      <c r="C201" s="13" t="inlineStr">
        <is>
          <t>cuanticore.com</t>
        </is>
      </c>
      <c r="D201" s="13" t="inlineStr">
        <is>
          <t>Dominio de la organización Cuanticore; usado en repositorios, servicios técnicos y correo del equipo de desarrollo</t>
        </is>
      </c>
      <c r="E201" s="20" t="inlineStr">
        <is>
          <t>[COM] Redes de comunicaciones</t>
        </is>
      </c>
      <c r="F201" s="20" t="inlineStr">
        <is>
          <t>[Internet] Internet</t>
        </is>
      </c>
      <c r="G201" s="21" t="inlineStr">
        <is>
          <t>Gestión Tecnológica</t>
        </is>
      </c>
      <c r="H201" s="21" t="inlineStr">
        <is>
          <t>Gestión Tecnológica</t>
        </is>
      </c>
      <c r="I201" s="21" t="n"/>
      <c r="J201" s="21" t="inlineStr">
        <is>
          <t>Nube</t>
        </is>
      </c>
      <c r="K201" s="21" t="inlineStr">
        <is>
          <t>Desarrollo</t>
        </is>
      </c>
      <c r="L201" s="21" t="inlineStr">
        <is>
          <t>Por definir</t>
        </is>
      </c>
      <c r="M201" s="21" t="inlineStr">
        <is>
          <t>Por definir</t>
        </is>
      </c>
      <c r="N201" s="21" t="inlineStr">
        <is>
          <t>Sí</t>
        </is>
      </c>
      <c r="O201" s="21" t="n"/>
      <c r="P201" s="21" t="n"/>
      <c r="Q201" s="20" t="inlineStr">
        <is>
          <t>4 — Alto</t>
        </is>
      </c>
      <c r="R201" s="20" t="inlineStr">
        <is>
          <t>4 — Alto</t>
        </is>
      </c>
      <c r="S201" s="20" t="inlineStr">
        <is>
          <t>2 — Bajo</t>
        </is>
      </c>
      <c r="T201" s="19">
        <f>MAX(IFERROR(VLOOKUP(Q201,MgValor,2,0),0),IFERROR(VLOOKUP(R201,MgValor,2,0),0),IFERROR(VLOOKUP(S201,MgValor,2,0),0))</f>
        <v/>
      </c>
      <c r="U201" s="19">
        <f>IFERROR(LOOKUP(T201,{0;1;2;3;4;5},{"Irrelevante";"Muy Bajo";"Bajo";"Medio";"Alto";"Muy Alto"}),"")</f>
        <v/>
      </c>
    </row>
    <row r="202" ht="30" customHeight="1" s="54">
      <c r="B202" s="59" t="inlineStr">
        <is>
          <t>DO-07</t>
        </is>
      </c>
      <c r="C202" s="13" t="inlineStr">
        <is>
          <t>gerenciapublicatic.com</t>
        </is>
      </c>
      <c r="D202" s="13" t="inlineStr">
        <is>
          <t>Dominio de la marca CuantAIA; sitio web</t>
        </is>
      </c>
      <c r="E202" s="20" t="inlineStr">
        <is>
          <t>[COM] Redes de comunicaciones</t>
        </is>
      </c>
      <c r="F202" s="20" t="inlineStr">
        <is>
          <t>[Internet] Internet</t>
        </is>
      </c>
      <c r="G202" s="21" t="inlineStr">
        <is>
          <t>Gestión Tecnológica</t>
        </is>
      </c>
      <c r="H202" s="21" t="inlineStr">
        <is>
          <t>Gestión Tecnológica</t>
        </is>
      </c>
      <c r="I202" s="21" t="n"/>
      <c r="J202" s="21" t="inlineStr">
        <is>
          <t>Nube</t>
        </is>
      </c>
      <c r="K202" s="21" t="inlineStr">
        <is>
          <t>Producción</t>
        </is>
      </c>
      <c r="L202" s="21" t="inlineStr">
        <is>
          <t>Por definir</t>
        </is>
      </c>
      <c r="M202" s="21" t="inlineStr">
        <is>
          <t>Por definir</t>
        </is>
      </c>
      <c r="N202" s="21" t="inlineStr">
        <is>
          <t>Sí</t>
        </is>
      </c>
      <c r="O202" s="21" t="n"/>
      <c r="P202" s="21" t="n"/>
      <c r="Q202" s="20" t="inlineStr">
        <is>
          <t>4 — Alto</t>
        </is>
      </c>
      <c r="R202" s="20" t="inlineStr">
        <is>
          <t>4 — Alto</t>
        </is>
      </c>
      <c r="S202" s="20" t="inlineStr">
        <is>
          <t>2 — Bajo</t>
        </is>
      </c>
      <c r="T202" s="19">
        <f>MAX(IFERROR(VLOOKUP(Q202,MgValor,2,0),0),IFERROR(VLOOKUP(R202,MgValor,2,0),0),IFERROR(VLOOKUP(S202,MgValor,2,0),0))</f>
        <v/>
      </c>
      <c r="U202" s="19">
        <f>IFERROR(LOOKUP(T202,{0;1;2;3;4;5},{"Irrelevante";"Muy Bajo";"Bajo";"Medio";"Alto";"Muy Alto"}),"")</f>
        <v/>
      </c>
    </row>
    <row r="203" ht="30" customHeight="1" s="54">
      <c r="B203" s="59" t="inlineStr">
        <is>
          <t>DO-04</t>
        </is>
      </c>
      <c r="C203" s="13" t="inlineStr">
        <is>
          <t>govtechcolombia.com</t>
        </is>
      </c>
      <c r="D203" s="13" t="inlineStr">
        <is>
          <t>Dominio de la marca GovTech Colombia; sitio web</t>
        </is>
      </c>
      <c r="E203" s="20" t="inlineStr">
        <is>
          <t>[COM] Redes de comunicaciones</t>
        </is>
      </c>
      <c r="F203" s="20" t="inlineStr">
        <is>
          <t>[Internet] Internet</t>
        </is>
      </c>
      <c r="G203" s="21" t="inlineStr">
        <is>
          <t>Gestión Tecnológica</t>
        </is>
      </c>
      <c r="H203" s="21" t="inlineStr">
        <is>
          <t>Gestión Tecnológica</t>
        </is>
      </c>
      <c r="I203" s="21" t="n"/>
      <c r="J203" s="21" t="inlineStr">
        <is>
          <t>Nube</t>
        </is>
      </c>
      <c r="K203" s="21" t="inlineStr">
        <is>
          <t>Producción</t>
        </is>
      </c>
      <c r="L203" s="21" t="inlineStr">
        <is>
          <t>Por definir</t>
        </is>
      </c>
      <c r="M203" s="21" t="inlineStr">
        <is>
          <t>Por definir</t>
        </is>
      </c>
      <c r="N203" s="21" t="inlineStr">
        <is>
          <t>Sí</t>
        </is>
      </c>
      <c r="O203" s="21" t="n"/>
      <c r="P203" s="21" t="n"/>
      <c r="Q203" s="20" t="inlineStr">
        <is>
          <t>4 — Alto</t>
        </is>
      </c>
      <c r="R203" s="20" t="inlineStr">
        <is>
          <t>4 — Alto</t>
        </is>
      </c>
      <c r="S203" s="20" t="inlineStr">
        <is>
          <t>2 — Bajo</t>
        </is>
      </c>
      <c r="T203" s="19">
        <f>MAX(IFERROR(VLOOKUP(Q203,MgValor,2,0),0),IFERROR(VLOOKUP(R203,MgValor,2,0),0),IFERROR(VLOOKUP(S203,MgValor,2,0),0))</f>
        <v/>
      </c>
      <c r="U203" s="19">
        <f>IFERROR(LOOKUP(T203,{0;1;2;3;4;5},{"Irrelevante";"Muy Bajo";"Bajo";"Medio";"Alto";"Muy Alto"}),"")</f>
        <v/>
      </c>
    </row>
    <row r="204" ht="30" customHeight="1" s="54">
      <c r="B204" s="59" t="inlineStr">
        <is>
          <t>DO-03</t>
        </is>
      </c>
      <c r="C204" s="13" t="inlineStr">
        <is>
          <t>innovaciencia.com</t>
        </is>
      </c>
      <c r="D204" s="13" t="inlineStr">
        <is>
          <t>Dominio de la marca Innovaciencia; sitio web</t>
        </is>
      </c>
      <c r="E204" s="20" t="inlineStr">
        <is>
          <t>[COM] Redes de comunicaciones</t>
        </is>
      </c>
      <c r="F204" s="20" t="inlineStr">
        <is>
          <t>[Internet] Internet</t>
        </is>
      </c>
      <c r="G204" s="21" t="inlineStr">
        <is>
          <t>Gestión Tecnológica</t>
        </is>
      </c>
      <c r="H204" s="21" t="inlineStr">
        <is>
          <t>Gestión Tecnológica</t>
        </is>
      </c>
      <c r="I204" s="21" t="n"/>
      <c r="J204" s="21" t="inlineStr">
        <is>
          <t>Nube</t>
        </is>
      </c>
      <c r="K204" s="21" t="inlineStr">
        <is>
          <t>Producción</t>
        </is>
      </c>
      <c r="L204" s="21" t="inlineStr">
        <is>
          <t>Por definir</t>
        </is>
      </c>
      <c r="M204" s="21" t="inlineStr">
        <is>
          <t>Por definir</t>
        </is>
      </c>
      <c r="N204" s="21" t="inlineStr">
        <is>
          <t>Sí</t>
        </is>
      </c>
      <c r="O204" s="21" t="n"/>
      <c r="P204" s="21" t="n"/>
      <c r="Q204" s="20" t="inlineStr">
        <is>
          <t>4 — Alto</t>
        </is>
      </c>
      <c r="R204" s="20" t="inlineStr">
        <is>
          <t>4 — Alto</t>
        </is>
      </c>
      <c r="S204" s="20" t="inlineStr">
        <is>
          <t>2 — Bajo</t>
        </is>
      </c>
      <c r="T204" s="19">
        <f>MAX(IFERROR(VLOOKUP(Q204,MgValor,2,0),0),IFERROR(VLOOKUP(R204,MgValor,2,0),0),IFERROR(VLOOKUP(S204,MgValor,2,0),0))</f>
        <v/>
      </c>
      <c r="U204" s="19">
        <f>IFERROR(LOOKUP(T204,{0;1;2;3;4;5},{"Irrelevante";"Muy Bajo";"Bajo";"Medio";"Alto";"Muy Alto"}),"")</f>
        <v/>
      </c>
    </row>
    <row r="205" ht="30" customHeight="1" s="54">
      <c r="B205" s="59" t="inlineStr">
        <is>
          <t>TEC-013</t>
        </is>
      </c>
      <c r="C205" s="13" t="inlineStr">
        <is>
          <t>SW-CORE-01</t>
        </is>
      </c>
      <c r="D205" s="13" t="n"/>
      <c r="E205" s="20" t="inlineStr">
        <is>
          <t>[COM] Redes de comunicaciones</t>
        </is>
      </c>
      <c r="F205" s="20" t="inlineStr">
        <is>
          <t>[LAN] Red local</t>
        </is>
      </c>
      <c r="G205" s="21" t="inlineStr">
        <is>
          <t>Gestión Tecnológica</t>
        </is>
      </c>
      <c r="H205" s="21" t="inlineStr">
        <is>
          <t>Gestión Tecnológica</t>
        </is>
      </c>
      <c r="I205" s="21" t="n"/>
      <c r="J205" s="21" t="inlineStr">
        <is>
          <t>Nube</t>
        </is>
      </c>
      <c r="K205" s="21" t="inlineStr">
        <is>
          <t>Producción</t>
        </is>
      </c>
      <c r="L205" s="21" t="inlineStr">
        <is>
          <t>Por definir</t>
        </is>
      </c>
      <c r="M205" s="21" t="inlineStr">
        <is>
          <t>Por definir</t>
        </is>
      </c>
      <c r="N205" s="21" t="inlineStr">
        <is>
          <t>Por definir</t>
        </is>
      </c>
      <c r="O205" s="21" t="n"/>
      <c r="P205" s="21" t="n"/>
      <c r="Q205" s="20" t="inlineStr">
        <is>
          <t>4 — Alto</t>
        </is>
      </c>
      <c r="R205" s="20" t="inlineStr">
        <is>
          <t>2 — Bajo</t>
        </is>
      </c>
      <c r="S205" s="20" t="inlineStr">
        <is>
          <t>2 — Bajo</t>
        </is>
      </c>
      <c r="T205" s="19">
        <f>MAX(IFERROR(VLOOKUP(Q205,MgValor,2,0),0),IFERROR(VLOOKUP(R205,MgValor,2,0),0),IFERROR(VLOOKUP(S205,MgValor,2,0),0))</f>
        <v/>
      </c>
      <c r="U205" s="19">
        <f>IFERROR(LOOKUP(T205,{0;1;2;3;4;5},{"Irrelevante";"Muy Bajo";"Bajo";"Medio";"Alto";"Muy Alto"}),"")</f>
        <v/>
      </c>
    </row>
    <row r="206" ht="30" customHeight="1" s="54">
      <c r="B206" s="59" t="inlineStr">
        <is>
          <t>TEC-072</t>
        </is>
      </c>
      <c r="C206" s="13" t="inlineStr">
        <is>
          <t>vpc-055a42a5c0e126779</t>
        </is>
      </c>
      <c r="D206" s="13" t="n"/>
      <c r="E206" s="20" t="inlineStr">
        <is>
          <t>[COM] Redes de comunicaciones</t>
        </is>
      </c>
      <c r="F206" s="20" t="inlineStr">
        <is>
          <t>[LAN] Red local</t>
        </is>
      </c>
      <c r="G206" s="21" t="inlineStr">
        <is>
          <t>Gestión Tecnológica</t>
        </is>
      </c>
      <c r="H206" s="21" t="inlineStr">
        <is>
          <t>Gestión Tecnológica</t>
        </is>
      </c>
      <c r="I206" s="21" t="n"/>
      <c r="J206" s="21" t="inlineStr">
        <is>
          <t>Nube</t>
        </is>
      </c>
      <c r="K206" s="21" t="inlineStr">
        <is>
          <t>Producción</t>
        </is>
      </c>
      <c r="L206" s="21" t="inlineStr">
        <is>
          <t>Por definir</t>
        </is>
      </c>
      <c r="M206" s="21" t="inlineStr">
        <is>
          <t>Por definir</t>
        </is>
      </c>
      <c r="N206" s="21" t="inlineStr">
        <is>
          <t>Por definir</t>
        </is>
      </c>
      <c r="O206" s="21" t="n"/>
      <c r="P206" s="21" t="n"/>
      <c r="Q206" s="20" t="inlineStr">
        <is>
          <t>2 — Bajo</t>
        </is>
      </c>
      <c r="R206" s="20" t="inlineStr">
        <is>
          <t>2 — Bajo</t>
        </is>
      </c>
      <c r="S206" s="20" t="inlineStr">
        <is>
          <t>2 — Bajo</t>
        </is>
      </c>
      <c r="T206" s="19">
        <f>MAX(IFERROR(VLOOKUP(Q206,MgValor,2,0),0),IFERROR(VLOOKUP(R206,MgValor,2,0),0),IFERROR(VLOOKUP(S206,MgValor,2,0),0))</f>
        <v/>
      </c>
      <c r="U206" s="19">
        <f>IFERROR(LOOKUP(T206,{0;1;2;3;4;5},{"Irrelevante";"Muy Bajo";"Bajo";"Medio";"Alto";"Muy Alto"}),"")</f>
        <v/>
      </c>
    </row>
    <row r="207" ht="30" customHeight="1" s="54">
      <c r="B207" s="59" t="inlineStr">
        <is>
          <t>TEC-073</t>
        </is>
      </c>
      <c r="C207" s="13" t="inlineStr">
        <is>
          <t>vpc-055a42a5c0e126779</t>
        </is>
      </c>
      <c r="D207" s="13" t="n"/>
      <c r="E207" s="20" t="inlineStr">
        <is>
          <t>[COM] Redes de comunicaciones</t>
        </is>
      </c>
      <c r="F207" s="20" t="inlineStr">
        <is>
          <t>[LAN] Red local</t>
        </is>
      </c>
      <c r="G207" s="21" t="inlineStr">
        <is>
          <t>Gestión Tecnológica</t>
        </is>
      </c>
      <c r="H207" s="21" t="inlineStr">
        <is>
          <t>Gestión Tecnológica</t>
        </is>
      </c>
      <c r="I207" s="21" t="n"/>
      <c r="J207" s="21" t="inlineStr">
        <is>
          <t>Nube</t>
        </is>
      </c>
      <c r="K207" s="21" t="inlineStr">
        <is>
          <t>Producción</t>
        </is>
      </c>
      <c r="L207" s="21" t="inlineStr">
        <is>
          <t>Por definir</t>
        </is>
      </c>
      <c r="M207" s="21" t="inlineStr">
        <is>
          <t>Por definir</t>
        </is>
      </c>
      <c r="N207" s="21" t="inlineStr">
        <is>
          <t>Por definir</t>
        </is>
      </c>
      <c r="O207" s="21" t="n"/>
      <c r="P207" s="21" t="n"/>
      <c r="Q207" s="20" t="inlineStr">
        <is>
          <t>2 — Bajo</t>
        </is>
      </c>
      <c r="R207" s="20" t="inlineStr">
        <is>
          <t>2 — Bajo</t>
        </is>
      </c>
      <c r="S207" s="20" t="inlineStr">
        <is>
          <t>2 — Bajo</t>
        </is>
      </c>
      <c r="T207" s="19">
        <f>MAX(IFERROR(VLOOKUP(Q207,MgValor,2,0),0),IFERROR(VLOOKUP(R207,MgValor,2,0),0),IFERROR(VLOOKUP(S207,MgValor,2,0),0))</f>
        <v/>
      </c>
      <c r="U207" s="19">
        <f>IFERROR(LOOKUP(T207,{0;1;2;3;4;5},{"Irrelevante";"Muy Bajo";"Bajo";"Medio";"Alto";"Muy Alto"}),"")</f>
        <v/>
      </c>
    </row>
    <row r="208" ht="45" customHeight="1" s="54">
      <c r="B208" s="59" t="inlineStr">
        <is>
          <t>FIN-13</t>
        </is>
      </c>
      <c r="C208" s="13" t="inlineStr">
        <is>
          <t>Repositorios documentales</t>
        </is>
      </c>
      <c r="D208" s="13" t="inlineStr">
        <is>
          <t>Soportes en papel: facturas, contratos, comprobantes</t>
        </is>
      </c>
      <c r="E208" s="20" t="inlineStr">
        <is>
          <t>[Media] Soportes de información</t>
        </is>
      </c>
      <c r="F208" s="20" t="inlineStr">
        <is>
          <t>[printed] Material impreso</t>
        </is>
      </c>
      <c r="G208" s="21" t="inlineStr">
        <is>
          <t>Gestión Financiera</t>
        </is>
      </c>
      <c r="H208" s="21" t="inlineStr">
        <is>
          <t>Finance and Administrative Manager</t>
        </is>
      </c>
      <c r="I208" s="21" t="n"/>
      <c r="J208" s="21" t="inlineStr">
        <is>
          <t>Física</t>
        </is>
      </c>
      <c r="K208" s="21" t="inlineStr">
        <is>
          <t>Producción</t>
        </is>
      </c>
      <c r="L208" s="21" t="inlineStr">
        <is>
          <t>Sí</t>
        </is>
      </c>
      <c r="M208" s="21" t="inlineStr">
        <is>
          <t>Por definir</t>
        </is>
      </c>
      <c r="N208" s="21" t="inlineStr">
        <is>
          <t>Por definir</t>
        </is>
      </c>
      <c r="O208" s="21" t="n"/>
      <c r="P208" s="21" t="n"/>
      <c r="Q208" s="20" t="inlineStr">
        <is>
          <t>3 — Medio</t>
        </is>
      </c>
      <c r="R208" s="20" t="inlineStr">
        <is>
          <t>4 — Alto</t>
        </is>
      </c>
      <c r="S208" s="20" t="inlineStr">
        <is>
          <t>3 — Medio</t>
        </is>
      </c>
      <c r="T208" s="19">
        <f>MAX(IFERROR(VLOOKUP(Q208,MgValor,2,0),0),IFERROR(VLOOKUP(R208,MgValor,2,0),0),IFERROR(VLOOKUP(S208,MgValor,2,0),0))</f>
        <v/>
      </c>
      <c r="U208" s="19">
        <f>IFERROR(LOOKUP(T208,{0;1;2;3;4;5},{"Irrelevante";"Muy Bajo";"Bajo";"Medio";"Alto";"Muy Alto"}),"")</f>
        <v/>
      </c>
    </row>
    <row r="209" ht="30" customHeight="1" s="54">
      <c r="B209" s="59" t="inlineStr">
        <is>
          <t>TEC-012</t>
        </is>
      </c>
      <c r="C209" s="13" t="inlineStr">
        <is>
          <t>S3-Backups</t>
        </is>
      </c>
      <c r="D209" s="13" t="n"/>
      <c r="E209" s="20" t="inlineStr">
        <is>
          <t>[Media] Soportes de información</t>
        </is>
      </c>
      <c r="F209" s="20" t="inlineStr">
        <is>
          <t>[vdisk] Discos virtuales</t>
        </is>
      </c>
      <c r="G209" s="21" t="inlineStr">
        <is>
          <t>Gestión Tecnológica</t>
        </is>
      </c>
      <c r="H209" s="21" t="inlineStr">
        <is>
          <t>Gestión Tecnológica</t>
        </is>
      </c>
      <c r="I209" s="21" t="n"/>
      <c r="J209" s="21" t="inlineStr">
        <is>
          <t>Nube</t>
        </is>
      </c>
      <c r="K209" s="21" t="inlineStr">
        <is>
          <t>Producción</t>
        </is>
      </c>
      <c r="L209" s="21" t="inlineStr">
        <is>
          <t>Por definir</t>
        </is>
      </c>
      <c r="M209" s="21" t="inlineStr">
        <is>
          <t>Por definir</t>
        </is>
      </c>
      <c r="N209" s="21" t="inlineStr">
        <is>
          <t>Por definir</t>
        </is>
      </c>
      <c r="O209" s="21" t="n"/>
      <c r="P209" s="21" t="n"/>
      <c r="Q209" s="20" t="inlineStr">
        <is>
          <t>3 — Medio</t>
        </is>
      </c>
      <c r="R209" s="20" t="inlineStr">
        <is>
          <t>3 — Medio</t>
        </is>
      </c>
      <c r="S209" s="20" t="inlineStr">
        <is>
          <t>4 — Alto</t>
        </is>
      </c>
      <c r="T209" s="19">
        <f>MAX(IFERROR(VLOOKUP(Q209,MgValor,2,0),0),IFERROR(VLOOKUP(R209,MgValor,2,0),0),IFERROR(VLOOKUP(S209,MgValor,2,0),0))</f>
        <v/>
      </c>
      <c r="U209" s="19">
        <f>IFERROR(LOOKUP(T209,{0;1;2;3;4;5},{"Irrelevante";"Muy Bajo";"Bajo";"Medio";"Alto";"Muy Alto"}),"")</f>
        <v/>
      </c>
    </row>
    <row r="210" ht="30" customHeight="1" s="54">
      <c r="B210" s="59" t="inlineStr">
        <is>
          <t>TEC-016</t>
        </is>
      </c>
      <c r="C210" s="13" t="inlineStr">
        <is>
          <t>aws-cost-reports-cuantico</t>
        </is>
      </c>
      <c r="D210" s="13" t="n"/>
      <c r="E210" s="20" t="inlineStr">
        <is>
          <t>[Media] Soportes de información</t>
        </is>
      </c>
      <c r="F210" s="20" t="inlineStr">
        <is>
          <t>[vdisk] Discos virtuales</t>
        </is>
      </c>
      <c r="G210" s="21" t="inlineStr">
        <is>
          <t>Gestión Tecnológica</t>
        </is>
      </c>
      <c r="H210" s="21" t="inlineStr">
        <is>
          <t>Gestión Tecnológica</t>
        </is>
      </c>
      <c r="I210" s="21" t="n"/>
      <c r="J210" s="21" t="inlineStr">
        <is>
          <t>Nube</t>
        </is>
      </c>
      <c r="K210" s="21" t="inlineStr">
        <is>
          <t>Producción</t>
        </is>
      </c>
      <c r="L210" s="21" t="inlineStr">
        <is>
          <t>Por definir</t>
        </is>
      </c>
      <c r="M210" s="21" t="inlineStr">
        <is>
          <t>Por definir</t>
        </is>
      </c>
      <c r="N210" s="21" t="inlineStr">
        <is>
          <t>Por definir</t>
        </is>
      </c>
      <c r="O210" s="21" t="n"/>
      <c r="P210" s="21" t="n"/>
      <c r="Q210" s="20" t="inlineStr">
        <is>
          <t>2 — Bajo</t>
        </is>
      </c>
      <c r="R210" s="20" t="inlineStr">
        <is>
          <t>2 — Bajo</t>
        </is>
      </c>
      <c r="S210" s="20" t="inlineStr">
        <is>
          <t>2 — Bajo</t>
        </is>
      </c>
      <c r="T210" s="19">
        <f>MAX(IFERROR(VLOOKUP(Q210,MgValor,2,0),0),IFERROR(VLOOKUP(R210,MgValor,2,0),0),IFERROR(VLOOKUP(S210,MgValor,2,0),0))</f>
        <v/>
      </c>
      <c r="U210" s="19">
        <f>IFERROR(LOOKUP(T210,{0;1;2;3;4;5},{"Irrelevante";"Muy Bajo";"Bajo";"Medio";"Alto";"Muy Alto"}),"")</f>
        <v/>
      </c>
    </row>
    <row r="211" ht="30" customHeight="1" s="54">
      <c r="B211" s="59" t="inlineStr">
        <is>
          <t>TEC-017</t>
        </is>
      </c>
      <c r="C211" s="13" t="inlineStr">
        <is>
          <t>bck-ml-sftp-space</t>
        </is>
      </c>
      <c r="D211" s="13" t="n"/>
      <c r="E211" s="20" t="inlineStr">
        <is>
          <t>[Media] Soportes de información</t>
        </is>
      </c>
      <c r="F211" s="20" t="inlineStr">
        <is>
          <t>[vdisk] Discos virtuales</t>
        </is>
      </c>
      <c r="G211" s="21" t="inlineStr">
        <is>
          <t>Gestión Tecnológica</t>
        </is>
      </c>
      <c r="H211" s="21" t="inlineStr">
        <is>
          <t>Gestión Tecnológica</t>
        </is>
      </c>
      <c r="I211" s="21" t="n"/>
      <c r="J211" s="21" t="inlineStr">
        <is>
          <t>Nube</t>
        </is>
      </c>
      <c r="K211" s="21" t="inlineStr">
        <is>
          <t>Producción</t>
        </is>
      </c>
      <c r="L211" s="21" t="inlineStr">
        <is>
          <t>Por definir</t>
        </is>
      </c>
      <c r="M211" s="21" t="inlineStr">
        <is>
          <t>Por definir</t>
        </is>
      </c>
      <c r="N211" s="21" t="inlineStr">
        <is>
          <t>Por definir</t>
        </is>
      </c>
      <c r="O211" s="21" t="n"/>
      <c r="P211" s="21" t="n"/>
      <c r="Q211" s="20" t="inlineStr">
        <is>
          <t>2 — Bajo</t>
        </is>
      </c>
      <c r="R211" s="20" t="inlineStr">
        <is>
          <t>2 — Bajo</t>
        </is>
      </c>
      <c r="S211" s="20" t="inlineStr">
        <is>
          <t>2 — Bajo</t>
        </is>
      </c>
      <c r="T211" s="19">
        <f>MAX(IFERROR(VLOOKUP(Q211,MgValor,2,0),0),IFERROR(VLOOKUP(R211,MgValor,2,0),0),IFERROR(VLOOKUP(S211,MgValor,2,0),0))</f>
        <v/>
      </c>
      <c r="U211" s="19">
        <f>IFERROR(LOOKUP(T211,{0;1;2;3;4;5},{"Irrelevante";"Muy Bajo";"Bajo";"Medio";"Alto";"Muy Alto"}),"")</f>
        <v/>
      </c>
    </row>
    <row r="212" ht="30" customHeight="1" s="54">
      <c r="B212" s="59" t="inlineStr">
        <is>
          <t>TEC-019</t>
        </is>
      </c>
      <c r="C212" s="13" t="inlineStr">
        <is>
          <t>cuantai-bck-cluster</t>
        </is>
      </c>
      <c r="D212" s="13" t="n"/>
      <c r="E212" s="20" t="inlineStr">
        <is>
          <t>[Media] Soportes de información</t>
        </is>
      </c>
      <c r="F212" s="20" t="inlineStr">
        <is>
          <t>[vdisk] Discos virtuales</t>
        </is>
      </c>
      <c r="G212" s="21" t="inlineStr">
        <is>
          <t>Gestión Tecnológica</t>
        </is>
      </c>
      <c r="H212" s="21" t="inlineStr">
        <is>
          <t>Gestión Tecnológica</t>
        </is>
      </c>
      <c r="I212" s="21" t="n"/>
      <c r="J212" s="21" t="inlineStr">
        <is>
          <t>Nube</t>
        </is>
      </c>
      <c r="K212" s="21" t="inlineStr">
        <is>
          <t>Producción</t>
        </is>
      </c>
      <c r="L212" s="21" t="inlineStr">
        <is>
          <t>Por definir</t>
        </is>
      </c>
      <c r="M212" s="21" t="inlineStr">
        <is>
          <t>Por definir</t>
        </is>
      </c>
      <c r="N212" s="21" t="inlineStr">
        <is>
          <t>Por definir</t>
        </is>
      </c>
      <c r="O212" s="21" t="n"/>
      <c r="P212" s="21" t="n"/>
      <c r="Q212" s="20" t="inlineStr">
        <is>
          <t>2 — Bajo</t>
        </is>
      </c>
      <c r="R212" s="20" t="inlineStr">
        <is>
          <t>2 — Bajo</t>
        </is>
      </c>
      <c r="S212" s="20" t="inlineStr">
        <is>
          <t>2 — Bajo</t>
        </is>
      </c>
      <c r="T212" s="19">
        <f>MAX(IFERROR(VLOOKUP(Q212,MgValor,2,0),0),IFERROR(VLOOKUP(R212,MgValor,2,0),0),IFERROR(VLOOKUP(S212,MgValor,2,0),0))</f>
        <v/>
      </c>
      <c r="U212" s="19">
        <f>IFERROR(LOOKUP(T212,{0;1;2;3;4;5},{"Irrelevante";"Muy Bajo";"Bajo";"Medio";"Alto";"Muy Alto"}),"")</f>
        <v/>
      </c>
    </row>
    <row r="213" ht="30" customHeight="1" s="54">
      <c r="B213" s="59" t="inlineStr">
        <is>
          <t>TEC-020</t>
        </is>
      </c>
      <c r="C213" s="13" t="inlineStr">
        <is>
          <t>cuantaia-bck-ec2</t>
        </is>
      </c>
      <c r="D213" s="13" t="n"/>
      <c r="E213" s="20" t="inlineStr">
        <is>
          <t>[Media] Soportes de información</t>
        </is>
      </c>
      <c r="F213" s="20" t="inlineStr">
        <is>
          <t>[vdisk] Discos virtuales</t>
        </is>
      </c>
      <c r="G213" s="21" t="inlineStr">
        <is>
          <t>Gestión Tecnológica</t>
        </is>
      </c>
      <c r="H213" s="21" t="inlineStr">
        <is>
          <t>Gestión Tecnológica</t>
        </is>
      </c>
      <c r="I213" s="21" t="n"/>
      <c r="J213" s="21" t="inlineStr">
        <is>
          <t>Nube</t>
        </is>
      </c>
      <c r="K213" s="21" t="inlineStr">
        <is>
          <t>Producción</t>
        </is>
      </c>
      <c r="L213" s="21" t="inlineStr">
        <is>
          <t>Por definir</t>
        </is>
      </c>
      <c r="M213" s="21" t="inlineStr">
        <is>
          <t>Por definir</t>
        </is>
      </c>
      <c r="N213" s="21" t="inlineStr">
        <is>
          <t>Por definir</t>
        </is>
      </c>
      <c r="O213" s="21" t="n"/>
      <c r="P213" s="21" t="n"/>
      <c r="Q213" s="20" t="inlineStr">
        <is>
          <t>2 — Bajo</t>
        </is>
      </c>
      <c r="R213" s="20" t="inlineStr">
        <is>
          <t>2 — Bajo</t>
        </is>
      </c>
      <c r="S213" s="20" t="inlineStr">
        <is>
          <t>2 — Bajo</t>
        </is>
      </c>
      <c r="T213" s="19">
        <f>MAX(IFERROR(VLOOKUP(Q213,MgValor,2,0),0),IFERROR(VLOOKUP(R213,MgValor,2,0),0),IFERROR(VLOOKUP(S213,MgValor,2,0),0))</f>
        <v/>
      </c>
      <c r="U213" s="19">
        <f>IFERROR(LOOKUP(T213,{0;1;2;3;4;5},{"Irrelevante";"Muy Bajo";"Bajo";"Medio";"Alto";"Muy Alto"}),"")</f>
        <v/>
      </c>
    </row>
    <row r="214" ht="30" customHeight="1" s="54">
      <c r="B214" s="59" t="inlineStr">
        <is>
          <t>TEC-021</t>
        </is>
      </c>
      <c r="C214" s="13" t="inlineStr">
        <is>
          <t>cuantico-backup-sharepoint</t>
        </is>
      </c>
      <c r="D214" s="13" t="n"/>
      <c r="E214" s="20" t="inlineStr">
        <is>
          <t>[Media] Soportes de información</t>
        </is>
      </c>
      <c r="F214" s="20" t="inlineStr">
        <is>
          <t>[vdisk] Discos virtuales</t>
        </is>
      </c>
      <c r="G214" s="21" t="inlineStr">
        <is>
          <t>Gestión Tecnológica</t>
        </is>
      </c>
      <c r="H214" s="21" t="inlineStr">
        <is>
          <t>Gestión Tecnológica</t>
        </is>
      </c>
      <c r="I214" s="21" t="n"/>
      <c r="J214" s="21" t="inlineStr">
        <is>
          <t>Nube</t>
        </is>
      </c>
      <c r="K214" s="21" t="inlineStr">
        <is>
          <t>Producción</t>
        </is>
      </c>
      <c r="L214" s="21" t="inlineStr">
        <is>
          <t>Por definir</t>
        </is>
      </c>
      <c r="M214" s="21" t="inlineStr">
        <is>
          <t>Por definir</t>
        </is>
      </c>
      <c r="N214" s="21" t="inlineStr">
        <is>
          <t>Por definir</t>
        </is>
      </c>
      <c r="O214" s="21" t="n"/>
      <c r="P214" s="21" t="n"/>
      <c r="Q214" s="20" t="inlineStr">
        <is>
          <t>2 — Bajo</t>
        </is>
      </c>
      <c r="R214" s="20" t="inlineStr">
        <is>
          <t>2 — Bajo</t>
        </is>
      </c>
      <c r="S214" s="20" t="inlineStr">
        <is>
          <t>2 — Bajo</t>
        </is>
      </c>
      <c r="T214" s="19">
        <f>MAX(IFERROR(VLOOKUP(Q214,MgValor,2,0),0),IFERROR(VLOOKUP(R214,MgValor,2,0),0),IFERROR(VLOOKUP(S214,MgValor,2,0),0))</f>
        <v/>
      </c>
      <c r="U214" s="19">
        <f>IFERROR(LOOKUP(T214,{0;1;2;3;4;5},{"Irrelevante";"Muy Bajo";"Bajo";"Medio";"Alto";"Muy Alto"}),"")</f>
        <v/>
      </c>
    </row>
    <row r="215" ht="30" customHeight="1" s="54">
      <c r="B215" s="59" t="inlineStr">
        <is>
          <t>TEC-022</t>
        </is>
      </c>
      <c r="C215" s="13" t="inlineStr">
        <is>
          <t>cuantico-ilc-backup</t>
        </is>
      </c>
      <c r="D215" s="13" t="n"/>
      <c r="E215" s="20" t="inlineStr">
        <is>
          <t>[Media] Soportes de información</t>
        </is>
      </c>
      <c r="F215" s="20" t="inlineStr">
        <is>
          <t>[vdisk] Discos virtuales</t>
        </is>
      </c>
      <c r="G215" s="21" t="inlineStr">
        <is>
          <t>Gestión Tecnológica</t>
        </is>
      </c>
      <c r="H215" s="21" t="inlineStr">
        <is>
          <t>Gestión Tecnológica</t>
        </is>
      </c>
      <c r="I215" s="21" t="n"/>
      <c r="J215" s="21" t="inlineStr">
        <is>
          <t>Nube</t>
        </is>
      </c>
      <c r="K215" s="21" t="inlineStr">
        <is>
          <t>Producción</t>
        </is>
      </c>
      <c r="L215" s="21" t="inlineStr">
        <is>
          <t>Por definir</t>
        </is>
      </c>
      <c r="M215" s="21" t="inlineStr">
        <is>
          <t>Por definir</t>
        </is>
      </c>
      <c r="N215" s="21" t="inlineStr">
        <is>
          <t>Por definir</t>
        </is>
      </c>
      <c r="O215" s="21" t="n"/>
      <c r="P215" s="21" t="n"/>
      <c r="Q215" s="20" t="inlineStr">
        <is>
          <t>2 — Bajo</t>
        </is>
      </c>
      <c r="R215" s="20" t="inlineStr">
        <is>
          <t>2 — Bajo</t>
        </is>
      </c>
      <c r="S215" s="20" t="inlineStr">
        <is>
          <t>2 — Bajo</t>
        </is>
      </c>
      <c r="T215" s="19">
        <f>MAX(IFERROR(VLOOKUP(Q215,MgValor,2,0),0),IFERROR(VLOOKUP(R215,MgValor,2,0),0),IFERROR(VLOOKUP(S215,MgValor,2,0),0))</f>
        <v/>
      </c>
      <c r="U215" s="19">
        <f>IFERROR(LOOKUP(T215,{0;1;2;3;4;5},{"Irrelevante";"Muy Bajo";"Bajo";"Medio";"Alto";"Muy Alto"}),"")</f>
        <v/>
      </c>
    </row>
    <row r="216" ht="30" customHeight="1" s="54">
      <c r="B216" s="59" t="inlineStr">
        <is>
          <t>TEC-023</t>
        </is>
      </c>
      <c r="C216" s="13" t="inlineStr">
        <is>
          <t>database-log-collect</t>
        </is>
      </c>
      <c r="D216" s="13" t="n"/>
      <c r="E216" s="20" t="inlineStr">
        <is>
          <t>[Media] Soportes de información</t>
        </is>
      </c>
      <c r="F216" s="20" t="inlineStr">
        <is>
          <t>[vdisk] Discos virtuales</t>
        </is>
      </c>
      <c r="G216" s="21" t="inlineStr">
        <is>
          <t>Gestión Tecnológica</t>
        </is>
      </c>
      <c r="H216" s="21" t="inlineStr">
        <is>
          <t>Gestión Tecnológica</t>
        </is>
      </c>
      <c r="I216" s="21" t="n"/>
      <c r="J216" s="21" t="inlineStr">
        <is>
          <t>Nube</t>
        </is>
      </c>
      <c r="K216" s="21" t="inlineStr">
        <is>
          <t>Producción</t>
        </is>
      </c>
      <c r="L216" s="21" t="inlineStr">
        <is>
          <t>Por definir</t>
        </is>
      </c>
      <c r="M216" s="21" t="inlineStr">
        <is>
          <t>Por definir</t>
        </is>
      </c>
      <c r="N216" s="21" t="inlineStr">
        <is>
          <t>Por definir</t>
        </is>
      </c>
      <c r="O216" s="21" t="n"/>
      <c r="P216" s="21" t="n"/>
      <c r="Q216" s="20" t="inlineStr">
        <is>
          <t>2 — Bajo</t>
        </is>
      </c>
      <c r="R216" s="20" t="inlineStr">
        <is>
          <t>2 — Bajo</t>
        </is>
      </c>
      <c r="S216" s="20" t="inlineStr">
        <is>
          <t>2 — Bajo</t>
        </is>
      </c>
      <c r="T216" s="19">
        <f>MAX(IFERROR(VLOOKUP(Q216,MgValor,2,0),0),IFERROR(VLOOKUP(R216,MgValor,2,0),0),IFERROR(VLOOKUP(S216,MgValor,2,0),0))</f>
        <v/>
      </c>
      <c r="U216" s="19">
        <f>IFERROR(LOOKUP(T216,{0;1;2;3;4;5},{"Irrelevante";"Muy Bajo";"Bajo";"Medio";"Alto";"Muy Alto"}),"")</f>
        <v/>
      </c>
    </row>
    <row r="217" ht="30" customHeight="1" s="54">
      <c r="B217" s="59" t="inlineStr">
        <is>
          <t>TEC-031</t>
        </is>
      </c>
      <c r="C217" s="13" t="inlineStr">
        <is>
          <t>mintrace-bucket</t>
        </is>
      </c>
      <c r="D217" s="13" t="n"/>
      <c r="E217" s="20" t="inlineStr">
        <is>
          <t>[Media] Soportes de información</t>
        </is>
      </c>
      <c r="F217" s="20" t="inlineStr">
        <is>
          <t>[vdisk] Discos virtuales</t>
        </is>
      </c>
      <c r="G217" s="21" t="inlineStr">
        <is>
          <t>Gestión Tecnológica</t>
        </is>
      </c>
      <c r="H217" s="21" t="inlineStr">
        <is>
          <t>Gestión Tecnológica</t>
        </is>
      </c>
      <c r="I217" s="21" t="n"/>
      <c r="J217" s="21" t="inlineStr">
        <is>
          <t>Nube</t>
        </is>
      </c>
      <c r="K217" s="21" t="inlineStr">
        <is>
          <t>Producción</t>
        </is>
      </c>
      <c r="L217" s="21" t="inlineStr">
        <is>
          <t>Sí</t>
        </is>
      </c>
      <c r="M217" s="21" t="inlineStr">
        <is>
          <t>Por definir</t>
        </is>
      </c>
      <c r="N217" s="21" t="inlineStr">
        <is>
          <t>Por definir</t>
        </is>
      </c>
      <c r="O217" s="21" t="n"/>
      <c r="P217" s="21" t="n"/>
      <c r="Q217" s="20" t="inlineStr">
        <is>
          <t>2 — Bajo</t>
        </is>
      </c>
      <c r="R217" s="20" t="inlineStr">
        <is>
          <t>2 — Bajo</t>
        </is>
      </c>
      <c r="S217" s="20" t="inlineStr">
        <is>
          <t>2 — Bajo</t>
        </is>
      </c>
      <c r="T217" s="19">
        <f>MAX(IFERROR(VLOOKUP(Q217,MgValor,2,0),0),IFERROR(VLOOKUP(R217,MgValor,2,0),0),IFERROR(VLOOKUP(S217,MgValor,2,0),0))</f>
        <v/>
      </c>
      <c r="U217" s="19">
        <f>IFERROR(LOOKUP(T217,{0;1;2;3;4;5},{"Irrelevante";"Muy Bajo";"Bajo";"Medio";"Alto";"Muy Alto"}),"")</f>
        <v/>
      </c>
    </row>
    <row r="218" ht="30" customHeight="1" s="54">
      <c r="B218" s="59" t="inlineStr">
        <is>
          <t>TEC-035</t>
        </is>
      </c>
      <c r="C218" s="13" t="inlineStr">
        <is>
          <t>monitor-cuantico</t>
        </is>
      </c>
      <c r="D218" s="13" t="n"/>
      <c r="E218" s="20" t="inlineStr">
        <is>
          <t>[Media] Soportes de información</t>
        </is>
      </c>
      <c r="F218" s="20" t="inlineStr">
        <is>
          <t>[vdisk] Discos virtuales</t>
        </is>
      </c>
      <c r="G218" s="21" t="inlineStr">
        <is>
          <t>Gestión Tecnológica</t>
        </is>
      </c>
      <c r="H218" s="21" t="inlineStr">
        <is>
          <t>Gestión Tecnológica</t>
        </is>
      </c>
      <c r="I218" s="21" t="n"/>
      <c r="J218" s="21" t="inlineStr">
        <is>
          <t>Nube</t>
        </is>
      </c>
      <c r="K218" s="21" t="inlineStr">
        <is>
          <t>Producción</t>
        </is>
      </c>
      <c r="L218" s="21" t="inlineStr">
        <is>
          <t>Por definir</t>
        </is>
      </c>
      <c r="M218" s="21" t="inlineStr">
        <is>
          <t>Por definir</t>
        </is>
      </c>
      <c r="N218" s="21" t="inlineStr">
        <is>
          <t>Por definir</t>
        </is>
      </c>
      <c r="O218" s="21" t="n"/>
      <c r="P218" s="21" t="n"/>
      <c r="Q218" s="20" t="inlineStr">
        <is>
          <t>2 — Bajo</t>
        </is>
      </c>
      <c r="R218" s="20" t="inlineStr">
        <is>
          <t>2 — Bajo</t>
        </is>
      </c>
      <c r="S218" s="20" t="inlineStr">
        <is>
          <t>2 — Bajo</t>
        </is>
      </c>
      <c r="T218" s="19">
        <f>MAX(IFERROR(VLOOKUP(Q218,MgValor,2,0),0),IFERROR(VLOOKUP(R218,MgValor,2,0),0),IFERROR(VLOOKUP(S218,MgValor,2,0),0))</f>
        <v/>
      </c>
      <c r="U218" s="19">
        <f>IFERROR(LOOKUP(T218,{0;1;2;3;4;5},{"Irrelevante";"Muy Bajo";"Bajo";"Medio";"Alto";"Muy Alto"}),"")</f>
        <v/>
      </c>
    </row>
    <row r="219" ht="30" customHeight="1" s="54">
      <c r="B219" s="59" t="inlineStr">
        <is>
          <t>TEC-038</t>
        </is>
      </c>
      <c r="C219" s="13" t="inlineStr">
        <is>
          <t>ottm-bucket</t>
        </is>
      </c>
      <c r="D219" s="13" t="n"/>
      <c r="E219" s="20" t="inlineStr">
        <is>
          <t>[Media] Soportes de información</t>
        </is>
      </c>
      <c r="F219" s="20" t="inlineStr">
        <is>
          <t>[vdisk] Discos virtuales</t>
        </is>
      </c>
      <c r="G219" s="21" t="inlineStr">
        <is>
          <t>Gestión Tecnológica</t>
        </is>
      </c>
      <c r="H219" s="21" t="inlineStr">
        <is>
          <t>Gestión Tecnológica</t>
        </is>
      </c>
      <c r="I219" s="21" t="n"/>
      <c r="J219" s="21" t="inlineStr">
        <is>
          <t>Nube</t>
        </is>
      </c>
      <c r="K219" s="21" t="inlineStr">
        <is>
          <t>Producción</t>
        </is>
      </c>
      <c r="L219" s="21" t="inlineStr">
        <is>
          <t>Por definir</t>
        </is>
      </c>
      <c r="M219" s="21" t="inlineStr">
        <is>
          <t>Por definir</t>
        </is>
      </c>
      <c r="N219" s="21" t="inlineStr">
        <is>
          <t>Por definir</t>
        </is>
      </c>
      <c r="O219" s="21" t="n"/>
      <c r="P219" s="21" t="n"/>
      <c r="Q219" s="20" t="inlineStr">
        <is>
          <t>2 — Bajo</t>
        </is>
      </c>
      <c r="R219" s="20" t="inlineStr">
        <is>
          <t>2 — Bajo</t>
        </is>
      </c>
      <c r="S219" s="20" t="inlineStr">
        <is>
          <t>2 — Bajo</t>
        </is>
      </c>
      <c r="T219" s="19">
        <f>MAX(IFERROR(VLOOKUP(Q219,MgValor,2,0),0),IFERROR(VLOOKUP(R219,MgValor,2,0),0),IFERROR(VLOOKUP(S219,MgValor,2,0),0))</f>
        <v/>
      </c>
      <c r="U219" s="19">
        <f>IFERROR(LOOKUP(T219,{0;1;2;3;4;5},{"Irrelevante";"Muy Bajo";"Bajo";"Medio";"Alto";"Muy Alto"}),"")</f>
        <v/>
      </c>
    </row>
    <row r="220" ht="30" customHeight="1" s="54">
      <c r="B220" s="59" t="inlineStr">
        <is>
          <t>TEC-055</t>
        </is>
      </c>
      <c r="C220" s="13" t="inlineStr">
        <is>
          <t>stack-backups-coolify</t>
        </is>
      </c>
      <c r="D220" s="13" t="n"/>
      <c r="E220" s="20" t="inlineStr">
        <is>
          <t>[Media] Soportes de información</t>
        </is>
      </c>
      <c r="F220" s="20" t="inlineStr">
        <is>
          <t>[vdisk] Discos virtuales</t>
        </is>
      </c>
      <c r="G220" s="21" t="inlineStr">
        <is>
          <t>Gestión Tecnológica</t>
        </is>
      </c>
      <c r="H220" s="21" t="inlineStr">
        <is>
          <t>Gestión Tecnológica</t>
        </is>
      </c>
      <c r="I220" s="21" t="n"/>
      <c r="J220" s="21" t="inlineStr">
        <is>
          <t>Nube</t>
        </is>
      </c>
      <c r="K220" s="21" t="inlineStr">
        <is>
          <t>Producción</t>
        </is>
      </c>
      <c r="L220" s="21" t="inlineStr">
        <is>
          <t>Por definir</t>
        </is>
      </c>
      <c r="M220" s="21" t="inlineStr">
        <is>
          <t>Por definir</t>
        </is>
      </c>
      <c r="N220" s="21" t="inlineStr">
        <is>
          <t>Por definir</t>
        </is>
      </c>
      <c r="O220" s="21" t="n"/>
      <c r="P220" s="21" t="n"/>
      <c r="Q220" s="20" t="inlineStr">
        <is>
          <t>2 — Bajo</t>
        </is>
      </c>
      <c r="R220" s="20" t="inlineStr">
        <is>
          <t>2 — Bajo</t>
        </is>
      </c>
      <c r="S220" s="20" t="inlineStr">
        <is>
          <t>2 — Bajo</t>
        </is>
      </c>
      <c r="T220" s="19">
        <f>MAX(IFERROR(VLOOKUP(Q220,MgValor,2,0),0),IFERROR(VLOOKUP(R220,MgValor,2,0),0),IFERROR(VLOOKUP(S220,MgValor,2,0),0))</f>
        <v/>
      </c>
      <c r="U220" s="19">
        <f>IFERROR(LOOKUP(T220,{0;1;2;3;4;5},{"Irrelevante";"Muy Bajo";"Bajo";"Medio";"Alto";"Muy Alto"}),"")</f>
        <v/>
      </c>
    </row>
    <row r="221" ht="30" customHeight="1" s="54">
      <c r="B221" s="59" t="inlineStr">
        <is>
          <t>LCO-11</t>
        </is>
      </c>
      <c r="C221" s="13" t="inlineStr">
        <is>
          <t>Abogados externos</t>
        </is>
      </c>
      <c r="D221" s="13" t="inlineStr">
        <is>
          <t>Apoyo legal especializado externo</t>
        </is>
      </c>
      <c r="E221" s="20" t="inlineStr">
        <is>
          <t>[P] Personal</t>
        </is>
      </c>
      <c r="F221" s="20" t="inlineStr">
        <is>
          <t>[sub] Subcontratas</t>
        </is>
      </c>
      <c r="G221" s="21" t="inlineStr">
        <is>
          <t>Gestión Legal y Compras</t>
        </is>
      </c>
      <c r="H221" s="21" t="inlineStr">
        <is>
          <t>Chief Legal Officer</t>
        </is>
      </c>
      <c r="I221" s="21" t="n"/>
      <c r="J221" s="21" t="inlineStr">
        <is>
          <t>N.A.</t>
        </is>
      </c>
      <c r="K221" s="21" t="inlineStr">
        <is>
          <t>No aplica</t>
        </is>
      </c>
      <c r="L221" s="21" t="inlineStr">
        <is>
          <t>Por definir</t>
        </is>
      </c>
      <c r="M221" s="21" t="inlineStr">
        <is>
          <t>Por definir</t>
        </is>
      </c>
      <c r="N221" s="21" t="inlineStr">
        <is>
          <t>Por definir</t>
        </is>
      </c>
      <c r="O221" s="21" t="n"/>
      <c r="P221" s="21" t="n"/>
      <c r="Q221" s="20" t="inlineStr">
        <is>
          <t>3 — Medio</t>
        </is>
      </c>
      <c r="R221" s="20" t="inlineStr">
        <is>
          <t>2 — Bajo</t>
        </is>
      </c>
      <c r="S221" s="20" t="inlineStr">
        <is>
          <t>3 — Medio</t>
        </is>
      </c>
      <c r="T221" s="19">
        <f>MAX(IFERROR(VLOOKUP(Q221,MgValor,2,0),0),IFERROR(VLOOKUP(R221,MgValor,2,0),0),IFERROR(VLOOKUP(S221,MgValor,2,0),0))</f>
        <v/>
      </c>
      <c r="U221" s="19">
        <f>IFERROR(LOOKUP(T221,{0;1;2;3;4;5},{"Irrelevante";"Muy Bajo";"Bajo";"Medio";"Alto";"Muy Alto"}),"")</f>
        <v/>
      </c>
    </row>
    <row r="222" ht="30" customHeight="1" s="54">
      <c r="B222" s="59" t="inlineStr">
        <is>
          <t>LCO-12</t>
        </is>
      </c>
      <c r="C222" s="13" t="inlineStr">
        <is>
          <t>Personal externo</t>
        </is>
      </c>
      <c r="D222" s="13" t="inlineStr">
        <is>
          <t>Apoyo puntual externo</t>
        </is>
      </c>
      <c r="E222" s="20" t="inlineStr">
        <is>
          <t>[P] Personal</t>
        </is>
      </c>
      <c r="F222" s="20" t="inlineStr">
        <is>
          <t>[sub] Subcontratas</t>
        </is>
      </c>
      <c r="G222" s="21" t="inlineStr">
        <is>
          <t>Gestión Legal y Compras</t>
        </is>
      </c>
      <c r="H222" s="21" t="inlineStr">
        <is>
          <t>Chief Legal Officer</t>
        </is>
      </c>
      <c r="I222" s="21" t="n"/>
      <c r="J222" s="21" t="inlineStr">
        <is>
          <t>N.A.</t>
        </is>
      </c>
      <c r="K222" s="21" t="inlineStr">
        <is>
          <t>No aplica</t>
        </is>
      </c>
      <c r="L222" s="21" t="inlineStr">
        <is>
          <t>Por definir</t>
        </is>
      </c>
      <c r="M222" s="21" t="inlineStr">
        <is>
          <t>Sí</t>
        </is>
      </c>
      <c r="N222" s="21" t="inlineStr">
        <is>
          <t>Por definir</t>
        </is>
      </c>
      <c r="O222" s="21" t="n"/>
      <c r="P222" s="21" t="n"/>
      <c r="Q222" s="20" t="inlineStr">
        <is>
          <t>3 — Medio</t>
        </is>
      </c>
      <c r="R222" s="20" t="inlineStr">
        <is>
          <t>2 — Bajo</t>
        </is>
      </c>
      <c r="S222" s="20" t="inlineStr">
        <is>
          <t>3 — Medio</t>
        </is>
      </c>
      <c r="T222" s="19">
        <f>MAX(IFERROR(VLOOKUP(Q222,MgValor,2,0),0),IFERROR(VLOOKUP(R222,MgValor,2,0),0),IFERROR(VLOOKUP(S222,MgValor,2,0),0))</f>
        <v/>
      </c>
      <c r="U222" s="19">
        <f>IFERROR(LOOKUP(T222,{0;1;2;3;4;5},{"Irrelevante";"Muy Bajo";"Bajo";"Medio";"Alto";"Muy Alto"}),"")</f>
        <v/>
      </c>
    </row>
    <row r="223" ht="45" customHeight="1" s="54">
      <c r="B223" s="59" t="inlineStr">
        <is>
          <t>TAL-17</t>
        </is>
      </c>
      <c r="C223" s="13" t="inlineStr">
        <is>
          <t>Proveedor SG-SST / ARL</t>
        </is>
      </c>
      <c r="D223" s="13" t="inlineStr">
        <is>
          <t>Gestión tercerizada de Seguridad y Salud en el Trabajo</t>
        </is>
      </c>
      <c r="E223" s="20" t="inlineStr">
        <is>
          <t>[P] Personal</t>
        </is>
      </c>
      <c r="F223" s="20" t="inlineStr">
        <is>
          <t>[sub] Subcontratas</t>
        </is>
      </c>
      <c r="G223" s="21" t="inlineStr">
        <is>
          <t>Talento Humano</t>
        </is>
      </c>
      <c r="H223" s="21" t="inlineStr">
        <is>
          <t>Finance and Administrative Manager</t>
        </is>
      </c>
      <c r="I223" s="21" t="n"/>
      <c r="J223" s="21" t="inlineStr">
        <is>
          <t>N.A.</t>
        </is>
      </c>
      <c r="K223" s="21" t="inlineStr">
        <is>
          <t>No aplica</t>
        </is>
      </c>
      <c r="L223" s="21" t="inlineStr">
        <is>
          <t>Por definir</t>
        </is>
      </c>
      <c r="M223" s="21" t="inlineStr">
        <is>
          <t>Por definir</t>
        </is>
      </c>
      <c r="N223" s="21" t="inlineStr">
        <is>
          <t>Por definir</t>
        </is>
      </c>
      <c r="O223" s="21" t="n"/>
      <c r="P223" s="21" t="n"/>
      <c r="Q223" s="20" t="inlineStr">
        <is>
          <t>3 — Medio</t>
        </is>
      </c>
      <c r="R223" s="20" t="inlineStr">
        <is>
          <t>2 — Bajo</t>
        </is>
      </c>
      <c r="S223" s="20" t="inlineStr">
        <is>
          <t>3 — Medio</t>
        </is>
      </c>
      <c r="T223" s="19">
        <f>MAX(IFERROR(VLOOKUP(Q223,MgValor,2,0),0),IFERROR(VLOOKUP(R223,MgValor,2,0),0),IFERROR(VLOOKUP(S223,MgValor,2,0),0))</f>
        <v/>
      </c>
      <c r="U223" s="19">
        <f>IFERROR(LOOKUP(T223,{0;1;2;3;4;5},{"Irrelevante";"Muy Bajo";"Bajo";"Medio";"Alto";"Muy Alto"}),"")</f>
        <v/>
      </c>
    </row>
    <row r="224" ht="45" customHeight="1" s="54">
      <c r="B224" s="59" t="inlineStr">
        <is>
          <t>FIN-15</t>
        </is>
      </c>
      <c r="C224" s="13" t="inlineStr">
        <is>
          <t>Proveedor contable externo</t>
        </is>
      </c>
      <c r="D224" s="13" t="inlineStr">
        <is>
          <t>Tercero que ejecuta gestión contable, tributaria y liquidación de nómina</t>
        </is>
      </c>
      <c r="E224" s="20" t="inlineStr">
        <is>
          <t>[P] Personal</t>
        </is>
      </c>
      <c r="F224" s="20" t="inlineStr">
        <is>
          <t>[sub] Subcontratas</t>
        </is>
      </c>
      <c r="G224" s="21" t="inlineStr">
        <is>
          <t>Gestión Financiera</t>
        </is>
      </c>
      <c r="H224" s="21" t="inlineStr">
        <is>
          <t>Finance and Administrative Manager</t>
        </is>
      </c>
      <c r="I224" s="21" t="n"/>
      <c r="J224" s="21" t="inlineStr">
        <is>
          <t>N.A.</t>
        </is>
      </c>
      <c r="K224" s="21" t="inlineStr">
        <is>
          <t>No aplica</t>
        </is>
      </c>
      <c r="L224" s="21" t="inlineStr">
        <is>
          <t>Por definir</t>
        </is>
      </c>
      <c r="M224" s="21" t="inlineStr">
        <is>
          <t>Sí</t>
        </is>
      </c>
      <c r="N224" s="21" t="inlineStr">
        <is>
          <t>Por definir</t>
        </is>
      </c>
      <c r="O224" s="21" t="n"/>
      <c r="P224" s="21" t="n"/>
      <c r="Q224" s="20" t="inlineStr">
        <is>
          <t>3 — Medio</t>
        </is>
      </c>
      <c r="R224" s="20" t="inlineStr">
        <is>
          <t>2 — Bajo</t>
        </is>
      </c>
      <c r="S224" s="20" t="inlineStr">
        <is>
          <t>4 — Alto</t>
        </is>
      </c>
      <c r="T224" s="19">
        <f>MAX(IFERROR(VLOOKUP(Q224,MgValor,2,0),0),IFERROR(VLOOKUP(R224,MgValor,2,0),0),IFERROR(VLOOKUP(S224,MgValor,2,0),0))</f>
        <v/>
      </c>
      <c r="U224" s="19">
        <f>IFERROR(LOOKUP(T224,{0;1;2;3;4;5},{"Irrelevante";"Muy Bajo";"Bajo";"Medio";"Alto";"Muy Alto"}),"")</f>
        <v/>
      </c>
    </row>
    <row r="225" ht="45" customHeight="1" s="54">
      <c r="B225" s="59" t="inlineStr">
        <is>
          <t>TAL-16</t>
        </is>
      </c>
      <c r="C225" s="13" t="inlineStr">
        <is>
          <t>Proveedor contable externo (liquidación de retiro)</t>
        </is>
      </c>
      <c r="D225" s="13" t="inlineStr">
        <is>
          <t>Procesa liquidación final de colaboradores desvinculados</t>
        </is>
      </c>
      <c r="E225" s="20" t="inlineStr">
        <is>
          <t>[P] Personal</t>
        </is>
      </c>
      <c r="F225" s="20" t="inlineStr">
        <is>
          <t>[sub] Subcontratas</t>
        </is>
      </c>
      <c r="G225" s="21" t="inlineStr">
        <is>
          <t>Talento Humano</t>
        </is>
      </c>
      <c r="H225" s="21" t="inlineStr">
        <is>
          <t>Finance and Administrative Manager</t>
        </is>
      </c>
      <c r="I225" s="21" t="n"/>
      <c r="J225" s="21" t="inlineStr">
        <is>
          <t>N.A.</t>
        </is>
      </c>
      <c r="K225" s="21" t="inlineStr">
        <is>
          <t>No aplica</t>
        </is>
      </c>
      <c r="L225" s="21" t="inlineStr">
        <is>
          <t>Por definir</t>
        </is>
      </c>
      <c r="M225" s="21" t="inlineStr">
        <is>
          <t>Por definir</t>
        </is>
      </c>
      <c r="N225" s="21" t="inlineStr">
        <is>
          <t>Por definir</t>
        </is>
      </c>
      <c r="O225" s="21" t="n"/>
      <c r="P225" s="21" t="n"/>
      <c r="Q225" s="20" t="inlineStr">
        <is>
          <t>3 — Medio</t>
        </is>
      </c>
      <c r="R225" s="20" t="inlineStr">
        <is>
          <t>2 — Bajo</t>
        </is>
      </c>
      <c r="S225" s="20" t="inlineStr">
        <is>
          <t>4 — Alto</t>
        </is>
      </c>
      <c r="T225" s="19">
        <f>MAX(IFERROR(VLOOKUP(Q225,MgValor,2,0),0),IFERROR(VLOOKUP(R225,MgValor,2,0),0),IFERROR(VLOOKUP(S225,MgValor,2,0),0))</f>
        <v/>
      </c>
      <c r="U225" s="19">
        <f>IFERROR(LOOKUP(T225,{0;1;2;3;4;5},{"Irrelevante";"Muy Bajo";"Bajo";"Medio";"Alto";"Muy Alto"}),"")</f>
        <v/>
      </c>
    </row>
    <row r="226" ht="45" customHeight="1" s="54">
      <c r="B226" s="59" t="inlineStr">
        <is>
          <t>TAL-18</t>
        </is>
      </c>
      <c r="C226" s="13" t="inlineStr">
        <is>
          <t>Proveedor de reclutamiento externo</t>
        </is>
      </c>
      <c r="D226" s="13" t="inlineStr">
        <is>
          <t>Apoyo en búsqueda y preselección de candidatos</t>
        </is>
      </c>
      <c r="E226" s="20" t="inlineStr">
        <is>
          <t>[P] Personal</t>
        </is>
      </c>
      <c r="F226" s="20" t="inlineStr">
        <is>
          <t>[sub] Subcontratas</t>
        </is>
      </c>
      <c r="G226" s="21" t="inlineStr">
        <is>
          <t>Talento Humano</t>
        </is>
      </c>
      <c r="H226" s="21" t="inlineStr">
        <is>
          <t>Finance and Administrative Manager</t>
        </is>
      </c>
      <c r="I226" s="21" t="n"/>
      <c r="J226" s="21" t="inlineStr">
        <is>
          <t>N.A.</t>
        </is>
      </c>
      <c r="K226" s="21" t="inlineStr">
        <is>
          <t>No aplica</t>
        </is>
      </c>
      <c r="L226" s="21" t="inlineStr">
        <is>
          <t>Por definir</t>
        </is>
      </c>
      <c r="M226" s="21" t="inlineStr">
        <is>
          <t>Por definir</t>
        </is>
      </c>
      <c r="N226" s="21" t="inlineStr">
        <is>
          <t>Por definir</t>
        </is>
      </c>
      <c r="O226" s="21" t="n"/>
      <c r="P226" s="21" t="n"/>
      <c r="Q226" s="20" t="inlineStr">
        <is>
          <t>3 — Medio</t>
        </is>
      </c>
      <c r="R226" s="20" t="inlineStr">
        <is>
          <t>2 — Bajo</t>
        </is>
      </c>
      <c r="S226" s="20" t="inlineStr">
        <is>
          <t>3 — Medio</t>
        </is>
      </c>
      <c r="T226" s="19">
        <f>MAX(IFERROR(VLOOKUP(Q226,MgValor,2,0),0),IFERROR(VLOOKUP(R226,MgValor,2,0),0),IFERROR(VLOOKUP(S226,MgValor,2,0),0))</f>
        <v/>
      </c>
      <c r="U226" s="19">
        <f>IFERROR(LOOKUP(T226,{0;1;2;3;4;5},{"Irrelevante";"Muy Bajo";"Bajo";"Medio";"Alto";"Muy Alto"}),"")</f>
        <v/>
      </c>
    </row>
    <row r="227" ht="45" customHeight="1" s="54">
      <c r="B227" s="59" t="inlineStr">
        <is>
          <t>FIN-16</t>
        </is>
      </c>
      <c r="C227" s="13" t="inlineStr">
        <is>
          <t>Revisoría fiscal</t>
        </is>
      </c>
      <c r="D227" s="13" t="inlineStr">
        <is>
          <t>Revisión de estados financieros y liquidación de impuestos</t>
        </is>
      </c>
      <c r="E227" s="20" t="inlineStr">
        <is>
          <t>[P] Personal</t>
        </is>
      </c>
      <c r="F227" s="20" t="inlineStr">
        <is>
          <t>[sub] Subcontratas</t>
        </is>
      </c>
      <c r="G227" s="21" t="inlineStr">
        <is>
          <t>Gestión Financiera</t>
        </is>
      </c>
      <c r="H227" s="21" t="inlineStr">
        <is>
          <t>Finance and Administrative Manager</t>
        </is>
      </c>
      <c r="I227" s="21" t="n"/>
      <c r="J227" s="21" t="inlineStr">
        <is>
          <t>N.A.</t>
        </is>
      </c>
      <c r="K227" s="21" t="inlineStr">
        <is>
          <t>No aplica</t>
        </is>
      </c>
      <c r="L227" s="21" t="inlineStr">
        <is>
          <t>Por definir</t>
        </is>
      </c>
      <c r="M227" s="21" t="inlineStr">
        <is>
          <t>Por definir</t>
        </is>
      </c>
      <c r="N227" s="21" t="inlineStr">
        <is>
          <t>Por definir</t>
        </is>
      </c>
      <c r="O227" s="21" t="n"/>
      <c r="P227" s="21" t="n"/>
      <c r="Q227" s="20" t="inlineStr">
        <is>
          <t>3 — Medio</t>
        </is>
      </c>
      <c r="R227" s="20" t="inlineStr">
        <is>
          <t>2 — Bajo</t>
        </is>
      </c>
      <c r="S227" s="20" t="inlineStr">
        <is>
          <t>4 — Alto</t>
        </is>
      </c>
      <c r="T227" s="19">
        <f>MAX(IFERROR(VLOOKUP(Q227,MgValor,2,0),0),IFERROR(VLOOKUP(R227,MgValor,2,0),0),IFERROR(VLOOKUP(S227,MgValor,2,0),0))</f>
        <v/>
      </c>
      <c r="U227" s="19">
        <f>IFERROR(LOOKUP(T227,{0;1;2;3;4;5},{"Irrelevante";"Muy Bajo";"Bajo";"Medio";"Alto";"Muy Alto"}),"")</f>
        <v/>
      </c>
    </row>
    <row r="228" ht="45" customHeight="1" s="54">
      <c r="B228" s="59" t="inlineStr">
        <is>
          <t>FIN-18</t>
        </is>
      </c>
      <c r="C228" s="13" t="inlineStr">
        <is>
          <t>Auxiliar Administrativo I</t>
        </is>
      </c>
      <c r="D228" s="13" t="inlineStr">
        <is>
          <t>Apoyo administrativo Gestión Financiera</t>
        </is>
      </c>
      <c r="E228" s="20" t="inlineStr">
        <is>
          <t>[P] Personal</t>
        </is>
      </c>
      <c r="F228" s="20" t="inlineStr">
        <is>
          <t>[ui] Usuarios internos</t>
        </is>
      </c>
      <c r="G228" s="21" t="inlineStr">
        <is>
          <t>Gestión Financiera</t>
        </is>
      </c>
      <c r="H228" s="21" t="inlineStr">
        <is>
          <t>Finance and Administrative Manager</t>
        </is>
      </c>
      <c r="I228" s="21" t="n"/>
      <c r="J228" s="21" t="inlineStr">
        <is>
          <t>N.A.</t>
        </is>
      </c>
      <c r="K228" s="21" t="inlineStr">
        <is>
          <t>No aplica</t>
        </is>
      </c>
      <c r="L228" s="21" t="inlineStr">
        <is>
          <t>Por definir</t>
        </is>
      </c>
      <c r="M228" s="21" t="inlineStr">
        <is>
          <t>Por definir</t>
        </is>
      </c>
      <c r="N228" s="21" t="inlineStr">
        <is>
          <t>Por definir</t>
        </is>
      </c>
      <c r="O228" s="21" t="n"/>
      <c r="P228" s="21" t="n"/>
      <c r="Q228" s="20" t="inlineStr">
        <is>
          <t>3 — Medio</t>
        </is>
      </c>
      <c r="R228" s="20" t="inlineStr">
        <is>
          <t>2 — Bajo</t>
        </is>
      </c>
      <c r="S228" s="20" t="inlineStr">
        <is>
          <t>3 — Medio</t>
        </is>
      </c>
      <c r="T228" s="19">
        <f>MAX(IFERROR(VLOOKUP(Q228,MgValor,2,0),0),IFERROR(VLOOKUP(R228,MgValor,2,0),0),IFERROR(VLOOKUP(S228,MgValor,2,0),0))</f>
        <v/>
      </c>
      <c r="U228" s="19">
        <f>IFERROR(LOOKUP(T228,{0;1;2;3;4;5},{"Irrelevante";"Muy Bajo";"Bajo";"Medio";"Alto";"Muy Alto"}),"")</f>
        <v/>
      </c>
    </row>
    <row r="229" ht="45" customHeight="1" s="54">
      <c r="B229" s="59" t="inlineStr">
        <is>
          <t>FIN-19</t>
        </is>
      </c>
      <c r="C229" s="13" t="inlineStr">
        <is>
          <t>Auxiliar Administrativo II</t>
        </is>
      </c>
      <c r="D229" s="13" t="inlineStr">
        <is>
          <t>Apoyo administrativo del proceso financiero</t>
        </is>
      </c>
      <c r="E229" s="20" t="inlineStr">
        <is>
          <t>[P] Personal</t>
        </is>
      </c>
      <c r="F229" s="20" t="inlineStr">
        <is>
          <t>[ui] Usuarios internos</t>
        </is>
      </c>
      <c r="G229" s="21" t="inlineStr">
        <is>
          <t>Gestión Financiera</t>
        </is>
      </c>
      <c r="H229" s="21" t="inlineStr">
        <is>
          <t>Finance and Administrative Manager</t>
        </is>
      </c>
      <c r="I229" s="21" t="n"/>
      <c r="J229" s="21" t="inlineStr">
        <is>
          <t>N.A.</t>
        </is>
      </c>
      <c r="K229" s="21" t="inlineStr">
        <is>
          <t>No aplica</t>
        </is>
      </c>
      <c r="L229" s="21" t="inlineStr">
        <is>
          <t>Por definir</t>
        </is>
      </c>
      <c r="M229" s="21" t="inlineStr">
        <is>
          <t>Por definir</t>
        </is>
      </c>
      <c r="N229" s="21" t="inlineStr">
        <is>
          <t>Por definir</t>
        </is>
      </c>
      <c r="O229" s="21" t="n"/>
      <c r="P229" s="21" t="n"/>
      <c r="Q229" s="20" t="inlineStr">
        <is>
          <t>3 — Medio</t>
        </is>
      </c>
      <c r="R229" s="20" t="inlineStr">
        <is>
          <t>2 — Bajo</t>
        </is>
      </c>
      <c r="S229" s="20" t="inlineStr">
        <is>
          <t>3 — Medio</t>
        </is>
      </c>
      <c r="T229" s="19">
        <f>MAX(IFERROR(VLOOKUP(Q229,MgValor,2,0),0),IFERROR(VLOOKUP(R229,MgValor,2,0),0),IFERROR(VLOOKUP(S229,MgValor,2,0),0))</f>
        <v/>
      </c>
      <c r="U229" s="19">
        <f>IFERROR(LOOKUP(T229,{0;1;2;3;4;5},{"Irrelevante";"Muy Bajo";"Bajo";"Medio";"Alto";"Muy Alto"}),"")</f>
        <v/>
      </c>
    </row>
    <row r="230" ht="45" customHeight="1" s="54">
      <c r="B230" s="59" t="inlineStr">
        <is>
          <t>TAL-19</t>
        </is>
      </c>
      <c r="C230" s="13" t="inlineStr">
        <is>
          <t>Auxiliar Administrativo II</t>
        </is>
      </c>
      <c r="D230" s="13" t="inlineStr">
        <is>
          <t>Apoyo administrativo del proceso de Talento Humano</t>
        </is>
      </c>
      <c r="E230" s="20" t="inlineStr">
        <is>
          <t>[P] Personal</t>
        </is>
      </c>
      <c r="F230" s="20" t="inlineStr">
        <is>
          <t>[ui] Usuarios internos</t>
        </is>
      </c>
      <c r="G230" s="21" t="inlineStr">
        <is>
          <t>Talento Humano</t>
        </is>
      </c>
      <c r="H230" s="21" t="inlineStr">
        <is>
          <t>Finance and Administrative Manager</t>
        </is>
      </c>
      <c r="I230" s="21" t="n"/>
      <c r="J230" s="21" t="inlineStr">
        <is>
          <t>N.A.</t>
        </is>
      </c>
      <c r="K230" s="21" t="inlineStr">
        <is>
          <t>No aplica</t>
        </is>
      </c>
      <c r="L230" s="21" t="inlineStr">
        <is>
          <t>Por definir</t>
        </is>
      </c>
      <c r="M230" s="21" t="inlineStr">
        <is>
          <t>Sí</t>
        </is>
      </c>
      <c r="N230" s="21" t="inlineStr">
        <is>
          <t>Por definir</t>
        </is>
      </c>
      <c r="O230" s="21" t="n"/>
      <c r="P230" s="21" t="n"/>
      <c r="Q230" s="20" t="inlineStr">
        <is>
          <t>3 — Medio</t>
        </is>
      </c>
      <c r="R230" s="20" t="inlineStr">
        <is>
          <t>2 — Bajo</t>
        </is>
      </c>
      <c r="S230" s="20" t="inlineStr">
        <is>
          <t>3 — Medio</t>
        </is>
      </c>
      <c r="T230" s="19">
        <f>MAX(IFERROR(VLOOKUP(Q230,MgValor,2,0),0),IFERROR(VLOOKUP(R230,MgValor,2,0),0),IFERROR(VLOOKUP(S230,MgValor,2,0),0))</f>
        <v/>
      </c>
      <c r="U230" s="19">
        <f>IFERROR(LOOKUP(T230,{0;1;2;3;4;5},{"Irrelevante";"Muy Bajo";"Bajo";"Medio";"Alto";"Muy Alto"}),"")</f>
        <v/>
      </c>
    </row>
    <row r="231" ht="45" customHeight="1" s="54">
      <c r="B231" s="59" t="inlineStr">
        <is>
          <t>FIN-17</t>
        </is>
      </c>
      <c r="C231" s="13" t="inlineStr">
        <is>
          <t>Auxiliar Contable</t>
        </is>
      </c>
      <c r="D231" s="13" t="inlineStr">
        <is>
          <t>Apoyo en registro y gestión contable</t>
        </is>
      </c>
      <c r="E231" s="20" t="inlineStr">
        <is>
          <t>[P] Personal</t>
        </is>
      </c>
      <c r="F231" s="20" t="inlineStr">
        <is>
          <t>[ui] Usuarios internos</t>
        </is>
      </c>
      <c r="G231" s="21" t="inlineStr">
        <is>
          <t>Gestión Financiera</t>
        </is>
      </c>
      <c r="H231" s="21" t="inlineStr">
        <is>
          <t>Finance and Administrative Manager</t>
        </is>
      </c>
      <c r="I231" s="21" t="n"/>
      <c r="J231" s="21" t="inlineStr">
        <is>
          <t>N.A.</t>
        </is>
      </c>
      <c r="K231" s="21" t="inlineStr">
        <is>
          <t>No aplica</t>
        </is>
      </c>
      <c r="L231" s="21" t="inlineStr">
        <is>
          <t>Por definir</t>
        </is>
      </c>
      <c r="M231" s="21" t="inlineStr">
        <is>
          <t>Por definir</t>
        </is>
      </c>
      <c r="N231" s="21" t="inlineStr">
        <is>
          <t>Por definir</t>
        </is>
      </c>
      <c r="O231" s="21" t="n"/>
      <c r="P231" s="21" t="n"/>
      <c r="Q231" s="20" t="inlineStr">
        <is>
          <t>3 — Medio</t>
        </is>
      </c>
      <c r="R231" s="20" t="inlineStr">
        <is>
          <t>2 — Bajo</t>
        </is>
      </c>
      <c r="S231" s="20" t="inlineStr">
        <is>
          <t>3 — Medio</t>
        </is>
      </c>
      <c r="T231" s="19">
        <f>MAX(IFERROR(VLOOKUP(Q231,MgValor,2,0),0),IFERROR(VLOOKUP(R231,MgValor,2,0),0),IFERROR(VLOOKUP(S231,MgValor,2,0),0))</f>
        <v/>
      </c>
      <c r="U231" s="19">
        <f>IFERROR(LOOKUP(T231,{0;1;2;3;4;5},{"Irrelevante";"Muy Bajo";"Bajo";"Medio";"Alto";"Muy Alto"}),"")</f>
        <v/>
      </c>
    </row>
    <row r="232" ht="30" customHeight="1" s="54">
      <c r="B232" s="59" t="inlineStr">
        <is>
          <t>LCO-09</t>
        </is>
      </c>
      <c r="C232" s="13" t="inlineStr">
        <is>
          <t>Chief Legal Officer</t>
        </is>
      </c>
      <c r="D232" s="13" t="inlineStr">
        <is>
          <t>Responsable de decisiones legales, contractuales y de compras del proceso</t>
        </is>
      </c>
      <c r="E232" s="20" t="inlineStr">
        <is>
          <t>[P] Personal</t>
        </is>
      </c>
      <c r="F232" s="20" t="inlineStr">
        <is>
          <t>[ui] Usuarios internos</t>
        </is>
      </c>
      <c r="G232" s="21" t="inlineStr">
        <is>
          <t>Gestión Legal y Compras</t>
        </is>
      </c>
      <c r="H232" s="21" t="inlineStr">
        <is>
          <t>Chief Legal Officer</t>
        </is>
      </c>
      <c r="I232" s="21" t="n"/>
      <c r="J232" s="21" t="inlineStr">
        <is>
          <t>N.A.</t>
        </is>
      </c>
      <c r="K232" s="21" t="inlineStr">
        <is>
          <t>No aplica</t>
        </is>
      </c>
      <c r="L232" s="21" t="inlineStr">
        <is>
          <t>Por definir</t>
        </is>
      </c>
      <c r="M232" s="21" t="inlineStr">
        <is>
          <t>Por definir</t>
        </is>
      </c>
      <c r="N232" s="21" t="inlineStr">
        <is>
          <t>Por definir</t>
        </is>
      </c>
      <c r="O232" s="21" t="n"/>
      <c r="P232" s="21" t="n"/>
      <c r="Q232" s="20" t="inlineStr">
        <is>
          <t>4 — Alto</t>
        </is>
      </c>
      <c r="R232" s="20" t="inlineStr">
        <is>
          <t>2 — Bajo</t>
        </is>
      </c>
      <c r="S232" s="20" t="inlineStr">
        <is>
          <t>4 — Alto</t>
        </is>
      </c>
      <c r="T232" s="19">
        <f>MAX(IFERROR(VLOOKUP(Q232,MgValor,2,0),0),IFERROR(VLOOKUP(R232,MgValor,2,0),0),IFERROR(VLOOKUP(S232,MgValor,2,0),0))</f>
        <v/>
      </c>
      <c r="U232" s="19">
        <f>IFERROR(LOOKUP(T232,{0;1;2;3;4;5},{"Irrelevante";"Muy Bajo";"Bajo";"Medio";"Alto";"Muy Alto"}),"")</f>
        <v/>
      </c>
    </row>
    <row r="233" ht="30" customHeight="1" s="54">
      <c r="B233" s="59" t="inlineStr">
        <is>
          <t>LCO-10</t>
        </is>
      </c>
      <c r="C233" s="13" t="inlineStr">
        <is>
          <t>Conocimiento normativo</t>
        </is>
      </c>
      <c r="D233" s="13" t="inlineStr">
        <is>
          <t>Experiencia en  términos, cláusulas y condiciones con proveedores</t>
        </is>
      </c>
      <c r="E233" s="20" t="inlineStr">
        <is>
          <t>[P] Personal</t>
        </is>
      </c>
      <c r="F233" s="20" t="inlineStr">
        <is>
          <t>[ui] Usuarios internos</t>
        </is>
      </c>
      <c r="G233" s="21" t="inlineStr">
        <is>
          <t>Gestión Legal y Compras</t>
        </is>
      </c>
      <c r="H233" s="21" t="inlineStr">
        <is>
          <t>Chief Legal Officer</t>
        </is>
      </c>
      <c r="I233" s="21" t="n"/>
      <c r="J233" s="21" t="inlineStr">
        <is>
          <t>N.A.</t>
        </is>
      </c>
      <c r="K233" s="21" t="inlineStr">
        <is>
          <t>No aplica</t>
        </is>
      </c>
      <c r="L233" s="21" t="inlineStr">
        <is>
          <t>Por definir</t>
        </is>
      </c>
      <c r="M233" s="21" t="inlineStr">
        <is>
          <t>Por definir</t>
        </is>
      </c>
      <c r="N233" s="21" t="inlineStr">
        <is>
          <t>Por definir</t>
        </is>
      </c>
      <c r="O233" s="21" t="n"/>
      <c r="P233" s="21" t="n"/>
      <c r="Q233" s="20" t="inlineStr">
        <is>
          <t>3 — Medio</t>
        </is>
      </c>
      <c r="R233" s="20" t="inlineStr">
        <is>
          <t>2 — Bajo</t>
        </is>
      </c>
      <c r="S233" s="20" t="inlineStr">
        <is>
          <t>3 — Medio</t>
        </is>
      </c>
      <c r="T233" s="19">
        <f>MAX(IFERROR(VLOOKUP(Q233,MgValor,2,0),0),IFERROR(VLOOKUP(R233,MgValor,2,0),0),IFERROR(VLOOKUP(S233,MgValor,2,0),0))</f>
        <v/>
      </c>
      <c r="U233" s="19">
        <f>IFERROR(LOOKUP(T233,{0;1;2;3;4;5},{"Irrelevante";"Muy Bajo";"Bajo";"Medio";"Alto";"Muy Alto"}),"")</f>
        <v/>
      </c>
    </row>
    <row r="234" ht="30" customHeight="1" s="54">
      <c r="B234" s="59" t="inlineStr">
        <is>
          <t>COM-13</t>
        </is>
      </c>
      <c r="C234" s="13" t="inlineStr">
        <is>
          <t>Director Comercial de Gobierno Digital</t>
        </is>
      </c>
      <c r="D234" s="13" t="inlineStr">
        <is>
          <t>Gestión comercial especializada en sector gobierno digital</t>
        </is>
      </c>
      <c r="E234" s="20" t="inlineStr">
        <is>
          <t>[P] Personal</t>
        </is>
      </c>
      <c r="F234" s="20" t="inlineStr">
        <is>
          <t>[ui] Usuarios internos</t>
        </is>
      </c>
      <c r="G234" s="21" t="inlineStr">
        <is>
          <t>Gestión Comercial</t>
        </is>
      </c>
      <c r="H234" s="21" t="inlineStr">
        <is>
          <t>Chief Commercial Officer</t>
        </is>
      </c>
      <c r="I234" s="21" t="n"/>
      <c r="J234" s="21" t="inlineStr">
        <is>
          <t>N.A.</t>
        </is>
      </c>
      <c r="K234" s="21" t="inlineStr">
        <is>
          <t>No aplica</t>
        </is>
      </c>
      <c r="L234" s="21" t="inlineStr">
        <is>
          <t>Por definir</t>
        </is>
      </c>
      <c r="M234" s="21" t="inlineStr">
        <is>
          <t>Por definir</t>
        </is>
      </c>
      <c r="N234" s="21" t="inlineStr">
        <is>
          <t>Por definir</t>
        </is>
      </c>
      <c r="O234" s="21" t="n"/>
      <c r="P234" s="21" t="n"/>
      <c r="Q234" s="20" t="inlineStr">
        <is>
          <t>3 — Medio</t>
        </is>
      </c>
      <c r="R234" s="20" t="inlineStr">
        <is>
          <t>2 — Bajo</t>
        </is>
      </c>
      <c r="S234" s="20" t="inlineStr">
        <is>
          <t>3 — Medio</t>
        </is>
      </c>
      <c r="T234" s="19">
        <f>MAX(IFERROR(VLOOKUP(Q234,MgValor,2,0),0),IFERROR(VLOOKUP(R234,MgValor,2,0),0),IFERROR(VLOOKUP(S234,MgValor,2,0),0))</f>
        <v/>
      </c>
      <c r="U234" s="19">
        <f>IFERROR(LOOKUP(T234,{0;1;2;3;4;5},{"Irrelevante";"Muy Bajo";"Bajo";"Medio";"Alto";"Muy Alto"}),"")</f>
        <v/>
      </c>
    </row>
    <row r="235" ht="30" customHeight="1" s="54">
      <c r="B235" s="59" t="inlineStr">
        <is>
          <t>COM-11</t>
        </is>
      </c>
      <c r="C235" s="13" t="inlineStr">
        <is>
          <t>Director de Estrategia</t>
        </is>
      </c>
      <c r="D235" s="13" t="inlineStr">
        <is>
          <t>Análisis de mercado y definición de estrategia comercial</t>
        </is>
      </c>
      <c r="E235" s="20" t="inlineStr">
        <is>
          <t>[P] Personal</t>
        </is>
      </c>
      <c r="F235" s="20" t="inlineStr">
        <is>
          <t>[ui] Usuarios internos</t>
        </is>
      </c>
      <c r="G235" s="21" t="inlineStr">
        <is>
          <t>Gestión Comercial</t>
        </is>
      </c>
      <c r="H235" s="21" t="inlineStr">
        <is>
          <t>Chief Commercial Officer</t>
        </is>
      </c>
      <c r="I235" s="21" t="n"/>
      <c r="J235" s="21" t="inlineStr">
        <is>
          <t>N.A.</t>
        </is>
      </c>
      <c r="K235" s="21" t="inlineStr">
        <is>
          <t>No aplica</t>
        </is>
      </c>
      <c r="L235" s="21" t="inlineStr">
        <is>
          <t>Por definir</t>
        </is>
      </c>
      <c r="M235" s="21" t="inlineStr">
        <is>
          <t>Por definir</t>
        </is>
      </c>
      <c r="N235" s="21" t="inlineStr">
        <is>
          <t>Por definir</t>
        </is>
      </c>
      <c r="O235" s="21" t="n"/>
      <c r="P235" s="21" t="n"/>
      <c r="Q235" s="20" t="inlineStr">
        <is>
          <t>3 — Medio</t>
        </is>
      </c>
      <c r="R235" s="20" t="inlineStr">
        <is>
          <t>2 — Bajo</t>
        </is>
      </c>
      <c r="S235" s="20" t="inlineStr">
        <is>
          <t>3 — Medio</t>
        </is>
      </c>
      <c r="T235" s="19">
        <f>MAX(IFERROR(VLOOKUP(Q235,MgValor,2,0),0),IFERROR(VLOOKUP(R235,MgValor,2,0),0),IFERROR(VLOOKUP(S235,MgValor,2,0),0))</f>
        <v/>
      </c>
      <c r="U235" s="19">
        <f>IFERROR(LOOKUP(T235,{0;1;2;3;4;5},{"Irrelevante";"Muy Bajo";"Bajo";"Medio";"Alto";"Muy Alto"}),"")</f>
        <v/>
      </c>
    </row>
    <row r="236" ht="30" customHeight="1" s="54">
      <c r="B236" s="59" t="inlineStr">
        <is>
          <t>COM-12</t>
        </is>
      </c>
      <c r="C236" s="13" t="inlineStr">
        <is>
          <t>Director de Ventas Nacional</t>
        </is>
      </c>
      <c r="D236" s="13" t="inlineStr">
        <is>
          <t>Gestión de ventas a nivel nacional</t>
        </is>
      </c>
      <c r="E236" s="20" t="inlineStr">
        <is>
          <t>[P] Personal</t>
        </is>
      </c>
      <c r="F236" s="20" t="inlineStr">
        <is>
          <t>[ui] Usuarios internos</t>
        </is>
      </c>
      <c r="G236" s="21" t="inlineStr">
        <is>
          <t>Gestión Comercial</t>
        </is>
      </c>
      <c r="H236" s="21" t="inlineStr">
        <is>
          <t>Chief Commercial Officer</t>
        </is>
      </c>
      <c r="I236" s="21" t="n"/>
      <c r="J236" s="21" t="inlineStr">
        <is>
          <t>N.A.</t>
        </is>
      </c>
      <c r="K236" s="21" t="inlineStr">
        <is>
          <t>No aplica</t>
        </is>
      </c>
      <c r="L236" s="21" t="inlineStr">
        <is>
          <t>Por definir</t>
        </is>
      </c>
      <c r="M236" s="21" t="inlineStr">
        <is>
          <t>Por definir</t>
        </is>
      </c>
      <c r="N236" s="21" t="inlineStr">
        <is>
          <t>Por definir</t>
        </is>
      </c>
      <c r="O236" s="21" t="n"/>
      <c r="P236" s="21" t="n"/>
      <c r="Q236" s="20" t="inlineStr">
        <is>
          <t>3 — Medio</t>
        </is>
      </c>
      <c r="R236" s="20" t="inlineStr">
        <is>
          <t>2 — Bajo</t>
        </is>
      </c>
      <c r="S236" s="20" t="inlineStr">
        <is>
          <t>3 — Medio</t>
        </is>
      </c>
      <c r="T236" s="19">
        <f>MAX(IFERROR(VLOOKUP(Q236,MgValor,2,0),0),IFERROR(VLOOKUP(R236,MgValor,2,0),0),IFERROR(VLOOKUP(S236,MgValor,2,0),0))</f>
        <v/>
      </c>
      <c r="U236" s="19">
        <f>IFERROR(LOOKUP(T236,{0;1;2;3;4;5},{"Irrelevante";"Muy Bajo";"Bajo";"Medio";"Alto";"Muy Alto"}),"")</f>
        <v/>
      </c>
    </row>
    <row r="237" ht="45" customHeight="1" s="54">
      <c r="B237" s="59" t="inlineStr">
        <is>
          <t>FIN-14</t>
        </is>
      </c>
      <c r="C237" s="13" t="inlineStr">
        <is>
          <t>Finance and Administrative Manager</t>
        </is>
      </c>
      <c r="D237" s="13" t="inlineStr">
        <is>
          <t>Responsable del proceso de gestión financiera y de tesorería</t>
        </is>
      </c>
      <c r="E237" s="20" t="inlineStr">
        <is>
          <t>[P] Personal</t>
        </is>
      </c>
      <c r="F237" s="20" t="inlineStr">
        <is>
          <t>[ui] Usuarios internos</t>
        </is>
      </c>
      <c r="G237" s="21" t="inlineStr">
        <is>
          <t>Gestión Financiera</t>
        </is>
      </c>
      <c r="H237" s="21" t="inlineStr">
        <is>
          <t>Finance and Administrative Manager</t>
        </is>
      </c>
      <c r="I237" s="21" t="n"/>
      <c r="J237" s="21" t="inlineStr">
        <is>
          <t>N.A.</t>
        </is>
      </c>
      <c r="K237" s="21" t="inlineStr">
        <is>
          <t>No aplica</t>
        </is>
      </c>
      <c r="L237" s="21" t="inlineStr">
        <is>
          <t>Por definir</t>
        </is>
      </c>
      <c r="M237" s="21" t="inlineStr">
        <is>
          <t>Por definir</t>
        </is>
      </c>
      <c r="N237" s="21" t="inlineStr">
        <is>
          <t>Por definir</t>
        </is>
      </c>
      <c r="O237" s="21" t="n"/>
      <c r="P237" s="21" t="n"/>
      <c r="Q237" s="20" t="inlineStr">
        <is>
          <t>4 — Alto</t>
        </is>
      </c>
      <c r="R237" s="20" t="inlineStr">
        <is>
          <t>2 — Bajo</t>
        </is>
      </c>
      <c r="S237" s="20" t="inlineStr">
        <is>
          <t>4 — Alto</t>
        </is>
      </c>
      <c r="T237" s="19">
        <f>MAX(IFERROR(VLOOKUP(Q237,MgValor,2,0),0),IFERROR(VLOOKUP(R237,MgValor,2,0),0),IFERROR(VLOOKUP(S237,MgValor,2,0),0))</f>
        <v/>
      </c>
      <c r="U237" s="19">
        <f>IFERROR(LOOKUP(T237,{0;1;2;3;4;5},{"Irrelevante";"Muy Bajo";"Bajo";"Medio";"Alto";"Muy Alto"}),"")</f>
        <v/>
      </c>
    </row>
    <row r="238" ht="45" customHeight="1" s="54">
      <c r="B238" s="59" t="inlineStr">
        <is>
          <t>TAL-15</t>
        </is>
      </c>
      <c r="C238" s="13" t="inlineStr">
        <is>
          <t>Finance and Administrative Manager</t>
        </is>
      </c>
      <c r="D238" s="13" t="inlineStr">
        <is>
          <t>Líder del proceso de Talento Humano</t>
        </is>
      </c>
      <c r="E238" s="20" t="inlineStr">
        <is>
          <t>[P] Personal</t>
        </is>
      </c>
      <c r="F238" s="20" t="inlineStr">
        <is>
          <t>[ui] Usuarios internos</t>
        </is>
      </c>
      <c r="G238" s="21" t="inlineStr">
        <is>
          <t>Talento Humano</t>
        </is>
      </c>
      <c r="H238" s="21" t="inlineStr">
        <is>
          <t>Finance and Administrative Manager</t>
        </is>
      </c>
      <c r="I238" s="21" t="n"/>
      <c r="J238" s="21" t="inlineStr">
        <is>
          <t>N.A.</t>
        </is>
      </c>
      <c r="K238" s="21" t="inlineStr">
        <is>
          <t>No aplica</t>
        </is>
      </c>
      <c r="L238" s="21" t="inlineStr">
        <is>
          <t>Por definir</t>
        </is>
      </c>
      <c r="M238" s="21" t="inlineStr">
        <is>
          <t>Sí</t>
        </is>
      </c>
      <c r="N238" s="21" t="inlineStr">
        <is>
          <t>Por definir</t>
        </is>
      </c>
      <c r="O238" s="21" t="n"/>
      <c r="P238" s="21" t="n"/>
      <c r="Q238" s="20" t="inlineStr">
        <is>
          <t>4 — Alto</t>
        </is>
      </c>
      <c r="R238" s="20" t="inlineStr">
        <is>
          <t>2 — Bajo</t>
        </is>
      </c>
      <c r="S238" s="20" t="inlineStr">
        <is>
          <t>4 — Alto</t>
        </is>
      </c>
      <c r="T238" s="19">
        <f>MAX(IFERROR(VLOOKUP(Q238,MgValor,2,0),0),IFERROR(VLOOKUP(R238,MgValor,2,0),0),IFERROR(VLOOKUP(S238,MgValor,2,0),0))</f>
        <v/>
      </c>
      <c r="U238" s="19">
        <f>IFERROR(LOOKUP(T238,{0;1;2;3;4;5},{"Irrelevante";"Muy Bajo";"Bajo";"Medio";"Alto";"Muy Alto"}),"")</f>
        <v/>
      </c>
    </row>
    <row r="239" ht="30" customHeight="1" s="54">
      <c r="B239" s="59" t="inlineStr">
        <is>
          <t>COM-10</t>
        </is>
      </c>
      <c r="C239" s="13" t="inlineStr">
        <is>
          <t>Gerente Comercial</t>
        </is>
      </c>
      <c r="D239" s="13" t="inlineStr">
        <is>
          <t>Responsable del proceso comercial y relaciones clave</t>
        </is>
      </c>
      <c r="E239" s="20" t="inlineStr">
        <is>
          <t>[P] Personal</t>
        </is>
      </c>
      <c r="F239" s="20" t="inlineStr">
        <is>
          <t>[ui] Usuarios internos</t>
        </is>
      </c>
      <c r="G239" s="21" t="inlineStr">
        <is>
          <t>Gestión Comercial</t>
        </is>
      </c>
      <c r="H239" s="21" t="inlineStr">
        <is>
          <t>Chief Commercial Officer</t>
        </is>
      </c>
      <c r="I239" s="21" t="n"/>
      <c r="J239" s="21" t="inlineStr">
        <is>
          <t>N.A.</t>
        </is>
      </c>
      <c r="K239" s="21" t="inlineStr">
        <is>
          <t>No aplica</t>
        </is>
      </c>
      <c r="L239" s="21" t="inlineStr">
        <is>
          <t>Por definir</t>
        </is>
      </c>
      <c r="M239" s="21" t="inlineStr">
        <is>
          <t>Por definir</t>
        </is>
      </c>
      <c r="N239" s="21" t="inlineStr">
        <is>
          <t>Por definir</t>
        </is>
      </c>
      <c r="O239" s="21" t="n"/>
      <c r="P239" s="21" t="n"/>
      <c r="Q239" s="20" t="inlineStr">
        <is>
          <t>4 — Alto</t>
        </is>
      </c>
      <c r="R239" s="20" t="inlineStr">
        <is>
          <t>2 — Bajo</t>
        </is>
      </c>
      <c r="S239" s="20" t="inlineStr">
        <is>
          <t>4 — Alto</t>
        </is>
      </c>
      <c r="T239" s="19">
        <f>MAX(IFERROR(VLOOKUP(Q239,MgValor,2,0),0),IFERROR(VLOOKUP(R239,MgValor,2,0),0),IFERROR(VLOOKUP(S239,MgValor,2,0),0))</f>
        <v/>
      </c>
      <c r="U239" s="19">
        <f>IFERROR(LOOKUP(T239,{0;1;2;3;4;5},{"Irrelevante";"Muy Bajo";"Bajo";"Medio";"Alto";"Muy Alto"}),"")</f>
        <v/>
      </c>
    </row>
  </sheetData>
  <autoFilter ref="B5:U239"/>
  <mergeCells count="3">
    <mergeCell ref="C3:D3"/>
    <mergeCell ref="G3:H3"/>
    <mergeCell ref="E3:F3"/>
  </mergeCells>
  <conditionalFormatting sqref="Q6:S239">
    <cfRule type="expression" priority="1" dxfId="4">
      <formula>EXACT(Q6,"10 — Extremo: daño excepcionalmente grave")</formula>
    </cfRule>
    <cfRule type="expression" priority="2" dxfId="4">
      <formula>EXACT(Q6,"9 — Muy alto: daño muy grave")</formula>
    </cfRule>
    <cfRule type="expression" priority="3" dxfId="3">
      <formula>EXACT(Q6,"8 — Alto: daño grave")</formula>
    </cfRule>
    <cfRule type="expression" priority="4" dxfId="3">
      <formula>EXACT(Q6,"7 — Alto: daño grave")</formula>
    </cfRule>
    <cfRule type="expression" priority="5" dxfId="3">
      <formula>EXACT(Q6,"6 — Alto: daño grave")</formula>
    </cfRule>
    <cfRule type="expression" priority="6" dxfId="2">
      <formula>EXACT(Q6,"5 — Medio: daño importante")</formula>
    </cfRule>
    <cfRule type="expression" priority="7" dxfId="2">
      <formula>EXACT(Q6,"4 — Medio: daño importante")</formula>
    </cfRule>
    <cfRule type="expression" priority="8" dxfId="2">
      <formula>EXACT(Q6,"3 — Medio: daño importante")</formula>
    </cfRule>
    <cfRule type="expression" priority="9" dxfId="1">
      <formula>EXACT(Q6,"2 — Bajo: daño menor")</formula>
    </cfRule>
    <cfRule type="expression" priority="10" dxfId="1">
      <formula>EXACT(Q6,"1 — Bajo: daño menor")</formula>
    </cfRule>
    <cfRule type="expression" priority="11" dxfId="5">
      <formula>EXACT(Q6,"0 — Despreciable: irrelevante en la práctica")</formula>
    </cfRule>
  </conditionalFormatting>
  <conditionalFormatting sqref="U6:U239">
    <cfRule type="expression" priority="34" dxfId="4">
      <formula>EXACT(U6,"Muy alto")</formula>
    </cfRule>
    <cfRule type="expression" priority="35" dxfId="3">
      <formula>EXACT(U6,"Alto")</formula>
    </cfRule>
    <cfRule type="expression" priority="36" dxfId="2">
      <formula>EXACT(U6,"Medio")</formula>
    </cfRule>
    <cfRule type="expression" priority="37" dxfId="1">
      <formula>EXACT(U6,"Bajo")</formula>
    </cfRule>
    <cfRule type="expression" priority="38" dxfId="5">
      <formula>EXACT(U6,"Despreciable")</formula>
    </cfRule>
  </conditionalFormatting>
  <dataValidations count="10">
    <dataValidation sqref="G6:G239" showDropDown="0" showInputMessage="0" showErrorMessage="0" allowBlank="1" type="list">
      <formula1>LstProceso</formula1>
    </dataValidation>
    <dataValidation sqref="H6:I239" showDropDown="0" showInputMessage="0" showErrorMessage="0" allowBlank="1" type="list">
      <formula1>LstCargo</formula1>
    </dataValidation>
    <dataValidation sqref="J6:J239" showDropDown="0" showInputMessage="0" showErrorMessage="0" allowBlank="1" type="list">
      <formula1>"Física,Nube,Local,No aplica"</formula1>
    </dataValidation>
    <dataValidation sqref="K6:K239" showDropDown="0" showInputMessage="0" showErrorMessage="0" allowBlank="1" type="list">
      <formula1>LstEntorno</formula1>
    </dataValidation>
    <dataValidation sqref="L6:N239" showDropDown="0" showInputMessage="0" showErrorMessage="0" allowBlank="1" type="list">
      <formula1>LstSiNo</formula1>
    </dataValidation>
    <dataValidation sqref="O6:O239" showDropDown="0" showInputMessage="0" showErrorMessage="0" allowBlank="1" type="list">
      <formula1>LstProveedor</formula1>
    </dataValidation>
    <dataValidation sqref="P6:P239" showDropDown="0" showInputMessage="0" showErrorMessage="0" allowBlank="1" type="list">
      <formula1>MgActId</formula1>
    </dataValidation>
    <dataValidation sqref="E6:E239" showDropDown="0" showInputMessage="0" showErrorMessage="0" allowBlank="1" type="list">
      <formula1>LstTipo</formula1>
    </dataValidation>
    <dataValidation sqref="F6:F239" showDropDown="0" showInputMessage="0" showErrorMessage="0" allowBlank="1" type="list">
      <formula1>INDIRECT("SUB_"&amp;SUBSTITUTE(SUBSTITUTE(LEFT($E6,FIND("]",$E6)),"[",""),"]",""))</formula1>
    </dataValidation>
    <dataValidation sqref="Q6:S239" showDropDown="0" showInputMessage="0" showErrorMessage="0" allowBlank="1" type="list">
      <formula1>MgValorEt</formula1>
    </dataValidation>
  </dataValidations>
  <pageMargins left="0.75" right="0.75" top="1" bottom="1" header="0.5" footer="0.5"/>
  <headerFooter>
    <oddHeader/>
    <oddFooter>&amp;L&amp;"Aptos"&amp;10 &amp;K000000_x000d_# DOCUMENTO PRIVADO</oddFooter>
    <evenHeader/>
    <evenFooter/>
    <firstHeader/>
    <firstFooter/>
  </headerFooter>
</worksheet>
</file>

<file path=xl/worksheets/sheet4.xml><?xml version="1.0" encoding="utf-8"?>
<worksheet xmlns="http://schemas.openxmlformats.org/spreadsheetml/2006/main">
  <sheetPr filterMode="1">
    <tabColor rgb="FF92D050"/>
    <outlinePr summaryBelow="1" summaryRight="1"/>
    <pageSetUpPr/>
  </sheetPr>
  <dimension ref="B1:Q316"/>
  <sheetViews>
    <sheetView showGridLines="0" topLeftCell="A303" workbookViewId="0">
      <selection activeCell="D303" sqref="C303:D303"/>
    </sheetView>
  </sheetViews>
  <sheetFormatPr baseColWidth="10" defaultColWidth="8.7265625" defaultRowHeight="14.5"/>
  <cols>
    <col width="2.36328125" customWidth="1" style="54" min="1" max="1"/>
    <col width="11" customWidth="1" style="54" min="2" max="2"/>
    <col width="16" customWidth="1" style="54" min="3" max="4"/>
    <col width="30" customWidth="1" style="54" min="5" max="5"/>
    <col width="26" customWidth="1" style="54" min="6" max="6"/>
    <col width="22" customWidth="1" style="54" min="7" max="9"/>
    <col width="30" customWidth="1" style="54" min="10" max="10"/>
    <col width="62" customWidth="1" style="54" min="11" max="11"/>
    <col width="30" customWidth="1" style="54" min="12" max="13"/>
  </cols>
  <sheetData>
    <row r="1" ht="21.5" customHeight="1" s="54">
      <c r="B1" s="1" t="inlineStr">
        <is>
          <t>AGREGAR ACTIVO — QUÉ FALTA POR VALORAR Y QUÉ FILAS HAY QUE CREAR</t>
        </is>
      </c>
    </row>
    <row r="2" ht="15" customHeight="1" s="54">
      <c r="B2" s="2" t="inlineStr">
        <is>
          <t>Arriba: filtre por proceso, tipo y subtipo para ver qué activos faltan por valorar. Abajo: elija un activo y obtenga, listas para copiar, las filas que le corresponden en la hoja de Valoración.</t>
        </is>
      </c>
    </row>
    <row r="3" ht="28" customHeight="1" s="54">
      <c r="B3" s="17" t="inlineStr">
        <is>
          <t>Código de color:</t>
        </is>
      </c>
      <c r="C3" s="55" t="inlineStr">
        <is>
          <t>Amarillo = Campo de entrada — se selecciona de una lista</t>
        </is>
      </c>
      <c r="D3" s="56" t="n"/>
      <c r="E3" s="58" t="inlineStr">
        <is>
          <t>Lila = Calculado automáticamente — no escribir encima</t>
        </is>
      </c>
      <c r="F3" s="56" t="n"/>
      <c r="G3" s="57" t="inlineStr">
        <is>
          <t>Gris = Dato de la norma MAGERIT — no modificar</t>
        </is>
      </c>
      <c r="H3" s="56" t="n"/>
    </row>
    <row r="5" ht="20" customHeight="1" s="54">
      <c r="B5" s="3" t="inlineStr">
        <is>
          <t>1 · FILTRE PARA VER QUÉ ACTIVOS FALTAN</t>
        </is>
      </c>
      <c r="C5" s="4" t="n"/>
      <c r="D5" s="4" t="n"/>
      <c r="E5" s="4" t="n"/>
      <c r="F5" s="4" t="n"/>
      <c r="G5" s="4" t="n"/>
      <c r="H5" s="4" t="n"/>
      <c r="I5" s="4" t="n"/>
    </row>
    <row r="6" ht="22" customHeight="1" s="54">
      <c r="B6" s="5" t="inlineStr">
        <is>
          <t>Proceso o Área</t>
        </is>
      </c>
      <c r="C6" s="65" t="inlineStr">
        <is>
          <t>Gestión Tecnológica</t>
        </is>
      </c>
      <c r="D6" s="62" t="n"/>
      <c r="E6" s="56" t="n"/>
      <c r="G6" s="63" t="inlineStr">
        <is>
          <t>Activos que cumplen el filtro</t>
        </is>
      </c>
      <c r="H6" s="56" t="n"/>
      <c r="I6" s="60">
        <f>COUNTIF($B$11:$B$244,"Sí")</f>
        <v/>
      </c>
    </row>
    <row r="7" ht="22" customHeight="1" s="54">
      <c r="B7" s="5" t="inlineStr">
        <is>
          <t>Tipo MAGERIT</t>
        </is>
      </c>
      <c r="C7" s="65" t="inlineStr">
        <is>
          <t>[HW] Equipamiento informático (hardware)</t>
        </is>
      </c>
      <c r="D7" s="62" t="n"/>
      <c r="E7" s="56" t="n"/>
      <c r="G7" s="63" t="inlineStr">
        <is>
          <t>De ellos, requieren valoración (valor 4 o más)</t>
        </is>
      </c>
      <c r="H7" s="56" t="n"/>
      <c r="I7" s="60">
        <f>COUNTIFS($B$11:$B$244,"Sí",$I$11:$I$244,"Sí")</f>
        <v/>
      </c>
    </row>
    <row r="8" ht="22" customHeight="1" s="54">
      <c r="B8" s="5" t="inlineStr">
        <is>
          <t>Subtipo MAGERIT</t>
        </is>
      </c>
      <c r="C8" s="65" t="inlineStr">
        <is>
          <t>(Todos los subtipos)</t>
        </is>
      </c>
      <c r="D8" s="62" t="n"/>
      <c r="E8" s="56" t="n"/>
    </row>
    <row r="9" ht="20" customHeight="1" s="54">
      <c r="B9" s="3" t="inlineStr">
        <is>
          <t>2 · ACTIVOS Y ESTADO DE SU VALORACIÓN  (filtre la columna «Cumple el filtro» por «Sí»)</t>
        </is>
      </c>
      <c r="C9" s="4" t="n"/>
      <c r="D9" s="4" t="n"/>
      <c r="E9" s="4" t="n"/>
      <c r="F9" s="4" t="n"/>
      <c r="G9" s="4" t="n"/>
      <c r="H9" s="4" t="n"/>
      <c r="I9" s="4" t="n"/>
      <c r="J9" s="4" t="n"/>
    </row>
    <row r="10" ht="40" customHeight="1" s="54">
      <c r="B10" s="5" t="inlineStr">
        <is>
          <t>Cumple el filtro</t>
        </is>
      </c>
      <c r="C10" s="5" t="inlineStr">
        <is>
          <t>Código</t>
        </is>
      </c>
      <c r="D10" s="5" t="inlineStr">
        <is>
          <t>Nombre del activo</t>
        </is>
      </c>
      <c r="E10" s="5" t="inlineStr">
        <is>
          <t>Proceso o Área</t>
        </is>
      </c>
      <c r="F10" s="5" t="inlineStr">
        <is>
          <t>Tipo MAGERIT</t>
        </is>
      </c>
      <c r="G10" s="5" t="inlineStr">
        <is>
          <t>Subtipo MAGERIT</t>
        </is>
      </c>
      <c r="H10" s="5" t="inlineStr">
        <is>
          <t>Valor del activo</t>
        </is>
      </c>
      <c r="I10" s="5" t="inlineStr">
        <is>
          <t>¿Requiere valoración?</t>
        </is>
      </c>
      <c r="J10" s="5" t="inlineStr">
        <is>
          <t>Filas que le corresponden</t>
        </is>
      </c>
      <c r="K10" s="5" t="inlineStr">
        <is>
          <t>Filas ya registradas</t>
        </is>
      </c>
      <c r="L10" s="5" t="inlineStr">
        <is>
          <t>Situación</t>
        </is>
      </c>
    </row>
    <row r="11" ht="30" customHeight="1" s="54">
      <c r="B11" s="28">
        <f>IF(AND(OR($C$6="(Todos los procesos)",$C$6='1. Matriz de Activos'!$G$6),OR($C$7="(Todos los tipos)",$C$7='1. Matriz de Activos'!$E$6),OR($C$8="(Todos los subtipos)",$C$8='1. Matriz de Activos'!$F$6)),"Sí","No")</f>
        <v/>
      </c>
      <c r="C11" s="28">
        <f>'1. Matriz de Activos'!$B$6</f>
        <v/>
      </c>
      <c r="D11" s="64">
        <f>'1. Matriz de Activos'!$C$6</f>
        <v/>
      </c>
      <c r="E11" s="28">
        <f>'1. Matriz de Activos'!$G$6</f>
        <v/>
      </c>
      <c r="F11" s="64">
        <f>'1. Matriz de Activos'!$E$6</f>
        <v/>
      </c>
      <c r="G11" s="64">
        <f>'1. Matriz de Activos'!$F$6</f>
        <v/>
      </c>
      <c r="H11" s="28">
        <f>'1. Matriz de Activos'!$T$6</f>
        <v/>
      </c>
      <c r="I11" s="28">
        <f>IF($H11&gt;=4,"Sí","No")</f>
        <v/>
      </c>
      <c r="J11" s="28">
        <f>IF($H11&gt;=4,IFERROR(VLOOKUP($G11,AmenTabla,2,0),0),0)</f>
        <v/>
      </c>
      <c r="K11" s="28">
        <f>COUNTIF('2. Valoración '!$C$6:$C$2261,$C11)</f>
        <v/>
      </c>
      <c r="L11" s="64">
        <f>IF($I11="No","No requiere valoración",IF($K11=0,"FALTA POR COMPLETO — agregar "&amp;$J11&amp;" filas",IF($K11&lt;$J11,"INCOMPLETO — faltan "&amp;($J11-$K11)&amp;" filas",IF($K11&gt;$J11,"REVISAR — hay filas de más","Completo"))))</f>
        <v/>
      </c>
    </row>
    <row r="12" ht="45" customHeight="1" s="54">
      <c r="B12" s="28">
        <f>IF(AND(OR($C$6="(Todos los procesos)",$C$6='1. Matriz de Activos'!$G$7),OR($C$7="(Todos los tipos)",$C$7='1. Matriz de Activos'!$E$7),OR($C$8="(Todos los subtipos)",$C$8='1. Matriz de Activos'!$F$7)),"Sí","No")</f>
        <v/>
      </c>
      <c r="C12" s="28">
        <f>'1. Matriz de Activos'!$B$7</f>
        <v/>
      </c>
      <c r="D12" s="64">
        <f>'1. Matriz de Activos'!$C$7</f>
        <v/>
      </c>
      <c r="E12" s="28">
        <f>'1. Matriz de Activos'!$G$7</f>
        <v/>
      </c>
      <c r="F12" s="64">
        <f>'1. Matriz de Activos'!$E$7</f>
        <v/>
      </c>
      <c r="G12" s="64">
        <f>'1. Matriz de Activos'!$F$7</f>
        <v/>
      </c>
      <c r="H12" s="28">
        <f>'1. Matriz de Activos'!$T$7</f>
        <v/>
      </c>
      <c r="I12" s="28">
        <f>IF($H12&gt;=4,"Sí","No")</f>
        <v/>
      </c>
      <c r="J12" s="28">
        <f>IF($H12&gt;=4,IFERROR(VLOOKUP($G12,AmenTabla,2,0),0),0)</f>
        <v/>
      </c>
      <c r="K12" s="28">
        <f>COUNTIF('2. Valoración '!$C$6:$C$2261,$C12)</f>
        <v/>
      </c>
      <c r="L12" s="64">
        <f>IF($I12="No","No requiere valoración",IF($K12=0,"FALTA POR COMPLETO — agregar "&amp;$J12&amp;" filas",IF($K12&lt;$J12,"INCOMPLETO — faltan "&amp;($J12-$K12)&amp;" filas",IF($K12&gt;$J12,"REVISAR — hay filas de más","Completo"))))</f>
        <v/>
      </c>
    </row>
    <row r="13" ht="60" customHeight="1" s="54">
      <c r="B13" s="28">
        <f>IF(AND(OR($C$6="(Todos los procesos)",$C$6='1. Matriz de Activos'!$G$8),OR($C$7="(Todos los tipos)",$C$7='1. Matriz de Activos'!$E$8),OR($C$8="(Todos los subtipos)",$C$8='1. Matriz de Activos'!$F$8)),"Sí","No")</f>
        <v/>
      </c>
      <c r="C13" s="28">
        <f>'1. Matriz de Activos'!$B$8</f>
        <v/>
      </c>
      <c r="D13" s="64">
        <f>'1. Matriz de Activos'!$C$8</f>
        <v/>
      </c>
      <c r="E13" s="28">
        <f>'1. Matriz de Activos'!$G$8</f>
        <v/>
      </c>
      <c r="F13" s="64">
        <f>'1. Matriz de Activos'!$E$8</f>
        <v/>
      </c>
      <c r="G13" s="64">
        <f>'1. Matriz de Activos'!$F$8</f>
        <v/>
      </c>
      <c r="H13" s="28">
        <f>'1. Matriz de Activos'!$T$8</f>
        <v/>
      </c>
      <c r="I13" s="28">
        <f>IF($H13&gt;=4,"Sí","No")</f>
        <v/>
      </c>
      <c r="J13" s="28">
        <f>IF($H13&gt;=4,IFERROR(VLOOKUP($G13,AmenTabla,2,0),0),0)</f>
        <v/>
      </c>
      <c r="K13" s="28">
        <f>COUNTIF('2. Valoración '!$C$6:$C$2261,$C13)</f>
        <v/>
      </c>
      <c r="L13" s="64">
        <f>IF($I13="No","No requiere valoración",IF($K13=0,"FALTA POR COMPLETO — agregar "&amp;$J13&amp;" filas",IF($K13&lt;$J13,"INCOMPLETO — faltan "&amp;($J13-$K13)&amp;" filas",IF($K13&gt;$J13,"REVISAR — hay filas de más","Completo"))))</f>
        <v/>
      </c>
    </row>
    <row r="14" ht="45" customHeight="1" s="54">
      <c r="B14" s="28">
        <f>IF(AND(OR($C$6="(Todos los procesos)",$C$6='1. Matriz de Activos'!$G$9),OR($C$7="(Todos los tipos)",$C$7='1. Matriz de Activos'!$E$9),OR($C$8="(Todos los subtipos)",$C$8='1. Matriz de Activos'!$F$9)),"Sí","No")</f>
        <v/>
      </c>
      <c r="C14" s="28">
        <f>'1. Matriz de Activos'!$B$9</f>
        <v/>
      </c>
      <c r="D14" s="64">
        <f>'1. Matriz de Activos'!$C$9</f>
        <v/>
      </c>
      <c r="E14" s="28">
        <f>'1. Matriz de Activos'!$G$9</f>
        <v/>
      </c>
      <c r="F14" s="64">
        <f>'1. Matriz de Activos'!$E$9</f>
        <v/>
      </c>
      <c r="G14" s="64">
        <f>'1. Matriz de Activos'!$F$9</f>
        <v/>
      </c>
      <c r="H14" s="28">
        <f>'1. Matriz de Activos'!$T$9</f>
        <v/>
      </c>
      <c r="I14" s="28">
        <f>IF($H14&gt;=4,"Sí","No")</f>
        <v/>
      </c>
      <c r="J14" s="28">
        <f>IF($H14&gt;=4,IFERROR(VLOOKUP($G14,AmenTabla,2,0),0),0)</f>
        <v/>
      </c>
      <c r="K14" s="28">
        <f>COUNTIF('2. Valoración '!$C$6:$C$2261,$C14)</f>
        <v/>
      </c>
      <c r="L14" s="64">
        <f>IF($I14="No","No requiere valoración",IF($K14=0,"FALTA POR COMPLETO — agregar "&amp;$J14&amp;" filas",IF($K14&lt;$J14,"INCOMPLETO — faltan "&amp;($J14-$K14)&amp;" filas",IF($K14&gt;$J14,"REVISAR — hay filas de más","Completo"))))</f>
        <v/>
      </c>
    </row>
    <row r="15" ht="15" customHeight="1" s="54">
      <c r="B15" s="28">
        <f>IF(AND(OR($C$6="(Todos los procesos)",$C$6='1. Matriz de Activos'!$G$10),OR($C$7="(Todos los tipos)",$C$7='1. Matriz de Activos'!$E$10),OR($C$8="(Todos los subtipos)",$C$8='1. Matriz de Activos'!$F$10)),"Sí","No")</f>
        <v/>
      </c>
      <c r="C15" s="28">
        <f>'1. Matriz de Activos'!$B$10</f>
        <v/>
      </c>
      <c r="D15" s="64">
        <f>'1. Matriz de Activos'!$C$10</f>
        <v/>
      </c>
      <c r="E15" s="28">
        <f>'1. Matriz de Activos'!$G$10</f>
        <v/>
      </c>
      <c r="F15" s="64">
        <f>'1. Matriz de Activos'!$E$10</f>
        <v/>
      </c>
      <c r="G15" s="64">
        <f>'1. Matriz de Activos'!$F$10</f>
        <v/>
      </c>
      <c r="H15" s="28">
        <f>'1. Matriz de Activos'!$T$10</f>
        <v/>
      </c>
      <c r="I15" s="28">
        <f>IF($H15&gt;=4,"Sí","No")</f>
        <v/>
      </c>
      <c r="J15" s="28">
        <f>IF($H15&gt;=4,IFERROR(VLOOKUP($G15,AmenTabla,2,0),0),0)</f>
        <v/>
      </c>
      <c r="K15" s="28">
        <f>COUNTIF('2. Valoración '!$C$6:$C$2261,$C15)</f>
        <v/>
      </c>
      <c r="L15" s="64">
        <f>IF($I15="No","No requiere valoración",IF($K15=0,"FALTA POR COMPLETO — agregar "&amp;$J15&amp;" filas",IF($K15&lt;$J15,"INCOMPLETO — faltan "&amp;($J15-$K15)&amp;" filas",IF($K15&gt;$J15,"REVISAR — hay filas de más","Completo"))))</f>
        <v/>
      </c>
    </row>
    <row r="16" ht="30" customHeight="1" s="54">
      <c r="B16" s="28">
        <f>IF(AND(OR($C$6="(Todos los procesos)",$C$6='1. Matriz de Activos'!$G$11),OR($C$7="(Todos los tipos)",$C$7='1. Matriz de Activos'!$E$11),OR($C$8="(Todos los subtipos)",$C$8='1. Matriz de Activos'!$F$11)),"Sí","No")</f>
        <v/>
      </c>
      <c r="C16" s="28">
        <f>'1. Matriz de Activos'!$B$11</f>
        <v/>
      </c>
      <c r="D16" s="64">
        <f>'1. Matriz de Activos'!$C$11</f>
        <v/>
      </c>
      <c r="E16" s="28">
        <f>'1. Matriz de Activos'!$G$11</f>
        <v/>
      </c>
      <c r="F16" s="64">
        <f>'1. Matriz de Activos'!$E$11</f>
        <v/>
      </c>
      <c r="G16" s="64">
        <f>'1. Matriz de Activos'!$F$11</f>
        <v/>
      </c>
      <c r="H16" s="28">
        <f>'1. Matriz de Activos'!$T$11</f>
        <v/>
      </c>
      <c r="I16" s="28">
        <f>IF($H16&gt;=4,"Sí","No")</f>
        <v/>
      </c>
      <c r="J16" s="28">
        <f>IF($H16&gt;=4,IFERROR(VLOOKUP($G16,AmenTabla,2,0),0),0)</f>
        <v/>
      </c>
      <c r="K16" s="28">
        <f>COUNTIF('2. Valoración '!$C$6:$C$2261,$C16)</f>
        <v/>
      </c>
      <c r="L16" s="64">
        <f>IF($I16="No","No requiere valoración",IF($K16=0,"FALTA POR COMPLETO — agregar "&amp;$J16&amp;" filas",IF($K16&lt;$J16,"INCOMPLETO — faltan "&amp;($J16-$K16)&amp;" filas",IF($K16&gt;$J16,"REVISAR — hay filas de más","Completo"))))</f>
        <v/>
      </c>
    </row>
    <row r="17" ht="45" customHeight="1" s="54">
      <c r="B17" s="28">
        <f>IF(AND(OR($C$6="(Todos los procesos)",$C$6='1. Matriz de Activos'!$G$12),OR($C$7="(Todos los tipos)",$C$7='1. Matriz de Activos'!$E$12),OR($C$8="(Todos los subtipos)",$C$8='1. Matriz de Activos'!$F$12)),"Sí","No")</f>
        <v/>
      </c>
      <c r="C17" s="28">
        <f>'1. Matriz de Activos'!$B$12</f>
        <v/>
      </c>
      <c r="D17" s="64">
        <f>'1. Matriz de Activos'!$C$12</f>
        <v/>
      </c>
      <c r="E17" s="28">
        <f>'1. Matriz de Activos'!$G$12</f>
        <v/>
      </c>
      <c r="F17" s="64">
        <f>'1. Matriz de Activos'!$E$12</f>
        <v/>
      </c>
      <c r="G17" s="64">
        <f>'1. Matriz de Activos'!$F$12</f>
        <v/>
      </c>
      <c r="H17" s="28">
        <f>'1. Matriz de Activos'!$T$12</f>
        <v/>
      </c>
      <c r="I17" s="28">
        <f>IF($H17&gt;=4,"Sí","No")</f>
        <v/>
      </c>
      <c r="J17" s="28">
        <f>IF($H17&gt;=4,IFERROR(VLOOKUP($G17,AmenTabla,2,0),0),0)</f>
        <v/>
      </c>
      <c r="K17" s="28">
        <f>COUNTIF('2. Valoración '!$C$6:$C$2261,$C17)</f>
        <v/>
      </c>
      <c r="L17" s="64">
        <f>IF($I17="No","No requiere valoración",IF($K17=0,"FALTA POR COMPLETO — agregar "&amp;$J17&amp;" filas",IF($K17&lt;$J17,"INCOMPLETO — faltan "&amp;($J17-$K17)&amp;" filas",IF($K17&gt;$J17,"REVISAR — hay filas de más","Completo"))))</f>
        <v/>
      </c>
    </row>
    <row r="18" ht="75" customHeight="1" s="54">
      <c r="B18" s="28">
        <f>IF(AND(OR($C$6="(Todos los procesos)",$C$6='1. Matriz de Activos'!$G$13),OR($C$7="(Todos los tipos)",$C$7='1. Matriz de Activos'!$E$13),OR($C$8="(Todos los subtipos)",$C$8='1. Matriz de Activos'!$F$13)),"Sí","No")</f>
        <v/>
      </c>
      <c r="C18" s="28">
        <f>'1. Matriz de Activos'!$B$13</f>
        <v/>
      </c>
      <c r="D18" s="64">
        <f>'1. Matriz de Activos'!$C$13</f>
        <v/>
      </c>
      <c r="E18" s="28">
        <f>'1. Matriz de Activos'!$G$13</f>
        <v/>
      </c>
      <c r="F18" s="64">
        <f>'1. Matriz de Activos'!$E$13</f>
        <v/>
      </c>
      <c r="G18" s="64">
        <f>'1. Matriz de Activos'!$F$13</f>
        <v/>
      </c>
      <c r="H18" s="28">
        <f>'1. Matriz de Activos'!$T$13</f>
        <v/>
      </c>
      <c r="I18" s="28">
        <f>IF($H18&gt;=4,"Sí","No")</f>
        <v/>
      </c>
      <c r="J18" s="28">
        <f>IF($H18&gt;=4,IFERROR(VLOOKUP($G18,AmenTabla,2,0),0),0)</f>
        <v/>
      </c>
      <c r="K18" s="28">
        <f>COUNTIF('2. Valoración '!$C$6:$C$2261,$C18)</f>
        <v/>
      </c>
      <c r="L18" s="64">
        <f>IF($I18="No","No requiere valoración",IF($K18=0,"FALTA POR COMPLETO — agregar "&amp;$J18&amp;" filas",IF($K18&lt;$J18,"INCOMPLETO — faltan "&amp;($J18-$K18)&amp;" filas",IF($K18&gt;$J18,"REVISAR — hay filas de más","Completo"))))</f>
        <v/>
      </c>
    </row>
    <row r="19" ht="75" customHeight="1" s="54">
      <c r="B19" s="28">
        <f>IF(AND(OR($C$6="(Todos los procesos)",$C$6='1. Matriz de Activos'!$G$14),OR($C$7="(Todos los tipos)",$C$7='1. Matriz de Activos'!$E$14),OR($C$8="(Todos los subtipos)",$C$8='1. Matriz de Activos'!$F$14)),"Sí","No")</f>
        <v/>
      </c>
      <c r="C19" s="28">
        <f>'1. Matriz de Activos'!$B$14</f>
        <v/>
      </c>
      <c r="D19" s="64">
        <f>'1. Matriz de Activos'!$C$14</f>
        <v/>
      </c>
      <c r="E19" s="28">
        <f>'1. Matriz de Activos'!$G$14</f>
        <v/>
      </c>
      <c r="F19" s="64">
        <f>'1. Matriz de Activos'!$E$14</f>
        <v/>
      </c>
      <c r="G19" s="64">
        <f>'1. Matriz de Activos'!$F$14</f>
        <v/>
      </c>
      <c r="H19" s="28">
        <f>'1. Matriz de Activos'!$T$14</f>
        <v/>
      </c>
      <c r="I19" s="28">
        <f>IF($H19&gt;=4,"Sí","No")</f>
        <v/>
      </c>
      <c r="J19" s="28">
        <f>IF($H19&gt;=4,IFERROR(VLOOKUP($G19,AmenTabla,2,0),0),0)</f>
        <v/>
      </c>
      <c r="K19" s="28">
        <f>COUNTIF('2. Valoración '!$C$6:$C$2261,$C19)</f>
        <v/>
      </c>
      <c r="L19" s="64">
        <f>IF($I19="No","No requiere valoración",IF($K19=0,"FALTA POR COMPLETO — agregar "&amp;$J19&amp;" filas",IF($K19&lt;$J19,"INCOMPLETO — faltan "&amp;($J19-$K19)&amp;" filas",IF($K19&gt;$J19,"REVISAR — hay filas de más","Completo"))))</f>
        <v/>
      </c>
    </row>
    <row r="20" ht="75" customHeight="1" s="54">
      <c r="B20" s="28">
        <f>IF(AND(OR($C$6="(Todos los procesos)",$C$6='1. Matriz de Activos'!$G$15),OR($C$7="(Todos los tipos)",$C$7='1. Matriz de Activos'!$E$15),OR($C$8="(Todos los subtipos)",$C$8='1. Matriz de Activos'!$F$15)),"Sí","No")</f>
        <v/>
      </c>
      <c r="C20" s="28">
        <f>'1. Matriz de Activos'!$B$15</f>
        <v/>
      </c>
      <c r="D20" s="64">
        <f>'1. Matriz de Activos'!$C$15</f>
        <v/>
      </c>
      <c r="E20" s="28">
        <f>'1. Matriz de Activos'!$G$15</f>
        <v/>
      </c>
      <c r="F20" s="64">
        <f>'1. Matriz de Activos'!$E$15</f>
        <v/>
      </c>
      <c r="G20" s="64">
        <f>'1. Matriz de Activos'!$F$15</f>
        <v/>
      </c>
      <c r="H20" s="28">
        <f>'1. Matriz de Activos'!$T$15</f>
        <v/>
      </c>
      <c r="I20" s="28">
        <f>IF($H20&gt;=4,"Sí","No")</f>
        <v/>
      </c>
      <c r="J20" s="28">
        <f>IF($H20&gt;=4,IFERROR(VLOOKUP($G20,AmenTabla,2,0),0),0)</f>
        <v/>
      </c>
      <c r="K20" s="28">
        <f>COUNTIF('2. Valoración '!$C$6:$C$2261,$C20)</f>
        <v/>
      </c>
      <c r="L20" s="64">
        <f>IF($I20="No","No requiere valoración",IF($K20=0,"FALTA POR COMPLETO — agregar "&amp;$J20&amp;" filas",IF($K20&lt;$J20,"INCOMPLETO — faltan "&amp;($J20-$K20)&amp;" filas",IF($K20&gt;$J20,"REVISAR — hay filas de más","Completo"))))</f>
        <v/>
      </c>
    </row>
    <row r="21" ht="30" customHeight="1" s="54">
      <c r="B21" s="28">
        <f>IF(AND(OR($C$6="(Todos los procesos)",$C$6='1. Matriz de Activos'!$G$16),OR($C$7="(Todos los tipos)",$C$7='1. Matriz de Activos'!$E$16),OR($C$8="(Todos los subtipos)",$C$8='1. Matriz de Activos'!$F$16)),"Sí","No")</f>
        <v/>
      </c>
      <c r="C21" s="28">
        <f>'1. Matriz de Activos'!$B$16</f>
        <v/>
      </c>
      <c r="D21" s="64">
        <f>'1. Matriz de Activos'!$C$16</f>
        <v/>
      </c>
      <c r="E21" s="28">
        <f>'1. Matriz de Activos'!$G$16</f>
        <v/>
      </c>
      <c r="F21" s="64">
        <f>'1. Matriz de Activos'!$E$16</f>
        <v/>
      </c>
      <c r="G21" s="64">
        <f>'1. Matriz de Activos'!$F$16</f>
        <v/>
      </c>
      <c r="H21" s="28">
        <f>'1. Matriz de Activos'!$T$16</f>
        <v/>
      </c>
      <c r="I21" s="28">
        <f>IF($H21&gt;=4,"Sí","No")</f>
        <v/>
      </c>
      <c r="J21" s="28">
        <f>IF($H21&gt;=4,IFERROR(VLOOKUP($G21,AmenTabla,2,0),0),0)</f>
        <v/>
      </c>
      <c r="K21" s="28">
        <f>COUNTIF('2. Valoración '!$C$6:$C$2261,$C21)</f>
        <v/>
      </c>
      <c r="L21" s="64">
        <f>IF($I21="No","No requiere valoración",IF($K21=0,"FALTA POR COMPLETO — agregar "&amp;$J21&amp;" filas",IF($K21&lt;$J21,"INCOMPLETO — faltan "&amp;($J21-$K21)&amp;" filas",IF($K21&gt;$J21,"REVISAR — hay filas de más","Completo"))))</f>
        <v/>
      </c>
    </row>
    <row r="22" ht="15" customHeight="1" s="54">
      <c r="B22" s="28">
        <f>IF(AND(OR($C$6="(Todos los procesos)",$C$6='1. Matriz de Activos'!$G$17),OR($C$7="(Todos los tipos)",$C$7='1. Matriz de Activos'!$E$17),OR($C$8="(Todos los subtipos)",$C$8='1. Matriz de Activos'!$F$17)),"Sí","No")</f>
        <v/>
      </c>
      <c r="C22" s="28">
        <f>'1. Matriz de Activos'!$B$17</f>
        <v/>
      </c>
      <c r="D22" s="64">
        <f>'1. Matriz de Activos'!$C$17</f>
        <v/>
      </c>
      <c r="E22" s="28">
        <f>'1. Matriz de Activos'!$G$17</f>
        <v/>
      </c>
      <c r="F22" s="64">
        <f>'1. Matriz de Activos'!$E$17</f>
        <v/>
      </c>
      <c r="G22" s="64">
        <f>'1. Matriz de Activos'!$F$17</f>
        <v/>
      </c>
      <c r="H22" s="28">
        <f>'1. Matriz de Activos'!$T$17</f>
        <v/>
      </c>
      <c r="I22" s="28">
        <f>IF($H22&gt;=4,"Sí","No")</f>
        <v/>
      </c>
      <c r="J22" s="28">
        <f>IF($H22&gt;=4,IFERROR(VLOOKUP($G22,AmenTabla,2,0),0),0)</f>
        <v/>
      </c>
      <c r="K22" s="28">
        <f>COUNTIF('2. Valoración '!$C$6:$C$2261,$C22)</f>
        <v/>
      </c>
      <c r="L22" s="64">
        <f>IF($I22="No","No requiere valoración",IF($K22=0,"FALTA POR COMPLETO — agregar "&amp;$J22&amp;" filas",IF($K22&lt;$J22,"INCOMPLETO — faltan "&amp;($J22-$K22)&amp;" filas",IF($K22&gt;$J22,"REVISAR — hay filas de más","Completo"))))</f>
        <v/>
      </c>
    </row>
    <row r="23" ht="30" customHeight="1" s="54">
      <c r="B23" s="28">
        <f>IF(AND(OR($C$6="(Todos los procesos)",$C$6='1. Matriz de Activos'!$G$18),OR($C$7="(Todos los tipos)",$C$7='1. Matriz de Activos'!$E$18),OR($C$8="(Todos los subtipos)",$C$8='1. Matriz de Activos'!$F$18)),"Sí","No")</f>
        <v/>
      </c>
      <c r="C23" s="28">
        <f>'1. Matriz de Activos'!$B$18</f>
        <v/>
      </c>
      <c r="D23" s="64">
        <f>'1. Matriz de Activos'!$C$18</f>
        <v/>
      </c>
      <c r="E23" s="28">
        <f>'1. Matriz de Activos'!$G$18</f>
        <v/>
      </c>
      <c r="F23" s="64">
        <f>'1. Matriz de Activos'!$E$18</f>
        <v/>
      </c>
      <c r="G23" s="64">
        <f>'1. Matriz de Activos'!$F$18</f>
        <v/>
      </c>
      <c r="H23" s="28">
        <f>'1. Matriz de Activos'!$T$18</f>
        <v/>
      </c>
      <c r="I23" s="28">
        <f>IF($H23&gt;=4,"Sí","No")</f>
        <v/>
      </c>
      <c r="J23" s="28">
        <f>IF($H23&gt;=4,IFERROR(VLOOKUP($G23,AmenTabla,2,0),0),0)</f>
        <v/>
      </c>
      <c r="K23" s="28">
        <f>COUNTIF('2. Valoración '!$C$6:$C$2261,$C23)</f>
        <v/>
      </c>
      <c r="L23" s="64">
        <f>IF($I23="No","No requiere valoración",IF($K23=0,"FALTA POR COMPLETO — agregar "&amp;$J23&amp;" filas",IF($K23&lt;$J23,"INCOMPLETO — faltan "&amp;($J23-$K23)&amp;" filas",IF($K23&gt;$J23,"REVISAR — hay filas de más","Completo"))))</f>
        <v/>
      </c>
    </row>
    <row r="24" ht="60" customHeight="1" s="54">
      <c r="B24" s="28">
        <f>IF(AND(OR($C$6="(Todos los procesos)",$C$6='1. Matriz de Activos'!$G$19),OR($C$7="(Todos los tipos)",$C$7='1. Matriz de Activos'!$E$19),OR($C$8="(Todos los subtipos)",$C$8='1. Matriz de Activos'!$F$19)),"Sí","No")</f>
        <v/>
      </c>
      <c r="C24" s="28">
        <f>'1. Matriz de Activos'!$B$19</f>
        <v/>
      </c>
      <c r="D24" s="64">
        <f>'1. Matriz de Activos'!$C$19</f>
        <v/>
      </c>
      <c r="E24" s="28">
        <f>'1. Matriz de Activos'!$G$19</f>
        <v/>
      </c>
      <c r="F24" s="64">
        <f>'1. Matriz de Activos'!$E$19</f>
        <v/>
      </c>
      <c r="G24" s="64">
        <f>'1. Matriz de Activos'!$F$19</f>
        <v/>
      </c>
      <c r="H24" s="28">
        <f>'1. Matriz de Activos'!$T$19</f>
        <v/>
      </c>
      <c r="I24" s="28">
        <f>IF($H24&gt;=4,"Sí","No")</f>
        <v/>
      </c>
      <c r="J24" s="28">
        <f>IF($H24&gt;=4,IFERROR(VLOOKUP($G24,AmenTabla,2,0),0),0)</f>
        <v/>
      </c>
      <c r="K24" s="28">
        <f>COUNTIF('2. Valoración '!$C$6:$C$2261,$C24)</f>
        <v/>
      </c>
      <c r="L24" s="64">
        <f>IF($I24="No","No requiere valoración",IF($K24=0,"FALTA POR COMPLETO — agregar "&amp;$J24&amp;" filas",IF($K24&lt;$J24,"INCOMPLETO — faltan "&amp;($J24-$K24)&amp;" filas",IF($K24&gt;$J24,"REVISAR — hay filas de más","Completo"))))</f>
        <v/>
      </c>
    </row>
    <row r="25" ht="45" customHeight="1" s="54">
      <c r="B25" s="28">
        <f>IF(AND(OR($C$6="(Todos los procesos)",$C$6='1. Matriz de Activos'!$G$20),OR($C$7="(Todos los tipos)",$C$7='1. Matriz de Activos'!$E$20),OR($C$8="(Todos los subtipos)",$C$8='1. Matriz de Activos'!$F$20)),"Sí","No")</f>
        <v/>
      </c>
      <c r="C25" s="28">
        <f>'1. Matriz de Activos'!$B$20</f>
        <v/>
      </c>
      <c r="D25" s="64">
        <f>'1. Matriz de Activos'!$C$20</f>
        <v/>
      </c>
      <c r="E25" s="28">
        <f>'1. Matriz de Activos'!$G$20</f>
        <v/>
      </c>
      <c r="F25" s="64">
        <f>'1. Matriz de Activos'!$E$20</f>
        <v/>
      </c>
      <c r="G25" s="64">
        <f>'1. Matriz de Activos'!$F$20</f>
        <v/>
      </c>
      <c r="H25" s="28">
        <f>'1. Matriz de Activos'!$T$20</f>
        <v/>
      </c>
      <c r="I25" s="28">
        <f>IF($H25&gt;=4,"Sí","No")</f>
        <v/>
      </c>
      <c r="J25" s="28">
        <f>IF($H25&gt;=4,IFERROR(VLOOKUP($G25,AmenTabla,2,0),0),0)</f>
        <v/>
      </c>
      <c r="K25" s="28">
        <f>COUNTIF('2. Valoración '!$C$6:$C$2261,$C25)</f>
        <v/>
      </c>
      <c r="L25" s="64">
        <f>IF($I25="No","No requiere valoración",IF($K25=0,"FALTA POR COMPLETO — agregar "&amp;$J25&amp;" filas",IF($K25&lt;$J25,"INCOMPLETO — faltan "&amp;($J25-$K25)&amp;" filas",IF($K25&gt;$J25,"REVISAR — hay filas de más","Completo"))))</f>
        <v/>
      </c>
    </row>
    <row r="26" ht="60" customHeight="1" s="54">
      <c r="B26" s="28">
        <f>IF(AND(OR($C$6="(Todos los procesos)",$C$6='1. Matriz de Activos'!$G$21),OR($C$7="(Todos los tipos)",$C$7='1. Matriz de Activos'!$E$21),OR($C$8="(Todos los subtipos)",$C$8='1. Matriz de Activos'!$F$21)),"Sí","No")</f>
        <v/>
      </c>
      <c r="C26" s="28">
        <f>'1. Matriz de Activos'!$B$21</f>
        <v/>
      </c>
      <c r="D26" s="64">
        <f>'1. Matriz de Activos'!$C$21</f>
        <v/>
      </c>
      <c r="E26" s="28">
        <f>'1. Matriz de Activos'!$G$21</f>
        <v/>
      </c>
      <c r="F26" s="64">
        <f>'1. Matriz de Activos'!$E$21</f>
        <v/>
      </c>
      <c r="G26" s="64">
        <f>'1. Matriz de Activos'!$F$21</f>
        <v/>
      </c>
      <c r="H26" s="28">
        <f>'1. Matriz de Activos'!$T$21</f>
        <v/>
      </c>
      <c r="I26" s="28">
        <f>IF($H26&gt;=4,"Sí","No")</f>
        <v/>
      </c>
      <c r="J26" s="28">
        <f>IF($H26&gt;=4,IFERROR(VLOOKUP($G26,AmenTabla,2,0),0),0)</f>
        <v/>
      </c>
      <c r="K26" s="28">
        <f>COUNTIF('2. Valoración '!$C$6:$C$2261,$C26)</f>
        <v/>
      </c>
      <c r="L26" s="64">
        <f>IF($I26="No","No requiere valoración",IF($K26=0,"FALTA POR COMPLETO — agregar "&amp;$J26&amp;" filas",IF($K26&lt;$J26,"INCOMPLETO — faltan "&amp;($J26-$K26)&amp;" filas",IF($K26&gt;$J26,"REVISAR — hay filas de más","Completo"))))</f>
        <v/>
      </c>
    </row>
    <row r="27" ht="60" customHeight="1" s="54">
      <c r="B27" s="28">
        <f>IF(AND(OR($C$6="(Todos los procesos)",$C$6='1. Matriz de Activos'!$G$22),OR($C$7="(Todos los tipos)",$C$7='1. Matriz de Activos'!$E$22),OR($C$8="(Todos los subtipos)",$C$8='1. Matriz de Activos'!$F$22)),"Sí","No")</f>
        <v/>
      </c>
      <c r="C27" s="28">
        <f>'1. Matriz de Activos'!$B$22</f>
        <v/>
      </c>
      <c r="D27" s="64">
        <f>'1. Matriz de Activos'!$C$22</f>
        <v/>
      </c>
      <c r="E27" s="28">
        <f>'1. Matriz de Activos'!$G$22</f>
        <v/>
      </c>
      <c r="F27" s="64">
        <f>'1. Matriz de Activos'!$E$22</f>
        <v/>
      </c>
      <c r="G27" s="64">
        <f>'1. Matriz de Activos'!$F$22</f>
        <v/>
      </c>
      <c r="H27" s="28">
        <f>'1. Matriz de Activos'!$T$22</f>
        <v/>
      </c>
      <c r="I27" s="28">
        <f>IF($H27&gt;=4,"Sí","No")</f>
        <v/>
      </c>
      <c r="J27" s="28">
        <f>IF($H27&gt;=4,IFERROR(VLOOKUP($G27,AmenTabla,2,0),0),0)</f>
        <v/>
      </c>
      <c r="K27" s="28">
        <f>COUNTIF('2. Valoración '!$C$6:$C$2261,$C27)</f>
        <v/>
      </c>
      <c r="L27" s="64">
        <f>IF($I27="No","No requiere valoración",IF($K27=0,"FALTA POR COMPLETO — agregar "&amp;$J27&amp;" filas",IF($K27&lt;$J27,"INCOMPLETO — faltan "&amp;($J27-$K27)&amp;" filas",IF($K27&gt;$J27,"REVISAR — hay filas de más","Completo"))))</f>
        <v/>
      </c>
    </row>
    <row r="28" ht="45" customHeight="1" s="54">
      <c r="B28" s="28">
        <f>IF(AND(OR($C$6="(Todos los procesos)",$C$6='1. Matriz de Activos'!$G$23),OR($C$7="(Todos los tipos)",$C$7='1. Matriz de Activos'!$E$23),OR($C$8="(Todos los subtipos)",$C$8='1. Matriz de Activos'!$F$23)),"Sí","No")</f>
        <v/>
      </c>
      <c r="C28" s="28">
        <f>'1. Matriz de Activos'!$B$23</f>
        <v/>
      </c>
      <c r="D28" s="64">
        <f>'1. Matriz de Activos'!$C$23</f>
        <v/>
      </c>
      <c r="E28" s="28">
        <f>'1. Matriz de Activos'!$G$23</f>
        <v/>
      </c>
      <c r="F28" s="64">
        <f>'1. Matriz de Activos'!$E$23</f>
        <v/>
      </c>
      <c r="G28" s="64">
        <f>'1. Matriz de Activos'!$F$23</f>
        <v/>
      </c>
      <c r="H28" s="28">
        <f>'1. Matriz de Activos'!$T$23</f>
        <v/>
      </c>
      <c r="I28" s="28">
        <f>IF($H28&gt;=4,"Sí","No")</f>
        <v/>
      </c>
      <c r="J28" s="28">
        <f>IF($H28&gt;=4,IFERROR(VLOOKUP($G28,AmenTabla,2,0),0),0)</f>
        <v/>
      </c>
      <c r="K28" s="28">
        <f>COUNTIF('2. Valoración '!$C$6:$C$2261,$C28)</f>
        <v/>
      </c>
      <c r="L28" s="64">
        <f>IF($I28="No","No requiere valoración",IF($K28=0,"FALTA POR COMPLETO — agregar "&amp;$J28&amp;" filas",IF($K28&lt;$J28,"INCOMPLETO — faltan "&amp;($J28-$K28)&amp;" filas",IF($K28&gt;$J28,"REVISAR — hay filas de más","Completo"))))</f>
        <v/>
      </c>
    </row>
    <row r="29" ht="60" customHeight="1" s="54">
      <c r="B29" s="28">
        <f>IF(AND(OR($C$6="(Todos los procesos)",$C$6='1. Matriz de Activos'!$G$24),OR($C$7="(Todos los tipos)",$C$7='1. Matriz de Activos'!$E$24),OR($C$8="(Todos los subtipos)",$C$8='1. Matriz de Activos'!$F$24)),"Sí","No")</f>
        <v/>
      </c>
      <c r="C29" s="28">
        <f>'1. Matriz de Activos'!$B$24</f>
        <v/>
      </c>
      <c r="D29" s="64">
        <f>'1. Matriz de Activos'!$C$24</f>
        <v/>
      </c>
      <c r="E29" s="28">
        <f>'1. Matriz de Activos'!$G$24</f>
        <v/>
      </c>
      <c r="F29" s="64">
        <f>'1. Matriz de Activos'!$E$24</f>
        <v/>
      </c>
      <c r="G29" s="64">
        <f>'1. Matriz de Activos'!$F$24</f>
        <v/>
      </c>
      <c r="H29" s="28">
        <f>'1. Matriz de Activos'!$T$24</f>
        <v/>
      </c>
      <c r="I29" s="28">
        <f>IF($H29&gt;=4,"Sí","No")</f>
        <v/>
      </c>
      <c r="J29" s="28">
        <f>IF($H29&gt;=4,IFERROR(VLOOKUP($G29,AmenTabla,2,0),0),0)</f>
        <v/>
      </c>
      <c r="K29" s="28">
        <f>COUNTIF('2. Valoración '!$C$6:$C$2261,$C29)</f>
        <v/>
      </c>
      <c r="L29" s="64">
        <f>IF($I29="No","No requiere valoración",IF($K29=0,"FALTA POR COMPLETO — agregar "&amp;$J29&amp;" filas",IF($K29&lt;$J29,"INCOMPLETO — faltan "&amp;($J29-$K29)&amp;" filas",IF($K29&gt;$J29,"REVISAR — hay filas de más","Completo"))))</f>
        <v/>
      </c>
    </row>
    <row r="30" ht="60" customHeight="1" s="54">
      <c r="B30" s="28">
        <f>IF(AND(OR($C$6="(Todos los procesos)",$C$6='1. Matriz de Activos'!$G$25),OR($C$7="(Todos los tipos)",$C$7='1. Matriz de Activos'!$E$25),OR($C$8="(Todos los subtipos)",$C$8='1. Matriz de Activos'!$F$25)),"Sí","No")</f>
        <v/>
      </c>
      <c r="C30" s="28">
        <f>'1. Matriz de Activos'!$B$25</f>
        <v/>
      </c>
      <c r="D30" s="64">
        <f>'1. Matriz de Activos'!$C$25</f>
        <v/>
      </c>
      <c r="E30" s="28">
        <f>'1. Matriz de Activos'!$G$25</f>
        <v/>
      </c>
      <c r="F30" s="64">
        <f>'1. Matriz de Activos'!$E$25</f>
        <v/>
      </c>
      <c r="G30" s="64">
        <f>'1. Matriz de Activos'!$F$25</f>
        <v/>
      </c>
      <c r="H30" s="28">
        <f>'1. Matriz de Activos'!$T$25</f>
        <v/>
      </c>
      <c r="I30" s="28">
        <f>IF($H30&gt;=4,"Sí","No")</f>
        <v/>
      </c>
      <c r="J30" s="28">
        <f>IF($H30&gt;=4,IFERROR(VLOOKUP($G30,AmenTabla,2,0),0),0)</f>
        <v/>
      </c>
      <c r="K30" s="28">
        <f>COUNTIF('2. Valoración '!$C$6:$C$2261,$C30)</f>
        <v/>
      </c>
      <c r="L30" s="64">
        <f>IF($I30="No","No requiere valoración",IF($K30=0,"FALTA POR COMPLETO — agregar "&amp;$J30&amp;" filas",IF($K30&lt;$J30,"INCOMPLETO — faltan "&amp;($J30-$K30)&amp;" filas",IF($K30&gt;$J30,"REVISAR — hay filas de más","Completo"))))</f>
        <v/>
      </c>
    </row>
    <row r="31" ht="60" customHeight="1" s="54">
      <c r="B31" s="28">
        <f>IF(AND(OR($C$6="(Todos los procesos)",$C$6='1. Matriz de Activos'!$G$26),OR($C$7="(Todos los tipos)",$C$7='1. Matriz de Activos'!$E$26),OR($C$8="(Todos los subtipos)",$C$8='1. Matriz de Activos'!$F$26)),"Sí","No")</f>
        <v/>
      </c>
      <c r="C31" s="28">
        <f>'1. Matriz de Activos'!$B$26</f>
        <v/>
      </c>
      <c r="D31" s="64">
        <f>'1. Matriz de Activos'!$C$26</f>
        <v/>
      </c>
      <c r="E31" s="28">
        <f>'1. Matriz de Activos'!$G$26</f>
        <v/>
      </c>
      <c r="F31" s="64">
        <f>'1. Matriz de Activos'!$E$26</f>
        <v/>
      </c>
      <c r="G31" s="64">
        <f>'1. Matriz de Activos'!$F$26</f>
        <v/>
      </c>
      <c r="H31" s="28">
        <f>'1. Matriz de Activos'!$T$26</f>
        <v/>
      </c>
      <c r="I31" s="28">
        <f>IF($H31&gt;=4,"Sí","No")</f>
        <v/>
      </c>
      <c r="J31" s="28">
        <f>IF($H31&gt;=4,IFERROR(VLOOKUP($G31,AmenTabla,2,0),0),0)</f>
        <v/>
      </c>
      <c r="K31" s="28">
        <f>COUNTIF('2. Valoración '!$C$6:$C$2261,$C31)</f>
        <v/>
      </c>
      <c r="L31" s="64">
        <f>IF($I31="No","No requiere valoración",IF($K31=0,"FALTA POR COMPLETO — agregar "&amp;$J31&amp;" filas",IF($K31&lt;$J31,"INCOMPLETO — faltan "&amp;($J31-$K31)&amp;" filas",IF($K31&gt;$J31,"REVISAR — hay filas de más","Completo"))))</f>
        <v/>
      </c>
    </row>
    <row r="32" ht="60" customHeight="1" s="54">
      <c r="B32" s="28">
        <f>IF(AND(OR($C$6="(Todos los procesos)",$C$6='1. Matriz de Activos'!$G$27),OR($C$7="(Todos los tipos)",$C$7='1. Matriz de Activos'!$E$27),OR($C$8="(Todos los subtipos)",$C$8='1. Matriz de Activos'!$F$27)),"Sí","No")</f>
        <v/>
      </c>
      <c r="C32" s="28">
        <f>'1. Matriz de Activos'!$B$27</f>
        <v/>
      </c>
      <c r="D32" s="64">
        <f>'1. Matriz de Activos'!$C$27</f>
        <v/>
      </c>
      <c r="E32" s="28">
        <f>'1. Matriz de Activos'!$G$27</f>
        <v/>
      </c>
      <c r="F32" s="64">
        <f>'1. Matriz de Activos'!$E$27</f>
        <v/>
      </c>
      <c r="G32" s="64">
        <f>'1. Matriz de Activos'!$F$27</f>
        <v/>
      </c>
      <c r="H32" s="28">
        <f>'1. Matriz de Activos'!$T$27</f>
        <v/>
      </c>
      <c r="I32" s="28">
        <f>IF($H32&gt;=4,"Sí","No")</f>
        <v/>
      </c>
      <c r="J32" s="28">
        <f>IF($H32&gt;=4,IFERROR(VLOOKUP($G32,AmenTabla,2,0),0),0)</f>
        <v/>
      </c>
      <c r="K32" s="28">
        <f>COUNTIF('2. Valoración '!$C$6:$C$2261,$C32)</f>
        <v/>
      </c>
      <c r="L32" s="64">
        <f>IF($I32="No","No requiere valoración",IF($K32=0,"FALTA POR COMPLETO — agregar "&amp;$J32&amp;" filas",IF($K32&lt;$J32,"INCOMPLETO — faltan "&amp;($J32-$K32)&amp;" filas",IF($K32&gt;$J32,"REVISAR — hay filas de más","Completo"))))</f>
        <v/>
      </c>
    </row>
    <row r="33" ht="60" customHeight="1" s="54">
      <c r="B33" s="28">
        <f>IF(AND(OR($C$6="(Todos los procesos)",$C$6='1. Matriz de Activos'!$G$28),OR($C$7="(Todos los tipos)",$C$7='1. Matriz de Activos'!$E$28),OR($C$8="(Todos los subtipos)",$C$8='1. Matriz de Activos'!$F$28)),"Sí","No")</f>
        <v/>
      </c>
      <c r="C33" s="28">
        <f>'1. Matriz de Activos'!$B$28</f>
        <v/>
      </c>
      <c r="D33" s="64">
        <f>'1. Matriz de Activos'!$C$28</f>
        <v/>
      </c>
      <c r="E33" s="28">
        <f>'1. Matriz de Activos'!$G$28</f>
        <v/>
      </c>
      <c r="F33" s="64">
        <f>'1. Matriz de Activos'!$E$28</f>
        <v/>
      </c>
      <c r="G33" s="64">
        <f>'1. Matriz de Activos'!$F$28</f>
        <v/>
      </c>
      <c r="H33" s="28">
        <f>'1. Matriz de Activos'!$T$28</f>
        <v/>
      </c>
      <c r="I33" s="28">
        <f>IF($H33&gt;=4,"Sí","No")</f>
        <v/>
      </c>
      <c r="J33" s="28">
        <f>IF($H33&gt;=4,IFERROR(VLOOKUP($G33,AmenTabla,2,0),0),0)</f>
        <v/>
      </c>
      <c r="K33" s="28">
        <f>COUNTIF('2. Valoración '!$C$6:$C$2261,$C33)</f>
        <v/>
      </c>
      <c r="L33" s="64">
        <f>IF($I33="No","No requiere valoración",IF($K33=0,"FALTA POR COMPLETO — agregar "&amp;$J33&amp;" filas",IF($K33&lt;$J33,"INCOMPLETO — faltan "&amp;($J33-$K33)&amp;" filas",IF($K33&gt;$J33,"REVISAR — hay filas de más","Completo"))))</f>
        <v/>
      </c>
    </row>
    <row r="34" ht="30" customHeight="1" s="54">
      <c r="B34" s="28">
        <f>IF(AND(OR($C$6="(Todos los procesos)",$C$6='1. Matriz de Activos'!$G$29),OR($C$7="(Todos los tipos)",$C$7='1. Matriz de Activos'!$E$29),OR($C$8="(Todos los subtipos)",$C$8='1. Matriz de Activos'!$F$29)),"Sí","No")</f>
        <v/>
      </c>
      <c r="C34" s="28">
        <f>'1. Matriz de Activos'!$B$29</f>
        <v/>
      </c>
      <c r="D34" s="64">
        <f>'1. Matriz de Activos'!$C$29</f>
        <v/>
      </c>
      <c r="E34" s="28">
        <f>'1. Matriz de Activos'!$G$29</f>
        <v/>
      </c>
      <c r="F34" s="64">
        <f>'1. Matriz de Activos'!$E$29</f>
        <v/>
      </c>
      <c r="G34" s="64">
        <f>'1. Matriz de Activos'!$F$29</f>
        <v/>
      </c>
      <c r="H34" s="28">
        <f>'1. Matriz de Activos'!$T$29</f>
        <v/>
      </c>
      <c r="I34" s="28">
        <f>IF($H34&gt;=4,"Sí","No")</f>
        <v/>
      </c>
      <c r="J34" s="28">
        <f>IF($H34&gt;=4,IFERROR(VLOOKUP($G34,AmenTabla,2,0),0),0)</f>
        <v/>
      </c>
      <c r="K34" s="28">
        <f>COUNTIF('2. Valoración '!$C$6:$C$2261,$C34)</f>
        <v/>
      </c>
      <c r="L34" s="64">
        <f>IF($I34="No","No requiere valoración",IF($K34=0,"FALTA POR COMPLETO — agregar "&amp;$J34&amp;" filas",IF($K34&lt;$J34,"INCOMPLETO — faltan "&amp;($J34-$K34)&amp;" filas",IF($K34&gt;$J34,"REVISAR — hay filas de más","Completo"))))</f>
        <v/>
      </c>
    </row>
    <row r="35" ht="60" customHeight="1" s="54">
      <c r="B35" s="28">
        <f>IF(AND(OR($C$6="(Todos los procesos)",$C$6='1. Matriz de Activos'!$G$30),OR($C$7="(Todos los tipos)",$C$7='1. Matriz de Activos'!$E$30),OR($C$8="(Todos los subtipos)",$C$8='1. Matriz de Activos'!$F$30)),"Sí","No")</f>
        <v/>
      </c>
      <c r="C35" s="28">
        <f>'1. Matriz de Activos'!$B$30</f>
        <v/>
      </c>
      <c r="D35" s="64">
        <f>'1. Matriz de Activos'!$C$30</f>
        <v/>
      </c>
      <c r="E35" s="28">
        <f>'1. Matriz de Activos'!$G$30</f>
        <v/>
      </c>
      <c r="F35" s="64">
        <f>'1. Matriz de Activos'!$E$30</f>
        <v/>
      </c>
      <c r="G35" s="64">
        <f>'1. Matriz de Activos'!$F$30</f>
        <v/>
      </c>
      <c r="H35" s="28">
        <f>'1. Matriz de Activos'!$T$30</f>
        <v/>
      </c>
      <c r="I35" s="28">
        <f>IF($H35&gt;=4,"Sí","No")</f>
        <v/>
      </c>
      <c r="J35" s="28">
        <f>IF($H35&gt;=4,IFERROR(VLOOKUP($G35,AmenTabla,2,0),0),0)</f>
        <v/>
      </c>
      <c r="K35" s="28">
        <f>COUNTIF('2. Valoración '!$C$6:$C$2261,$C35)</f>
        <v/>
      </c>
      <c r="L35" s="64">
        <f>IF($I35="No","No requiere valoración",IF($K35=0,"FALTA POR COMPLETO — agregar "&amp;$J35&amp;" filas",IF($K35&lt;$J35,"INCOMPLETO — faltan "&amp;($J35-$K35)&amp;" filas",IF($K35&gt;$J35,"REVISAR — hay filas de más","Completo"))))</f>
        <v/>
      </c>
    </row>
    <row r="36" ht="15" customHeight="1" s="54">
      <c r="B36" s="28">
        <f>IF(AND(OR($C$6="(Todos los procesos)",$C$6='1. Matriz de Activos'!$G$31),OR($C$7="(Todos los tipos)",$C$7='1. Matriz de Activos'!$E$31),OR($C$8="(Todos los subtipos)",$C$8='1. Matriz de Activos'!$F$31)),"Sí","No")</f>
        <v/>
      </c>
      <c r="C36" s="28">
        <f>'1. Matriz de Activos'!$B$31</f>
        <v/>
      </c>
      <c r="D36" s="64">
        <f>'1. Matriz de Activos'!$C$31</f>
        <v/>
      </c>
      <c r="E36" s="28">
        <f>'1. Matriz de Activos'!$G$31</f>
        <v/>
      </c>
      <c r="F36" s="64">
        <f>'1. Matriz de Activos'!$E$31</f>
        <v/>
      </c>
      <c r="G36" s="64">
        <f>'1. Matriz de Activos'!$F$31</f>
        <v/>
      </c>
      <c r="H36" s="28">
        <f>'1. Matriz de Activos'!$T$31</f>
        <v/>
      </c>
      <c r="I36" s="28">
        <f>IF($H36&gt;=4,"Sí","No")</f>
        <v/>
      </c>
      <c r="J36" s="28">
        <f>IF($H36&gt;=4,IFERROR(VLOOKUP($G36,AmenTabla,2,0),0),0)</f>
        <v/>
      </c>
      <c r="K36" s="28">
        <f>COUNTIF('2. Valoración '!$C$6:$C$2261,$C36)</f>
        <v/>
      </c>
      <c r="L36" s="64">
        <f>IF($I36="No","No requiere valoración",IF($K36=0,"FALTA POR COMPLETO — agregar "&amp;$J36&amp;" filas",IF($K36&lt;$J36,"INCOMPLETO — faltan "&amp;($J36-$K36)&amp;" filas",IF($K36&gt;$J36,"REVISAR — hay filas de más","Completo"))))</f>
        <v/>
      </c>
    </row>
    <row r="37" ht="45" customHeight="1" s="54">
      <c r="B37" s="28">
        <f>IF(AND(OR($C$6="(Todos los procesos)",$C$6='1. Matriz de Activos'!$G$32),OR($C$7="(Todos los tipos)",$C$7='1. Matriz de Activos'!$E$32),OR($C$8="(Todos los subtipos)",$C$8='1. Matriz de Activos'!$F$32)),"Sí","No")</f>
        <v/>
      </c>
      <c r="C37" s="28">
        <f>'1. Matriz de Activos'!$B$32</f>
        <v/>
      </c>
      <c r="D37" s="64">
        <f>'1. Matriz de Activos'!$C$32</f>
        <v/>
      </c>
      <c r="E37" s="28">
        <f>'1. Matriz de Activos'!$G$32</f>
        <v/>
      </c>
      <c r="F37" s="64">
        <f>'1. Matriz de Activos'!$E$32</f>
        <v/>
      </c>
      <c r="G37" s="64">
        <f>'1. Matriz de Activos'!$F$32</f>
        <v/>
      </c>
      <c r="H37" s="28">
        <f>'1. Matriz de Activos'!$T$32</f>
        <v/>
      </c>
      <c r="I37" s="28">
        <f>IF($H37&gt;=4,"Sí","No")</f>
        <v/>
      </c>
      <c r="J37" s="28">
        <f>IF($H37&gt;=4,IFERROR(VLOOKUP($G37,AmenTabla,2,0),0),0)</f>
        <v/>
      </c>
      <c r="K37" s="28">
        <f>COUNTIF('2. Valoración '!$C$6:$C$2261,$C37)</f>
        <v/>
      </c>
      <c r="L37" s="64">
        <f>IF($I37="No","No requiere valoración",IF($K37=0,"FALTA POR COMPLETO — agregar "&amp;$J37&amp;" filas",IF($K37&lt;$J37,"INCOMPLETO — faltan "&amp;($J37-$K37)&amp;" filas",IF($K37&gt;$J37,"REVISAR — hay filas de más","Completo"))))</f>
        <v/>
      </c>
    </row>
    <row r="38" ht="60" customHeight="1" s="54">
      <c r="B38" s="28">
        <f>IF(AND(OR($C$6="(Todos los procesos)",$C$6='1. Matriz de Activos'!$G$33),OR($C$7="(Todos los tipos)",$C$7='1. Matriz de Activos'!$E$33),OR($C$8="(Todos los subtipos)",$C$8='1. Matriz de Activos'!$F$33)),"Sí","No")</f>
        <v/>
      </c>
      <c r="C38" s="28">
        <f>'1. Matriz de Activos'!$B$33</f>
        <v/>
      </c>
      <c r="D38" s="64">
        <f>'1. Matriz de Activos'!$C$33</f>
        <v/>
      </c>
      <c r="E38" s="28">
        <f>'1. Matriz de Activos'!$G$33</f>
        <v/>
      </c>
      <c r="F38" s="64">
        <f>'1. Matriz de Activos'!$E$33</f>
        <v/>
      </c>
      <c r="G38" s="64">
        <f>'1. Matriz de Activos'!$F$33</f>
        <v/>
      </c>
      <c r="H38" s="28">
        <f>'1. Matriz de Activos'!$T$33</f>
        <v/>
      </c>
      <c r="I38" s="28">
        <f>IF($H38&gt;=4,"Sí","No")</f>
        <v/>
      </c>
      <c r="J38" s="28">
        <f>IF($H38&gt;=4,IFERROR(VLOOKUP($G38,AmenTabla,2,0),0),0)</f>
        <v/>
      </c>
      <c r="K38" s="28">
        <f>COUNTIF('2. Valoración '!$C$6:$C$2261,$C38)</f>
        <v/>
      </c>
      <c r="L38" s="64">
        <f>IF($I38="No","No requiere valoración",IF($K38=0,"FALTA POR COMPLETO — agregar "&amp;$J38&amp;" filas",IF($K38&lt;$J38,"INCOMPLETO — faltan "&amp;($J38-$K38)&amp;" filas",IF($K38&gt;$J38,"REVISAR — hay filas de más","Completo"))))</f>
        <v/>
      </c>
    </row>
    <row r="39" ht="60" customHeight="1" s="54">
      <c r="B39" s="28">
        <f>IF(AND(OR($C$6="(Todos los procesos)",$C$6='1. Matriz de Activos'!$G$34),OR($C$7="(Todos los tipos)",$C$7='1. Matriz de Activos'!$E$34),OR($C$8="(Todos los subtipos)",$C$8='1. Matriz de Activos'!$F$34)),"Sí","No")</f>
        <v/>
      </c>
      <c r="C39" s="28">
        <f>'1. Matriz de Activos'!$B$34</f>
        <v/>
      </c>
      <c r="D39" s="64">
        <f>'1. Matriz de Activos'!$C$34</f>
        <v/>
      </c>
      <c r="E39" s="28">
        <f>'1. Matriz de Activos'!$G$34</f>
        <v/>
      </c>
      <c r="F39" s="64">
        <f>'1. Matriz de Activos'!$E$34</f>
        <v/>
      </c>
      <c r="G39" s="64">
        <f>'1. Matriz de Activos'!$F$34</f>
        <v/>
      </c>
      <c r="H39" s="28">
        <f>'1. Matriz de Activos'!$T$34</f>
        <v/>
      </c>
      <c r="I39" s="28">
        <f>IF($H39&gt;=4,"Sí","No")</f>
        <v/>
      </c>
      <c r="J39" s="28">
        <f>IF($H39&gt;=4,IFERROR(VLOOKUP($G39,AmenTabla,2,0),0),0)</f>
        <v/>
      </c>
      <c r="K39" s="28">
        <f>COUNTIF('2. Valoración '!$C$6:$C$2261,$C39)</f>
        <v/>
      </c>
      <c r="L39" s="64">
        <f>IF($I39="No","No requiere valoración",IF($K39=0,"FALTA POR COMPLETO — agregar "&amp;$J39&amp;" filas",IF($K39&lt;$J39,"INCOMPLETO — faltan "&amp;($J39-$K39)&amp;" filas",IF($K39&gt;$J39,"REVISAR — hay filas de más","Completo"))))</f>
        <v/>
      </c>
    </row>
    <row r="40" ht="60" customHeight="1" s="54">
      <c r="B40" s="28">
        <f>IF(AND(OR($C$6="(Todos los procesos)",$C$6='1. Matriz de Activos'!$G$35),OR($C$7="(Todos los tipos)",$C$7='1. Matriz de Activos'!$E$35),OR($C$8="(Todos los subtipos)",$C$8='1. Matriz de Activos'!$F$35)),"Sí","No")</f>
        <v/>
      </c>
      <c r="C40" s="28">
        <f>'1. Matriz de Activos'!$B$35</f>
        <v/>
      </c>
      <c r="D40" s="64">
        <f>'1. Matriz de Activos'!$C$35</f>
        <v/>
      </c>
      <c r="E40" s="28">
        <f>'1. Matriz de Activos'!$G$35</f>
        <v/>
      </c>
      <c r="F40" s="64">
        <f>'1. Matriz de Activos'!$E$35</f>
        <v/>
      </c>
      <c r="G40" s="64">
        <f>'1. Matriz de Activos'!$F$35</f>
        <v/>
      </c>
      <c r="H40" s="28">
        <f>'1. Matriz de Activos'!$T$35</f>
        <v/>
      </c>
      <c r="I40" s="28">
        <f>IF($H40&gt;=4,"Sí","No")</f>
        <v/>
      </c>
      <c r="J40" s="28">
        <f>IF($H40&gt;=4,IFERROR(VLOOKUP($G40,AmenTabla,2,0),0),0)</f>
        <v/>
      </c>
      <c r="K40" s="28">
        <f>COUNTIF('2. Valoración '!$C$6:$C$2261,$C40)</f>
        <v/>
      </c>
      <c r="L40" s="64">
        <f>IF($I40="No","No requiere valoración",IF($K40=0,"FALTA POR COMPLETO — agregar "&amp;$J40&amp;" filas",IF($K40&lt;$J40,"INCOMPLETO — faltan "&amp;($J40-$K40)&amp;" filas",IF($K40&gt;$J40,"REVISAR — hay filas de más","Completo"))))</f>
        <v/>
      </c>
    </row>
    <row r="41" ht="60" customHeight="1" s="54">
      <c r="B41" s="28">
        <f>IF(AND(OR($C$6="(Todos los procesos)",$C$6='1. Matriz de Activos'!$G$36),OR($C$7="(Todos los tipos)",$C$7='1. Matriz de Activos'!$E$36),OR($C$8="(Todos los subtipos)",$C$8='1. Matriz de Activos'!$F$36)),"Sí","No")</f>
        <v/>
      </c>
      <c r="C41" s="28">
        <f>'1. Matriz de Activos'!$B$36</f>
        <v/>
      </c>
      <c r="D41" s="64">
        <f>'1. Matriz de Activos'!$C$36</f>
        <v/>
      </c>
      <c r="E41" s="28">
        <f>'1. Matriz de Activos'!$G$36</f>
        <v/>
      </c>
      <c r="F41" s="64">
        <f>'1. Matriz de Activos'!$E$36</f>
        <v/>
      </c>
      <c r="G41" s="64">
        <f>'1. Matriz de Activos'!$F$36</f>
        <v/>
      </c>
      <c r="H41" s="28">
        <f>'1. Matriz de Activos'!$T$36</f>
        <v/>
      </c>
      <c r="I41" s="28">
        <f>IF($H41&gt;=4,"Sí","No")</f>
        <v/>
      </c>
      <c r="J41" s="28">
        <f>IF($H41&gt;=4,IFERROR(VLOOKUP($G41,AmenTabla,2,0),0),0)</f>
        <v/>
      </c>
      <c r="K41" s="28">
        <f>COUNTIF('2. Valoración '!$C$6:$C$2261,$C41)</f>
        <v/>
      </c>
      <c r="L41" s="64">
        <f>IF($I41="No","No requiere valoración",IF($K41=0,"FALTA POR COMPLETO — agregar "&amp;$J41&amp;" filas",IF($K41&lt;$J41,"INCOMPLETO — faltan "&amp;($J41-$K41)&amp;" filas",IF($K41&gt;$J41,"REVISAR — hay filas de más","Completo"))))</f>
        <v/>
      </c>
    </row>
    <row r="42" ht="60" customHeight="1" s="54">
      <c r="B42" s="28">
        <f>IF(AND(OR($C$6="(Todos los procesos)",$C$6='1. Matriz de Activos'!$G$37),OR($C$7="(Todos los tipos)",$C$7='1. Matriz de Activos'!$E$37),OR($C$8="(Todos los subtipos)",$C$8='1. Matriz de Activos'!$F$37)),"Sí","No")</f>
        <v/>
      </c>
      <c r="C42" s="28">
        <f>'1. Matriz de Activos'!$B$37</f>
        <v/>
      </c>
      <c r="D42" s="64">
        <f>'1. Matriz de Activos'!$C$37</f>
        <v/>
      </c>
      <c r="E42" s="28">
        <f>'1. Matriz de Activos'!$G$37</f>
        <v/>
      </c>
      <c r="F42" s="64">
        <f>'1. Matriz de Activos'!$E$37</f>
        <v/>
      </c>
      <c r="G42" s="64">
        <f>'1. Matriz de Activos'!$F$37</f>
        <v/>
      </c>
      <c r="H42" s="28">
        <f>'1. Matriz de Activos'!$T$37</f>
        <v/>
      </c>
      <c r="I42" s="28">
        <f>IF($H42&gt;=4,"Sí","No")</f>
        <v/>
      </c>
      <c r="J42" s="28">
        <f>IF($H42&gt;=4,IFERROR(VLOOKUP($G42,AmenTabla,2,0),0),0)</f>
        <v/>
      </c>
      <c r="K42" s="28">
        <f>COUNTIF('2. Valoración '!$C$6:$C$2261,$C42)</f>
        <v/>
      </c>
      <c r="L42" s="64">
        <f>IF($I42="No","No requiere valoración",IF($K42=0,"FALTA POR COMPLETO — agregar "&amp;$J42&amp;" filas",IF($K42&lt;$J42,"INCOMPLETO — faltan "&amp;($J42-$K42)&amp;" filas",IF($K42&gt;$J42,"REVISAR — hay filas de más","Completo"))))</f>
        <v/>
      </c>
    </row>
    <row r="43" ht="30" customHeight="1" s="54">
      <c r="B43" s="28">
        <f>IF(AND(OR($C$6="(Todos los procesos)",$C$6='1. Matriz de Activos'!$G$38),OR($C$7="(Todos los tipos)",$C$7='1. Matriz de Activos'!$E$38),OR($C$8="(Todos los subtipos)",$C$8='1. Matriz de Activos'!$F$38)),"Sí","No")</f>
        <v/>
      </c>
      <c r="C43" s="28">
        <f>'1. Matriz de Activos'!$B$38</f>
        <v/>
      </c>
      <c r="D43" s="64">
        <f>'1. Matriz de Activos'!$C$38</f>
        <v/>
      </c>
      <c r="E43" s="28">
        <f>'1. Matriz de Activos'!$G$38</f>
        <v/>
      </c>
      <c r="F43" s="64">
        <f>'1. Matriz de Activos'!$E$38</f>
        <v/>
      </c>
      <c r="G43" s="64">
        <f>'1. Matriz de Activos'!$F$38</f>
        <v/>
      </c>
      <c r="H43" s="28">
        <f>'1. Matriz de Activos'!$T$38</f>
        <v/>
      </c>
      <c r="I43" s="28">
        <f>IF($H43&gt;=4,"Sí","No")</f>
        <v/>
      </c>
      <c r="J43" s="28">
        <f>IF($H43&gt;=4,IFERROR(VLOOKUP($G43,AmenTabla,2,0),0),0)</f>
        <v/>
      </c>
      <c r="K43" s="28">
        <f>COUNTIF('2. Valoración '!$C$6:$C$2261,$C43)</f>
        <v/>
      </c>
      <c r="L43" s="64">
        <f>IF($I43="No","No requiere valoración",IF($K43=0,"FALTA POR COMPLETO — agregar "&amp;$J43&amp;" filas",IF($K43&lt;$J43,"INCOMPLETO — faltan "&amp;($J43-$K43)&amp;" filas",IF($K43&gt;$J43,"REVISAR — hay filas de más","Completo"))))</f>
        <v/>
      </c>
    </row>
    <row r="44" ht="60" customHeight="1" s="54">
      <c r="B44" s="28">
        <f>IF(AND(OR($C$6="(Todos los procesos)",$C$6='1. Matriz de Activos'!$G$39),OR($C$7="(Todos los tipos)",$C$7='1. Matriz de Activos'!$E$39),OR($C$8="(Todos los subtipos)",$C$8='1. Matriz de Activos'!$F$39)),"Sí","No")</f>
        <v/>
      </c>
      <c r="C44" s="28">
        <f>'1. Matriz de Activos'!$B$39</f>
        <v/>
      </c>
      <c r="D44" s="64">
        <f>'1. Matriz de Activos'!$C$39</f>
        <v/>
      </c>
      <c r="E44" s="28">
        <f>'1. Matriz de Activos'!$G$39</f>
        <v/>
      </c>
      <c r="F44" s="64">
        <f>'1. Matriz de Activos'!$E$39</f>
        <v/>
      </c>
      <c r="G44" s="64">
        <f>'1. Matriz de Activos'!$F$39</f>
        <v/>
      </c>
      <c r="H44" s="28">
        <f>'1. Matriz de Activos'!$T$39</f>
        <v/>
      </c>
      <c r="I44" s="28">
        <f>IF($H44&gt;=4,"Sí","No")</f>
        <v/>
      </c>
      <c r="J44" s="28">
        <f>IF($H44&gt;=4,IFERROR(VLOOKUP($G44,AmenTabla,2,0),0),0)</f>
        <v/>
      </c>
      <c r="K44" s="28">
        <f>COUNTIF('2. Valoración '!$C$6:$C$2261,$C44)</f>
        <v/>
      </c>
      <c r="L44" s="64">
        <f>IF($I44="No","No requiere valoración",IF($K44=0,"FALTA POR COMPLETO — agregar "&amp;$J44&amp;" filas",IF($K44&lt;$J44,"INCOMPLETO — faltan "&amp;($J44-$K44)&amp;" filas",IF($K44&gt;$J44,"REVISAR — hay filas de más","Completo"))))</f>
        <v/>
      </c>
    </row>
    <row r="45" ht="45" customHeight="1" s="54">
      <c r="B45" s="28">
        <f>IF(AND(OR($C$6="(Todos los procesos)",$C$6='1. Matriz de Activos'!$G$40),OR($C$7="(Todos los tipos)",$C$7='1. Matriz de Activos'!$E$40),OR($C$8="(Todos los subtipos)",$C$8='1. Matriz de Activos'!$F$40)),"Sí","No")</f>
        <v/>
      </c>
      <c r="C45" s="28">
        <f>'1. Matriz de Activos'!$B$40</f>
        <v/>
      </c>
      <c r="D45" s="64">
        <f>'1. Matriz de Activos'!$C$40</f>
        <v/>
      </c>
      <c r="E45" s="28">
        <f>'1. Matriz de Activos'!$G$40</f>
        <v/>
      </c>
      <c r="F45" s="64">
        <f>'1. Matriz de Activos'!$E$40</f>
        <v/>
      </c>
      <c r="G45" s="64">
        <f>'1. Matriz de Activos'!$F$40</f>
        <v/>
      </c>
      <c r="H45" s="28">
        <f>'1. Matriz de Activos'!$T$40</f>
        <v/>
      </c>
      <c r="I45" s="28">
        <f>IF($H45&gt;=4,"Sí","No")</f>
        <v/>
      </c>
      <c r="J45" s="28">
        <f>IF($H45&gt;=4,IFERROR(VLOOKUP($G45,AmenTabla,2,0),0),0)</f>
        <v/>
      </c>
      <c r="K45" s="28">
        <f>COUNTIF('2. Valoración '!$C$6:$C$2261,$C45)</f>
        <v/>
      </c>
      <c r="L45" s="64">
        <f>IF($I45="No","No requiere valoración",IF($K45=0,"FALTA POR COMPLETO — agregar "&amp;$J45&amp;" filas",IF($K45&lt;$J45,"INCOMPLETO — faltan "&amp;($J45-$K45)&amp;" filas",IF($K45&gt;$J45,"REVISAR — hay filas de más","Completo"))))</f>
        <v/>
      </c>
    </row>
    <row r="46" ht="45" customHeight="1" s="54">
      <c r="B46" s="28">
        <f>IF(AND(OR($C$6="(Todos los procesos)",$C$6='1. Matriz de Activos'!$G$41),OR($C$7="(Todos los tipos)",$C$7='1. Matriz de Activos'!$E$41),OR($C$8="(Todos los subtipos)",$C$8='1. Matriz de Activos'!$F$41)),"Sí","No")</f>
        <v/>
      </c>
      <c r="C46" s="28">
        <f>'1. Matriz de Activos'!$B$41</f>
        <v/>
      </c>
      <c r="D46" s="64">
        <f>'1. Matriz de Activos'!$C$41</f>
        <v/>
      </c>
      <c r="E46" s="28">
        <f>'1. Matriz de Activos'!$G$41</f>
        <v/>
      </c>
      <c r="F46" s="64">
        <f>'1. Matriz de Activos'!$E$41</f>
        <v/>
      </c>
      <c r="G46" s="64">
        <f>'1. Matriz de Activos'!$F$41</f>
        <v/>
      </c>
      <c r="H46" s="28">
        <f>'1. Matriz de Activos'!$T$41</f>
        <v/>
      </c>
      <c r="I46" s="28">
        <f>IF($H46&gt;=4,"Sí","No")</f>
        <v/>
      </c>
      <c r="J46" s="28">
        <f>IF($H46&gt;=4,IFERROR(VLOOKUP($G46,AmenTabla,2,0),0),0)</f>
        <v/>
      </c>
      <c r="K46" s="28">
        <f>COUNTIF('2. Valoración '!$C$6:$C$2261,$C46)</f>
        <v/>
      </c>
      <c r="L46" s="64">
        <f>IF($I46="No","No requiere valoración",IF($K46=0,"FALTA POR COMPLETO — agregar "&amp;$J46&amp;" filas",IF($K46&lt;$J46,"INCOMPLETO — faltan "&amp;($J46-$K46)&amp;" filas",IF($K46&gt;$J46,"REVISAR — hay filas de más","Completo"))))</f>
        <v/>
      </c>
    </row>
    <row r="47" ht="60" customHeight="1" s="54">
      <c r="B47" s="28">
        <f>IF(AND(OR($C$6="(Todos los procesos)",$C$6='1. Matriz de Activos'!$G$42),OR($C$7="(Todos los tipos)",$C$7='1. Matriz de Activos'!$E$42),OR($C$8="(Todos los subtipos)",$C$8='1. Matriz de Activos'!$F$42)),"Sí","No")</f>
        <v/>
      </c>
      <c r="C47" s="28">
        <f>'1. Matriz de Activos'!$B$42</f>
        <v/>
      </c>
      <c r="D47" s="64">
        <f>'1. Matriz de Activos'!$C$42</f>
        <v/>
      </c>
      <c r="E47" s="28">
        <f>'1. Matriz de Activos'!$G$42</f>
        <v/>
      </c>
      <c r="F47" s="64">
        <f>'1. Matriz de Activos'!$E$42</f>
        <v/>
      </c>
      <c r="G47" s="64">
        <f>'1. Matriz de Activos'!$F$42</f>
        <v/>
      </c>
      <c r="H47" s="28">
        <f>'1. Matriz de Activos'!$T$42</f>
        <v/>
      </c>
      <c r="I47" s="28">
        <f>IF($H47&gt;=4,"Sí","No")</f>
        <v/>
      </c>
      <c r="J47" s="28">
        <f>IF($H47&gt;=4,IFERROR(VLOOKUP($G47,AmenTabla,2,0),0),0)</f>
        <v/>
      </c>
      <c r="K47" s="28">
        <f>COUNTIF('2. Valoración '!$C$6:$C$2261,$C47)</f>
        <v/>
      </c>
      <c r="L47" s="64">
        <f>IF($I47="No","No requiere valoración",IF($K47=0,"FALTA POR COMPLETO — agregar "&amp;$J47&amp;" filas",IF($K47&lt;$J47,"INCOMPLETO — faltan "&amp;($J47-$K47)&amp;" filas",IF($K47&gt;$J47,"REVISAR — hay filas de más","Completo"))))</f>
        <v/>
      </c>
    </row>
    <row r="48" ht="30" customHeight="1" s="54">
      <c r="B48" s="28">
        <f>IF(AND(OR($C$6="(Todos los procesos)",$C$6='1. Matriz de Activos'!$G$43),OR($C$7="(Todos los tipos)",$C$7='1. Matriz de Activos'!$E$43),OR($C$8="(Todos los subtipos)",$C$8='1. Matriz de Activos'!$F$43)),"Sí","No")</f>
        <v/>
      </c>
      <c r="C48" s="28">
        <f>'1. Matriz de Activos'!$B$43</f>
        <v/>
      </c>
      <c r="D48" s="64">
        <f>'1. Matriz de Activos'!$C$43</f>
        <v/>
      </c>
      <c r="E48" s="28">
        <f>'1. Matriz de Activos'!$G$43</f>
        <v/>
      </c>
      <c r="F48" s="64">
        <f>'1. Matriz de Activos'!$E$43</f>
        <v/>
      </c>
      <c r="G48" s="64">
        <f>'1. Matriz de Activos'!$F$43</f>
        <v/>
      </c>
      <c r="H48" s="28">
        <f>'1. Matriz de Activos'!$T$43</f>
        <v/>
      </c>
      <c r="I48" s="28">
        <f>IF($H48&gt;=4,"Sí","No")</f>
        <v/>
      </c>
      <c r="J48" s="28">
        <f>IF($H48&gt;=4,IFERROR(VLOOKUP($G48,AmenTabla,2,0),0),0)</f>
        <v/>
      </c>
      <c r="K48" s="28">
        <f>COUNTIF('2. Valoración '!$C$6:$C$2261,$C48)</f>
        <v/>
      </c>
      <c r="L48" s="64">
        <f>IF($I48="No","No requiere valoración",IF($K48=0,"FALTA POR COMPLETO — agregar "&amp;$J48&amp;" filas",IF($K48&lt;$J48,"INCOMPLETO — faltan "&amp;($J48-$K48)&amp;" filas",IF($K48&gt;$J48,"REVISAR — hay filas de más","Completo"))))</f>
        <v/>
      </c>
    </row>
    <row r="49" ht="60" customHeight="1" s="54">
      <c r="B49" s="28">
        <f>IF(AND(OR($C$6="(Todos los procesos)",$C$6='1. Matriz de Activos'!$G$44),OR($C$7="(Todos los tipos)",$C$7='1. Matriz de Activos'!$E$44),OR($C$8="(Todos los subtipos)",$C$8='1. Matriz de Activos'!$F$44)),"Sí","No")</f>
        <v/>
      </c>
      <c r="C49" s="28">
        <f>'1. Matriz de Activos'!$B$44</f>
        <v/>
      </c>
      <c r="D49" s="64">
        <f>'1. Matriz de Activos'!$C$44</f>
        <v/>
      </c>
      <c r="E49" s="28">
        <f>'1. Matriz de Activos'!$G$44</f>
        <v/>
      </c>
      <c r="F49" s="64">
        <f>'1. Matriz de Activos'!$E$44</f>
        <v/>
      </c>
      <c r="G49" s="64">
        <f>'1. Matriz de Activos'!$F$44</f>
        <v/>
      </c>
      <c r="H49" s="28">
        <f>'1. Matriz de Activos'!$T$44</f>
        <v/>
      </c>
      <c r="I49" s="28">
        <f>IF($H49&gt;=4,"Sí","No")</f>
        <v/>
      </c>
      <c r="J49" s="28">
        <f>IF($H49&gt;=4,IFERROR(VLOOKUP($G49,AmenTabla,2,0),0),0)</f>
        <v/>
      </c>
      <c r="K49" s="28">
        <f>COUNTIF('2. Valoración '!$C$6:$C$2261,$C49)</f>
        <v/>
      </c>
      <c r="L49" s="64">
        <f>IF($I49="No","No requiere valoración",IF($K49=0,"FALTA POR COMPLETO — agregar "&amp;$J49&amp;" filas",IF($K49&lt;$J49,"INCOMPLETO — faltan "&amp;($J49-$K49)&amp;" filas",IF($K49&gt;$J49,"REVISAR — hay filas de más","Completo"))))</f>
        <v/>
      </c>
    </row>
    <row r="50" ht="30" customHeight="1" s="54">
      <c r="B50" s="28">
        <f>IF(AND(OR($C$6="(Todos los procesos)",$C$6='1. Matriz de Activos'!$G$45),OR($C$7="(Todos los tipos)",$C$7='1. Matriz de Activos'!$E$45),OR($C$8="(Todos los subtipos)",$C$8='1. Matriz de Activos'!$F$45)),"Sí","No")</f>
        <v/>
      </c>
      <c r="C50" s="28">
        <f>'1. Matriz de Activos'!$B$45</f>
        <v/>
      </c>
      <c r="D50" s="64">
        <f>'1. Matriz de Activos'!$C$45</f>
        <v/>
      </c>
      <c r="E50" s="28">
        <f>'1. Matriz de Activos'!$G$45</f>
        <v/>
      </c>
      <c r="F50" s="64">
        <f>'1. Matriz de Activos'!$E$45</f>
        <v/>
      </c>
      <c r="G50" s="64">
        <f>'1. Matriz de Activos'!$F$45</f>
        <v/>
      </c>
      <c r="H50" s="28">
        <f>'1. Matriz de Activos'!$T$45</f>
        <v/>
      </c>
      <c r="I50" s="28">
        <f>IF($H50&gt;=4,"Sí","No")</f>
        <v/>
      </c>
      <c r="J50" s="28">
        <f>IF($H50&gt;=4,IFERROR(VLOOKUP($G50,AmenTabla,2,0),0),0)</f>
        <v/>
      </c>
      <c r="K50" s="28">
        <f>COUNTIF('2. Valoración '!$C$6:$C$2261,$C50)</f>
        <v/>
      </c>
      <c r="L50" s="64">
        <f>IF($I50="No","No requiere valoración",IF($K50=0,"FALTA POR COMPLETO — agregar "&amp;$J50&amp;" filas",IF($K50&lt;$J50,"INCOMPLETO — faltan "&amp;($J50-$K50)&amp;" filas",IF($K50&gt;$J50,"REVISAR — hay filas de más","Completo"))))</f>
        <v/>
      </c>
    </row>
    <row r="51" ht="60" customHeight="1" s="54">
      <c r="B51" s="28">
        <f>IF(AND(OR($C$6="(Todos los procesos)",$C$6='1. Matriz de Activos'!$G$46),OR($C$7="(Todos los tipos)",$C$7='1. Matriz de Activos'!$E$46),OR($C$8="(Todos los subtipos)",$C$8='1. Matriz de Activos'!$F$46)),"Sí","No")</f>
        <v/>
      </c>
      <c r="C51" s="28">
        <f>'1. Matriz de Activos'!$B$46</f>
        <v/>
      </c>
      <c r="D51" s="64">
        <f>'1. Matriz de Activos'!$C$46</f>
        <v/>
      </c>
      <c r="E51" s="28">
        <f>'1. Matriz de Activos'!$G$46</f>
        <v/>
      </c>
      <c r="F51" s="64">
        <f>'1. Matriz de Activos'!$E$46</f>
        <v/>
      </c>
      <c r="G51" s="64">
        <f>'1. Matriz de Activos'!$F$46</f>
        <v/>
      </c>
      <c r="H51" s="28">
        <f>'1. Matriz de Activos'!$T$46</f>
        <v/>
      </c>
      <c r="I51" s="28">
        <f>IF($H51&gt;=4,"Sí","No")</f>
        <v/>
      </c>
      <c r="J51" s="28">
        <f>IF($H51&gt;=4,IFERROR(VLOOKUP($G51,AmenTabla,2,0),0),0)</f>
        <v/>
      </c>
      <c r="K51" s="28">
        <f>COUNTIF('2. Valoración '!$C$6:$C$2261,$C51)</f>
        <v/>
      </c>
      <c r="L51" s="64">
        <f>IF($I51="No","No requiere valoración",IF($K51=0,"FALTA POR COMPLETO — agregar "&amp;$J51&amp;" filas",IF($K51&lt;$J51,"INCOMPLETO — faltan "&amp;($J51-$K51)&amp;" filas",IF($K51&gt;$J51,"REVISAR — hay filas de más","Completo"))))</f>
        <v/>
      </c>
    </row>
    <row r="52" ht="60" customHeight="1" s="54">
      <c r="B52" s="28">
        <f>IF(AND(OR($C$6="(Todos los procesos)",$C$6='1. Matriz de Activos'!$G$47),OR($C$7="(Todos los tipos)",$C$7='1. Matriz de Activos'!$E$47),OR($C$8="(Todos los subtipos)",$C$8='1. Matriz de Activos'!$F$47)),"Sí","No")</f>
        <v/>
      </c>
      <c r="C52" s="28">
        <f>'1. Matriz de Activos'!$B$47</f>
        <v/>
      </c>
      <c r="D52" s="64">
        <f>'1. Matriz de Activos'!$C$47</f>
        <v/>
      </c>
      <c r="E52" s="28">
        <f>'1. Matriz de Activos'!$G$47</f>
        <v/>
      </c>
      <c r="F52" s="64">
        <f>'1. Matriz de Activos'!$E$47</f>
        <v/>
      </c>
      <c r="G52" s="64">
        <f>'1. Matriz de Activos'!$F$47</f>
        <v/>
      </c>
      <c r="H52" s="28">
        <f>'1. Matriz de Activos'!$T$47</f>
        <v/>
      </c>
      <c r="I52" s="28">
        <f>IF($H52&gt;=4,"Sí","No")</f>
        <v/>
      </c>
      <c r="J52" s="28">
        <f>IF($H52&gt;=4,IFERROR(VLOOKUP($G52,AmenTabla,2,0),0),0)</f>
        <v/>
      </c>
      <c r="K52" s="28">
        <f>COUNTIF('2. Valoración '!$C$6:$C$2261,$C52)</f>
        <v/>
      </c>
      <c r="L52" s="64">
        <f>IF($I52="No","No requiere valoración",IF($K52=0,"FALTA POR COMPLETO — agregar "&amp;$J52&amp;" filas",IF($K52&lt;$J52,"INCOMPLETO — faltan "&amp;($J52-$K52)&amp;" filas",IF($K52&gt;$J52,"REVISAR — hay filas de más","Completo"))))</f>
        <v/>
      </c>
    </row>
    <row r="53" ht="75" customHeight="1" s="54">
      <c r="B53" s="28">
        <f>IF(AND(OR($C$6="(Todos los procesos)",$C$6='1. Matriz de Activos'!$G$48),OR($C$7="(Todos los tipos)",$C$7='1. Matriz de Activos'!$E$48),OR($C$8="(Todos los subtipos)",$C$8='1. Matriz de Activos'!$F$48)),"Sí","No")</f>
        <v/>
      </c>
      <c r="C53" s="28">
        <f>'1. Matriz de Activos'!$B$48</f>
        <v/>
      </c>
      <c r="D53" s="64">
        <f>'1. Matriz de Activos'!$C$48</f>
        <v/>
      </c>
      <c r="E53" s="28">
        <f>'1. Matriz de Activos'!$G$48</f>
        <v/>
      </c>
      <c r="F53" s="64">
        <f>'1. Matriz de Activos'!$E$48</f>
        <v/>
      </c>
      <c r="G53" s="64">
        <f>'1. Matriz de Activos'!$F$48</f>
        <v/>
      </c>
      <c r="H53" s="28">
        <f>'1. Matriz de Activos'!$T$48</f>
        <v/>
      </c>
      <c r="I53" s="28">
        <f>IF($H53&gt;=4,"Sí","No")</f>
        <v/>
      </c>
      <c r="J53" s="28">
        <f>IF($H53&gt;=4,IFERROR(VLOOKUP($G53,AmenTabla,2,0),0),0)</f>
        <v/>
      </c>
      <c r="K53" s="28">
        <f>COUNTIF('2. Valoración '!$C$6:$C$2261,$C53)</f>
        <v/>
      </c>
      <c r="L53" s="64">
        <f>IF($I53="No","No requiere valoración",IF($K53=0,"FALTA POR COMPLETO — agregar "&amp;$J53&amp;" filas",IF($K53&lt;$J53,"INCOMPLETO — faltan "&amp;($J53-$K53)&amp;" filas",IF($K53&gt;$J53,"REVISAR — hay filas de más","Completo"))))</f>
        <v/>
      </c>
    </row>
    <row r="54" ht="60" customHeight="1" s="54">
      <c r="B54" s="28">
        <f>IF(AND(OR($C$6="(Todos los procesos)",$C$6='1. Matriz de Activos'!$G$49),OR($C$7="(Todos los tipos)",$C$7='1. Matriz de Activos'!$E$49),OR($C$8="(Todos los subtipos)",$C$8='1. Matriz de Activos'!$F$49)),"Sí","No")</f>
        <v/>
      </c>
      <c r="C54" s="28">
        <f>'1. Matriz de Activos'!$B$49</f>
        <v/>
      </c>
      <c r="D54" s="64">
        <f>'1. Matriz de Activos'!$C$49</f>
        <v/>
      </c>
      <c r="E54" s="28">
        <f>'1. Matriz de Activos'!$G$49</f>
        <v/>
      </c>
      <c r="F54" s="64">
        <f>'1. Matriz de Activos'!$E$49</f>
        <v/>
      </c>
      <c r="G54" s="64">
        <f>'1. Matriz de Activos'!$F$49</f>
        <v/>
      </c>
      <c r="H54" s="28">
        <f>'1. Matriz de Activos'!$T$49</f>
        <v/>
      </c>
      <c r="I54" s="28">
        <f>IF($H54&gt;=4,"Sí","No")</f>
        <v/>
      </c>
      <c r="J54" s="28">
        <f>IF($H54&gt;=4,IFERROR(VLOOKUP($G54,AmenTabla,2,0),0),0)</f>
        <v/>
      </c>
      <c r="K54" s="28">
        <f>COUNTIF('2. Valoración '!$C$6:$C$2261,$C54)</f>
        <v/>
      </c>
      <c r="L54" s="64">
        <f>IF($I54="No","No requiere valoración",IF($K54=0,"FALTA POR COMPLETO — agregar "&amp;$J54&amp;" filas",IF($K54&lt;$J54,"INCOMPLETO — faltan "&amp;($J54-$K54)&amp;" filas",IF($K54&gt;$J54,"REVISAR — hay filas de más","Completo"))))</f>
        <v/>
      </c>
    </row>
    <row r="55" ht="75" customHeight="1" s="54">
      <c r="B55" s="28">
        <f>IF(AND(OR($C$6="(Todos los procesos)",$C$6='1. Matriz de Activos'!$G$50),OR($C$7="(Todos los tipos)",$C$7='1. Matriz de Activos'!$E$50),OR($C$8="(Todos los subtipos)",$C$8='1. Matriz de Activos'!$F$50)),"Sí","No")</f>
        <v/>
      </c>
      <c r="C55" s="28">
        <f>'1. Matriz de Activos'!$B$50</f>
        <v/>
      </c>
      <c r="D55" s="64">
        <f>'1. Matriz de Activos'!$C$50</f>
        <v/>
      </c>
      <c r="E55" s="28">
        <f>'1. Matriz de Activos'!$G$50</f>
        <v/>
      </c>
      <c r="F55" s="64">
        <f>'1. Matriz de Activos'!$E$50</f>
        <v/>
      </c>
      <c r="G55" s="64">
        <f>'1. Matriz de Activos'!$F$50</f>
        <v/>
      </c>
      <c r="H55" s="28">
        <f>'1. Matriz de Activos'!$T$50</f>
        <v/>
      </c>
      <c r="I55" s="28">
        <f>IF($H55&gt;=4,"Sí","No")</f>
        <v/>
      </c>
      <c r="J55" s="28">
        <f>IF($H55&gt;=4,IFERROR(VLOOKUP($G55,AmenTabla,2,0),0),0)</f>
        <v/>
      </c>
      <c r="K55" s="28">
        <f>COUNTIF('2. Valoración '!$C$6:$C$2261,$C55)</f>
        <v/>
      </c>
      <c r="L55" s="64">
        <f>IF($I55="No","No requiere valoración",IF($K55=0,"FALTA POR COMPLETO — agregar "&amp;$J55&amp;" filas",IF($K55&lt;$J55,"INCOMPLETO — faltan "&amp;($J55-$K55)&amp;" filas",IF($K55&gt;$J55,"REVISAR — hay filas de más","Completo"))))</f>
        <v/>
      </c>
    </row>
    <row r="56" ht="60" customHeight="1" s="54">
      <c r="B56" s="28">
        <f>IF(AND(OR($C$6="(Todos los procesos)",$C$6='1. Matriz de Activos'!$G$51),OR($C$7="(Todos los tipos)",$C$7='1. Matriz de Activos'!$E$51),OR($C$8="(Todos los subtipos)",$C$8='1. Matriz de Activos'!$F$51)),"Sí","No")</f>
        <v/>
      </c>
      <c r="C56" s="28">
        <f>'1. Matriz de Activos'!$B$51</f>
        <v/>
      </c>
      <c r="D56" s="64">
        <f>'1. Matriz de Activos'!$C$51</f>
        <v/>
      </c>
      <c r="E56" s="28">
        <f>'1. Matriz de Activos'!$G$51</f>
        <v/>
      </c>
      <c r="F56" s="64">
        <f>'1. Matriz de Activos'!$E$51</f>
        <v/>
      </c>
      <c r="G56" s="64">
        <f>'1. Matriz de Activos'!$F$51</f>
        <v/>
      </c>
      <c r="H56" s="28">
        <f>'1. Matriz de Activos'!$T$51</f>
        <v/>
      </c>
      <c r="I56" s="28">
        <f>IF($H56&gt;=4,"Sí","No")</f>
        <v/>
      </c>
      <c r="J56" s="28">
        <f>IF($H56&gt;=4,IFERROR(VLOOKUP($G56,AmenTabla,2,0),0),0)</f>
        <v/>
      </c>
      <c r="K56" s="28">
        <f>COUNTIF('2. Valoración '!$C$6:$C$2261,$C56)</f>
        <v/>
      </c>
      <c r="L56" s="64">
        <f>IF($I56="No","No requiere valoración",IF($K56=0,"FALTA POR COMPLETO — agregar "&amp;$J56&amp;" filas",IF($K56&lt;$J56,"INCOMPLETO — faltan "&amp;($J56-$K56)&amp;" filas",IF($K56&gt;$J56,"REVISAR — hay filas de más","Completo"))))</f>
        <v/>
      </c>
    </row>
    <row r="57" ht="60" customHeight="1" s="54">
      <c r="B57" s="28">
        <f>IF(AND(OR($C$6="(Todos los procesos)",$C$6='1. Matriz de Activos'!$G$52),OR($C$7="(Todos los tipos)",$C$7='1. Matriz de Activos'!$E$52),OR($C$8="(Todos los subtipos)",$C$8='1. Matriz de Activos'!$F$52)),"Sí","No")</f>
        <v/>
      </c>
      <c r="C57" s="28">
        <f>'1. Matriz de Activos'!$B$52</f>
        <v/>
      </c>
      <c r="D57" s="64">
        <f>'1. Matriz de Activos'!$C$52</f>
        <v/>
      </c>
      <c r="E57" s="28">
        <f>'1. Matriz de Activos'!$G$52</f>
        <v/>
      </c>
      <c r="F57" s="64">
        <f>'1. Matriz de Activos'!$E$52</f>
        <v/>
      </c>
      <c r="G57" s="64">
        <f>'1. Matriz de Activos'!$F$52</f>
        <v/>
      </c>
      <c r="H57" s="28">
        <f>'1. Matriz de Activos'!$T$52</f>
        <v/>
      </c>
      <c r="I57" s="28">
        <f>IF($H57&gt;=4,"Sí","No")</f>
        <v/>
      </c>
      <c r="J57" s="28">
        <f>IF($H57&gt;=4,IFERROR(VLOOKUP($G57,AmenTabla,2,0),0),0)</f>
        <v/>
      </c>
      <c r="K57" s="28">
        <f>COUNTIF('2. Valoración '!$C$6:$C$2261,$C57)</f>
        <v/>
      </c>
      <c r="L57" s="64">
        <f>IF($I57="No","No requiere valoración",IF($K57=0,"FALTA POR COMPLETO — agregar "&amp;$J57&amp;" filas",IF($K57&lt;$J57,"INCOMPLETO — faltan "&amp;($J57-$K57)&amp;" filas",IF($K57&gt;$J57,"REVISAR — hay filas de más","Completo"))))</f>
        <v/>
      </c>
    </row>
    <row r="58" ht="75" customHeight="1" s="54">
      <c r="B58" s="28">
        <f>IF(AND(OR($C$6="(Todos los procesos)",$C$6='1. Matriz de Activos'!$G$53),OR($C$7="(Todos los tipos)",$C$7='1. Matriz de Activos'!$E$53),OR($C$8="(Todos los subtipos)",$C$8='1. Matriz de Activos'!$F$53)),"Sí","No")</f>
        <v/>
      </c>
      <c r="C58" s="28">
        <f>'1. Matriz de Activos'!$B$53</f>
        <v/>
      </c>
      <c r="D58" s="64">
        <f>'1. Matriz de Activos'!$C$53</f>
        <v/>
      </c>
      <c r="E58" s="28">
        <f>'1. Matriz de Activos'!$G$53</f>
        <v/>
      </c>
      <c r="F58" s="64">
        <f>'1. Matriz de Activos'!$E$53</f>
        <v/>
      </c>
      <c r="G58" s="64">
        <f>'1. Matriz de Activos'!$F$53</f>
        <v/>
      </c>
      <c r="H58" s="28">
        <f>'1. Matriz de Activos'!$T$53</f>
        <v/>
      </c>
      <c r="I58" s="28">
        <f>IF($H58&gt;=4,"Sí","No")</f>
        <v/>
      </c>
      <c r="J58" s="28">
        <f>IF($H58&gt;=4,IFERROR(VLOOKUP($G58,AmenTabla,2,0),0),0)</f>
        <v/>
      </c>
      <c r="K58" s="28">
        <f>COUNTIF('2. Valoración '!$C$6:$C$2261,$C58)</f>
        <v/>
      </c>
      <c r="L58" s="64">
        <f>IF($I58="No","No requiere valoración",IF($K58=0,"FALTA POR COMPLETO — agregar "&amp;$J58&amp;" filas",IF($K58&lt;$J58,"INCOMPLETO — faltan "&amp;($J58-$K58)&amp;" filas",IF($K58&gt;$J58,"REVISAR — hay filas de más","Completo"))))</f>
        <v/>
      </c>
    </row>
    <row r="59" ht="90" customHeight="1" s="54">
      <c r="B59" s="28">
        <f>IF(AND(OR($C$6="(Todos los procesos)",$C$6='1. Matriz de Activos'!$G$54),OR($C$7="(Todos los tipos)",$C$7='1. Matriz de Activos'!$E$54),OR($C$8="(Todos los subtipos)",$C$8='1. Matriz de Activos'!$F$54)),"Sí","No")</f>
        <v/>
      </c>
      <c r="C59" s="28">
        <f>'1. Matriz de Activos'!$B$54</f>
        <v/>
      </c>
      <c r="D59" s="64">
        <f>'1. Matriz de Activos'!$C$54</f>
        <v/>
      </c>
      <c r="E59" s="28">
        <f>'1. Matriz de Activos'!$G$54</f>
        <v/>
      </c>
      <c r="F59" s="64">
        <f>'1. Matriz de Activos'!$E$54</f>
        <v/>
      </c>
      <c r="G59" s="64">
        <f>'1. Matriz de Activos'!$F$54</f>
        <v/>
      </c>
      <c r="H59" s="28">
        <f>'1. Matriz de Activos'!$T$54</f>
        <v/>
      </c>
      <c r="I59" s="28">
        <f>IF($H59&gt;=4,"Sí","No")</f>
        <v/>
      </c>
      <c r="J59" s="28">
        <f>IF($H59&gt;=4,IFERROR(VLOOKUP($G59,AmenTabla,2,0),0),0)</f>
        <v/>
      </c>
      <c r="K59" s="28">
        <f>COUNTIF('2. Valoración '!$C$6:$C$2261,$C59)</f>
        <v/>
      </c>
      <c r="L59" s="64">
        <f>IF($I59="No","No requiere valoración",IF($K59=0,"FALTA POR COMPLETO — agregar "&amp;$J59&amp;" filas",IF($K59&lt;$J59,"INCOMPLETO — faltan "&amp;($J59-$K59)&amp;" filas",IF($K59&gt;$J59,"REVISAR — hay filas de más","Completo"))))</f>
        <v/>
      </c>
    </row>
    <row r="60" ht="75" customHeight="1" s="54">
      <c r="B60" s="28">
        <f>IF(AND(OR($C$6="(Todos los procesos)",$C$6='1. Matriz de Activos'!$G$55),OR($C$7="(Todos los tipos)",$C$7='1. Matriz de Activos'!$E$55),OR($C$8="(Todos los subtipos)",$C$8='1. Matriz de Activos'!$F$55)),"Sí","No")</f>
        <v/>
      </c>
      <c r="C60" s="28">
        <f>'1. Matriz de Activos'!$B$55</f>
        <v/>
      </c>
      <c r="D60" s="64">
        <f>'1. Matriz de Activos'!$C$55</f>
        <v/>
      </c>
      <c r="E60" s="28">
        <f>'1. Matriz de Activos'!$G$55</f>
        <v/>
      </c>
      <c r="F60" s="64">
        <f>'1. Matriz de Activos'!$E$55</f>
        <v/>
      </c>
      <c r="G60" s="64">
        <f>'1. Matriz de Activos'!$F$55</f>
        <v/>
      </c>
      <c r="H60" s="28">
        <f>'1. Matriz de Activos'!$T$55</f>
        <v/>
      </c>
      <c r="I60" s="28">
        <f>IF($H60&gt;=4,"Sí","No")</f>
        <v/>
      </c>
      <c r="J60" s="28">
        <f>IF($H60&gt;=4,IFERROR(VLOOKUP($G60,AmenTabla,2,0),0),0)</f>
        <v/>
      </c>
      <c r="K60" s="28">
        <f>COUNTIF('2. Valoración '!$C$6:$C$2261,$C60)</f>
        <v/>
      </c>
      <c r="L60" s="64">
        <f>IF($I60="No","No requiere valoración",IF($K60=0,"FALTA POR COMPLETO — agregar "&amp;$J60&amp;" filas",IF($K60&lt;$J60,"INCOMPLETO — faltan "&amp;($J60-$K60)&amp;" filas",IF($K60&gt;$J60,"REVISAR — hay filas de más","Completo"))))</f>
        <v/>
      </c>
    </row>
    <row r="61" ht="75" customHeight="1" s="54">
      <c r="B61" s="28">
        <f>IF(AND(OR($C$6="(Todos los procesos)",$C$6='1. Matriz de Activos'!$G$56),OR($C$7="(Todos los tipos)",$C$7='1. Matriz de Activos'!$E$56),OR($C$8="(Todos los subtipos)",$C$8='1. Matriz de Activos'!$F$56)),"Sí","No")</f>
        <v/>
      </c>
      <c r="C61" s="28">
        <f>'1. Matriz de Activos'!$B$56</f>
        <v/>
      </c>
      <c r="D61" s="64">
        <f>'1. Matriz de Activos'!$C$56</f>
        <v/>
      </c>
      <c r="E61" s="28">
        <f>'1. Matriz de Activos'!$G$56</f>
        <v/>
      </c>
      <c r="F61" s="64">
        <f>'1. Matriz de Activos'!$E$56</f>
        <v/>
      </c>
      <c r="G61" s="64">
        <f>'1. Matriz de Activos'!$F$56</f>
        <v/>
      </c>
      <c r="H61" s="28">
        <f>'1. Matriz de Activos'!$T$56</f>
        <v/>
      </c>
      <c r="I61" s="28">
        <f>IF($H61&gt;=4,"Sí","No")</f>
        <v/>
      </c>
      <c r="J61" s="28">
        <f>IF($H61&gt;=4,IFERROR(VLOOKUP($G61,AmenTabla,2,0),0),0)</f>
        <v/>
      </c>
      <c r="K61" s="28">
        <f>COUNTIF('2. Valoración '!$C$6:$C$2261,$C61)</f>
        <v/>
      </c>
      <c r="L61" s="64">
        <f>IF($I61="No","No requiere valoración",IF($K61=0,"FALTA POR COMPLETO — agregar "&amp;$J61&amp;" filas",IF($K61&lt;$J61,"INCOMPLETO — faltan "&amp;($J61-$K61)&amp;" filas",IF($K61&gt;$J61,"REVISAR — hay filas de más","Completo"))))</f>
        <v/>
      </c>
    </row>
    <row r="62" ht="45" customHeight="1" s="54">
      <c r="B62" s="28">
        <f>IF(AND(OR($C$6="(Todos los procesos)",$C$6='1. Matriz de Activos'!$G$57),OR($C$7="(Todos los tipos)",$C$7='1. Matriz de Activos'!$E$57),OR($C$8="(Todos los subtipos)",$C$8='1. Matriz de Activos'!$F$57)),"Sí","No")</f>
        <v/>
      </c>
      <c r="C62" s="28">
        <f>'1. Matriz de Activos'!$B$57</f>
        <v/>
      </c>
      <c r="D62" s="64">
        <f>'1. Matriz de Activos'!$C$57</f>
        <v/>
      </c>
      <c r="E62" s="28">
        <f>'1. Matriz de Activos'!$G$57</f>
        <v/>
      </c>
      <c r="F62" s="64">
        <f>'1. Matriz de Activos'!$E$57</f>
        <v/>
      </c>
      <c r="G62" s="64">
        <f>'1. Matriz de Activos'!$F$57</f>
        <v/>
      </c>
      <c r="H62" s="28">
        <f>'1. Matriz de Activos'!$T$57</f>
        <v/>
      </c>
      <c r="I62" s="28">
        <f>IF($H62&gt;=4,"Sí","No")</f>
        <v/>
      </c>
      <c r="J62" s="28">
        <f>IF($H62&gt;=4,IFERROR(VLOOKUP($G62,AmenTabla,2,0),0),0)</f>
        <v/>
      </c>
      <c r="K62" s="28">
        <f>COUNTIF('2. Valoración '!$C$6:$C$2261,$C62)</f>
        <v/>
      </c>
      <c r="L62" s="64">
        <f>IF($I62="No","No requiere valoración",IF($K62=0,"FALTA POR COMPLETO — agregar "&amp;$J62&amp;" filas",IF($K62&lt;$J62,"INCOMPLETO — faltan "&amp;($J62-$K62)&amp;" filas",IF($K62&gt;$J62,"REVISAR — hay filas de más","Completo"))))</f>
        <v/>
      </c>
    </row>
    <row r="63" ht="15" customHeight="1" s="54">
      <c r="B63" s="28">
        <f>IF(AND(OR($C$6="(Todos los procesos)",$C$6='1. Matriz de Activos'!$G$58),OR($C$7="(Todos los tipos)",$C$7='1. Matriz de Activos'!$E$58),OR($C$8="(Todos los subtipos)",$C$8='1. Matriz de Activos'!$F$58)),"Sí","No")</f>
        <v/>
      </c>
      <c r="C63" s="28">
        <f>'1. Matriz de Activos'!$B$58</f>
        <v/>
      </c>
      <c r="D63" s="64">
        <f>'1. Matriz de Activos'!$C$58</f>
        <v/>
      </c>
      <c r="E63" s="28">
        <f>'1. Matriz de Activos'!$G$58</f>
        <v/>
      </c>
      <c r="F63" s="64">
        <f>'1. Matriz de Activos'!$E$58</f>
        <v/>
      </c>
      <c r="G63" s="64">
        <f>'1. Matriz de Activos'!$F$58</f>
        <v/>
      </c>
      <c r="H63" s="28">
        <f>'1. Matriz de Activos'!$T$58</f>
        <v/>
      </c>
      <c r="I63" s="28">
        <f>IF($H63&gt;=4,"Sí","No")</f>
        <v/>
      </c>
      <c r="J63" s="28">
        <f>IF($H63&gt;=4,IFERROR(VLOOKUP($G63,AmenTabla,2,0),0),0)</f>
        <v/>
      </c>
      <c r="K63" s="28">
        <f>COUNTIF('2. Valoración '!$C$6:$C$2261,$C63)</f>
        <v/>
      </c>
      <c r="L63" s="64">
        <f>IF($I63="No","No requiere valoración",IF($K63=0,"FALTA POR COMPLETO — agregar "&amp;$J63&amp;" filas",IF($K63&lt;$J63,"INCOMPLETO — faltan "&amp;($J63-$K63)&amp;" filas",IF($K63&gt;$J63,"REVISAR — hay filas de más","Completo"))))</f>
        <v/>
      </c>
    </row>
    <row r="64" ht="30" customHeight="1" s="54">
      <c r="B64" s="28">
        <f>IF(AND(OR($C$6="(Todos los procesos)",$C$6='1. Matriz de Activos'!$G$59),OR($C$7="(Todos los tipos)",$C$7='1. Matriz de Activos'!$E$59),OR($C$8="(Todos los subtipos)",$C$8='1. Matriz de Activos'!$F$59)),"Sí","No")</f>
        <v/>
      </c>
      <c r="C64" s="28">
        <f>'1. Matriz de Activos'!$B$59</f>
        <v/>
      </c>
      <c r="D64" s="64">
        <f>'1. Matriz de Activos'!$C$59</f>
        <v/>
      </c>
      <c r="E64" s="28">
        <f>'1. Matriz de Activos'!$G$59</f>
        <v/>
      </c>
      <c r="F64" s="64">
        <f>'1. Matriz de Activos'!$E$59</f>
        <v/>
      </c>
      <c r="G64" s="64">
        <f>'1. Matriz de Activos'!$F$59</f>
        <v/>
      </c>
      <c r="H64" s="28">
        <f>'1. Matriz de Activos'!$T$59</f>
        <v/>
      </c>
      <c r="I64" s="28">
        <f>IF($H64&gt;=4,"Sí","No")</f>
        <v/>
      </c>
      <c r="J64" s="28">
        <f>IF($H64&gt;=4,IFERROR(VLOOKUP($G64,AmenTabla,2,0),0),0)</f>
        <v/>
      </c>
      <c r="K64" s="28">
        <f>COUNTIF('2. Valoración '!$C$6:$C$2261,$C64)</f>
        <v/>
      </c>
      <c r="L64" s="64">
        <f>IF($I64="No","No requiere valoración",IF($K64=0,"FALTA POR COMPLETO — agregar "&amp;$J64&amp;" filas",IF($K64&lt;$J64,"INCOMPLETO — faltan "&amp;($J64-$K64)&amp;" filas",IF($K64&gt;$J64,"REVISAR — hay filas de más","Completo"))))</f>
        <v/>
      </c>
    </row>
    <row r="65" ht="15" customHeight="1" s="54">
      <c r="B65" s="28">
        <f>IF(AND(OR($C$6="(Todos los procesos)",$C$6='1. Matriz de Activos'!$G$60),OR($C$7="(Todos los tipos)",$C$7='1. Matriz de Activos'!$E$60),OR($C$8="(Todos los subtipos)",$C$8='1. Matriz de Activos'!$F$60)),"Sí","No")</f>
        <v/>
      </c>
      <c r="C65" s="28">
        <f>'1. Matriz de Activos'!$B$60</f>
        <v/>
      </c>
      <c r="D65" s="64">
        <f>'1. Matriz de Activos'!$C$60</f>
        <v/>
      </c>
      <c r="E65" s="28">
        <f>'1. Matriz de Activos'!$G$60</f>
        <v/>
      </c>
      <c r="F65" s="64">
        <f>'1. Matriz de Activos'!$E$60</f>
        <v/>
      </c>
      <c r="G65" s="64">
        <f>'1. Matriz de Activos'!$F$60</f>
        <v/>
      </c>
      <c r="H65" s="28">
        <f>'1. Matriz de Activos'!$T$60</f>
        <v/>
      </c>
      <c r="I65" s="28">
        <f>IF($H65&gt;=4,"Sí","No")</f>
        <v/>
      </c>
      <c r="J65" s="28">
        <f>IF($H65&gt;=4,IFERROR(VLOOKUP($G65,AmenTabla,2,0),0),0)</f>
        <v/>
      </c>
      <c r="K65" s="28">
        <f>COUNTIF('2. Valoración '!$C$6:$C$2261,$C65)</f>
        <v/>
      </c>
      <c r="L65" s="64">
        <f>IF($I65="No","No requiere valoración",IF($K65=0,"FALTA POR COMPLETO — agregar "&amp;$J65&amp;" filas",IF($K65&lt;$J65,"INCOMPLETO — faltan "&amp;($J65-$K65)&amp;" filas",IF($K65&gt;$J65,"REVISAR — hay filas de más","Completo"))))</f>
        <v/>
      </c>
    </row>
    <row r="66" ht="30" customHeight="1" s="54">
      <c r="B66" s="28">
        <f>IF(AND(OR($C$6="(Todos los procesos)",$C$6='1. Matriz de Activos'!$G$61),OR($C$7="(Todos los tipos)",$C$7='1. Matriz de Activos'!$E$61),OR($C$8="(Todos los subtipos)",$C$8='1. Matriz de Activos'!$F$61)),"Sí","No")</f>
        <v/>
      </c>
      <c r="C66" s="28">
        <f>'1. Matriz de Activos'!$B$61</f>
        <v/>
      </c>
      <c r="D66" s="64">
        <f>'1. Matriz de Activos'!$C$61</f>
        <v/>
      </c>
      <c r="E66" s="28">
        <f>'1. Matriz de Activos'!$G$61</f>
        <v/>
      </c>
      <c r="F66" s="64">
        <f>'1. Matriz de Activos'!$E$61</f>
        <v/>
      </c>
      <c r="G66" s="64">
        <f>'1. Matriz de Activos'!$F$61</f>
        <v/>
      </c>
      <c r="H66" s="28">
        <f>'1. Matriz de Activos'!$T$61</f>
        <v/>
      </c>
      <c r="I66" s="28">
        <f>IF($H66&gt;=4,"Sí","No")</f>
        <v/>
      </c>
      <c r="J66" s="28">
        <f>IF($H66&gt;=4,IFERROR(VLOOKUP($G66,AmenTabla,2,0),0),0)</f>
        <v/>
      </c>
      <c r="K66" s="28">
        <f>COUNTIF('2. Valoración '!$C$6:$C$2261,$C66)</f>
        <v/>
      </c>
      <c r="L66" s="64">
        <f>IF($I66="No","No requiere valoración",IF($K66=0,"FALTA POR COMPLETO — agregar "&amp;$J66&amp;" filas",IF($K66&lt;$J66,"INCOMPLETO — faltan "&amp;($J66-$K66)&amp;" filas",IF($K66&gt;$J66,"REVISAR — hay filas de más","Completo"))))</f>
        <v/>
      </c>
    </row>
    <row r="67" ht="45" customHeight="1" s="54">
      <c r="B67" s="28">
        <f>IF(AND(OR($C$6="(Todos los procesos)",$C$6='1. Matriz de Activos'!$G$62),OR($C$7="(Todos los tipos)",$C$7='1. Matriz de Activos'!$E$62),OR($C$8="(Todos los subtipos)",$C$8='1. Matriz de Activos'!$F$62)),"Sí","No")</f>
        <v/>
      </c>
      <c r="C67" s="28">
        <f>'1. Matriz de Activos'!$B$62</f>
        <v/>
      </c>
      <c r="D67" s="64">
        <f>'1. Matriz de Activos'!$C$62</f>
        <v/>
      </c>
      <c r="E67" s="28">
        <f>'1. Matriz de Activos'!$G$62</f>
        <v/>
      </c>
      <c r="F67" s="64">
        <f>'1. Matriz de Activos'!$E$62</f>
        <v/>
      </c>
      <c r="G67" s="64">
        <f>'1. Matriz de Activos'!$F$62</f>
        <v/>
      </c>
      <c r="H67" s="28">
        <f>'1. Matriz de Activos'!$T$62</f>
        <v/>
      </c>
      <c r="I67" s="28">
        <f>IF($H67&gt;=4,"Sí","No")</f>
        <v/>
      </c>
      <c r="J67" s="28">
        <f>IF($H67&gt;=4,IFERROR(VLOOKUP($G67,AmenTabla,2,0),0),0)</f>
        <v/>
      </c>
      <c r="K67" s="28">
        <f>COUNTIF('2. Valoración '!$C$6:$C$2261,$C67)</f>
        <v/>
      </c>
      <c r="L67" s="64">
        <f>IF($I67="No","No requiere valoración",IF($K67=0,"FALTA POR COMPLETO — agregar "&amp;$J67&amp;" filas",IF($K67&lt;$J67,"INCOMPLETO — faltan "&amp;($J67-$K67)&amp;" filas",IF($K67&gt;$J67,"REVISAR — hay filas de más","Completo"))))</f>
        <v/>
      </c>
    </row>
    <row r="68" ht="60" customHeight="1" s="54">
      <c r="B68" s="28">
        <f>IF(AND(OR($C$6="(Todos los procesos)",$C$6='1. Matriz de Activos'!$G$63),OR($C$7="(Todos los tipos)",$C$7='1. Matriz de Activos'!$E$63),OR($C$8="(Todos los subtipos)",$C$8='1. Matriz de Activos'!$F$63)),"Sí","No")</f>
        <v/>
      </c>
      <c r="C68" s="28">
        <f>'1. Matriz de Activos'!$B$63</f>
        <v/>
      </c>
      <c r="D68" s="64">
        <f>'1. Matriz de Activos'!$C$63</f>
        <v/>
      </c>
      <c r="E68" s="28">
        <f>'1. Matriz de Activos'!$G$63</f>
        <v/>
      </c>
      <c r="F68" s="64">
        <f>'1. Matriz de Activos'!$E$63</f>
        <v/>
      </c>
      <c r="G68" s="64">
        <f>'1. Matriz de Activos'!$F$63</f>
        <v/>
      </c>
      <c r="H68" s="28">
        <f>'1. Matriz de Activos'!$T$63</f>
        <v/>
      </c>
      <c r="I68" s="28">
        <f>IF($H68&gt;=4,"Sí","No")</f>
        <v/>
      </c>
      <c r="J68" s="28">
        <f>IF($H68&gt;=4,IFERROR(VLOOKUP($G68,AmenTabla,2,0),0),0)</f>
        <v/>
      </c>
      <c r="K68" s="28">
        <f>COUNTIF('2. Valoración '!$C$6:$C$2261,$C68)</f>
        <v/>
      </c>
      <c r="L68" s="64">
        <f>IF($I68="No","No requiere valoración",IF($K68=0,"FALTA POR COMPLETO — agregar "&amp;$J68&amp;" filas",IF($K68&lt;$J68,"INCOMPLETO — faltan "&amp;($J68-$K68)&amp;" filas",IF($K68&gt;$J68,"REVISAR — hay filas de más","Completo"))))</f>
        <v/>
      </c>
    </row>
    <row r="69" ht="45" customHeight="1" s="54">
      <c r="B69" s="28">
        <f>IF(AND(OR($C$6="(Todos los procesos)",$C$6='1. Matriz de Activos'!$G$64),OR($C$7="(Todos los tipos)",$C$7='1. Matriz de Activos'!$E$64),OR($C$8="(Todos los subtipos)",$C$8='1. Matriz de Activos'!$F$64)),"Sí","No")</f>
        <v/>
      </c>
      <c r="C69" s="28">
        <f>'1. Matriz de Activos'!$B$64</f>
        <v/>
      </c>
      <c r="D69" s="64">
        <f>'1. Matriz de Activos'!$C$64</f>
        <v/>
      </c>
      <c r="E69" s="28">
        <f>'1. Matriz de Activos'!$G$64</f>
        <v/>
      </c>
      <c r="F69" s="64">
        <f>'1. Matriz de Activos'!$E$64</f>
        <v/>
      </c>
      <c r="G69" s="64">
        <f>'1. Matriz de Activos'!$F$64</f>
        <v/>
      </c>
      <c r="H69" s="28">
        <f>'1. Matriz de Activos'!$T$64</f>
        <v/>
      </c>
      <c r="I69" s="28">
        <f>IF($H69&gt;=4,"Sí","No")</f>
        <v/>
      </c>
      <c r="J69" s="28">
        <f>IF($H69&gt;=4,IFERROR(VLOOKUP($G69,AmenTabla,2,0),0),0)</f>
        <v/>
      </c>
      <c r="K69" s="28">
        <f>COUNTIF('2. Valoración '!$C$6:$C$2261,$C69)</f>
        <v/>
      </c>
      <c r="L69" s="64">
        <f>IF($I69="No","No requiere valoración",IF($K69=0,"FALTA POR COMPLETO — agregar "&amp;$J69&amp;" filas",IF($K69&lt;$J69,"INCOMPLETO — faltan "&amp;($J69-$K69)&amp;" filas",IF($K69&gt;$J69,"REVISAR — hay filas de más","Completo"))))</f>
        <v/>
      </c>
    </row>
    <row r="70" ht="30" customHeight="1" s="54">
      <c r="B70" s="28">
        <f>IF(AND(OR($C$6="(Todos los procesos)",$C$6='1. Matriz de Activos'!$G$65),OR($C$7="(Todos los tipos)",$C$7='1. Matriz de Activos'!$E$65),OR($C$8="(Todos los subtipos)",$C$8='1. Matriz de Activos'!$F$65)),"Sí","No")</f>
        <v/>
      </c>
      <c r="C70" s="28">
        <f>'1. Matriz de Activos'!$B$65</f>
        <v/>
      </c>
      <c r="D70" s="64">
        <f>'1. Matriz de Activos'!$C$65</f>
        <v/>
      </c>
      <c r="E70" s="28">
        <f>'1. Matriz de Activos'!$G$65</f>
        <v/>
      </c>
      <c r="F70" s="64">
        <f>'1. Matriz de Activos'!$E$65</f>
        <v/>
      </c>
      <c r="G70" s="64">
        <f>'1. Matriz de Activos'!$F$65</f>
        <v/>
      </c>
      <c r="H70" s="28">
        <f>'1. Matriz de Activos'!$T$65</f>
        <v/>
      </c>
      <c r="I70" s="28">
        <f>IF($H70&gt;=4,"Sí","No")</f>
        <v/>
      </c>
      <c r="J70" s="28">
        <f>IF($H70&gt;=4,IFERROR(VLOOKUP($G70,AmenTabla,2,0),0),0)</f>
        <v/>
      </c>
      <c r="K70" s="28">
        <f>COUNTIF('2. Valoración '!$C$6:$C$2261,$C70)</f>
        <v/>
      </c>
      <c r="L70" s="64">
        <f>IF($I70="No","No requiere valoración",IF($K70=0,"FALTA POR COMPLETO — agregar "&amp;$J70&amp;" filas",IF($K70&lt;$J70,"INCOMPLETO — faltan "&amp;($J70-$K70)&amp;" filas",IF($K70&gt;$J70,"REVISAR — hay filas de más","Completo"))))</f>
        <v/>
      </c>
    </row>
    <row r="71" ht="30" customHeight="1" s="54">
      <c r="B71" s="28">
        <f>IF(AND(OR($C$6="(Todos los procesos)",$C$6='1. Matriz de Activos'!$G$66),OR($C$7="(Todos los tipos)",$C$7='1. Matriz de Activos'!$E$66),OR($C$8="(Todos los subtipos)",$C$8='1. Matriz de Activos'!$F$66)),"Sí","No")</f>
        <v/>
      </c>
      <c r="C71" s="28">
        <f>'1. Matriz de Activos'!$B$66</f>
        <v/>
      </c>
      <c r="D71" s="64">
        <f>'1. Matriz de Activos'!$C$66</f>
        <v/>
      </c>
      <c r="E71" s="28">
        <f>'1. Matriz de Activos'!$G$66</f>
        <v/>
      </c>
      <c r="F71" s="64">
        <f>'1. Matriz de Activos'!$E$66</f>
        <v/>
      </c>
      <c r="G71" s="64">
        <f>'1. Matriz de Activos'!$F$66</f>
        <v/>
      </c>
      <c r="H71" s="28">
        <f>'1. Matriz de Activos'!$T$66</f>
        <v/>
      </c>
      <c r="I71" s="28">
        <f>IF($H71&gt;=4,"Sí","No")</f>
        <v/>
      </c>
      <c r="J71" s="28">
        <f>IF($H71&gt;=4,IFERROR(VLOOKUP($G71,AmenTabla,2,0),0),0)</f>
        <v/>
      </c>
      <c r="K71" s="28">
        <f>COUNTIF('2. Valoración '!$C$6:$C$2261,$C71)</f>
        <v/>
      </c>
      <c r="L71" s="64">
        <f>IF($I71="No","No requiere valoración",IF($K71=0,"FALTA POR COMPLETO — agregar "&amp;$J71&amp;" filas",IF($K71&lt;$J71,"INCOMPLETO — faltan "&amp;($J71-$K71)&amp;" filas",IF($K71&gt;$J71,"REVISAR — hay filas de más","Completo"))))</f>
        <v/>
      </c>
    </row>
    <row r="72" ht="45" customHeight="1" s="54">
      <c r="B72" s="28">
        <f>IF(AND(OR($C$6="(Todos los procesos)",$C$6='1. Matriz de Activos'!$G$67),OR($C$7="(Todos los tipos)",$C$7='1. Matriz de Activos'!$E$67),OR($C$8="(Todos los subtipos)",$C$8='1. Matriz de Activos'!$F$67)),"Sí","No")</f>
        <v/>
      </c>
      <c r="C72" s="28">
        <f>'1. Matriz de Activos'!$B$67</f>
        <v/>
      </c>
      <c r="D72" s="64">
        <f>'1. Matriz de Activos'!$C$67</f>
        <v/>
      </c>
      <c r="E72" s="28">
        <f>'1. Matriz de Activos'!$G$67</f>
        <v/>
      </c>
      <c r="F72" s="64">
        <f>'1. Matriz de Activos'!$E$67</f>
        <v/>
      </c>
      <c r="G72" s="64">
        <f>'1. Matriz de Activos'!$F$67</f>
        <v/>
      </c>
      <c r="H72" s="28">
        <f>'1. Matriz de Activos'!$T$67</f>
        <v/>
      </c>
      <c r="I72" s="28">
        <f>IF($H72&gt;=4,"Sí","No")</f>
        <v/>
      </c>
      <c r="J72" s="28">
        <f>IF($H72&gt;=4,IFERROR(VLOOKUP($G72,AmenTabla,2,0),0),0)</f>
        <v/>
      </c>
      <c r="K72" s="28">
        <f>COUNTIF('2. Valoración '!$C$6:$C$2261,$C72)</f>
        <v/>
      </c>
      <c r="L72" s="64">
        <f>IF($I72="No","No requiere valoración",IF($K72=0,"FALTA POR COMPLETO — agregar "&amp;$J72&amp;" filas",IF($K72&lt;$J72,"INCOMPLETO — faltan "&amp;($J72-$K72)&amp;" filas",IF($K72&gt;$J72,"REVISAR — hay filas de más","Completo"))))</f>
        <v/>
      </c>
    </row>
    <row r="73" ht="45" customHeight="1" s="54">
      <c r="B73" s="28">
        <f>IF(AND(OR($C$6="(Todos los procesos)",$C$6='1. Matriz de Activos'!$G$68),OR($C$7="(Todos los tipos)",$C$7='1. Matriz de Activos'!$E$68),OR($C$8="(Todos los subtipos)",$C$8='1. Matriz de Activos'!$F$68)),"Sí","No")</f>
        <v/>
      </c>
      <c r="C73" s="28">
        <f>'1. Matriz de Activos'!$B$68</f>
        <v/>
      </c>
      <c r="D73" s="64">
        <f>'1. Matriz de Activos'!$C$68</f>
        <v/>
      </c>
      <c r="E73" s="28">
        <f>'1. Matriz de Activos'!$G$68</f>
        <v/>
      </c>
      <c r="F73" s="64">
        <f>'1. Matriz de Activos'!$E$68</f>
        <v/>
      </c>
      <c r="G73" s="64">
        <f>'1. Matriz de Activos'!$F$68</f>
        <v/>
      </c>
      <c r="H73" s="28">
        <f>'1. Matriz de Activos'!$T$68</f>
        <v/>
      </c>
      <c r="I73" s="28">
        <f>IF($H73&gt;=4,"Sí","No")</f>
        <v/>
      </c>
      <c r="J73" s="28">
        <f>IF($H73&gt;=4,IFERROR(VLOOKUP($G73,AmenTabla,2,0),0),0)</f>
        <v/>
      </c>
      <c r="K73" s="28">
        <f>COUNTIF('2. Valoración '!$C$6:$C$2261,$C73)</f>
        <v/>
      </c>
      <c r="L73" s="64">
        <f>IF($I73="No","No requiere valoración",IF($K73=0,"FALTA POR COMPLETO — agregar "&amp;$J73&amp;" filas",IF($K73&lt;$J73,"INCOMPLETO — faltan "&amp;($J73-$K73)&amp;" filas",IF($K73&gt;$J73,"REVISAR — hay filas de más","Completo"))))</f>
        <v/>
      </c>
    </row>
    <row r="74" ht="30" customHeight="1" s="54">
      <c r="B74" s="28">
        <f>IF(AND(OR($C$6="(Todos los procesos)",$C$6='1. Matriz de Activos'!$G$69),OR($C$7="(Todos los tipos)",$C$7='1. Matriz de Activos'!$E$69),OR($C$8="(Todos los subtipos)",$C$8='1. Matriz de Activos'!$F$69)),"Sí","No")</f>
        <v/>
      </c>
      <c r="C74" s="28">
        <f>'1. Matriz de Activos'!$B$69</f>
        <v/>
      </c>
      <c r="D74" s="64">
        <f>'1. Matriz de Activos'!$C$69</f>
        <v/>
      </c>
      <c r="E74" s="28">
        <f>'1. Matriz de Activos'!$G$69</f>
        <v/>
      </c>
      <c r="F74" s="64">
        <f>'1. Matriz de Activos'!$E$69</f>
        <v/>
      </c>
      <c r="G74" s="64">
        <f>'1. Matriz de Activos'!$F$69</f>
        <v/>
      </c>
      <c r="H74" s="28">
        <f>'1. Matriz de Activos'!$T$69</f>
        <v/>
      </c>
      <c r="I74" s="28">
        <f>IF($H74&gt;=4,"Sí","No")</f>
        <v/>
      </c>
      <c r="J74" s="28">
        <f>IF($H74&gt;=4,IFERROR(VLOOKUP($G74,AmenTabla,2,0),0),0)</f>
        <v/>
      </c>
      <c r="K74" s="28">
        <f>COUNTIF('2. Valoración '!$C$6:$C$2261,$C74)</f>
        <v/>
      </c>
      <c r="L74" s="64">
        <f>IF($I74="No","No requiere valoración",IF($K74=0,"FALTA POR COMPLETO — agregar "&amp;$J74&amp;" filas",IF($K74&lt;$J74,"INCOMPLETO — faltan "&amp;($J74-$K74)&amp;" filas",IF($K74&gt;$J74,"REVISAR — hay filas de más","Completo"))))</f>
        <v/>
      </c>
    </row>
    <row r="75" ht="30" customHeight="1" s="54">
      <c r="B75" s="28">
        <f>IF(AND(OR($C$6="(Todos los procesos)",$C$6='1. Matriz de Activos'!$G$70),OR($C$7="(Todos los tipos)",$C$7='1. Matriz de Activos'!$E$70),OR($C$8="(Todos los subtipos)",$C$8='1. Matriz de Activos'!$F$70)),"Sí","No")</f>
        <v/>
      </c>
      <c r="C75" s="28">
        <f>'1. Matriz de Activos'!$B$70</f>
        <v/>
      </c>
      <c r="D75" s="64">
        <f>'1. Matriz de Activos'!$C$70</f>
        <v/>
      </c>
      <c r="E75" s="28">
        <f>'1. Matriz de Activos'!$G$70</f>
        <v/>
      </c>
      <c r="F75" s="64">
        <f>'1. Matriz de Activos'!$E$70</f>
        <v/>
      </c>
      <c r="G75" s="64">
        <f>'1. Matriz de Activos'!$F$70</f>
        <v/>
      </c>
      <c r="H75" s="28">
        <f>'1. Matriz de Activos'!$T$70</f>
        <v/>
      </c>
      <c r="I75" s="28">
        <f>IF($H75&gt;=4,"Sí","No")</f>
        <v/>
      </c>
      <c r="J75" s="28">
        <f>IF($H75&gt;=4,IFERROR(VLOOKUP($G75,AmenTabla,2,0),0),0)</f>
        <v/>
      </c>
      <c r="K75" s="28">
        <f>COUNTIF('2. Valoración '!$C$6:$C$2261,$C75)</f>
        <v/>
      </c>
      <c r="L75" s="64">
        <f>IF($I75="No","No requiere valoración",IF($K75=0,"FALTA POR COMPLETO — agregar "&amp;$J75&amp;" filas",IF($K75&lt;$J75,"INCOMPLETO — faltan "&amp;($J75-$K75)&amp;" filas",IF($K75&gt;$J75,"REVISAR — hay filas de más","Completo"))))</f>
        <v/>
      </c>
    </row>
    <row r="76" ht="30" customHeight="1" s="54">
      <c r="B76" s="28">
        <f>IF(AND(OR($C$6="(Todos los procesos)",$C$6='1. Matriz de Activos'!$G$71),OR($C$7="(Todos los tipos)",$C$7='1. Matriz de Activos'!$E$71),OR($C$8="(Todos los subtipos)",$C$8='1. Matriz de Activos'!$F$71)),"Sí","No")</f>
        <v/>
      </c>
      <c r="C76" s="28">
        <f>'1. Matriz de Activos'!$B$71</f>
        <v/>
      </c>
      <c r="D76" s="64">
        <f>'1. Matriz de Activos'!$C$71</f>
        <v/>
      </c>
      <c r="E76" s="28">
        <f>'1. Matriz de Activos'!$G$71</f>
        <v/>
      </c>
      <c r="F76" s="64">
        <f>'1. Matriz de Activos'!$E$71</f>
        <v/>
      </c>
      <c r="G76" s="64">
        <f>'1. Matriz de Activos'!$F$71</f>
        <v/>
      </c>
      <c r="H76" s="28">
        <f>'1. Matriz de Activos'!$T$71</f>
        <v/>
      </c>
      <c r="I76" s="28">
        <f>IF($H76&gt;=4,"Sí","No")</f>
        <v/>
      </c>
      <c r="J76" s="28">
        <f>IF($H76&gt;=4,IFERROR(VLOOKUP($G76,AmenTabla,2,0),0),0)</f>
        <v/>
      </c>
      <c r="K76" s="28">
        <f>COUNTIF('2. Valoración '!$C$6:$C$2261,$C76)</f>
        <v/>
      </c>
      <c r="L76" s="64">
        <f>IF($I76="No","No requiere valoración",IF($K76=0,"FALTA POR COMPLETO — agregar "&amp;$J76&amp;" filas",IF($K76&lt;$J76,"INCOMPLETO — faltan "&amp;($J76-$K76)&amp;" filas",IF($K76&gt;$J76,"REVISAR — hay filas de más","Completo"))))</f>
        <v/>
      </c>
    </row>
    <row r="77" ht="15" customHeight="1" s="54">
      <c r="B77" s="28">
        <f>IF(AND(OR($C$6="(Todos los procesos)",$C$6='1. Matriz de Activos'!$G$72),OR($C$7="(Todos los tipos)",$C$7='1. Matriz de Activos'!$E$72),OR($C$8="(Todos los subtipos)",$C$8='1. Matriz de Activos'!$F$72)),"Sí","No")</f>
        <v/>
      </c>
      <c r="C77" s="28">
        <f>'1. Matriz de Activos'!$B$72</f>
        <v/>
      </c>
      <c r="D77" s="64">
        <f>'1. Matriz de Activos'!$C$72</f>
        <v/>
      </c>
      <c r="E77" s="28">
        <f>'1. Matriz de Activos'!$G$72</f>
        <v/>
      </c>
      <c r="F77" s="64">
        <f>'1. Matriz de Activos'!$E$72</f>
        <v/>
      </c>
      <c r="G77" s="64">
        <f>'1. Matriz de Activos'!$F$72</f>
        <v/>
      </c>
      <c r="H77" s="28">
        <f>'1. Matriz de Activos'!$T$72</f>
        <v/>
      </c>
      <c r="I77" s="28">
        <f>IF($H77&gt;=4,"Sí","No")</f>
        <v/>
      </c>
      <c r="J77" s="28">
        <f>IF($H77&gt;=4,IFERROR(VLOOKUP($G77,AmenTabla,2,0),0),0)</f>
        <v/>
      </c>
      <c r="K77" s="28">
        <f>COUNTIF('2. Valoración '!$C$6:$C$2261,$C77)</f>
        <v/>
      </c>
      <c r="L77" s="64">
        <f>IF($I77="No","No requiere valoración",IF($K77=0,"FALTA POR COMPLETO — agregar "&amp;$J77&amp;" filas",IF($K77&lt;$J77,"INCOMPLETO — faltan "&amp;($J77-$K77)&amp;" filas",IF($K77&gt;$J77,"REVISAR — hay filas de más","Completo"))))</f>
        <v/>
      </c>
    </row>
    <row r="78" ht="30" customHeight="1" s="54">
      <c r="B78" s="28">
        <f>IF(AND(OR($C$6="(Todos los procesos)",$C$6='1. Matriz de Activos'!$G$73),OR($C$7="(Todos los tipos)",$C$7='1. Matriz de Activos'!$E$73),OR($C$8="(Todos los subtipos)",$C$8='1. Matriz de Activos'!$F$73)),"Sí","No")</f>
        <v/>
      </c>
      <c r="C78" s="28">
        <f>'1. Matriz de Activos'!$B$73</f>
        <v/>
      </c>
      <c r="D78" s="64">
        <f>'1. Matriz de Activos'!$C$73</f>
        <v/>
      </c>
      <c r="E78" s="28">
        <f>'1. Matriz de Activos'!$G$73</f>
        <v/>
      </c>
      <c r="F78" s="64">
        <f>'1. Matriz de Activos'!$E$73</f>
        <v/>
      </c>
      <c r="G78" s="64">
        <f>'1. Matriz de Activos'!$F$73</f>
        <v/>
      </c>
      <c r="H78" s="28">
        <f>'1. Matriz de Activos'!$T$73</f>
        <v/>
      </c>
      <c r="I78" s="28">
        <f>IF($H78&gt;=4,"Sí","No")</f>
        <v/>
      </c>
      <c r="J78" s="28">
        <f>IF($H78&gt;=4,IFERROR(VLOOKUP($G78,AmenTabla,2,0),0),0)</f>
        <v/>
      </c>
      <c r="K78" s="28">
        <f>COUNTIF('2. Valoración '!$C$6:$C$2261,$C78)</f>
        <v/>
      </c>
      <c r="L78" s="64">
        <f>IF($I78="No","No requiere valoración",IF($K78=0,"FALTA POR COMPLETO — agregar "&amp;$J78&amp;" filas",IF($K78&lt;$J78,"INCOMPLETO — faltan "&amp;($J78-$K78)&amp;" filas",IF($K78&gt;$J78,"REVISAR — hay filas de más","Completo"))))</f>
        <v/>
      </c>
    </row>
    <row r="79" ht="15" customHeight="1" s="54">
      <c r="B79" s="28">
        <f>IF(AND(OR($C$6="(Todos los procesos)",$C$6='1. Matriz de Activos'!$G$74),OR($C$7="(Todos los tipos)",$C$7='1. Matriz de Activos'!$E$74),OR($C$8="(Todos los subtipos)",$C$8='1. Matriz de Activos'!$F$74)),"Sí","No")</f>
        <v/>
      </c>
      <c r="C79" s="28">
        <f>'1. Matriz de Activos'!$B$74</f>
        <v/>
      </c>
      <c r="D79" s="64">
        <f>'1. Matriz de Activos'!$C$74</f>
        <v/>
      </c>
      <c r="E79" s="28">
        <f>'1. Matriz de Activos'!$G$74</f>
        <v/>
      </c>
      <c r="F79" s="64">
        <f>'1. Matriz de Activos'!$E$74</f>
        <v/>
      </c>
      <c r="G79" s="64">
        <f>'1. Matriz de Activos'!$F$74</f>
        <v/>
      </c>
      <c r="H79" s="28">
        <f>'1. Matriz de Activos'!$T$74</f>
        <v/>
      </c>
      <c r="I79" s="28">
        <f>IF($H79&gt;=4,"Sí","No")</f>
        <v/>
      </c>
      <c r="J79" s="28">
        <f>IF($H79&gt;=4,IFERROR(VLOOKUP($G79,AmenTabla,2,0),0),0)</f>
        <v/>
      </c>
      <c r="K79" s="28">
        <f>COUNTIF('2. Valoración '!$C$6:$C$2261,$C79)</f>
        <v/>
      </c>
      <c r="L79" s="64">
        <f>IF($I79="No","No requiere valoración",IF($K79=0,"FALTA POR COMPLETO — agregar "&amp;$J79&amp;" filas",IF($K79&lt;$J79,"INCOMPLETO — faltan "&amp;($J79-$K79)&amp;" filas",IF($K79&gt;$J79,"REVISAR — hay filas de más","Completo"))))</f>
        <v/>
      </c>
    </row>
    <row r="80" ht="30" customHeight="1" s="54">
      <c r="B80" s="28">
        <f>IF(AND(OR($C$6="(Todos los procesos)",$C$6='1. Matriz de Activos'!$G$75),OR($C$7="(Todos los tipos)",$C$7='1. Matriz de Activos'!$E$75),OR($C$8="(Todos los subtipos)",$C$8='1. Matriz de Activos'!$F$75)),"Sí","No")</f>
        <v/>
      </c>
      <c r="C80" s="28">
        <f>'1. Matriz de Activos'!$B$75</f>
        <v/>
      </c>
      <c r="D80" s="64">
        <f>'1. Matriz de Activos'!$C$75</f>
        <v/>
      </c>
      <c r="E80" s="28">
        <f>'1. Matriz de Activos'!$G$75</f>
        <v/>
      </c>
      <c r="F80" s="64">
        <f>'1. Matriz de Activos'!$E$75</f>
        <v/>
      </c>
      <c r="G80" s="64">
        <f>'1. Matriz de Activos'!$F$75</f>
        <v/>
      </c>
      <c r="H80" s="28">
        <f>'1. Matriz de Activos'!$T$75</f>
        <v/>
      </c>
      <c r="I80" s="28">
        <f>IF($H80&gt;=4,"Sí","No")</f>
        <v/>
      </c>
      <c r="J80" s="28">
        <f>IF($H80&gt;=4,IFERROR(VLOOKUP($G80,AmenTabla,2,0),0),0)</f>
        <v/>
      </c>
      <c r="K80" s="28">
        <f>COUNTIF('2. Valoración '!$C$6:$C$2261,$C80)</f>
        <v/>
      </c>
      <c r="L80" s="64">
        <f>IF($I80="No","No requiere valoración",IF($K80=0,"FALTA POR COMPLETO — agregar "&amp;$J80&amp;" filas",IF($K80&lt;$J80,"INCOMPLETO — faltan "&amp;($J80-$K80)&amp;" filas",IF($K80&gt;$J80,"REVISAR — hay filas de más","Completo"))))</f>
        <v/>
      </c>
    </row>
    <row r="81" ht="30" customHeight="1" s="54">
      <c r="B81" s="28">
        <f>IF(AND(OR($C$6="(Todos los procesos)",$C$6='1. Matriz de Activos'!$G$76),OR($C$7="(Todos los tipos)",$C$7='1. Matriz de Activos'!$E$76),OR($C$8="(Todos los subtipos)",$C$8='1. Matriz de Activos'!$F$76)),"Sí","No")</f>
        <v/>
      </c>
      <c r="C81" s="28">
        <f>'1. Matriz de Activos'!$B$76</f>
        <v/>
      </c>
      <c r="D81" s="64">
        <f>'1. Matriz de Activos'!$C$76</f>
        <v/>
      </c>
      <c r="E81" s="28">
        <f>'1. Matriz de Activos'!$G$76</f>
        <v/>
      </c>
      <c r="F81" s="64">
        <f>'1. Matriz de Activos'!$E$76</f>
        <v/>
      </c>
      <c r="G81" s="64">
        <f>'1. Matriz de Activos'!$F$76</f>
        <v/>
      </c>
      <c r="H81" s="28">
        <f>'1. Matriz de Activos'!$T$76</f>
        <v/>
      </c>
      <c r="I81" s="28">
        <f>IF($H81&gt;=4,"Sí","No")</f>
        <v/>
      </c>
      <c r="J81" s="28">
        <f>IF($H81&gt;=4,IFERROR(VLOOKUP($G81,AmenTabla,2,0),0),0)</f>
        <v/>
      </c>
      <c r="K81" s="28">
        <f>COUNTIF('2. Valoración '!$C$6:$C$2261,$C81)</f>
        <v/>
      </c>
      <c r="L81" s="64">
        <f>IF($I81="No","No requiere valoración",IF($K81=0,"FALTA POR COMPLETO — agregar "&amp;$J81&amp;" filas",IF($K81&lt;$J81,"INCOMPLETO — faltan "&amp;($J81-$K81)&amp;" filas",IF($K81&gt;$J81,"REVISAR — hay filas de más","Completo"))))</f>
        <v/>
      </c>
    </row>
    <row r="82" ht="30" customHeight="1" s="54">
      <c r="B82" s="28">
        <f>IF(AND(OR($C$6="(Todos los procesos)",$C$6='1. Matriz de Activos'!$G$77),OR($C$7="(Todos los tipos)",$C$7='1. Matriz de Activos'!$E$77),OR($C$8="(Todos los subtipos)",$C$8='1. Matriz de Activos'!$F$77)),"Sí","No")</f>
        <v/>
      </c>
      <c r="C82" s="28">
        <f>'1. Matriz de Activos'!$B$77</f>
        <v/>
      </c>
      <c r="D82" s="64">
        <f>'1. Matriz de Activos'!$C$77</f>
        <v/>
      </c>
      <c r="E82" s="28">
        <f>'1. Matriz de Activos'!$G$77</f>
        <v/>
      </c>
      <c r="F82" s="64">
        <f>'1. Matriz de Activos'!$E$77</f>
        <v/>
      </c>
      <c r="G82" s="64">
        <f>'1. Matriz de Activos'!$F$77</f>
        <v/>
      </c>
      <c r="H82" s="28">
        <f>'1. Matriz de Activos'!$T$77</f>
        <v/>
      </c>
      <c r="I82" s="28">
        <f>IF($H82&gt;=4,"Sí","No")</f>
        <v/>
      </c>
      <c r="J82" s="28">
        <f>IF($H82&gt;=4,IFERROR(VLOOKUP($G82,AmenTabla,2,0),0),0)</f>
        <v/>
      </c>
      <c r="K82" s="28">
        <f>COUNTIF('2. Valoración '!$C$6:$C$2261,$C82)</f>
        <v/>
      </c>
      <c r="L82" s="64">
        <f>IF($I82="No","No requiere valoración",IF($K82=0,"FALTA POR COMPLETO — agregar "&amp;$J82&amp;" filas",IF($K82&lt;$J82,"INCOMPLETO — faltan "&amp;($J82-$K82)&amp;" filas",IF($K82&gt;$J82,"REVISAR — hay filas de más","Completo"))))</f>
        <v/>
      </c>
    </row>
    <row r="83" ht="30" customHeight="1" s="54">
      <c r="B83" s="28">
        <f>IF(AND(OR($C$6="(Todos los procesos)",$C$6='1. Matriz de Activos'!$G$78),OR($C$7="(Todos los tipos)",$C$7='1. Matriz de Activos'!$E$78),OR($C$8="(Todos los subtipos)",$C$8='1. Matriz de Activos'!$F$78)),"Sí","No")</f>
        <v/>
      </c>
      <c r="C83" s="28">
        <f>'1. Matriz de Activos'!$B$78</f>
        <v/>
      </c>
      <c r="D83" s="64">
        <f>'1. Matriz de Activos'!$C$78</f>
        <v/>
      </c>
      <c r="E83" s="28">
        <f>'1. Matriz de Activos'!$G$78</f>
        <v/>
      </c>
      <c r="F83" s="64">
        <f>'1. Matriz de Activos'!$E$78</f>
        <v/>
      </c>
      <c r="G83" s="64">
        <f>'1. Matriz de Activos'!$F$78</f>
        <v/>
      </c>
      <c r="H83" s="28">
        <f>'1. Matriz de Activos'!$T$78</f>
        <v/>
      </c>
      <c r="I83" s="28">
        <f>IF($H83&gt;=4,"Sí","No")</f>
        <v/>
      </c>
      <c r="J83" s="28">
        <f>IF($H83&gt;=4,IFERROR(VLOOKUP($G83,AmenTabla,2,0),0),0)</f>
        <v/>
      </c>
      <c r="K83" s="28">
        <f>COUNTIF('2. Valoración '!$C$6:$C$2261,$C83)</f>
        <v/>
      </c>
      <c r="L83" s="64">
        <f>IF($I83="No","No requiere valoración",IF($K83=0,"FALTA POR COMPLETO — agregar "&amp;$J83&amp;" filas",IF($K83&lt;$J83,"INCOMPLETO — faltan "&amp;($J83-$K83)&amp;" filas",IF($K83&gt;$J83,"REVISAR — hay filas de más","Completo"))))</f>
        <v/>
      </c>
    </row>
    <row r="84" ht="30" customHeight="1" s="54">
      <c r="B84" s="28">
        <f>IF(AND(OR($C$6="(Todos los procesos)",$C$6='1. Matriz de Activos'!$G$79),OR($C$7="(Todos los tipos)",$C$7='1. Matriz de Activos'!$E$79),OR($C$8="(Todos los subtipos)",$C$8='1. Matriz de Activos'!$F$79)),"Sí","No")</f>
        <v/>
      </c>
      <c r="C84" s="28">
        <f>'1. Matriz de Activos'!$B$79</f>
        <v/>
      </c>
      <c r="D84" s="64">
        <f>'1. Matriz de Activos'!$C$79</f>
        <v/>
      </c>
      <c r="E84" s="28">
        <f>'1. Matriz de Activos'!$G$79</f>
        <v/>
      </c>
      <c r="F84" s="64">
        <f>'1. Matriz de Activos'!$E$79</f>
        <v/>
      </c>
      <c r="G84" s="64">
        <f>'1. Matriz de Activos'!$F$79</f>
        <v/>
      </c>
      <c r="H84" s="28">
        <f>'1. Matriz de Activos'!$T$79</f>
        <v/>
      </c>
      <c r="I84" s="28">
        <f>IF($H84&gt;=4,"Sí","No")</f>
        <v/>
      </c>
      <c r="J84" s="28">
        <f>IF($H84&gt;=4,IFERROR(VLOOKUP($G84,AmenTabla,2,0),0),0)</f>
        <v/>
      </c>
      <c r="K84" s="28">
        <f>COUNTIF('2. Valoración '!$C$6:$C$2261,$C84)</f>
        <v/>
      </c>
      <c r="L84" s="64">
        <f>IF($I84="No","No requiere valoración",IF($K84=0,"FALTA POR COMPLETO — agregar "&amp;$J84&amp;" filas",IF($K84&lt;$J84,"INCOMPLETO — faltan "&amp;($J84-$K84)&amp;" filas",IF($K84&gt;$J84,"REVISAR — hay filas de más","Completo"))))</f>
        <v/>
      </c>
    </row>
    <row r="85" ht="45" customHeight="1" s="54">
      <c r="B85" s="28">
        <f>IF(AND(OR($C$6="(Todos los procesos)",$C$6='1. Matriz de Activos'!$G$80),OR($C$7="(Todos los tipos)",$C$7='1. Matriz de Activos'!$E$80),OR($C$8="(Todos los subtipos)",$C$8='1. Matriz de Activos'!$F$80)),"Sí","No")</f>
        <v/>
      </c>
      <c r="C85" s="28">
        <f>'1. Matriz de Activos'!$B$80</f>
        <v/>
      </c>
      <c r="D85" s="64">
        <f>'1. Matriz de Activos'!$C$80</f>
        <v/>
      </c>
      <c r="E85" s="28">
        <f>'1. Matriz de Activos'!$G$80</f>
        <v/>
      </c>
      <c r="F85" s="64">
        <f>'1. Matriz de Activos'!$E$80</f>
        <v/>
      </c>
      <c r="G85" s="64">
        <f>'1. Matriz de Activos'!$F$80</f>
        <v/>
      </c>
      <c r="H85" s="28">
        <f>'1. Matriz de Activos'!$T$80</f>
        <v/>
      </c>
      <c r="I85" s="28">
        <f>IF($H85&gt;=4,"Sí","No")</f>
        <v/>
      </c>
      <c r="J85" s="28">
        <f>IF($H85&gt;=4,IFERROR(VLOOKUP($G85,AmenTabla,2,0),0),0)</f>
        <v/>
      </c>
      <c r="K85" s="28">
        <f>COUNTIF('2. Valoración '!$C$6:$C$2261,$C85)</f>
        <v/>
      </c>
      <c r="L85" s="64">
        <f>IF($I85="No","No requiere valoración",IF($K85=0,"FALTA POR COMPLETO — agregar "&amp;$J85&amp;" filas",IF($K85&lt;$J85,"INCOMPLETO — faltan "&amp;($J85-$K85)&amp;" filas",IF($K85&gt;$J85,"REVISAR — hay filas de más","Completo"))))</f>
        <v/>
      </c>
    </row>
    <row r="86" ht="30" customHeight="1" s="54">
      <c r="B86" s="28">
        <f>IF(AND(OR($C$6="(Todos los procesos)",$C$6='1. Matriz de Activos'!$G$81),OR($C$7="(Todos los tipos)",$C$7='1. Matriz de Activos'!$E$81),OR($C$8="(Todos los subtipos)",$C$8='1. Matriz de Activos'!$F$81)),"Sí","No")</f>
        <v/>
      </c>
      <c r="C86" s="28">
        <f>'1. Matriz de Activos'!$B$81</f>
        <v/>
      </c>
      <c r="D86" s="64">
        <f>'1. Matriz de Activos'!$C$81</f>
        <v/>
      </c>
      <c r="E86" s="28">
        <f>'1. Matriz de Activos'!$G$81</f>
        <v/>
      </c>
      <c r="F86" s="64">
        <f>'1. Matriz de Activos'!$E$81</f>
        <v/>
      </c>
      <c r="G86" s="64">
        <f>'1. Matriz de Activos'!$F$81</f>
        <v/>
      </c>
      <c r="H86" s="28">
        <f>'1. Matriz de Activos'!$T$81</f>
        <v/>
      </c>
      <c r="I86" s="28">
        <f>IF($H86&gt;=4,"Sí","No")</f>
        <v/>
      </c>
      <c r="J86" s="28">
        <f>IF($H86&gt;=4,IFERROR(VLOOKUP($G86,AmenTabla,2,0),0),0)</f>
        <v/>
      </c>
      <c r="K86" s="28">
        <f>COUNTIF('2. Valoración '!$C$6:$C$2261,$C86)</f>
        <v/>
      </c>
      <c r="L86" s="64">
        <f>IF($I86="No","No requiere valoración",IF($K86=0,"FALTA POR COMPLETO — agregar "&amp;$J86&amp;" filas",IF($K86&lt;$J86,"INCOMPLETO — faltan "&amp;($J86-$K86)&amp;" filas",IF($K86&gt;$J86,"REVISAR — hay filas de más","Completo"))))</f>
        <v/>
      </c>
    </row>
    <row r="87" ht="45" customHeight="1" s="54">
      <c r="B87" s="28">
        <f>IF(AND(OR($C$6="(Todos los procesos)",$C$6='1. Matriz de Activos'!$G$82),OR($C$7="(Todos los tipos)",$C$7='1. Matriz de Activos'!$E$82),OR($C$8="(Todos los subtipos)",$C$8='1. Matriz de Activos'!$F$82)),"Sí","No")</f>
        <v/>
      </c>
      <c r="C87" s="28">
        <f>'1. Matriz de Activos'!$B$82</f>
        <v/>
      </c>
      <c r="D87" s="64">
        <f>'1. Matriz de Activos'!$C$82</f>
        <v/>
      </c>
      <c r="E87" s="28">
        <f>'1. Matriz de Activos'!$G$82</f>
        <v/>
      </c>
      <c r="F87" s="64">
        <f>'1. Matriz de Activos'!$E$82</f>
        <v/>
      </c>
      <c r="G87" s="64">
        <f>'1. Matriz de Activos'!$F$82</f>
        <v/>
      </c>
      <c r="H87" s="28">
        <f>'1. Matriz de Activos'!$T$82</f>
        <v/>
      </c>
      <c r="I87" s="28">
        <f>IF($H87&gt;=4,"Sí","No")</f>
        <v/>
      </c>
      <c r="J87" s="28">
        <f>IF($H87&gt;=4,IFERROR(VLOOKUP($G87,AmenTabla,2,0),0),0)</f>
        <v/>
      </c>
      <c r="K87" s="28">
        <f>COUNTIF('2. Valoración '!$C$6:$C$2261,$C87)</f>
        <v/>
      </c>
      <c r="L87" s="64">
        <f>IF($I87="No","No requiere valoración",IF($K87=0,"FALTA POR COMPLETO — agregar "&amp;$J87&amp;" filas",IF($K87&lt;$J87,"INCOMPLETO — faltan "&amp;($J87-$K87)&amp;" filas",IF($K87&gt;$J87,"REVISAR — hay filas de más","Completo"))))</f>
        <v/>
      </c>
    </row>
    <row r="88" ht="30" customHeight="1" s="54">
      <c r="B88" s="28">
        <f>IF(AND(OR($C$6="(Todos los procesos)",$C$6='1. Matriz de Activos'!$G$83),OR($C$7="(Todos los tipos)",$C$7='1. Matriz de Activos'!$E$83),OR($C$8="(Todos los subtipos)",$C$8='1. Matriz de Activos'!$F$83)),"Sí","No")</f>
        <v/>
      </c>
      <c r="C88" s="28">
        <f>'1. Matriz de Activos'!$B$83</f>
        <v/>
      </c>
      <c r="D88" s="64">
        <f>'1. Matriz de Activos'!$C$83</f>
        <v/>
      </c>
      <c r="E88" s="28">
        <f>'1. Matriz de Activos'!$G$83</f>
        <v/>
      </c>
      <c r="F88" s="64">
        <f>'1. Matriz de Activos'!$E$83</f>
        <v/>
      </c>
      <c r="G88" s="64">
        <f>'1. Matriz de Activos'!$F$83</f>
        <v/>
      </c>
      <c r="H88" s="28">
        <f>'1. Matriz de Activos'!$T$83</f>
        <v/>
      </c>
      <c r="I88" s="28">
        <f>IF($H88&gt;=4,"Sí","No")</f>
        <v/>
      </c>
      <c r="J88" s="28">
        <f>IF($H88&gt;=4,IFERROR(VLOOKUP($G88,AmenTabla,2,0),0),0)</f>
        <v/>
      </c>
      <c r="K88" s="28">
        <f>COUNTIF('2. Valoración '!$C$6:$C$2261,$C88)</f>
        <v/>
      </c>
      <c r="L88" s="64">
        <f>IF($I88="No","No requiere valoración",IF($K88=0,"FALTA POR COMPLETO — agregar "&amp;$J88&amp;" filas",IF($K88&lt;$J88,"INCOMPLETO — faltan "&amp;($J88-$K88)&amp;" filas",IF($K88&gt;$J88,"REVISAR — hay filas de más","Completo"))))</f>
        <v/>
      </c>
    </row>
    <row r="89" ht="30" customHeight="1" s="54">
      <c r="B89" s="28">
        <f>IF(AND(OR($C$6="(Todos los procesos)",$C$6='1. Matriz de Activos'!$G$84),OR($C$7="(Todos los tipos)",$C$7='1. Matriz de Activos'!$E$84),OR($C$8="(Todos los subtipos)",$C$8='1. Matriz de Activos'!$F$84)),"Sí","No")</f>
        <v/>
      </c>
      <c r="C89" s="28">
        <f>'1. Matriz de Activos'!$B$84</f>
        <v/>
      </c>
      <c r="D89" s="64">
        <f>'1. Matriz de Activos'!$C$84</f>
        <v/>
      </c>
      <c r="E89" s="28">
        <f>'1. Matriz de Activos'!$G$84</f>
        <v/>
      </c>
      <c r="F89" s="64">
        <f>'1. Matriz de Activos'!$E$84</f>
        <v/>
      </c>
      <c r="G89" s="64">
        <f>'1. Matriz de Activos'!$F$84</f>
        <v/>
      </c>
      <c r="H89" s="28">
        <f>'1. Matriz de Activos'!$T$84</f>
        <v/>
      </c>
      <c r="I89" s="28">
        <f>IF($H89&gt;=4,"Sí","No")</f>
        <v/>
      </c>
      <c r="J89" s="28">
        <f>IF($H89&gt;=4,IFERROR(VLOOKUP($G89,AmenTabla,2,0),0),0)</f>
        <v/>
      </c>
      <c r="K89" s="28">
        <f>COUNTIF('2. Valoración '!$C$6:$C$2261,$C89)</f>
        <v/>
      </c>
      <c r="L89" s="64">
        <f>IF($I89="No","No requiere valoración",IF($K89=0,"FALTA POR COMPLETO — agregar "&amp;$J89&amp;" filas",IF($K89&lt;$J89,"INCOMPLETO — faltan "&amp;($J89-$K89)&amp;" filas",IF($K89&gt;$J89,"REVISAR — hay filas de más","Completo"))))</f>
        <v/>
      </c>
    </row>
    <row r="90" ht="45" customHeight="1" s="54">
      <c r="B90" s="28">
        <f>IF(AND(OR($C$6="(Todos los procesos)",$C$6='1. Matriz de Activos'!$G$85),OR($C$7="(Todos los tipos)",$C$7='1. Matriz de Activos'!$E$85),OR($C$8="(Todos los subtipos)",$C$8='1. Matriz de Activos'!$F$85)),"Sí","No")</f>
        <v/>
      </c>
      <c r="C90" s="28">
        <f>'1. Matriz de Activos'!$B$85</f>
        <v/>
      </c>
      <c r="D90" s="64">
        <f>'1. Matriz de Activos'!$C$85</f>
        <v/>
      </c>
      <c r="E90" s="28">
        <f>'1. Matriz de Activos'!$G$85</f>
        <v/>
      </c>
      <c r="F90" s="64">
        <f>'1. Matriz de Activos'!$E$85</f>
        <v/>
      </c>
      <c r="G90" s="64">
        <f>'1. Matriz de Activos'!$F$85</f>
        <v/>
      </c>
      <c r="H90" s="28">
        <f>'1. Matriz de Activos'!$T$85</f>
        <v/>
      </c>
      <c r="I90" s="28">
        <f>IF($H90&gt;=4,"Sí","No")</f>
        <v/>
      </c>
      <c r="J90" s="28">
        <f>IF($H90&gt;=4,IFERROR(VLOOKUP($G90,AmenTabla,2,0),0),0)</f>
        <v/>
      </c>
      <c r="K90" s="28">
        <f>COUNTIF('2. Valoración '!$C$6:$C$2261,$C90)</f>
        <v/>
      </c>
      <c r="L90" s="64">
        <f>IF($I90="No","No requiere valoración",IF($K90=0,"FALTA POR COMPLETO — agregar "&amp;$J90&amp;" filas",IF($K90&lt;$J90,"INCOMPLETO — faltan "&amp;($J90-$K90)&amp;" filas",IF($K90&gt;$J90,"REVISAR — hay filas de más","Completo"))))</f>
        <v/>
      </c>
    </row>
    <row r="91" ht="15" customHeight="1" s="54">
      <c r="B91" s="28">
        <f>IF(AND(OR($C$6="(Todos los procesos)",$C$6='1. Matriz de Activos'!$G$86),OR($C$7="(Todos los tipos)",$C$7='1. Matriz de Activos'!$E$86),OR($C$8="(Todos los subtipos)",$C$8='1. Matriz de Activos'!$F$86)),"Sí","No")</f>
        <v/>
      </c>
      <c r="C91" s="28">
        <f>'1. Matriz de Activos'!$B$86</f>
        <v/>
      </c>
      <c r="D91" s="64">
        <f>'1. Matriz de Activos'!$C$86</f>
        <v/>
      </c>
      <c r="E91" s="28">
        <f>'1. Matriz de Activos'!$G$86</f>
        <v/>
      </c>
      <c r="F91" s="64">
        <f>'1. Matriz de Activos'!$E$86</f>
        <v/>
      </c>
      <c r="G91" s="64">
        <f>'1. Matriz de Activos'!$F$86</f>
        <v/>
      </c>
      <c r="H91" s="28">
        <f>'1. Matriz de Activos'!$T$86</f>
        <v/>
      </c>
      <c r="I91" s="28">
        <f>IF($H91&gt;=4,"Sí","No")</f>
        <v/>
      </c>
      <c r="J91" s="28">
        <f>IF($H91&gt;=4,IFERROR(VLOOKUP($G91,AmenTabla,2,0),0),0)</f>
        <v/>
      </c>
      <c r="K91" s="28">
        <f>COUNTIF('2. Valoración '!$C$6:$C$2261,$C91)</f>
        <v/>
      </c>
      <c r="L91" s="64">
        <f>IF($I91="No","No requiere valoración",IF($K91=0,"FALTA POR COMPLETO — agregar "&amp;$J91&amp;" filas",IF($K91&lt;$J91,"INCOMPLETO — faltan "&amp;($J91-$K91)&amp;" filas",IF($K91&gt;$J91,"REVISAR — hay filas de más","Completo"))))</f>
        <v/>
      </c>
    </row>
    <row r="92" ht="15" customHeight="1" s="54">
      <c r="B92" s="28">
        <f>IF(AND(OR($C$6="(Todos los procesos)",$C$6='1. Matriz de Activos'!$G$87),OR($C$7="(Todos los tipos)",$C$7='1. Matriz de Activos'!$E$87),OR($C$8="(Todos los subtipos)",$C$8='1. Matriz de Activos'!$F$87)),"Sí","No")</f>
        <v/>
      </c>
      <c r="C92" s="28">
        <f>'1. Matriz de Activos'!$B$87</f>
        <v/>
      </c>
      <c r="D92" s="64">
        <f>'1. Matriz de Activos'!$C$87</f>
        <v/>
      </c>
      <c r="E92" s="28">
        <f>'1. Matriz de Activos'!$G$87</f>
        <v/>
      </c>
      <c r="F92" s="64">
        <f>'1. Matriz de Activos'!$E$87</f>
        <v/>
      </c>
      <c r="G92" s="64">
        <f>'1. Matriz de Activos'!$F$87</f>
        <v/>
      </c>
      <c r="H92" s="28">
        <f>'1. Matriz de Activos'!$T$87</f>
        <v/>
      </c>
      <c r="I92" s="28">
        <f>IF($H92&gt;=4,"Sí","No")</f>
        <v/>
      </c>
      <c r="J92" s="28">
        <f>IF($H92&gt;=4,IFERROR(VLOOKUP($G92,AmenTabla,2,0),0),0)</f>
        <v/>
      </c>
      <c r="K92" s="28">
        <f>COUNTIF('2. Valoración '!$C$6:$C$2261,$C92)</f>
        <v/>
      </c>
      <c r="L92" s="64">
        <f>IF($I92="No","No requiere valoración",IF($K92=0,"FALTA POR COMPLETO — agregar "&amp;$J92&amp;" filas",IF($K92&lt;$J92,"INCOMPLETO — faltan "&amp;($J92-$K92)&amp;" filas",IF($K92&gt;$J92,"REVISAR — hay filas de más","Completo"))))</f>
        <v/>
      </c>
    </row>
    <row r="93" ht="15" customHeight="1" s="54">
      <c r="B93" s="28">
        <f>IF(AND(OR($C$6="(Todos los procesos)",$C$6='1. Matriz de Activos'!$G$88),OR($C$7="(Todos los tipos)",$C$7='1. Matriz de Activos'!$E$88),OR($C$8="(Todos los subtipos)",$C$8='1. Matriz de Activos'!$F$88)),"Sí","No")</f>
        <v/>
      </c>
      <c r="C93" s="28">
        <f>'1. Matriz de Activos'!$B$88</f>
        <v/>
      </c>
      <c r="D93" s="64">
        <f>'1. Matriz de Activos'!$C$88</f>
        <v/>
      </c>
      <c r="E93" s="28">
        <f>'1. Matriz de Activos'!$G$88</f>
        <v/>
      </c>
      <c r="F93" s="64">
        <f>'1. Matriz de Activos'!$E$88</f>
        <v/>
      </c>
      <c r="G93" s="64">
        <f>'1. Matriz de Activos'!$F$88</f>
        <v/>
      </c>
      <c r="H93" s="28">
        <f>'1. Matriz de Activos'!$T$88</f>
        <v/>
      </c>
      <c r="I93" s="28">
        <f>IF($H93&gt;=4,"Sí","No")</f>
        <v/>
      </c>
      <c r="J93" s="28">
        <f>IF($H93&gt;=4,IFERROR(VLOOKUP($G93,AmenTabla,2,0),0),0)</f>
        <v/>
      </c>
      <c r="K93" s="28">
        <f>COUNTIF('2. Valoración '!$C$6:$C$2261,$C93)</f>
        <v/>
      </c>
      <c r="L93" s="64">
        <f>IF($I93="No","No requiere valoración",IF($K93=0,"FALTA POR COMPLETO — agregar "&amp;$J93&amp;" filas",IF($K93&lt;$J93,"INCOMPLETO — faltan "&amp;($J93-$K93)&amp;" filas",IF($K93&gt;$J93,"REVISAR — hay filas de más","Completo"))))</f>
        <v/>
      </c>
    </row>
    <row r="94" ht="30" customHeight="1" s="54">
      <c r="B94" s="28">
        <f>IF(AND(OR($C$6="(Todos los procesos)",$C$6='1. Matriz de Activos'!$G$89),OR($C$7="(Todos los tipos)",$C$7='1. Matriz de Activos'!$E$89),OR($C$8="(Todos los subtipos)",$C$8='1. Matriz de Activos'!$F$89)),"Sí","No")</f>
        <v/>
      </c>
      <c r="C94" s="28">
        <f>'1. Matriz de Activos'!$B$89</f>
        <v/>
      </c>
      <c r="D94" s="64">
        <f>'1. Matriz de Activos'!$C$89</f>
        <v/>
      </c>
      <c r="E94" s="28">
        <f>'1. Matriz de Activos'!$G$89</f>
        <v/>
      </c>
      <c r="F94" s="64">
        <f>'1. Matriz de Activos'!$E$89</f>
        <v/>
      </c>
      <c r="G94" s="64">
        <f>'1. Matriz de Activos'!$F$89</f>
        <v/>
      </c>
      <c r="H94" s="28">
        <f>'1. Matriz de Activos'!$T$89</f>
        <v/>
      </c>
      <c r="I94" s="28">
        <f>IF($H94&gt;=4,"Sí","No")</f>
        <v/>
      </c>
      <c r="J94" s="28">
        <f>IF($H94&gt;=4,IFERROR(VLOOKUP($G94,AmenTabla,2,0),0),0)</f>
        <v/>
      </c>
      <c r="K94" s="28">
        <f>COUNTIF('2. Valoración '!$C$6:$C$2261,$C94)</f>
        <v/>
      </c>
      <c r="L94" s="64">
        <f>IF($I94="No","No requiere valoración",IF($K94=0,"FALTA POR COMPLETO — agregar "&amp;$J94&amp;" filas",IF($K94&lt;$J94,"INCOMPLETO — faltan "&amp;($J94-$K94)&amp;" filas",IF($K94&gt;$J94,"REVISAR — hay filas de más","Completo"))))</f>
        <v/>
      </c>
    </row>
    <row r="95" ht="30" customHeight="1" s="54">
      <c r="B95" s="28">
        <f>IF(AND(OR($C$6="(Todos los procesos)",$C$6='1. Matriz de Activos'!$G$90),OR($C$7="(Todos los tipos)",$C$7='1. Matriz de Activos'!$E$90),OR($C$8="(Todos los subtipos)",$C$8='1. Matriz de Activos'!$F$90)),"Sí","No")</f>
        <v/>
      </c>
      <c r="C95" s="28">
        <f>'1. Matriz de Activos'!$B$90</f>
        <v/>
      </c>
      <c r="D95" s="64">
        <f>'1. Matriz de Activos'!$C$90</f>
        <v/>
      </c>
      <c r="E95" s="28">
        <f>'1. Matriz de Activos'!$G$90</f>
        <v/>
      </c>
      <c r="F95" s="64">
        <f>'1. Matriz de Activos'!$E$90</f>
        <v/>
      </c>
      <c r="G95" s="64">
        <f>'1. Matriz de Activos'!$F$90</f>
        <v/>
      </c>
      <c r="H95" s="28">
        <f>'1. Matriz de Activos'!$T$90</f>
        <v/>
      </c>
      <c r="I95" s="28">
        <f>IF($H95&gt;=4,"Sí","No")</f>
        <v/>
      </c>
      <c r="J95" s="28">
        <f>IF($H95&gt;=4,IFERROR(VLOOKUP($G95,AmenTabla,2,0),0),0)</f>
        <v/>
      </c>
      <c r="K95" s="28">
        <f>COUNTIF('2. Valoración '!$C$6:$C$2261,$C95)</f>
        <v/>
      </c>
      <c r="L95" s="64">
        <f>IF($I95="No","No requiere valoración",IF($K95=0,"FALTA POR COMPLETO — agregar "&amp;$J95&amp;" filas",IF($K95&lt;$J95,"INCOMPLETO — faltan "&amp;($J95-$K95)&amp;" filas",IF($K95&gt;$J95,"REVISAR — hay filas de más","Completo"))))</f>
        <v/>
      </c>
    </row>
    <row r="96" ht="15" customHeight="1" s="54">
      <c r="B96" s="28">
        <f>IF(AND(OR($C$6="(Todos los procesos)",$C$6='1. Matriz de Activos'!$G$91),OR($C$7="(Todos los tipos)",$C$7='1. Matriz de Activos'!$E$91),OR($C$8="(Todos los subtipos)",$C$8='1. Matriz de Activos'!$F$91)),"Sí","No")</f>
        <v/>
      </c>
      <c r="C96" s="28">
        <f>'1. Matriz de Activos'!$B$91</f>
        <v/>
      </c>
      <c r="D96" s="64">
        <f>'1. Matriz de Activos'!$C$91</f>
        <v/>
      </c>
      <c r="E96" s="28">
        <f>'1. Matriz de Activos'!$G$91</f>
        <v/>
      </c>
      <c r="F96" s="64">
        <f>'1. Matriz de Activos'!$E$91</f>
        <v/>
      </c>
      <c r="G96" s="64">
        <f>'1. Matriz de Activos'!$F$91</f>
        <v/>
      </c>
      <c r="H96" s="28">
        <f>'1. Matriz de Activos'!$T$91</f>
        <v/>
      </c>
      <c r="I96" s="28">
        <f>IF($H96&gt;=4,"Sí","No")</f>
        <v/>
      </c>
      <c r="J96" s="28">
        <f>IF($H96&gt;=4,IFERROR(VLOOKUP($G96,AmenTabla,2,0),0),0)</f>
        <v/>
      </c>
      <c r="K96" s="28">
        <f>COUNTIF('2. Valoración '!$C$6:$C$2261,$C96)</f>
        <v/>
      </c>
      <c r="L96" s="64">
        <f>IF($I96="No","No requiere valoración",IF($K96=0,"FALTA POR COMPLETO — agregar "&amp;$J96&amp;" filas",IF($K96&lt;$J96,"INCOMPLETO — faltan "&amp;($J96-$K96)&amp;" filas",IF($K96&gt;$J96,"REVISAR — hay filas de más","Completo"))))</f>
        <v/>
      </c>
    </row>
    <row r="97" ht="30" customHeight="1" s="54">
      <c r="B97" s="28">
        <f>IF(AND(OR($C$6="(Todos los procesos)",$C$6='1. Matriz de Activos'!$G$92),OR($C$7="(Todos los tipos)",$C$7='1. Matriz de Activos'!$E$92),OR($C$8="(Todos los subtipos)",$C$8='1. Matriz de Activos'!$F$92)),"Sí","No")</f>
        <v/>
      </c>
      <c r="C97" s="28">
        <f>'1. Matriz de Activos'!$B$92</f>
        <v/>
      </c>
      <c r="D97" s="64">
        <f>'1. Matriz de Activos'!$C$92</f>
        <v/>
      </c>
      <c r="E97" s="28">
        <f>'1. Matriz de Activos'!$G$92</f>
        <v/>
      </c>
      <c r="F97" s="64">
        <f>'1. Matriz de Activos'!$E$92</f>
        <v/>
      </c>
      <c r="G97" s="64">
        <f>'1. Matriz de Activos'!$F$92</f>
        <v/>
      </c>
      <c r="H97" s="28">
        <f>'1. Matriz de Activos'!$T$92</f>
        <v/>
      </c>
      <c r="I97" s="28">
        <f>IF($H97&gt;=4,"Sí","No")</f>
        <v/>
      </c>
      <c r="J97" s="28">
        <f>IF($H97&gt;=4,IFERROR(VLOOKUP($G97,AmenTabla,2,0),0),0)</f>
        <v/>
      </c>
      <c r="K97" s="28">
        <f>COUNTIF('2. Valoración '!$C$6:$C$2261,$C97)</f>
        <v/>
      </c>
      <c r="L97" s="64">
        <f>IF($I97="No","No requiere valoración",IF($K97=0,"FALTA POR COMPLETO — agregar "&amp;$J97&amp;" filas",IF($K97&lt;$J97,"INCOMPLETO — faltan "&amp;($J97-$K97)&amp;" filas",IF($K97&gt;$J97,"REVISAR — hay filas de más","Completo"))))</f>
        <v/>
      </c>
    </row>
    <row r="98" ht="30" customHeight="1" s="54">
      <c r="B98" s="28">
        <f>IF(AND(OR($C$6="(Todos los procesos)",$C$6='1. Matriz de Activos'!$G$93),OR($C$7="(Todos los tipos)",$C$7='1. Matriz de Activos'!$E$93),OR($C$8="(Todos los subtipos)",$C$8='1. Matriz de Activos'!$F$93)),"Sí","No")</f>
        <v/>
      </c>
      <c r="C98" s="28">
        <f>'1. Matriz de Activos'!$B$93</f>
        <v/>
      </c>
      <c r="D98" s="64">
        <f>'1. Matriz de Activos'!$C$93</f>
        <v/>
      </c>
      <c r="E98" s="28">
        <f>'1. Matriz de Activos'!$G$93</f>
        <v/>
      </c>
      <c r="F98" s="64">
        <f>'1. Matriz de Activos'!$E$93</f>
        <v/>
      </c>
      <c r="G98" s="64">
        <f>'1. Matriz de Activos'!$F$93</f>
        <v/>
      </c>
      <c r="H98" s="28">
        <f>'1. Matriz de Activos'!$T$93</f>
        <v/>
      </c>
      <c r="I98" s="28">
        <f>IF($H98&gt;=4,"Sí","No")</f>
        <v/>
      </c>
      <c r="J98" s="28">
        <f>IF($H98&gt;=4,IFERROR(VLOOKUP($G98,AmenTabla,2,0),0),0)</f>
        <v/>
      </c>
      <c r="K98" s="28">
        <f>COUNTIF('2. Valoración '!$C$6:$C$2261,$C98)</f>
        <v/>
      </c>
      <c r="L98" s="64">
        <f>IF($I98="No","No requiere valoración",IF($K98=0,"FALTA POR COMPLETO — agregar "&amp;$J98&amp;" filas",IF($K98&lt;$J98,"INCOMPLETO — faltan "&amp;($J98-$K98)&amp;" filas",IF($K98&gt;$J98,"REVISAR — hay filas de más","Completo"))))</f>
        <v/>
      </c>
    </row>
    <row r="99" ht="30" customHeight="1" s="54">
      <c r="B99" s="28">
        <f>IF(AND(OR($C$6="(Todos los procesos)",$C$6='1. Matriz de Activos'!$G$94),OR($C$7="(Todos los tipos)",$C$7='1. Matriz de Activos'!$E$94),OR($C$8="(Todos los subtipos)",$C$8='1. Matriz de Activos'!$F$94)),"Sí","No")</f>
        <v/>
      </c>
      <c r="C99" s="28">
        <f>'1. Matriz de Activos'!$B$94</f>
        <v/>
      </c>
      <c r="D99" s="64">
        <f>'1. Matriz de Activos'!$C$94</f>
        <v/>
      </c>
      <c r="E99" s="28">
        <f>'1. Matriz de Activos'!$G$94</f>
        <v/>
      </c>
      <c r="F99" s="64">
        <f>'1. Matriz de Activos'!$E$94</f>
        <v/>
      </c>
      <c r="G99" s="64">
        <f>'1. Matriz de Activos'!$F$94</f>
        <v/>
      </c>
      <c r="H99" s="28">
        <f>'1. Matriz de Activos'!$T$94</f>
        <v/>
      </c>
      <c r="I99" s="28">
        <f>IF($H99&gt;=4,"Sí","No")</f>
        <v/>
      </c>
      <c r="J99" s="28">
        <f>IF($H99&gt;=4,IFERROR(VLOOKUP($G99,AmenTabla,2,0),0),0)</f>
        <v/>
      </c>
      <c r="K99" s="28">
        <f>COUNTIF('2. Valoración '!$C$6:$C$2261,$C99)</f>
        <v/>
      </c>
      <c r="L99" s="64">
        <f>IF($I99="No","No requiere valoración",IF($K99=0,"FALTA POR COMPLETO — agregar "&amp;$J99&amp;" filas",IF($K99&lt;$J99,"INCOMPLETO — faltan "&amp;($J99-$K99)&amp;" filas",IF($K99&gt;$J99,"REVISAR — hay filas de más","Completo"))))</f>
        <v/>
      </c>
    </row>
    <row r="100" ht="15" customHeight="1" s="54">
      <c r="B100" s="28">
        <f>IF(AND(OR($C$6="(Todos los procesos)",$C$6='1. Matriz de Activos'!$G$95),OR($C$7="(Todos los tipos)",$C$7='1. Matriz de Activos'!$E$95),OR($C$8="(Todos los subtipos)",$C$8='1. Matriz de Activos'!$F$95)),"Sí","No")</f>
        <v/>
      </c>
      <c r="C100" s="28">
        <f>'1. Matriz de Activos'!$B$95</f>
        <v/>
      </c>
      <c r="D100" s="64">
        <f>'1. Matriz de Activos'!$C$95</f>
        <v/>
      </c>
      <c r="E100" s="28">
        <f>'1. Matriz de Activos'!$G$95</f>
        <v/>
      </c>
      <c r="F100" s="64">
        <f>'1. Matriz de Activos'!$E$95</f>
        <v/>
      </c>
      <c r="G100" s="64">
        <f>'1. Matriz de Activos'!$F$95</f>
        <v/>
      </c>
      <c r="H100" s="28">
        <f>'1. Matriz de Activos'!$T$95</f>
        <v/>
      </c>
      <c r="I100" s="28">
        <f>IF($H100&gt;=4,"Sí","No")</f>
        <v/>
      </c>
      <c r="J100" s="28">
        <f>IF($H100&gt;=4,IFERROR(VLOOKUP($G100,AmenTabla,2,0),0),0)</f>
        <v/>
      </c>
      <c r="K100" s="28">
        <f>COUNTIF('2. Valoración '!$C$6:$C$2261,$C100)</f>
        <v/>
      </c>
      <c r="L100" s="64">
        <f>IF($I100="No","No requiere valoración",IF($K100=0,"FALTA POR COMPLETO — agregar "&amp;$J100&amp;" filas",IF($K100&lt;$J100,"INCOMPLETO — faltan "&amp;($J100-$K100)&amp;" filas",IF($K100&gt;$J100,"REVISAR — hay filas de más","Completo"))))</f>
        <v/>
      </c>
    </row>
    <row r="101" ht="15" customHeight="1" s="54">
      <c r="B101" s="28">
        <f>IF(AND(OR($C$6="(Todos los procesos)",$C$6='1. Matriz de Activos'!$G$96),OR($C$7="(Todos los tipos)",$C$7='1. Matriz de Activos'!$E$96),OR($C$8="(Todos los subtipos)",$C$8='1. Matriz de Activos'!$F$96)),"Sí","No")</f>
        <v/>
      </c>
      <c r="C101" s="28">
        <f>'1. Matriz de Activos'!$B$96</f>
        <v/>
      </c>
      <c r="D101" s="64">
        <f>'1. Matriz de Activos'!$C$96</f>
        <v/>
      </c>
      <c r="E101" s="28">
        <f>'1. Matriz de Activos'!$G$96</f>
        <v/>
      </c>
      <c r="F101" s="64">
        <f>'1. Matriz de Activos'!$E$96</f>
        <v/>
      </c>
      <c r="G101" s="64">
        <f>'1. Matriz de Activos'!$F$96</f>
        <v/>
      </c>
      <c r="H101" s="28">
        <f>'1. Matriz de Activos'!$T$96</f>
        <v/>
      </c>
      <c r="I101" s="28">
        <f>IF($H101&gt;=4,"Sí","No")</f>
        <v/>
      </c>
      <c r="J101" s="28">
        <f>IF($H101&gt;=4,IFERROR(VLOOKUP($G101,AmenTabla,2,0),0),0)</f>
        <v/>
      </c>
      <c r="K101" s="28">
        <f>COUNTIF('2. Valoración '!$C$6:$C$2261,$C101)</f>
        <v/>
      </c>
      <c r="L101" s="64">
        <f>IF($I101="No","No requiere valoración",IF($K101=0,"FALTA POR COMPLETO — agregar "&amp;$J101&amp;" filas",IF($K101&lt;$J101,"INCOMPLETO — faltan "&amp;($J101-$K101)&amp;" filas",IF($K101&gt;$J101,"REVISAR — hay filas de más","Completo"))))</f>
        <v/>
      </c>
    </row>
    <row r="102" ht="15" customHeight="1" s="54">
      <c r="B102" s="28">
        <f>IF(AND(OR($C$6="(Todos los procesos)",$C$6='1. Matriz de Activos'!$G$97),OR($C$7="(Todos los tipos)",$C$7='1. Matriz de Activos'!$E$97),OR($C$8="(Todos los subtipos)",$C$8='1. Matriz de Activos'!$F$97)),"Sí","No")</f>
        <v/>
      </c>
      <c r="C102" s="28">
        <f>'1. Matriz de Activos'!$B$97</f>
        <v/>
      </c>
      <c r="D102" s="64">
        <f>'1. Matriz de Activos'!$C$97</f>
        <v/>
      </c>
      <c r="E102" s="28">
        <f>'1. Matriz de Activos'!$G$97</f>
        <v/>
      </c>
      <c r="F102" s="64">
        <f>'1. Matriz de Activos'!$E$97</f>
        <v/>
      </c>
      <c r="G102" s="64">
        <f>'1. Matriz de Activos'!$F$97</f>
        <v/>
      </c>
      <c r="H102" s="28">
        <f>'1. Matriz de Activos'!$T$97</f>
        <v/>
      </c>
      <c r="I102" s="28">
        <f>IF($H102&gt;=4,"Sí","No")</f>
        <v/>
      </c>
      <c r="J102" s="28">
        <f>IF($H102&gt;=4,IFERROR(VLOOKUP($G102,AmenTabla,2,0),0),0)</f>
        <v/>
      </c>
      <c r="K102" s="28">
        <f>COUNTIF('2. Valoración '!$C$6:$C$2261,$C102)</f>
        <v/>
      </c>
      <c r="L102" s="64">
        <f>IF($I102="No","No requiere valoración",IF($K102=0,"FALTA POR COMPLETO — agregar "&amp;$J102&amp;" filas",IF($K102&lt;$J102,"INCOMPLETO — faltan "&amp;($J102-$K102)&amp;" filas",IF($K102&gt;$J102,"REVISAR — hay filas de más","Completo"))))</f>
        <v/>
      </c>
    </row>
    <row r="103" ht="30" customHeight="1" s="54">
      <c r="B103" s="28">
        <f>IF(AND(OR($C$6="(Todos los procesos)",$C$6='1. Matriz de Activos'!$G$98),OR($C$7="(Todos los tipos)",$C$7='1. Matriz de Activos'!$E$98),OR($C$8="(Todos los subtipos)",$C$8='1. Matriz de Activos'!$F$98)),"Sí","No")</f>
        <v/>
      </c>
      <c r="C103" s="28">
        <f>'1. Matriz de Activos'!$B$98</f>
        <v/>
      </c>
      <c r="D103" s="64">
        <f>'1. Matriz de Activos'!$C$98</f>
        <v/>
      </c>
      <c r="E103" s="28">
        <f>'1. Matriz de Activos'!$G$98</f>
        <v/>
      </c>
      <c r="F103" s="64">
        <f>'1. Matriz de Activos'!$E$98</f>
        <v/>
      </c>
      <c r="G103" s="64">
        <f>'1. Matriz de Activos'!$F$98</f>
        <v/>
      </c>
      <c r="H103" s="28">
        <f>'1. Matriz de Activos'!$T$98</f>
        <v/>
      </c>
      <c r="I103" s="28">
        <f>IF($H103&gt;=4,"Sí","No")</f>
        <v/>
      </c>
      <c r="J103" s="28">
        <f>IF($H103&gt;=4,IFERROR(VLOOKUP($G103,AmenTabla,2,0),0),0)</f>
        <v/>
      </c>
      <c r="K103" s="28">
        <f>COUNTIF('2. Valoración '!$C$6:$C$2261,$C103)</f>
        <v/>
      </c>
      <c r="L103" s="64">
        <f>IF($I103="No","No requiere valoración",IF($K103=0,"FALTA POR COMPLETO — agregar "&amp;$J103&amp;" filas",IF($K103&lt;$J103,"INCOMPLETO — faltan "&amp;($J103-$K103)&amp;" filas",IF($K103&gt;$J103,"REVISAR — hay filas de más","Completo"))))</f>
        <v/>
      </c>
    </row>
    <row r="104" ht="30" customHeight="1" s="54">
      <c r="B104" s="28">
        <f>IF(AND(OR($C$6="(Todos los procesos)",$C$6='1. Matriz de Activos'!$G$99),OR($C$7="(Todos los tipos)",$C$7='1. Matriz de Activos'!$E$99),OR($C$8="(Todos los subtipos)",$C$8='1. Matriz de Activos'!$F$99)),"Sí","No")</f>
        <v/>
      </c>
      <c r="C104" s="28">
        <f>'1. Matriz de Activos'!$B$99</f>
        <v/>
      </c>
      <c r="D104" s="64">
        <f>'1. Matriz de Activos'!$C$99</f>
        <v/>
      </c>
      <c r="E104" s="28">
        <f>'1. Matriz de Activos'!$G$99</f>
        <v/>
      </c>
      <c r="F104" s="64">
        <f>'1. Matriz de Activos'!$E$99</f>
        <v/>
      </c>
      <c r="G104" s="64">
        <f>'1. Matriz de Activos'!$F$99</f>
        <v/>
      </c>
      <c r="H104" s="28">
        <f>'1. Matriz de Activos'!$T$99</f>
        <v/>
      </c>
      <c r="I104" s="28">
        <f>IF($H104&gt;=4,"Sí","No")</f>
        <v/>
      </c>
      <c r="J104" s="28">
        <f>IF($H104&gt;=4,IFERROR(VLOOKUP($G104,AmenTabla,2,0),0),0)</f>
        <v/>
      </c>
      <c r="K104" s="28">
        <f>COUNTIF('2. Valoración '!$C$6:$C$2261,$C104)</f>
        <v/>
      </c>
      <c r="L104" s="64">
        <f>IF($I104="No","No requiere valoración",IF($K104=0,"FALTA POR COMPLETO — agregar "&amp;$J104&amp;" filas",IF($K104&lt;$J104,"INCOMPLETO — faltan "&amp;($J104-$K104)&amp;" filas",IF($K104&gt;$J104,"REVISAR — hay filas de más","Completo"))))</f>
        <v/>
      </c>
    </row>
    <row r="105" ht="30" customHeight="1" s="54">
      <c r="B105" s="28">
        <f>IF(AND(OR($C$6="(Todos los procesos)",$C$6='1. Matriz de Activos'!$G$100),OR($C$7="(Todos los tipos)",$C$7='1. Matriz de Activos'!$E$100),OR($C$8="(Todos los subtipos)",$C$8='1. Matriz de Activos'!$F$100)),"Sí","No")</f>
        <v/>
      </c>
      <c r="C105" s="28">
        <f>'1. Matriz de Activos'!$B$100</f>
        <v/>
      </c>
      <c r="D105" s="64">
        <f>'1. Matriz de Activos'!$C$100</f>
        <v/>
      </c>
      <c r="E105" s="28">
        <f>'1. Matriz de Activos'!$G$100</f>
        <v/>
      </c>
      <c r="F105" s="64">
        <f>'1. Matriz de Activos'!$E$100</f>
        <v/>
      </c>
      <c r="G105" s="64">
        <f>'1. Matriz de Activos'!$F$100</f>
        <v/>
      </c>
      <c r="H105" s="28">
        <f>'1. Matriz de Activos'!$T$100</f>
        <v/>
      </c>
      <c r="I105" s="28">
        <f>IF($H105&gt;=4,"Sí","No")</f>
        <v/>
      </c>
      <c r="J105" s="28">
        <f>IF($H105&gt;=4,IFERROR(VLOOKUP($G105,AmenTabla,2,0),0),0)</f>
        <v/>
      </c>
      <c r="K105" s="28">
        <f>COUNTIF('2. Valoración '!$C$6:$C$2261,$C105)</f>
        <v/>
      </c>
      <c r="L105" s="64">
        <f>IF($I105="No","No requiere valoración",IF($K105=0,"FALTA POR COMPLETO — agregar "&amp;$J105&amp;" filas",IF($K105&lt;$J105,"INCOMPLETO — faltan "&amp;($J105-$K105)&amp;" filas",IF($K105&gt;$J105,"REVISAR — hay filas de más","Completo"))))</f>
        <v/>
      </c>
    </row>
    <row r="106" ht="30" customHeight="1" s="54">
      <c r="B106" s="28">
        <f>IF(AND(OR($C$6="(Todos los procesos)",$C$6='1. Matriz de Activos'!$G$101),OR($C$7="(Todos los tipos)",$C$7='1. Matriz de Activos'!$E$101),OR($C$8="(Todos los subtipos)",$C$8='1. Matriz de Activos'!$F$101)),"Sí","No")</f>
        <v/>
      </c>
      <c r="C106" s="28">
        <f>'1. Matriz de Activos'!$B$101</f>
        <v/>
      </c>
      <c r="D106" s="64">
        <f>'1. Matriz de Activos'!$C$101</f>
        <v/>
      </c>
      <c r="E106" s="28">
        <f>'1. Matriz de Activos'!$G$101</f>
        <v/>
      </c>
      <c r="F106" s="64">
        <f>'1. Matriz de Activos'!$E$101</f>
        <v/>
      </c>
      <c r="G106" s="64">
        <f>'1. Matriz de Activos'!$F$101</f>
        <v/>
      </c>
      <c r="H106" s="28">
        <f>'1. Matriz de Activos'!$T$101</f>
        <v/>
      </c>
      <c r="I106" s="28">
        <f>IF($H106&gt;=4,"Sí","No")</f>
        <v/>
      </c>
      <c r="J106" s="28">
        <f>IF($H106&gt;=4,IFERROR(VLOOKUP($G106,AmenTabla,2,0),0),0)</f>
        <v/>
      </c>
      <c r="K106" s="28">
        <f>COUNTIF('2. Valoración '!$C$6:$C$2261,$C106)</f>
        <v/>
      </c>
      <c r="L106" s="64">
        <f>IF($I106="No","No requiere valoración",IF($K106=0,"FALTA POR COMPLETO — agregar "&amp;$J106&amp;" filas",IF($K106&lt;$J106,"INCOMPLETO — faltan "&amp;($J106-$K106)&amp;" filas",IF($K106&gt;$J106,"REVISAR — hay filas de más","Completo"))))</f>
        <v/>
      </c>
    </row>
    <row r="107" ht="30" customHeight="1" s="54">
      <c r="B107" s="28">
        <f>IF(AND(OR($C$6="(Todos los procesos)",$C$6='1. Matriz de Activos'!$G$102),OR($C$7="(Todos los tipos)",$C$7='1. Matriz de Activos'!$E$102),OR($C$8="(Todos los subtipos)",$C$8='1. Matriz de Activos'!$F$102)),"Sí","No")</f>
        <v/>
      </c>
      <c r="C107" s="28">
        <f>'1. Matriz de Activos'!$B$102</f>
        <v/>
      </c>
      <c r="D107" s="64">
        <f>'1. Matriz de Activos'!$C$102</f>
        <v/>
      </c>
      <c r="E107" s="28">
        <f>'1. Matriz de Activos'!$G$102</f>
        <v/>
      </c>
      <c r="F107" s="64">
        <f>'1. Matriz de Activos'!$E$102</f>
        <v/>
      </c>
      <c r="G107" s="64">
        <f>'1. Matriz de Activos'!$F$102</f>
        <v/>
      </c>
      <c r="H107" s="28">
        <f>'1. Matriz de Activos'!$T$102</f>
        <v/>
      </c>
      <c r="I107" s="28">
        <f>IF($H107&gt;=4,"Sí","No")</f>
        <v/>
      </c>
      <c r="J107" s="28">
        <f>IF($H107&gt;=4,IFERROR(VLOOKUP($G107,AmenTabla,2,0),0),0)</f>
        <v/>
      </c>
      <c r="K107" s="28">
        <f>COUNTIF('2. Valoración '!$C$6:$C$2261,$C107)</f>
        <v/>
      </c>
      <c r="L107" s="64">
        <f>IF($I107="No","No requiere valoración",IF($K107=0,"FALTA POR COMPLETO — agregar "&amp;$J107&amp;" filas",IF($K107&lt;$J107,"INCOMPLETO — faltan "&amp;($J107-$K107)&amp;" filas",IF($K107&gt;$J107,"REVISAR — hay filas de más","Completo"))))</f>
        <v/>
      </c>
    </row>
    <row r="108" ht="30" customHeight="1" s="54">
      <c r="B108" s="28">
        <f>IF(AND(OR($C$6="(Todos los procesos)",$C$6='1. Matriz de Activos'!$G$103),OR($C$7="(Todos los tipos)",$C$7='1. Matriz de Activos'!$E$103),OR($C$8="(Todos los subtipos)",$C$8='1. Matriz de Activos'!$F$103)),"Sí","No")</f>
        <v/>
      </c>
      <c r="C108" s="28">
        <f>'1. Matriz de Activos'!$B$103</f>
        <v/>
      </c>
      <c r="D108" s="64">
        <f>'1. Matriz de Activos'!$C$103</f>
        <v/>
      </c>
      <c r="E108" s="28">
        <f>'1. Matriz de Activos'!$G$103</f>
        <v/>
      </c>
      <c r="F108" s="64">
        <f>'1. Matriz de Activos'!$E$103</f>
        <v/>
      </c>
      <c r="G108" s="64">
        <f>'1. Matriz de Activos'!$F$103</f>
        <v/>
      </c>
      <c r="H108" s="28">
        <f>'1. Matriz de Activos'!$T$103</f>
        <v/>
      </c>
      <c r="I108" s="28">
        <f>IF($H108&gt;=4,"Sí","No")</f>
        <v/>
      </c>
      <c r="J108" s="28">
        <f>IF($H108&gt;=4,IFERROR(VLOOKUP($G108,AmenTabla,2,0),0),0)</f>
        <v/>
      </c>
      <c r="K108" s="28">
        <f>COUNTIF('2. Valoración '!$C$6:$C$2261,$C108)</f>
        <v/>
      </c>
      <c r="L108" s="64">
        <f>IF($I108="No","No requiere valoración",IF($K108=0,"FALTA POR COMPLETO — agregar "&amp;$J108&amp;" filas",IF($K108&lt;$J108,"INCOMPLETO — faltan "&amp;($J108-$K108)&amp;" filas",IF($K108&gt;$J108,"REVISAR — hay filas de más","Completo"))))</f>
        <v/>
      </c>
    </row>
    <row r="109" ht="45" customHeight="1" s="54">
      <c r="B109" s="28">
        <f>IF(AND(OR($C$6="(Todos los procesos)",$C$6='1. Matriz de Activos'!$G$104),OR($C$7="(Todos los tipos)",$C$7='1. Matriz de Activos'!$E$104),OR($C$8="(Todos los subtipos)",$C$8='1. Matriz de Activos'!$F$104)),"Sí","No")</f>
        <v/>
      </c>
      <c r="C109" s="28">
        <f>'1. Matriz de Activos'!$B$104</f>
        <v/>
      </c>
      <c r="D109" s="64">
        <f>'1. Matriz de Activos'!$C$104</f>
        <v/>
      </c>
      <c r="E109" s="28">
        <f>'1. Matriz de Activos'!$G$104</f>
        <v/>
      </c>
      <c r="F109" s="64">
        <f>'1. Matriz de Activos'!$E$104</f>
        <v/>
      </c>
      <c r="G109" s="64">
        <f>'1. Matriz de Activos'!$F$104</f>
        <v/>
      </c>
      <c r="H109" s="28">
        <f>'1. Matriz de Activos'!$T$104</f>
        <v/>
      </c>
      <c r="I109" s="28">
        <f>IF($H109&gt;=4,"Sí","No")</f>
        <v/>
      </c>
      <c r="J109" s="28">
        <f>IF($H109&gt;=4,IFERROR(VLOOKUP($G109,AmenTabla,2,0),0),0)</f>
        <v/>
      </c>
      <c r="K109" s="28">
        <f>COUNTIF('2. Valoración '!$C$6:$C$2261,$C109)</f>
        <v/>
      </c>
      <c r="L109" s="64">
        <f>IF($I109="No","No requiere valoración",IF($K109=0,"FALTA POR COMPLETO — agregar "&amp;$J109&amp;" filas",IF($K109&lt;$J109,"INCOMPLETO — faltan "&amp;($J109-$K109)&amp;" filas",IF($K109&gt;$J109,"REVISAR — hay filas de más","Completo"))))</f>
        <v/>
      </c>
    </row>
    <row r="110" ht="45" customHeight="1" s="54">
      <c r="B110" s="28">
        <f>IF(AND(OR($C$6="(Todos los procesos)",$C$6='1. Matriz de Activos'!$G$105),OR($C$7="(Todos los tipos)",$C$7='1. Matriz de Activos'!$E$105),OR($C$8="(Todos los subtipos)",$C$8='1. Matriz de Activos'!$F$105)),"Sí","No")</f>
        <v/>
      </c>
      <c r="C110" s="28">
        <f>'1. Matriz de Activos'!$B$105</f>
        <v/>
      </c>
      <c r="D110" s="64">
        <f>'1. Matriz de Activos'!$C$105</f>
        <v/>
      </c>
      <c r="E110" s="28">
        <f>'1. Matriz de Activos'!$G$105</f>
        <v/>
      </c>
      <c r="F110" s="64">
        <f>'1. Matriz de Activos'!$E$105</f>
        <v/>
      </c>
      <c r="G110" s="64">
        <f>'1. Matriz de Activos'!$F$105</f>
        <v/>
      </c>
      <c r="H110" s="28">
        <f>'1. Matriz de Activos'!$T$105</f>
        <v/>
      </c>
      <c r="I110" s="28">
        <f>IF($H110&gt;=4,"Sí","No")</f>
        <v/>
      </c>
      <c r="J110" s="28">
        <f>IF($H110&gt;=4,IFERROR(VLOOKUP($G110,AmenTabla,2,0),0),0)</f>
        <v/>
      </c>
      <c r="K110" s="28">
        <f>COUNTIF('2. Valoración '!$C$6:$C$2261,$C110)</f>
        <v/>
      </c>
      <c r="L110" s="64">
        <f>IF($I110="No","No requiere valoración",IF($K110=0,"FALTA POR COMPLETO — agregar "&amp;$J110&amp;" filas",IF($K110&lt;$J110,"INCOMPLETO — faltan "&amp;($J110-$K110)&amp;" filas",IF($K110&gt;$J110,"REVISAR — hay filas de más","Completo"))))</f>
        <v/>
      </c>
    </row>
    <row r="111" ht="30" customHeight="1" s="54">
      <c r="B111" s="28">
        <f>IF(AND(OR($C$6="(Todos los procesos)",$C$6='1. Matriz de Activos'!$G$106),OR($C$7="(Todos los tipos)",$C$7='1. Matriz de Activos'!$E$106),OR($C$8="(Todos los subtipos)",$C$8='1. Matriz de Activos'!$F$106)),"Sí","No")</f>
        <v/>
      </c>
      <c r="C111" s="28">
        <f>'1. Matriz de Activos'!$B$106</f>
        <v/>
      </c>
      <c r="D111" s="64">
        <f>'1. Matriz de Activos'!$C$106</f>
        <v/>
      </c>
      <c r="E111" s="28">
        <f>'1. Matriz de Activos'!$G$106</f>
        <v/>
      </c>
      <c r="F111" s="64">
        <f>'1. Matriz de Activos'!$E$106</f>
        <v/>
      </c>
      <c r="G111" s="64">
        <f>'1. Matriz de Activos'!$F$106</f>
        <v/>
      </c>
      <c r="H111" s="28">
        <f>'1. Matriz de Activos'!$T$106</f>
        <v/>
      </c>
      <c r="I111" s="28">
        <f>IF($H111&gt;=4,"Sí","No")</f>
        <v/>
      </c>
      <c r="J111" s="28">
        <f>IF($H111&gt;=4,IFERROR(VLOOKUP($G111,AmenTabla,2,0),0),0)</f>
        <v/>
      </c>
      <c r="K111" s="28">
        <f>COUNTIF('2. Valoración '!$C$6:$C$2261,$C111)</f>
        <v/>
      </c>
      <c r="L111" s="64">
        <f>IF($I111="No","No requiere valoración",IF($K111=0,"FALTA POR COMPLETO — agregar "&amp;$J111&amp;" filas",IF($K111&lt;$J111,"INCOMPLETO — faltan "&amp;($J111-$K111)&amp;" filas",IF($K111&gt;$J111,"REVISAR — hay filas de más","Completo"))))</f>
        <v/>
      </c>
    </row>
    <row r="112" ht="45" customHeight="1" s="54">
      <c r="B112" s="28">
        <f>IF(AND(OR($C$6="(Todos los procesos)",$C$6='1. Matriz de Activos'!$G$107),OR($C$7="(Todos los tipos)",$C$7='1. Matriz de Activos'!$E$107),OR($C$8="(Todos los subtipos)",$C$8='1. Matriz de Activos'!$F$107)),"Sí","No")</f>
        <v/>
      </c>
      <c r="C112" s="28">
        <f>'1. Matriz de Activos'!$B$107</f>
        <v/>
      </c>
      <c r="D112" s="64">
        <f>'1. Matriz de Activos'!$C$107</f>
        <v/>
      </c>
      <c r="E112" s="28">
        <f>'1. Matriz de Activos'!$G$107</f>
        <v/>
      </c>
      <c r="F112" s="64">
        <f>'1. Matriz de Activos'!$E$107</f>
        <v/>
      </c>
      <c r="G112" s="64">
        <f>'1. Matriz de Activos'!$F$107</f>
        <v/>
      </c>
      <c r="H112" s="28">
        <f>'1. Matriz de Activos'!$T$107</f>
        <v/>
      </c>
      <c r="I112" s="28">
        <f>IF($H112&gt;=4,"Sí","No")</f>
        <v/>
      </c>
      <c r="J112" s="28">
        <f>IF($H112&gt;=4,IFERROR(VLOOKUP($G112,AmenTabla,2,0),0),0)</f>
        <v/>
      </c>
      <c r="K112" s="28">
        <f>COUNTIF('2. Valoración '!$C$6:$C$2261,$C112)</f>
        <v/>
      </c>
      <c r="L112" s="64">
        <f>IF($I112="No","No requiere valoración",IF($K112=0,"FALTA POR COMPLETO — agregar "&amp;$J112&amp;" filas",IF($K112&lt;$J112,"INCOMPLETO — faltan "&amp;($J112-$K112)&amp;" filas",IF($K112&gt;$J112,"REVISAR — hay filas de más","Completo"))))</f>
        <v/>
      </c>
    </row>
    <row r="113" ht="45" customHeight="1" s="54">
      <c r="B113" s="28">
        <f>IF(AND(OR($C$6="(Todos los procesos)",$C$6='1. Matriz de Activos'!$G$108),OR($C$7="(Todos los tipos)",$C$7='1. Matriz de Activos'!$E$108),OR($C$8="(Todos los subtipos)",$C$8='1. Matriz de Activos'!$F$108)),"Sí","No")</f>
        <v/>
      </c>
      <c r="C113" s="28">
        <f>'1. Matriz de Activos'!$B$108</f>
        <v/>
      </c>
      <c r="D113" s="64">
        <f>'1. Matriz de Activos'!$C$108</f>
        <v/>
      </c>
      <c r="E113" s="28">
        <f>'1. Matriz de Activos'!$G$108</f>
        <v/>
      </c>
      <c r="F113" s="64">
        <f>'1. Matriz de Activos'!$E$108</f>
        <v/>
      </c>
      <c r="G113" s="64">
        <f>'1. Matriz de Activos'!$F$108</f>
        <v/>
      </c>
      <c r="H113" s="28">
        <f>'1. Matriz de Activos'!$T$108</f>
        <v/>
      </c>
      <c r="I113" s="28">
        <f>IF($H113&gt;=4,"Sí","No")</f>
        <v/>
      </c>
      <c r="J113" s="28">
        <f>IF($H113&gt;=4,IFERROR(VLOOKUP($G113,AmenTabla,2,0),0),0)</f>
        <v/>
      </c>
      <c r="K113" s="28">
        <f>COUNTIF('2. Valoración '!$C$6:$C$2261,$C113)</f>
        <v/>
      </c>
      <c r="L113" s="64">
        <f>IF($I113="No","No requiere valoración",IF($K113=0,"FALTA POR COMPLETO — agregar "&amp;$J113&amp;" filas",IF($K113&lt;$J113,"INCOMPLETO — faltan "&amp;($J113-$K113)&amp;" filas",IF($K113&gt;$J113,"REVISAR — hay filas de más","Completo"))))</f>
        <v/>
      </c>
    </row>
    <row r="114" ht="30" customHeight="1" s="54">
      <c r="B114" s="28">
        <f>IF(AND(OR($C$6="(Todos los procesos)",$C$6='1. Matriz de Activos'!$G$109),OR($C$7="(Todos los tipos)",$C$7='1. Matriz de Activos'!$E$109),OR($C$8="(Todos los subtipos)",$C$8='1. Matriz de Activos'!$F$109)),"Sí","No")</f>
        <v/>
      </c>
      <c r="C114" s="28">
        <f>'1. Matriz de Activos'!$B$109</f>
        <v/>
      </c>
      <c r="D114" s="64">
        <f>'1. Matriz de Activos'!$C$109</f>
        <v/>
      </c>
      <c r="E114" s="28">
        <f>'1. Matriz de Activos'!$G$109</f>
        <v/>
      </c>
      <c r="F114" s="64">
        <f>'1. Matriz de Activos'!$E$109</f>
        <v/>
      </c>
      <c r="G114" s="64">
        <f>'1. Matriz de Activos'!$F$109</f>
        <v/>
      </c>
      <c r="H114" s="28">
        <f>'1. Matriz de Activos'!$T$109</f>
        <v/>
      </c>
      <c r="I114" s="28">
        <f>IF($H114&gt;=4,"Sí","No")</f>
        <v/>
      </c>
      <c r="J114" s="28">
        <f>IF($H114&gt;=4,IFERROR(VLOOKUP($G114,AmenTabla,2,0),0),0)</f>
        <v/>
      </c>
      <c r="K114" s="28">
        <f>COUNTIF('2. Valoración '!$C$6:$C$2261,$C114)</f>
        <v/>
      </c>
      <c r="L114" s="64">
        <f>IF($I114="No","No requiere valoración",IF($K114=0,"FALTA POR COMPLETO — agregar "&amp;$J114&amp;" filas",IF($K114&lt;$J114,"INCOMPLETO — faltan "&amp;($J114-$K114)&amp;" filas",IF($K114&gt;$J114,"REVISAR — hay filas de más","Completo"))))</f>
        <v/>
      </c>
    </row>
    <row r="115" ht="30" customHeight="1" s="54">
      <c r="B115" s="28">
        <f>IF(AND(OR($C$6="(Todos los procesos)",$C$6='1. Matriz de Activos'!$G$110),OR($C$7="(Todos los tipos)",$C$7='1. Matriz de Activos'!$E$110),OR($C$8="(Todos los subtipos)",$C$8='1. Matriz de Activos'!$F$110)),"Sí","No")</f>
        <v/>
      </c>
      <c r="C115" s="28">
        <f>'1. Matriz de Activos'!$B$110</f>
        <v/>
      </c>
      <c r="D115" s="64">
        <f>'1. Matriz de Activos'!$C$110</f>
        <v/>
      </c>
      <c r="E115" s="28">
        <f>'1. Matriz de Activos'!$G$110</f>
        <v/>
      </c>
      <c r="F115" s="64">
        <f>'1. Matriz de Activos'!$E$110</f>
        <v/>
      </c>
      <c r="G115" s="64">
        <f>'1. Matriz de Activos'!$F$110</f>
        <v/>
      </c>
      <c r="H115" s="28">
        <f>'1. Matriz de Activos'!$T$110</f>
        <v/>
      </c>
      <c r="I115" s="28">
        <f>IF($H115&gt;=4,"Sí","No")</f>
        <v/>
      </c>
      <c r="J115" s="28">
        <f>IF($H115&gt;=4,IFERROR(VLOOKUP($G115,AmenTabla,2,0),0),0)</f>
        <v/>
      </c>
      <c r="K115" s="28">
        <f>COUNTIF('2. Valoración '!$C$6:$C$2261,$C115)</f>
        <v/>
      </c>
      <c r="L115" s="64">
        <f>IF($I115="No","No requiere valoración",IF($K115=0,"FALTA POR COMPLETO — agregar "&amp;$J115&amp;" filas",IF($K115&lt;$J115,"INCOMPLETO — faltan "&amp;($J115-$K115)&amp;" filas",IF($K115&gt;$J115,"REVISAR — hay filas de más","Completo"))))</f>
        <v/>
      </c>
    </row>
    <row r="116" ht="45" customHeight="1" s="54">
      <c r="B116" s="28">
        <f>IF(AND(OR($C$6="(Todos los procesos)",$C$6='1. Matriz de Activos'!$G$111),OR($C$7="(Todos los tipos)",$C$7='1. Matriz de Activos'!$E$111),OR($C$8="(Todos los subtipos)",$C$8='1. Matriz de Activos'!$F$111)),"Sí","No")</f>
        <v/>
      </c>
      <c r="C116" s="28">
        <f>'1. Matriz de Activos'!$B$111</f>
        <v/>
      </c>
      <c r="D116" s="64">
        <f>'1. Matriz de Activos'!$C$111</f>
        <v/>
      </c>
      <c r="E116" s="28">
        <f>'1. Matriz de Activos'!$G$111</f>
        <v/>
      </c>
      <c r="F116" s="64">
        <f>'1. Matriz de Activos'!$E$111</f>
        <v/>
      </c>
      <c r="G116" s="64">
        <f>'1. Matriz de Activos'!$F$111</f>
        <v/>
      </c>
      <c r="H116" s="28">
        <f>'1. Matriz de Activos'!$T$111</f>
        <v/>
      </c>
      <c r="I116" s="28">
        <f>IF($H116&gt;=4,"Sí","No")</f>
        <v/>
      </c>
      <c r="J116" s="28">
        <f>IF($H116&gt;=4,IFERROR(VLOOKUP($G116,AmenTabla,2,0),0),0)</f>
        <v/>
      </c>
      <c r="K116" s="28">
        <f>COUNTIF('2. Valoración '!$C$6:$C$2261,$C116)</f>
        <v/>
      </c>
      <c r="L116" s="64">
        <f>IF($I116="No","No requiere valoración",IF($K116=0,"FALTA POR COMPLETO — agregar "&amp;$J116&amp;" filas",IF($K116&lt;$J116,"INCOMPLETO — faltan "&amp;($J116-$K116)&amp;" filas",IF($K116&gt;$J116,"REVISAR — hay filas de más","Completo"))))</f>
        <v/>
      </c>
    </row>
    <row r="117" ht="45" customHeight="1" s="54">
      <c r="B117" s="28">
        <f>IF(AND(OR($C$6="(Todos los procesos)",$C$6='1. Matriz de Activos'!$G$112),OR($C$7="(Todos los tipos)",$C$7='1. Matriz de Activos'!$E$112),OR($C$8="(Todos los subtipos)",$C$8='1. Matriz de Activos'!$F$112)),"Sí","No")</f>
        <v/>
      </c>
      <c r="C117" s="28">
        <f>'1. Matriz de Activos'!$B$112</f>
        <v/>
      </c>
      <c r="D117" s="64">
        <f>'1. Matriz de Activos'!$C$112</f>
        <v/>
      </c>
      <c r="E117" s="28">
        <f>'1. Matriz de Activos'!$G$112</f>
        <v/>
      </c>
      <c r="F117" s="64">
        <f>'1. Matriz de Activos'!$E$112</f>
        <v/>
      </c>
      <c r="G117" s="64">
        <f>'1. Matriz de Activos'!$F$112</f>
        <v/>
      </c>
      <c r="H117" s="28">
        <f>'1. Matriz de Activos'!$T$112</f>
        <v/>
      </c>
      <c r="I117" s="28">
        <f>IF($H117&gt;=4,"Sí","No")</f>
        <v/>
      </c>
      <c r="J117" s="28">
        <f>IF($H117&gt;=4,IFERROR(VLOOKUP($G117,AmenTabla,2,0),0),0)</f>
        <v/>
      </c>
      <c r="K117" s="28">
        <f>COUNTIF('2. Valoración '!$C$6:$C$2261,$C117)</f>
        <v/>
      </c>
      <c r="L117" s="64">
        <f>IF($I117="No","No requiere valoración",IF($K117=0,"FALTA POR COMPLETO — agregar "&amp;$J117&amp;" filas",IF($K117&lt;$J117,"INCOMPLETO — faltan "&amp;($J117-$K117)&amp;" filas",IF($K117&gt;$J117,"REVISAR — hay filas de más","Completo"))))</f>
        <v/>
      </c>
    </row>
    <row r="118" ht="30" customHeight="1" s="54">
      <c r="B118" s="28">
        <f>IF(AND(OR($C$6="(Todos los procesos)",$C$6='1. Matriz de Activos'!$G$113),OR($C$7="(Todos los tipos)",$C$7='1. Matriz de Activos'!$E$113),OR($C$8="(Todos los subtipos)",$C$8='1. Matriz de Activos'!$F$113)),"Sí","No")</f>
        <v/>
      </c>
      <c r="C118" s="28">
        <f>'1. Matriz de Activos'!$B$113</f>
        <v/>
      </c>
      <c r="D118" s="64">
        <f>'1. Matriz de Activos'!$C$113</f>
        <v/>
      </c>
      <c r="E118" s="28">
        <f>'1. Matriz de Activos'!$G$113</f>
        <v/>
      </c>
      <c r="F118" s="64">
        <f>'1. Matriz de Activos'!$E$113</f>
        <v/>
      </c>
      <c r="G118" s="64">
        <f>'1. Matriz de Activos'!$F$113</f>
        <v/>
      </c>
      <c r="H118" s="28">
        <f>'1. Matriz de Activos'!$T$113</f>
        <v/>
      </c>
      <c r="I118" s="28">
        <f>IF($H118&gt;=4,"Sí","No")</f>
        <v/>
      </c>
      <c r="J118" s="28">
        <f>IF($H118&gt;=4,IFERROR(VLOOKUP($G118,AmenTabla,2,0),0),0)</f>
        <v/>
      </c>
      <c r="K118" s="28">
        <f>COUNTIF('2. Valoración '!$C$6:$C$2261,$C118)</f>
        <v/>
      </c>
      <c r="L118" s="64">
        <f>IF($I118="No","No requiere valoración",IF($K118=0,"FALTA POR COMPLETO — agregar "&amp;$J118&amp;" filas",IF($K118&lt;$J118,"INCOMPLETO — faltan "&amp;($J118-$K118)&amp;" filas",IF($K118&gt;$J118,"REVISAR — hay filas de más","Completo"))))</f>
        <v/>
      </c>
    </row>
    <row r="119" ht="45" customHeight="1" s="54">
      <c r="B119" s="28">
        <f>IF(AND(OR($C$6="(Todos los procesos)",$C$6='1. Matriz de Activos'!$G$114),OR($C$7="(Todos los tipos)",$C$7='1. Matriz de Activos'!$E$114),OR($C$8="(Todos los subtipos)",$C$8='1. Matriz de Activos'!$F$114)),"Sí","No")</f>
        <v/>
      </c>
      <c r="C119" s="28">
        <f>'1. Matriz de Activos'!$B$114</f>
        <v/>
      </c>
      <c r="D119" s="64">
        <f>'1. Matriz de Activos'!$C$114</f>
        <v/>
      </c>
      <c r="E119" s="28">
        <f>'1. Matriz de Activos'!$G$114</f>
        <v/>
      </c>
      <c r="F119" s="64">
        <f>'1. Matriz de Activos'!$E$114</f>
        <v/>
      </c>
      <c r="G119" s="64">
        <f>'1. Matriz de Activos'!$F$114</f>
        <v/>
      </c>
      <c r="H119" s="28">
        <f>'1. Matriz de Activos'!$T$114</f>
        <v/>
      </c>
      <c r="I119" s="28">
        <f>IF($H119&gt;=4,"Sí","No")</f>
        <v/>
      </c>
      <c r="J119" s="28">
        <f>IF($H119&gt;=4,IFERROR(VLOOKUP($G119,AmenTabla,2,0),0),0)</f>
        <v/>
      </c>
      <c r="K119" s="28">
        <f>COUNTIF('2. Valoración '!$C$6:$C$2261,$C119)</f>
        <v/>
      </c>
      <c r="L119" s="64">
        <f>IF($I119="No","No requiere valoración",IF($K119=0,"FALTA POR COMPLETO — agregar "&amp;$J119&amp;" filas",IF($K119&lt;$J119,"INCOMPLETO — faltan "&amp;($J119-$K119)&amp;" filas",IF($K119&gt;$J119,"REVISAR — hay filas de más","Completo"))))</f>
        <v/>
      </c>
    </row>
    <row r="120" ht="45" customHeight="1" s="54">
      <c r="B120" s="28">
        <f>IF(AND(OR($C$6="(Todos los procesos)",$C$6='1. Matriz de Activos'!$G$115),OR($C$7="(Todos los tipos)",$C$7='1. Matriz de Activos'!$E$115),OR($C$8="(Todos los subtipos)",$C$8='1. Matriz de Activos'!$F$115)),"Sí","No")</f>
        <v/>
      </c>
      <c r="C120" s="28">
        <f>'1. Matriz de Activos'!$B$115</f>
        <v/>
      </c>
      <c r="D120" s="64">
        <f>'1. Matriz de Activos'!$C$115</f>
        <v/>
      </c>
      <c r="E120" s="28">
        <f>'1. Matriz de Activos'!$G$115</f>
        <v/>
      </c>
      <c r="F120" s="64">
        <f>'1. Matriz de Activos'!$E$115</f>
        <v/>
      </c>
      <c r="G120" s="64">
        <f>'1. Matriz de Activos'!$F$115</f>
        <v/>
      </c>
      <c r="H120" s="28">
        <f>'1. Matriz de Activos'!$T$115</f>
        <v/>
      </c>
      <c r="I120" s="28">
        <f>IF($H120&gt;=4,"Sí","No")</f>
        <v/>
      </c>
      <c r="J120" s="28">
        <f>IF($H120&gt;=4,IFERROR(VLOOKUP($G120,AmenTabla,2,0),0),0)</f>
        <v/>
      </c>
      <c r="K120" s="28">
        <f>COUNTIF('2. Valoración '!$C$6:$C$2261,$C120)</f>
        <v/>
      </c>
      <c r="L120" s="64">
        <f>IF($I120="No","No requiere valoración",IF($K120=0,"FALTA POR COMPLETO — agregar "&amp;$J120&amp;" filas",IF($K120&lt;$J120,"INCOMPLETO — faltan "&amp;($J120-$K120)&amp;" filas",IF($K120&gt;$J120,"REVISAR — hay filas de más","Completo"))))</f>
        <v/>
      </c>
    </row>
    <row r="121" ht="45" customHeight="1" s="54">
      <c r="B121" s="28">
        <f>IF(AND(OR($C$6="(Todos los procesos)",$C$6='1. Matriz de Activos'!$G$116),OR($C$7="(Todos los tipos)",$C$7='1. Matriz de Activos'!$E$116),OR($C$8="(Todos los subtipos)",$C$8='1. Matriz de Activos'!$F$116)),"Sí","No")</f>
        <v/>
      </c>
      <c r="C121" s="28">
        <f>'1. Matriz de Activos'!$B$116</f>
        <v/>
      </c>
      <c r="D121" s="64">
        <f>'1. Matriz de Activos'!$C$116</f>
        <v/>
      </c>
      <c r="E121" s="28">
        <f>'1. Matriz de Activos'!$G$116</f>
        <v/>
      </c>
      <c r="F121" s="64">
        <f>'1. Matriz de Activos'!$E$116</f>
        <v/>
      </c>
      <c r="G121" s="64">
        <f>'1. Matriz de Activos'!$F$116</f>
        <v/>
      </c>
      <c r="H121" s="28">
        <f>'1. Matriz de Activos'!$T$116</f>
        <v/>
      </c>
      <c r="I121" s="28">
        <f>IF($H121&gt;=4,"Sí","No")</f>
        <v/>
      </c>
      <c r="J121" s="28">
        <f>IF($H121&gt;=4,IFERROR(VLOOKUP($G121,AmenTabla,2,0),0),0)</f>
        <v/>
      </c>
      <c r="K121" s="28">
        <f>COUNTIF('2. Valoración '!$C$6:$C$2261,$C121)</f>
        <v/>
      </c>
      <c r="L121" s="64">
        <f>IF($I121="No","No requiere valoración",IF($K121=0,"FALTA POR COMPLETO — agregar "&amp;$J121&amp;" filas",IF($K121&lt;$J121,"INCOMPLETO — faltan "&amp;($J121-$K121)&amp;" filas",IF($K121&gt;$J121,"REVISAR — hay filas de más","Completo"))))</f>
        <v/>
      </c>
    </row>
    <row r="122" ht="45" customHeight="1" s="54">
      <c r="B122" s="28">
        <f>IF(AND(OR($C$6="(Todos los procesos)",$C$6='1. Matriz de Activos'!$G$117),OR($C$7="(Todos los tipos)",$C$7='1. Matriz de Activos'!$E$117),OR($C$8="(Todos los subtipos)",$C$8='1. Matriz de Activos'!$F$117)),"Sí","No")</f>
        <v/>
      </c>
      <c r="C122" s="28">
        <f>'1. Matriz de Activos'!$B$117</f>
        <v/>
      </c>
      <c r="D122" s="64">
        <f>'1. Matriz de Activos'!$C$117</f>
        <v/>
      </c>
      <c r="E122" s="28">
        <f>'1. Matriz de Activos'!$G$117</f>
        <v/>
      </c>
      <c r="F122" s="64">
        <f>'1. Matriz de Activos'!$E$117</f>
        <v/>
      </c>
      <c r="G122" s="64">
        <f>'1. Matriz de Activos'!$F$117</f>
        <v/>
      </c>
      <c r="H122" s="28">
        <f>'1. Matriz de Activos'!$T$117</f>
        <v/>
      </c>
      <c r="I122" s="28">
        <f>IF($H122&gt;=4,"Sí","No")</f>
        <v/>
      </c>
      <c r="J122" s="28">
        <f>IF($H122&gt;=4,IFERROR(VLOOKUP($G122,AmenTabla,2,0),0),0)</f>
        <v/>
      </c>
      <c r="K122" s="28">
        <f>COUNTIF('2. Valoración '!$C$6:$C$2261,$C122)</f>
        <v/>
      </c>
      <c r="L122" s="64">
        <f>IF($I122="No","No requiere valoración",IF($K122=0,"FALTA POR COMPLETO — agregar "&amp;$J122&amp;" filas",IF($K122&lt;$J122,"INCOMPLETO — faltan "&amp;($J122-$K122)&amp;" filas",IF($K122&gt;$J122,"REVISAR — hay filas de más","Completo"))))</f>
        <v/>
      </c>
    </row>
    <row r="123" ht="45" customHeight="1" s="54">
      <c r="B123" s="28">
        <f>IF(AND(OR($C$6="(Todos los procesos)",$C$6='1. Matriz de Activos'!$G$118),OR($C$7="(Todos los tipos)",$C$7='1. Matriz de Activos'!$E$118),OR($C$8="(Todos los subtipos)",$C$8='1. Matriz de Activos'!$F$118)),"Sí","No")</f>
        <v/>
      </c>
      <c r="C123" s="28">
        <f>'1. Matriz de Activos'!$B$118</f>
        <v/>
      </c>
      <c r="D123" s="64">
        <f>'1. Matriz de Activos'!$C$118</f>
        <v/>
      </c>
      <c r="E123" s="28">
        <f>'1. Matriz de Activos'!$G$118</f>
        <v/>
      </c>
      <c r="F123" s="64">
        <f>'1. Matriz de Activos'!$E$118</f>
        <v/>
      </c>
      <c r="G123" s="64">
        <f>'1. Matriz de Activos'!$F$118</f>
        <v/>
      </c>
      <c r="H123" s="28">
        <f>'1. Matriz de Activos'!$T$118</f>
        <v/>
      </c>
      <c r="I123" s="28">
        <f>IF($H123&gt;=4,"Sí","No")</f>
        <v/>
      </c>
      <c r="J123" s="28">
        <f>IF($H123&gt;=4,IFERROR(VLOOKUP($G123,AmenTabla,2,0),0),0)</f>
        <v/>
      </c>
      <c r="K123" s="28">
        <f>COUNTIF('2. Valoración '!$C$6:$C$2261,$C123)</f>
        <v/>
      </c>
      <c r="L123" s="64">
        <f>IF($I123="No","No requiere valoración",IF($K123=0,"FALTA POR COMPLETO — agregar "&amp;$J123&amp;" filas",IF($K123&lt;$J123,"INCOMPLETO — faltan "&amp;($J123-$K123)&amp;" filas",IF($K123&gt;$J123,"REVISAR — hay filas de más","Completo"))))</f>
        <v/>
      </c>
    </row>
    <row r="124" ht="45" customHeight="1" s="54">
      <c r="B124" s="28">
        <f>IF(AND(OR($C$6="(Todos los procesos)",$C$6='1. Matriz de Activos'!$G$119),OR($C$7="(Todos los tipos)",$C$7='1. Matriz de Activos'!$E$119),OR($C$8="(Todos los subtipos)",$C$8='1. Matriz de Activos'!$F$119)),"Sí","No")</f>
        <v/>
      </c>
      <c r="C124" s="28">
        <f>'1. Matriz de Activos'!$B$119</f>
        <v/>
      </c>
      <c r="D124" s="64">
        <f>'1. Matriz de Activos'!$C$119</f>
        <v/>
      </c>
      <c r="E124" s="28">
        <f>'1. Matriz de Activos'!$G$119</f>
        <v/>
      </c>
      <c r="F124" s="64">
        <f>'1. Matriz de Activos'!$E$119</f>
        <v/>
      </c>
      <c r="G124" s="64">
        <f>'1. Matriz de Activos'!$F$119</f>
        <v/>
      </c>
      <c r="H124" s="28">
        <f>'1. Matriz de Activos'!$T$119</f>
        <v/>
      </c>
      <c r="I124" s="28">
        <f>IF($H124&gt;=4,"Sí","No")</f>
        <v/>
      </c>
      <c r="J124" s="28">
        <f>IF($H124&gt;=4,IFERROR(VLOOKUP($G124,AmenTabla,2,0),0),0)</f>
        <v/>
      </c>
      <c r="K124" s="28">
        <f>COUNTIF('2. Valoración '!$C$6:$C$2261,$C124)</f>
        <v/>
      </c>
      <c r="L124" s="64">
        <f>IF($I124="No","No requiere valoración",IF($K124=0,"FALTA POR COMPLETO — agregar "&amp;$J124&amp;" filas",IF($K124&lt;$J124,"INCOMPLETO — faltan "&amp;($J124-$K124)&amp;" filas",IF($K124&gt;$J124,"REVISAR — hay filas de más","Completo"))))</f>
        <v/>
      </c>
    </row>
    <row r="125" ht="60" customHeight="1" s="54">
      <c r="B125" s="28">
        <f>IF(AND(OR($C$6="(Todos los procesos)",$C$6='1. Matriz de Activos'!$G$120),OR($C$7="(Todos los tipos)",$C$7='1. Matriz de Activos'!$E$120),OR($C$8="(Todos los subtipos)",$C$8='1. Matriz de Activos'!$F$120)),"Sí","No")</f>
        <v/>
      </c>
      <c r="C125" s="28">
        <f>'1. Matriz de Activos'!$B$120</f>
        <v/>
      </c>
      <c r="D125" s="64">
        <f>'1. Matriz de Activos'!$C$120</f>
        <v/>
      </c>
      <c r="E125" s="28">
        <f>'1. Matriz de Activos'!$G$120</f>
        <v/>
      </c>
      <c r="F125" s="64">
        <f>'1. Matriz de Activos'!$E$120</f>
        <v/>
      </c>
      <c r="G125" s="64">
        <f>'1. Matriz de Activos'!$F$120</f>
        <v/>
      </c>
      <c r="H125" s="28">
        <f>'1. Matriz de Activos'!$T$120</f>
        <v/>
      </c>
      <c r="I125" s="28">
        <f>IF($H125&gt;=4,"Sí","No")</f>
        <v/>
      </c>
      <c r="J125" s="28">
        <f>IF($H125&gt;=4,IFERROR(VLOOKUP($G125,AmenTabla,2,0),0),0)</f>
        <v/>
      </c>
      <c r="K125" s="28">
        <f>COUNTIF('2. Valoración '!$C$6:$C$2261,$C125)</f>
        <v/>
      </c>
      <c r="L125" s="64">
        <f>IF($I125="No","No requiere valoración",IF($K125=0,"FALTA POR COMPLETO — agregar "&amp;$J125&amp;" filas",IF($K125&lt;$J125,"INCOMPLETO — faltan "&amp;($J125-$K125)&amp;" filas",IF($K125&gt;$J125,"REVISAR — hay filas de más","Completo"))))</f>
        <v/>
      </c>
    </row>
    <row r="126" ht="60" customHeight="1" s="54">
      <c r="B126" s="28">
        <f>IF(AND(OR($C$6="(Todos los procesos)",$C$6='1. Matriz de Activos'!$G$121),OR($C$7="(Todos los tipos)",$C$7='1. Matriz de Activos'!$E$121),OR($C$8="(Todos los subtipos)",$C$8='1. Matriz de Activos'!$F$121)),"Sí","No")</f>
        <v/>
      </c>
      <c r="C126" s="28">
        <f>'1. Matriz de Activos'!$B$121</f>
        <v/>
      </c>
      <c r="D126" s="64">
        <f>'1. Matriz de Activos'!$C$121</f>
        <v/>
      </c>
      <c r="E126" s="28">
        <f>'1. Matriz de Activos'!$G$121</f>
        <v/>
      </c>
      <c r="F126" s="64">
        <f>'1. Matriz de Activos'!$E$121</f>
        <v/>
      </c>
      <c r="G126" s="64">
        <f>'1. Matriz de Activos'!$F$121</f>
        <v/>
      </c>
      <c r="H126" s="28">
        <f>'1. Matriz de Activos'!$T$121</f>
        <v/>
      </c>
      <c r="I126" s="28">
        <f>IF($H126&gt;=4,"Sí","No")</f>
        <v/>
      </c>
      <c r="J126" s="28">
        <f>IF($H126&gt;=4,IFERROR(VLOOKUP($G126,AmenTabla,2,0),0),0)</f>
        <v/>
      </c>
      <c r="K126" s="28">
        <f>COUNTIF('2. Valoración '!$C$6:$C$2261,$C126)</f>
        <v/>
      </c>
      <c r="L126" s="64">
        <f>IF($I126="No","No requiere valoración",IF($K126=0,"FALTA POR COMPLETO — agregar "&amp;$J126&amp;" filas",IF($K126&lt;$J126,"INCOMPLETO — faltan "&amp;($J126-$K126)&amp;" filas",IF($K126&gt;$J126,"REVISAR — hay filas de más","Completo"))))</f>
        <v/>
      </c>
    </row>
    <row r="127" ht="45" customHeight="1" s="54">
      <c r="B127" s="28">
        <f>IF(AND(OR($C$6="(Todos los procesos)",$C$6='1. Matriz de Activos'!$G$122),OR($C$7="(Todos los tipos)",$C$7='1. Matriz de Activos'!$E$122),OR($C$8="(Todos los subtipos)",$C$8='1. Matriz de Activos'!$F$122)),"Sí","No")</f>
        <v/>
      </c>
      <c r="C127" s="28">
        <f>'1. Matriz de Activos'!$B$122</f>
        <v/>
      </c>
      <c r="D127" s="64">
        <f>'1. Matriz de Activos'!$C$122</f>
        <v/>
      </c>
      <c r="E127" s="28">
        <f>'1. Matriz de Activos'!$G$122</f>
        <v/>
      </c>
      <c r="F127" s="64">
        <f>'1. Matriz de Activos'!$E$122</f>
        <v/>
      </c>
      <c r="G127" s="64">
        <f>'1. Matriz de Activos'!$F$122</f>
        <v/>
      </c>
      <c r="H127" s="28">
        <f>'1. Matriz de Activos'!$T$122</f>
        <v/>
      </c>
      <c r="I127" s="28">
        <f>IF($H127&gt;=4,"Sí","No")</f>
        <v/>
      </c>
      <c r="J127" s="28">
        <f>IF($H127&gt;=4,IFERROR(VLOOKUP($G127,AmenTabla,2,0),0),0)</f>
        <v/>
      </c>
      <c r="K127" s="28">
        <f>COUNTIF('2. Valoración '!$C$6:$C$2261,$C127)</f>
        <v/>
      </c>
      <c r="L127" s="64">
        <f>IF($I127="No","No requiere valoración",IF($K127=0,"FALTA POR COMPLETO — agregar "&amp;$J127&amp;" filas",IF($K127&lt;$J127,"INCOMPLETO — faltan "&amp;($J127-$K127)&amp;" filas",IF($K127&gt;$J127,"REVISAR — hay filas de más","Completo"))))</f>
        <v/>
      </c>
    </row>
    <row r="128" ht="45" customHeight="1" s="54">
      <c r="B128" s="28">
        <f>IF(AND(OR($C$6="(Todos los procesos)",$C$6='1. Matriz de Activos'!$G$123),OR($C$7="(Todos los tipos)",$C$7='1. Matriz de Activos'!$E$123),OR($C$8="(Todos los subtipos)",$C$8='1. Matriz de Activos'!$F$123)),"Sí","No")</f>
        <v/>
      </c>
      <c r="C128" s="28">
        <f>'1. Matriz de Activos'!$B$123</f>
        <v/>
      </c>
      <c r="D128" s="64">
        <f>'1. Matriz de Activos'!$C$123</f>
        <v/>
      </c>
      <c r="E128" s="28">
        <f>'1. Matriz de Activos'!$G$123</f>
        <v/>
      </c>
      <c r="F128" s="64">
        <f>'1. Matriz de Activos'!$E$123</f>
        <v/>
      </c>
      <c r="G128" s="64">
        <f>'1. Matriz de Activos'!$F$123</f>
        <v/>
      </c>
      <c r="H128" s="28">
        <f>'1. Matriz de Activos'!$T$123</f>
        <v/>
      </c>
      <c r="I128" s="28">
        <f>IF($H128&gt;=4,"Sí","No")</f>
        <v/>
      </c>
      <c r="J128" s="28">
        <f>IF($H128&gt;=4,IFERROR(VLOOKUP($G128,AmenTabla,2,0),0),0)</f>
        <v/>
      </c>
      <c r="K128" s="28">
        <f>COUNTIF('2. Valoración '!$C$6:$C$2261,$C128)</f>
        <v/>
      </c>
      <c r="L128" s="64">
        <f>IF($I128="No","No requiere valoración",IF($K128=0,"FALTA POR COMPLETO — agregar "&amp;$J128&amp;" filas",IF($K128&lt;$J128,"INCOMPLETO — faltan "&amp;($J128-$K128)&amp;" filas",IF($K128&gt;$J128,"REVISAR — hay filas de más","Completo"))))</f>
        <v/>
      </c>
    </row>
    <row r="129" ht="45" customHeight="1" s="54">
      <c r="B129" s="28">
        <f>IF(AND(OR($C$6="(Todos los procesos)",$C$6='1. Matriz de Activos'!$G$124),OR($C$7="(Todos los tipos)",$C$7='1. Matriz de Activos'!$E$124),OR($C$8="(Todos los subtipos)",$C$8='1. Matriz de Activos'!$F$124)),"Sí","No")</f>
        <v/>
      </c>
      <c r="C129" s="28">
        <f>'1. Matriz de Activos'!$B$124</f>
        <v/>
      </c>
      <c r="D129" s="64">
        <f>'1. Matriz de Activos'!$C$124</f>
        <v/>
      </c>
      <c r="E129" s="28">
        <f>'1. Matriz de Activos'!$G$124</f>
        <v/>
      </c>
      <c r="F129" s="64">
        <f>'1. Matriz de Activos'!$E$124</f>
        <v/>
      </c>
      <c r="G129" s="64">
        <f>'1. Matriz de Activos'!$F$124</f>
        <v/>
      </c>
      <c r="H129" s="28">
        <f>'1. Matriz de Activos'!$T$124</f>
        <v/>
      </c>
      <c r="I129" s="28">
        <f>IF($H129&gt;=4,"Sí","No")</f>
        <v/>
      </c>
      <c r="J129" s="28">
        <f>IF($H129&gt;=4,IFERROR(VLOOKUP($G129,AmenTabla,2,0),0),0)</f>
        <v/>
      </c>
      <c r="K129" s="28">
        <f>COUNTIF('2. Valoración '!$C$6:$C$2261,$C129)</f>
        <v/>
      </c>
      <c r="L129" s="64">
        <f>IF($I129="No","No requiere valoración",IF($K129=0,"FALTA POR COMPLETO — agregar "&amp;$J129&amp;" filas",IF($K129&lt;$J129,"INCOMPLETO — faltan "&amp;($J129-$K129)&amp;" filas",IF($K129&gt;$J129,"REVISAR — hay filas de más","Completo"))))</f>
        <v/>
      </c>
    </row>
    <row r="130" ht="60" customHeight="1" s="54">
      <c r="B130" s="28">
        <f>IF(AND(OR($C$6="(Todos los procesos)",$C$6='1. Matriz de Activos'!$G$125),OR($C$7="(Todos los tipos)",$C$7='1. Matriz de Activos'!$E$125),OR($C$8="(Todos los subtipos)",$C$8='1. Matriz de Activos'!$F$125)),"Sí","No")</f>
        <v/>
      </c>
      <c r="C130" s="28">
        <f>'1. Matriz de Activos'!$B$125</f>
        <v/>
      </c>
      <c r="D130" s="64">
        <f>'1. Matriz de Activos'!$C$125</f>
        <v/>
      </c>
      <c r="E130" s="28">
        <f>'1. Matriz de Activos'!$G$125</f>
        <v/>
      </c>
      <c r="F130" s="64">
        <f>'1. Matriz de Activos'!$E$125</f>
        <v/>
      </c>
      <c r="G130" s="64">
        <f>'1. Matriz de Activos'!$F$125</f>
        <v/>
      </c>
      <c r="H130" s="28">
        <f>'1. Matriz de Activos'!$T$125</f>
        <v/>
      </c>
      <c r="I130" s="28">
        <f>IF($H130&gt;=4,"Sí","No")</f>
        <v/>
      </c>
      <c r="J130" s="28">
        <f>IF($H130&gt;=4,IFERROR(VLOOKUP($G130,AmenTabla,2,0),0),0)</f>
        <v/>
      </c>
      <c r="K130" s="28">
        <f>COUNTIF('2. Valoración '!$C$6:$C$2261,$C130)</f>
        <v/>
      </c>
      <c r="L130" s="64">
        <f>IF($I130="No","No requiere valoración",IF($K130=0,"FALTA POR COMPLETO — agregar "&amp;$J130&amp;" filas",IF($K130&lt;$J130,"INCOMPLETO — faltan "&amp;($J130-$K130)&amp;" filas",IF($K130&gt;$J130,"REVISAR — hay filas de más","Completo"))))</f>
        <v/>
      </c>
    </row>
    <row r="131" ht="45" customHeight="1" s="54">
      <c r="B131" s="28">
        <f>IF(AND(OR($C$6="(Todos los procesos)",$C$6='1. Matriz de Activos'!$G$126),OR($C$7="(Todos los tipos)",$C$7='1. Matriz de Activos'!$E$126),OR($C$8="(Todos los subtipos)",$C$8='1. Matriz de Activos'!$F$126)),"Sí","No")</f>
        <v/>
      </c>
      <c r="C131" s="28">
        <f>'1. Matriz de Activos'!$B$126</f>
        <v/>
      </c>
      <c r="D131" s="64">
        <f>'1. Matriz de Activos'!$C$126</f>
        <v/>
      </c>
      <c r="E131" s="28">
        <f>'1. Matriz de Activos'!$G$126</f>
        <v/>
      </c>
      <c r="F131" s="64">
        <f>'1. Matriz de Activos'!$E$126</f>
        <v/>
      </c>
      <c r="G131" s="64">
        <f>'1. Matriz de Activos'!$F$126</f>
        <v/>
      </c>
      <c r="H131" s="28">
        <f>'1. Matriz de Activos'!$T$126</f>
        <v/>
      </c>
      <c r="I131" s="28">
        <f>IF($H131&gt;=4,"Sí","No")</f>
        <v/>
      </c>
      <c r="J131" s="28">
        <f>IF($H131&gt;=4,IFERROR(VLOOKUP($G131,AmenTabla,2,0),0),0)</f>
        <v/>
      </c>
      <c r="K131" s="28">
        <f>COUNTIF('2. Valoración '!$C$6:$C$2261,$C131)</f>
        <v/>
      </c>
      <c r="L131" s="64">
        <f>IF($I131="No","No requiere valoración",IF($K131=0,"FALTA POR COMPLETO — agregar "&amp;$J131&amp;" filas",IF($K131&lt;$J131,"INCOMPLETO — faltan "&amp;($J131-$K131)&amp;" filas",IF($K131&gt;$J131,"REVISAR — hay filas de más","Completo"))))</f>
        <v/>
      </c>
    </row>
    <row r="132" ht="45" customHeight="1" s="54">
      <c r="B132" s="28">
        <f>IF(AND(OR($C$6="(Todos los procesos)",$C$6='1. Matriz de Activos'!$G$127),OR($C$7="(Todos los tipos)",$C$7='1. Matriz de Activos'!$E$127),OR($C$8="(Todos los subtipos)",$C$8='1. Matriz de Activos'!$F$127)),"Sí","No")</f>
        <v/>
      </c>
      <c r="C132" s="28">
        <f>'1. Matriz de Activos'!$B$127</f>
        <v/>
      </c>
      <c r="D132" s="64">
        <f>'1. Matriz de Activos'!$C$127</f>
        <v/>
      </c>
      <c r="E132" s="28">
        <f>'1. Matriz de Activos'!$G$127</f>
        <v/>
      </c>
      <c r="F132" s="64">
        <f>'1. Matriz de Activos'!$E$127</f>
        <v/>
      </c>
      <c r="G132" s="64">
        <f>'1. Matriz de Activos'!$F$127</f>
        <v/>
      </c>
      <c r="H132" s="28">
        <f>'1. Matriz de Activos'!$T$127</f>
        <v/>
      </c>
      <c r="I132" s="28">
        <f>IF($H132&gt;=4,"Sí","No")</f>
        <v/>
      </c>
      <c r="J132" s="28">
        <f>IF($H132&gt;=4,IFERROR(VLOOKUP($G132,AmenTabla,2,0),0),0)</f>
        <v/>
      </c>
      <c r="K132" s="28">
        <f>COUNTIF('2. Valoración '!$C$6:$C$2261,$C132)</f>
        <v/>
      </c>
      <c r="L132" s="64">
        <f>IF($I132="No","No requiere valoración",IF($K132=0,"FALTA POR COMPLETO — agregar "&amp;$J132&amp;" filas",IF($K132&lt;$J132,"INCOMPLETO — faltan "&amp;($J132-$K132)&amp;" filas",IF($K132&gt;$J132,"REVISAR — hay filas de más","Completo"))))</f>
        <v/>
      </c>
    </row>
    <row r="133" ht="45" customHeight="1" s="54">
      <c r="B133" s="28">
        <f>IF(AND(OR($C$6="(Todos los procesos)",$C$6='1. Matriz de Activos'!$G$128),OR($C$7="(Todos los tipos)",$C$7='1. Matriz de Activos'!$E$128),OR($C$8="(Todos los subtipos)",$C$8='1. Matriz de Activos'!$F$128)),"Sí","No")</f>
        <v/>
      </c>
      <c r="C133" s="28">
        <f>'1. Matriz de Activos'!$B$128</f>
        <v/>
      </c>
      <c r="D133" s="64">
        <f>'1. Matriz de Activos'!$C$128</f>
        <v/>
      </c>
      <c r="E133" s="28">
        <f>'1. Matriz de Activos'!$G$128</f>
        <v/>
      </c>
      <c r="F133" s="64">
        <f>'1. Matriz de Activos'!$E$128</f>
        <v/>
      </c>
      <c r="G133" s="64">
        <f>'1. Matriz de Activos'!$F$128</f>
        <v/>
      </c>
      <c r="H133" s="28">
        <f>'1. Matriz de Activos'!$T$128</f>
        <v/>
      </c>
      <c r="I133" s="28">
        <f>IF($H133&gt;=4,"Sí","No")</f>
        <v/>
      </c>
      <c r="J133" s="28">
        <f>IF($H133&gt;=4,IFERROR(VLOOKUP($G133,AmenTabla,2,0),0),0)</f>
        <v/>
      </c>
      <c r="K133" s="28">
        <f>COUNTIF('2. Valoración '!$C$6:$C$2261,$C133)</f>
        <v/>
      </c>
      <c r="L133" s="64">
        <f>IF($I133="No","No requiere valoración",IF($K133=0,"FALTA POR COMPLETO — agregar "&amp;$J133&amp;" filas",IF($K133&lt;$J133,"INCOMPLETO — faltan "&amp;($J133-$K133)&amp;" filas",IF($K133&gt;$J133,"REVISAR — hay filas de más","Completo"))))</f>
        <v/>
      </c>
    </row>
    <row r="134" ht="45" customHeight="1" s="54">
      <c r="B134" s="28">
        <f>IF(AND(OR($C$6="(Todos los procesos)",$C$6='1. Matriz de Activos'!$G$129),OR($C$7="(Todos los tipos)",$C$7='1. Matriz de Activos'!$E$129),OR($C$8="(Todos los subtipos)",$C$8='1. Matriz de Activos'!$F$129)),"Sí","No")</f>
        <v/>
      </c>
      <c r="C134" s="28">
        <f>'1. Matriz de Activos'!$B$129</f>
        <v/>
      </c>
      <c r="D134" s="64">
        <f>'1. Matriz de Activos'!$C$129</f>
        <v/>
      </c>
      <c r="E134" s="28">
        <f>'1. Matriz de Activos'!$G$129</f>
        <v/>
      </c>
      <c r="F134" s="64">
        <f>'1. Matriz de Activos'!$E$129</f>
        <v/>
      </c>
      <c r="G134" s="64">
        <f>'1. Matriz de Activos'!$F$129</f>
        <v/>
      </c>
      <c r="H134" s="28">
        <f>'1. Matriz de Activos'!$T$129</f>
        <v/>
      </c>
      <c r="I134" s="28">
        <f>IF($H134&gt;=4,"Sí","No")</f>
        <v/>
      </c>
      <c r="J134" s="28">
        <f>IF($H134&gt;=4,IFERROR(VLOOKUP($G134,AmenTabla,2,0),0),0)</f>
        <v/>
      </c>
      <c r="K134" s="28">
        <f>COUNTIF('2. Valoración '!$C$6:$C$2261,$C134)</f>
        <v/>
      </c>
      <c r="L134" s="64">
        <f>IF($I134="No","No requiere valoración",IF($K134=0,"FALTA POR COMPLETO — agregar "&amp;$J134&amp;" filas",IF($K134&lt;$J134,"INCOMPLETO — faltan "&amp;($J134-$K134)&amp;" filas",IF($K134&gt;$J134,"REVISAR — hay filas de más","Completo"))))</f>
        <v/>
      </c>
    </row>
    <row r="135" ht="45" customHeight="1" s="54">
      <c r="B135" s="28">
        <f>IF(AND(OR($C$6="(Todos los procesos)",$C$6='1. Matriz de Activos'!$G$130),OR($C$7="(Todos los tipos)",$C$7='1. Matriz de Activos'!$E$130),OR($C$8="(Todos los subtipos)",$C$8='1. Matriz de Activos'!$F$130)),"Sí","No")</f>
        <v/>
      </c>
      <c r="C135" s="28">
        <f>'1. Matriz de Activos'!$B$130</f>
        <v/>
      </c>
      <c r="D135" s="64">
        <f>'1. Matriz de Activos'!$C$130</f>
        <v/>
      </c>
      <c r="E135" s="28">
        <f>'1. Matriz de Activos'!$G$130</f>
        <v/>
      </c>
      <c r="F135" s="64">
        <f>'1. Matriz de Activos'!$E$130</f>
        <v/>
      </c>
      <c r="G135" s="64">
        <f>'1. Matriz de Activos'!$F$130</f>
        <v/>
      </c>
      <c r="H135" s="28">
        <f>'1. Matriz de Activos'!$T$130</f>
        <v/>
      </c>
      <c r="I135" s="28">
        <f>IF($H135&gt;=4,"Sí","No")</f>
        <v/>
      </c>
      <c r="J135" s="28">
        <f>IF($H135&gt;=4,IFERROR(VLOOKUP($G135,AmenTabla,2,0),0),0)</f>
        <v/>
      </c>
      <c r="K135" s="28">
        <f>COUNTIF('2. Valoración '!$C$6:$C$2261,$C135)</f>
        <v/>
      </c>
      <c r="L135" s="64">
        <f>IF($I135="No","No requiere valoración",IF($K135=0,"FALTA POR COMPLETO — agregar "&amp;$J135&amp;" filas",IF($K135&lt;$J135,"INCOMPLETO — faltan "&amp;($J135-$K135)&amp;" filas",IF($K135&gt;$J135,"REVISAR — hay filas de más","Completo"))))</f>
        <v/>
      </c>
    </row>
    <row r="136" ht="45" customHeight="1" s="54">
      <c r="B136" s="28">
        <f>IF(AND(OR($C$6="(Todos los procesos)",$C$6='1. Matriz de Activos'!$G$131),OR($C$7="(Todos los tipos)",$C$7='1. Matriz de Activos'!$E$131),OR($C$8="(Todos los subtipos)",$C$8='1. Matriz de Activos'!$F$131)),"Sí","No")</f>
        <v/>
      </c>
      <c r="C136" s="28">
        <f>'1. Matriz de Activos'!$B$131</f>
        <v/>
      </c>
      <c r="D136" s="64">
        <f>'1. Matriz de Activos'!$C$131</f>
        <v/>
      </c>
      <c r="E136" s="28">
        <f>'1. Matriz de Activos'!$G$131</f>
        <v/>
      </c>
      <c r="F136" s="64">
        <f>'1. Matriz de Activos'!$E$131</f>
        <v/>
      </c>
      <c r="G136" s="64">
        <f>'1. Matriz de Activos'!$F$131</f>
        <v/>
      </c>
      <c r="H136" s="28">
        <f>'1. Matriz de Activos'!$T$131</f>
        <v/>
      </c>
      <c r="I136" s="28">
        <f>IF($H136&gt;=4,"Sí","No")</f>
        <v/>
      </c>
      <c r="J136" s="28">
        <f>IF($H136&gt;=4,IFERROR(VLOOKUP($G136,AmenTabla,2,0),0),0)</f>
        <v/>
      </c>
      <c r="K136" s="28">
        <f>COUNTIF('2. Valoración '!$C$6:$C$2261,$C136)</f>
        <v/>
      </c>
      <c r="L136" s="64">
        <f>IF($I136="No","No requiere valoración",IF($K136=0,"FALTA POR COMPLETO — agregar "&amp;$J136&amp;" filas",IF($K136&lt;$J136,"INCOMPLETO — faltan "&amp;($J136-$K136)&amp;" filas",IF($K136&gt;$J136,"REVISAR — hay filas de más","Completo"))))</f>
        <v/>
      </c>
    </row>
    <row r="137" ht="30" customHeight="1" s="54">
      <c r="B137" s="28">
        <f>IF(AND(OR($C$6="(Todos los procesos)",$C$6='1. Matriz de Activos'!$G$132),OR($C$7="(Todos los tipos)",$C$7='1. Matriz de Activos'!$E$132),OR($C$8="(Todos los subtipos)",$C$8='1. Matriz de Activos'!$F$132)),"Sí","No")</f>
        <v/>
      </c>
      <c r="C137" s="28">
        <f>'1. Matriz de Activos'!$B$132</f>
        <v/>
      </c>
      <c r="D137" s="64">
        <f>'1. Matriz de Activos'!$C$132</f>
        <v/>
      </c>
      <c r="E137" s="28">
        <f>'1. Matriz de Activos'!$G$132</f>
        <v/>
      </c>
      <c r="F137" s="64">
        <f>'1. Matriz de Activos'!$E$132</f>
        <v/>
      </c>
      <c r="G137" s="64">
        <f>'1. Matriz de Activos'!$F$132</f>
        <v/>
      </c>
      <c r="H137" s="28">
        <f>'1. Matriz de Activos'!$T$132</f>
        <v/>
      </c>
      <c r="I137" s="28">
        <f>IF($H137&gt;=4,"Sí","No")</f>
        <v/>
      </c>
      <c r="J137" s="28">
        <f>IF($H137&gt;=4,IFERROR(VLOOKUP($G137,AmenTabla,2,0),0),0)</f>
        <v/>
      </c>
      <c r="K137" s="28">
        <f>COUNTIF('2. Valoración '!$C$6:$C$2261,$C137)</f>
        <v/>
      </c>
      <c r="L137" s="64">
        <f>IF($I137="No","No requiere valoración",IF($K137=0,"FALTA POR COMPLETO — agregar "&amp;$J137&amp;" filas",IF($K137&lt;$J137,"INCOMPLETO — faltan "&amp;($J137-$K137)&amp;" filas",IF($K137&gt;$J137,"REVISAR — hay filas de más","Completo"))))</f>
        <v/>
      </c>
    </row>
    <row r="138" ht="30" customHeight="1" s="54">
      <c r="B138" s="28">
        <f>IF(AND(OR($C$6="(Todos los procesos)",$C$6='1. Matriz de Activos'!$G$133),OR($C$7="(Todos los tipos)",$C$7='1. Matriz de Activos'!$E$133),OR($C$8="(Todos los subtipos)",$C$8='1. Matriz de Activos'!$F$133)),"Sí","No")</f>
        <v/>
      </c>
      <c r="C138" s="28">
        <f>'1. Matriz de Activos'!$B$133</f>
        <v/>
      </c>
      <c r="D138" s="64">
        <f>'1. Matriz de Activos'!$C$133</f>
        <v/>
      </c>
      <c r="E138" s="28">
        <f>'1. Matriz de Activos'!$G$133</f>
        <v/>
      </c>
      <c r="F138" s="64">
        <f>'1. Matriz de Activos'!$E$133</f>
        <v/>
      </c>
      <c r="G138" s="64">
        <f>'1. Matriz de Activos'!$F$133</f>
        <v/>
      </c>
      <c r="H138" s="28">
        <f>'1. Matriz de Activos'!$T$133</f>
        <v/>
      </c>
      <c r="I138" s="28">
        <f>IF($H138&gt;=4,"Sí","No")</f>
        <v/>
      </c>
      <c r="J138" s="28">
        <f>IF($H138&gt;=4,IFERROR(VLOOKUP($G138,AmenTabla,2,0),0),0)</f>
        <v/>
      </c>
      <c r="K138" s="28">
        <f>COUNTIF('2. Valoración '!$C$6:$C$2261,$C138)</f>
        <v/>
      </c>
      <c r="L138" s="64">
        <f>IF($I138="No","No requiere valoración",IF($K138=0,"FALTA POR COMPLETO — agregar "&amp;$J138&amp;" filas",IF($K138&lt;$J138,"INCOMPLETO — faltan "&amp;($J138-$K138)&amp;" filas",IF($K138&gt;$J138,"REVISAR — hay filas de más","Completo"))))</f>
        <v/>
      </c>
    </row>
    <row r="139" ht="30" customHeight="1" s="54">
      <c r="B139" s="28">
        <f>IF(AND(OR($C$6="(Todos los procesos)",$C$6='1. Matriz de Activos'!$G$134),OR($C$7="(Todos los tipos)",$C$7='1. Matriz de Activos'!$E$134),OR($C$8="(Todos los subtipos)",$C$8='1. Matriz de Activos'!$F$134)),"Sí","No")</f>
        <v/>
      </c>
      <c r="C139" s="28">
        <f>'1. Matriz de Activos'!$B$134</f>
        <v/>
      </c>
      <c r="D139" s="64">
        <f>'1. Matriz de Activos'!$C$134</f>
        <v/>
      </c>
      <c r="E139" s="28">
        <f>'1. Matriz de Activos'!$G$134</f>
        <v/>
      </c>
      <c r="F139" s="64">
        <f>'1. Matriz de Activos'!$E$134</f>
        <v/>
      </c>
      <c r="G139" s="64">
        <f>'1. Matriz de Activos'!$F$134</f>
        <v/>
      </c>
      <c r="H139" s="28">
        <f>'1. Matriz de Activos'!$T$134</f>
        <v/>
      </c>
      <c r="I139" s="28">
        <f>IF($H139&gt;=4,"Sí","No")</f>
        <v/>
      </c>
      <c r="J139" s="28">
        <f>IF($H139&gt;=4,IFERROR(VLOOKUP($G139,AmenTabla,2,0),0),0)</f>
        <v/>
      </c>
      <c r="K139" s="28">
        <f>COUNTIF('2. Valoración '!$C$6:$C$2261,$C139)</f>
        <v/>
      </c>
      <c r="L139" s="64">
        <f>IF($I139="No","No requiere valoración",IF($K139=0,"FALTA POR COMPLETO — agregar "&amp;$J139&amp;" filas",IF($K139&lt;$J139,"INCOMPLETO — faltan "&amp;($J139-$K139)&amp;" filas",IF($K139&gt;$J139,"REVISAR — hay filas de más","Completo"))))</f>
        <v/>
      </c>
    </row>
    <row r="140" ht="45" customHeight="1" s="54">
      <c r="B140" s="28">
        <f>IF(AND(OR($C$6="(Todos los procesos)",$C$6='1. Matriz de Activos'!$G$135),OR($C$7="(Todos los tipos)",$C$7='1. Matriz de Activos'!$E$135),OR($C$8="(Todos los subtipos)",$C$8='1. Matriz de Activos'!$F$135)),"Sí","No")</f>
        <v/>
      </c>
      <c r="C140" s="28">
        <f>'1. Matriz de Activos'!$B$135</f>
        <v/>
      </c>
      <c r="D140" s="64">
        <f>'1. Matriz de Activos'!$C$135</f>
        <v/>
      </c>
      <c r="E140" s="28">
        <f>'1. Matriz de Activos'!$G$135</f>
        <v/>
      </c>
      <c r="F140" s="64">
        <f>'1. Matriz de Activos'!$E$135</f>
        <v/>
      </c>
      <c r="G140" s="64">
        <f>'1. Matriz de Activos'!$F$135</f>
        <v/>
      </c>
      <c r="H140" s="28">
        <f>'1. Matriz de Activos'!$T$135</f>
        <v/>
      </c>
      <c r="I140" s="28">
        <f>IF($H140&gt;=4,"Sí","No")</f>
        <v/>
      </c>
      <c r="J140" s="28">
        <f>IF($H140&gt;=4,IFERROR(VLOOKUP($G140,AmenTabla,2,0),0),0)</f>
        <v/>
      </c>
      <c r="K140" s="28">
        <f>COUNTIF('2. Valoración '!$C$6:$C$2261,$C140)</f>
        <v/>
      </c>
      <c r="L140" s="64">
        <f>IF($I140="No","No requiere valoración",IF($K140=0,"FALTA POR COMPLETO — agregar "&amp;$J140&amp;" filas",IF($K140&lt;$J140,"INCOMPLETO — faltan "&amp;($J140-$K140)&amp;" filas",IF($K140&gt;$J140,"REVISAR — hay filas de más","Completo"))))</f>
        <v/>
      </c>
    </row>
    <row r="141" ht="30" customHeight="1" s="54">
      <c r="B141" s="28">
        <f>IF(AND(OR($C$6="(Todos los procesos)",$C$6='1. Matriz de Activos'!$G$136),OR($C$7="(Todos los tipos)",$C$7='1. Matriz de Activos'!$E$136),OR($C$8="(Todos los subtipos)",$C$8='1. Matriz de Activos'!$F$136)),"Sí","No")</f>
        <v/>
      </c>
      <c r="C141" s="28">
        <f>'1. Matriz de Activos'!$B$136</f>
        <v/>
      </c>
      <c r="D141" s="64">
        <f>'1. Matriz de Activos'!$C$136</f>
        <v/>
      </c>
      <c r="E141" s="28">
        <f>'1. Matriz de Activos'!$G$136</f>
        <v/>
      </c>
      <c r="F141" s="64">
        <f>'1. Matriz de Activos'!$E$136</f>
        <v/>
      </c>
      <c r="G141" s="64">
        <f>'1. Matriz de Activos'!$F$136</f>
        <v/>
      </c>
      <c r="H141" s="28">
        <f>'1. Matriz de Activos'!$T$136</f>
        <v/>
      </c>
      <c r="I141" s="28">
        <f>IF($H141&gt;=4,"Sí","No")</f>
        <v/>
      </c>
      <c r="J141" s="28">
        <f>IF($H141&gt;=4,IFERROR(VLOOKUP($G141,AmenTabla,2,0),0),0)</f>
        <v/>
      </c>
      <c r="K141" s="28">
        <f>COUNTIF('2. Valoración '!$C$6:$C$2261,$C141)</f>
        <v/>
      </c>
      <c r="L141" s="64">
        <f>IF($I141="No","No requiere valoración",IF($K141=0,"FALTA POR COMPLETO — agregar "&amp;$J141&amp;" filas",IF($K141&lt;$J141,"INCOMPLETO — faltan "&amp;($J141-$K141)&amp;" filas",IF($K141&gt;$J141,"REVISAR — hay filas de más","Completo"))))</f>
        <v/>
      </c>
    </row>
    <row r="142" ht="30" customHeight="1" s="54">
      <c r="B142" s="28">
        <f>IF(AND(OR($C$6="(Todos los procesos)",$C$6='1. Matriz de Activos'!$G$137),OR($C$7="(Todos los tipos)",$C$7='1. Matriz de Activos'!$E$137),OR($C$8="(Todos los subtipos)",$C$8='1. Matriz de Activos'!$F$137)),"Sí","No")</f>
        <v/>
      </c>
      <c r="C142" s="28">
        <f>'1. Matriz de Activos'!$B$137</f>
        <v/>
      </c>
      <c r="D142" s="64">
        <f>'1. Matriz de Activos'!$C$137</f>
        <v/>
      </c>
      <c r="E142" s="28">
        <f>'1. Matriz de Activos'!$G$137</f>
        <v/>
      </c>
      <c r="F142" s="64">
        <f>'1. Matriz de Activos'!$E$137</f>
        <v/>
      </c>
      <c r="G142" s="64">
        <f>'1. Matriz de Activos'!$F$137</f>
        <v/>
      </c>
      <c r="H142" s="28">
        <f>'1. Matriz de Activos'!$T$137</f>
        <v/>
      </c>
      <c r="I142" s="28">
        <f>IF($H142&gt;=4,"Sí","No")</f>
        <v/>
      </c>
      <c r="J142" s="28">
        <f>IF($H142&gt;=4,IFERROR(VLOOKUP($G142,AmenTabla,2,0),0),0)</f>
        <v/>
      </c>
      <c r="K142" s="28">
        <f>COUNTIF('2. Valoración '!$C$6:$C$2261,$C142)</f>
        <v/>
      </c>
      <c r="L142" s="64">
        <f>IF($I142="No","No requiere valoración",IF($K142=0,"FALTA POR COMPLETO — agregar "&amp;$J142&amp;" filas",IF($K142&lt;$J142,"INCOMPLETO — faltan "&amp;($J142-$K142)&amp;" filas",IF($K142&gt;$J142,"REVISAR — hay filas de más","Completo"))))</f>
        <v/>
      </c>
    </row>
    <row r="143" ht="30" customHeight="1" s="54">
      <c r="B143" s="28">
        <f>IF(AND(OR($C$6="(Todos los procesos)",$C$6='1. Matriz de Activos'!$G$138),OR($C$7="(Todos los tipos)",$C$7='1. Matriz de Activos'!$E$138),OR($C$8="(Todos los subtipos)",$C$8='1. Matriz de Activos'!$F$138)),"Sí","No")</f>
        <v/>
      </c>
      <c r="C143" s="28">
        <f>'1. Matriz de Activos'!$B$138</f>
        <v/>
      </c>
      <c r="D143" s="64">
        <f>'1. Matriz de Activos'!$C$138</f>
        <v/>
      </c>
      <c r="E143" s="28">
        <f>'1. Matriz de Activos'!$G$138</f>
        <v/>
      </c>
      <c r="F143" s="64">
        <f>'1. Matriz de Activos'!$E$138</f>
        <v/>
      </c>
      <c r="G143" s="64">
        <f>'1. Matriz de Activos'!$F$138</f>
        <v/>
      </c>
      <c r="H143" s="28">
        <f>'1. Matriz de Activos'!$T$138</f>
        <v/>
      </c>
      <c r="I143" s="28">
        <f>IF($H143&gt;=4,"Sí","No")</f>
        <v/>
      </c>
      <c r="J143" s="28">
        <f>IF($H143&gt;=4,IFERROR(VLOOKUP($G143,AmenTabla,2,0),0),0)</f>
        <v/>
      </c>
      <c r="K143" s="28">
        <f>COUNTIF('2. Valoración '!$C$6:$C$2261,$C143)</f>
        <v/>
      </c>
      <c r="L143" s="64">
        <f>IF($I143="No","No requiere valoración",IF($K143=0,"FALTA POR COMPLETO — agregar "&amp;$J143&amp;" filas",IF($K143&lt;$J143,"INCOMPLETO — faltan "&amp;($J143-$K143)&amp;" filas",IF($K143&gt;$J143,"REVISAR — hay filas de más","Completo"))))</f>
        <v/>
      </c>
    </row>
    <row r="144" ht="30" customHeight="1" s="54">
      <c r="B144" s="28">
        <f>IF(AND(OR($C$6="(Todos los procesos)",$C$6='1. Matriz de Activos'!$G$139),OR($C$7="(Todos los tipos)",$C$7='1. Matriz de Activos'!$E$139),OR($C$8="(Todos los subtipos)",$C$8='1. Matriz de Activos'!$F$139)),"Sí","No")</f>
        <v/>
      </c>
      <c r="C144" s="28">
        <f>'1. Matriz de Activos'!$B$139</f>
        <v/>
      </c>
      <c r="D144" s="64">
        <f>'1. Matriz de Activos'!$C$139</f>
        <v/>
      </c>
      <c r="E144" s="28">
        <f>'1. Matriz de Activos'!$G$139</f>
        <v/>
      </c>
      <c r="F144" s="64">
        <f>'1. Matriz de Activos'!$E$139</f>
        <v/>
      </c>
      <c r="G144" s="64">
        <f>'1. Matriz de Activos'!$F$139</f>
        <v/>
      </c>
      <c r="H144" s="28">
        <f>'1. Matriz de Activos'!$T$139</f>
        <v/>
      </c>
      <c r="I144" s="28">
        <f>IF($H144&gt;=4,"Sí","No")</f>
        <v/>
      </c>
      <c r="J144" s="28">
        <f>IF($H144&gt;=4,IFERROR(VLOOKUP($G144,AmenTabla,2,0),0),0)</f>
        <v/>
      </c>
      <c r="K144" s="28">
        <f>COUNTIF('2. Valoración '!$C$6:$C$2261,$C144)</f>
        <v/>
      </c>
      <c r="L144" s="64">
        <f>IF($I144="No","No requiere valoración",IF($K144=0,"FALTA POR COMPLETO — agregar "&amp;$J144&amp;" filas",IF($K144&lt;$J144,"INCOMPLETO — faltan "&amp;($J144-$K144)&amp;" filas",IF($K144&gt;$J144,"REVISAR — hay filas de más","Completo"))))</f>
        <v/>
      </c>
    </row>
    <row r="145" ht="30" customHeight="1" s="54">
      <c r="B145" s="28">
        <f>IF(AND(OR($C$6="(Todos los procesos)",$C$6='1. Matriz de Activos'!$G$140),OR($C$7="(Todos los tipos)",$C$7='1. Matriz de Activos'!$E$140),OR($C$8="(Todos los subtipos)",$C$8='1. Matriz de Activos'!$F$140)),"Sí","No")</f>
        <v/>
      </c>
      <c r="C145" s="28">
        <f>'1. Matriz de Activos'!$B$140</f>
        <v/>
      </c>
      <c r="D145" s="64">
        <f>'1. Matriz de Activos'!$C$140</f>
        <v/>
      </c>
      <c r="E145" s="28">
        <f>'1. Matriz de Activos'!$G$140</f>
        <v/>
      </c>
      <c r="F145" s="64">
        <f>'1. Matriz de Activos'!$E$140</f>
        <v/>
      </c>
      <c r="G145" s="64">
        <f>'1. Matriz de Activos'!$F$140</f>
        <v/>
      </c>
      <c r="H145" s="28">
        <f>'1. Matriz de Activos'!$T$140</f>
        <v/>
      </c>
      <c r="I145" s="28">
        <f>IF($H145&gt;=4,"Sí","No")</f>
        <v/>
      </c>
      <c r="J145" s="28">
        <f>IF($H145&gt;=4,IFERROR(VLOOKUP($G145,AmenTabla,2,0),0),0)</f>
        <v/>
      </c>
      <c r="K145" s="28">
        <f>COUNTIF('2. Valoración '!$C$6:$C$2261,$C145)</f>
        <v/>
      </c>
      <c r="L145" s="64">
        <f>IF($I145="No","No requiere valoración",IF($K145=0,"FALTA POR COMPLETO — agregar "&amp;$J145&amp;" filas",IF($K145&lt;$J145,"INCOMPLETO — faltan "&amp;($J145-$K145)&amp;" filas",IF($K145&gt;$J145,"REVISAR — hay filas de más","Completo"))))</f>
        <v/>
      </c>
    </row>
    <row r="146" ht="30" customHeight="1" s="54">
      <c r="B146" s="28">
        <f>IF(AND(OR($C$6="(Todos los procesos)",$C$6='1. Matriz de Activos'!$G$141),OR($C$7="(Todos los tipos)",$C$7='1. Matriz de Activos'!$E$141),OR($C$8="(Todos los subtipos)",$C$8='1. Matriz de Activos'!$F$141)),"Sí","No")</f>
        <v/>
      </c>
      <c r="C146" s="28">
        <f>'1. Matriz de Activos'!$B$141</f>
        <v/>
      </c>
      <c r="D146" s="64">
        <f>'1. Matriz de Activos'!$C$141</f>
        <v/>
      </c>
      <c r="E146" s="28">
        <f>'1. Matriz de Activos'!$G$141</f>
        <v/>
      </c>
      <c r="F146" s="64">
        <f>'1. Matriz de Activos'!$E$141</f>
        <v/>
      </c>
      <c r="G146" s="64">
        <f>'1. Matriz de Activos'!$F$141</f>
        <v/>
      </c>
      <c r="H146" s="28">
        <f>'1. Matriz de Activos'!$T$141</f>
        <v/>
      </c>
      <c r="I146" s="28">
        <f>IF($H146&gt;=4,"Sí","No")</f>
        <v/>
      </c>
      <c r="J146" s="28">
        <f>IF($H146&gt;=4,IFERROR(VLOOKUP($G146,AmenTabla,2,0),0),0)</f>
        <v/>
      </c>
      <c r="K146" s="28">
        <f>COUNTIF('2. Valoración '!$C$6:$C$2261,$C146)</f>
        <v/>
      </c>
      <c r="L146" s="64">
        <f>IF($I146="No","No requiere valoración",IF($K146=0,"FALTA POR COMPLETO — agregar "&amp;$J146&amp;" filas",IF($K146&lt;$J146,"INCOMPLETO — faltan "&amp;($J146-$K146)&amp;" filas",IF($K146&gt;$J146,"REVISAR — hay filas de más","Completo"))))</f>
        <v/>
      </c>
    </row>
    <row r="147" ht="30" customHeight="1" s="54">
      <c r="B147" s="28">
        <f>IF(AND(OR($C$6="(Todos los procesos)",$C$6='1. Matriz de Activos'!$G$142),OR($C$7="(Todos los tipos)",$C$7='1. Matriz de Activos'!$E$142),OR($C$8="(Todos los subtipos)",$C$8='1. Matriz de Activos'!$F$142)),"Sí","No")</f>
        <v/>
      </c>
      <c r="C147" s="28">
        <f>'1. Matriz de Activos'!$B$142</f>
        <v/>
      </c>
      <c r="D147" s="64">
        <f>'1. Matriz de Activos'!$C$142</f>
        <v/>
      </c>
      <c r="E147" s="28">
        <f>'1. Matriz de Activos'!$G$142</f>
        <v/>
      </c>
      <c r="F147" s="64">
        <f>'1. Matriz de Activos'!$E$142</f>
        <v/>
      </c>
      <c r="G147" s="64">
        <f>'1. Matriz de Activos'!$F$142</f>
        <v/>
      </c>
      <c r="H147" s="28">
        <f>'1. Matriz de Activos'!$T$142</f>
        <v/>
      </c>
      <c r="I147" s="28">
        <f>IF($H147&gt;=4,"Sí","No")</f>
        <v/>
      </c>
      <c r="J147" s="28">
        <f>IF($H147&gt;=4,IFERROR(VLOOKUP($G147,AmenTabla,2,0),0),0)</f>
        <v/>
      </c>
      <c r="K147" s="28">
        <f>COUNTIF('2. Valoración '!$C$6:$C$2261,$C147)</f>
        <v/>
      </c>
      <c r="L147" s="64">
        <f>IF($I147="No","No requiere valoración",IF($K147=0,"FALTA POR COMPLETO — agregar "&amp;$J147&amp;" filas",IF($K147&lt;$J147,"INCOMPLETO — faltan "&amp;($J147-$K147)&amp;" filas",IF($K147&gt;$J147,"REVISAR — hay filas de más","Completo"))))</f>
        <v/>
      </c>
    </row>
    <row r="148" ht="30" customHeight="1" s="54">
      <c r="B148" s="28">
        <f>IF(AND(OR($C$6="(Todos los procesos)",$C$6='1. Matriz de Activos'!$G$143),OR($C$7="(Todos los tipos)",$C$7='1. Matriz de Activos'!$E$143),OR($C$8="(Todos los subtipos)",$C$8='1. Matriz de Activos'!$F$143)),"Sí","No")</f>
        <v/>
      </c>
      <c r="C148" s="28">
        <f>'1. Matriz de Activos'!$B$143</f>
        <v/>
      </c>
      <c r="D148" s="64">
        <f>'1. Matriz de Activos'!$C$143</f>
        <v/>
      </c>
      <c r="E148" s="28">
        <f>'1. Matriz de Activos'!$G$143</f>
        <v/>
      </c>
      <c r="F148" s="64">
        <f>'1. Matriz de Activos'!$E$143</f>
        <v/>
      </c>
      <c r="G148" s="64">
        <f>'1. Matriz de Activos'!$F$143</f>
        <v/>
      </c>
      <c r="H148" s="28">
        <f>'1. Matriz de Activos'!$T$143</f>
        <v/>
      </c>
      <c r="I148" s="28">
        <f>IF($H148&gt;=4,"Sí","No")</f>
        <v/>
      </c>
      <c r="J148" s="28">
        <f>IF($H148&gt;=4,IFERROR(VLOOKUP($G148,AmenTabla,2,0),0),0)</f>
        <v/>
      </c>
      <c r="K148" s="28">
        <f>COUNTIF('2. Valoración '!$C$6:$C$2261,$C148)</f>
        <v/>
      </c>
      <c r="L148" s="64">
        <f>IF($I148="No","No requiere valoración",IF($K148=0,"FALTA POR COMPLETO — agregar "&amp;$J148&amp;" filas",IF($K148&lt;$J148,"INCOMPLETO — faltan "&amp;($J148-$K148)&amp;" filas",IF($K148&gt;$J148,"REVISAR — hay filas de más","Completo"))))</f>
        <v/>
      </c>
    </row>
    <row r="149" ht="30" customHeight="1" s="54">
      <c r="B149" s="28">
        <f>IF(AND(OR($C$6="(Todos los procesos)",$C$6='1. Matriz de Activos'!$G$144),OR($C$7="(Todos los tipos)",$C$7='1. Matriz de Activos'!$E$144),OR($C$8="(Todos los subtipos)",$C$8='1. Matriz de Activos'!$F$144)),"Sí","No")</f>
        <v/>
      </c>
      <c r="C149" s="28">
        <f>'1. Matriz de Activos'!$B$144</f>
        <v/>
      </c>
      <c r="D149" s="64">
        <f>'1. Matriz de Activos'!$C$144</f>
        <v/>
      </c>
      <c r="E149" s="28">
        <f>'1. Matriz de Activos'!$G$144</f>
        <v/>
      </c>
      <c r="F149" s="64">
        <f>'1. Matriz de Activos'!$E$144</f>
        <v/>
      </c>
      <c r="G149" s="64">
        <f>'1. Matriz de Activos'!$F$144</f>
        <v/>
      </c>
      <c r="H149" s="28">
        <f>'1. Matriz de Activos'!$T$144</f>
        <v/>
      </c>
      <c r="I149" s="28">
        <f>IF($H149&gt;=4,"Sí","No")</f>
        <v/>
      </c>
      <c r="J149" s="28">
        <f>IF($H149&gt;=4,IFERROR(VLOOKUP($G149,AmenTabla,2,0),0),0)</f>
        <v/>
      </c>
      <c r="K149" s="28">
        <f>COUNTIF('2. Valoración '!$C$6:$C$2261,$C149)</f>
        <v/>
      </c>
      <c r="L149" s="64">
        <f>IF($I149="No","No requiere valoración",IF($K149=0,"FALTA POR COMPLETO — agregar "&amp;$J149&amp;" filas",IF($K149&lt;$J149,"INCOMPLETO — faltan "&amp;($J149-$K149)&amp;" filas",IF($K149&gt;$J149,"REVISAR — hay filas de más","Completo"))))</f>
        <v/>
      </c>
    </row>
    <row r="150" ht="30" customHeight="1" s="54">
      <c r="B150" s="28">
        <f>IF(AND(OR($C$6="(Todos los procesos)",$C$6='1. Matriz de Activos'!$G$145),OR($C$7="(Todos los tipos)",$C$7='1. Matriz de Activos'!$E$145),OR($C$8="(Todos los subtipos)",$C$8='1. Matriz de Activos'!$F$145)),"Sí","No")</f>
        <v/>
      </c>
      <c r="C150" s="28">
        <f>'1. Matriz de Activos'!$B$145</f>
        <v/>
      </c>
      <c r="D150" s="64">
        <f>'1. Matriz de Activos'!$C$145</f>
        <v/>
      </c>
      <c r="E150" s="28">
        <f>'1. Matriz de Activos'!$G$145</f>
        <v/>
      </c>
      <c r="F150" s="64">
        <f>'1. Matriz de Activos'!$E$145</f>
        <v/>
      </c>
      <c r="G150" s="64">
        <f>'1. Matriz de Activos'!$F$145</f>
        <v/>
      </c>
      <c r="H150" s="28">
        <f>'1. Matriz de Activos'!$T$145</f>
        <v/>
      </c>
      <c r="I150" s="28">
        <f>IF($H150&gt;=4,"Sí","No")</f>
        <v/>
      </c>
      <c r="J150" s="28">
        <f>IF($H150&gt;=4,IFERROR(VLOOKUP($G150,AmenTabla,2,0),0),0)</f>
        <v/>
      </c>
      <c r="K150" s="28">
        <f>COUNTIF('2. Valoración '!$C$6:$C$2261,$C150)</f>
        <v/>
      </c>
      <c r="L150" s="64">
        <f>IF($I150="No","No requiere valoración",IF($K150=0,"FALTA POR COMPLETO — agregar "&amp;$J150&amp;" filas",IF($K150&lt;$J150,"INCOMPLETO — faltan "&amp;($J150-$K150)&amp;" filas",IF($K150&gt;$J150,"REVISAR — hay filas de más","Completo"))))</f>
        <v/>
      </c>
    </row>
    <row r="151" ht="45" customHeight="1" s="54">
      <c r="B151" s="28">
        <f>IF(AND(OR($C$6="(Todos los procesos)",$C$6='1. Matriz de Activos'!$G$146),OR($C$7="(Todos los tipos)",$C$7='1. Matriz de Activos'!$E$146),OR($C$8="(Todos los subtipos)",$C$8='1. Matriz de Activos'!$F$146)),"Sí","No")</f>
        <v/>
      </c>
      <c r="C151" s="28">
        <f>'1. Matriz de Activos'!$B$146</f>
        <v/>
      </c>
      <c r="D151" s="64">
        <f>'1. Matriz de Activos'!$C$146</f>
        <v/>
      </c>
      <c r="E151" s="28">
        <f>'1. Matriz de Activos'!$G$146</f>
        <v/>
      </c>
      <c r="F151" s="64">
        <f>'1. Matriz de Activos'!$E$146</f>
        <v/>
      </c>
      <c r="G151" s="64">
        <f>'1. Matriz de Activos'!$F$146</f>
        <v/>
      </c>
      <c r="H151" s="28">
        <f>'1. Matriz de Activos'!$T$146</f>
        <v/>
      </c>
      <c r="I151" s="28">
        <f>IF($H151&gt;=4,"Sí","No")</f>
        <v/>
      </c>
      <c r="J151" s="28">
        <f>IF($H151&gt;=4,IFERROR(VLOOKUP($G151,AmenTabla,2,0),0),0)</f>
        <v/>
      </c>
      <c r="K151" s="28">
        <f>COUNTIF('2. Valoración '!$C$6:$C$2261,$C151)</f>
        <v/>
      </c>
      <c r="L151" s="64">
        <f>IF($I151="No","No requiere valoración",IF($K151=0,"FALTA POR COMPLETO — agregar "&amp;$J151&amp;" filas",IF($K151&lt;$J151,"INCOMPLETO — faltan "&amp;($J151-$K151)&amp;" filas",IF($K151&gt;$J151,"REVISAR — hay filas de más","Completo"))))</f>
        <v/>
      </c>
    </row>
    <row r="152" ht="45" customHeight="1" s="54">
      <c r="B152" s="28">
        <f>IF(AND(OR($C$6="(Todos los procesos)",$C$6='1. Matriz de Activos'!$G$147),OR($C$7="(Todos los tipos)",$C$7='1. Matriz de Activos'!$E$147),OR($C$8="(Todos los subtipos)",$C$8='1. Matriz de Activos'!$F$147)),"Sí","No")</f>
        <v/>
      </c>
      <c r="C152" s="28">
        <f>'1. Matriz de Activos'!$B$147</f>
        <v/>
      </c>
      <c r="D152" s="64">
        <f>'1. Matriz de Activos'!$C$147</f>
        <v/>
      </c>
      <c r="E152" s="28">
        <f>'1. Matriz de Activos'!$G$147</f>
        <v/>
      </c>
      <c r="F152" s="64">
        <f>'1. Matriz de Activos'!$E$147</f>
        <v/>
      </c>
      <c r="G152" s="64">
        <f>'1. Matriz de Activos'!$F$147</f>
        <v/>
      </c>
      <c r="H152" s="28">
        <f>'1. Matriz de Activos'!$T$147</f>
        <v/>
      </c>
      <c r="I152" s="28">
        <f>IF($H152&gt;=4,"Sí","No")</f>
        <v/>
      </c>
      <c r="J152" s="28">
        <f>IF($H152&gt;=4,IFERROR(VLOOKUP($G152,AmenTabla,2,0),0),0)</f>
        <v/>
      </c>
      <c r="K152" s="28">
        <f>COUNTIF('2. Valoración '!$C$6:$C$2261,$C152)</f>
        <v/>
      </c>
      <c r="L152" s="64">
        <f>IF($I152="No","No requiere valoración",IF($K152=0,"FALTA POR COMPLETO — agregar "&amp;$J152&amp;" filas",IF($K152&lt;$J152,"INCOMPLETO — faltan "&amp;($J152-$K152)&amp;" filas",IF($K152&gt;$J152,"REVISAR — hay filas de más","Completo"))))</f>
        <v/>
      </c>
    </row>
    <row r="153" ht="45" customHeight="1" s="54">
      <c r="B153" s="28">
        <f>IF(AND(OR($C$6="(Todos los procesos)",$C$6='1. Matriz de Activos'!$G$148),OR($C$7="(Todos los tipos)",$C$7='1. Matriz de Activos'!$E$148),OR($C$8="(Todos los subtipos)",$C$8='1. Matriz de Activos'!$F$148)),"Sí","No")</f>
        <v/>
      </c>
      <c r="C153" s="28">
        <f>'1. Matriz de Activos'!$B$148</f>
        <v/>
      </c>
      <c r="D153" s="64">
        <f>'1. Matriz de Activos'!$C$148</f>
        <v/>
      </c>
      <c r="E153" s="28">
        <f>'1. Matriz de Activos'!$G$148</f>
        <v/>
      </c>
      <c r="F153" s="64">
        <f>'1. Matriz de Activos'!$E$148</f>
        <v/>
      </c>
      <c r="G153" s="64">
        <f>'1. Matriz de Activos'!$F$148</f>
        <v/>
      </c>
      <c r="H153" s="28">
        <f>'1. Matriz de Activos'!$T$148</f>
        <v/>
      </c>
      <c r="I153" s="28">
        <f>IF($H153&gt;=4,"Sí","No")</f>
        <v/>
      </c>
      <c r="J153" s="28">
        <f>IF($H153&gt;=4,IFERROR(VLOOKUP($G153,AmenTabla,2,0),0),0)</f>
        <v/>
      </c>
      <c r="K153" s="28">
        <f>COUNTIF('2. Valoración '!$C$6:$C$2261,$C153)</f>
        <v/>
      </c>
      <c r="L153" s="64">
        <f>IF($I153="No","No requiere valoración",IF($K153=0,"FALTA POR COMPLETO — agregar "&amp;$J153&amp;" filas",IF($K153&lt;$J153,"INCOMPLETO — faltan "&amp;($J153-$K153)&amp;" filas",IF($K153&gt;$J153,"REVISAR — hay filas de más","Completo"))))</f>
        <v/>
      </c>
    </row>
    <row r="154" ht="45" customHeight="1" s="54">
      <c r="B154" s="28">
        <f>IF(AND(OR($C$6="(Todos los procesos)",$C$6='1. Matriz de Activos'!$G$149),OR($C$7="(Todos los tipos)",$C$7='1. Matriz de Activos'!$E$149),OR($C$8="(Todos los subtipos)",$C$8='1. Matriz de Activos'!$F$149)),"Sí","No")</f>
        <v/>
      </c>
      <c r="C154" s="28">
        <f>'1. Matriz de Activos'!$B$149</f>
        <v/>
      </c>
      <c r="D154" s="64">
        <f>'1. Matriz de Activos'!$C$149</f>
        <v/>
      </c>
      <c r="E154" s="28">
        <f>'1. Matriz de Activos'!$G$149</f>
        <v/>
      </c>
      <c r="F154" s="64">
        <f>'1. Matriz de Activos'!$E$149</f>
        <v/>
      </c>
      <c r="G154" s="64">
        <f>'1. Matriz de Activos'!$F$149</f>
        <v/>
      </c>
      <c r="H154" s="28">
        <f>'1. Matriz de Activos'!$T$149</f>
        <v/>
      </c>
      <c r="I154" s="28">
        <f>IF($H154&gt;=4,"Sí","No")</f>
        <v/>
      </c>
      <c r="J154" s="28">
        <f>IF($H154&gt;=4,IFERROR(VLOOKUP($G154,AmenTabla,2,0),0),0)</f>
        <v/>
      </c>
      <c r="K154" s="28">
        <f>COUNTIF('2. Valoración '!$C$6:$C$2261,$C154)</f>
        <v/>
      </c>
      <c r="L154" s="64">
        <f>IF($I154="No","No requiere valoración",IF($K154=0,"FALTA POR COMPLETO — agregar "&amp;$J154&amp;" filas",IF($K154&lt;$J154,"INCOMPLETO — faltan "&amp;($J154-$K154)&amp;" filas",IF($K154&gt;$J154,"REVISAR — hay filas de más","Completo"))))</f>
        <v/>
      </c>
    </row>
    <row r="155" ht="45" customHeight="1" s="54">
      <c r="B155" s="28">
        <f>IF(AND(OR($C$6="(Todos los procesos)",$C$6='1. Matriz de Activos'!$G$150),OR($C$7="(Todos los tipos)",$C$7='1. Matriz de Activos'!$E$150),OR($C$8="(Todos los subtipos)",$C$8='1. Matriz de Activos'!$F$150)),"Sí","No")</f>
        <v/>
      </c>
      <c r="C155" s="28">
        <f>'1. Matriz de Activos'!$B$150</f>
        <v/>
      </c>
      <c r="D155" s="64">
        <f>'1. Matriz de Activos'!$C$150</f>
        <v/>
      </c>
      <c r="E155" s="28">
        <f>'1. Matriz de Activos'!$G$150</f>
        <v/>
      </c>
      <c r="F155" s="64">
        <f>'1. Matriz de Activos'!$E$150</f>
        <v/>
      </c>
      <c r="G155" s="64">
        <f>'1. Matriz de Activos'!$F$150</f>
        <v/>
      </c>
      <c r="H155" s="28">
        <f>'1. Matriz de Activos'!$T$150</f>
        <v/>
      </c>
      <c r="I155" s="28">
        <f>IF($H155&gt;=4,"Sí","No")</f>
        <v/>
      </c>
      <c r="J155" s="28">
        <f>IF($H155&gt;=4,IFERROR(VLOOKUP($G155,AmenTabla,2,0),0),0)</f>
        <v/>
      </c>
      <c r="K155" s="28">
        <f>COUNTIF('2. Valoración '!$C$6:$C$2261,$C155)</f>
        <v/>
      </c>
      <c r="L155" s="64">
        <f>IF($I155="No","No requiere valoración",IF($K155=0,"FALTA POR COMPLETO — agregar "&amp;$J155&amp;" filas",IF($K155&lt;$J155,"INCOMPLETO — faltan "&amp;($J155-$K155)&amp;" filas",IF($K155&gt;$J155,"REVISAR — hay filas de más","Completo"))))</f>
        <v/>
      </c>
    </row>
    <row r="156" ht="45" customHeight="1" s="54">
      <c r="B156" s="28">
        <f>IF(AND(OR($C$6="(Todos los procesos)",$C$6='1. Matriz de Activos'!$G$151),OR($C$7="(Todos los tipos)",$C$7='1. Matriz de Activos'!$E$151),OR($C$8="(Todos los subtipos)",$C$8='1. Matriz de Activos'!$F$151)),"Sí","No")</f>
        <v/>
      </c>
      <c r="C156" s="28">
        <f>'1. Matriz de Activos'!$B$151</f>
        <v/>
      </c>
      <c r="D156" s="64">
        <f>'1. Matriz de Activos'!$C$151</f>
        <v/>
      </c>
      <c r="E156" s="28">
        <f>'1. Matriz de Activos'!$G$151</f>
        <v/>
      </c>
      <c r="F156" s="64">
        <f>'1. Matriz de Activos'!$E$151</f>
        <v/>
      </c>
      <c r="G156" s="64">
        <f>'1. Matriz de Activos'!$F$151</f>
        <v/>
      </c>
      <c r="H156" s="28">
        <f>'1. Matriz de Activos'!$T$151</f>
        <v/>
      </c>
      <c r="I156" s="28">
        <f>IF($H156&gt;=4,"Sí","No")</f>
        <v/>
      </c>
      <c r="J156" s="28">
        <f>IF($H156&gt;=4,IFERROR(VLOOKUP($G156,AmenTabla,2,0),0),0)</f>
        <v/>
      </c>
      <c r="K156" s="28">
        <f>COUNTIF('2. Valoración '!$C$6:$C$2261,$C156)</f>
        <v/>
      </c>
      <c r="L156" s="64">
        <f>IF($I156="No","No requiere valoración",IF($K156=0,"FALTA POR COMPLETO — agregar "&amp;$J156&amp;" filas",IF($K156&lt;$J156,"INCOMPLETO — faltan "&amp;($J156-$K156)&amp;" filas",IF($K156&gt;$J156,"REVISAR — hay filas de más","Completo"))))</f>
        <v/>
      </c>
    </row>
    <row r="157" ht="45" customHeight="1" s="54">
      <c r="B157" s="28">
        <f>IF(AND(OR($C$6="(Todos los procesos)",$C$6='1. Matriz de Activos'!$G$152),OR($C$7="(Todos los tipos)",$C$7='1. Matriz de Activos'!$E$152),OR($C$8="(Todos los subtipos)",$C$8='1. Matriz de Activos'!$F$152)),"Sí","No")</f>
        <v/>
      </c>
      <c r="C157" s="28">
        <f>'1. Matriz de Activos'!$B$152</f>
        <v/>
      </c>
      <c r="D157" s="64">
        <f>'1. Matriz de Activos'!$C$152</f>
        <v/>
      </c>
      <c r="E157" s="28">
        <f>'1. Matriz de Activos'!$G$152</f>
        <v/>
      </c>
      <c r="F157" s="64">
        <f>'1. Matriz de Activos'!$E$152</f>
        <v/>
      </c>
      <c r="G157" s="64">
        <f>'1. Matriz de Activos'!$F$152</f>
        <v/>
      </c>
      <c r="H157" s="28">
        <f>'1. Matriz de Activos'!$T$152</f>
        <v/>
      </c>
      <c r="I157" s="28">
        <f>IF($H157&gt;=4,"Sí","No")</f>
        <v/>
      </c>
      <c r="J157" s="28">
        <f>IF($H157&gt;=4,IFERROR(VLOOKUP($G157,AmenTabla,2,0),0),0)</f>
        <v/>
      </c>
      <c r="K157" s="28">
        <f>COUNTIF('2. Valoración '!$C$6:$C$2261,$C157)</f>
        <v/>
      </c>
      <c r="L157" s="64">
        <f>IF($I157="No","No requiere valoración",IF($K157=0,"FALTA POR COMPLETO — agregar "&amp;$J157&amp;" filas",IF($K157&lt;$J157,"INCOMPLETO — faltan "&amp;($J157-$K157)&amp;" filas",IF($K157&gt;$J157,"REVISAR — hay filas de más","Completo"))))</f>
        <v/>
      </c>
    </row>
    <row r="158" ht="45" customHeight="1" s="54">
      <c r="B158" s="28">
        <f>IF(AND(OR($C$6="(Todos los procesos)",$C$6='1. Matriz de Activos'!$G$153),OR($C$7="(Todos los tipos)",$C$7='1. Matriz de Activos'!$E$153),OR($C$8="(Todos los subtipos)",$C$8='1. Matriz de Activos'!$F$153)),"Sí","No")</f>
        <v/>
      </c>
      <c r="C158" s="28">
        <f>'1. Matriz de Activos'!$B$153</f>
        <v/>
      </c>
      <c r="D158" s="64">
        <f>'1. Matriz de Activos'!$C$153</f>
        <v/>
      </c>
      <c r="E158" s="28">
        <f>'1. Matriz de Activos'!$G$153</f>
        <v/>
      </c>
      <c r="F158" s="64">
        <f>'1. Matriz de Activos'!$E$153</f>
        <v/>
      </c>
      <c r="G158" s="64">
        <f>'1. Matriz de Activos'!$F$153</f>
        <v/>
      </c>
      <c r="H158" s="28">
        <f>'1. Matriz de Activos'!$T$153</f>
        <v/>
      </c>
      <c r="I158" s="28">
        <f>IF($H158&gt;=4,"Sí","No")</f>
        <v/>
      </c>
      <c r="J158" s="28">
        <f>IF($H158&gt;=4,IFERROR(VLOOKUP($G158,AmenTabla,2,0),0),0)</f>
        <v/>
      </c>
      <c r="K158" s="28">
        <f>COUNTIF('2. Valoración '!$C$6:$C$2261,$C158)</f>
        <v/>
      </c>
      <c r="L158" s="64">
        <f>IF($I158="No","No requiere valoración",IF($K158=0,"FALTA POR COMPLETO — agregar "&amp;$J158&amp;" filas",IF($K158&lt;$J158,"INCOMPLETO — faltan "&amp;($J158-$K158)&amp;" filas",IF($K158&gt;$J158,"REVISAR — hay filas de más","Completo"))))</f>
        <v/>
      </c>
    </row>
    <row r="159" ht="45" customHeight="1" s="54">
      <c r="B159" s="28">
        <f>IF(AND(OR($C$6="(Todos los procesos)",$C$6='1. Matriz de Activos'!$G$154),OR($C$7="(Todos los tipos)",$C$7='1. Matriz de Activos'!$E$154),OR($C$8="(Todos los subtipos)",$C$8='1. Matriz de Activos'!$F$154)),"Sí","No")</f>
        <v/>
      </c>
      <c r="C159" s="28">
        <f>'1. Matriz de Activos'!$B$154</f>
        <v/>
      </c>
      <c r="D159" s="64">
        <f>'1. Matriz de Activos'!$C$154</f>
        <v/>
      </c>
      <c r="E159" s="28">
        <f>'1. Matriz de Activos'!$G$154</f>
        <v/>
      </c>
      <c r="F159" s="64">
        <f>'1. Matriz de Activos'!$E$154</f>
        <v/>
      </c>
      <c r="G159" s="64">
        <f>'1. Matriz de Activos'!$F$154</f>
        <v/>
      </c>
      <c r="H159" s="28">
        <f>'1. Matriz de Activos'!$T$154</f>
        <v/>
      </c>
      <c r="I159" s="28">
        <f>IF($H159&gt;=4,"Sí","No")</f>
        <v/>
      </c>
      <c r="J159" s="28">
        <f>IF($H159&gt;=4,IFERROR(VLOOKUP($G159,AmenTabla,2,0),0),0)</f>
        <v/>
      </c>
      <c r="K159" s="28">
        <f>COUNTIF('2. Valoración '!$C$6:$C$2261,$C159)</f>
        <v/>
      </c>
      <c r="L159" s="64">
        <f>IF($I159="No","No requiere valoración",IF($K159=0,"FALTA POR COMPLETO — agregar "&amp;$J159&amp;" filas",IF($K159&lt;$J159,"INCOMPLETO — faltan "&amp;($J159-$K159)&amp;" filas",IF($K159&gt;$J159,"REVISAR — hay filas de más","Completo"))))</f>
        <v/>
      </c>
    </row>
    <row r="160" ht="45" customHeight="1" s="54">
      <c r="B160" s="28">
        <f>IF(AND(OR($C$6="(Todos los procesos)",$C$6='1. Matriz de Activos'!$G$155),OR($C$7="(Todos los tipos)",$C$7='1. Matriz de Activos'!$E$155),OR($C$8="(Todos los subtipos)",$C$8='1. Matriz de Activos'!$F$155)),"Sí","No")</f>
        <v/>
      </c>
      <c r="C160" s="28">
        <f>'1. Matriz de Activos'!$B$155</f>
        <v/>
      </c>
      <c r="D160" s="64">
        <f>'1. Matriz de Activos'!$C$155</f>
        <v/>
      </c>
      <c r="E160" s="28">
        <f>'1. Matriz de Activos'!$G$155</f>
        <v/>
      </c>
      <c r="F160" s="64">
        <f>'1. Matriz de Activos'!$E$155</f>
        <v/>
      </c>
      <c r="G160" s="64">
        <f>'1. Matriz de Activos'!$F$155</f>
        <v/>
      </c>
      <c r="H160" s="28">
        <f>'1. Matriz de Activos'!$T$155</f>
        <v/>
      </c>
      <c r="I160" s="28">
        <f>IF($H160&gt;=4,"Sí","No")</f>
        <v/>
      </c>
      <c r="J160" s="28">
        <f>IF($H160&gt;=4,IFERROR(VLOOKUP($G160,AmenTabla,2,0),0),0)</f>
        <v/>
      </c>
      <c r="K160" s="28">
        <f>COUNTIF('2. Valoración '!$C$6:$C$2261,$C160)</f>
        <v/>
      </c>
      <c r="L160" s="64">
        <f>IF($I160="No","No requiere valoración",IF($K160=0,"FALTA POR COMPLETO — agregar "&amp;$J160&amp;" filas",IF($K160&lt;$J160,"INCOMPLETO — faltan "&amp;($J160-$K160)&amp;" filas",IF($K160&gt;$J160,"REVISAR — hay filas de más","Completo"))))</f>
        <v/>
      </c>
    </row>
    <row r="161" ht="45" customHeight="1" s="54">
      <c r="B161" s="28">
        <f>IF(AND(OR($C$6="(Todos los procesos)",$C$6='1. Matriz de Activos'!$G$156),OR($C$7="(Todos los tipos)",$C$7='1. Matriz de Activos'!$E$156),OR($C$8="(Todos los subtipos)",$C$8='1. Matriz de Activos'!$F$156)),"Sí","No")</f>
        <v/>
      </c>
      <c r="C161" s="28">
        <f>'1. Matriz de Activos'!$B$156</f>
        <v/>
      </c>
      <c r="D161" s="64">
        <f>'1. Matriz de Activos'!$C$156</f>
        <v/>
      </c>
      <c r="E161" s="28">
        <f>'1. Matriz de Activos'!$G$156</f>
        <v/>
      </c>
      <c r="F161" s="64">
        <f>'1. Matriz de Activos'!$E$156</f>
        <v/>
      </c>
      <c r="G161" s="64">
        <f>'1. Matriz de Activos'!$F$156</f>
        <v/>
      </c>
      <c r="H161" s="28">
        <f>'1. Matriz de Activos'!$T$156</f>
        <v/>
      </c>
      <c r="I161" s="28">
        <f>IF($H161&gt;=4,"Sí","No")</f>
        <v/>
      </c>
      <c r="J161" s="28">
        <f>IF($H161&gt;=4,IFERROR(VLOOKUP($G161,AmenTabla,2,0),0),0)</f>
        <v/>
      </c>
      <c r="K161" s="28">
        <f>COUNTIF('2. Valoración '!$C$6:$C$2261,$C161)</f>
        <v/>
      </c>
      <c r="L161" s="64">
        <f>IF($I161="No","No requiere valoración",IF($K161=0,"FALTA POR COMPLETO — agregar "&amp;$J161&amp;" filas",IF($K161&lt;$J161,"INCOMPLETO — faltan "&amp;($J161-$K161)&amp;" filas",IF($K161&gt;$J161,"REVISAR — hay filas de más","Completo"))))</f>
        <v/>
      </c>
    </row>
    <row r="162" ht="45" customHeight="1" s="54">
      <c r="B162" s="28">
        <f>IF(AND(OR($C$6="(Todos los procesos)",$C$6='1. Matriz de Activos'!$G$157),OR($C$7="(Todos los tipos)",$C$7='1. Matriz de Activos'!$E$157),OR($C$8="(Todos los subtipos)",$C$8='1. Matriz de Activos'!$F$157)),"Sí","No")</f>
        <v/>
      </c>
      <c r="C162" s="28">
        <f>'1. Matriz de Activos'!$B$157</f>
        <v/>
      </c>
      <c r="D162" s="64">
        <f>'1. Matriz de Activos'!$C$157</f>
        <v/>
      </c>
      <c r="E162" s="28">
        <f>'1. Matriz de Activos'!$G$157</f>
        <v/>
      </c>
      <c r="F162" s="64">
        <f>'1. Matriz de Activos'!$E$157</f>
        <v/>
      </c>
      <c r="G162" s="64">
        <f>'1. Matriz de Activos'!$F$157</f>
        <v/>
      </c>
      <c r="H162" s="28">
        <f>'1. Matriz de Activos'!$T$157</f>
        <v/>
      </c>
      <c r="I162" s="28">
        <f>IF($H162&gt;=4,"Sí","No")</f>
        <v/>
      </c>
      <c r="J162" s="28">
        <f>IF($H162&gt;=4,IFERROR(VLOOKUP($G162,AmenTabla,2,0),0),0)</f>
        <v/>
      </c>
      <c r="K162" s="28">
        <f>COUNTIF('2. Valoración '!$C$6:$C$2261,$C162)</f>
        <v/>
      </c>
      <c r="L162" s="64">
        <f>IF($I162="No","No requiere valoración",IF($K162=0,"FALTA POR COMPLETO — agregar "&amp;$J162&amp;" filas",IF($K162&lt;$J162,"INCOMPLETO — faltan "&amp;($J162-$K162)&amp;" filas",IF($K162&gt;$J162,"REVISAR — hay filas de más","Completo"))))</f>
        <v/>
      </c>
    </row>
    <row r="163" ht="30" customHeight="1" s="54">
      <c r="B163" s="28">
        <f>IF(AND(OR($C$6="(Todos los procesos)",$C$6='1. Matriz de Activos'!$G$158),OR($C$7="(Todos los tipos)",$C$7='1. Matriz de Activos'!$E$158),OR($C$8="(Todos los subtipos)",$C$8='1. Matriz de Activos'!$F$158)),"Sí","No")</f>
        <v/>
      </c>
      <c r="C163" s="28">
        <f>'1. Matriz de Activos'!$B$158</f>
        <v/>
      </c>
      <c r="D163" s="64">
        <f>'1. Matriz de Activos'!$C$158</f>
        <v/>
      </c>
      <c r="E163" s="28">
        <f>'1. Matriz de Activos'!$G$158</f>
        <v/>
      </c>
      <c r="F163" s="64">
        <f>'1. Matriz de Activos'!$E$158</f>
        <v/>
      </c>
      <c r="G163" s="64">
        <f>'1. Matriz de Activos'!$F$158</f>
        <v/>
      </c>
      <c r="H163" s="28">
        <f>'1. Matriz de Activos'!$T$158</f>
        <v/>
      </c>
      <c r="I163" s="28">
        <f>IF($H163&gt;=4,"Sí","No")</f>
        <v/>
      </c>
      <c r="J163" s="28">
        <f>IF($H163&gt;=4,IFERROR(VLOOKUP($G163,AmenTabla,2,0),0),0)</f>
        <v/>
      </c>
      <c r="K163" s="28">
        <f>COUNTIF('2. Valoración '!$C$6:$C$2261,$C163)</f>
        <v/>
      </c>
      <c r="L163" s="64">
        <f>IF($I163="No","No requiere valoración",IF($K163=0,"FALTA POR COMPLETO — agregar "&amp;$J163&amp;" filas",IF($K163&lt;$J163,"INCOMPLETO — faltan "&amp;($J163-$K163)&amp;" filas",IF($K163&gt;$J163,"REVISAR — hay filas de más","Completo"))))</f>
        <v/>
      </c>
    </row>
    <row r="164" ht="30" customHeight="1" s="54">
      <c r="B164" s="28">
        <f>IF(AND(OR($C$6="(Todos los procesos)",$C$6='1. Matriz de Activos'!$G$159),OR($C$7="(Todos los tipos)",$C$7='1. Matriz de Activos'!$E$159),OR($C$8="(Todos los subtipos)",$C$8='1. Matriz de Activos'!$F$159)),"Sí","No")</f>
        <v/>
      </c>
      <c r="C164" s="28">
        <f>'1. Matriz de Activos'!$B$159</f>
        <v/>
      </c>
      <c r="D164" s="64">
        <f>'1. Matriz de Activos'!$C$159</f>
        <v/>
      </c>
      <c r="E164" s="28">
        <f>'1. Matriz de Activos'!$G$159</f>
        <v/>
      </c>
      <c r="F164" s="64">
        <f>'1. Matriz de Activos'!$E$159</f>
        <v/>
      </c>
      <c r="G164" s="64">
        <f>'1. Matriz de Activos'!$F$159</f>
        <v/>
      </c>
      <c r="H164" s="28">
        <f>'1. Matriz de Activos'!$T$159</f>
        <v/>
      </c>
      <c r="I164" s="28">
        <f>IF($H164&gt;=4,"Sí","No")</f>
        <v/>
      </c>
      <c r="J164" s="28">
        <f>IF($H164&gt;=4,IFERROR(VLOOKUP($G164,AmenTabla,2,0),0),0)</f>
        <v/>
      </c>
      <c r="K164" s="28">
        <f>COUNTIF('2. Valoración '!$C$6:$C$2261,$C164)</f>
        <v/>
      </c>
      <c r="L164" s="64">
        <f>IF($I164="No","No requiere valoración",IF($K164=0,"FALTA POR COMPLETO — agregar "&amp;$J164&amp;" filas",IF($K164&lt;$J164,"INCOMPLETO — faltan "&amp;($J164-$K164)&amp;" filas",IF($K164&gt;$J164,"REVISAR — hay filas de más","Completo"))))</f>
        <v/>
      </c>
    </row>
    <row r="165" ht="30" customHeight="1" s="54">
      <c r="B165" s="28">
        <f>IF(AND(OR($C$6="(Todos los procesos)",$C$6='1. Matriz de Activos'!$G$160),OR($C$7="(Todos los tipos)",$C$7='1. Matriz de Activos'!$E$160),OR($C$8="(Todos los subtipos)",$C$8='1. Matriz de Activos'!$F$160)),"Sí","No")</f>
        <v/>
      </c>
      <c r="C165" s="28">
        <f>'1. Matriz de Activos'!$B$160</f>
        <v/>
      </c>
      <c r="D165" s="64">
        <f>'1. Matriz de Activos'!$C$160</f>
        <v/>
      </c>
      <c r="E165" s="28">
        <f>'1. Matriz de Activos'!$G$160</f>
        <v/>
      </c>
      <c r="F165" s="64">
        <f>'1. Matriz de Activos'!$E$160</f>
        <v/>
      </c>
      <c r="G165" s="64">
        <f>'1. Matriz de Activos'!$F$160</f>
        <v/>
      </c>
      <c r="H165" s="28">
        <f>'1. Matriz de Activos'!$T$160</f>
        <v/>
      </c>
      <c r="I165" s="28">
        <f>IF($H165&gt;=4,"Sí","No")</f>
        <v/>
      </c>
      <c r="J165" s="28">
        <f>IF($H165&gt;=4,IFERROR(VLOOKUP($G165,AmenTabla,2,0),0),0)</f>
        <v/>
      </c>
      <c r="K165" s="28">
        <f>COUNTIF('2. Valoración '!$C$6:$C$2261,$C165)</f>
        <v/>
      </c>
      <c r="L165" s="64">
        <f>IF($I165="No","No requiere valoración",IF($K165=0,"FALTA POR COMPLETO — agregar "&amp;$J165&amp;" filas",IF($K165&lt;$J165,"INCOMPLETO — faltan "&amp;($J165-$K165)&amp;" filas",IF($K165&gt;$J165,"REVISAR — hay filas de más","Completo"))))</f>
        <v/>
      </c>
    </row>
    <row r="166" ht="30" customHeight="1" s="54">
      <c r="B166" s="28">
        <f>IF(AND(OR($C$6="(Todos los procesos)",$C$6='1. Matriz de Activos'!$G$161),OR($C$7="(Todos los tipos)",$C$7='1. Matriz de Activos'!$E$161),OR($C$8="(Todos los subtipos)",$C$8='1. Matriz de Activos'!$F$161)),"Sí","No")</f>
        <v/>
      </c>
      <c r="C166" s="28">
        <f>'1. Matriz de Activos'!$B$161</f>
        <v/>
      </c>
      <c r="D166" s="64">
        <f>'1. Matriz de Activos'!$C$161</f>
        <v/>
      </c>
      <c r="E166" s="28">
        <f>'1. Matriz de Activos'!$G$161</f>
        <v/>
      </c>
      <c r="F166" s="64">
        <f>'1. Matriz de Activos'!$E$161</f>
        <v/>
      </c>
      <c r="G166" s="64">
        <f>'1. Matriz de Activos'!$F$161</f>
        <v/>
      </c>
      <c r="H166" s="28">
        <f>'1. Matriz de Activos'!$T$161</f>
        <v/>
      </c>
      <c r="I166" s="28">
        <f>IF($H166&gt;=4,"Sí","No")</f>
        <v/>
      </c>
      <c r="J166" s="28">
        <f>IF($H166&gt;=4,IFERROR(VLOOKUP($G166,AmenTabla,2,0),0),0)</f>
        <v/>
      </c>
      <c r="K166" s="28">
        <f>COUNTIF('2. Valoración '!$C$6:$C$2261,$C166)</f>
        <v/>
      </c>
      <c r="L166" s="64">
        <f>IF($I166="No","No requiere valoración",IF($K166=0,"FALTA POR COMPLETO — agregar "&amp;$J166&amp;" filas",IF($K166&lt;$J166,"INCOMPLETO — faltan "&amp;($J166-$K166)&amp;" filas",IF($K166&gt;$J166,"REVISAR — hay filas de más","Completo"))))</f>
        <v/>
      </c>
    </row>
    <row r="167" ht="45" customHeight="1" s="54">
      <c r="B167" s="28">
        <f>IF(AND(OR($C$6="(Todos los procesos)",$C$6='1. Matriz de Activos'!$G$162),OR($C$7="(Todos los tipos)",$C$7='1. Matriz de Activos'!$E$162),OR($C$8="(Todos los subtipos)",$C$8='1. Matriz de Activos'!$F$162)),"Sí","No")</f>
        <v/>
      </c>
      <c r="C167" s="28">
        <f>'1. Matriz de Activos'!$B$162</f>
        <v/>
      </c>
      <c r="D167" s="64">
        <f>'1. Matriz de Activos'!$C$162</f>
        <v/>
      </c>
      <c r="E167" s="28">
        <f>'1. Matriz de Activos'!$G$162</f>
        <v/>
      </c>
      <c r="F167" s="64">
        <f>'1. Matriz de Activos'!$E$162</f>
        <v/>
      </c>
      <c r="G167" s="64">
        <f>'1. Matriz de Activos'!$F$162</f>
        <v/>
      </c>
      <c r="H167" s="28">
        <f>'1. Matriz de Activos'!$T$162</f>
        <v/>
      </c>
      <c r="I167" s="28">
        <f>IF($H167&gt;=4,"Sí","No")</f>
        <v/>
      </c>
      <c r="J167" s="28">
        <f>IF($H167&gt;=4,IFERROR(VLOOKUP($G167,AmenTabla,2,0),0),0)</f>
        <v/>
      </c>
      <c r="K167" s="28">
        <f>COUNTIF('2. Valoración '!$C$6:$C$2261,$C167)</f>
        <v/>
      </c>
      <c r="L167" s="64">
        <f>IF($I167="No","No requiere valoración",IF($K167=0,"FALTA POR COMPLETO — agregar "&amp;$J167&amp;" filas",IF($K167&lt;$J167,"INCOMPLETO — faltan "&amp;($J167-$K167)&amp;" filas",IF($K167&gt;$J167,"REVISAR — hay filas de más","Completo"))))</f>
        <v/>
      </c>
    </row>
    <row r="168" ht="30" customHeight="1" s="54">
      <c r="B168" s="28">
        <f>IF(AND(OR($C$6="(Todos los procesos)",$C$6='1. Matriz de Activos'!$G$163),OR($C$7="(Todos los tipos)",$C$7='1. Matriz de Activos'!$E$163),OR($C$8="(Todos los subtipos)",$C$8='1. Matriz de Activos'!$F$163)),"Sí","No")</f>
        <v/>
      </c>
      <c r="C168" s="28">
        <f>'1. Matriz de Activos'!$B$163</f>
        <v/>
      </c>
      <c r="D168" s="64">
        <f>'1. Matriz de Activos'!$C$163</f>
        <v/>
      </c>
      <c r="E168" s="28">
        <f>'1. Matriz de Activos'!$G$163</f>
        <v/>
      </c>
      <c r="F168" s="64">
        <f>'1. Matriz de Activos'!$E$163</f>
        <v/>
      </c>
      <c r="G168" s="64">
        <f>'1. Matriz de Activos'!$F$163</f>
        <v/>
      </c>
      <c r="H168" s="28">
        <f>'1. Matriz de Activos'!$T$163</f>
        <v/>
      </c>
      <c r="I168" s="28">
        <f>IF($H168&gt;=4,"Sí","No")</f>
        <v/>
      </c>
      <c r="J168" s="28">
        <f>IF($H168&gt;=4,IFERROR(VLOOKUP($G168,AmenTabla,2,0),0),0)</f>
        <v/>
      </c>
      <c r="K168" s="28">
        <f>COUNTIF('2. Valoración '!$C$6:$C$2261,$C168)</f>
        <v/>
      </c>
      <c r="L168" s="64">
        <f>IF($I168="No","No requiere valoración",IF($K168=0,"FALTA POR COMPLETO — agregar "&amp;$J168&amp;" filas",IF($K168&lt;$J168,"INCOMPLETO — faltan "&amp;($J168-$K168)&amp;" filas",IF($K168&gt;$J168,"REVISAR — hay filas de más","Completo"))))</f>
        <v/>
      </c>
    </row>
    <row r="169" ht="45" customHeight="1" s="54">
      <c r="B169" s="28">
        <f>IF(AND(OR($C$6="(Todos los procesos)",$C$6='1. Matriz de Activos'!$G$164),OR($C$7="(Todos los tipos)",$C$7='1. Matriz de Activos'!$E$164),OR($C$8="(Todos los subtipos)",$C$8='1. Matriz de Activos'!$F$164)),"Sí","No")</f>
        <v/>
      </c>
      <c r="C169" s="28">
        <f>'1. Matriz de Activos'!$B$164</f>
        <v/>
      </c>
      <c r="D169" s="64">
        <f>'1. Matriz de Activos'!$C$164</f>
        <v/>
      </c>
      <c r="E169" s="28">
        <f>'1. Matriz de Activos'!$G$164</f>
        <v/>
      </c>
      <c r="F169" s="64">
        <f>'1. Matriz de Activos'!$E$164</f>
        <v/>
      </c>
      <c r="G169" s="64">
        <f>'1. Matriz de Activos'!$F$164</f>
        <v/>
      </c>
      <c r="H169" s="28">
        <f>'1. Matriz de Activos'!$T$164</f>
        <v/>
      </c>
      <c r="I169" s="28">
        <f>IF($H169&gt;=4,"Sí","No")</f>
        <v/>
      </c>
      <c r="J169" s="28">
        <f>IF($H169&gt;=4,IFERROR(VLOOKUP($G169,AmenTabla,2,0),0),0)</f>
        <v/>
      </c>
      <c r="K169" s="28">
        <f>COUNTIF('2. Valoración '!$C$6:$C$2261,$C169)</f>
        <v/>
      </c>
      <c r="L169" s="64">
        <f>IF($I169="No","No requiere valoración",IF($K169=0,"FALTA POR COMPLETO — agregar "&amp;$J169&amp;" filas",IF($K169&lt;$J169,"INCOMPLETO — faltan "&amp;($J169-$K169)&amp;" filas",IF($K169&gt;$J169,"REVISAR — hay filas de más","Completo"))))</f>
        <v/>
      </c>
    </row>
    <row r="170" ht="45" customHeight="1" s="54">
      <c r="B170" s="28">
        <f>IF(AND(OR($C$6="(Todos los procesos)",$C$6='1. Matriz de Activos'!$G$165),OR($C$7="(Todos los tipos)",$C$7='1. Matriz de Activos'!$E$165),OR($C$8="(Todos los subtipos)",$C$8='1. Matriz de Activos'!$F$165)),"Sí","No")</f>
        <v/>
      </c>
      <c r="C170" s="28">
        <f>'1. Matriz de Activos'!$B$165</f>
        <v/>
      </c>
      <c r="D170" s="64">
        <f>'1. Matriz de Activos'!$C$165</f>
        <v/>
      </c>
      <c r="E170" s="28">
        <f>'1. Matriz de Activos'!$G$165</f>
        <v/>
      </c>
      <c r="F170" s="64">
        <f>'1. Matriz de Activos'!$E$165</f>
        <v/>
      </c>
      <c r="G170" s="64">
        <f>'1. Matriz de Activos'!$F$165</f>
        <v/>
      </c>
      <c r="H170" s="28">
        <f>'1. Matriz de Activos'!$T$165</f>
        <v/>
      </c>
      <c r="I170" s="28">
        <f>IF($H170&gt;=4,"Sí","No")</f>
        <v/>
      </c>
      <c r="J170" s="28">
        <f>IF($H170&gt;=4,IFERROR(VLOOKUP($G170,AmenTabla,2,0),0),0)</f>
        <v/>
      </c>
      <c r="K170" s="28">
        <f>COUNTIF('2. Valoración '!$C$6:$C$2261,$C170)</f>
        <v/>
      </c>
      <c r="L170" s="64">
        <f>IF($I170="No","No requiere valoración",IF($K170=0,"FALTA POR COMPLETO — agregar "&amp;$J170&amp;" filas",IF($K170&lt;$J170,"INCOMPLETO — faltan "&amp;($J170-$K170)&amp;" filas",IF($K170&gt;$J170,"REVISAR — hay filas de más","Completo"))))</f>
        <v/>
      </c>
    </row>
    <row r="171" ht="30" customHeight="1" s="54">
      <c r="B171" s="28">
        <f>IF(AND(OR($C$6="(Todos los procesos)",$C$6='1. Matriz de Activos'!$G$166),OR($C$7="(Todos los tipos)",$C$7='1. Matriz de Activos'!$E$166),OR($C$8="(Todos los subtipos)",$C$8='1. Matriz de Activos'!$F$166)),"Sí","No")</f>
        <v/>
      </c>
      <c r="C171" s="28">
        <f>'1. Matriz de Activos'!$B$166</f>
        <v/>
      </c>
      <c r="D171" s="64">
        <f>'1. Matriz de Activos'!$C$166</f>
        <v/>
      </c>
      <c r="E171" s="28">
        <f>'1. Matriz de Activos'!$G$166</f>
        <v/>
      </c>
      <c r="F171" s="64">
        <f>'1. Matriz de Activos'!$E$166</f>
        <v/>
      </c>
      <c r="G171" s="64">
        <f>'1. Matriz de Activos'!$F$166</f>
        <v/>
      </c>
      <c r="H171" s="28">
        <f>'1. Matriz de Activos'!$T$166</f>
        <v/>
      </c>
      <c r="I171" s="28">
        <f>IF($H171&gt;=4,"Sí","No")</f>
        <v/>
      </c>
      <c r="J171" s="28">
        <f>IF($H171&gt;=4,IFERROR(VLOOKUP($G171,AmenTabla,2,0),0),0)</f>
        <v/>
      </c>
      <c r="K171" s="28">
        <f>COUNTIF('2. Valoración '!$C$6:$C$2261,$C171)</f>
        <v/>
      </c>
      <c r="L171" s="64">
        <f>IF($I171="No","No requiere valoración",IF($K171=0,"FALTA POR COMPLETO — agregar "&amp;$J171&amp;" filas",IF($K171&lt;$J171,"INCOMPLETO — faltan "&amp;($J171-$K171)&amp;" filas",IF($K171&gt;$J171,"REVISAR — hay filas de más","Completo"))))</f>
        <v/>
      </c>
    </row>
    <row r="172" ht="30" customHeight="1" s="54">
      <c r="B172" s="28">
        <f>IF(AND(OR($C$6="(Todos los procesos)",$C$6='1. Matriz de Activos'!$G$167),OR($C$7="(Todos los tipos)",$C$7='1. Matriz de Activos'!$E$167),OR($C$8="(Todos los subtipos)",$C$8='1. Matriz de Activos'!$F$167)),"Sí","No")</f>
        <v/>
      </c>
      <c r="C172" s="28">
        <f>'1. Matriz de Activos'!$B$167</f>
        <v/>
      </c>
      <c r="D172" s="64">
        <f>'1. Matriz de Activos'!$C$167</f>
        <v/>
      </c>
      <c r="E172" s="28">
        <f>'1. Matriz de Activos'!$G$167</f>
        <v/>
      </c>
      <c r="F172" s="64">
        <f>'1. Matriz de Activos'!$E$167</f>
        <v/>
      </c>
      <c r="G172" s="64">
        <f>'1. Matriz de Activos'!$F$167</f>
        <v/>
      </c>
      <c r="H172" s="28">
        <f>'1. Matriz de Activos'!$T$167</f>
        <v/>
      </c>
      <c r="I172" s="28">
        <f>IF($H172&gt;=4,"Sí","No")</f>
        <v/>
      </c>
      <c r="J172" s="28">
        <f>IF($H172&gt;=4,IFERROR(VLOOKUP($G172,AmenTabla,2,0),0),0)</f>
        <v/>
      </c>
      <c r="K172" s="28">
        <f>COUNTIF('2. Valoración '!$C$6:$C$2261,$C172)</f>
        <v/>
      </c>
      <c r="L172" s="64">
        <f>IF($I172="No","No requiere valoración",IF($K172=0,"FALTA POR COMPLETO — agregar "&amp;$J172&amp;" filas",IF($K172&lt;$J172,"INCOMPLETO — faltan "&amp;($J172-$K172)&amp;" filas",IF($K172&gt;$J172,"REVISAR — hay filas de más","Completo"))))</f>
        <v/>
      </c>
    </row>
    <row r="173" ht="60" customHeight="1" s="54">
      <c r="B173" s="28">
        <f>IF(AND(OR($C$6="(Todos los procesos)",$C$6='1. Matriz de Activos'!$G$168),OR($C$7="(Todos los tipos)",$C$7='1. Matriz de Activos'!$E$168),OR($C$8="(Todos los subtipos)",$C$8='1. Matriz de Activos'!$F$168)),"Sí","No")</f>
        <v/>
      </c>
      <c r="C173" s="28">
        <f>'1. Matriz de Activos'!$B$168</f>
        <v/>
      </c>
      <c r="D173" s="64">
        <f>'1. Matriz de Activos'!$C$168</f>
        <v/>
      </c>
      <c r="E173" s="28">
        <f>'1. Matriz de Activos'!$G$168</f>
        <v/>
      </c>
      <c r="F173" s="64">
        <f>'1. Matriz de Activos'!$E$168</f>
        <v/>
      </c>
      <c r="G173" s="64">
        <f>'1. Matriz de Activos'!$F$168</f>
        <v/>
      </c>
      <c r="H173" s="28">
        <f>'1. Matriz de Activos'!$T$168</f>
        <v/>
      </c>
      <c r="I173" s="28">
        <f>IF($H173&gt;=4,"Sí","No")</f>
        <v/>
      </c>
      <c r="J173" s="28">
        <f>IF($H173&gt;=4,IFERROR(VLOOKUP($G173,AmenTabla,2,0),0),0)</f>
        <v/>
      </c>
      <c r="K173" s="28">
        <f>COUNTIF('2. Valoración '!$C$6:$C$2261,$C173)</f>
        <v/>
      </c>
      <c r="L173" s="64">
        <f>IF($I173="No","No requiere valoración",IF($K173=0,"FALTA POR COMPLETO — agregar "&amp;$J173&amp;" filas",IF($K173&lt;$J173,"INCOMPLETO — faltan "&amp;($J173-$K173)&amp;" filas",IF($K173&gt;$J173,"REVISAR — hay filas de más","Completo"))))</f>
        <v/>
      </c>
    </row>
    <row r="174" ht="60" customHeight="1" s="54">
      <c r="B174" s="28">
        <f>IF(AND(OR($C$6="(Todos los procesos)",$C$6='1. Matriz de Activos'!$G$169),OR($C$7="(Todos los tipos)",$C$7='1. Matriz de Activos'!$E$169),OR($C$8="(Todos los subtipos)",$C$8='1. Matriz de Activos'!$F$169)),"Sí","No")</f>
        <v/>
      </c>
      <c r="C174" s="28">
        <f>'1. Matriz de Activos'!$B$169</f>
        <v/>
      </c>
      <c r="D174" s="64">
        <f>'1. Matriz de Activos'!$C$169</f>
        <v/>
      </c>
      <c r="E174" s="28">
        <f>'1. Matriz de Activos'!$G$169</f>
        <v/>
      </c>
      <c r="F174" s="64">
        <f>'1. Matriz de Activos'!$E$169</f>
        <v/>
      </c>
      <c r="G174" s="64">
        <f>'1. Matriz de Activos'!$F$169</f>
        <v/>
      </c>
      <c r="H174" s="28">
        <f>'1. Matriz de Activos'!$T$169</f>
        <v/>
      </c>
      <c r="I174" s="28">
        <f>IF($H174&gt;=4,"Sí","No")</f>
        <v/>
      </c>
      <c r="J174" s="28">
        <f>IF($H174&gt;=4,IFERROR(VLOOKUP($G174,AmenTabla,2,0),0),0)</f>
        <v/>
      </c>
      <c r="K174" s="28">
        <f>COUNTIF('2. Valoración '!$C$6:$C$2261,$C174)</f>
        <v/>
      </c>
      <c r="L174" s="64">
        <f>IF($I174="No","No requiere valoración",IF($K174=0,"FALTA POR COMPLETO — agregar "&amp;$J174&amp;" filas",IF($K174&lt;$J174,"INCOMPLETO — faltan "&amp;($J174-$K174)&amp;" filas",IF($K174&gt;$J174,"REVISAR — hay filas de más","Completo"))))</f>
        <v/>
      </c>
    </row>
    <row r="175" ht="30" customHeight="1" s="54">
      <c r="B175" s="28">
        <f>IF(AND(OR($C$6="(Todos los procesos)",$C$6='1. Matriz de Activos'!$G$170),OR($C$7="(Todos los tipos)",$C$7='1. Matriz de Activos'!$E$170),OR($C$8="(Todos los subtipos)",$C$8='1. Matriz de Activos'!$F$170)),"Sí","No")</f>
        <v/>
      </c>
      <c r="C175" s="28">
        <f>'1. Matriz de Activos'!$B$170</f>
        <v/>
      </c>
      <c r="D175" s="64">
        <f>'1. Matriz de Activos'!$C$170</f>
        <v/>
      </c>
      <c r="E175" s="28">
        <f>'1. Matriz de Activos'!$G$170</f>
        <v/>
      </c>
      <c r="F175" s="64">
        <f>'1. Matriz de Activos'!$E$170</f>
        <v/>
      </c>
      <c r="G175" s="64">
        <f>'1. Matriz de Activos'!$F$170</f>
        <v/>
      </c>
      <c r="H175" s="28">
        <f>'1. Matriz de Activos'!$T$170</f>
        <v/>
      </c>
      <c r="I175" s="28">
        <f>IF($H175&gt;=4,"Sí","No")</f>
        <v/>
      </c>
      <c r="J175" s="28">
        <f>IF($H175&gt;=4,IFERROR(VLOOKUP($G175,AmenTabla,2,0),0),0)</f>
        <v/>
      </c>
      <c r="K175" s="28">
        <f>COUNTIF('2. Valoración '!$C$6:$C$2261,$C175)</f>
        <v/>
      </c>
      <c r="L175" s="64">
        <f>IF($I175="No","No requiere valoración",IF($K175=0,"FALTA POR COMPLETO — agregar "&amp;$J175&amp;" filas",IF($K175&lt;$J175,"INCOMPLETO — faltan "&amp;($J175-$K175)&amp;" filas",IF($K175&gt;$J175,"REVISAR — hay filas de más","Completo"))))</f>
        <v/>
      </c>
    </row>
    <row r="176" ht="30" customHeight="1" s="54">
      <c r="B176" s="28">
        <f>IF(AND(OR($C$6="(Todos los procesos)",$C$6='1. Matriz de Activos'!$G$171),OR($C$7="(Todos los tipos)",$C$7='1. Matriz de Activos'!$E$171),OR($C$8="(Todos los subtipos)",$C$8='1. Matriz de Activos'!$F$171)),"Sí","No")</f>
        <v/>
      </c>
      <c r="C176" s="28">
        <f>'1. Matriz de Activos'!$B$171</f>
        <v/>
      </c>
      <c r="D176" s="64">
        <f>'1. Matriz de Activos'!$C$171</f>
        <v/>
      </c>
      <c r="E176" s="28">
        <f>'1. Matriz de Activos'!$G$171</f>
        <v/>
      </c>
      <c r="F176" s="64">
        <f>'1. Matriz de Activos'!$E$171</f>
        <v/>
      </c>
      <c r="G176" s="64">
        <f>'1. Matriz de Activos'!$F$171</f>
        <v/>
      </c>
      <c r="H176" s="28">
        <f>'1. Matriz de Activos'!$T$171</f>
        <v/>
      </c>
      <c r="I176" s="28">
        <f>IF($H176&gt;=4,"Sí","No")</f>
        <v/>
      </c>
      <c r="J176" s="28">
        <f>IF($H176&gt;=4,IFERROR(VLOOKUP($G176,AmenTabla,2,0),0),0)</f>
        <v/>
      </c>
      <c r="K176" s="28">
        <f>COUNTIF('2. Valoración '!$C$6:$C$2261,$C176)</f>
        <v/>
      </c>
      <c r="L176" s="64">
        <f>IF($I176="No","No requiere valoración",IF($K176=0,"FALTA POR COMPLETO — agregar "&amp;$J176&amp;" filas",IF($K176&lt;$J176,"INCOMPLETO — faltan "&amp;($J176-$K176)&amp;" filas",IF($K176&gt;$J176,"REVISAR — hay filas de más","Completo"))))</f>
        <v/>
      </c>
    </row>
    <row r="177" ht="30" customHeight="1" s="54">
      <c r="B177" s="28">
        <f>IF(AND(OR($C$6="(Todos los procesos)",$C$6='1. Matriz de Activos'!$G$172),OR($C$7="(Todos los tipos)",$C$7='1. Matriz de Activos'!$E$172),OR($C$8="(Todos los subtipos)",$C$8='1. Matriz de Activos'!$F$172)),"Sí","No")</f>
        <v/>
      </c>
      <c r="C177" s="28">
        <f>'1. Matriz de Activos'!$B$172</f>
        <v/>
      </c>
      <c r="D177" s="64">
        <f>'1. Matriz de Activos'!$C$172</f>
        <v/>
      </c>
      <c r="E177" s="28">
        <f>'1. Matriz de Activos'!$G$172</f>
        <v/>
      </c>
      <c r="F177" s="64">
        <f>'1. Matriz de Activos'!$E$172</f>
        <v/>
      </c>
      <c r="G177" s="64">
        <f>'1. Matriz de Activos'!$F$172</f>
        <v/>
      </c>
      <c r="H177" s="28">
        <f>'1. Matriz de Activos'!$T$172</f>
        <v/>
      </c>
      <c r="I177" s="28">
        <f>IF($H177&gt;=4,"Sí","No")</f>
        <v/>
      </c>
      <c r="J177" s="28">
        <f>IF($H177&gt;=4,IFERROR(VLOOKUP($G177,AmenTabla,2,0),0),0)</f>
        <v/>
      </c>
      <c r="K177" s="28">
        <f>COUNTIF('2. Valoración '!$C$6:$C$2261,$C177)</f>
        <v/>
      </c>
      <c r="L177" s="64">
        <f>IF($I177="No","No requiere valoración",IF($K177=0,"FALTA POR COMPLETO — agregar "&amp;$J177&amp;" filas",IF($K177&lt;$J177,"INCOMPLETO — faltan "&amp;($J177-$K177)&amp;" filas",IF($K177&gt;$J177,"REVISAR — hay filas de más","Completo"))))</f>
        <v/>
      </c>
    </row>
    <row r="178" ht="30" customHeight="1" s="54">
      <c r="B178" s="28">
        <f>IF(AND(OR($C$6="(Todos los procesos)",$C$6='1. Matriz de Activos'!$G$173),OR($C$7="(Todos los tipos)",$C$7='1. Matriz de Activos'!$E$173),OR($C$8="(Todos los subtipos)",$C$8='1. Matriz de Activos'!$F$173)),"Sí","No")</f>
        <v/>
      </c>
      <c r="C178" s="28">
        <f>'1. Matriz de Activos'!$B$173</f>
        <v/>
      </c>
      <c r="D178" s="64">
        <f>'1. Matriz de Activos'!$C$173</f>
        <v/>
      </c>
      <c r="E178" s="28">
        <f>'1. Matriz de Activos'!$G$173</f>
        <v/>
      </c>
      <c r="F178" s="64">
        <f>'1. Matriz de Activos'!$E$173</f>
        <v/>
      </c>
      <c r="G178" s="64">
        <f>'1. Matriz de Activos'!$F$173</f>
        <v/>
      </c>
      <c r="H178" s="28">
        <f>'1. Matriz de Activos'!$T$173</f>
        <v/>
      </c>
      <c r="I178" s="28">
        <f>IF($H178&gt;=4,"Sí","No")</f>
        <v/>
      </c>
      <c r="J178" s="28">
        <f>IF($H178&gt;=4,IFERROR(VLOOKUP($G178,AmenTabla,2,0),0),0)</f>
        <v/>
      </c>
      <c r="K178" s="28">
        <f>COUNTIF('2. Valoración '!$C$6:$C$2261,$C178)</f>
        <v/>
      </c>
      <c r="L178" s="64">
        <f>IF($I178="No","No requiere valoración",IF($K178=0,"FALTA POR COMPLETO — agregar "&amp;$J178&amp;" filas",IF($K178&lt;$J178,"INCOMPLETO — faltan "&amp;($J178-$K178)&amp;" filas",IF($K178&gt;$J178,"REVISAR — hay filas de más","Completo"))))</f>
        <v/>
      </c>
    </row>
    <row r="179" ht="30" customHeight="1" s="54">
      <c r="B179" s="28">
        <f>IF(AND(OR($C$6="(Todos los procesos)",$C$6='1. Matriz de Activos'!$G$174),OR($C$7="(Todos los tipos)",$C$7='1. Matriz de Activos'!$E$174),OR($C$8="(Todos los subtipos)",$C$8='1. Matriz de Activos'!$F$174)),"Sí","No")</f>
        <v/>
      </c>
      <c r="C179" s="28">
        <f>'1. Matriz de Activos'!$B$174</f>
        <v/>
      </c>
      <c r="D179" s="64">
        <f>'1. Matriz de Activos'!$C$174</f>
        <v/>
      </c>
      <c r="E179" s="28">
        <f>'1. Matriz de Activos'!$G$174</f>
        <v/>
      </c>
      <c r="F179" s="64">
        <f>'1. Matriz de Activos'!$E$174</f>
        <v/>
      </c>
      <c r="G179" s="64">
        <f>'1. Matriz de Activos'!$F$174</f>
        <v/>
      </c>
      <c r="H179" s="28">
        <f>'1. Matriz de Activos'!$T$174</f>
        <v/>
      </c>
      <c r="I179" s="28">
        <f>IF($H179&gt;=4,"Sí","No")</f>
        <v/>
      </c>
      <c r="J179" s="28">
        <f>IF($H179&gt;=4,IFERROR(VLOOKUP($G179,AmenTabla,2,0),0),0)</f>
        <v/>
      </c>
      <c r="K179" s="28">
        <f>COUNTIF('2. Valoración '!$C$6:$C$2261,$C179)</f>
        <v/>
      </c>
      <c r="L179" s="64">
        <f>IF($I179="No","No requiere valoración",IF($K179=0,"FALTA POR COMPLETO — agregar "&amp;$J179&amp;" filas",IF($K179&lt;$J179,"INCOMPLETO — faltan "&amp;($J179-$K179)&amp;" filas",IF($K179&gt;$J179,"REVISAR — hay filas de más","Completo"))))</f>
        <v/>
      </c>
    </row>
    <row r="180" ht="30" customHeight="1" s="54">
      <c r="B180" s="28">
        <f>IF(AND(OR($C$6="(Todos los procesos)",$C$6='1. Matriz de Activos'!$G$175),OR($C$7="(Todos los tipos)",$C$7='1. Matriz de Activos'!$E$175),OR($C$8="(Todos los subtipos)",$C$8='1. Matriz de Activos'!$F$175)),"Sí","No")</f>
        <v/>
      </c>
      <c r="C180" s="28">
        <f>'1. Matriz de Activos'!$B$175</f>
        <v/>
      </c>
      <c r="D180" s="64">
        <f>'1. Matriz de Activos'!$C$175</f>
        <v/>
      </c>
      <c r="E180" s="28">
        <f>'1. Matriz de Activos'!$G$175</f>
        <v/>
      </c>
      <c r="F180" s="64">
        <f>'1. Matriz de Activos'!$E$175</f>
        <v/>
      </c>
      <c r="G180" s="64">
        <f>'1. Matriz de Activos'!$F$175</f>
        <v/>
      </c>
      <c r="H180" s="28">
        <f>'1. Matriz de Activos'!$T$175</f>
        <v/>
      </c>
      <c r="I180" s="28">
        <f>IF($H180&gt;=4,"Sí","No")</f>
        <v/>
      </c>
      <c r="J180" s="28">
        <f>IF($H180&gt;=4,IFERROR(VLOOKUP($G180,AmenTabla,2,0),0),0)</f>
        <v/>
      </c>
      <c r="K180" s="28">
        <f>COUNTIF('2. Valoración '!$C$6:$C$2261,$C180)</f>
        <v/>
      </c>
      <c r="L180" s="64">
        <f>IF($I180="No","No requiere valoración",IF($K180=0,"FALTA POR COMPLETO — agregar "&amp;$J180&amp;" filas",IF($K180&lt;$J180,"INCOMPLETO — faltan "&amp;($J180-$K180)&amp;" filas",IF($K180&gt;$J180,"REVISAR — hay filas de más","Completo"))))</f>
        <v/>
      </c>
    </row>
    <row r="181" ht="30" customHeight="1" s="54">
      <c r="B181" s="28">
        <f>IF(AND(OR($C$6="(Todos los procesos)",$C$6='1. Matriz de Activos'!$G$176),OR($C$7="(Todos los tipos)",$C$7='1. Matriz de Activos'!$E$176),OR($C$8="(Todos los subtipos)",$C$8='1. Matriz de Activos'!$F$176)),"Sí","No")</f>
        <v/>
      </c>
      <c r="C181" s="28">
        <f>'1. Matriz de Activos'!$B$176</f>
        <v/>
      </c>
      <c r="D181" s="64">
        <f>'1. Matriz de Activos'!$C$176</f>
        <v/>
      </c>
      <c r="E181" s="28">
        <f>'1. Matriz de Activos'!$G$176</f>
        <v/>
      </c>
      <c r="F181" s="64">
        <f>'1. Matriz de Activos'!$E$176</f>
        <v/>
      </c>
      <c r="G181" s="64">
        <f>'1. Matriz de Activos'!$F$176</f>
        <v/>
      </c>
      <c r="H181" s="28">
        <f>'1. Matriz de Activos'!$T$176</f>
        <v/>
      </c>
      <c r="I181" s="28">
        <f>IF($H181&gt;=4,"Sí","No")</f>
        <v/>
      </c>
      <c r="J181" s="28">
        <f>IF($H181&gt;=4,IFERROR(VLOOKUP($G181,AmenTabla,2,0),0),0)</f>
        <v/>
      </c>
      <c r="K181" s="28">
        <f>COUNTIF('2. Valoración '!$C$6:$C$2261,$C181)</f>
        <v/>
      </c>
      <c r="L181" s="64">
        <f>IF($I181="No","No requiere valoración",IF($K181=0,"FALTA POR COMPLETO — agregar "&amp;$J181&amp;" filas",IF($K181&lt;$J181,"INCOMPLETO — faltan "&amp;($J181-$K181)&amp;" filas",IF($K181&gt;$J181,"REVISAR — hay filas de más","Completo"))))</f>
        <v/>
      </c>
    </row>
    <row r="182" ht="30" customHeight="1" s="54">
      <c r="B182" s="28">
        <f>IF(AND(OR($C$6="(Todos los procesos)",$C$6='1. Matriz de Activos'!$G$177),OR($C$7="(Todos los tipos)",$C$7='1. Matriz de Activos'!$E$177),OR($C$8="(Todos los subtipos)",$C$8='1. Matriz de Activos'!$F$177)),"Sí","No")</f>
        <v/>
      </c>
      <c r="C182" s="28">
        <f>'1. Matriz de Activos'!$B$177</f>
        <v/>
      </c>
      <c r="D182" s="64">
        <f>'1. Matriz de Activos'!$C$177</f>
        <v/>
      </c>
      <c r="E182" s="28">
        <f>'1. Matriz de Activos'!$G$177</f>
        <v/>
      </c>
      <c r="F182" s="64">
        <f>'1. Matriz de Activos'!$E$177</f>
        <v/>
      </c>
      <c r="G182" s="64">
        <f>'1. Matriz de Activos'!$F$177</f>
        <v/>
      </c>
      <c r="H182" s="28">
        <f>'1. Matriz de Activos'!$T$177</f>
        <v/>
      </c>
      <c r="I182" s="28">
        <f>IF($H182&gt;=4,"Sí","No")</f>
        <v/>
      </c>
      <c r="J182" s="28">
        <f>IF($H182&gt;=4,IFERROR(VLOOKUP($G182,AmenTabla,2,0),0),0)</f>
        <v/>
      </c>
      <c r="K182" s="28">
        <f>COUNTIF('2. Valoración '!$C$6:$C$2261,$C182)</f>
        <v/>
      </c>
      <c r="L182" s="64">
        <f>IF($I182="No","No requiere valoración",IF($K182=0,"FALTA POR COMPLETO — agregar "&amp;$J182&amp;" filas",IF($K182&lt;$J182,"INCOMPLETO — faltan "&amp;($J182-$K182)&amp;" filas",IF($K182&gt;$J182,"REVISAR — hay filas de más","Completo"))))</f>
        <v/>
      </c>
    </row>
    <row r="183" ht="30" customHeight="1" s="54">
      <c r="B183" s="28">
        <f>IF(AND(OR($C$6="(Todos los procesos)",$C$6='1. Matriz de Activos'!$G$178),OR($C$7="(Todos los tipos)",$C$7='1. Matriz de Activos'!$E$178),OR($C$8="(Todos los subtipos)",$C$8='1. Matriz de Activos'!$F$178)),"Sí","No")</f>
        <v/>
      </c>
      <c r="C183" s="28">
        <f>'1. Matriz de Activos'!$B$178</f>
        <v/>
      </c>
      <c r="D183" s="64">
        <f>'1. Matriz de Activos'!$C$178</f>
        <v/>
      </c>
      <c r="E183" s="28">
        <f>'1. Matriz de Activos'!$G$178</f>
        <v/>
      </c>
      <c r="F183" s="64">
        <f>'1. Matriz de Activos'!$E$178</f>
        <v/>
      </c>
      <c r="G183" s="64">
        <f>'1. Matriz de Activos'!$F$178</f>
        <v/>
      </c>
      <c r="H183" s="28">
        <f>'1. Matriz de Activos'!$T$178</f>
        <v/>
      </c>
      <c r="I183" s="28">
        <f>IF($H183&gt;=4,"Sí","No")</f>
        <v/>
      </c>
      <c r="J183" s="28">
        <f>IF($H183&gt;=4,IFERROR(VLOOKUP($G183,AmenTabla,2,0),0),0)</f>
        <v/>
      </c>
      <c r="K183" s="28">
        <f>COUNTIF('2. Valoración '!$C$6:$C$2261,$C183)</f>
        <v/>
      </c>
      <c r="L183" s="64">
        <f>IF($I183="No","No requiere valoración",IF($K183=0,"FALTA POR COMPLETO — agregar "&amp;$J183&amp;" filas",IF($K183&lt;$J183,"INCOMPLETO — faltan "&amp;($J183-$K183)&amp;" filas",IF($K183&gt;$J183,"REVISAR — hay filas de más","Completo"))))</f>
        <v/>
      </c>
    </row>
    <row r="184" ht="30" customHeight="1" s="54">
      <c r="B184" s="28">
        <f>IF(AND(OR($C$6="(Todos los procesos)",$C$6='1. Matriz de Activos'!$G$179),OR($C$7="(Todos los tipos)",$C$7='1. Matriz de Activos'!$E$179),OR($C$8="(Todos los subtipos)",$C$8='1. Matriz de Activos'!$F$179)),"Sí","No")</f>
        <v/>
      </c>
      <c r="C184" s="28">
        <f>'1. Matriz de Activos'!$B$179</f>
        <v/>
      </c>
      <c r="D184" s="64">
        <f>'1. Matriz de Activos'!$C$179</f>
        <v/>
      </c>
      <c r="E184" s="28">
        <f>'1. Matriz de Activos'!$G$179</f>
        <v/>
      </c>
      <c r="F184" s="64">
        <f>'1. Matriz de Activos'!$E$179</f>
        <v/>
      </c>
      <c r="G184" s="64">
        <f>'1. Matriz de Activos'!$F$179</f>
        <v/>
      </c>
      <c r="H184" s="28">
        <f>'1. Matriz de Activos'!$T$179</f>
        <v/>
      </c>
      <c r="I184" s="28">
        <f>IF($H184&gt;=4,"Sí","No")</f>
        <v/>
      </c>
      <c r="J184" s="28">
        <f>IF($H184&gt;=4,IFERROR(VLOOKUP($G184,AmenTabla,2,0),0),0)</f>
        <v/>
      </c>
      <c r="K184" s="28">
        <f>COUNTIF('2. Valoración '!$C$6:$C$2261,$C184)</f>
        <v/>
      </c>
      <c r="L184" s="64">
        <f>IF($I184="No","No requiere valoración",IF($K184=0,"FALTA POR COMPLETO — agregar "&amp;$J184&amp;" filas",IF($K184&lt;$J184,"INCOMPLETO — faltan "&amp;($J184-$K184)&amp;" filas",IF($K184&gt;$J184,"REVISAR — hay filas de más","Completo"))))</f>
        <v/>
      </c>
    </row>
    <row r="185" ht="30" customHeight="1" s="54">
      <c r="B185" s="28">
        <f>IF(AND(OR($C$6="(Todos los procesos)",$C$6='1. Matriz de Activos'!$G$180),OR($C$7="(Todos los tipos)",$C$7='1. Matriz de Activos'!$E$180),OR($C$8="(Todos los subtipos)",$C$8='1. Matriz de Activos'!$F$180)),"Sí","No")</f>
        <v/>
      </c>
      <c r="C185" s="28">
        <f>'1. Matriz de Activos'!$B$180</f>
        <v/>
      </c>
      <c r="D185" s="64">
        <f>'1. Matriz de Activos'!$C$180</f>
        <v/>
      </c>
      <c r="E185" s="28">
        <f>'1. Matriz de Activos'!$G$180</f>
        <v/>
      </c>
      <c r="F185" s="64">
        <f>'1. Matriz de Activos'!$E$180</f>
        <v/>
      </c>
      <c r="G185" s="64">
        <f>'1. Matriz de Activos'!$F$180</f>
        <v/>
      </c>
      <c r="H185" s="28">
        <f>'1. Matriz de Activos'!$T$180</f>
        <v/>
      </c>
      <c r="I185" s="28">
        <f>IF($H185&gt;=4,"Sí","No")</f>
        <v/>
      </c>
      <c r="J185" s="28">
        <f>IF($H185&gt;=4,IFERROR(VLOOKUP($G185,AmenTabla,2,0),0),0)</f>
        <v/>
      </c>
      <c r="K185" s="28">
        <f>COUNTIF('2. Valoración '!$C$6:$C$2261,$C185)</f>
        <v/>
      </c>
      <c r="L185" s="64">
        <f>IF($I185="No","No requiere valoración",IF($K185=0,"FALTA POR COMPLETO — agregar "&amp;$J185&amp;" filas",IF($K185&lt;$J185,"INCOMPLETO — faltan "&amp;($J185-$K185)&amp;" filas",IF($K185&gt;$J185,"REVISAR — hay filas de más","Completo"))))</f>
        <v/>
      </c>
    </row>
    <row r="186" ht="30" customHeight="1" s="54">
      <c r="B186" s="28">
        <f>IF(AND(OR($C$6="(Todos los procesos)",$C$6='1. Matriz de Activos'!$G$181),OR($C$7="(Todos los tipos)",$C$7='1. Matriz de Activos'!$E$181),OR($C$8="(Todos los subtipos)",$C$8='1. Matriz de Activos'!$F$181)),"Sí","No")</f>
        <v/>
      </c>
      <c r="C186" s="28">
        <f>'1. Matriz de Activos'!$B$181</f>
        <v/>
      </c>
      <c r="D186" s="64">
        <f>'1. Matriz de Activos'!$C$181</f>
        <v/>
      </c>
      <c r="E186" s="28">
        <f>'1. Matriz de Activos'!$G$181</f>
        <v/>
      </c>
      <c r="F186" s="64">
        <f>'1. Matriz de Activos'!$E$181</f>
        <v/>
      </c>
      <c r="G186" s="64">
        <f>'1. Matriz de Activos'!$F$181</f>
        <v/>
      </c>
      <c r="H186" s="28">
        <f>'1. Matriz de Activos'!$T$181</f>
        <v/>
      </c>
      <c r="I186" s="28">
        <f>IF($H186&gt;=4,"Sí","No")</f>
        <v/>
      </c>
      <c r="J186" s="28">
        <f>IF($H186&gt;=4,IFERROR(VLOOKUP($G186,AmenTabla,2,0),0),0)</f>
        <v/>
      </c>
      <c r="K186" s="28">
        <f>COUNTIF('2. Valoración '!$C$6:$C$2261,$C186)</f>
        <v/>
      </c>
      <c r="L186" s="64">
        <f>IF($I186="No","No requiere valoración",IF($K186=0,"FALTA POR COMPLETO — agregar "&amp;$J186&amp;" filas",IF($K186&lt;$J186,"INCOMPLETO — faltan "&amp;($J186-$K186)&amp;" filas",IF($K186&gt;$J186,"REVISAR — hay filas de más","Completo"))))</f>
        <v/>
      </c>
    </row>
    <row r="187" ht="30" customHeight="1" s="54">
      <c r="B187" s="28">
        <f>IF(AND(OR($C$6="(Todos los procesos)",$C$6='1. Matriz de Activos'!$G$182),OR($C$7="(Todos los tipos)",$C$7='1. Matriz de Activos'!$E$182),OR($C$8="(Todos los subtipos)",$C$8='1. Matriz de Activos'!$F$182)),"Sí","No")</f>
        <v/>
      </c>
      <c r="C187" s="28">
        <f>'1. Matriz de Activos'!$B$182</f>
        <v/>
      </c>
      <c r="D187" s="64">
        <f>'1. Matriz de Activos'!$C$182</f>
        <v/>
      </c>
      <c r="E187" s="28">
        <f>'1. Matriz de Activos'!$G$182</f>
        <v/>
      </c>
      <c r="F187" s="64">
        <f>'1. Matriz de Activos'!$E$182</f>
        <v/>
      </c>
      <c r="G187" s="64">
        <f>'1. Matriz de Activos'!$F$182</f>
        <v/>
      </c>
      <c r="H187" s="28">
        <f>'1. Matriz de Activos'!$T$182</f>
        <v/>
      </c>
      <c r="I187" s="28">
        <f>IF($H187&gt;=4,"Sí","No")</f>
        <v/>
      </c>
      <c r="J187" s="28">
        <f>IF($H187&gt;=4,IFERROR(VLOOKUP($G187,AmenTabla,2,0),0),0)</f>
        <v/>
      </c>
      <c r="K187" s="28">
        <f>COUNTIF('2. Valoración '!$C$6:$C$2261,$C187)</f>
        <v/>
      </c>
      <c r="L187" s="64">
        <f>IF($I187="No","No requiere valoración",IF($K187=0,"FALTA POR COMPLETO — agregar "&amp;$J187&amp;" filas",IF($K187&lt;$J187,"INCOMPLETO — faltan "&amp;($J187-$K187)&amp;" filas",IF($K187&gt;$J187,"REVISAR — hay filas de más","Completo"))))</f>
        <v/>
      </c>
    </row>
    <row r="188" ht="30" customHeight="1" s="54">
      <c r="B188" s="28">
        <f>IF(AND(OR($C$6="(Todos los procesos)",$C$6='1. Matriz de Activos'!$G$183),OR($C$7="(Todos los tipos)",$C$7='1. Matriz de Activos'!$E$183),OR($C$8="(Todos los subtipos)",$C$8='1. Matriz de Activos'!$F$183)),"Sí","No")</f>
        <v/>
      </c>
      <c r="C188" s="28">
        <f>'1. Matriz de Activos'!$B$183</f>
        <v/>
      </c>
      <c r="D188" s="64">
        <f>'1. Matriz de Activos'!$C$183</f>
        <v/>
      </c>
      <c r="E188" s="28">
        <f>'1. Matriz de Activos'!$G$183</f>
        <v/>
      </c>
      <c r="F188" s="64">
        <f>'1. Matriz de Activos'!$E$183</f>
        <v/>
      </c>
      <c r="G188" s="64">
        <f>'1. Matriz de Activos'!$F$183</f>
        <v/>
      </c>
      <c r="H188" s="28">
        <f>'1. Matriz de Activos'!$T$183</f>
        <v/>
      </c>
      <c r="I188" s="28">
        <f>IF($H188&gt;=4,"Sí","No")</f>
        <v/>
      </c>
      <c r="J188" s="28">
        <f>IF($H188&gt;=4,IFERROR(VLOOKUP($G188,AmenTabla,2,0),0),0)</f>
        <v/>
      </c>
      <c r="K188" s="28">
        <f>COUNTIF('2. Valoración '!$C$6:$C$2261,$C188)</f>
        <v/>
      </c>
      <c r="L188" s="64">
        <f>IF($I188="No","No requiere valoración",IF($K188=0,"FALTA POR COMPLETO — agregar "&amp;$J188&amp;" filas",IF($K188&lt;$J188,"INCOMPLETO — faltan "&amp;($J188-$K188)&amp;" filas",IF($K188&gt;$J188,"REVISAR — hay filas de más","Completo"))))</f>
        <v/>
      </c>
    </row>
    <row r="189" ht="30" customHeight="1" s="54">
      <c r="B189" s="28">
        <f>IF(AND(OR($C$6="(Todos los procesos)",$C$6='1. Matriz de Activos'!$G$184),OR($C$7="(Todos los tipos)",$C$7='1. Matriz de Activos'!$E$184),OR($C$8="(Todos los subtipos)",$C$8='1. Matriz de Activos'!$F$184)),"Sí","No")</f>
        <v/>
      </c>
      <c r="C189" s="28">
        <f>'1. Matriz de Activos'!$B$184</f>
        <v/>
      </c>
      <c r="D189" s="64">
        <f>'1. Matriz de Activos'!$C$184</f>
        <v/>
      </c>
      <c r="E189" s="28">
        <f>'1. Matriz de Activos'!$G$184</f>
        <v/>
      </c>
      <c r="F189" s="64">
        <f>'1. Matriz de Activos'!$E$184</f>
        <v/>
      </c>
      <c r="G189" s="64">
        <f>'1. Matriz de Activos'!$F$184</f>
        <v/>
      </c>
      <c r="H189" s="28">
        <f>'1. Matriz de Activos'!$T$184</f>
        <v/>
      </c>
      <c r="I189" s="28">
        <f>IF($H189&gt;=4,"Sí","No")</f>
        <v/>
      </c>
      <c r="J189" s="28">
        <f>IF($H189&gt;=4,IFERROR(VLOOKUP($G189,AmenTabla,2,0),0),0)</f>
        <v/>
      </c>
      <c r="K189" s="28">
        <f>COUNTIF('2. Valoración '!$C$6:$C$2261,$C189)</f>
        <v/>
      </c>
      <c r="L189" s="64">
        <f>IF($I189="No","No requiere valoración",IF($K189=0,"FALTA POR COMPLETO — agregar "&amp;$J189&amp;" filas",IF($K189&lt;$J189,"INCOMPLETO — faltan "&amp;($J189-$K189)&amp;" filas",IF($K189&gt;$J189,"REVISAR — hay filas de más","Completo"))))</f>
        <v/>
      </c>
    </row>
    <row r="190" ht="30" customHeight="1" s="54">
      <c r="B190" s="28">
        <f>IF(AND(OR($C$6="(Todos los procesos)",$C$6='1. Matriz de Activos'!$G$185),OR($C$7="(Todos los tipos)",$C$7='1. Matriz de Activos'!$E$185),OR($C$8="(Todos los subtipos)",$C$8='1. Matriz de Activos'!$F$185)),"Sí","No")</f>
        <v/>
      </c>
      <c r="C190" s="28">
        <f>'1. Matriz de Activos'!$B$185</f>
        <v/>
      </c>
      <c r="D190" s="64">
        <f>'1. Matriz de Activos'!$C$185</f>
        <v/>
      </c>
      <c r="E190" s="28">
        <f>'1. Matriz de Activos'!$G$185</f>
        <v/>
      </c>
      <c r="F190" s="64">
        <f>'1. Matriz de Activos'!$E$185</f>
        <v/>
      </c>
      <c r="G190" s="64">
        <f>'1. Matriz de Activos'!$F$185</f>
        <v/>
      </c>
      <c r="H190" s="28">
        <f>'1. Matriz de Activos'!$T$185</f>
        <v/>
      </c>
      <c r="I190" s="28">
        <f>IF($H190&gt;=4,"Sí","No")</f>
        <v/>
      </c>
      <c r="J190" s="28">
        <f>IF($H190&gt;=4,IFERROR(VLOOKUP($G190,AmenTabla,2,0),0),0)</f>
        <v/>
      </c>
      <c r="K190" s="28">
        <f>COUNTIF('2. Valoración '!$C$6:$C$2261,$C190)</f>
        <v/>
      </c>
      <c r="L190" s="64">
        <f>IF($I190="No","No requiere valoración",IF($K190=0,"FALTA POR COMPLETO — agregar "&amp;$J190&amp;" filas",IF($K190&lt;$J190,"INCOMPLETO — faltan "&amp;($J190-$K190)&amp;" filas",IF($K190&gt;$J190,"REVISAR — hay filas de más","Completo"))))</f>
        <v/>
      </c>
    </row>
    <row r="191" ht="30" customHeight="1" s="54">
      <c r="B191" s="28">
        <f>IF(AND(OR($C$6="(Todos los procesos)",$C$6='1. Matriz de Activos'!$G$186),OR($C$7="(Todos los tipos)",$C$7='1. Matriz de Activos'!$E$186),OR($C$8="(Todos los subtipos)",$C$8='1. Matriz de Activos'!$F$186)),"Sí","No")</f>
        <v/>
      </c>
      <c r="C191" s="28">
        <f>'1. Matriz de Activos'!$B$186</f>
        <v/>
      </c>
      <c r="D191" s="64">
        <f>'1. Matriz de Activos'!$C$186</f>
        <v/>
      </c>
      <c r="E191" s="28">
        <f>'1. Matriz de Activos'!$G$186</f>
        <v/>
      </c>
      <c r="F191" s="64">
        <f>'1. Matriz de Activos'!$E$186</f>
        <v/>
      </c>
      <c r="G191" s="64">
        <f>'1. Matriz de Activos'!$F$186</f>
        <v/>
      </c>
      <c r="H191" s="28">
        <f>'1. Matriz de Activos'!$T$186</f>
        <v/>
      </c>
      <c r="I191" s="28">
        <f>IF($H191&gt;=4,"Sí","No")</f>
        <v/>
      </c>
      <c r="J191" s="28">
        <f>IF($H191&gt;=4,IFERROR(VLOOKUP($G191,AmenTabla,2,0),0),0)</f>
        <v/>
      </c>
      <c r="K191" s="28">
        <f>COUNTIF('2. Valoración '!$C$6:$C$2261,$C191)</f>
        <v/>
      </c>
      <c r="L191" s="64">
        <f>IF($I191="No","No requiere valoración",IF($K191=0,"FALTA POR COMPLETO — agregar "&amp;$J191&amp;" filas",IF($K191&lt;$J191,"INCOMPLETO — faltan "&amp;($J191-$K191)&amp;" filas",IF($K191&gt;$J191,"REVISAR — hay filas de más","Completo"))))</f>
        <v/>
      </c>
    </row>
    <row r="192" ht="30" customHeight="1" s="54">
      <c r="B192" s="28">
        <f>IF(AND(OR($C$6="(Todos los procesos)",$C$6='1. Matriz de Activos'!$G$187),OR($C$7="(Todos los tipos)",$C$7='1. Matriz de Activos'!$E$187),OR($C$8="(Todos los subtipos)",$C$8='1. Matriz de Activos'!$F$187)),"Sí","No")</f>
        <v/>
      </c>
      <c r="C192" s="28">
        <f>'1. Matriz de Activos'!$B$187</f>
        <v/>
      </c>
      <c r="D192" s="64">
        <f>'1. Matriz de Activos'!$C$187</f>
        <v/>
      </c>
      <c r="E192" s="28">
        <f>'1. Matriz de Activos'!$G$187</f>
        <v/>
      </c>
      <c r="F192" s="64">
        <f>'1. Matriz de Activos'!$E$187</f>
        <v/>
      </c>
      <c r="G192" s="64">
        <f>'1. Matriz de Activos'!$F$187</f>
        <v/>
      </c>
      <c r="H192" s="28">
        <f>'1. Matriz de Activos'!$T$187</f>
        <v/>
      </c>
      <c r="I192" s="28">
        <f>IF($H192&gt;=4,"Sí","No")</f>
        <v/>
      </c>
      <c r="J192" s="28">
        <f>IF($H192&gt;=4,IFERROR(VLOOKUP($G192,AmenTabla,2,0),0),0)</f>
        <v/>
      </c>
      <c r="K192" s="28">
        <f>COUNTIF('2. Valoración '!$C$6:$C$2261,$C192)</f>
        <v/>
      </c>
      <c r="L192" s="64">
        <f>IF($I192="No","No requiere valoración",IF($K192=0,"FALTA POR COMPLETO — agregar "&amp;$J192&amp;" filas",IF($K192&lt;$J192,"INCOMPLETO — faltan "&amp;($J192-$K192)&amp;" filas",IF($K192&gt;$J192,"REVISAR — hay filas de más","Completo"))))</f>
        <v/>
      </c>
    </row>
    <row r="193" ht="30" customHeight="1" s="54">
      <c r="B193" s="28">
        <f>IF(AND(OR($C$6="(Todos los procesos)",$C$6='1. Matriz de Activos'!$G$188),OR($C$7="(Todos los tipos)",$C$7='1. Matriz de Activos'!$E$188),OR($C$8="(Todos los subtipos)",$C$8='1. Matriz de Activos'!$F$188)),"Sí","No")</f>
        <v/>
      </c>
      <c r="C193" s="28">
        <f>'1. Matriz de Activos'!$B$188</f>
        <v/>
      </c>
      <c r="D193" s="64">
        <f>'1. Matriz de Activos'!$C$188</f>
        <v/>
      </c>
      <c r="E193" s="28">
        <f>'1. Matriz de Activos'!$G$188</f>
        <v/>
      </c>
      <c r="F193" s="64">
        <f>'1. Matriz de Activos'!$E$188</f>
        <v/>
      </c>
      <c r="G193" s="64">
        <f>'1. Matriz de Activos'!$F$188</f>
        <v/>
      </c>
      <c r="H193" s="28">
        <f>'1. Matriz de Activos'!$T$188</f>
        <v/>
      </c>
      <c r="I193" s="28">
        <f>IF($H193&gt;=4,"Sí","No")</f>
        <v/>
      </c>
      <c r="J193" s="28">
        <f>IF($H193&gt;=4,IFERROR(VLOOKUP($G193,AmenTabla,2,0),0),0)</f>
        <v/>
      </c>
      <c r="K193" s="28">
        <f>COUNTIF('2. Valoración '!$C$6:$C$2261,$C193)</f>
        <v/>
      </c>
      <c r="L193" s="64">
        <f>IF($I193="No","No requiere valoración",IF($K193=0,"FALTA POR COMPLETO — agregar "&amp;$J193&amp;" filas",IF($K193&lt;$J193,"INCOMPLETO — faltan "&amp;($J193-$K193)&amp;" filas",IF($K193&gt;$J193,"REVISAR — hay filas de más","Completo"))))</f>
        <v/>
      </c>
    </row>
    <row r="194" ht="30" customHeight="1" s="54">
      <c r="B194" s="28">
        <f>IF(AND(OR($C$6="(Todos los procesos)",$C$6='1. Matriz de Activos'!$G$189),OR($C$7="(Todos los tipos)",$C$7='1. Matriz de Activos'!$E$189),OR($C$8="(Todos los subtipos)",$C$8='1. Matriz de Activos'!$F$189)),"Sí","No")</f>
        <v/>
      </c>
      <c r="C194" s="28">
        <f>'1. Matriz de Activos'!$B$189</f>
        <v/>
      </c>
      <c r="D194" s="64">
        <f>'1. Matriz de Activos'!$C$189</f>
        <v/>
      </c>
      <c r="E194" s="28">
        <f>'1. Matriz de Activos'!$G$189</f>
        <v/>
      </c>
      <c r="F194" s="64">
        <f>'1. Matriz de Activos'!$E$189</f>
        <v/>
      </c>
      <c r="G194" s="64">
        <f>'1. Matriz de Activos'!$F$189</f>
        <v/>
      </c>
      <c r="H194" s="28">
        <f>'1. Matriz de Activos'!$T$189</f>
        <v/>
      </c>
      <c r="I194" s="28">
        <f>IF($H194&gt;=4,"Sí","No")</f>
        <v/>
      </c>
      <c r="J194" s="28">
        <f>IF($H194&gt;=4,IFERROR(VLOOKUP($G194,AmenTabla,2,0),0),0)</f>
        <v/>
      </c>
      <c r="K194" s="28">
        <f>COUNTIF('2. Valoración '!$C$6:$C$2261,$C194)</f>
        <v/>
      </c>
      <c r="L194" s="64">
        <f>IF($I194="No","No requiere valoración",IF($K194=0,"FALTA POR COMPLETO — agregar "&amp;$J194&amp;" filas",IF($K194&lt;$J194,"INCOMPLETO — faltan "&amp;($J194-$K194)&amp;" filas",IF($K194&gt;$J194,"REVISAR — hay filas de más","Completo"))))</f>
        <v/>
      </c>
    </row>
    <row r="195" ht="30" customHeight="1" s="54">
      <c r="B195" s="28">
        <f>IF(AND(OR($C$6="(Todos los procesos)",$C$6='1. Matriz de Activos'!$G$190),OR($C$7="(Todos los tipos)",$C$7='1. Matriz de Activos'!$E$190),OR($C$8="(Todos los subtipos)",$C$8='1. Matriz de Activos'!$F$190)),"Sí","No")</f>
        <v/>
      </c>
      <c r="C195" s="28">
        <f>'1. Matriz de Activos'!$B$190</f>
        <v/>
      </c>
      <c r="D195" s="64">
        <f>'1. Matriz de Activos'!$C$190</f>
        <v/>
      </c>
      <c r="E195" s="28">
        <f>'1. Matriz de Activos'!$G$190</f>
        <v/>
      </c>
      <c r="F195" s="64">
        <f>'1. Matriz de Activos'!$E$190</f>
        <v/>
      </c>
      <c r="G195" s="64">
        <f>'1. Matriz de Activos'!$F$190</f>
        <v/>
      </c>
      <c r="H195" s="28">
        <f>'1. Matriz de Activos'!$T$190</f>
        <v/>
      </c>
      <c r="I195" s="28">
        <f>IF($H195&gt;=4,"Sí","No")</f>
        <v/>
      </c>
      <c r="J195" s="28">
        <f>IF($H195&gt;=4,IFERROR(VLOOKUP($G195,AmenTabla,2,0),0),0)</f>
        <v/>
      </c>
      <c r="K195" s="28">
        <f>COUNTIF('2. Valoración '!$C$6:$C$2261,$C195)</f>
        <v/>
      </c>
      <c r="L195" s="64">
        <f>IF($I195="No","No requiere valoración",IF($K195=0,"FALTA POR COMPLETO — agregar "&amp;$J195&amp;" filas",IF($K195&lt;$J195,"INCOMPLETO — faltan "&amp;($J195-$K195)&amp;" filas",IF($K195&gt;$J195,"REVISAR — hay filas de más","Completo"))))</f>
        <v/>
      </c>
    </row>
    <row r="196" ht="30" customHeight="1" s="54">
      <c r="B196" s="28">
        <f>IF(AND(OR($C$6="(Todos los procesos)",$C$6='1. Matriz de Activos'!$G$191),OR($C$7="(Todos los tipos)",$C$7='1. Matriz de Activos'!$E$191),OR($C$8="(Todos los subtipos)",$C$8='1. Matriz de Activos'!$F$191)),"Sí","No")</f>
        <v/>
      </c>
      <c r="C196" s="28">
        <f>'1. Matriz de Activos'!$B$191</f>
        <v/>
      </c>
      <c r="D196" s="64">
        <f>'1. Matriz de Activos'!$C$191</f>
        <v/>
      </c>
      <c r="E196" s="28">
        <f>'1. Matriz de Activos'!$G$191</f>
        <v/>
      </c>
      <c r="F196" s="64">
        <f>'1. Matriz de Activos'!$E$191</f>
        <v/>
      </c>
      <c r="G196" s="64">
        <f>'1. Matriz de Activos'!$F$191</f>
        <v/>
      </c>
      <c r="H196" s="28">
        <f>'1. Matriz de Activos'!$T$191</f>
        <v/>
      </c>
      <c r="I196" s="28">
        <f>IF($H196&gt;=4,"Sí","No")</f>
        <v/>
      </c>
      <c r="J196" s="28">
        <f>IF($H196&gt;=4,IFERROR(VLOOKUP($G196,AmenTabla,2,0),0),0)</f>
        <v/>
      </c>
      <c r="K196" s="28">
        <f>COUNTIF('2. Valoración '!$C$6:$C$2261,$C196)</f>
        <v/>
      </c>
      <c r="L196" s="64">
        <f>IF($I196="No","No requiere valoración",IF($K196=0,"FALTA POR COMPLETO — agregar "&amp;$J196&amp;" filas",IF($K196&lt;$J196,"INCOMPLETO — faltan "&amp;($J196-$K196)&amp;" filas",IF($K196&gt;$J196,"REVISAR — hay filas de más","Completo"))))</f>
        <v/>
      </c>
    </row>
    <row r="197" ht="30" customHeight="1" s="54">
      <c r="B197" s="28">
        <f>IF(AND(OR($C$6="(Todos los procesos)",$C$6='1. Matriz de Activos'!$G$192),OR($C$7="(Todos los tipos)",$C$7='1. Matriz de Activos'!$E$192),OR($C$8="(Todos los subtipos)",$C$8='1. Matriz de Activos'!$F$192)),"Sí","No")</f>
        <v/>
      </c>
      <c r="C197" s="28">
        <f>'1. Matriz de Activos'!$B$192</f>
        <v/>
      </c>
      <c r="D197" s="64">
        <f>'1. Matriz de Activos'!$C$192</f>
        <v/>
      </c>
      <c r="E197" s="28">
        <f>'1. Matriz de Activos'!$G$192</f>
        <v/>
      </c>
      <c r="F197" s="64">
        <f>'1. Matriz de Activos'!$E$192</f>
        <v/>
      </c>
      <c r="G197" s="64">
        <f>'1. Matriz de Activos'!$F$192</f>
        <v/>
      </c>
      <c r="H197" s="28">
        <f>'1. Matriz de Activos'!$T$192</f>
        <v/>
      </c>
      <c r="I197" s="28">
        <f>IF($H197&gt;=4,"Sí","No")</f>
        <v/>
      </c>
      <c r="J197" s="28">
        <f>IF($H197&gt;=4,IFERROR(VLOOKUP($G197,AmenTabla,2,0),0),0)</f>
        <v/>
      </c>
      <c r="K197" s="28">
        <f>COUNTIF('2. Valoración '!$C$6:$C$2261,$C197)</f>
        <v/>
      </c>
      <c r="L197" s="64">
        <f>IF($I197="No","No requiere valoración",IF($K197=0,"FALTA POR COMPLETO — agregar "&amp;$J197&amp;" filas",IF($K197&lt;$J197,"INCOMPLETO — faltan "&amp;($J197-$K197)&amp;" filas",IF($K197&gt;$J197,"REVISAR — hay filas de más","Completo"))))</f>
        <v/>
      </c>
    </row>
    <row r="198" ht="30" customHeight="1" s="54">
      <c r="B198" s="28">
        <f>IF(AND(OR($C$6="(Todos los procesos)",$C$6='1. Matriz de Activos'!$G$193),OR($C$7="(Todos los tipos)",$C$7='1. Matriz de Activos'!$E$193),OR($C$8="(Todos los subtipos)",$C$8='1. Matriz de Activos'!$F$193)),"Sí","No")</f>
        <v/>
      </c>
      <c r="C198" s="28">
        <f>'1. Matriz de Activos'!$B$193</f>
        <v/>
      </c>
      <c r="D198" s="64">
        <f>'1. Matriz de Activos'!$C$193</f>
        <v/>
      </c>
      <c r="E198" s="28">
        <f>'1. Matriz de Activos'!$G$193</f>
        <v/>
      </c>
      <c r="F198" s="64">
        <f>'1. Matriz de Activos'!$E$193</f>
        <v/>
      </c>
      <c r="G198" s="64">
        <f>'1. Matriz de Activos'!$F$193</f>
        <v/>
      </c>
      <c r="H198" s="28">
        <f>'1. Matriz de Activos'!$T$193</f>
        <v/>
      </c>
      <c r="I198" s="28">
        <f>IF($H198&gt;=4,"Sí","No")</f>
        <v/>
      </c>
      <c r="J198" s="28">
        <f>IF($H198&gt;=4,IFERROR(VLOOKUP($G198,AmenTabla,2,0),0),0)</f>
        <v/>
      </c>
      <c r="K198" s="28">
        <f>COUNTIF('2. Valoración '!$C$6:$C$2261,$C198)</f>
        <v/>
      </c>
      <c r="L198" s="64">
        <f>IF($I198="No","No requiere valoración",IF($K198=0,"FALTA POR COMPLETO — agregar "&amp;$J198&amp;" filas",IF($K198&lt;$J198,"INCOMPLETO — faltan "&amp;($J198-$K198)&amp;" filas",IF($K198&gt;$J198,"REVISAR — hay filas de más","Completo"))))</f>
        <v/>
      </c>
    </row>
    <row r="199" ht="30" customHeight="1" s="54">
      <c r="B199" s="28">
        <f>IF(AND(OR($C$6="(Todos los procesos)",$C$6='1. Matriz de Activos'!$G$194),OR($C$7="(Todos los tipos)",$C$7='1. Matriz de Activos'!$E$194),OR($C$8="(Todos los subtipos)",$C$8='1. Matriz de Activos'!$F$194)),"Sí","No")</f>
        <v/>
      </c>
      <c r="C199" s="28">
        <f>'1. Matriz de Activos'!$B$194</f>
        <v/>
      </c>
      <c r="D199" s="64">
        <f>'1. Matriz de Activos'!$C$194</f>
        <v/>
      </c>
      <c r="E199" s="28">
        <f>'1. Matriz de Activos'!$G$194</f>
        <v/>
      </c>
      <c r="F199" s="64">
        <f>'1. Matriz de Activos'!$E$194</f>
        <v/>
      </c>
      <c r="G199" s="64">
        <f>'1. Matriz de Activos'!$F$194</f>
        <v/>
      </c>
      <c r="H199" s="28">
        <f>'1. Matriz de Activos'!$T$194</f>
        <v/>
      </c>
      <c r="I199" s="28">
        <f>IF($H199&gt;=4,"Sí","No")</f>
        <v/>
      </c>
      <c r="J199" s="28">
        <f>IF($H199&gt;=4,IFERROR(VLOOKUP($G199,AmenTabla,2,0),0),0)</f>
        <v/>
      </c>
      <c r="K199" s="28">
        <f>COUNTIF('2. Valoración '!$C$6:$C$2261,$C199)</f>
        <v/>
      </c>
      <c r="L199" s="64">
        <f>IF($I199="No","No requiere valoración",IF($K199=0,"FALTA POR COMPLETO — agregar "&amp;$J199&amp;" filas",IF($K199&lt;$J199,"INCOMPLETO — faltan "&amp;($J199-$K199)&amp;" filas",IF($K199&gt;$J199,"REVISAR — hay filas de más","Completo"))))</f>
        <v/>
      </c>
    </row>
    <row r="200" ht="30" customHeight="1" s="54">
      <c r="B200" s="28">
        <f>IF(AND(OR($C$6="(Todos los procesos)",$C$6='1. Matriz de Activos'!$G$195),OR($C$7="(Todos los tipos)",$C$7='1. Matriz de Activos'!$E$195),OR($C$8="(Todos los subtipos)",$C$8='1. Matriz de Activos'!$F$195)),"Sí","No")</f>
        <v/>
      </c>
      <c r="C200" s="28">
        <f>'1. Matriz de Activos'!$B$195</f>
        <v/>
      </c>
      <c r="D200" s="64">
        <f>'1. Matriz de Activos'!$C$195</f>
        <v/>
      </c>
      <c r="E200" s="28">
        <f>'1. Matriz de Activos'!$G$195</f>
        <v/>
      </c>
      <c r="F200" s="64">
        <f>'1. Matriz de Activos'!$E$195</f>
        <v/>
      </c>
      <c r="G200" s="64">
        <f>'1. Matriz de Activos'!$F$195</f>
        <v/>
      </c>
      <c r="H200" s="28">
        <f>'1. Matriz de Activos'!$T$195</f>
        <v/>
      </c>
      <c r="I200" s="28">
        <f>IF($H200&gt;=4,"Sí","No")</f>
        <v/>
      </c>
      <c r="J200" s="28">
        <f>IF($H200&gt;=4,IFERROR(VLOOKUP($G200,AmenTabla,2,0),0),0)</f>
        <v/>
      </c>
      <c r="K200" s="28">
        <f>COUNTIF('2. Valoración '!$C$6:$C$2261,$C200)</f>
        <v/>
      </c>
      <c r="L200" s="64">
        <f>IF($I200="No","No requiere valoración",IF($K200=0,"FALTA POR COMPLETO — agregar "&amp;$J200&amp;" filas",IF($K200&lt;$J200,"INCOMPLETO — faltan "&amp;($J200-$K200)&amp;" filas",IF($K200&gt;$J200,"REVISAR — hay filas de más","Completo"))))</f>
        <v/>
      </c>
    </row>
    <row r="201" ht="30" customHeight="1" s="54">
      <c r="B201" s="28">
        <f>IF(AND(OR($C$6="(Todos los procesos)",$C$6='1. Matriz de Activos'!$G$196),OR($C$7="(Todos los tipos)",$C$7='1. Matriz de Activos'!$E$196),OR($C$8="(Todos los subtipos)",$C$8='1. Matriz de Activos'!$F$196)),"Sí","No")</f>
        <v/>
      </c>
      <c r="C201" s="28">
        <f>'1. Matriz de Activos'!$B$196</f>
        <v/>
      </c>
      <c r="D201" s="64">
        <f>'1. Matriz de Activos'!$C$196</f>
        <v/>
      </c>
      <c r="E201" s="28">
        <f>'1. Matriz de Activos'!$G$196</f>
        <v/>
      </c>
      <c r="F201" s="64">
        <f>'1. Matriz de Activos'!$E$196</f>
        <v/>
      </c>
      <c r="G201" s="64">
        <f>'1. Matriz de Activos'!$F$196</f>
        <v/>
      </c>
      <c r="H201" s="28">
        <f>'1. Matriz de Activos'!$T$196</f>
        <v/>
      </c>
      <c r="I201" s="28">
        <f>IF($H201&gt;=4,"Sí","No")</f>
        <v/>
      </c>
      <c r="J201" s="28">
        <f>IF($H201&gt;=4,IFERROR(VLOOKUP($G201,AmenTabla,2,0),0),0)</f>
        <v/>
      </c>
      <c r="K201" s="28">
        <f>COUNTIF('2. Valoración '!$C$6:$C$2261,$C201)</f>
        <v/>
      </c>
      <c r="L201" s="64">
        <f>IF($I201="No","No requiere valoración",IF($K201=0,"FALTA POR COMPLETO — agregar "&amp;$J201&amp;" filas",IF($K201&lt;$J201,"INCOMPLETO — faltan "&amp;($J201-$K201)&amp;" filas",IF($K201&gt;$J201,"REVISAR — hay filas de más","Completo"))))</f>
        <v/>
      </c>
    </row>
    <row r="202" ht="30" customHeight="1" s="54">
      <c r="B202" s="28">
        <f>IF(AND(OR($C$6="(Todos los procesos)",$C$6='1. Matriz de Activos'!$G$197),OR($C$7="(Todos los tipos)",$C$7='1. Matriz de Activos'!$E$197),OR($C$8="(Todos los subtipos)",$C$8='1. Matriz de Activos'!$F$197)),"Sí","No")</f>
        <v/>
      </c>
      <c r="C202" s="28">
        <f>'1. Matriz de Activos'!$B$197</f>
        <v/>
      </c>
      <c r="D202" s="64">
        <f>'1. Matriz de Activos'!$C$197</f>
        <v/>
      </c>
      <c r="E202" s="28">
        <f>'1. Matriz de Activos'!$G$197</f>
        <v/>
      </c>
      <c r="F202" s="64">
        <f>'1. Matriz de Activos'!$E$197</f>
        <v/>
      </c>
      <c r="G202" s="64">
        <f>'1. Matriz de Activos'!$F$197</f>
        <v/>
      </c>
      <c r="H202" s="28">
        <f>'1. Matriz de Activos'!$T$197</f>
        <v/>
      </c>
      <c r="I202" s="28">
        <f>IF($H202&gt;=4,"Sí","No")</f>
        <v/>
      </c>
      <c r="J202" s="28">
        <f>IF($H202&gt;=4,IFERROR(VLOOKUP($G202,AmenTabla,2,0),0),0)</f>
        <v/>
      </c>
      <c r="K202" s="28">
        <f>COUNTIF('2. Valoración '!$C$6:$C$2261,$C202)</f>
        <v/>
      </c>
      <c r="L202" s="64">
        <f>IF($I202="No","No requiere valoración",IF($K202=0,"FALTA POR COMPLETO — agregar "&amp;$J202&amp;" filas",IF($K202&lt;$J202,"INCOMPLETO — faltan "&amp;($J202-$K202)&amp;" filas",IF($K202&gt;$J202,"REVISAR — hay filas de más","Completo"))))</f>
        <v/>
      </c>
    </row>
    <row r="203" ht="30" customHeight="1" s="54">
      <c r="B203" s="28">
        <f>IF(AND(OR($C$6="(Todos los procesos)",$C$6='1. Matriz de Activos'!$G$198),OR($C$7="(Todos los tipos)",$C$7='1. Matriz de Activos'!$E$198),OR($C$8="(Todos los subtipos)",$C$8='1. Matriz de Activos'!$F$198)),"Sí","No")</f>
        <v/>
      </c>
      <c r="C203" s="28">
        <f>'1. Matriz de Activos'!$B$198</f>
        <v/>
      </c>
      <c r="D203" s="64">
        <f>'1. Matriz de Activos'!$C$198</f>
        <v/>
      </c>
      <c r="E203" s="28">
        <f>'1. Matriz de Activos'!$G$198</f>
        <v/>
      </c>
      <c r="F203" s="64">
        <f>'1. Matriz de Activos'!$E$198</f>
        <v/>
      </c>
      <c r="G203" s="64">
        <f>'1. Matriz de Activos'!$F$198</f>
        <v/>
      </c>
      <c r="H203" s="28">
        <f>'1. Matriz de Activos'!$T$198</f>
        <v/>
      </c>
      <c r="I203" s="28">
        <f>IF($H203&gt;=4,"Sí","No")</f>
        <v/>
      </c>
      <c r="J203" s="28">
        <f>IF($H203&gt;=4,IFERROR(VLOOKUP($G203,AmenTabla,2,0),0),0)</f>
        <v/>
      </c>
      <c r="K203" s="28">
        <f>COUNTIF('2. Valoración '!$C$6:$C$2261,$C203)</f>
        <v/>
      </c>
      <c r="L203" s="64">
        <f>IF($I203="No","No requiere valoración",IF($K203=0,"FALTA POR COMPLETO — agregar "&amp;$J203&amp;" filas",IF($K203&lt;$J203,"INCOMPLETO — faltan "&amp;($J203-$K203)&amp;" filas",IF($K203&gt;$J203,"REVISAR — hay filas de más","Completo"))))</f>
        <v/>
      </c>
    </row>
    <row r="204" ht="30" customHeight="1" s="54">
      <c r="B204" s="28">
        <f>IF(AND(OR($C$6="(Todos los procesos)",$C$6='1. Matriz de Activos'!$G$199),OR($C$7="(Todos los tipos)",$C$7='1. Matriz de Activos'!$E$199),OR($C$8="(Todos los subtipos)",$C$8='1. Matriz de Activos'!$F$199)),"Sí","No")</f>
        <v/>
      </c>
      <c r="C204" s="28">
        <f>'1. Matriz de Activos'!$B$199</f>
        <v/>
      </c>
      <c r="D204" s="64">
        <f>'1. Matriz de Activos'!$C$199</f>
        <v/>
      </c>
      <c r="E204" s="28">
        <f>'1. Matriz de Activos'!$G$199</f>
        <v/>
      </c>
      <c r="F204" s="64">
        <f>'1. Matriz de Activos'!$E$199</f>
        <v/>
      </c>
      <c r="G204" s="64">
        <f>'1. Matriz de Activos'!$F$199</f>
        <v/>
      </c>
      <c r="H204" s="28">
        <f>'1. Matriz de Activos'!$T$199</f>
        <v/>
      </c>
      <c r="I204" s="28">
        <f>IF($H204&gt;=4,"Sí","No")</f>
        <v/>
      </c>
      <c r="J204" s="28">
        <f>IF($H204&gt;=4,IFERROR(VLOOKUP($G204,AmenTabla,2,0),0),0)</f>
        <v/>
      </c>
      <c r="K204" s="28">
        <f>COUNTIF('2. Valoración '!$C$6:$C$2261,$C204)</f>
        <v/>
      </c>
      <c r="L204" s="64">
        <f>IF($I204="No","No requiere valoración",IF($K204=0,"FALTA POR COMPLETO — agregar "&amp;$J204&amp;" filas",IF($K204&lt;$J204,"INCOMPLETO — faltan "&amp;($J204-$K204)&amp;" filas",IF($K204&gt;$J204,"REVISAR — hay filas de más","Completo"))))</f>
        <v/>
      </c>
    </row>
    <row r="205" ht="30" customHeight="1" s="54">
      <c r="B205" s="28">
        <f>IF(AND(OR($C$6="(Todos los procesos)",$C$6='1. Matriz de Activos'!$G$200),OR($C$7="(Todos los tipos)",$C$7='1. Matriz de Activos'!$E$200),OR($C$8="(Todos los subtipos)",$C$8='1. Matriz de Activos'!$F$200)),"Sí","No")</f>
        <v/>
      </c>
      <c r="C205" s="28">
        <f>'1. Matriz de Activos'!$B$200</f>
        <v/>
      </c>
      <c r="D205" s="64">
        <f>'1. Matriz de Activos'!$C$200</f>
        <v/>
      </c>
      <c r="E205" s="28">
        <f>'1. Matriz de Activos'!$G$200</f>
        <v/>
      </c>
      <c r="F205" s="64">
        <f>'1. Matriz de Activos'!$E$200</f>
        <v/>
      </c>
      <c r="G205" s="64">
        <f>'1. Matriz de Activos'!$F$200</f>
        <v/>
      </c>
      <c r="H205" s="28">
        <f>'1. Matriz de Activos'!$T$200</f>
        <v/>
      </c>
      <c r="I205" s="28">
        <f>IF($H205&gt;=4,"Sí","No")</f>
        <v/>
      </c>
      <c r="J205" s="28">
        <f>IF($H205&gt;=4,IFERROR(VLOOKUP($G205,AmenTabla,2,0),0),0)</f>
        <v/>
      </c>
      <c r="K205" s="28">
        <f>COUNTIF('2. Valoración '!$C$6:$C$2261,$C205)</f>
        <v/>
      </c>
      <c r="L205" s="64">
        <f>IF($I205="No","No requiere valoración",IF($K205=0,"FALTA POR COMPLETO — agregar "&amp;$J205&amp;" filas",IF($K205&lt;$J205,"INCOMPLETO — faltan "&amp;($J205-$K205)&amp;" filas",IF($K205&gt;$J205,"REVISAR — hay filas de más","Completo"))))</f>
        <v/>
      </c>
    </row>
    <row r="206" ht="30" customHeight="1" s="54">
      <c r="B206" s="28">
        <f>IF(AND(OR($C$6="(Todos los procesos)",$C$6='1. Matriz de Activos'!$G$201),OR($C$7="(Todos los tipos)",$C$7='1. Matriz de Activos'!$E$201),OR($C$8="(Todos los subtipos)",$C$8='1. Matriz de Activos'!$F$201)),"Sí","No")</f>
        <v/>
      </c>
      <c r="C206" s="28">
        <f>'1. Matriz de Activos'!$B$201</f>
        <v/>
      </c>
      <c r="D206" s="64">
        <f>'1. Matriz de Activos'!$C$201</f>
        <v/>
      </c>
      <c r="E206" s="28">
        <f>'1. Matriz de Activos'!$G$201</f>
        <v/>
      </c>
      <c r="F206" s="64">
        <f>'1. Matriz de Activos'!$E$201</f>
        <v/>
      </c>
      <c r="G206" s="64">
        <f>'1. Matriz de Activos'!$F$201</f>
        <v/>
      </c>
      <c r="H206" s="28">
        <f>'1. Matriz de Activos'!$T$201</f>
        <v/>
      </c>
      <c r="I206" s="28">
        <f>IF($H206&gt;=4,"Sí","No")</f>
        <v/>
      </c>
      <c r="J206" s="28">
        <f>IF($H206&gt;=4,IFERROR(VLOOKUP($G206,AmenTabla,2,0),0),0)</f>
        <v/>
      </c>
      <c r="K206" s="28">
        <f>COUNTIF('2. Valoración '!$C$6:$C$2261,$C206)</f>
        <v/>
      </c>
      <c r="L206" s="64">
        <f>IF($I206="No","No requiere valoración",IF($K206=0,"FALTA POR COMPLETO — agregar "&amp;$J206&amp;" filas",IF($K206&lt;$J206,"INCOMPLETO — faltan "&amp;($J206-$K206)&amp;" filas",IF($K206&gt;$J206,"REVISAR — hay filas de más","Completo"))))</f>
        <v/>
      </c>
    </row>
    <row r="207" ht="30" customHeight="1" s="54">
      <c r="B207" s="28">
        <f>IF(AND(OR($C$6="(Todos los procesos)",$C$6='1. Matriz de Activos'!$G$202),OR($C$7="(Todos los tipos)",$C$7='1. Matriz de Activos'!$E$202),OR($C$8="(Todos los subtipos)",$C$8='1. Matriz de Activos'!$F$202)),"Sí","No")</f>
        <v/>
      </c>
      <c r="C207" s="28">
        <f>'1. Matriz de Activos'!$B$202</f>
        <v/>
      </c>
      <c r="D207" s="64">
        <f>'1. Matriz de Activos'!$C$202</f>
        <v/>
      </c>
      <c r="E207" s="28">
        <f>'1. Matriz de Activos'!$G$202</f>
        <v/>
      </c>
      <c r="F207" s="64">
        <f>'1. Matriz de Activos'!$E$202</f>
        <v/>
      </c>
      <c r="G207" s="64">
        <f>'1. Matriz de Activos'!$F$202</f>
        <v/>
      </c>
      <c r="H207" s="28">
        <f>'1. Matriz de Activos'!$T$202</f>
        <v/>
      </c>
      <c r="I207" s="28">
        <f>IF($H207&gt;=4,"Sí","No")</f>
        <v/>
      </c>
      <c r="J207" s="28">
        <f>IF($H207&gt;=4,IFERROR(VLOOKUP($G207,AmenTabla,2,0),0),0)</f>
        <v/>
      </c>
      <c r="K207" s="28">
        <f>COUNTIF('2. Valoración '!$C$6:$C$2261,$C207)</f>
        <v/>
      </c>
      <c r="L207" s="64">
        <f>IF($I207="No","No requiere valoración",IF($K207=0,"FALTA POR COMPLETO — agregar "&amp;$J207&amp;" filas",IF($K207&lt;$J207,"INCOMPLETO — faltan "&amp;($J207-$K207)&amp;" filas",IF($K207&gt;$J207,"REVISAR — hay filas de más","Completo"))))</f>
        <v/>
      </c>
    </row>
    <row r="208" ht="30" customHeight="1" s="54">
      <c r="B208" s="28">
        <f>IF(AND(OR($C$6="(Todos los procesos)",$C$6='1. Matriz de Activos'!$G$203),OR($C$7="(Todos los tipos)",$C$7='1. Matriz de Activos'!$E$203),OR($C$8="(Todos los subtipos)",$C$8='1. Matriz de Activos'!$F$203)),"Sí","No")</f>
        <v/>
      </c>
      <c r="C208" s="28">
        <f>'1. Matriz de Activos'!$B$203</f>
        <v/>
      </c>
      <c r="D208" s="64">
        <f>'1. Matriz de Activos'!$C$203</f>
        <v/>
      </c>
      <c r="E208" s="28">
        <f>'1. Matriz de Activos'!$G$203</f>
        <v/>
      </c>
      <c r="F208" s="64">
        <f>'1. Matriz de Activos'!$E$203</f>
        <v/>
      </c>
      <c r="G208" s="64">
        <f>'1. Matriz de Activos'!$F$203</f>
        <v/>
      </c>
      <c r="H208" s="28">
        <f>'1. Matriz de Activos'!$T$203</f>
        <v/>
      </c>
      <c r="I208" s="28">
        <f>IF($H208&gt;=4,"Sí","No")</f>
        <v/>
      </c>
      <c r="J208" s="28">
        <f>IF($H208&gt;=4,IFERROR(VLOOKUP($G208,AmenTabla,2,0),0),0)</f>
        <v/>
      </c>
      <c r="K208" s="28">
        <f>COUNTIF('2. Valoración '!$C$6:$C$2261,$C208)</f>
        <v/>
      </c>
      <c r="L208" s="64">
        <f>IF($I208="No","No requiere valoración",IF($K208=0,"FALTA POR COMPLETO — agregar "&amp;$J208&amp;" filas",IF($K208&lt;$J208,"INCOMPLETO — faltan "&amp;($J208-$K208)&amp;" filas",IF($K208&gt;$J208,"REVISAR — hay filas de más","Completo"))))</f>
        <v/>
      </c>
    </row>
    <row r="209" ht="30" customHeight="1" s="54">
      <c r="B209" s="28">
        <f>IF(AND(OR($C$6="(Todos los procesos)",$C$6='1. Matriz de Activos'!$G$204),OR($C$7="(Todos los tipos)",$C$7='1. Matriz de Activos'!$E$204),OR($C$8="(Todos los subtipos)",$C$8='1. Matriz de Activos'!$F$204)),"Sí","No")</f>
        <v/>
      </c>
      <c r="C209" s="28">
        <f>'1. Matriz de Activos'!$B$204</f>
        <v/>
      </c>
      <c r="D209" s="64">
        <f>'1. Matriz de Activos'!$C$204</f>
        <v/>
      </c>
      <c r="E209" s="28">
        <f>'1. Matriz de Activos'!$G$204</f>
        <v/>
      </c>
      <c r="F209" s="64">
        <f>'1. Matriz de Activos'!$E$204</f>
        <v/>
      </c>
      <c r="G209" s="64">
        <f>'1. Matriz de Activos'!$F$204</f>
        <v/>
      </c>
      <c r="H209" s="28">
        <f>'1. Matriz de Activos'!$T$204</f>
        <v/>
      </c>
      <c r="I209" s="28">
        <f>IF($H209&gt;=4,"Sí","No")</f>
        <v/>
      </c>
      <c r="J209" s="28">
        <f>IF($H209&gt;=4,IFERROR(VLOOKUP($G209,AmenTabla,2,0),0),0)</f>
        <v/>
      </c>
      <c r="K209" s="28">
        <f>COUNTIF('2. Valoración '!$C$6:$C$2261,$C209)</f>
        <v/>
      </c>
      <c r="L209" s="64">
        <f>IF($I209="No","No requiere valoración",IF($K209=0,"FALTA POR COMPLETO — agregar "&amp;$J209&amp;" filas",IF($K209&lt;$J209,"INCOMPLETO — faltan "&amp;($J209-$K209)&amp;" filas",IF($K209&gt;$J209,"REVISAR — hay filas de más","Completo"))))</f>
        <v/>
      </c>
    </row>
    <row r="210" ht="30" customHeight="1" s="54">
      <c r="B210" s="28">
        <f>IF(AND(OR($C$6="(Todos los procesos)",$C$6='1. Matriz de Activos'!$G$205),OR($C$7="(Todos los tipos)",$C$7='1. Matriz de Activos'!$E$205),OR($C$8="(Todos los subtipos)",$C$8='1. Matriz de Activos'!$F$205)),"Sí","No")</f>
        <v/>
      </c>
      <c r="C210" s="28">
        <f>'1. Matriz de Activos'!$B$205</f>
        <v/>
      </c>
      <c r="D210" s="64">
        <f>'1. Matriz de Activos'!$C$205</f>
        <v/>
      </c>
      <c r="E210" s="28">
        <f>'1. Matriz de Activos'!$G$205</f>
        <v/>
      </c>
      <c r="F210" s="64">
        <f>'1. Matriz de Activos'!$E$205</f>
        <v/>
      </c>
      <c r="G210" s="64">
        <f>'1. Matriz de Activos'!$F$205</f>
        <v/>
      </c>
      <c r="H210" s="28">
        <f>'1. Matriz de Activos'!$T$205</f>
        <v/>
      </c>
      <c r="I210" s="28">
        <f>IF($H210&gt;=4,"Sí","No")</f>
        <v/>
      </c>
      <c r="J210" s="28">
        <f>IF($H210&gt;=4,IFERROR(VLOOKUP($G210,AmenTabla,2,0),0),0)</f>
        <v/>
      </c>
      <c r="K210" s="28">
        <f>COUNTIF('2. Valoración '!$C$6:$C$2261,$C210)</f>
        <v/>
      </c>
      <c r="L210" s="64">
        <f>IF($I210="No","No requiere valoración",IF($K210=0,"FALTA POR COMPLETO — agregar "&amp;$J210&amp;" filas",IF($K210&lt;$J210,"INCOMPLETO — faltan "&amp;($J210-$K210)&amp;" filas",IF($K210&gt;$J210,"REVISAR — hay filas de más","Completo"))))</f>
        <v/>
      </c>
    </row>
    <row r="211" ht="45" customHeight="1" s="54">
      <c r="B211" s="28">
        <f>IF(AND(OR($C$6="(Todos los procesos)",$C$6='1. Matriz de Activos'!$G$206),OR($C$7="(Todos los tipos)",$C$7='1. Matriz de Activos'!$E$206),OR($C$8="(Todos los subtipos)",$C$8='1. Matriz de Activos'!$F$206)),"Sí","No")</f>
        <v/>
      </c>
      <c r="C211" s="28">
        <f>'1. Matriz de Activos'!$B$206</f>
        <v/>
      </c>
      <c r="D211" s="64">
        <f>'1. Matriz de Activos'!$C$206</f>
        <v/>
      </c>
      <c r="E211" s="28">
        <f>'1. Matriz de Activos'!$G$206</f>
        <v/>
      </c>
      <c r="F211" s="64">
        <f>'1. Matriz de Activos'!$E$206</f>
        <v/>
      </c>
      <c r="G211" s="64">
        <f>'1. Matriz de Activos'!$F$206</f>
        <v/>
      </c>
      <c r="H211" s="28">
        <f>'1. Matriz de Activos'!$T$206</f>
        <v/>
      </c>
      <c r="I211" s="28">
        <f>IF($H211&gt;=4,"Sí","No")</f>
        <v/>
      </c>
      <c r="J211" s="28">
        <f>IF($H211&gt;=4,IFERROR(VLOOKUP($G211,AmenTabla,2,0),0),0)</f>
        <v/>
      </c>
      <c r="K211" s="28">
        <f>COUNTIF('2. Valoración '!$C$6:$C$2261,$C211)</f>
        <v/>
      </c>
      <c r="L211" s="64">
        <f>IF($I211="No","No requiere valoración",IF($K211=0,"FALTA POR COMPLETO — agregar "&amp;$J211&amp;" filas",IF($K211&lt;$J211,"INCOMPLETO — faltan "&amp;($J211-$K211)&amp;" filas",IF($K211&gt;$J211,"REVISAR — hay filas de más","Completo"))))</f>
        <v/>
      </c>
    </row>
    <row r="212" ht="45" customHeight="1" s="54">
      <c r="B212" s="28">
        <f>IF(AND(OR($C$6="(Todos los procesos)",$C$6='1. Matriz de Activos'!$G$207),OR($C$7="(Todos los tipos)",$C$7='1. Matriz de Activos'!$E$207),OR($C$8="(Todos los subtipos)",$C$8='1. Matriz de Activos'!$F$207)),"Sí","No")</f>
        <v/>
      </c>
      <c r="C212" s="28">
        <f>'1. Matriz de Activos'!$B$207</f>
        <v/>
      </c>
      <c r="D212" s="64">
        <f>'1. Matriz de Activos'!$C$207</f>
        <v/>
      </c>
      <c r="E212" s="28">
        <f>'1. Matriz de Activos'!$G$207</f>
        <v/>
      </c>
      <c r="F212" s="64">
        <f>'1. Matriz de Activos'!$E$207</f>
        <v/>
      </c>
      <c r="G212" s="64">
        <f>'1. Matriz de Activos'!$F$207</f>
        <v/>
      </c>
      <c r="H212" s="28">
        <f>'1. Matriz de Activos'!$T$207</f>
        <v/>
      </c>
      <c r="I212" s="28">
        <f>IF($H212&gt;=4,"Sí","No")</f>
        <v/>
      </c>
      <c r="J212" s="28">
        <f>IF($H212&gt;=4,IFERROR(VLOOKUP($G212,AmenTabla,2,0),0),0)</f>
        <v/>
      </c>
      <c r="K212" s="28">
        <f>COUNTIF('2. Valoración '!$C$6:$C$2261,$C212)</f>
        <v/>
      </c>
      <c r="L212" s="64">
        <f>IF($I212="No","No requiere valoración",IF($K212=0,"FALTA POR COMPLETO — agregar "&amp;$J212&amp;" filas",IF($K212&lt;$J212,"INCOMPLETO — faltan "&amp;($J212-$K212)&amp;" filas",IF($K212&gt;$J212,"REVISAR — hay filas de más","Completo"))))</f>
        <v/>
      </c>
    </row>
    <row r="213" ht="30" customHeight="1" s="54">
      <c r="B213" s="28">
        <f>IF(AND(OR($C$6="(Todos los procesos)",$C$6='1. Matriz de Activos'!$G$208),OR($C$7="(Todos los tipos)",$C$7='1. Matriz de Activos'!$E$208),OR($C$8="(Todos los subtipos)",$C$8='1. Matriz de Activos'!$F$208)),"Sí","No")</f>
        <v/>
      </c>
      <c r="C213" s="28">
        <f>'1. Matriz de Activos'!$B$208</f>
        <v/>
      </c>
      <c r="D213" s="64">
        <f>'1. Matriz de Activos'!$C$208</f>
        <v/>
      </c>
      <c r="E213" s="28">
        <f>'1. Matriz de Activos'!$G$208</f>
        <v/>
      </c>
      <c r="F213" s="64">
        <f>'1. Matriz de Activos'!$E$208</f>
        <v/>
      </c>
      <c r="G213" s="64">
        <f>'1. Matriz de Activos'!$F$208</f>
        <v/>
      </c>
      <c r="H213" s="28">
        <f>'1. Matriz de Activos'!$T$208</f>
        <v/>
      </c>
      <c r="I213" s="28">
        <f>IF($H213&gt;=4,"Sí","No")</f>
        <v/>
      </c>
      <c r="J213" s="28">
        <f>IF($H213&gt;=4,IFERROR(VLOOKUP($G213,AmenTabla,2,0),0),0)</f>
        <v/>
      </c>
      <c r="K213" s="28">
        <f>COUNTIF('2. Valoración '!$C$6:$C$2261,$C213)</f>
        <v/>
      </c>
      <c r="L213" s="64">
        <f>IF($I213="No","No requiere valoración",IF($K213=0,"FALTA POR COMPLETO — agregar "&amp;$J213&amp;" filas",IF($K213&lt;$J213,"INCOMPLETO — faltan "&amp;($J213-$K213)&amp;" filas",IF($K213&gt;$J213,"REVISAR — hay filas de más","Completo"))))</f>
        <v/>
      </c>
    </row>
    <row r="214" ht="30" customHeight="1" s="54">
      <c r="B214" s="28">
        <f>IF(AND(OR($C$6="(Todos los procesos)",$C$6='1. Matriz de Activos'!$G$209),OR($C$7="(Todos los tipos)",$C$7='1. Matriz de Activos'!$E$209),OR($C$8="(Todos los subtipos)",$C$8='1. Matriz de Activos'!$F$209)),"Sí","No")</f>
        <v/>
      </c>
      <c r="C214" s="28">
        <f>'1. Matriz de Activos'!$B$209</f>
        <v/>
      </c>
      <c r="D214" s="64">
        <f>'1. Matriz de Activos'!$C$209</f>
        <v/>
      </c>
      <c r="E214" s="28">
        <f>'1. Matriz de Activos'!$G$209</f>
        <v/>
      </c>
      <c r="F214" s="64">
        <f>'1. Matriz de Activos'!$E$209</f>
        <v/>
      </c>
      <c r="G214" s="64">
        <f>'1. Matriz de Activos'!$F$209</f>
        <v/>
      </c>
      <c r="H214" s="28">
        <f>'1. Matriz de Activos'!$T$209</f>
        <v/>
      </c>
      <c r="I214" s="28">
        <f>IF($H214&gt;=4,"Sí","No")</f>
        <v/>
      </c>
      <c r="J214" s="28">
        <f>IF($H214&gt;=4,IFERROR(VLOOKUP($G214,AmenTabla,2,0),0),0)</f>
        <v/>
      </c>
      <c r="K214" s="28">
        <f>COUNTIF('2. Valoración '!$C$6:$C$2261,$C214)</f>
        <v/>
      </c>
      <c r="L214" s="64">
        <f>IF($I214="No","No requiere valoración",IF($K214=0,"FALTA POR COMPLETO — agregar "&amp;$J214&amp;" filas",IF($K214&lt;$J214,"INCOMPLETO — faltan "&amp;($J214-$K214)&amp;" filas",IF($K214&gt;$J214,"REVISAR — hay filas de más","Completo"))))</f>
        <v/>
      </c>
    </row>
    <row r="215" ht="45" customHeight="1" s="54">
      <c r="B215" s="28">
        <f>IF(AND(OR($C$6="(Todos los procesos)",$C$6='1. Matriz de Activos'!$G$210),OR($C$7="(Todos los tipos)",$C$7='1. Matriz de Activos'!$E$210),OR($C$8="(Todos los subtipos)",$C$8='1. Matriz de Activos'!$F$210)),"Sí","No")</f>
        <v/>
      </c>
      <c r="C215" s="28">
        <f>'1. Matriz de Activos'!$B$210</f>
        <v/>
      </c>
      <c r="D215" s="64">
        <f>'1. Matriz de Activos'!$C$210</f>
        <v/>
      </c>
      <c r="E215" s="28">
        <f>'1. Matriz de Activos'!$G$210</f>
        <v/>
      </c>
      <c r="F215" s="64">
        <f>'1. Matriz de Activos'!$E$210</f>
        <v/>
      </c>
      <c r="G215" s="64">
        <f>'1. Matriz de Activos'!$F$210</f>
        <v/>
      </c>
      <c r="H215" s="28">
        <f>'1. Matriz de Activos'!$T$210</f>
        <v/>
      </c>
      <c r="I215" s="28">
        <f>IF($H215&gt;=4,"Sí","No")</f>
        <v/>
      </c>
      <c r="J215" s="28">
        <f>IF($H215&gt;=4,IFERROR(VLOOKUP($G215,AmenTabla,2,0),0),0)</f>
        <v/>
      </c>
      <c r="K215" s="28">
        <f>COUNTIF('2. Valoración '!$C$6:$C$2261,$C215)</f>
        <v/>
      </c>
      <c r="L215" s="64">
        <f>IF($I215="No","No requiere valoración",IF($K215=0,"FALTA POR COMPLETO — agregar "&amp;$J215&amp;" filas",IF($K215&lt;$J215,"INCOMPLETO — faltan "&amp;($J215-$K215)&amp;" filas",IF($K215&gt;$J215,"REVISAR — hay filas de más","Completo"))))</f>
        <v/>
      </c>
    </row>
    <row r="216" ht="30" customHeight="1" s="54">
      <c r="B216" s="28">
        <f>IF(AND(OR($C$6="(Todos los procesos)",$C$6='1. Matriz de Activos'!$G$211),OR($C$7="(Todos los tipos)",$C$7='1. Matriz de Activos'!$E$211),OR($C$8="(Todos los subtipos)",$C$8='1. Matriz de Activos'!$F$211)),"Sí","No")</f>
        <v/>
      </c>
      <c r="C216" s="28">
        <f>'1. Matriz de Activos'!$B$211</f>
        <v/>
      </c>
      <c r="D216" s="64">
        <f>'1. Matriz de Activos'!$C$211</f>
        <v/>
      </c>
      <c r="E216" s="28">
        <f>'1. Matriz de Activos'!$G$211</f>
        <v/>
      </c>
      <c r="F216" s="64">
        <f>'1. Matriz de Activos'!$E$211</f>
        <v/>
      </c>
      <c r="G216" s="64">
        <f>'1. Matriz de Activos'!$F$211</f>
        <v/>
      </c>
      <c r="H216" s="28">
        <f>'1. Matriz de Activos'!$T$211</f>
        <v/>
      </c>
      <c r="I216" s="28">
        <f>IF($H216&gt;=4,"Sí","No")</f>
        <v/>
      </c>
      <c r="J216" s="28">
        <f>IF($H216&gt;=4,IFERROR(VLOOKUP($G216,AmenTabla,2,0),0),0)</f>
        <v/>
      </c>
      <c r="K216" s="28">
        <f>COUNTIF('2. Valoración '!$C$6:$C$2261,$C216)</f>
        <v/>
      </c>
      <c r="L216" s="64">
        <f>IF($I216="No","No requiere valoración",IF($K216=0,"FALTA POR COMPLETO — agregar "&amp;$J216&amp;" filas",IF($K216&lt;$J216,"INCOMPLETO — faltan "&amp;($J216-$K216)&amp;" filas",IF($K216&gt;$J216,"REVISAR — hay filas de más","Completo"))))</f>
        <v/>
      </c>
    </row>
    <row r="217" ht="30" customHeight="1" s="54">
      <c r="B217" s="28">
        <f>IF(AND(OR($C$6="(Todos los procesos)",$C$6='1. Matriz de Activos'!$G$212),OR($C$7="(Todos los tipos)",$C$7='1. Matriz de Activos'!$E$212),OR($C$8="(Todos los subtipos)",$C$8='1. Matriz de Activos'!$F$212)),"Sí","No")</f>
        <v/>
      </c>
      <c r="C217" s="28">
        <f>'1. Matriz de Activos'!$B$212</f>
        <v/>
      </c>
      <c r="D217" s="64">
        <f>'1. Matriz de Activos'!$C$212</f>
        <v/>
      </c>
      <c r="E217" s="28">
        <f>'1. Matriz de Activos'!$G$212</f>
        <v/>
      </c>
      <c r="F217" s="64">
        <f>'1. Matriz de Activos'!$E$212</f>
        <v/>
      </c>
      <c r="G217" s="64">
        <f>'1. Matriz de Activos'!$F$212</f>
        <v/>
      </c>
      <c r="H217" s="28">
        <f>'1. Matriz de Activos'!$T$212</f>
        <v/>
      </c>
      <c r="I217" s="28">
        <f>IF($H217&gt;=4,"Sí","No")</f>
        <v/>
      </c>
      <c r="J217" s="28">
        <f>IF($H217&gt;=4,IFERROR(VLOOKUP($G217,AmenTabla,2,0),0),0)</f>
        <v/>
      </c>
      <c r="K217" s="28">
        <f>COUNTIF('2. Valoración '!$C$6:$C$2261,$C217)</f>
        <v/>
      </c>
      <c r="L217" s="64">
        <f>IF($I217="No","No requiere valoración",IF($K217=0,"FALTA POR COMPLETO — agregar "&amp;$J217&amp;" filas",IF($K217&lt;$J217,"INCOMPLETO — faltan "&amp;($J217-$K217)&amp;" filas",IF($K217&gt;$J217,"REVISAR — hay filas de más","Completo"))))</f>
        <v/>
      </c>
    </row>
    <row r="218" ht="30" customHeight="1" s="54">
      <c r="B218" s="28">
        <f>IF(AND(OR($C$6="(Todos los procesos)",$C$6='1. Matriz de Activos'!$G$213),OR($C$7="(Todos los tipos)",$C$7='1. Matriz de Activos'!$E$213),OR($C$8="(Todos los subtipos)",$C$8='1. Matriz de Activos'!$F$213)),"Sí","No")</f>
        <v/>
      </c>
      <c r="C218" s="28">
        <f>'1. Matriz de Activos'!$B$213</f>
        <v/>
      </c>
      <c r="D218" s="64">
        <f>'1. Matriz de Activos'!$C$213</f>
        <v/>
      </c>
      <c r="E218" s="28">
        <f>'1. Matriz de Activos'!$G$213</f>
        <v/>
      </c>
      <c r="F218" s="64">
        <f>'1. Matriz de Activos'!$E$213</f>
        <v/>
      </c>
      <c r="G218" s="64">
        <f>'1. Matriz de Activos'!$F$213</f>
        <v/>
      </c>
      <c r="H218" s="28">
        <f>'1. Matriz de Activos'!$T$213</f>
        <v/>
      </c>
      <c r="I218" s="28">
        <f>IF($H218&gt;=4,"Sí","No")</f>
        <v/>
      </c>
      <c r="J218" s="28">
        <f>IF($H218&gt;=4,IFERROR(VLOOKUP($G218,AmenTabla,2,0),0),0)</f>
        <v/>
      </c>
      <c r="K218" s="28">
        <f>COUNTIF('2. Valoración '!$C$6:$C$2261,$C218)</f>
        <v/>
      </c>
      <c r="L218" s="64">
        <f>IF($I218="No","No requiere valoración",IF($K218=0,"FALTA POR COMPLETO — agregar "&amp;$J218&amp;" filas",IF($K218&lt;$J218,"INCOMPLETO — faltan "&amp;($J218-$K218)&amp;" filas",IF($K218&gt;$J218,"REVISAR — hay filas de más","Completo"))))</f>
        <v/>
      </c>
    </row>
    <row r="219" ht="45" customHeight="1" s="54">
      <c r="B219" s="28">
        <f>IF(AND(OR($C$6="(Todos los procesos)",$C$6='1. Matriz de Activos'!$G$214),OR($C$7="(Todos los tipos)",$C$7='1. Matriz de Activos'!$E$214),OR($C$8="(Todos los subtipos)",$C$8='1. Matriz de Activos'!$F$214)),"Sí","No")</f>
        <v/>
      </c>
      <c r="C219" s="28">
        <f>'1. Matriz de Activos'!$B$214</f>
        <v/>
      </c>
      <c r="D219" s="64">
        <f>'1. Matriz de Activos'!$C$214</f>
        <v/>
      </c>
      <c r="E219" s="28">
        <f>'1. Matriz de Activos'!$G$214</f>
        <v/>
      </c>
      <c r="F219" s="64">
        <f>'1. Matriz de Activos'!$E$214</f>
        <v/>
      </c>
      <c r="G219" s="64">
        <f>'1. Matriz de Activos'!$F$214</f>
        <v/>
      </c>
      <c r="H219" s="28">
        <f>'1. Matriz de Activos'!$T$214</f>
        <v/>
      </c>
      <c r="I219" s="28">
        <f>IF($H219&gt;=4,"Sí","No")</f>
        <v/>
      </c>
      <c r="J219" s="28">
        <f>IF($H219&gt;=4,IFERROR(VLOOKUP($G219,AmenTabla,2,0),0),0)</f>
        <v/>
      </c>
      <c r="K219" s="28">
        <f>COUNTIF('2. Valoración '!$C$6:$C$2261,$C219)</f>
        <v/>
      </c>
      <c r="L219" s="64">
        <f>IF($I219="No","No requiere valoración",IF($K219=0,"FALTA POR COMPLETO — agregar "&amp;$J219&amp;" filas",IF($K219&lt;$J219,"INCOMPLETO — faltan "&amp;($J219-$K219)&amp;" filas",IF($K219&gt;$J219,"REVISAR — hay filas de más","Completo"))))</f>
        <v/>
      </c>
    </row>
    <row r="220" ht="30" customHeight="1" s="54">
      <c r="B220" s="28">
        <f>IF(AND(OR($C$6="(Todos los procesos)",$C$6='1. Matriz de Activos'!$G$215),OR($C$7="(Todos los tipos)",$C$7='1. Matriz de Activos'!$E$215),OR($C$8="(Todos los subtipos)",$C$8='1. Matriz de Activos'!$F$215)),"Sí","No")</f>
        <v/>
      </c>
      <c r="C220" s="28">
        <f>'1. Matriz de Activos'!$B$215</f>
        <v/>
      </c>
      <c r="D220" s="64">
        <f>'1. Matriz de Activos'!$C$215</f>
        <v/>
      </c>
      <c r="E220" s="28">
        <f>'1. Matriz de Activos'!$G$215</f>
        <v/>
      </c>
      <c r="F220" s="64">
        <f>'1. Matriz de Activos'!$E$215</f>
        <v/>
      </c>
      <c r="G220" s="64">
        <f>'1. Matriz de Activos'!$F$215</f>
        <v/>
      </c>
      <c r="H220" s="28">
        <f>'1. Matriz de Activos'!$T$215</f>
        <v/>
      </c>
      <c r="I220" s="28">
        <f>IF($H220&gt;=4,"Sí","No")</f>
        <v/>
      </c>
      <c r="J220" s="28">
        <f>IF($H220&gt;=4,IFERROR(VLOOKUP($G220,AmenTabla,2,0),0),0)</f>
        <v/>
      </c>
      <c r="K220" s="28">
        <f>COUNTIF('2. Valoración '!$C$6:$C$2261,$C220)</f>
        <v/>
      </c>
      <c r="L220" s="64">
        <f>IF($I220="No","No requiere valoración",IF($K220=0,"FALTA POR COMPLETO — agregar "&amp;$J220&amp;" filas",IF($K220&lt;$J220,"INCOMPLETO — faltan "&amp;($J220-$K220)&amp;" filas",IF($K220&gt;$J220,"REVISAR — hay filas de más","Completo"))))</f>
        <v/>
      </c>
    </row>
    <row r="221" ht="30" customHeight="1" s="54">
      <c r="B221" s="28">
        <f>IF(AND(OR($C$6="(Todos los procesos)",$C$6='1. Matriz de Activos'!$G$216),OR($C$7="(Todos los tipos)",$C$7='1. Matriz de Activos'!$E$216),OR($C$8="(Todos los subtipos)",$C$8='1. Matriz de Activos'!$F$216)),"Sí","No")</f>
        <v/>
      </c>
      <c r="C221" s="28">
        <f>'1. Matriz de Activos'!$B$216</f>
        <v/>
      </c>
      <c r="D221" s="64">
        <f>'1. Matriz de Activos'!$C$216</f>
        <v/>
      </c>
      <c r="E221" s="28">
        <f>'1. Matriz de Activos'!$G$216</f>
        <v/>
      </c>
      <c r="F221" s="64">
        <f>'1. Matriz de Activos'!$E$216</f>
        <v/>
      </c>
      <c r="G221" s="64">
        <f>'1. Matriz de Activos'!$F$216</f>
        <v/>
      </c>
      <c r="H221" s="28">
        <f>'1. Matriz de Activos'!$T$216</f>
        <v/>
      </c>
      <c r="I221" s="28">
        <f>IF($H221&gt;=4,"Sí","No")</f>
        <v/>
      </c>
      <c r="J221" s="28">
        <f>IF($H221&gt;=4,IFERROR(VLOOKUP($G221,AmenTabla,2,0),0),0)</f>
        <v/>
      </c>
      <c r="K221" s="28">
        <f>COUNTIF('2. Valoración '!$C$6:$C$2261,$C221)</f>
        <v/>
      </c>
      <c r="L221" s="64">
        <f>IF($I221="No","No requiere valoración",IF($K221=0,"FALTA POR COMPLETO — agregar "&amp;$J221&amp;" filas",IF($K221&lt;$J221,"INCOMPLETO — faltan "&amp;($J221-$K221)&amp;" filas",IF($K221&gt;$J221,"REVISAR — hay filas de más","Completo"))))</f>
        <v/>
      </c>
    </row>
    <row r="222" ht="30" customHeight="1" s="54">
      <c r="B222" s="28">
        <f>IF(AND(OR($C$6="(Todos los procesos)",$C$6='1. Matriz de Activos'!$G$217),OR($C$7="(Todos los tipos)",$C$7='1. Matriz de Activos'!$E$217),OR($C$8="(Todos los subtipos)",$C$8='1. Matriz de Activos'!$F$217)),"Sí","No")</f>
        <v/>
      </c>
      <c r="C222" s="28">
        <f>'1. Matriz de Activos'!$B$217</f>
        <v/>
      </c>
      <c r="D222" s="64">
        <f>'1. Matriz de Activos'!$C$217</f>
        <v/>
      </c>
      <c r="E222" s="28">
        <f>'1. Matriz de Activos'!$G$217</f>
        <v/>
      </c>
      <c r="F222" s="64">
        <f>'1. Matriz de Activos'!$E$217</f>
        <v/>
      </c>
      <c r="G222" s="64">
        <f>'1. Matriz de Activos'!$F$217</f>
        <v/>
      </c>
      <c r="H222" s="28">
        <f>'1. Matriz de Activos'!$T$217</f>
        <v/>
      </c>
      <c r="I222" s="28">
        <f>IF($H222&gt;=4,"Sí","No")</f>
        <v/>
      </c>
      <c r="J222" s="28">
        <f>IF($H222&gt;=4,IFERROR(VLOOKUP($G222,AmenTabla,2,0),0),0)</f>
        <v/>
      </c>
      <c r="K222" s="28">
        <f>COUNTIF('2. Valoración '!$C$6:$C$2261,$C222)</f>
        <v/>
      </c>
      <c r="L222" s="64">
        <f>IF($I222="No","No requiere valoración",IF($K222=0,"FALTA POR COMPLETO — agregar "&amp;$J222&amp;" filas",IF($K222&lt;$J222,"INCOMPLETO — faltan "&amp;($J222-$K222)&amp;" filas",IF($K222&gt;$J222,"REVISAR — hay filas de más","Completo"))))</f>
        <v/>
      </c>
    </row>
    <row r="223" ht="30" customHeight="1" s="54">
      <c r="B223" s="28">
        <f>IF(AND(OR($C$6="(Todos los procesos)",$C$6='1. Matriz de Activos'!$G$218),OR($C$7="(Todos los tipos)",$C$7='1. Matriz de Activos'!$E$218),OR($C$8="(Todos los subtipos)",$C$8='1. Matriz de Activos'!$F$218)),"Sí","No")</f>
        <v/>
      </c>
      <c r="C223" s="28">
        <f>'1. Matriz de Activos'!$B$218</f>
        <v/>
      </c>
      <c r="D223" s="64">
        <f>'1. Matriz de Activos'!$C$218</f>
        <v/>
      </c>
      <c r="E223" s="28">
        <f>'1. Matriz de Activos'!$G$218</f>
        <v/>
      </c>
      <c r="F223" s="64">
        <f>'1. Matriz de Activos'!$E$218</f>
        <v/>
      </c>
      <c r="G223" s="64">
        <f>'1. Matriz de Activos'!$F$218</f>
        <v/>
      </c>
      <c r="H223" s="28">
        <f>'1. Matriz de Activos'!$T$218</f>
        <v/>
      </c>
      <c r="I223" s="28">
        <f>IF($H223&gt;=4,"Sí","No")</f>
        <v/>
      </c>
      <c r="J223" s="28">
        <f>IF($H223&gt;=4,IFERROR(VLOOKUP($G223,AmenTabla,2,0),0),0)</f>
        <v/>
      </c>
      <c r="K223" s="28">
        <f>COUNTIF('2. Valoración '!$C$6:$C$2261,$C223)</f>
        <v/>
      </c>
      <c r="L223" s="64">
        <f>IF($I223="No","No requiere valoración",IF($K223=0,"FALTA POR COMPLETO — agregar "&amp;$J223&amp;" filas",IF($K223&lt;$J223,"INCOMPLETO — faltan "&amp;($J223-$K223)&amp;" filas",IF($K223&gt;$J223,"REVISAR — hay filas de más","Completo"))))</f>
        <v/>
      </c>
    </row>
    <row r="224" ht="30" customHeight="1" s="54">
      <c r="B224" s="28">
        <f>IF(AND(OR($C$6="(Todos los procesos)",$C$6='1. Matriz de Activos'!$G$219),OR($C$7="(Todos los tipos)",$C$7='1. Matriz de Activos'!$E$219),OR($C$8="(Todos los subtipos)",$C$8='1. Matriz de Activos'!$F$219)),"Sí","No")</f>
        <v/>
      </c>
      <c r="C224" s="28">
        <f>'1. Matriz de Activos'!$B$219</f>
        <v/>
      </c>
      <c r="D224" s="64">
        <f>'1. Matriz de Activos'!$C$219</f>
        <v/>
      </c>
      <c r="E224" s="28">
        <f>'1. Matriz de Activos'!$G$219</f>
        <v/>
      </c>
      <c r="F224" s="64">
        <f>'1. Matriz de Activos'!$E$219</f>
        <v/>
      </c>
      <c r="G224" s="64">
        <f>'1. Matriz de Activos'!$F$219</f>
        <v/>
      </c>
      <c r="H224" s="28">
        <f>'1. Matriz de Activos'!$T$219</f>
        <v/>
      </c>
      <c r="I224" s="28">
        <f>IF($H224&gt;=4,"Sí","No")</f>
        <v/>
      </c>
      <c r="J224" s="28">
        <f>IF($H224&gt;=4,IFERROR(VLOOKUP($G224,AmenTabla,2,0),0),0)</f>
        <v/>
      </c>
      <c r="K224" s="28">
        <f>COUNTIF('2. Valoración '!$C$6:$C$2261,$C224)</f>
        <v/>
      </c>
      <c r="L224" s="64">
        <f>IF($I224="No","No requiere valoración",IF($K224=0,"FALTA POR COMPLETO — agregar "&amp;$J224&amp;" filas",IF($K224&lt;$J224,"INCOMPLETO — faltan "&amp;($J224-$K224)&amp;" filas",IF($K224&gt;$J224,"REVISAR — hay filas de más","Completo"))))</f>
        <v/>
      </c>
    </row>
    <row r="225" ht="30" customHeight="1" s="54">
      <c r="B225" s="28">
        <f>IF(AND(OR($C$6="(Todos los procesos)",$C$6='1. Matriz de Activos'!$G$220),OR($C$7="(Todos los tipos)",$C$7='1. Matriz de Activos'!$E$220),OR($C$8="(Todos los subtipos)",$C$8='1. Matriz de Activos'!$F$220)),"Sí","No")</f>
        <v/>
      </c>
      <c r="C225" s="28">
        <f>'1. Matriz de Activos'!$B$220</f>
        <v/>
      </c>
      <c r="D225" s="64">
        <f>'1. Matriz de Activos'!$C$220</f>
        <v/>
      </c>
      <c r="E225" s="28">
        <f>'1. Matriz de Activos'!$G$220</f>
        <v/>
      </c>
      <c r="F225" s="64">
        <f>'1. Matriz de Activos'!$E$220</f>
        <v/>
      </c>
      <c r="G225" s="64">
        <f>'1. Matriz de Activos'!$F$220</f>
        <v/>
      </c>
      <c r="H225" s="28">
        <f>'1. Matriz de Activos'!$T$220</f>
        <v/>
      </c>
      <c r="I225" s="28">
        <f>IF($H225&gt;=4,"Sí","No")</f>
        <v/>
      </c>
      <c r="J225" s="28">
        <f>IF($H225&gt;=4,IFERROR(VLOOKUP($G225,AmenTabla,2,0),0),0)</f>
        <v/>
      </c>
      <c r="K225" s="28">
        <f>COUNTIF('2. Valoración '!$C$6:$C$2261,$C225)</f>
        <v/>
      </c>
      <c r="L225" s="64">
        <f>IF($I225="No","No requiere valoración",IF($K225=0,"FALTA POR COMPLETO — agregar "&amp;$J225&amp;" filas",IF($K225&lt;$J225,"INCOMPLETO — faltan "&amp;($J225-$K225)&amp;" filas",IF($K225&gt;$J225,"REVISAR — hay filas de más","Completo"))))</f>
        <v/>
      </c>
    </row>
    <row r="226" ht="30" customHeight="1" s="54">
      <c r="B226" s="28">
        <f>IF(AND(OR($C$6="(Todos los procesos)",$C$6='1. Matriz de Activos'!$G$221),OR($C$7="(Todos los tipos)",$C$7='1. Matriz de Activos'!$E$221),OR($C$8="(Todos los subtipos)",$C$8='1. Matriz de Activos'!$F$221)),"Sí","No")</f>
        <v/>
      </c>
      <c r="C226" s="28">
        <f>'1. Matriz de Activos'!$B$221</f>
        <v/>
      </c>
      <c r="D226" s="64">
        <f>'1. Matriz de Activos'!$C$221</f>
        <v/>
      </c>
      <c r="E226" s="28">
        <f>'1. Matriz de Activos'!$G$221</f>
        <v/>
      </c>
      <c r="F226" s="64">
        <f>'1. Matriz de Activos'!$E$221</f>
        <v/>
      </c>
      <c r="G226" s="64">
        <f>'1. Matriz de Activos'!$F$221</f>
        <v/>
      </c>
      <c r="H226" s="28">
        <f>'1. Matriz de Activos'!$T$221</f>
        <v/>
      </c>
      <c r="I226" s="28">
        <f>IF($H226&gt;=4,"Sí","No")</f>
        <v/>
      </c>
      <c r="J226" s="28">
        <f>IF($H226&gt;=4,IFERROR(VLOOKUP($G226,AmenTabla,2,0),0),0)</f>
        <v/>
      </c>
      <c r="K226" s="28">
        <f>COUNTIF('2. Valoración '!$C$6:$C$2261,$C226)</f>
        <v/>
      </c>
      <c r="L226" s="64">
        <f>IF($I226="No","No requiere valoración",IF($K226=0,"FALTA POR COMPLETO — agregar "&amp;$J226&amp;" filas",IF($K226&lt;$J226,"INCOMPLETO — faltan "&amp;($J226-$K226)&amp;" filas",IF($K226&gt;$J226,"REVISAR — hay filas de más","Completo"))))</f>
        <v/>
      </c>
    </row>
    <row r="227" ht="30" customHeight="1" s="54">
      <c r="B227" s="28">
        <f>IF(AND(OR($C$6="(Todos los procesos)",$C$6='1. Matriz de Activos'!$G$222),OR($C$7="(Todos los tipos)",$C$7='1. Matriz de Activos'!$E$222),OR($C$8="(Todos los subtipos)",$C$8='1. Matriz de Activos'!$F$222)),"Sí","No")</f>
        <v/>
      </c>
      <c r="C227" s="28">
        <f>'1. Matriz de Activos'!$B$222</f>
        <v/>
      </c>
      <c r="D227" s="64">
        <f>'1. Matriz de Activos'!$C$222</f>
        <v/>
      </c>
      <c r="E227" s="28">
        <f>'1. Matriz de Activos'!$G$222</f>
        <v/>
      </c>
      <c r="F227" s="64">
        <f>'1. Matriz de Activos'!$E$222</f>
        <v/>
      </c>
      <c r="G227" s="64">
        <f>'1. Matriz de Activos'!$F$222</f>
        <v/>
      </c>
      <c r="H227" s="28">
        <f>'1. Matriz de Activos'!$T$222</f>
        <v/>
      </c>
      <c r="I227" s="28">
        <f>IF($H227&gt;=4,"Sí","No")</f>
        <v/>
      </c>
      <c r="J227" s="28">
        <f>IF($H227&gt;=4,IFERROR(VLOOKUP($G227,AmenTabla,2,0),0),0)</f>
        <v/>
      </c>
      <c r="K227" s="28">
        <f>COUNTIF('2. Valoración '!$C$6:$C$2261,$C227)</f>
        <v/>
      </c>
      <c r="L227" s="64">
        <f>IF($I227="No","No requiere valoración",IF($K227=0,"FALTA POR COMPLETO — agregar "&amp;$J227&amp;" filas",IF($K227&lt;$J227,"INCOMPLETO — faltan "&amp;($J227-$K227)&amp;" filas",IF($K227&gt;$J227,"REVISAR — hay filas de más","Completo"))))</f>
        <v/>
      </c>
    </row>
    <row r="228" ht="30" customHeight="1" s="54">
      <c r="B228" s="28">
        <f>IF(AND(OR($C$6="(Todos los procesos)",$C$6='1. Matriz de Activos'!$G$223),OR($C$7="(Todos los tipos)",$C$7='1. Matriz de Activos'!$E$223),OR($C$8="(Todos los subtipos)",$C$8='1. Matriz de Activos'!$F$223)),"Sí","No")</f>
        <v/>
      </c>
      <c r="C228" s="28">
        <f>'1. Matriz de Activos'!$B$223</f>
        <v/>
      </c>
      <c r="D228" s="64">
        <f>'1. Matriz de Activos'!$C$223</f>
        <v/>
      </c>
      <c r="E228" s="28">
        <f>'1. Matriz de Activos'!$G$223</f>
        <v/>
      </c>
      <c r="F228" s="64">
        <f>'1. Matriz de Activos'!$E$223</f>
        <v/>
      </c>
      <c r="G228" s="64">
        <f>'1. Matriz de Activos'!$F$223</f>
        <v/>
      </c>
      <c r="H228" s="28">
        <f>'1. Matriz de Activos'!$T$223</f>
        <v/>
      </c>
      <c r="I228" s="28">
        <f>IF($H228&gt;=4,"Sí","No")</f>
        <v/>
      </c>
      <c r="J228" s="28">
        <f>IF($H228&gt;=4,IFERROR(VLOOKUP($G228,AmenTabla,2,0),0),0)</f>
        <v/>
      </c>
      <c r="K228" s="28">
        <f>COUNTIF('2. Valoración '!$C$6:$C$2261,$C228)</f>
        <v/>
      </c>
      <c r="L228" s="64">
        <f>IF($I228="No","No requiere valoración",IF($K228=0,"FALTA POR COMPLETO — agregar "&amp;$J228&amp;" filas",IF($K228&lt;$J228,"INCOMPLETO — faltan "&amp;($J228-$K228)&amp;" filas",IF($K228&gt;$J228,"REVISAR — hay filas de más","Completo"))))</f>
        <v/>
      </c>
    </row>
    <row r="229" ht="45" customHeight="1" s="54">
      <c r="B229" s="28">
        <f>IF(AND(OR($C$6="(Todos los procesos)",$C$6='1. Matriz de Activos'!$G$224),OR($C$7="(Todos los tipos)",$C$7='1. Matriz de Activos'!$E$224),OR($C$8="(Todos los subtipos)",$C$8='1. Matriz de Activos'!$F$224)),"Sí","No")</f>
        <v/>
      </c>
      <c r="C229" s="28">
        <f>'1. Matriz de Activos'!$B$224</f>
        <v/>
      </c>
      <c r="D229" s="64">
        <f>'1. Matriz de Activos'!$C$224</f>
        <v/>
      </c>
      <c r="E229" s="28">
        <f>'1. Matriz de Activos'!$G$224</f>
        <v/>
      </c>
      <c r="F229" s="64">
        <f>'1. Matriz de Activos'!$E$224</f>
        <v/>
      </c>
      <c r="G229" s="64">
        <f>'1. Matriz de Activos'!$F$224</f>
        <v/>
      </c>
      <c r="H229" s="28">
        <f>'1. Matriz de Activos'!$T$224</f>
        <v/>
      </c>
      <c r="I229" s="28">
        <f>IF($H229&gt;=4,"Sí","No")</f>
        <v/>
      </c>
      <c r="J229" s="28">
        <f>IF($H229&gt;=4,IFERROR(VLOOKUP($G229,AmenTabla,2,0),0),0)</f>
        <v/>
      </c>
      <c r="K229" s="28">
        <f>COUNTIF('2. Valoración '!$C$6:$C$2261,$C229)</f>
        <v/>
      </c>
      <c r="L229" s="64">
        <f>IF($I229="No","No requiere valoración",IF($K229=0,"FALTA POR COMPLETO — agregar "&amp;$J229&amp;" filas",IF($K229&lt;$J229,"INCOMPLETO — faltan "&amp;($J229-$K229)&amp;" filas",IF($K229&gt;$J229,"REVISAR — hay filas de más","Completo"))))</f>
        <v/>
      </c>
    </row>
    <row r="230" ht="75" customHeight="1" s="54">
      <c r="B230" s="28">
        <f>IF(AND(OR($C$6="(Todos los procesos)",$C$6='1. Matriz de Activos'!$G$225),OR($C$7="(Todos los tipos)",$C$7='1. Matriz de Activos'!$E$225),OR($C$8="(Todos los subtipos)",$C$8='1. Matriz de Activos'!$F$225)),"Sí","No")</f>
        <v/>
      </c>
      <c r="C230" s="28">
        <f>'1. Matriz de Activos'!$B$225</f>
        <v/>
      </c>
      <c r="D230" s="64">
        <f>'1. Matriz de Activos'!$C$225</f>
        <v/>
      </c>
      <c r="E230" s="28">
        <f>'1. Matriz de Activos'!$G$225</f>
        <v/>
      </c>
      <c r="F230" s="64">
        <f>'1. Matriz de Activos'!$E$225</f>
        <v/>
      </c>
      <c r="G230" s="64">
        <f>'1. Matriz de Activos'!$F$225</f>
        <v/>
      </c>
      <c r="H230" s="28">
        <f>'1. Matriz de Activos'!$T$225</f>
        <v/>
      </c>
      <c r="I230" s="28">
        <f>IF($H230&gt;=4,"Sí","No")</f>
        <v/>
      </c>
      <c r="J230" s="28">
        <f>IF($H230&gt;=4,IFERROR(VLOOKUP($G230,AmenTabla,2,0),0),0)</f>
        <v/>
      </c>
      <c r="K230" s="28">
        <f>COUNTIF('2. Valoración '!$C$6:$C$2261,$C230)</f>
        <v/>
      </c>
      <c r="L230" s="64">
        <f>IF($I230="No","No requiere valoración",IF($K230=0,"FALTA POR COMPLETO — agregar "&amp;$J230&amp;" filas",IF($K230&lt;$J230,"INCOMPLETO — faltan "&amp;($J230-$K230)&amp;" filas",IF($K230&gt;$J230,"REVISAR — hay filas de más","Completo"))))</f>
        <v/>
      </c>
    </row>
    <row r="231" ht="45" customHeight="1" s="54">
      <c r="B231" s="28">
        <f>IF(AND(OR($C$6="(Todos los procesos)",$C$6='1. Matriz de Activos'!$G$226),OR($C$7="(Todos los tipos)",$C$7='1. Matriz de Activos'!$E$226),OR($C$8="(Todos los subtipos)",$C$8='1. Matriz de Activos'!$F$226)),"Sí","No")</f>
        <v/>
      </c>
      <c r="C231" s="28">
        <f>'1. Matriz de Activos'!$B$226</f>
        <v/>
      </c>
      <c r="D231" s="64">
        <f>'1. Matriz de Activos'!$C$226</f>
        <v/>
      </c>
      <c r="E231" s="28">
        <f>'1. Matriz de Activos'!$G$226</f>
        <v/>
      </c>
      <c r="F231" s="64">
        <f>'1. Matriz de Activos'!$E$226</f>
        <v/>
      </c>
      <c r="G231" s="64">
        <f>'1. Matriz de Activos'!$F$226</f>
        <v/>
      </c>
      <c r="H231" s="28">
        <f>'1. Matriz de Activos'!$T$226</f>
        <v/>
      </c>
      <c r="I231" s="28">
        <f>IF($H231&gt;=4,"Sí","No")</f>
        <v/>
      </c>
      <c r="J231" s="28">
        <f>IF($H231&gt;=4,IFERROR(VLOOKUP($G231,AmenTabla,2,0),0),0)</f>
        <v/>
      </c>
      <c r="K231" s="28">
        <f>COUNTIF('2. Valoración '!$C$6:$C$2261,$C231)</f>
        <v/>
      </c>
      <c r="L231" s="64">
        <f>IF($I231="No","No requiere valoración",IF($K231=0,"FALTA POR COMPLETO — agregar "&amp;$J231&amp;" filas",IF($K231&lt;$J231,"INCOMPLETO — faltan "&amp;($J231-$K231)&amp;" filas",IF($K231&gt;$J231,"REVISAR — hay filas de más","Completo"))))</f>
        <v/>
      </c>
    </row>
    <row r="232" ht="15" customHeight="1" s="54">
      <c r="B232" s="28">
        <f>IF(AND(OR($C$6="(Todos los procesos)",$C$6='1. Matriz de Activos'!$G$227),OR($C$7="(Todos los tipos)",$C$7='1. Matriz de Activos'!$E$227),OR($C$8="(Todos los subtipos)",$C$8='1. Matriz de Activos'!$F$227)),"Sí","No")</f>
        <v/>
      </c>
      <c r="C232" s="28">
        <f>'1. Matriz de Activos'!$B$227</f>
        <v/>
      </c>
      <c r="D232" s="64">
        <f>'1. Matriz de Activos'!$C$227</f>
        <v/>
      </c>
      <c r="E232" s="28">
        <f>'1. Matriz de Activos'!$G$227</f>
        <v/>
      </c>
      <c r="F232" s="64">
        <f>'1. Matriz de Activos'!$E$227</f>
        <v/>
      </c>
      <c r="G232" s="64">
        <f>'1. Matriz de Activos'!$F$227</f>
        <v/>
      </c>
      <c r="H232" s="28">
        <f>'1. Matriz de Activos'!$T$227</f>
        <v/>
      </c>
      <c r="I232" s="28">
        <f>IF($H232&gt;=4,"Sí","No")</f>
        <v/>
      </c>
      <c r="J232" s="28">
        <f>IF($H232&gt;=4,IFERROR(VLOOKUP($G232,AmenTabla,2,0),0),0)</f>
        <v/>
      </c>
      <c r="K232" s="28">
        <f>COUNTIF('2. Valoración '!$C$6:$C$2261,$C232)</f>
        <v/>
      </c>
      <c r="L232" s="64">
        <f>IF($I232="No","No requiere valoración",IF($K232=0,"FALTA POR COMPLETO — agregar "&amp;$J232&amp;" filas",IF($K232&lt;$J232,"INCOMPLETO — faltan "&amp;($J232-$K232)&amp;" filas",IF($K232&gt;$J232,"REVISAR — hay filas de más","Completo"))))</f>
        <v/>
      </c>
    </row>
    <row r="233" ht="30" customHeight="1" s="54">
      <c r="B233" s="28">
        <f>IF(AND(OR($C$6="(Todos los procesos)",$C$6='1. Matriz de Activos'!$G$228),OR($C$7="(Todos los tipos)",$C$7='1. Matriz de Activos'!$E$228),OR($C$8="(Todos los subtipos)",$C$8='1. Matriz de Activos'!$F$228)),"Sí","No")</f>
        <v/>
      </c>
      <c r="C233" s="28">
        <f>'1. Matriz de Activos'!$B$228</f>
        <v/>
      </c>
      <c r="D233" s="64">
        <f>'1. Matriz de Activos'!$C$228</f>
        <v/>
      </c>
      <c r="E233" s="28">
        <f>'1. Matriz de Activos'!$G$228</f>
        <v/>
      </c>
      <c r="F233" s="64">
        <f>'1. Matriz de Activos'!$E$228</f>
        <v/>
      </c>
      <c r="G233" s="64">
        <f>'1. Matriz de Activos'!$F$228</f>
        <v/>
      </c>
      <c r="H233" s="28">
        <f>'1. Matriz de Activos'!$T$228</f>
        <v/>
      </c>
      <c r="I233" s="28">
        <f>IF($H233&gt;=4,"Sí","No")</f>
        <v/>
      </c>
      <c r="J233" s="28">
        <f>IF($H233&gt;=4,IFERROR(VLOOKUP($G233,AmenTabla,2,0),0),0)</f>
        <v/>
      </c>
      <c r="K233" s="28">
        <f>COUNTIF('2. Valoración '!$C$6:$C$2261,$C233)</f>
        <v/>
      </c>
      <c r="L233" s="64">
        <f>IF($I233="No","No requiere valoración",IF($K233=0,"FALTA POR COMPLETO — agregar "&amp;$J233&amp;" filas",IF($K233&lt;$J233,"INCOMPLETO — faltan "&amp;($J233-$K233)&amp;" filas",IF($K233&gt;$J233,"REVISAR — hay filas de más","Completo"))))</f>
        <v/>
      </c>
    </row>
    <row r="234" ht="30" customHeight="1" s="54">
      <c r="B234" s="28">
        <f>IF(AND(OR($C$6="(Todos los procesos)",$C$6='1. Matriz de Activos'!$G$229),OR($C$7="(Todos los tipos)",$C$7='1. Matriz de Activos'!$E$229),OR($C$8="(Todos los subtipos)",$C$8='1. Matriz de Activos'!$F$229)),"Sí","No")</f>
        <v/>
      </c>
      <c r="C234" s="28">
        <f>'1. Matriz de Activos'!$B$229</f>
        <v/>
      </c>
      <c r="D234" s="64">
        <f>'1. Matriz de Activos'!$C$229</f>
        <v/>
      </c>
      <c r="E234" s="28">
        <f>'1. Matriz de Activos'!$G$229</f>
        <v/>
      </c>
      <c r="F234" s="64">
        <f>'1. Matriz de Activos'!$E$229</f>
        <v/>
      </c>
      <c r="G234" s="64">
        <f>'1. Matriz de Activos'!$F$229</f>
        <v/>
      </c>
      <c r="H234" s="28">
        <f>'1. Matriz de Activos'!$T$229</f>
        <v/>
      </c>
      <c r="I234" s="28">
        <f>IF($H234&gt;=4,"Sí","No")</f>
        <v/>
      </c>
      <c r="J234" s="28">
        <f>IF($H234&gt;=4,IFERROR(VLOOKUP($G234,AmenTabla,2,0),0),0)</f>
        <v/>
      </c>
      <c r="K234" s="28">
        <f>COUNTIF('2. Valoración '!$C$6:$C$2261,$C234)</f>
        <v/>
      </c>
      <c r="L234" s="64">
        <f>IF($I234="No","No requiere valoración",IF($K234=0,"FALTA POR COMPLETO — agregar "&amp;$J234&amp;" filas",IF($K234&lt;$J234,"INCOMPLETO — faltan "&amp;($J234-$K234)&amp;" filas",IF($K234&gt;$J234,"REVISAR — hay filas de más","Completo"))))</f>
        <v/>
      </c>
    </row>
    <row r="235" ht="30" customHeight="1" s="54">
      <c r="B235" s="28">
        <f>IF(AND(OR($C$6="(Todos los procesos)",$C$6='1. Matriz de Activos'!$G$230),OR($C$7="(Todos los tipos)",$C$7='1. Matriz de Activos'!$E$230),OR($C$8="(Todos los subtipos)",$C$8='1. Matriz de Activos'!$F$230)),"Sí","No")</f>
        <v/>
      </c>
      <c r="C235" s="28">
        <f>'1. Matriz de Activos'!$B$230</f>
        <v/>
      </c>
      <c r="D235" s="64">
        <f>'1. Matriz de Activos'!$C$230</f>
        <v/>
      </c>
      <c r="E235" s="28">
        <f>'1. Matriz de Activos'!$G$230</f>
        <v/>
      </c>
      <c r="F235" s="64">
        <f>'1. Matriz de Activos'!$E$230</f>
        <v/>
      </c>
      <c r="G235" s="64">
        <f>'1. Matriz de Activos'!$F$230</f>
        <v/>
      </c>
      <c r="H235" s="28">
        <f>'1. Matriz de Activos'!$T$230</f>
        <v/>
      </c>
      <c r="I235" s="28">
        <f>IF($H235&gt;=4,"Sí","No")</f>
        <v/>
      </c>
      <c r="J235" s="28">
        <f>IF($H235&gt;=4,IFERROR(VLOOKUP($G235,AmenTabla,2,0),0),0)</f>
        <v/>
      </c>
      <c r="K235" s="28">
        <f>COUNTIF('2. Valoración '!$C$6:$C$2261,$C235)</f>
        <v/>
      </c>
      <c r="L235" s="64">
        <f>IF($I235="No","No requiere valoración",IF($K235=0,"FALTA POR COMPLETO — agregar "&amp;$J235&amp;" filas",IF($K235&lt;$J235,"INCOMPLETO — faltan "&amp;($J235-$K235)&amp;" filas",IF($K235&gt;$J235,"REVISAR — hay filas de más","Completo"))))</f>
        <v/>
      </c>
    </row>
    <row r="236" ht="30" customHeight="1" s="54">
      <c r="B236" s="28">
        <f>IF(AND(OR($C$6="(Todos los procesos)",$C$6='1. Matriz de Activos'!$G$231),OR($C$7="(Todos los tipos)",$C$7='1. Matriz de Activos'!$E$231),OR($C$8="(Todos los subtipos)",$C$8='1. Matriz de Activos'!$F$231)),"Sí","No")</f>
        <v/>
      </c>
      <c r="C236" s="28">
        <f>'1. Matriz de Activos'!$B$231</f>
        <v/>
      </c>
      <c r="D236" s="64">
        <f>'1. Matriz de Activos'!$C$231</f>
        <v/>
      </c>
      <c r="E236" s="28">
        <f>'1. Matriz de Activos'!$G$231</f>
        <v/>
      </c>
      <c r="F236" s="64">
        <f>'1. Matriz de Activos'!$E$231</f>
        <v/>
      </c>
      <c r="G236" s="64">
        <f>'1. Matriz de Activos'!$F$231</f>
        <v/>
      </c>
      <c r="H236" s="28">
        <f>'1. Matriz de Activos'!$T$231</f>
        <v/>
      </c>
      <c r="I236" s="28">
        <f>IF($H236&gt;=4,"Sí","No")</f>
        <v/>
      </c>
      <c r="J236" s="28">
        <f>IF($H236&gt;=4,IFERROR(VLOOKUP($G236,AmenTabla,2,0),0),0)</f>
        <v/>
      </c>
      <c r="K236" s="28">
        <f>COUNTIF('2. Valoración '!$C$6:$C$2261,$C236)</f>
        <v/>
      </c>
      <c r="L236" s="64">
        <f>IF($I236="No","No requiere valoración",IF($K236=0,"FALTA POR COMPLETO — agregar "&amp;$J236&amp;" filas",IF($K236&lt;$J236,"INCOMPLETO — faltan "&amp;($J236-$K236)&amp;" filas",IF($K236&gt;$J236,"REVISAR — hay filas de más","Completo"))))</f>
        <v/>
      </c>
    </row>
    <row r="237" ht="30" customHeight="1" s="54">
      <c r="B237" s="28">
        <f>IF(AND(OR($C$6="(Todos los procesos)",$C$6='1. Matriz de Activos'!$G$232),OR($C$7="(Todos los tipos)",$C$7='1. Matriz de Activos'!$E$232),OR($C$8="(Todos los subtipos)",$C$8='1. Matriz de Activos'!$F$232)),"Sí","No")</f>
        <v/>
      </c>
      <c r="C237" s="28">
        <f>'1. Matriz de Activos'!$B$232</f>
        <v/>
      </c>
      <c r="D237" s="64">
        <f>'1. Matriz de Activos'!$C$232</f>
        <v/>
      </c>
      <c r="E237" s="28">
        <f>'1. Matriz de Activos'!$G$232</f>
        <v/>
      </c>
      <c r="F237" s="64">
        <f>'1. Matriz de Activos'!$E$232</f>
        <v/>
      </c>
      <c r="G237" s="64">
        <f>'1. Matriz de Activos'!$F$232</f>
        <v/>
      </c>
      <c r="H237" s="28">
        <f>'1. Matriz de Activos'!$T$232</f>
        <v/>
      </c>
      <c r="I237" s="28">
        <f>IF($H237&gt;=4,"Sí","No")</f>
        <v/>
      </c>
      <c r="J237" s="28">
        <f>IF($H237&gt;=4,IFERROR(VLOOKUP($G237,AmenTabla,2,0),0),0)</f>
        <v/>
      </c>
      <c r="K237" s="28">
        <f>COUNTIF('2. Valoración '!$C$6:$C$2261,$C237)</f>
        <v/>
      </c>
      <c r="L237" s="64">
        <f>IF($I237="No","No requiere valoración",IF($K237=0,"FALTA POR COMPLETO — agregar "&amp;$J237&amp;" filas",IF($K237&lt;$J237,"INCOMPLETO — faltan "&amp;($J237-$K237)&amp;" filas",IF($K237&gt;$J237,"REVISAR — hay filas de más","Completo"))))</f>
        <v/>
      </c>
    </row>
    <row r="238" ht="30" customHeight="1" s="54">
      <c r="B238" s="28">
        <f>IF(AND(OR($C$6="(Todos los procesos)",$C$6='1. Matriz de Activos'!$G$233),OR($C$7="(Todos los tipos)",$C$7='1. Matriz de Activos'!$E$233),OR($C$8="(Todos los subtipos)",$C$8='1. Matriz de Activos'!$F$233)),"Sí","No")</f>
        <v/>
      </c>
      <c r="C238" s="28">
        <f>'1. Matriz de Activos'!$B$233</f>
        <v/>
      </c>
      <c r="D238" s="64">
        <f>'1. Matriz de Activos'!$C$233</f>
        <v/>
      </c>
      <c r="E238" s="28">
        <f>'1. Matriz de Activos'!$G$233</f>
        <v/>
      </c>
      <c r="F238" s="64">
        <f>'1. Matriz de Activos'!$E$233</f>
        <v/>
      </c>
      <c r="G238" s="64">
        <f>'1. Matriz de Activos'!$F$233</f>
        <v/>
      </c>
      <c r="H238" s="28">
        <f>'1. Matriz de Activos'!$T$233</f>
        <v/>
      </c>
      <c r="I238" s="28">
        <f>IF($H238&gt;=4,"Sí","No")</f>
        <v/>
      </c>
      <c r="J238" s="28">
        <f>IF($H238&gt;=4,IFERROR(VLOOKUP($G238,AmenTabla,2,0),0),0)</f>
        <v/>
      </c>
      <c r="K238" s="28">
        <f>COUNTIF('2. Valoración '!$C$6:$C$2261,$C238)</f>
        <v/>
      </c>
      <c r="L238" s="64">
        <f>IF($I238="No","No requiere valoración",IF($K238=0,"FALTA POR COMPLETO — agregar "&amp;$J238&amp;" filas",IF($K238&lt;$J238,"INCOMPLETO — faltan "&amp;($J238-$K238)&amp;" filas",IF($K238&gt;$J238,"REVISAR — hay filas de más","Completo"))))</f>
        <v/>
      </c>
    </row>
    <row r="239" ht="45" customHeight="1" s="54">
      <c r="B239" s="28">
        <f>IF(AND(OR($C$6="(Todos los procesos)",$C$6='1. Matriz de Activos'!$G$234),OR($C$7="(Todos los tipos)",$C$7='1. Matriz de Activos'!$E$234),OR($C$8="(Todos los subtipos)",$C$8='1. Matriz de Activos'!$F$234)),"Sí","No")</f>
        <v/>
      </c>
      <c r="C239" s="28">
        <f>'1. Matriz de Activos'!$B$234</f>
        <v/>
      </c>
      <c r="D239" s="64">
        <f>'1. Matriz de Activos'!$C$234</f>
        <v/>
      </c>
      <c r="E239" s="28">
        <f>'1. Matriz de Activos'!$G$234</f>
        <v/>
      </c>
      <c r="F239" s="64">
        <f>'1. Matriz de Activos'!$E$234</f>
        <v/>
      </c>
      <c r="G239" s="64">
        <f>'1. Matriz de Activos'!$F$234</f>
        <v/>
      </c>
      <c r="H239" s="28">
        <f>'1. Matriz de Activos'!$T$234</f>
        <v/>
      </c>
      <c r="I239" s="28">
        <f>IF($H239&gt;=4,"Sí","No")</f>
        <v/>
      </c>
      <c r="J239" s="28">
        <f>IF($H239&gt;=4,IFERROR(VLOOKUP($G239,AmenTabla,2,0),0),0)</f>
        <v/>
      </c>
      <c r="K239" s="28">
        <f>COUNTIF('2. Valoración '!$C$6:$C$2261,$C239)</f>
        <v/>
      </c>
      <c r="L239" s="64">
        <f>IF($I239="No","No requiere valoración",IF($K239=0,"FALTA POR COMPLETO — agregar "&amp;$J239&amp;" filas",IF($K239&lt;$J239,"INCOMPLETO — faltan "&amp;($J239-$K239)&amp;" filas",IF($K239&gt;$J239,"REVISAR — hay filas de más","Completo"))))</f>
        <v/>
      </c>
    </row>
    <row r="240" ht="30" customHeight="1" s="54">
      <c r="B240" s="28">
        <f>IF(AND(OR($C$6="(Todos los procesos)",$C$6='1. Matriz de Activos'!$G$235),OR($C$7="(Todos los tipos)",$C$7='1. Matriz de Activos'!$E$235),OR($C$8="(Todos los subtipos)",$C$8='1. Matriz de Activos'!$F$235)),"Sí","No")</f>
        <v/>
      </c>
      <c r="C240" s="28">
        <f>'1. Matriz de Activos'!$B$235</f>
        <v/>
      </c>
      <c r="D240" s="64">
        <f>'1. Matriz de Activos'!$C$235</f>
        <v/>
      </c>
      <c r="E240" s="28">
        <f>'1. Matriz de Activos'!$G$235</f>
        <v/>
      </c>
      <c r="F240" s="64">
        <f>'1. Matriz de Activos'!$E$235</f>
        <v/>
      </c>
      <c r="G240" s="64">
        <f>'1. Matriz de Activos'!$F$235</f>
        <v/>
      </c>
      <c r="H240" s="28">
        <f>'1. Matriz de Activos'!$T$235</f>
        <v/>
      </c>
      <c r="I240" s="28">
        <f>IF($H240&gt;=4,"Sí","No")</f>
        <v/>
      </c>
      <c r="J240" s="28">
        <f>IF($H240&gt;=4,IFERROR(VLOOKUP($G240,AmenTabla,2,0),0),0)</f>
        <v/>
      </c>
      <c r="K240" s="28">
        <f>COUNTIF('2. Valoración '!$C$6:$C$2261,$C240)</f>
        <v/>
      </c>
      <c r="L240" s="64">
        <f>IF($I240="No","No requiere valoración",IF($K240=0,"FALTA POR COMPLETO — agregar "&amp;$J240&amp;" filas",IF($K240&lt;$J240,"INCOMPLETO — faltan "&amp;($J240-$K240)&amp;" filas",IF($K240&gt;$J240,"REVISAR — hay filas de más","Completo"))))</f>
        <v/>
      </c>
    </row>
    <row r="241" ht="30" customHeight="1" s="54">
      <c r="B241" s="28">
        <f>IF(AND(OR($C$6="(Todos los procesos)",$C$6='1. Matriz de Activos'!$G$236),OR($C$7="(Todos los tipos)",$C$7='1. Matriz de Activos'!$E$236),OR($C$8="(Todos los subtipos)",$C$8='1. Matriz de Activos'!$F$236)),"Sí","No")</f>
        <v/>
      </c>
      <c r="C241" s="28">
        <f>'1. Matriz de Activos'!$B$236</f>
        <v/>
      </c>
      <c r="D241" s="64">
        <f>'1. Matriz de Activos'!$C$236</f>
        <v/>
      </c>
      <c r="E241" s="28">
        <f>'1. Matriz de Activos'!$G$236</f>
        <v/>
      </c>
      <c r="F241" s="64">
        <f>'1. Matriz de Activos'!$E$236</f>
        <v/>
      </c>
      <c r="G241" s="64">
        <f>'1. Matriz de Activos'!$F$236</f>
        <v/>
      </c>
      <c r="H241" s="28">
        <f>'1. Matriz de Activos'!$T$236</f>
        <v/>
      </c>
      <c r="I241" s="28">
        <f>IF($H241&gt;=4,"Sí","No")</f>
        <v/>
      </c>
      <c r="J241" s="28">
        <f>IF($H241&gt;=4,IFERROR(VLOOKUP($G241,AmenTabla,2,0),0),0)</f>
        <v/>
      </c>
      <c r="K241" s="28">
        <f>COUNTIF('2. Valoración '!$C$6:$C$2261,$C241)</f>
        <v/>
      </c>
      <c r="L241" s="64">
        <f>IF($I241="No","No requiere valoración",IF($K241=0,"FALTA POR COMPLETO — agregar "&amp;$J241&amp;" filas",IF($K241&lt;$J241,"INCOMPLETO — faltan "&amp;($J241-$K241)&amp;" filas",IF($K241&gt;$J241,"REVISAR — hay filas de más","Completo"))))</f>
        <v/>
      </c>
    </row>
    <row r="242" ht="45" customHeight="1" s="54">
      <c r="B242" s="28">
        <f>IF(AND(OR($C$6="(Todos los procesos)",$C$6='1. Matriz de Activos'!$G$237),OR($C$7="(Todos los tipos)",$C$7='1. Matriz de Activos'!$E$237),OR($C$8="(Todos los subtipos)",$C$8='1. Matriz de Activos'!$F$237)),"Sí","No")</f>
        <v/>
      </c>
      <c r="C242" s="28">
        <f>'1. Matriz de Activos'!$B$237</f>
        <v/>
      </c>
      <c r="D242" s="64">
        <f>'1. Matriz de Activos'!$C$237</f>
        <v/>
      </c>
      <c r="E242" s="28">
        <f>'1. Matriz de Activos'!$G$237</f>
        <v/>
      </c>
      <c r="F242" s="64">
        <f>'1. Matriz de Activos'!$E$237</f>
        <v/>
      </c>
      <c r="G242" s="64">
        <f>'1. Matriz de Activos'!$F$237</f>
        <v/>
      </c>
      <c r="H242" s="28">
        <f>'1. Matriz de Activos'!$T$237</f>
        <v/>
      </c>
      <c r="I242" s="28">
        <f>IF($H242&gt;=4,"Sí","No")</f>
        <v/>
      </c>
      <c r="J242" s="28">
        <f>IF($H242&gt;=4,IFERROR(VLOOKUP($G242,AmenTabla,2,0),0),0)</f>
        <v/>
      </c>
      <c r="K242" s="28">
        <f>COUNTIF('2. Valoración '!$C$6:$C$2261,$C242)</f>
        <v/>
      </c>
      <c r="L242" s="64">
        <f>IF($I242="No","No requiere valoración",IF($K242=0,"FALTA POR COMPLETO — agregar "&amp;$J242&amp;" filas",IF($K242&lt;$J242,"INCOMPLETO — faltan "&amp;($J242-$K242)&amp;" filas",IF($K242&gt;$J242,"REVISAR — hay filas de más","Completo"))))</f>
        <v/>
      </c>
    </row>
    <row r="243" ht="45" customHeight="1" s="54">
      <c r="B243" s="28">
        <f>IF(AND(OR($C$6="(Todos los procesos)",$C$6='1. Matriz de Activos'!$G$238),OR($C$7="(Todos los tipos)",$C$7='1. Matriz de Activos'!$E$238),OR($C$8="(Todos los subtipos)",$C$8='1. Matriz de Activos'!$F$238)),"Sí","No")</f>
        <v/>
      </c>
      <c r="C243" s="28">
        <f>'1. Matriz de Activos'!$B$238</f>
        <v/>
      </c>
      <c r="D243" s="64">
        <f>'1. Matriz de Activos'!$C$238</f>
        <v/>
      </c>
      <c r="E243" s="28">
        <f>'1. Matriz de Activos'!$G$238</f>
        <v/>
      </c>
      <c r="F243" s="64">
        <f>'1. Matriz de Activos'!$E$238</f>
        <v/>
      </c>
      <c r="G243" s="64">
        <f>'1. Matriz de Activos'!$F$238</f>
        <v/>
      </c>
      <c r="H243" s="28">
        <f>'1. Matriz de Activos'!$T$238</f>
        <v/>
      </c>
      <c r="I243" s="28">
        <f>IF($H243&gt;=4,"Sí","No")</f>
        <v/>
      </c>
      <c r="J243" s="28">
        <f>IF($H243&gt;=4,IFERROR(VLOOKUP($G243,AmenTabla,2,0),0),0)</f>
        <v/>
      </c>
      <c r="K243" s="28">
        <f>COUNTIF('2. Valoración '!$C$6:$C$2261,$C243)</f>
        <v/>
      </c>
      <c r="L243" s="64">
        <f>IF($I243="No","No requiere valoración",IF($K243=0,"FALTA POR COMPLETO — agregar "&amp;$J243&amp;" filas",IF($K243&lt;$J243,"INCOMPLETO — faltan "&amp;($J243-$K243)&amp;" filas",IF($K243&gt;$J243,"REVISAR — hay filas de más","Completo"))))</f>
        <v/>
      </c>
    </row>
    <row r="244" ht="30" customHeight="1" s="54">
      <c r="B244" s="28">
        <f>IF(AND(OR($C$6="(Todos los procesos)",$C$6='1. Matriz de Activos'!$G$239),OR($C$7="(Todos los tipos)",$C$7='1. Matriz de Activos'!$E$239),OR($C$8="(Todos los subtipos)",$C$8='1. Matriz de Activos'!$F$239)),"Sí","No")</f>
        <v/>
      </c>
      <c r="C244" s="28">
        <f>'1. Matriz de Activos'!$B$239</f>
        <v/>
      </c>
      <c r="D244" s="64">
        <f>'1. Matriz de Activos'!$C$239</f>
        <v/>
      </c>
      <c r="E244" s="28">
        <f>'1. Matriz de Activos'!$G$239</f>
        <v/>
      </c>
      <c r="F244" s="64">
        <f>'1. Matriz de Activos'!$E$239</f>
        <v/>
      </c>
      <c r="G244" s="64">
        <f>'1. Matriz de Activos'!$F$239</f>
        <v/>
      </c>
      <c r="H244" s="28">
        <f>'1. Matriz de Activos'!$T$239</f>
        <v/>
      </c>
      <c r="I244" s="28">
        <f>IF($H244&gt;=4,"Sí","No")</f>
        <v/>
      </c>
      <c r="J244" s="28">
        <f>IF($H244&gt;=4,IFERROR(VLOOKUP($G244,AmenTabla,2,0),0),0)</f>
        <v/>
      </c>
      <c r="K244" s="28">
        <f>COUNTIF('2. Valoración '!$C$6:$C$2261,$C244)</f>
        <v/>
      </c>
      <c r="L244" s="64">
        <f>IF($I244="No","No requiere valoración",IF($K244=0,"FALTA POR COMPLETO — agregar "&amp;$J244&amp;" filas",IF($K244&lt;$J244,"INCOMPLETO — faltan "&amp;($J244-$K244)&amp;" filas",IF($K244&gt;$J244,"REVISAR — hay filas de más","Completo"))))</f>
        <v/>
      </c>
    </row>
    <row r="247" ht="20" customHeight="1" s="54">
      <c r="B247" s="3" t="inlineStr">
        <is>
          <t>3 · ELIJA UN ACTIVO Y COPIE LAS FILAS QUE LE CORRESPONDEN</t>
        </is>
      </c>
      <c r="C247" s="4" t="n"/>
      <c r="D247" s="4" t="n"/>
      <c r="E247" s="4" t="n"/>
      <c r="F247" s="4" t="n"/>
      <c r="G247" s="4" t="n"/>
      <c r="H247" s="4" t="n"/>
      <c r="I247" s="4" t="n"/>
      <c r="J247" s="4" t="n"/>
      <c r="K247" s="4" t="n"/>
      <c r="L247" s="4" t="n"/>
      <c r="M247" s="4" t="n"/>
      <c r="N247" s="4" t="n"/>
      <c r="O247" s="4" t="n"/>
      <c r="P247" s="4" t="n"/>
      <c r="Q247" s="4" t="n"/>
    </row>
    <row r="248" ht="22" customHeight="1" s="54">
      <c r="B248" s="5" t="inlineStr">
        <is>
          <t>Activo</t>
        </is>
      </c>
      <c r="C248" s="65" t="inlineStr">
        <is>
          <t>COM-01 — Caracterización Gestión Comercial (CAR-COM-01)</t>
        </is>
      </c>
      <c r="D248" s="62" t="n"/>
      <c r="E248" s="56" t="n"/>
    </row>
    <row r="249" ht="30" customHeight="1" s="54">
      <c r="B249" s="5" t="inlineStr">
        <is>
          <t>Proceso o Área</t>
        </is>
      </c>
      <c r="C249" s="64">
        <f>IFERROR(INDEX('1. Matriz de Activos'!$G$6:$G$239,MATCH(TRIM(LEFT($C$248,FIND(" — ",$C$248)-1)),MgActId,0)),"")</f>
        <v/>
      </c>
      <c r="D249" s="62" t="n"/>
      <c r="E249" s="56" t="n"/>
    </row>
    <row r="250" ht="30" customHeight="1" s="54">
      <c r="B250" s="5" t="inlineStr">
        <is>
          <t>Tipo MAGERIT</t>
        </is>
      </c>
      <c r="C250" s="64">
        <f>IFERROR(INDEX('1. Matriz de Activos'!$E$6:$E$239,MATCH(TRIM(LEFT($C$248,FIND(" — ",$C$248)-1)),MgActId,0)),"")</f>
        <v/>
      </c>
      <c r="D250" s="62" t="n"/>
      <c r="E250" s="56" t="n"/>
    </row>
    <row r="251" ht="30" customHeight="1" s="54">
      <c r="B251" s="5" t="inlineStr">
        <is>
          <t>Subtipo MAGERIT</t>
        </is>
      </c>
      <c r="C251" s="64">
        <f>IFERROR(INDEX('1. Matriz de Activos'!$F$6:$F$239,MATCH(TRIM(LEFT($C$248,FIND(" — ",$C$248)-1)),MgActId,0)),"")</f>
        <v/>
      </c>
      <c r="D251" s="62" t="n"/>
      <c r="E251" s="56" t="n"/>
    </row>
    <row r="252" ht="30" customHeight="1" s="54">
      <c r="B252" s="5" t="inlineStr">
        <is>
          <t>Valor del activo</t>
        </is>
      </c>
      <c r="C252" s="64">
        <f>IFERROR(INDEX('1. Matriz de Activos'!$T$6:$T$239,MATCH(TRIM(LEFT($C$248,FIND(" — ",$C$248)-1)),MgActId,0)),"")</f>
        <v/>
      </c>
      <c r="D252" s="62" t="n"/>
      <c r="E252" s="56" t="n"/>
    </row>
    <row r="253" ht="45" customHeight="1" s="54">
      <c r="B253" s="5" t="inlineStr">
        <is>
          <t>¿Requiere valoración?</t>
        </is>
      </c>
      <c r="C253" s="64">
        <f>IF(C252&gt;=4,"Sí — debe estar en la hoja de Valoración","No — su valor está por debajo de 7")</f>
        <v/>
      </c>
      <c r="D253" s="62" t="n"/>
      <c r="E253" s="56" t="n"/>
    </row>
    <row r="255" ht="48" customHeight="1" s="54">
      <c r="B255" s="5" t="inlineStr">
        <is>
          <t>¿Aplica?</t>
        </is>
      </c>
      <c r="C255" s="5" t="inlineStr">
        <is>
          <t>COPIAR: Código del activo</t>
        </is>
      </c>
      <c r="D255" s="5" t="inlineStr">
        <is>
          <t>COPIAR: Código de la amenaza</t>
        </is>
      </c>
      <c r="E255" s="5" t="inlineStr">
        <is>
          <t>Amenaza</t>
        </is>
      </c>
      <c r="F255" s="5" t="inlineStr">
        <is>
          <t>Grupo MAGERIT</t>
        </is>
      </c>
      <c r="G255" s="5" t="inlineStr">
        <is>
          <t>Degradación en Disponibilidad</t>
        </is>
      </c>
      <c r="H255" s="5" t="inlineStr">
        <is>
          <t>Degradación en Integridad</t>
        </is>
      </c>
      <c r="I255" s="5" t="inlineStr">
        <is>
          <t>Degradación en Confidencialidad</t>
        </is>
      </c>
      <c r="J255" s="5" t="inlineStr">
        <is>
          <t>Frecuencia esperada</t>
        </is>
      </c>
      <c r="K255" s="5" t="inlineStr">
        <is>
          <t>Controles ISO 27001 sugeridos</t>
        </is>
      </c>
    </row>
    <row r="256" hidden="1" ht="90" customHeight="1" s="54">
      <c r="B256" s="28">
        <f>IFERROR(IF(INDEX('Amenazas MAGERIT'!$E6:$N6,MATCH($C$250,'Amenazas MAGERIT'!$E$5:$N$5,0))="Sí","Sí","No"),"No")</f>
        <v/>
      </c>
      <c r="C256" s="44">
        <f>TRIM(LEFT($C$248,FIND(" — ",$C$248)-1))</f>
        <v/>
      </c>
      <c r="D256" s="44">
        <f>'Amenazas MAGERIT'!$B6</f>
        <v/>
      </c>
      <c r="E256" s="64">
        <f>IFERROR(INDEX(MgAmenNombre,MATCH(SUBSTITUTE($D256,"*","-"),MgAmenClave,0)),"")</f>
        <v/>
      </c>
      <c r="F256" s="28">
        <f>IFERROR(INDEX(MgAmenGrupo,MATCH(SUBSTITUTE($D256,"*","-"),MgAmenClave,0)),"")</f>
        <v/>
      </c>
      <c r="G256" s="28">
        <f>IFERROR(INDEX(MgAmenDegD,MATCH(SUBSTITUTE($D256,"*","-"),MgAmenClave,0)),"No aplica")</f>
        <v/>
      </c>
      <c r="H256" s="28">
        <f>IFERROR(INDEX(MgAmenDegI,MATCH(SUBSTITUTE($D256,"*","-"),MgAmenClave,0)),"No aplica")</f>
        <v/>
      </c>
      <c r="I256" s="28">
        <f>IFERROR(INDEX(MgAmenDegC,MATCH(SUBSTITUTE($D256,"*","-"),MgAmenClave,0)),"No aplica")</f>
        <v/>
      </c>
      <c r="J256" s="28">
        <f>IFERROR(INDEX(MgAmenFrec,MATCH(SUBSTITUTE($D256,"*","-"),MgAmenClave,0)),"")</f>
        <v/>
      </c>
      <c r="K256" s="64">
        <f>IFERROR(INDEX(MgAmenCtrl,MATCH(SUBSTITUTE($D256,"*","-"),MgAmenClave,0)),"")</f>
        <v/>
      </c>
    </row>
    <row r="257" hidden="1" ht="60" customHeight="1" s="54">
      <c r="B257" s="28">
        <f>IFERROR(IF(INDEX('Amenazas MAGERIT'!$E7:$N7,MATCH($C$250,'Amenazas MAGERIT'!$E$5:$N$5,0))="Sí","Sí","No"),"No")</f>
        <v/>
      </c>
      <c r="C257" s="44">
        <f>TRIM(LEFT($C$248,FIND(" — ",$C$248)-1))</f>
        <v/>
      </c>
      <c r="D257" s="44">
        <f>'Amenazas MAGERIT'!$B7</f>
        <v/>
      </c>
      <c r="E257" s="64">
        <f>IFERROR(INDEX(MgAmenNombre,MATCH(SUBSTITUTE($D257,"*","-"),MgAmenClave,0)),"")</f>
        <v/>
      </c>
      <c r="F257" s="28">
        <f>IFERROR(INDEX(MgAmenGrupo,MATCH(SUBSTITUTE($D257,"*","-"),MgAmenClave,0)),"")</f>
        <v/>
      </c>
      <c r="G257" s="28">
        <f>IFERROR(INDEX(MgAmenDegD,MATCH(SUBSTITUTE($D257,"*","-"),MgAmenClave,0)),"No aplica")</f>
        <v/>
      </c>
      <c r="H257" s="28">
        <f>IFERROR(INDEX(MgAmenDegI,MATCH(SUBSTITUTE($D257,"*","-"),MgAmenClave,0)),"No aplica")</f>
        <v/>
      </c>
      <c r="I257" s="28">
        <f>IFERROR(INDEX(MgAmenDegC,MATCH(SUBSTITUTE($D257,"*","-"),MgAmenClave,0)),"No aplica")</f>
        <v/>
      </c>
      <c r="J257" s="28">
        <f>IFERROR(INDEX(MgAmenFrec,MATCH(SUBSTITUTE($D257,"*","-"),MgAmenClave,0)),"")</f>
        <v/>
      </c>
      <c r="K257" s="64">
        <f>IFERROR(INDEX(MgAmenCtrl,MATCH(SUBSTITUTE($D257,"*","-"),MgAmenClave,0)),"")</f>
        <v/>
      </c>
    </row>
    <row r="258" hidden="1" ht="75" customHeight="1" s="54">
      <c r="B258" s="28">
        <f>IFERROR(IF(INDEX('Amenazas MAGERIT'!$E8:$N8,MATCH($C$250,'Amenazas MAGERIT'!$E$5:$N$5,0))="Sí","Sí","No"),"No")</f>
        <v/>
      </c>
      <c r="C258" s="44">
        <f>TRIM(LEFT($C$248,FIND(" — ",$C$248)-1))</f>
        <v/>
      </c>
      <c r="D258" s="44">
        <f>'Amenazas MAGERIT'!$B8</f>
        <v/>
      </c>
      <c r="E258" s="64">
        <f>IFERROR(INDEX(MgAmenNombre,MATCH(SUBSTITUTE($D258,"*","-"),MgAmenClave,0)),"")</f>
        <v/>
      </c>
      <c r="F258" s="28">
        <f>IFERROR(INDEX(MgAmenGrupo,MATCH(SUBSTITUTE($D258,"*","-"),MgAmenClave,0)),"")</f>
        <v/>
      </c>
      <c r="G258" s="28">
        <f>IFERROR(INDEX(MgAmenDegD,MATCH(SUBSTITUTE($D258,"*","-"),MgAmenClave,0)),"No aplica")</f>
        <v/>
      </c>
      <c r="H258" s="28">
        <f>IFERROR(INDEX(MgAmenDegI,MATCH(SUBSTITUTE($D258,"*","-"),MgAmenClave,0)),"No aplica")</f>
        <v/>
      </c>
      <c r="I258" s="28">
        <f>IFERROR(INDEX(MgAmenDegC,MATCH(SUBSTITUTE($D258,"*","-"),MgAmenClave,0)),"No aplica")</f>
        <v/>
      </c>
      <c r="J258" s="28">
        <f>IFERROR(INDEX(MgAmenFrec,MATCH(SUBSTITUTE($D258,"*","-"),MgAmenClave,0)),"")</f>
        <v/>
      </c>
      <c r="K258" s="64">
        <f>IFERROR(INDEX(MgAmenCtrl,MATCH(SUBSTITUTE($D258,"*","-"),MgAmenClave,0)),"")</f>
        <v/>
      </c>
    </row>
    <row r="259" hidden="1" ht="75" customHeight="1" s="54">
      <c r="B259" s="28">
        <f>IFERROR(IF(INDEX('Amenazas MAGERIT'!$E9:$N9,MATCH($C$250,'Amenazas MAGERIT'!$E$5:$N$5,0))="Sí","Sí","No"),"No")</f>
        <v/>
      </c>
      <c r="C259" s="44">
        <f>TRIM(LEFT($C$248,FIND(" — ",$C$248)-1))</f>
        <v/>
      </c>
      <c r="D259" s="44">
        <f>'Amenazas MAGERIT'!$B9</f>
        <v/>
      </c>
      <c r="E259" s="64">
        <f>IFERROR(INDEX(MgAmenNombre,MATCH(SUBSTITUTE($D259,"*","-"),MgAmenClave,0)),"")</f>
        <v/>
      </c>
      <c r="F259" s="28">
        <f>IFERROR(INDEX(MgAmenGrupo,MATCH(SUBSTITUTE($D259,"*","-"),MgAmenClave,0)),"")</f>
        <v/>
      </c>
      <c r="G259" s="28">
        <f>IFERROR(INDEX(MgAmenDegD,MATCH(SUBSTITUTE($D259,"*","-"),MgAmenClave,0)),"No aplica")</f>
        <v/>
      </c>
      <c r="H259" s="28">
        <f>IFERROR(INDEX(MgAmenDegI,MATCH(SUBSTITUTE($D259,"*","-"),MgAmenClave,0)),"No aplica")</f>
        <v/>
      </c>
      <c r="I259" s="28">
        <f>IFERROR(INDEX(MgAmenDegC,MATCH(SUBSTITUTE($D259,"*","-"),MgAmenClave,0)),"No aplica")</f>
        <v/>
      </c>
      <c r="J259" s="28">
        <f>IFERROR(INDEX(MgAmenFrec,MATCH(SUBSTITUTE($D259,"*","-"),MgAmenClave,0)),"")</f>
        <v/>
      </c>
      <c r="K259" s="64">
        <f>IFERROR(INDEX(MgAmenCtrl,MATCH(SUBSTITUTE($D259,"*","-"),MgAmenClave,0)),"")</f>
        <v/>
      </c>
    </row>
    <row r="260" hidden="1" ht="45" customHeight="1" s="54">
      <c r="B260" s="28">
        <f>IFERROR(IF(INDEX('Amenazas MAGERIT'!$E10:$N10,MATCH($C$250,'Amenazas MAGERIT'!$E$5:$N$5,0))="Sí","Sí","No"),"No")</f>
        <v/>
      </c>
      <c r="C260" s="44">
        <f>TRIM(LEFT($C$248,FIND(" — ",$C$248)-1))</f>
        <v/>
      </c>
      <c r="D260" s="44">
        <f>'Amenazas MAGERIT'!$B10</f>
        <v/>
      </c>
      <c r="E260" s="64">
        <f>IFERROR(INDEX(MgAmenNombre,MATCH(SUBSTITUTE($D260,"*","-"),MgAmenClave,0)),"")</f>
        <v/>
      </c>
      <c r="F260" s="28">
        <f>IFERROR(INDEX(MgAmenGrupo,MATCH(SUBSTITUTE($D260,"*","-"),MgAmenClave,0)),"")</f>
        <v/>
      </c>
      <c r="G260" s="28">
        <f>IFERROR(INDEX(MgAmenDegD,MATCH(SUBSTITUTE($D260,"*","-"),MgAmenClave,0)),"No aplica")</f>
        <v/>
      </c>
      <c r="H260" s="28">
        <f>IFERROR(INDEX(MgAmenDegI,MATCH(SUBSTITUTE($D260,"*","-"),MgAmenClave,0)),"No aplica")</f>
        <v/>
      </c>
      <c r="I260" s="28">
        <f>IFERROR(INDEX(MgAmenDegC,MATCH(SUBSTITUTE($D260,"*","-"),MgAmenClave,0)),"No aplica")</f>
        <v/>
      </c>
      <c r="J260" s="28">
        <f>IFERROR(INDEX(MgAmenFrec,MATCH(SUBSTITUTE($D260,"*","-"),MgAmenClave,0)),"")</f>
        <v/>
      </c>
      <c r="K260" s="64">
        <f>IFERROR(INDEX(MgAmenCtrl,MATCH(SUBSTITUTE($D260,"*","-"),MgAmenClave,0)),"")</f>
        <v/>
      </c>
    </row>
    <row r="261" hidden="1" ht="60" customHeight="1" s="54">
      <c r="B261" s="28">
        <f>IFERROR(IF(INDEX('Amenazas MAGERIT'!$E11:$N11,MATCH($C$250,'Amenazas MAGERIT'!$E$5:$N$5,0))="Sí","Sí","No"),"No")</f>
        <v/>
      </c>
      <c r="C261" s="44">
        <f>TRIM(LEFT($C$248,FIND(" — ",$C$248)-1))</f>
        <v/>
      </c>
      <c r="D261" s="44">
        <f>'Amenazas MAGERIT'!$B11</f>
        <v/>
      </c>
      <c r="E261" s="64">
        <f>IFERROR(INDEX(MgAmenNombre,MATCH(SUBSTITUTE($D261,"*","-"),MgAmenClave,0)),"")</f>
        <v/>
      </c>
      <c r="F261" s="28">
        <f>IFERROR(INDEX(MgAmenGrupo,MATCH(SUBSTITUTE($D261,"*","-"),MgAmenClave,0)),"")</f>
        <v/>
      </c>
      <c r="G261" s="28">
        <f>IFERROR(INDEX(MgAmenDegD,MATCH(SUBSTITUTE($D261,"*","-"),MgAmenClave,0)),"No aplica")</f>
        <v/>
      </c>
      <c r="H261" s="28">
        <f>IFERROR(INDEX(MgAmenDegI,MATCH(SUBSTITUTE($D261,"*","-"),MgAmenClave,0)),"No aplica")</f>
        <v/>
      </c>
      <c r="I261" s="28">
        <f>IFERROR(INDEX(MgAmenDegC,MATCH(SUBSTITUTE($D261,"*","-"),MgAmenClave,0)),"No aplica")</f>
        <v/>
      </c>
      <c r="J261" s="28">
        <f>IFERROR(INDEX(MgAmenFrec,MATCH(SUBSTITUTE($D261,"*","-"),MgAmenClave,0)),"")</f>
        <v/>
      </c>
      <c r="K261" s="64">
        <f>IFERROR(INDEX(MgAmenCtrl,MATCH(SUBSTITUTE($D261,"*","-"),MgAmenClave,0)),"")</f>
        <v/>
      </c>
    </row>
    <row r="262" hidden="1" ht="45" customHeight="1" s="54">
      <c r="B262" s="28">
        <f>IFERROR(IF(INDEX('Amenazas MAGERIT'!$E12:$N12,MATCH($C$250,'Amenazas MAGERIT'!$E$5:$N$5,0))="Sí","Sí","No"),"No")</f>
        <v/>
      </c>
      <c r="C262" s="44">
        <f>TRIM(LEFT($C$248,FIND(" — ",$C$248)-1))</f>
        <v/>
      </c>
      <c r="D262" s="44">
        <f>'Amenazas MAGERIT'!$B12</f>
        <v/>
      </c>
      <c r="E262" s="64">
        <f>IFERROR(INDEX(MgAmenNombre,MATCH(SUBSTITUTE($D262,"*","-"),MgAmenClave,0)),"")</f>
        <v/>
      </c>
      <c r="F262" s="28">
        <f>IFERROR(INDEX(MgAmenGrupo,MATCH(SUBSTITUTE($D262,"*","-"),MgAmenClave,0)),"")</f>
        <v/>
      </c>
      <c r="G262" s="28">
        <f>IFERROR(INDEX(MgAmenDegD,MATCH(SUBSTITUTE($D262,"*","-"),MgAmenClave,0)),"No aplica")</f>
        <v/>
      </c>
      <c r="H262" s="28">
        <f>IFERROR(INDEX(MgAmenDegI,MATCH(SUBSTITUTE($D262,"*","-"),MgAmenClave,0)),"No aplica")</f>
        <v/>
      </c>
      <c r="I262" s="28">
        <f>IFERROR(INDEX(MgAmenDegC,MATCH(SUBSTITUTE($D262,"*","-"),MgAmenClave,0)),"No aplica")</f>
        <v/>
      </c>
      <c r="J262" s="28">
        <f>IFERROR(INDEX(MgAmenFrec,MATCH(SUBSTITUTE($D262,"*","-"),MgAmenClave,0)),"")</f>
        <v/>
      </c>
      <c r="K262" s="64">
        <f>IFERROR(INDEX(MgAmenCtrl,MATCH(SUBSTITUTE($D262,"*","-"),MgAmenClave,0)),"")</f>
        <v/>
      </c>
    </row>
    <row r="263" hidden="1" ht="45" customHeight="1" s="54">
      <c r="B263" s="28">
        <f>IFERROR(IF(INDEX('Amenazas MAGERIT'!$E13:$N13,MATCH($C$250,'Amenazas MAGERIT'!$E$5:$N$5,0))="Sí","Sí","No"),"No")</f>
        <v/>
      </c>
      <c r="C263" s="44">
        <f>TRIM(LEFT($C$248,FIND(" — ",$C$248)-1))</f>
        <v/>
      </c>
      <c r="D263" s="44">
        <f>'Amenazas MAGERIT'!$B13</f>
        <v/>
      </c>
      <c r="E263" s="64">
        <f>IFERROR(INDEX(MgAmenNombre,MATCH(SUBSTITUTE($D263,"*","-"),MgAmenClave,0)),"")</f>
        <v/>
      </c>
      <c r="F263" s="28">
        <f>IFERROR(INDEX(MgAmenGrupo,MATCH(SUBSTITUTE($D263,"*","-"),MgAmenClave,0)),"")</f>
        <v/>
      </c>
      <c r="G263" s="28">
        <f>IFERROR(INDEX(MgAmenDegD,MATCH(SUBSTITUTE($D263,"*","-"),MgAmenClave,0)),"No aplica")</f>
        <v/>
      </c>
      <c r="H263" s="28">
        <f>IFERROR(INDEX(MgAmenDegI,MATCH(SUBSTITUTE($D263,"*","-"),MgAmenClave,0)),"No aplica")</f>
        <v/>
      </c>
      <c r="I263" s="28">
        <f>IFERROR(INDEX(MgAmenDegC,MATCH(SUBSTITUTE($D263,"*","-"),MgAmenClave,0)),"No aplica")</f>
        <v/>
      </c>
      <c r="J263" s="28">
        <f>IFERROR(INDEX(MgAmenFrec,MATCH(SUBSTITUTE($D263,"*","-"),MgAmenClave,0)),"")</f>
        <v/>
      </c>
      <c r="K263" s="64">
        <f>IFERROR(INDEX(MgAmenCtrl,MATCH(SUBSTITUTE($D263,"*","-"),MgAmenClave,0)),"")</f>
        <v/>
      </c>
    </row>
    <row r="264" hidden="1" ht="75" customHeight="1" s="54">
      <c r="B264" s="28">
        <f>IFERROR(IF(INDEX('Amenazas MAGERIT'!$E14:$N14,MATCH($C$250,'Amenazas MAGERIT'!$E$5:$N$5,0))="Sí","Sí","No"),"No")</f>
        <v/>
      </c>
      <c r="C264" s="44">
        <f>TRIM(LEFT($C$248,FIND(" — ",$C$248)-1))</f>
        <v/>
      </c>
      <c r="D264" s="44">
        <f>'Amenazas MAGERIT'!$B14</f>
        <v/>
      </c>
      <c r="E264" s="64">
        <f>IFERROR(INDEX(MgAmenNombre,MATCH(SUBSTITUTE($D264,"*","-"),MgAmenClave,0)),"")</f>
        <v/>
      </c>
      <c r="F264" s="28">
        <f>IFERROR(INDEX(MgAmenGrupo,MATCH(SUBSTITUTE($D264,"*","-"),MgAmenClave,0)),"")</f>
        <v/>
      </c>
      <c r="G264" s="28">
        <f>IFERROR(INDEX(MgAmenDegD,MATCH(SUBSTITUTE($D264,"*","-"),MgAmenClave,0)),"No aplica")</f>
        <v/>
      </c>
      <c r="H264" s="28">
        <f>IFERROR(INDEX(MgAmenDegI,MATCH(SUBSTITUTE($D264,"*","-"),MgAmenClave,0)),"No aplica")</f>
        <v/>
      </c>
      <c r="I264" s="28">
        <f>IFERROR(INDEX(MgAmenDegC,MATCH(SUBSTITUTE($D264,"*","-"),MgAmenClave,0)),"No aplica")</f>
        <v/>
      </c>
      <c r="J264" s="28">
        <f>IFERROR(INDEX(MgAmenFrec,MATCH(SUBSTITUTE($D264,"*","-"),MgAmenClave,0)),"")</f>
        <v/>
      </c>
      <c r="K264" s="64">
        <f>IFERROR(INDEX(MgAmenCtrl,MATCH(SUBSTITUTE($D264,"*","-"),MgAmenClave,0)),"")</f>
        <v/>
      </c>
    </row>
    <row r="265" hidden="1" ht="60" customHeight="1" s="54">
      <c r="B265" s="28">
        <f>IFERROR(IF(INDEX('Amenazas MAGERIT'!$E15:$N15,MATCH($C$250,'Amenazas MAGERIT'!$E$5:$N$5,0))="Sí","Sí","No"),"No")</f>
        <v/>
      </c>
      <c r="C265" s="44">
        <f>TRIM(LEFT($C$248,FIND(" — ",$C$248)-1))</f>
        <v/>
      </c>
      <c r="D265" s="44">
        <f>'Amenazas MAGERIT'!$B15</f>
        <v/>
      </c>
      <c r="E265" s="64">
        <f>IFERROR(INDEX(MgAmenNombre,MATCH(SUBSTITUTE($D265,"*","-"),MgAmenClave,0)),"")</f>
        <v/>
      </c>
      <c r="F265" s="28">
        <f>IFERROR(INDEX(MgAmenGrupo,MATCH(SUBSTITUTE($D265,"*","-"),MgAmenClave,0)),"")</f>
        <v/>
      </c>
      <c r="G265" s="28">
        <f>IFERROR(INDEX(MgAmenDegD,MATCH(SUBSTITUTE($D265,"*","-"),MgAmenClave,0)),"No aplica")</f>
        <v/>
      </c>
      <c r="H265" s="28">
        <f>IFERROR(INDEX(MgAmenDegI,MATCH(SUBSTITUTE($D265,"*","-"),MgAmenClave,0)),"No aplica")</f>
        <v/>
      </c>
      <c r="I265" s="28">
        <f>IFERROR(INDEX(MgAmenDegC,MATCH(SUBSTITUTE($D265,"*","-"),MgAmenClave,0)),"No aplica")</f>
        <v/>
      </c>
      <c r="J265" s="28">
        <f>IFERROR(INDEX(MgAmenFrec,MATCH(SUBSTITUTE($D265,"*","-"),MgAmenClave,0)),"")</f>
        <v/>
      </c>
      <c r="K265" s="64">
        <f>IFERROR(INDEX(MgAmenCtrl,MATCH(SUBSTITUTE($D265,"*","-"),MgAmenClave,0)),"")</f>
        <v/>
      </c>
    </row>
    <row r="266" hidden="1" ht="45" customHeight="1" s="54">
      <c r="B266" s="28">
        <f>IFERROR(IF(INDEX('Amenazas MAGERIT'!$E16:$N16,MATCH($C$250,'Amenazas MAGERIT'!$E$5:$N$5,0))="Sí","Sí","No"),"No")</f>
        <v/>
      </c>
      <c r="C266" s="44">
        <f>TRIM(LEFT($C$248,FIND(" — ",$C$248)-1))</f>
        <v/>
      </c>
      <c r="D266" s="44">
        <f>'Amenazas MAGERIT'!$B16</f>
        <v/>
      </c>
      <c r="E266" s="64">
        <f>IFERROR(INDEX(MgAmenNombre,MATCH(SUBSTITUTE($D266,"*","-"),MgAmenClave,0)),"")</f>
        <v/>
      </c>
      <c r="F266" s="28">
        <f>IFERROR(INDEX(MgAmenGrupo,MATCH(SUBSTITUTE($D266,"*","-"),MgAmenClave,0)),"")</f>
        <v/>
      </c>
      <c r="G266" s="28">
        <f>IFERROR(INDEX(MgAmenDegD,MATCH(SUBSTITUTE($D266,"*","-"),MgAmenClave,0)),"No aplica")</f>
        <v/>
      </c>
      <c r="H266" s="28">
        <f>IFERROR(INDEX(MgAmenDegI,MATCH(SUBSTITUTE($D266,"*","-"),MgAmenClave,0)),"No aplica")</f>
        <v/>
      </c>
      <c r="I266" s="28">
        <f>IFERROR(INDEX(MgAmenDegC,MATCH(SUBSTITUTE($D266,"*","-"),MgAmenClave,0)),"No aplica")</f>
        <v/>
      </c>
      <c r="J266" s="28">
        <f>IFERROR(INDEX(MgAmenFrec,MATCH(SUBSTITUTE($D266,"*","-"),MgAmenClave,0)),"")</f>
        <v/>
      </c>
      <c r="K266" s="64">
        <f>IFERROR(INDEX(MgAmenCtrl,MATCH(SUBSTITUTE($D266,"*","-"),MgAmenClave,0)),"")</f>
        <v/>
      </c>
    </row>
    <row r="267" hidden="1" ht="75" customHeight="1" s="54">
      <c r="B267" s="28">
        <f>IFERROR(IF(INDEX('Amenazas MAGERIT'!$E17:$N17,MATCH($C$250,'Amenazas MAGERIT'!$E$5:$N$5,0))="Sí","Sí","No"),"No")</f>
        <v/>
      </c>
      <c r="C267" s="44">
        <f>TRIM(LEFT($C$248,FIND(" — ",$C$248)-1))</f>
        <v/>
      </c>
      <c r="D267" s="44">
        <f>'Amenazas MAGERIT'!$B17</f>
        <v/>
      </c>
      <c r="E267" s="64">
        <f>IFERROR(INDEX(MgAmenNombre,MATCH(SUBSTITUTE($D267,"*","-"),MgAmenClave,0)),"")</f>
        <v/>
      </c>
      <c r="F267" s="28">
        <f>IFERROR(INDEX(MgAmenGrupo,MATCH(SUBSTITUTE($D267,"*","-"),MgAmenClave,0)),"")</f>
        <v/>
      </c>
      <c r="G267" s="28">
        <f>IFERROR(INDEX(MgAmenDegD,MATCH(SUBSTITUTE($D267,"*","-"),MgAmenClave,0)),"No aplica")</f>
        <v/>
      </c>
      <c r="H267" s="28">
        <f>IFERROR(INDEX(MgAmenDegI,MATCH(SUBSTITUTE($D267,"*","-"),MgAmenClave,0)),"No aplica")</f>
        <v/>
      </c>
      <c r="I267" s="28">
        <f>IFERROR(INDEX(MgAmenDegC,MATCH(SUBSTITUTE($D267,"*","-"),MgAmenClave,0)),"No aplica")</f>
        <v/>
      </c>
      <c r="J267" s="28">
        <f>IFERROR(INDEX(MgAmenFrec,MATCH(SUBSTITUTE($D267,"*","-"),MgAmenClave,0)),"")</f>
        <v/>
      </c>
      <c r="K267" s="64">
        <f>IFERROR(INDEX(MgAmenCtrl,MATCH(SUBSTITUTE($D267,"*","-"),MgAmenClave,0)),"")</f>
        <v/>
      </c>
    </row>
    <row r="268" hidden="1" ht="150" customHeight="1" s="54">
      <c r="B268" s="28">
        <f>IFERROR(IF(INDEX('Amenazas MAGERIT'!$E18:$N18,MATCH($C$250,'Amenazas MAGERIT'!$E$5:$N$5,0))="Sí","Sí","No"),"No")</f>
        <v/>
      </c>
      <c r="C268" s="44">
        <f>TRIM(LEFT($C$248,FIND(" — ",$C$248)-1))</f>
        <v/>
      </c>
      <c r="D268" s="44">
        <f>'Amenazas MAGERIT'!$B18</f>
        <v/>
      </c>
      <c r="E268" s="64">
        <f>IFERROR(INDEX(MgAmenNombre,MATCH(SUBSTITUTE($D268,"*","-"),MgAmenClave,0)),"")</f>
        <v/>
      </c>
      <c r="F268" s="28">
        <f>IFERROR(INDEX(MgAmenGrupo,MATCH(SUBSTITUTE($D268,"*","-"),MgAmenClave,0)),"")</f>
        <v/>
      </c>
      <c r="G268" s="28">
        <f>IFERROR(INDEX(MgAmenDegD,MATCH(SUBSTITUTE($D268,"*","-"),MgAmenClave,0)),"No aplica")</f>
        <v/>
      </c>
      <c r="H268" s="28">
        <f>IFERROR(INDEX(MgAmenDegI,MATCH(SUBSTITUTE($D268,"*","-"),MgAmenClave,0)),"No aplica")</f>
        <v/>
      </c>
      <c r="I268" s="28">
        <f>IFERROR(INDEX(MgAmenDegC,MATCH(SUBSTITUTE($D268,"*","-"),MgAmenClave,0)),"No aplica")</f>
        <v/>
      </c>
      <c r="J268" s="28">
        <f>IFERROR(INDEX(MgAmenFrec,MATCH(SUBSTITUTE($D268,"*","-"),MgAmenClave,0)),"")</f>
        <v/>
      </c>
      <c r="K268" s="64">
        <f>IFERROR(INDEX(MgAmenCtrl,MATCH(SUBSTITUTE($D268,"*","-"),MgAmenClave,0)),"")</f>
        <v/>
      </c>
    </row>
    <row r="269" hidden="1" ht="45" customHeight="1" s="54">
      <c r="B269" s="28">
        <f>IFERROR(IF(INDEX('Amenazas MAGERIT'!$E19:$N19,MATCH($C$250,'Amenazas MAGERIT'!$E$5:$N$5,0))="Sí","Sí","No"),"No")</f>
        <v/>
      </c>
      <c r="C269" s="44">
        <f>TRIM(LEFT($C$248,FIND(" — ",$C$248)-1))</f>
        <v/>
      </c>
      <c r="D269" s="44">
        <f>'Amenazas MAGERIT'!$B19</f>
        <v/>
      </c>
      <c r="E269" s="64">
        <f>IFERROR(INDEX(MgAmenNombre,MATCH(SUBSTITUTE($D269,"*","-"),MgAmenClave,0)),"")</f>
        <v/>
      </c>
      <c r="F269" s="28">
        <f>IFERROR(INDEX(MgAmenGrupo,MATCH(SUBSTITUTE($D269,"*","-"),MgAmenClave,0)),"")</f>
        <v/>
      </c>
      <c r="G269" s="28">
        <f>IFERROR(INDEX(MgAmenDegD,MATCH(SUBSTITUTE($D269,"*","-"),MgAmenClave,0)),"No aplica")</f>
        <v/>
      </c>
      <c r="H269" s="28">
        <f>IFERROR(INDEX(MgAmenDegI,MATCH(SUBSTITUTE($D269,"*","-"),MgAmenClave,0)),"No aplica")</f>
        <v/>
      </c>
      <c r="I269" s="28">
        <f>IFERROR(INDEX(MgAmenDegC,MATCH(SUBSTITUTE($D269,"*","-"),MgAmenClave,0)),"No aplica")</f>
        <v/>
      </c>
      <c r="J269" s="28">
        <f>IFERROR(INDEX(MgAmenFrec,MATCH(SUBSTITUTE($D269,"*","-"),MgAmenClave,0)),"")</f>
        <v/>
      </c>
      <c r="K269" s="64">
        <f>IFERROR(INDEX(MgAmenCtrl,MATCH(SUBSTITUTE($D269,"*","-"),MgAmenClave,0)),"")</f>
        <v/>
      </c>
    </row>
    <row r="270" hidden="1" ht="45" customHeight="1" s="54">
      <c r="B270" s="28">
        <f>IFERROR(IF(INDEX('Amenazas MAGERIT'!$E20:$N20,MATCH($C$250,'Amenazas MAGERIT'!$E$5:$N$5,0))="Sí","Sí","No"),"No")</f>
        <v/>
      </c>
      <c r="C270" s="44">
        <f>TRIM(LEFT($C$248,FIND(" — ",$C$248)-1))</f>
        <v/>
      </c>
      <c r="D270" s="44">
        <f>'Amenazas MAGERIT'!$B20</f>
        <v/>
      </c>
      <c r="E270" s="64">
        <f>IFERROR(INDEX(MgAmenNombre,MATCH(SUBSTITUTE($D270,"*","-"),MgAmenClave,0)),"")</f>
        <v/>
      </c>
      <c r="F270" s="28">
        <f>IFERROR(INDEX(MgAmenGrupo,MATCH(SUBSTITUTE($D270,"*","-"),MgAmenClave,0)),"")</f>
        <v/>
      </c>
      <c r="G270" s="28">
        <f>IFERROR(INDEX(MgAmenDegD,MATCH(SUBSTITUTE($D270,"*","-"),MgAmenClave,0)),"No aplica")</f>
        <v/>
      </c>
      <c r="H270" s="28">
        <f>IFERROR(INDEX(MgAmenDegI,MATCH(SUBSTITUTE($D270,"*","-"),MgAmenClave,0)),"No aplica")</f>
        <v/>
      </c>
      <c r="I270" s="28">
        <f>IFERROR(INDEX(MgAmenDegC,MATCH(SUBSTITUTE($D270,"*","-"),MgAmenClave,0)),"No aplica")</f>
        <v/>
      </c>
      <c r="J270" s="28">
        <f>IFERROR(INDEX(MgAmenFrec,MATCH(SUBSTITUTE($D270,"*","-"),MgAmenClave,0)),"")</f>
        <v/>
      </c>
      <c r="K270" s="64">
        <f>IFERROR(INDEX(MgAmenCtrl,MATCH(SUBSTITUTE($D270,"*","-"),MgAmenClave,0)),"")</f>
        <v/>
      </c>
    </row>
    <row r="271" ht="105" customHeight="1" s="54">
      <c r="B271" s="28">
        <f>IFERROR(IF(INDEX('Amenazas MAGERIT'!$E21:$N21,MATCH($C$250,'Amenazas MAGERIT'!$E$5:$N$5,0))="Sí","Sí","No"),"No")</f>
        <v/>
      </c>
      <c r="C271" s="44">
        <f>TRIM(LEFT($C$248,FIND(" — ",$C$248)-1))</f>
        <v/>
      </c>
      <c r="D271" s="44">
        <f>'Amenazas MAGERIT'!$B21</f>
        <v/>
      </c>
      <c r="E271" s="64">
        <f>IFERROR(INDEX(MgAmenNombre,MATCH(SUBSTITUTE($D271,"*","-"),MgAmenClave,0)),"")</f>
        <v/>
      </c>
      <c r="F271" s="28">
        <f>IFERROR(INDEX(MgAmenGrupo,MATCH(SUBSTITUTE($D271,"*","-"),MgAmenClave,0)),"")</f>
        <v/>
      </c>
      <c r="G271" s="28">
        <f>IFERROR(INDEX(MgAmenDegD,MATCH(SUBSTITUTE($D271,"*","-"),MgAmenClave,0)),"No aplica")</f>
        <v/>
      </c>
      <c r="H271" s="28">
        <f>IFERROR(INDEX(MgAmenDegI,MATCH(SUBSTITUTE($D271,"*","-"),MgAmenClave,0)),"No aplica")</f>
        <v/>
      </c>
      <c r="I271" s="28">
        <f>IFERROR(INDEX(MgAmenDegC,MATCH(SUBSTITUTE($D271,"*","-"),MgAmenClave,0)),"No aplica")</f>
        <v/>
      </c>
      <c r="J271" s="28">
        <f>IFERROR(INDEX(MgAmenFrec,MATCH(SUBSTITUTE($D271,"*","-"),MgAmenClave,0)),"")</f>
        <v/>
      </c>
      <c r="K271" s="64">
        <f>IFERROR(INDEX(MgAmenCtrl,MATCH(SUBSTITUTE($D271,"*","-"),MgAmenClave,0)),"")</f>
        <v/>
      </c>
    </row>
    <row r="272" ht="120" customHeight="1" s="54">
      <c r="B272" s="28">
        <f>IFERROR(IF(INDEX('Amenazas MAGERIT'!$E22:$N22,MATCH($C$250,'Amenazas MAGERIT'!$E$5:$N$5,0))="Sí","Sí","No"),"No")</f>
        <v/>
      </c>
      <c r="C272" s="44">
        <f>TRIM(LEFT($C$248,FIND(" — ",$C$248)-1))</f>
        <v/>
      </c>
      <c r="D272" s="44">
        <f>'Amenazas MAGERIT'!$B22</f>
        <v/>
      </c>
      <c r="E272" s="64">
        <f>IFERROR(INDEX(MgAmenNombre,MATCH(SUBSTITUTE($D272,"*","-"),MgAmenClave,0)),"")</f>
        <v/>
      </c>
      <c r="F272" s="28">
        <f>IFERROR(INDEX(MgAmenGrupo,MATCH(SUBSTITUTE($D272,"*","-"),MgAmenClave,0)),"")</f>
        <v/>
      </c>
      <c r="G272" s="28">
        <f>IFERROR(INDEX(MgAmenDegD,MATCH(SUBSTITUTE($D272,"*","-"),MgAmenClave,0)),"No aplica")</f>
        <v/>
      </c>
      <c r="H272" s="28">
        <f>IFERROR(INDEX(MgAmenDegI,MATCH(SUBSTITUTE($D272,"*","-"),MgAmenClave,0)),"No aplica")</f>
        <v/>
      </c>
      <c r="I272" s="28">
        <f>IFERROR(INDEX(MgAmenDegC,MATCH(SUBSTITUTE($D272,"*","-"),MgAmenClave,0)),"No aplica")</f>
        <v/>
      </c>
      <c r="J272" s="28">
        <f>IFERROR(INDEX(MgAmenFrec,MATCH(SUBSTITUTE($D272,"*","-"),MgAmenClave,0)),"")</f>
        <v/>
      </c>
      <c r="K272" s="64">
        <f>IFERROR(INDEX(MgAmenCtrl,MATCH(SUBSTITUTE($D272,"*","-"),MgAmenClave,0)),"")</f>
        <v/>
      </c>
    </row>
    <row r="273" ht="75" customHeight="1" s="54">
      <c r="B273" s="28">
        <f>IFERROR(IF(INDEX('Amenazas MAGERIT'!$E23:$N23,MATCH($C$250,'Amenazas MAGERIT'!$E$5:$N$5,0))="Sí","Sí","No"),"No")</f>
        <v/>
      </c>
      <c r="C273" s="44">
        <f>TRIM(LEFT($C$248,FIND(" — ",$C$248)-1))</f>
        <v/>
      </c>
      <c r="D273" s="44">
        <f>'Amenazas MAGERIT'!$B23</f>
        <v/>
      </c>
      <c r="E273" s="64">
        <f>IFERROR(INDEX(MgAmenNombre,MATCH(SUBSTITUTE($D273,"*","-"),MgAmenClave,0)),"")</f>
        <v/>
      </c>
      <c r="F273" s="28">
        <f>IFERROR(INDEX(MgAmenGrupo,MATCH(SUBSTITUTE($D273,"*","-"),MgAmenClave,0)),"")</f>
        <v/>
      </c>
      <c r="G273" s="28">
        <f>IFERROR(INDEX(MgAmenDegD,MATCH(SUBSTITUTE($D273,"*","-"),MgAmenClave,0)),"No aplica")</f>
        <v/>
      </c>
      <c r="H273" s="28">
        <f>IFERROR(INDEX(MgAmenDegI,MATCH(SUBSTITUTE($D273,"*","-"),MgAmenClave,0)),"No aplica")</f>
        <v/>
      </c>
      <c r="I273" s="28">
        <f>IFERROR(INDEX(MgAmenDegC,MATCH(SUBSTITUTE($D273,"*","-"),MgAmenClave,0)),"No aplica")</f>
        <v/>
      </c>
      <c r="J273" s="28">
        <f>IFERROR(INDEX(MgAmenFrec,MATCH(SUBSTITUTE($D273,"*","-"),MgAmenClave,0)),"")</f>
        <v/>
      </c>
      <c r="K273" s="64">
        <f>IFERROR(INDEX(MgAmenCtrl,MATCH(SUBSTITUTE($D273,"*","-"),MgAmenClave,0)),"")</f>
        <v/>
      </c>
    </row>
    <row r="274" ht="75" customHeight="1" s="54">
      <c r="B274" s="28">
        <f>IFERROR(IF(INDEX('Amenazas MAGERIT'!$E24:$N24,MATCH($C$250,'Amenazas MAGERIT'!$E$5:$N$5,0))="Sí","Sí","No"),"No")</f>
        <v/>
      </c>
      <c r="C274" s="44">
        <f>TRIM(LEFT($C$248,FIND(" — ",$C$248)-1))</f>
        <v/>
      </c>
      <c r="D274" s="44">
        <f>'Amenazas MAGERIT'!$B24</f>
        <v/>
      </c>
      <c r="E274" s="64">
        <f>IFERROR(INDEX(MgAmenNombre,MATCH(SUBSTITUTE($D274,"*","-"),MgAmenClave,0)),"")</f>
        <v/>
      </c>
      <c r="F274" s="28">
        <f>IFERROR(INDEX(MgAmenGrupo,MATCH(SUBSTITUTE($D274,"*","-"),MgAmenClave,0)),"")</f>
        <v/>
      </c>
      <c r="G274" s="28">
        <f>IFERROR(INDEX(MgAmenDegD,MATCH(SUBSTITUTE($D274,"*","-"),MgAmenClave,0)),"No aplica")</f>
        <v/>
      </c>
      <c r="H274" s="28">
        <f>IFERROR(INDEX(MgAmenDegI,MATCH(SUBSTITUTE($D274,"*","-"),MgAmenClave,0)),"No aplica")</f>
        <v/>
      </c>
      <c r="I274" s="28">
        <f>IFERROR(INDEX(MgAmenDegC,MATCH(SUBSTITUTE($D274,"*","-"),MgAmenClave,0)),"No aplica")</f>
        <v/>
      </c>
      <c r="J274" s="28">
        <f>IFERROR(INDEX(MgAmenFrec,MATCH(SUBSTITUTE($D274,"*","-"),MgAmenClave,0)),"")</f>
        <v/>
      </c>
      <c r="K274" s="64">
        <f>IFERROR(INDEX(MgAmenCtrl,MATCH(SUBSTITUTE($D274,"*","-"),MgAmenClave,0)),"")</f>
        <v/>
      </c>
    </row>
    <row r="275" hidden="1" ht="150" customHeight="1" s="54">
      <c r="B275" s="28">
        <f>IFERROR(IF(INDEX('Amenazas MAGERIT'!$E25:$N25,MATCH($C$250,'Amenazas MAGERIT'!$E$5:$N$5,0))="Sí","Sí","No"),"No")</f>
        <v/>
      </c>
      <c r="C275" s="44">
        <f>TRIM(LEFT($C$248,FIND(" — ",$C$248)-1))</f>
        <v/>
      </c>
      <c r="D275" s="44">
        <f>'Amenazas MAGERIT'!$B25</f>
        <v/>
      </c>
      <c r="E275" s="64">
        <f>IFERROR(INDEX(MgAmenNombre,MATCH(SUBSTITUTE($D275,"*","-"),MgAmenClave,0)),"")</f>
        <v/>
      </c>
      <c r="F275" s="28">
        <f>IFERROR(INDEX(MgAmenGrupo,MATCH(SUBSTITUTE($D275,"*","-"),MgAmenClave,0)),"")</f>
        <v/>
      </c>
      <c r="G275" s="28">
        <f>IFERROR(INDEX(MgAmenDegD,MATCH(SUBSTITUTE($D275,"*","-"),MgAmenClave,0)),"No aplica")</f>
        <v/>
      </c>
      <c r="H275" s="28">
        <f>IFERROR(INDEX(MgAmenDegI,MATCH(SUBSTITUTE($D275,"*","-"),MgAmenClave,0)),"No aplica")</f>
        <v/>
      </c>
      <c r="I275" s="28">
        <f>IFERROR(INDEX(MgAmenDegC,MATCH(SUBSTITUTE($D275,"*","-"),MgAmenClave,0)),"No aplica")</f>
        <v/>
      </c>
      <c r="J275" s="28">
        <f>IFERROR(INDEX(MgAmenFrec,MATCH(SUBSTITUTE($D275,"*","-"),MgAmenClave,0)),"")</f>
        <v/>
      </c>
      <c r="K275" s="64">
        <f>IFERROR(INDEX(MgAmenCtrl,MATCH(SUBSTITUTE($D275,"*","-"),MgAmenClave,0)),"")</f>
        <v/>
      </c>
    </row>
    <row r="276" hidden="1" ht="75" customHeight="1" s="54">
      <c r="B276" s="28">
        <f>IFERROR(IF(INDEX('Amenazas MAGERIT'!$E26:$N26,MATCH($C$250,'Amenazas MAGERIT'!$E$5:$N$5,0))="Sí","Sí","No"),"No")</f>
        <v/>
      </c>
      <c r="C276" s="44">
        <f>TRIM(LEFT($C$248,FIND(" — ",$C$248)-1))</f>
        <v/>
      </c>
      <c r="D276" s="44">
        <f>'Amenazas MAGERIT'!$B26</f>
        <v/>
      </c>
      <c r="E276" s="64">
        <f>IFERROR(INDEX(MgAmenNombre,MATCH(SUBSTITUTE($D276,"*","-"),MgAmenClave,0)),"")</f>
        <v/>
      </c>
      <c r="F276" s="28">
        <f>IFERROR(INDEX(MgAmenGrupo,MATCH(SUBSTITUTE($D276,"*","-"),MgAmenClave,0)),"")</f>
        <v/>
      </c>
      <c r="G276" s="28">
        <f>IFERROR(INDEX(MgAmenDegD,MATCH(SUBSTITUTE($D276,"*","-"),MgAmenClave,0)),"No aplica")</f>
        <v/>
      </c>
      <c r="H276" s="28">
        <f>IFERROR(INDEX(MgAmenDegI,MATCH(SUBSTITUTE($D276,"*","-"),MgAmenClave,0)),"No aplica")</f>
        <v/>
      </c>
      <c r="I276" s="28">
        <f>IFERROR(INDEX(MgAmenDegC,MATCH(SUBSTITUTE($D276,"*","-"),MgAmenClave,0)),"No aplica")</f>
        <v/>
      </c>
      <c r="J276" s="28">
        <f>IFERROR(INDEX(MgAmenFrec,MATCH(SUBSTITUTE($D276,"*","-"),MgAmenClave,0)),"")</f>
        <v/>
      </c>
      <c r="K276" s="64">
        <f>IFERROR(INDEX(MgAmenCtrl,MATCH(SUBSTITUTE($D276,"*","-"),MgAmenClave,0)),"")</f>
        <v/>
      </c>
    </row>
    <row r="277" hidden="1" ht="60" customHeight="1" s="54">
      <c r="B277" s="28">
        <f>IFERROR(IF(INDEX('Amenazas MAGERIT'!$E27:$N27,MATCH($C$250,'Amenazas MAGERIT'!$E$5:$N$5,0))="Sí","Sí","No"),"No")</f>
        <v/>
      </c>
      <c r="C277" s="44">
        <f>TRIM(LEFT($C$248,FIND(" — ",$C$248)-1))</f>
        <v/>
      </c>
      <c r="D277" s="44">
        <f>'Amenazas MAGERIT'!$B27</f>
        <v/>
      </c>
      <c r="E277" s="64">
        <f>IFERROR(INDEX(MgAmenNombre,MATCH(SUBSTITUTE($D277,"*","-"),MgAmenClave,0)),"")</f>
        <v/>
      </c>
      <c r="F277" s="28">
        <f>IFERROR(INDEX(MgAmenGrupo,MATCH(SUBSTITUTE($D277,"*","-"),MgAmenClave,0)),"")</f>
        <v/>
      </c>
      <c r="G277" s="28">
        <f>IFERROR(INDEX(MgAmenDegD,MATCH(SUBSTITUTE($D277,"*","-"),MgAmenClave,0)),"No aplica")</f>
        <v/>
      </c>
      <c r="H277" s="28">
        <f>IFERROR(INDEX(MgAmenDegI,MATCH(SUBSTITUTE($D277,"*","-"),MgAmenClave,0)),"No aplica")</f>
        <v/>
      </c>
      <c r="I277" s="28">
        <f>IFERROR(INDEX(MgAmenDegC,MATCH(SUBSTITUTE($D277,"*","-"),MgAmenClave,0)),"No aplica")</f>
        <v/>
      </c>
      <c r="J277" s="28">
        <f>IFERROR(INDEX(MgAmenFrec,MATCH(SUBSTITUTE($D277,"*","-"),MgAmenClave,0)),"")</f>
        <v/>
      </c>
      <c r="K277" s="64">
        <f>IFERROR(INDEX(MgAmenCtrl,MATCH(SUBSTITUTE($D277,"*","-"),MgAmenClave,0)),"")</f>
        <v/>
      </c>
    </row>
    <row r="278" hidden="1" ht="90" customHeight="1" s="54">
      <c r="B278" s="28">
        <f>IFERROR(IF(INDEX('Amenazas MAGERIT'!$E28:$N28,MATCH($C$250,'Amenazas MAGERIT'!$E$5:$N$5,0))="Sí","Sí","No"),"No")</f>
        <v/>
      </c>
      <c r="C278" s="44">
        <f>TRIM(LEFT($C$248,FIND(" — ",$C$248)-1))</f>
        <v/>
      </c>
      <c r="D278" s="44">
        <f>'Amenazas MAGERIT'!$B28</f>
        <v/>
      </c>
      <c r="E278" s="64">
        <f>IFERROR(INDEX(MgAmenNombre,MATCH(SUBSTITUTE($D278,"*","-"),MgAmenClave,0)),"")</f>
        <v/>
      </c>
      <c r="F278" s="28">
        <f>IFERROR(INDEX(MgAmenGrupo,MATCH(SUBSTITUTE($D278,"*","-"),MgAmenClave,0)),"")</f>
        <v/>
      </c>
      <c r="G278" s="28">
        <f>IFERROR(INDEX(MgAmenDegD,MATCH(SUBSTITUTE($D278,"*","-"),MgAmenClave,0)),"No aplica")</f>
        <v/>
      </c>
      <c r="H278" s="28">
        <f>IFERROR(INDEX(MgAmenDegI,MATCH(SUBSTITUTE($D278,"*","-"),MgAmenClave,0)),"No aplica")</f>
        <v/>
      </c>
      <c r="I278" s="28">
        <f>IFERROR(INDEX(MgAmenDegC,MATCH(SUBSTITUTE($D278,"*","-"),MgAmenClave,0)),"No aplica")</f>
        <v/>
      </c>
      <c r="J278" s="28">
        <f>IFERROR(INDEX(MgAmenFrec,MATCH(SUBSTITUTE($D278,"*","-"),MgAmenClave,0)),"")</f>
        <v/>
      </c>
      <c r="K278" s="64">
        <f>IFERROR(INDEX(MgAmenCtrl,MATCH(SUBSTITUTE($D278,"*","-"),MgAmenClave,0)),"")</f>
        <v/>
      </c>
    </row>
    <row r="279" ht="90" customHeight="1" s="54">
      <c r="B279" s="28">
        <f>IFERROR(IF(INDEX('Amenazas MAGERIT'!$E29:$N29,MATCH($C$250,'Amenazas MAGERIT'!$E$5:$N$5,0))="Sí","Sí","No"),"No")</f>
        <v/>
      </c>
      <c r="C279" s="44">
        <f>TRIM(LEFT($C$248,FIND(" — ",$C$248)-1))</f>
        <v/>
      </c>
      <c r="D279" s="44">
        <f>'Amenazas MAGERIT'!$B29</f>
        <v/>
      </c>
      <c r="E279" s="64">
        <f>IFERROR(INDEX(MgAmenNombre,MATCH(SUBSTITUTE($D279,"*","-"),MgAmenClave,0)),"")</f>
        <v/>
      </c>
      <c r="F279" s="28">
        <f>IFERROR(INDEX(MgAmenGrupo,MATCH(SUBSTITUTE($D279,"*","-"),MgAmenClave,0)),"")</f>
        <v/>
      </c>
      <c r="G279" s="28">
        <f>IFERROR(INDEX(MgAmenDegD,MATCH(SUBSTITUTE($D279,"*","-"),MgAmenClave,0)),"No aplica")</f>
        <v/>
      </c>
      <c r="H279" s="28">
        <f>IFERROR(INDEX(MgAmenDegI,MATCH(SUBSTITUTE($D279,"*","-"),MgAmenClave,0)),"No aplica")</f>
        <v/>
      </c>
      <c r="I279" s="28">
        <f>IFERROR(INDEX(MgAmenDegC,MATCH(SUBSTITUTE($D279,"*","-"),MgAmenClave,0)),"No aplica")</f>
        <v/>
      </c>
      <c r="J279" s="28">
        <f>IFERROR(INDEX(MgAmenFrec,MATCH(SUBSTITUTE($D279,"*","-"),MgAmenClave,0)),"")</f>
        <v/>
      </c>
      <c r="K279" s="64">
        <f>IFERROR(INDEX(MgAmenCtrl,MATCH(SUBSTITUTE($D279,"*","-"),MgAmenClave,0)),"")</f>
        <v/>
      </c>
    </row>
    <row r="280" ht="90" customHeight="1" s="54">
      <c r="B280" s="28">
        <f>IFERROR(IF(INDEX('Amenazas MAGERIT'!$E30:$N30,MATCH($C$250,'Amenazas MAGERIT'!$E$5:$N$5,0))="Sí","Sí","No"),"No")</f>
        <v/>
      </c>
      <c r="C280" s="44">
        <f>TRIM(LEFT($C$248,FIND(" — ",$C$248)-1))</f>
        <v/>
      </c>
      <c r="D280" s="44">
        <f>'Amenazas MAGERIT'!$B30</f>
        <v/>
      </c>
      <c r="E280" s="64">
        <f>IFERROR(INDEX(MgAmenNombre,MATCH(SUBSTITUTE($D280,"*","-"),MgAmenClave,0)),"")</f>
        <v/>
      </c>
      <c r="F280" s="28">
        <f>IFERROR(INDEX(MgAmenGrupo,MATCH(SUBSTITUTE($D280,"*","-"),MgAmenClave,0)),"")</f>
        <v/>
      </c>
      <c r="G280" s="28">
        <f>IFERROR(INDEX(MgAmenDegD,MATCH(SUBSTITUTE($D280,"*","-"),MgAmenClave,0)),"No aplica")</f>
        <v/>
      </c>
      <c r="H280" s="28">
        <f>IFERROR(INDEX(MgAmenDegI,MATCH(SUBSTITUTE($D280,"*","-"),MgAmenClave,0)),"No aplica")</f>
        <v/>
      </c>
      <c r="I280" s="28">
        <f>IFERROR(INDEX(MgAmenDegC,MATCH(SUBSTITUTE($D280,"*","-"),MgAmenClave,0)),"No aplica")</f>
        <v/>
      </c>
      <c r="J280" s="28">
        <f>IFERROR(INDEX(MgAmenFrec,MATCH(SUBSTITUTE($D280,"*","-"),MgAmenClave,0)),"")</f>
        <v/>
      </c>
      <c r="K280" s="64">
        <f>IFERROR(INDEX(MgAmenCtrl,MATCH(SUBSTITUTE($D280,"*","-"),MgAmenClave,0)),"")</f>
        <v/>
      </c>
    </row>
    <row r="281" ht="60" customHeight="1" s="54">
      <c r="B281" s="28">
        <f>IFERROR(IF(INDEX('Amenazas MAGERIT'!$E31:$N31,MATCH($C$250,'Amenazas MAGERIT'!$E$5:$N$5,0))="Sí","Sí","No"),"No")</f>
        <v/>
      </c>
      <c r="C281" s="44">
        <f>TRIM(LEFT($C$248,FIND(" — ",$C$248)-1))</f>
        <v/>
      </c>
      <c r="D281" s="44">
        <f>'Amenazas MAGERIT'!$B31</f>
        <v/>
      </c>
      <c r="E281" s="64">
        <f>IFERROR(INDEX(MgAmenNombre,MATCH(SUBSTITUTE($D281,"*","-"),MgAmenClave,0)),"")</f>
        <v/>
      </c>
      <c r="F281" s="28">
        <f>IFERROR(INDEX(MgAmenGrupo,MATCH(SUBSTITUTE($D281,"*","-"),MgAmenClave,0)),"")</f>
        <v/>
      </c>
      <c r="G281" s="28">
        <f>IFERROR(INDEX(MgAmenDegD,MATCH(SUBSTITUTE($D281,"*","-"),MgAmenClave,0)),"No aplica")</f>
        <v/>
      </c>
      <c r="H281" s="28">
        <f>IFERROR(INDEX(MgAmenDegI,MATCH(SUBSTITUTE($D281,"*","-"),MgAmenClave,0)),"No aplica")</f>
        <v/>
      </c>
      <c r="I281" s="28">
        <f>IFERROR(INDEX(MgAmenDegC,MATCH(SUBSTITUTE($D281,"*","-"),MgAmenClave,0)),"No aplica")</f>
        <v/>
      </c>
      <c r="J281" s="28">
        <f>IFERROR(INDEX(MgAmenFrec,MATCH(SUBSTITUTE($D281,"*","-"),MgAmenClave,0)),"")</f>
        <v/>
      </c>
      <c r="K281" s="64">
        <f>IFERROR(INDEX(MgAmenCtrl,MATCH(SUBSTITUTE($D281,"*","-"),MgAmenClave,0)),"")</f>
        <v/>
      </c>
    </row>
    <row r="282" ht="105" customHeight="1" s="54">
      <c r="B282" s="28">
        <f>IFERROR(IF(INDEX('Amenazas MAGERIT'!$E32:$N32,MATCH($C$250,'Amenazas MAGERIT'!$E$5:$N$5,0))="Sí","Sí","No"),"No")</f>
        <v/>
      </c>
      <c r="C282" s="44">
        <f>TRIM(LEFT($C$248,FIND(" — ",$C$248)-1))</f>
        <v/>
      </c>
      <c r="D282" s="44">
        <f>'Amenazas MAGERIT'!$B32</f>
        <v/>
      </c>
      <c r="E282" s="64">
        <f>IFERROR(INDEX(MgAmenNombre,MATCH(SUBSTITUTE($D282,"*","-"),MgAmenClave,0)),"")</f>
        <v/>
      </c>
      <c r="F282" s="28">
        <f>IFERROR(INDEX(MgAmenGrupo,MATCH(SUBSTITUTE($D282,"*","-"),MgAmenClave,0)),"")</f>
        <v/>
      </c>
      <c r="G282" s="28">
        <f>IFERROR(INDEX(MgAmenDegD,MATCH(SUBSTITUTE($D282,"*","-"),MgAmenClave,0)),"No aplica")</f>
        <v/>
      </c>
      <c r="H282" s="28">
        <f>IFERROR(INDEX(MgAmenDegI,MATCH(SUBSTITUTE($D282,"*","-"),MgAmenClave,0)),"No aplica")</f>
        <v/>
      </c>
      <c r="I282" s="28">
        <f>IFERROR(INDEX(MgAmenDegC,MATCH(SUBSTITUTE($D282,"*","-"),MgAmenClave,0)),"No aplica")</f>
        <v/>
      </c>
      <c r="J282" s="28">
        <f>IFERROR(INDEX(MgAmenFrec,MATCH(SUBSTITUTE($D282,"*","-"),MgAmenClave,0)),"")</f>
        <v/>
      </c>
      <c r="K282" s="64">
        <f>IFERROR(INDEX(MgAmenCtrl,MATCH(SUBSTITUTE($D282,"*","-"),MgAmenClave,0)),"")</f>
        <v/>
      </c>
    </row>
    <row r="283" hidden="1" ht="105" customHeight="1" s="54">
      <c r="B283" s="28">
        <f>IFERROR(IF(INDEX('Amenazas MAGERIT'!$E33:$N33,MATCH($C$250,'Amenazas MAGERIT'!$E$5:$N$5,0))="Sí","Sí","No"),"No")</f>
        <v/>
      </c>
      <c r="C283" s="44">
        <f>TRIM(LEFT($C$248,FIND(" — ",$C$248)-1))</f>
        <v/>
      </c>
      <c r="D283" s="44">
        <f>'Amenazas MAGERIT'!$B33</f>
        <v/>
      </c>
      <c r="E283" s="64">
        <f>IFERROR(INDEX(MgAmenNombre,MATCH(SUBSTITUTE($D283,"*","-"),MgAmenClave,0)),"")</f>
        <v/>
      </c>
      <c r="F283" s="28">
        <f>IFERROR(INDEX(MgAmenGrupo,MATCH(SUBSTITUTE($D283,"*","-"),MgAmenClave,0)),"")</f>
        <v/>
      </c>
      <c r="G283" s="28">
        <f>IFERROR(INDEX(MgAmenDegD,MATCH(SUBSTITUTE($D283,"*","-"),MgAmenClave,0)),"No aplica")</f>
        <v/>
      </c>
      <c r="H283" s="28">
        <f>IFERROR(INDEX(MgAmenDegI,MATCH(SUBSTITUTE($D283,"*","-"),MgAmenClave,0)),"No aplica")</f>
        <v/>
      </c>
      <c r="I283" s="28">
        <f>IFERROR(INDEX(MgAmenDegC,MATCH(SUBSTITUTE($D283,"*","-"),MgAmenClave,0)),"No aplica")</f>
        <v/>
      </c>
      <c r="J283" s="28">
        <f>IFERROR(INDEX(MgAmenFrec,MATCH(SUBSTITUTE($D283,"*","-"),MgAmenClave,0)),"")</f>
        <v/>
      </c>
      <c r="K283" s="64">
        <f>IFERROR(INDEX(MgAmenCtrl,MATCH(SUBSTITUTE($D283,"*","-"),MgAmenClave,0)),"")</f>
        <v/>
      </c>
    </row>
    <row r="284" hidden="1" ht="75" customHeight="1" s="54">
      <c r="B284" s="28">
        <f>IFERROR(IF(INDEX('Amenazas MAGERIT'!$E34:$N34,MATCH($C$250,'Amenazas MAGERIT'!$E$5:$N$5,0))="Sí","Sí","No"),"No")</f>
        <v/>
      </c>
      <c r="C284" s="44">
        <f>TRIM(LEFT($C$248,FIND(" — ",$C$248)-1))</f>
        <v/>
      </c>
      <c r="D284" s="44">
        <f>'Amenazas MAGERIT'!$B34</f>
        <v/>
      </c>
      <c r="E284" s="64">
        <f>IFERROR(INDEX(MgAmenNombre,MATCH(SUBSTITUTE($D284,"*","-"),MgAmenClave,0)),"")</f>
        <v/>
      </c>
      <c r="F284" s="28">
        <f>IFERROR(INDEX(MgAmenGrupo,MATCH(SUBSTITUTE($D284,"*","-"),MgAmenClave,0)),"")</f>
        <v/>
      </c>
      <c r="G284" s="28">
        <f>IFERROR(INDEX(MgAmenDegD,MATCH(SUBSTITUTE($D284,"*","-"),MgAmenClave,0)),"No aplica")</f>
        <v/>
      </c>
      <c r="H284" s="28">
        <f>IFERROR(INDEX(MgAmenDegI,MATCH(SUBSTITUTE($D284,"*","-"),MgAmenClave,0)),"No aplica")</f>
        <v/>
      </c>
      <c r="I284" s="28">
        <f>IFERROR(INDEX(MgAmenDegC,MATCH(SUBSTITUTE($D284,"*","-"),MgAmenClave,0)),"No aplica")</f>
        <v/>
      </c>
      <c r="J284" s="28">
        <f>IFERROR(INDEX(MgAmenFrec,MATCH(SUBSTITUTE($D284,"*","-"),MgAmenClave,0)),"")</f>
        <v/>
      </c>
      <c r="K284" s="64">
        <f>IFERROR(INDEX(MgAmenCtrl,MATCH(SUBSTITUTE($D284,"*","-"),MgAmenClave,0)),"")</f>
        <v/>
      </c>
    </row>
    <row r="285" hidden="1" ht="45" customHeight="1" s="54">
      <c r="B285" s="28">
        <f>IFERROR(IF(INDEX('Amenazas MAGERIT'!$E35:$N35,MATCH($C$250,'Amenazas MAGERIT'!$E$5:$N$5,0))="Sí","Sí","No"),"No")</f>
        <v/>
      </c>
      <c r="C285" s="44">
        <f>TRIM(LEFT($C$248,FIND(" — ",$C$248)-1))</f>
        <v/>
      </c>
      <c r="D285" s="44">
        <f>'Amenazas MAGERIT'!$B35</f>
        <v/>
      </c>
      <c r="E285" s="64">
        <f>IFERROR(INDEX(MgAmenNombre,MATCH(SUBSTITUTE($D285,"*","-"),MgAmenClave,0)),"")</f>
        <v/>
      </c>
      <c r="F285" s="28">
        <f>IFERROR(INDEX(MgAmenGrupo,MATCH(SUBSTITUTE($D285,"*","-"),MgAmenClave,0)),"")</f>
        <v/>
      </c>
      <c r="G285" s="28">
        <f>IFERROR(INDEX(MgAmenDegD,MATCH(SUBSTITUTE($D285,"*","-"),MgAmenClave,0)),"No aplica")</f>
        <v/>
      </c>
      <c r="H285" s="28">
        <f>IFERROR(INDEX(MgAmenDegI,MATCH(SUBSTITUTE($D285,"*","-"),MgAmenClave,0)),"No aplica")</f>
        <v/>
      </c>
      <c r="I285" s="28">
        <f>IFERROR(INDEX(MgAmenDegC,MATCH(SUBSTITUTE($D285,"*","-"),MgAmenClave,0)),"No aplica")</f>
        <v/>
      </c>
      <c r="J285" s="28">
        <f>IFERROR(INDEX(MgAmenFrec,MATCH(SUBSTITUTE($D285,"*","-"),MgAmenClave,0)),"")</f>
        <v/>
      </c>
      <c r="K285" s="64">
        <f>IFERROR(INDEX(MgAmenCtrl,MATCH(SUBSTITUTE($D285,"*","-"),MgAmenClave,0)),"")</f>
        <v/>
      </c>
    </row>
    <row r="286" hidden="1" ht="45" customHeight="1" s="54">
      <c r="B286" s="28">
        <f>IFERROR(IF(INDEX('Amenazas MAGERIT'!$E36:$N36,MATCH($C$250,'Amenazas MAGERIT'!$E$5:$N$5,0))="Sí","Sí","No"),"No")</f>
        <v/>
      </c>
      <c r="C286" s="44">
        <f>TRIM(LEFT($C$248,FIND(" — ",$C$248)-1))</f>
        <v/>
      </c>
      <c r="D286" s="44">
        <f>'Amenazas MAGERIT'!$B36</f>
        <v/>
      </c>
      <c r="E286" s="64">
        <f>IFERROR(INDEX(MgAmenNombre,MATCH(SUBSTITUTE($D286,"*","-"),MgAmenClave,0)),"")</f>
        <v/>
      </c>
      <c r="F286" s="28">
        <f>IFERROR(INDEX(MgAmenGrupo,MATCH(SUBSTITUTE($D286,"*","-"),MgAmenClave,0)),"")</f>
        <v/>
      </c>
      <c r="G286" s="28">
        <f>IFERROR(INDEX(MgAmenDegD,MATCH(SUBSTITUTE($D286,"*","-"),MgAmenClave,0)),"No aplica")</f>
        <v/>
      </c>
      <c r="H286" s="28">
        <f>IFERROR(INDEX(MgAmenDegI,MATCH(SUBSTITUTE($D286,"*","-"),MgAmenClave,0)),"No aplica")</f>
        <v/>
      </c>
      <c r="I286" s="28">
        <f>IFERROR(INDEX(MgAmenDegC,MATCH(SUBSTITUTE($D286,"*","-"),MgAmenClave,0)),"No aplica")</f>
        <v/>
      </c>
      <c r="J286" s="28">
        <f>IFERROR(INDEX(MgAmenFrec,MATCH(SUBSTITUTE($D286,"*","-"),MgAmenClave,0)),"")</f>
        <v/>
      </c>
      <c r="K286" s="64">
        <f>IFERROR(INDEX(MgAmenCtrl,MATCH(SUBSTITUTE($D286,"*","-"),MgAmenClave,0)),"")</f>
        <v/>
      </c>
    </row>
    <row r="287" hidden="1" ht="75" customHeight="1" s="54">
      <c r="B287" s="28">
        <f>IFERROR(IF(INDEX('Amenazas MAGERIT'!$E37:$N37,MATCH($C$250,'Amenazas MAGERIT'!$E$5:$N$5,0))="Sí","Sí","No"),"No")</f>
        <v/>
      </c>
      <c r="C287" s="44">
        <f>TRIM(LEFT($C$248,FIND(" — ",$C$248)-1))</f>
        <v/>
      </c>
      <c r="D287" s="44">
        <f>'Amenazas MAGERIT'!$B37</f>
        <v/>
      </c>
      <c r="E287" s="64">
        <f>IFERROR(INDEX(MgAmenNombre,MATCH(SUBSTITUTE($D287,"*","-"),MgAmenClave,0)),"")</f>
        <v/>
      </c>
      <c r="F287" s="28">
        <f>IFERROR(INDEX(MgAmenGrupo,MATCH(SUBSTITUTE($D287,"*","-"),MgAmenClave,0)),"")</f>
        <v/>
      </c>
      <c r="G287" s="28">
        <f>IFERROR(INDEX(MgAmenDegD,MATCH(SUBSTITUTE($D287,"*","-"),MgAmenClave,0)),"No aplica")</f>
        <v/>
      </c>
      <c r="H287" s="28">
        <f>IFERROR(INDEX(MgAmenDegI,MATCH(SUBSTITUTE($D287,"*","-"),MgAmenClave,0)),"No aplica")</f>
        <v/>
      </c>
      <c r="I287" s="28">
        <f>IFERROR(INDEX(MgAmenDegC,MATCH(SUBSTITUTE($D287,"*","-"),MgAmenClave,0)),"No aplica")</f>
        <v/>
      </c>
      <c r="J287" s="28">
        <f>IFERROR(INDEX(MgAmenFrec,MATCH(SUBSTITUTE($D287,"*","-"),MgAmenClave,0)),"")</f>
        <v/>
      </c>
      <c r="K287" s="64">
        <f>IFERROR(INDEX(MgAmenCtrl,MATCH(SUBSTITUTE($D287,"*","-"),MgAmenClave,0)),"")</f>
        <v/>
      </c>
    </row>
    <row r="288" hidden="1" ht="135" customHeight="1" s="54">
      <c r="B288" s="28">
        <f>IFERROR(IF(INDEX('Amenazas MAGERIT'!$E38:$N38,MATCH($C$250,'Amenazas MAGERIT'!$E$5:$N$5,0))="Sí","Sí","No"),"No")</f>
        <v/>
      </c>
      <c r="C288" s="44">
        <f>TRIM(LEFT($C$248,FIND(" — ",$C$248)-1))</f>
        <v/>
      </c>
      <c r="D288" s="44">
        <f>'Amenazas MAGERIT'!$B38</f>
        <v/>
      </c>
      <c r="E288" s="64">
        <f>IFERROR(INDEX(MgAmenNombre,MATCH(SUBSTITUTE($D288,"*","-"),MgAmenClave,0)),"")</f>
        <v/>
      </c>
      <c r="F288" s="28">
        <f>IFERROR(INDEX(MgAmenGrupo,MATCH(SUBSTITUTE($D288,"*","-"),MgAmenClave,0)),"")</f>
        <v/>
      </c>
      <c r="G288" s="28">
        <f>IFERROR(INDEX(MgAmenDegD,MATCH(SUBSTITUTE($D288,"*","-"),MgAmenClave,0)),"No aplica")</f>
        <v/>
      </c>
      <c r="H288" s="28">
        <f>IFERROR(INDEX(MgAmenDegI,MATCH(SUBSTITUTE($D288,"*","-"),MgAmenClave,0)),"No aplica")</f>
        <v/>
      </c>
      <c r="I288" s="28">
        <f>IFERROR(INDEX(MgAmenDegC,MATCH(SUBSTITUTE($D288,"*","-"),MgAmenClave,0)),"No aplica")</f>
        <v/>
      </c>
      <c r="J288" s="28">
        <f>IFERROR(INDEX(MgAmenFrec,MATCH(SUBSTITUTE($D288,"*","-"),MgAmenClave,0)),"")</f>
        <v/>
      </c>
      <c r="K288" s="64">
        <f>IFERROR(INDEX(MgAmenCtrl,MATCH(SUBSTITUTE($D288,"*","-"),MgAmenClave,0)),"")</f>
        <v/>
      </c>
    </row>
    <row r="289" ht="60" customHeight="1" s="54">
      <c r="B289" s="28">
        <f>IFERROR(IF(INDEX('Amenazas MAGERIT'!$E39:$N39,MATCH($C$250,'Amenazas MAGERIT'!$E$5:$N$5,0))="Sí","Sí","No"),"No")</f>
        <v/>
      </c>
      <c r="C289" s="44">
        <f>TRIM(LEFT($C$248,FIND(" — ",$C$248)-1))</f>
        <v/>
      </c>
      <c r="D289" s="44">
        <f>'Amenazas MAGERIT'!$B39</f>
        <v/>
      </c>
      <c r="E289" s="64">
        <f>IFERROR(INDEX(MgAmenNombre,MATCH(SUBSTITUTE($D289,"*","-"),MgAmenClave,0)),"")</f>
        <v/>
      </c>
      <c r="F289" s="28">
        <f>IFERROR(INDEX(MgAmenGrupo,MATCH(SUBSTITUTE($D289,"*","-"),MgAmenClave,0)),"")</f>
        <v/>
      </c>
      <c r="G289" s="28">
        <f>IFERROR(INDEX(MgAmenDegD,MATCH(SUBSTITUTE($D289,"*","-"),MgAmenClave,0)),"No aplica")</f>
        <v/>
      </c>
      <c r="H289" s="28">
        <f>IFERROR(INDEX(MgAmenDegI,MATCH(SUBSTITUTE($D289,"*","-"),MgAmenClave,0)),"No aplica")</f>
        <v/>
      </c>
      <c r="I289" s="28">
        <f>IFERROR(INDEX(MgAmenDegC,MATCH(SUBSTITUTE($D289,"*","-"),MgAmenClave,0)),"No aplica")</f>
        <v/>
      </c>
      <c r="J289" s="28">
        <f>IFERROR(INDEX(MgAmenFrec,MATCH(SUBSTITUTE($D289,"*","-"),MgAmenClave,0)),"")</f>
        <v/>
      </c>
      <c r="K289" s="64">
        <f>IFERROR(INDEX(MgAmenCtrl,MATCH(SUBSTITUTE($D289,"*","-"),MgAmenClave,0)),"")</f>
        <v/>
      </c>
    </row>
    <row r="290" ht="60" customHeight="1" s="54">
      <c r="B290" s="28">
        <f>IFERROR(IF(INDEX('Amenazas MAGERIT'!$E40:$N40,MATCH($C$250,'Amenazas MAGERIT'!$E$5:$N$5,0))="Sí","Sí","No"),"No")</f>
        <v/>
      </c>
      <c r="C290" s="44">
        <f>TRIM(LEFT($C$248,FIND(" — ",$C$248)-1))</f>
        <v/>
      </c>
      <c r="D290" s="44">
        <f>'Amenazas MAGERIT'!$B40</f>
        <v/>
      </c>
      <c r="E290" s="64">
        <f>IFERROR(INDEX(MgAmenNombre,MATCH(SUBSTITUTE($D290,"*","-"),MgAmenClave,0)),"")</f>
        <v/>
      </c>
      <c r="F290" s="28">
        <f>IFERROR(INDEX(MgAmenGrupo,MATCH(SUBSTITUTE($D290,"*","-"),MgAmenClave,0)),"")</f>
        <v/>
      </c>
      <c r="G290" s="28">
        <f>IFERROR(INDEX(MgAmenDegD,MATCH(SUBSTITUTE($D290,"*","-"),MgAmenClave,0)),"No aplica")</f>
        <v/>
      </c>
      <c r="H290" s="28">
        <f>IFERROR(INDEX(MgAmenDegI,MATCH(SUBSTITUTE($D290,"*","-"),MgAmenClave,0)),"No aplica")</f>
        <v/>
      </c>
      <c r="I290" s="28">
        <f>IFERROR(INDEX(MgAmenDegC,MATCH(SUBSTITUTE($D290,"*","-"),MgAmenClave,0)),"No aplica")</f>
        <v/>
      </c>
      <c r="J290" s="28">
        <f>IFERROR(INDEX(MgAmenFrec,MATCH(SUBSTITUTE($D290,"*","-"),MgAmenClave,0)),"")</f>
        <v/>
      </c>
      <c r="K290" s="64">
        <f>IFERROR(INDEX(MgAmenCtrl,MATCH(SUBSTITUTE($D290,"*","-"),MgAmenClave,0)),"")</f>
        <v/>
      </c>
    </row>
    <row r="291" ht="75" customHeight="1" s="54">
      <c r="B291" s="28">
        <f>IFERROR(IF(INDEX('Amenazas MAGERIT'!$E41:$N41,MATCH($C$250,'Amenazas MAGERIT'!$E$5:$N$5,0))="Sí","Sí","No"),"No")</f>
        <v/>
      </c>
      <c r="C291" s="44">
        <f>TRIM(LEFT($C$248,FIND(" — ",$C$248)-1))</f>
        <v/>
      </c>
      <c r="D291" s="44">
        <f>'Amenazas MAGERIT'!$B41</f>
        <v/>
      </c>
      <c r="E291" s="64">
        <f>IFERROR(INDEX(MgAmenNombre,MATCH(SUBSTITUTE($D291,"*","-"),MgAmenClave,0)),"")</f>
        <v/>
      </c>
      <c r="F291" s="28">
        <f>IFERROR(INDEX(MgAmenGrupo,MATCH(SUBSTITUTE($D291,"*","-"),MgAmenClave,0)),"")</f>
        <v/>
      </c>
      <c r="G291" s="28">
        <f>IFERROR(INDEX(MgAmenDegD,MATCH(SUBSTITUTE($D291,"*","-"),MgAmenClave,0)),"No aplica")</f>
        <v/>
      </c>
      <c r="H291" s="28">
        <f>IFERROR(INDEX(MgAmenDegI,MATCH(SUBSTITUTE($D291,"*","-"),MgAmenClave,0)),"No aplica")</f>
        <v/>
      </c>
      <c r="I291" s="28">
        <f>IFERROR(INDEX(MgAmenDegC,MATCH(SUBSTITUTE($D291,"*","-"),MgAmenClave,0)),"No aplica")</f>
        <v/>
      </c>
      <c r="J291" s="28">
        <f>IFERROR(INDEX(MgAmenFrec,MATCH(SUBSTITUTE($D291,"*","-"),MgAmenClave,0)),"")</f>
        <v/>
      </c>
      <c r="K291" s="64">
        <f>IFERROR(INDEX(MgAmenCtrl,MATCH(SUBSTITUTE($D291,"*","-"),MgAmenClave,0)),"")</f>
        <v/>
      </c>
    </row>
    <row r="292" ht="105" customHeight="1" s="54">
      <c r="B292" s="28">
        <f>IFERROR(IF(INDEX('Amenazas MAGERIT'!$E42:$N42,MATCH($C$250,'Amenazas MAGERIT'!$E$5:$N$5,0))="Sí","Sí","No"),"No")</f>
        <v/>
      </c>
      <c r="C292" s="44">
        <f>TRIM(LEFT($C$248,FIND(" — ",$C$248)-1))</f>
        <v/>
      </c>
      <c r="D292" s="44">
        <f>'Amenazas MAGERIT'!$B42</f>
        <v/>
      </c>
      <c r="E292" s="64">
        <f>IFERROR(INDEX(MgAmenNombre,MATCH(SUBSTITUTE($D292,"*","-"),MgAmenClave,0)),"")</f>
        <v/>
      </c>
      <c r="F292" s="28">
        <f>IFERROR(INDEX(MgAmenGrupo,MATCH(SUBSTITUTE($D292,"*","-"),MgAmenClave,0)),"")</f>
        <v/>
      </c>
      <c r="G292" s="28">
        <f>IFERROR(INDEX(MgAmenDegD,MATCH(SUBSTITUTE($D292,"*","-"),MgAmenClave,0)),"No aplica")</f>
        <v/>
      </c>
      <c r="H292" s="28">
        <f>IFERROR(INDEX(MgAmenDegI,MATCH(SUBSTITUTE($D292,"*","-"),MgAmenClave,0)),"No aplica")</f>
        <v/>
      </c>
      <c r="I292" s="28">
        <f>IFERROR(INDEX(MgAmenDegC,MATCH(SUBSTITUTE($D292,"*","-"),MgAmenClave,0)),"No aplica")</f>
        <v/>
      </c>
      <c r="J292" s="28">
        <f>IFERROR(INDEX(MgAmenFrec,MATCH(SUBSTITUTE($D292,"*","-"),MgAmenClave,0)),"")</f>
        <v/>
      </c>
      <c r="K292" s="64">
        <f>IFERROR(INDEX(MgAmenCtrl,MATCH(SUBSTITUTE($D292,"*","-"),MgAmenClave,0)),"")</f>
        <v/>
      </c>
    </row>
    <row r="293" hidden="1" ht="60" customHeight="1" s="54">
      <c r="B293" s="28">
        <f>IFERROR(IF(INDEX('Amenazas MAGERIT'!$E43:$N43,MATCH($C$250,'Amenazas MAGERIT'!$E$5:$N$5,0))="Sí","Sí","No"),"No")</f>
        <v/>
      </c>
      <c r="C293" s="44">
        <f>TRIM(LEFT($C$248,FIND(" — ",$C$248)-1))</f>
        <v/>
      </c>
      <c r="D293" s="44">
        <f>'Amenazas MAGERIT'!$B43</f>
        <v/>
      </c>
      <c r="E293" s="64">
        <f>IFERROR(INDEX(MgAmenNombre,MATCH(SUBSTITUTE($D293,"*","-"),MgAmenClave,0)),"")</f>
        <v/>
      </c>
      <c r="F293" s="28">
        <f>IFERROR(INDEX(MgAmenGrupo,MATCH(SUBSTITUTE($D293,"*","-"),MgAmenClave,0)),"")</f>
        <v/>
      </c>
      <c r="G293" s="28">
        <f>IFERROR(INDEX(MgAmenDegD,MATCH(SUBSTITUTE($D293,"*","-"),MgAmenClave,0)),"No aplica")</f>
        <v/>
      </c>
      <c r="H293" s="28">
        <f>IFERROR(INDEX(MgAmenDegI,MATCH(SUBSTITUTE($D293,"*","-"),MgAmenClave,0)),"No aplica")</f>
        <v/>
      </c>
      <c r="I293" s="28">
        <f>IFERROR(INDEX(MgAmenDegC,MATCH(SUBSTITUTE($D293,"*","-"),MgAmenClave,0)),"No aplica")</f>
        <v/>
      </c>
      <c r="J293" s="28">
        <f>IFERROR(INDEX(MgAmenFrec,MATCH(SUBSTITUTE($D293,"*","-"),MgAmenClave,0)),"")</f>
        <v/>
      </c>
      <c r="K293" s="64">
        <f>IFERROR(INDEX(MgAmenCtrl,MATCH(SUBSTITUTE($D293,"*","-"),MgAmenClave,0)),"")</f>
        <v/>
      </c>
    </row>
    <row r="294" hidden="1" ht="120" customHeight="1" s="54">
      <c r="B294" s="28">
        <f>IFERROR(IF(INDEX('Amenazas MAGERIT'!$E44:$N44,MATCH($C$250,'Amenazas MAGERIT'!$E$5:$N$5,0))="Sí","Sí","No"),"No")</f>
        <v/>
      </c>
      <c r="C294" s="44">
        <f>TRIM(LEFT($C$248,FIND(" — ",$C$248)-1))</f>
        <v/>
      </c>
      <c r="D294" s="44">
        <f>'Amenazas MAGERIT'!$B44</f>
        <v/>
      </c>
      <c r="E294" s="64">
        <f>IFERROR(INDEX(MgAmenNombre,MATCH(SUBSTITUTE($D294,"*","-"),MgAmenClave,0)),"")</f>
        <v/>
      </c>
      <c r="F294" s="28">
        <f>IFERROR(INDEX(MgAmenGrupo,MATCH(SUBSTITUTE($D294,"*","-"),MgAmenClave,0)),"")</f>
        <v/>
      </c>
      <c r="G294" s="28">
        <f>IFERROR(INDEX(MgAmenDegD,MATCH(SUBSTITUTE($D294,"*","-"),MgAmenClave,0)),"No aplica")</f>
        <v/>
      </c>
      <c r="H294" s="28">
        <f>IFERROR(INDEX(MgAmenDegI,MATCH(SUBSTITUTE($D294,"*","-"),MgAmenClave,0)),"No aplica")</f>
        <v/>
      </c>
      <c r="I294" s="28">
        <f>IFERROR(INDEX(MgAmenDegC,MATCH(SUBSTITUTE($D294,"*","-"),MgAmenClave,0)),"No aplica")</f>
        <v/>
      </c>
      <c r="J294" s="28">
        <f>IFERROR(INDEX(MgAmenFrec,MATCH(SUBSTITUTE($D294,"*","-"),MgAmenClave,0)),"")</f>
        <v/>
      </c>
      <c r="K294" s="64">
        <f>IFERROR(INDEX(MgAmenCtrl,MATCH(SUBSTITUTE($D294,"*","-"),MgAmenClave,0)),"")</f>
        <v/>
      </c>
    </row>
    <row r="295" hidden="1" ht="60" customHeight="1" s="54">
      <c r="B295" s="28">
        <f>IFERROR(IF(INDEX('Amenazas MAGERIT'!$E45:$N45,MATCH($C$250,'Amenazas MAGERIT'!$E$5:$N$5,0))="Sí","Sí","No"),"No")</f>
        <v/>
      </c>
      <c r="C295" s="44">
        <f>TRIM(LEFT($C$248,FIND(" — ",$C$248)-1))</f>
        <v/>
      </c>
      <c r="D295" s="44">
        <f>'Amenazas MAGERIT'!$B45</f>
        <v/>
      </c>
      <c r="E295" s="64">
        <f>IFERROR(INDEX(MgAmenNombre,MATCH(SUBSTITUTE($D295,"*","-"),MgAmenClave,0)),"")</f>
        <v/>
      </c>
      <c r="F295" s="28">
        <f>IFERROR(INDEX(MgAmenGrupo,MATCH(SUBSTITUTE($D295,"*","-"),MgAmenClave,0)),"")</f>
        <v/>
      </c>
      <c r="G295" s="28">
        <f>IFERROR(INDEX(MgAmenDegD,MATCH(SUBSTITUTE($D295,"*","-"),MgAmenClave,0)),"No aplica")</f>
        <v/>
      </c>
      <c r="H295" s="28">
        <f>IFERROR(INDEX(MgAmenDegI,MATCH(SUBSTITUTE($D295,"*","-"),MgAmenClave,0)),"No aplica")</f>
        <v/>
      </c>
      <c r="I295" s="28">
        <f>IFERROR(INDEX(MgAmenDegC,MATCH(SUBSTITUTE($D295,"*","-"),MgAmenClave,0)),"No aplica")</f>
        <v/>
      </c>
      <c r="J295" s="28">
        <f>IFERROR(INDEX(MgAmenFrec,MATCH(SUBSTITUTE($D295,"*","-"),MgAmenClave,0)),"")</f>
        <v/>
      </c>
      <c r="K295" s="64">
        <f>IFERROR(INDEX(MgAmenCtrl,MATCH(SUBSTITUTE($D295,"*","-"),MgAmenClave,0)),"")</f>
        <v/>
      </c>
    </row>
    <row r="296" hidden="1" ht="45" customHeight="1" s="54">
      <c r="B296" s="28">
        <f>IFERROR(IF(INDEX('Amenazas MAGERIT'!$E46:$N46,MATCH($C$250,'Amenazas MAGERIT'!$E$5:$N$5,0))="Sí","Sí","No"),"No")</f>
        <v/>
      </c>
      <c r="C296" s="44">
        <f>TRIM(LEFT($C$248,FIND(" — ",$C$248)-1))</f>
        <v/>
      </c>
      <c r="D296" s="44">
        <f>'Amenazas MAGERIT'!$B46</f>
        <v/>
      </c>
      <c r="E296" s="64">
        <f>IFERROR(INDEX(MgAmenNombre,MATCH(SUBSTITUTE($D296,"*","-"),MgAmenClave,0)),"")</f>
        <v/>
      </c>
      <c r="F296" s="28">
        <f>IFERROR(INDEX(MgAmenGrupo,MATCH(SUBSTITUTE($D296,"*","-"),MgAmenClave,0)),"")</f>
        <v/>
      </c>
      <c r="G296" s="28">
        <f>IFERROR(INDEX(MgAmenDegD,MATCH(SUBSTITUTE($D296,"*","-"),MgAmenClave,0)),"No aplica")</f>
        <v/>
      </c>
      <c r="H296" s="28">
        <f>IFERROR(INDEX(MgAmenDegI,MATCH(SUBSTITUTE($D296,"*","-"),MgAmenClave,0)),"No aplica")</f>
        <v/>
      </c>
      <c r="I296" s="28">
        <f>IFERROR(INDEX(MgAmenDegC,MATCH(SUBSTITUTE($D296,"*","-"),MgAmenClave,0)),"No aplica")</f>
        <v/>
      </c>
      <c r="J296" s="28">
        <f>IFERROR(INDEX(MgAmenFrec,MATCH(SUBSTITUTE($D296,"*","-"),MgAmenClave,0)),"")</f>
        <v/>
      </c>
      <c r="K296" s="64">
        <f>IFERROR(INDEX(MgAmenCtrl,MATCH(SUBSTITUTE($D296,"*","-"),MgAmenClave,0)),"")</f>
        <v/>
      </c>
    </row>
    <row r="297" ht="120" customHeight="1" s="54">
      <c r="B297" s="28">
        <f>IFERROR(IF(INDEX('Amenazas MAGERIT'!$E47:$N47,MATCH($C$250,'Amenazas MAGERIT'!$E$5:$N$5,0))="Sí","Sí","No"),"No")</f>
        <v/>
      </c>
      <c r="C297" s="44">
        <f>TRIM(LEFT($C$248,FIND(" — ",$C$248)-1))</f>
        <v/>
      </c>
      <c r="D297" s="44">
        <f>'Amenazas MAGERIT'!$B47</f>
        <v/>
      </c>
      <c r="E297" s="64">
        <f>IFERROR(INDEX(MgAmenNombre,MATCH(SUBSTITUTE($D297,"*","-"),MgAmenClave,0)),"")</f>
        <v/>
      </c>
      <c r="F297" s="28">
        <f>IFERROR(INDEX(MgAmenGrupo,MATCH(SUBSTITUTE($D297,"*","-"),MgAmenClave,0)),"")</f>
        <v/>
      </c>
      <c r="G297" s="28">
        <f>IFERROR(INDEX(MgAmenDegD,MATCH(SUBSTITUTE($D297,"*","-"),MgAmenClave,0)),"No aplica")</f>
        <v/>
      </c>
      <c r="H297" s="28">
        <f>IFERROR(INDEX(MgAmenDegI,MATCH(SUBSTITUTE($D297,"*","-"),MgAmenClave,0)),"No aplica")</f>
        <v/>
      </c>
      <c r="I297" s="28">
        <f>IFERROR(INDEX(MgAmenDegC,MATCH(SUBSTITUTE($D297,"*","-"),MgAmenClave,0)),"No aplica")</f>
        <v/>
      </c>
      <c r="J297" s="28">
        <f>IFERROR(INDEX(MgAmenFrec,MATCH(SUBSTITUTE($D297,"*","-"),MgAmenClave,0)),"")</f>
        <v/>
      </c>
      <c r="K297" s="64">
        <f>IFERROR(INDEX(MgAmenCtrl,MATCH(SUBSTITUTE($D297,"*","-"),MgAmenClave,0)),"")</f>
        <v/>
      </c>
    </row>
    <row r="298" hidden="1" ht="45" customHeight="1" s="54">
      <c r="B298" s="28">
        <f>IFERROR(IF(INDEX('Amenazas MAGERIT'!$E48:$N48,MATCH($C$250,'Amenazas MAGERIT'!$E$5:$N$5,0))="Sí","Sí","No"),"No")</f>
        <v/>
      </c>
      <c r="C298" s="44">
        <f>TRIM(LEFT($C$248,FIND(" — ",$C$248)-1))</f>
        <v/>
      </c>
      <c r="D298" s="44">
        <f>'Amenazas MAGERIT'!$B48</f>
        <v/>
      </c>
      <c r="E298" s="64">
        <f>IFERROR(INDEX(MgAmenNombre,MATCH(SUBSTITUTE($D298,"*","-"),MgAmenClave,0)),"")</f>
        <v/>
      </c>
      <c r="F298" s="28">
        <f>IFERROR(INDEX(MgAmenGrupo,MATCH(SUBSTITUTE($D298,"*","-"),MgAmenClave,0)),"")</f>
        <v/>
      </c>
      <c r="G298" s="28">
        <f>IFERROR(INDEX(MgAmenDegD,MATCH(SUBSTITUTE($D298,"*","-"),MgAmenClave,0)),"No aplica")</f>
        <v/>
      </c>
      <c r="H298" s="28">
        <f>IFERROR(INDEX(MgAmenDegI,MATCH(SUBSTITUTE($D298,"*","-"),MgAmenClave,0)),"No aplica")</f>
        <v/>
      </c>
      <c r="I298" s="28">
        <f>IFERROR(INDEX(MgAmenDegC,MATCH(SUBSTITUTE($D298,"*","-"),MgAmenClave,0)),"No aplica")</f>
        <v/>
      </c>
      <c r="J298" s="28">
        <f>IFERROR(INDEX(MgAmenFrec,MATCH(SUBSTITUTE($D298,"*","-"),MgAmenClave,0)),"")</f>
        <v/>
      </c>
      <c r="K298" s="64">
        <f>IFERROR(INDEX(MgAmenCtrl,MATCH(SUBSTITUTE($D298,"*","-"),MgAmenClave,0)),"")</f>
        <v/>
      </c>
    </row>
    <row r="299" ht="90" customHeight="1" s="54">
      <c r="B299" s="28">
        <f>IFERROR(IF(INDEX('Amenazas MAGERIT'!$E49:$N49,MATCH($C$250,'Amenazas MAGERIT'!$E$5:$N$5,0))="Sí","Sí","No"),"No")</f>
        <v/>
      </c>
      <c r="C299" s="44">
        <f>TRIM(LEFT($C$248,FIND(" — ",$C$248)-1))</f>
        <v/>
      </c>
      <c r="D299" s="44">
        <f>'Amenazas MAGERIT'!$B49</f>
        <v/>
      </c>
      <c r="E299" s="64">
        <f>IFERROR(INDEX(MgAmenNombre,MATCH(SUBSTITUTE($D299,"*","-"),MgAmenClave,0)),"")</f>
        <v/>
      </c>
      <c r="F299" s="28">
        <f>IFERROR(INDEX(MgAmenGrupo,MATCH(SUBSTITUTE($D299,"*","-"),MgAmenClave,0)),"")</f>
        <v/>
      </c>
      <c r="G299" s="28">
        <f>IFERROR(INDEX(MgAmenDegD,MATCH(SUBSTITUTE($D299,"*","-"),MgAmenClave,0)),"No aplica")</f>
        <v/>
      </c>
      <c r="H299" s="28">
        <f>IFERROR(INDEX(MgAmenDegI,MATCH(SUBSTITUTE($D299,"*","-"),MgAmenClave,0)),"No aplica")</f>
        <v/>
      </c>
      <c r="I299" s="28">
        <f>IFERROR(INDEX(MgAmenDegC,MATCH(SUBSTITUTE($D299,"*","-"),MgAmenClave,0)),"No aplica")</f>
        <v/>
      </c>
      <c r="J299" s="28">
        <f>IFERROR(INDEX(MgAmenFrec,MATCH(SUBSTITUTE($D299,"*","-"),MgAmenClave,0)),"")</f>
        <v/>
      </c>
      <c r="K299" s="64">
        <f>IFERROR(INDEX(MgAmenCtrl,MATCH(SUBSTITUTE($D299,"*","-"),MgAmenClave,0)),"")</f>
        <v/>
      </c>
    </row>
    <row r="300" hidden="1" ht="60" customHeight="1" s="54">
      <c r="B300" s="28">
        <f>IFERROR(IF(INDEX('Amenazas MAGERIT'!$E50:$N50,MATCH($C$250,'Amenazas MAGERIT'!$E$5:$N$5,0))="Sí","Sí","No"),"No")</f>
        <v/>
      </c>
      <c r="C300" s="44">
        <f>TRIM(LEFT($C$248,FIND(" — ",$C$248)-1))</f>
        <v/>
      </c>
      <c r="D300" s="44">
        <f>'Amenazas MAGERIT'!$B50</f>
        <v/>
      </c>
      <c r="E300" s="64">
        <f>IFERROR(INDEX(MgAmenNombre,MATCH(SUBSTITUTE($D300,"*","-"),MgAmenClave,0)),"")</f>
        <v/>
      </c>
      <c r="F300" s="28">
        <f>IFERROR(INDEX(MgAmenGrupo,MATCH(SUBSTITUTE($D300,"*","-"),MgAmenClave,0)),"")</f>
        <v/>
      </c>
      <c r="G300" s="28">
        <f>IFERROR(INDEX(MgAmenDegD,MATCH(SUBSTITUTE($D300,"*","-"),MgAmenClave,0)),"No aplica")</f>
        <v/>
      </c>
      <c r="H300" s="28">
        <f>IFERROR(INDEX(MgAmenDegI,MATCH(SUBSTITUTE($D300,"*","-"),MgAmenClave,0)),"No aplica")</f>
        <v/>
      </c>
      <c r="I300" s="28">
        <f>IFERROR(INDEX(MgAmenDegC,MATCH(SUBSTITUTE($D300,"*","-"),MgAmenClave,0)),"No aplica")</f>
        <v/>
      </c>
      <c r="J300" s="28">
        <f>IFERROR(INDEX(MgAmenFrec,MATCH(SUBSTITUTE($D300,"*","-"),MgAmenClave,0)),"")</f>
        <v/>
      </c>
      <c r="K300" s="64">
        <f>IFERROR(INDEX(MgAmenCtrl,MATCH(SUBSTITUTE($D300,"*","-"),MgAmenClave,0)),"")</f>
        <v/>
      </c>
    </row>
    <row r="301" ht="60" customHeight="1" s="54">
      <c r="B301" s="28">
        <f>IFERROR(IF(INDEX('Amenazas MAGERIT'!$E51:$N51,MATCH($C$250,'Amenazas MAGERIT'!$E$5:$N$5,0))="Sí","Sí","No"),"No")</f>
        <v/>
      </c>
      <c r="C301" s="44">
        <f>TRIM(LEFT($C$248,FIND(" — ",$C$248)-1))</f>
        <v/>
      </c>
      <c r="D301" s="44">
        <f>'Amenazas MAGERIT'!$B51</f>
        <v/>
      </c>
      <c r="E301" s="64">
        <f>IFERROR(INDEX(MgAmenNombre,MATCH(SUBSTITUTE($D301,"*","-"),MgAmenClave,0)),"")</f>
        <v/>
      </c>
      <c r="F301" s="28">
        <f>IFERROR(INDEX(MgAmenGrupo,MATCH(SUBSTITUTE($D301,"*","-"),MgAmenClave,0)),"")</f>
        <v/>
      </c>
      <c r="G301" s="28">
        <f>IFERROR(INDEX(MgAmenDegD,MATCH(SUBSTITUTE($D301,"*","-"),MgAmenClave,0)),"No aplica")</f>
        <v/>
      </c>
      <c r="H301" s="28">
        <f>IFERROR(INDEX(MgAmenDegI,MATCH(SUBSTITUTE($D301,"*","-"),MgAmenClave,0)),"No aplica")</f>
        <v/>
      </c>
      <c r="I301" s="28">
        <f>IFERROR(INDEX(MgAmenDegC,MATCH(SUBSTITUTE($D301,"*","-"),MgAmenClave,0)),"No aplica")</f>
        <v/>
      </c>
      <c r="J301" s="28">
        <f>IFERROR(INDEX(MgAmenFrec,MATCH(SUBSTITUTE($D301,"*","-"),MgAmenClave,0)),"")</f>
        <v/>
      </c>
      <c r="K301" s="64">
        <f>IFERROR(INDEX(MgAmenCtrl,MATCH(SUBSTITUTE($D301,"*","-"),MgAmenClave,0)),"")</f>
        <v/>
      </c>
    </row>
    <row r="302" ht="60" customHeight="1" s="54">
      <c r="B302" s="28">
        <f>IFERROR(IF(INDEX('Amenazas MAGERIT'!$E52:$N52,MATCH($C$250,'Amenazas MAGERIT'!$E$5:$N$5,0))="Sí","Sí","No"),"No")</f>
        <v/>
      </c>
      <c r="C302" s="44">
        <f>TRIM(LEFT($C$248,FIND(" — ",$C$248)-1))</f>
        <v/>
      </c>
      <c r="D302" s="44">
        <f>'Amenazas MAGERIT'!$B52</f>
        <v/>
      </c>
      <c r="E302" s="64">
        <f>IFERROR(INDEX(MgAmenNombre,MATCH(SUBSTITUTE($D302,"*","-"),MgAmenClave,0)),"")</f>
        <v/>
      </c>
      <c r="F302" s="28">
        <f>IFERROR(INDEX(MgAmenGrupo,MATCH(SUBSTITUTE($D302,"*","-"),MgAmenClave,0)),"")</f>
        <v/>
      </c>
      <c r="G302" s="28">
        <f>IFERROR(INDEX(MgAmenDegD,MATCH(SUBSTITUTE($D302,"*","-"),MgAmenClave,0)),"No aplica")</f>
        <v/>
      </c>
      <c r="H302" s="28">
        <f>IFERROR(INDEX(MgAmenDegI,MATCH(SUBSTITUTE($D302,"*","-"),MgAmenClave,0)),"No aplica")</f>
        <v/>
      </c>
      <c r="I302" s="28">
        <f>IFERROR(INDEX(MgAmenDegC,MATCH(SUBSTITUTE($D302,"*","-"),MgAmenClave,0)),"No aplica")</f>
        <v/>
      </c>
      <c r="J302" s="28">
        <f>IFERROR(INDEX(MgAmenFrec,MATCH(SUBSTITUTE($D302,"*","-"),MgAmenClave,0)),"")</f>
        <v/>
      </c>
      <c r="K302" s="64">
        <f>IFERROR(INDEX(MgAmenCtrl,MATCH(SUBSTITUTE($D302,"*","-"),MgAmenClave,0)),"")</f>
        <v/>
      </c>
    </row>
    <row r="303" ht="120" customHeight="1" s="54">
      <c r="B303" s="28">
        <f>IFERROR(IF(INDEX('Amenazas MAGERIT'!$E53:$N53,MATCH($C$250,'Amenazas MAGERIT'!$E$5:$N$5,0))="Sí","Sí","No"),"No")</f>
        <v/>
      </c>
      <c r="C303" s="44">
        <f>TRIM(LEFT($C$248,FIND(" — ",$C$248)-1))</f>
        <v/>
      </c>
      <c r="D303" s="44">
        <f>'Amenazas MAGERIT'!$B53</f>
        <v/>
      </c>
      <c r="E303" s="64">
        <f>IFERROR(INDEX(MgAmenNombre,MATCH(SUBSTITUTE($D303,"*","-"),MgAmenClave,0)),"")</f>
        <v/>
      </c>
      <c r="F303" s="28">
        <f>IFERROR(INDEX(MgAmenGrupo,MATCH(SUBSTITUTE($D303,"*","-"),MgAmenClave,0)),"")</f>
        <v/>
      </c>
      <c r="G303" s="28">
        <f>IFERROR(INDEX(MgAmenDegD,MATCH(SUBSTITUTE($D303,"*","-"),MgAmenClave,0)),"No aplica")</f>
        <v/>
      </c>
      <c r="H303" s="28">
        <f>IFERROR(INDEX(MgAmenDegI,MATCH(SUBSTITUTE($D303,"*","-"),MgAmenClave,0)),"No aplica")</f>
        <v/>
      </c>
      <c r="I303" s="28">
        <f>IFERROR(INDEX(MgAmenDegC,MATCH(SUBSTITUTE($D303,"*","-"),MgAmenClave,0)),"No aplica")</f>
        <v/>
      </c>
      <c r="J303" s="28">
        <f>IFERROR(INDEX(MgAmenFrec,MATCH(SUBSTITUTE($D303,"*","-"),MgAmenClave,0)),"")</f>
        <v/>
      </c>
      <c r="K303" s="64">
        <f>IFERROR(INDEX(MgAmenCtrl,MATCH(SUBSTITUTE($D303,"*","-"),MgAmenClave,0)),"")</f>
        <v/>
      </c>
    </row>
    <row r="304" hidden="1" ht="135" customHeight="1" s="54">
      <c r="B304" s="28">
        <f>IFERROR(IF(INDEX('Amenazas MAGERIT'!$E54:$N54,MATCH($C$250,'Amenazas MAGERIT'!$E$5:$N$5,0))="Sí","Sí","No"),"No")</f>
        <v/>
      </c>
      <c r="C304" s="44">
        <f>TRIM(LEFT($C$248,FIND(" — ",$C$248)-1))</f>
        <v/>
      </c>
      <c r="D304" s="44">
        <f>'Amenazas MAGERIT'!$B54</f>
        <v/>
      </c>
      <c r="E304" s="64">
        <f>IFERROR(INDEX(MgAmenNombre,MATCH(SUBSTITUTE($D304,"*","-"),MgAmenClave,0)),"")</f>
        <v/>
      </c>
      <c r="F304" s="28">
        <f>IFERROR(INDEX(MgAmenGrupo,MATCH(SUBSTITUTE($D304,"*","-"),MgAmenClave,0)),"")</f>
        <v/>
      </c>
      <c r="G304" s="28">
        <f>IFERROR(INDEX(MgAmenDegD,MATCH(SUBSTITUTE($D304,"*","-"),MgAmenClave,0)),"No aplica")</f>
        <v/>
      </c>
      <c r="H304" s="28">
        <f>IFERROR(INDEX(MgAmenDegI,MATCH(SUBSTITUTE($D304,"*","-"),MgAmenClave,0)),"No aplica")</f>
        <v/>
      </c>
      <c r="I304" s="28">
        <f>IFERROR(INDEX(MgAmenDegC,MATCH(SUBSTITUTE($D304,"*","-"),MgAmenClave,0)),"No aplica")</f>
        <v/>
      </c>
      <c r="J304" s="28">
        <f>IFERROR(INDEX(MgAmenFrec,MATCH(SUBSTITUTE($D304,"*","-"),MgAmenClave,0)),"")</f>
        <v/>
      </c>
      <c r="K304" s="64">
        <f>IFERROR(INDEX(MgAmenCtrl,MATCH(SUBSTITUTE($D304,"*","-"),MgAmenClave,0)),"")</f>
        <v/>
      </c>
    </row>
    <row r="305" hidden="1" ht="60" customHeight="1" s="54">
      <c r="B305" s="28">
        <f>IFERROR(IF(INDEX('Amenazas MAGERIT'!$E55:$N55,MATCH($C$250,'Amenazas MAGERIT'!$E$5:$N$5,0))="Sí","Sí","No"),"No")</f>
        <v/>
      </c>
      <c r="C305" s="44">
        <f>TRIM(LEFT($C$248,FIND(" — ",$C$248)-1))</f>
        <v/>
      </c>
      <c r="D305" s="44">
        <f>'Amenazas MAGERIT'!$B55</f>
        <v/>
      </c>
      <c r="E305" s="64">
        <f>IFERROR(INDEX(MgAmenNombre,MATCH(SUBSTITUTE($D305,"*","-"),MgAmenClave,0)),"")</f>
        <v/>
      </c>
      <c r="F305" s="28">
        <f>IFERROR(INDEX(MgAmenGrupo,MATCH(SUBSTITUTE($D305,"*","-"),MgAmenClave,0)),"")</f>
        <v/>
      </c>
      <c r="G305" s="28">
        <f>IFERROR(INDEX(MgAmenDegD,MATCH(SUBSTITUTE($D305,"*","-"),MgAmenClave,0)),"No aplica")</f>
        <v/>
      </c>
      <c r="H305" s="28">
        <f>IFERROR(INDEX(MgAmenDegI,MATCH(SUBSTITUTE($D305,"*","-"),MgAmenClave,0)),"No aplica")</f>
        <v/>
      </c>
      <c r="I305" s="28">
        <f>IFERROR(INDEX(MgAmenDegC,MATCH(SUBSTITUTE($D305,"*","-"),MgAmenClave,0)),"No aplica")</f>
        <v/>
      </c>
      <c r="J305" s="28">
        <f>IFERROR(INDEX(MgAmenFrec,MATCH(SUBSTITUTE($D305,"*","-"),MgAmenClave,0)),"")</f>
        <v/>
      </c>
      <c r="K305" s="64">
        <f>IFERROR(INDEX(MgAmenCtrl,MATCH(SUBSTITUTE($D305,"*","-"),MgAmenClave,0)),"")</f>
        <v/>
      </c>
    </row>
    <row r="306" hidden="1" ht="60" customHeight="1" s="54">
      <c r="B306" s="28">
        <f>IFERROR(IF(INDEX('Amenazas MAGERIT'!$E56:$N56,MATCH($C$250,'Amenazas MAGERIT'!$E$5:$N$5,0))="Sí","Sí","No"),"No")</f>
        <v/>
      </c>
      <c r="C306" s="44">
        <f>TRIM(LEFT($C$248,FIND(" — ",$C$248)-1))</f>
        <v/>
      </c>
      <c r="D306" s="44">
        <f>'Amenazas MAGERIT'!$B56</f>
        <v/>
      </c>
      <c r="E306" s="64">
        <f>IFERROR(INDEX(MgAmenNombre,MATCH(SUBSTITUTE($D306,"*","-"),MgAmenClave,0)),"")</f>
        <v/>
      </c>
      <c r="F306" s="28">
        <f>IFERROR(INDEX(MgAmenGrupo,MATCH(SUBSTITUTE($D306,"*","-"),MgAmenClave,0)),"")</f>
        <v/>
      </c>
      <c r="G306" s="28">
        <f>IFERROR(INDEX(MgAmenDegD,MATCH(SUBSTITUTE($D306,"*","-"),MgAmenClave,0)),"No aplica")</f>
        <v/>
      </c>
      <c r="H306" s="28">
        <f>IFERROR(INDEX(MgAmenDegI,MATCH(SUBSTITUTE($D306,"*","-"),MgAmenClave,0)),"No aplica")</f>
        <v/>
      </c>
      <c r="I306" s="28">
        <f>IFERROR(INDEX(MgAmenDegC,MATCH(SUBSTITUTE($D306,"*","-"),MgAmenClave,0)),"No aplica")</f>
        <v/>
      </c>
      <c r="J306" s="28">
        <f>IFERROR(INDEX(MgAmenFrec,MATCH(SUBSTITUTE($D306,"*","-"),MgAmenClave,0)),"")</f>
        <v/>
      </c>
      <c r="K306" s="64">
        <f>IFERROR(INDEX(MgAmenCtrl,MATCH(SUBSTITUTE($D306,"*","-"),MgAmenClave,0)),"")</f>
        <v/>
      </c>
    </row>
    <row r="307" hidden="1" ht="75" customHeight="1" s="54">
      <c r="B307" s="28">
        <f>IFERROR(IF(INDEX('Amenazas MAGERIT'!$E57:$N57,MATCH($C$250,'Amenazas MAGERIT'!$E$5:$N$5,0))="Sí","Sí","No"),"No")</f>
        <v/>
      </c>
      <c r="C307" s="44">
        <f>TRIM(LEFT($C$248,FIND(" — ",$C$248)-1))</f>
        <v/>
      </c>
      <c r="D307" s="44">
        <f>'Amenazas MAGERIT'!$B57</f>
        <v/>
      </c>
      <c r="E307" s="64">
        <f>IFERROR(INDEX(MgAmenNombre,MATCH(SUBSTITUTE($D307,"*","-"),MgAmenClave,0)),"")</f>
        <v/>
      </c>
      <c r="F307" s="28">
        <f>IFERROR(INDEX(MgAmenGrupo,MATCH(SUBSTITUTE($D307,"*","-"),MgAmenClave,0)),"")</f>
        <v/>
      </c>
      <c r="G307" s="28">
        <f>IFERROR(INDEX(MgAmenDegD,MATCH(SUBSTITUTE($D307,"*","-"),MgAmenClave,0)),"No aplica")</f>
        <v/>
      </c>
      <c r="H307" s="28">
        <f>IFERROR(INDEX(MgAmenDegI,MATCH(SUBSTITUTE($D307,"*","-"),MgAmenClave,0)),"No aplica")</f>
        <v/>
      </c>
      <c r="I307" s="28">
        <f>IFERROR(INDEX(MgAmenDegC,MATCH(SUBSTITUTE($D307,"*","-"),MgAmenClave,0)),"No aplica")</f>
        <v/>
      </c>
      <c r="J307" s="28">
        <f>IFERROR(INDEX(MgAmenFrec,MATCH(SUBSTITUTE($D307,"*","-"),MgAmenClave,0)),"")</f>
        <v/>
      </c>
      <c r="K307" s="64">
        <f>IFERROR(INDEX(MgAmenCtrl,MATCH(SUBSTITUTE($D307,"*","-"),MgAmenClave,0)),"")</f>
        <v/>
      </c>
    </row>
    <row r="308" hidden="1" ht="60" customHeight="1" s="54">
      <c r="B308" s="28">
        <f>IFERROR(IF(INDEX('Amenazas MAGERIT'!$E58:$N58,MATCH($C$250,'Amenazas MAGERIT'!$E$5:$N$5,0))="Sí","Sí","No"),"No")</f>
        <v/>
      </c>
      <c r="C308" s="44">
        <f>TRIM(LEFT($C$248,FIND(" — ",$C$248)-1))</f>
        <v/>
      </c>
      <c r="D308" s="44">
        <f>'Amenazas MAGERIT'!$B58</f>
        <v/>
      </c>
      <c r="E308" s="64">
        <f>IFERROR(INDEX(MgAmenNombre,MATCH(SUBSTITUTE($D308,"*","-"),MgAmenClave,0)),"")</f>
        <v/>
      </c>
      <c r="F308" s="28">
        <f>IFERROR(INDEX(MgAmenGrupo,MATCH(SUBSTITUTE($D308,"*","-"),MgAmenClave,0)),"")</f>
        <v/>
      </c>
      <c r="G308" s="28">
        <f>IFERROR(INDEX(MgAmenDegD,MATCH(SUBSTITUTE($D308,"*","-"),MgAmenClave,0)),"No aplica")</f>
        <v/>
      </c>
      <c r="H308" s="28">
        <f>IFERROR(INDEX(MgAmenDegI,MATCH(SUBSTITUTE($D308,"*","-"),MgAmenClave,0)),"No aplica")</f>
        <v/>
      </c>
      <c r="I308" s="28">
        <f>IFERROR(INDEX(MgAmenDegC,MATCH(SUBSTITUTE($D308,"*","-"),MgAmenClave,0)),"No aplica")</f>
        <v/>
      </c>
      <c r="J308" s="28">
        <f>IFERROR(INDEX(MgAmenFrec,MATCH(SUBSTITUTE($D308,"*","-"),MgAmenClave,0)),"")</f>
        <v/>
      </c>
      <c r="K308" s="64">
        <f>IFERROR(INDEX(MgAmenCtrl,MATCH(SUBSTITUTE($D308,"*","-"),MgAmenClave,0)),"")</f>
        <v/>
      </c>
    </row>
    <row r="309" hidden="1" ht="60" customHeight="1" s="54">
      <c r="B309" s="28">
        <f>IFERROR(IF(INDEX('Amenazas MAGERIT'!$E59:$N59,MATCH($C$250,'Amenazas MAGERIT'!$E$5:$N$5,0))="Sí","Sí","No"),"No")</f>
        <v/>
      </c>
      <c r="C309" s="44">
        <f>TRIM(LEFT($C$248,FIND(" — ",$C$248)-1))</f>
        <v/>
      </c>
      <c r="D309" s="44">
        <f>'Amenazas MAGERIT'!$B59</f>
        <v/>
      </c>
      <c r="E309" s="64">
        <f>IFERROR(INDEX(MgAmenNombre,MATCH(SUBSTITUTE($D309,"*","-"),MgAmenClave,0)),"")</f>
        <v/>
      </c>
      <c r="F309" s="28">
        <f>IFERROR(INDEX(MgAmenGrupo,MATCH(SUBSTITUTE($D309,"*","-"),MgAmenClave,0)),"")</f>
        <v/>
      </c>
      <c r="G309" s="28">
        <f>IFERROR(INDEX(MgAmenDegD,MATCH(SUBSTITUTE($D309,"*","-"),MgAmenClave,0)),"No aplica")</f>
        <v/>
      </c>
      <c r="H309" s="28">
        <f>IFERROR(INDEX(MgAmenDegI,MATCH(SUBSTITUTE($D309,"*","-"),MgAmenClave,0)),"No aplica")</f>
        <v/>
      </c>
      <c r="I309" s="28">
        <f>IFERROR(INDEX(MgAmenDegC,MATCH(SUBSTITUTE($D309,"*","-"),MgAmenClave,0)),"No aplica")</f>
        <v/>
      </c>
      <c r="J309" s="28">
        <f>IFERROR(INDEX(MgAmenFrec,MATCH(SUBSTITUTE($D309,"*","-"),MgAmenClave,0)),"")</f>
        <v/>
      </c>
      <c r="K309" s="64">
        <f>IFERROR(INDEX(MgAmenCtrl,MATCH(SUBSTITUTE($D309,"*","-"),MgAmenClave,0)),"")</f>
        <v/>
      </c>
    </row>
    <row r="310" hidden="1" ht="75" customHeight="1" s="54">
      <c r="B310" s="28">
        <f>IFERROR(IF(INDEX('Amenazas MAGERIT'!$E60:$N60,MATCH($C$250,'Amenazas MAGERIT'!$E$5:$N$5,0))="Sí","Sí","No"),"No")</f>
        <v/>
      </c>
      <c r="C310" s="44">
        <f>TRIM(LEFT($C$248,FIND(" — ",$C$248)-1))</f>
        <v/>
      </c>
      <c r="D310" s="44">
        <f>'Amenazas MAGERIT'!$B60</f>
        <v/>
      </c>
      <c r="E310" s="64">
        <f>IFERROR(INDEX(MgAmenNombre,MATCH(SUBSTITUTE($D310,"*","-"),MgAmenClave,0)),"")</f>
        <v/>
      </c>
      <c r="F310" s="28">
        <f>IFERROR(INDEX(MgAmenGrupo,MATCH(SUBSTITUTE($D310,"*","-"),MgAmenClave,0)),"")</f>
        <v/>
      </c>
      <c r="G310" s="28">
        <f>IFERROR(INDEX(MgAmenDegD,MATCH(SUBSTITUTE($D310,"*","-"),MgAmenClave,0)),"No aplica")</f>
        <v/>
      </c>
      <c r="H310" s="28">
        <f>IFERROR(INDEX(MgAmenDegI,MATCH(SUBSTITUTE($D310,"*","-"),MgAmenClave,0)),"No aplica")</f>
        <v/>
      </c>
      <c r="I310" s="28">
        <f>IFERROR(INDEX(MgAmenDegC,MATCH(SUBSTITUTE($D310,"*","-"),MgAmenClave,0)),"No aplica")</f>
        <v/>
      </c>
      <c r="J310" s="28">
        <f>IFERROR(INDEX(MgAmenFrec,MATCH(SUBSTITUTE($D310,"*","-"),MgAmenClave,0)),"")</f>
        <v/>
      </c>
      <c r="K310" s="64">
        <f>IFERROR(INDEX(MgAmenCtrl,MATCH(SUBSTITUTE($D310,"*","-"),MgAmenClave,0)),"")</f>
        <v/>
      </c>
    </row>
    <row r="311" hidden="1" ht="90" customHeight="1" s="54">
      <c r="B311" s="28">
        <f>IFERROR(IF(INDEX('Amenazas MAGERIT'!$E61:$N61,MATCH($C$250,'Amenazas MAGERIT'!$E$5:$N$5,0))="Sí","Sí","No"),"No")</f>
        <v/>
      </c>
      <c r="C311" s="44">
        <f>TRIM(LEFT($C$248,FIND(" — ",$C$248)-1))</f>
        <v/>
      </c>
      <c r="D311" s="44">
        <f>'Amenazas MAGERIT'!$B61</f>
        <v/>
      </c>
      <c r="E311" s="64">
        <f>IFERROR(INDEX(MgAmenNombre,MATCH(SUBSTITUTE($D311,"*","-"),MgAmenClave,0)),"")</f>
        <v/>
      </c>
      <c r="F311" s="28">
        <f>IFERROR(INDEX(MgAmenGrupo,MATCH(SUBSTITUTE($D311,"*","-"),MgAmenClave,0)),"")</f>
        <v/>
      </c>
      <c r="G311" s="28">
        <f>IFERROR(INDEX(MgAmenDegD,MATCH(SUBSTITUTE($D311,"*","-"),MgAmenClave,0)),"No aplica")</f>
        <v/>
      </c>
      <c r="H311" s="28">
        <f>IFERROR(INDEX(MgAmenDegI,MATCH(SUBSTITUTE($D311,"*","-"),MgAmenClave,0)),"No aplica")</f>
        <v/>
      </c>
      <c r="I311" s="28">
        <f>IFERROR(INDEX(MgAmenDegC,MATCH(SUBSTITUTE($D311,"*","-"),MgAmenClave,0)),"No aplica")</f>
        <v/>
      </c>
      <c r="J311" s="28">
        <f>IFERROR(INDEX(MgAmenFrec,MATCH(SUBSTITUTE($D311,"*","-"),MgAmenClave,0)),"")</f>
        <v/>
      </c>
      <c r="K311" s="64">
        <f>IFERROR(INDEX(MgAmenCtrl,MATCH(SUBSTITUTE($D311,"*","-"),MgAmenClave,0)),"")</f>
        <v/>
      </c>
    </row>
    <row r="312" hidden="1" ht="105" customHeight="1" s="54">
      <c r="B312" s="28">
        <f>IFERROR(IF(INDEX('Amenazas MAGERIT'!$E62:$N62,MATCH($C$250,'Amenazas MAGERIT'!$E$5:$N$5,0))="Sí","Sí","No"),"No")</f>
        <v/>
      </c>
      <c r="C312" s="44">
        <f>TRIM(LEFT($C$248,FIND(" — ",$C$248)-1))</f>
        <v/>
      </c>
      <c r="D312" s="44">
        <f>'Amenazas MAGERIT'!$B62</f>
        <v/>
      </c>
      <c r="E312" s="64">
        <f>IFERROR(INDEX(MgAmenNombre,MATCH(SUBSTITUTE($D312,"*","-"),MgAmenClave,0)),"")</f>
        <v/>
      </c>
      <c r="F312" s="28">
        <f>IFERROR(INDEX(MgAmenGrupo,MATCH(SUBSTITUTE($D312,"*","-"),MgAmenClave,0)),"")</f>
        <v/>
      </c>
      <c r="G312" s="28">
        <f>IFERROR(INDEX(MgAmenDegD,MATCH(SUBSTITUTE($D312,"*","-"),MgAmenClave,0)),"No aplica")</f>
        <v/>
      </c>
      <c r="H312" s="28">
        <f>IFERROR(INDEX(MgAmenDegI,MATCH(SUBSTITUTE($D312,"*","-"),MgAmenClave,0)),"No aplica")</f>
        <v/>
      </c>
      <c r="I312" s="28">
        <f>IFERROR(INDEX(MgAmenDegC,MATCH(SUBSTITUTE($D312,"*","-"),MgAmenClave,0)),"No aplica")</f>
        <v/>
      </c>
      <c r="J312" s="28">
        <f>IFERROR(INDEX(MgAmenFrec,MATCH(SUBSTITUTE($D312,"*","-"),MgAmenClave,0)),"")</f>
        <v/>
      </c>
      <c r="K312" s="64">
        <f>IFERROR(INDEX(MgAmenCtrl,MATCH(SUBSTITUTE($D312,"*","-"),MgAmenClave,0)),"")</f>
        <v/>
      </c>
    </row>
    <row r="314">
      <c r="B314" s="67" t="inlineStr">
        <is>
          <t>Cómo usar el bloque 3: filtre «¿Aplica?» por «Sí» y copie únicamente las dos columnas verdes —Código del activo y Código de la amenaza— al final de la hoja «Valoración MAGERIT», en sus columnas C y H. Todo lo demás de esa hoja se rellena solo: nombre, proceso, tipo, subtipo, amenaza, degradación, frecuencia y controles se buscan por esos dos códigos. Solo hay que arrastrar hacia abajo las fórmulas de las columnas lila y elegir la madurez de los controles en la columna amarilla. Las columnas grises de aquí son solo para que vea qué va a quedar.</t>
        </is>
      </c>
    </row>
    <row r="315"/>
    <row r="316"/>
  </sheetData>
  <autoFilter ref="B255:Q312">
    <filterColumn colId="0" hiddenButton="0" showButton="1">
      <filters>
        <filter val="Sí"/>
      </filters>
    </filterColumn>
  </autoFilter>
  <mergeCells count="15">
    <mergeCell ref="C251:E251"/>
    <mergeCell ref="G3:H3"/>
    <mergeCell ref="G7:H7"/>
    <mergeCell ref="C249:E249"/>
    <mergeCell ref="C8:E8"/>
    <mergeCell ref="C250:E250"/>
    <mergeCell ref="C252:E252"/>
    <mergeCell ref="B314:K316"/>
    <mergeCell ref="C248:E248"/>
    <mergeCell ref="G6:H6"/>
    <mergeCell ref="C253:E253"/>
    <mergeCell ref="C3:D3"/>
    <mergeCell ref="C7:E7"/>
    <mergeCell ref="E3:F3"/>
    <mergeCell ref="C6:E6"/>
  </mergeCells>
  <conditionalFormatting sqref="B11:B244">
    <cfRule type="expression" priority="6" dxfId="62">
      <formula>B11="Sí"</formula>
    </cfRule>
  </conditionalFormatting>
  <conditionalFormatting sqref="B256:B312">
    <cfRule type="expression" priority="7" dxfId="61">
      <formula>B256="Sí"</formula>
    </cfRule>
    <cfRule type="expression" priority="8" dxfId="5">
      <formula>B256="No"</formula>
    </cfRule>
  </conditionalFormatting>
  <conditionalFormatting sqref="L11:L244">
    <cfRule type="expression" priority="1" dxfId="4">
      <formula>ISNUMBER(SEARCH("FALTA",L11))</formula>
    </cfRule>
    <cfRule type="expression" priority="2" dxfId="3">
      <formula>ISNUMBER(SEARCH("INCOMPLETO",L11))</formula>
    </cfRule>
    <cfRule type="expression" priority="3" dxfId="0">
      <formula>ISNUMBER(SEARCH("Completo",L11))</formula>
    </cfRule>
    <cfRule type="expression" priority="4" dxfId="5">
      <formula>ISNUMBER(SEARCH("No requiere",L11))</formula>
    </cfRule>
    <cfRule type="expression" priority="5" dxfId="2">
      <formula>ISNUMBER(SEARCH("REVISAR",L11))</formula>
    </cfRule>
  </conditionalFormatting>
  <dataValidations count="4">
    <dataValidation sqref="C6" showDropDown="0" showInputMessage="0" showErrorMessage="0" allowBlank="0" type="list">
      <formula1>LstProcesoTodos</formula1>
    </dataValidation>
    <dataValidation sqref="C7" showDropDown="0" showInputMessage="0" showErrorMessage="0" allowBlank="0" type="list">
      <formula1>LstTipoTodos</formula1>
    </dataValidation>
    <dataValidation sqref="C8" showDropDown="0" showInputMessage="0" showErrorMessage="0" allowBlank="0" type="list">
      <formula1>LstSubtipoTodos</formula1>
    </dataValidation>
    <dataValidation sqref="C248" showDropDown="0" showInputMessage="0" showErrorMessage="0" allowBlank="0" type="list">
      <formula1>LstActivo</formula1>
    </dataValidation>
  </dataValidations>
  <pageMargins left="0.75" right="0.75" top="1" bottom="1" header="0.5" footer="0.5"/>
  <headerFooter>
    <oddHeader/>
    <oddFooter>&amp;L&amp;"Aptos"&amp;10 &amp;K000000_x000d_# DOCUMENTO PRIVADO</oddFooter>
    <evenHeader/>
    <evenFooter/>
    <firstHeader/>
    <firstFooter/>
  </headerFooter>
</worksheet>
</file>

<file path=xl/worksheets/sheet5.xml><?xml version="1.0" encoding="utf-8"?>
<worksheet xmlns="http://schemas.openxmlformats.org/spreadsheetml/2006/main">
  <sheetPr filterMode="1">
    <outlinePr summaryBelow="1" summaryRight="1"/>
    <pageSetUpPr/>
  </sheetPr>
  <dimension ref="B1:AL2261"/>
  <sheetViews>
    <sheetView showGridLines="0" topLeftCell="AD1" workbookViewId="0">
      <selection activeCell="AK861" sqref="AK861"/>
    </sheetView>
  </sheetViews>
  <sheetFormatPr baseColWidth="10" defaultColWidth="8.7265625" defaultRowHeight="14.5"/>
  <cols>
    <col width="2.36328125" customWidth="1" style="54" min="1" max="1"/>
    <col width="12" customWidth="1" style="54" min="2" max="2"/>
    <col width="13" customWidth="1" style="54" min="3" max="3"/>
    <col width="36" customWidth="1" style="54" min="4" max="4"/>
    <col width="22" customWidth="1" style="54" min="5" max="5"/>
    <col width="34" customWidth="1" style="54" min="6" max="6"/>
    <col width="38" customWidth="1" style="54" min="7" max="7"/>
    <col width="12" customWidth="1" style="54" min="8" max="8"/>
    <col width="32" customWidth="1" style="54" min="9" max="9"/>
    <col width="28" customWidth="1" style="54" min="10" max="10"/>
    <col width="34" customWidth="1" style="54" min="11" max="13"/>
    <col width="26" customWidth="1" style="54" min="14" max="16"/>
    <col width="13" customWidth="1" style="54" min="17" max="20"/>
    <col width="14" customWidth="1" style="54" min="21" max="21"/>
    <col width="32" customWidth="1" style="54" min="22" max="22"/>
    <col width="18" customWidth="1" style="54" min="23" max="23"/>
    <col width="11" customWidth="1" style="54" min="24" max="24"/>
    <col width="13" customWidth="1" style="54" min="25" max="25"/>
    <col width="14" customWidth="1" style="54" min="26" max="26"/>
    <col width="34" customWidth="1" style="54" min="27" max="27"/>
    <col width="62" customWidth="1" style="54" min="28" max="28"/>
    <col width="32" customWidth="1" style="54" min="29" max="29"/>
    <col width="12" customWidth="1" style="54" min="30" max="30"/>
    <col width="24" customWidth="1" style="54" min="31" max="31"/>
    <col width="13" customWidth="1" style="54" min="32" max="32"/>
    <col width="14" customWidth="1" style="54" min="33" max="33"/>
    <col width="16" customWidth="1" style="54" min="34" max="34"/>
    <col width="20" customWidth="1" style="54" min="35" max="36"/>
    <col width="30" customWidth="1" style="54" min="37" max="37"/>
    <col width="14" customWidth="1" style="54" min="38" max="38"/>
  </cols>
  <sheetData>
    <row r="1" ht="21.5" customHeight="1" s="54">
      <c r="B1" s="1" t="inlineStr">
        <is>
          <t>VALORACIÓN DE RIESGOS — MODELO MAGERIT v3.0</t>
        </is>
      </c>
    </row>
    <row r="2" ht="15" customHeight="1" s="54">
      <c r="B2" s="2" t="inlineStr">
        <is>
          <t>Impacto = valor de la dimensión × degradación de la amenaza. Riesgo = impacto × veces por año. Se valoran los activos cuyo valor sea 4 o superior y todas las amenazas que la norma asigna a su tipo.</t>
        </is>
      </c>
    </row>
    <row r="3" ht="28" customHeight="1" s="54">
      <c r="B3" s="17" t="inlineStr">
        <is>
          <t>Código de color:</t>
        </is>
      </c>
      <c r="C3" s="55" t="inlineStr">
        <is>
          <t>Amarillo = Campo de entrada — se selecciona de una lista</t>
        </is>
      </c>
      <c r="D3" s="56" t="n"/>
      <c r="E3" s="58" t="inlineStr">
        <is>
          <t>Lila = Calculado automáticamente — no escribir encima</t>
        </is>
      </c>
      <c r="F3" s="56" t="n"/>
      <c r="G3" s="57" t="inlineStr">
        <is>
          <t>Gris = Dato de la norma MAGERIT — no modificar</t>
        </is>
      </c>
      <c r="H3" s="56" t="n"/>
    </row>
    <row r="5" ht="62" customHeight="1" s="54">
      <c r="B5" s="5" t="inlineStr">
        <is>
          <t>Código del riesgo</t>
        </is>
      </c>
      <c r="C5" s="5" t="inlineStr">
        <is>
          <t>Código del activo</t>
        </is>
      </c>
      <c r="D5" s="5" t="inlineStr">
        <is>
          <t>Nombre del activo</t>
        </is>
      </c>
      <c r="E5" s="5" t="inlineStr">
        <is>
          <t>Proceso o Área</t>
        </is>
      </c>
      <c r="F5" s="5" t="inlineStr">
        <is>
          <t>Tipo MAGERIT</t>
        </is>
      </c>
      <c r="G5" s="5" t="inlineStr">
        <is>
          <t>Subtipo MAGERIT</t>
        </is>
      </c>
      <c r="H5" s="5" t="inlineStr">
        <is>
          <t>Código de la amenaza</t>
        </is>
      </c>
      <c r="I5" s="5" t="inlineStr">
        <is>
          <t>Amenaza</t>
        </is>
      </c>
      <c r="J5" s="5" t="inlineStr">
        <is>
          <t>Grupo MAGERIT</t>
        </is>
      </c>
      <c r="K5" s="5" t="inlineStr">
        <is>
          <t>Valor del activo en Disponibilidad</t>
        </is>
      </c>
      <c r="L5" s="5" t="inlineStr">
        <is>
          <t>Valor del activo en Integridad</t>
        </is>
      </c>
      <c r="M5" s="5" t="inlineStr">
        <is>
          <t>Valor del activo en Confidencialidad</t>
        </is>
      </c>
      <c r="N5" s="5" t="inlineStr">
        <is>
          <t>Degradación en Disponibilidad</t>
        </is>
      </c>
      <c r="O5" s="5" t="inlineStr">
        <is>
          <t>Degradación en Integridad</t>
        </is>
      </c>
      <c r="P5" s="5" t="inlineStr">
        <is>
          <t>Degradación en Confidencialidad</t>
        </is>
      </c>
      <c r="Q5" s="5" t="inlineStr">
        <is>
          <t>Impacto en Disponibilidad</t>
        </is>
      </c>
      <c r="R5" s="5" t="inlineStr">
        <is>
          <t>Impacto en Integridad</t>
        </is>
      </c>
      <c r="S5" s="5" t="inlineStr">
        <is>
          <t>Impacto en Confidencialidad</t>
        </is>
      </c>
      <c r="T5" s="5" t="inlineStr">
        <is>
          <t>Impacto acumulado (0 a 5)</t>
        </is>
      </c>
      <c r="U5" s="5" t="inlineStr">
        <is>
          <t>Nivel de impacto</t>
        </is>
      </c>
      <c r="V5" s="5" t="inlineStr">
        <is>
          <t>Frecuencia esperada</t>
        </is>
      </c>
      <c r="W5" s="5" t="inlineStr">
        <is>
          <t>Frecuencia</t>
        </is>
      </c>
      <c r="X5" s="5" t="inlineStr">
        <is>
          <t>Veces por año</t>
        </is>
      </c>
      <c r="Y5" s="5" t="inlineStr">
        <is>
          <t>Riesgo potencial</t>
        </is>
      </c>
      <c r="Z5" s="5" t="inlineStr">
        <is>
          <t>Nivel de riesgo</t>
        </is>
      </c>
      <c r="AA5" s="5" t="inlineStr">
        <is>
          <t>Zona de riesgo MAGERIT</t>
        </is>
      </c>
      <c r="AB5" s="5" t="inlineStr">
        <is>
          <t>Controles ISO 27001 sugeridos</t>
        </is>
      </c>
      <c r="AC5" s="5" t="inlineStr">
        <is>
          <t>Madurez del control — sobrescritura manual (opcional)</t>
        </is>
      </c>
      <c r="AD5" s="5" t="inlineStr">
        <is>
          <t>Veces por año residual</t>
        </is>
      </c>
      <c r="AE5" s="5" t="inlineStr">
        <is>
          <t>Frecuencia residual</t>
        </is>
      </c>
      <c r="AF5" s="5" t="inlineStr">
        <is>
          <t>Riesgo residual</t>
        </is>
      </c>
      <c r="AG5" s="5" t="inlineStr">
        <is>
          <t>Nivel de riesgo residual</t>
        </is>
      </c>
      <c r="AH5" s="5" t="inlineStr">
        <is>
          <t>Tratamiento</t>
        </is>
      </c>
      <c r="AI5" s="5" t="inlineStr">
        <is>
          <t>Responsable</t>
        </is>
      </c>
      <c r="AJ5" s="5" t="inlineStr">
        <is>
          <t>Estado del tratamiento</t>
        </is>
      </c>
      <c r="AK5" s="5" t="inlineStr">
        <is>
          <t>Observación</t>
        </is>
      </c>
      <c r="AL5" s="68" t="inlineStr">
        <is>
          <t>Eficacia de los controles (%)</t>
        </is>
      </c>
    </row>
    <row r="6" hidden="1" ht="75" customHeight="1" s="54">
      <c r="B6" s="59" t="inlineStr">
        <is>
          <t>R-0001</t>
        </is>
      </c>
      <c r="C6" s="59" t="inlineStr">
        <is>
          <t>DO-14</t>
        </is>
      </c>
      <c r="D6" s="64">
        <f>IFERROR(INDEX(MgNombre,MATCH($C6,MgActId,0)),"")</f>
        <v/>
      </c>
      <c r="E6" s="64">
        <f>IFERROR(INDEX(MgProceso,MATCH($C6,MgActId,0)),"")</f>
        <v/>
      </c>
      <c r="F6" s="64">
        <f>IFERROR(INDEX(MgTipo,MATCH($C6,MgActId,0)),"")</f>
        <v/>
      </c>
      <c r="G6" s="64">
        <f>IFERROR(INDEX(MgSubtipo,MATCH($C6,MgActId,0)),"")</f>
        <v/>
      </c>
      <c r="H6" s="59" t="inlineStr">
        <is>
          <t>I.8</t>
        </is>
      </c>
      <c r="I6" s="64">
        <f>IFERROR(INDEX(MgAmenNombre,MATCH(SUBSTITUTE($H6,"*","-"),MgAmenClave,0)),"")</f>
        <v/>
      </c>
      <c r="J6" s="28">
        <f>IFERROR(INDEX(MgAmenGrupo,MATCH(SUBSTITUTE($H6,"*","-"),MgAmenClave,0)),"")</f>
        <v/>
      </c>
      <c r="K6" s="64">
        <f>IFERROR(INDEX('1. Matriz de Activos'!$Q$6:$Q$239,MATCH($C6,MgActId,0)),"")</f>
        <v/>
      </c>
      <c r="L6" s="64">
        <f>IFERROR(INDEX('1. Matriz de Activos'!$R$6:$R$239,MATCH($C6,MgActId,0)),"")</f>
        <v/>
      </c>
      <c r="M6" s="64">
        <f>IFERROR(INDEX('1. Matriz de Activos'!$S$6:$S$239,MATCH($C6,MgActId,0)),"")</f>
        <v/>
      </c>
      <c r="N6" s="28">
        <f>IFERROR(INDEX(MgAmenDegD,MATCH(SUBSTITUTE($H6,"*","-"),MgAmenClave,0)),"No aplica")</f>
        <v/>
      </c>
      <c r="O6" s="28">
        <f>IFERROR(INDEX(MgAmenDegI,MATCH(SUBSTITUTE($H6,"*","-"),MgAmenClave,0)),"No aplica")</f>
        <v/>
      </c>
      <c r="P6" s="28">
        <f>IFERROR(INDEX(MgAmenDegC,MATCH(SUBSTITUTE($H6,"*","-"),MgAmenClave,0)),"No aplica")</f>
        <v/>
      </c>
      <c r="Q6" s="29">
        <f>IFERROR(VLOOKUP(K6,MgValor,2,0)*VLOOKUP(N6,MgDeg,2,0),0)</f>
        <v/>
      </c>
      <c r="R6" s="29">
        <f>IFERROR(VLOOKUP(L6,MgValor,2,0)*VLOOKUP(O6,MgDeg,2,0),0)</f>
        <v/>
      </c>
      <c r="S6" s="29">
        <f>IFERROR(VLOOKUP(M6,MgValor,2,0)*VLOOKUP(P6,MgDeg,2,0),0)</f>
        <v/>
      </c>
      <c r="T6" s="30">
        <f>MAX(Q6:S6)</f>
        <v/>
      </c>
      <c r="U6" s="28">
        <f>IFERROR(LOOKUP(T6,{0;0.5;1.5;3;4.5},{"Despreciable";"Bajo";"Medio";"Alto";"Muy alto"}),"")</f>
        <v/>
      </c>
      <c r="V6" s="13">
        <f>IFERROR(INDEX(MgAmenFrec,MATCH(SUBSTITUTE($H6,"*","-"),MgAmenClave,0)),"")</f>
        <v/>
      </c>
      <c r="W6" s="28">
        <f>IFERROR(LOOKUP(X6,{0;0.01;0.1;1;10;100},{"Muy baja";"Muy baja";"Baja";"Media";"Alta";"Muy alta"}),"")</f>
        <v/>
      </c>
      <c r="X6" s="31">
        <f>IFERROR(VLOOKUP(V6,MgFrec,2,0),0)</f>
        <v/>
      </c>
      <c r="Y6" s="30">
        <f>T6*X6</f>
        <v/>
      </c>
      <c r="Z6" s="28">
        <f>IFERROR(LOOKUP(Y6,{0;0.5;5;25},{"Bajo";"Medio";"Alto";"Crítico"}),"")</f>
        <v/>
      </c>
      <c r="AA6" s="64">
        <f>IF(T6&gt;=3,IF(X6&gt;=1,"Zona 1 — Crítica: impacto alto y ocurre al menos una vez al año","Zona 4 — Catastrófica poco probable: impacto alto pero excepcional"),IF(AND(T6&lt;1.5,X6&lt;1),"Zona 3 — Asumible: impacto bajo y muy poco frecuente","Zona 2 — Atención: riesgo intermedio"))</f>
        <v/>
      </c>
      <c r="AB6" s="64">
        <f>IFERROR(INDEX(MgAmenCtrl,MATCH(SUBSTITUTE($H6,"*","-"),MgAmenClave,0)),"")</f>
        <v/>
      </c>
      <c r="AC6" s="20" t="n"/>
      <c r="AD6" s="31">
        <f>IFERROR($X6*(1-IF($AC6="",$AL6,VLOOKUP($AC6,MgMad,2,0))),"")</f>
        <v/>
      </c>
      <c r="AE6" s="28">
        <f>IFERROR(LOOKUP(AD6,{0;0.01;0.1;1;10;100},{"Muy baja";"Muy baja";"Baja";"Media";"Alta";"Muy alta"}),"")</f>
        <v/>
      </c>
      <c r="AF6" s="30">
        <f>T6*AD6</f>
        <v/>
      </c>
      <c r="AG6" s="28">
        <f>IFERROR(LOOKUP(AF6,{0;0.5;5;25},{"Bajo";"Medio";"Alto";"Crítico"}),"")</f>
        <v/>
      </c>
      <c r="AH6" s="28">
        <f>IF(AG6="","",IF(OR(AG6="Crítico",AG6="Alto"),"Mitigar",IF(AG6="Medio","Mitigar","Aceptar y monitorear")))</f>
        <v/>
      </c>
      <c r="AI6" s="21" t="n"/>
      <c r="AJ6" s="21" t="n"/>
      <c r="AK6" s="20" t="n"/>
      <c r="AL6" s="77">
        <f>IFERROR(INDEX(MgAmenEfic,MATCH(SUBSTITUTE($H6,"*","-"),MgAmenClave,0)),0)</f>
        <v/>
      </c>
    </row>
    <row r="7" hidden="1" ht="45" customHeight="1" s="54">
      <c r="B7" s="59" t="inlineStr">
        <is>
          <t>R-0002</t>
        </is>
      </c>
      <c r="C7" s="59" t="inlineStr">
        <is>
          <t>DO-14</t>
        </is>
      </c>
      <c r="D7" s="64">
        <f>IFERROR(INDEX(MgNombre,MATCH($C7,MgActId,0)),"")</f>
        <v/>
      </c>
      <c r="E7" s="64">
        <f>IFERROR(INDEX(MgProceso,MATCH($C7,MgActId,0)),"")</f>
        <v/>
      </c>
      <c r="F7" s="64">
        <f>IFERROR(INDEX(MgTipo,MATCH($C7,MgActId,0)),"")</f>
        <v/>
      </c>
      <c r="G7" s="64">
        <f>IFERROR(INDEX(MgSubtipo,MATCH($C7,MgActId,0)),"")</f>
        <v/>
      </c>
      <c r="H7" s="59" t="inlineStr">
        <is>
          <t>I.11</t>
        </is>
      </c>
      <c r="I7" s="64">
        <f>IFERROR(INDEX(MgAmenNombre,MATCH(SUBSTITUTE($H7,"*","-"),MgAmenClave,0)),"")</f>
        <v/>
      </c>
      <c r="J7" s="28">
        <f>IFERROR(INDEX(MgAmenGrupo,MATCH(SUBSTITUTE($H7,"*","-"),MgAmenClave,0)),"")</f>
        <v/>
      </c>
      <c r="K7" s="64">
        <f>IFERROR(INDEX('1. Matriz de Activos'!$Q$6:$Q$239,MATCH($C7,MgActId,0)),"")</f>
        <v/>
      </c>
      <c r="L7" s="64">
        <f>IFERROR(INDEX('1. Matriz de Activos'!$R$6:$R$239,MATCH($C7,MgActId,0)),"")</f>
        <v/>
      </c>
      <c r="M7" s="64">
        <f>IFERROR(INDEX('1. Matriz de Activos'!$S$6:$S$239,MATCH($C7,MgActId,0)),"")</f>
        <v/>
      </c>
      <c r="N7" s="28">
        <f>IFERROR(INDEX(MgAmenDegD,MATCH(SUBSTITUTE($H7,"*","-"),MgAmenClave,0)),"No aplica")</f>
        <v/>
      </c>
      <c r="O7" s="28">
        <f>IFERROR(INDEX(MgAmenDegI,MATCH(SUBSTITUTE($H7,"*","-"),MgAmenClave,0)),"No aplica")</f>
        <v/>
      </c>
      <c r="P7" s="28">
        <f>IFERROR(INDEX(MgAmenDegC,MATCH(SUBSTITUTE($H7,"*","-"),MgAmenClave,0)),"No aplica")</f>
        <v/>
      </c>
      <c r="Q7" s="29">
        <f>IFERROR(VLOOKUP(K7,MgValor,2,0)*VLOOKUP(N7,MgDeg,2,0),0)</f>
        <v/>
      </c>
      <c r="R7" s="29">
        <f>IFERROR(VLOOKUP(L7,MgValor,2,0)*VLOOKUP(O7,MgDeg,2,0),0)</f>
        <v/>
      </c>
      <c r="S7" s="29">
        <f>IFERROR(VLOOKUP(M7,MgValor,2,0)*VLOOKUP(P7,MgDeg,2,0),0)</f>
        <v/>
      </c>
      <c r="T7" s="30">
        <f>MAX(Q7:S7)</f>
        <v/>
      </c>
      <c r="U7" s="28">
        <f>IFERROR(LOOKUP(T7,{0;0.5;1.5;3;4.5},{"Despreciable";"Bajo";"Medio";"Alto";"Muy alto"}),"")</f>
        <v/>
      </c>
      <c r="V7" s="13">
        <f>IFERROR(INDEX(MgAmenFrec,MATCH(SUBSTITUTE($H7,"*","-"),MgAmenClave,0)),"")</f>
        <v/>
      </c>
      <c r="W7" s="28">
        <f>IFERROR(LOOKUP(X7,{0;0.01;0.1;1;10;100},{"Muy baja";"Muy baja";"Baja";"Media";"Alta";"Muy alta"}),"")</f>
        <v/>
      </c>
      <c r="X7" s="31">
        <f>IFERROR(VLOOKUP(V7,MgFrec,2,0),0)</f>
        <v/>
      </c>
      <c r="Y7" s="30">
        <f>T7*X7</f>
        <v/>
      </c>
      <c r="Z7" s="28">
        <f>IFERROR(LOOKUP(Y7,{0;0.5;5;25},{"Bajo";"Medio";"Alto";"Crítico"}),"")</f>
        <v/>
      </c>
      <c r="AA7" s="64">
        <f>IF(T7&gt;=3,IF(X7&gt;=1,"Zona 1 — Crítica: impacto alto y ocurre al menos una vez al año","Zona 4 — Catastrófica poco probable: impacto alto pero excepcional"),IF(AND(T7&lt;1.5,X7&lt;1),"Zona 3 — Asumible: impacto bajo y muy poco frecuente","Zona 2 — Atención: riesgo intermedio"))</f>
        <v/>
      </c>
      <c r="AB7" s="64">
        <f>IFERROR(INDEX(MgAmenCtrl,MATCH(SUBSTITUTE($H7,"*","-"),MgAmenClave,0)),"")</f>
        <v/>
      </c>
      <c r="AC7" s="20" t="n"/>
      <c r="AD7" s="31">
        <f>IFERROR($X7*(1-IF($AC7="",$AL7,VLOOKUP($AC7,MgMad,2,0))),"")</f>
        <v/>
      </c>
      <c r="AE7" s="28">
        <f>IFERROR(LOOKUP(AD7,{0;0.01;0.1;1;10;100},{"Muy baja";"Muy baja";"Baja";"Media";"Alta";"Muy alta"}),"")</f>
        <v/>
      </c>
      <c r="AF7" s="30">
        <f>T7*AD7</f>
        <v/>
      </c>
      <c r="AG7" s="28">
        <f>IFERROR(LOOKUP(AF7,{0;0.5;5;25},{"Bajo";"Medio";"Alto";"Crítico"}),"")</f>
        <v/>
      </c>
      <c r="AH7" s="28">
        <f>IF(AG7="","",IF(OR(AG7="Crítico",AG7="Alto"),"Mitigar",IF(AG7="Medio","Mitigar","Aceptar y monitorear")))</f>
        <v/>
      </c>
      <c r="AI7" s="21" t="n"/>
      <c r="AJ7" s="21" t="n"/>
      <c r="AK7" s="20" t="n"/>
      <c r="AL7" s="77">
        <f>IFERROR(INDEX(MgAmenEfic,MATCH(SUBSTITUTE($H7,"*","-"),MgAmenClave,0)),0)</f>
        <v/>
      </c>
    </row>
    <row r="8" hidden="1" ht="120" customHeight="1" s="54">
      <c r="B8" s="59" t="inlineStr">
        <is>
          <t>R-0003</t>
        </is>
      </c>
      <c r="C8" s="59" t="inlineStr">
        <is>
          <t>DO-14</t>
        </is>
      </c>
      <c r="D8" s="64">
        <f>IFERROR(INDEX(MgNombre,MATCH($C8,MgActId,0)),"")</f>
        <v/>
      </c>
      <c r="E8" s="64">
        <f>IFERROR(INDEX(MgProceso,MATCH($C8,MgActId,0)),"")</f>
        <v/>
      </c>
      <c r="F8" s="64">
        <f>IFERROR(INDEX(MgTipo,MATCH($C8,MgActId,0)),"")</f>
        <v/>
      </c>
      <c r="G8" s="64">
        <f>IFERROR(INDEX(MgSubtipo,MATCH($C8,MgActId,0)),"")</f>
        <v/>
      </c>
      <c r="H8" s="59" t="inlineStr">
        <is>
          <t>E.2</t>
        </is>
      </c>
      <c r="I8" s="64">
        <f>IFERROR(INDEX(MgAmenNombre,MATCH(SUBSTITUTE($H8,"*","-"),MgAmenClave,0)),"")</f>
        <v/>
      </c>
      <c r="J8" s="28">
        <f>IFERROR(INDEX(MgAmenGrupo,MATCH(SUBSTITUTE($H8,"*","-"),MgAmenClave,0)),"")</f>
        <v/>
      </c>
      <c r="K8" s="64">
        <f>IFERROR(INDEX('1. Matriz de Activos'!$Q$6:$Q$239,MATCH($C8,MgActId,0)),"")</f>
        <v/>
      </c>
      <c r="L8" s="64">
        <f>IFERROR(INDEX('1. Matriz de Activos'!$R$6:$R$239,MATCH($C8,MgActId,0)),"")</f>
        <v/>
      </c>
      <c r="M8" s="64">
        <f>IFERROR(INDEX('1. Matriz de Activos'!$S$6:$S$239,MATCH($C8,MgActId,0)),"")</f>
        <v/>
      </c>
      <c r="N8" s="28">
        <f>IFERROR(INDEX(MgAmenDegD,MATCH(SUBSTITUTE($H8,"*","-"),MgAmenClave,0)),"No aplica")</f>
        <v/>
      </c>
      <c r="O8" s="28">
        <f>IFERROR(INDEX(MgAmenDegI,MATCH(SUBSTITUTE($H8,"*","-"),MgAmenClave,0)),"No aplica")</f>
        <v/>
      </c>
      <c r="P8" s="28">
        <f>IFERROR(INDEX(MgAmenDegC,MATCH(SUBSTITUTE($H8,"*","-"),MgAmenClave,0)),"No aplica")</f>
        <v/>
      </c>
      <c r="Q8" s="29">
        <f>IFERROR(VLOOKUP(K8,MgValor,2,0)*VLOOKUP(N8,MgDeg,2,0),0)</f>
        <v/>
      </c>
      <c r="R8" s="29">
        <f>IFERROR(VLOOKUP(L8,MgValor,2,0)*VLOOKUP(O8,MgDeg,2,0),0)</f>
        <v/>
      </c>
      <c r="S8" s="29">
        <f>IFERROR(VLOOKUP(M8,MgValor,2,0)*VLOOKUP(P8,MgDeg,2,0),0)</f>
        <v/>
      </c>
      <c r="T8" s="30">
        <f>MAX(Q8:S8)</f>
        <v/>
      </c>
      <c r="U8" s="28">
        <f>IFERROR(LOOKUP(T8,{0;0.5;1.5;3;4.5},{"Despreciable";"Bajo";"Medio";"Alto";"Muy alto"}),"")</f>
        <v/>
      </c>
      <c r="V8" s="13">
        <f>IFERROR(INDEX(MgAmenFrec,MATCH(SUBSTITUTE($H8,"*","-"),MgAmenClave,0)),"")</f>
        <v/>
      </c>
      <c r="W8" s="28">
        <f>IFERROR(LOOKUP(X8,{0;0.01;0.1;1;10;100},{"Muy baja";"Muy baja";"Baja";"Media";"Alta";"Muy alta"}),"")</f>
        <v/>
      </c>
      <c r="X8" s="31">
        <f>IFERROR(VLOOKUP(V8,MgFrec,2,0),0)</f>
        <v/>
      </c>
      <c r="Y8" s="30">
        <f>T8*X8</f>
        <v/>
      </c>
      <c r="Z8" s="28">
        <f>IFERROR(LOOKUP(Y8,{0;0.5;5;25},{"Bajo";"Medio";"Alto";"Crítico"}),"")</f>
        <v/>
      </c>
      <c r="AA8" s="64">
        <f>IF(T8&gt;=3,IF(X8&gt;=1,"Zona 1 — Crítica: impacto alto y ocurre al menos una vez al año","Zona 4 — Catastrófica poco probable: impacto alto pero excepcional"),IF(AND(T8&lt;1.5,X8&lt;1),"Zona 3 — Asumible: impacto bajo y muy poco frecuente","Zona 2 — Atención: riesgo intermedio"))</f>
        <v/>
      </c>
      <c r="AB8" s="64">
        <f>IFERROR(INDEX(MgAmenCtrl,MATCH(SUBSTITUTE($H8,"*","-"),MgAmenClave,0)),"")</f>
        <v/>
      </c>
      <c r="AC8" s="20" t="n"/>
      <c r="AD8" s="31">
        <f>IFERROR($X8*(1-IF($AC8="",$AL8,VLOOKUP($AC8,MgMad,2,0))),"")</f>
        <v/>
      </c>
      <c r="AE8" s="28">
        <f>IFERROR(LOOKUP(AD8,{0;0.01;0.1;1;10;100},{"Muy baja";"Muy baja";"Baja";"Media";"Alta";"Muy alta"}),"")</f>
        <v/>
      </c>
      <c r="AF8" s="30">
        <f>T8*AD8</f>
        <v/>
      </c>
      <c r="AG8" s="28">
        <f>IFERROR(LOOKUP(AF8,{0;0.5;5;25},{"Bajo";"Medio";"Alto";"Crítico"}),"")</f>
        <v/>
      </c>
      <c r="AH8" s="28">
        <f>IF(AG8="","",IF(OR(AG8="Crítico",AG8="Alto"),"Mitigar",IF(AG8="Medio","Mitigar","Aceptar y monitorear")))</f>
        <v/>
      </c>
      <c r="AI8" s="21" t="n"/>
      <c r="AJ8" s="21" t="n"/>
      <c r="AK8" s="20" t="n"/>
      <c r="AL8" s="77">
        <f>IFERROR(INDEX(MgAmenEfic,MATCH(SUBSTITUTE($H8,"*","-"),MgAmenClave,0)),0)</f>
        <v/>
      </c>
    </row>
    <row r="9" hidden="1" ht="60" customHeight="1" s="54">
      <c r="B9" s="59" t="inlineStr">
        <is>
          <t>R-0004</t>
        </is>
      </c>
      <c r="C9" s="59" t="inlineStr">
        <is>
          <t>DO-14</t>
        </is>
      </c>
      <c r="D9" s="64">
        <f>IFERROR(INDEX(MgNombre,MATCH($C9,MgActId,0)),"")</f>
        <v/>
      </c>
      <c r="E9" s="64">
        <f>IFERROR(INDEX(MgProceso,MATCH($C9,MgActId,0)),"")</f>
        <v/>
      </c>
      <c r="F9" s="64">
        <f>IFERROR(INDEX(MgTipo,MATCH($C9,MgActId,0)),"")</f>
        <v/>
      </c>
      <c r="G9" s="64">
        <f>IFERROR(INDEX(MgSubtipo,MATCH($C9,MgActId,0)),"")</f>
        <v/>
      </c>
      <c r="H9" s="59" t="inlineStr">
        <is>
          <t>E.9</t>
        </is>
      </c>
      <c r="I9" s="64">
        <f>IFERROR(INDEX(MgAmenNombre,MATCH(SUBSTITUTE($H9,"*","-"),MgAmenClave,0)),"")</f>
        <v/>
      </c>
      <c r="J9" s="28">
        <f>IFERROR(INDEX(MgAmenGrupo,MATCH(SUBSTITUTE($H9,"*","-"),MgAmenClave,0)),"")</f>
        <v/>
      </c>
      <c r="K9" s="64">
        <f>IFERROR(INDEX('1. Matriz de Activos'!$Q$6:$Q$239,MATCH($C9,MgActId,0)),"")</f>
        <v/>
      </c>
      <c r="L9" s="64">
        <f>IFERROR(INDEX('1. Matriz de Activos'!$R$6:$R$239,MATCH($C9,MgActId,0)),"")</f>
        <v/>
      </c>
      <c r="M9" s="64">
        <f>IFERROR(INDEX('1. Matriz de Activos'!$S$6:$S$239,MATCH($C9,MgActId,0)),"")</f>
        <v/>
      </c>
      <c r="N9" s="28">
        <f>IFERROR(INDEX(MgAmenDegD,MATCH(SUBSTITUTE($H9,"*","-"),MgAmenClave,0)),"No aplica")</f>
        <v/>
      </c>
      <c r="O9" s="28">
        <f>IFERROR(INDEX(MgAmenDegI,MATCH(SUBSTITUTE($H9,"*","-"),MgAmenClave,0)),"No aplica")</f>
        <v/>
      </c>
      <c r="P9" s="28">
        <f>IFERROR(INDEX(MgAmenDegC,MATCH(SUBSTITUTE($H9,"*","-"),MgAmenClave,0)),"No aplica")</f>
        <v/>
      </c>
      <c r="Q9" s="29">
        <f>IFERROR(VLOOKUP(K9,MgValor,2,0)*VLOOKUP(N9,MgDeg,2,0),0)</f>
        <v/>
      </c>
      <c r="R9" s="29">
        <f>IFERROR(VLOOKUP(L9,MgValor,2,0)*VLOOKUP(O9,MgDeg,2,0),0)</f>
        <v/>
      </c>
      <c r="S9" s="29">
        <f>IFERROR(VLOOKUP(M9,MgValor,2,0)*VLOOKUP(P9,MgDeg,2,0),0)</f>
        <v/>
      </c>
      <c r="T9" s="30">
        <f>MAX(Q9:S9)</f>
        <v/>
      </c>
      <c r="U9" s="28">
        <f>IFERROR(LOOKUP(T9,{0;0.5;1.5;3;4.5},{"Despreciable";"Bajo";"Medio";"Alto";"Muy alto"}),"")</f>
        <v/>
      </c>
      <c r="V9" s="13">
        <f>IFERROR(INDEX(MgAmenFrec,MATCH(SUBSTITUTE($H9,"*","-"),MgAmenClave,0)),"")</f>
        <v/>
      </c>
      <c r="W9" s="28">
        <f>IFERROR(LOOKUP(X9,{0;0.01;0.1;1;10;100},{"Muy baja";"Muy baja";"Baja";"Media";"Alta";"Muy alta"}),"")</f>
        <v/>
      </c>
      <c r="X9" s="31">
        <f>IFERROR(VLOOKUP(V9,MgFrec,2,0),0)</f>
        <v/>
      </c>
      <c r="Y9" s="30">
        <f>T9*X9</f>
        <v/>
      </c>
      <c r="Z9" s="28">
        <f>IFERROR(LOOKUP(Y9,{0;0.5;5;25},{"Bajo";"Medio";"Alto";"Crítico"}),"")</f>
        <v/>
      </c>
      <c r="AA9" s="64">
        <f>IF(T9&gt;=3,IF(X9&gt;=1,"Zona 1 — Crítica: impacto alto y ocurre al menos una vez al año","Zona 4 — Catastrófica poco probable: impacto alto pero excepcional"),IF(AND(T9&lt;1.5,X9&lt;1),"Zona 3 — Asumible: impacto bajo y muy poco frecuente","Zona 2 — Atención: riesgo intermedio"))</f>
        <v/>
      </c>
      <c r="AB9" s="64">
        <f>IFERROR(INDEX(MgAmenCtrl,MATCH(SUBSTITUTE($H9,"*","-"),MgAmenClave,0)),"")</f>
        <v/>
      </c>
      <c r="AC9" s="20" t="n"/>
      <c r="AD9" s="31">
        <f>IFERROR($X9*(1-IF($AC9="",$AL9,VLOOKUP($AC9,MgMad,2,0))),"")</f>
        <v/>
      </c>
      <c r="AE9" s="28">
        <f>IFERROR(LOOKUP(AD9,{0;0.01;0.1;1;10;100},{"Muy baja";"Muy baja";"Baja";"Media";"Alta";"Muy alta"}),"")</f>
        <v/>
      </c>
      <c r="AF9" s="30">
        <f>T9*AD9</f>
        <v/>
      </c>
      <c r="AG9" s="28">
        <f>IFERROR(LOOKUP(AF9,{0;0.5;5;25},{"Bajo";"Medio";"Alto";"Crítico"}),"")</f>
        <v/>
      </c>
      <c r="AH9" s="28">
        <f>IF(AG9="","",IF(OR(AG9="Crítico",AG9="Alto"),"Mitigar",IF(AG9="Medio","Mitigar","Aceptar y monitorear")))</f>
        <v/>
      </c>
      <c r="AI9" s="21" t="n"/>
      <c r="AJ9" s="21" t="n"/>
      <c r="AK9" s="20" t="n"/>
      <c r="AL9" s="77">
        <f>IFERROR(INDEX(MgAmenEfic,MATCH(SUBSTITUTE($H9,"*","-"),MgAmenClave,0)),0)</f>
        <v/>
      </c>
    </row>
    <row r="10" hidden="1" ht="90" customHeight="1" s="54">
      <c r="B10" s="59" t="inlineStr">
        <is>
          <t>R-0005</t>
        </is>
      </c>
      <c r="C10" s="59" t="inlineStr">
        <is>
          <t>DO-14</t>
        </is>
      </c>
      <c r="D10" s="64">
        <f>IFERROR(INDEX(MgNombre,MATCH($C10,MgActId,0)),"")</f>
        <v/>
      </c>
      <c r="E10" s="64">
        <f>IFERROR(INDEX(MgProceso,MATCH($C10,MgActId,0)),"")</f>
        <v/>
      </c>
      <c r="F10" s="64">
        <f>IFERROR(INDEX(MgTipo,MATCH($C10,MgActId,0)),"")</f>
        <v/>
      </c>
      <c r="G10" s="64">
        <f>IFERROR(INDEX(MgSubtipo,MATCH($C10,MgActId,0)),"")</f>
        <v/>
      </c>
      <c r="H10" s="59" t="inlineStr">
        <is>
          <t>E.10</t>
        </is>
      </c>
      <c r="I10" s="64">
        <f>IFERROR(INDEX(MgAmenNombre,MATCH(SUBSTITUTE($H10,"*","-"),MgAmenClave,0)),"")</f>
        <v/>
      </c>
      <c r="J10" s="28">
        <f>IFERROR(INDEX(MgAmenGrupo,MATCH(SUBSTITUTE($H10,"*","-"),MgAmenClave,0)),"")</f>
        <v/>
      </c>
      <c r="K10" s="64">
        <f>IFERROR(INDEX('1. Matriz de Activos'!$Q$6:$Q$239,MATCH($C10,MgActId,0)),"")</f>
        <v/>
      </c>
      <c r="L10" s="64">
        <f>IFERROR(INDEX('1. Matriz de Activos'!$R$6:$R$239,MATCH($C10,MgActId,0)),"")</f>
        <v/>
      </c>
      <c r="M10" s="64">
        <f>IFERROR(INDEX('1. Matriz de Activos'!$S$6:$S$239,MATCH($C10,MgActId,0)),"")</f>
        <v/>
      </c>
      <c r="N10" s="28">
        <f>IFERROR(INDEX(MgAmenDegD,MATCH(SUBSTITUTE($H10,"*","-"),MgAmenClave,0)),"No aplica")</f>
        <v/>
      </c>
      <c r="O10" s="28">
        <f>IFERROR(INDEX(MgAmenDegI,MATCH(SUBSTITUTE($H10,"*","-"),MgAmenClave,0)),"No aplica")</f>
        <v/>
      </c>
      <c r="P10" s="28">
        <f>IFERROR(INDEX(MgAmenDegC,MATCH(SUBSTITUTE($H10,"*","-"),MgAmenClave,0)),"No aplica")</f>
        <v/>
      </c>
      <c r="Q10" s="29">
        <f>IFERROR(VLOOKUP(K10,MgValor,2,0)*VLOOKUP(N10,MgDeg,2,0),0)</f>
        <v/>
      </c>
      <c r="R10" s="29">
        <f>IFERROR(VLOOKUP(L10,MgValor,2,0)*VLOOKUP(O10,MgDeg,2,0),0)</f>
        <v/>
      </c>
      <c r="S10" s="29">
        <f>IFERROR(VLOOKUP(M10,MgValor,2,0)*VLOOKUP(P10,MgDeg,2,0),0)</f>
        <v/>
      </c>
      <c r="T10" s="30">
        <f>MAX(Q10:S10)</f>
        <v/>
      </c>
      <c r="U10" s="28">
        <f>IFERROR(LOOKUP(T10,{0;0.5;1.5;3;4.5},{"Despreciable";"Bajo";"Medio";"Alto";"Muy alto"}),"")</f>
        <v/>
      </c>
      <c r="V10" s="13">
        <f>IFERROR(INDEX(MgAmenFrec,MATCH(SUBSTITUTE($H10,"*","-"),MgAmenClave,0)),"")</f>
        <v/>
      </c>
      <c r="W10" s="28">
        <f>IFERROR(LOOKUP(X10,{0;0.01;0.1;1;10;100},{"Muy baja";"Muy baja";"Baja";"Media";"Alta";"Muy alta"}),"")</f>
        <v/>
      </c>
      <c r="X10" s="31">
        <f>IFERROR(VLOOKUP(V10,MgFrec,2,0),0)</f>
        <v/>
      </c>
      <c r="Y10" s="30">
        <f>T10*X10</f>
        <v/>
      </c>
      <c r="Z10" s="28">
        <f>IFERROR(LOOKUP(Y10,{0;0.5;5;25},{"Bajo";"Medio";"Alto";"Crítico"}),"")</f>
        <v/>
      </c>
      <c r="AA10" s="64">
        <f>IF(T10&gt;=3,IF(X10&gt;=1,"Zona 1 — Crítica: impacto alto y ocurre al menos una vez al año","Zona 4 — Catastrófica poco probable: impacto alto pero excepcional"),IF(AND(T10&lt;1.5,X10&lt;1),"Zona 3 — Asumible: impacto bajo y muy poco frecuente","Zona 2 — Atención: riesgo intermedio"))</f>
        <v/>
      </c>
      <c r="AB10" s="64">
        <f>IFERROR(INDEX(MgAmenCtrl,MATCH(SUBSTITUTE($H10,"*","-"),MgAmenClave,0)),"")</f>
        <v/>
      </c>
      <c r="AC10" s="20" t="n"/>
      <c r="AD10" s="31">
        <f>IFERROR($X10*(1-IF($AC10="",$AL10,VLOOKUP($AC10,MgMad,2,0))),"")</f>
        <v/>
      </c>
      <c r="AE10" s="28">
        <f>IFERROR(LOOKUP(AD10,{0;0.01;0.1;1;10;100},{"Muy baja";"Muy baja";"Baja";"Media";"Alta";"Muy alta"}),"")</f>
        <v/>
      </c>
      <c r="AF10" s="30">
        <f>T10*AD10</f>
        <v/>
      </c>
      <c r="AG10" s="28">
        <f>IFERROR(LOOKUP(AF10,{0;0.5;5;25},{"Bajo";"Medio";"Alto";"Crítico"}),"")</f>
        <v/>
      </c>
      <c r="AH10" s="28">
        <f>IF(AG10="","",IF(OR(AG10="Crítico",AG10="Alto"),"Mitigar",IF(AG10="Medio","Mitigar","Aceptar y monitorear")))</f>
        <v/>
      </c>
      <c r="AI10" s="21" t="n"/>
      <c r="AJ10" s="21" t="n"/>
      <c r="AK10" s="20" t="n"/>
      <c r="AL10" s="77">
        <f>IFERROR(INDEX(MgAmenEfic,MATCH(SUBSTITUTE($H10,"*","-"),MgAmenClave,0)),0)</f>
        <v/>
      </c>
    </row>
    <row r="11" hidden="1" ht="90" customHeight="1" s="54">
      <c r="B11" s="59" t="inlineStr">
        <is>
          <t>R-0006</t>
        </is>
      </c>
      <c r="C11" s="59" t="inlineStr">
        <is>
          <t>DO-14</t>
        </is>
      </c>
      <c r="D11" s="64">
        <f>IFERROR(INDEX(MgNombre,MATCH($C11,MgActId,0)),"")</f>
        <v/>
      </c>
      <c r="E11" s="64">
        <f>IFERROR(INDEX(MgProceso,MATCH($C11,MgActId,0)),"")</f>
        <v/>
      </c>
      <c r="F11" s="64">
        <f>IFERROR(INDEX(MgTipo,MATCH($C11,MgActId,0)),"")</f>
        <v/>
      </c>
      <c r="G11" s="64">
        <f>IFERROR(INDEX(MgSubtipo,MATCH($C11,MgActId,0)),"")</f>
        <v/>
      </c>
      <c r="H11" s="59" t="inlineStr">
        <is>
          <t>E.14</t>
        </is>
      </c>
      <c r="I11" s="64">
        <f>IFERROR(INDEX(MgAmenNombre,MATCH(SUBSTITUTE($H11,"*","-"),MgAmenClave,0)),"")</f>
        <v/>
      </c>
      <c r="J11" s="28">
        <f>IFERROR(INDEX(MgAmenGrupo,MATCH(SUBSTITUTE($H11,"*","-"),MgAmenClave,0)),"")</f>
        <v/>
      </c>
      <c r="K11" s="64">
        <f>IFERROR(INDEX('1. Matriz de Activos'!$Q$6:$Q$239,MATCH($C11,MgActId,0)),"")</f>
        <v/>
      </c>
      <c r="L11" s="64">
        <f>IFERROR(INDEX('1. Matriz de Activos'!$R$6:$R$239,MATCH($C11,MgActId,0)),"")</f>
        <v/>
      </c>
      <c r="M11" s="64">
        <f>IFERROR(INDEX('1. Matriz de Activos'!$S$6:$S$239,MATCH($C11,MgActId,0)),"")</f>
        <v/>
      </c>
      <c r="N11" s="28">
        <f>IFERROR(INDEX(MgAmenDegD,MATCH(SUBSTITUTE($H11,"*","-"),MgAmenClave,0)),"No aplica")</f>
        <v/>
      </c>
      <c r="O11" s="28">
        <f>IFERROR(INDEX(MgAmenDegI,MATCH(SUBSTITUTE($H11,"*","-"),MgAmenClave,0)),"No aplica")</f>
        <v/>
      </c>
      <c r="P11" s="28">
        <f>IFERROR(INDEX(MgAmenDegC,MATCH(SUBSTITUTE($H11,"*","-"),MgAmenClave,0)),"No aplica")</f>
        <v/>
      </c>
      <c r="Q11" s="29">
        <f>IFERROR(VLOOKUP(K11,MgValor,2,0)*VLOOKUP(N11,MgDeg,2,0),0)</f>
        <v/>
      </c>
      <c r="R11" s="29">
        <f>IFERROR(VLOOKUP(L11,MgValor,2,0)*VLOOKUP(O11,MgDeg,2,0),0)</f>
        <v/>
      </c>
      <c r="S11" s="29">
        <f>IFERROR(VLOOKUP(M11,MgValor,2,0)*VLOOKUP(P11,MgDeg,2,0),0)</f>
        <v/>
      </c>
      <c r="T11" s="30">
        <f>MAX(Q11:S11)</f>
        <v/>
      </c>
      <c r="U11" s="28">
        <f>IFERROR(LOOKUP(T11,{0;0.5;1.5;3;4.5},{"Despreciable";"Bajo";"Medio";"Alto";"Muy alto"}),"")</f>
        <v/>
      </c>
      <c r="V11" s="13">
        <f>IFERROR(INDEX(MgAmenFrec,MATCH(SUBSTITUTE($H11,"*","-"),MgAmenClave,0)),"")</f>
        <v/>
      </c>
      <c r="W11" s="28">
        <f>IFERROR(LOOKUP(X11,{0;0.01;0.1;1;10;100},{"Muy baja";"Muy baja";"Baja";"Media";"Alta";"Muy alta"}),"")</f>
        <v/>
      </c>
      <c r="X11" s="31">
        <f>IFERROR(VLOOKUP(V11,MgFrec,2,0),0)</f>
        <v/>
      </c>
      <c r="Y11" s="30">
        <f>T11*X11</f>
        <v/>
      </c>
      <c r="Z11" s="28">
        <f>IFERROR(LOOKUP(Y11,{0;0.5;5;25},{"Bajo";"Medio";"Alto";"Crítico"}),"")</f>
        <v/>
      </c>
      <c r="AA11" s="64">
        <f>IF(T11&gt;=3,IF(X11&gt;=1,"Zona 1 — Crítica: impacto alto y ocurre al menos una vez al año","Zona 4 — Catastrófica poco probable: impacto alto pero excepcional"),IF(AND(T11&lt;1.5,X11&lt;1),"Zona 3 — Asumible: impacto bajo y muy poco frecuente","Zona 2 — Atención: riesgo intermedio"))</f>
        <v/>
      </c>
      <c r="AB11" s="64">
        <f>IFERROR(INDEX(MgAmenCtrl,MATCH(SUBSTITUTE($H11,"*","-"),MgAmenClave,0)),"")</f>
        <v/>
      </c>
      <c r="AC11" s="20" t="n"/>
      <c r="AD11" s="31">
        <f>IFERROR($X11*(1-IF($AC11="",$AL11,VLOOKUP($AC11,MgMad,2,0))),"")</f>
        <v/>
      </c>
      <c r="AE11" s="28">
        <f>IFERROR(LOOKUP(AD11,{0;0.01;0.1;1;10;100},{"Muy baja";"Muy baja";"Baja";"Media";"Alta";"Muy alta"}),"")</f>
        <v/>
      </c>
      <c r="AF11" s="30">
        <f>T11*AD11</f>
        <v/>
      </c>
      <c r="AG11" s="28">
        <f>IFERROR(LOOKUP(AF11,{0;0.5;5;25},{"Bajo";"Medio";"Alto";"Crítico"}),"")</f>
        <v/>
      </c>
      <c r="AH11" s="28">
        <f>IF(AG11="","",IF(OR(AG11="Crítico",AG11="Alto"),"Mitigar",IF(AG11="Medio","Mitigar","Aceptar y monitorear")))</f>
        <v/>
      </c>
      <c r="AI11" s="21" t="n"/>
      <c r="AJ11" s="21" t="n"/>
      <c r="AK11" s="20" t="n"/>
      <c r="AL11" s="77">
        <f>IFERROR(INDEX(MgAmenEfic,MATCH(SUBSTITUTE($H11,"*","-"),MgAmenClave,0)),0)</f>
        <v/>
      </c>
    </row>
    <row r="12" hidden="1" ht="90" customHeight="1" s="54">
      <c r="B12" s="59" t="inlineStr">
        <is>
          <t>R-0007</t>
        </is>
      </c>
      <c r="C12" s="59" t="inlineStr">
        <is>
          <t>DO-14</t>
        </is>
      </c>
      <c r="D12" s="64">
        <f>IFERROR(INDEX(MgNombre,MATCH($C12,MgActId,0)),"")</f>
        <v/>
      </c>
      <c r="E12" s="64">
        <f>IFERROR(INDEX(MgProceso,MATCH($C12,MgActId,0)),"")</f>
        <v/>
      </c>
      <c r="F12" s="64">
        <f>IFERROR(INDEX(MgTipo,MATCH($C12,MgActId,0)),"")</f>
        <v/>
      </c>
      <c r="G12" s="64">
        <f>IFERROR(INDEX(MgSubtipo,MATCH($C12,MgActId,0)),"")</f>
        <v/>
      </c>
      <c r="H12" s="59" t="inlineStr">
        <is>
          <t>E.15</t>
        </is>
      </c>
      <c r="I12" s="64">
        <f>IFERROR(INDEX(MgAmenNombre,MATCH(SUBSTITUTE($H12,"*","-"),MgAmenClave,0)),"")</f>
        <v/>
      </c>
      <c r="J12" s="28">
        <f>IFERROR(INDEX(MgAmenGrupo,MATCH(SUBSTITUTE($H12,"*","-"),MgAmenClave,0)),"")</f>
        <v/>
      </c>
      <c r="K12" s="64">
        <f>IFERROR(INDEX('1. Matriz de Activos'!$Q$6:$Q$239,MATCH($C12,MgActId,0)),"")</f>
        <v/>
      </c>
      <c r="L12" s="64">
        <f>IFERROR(INDEX('1. Matriz de Activos'!$R$6:$R$239,MATCH($C12,MgActId,0)),"")</f>
        <v/>
      </c>
      <c r="M12" s="64">
        <f>IFERROR(INDEX('1. Matriz de Activos'!$S$6:$S$239,MATCH($C12,MgActId,0)),"")</f>
        <v/>
      </c>
      <c r="N12" s="28">
        <f>IFERROR(INDEX(MgAmenDegD,MATCH(SUBSTITUTE($H12,"*","-"),MgAmenClave,0)),"No aplica")</f>
        <v/>
      </c>
      <c r="O12" s="28">
        <f>IFERROR(INDEX(MgAmenDegI,MATCH(SUBSTITUTE($H12,"*","-"),MgAmenClave,0)),"No aplica")</f>
        <v/>
      </c>
      <c r="P12" s="28">
        <f>IFERROR(INDEX(MgAmenDegC,MATCH(SUBSTITUTE($H12,"*","-"),MgAmenClave,0)),"No aplica")</f>
        <v/>
      </c>
      <c r="Q12" s="29">
        <f>IFERROR(VLOOKUP(K12,MgValor,2,0)*VLOOKUP(N12,MgDeg,2,0),0)</f>
        <v/>
      </c>
      <c r="R12" s="29">
        <f>IFERROR(VLOOKUP(L12,MgValor,2,0)*VLOOKUP(O12,MgDeg,2,0),0)</f>
        <v/>
      </c>
      <c r="S12" s="29">
        <f>IFERROR(VLOOKUP(M12,MgValor,2,0)*VLOOKUP(P12,MgDeg,2,0),0)</f>
        <v/>
      </c>
      <c r="T12" s="30">
        <f>MAX(Q12:S12)</f>
        <v/>
      </c>
      <c r="U12" s="28">
        <f>IFERROR(LOOKUP(T12,{0;0.5;1.5;3;4.5},{"Despreciable";"Bajo";"Medio";"Alto";"Muy alto"}),"")</f>
        <v/>
      </c>
      <c r="V12" s="13">
        <f>IFERROR(INDEX(MgAmenFrec,MATCH(SUBSTITUTE($H12,"*","-"),MgAmenClave,0)),"")</f>
        <v/>
      </c>
      <c r="W12" s="28">
        <f>IFERROR(LOOKUP(X12,{0;0.01;0.1;1;10;100},{"Muy baja";"Muy baja";"Baja";"Media";"Alta";"Muy alta"}),"")</f>
        <v/>
      </c>
      <c r="X12" s="31">
        <f>IFERROR(VLOOKUP(V12,MgFrec,2,0),0)</f>
        <v/>
      </c>
      <c r="Y12" s="30">
        <f>T12*X12</f>
        <v/>
      </c>
      <c r="Z12" s="28">
        <f>IFERROR(LOOKUP(Y12,{0;0.5;5;25},{"Bajo";"Medio";"Alto";"Crítico"}),"")</f>
        <v/>
      </c>
      <c r="AA12" s="64">
        <f>IF(T12&gt;=3,IF(X12&gt;=1,"Zona 1 — Crítica: impacto alto y ocurre al menos una vez al año","Zona 4 — Catastrófica poco probable: impacto alto pero excepcional"),IF(AND(T12&lt;1.5,X12&lt;1),"Zona 3 — Asumible: impacto bajo y muy poco frecuente","Zona 2 — Atención: riesgo intermedio"))</f>
        <v/>
      </c>
      <c r="AB12" s="64">
        <f>IFERROR(INDEX(MgAmenCtrl,MATCH(SUBSTITUTE($H12,"*","-"),MgAmenClave,0)),"")</f>
        <v/>
      </c>
      <c r="AC12" s="20" t="n"/>
      <c r="AD12" s="31">
        <f>IFERROR($X12*(1-IF($AC12="",$AL12,VLOOKUP($AC12,MgMad,2,0))),"")</f>
        <v/>
      </c>
      <c r="AE12" s="28">
        <f>IFERROR(LOOKUP(AD12,{0;0.01;0.1;1;10;100},{"Muy baja";"Muy baja";"Baja";"Media";"Alta";"Muy alta"}),"")</f>
        <v/>
      </c>
      <c r="AF12" s="30">
        <f>T12*AD12</f>
        <v/>
      </c>
      <c r="AG12" s="28">
        <f>IFERROR(LOOKUP(AF12,{0;0.5;5;25},{"Bajo";"Medio";"Alto";"Crítico"}),"")</f>
        <v/>
      </c>
      <c r="AH12" s="28">
        <f>IF(AG12="","",IF(OR(AG12="Crítico",AG12="Alto"),"Mitigar",IF(AG12="Medio","Mitigar","Aceptar y monitorear")))</f>
        <v/>
      </c>
      <c r="AI12" s="21" t="n"/>
      <c r="AJ12" s="21" t="n"/>
      <c r="AK12" s="20" t="n"/>
      <c r="AL12" s="77">
        <f>IFERROR(INDEX(MgAmenEfic,MATCH(SUBSTITUTE($H12,"*","-"),MgAmenClave,0)),0)</f>
        <v/>
      </c>
    </row>
    <row r="13" hidden="1" ht="60" customHeight="1" s="54">
      <c r="B13" s="59" t="inlineStr">
        <is>
          <t>R-0008</t>
        </is>
      </c>
      <c r="C13" s="59" t="inlineStr">
        <is>
          <t>DO-14</t>
        </is>
      </c>
      <c r="D13" s="64">
        <f>IFERROR(INDEX(MgNombre,MATCH($C13,MgActId,0)),"")</f>
        <v/>
      </c>
      <c r="E13" s="64">
        <f>IFERROR(INDEX(MgProceso,MATCH($C13,MgActId,0)),"")</f>
        <v/>
      </c>
      <c r="F13" s="64">
        <f>IFERROR(INDEX(MgTipo,MATCH($C13,MgActId,0)),"")</f>
        <v/>
      </c>
      <c r="G13" s="64">
        <f>IFERROR(INDEX(MgSubtipo,MATCH($C13,MgActId,0)),"")</f>
        <v/>
      </c>
      <c r="H13" s="59" t="inlineStr">
        <is>
          <t>E.18</t>
        </is>
      </c>
      <c r="I13" s="64">
        <f>IFERROR(INDEX(MgAmenNombre,MATCH(SUBSTITUTE($H13,"*","-"),MgAmenClave,0)),"")</f>
        <v/>
      </c>
      <c r="J13" s="28">
        <f>IFERROR(INDEX(MgAmenGrupo,MATCH(SUBSTITUTE($H13,"*","-"),MgAmenClave,0)),"")</f>
        <v/>
      </c>
      <c r="K13" s="64">
        <f>IFERROR(INDEX('1. Matriz de Activos'!$Q$6:$Q$239,MATCH($C13,MgActId,0)),"")</f>
        <v/>
      </c>
      <c r="L13" s="64">
        <f>IFERROR(INDEX('1. Matriz de Activos'!$R$6:$R$239,MATCH($C13,MgActId,0)),"")</f>
        <v/>
      </c>
      <c r="M13" s="64">
        <f>IFERROR(INDEX('1. Matriz de Activos'!$S$6:$S$239,MATCH($C13,MgActId,0)),"")</f>
        <v/>
      </c>
      <c r="N13" s="28">
        <f>IFERROR(INDEX(MgAmenDegD,MATCH(SUBSTITUTE($H13,"*","-"),MgAmenClave,0)),"No aplica")</f>
        <v/>
      </c>
      <c r="O13" s="28">
        <f>IFERROR(INDEX(MgAmenDegI,MATCH(SUBSTITUTE($H13,"*","-"),MgAmenClave,0)),"No aplica")</f>
        <v/>
      </c>
      <c r="P13" s="28">
        <f>IFERROR(INDEX(MgAmenDegC,MATCH(SUBSTITUTE($H13,"*","-"),MgAmenClave,0)),"No aplica")</f>
        <v/>
      </c>
      <c r="Q13" s="29">
        <f>IFERROR(VLOOKUP(K13,MgValor,2,0)*VLOOKUP(N13,MgDeg,2,0),0)</f>
        <v/>
      </c>
      <c r="R13" s="29">
        <f>IFERROR(VLOOKUP(L13,MgValor,2,0)*VLOOKUP(O13,MgDeg,2,0),0)</f>
        <v/>
      </c>
      <c r="S13" s="29">
        <f>IFERROR(VLOOKUP(M13,MgValor,2,0)*VLOOKUP(P13,MgDeg,2,0),0)</f>
        <v/>
      </c>
      <c r="T13" s="30">
        <f>MAX(Q13:S13)</f>
        <v/>
      </c>
      <c r="U13" s="28">
        <f>IFERROR(LOOKUP(T13,{0;0.5;1.5;3;4.5},{"Despreciable";"Bajo";"Medio";"Alto";"Muy alto"}),"")</f>
        <v/>
      </c>
      <c r="V13" s="13">
        <f>IFERROR(INDEX(MgAmenFrec,MATCH(SUBSTITUTE($H13,"*","-"),MgAmenClave,0)),"")</f>
        <v/>
      </c>
      <c r="W13" s="28">
        <f>IFERROR(LOOKUP(X13,{0;0.01;0.1;1;10;100},{"Muy baja";"Muy baja";"Baja";"Media";"Alta";"Muy alta"}),"")</f>
        <v/>
      </c>
      <c r="X13" s="31">
        <f>IFERROR(VLOOKUP(V13,MgFrec,2,0),0)</f>
        <v/>
      </c>
      <c r="Y13" s="30">
        <f>T13*X13</f>
        <v/>
      </c>
      <c r="Z13" s="28">
        <f>IFERROR(LOOKUP(Y13,{0;0.5;5;25},{"Bajo";"Medio";"Alto";"Crítico"}),"")</f>
        <v/>
      </c>
      <c r="AA13" s="64">
        <f>IF(T13&gt;=3,IF(X13&gt;=1,"Zona 1 — Crítica: impacto alto y ocurre al menos una vez al año","Zona 4 — Catastrófica poco probable: impacto alto pero excepcional"),IF(AND(T13&lt;1.5,X13&lt;1),"Zona 3 — Asumible: impacto bajo y muy poco frecuente","Zona 2 — Atención: riesgo intermedio"))</f>
        <v/>
      </c>
      <c r="AB13" s="64">
        <f>IFERROR(INDEX(MgAmenCtrl,MATCH(SUBSTITUTE($H13,"*","-"),MgAmenClave,0)),"")</f>
        <v/>
      </c>
      <c r="AC13" s="20" t="n"/>
      <c r="AD13" s="31">
        <f>IFERROR($X13*(1-IF($AC13="",$AL13,VLOOKUP($AC13,MgMad,2,0))),"")</f>
        <v/>
      </c>
      <c r="AE13" s="28">
        <f>IFERROR(LOOKUP(AD13,{0;0.01;0.1;1;10;100},{"Muy baja";"Muy baja";"Baja";"Media";"Alta";"Muy alta"}),"")</f>
        <v/>
      </c>
      <c r="AF13" s="30">
        <f>T13*AD13</f>
        <v/>
      </c>
      <c r="AG13" s="28">
        <f>IFERROR(LOOKUP(AF13,{0;0.5;5;25},{"Bajo";"Medio";"Alto";"Crítico"}),"")</f>
        <v/>
      </c>
      <c r="AH13" s="28">
        <f>IF(AG13="","",IF(OR(AG13="Crítico",AG13="Alto"),"Mitigar",IF(AG13="Medio","Mitigar","Aceptar y monitorear")))</f>
        <v/>
      </c>
      <c r="AI13" s="21" t="n"/>
      <c r="AJ13" s="21" t="n"/>
      <c r="AK13" s="20" t="n"/>
      <c r="AL13" s="77">
        <f>IFERROR(INDEX(MgAmenEfic,MATCH(SUBSTITUTE($H13,"*","-"),MgAmenClave,0)),0)</f>
        <v/>
      </c>
    </row>
    <row r="14" hidden="1" ht="105" customHeight="1" s="54">
      <c r="B14" s="59" t="inlineStr">
        <is>
          <t>R-0009</t>
        </is>
      </c>
      <c r="C14" s="59" t="inlineStr">
        <is>
          <t>DO-14</t>
        </is>
      </c>
      <c r="D14" s="64">
        <f>IFERROR(INDEX(MgNombre,MATCH($C14,MgActId,0)),"")</f>
        <v/>
      </c>
      <c r="E14" s="64">
        <f>IFERROR(INDEX(MgProceso,MATCH($C14,MgActId,0)),"")</f>
        <v/>
      </c>
      <c r="F14" s="64">
        <f>IFERROR(INDEX(MgTipo,MATCH($C14,MgActId,0)),"")</f>
        <v/>
      </c>
      <c r="G14" s="64">
        <f>IFERROR(INDEX(MgSubtipo,MATCH($C14,MgActId,0)),"")</f>
        <v/>
      </c>
      <c r="H14" s="59" t="inlineStr">
        <is>
          <t>E.19</t>
        </is>
      </c>
      <c r="I14" s="64">
        <f>IFERROR(INDEX(MgAmenNombre,MATCH(SUBSTITUTE($H14,"*","-"),MgAmenClave,0)),"")</f>
        <v/>
      </c>
      <c r="J14" s="28">
        <f>IFERROR(INDEX(MgAmenGrupo,MATCH(SUBSTITUTE($H14,"*","-"),MgAmenClave,0)),"")</f>
        <v/>
      </c>
      <c r="K14" s="64">
        <f>IFERROR(INDEX('1. Matriz de Activos'!$Q$6:$Q$239,MATCH($C14,MgActId,0)),"")</f>
        <v/>
      </c>
      <c r="L14" s="64">
        <f>IFERROR(INDEX('1. Matriz de Activos'!$R$6:$R$239,MATCH($C14,MgActId,0)),"")</f>
        <v/>
      </c>
      <c r="M14" s="64">
        <f>IFERROR(INDEX('1. Matriz de Activos'!$S$6:$S$239,MATCH($C14,MgActId,0)),"")</f>
        <v/>
      </c>
      <c r="N14" s="28">
        <f>IFERROR(INDEX(MgAmenDegD,MATCH(SUBSTITUTE($H14,"*","-"),MgAmenClave,0)),"No aplica")</f>
        <v/>
      </c>
      <c r="O14" s="28">
        <f>IFERROR(INDEX(MgAmenDegI,MATCH(SUBSTITUTE($H14,"*","-"),MgAmenClave,0)),"No aplica")</f>
        <v/>
      </c>
      <c r="P14" s="28">
        <f>IFERROR(INDEX(MgAmenDegC,MATCH(SUBSTITUTE($H14,"*","-"),MgAmenClave,0)),"No aplica")</f>
        <v/>
      </c>
      <c r="Q14" s="29">
        <f>IFERROR(VLOOKUP(K14,MgValor,2,0)*VLOOKUP(N14,MgDeg,2,0),0)</f>
        <v/>
      </c>
      <c r="R14" s="29">
        <f>IFERROR(VLOOKUP(L14,MgValor,2,0)*VLOOKUP(O14,MgDeg,2,0),0)</f>
        <v/>
      </c>
      <c r="S14" s="29">
        <f>IFERROR(VLOOKUP(M14,MgValor,2,0)*VLOOKUP(P14,MgDeg,2,0),0)</f>
        <v/>
      </c>
      <c r="T14" s="30">
        <f>MAX(Q14:S14)</f>
        <v/>
      </c>
      <c r="U14" s="28">
        <f>IFERROR(LOOKUP(T14,{0;0.5;1.5;3;4.5},{"Despreciable";"Bajo";"Medio";"Alto";"Muy alto"}),"")</f>
        <v/>
      </c>
      <c r="V14" s="13">
        <f>IFERROR(INDEX(MgAmenFrec,MATCH(SUBSTITUTE($H14,"*","-"),MgAmenClave,0)),"")</f>
        <v/>
      </c>
      <c r="W14" s="28">
        <f>IFERROR(LOOKUP(X14,{0;0.01;0.1;1;10;100},{"Muy baja";"Muy baja";"Baja";"Media";"Alta";"Muy alta"}),"")</f>
        <v/>
      </c>
      <c r="X14" s="31">
        <f>IFERROR(VLOOKUP(V14,MgFrec,2,0),0)</f>
        <v/>
      </c>
      <c r="Y14" s="30">
        <f>T14*X14</f>
        <v/>
      </c>
      <c r="Z14" s="28">
        <f>IFERROR(LOOKUP(Y14,{0;0.5;5;25},{"Bajo";"Medio";"Alto";"Crítico"}),"")</f>
        <v/>
      </c>
      <c r="AA14" s="64">
        <f>IF(T14&gt;=3,IF(X14&gt;=1,"Zona 1 — Crítica: impacto alto y ocurre al menos una vez al año","Zona 4 — Catastrófica poco probable: impacto alto pero excepcional"),IF(AND(T14&lt;1.5,X14&lt;1),"Zona 3 — Asumible: impacto bajo y muy poco frecuente","Zona 2 — Atención: riesgo intermedio"))</f>
        <v/>
      </c>
      <c r="AB14" s="64">
        <f>IFERROR(INDEX(MgAmenCtrl,MATCH(SUBSTITUTE($H14,"*","-"),MgAmenClave,0)),"")</f>
        <v/>
      </c>
      <c r="AC14" s="20" t="n"/>
      <c r="AD14" s="31">
        <f>IFERROR($X14*(1-IF($AC14="",$AL14,VLOOKUP($AC14,MgMad,2,0))),"")</f>
        <v/>
      </c>
      <c r="AE14" s="28">
        <f>IFERROR(LOOKUP(AD14,{0;0.01;0.1;1;10;100},{"Muy baja";"Muy baja";"Baja";"Media";"Alta";"Muy alta"}),"")</f>
        <v/>
      </c>
      <c r="AF14" s="30">
        <f>T14*AD14</f>
        <v/>
      </c>
      <c r="AG14" s="28">
        <f>IFERROR(LOOKUP(AF14,{0;0.5;5;25},{"Bajo";"Medio";"Alto";"Crítico"}),"")</f>
        <v/>
      </c>
      <c r="AH14" s="28">
        <f>IF(AG14="","",IF(OR(AG14="Crítico",AG14="Alto"),"Mitigar",IF(AG14="Medio","Mitigar","Aceptar y monitorear")))</f>
        <v/>
      </c>
      <c r="AI14" s="21" t="n"/>
      <c r="AJ14" s="21" t="n"/>
      <c r="AK14" s="20" t="n"/>
      <c r="AL14" s="77">
        <f>IFERROR(INDEX(MgAmenEfic,MATCH(SUBSTITUTE($H14,"*","-"),MgAmenClave,0)),0)</f>
        <v/>
      </c>
    </row>
    <row r="15" hidden="1" ht="45" customHeight="1" s="54">
      <c r="B15" s="59" t="inlineStr">
        <is>
          <t>R-0010</t>
        </is>
      </c>
      <c r="C15" s="59" t="inlineStr">
        <is>
          <t>DO-14</t>
        </is>
      </c>
      <c r="D15" s="64">
        <f>IFERROR(INDEX(MgNombre,MATCH($C15,MgActId,0)),"")</f>
        <v/>
      </c>
      <c r="E15" s="64">
        <f>IFERROR(INDEX(MgProceso,MATCH($C15,MgActId,0)),"")</f>
        <v/>
      </c>
      <c r="F15" s="64">
        <f>IFERROR(INDEX(MgTipo,MATCH($C15,MgActId,0)),"")</f>
        <v/>
      </c>
      <c r="G15" s="64">
        <f>IFERROR(INDEX(MgSubtipo,MATCH($C15,MgActId,0)),"")</f>
        <v/>
      </c>
      <c r="H15" s="59" t="inlineStr">
        <is>
          <t>E.24</t>
        </is>
      </c>
      <c r="I15" s="64">
        <f>IFERROR(INDEX(MgAmenNombre,MATCH(SUBSTITUTE($H15,"*","-"),MgAmenClave,0)),"")</f>
        <v/>
      </c>
      <c r="J15" s="28">
        <f>IFERROR(INDEX(MgAmenGrupo,MATCH(SUBSTITUTE($H15,"*","-"),MgAmenClave,0)),"")</f>
        <v/>
      </c>
      <c r="K15" s="64">
        <f>IFERROR(INDEX('1. Matriz de Activos'!$Q$6:$Q$239,MATCH($C15,MgActId,0)),"")</f>
        <v/>
      </c>
      <c r="L15" s="64">
        <f>IFERROR(INDEX('1. Matriz de Activos'!$R$6:$R$239,MATCH($C15,MgActId,0)),"")</f>
        <v/>
      </c>
      <c r="M15" s="64">
        <f>IFERROR(INDEX('1. Matriz de Activos'!$S$6:$S$239,MATCH($C15,MgActId,0)),"")</f>
        <v/>
      </c>
      <c r="N15" s="28">
        <f>IFERROR(INDEX(MgAmenDegD,MATCH(SUBSTITUTE($H15,"*","-"),MgAmenClave,0)),"No aplica")</f>
        <v/>
      </c>
      <c r="O15" s="28">
        <f>IFERROR(INDEX(MgAmenDegI,MATCH(SUBSTITUTE($H15,"*","-"),MgAmenClave,0)),"No aplica")</f>
        <v/>
      </c>
      <c r="P15" s="28">
        <f>IFERROR(INDEX(MgAmenDegC,MATCH(SUBSTITUTE($H15,"*","-"),MgAmenClave,0)),"No aplica")</f>
        <v/>
      </c>
      <c r="Q15" s="29">
        <f>IFERROR(VLOOKUP(K15,MgValor,2,0)*VLOOKUP(N15,MgDeg,2,0),0)</f>
        <v/>
      </c>
      <c r="R15" s="29">
        <f>IFERROR(VLOOKUP(L15,MgValor,2,0)*VLOOKUP(O15,MgDeg,2,0),0)</f>
        <v/>
      </c>
      <c r="S15" s="29">
        <f>IFERROR(VLOOKUP(M15,MgValor,2,0)*VLOOKUP(P15,MgDeg,2,0),0)</f>
        <v/>
      </c>
      <c r="T15" s="30">
        <f>MAX(Q15:S15)</f>
        <v/>
      </c>
      <c r="U15" s="28">
        <f>IFERROR(LOOKUP(T15,{0;0.5;1.5;3;4.5},{"Despreciable";"Bajo";"Medio";"Alto";"Muy alto"}),"")</f>
        <v/>
      </c>
      <c r="V15" s="13">
        <f>IFERROR(INDEX(MgAmenFrec,MATCH(SUBSTITUTE($H15,"*","-"),MgAmenClave,0)),"")</f>
        <v/>
      </c>
      <c r="W15" s="28">
        <f>IFERROR(LOOKUP(X15,{0;0.01;0.1;1;10;100},{"Muy baja";"Muy baja";"Baja";"Media";"Alta";"Muy alta"}),"")</f>
        <v/>
      </c>
      <c r="X15" s="31">
        <f>IFERROR(VLOOKUP(V15,MgFrec,2,0),0)</f>
        <v/>
      </c>
      <c r="Y15" s="30">
        <f>T15*X15</f>
        <v/>
      </c>
      <c r="Z15" s="28">
        <f>IFERROR(LOOKUP(Y15,{0;0.5;5;25},{"Bajo";"Medio";"Alto";"Crítico"}),"")</f>
        <v/>
      </c>
      <c r="AA15" s="64">
        <f>IF(T15&gt;=3,IF(X15&gt;=1,"Zona 1 — Crítica: impacto alto y ocurre al menos una vez al año","Zona 4 — Catastrófica poco probable: impacto alto pero excepcional"),IF(AND(T15&lt;1.5,X15&lt;1),"Zona 3 — Asumible: impacto bajo y muy poco frecuente","Zona 2 — Atención: riesgo intermedio"))</f>
        <v/>
      </c>
      <c r="AB15" s="64">
        <f>IFERROR(INDEX(MgAmenCtrl,MATCH(SUBSTITUTE($H15,"*","-"),MgAmenClave,0)),"")</f>
        <v/>
      </c>
      <c r="AC15" s="20" t="n"/>
      <c r="AD15" s="31">
        <f>IFERROR($X15*(1-IF($AC15="",$AL15,VLOOKUP($AC15,MgMad,2,0))),"")</f>
        <v/>
      </c>
      <c r="AE15" s="28">
        <f>IFERROR(LOOKUP(AD15,{0;0.01;0.1;1;10;100},{"Muy baja";"Muy baja";"Baja";"Media";"Alta";"Muy alta"}),"")</f>
        <v/>
      </c>
      <c r="AF15" s="30">
        <f>T15*AD15</f>
        <v/>
      </c>
      <c r="AG15" s="28">
        <f>IFERROR(LOOKUP(AF15,{0;0.5;5;25},{"Bajo";"Medio";"Alto";"Crítico"}),"")</f>
        <v/>
      </c>
      <c r="AH15" s="28">
        <f>IF(AG15="","",IF(OR(AG15="Crítico",AG15="Alto"),"Mitigar",IF(AG15="Medio","Mitigar","Aceptar y monitorear")))</f>
        <v/>
      </c>
      <c r="AI15" s="21" t="n"/>
      <c r="AJ15" s="21" t="n"/>
      <c r="AK15" s="20" t="n"/>
      <c r="AL15" s="77">
        <f>IFERROR(INDEX(MgAmenEfic,MATCH(SUBSTITUTE($H15,"*","-"),MgAmenClave,0)),0)</f>
        <v/>
      </c>
    </row>
    <row r="16" hidden="1" ht="75" customHeight="1" s="54">
      <c r="B16" s="59" t="inlineStr">
        <is>
          <t>R-0011</t>
        </is>
      </c>
      <c r="C16" s="59" t="inlineStr">
        <is>
          <t>DO-14</t>
        </is>
      </c>
      <c r="D16" s="64">
        <f>IFERROR(INDEX(MgNombre,MATCH($C16,MgActId,0)),"")</f>
        <v/>
      </c>
      <c r="E16" s="64">
        <f>IFERROR(INDEX(MgProceso,MATCH($C16,MgActId,0)),"")</f>
        <v/>
      </c>
      <c r="F16" s="64">
        <f>IFERROR(INDEX(MgTipo,MATCH($C16,MgActId,0)),"")</f>
        <v/>
      </c>
      <c r="G16" s="64">
        <f>IFERROR(INDEX(MgSubtipo,MATCH($C16,MgActId,0)),"")</f>
        <v/>
      </c>
      <c r="H16" s="59" t="inlineStr">
        <is>
          <t>A.5</t>
        </is>
      </c>
      <c r="I16" s="64">
        <f>IFERROR(INDEX(MgAmenNombre,MATCH(SUBSTITUTE($H16,"*","-"),MgAmenClave,0)),"")</f>
        <v/>
      </c>
      <c r="J16" s="28">
        <f>IFERROR(INDEX(MgAmenGrupo,MATCH(SUBSTITUTE($H16,"*","-"),MgAmenClave,0)),"")</f>
        <v/>
      </c>
      <c r="K16" s="64">
        <f>IFERROR(INDEX('1. Matriz de Activos'!$Q$6:$Q$239,MATCH($C16,MgActId,0)),"")</f>
        <v/>
      </c>
      <c r="L16" s="64">
        <f>IFERROR(INDEX('1. Matriz de Activos'!$R$6:$R$239,MATCH($C16,MgActId,0)),"")</f>
        <v/>
      </c>
      <c r="M16" s="64">
        <f>IFERROR(INDEX('1. Matriz de Activos'!$S$6:$S$239,MATCH($C16,MgActId,0)),"")</f>
        <v/>
      </c>
      <c r="N16" s="28">
        <f>IFERROR(INDEX(MgAmenDegD,MATCH(SUBSTITUTE($H16,"*","-"),MgAmenClave,0)),"No aplica")</f>
        <v/>
      </c>
      <c r="O16" s="28">
        <f>IFERROR(INDEX(MgAmenDegI,MATCH(SUBSTITUTE($H16,"*","-"),MgAmenClave,0)),"No aplica")</f>
        <v/>
      </c>
      <c r="P16" s="28">
        <f>IFERROR(INDEX(MgAmenDegC,MATCH(SUBSTITUTE($H16,"*","-"),MgAmenClave,0)),"No aplica")</f>
        <v/>
      </c>
      <c r="Q16" s="29">
        <f>IFERROR(VLOOKUP(K16,MgValor,2,0)*VLOOKUP(N16,MgDeg,2,0),0)</f>
        <v/>
      </c>
      <c r="R16" s="29">
        <f>IFERROR(VLOOKUP(L16,MgValor,2,0)*VLOOKUP(O16,MgDeg,2,0),0)</f>
        <v/>
      </c>
      <c r="S16" s="29">
        <f>IFERROR(VLOOKUP(M16,MgValor,2,0)*VLOOKUP(P16,MgDeg,2,0),0)</f>
        <v/>
      </c>
      <c r="T16" s="30">
        <f>MAX(Q16:S16)</f>
        <v/>
      </c>
      <c r="U16" s="28">
        <f>IFERROR(LOOKUP(T16,{0;0.5;1.5;3;4.5},{"Despreciable";"Bajo";"Medio";"Alto";"Muy alto"}),"")</f>
        <v/>
      </c>
      <c r="V16" s="13">
        <f>IFERROR(INDEX(MgAmenFrec,MATCH(SUBSTITUTE($H16,"*","-"),MgAmenClave,0)),"")</f>
        <v/>
      </c>
      <c r="W16" s="28">
        <f>IFERROR(LOOKUP(X16,{0;0.01;0.1;1;10;100},{"Muy baja";"Muy baja";"Baja";"Media";"Alta";"Muy alta"}),"")</f>
        <v/>
      </c>
      <c r="X16" s="31">
        <f>IFERROR(VLOOKUP(V16,MgFrec,2,0),0)</f>
        <v/>
      </c>
      <c r="Y16" s="30">
        <f>T16*X16</f>
        <v/>
      </c>
      <c r="Z16" s="28">
        <f>IFERROR(LOOKUP(Y16,{0;0.5;5;25},{"Bajo";"Medio";"Alto";"Crítico"}),"")</f>
        <v/>
      </c>
      <c r="AA16" s="64">
        <f>IF(T16&gt;=3,IF(X16&gt;=1,"Zona 1 — Crítica: impacto alto y ocurre al menos una vez al año","Zona 4 — Catastrófica poco probable: impacto alto pero excepcional"),IF(AND(T16&lt;1.5,X16&lt;1),"Zona 3 — Asumible: impacto bajo y muy poco frecuente","Zona 2 — Atención: riesgo intermedio"))</f>
        <v/>
      </c>
      <c r="AB16" s="64">
        <f>IFERROR(INDEX(MgAmenCtrl,MATCH(SUBSTITUTE($H16,"*","-"),MgAmenClave,0)),"")</f>
        <v/>
      </c>
      <c r="AC16" s="20" t="n"/>
      <c r="AD16" s="31">
        <f>IFERROR($X16*(1-IF($AC16="",$AL16,VLOOKUP($AC16,MgMad,2,0))),"")</f>
        <v/>
      </c>
      <c r="AE16" s="28">
        <f>IFERROR(LOOKUP(AD16,{0;0.01;0.1;1;10;100},{"Muy baja";"Muy baja";"Baja";"Media";"Alta";"Muy alta"}),"")</f>
        <v/>
      </c>
      <c r="AF16" s="30">
        <f>T16*AD16</f>
        <v/>
      </c>
      <c r="AG16" s="28">
        <f>IFERROR(LOOKUP(AF16,{0;0.5;5;25},{"Bajo";"Medio";"Alto";"Crítico"}),"")</f>
        <v/>
      </c>
      <c r="AH16" s="28">
        <f>IF(AG16="","",IF(OR(AG16="Crítico",AG16="Alto"),"Mitigar",IF(AG16="Medio","Mitigar","Aceptar y monitorear")))</f>
        <v/>
      </c>
      <c r="AI16" s="21" t="n"/>
      <c r="AJ16" s="21" t="n"/>
      <c r="AK16" s="20" t="n"/>
      <c r="AL16" s="77">
        <f>IFERROR(INDEX(MgAmenEfic,MATCH(SUBSTITUTE($H16,"*","-"),MgAmenClave,0)),0)</f>
        <v/>
      </c>
    </row>
    <row r="17" hidden="1" ht="105" customHeight="1" s="54">
      <c r="B17" s="59" t="inlineStr">
        <is>
          <t>R-0012</t>
        </is>
      </c>
      <c r="C17" s="59" t="inlineStr">
        <is>
          <t>DO-14</t>
        </is>
      </c>
      <c r="D17" s="64">
        <f>IFERROR(INDEX(MgNombre,MATCH($C17,MgActId,0)),"")</f>
        <v/>
      </c>
      <c r="E17" s="64">
        <f>IFERROR(INDEX(MgProceso,MATCH($C17,MgActId,0)),"")</f>
        <v/>
      </c>
      <c r="F17" s="64">
        <f>IFERROR(INDEX(MgTipo,MATCH($C17,MgActId,0)),"")</f>
        <v/>
      </c>
      <c r="G17" s="64">
        <f>IFERROR(INDEX(MgSubtipo,MATCH($C17,MgActId,0)),"")</f>
        <v/>
      </c>
      <c r="H17" s="59" t="inlineStr">
        <is>
          <t>A.6</t>
        </is>
      </c>
      <c r="I17" s="64">
        <f>IFERROR(INDEX(MgAmenNombre,MATCH(SUBSTITUTE($H17,"*","-"),MgAmenClave,0)),"")</f>
        <v/>
      </c>
      <c r="J17" s="28">
        <f>IFERROR(INDEX(MgAmenGrupo,MATCH(SUBSTITUTE($H17,"*","-"),MgAmenClave,0)),"")</f>
        <v/>
      </c>
      <c r="K17" s="64">
        <f>IFERROR(INDEX('1. Matriz de Activos'!$Q$6:$Q$239,MATCH($C17,MgActId,0)),"")</f>
        <v/>
      </c>
      <c r="L17" s="64">
        <f>IFERROR(INDEX('1. Matriz de Activos'!$R$6:$R$239,MATCH($C17,MgActId,0)),"")</f>
        <v/>
      </c>
      <c r="M17" s="64">
        <f>IFERROR(INDEX('1. Matriz de Activos'!$S$6:$S$239,MATCH($C17,MgActId,0)),"")</f>
        <v/>
      </c>
      <c r="N17" s="28">
        <f>IFERROR(INDEX(MgAmenDegD,MATCH(SUBSTITUTE($H17,"*","-"),MgAmenClave,0)),"No aplica")</f>
        <v/>
      </c>
      <c r="O17" s="28">
        <f>IFERROR(INDEX(MgAmenDegI,MATCH(SUBSTITUTE($H17,"*","-"),MgAmenClave,0)),"No aplica")</f>
        <v/>
      </c>
      <c r="P17" s="28">
        <f>IFERROR(INDEX(MgAmenDegC,MATCH(SUBSTITUTE($H17,"*","-"),MgAmenClave,0)),"No aplica")</f>
        <v/>
      </c>
      <c r="Q17" s="29">
        <f>IFERROR(VLOOKUP(K17,MgValor,2,0)*VLOOKUP(N17,MgDeg,2,0),0)</f>
        <v/>
      </c>
      <c r="R17" s="29">
        <f>IFERROR(VLOOKUP(L17,MgValor,2,0)*VLOOKUP(O17,MgDeg,2,0),0)</f>
        <v/>
      </c>
      <c r="S17" s="29">
        <f>IFERROR(VLOOKUP(M17,MgValor,2,0)*VLOOKUP(P17,MgDeg,2,0),0)</f>
        <v/>
      </c>
      <c r="T17" s="30">
        <f>MAX(Q17:S17)</f>
        <v/>
      </c>
      <c r="U17" s="28">
        <f>IFERROR(LOOKUP(T17,{0;0.5;1.5;3;4.5},{"Despreciable";"Bajo";"Medio";"Alto";"Muy alto"}),"")</f>
        <v/>
      </c>
      <c r="V17" s="13">
        <f>IFERROR(INDEX(MgAmenFrec,MATCH(SUBSTITUTE($H17,"*","-"),MgAmenClave,0)),"")</f>
        <v/>
      </c>
      <c r="W17" s="28">
        <f>IFERROR(LOOKUP(X17,{0;0.01;0.1;1;10;100},{"Muy baja";"Muy baja";"Baja";"Media";"Alta";"Muy alta"}),"")</f>
        <v/>
      </c>
      <c r="X17" s="31">
        <f>IFERROR(VLOOKUP(V17,MgFrec,2,0),0)</f>
        <v/>
      </c>
      <c r="Y17" s="30">
        <f>T17*X17</f>
        <v/>
      </c>
      <c r="Z17" s="28">
        <f>IFERROR(LOOKUP(Y17,{0;0.5;5;25},{"Bajo";"Medio";"Alto";"Crítico"}),"")</f>
        <v/>
      </c>
      <c r="AA17" s="64">
        <f>IF(T17&gt;=3,IF(X17&gt;=1,"Zona 1 — Crítica: impacto alto y ocurre al menos una vez al año","Zona 4 — Catastrófica poco probable: impacto alto pero excepcional"),IF(AND(T17&lt;1.5,X17&lt;1),"Zona 3 — Asumible: impacto bajo y muy poco frecuente","Zona 2 — Atención: riesgo intermedio"))</f>
        <v/>
      </c>
      <c r="AB17" s="64">
        <f>IFERROR(INDEX(MgAmenCtrl,MATCH(SUBSTITUTE($H17,"*","-"),MgAmenClave,0)),"")</f>
        <v/>
      </c>
      <c r="AC17" s="20" t="n"/>
      <c r="AD17" s="31">
        <f>IFERROR($X17*(1-IF($AC17="",$AL17,VLOOKUP($AC17,MgMad,2,0))),"")</f>
        <v/>
      </c>
      <c r="AE17" s="28">
        <f>IFERROR(LOOKUP(AD17,{0;0.01;0.1;1;10;100},{"Muy baja";"Muy baja";"Baja";"Media";"Alta";"Muy alta"}),"")</f>
        <v/>
      </c>
      <c r="AF17" s="30">
        <f>T17*AD17</f>
        <v/>
      </c>
      <c r="AG17" s="28">
        <f>IFERROR(LOOKUP(AF17,{0;0.5;5;25},{"Bajo";"Medio";"Alto";"Crítico"}),"")</f>
        <v/>
      </c>
      <c r="AH17" s="28">
        <f>IF(AG17="","",IF(OR(AG17="Crítico",AG17="Alto"),"Mitigar",IF(AG17="Medio","Mitigar","Aceptar y monitorear")))</f>
        <v/>
      </c>
      <c r="AI17" s="21" t="n"/>
      <c r="AJ17" s="21" t="n"/>
      <c r="AK17" s="20" t="n"/>
      <c r="AL17" s="77">
        <f>IFERROR(INDEX(MgAmenEfic,MATCH(SUBSTITUTE($H17,"*","-"),MgAmenClave,0)),0)</f>
        <v/>
      </c>
    </row>
    <row r="18" hidden="1" ht="60" customHeight="1" s="54">
      <c r="B18" s="59" t="inlineStr">
        <is>
          <t>R-0013</t>
        </is>
      </c>
      <c r="C18" s="59" t="inlineStr">
        <is>
          <t>DO-14</t>
        </is>
      </c>
      <c r="D18" s="64">
        <f>IFERROR(INDEX(MgNombre,MATCH($C18,MgActId,0)),"")</f>
        <v/>
      </c>
      <c r="E18" s="64">
        <f>IFERROR(INDEX(MgProceso,MATCH($C18,MgActId,0)),"")</f>
        <v/>
      </c>
      <c r="F18" s="64">
        <f>IFERROR(INDEX(MgTipo,MATCH($C18,MgActId,0)),"")</f>
        <v/>
      </c>
      <c r="G18" s="64">
        <f>IFERROR(INDEX(MgSubtipo,MATCH($C18,MgActId,0)),"")</f>
        <v/>
      </c>
      <c r="H18" s="59" t="inlineStr">
        <is>
          <t>A.7</t>
        </is>
      </c>
      <c r="I18" s="64">
        <f>IFERROR(INDEX(MgAmenNombre,MATCH(SUBSTITUTE($H18,"*","-"),MgAmenClave,0)),"")</f>
        <v/>
      </c>
      <c r="J18" s="28">
        <f>IFERROR(INDEX(MgAmenGrupo,MATCH(SUBSTITUTE($H18,"*","-"),MgAmenClave,0)),"")</f>
        <v/>
      </c>
      <c r="K18" s="64">
        <f>IFERROR(INDEX('1. Matriz de Activos'!$Q$6:$Q$239,MATCH($C18,MgActId,0)),"")</f>
        <v/>
      </c>
      <c r="L18" s="64">
        <f>IFERROR(INDEX('1. Matriz de Activos'!$R$6:$R$239,MATCH($C18,MgActId,0)),"")</f>
        <v/>
      </c>
      <c r="M18" s="64">
        <f>IFERROR(INDEX('1. Matriz de Activos'!$S$6:$S$239,MATCH($C18,MgActId,0)),"")</f>
        <v/>
      </c>
      <c r="N18" s="28">
        <f>IFERROR(INDEX(MgAmenDegD,MATCH(SUBSTITUTE($H18,"*","-"),MgAmenClave,0)),"No aplica")</f>
        <v/>
      </c>
      <c r="O18" s="28">
        <f>IFERROR(INDEX(MgAmenDegI,MATCH(SUBSTITUTE($H18,"*","-"),MgAmenClave,0)),"No aplica")</f>
        <v/>
      </c>
      <c r="P18" s="28">
        <f>IFERROR(INDEX(MgAmenDegC,MATCH(SUBSTITUTE($H18,"*","-"),MgAmenClave,0)),"No aplica")</f>
        <v/>
      </c>
      <c r="Q18" s="29">
        <f>IFERROR(VLOOKUP(K18,MgValor,2,0)*VLOOKUP(N18,MgDeg,2,0),0)</f>
        <v/>
      </c>
      <c r="R18" s="29">
        <f>IFERROR(VLOOKUP(L18,MgValor,2,0)*VLOOKUP(O18,MgDeg,2,0),0)</f>
        <v/>
      </c>
      <c r="S18" s="29">
        <f>IFERROR(VLOOKUP(M18,MgValor,2,0)*VLOOKUP(P18,MgDeg,2,0),0)</f>
        <v/>
      </c>
      <c r="T18" s="30">
        <f>MAX(Q18:S18)</f>
        <v/>
      </c>
      <c r="U18" s="28">
        <f>IFERROR(LOOKUP(T18,{0;0.5;1.5;3;4.5},{"Despreciable";"Bajo";"Medio";"Alto";"Muy alto"}),"")</f>
        <v/>
      </c>
      <c r="V18" s="13">
        <f>IFERROR(INDEX(MgAmenFrec,MATCH(SUBSTITUTE($H18,"*","-"),MgAmenClave,0)),"")</f>
        <v/>
      </c>
      <c r="W18" s="28">
        <f>IFERROR(LOOKUP(X18,{0;0.01;0.1;1;10;100},{"Muy baja";"Muy baja";"Baja";"Media";"Alta";"Muy alta"}),"")</f>
        <v/>
      </c>
      <c r="X18" s="31">
        <f>IFERROR(VLOOKUP(V18,MgFrec,2,0),0)</f>
        <v/>
      </c>
      <c r="Y18" s="30">
        <f>T18*X18</f>
        <v/>
      </c>
      <c r="Z18" s="28">
        <f>IFERROR(LOOKUP(Y18,{0;0.5;5;25},{"Bajo";"Medio";"Alto";"Crítico"}),"")</f>
        <v/>
      </c>
      <c r="AA18" s="64">
        <f>IF(T18&gt;=3,IF(X18&gt;=1,"Zona 1 — Crítica: impacto alto y ocurre al menos una vez al año","Zona 4 — Catastrófica poco probable: impacto alto pero excepcional"),IF(AND(T18&lt;1.5,X18&lt;1),"Zona 3 — Asumible: impacto bajo y muy poco frecuente","Zona 2 — Atención: riesgo intermedio"))</f>
        <v/>
      </c>
      <c r="AB18" s="64">
        <f>IFERROR(INDEX(MgAmenCtrl,MATCH(SUBSTITUTE($H18,"*","-"),MgAmenClave,0)),"")</f>
        <v/>
      </c>
      <c r="AC18" s="20" t="n"/>
      <c r="AD18" s="31">
        <f>IFERROR($X18*(1-IF($AC18="",$AL18,VLOOKUP($AC18,MgMad,2,0))),"")</f>
        <v/>
      </c>
      <c r="AE18" s="28">
        <f>IFERROR(LOOKUP(AD18,{0;0.01;0.1;1;10;100},{"Muy baja";"Muy baja";"Baja";"Media";"Alta";"Muy alta"}),"")</f>
        <v/>
      </c>
      <c r="AF18" s="30">
        <f>T18*AD18</f>
        <v/>
      </c>
      <c r="AG18" s="28">
        <f>IFERROR(LOOKUP(AF18,{0;0.5;5;25},{"Bajo";"Medio";"Alto";"Crítico"}),"")</f>
        <v/>
      </c>
      <c r="AH18" s="28">
        <f>IF(AG18="","",IF(OR(AG18="Crítico",AG18="Alto"),"Mitigar",IF(AG18="Medio","Mitigar","Aceptar y monitorear")))</f>
        <v/>
      </c>
      <c r="AI18" s="21" t="n"/>
      <c r="AJ18" s="21" t="n"/>
      <c r="AK18" s="20" t="n"/>
      <c r="AL18" s="77">
        <f>IFERROR(INDEX(MgAmenEfic,MATCH(SUBSTITUTE($H18,"*","-"),MgAmenClave,0)),0)</f>
        <v/>
      </c>
    </row>
    <row r="19" hidden="1" ht="60" customHeight="1" s="54">
      <c r="B19" s="59" t="inlineStr">
        <is>
          <t>R-0014</t>
        </is>
      </c>
      <c r="C19" s="59" t="inlineStr">
        <is>
          <t>DO-14</t>
        </is>
      </c>
      <c r="D19" s="64">
        <f>IFERROR(INDEX(MgNombre,MATCH($C19,MgActId,0)),"")</f>
        <v/>
      </c>
      <c r="E19" s="64">
        <f>IFERROR(INDEX(MgProceso,MATCH($C19,MgActId,0)),"")</f>
        <v/>
      </c>
      <c r="F19" s="64">
        <f>IFERROR(INDEX(MgTipo,MATCH($C19,MgActId,0)),"")</f>
        <v/>
      </c>
      <c r="G19" s="64">
        <f>IFERROR(INDEX(MgSubtipo,MATCH($C19,MgActId,0)),"")</f>
        <v/>
      </c>
      <c r="H19" s="59" t="inlineStr">
        <is>
          <t>A.9</t>
        </is>
      </c>
      <c r="I19" s="64">
        <f>IFERROR(INDEX(MgAmenNombre,MATCH(SUBSTITUTE($H19,"*","-"),MgAmenClave,0)),"")</f>
        <v/>
      </c>
      <c r="J19" s="28">
        <f>IFERROR(INDEX(MgAmenGrupo,MATCH(SUBSTITUTE($H19,"*","-"),MgAmenClave,0)),"")</f>
        <v/>
      </c>
      <c r="K19" s="64">
        <f>IFERROR(INDEX('1. Matriz de Activos'!$Q$6:$Q$239,MATCH($C19,MgActId,0)),"")</f>
        <v/>
      </c>
      <c r="L19" s="64">
        <f>IFERROR(INDEX('1. Matriz de Activos'!$R$6:$R$239,MATCH($C19,MgActId,0)),"")</f>
        <v/>
      </c>
      <c r="M19" s="64">
        <f>IFERROR(INDEX('1. Matriz de Activos'!$S$6:$S$239,MATCH($C19,MgActId,0)),"")</f>
        <v/>
      </c>
      <c r="N19" s="28">
        <f>IFERROR(INDEX(MgAmenDegD,MATCH(SUBSTITUTE($H19,"*","-"),MgAmenClave,0)),"No aplica")</f>
        <v/>
      </c>
      <c r="O19" s="28">
        <f>IFERROR(INDEX(MgAmenDegI,MATCH(SUBSTITUTE($H19,"*","-"),MgAmenClave,0)),"No aplica")</f>
        <v/>
      </c>
      <c r="P19" s="28">
        <f>IFERROR(INDEX(MgAmenDegC,MATCH(SUBSTITUTE($H19,"*","-"),MgAmenClave,0)),"No aplica")</f>
        <v/>
      </c>
      <c r="Q19" s="29">
        <f>IFERROR(VLOOKUP(K19,MgValor,2,0)*VLOOKUP(N19,MgDeg,2,0),0)</f>
        <v/>
      </c>
      <c r="R19" s="29">
        <f>IFERROR(VLOOKUP(L19,MgValor,2,0)*VLOOKUP(O19,MgDeg,2,0),0)</f>
        <v/>
      </c>
      <c r="S19" s="29">
        <f>IFERROR(VLOOKUP(M19,MgValor,2,0)*VLOOKUP(P19,MgDeg,2,0),0)</f>
        <v/>
      </c>
      <c r="T19" s="30">
        <f>MAX(Q19:S19)</f>
        <v/>
      </c>
      <c r="U19" s="28">
        <f>IFERROR(LOOKUP(T19,{0;0.5;1.5;3;4.5},{"Despreciable";"Bajo";"Medio";"Alto";"Muy alto"}),"")</f>
        <v/>
      </c>
      <c r="V19" s="13">
        <f>IFERROR(INDEX(MgAmenFrec,MATCH(SUBSTITUTE($H19,"*","-"),MgAmenClave,0)),"")</f>
        <v/>
      </c>
      <c r="W19" s="28">
        <f>IFERROR(LOOKUP(X19,{0;0.01;0.1;1;10;100},{"Muy baja";"Muy baja";"Baja";"Media";"Alta";"Muy alta"}),"")</f>
        <v/>
      </c>
      <c r="X19" s="31">
        <f>IFERROR(VLOOKUP(V19,MgFrec,2,0),0)</f>
        <v/>
      </c>
      <c r="Y19" s="30">
        <f>T19*X19</f>
        <v/>
      </c>
      <c r="Z19" s="28">
        <f>IFERROR(LOOKUP(Y19,{0;0.5;5;25},{"Bajo";"Medio";"Alto";"Crítico"}),"")</f>
        <v/>
      </c>
      <c r="AA19" s="64">
        <f>IF(T19&gt;=3,IF(X19&gt;=1,"Zona 1 — Crítica: impacto alto y ocurre al menos una vez al año","Zona 4 — Catastrófica poco probable: impacto alto pero excepcional"),IF(AND(T19&lt;1.5,X19&lt;1),"Zona 3 — Asumible: impacto bajo y muy poco frecuente","Zona 2 — Atención: riesgo intermedio"))</f>
        <v/>
      </c>
      <c r="AB19" s="64">
        <f>IFERROR(INDEX(MgAmenCtrl,MATCH(SUBSTITUTE($H19,"*","-"),MgAmenClave,0)),"")</f>
        <v/>
      </c>
      <c r="AC19" s="20" t="n"/>
      <c r="AD19" s="31">
        <f>IFERROR($X19*(1-IF($AC19="",$AL19,VLOOKUP($AC19,MgMad,2,0))),"")</f>
        <v/>
      </c>
      <c r="AE19" s="28">
        <f>IFERROR(LOOKUP(AD19,{0;0.01;0.1;1;10;100},{"Muy baja";"Muy baja";"Baja";"Media";"Alta";"Muy alta"}),"")</f>
        <v/>
      </c>
      <c r="AF19" s="30">
        <f>T19*AD19</f>
        <v/>
      </c>
      <c r="AG19" s="28">
        <f>IFERROR(LOOKUP(AF19,{0;0.5;5;25},{"Bajo";"Medio";"Alto";"Crítico"}),"")</f>
        <v/>
      </c>
      <c r="AH19" s="28">
        <f>IF(AG19="","",IF(OR(AG19="Crítico",AG19="Alto"),"Mitigar",IF(AG19="Medio","Mitigar","Aceptar y monitorear")))</f>
        <v/>
      </c>
      <c r="AI19" s="21" t="n"/>
      <c r="AJ19" s="21" t="n"/>
      <c r="AK19" s="20" t="n"/>
      <c r="AL19" s="77">
        <f>IFERROR(INDEX(MgAmenEfic,MATCH(SUBSTITUTE($H19,"*","-"),MgAmenClave,0)),0)</f>
        <v/>
      </c>
    </row>
    <row r="20" hidden="1" ht="45" customHeight="1" s="54">
      <c r="B20" s="59" t="inlineStr">
        <is>
          <t>R-0015</t>
        </is>
      </c>
      <c r="C20" s="59" t="inlineStr">
        <is>
          <t>DO-14</t>
        </is>
      </c>
      <c r="D20" s="64">
        <f>IFERROR(INDEX(MgNombre,MATCH($C20,MgActId,0)),"")</f>
        <v/>
      </c>
      <c r="E20" s="64">
        <f>IFERROR(INDEX(MgProceso,MATCH($C20,MgActId,0)),"")</f>
        <v/>
      </c>
      <c r="F20" s="64">
        <f>IFERROR(INDEX(MgTipo,MATCH($C20,MgActId,0)),"")</f>
        <v/>
      </c>
      <c r="G20" s="64">
        <f>IFERROR(INDEX(MgSubtipo,MATCH($C20,MgActId,0)),"")</f>
        <v/>
      </c>
      <c r="H20" s="59" t="inlineStr">
        <is>
          <t>A.10</t>
        </is>
      </c>
      <c r="I20" s="64">
        <f>IFERROR(INDEX(MgAmenNombre,MATCH(SUBSTITUTE($H20,"*","-"),MgAmenClave,0)),"")</f>
        <v/>
      </c>
      <c r="J20" s="28">
        <f>IFERROR(INDEX(MgAmenGrupo,MATCH(SUBSTITUTE($H20,"*","-"),MgAmenClave,0)),"")</f>
        <v/>
      </c>
      <c r="K20" s="64">
        <f>IFERROR(INDEX('1. Matriz de Activos'!$Q$6:$Q$239,MATCH($C20,MgActId,0)),"")</f>
        <v/>
      </c>
      <c r="L20" s="64">
        <f>IFERROR(INDEX('1. Matriz de Activos'!$R$6:$R$239,MATCH($C20,MgActId,0)),"")</f>
        <v/>
      </c>
      <c r="M20" s="64">
        <f>IFERROR(INDEX('1. Matriz de Activos'!$S$6:$S$239,MATCH($C20,MgActId,0)),"")</f>
        <v/>
      </c>
      <c r="N20" s="28">
        <f>IFERROR(INDEX(MgAmenDegD,MATCH(SUBSTITUTE($H20,"*","-"),MgAmenClave,0)),"No aplica")</f>
        <v/>
      </c>
      <c r="O20" s="28">
        <f>IFERROR(INDEX(MgAmenDegI,MATCH(SUBSTITUTE($H20,"*","-"),MgAmenClave,0)),"No aplica")</f>
        <v/>
      </c>
      <c r="P20" s="28">
        <f>IFERROR(INDEX(MgAmenDegC,MATCH(SUBSTITUTE($H20,"*","-"),MgAmenClave,0)),"No aplica")</f>
        <v/>
      </c>
      <c r="Q20" s="29">
        <f>IFERROR(VLOOKUP(K20,MgValor,2,0)*VLOOKUP(N20,MgDeg,2,0),0)</f>
        <v/>
      </c>
      <c r="R20" s="29">
        <f>IFERROR(VLOOKUP(L20,MgValor,2,0)*VLOOKUP(O20,MgDeg,2,0),0)</f>
        <v/>
      </c>
      <c r="S20" s="29">
        <f>IFERROR(VLOOKUP(M20,MgValor,2,0)*VLOOKUP(P20,MgDeg,2,0),0)</f>
        <v/>
      </c>
      <c r="T20" s="30">
        <f>MAX(Q20:S20)</f>
        <v/>
      </c>
      <c r="U20" s="28">
        <f>IFERROR(LOOKUP(T20,{0;0.5;1.5;3;4.5},{"Despreciable";"Bajo";"Medio";"Alto";"Muy alto"}),"")</f>
        <v/>
      </c>
      <c r="V20" s="13">
        <f>IFERROR(INDEX(MgAmenFrec,MATCH(SUBSTITUTE($H20,"*","-"),MgAmenClave,0)),"")</f>
        <v/>
      </c>
      <c r="W20" s="28">
        <f>IFERROR(LOOKUP(X20,{0;0.01;0.1;1;10;100},{"Muy baja";"Muy baja";"Baja";"Media";"Alta";"Muy alta"}),"")</f>
        <v/>
      </c>
      <c r="X20" s="31">
        <f>IFERROR(VLOOKUP(V20,MgFrec,2,0),0)</f>
        <v/>
      </c>
      <c r="Y20" s="30">
        <f>T20*X20</f>
        <v/>
      </c>
      <c r="Z20" s="28">
        <f>IFERROR(LOOKUP(Y20,{0;0.5;5;25},{"Bajo";"Medio";"Alto";"Crítico"}),"")</f>
        <v/>
      </c>
      <c r="AA20" s="64">
        <f>IF(T20&gt;=3,IF(X20&gt;=1,"Zona 1 — Crítica: impacto alto y ocurre al menos una vez al año","Zona 4 — Catastrófica poco probable: impacto alto pero excepcional"),IF(AND(T20&lt;1.5,X20&lt;1),"Zona 3 — Asumible: impacto bajo y muy poco frecuente","Zona 2 — Atención: riesgo intermedio"))</f>
        <v/>
      </c>
      <c r="AB20" s="64">
        <f>IFERROR(INDEX(MgAmenCtrl,MATCH(SUBSTITUTE($H20,"*","-"),MgAmenClave,0)),"")</f>
        <v/>
      </c>
      <c r="AC20" s="20" t="n"/>
      <c r="AD20" s="31">
        <f>IFERROR($X20*(1-IF($AC20="",$AL20,VLOOKUP($AC20,MgMad,2,0))),"")</f>
        <v/>
      </c>
      <c r="AE20" s="28">
        <f>IFERROR(LOOKUP(AD20,{0;0.01;0.1;1;10;100},{"Muy baja";"Muy baja";"Baja";"Media";"Alta";"Muy alta"}),"")</f>
        <v/>
      </c>
      <c r="AF20" s="30">
        <f>T20*AD20</f>
        <v/>
      </c>
      <c r="AG20" s="28">
        <f>IFERROR(LOOKUP(AF20,{0;0.5;5;25},{"Bajo";"Medio";"Alto";"Crítico"}),"")</f>
        <v/>
      </c>
      <c r="AH20" s="28">
        <f>IF(AG20="","",IF(OR(AG20="Crítico",AG20="Alto"),"Mitigar",IF(AG20="Medio","Mitigar","Aceptar y monitorear")))</f>
        <v/>
      </c>
      <c r="AI20" s="21" t="n"/>
      <c r="AJ20" s="21" t="n"/>
      <c r="AK20" s="20" t="n"/>
      <c r="AL20" s="77">
        <f>IFERROR(INDEX(MgAmenEfic,MATCH(SUBSTITUTE($H20,"*","-"),MgAmenClave,0)),0)</f>
        <v/>
      </c>
    </row>
    <row r="21" hidden="1" ht="120" customHeight="1" s="54">
      <c r="B21" s="59" t="inlineStr">
        <is>
          <t>R-0016</t>
        </is>
      </c>
      <c r="C21" s="59" t="inlineStr">
        <is>
          <t>DO-14</t>
        </is>
      </c>
      <c r="D21" s="64">
        <f>IFERROR(INDEX(MgNombre,MATCH($C21,MgActId,0)),"")</f>
        <v/>
      </c>
      <c r="E21" s="64">
        <f>IFERROR(INDEX(MgProceso,MATCH($C21,MgActId,0)),"")</f>
        <v/>
      </c>
      <c r="F21" s="64">
        <f>IFERROR(INDEX(MgTipo,MATCH($C21,MgActId,0)),"")</f>
        <v/>
      </c>
      <c r="G21" s="64">
        <f>IFERROR(INDEX(MgSubtipo,MATCH($C21,MgActId,0)),"")</f>
        <v/>
      </c>
      <c r="H21" s="59" t="inlineStr">
        <is>
          <t>A.11</t>
        </is>
      </c>
      <c r="I21" s="64">
        <f>IFERROR(INDEX(MgAmenNombre,MATCH(SUBSTITUTE($H21,"*","-"),MgAmenClave,0)),"")</f>
        <v/>
      </c>
      <c r="J21" s="28">
        <f>IFERROR(INDEX(MgAmenGrupo,MATCH(SUBSTITUTE($H21,"*","-"),MgAmenClave,0)),"")</f>
        <v/>
      </c>
      <c r="K21" s="64">
        <f>IFERROR(INDEX('1. Matriz de Activos'!$Q$6:$Q$239,MATCH($C21,MgActId,0)),"")</f>
        <v/>
      </c>
      <c r="L21" s="64">
        <f>IFERROR(INDEX('1. Matriz de Activos'!$R$6:$R$239,MATCH($C21,MgActId,0)),"")</f>
        <v/>
      </c>
      <c r="M21" s="64">
        <f>IFERROR(INDEX('1. Matriz de Activos'!$S$6:$S$239,MATCH($C21,MgActId,0)),"")</f>
        <v/>
      </c>
      <c r="N21" s="28">
        <f>IFERROR(INDEX(MgAmenDegD,MATCH(SUBSTITUTE($H21,"*","-"),MgAmenClave,0)),"No aplica")</f>
        <v/>
      </c>
      <c r="O21" s="28">
        <f>IFERROR(INDEX(MgAmenDegI,MATCH(SUBSTITUTE($H21,"*","-"),MgAmenClave,0)),"No aplica")</f>
        <v/>
      </c>
      <c r="P21" s="28">
        <f>IFERROR(INDEX(MgAmenDegC,MATCH(SUBSTITUTE($H21,"*","-"),MgAmenClave,0)),"No aplica")</f>
        <v/>
      </c>
      <c r="Q21" s="29">
        <f>IFERROR(VLOOKUP(K21,MgValor,2,0)*VLOOKUP(N21,MgDeg,2,0),0)</f>
        <v/>
      </c>
      <c r="R21" s="29">
        <f>IFERROR(VLOOKUP(L21,MgValor,2,0)*VLOOKUP(O21,MgDeg,2,0),0)</f>
        <v/>
      </c>
      <c r="S21" s="29">
        <f>IFERROR(VLOOKUP(M21,MgValor,2,0)*VLOOKUP(P21,MgDeg,2,0),0)</f>
        <v/>
      </c>
      <c r="T21" s="30">
        <f>MAX(Q21:S21)</f>
        <v/>
      </c>
      <c r="U21" s="28">
        <f>IFERROR(LOOKUP(T21,{0;0.5;1.5;3;4.5},{"Despreciable";"Bajo";"Medio";"Alto";"Muy alto"}),"")</f>
        <v/>
      </c>
      <c r="V21" s="13">
        <f>IFERROR(INDEX(MgAmenFrec,MATCH(SUBSTITUTE($H21,"*","-"),MgAmenClave,0)),"")</f>
        <v/>
      </c>
      <c r="W21" s="28">
        <f>IFERROR(LOOKUP(X21,{0;0.01;0.1;1;10;100},{"Muy baja";"Muy baja";"Baja";"Media";"Alta";"Muy alta"}),"")</f>
        <v/>
      </c>
      <c r="X21" s="31">
        <f>IFERROR(VLOOKUP(V21,MgFrec,2,0),0)</f>
        <v/>
      </c>
      <c r="Y21" s="30">
        <f>T21*X21</f>
        <v/>
      </c>
      <c r="Z21" s="28">
        <f>IFERROR(LOOKUP(Y21,{0;0.5;5;25},{"Bajo";"Medio";"Alto";"Crítico"}),"")</f>
        <v/>
      </c>
      <c r="AA21" s="64">
        <f>IF(T21&gt;=3,IF(X21&gt;=1,"Zona 1 — Crítica: impacto alto y ocurre al menos una vez al año","Zona 4 — Catastrófica poco probable: impacto alto pero excepcional"),IF(AND(T21&lt;1.5,X21&lt;1),"Zona 3 — Asumible: impacto bajo y muy poco frecuente","Zona 2 — Atención: riesgo intermedio"))</f>
        <v/>
      </c>
      <c r="AB21" s="64">
        <f>IFERROR(INDEX(MgAmenCtrl,MATCH(SUBSTITUTE($H21,"*","-"),MgAmenClave,0)),"")</f>
        <v/>
      </c>
      <c r="AC21" s="20" t="n"/>
      <c r="AD21" s="31">
        <f>IFERROR($X21*(1-IF($AC21="",$AL21,VLOOKUP($AC21,MgMad,2,0))),"")</f>
        <v/>
      </c>
      <c r="AE21" s="28">
        <f>IFERROR(LOOKUP(AD21,{0;0.01;0.1;1;10;100},{"Muy baja";"Muy baja";"Baja";"Media";"Alta";"Muy alta"}),"")</f>
        <v/>
      </c>
      <c r="AF21" s="30">
        <f>T21*AD21</f>
        <v/>
      </c>
      <c r="AG21" s="28">
        <f>IFERROR(LOOKUP(AF21,{0;0.5;5;25},{"Bajo";"Medio";"Alto";"Crítico"}),"")</f>
        <v/>
      </c>
      <c r="AH21" s="28">
        <f>IF(AG21="","",IF(OR(AG21="Crítico",AG21="Alto"),"Mitigar",IF(AG21="Medio","Mitigar","Aceptar y monitorear")))</f>
        <v/>
      </c>
      <c r="AI21" s="21" t="n"/>
      <c r="AJ21" s="21" t="n"/>
      <c r="AK21" s="20" t="n"/>
      <c r="AL21" s="77">
        <f>IFERROR(INDEX(MgAmenEfic,MATCH(SUBSTITUTE($H21,"*","-"),MgAmenClave,0)),0)</f>
        <v/>
      </c>
    </row>
    <row r="22" hidden="1" ht="45" customHeight="1" s="54">
      <c r="B22" s="59" t="inlineStr">
        <is>
          <t>R-0017</t>
        </is>
      </c>
      <c r="C22" s="59" t="inlineStr">
        <is>
          <t>DO-14</t>
        </is>
      </c>
      <c r="D22" s="64">
        <f>IFERROR(INDEX(MgNombre,MATCH($C22,MgActId,0)),"")</f>
        <v/>
      </c>
      <c r="E22" s="64">
        <f>IFERROR(INDEX(MgProceso,MATCH($C22,MgActId,0)),"")</f>
        <v/>
      </c>
      <c r="F22" s="64">
        <f>IFERROR(INDEX(MgTipo,MATCH($C22,MgActId,0)),"")</f>
        <v/>
      </c>
      <c r="G22" s="64">
        <f>IFERROR(INDEX(MgSubtipo,MATCH($C22,MgActId,0)),"")</f>
        <v/>
      </c>
      <c r="H22" s="59" t="inlineStr">
        <is>
          <t>A.12</t>
        </is>
      </c>
      <c r="I22" s="64">
        <f>IFERROR(INDEX(MgAmenNombre,MATCH(SUBSTITUTE($H22,"*","-"),MgAmenClave,0)),"")</f>
        <v/>
      </c>
      <c r="J22" s="28">
        <f>IFERROR(INDEX(MgAmenGrupo,MATCH(SUBSTITUTE($H22,"*","-"),MgAmenClave,0)),"")</f>
        <v/>
      </c>
      <c r="K22" s="64">
        <f>IFERROR(INDEX('1. Matriz de Activos'!$Q$6:$Q$239,MATCH($C22,MgActId,0)),"")</f>
        <v/>
      </c>
      <c r="L22" s="64">
        <f>IFERROR(INDEX('1. Matriz de Activos'!$R$6:$R$239,MATCH($C22,MgActId,0)),"")</f>
        <v/>
      </c>
      <c r="M22" s="64">
        <f>IFERROR(INDEX('1. Matriz de Activos'!$S$6:$S$239,MATCH($C22,MgActId,0)),"")</f>
        <v/>
      </c>
      <c r="N22" s="28">
        <f>IFERROR(INDEX(MgAmenDegD,MATCH(SUBSTITUTE($H22,"*","-"),MgAmenClave,0)),"No aplica")</f>
        <v/>
      </c>
      <c r="O22" s="28">
        <f>IFERROR(INDEX(MgAmenDegI,MATCH(SUBSTITUTE($H22,"*","-"),MgAmenClave,0)),"No aplica")</f>
        <v/>
      </c>
      <c r="P22" s="28">
        <f>IFERROR(INDEX(MgAmenDegC,MATCH(SUBSTITUTE($H22,"*","-"),MgAmenClave,0)),"No aplica")</f>
        <v/>
      </c>
      <c r="Q22" s="29">
        <f>IFERROR(VLOOKUP(K22,MgValor,2,0)*VLOOKUP(N22,MgDeg,2,0),0)</f>
        <v/>
      </c>
      <c r="R22" s="29">
        <f>IFERROR(VLOOKUP(L22,MgValor,2,0)*VLOOKUP(O22,MgDeg,2,0),0)</f>
        <v/>
      </c>
      <c r="S22" s="29">
        <f>IFERROR(VLOOKUP(M22,MgValor,2,0)*VLOOKUP(P22,MgDeg,2,0),0)</f>
        <v/>
      </c>
      <c r="T22" s="30">
        <f>MAX(Q22:S22)</f>
        <v/>
      </c>
      <c r="U22" s="28">
        <f>IFERROR(LOOKUP(T22,{0;0.5;1.5;3;4.5},{"Despreciable";"Bajo";"Medio";"Alto";"Muy alto"}),"")</f>
        <v/>
      </c>
      <c r="V22" s="13">
        <f>IFERROR(INDEX(MgAmenFrec,MATCH(SUBSTITUTE($H22,"*","-"),MgAmenClave,0)),"")</f>
        <v/>
      </c>
      <c r="W22" s="28">
        <f>IFERROR(LOOKUP(X22,{0;0.01;0.1;1;10;100},{"Muy baja";"Muy baja";"Baja";"Media";"Alta";"Muy alta"}),"")</f>
        <v/>
      </c>
      <c r="X22" s="31">
        <f>IFERROR(VLOOKUP(V22,MgFrec,2,0),0)</f>
        <v/>
      </c>
      <c r="Y22" s="30">
        <f>T22*X22</f>
        <v/>
      </c>
      <c r="Z22" s="28">
        <f>IFERROR(LOOKUP(Y22,{0;0.5;5;25},{"Bajo";"Medio";"Alto";"Crítico"}),"")</f>
        <v/>
      </c>
      <c r="AA22" s="64">
        <f>IF(T22&gt;=3,IF(X22&gt;=1,"Zona 1 — Crítica: impacto alto y ocurre al menos una vez al año","Zona 4 — Catastrófica poco probable: impacto alto pero excepcional"),IF(AND(T22&lt;1.5,X22&lt;1),"Zona 3 — Asumible: impacto bajo y muy poco frecuente","Zona 2 — Atención: riesgo intermedio"))</f>
        <v/>
      </c>
      <c r="AB22" s="64">
        <f>IFERROR(INDEX(MgAmenCtrl,MATCH(SUBSTITUTE($H22,"*","-"),MgAmenClave,0)),"")</f>
        <v/>
      </c>
      <c r="AC22" s="20" t="n"/>
      <c r="AD22" s="31">
        <f>IFERROR($X22*(1-IF($AC22="",$AL22,VLOOKUP($AC22,MgMad,2,0))),"")</f>
        <v/>
      </c>
      <c r="AE22" s="28">
        <f>IFERROR(LOOKUP(AD22,{0;0.01;0.1;1;10;100},{"Muy baja";"Muy baja";"Baja";"Media";"Alta";"Muy alta"}),"")</f>
        <v/>
      </c>
      <c r="AF22" s="30">
        <f>T22*AD22</f>
        <v/>
      </c>
      <c r="AG22" s="28">
        <f>IFERROR(LOOKUP(AF22,{0;0.5;5;25},{"Bajo";"Medio";"Alto";"Crítico"}),"")</f>
        <v/>
      </c>
      <c r="AH22" s="28">
        <f>IF(AG22="","",IF(OR(AG22="Crítico",AG22="Alto"),"Mitigar",IF(AG22="Medio","Mitigar","Aceptar y monitorear")))</f>
        <v/>
      </c>
      <c r="AI22" s="21" t="n"/>
      <c r="AJ22" s="21" t="n"/>
      <c r="AK22" s="20" t="n"/>
      <c r="AL22" s="77">
        <f>IFERROR(INDEX(MgAmenEfic,MATCH(SUBSTITUTE($H22,"*","-"),MgAmenClave,0)),0)</f>
        <v/>
      </c>
    </row>
    <row r="23" hidden="1" ht="60" customHeight="1" s="54">
      <c r="B23" s="59" t="inlineStr">
        <is>
          <t>R-0018</t>
        </is>
      </c>
      <c r="C23" s="59" t="inlineStr">
        <is>
          <t>DO-14</t>
        </is>
      </c>
      <c r="D23" s="64">
        <f>IFERROR(INDEX(MgNombre,MATCH($C23,MgActId,0)),"")</f>
        <v/>
      </c>
      <c r="E23" s="64">
        <f>IFERROR(INDEX(MgProceso,MATCH($C23,MgActId,0)),"")</f>
        <v/>
      </c>
      <c r="F23" s="64">
        <f>IFERROR(INDEX(MgTipo,MATCH($C23,MgActId,0)),"")</f>
        <v/>
      </c>
      <c r="G23" s="64">
        <f>IFERROR(INDEX(MgSubtipo,MATCH($C23,MgActId,0)),"")</f>
        <v/>
      </c>
      <c r="H23" s="59" t="inlineStr">
        <is>
          <t>A.14</t>
        </is>
      </c>
      <c r="I23" s="64">
        <f>IFERROR(INDEX(MgAmenNombre,MATCH(SUBSTITUTE($H23,"*","-"),MgAmenClave,0)),"")</f>
        <v/>
      </c>
      <c r="J23" s="28">
        <f>IFERROR(INDEX(MgAmenGrupo,MATCH(SUBSTITUTE($H23,"*","-"),MgAmenClave,0)),"")</f>
        <v/>
      </c>
      <c r="K23" s="64">
        <f>IFERROR(INDEX('1. Matriz de Activos'!$Q$6:$Q$239,MATCH($C23,MgActId,0)),"")</f>
        <v/>
      </c>
      <c r="L23" s="64">
        <f>IFERROR(INDEX('1. Matriz de Activos'!$R$6:$R$239,MATCH($C23,MgActId,0)),"")</f>
        <v/>
      </c>
      <c r="M23" s="64">
        <f>IFERROR(INDEX('1. Matriz de Activos'!$S$6:$S$239,MATCH($C23,MgActId,0)),"")</f>
        <v/>
      </c>
      <c r="N23" s="28">
        <f>IFERROR(INDEX(MgAmenDegD,MATCH(SUBSTITUTE($H23,"*","-"),MgAmenClave,0)),"No aplica")</f>
        <v/>
      </c>
      <c r="O23" s="28">
        <f>IFERROR(INDEX(MgAmenDegI,MATCH(SUBSTITUTE($H23,"*","-"),MgAmenClave,0)),"No aplica")</f>
        <v/>
      </c>
      <c r="P23" s="28">
        <f>IFERROR(INDEX(MgAmenDegC,MATCH(SUBSTITUTE($H23,"*","-"),MgAmenClave,0)),"No aplica")</f>
        <v/>
      </c>
      <c r="Q23" s="29">
        <f>IFERROR(VLOOKUP(K23,MgValor,2,0)*VLOOKUP(N23,MgDeg,2,0),0)</f>
        <v/>
      </c>
      <c r="R23" s="29">
        <f>IFERROR(VLOOKUP(L23,MgValor,2,0)*VLOOKUP(O23,MgDeg,2,0),0)</f>
        <v/>
      </c>
      <c r="S23" s="29">
        <f>IFERROR(VLOOKUP(M23,MgValor,2,0)*VLOOKUP(P23,MgDeg,2,0),0)</f>
        <v/>
      </c>
      <c r="T23" s="30">
        <f>MAX(Q23:S23)</f>
        <v/>
      </c>
      <c r="U23" s="28">
        <f>IFERROR(LOOKUP(T23,{0;0.5;1.5;3;4.5},{"Despreciable";"Bajo";"Medio";"Alto";"Muy alto"}),"")</f>
        <v/>
      </c>
      <c r="V23" s="13">
        <f>IFERROR(INDEX(MgAmenFrec,MATCH(SUBSTITUTE($H23,"*","-"),MgAmenClave,0)),"")</f>
        <v/>
      </c>
      <c r="W23" s="28">
        <f>IFERROR(LOOKUP(X23,{0;0.01;0.1;1;10;100},{"Muy baja";"Muy baja";"Baja";"Media";"Alta";"Muy alta"}),"")</f>
        <v/>
      </c>
      <c r="X23" s="31">
        <f>IFERROR(VLOOKUP(V23,MgFrec,2,0),0)</f>
        <v/>
      </c>
      <c r="Y23" s="30">
        <f>T23*X23</f>
        <v/>
      </c>
      <c r="Z23" s="28">
        <f>IFERROR(LOOKUP(Y23,{0;0.5;5;25},{"Bajo";"Medio";"Alto";"Crítico"}),"")</f>
        <v/>
      </c>
      <c r="AA23" s="64">
        <f>IF(T23&gt;=3,IF(X23&gt;=1,"Zona 1 — Crítica: impacto alto y ocurre al menos una vez al año","Zona 4 — Catastrófica poco probable: impacto alto pero excepcional"),IF(AND(T23&lt;1.5,X23&lt;1),"Zona 3 — Asumible: impacto bajo y muy poco frecuente","Zona 2 — Atención: riesgo intermedio"))</f>
        <v/>
      </c>
      <c r="AB23" s="64">
        <f>IFERROR(INDEX(MgAmenCtrl,MATCH(SUBSTITUTE($H23,"*","-"),MgAmenClave,0)),"")</f>
        <v/>
      </c>
      <c r="AC23" s="20" t="n"/>
      <c r="AD23" s="31">
        <f>IFERROR($X23*(1-IF($AC23="",$AL23,VLOOKUP($AC23,MgMad,2,0))),"")</f>
        <v/>
      </c>
      <c r="AE23" s="28">
        <f>IFERROR(LOOKUP(AD23,{0;0.01;0.1;1;10;100},{"Muy baja";"Muy baja";"Baja";"Media";"Alta";"Muy alta"}),"")</f>
        <v/>
      </c>
      <c r="AF23" s="30">
        <f>T23*AD23</f>
        <v/>
      </c>
      <c r="AG23" s="28">
        <f>IFERROR(LOOKUP(AF23,{0;0.5;5;25},{"Bajo";"Medio";"Alto";"Crítico"}),"")</f>
        <v/>
      </c>
      <c r="AH23" s="28">
        <f>IF(AG23="","",IF(OR(AG23="Crítico",AG23="Alto"),"Mitigar",IF(AG23="Medio","Mitigar","Aceptar y monitorear")))</f>
        <v/>
      </c>
      <c r="AI23" s="21" t="n"/>
      <c r="AJ23" s="21" t="n"/>
      <c r="AK23" s="20" t="n"/>
      <c r="AL23" s="77">
        <f>IFERROR(INDEX(MgAmenEfic,MATCH(SUBSTITUTE($H23,"*","-"),MgAmenClave,0)),0)</f>
        <v/>
      </c>
    </row>
    <row r="24" hidden="1" ht="60" customHeight="1" s="54">
      <c r="B24" s="59" t="inlineStr">
        <is>
          <t>R-0019</t>
        </is>
      </c>
      <c r="C24" s="59" t="inlineStr">
        <is>
          <t>DO-14</t>
        </is>
      </c>
      <c r="D24" s="64">
        <f>IFERROR(INDEX(MgNombre,MATCH($C24,MgActId,0)),"")</f>
        <v/>
      </c>
      <c r="E24" s="64">
        <f>IFERROR(INDEX(MgProceso,MATCH($C24,MgActId,0)),"")</f>
        <v/>
      </c>
      <c r="F24" s="64">
        <f>IFERROR(INDEX(MgTipo,MATCH($C24,MgActId,0)),"")</f>
        <v/>
      </c>
      <c r="G24" s="64">
        <f>IFERROR(INDEX(MgSubtipo,MATCH($C24,MgActId,0)),"")</f>
        <v/>
      </c>
      <c r="H24" s="59" t="inlineStr">
        <is>
          <t>A.15</t>
        </is>
      </c>
      <c r="I24" s="64">
        <f>IFERROR(INDEX(MgAmenNombre,MATCH(SUBSTITUTE($H24,"*","-"),MgAmenClave,0)),"")</f>
        <v/>
      </c>
      <c r="J24" s="28">
        <f>IFERROR(INDEX(MgAmenGrupo,MATCH(SUBSTITUTE($H24,"*","-"),MgAmenClave,0)),"")</f>
        <v/>
      </c>
      <c r="K24" s="64">
        <f>IFERROR(INDEX('1. Matriz de Activos'!$Q$6:$Q$239,MATCH($C24,MgActId,0)),"")</f>
        <v/>
      </c>
      <c r="L24" s="64">
        <f>IFERROR(INDEX('1. Matriz de Activos'!$R$6:$R$239,MATCH($C24,MgActId,0)),"")</f>
        <v/>
      </c>
      <c r="M24" s="64">
        <f>IFERROR(INDEX('1. Matriz de Activos'!$S$6:$S$239,MATCH($C24,MgActId,0)),"")</f>
        <v/>
      </c>
      <c r="N24" s="28">
        <f>IFERROR(INDEX(MgAmenDegD,MATCH(SUBSTITUTE($H24,"*","-"),MgAmenClave,0)),"No aplica")</f>
        <v/>
      </c>
      <c r="O24" s="28">
        <f>IFERROR(INDEX(MgAmenDegI,MATCH(SUBSTITUTE($H24,"*","-"),MgAmenClave,0)),"No aplica")</f>
        <v/>
      </c>
      <c r="P24" s="28">
        <f>IFERROR(INDEX(MgAmenDegC,MATCH(SUBSTITUTE($H24,"*","-"),MgAmenClave,0)),"No aplica")</f>
        <v/>
      </c>
      <c r="Q24" s="29">
        <f>IFERROR(VLOOKUP(K24,MgValor,2,0)*VLOOKUP(N24,MgDeg,2,0),0)</f>
        <v/>
      </c>
      <c r="R24" s="29">
        <f>IFERROR(VLOOKUP(L24,MgValor,2,0)*VLOOKUP(O24,MgDeg,2,0),0)</f>
        <v/>
      </c>
      <c r="S24" s="29">
        <f>IFERROR(VLOOKUP(M24,MgValor,2,0)*VLOOKUP(P24,MgDeg,2,0),0)</f>
        <v/>
      </c>
      <c r="T24" s="30">
        <f>MAX(Q24:S24)</f>
        <v/>
      </c>
      <c r="U24" s="28">
        <f>IFERROR(LOOKUP(T24,{0;0.5;1.5;3;4.5},{"Despreciable";"Bajo";"Medio";"Alto";"Muy alto"}),"")</f>
        <v/>
      </c>
      <c r="V24" s="13">
        <f>IFERROR(INDEX(MgAmenFrec,MATCH(SUBSTITUTE($H24,"*","-"),MgAmenClave,0)),"")</f>
        <v/>
      </c>
      <c r="W24" s="28">
        <f>IFERROR(LOOKUP(X24,{0;0.01;0.1;1;10;100},{"Muy baja";"Muy baja";"Baja";"Media";"Alta";"Muy alta"}),"")</f>
        <v/>
      </c>
      <c r="X24" s="31">
        <f>IFERROR(VLOOKUP(V24,MgFrec,2,0),0)</f>
        <v/>
      </c>
      <c r="Y24" s="30">
        <f>T24*X24</f>
        <v/>
      </c>
      <c r="Z24" s="28">
        <f>IFERROR(LOOKUP(Y24,{0;0.5;5;25},{"Bajo";"Medio";"Alto";"Crítico"}),"")</f>
        <v/>
      </c>
      <c r="AA24" s="64">
        <f>IF(T24&gt;=3,IF(X24&gt;=1,"Zona 1 — Crítica: impacto alto y ocurre al menos una vez al año","Zona 4 — Catastrófica poco probable: impacto alto pero excepcional"),IF(AND(T24&lt;1.5,X24&lt;1),"Zona 3 — Asumible: impacto bajo y muy poco frecuente","Zona 2 — Atención: riesgo intermedio"))</f>
        <v/>
      </c>
      <c r="AB24" s="64">
        <f>IFERROR(INDEX(MgAmenCtrl,MATCH(SUBSTITUTE($H24,"*","-"),MgAmenClave,0)),"")</f>
        <v/>
      </c>
      <c r="AC24" s="20" t="n"/>
      <c r="AD24" s="31">
        <f>IFERROR($X24*(1-IF($AC24="",$AL24,VLOOKUP($AC24,MgMad,2,0))),"")</f>
        <v/>
      </c>
      <c r="AE24" s="28">
        <f>IFERROR(LOOKUP(AD24,{0;0.01;0.1;1;10;100},{"Muy baja";"Muy baja";"Baja";"Media";"Alta";"Muy alta"}),"")</f>
        <v/>
      </c>
      <c r="AF24" s="30">
        <f>T24*AD24</f>
        <v/>
      </c>
      <c r="AG24" s="28">
        <f>IFERROR(LOOKUP(AF24,{0;0.5;5;25},{"Bajo";"Medio";"Alto";"Crítico"}),"")</f>
        <v/>
      </c>
      <c r="AH24" s="28">
        <f>IF(AG24="","",IF(OR(AG24="Crítico",AG24="Alto"),"Mitigar",IF(AG24="Medio","Mitigar","Aceptar y monitorear")))</f>
        <v/>
      </c>
      <c r="AI24" s="21" t="n"/>
      <c r="AJ24" s="21" t="n"/>
      <c r="AK24" s="20" t="n"/>
      <c r="AL24" s="77">
        <f>IFERROR(INDEX(MgAmenEfic,MATCH(SUBSTITUTE($H24,"*","-"),MgAmenClave,0)),0)</f>
        <v/>
      </c>
    </row>
    <row r="25" hidden="1" ht="60" customHeight="1" s="54">
      <c r="B25" s="59" t="inlineStr">
        <is>
          <t>R-0020</t>
        </is>
      </c>
      <c r="C25" s="59" t="inlineStr">
        <is>
          <t>DO-14</t>
        </is>
      </c>
      <c r="D25" s="64">
        <f>IFERROR(INDEX(MgNombre,MATCH($C25,MgActId,0)),"")</f>
        <v/>
      </c>
      <c r="E25" s="64">
        <f>IFERROR(INDEX(MgProceso,MATCH($C25,MgActId,0)),"")</f>
        <v/>
      </c>
      <c r="F25" s="64">
        <f>IFERROR(INDEX(MgTipo,MATCH($C25,MgActId,0)),"")</f>
        <v/>
      </c>
      <c r="G25" s="64">
        <f>IFERROR(INDEX(MgSubtipo,MATCH($C25,MgActId,0)),"")</f>
        <v/>
      </c>
      <c r="H25" s="59" t="inlineStr">
        <is>
          <t>A.18</t>
        </is>
      </c>
      <c r="I25" s="64">
        <f>IFERROR(INDEX(MgAmenNombre,MATCH(SUBSTITUTE($H25,"*","-"),MgAmenClave,0)),"")</f>
        <v/>
      </c>
      <c r="J25" s="28">
        <f>IFERROR(INDEX(MgAmenGrupo,MATCH(SUBSTITUTE($H25,"*","-"),MgAmenClave,0)),"")</f>
        <v/>
      </c>
      <c r="K25" s="64">
        <f>IFERROR(INDEX('1. Matriz de Activos'!$Q$6:$Q$239,MATCH($C25,MgActId,0)),"")</f>
        <v/>
      </c>
      <c r="L25" s="64">
        <f>IFERROR(INDEX('1. Matriz de Activos'!$R$6:$R$239,MATCH($C25,MgActId,0)),"")</f>
        <v/>
      </c>
      <c r="M25" s="64">
        <f>IFERROR(INDEX('1. Matriz de Activos'!$S$6:$S$239,MATCH($C25,MgActId,0)),"")</f>
        <v/>
      </c>
      <c r="N25" s="28">
        <f>IFERROR(INDEX(MgAmenDegD,MATCH(SUBSTITUTE($H25,"*","-"),MgAmenClave,0)),"No aplica")</f>
        <v/>
      </c>
      <c r="O25" s="28">
        <f>IFERROR(INDEX(MgAmenDegI,MATCH(SUBSTITUTE($H25,"*","-"),MgAmenClave,0)),"No aplica")</f>
        <v/>
      </c>
      <c r="P25" s="28">
        <f>IFERROR(INDEX(MgAmenDegC,MATCH(SUBSTITUTE($H25,"*","-"),MgAmenClave,0)),"No aplica")</f>
        <v/>
      </c>
      <c r="Q25" s="29">
        <f>IFERROR(VLOOKUP(K25,MgValor,2,0)*VLOOKUP(N25,MgDeg,2,0),0)</f>
        <v/>
      </c>
      <c r="R25" s="29">
        <f>IFERROR(VLOOKUP(L25,MgValor,2,0)*VLOOKUP(O25,MgDeg,2,0),0)</f>
        <v/>
      </c>
      <c r="S25" s="29">
        <f>IFERROR(VLOOKUP(M25,MgValor,2,0)*VLOOKUP(P25,MgDeg,2,0),0)</f>
        <v/>
      </c>
      <c r="T25" s="30">
        <f>MAX(Q25:S25)</f>
        <v/>
      </c>
      <c r="U25" s="28">
        <f>IFERROR(LOOKUP(T25,{0;0.5;1.5;3;4.5},{"Despreciable";"Bajo";"Medio";"Alto";"Muy alto"}),"")</f>
        <v/>
      </c>
      <c r="V25" s="13">
        <f>IFERROR(INDEX(MgAmenFrec,MATCH(SUBSTITUTE($H25,"*","-"),MgAmenClave,0)),"")</f>
        <v/>
      </c>
      <c r="W25" s="28">
        <f>IFERROR(LOOKUP(X25,{0;0.01;0.1;1;10;100},{"Muy baja";"Muy baja";"Baja";"Media";"Alta";"Muy alta"}),"")</f>
        <v/>
      </c>
      <c r="X25" s="31">
        <f>IFERROR(VLOOKUP(V25,MgFrec,2,0),0)</f>
        <v/>
      </c>
      <c r="Y25" s="30">
        <f>T25*X25</f>
        <v/>
      </c>
      <c r="Z25" s="28">
        <f>IFERROR(LOOKUP(Y25,{0;0.5;5;25},{"Bajo";"Medio";"Alto";"Crítico"}),"")</f>
        <v/>
      </c>
      <c r="AA25" s="64">
        <f>IF(T25&gt;=3,IF(X25&gt;=1,"Zona 1 — Crítica: impacto alto y ocurre al menos una vez al año","Zona 4 — Catastrófica poco probable: impacto alto pero excepcional"),IF(AND(T25&lt;1.5,X25&lt;1),"Zona 3 — Asumible: impacto bajo y muy poco frecuente","Zona 2 — Atención: riesgo intermedio"))</f>
        <v/>
      </c>
      <c r="AB25" s="64">
        <f>IFERROR(INDEX(MgAmenCtrl,MATCH(SUBSTITUTE($H25,"*","-"),MgAmenClave,0)),"")</f>
        <v/>
      </c>
      <c r="AC25" s="20" t="n"/>
      <c r="AD25" s="31">
        <f>IFERROR($X25*(1-IF($AC25="",$AL25,VLOOKUP($AC25,MgMad,2,0))),"")</f>
        <v/>
      </c>
      <c r="AE25" s="28">
        <f>IFERROR(LOOKUP(AD25,{0;0.01;0.1;1;10;100},{"Muy baja";"Muy baja";"Baja";"Media";"Alta";"Muy alta"}),"")</f>
        <v/>
      </c>
      <c r="AF25" s="30">
        <f>T25*AD25</f>
        <v/>
      </c>
      <c r="AG25" s="28">
        <f>IFERROR(LOOKUP(AF25,{0;0.5;5;25},{"Bajo";"Medio";"Alto";"Crítico"}),"")</f>
        <v/>
      </c>
      <c r="AH25" s="28">
        <f>IF(AG25="","",IF(OR(AG25="Crítico",AG25="Alto"),"Mitigar",IF(AG25="Medio","Mitigar","Aceptar y monitorear")))</f>
        <v/>
      </c>
      <c r="AI25" s="21" t="n"/>
      <c r="AJ25" s="21" t="n"/>
      <c r="AK25" s="20" t="n"/>
      <c r="AL25" s="77">
        <f>IFERROR(INDEX(MgAmenEfic,MATCH(SUBSTITUTE($H25,"*","-"),MgAmenClave,0)),0)</f>
        <v/>
      </c>
    </row>
    <row r="26" hidden="1" ht="120" customHeight="1" s="54">
      <c r="B26" s="59" t="inlineStr">
        <is>
          <t>R-0021</t>
        </is>
      </c>
      <c r="C26" s="59" t="inlineStr">
        <is>
          <t>DO-14</t>
        </is>
      </c>
      <c r="D26" s="64">
        <f>IFERROR(INDEX(MgNombre,MATCH($C26,MgActId,0)),"")</f>
        <v/>
      </c>
      <c r="E26" s="64">
        <f>IFERROR(INDEX(MgProceso,MATCH($C26,MgActId,0)),"")</f>
        <v/>
      </c>
      <c r="F26" s="64">
        <f>IFERROR(INDEX(MgTipo,MATCH($C26,MgActId,0)),"")</f>
        <v/>
      </c>
      <c r="G26" s="64">
        <f>IFERROR(INDEX(MgSubtipo,MATCH($C26,MgActId,0)),"")</f>
        <v/>
      </c>
      <c r="H26" s="59" t="inlineStr">
        <is>
          <t>A.19</t>
        </is>
      </c>
      <c r="I26" s="64">
        <f>IFERROR(INDEX(MgAmenNombre,MATCH(SUBSTITUTE($H26,"*","-"),MgAmenClave,0)),"")</f>
        <v/>
      </c>
      <c r="J26" s="28">
        <f>IFERROR(INDEX(MgAmenGrupo,MATCH(SUBSTITUTE($H26,"*","-"),MgAmenClave,0)),"")</f>
        <v/>
      </c>
      <c r="K26" s="64">
        <f>IFERROR(INDEX('1. Matriz de Activos'!$Q$6:$Q$239,MATCH($C26,MgActId,0)),"")</f>
        <v/>
      </c>
      <c r="L26" s="64">
        <f>IFERROR(INDEX('1. Matriz de Activos'!$R$6:$R$239,MATCH($C26,MgActId,0)),"")</f>
        <v/>
      </c>
      <c r="M26" s="64">
        <f>IFERROR(INDEX('1. Matriz de Activos'!$S$6:$S$239,MATCH($C26,MgActId,0)),"")</f>
        <v/>
      </c>
      <c r="N26" s="28">
        <f>IFERROR(INDEX(MgAmenDegD,MATCH(SUBSTITUTE($H26,"*","-"),MgAmenClave,0)),"No aplica")</f>
        <v/>
      </c>
      <c r="O26" s="28">
        <f>IFERROR(INDEX(MgAmenDegI,MATCH(SUBSTITUTE($H26,"*","-"),MgAmenClave,0)),"No aplica")</f>
        <v/>
      </c>
      <c r="P26" s="28">
        <f>IFERROR(INDEX(MgAmenDegC,MATCH(SUBSTITUTE($H26,"*","-"),MgAmenClave,0)),"No aplica")</f>
        <v/>
      </c>
      <c r="Q26" s="29">
        <f>IFERROR(VLOOKUP(K26,MgValor,2,0)*VLOOKUP(N26,MgDeg,2,0),0)</f>
        <v/>
      </c>
      <c r="R26" s="29">
        <f>IFERROR(VLOOKUP(L26,MgValor,2,0)*VLOOKUP(O26,MgDeg,2,0),0)</f>
        <v/>
      </c>
      <c r="S26" s="29">
        <f>IFERROR(VLOOKUP(M26,MgValor,2,0)*VLOOKUP(P26,MgDeg,2,0),0)</f>
        <v/>
      </c>
      <c r="T26" s="30">
        <f>MAX(Q26:S26)</f>
        <v/>
      </c>
      <c r="U26" s="28">
        <f>IFERROR(LOOKUP(T26,{0;0.5;1.5;3;4.5},{"Despreciable";"Bajo";"Medio";"Alto";"Muy alto"}),"")</f>
        <v/>
      </c>
      <c r="V26" s="13">
        <f>IFERROR(INDEX(MgAmenFrec,MATCH(SUBSTITUTE($H26,"*","-"),MgAmenClave,0)),"")</f>
        <v/>
      </c>
      <c r="W26" s="28">
        <f>IFERROR(LOOKUP(X26,{0;0.01;0.1;1;10;100},{"Muy baja";"Muy baja";"Baja";"Media";"Alta";"Muy alta"}),"")</f>
        <v/>
      </c>
      <c r="X26" s="31">
        <f>IFERROR(VLOOKUP(V26,MgFrec,2,0),0)</f>
        <v/>
      </c>
      <c r="Y26" s="30">
        <f>T26*X26</f>
        <v/>
      </c>
      <c r="Z26" s="28">
        <f>IFERROR(LOOKUP(Y26,{0;0.5;5;25},{"Bajo";"Medio";"Alto";"Crítico"}),"")</f>
        <v/>
      </c>
      <c r="AA26" s="64">
        <f>IF(T26&gt;=3,IF(X26&gt;=1,"Zona 1 — Crítica: impacto alto y ocurre al menos una vez al año","Zona 4 — Catastrófica poco probable: impacto alto pero excepcional"),IF(AND(T26&lt;1.5,X26&lt;1),"Zona 3 — Asumible: impacto bajo y muy poco frecuente","Zona 2 — Atención: riesgo intermedio"))</f>
        <v/>
      </c>
      <c r="AB26" s="64">
        <f>IFERROR(INDEX(MgAmenCtrl,MATCH(SUBSTITUTE($H26,"*","-"),MgAmenClave,0)),"")</f>
        <v/>
      </c>
      <c r="AC26" s="20" t="n"/>
      <c r="AD26" s="31">
        <f>IFERROR($X26*(1-IF($AC26="",$AL26,VLOOKUP($AC26,MgMad,2,0))),"")</f>
        <v/>
      </c>
      <c r="AE26" s="28">
        <f>IFERROR(LOOKUP(AD26,{0;0.01;0.1;1;10;100},{"Muy baja";"Muy baja";"Baja";"Media";"Alta";"Muy alta"}),"")</f>
        <v/>
      </c>
      <c r="AF26" s="30">
        <f>T26*AD26</f>
        <v/>
      </c>
      <c r="AG26" s="28">
        <f>IFERROR(LOOKUP(AF26,{0;0.5;5;25},{"Bajo";"Medio";"Alto";"Crítico"}),"")</f>
        <v/>
      </c>
      <c r="AH26" s="28">
        <f>IF(AG26="","",IF(OR(AG26="Crítico",AG26="Alto"),"Mitigar",IF(AG26="Medio","Mitigar","Aceptar y monitorear")))</f>
        <v/>
      </c>
      <c r="AI26" s="21" t="n"/>
      <c r="AJ26" s="21" t="n"/>
      <c r="AK26" s="20" t="n"/>
      <c r="AL26" s="77">
        <f>IFERROR(INDEX(MgAmenEfic,MATCH(SUBSTITUTE($H26,"*","-"),MgAmenClave,0)),0)</f>
        <v/>
      </c>
    </row>
    <row r="27" hidden="1" ht="60" customHeight="1" s="54">
      <c r="B27" s="59" t="inlineStr">
        <is>
          <t>R-0022</t>
        </is>
      </c>
      <c r="C27" s="59" t="inlineStr">
        <is>
          <t>DO-14</t>
        </is>
      </c>
      <c r="D27" s="64">
        <f>IFERROR(INDEX(MgNombre,MATCH($C27,MgActId,0)),"")</f>
        <v/>
      </c>
      <c r="E27" s="64">
        <f>IFERROR(INDEX(MgProceso,MATCH($C27,MgActId,0)),"")</f>
        <v/>
      </c>
      <c r="F27" s="64">
        <f>IFERROR(INDEX(MgTipo,MATCH($C27,MgActId,0)),"")</f>
        <v/>
      </c>
      <c r="G27" s="64">
        <f>IFERROR(INDEX(MgSubtipo,MATCH($C27,MgActId,0)),"")</f>
        <v/>
      </c>
      <c r="H27" s="59" t="inlineStr">
        <is>
          <t>A.24</t>
        </is>
      </c>
      <c r="I27" s="64">
        <f>IFERROR(INDEX(MgAmenNombre,MATCH(SUBSTITUTE($H27,"*","-"),MgAmenClave,0)),"")</f>
        <v/>
      </c>
      <c r="J27" s="28">
        <f>IFERROR(INDEX(MgAmenGrupo,MATCH(SUBSTITUTE($H27,"*","-"),MgAmenClave,0)),"")</f>
        <v/>
      </c>
      <c r="K27" s="64">
        <f>IFERROR(INDEX('1. Matriz de Activos'!$Q$6:$Q$239,MATCH($C27,MgActId,0)),"")</f>
        <v/>
      </c>
      <c r="L27" s="64">
        <f>IFERROR(INDEX('1. Matriz de Activos'!$R$6:$R$239,MATCH($C27,MgActId,0)),"")</f>
        <v/>
      </c>
      <c r="M27" s="64">
        <f>IFERROR(INDEX('1. Matriz de Activos'!$S$6:$S$239,MATCH($C27,MgActId,0)),"")</f>
        <v/>
      </c>
      <c r="N27" s="28">
        <f>IFERROR(INDEX(MgAmenDegD,MATCH(SUBSTITUTE($H27,"*","-"),MgAmenClave,0)),"No aplica")</f>
        <v/>
      </c>
      <c r="O27" s="28">
        <f>IFERROR(INDEX(MgAmenDegI,MATCH(SUBSTITUTE($H27,"*","-"),MgAmenClave,0)),"No aplica")</f>
        <v/>
      </c>
      <c r="P27" s="28">
        <f>IFERROR(INDEX(MgAmenDegC,MATCH(SUBSTITUTE($H27,"*","-"),MgAmenClave,0)),"No aplica")</f>
        <v/>
      </c>
      <c r="Q27" s="29">
        <f>IFERROR(VLOOKUP(K27,MgValor,2,0)*VLOOKUP(N27,MgDeg,2,0),0)</f>
        <v/>
      </c>
      <c r="R27" s="29">
        <f>IFERROR(VLOOKUP(L27,MgValor,2,0)*VLOOKUP(O27,MgDeg,2,0),0)</f>
        <v/>
      </c>
      <c r="S27" s="29">
        <f>IFERROR(VLOOKUP(M27,MgValor,2,0)*VLOOKUP(P27,MgDeg,2,0),0)</f>
        <v/>
      </c>
      <c r="T27" s="30">
        <f>MAX(Q27:S27)</f>
        <v/>
      </c>
      <c r="U27" s="28">
        <f>IFERROR(LOOKUP(T27,{0;0.5;1.5;3;4.5},{"Despreciable";"Bajo";"Medio";"Alto";"Muy alto"}),"")</f>
        <v/>
      </c>
      <c r="V27" s="13">
        <f>IFERROR(INDEX(MgAmenFrec,MATCH(SUBSTITUTE($H27,"*","-"),MgAmenClave,0)),"")</f>
        <v/>
      </c>
      <c r="W27" s="28">
        <f>IFERROR(LOOKUP(X27,{0;0.01;0.1;1;10;100},{"Muy baja";"Muy baja";"Baja";"Media";"Alta";"Muy alta"}),"")</f>
        <v/>
      </c>
      <c r="X27" s="31">
        <f>IFERROR(VLOOKUP(V27,MgFrec,2,0),0)</f>
        <v/>
      </c>
      <c r="Y27" s="30">
        <f>T27*X27</f>
        <v/>
      </c>
      <c r="Z27" s="28">
        <f>IFERROR(LOOKUP(Y27,{0;0.5;5;25},{"Bajo";"Medio";"Alto";"Crítico"}),"")</f>
        <v/>
      </c>
      <c r="AA27" s="64">
        <f>IF(T27&gt;=3,IF(X27&gt;=1,"Zona 1 — Crítica: impacto alto y ocurre al menos una vez al año","Zona 4 — Catastrófica poco probable: impacto alto pero excepcional"),IF(AND(T27&lt;1.5,X27&lt;1),"Zona 3 — Asumible: impacto bajo y muy poco frecuente","Zona 2 — Atención: riesgo intermedio"))</f>
        <v/>
      </c>
      <c r="AB27" s="64">
        <f>IFERROR(INDEX(MgAmenCtrl,MATCH(SUBSTITUTE($H27,"*","-"),MgAmenClave,0)),"")</f>
        <v/>
      </c>
      <c r="AC27" s="20" t="n"/>
      <c r="AD27" s="31">
        <f>IFERROR($X27*(1-IF($AC27="",$AL27,VLOOKUP($AC27,MgMad,2,0))),"")</f>
        <v/>
      </c>
      <c r="AE27" s="28">
        <f>IFERROR(LOOKUP(AD27,{0;0.01;0.1;1;10;100},{"Muy baja";"Muy baja";"Baja";"Media";"Alta";"Muy alta"}),"")</f>
        <v/>
      </c>
      <c r="AF27" s="30">
        <f>T27*AD27</f>
        <v/>
      </c>
      <c r="AG27" s="28">
        <f>IFERROR(LOOKUP(AF27,{0;0.5;5;25},{"Bajo";"Medio";"Alto";"Crítico"}),"")</f>
        <v/>
      </c>
      <c r="AH27" s="28">
        <f>IF(AG27="","",IF(OR(AG27="Crítico",AG27="Alto"),"Mitigar",IF(AG27="Medio","Mitigar","Aceptar y monitorear")))</f>
        <v/>
      </c>
      <c r="AI27" s="21" t="n"/>
      <c r="AJ27" s="21" t="n"/>
      <c r="AK27" s="20" t="n"/>
      <c r="AL27" s="77">
        <f>IFERROR(INDEX(MgAmenEfic,MATCH(SUBSTITUTE($H27,"*","-"),MgAmenClave,0)),0)</f>
        <v/>
      </c>
    </row>
    <row r="28" hidden="1" ht="75" customHeight="1" s="54">
      <c r="B28" s="59" t="inlineStr">
        <is>
          <t>R-0023</t>
        </is>
      </c>
      <c r="C28" s="59" t="inlineStr">
        <is>
          <t>DO-13</t>
        </is>
      </c>
      <c r="D28" s="64">
        <f>IFERROR(INDEX(MgNombre,MATCH($C28,MgActId,0)),"")</f>
        <v/>
      </c>
      <c r="E28" s="64">
        <f>IFERROR(INDEX(MgProceso,MATCH($C28,MgActId,0)),"")</f>
        <v/>
      </c>
      <c r="F28" s="64">
        <f>IFERROR(INDEX(MgTipo,MATCH($C28,MgActId,0)),"")</f>
        <v/>
      </c>
      <c r="G28" s="64">
        <f>IFERROR(INDEX(MgSubtipo,MATCH($C28,MgActId,0)),"")</f>
        <v/>
      </c>
      <c r="H28" s="59" t="inlineStr">
        <is>
          <t>I.8</t>
        </is>
      </c>
      <c r="I28" s="64">
        <f>IFERROR(INDEX(MgAmenNombre,MATCH(SUBSTITUTE($H28,"*","-"),MgAmenClave,0)),"")</f>
        <v/>
      </c>
      <c r="J28" s="28">
        <f>IFERROR(INDEX(MgAmenGrupo,MATCH(SUBSTITUTE($H28,"*","-"),MgAmenClave,0)),"")</f>
        <v/>
      </c>
      <c r="K28" s="64">
        <f>IFERROR(INDEX('1. Matriz de Activos'!$Q$6:$Q$239,MATCH($C28,MgActId,0)),"")</f>
        <v/>
      </c>
      <c r="L28" s="64">
        <f>IFERROR(INDEX('1. Matriz de Activos'!$R$6:$R$239,MATCH($C28,MgActId,0)),"")</f>
        <v/>
      </c>
      <c r="M28" s="64">
        <f>IFERROR(INDEX('1. Matriz de Activos'!$S$6:$S$239,MATCH($C28,MgActId,0)),"")</f>
        <v/>
      </c>
      <c r="N28" s="28">
        <f>IFERROR(INDEX(MgAmenDegD,MATCH(SUBSTITUTE($H28,"*","-"),MgAmenClave,0)),"No aplica")</f>
        <v/>
      </c>
      <c r="O28" s="28">
        <f>IFERROR(INDEX(MgAmenDegI,MATCH(SUBSTITUTE($H28,"*","-"),MgAmenClave,0)),"No aplica")</f>
        <v/>
      </c>
      <c r="P28" s="28">
        <f>IFERROR(INDEX(MgAmenDegC,MATCH(SUBSTITUTE($H28,"*","-"),MgAmenClave,0)),"No aplica")</f>
        <v/>
      </c>
      <c r="Q28" s="29">
        <f>IFERROR(VLOOKUP(K28,MgValor,2,0)*VLOOKUP(N28,MgDeg,2,0),0)</f>
        <v/>
      </c>
      <c r="R28" s="29">
        <f>IFERROR(VLOOKUP(L28,MgValor,2,0)*VLOOKUP(O28,MgDeg,2,0),0)</f>
        <v/>
      </c>
      <c r="S28" s="29">
        <f>IFERROR(VLOOKUP(M28,MgValor,2,0)*VLOOKUP(P28,MgDeg,2,0),0)</f>
        <v/>
      </c>
      <c r="T28" s="30">
        <f>MAX(Q28:S28)</f>
        <v/>
      </c>
      <c r="U28" s="28">
        <f>IFERROR(LOOKUP(T28,{0;0.5;1.5;3;4.5},{"Despreciable";"Bajo";"Medio";"Alto";"Muy alto"}),"")</f>
        <v/>
      </c>
      <c r="V28" s="13">
        <f>IFERROR(INDEX(MgAmenFrec,MATCH(SUBSTITUTE($H28,"*","-"),MgAmenClave,0)),"")</f>
        <v/>
      </c>
      <c r="W28" s="28">
        <f>IFERROR(LOOKUP(X28,{0;0.01;0.1;1;10;100},{"Muy baja";"Muy baja";"Baja";"Media";"Alta";"Muy alta"}),"")</f>
        <v/>
      </c>
      <c r="X28" s="31">
        <f>IFERROR(VLOOKUP(V28,MgFrec,2,0),0)</f>
        <v/>
      </c>
      <c r="Y28" s="30">
        <f>T28*X28</f>
        <v/>
      </c>
      <c r="Z28" s="28">
        <f>IFERROR(LOOKUP(Y28,{0;0.5;5;25},{"Bajo";"Medio";"Alto";"Crítico"}),"")</f>
        <v/>
      </c>
      <c r="AA28" s="64">
        <f>IF(T28&gt;=3,IF(X28&gt;=1,"Zona 1 — Crítica: impacto alto y ocurre al menos una vez al año","Zona 4 — Catastrófica poco probable: impacto alto pero excepcional"),IF(AND(T28&lt;1.5,X28&lt;1),"Zona 3 — Asumible: impacto bajo y muy poco frecuente","Zona 2 — Atención: riesgo intermedio"))</f>
        <v/>
      </c>
      <c r="AB28" s="64">
        <f>IFERROR(INDEX(MgAmenCtrl,MATCH(SUBSTITUTE($H28,"*","-"),MgAmenClave,0)),"")</f>
        <v/>
      </c>
      <c r="AC28" s="20" t="n"/>
      <c r="AD28" s="31">
        <f>IFERROR($X28*(1-IF($AC28="",$AL28,VLOOKUP($AC28,MgMad,2,0))),"")</f>
        <v/>
      </c>
      <c r="AE28" s="28">
        <f>IFERROR(LOOKUP(AD28,{0;0.01;0.1;1;10;100},{"Muy baja";"Muy baja";"Baja";"Media";"Alta";"Muy alta"}),"")</f>
        <v/>
      </c>
      <c r="AF28" s="30">
        <f>T28*AD28</f>
        <v/>
      </c>
      <c r="AG28" s="28">
        <f>IFERROR(LOOKUP(AF28,{0;0.5;5;25},{"Bajo";"Medio";"Alto";"Crítico"}),"")</f>
        <v/>
      </c>
      <c r="AH28" s="28">
        <f>IF(AG28="","",IF(OR(AG28="Crítico",AG28="Alto"),"Mitigar",IF(AG28="Medio","Mitigar","Aceptar y monitorear")))</f>
        <v/>
      </c>
      <c r="AI28" s="21" t="n"/>
      <c r="AJ28" s="21" t="n"/>
      <c r="AK28" s="20" t="n"/>
      <c r="AL28" s="77">
        <f>IFERROR(INDEX(MgAmenEfic,MATCH(SUBSTITUTE($H28,"*","-"),MgAmenClave,0)),0)</f>
        <v/>
      </c>
    </row>
    <row r="29" hidden="1" ht="45" customHeight="1" s="54">
      <c r="B29" s="59" t="inlineStr">
        <is>
          <t>R-0024</t>
        </is>
      </c>
      <c r="C29" s="59" t="inlineStr">
        <is>
          <t>DO-13</t>
        </is>
      </c>
      <c r="D29" s="64">
        <f>IFERROR(INDEX(MgNombre,MATCH($C29,MgActId,0)),"")</f>
        <v/>
      </c>
      <c r="E29" s="64">
        <f>IFERROR(INDEX(MgProceso,MATCH($C29,MgActId,0)),"")</f>
        <v/>
      </c>
      <c r="F29" s="64">
        <f>IFERROR(INDEX(MgTipo,MATCH($C29,MgActId,0)),"")</f>
        <v/>
      </c>
      <c r="G29" s="64">
        <f>IFERROR(INDEX(MgSubtipo,MATCH($C29,MgActId,0)),"")</f>
        <v/>
      </c>
      <c r="H29" s="59" t="inlineStr">
        <is>
          <t>I.11</t>
        </is>
      </c>
      <c r="I29" s="64">
        <f>IFERROR(INDEX(MgAmenNombre,MATCH(SUBSTITUTE($H29,"*","-"),MgAmenClave,0)),"")</f>
        <v/>
      </c>
      <c r="J29" s="28">
        <f>IFERROR(INDEX(MgAmenGrupo,MATCH(SUBSTITUTE($H29,"*","-"),MgAmenClave,0)),"")</f>
        <v/>
      </c>
      <c r="K29" s="64">
        <f>IFERROR(INDEX('1. Matriz de Activos'!$Q$6:$Q$239,MATCH($C29,MgActId,0)),"")</f>
        <v/>
      </c>
      <c r="L29" s="64">
        <f>IFERROR(INDEX('1. Matriz de Activos'!$R$6:$R$239,MATCH($C29,MgActId,0)),"")</f>
        <v/>
      </c>
      <c r="M29" s="64">
        <f>IFERROR(INDEX('1. Matriz de Activos'!$S$6:$S$239,MATCH($C29,MgActId,0)),"")</f>
        <v/>
      </c>
      <c r="N29" s="28">
        <f>IFERROR(INDEX(MgAmenDegD,MATCH(SUBSTITUTE($H29,"*","-"),MgAmenClave,0)),"No aplica")</f>
        <v/>
      </c>
      <c r="O29" s="28">
        <f>IFERROR(INDEX(MgAmenDegI,MATCH(SUBSTITUTE($H29,"*","-"),MgAmenClave,0)),"No aplica")</f>
        <v/>
      </c>
      <c r="P29" s="28">
        <f>IFERROR(INDEX(MgAmenDegC,MATCH(SUBSTITUTE($H29,"*","-"),MgAmenClave,0)),"No aplica")</f>
        <v/>
      </c>
      <c r="Q29" s="29">
        <f>IFERROR(VLOOKUP(K29,MgValor,2,0)*VLOOKUP(N29,MgDeg,2,0),0)</f>
        <v/>
      </c>
      <c r="R29" s="29">
        <f>IFERROR(VLOOKUP(L29,MgValor,2,0)*VLOOKUP(O29,MgDeg,2,0),0)</f>
        <v/>
      </c>
      <c r="S29" s="29">
        <f>IFERROR(VLOOKUP(M29,MgValor,2,0)*VLOOKUP(P29,MgDeg,2,0),0)</f>
        <v/>
      </c>
      <c r="T29" s="30">
        <f>MAX(Q29:S29)</f>
        <v/>
      </c>
      <c r="U29" s="28">
        <f>IFERROR(LOOKUP(T29,{0;0.5;1.5;3;4.5},{"Despreciable";"Bajo";"Medio";"Alto";"Muy alto"}),"")</f>
        <v/>
      </c>
      <c r="V29" s="13">
        <f>IFERROR(INDEX(MgAmenFrec,MATCH(SUBSTITUTE($H29,"*","-"),MgAmenClave,0)),"")</f>
        <v/>
      </c>
      <c r="W29" s="28">
        <f>IFERROR(LOOKUP(X29,{0;0.01;0.1;1;10;100},{"Muy baja";"Muy baja";"Baja";"Media";"Alta";"Muy alta"}),"")</f>
        <v/>
      </c>
      <c r="X29" s="31">
        <f>IFERROR(VLOOKUP(V29,MgFrec,2,0),0)</f>
        <v/>
      </c>
      <c r="Y29" s="30">
        <f>T29*X29</f>
        <v/>
      </c>
      <c r="Z29" s="28">
        <f>IFERROR(LOOKUP(Y29,{0;0.5;5;25},{"Bajo";"Medio";"Alto";"Crítico"}),"")</f>
        <v/>
      </c>
      <c r="AA29" s="64">
        <f>IF(T29&gt;=3,IF(X29&gt;=1,"Zona 1 — Crítica: impacto alto y ocurre al menos una vez al año","Zona 4 — Catastrófica poco probable: impacto alto pero excepcional"),IF(AND(T29&lt;1.5,X29&lt;1),"Zona 3 — Asumible: impacto bajo y muy poco frecuente","Zona 2 — Atención: riesgo intermedio"))</f>
        <v/>
      </c>
      <c r="AB29" s="64">
        <f>IFERROR(INDEX(MgAmenCtrl,MATCH(SUBSTITUTE($H29,"*","-"),MgAmenClave,0)),"")</f>
        <v/>
      </c>
      <c r="AC29" s="20" t="n"/>
      <c r="AD29" s="31">
        <f>IFERROR($X29*(1-IF($AC29="",$AL29,VLOOKUP($AC29,MgMad,2,0))),"")</f>
        <v/>
      </c>
      <c r="AE29" s="28">
        <f>IFERROR(LOOKUP(AD29,{0;0.01;0.1;1;10;100},{"Muy baja";"Muy baja";"Baja";"Media";"Alta";"Muy alta"}),"")</f>
        <v/>
      </c>
      <c r="AF29" s="30">
        <f>T29*AD29</f>
        <v/>
      </c>
      <c r="AG29" s="28">
        <f>IFERROR(LOOKUP(AF29,{0;0.5;5;25},{"Bajo";"Medio";"Alto";"Crítico"}),"")</f>
        <v/>
      </c>
      <c r="AH29" s="28">
        <f>IF(AG29="","",IF(OR(AG29="Crítico",AG29="Alto"),"Mitigar",IF(AG29="Medio","Mitigar","Aceptar y monitorear")))</f>
        <v/>
      </c>
      <c r="AI29" s="21" t="n"/>
      <c r="AJ29" s="21" t="n"/>
      <c r="AK29" s="20" t="n"/>
      <c r="AL29" s="77">
        <f>IFERROR(INDEX(MgAmenEfic,MATCH(SUBSTITUTE($H29,"*","-"),MgAmenClave,0)),0)</f>
        <v/>
      </c>
    </row>
    <row r="30" hidden="1" ht="120" customHeight="1" s="54">
      <c r="B30" s="59" t="inlineStr">
        <is>
          <t>R-0025</t>
        </is>
      </c>
      <c r="C30" s="59" t="inlineStr">
        <is>
          <t>DO-13</t>
        </is>
      </c>
      <c r="D30" s="64">
        <f>IFERROR(INDEX(MgNombre,MATCH($C30,MgActId,0)),"")</f>
        <v/>
      </c>
      <c r="E30" s="64">
        <f>IFERROR(INDEX(MgProceso,MATCH($C30,MgActId,0)),"")</f>
        <v/>
      </c>
      <c r="F30" s="64">
        <f>IFERROR(INDEX(MgTipo,MATCH($C30,MgActId,0)),"")</f>
        <v/>
      </c>
      <c r="G30" s="64">
        <f>IFERROR(INDEX(MgSubtipo,MATCH($C30,MgActId,0)),"")</f>
        <v/>
      </c>
      <c r="H30" s="59" t="inlineStr">
        <is>
          <t>E.2</t>
        </is>
      </c>
      <c r="I30" s="64">
        <f>IFERROR(INDEX(MgAmenNombre,MATCH(SUBSTITUTE($H30,"*","-"),MgAmenClave,0)),"")</f>
        <v/>
      </c>
      <c r="J30" s="28">
        <f>IFERROR(INDEX(MgAmenGrupo,MATCH(SUBSTITUTE($H30,"*","-"),MgAmenClave,0)),"")</f>
        <v/>
      </c>
      <c r="K30" s="64">
        <f>IFERROR(INDEX('1. Matriz de Activos'!$Q$6:$Q$239,MATCH($C30,MgActId,0)),"")</f>
        <v/>
      </c>
      <c r="L30" s="64">
        <f>IFERROR(INDEX('1. Matriz de Activos'!$R$6:$R$239,MATCH($C30,MgActId,0)),"")</f>
        <v/>
      </c>
      <c r="M30" s="64">
        <f>IFERROR(INDEX('1. Matriz de Activos'!$S$6:$S$239,MATCH($C30,MgActId,0)),"")</f>
        <v/>
      </c>
      <c r="N30" s="28">
        <f>IFERROR(INDEX(MgAmenDegD,MATCH(SUBSTITUTE($H30,"*","-"),MgAmenClave,0)),"No aplica")</f>
        <v/>
      </c>
      <c r="O30" s="28">
        <f>IFERROR(INDEX(MgAmenDegI,MATCH(SUBSTITUTE($H30,"*","-"),MgAmenClave,0)),"No aplica")</f>
        <v/>
      </c>
      <c r="P30" s="28">
        <f>IFERROR(INDEX(MgAmenDegC,MATCH(SUBSTITUTE($H30,"*","-"),MgAmenClave,0)),"No aplica")</f>
        <v/>
      </c>
      <c r="Q30" s="29">
        <f>IFERROR(VLOOKUP(K30,MgValor,2,0)*VLOOKUP(N30,MgDeg,2,0),0)</f>
        <v/>
      </c>
      <c r="R30" s="29">
        <f>IFERROR(VLOOKUP(L30,MgValor,2,0)*VLOOKUP(O30,MgDeg,2,0),0)</f>
        <v/>
      </c>
      <c r="S30" s="29">
        <f>IFERROR(VLOOKUP(M30,MgValor,2,0)*VLOOKUP(P30,MgDeg,2,0),0)</f>
        <v/>
      </c>
      <c r="T30" s="30">
        <f>MAX(Q30:S30)</f>
        <v/>
      </c>
      <c r="U30" s="28">
        <f>IFERROR(LOOKUP(T30,{0;0.5;1.5;3;4.5},{"Despreciable";"Bajo";"Medio";"Alto";"Muy alto"}),"")</f>
        <v/>
      </c>
      <c r="V30" s="13">
        <f>IFERROR(INDEX(MgAmenFrec,MATCH(SUBSTITUTE($H30,"*","-"),MgAmenClave,0)),"")</f>
        <v/>
      </c>
      <c r="W30" s="28">
        <f>IFERROR(LOOKUP(X30,{0;0.01;0.1;1;10;100},{"Muy baja";"Muy baja";"Baja";"Media";"Alta";"Muy alta"}),"")</f>
        <v/>
      </c>
      <c r="X30" s="31">
        <f>IFERROR(VLOOKUP(V30,MgFrec,2,0),0)</f>
        <v/>
      </c>
      <c r="Y30" s="30">
        <f>T30*X30</f>
        <v/>
      </c>
      <c r="Z30" s="28">
        <f>IFERROR(LOOKUP(Y30,{0;0.5;5;25},{"Bajo";"Medio";"Alto";"Crítico"}),"")</f>
        <v/>
      </c>
      <c r="AA30" s="64">
        <f>IF(T30&gt;=3,IF(X30&gt;=1,"Zona 1 — Crítica: impacto alto y ocurre al menos una vez al año","Zona 4 — Catastrófica poco probable: impacto alto pero excepcional"),IF(AND(T30&lt;1.5,X30&lt;1),"Zona 3 — Asumible: impacto bajo y muy poco frecuente","Zona 2 — Atención: riesgo intermedio"))</f>
        <v/>
      </c>
      <c r="AB30" s="64">
        <f>IFERROR(INDEX(MgAmenCtrl,MATCH(SUBSTITUTE($H30,"*","-"),MgAmenClave,0)),"")</f>
        <v/>
      </c>
      <c r="AC30" s="20" t="n"/>
      <c r="AD30" s="31">
        <f>IFERROR($X30*(1-IF($AC30="",$AL30,VLOOKUP($AC30,MgMad,2,0))),"")</f>
        <v/>
      </c>
      <c r="AE30" s="28">
        <f>IFERROR(LOOKUP(AD30,{0;0.01;0.1;1;10;100},{"Muy baja";"Muy baja";"Baja";"Media";"Alta";"Muy alta"}),"")</f>
        <v/>
      </c>
      <c r="AF30" s="30">
        <f>T30*AD30</f>
        <v/>
      </c>
      <c r="AG30" s="28">
        <f>IFERROR(LOOKUP(AF30,{0;0.5;5;25},{"Bajo";"Medio";"Alto";"Crítico"}),"")</f>
        <v/>
      </c>
      <c r="AH30" s="28">
        <f>IF(AG30="","",IF(OR(AG30="Crítico",AG30="Alto"),"Mitigar",IF(AG30="Medio","Mitigar","Aceptar y monitorear")))</f>
        <v/>
      </c>
      <c r="AI30" s="21" t="n"/>
      <c r="AJ30" s="21" t="n"/>
      <c r="AK30" s="20" t="n"/>
      <c r="AL30" s="77">
        <f>IFERROR(INDEX(MgAmenEfic,MATCH(SUBSTITUTE($H30,"*","-"),MgAmenClave,0)),0)</f>
        <v/>
      </c>
    </row>
    <row r="31" hidden="1" ht="60" customHeight="1" s="54">
      <c r="B31" s="59" t="inlineStr">
        <is>
          <t>R-0026</t>
        </is>
      </c>
      <c r="C31" s="59" t="inlineStr">
        <is>
          <t>DO-13</t>
        </is>
      </c>
      <c r="D31" s="64">
        <f>IFERROR(INDEX(MgNombre,MATCH($C31,MgActId,0)),"")</f>
        <v/>
      </c>
      <c r="E31" s="64">
        <f>IFERROR(INDEX(MgProceso,MATCH($C31,MgActId,0)),"")</f>
        <v/>
      </c>
      <c r="F31" s="64">
        <f>IFERROR(INDEX(MgTipo,MATCH($C31,MgActId,0)),"")</f>
        <v/>
      </c>
      <c r="G31" s="64">
        <f>IFERROR(INDEX(MgSubtipo,MATCH($C31,MgActId,0)),"")</f>
        <v/>
      </c>
      <c r="H31" s="59" t="inlineStr">
        <is>
          <t>E.9</t>
        </is>
      </c>
      <c r="I31" s="64">
        <f>IFERROR(INDEX(MgAmenNombre,MATCH(SUBSTITUTE($H31,"*","-"),MgAmenClave,0)),"")</f>
        <v/>
      </c>
      <c r="J31" s="28">
        <f>IFERROR(INDEX(MgAmenGrupo,MATCH(SUBSTITUTE($H31,"*","-"),MgAmenClave,0)),"")</f>
        <v/>
      </c>
      <c r="K31" s="64">
        <f>IFERROR(INDEX('1. Matriz de Activos'!$Q$6:$Q$239,MATCH($C31,MgActId,0)),"")</f>
        <v/>
      </c>
      <c r="L31" s="64">
        <f>IFERROR(INDEX('1. Matriz de Activos'!$R$6:$R$239,MATCH($C31,MgActId,0)),"")</f>
        <v/>
      </c>
      <c r="M31" s="64">
        <f>IFERROR(INDEX('1. Matriz de Activos'!$S$6:$S$239,MATCH($C31,MgActId,0)),"")</f>
        <v/>
      </c>
      <c r="N31" s="28">
        <f>IFERROR(INDEX(MgAmenDegD,MATCH(SUBSTITUTE($H31,"*","-"),MgAmenClave,0)),"No aplica")</f>
        <v/>
      </c>
      <c r="O31" s="28">
        <f>IFERROR(INDEX(MgAmenDegI,MATCH(SUBSTITUTE($H31,"*","-"),MgAmenClave,0)),"No aplica")</f>
        <v/>
      </c>
      <c r="P31" s="28">
        <f>IFERROR(INDEX(MgAmenDegC,MATCH(SUBSTITUTE($H31,"*","-"),MgAmenClave,0)),"No aplica")</f>
        <v/>
      </c>
      <c r="Q31" s="29">
        <f>IFERROR(VLOOKUP(K31,MgValor,2,0)*VLOOKUP(N31,MgDeg,2,0),0)</f>
        <v/>
      </c>
      <c r="R31" s="29">
        <f>IFERROR(VLOOKUP(L31,MgValor,2,0)*VLOOKUP(O31,MgDeg,2,0),0)</f>
        <v/>
      </c>
      <c r="S31" s="29">
        <f>IFERROR(VLOOKUP(M31,MgValor,2,0)*VLOOKUP(P31,MgDeg,2,0),0)</f>
        <v/>
      </c>
      <c r="T31" s="30">
        <f>MAX(Q31:S31)</f>
        <v/>
      </c>
      <c r="U31" s="28">
        <f>IFERROR(LOOKUP(T31,{0;0.5;1.5;3;4.5},{"Despreciable";"Bajo";"Medio";"Alto";"Muy alto"}),"")</f>
        <v/>
      </c>
      <c r="V31" s="13">
        <f>IFERROR(INDEX(MgAmenFrec,MATCH(SUBSTITUTE($H31,"*","-"),MgAmenClave,0)),"")</f>
        <v/>
      </c>
      <c r="W31" s="28">
        <f>IFERROR(LOOKUP(X31,{0;0.01;0.1;1;10;100},{"Muy baja";"Muy baja";"Baja";"Media";"Alta";"Muy alta"}),"")</f>
        <v/>
      </c>
      <c r="X31" s="31">
        <f>IFERROR(VLOOKUP(V31,MgFrec,2,0),0)</f>
        <v/>
      </c>
      <c r="Y31" s="30">
        <f>T31*X31</f>
        <v/>
      </c>
      <c r="Z31" s="28">
        <f>IFERROR(LOOKUP(Y31,{0;0.5;5;25},{"Bajo";"Medio";"Alto";"Crítico"}),"")</f>
        <v/>
      </c>
      <c r="AA31" s="64">
        <f>IF(T31&gt;=3,IF(X31&gt;=1,"Zona 1 — Crítica: impacto alto y ocurre al menos una vez al año","Zona 4 — Catastrófica poco probable: impacto alto pero excepcional"),IF(AND(T31&lt;1.5,X31&lt;1),"Zona 3 — Asumible: impacto bajo y muy poco frecuente","Zona 2 — Atención: riesgo intermedio"))</f>
        <v/>
      </c>
      <c r="AB31" s="64">
        <f>IFERROR(INDEX(MgAmenCtrl,MATCH(SUBSTITUTE($H31,"*","-"),MgAmenClave,0)),"")</f>
        <v/>
      </c>
      <c r="AC31" s="20" t="n"/>
      <c r="AD31" s="31">
        <f>IFERROR($X31*(1-IF($AC31="",$AL31,VLOOKUP($AC31,MgMad,2,0))),"")</f>
        <v/>
      </c>
      <c r="AE31" s="28">
        <f>IFERROR(LOOKUP(AD31,{0;0.01;0.1;1;10;100},{"Muy baja";"Muy baja";"Baja";"Media";"Alta";"Muy alta"}),"")</f>
        <v/>
      </c>
      <c r="AF31" s="30">
        <f>T31*AD31</f>
        <v/>
      </c>
      <c r="AG31" s="28">
        <f>IFERROR(LOOKUP(AF31,{0;0.5;5;25},{"Bajo";"Medio";"Alto";"Crítico"}),"")</f>
        <v/>
      </c>
      <c r="AH31" s="28">
        <f>IF(AG31="","",IF(OR(AG31="Crítico",AG31="Alto"),"Mitigar",IF(AG31="Medio","Mitigar","Aceptar y monitorear")))</f>
        <v/>
      </c>
      <c r="AI31" s="21" t="n"/>
      <c r="AJ31" s="21" t="n"/>
      <c r="AK31" s="20" t="n"/>
      <c r="AL31" s="77">
        <f>IFERROR(INDEX(MgAmenEfic,MATCH(SUBSTITUTE($H31,"*","-"),MgAmenClave,0)),0)</f>
        <v/>
      </c>
    </row>
    <row r="32" hidden="1" ht="90" customHeight="1" s="54">
      <c r="B32" s="59" t="inlineStr">
        <is>
          <t>R-0027</t>
        </is>
      </c>
      <c r="C32" s="59" t="inlineStr">
        <is>
          <t>DO-13</t>
        </is>
      </c>
      <c r="D32" s="64">
        <f>IFERROR(INDEX(MgNombre,MATCH($C32,MgActId,0)),"")</f>
        <v/>
      </c>
      <c r="E32" s="64">
        <f>IFERROR(INDEX(MgProceso,MATCH($C32,MgActId,0)),"")</f>
        <v/>
      </c>
      <c r="F32" s="64">
        <f>IFERROR(INDEX(MgTipo,MATCH($C32,MgActId,0)),"")</f>
        <v/>
      </c>
      <c r="G32" s="64">
        <f>IFERROR(INDEX(MgSubtipo,MATCH($C32,MgActId,0)),"")</f>
        <v/>
      </c>
      <c r="H32" s="59" t="inlineStr">
        <is>
          <t>E.10</t>
        </is>
      </c>
      <c r="I32" s="64">
        <f>IFERROR(INDEX(MgAmenNombre,MATCH(SUBSTITUTE($H32,"*","-"),MgAmenClave,0)),"")</f>
        <v/>
      </c>
      <c r="J32" s="28">
        <f>IFERROR(INDEX(MgAmenGrupo,MATCH(SUBSTITUTE($H32,"*","-"),MgAmenClave,0)),"")</f>
        <v/>
      </c>
      <c r="K32" s="64">
        <f>IFERROR(INDEX('1. Matriz de Activos'!$Q$6:$Q$239,MATCH($C32,MgActId,0)),"")</f>
        <v/>
      </c>
      <c r="L32" s="64">
        <f>IFERROR(INDEX('1. Matriz de Activos'!$R$6:$R$239,MATCH($C32,MgActId,0)),"")</f>
        <v/>
      </c>
      <c r="M32" s="64">
        <f>IFERROR(INDEX('1. Matriz de Activos'!$S$6:$S$239,MATCH($C32,MgActId,0)),"")</f>
        <v/>
      </c>
      <c r="N32" s="28">
        <f>IFERROR(INDEX(MgAmenDegD,MATCH(SUBSTITUTE($H32,"*","-"),MgAmenClave,0)),"No aplica")</f>
        <v/>
      </c>
      <c r="O32" s="28">
        <f>IFERROR(INDEX(MgAmenDegI,MATCH(SUBSTITUTE($H32,"*","-"),MgAmenClave,0)),"No aplica")</f>
        <v/>
      </c>
      <c r="P32" s="28">
        <f>IFERROR(INDEX(MgAmenDegC,MATCH(SUBSTITUTE($H32,"*","-"),MgAmenClave,0)),"No aplica")</f>
        <v/>
      </c>
      <c r="Q32" s="29">
        <f>IFERROR(VLOOKUP(K32,MgValor,2,0)*VLOOKUP(N32,MgDeg,2,0),0)</f>
        <v/>
      </c>
      <c r="R32" s="29">
        <f>IFERROR(VLOOKUP(L32,MgValor,2,0)*VLOOKUP(O32,MgDeg,2,0),0)</f>
        <v/>
      </c>
      <c r="S32" s="29">
        <f>IFERROR(VLOOKUP(M32,MgValor,2,0)*VLOOKUP(P32,MgDeg,2,0),0)</f>
        <v/>
      </c>
      <c r="T32" s="30">
        <f>MAX(Q32:S32)</f>
        <v/>
      </c>
      <c r="U32" s="28">
        <f>IFERROR(LOOKUP(T32,{0;0.5;1.5;3;4.5},{"Despreciable";"Bajo";"Medio";"Alto";"Muy alto"}),"")</f>
        <v/>
      </c>
      <c r="V32" s="13">
        <f>IFERROR(INDEX(MgAmenFrec,MATCH(SUBSTITUTE($H32,"*","-"),MgAmenClave,0)),"")</f>
        <v/>
      </c>
      <c r="W32" s="28">
        <f>IFERROR(LOOKUP(X32,{0;0.01;0.1;1;10;100},{"Muy baja";"Muy baja";"Baja";"Media";"Alta";"Muy alta"}),"")</f>
        <v/>
      </c>
      <c r="X32" s="31">
        <f>IFERROR(VLOOKUP(V32,MgFrec,2,0),0)</f>
        <v/>
      </c>
      <c r="Y32" s="30">
        <f>T32*X32</f>
        <v/>
      </c>
      <c r="Z32" s="28">
        <f>IFERROR(LOOKUP(Y32,{0;0.5;5;25},{"Bajo";"Medio";"Alto";"Crítico"}),"")</f>
        <v/>
      </c>
      <c r="AA32" s="64">
        <f>IF(T32&gt;=3,IF(X32&gt;=1,"Zona 1 — Crítica: impacto alto y ocurre al menos una vez al año","Zona 4 — Catastrófica poco probable: impacto alto pero excepcional"),IF(AND(T32&lt;1.5,X32&lt;1),"Zona 3 — Asumible: impacto bajo y muy poco frecuente","Zona 2 — Atención: riesgo intermedio"))</f>
        <v/>
      </c>
      <c r="AB32" s="64">
        <f>IFERROR(INDEX(MgAmenCtrl,MATCH(SUBSTITUTE($H32,"*","-"),MgAmenClave,0)),"")</f>
        <v/>
      </c>
      <c r="AC32" s="20" t="n"/>
      <c r="AD32" s="31">
        <f>IFERROR($X32*(1-IF($AC32="",$AL32,VLOOKUP($AC32,MgMad,2,0))),"")</f>
        <v/>
      </c>
      <c r="AE32" s="28">
        <f>IFERROR(LOOKUP(AD32,{0;0.01;0.1;1;10;100},{"Muy baja";"Muy baja";"Baja";"Media";"Alta";"Muy alta"}),"")</f>
        <v/>
      </c>
      <c r="AF32" s="30">
        <f>T32*AD32</f>
        <v/>
      </c>
      <c r="AG32" s="28">
        <f>IFERROR(LOOKUP(AF32,{0;0.5;5;25},{"Bajo";"Medio";"Alto";"Crítico"}),"")</f>
        <v/>
      </c>
      <c r="AH32" s="28">
        <f>IF(AG32="","",IF(OR(AG32="Crítico",AG32="Alto"),"Mitigar",IF(AG32="Medio","Mitigar","Aceptar y monitorear")))</f>
        <v/>
      </c>
      <c r="AI32" s="21" t="n"/>
      <c r="AJ32" s="21" t="n"/>
      <c r="AK32" s="20" t="n"/>
      <c r="AL32" s="77">
        <f>IFERROR(INDEX(MgAmenEfic,MATCH(SUBSTITUTE($H32,"*","-"),MgAmenClave,0)),0)</f>
        <v/>
      </c>
    </row>
    <row r="33" hidden="1" ht="90" customHeight="1" s="54">
      <c r="B33" s="59" t="inlineStr">
        <is>
          <t>R-0028</t>
        </is>
      </c>
      <c r="C33" s="59" t="inlineStr">
        <is>
          <t>DO-13</t>
        </is>
      </c>
      <c r="D33" s="64">
        <f>IFERROR(INDEX(MgNombre,MATCH($C33,MgActId,0)),"")</f>
        <v/>
      </c>
      <c r="E33" s="64">
        <f>IFERROR(INDEX(MgProceso,MATCH($C33,MgActId,0)),"")</f>
        <v/>
      </c>
      <c r="F33" s="64">
        <f>IFERROR(INDEX(MgTipo,MATCH($C33,MgActId,0)),"")</f>
        <v/>
      </c>
      <c r="G33" s="64">
        <f>IFERROR(INDEX(MgSubtipo,MATCH($C33,MgActId,0)),"")</f>
        <v/>
      </c>
      <c r="H33" s="59" t="inlineStr">
        <is>
          <t>E.14</t>
        </is>
      </c>
      <c r="I33" s="64">
        <f>IFERROR(INDEX(MgAmenNombre,MATCH(SUBSTITUTE($H33,"*","-"),MgAmenClave,0)),"")</f>
        <v/>
      </c>
      <c r="J33" s="28">
        <f>IFERROR(INDEX(MgAmenGrupo,MATCH(SUBSTITUTE($H33,"*","-"),MgAmenClave,0)),"")</f>
        <v/>
      </c>
      <c r="K33" s="64">
        <f>IFERROR(INDEX('1. Matriz de Activos'!$Q$6:$Q$239,MATCH($C33,MgActId,0)),"")</f>
        <v/>
      </c>
      <c r="L33" s="64">
        <f>IFERROR(INDEX('1. Matriz de Activos'!$R$6:$R$239,MATCH($C33,MgActId,0)),"")</f>
        <v/>
      </c>
      <c r="M33" s="64">
        <f>IFERROR(INDEX('1. Matriz de Activos'!$S$6:$S$239,MATCH($C33,MgActId,0)),"")</f>
        <v/>
      </c>
      <c r="N33" s="28">
        <f>IFERROR(INDEX(MgAmenDegD,MATCH(SUBSTITUTE($H33,"*","-"),MgAmenClave,0)),"No aplica")</f>
        <v/>
      </c>
      <c r="O33" s="28">
        <f>IFERROR(INDEX(MgAmenDegI,MATCH(SUBSTITUTE($H33,"*","-"),MgAmenClave,0)),"No aplica")</f>
        <v/>
      </c>
      <c r="P33" s="28">
        <f>IFERROR(INDEX(MgAmenDegC,MATCH(SUBSTITUTE($H33,"*","-"),MgAmenClave,0)),"No aplica")</f>
        <v/>
      </c>
      <c r="Q33" s="29">
        <f>IFERROR(VLOOKUP(K33,MgValor,2,0)*VLOOKUP(N33,MgDeg,2,0),0)</f>
        <v/>
      </c>
      <c r="R33" s="29">
        <f>IFERROR(VLOOKUP(L33,MgValor,2,0)*VLOOKUP(O33,MgDeg,2,0),0)</f>
        <v/>
      </c>
      <c r="S33" s="29">
        <f>IFERROR(VLOOKUP(M33,MgValor,2,0)*VLOOKUP(P33,MgDeg,2,0),0)</f>
        <v/>
      </c>
      <c r="T33" s="30">
        <f>MAX(Q33:S33)</f>
        <v/>
      </c>
      <c r="U33" s="28">
        <f>IFERROR(LOOKUP(T33,{0;0.5;1.5;3;4.5},{"Despreciable";"Bajo";"Medio";"Alto";"Muy alto"}),"")</f>
        <v/>
      </c>
      <c r="V33" s="13">
        <f>IFERROR(INDEX(MgAmenFrec,MATCH(SUBSTITUTE($H33,"*","-"),MgAmenClave,0)),"")</f>
        <v/>
      </c>
      <c r="W33" s="28">
        <f>IFERROR(LOOKUP(X33,{0;0.01;0.1;1;10;100},{"Muy baja";"Muy baja";"Baja";"Media";"Alta";"Muy alta"}),"")</f>
        <v/>
      </c>
      <c r="X33" s="31">
        <f>IFERROR(VLOOKUP(V33,MgFrec,2,0),0)</f>
        <v/>
      </c>
      <c r="Y33" s="30">
        <f>T33*X33</f>
        <v/>
      </c>
      <c r="Z33" s="28">
        <f>IFERROR(LOOKUP(Y33,{0;0.5;5;25},{"Bajo";"Medio";"Alto";"Crítico"}),"")</f>
        <v/>
      </c>
      <c r="AA33" s="64">
        <f>IF(T33&gt;=3,IF(X33&gt;=1,"Zona 1 — Crítica: impacto alto y ocurre al menos una vez al año","Zona 4 — Catastrófica poco probable: impacto alto pero excepcional"),IF(AND(T33&lt;1.5,X33&lt;1),"Zona 3 — Asumible: impacto bajo y muy poco frecuente","Zona 2 — Atención: riesgo intermedio"))</f>
        <v/>
      </c>
      <c r="AB33" s="64">
        <f>IFERROR(INDEX(MgAmenCtrl,MATCH(SUBSTITUTE($H33,"*","-"),MgAmenClave,0)),"")</f>
        <v/>
      </c>
      <c r="AC33" s="20" t="n"/>
      <c r="AD33" s="31">
        <f>IFERROR($X33*(1-IF($AC33="",$AL33,VLOOKUP($AC33,MgMad,2,0))),"")</f>
        <v/>
      </c>
      <c r="AE33" s="28">
        <f>IFERROR(LOOKUP(AD33,{0;0.01;0.1;1;10;100},{"Muy baja";"Muy baja";"Baja";"Media";"Alta";"Muy alta"}),"")</f>
        <v/>
      </c>
      <c r="AF33" s="30">
        <f>T33*AD33</f>
        <v/>
      </c>
      <c r="AG33" s="28">
        <f>IFERROR(LOOKUP(AF33,{0;0.5;5;25},{"Bajo";"Medio";"Alto";"Crítico"}),"")</f>
        <v/>
      </c>
      <c r="AH33" s="28">
        <f>IF(AG33="","",IF(OR(AG33="Crítico",AG33="Alto"),"Mitigar",IF(AG33="Medio","Mitigar","Aceptar y monitorear")))</f>
        <v/>
      </c>
      <c r="AI33" s="21" t="n"/>
      <c r="AJ33" s="21" t="n"/>
      <c r="AK33" s="20" t="n"/>
      <c r="AL33" s="77">
        <f>IFERROR(INDEX(MgAmenEfic,MATCH(SUBSTITUTE($H33,"*","-"),MgAmenClave,0)),0)</f>
        <v/>
      </c>
    </row>
    <row r="34" hidden="1" ht="90" customHeight="1" s="54">
      <c r="B34" s="59" t="inlineStr">
        <is>
          <t>R-0029</t>
        </is>
      </c>
      <c r="C34" s="59" t="inlineStr">
        <is>
          <t>DO-13</t>
        </is>
      </c>
      <c r="D34" s="64">
        <f>IFERROR(INDEX(MgNombre,MATCH($C34,MgActId,0)),"")</f>
        <v/>
      </c>
      <c r="E34" s="64">
        <f>IFERROR(INDEX(MgProceso,MATCH($C34,MgActId,0)),"")</f>
        <v/>
      </c>
      <c r="F34" s="64">
        <f>IFERROR(INDEX(MgTipo,MATCH($C34,MgActId,0)),"")</f>
        <v/>
      </c>
      <c r="G34" s="64">
        <f>IFERROR(INDEX(MgSubtipo,MATCH($C34,MgActId,0)),"")</f>
        <v/>
      </c>
      <c r="H34" s="59" t="inlineStr">
        <is>
          <t>E.15</t>
        </is>
      </c>
      <c r="I34" s="64">
        <f>IFERROR(INDEX(MgAmenNombre,MATCH(SUBSTITUTE($H34,"*","-"),MgAmenClave,0)),"")</f>
        <v/>
      </c>
      <c r="J34" s="28">
        <f>IFERROR(INDEX(MgAmenGrupo,MATCH(SUBSTITUTE($H34,"*","-"),MgAmenClave,0)),"")</f>
        <v/>
      </c>
      <c r="K34" s="64">
        <f>IFERROR(INDEX('1. Matriz de Activos'!$Q$6:$Q$239,MATCH($C34,MgActId,0)),"")</f>
        <v/>
      </c>
      <c r="L34" s="64">
        <f>IFERROR(INDEX('1. Matriz de Activos'!$R$6:$R$239,MATCH($C34,MgActId,0)),"")</f>
        <v/>
      </c>
      <c r="M34" s="64">
        <f>IFERROR(INDEX('1. Matriz de Activos'!$S$6:$S$239,MATCH($C34,MgActId,0)),"")</f>
        <v/>
      </c>
      <c r="N34" s="28">
        <f>IFERROR(INDEX(MgAmenDegD,MATCH(SUBSTITUTE($H34,"*","-"),MgAmenClave,0)),"No aplica")</f>
        <v/>
      </c>
      <c r="O34" s="28">
        <f>IFERROR(INDEX(MgAmenDegI,MATCH(SUBSTITUTE($H34,"*","-"),MgAmenClave,0)),"No aplica")</f>
        <v/>
      </c>
      <c r="P34" s="28">
        <f>IFERROR(INDEX(MgAmenDegC,MATCH(SUBSTITUTE($H34,"*","-"),MgAmenClave,0)),"No aplica")</f>
        <v/>
      </c>
      <c r="Q34" s="29">
        <f>IFERROR(VLOOKUP(K34,MgValor,2,0)*VLOOKUP(N34,MgDeg,2,0),0)</f>
        <v/>
      </c>
      <c r="R34" s="29">
        <f>IFERROR(VLOOKUP(L34,MgValor,2,0)*VLOOKUP(O34,MgDeg,2,0),0)</f>
        <v/>
      </c>
      <c r="S34" s="29">
        <f>IFERROR(VLOOKUP(M34,MgValor,2,0)*VLOOKUP(P34,MgDeg,2,0),0)</f>
        <v/>
      </c>
      <c r="T34" s="30">
        <f>MAX(Q34:S34)</f>
        <v/>
      </c>
      <c r="U34" s="28">
        <f>IFERROR(LOOKUP(T34,{0;0.5;1.5;3;4.5},{"Despreciable";"Bajo";"Medio";"Alto";"Muy alto"}),"")</f>
        <v/>
      </c>
      <c r="V34" s="13">
        <f>IFERROR(INDEX(MgAmenFrec,MATCH(SUBSTITUTE($H34,"*","-"),MgAmenClave,0)),"")</f>
        <v/>
      </c>
      <c r="W34" s="28">
        <f>IFERROR(LOOKUP(X34,{0;0.01;0.1;1;10;100},{"Muy baja";"Muy baja";"Baja";"Media";"Alta";"Muy alta"}),"")</f>
        <v/>
      </c>
      <c r="X34" s="31">
        <f>IFERROR(VLOOKUP(V34,MgFrec,2,0),0)</f>
        <v/>
      </c>
      <c r="Y34" s="30">
        <f>T34*X34</f>
        <v/>
      </c>
      <c r="Z34" s="28">
        <f>IFERROR(LOOKUP(Y34,{0;0.5;5;25},{"Bajo";"Medio";"Alto";"Crítico"}),"")</f>
        <v/>
      </c>
      <c r="AA34" s="64">
        <f>IF(T34&gt;=3,IF(X34&gt;=1,"Zona 1 — Crítica: impacto alto y ocurre al menos una vez al año","Zona 4 — Catastrófica poco probable: impacto alto pero excepcional"),IF(AND(T34&lt;1.5,X34&lt;1),"Zona 3 — Asumible: impacto bajo y muy poco frecuente","Zona 2 — Atención: riesgo intermedio"))</f>
        <v/>
      </c>
      <c r="AB34" s="64">
        <f>IFERROR(INDEX(MgAmenCtrl,MATCH(SUBSTITUTE($H34,"*","-"),MgAmenClave,0)),"")</f>
        <v/>
      </c>
      <c r="AC34" s="20" t="n"/>
      <c r="AD34" s="31">
        <f>IFERROR($X34*(1-IF($AC34="",$AL34,VLOOKUP($AC34,MgMad,2,0))),"")</f>
        <v/>
      </c>
      <c r="AE34" s="28">
        <f>IFERROR(LOOKUP(AD34,{0;0.01;0.1;1;10;100},{"Muy baja";"Muy baja";"Baja";"Media";"Alta";"Muy alta"}),"")</f>
        <v/>
      </c>
      <c r="AF34" s="30">
        <f>T34*AD34</f>
        <v/>
      </c>
      <c r="AG34" s="28">
        <f>IFERROR(LOOKUP(AF34,{0;0.5;5;25},{"Bajo";"Medio";"Alto";"Crítico"}),"")</f>
        <v/>
      </c>
      <c r="AH34" s="28">
        <f>IF(AG34="","",IF(OR(AG34="Crítico",AG34="Alto"),"Mitigar",IF(AG34="Medio","Mitigar","Aceptar y monitorear")))</f>
        <v/>
      </c>
      <c r="AI34" s="21" t="n"/>
      <c r="AJ34" s="21" t="n"/>
      <c r="AK34" s="20" t="n"/>
      <c r="AL34" s="77">
        <f>IFERROR(INDEX(MgAmenEfic,MATCH(SUBSTITUTE($H34,"*","-"),MgAmenClave,0)),0)</f>
        <v/>
      </c>
    </row>
    <row r="35" hidden="1" ht="60" customHeight="1" s="54">
      <c r="B35" s="59" t="inlineStr">
        <is>
          <t>R-0030</t>
        </is>
      </c>
      <c r="C35" s="59" t="inlineStr">
        <is>
          <t>DO-13</t>
        </is>
      </c>
      <c r="D35" s="64">
        <f>IFERROR(INDEX(MgNombre,MATCH($C35,MgActId,0)),"")</f>
        <v/>
      </c>
      <c r="E35" s="64">
        <f>IFERROR(INDEX(MgProceso,MATCH($C35,MgActId,0)),"")</f>
        <v/>
      </c>
      <c r="F35" s="64">
        <f>IFERROR(INDEX(MgTipo,MATCH($C35,MgActId,0)),"")</f>
        <v/>
      </c>
      <c r="G35" s="64">
        <f>IFERROR(INDEX(MgSubtipo,MATCH($C35,MgActId,0)),"")</f>
        <v/>
      </c>
      <c r="H35" s="59" t="inlineStr">
        <is>
          <t>E.18</t>
        </is>
      </c>
      <c r="I35" s="64">
        <f>IFERROR(INDEX(MgAmenNombre,MATCH(SUBSTITUTE($H35,"*","-"),MgAmenClave,0)),"")</f>
        <v/>
      </c>
      <c r="J35" s="28">
        <f>IFERROR(INDEX(MgAmenGrupo,MATCH(SUBSTITUTE($H35,"*","-"),MgAmenClave,0)),"")</f>
        <v/>
      </c>
      <c r="K35" s="64">
        <f>IFERROR(INDEX('1. Matriz de Activos'!$Q$6:$Q$239,MATCH($C35,MgActId,0)),"")</f>
        <v/>
      </c>
      <c r="L35" s="64">
        <f>IFERROR(INDEX('1. Matriz de Activos'!$R$6:$R$239,MATCH($C35,MgActId,0)),"")</f>
        <v/>
      </c>
      <c r="M35" s="64">
        <f>IFERROR(INDEX('1. Matriz de Activos'!$S$6:$S$239,MATCH($C35,MgActId,0)),"")</f>
        <v/>
      </c>
      <c r="N35" s="28">
        <f>IFERROR(INDEX(MgAmenDegD,MATCH(SUBSTITUTE($H35,"*","-"),MgAmenClave,0)),"No aplica")</f>
        <v/>
      </c>
      <c r="O35" s="28">
        <f>IFERROR(INDEX(MgAmenDegI,MATCH(SUBSTITUTE($H35,"*","-"),MgAmenClave,0)),"No aplica")</f>
        <v/>
      </c>
      <c r="P35" s="28">
        <f>IFERROR(INDEX(MgAmenDegC,MATCH(SUBSTITUTE($H35,"*","-"),MgAmenClave,0)),"No aplica")</f>
        <v/>
      </c>
      <c r="Q35" s="29">
        <f>IFERROR(VLOOKUP(K35,MgValor,2,0)*VLOOKUP(N35,MgDeg,2,0),0)</f>
        <v/>
      </c>
      <c r="R35" s="29">
        <f>IFERROR(VLOOKUP(L35,MgValor,2,0)*VLOOKUP(O35,MgDeg,2,0),0)</f>
        <v/>
      </c>
      <c r="S35" s="29">
        <f>IFERROR(VLOOKUP(M35,MgValor,2,0)*VLOOKUP(P35,MgDeg,2,0),0)</f>
        <v/>
      </c>
      <c r="T35" s="30">
        <f>MAX(Q35:S35)</f>
        <v/>
      </c>
      <c r="U35" s="28">
        <f>IFERROR(LOOKUP(T35,{0;0.5;1.5;3;4.5},{"Despreciable";"Bajo";"Medio";"Alto";"Muy alto"}),"")</f>
        <v/>
      </c>
      <c r="V35" s="13">
        <f>IFERROR(INDEX(MgAmenFrec,MATCH(SUBSTITUTE($H35,"*","-"),MgAmenClave,0)),"")</f>
        <v/>
      </c>
      <c r="W35" s="28">
        <f>IFERROR(LOOKUP(X35,{0;0.01;0.1;1;10;100},{"Muy baja";"Muy baja";"Baja";"Media";"Alta";"Muy alta"}),"")</f>
        <v/>
      </c>
      <c r="X35" s="31">
        <f>IFERROR(VLOOKUP(V35,MgFrec,2,0),0)</f>
        <v/>
      </c>
      <c r="Y35" s="30">
        <f>T35*X35</f>
        <v/>
      </c>
      <c r="Z35" s="28">
        <f>IFERROR(LOOKUP(Y35,{0;0.5;5;25},{"Bajo";"Medio";"Alto";"Crítico"}),"")</f>
        <v/>
      </c>
      <c r="AA35" s="64">
        <f>IF(T35&gt;=3,IF(X35&gt;=1,"Zona 1 — Crítica: impacto alto y ocurre al menos una vez al año","Zona 4 — Catastrófica poco probable: impacto alto pero excepcional"),IF(AND(T35&lt;1.5,X35&lt;1),"Zona 3 — Asumible: impacto bajo y muy poco frecuente","Zona 2 — Atención: riesgo intermedio"))</f>
        <v/>
      </c>
      <c r="AB35" s="64">
        <f>IFERROR(INDEX(MgAmenCtrl,MATCH(SUBSTITUTE($H35,"*","-"),MgAmenClave,0)),"")</f>
        <v/>
      </c>
      <c r="AC35" s="20" t="n"/>
      <c r="AD35" s="31">
        <f>IFERROR($X35*(1-IF($AC35="",$AL35,VLOOKUP($AC35,MgMad,2,0))),"")</f>
        <v/>
      </c>
      <c r="AE35" s="28">
        <f>IFERROR(LOOKUP(AD35,{0;0.01;0.1;1;10;100},{"Muy baja";"Muy baja";"Baja";"Media";"Alta";"Muy alta"}),"")</f>
        <v/>
      </c>
      <c r="AF35" s="30">
        <f>T35*AD35</f>
        <v/>
      </c>
      <c r="AG35" s="28">
        <f>IFERROR(LOOKUP(AF35,{0;0.5;5;25},{"Bajo";"Medio";"Alto";"Crítico"}),"")</f>
        <v/>
      </c>
      <c r="AH35" s="28">
        <f>IF(AG35="","",IF(OR(AG35="Crítico",AG35="Alto"),"Mitigar",IF(AG35="Medio","Mitigar","Aceptar y monitorear")))</f>
        <v/>
      </c>
      <c r="AI35" s="21" t="n"/>
      <c r="AJ35" s="21" t="n"/>
      <c r="AK35" s="20" t="n"/>
      <c r="AL35" s="77">
        <f>IFERROR(INDEX(MgAmenEfic,MATCH(SUBSTITUTE($H35,"*","-"),MgAmenClave,0)),0)</f>
        <v/>
      </c>
    </row>
    <row r="36" hidden="1" ht="105" customHeight="1" s="54">
      <c r="B36" s="59" t="inlineStr">
        <is>
          <t>R-0031</t>
        </is>
      </c>
      <c r="C36" s="59" t="inlineStr">
        <is>
          <t>DO-13</t>
        </is>
      </c>
      <c r="D36" s="64">
        <f>IFERROR(INDEX(MgNombre,MATCH($C36,MgActId,0)),"")</f>
        <v/>
      </c>
      <c r="E36" s="64">
        <f>IFERROR(INDEX(MgProceso,MATCH($C36,MgActId,0)),"")</f>
        <v/>
      </c>
      <c r="F36" s="64">
        <f>IFERROR(INDEX(MgTipo,MATCH($C36,MgActId,0)),"")</f>
        <v/>
      </c>
      <c r="G36" s="64">
        <f>IFERROR(INDEX(MgSubtipo,MATCH($C36,MgActId,0)),"")</f>
        <v/>
      </c>
      <c r="H36" s="59" t="inlineStr">
        <is>
          <t>E.19</t>
        </is>
      </c>
      <c r="I36" s="64">
        <f>IFERROR(INDEX(MgAmenNombre,MATCH(SUBSTITUTE($H36,"*","-"),MgAmenClave,0)),"")</f>
        <v/>
      </c>
      <c r="J36" s="28">
        <f>IFERROR(INDEX(MgAmenGrupo,MATCH(SUBSTITUTE($H36,"*","-"),MgAmenClave,0)),"")</f>
        <v/>
      </c>
      <c r="K36" s="64">
        <f>IFERROR(INDEX('1. Matriz de Activos'!$Q$6:$Q$239,MATCH($C36,MgActId,0)),"")</f>
        <v/>
      </c>
      <c r="L36" s="64">
        <f>IFERROR(INDEX('1. Matriz de Activos'!$R$6:$R$239,MATCH($C36,MgActId,0)),"")</f>
        <v/>
      </c>
      <c r="M36" s="64">
        <f>IFERROR(INDEX('1. Matriz de Activos'!$S$6:$S$239,MATCH($C36,MgActId,0)),"")</f>
        <v/>
      </c>
      <c r="N36" s="28">
        <f>IFERROR(INDEX(MgAmenDegD,MATCH(SUBSTITUTE($H36,"*","-"),MgAmenClave,0)),"No aplica")</f>
        <v/>
      </c>
      <c r="O36" s="28">
        <f>IFERROR(INDEX(MgAmenDegI,MATCH(SUBSTITUTE($H36,"*","-"),MgAmenClave,0)),"No aplica")</f>
        <v/>
      </c>
      <c r="P36" s="28">
        <f>IFERROR(INDEX(MgAmenDegC,MATCH(SUBSTITUTE($H36,"*","-"),MgAmenClave,0)),"No aplica")</f>
        <v/>
      </c>
      <c r="Q36" s="29">
        <f>IFERROR(VLOOKUP(K36,MgValor,2,0)*VLOOKUP(N36,MgDeg,2,0),0)</f>
        <v/>
      </c>
      <c r="R36" s="29">
        <f>IFERROR(VLOOKUP(L36,MgValor,2,0)*VLOOKUP(O36,MgDeg,2,0),0)</f>
        <v/>
      </c>
      <c r="S36" s="29">
        <f>IFERROR(VLOOKUP(M36,MgValor,2,0)*VLOOKUP(P36,MgDeg,2,0),0)</f>
        <v/>
      </c>
      <c r="T36" s="30">
        <f>MAX(Q36:S36)</f>
        <v/>
      </c>
      <c r="U36" s="28">
        <f>IFERROR(LOOKUP(T36,{0;0.5;1.5;3;4.5},{"Despreciable";"Bajo";"Medio";"Alto";"Muy alto"}),"")</f>
        <v/>
      </c>
      <c r="V36" s="13">
        <f>IFERROR(INDEX(MgAmenFrec,MATCH(SUBSTITUTE($H36,"*","-"),MgAmenClave,0)),"")</f>
        <v/>
      </c>
      <c r="W36" s="28">
        <f>IFERROR(LOOKUP(X36,{0;0.01;0.1;1;10;100},{"Muy baja";"Muy baja";"Baja";"Media";"Alta";"Muy alta"}),"")</f>
        <v/>
      </c>
      <c r="X36" s="31">
        <f>IFERROR(VLOOKUP(V36,MgFrec,2,0),0)</f>
        <v/>
      </c>
      <c r="Y36" s="30">
        <f>T36*X36</f>
        <v/>
      </c>
      <c r="Z36" s="28">
        <f>IFERROR(LOOKUP(Y36,{0;0.5;5;25},{"Bajo";"Medio";"Alto";"Crítico"}),"")</f>
        <v/>
      </c>
      <c r="AA36" s="64">
        <f>IF(T36&gt;=3,IF(X36&gt;=1,"Zona 1 — Crítica: impacto alto y ocurre al menos una vez al año","Zona 4 — Catastrófica poco probable: impacto alto pero excepcional"),IF(AND(T36&lt;1.5,X36&lt;1),"Zona 3 — Asumible: impacto bajo y muy poco frecuente","Zona 2 — Atención: riesgo intermedio"))</f>
        <v/>
      </c>
      <c r="AB36" s="64">
        <f>IFERROR(INDEX(MgAmenCtrl,MATCH(SUBSTITUTE($H36,"*","-"),MgAmenClave,0)),"")</f>
        <v/>
      </c>
      <c r="AC36" s="20" t="n"/>
      <c r="AD36" s="31">
        <f>IFERROR($X36*(1-IF($AC36="",$AL36,VLOOKUP($AC36,MgMad,2,0))),"")</f>
        <v/>
      </c>
      <c r="AE36" s="28">
        <f>IFERROR(LOOKUP(AD36,{0;0.01;0.1;1;10;100},{"Muy baja";"Muy baja";"Baja";"Media";"Alta";"Muy alta"}),"")</f>
        <v/>
      </c>
      <c r="AF36" s="30">
        <f>T36*AD36</f>
        <v/>
      </c>
      <c r="AG36" s="28">
        <f>IFERROR(LOOKUP(AF36,{0;0.5;5;25},{"Bajo";"Medio";"Alto";"Crítico"}),"")</f>
        <v/>
      </c>
      <c r="AH36" s="28">
        <f>IF(AG36="","",IF(OR(AG36="Crítico",AG36="Alto"),"Mitigar",IF(AG36="Medio","Mitigar","Aceptar y monitorear")))</f>
        <v/>
      </c>
      <c r="AI36" s="21" t="n"/>
      <c r="AJ36" s="21" t="n"/>
      <c r="AK36" s="20" t="n"/>
      <c r="AL36" s="77">
        <f>IFERROR(INDEX(MgAmenEfic,MATCH(SUBSTITUTE($H36,"*","-"),MgAmenClave,0)),0)</f>
        <v/>
      </c>
    </row>
    <row r="37" hidden="1" ht="45" customHeight="1" s="54">
      <c r="B37" s="59" t="inlineStr">
        <is>
          <t>R-0032</t>
        </is>
      </c>
      <c r="C37" s="59" t="inlineStr">
        <is>
          <t>DO-13</t>
        </is>
      </c>
      <c r="D37" s="64">
        <f>IFERROR(INDEX(MgNombre,MATCH($C37,MgActId,0)),"")</f>
        <v/>
      </c>
      <c r="E37" s="64">
        <f>IFERROR(INDEX(MgProceso,MATCH($C37,MgActId,0)),"")</f>
        <v/>
      </c>
      <c r="F37" s="64">
        <f>IFERROR(INDEX(MgTipo,MATCH($C37,MgActId,0)),"")</f>
        <v/>
      </c>
      <c r="G37" s="64">
        <f>IFERROR(INDEX(MgSubtipo,MATCH($C37,MgActId,0)),"")</f>
        <v/>
      </c>
      <c r="H37" s="59" t="inlineStr">
        <is>
          <t>E.24</t>
        </is>
      </c>
      <c r="I37" s="64">
        <f>IFERROR(INDEX(MgAmenNombre,MATCH(SUBSTITUTE($H37,"*","-"),MgAmenClave,0)),"")</f>
        <v/>
      </c>
      <c r="J37" s="28">
        <f>IFERROR(INDEX(MgAmenGrupo,MATCH(SUBSTITUTE($H37,"*","-"),MgAmenClave,0)),"")</f>
        <v/>
      </c>
      <c r="K37" s="64">
        <f>IFERROR(INDEX('1. Matriz de Activos'!$Q$6:$Q$239,MATCH($C37,MgActId,0)),"")</f>
        <v/>
      </c>
      <c r="L37" s="64">
        <f>IFERROR(INDEX('1. Matriz de Activos'!$R$6:$R$239,MATCH($C37,MgActId,0)),"")</f>
        <v/>
      </c>
      <c r="M37" s="64">
        <f>IFERROR(INDEX('1. Matriz de Activos'!$S$6:$S$239,MATCH($C37,MgActId,0)),"")</f>
        <v/>
      </c>
      <c r="N37" s="28">
        <f>IFERROR(INDEX(MgAmenDegD,MATCH(SUBSTITUTE($H37,"*","-"),MgAmenClave,0)),"No aplica")</f>
        <v/>
      </c>
      <c r="O37" s="28">
        <f>IFERROR(INDEX(MgAmenDegI,MATCH(SUBSTITUTE($H37,"*","-"),MgAmenClave,0)),"No aplica")</f>
        <v/>
      </c>
      <c r="P37" s="28">
        <f>IFERROR(INDEX(MgAmenDegC,MATCH(SUBSTITUTE($H37,"*","-"),MgAmenClave,0)),"No aplica")</f>
        <v/>
      </c>
      <c r="Q37" s="29">
        <f>IFERROR(VLOOKUP(K37,MgValor,2,0)*VLOOKUP(N37,MgDeg,2,0),0)</f>
        <v/>
      </c>
      <c r="R37" s="29">
        <f>IFERROR(VLOOKUP(L37,MgValor,2,0)*VLOOKUP(O37,MgDeg,2,0),0)</f>
        <v/>
      </c>
      <c r="S37" s="29">
        <f>IFERROR(VLOOKUP(M37,MgValor,2,0)*VLOOKUP(P37,MgDeg,2,0),0)</f>
        <v/>
      </c>
      <c r="T37" s="30">
        <f>MAX(Q37:S37)</f>
        <v/>
      </c>
      <c r="U37" s="28">
        <f>IFERROR(LOOKUP(T37,{0;0.5;1.5;3;4.5},{"Despreciable";"Bajo";"Medio";"Alto";"Muy alto"}),"")</f>
        <v/>
      </c>
      <c r="V37" s="13">
        <f>IFERROR(INDEX(MgAmenFrec,MATCH(SUBSTITUTE($H37,"*","-"),MgAmenClave,0)),"")</f>
        <v/>
      </c>
      <c r="W37" s="28">
        <f>IFERROR(LOOKUP(X37,{0;0.01;0.1;1;10;100},{"Muy baja";"Muy baja";"Baja";"Media";"Alta";"Muy alta"}),"")</f>
        <v/>
      </c>
      <c r="X37" s="31">
        <f>IFERROR(VLOOKUP(V37,MgFrec,2,0),0)</f>
        <v/>
      </c>
      <c r="Y37" s="30">
        <f>T37*X37</f>
        <v/>
      </c>
      <c r="Z37" s="28">
        <f>IFERROR(LOOKUP(Y37,{0;0.5;5;25},{"Bajo";"Medio";"Alto";"Crítico"}),"")</f>
        <v/>
      </c>
      <c r="AA37" s="64">
        <f>IF(T37&gt;=3,IF(X37&gt;=1,"Zona 1 — Crítica: impacto alto y ocurre al menos una vez al año","Zona 4 — Catastrófica poco probable: impacto alto pero excepcional"),IF(AND(T37&lt;1.5,X37&lt;1),"Zona 3 — Asumible: impacto bajo y muy poco frecuente","Zona 2 — Atención: riesgo intermedio"))</f>
        <v/>
      </c>
      <c r="AB37" s="64">
        <f>IFERROR(INDEX(MgAmenCtrl,MATCH(SUBSTITUTE($H37,"*","-"),MgAmenClave,0)),"")</f>
        <v/>
      </c>
      <c r="AC37" s="20" t="n"/>
      <c r="AD37" s="31">
        <f>IFERROR($X37*(1-IF($AC37="",$AL37,VLOOKUP($AC37,MgMad,2,0))),"")</f>
        <v/>
      </c>
      <c r="AE37" s="28">
        <f>IFERROR(LOOKUP(AD37,{0;0.01;0.1;1;10;100},{"Muy baja";"Muy baja";"Baja";"Media";"Alta";"Muy alta"}),"")</f>
        <v/>
      </c>
      <c r="AF37" s="30">
        <f>T37*AD37</f>
        <v/>
      </c>
      <c r="AG37" s="28">
        <f>IFERROR(LOOKUP(AF37,{0;0.5;5;25},{"Bajo";"Medio";"Alto";"Crítico"}),"")</f>
        <v/>
      </c>
      <c r="AH37" s="28">
        <f>IF(AG37="","",IF(OR(AG37="Crítico",AG37="Alto"),"Mitigar",IF(AG37="Medio","Mitigar","Aceptar y monitorear")))</f>
        <v/>
      </c>
      <c r="AI37" s="21" t="n"/>
      <c r="AJ37" s="21" t="n"/>
      <c r="AK37" s="20" t="n"/>
      <c r="AL37" s="77">
        <f>IFERROR(INDEX(MgAmenEfic,MATCH(SUBSTITUTE($H37,"*","-"),MgAmenClave,0)),0)</f>
        <v/>
      </c>
    </row>
    <row r="38" hidden="1" ht="75" customHeight="1" s="54">
      <c r="B38" s="59" t="inlineStr">
        <is>
          <t>R-0033</t>
        </is>
      </c>
      <c r="C38" s="59" t="inlineStr">
        <is>
          <t>DO-13</t>
        </is>
      </c>
      <c r="D38" s="64">
        <f>IFERROR(INDEX(MgNombre,MATCH($C38,MgActId,0)),"")</f>
        <v/>
      </c>
      <c r="E38" s="64">
        <f>IFERROR(INDEX(MgProceso,MATCH($C38,MgActId,0)),"")</f>
        <v/>
      </c>
      <c r="F38" s="64">
        <f>IFERROR(INDEX(MgTipo,MATCH($C38,MgActId,0)),"")</f>
        <v/>
      </c>
      <c r="G38" s="64">
        <f>IFERROR(INDEX(MgSubtipo,MATCH($C38,MgActId,0)),"")</f>
        <v/>
      </c>
      <c r="H38" s="59" t="inlineStr">
        <is>
          <t>A.5</t>
        </is>
      </c>
      <c r="I38" s="64">
        <f>IFERROR(INDEX(MgAmenNombre,MATCH(SUBSTITUTE($H38,"*","-"),MgAmenClave,0)),"")</f>
        <v/>
      </c>
      <c r="J38" s="28">
        <f>IFERROR(INDEX(MgAmenGrupo,MATCH(SUBSTITUTE($H38,"*","-"),MgAmenClave,0)),"")</f>
        <v/>
      </c>
      <c r="K38" s="64">
        <f>IFERROR(INDEX('1. Matriz de Activos'!$Q$6:$Q$239,MATCH($C38,MgActId,0)),"")</f>
        <v/>
      </c>
      <c r="L38" s="64">
        <f>IFERROR(INDEX('1. Matriz de Activos'!$R$6:$R$239,MATCH($C38,MgActId,0)),"")</f>
        <v/>
      </c>
      <c r="M38" s="64">
        <f>IFERROR(INDEX('1. Matriz de Activos'!$S$6:$S$239,MATCH($C38,MgActId,0)),"")</f>
        <v/>
      </c>
      <c r="N38" s="28">
        <f>IFERROR(INDEX(MgAmenDegD,MATCH(SUBSTITUTE($H38,"*","-"),MgAmenClave,0)),"No aplica")</f>
        <v/>
      </c>
      <c r="O38" s="28">
        <f>IFERROR(INDEX(MgAmenDegI,MATCH(SUBSTITUTE($H38,"*","-"),MgAmenClave,0)),"No aplica")</f>
        <v/>
      </c>
      <c r="P38" s="28">
        <f>IFERROR(INDEX(MgAmenDegC,MATCH(SUBSTITUTE($H38,"*","-"),MgAmenClave,0)),"No aplica")</f>
        <v/>
      </c>
      <c r="Q38" s="29">
        <f>IFERROR(VLOOKUP(K38,MgValor,2,0)*VLOOKUP(N38,MgDeg,2,0),0)</f>
        <v/>
      </c>
      <c r="R38" s="29">
        <f>IFERROR(VLOOKUP(L38,MgValor,2,0)*VLOOKUP(O38,MgDeg,2,0),0)</f>
        <v/>
      </c>
      <c r="S38" s="29">
        <f>IFERROR(VLOOKUP(M38,MgValor,2,0)*VLOOKUP(P38,MgDeg,2,0),0)</f>
        <v/>
      </c>
      <c r="T38" s="30">
        <f>MAX(Q38:S38)</f>
        <v/>
      </c>
      <c r="U38" s="28">
        <f>IFERROR(LOOKUP(T38,{0;0.5;1.5;3;4.5},{"Despreciable";"Bajo";"Medio";"Alto";"Muy alto"}),"")</f>
        <v/>
      </c>
      <c r="V38" s="13">
        <f>IFERROR(INDEX(MgAmenFrec,MATCH(SUBSTITUTE($H38,"*","-"),MgAmenClave,0)),"")</f>
        <v/>
      </c>
      <c r="W38" s="28">
        <f>IFERROR(LOOKUP(X38,{0;0.01;0.1;1;10;100},{"Muy baja";"Muy baja";"Baja";"Media";"Alta";"Muy alta"}),"")</f>
        <v/>
      </c>
      <c r="X38" s="31">
        <f>IFERROR(VLOOKUP(V38,MgFrec,2,0),0)</f>
        <v/>
      </c>
      <c r="Y38" s="30">
        <f>T38*X38</f>
        <v/>
      </c>
      <c r="Z38" s="28">
        <f>IFERROR(LOOKUP(Y38,{0;0.5;5;25},{"Bajo";"Medio";"Alto";"Crítico"}),"")</f>
        <v/>
      </c>
      <c r="AA38" s="64">
        <f>IF(T38&gt;=3,IF(X38&gt;=1,"Zona 1 — Crítica: impacto alto y ocurre al menos una vez al año","Zona 4 — Catastrófica poco probable: impacto alto pero excepcional"),IF(AND(T38&lt;1.5,X38&lt;1),"Zona 3 — Asumible: impacto bajo y muy poco frecuente","Zona 2 — Atención: riesgo intermedio"))</f>
        <v/>
      </c>
      <c r="AB38" s="64">
        <f>IFERROR(INDEX(MgAmenCtrl,MATCH(SUBSTITUTE($H38,"*","-"),MgAmenClave,0)),"")</f>
        <v/>
      </c>
      <c r="AC38" s="20" t="n"/>
      <c r="AD38" s="31">
        <f>IFERROR($X38*(1-IF($AC38="",$AL38,VLOOKUP($AC38,MgMad,2,0))),"")</f>
        <v/>
      </c>
      <c r="AE38" s="28">
        <f>IFERROR(LOOKUP(AD38,{0;0.01;0.1;1;10;100},{"Muy baja";"Muy baja";"Baja";"Media";"Alta";"Muy alta"}),"")</f>
        <v/>
      </c>
      <c r="AF38" s="30">
        <f>T38*AD38</f>
        <v/>
      </c>
      <c r="AG38" s="28">
        <f>IFERROR(LOOKUP(AF38,{0;0.5;5;25},{"Bajo";"Medio";"Alto";"Crítico"}),"")</f>
        <v/>
      </c>
      <c r="AH38" s="28">
        <f>IF(AG38="","",IF(OR(AG38="Crítico",AG38="Alto"),"Mitigar",IF(AG38="Medio","Mitigar","Aceptar y monitorear")))</f>
        <v/>
      </c>
      <c r="AI38" s="21" t="n"/>
      <c r="AJ38" s="21" t="n"/>
      <c r="AK38" s="20" t="n"/>
      <c r="AL38" s="77">
        <f>IFERROR(INDEX(MgAmenEfic,MATCH(SUBSTITUTE($H38,"*","-"),MgAmenClave,0)),0)</f>
        <v/>
      </c>
    </row>
    <row r="39" hidden="1" ht="105" customHeight="1" s="54">
      <c r="B39" s="59" t="inlineStr">
        <is>
          <t>R-0034</t>
        </is>
      </c>
      <c r="C39" s="59" t="inlineStr">
        <is>
          <t>DO-13</t>
        </is>
      </c>
      <c r="D39" s="64">
        <f>IFERROR(INDEX(MgNombre,MATCH($C39,MgActId,0)),"")</f>
        <v/>
      </c>
      <c r="E39" s="64">
        <f>IFERROR(INDEX(MgProceso,MATCH($C39,MgActId,0)),"")</f>
        <v/>
      </c>
      <c r="F39" s="64">
        <f>IFERROR(INDEX(MgTipo,MATCH($C39,MgActId,0)),"")</f>
        <v/>
      </c>
      <c r="G39" s="64">
        <f>IFERROR(INDEX(MgSubtipo,MATCH($C39,MgActId,0)),"")</f>
        <v/>
      </c>
      <c r="H39" s="59" t="inlineStr">
        <is>
          <t>A.6</t>
        </is>
      </c>
      <c r="I39" s="64">
        <f>IFERROR(INDEX(MgAmenNombre,MATCH(SUBSTITUTE($H39,"*","-"),MgAmenClave,0)),"")</f>
        <v/>
      </c>
      <c r="J39" s="28">
        <f>IFERROR(INDEX(MgAmenGrupo,MATCH(SUBSTITUTE($H39,"*","-"),MgAmenClave,0)),"")</f>
        <v/>
      </c>
      <c r="K39" s="64">
        <f>IFERROR(INDEX('1. Matriz de Activos'!$Q$6:$Q$239,MATCH($C39,MgActId,0)),"")</f>
        <v/>
      </c>
      <c r="L39" s="64">
        <f>IFERROR(INDEX('1. Matriz de Activos'!$R$6:$R$239,MATCH($C39,MgActId,0)),"")</f>
        <v/>
      </c>
      <c r="M39" s="64">
        <f>IFERROR(INDEX('1. Matriz de Activos'!$S$6:$S$239,MATCH($C39,MgActId,0)),"")</f>
        <v/>
      </c>
      <c r="N39" s="28">
        <f>IFERROR(INDEX(MgAmenDegD,MATCH(SUBSTITUTE($H39,"*","-"),MgAmenClave,0)),"No aplica")</f>
        <v/>
      </c>
      <c r="O39" s="28">
        <f>IFERROR(INDEX(MgAmenDegI,MATCH(SUBSTITUTE($H39,"*","-"),MgAmenClave,0)),"No aplica")</f>
        <v/>
      </c>
      <c r="P39" s="28">
        <f>IFERROR(INDEX(MgAmenDegC,MATCH(SUBSTITUTE($H39,"*","-"),MgAmenClave,0)),"No aplica")</f>
        <v/>
      </c>
      <c r="Q39" s="29">
        <f>IFERROR(VLOOKUP(K39,MgValor,2,0)*VLOOKUP(N39,MgDeg,2,0),0)</f>
        <v/>
      </c>
      <c r="R39" s="29">
        <f>IFERROR(VLOOKUP(L39,MgValor,2,0)*VLOOKUP(O39,MgDeg,2,0),0)</f>
        <v/>
      </c>
      <c r="S39" s="29">
        <f>IFERROR(VLOOKUP(M39,MgValor,2,0)*VLOOKUP(P39,MgDeg,2,0),0)</f>
        <v/>
      </c>
      <c r="T39" s="30">
        <f>MAX(Q39:S39)</f>
        <v/>
      </c>
      <c r="U39" s="28">
        <f>IFERROR(LOOKUP(T39,{0;0.5;1.5;3;4.5},{"Despreciable";"Bajo";"Medio";"Alto";"Muy alto"}),"")</f>
        <v/>
      </c>
      <c r="V39" s="13">
        <f>IFERROR(INDEX(MgAmenFrec,MATCH(SUBSTITUTE($H39,"*","-"),MgAmenClave,0)),"")</f>
        <v/>
      </c>
      <c r="W39" s="28">
        <f>IFERROR(LOOKUP(X39,{0;0.01;0.1;1;10;100},{"Muy baja";"Muy baja";"Baja";"Media";"Alta";"Muy alta"}),"")</f>
        <v/>
      </c>
      <c r="X39" s="31">
        <f>IFERROR(VLOOKUP(V39,MgFrec,2,0),0)</f>
        <v/>
      </c>
      <c r="Y39" s="30">
        <f>T39*X39</f>
        <v/>
      </c>
      <c r="Z39" s="28">
        <f>IFERROR(LOOKUP(Y39,{0;0.5;5;25},{"Bajo";"Medio";"Alto";"Crítico"}),"")</f>
        <v/>
      </c>
      <c r="AA39" s="64">
        <f>IF(T39&gt;=3,IF(X39&gt;=1,"Zona 1 — Crítica: impacto alto y ocurre al menos una vez al año","Zona 4 — Catastrófica poco probable: impacto alto pero excepcional"),IF(AND(T39&lt;1.5,X39&lt;1),"Zona 3 — Asumible: impacto bajo y muy poco frecuente","Zona 2 — Atención: riesgo intermedio"))</f>
        <v/>
      </c>
      <c r="AB39" s="64">
        <f>IFERROR(INDEX(MgAmenCtrl,MATCH(SUBSTITUTE($H39,"*","-"),MgAmenClave,0)),"")</f>
        <v/>
      </c>
      <c r="AC39" s="20" t="n"/>
      <c r="AD39" s="31">
        <f>IFERROR($X39*(1-IF($AC39="",$AL39,VLOOKUP($AC39,MgMad,2,0))),"")</f>
        <v/>
      </c>
      <c r="AE39" s="28">
        <f>IFERROR(LOOKUP(AD39,{0;0.01;0.1;1;10;100},{"Muy baja";"Muy baja";"Baja";"Media";"Alta";"Muy alta"}),"")</f>
        <v/>
      </c>
      <c r="AF39" s="30">
        <f>T39*AD39</f>
        <v/>
      </c>
      <c r="AG39" s="28">
        <f>IFERROR(LOOKUP(AF39,{0;0.5;5;25},{"Bajo";"Medio";"Alto";"Crítico"}),"")</f>
        <v/>
      </c>
      <c r="AH39" s="28">
        <f>IF(AG39="","",IF(OR(AG39="Crítico",AG39="Alto"),"Mitigar",IF(AG39="Medio","Mitigar","Aceptar y monitorear")))</f>
        <v/>
      </c>
      <c r="AI39" s="21" t="n"/>
      <c r="AJ39" s="21" t="n"/>
      <c r="AK39" s="20" t="n"/>
      <c r="AL39" s="77">
        <f>IFERROR(INDEX(MgAmenEfic,MATCH(SUBSTITUTE($H39,"*","-"),MgAmenClave,0)),0)</f>
        <v/>
      </c>
    </row>
    <row r="40" hidden="1" ht="60" customHeight="1" s="54">
      <c r="B40" s="59" t="inlineStr">
        <is>
          <t>R-0035</t>
        </is>
      </c>
      <c r="C40" s="59" t="inlineStr">
        <is>
          <t>DO-13</t>
        </is>
      </c>
      <c r="D40" s="64">
        <f>IFERROR(INDEX(MgNombre,MATCH($C40,MgActId,0)),"")</f>
        <v/>
      </c>
      <c r="E40" s="64">
        <f>IFERROR(INDEX(MgProceso,MATCH($C40,MgActId,0)),"")</f>
        <v/>
      </c>
      <c r="F40" s="64">
        <f>IFERROR(INDEX(MgTipo,MATCH($C40,MgActId,0)),"")</f>
        <v/>
      </c>
      <c r="G40" s="64">
        <f>IFERROR(INDEX(MgSubtipo,MATCH($C40,MgActId,0)),"")</f>
        <v/>
      </c>
      <c r="H40" s="59" t="inlineStr">
        <is>
          <t>A.7</t>
        </is>
      </c>
      <c r="I40" s="64">
        <f>IFERROR(INDEX(MgAmenNombre,MATCH(SUBSTITUTE($H40,"*","-"),MgAmenClave,0)),"")</f>
        <v/>
      </c>
      <c r="J40" s="28">
        <f>IFERROR(INDEX(MgAmenGrupo,MATCH(SUBSTITUTE($H40,"*","-"),MgAmenClave,0)),"")</f>
        <v/>
      </c>
      <c r="K40" s="64">
        <f>IFERROR(INDEX('1. Matriz de Activos'!$Q$6:$Q$239,MATCH($C40,MgActId,0)),"")</f>
        <v/>
      </c>
      <c r="L40" s="64">
        <f>IFERROR(INDEX('1. Matriz de Activos'!$R$6:$R$239,MATCH($C40,MgActId,0)),"")</f>
        <v/>
      </c>
      <c r="M40" s="64">
        <f>IFERROR(INDEX('1. Matriz de Activos'!$S$6:$S$239,MATCH($C40,MgActId,0)),"")</f>
        <v/>
      </c>
      <c r="N40" s="28">
        <f>IFERROR(INDEX(MgAmenDegD,MATCH(SUBSTITUTE($H40,"*","-"),MgAmenClave,0)),"No aplica")</f>
        <v/>
      </c>
      <c r="O40" s="28">
        <f>IFERROR(INDEX(MgAmenDegI,MATCH(SUBSTITUTE($H40,"*","-"),MgAmenClave,0)),"No aplica")</f>
        <v/>
      </c>
      <c r="P40" s="28">
        <f>IFERROR(INDEX(MgAmenDegC,MATCH(SUBSTITUTE($H40,"*","-"),MgAmenClave,0)),"No aplica")</f>
        <v/>
      </c>
      <c r="Q40" s="29">
        <f>IFERROR(VLOOKUP(K40,MgValor,2,0)*VLOOKUP(N40,MgDeg,2,0),0)</f>
        <v/>
      </c>
      <c r="R40" s="29">
        <f>IFERROR(VLOOKUP(L40,MgValor,2,0)*VLOOKUP(O40,MgDeg,2,0),0)</f>
        <v/>
      </c>
      <c r="S40" s="29">
        <f>IFERROR(VLOOKUP(M40,MgValor,2,0)*VLOOKUP(P40,MgDeg,2,0),0)</f>
        <v/>
      </c>
      <c r="T40" s="30">
        <f>MAX(Q40:S40)</f>
        <v/>
      </c>
      <c r="U40" s="28">
        <f>IFERROR(LOOKUP(T40,{0;0.5;1.5;3;4.5},{"Despreciable";"Bajo";"Medio";"Alto";"Muy alto"}),"")</f>
        <v/>
      </c>
      <c r="V40" s="13">
        <f>IFERROR(INDEX(MgAmenFrec,MATCH(SUBSTITUTE($H40,"*","-"),MgAmenClave,0)),"")</f>
        <v/>
      </c>
      <c r="W40" s="28">
        <f>IFERROR(LOOKUP(X40,{0;0.01;0.1;1;10;100},{"Muy baja";"Muy baja";"Baja";"Media";"Alta";"Muy alta"}),"")</f>
        <v/>
      </c>
      <c r="X40" s="31">
        <f>IFERROR(VLOOKUP(V40,MgFrec,2,0),0)</f>
        <v/>
      </c>
      <c r="Y40" s="30">
        <f>T40*X40</f>
        <v/>
      </c>
      <c r="Z40" s="28">
        <f>IFERROR(LOOKUP(Y40,{0;0.5;5;25},{"Bajo";"Medio";"Alto";"Crítico"}),"")</f>
        <v/>
      </c>
      <c r="AA40" s="64">
        <f>IF(T40&gt;=3,IF(X40&gt;=1,"Zona 1 — Crítica: impacto alto y ocurre al menos una vez al año","Zona 4 — Catastrófica poco probable: impacto alto pero excepcional"),IF(AND(T40&lt;1.5,X40&lt;1),"Zona 3 — Asumible: impacto bajo y muy poco frecuente","Zona 2 — Atención: riesgo intermedio"))</f>
        <v/>
      </c>
      <c r="AB40" s="64">
        <f>IFERROR(INDEX(MgAmenCtrl,MATCH(SUBSTITUTE($H40,"*","-"),MgAmenClave,0)),"")</f>
        <v/>
      </c>
      <c r="AC40" s="20" t="n"/>
      <c r="AD40" s="31">
        <f>IFERROR($X40*(1-IF($AC40="",$AL40,VLOOKUP($AC40,MgMad,2,0))),"")</f>
        <v/>
      </c>
      <c r="AE40" s="28">
        <f>IFERROR(LOOKUP(AD40,{0;0.01;0.1;1;10;100},{"Muy baja";"Muy baja";"Baja";"Media";"Alta";"Muy alta"}),"")</f>
        <v/>
      </c>
      <c r="AF40" s="30">
        <f>T40*AD40</f>
        <v/>
      </c>
      <c r="AG40" s="28">
        <f>IFERROR(LOOKUP(AF40,{0;0.5;5;25},{"Bajo";"Medio";"Alto";"Crítico"}),"")</f>
        <v/>
      </c>
      <c r="AH40" s="28">
        <f>IF(AG40="","",IF(OR(AG40="Crítico",AG40="Alto"),"Mitigar",IF(AG40="Medio","Mitigar","Aceptar y monitorear")))</f>
        <v/>
      </c>
      <c r="AI40" s="21" t="n"/>
      <c r="AJ40" s="21" t="n"/>
      <c r="AK40" s="20" t="n"/>
      <c r="AL40" s="77">
        <f>IFERROR(INDEX(MgAmenEfic,MATCH(SUBSTITUTE($H40,"*","-"),MgAmenClave,0)),0)</f>
        <v/>
      </c>
    </row>
    <row r="41" hidden="1" ht="60" customHeight="1" s="54">
      <c r="B41" s="59" t="inlineStr">
        <is>
          <t>R-0036</t>
        </is>
      </c>
      <c r="C41" s="59" t="inlineStr">
        <is>
          <t>DO-13</t>
        </is>
      </c>
      <c r="D41" s="64">
        <f>IFERROR(INDEX(MgNombre,MATCH($C41,MgActId,0)),"")</f>
        <v/>
      </c>
      <c r="E41" s="64">
        <f>IFERROR(INDEX(MgProceso,MATCH($C41,MgActId,0)),"")</f>
        <v/>
      </c>
      <c r="F41" s="64">
        <f>IFERROR(INDEX(MgTipo,MATCH($C41,MgActId,0)),"")</f>
        <v/>
      </c>
      <c r="G41" s="64">
        <f>IFERROR(INDEX(MgSubtipo,MATCH($C41,MgActId,0)),"")</f>
        <v/>
      </c>
      <c r="H41" s="59" t="inlineStr">
        <is>
          <t>A.9</t>
        </is>
      </c>
      <c r="I41" s="64">
        <f>IFERROR(INDEX(MgAmenNombre,MATCH(SUBSTITUTE($H41,"*","-"),MgAmenClave,0)),"")</f>
        <v/>
      </c>
      <c r="J41" s="28">
        <f>IFERROR(INDEX(MgAmenGrupo,MATCH(SUBSTITUTE($H41,"*","-"),MgAmenClave,0)),"")</f>
        <v/>
      </c>
      <c r="K41" s="64">
        <f>IFERROR(INDEX('1. Matriz de Activos'!$Q$6:$Q$239,MATCH($C41,MgActId,0)),"")</f>
        <v/>
      </c>
      <c r="L41" s="64">
        <f>IFERROR(INDEX('1. Matriz de Activos'!$R$6:$R$239,MATCH($C41,MgActId,0)),"")</f>
        <v/>
      </c>
      <c r="M41" s="64">
        <f>IFERROR(INDEX('1. Matriz de Activos'!$S$6:$S$239,MATCH($C41,MgActId,0)),"")</f>
        <v/>
      </c>
      <c r="N41" s="28">
        <f>IFERROR(INDEX(MgAmenDegD,MATCH(SUBSTITUTE($H41,"*","-"),MgAmenClave,0)),"No aplica")</f>
        <v/>
      </c>
      <c r="O41" s="28">
        <f>IFERROR(INDEX(MgAmenDegI,MATCH(SUBSTITUTE($H41,"*","-"),MgAmenClave,0)),"No aplica")</f>
        <v/>
      </c>
      <c r="P41" s="28">
        <f>IFERROR(INDEX(MgAmenDegC,MATCH(SUBSTITUTE($H41,"*","-"),MgAmenClave,0)),"No aplica")</f>
        <v/>
      </c>
      <c r="Q41" s="29">
        <f>IFERROR(VLOOKUP(K41,MgValor,2,0)*VLOOKUP(N41,MgDeg,2,0),0)</f>
        <v/>
      </c>
      <c r="R41" s="29">
        <f>IFERROR(VLOOKUP(L41,MgValor,2,0)*VLOOKUP(O41,MgDeg,2,0),0)</f>
        <v/>
      </c>
      <c r="S41" s="29">
        <f>IFERROR(VLOOKUP(M41,MgValor,2,0)*VLOOKUP(P41,MgDeg,2,0),0)</f>
        <v/>
      </c>
      <c r="T41" s="30">
        <f>MAX(Q41:S41)</f>
        <v/>
      </c>
      <c r="U41" s="28">
        <f>IFERROR(LOOKUP(T41,{0;0.5;1.5;3;4.5},{"Despreciable";"Bajo";"Medio";"Alto";"Muy alto"}),"")</f>
        <v/>
      </c>
      <c r="V41" s="13">
        <f>IFERROR(INDEX(MgAmenFrec,MATCH(SUBSTITUTE($H41,"*","-"),MgAmenClave,0)),"")</f>
        <v/>
      </c>
      <c r="W41" s="28">
        <f>IFERROR(LOOKUP(X41,{0;0.01;0.1;1;10;100},{"Muy baja";"Muy baja";"Baja";"Media";"Alta";"Muy alta"}),"")</f>
        <v/>
      </c>
      <c r="X41" s="31">
        <f>IFERROR(VLOOKUP(V41,MgFrec,2,0),0)</f>
        <v/>
      </c>
      <c r="Y41" s="30">
        <f>T41*X41</f>
        <v/>
      </c>
      <c r="Z41" s="28">
        <f>IFERROR(LOOKUP(Y41,{0;0.5;5;25},{"Bajo";"Medio";"Alto";"Crítico"}),"")</f>
        <v/>
      </c>
      <c r="AA41" s="64">
        <f>IF(T41&gt;=3,IF(X41&gt;=1,"Zona 1 — Crítica: impacto alto y ocurre al menos una vez al año","Zona 4 — Catastrófica poco probable: impacto alto pero excepcional"),IF(AND(T41&lt;1.5,X41&lt;1),"Zona 3 — Asumible: impacto bajo y muy poco frecuente","Zona 2 — Atención: riesgo intermedio"))</f>
        <v/>
      </c>
      <c r="AB41" s="64">
        <f>IFERROR(INDEX(MgAmenCtrl,MATCH(SUBSTITUTE($H41,"*","-"),MgAmenClave,0)),"")</f>
        <v/>
      </c>
      <c r="AC41" s="20" t="n"/>
      <c r="AD41" s="31">
        <f>IFERROR($X41*(1-IF($AC41="",$AL41,VLOOKUP($AC41,MgMad,2,0))),"")</f>
        <v/>
      </c>
      <c r="AE41" s="28">
        <f>IFERROR(LOOKUP(AD41,{0;0.01;0.1;1;10;100},{"Muy baja";"Muy baja";"Baja";"Media";"Alta";"Muy alta"}),"")</f>
        <v/>
      </c>
      <c r="AF41" s="30">
        <f>T41*AD41</f>
        <v/>
      </c>
      <c r="AG41" s="28">
        <f>IFERROR(LOOKUP(AF41,{0;0.5;5;25},{"Bajo";"Medio";"Alto";"Crítico"}),"")</f>
        <v/>
      </c>
      <c r="AH41" s="28">
        <f>IF(AG41="","",IF(OR(AG41="Crítico",AG41="Alto"),"Mitigar",IF(AG41="Medio","Mitigar","Aceptar y monitorear")))</f>
        <v/>
      </c>
      <c r="AI41" s="21" t="n"/>
      <c r="AJ41" s="21" t="n"/>
      <c r="AK41" s="20" t="n"/>
      <c r="AL41" s="77">
        <f>IFERROR(INDEX(MgAmenEfic,MATCH(SUBSTITUTE($H41,"*","-"),MgAmenClave,0)),0)</f>
        <v/>
      </c>
    </row>
    <row r="42" hidden="1" ht="45" customHeight="1" s="54">
      <c r="B42" s="59" t="inlineStr">
        <is>
          <t>R-0037</t>
        </is>
      </c>
      <c r="C42" s="59" t="inlineStr">
        <is>
          <t>DO-13</t>
        </is>
      </c>
      <c r="D42" s="64">
        <f>IFERROR(INDEX(MgNombre,MATCH($C42,MgActId,0)),"")</f>
        <v/>
      </c>
      <c r="E42" s="64">
        <f>IFERROR(INDEX(MgProceso,MATCH($C42,MgActId,0)),"")</f>
        <v/>
      </c>
      <c r="F42" s="64">
        <f>IFERROR(INDEX(MgTipo,MATCH($C42,MgActId,0)),"")</f>
        <v/>
      </c>
      <c r="G42" s="64">
        <f>IFERROR(INDEX(MgSubtipo,MATCH($C42,MgActId,0)),"")</f>
        <v/>
      </c>
      <c r="H42" s="59" t="inlineStr">
        <is>
          <t>A.10</t>
        </is>
      </c>
      <c r="I42" s="64">
        <f>IFERROR(INDEX(MgAmenNombre,MATCH(SUBSTITUTE($H42,"*","-"),MgAmenClave,0)),"")</f>
        <v/>
      </c>
      <c r="J42" s="28">
        <f>IFERROR(INDEX(MgAmenGrupo,MATCH(SUBSTITUTE($H42,"*","-"),MgAmenClave,0)),"")</f>
        <v/>
      </c>
      <c r="K42" s="64">
        <f>IFERROR(INDEX('1. Matriz de Activos'!$Q$6:$Q$239,MATCH($C42,MgActId,0)),"")</f>
        <v/>
      </c>
      <c r="L42" s="64">
        <f>IFERROR(INDEX('1. Matriz de Activos'!$R$6:$R$239,MATCH($C42,MgActId,0)),"")</f>
        <v/>
      </c>
      <c r="M42" s="64">
        <f>IFERROR(INDEX('1. Matriz de Activos'!$S$6:$S$239,MATCH($C42,MgActId,0)),"")</f>
        <v/>
      </c>
      <c r="N42" s="28">
        <f>IFERROR(INDEX(MgAmenDegD,MATCH(SUBSTITUTE($H42,"*","-"),MgAmenClave,0)),"No aplica")</f>
        <v/>
      </c>
      <c r="O42" s="28">
        <f>IFERROR(INDEX(MgAmenDegI,MATCH(SUBSTITUTE($H42,"*","-"),MgAmenClave,0)),"No aplica")</f>
        <v/>
      </c>
      <c r="P42" s="28">
        <f>IFERROR(INDEX(MgAmenDegC,MATCH(SUBSTITUTE($H42,"*","-"),MgAmenClave,0)),"No aplica")</f>
        <v/>
      </c>
      <c r="Q42" s="29">
        <f>IFERROR(VLOOKUP(K42,MgValor,2,0)*VLOOKUP(N42,MgDeg,2,0),0)</f>
        <v/>
      </c>
      <c r="R42" s="29">
        <f>IFERROR(VLOOKUP(L42,MgValor,2,0)*VLOOKUP(O42,MgDeg,2,0),0)</f>
        <v/>
      </c>
      <c r="S42" s="29">
        <f>IFERROR(VLOOKUP(M42,MgValor,2,0)*VLOOKUP(P42,MgDeg,2,0),0)</f>
        <v/>
      </c>
      <c r="T42" s="30">
        <f>MAX(Q42:S42)</f>
        <v/>
      </c>
      <c r="U42" s="28">
        <f>IFERROR(LOOKUP(T42,{0;0.5;1.5;3;4.5},{"Despreciable";"Bajo";"Medio";"Alto";"Muy alto"}),"")</f>
        <v/>
      </c>
      <c r="V42" s="13">
        <f>IFERROR(INDEX(MgAmenFrec,MATCH(SUBSTITUTE($H42,"*","-"),MgAmenClave,0)),"")</f>
        <v/>
      </c>
      <c r="W42" s="28">
        <f>IFERROR(LOOKUP(X42,{0;0.01;0.1;1;10;100},{"Muy baja";"Muy baja";"Baja";"Media";"Alta";"Muy alta"}),"")</f>
        <v/>
      </c>
      <c r="X42" s="31">
        <f>IFERROR(VLOOKUP(V42,MgFrec,2,0),0)</f>
        <v/>
      </c>
      <c r="Y42" s="30">
        <f>T42*X42</f>
        <v/>
      </c>
      <c r="Z42" s="28">
        <f>IFERROR(LOOKUP(Y42,{0;0.5;5;25},{"Bajo";"Medio";"Alto";"Crítico"}),"")</f>
        <v/>
      </c>
      <c r="AA42" s="64">
        <f>IF(T42&gt;=3,IF(X42&gt;=1,"Zona 1 — Crítica: impacto alto y ocurre al menos una vez al año","Zona 4 — Catastrófica poco probable: impacto alto pero excepcional"),IF(AND(T42&lt;1.5,X42&lt;1),"Zona 3 — Asumible: impacto bajo y muy poco frecuente","Zona 2 — Atención: riesgo intermedio"))</f>
        <v/>
      </c>
      <c r="AB42" s="64">
        <f>IFERROR(INDEX(MgAmenCtrl,MATCH(SUBSTITUTE($H42,"*","-"),MgAmenClave,0)),"")</f>
        <v/>
      </c>
      <c r="AC42" s="20" t="n"/>
      <c r="AD42" s="31">
        <f>IFERROR($X42*(1-IF($AC42="",$AL42,VLOOKUP($AC42,MgMad,2,0))),"")</f>
        <v/>
      </c>
      <c r="AE42" s="28">
        <f>IFERROR(LOOKUP(AD42,{0;0.01;0.1;1;10;100},{"Muy baja";"Muy baja";"Baja";"Media";"Alta";"Muy alta"}),"")</f>
        <v/>
      </c>
      <c r="AF42" s="30">
        <f>T42*AD42</f>
        <v/>
      </c>
      <c r="AG42" s="28">
        <f>IFERROR(LOOKUP(AF42,{0;0.5;5;25},{"Bajo";"Medio";"Alto";"Crítico"}),"")</f>
        <v/>
      </c>
      <c r="AH42" s="28">
        <f>IF(AG42="","",IF(OR(AG42="Crítico",AG42="Alto"),"Mitigar",IF(AG42="Medio","Mitigar","Aceptar y monitorear")))</f>
        <v/>
      </c>
      <c r="AI42" s="21" t="n"/>
      <c r="AJ42" s="21" t="n"/>
      <c r="AK42" s="20" t="n"/>
      <c r="AL42" s="77">
        <f>IFERROR(INDEX(MgAmenEfic,MATCH(SUBSTITUTE($H42,"*","-"),MgAmenClave,0)),0)</f>
        <v/>
      </c>
    </row>
    <row r="43" hidden="1" ht="120" customHeight="1" s="54">
      <c r="B43" s="59" t="inlineStr">
        <is>
          <t>R-0038</t>
        </is>
      </c>
      <c r="C43" s="59" t="inlineStr">
        <is>
          <t>DO-13</t>
        </is>
      </c>
      <c r="D43" s="64">
        <f>IFERROR(INDEX(MgNombre,MATCH($C43,MgActId,0)),"")</f>
        <v/>
      </c>
      <c r="E43" s="64">
        <f>IFERROR(INDEX(MgProceso,MATCH($C43,MgActId,0)),"")</f>
        <v/>
      </c>
      <c r="F43" s="64">
        <f>IFERROR(INDEX(MgTipo,MATCH($C43,MgActId,0)),"")</f>
        <v/>
      </c>
      <c r="G43" s="64">
        <f>IFERROR(INDEX(MgSubtipo,MATCH($C43,MgActId,0)),"")</f>
        <v/>
      </c>
      <c r="H43" s="59" t="inlineStr">
        <is>
          <t>A.11</t>
        </is>
      </c>
      <c r="I43" s="64">
        <f>IFERROR(INDEX(MgAmenNombre,MATCH(SUBSTITUTE($H43,"*","-"),MgAmenClave,0)),"")</f>
        <v/>
      </c>
      <c r="J43" s="28">
        <f>IFERROR(INDEX(MgAmenGrupo,MATCH(SUBSTITUTE($H43,"*","-"),MgAmenClave,0)),"")</f>
        <v/>
      </c>
      <c r="K43" s="64">
        <f>IFERROR(INDEX('1. Matriz de Activos'!$Q$6:$Q$239,MATCH($C43,MgActId,0)),"")</f>
        <v/>
      </c>
      <c r="L43" s="64">
        <f>IFERROR(INDEX('1. Matriz de Activos'!$R$6:$R$239,MATCH($C43,MgActId,0)),"")</f>
        <v/>
      </c>
      <c r="M43" s="64">
        <f>IFERROR(INDEX('1. Matriz de Activos'!$S$6:$S$239,MATCH($C43,MgActId,0)),"")</f>
        <v/>
      </c>
      <c r="N43" s="28">
        <f>IFERROR(INDEX(MgAmenDegD,MATCH(SUBSTITUTE($H43,"*","-"),MgAmenClave,0)),"No aplica")</f>
        <v/>
      </c>
      <c r="O43" s="28">
        <f>IFERROR(INDEX(MgAmenDegI,MATCH(SUBSTITUTE($H43,"*","-"),MgAmenClave,0)),"No aplica")</f>
        <v/>
      </c>
      <c r="P43" s="28">
        <f>IFERROR(INDEX(MgAmenDegC,MATCH(SUBSTITUTE($H43,"*","-"),MgAmenClave,0)),"No aplica")</f>
        <v/>
      </c>
      <c r="Q43" s="29">
        <f>IFERROR(VLOOKUP(K43,MgValor,2,0)*VLOOKUP(N43,MgDeg,2,0),0)</f>
        <v/>
      </c>
      <c r="R43" s="29">
        <f>IFERROR(VLOOKUP(L43,MgValor,2,0)*VLOOKUP(O43,MgDeg,2,0),0)</f>
        <v/>
      </c>
      <c r="S43" s="29">
        <f>IFERROR(VLOOKUP(M43,MgValor,2,0)*VLOOKUP(P43,MgDeg,2,0),0)</f>
        <v/>
      </c>
      <c r="T43" s="30">
        <f>MAX(Q43:S43)</f>
        <v/>
      </c>
      <c r="U43" s="28">
        <f>IFERROR(LOOKUP(T43,{0;0.5;1.5;3;4.5},{"Despreciable";"Bajo";"Medio";"Alto";"Muy alto"}),"")</f>
        <v/>
      </c>
      <c r="V43" s="13">
        <f>IFERROR(INDEX(MgAmenFrec,MATCH(SUBSTITUTE($H43,"*","-"),MgAmenClave,0)),"")</f>
        <v/>
      </c>
      <c r="W43" s="28">
        <f>IFERROR(LOOKUP(X43,{0;0.01;0.1;1;10;100},{"Muy baja";"Muy baja";"Baja";"Media";"Alta";"Muy alta"}),"")</f>
        <v/>
      </c>
      <c r="X43" s="31">
        <f>IFERROR(VLOOKUP(V43,MgFrec,2,0),0)</f>
        <v/>
      </c>
      <c r="Y43" s="30">
        <f>T43*X43</f>
        <v/>
      </c>
      <c r="Z43" s="28">
        <f>IFERROR(LOOKUP(Y43,{0;0.5;5;25},{"Bajo";"Medio";"Alto";"Crítico"}),"")</f>
        <v/>
      </c>
      <c r="AA43" s="64">
        <f>IF(T43&gt;=3,IF(X43&gt;=1,"Zona 1 — Crítica: impacto alto y ocurre al menos una vez al año","Zona 4 — Catastrófica poco probable: impacto alto pero excepcional"),IF(AND(T43&lt;1.5,X43&lt;1),"Zona 3 — Asumible: impacto bajo y muy poco frecuente","Zona 2 — Atención: riesgo intermedio"))</f>
        <v/>
      </c>
      <c r="AB43" s="64">
        <f>IFERROR(INDEX(MgAmenCtrl,MATCH(SUBSTITUTE($H43,"*","-"),MgAmenClave,0)),"")</f>
        <v/>
      </c>
      <c r="AC43" s="20" t="n"/>
      <c r="AD43" s="31">
        <f>IFERROR($X43*(1-IF($AC43="",$AL43,VLOOKUP($AC43,MgMad,2,0))),"")</f>
        <v/>
      </c>
      <c r="AE43" s="28">
        <f>IFERROR(LOOKUP(AD43,{0;0.01;0.1;1;10;100},{"Muy baja";"Muy baja";"Baja";"Media";"Alta";"Muy alta"}),"")</f>
        <v/>
      </c>
      <c r="AF43" s="30">
        <f>T43*AD43</f>
        <v/>
      </c>
      <c r="AG43" s="28">
        <f>IFERROR(LOOKUP(AF43,{0;0.5;5;25},{"Bajo";"Medio";"Alto";"Crítico"}),"")</f>
        <v/>
      </c>
      <c r="AH43" s="28">
        <f>IF(AG43="","",IF(OR(AG43="Crítico",AG43="Alto"),"Mitigar",IF(AG43="Medio","Mitigar","Aceptar y monitorear")))</f>
        <v/>
      </c>
      <c r="AI43" s="21" t="n"/>
      <c r="AJ43" s="21" t="n"/>
      <c r="AK43" s="20" t="n"/>
      <c r="AL43" s="77">
        <f>IFERROR(INDEX(MgAmenEfic,MATCH(SUBSTITUTE($H43,"*","-"),MgAmenClave,0)),0)</f>
        <v/>
      </c>
    </row>
    <row r="44" hidden="1" ht="45" customHeight="1" s="54">
      <c r="B44" s="59" t="inlineStr">
        <is>
          <t>R-0039</t>
        </is>
      </c>
      <c r="C44" s="59" t="inlineStr">
        <is>
          <t>DO-13</t>
        </is>
      </c>
      <c r="D44" s="64">
        <f>IFERROR(INDEX(MgNombre,MATCH($C44,MgActId,0)),"")</f>
        <v/>
      </c>
      <c r="E44" s="64">
        <f>IFERROR(INDEX(MgProceso,MATCH($C44,MgActId,0)),"")</f>
        <v/>
      </c>
      <c r="F44" s="64">
        <f>IFERROR(INDEX(MgTipo,MATCH($C44,MgActId,0)),"")</f>
        <v/>
      </c>
      <c r="G44" s="64">
        <f>IFERROR(INDEX(MgSubtipo,MATCH($C44,MgActId,0)),"")</f>
        <v/>
      </c>
      <c r="H44" s="59" t="inlineStr">
        <is>
          <t>A.12</t>
        </is>
      </c>
      <c r="I44" s="64">
        <f>IFERROR(INDEX(MgAmenNombre,MATCH(SUBSTITUTE($H44,"*","-"),MgAmenClave,0)),"")</f>
        <v/>
      </c>
      <c r="J44" s="28">
        <f>IFERROR(INDEX(MgAmenGrupo,MATCH(SUBSTITUTE($H44,"*","-"),MgAmenClave,0)),"")</f>
        <v/>
      </c>
      <c r="K44" s="64">
        <f>IFERROR(INDEX('1. Matriz de Activos'!$Q$6:$Q$239,MATCH($C44,MgActId,0)),"")</f>
        <v/>
      </c>
      <c r="L44" s="64">
        <f>IFERROR(INDEX('1. Matriz de Activos'!$R$6:$R$239,MATCH($C44,MgActId,0)),"")</f>
        <v/>
      </c>
      <c r="M44" s="64">
        <f>IFERROR(INDEX('1. Matriz de Activos'!$S$6:$S$239,MATCH($C44,MgActId,0)),"")</f>
        <v/>
      </c>
      <c r="N44" s="28">
        <f>IFERROR(INDEX(MgAmenDegD,MATCH(SUBSTITUTE($H44,"*","-"),MgAmenClave,0)),"No aplica")</f>
        <v/>
      </c>
      <c r="O44" s="28">
        <f>IFERROR(INDEX(MgAmenDegI,MATCH(SUBSTITUTE($H44,"*","-"),MgAmenClave,0)),"No aplica")</f>
        <v/>
      </c>
      <c r="P44" s="28">
        <f>IFERROR(INDEX(MgAmenDegC,MATCH(SUBSTITUTE($H44,"*","-"),MgAmenClave,0)),"No aplica")</f>
        <v/>
      </c>
      <c r="Q44" s="29">
        <f>IFERROR(VLOOKUP(K44,MgValor,2,0)*VLOOKUP(N44,MgDeg,2,0),0)</f>
        <v/>
      </c>
      <c r="R44" s="29">
        <f>IFERROR(VLOOKUP(L44,MgValor,2,0)*VLOOKUP(O44,MgDeg,2,0),0)</f>
        <v/>
      </c>
      <c r="S44" s="29">
        <f>IFERROR(VLOOKUP(M44,MgValor,2,0)*VLOOKUP(P44,MgDeg,2,0),0)</f>
        <v/>
      </c>
      <c r="T44" s="30">
        <f>MAX(Q44:S44)</f>
        <v/>
      </c>
      <c r="U44" s="28">
        <f>IFERROR(LOOKUP(T44,{0;0.5;1.5;3;4.5},{"Despreciable";"Bajo";"Medio";"Alto";"Muy alto"}),"")</f>
        <v/>
      </c>
      <c r="V44" s="13">
        <f>IFERROR(INDEX(MgAmenFrec,MATCH(SUBSTITUTE($H44,"*","-"),MgAmenClave,0)),"")</f>
        <v/>
      </c>
      <c r="W44" s="28">
        <f>IFERROR(LOOKUP(X44,{0;0.01;0.1;1;10;100},{"Muy baja";"Muy baja";"Baja";"Media";"Alta";"Muy alta"}),"")</f>
        <v/>
      </c>
      <c r="X44" s="31">
        <f>IFERROR(VLOOKUP(V44,MgFrec,2,0),0)</f>
        <v/>
      </c>
      <c r="Y44" s="30">
        <f>T44*X44</f>
        <v/>
      </c>
      <c r="Z44" s="28">
        <f>IFERROR(LOOKUP(Y44,{0;0.5;5;25},{"Bajo";"Medio";"Alto";"Crítico"}),"")</f>
        <v/>
      </c>
      <c r="AA44" s="64">
        <f>IF(T44&gt;=3,IF(X44&gt;=1,"Zona 1 — Crítica: impacto alto y ocurre al menos una vez al año","Zona 4 — Catastrófica poco probable: impacto alto pero excepcional"),IF(AND(T44&lt;1.5,X44&lt;1),"Zona 3 — Asumible: impacto bajo y muy poco frecuente","Zona 2 — Atención: riesgo intermedio"))</f>
        <v/>
      </c>
      <c r="AB44" s="64">
        <f>IFERROR(INDEX(MgAmenCtrl,MATCH(SUBSTITUTE($H44,"*","-"),MgAmenClave,0)),"")</f>
        <v/>
      </c>
      <c r="AC44" s="20" t="n"/>
      <c r="AD44" s="31">
        <f>IFERROR($X44*(1-IF($AC44="",$AL44,VLOOKUP($AC44,MgMad,2,0))),"")</f>
        <v/>
      </c>
      <c r="AE44" s="28">
        <f>IFERROR(LOOKUP(AD44,{0;0.01;0.1;1;10;100},{"Muy baja";"Muy baja";"Baja";"Media";"Alta";"Muy alta"}),"")</f>
        <v/>
      </c>
      <c r="AF44" s="30">
        <f>T44*AD44</f>
        <v/>
      </c>
      <c r="AG44" s="28">
        <f>IFERROR(LOOKUP(AF44,{0;0.5;5;25},{"Bajo";"Medio";"Alto";"Crítico"}),"")</f>
        <v/>
      </c>
      <c r="AH44" s="28">
        <f>IF(AG44="","",IF(OR(AG44="Crítico",AG44="Alto"),"Mitigar",IF(AG44="Medio","Mitigar","Aceptar y monitorear")))</f>
        <v/>
      </c>
      <c r="AI44" s="21" t="n"/>
      <c r="AJ44" s="21" t="n"/>
      <c r="AK44" s="20" t="n"/>
      <c r="AL44" s="77">
        <f>IFERROR(INDEX(MgAmenEfic,MATCH(SUBSTITUTE($H44,"*","-"),MgAmenClave,0)),0)</f>
        <v/>
      </c>
    </row>
    <row r="45" hidden="1" ht="60" customHeight="1" s="54">
      <c r="B45" s="59" t="inlineStr">
        <is>
          <t>R-0040</t>
        </is>
      </c>
      <c r="C45" s="59" t="inlineStr">
        <is>
          <t>DO-13</t>
        </is>
      </c>
      <c r="D45" s="64">
        <f>IFERROR(INDEX(MgNombre,MATCH($C45,MgActId,0)),"")</f>
        <v/>
      </c>
      <c r="E45" s="64">
        <f>IFERROR(INDEX(MgProceso,MATCH($C45,MgActId,0)),"")</f>
        <v/>
      </c>
      <c r="F45" s="64">
        <f>IFERROR(INDEX(MgTipo,MATCH($C45,MgActId,0)),"")</f>
        <v/>
      </c>
      <c r="G45" s="64">
        <f>IFERROR(INDEX(MgSubtipo,MATCH($C45,MgActId,0)),"")</f>
        <v/>
      </c>
      <c r="H45" s="59" t="inlineStr">
        <is>
          <t>A.14</t>
        </is>
      </c>
      <c r="I45" s="64">
        <f>IFERROR(INDEX(MgAmenNombre,MATCH(SUBSTITUTE($H45,"*","-"),MgAmenClave,0)),"")</f>
        <v/>
      </c>
      <c r="J45" s="28">
        <f>IFERROR(INDEX(MgAmenGrupo,MATCH(SUBSTITUTE($H45,"*","-"),MgAmenClave,0)),"")</f>
        <v/>
      </c>
      <c r="K45" s="64">
        <f>IFERROR(INDEX('1. Matriz de Activos'!$Q$6:$Q$239,MATCH($C45,MgActId,0)),"")</f>
        <v/>
      </c>
      <c r="L45" s="64">
        <f>IFERROR(INDEX('1. Matriz de Activos'!$R$6:$R$239,MATCH($C45,MgActId,0)),"")</f>
        <v/>
      </c>
      <c r="M45" s="64">
        <f>IFERROR(INDEX('1. Matriz de Activos'!$S$6:$S$239,MATCH($C45,MgActId,0)),"")</f>
        <v/>
      </c>
      <c r="N45" s="28">
        <f>IFERROR(INDEX(MgAmenDegD,MATCH(SUBSTITUTE($H45,"*","-"),MgAmenClave,0)),"No aplica")</f>
        <v/>
      </c>
      <c r="O45" s="28">
        <f>IFERROR(INDEX(MgAmenDegI,MATCH(SUBSTITUTE($H45,"*","-"),MgAmenClave,0)),"No aplica")</f>
        <v/>
      </c>
      <c r="P45" s="28">
        <f>IFERROR(INDEX(MgAmenDegC,MATCH(SUBSTITUTE($H45,"*","-"),MgAmenClave,0)),"No aplica")</f>
        <v/>
      </c>
      <c r="Q45" s="29">
        <f>IFERROR(VLOOKUP(K45,MgValor,2,0)*VLOOKUP(N45,MgDeg,2,0),0)</f>
        <v/>
      </c>
      <c r="R45" s="29">
        <f>IFERROR(VLOOKUP(L45,MgValor,2,0)*VLOOKUP(O45,MgDeg,2,0),0)</f>
        <v/>
      </c>
      <c r="S45" s="29">
        <f>IFERROR(VLOOKUP(M45,MgValor,2,0)*VLOOKUP(P45,MgDeg,2,0),0)</f>
        <v/>
      </c>
      <c r="T45" s="30">
        <f>MAX(Q45:S45)</f>
        <v/>
      </c>
      <c r="U45" s="28">
        <f>IFERROR(LOOKUP(T45,{0;0.5;1.5;3;4.5},{"Despreciable";"Bajo";"Medio";"Alto";"Muy alto"}),"")</f>
        <v/>
      </c>
      <c r="V45" s="13">
        <f>IFERROR(INDEX(MgAmenFrec,MATCH(SUBSTITUTE($H45,"*","-"),MgAmenClave,0)),"")</f>
        <v/>
      </c>
      <c r="W45" s="28">
        <f>IFERROR(LOOKUP(X45,{0;0.01;0.1;1;10;100},{"Muy baja";"Muy baja";"Baja";"Media";"Alta";"Muy alta"}),"")</f>
        <v/>
      </c>
      <c r="X45" s="31">
        <f>IFERROR(VLOOKUP(V45,MgFrec,2,0),0)</f>
        <v/>
      </c>
      <c r="Y45" s="30">
        <f>T45*X45</f>
        <v/>
      </c>
      <c r="Z45" s="28">
        <f>IFERROR(LOOKUP(Y45,{0;0.5;5;25},{"Bajo";"Medio";"Alto";"Crítico"}),"")</f>
        <v/>
      </c>
      <c r="AA45" s="64">
        <f>IF(T45&gt;=3,IF(X45&gt;=1,"Zona 1 — Crítica: impacto alto y ocurre al menos una vez al año","Zona 4 — Catastrófica poco probable: impacto alto pero excepcional"),IF(AND(T45&lt;1.5,X45&lt;1),"Zona 3 — Asumible: impacto bajo y muy poco frecuente","Zona 2 — Atención: riesgo intermedio"))</f>
        <v/>
      </c>
      <c r="AB45" s="64">
        <f>IFERROR(INDEX(MgAmenCtrl,MATCH(SUBSTITUTE($H45,"*","-"),MgAmenClave,0)),"")</f>
        <v/>
      </c>
      <c r="AC45" s="20" t="n"/>
      <c r="AD45" s="31">
        <f>IFERROR($X45*(1-IF($AC45="",$AL45,VLOOKUP($AC45,MgMad,2,0))),"")</f>
        <v/>
      </c>
      <c r="AE45" s="28">
        <f>IFERROR(LOOKUP(AD45,{0;0.01;0.1;1;10;100},{"Muy baja";"Muy baja";"Baja";"Media";"Alta";"Muy alta"}),"")</f>
        <v/>
      </c>
      <c r="AF45" s="30">
        <f>T45*AD45</f>
        <v/>
      </c>
      <c r="AG45" s="28">
        <f>IFERROR(LOOKUP(AF45,{0;0.5;5;25},{"Bajo";"Medio";"Alto";"Crítico"}),"")</f>
        <v/>
      </c>
      <c r="AH45" s="28">
        <f>IF(AG45="","",IF(OR(AG45="Crítico",AG45="Alto"),"Mitigar",IF(AG45="Medio","Mitigar","Aceptar y monitorear")))</f>
        <v/>
      </c>
      <c r="AI45" s="21" t="n"/>
      <c r="AJ45" s="21" t="n"/>
      <c r="AK45" s="20" t="n"/>
      <c r="AL45" s="77">
        <f>IFERROR(INDEX(MgAmenEfic,MATCH(SUBSTITUTE($H45,"*","-"),MgAmenClave,0)),0)</f>
        <v/>
      </c>
    </row>
    <row r="46" hidden="1" ht="60" customHeight="1" s="54">
      <c r="B46" s="59" t="inlineStr">
        <is>
          <t>R-0041</t>
        </is>
      </c>
      <c r="C46" s="59" t="inlineStr">
        <is>
          <t>DO-13</t>
        </is>
      </c>
      <c r="D46" s="64">
        <f>IFERROR(INDEX(MgNombre,MATCH($C46,MgActId,0)),"")</f>
        <v/>
      </c>
      <c r="E46" s="64">
        <f>IFERROR(INDEX(MgProceso,MATCH($C46,MgActId,0)),"")</f>
        <v/>
      </c>
      <c r="F46" s="64">
        <f>IFERROR(INDEX(MgTipo,MATCH($C46,MgActId,0)),"")</f>
        <v/>
      </c>
      <c r="G46" s="64">
        <f>IFERROR(INDEX(MgSubtipo,MATCH($C46,MgActId,0)),"")</f>
        <v/>
      </c>
      <c r="H46" s="59" t="inlineStr">
        <is>
          <t>A.15</t>
        </is>
      </c>
      <c r="I46" s="64">
        <f>IFERROR(INDEX(MgAmenNombre,MATCH(SUBSTITUTE($H46,"*","-"),MgAmenClave,0)),"")</f>
        <v/>
      </c>
      <c r="J46" s="28">
        <f>IFERROR(INDEX(MgAmenGrupo,MATCH(SUBSTITUTE($H46,"*","-"),MgAmenClave,0)),"")</f>
        <v/>
      </c>
      <c r="K46" s="64">
        <f>IFERROR(INDEX('1. Matriz de Activos'!$Q$6:$Q$239,MATCH($C46,MgActId,0)),"")</f>
        <v/>
      </c>
      <c r="L46" s="64">
        <f>IFERROR(INDEX('1. Matriz de Activos'!$R$6:$R$239,MATCH($C46,MgActId,0)),"")</f>
        <v/>
      </c>
      <c r="M46" s="64">
        <f>IFERROR(INDEX('1. Matriz de Activos'!$S$6:$S$239,MATCH($C46,MgActId,0)),"")</f>
        <v/>
      </c>
      <c r="N46" s="28">
        <f>IFERROR(INDEX(MgAmenDegD,MATCH(SUBSTITUTE($H46,"*","-"),MgAmenClave,0)),"No aplica")</f>
        <v/>
      </c>
      <c r="O46" s="28">
        <f>IFERROR(INDEX(MgAmenDegI,MATCH(SUBSTITUTE($H46,"*","-"),MgAmenClave,0)),"No aplica")</f>
        <v/>
      </c>
      <c r="P46" s="28">
        <f>IFERROR(INDEX(MgAmenDegC,MATCH(SUBSTITUTE($H46,"*","-"),MgAmenClave,0)),"No aplica")</f>
        <v/>
      </c>
      <c r="Q46" s="29">
        <f>IFERROR(VLOOKUP(K46,MgValor,2,0)*VLOOKUP(N46,MgDeg,2,0),0)</f>
        <v/>
      </c>
      <c r="R46" s="29">
        <f>IFERROR(VLOOKUP(L46,MgValor,2,0)*VLOOKUP(O46,MgDeg,2,0),0)</f>
        <v/>
      </c>
      <c r="S46" s="29">
        <f>IFERROR(VLOOKUP(M46,MgValor,2,0)*VLOOKUP(P46,MgDeg,2,0),0)</f>
        <v/>
      </c>
      <c r="T46" s="30">
        <f>MAX(Q46:S46)</f>
        <v/>
      </c>
      <c r="U46" s="28">
        <f>IFERROR(LOOKUP(T46,{0;0.5;1.5;3;4.5},{"Despreciable";"Bajo";"Medio";"Alto";"Muy alto"}),"")</f>
        <v/>
      </c>
      <c r="V46" s="13">
        <f>IFERROR(INDEX(MgAmenFrec,MATCH(SUBSTITUTE($H46,"*","-"),MgAmenClave,0)),"")</f>
        <v/>
      </c>
      <c r="W46" s="28">
        <f>IFERROR(LOOKUP(X46,{0;0.01;0.1;1;10;100},{"Muy baja";"Muy baja";"Baja";"Media";"Alta";"Muy alta"}),"")</f>
        <v/>
      </c>
      <c r="X46" s="31">
        <f>IFERROR(VLOOKUP(V46,MgFrec,2,0),0)</f>
        <v/>
      </c>
      <c r="Y46" s="30">
        <f>T46*X46</f>
        <v/>
      </c>
      <c r="Z46" s="28">
        <f>IFERROR(LOOKUP(Y46,{0;0.5;5;25},{"Bajo";"Medio";"Alto";"Crítico"}),"")</f>
        <v/>
      </c>
      <c r="AA46" s="64">
        <f>IF(T46&gt;=3,IF(X46&gt;=1,"Zona 1 — Crítica: impacto alto y ocurre al menos una vez al año","Zona 4 — Catastrófica poco probable: impacto alto pero excepcional"),IF(AND(T46&lt;1.5,X46&lt;1),"Zona 3 — Asumible: impacto bajo y muy poco frecuente","Zona 2 — Atención: riesgo intermedio"))</f>
        <v/>
      </c>
      <c r="AB46" s="64">
        <f>IFERROR(INDEX(MgAmenCtrl,MATCH(SUBSTITUTE($H46,"*","-"),MgAmenClave,0)),"")</f>
        <v/>
      </c>
      <c r="AC46" s="20" t="n"/>
      <c r="AD46" s="31">
        <f>IFERROR($X46*(1-IF($AC46="",$AL46,VLOOKUP($AC46,MgMad,2,0))),"")</f>
        <v/>
      </c>
      <c r="AE46" s="28">
        <f>IFERROR(LOOKUP(AD46,{0;0.01;0.1;1;10;100},{"Muy baja";"Muy baja";"Baja";"Media";"Alta";"Muy alta"}),"")</f>
        <v/>
      </c>
      <c r="AF46" s="30">
        <f>T46*AD46</f>
        <v/>
      </c>
      <c r="AG46" s="28">
        <f>IFERROR(LOOKUP(AF46,{0;0.5;5;25},{"Bajo";"Medio";"Alto";"Crítico"}),"")</f>
        <v/>
      </c>
      <c r="AH46" s="28">
        <f>IF(AG46="","",IF(OR(AG46="Crítico",AG46="Alto"),"Mitigar",IF(AG46="Medio","Mitigar","Aceptar y monitorear")))</f>
        <v/>
      </c>
      <c r="AI46" s="21" t="n"/>
      <c r="AJ46" s="21" t="n"/>
      <c r="AK46" s="20" t="n"/>
      <c r="AL46" s="77">
        <f>IFERROR(INDEX(MgAmenEfic,MATCH(SUBSTITUTE($H46,"*","-"),MgAmenClave,0)),0)</f>
        <v/>
      </c>
    </row>
    <row r="47" hidden="1" ht="60" customHeight="1" s="54">
      <c r="B47" s="59" t="inlineStr">
        <is>
          <t>R-0042</t>
        </is>
      </c>
      <c r="C47" s="59" t="inlineStr">
        <is>
          <t>DO-13</t>
        </is>
      </c>
      <c r="D47" s="64">
        <f>IFERROR(INDEX(MgNombre,MATCH($C47,MgActId,0)),"")</f>
        <v/>
      </c>
      <c r="E47" s="64">
        <f>IFERROR(INDEX(MgProceso,MATCH($C47,MgActId,0)),"")</f>
        <v/>
      </c>
      <c r="F47" s="64">
        <f>IFERROR(INDEX(MgTipo,MATCH($C47,MgActId,0)),"")</f>
        <v/>
      </c>
      <c r="G47" s="64">
        <f>IFERROR(INDEX(MgSubtipo,MATCH($C47,MgActId,0)),"")</f>
        <v/>
      </c>
      <c r="H47" s="59" t="inlineStr">
        <is>
          <t>A.18</t>
        </is>
      </c>
      <c r="I47" s="64">
        <f>IFERROR(INDEX(MgAmenNombre,MATCH(SUBSTITUTE($H47,"*","-"),MgAmenClave,0)),"")</f>
        <v/>
      </c>
      <c r="J47" s="28">
        <f>IFERROR(INDEX(MgAmenGrupo,MATCH(SUBSTITUTE($H47,"*","-"),MgAmenClave,0)),"")</f>
        <v/>
      </c>
      <c r="K47" s="64">
        <f>IFERROR(INDEX('1. Matriz de Activos'!$Q$6:$Q$239,MATCH($C47,MgActId,0)),"")</f>
        <v/>
      </c>
      <c r="L47" s="64">
        <f>IFERROR(INDEX('1. Matriz de Activos'!$R$6:$R$239,MATCH($C47,MgActId,0)),"")</f>
        <v/>
      </c>
      <c r="M47" s="64">
        <f>IFERROR(INDEX('1. Matriz de Activos'!$S$6:$S$239,MATCH($C47,MgActId,0)),"")</f>
        <v/>
      </c>
      <c r="N47" s="28">
        <f>IFERROR(INDEX(MgAmenDegD,MATCH(SUBSTITUTE($H47,"*","-"),MgAmenClave,0)),"No aplica")</f>
        <v/>
      </c>
      <c r="O47" s="28">
        <f>IFERROR(INDEX(MgAmenDegI,MATCH(SUBSTITUTE($H47,"*","-"),MgAmenClave,0)),"No aplica")</f>
        <v/>
      </c>
      <c r="P47" s="28">
        <f>IFERROR(INDEX(MgAmenDegC,MATCH(SUBSTITUTE($H47,"*","-"),MgAmenClave,0)),"No aplica")</f>
        <v/>
      </c>
      <c r="Q47" s="29">
        <f>IFERROR(VLOOKUP(K47,MgValor,2,0)*VLOOKUP(N47,MgDeg,2,0),0)</f>
        <v/>
      </c>
      <c r="R47" s="29">
        <f>IFERROR(VLOOKUP(L47,MgValor,2,0)*VLOOKUP(O47,MgDeg,2,0),0)</f>
        <v/>
      </c>
      <c r="S47" s="29">
        <f>IFERROR(VLOOKUP(M47,MgValor,2,0)*VLOOKUP(P47,MgDeg,2,0),0)</f>
        <v/>
      </c>
      <c r="T47" s="30">
        <f>MAX(Q47:S47)</f>
        <v/>
      </c>
      <c r="U47" s="28">
        <f>IFERROR(LOOKUP(T47,{0;0.5;1.5;3;4.5},{"Despreciable";"Bajo";"Medio";"Alto";"Muy alto"}),"")</f>
        <v/>
      </c>
      <c r="V47" s="13">
        <f>IFERROR(INDEX(MgAmenFrec,MATCH(SUBSTITUTE($H47,"*","-"),MgAmenClave,0)),"")</f>
        <v/>
      </c>
      <c r="W47" s="28">
        <f>IFERROR(LOOKUP(X47,{0;0.01;0.1;1;10;100},{"Muy baja";"Muy baja";"Baja";"Media";"Alta";"Muy alta"}),"")</f>
        <v/>
      </c>
      <c r="X47" s="31">
        <f>IFERROR(VLOOKUP(V47,MgFrec,2,0),0)</f>
        <v/>
      </c>
      <c r="Y47" s="30">
        <f>T47*X47</f>
        <v/>
      </c>
      <c r="Z47" s="28">
        <f>IFERROR(LOOKUP(Y47,{0;0.5;5;25},{"Bajo";"Medio";"Alto";"Crítico"}),"")</f>
        <v/>
      </c>
      <c r="AA47" s="64">
        <f>IF(T47&gt;=3,IF(X47&gt;=1,"Zona 1 — Crítica: impacto alto y ocurre al menos una vez al año","Zona 4 — Catastrófica poco probable: impacto alto pero excepcional"),IF(AND(T47&lt;1.5,X47&lt;1),"Zona 3 — Asumible: impacto bajo y muy poco frecuente","Zona 2 — Atención: riesgo intermedio"))</f>
        <v/>
      </c>
      <c r="AB47" s="64">
        <f>IFERROR(INDEX(MgAmenCtrl,MATCH(SUBSTITUTE($H47,"*","-"),MgAmenClave,0)),"")</f>
        <v/>
      </c>
      <c r="AC47" s="20" t="n"/>
      <c r="AD47" s="31">
        <f>IFERROR($X47*(1-IF($AC47="",$AL47,VLOOKUP($AC47,MgMad,2,0))),"")</f>
        <v/>
      </c>
      <c r="AE47" s="28">
        <f>IFERROR(LOOKUP(AD47,{0;0.01;0.1;1;10;100},{"Muy baja";"Muy baja";"Baja";"Media";"Alta";"Muy alta"}),"")</f>
        <v/>
      </c>
      <c r="AF47" s="30">
        <f>T47*AD47</f>
        <v/>
      </c>
      <c r="AG47" s="28">
        <f>IFERROR(LOOKUP(AF47,{0;0.5;5;25},{"Bajo";"Medio";"Alto";"Crítico"}),"")</f>
        <v/>
      </c>
      <c r="AH47" s="28">
        <f>IF(AG47="","",IF(OR(AG47="Crítico",AG47="Alto"),"Mitigar",IF(AG47="Medio","Mitigar","Aceptar y monitorear")))</f>
        <v/>
      </c>
      <c r="AI47" s="21" t="n"/>
      <c r="AJ47" s="21" t="n"/>
      <c r="AK47" s="20" t="n"/>
      <c r="AL47" s="77">
        <f>IFERROR(INDEX(MgAmenEfic,MATCH(SUBSTITUTE($H47,"*","-"),MgAmenClave,0)),0)</f>
        <v/>
      </c>
    </row>
    <row r="48" hidden="1" ht="120" customHeight="1" s="54">
      <c r="B48" s="59" t="inlineStr">
        <is>
          <t>R-0043</t>
        </is>
      </c>
      <c r="C48" s="59" t="inlineStr">
        <is>
          <t>DO-13</t>
        </is>
      </c>
      <c r="D48" s="64">
        <f>IFERROR(INDEX(MgNombre,MATCH($C48,MgActId,0)),"")</f>
        <v/>
      </c>
      <c r="E48" s="64">
        <f>IFERROR(INDEX(MgProceso,MATCH($C48,MgActId,0)),"")</f>
        <v/>
      </c>
      <c r="F48" s="64">
        <f>IFERROR(INDEX(MgTipo,MATCH($C48,MgActId,0)),"")</f>
        <v/>
      </c>
      <c r="G48" s="64">
        <f>IFERROR(INDEX(MgSubtipo,MATCH($C48,MgActId,0)),"")</f>
        <v/>
      </c>
      <c r="H48" s="59" t="inlineStr">
        <is>
          <t>A.19</t>
        </is>
      </c>
      <c r="I48" s="64">
        <f>IFERROR(INDEX(MgAmenNombre,MATCH(SUBSTITUTE($H48,"*","-"),MgAmenClave,0)),"")</f>
        <v/>
      </c>
      <c r="J48" s="28">
        <f>IFERROR(INDEX(MgAmenGrupo,MATCH(SUBSTITUTE($H48,"*","-"),MgAmenClave,0)),"")</f>
        <v/>
      </c>
      <c r="K48" s="64">
        <f>IFERROR(INDEX('1. Matriz de Activos'!$Q$6:$Q$239,MATCH($C48,MgActId,0)),"")</f>
        <v/>
      </c>
      <c r="L48" s="64">
        <f>IFERROR(INDEX('1. Matriz de Activos'!$R$6:$R$239,MATCH($C48,MgActId,0)),"")</f>
        <v/>
      </c>
      <c r="M48" s="64">
        <f>IFERROR(INDEX('1. Matriz de Activos'!$S$6:$S$239,MATCH($C48,MgActId,0)),"")</f>
        <v/>
      </c>
      <c r="N48" s="28">
        <f>IFERROR(INDEX(MgAmenDegD,MATCH(SUBSTITUTE($H48,"*","-"),MgAmenClave,0)),"No aplica")</f>
        <v/>
      </c>
      <c r="O48" s="28">
        <f>IFERROR(INDEX(MgAmenDegI,MATCH(SUBSTITUTE($H48,"*","-"),MgAmenClave,0)),"No aplica")</f>
        <v/>
      </c>
      <c r="P48" s="28">
        <f>IFERROR(INDEX(MgAmenDegC,MATCH(SUBSTITUTE($H48,"*","-"),MgAmenClave,0)),"No aplica")</f>
        <v/>
      </c>
      <c r="Q48" s="29">
        <f>IFERROR(VLOOKUP(K48,MgValor,2,0)*VLOOKUP(N48,MgDeg,2,0),0)</f>
        <v/>
      </c>
      <c r="R48" s="29">
        <f>IFERROR(VLOOKUP(L48,MgValor,2,0)*VLOOKUP(O48,MgDeg,2,0),0)</f>
        <v/>
      </c>
      <c r="S48" s="29">
        <f>IFERROR(VLOOKUP(M48,MgValor,2,0)*VLOOKUP(P48,MgDeg,2,0),0)</f>
        <v/>
      </c>
      <c r="T48" s="30">
        <f>MAX(Q48:S48)</f>
        <v/>
      </c>
      <c r="U48" s="28">
        <f>IFERROR(LOOKUP(T48,{0;0.5;1.5;3;4.5},{"Despreciable";"Bajo";"Medio";"Alto";"Muy alto"}),"")</f>
        <v/>
      </c>
      <c r="V48" s="13">
        <f>IFERROR(INDEX(MgAmenFrec,MATCH(SUBSTITUTE($H48,"*","-"),MgAmenClave,0)),"")</f>
        <v/>
      </c>
      <c r="W48" s="28">
        <f>IFERROR(LOOKUP(X48,{0;0.01;0.1;1;10;100},{"Muy baja";"Muy baja";"Baja";"Media";"Alta";"Muy alta"}),"")</f>
        <v/>
      </c>
      <c r="X48" s="31">
        <f>IFERROR(VLOOKUP(V48,MgFrec,2,0),0)</f>
        <v/>
      </c>
      <c r="Y48" s="30">
        <f>T48*X48</f>
        <v/>
      </c>
      <c r="Z48" s="28">
        <f>IFERROR(LOOKUP(Y48,{0;0.5;5;25},{"Bajo";"Medio";"Alto";"Crítico"}),"")</f>
        <v/>
      </c>
      <c r="AA48" s="64">
        <f>IF(T48&gt;=3,IF(X48&gt;=1,"Zona 1 — Crítica: impacto alto y ocurre al menos una vez al año","Zona 4 — Catastrófica poco probable: impacto alto pero excepcional"),IF(AND(T48&lt;1.5,X48&lt;1),"Zona 3 — Asumible: impacto bajo y muy poco frecuente","Zona 2 — Atención: riesgo intermedio"))</f>
        <v/>
      </c>
      <c r="AB48" s="64">
        <f>IFERROR(INDEX(MgAmenCtrl,MATCH(SUBSTITUTE($H48,"*","-"),MgAmenClave,0)),"")</f>
        <v/>
      </c>
      <c r="AC48" s="20" t="n"/>
      <c r="AD48" s="31">
        <f>IFERROR($X48*(1-IF($AC48="",$AL48,VLOOKUP($AC48,MgMad,2,0))),"")</f>
        <v/>
      </c>
      <c r="AE48" s="28">
        <f>IFERROR(LOOKUP(AD48,{0;0.01;0.1;1;10;100},{"Muy baja";"Muy baja";"Baja";"Media";"Alta";"Muy alta"}),"")</f>
        <v/>
      </c>
      <c r="AF48" s="30">
        <f>T48*AD48</f>
        <v/>
      </c>
      <c r="AG48" s="28">
        <f>IFERROR(LOOKUP(AF48,{0;0.5;5;25},{"Bajo";"Medio";"Alto";"Crítico"}),"")</f>
        <v/>
      </c>
      <c r="AH48" s="28">
        <f>IF(AG48="","",IF(OR(AG48="Crítico",AG48="Alto"),"Mitigar",IF(AG48="Medio","Mitigar","Aceptar y monitorear")))</f>
        <v/>
      </c>
      <c r="AI48" s="21" t="n"/>
      <c r="AJ48" s="21" t="n"/>
      <c r="AK48" s="20" t="n"/>
      <c r="AL48" s="77">
        <f>IFERROR(INDEX(MgAmenEfic,MATCH(SUBSTITUTE($H48,"*","-"),MgAmenClave,0)),0)</f>
        <v/>
      </c>
    </row>
    <row r="49" hidden="1" ht="60" customHeight="1" s="54">
      <c r="B49" s="59" t="inlineStr">
        <is>
          <t>R-0044</t>
        </is>
      </c>
      <c r="C49" s="59" t="inlineStr">
        <is>
          <t>DO-13</t>
        </is>
      </c>
      <c r="D49" s="64">
        <f>IFERROR(INDEX(MgNombre,MATCH($C49,MgActId,0)),"")</f>
        <v/>
      </c>
      <c r="E49" s="64">
        <f>IFERROR(INDEX(MgProceso,MATCH($C49,MgActId,0)),"")</f>
        <v/>
      </c>
      <c r="F49" s="64">
        <f>IFERROR(INDEX(MgTipo,MATCH($C49,MgActId,0)),"")</f>
        <v/>
      </c>
      <c r="G49" s="64">
        <f>IFERROR(INDEX(MgSubtipo,MATCH($C49,MgActId,0)),"")</f>
        <v/>
      </c>
      <c r="H49" s="59" t="inlineStr">
        <is>
          <t>A.24</t>
        </is>
      </c>
      <c r="I49" s="64">
        <f>IFERROR(INDEX(MgAmenNombre,MATCH(SUBSTITUTE($H49,"*","-"),MgAmenClave,0)),"")</f>
        <v/>
      </c>
      <c r="J49" s="28">
        <f>IFERROR(INDEX(MgAmenGrupo,MATCH(SUBSTITUTE($H49,"*","-"),MgAmenClave,0)),"")</f>
        <v/>
      </c>
      <c r="K49" s="64">
        <f>IFERROR(INDEX('1. Matriz de Activos'!$Q$6:$Q$239,MATCH($C49,MgActId,0)),"")</f>
        <v/>
      </c>
      <c r="L49" s="64">
        <f>IFERROR(INDEX('1. Matriz de Activos'!$R$6:$R$239,MATCH($C49,MgActId,0)),"")</f>
        <v/>
      </c>
      <c r="M49" s="64">
        <f>IFERROR(INDEX('1. Matriz de Activos'!$S$6:$S$239,MATCH($C49,MgActId,0)),"")</f>
        <v/>
      </c>
      <c r="N49" s="28">
        <f>IFERROR(INDEX(MgAmenDegD,MATCH(SUBSTITUTE($H49,"*","-"),MgAmenClave,0)),"No aplica")</f>
        <v/>
      </c>
      <c r="O49" s="28">
        <f>IFERROR(INDEX(MgAmenDegI,MATCH(SUBSTITUTE($H49,"*","-"),MgAmenClave,0)),"No aplica")</f>
        <v/>
      </c>
      <c r="P49" s="28">
        <f>IFERROR(INDEX(MgAmenDegC,MATCH(SUBSTITUTE($H49,"*","-"),MgAmenClave,0)),"No aplica")</f>
        <v/>
      </c>
      <c r="Q49" s="29">
        <f>IFERROR(VLOOKUP(K49,MgValor,2,0)*VLOOKUP(N49,MgDeg,2,0),0)</f>
        <v/>
      </c>
      <c r="R49" s="29">
        <f>IFERROR(VLOOKUP(L49,MgValor,2,0)*VLOOKUP(O49,MgDeg,2,0),0)</f>
        <v/>
      </c>
      <c r="S49" s="29">
        <f>IFERROR(VLOOKUP(M49,MgValor,2,0)*VLOOKUP(P49,MgDeg,2,0),0)</f>
        <v/>
      </c>
      <c r="T49" s="30">
        <f>MAX(Q49:S49)</f>
        <v/>
      </c>
      <c r="U49" s="28">
        <f>IFERROR(LOOKUP(T49,{0;0.5;1.5;3;4.5},{"Despreciable";"Bajo";"Medio";"Alto";"Muy alto"}),"")</f>
        <v/>
      </c>
      <c r="V49" s="13">
        <f>IFERROR(INDEX(MgAmenFrec,MATCH(SUBSTITUTE($H49,"*","-"),MgAmenClave,0)),"")</f>
        <v/>
      </c>
      <c r="W49" s="28">
        <f>IFERROR(LOOKUP(X49,{0;0.01;0.1;1;10;100},{"Muy baja";"Muy baja";"Baja";"Media";"Alta";"Muy alta"}),"")</f>
        <v/>
      </c>
      <c r="X49" s="31">
        <f>IFERROR(VLOOKUP(V49,MgFrec,2,0),0)</f>
        <v/>
      </c>
      <c r="Y49" s="30">
        <f>T49*X49</f>
        <v/>
      </c>
      <c r="Z49" s="28">
        <f>IFERROR(LOOKUP(Y49,{0;0.5;5;25},{"Bajo";"Medio";"Alto";"Crítico"}),"")</f>
        <v/>
      </c>
      <c r="AA49" s="64">
        <f>IF(T49&gt;=3,IF(X49&gt;=1,"Zona 1 — Crítica: impacto alto y ocurre al menos una vez al año","Zona 4 — Catastrófica poco probable: impacto alto pero excepcional"),IF(AND(T49&lt;1.5,X49&lt;1),"Zona 3 — Asumible: impacto bajo y muy poco frecuente","Zona 2 — Atención: riesgo intermedio"))</f>
        <v/>
      </c>
      <c r="AB49" s="64">
        <f>IFERROR(INDEX(MgAmenCtrl,MATCH(SUBSTITUTE($H49,"*","-"),MgAmenClave,0)),"")</f>
        <v/>
      </c>
      <c r="AC49" s="20" t="n"/>
      <c r="AD49" s="31">
        <f>IFERROR($X49*(1-IF($AC49="",$AL49,VLOOKUP($AC49,MgMad,2,0))),"")</f>
        <v/>
      </c>
      <c r="AE49" s="28">
        <f>IFERROR(LOOKUP(AD49,{0;0.01;0.1;1;10;100},{"Muy baja";"Muy baja";"Baja";"Media";"Alta";"Muy alta"}),"")</f>
        <v/>
      </c>
      <c r="AF49" s="30">
        <f>T49*AD49</f>
        <v/>
      </c>
      <c r="AG49" s="28">
        <f>IFERROR(LOOKUP(AF49,{0;0.5;5;25},{"Bajo";"Medio";"Alto";"Crítico"}),"")</f>
        <v/>
      </c>
      <c r="AH49" s="28">
        <f>IF(AG49="","",IF(OR(AG49="Crítico",AG49="Alto"),"Mitigar",IF(AG49="Medio","Mitigar","Aceptar y monitorear")))</f>
        <v/>
      </c>
      <c r="AI49" s="21" t="n"/>
      <c r="AJ49" s="21" t="n"/>
      <c r="AK49" s="20" t="n"/>
      <c r="AL49" s="77">
        <f>IFERROR(INDEX(MgAmenEfic,MATCH(SUBSTITUTE($H49,"*","-"),MgAmenClave,0)),0)</f>
        <v/>
      </c>
    </row>
    <row r="50" hidden="1" ht="75" customHeight="1" s="54">
      <c r="B50" s="59" t="inlineStr">
        <is>
          <t>R-0045</t>
        </is>
      </c>
      <c r="C50" s="59" t="inlineStr">
        <is>
          <t>DO-15</t>
        </is>
      </c>
      <c r="D50" s="64">
        <f>IFERROR(INDEX(MgNombre,MATCH($C50,MgActId,0)),"")</f>
        <v/>
      </c>
      <c r="E50" s="64">
        <f>IFERROR(INDEX(MgProceso,MATCH($C50,MgActId,0)),"")</f>
        <v/>
      </c>
      <c r="F50" s="64">
        <f>IFERROR(INDEX(MgTipo,MATCH($C50,MgActId,0)),"")</f>
        <v/>
      </c>
      <c r="G50" s="64">
        <f>IFERROR(INDEX(MgSubtipo,MATCH($C50,MgActId,0)),"")</f>
        <v/>
      </c>
      <c r="H50" s="59" t="inlineStr">
        <is>
          <t>I.8</t>
        </is>
      </c>
      <c r="I50" s="64">
        <f>IFERROR(INDEX(MgAmenNombre,MATCH(SUBSTITUTE($H50,"*","-"),MgAmenClave,0)),"")</f>
        <v/>
      </c>
      <c r="J50" s="28">
        <f>IFERROR(INDEX(MgAmenGrupo,MATCH(SUBSTITUTE($H50,"*","-"),MgAmenClave,0)),"")</f>
        <v/>
      </c>
      <c r="K50" s="64">
        <f>IFERROR(INDEX('1. Matriz de Activos'!$Q$6:$Q$239,MATCH($C50,MgActId,0)),"")</f>
        <v/>
      </c>
      <c r="L50" s="64">
        <f>IFERROR(INDEX('1. Matriz de Activos'!$R$6:$R$239,MATCH($C50,MgActId,0)),"")</f>
        <v/>
      </c>
      <c r="M50" s="64">
        <f>IFERROR(INDEX('1. Matriz de Activos'!$S$6:$S$239,MATCH($C50,MgActId,0)),"")</f>
        <v/>
      </c>
      <c r="N50" s="28">
        <f>IFERROR(INDEX(MgAmenDegD,MATCH(SUBSTITUTE($H50,"*","-"),MgAmenClave,0)),"No aplica")</f>
        <v/>
      </c>
      <c r="O50" s="28">
        <f>IFERROR(INDEX(MgAmenDegI,MATCH(SUBSTITUTE($H50,"*","-"),MgAmenClave,0)),"No aplica")</f>
        <v/>
      </c>
      <c r="P50" s="28">
        <f>IFERROR(INDEX(MgAmenDegC,MATCH(SUBSTITUTE($H50,"*","-"),MgAmenClave,0)),"No aplica")</f>
        <v/>
      </c>
      <c r="Q50" s="29">
        <f>IFERROR(VLOOKUP(K50,MgValor,2,0)*VLOOKUP(N50,MgDeg,2,0),0)</f>
        <v/>
      </c>
      <c r="R50" s="29">
        <f>IFERROR(VLOOKUP(L50,MgValor,2,0)*VLOOKUP(O50,MgDeg,2,0),0)</f>
        <v/>
      </c>
      <c r="S50" s="29">
        <f>IFERROR(VLOOKUP(M50,MgValor,2,0)*VLOOKUP(P50,MgDeg,2,0),0)</f>
        <v/>
      </c>
      <c r="T50" s="30">
        <f>MAX(Q50:S50)</f>
        <v/>
      </c>
      <c r="U50" s="28">
        <f>IFERROR(LOOKUP(T50,{0;0.5;1.5;3;4.5},{"Despreciable";"Bajo";"Medio";"Alto";"Muy alto"}),"")</f>
        <v/>
      </c>
      <c r="V50" s="13">
        <f>IFERROR(INDEX(MgAmenFrec,MATCH(SUBSTITUTE($H50,"*","-"),MgAmenClave,0)),"")</f>
        <v/>
      </c>
      <c r="W50" s="28">
        <f>IFERROR(LOOKUP(X50,{0;0.01;0.1;1;10;100},{"Muy baja";"Muy baja";"Baja";"Media";"Alta";"Muy alta"}),"")</f>
        <v/>
      </c>
      <c r="X50" s="31">
        <f>IFERROR(VLOOKUP(V50,MgFrec,2,0),0)</f>
        <v/>
      </c>
      <c r="Y50" s="30">
        <f>T50*X50</f>
        <v/>
      </c>
      <c r="Z50" s="28">
        <f>IFERROR(LOOKUP(Y50,{0;0.5;5;25},{"Bajo";"Medio";"Alto";"Crítico"}),"")</f>
        <v/>
      </c>
      <c r="AA50" s="64">
        <f>IF(T50&gt;=3,IF(X50&gt;=1,"Zona 1 — Crítica: impacto alto y ocurre al menos una vez al año","Zona 4 — Catastrófica poco probable: impacto alto pero excepcional"),IF(AND(T50&lt;1.5,X50&lt;1),"Zona 3 — Asumible: impacto bajo y muy poco frecuente","Zona 2 — Atención: riesgo intermedio"))</f>
        <v/>
      </c>
      <c r="AB50" s="64">
        <f>IFERROR(INDEX(MgAmenCtrl,MATCH(SUBSTITUTE($H50,"*","-"),MgAmenClave,0)),"")</f>
        <v/>
      </c>
      <c r="AC50" s="20" t="n"/>
      <c r="AD50" s="31">
        <f>IFERROR($X50*(1-IF($AC50="",$AL50,VLOOKUP($AC50,MgMad,2,0))),"")</f>
        <v/>
      </c>
      <c r="AE50" s="28">
        <f>IFERROR(LOOKUP(AD50,{0;0.01;0.1;1;10;100},{"Muy baja";"Muy baja";"Baja";"Media";"Alta";"Muy alta"}),"")</f>
        <v/>
      </c>
      <c r="AF50" s="30">
        <f>T50*AD50</f>
        <v/>
      </c>
      <c r="AG50" s="28">
        <f>IFERROR(LOOKUP(AF50,{0;0.5;5;25},{"Bajo";"Medio";"Alto";"Crítico"}),"")</f>
        <v/>
      </c>
      <c r="AH50" s="28">
        <f>IF(AG50="","",IF(OR(AG50="Crítico",AG50="Alto"),"Mitigar",IF(AG50="Medio","Mitigar","Aceptar y monitorear")))</f>
        <v/>
      </c>
      <c r="AI50" s="21" t="n"/>
      <c r="AJ50" s="21" t="n"/>
      <c r="AK50" s="20" t="n"/>
      <c r="AL50" s="77">
        <f>IFERROR(INDEX(MgAmenEfic,MATCH(SUBSTITUTE($H50,"*","-"),MgAmenClave,0)),0)</f>
        <v/>
      </c>
    </row>
    <row r="51" hidden="1" ht="45" customHeight="1" s="54">
      <c r="B51" s="59" t="inlineStr">
        <is>
          <t>R-0046</t>
        </is>
      </c>
      <c r="C51" s="59" t="inlineStr">
        <is>
          <t>DO-15</t>
        </is>
      </c>
      <c r="D51" s="64">
        <f>IFERROR(INDEX(MgNombre,MATCH($C51,MgActId,0)),"")</f>
        <v/>
      </c>
      <c r="E51" s="64">
        <f>IFERROR(INDEX(MgProceso,MATCH($C51,MgActId,0)),"")</f>
        <v/>
      </c>
      <c r="F51" s="64">
        <f>IFERROR(INDEX(MgTipo,MATCH($C51,MgActId,0)),"")</f>
        <v/>
      </c>
      <c r="G51" s="64">
        <f>IFERROR(INDEX(MgSubtipo,MATCH($C51,MgActId,0)),"")</f>
        <v/>
      </c>
      <c r="H51" s="59" t="inlineStr">
        <is>
          <t>I.11</t>
        </is>
      </c>
      <c r="I51" s="64">
        <f>IFERROR(INDEX(MgAmenNombre,MATCH(SUBSTITUTE($H51,"*","-"),MgAmenClave,0)),"")</f>
        <v/>
      </c>
      <c r="J51" s="28">
        <f>IFERROR(INDEX(MgAmenGrupo,MATCH(SUBSTITUTE($H51,"*","-"),MgAmenClave,0)),"")</f>
        <v/>
      </c>
      <c r="K51" s="64">
        <f>IFERROR(INDEX('1. Matriz de Activos'!$Q$6:$Q$239,MATCH($C51,MgActId,0)),"")</f>
        <v/>
      </c>
      <c r="L51" s="64">
        <f>IFERROR(INDEX('1. Matriz de Activos'!$R$6:$R$239,MATCH($C51,MgActId,0)),"")</f>
        <v/>
      </c>
      <c r="M51" s="64">
        <f>IFERROR(INDEX('1. Matriz de Activos'!$S$6:$S$239,MATCH($C51,MgActId,0)),"")</f>
        <v/>
      </c>
      <c r="N51" s="28">
        <f>IFERROR(INDEX(MgAmenDegD,MATCH(SUBSTITUTE($H51,"*","-"),MgAmenClave,0)),"No aplica")</f>
        <v/>
      </c>
      <c r="O51" s="28">
        <f>IFERROR(INDEX(MgAmenDegI,MATCH(SUBSTITUTE($H51,"*","-"),MgAmenClave,0)),"No aplica")</f>
        <v/>
      </c>
      <c r="P51" s="28">
        <f>IFERROR(INDEX(MgAmenDegC,MATCH(SUBSTITUTE($H51,"*","-"),MgAmenClave,0)),"No aplica")</f>
        <v/>
      </c>
      <c r="Q51" s="29">
        <f>IFERROR(VLOOKUP(K51,MgValor,2,0)*VLOOKUP(N51,MgDeg,2,0),0)</f>
        <v/>
      </c>
      <c r="R51" s="29">
        <f>IFERROR(VLOOKUP(L51,MgValor,2,0)*VLOOKUP(O51,MgDeg,2,0),0)</f>
        <v/>
      </c>
      <c r="S51" s="29">
        <f>IFERROR(VLOOKUP(M51,MgValor,2,0)*VLOOKUP(P51,MgDeg,2,0),0)</f>
        <v/>
      </c>
      <c r="T51" s="30">
        <f>MAX(Q51:S51)</f>
        <v/>
      </c>
      <c r="U51" s="28">
        <f>IFERROR(LOOKUP(T51,{0;0.5;1.5;3;4.5},{"Despreciable";"Bajo";"Medio";"Alto";"Muy alto"}),"")</f>
        <v/>
      </c>
      <c r="V51" s="13">
        <f>IFERROR(INDEX(MgAmenFrec,MATCH(SUBSTITUTE($H51,"*","-"),MgAmenClave,0)),"")</f>
        <v/>
      </c>
      <c r="W51" s="28">
        <f>IFERROR(LOOKUP(X51,{0;0.01;0.1;1;10;100},{"Muy baja";"Muy baja";"Baja";"Media";"Alta";"Muy alta"}),"")</f>
        <v/>
      </c>
      <c r="X51" s="31">
        <f>IFERROR(VLOOKUP(V51,MgFrec,2,0),0)</f>
        <v/>
      </c>
      <c r="Y51" s="30">
        <f>T51*X51</f>
        <v/>
      </c>
      <c r="Z51" s="28">
        <f>IFERROR(LOOKUP(Y51,{0;0.5;5;25},{"Bajo";"Medio";"Alto";"Crítico"}),"")</f>
        <v/>
      </c>
      <c r="AA51" s="64">
        <f>IF(T51&gt;=3,IF(X51&gt;=1,"Zona 1 — Crítica: impacto alto y ocurre al menos una vez al año","Zona 4 — Catastrófica poco probable: impacto alto pero excepcional"),IF(AND(T51&lt;1.5,X51&lt;1),"Zona 3 — Asumible: impacto bajo y muy poco frecuente","Zona 2 — Atención: riesgo intermedio"))</f>
        <v/>
      </c>
      <c r="AB51" s="64">
        <f>IFERROR(INDEX(MgAmenCtrl,MATCH(SUBSTITUTE($H51,"*","-"),MgAmenClave,0)),"")</f>
        <v/>
      </c>
      <c r="AC51" s="20" t="n"/>
      <c r="AD51" s="31">
        <f>IFERROR($X51*(1-IF($AC51="",$AL51,VLOOKUP($AC51,MgMad,2,0))),"")</f>
        <v/>
      </c>
      <c r="AE51" s="28">
        <f>IFERROR(LOOKUP(AD51,{0;0.01;0.1;1;10;100},{"Muy baja";"Muy baja";"Baja";"Media";"Alta";"Muy alta"}),"")</f>
        <v/>
      </c>
      <c r="AF51" s="30">
        <f>T51*AD51</f>
        <v/>
      </c>
      <c r="AG51" s="28">
        <f>IFERROR(LOOKUP(AF51,{0;0.5;5;25},{"Bajo";"Medio";"Alto";"Crítico"}),"")</f>
        <v/>
      </c>
      <c r="AH51" s="28">
        <f>IF(AG51="","",IF(OR(AG51="Crítico",AG51="Alto"),"Mitigar",IF(AG51="Medio","Mitigar","Aceptar y monitorear")))</f>
        <v/>
      </c>
      <c r="AI51" s="21" t="n"/>
      <c r="AJ51" s="21" t="n"/>
      <c r="AK51" s="20" t="n"/>
      <c r="AL51" s="77">
        <f>IFERROR(INDEX(MgAmenEfic,MATCH(SUBSTITUTE($H51,"*","-"),MgAmenClave,0)),0)</f>
        <v/>
      </c>
    </row>
    <row r="52" hidden="1" ht="120" customHeight="1" s="54">
      <c r="B52" s="59" t="inlineStr">
        <is>
          <t>R-0047</t>
        </is>
      </c>
      <c r="C52" s="59" t="inlineStr">
        <is>
          <t>DO-15</t>
        </is>
      </c>
      <c r="D52" s="64">
        <f>IFERROR(INDEX(MgNombre,MATCH($C52,MgActId,0)),"")</f>
        <v/>
      </c>
      <c r="E52" s="64">
        <f>IFERROR(INDEX(MgProceso,MATCH($C52,MgActId,0)),"")</f>
        <v/>
      </c>
      <c r="F52" s="64">
        <f>IFERROR(INDEX(MgTipo,MATCH($C52,MgActId,0)),"")</f>
        <v/>
      </c>
      <c r="G52" s="64">
        <f>IFERROR(INDEX(MgSubtipo,MATCH($C52,MgActId,0)),"")</f>
        <v/>
      </c>
      <c r="H52" s="59" t="inlineStr">
        <is>
          <t>E.2</t>
        </is>
      </c>
      <c r="I52" s="64">
        <f>IFERROR(INDEX(MgAmenNombre,MATCH(SUBSTITUTE($H52,"*","-"),MgAmenClave,0)),"")</f>
        <v/>
      </c>
      <c r="J52" s="28">
        <f>IFERROR(INDEX(MgAmenGrupo,MATCH(SUBSTITUTE($H52,"*","-"),MgAmenClave,0)),"")</f>
        <v/>
      </c>
      <c r="K52" s="64">
        <f>IFERROR(INDEX('1. Matriz de Activos'!$Q$6:$Q$239,MATCH($C52,MgActId,0)),"")</f>
        <v/>
      </c>
      <c r="L52" s="64">
        <f>IFERROR(INDEX('1. Matriz de Activos'!$R$6:$R$239,MATCH($C52,MgActId,0)),"")</f>
        <v/>
      </c>
      <c r="M52" s="64">
        <f>IFERROR(INDEX('1. Matriz de Activos'!$S$6:$S$239,MATCH($C52,MgActId,0)),"")</f>
        <v/>
      </c>
      <c r="N52" s="28">
        <f>IFERROR(INDEX(MgAmenDegD,MATCH(SUBSTITUTE($H52,"*","-"),MgAmenClave,0)),"No aplica")</f>
        <v/>
      </c>
      <c r="O52" s="28">
        <f>IFERROR(INDEX(MgAmenDegI,MATCH(SUBSTITUTE($H52,"*","-"),MgAmenClave,0)),"No aplica")</f>
        <v/>
      </c>
      <c r="P52" s="28">
        <f>IFERROR(INDEX(MgAmenDegC,MATCH(SUBSTITUTE($H52,"*","-"),MgAmenClave,0)),"No aplica")</f>
        <v/>
      </c>
      <c r="Q52" s="29">
        <f>IFERROR(VLOOKUP(K52,MgValor,2,0)*VLOOKUP(N52,MgDeg,2,0),0)</f>
        <v/>
      </c>
      <c r="R52" s="29">
        <f>IFERROR(VLOOKUP(L52,MgValor,2,0)*VLOOKUP(O52,MgDeg,2,0),0)</f>
        <v/>
      </c>
      <c r="S52" s="29">
        <f>IFERROR(VLOOKUP(M52,MgValor,2,0)*VLOOKUP(P52,MgDeg,2,0),0)</f>
        <v/>
      </c>
      <c r="T52" s="30">
        <f>MAX(Q52:S52)</f>
        <v/>
      </c>
      <c r="U52" s="28">
        <f>IFERROR(LOOKUP(T52,{0;0.5;1.5;3;4.5},{"Despreciable";"Bajo";"Medio";"Alto";"Muy alto"}),"")</f>
        <v/>
      </c>
      <c r="V52" s="13">
        <f>IFERROR(INDEX(MgAmenFrec,MATCH(SUBSTITUTE($H52,"*","-"),MgAmenClave,0)),"")</f>
        <v/>
      </c>
      <c r="W52" s="28">
        <f>IFERROR(LOOKUP(X52,{0;0.01;0.1;1;10;100},{"Muy baja";"Muy baja";"Baja";"Media";"Alta";"Muy alta"}),"")</f>
        <v/>
      </c>
      <c r="X52" s="31">
        <f>IFERROR(VLOOKUP(V52,MgFrec,2,0),0)</f>
        <v/>
      </c>
      <c r="Y52" s="30">
        <f>T52*X52</f>
        <v/>
      </c>
      <c r="Z52" s="28">
        <f>IFERROR(LOOKUP(Y52,{0;0.5;5;25},{"Bajo";"Medio";"Alto";"Crítico"}),"")</f>
        <v/>
      </c>
      <c r="AA52" s="64">
        <f>IF(T52&gt;=3,IF(X52&gt;=1,"Zona 1 — Crítica: impacto alto y ocurre al menos una vez al año","Zona 4 — Catastrófica poco probable: impacto alto pero excepcional"),IF(AND(T52&lt;1.5,X52&lt;1),"Zona 3 — Asumible: impacto bajo y muy poco frecuente","Zona 2 — Atención: riesgo intermedio"))</f>
        <v/>
      </c>
      <c r="AB52" s="64">
        <f>IFERROR(INDEX(MgAmenCtrl,MATCH(SUBSTITUTE($H52,"*","-"),MgAmenClave,0)),"")</f>
        <v/>
      </c>
      <c r="AC52" s="20" t="n"/>
      <c r="AD52" s="31">
        <f>IFERROR($X52*(1-IF($AC52="",$AL52,VLOOKUP($AC52,MgMad,2,0))),"")</f>
        <v/>
      </c>
      <c r="AE52" s="28">
        <f>IFERROR(LOOKUP(AD52,{0;0.01;0.1;1;10;100},{"Muy baja";"Muy baja";"Baja";"Media";"Alta";"Muy alta"}),"")</f>
        <v/>
      </c>
      <c r="AF52" s="30">
        <f>T52*AD52</f>
        <v/>
      </c>
      <c r="AG52" s="28">
        <f>IFERROR(LOOKUP(AF52,{0;0.5;5;25},{"Bajo";"Medio";"Alto";"Crítico"}),"")</f>
        <v/>
      </c>
      <c r="AH52" s="28">
        <f>IF(AG52="","",IF(OR(AG52="Crítico",AG52="Alto"),"Mitigar",IF(AG52="Medio","Mitigar","Aceptar y monitorear")))</f>
        <v/>
      </c>
      <c r="AI52" s="21" t="n"/>
      <c r="AJ52" s="21" t="n"/>
      <c r="AK52" s="20" t="n"/>
      <c r="AL52" s="77">
        <f>IFERROR(INDEX(MgAmenEfic,MATCH(SUBSTITUTE($H52,"*","-"),MgAmenClave,0)),0)</f>
        <v/>
      </c>
    </row>
    <row r="53" hidden="1" ht="60" customHeight="1" s="54">
      <c r="B53" s="59" t="inlineStr">
        <is>
          <t>R-0048</t>
        </is>
      </c>
      <c r="C53" s="59" t="inlineStr">
        <is>
          <t>DO-15</t>
        </is>
      </c>
      <c r="D53" s="64">
        <f>IFERROR(INDEX(MgNombre,MATCH($C53,MgActId,0)),"")</f>
        <v/>
      </c>
      <c r="E53" s="64">
        <f>IFERROR(INDEX(MgProceso,MATCH($C53,MgActId,0)),"")</f>
        <v/>
      </c>
      <c r="F53" s="64">
        <f>IFERROR(INDEX(MgTipo,MATCH($C53,MgActId,0)),"")</f>
        <v/>
      </c>
      <c r="G53" s="64">
        <f>IFERROR(INDEX(MgSubtipo,MATCH($C53,MgActId,0)),"")</f>
        <v/>
      </c>
      <c r="H53" s="59" t="inlineStr">
        <is>
          <t>E.9</t>
        </is>
      </c>
      <c r="I53" s="64">
        <f>IFERROR(INDEX(MgAmenNombre,MATCH(SUBSTITUTE($H53,"*","-"),MgAmenClave,0)),"")</f>
        <v/>
      </c>
      <c r="J53" s="28">
        <f>IFERROR(INDEX(MgAmenGrupo,MATCH(SUBSTITUTE($H53,"*","-"),MgAmenClave,0)),"")</f>
        <v/>
      </c>
      <c r="K53" s="64">
        <f>IFERROR(INDEX('1. Matriz de Activos'!$Q$6:$Q$239,MATCH($C53,MgActId,0)),"")</f>
        <v/>
      </c>
      <c r="L53" s="64">
        <f>IFERROR(INDEX('1. Matriz de Activos'!$R$6:$R$239,MATCH($C53,MgActId,0)),"")</f>
        <v/>
      </c>
      <c r="M53" s="64">
        <f>IFERROR(INDEX('1. Matriz de Activos'!$S$6:$S$239,MATCH($C53,MgActId,0)),"")</f>
        <v/>
      </c>
      <c r="N53" s="28">
        <f>IFERROR(INDEX(MgAmenDegD,MATCH(SUBSTITUTE($H53,"*","-"),MgAmenClave,0)),"No aplica")</f>
        <v/>
      </c>
      <c r="O53" s="28">
        <f>IFERROR(INDEX(MgAmenDegI,MATCH(SUBSTITUTE($H53,"*","-"),MgAmenClave,0)),"No aplica")</f>
        <v/>
      </c>
      <c r="P53" s="28">
        <f>IFERROR(INDEX(MgAmenDegC,MATCH(SUBSTITUTE($H53,"*","-"),MgAmenClave,0)),"No aplica")</f>
        <v/>
      </c>
      <c r="Q53" s="29">
        <f>IFERROR(VLOOKUP(K53,MgValor,2,0)*VLOOKUP(N53,MgDeg,2,0),0)</f>
        <v/>
      </c>
      <c r="R53" s="29">
        <f>IFERROR(VLOOKUP(L53,MgValor,2,0)*VLOOKUP(O53,MgDeg,2,0),0)</f>
        <v/>
      </c>
      <c r="S53" s="29">
        <f>IFERROR(VLOOKUP(M53,MgValor,2,0)*VLOOKUP(P53,MgDeg,2,0),0)</f>
        <v/>
      </c>
      <c r="T53" s="30">
        <f>MAX(Q53:S53)</f>
        <v/>
      </c>
      <c r="U53" s="28">
        <f>IFERROR(LOOKUP(T53,{0;0.5;1.5;3;4.5},{"Despreciable";"Bajo";"Medio";"Alto";"Muy alto"}),"")</f>
        <v/>
      </c>
      <c r="V53" s="13">
        <f>IFERROR(INDEX(MgAmenFrec,MATCH(SUBSTITUTE($H53,"*","-"),MgAmenClave,0)),"")</f>
        <v/>
      </c>
      <c r="W53" s="28">
        <f>IFERROR(LOOKUP(X53,{0;0.01;0.1;1;10;100},{"Muy baja";"Muy baja";"Baja";"Media";"Alta";"Muy alta"}),"")</f>
        <v/>
      </c>
      <c r="X53" s="31">
        <f>IFERROR(VLOOKUP(V53,MgFrec,2,0),0)</f>
        <v/>
      </c>
      <c r="Y53" s="30">
        <f>T53*X53</f>
        <v/>
      </c>
      <c r="Z53" s="28">
        <f>IFERROR(LOOKUP(Y53,{0;0.5;5;25},{"Bajo";"Medio";"Alto";"Crítico"}),"")</f>
        <v/>
      </c>
      <c r="AA53" s="64">
        <f>IF(T53&gt;=3,IF(X53&gt;=1,"Zona 1 — Crítica: impacto alto y ocurre al menos una vez al año","Zona 4 — Catastrófica poco probable: impacto alto pero excepcional"),IF(AND(T53&lt;1.5,X53&lt;1),"Zona 3 — Asumible: impacto bajo y muy poco frecuente","Zona 2 — Atención: riesgo intermedio"))</f>
        <v/>
      </c>
      <c r="AB53" s="64">
        <f>IFERROR(INDEX(MgAmenCtrl,MATCH(SUBSTITUTE($H53,"*","-"),MgAmenClave,0)),"")</f>
        <v/>
      </c>
      <c r="AC53" s="20" t="n"/>
      <c r="AD53" s="31">
        <f>IFERROR($X53*(1-IF($AC53="",$AL53,VLOOKUP($AC53,MgMad,2,0))),"")</f>
        <v/>
      </c>
      <c r="AE53" s="28">
        <f>IFERROR(LOOKUP(AD53,{0;0.01;0.1;1;10;100},{"Muy baja";"Muy baja";"Baja";"Media";"Alta";"Muy alta"}),"")</f>
        <v/>
      </c>
      <c r="AF53" s="30">
        <f>T53*AD53</f>
        <v/>
      </c>
      <c r="AG53" s="28">
        <f>IFERROR(LOOKUP(AF53,{0;0.5;5;25},{"Bajo";"Medio";"Alto";"Crítico"}),"")</f>
        <v/>
      </c>
      <c r="AH53" s="28">
        <f>IF(AG53="","",IF(OR(AG53="Crítico",AG53="Alto"),"Mitigar",IF(AG53="Medio","Mitigar","Aceptar y monitorear")))</f>
        <v/>
      </c>
      <c r="AI53" s="21" t="n"/>
      <c r="AJ53" s="21" t="n"/>
      <c r="AK53" s="20" t="n"/>
      <c r="AL53" s="77">
        <f>IFERROR(INDEX(MgAmenEfic,MATCH(SUBSTITUTE($H53,"*","-"),MgAmenClave,0)),0)</f>
        <v/>
      </c>
    </row>
    <row r="54" hidden="1" ht="90" customHeight="1" s="54">
      <c r="B54" s="59" t="inlineStr">
        <is>
          <t>R-0049</t>
        </is>
      </c>
      <c r="C54" s="59" t="inlineStr">
        <is>
          <t>DO-15</t>
        </is>
      </c>
      <c r="D54" s="64">
        <f>IFERROR(INDEX(MgNombre,MATCH($C54,MgActId,0)),"")</f>
        <v/>
      </c>
      <c r="E54" s="64">
        <f>IFERROR(INDEX(MgProceso,MATCH($C54,MgActId,0)),"")</f>
        <v/>
      </c>
      <c r="F54" s="64">
        <f>IFERROR(INDEX(MgTipo,MATCH($C54,MgActId,0)),"")</f>
        <v/>
      </c>
      <c r="G54" s="64">
        <f>IFERROR(INDEX(MgSubtipo,MATCH($C54,MgActId,0)),"")</f>
        <v/>
      </c>
      <c r="H54" s="59" t="inlineStr">
        <is>
          <t>E.10</t>
        </is>
      </c>
      <c r="I54" s="64">
        <f>IFERROR(INDEX(MgAmenNombre,MATCH(SUBSTITUTE($H54,"*","-"),MgAmenClave,0)),"")</f>
        <v/>
      </c>
      <c r="J54" s="28">
        <f>IFERROR(INDEX(MgAmenGrupo,MATCH(SUBSTITUTE($H54,"*","-"),MgAmenClave,0)),"")</f>
        <v/>
      </c>
      <c r="K54" s="64">
        <f>IFERROR(INDEX('1. Matriz de Activos'!$Q$6:$Q$239,MATCH($C54,MgActId,0)),"")</f>
        <v/>
      </c>
      <c r="L54" s="64">
        <f>IFERROR(INDEX('1. Matriz de Activos'!$R$6:$R$239,MATCH($C54,MgActId,0)),"")</f>
        <v/>
      </c>
      <c r="M54" s="64">
        <f>IFERROR(INDEX('1. Matriz de Activos'!$S$6:$S$239,MATCH($C54,MgActId,0)),"")</f>
        <v/>
      </c>
      <c r="N54" s="28">
        <f>IFERROR(INDEX(MgAmenDegD,MATCH(SUBSTITUTE($H54,"*","-"),MgAmenClave,0)),"No aplica")</f>
        <v/>
      </c>
      <c r="O54" s="28">
        <f>IFERROR(INDEX(MgAmenDegI,MATCH(SUBSTITUTE($H54,"*","-"),MgAmenClave,0)),"No aplica")</f>
        <v/>
      </c>
      <c r="P54" s="28">
        <f>IFERROR(INDEX(MgAmenDegC,MATCH(SUBSTITUTE($H54,"*","-"),MgAmenClave,0)),"No aplica")</f>
        <v/>
      </c>
      <c r="Q54" s="29">
        <f>IFERROR(VLOOKUP(K54,MgValor,2,0)*VLOOKUP(N54,MgDeg,2,0),0)</f>
        <v/>
      </c>
      <c r="R54" s="29">
        <f>IFERROR(VLOOKUP(L54,MgValor,2,0)*VLOOKUP(O54,MgDeg,2,0),0)</f>
        <v/>
      </c>
      <c r="S54" s="29">
        <f>IFERROR(VLOOKUP(M54,MgValor,2,0)*VLOOKUP(P54,MgDeg,2,0),0)</f>
        <v/>
      </c>
      <c r="T54" s="30">
        <f>MAX(Q54:S54)</f>
        <v/>
      </c>
      <c r="U54" s="28">
        <f>IFERROR(LOOKUP(T54,{0;0.5;1.5;3;4.5},{"Despreciable";"Bajo";"Medio";"Alto";"Muy alto"}),"")</f>
        <v/>
      </c>
      <c r="V54" s="13">
        <f>IFERROR(INDEX(MgAmenFrec,MATCH(SUBSTITUTE($H54,"*","-"),MgAmenClave,0)),"")</f>
        <v/>
      </c>
      <c r="W54" s="28">
        <f>IFERROR(LOOKUP(X54,{0;0.01;0.1;1;10;100},{"Muy baja";"Muy baja";"Baja";"Media";"Alta";"Muy alta"}),"")</f>
        <v/>
      </c>
      <c r="X54" s="31">
        <f>IFERROR(VLOOKUP(V54,MgFrec,2,0),0)</f>
        <v/>
      </c>
      <c r="Y54" s="30">
        <f>T54*X54</f>
        <v/>
      </c>
      <c r="Z54" s="28">
        <f>IFERROR(LOOKUP(Y54,{0;0.5;5;25},{"Bajo";"Medio";"Alto";"Crítico"}),"")</f>
        <v/>
      </c>
      <c r="AA54" s="64">
        <f>IF(T54&gt;=3,IF(X54&gt;=1,"Zona 1 — Crítica: impacto alto y ocurre al menos una vez al año","Zona 4 — Catastrófica poco probable: impacto alto pero excepcional"),IF(AND(T54&lt;1.5,X54&lt;1),"Zona 3 — Asumible: impacto bajo y muy poco frecuente","Zona 2 — Atención: riesgo intermedio"))</f>
        <v/>
      </c>
      <c r="AB54" s="64">
        <f>IFERROR(INDEX(MgAmenCtrl,MATCH(SUBSTITUTE($H54,"*","-"),MgAmenClave,0)),"")</f>
        <v/>
      </c>
      <c r="AC54" s="20" t="n"/>
      <c r="AD54" s="31">
        <f>IFERROR($X54*(1-IF($AC54="",$AL54,VLOOKUP($AC54,MgMad,2,0))),"")</f>
        <v/>
      </c>
      <c r="AE54" s="28">
        <f>IFERROR(LOOKUP(AD54,{0;0.01;0.1;1;10;100},{"Muy baja";"Muy baja";"Baja";"Media";"Alta";"Muy alta"}),"")</f>
        <v/>
      </c>
      <c r="AF54" s="30">
        <f>T54*AD54</f>
        <v/>
      </c>
      <c r="AG54" s="28">
        <f>IFERROR(LOOKUP(AF54,{0;0.5;5;25},{"Bajo";"Medio";"Alto";"Crítico"}),"")</f>
        <v/>
      </c>
      <c r="AH54" s="28">
        <f>IF(AG54="","",IF(OR(AG54="Crítico",AG54="Alto"),"Mitigar",IF(AG54="Medio","Mitigar","Aceptar y monitorear")))</f>
        <v/>
      </c>
      <c r="AI54" s="21" t="n"/>
      <c r="AJ54" s="21" t="n"/>
      <c r="AK54" s="20" t="n"/>
      <c r="AL54" s="77">
        <f>IFERROR(INDEX(MgAmenEfic,MATCH(SUBSTITUTE($H54,"*","-"),MgAmenClave,0)),0)</f>
        <v/>
      </c>
    </row>
    <row r="55" hidden="1" ht="90" customHeight="1" s="54">
      <c r="B55" s="59" t="inlineStr">
        <is>
          <t>R-0050</t>
        </is>
      </c>
      <c r="C55" s="59" t="inlineStr">
        <is>
          <t>DO-15</t>
        </is>
      </c>
      <c r="D55" s="64">
        <f>IFERROR(INDEX(MgNombre,MATCH($C55,MgActId,0)),"")</f>
        <v/>
      </c>
      <c r="E55" s="64">
        <f>IFERROR(INDEX(MgProceso,MATCH($C55,MgActId,0)),"")</f>
        <v/>
      </c>
      <c r="F55" s="64">
        <f>IFERROR(INDEX(MgTipo,MATCH($C55,MgActId,0)),"")</f>
        <v/>
      </c>
      <c r="G55" s="64">
        <f>IFERROR(INDEX(MgSubtipo,MATCH($C55,MgActId,0)),"")</f>
        <v/>
      </c>
      <c r="H55" s="59" t="inlineStr">
        <is>
          <t>E.14</t>
        </is>
      </c>
      <c r="I55" s="64">
        <f>IFERROR(INDEX(MgAmenNombre,MATCH(SUBSTITUTE($H55,"*","-"),MgAmenClave,0)),"")</f>
        <v/>
      </c>
      <c r="J55" s="28">
        <f>IFERROR(INDEX(MgAmenGrupo,MATCH(SUBSTITUTE($H55,"*","-"),MgAmenClave,0)),"")</f>
        <v/>
      </c>
      <c r="K55" s="64">
        <f>IFERROR(INDEX('1. Matriz de Activos'!$Q$6:$Q$239,MATCH($C55,MgActId,0)),"")</f>
        <v/>
      </c>
      <c r="L55" s="64">
        <f>IFERROR(INDEX('1. Matriz de Activos'!$R$6:$R$239,MATCH($C55,MgActId,0)),"")</f>
        <v/>
      </c>
      <c r="M55" s="64">
        <f>IFERROR(INDEX('1. Matriz de Activos'!$S$6:$S$239,MATCH($C55,MgActId,0)),"")</f>
        <v/>
      </c>
      <c r="N55" s="28">
        <f>IFERROR(INDEX(MgAmenDegD,MATCH(SUBSTITUTE($H55,"*","-"),MgAmenClave,0)),"No aplica")</f>
        <v/>
      </c>
      <c r="O55" s="28">
        <f>IFERROR(INDEX(MgAmenDegI,MATCH(SUBSTITUTE($H55,"*","-"),MgAmenClave,0)),"No aplica")</f>
        <v/>
      </c>
      <c r="P55" s="28">
        <f>IFERROR(INDEX(MgAmenDegC,MATCH(SUBSTITUTE($H55,"*","-"),MgAmenClave,0)),"No aplica")</f>
        <v/>
      </c>
      <c r="Q55" s="29">
        <f>IFERROR(VLOOKUP(K55,MgValor,2,0)*VLOOKUP(N55,MgDeg,2,0),0)</f>
        <v/>
      </c>
      <c r="R55" s="29">
        <f>IFERROR(VLOOKUP(L55,MgValor,2,0)*VLOOKUP(O55,MgDeg,2,0),0)</f>
        <v/>
      </c>
      <c r="S55" s="29">
        <f>IFERROR(VLOOKUP(M55,MgValor,2,0)*VLOOKUP(P55,MgDeg,2,0),0)</f>
        <v/>
      </c>
      <c r="T55" s="30">
        <f>MAX(Q55:S55)</f>
        <v/>
      </c>
      <c r="U55" s="28">
        <f>IFERROR(LOOKUP(T55,{0;0.5;1.5;3;4.5},{"Despreciable";"Bajo";"Medio";"Alto";"Muy alto"}),"")</f>
        <v/>
      </c>
      <c r="V55" s="13">
        <f>IFERROR(INDEX(MgAmenFrec,MATCH(SUBSTITUTE($H55,"*","-"),MgAmenClave,0)),"")</f>
        <v/>
      </c>
      <c r="W55" s="28">
        <f>IFERROR(LOOKUP(X55,{0;0.01;0.1;1;10;100},{"Muy baja";"Muy baja";"Baja";"Media";"Alta";"Muy alta"}),"")</f>
        <v/>
      </c>
      <c r="X55" s="31">
        <f>IFERROR(VLOOKUP(V55,MgFrec,2,0),0)</f>
        <v/>
      </c>
      <c r="Y55" s="30">
        <f>T55*X55</f>
        <v/>
      </c>
      <c r="Z55" s="28">
        <f>IFERROR(LOOKUP(Y55,{0;0.5;5;25},{"Bajo";"Medio";"Alto";"Crítico"}),"")</f>
        <v/>
      </c>
      <c r="AA55" s="64">
        <f>IF(T55&gt;=3,IF(X55&gt;=1,"Zona 1 — Crítica: impacto alto y ocurre al menos una vez al año","Zona 4 — Catastrófica poco probable: impacto alto pero excepcional"),IF(AND(T55&lt;1.5,X55&lt;1),"Zona 3 — Asumible: impacto bajo y muy poco frecuente","Zona 2 — Atención: riesgo intermedio"))</f>
        <v/>
      </c>
      <c r="AB55" s="64">
        <f>IFERROR(INDEX(MgAmenCtrl,MATCH(SUBSTITUTE($H55,"*","-"),MgAmenClave,0)),"")</f>
        <v/>
      </c>
      <c r="AC55" s="20" t="n"/>
      <c r="AD55" s="31">
        <f>IFERROR($X55*(1-IF($AC55="",$AL55,VLOOKUP($AC55,MgMad,2,0))),"")</f>
        <v/>
      </c>
      <c r="AE55" s="28">
        <f>IFERROR(LOOKUP(AD55,{0;0.01;0.1;1;10;100},{"Muy baja";"Muy baja";"Baja";"Media";"Alta";"Muy alta"}),"")</f>
        <v/>
      </c>
      <c r="AF55" s="30">
        <f>T55*AD55</f>
        <v/>
      </c>
      <c r="AG55" s="28">
        <f>IFERROR(LOOKUP(AF55,{0;0.5;5;25},{"Bajo";"Medio";"Alto";"Crítico"}),"")</f>
        <v/>
      </c>
      <c r="AH55" s="28">
        <f>IF(AG55="","",IF(OR(AG55="Crítico",AG55="Alto"),"Mitigar",IF(AG55="Medio","Mitigar","Aceptar y monitorear")))</f>
        <v/>
      </c>
      <c r="AI55" s="21" t="n"/>
      <c r="AJ55" s="21" t="n"/>
      <c r="AK55" s="20" t="n"/>
      <c r="AL55" s="77">
        <f>IFERROR(INDEX(MgAmenEfic,MATCH(SUBSTITUTE($H55,"*","-"),MgAmenClave,0)),0)</f>
        <v/>
      </c>
    </row>
    <row r="56" hidden="1" ht="90" customHeight="1" s="54">
      <c r="B56" s="59" t="inlineStr">
        <is>
          <t>R-0051</t>
        </is>
      </c>
      <c r="C56" s="59" t="inlineStr">
        <is>
          <t>DO-15</t>
        </is>
      </c>
      <c r="D56" s="64">
        <f>IFERROR(INDEX(MgNombre,MATCH($C56,MgActId,0)),"")</f>
        <v/>
      </c>
      <c r="E56" s="64">
        <f>IFERROR(INDEX(MgProceso,MATCH($C56,MgActId,0)),"")</f>
        <v/>
      </c>
      <c r="F56" s="64">
        <f>IFERROR(INDEX(MgTipo,MATCH($C56,MgActId,0)),"")</f>
        <v/>
      </c>
      <c r="G56" s="64">
        <f>IFERROR(INDEX(MgSubtipo,MATCH($C56,MgActId,0)),"")</f>
        <v/>
      </c>
      <c r="H56" s="59" t="inlineStr">
        <is>
          <t>E.15</t>
        </is>
      </c>
      <c r="I56" s="64">
        <f>IFERROR(INDEX(MgAmenNombre,MATCH(SUBSTITUTE($H56,"*","-"),MgAmenClave,0)),"")</f>
        <v/>
      </c>
      <c r="J56" s="28">
        <f>IFERROR(INDEX(MgAmenGrupo,MATCH(SUBSTITUTE($H56,"*","-"),MgAmenClave,0)),"")</f>
        <v/>
      </c>
      <c r="K56" s="64">
        <f>IFERROR(INDEX('1. Matriz de Activos'!$Q$6:$Q$239,MATCH($C56,MgActId,0)),"")</f>
        <v/>
      </c>
      <c r="L56" s="64">
        <f>IFERROR(INDEX('1. Matriz de Activos'!$R$6:$R$239,MATCH($C56,MgActId,0)),"")</f>
        <v/>
      </c>
      <c r="M56" s="64">
        <f>IFERROR(INDEX('1. Matriz de Activos'!$S$6:$S$239,MATCH($C56,MgActId,0)),"")</f>
        <v/>
      </c>
      <c r="N56" s="28">
        <f>IFERROR(INDEX(MgAmenDegD,MATCH(SUBSTITUTE($H56,"*","-"),MgAmenClave,0)),"No aplica")</f>
        <v/>
      </c>
      <c r="O56" s="28">
        <f>IFERROR(INDEX(MgAmenDegI,MATCH(SUBSTITUTE($H56,"*","-"),MgAmenClave,0)),"No aplica")</f>
        <v/>
      </c>
      <c r="P56" s="28">
        <f>IFERROR(INDEX(MgAmenDegC,MATCH(SUBSTITUTE($H56,"*","-"),MgAmenClave,0)),"No aplica")</f>
        <v/>
      </c>
      <c r="Q56" s="29">
        <f>IFERROR(VLOOKUP(K56,MgValor,2,0)*VLOOKUP(N56,MgDeg,2,0),0)</f>
        <v/>
      </c>
      <c r="R56" s="29">
        <f>IFERROR(VLOOKUP(L56,MgValor,2,0)*VLOOKUP(O56,MgDeg,2,0),0)</f>
        <v/>
      </c>
      <c r="S56" s="29">
        <f>IFERROR(VLOOKUP(M56,MgValor,2,0)*VLOOKUP(P56,MgDeg,2,0),0)</f>
        <v/>
      </c>
      <c r="T56" s="30">
        <f>MAX(Q56:S56)</f>
        <v/>
      </c>
      <c r="U56" s="28">
        <f>IFERROR(LOOKUP(T56,{0;0.5;1.5;3;4.5},{"Despreciable";"Bajo";"Medio";"Alto";"Muy alto"}),"")</f>
        <v/>
      </c>
      <c r="V56" s="13">
        <f>IFERROR(INDEX(MgAmenFrec,MATCH(SUBSTITUTE($H56,"*","-"),MgAmenClave,0)),"")</f>
        <v/>
      </c>
      <c r="W56" s="28">
        <f>IFERROR(LOOKUP(X56,{0;0.01;0.1;1;10;100},{"Muy baja";"Muy baja";"Baja";"Media";"Alta";"Muy alta"}),"")</f>
        <v/>
      </c>
      <c r="X56" s="31">
        <f>IFERROR(VLOOKUP(V56,MgFrec,2,0),0)</f>
        <v/>
      </c>
      <c r="Y56" s="30">
        <f>T56*X56</f>
        <v/>
      </c>
      <c r="Z56" s="28">
        <f>IFERROR(LOOKUP(Y56,{0;0.5;5;25},{"Bajo";"Medio";"Alto";"Crítico"}),"")</f>
        <v/>
      </c>
      <c r="AA56" s="64">
        <f>IF(T56&gt;=3,IF(X56&gt;=1,"Zona 1 — Crítica: impacto alto y ocurre al menos una vez al año","Zona 4 — Catastrófica poco probable: impacto alto pero excepcional"),IF(AND(T56&lt;1.5,X56&lt;1),"Zona 3 — Asumible: impacto bajo y muy poco frecuente","Zona 2 — Atención: riesgo intermedio"))</f>
        <v/>
      </c>
      <c r="AB56" s="64">
        <f>IFERROR(INDEX(MgAmenCtrl,MATCH(SUBSTITUTE($H56,"*","-"),MgAmenClave,0)),"")</f>
        <v/>
      </c>
      <c r="AC56" s="20" t="n"/>
      <c r="AD56" s="31">
        <f>IFERROR($X56*(1-IF($AC56="",$AL56,VLOOKUP($AC56,MgMad,2,0))),"")</f>
        <v/>
      </c>
      <c r="AE56" s="28">
        <f>IFERROR(LOOKUP(AD56,{0;0.01;0.1;1;10;100},{"Muy baja";"Muy baja";"Baja";"Media";"Alta";"Muy alta"}),"")</f>
        <v/>
      </c>
      <c r="AF56" s="30">
        <f>T56*AD56</f>
        <v/>
      </c>
      <c r="AG56" s="28">
        <f>IFERROR(LOOKUP(AF56,{0;0.5;5;25},{"Bajo";"Medio";"Alto";"Crítico"}),"")</f>
        <v/>
      </c>
      <c r="AH56" s="28">
        <f>IF(AG56="","",IF(OR(AG56="Crítico",AG56="Alto"),"Mitigar",IF(AG56="Medio","Mitigar","Aceptar y monitorear")))</f>
        <v/>
      </c>
      <c r="AI56" s="21" t="n"/>
      <c r="AJ56" s="21" t="n"/>
      <c r="AK56" s="20" t="n"/>
      <c r="AL56" s="77">
        <f>IFERROR(INDEX(MgAmenEfic,MATCH(SUBSTITUTE($H56,"*","-"),MgAmenClave,0)),0)</f>
        <v/>
      </c>
    </row>
    <row r="57" hidden="1" ht="60" customHeight="1" s="54">
      <c r="B57" s="59" t="inlineStr">
        <is>
          <t>R-0052</t>
        </is>
      </c>
      <c r="C57" s="59" t="inlineStr">
        <is>
          <t>DO-15</t>
        </is>
      </c>
      <c r="D57" s="64">
        <f>IFERROR(INDEX(MgNombre,MATCH($C57,MgActId,0)),"")</f>
        <v/>
      </c>
      <c r="E57" s="64">
        <f>IFERROR(INDEX(MgProceso,MATCH($C57,MgActId,0)),"")</f>
        <v/>
      </c>
      <c r="F57" s="64">
        <f>IFERROR(INDEX(MgTipo,MATCH($C57,MgActId,0)),"")</f>
        <v/>
      </c>
      <c r="G57" s="64">
        <f>IFERROR(INDEX(MgSubtipo,MATCH($C57,MgActId,0)),"")</f>
        <v/>
      </c>
      <c r="H57" s="59" t="inlineStr">
        <is>
          <t>E.18</t>
        </is>
      </c>
      <c r="I57" s="64">
        <f>IFERROR(INDEX(MgAmenNombre,MATCH(SUBSTITUTE($H57,"*","-"),MgAmenClave,0)),"")</f>
        <v/>
      </c>
      <c r="J57" s="28">
        <f>IFERROR(INDEX(MgAmenGrupo,MATCH(SUBSTITUTE($H57,"*","-"),MgAmenClave,0)),"")</f>
        <v/>
      </c>
      <c r="K57" s="64">
        <f>IFERROR(INDEX('1. Matriz de Activos'!$Q$6:$Q$239,MATCH($C57,MgActId,0)),"")</f>
        <v/>
      </c>
      <c r="L57" s="64">
        <f>IFERROR(INDEX('1. Matriz de Activos'!$R$6:$R$239,MATCH($C57,MgActId,0)),"")</f>
        <v/>
      </c>
      <c r="M57" s="64">
        <f>IFERROR(INDEX('1. Matriz de Activos'!$S$6:$S$239,MATCH($C57,MgActId,0)),"")</f>
        <v/>
      </c>
      <c r="N57" s="28">
        <f>IFERROR(INDEX(MgAmenDegD,MATCH(SUBSTITUTE($H57,"*","-"),MgAmenClave,0)),"No aplica")</f>
        <v/>
      </c>
      <c r="O57" s="28">
        <f>IFERROR(INDEX(MgAmenDegI,MATCH(SUBSTITUTE($H57,"*","-"),MgAmenClave,0)),"No aplica")</f>
        <v/>
      </c>
      <c r="P57" s="28">
        <f>IFERROR(INDEX(MgAmenDegC,MATCH(SUBSTITUTE($H57,"*","-"),MgAmenClave,0)),"No aplica")</f>
        <v/>
      </c>
      <c r="Q57" s="29">
        <f>IFERROR(VLOOKUP(K57,MgValor,2,0)*VLOOKUP(N57,MgDeg,2,0),0)</f>
        <v/>
      </c>
      <c r="R57" s="29">
        <f>IFERROR(VLOOKUP(L57,MgValor,2,0)*VLOOKUP(O57,MgDeg,2,0),0)</f>
        <v/>
      </c>
      <c r="S57" s="29">
        <f>IFERROR(VLOOKUP(M57,MgValor,2,0)*VLOOKUP(P57,MgDeg,2,0),0)</f>
        <v/>
      </c>
      <c r="T57" s="30">
        <f>MAX(Q57:S57)</f>
        <v/>
      </c>
      <c r="U57" s="28">
        <f>IFERROR(LOOKUP(T57,{0;0.5;1.5;3;4.5},{"Despreciable";"Bajo";"Medio";"Alto";"Muy alto"}),"")</f>
        <v/>
      </c>
      <c r="V57" s="13">
        <f>IFERROR(INDEX(MgAmenFrec,MATCH(SUBSTITUTE($H57,"*","-"),MgAmenClave,0)),"")</f>
        <v/>
      </c>
      <c r="W57" s="28">
        <f>IFERROR(LOOKUP(X57,{0;0.01;0.1;1;10;100},{"Muy baja";"Muy baja";"Baja";"Media";"Alta";"Muy alta"}),"")</f>
        <v/>
      </c>
      <c r="X57" s="31">
        <f>IFERROR(VLOOKUP(V57,MgFrec,2,0),0)</f>
        <v/>
      </c>
      <c r="Y57" s="30">
        <f>T57*X57</f>
        <v/>
      </c>
      <c r="Z57" s="28">
        <f>IFERROR(LOOKUP(Y57,{0;0.5;5;25},{"Bajo";"Medio";"Alto";"Crítico"}),"")</f>
        <v/>
      </c>
      <c r="AA57" s="64">
        <f>IF(T57&gt;=3,IF(X57&gt;=1,"Zona 1 — Crítica: impacto alto y ocurre al menos una vez al año","Zona 4 — Catastrófica poco probable: impacto alto pero excepcional"),IF(AND(T57&lt;1.5,X57&lt;1),"Zona 3 — Asumible: impacto bajo y muy poco frecuente","Zona 2 — Atención: riesgo intermedio"))</f>
        <v/>
      </c>
      <c r="AB57" s="64">
        <f>IFERROR(INDEX(MgAmenCtrl,MATCH(SUBSTITUTE($H57,"*","-"),MgAmenClave,0)),"")</f>
        <v/>
      </c>
      <c r="AC57" s="20" t="n"/>
      <c r="AD57" s="31">
        <f>IFERROR($X57*(1-IF($AC57="",$AL57,VLOOKUP($AC57,MgMad,2,0))),"")</f>
        <v/>
      </c>
      <c r="AE57" s="28">
        <f>IFERROR(LOOKUP(AD57,{0;0.01;0.1;1;10;100},{"Muy baja";"Muy baja";"Baja";"Media";"Alta";"Muy alta"}),"")</f>
        <v/>
      </c>
      <c r="AF57" s="30">
        <f>T57*AD57</f>
        <v/>
      </c>
      <c r="AG57" s="28">
        <f>IFERROR(LOOKUP(AF57,{0;0.5;5;25},{"Bajo";"Medio";"Alto";"Crítico"}),"")</f>
        <v/>
      </c>
      <c r="AH57" s="28">
        <f>IF(AG57="","",IF(OR(AG57="Crítico",AG57="Alto"),"Mitigar",IF(AG57="Medio","Mitigar","Aceptar y monitorear")))</f>
        <v/>
      </c>
      <c r="AI57" s="21" t="n"/>
      <c r="AJ57" s="21" t="n"/>
      <c r="AK57" s="20" t="n"/>
      <c r="AL57" s="77">
        <f>IFERROR(INDEX(MgAmenEfic,MATCH(SUBSTITUTE($H57,"*","-"),MgAmenClave,0)),0)</f>
        <v/>
      </c>
    </row>
    <row r="58" hidden="1" ht="105" customHeight="1" s="54">
      <c r="B58" s="59" t="inlineStr">
        <is>
          <t>R-0053</t>
        </is>
      </c>
      <c r="C58" s="59" t="inlineStr">
        <is>
          <t>DO-15</t>
        </is>
      </c>
      <c r="D58" s="64">
        <f>IFERROR(INDEX(MgNombre,MATCH($C58,MgActId,0)),"")</f>
        <v/>
      </c>
      <c r="E58" s="64">
        <f>IFERROR(INDEX(MgProceso,MATCH($C58,MgActId,0)),"")</f>
        <v/>
      </c>
      <c r="F58" s="64">
        <f>IFERROR(INDEX(MgTipo,MATCH($C58,MgActId,0)),"")</f>
        <v/>
      </c>
      <c r="G58" s="64">
        <f>IFERROR(INDEX(MgSubtipo,MATCH($C58,MgActId,0)),"")</f>
        <v/>
      </c>
      <c r="H58" s="59" t="inlineStr">
        <is>
          <t>E.19</t>
        </is>
      </c>
      <c r="I58" s="64">
        <f>IFERROR(INDEX(MgAmenNombre,MATCH(SUBSTITUTE($H58,"*","-"),MgAmenClave,0)),"")</f>
        <v/>
      </c>
      <c r="J58" s="28">
        <f>IFERROR(INDEX(MgAmenGrupo,MATCH(SUBSTITUTE($H58,"*","-"),MgAmenClave,0)),"")</f>
        <v/>
      </c>
      <c r="K58" s="64">
        <f>IFERROR(INDEX('1. Matriz de Activos'!$Q$6:$Q$239,MATCH($C58,MgActId,0)),"")</f>
        <v/>
      </c>
      <c r="L58" s="64">
        <f>IFERROR(INDEX('1. Matriz de Activos'!$R$6:$R$239,MATCH($C58,MgActId,0)),"")</f>
        <v/>
      </c>
      <c r="M58" s="64">
        <f>IFERROR(INDEX('1. Matriz de Activos'!$S$6:$S$239,MATCH($C58,MgActId,0)),"")</f>
        <v/>
      </c>
      <c r="N58" s="28">
        <f>IFERROR(INDEX(MgAmenDegD,MATCH(SUBSTITUTE($H58,"*","-"),MgAmenClave,0)),"No aplica")</f>
        <v/>
      </c>
      <c r="O58" s="28">
        <f>IFERROR(INDEX(MgAmenDegI,MATCH(SUBSTITUTE($H58,"*","-"),MgAmenClave,0)),"No aplica")</f>
        <v/>
      </c>
      <c r="P58" s="28">
        <f>IFERROR(INDEX(MgAmenDegC,MATCH(SUBSTITUTE($H58,"*","-"),MgAmenClave,0)),"No aplica")</f>
        <v/>
      </c>
      <c r="Q58" s="29">
        <f>IFERROR(VLOOKUP(K58,MgValor,2,0)*VLOOKUP(N58,MgDeg,2,0),0)</f>
        <v/>
      </c>
      <c r="R58" s="29">
        <f>IFERROR(VLOOKUP(L58,MgValor,2,0)*VLOOKUP(O58,MgDeg,2,0),0)</f>
        <v/>
      </c>
      <c r="S58" s="29">
        <f>IFERROR(VLOOKUP(M58,MgValor,2,0)*VLOOKUP(P58,MgDeg,2,0),0)</f>
        <v/>
      </c>
      <c r="T58" s="30">
        <f>MAX(Q58:S58)</f>
        <v/>
      </c>
      <c r="U58" s="28">
        <f>IFERROR(LOOKUP(T58,{0;0.5;1.5;3;4.5},{"Despreciable";"Bajo";"Medio";"Alto";"Muy alto"}),"")</f>
        <v/>
      </c>
      <c r="V58" s="13">
        <f>IFERROR(INDEX(MgAmenFrec,MATCH(SUBSTITUTE($H58,"*","-"),MgAmenClave,0)),"")</f>
        <v/>
      </c>
      <c r="W58" s="28">
        <f>IFERROR(LOOKUP(X58,{0;0.01;0.1;1;10;100},{"Muy baja";"Muy baja";"Baja";"Media";"Alta";"Muy alta"}),"")</f>
        <v/>
      </c>
      <c r="X58" s="31">
        <f>IFERROR(VLOOKUP(V58,MgFrec,2,0),0)</f>
        <v/>
      </c>
      <c r="Y58" s="30">
        <f>T58*X58</f>
        <v/>
      </c>
      <c r="Z58" s="28">
        <f>IFERROR(LOOKUP(Y58,{0;0.5;5;25},{"Bajo";"Medio";"Alto";"Crítico"}),"")</f>
        <v/>
      </c>
      <c r="AA58" s="64">
        <f>IF(T58&gt;=3,IF(X58&gt;=1,"Zona 1 — Crítica: impacto alto y ocurre al menos una vez al año","Zona 4 — Catastrófica poco probable: impacto alto pero excepcional"),IF(AND(T58&lt;1.5,X58&lt;1),"Zona 3 — Asumible: impacto bajo y muy poco frecuente","Zona 2 — Atención: riesgo intermedio"))</f>
        <v/>
      </c>
      <c r="AB58" s="64">
        <f>IFERROR(INDEX(MgAmenCtrl,MATCH(SUBSTITUTE($H58,"*","-"),MgAmenClave,0)),"")</f>
        <v/>
      </c>
      <c r="AC58" s="20" t="n"/>
      <c r="AD58" s="31">
        <f>IFERROR($X58*(1-IF($AC58="",$AL58,VLOOKUP($AC58,MgMad,2,0))),"")</f>
        <v/>
      </c>
      <c r="AE58" s="28">
        <f>IFERROR(LOOKUP(AD58,{0;0.01;0.1;1;10;100},{"Muy baja";"Muy baja";"Baja";"Media";"Alta";"Muy alta"}),"")</f>
        <v/>
      </c>
      <c r="AF58" s="30">
        <f>T58*AD58</f>
        <v/>
      </c>
      <c r="AG58" s="28">
        <f>IFERROR(LOOKUP(AF58,{0;0.5;5;25},{"Bajo";"Medio";"Alto";"Crítico"}),"")</f>
        <v/>
      </c>
      <c r="AH58" s="28">
        <f>IF(AG58="","",IF(OR(AG58="Crítico",AG58="Alto"),"Mitigar",IF(AG58="Medio","Mitigar","Aceptar y monitorear")))</f>
        <v/>
      </c>
      <c r="AI58" s="21" t="n"/>
      <c r="AJ58" s="21" t="n"/>
      <c r="AK58" s="20" t="n"/>
      <c r="AL58" s="77">
        <f>IFERROR(INDEX(MgAmenEfic,MATCH(SUBSTITUTE($H58,"*","-"),MgAmenClave,0)),0)</f>
        <v/>
      </c>
    </row>
    <row r="59" hidden="1" ht="45" customHeight="1" s="54">
      <c r="B59" s="59" t="inlineStr">
        <is>
          <t>R-0054</t>
        </is>
      </c>
      <c r="C59" s="59" t="inlineStr">
        <is>
          <t>DO-15</t>
        </is>
      </c>
      <c r="D59" s="64">
        <f>IFERROR(INDEX(MgNombre,MATCH($C59,MgActId,0)),"")</f>
        <v/>
      </c>
      <c r="E59" s="64">
        <f>IFERROR(INDEX(MgProceso,MATCH($C59,MgActId,0)),"")</f>
        <v/>
      </c>
      <c r="F59" s="64">
        <f>IFERROR(INDEX(MgTipo,MATCH($C59,MgActId,0)),"")</f>
        <v/>
      </c>
      <c r="G59" s="64">
        <f>IFERROR(INDEX(MgSubtipo,MATCH($C59,MgActId,0)),"")</f>
        <v/>
      </c>
      <c r="H59" s="59" t="inlineStr">
        <is>
          <t>E.24</t>
        </is>
      </c>
      <c r="I59" s="64">
        <f>IFERROR(INDEX(MgAmenNombre,MATCH(SUBSTITUTE($H59,"*","-"),MgAmenClave,0)),"")</f>
        <v/>
      </c>
      <c r="J59" s="28">
        <f>IFERROR(INDEX(MgAmenGrupo,MATCH(SUBSTITUTE($H59,"*","-"),MgAmenClave,0)),"")</f>
        <v/>
      </c>
      <c r="K59" s="64">
        <f>IFERROR(INDEX('1. Matriz de Activos'!$Q$6:$Q$239,MATCH($C59,MgActId,0)),"")</f>
        <v/>
      </c>
      <c r="L59" s="64">
        <f>IFERROR(INDEX('1. Matriz de Activos'!$R$6:$R$239,MATCH($C59,MgActId,0)),"")</f>
        <v/>
      </c>
      <c r="M59" s="64">
        <f>IFERROR(INDEX('1. Matriz de Activos'!$S$6:$S$239,MATCH($C59,MgActId,0)),"")</f>
        <v/>
      </c>
      <c r="N59" s="28">
        <f>IFERROR(INDEX(MgAmenDegD,MATCH(SUBSTITUTE($H59,"*","-"),MgAmenClave,0)),"No aplica")</f>
        <v/>
      </c>
      <c r="O59" s="28">
        <f>IFERROR(INDEX(MgAmenDegI,MATCH(SUBSTITUTE($H59,"*","-"),MgAmenClave,0)),"No aplica")</f>
        <v/>
      </c>
      <c r="P59" s="28">
        <f>IFERROR(INDEX(MgAmenDegC,MATCH(SUBSTITUTE($H59,"*","-"),MgAmenClave,0)),"No aplica")</f>
        <v/>
      </c>
      <c r="Q59" s="29">
        <f>IFERROR(VLOOKUP(K59,MgValor,2,0)*VLOOKUP(N59,MgDeg,2,0),0)</f>
        <v/>
      </c>
      <c r="R59" s="29">
        <f>IFERROR(VLOOKUP(L59,MgValor,2,0)*VLOOKUP(O59,MgDeg,2,0),0)</f>
        <v/>
      </c>
      <c r="S59" s="29">
        <f>IFERROR(VLOOKUP(M59,MgValor,2,0)*VLOOKUP(P59,MgDeg,2,0),0)</f>
        <v/>
      </c>
      <c r="T59" s="30">
        <f>MAX(Q59:S59)</f>
        <v/>
      </c>
      <c r="U59" s="28">
        <f>IFERROR(LOOKUP(T59,{0;0.5;1.5;3;4.5},{"Despreciable";"Bajo";"Medio";"Alto";"Muy alto"}),"")</f>
        <v/>
      </c>
      <c r="V59" s="13">
        <f>IFERROR(INDEX(MgAmenFrec,MATCH(SUBSTITUTE($H59,"*","-"),MgAmenClave,0)),"")</f>
        <v/>
      </c>
      <c r="W59" s="28">
        <f>IFERROR(LOOKUP(X59,{0;0.01;0.1;1;10;100},{"Muy baja";"Muy baja";"Baja";"Media";"Alta";"Muy alta"}),"")</f>
        <v/>
      </c>
      <c r="X59" s="31">
        <f>IFERROR(VLOOKUP(V59,MgFrec,2,0),0)</f>
        <v/>
      </c>
      <c r="Y59" s="30">
        <f>T59*X59</f>
        <v/>
      </c>
      <c r="Z59" s="28">
        <f>IFERROR(LOOKUP(Y59,{0;0.5;5;25},{"Bajo";"Medio";"Alto";"Crítico"}),"")</f>
        <v/>
      </c>
      <c r="AA59" s="64">
        <f>IF(T59&gt;=3,IF(X59&gt;=1,"Zona 1 — Crítica: impacto alto y ocurre al menos una vez al año","Zona 4 — Catastrófica poco probable: impacto alto pero excepcional"),IF(AND(T59&lt;1.5,X59&lt;1),"Zona 3 — Asumible: impacto bajo y muy poco frecuente","Zona 2 — Atención: riesgo intermedio"))</f>
        <v/>
      </c>
      <c r="AB59" s="64">
        <f>IFERROR(INDEX(MgAmenCtrl,MATCH(SUBSTITUTE($H59,"*","-"),MgAmenClave,0)),"")</f>
        <v/>
      </c>
      <c r="AC59" s="20" t="n"/>
      <c r="AD59" s="31">
        <f>IFERROR($X59*(1-IF($AC59="",$AL59,VLOOKUP($AC59,MgMad,2,0))),"")</f>
        <v/>
      </c>
      <c r="AE59" s="28">
        <f>IFERROR(LOOKUP(AD59,{0;0.01;0.1;1;10;100},{"Muy baja";"Muy baja";"Baja";"Media";"Alta";"Muy alta"}),"")</f>
        <v/>
      </c>
      <c r="AF59" s="30">
        <f>T59*AD59</f>
        <v/>
      </c>
      <c r="AG59" s="28">
        <f>IFERROR(LOOKUP(AF59,{0;0.5;5;25},{"Bajo";"Medio";"Alto";"Crítico"}),"")</f>
        <v/>
      </c>
      <c r="AH59" s="28">
        <f>IF(AG59="","",IF(OR(AG59="Crítico",AG59="Alto"),"Mitigar",IF(AG59="Medio","Mitigar","Aceptar y monitorear")))</f>
        <v/>
      </c>
      <c r="AI59" s="21" t="n"/>
      <c r="AJ59" s="21" t="n"/>
      <c r="AK59" s="20" t="n"/>
      <c r="AL59" s="77">
        <f>IFERROR(INDEX(MgAmenEfic,MATCH(SUBSTITUTE($H59,"*","-"),MgAmenClave,0)),0)</f>
        <v/>
      </c>
    </row>
    <row r="60" hidden="1" ht="75" customHeight="1" s="54">
      <c r="B60" s="59" t="inlineStr">
        <is>
          <t>R-0055</t>
        </is>
      </c>
      <c r="C60" s="59" t="inlineStr">
        <is>
          <t>DO-15</t>
        </is>
      </c>
      <c r="D60" s="64">
        <f>IFERROR(INDEX(MgNombre,MATCH($C60,MgActId,0)),"")</f>
        <v/>
      </c>
      <c r="E60" s="64">
        <f>IFERROR(INDEX(MgProceso,MATCH($C60,MgActId,0)),"")</f>
        <v/>
      </c>
      <c r="F60" s="64">
        <f>IFERROR(INDEX(MgTipo,MATCH($C60,MgActId,0)),"")</f>
        <v/>
      </c>
      <c r="G60" s="64">
        <f>IFERROR(INDEX(MgSubtipo,MATCH($C60,MgActId,0)),"")</f>
        <v/>
      </c>
      <c r="H60" s="59" t="inlineStr">
        <is>
          <t>A.5</t>
        </is>
      </c>
      <c r="I60" s="64">
        <f>IFERROR(INDEX(MgAmenNombre,MATCH(SUBSTITUTE($H60,"*","-"),MgAmenClave,0)),"")</f>
        <v/>
      </c>
      <c r="J60" s="28">
        <f>IFERROR(INDEX(MgAmenGrupo,MATCH(SUBSTITUTE($H60,"*","-"),MgAmenClave,0)),"")</f>
        <v/>
      </c>
      <c r="K60" s="64">
        <f>IFERROR(INDEX('1. Matriz de Activos'!$Q$6:$Q$239,MATCH($C60,MgActId,0)),"")</f>
        <v/>
      </c>
      <c r="L60" s="64">
        <f>IFERROR(INDEX('1. Matriz de Activos'!$R$6:$R$239,MATCH($C60,MgActId,0)),"")</f>
        <v/>
      </c>
      <c r="M60" s="64">
        <f>IFERROR(INDEX('1. Matriz de Activos'!$S$6:$S$239,MATCH($C60,MgActId,0)),"")</f>
        <v/>
      </c>
      <c r="N60" s="28">
        <f>IFERROR(INDEX(MgAmenDegD,MATCH(SUBSTITUTE($H60,"*","-"),MgAmenClave,0)),"No aplica")</f>
        <v/>
      </c>
      <c r="O60" s="28">
        <f>IFERROR(INDEX(MgAmenDegI,MATCH(SUBSTITUTE($H60,"*","-"),MgAmenClave,0)),"No aplica")</f>
        <v/>
      </c>
      <c r="P60" s="28">
        <f>IFERROR(INDEX(MgAmenDegC,MATCH(SUBSTITUTE($H60,"*","-"),MgAmenClave,0)),"No aplica")</f>
        <v/>
      </c>
      <c r="Q60" s="29">
        <f>IFERROR(VLOOKUP(K60,MgValor,2,0)*VLOOKUP(N60,MgDeg,2,0),0)</f>
        <v/>
      </c>
      <c r="R60" s="29">
        <f>IFERROR(VLOOKUP(L60,MgValor,2,0)*VLOOKUP(O60,MgDeg,2,0),0)</f>
        <v/>
      </c>
      <c r="S60" s="29">
        <f>IFERROR(VLOOKUP(M60,MgValor,2,0)*VLOOKUP(P60,MgDeg,2,0),0)</f>
        <v/>
      </c>
      <c r="T60" s="30">
        <f>MAX(Q60:S60)</f>
        <v/>
      </c>
      <c r="U60" s="28">
        <f>IFERROR(LOOKUP(T60,{0;0.5;1.5;3;4.5},{"Despreciable";"Bajo";"Medio";"Alto";"Muy alto"}),"")</f>
        <v/>
      </c>
      <c r="V60" s="13">
        <f>IFERROR(INDEX(MgAmenFrec,MATCH(SUBSTITUTE($H60,"*","-"),MgAmenClave,0)),"")</f>
        <v/>
      </c>
      <c r="W60" s="28">
        <f>IFERROR(LOOKUP(X60,{0;0.01;0.1;1;10;100},{"Muy baja";"Muy baja";"Baja";"Media";"Alta";"Muy alta"}),"")</f>
        <v/>
      </c>
      <c r="X60" s="31">
        <f>IFERROR(VLOOKUP(V60,MgFrec,2,0),0)</f>
        <v/>
      </c>
      <c r="Y60" s="30">
        <f>T60*X60</f>
        <v/>
      </c>
      <c r="Z60" s="28">
        <f>IFERROR(LOOKUP(Y60,{0;0.5;5;25},{"Bajo";"Medio";"Alto";"Crítico"}),"")</f>
        <v/>
      </c>
      <c r="AA60" s="64">
        <f>IF(T60&gt;=3,IF(X60&gt;=1,"Zona 1 — Crítica: impacto alto y ocurre al menos una vez al año","Zona 4 — Catastrófica poco probable: impacto alto pero excepcional"),IF(AND(T60&lt;1.5,X60&lt;1),"Zona 3 — Asumible: impacto bajo y muy poco frecuente","Zona 2 — Atención: riesgo intermedio"))</f>
        <v/>
      </c>
      <c r="AB60" s="64">
        <f>IFERROR(INDEX(MgAmenCtrl,MATCH(SUBSTITUTE($H60,"*","-"),MgAmenClave,0)),"")</f>
        <v/>
      </c>
      <c r="AC60" s="20" t="n"/>
      <c r="AD60" s="31">
        <f>IFERROR($X60*(1-IF($AC60="",$AL60,VLOOKUP($AC60,MgMad,2,0))),"")</f>
        <v/>
      </c>
      <c r="AE60" s="28">
        <f>IFERROR(LOOKUP(AD60,{0;0.01;0.1;1;10;100},{"Muy baja";"Muy baja";"Baja";"Media";"Alta";"Muy alta"}),"")</f>
        <v/>
      </c>
      <c r="AF60" s="30">
        <f>T60*AD60</f>
        <v/>
      </c>
      <c r="AG60" s="28">
        <f>IFERROR(LOOKUP(AF60,{0;0.5;5;25},{"Bajo";"Medio";"Alto";"Crítico"}),"")</f>
        <v/>
      </c>
      <c r="AH60" s="28">
        <f>IF(AG60="","",IF(OR(AG60="Crítico",AG60="Alto"),"Mitigar",IF(AG60="Medio","Mitigar","Aceptar y monitorear")))</f>
        <v/>
      </c>
      <c r="AI60" s="21" t="n"/>
      <c r="AJ60" s="21" t="n"/>
      <c r="AK60" s="20" t="n"/>
      <c r="AL60" s="77">
        <f>IFERROR(INDEX(MgAmenEfic,MATCH(SUBSTITUTE($H60,"*","-"),MgAmenClave,0)),0)</f>
        <v/>
      </c>
    </row>
    <row r="61" hidden="1" ht="105" customHeight="1" s="54">
      <c r="B61" s="59" t="inlineStr">
        <is>
          <t>R-0056</t>
        </is>
      </c>
      <c r="C61" s="59" t="inlineStr">
        <is>
          <t>DO-15</t>
        </is>
      </c>
      <c r="D61" s="64">
        <f>IFERROR(INDEX(MgNombre,MATCH($C61,MgActId,0)),"")</f>
        <v/>
      </c>
      <c r="E61" s="64">
        <f>IFERROR(INDEX(MgProceso,MATCH($C61,MgActId,0)),"")</f>
        <v/>
      </c>
      <c r="F61" s="64">
        <f>IFERROR(INDEX(MgTipo,MATCH($C61,MgActId,0)),"")</f>
        <v/>
      </c>
      <c r="G61" s="64">
        <f>IFERROR(INDEX(MgSubtipo,MATCH($C61,MgActId,0)),"")</f>
        <v/>
      </c>
      <c r="H61" s="59" t="inlineStr">
        <is>
          <t>A.6</t>
        </is>
      </c>
      <c r="I61" s="64">
        <f>IFERROR(INDEX(MgAmenNombre,MATCH(SUBSTITUTE($H61,"*","-"),MgAmenClave,0)),"")</f>
        <v/>
      </c>
      <c r="J61" s="28">
        <f>IFERROR(INDEX(MgAmenGrupo,MATCH(SUBSTITUTE($H61,"*","-"),MgAmenClave,0)),"")</f>
        <v/>
      </c>
      <c r="K61" s="64">
        <f>IFERROR(INDEX('1. Matriz de Activos'!$Q$6:$Q$239,MATCH($C61,MgActId,0)),"")</f>
        <v/>
      </c>
      <c r="L61" s="64">
        <f>IFERROR(INDEX('1. Matriz de Activos'!$R$6:$R$239,MATCH($C61,MgActId,0)),"")</f>
        <v/>
      </c>
      <c r="M61" s="64">
        <f>IFERROR(INDEX('1. Matriz de Activos'!$S$6:$S$239,MATCH($C61,MgActId,0)),"")</f>
        <v/>
      </c>
      <c r="N61" s="28">
        <f>IFERROR(INDEX(MgAmenDegD,MATCH(SUBSTITUTE($H61,"*","-"),MgAmenClave,0)),"No aplica")</f>
        <v/>
      </c>
      <c r="O61" s="28">
        <f>IFERROR(INDEX(MgAmenDegI,MATCH(SUBSTITUTE($H61,"*","-"),MgAmenClave,0)),"No aplica")</f>
        <v/>
      </c>
      <c r="P61" s="28">
        <f>IFERROR(INDEX(MgAmenDegC,MATCH(SUBSTITUTE($H61,"*","-"),MgAmenClave,0)),"No aplica")</f>
        <v/>
      </c>
      <c r="Q61" s="29">
        <f>IFERROR(VLOOKUP(K61,MgValor,2,0)*VLOOKUP(N61,MgDeg,2,0),0)</f>
        <v/>
      </c>
      <c r="R61" s="29">
        <f>IFERROR(VLOOKUP(L61,MgValor,2,0)*VLOOKUP(O61,MgDeg,2,0),0)</f>
        <v/>
      </c>
      <c r="S61" s="29">
        <f>IFERROR(VLOOKUP(M61,MgValor,2,0)*VLOOKUP(P61,MgDeg,2,0),0)</f>
        <v/>
      </c>
      <c r="T61" s="30">
        <f>MAX(Q61:S61)</f>
        <v/>
      </c>
      <c r="U61" s="28">
        <f>IFERROR(LOOKUP(T61,{0;0.5;1.5;3;4.5},{"Despreciable";"Bajo";"Medio";"Alto";"Muy alto"}),"")</f>
        <v/>
      </c>
      <c r="V61" s="13">
        <f>IFERROR(INDEX(MgAmenFrec,MATCH(SUBSTITUTE($H61,"*","-"),MgAmenClave,0)),"")</f>
        <v/>
      </c>
      <c r="W61" s="28">
        <f>IFERROR(LOOKUP(X61,{0;0.01;0.1;1;10;100},{"Muy baja";"Muy baja";"Baja";"Media";"Alta";"Muy alta"}),"")</f>
        <v/>
      </c>
      <c r="X61" s="31">
        <f>IFERROR(VLOOKUP(V61,MgFrec,2,0),0)</f>
        <v/>
      </c>
      <c r="Y61" s="30">
        <f>T61*X61</f>
        <v/>
      </c>
      <c r="Z61" s="28">
        <f>IFERROR(LOOKUP(Y61,{0;0.5;5;25},{"Bajo";"Medio";"Alto";"Crítico"}),"")</f>
        <v/>
      </c>
      <c r="AA61" s="64">
        <f>IF(T61&gt;=3,IF(X61&gt;=1,"Zona 1 — Crítica: impacto alto y ocurre al menos una vez al año","Zona 4 — Catastrófica poco probable: impacto alto pero excepcional"),IF(AND(T61&lt;1.5,X61&lt;1),"Zona 3 — Asumible: impacto bajo y muy poco frecuente","Zona 2 — Atención: riesgo intermedio"))</f>
        <v/>
      </c>
      <c r="AB61" s="64">
        <f>IFERROR(INDEX(MgAmenCtrl,MATCH(SUBSTITUTE($H61,"*","-"),MgAmenClave,0)),"")</f>
        <v/>
      </c>
      <c r="AC61" s="20" t="n"/>
      <c r="AD61" s="31">
        <f>IFERROR($X61*(1-IF($AC61="",$AL61,VLOOKUP($AC61,MgMad,2,0))),"")</f>
        <v/>
      </c>
      <c r="AE61" s="28">
        <f>IFERROR(LOOKUP(AD61,{0;0.01;0.1;1;10;100},{"Muy baja";"Muy baja";"Baja";"Media";"Alta";"Muy alta"}),"")</f>
        <v/>
      </c>
      <c r="AF61" s="30">
        <f>T61*AD61</f>
        <v/>
      </c>
      <c r="AG61" s="28">
        <f>IFERROR(LOOKUP(AF61,{0;0.5;5;25},{"Bajo";"Medio";"Alto";"Crítico"}),"")</f>
        <v/>
      </c>
      <c r="AH61" s="28">
        <f>IF(AG61="","",IF(OR(AG61="Crítico",AG61="Alto"),"Mitigar",IF(AG61="Medio","Mitigar","Aceptar y monitorear")))</f>
        <v/>
      </c>
      <c r="AI61" s="21" t="n"/>
      <c r="AJ61" s="21" t="n"/>
      <c r="AK61" s="20" t="n"/>
      <c r="AL61" s="77">
        <f>IFERROR(INDEX(MgAmenEfic,MATCH(SUBSTITUTE($H61,"*","-"),MgAmenClave,0)),0)</f>
        <v/>
      </c>
    </row>
    <row r="62" hidden="1" ht="60" customHeight="1" s="54">
      <c r="B62" s="59" t="inlineStr">
        <is>
          <t>R-0057</t>
        </is>
      </c>
      <c r="C62" s="59" t="inlineStr">
        <is>
          <t>DO-15</t>
        </is>
      </c>
      <c r="D62" s="64">
        <f>IFERROR(INDEX(MgNombre,MATCH($C62,MgActId,0)),"")</f>
        <v/>
      </c>
      <c r="E62" s="64">
        <f>IFERROR(INDEX(MgProceso,MATCH($C62,MgActId,0)),"")</f>
        <v/>
      </c>
      <c r="F62" s="64">
        <f>IFERROR(INDEX(MgTipo,MATCH($C62,MgActId,0)),"")</f>
        <v/>
      </c>
      <c r="G62" s="64">
        <f>IFERROR(INDEX(MgSubtipo,MATCH($C62,MgActId,0)),"")</f>
        <v/>
      </c>
      <c r="H62" s="59" t="inlineStr">
        <is>
          <t>A.7</t>
        </is>
      </c>
      <c r="I62" s="64">
        <f>IFERROR(INDEX(MgAmenNombre,MATCH(SUBSTITUTE($H62,"*","-"),MgAmenClave,0)),"")</f>
        <v/>
      </c>
      <c r="J62" s="28">
        <f>IFERROR(INDEX(MgAmenGrupo,MATCH(SUBSTITUTE($H62,"*","-"),MgAmenClave,0)),"")</f>
        <v/>
      </c>
      <c r="K62" s="64">
        <f>IFERROR(INDEX('1. Matriz de Activos'!$Q$6:$Q$239,MATCH($C62,MgActId,0)),"")</f>
        <v/>
      </c>
      <c r="L62" s="64">
        <f>IFERROR(INDEX('1. Matriz de Activos'!$R$6:$R$239,MATCH($C62,MgActId,0)),"")</f>
        <v/>
      </c>
      <c r="M62" s="64">
        <f>IFERROR(INDEX('1. Matriz de Activos'!$S$6:$S$239,MATCH($C62,MgActId,0)),"")</f>
        <v/>
      </c>
      <c r="N62" s="28">
        <f>IFERROR(INDEX(MgAmenDegD,MATCH(SUBSTITUTE($H62,"*","-"),MgAmenClave,0)),"No aplica")</f>
        <v/>
      </c>
      <c r="O62" s="28">
        <f>IFERROR(INDEX(MgAmenDegI,MATCH(SUBSTITUTE($H62,"*","-"),MgAmenClave,0)),"No aplica")</f>
        <v/>
      </c>
      <c r="P62" s="28">
        <f>IFERROR(INDEX(MgAmenDegC,MATCH(SUBSTITUTE($H62,"*","-"),MgAmenClave,0)),"No aplica")</f>
        <v/>
      </c>
      <c r="Q62" s="29">
        <f>IFERROR(VLOOKUP(K62,MgValor,2,0)*VLOOKUP(N62,MgDeg,2,0),0)</f>
        <v/>
      </c>
      <c r="R62" s="29">
        <f>IFERROR(VLOOKUP(L62,MgValor,2,0)*VLOOKUP(O62,MgDeg,2,0),0)</f>
        <v/>
      </c>
      <c r="S62" s="29">
        <f>IFERROR(VLOOKUP(M62,MgValor,2,0)*VLOOKUP(P62,MgDeg,2,0),0)</f>
        <v/>
      </c>
      <c r="T62" s="30">
        <f>MAX(Q62:S62)</f>
        <v/>
      </c>
      <c r="U62" s="28">
        <f>IFERROR(LOOKUP(T62,{0;0.5;1.5;3;4.5},{"Despreciable";"Bajo";"Medio";"Alto";"Muy alto"}),"")</f>
        <v/>
      </c>
      <c r="V62" s="13">
        <f>IFERROR(INDEX(MgAmenFrec,MATCH(SUBSTITUTE($H62,"*","-"),MgAmenClave,0)),"")</f>
        <v/>
      </c>
      <c r="W62" s="28">
        <f>IFERROR(LOOKUP(X62,{0;0.01;0.1;1;10;100},{"Muy baja";"Muy baja";"Baja";"Media";"Alta";"Muy alta"}),"")</f>
        <v/>
      </c>
      <c r="X62" s="31">
        <f>IFERROR(VLOOKUP(V62,MgFrec,2,0),0)</f>
        <v/>
      </c>
      <c r="Y62" s="30">
        <f>T62*X62</f>
        <v/>
      </c>
      <c r="Z62" s="28">
        <f>IFERROR(LOOKUP(Y62,{0;0.5;5;25},{"Bajo";"Medio";"Alto";"Crítico"}),"")</f>
        <v/>
      </c>
      <c r="AA62" s="64">
        <f>IF(T62&gt;=3,IF(X62&gt;=1,"Zona 1 — Crítica: impacto alto y ocurre al menos una vez al año","Zona 4 — Catastrófica poco probable: impacto alto pero excepcional"),IF(AND(T62&lt;1.5,X62&lt;1),"Zona 3 — Asumible: impacto bajo y muy poco frecuente","Zona 2 — Atención: riesgo intermedio"))</f>
        <v/>
      </c>
      <c r="AB62" s="64">
        <f>IFERROR(INDEX(MgAmenCtrl,MATCH(SUBSTITUTE($H62,"*","-"),MgAmenClave,0)),"")</f>
        <v/>
      </c>
      <c r="AC62" s="20" t="n"/>
      <c r="AD62" s="31">
        <f>IFERROR($X62*(1-IF($AC62="",$AL62,VLOOKUP($AC62,MgMad,2,0))),"")</f>
        <v/>
      </c>
      <c r="AE62" s="28">
        <f>IFERROR(LOOKUP(AD62,{0;0.01;0.1;1;10;100},{"Muy baja";"Muy baja";"Baja";"Media";"Alta";"Muy alta"}),"")</f>
        <v/>
      </c>
      <c r="AF62" s="30">
        <f>T62*AD62</f>
        <v/>
      </c>
      <c r="AG62" s="28">
        <f>IFERROR(LOOKUP(AF62,{0;0.5;5;25},{"Bajo";"Medio";"Alto";"Crítico"}),"")</f>
        <v/>
      </c>
      <c r="AH62" s="28">
        <f>IF(AG62="","",IF(OR(AG62="Crítico",AG62="Alto"),"Mitigar",IF(AG62="Medio","Mitigar","Aceptar y monitorear")))</f>
        <v/>
      </c>
      <c r="AI62" s="21" t="n"/>
      <c r="AJ62" s="21" t="n"/>
      <c r="AK62" s="20" t="n"/>
      <c r="AL62" s="77">
        <f>IFERROR(INDEX(MgAmenEfic,MATCH(SUBSTITUTE($H62,"*","-"),MgAmenClave,0)),0)</f>
        <v/>
      </c>
    </row>
    <row r="63" hidden="1" ht="60" customHeight="1" s="54">
      <c r="B63" s="59" t="inlineStr">
        <is>
          <t>R-0058</t>
        </is>
      </c>
      <c r="C63" s="59" t="inlineStr">
        <is>
          <t>DO-15</t>
        </is>
      </c>
      <c r="D63" s="64">
        <f>IFERROR(INDEX(MgNombre,MATCH($C63,MgActId,0)),"")</f>
        <v/>
      </c>
      <c r="E63" s="64">
        <f>IFERROR(INDEX(MgProceso,MATCH($C63,MgActId,0)),"")</f>
        <v/>
      </c>
      <c r="F63" s="64">
        <f>IFERROR(INDEX(MgTipo,MATCH($C63,MgActId,0)),"")</f>
        <v/>
      </c>
      <c r="G63" s="64">
        <f>IFERROR(INDEX(MgSubtipo,MATCH($C63,MgActId,0)),"")</f>
        <v/>
      </c>
      <c r="H63" s="59" t="inlineStr">
        <is>
          <t>A.9</t>
        </is>
      </c>
      <c r="I63" s="64">
        <f>IFERROR(INDEX(MgAmenNombre,MATCH(SUBSTITUTE($H63,"*","-"),MgAmenClave,0)),"")</f>
        <v/>
      </c>
      <c r="J63" s="28">
        <f>IFERROR(INDEX(MgAmenGrupo,MATCH(SUBSTITUTE($H63,"*","-"),MgAmenClave,0)),"")</f>
        <v/>
      </c>
      <c r="K63" s="64">
        <f>IFERROR(INDEX('1. Matriz de Activos'!$Q$6:$Q$239,MATCH($C63,MgActId,0)),"")</f>
        <v/>
      </c>
      <c r="L63" s="64">
        <f>IFERROR(INDEX('1. Matriz de Activos'!$R$6:$R$239,MATCH($C63,MgActId,0)),"")</f>
        <v/>
      </c>
      <c r="M63" s="64">
        <f>IFERROR(INDEX('1. Matriz de Activos'!$S$6:$S$239,MATCH($C63,MgActId,0)),"")</f>
        <v/>
      </c>
      <c r="N63" s="28">
        <f>IFERROR(INDEX(MgAmenDegD,MATCH(SUBSTITUTE($H63,"*","-"),MgAmenClave,0)),"No aplica")</f>
        <v/>
      </c>
      <c r="O63" s="28">
        <f>IFERROR(INDEX(MgAmenDegI,MATCH(SUBSTITUTE($H63,"*","-"),MgAmenClave,0)),"No aplica")</f>
        <v/>
      </c>
      <c r="P63" s="28">
        <f>IFERROR(INDEX(MgAmenDegC,MATCH(SUBSTITUTE($H63,"*","-"),MgAmenClave,0)),"No aplica")</f>
        <v/>
      </c>
      <c r="Q63" s="29">
        <f>IFERROR(VLOOKUP(K63,MgValor,2,0)*VLOOKUP(N63,MgDeg,2,0),0)</f>
        <v/>
      </c>
      <c r="R63" s="29">
        <f>IFERROR(VLOOKUP(L63,MgValor,2,0)*VLOOKUP(O63,MgDeg,2,0),0)</f>
        <v/>
      </c>
      <c r="S63" s="29">
        <f>IFERROR(VLOOKUP(M63,MgValor,2,0)*VLOOKUP(P63,MgDeg,2,0),0)</f>
        <v/>
      </c>
      <c r="T63" s="30">
        <f>MAX(Q63:S63)</f>
        <v/>
      </c>
      <c r="U63" s="28">
        <f>IFERROR(LOOKUP(T63,{0;0.5;1.5;3;4.5},{"Despreciable";"Bajo";"Medio";"Alto";"Muy alto"}),"")</f>
        <v/>
      </c>
      <c r="V63" s="13">
        <f>IFERROR(INDEX(MgAmenFrec,MATCH(SUBSTITUTE($H63,"*","-"),MgAmenClave,0)),"")</f>
        <v/>
      </c>
      <c r="W63" s="28">
        <f>IFERROR(LOOKUP(X63,{0;0.01;0.1;1;10;100},{"Muy baja";"Muy baja";"Baja";"Media";"Alta";"Muy alta"}),"")</f>
        <v/>
      </c>
      <c r="X63" s="31">
        <f>IFERROR(VLOOKUP(V63,MgFrec,2,0),0)</f>
        <v/>
      </c>
      <c r="Y63" s="30">
        <f>T63*X63</f>
        <v/>
      </c>
      <c r="Z63" s="28">
        <f>IFERROR(LOOKUP(Y63,{0;0.5;5;25},{"Bajo";"Medio";"Alto";"Crítico"}),"")</f>
        <v/>
      </c>
      <c r="AA63" s="64">
        <f>IF(T63&gt;=3,IF(X63&gt;=1,"Zona 1 — Crítica: impacto alto y ocurre al menos una vez al año","Zona 4 — Catastrófica poco probable: impacto alto pero excepcional"),IF(AND(T63&lt;1.5,X63&lt;1),"Zona 3 — Asumible: impacto bajo y muy poco frecuente","Zona 2 — Atención: riesgo intermedio"))</f>
        <v/>
      </c>
      <c r="AB63" s="64">
        <f>IFERROR(INDEX(MgAmenCtrl,MATCH(SUBSTITUTE($H63,"*","-"),MgAmenClave,0)),"")</f>
        <v/>
      </c>
      <c r="AC63" s="20" t="n"/>
      <c r="AD63" s="31">
        <f>IFERROR($X63*(1-IF($AC63="",$AL63,VLOOKUP($AC63,MgMad,2,0))),"")</f>
        <v/>
      </c>
      <c r="AE63" s="28">
        <f>IFERROR(LOOKUP(AD63,{0;0.01;0.1;1;10;100},{"Muy baja";"Muy baja";"Baja";"Media";"Alta";"Muy alta"}),"")</f>
        <v/>
      </c>
      <c r="AF63" s="30">
        <f>T63*AD63</f>
        <v/>
      </c>
      <c r="AG63" s="28">
        <f>IFERROR(LOOKUP(AF63,{0;0.5;5;25},{"Bajo";"Medio";"Alto";"Crítico"}),"")</f>
        <v/>
      </c>
      <c r="AH63" s="28">
        <f>IF(AG63="","",IF(OR(AG63="Crítico",AG63="Alto"),"Mitigar",IF(AG63="Medio","Mitigar","Aceptar y monitorear")))</f>
        <v/>
      </c>
      <c r="AI63" s="21" t="n"/>
      <c r="AJ63" s="21" t="n"/>
      <c r="AK63" s="20" t="n"/>
      <c r="AL63" s="77">
        <f>IFERROR(INDEX(MgAmenEfic,MATCH(SUBSTITUTE($H63,"*","-"),MgAmenClave,0)),0)</f>
        <v/>
      </c>
    </row>
    <row r="64" hidden="1" ht="45" customHeight="1" s="54">
      <c r="B64" s="59" t="inlineStr">
        <is>
          <t>R-0059</t>
        </is>
      </c>
      <c r="C64" s="59" t="inlineStr">
        <is>
          <t>DO-15</t>
        </is>
      </c>
      <c r="D64" s="64">
        <f>IFERROR(INDEX(MgNombre,MATCH($C64,MgActId,0)),"")</f>
        <v/>
      </c>
      <c r="E64" s="64">
        <f>IFERROR(INDEX(MgProceso,MATCH($C64,MgActId,0)),"")</f>
        <v/>
      </c>
      <c r="F64" s="64">
        <f>IFERROR(INDEX(MgTipo,MATCH($C64,MgActId,0)),"")</f>
        <v/>
      </c>
      <c r="G64" s="64">
        <f>IFERROR(INDEX(MgSubtipo,MATCH($C64,MgActId,0)),"")</f>
        <v/>
      </c>
      <c r="H64" s="59" t="inlineStr">
        <is>
          <t>A.10</t>
        </is>
      </c>
      <c r="I64" s="64">
        <f>IFERROR(INDEX(MgAmenNombre,MATCH(SUBSTITUTE($H64,"*","-"),MgAmenClave,0)),"")</f>
        <v/>
      </c>
      <c r="J64" s="28">
        <f>IFERROR(INDEX(MgAmenGrupo,MATCH(SUBSTITUTE($H64,"*","-"),MgAmenClave,0)),"")</f>
        <v/>
      </c>
      <c r="K64" s="64">
        <f>IFERROR(INDEX('1. Matriz de Activos'!$Q$6:$Q$239,MATCH($C64,MgActId,0)),"")</f>
        <v/>
      </c>
      <c r="L64" s="64">
        <f>IFERROR(INDEX('1. Matriz de Activos'!$R$6:$R$239,MATCH($C64,MgActId,0)),"")</f>
        <v/>
      </c>
      <c r="M64" s="64">
        <f>IFERROR(INDEX('1. Matriz de Activos'!$S$6:$S$239,MATCH($C64,MgActId,0)),"")</f>
        <v/>
      </c>
      <c r="N64" s="28">
        <f>IFERROR(INDEX(MgAmenDegD,MATCH(SUBSTITUTE($H64,"*","-"),MgAmenClave,0)),"No aplica")</f>
        <v/>
      </c>
      <c r="O64" s="28">
        <f>IFERROR(INDEX(MgAmenDegI,MATCH(SUBSTITUTE($H64,"*","-"),MgAmenClave,0)),"No aplica")</f>
        <v/>
      </c>
      <c r="P64" s="28">
        <f>IFERROR(INDEX(MgAmenDegC,MATCH(SUBSTITUTE($H64,"*","-"),MgAmenClave,0)),"No aplica")</f>
        <v/>
      </c>
      <c r="Q64" s="29">
        <f>IFERROR(VLOOKUP(K64,MgValor,2,0)*VLOOKUP(N64,MgDeg,2,0),0)</f>
        <v/>
      </c>
      <c r="R64" s="29">
        <f>IFERROR(VLOOKUP(L64,MgValor,2,0)*VLOOKUP(O64,MgDeg,2,0),0)</f>
        <v/>
      </c>
      <c r="S64" s="29">
        <f>IFERROR(VLOOKUP(M64,MgValor,2,0)*VLOOKUP(P64,MgDeg,2,0),0)</f>
        <v/>
      </c>
      <c r="T64" s="30">
        <f>MAX(Q64:S64)</f>
        <v/>
      </c>
      <c r="U64" s="28">
        <f>IFERROR(LOOKUP(T64,{0;0.5;1.5;3;4.5},{"Despreciable";"Bajo";"Medio";"Alto";"Muy alto"}),"")</f>
        <v/>
      </c>
      <c r="V64" s="13">
        <f>IFERROR(INDEX(MgAmenFrec,MATCH(SUBSTITUTE($H64,"*","-"),MgAmenClave,0)),"")</f>
        <v/>
      </c>
      <c r="W64" s="28">
        <f>IFERROR(LOOKUP(X64,{0;0.01;0.1;1;10;100},{"Muy baja";"Muy baja";"Baja";"Media";"Alta";"Muy alta"}),"")</f>
        <v/>
      </c>
      <c r="X64" s="31">
        <f>IFERROR(VLOOKUP(V64,MgFrec,2,0),0)</f>
        <v/>
      </c>
      <c r="Y64" s="30">
        <f>T64*X64</f>
        <v/>
      </c>
      <c r="Z64" s="28">
        <f>IFERROR(LOOKUP(Y64,{0;0.5;5;25},{"Bajo";"Medio";"Alto";"Crítico"}),"")</f>
        <v/>
      </c>
      <c r="AA64" s="64">
        <f>IF(T64&gt;=3,IF(X64&gt;=1,"Zona 1 — Crítica: impacto alto y ocurre al menos una vez al año","Zona 4 — Catastrófica poco probable: impacto alto pero excepcional"),IF(AND(T64&lt;1.5,X64&lt;1),"Zona 3 — Asumible: impacto bajo y muy poco frecuente","Zona 2 — Atención: riesgo intermedio"))</f>
        <v/>
      </c>
      <c r="AB64" s="64">
        <f>IFERROR(INDEX(MgAmenCtrl,MATCH(SUBSTITUTE($H64,"*","-"),MgAmenClave,0)),"")</f>
        <v/>
      </c>
      <c r="AC64" s="20" t="n"/>
      <c r="AD64" s="31">
        <f>IFERROR($X64*(1-IF($AC64="",$AL64,VLOOKUP($AC64,MgMad,2,0))),"")</f>
        <v/>
      </c>
      <c r="AE64" s="28">
        <f>IFERROR(LOOKUP(AD64,{0;0.01;0.1;1;10;100},{"Muy baja";"Muy baja";"Baja";"Media";"Alta";"Muy alta"}),"")</f>
        <v/>
      </c>
      <c r="AF64" s="30">
        <f>T64*AD64</f>
        <v/>
      </c>
      <c r="AG64" s="28">
        <f>IFERROR(LOOKUP(AF64,{0;0.5;5;25},{"Bajo";"Medio";"Alto";"Crítico"}),"")</f>
        <v/>
      </c>
      <c r="AH64" s="28">
        <f>IF(AG64="","",IF(OR(AG64="Crítico",AG64="Alto"),"Mitigar",IF(AG64="Medio","Mitigar","Aceptar y monitorear")))</f>
        <v/>
      </c>
      <c r="AI64" s="21" t="n"/>
      <c r="AJ64" s="21" t="n"/>
      <c r="AK64" s="20" t="n"/>
      <c r="AL64" s="77">
        <f>IFERROR(INDEX(MgAmenEfic,MATCH(SUBSTITUTE($H64,"*","-"),MgAmenClave,0)),0)</f>
        <v/>
      </c>
    </row>
    <row r="65" hidden="1" ht="120" customHeight="1" s="54">
      <c r="B65" s="59" t="inlineStr">
        <is>
          <t>R-0060</t>
        </is>
      </c>
      <c r="C65" s="59" t="inlineStr">
        <is>
          <t>DO-15</t>
        </is>
      </c>
      <c r="D65" s="64">
        <f>IFERROR(INDEX(MgNombre,MATCH($C65,MgActId,0)),"")</f>
        <v/>
      </c>
      <c r="E65" s="64">
        <f>IFERROR(INDEX(MgProceso,MATCH($C65,MgActId,0)),"")</f>
        <v/>
      </c>
      <c r="F65" s="64">
        <f>IFERROR(INDEX(MgTipo,MATCH($C65,MgActId,0)),"")</f>
        <v/>
      </c>
      <c r="G65" s="64">
        <f>IFERROR(INDEX(MgSubtipo,MATCH($C65,MgActId,0)),"")</f>
        <v/>
      </c>
      <c r="H65" s="59" t="inlineStr">
        <is>
          <t>A.11</t>
        </is>
      </c>
      <c r="I65" s="64">
        <f>IFERROR(INDEX(MgAmenNombre,MATCH(SUBSTITUTE($H65,"*","-"),MgAmenClave,0)),"")</f>
        <v/>
      </c>
      <c r="J65" s="28">
        <f>IFERROR(INDEX(MgAmenGrupo,MATCH(SUBSTITUTE($H65,"*","-"),MgAmenClave,0)),"")</f>
        <v/>
      </c>
      <c r="K65" s="64">
        <f>IFERROR(INDEX('1. Matriz de Activos'!$Q$6:$Q$239,MATCH($C65,MgActId,0)),"")</f>
        <v/>
      </c>
      <c r="L65" s="64">
        <f>IFERROR(INDEX('1. Matriz de Activos'!$R$6:$R$239,MATCH($C65,MgActId,0)),"")</f>
        <v/>
      </c>
      <c r="M65" s="64">
        <f>IFERROR(INDEX('1. Matriz de Activos'!$S$6:$S$239,MATCH($C65,MgActId,0)),"")</f>
        <v/>
      </c>
      <c r="N65" s="28">
        <f>IFERROR(INDEX(MgAmenDegD,MATCH(SUBSTITUTE($H65,"*","-"),MgAmenClave,0)),"No aplica")</f>
        <v/>
      </c>
      <c r="O65" s="28">
        <f>IFERROR(INDEX(MgAmenDegI,MATCH(SUBSTITUTE($H65,"*","-"),MgAmenClave,0)),"No aplica")</f>
        <v/>
      </c>
      <c r="P65" s="28">
        <f>IFERROR(INDEX(MgAmenDegC,MATCH(SUBSTITUTE($H65,"*","-"),MgAmenClave,0)),"No aplica")</f>
        <v/>
      </c>
      <c r="Q65" s="29">
        <f>IFERROR(VLOOKUP(K65,MgValor,2,0)*VLOOKUP(N65,MgDeg,2,0),0)</f>
        <v/>
      </c>
      <c r="R65" s="29">
        <f>IFERROR(VLOOKUP(L65,MgValor,2,0)*VLOOKUP(O65,MgDeg,2,0),0)</f>
        <v/>
      </c>
      <c r="S65" s="29">
        <f>IFERROR(VLOOKUP(M65,MgValor,2,0)*VLOOKUP(P65,MgDeg,2,0),0)</f>
        <v/>
      </c>
      <c r="T65" s="30">
        <f>MAX(Q65:S65)</f>
        <v/>
      </c>
      <c r="U65" s="28">
        <f>IFERROR(LOOKUP(T65,{0;0.5;1.5;3;4.5},{"Despreciable";"Bajo";"Medio";"Alto";"Muy alto"}),"")</f>
        <v/>
      </c>
      <c r="V65" s="13">
        <f>IFERROR(INDEX(MgAmenFrec,MATCH(SUBSTITUTE($H65,"*","-"),MgAmenClave,0)),"")</f>
        <v/>
      </c>
      <c r="W65" s="28">
        <f>IFERROR(LOOKUP(X65,{0;0.01;0.1;1;10;100},{"Muy baja";"Muy baja";"Baja";"Media";"Alta";"Muy alta"}),"")</f>
        <v/>
      </c>
      <c r="X65" s="31">
        <f>IFERROR(VLOOKUP(V65,MgFrec,2,0),0)</f>
        <v/>
      </c>
      <c r="Y65" s="30">
        <f>T65*X65</f>
        <v/>
      </c>
      <c r="Z65" s="28">
        <f>IFERROR(LOOKUP(Y65,{0;0.5;5;25},{"Bajo";"Medio";"Alto";"Crítico"}),"")</f>
        <v/>
      </c>
      <c r="AA65" s="64">
        <f>IF(T65&gt;=3,IF(X65&gt;=1,"Zona 1 — Crítica: impacto alto y ocurre al menos una vez al año","Zona 4 — Catastrófica poco probable: impacto alto pero excepcional"),IF(AND(T65&lt;1.5,X65&lt;1),"Zona 3 — Asumible: impacto bajo y muy poco frecuente","Zona 2 — Atención: riesgo intermedio"))</f>
        <v/>
      </c>
      <c r="AB65" s="64">
        <f>IFERROR(INDEX(MgAmenCtrl,MATCH(SUBSTITUTE($H65,"*","-"),MgAmenClave,0)),"")</f>
        <v/>
      </c>
      <c r="AC65" s="20" t="n"/>
      <c r="AD65" s="31">
        <f>IFERROR($X65*(1-IF($AC65="",$AL65,VLOOKUP($AC65,MgMad,2,0))),"")</f>
        <v/>
      </c>
      <c r="AE65" s="28">
        <f>IFERROR(LOOKUP(AD65,{0;0.01;0.1;1;10;100},{"Muy baja";"Muy baja";"Baja";"Media";"Alta";"Muy alta"}),"")</f>
        <v/>
      </c>
      <c r="AF65" s="30">
        <f>T65*AD65</f>
        <v/>
      </c>
      <c r="AG65" s="28">
        <f>IFERROR(LOOKUP(AF65,{0;0.5;5;25},{"Bajo";"Medio";"Alto";"Crítico"}),"")</f>
        <v/>
      </c>
      <c r="AH65" s="28">
        <f>IF(AG65="","",IF(OR(AG65="Crítico",AG65="Alto"),"Mitigar",IF(AG65="Medio","Mitigar","Aceptar y monitorear")))</f>
        <v/>
      </c>
      <c r="AI65" s="21" t="n"/>
      <c r="AJ65" s="21" t="n"/>
      <c r="AK65" s="20" t="n"/>
      <c r="AL65" s="77">
        <f>IFERROR(INDEX(MgAmenEfic,MATCH(SUBSTITUTE($H65,"*","-"),MgAmenClave,0)),0)</f>
        <v/>
      </c>
    </row>
    <row r="66" hidden="1" ht="45" customHeight="1" s="54">
      <c r="B66" s="59" t="inlineStr">
        <is>
          <t>R-0061</t>
        </is>
      </c>
      <c r="C66" s="59" t="inlineStr">
        <is>
          <t>DO-15</t>
        </is>
      </c>
      <c r="D66" s="64">
        <f>IFERROR(INDEX(MgNombre,MATCH($C66,MgActId,0)),"")</f>
        <v/>
      </c>
      <c r="E66" s="64">
        <f>IFERROR(INDEX(MgProceso,MATCH($C66,MgActId,0)),"")</f>
        <v/>
      </c>
      <c r="F66" s="64">
        <f>IFERROR(INDEX(MgTipo,MATCH($C66,MgActId,0)),"")</f>
        <v/>
      </c>
      <c r="G66" s="64">
        <f>IFERROR(INDEX(MgSubtipo,MATCH($C66,MgActId,0)),"")</f>
        <v/>
      </c>
      <c r="H66" s="59" t="inlineStr">
        <is>
          <t>A.12</t>
        </is>
      </c>
      <c r="I66" s="64">
        <f>IFERROR(INDEX(MgAmenNombre,MATCH(SUBSTITUTE($H66,"*","-"),MgAmenClave,0)),"")</f>
        <v/>
      </c>
      <c r="J66" s="28">
        <f>IFERROR(INDEX(MgAmenGrupo,MATCH(SUBSTITUTE($H66,"*","-"),MgAmenClave,0)),"")</f>
        <v/>
      </c>
      <c r="K66" s="64">
        <f>IFERROR(INDEX('1. Matriz de Activos'!$Q$6:$Q$239,MATCH($C66,MgActId,0)),"")</f>
        <v/>
      </c>
      <c r="L66" s="64">
        <f>IFERROR(INDEX('1. Matriz de Activos'!$R$6:$R$239,MATCH($C66,MgActId,0)),"")</f>
        <v/>
      </c>
      <c r="M66" s="64">
        <f>IFERROR(INDEX('1. Matriz de Activos'!$S$6:$S$239,MATCH($C66,MgActId,0)),"")</f>
        <v/>
      </c>
      <c r="N66" s="28">
        <f>IFERROR(INDEX(MgAmenDegD,MATCH(SUBSTITUTE($H66,"*","-"),MgAmenClave,0)),"No aplica")</f>
        <v/>
      </c>
      <c r="O66" s="28">
        <f>IFERROR(INDEX(MgAmenDegI,MATCH(SUBSTITUTE($H66,"*","-"),MgAmenClave,0)),"No aplica")</f>
        <v/>
      </c>
      <c r="P66" s="28">
        <f>IFERROR(INDEX(MgAmenDegC,MATCH(SUBSTITUTE($H66,"*","-"),MgAmenClave,0)),"No aplica")</f>
        <v/>
      </c>
      <c r="Q66" s="29">
        <f>IFERROR(VLOOKUP(K66,MgValor,2,0)*VLOOKUP(N66,MgDeg,2,0),0)</f>
        <v/>
      </c>
      <c r="R66" s="29">
        <f>IFERROR(VLOOKUP(L66,MgValor,2,0)*VLOOKUP(O66,MgDeg,2,0),0)</f>
        <v/>
      </c>
      <c r="S66" s="29">
        <f>IFERROR(VLOOKUP(M66,MgValor,2,0)*VLOOKUP(P66,MgDeg,2,0),0)</f>
        <v/>
      </c>
      <c r="T66" s="30">
        <f>MAX(Q66:S66)</f>
        <v/>
      </c>
      <c r="U66" s="28">
        <f>IFERROR(LOOKUP(T66,{0;0.5;1.5;3;4.5},{"Despreciable";"Bajo";"Medio";"Alto";"Muy alto"}),"")</f>
        <v/>
      </c>
      <c r="V66" s="13">
        <f>IFERROR(INDEX(MgAmenFrec,MATCH(SUBSTITUTE($H66,"*","-"),MgAmenClave,0)),"")</f>
        <v/>
      </c>
      <c r="W66" s="28">
        <f>IFERROR(LOOKUP(X66,{0;0.01;0.1;1;10;100},{"Muy baja";"Muy baja";"Baja";"Media";"Alta";"Muy alta"}),"")</f>
        <v/>
      </c>
      <c r="X66" s="31">
        <f>IFERROR(VLOOKUP(V66,MgFrec,2,0),0)</f>
        <v/>
      </c>
      <c r="Y66" s="30">
        <f>T66*X66</f>
        <v/>
      </c>
      <c r="Z66" s="28">
        <f>IFERROR(LOOKUP(Y66,{0;0.5;5;25},{"Bajo";"Medio";"Alto";"Crítico"}),"")</f>
        <v/>
      </c>
      <c r="AA66" s="64">
        <f>IF(T66&gt;=3,IF(X66&gt;=1,"Zona 1 — Crítica: impacto alto y ocurre al menos una vez al año","Zona 4 — Catastrófica poco probable: impacto alto pero excepcional"),IF(AND(T66&lt;1.5,X66&lt;1),"Zona 3 — Asumible: impacto bajo y muy poco frecuente","Zona 2 — Atención: riesgo intermedio"))</f>
        <v/>
      </c>
      <c r="AB66" s="64">
        <f>IFERROR(INDEX(MgAmenCtrl,MATCH(SUBSTITUTE($H66,"*","-"),MgAmenClave,0)),"")</f>
        <v/>
      </c>
      <c r="AC66" s="20" t="n"/>
      <c r="AD66" s="31">
        <f>IFERROR($X66*(1-IF($AC66="",$AL66,VLOOKUP($AC66,MgMad,2,0))),"")</f>
        <v/>
      </c>
      <c r="AE66" s="28">
        <f>IFERROR(LOOKUP(AD66,{0;0.01;0.1;1;10;100},{"Muy baja";"Muy baja";"Baja";"Media";"Alta";"Muy alta"}),"")</f>
        <v/>
      </c>
      <c r="AF66" s="30">
        <f>T66*AD66</f>
        <v/>
      </c>
      <c r="AG66" s="28">
        <f>IFERROR(LOOKUP(AF66,{0;0.5;5;25},{"Bajo";"Medio";"Alto";"Crítico"}),"")</f>
        <v/>
      </c>
      <c r="AH66" s="28">
        <f>IF(AG66="","",IF(OR(AG66="Crítico",AG66="Alto"),"Mitigar",IF(AG66="Medio","Mitigar","Aceptar y monitorear")))</f>
        <v/>
      </c>
      <c r="AI66" s="21" t="n"/>
      <c r="AJ66" s="21" t="n"/>
      <c r="AK66" s="20" t="n"/>
      <c r="AL66" s="77">
        <f>IFERROR(INDEX(MgAmenEfic,MATCH(SUBSTITUTE($H66,"*","-"),MgAmenClave,0)),0)</f>
        <v/>
      </c>
    </row>
    <row r="67" hidden="1" ht="60" customHeight="1" s="54">
      <c r="B67" s="59" t="inlineStr">
        <is>
          <t>R-0062</t>
        </is>
      </c>
      <c r="C67" s="59" t="inlineStr">
        <is>
          <t>DO-15</t>
        </is>
      </c>
      <c r="D67" s="64">
        <f>IFERROR(INDEX(MgNombre,MATCH($C67,MgActId,0)),"")</f>
        <v/>
      </c>
      <c r="E67" s="64">
        <f>IFERROR(INDEX(MgProceso,MATCH($C67,MgActId,0)),"")</f>
        <v/>
      </c>
      <c r="F67" s="64">
        <f>IFERROR(INDEX(MgTipo,MATCH($C67,MgActId,0)),"")</f>
        <v/>
      </c>
      <c r="G67" s="64">
        <f>IFERROR(INDEX(MgSubtipo,MATCH($C67,MgActId,0)),"")</f>
        <v/>
      </c>
      <c r="H67" s="59" t="inlineStr">
        <is>
          <t>A.14</t>
        </is>
      </c>
      <c r="I67" s="64">
        <f>IFERROR(INDEX(MgAmenNombre,MATCH(SUBSTITUTE($H67,"*","-"),MgAmenClave,0)),"")</f>
        <v/>
      </c>
      <c r="J67" s="28">
        <f>IFERROR(INDEX(MgAmenGrupo,MATCH(SUBSTITUTE($H67,"*","-"),MgAmenClave,0)),"")</f>
        <v/>
      </c>
      <c r="K67" s="64">
        <f>IFERROR(INDEX('1. Matriz de Activos'!$Q$6:$Q$239,MATCH($C67,MgActId,0)),"")</f>
        <v/>
      </c>
      <c r="L67" s="64">
        <f>IFERROR(INDEX('1. Matriz de Activos'!$R$6:$R$239,MATCH($C67,MgActId,0)),"")</f>
        <v/>
      </c>
      <c r="M67" s="64">
        <f>IFERROR(INDEX('1. Matriz de Activos'!$S$6:$S$239,MATCH($C67,MgActId,0)),"")</f>
        <v/>
      </c>
      <c r="N67" s="28">
        <f>IFERROR(INDEX(MgAmenDegD,MATCH(SUBSTITUTE($H67,"*","-"),MgAmenClave,0)),"No aplica")</f>
        <v/>
      </c>
      <c r="O67" s="28">
        <f>IFERROR(INDEX(MgAmenDegI,MATCH(SUBSTITUTE($H67,"*","-"),MgAmenClave,0)),"No aplica")</f>
        <v/>
      </c>
      <c r="P67" s="28">
        <f>IFERROR(INDEX(MgAmenDegC,MATCH(SUBSTITUTE($H67,"*","-"),MgAmenClave,0)),"No aplica")</f>
        <v/>
      </c>
      <c r="Q67" s="29">
        <f>IFERROR(VLOOKUP(K67,MgValor,2,0)*VLOOKUP(N67,MgDeg,2,0),0)</f>
        <v/>
      </c>
      <c r="R67" s="29">
        <f>IFERROR(VLOOKUP(L67,MgValor,2,0)*VLOOKUP(O67,MgDeg,2,0),0)</f>
        <v/>
      </c>
      <c r="S67" s="29">
        <f>IFERROR(VLOOKUP(M67,MgValor,2,0)*VLOOKUP(P67,MgDeg,2,0),0)</f>
        <v/>
      </c>
      <c r="T67" s="30">
        <f>MAX(Q67:S67)</f>
        <v/>
      </c>
      <c r="U67" s="28">
        <f>IFERROR(LOOKUP(T67,{0;0.5;1.5;3;4.5},{"Despreciable";"Bajo";"Medio";"Alto";"Muy alto"}),"")</f>
        <v/>
      </c>
      <c r="V67" s="13">
        <f>IFERROR(INDEX(MgAmenFrec,MATCH(SUBSTITUTE($H67,"*","-"),MgAmenClave,0)),"")</f>
        <v/>
      </c>
      <c r="W67" s="28">
        <f>IFERROR(LOOKUP(X67,{0;0.01;0.1;1;10;100},{"Muy baja";"Muy baja";"Baja";"Media";"Alta";"Muy alta"}),"")</f>
        <v/>
      </c>
      <c r="X67" s="31">
        <f>IFERROR(VLOOKUP(V67,MgFrec,2,0),0)</f>
        <v/>
      </c>
      <c r="Y67" s="30">
        <f>T67*X67</f>
        <v/>
      </c>
      <c r="Z67" s="28">
        <f>IFERROR(LOOKUP(Y67,{0;0.5;5;25},{"Bajo";"Medio";"Alto";"Crítico"}),"")</f>
        <v/>
      </c>
      <c r="AA67" s="64">
        <f>IF(T67&gt;=3,IF(X67&gt;=1,"Zona 1 — Crítica: impacto alto y ocurre al menos una vez al año","Zona 4 — Catastrófica poco probable: impacto alto pero excepcional"),IF(AND(T67&lt;1.5,X67&lt;1),"Zona 3 — Asumible: impacto bajo y muy poco frecuente","Zona 2 — Atención: riesgo intermedio"))</f>
        <v/>
      </c>
      <c r="AB67" s="64">
        <f>IFERROR(INDEX(MgAmenCtrl,MATCH(SUBSTITUTE($H67,"*","-"),MgAmenClave,0)),"")</f>
        <v/>
      </c>
      <c r="AC67" s="20" t="n"/>
      <c r="AD67" s="31">
        <f>IFERROR($X67*(1-IF($AC67="",$AL67,VLOOKUP($AC67,MgMad,2,0))),"")</f>
        <v/>
      </c>
      <c r="AE67" s="28">
        <f>IFERROR(LOOKUP(AD67,{0;0.01;0.1;1;10;100},{"Muy baja";"Muy baja";"Baja";"Media";"Alta";"Muy alta"}),"")</f>
        <v/>
      </c>
      <c r="AF67" s="30">
        <f>T67*AD67</f>
        <v/>
      </c>
      <c r="AG67" s="28">
        <f>IFERROR(LOOKUP(AF67,{0;0.5;5;25},{"Bajo";"Medio";"Alto";"Crítico"}),"")</f>
        <v/>
      </c>
      <c r="AH67" s="28">
        <f>IF(AG67="","",IF(OR(AG67="Crítico",AG67="Alto"),"Mitigar",IF(AG67="Medio","Mitigar","Aceptar y monitorear")))</f>
        <v/>
      </c>
      <c r="AI67" s="21" t="n"/>
      <c r="AJ67" s="21" t="n"/>
      <c r="AK67" s="20" t="n"/>
      <c r="AL67" s="77">
        <f>IFERROR(INDEX(MgAmenEfic,MATCH(SUBSTITUTE($H67,"*","-"),MgAmenClave,0)),0)</f>
        <v/>
      </c>
    </row>
    <row r="68" hidden="1" ht="60" customHeight="1" s="54">
      <c r="B68" s="59" t="inlineStr">
        <is>
          <t>R-0063</t>
        </is>
      </c>
      <c r="C68" s="59" t="inlineStr">
        <is>
          <t>DO-15</t>
        </is>
      </c>
      <c r="D68" s="64">
        <f>IFERROR(INDEX(MgNombre,MATCH($C68,MgActId,0)),"")</f>
        <v/>
      </c>
      <c r="E68" s="64">
        <f>IFERROR(INDEX(MgProceso,MATCH($C68,MgActId,0)),"")</f>
        <v/>
      </c>
      <c r="F68" s="64">
        <f>IFERROR(INDEX(MgTipo,MATCH($C68,MgActId,0)),"")</f>
        <v/>
      </c>
      <c r="G68" s="64">
        <f>IFERROR(INDEX(MgSubtipo,MATCH($C68,MgActId,0)),"")</f>
        <v/>
      </c>
      <c r="H68" s="59" t="inlineStr">
        <is>
          <t>A.15</t>
        </is>
      </c>
      <c r="I68" s="64">
        <f>IFERROR(INDEX(MgAmenNombre,MATCH(SUBSTITUTE($H68,"*","-"),MgAmenClave,0)),"")</f>
        <v/>
      </c>
      <c r="J68" s="28">
        <f>IFERROR(INDEX(MgAmenGrupo,MATCH(SUBSTITUTE($H68,"*","-"),MgAmenClave,0)),"")</f>
        <v/>
      </c>
      <c r="K68" s="64">
        <f>IFERROR(INDEX('1. Matriz de Activos'!$Q$6:$Q$239,MATCH($C68,MgActId,0)),"")</f>
        <v/>
      </c>
      <c r="L68" s="64">
        <f>IFERROR(INDEX('1. Matriz de Activos'!$R$6:$R$239,MATCH($C68,MgActId,0)),"")</f>
        <v/>
      </c>
      <c r="M68" s="64">
        <f>IFERROR(INDEX('1. Matriz de Activos'!$S$6:$S$239,MATCH($C68,MgActId,0)),"")</f>
        <v/>
      </c>
      <c r="N68" s="28">
        <f>IFERROR(INDEX(MgAmenDegD,MATCH(SUBSTITUTE($H68,"*","-"),MgAmenClave,0)),"No aplica")</f>
        <v/>
      </c>
      <c r="O68" s="28">
        <f>IFERROR(INDEX(MgAmenDegI,MATCH(SUBSTITUTE($H68,"*","-"),MgAmenClave,0)),"No aplica")</f>
        <v/>
      </c>
      <c r="P68" s="28">
        <f>IFERROR(INDEX(MgAmenDegC,MATCH(SUBSTITUTE($H68,"*","-"),MgAmenClave,0)),"No aplica")</f>
        <v/>
      </c>
      <c r="Q68" s="29">
        <f>IFERROR(VLOOKUP(K68,MgValor,2,0)*VLOOKUP(N68,MgDeg,2,0),0)</f>
        <v/>
      </c>
      <c r="R68" s="29">
        <f>IFERROR(VLOOKUP(L68,MgValor,2,0)*VLOOKUP(O68,MgDeg,2,0),0)</f>
        <v/>
      </c>
      <c r="S68" s="29">
        <f>IFERROR(VLOOKUP(M68,MgValor,2,0)*VLOOKUP(P68,MgDeg,2,0),0)</f>
        <v/>
      </c>
      <c r="T68" s="30">
        <f>MAX(Q68:S68)</f>
        <v/>
      </c>
      <c r="U68" s="28">
        <f>IFERROR(LOOKUP(T68,{0;0.5;1.5;3;4.5},{"Despreciable";"Bajo";"Medio";"Alto";"Muy alto"}),"")</f>
        <v/>
      </c>
      <c r="V68" s="13">
        <f>IFERROR(INDEX(MgAmenFrec,MATCH(SUBSTITUTE($H68,"*","-"),MgAmenClave,0)),"")</f>
        <v/>
      </c>
      <c r="W68" s="28">
        <f>IFERROR(LOOKUP(X68,{0;0.01;0.1;1;10;100},{"Muy baja";"Muy baja";"Baja";"Media";"Alta";"Muy alta"}),"")</f>
        <v/>
      </c>
      <c r="X68" s="31">
        <f>IFERROR(VLOOKUP(V68,MgFrec,2,0),0)</f>
        <v/>
      </c>
      <c r="Y68" s="30">
        <f>T68*X68</f>
        <v/>
      </c>
      <c r="Z68" s="28">
        <f>IFERROR(LOOKUP(Y68,{0;0.5;5;25},{"Bajo";"Medio";"Alto";"Crítico"}),"")</f>
        <v/>
      </c>
      <c r="AA68" s="64">
        <f>IF(T68&gt;=3,IF(X68&gt;=1,"Zona 1 — Crítica: impacto alto y ocurre al menos una vez al año","Zona 4 — Catastrófica poco probable: impacto alto pero excepcional"),IF(AND(T68&lt;1.5,X68&lt;1),"Zona 3 — Asumible: impacto bajo y muy poco frecuente","Zona 2 — Atención: riesgo intermedio"))</f>
        <v/>
      </c>
      <c r="AB68" s="64">
        <f>IFERROR(INDEX(MgAmenCtrl,MATCH(SUBSTITUTE($H68,"*","-"),MgAmenClave,0)),"")</f>
        <v/>
      </c>
      <c r="AC68" s="20" t="n"/>
      <c r="AD68" s="31">
        <f>IFERROR($X68*(1-IF($AC68="",$AL68,VLOOKUP($AC68,MgMad,2,0))),"")</f>
        <v/>
      </c>
      <c r="AE68" s="28">
        <f>IFERROR(LOOKUP(AD68,{0;0.01;0.1;1;10;100},{"Muy baja";"Muy baja";"Baja";"Media";"Alta";"Muy alta"}),"")</f>
        <v/>
      </c>
      <c r="AF68" s="30">
        <f>T68*AD68</f>
        <v/>
      </c>
      <c r="AG68" s="28">
        <f>IFERROR(LOOKUP(AF68,{0;0.5;5;25},{"Bajo";"Medio";"Alto";"Crítico"}),"")</f>
        <v/>
      </c>
      <c r="AH68" s="28">
        <f>IF(AG68="","",IF(OR(AG68="Crítico",AG68="Alto"),"Mitigar",IF(AG68="Medio","Mitigar","Aceptar y monitorear")))</f>
        <v/>
      </c>
      <c r="AI68" s="21" t="n"/>
      <c r="AJ68" s="21" t="n"/>
      <c r="AK68" s="20" t="n"/>
      <c r="AL68" s="77">
        <f>IFERROR(INDEX(MgAmenEfic,MATCH(SUBSTITUTE($H68,"*","-"),MgAmenClave,0)),0)</f>
        <v/>
      </c>
    </row>
    <row r="69" hidden="1" ht="60" customHeight="1" s="54">
      <c r="B69" s="59" t="inlineStr">
        <is>
          <t>R-0064</t>
        </is>
      </c>
      <c r="C69" s="59" t="inlineStr">
        <is>
          <t>DO-15</t>
        </is>
      </c>
      <c r="D69" s="64">
        <f>IFERROR(INDEX(MgNombre,MATCH($C69,MgActId,0)),"")</f>
        <v/>
      </c>
      <c r="E69" s="64">
        <f>IFERROR(INDEX(MgProceso,MATCH($C69,MgActId,0)),"")</f>
        <v/>
      </c>
      <c r="F69" s="64">
        <f>IFERROR(INDEX(MgTipo,MATCH($C69,MgActId,0)),"")</f>
        <v/>
      </c>
      <c r="G69" s="64">
        <f>IFERROR(INDEX(MgSubtipo,MATCH($C69,MgActId,0)),"")</f>
        <v/>
      </c>
      <c r="H69" s="59" t="inlineStr">
        <is>
          <t>A.18</t>
        </is>
      </c>
      <c r="I69" s="64">
        <f>IFERROR(INDEX(MgAmenNombre,MATCH(SUBSTITUTE($H69,"*","-"),MgAmenClave,0)),"")</f>
        <v/>
      </c>
      <c r="J69" s="28">
        <f>IFERROR(INDEX(MgAmenGrupo,MATCH(SUBSTITUTE($H69,"*","-"),MgAmenClave,0)),"")</f>
        <v/>
      </c>
      <c r="K69" s="64">
        <f>IFERROR(INDEX('1. Matriz de Activos'!$Q$6:$Q$239,MATCH($C69,MgActId,0)),"")</f>
        <v/>
      </c>
      <c r="L69" s="64">
        <f>IFERROR(INDEX('1. Matriz de Activos'!$R$6:$R$239,MATCH($C69,MgActId,0)),"")</f>
        <v/>
      </c>
      <c r="M69" s="64">
        <f>IFERROR(INDEX('1. Matriz de Activos'!$S$6:$S$239,MATCH($C69,MgActId,0)),"")</f>
        <v/>
      </c>
      <c r="N69" s="28">
        <f>IFERROR(INDEX(MgAmenDegD,MATCH(SUBSTITUTE($H69,"*","-"),MgAmenClave,0)),"No aplica")</f>
        <v/>
      </c>
      <c r="O69" s="28">
        <f>IFERROR(INDEX(MgAmenDegI,MATCH(SUBSTITUTE($H69,"*","-"),MgAmenClave,0)),"No aplica")</f>
        <v/>
      </c>
      <c r="P69" s="28">
        <f>IFERROR(INDEX(MgAmenDegC,MATCH(SUBSTITUTE($H69,"*","-"),MgAmenClave,0)),"No aplica")</f>
        <v/>
      </c>
      <c r="Q69" s="29">
        <f>IFERROR(VLOOKUP(K69,MgValor,2,0)*VLOOKUP(N69,MgDeg,2,0),0)</f>
        <v/>
      </c>
      <c r="R69" s="29">
        <f>IFERROR(VLOOKUP(L69,MgValor,2,0)*VLOOKUP(O69,MgDeg,2,0),0)</f>
        <v/>
      </c>
      <c r="S69" s="29">
        <f>IFERROR(VLOOKUP(M69,MgValor,2,0)*VLOOKUP(P69,MgDeg,2,0),0)</f>
        <v/>
      </c>
      <c r="T69" s="30">
        <f>MAX(Q69:S69)</f>
        <v/>
      </c>
      <c r="U69" s="28">
        <f>IFERROR(LOOKUP(T69,{0;0.5;1.5;3;4.5},{"Despreciable";"Bajo";"Medio";"Alto";"Muy alto"}),"")</f>
        <v/>
      </c>
      <c r="V69" s="13">
        <f>IFERROR(INDEX(MgAmenFrec,MATCH(SUBSTITUTE($H69,"*","-"),MgAmenClave,0)),"")</f>
        <v/>
      </c>
      <c r="W69" s="28">
        <f>IFERROR(LOOKUP(X69,{0;0.01;0.1;1;10;100},{"Muy baja";"Muy baja";"Baja";"Media";"Alta";"Muy alta"}),"")</f>
        <v/>
      </c>
      <c r="X69" s="31">
        <f>IFERROR(VLOOKUP(V69,MgFrec,2,0),0)</f>
        <v/>
      </c>
      <c r="Y69" s="30">
        <f>T69*X69</f>
        <v/>
      </c>
      <c r="Z69" s="28">
        <f>IFERROR(LOOKUP(Y69,{0;0.5;5;25},{"Bajo";"Medio";"Alto";"Crítico"}),"")</f>
        <v/>
      </c>
      <c r="AA69" s="64">
        <f>IF(T69&gt;=3,IF(X69&gt;=1,"Zona 1 — Crítica: impacto alto y ocurre al menos una vez al año","Zona 4 — Catastrófica poco probable: impacto alto pero excepcional"),IF(AND(T69&lt;1.5,X69&lt;1),"Zona 3 — Asumible: impacto bajo y muy poco frecuente","Zona 2 — Atención: riesgo intermedio"))</f>
        <v/>
      </c>
      <c r="AB69" s="64">
        <f>IFERROR(INDEX(MgAmenCtrl,MATCH(SUBSTITUTE($H69,"*","-"),MgAmenClave,0)),"")</f>
        <v/>
      </c>
      <c r="AC69" s="20" t="n"/>
      <c r="AD69" s="31">
        <f>IFERROR($X69*(1-IF($AC69="",$AL69,VLOOKUP($AC69,MgMad,2,0))),"")</f>
        <v/>
      </c>
      <c r="AE69" s="28">
        <f>IFERROR(LOOKUP(AD69,{0;0.01;0.1;1;10;100},{"Muy baja";"Muy baja";"Baja";"Media";"Alta";"Muy alta"}),"")</f>
        <v/>
      </c>
      <c r="AF69" s="30">
        <f>T69*AD69</f>
        <v/>
      </c>
      <c r="AG69" s="28">
        <f>IFERROR(LOOKUP(AF69,{0;0.5;5;25},{"Bajo";"Medio";"Alto";"Crítico"}),"")</f>
        <v/>
      </c>
      <c r="AH69" s="28">
        <f>IF(AG69="","",IF(OR(AG69="Crítico",AG69="Alto"),"Mitigar",IF(AG69="Medio","Mitigar","Aceptar y monitorear")))</f>
        <v/>
      </c>
      <c r="AI69" s="21" t="n"/>
      <c r="AJ69" s="21" t="n"/>
      <c r="AK69" s="20" t="n"/>
      <c r="AL69" s="77">
        <f>IFERROR(INDEX(MgAmenEfic,MATCH(SUBSTITUTE($H69,"*","-"),MgAmenClave,0)),0)</f>
        <v/>
      </c>
    </row>
    <row r="70" hidden="1" ht="120" customHeight="1" s="54">
      <c r="B70" s="59" t="inlineStr">
        <is>
          <t>R-0065</t>
        </is>
      </c>
      <c r="C70" s="59" t="inlineStr">
        <is>
          <t>DO-15</t>
        </is>
      </c>
      <c r="D70" s="64">
        <f>IFERROR(INDEX(MgNombre,MATCH($C70,MgActId,0)),"")</f>
        <v/>
      </c>
      <c r="E70" s="64">
        <f>IFERROR(INDEX(MgProceso,MATCH($C70,MgActId,0)),"")</f>
        <v/>
      </c>
      <c r="F70" s="64">
        <f>IFERROR(INDEX(MgTipo,MATCH($C70,MgActId,0)),"")</f>
        <v/>
      </c>
      <c r="G70" s="64">
        <f>IFERROR(INDEX(MgSubtipo,MATCH($C70,MgActId,0)),"")</f>
        <v/>
      </c>
      <c r="H70" s="59" t="inlineStr">
        <is>
          <t>A.19</t>
        </is>
      </c>
      <c r="I70" s="64">
        <f>IFERROR(INDEX(MgAmenNombre,MATCH(SUBSTITUTE($H70,"*","-"),MgAmenClave,0)),"")</f>
        <v/>
      </c>
      <c r="J70" s="28">
        <f>IFERROR(INDEX(MgAmenGrupo,MATCH(SUBSTITUTE($H70,"*","-"),MgAmenClave,0)),"")</f>
        <v/>
      </c>
      <c r="K70" s="64">
        <f>IFERROR(INDEX('1. Matriz de Activos'!$Q$6:$Q$239,MATCH($C70,MgActId,0)),"")</f>
        <v/>
      </c>
      <c r="L70" s="64">
        <f>IFERROR(INDEX('1. Matriz de Activos'!$R$6:$R$239,MATCH($C70,MgActId,0)),"")</f>
        <v/>
      </c>
      <c r="M70" s="64">
        <f>IFERROR(INDEX('1. Matriz de Activos'!$S$6:$S$239,MATCH($C70,MgActId,0)),"")</f>
        <v/>
      </c>
      <c r="N70" s="28">
        <f>IFERROR(INDEX(MgAmenDegD,MATCH(SUBSTITUTE($H70,"*","-"),MgAmenClave,0)),"No aplica")</f>
        <v/>
      </c>
      <c r="O70" s="28">
        <f>IFERROR(INDEX(MgAmenDegI,MATCH(SUBSTITUTE($H70,"*","-"),MgAmenClave,0)),"No aplica")</f>
        <v/>
      </c>
      <c r="P70" s="28">
        <f>IFERROR(INDEX(MgAmenDegC,MATCH(SUBSTITUTE($H70,"*","-"),MgAmenClave,0)),"No aplica")</f>
        <v/>
      </c>
      <c r="Q70" s="29">
        <f>IFERROR(VLOOKUP(K70,MgValor,2,0)*VLOOKUP(N70,MgDeg,2,0),0)</f>
        <v/>
      </c>
      <c r="R70" s="29">
        <f>IFERROR(VLOOKUP(L70,MgValor,2,0)*VLOOKUP(O70,MgDeg,2,0),0)</f>
        <v/>
      </c>
      <c r="S70" s="29">
        <f>IFERROR(VLOOKUP(M70,MgValor,2,0)*VLOOKUP(P70,MgDeg,2,0),0)</f>
        <v/>
      </c>
      <c r="T70" s="30">
        <f>MAX(Q70:S70)</f>
        <v/>
      </c>
      <c r="U70" s="28">
        <f>IFERROR(LOOKUP(T70,{0;0.5;1.5;3;4.5},{"Despreciable";"Bajo";"Medio";"Alto";"Muy alto"}),"")</f>
        <v/>
      </c>
      <c r="V70" s="13">
        <f>IFERROR(INDEX(MgAmenFrec,MATCH(SUBSTITUTE($H70,"*","-"),MgAmenClave,0)),"")</f>
        <v/>
      </c>
      <c r="W70" s="28">
        <f>IFERROR(LOOKUP(X70,{0;0.01;0.1;1;10;100},{"Muy baja";"Muy baja";"Baja";"Media";"Alta";"Muy alta"}),"")</f>
        <v/>
      </c>
      <c r="X70" s="31">
        <f>IFERROR(VLOOKUP(V70,MgFrec,2,0),0)</f>
        <v/>
      </c>
      <c r="Y70" s="30">
        <f>T70*X70</f>
        <v/>
      </c>
      <c r="Z70" s="28">
        <f>IFERROR(LOOKUP(Y70,{0;0.5;5;25},{"Bajo";"Medio";"Alto";"Crítico"}),"")</f>
        <v/>
      </c>
      <c r="AA70" s="64">
        <f>IF(T70&gt;=3,IF(X70&gt;=1,"Zona 1 — Crítica: impacto alto y ocurre al menos una vez al año","Zona 4 — Catastrófica poco probable: impacto alto pero excepcional"),IF(AND(T70&lt;1.5,X70&lt;1),"Zona 3 — Asumible: impacto bajo y muy poco frecuente","Zona 2 — Atención: riesgo intermedio"))</f>
        <v/>
      </c>
      <c r="AB70" s="64">
        <f>IFERROR(INDEX(MgAmenCtrl,MATCH(SUBSTITUTE($H70,"*","-"),MgAmenClave,0)),"")</f>
        <v/>
      </c>
      <c r="AC70" s="20" t="n"/>
      <c r="AD70" s="31">
        <f>IFERROR($X70*(1-IF($AC70="",$AL70,VLOOKUP($AC70,MgMad,2,0))),"")</f>
        <v/>
      </c>
      <c r="AE70" s="28">
        <f>IFERROR(LOOKUP(AD70,{0;0.01;0.1;1;10;100},{"Muy baja";"Muy baja";"Baja";"Media";"Alta";"Muy alta"}),"")</f>
        <v/>
      </c>
      <c r="AF70" s="30">
        <f>T70*AD70</f>
        <v/>
      </c>
      <c r="AG70" s="28">
        <f>IFERROR(LOOKUP(AF70,{0;0.5;5;25},{"Bajo";"Medio";"Alto";"Crítico"}),"")</f>
        <v/>
      </c>
      <c r="AH70" s="28">
        <f>IF(AG70="","",IF(OR(AG70="Crítico",AG70="Alto"),"Mitigar",IF(AG70="Medio","Mitigar","Aceptar y monitorear")))</f>
        <v/>
      </c>
      <c r="AI70" s="21" t="n"/>
      <c r="AJ70" s="21" t="n"/>
      <c r="AK70" s="20" t="n"/>
      <c r="AL70" s="77">
        <f>IFERROR(INDEX(MgAmenEfic,MATCH(SUBSTITUTE($H70,"*","-"),MgAmenClave,0)),0)</f>
        <v/>
      </c>
    </row>
    <row r="71" hidden="1" ht="60" customHeight="1" s="54">
      <c r="B71" s="59" t="inlineStr">
        <is>
          <t>R-0066</t>
        </is>
      </c>
      <c r="C71" s="59" t="inlineStr">
        <is>
          <t>DO-15</t>
        </is>
      </c>
      <c r="D71" s="64">
        <f>IFERROR(INDEX(MgNombre,MATCH($C71,MgActId,0)),"")</f>
        <v/>
      </c>
      <c r="E71" s="64">
        <f>IFERROR(INDEX(MgProceso,MATCH($C71,MgActId,0)),"")</f>
        <v/>
      </c>
      <c r="F71" s="64">
        <f>IFERROR(INDEX(MgTipo,MATCH($C71,MgActId,0)),"")</f>
        <v/>
      </c>
      <c r="G71" s="64">
        <f>IFERROR(INDEX(MgSubtipo,MATCH($C71,MgActId,0)),"")</f>
        <v/>
      </c>
      <c r="H71" s="59" t="inlineStr">
        <is>
          <t>A.24</t>
        </is>
      </c>
      <c r="I71" s="64">
        <f>IFERROR(INDEX(MgAmenNombre,MATCH(SUBSTITUTE($H71,"*","-"),MgAmenClave,0)),"")</f>
        <v/>
      </c>
      <c r="J71" s="28">
        <f>IFERROR(INDEX(MgAmenGrupo,MATCH(SUBSTITUTE($H71,"*","-"),MgAmenClave,0)),"")</f>
        <v/>
      </c>
      <c r="K71" s="64">
        <f>IFERROR(INDEX('1. Matriz de Activos'!$Q$6:$Q$239,MATCH($C71,MgActId,0)),"")</f>
        <v/>
      </c>
      <c r="L71" s="64">
        <f>IFERROR(INDEX('1. Matriz de Activos'!$R$6:$R$239,MATCH($C71,MgActId,0)),"")</f>
        <v/>
      </c>
      <c r="M71" s="64">
        <f>IFERROR(INDEX('1. Matriz de Activos'!$S$6:$S$239,MATCH($C71,MgActId,0)),"")</f>
        <v/>
      </c>
      <c r="N71" s="28">
        <f>IFERROR(INDEX(MgAmenDegD,MATCH(SUBSTITUTE($H71,"*","-"),MgAmenClave,0)),"No aplica")</f>
        <v/>
      </c>
      <c r="O71" s="28">
        <f>IFERROR(INDEX(MgAmenDegI,MATCH(SUBSTITUTE($H71,"*","-"),MgAmenClave,0)),"No aplica")</f>
        <v/>
      </c>
      <c r="P71" s="28">
        <f>IFERROR(INDEX(MgAmenDegC,MATCH(SUBSTITUTE($H71,"*","-"),MgAmenClave,0)),"No aplica")</f>
        <v/>
      </c>
      <c r="Q71" s="29">
        <f>IFERROR(VLOOKUP(K71,MgValor,2,0)*VLOOKUP(N71,MgDeg,2,0),0)</f>
        <v/>
      </c>
      <c r="R71" s="29">
        <f>IFERROR(VLOOKUP(L71,MgValor,2,0)*VLOOKUP(O71,MgDeg,2,0),0)</f>
        <v/>
      </c>
      <c r="S71" s="29">
        <f>IFERROR(VLOOKUP(M71,MgValor,2,0)*VLOOKUP(P71,MgDeg,2,0),0)</f>
        <v/>
      </c>
      <c r="T71" s="30">
        <f>MAX(Q71:S71)</f>
        <v/>
      </c>
      <c r="U71" s="28">
        <f>IFERROR(LOOKUP(T71,{0;0.5;1.5;3;4.5},{"Despreciable";"Bajo";"Medio";"Alto";"Muy alto"}),"")</f>
        <v/>
      </c>
      <c r="V71" s="13">
        <f>IFERROR(INDEX(MgAmenFrec,MATCH(SUBSTITUTE($H71,"*","-"),MgAmenClave,0)),"")</f>
        <v/>
      </c>
      <c r="W71" s="28">
        <f>IFERROR(LOOKUP(X71,{0;0.01;0.1;1;10;100},{"Muy baja";"Muy baja";"Baja";"Media";"Alta";"Muy alta"}),"")</f>
        <v/>
      </c>
      <c r="X71" s="31">
        <f>IFERROR(VLOOKUP(V71,MgFrec,2,0),0)</f>
        <v/>
      </c>
      <c r="Y71" s="30">
        <f>T71*X71</f>
        <v/>
      </c>
      <c r="Z71" s="28">
        <f>IFERROR(LOOKUP(Y71,{0;0.5;5;25},{"Bajo";"Medio";"Alto";"Crítico"}),"")</f>
        <v/>
      </c>
      <c r="AA71" s="64">
        <f>IF(T71&gt;=3,IF(X71&gt;=1,"Zona 1 — Crítica: impacto alto y ocurre al menos una vez al año","Zona 4 — Catastrófica poco probable: impacto alto pero excepcional"),IF(AND(T71&lt;1.5,X71&lt;1),"Zona 3 — Asumible: impacto bajo y muy poco frecuente","Zona 2 — Atención: riesgo intermedio"))</f>
        <v/>
      </c>
      <c r="AB71" s="64">
        <f>IFERROR(INDEX(MgAmenCtrl,MATCH(SUBSTITUTE($H71,"*","-"),MgAmenClave,0)),"")</f>
        <v/>
      </c>
      <c r="AC71" s="20" t="n"/>
      <c r="AD71" s="31">
        <f>IFERROR($X71*(1-IF($AC71="",$AL71,VLOOKUP($AC71,MgMad,2,0))),"")</f>
        <v/>
      </c>
      <c r="AE71" s="28">
        <f>IFERROR(LOOKUP(AD71,{0;0.01;0.1;1;10;100},{"Muy baja";"Muy baja";"Baja";"Media";"Alta";"Muy alta"}),"")</f>
        <v/>
      </c>
      <c r="AF71" s="30">
        <f>T71*AD71</f>
        <v/>
      </c>
      <c r="AG71" s="28">
        <f>IFERROR(LOOKUP(AF71,{0;0.5;5;25},{"Bajo";"Medio";"Alto";"Crítico"}),"")</f>
        <v/>
      </c>
      <c r="AH71" s="28">
        <f>IF(AG71="","",IF(OR(AG71="Crítico",AG71="Alto"),"Mitigar",IF(AG71="Medio","Mitigar","Aceptar y monitorear")))</f>
        <v/>
      </c>
      <c r="AI71" s="21" t="n"/>
      <c r="AJ71" s="21" t="n"/>
      <c r="AK71" s="20" t="n"/>
      <c r="AL71" s="77">
        <f>IFERROR(INDEX(MgAmenEfic,MATCH(SUBSTITUTE($H71,"*","-"),MgAmenClave,0)),0)</f>
        <v/>
      </c>
    </row>
    <row r="72" hidden="1" ht="75" customHeight="1" s="54">
      <c r="B72" s="59" t="inlineStr">
        <is>
          <t>R-0067</t>
        </is>
      </c>
      <c r="C72" s="59" t="inlineStr">
        <is>
          <t>TEC-010</t>
        </is>
      </c>
      <c r="D72" s="64">
        <f>IFERROR(INDEX(MgNombre,MATCH($C72,MgActId,0)),"")</f>
        <v/>
      </c>
      <c r="E72" s="64">
        <f>IFERROR(INDEX(MgProceso,MATCH($C72,MgActId,0)),"")</f>
        <v/>
      </c>
      <c r="F72" s="64">
        <f>IFERROR(INDEX(MgTipo,MATCH($C72,MgActId,0)),"")</f>
        <v/>
      </c>
      <c r="G72" s="64">
        <f>IFERROR(INDEX(MgSubtipo,MATCH($C72,MgActId,0)),"")</f>
        <v/>
      </c>
      <c r="H72" s="59" t="inlineStr">
        <is>
          <t>I.8</t>
        </is>
      </c>
      <c r="I72" s="64">
        <f>IFERROR(INDEX(MgAmenNombre,MATCH(SUBSTITUTE($H72,"*","-"),MgAmenClave,0)),"")</f>
        <v/>
      </c>
      <c r="J72" s="28">
        <f>IFERROR(INDEX(MgAmenGrupo,MATCH(SUBSTITUTE($H72,"*","-"),MgAmenClave,0)),"")</f>
        <v/>
      </c>
      <c r="K72" s="64">
        <f>IFERROR(INDEX('1. Matriz de Activos'!$Q$6:$Q$239,MATCH($C72,MgActId,0)),"")</f>
        <v/>
      </c>
      <c r="L72" s="64">
        <f>IFERROR(INDEX('1. Matriz de Activos'!$R$6:$R$239,MATCH($C72,MgActId,0)),"")</f>
        <v/>
      </c>
      <c r="M72" s="64">
        <f>IFERROR(INDEX('1. Matriz de Activos'!$S$6:$S$239,MATCH($C72,MgActId,0)),"")</f>
        <v/>
      </c>
      <c r="N72" s="28">
        <f>IFERROR(INDEX(MgAmenDegD,MATCH(SUBSTITUTE($H72,"*","-"),MgAmenClave,0)),"No aplica")</f>
        <v/>
      </c>
      <c r="O72" s="28">
        <f>IFERROR(INDEX(MgAmenDegI,MATCH(SUBSTITUTE($H72,"*","-"),MgAmenClave,0)),"No aplica")</f>
        <v/>
      </c>
      <c r="P72" s="28">
        <f>IFERROR(INDEX(MgAmenDegC,MATCH(SUBSTITUTE($H72,"*","-"),MgAmenClave,0)),"No aplica")</f>
        <v/>
      </c>
      <c r="Q72" s="29">
        <f>IFERROR(VLOOKUP(K72,MgValor,2,0)*VLOOKUP(N72,MgDeg,2,0),0)</f>
        <v/>
      </c>
      <c r="R72" s="29">
        <f>IFERROR(VLOOKUP(L72,MgValor,2,0)*VLOOKUP(O72,MgDeg,2,0),0)</f>
        <v/>
      </c>
      <c r="S72" s="29">
        <f>IFERROR(VLOOKUP(M72,MgValor,2,0)*VLOOKUP(P72,MgDeg,2,0),0)</f>
        <v/>
      </c>
      <c r="T72" s="30">
        <f>MAX(Q72:S72)</f>
        <v/>
      </c>
      <c r="U72" s="28">
        <f>IFERROR(LOOKUP(T72,{0;0.5;1.5;3;4.5},{"Despreciable";"Bajo";"Medio";"Alto";"Muy alto"}),"")</f>
        <v/>
      </c>
      <c r="V72" s="13">
        <f>IFERROR(INDEX(MgAmenFrec,MATCH(SUBSTITUTE($H72,"*","-"),MgAmenClave,0)),"")</f>
        <v/>
      </c>
      <c r="W72" s="28">
        <f>IFERROR(LOOKUP(X72,{0;0.01;0.1;1;10;100},{"Muy baja";"Muy baja";"Baja";"Media";"Alta";"Muy alta"}),"")</f>
        <v/>
      </c>
      <c r="X72" s="31">
        <f>IFERROR(VLOOKUP(V72,MgFrec,2,0),0)</f>
        <v/>
      </c>
      <c r="Y72" s="30">
        <f>T72*X72</f>
        <v/>
      </c>
      <c r="Z72" s="28">
        <f>IFERROR(LOOKUP(Y72,{0;0.5;5;25},{"Bajo";"Medio";"Alto";"Crítico"}),"")</f>
        <v/>
      </c>
      <c r="AA72" s="64">
        <f>IF(T72&gt;=3,IF(X72&gt;=1,"Zona 1 — Crítica: impacto alto y ocurre al menos una vez al año","Zona 4 — Catastrófica poco probable: impacto alto pero excepcional"),IF(AND(T72&lt;1.5,X72&lt;1),"Zona 3 — Asumible: impacto bajo y muy poco frecuente","Zona 2 — Atención: riesgo intermedio"))</f>
        <v/>
      </c>
      <c r="AB72" s="64">
        <f>IFERROR(INDEX(MgAmenCtrl,MATCH(SUBSTITUTE($H72,"*","-"),MgAmenClave,0)),"")</f>
        <v/>
      </c>
      <c r="AC72" s="20" t="n"/>
      <c r="AD72" s="31">
        <f>IFERROR($X72*(1-IF($AC72="",$AL72,VLOOKUP($AC72,MgMad,2,0))),"")</f>
        <v/>
      </c>
      <c r="AE72" s="28">
        <f>IFERROR(LOOKUP(AD72,{0;0.01;0.1;1;10;100},{"Muy baja";"Muy baja";"Baja";"Media";"Alta";"Muy alta"}),"")</f>
        <v/>
      </c>
      <c r="AF72" s="30">
        <f>T72*AD72</f>
        <v/>
      </c>
      <c r="AG72" s="28">
        <f>IFERROR(LOOKUP(AF72,{0;0.5;5;25},{"Bajo";"Medio";"Alto";"Crítico"}),"")</f>
        <v/>
      </c>
      <c r="AH72" s="28">
        <f>IF(AG72="","",IF(OR(AG72="Crítico",AG72="Alto"),"Mitigar",IF(AG72="Medio","Mitigar","Aceptar y monitorear")))</f>
        <v/>
      </c>
      <c r="AI72" s="21" t="n"/>
      <c r="AJ72" s="21" t="n"/>
      <c r="AK72" s="20" t="n"/>
      <c r="AL72" s="77">
        <f>IFERROR(INDEX(MgAmenEfic,MATCH(SUBSTITUTE($H72,"*","-"),MgAmenClave,0)),0)</f>
        <v/>
      </c>
    </row>
    <row r="73" hidden="1" ht="45" customHeight="1" s="54">
      <c r="B73" s="59" t="inlineStr">
        <is>
          <t>R-0068</t>
        </is>
      </c>
      <c r="C73" s="59" t="inlineStr">
        <is>
          <t>TEC-010</t>
        </is>
      </c>
      <c r="D73" s="64">
        <f>IFERROR(INDEX(MgNombre,MATCH($C73,MgActId,0)),"")</f>
        <v/>
      </c>
      <c r="E73" s="64">
        <f>IFERROR(INDEX(MgProceso,MATCH($C73,MgActId,0)),"")</f>
        <v/>
      </c>
      <c r="F73" s="64">
        <f>IFERROR(INDEX(MgTipo,MATCH($C73,MgActId,0)),"")</f>
        <v/>
      </c>
      <c r="G73" s="64">
        <f>IFERROR(INDEX(MgSubtipo,MATCH($C73,MgActId,0)),"")</f>
        <v/>
      </c>
      <c r="H73" s="59" t="inlineStr">
        <is>
          <t>I.11</t>
        </is>
      </c>
      <c r="I73" s="64">
        <f>IFERROR(INDEX(MgAmenNombre,MATCH(SUBSTITUTE($H73,"*","-"),MgAmenClave,0)),"")</f>
        <v/>
      </c>
      <c r="J73" s="28">
        <f>IFERROR(INDEX(MgAmenGrupo,MATCH(SUBSTITUTE($H73,"*","-"),MgAmenClave,0)),"")</f>
        <v/>
      </c>
      <c r="K73" s="64">
        <f>IFERROR(INDEX('1. Matriz de Activos'!$Q$6:$Q$239,MATCH($C73,MgActId,0)),"")</f>
        <v/>
      </c>
      <c r="L73" s="64">
        <f>IFERROR(INDEX('1. Matriz de Activos'!$R$6:$R$239,MATCH($C73,MgActId,0)),"")</f>
        <v/>
      </c>
      <c r="M73" s="64">
        <f>IFERROR(INDEX('1. Matriz de Activos'!$S$6:$S$239,MATCH($C73,MgActId,0)),"")</f>
        <v/>
      </c>
      <c r="N73" s="28">
        <f>IFERROR(INDEX(MgAmenDegD,MATCH(SUBSTITUTE($H73,"*","-"),MgAmenClave,0)),"No aplica")</f>
        <v/>
      </c>
      <c r="O73" s="28">
        <f>IFERROR(INDEX(MgAmenDegI,MATCH(SUBSTITUTE($H73,"*","-"),MgAmenClave,0)),"No aplica")</f>
        <v/>
      </c>
      <c r="P73" s="28">
        <f>IFERROR(INDEX(MgAmenDegC,MATCH(SUBSTITUTE($H73,"*","-"),MgAmenClave,0)),"No aplica")</f>
        <v/>
      </c>
      <c r="Q73" s="29">
        <f>IFERROR(VLOOKUP(K73,MgValor,2,0)*VLOOKUP(N73,MgDeg,2,0),0)</f>
        <v/>
      </c>
      <c r="R73" s="29">
        <f>IFERROR(VLOOKUP(L73,MgValor,2,0)*VLOOKUP(O73,MgDeg,2,0),0)</f>
        <v/>
      </c>
      <c r="S73" s="29">
        <f>IFERROR(VLOOKUP(M73,MgValor,2,0)*VLOOKUP(P73,MgDeg,2,0),0)</f>
        <v/>
      </c>
      <c r="T73" s="30">
        <f>MAX(Q73:S73)</f>
        <v/>
      </c>
      <c r="U73" s="28">
        <f>IFERROR(LOOKUP(T73,{0;0.5;1.5;3;4.5},{"Despreciable";"Bajo";"Medio";"Alto";"Muy alto"}),"")</f>
        <v/>
      </c>
      <c r="V73" s="13">
        <f>IFERROR(INDEX(MgAmenFrec,MATCH(SUBSTITUTE($H73,"*","-"),MgAmenClave,0)),"")</f>
        <v/>
      </c>
      <c r="W73" s="28">
        <f>IFERROR(LOOKUP(X73,{0;0.01;0.1;1;10;100},{"Muy baja";"Muy baja";"Baja";"Media";"Alta";"Muy alta"}),"")</f>
        <v/>
      </c>
      <c r="X73" s="31">
        <f>IFERROR(VLOOKUP(V73,MgFrec,2,0),0)</f>
        <v/>
      </c>
      <c r="Y73" s="30">
        <f>T73*X73</f>
        <v/>
      </c>
      <c r="Z73" s="28">
        <f>IFERROR(LOOKUP(Y73,{0;0.5;5;25},{"Bajo";"Medio";"Alto";"Crítico"}),"")</f>
        <v/>
      </c>
      <c r="AA73" s="64">
        <f>IF(T73&gt;=3,IF(X73&gt;=1,"Zona 1 — Crítica: impacto alto y ocurre al menos una vez al año","Zona 4 — Catastrófica poco probable: impacto alto pero excepcional"),IF(AND(T73&lt;1.5,X73&lt;1),"Zona 3 — Asumible: impacto bajo y muy poco frecuente","Zona 2 — Atención: riesgo intermedio"))</f>
        <v/>
      </c>
      <c r="AB73" s="64">
        <f>IFERROR(INDEX(MgAmenCtrl,MATCH(SUBSTITUTE($H73,"*","-"),MgAmenClave,0)),"")</f>
        <v/>
      </c>
      <c r="AC73" s="20" t="n"/>
      <c r="AD73" s="31">
        <f>IFERROR($X73*(1-IF($AC73="",$AL73,VLOOKUP($AC73,MgMad,2,0))),"")</f>
        <v/>
      </c>
      <c r="AE73" s="28">
        <f>IFERROR(LOOKUP(AD73,{0;0.01;0.1;1;10;100},{"Muy baja";"Muy baja";"Baja";"Media";"Alta";"Muy alta"}),"")</f>
        <v/>
      </c>
      <c r="AF73" s="30">
        <f>T73*AD73</f>
        <v/>
      </c>
      <c r="AG73" s="28">
        <f>IFERROR(LOOKUP(AF73,{0;0.5;5;25},{"Bajo";"Medio";"Alto";"Crítico"}),"")</f>
        <v/>
      </c>
      <c r="AH73" s="28">
        <f>IF(AG73="","",IF(OR(AG73="Crítico",AG73="Alto"),"Mitigar",IF(AG73="Medio","Mitigar","Aceptar y monitorear")))</f>
        <v/>
      </c>
      <c r="AI73" s="21" t="n"/>
      <c r="AJ73" s="21" t="n"/>
      <c r="AK73" s="20" t="n"/>
      <c r="AL73" s="77">
        <f>IFERROR(INDEX(MgAmenEfic,MATCH(SUBSTITUTE($H73,"*","-"),MgAmenClave,0)),0)</f>
        <v/>
      </c>
    </row>
    <row r="74" hidden="1" ht="120" customHeight="1" s="54">
      <c r="B74" s="59" t="inlineStr">
        <is>
          <t>R-0069</t>
        </is>
      </c>
      <c r="C74" s="59" t="inlineStr">
        <is>
          <t>TEC-010</t>
        </is>
      </c>
      <c r="D74" s="64">
        <f>IFERROR(INDEX(MgNombre,MATCH($C74,MgActId,0)),"")</f>
        <v/>
      </c>
      <c r="E74" s="64">
        <f>IFERROR(INDEX(MgProceso,MATCH($C74,MgActId,0)),"")</f>
        <v/>
      </c>
      <c r="F74" s="64">
        <f>IFERROR(INDEX(MgTipo,MATCH($C74,MgActId,0)),"")</f>
        <v/>
      </c>
      <c r="G74" s="64">
        <f>IFERROR(INDEX(MgSubtipo,MATCH($C74,MgActId,0)),"")</f>
        <v/>
      </c>
      <c r="H74" s="59" t="inlineStr">
        <is>
          <t>E.2</t>
        </is>
      </c>
      <c r="I74" s="64">
        <f>IFERROR(INDEX(MgAmenNombre,MATCH(SUBSTITUTE($H74,"*","-"),MgAmenClave,0)),"")</f>
        <v/>
      </c>
      <c r="J74" s="28">
        <f>IFERROR(INDEX(MgAmenGrupo,MATCH(SUBSTITUTE($H74,"*","-"),MgAmenClave,0)),"")</f>
        <v/>
      </c>
      <c r="K74" s="64">
        <f>IFERROR(INDEX('1. Matriz de Activos'!$Q$6:$Q$239,MATCH($C74,MgActId,0)),"")</f>
        <v/>
      </c>
      <c r="L74" s="64">
        <f>IFERROR(INDEX('1. Matriz de Activos'!$R$6:$R$239,MATCH($C74,MgActId,0)),"")</f>
        <v/>
      </c>
      <c r="M74" s="64">
        <f>IFERROR(INDEX('1. Matriz de Activos'!$S$6:$S$239,MATCH($C74,MgActId,0)),"")</f>
        <v/>
      </c>
      <c r="N74" s="28">
        <f>IFERROR(INDEX(MgAmenDegD,MATCH(SUBSTITUTE($H74,"*","-"),MgAmenClave,0)),"No aplica")</f>
        <v/>
      </c>
      <c r="O74" s="28">
        <f>IFERROR(INDEX(MgAmenDegI,MATCH(SUBSTITUTE($H74,"*","-"),MgAmenClave,0)),"No aplica")</f>
        <v/>
      </c>
      <c r="P74" s="28">
        <f>IFERROR(INDEX(MgAmenDegC,MATCH(SUBSTITUTE($H74,"*","-"),MgAmenClave,0)),"No aplica")</f>
        <v/>
      </c>
      <c r="Q74" s="29">
        <f>IFERROR(VLOOKUP(K74,MgValor,2,0)*VLOOKUP(N74,MgDeg,2,0),0)</f>
        <v/>
      </c>
      <c r="R74" s="29">
        <f>IFERROR(VLOOKUP(L74,MgValor,2,0)*VLOOKUP(O74,MgDeg,2,0),0)</f>
        <v/>
      </c>
      <c r="S74" s="29">
        <f>IFERROR(VLOOKUP(M74,MgValor,2,0)*VLOOKUP(P74,MgDeg,2,0),0)</f>
        <v/>
      </c>
      <c r="T74" s="30">
        <f>MAX(Q74:S74)</f>
        <v/>
      </c>
      <c r="U74" s="28">
        <f>IFERROR(LOOKUP(T74,{0;0.5;1.5;3;4.5},{"Despreciable";"Bajo";"Medio";"Alto";"Muy alto"}),"")</f>
        <v/>
      </c>
      <c r="V74" s="13">
        <f>IFERROR(INDEX(MgAmenFrec,MATCH(SUBSTITUTE($H74,"*","-"),MgAmenClave,0)),"")</f>
        <v/>
      </c>
      <c r="W74" s="28">
        <f>IFERROR(LOOKUP(X74,{0;0.01;0.1;1;10;100},{"Muy baja";"Muy baja";"Baja";"Media";"Alta";"Muy alta"}),"")</f>
        <v/>
      </c>
      <c r="X74" s="31">
        <f>IFERROR(VLOOKUP(V74,MgFrec,2,0),0)</f>
        <v/>
      </c>
      <c r="Y74" s="30">
        <f>T74*X74</f>
        <v/>
      </c>
      <c r="Z74" s="28">
        <f>IFERROR(LOOKUP(Y74,{0;0.5;5;25},{"Bajo";"Medio";"Alto";"Crítico"}),"")</f>
        <v/>
      </c>
      <c r="AA74" s="64">
        <f>IF(T74&gt;=3,IF(X74&gt;=1,"Zona 1 — Crítica: impacto alto y ocurre al menos una vez al año","Zona 4 — Catastrófica poco probable: impacto alto pero excepcional"),IF(AND(T74&lt;1.5,X74&lt;1),"Zona 3 — Asumible: impacto bajo y muy poco frecuente","Zona 2 — Atención: riesgo intermedio"))</f>
        <v/>
      </c>
      <c r="AB74" s="64">
        <f>IFERROR(INDEX(MgAmenCtrl,MATCH(SUBSTITUTE($H74,"*","-"),MgAmenClave,0)),"")</f>
        <v/>
      </c>
      <c r="AC74" s="20" t="n"/>
      <c r="AD74" s="31">
        <f>IFERROR($X74*(1-IF($AC74="",$AL74,VLOOKUP($AC74,MgMad,2,0))),"")</f>
        <v/>
      </c>
      <c r="AE74" s="28">
        <f>IFERROR(LOOKUP(AD74,{0;0.01;0.1;1;10;100},{"Muy baja";"Muy baja";"Baja";"Media";"Alta";"Muy alta"}),"")</f>
        <v/>
      </c>
      <c r="AF74" s="30">
        <f>T74*AD74</f>
        <v/>
      </c>
      <c r="AG74" s="28">
        <f>IFERROR(LOOKUP(AF74,{0;0.5;5;25},{"Bajo";"Medio";"Alto";"Crítico"}),"")</f>
        <v/>
      </c>
      <c r="AH74" s="28">
        <f>IF(AG74="","",IF(OR(AG74="Crítico",AG74="Alto"),"Mitigar",IF(AG74="Medio","Mitigar","Aceptar y monitorear")))</f>
        <v/>
      </c>
      <c r="AI74" s="21" t="n"/>
      <c r="AJ74" s="21" t="n"/>
      <c r="AK74" s="20" t="n"/>
      <c r="AL74" s="77">
        <f>IFERROR(INDEX(MgAmenEfic,MATCH(SUBSTITUTE($H74,"*","-"),MgAmenClave,0)),0)</f>
        <v/>
      </c>
    </row>
    <row r="75" hidden="1" ht="60" customHeight="1" s="54">
      <c r="B75" s="59" t="inlineStr">
        <is>
          <t>R-0070</t>
        </is>
      </c>
      <c r="C75" s="59" t="inlineStr">
        <is>
          <t>TEC-010</t>
        </is>
      </c>
      <c r="D75" s="64">
        <f>IFERROR(INDEX(MgNombre,MATCH($C75,MgActId,0)),"")</f>
        <v/>
      </c>
      <c r="E75" s="64">
        <f>IFERROR(INDEX(MgProceso,MATCH($C75,MgActId,0)),"")</f>
        <v/>
      </c>
      <c r="F75" s="64">
        <f>IFERROR(INDEX(MgTipo,MATCH($C75,MgActId,0)),"")</f>
        <v/>
      </c>
      <c r="G75" s="64">
        <f>IFERROR(INDEX(MgSubtipo,MATCH($C75,MgActId,0)),"")</f>
        <v/>
      </c>
      <c r="H75" s="59" t="inlineStr">
        <is>
          <t>E.9</t>
        </is>
      </c>
      <c r="I75" s="64">
        <f>IFERROR(INDEX(MgAmenNombre,MATCH(SUBSTITUTE($H75,"*","-"),MgAmenClave,0)),"")</f>
        <v/>
      </c>
      <c r="J75" s="28">
        <f>IFERROR(INDEX(MgAmenGrupo,MATCH(SUBSTITUTE($H75,"*","-"),MgAmenClave,0)),"")</f>
        <v/>
      </c>
      <c r="K75" s="64">
        <f>IFERROR(INDEX('1. Matriz de Activos'!$Q$6:$Q$239,MATCH($C75,MgActId,0)),"")</f>
        <v/>
      </c>
      <c r="L75" s="64">
        <f>IFERROR(INDEX('1. Matriz de Activos'!$R$6:$R$239,MATCH($C75,MgActId,0)),"")</f>
        <v/>
      </c>
      <c r="M75" s="64">
        <f>IFERROR(INDEX('1. Matriz de Activos'!$S$6:$S$239,MATCH($C75,MgActId,0)),"")</f>
        <v/>
      </c>
      <c r="N75" s="28">
        <f>IFERROR(INDEX(MgAmenDegD,MATCH(SUBSTITUTE($H75,"*","-"),MgAmenClave,0)),"No aplica")</f>
        <v/>
      </c>
      <c r="O75" s="28">
        <f>IFERROR(INDEX(MgAmenDegI,MATCH(SUBSTITUTE($H75,"*","-"),MgAmenClave,0)),"No aplica")</f>
        <v/>
      </c>
      <c r="P75" s="28">
        <f>IFERROR(INDEX(MgAmenDegC,MATCH(SUBSTITUTE($H75,"*","-"),MgAmenClave,0)),"No aplica")</f>
        <v/>
      </c>
      <c r="Q75" s="29">
        <f>IFERROR(VLOOKUP(K75,MgValor,2,0)*VLOOKUP(N75,MgDeg,2,0),0)</f>
        <v/>
      </c>
      <c r="R75" s="29">
        <f>IFERROR(VLOOKUP(L75,MgValor,2,0)*VLOOKUP(O75,MgDeg,2,0),0)</f>
        <v/>
      </c>
      <c r="S75" s="29">
        <f>IFERROR(VLOOKUP(M75,MgValor,2,0)*VLOOKUP(P75,MgDeg,2,0),0)</f>
        <v/>
      </c>
      <c r="T75" s="30">
        <f>MAX(Q75:S75)</f>
        <v/>
      </c>
      <c r="U75" s="28">
        <f>IFERROR(LOOKUP(T75,{0;0.5;1.5;3;4.5},{"Despreciable";"Bajo";"Medio";"Alto";"Muy alto"}),"")</f>
        <v/>
      </c>
      <c r="V75" s="13">
        <f>IFERROR(INDEX(MgAmenFrec,MATCH(SUBSTITUTE($H75,"*","-"),MgAmenClave,0)),"")</f>
        <v/>
      </c>
      <c r="W75" s="28">
        <f>IFERROR(LOOKUP(X75,{0;0.01;0.1;1;10;100},{"Muy baja";"Muy baja";"Baja";"Media";"Alta";"Muy alta"}),"")</f>
        <v/>
      </c>
      <c r="X75" s="31">
        <f>IFERROR(VLOOKUP(V75,MgFrec,2,0),0)</f>
        <v/>
      </c>
      <c r="Y75" s="30">
        <f>T75*X75</f>
        <v/>
      </c>
      <c r="Z75" s="28">
        <f>IFERROR(LOOKUP(Y75,{0;0.5;5;25},{"Bajo";"Medio";"Alto";"Crítico"}),"")</f>
        <v/>
      </c>
      <c r="AA75" s="64">
        <f>IF(T75&gt;=3,IF(X75&gt;=1,"Zona 1 — Crítica: impacto alto y ocurre al menos una vez al año","Zona 4 — Catastrófica poco probable: impacto alto pero excepcional"),IF(AND(T75&lt;1.5,X75&lt;1),"Zona 3 — Asumible: impacto bajo y muy poco frecuente","Zona 2 — Atención: riesgo intermedio"))</f>
        <v/>
      </c>
      <c r="AB75" s="64">
        <f>IFERROR(INDEX(MgAmenCtrl,MATCH(SUBSTITUTE($H75,"*","-"),MgAmenClave,0)),"")</f>
        <v/>
      </c>
      <c r="AC75" s="20" t="n"/>
      <c r="AD75" s="31">
        <f>IFERROR($X75*(1-IF($AC75="",$AL75,VLOOKUP($AC75,MgMad,2,0))),"")</f>
        <v/>
      </c>
      <c r="AE75" s="28">
        <f>IFERROR(LOOKUP(AD75,{0;0.01;0.1;1;10;100},{"Muy baja";"Muy baja";"Baja";"Media";"Alta";"Muy alta"}),"")</f>
        <v/>
      </c>
      <c r="AF75" s="30">
        <f>T75*AD75</f>
        <v/>
      </c>
      <c r="AG75" s="28">
        <f>IFERROR(LOOKUP(AF75,{0;0.5;5;25},{"Bajo";"Medio";"Alto";"Crítico"}),"")</f>
        <v/>
      </c>
      <c r="AH75" s="28">
        <f>IF(AG75="","",IF(OR(AG75="Crítico",AG75="Alto"),"Mitigar",IF(AG75="Medio","Mitigar","Aceptar y monitorear")))</f>
        <v/>
      </c>
      <c r="AI75" s="21" t="n"/>
      <c r="AJ75" s="21" t="n"/>
      <c r="AK75" s="20" t="n"/>
      <c r="AL75" s="77">
        <f>IFERROR(INDEX(MgAmenEfic,MATCH(SUBSTITUTE($H75,"*","-"),MgAmenClave,0)),0)</f>
        <v/>
      </c>
    </row>
    <row r="76" hidden="1" ht="90" customHeight="1" s="54">
      <c r="B76" s="59" t="inlineStr">
        <is>
          <t>R-0071</t>
        </is>
      </c>
      <c r="C76" s="59" t="inlineStr">
        <is>
          <t>TEC-010</t>
        </is>
      </c>
      <c r="D76" s="64">
        <f>IFERROR(INDEX(MgNombre,MATCH($C76,MgActId,0)),"")</f>
        <v/>
      </c>
      <c r="E76" s="64">
        <f>IFERROR(INDEX(MgProceso,MATCH($C76,MgActId,0)),"")</f>
        <v/>
      </c>
      <c r="F76" s="64">
        <f>IFERROR(INDEX(MgTipo,MATCH($C76,MgActId,0)),"")</f>
        <v/>
      </c>
      <c r="G76" s="64">
        <f>IFERROR(INDEX(MgSubtipo,MATCH($C76,MgActId,0)),"")</f>
        <v/>
      </c>
      <c r="H76" s="59" t="inlineStr">
        <is>
          <t>E.10</t>
        </is>
      </c>
      <c r="I76" s="64">
        <f>IFERROR(INDEX(MgAmenNombre,MATCH(SUBSTITUTE($H76,"*","-"),MgAmenClave,0)),"")</f>
        <v/>
      </c>
      <c r="J76" s="28">
        <f>IFERROR(INDEX(MgAmenGrupo,MATCH(SUBSTITUTE($H76,"*","-"),MgAmenClave,0)),"")</f>
        <v/>
      </c>
      <c r="K76" s="64">
        <f>IFERROR(INDEX('1. Matriz de Activos'!$Q$6:$Q$239,MATCH($C76,MgActId,0)),"")</f>
        <v/>
      </c>
      <c r="L76" s="64">
        <f>IFERROR(INDEX('1. Matriz de Activos'!$R$6:$R$239,MATCH($C76,MgActId,0)),"")</f>
        <v/>
      </c>
      <c r="M76" s="64">
        <f>IFERROR(INDEX('1. Matriz de Activos'!$S$6:$S$239,MATCH($C76,MgActId,0)),"")</f>
        <v/>
      </c>
      <c r="N76" s="28">
        <f>IFERROR(INDEX(MgAmenDegD,MATCH(SUBSTITUTE($H76,"*","-"),MgAmenClave,0)),"No aplica")</f>
        <v/>
      </c>
      <c r="O76" s="28">
        <f>IFERROR(INDEX(MgAmenDegI,MATCH(SUBSTITUTE($H76,"*","-"),MgAmenClave,0)),"No aplica")</f>
        <v/>
      </c>
      <c r="P76" s="28">
        <f>IFERROR(INDEX(MgAmenDegC,MATCH(SUBSTITUTE($H76,"*","-"),MgAmenClave,0)),"No aplica")</f>
        <v/>
      </c>
      <c r="Q76" s="29">
        <f>IFERROR(VLOOKUP(K76,MgValor,2,0)*VLOOKUP(N76,MgDeg,2,0),0)</f>
        <v/>
      </c>
      <c r="R76" s="29">
        <f>IFERROR(VLOOKUP(L76,MgValor,2,0)*VLOOKUP(O76,MgDeg,2,0),0)</f>
        <v/>
      </c>
      <c r="S76" s="29">
        <f>IFERROR(VLOOKUP(M76,MgValor,2,0)*VLOOKUP(P76,MgDeg,2,0),0)</f>
        <v/>
      </c>
      <c r="T76" s="30">
        <f>MAX(Q76:S76)</f>
        <v/>
      </c>
      <c r="U76" s="28">
        <f>IFERROR(LOOKUP(T76,{0;0.5;1.5;3;4.5},{"Despreciable";"Bajo";"Medio";"Alto";"Muy alto"}),"")</f>
        <v/>
      </c>
      <c r="V76" s="13">
        <f>IFERROR(INDEX(MgAmenFrec,MATCH(SUBSTITUTE($H76,"*","-"),MgAmenClave,0)),"")</f>
        <v/>
      </c>
      <c r="W76" s="28">
        <f>IFERROR(LOOKUP(X76,{0;0.01;0.1;1;10;100},{"Muy baja";"Muy baja";"Baja";"Media";"Alta";"Muy alta"}),"")</f>
        <v/>
      </c>
      <c r="X76" s="31">
        <f>IFERROR(VLOOKUP(V76,MgFrec,2,0),0)</f>
        <v/>
      </c>
      <c r="Y76" s="30">
        <f>T76*X76</f>
        <v/>
      </c>
      <c r="Z76" s="28">
        <f>IFERROR(LOOKUP(Y76,{0;0.5;5;25},{"Bajo";"Medio";"Alto";"Crítico"}),"")</f>
        <v/>
      </c>
      <c r="AA76" s="64">
        <f>IF(T76&gt;=3,IF(X76&gt;=1,"Zona 1 — Crítica: impacto alto y ocurre al menos una vez al año","Zona 4 — Catastrófica poco probable: impacto alto pero excepcional"),IF(AND(T76&lt;1.5,X76&lt;1),"Zona 3 — Asumible: impacto bajo y muy poco frecuente","Zona 2 — Atención: riesgo intermedio"))</f>
        <v/>
      </c>
      <c r="AB76" s="64">
        <f>IFERROR(INDEX(MgAmenCtrl,MATCH(SUBSTITUTE($H76,"*","-"),MgAmenClave,0)),"")</f>
        <v/>
      </c>
      <c r="AC76" s="20" t="n"/>
      <c r="AD76" s="31">
        <f>IFERROR($X76*(1-IF($AC76="",$AL76,VLOOKUP($AC76,MgMad,2,0))),"")</f>
        <v/>
      </c>
      <c r="AE76" s="28">
        <f>IFERROR(LOOKUP(AD76,{0;0.01;0.1;1;10;100},{"Muy baja";"Muy baja";"Baja";"Media";"Alta";"Muy alta"}),"")</f>
        <v/>
      </c>
      <c r="AF76" s="30">
        <f>T76*AD76</f>
        <v/>
      </c>
      <c r="AG76" s="28">
        <f>IFERROR(LOOKUP(AF76,{0;0.5;5;25},{"Bajo";"Medio";"Alto";"Crítico"}),"")</f>
        <v/>
      </c>
      <c r="AH76" s="28">
        <f>IF(AG76="","",IF(OR(AG76="Crítico",AG76="Alto"),"Mitigar",IF(AG76="Medio","Mitigar","Aceptar y monitorear")))</f>
        <v/>
      </c>
      <c r="AI76" s="21" t="n"/>
      <c r="AJ76" s="21" t="n"/>
      <c r="AK76" s="20" t="n"/>
      <c r="AL76" s="77">
        <f>IFERROR(INDEX(MgAmenEfic,MATCH(SUBSTITUTE($H76,"*","-"),MgAmenClave,0)),0)</f>
        <v/>
      </c>
    </row>
    <row r="77" hidden="1" ht="90" customHeight="1" s="54">
      <c r="B77" s="59" t="inlineStr">
        <is>
          <t>R-0072</t>
        </is>
      </c>
      <c r="C77" s="59" t="inlineStr">
        <is>
          <t>TEC-010</t>
        </is>
      </c>
      <c r="D77" s="64">
        <f>IFERROR(INDEX(MgNombre,MATCH($C77,MgActId,0)),"")</f>
        <v/>
      </c>
      <c r="E77" s="64">
        <f>IFERROR(INDEX(MgProceso,MATCH($C77,MgActId,0)),"")</f>
        <v/>
      </c>
      <c r="F77" s="64">
        <f>IFERROR(INDEX(MgTipo,MATCH($C77,MgActId,0)),"")</f>
        <v/>
      </c>
      <c r="G77" s="64">
        <f>IFERROR(INDEX(MgSubtipo,MATCH($C77,MgActId,0)),"")</f>
        <v/>
      </c>
      <c r="H77" s="59" t="inlineStr">
        <is>
          <t>E.14</t>
        </is>
      </c>
      <c r="I77" s="64">
        <f>IFERROR(INDEX(MgAmenNombre,MATCH(SUBSTITUTE($H77,"*","-"),MgAmenClave,0)),"")</f>
        <v/>
      </c>
      <c r="J77" s="28">
        <f>IFERROR(INDEX(MgAmenGrupo,MATCH(SUBSTITUTE($H77,"*","-"),MgAmenClave,0)),"")</f>
        <v/>
      </c>
      <c r="K77" s="64">
        <f>IFERROR(INDEX('1. Matriz de Activos'!$Q$6:$Q$239,MATCH($C77,MgActId,0)),"")</f>
        <v/>
      </c>
      <c r="L77" s="64">
        <f>IFERROR(INDEX('1. Matriz de Activos'!$R$6:$R$239,MATCH($C77,MgActId,0)),"")</f>
        <v/>
      </c>
      <c r="M77" s="64">
        <f>IFERROR(INDEX('1. Matriz de Activos'!$S$6:$S$239,MATCH($C77,MgActId,0)),"")</f>
        <v/>
      </c>
      <c r="N77" s="28">
        <f>IFERROR(INDEX(MgAmenDegD,MATCH(SUBSTITUTE($H77,"*","-"),MgAmenClave,0)),"No aplica")</f>
        <v/>
      </c>
      <c r="O77" s="28">
        <f>IFERROR(INDEX(MgAmenDegI,MATCH(SUBSTITUTE($H77,"*","-"),MgAmenClave,0)),"No aplica")</f>
        <v/>
      </c>
      <c r="P77" s="28">
        <f>IFERROR(INDEX(MgAmenDegC,MATCH(SUBSTITUTE($H77,"*","-"),MgAmenClave,0)),"No aplica")</f>
        <v/>
      </c>
      <c r="Q77" s="29">
        <f>IFERROR(VLOOKUP(K77,MgValor,2,0)*VLOOKUP(N77,MgDeg,2,0),0)</f>
        <v/>
      </c>
      <c r="R77" s="29">
        <f>IFERROR(VLOOKUP(L77,MgValor,2,0)*VLOOKUP(O77,MgDeg,2,0),0)</f>
        <v/>
      </c>
      <c r="S77" s="29">
        <f>IFERROR(VLOOKUP(M77,MgValor,2,0)*VLOOKUP(P77,MgDeg,2,0),0)</f>
        <v/>
      </c>
      <c r="T77" s="30">
        <f>MAX(Q77:S77)</f>
        <v/>
      </c>
      <c r="U77" s="28">
        <f>IFERROR(LOOKUP(T77,{0;0.5;1.5;3;4.5},{"Despreciable";"Bajo";"Medio";"Alto";"Muy alto"}),"")</f>
        <v/>
      </c>
      <c r="V77" s="13">
        <f>IFERROR(INDEX(MgAmenFrec,MATCH(SUBSTITUTE($H77,"*","-"),MgAmenClave,0)),"")</f>
        <v/>
      </c>
      <c r="W77" s="28">
        <f>IFERROR(LOOKUP(X77,{0;0.01;0.1;1;10;100},{"Muy baja";"Muy baja";"Baja";"Media";"Alta";"Muy alta"}),"")</f>
        <v/>
      </c>
      <c r="X77" s="31">
        <f>IFERROR(VLOOKUP(V77,MgFrec,2,0),0)</f>
        <v/>
      </c>
      <c r="Y77" s="30">
        <f>T77*X77</f>
        <v/>
      </c>
      <c r="Z77" s="28">
        <f>IFERROR(LOOKUP(Y77,{0;0.5;5;25},{"Bajo";"Medio";"Alto";"Crítico"}),"")</f>
        <v/>
      </c>
      <c r="AA77" s="64">
        <f>IF(T77&gt;=3,IF(X77&gt;=1,"Zona 1 — Crítica: impacto alto y ocurre al menos una vez al año","Zona 4 — Catastrófica poco probable: impacto alto pero excepcional"),IF(AND(T77&lt;1.5,X77&lt;1),"Zona 3 — Asumible: impacto bajo y muy poco frecuente","Zona 2 — Atención: riesgo intermedio"))</f>
        <v/>
      </c>
      <c r="AB77" s="64">
        <f>IFERROR(INDEX(MgAmenCtrl,MATCH(SUBSTITUTE($H77,"*","-"),MgAmenClave,0)),"")</f>
        <v/>
      </c>
      <c r="AC77" s="20" t="n"/>
      <c r="AD77" s="31">
        <f>IFERROR($X77*(1-IF($AC77="",$AL77,VLOOKUP($AC77,MgMad,2,0))),"")</f>
        <v/>
      </c>
      <c r="AE77" s="28">
        <f>IFERROR(LOOKUP(AD77,{0;0.01;0.1;1;10;100},{"Muy baja";"Muy baja";"Baja";"Media";"Alta";"Muy alta"}),"")</f>
        <v/>
      </c>
      <c r="AF77" s="30">
        <f>T77*AD77</f>
        <v/>
      </c>
      <c r="AG77" s="28">
        <f>IFERROR(LOOKUP(AF77,{0;0.5;5;25},{"Bajo";"Medio";"Alto";"Crítico"}),"")</f>
        <v/>
      </c>
      <c r="AH77" s="28">
        <f>IF(AG77="","",IF(OR(AG77="Crítico",AG77="Alto"),"Mitigar",IF(AG77="Medio","Mitigar","Aceptar y monitorear")))</f>
        <v/>
      </c>
      <c r="AI77" s="21" t="n"/>
      <c r="AJ77" s="21" t="n"/>
      <c r="AK77" s="20" t="n"/>
      <c r="AL77" s="77">
        <f>IFERROR(INDEX(MgAmenEfic,MATCH(SUBSTITUTE($H77,"*","-"),MgAmenClave,0)),0)</f>
        <v/>
      </c>
    </row>
    <row r="78" hidden="1" ht="90" customHeight="1" s="54">
      <c r="B78" s="59" t="inlineStr">
        <is>
          <t>R-0073</t>
        </is>
      </c>
      <c r="C78" s="59" t="inlineStr">
        <is>
          <t>TEC-010</t>
        </is>
      </c>
      <c r="D78" s="64">
        <f>IFERROR(INDEX(MgNombre,MATCH($C78,MgActId,0)),"")</f>
        <v/>
      </c>
      <c r="E78" s="64">
        <f>IFERROR(INDEX(MgProceso,MATCH($C78,MgActId,0)),"")</f>
        <v/>
      </c>
      <c r="F78" s="64">
        <f>IFERROR(INDEX(MgTipo,MATCH($C78,MgActId,0)),"")</f>
        <v/>
      </c>
      <c r="G78" s="64">
        <f>IFERROR(INDEX(MgSubtipo,MATCH($C78,MgActId,0)),"")</f>
        <v/>
      </c>
      <c r="H78" s="59" t="inlineStr">
        <is>
          <t>E.15</t>
        </is>
      </c>
      <c r="I78" s="64">
        <f>IFERROR(INDEX(MgAmenNombre,MATCH(SUBSTITUTE($H78,"*","-"),MgAmenClave,0)),"")</f>
        <v/>
      </c>
      <c r="J78" s="28">
        <f>IFERROR(INDEX(MgAmenGrupo,MATCH(SUBSTITUTE($H78,"*","-"),MgAmenClave,0)),"")</f>
        <v/>
      </c>
      <c r="K78" s="64">
        <f>IFERROR(INDEX('1. Matriz de Activos'!$Q$6:$Q$239,MATCH($C78,MgActId,0)),"")</f>
        <v/>
      </c>
      <c r="L78" s="64">
        <f>IFERROR(INDEX('1. Matriz de Activos'!$R$6:$R$239,MATCH($C78,MgActId,0)),"")</f>
        <v/>
      </c>
      <c r="M78" s="64">
        <f>IFERROR(INDEX('1. Matriz de Activos'!$S$6:$S$239,MATCH($C78,MgActId,0)),"")</f>
        <v/>
      </c>
      <c r="N78" s="28">
        <f>IFERROR(INDEX(MgAmenDegD,MATCH(SUBSTITUTE($H78,"*","-"),MgAmenClave,0)),"No aplica")</f>
        <v/>
      </c>
      <c r="O78" s="28">
        <f>IFERROR(INDEX(MgAmenDegI,MATCH(SUBSTITUTE($H78,"*","-"),MgAmenClave,0)),"No aplica")</f>
        <v/>
      </c>
      <c r="P78" s="28">
        <f>IFERROR(INDEX(MgAmenDegC,MATCH(SUBSTITUTE($H78,"*","-"),MgAmenClave,0)),"No aplica")</f>
        <v/>
      </c>
      <c r="Q78" s="29">
        <f>IFERROR(VLOOKUP(K78,MgValor,2,0)*VLOOKUP(N78,MgDeg,2,0),0)</f>
        <v/>
      </c>
      <c r="R78" s="29">
        <f>IFERROR(VLOOKUP(L78,MgValor,2,0)*VLOOKUP(O78,MgDeg,2,0),0)</f>
        <v/>
      </c>
      <c r="S78" s="29">
        <f>IFERROR(VLOOKUP(M78,MgValor,2,0)*VLOOKUP(P78,MgDeg,2,0),0)</f>
        <v/>
      </c>
      <c r="T78" s="30">
        <f>MAX(Q78:S78)</f>
        <v/>
      </c>
      <c r="U78" s="28">
        <f>IFERROR(LOOKUP(T78,{0;0.5;1.5;3;4.5},{"Despreciable";"Bajo";"Medio";"Alto";"Muy alto"}),"")</f>
        <v/>
      </c>
      <c r="V78" s="13">
        <f>IFERROR(INDEX(MgAmenFrec,MATCH(SUBSTITUTE($H78,"*","-"),MgAmenClave,0)),"")</f>
        <v/>
      </c>
      <c r="W78" s="28">
        <f>IFERROR(LOOKUP(X78,{0;0.01;0.1;1;10;100},{"Muy baja";"Muy baja";"Baja";"Media";"Alta";"Muy alta"}),"")</f>
        <v/>
      </c>
      <c r="X78" s="31">
        <f>IFERROR(VLOOKUP(V78,MgFrec,2,0),0)</f>
        <v/>
      </c>
      <c r="Y78" s="30">
        <f>T78*X78</f>
        <v/>
      </c>
      <c r="Z78" s="28">
        <f>IFERROR(LOOKUP(Y78,{0;0.5;5;25},{"Bajo";"Medio";"Alto";"Crítico"}),"")</f>
        <v/>
      </c>
      <c r="AA78" s="64">
        <f>IF(T78&gt;=3,IF(X78&gt;=1,"Zona 1 — Crítica: impacto alto y ocurre al menos una vez al año","Zona 4 — Catastrófica poco probable: impacto alto pero excepcional"),IF(AND(T78&lt;1.5,X78&lt;1),"Zona 3 — Asumible: impacto bajo y muy poco frecuente","Zona 2 — Atención: riesgo intermedio"))</f>
        <v/>
      </c>
      <c r="AB78" s="64">
        <f>IFERROR(INDEX(MgAmenCtrl,MATCH(SUBSTITUTE($H78,"*","-"),MgAmenClave,0)),"")</f>
        <v/>
      </c>
      <c r="AC78" s="20" t="n"/>
      <c r="AD78" s="31">
        <f>IFERROR($X78*(1-IF($AC78="",$AL78,VLOOKUP($AC78,MgMad,2,0))),"")</f>
        <v/>
      </c>
      <c r="AE78" s="28">
        <f>IFERROR(LOOKUP(AD78,{0;0.01;0.1;1;10;100},{"Muy baja";"Muy baja";"Baja";"Media";"Alta";"Muy alta"}),"")</f>
        <v/>
      </c>
      <c r="AF78" s="30">
        <f>T78*AD78</f>
        <v/>
      </c>
      <c r="AG78" s="28">
        <f>IFERROR(LOOKUP(AF78,{0;0.5;5;25},{"Bajo";"Medio";"Alto";"Crítico"}),"")</f>
        <v/>
      </c>
      <c r="AH78" s="28">
        <f>IF(AG78="","",IF(OR(AG78="Crítico",AG78="Alto"),"Mitigar",IF(AG78="Medio","Mitigar","Aceptar y monitorear")))</f>
        <v/>
      </c>
      <c r="AI78" s="21" t="n"/>
      <c r="AJ78" s="21" t="n"/>
      <c r="AK78" s="20" t="n"/>
      <c r="AL78" s="77">
        <f>IFERROR(INDEX(MgAmenEfic,MATCH(SUBSTITUTE($H78,"*","-"),MgAmenClave,0)),0)</f>
        <v/>
      </c>
    </row>
    <row r="79" hidden="1" ht="60" customHeight="1" s="54">
      <c r="B79" s="59" t="inlineStr">
        <is>
          <t>R-0074</t>
        </is>
      </c>
      <c r="C79" s="59" t="inlineStr">
        <is>
          <t>TEC-010</t>
        </is>
      </c>
      <c r="D79" s="64">
        <f>IFERROR(INDEX(MgNombre,MATCH($C79,MgActId,0)),"")</f>
        <v/>
      </c>
      <c r="E79" s="64">
        <f>IFERROR(INDEX(MgProceso,MATCH($C79,MgActId,0)),"")</f>
        <v/>
      </c>
      <c r="F79" s="64">
        <f>IFERROR(INDEX(MgTipo,MATCH($C79,MgActId,0)),"")</f>
        <v/>
      </c>
      <c r="G79" s="64">
        <f>IFERROR(INDEX(MgSubtipo,MATCH($C79,MgActId,0)),"")</f>
        <v/>
      </c>
      <c r="H79" s="59" t="inlineStr">
        <is>
          <t>E.18</t>
        </is>
      </c>
      <c r="I79" s="64">
        <f>IFERROR(INDEX(MgAmenNombre,MATCH(SUBSTITUTE($H79,"*","-"),MgAmenClave,0)),"")</f>
        <v/>
      </c>
      <c r="J79" s="28">
        <f>IFERROR(INDEX(MgAmenGrupo,MATCH(SUBSTITUTE($H79,"*","-"),MgAmenClave,0)),"")</f>
        <v/>
      </c>
      <c r="K79" s="64">
        <f>IFERROR(INDEX('1. Matriz de Activos'!$Q$6:$Q$239,MATCH($C79,MgActId,0)),"")</f>
        <v/>
      </c>
      <c r="L79" s="64">
        <f>IFERROR(INDEX('1. Matriz de Activos'!$R$6:$R$239,MATCH($C79,MgActId,0)),"")</f>
        <v/>
      </c>
      <c r="M79" s="64">
        <f>IFERROR(INDEX('1. Matriz de Activos'!$S$6:$S$239,MATCH($C79,MgActId,0)),"")</f>
        <v/>
      </c>
      <c r="N79" s="28">
        <f>IFERROR(INDEX(MgAmenDegD,MATCH(SUBSTITUTE($H79,"*","-"),MgAmenClave,0)),"No aplica")</f>
        <v/>
      </c>
      <c r="O79" s="28">
        <f>IFERROR(INDEX(MgAmenDegI,MATCH(SUBSTITUTE($H79,"*","-"),MgAmenClave,0)),"No aplica")</f>
        <v/>
      </c>
      <c r="P79" s="28">
        <f>IFERROR(INDEX(MgAmenDegC,MATCH(SUBSTITUTE($H79,"*","-"),MgAmenClave,0)),"No aplica")</f>
        <v/>
      </c>
      <c r="Q79" s="29">
        <f>IFERROR(VLOOKUP(K79,MgValor,2,0)*VLOOKUP(N79,MgDeg,2,0),0)</f>
        <v/>
      </c>
      <c r="R79" s="29">
        <f>IFERROR(VLOOKUP(L79,MgValor,2,0)*VLOOKUP(O79,MgDeg,2,0),0)</f>
        <v/>
      </c>
      <c r="S79" s="29">
        <f>IFERROR(VLOOKUP(M79,MgValor,2,0)*VLOOKUP(P79,MgDeg,2,0),0)</f>
        <v/>
      </c>
      <c r="T79" s="30">
        <f>MAX(Q79:S79)</f>
        <v/>
      </c>
      <c r="U79" s="28">
        <f>IFERROR(LOOKUP(T79,{0;0.5;1.5;3;4.5},{"Despreciable";"Bajo";"Medio";"Alto";"Muy alto"}),"")</f>
        <v/>
      </c>
      <c r="V79" s="13">
        <f>IFERROR(INDEX(MgAmenFrec,MATCH(SUBSTITUTE($H79,"*","-"),MgAmenClave,0)),"")</f>
        <v/>
      </c>
      <c r="W79" s="28">
        <f>IFERROR(LOOKUP(X79,{0;0.01;0.1;1;10;100},{"Muy baja";"Muy baja";"Baja";"Media";"Alta";"Muy alta"}),"")</f>
        <v/>
      </c>
      <c r="X79" s="31">
        <f>IFERROR(VLOOKUP(V79,MgFrec,2,0),0)</f>
        <v/>
      </c>
      <c r="Y79" s="30">
        <f>T79*X79</f>
        <v/>
      </c>
      <c r="Z79" s="28">
        <f>IFERROR(LOOKUP(Y79,{0;0.5;5;25},{"Bajo";"Medio";"Alto";"Crítico"}),"")</f>
        <v/>
      </c>
      <c r="AA79" s="64">
        <f>IF(T79&gt;=3,IF(X79&gt;=1,"Zona 1 — Crítica: impacto alto y ocurre al menos una vez al año","Zona 4 — Catastrófica poco probable: impacto alto pero excepcional"),IF(AND(T79&lt;1.5,X79&lt;1),"Zona 3 — Asumible: impacto bajo y muy poco frecuente","Zona 2 — Atención: riesgo intermedio"))</f>
        <v/>
      </c>
      <c r="AB79" s="64">
        <f>IFERROR(INDEX(MgAmenCtrl,MATCH(SUBSTITUTE($H79,"*","-"),MgAmenClave,0)),"")</f>
        <v/>
      </c>
      <c r="AC79" s="20" t="n"/>
      <c r="AD79" s="31">
        <f>IFERROR($X79*(1-IF($AC79="",$AL79,VLOOKUP($AC79,MgMad,2,0))),"")</f>
        <v/>
      </c>
      <c r="AE79" s="28">
        <f>IFERROR(LOOKUP(AD79,{0;0.01;0.1;1;10;100},{"Muy baja";"Muy baja";"Baja";"Media";"Alta";"Muy alta"}),"")</f>
        <v/>
      </c>
      <c r="AF79" s="30">
        <f>T79*AD79</f>
        <v/>
      </c>
      <c r="AG79" s="28">
        <f>IFERROR(LOOKUP(AF79,{0;0.5;5;25},{"Bajo";"Medio";"Alto";"Crítico"}),"")</f>
        <v/>
      </c>
      <c r="AH79" s="28">
        <f>IF(AG79="","",IF(OR(AG79="Crítico",AG79="Alto"),"Mitigar",IF(AG79="Medio","Mitigar","Aceptar y monitorear")))</f>
        <v/>
      </c>
      <c r="AI79" s="21" t="n"/>
      <c r="AJ79" s="21" t="n"/>
      <c r="AK79" s="20" t="n"/>
      <c r="AL79" s="77">
        <f>IFERROR(INDEX(MgAmenEfic,MATCH(SUBSTITUTE($H79,"*","-"),MgAmenClave,0)),0)</f>
        <v/>
      </c>
    </row>
    <row r="80" hidden="1" ht="105" customHeight="1" s="54">
      <c r="B80" s="59" t="inlineStr">
        <is>
          <t>R-0075</t>
        </is>
      </c>
      <c r="C80" s="59" t="inlineStr">
        <is>
          <t>TEC-010</t>
        </is>
      </c>
      <c r="D80" s="64">
        <f>IFERROR(INDEX(MgNombre,MATCH($C80,MgActId,0)),"")</f>
        <v/>
      </c>
      <c r="E80" s="64">
        <f>IFERROR(INDEX(MgProceso,MATCH($C80,MgActId,0)),"")</f>
        <v/>
      </c>
      <c r="F80" s="64">
        <f>IFERROR(INDEX(MgTipo,MATCH($C80,MgActId,0)),"")</f>
        <v/>
      </c>
      <c r="G80" s="64">
        <f>IFERROR(INDEX(MgSubtipo,MATCH($C80,MgActId,0)),"")</f>
        <v/>
      </c>
      <c r="H80" s="59" t="inlineStr">
        <is>
          <t>E.19</t>
        </is>
      </c>
      <c r="I80" s="64">
        <f>IFERROR(INDEX(MgAmenNombre,MATCH(SUBSTITUTE($H80,"*","-"),MgAmenClave,0)),"")</f>
        <v/>
      </c>
      <c r="J80" s="28">
        <f>IFERROR(INDEX(MgAmenGrupo,MATCH(SUBSTITUTE($H80,"*","-"),MgAmenClave,0)),"")</f>
        <v/>
      </c>
      <c r="K80" s="64">
        <f>IFERROR(INDEX('1. Matriz de Activos'!$Q$6:$Q$239,MATCH($C80,MgActId,0)),"")</f>
        <v/>
      </c>
      <c r="L80" s="64">
        <f>IFERROR(INDEX('1. Matriz de Activos'!$R$6:$R$239,MATCH($C80,MgActId,0)),"")</f>
        <v/>
      </c>
      <c r="M80" s="64">
        <f>IFERROR(INDEX('1. Matriz de Activos'!$S$6:$S$239,MATCH($C80,MgActId,0)),"")</f>
        <v/>
      </c>
      <c r="N80" s="28">
        <f>IFERROR(INDEX(MgAmenDegD,MATCH(SUBSTITUTE($H80,"*","-"),MgAmenClave,0)),"No aplica")</f>
        <v/>
      </c>
      <c r="O80" s="28">
        <f>IFERROR(INDEX(MgAmenDegI,MATCH(SUBSTITUTE($H80,"*","-"),MgAmenClave,0)),"No aplica")</f>
        <v/>
      </c>
      <c r="P80" s="28">
        <f>IFERROR(INDEX(MgAmenDegC,MATCH(SUBSTITUTE($H80,"*","-"),MgAmenClave,0)),"No aplica")</f>
        <v/>
      </c>
      <c r="Q80" s="29">
        <f>IFERROR(VLOOKUP(K80,MgValor,2,0)*VLOOKUP(N80,MgDeg,2,0),0)</f>
        <v/>
      </c>
      <c r="R80" s="29">
        <f>IFERROR(VLOOKUP(L80,MgValor,2,0)*VLOOKUP(O80,MgDeg,2,0),0)</f>
        <v/>
      </c>
      <c r="S80" s="29">
        <f>IFERROR(VLOOKUP(M80,MgValor,2,0)*VLOOKUP(P80,MgDeg,2,0),0)</f>
        <v/>
      </c>
      <c r="T80" s="30">
        <f>MAX(Q80:S80)</f>
        <v/>
      </c>
      <c r="U80" s="28">
        <f>IFERROR(LOOKUP(T80,{0;0.5;1.5;3;4.5},{"Despreciable";"Bajo";"Medio";"Alto";"Muy alto"}),"")</f>
        <v/>
      </c>
      <c r="V80" s="13">
        <f>IFERROR(INDEX(MgAmenFrec,MATCH(SUBSTITUTE($H80,"*","-"),MgAmenClave,0)),"")</f>
        <v/>
      </c>
      <c r="W80" s="28">
        <f>IFERROR(LOOKUP(X80,{0;0.01;0.1;1;10;100},{"Muy baja";"Muy baja";"Baja";"Media";"Alta";"Muy alta"}),"")</f>
        <v/>
      </c>
      <c r="X80" s="31">
        <f>IFERROR(VLOOKUP(V80,MgFrec,2,0),0)</f>
        <v/>
      </c>
      <c r="Y80" s="30">
        <f>T80*X80</f>
        <v/>
      </c>
      <c r="Z80" s="28">
        <f>IFERROR(LOOKUP(Y80,{0;0.5;5;25},{"Bajo";"Medio";"Alto";"Crítico"}),"")</f>
        <v/>
      </c>
      <c r="AA80" s="64">
        <f>IF(T80&gt;=3,IF(X80&gt;=1,"Zona 1 — Crítica: impacto alto y ocurre al menos una vez al año","Zona 4 — Catastrófica poco probable: impacto alto pero excepcional"),IF(AND(T80&lt;1.5,X80&lt;1),"Zona 3 — Asumible: impacto bajo y muy poco frecuente","Zona 2 — Atención: riesgo intermedio"))</f>
        <v/>
      </c>
      <c r="AB80" s="64">
        <f>IFERROR(INDEX(MgAmenCtrl,MATCH(SUBSTITUTE($H80,"*","-"),MgAmenClave,0)),"")</f>
        <v/>
      </c>
      <c r="AC80" s="20" t="n"/>
      <c r="AD80" s="31">
        <f>IFERROR($X80*(1-IF($AC80="",$AL80,VLOOKUP($AC80,MgMad,2,0))),"")</f>
        <v/>
      </c>
      <c r="AE80" s="28">
        <f>IFERROR(LOOKUP(AD80,{0;0.01;0.1;1;10;100},{"Muy baja";"Muy baja";"Baja";"Media";"Alta";"Muy alta"}),"")</f>
        <v/>
      </c>
      <c r="AF80" s="30">
        <f>T80*AD80</f>
        <v/>
      </c>
      <c r="AG80" s="28">
        <f>IFERROR(LOOKUP(AF80,{0;0.5;5;25},{"Bajo";"Medio";"Alto";"Crítico"}),"")</f>
        <v/>
      </c>
      <c r="AH80" s="28">
        <f>IF(AG80="","",IF(OR(AG80="Crítico",AG80="Alto"),"Mitigar",IF(AG80="Medio","Mitigar","Aceptar y monitorear")))</f>
        <v/>
      </c>
      <c r="AI80" s="21" t="n"/>
      <c r="AJ80" s="21" t="n"/>
      <c r="AK80" s="20" t="n"/>
      <c r="AL80" s="77">
        <f>IFERROR(INDEX(MgAmenEfic,MATCH(SUBSTITUTE($H80,"*","-"),MgAmenClave,0)),0)</f>
        <v/>
      </c>
    </row>
    <row r="81" hidden="1" ht="45" customHeight="1" s="54">
      <c r="B81" s="59" t="inlineStr">
        <is>
          <t>R-0076</t>
        </is>
      </c>
      <c r="C81" s="59" t="inlineStr">
        <is>
          <t>TEC-010</t>
        </is>
      </c>
      <c r="D81" s="64">
        <f>IFERROR(INDEX(MgNombre,MATCH($C81,MgActId,0)),"")</f>
        <v/>
      </c>
      <c r="E81" s="64">
        <f>IFERROR(INDEX(MgProceso,MATCH($C81,MgActId,0)),"")</f>
        <v/>
      </c>
      <c r="F81" s="64">
        <f>IFERROR(INDEX(MgTipo,MATCH($C81,MgActId,0)),"")</f>
        <v/>
      </c>
      <c r="G81" s="64">
        <f>IFERROR(INDEX(MgSubtipo,MATCH($C81,MgActId,0)),"")</f>
        <v/>
      </c>
      <c r="H81" s="59" t="inlineStr">
        <is>
          <t>E.24</t>
        </is>
      </c>
      <c r="I81" s="64">
        <f>IFERROR(INDEX(MgAmenNombre,MATCH(SUBSTITUTE($H81,"*","-"),MgAmenClave,0)),"")</f>
        <v/>
      </c>
      <c r="J81" s="28">
        <f>IFERROR(INDEX(MgAmenGrupo,MATCH(SUBSTITUTE($H81,"*","-"),MgAmenClave,0)),"")</f>
        <v/>
      </c>
      <c r="K81" s="64">
        <f>IFERROR(INDEX('1. Matriz de Activos'!$Q$6:$Q$239,MATCH($C81,MgActId,0)),"")</f>
        <v/>
      </c>
      <c r="L81" s="64">
        <f>IFERROR(INDEX('1. Matriz de Activos'!$R$6:$R$239,MATCH($C81,MgActId,0)),"")</f>
        <v/>
      </c>
      <c r="M81" s="64">
        <f>IFERROR(INDEX('1. Matriz de Activos'!$S$6:$S$239,MATCH($C81,MgActId,0)),"")</f>
        <v/>
      </c>
      <c r="N81" s="28">
        <f>IFERROR(INDEX(MgAmenDegD,MATCH(SUBSTITUTE($H81,"*","-"),MgAmenClave,0)),"No aplica")</f>
        <v/>
      </c>
      <c r="O81" s="28">
        <f>IFERROR(INDEX(MgAmenDegI,MATCH(SUBSTITUTE($H81,"*","-"),MgAmenClave,0)),"No aplica")</f>
        <v/>
      </c>
      <c r="P81" s="28">
        <f>IFERROR(INDEX(MgAmenDegC,MATCH(SUBSTITUTE($H81,"*","-"),MgAmenClave,0)),"No aplica")</f>
        <v/>
      </c>
      <c r="Q81" s="29">
        <f>IFERROR(VLOOKUP(K81,MgValor,2,0)*VLOOKUP(N81,MgDeg,2,0),0)</f>
        <v/>
      </c>
      <c r="R81" s="29">
        <f>IFERROR(VLOOKUP(L81,MgValor,2,0)*VLOOKUP(O81,MgDeg,2,0),0)</f>
        <v/>
      </c>
      <c r="S81" s="29">
        <f>IFERROR(VLOOKUP(M81,MgValor,2,0)*VLOOKUP(P81,MgDeg,2,0),0)</f>
        <v/>
      </c>
      <c r="T81" s="30">
        <f>MAX(Q81:S81)</f>
        <v/>
      </c>
      <c r="U81" s="28">
        <f>IFERROR(LOOKUP(T81,{0;0.5;1.5;3;4.5},{"Despreciable";"Bajo";"Medio";"Alto";"Muy alto"}),"")</f>
        <v/>
      </c>
      <c r="V81" s="13">
        <f>IFERROR(INDEX(MgAmenFrec,MATCH(SUBSTITUTE($H81,"*","-"),MgAmenClave,0)),"")</f>
        <v/>
      </c>
      <c r="W81" s="28">
        <f>IFERROR(LOOKUP(X81,{0;0.01;0.1;1;10;100},{"Muy baja";"Muy baja";"Baja";"Media";"Alta";"Muy alta"}),"")</f>
        <v/>
      </c>
      <c r="X81" s="31">
        <f>IFERROR(VLOOKUP(V81,MgFrec,2,0),0)</f>
        <v/>
      </c>
      <c r="Y81" s="30">
        <f>T81*X81</f>
        <v/>
      </c>
      <c r="Z81" s="28">
        <f>IFERROR(LOOKUP(Y81,{0;0.5;5;25},{"Bajo";"Medio";"Alto";"Crítico"}),"")</f>
        <v/>
      </c>
      <c r="AA81" s="64">
        <f>IF(T81&gt;=3,IF(X81&gt;=1,"Zona 1 — Crítica: impacto alto y ocurre al menos una vez al año","Zona 4 — Catastrófica poco probable: impacto alto pero excepcional"),IF(AND(T81&lt;1.5,X81&lt;1),"Zona 3 — Asumible: impacto bajo y muy poco frecuente","Zona 2 — Atención: riesgo intermedio"))</f>
        <v/>
      </c>
      <c r="AB81" s="64">
        <f>IFERROR(INDEX(MgAmenCtrl,MATCH(SUBSTITUTE($H81,"*","-"),MgAmenClave,0)),"")</f>
        <v/>
      </c>
      <c r="AC81" s="20" t="n"/>
      <c r="AD81" s="31">
        <f>IFERROR($X81*(1-IF($AC81="",$AL81,VLOOKUP($AC81,MgMad,2,0))),"")</f>
        <v/>
      </c>
      <c r="AE81" s="28">
        <f>IFERROR(LOOKUP(AD81,{0;0.01;0.1;1;10;100},{"Muy baja";"Muy baja";"Baja";"Media";"Alta";"Muy alta"}),"")</f>
        <v/>
      </c>
      <c r="AF81" s="30">
        <f>T81*AD81</f>
        <v/>
      </c>
      <c r="AG81" s="28">
        <f>IFERROR(LOOKUP(AF81,{0;0.5;5;25},{"Bajo";"Medio";"Alto";"Crítico"}),"")</f>
        <v/>
      </c>
      <c r="AH81" s="28">
        <f>IF(AG81="","",IF(OR(AG81="Crítico",AG81="Alto"),"Mitigar",IF(AG81="Medio","Mitigar","Aceptar y monitorear")))</f>
        <v/>
      </c>
      <c r="AI81" s="21" t="n"/>
      <c r="AJ81" s="21" t="n"/>
      <c r="AK81" s="20" t="n"/>
      <c r="AL81" s="77">
        <f>IFERROR(INDEX(MgAmenEfic,MATCH(SUBSTITUTE($H81,"*","-"),MgAmenClave,0)),0)</f>
        <v/>
      </c>
    </row>
    <row r="82" hidden="1" ht="75" customHeight="1" s="54">
      <c r="B82" s="59" t="inlineStr">
        <is>
          <t>R-0077</t>
        </is>
      </c>
      <c r="C82" s="59" t="inlineStr">
        <is>
          <t>TEC-010</t>
        </is>
      </c>
      <c r="D82" s="64">
        <f>IFERROR(INDEX(MgNombre,MATCH($C82,MgActId,0)),"")</f>
        <v/>
      </c>
      <c r="E82" s="64">
        <f>IFERROR(INDEX(MgProceso,MATCH($C82,MgActId,0)),"")</f>
        <v/>
      </c>
      <c r="F82" s="64">
        <f>IFERROR(INDEX(MgTipo,MATCH($C82,MgActId,0)),"")</f>
        <v/>
      </c>
      <c r="G82" s="64">
        <f>IFERROR(INDEX(MgSubtipo,MATCH($C82,MgActId,0)),"")</f>
        <v/>
      </c>
      <c r="H82" s="59" t="inlineStr">
        <is>
          <t>A.5</t>
        </is>
      </c>
      <c r="I82" s="64">
        <f>IFERROR(INDEX(MgAmenNombre,MATCH(SUBSTITUTE($H82,"*","-"),MgAmenClave,0)),"")</f>
        <v/>
      </c>
      <c r="J82" s="28">
        <f>IFERROR(INDEX(MgAmenGrupo,MATCH(SUBSTITUTE($H82,"*","-"),MgAmenClave,0)),"")</f>
        <v/>
      </c>
      <c r="K82" s="64">
        <f>IFERROR(INDEX('1. Matriz de Activos'!$Q$6:$Q$239,MATCH($C82,MgActId,0)),"")</f>
        <v/>
      </c>
      <c r="L82" s="64">
        <f>IFERROR(INDEX('1. Matriz de Activos'!$R$6:$R$239,MATCH($C82,MgActId,0)),"")</f>
        <v/>
      </c>
      <c r="M82" s="64">
        <f>IFERROR(INDEX('1. Matriz de Activos'!$S$6:$S$239,MATCH($C82,MgActId,0)),"")</f>
        <v/>
      </c>
      <c r="N82" s="28">
        <f>IFERROR(INDEX(MgAmenDegD,MATCH(SUBSTITUTE($H82,"*","-"),MgAmenClave,0)),"No aplica")</f>
        <v/>
      </c>
      <c r="O82" s="28">
        <f>IFERROR(INDEX(MgAmenDegI,MATCH(SUBSTITUTE($H82,"*","-"),MgAmenClave,0)),"No aplica")</f>
        <v/>
      </c>
      <c r="P82" s="28">
        <f>IFERROR(INDEX(MgAmenDegC,MATCH(SUBSTITUTE($H82,"*","-"),MgAmenClave,0)),"No aplica")</f>
        <v/>
      </c>
      <c r="Q82" s="29">
        <f>IFERROR(VLOOKUP(K82,MgValor,2,0)*VLOOKUP(N82,MgDeg,2,0),0)</f>
        <v/>
      </c>
      <c r="R82" s="29">
        <f>IFERROR(VLOOKUP(L82,MgValor,2,0)*VLOOKUP(O82,MgDeg,2,0),0)</f>
        <v/>
      </c>
      <c r="S82" s="29">
        <f>IFERROR(VLOOKUP(M82,MgValor,2,0)*VLOOKUP(P82,MgDeg,2,0),0)</f>
        <v/>
      </c>
      <c r="T82" s="30">
        <f>MAX(Q82:S82)</f>
        <v/>
      </c>
      <c r="U82" s="28">
        <f>IFERROR(LOOKUP(T82,{0;0.5;1.5;3;4.5},{"Despreciable";"Bajo";"Medio";"Alto";"Muy alto"}),"")</f>
        <v/>
      </c>
      <c r="V82" s="13">
        <f>IFERROR(INDEX(MgAmenFrec,MATCH(SUBSTITUTE($H82,"*","-"),MgAmenClave,0)),"")</f>
        <v/>
      </c>
      <c r="W82" s="28">
        <f>IFERROR(LOOKUP(X82,{0;0.01;0.1;1;10;100},{"Muy baja";"Muy baja";"Baja";"Media";"Alta";"Muy alta"}),"")</f>
        <v/>
      </c>
      <c r="X82" s="31">
        <f>IFERROR(VLOOKUP(V82,MgFrec,2,0),0)</f>
        <v/>
      </c>
      <c r="Y82" s="30">
        <f>T82*X82</f>
        <v/>
      </c>
      <c r="Z82" s="28">
        <f>IFERROR(LOOKUP(Y82,{0;0.5;5;25},{"Bajo";"Medio";"Alto";"Crítico"}),"")</f>
        <v/>
      </c>
      <c r="AA82" s="64">
        <f>IF(T82&gt;=3,IF(X82&gt;=1,"Zona 1 — Crítica: impacto alto y ocurre al menos una vez al año","Zona 4 — Catastrófica poco probable: impacto alto pero excepcional"),IF(AND(T82&lt;1.5,X82&lt;1),"Zona 3 — Asumible: impacto bajo y muy poco frecuente","Zona 2 — Atención: riesgo intermedio"))</f>
        <v/>
      </c>
      <c r="AB82" s="64">
        <f>IFERROR(INDEX(MgAmenCtrl,MATCH(SUBSTITUTE($H82,"*","-"),MgAmenClave,0)),"")</f>
        <v/>
      </c>
      <c r="AC82" s="20" t="n"/>
      <c r="AD82" s="31">
        <f>IFERROR($X82*(1-IF($AC82="",$AL82,VLOOKUP($AC82,MgMad,2,0))),"")</f>
        <v/>
      </c>
      <c r="AE82" s="28">
        <f>IFERROR(LOOKUP(AD82,{0;0.01;0.1;1;10;100},{"Muy baja";"Muy baja";"Baja";"Media";"Alta";"Muy alta"}),"")</f>
        <v/>
      </c>
      <c r="AF82" s="30">
        <f>T82*AD82</f>
        <v/>
      </c>
      <c r="AG82" s="28">
        <f>IFERROR(LOOKUP(AF82,{0;0.5;5;25},{"Bajo";"Medio";"Alto";"Crítico"}),"")</f>
        <v/>
      </c>
      <c r="AH82" s="28">
        <f>IF(AG82="","",IF(OR(AG82="Crítico",AG82="Alto"),"Mitigar",IF(AG82="Medio","Mitigar","Aceptar y monitorear")))</f>
        <v/>
      </c>
      <c r="AI82" s="21" t="n"/>
      <c r="AJ82" s="21" t="n"/>
      <c r="AK82" s="20" t="n"/>
      <c r="AL82" s="77">
        <f>IFERROR(INDEX(MgAmenEfic,MATCH(SUBSTITUTE($H82,"*","-"),MgAmenClave,0)),0)</f>
        <v/>
      </c>
    </row>
    <row r="83" hidden="1" ht="105" customHeight="1" s="54">
      <c r="B83" s="59" t="inlineStr">
        <is>
          <t>R-0078</t>
        </is>
      </c>
      <c r="C83" s="59" t="inlineStr">
        <is>
          <t>TEC-010</t>
        </is>
      </c>
      <c r="D83" s="64">
        <f>IFERROR(INDEX(MgNombre,MATCH($C83,MgActId,0)),"")</f>
        <v/>
      </c>
      <c r="E83" s="64">
        <f>IFERROR(INDEX(MgProceso,MATCH($C83,MgActId,0)),"")</f>
        <v/>
      </c>
      <c r="F83" s="64">
        <f>IFERROR(INDEX(MgTipo,MATCH($C83,MgActId,0)),"")</f>
        <v/>
      </c>
      <c r="G83" s="64">
        <f>IFERROR(INDEX(MgSubtipo,MATCH($C83,MgActId,0)),"")</f>
        <v/>
      </c>
      <c r="H83" s="59" t="inlineStr">
        <is>
          <t>A.6</t>
        </is>
      </c>
      <c r="I83" s="64">
        <f>IFERROR(INDEX(MgAmenNombre,MATCH(SUBSTITUTE($H83,"*","-"),MgAmenClave,0)),"")</f>
        <v/>
      </c>
      <c r="J83" s="28">
        <f>IFERROR(INDEX(MgAmenGrupo,MATCH(SUBSTITUTE($H83,"*","-"),MgAmenClave,0)),"")</f>
        <v/>
      </c>
      <c r="K83" s="64">
        <f>IFERROR(INDEX('1. Matriz de Activos'!$Q$6:$Q$239,MATCH($C83,MgActId,0)),"")</f>
        <v/>
      </c>
      <c r="L83" s="64">
        <f>IFERROR(INDEX('1. Matriz de Activos'!$R$6:$R$239,MATCH($C83,MgActId,0)),"")</f>
        <v/>
      </c>
      <c r="M83" s="64">
        <f>IFERROR(INDEX('1. Matriz de Activos'!$S$6:$S$239,MATCH($C83,MgActId,0)),"")</f>
        <v/>
      </c>
      <c r="N83" s="28">
        <f>IFERROR(INDEX(MgAmenDegD,MATCH(SUBSTITUTE($H83,"*","-"),MgAmenClave,0)),"No aplica")</f>
        <v/>
      </c>
      <c r="O83" s="28">
        <f>IFERROR(INDEX(MgAmenDegI,MATCH(SUBSTITUTE($H83,"*","-"),MgAmenClave,0)),"No aplica")</f>
        <v/>
      </c>
      <c r="P83" s="28">
        <f>IFERROR(INDEX(MgAmenDegC,MATCH(SUBSTITUTE($H83,"*","-"),MgAmenClave,0)),"No aplica")</f>
        <v/>
      </c>
      <c r="Q83" s="29">
        <f>IFERROR(VLOOKUP(K83,MgValor,2,0)*VLOOKUP(N83,MgDeg,2,0),0)</f>
        <v/>
      </c>
      <c r="R83" s="29">
        <f>IFERROR(VLOOKUP(L83,MgValor,2,0)*VLOOKUP(O83,MgDeg,2,0),0)</f>
        <v/>
      </c>
      <c r="S83" s="29">
        <f>IFERROR(VLOOKUP(M83,MgValor,2,0)*VLOOKUP(P83,MgDeg,2,0),0)</f>
        <v/>
      </c>
      <c r="T83" s="30">
        <f>MAX(Q83:S83)</f>
        <v/>
      </c>
      <c r="U83" s="28">
        <f>IFERROR(LOOKUP(T83,{0;0.5;1.5;3;4.5},{"Despreciable";"Bajo";"Medio";"Alto";"Muy alto"}),"")</f>
        <v/>
      </c>
      <c r="V83" s="13">
        <f>IFERROR(INDEX(MgAmenFrec,MATCH(SUBSTITUTE($H83,"*","-"),MgAmenClave,0)),"")</f>
        <v/>
      </c>
      <c r="W83" s="28">
        <f>IFERROR(LOOKUP(X83,{0;0.01;0.1;1;10;100},{"Muy baja";"Muy baja";"Baja";"Media";"Alta";"Muy alta"}),"")</f>
        <v/>
      </c>
      <c r="X83" s="31">
        <f>IFERROR(VLOOKUP(V83,MgFrec,2,0),0)</f>
        <v/>
      </c>
      <c r="Y83" s="30">
        <f>T83*X83</f>
        <v/>
      </c>
      <c r="Z83" s="28">
        <f>IFERROR(LOOKUP(Y83,{0;0.5;5;25},{"Bajo";"Medio";"Alto";"Crítico"}),"")</f>
        <v/>
      </c>
      <c r="AA83" s="64">
        <f>IF(T83&gt;=3,IF(X83&gt;=1,"Zona 1 — Crítica: impacto alto y ocurre al menos una vez al año","Zona 4 — Catastrófica poco probable: impacto alto pero excepcional"),IF(AND(T83&lt;1.5,X83&lt;1),"Zona 3 — Asumible: impacto bajo y muy poco frecuente","Zona 2 — Atención: riesgo intermedio"))</f>
        <v/>
      </c>
      <c r="AB83" s="64">
        <f>IFERROR(INDEX(MgAmenCtrl,MATCH(SUBSTITUTE($H83,"*","-"),MgAmenClave,0)),"")</f>
        <v/>
      </c>
      <c r="AC83" s="20" t="n"/>
      <c r="AD83" s="31">
        <f>IFERROR($X83*(1-IF($AC83="",$AL83,VLOOKUP($AC83,MgMad,2,0))),"")</f>
        <v/>
      </c>
      <c r="AE83" s="28">
        <f>IFERROR(LOOKUP(AD83,{0;0.01;0.1;1;10;100},{"Muy baja";"Muy baja";"Baja";"Media";"Alta";"Muy alta"}),"")</f>
        <v/>
      </c>
      <c r="AF83" s="30">
        <f>T83*AD83</f>
        <v/>
      </c>
      <c r="AG83" s="28">
        <f>IFERROR(LOOKUP(AF83,{0;0.5;5;25},{"Bajo";"Medio";"Alto";"Crítico"}),"")</f>
        <v/>
      </c>
      <c r="AH83" s="28">
        <f>IF(AG83="","",IF(OR(AG83="Crítico",AG83="Alto"),"Mitigar",IF(AG83="Medio","Mitigar","Aceptar y monitorear")))</f>
        <v/>
      </c>
      <c r="AI83" s="21" t="n"/>
      <c r="AJ83" s="21" t="n"/>
      <c r="AK83" s="20" t="n"/>
      <c r="AL83" s="77">
        <f>IFERROR(INDEX(MgAmenEfic,MATCH(SUBSTITUTE($H83,"*","-"),MgAmenClave,0)),0)</f>
        <v/>
      </c>
    </row>
    <row r="84" hidden="1" ht="60" customHeight="1" s="54">
      <c r="B84" s="59" t="inlineStr">
        <is>
          <t>R-0079</t>
        </is>
      </c>
      <c r="C84" s="59" t="inlineStr">
        <is>
          <t>TEC-010</t>
        </is>
      </c>
      <c r="D84" s="64">
        <f>IFERROR(INDEX(MgNombre,MATCH($C84,MgActId,0)),"")</f>
        <v/>
      </c>
      <c r="E84" s="64">
        <f>IFERROR(INDEX(MgProceso,MATCH($C84,MgActId,0)),"")</f>
        <v/>
      </c>
      <c r="F84" s="64">
        <f>IFERROR(INDEX(MgTipo,MATCH($C84,MgActId,0)),"")</f>
        <v/>
      </c>
      <c r="G84" s="64">
        <f>IFERROR(INDEX(MgSubtipo,MATCH($C84,MgActId,0)),"")</f>
        <v/>
      </c>
      <c r="H84" s="59" t="inlineStr">
        <is>
          <t>A.7</t>
        </is>
      </c>
      <c r="I84" s="64">
        <f>IFERROR(INDEX(MgAmenNombre,MATCH(SUBSTITUTE($H84,"*","-"),MgAmenClave,0)),"")</f>
        <v/>
      </c>
      <c r="J84" s="28">
        <f>IFERROR(INDEX(MgAmenGrupo,MATCH(SUBSTITUTE($H84,"*","-"),MgAmenClave,0)),"")</f>
        <v/>
      </c>
      <c r="K84" s="64">
        <f>IFERROR(INDEX('1. Matriz de Activos'!$Q$6:$Q$239,MATCH($C84,MgActId,0)),"")</f>
        <v/>
      </c>
      <c r="L84" s="64">
        <f>IFERROR(INDEX('1. Matriz de Activos'!$R$6:$R$239,MATCH($C84,MgActId,0)),"")</f>
        <v/>
      </c>
      <c r="M84" s="64">
        <f>IFERROR(INDEX('1. Matriz de Activos'!$S$6:$S$239,MATCH($C84,MgActId,0)),"")</f>
        <v/>
      </c>
      <c r="N84" s="28">
        <f>IFERROR(INDEX(MgAmenDegD,MATCH(SUBSTITUTE($H84,"*","-"),MgAmenClave,0)),"No aplica")</f>
        <v/>
      </c>
      <c r="O84" s="28">
        <f>IFERROR(INDEX(MgAmenDegI,MATCH(SUBSTITUTE($H84,"*","-"),MgAmenClave,0)),"No aplica")</f>
        <v/>
      </c>
      <c r="P84" s="28">
        <f>IFERROR(INDEX(MgAmenDegC,MATCH(SUBSTITUTE($H84,"*","-"),MgAmenClave,0)),"No aplica")</f>
        <v/>
      </c>
      <c r="Q84" s="29">
        <f>IFERROR(VLOOKUP(K84,MgValor,2,0)*VLOOKUP(N84,MgDeg,2,0),0)</f>
        <v/>
      </c>
      <c r="R84" s="29">
        <f>IFERROR(VLOOKUP(L84,MgValor,2,0)*VLOOKUP(O84,MgDeg,2,0),0)</f>
        <v/>
      </c>
      <c r="S84" s="29">
        <f>IFERROR(VLOOKUP(M84,MgValor,2,0)*VLOOKUP(P84,MgDeg,2,0),0)</f>
        <v/>
      </c>
      <c r="T84" s="30">
        <f>MAX(Q84:S84)</f>
        <v/>
      </c>
      <c r="U84" s="28">
        <f>IFERROR(LOOKUP(T84,{0;0.5;1.5;3;4.5},{"Despreciable";"Bajo";"Medio";"Alto";"Muy alto"}),"")</f>
        <v/>
      </c>
      <c r="V84" s="13">
        <f>IFERROR(INDEX(MgAmenFrec,MATCH(SUBSTITUTE($H84,"*","-"),MgAmenClave,0)),"")</f>
        <v/>
      </c>
      <c r="W84" s="28">
        <f>IFERROR(LOOKUP(X84,{0;0.01;0.1;1;10;100},{"Muy baja";"Muy baja";"Baja";"Media";"Alta";"Muy alta"}),"")</f>
        <v/>
      </c>
      <c r="X84" s="31">
        <f>IFERROR(VLOOKUP(V84,MgFrec,2,0),0)</f>
        <v/>
      </c>
      <c r="Y84" s="30">
        <f>T84*X84</f>
        <v/>
      </c>
      <c r="Z84" s="28">
        <f>IFERROR(LOOKUP(Y84,{0;0.5;5;25},{"Bajo";"Medio";"Alto";"Crítico"}),"")</f>
        <v/>
      </c>
      <c r="AA84" s="64">
        <f>IF(T84&gt;=3,IF(X84&gt;=1,"Zona 1 — Crítica: impacto alto y ocurre al menos una vez al año","Zona 4 — Catastrófica poco probable: impacto alto pero excepcional"),IF(AND(T84&lt;1.5,X84&lt;1),"Zona 3 — Asumible: impacto bajo y muy poco frecuente","Zona 2 — Atención: riesgo intermedio"))</f>
        <v/>
      </c>
      <c r="AB84" s="64">
        <f>IFERROR(INDEX(MgAmenCtrl,MATCH(SUBSTITUTE($H84,"*","-"),MgAmenClave,0)),"")</f>
        <v/>
      </c>
      <c r="AC84" s="20" t="n"/>
      <c r="AD84" s="31">
        <f>IFERROR($X84*(1-IF($AC84="",$AL84,VLOOKUP($AC84,MgMad,2,0))),"")</f>
        <v/>
      </c>
      <c r="AE84" s="28">
        <f>IFERROR(LOOKUP(AD84,{0;0.01;0.1;1;10;100},{"Muy baja";"Muy baja";"Baja";"Media";"Alta";"Muy alta"}),"")</f>
        <v/>
      </c>
      <c r="AF84" s="30">
        <f>T84*AD84</f>
        <v/>
      </c>
      <c r="AG84" s="28">
        <f>IFERROR(LOOKUP(AF84,{0;0.5;5;25},{"Bajo";"Medio";"Alto";"Crítico"}),"")</f>
        <v/>
      </c>
      <c r="AH84" s="28">
        <f>IF(AG84="","",IF(OR(AG84="Crítico",AG84="Alto"),"Mitigar",IF(AG84="Medio","Mitigar","Aceptar y monitorear")))</f>
        <v/>
      </c>
      <c r="AI84" s="21" t="n"/>
      <c r="AJ84" s="21" t="n"/>
      <c r="AK84" s="20" t="n"/>
      <c r="AL84" s="77">
        <f>IFERROR(INDEX(MgAmenEfic,MATCH(SUBSTITUTE($H84,"*","-"),MgAmenClave,0)),0)</f>
        <v/>
      </c>
    </row>
    <row r="85" hidden="1" ht="60" customHeight="1" s="54">
      <c r="B85" s="59" t="inlineStr">
        <is>
          <t>R-0080</t>
        </is>
      </c>
      <c r="C85" s="59" t="inlineStr">
        <is>
          <t>TEC-010</t>
        </is>
      </c>
      <c r="D85" s="64">
        <f>IFERROR(INDEX(MgNombre,MATCH($C85,MgActId,0)),"")</f>
        <v/>
      </c>
      <c r="E85" s="64">
        <f>IFERROR(INDEX(MgProceso,MATCH($C85,MgActId,0)),"")</f>
        <v/>
      </c>
      <c r="F85" s="64">
        <f>IFERROR(INDEX(MgTipo,MATCH($C85,MgActId,0)),"")</f>
        <v/>
      </c>
      <c r="G85" s="64">
        <f>IFERROR(INDEX(MgSubtipo,MATCH($C85,MgActId,0)),"")</f>
        <v/>
      </c>
      <c r="H85" s="59" t="inlineStr">
        <is>
          <t>A.9</t>
        </is>
      </c>
      <c r="I85" s="64">
        <f>IFERROR(INDEX(MgAmenNombre,MATCH(SUBSTITUTE($H85,"*","-"),MgAmenClave,0)),"")</f>
        <v/>
      </c>
      <c r="J85" s="28">
        <f>IFERROR(INDEX(MgAmenGrupo,MATCH(SUBSTITUTE($H85,"*","-"),MgAmenClave,0)),"")</f>
        <v/>
      </c>
      <c r="K85" s="64">
        <f>IFERROR(INDEX('1. Matriz de Activos'!$Q$6:$Q$239,MATCH($C85,MgActId,0)),"")</f>
        <v/>
      </c>
      <c r="L85" s="64">
        <f>IFERROR(INDEX('1. Matriz de Activos'!$R$6:$R$239,MATCH($C85,MgActId,0)),"")</f>
        <v/>
      </c>
      <c r="M85" s="64">
        <f>IFERROR(INDEX('1. Matriz de Activos'!$S$6:$S$239,MATCH($C85,MgActId,0)),"")</f>
        <v/>
      </c>
      <c r="N85" s="28">
        <f>IFERROR(INDEX(MgAmenDegD,MATCH(SUBSTITUTE($H85,"*","-"),MgAmenClave,0)),"No aplica")</f>
        <v/>
      </c>
      <c r="O85" s="28">
        <f>IFERROR(INDEX(MgAmenDegI,MATCH(SUBSTITUTE($H85,"*","-"),MgAmenClave,0)),"No aplica")</f>
        <v/>
      </c>
      <c r="P85" s="28">
        <f>IFERROR(INDEX(MgAmenDegC,MATCH(SUBSTITUTE($H85,"*","-"),MgAmenClave,0)),"No aplica")</f>
        <v/>
      </c>
      <c r="Q85" s="29">
        <f>IFERROR(VLOOKUP(K85,MgValor,2,0)*VLOOKUP(N85,MgDeg,2,0),0)</f>
        <v/>
      </c>
      <c r="R85" s="29">
        <f>IFERROR(VLOOKUP(L85,MgValor,2,0)*VLOOKUP(O85,MgDeg,2,0),0)</f>
        <v/>
      </c>
      <c r="S85" s="29">
        <f>IFERROR(VLOOKUP(M85,MgValor,2,0)*VLOOKUP(P85,MgDeg,2,0),0)</f>
        <v/>
      </c>
      <c r="T85" s="30">
        <f>MAX(Q85:S85)</f>
        <v/>
      </c>
      <c r="U85" s="28">
        <f>IFERROR(LOOKUP(T85,{0;0.5;1.5;3;4.5},{"Despreciable";"Bajo";"Medio";"Alto";"Muy alto"}),"")</f>
        <v/>
      </c>
      <c r="V85" s="13">
        <f>IFERROR(INDEX(MgAmenFrec,MATCH(SUBSTITUTE($H85,"*","-"),MgAmenClave,0)),"")</f>
        <v/>
      </c>
      <c r="W85" s="28">
        <f>IFERROR(LOOKUP(X85,{0;0.01;0.1;1;10;100},{"Muy baja";"Muy baja";"Baja";"Media";"Alta";"Muy alta"}),"")</f>
        <v/>
      </c>
      <c r="X85" s="31">
        <f>IFERROR(VLOOKUP(V85,MgFrec,2,0),0)</f>
        <v/>
      </c>
      <c r="Y85" s="30">
        <f>T85*X85</f>
        <v/>
      </c>
      <c r="Z85" s="28">
        <f>IFERROR(LOOKUP(Y85,{0;0.5;5;25},{"Bajo";"Medio";"Alto";"Crítico"}),"")</f>
        <v/>
      </c>
      <c r="AA85" s="64">
        <f>IF(T85&gt;=3,IF(X85&gt;=1,"Zona 1 — Crítica: impacto alto y ocurre al menos una vez al año","Zona 4 — Catastrófica poco probable: impacto alto pero excepcional"),IF(AND(T85&lt;1.5,X85&lt;1),"Zona 3 — Asumible: impacto bajo y muy poco frecuente","Zona 2 — Atención: riesgo intermedio"))</f>
        <v/>
      </c>
      <c r="AB85" s="64">
        <f>IFERROR(INDEX(MgAmenCtrl,MATCH(SUBSTITUTE($H85,"*","-"),MgAmenClave,0)),"")</f>
        <v/>
      </c>
      <c r="AC85" s="20" t="n"/>
      <c r="AD85" s="31">
        <f>IFERROR($X85*(1-IF($AC85="",$AL85,VLOOKUP($AC85,MgMad,2,0))),"")</f>
        <v/>
      </c>
      <c r="AE85" s="28">
        <f>IFERROR(LOOKUP(AD85,{0;0.01;0.1;1;10;100},{"Muy baja";"Muy baja";"Baja";"Media";"Alta";"Muy alta"}),"")</f>
        <v/>
      </c>
      <c r="AF85" s="30">
        <f>T85*AD85</f>
        <v/>
      </c>
      <c r="AG85" s="28">
        <f>IFERROR(LOOKUP(AF85,{0;0.5;5;25},{"Bajo";"Medio";"Alto";"Crítico"}),"")</f>
        <v/>
      </c>
      <c r="AH85" s="28">
        <f>IF(AG85="","",IF(OR(AG85="Crítico",AG85="Alto"),"Mitigar",IF(AG85="Medio","Mitigar","Aceptar y monitorear")))</f>
        <v/>
      </c>
      <c r="AI85" s="21" t="n"/>
      <c r="AJ85" s="21" t="n"/>
      <c r="AK85" s="20" t="n"/>
      <c r="AL85" s="77">
        <f>IFERROR(INDEX(MgAmenEfic,MATCH(SUBSTITUTE($H85,"*","-"),MgAmenClave,0)),0)</f>
        <v/>
      </c>
    </row>
    <row r="86" hidden="1" ht="45" customHeight="1" s="54">
      <c r="B86" s="59" t="inlineStr">
        <is>
          <t>R-0081</t>
        </is>
      </c>
      <c r="C86" s="59" t="inlineStr">
        <is>
          <t>TEC-010</t>
        </is>
      </c>
      <c r="D86" s="64">
        <f>IFERROR(INDEX(MgNombre,MATCH($C86,MgActId,0)),"")</f>
        <v/>
      </c>
      <c r="E86" s="64">
        <f>IFERROR(INDEX(MgProceso,MATCH($C86,MgActId,0)),"")</f>
        <v/>
      </c>
      <c r="F86" s="64">
        <f>IFERROR(INDEX(MgTipo,MATCH($C86,MgActId,0)),"")</f>
        <v/>
      </c>
      <c r="G86" s="64">
        <f>IFERROR(INDEX(MgSubtipo,MATCH($C86,MgActId,0)),"")</f>
        <v/>
      </c>
      <c r="H86" s="59" t="inlineStr">
        <is>
          <t>A.10</t>
        </is>
      </c>
      <c r="I86" s="64">
        <f>IFERROR(INDEX(MgAmenNombre,MATCH(SUBSTITUTE($H86,"*","-"),MgAmenClave,0)),"")</f>
        <v/>
      </c>
      <c r="J86" s="28">
        <f>IFERROR(INDEX(MgAmenGrupo,MATCH(SUBSTITUTE($H86,"*","-"),MgAmenClave,0)),"")</f>
        <v/>
      </c>
      <c r="K86" s="64">
        <f>IFERROR(INDEX('1. Matriz de Activos'!$Q$6:$Q$239,MATCH($C86,MgActId,0)),"")</f>
        <v/>
      </c>
      <c r="L86" s="64">
        <f>IFERROR(INDEX('1. Matriz de Activos'!$R$6:$R$239,MATCH($C86,MgActId,0)),"")</f>
        <v/>
      </c>
      <c r="M86" s="64">
        <f>IFERROR(INDEX('1. Matriz de Activos'!$S$6:$S$239,MATCH($C86,MgActId,0)),"")</f>
        <v/>
      </c>
      <c r="N86" s="28">
        <f>IFERROR(INDEX(MgAmenDegD,MATCH(SUBSTITUTE($H86,"*","-"),MgAmenClave,0)),"No aplica")</f>
        <v/>
      </c>
      <c r="O86" s="28">
        <f>IFERROR(INDEX(MgAmenDegI,MATCH(SUBSTITUTE($H86,"*","-"),MgAmenClave,0)),"No aplica")</f>
        <v/>
      </c>
      <c r="P86" s="28">
        <f>IFERROR(INDEX(MgAmenDegC,MATCH(SUBSTITUTE($H86,"*","-"),MgAmenClave,0)),"No aplica")</f>
        <v/>
      </c>
      <c r="Q86" s="29">
        <f>IFERROR(VLOOKUP(K86,MgValor,2,0)*VLOOKUP(N86,MgDeg,2,0),0)</f>
        <v/>
      </c>
      <c r="R86" s="29">
        <f>IFERROR(VLOOKUP(L86,MgValor,2,0)*VLOOKUP(O86,MgDeg,2,0),0)</f>
        <v/>
      </c>
      <c r="S86" s="29">
        <f>IFERROR(VLOOKUP(M86,MgValor,2,0)*VLOOKUP(P86,MgDeg,2,0),0)</f>
        <v/>
      </c>
      <c r="T86" s="30">
        <f>MAX(Q86:S86)</f>
        <v/>
      </c>
      <c r="U86" s="28">
        <f>IFERROR(LOOKUP(T86,{0;0.5;1.5;3;4.5},{"Despreciable";"Bajo";"Medio";"Alto";"Muy alto"}),"")</f>
        <v/>
      </c>
      <c r="V86" s="13">
        <f>IFERROR(INDEX(MgAmenFrec,MATCH(SUBSTITUTE($H86,"*","-"),MgAmenClave,0)),"")</f>
        <v/>
      </c>
      <c r="W86" s="28">
        <f>IFERROR(LOOKUP(X86,{0;0.01;0.1;1;10;100},{"Muy baja";"Muy baja";"Baja";"Media";"Alta";"Muy alta"}),"")</f>
        <v/>
      </c>
      <c r="X86" s="31">
        <f>IFERROR(VLOOKUP(V86,MgFrec,2,0),0)</f>
        <v/>
      </c>
      <c r="Y86" s="30">
        <f>T86*X86</f>
        <v/>
      </c>
      <c r="Z86" s="28">
        <f>IFERROR(LOOKUP(Y86,{0;0.5;5;25},{"Bajo";"Medio";"Alto";"Crítico"}),"")</f>
        <v/>
      </c>
      <c r="AA86" s="64">
        <f>IF(T86&gt;=3,IF(X86&gt;=1,"Zona 1 — Crítica: impacto alto y ocurre al menos una vez al año","Zona 4 — Catastrófica poco probable: impacto alto pero excepcional"),IF(AND(T86&lt;1.5,X86&lt;1),"Zona 3 — Asumible: impacto bajo y muy poco frecuente","Zona 2 — Atención: riesgo intermedio"))</f>
        <v/>
      </c>
      <c r="AB86" s="64">
        <f>IFERROR(INDEX(MgAmenCtrl,MATCH(SUBSTITUTE($H86,"*","-"),MgAmenClave,0)),"")</f>
        <v/>
      </c>
      <c r="AC86" s="20" t="n"/>
      <c r="AD86" s="31">
        <f>IFERROR($X86*(1-IF($AC86="",$AL86,VLOOKUP($AC86,MgMad,2,0))),"")</f>
        <v/>
      </c>
      <c r="AE86" s="28">
        <f>IFERROR(LOOKUP(AD86,{0;0.01;0.1;1;10;100},{"Muy baja";"Muy baja";"Baja";"Media";"Alta";"Muy alta"}),"")</f>
        <v/>
      </c>
      <c r="AF86" s="30">
        <f>T86*AD86</f>
        <v/>
      </c>
      <c r="AG86" s="28">
        <f>IFERROR(LOOKUP(AF86,{0;0.5;5;25},{"Bajo";"Medio";"Alto";"Crítico"}),"")</f>
        <v/>
      </c>
      <c r="AH86" s="28">
        <f>IF(AG86="","",IF(OR(AG86="Crítico",AG86="Alto"),"Mitigar",IF(AG86="Medio","Mitigar","Aceptar y monitorear")))</f>
        <v/>
      </c>
      <c r="AI86" s="21" t="n"/>
      <c r="AJ86" s="21" t="n"/>
      <c r="AK86" s="20" t="n"/>
      <c r="AL86" s="77">
        <f>IFERROR(INDEX(MgAmenEfic,MATCH(SUBSTITUTE($H86,"*","-"),MgAmenClave,0)),0)</f>
        <v/>
      </c>
    </row>
    <row r="87" hidden="1" ht="120" customHeight="1" s="54">
      <c r="B87" s="59" t="inlineStr">
        <is>
          <t>R-0082</t>
        </is>
      </c>
      <c r="C87" s="59" t="inlineStr">
        <is>
          <t>TEC-010</t>
        </is>
      </c>
      <c r="D87" s="64">
        <f>IFERROR(INDEX(MgNombre,MATCH($C87,MgActId,0)),"")</f>
        <v/>
      </c>
      <c r="E87" s="64">
        <f>IFERROR(INDEX(MgProceso,MATCH($C87,MgActId,0)),"")</f>
        <v/>
      </c>
      <c r="F87" s="64">
        <f>IFERROR(INDEX(MgTipo,MATCH($C87,MgActId,0)),"")</f>
        <v/>
      </c>
      <c r="G87" s="64">
        <f>IFERROR(INDEX(MgSubtipo,MATCH($C87,MgActId,0)),"")</f>
        <v/>
      </c>
      <c r="H87" s="59" t="inlineStr">
        <is>
          <t>A.11</t>
        </is>
      </c>
      <c r="I87" s="64">
        <f>IFERROR(INDEX(MgAmenNombre,MATCH(SUBSTITUTE($H87,"*","-"),MgAmenClave,0)),"")</f>
        <v/>
      </c>
      <c r="J87" s="28">
        <f>IFERROR(INDEX(MgAmenGrupo,MATCH(SUBSTITUTE($H87,"*","-"),MgAmenClave,0)),"")</f>
        <v/>
      </c>
      <c r="K87" s="64">
        <f>IFERROR(INDEX('1. Matriz de Activos'!$Q$6:$Q$239,MATCH($C87,MgActId,0)),"")</f>
        <v/>
      </c>
      <c r="L87" s="64">
        <f>IFERROR(INDEX('1. Matriz de Activos'!$R$6:$R$239,MATCH($C87,MgActId,0)),"")</f>
        <v/>
      </c>
      <c r="M87" s="64">
        <f>IFERROR(INDEX('1. Matriz de Activos'!$S$6:$S$239,MATCH($C87,MgActId,0)),"")</f>
        <v/>
      </c>
      <c r="N87" s="28">
        <f>IFERROR(INDEX(MgAmenDegD,MATCH(SUBSTITUTE($H87,"*","-"),MgAmenClave,0)),"No aplica")</f>
        <v/>
      </c>
      <c r="O87" s="28">
        <f>IFERROR(INDEX(MgAmenDegI,MATCH(SUBSTITUTE($H87,"*","-"),MgAmenClave,0)),"No aplica")</f>
        <v/>
      </c>
      <c r="P87" s="28">
        <f>IFERROR(INDEX(MgAmenDegC,MATCH(SUBSTITUTE($H87,"*","-"),MgAmenClave,0)),"No aplica")</f>
        <v/>
      </c>
      <c r="Q87" s="29">
        <f>IFERROR(VLOOKUP(K87,MgValor,2,0)*VLOOKUP(N87,MgDeg,2,0),0)</f>
        <v/>
      </c>
      <c r="R87" s="29">
        <f>IFERROR(VLOOKUP(L87,MgValor,2,0)*VLOOKUP(O87,MgDeg,2,0),0)</f>
        <v/>
      </c>
      <c r="S87" s="29">
        <f>IFERROR(VLOOKUP(M87,MgValor,2,0)*VLOOKUP(P87,MgDeg,2,0),0)</f>
        <v/>
      </c>
      <c r="T87" s="30">
        <f>MAX(Q87:S87)</f>
        <v/>
      </c>
      <c r="U87" s="28">
        <f>IFERROR(LOOKUP(T87,{0;0.5;1.5;3;4.5},{"Despreciable";"Bajo";"Medio";"Alto";"Muy alto"}),"")</f>
        <v/>
      </c>
      <c r="V87" s="13">
        <f>IFERROR(INDEX(MgAmenFrec,MATCH(SUBSTITUTE($H87,"*","-"),MgAmenClave,0)),"")</f>
        <v/>
      </c>
      <c r="W87" s="28">
        <f>IFERROR(LOOKUP(X87,{0;0.01;0.1;1;10;100},{"Muy baja";"Muy baja";"Baja";"Media";"Alta";"Muy alta"}),"")</f>
        <v/>
      </c>
      <c r="X87" s="31">
        <f>IFERROR(VLOOKUP(V87,MgFrec,2,0),0)</f>
        <v/>
      </c>
      <c r="Y87" s="30">
        <f>T87*X87</f>
        <v/>
      </c>
      <c r="Z87" s="28">
        <f>IFERROR(LOOKUP(Y87,{0;0.5;5;25},{"Bajo";"Medio";"Alto";"Crítico"}),"")</f>
        <v/>
      </c>
      <c r="AA87" s="64">
        <f>IF(T87&gt;=3,IF(X87&gt;=1,"Zona 1 — Crítica: impacto alto y ocurre al menos una vez al año","Zona 4 — Catastrófica poco probable: impacto alto pero excepcional"),IF(AND(T87&lt;1.5,X87&lt;1),"Zona 3 — Asumible: impacto bajo y muy poco frecuente","Zona 2 — Atención: riesgo intermedio"))</f>
        <v/>
      </c>
      <c r="AB87" s="64">
        <f>IFERROR(INDEX(MgAmenCtrl,MATCH(SUBSTITUTE($H87,"*","-"),MgAmenClave,0)),"")</f>
        <v/>
      </c>
      <c r="AC87" s="20" t="n"/>
      <c r="AD87" s="31">
        <f>IFERROR($X87*(1-IF($AC87="",$AL87,VLOOKUP($AC87,MgMad,2,0))),"")</f>
        <v/>
      </c>
      <c r="AE87" s="28">
        <f>IFERROR(LOOKUP(AD87,{0;0.01;0.1;1;10;100},{"Muy baja";"Muy baja";"Baja";"Media";"Alta";"Muy alta"}),"")</f>
        <v/>
      </c>
      <c r="AF87" s="30">
        <f>T87*AD87</f>
        <v/>
      </c>
      <c r="AG87" s="28">
        <f>IFERROR(LOOKUP(AF87,{0;0.5;5;25},{"Bajo";"Medio";"Alto";"Crítico"}),"")</f>
        <v/>
      </c>
      <c r="AH87" s="28">
        <f>IF(AG87="","",IF(OR(AG87="Crítico",AG87="Alto"),"Mitigar",IF(AG87="Medio","Mitigar","Aceptar y monitorear")))</f>
        <v/>
      </c>
      <c r="AI87" s="21" t="n"/>
      <c r="AJ87" s="21" t="n"/>
      <c r="AK87" s="20" t="n"/>
      <c r="AL87" s="77">
        <f>IFERROR(INDEX(MgAmenEfic,MATCH(SUBSTITUTE($H87,"*","-"),MgAmenClave,0)),0)</f>
        <v/>
      </c>
    </row>
    <row r="88" hidden="1" ht="45" customHeight="1" s="54">
      <c r="B88" s="59" t="inlineStr">
        <is>
          <t>R-0083</t>
        </is>
      </c>
      <c r="C88" s="59" t="inlineStr">
        <is>
          <t>TEC-010</t>
        </is>
      </c>
      <c r="D88" s="64">
        <f>IFERROR(INDEX(MgNombre,MATCH($C88,MgActId,0)),"")</f>
        <v/>
      </c>
      <c r="E88" s="64">
        <f>IFERROR(INDEX(MgProceso,MATCH($C88,MgActId,0)),"")</f>
        <v/>
      </c>
      <c r="F88" s="64">
        <f>IFERROR(INDEX(MgTipo,MATCH($C88,MgActId,0)),"")</f>
        <v/>
      </c>
      <c r="G88" s="64">
        <f>IFERROR(INDEX(MgSubtipo,MATCH($C88,MgActId,0)),"")</f>
        <v/>
      </c>
      <c r="H88" s="59" t="inlineStr">
        <is>
          <t>A.12</t>
        </is>
      </c>
      <c r="I88" s="64">
        <f>IFERROR(INDEX(MgAmenNombre,MATCH(SUBSTITUTE($H88,"*","-"),MgAmenClave,0)),"")</f>
        <v/>
      </c>
      <c r="J88" s="28">
        <f>IFERROR(INDEX(MgAmenGrupo,MATCH(SUBSTITUTE($H88,"*","-"),MgAmenClave,0)),"")</f>
        <v/>
      </c>
      <c r="K88" s="64">
        <f>IFERROR(INDEX('1. Matriz de Activos'!$Q$6:$Q$239,MATCH($C88,MgActId,0)),"")</f>
        <v/>
      </c>
      <c r="L88" s="64">
        <f>IFERROR(INDEX('1. Matriz de Activos'!$R$6:$R$239,MATCH($C88,MgActId,0)),"")</f>
        <v/>
      </c>
      <c r="M88" s="64">
        <f>IFERROR(INDEX('1. Matriz de Activos'!$S$6:$S$239,MATCH($C88,MgActId,0)),"")</f>
        <v/>
      </c>
      <c r="N88" s="28">
        <f>IFERROR(INDEX(MgAmenDegD,MATCH(SUBSTITUTE($H88,"*","-"),MgAmenClave,0)),"No aplica")</f>
        <v/>
      </c>
      <c r="O88" s="28">
        <f>IFERROR(INDEX(MgAmenDegI,MATCH(SUBSTITUTE($H88,"*","-"),MgAmenClave,0)),"No aplica")</f>
        <v/>
      </c>
      <c r="P88" s="28">
        <f>IFERROR(INDEX(MgAmenDegC,MATCH(SUBSTITUTE($H88,"*","-"),MgAmenClave,0)),"No aplica")</f>
        <v/>
      </c>
      <c r="Q88" s="29">
        <f>IFERROR(VLOOKUP(K88,MgValor,2,0)*VLOOKUP(N88,MgDeg,2,0),0)</f>
        <v/>
      </c>
      <c r="R88" s="29">
        <f>IFERROR(VLOOKUP(L88,MgValor,2,0)*VLOOKUP(O88,MgDeg,2,0),0)</f>
        <v/>
      </c>
      <c r="S88" s="29">
        <f>IFERROR(VLOOKUP(M88,MgValor,2,0)*VLOOKUP(P88,MgDeg,2,0),0)</f>
        <v/>
      </c>
      <c r="T88" s="30">
        <f>MAX(Q88:S88)</f>
        <v/>
      </c>
      <c r="U88" s="28">
        <f>IFERROR(LOOKUP(T88,{0;0.5;1.5;3;4.5},{"Despreciable";"Bajo";"Medio";"Alto";"Muy alto"}),"")</f>
        <v/>
      </c>
      <c r="V88" s="13">
        <f>IFERROR(INDEX(MgAmenFrec,MATCH(SUBSTITUTE($H88,"*","-"),MgAmenClave,0)),"")</f>
        <v/>
      </c>
      <c r="W88" s="28">
        <f>IFERROR(LOOKUP(X88,{0;0.01;0.1;1;10;100},{"Muy baja";"Muy baja";"Baja";"Media";"Alta";"Muy alta"}),"")</f>
        <v/>
      </c>
      <c r="X88" s="31">
        <f>IFERROR(VLOOKUP(V88,MgFrec,2,0),0)</f>
        <v/>
      </c>
      <c r="Y88" s="30">
        <f>T88*X88</f>
        <v/>
      </c>
      <c r="Z88" s="28">
        <f>IFERROR(LOOKUP(Y88,{0;0.5;5;25},{"Bajo";"Medio";"Alto";"Crítico"}),"")</f>
        <v/>
      </c>
      <c r="AA88" s="64">
        <f>IF(T88&gt;=3,IF(X88&gt;=1,"Zona 1 — Crítica: impacto alto y ocurre al menos una vez al año","Zona 4 — Catastrófica poco probable: impacto alto pero excepcional"),IF(AND(T88&lt;1.5,X88&lt;1),"Zona 3 — Asumible: impacto bajo y muy poco frecuente","Zona 2 — Atención: riesgo intermedio"))</f>
        <v/>
      </c>
      <c r="AB88" s="64">
        <f>IFERROR(INDEX(MgAmenCtrl,MATCH(SUBSTITUTE($H88,"*","-"),MgAmenClave,0)),"")</f>
        <v/>
      </c>
      <c r="AC88" s="20" t="n"/>
      <c r="AD88" s="31">
        <f>IFERROR($X88*(1-IF($AC88="",$AL88,VLOOKUP($AC88,MgMad,2,0))),"")</f>
        <v/>
      </c>
      <c r="AE88" s="28">
        <f>IFERROR(LOOKUP(AD88,{0;0.01;0.1;1;10;100},{"Muy baja";"Muy baja";"Baja";"Media";"Alta";"Muy alta"}),"")</f>
        <v/>
      </c>
      <c r="AF88" s="30">
        <f>T88*AD88</f>
        <v/>
      </c>
      <c r="AG88" s="28">
        <f>IFERROR(LOOKUP(AF88,{0;0.5;5;25},{"Bajo";"Medio";"Alto";"Crítico"}),"")</f>
        <v/>
      </c>
      <c r="AH88" s="28">
        <f>IF(AG88="","",IF(OR(AG88="Crítico",AG88="Alto"),"Mitigar",IF(AG88="Medio","Mitigar","Aceptar y monitorear")))</f>
        <v/>
      </c>
      <c r="AI88" s="21" t="n"/>
      <c r="AJ88" s="21" t="n"/>
      <c r="AK88" s="20" t="n"/>
      <c r="AL88" s="77">
        <f>IFERROR(INDEX(MgAmenEfic,MATCH(SUBSTITUTE($H88,"*","-"),MgAmenClave,0)),0)</f>
        <v/>
      </c>
    </row>
    <row r="89" hidden="1" ht="60" customHeight="1" s="54">
      <c r="B89" s="59" t="inlineStr">
        <is>
          <t>R-0084</t>
        </is>
      </c>
      <c r="C89" s="59" t="inlineStr">
        <is>
          <t>TEC-010</t>
        </is>
      </c>
      <c r="D89" s="64">
        <f>IFERROR(INDEX(MgNombre,MATCH($C89,MgActId,0)),"")</f>
        <v/>
      </c>
      <c r="E89" s="64">
        <f>IFERROR(INDEX(MgProceso,MATCH($C89,MgActId,0)),"")</f>
        <v/>
      </c>
      <c r="F89" s="64">
        <f>IFERROR(INDEX(MgTipo,MATCH($C89,MgActId,0)),"")</f>
        <v/>
      </c>
      <c r="G89" s="64">
        <f>IFERROR(INDEX(MgSubtipo,MATCH($C89,MgActId,0)),"")</f>
        <v/>
      </c>
      <c r="H89" s="59" t="inlineStr">
        <is>
          <t>A.14</t>
        </is>
      </c>
      <c r="I89" s="64">
        <f>IFERROR(INDEX(MgAmenNombre,MATCH(SUBSTITUTE($H89,"*","-"),MgAmenClave,0)),"")</f>
        <v/>
      </c>
      <c r="J89" s="28">
        <f>IFERROR(INDEX(MgAmenGrupo,MATCH(SUBSTITUTE($H89,"*","-"),MgAmenClave,0)),"")</f>
        <v/>
      </c>
      <c r="K89" s="64">
        <f>IFERROR(INDEX('1. Matriz de Activos'!$Q$6:$Q$239,MATCH($C89,MgActId,0)),"")</f>
        <v/>
      </c>
      <c r="L89" s="64">
        <f>IFERROR(INDEX('1. Matriz de Activos'!$R$6:$R$239,MATCH($C89,MgActId,0)),"")</f>
        <v/>
      </c>
      <c r="M89" s="64">
        <f>IFERROR(INDEX('1. Matriz de Activos'!$S$6:$S$239,MATCH($C89,MgActId,0)),"")</f>
        <v/>
      </c>
      <c r="N89" s="28">
        <f>IFERROR(INDEX(MgAmenDegD,MATCH(SUBSTITUTE($H89,"*","-"),MgAmenClave,0)),"No aplica")</f>
        <v/>
      </c>
      <c r="O89" s="28">
        <f>IFERROR(INDEX(MgAmenDegI,MATCH(SUBSTITUTE($H89,"*","-"),MgAmenClave,0)),"No aplica")</f>
        <v/>
      </c>
      <c r="P89" s="28">
        <f>IFERROR(INDEX(MgAmenDegC,MATCH(SUBSTITUTE($H89,"*","-"),MgAmenClave,0)),"No aplica")</f>
        <v/>
      </c>
      <c r="Q89" s="29">
        <f>IFERROR(VLOOKUP(K89,MgValor,2,0)*VLOOKUP(N89,MgDeg,2,0),0)</f>
        <v/>
      </c>
      <c r="R89" s="29">
        <f>IFERROR(VLOOKUP(L89,MgValor,2,0)*VLOOKUP(O89,MgDeg,2,0),0)</f>
        <v/>
      </c>
      <c r="S89" s="29">
        <f>IFERROR(VLOOKUP(M89,MgValor,2,0)*VLOOKUP(P89,MgDeg,2,0),0)</f>
        <v/>
      </c>
      <c r="T89" s="30">
        <f>MAX(Q89:S89)</f>
        <v/>
      </c>
      <c r="U89" s="28">
        <f>IFERROR(LOOKUP(T89,{0;0.5;1.5;3;4.5},{"Despreciable";"Bajo";"Medio";"Alto";"Muy alto"}),"")</f>
        <v/>
      </c>
      <c r="V89" s="13">
        <f>IFERROR(INDEX(MgAmenFrec,MATCH(SUBSTITUTE($H89,"*","-"),MgAmenClave,0)),"")</f>
        <v/>
      </c>
      <c r="W89" s="28">
        <f>IFERROR(LOOKUP(X89,{0;0.01;0.1;1;10;100},{"Muy baja";"Muy baja";"Baja";"Media";"Alta";"Muy alta"}),"")</f>
        <v/>
      </c>
      <c r="X89" s="31">
        <f>IFERROR(VLOOKUP(V89,MgFrec,2,0),0)</f>
        <v/>
      </c>
      <c r="Y89" s="30">
        <f>T89*X89</f>
        <v/>
      </c>
      <c r="Z89" s="28">
        <f>IFERROR(LOOKUP(Y89,{0;0.5;5;25},{"Bajo";"Medio";"Alto";"Crítico"}),"")</f>
        <v/>
      </c>
      <c r="AA89" s="64">
        <f>IF(T89&gt;=3,IF(X89&gt;=1,"Zona 1 — Crítica: impacto alto y ocurre al menos una vez al año","Zona 4 — Catastrófica poco probable: impacto alto pero excepcional"),IF(AND(T89&lt;1.5,X89&lt;1),"Zona 3 — Asumible: impacto bajo y muy poco frecuente","Zona 2 — Atención: riesgo intermedio"))</f>
        <v/>
      </c>
      <c r="AB89" s="64">
        <f>IFERROR(INDEX(MgAmenCtrl,MATCH(SUBSTITUTE($H89,"*","-"),MgAmenClave,0)),"")</f>
        <v/>
      </c>
      <c r="AC89" s="20" t="n"/>
      <c r="AD89" s="31">
        <f>IFERROR($X89*(1-IF($AC89="",$AL89,VLOOKUP($AC89,MgMad,2,0))),"")</f>
        <v/>
      </c>
      <c r="AE89" s="28">
        <f>IFERROR(LOOKUP(AD89,{0;0.01;0.1;1;10;100},{"Muy baja";"Muy baja";"Baja";"Media";"Alta";"Muy alta"}),"")</f>
        <v/>
      </c>
      <c r="AF89" s="30">
        <f>T89*AD89</f>
        <v/>
      </c>
      <c r="AG89" s="28">
        <f>IFERROR(LOOKUP(AF89,{0;0.5;5;25},{"Bajo";"Medio";"Alto";"Crítico"}),"")</f>
        <v/>
      </c>
      <c r="AH89" s="28">
        <f>IF(AG89="","",IF(OR(AG89="Crítico",AG89="Alto"),"Mitigar",IF(AG89="Medio","Mitigar","Aceptar y monitorear")))</f>
        <v/>
      </c>
      <c r="AI89" s="21" t="n"/>
      <c r="AJ89" s="21" t="n"/>
      <c r="AK89" s="20" t="n"/>
      <c r="AL89" s="77">
        <f>IFERROR(INDEX(MgAmenEfic,MATCH(SUBSTITUTE($H89,"*","-"),MgAmenClave,0)),0)</f>
        <v/>
      </c>
    </row>
    <row r="90" hidden="1" ht="60" customHeight="1" s="54">
      <c r="B90" s="59" t="inlineStr">
        <is>
          <t>R-0085</t>
        </is>
      </c>
      <c r="C90" s="59" t="inlineStr">
        <is>
          <t>TEC-010</t>
        </is>
      </c>
      <c r="D90" s="64">
        <f>IFERROR(INDEX(MgNombre,MATCH($C90,MgActId,0)),"")</f>
        <v/>
      </c>
      <c r="E90" s="64">
        <f>IFERROR(INDEX(MgProceso,MATCH($C90,MgActId,0)),"")</f>
        <v/>
      </c>
      <c r="F90" s="64">
        <f>IFERROR(INDEX(MgTipo,MATCH($C90,MgActId,0)),"")</f>
        <v/>
      </c>
      <c r="G90" s="64">
        <f>IFERROR(INDEX(MgSubtipo,MATCH($C90,MgActId,0)),"")</f>
        <v/>
      </c>
      <c r="H90" s="59" t="inlineStr">
        <is>
          <t>A.15</t>
        </is>
      </c>
      <c r="I90" s="64">
        <f>IFERROR(INDEX(MgAmenNombre,MATCH(SUBSTITUTE($H90,"*","-"),MgAmenClave,0)),"")</f>
        <v/>
      </c>
      <c r="J90" s="28">
        <f>IFERROR(INDEX(MgAmenGrupo,MATCH(SUBSTITUTE($H90,"*","-"),MgAmenClave,0)),"")</f>
        <v/>
      </c>
      <c r="K90" s="64">
        <f>IFERROR(INDEX('1. Matriz de Activos'!$Q$6:$Q$239,MATCH($C90,MgActId,0)),"")</f>
        <v/>
      </c>
      <c r="L90" s="64">
        <f>IFERROR(INDEX('1. Matriz de Activos'!$R$6:$R$239,MATCH($C90,MgActId,0)),"")</f>
        <v/>
      </c>
      <c r="M90" s="64">
        <f>IFERROR(INDEX('1. Matriz de Activos'!$S$6:$S$239,MATCH($C90,MgActId,0)),"")</f>
        <v/>
      </c>
      <c r="N90" s="28">
        <f>IFERROR(INDEX(MgAmenDegD,MATCH(SUBSTITUTE($H90,"*","-"),MgAmenClave,0)),"No aplica")</f>
        <v/>
      </c>
      <c r="O90" s="28">
        <f>IFERROR(INDEX(MgAmenDegI,MATCH(SUBSTITUTE($H90,"*","-"),MgAmenClave,0)),"No aplica")</f>
        <v/>
      </c>
      <c r="P90" s="28">
        <f>IFERROR(INDEX(MgAmenDegC,MATCH(SUBSTITUTE($H90,"*","-"),MgAmenClave,0)),"No aplica")</f>
        <v/>
      </c>
      <c r="Q90" s="29">
        <f>IFERROR(VLOOKUP(K90,MgValor,2,0)*VLOOKUP(N90,MgDeg,2,0),0)</f>
        <v/>
      </c>
      <c r="R90" s="29">
        <f>IFERROR(VLOOKUP(L90,MgValor,2,0)*VLOOKUP(O90,MgDeg,2,0),0)</f>
        <v/>
      </c>
      <c r="S90" s="29">
        <f>IFERROR(VLOOKUP(M90,MgValor,2,0)*VLOOKUP(P90,MgDeg,2,0),0)</f>
        <v/>
      </c>
      <c r="T90" s="30">
        <f>MAX(Q90:S90)</f>
        <v/>
      </c>
      <c r="U90" s="28">
        <f>IFERROR(LOOKUP(T90,{0;0.5;1.5;3;4.5},{"Despreciable";"Bajo";"Medio";"Alto";"Muy alto"}),"")</f>
        <v/>
      </c>
      <c r="V90" s="13">
        <f>IFERROR(INDEX(MgAmenFrec,MATCH(SUBSTITUTE($H90,"*","-"),MgAmenClave,0)),"")</f>
        <v/>
      </c>
      <c r="W90" s="28">
        <f>IFERROR(LOOKUP(X90,{0;0.01;0.1;1;10;100},{"Muy baja";"Muy baja";"Baja";"Media";"Alta";"Muy alta"}),"")</f>
        <v/>
      </c>
      <c r="X90" s="31">
        <f>IFERROR(VLOOKUP(V90,MgFrec,2,0),0)</f>
        <v/>
      </c>
      <c r="Y90" s="30">
        <f>T90*X90</f>
        <v/>
      </c>
      <c r="Z90" s="28">
        <f>IFERROR(LOOKUP(Y90,{0;0.5;5;25},{"Bajo";"Medio";"Alto";"Crítico"}),"")</f>
        <v/>
      </c>
      <c r="AA90" s="64">
        <f>IF(T90&gt;=3,IF(X90&gt;=1,"Zona 1 — Crítica: impacto alto y ocurre al menos una vez al año","Zona 4 — Catastrófica poco probable: impacto alto pero excepcional"),IF(AND(T90&lt;1.5,X90&lt;1),"Zona 3 — Asumible: impacto bajo y muy poco frecuente","Zona 2 — Atención: riesgo intermedio"))</f>
        <v/>
      </c>
      <c r="AB90" s="64">
        <f>IFERROR(INDEX(MgAmenCtrl,MATCH(SUBSTITUTE($H90,"*","-"),MgAmenClave,0)),"")</f>
        <v/>
      </c>
      <c r="AC90" s="20" t="n"/>
      <c r="AD90" s="31">
        <f>IFERROR($X90*(1-IF($AC90="",$AL90,VLOOKUP($AC90,MgMad,2,0))),"")</f>
        <v/>
      </c>
      <c r="AE90" s="28">
        <f>IFERROR(LOOKUP(AD90,{0;0.01;0.1;1;10;100},{"Muy baja";"Muy baja";"Baja";"Media";"Alta";"Muy alta"}),"")</f>
        <v/>
      </c>
      <c r="AF90" s="30">
        <f>T90*AD90</f>
        <v/>
      </c>
      <c r="AG90" s="28">
        <f>IFERROR(LOOKUP(AF90,{0;0.5;5;25},{"Bajo";"Medio";"Alto";"Crítico"}),"")</f>
        <v/>
      </c>
      <c r="AH90" s="28">
        <f>IF(AG90="","",IF(OR(AG90="Crítico",AG90="Alto"),"Mitigar",IF(AG90="Medio","Mitigar","Aceptar y monitorear")))</f>
        <v/>
      </c>
      <c r="AI90" s="21" t="n"/>
      <c r="AJ90" s="21" t="n"/>
      <c r="AK90" s="20" t="n"/>
      <c r="AL90" s="77">
        <f>IFERROR(INDEX(MgAmenEfic,MATCH(SUBSTITUTE($H90,"*","-"),MgAmenClave,0)),0)</f>
        <v/>
      </c>
    </row>
    <row r="91" hidden="1" ht="60" customHeight="1" s="54">
      <c r="B91" s="59" t="inlineStr">
        <is>
          <t>R-0086</t>
        </is>
      </c>
      <c r="C91" s="59" t="inlineStr">
        <is>
          <t>TEC-010</t>
        </is>
      </c>
      <c r="D91" s="64">
        <f>IFERROR(INDEX(MgNombre,MATCH($C91,MgActId,0)),"")</f>
        <v/>
      </c>
      <c r="E91" s="64">
        <f>IFERROR(INDEX(MgProceso,MATCH($C91,MgActId,0)),"")</f>
        <v/>
      </c>
      <c r="F91" s="64">
        <f>IFERROR(INDEX(MgTipo,MATCH($C91,MgActId,0)),"")</f>
        <v/>
      </c>
      <c r="G91" s="64">
        <f>IFERROR(INDEX(MgSubtipo,MATCH($C91,MgActId,0)),"")</f>
        <v/>
      </c>
      <c r="H91" s="59" t="inlineStr">
        <is>
          <t>A.18</t>
        </is>
      </c>
      <c r="I91" s="64">
        <f>IFERROR(INDEX(MgAmenNombre,MATCH(SUBSTITUTE($H91,"*","-"),MgAmenClave,0)),"")</f>
        <v/>
      </c>
      <c r="J91" s="28">
        <f>IFERROR(INDEX(MgAmenGrupo,MATCH(SUBSTITUTE($H91,"*","-"),MgAmenClave,0)),"")</f>
        <v/>
      </c>
      <c r="K91" s="64">
        <f>IFERROR(INDEX('1. Matriz de Activos'!$Q$6:$Q$239,MATCH($C91,MgActId,0)),"")</f>
        <v/>
      </c>
      <c r="L91" s="64">
        <f>IFERROR(INDEX('1. Matriz de Activos'!$R$6:$R$239,MATCH($C91,MgActId,0)),"")</f>
        <v/>
      </c>
      <c r="M91" s="64">
        <f>IFERROR(INDEX('1. Matriz de Activos'!$S$6:$S$239,MATCH($C91,MgActId,0)),"")</f>
        <v/>
      </c>
      <c r="N91" s="28">
        <f>IFERROR(INDEX(MgAmenDegD,MATCH(SUBSTITUTE($H91,"*","-"),MgAmenClave,0)),"No aplica")</f>
        <v/>
      </c>
      <c r="O91" s="28">
        <f>IFERROR(INDEX(MgAmenDegI,MATCH(SUBSTITUTE($H91,"*","-"),MgAmenClave,0)),"No aplica")</f>
        <v/>
      </c>
      <c r="P91" s="28">
        <f>IFERROR(INDEX(MgAmenDegC,MATCH(SUBSTITUTE($H91,"*","-"),MgAmenClave,0)),"No aplica")</f>
        <v/>
      </c>
      <c r="Q91" s="29">
        <f>IFERROR(VLOOKUP(K91,MgValor,2,0)*VLOOKUP(N91,MgDeg,2,0),0)</f>
        <v/>
      </c>
      <c r="R91" s="29">
        <f>IFERROR(VLOOKUP(L91,MgValor,2,0)*VLOOKUP(O91,MgDeg,2,0),0)</f>
        <v/>
      </c>
      <c r="S91" s="29">
        <f>IFERROR(VLOOKUP(M91,MgValor,2,0)*VLOOKUP(P91,MgDeg,2,0),0)</f>
        <v/>
      </c>
      <c r="T91" s="30">
        <f>MAX(Q91:S91)</f>
        <v/>
      </c>
      <c r="U91" s="28">
        <f>IFERROR(LOOKUP(T91,{0;0.5;1.5;3;4.5},{"Despreciable";"Bajo";"Medio";"Alto";"Muy alto"}),"")</f>
        <v/>
      </c>
      <c r="V91" s="13">
        <f>IFERROR(INDEX(MgAmenFrec,MATCH(SUBSTITUTE($H91,"*","-"),MgAmenClave,0)),"")</f>
        <v/>
      </c>
      <c r="W91" s="28">
        <f>IFERROR(LOOKUP(X91,{0;0.01;0.1;1;10;100},{"Muy baja";"Muy baja";"Baja";"Media";"Alta";"Muy alta"}),"")</f>
        <v/>
      </c>
      <c r="X91" s="31">
        <f>IFERROR(VLOOKUP(V91,MgFrec,2,0),0)</f>
        <v/>
      </c>
      <c r="Y91" s="30">
        <f>T91*X91</f>
        <v/>
      </c>
      <c r="Z91" s="28">
        <f>IFERROR(LOOKUP(Y91,{0;0.5;5;25},{"Bajo";"Medio";"Alto";"Crítico"}),"")</f>
        <v/>
      </c>
      <c r="AA91" s="64">
        <f>IF(T91&gt;=3,IF(X91&gt;=1,"Zona 1 — Crítica: impacto alto y ocurre al menos una vez al año","Zona 4 — Catastrófica poco probable: impacto alto pero excepcional"),IF(AND(T91&lt;1.5,X91&lt;1),"Zona 3 — Asumible: impacto bajo y muy poco frecuente","Zona 2 — Atención: riesgo intermedio"))</f>
        <v/>
      </c>
      <c r="AB91" s="64">
        <f>IFERROR(INDEX(MgAmenCtrl,MATCH(SUBSTITUTE($H91,"*","-"),MgAmenClave,0)),"")</f>
        <v/>
      </c>
      <c r="AC91" s="20" t="n"/>
      <c r="AD91" s="31">
        <f>IFERROR($X91*(1-IF($AC91="",$AL91,VLOOKUP($AC91,MgMad,2,0))),"")</f>
        <v/>
      </c>
      <c r="AE91" s="28">
        <f>IFERROR(LOOKUP(AD91,{0;0.01;0.1;1;10;100},{"Muy baja";"Muy baja";"Baja";"Media";"Alta";"Muy alta"}),"")</f>
        <v/>
      </c>
      <c r="AF91" s="30">
        <f>T91*AD91</f>
        <v/>
      </c>
      <c r="AG91" s="28">
        <f>IFERROR(LOOKUP(AF91,{0;0.5;5;25},{"Bajo";"Medio";"Alto";"Crítico"}),"")</f>
        <v/>
      </c>
      <c r="AH91" s="28">
        <f>IF(AG91="","",IF(OR(AG91="Crítico",AG91="Alto"),"Mitigar",IF(AG91="Medio","Mitigar","Aceptar y monitorear")))</f>
        <v/>
      </c>
      <c r="AI91" s="21" t="n"/>
      <c r="AJ91" s="21" t="n"/>
      <c r="AK91" s="20" t="n"/>
      <c r="AL91" s="77">
        <f>IFERROR(INDEX(MgAmenEfic,MATCH(SUBSTITUTE($H91,"*","-"),MgAmenClave,0)),0)</f>
        <v/>
      </c>
    </row>
    <row r="92" hidden="1" ht="120" customHeight="1" s="54">
      <c r="B92" s="59" t="inlineStr">
        <is>
          <t>R-0087</t>
        </is>
      </c>
      <c r="C92" s="59" t="inlineStr">
        <is>
          <t>TEC-010</t>
        </is>
      </c>
      <c r="D92" s="64">
        <f>IFERROR(INDEX(MgNombre,MATCH($C92,MgActId,0)),"")</f>
        <v/>
      </c>
      <c r="E92" s="64">
        <f>IFERROR(INDEX(MgProceso,MATCH($C92,MgActId,0)),"")</f>
        <v/>
      </c>
      <c r="F92" s="64">
        <f>IFERROR(INDEX(MgTipo,MATCH($C92,MgActId,0)),"")</f>
        <v/>
      </c>
      <c r="G92" s="64">
        <f>IFERROR(INDEX(MgSubtipo,MATCH($C92,MgActId,0)),"")</f>
        <v/>
      </c>
      <c r="H92" s="59" t="inlineStr">
        <is>
          <t>A.19</t>
        </is>
      </c>
      <c r="I92" s="64">
        <f>IFERROR(INDEX(MgAmenNombre,MATCH(SUBSTITUTE($H92,"*","-"),MgAmenClave,0)),"")</f>
        <v/>
      </c>
      <c r="J92" s="28">
        <f>IFERROR(INDEX(MgAmenGrupo,MATCH(SUBSTITUTE($H92,"*","-"),MgAmenClave,0)),"")</f>
        <v/>
      </c>
      <c r="K92" s="64">
        <f>IFERROR(INDEX('1. Matriz de Activos'!$Q$6:$Q$239,MATCH($C92,MgActId,0)),"")</f>
        <v/>
      </c>
      <c r="L92" s="64">
        <f>IFERROR(INDEX('1. Matriz de Activos'!$R$6:$R$239,MATCH($C92,MgActId,0)),"")</f>
        <v/>
      </c>
      <c r="M92" s="64">
        <f>IFERROR(INDEX('1. Matriz de Activos'!$S$6:$S$239,MATCH($C92,MgActId,0)),"")</f>
        <v/>
      </c>
      <c r="N92" s="28">
        <f>IFERROR(INDEX(MgAmenDegD,MATCH(SUBSTITUTE($H92,"*","-"),MgAmenClave,0)),"No aplica")</f>
        <v/>
      </c>
      <c r="O92" s="28">
        <f>IFERROR(INDEX(MgAmenDegI,MATCH(SUBSTITUTE($H92,"*","-"),MgAmenClave,0)),"No aplica")</f>
        <v/>
      </c>
      <c r="P92" s="28">
        <f>IFERROR(INDEX(MgAmenDegC,MATCH(SUBSTITUTE($H92,"*","-"),MgAmenClave,0)),"No aplica")</f>
        <v/>
      </c>
      <c r="Q92" s="29">
        <f>IFERROR(VLOOKUP(K92,MgValor,2,0)*VLOOKUP(N92,MgDeg,2,0),0)</f>
        <v/>
      </c>
      <c r="R92" s="29">
        <f>IFERROR(VLOOKUP(L92,MgValor,2,0)*VLOOKUP(O92,MgDeg,2,0),0)</f>
        <v/>
      </c>
      <c r="S92" s="29">
        <f>IFERROR(VLOOKUP(M92,MgValor,2,0)*VLOOKUP(P92,MgDeg,2,0),0)</f>
        <v/>
      </c>
      <c r="T92" s="30">
        <f>MAX(Q92:S92)</f>
        <v/>
      </c>
      <c r="U92" s="28">
        <f>IFERROR(LOOKUP(T92,{0;0.5;1.5;3;4.5},{"Despreciable";"Bajo";"Medio";"Alto";"Muy alto"}),"")</f>
        <v/>
      </c>
      <c r="V92" s="13">
        <f>IFERROR(INDEX(MgAmenFrec,MATCH(SUBSTITUTE($H92,"*","-"),MgAmenClave,0)),"")</f>
        <v/>
      </c>
      <c r="W92" s="28">
        <f>IFERROR(LOOKUP(X92,{0;0.01;0.1;1;10;100},{"Muy baja";"Muy baja";"Baja";"Media";"Alta";"Muy alta"}),"")</f>
        <v/>
      </c>
      <c r="X92" s="31">
        <f>IFERROR(VLOOKUP(V92,MgFrec,2,0),0)</f>
        <v/>
      </c>
      <c r="Y92" s="30">
        <f>T92*X92</f>
        <v/>
      </c>
      <c r="Z92" s="28">
        <f>IFERROR(LOOKUP(Y92,{0;0.5;5;25},{"Bajo";"Medio";"Alto";"Crítico"}),"")</f>
        <v/>
      </c>
      <c r="AA92" s="64">
        <f>IF(T92&gt;=3,IF(X92&gt;=1,"Zona 1 — Crítica: impacto alto y ocurre al menos una vez al año","Zona 4 — Catastrófica poco probable: impacto alto pero excepcional"),IF(AND(T92&lt;1.5,X92&lt;1),"Zona 3 — Asumible: impacto bajo y muy poco frecuente","Zona 2 — Atención: riesgo intermedio"))</f>
        <v/>
      </c>
      <c r="AB92" s="64">
        <f>IFERROR(INDEX(MgAmenCtrl,MATCH(SUBSTITUTE($H92,"*","-"),MgAmenClave,0)),"")</f>
        <v/>
      </c>
      <c r="AC92" s="20" t="n"/>
      <c r="AD92" s="31">
        <f>IFERROR($X92*(1-IF($AC92="",$AL92,VLOOKUP($AC92,MgMad,2,0))),"")</f>
        <v/>
      </c>
      <c r="AE92" s="28">
        <f>IFERROR(LOOKUP(AD92,{0;0.01;0.1;1;10;100},{"Muy baja";"Muy baja";"Baja";"Media";"Alta";"Muy alta"}),"")</f>
        <v/>
      </c>
      <c r="AF92" s="30">
        <f>T92*AD92</f>
        <v/>
      </c>
      <c r="AG92" s="28">
        <f>IFERROR(LOOKUP(AF92,{0;0.5;5;25},{"Bajo";"Medio";"Alto";"Crítico"}),"")</f>
        <v/>
      </c>
      <c r="AH92" s="28">
        <f>IF(AG92="","",IF(OR(AG92="Crítico",AG92="Alto"),"Mitigar",IF(AG92="Medio","Mitigar","Aceptar y monitorear")))</f>
        <v/>
      </c>
      <c r="AI92" s="21" t="n"/>
      <c r="AJ92" s="21" t="n"/>
      <c r="AK92" s="20" t="n"/>
      <c r="AL92" s="77">
        <f>IFERROR(INDEX(MgAmenEfic,MATCH(SUBSTITUTE($H92,"*","-"),MgAmenClave,0)),0)</f>
        <v/>
      </c>
    </row>
    <row r="93" hidden="1" ht="60" customHeight="1" s="54">
      <c r="B93" s="59" t="inlineStr">
        <is>
          <t>R-0088</t>
        </is>
      </c>
      <c r="C93" s="59" t="inlineStr">
        <is>
          <t>TEC-010</t>
        </is>
      </c>
      <c r="D93" s="64">
        <f>IFERROR(INDEX(MgNombre,MATCH($C93,MgActId,0)),"")</f>
        <v/>
      </c>
      <c r="E93" s="64">
        <f>IFERROR(INDEX(MgProceso,MATCH($C93,MgActId,0)),"")</f>
        <v/>
      </c>
      <c r="F93" s="64">
        <f>IFERROR(INDEX(MgTipo,MATCH($C93,MgActId,0)),"")</f>
        <v/>
      </c>
      <c r="G93" s="64">
        <f>IFERROR(INDEX(MgSubtipo,MATCH($C93,MgActId,0)),"")</f>
        <v/>
      </c>
      <c r="H93" s="59" t="inlineStr">
        <is>
          <t>A.24</t>
        </is>
      </c>
      <c r="I93" s="64">
        <f>IFERROR(INDEX(MgAmenNombre,MATCH(SUBSTITUTE($H93,"*","-"),MgAmenClave,0)),"")</f>
        <v/>
      </c>
      <c r="J93" s="28">
        <f>IFERROR(INDEX(MgAmenGrupo,MATCH(SUBSTITUTE($H93,"*","-"),MgAmenClave,0)),"")</f>
        <v/>
      </c>
      <c r="K93" s="64">
        <f>IFERROR(INDEX('1. Matriz de Activos'!$Q$6:$Q$239,MATCH($C93,MgActId,0)),"")</f>
        <v/>
      </c>
      <c r="L93" s="64">
        <f>IFERROR(INDEX('1. Matriz de Activos'!$R$6:$R$239,MATCH($C93,MgActId,0)),"")</f>
        <v/>
      </c>
      <c r="M93" s="64">
        <f>IFERROR(INDEX('1. Matriz de Activos'!$S$6:$S$239,MATCH($C93,MgActId,0)),"")</f>
        <v/>
      </c>
      <c r="N93" s="28">
        <f>IFERROR(INDEX(MgAmenDegD,MATCH(SUBSTITUTE($H93,"*","-"),MgAmenClave,0)),"No aplica")</f>
        <v/>
      </c>
      <c r="O93" s="28">
        <f>IFERROR(INDEX(MgAmenDegI,MATCH(SUBSTITUTE($H93,"*","-"),MgAmenClave,0)),"No aplica")</f>
        <v/>
      </c>
      <c r="P93" s="28">
        <f>IFERROR(INDEX(MgAmenDegC,MATCH(SUBSTITUTE($H93,"*","-"),MgAmenClave,0)),"No aplica")</f>
        <v/>
      </c>
      <c r="Q93" s="29">
        <f>IFERROR(VLOOKUP(K93,MgValor,2,0)*VLOOKUP(N93,MgDeg,2,0),0)</f>
        <v/>
      </c>
      <c r="R93" s="29">
        <f>IFERROR(VLOOKUP(L93,MgValor,2,0)*VLOOKUP(O93,MgDeg,2,0),0)</f>
        <v/>
      </c>
      <c r="S93" s="29">
        <f>IFERROR(VLOOKUP(M93,MgValor,2,0)*VLOOKUP(P93,MgDeg,2,0),0)</f>
        <v/>
      </c>
      <c r="T93" s="30">
        <f>MAX(Q93:S93)</f>
        <v/>
      </c>
      <c r="U93" s="28">
        <f>IFERROR(LOOKUP(T93,{0;0.5;1.5;3;4.5},{"Despreciable";"Bajo";"Medio";"Alto";"Muy alto"}),"")</f>
        <v/>
      </c>
      <c r="V93" s="13">
        <f>IFERROR(INDEX(MgAmenFrec,MATCH(SUBSTITUTE($H93,"*","-"),MgAmenClave,0)),"")</f>
        <v/>
      </c>
      <c r="W93" s="28">
        <f>IFERROR(LOOKUP(X93,{0;0.01;0.1;1;10;100},{"Muy baja";"Muy baja";"Baja";"Media";"Alta";"Muy alta"}),"")</f>
        <v/>
      </c>
      <c r="X93" s="31">
        <f>IFERROR(VLOOKUP(V93,MgFrec,2,0),0)</f>
        <v/>
      </c>
      <c r="Y93" s="30">
        <f>T93*X93</f>
        <v/>
      </c>
      <c r="Z93" s="28">
        <f>IFERROR(LOOKUP(Y93,{0;0.5;5;25},{"Bajo";"Medio";"Alto";"Crítico"}),"")</f>
        <v/>
      </c>
      <c r="AA93" s="64">
        <f>IF(T93&gt;=3,IF(X93&gt;=1,"Zona 1 — Crítica: impacto alto y ocurre al menos una vez al año","Zona 4 — Catastrófica poco probable: impacto alto pero excepcional"),IF(AND(T93&lt;1.5,X93&lt;1),"Zona 3 — Asumible: impacto bajo y muy poco frecuente","Zona 2 — Atención: riesgo intermedio"))</f>
        <v/>
      </c>
      <c r="AB93" s="64">
        <f>IFERROR(INDEX(MgAmenCtrl,MATCH(SUBSTITUTE($H93,"*","-"),MgAmenClave,0)),"")</f>
        <v/>
      </c>
      <c r="AC93" s="20" t="n"/>
      <c r="AD93" s="31">
        <f>IFERROR($X93*(1-IF($AC93="",$AL93,VLOOKUP($AC93,MgMad,2,0))),"")</f>
        <v/>
      </c>
      <c r="AE93" s="28">
        <f>IFERROR(LOOKUP(AD93,{0;0.01;0.1;1;10;100},{"Muy baja";"Muy baja";"Baja";"Media";"Alta";"Muy alta"}),"")</f>
        <v/>
      </c>
      <c r="AF93" s="30">
        <f>T93*AD93</f>
        <v/>
      </c>
      <c r="AG93" s="28">
        <f>IFERROR(LOOKUP(AF93,{0;0.5;5;25},{"Bajo";"Medio";"Alto";"Crítico"}),"")</f>
        <v/>
      </c>
      <c r="AH93" s="28">
        <f>IF(AG93="","",IF(OR(AG93="Crítico",AG93="Alto"),"Mitigar",IF(AG93="Medio","Mitigar","Aceptar y monitorear")))</f>
        <v/>
      </c>
      <c r="AI93" s="21" t="n"/>
      <c r="AJ93" s="21" t="n"/>
      <c r="AK93" s="20" t="n"/>
      <c r="AL93" s="77">
        <f>IFERROR(INDEX(MgAmenEfic,MATCH(SUBSTITUTE($H93,"*","-"),MgAmenClave,0)),0)</f>
        <v/>
      </c>
    </row>
    <row r="94" hidden="1" ht="75" customHeight="1" s="54">
      <c r="B94" s="59" t="inlineStr">
        <is>
          <t>R-0089</t>
        </is>
      </c>
      <c r="C94" s="59" t="inlineStr">
        <is>
          <t>DO-09</t>
        </is>
      </c>
      <c r="D94" s="64">
        <f>IFERROR(INDEX(MgNombre,MATCH($C94,MgActId,0)),"")</f>
        <v/>
      </c>
      <c r="E94" s="64">
        <f>IFERROR(INDEX(MgProceso,MATCH($C94,MgActId,0)),"")</f>
        <v/>
      </c>
      <c r="F94" s="64">
        <f>IFERROR(INDEX(MgTipo,MATCH($C94,MgActId,0)),"")</f>
        <v/>
      </c>
      <c r="G94" s="64">
        <f>IFERROR(INDEX(MgSubtipo,MATCH($C94,MgActId,0)),"")</f>
        <v/>
      </c>
      <c r="H94" s="59" t="inlineStr">
        <is>
          <t>I.8</t>
        </is>
      </c>
      <c r="I94" s="64">
        <f>IFERROR(INDEX(MgAmenNombre,MATCH(SUBSTITUTE($H94,"*","-"),MgAmenClave,0)),"")</f>
        <v/>
      </c>
      <c r="J94" s="28">
        <f>IFERROR(INDEX(MgAmenGrupo,MATCH(SUBSTITUTE($H94,"*","-"),MgAmenClave,0)),"")</f>
        <v/>
      </c>
      <c r="K94" s="64">
        <f>IFERROR(INDEX('1. Matriz de Activos'!$Q$6:$Q$239,MATCH($C94,MgActId,0)),"")</f>
        <v/>
      </c>
      <c r="L94" s="64">
        <f>IFERROR(INDEX('1. Matriz de Activos'!$R$6:$R$239,MATCH($C94,MgActId,0)),"")</f>
        <v/>
      </c>
      <c r="M94" s="64">
        <f>IFERROR(INDEX('1. Matriz de Activos'!$S$6:$S$239,MATCH($C94,MgActId,0)),"")</f>
        <v/>
      </c>
      <c r="N94" s="28">
        <f>IFERROR(INDEX(MgAmenDegD,MATCH(SUBSTITUTE($H94,"*","-"),MgAmenClave,0)),"No aplica")</f>
        <v/>
      </c>
      <c r="O94" s="28">
        <f>IFERROR(INDEX(MgAmenDegI,MATCH(SUBSTITUTE($H94,"*","-"),MgAmenClave,0)),"No aplica")</f>
        <v/>
      </c>
      <c r="P94" s="28">
        <f>IFERROR(INDEX(MgAmenDegC,MATCH(SUBSTITUTE($H94,"*","-"),MgAmenClave,0)),"No aplica")</f>
        <v/>
      </c>
      <c r="Q94" s="29">
        <f>IFERROR(VLOOKUP(K94,MgValor,2,0)*VLOOKUP(N94,MgDeg,2,0),0)</f>
        <v/>
      </c>
      <c r="R94" s="29">
        <f>IFERROR(VLOOKUP(L94,MgValor,2,0)*VLOOKUP(O94,MgDeg,2,0),0)</f>
        <v/>
      </c>
      <c r="S94" s="29">
        <f>IFERROR(VLOOKUP(M94,MgValor,2,0)*VLOOKUP(P94,MgDeg,2,0),0)</f>
        <v/>
      </c>
      <c r="T94" s="30">
        <f>MAX(Q94:S94)</f>
        <v/>
      </c>
      <c r="U94" s="28">
        <f>IFERROR(LOOKUP(T94,{0;0.5;1.5;3;4.5},{"Despreciable";"Bajo";"Medio";"Alto";"Muy alto"}),"")</f>
        <v/>
      </c>
      <c r="V94" s="13">
        <f>IFERROR(INDEX(MgAmenFrec,MATCH(SUBSTITUTE($H94,"*","-"),MgAmenClave,0)),"")</f>
        <v/>
      </c>
      <c r="W94" s="28">
        <f>IFERROR(LOOKUP(X94,{0;0.01;0.1;1;10;100},{"Muy baja";"Muy baja";"Baja";"Media";"Alta";"Muy alta"}),"")</f>
        <v/>
      </c>
      <c r="X94" s="31">
        <f>IFERROR(VLOOKUP(V94,MgFrec,2,0),0)</f>
        <v/>
      </c>
      <c r="Y94" s="30">
        <f>T94*X94</f>
        <v/>
      </c>
      <c r="Z94" s="28">
        <f>IFERROR(LOOKUP(Y94,{0;0.5;5;25},{"Bajo";"Medio";"Alto";"Crítico"}),"")</f>
        <v/>
      </c>
      <c r="AA94" s="64">
        <f>IF(T94&gt;=3,IF(X94&gt;=1,"Zona 1 — Crítica: impacto alto y ocurre al menos una vez al año","Zona 4 — Catastrófica poco probable: impacto alto pero excepcional"),IF(AND(T94&lt;1.5,X94&lt;1),"Zona 3 — Asumible: impacto bajo y muy poco frecuente","Zona 2 — Atención: riesgo intermedio"))</f>
        <v/>
      </c>
      <c r="AB94" s="64">
        <f>IFERROR(INDEX(MgAmenCtrl,MATCH(SUBSTITUTE($H94,"*","-"),MgAmenClave,0)),"")</f>
        <v/>
      </c>
      <c r="AC94" s="20" t="n"/>
      <c r="AD94" s="31">
        <f>IFERROR($X94*(1-IF($AC94="",$AL94,VLOOKUP($AC94,MgMad,2,0))),"")</f>
        <v/>
      </c>
      <c r="AE94" s="28">
        <f>IFERROR(LOOKUP(AD94,{0;0.01;0.1;1;10;100},{"Muy baja";"Muy baja";"Baja";"Media";"Alta";"Muy alta"}),"")</f>
        <v/>
      </c>
      <c r="AF94" s="30">
        <f>T94*AD94</f>
        <v/>
      </c>
      <c r="AG94" s="28">
        <f>IFERROR(LOOKUP(AF94,{0;0.5;5;25},{"Bajo";"Medio";"Alto";"Crítico"}),"")</f>
        <v/>
      </c>
      <c r="AH94" s="28">
        <f>IF(AG94="","",IF(OR(AG94="Crítico",AG94="Alto"),"Mitigar",IF(AG94="Medio","Mitigar","Aceptar y monitorear")))</f>
        <v/>
      </c>
      <c r="AI94" s="21" t="n"/>
      <c r="AJ94" s="21" t="n"/>
      <c r="AK94" s="20" t="n"/>
      <c r="AL94" s="77">
        <f>IFERROR(INDEX(MgAmenEfic,MATCH(SUBSTITUTE($H94,"*","-"),MgAmenClave,0)),0)</f>
        <v/>
      </c>
    </row>
    <row r="95" hidden="1" ht="45" customHeight="1" s="54">
      <c r="B95" s="59" t="inlineStr">
        <is>
          <t>R-0090</t>
        </is>
      </c>
      <c r="C95" s="59" t="inlineStr">
        <is>
          <t>DO-09</t>
        </is>
      </c>
      <c r="D95" s="64">
        <f>IFERROR(INDEX(MgNombre,MATCH($C95,MgActId,0)),"")</f>
        <v/>
      </c>
      <c r="E95" s="64">
        <f>IFERROR(INDEX(MgProceso,MATCH($C95,MgActId,0)),"")</f>
        <v/>
      </c>
      <c r="F95" s="64">
        <f>IFERROR(INDEX(MgTipo,MATCH($C95,MgActId,0)),"")</f>
        <v/>
      </c>
      <c r="G95" s="64">
        <f>IFERROR(INDEX(MgSubtipo,MATCH($C95,MgActId,0)),"")</f>
        <v/>
      </c>
      <c r="H95" s="59" t="inlineStr">
        <is>
          <t>I.11</t>
        </is>
      </c>
      <c r="I95" s="64">
        <f>IFERROR(INDEX(MgAmenNombre,MATCH(SUBSTITUTE($H95,"*","-"),MgAmenClave,0)),"")</f>
        <v/>
      </c>
      <c r="J95" s="28">
        <f>IFERROR(INDEX(MgAmenGrupo,MATCH(SUBSTITUTE($H95,"*","-"),MgAmenClave,0)),"")</f>
        <v/>
      </c>
      <c r="K95" s="64">
        <f>IFERROR(INDEX('1. Matriz de Activos'!$Q$6:$Q$239,MATCH($C95,MgActId,0)),"")</f>
        <v/>
      </c>
      <c r="L95" s="64">
        <f>IFERROR(INDEX('1. Matriz de Activos'!$R$6:$R$239,MATCH($C95,MgActId,0)),"")</f>
        <v/>
      </c>
      <c r="M95" s="64">
        <f>IFERROR(INDEX('1. Matriz de Activos'!$S$6:$S$239,MATCH($C95,MgActId,0)),"")</f>
        <v/>
      </c>
      <c r="N95" s="28">
        <f>IFERROR(INDEX(MgAmenDegD,MATCH(SUBSTITUTE($H95,"*","-"),MgAmenClave,0)),"No aplica")</f>
        <v/>
      </c>
      <c r="O95" s="28">
        <f>IFERROR(INDEX(MgAmenDegI,MATCH(SUBSTITUTE($H95,"*","-"),MgAmenClave,0)),"No aplica")</f>
        <v/>
      </c>
      <c r="P95" s="28">
        <f>IFERROR(INDEX(MgAmenDegC,MATCH(SUBSTITUTE($H95,"*","-"),MgAmenClave,0)),"No aplica")</f>
        <v/>
      </c>
      <c r="Q95" s="29">
        <f>IFERROR(VLOOKUP(K95,MgValor,2,0)*VLOOKUP(N95,MgDeg,2,0),0)</f>
        <v/>
      </c>
      <c r="R95" s="29">
        <f>IFERROR(VLOOKUP(L95,MgValor,2,0)*VLOOKUP(O95,MgDeg,2,0),0)</f>
        <v/>
      </c>
      <c r="S95" s="29">
        <f>IFERROR(VLOOKUP(M95,MgValor,2,0)*VLOOKUP(P95,MgDeg,2,0),0)</f>
        <v/>
      </c>
      <c r="T95" s="30">
        <f>MAX(Q95:S95)</f>
        <v/>
      </c>
      <c r="U95" s="28">
        <f>IFERROR(LOOKUP(T95,{0;0.5;1.5;3;4.5},{"Despreciable";"Bajo";"Medio";"Alto";"Muy alto"}),"")</f>
        <v/>
      </c>
      <c r="V95" s="13">
        <f>IFERROR(INDEX(MgAmenFrec,MATCH(SUBSTITUTE($H95,"*","-"),MgAmenClave,0)),"")</f>
        <v/>
      </c>
      <c r="W95" s="28">
        <f>IFERROR(LOOKUP(X95,{0;0.01;0.1;1;10;100},{"Muy baja";"Muy baja";"Baja";"Media";"Alta";"Muy alta"}),"")</f>
        <v/>
      </c>
      <c r="X95" s="31">
        <f>IFERROR(VLOOKUP(V95,MgFrec,2,0),0)</f>
        <v/>
      </c>
      <c r="Y95" s="30">
        <f>T95*X95</f>
        <v/>
      </c>
      <c r="Z95" s="28">
        <f>IFERROR(LOOKUP(Y95,{0;0.5;5;25},{"Bajo";"Medio";"Alto";"Crítico"}),"")</f>
        <v/>
      </c>
      <c r="AA95" s="64">
        <f>IF(T95&gt;=3,IF(X95&gt;=1,"Zona 1 — Crítica: impacto alto y ocurre al menos una vez al año","Zona 4 — Catastrófica poco probable: impacto alto pero excepcional"),IF(AND(T95&lt;1.5,X95&lt;1),"Zona 3 — Asumible: impacto bajo y muy poco frecuente","Zona 2 — Atención: riesgo intermedio"))</f>
        <v/>
      </c>
      <c r="AB95" s="64">
        <f>IFERROR(INDEX(MgAmenCtrl,MATCH(SUBSTITUTE($H95,"*","-"),MgAmenClave,0)),"")</f>
        <v/>
      </c>
      <c r="AC95" s="20" t="n"/>
      <c r="AD95" s="31">
        <f>IFERROR($X95*(1-IF($AC95="",$AL95,VLOOKUP($AC95,MgMad,2,0))),"")</f>
        <v/>
      </c>
      <c r="AE95" s="28">
        <f>IFERROR(LOOKUP(AD95,{0;0.01;0.1;1;10;100},{"Muy baja";"Muy baja";"Baja";"Media";"Alta";"Muy alta"}),"")</f>
        <v/>
      </c>
      <c r="AF95" s="30">
        <f>T95*AD95</f>
        <v/>
      </c>
      <c r="AG95" s="28">
        <f>IFERROR(LOOKUP(AF95,{0;0.5;5;25},{"Bajo";"Medio";"Alto";"Crítico"}),"")</f>
        <v/>
      </c>
      <c r="AH95" s="28">
        <f>IF(AG95="","",IF(OR(AG95="Crítico",AG95="Alto"),"Mitigar",IF(AG95="Medio","Mitigar","Aceptar y monitorear")))</f>
        <v/>
      </c>
      <c r="AI95" s="21" t="n"/>
      <c r="AJ95" s="21" t="n"/>
      <c r="AK95" s="20" t="n"/>
      <c r="AL95" s="77">
        <f>IFERROR(INDEX(MgAmenEfic,MATCH(SUBSTITUTE($H95,"*","-"),MgAmenClave,0)),0)</f>
        <v/>
      </c>
    </row>
    <row r="96" hidden="1" ht="120" customHeight="1" s="54">
      <c r="B96" s="59" t="inlineStr">
        <is>
          <t>R-0091</t>
        </is>
      </c>
      <c r="C96" s="59" t="inlineStr">
        <is>
          <t>DO-09</t>
        </is>
      </c>
      <c r="D96" s="64">
        <f>IFERROR(INDEX(MgNombre,MATCH($C96,MgActId,0)),"")</f>
        <v/>
      </c>
      <c r="E96" s="64">
        <f>IFERROR(INDEX(MgProceso,MATCH($C96,MgActId,0)),"")</f>
        <v/>
      </c>
      <c r="F96" s="64">
        <f>IFERROR(INDEX(MgTipo,MATCH($C96,MgActId,0)),"")</f>
        <v/>
      </c>
      <c r="G96" s="64">
        <f>IFERROR(INDEX(MgSubtipo,MATCH($C96,MgActId,0)),"")</f>
        <v/>
      </c>
      <c r="H96" s="59" t="inlineStr">
        <is>
          <t>E.2</t>
        </is>
      </c>
      <c r="I96" s="64">
        <f>IFERROR(INDEX(MgAmenNombre,MATCH(SUBSTITUTE($H96,"*","-"),MgAmenClave,0)),"")</f>
        <v/>
      </c>
      <c r="J96" s="28">
        <f>IFERROR(INDEX(MgAmenGrupo,MATCH(SUBSTITUTE($H96,"*","-"),MgAmenClave,0)),"")</f>
        <v/>
      </c>
      <c r="K96" s="64">
        <f>IFERROR(INDEX('1. Matriz de Activos'!$Q$6:$Q$239,MATCH($C96,MgActId,0)),"")</f>
        <v/>
      </c>
      <c r="L96" s="64">
        <f>IFERROR(INDEX('1. Matriz de Activos'!$R$6:$R$239,MATCH($C96,MgActId,0)),"")</f>
        <v/>
      </c>
      <c r="M96" s="64">
        <f>IFERROR(INDEX('1. Matriz de Activos'!$S$6:$S$239,MATCH($C96,MgActId,0)),"")</f>
        <v/>
      </c>
      <c r="N96" s="28">
        <f>IFERROR(INDEX(MgAmenDegD,MATCH(SUBSTITUTE($H96,"*","-"),MgAmenClave,0)),"No aplica")</f>
        <v/>
      </c>
      <c r="O96" s="28">
        <f>IFERROR(INDEX(MgAmenDegI,MATCH(SUBSTITUTE($H96,"*","-"),MgAmenClave,0)),"No aplica")</f>
        <v/>
      </c>
      <c r="P96" s="28">
        <f>IFERROR(INDEX(MgAmenDegC,MATCH(SUBSTITUTE($H96,"*","-"),MgAmenClave,0)),"No aplica")</f>
        <v/>
      </c>
      <c r="Q96" s="29">
        <f>IFERROR(VLOOKUP(K96,MgValor,2,0)*VLOOKUP(N96,MgDeg,2,0),0)</f>
        <v/>
      </c>
      <c r="R96" s="29">
        <f>IFERROR(VLOOKUP(L96,MgValor,2,0)*VLOOKUP(O96,MgDeg,2,0),0)</f>
        <v/>
      </c>
      <c r="S96" s="29">
        <f>IFERROR(VLOOKUP(M96,MgValor,2,0)*VLOOKUP(P96,MgDeg,2,0),0)</f>
        <v/>
      </c>
      <c r="T96" s="30">
        <f>MAX(Q96:S96)</f>
        <v/>
      </c>
      <c r="U96" s="28">
        <f>IFERROR(LOOKUP(T96,{0;0.5;1.5;3;4.5},{"Despreciable";"Bajo";"Medio";"Alto";"Muy alto"}),"")</f>
        <v/>
      </c>
      <c r="V96" s="13">
        <f>IFERROR(INDEX(MgAmenFrec,MATCH(SUBSTITUTE($H96,"*","-"),MgAmenClave,0)),"")</f>
        <v/>
      </c>
      <c r="W96" s="28">
        <f>IFERROR(LOOKUP(X96,{0;0.01;0.1;1;10;100},{"Muy baja";"Muy baja";"Baja";"Media";"Alta";"Muy alta"}),"")</f>
        <v/>
      </c>
      <c r="X96" s="31">
        <f>IFERROR(VLOOKUP(V96,MgFrec,2,0),0)</f>
        <v/>
      </c>
      <c r="Y96" s="30">
        <f>T96*X96</f>
        <v/>
      </c>
      <c r="Z96" s="28">
        <f>IFERROR(LOOKUP(Y96,{0;0.5;5;25},{"Bajo";"Medio";"Alto";"Crítico"}),"")</f>
        <v/>
      </c>
      <c r="AA96" s="64">
        <f>IF(T96&gt;=3,IF(X96&gt;=1,"Zona 1 — Crítica: impacto alto y ocurre al menos una vez al año","Zona 4 — Catastrófica poco probable: impacto alto pero excepcional"),IF(AND(T96&lt;1.5,X96&lt;1),"Zona 3 — Asumible: impacto bajo y muy poco frecuente","Zona 2 — Atención: riesgo intermedio"))</f>
        <v/>
      </c>
      <c r="AB96" s="64">
        <f>IFERROR(INDEX(MgAmenCtrl,MATCH(SUBSTITUTE($H96,"*","-"),MgAmenClave,0)),"")</f>
        <v/>
      </c>
      <c r="AC96" s="20" t="n"/>
      <c r="AD96" s="31">
        <f>IFERROR($X96*(1-IF($AC96="",$AL96,VLOOKUP($AC96,MgMad,2,0))),"")</f>
        <v/>
      </c>
      <c r="AE96" s="28">
        <f>IFERROR(LOOKUP(AD96,{0;0.01;0.1;1;10;100},{"Muy baja";"Muy baja";"Baja";"Media";"Alta";"Muy alta"}),"")</f>
        <v/>
      </c>
      <c r="AF96" s="30">
        <f>T96*AD96</f>
        <v/>
      </c>
      <c r="AG96" s="28">
        <f>IFERROR(LOOKUP(AF96,{0;0.5;5;25},{"Bajo";"Medio";"Alto";"Crítico"}),"")</f>
        <v/>
      </c>
      <c r="AH96" s="28">
        <f>IF(AG96="","",IF(OR(AG96="Crítico",AG96="Alto"),"Mitigar",IF(AG96="Medio","Mitigar","Aceptar y monitorear")))</f>
        <v/>
      </c>
      <c r="AI96" s="21" t="n"/>
      <c r="AJ96" s="21" t="n"/>
      <c r="AK96" s="20" t="n"/>
      <c r="AL96" s="77">
        <f>IFERROR(INDEX(MgAmenEfic,MATCH(SUBSTITUTE($H96,"*","-"),MgAmenClave,0)),0)</f>
        <v/>
      </c>
    </row>
    <row r="97" hidden="1" ht="60" customHeight="1" s="54">
      <c r="B97" s="59" t="inlineStr">
        <is>
          <t>R-0092</t>
        </is>
      </c>
      <c r="C97" s="59" t="inlineStr">
        <is>
          <t>DO-09</t>
        </is>
      </c>
      <c r="D97" s="64">
        <f>IFERROR(INDEX(MgNombre,MATCH($C97,MgActId,0)),"")</f>
        <v/>
      </c>
      <c r="E97" s="64">
        <f>IFERROR(INDEX(MgProceso,MATCH($C97,MgActId,0)),"")</f>
        <v/>
      </c>
      <c r="F97" s="64">
        <f>IFERROR(INDEX(MgTipo,MATCH($C97,MgActId,0)),"")</f>
        <v/>
      </c>
      <c r="G97" s="64">
        <f>IFERROR(INDEX(MgSubtipo,MATCH($C97,MgActId,0)),"")</f>
        <v/>
      </c>
      <c r="H97" s="59" t="inlineStr">
        <is>
          <t>E.9</t>
        </is>
      </c>
      <c r="I97" s="64">
        <f>IFERROR(INDEX(MgAmenNombre,MATCH(SUBSTITUTE($H97,"*","-"),MgAmenClave,0)),"")</f>
        <v/>
      </c>
      <c r="J97" s="28">
        <f>IFERROR(INDEX(MgAmenGrupo,MATCH(SUBSTITUTE($H97,"*","-"),MgAmenClave,0)),"")</f>
        <v/>
      </c>
      <c r="K97" s="64">
        <f>IFERROR(INDEX('1. Matriz de Activos'!$Q$6:$Q$239,MATCH($C97,MgActId,0)),"")</f>
        <v/>
      </c>
      <c r="L97" s="64">
        <f>IFERROR(INDEX('1. Matriz de Activos'!$R$6:$R$239,MATCH($C97,MgActId,0)),"")</f>
        <v/>
      </c>
      <c r="M97" s="64">
        <f>IFERROR(INDEX('1. Matriz de Activos'!$S$6:$S$239,MATCH($C97,MgActId,0)),"")</f>
        <v/>
      </c>
      <c r="N97" s="28">
        <f>IFERROR(INDEX(MgAmenDegD,MATCH(SUBSTITUTE($H97,"*","-"),MgAmenClave,0)),"No aplica")</f>
        <v/>
      </c>
      <c r="O97" s="28">
        <f>IFERROR(INDEX(MgAmenDegI,MATCH(SUBSTITUTE($H97,"*","-"),MgAmenClave,0)),"No aplica")</f>
        <v/>
      </c>
      <c r="P97" s="28">
        <f>IFERROR(INDEX(MgAmenDegC,MATCH(SUBSTITUTE($H97,"*","-"),MgAmenClave,0)),"No aplica")</f>
        <v/>
      </c>
      <c r="Q97" s="29">
        <f>IFERROR(VLOOKUP(K97,MgValor,2,0)*VLOOKUP(N97,MgDeg,2,0),0)</f>
        <v/>
      </c>
      <c r="R97" s="29">
        <f>IFERROR(VLOOKUP(L97,MgValor,2,0)*VLOOKUP(O97,MgDeg,2,0),0)</f>
        <v/>
      </c>
      <c r="S97" s="29">
        <f>IFERROR(VLOOKUP(M97,MgValor,2,0)*VLOOKUP(P97,MgDeg,2,0),0)</f>
        <v/>
      </c>
      <c r="T97" s="30">
        <f>MAX(Q97:S97)</f>
        <v/>
      </c>
      <c r="U97" s="28">
        <f>IFERROR(LOOKUP(T97,{0;0.5;1.5;3;4.5},{"Despreciable";"Bajo";"Medio";"Alto";"Muy alto"}),"")</f>
        <v/>
      </c>
      <c r="V97" s="13">
        <f>IFERROR(INDEX(MgAmenFrec,MATCH(SUBSTITUTE($H97,"*","-"),MgAmenClave,0)),"")</f>
        <v/>
      </c>
      <c r="W97" s="28">
        <f>IFERROR(LOOKUP(X97,{0;0.01;0.1;1;10;100},{"Muy baja";"Muy baja";"Baja";"Media";"Alta";"Muy alta"}),"")</f>
        <v/>
      </c>
      <c r="X97" s="31">
        <f>IFERROR(VLOOKUP(V97,MgFrec,2,0),0)</f>
        <v/>
      </c>
      <c r="Y97" s="30">
        <f>T97*X97</f>
        <v/>
      </c>
      <c r="Z97" s="28">
        <f>IFERROR(LOOKUP(Y97,{0;0.5;5;25},{"Bajo";"Medio";"Alto";"Crítico"}),"")</f>
        <v/>
      </c>
      <c r="AA97" s="64">
        <f>IF(T97&gt;=3,IF(X97&gt;=1,"Zona 1 — Crítica: impacto alto y ocurre al menos una vez al año","Zona 4 — Catastrófica poco probable: impacto alto pero excepcional"),IF(AND(T97&lt;1.5,X97&lt;1),"Zona 3 — Asumible: impacto bajo y muy poco frecuente","Zona 2 — Atención: riesgo intermedio"))</f>
        <v/>
      </c>
      <c r="AB97" s="64">
        <f>IFERROR(INDEX(MgAmenCtrl,MATCH(SUBSTITUTE($H97,"*","-"),MgAmenClave,0)),"")</f>
        <v/>
      </c>
      <c r="AC97" s="20" t="n"/>
      <c r="AD97" s="31">
        <f>IFERROR($X97*(1-IF($AC97="",$AL97,VLOOKUP($AC97,MgMad,2,0))),"")</f>
        <v/>
      </c>
      <c r="AE97" s="28">
        <f>IFERROR(LOOKUP(AD97,{0;0.01;0.1;1;10;100},{"Muy baja";"Muy baja";"Baja";"Media";"Alta";"Muy alta"}),"")</f>
        <v/>
      </c>
      <c r="AF97" s="30">
        <f>T97*AD97</f>
        <v/>
      </c>
      <c r="AG97" s="28">
        <f>IFERROR(LOOKUP(AF97,{0;0.5;5;25},{"Bajo";"Medio";"Alto";"Crítico"}),"")</f>
        <v/>
      </c>
      <c r="AH97" s="28">
        <f>IF(AG97="","",IF(OR(AG97="Crítico",AG97="Alto"),"Mitigar",IF(AG97="Medio","Mitigar","Aceptar y monitorear")))</f>
        <v/>
      </c>
      <c r="AI97" s="21" t="n"/>
      <c r="AJ97" s="21" t="n"/>
      <c r="AK97" s="20" t="n"/>
      <c r="AL97" s="77">
        <f>IFERROR(INDEX(MgAmenEfic,MATCH(SUBSTITUTE($H97,"*","-"),MgAmenClave,0)),0)</f>
        <v/>
      </c>
    </row>
    <row r="98" hidden="1" ht="90" customHeight="1" s="54">
      <c r="B98" s="59" t="inlineStr">
        <is>
          <t>R-0093</t>
        </is>
      </c>
      <c r="C98" s="59" t="inlineStr">
        <is>
          <t>DO-09</t>
        </is>
      </c>
      <c r="D98" s="64">
        <f>IFERROR(INDEX(MgNombre,MATCH($C98,MgActId,0)),"")</f>
        <v/>
      </c>
      <c r="E98" s="64">
        <f>IFERROR(INDEX(MgProceso,MATCH($C98,MgActId,0)),"")</f>
        <v/>
      </c>
      <c r="F98" s="64">
        <f>IFERROR(INDEX(MgTipo,MATCH($C98,MgActId,0)),"")</f>
        <v/>
      </c>
      <c r="G98" s="64">
        <f>IFERROR(INDEX(MgSubtipo,MATCH($C98,MgActId,0)),"")</f>
        <v/>
      </c>
      <c r="H98" s="59" t="inlineStr">
        <is>
          <t>E.10</t>
        </is>
      </c>
      <c r="I98" s="64">
        <f>IFERROR(INDEX(MgAmenNombre,MATCH(SUBSTITUTE($H98,"*","-"),MgAmenClave,0)),"")</f>
        <v/>
      </c>
      <c r="J98" s="28">
        <f>IFERROR(INDEX(MgAmenGrupo,MATCH(SUBSTITUTE($H98,"*","-"),MgAmenClave,0)),"")</f>
        <v/>
      </c>
      <c r="K98" s="64">
        <f>IFERROR(INDEX('1. Matriz de Activos'!$Q$6:$Q$239,MATCH($C98,MgActId,0)),"")</f>
        <v/>
      </c>
      <c r="L98" s="64">
        <f>IFERROR(INDEX('1. Matriz de Activos'!$R$6:$R$239,MATCH($C98,MgActId,0)),"")</f>
        <v/>
      </c>
      <c r="M98" s="64">
        <f>IFERROR(INDEX('1. Matriz de Activos'!$S$6:$S$239,MATCH($C98,MgActId,0)),"")</f>
        <v/>
      </c>
      <c r="N98" s="28">
        <f>IFERROR(INDEX(MgAmenDegD,MATCH(SUBSTITUTE($H98,"*","-"),MgAmenClave,0)),"No aplica")</f>
        <v/>
      </c>
      <c r="O98" s="28">
        <f>IFERROR(INDEX(MgAmenDegI,MATCH(SUBSTITUTE($H98,"*","-"),MgAmenClave,0)),"No aplica")</f>
        <v/>
      </c>
      <c r="P98" s="28">
        <f>IFERROR(INDEX(MgAmenDegC,MATCH(SUBSTITUTE($H98,"*","-"),MgAmenClave,0)),"No aplica")</f>
        <v/>
      </c>
      <c r="Q98" s="29">
        <f>IFERROR(VLOOKUP(K98,MgValor,2,0)*VLOOKUP(N98,MgDeg,2,0),0)</f>
        <v/>
      </c>
      <c r="R98" s="29">
        <f>IFERROR(VLOOKUP(L98,MgValor,2,0)*VLOOKUP(O98,MgDeg,2,0),0)</f>
        <v/>
      </c>
      <c r="S98" s="29">
        <f>IFERROR(VLOOKUP(M98,MgValor,2,0)*VLOOKUP(P98,MgDeg,2,0),0)</f>
        <v/>
      </c>
      <c r="T98" s="30">
        <f>MAX(Q98:S98)</f>
        <v/>
      </c>
      <c r="U98" s="28">
        <f>IFERROR(LOOKUP(T98,{0;0.5;1.5;3;4.5},{"Despreciable";"Bajo";"Medio";"Alto";"Muy alto"}),"")</f>
        <v/>
      </c>
      <c r="V98" s="13">
        <f>IFERROR(INDEX(MgAmenFrec,MATCH(SUBSTITUTE($H98,"*","-"),MgAmenClave,0)),"")</f>
        <v/>
      </c>
      <c r="W98" s="28">
        <f>IFERROR(LOOKUP(X98,{0;0.01;0.1;1;10;100},{"Muy baja";"Muy baja";"Baja";"Media";"Alta";"Muy alta"}),"")</f>
        <v/>
      </c>
      <c r="X98" s="31">
        <f>IFERROR(VLOOKUP(V98,MgFrec,2,0),0)</f>
        <v/>
      </c>
      <c r="Y98" s="30">
        <f>T98*X98</f>
        <v/>
      </c>
      <c r="Z98" s="28">
        <f>IFERROR(LOOKUP(Y98,{0;0.5;5;25},{"Bajo";"Medio";"Alto";"Crítico"}),"")</f>
        <v/>
      </c>
      <c r="AA98" s="64">
        <f>IF(T98&gt;=3,IF(X98&gt;=1,"Zona 1 — Crítica: impacto alto y ocurre al menos una vez al año","Zona 4 — Catastrófica poco probable: impacto alto pero excepcional"),IF(AND(T98&lt;1.5,X98&lt;1),"Zona 3 — Asumible: impacto bajo y muy poco frecuente","Zona 2 — Atención: riesgo intermedio"))</f>
        <v/>
      </c>
      <c r="AB98" s="64">
        <f>IFERROR(INDEX(MgAmenCtrl,MATCH(SUBSTITUTE($H98,"*","-"),MgAmenClave,0)),"")</f>
        <v/>
      </c>
      <c r="AC98" s="20" t="n"/>
      <c r="AD98" s="31">
        <f>IFERROR($X98*(1-IF($AC98="",$AL98,VLOOKUP($AC98,MgMad,2,0))),"")</f>
        <v/>
      </c>
      <c r="AE98" s="28">
        <f>IFERROR(LOOKUP(AD98,{0;0.01;0.1;1;10;100},{"Muy baja";"Muy baja";"Baja";"Media";"Alta";"Muy alta"}),"")</f>
        <v/>
      </c>
      <c r="AF98" s="30">
        <f>T98*AD98</f>
        <v/>
      </c>
      <c r="AG98" s="28">
        <f>IFERROR(LOOKUP(AF98,{0;0.5;5;25},{"Bajo";"Medio";"Alto";"Crítico"}),"")</f>
        <v/>
      </c>
      <c r="AH98" s="28">
        <f>IF(AG98="","",IF(OR(AG98="Crítico",AG98="Alto"),"Mitigar",IF(AG98="Medio","Mitigar","Aceptar y monitorear")))</f>
        <v/>
      </c>
      <c r="AI98" s="21" t="n"/>
      <c r="AJ98" s="21" t="n"/>
      <c r="AK98" s="20" t="n"/>
      <c r="AL98" s="77">
        <f>IFERROR(INDEX(MgAmenEfic,MATCH(SUBSTITUTE($H98,"*","-"),MgAmenClave,0)),0)</f>
        <v/>
      </c>
    </row>
    <row r="99" hidden="1" ht="90" customHeight="1" s="54">
      <c r="B99" s="59" t="inlineStr">
        <is>
          <t>R-0094</t>
        </is>
      </c>
      <c r="C99" s="59" t="inlineStr">
        <is>
          <t>DO-09</t>
        </is>
      </c>
      <c r="D99" s="64">
        <f>IFERROR(INDEX(MgNombre,MATCH($C99,MgActId,0)),"")</f>
        <v/>
      </c>
      <c r="E99" s="64">
        <f>IFERROR(INDEX(MgProceso,MATCH($C99,MgActId,0)),"")</f>
        <v/>
      </c>
      <c r="F99" s="64">
        <f>IFERROR(INDEX(MgTipo,MATCH($C99,MgActId,0)),"")</f>
        <v/>
      </c>
      <c r="G99" s="64">
        <f>IFERROR(INDEX(MgSubtipo,MATCH($C99,MgActId,0)),"")</f>
        <v/>
      </c>
      <c r="H99" s="59" t="inlineStr">
        <is>
          <t>E.14</t>
        </is>
      </c>
      <c r="I99" s="64">
        <f>IFERROR(INDEX(MgAmenNombre,MATCH(SUBSTITUTE($H99,"*","-"),MgAmenClave,0)),"")</f>
        <v/>
      </c>
      <c r="J99" s="28">
        <f>IFERROR(INDEX(MgAmenGrupo,MATCH(SUBSTITUTE($H99,"*","-"),MgAmenClave,0)),"")</f>
        <v/>
      </c>
      <c r="K99" s="64">
        <f>IFERROR(INDEX('1. Matriz de Activos'!$Q$6:$Q$239,MATCH($C99,MgActId,0)),"")</f>
        <v/>
      </c>
      <c r="L99" s="64">
        <f>IFERROR(INDEX('1. Matriz de Activos'!$R$6:$R$239,MATCH($C99,MgActId,0)),"")</f>
        <v/>
      </c>
      <c r="M99" s="64">
        <f>IFERROR(INDEX('1. Matriz de Activos'!$S$6:$S$239,MATCH($C99,MgActId,0)),"")</f>
        <v/>
      </c>
      <c r="N99" s="28">
        <f>IFERROR(INDEX(MgAmenDegD,MATCH(SUBSTITUTE($H99,"*","-"),MgAmenClave,0)),"No aplica")</f>
        <v/>
      </c>
      <c r="O99" s="28">
        <f>IFERROR(INDEX(MgAmenDegI,MATCH(SUBSTITUTE($H99,"*","-"),MgAmenClave,0)),"No aplica")</f>
        <v/>
      </c>
      <c r="P99" s="28">
        <f>IFERROR(INDEX(MgAmenDegC,MATCH(SUBSTITUTE($H99,"*","-"),MgAmenClave,0)),"No aplica")</f>
        <v/>
      </c>
      <c r="Q99" s="29">
        <f>IFERROR(VLOOKUP(K99,MgValor,2,0)*VLOOKUP(N99,MgDeg,2,0),0)</f>
        <v/>
      </c>
      <c r="R99" s="29">
        <f>IFERROR(VLOOKUP(L99,MgValor,2,0)*VLOOKUP(O99,MgDeg,2,0),0)</f>
        <v/>
      </c>
      <c r="S99" s="29">
        <f>IFERROR(VLOOKUP(M99,MgValor,2,0)*VLOOKUP(P99,MgDeg,2,0),0)</f>
        <v/>
      </c>
      <c r="T99" s="30">
        <f>MAX(Q99:S99)</f>
        <v/>
      </c>
      <c r="U99" s="28">
        <f>IFERROR(LOOKUP(T99,{0;0.5;1.5;3;4.5},{"Despreciable";"Bajo";"Medio";"Alto";"Muy alto"}),"")</f>
        <v/>
      </c>
      <c r="V99" s="13">
        <f>IFERROR(INDEX(MgAmenFrec,MATCH(SUBSTITUTE($H99,"*","-"),MgAmenClave,0)),"")</f>
        <v/>
      </c>
      <c r="W99" s="28">
        <f>IFERROR(LOOKUP(X99,{0;0.01;0.1;1;10;100},{"Muy baja";"Muy baja";"Baja";"Media";"Alta";"Muy alta"}),"")</f>
        <v/>
      </c>
      <c r="X99" s="31">
        <f>IFERROR(VLOOKUP(V99,MgFrec,2,0),0)</f>
        <v/>
      </c>
      <c r="Y99" s="30">
        <f>T99*X99</f>
        <v/>
      </c>
      <c r="Z99" s="28">
        <f>IFERROR(LOOKUP(Y99,{0;0.5;5;25},{"Bajo";"Medio";"Alto";"Crítico"}),"")</f>
        <v/>
      </c>
      <c r="AA99" s="64">
        <f>IF(T99&gt;=3,IF(X99&gt;=1,"Zona 1 — Crítica: impacto alto y ocurre al menos una vez al año","Zona 4 — Catastrófica poco probable: impacto alto pero excepcional"),IF(AND(T99&lt;1.5,X99&lt;1),"Zona 3 — Asumible: impacto bajo y muy poco frecuente","Zona 2 — Atención: riesgo intermedio"))</f>
        <v/>
      </c>
      <c r="AB99" s="64">
        <f>IFERROR(INDEX(MgAmenCtrl,MATCH(SUBSTITUTE($H99,"*","-"),MgAmenClave,0)),"")</f>
        <v/>
      </c>
      <c r="AC99" s="20" t="n"/>
      <c r="AD99" s="31">
        <f>IFERROR($X99*(1-IF($AC99="",$AL99,VLOOKUP($AC99,MgMad,2,0))),"")</f>
        <v/>
      </c>
      <c r="AE99" s="28">
        <f>IFERROR(LOOKUP(AD99,{0;0.01;0.1;1;10;100},{"Muy baja";"Muy baja";"Baja";"Media";"Alta";"Muy alta"}),"")</f>
        <v/>
      </c>
      <c r="AF99" s="30">
        <f>T99*AD99</f>
        <v/>
      </c>
      <c r="AG99" s="28">
        <f>IFERROR(LOOKUP(AF99,{0;0.5;5;25},{"Bajo";"Medio";"Alto";"Crítico"}),"")</f>
        <v/>
      </c>
      <c r="AH99" s="28">
        <f>IF(AG99="","",IF(OR(AG99="Crítico",AG99="Alto"),"Mitigar",IF(AG99="Medio","Mitigar","Aceptar y monitorear")))</f>
        <v/>
      </c>
      <c r="AI99" s="21" t="n"/>
      <c r="AJ99" s="21" t="n"/>
      <c r="AK99" s="20" t="n"/>
      <c r="AL99" s="77">
        <f>IFERROR(INDEX(MgAmenEfic,MATCH(SUBSTITUTE($H99,"*","-"),MgAmenClave,0)),0)</f>
        <v/>
      </c>
    </row>
    <row r="100" hidden="1" ht="90" customHeight="1" s="54">
      <c r="B100" s="59" t="inlineStr">
        <is>
          <t>R-0095</t>
        </is>
      </c>
      <c r="C100" s="59" t="inlineStr">
        <is>
          <t>DO-09</t>
        </is>
      </c>
      <c r="D100" s="64">
        <f>IFERROR(INDEX(MgNombre,MATCH($C100,MgActId,0)),"")</f>
        <v/>
      </c>
      <c r="E100" s="64">
        <f>IFERROR(INDEX(MgProceso,MATCH($C100,MgActId,0)),"")</f>
        <v/>
      </c>
      <c r="F100" s="64">
        <f>IFERROR(INDEX(MgTipo,MATCH($C100,MgActId,0)),"")</f>
        <v/>
      </c>
      <c r="G100" s="64">
        <f>IFERROR(INDEX(MgSubtipo,MATCH($C100,MgActId,0)),"")</f>
        <v/>
      </c>
      <c r="H100" s="59" t="inlineStr">
        <is>
          <t>E.15</t>
        </is>
      </c>
      <c r="I100" s="64">
        <f>IFERROR(INDEX(MgAmenNombre,MATCH(SUBSTITUTE($H100,"*","-"),MgAmenClave,0)),"")</f>
        <v/>
      </c>
      <c r="J100" s="28">
        <f>IFERROR(INDEX(MgAmenGrupo,MATCH(SUBSTITUTE($H100,"*","-"),MgAmenClave,0)),"")</f>
        <v/>
      </c>
      <c r="K100" s="64">
        <f>IFERROR(INDEX('1. Matriz de Activos'!$Q$6:$Q$239,MATCH($C100,MgActId,0)),"")</f>
        <v/>
      </c>
      <c r="L100" s="64">
        <f>IFERROR(INDEX('1. Matriz de Activos'!$R$6:$R$239,MATCH($C100,MgActId,0)),"")</f>
        <v/>
      </c>
      <c r="M100" s="64">
        <f>IFERROR(INDEX('1. Matriz de Activos'!$S$6:$S$239,MATCH($C100,MgActId,0)),"")</f>
        <v/>
      </c>
      <c r="N100" s="28">
        <f>IFERROR(INDEX(MgAmenDegD,MATCH(SUBSTITUTE($H100,"*","-"),MgAmenClave,0)),"No aplica")</f>
        <v/>
      </c>
      <c r="O100" s="28">
        <f>IFERROR(INDEX(MgAmenDegI,MATCH(SUBSTITUTE($H100,"*","-"),MgAmenClave,0)),"No aplica")</f>
        <v/>
      </c>
      <c r="P100" s="28">
        <f>IFERROR(INDEX(MgAmenDegC,MATCH(SUBSTITUTE($H100,"*","-"),MgAmenClave,0)),"No aplica")</f>
        <v/>
      </c>
      <c r="Q100" s="29">
        <f>IFERROR(VLOOKUP(K100,MgValor,2,0)*VLOOKUP(N100,MgDeg,2,0),0)</f>
        <v/>
      </c>
      <c r="R100" s="29">
        <f>IFERROR(VLOOKUP(L100,MgValor,2,0)*VLOOKUP(O100,MgDeg,2,0),0)</f>
        <v/>
      </c>
      <c r="S100" s="29">
        <f>IFERROR(VLOOKUP(M100,MgValor,2,0)*VLOOKUP(P100,MgDeg,2,0),0)</f>
        <v/>
      </c>
      <c r="T100" s="30">
        <f>MAX(Q100:S100)</f>
        <v/>
      </c>
      <c r="U100" s="28">
        <f>IFERROR(LOOKUP(T100,{0;0.5;1.5;3;4.5},{"Despreciable";"Bajo";"Medio";"Alto";"Muy alto"}),"")</f>
        <v/>
      </c>
      <c r="V100" s="13">
        <f>IFERROR(INDEX(MgAmenFrec,MATCH(SUBSTITUTE($H100,"*","-"),MgAmenClave,0)),"")</f>
        <v/>
      </c>
      <c r="W100" s="28">
        <f>IFERROR(LOOKUP(X100,{0;0.01;0.1;1;10;100},{"Muy baja";"Muy baja";"Baja";"Media";"Alta";"Muy alta"}),"")</f>
        <v/>
      </c>
      <c r="X100" s="31">
        <f>IFERROR(VLOOKUP(V100,MgFrec,2,0),0)</f>
        <v/>
      </c>
      <c r="Y100" s="30">
        <f>T100*X100</f>
        <v/>
      </c>
      <c r="Z100" s="28">
        <f>IFERROR(LOOKUP(Y100,{0;0.5;5;25},{"Bajo";"Medio";"Alto";"Crítico"}),"")</f>
        <v/>
      </c>
      <c r="AA100" s="64">
        <f>IF(T100&gt;=3,IF(X100&gt;=1,"Zona 1 — Crítica: impacto alto y ocurre al menos una vez al año","Zona 4 — Catastrófica poco probable: impacto alto pero excepcional"),IF(AND(T100&lt;1.5,X100&lt;1),"Zona 3 — Asumible: impacto bajo y muy poco frecuente","Zona 2 — Atención: riesgo intermedio"))</f>
        <v/>
      </c>
      <c r="AB100" s="64">
        <f>IFERROR(INDEX(MgAmenCtrl,MATCH(SUBSTITUTE($H100,"*","-"),MgAmenClave,0)),"")</f>
        <v/>
      </c>
      <c r="AC100" s="20" t="n"/>
      <c r="AD100" s="31">
        <f>IFERROR($X100*(1-IF($AC100="",$AL100,VLOOKUP($AC100,MgMad,2,0))),"")</f>
        <v/>
      </c>
      <c r="AE100" s="28">
        <f>IFERROR(LOOKUP(AD100,{0;0.01;0.1;1;10;100},{"Muy baja";"Muy baja";"Baja";"Media";"Alta";"Muy alta"}),"")</f>
        <v/>
      </c>
      <c r="AF100" s="30">
        <f>T100*AD100</f>
        <v/>
      </c>
      <c r="AG100" s="28">
        <f>IFERROR(LOOKUP(AF100,{0;0.5;5;25},{"Bajo";"Medio";"Alto";"Crítico"}),"")</f>
        <v/>
      </c>
      <c r="AH100" s="28">
        <f>IF(AG100="","",IF(OR(AG100="Crítico",AG100="Alto"),"Mitigar",IF(AG100="Medio","Mitigar","Aceptar y monitorear")))</f>
        <v/>
      </c>
      <c r="AI100" s="21" t="n"/>
      <c r="AJ100" s="21" t="n"/>
      <c r="AK100" s="20" t="n"/>
      <c r="AL100" s="77">
        <f>IFERROR(INDEX(MgAmenEfic,MATCH(SUBSTITUTE($H100,"*","-"),MgAmenClave,0)),0)</f>
        <v/>
      </c>
    </row>
    <row r="101" hidden="1" ht="60" customHeight="1" s="54">
      <c r="B101" s="59" t="inlineStr">
        <is>
          <t>R-0096</t>
        </is>
      </c>
      <c r="C101" s="59" t="inlineStr">
        <is>
          <t>DO-09</t>
        </is>
      </c>
      <c r="D101" s="64">
        <f>IFERROR(INDEX(MgNombre,MATCH($C101,MgActId,0)),"")</f>
        <v/>
      </c>
      <c r="E101" s="64">
        <f>IFERROR(INDEX(MgProceso,MATCH($C101,MgActId,0)),"")</f>
        <v/>
      </c>
      <c r="F101" s="64">
        <f>IFERROR(INDEX(MgTipo,MATCH($C101,MgActId,0)),"")</f>
        <v/>
      </c>
      <c r="G101" s="64">
        <f>IFERROR(INDEX(MgSubtipo,MATCH($C101,MgActId,0)),"")</f>
        <v/>
      </c>
      <c r="H101" s="59" t="inlineStr">
        <is>
          <t>E.18</t>
        </is>
      </c>
      <c r="I101" s="64">
        <f>IFERROR(INDEX(MgAmenNombre,MATCH(SUBSTITUTE($H101,"*","-"),MgAmenClave,0)),"")</f>
        <v/>
      </c>
      <c r="J101" s="28">
        <f>IFERROR(INDEX(MgAmenGrupo,MATCH(SUBSTITUTE($H101,"*","-"),MgAmenClave,0)),"")</f>
        <v/>
      </c>
      <c r="K101" s="64">
        <f>IFERROR(INDEX('1. Matriz de Activos'!$Q$6:$Q$239,MATCH($C101,MgActId,0)),"")</f>
        <v/>
      </c>
      <c r="L101" s="64">
        <f>IFERROR(INDEX('1. Matriz de Activos'!$R$6:$R$239,MATCH($C101,MgActId,0)),"")</f>
        <v/>
      </c>
      <c r="M101" s="64">
        <f>IFERROR(INDEX('1. Matriz de Activos'!$S$6:$S$239,MATCH($C101,MgActId,0)),"")</f>
        <v/>
      </c>
      <c r="N101" s="28">
        <f>IFERROR(INDEX(MgAmenDegD,MATCH(SUBSTITUTE($H101,"*","-"),MgAmenClave,0)),"No aplica")</f>
        <v/>
      </c>
      <c r="O101" s="28">
        <f>IFERROR(INDEX(MgAmenDegI,MATCH(SUBSTITUTE($H101,"*","-"),MgAmenClave,0)),"No aplica")</f>
        <v/>
      </c>
      <c r="P101" s="28">
        <f>IFERROR(INDEX(MgAmenDegC,MATCH(SUBSTITUTE($H101,"*","-"),MgAmenClave,0)),"No aplica")</f>
        <v/>
      </c>
      <c r="Q101" s="29">
        <f>IFERROR(VLOOKUP(K101,MgValor,2,0)*VLOOKUP(N101,MgDeg,2,0),0)</f>
        <v/>
      </c>
      <c r="R101" s="29">
        <f>IFERROR(VLOOKUP(L101,MgValor,2,0)*VLOOKUP(O101,MgDeg,2,0),0)</f>
        <v/>
      </c>
      <c r="S101" s="29">
        <f>IFERROR(VLOOKUP(M101,MgValor,2,0)*VLOOKUP(P101,MgDeg,2,0),0)</f>
        <v/>
      </c>
      <c r="T101" s="30">
        <f>MAX(Q101:S101)</f>
        <v/>
      </c>
      <c r="U101" s="28">
        <f>IFERROR(LOOKUP(T101,{0;0.5;1.5;3;4.5},{"Despreciable";"Bajo";"Medio";"Alto";"Muy alto"}),"")</f>
        <v/>
      </c>
      <c r="V101" s="13">
        <f>IFERROR(INDEX(MgAmenFrec,MATCH(SUBSTITUTE($H101,"*","-"),MgAmenClave,0)),"")</f>
        <v/>
      </c>
      <c r="W101" s="28">
        <f>IFERROR(LOOKUP(X101,{0;0.01;0.1;1;10;100},{"Muy baja";"Muy baja";"Baja";"Media";"Alta";"Muy alta"}),"")</f>
        <v/>
      </c>
      <c r="X101" s="31">
        <f>IFERROR(VLOOKUP(V101,MgFrec,2,0),0)</f>
        <v/>
      </c>
      <c r="Y101" s="30">
        <f>T101*X101</f>
        <v/>
      </c>
      <c r="Z101" s="28">
        <f>IFERROR(LOOKUP(Y101,{0;0.5;5;25},{"Bajo";"Medio";"Alto";"Crítico"}),"")</f>
        <v/>
      </c>
      <c r="AA101" s="64">
        <f>IF(T101&gt;=3,IF(X101&gt;=1,"Zona 1 — Crítica: impacto alto y ocurre al menos una vez al año","Zona 4 — Catastrófica poco probable: impacto alto pero excepcional"),IF(AND(T101&lt;1.5,X101&lt;1),"Zona 3 — Asumible: impacto bajo y muy poco frecuente","Zona 2 — Atención: riesgo intermedio"))</f>
        <v/>
      </c>
      <c r="AB101" s="64">
        <f>IFERROR(INDEX(MgAmenCtrl,MATCH(SUBSTITUTE($H101,"*","-"),MgAmenClave,0)),"")</f>
        <v/>
      </c>
      <c r="AC101" s="20" t="n"/>
      <c r="AD101" s="31">
        <f>IFERROR($X101*(1-IF($AC101="",$AL101,VLOOKUP($AC101,MgMad,2,0))),"")</f>
        <v/>
      </c>
      <c r="AE101" s="28">
        <f>IFERROR(LOOKUP(AD101,{0;0.01;0.1;1;10;100},{"Muy baja";"Muy baja";"Baja";"Media";"Alta";"Muy alta"}),"")</f>
        <v/>
      </c>
      <c r="AF101" s="30">
        <f>T101*AD101</f>
        <v/>
      </c>
      <c r="AG101" s="28">
        <f>IFERROR(LOOKUP(AF101,{0;0.5;5;25},{"Bajo";"Medio";"Alto";"Crítico"}),"")</f>
        <v/>
      </c>
      <c r="AH101" s="28">
        <f>IF(AG101="","",IF(OR(AG101="Crítico",AG101="Alto"),"Mitigar",IF(AG101="Medio","Mitigar","Aceptar y monitorear")))</f>
        <v/>
      </c>
      <c r="AI101" s="21" t="n"/>
      <c r="AJ101" s="21" t="n"/>
      <c r="AK101" s="20" t="n"/>
      <c r="AL101" s="77">
        <f>IFERROR(INDEX(MgAmenEfic,MATCH(SUBSTITUTE($H101,"*","-"),MgAmenClave,0)),0)</f>
        <v/>
      </c>
    </row>
    <row r="102" hidden="1" ht="105" customHeight="1" s="54">
      <c r="B102" s="59" t="inlineStr">
        <is>
          <t>R-0097</t>
        </is>
      </c>
      <c r="C102" s="59" t="inlineStr">
        <is>
          <t>DO-09</t>
        </is>
      </c>
      <c r="D102" s="64">
        <f>IFERROR(INDEX(MgNombre,MATCH($C102,MgActId,0)),"")</f>
        <v/>
      </c>
      <c r="E102" s="64">
        <f>IFERROR(INDEX(MgProceso,MATCH($C102,MgActId,0)),"")</f>
        <v/>
      </c>
      <c r="F102" s="64">
        <f>IFERROR(INDEX(MgTipo,MATCH($C102,MgActId,0)),"")</f>
        <v/>
      </c>
      <c r="G102" s="64">
        <f>IFERROR(INDEX(MgSubtipo,MATCH($C102,MgActId,0)),"")</f>
        <v/>
      </c>
      <c r="H102" s="59" t="inlineStr">
        <is>
          <t>E.19</t>
        </is>
      </c>
      <c r="I102" s="64">
        <f>IFERROR(INDEX(MgAmenNombre,MATCH(SUBSTITUTE($H102,"*","-"),MgAmenClave,0)),"")</f>
        <v/>
      </c>
      <c r="J102" s="28">
        <f>IFERROR(INDEX(MgAmenGrupo,MATCH(SUBSTITUTE($H102,"*","-"),MgAmenClave,0)),"")</f>
        <v/>
      </c>
      <c r="K102" s="64">
        <f>IFERROR(INDEX('1. Matriz de Activos'!$Q$6:$Q$239,MATCH($C102,MgActId,0)),"")</f>
        <v/>
      </c>
      <c r="L102" s="64">
        <f>IFERROR(INDEX('1. Matriz de Activos'!$R$6:$R$239,MATCH($C102,MgActId,0)),"")</f>
        <v/>
      </c>
      <c r="M102" s="64">
        <f>IFERROR(INDEX('1. Matriz de Activos'!$S$6:$S$239,MATCH($C102,MgActId,0)),"")</f>
        <v/>
      </c>
      <c r="N102" s="28">
        <f>IFERROR(INDEX(MgAmenDegD,MATCH(SUBSTITUTE($H102,"*","-"),MgAmenClave,0)),"No aplica")</f>
        <v/>
      </c>
      <c r="O102" s="28">
        <f>IFERROR(INDEX(MgAmenDegI,MATCH(SUBSTITUTE($H102,"*","-"),MgAmenClave,0)),"No aplica")</f>
        <v/>
      </c>
      <c r="P102" s="28">
        <f>IFERROR(INDEX(MgAmenDegC,MATCH(SUBSTITUTE($H102,"*","-"),MgAmenClave,0)),"No aplica")</f>
        <v/>
      </c>
      <c r="Q102" s="29">
        <f>IFERROR(VLOOKUP(K102,MgValor,2,0)*VLOOKUP(N102,MgDeg,2,0),0)</f>
        <v/>
      </c>
      <c r="R102" s="29">
        <f>IFERROR(VLOOKUP(L102,MgValor,2,0)*VLOOKUP(O102,MgDeg,2,0),0)</f>
        <v/>
      </c>
      <c r="S102" s="29">
        <f>IFERROR(VLOOKUP(M102,MgValor,2,0)*VLOOKUP(P102,MgDeg,2,0),0)</f>
        <v/>
      </c>
      <c r="T102" s="30">
        <f>MAX(Q102:S102)</f>
        <v/>
      </c>
      <c r="U102" s="28">
        <f>IFERROR(LOOKUP(T102,{0;0.5;1.5;3;4.5},{"Despreciable";"Bajo";"Medio";"Alto";"Muy alto"}),"")</f>
        <v/>
      </c>
      <c r="V102" s="13">
        <f>IFERROR(INDEX(MgAmenFrec,MATCH(SUBSTITUTE($H102,"*","-"),MgAmenClave,0)),"")</f>
        <v/>
      </c>
      <c r="W102" s="28">
        <f>IFERROR(LOOKUP(X102,{0;0.01;0.1;1;10;100},{"Muy baja";"Muy baja";"Baja";"Media";"Alta";"Muy alta"}),"")</f>
        <v/>
      </c>
      <c r="X102" s="31">
        <f>IFERROR(VLOOKUP(V102,MgFrec,2,0),0)</f>
        <v/>
      </c>
      <c r="Y102" s="30">
        <f>T102*X102</f>
        <v/>
      </c>
      <c r="Z102" s="28">
        <f>IFERROR(LOOKUP(Y102,{0;0.5;5;25},{"Bajo";"Medio";"Alto";"Crítico"}),"")</f>
        <v/>
      </c>
      <c r="AA102" s="64">
        <f>IF(T102&gt;=3,IF(X102&gt;=1,"Zona 1 — Crítica: impacto alto y ocurre al menos una vez al año","Zona 4 — Catastrófica poco probable: impacto alto pero excepcional"),IF(AND(T102&lt;1.5,X102&lt;1),"Zona 3 — Asumible: impacto bajo y muy poco frecuente","Zona 2 — Atención: riesgo intermedio"))</f>
        <v/>
      </c>
      <c r="AB102" s="64">
        <f>IFERROR(INDEX(MgAmenCtrl,MATCH(SUBSTITUTE($H102,"*","-"),MgAmenClave,0)),"")</f>
        <v/>
      </c>
      <c r="AC102" s="20" t="n"/>
      <c r="AD102" s="31">
        <f>IFERROR($X102*(1-IF($AC102="",$AL102,VLOOKUP($AC102,MgMad,2,0))),"")</f>
        <v/>
      </c>
      <c r="AE102" s="28">
        <f>IFERROR(LOOKUP(AD102,{0;0.01;0.1;1;10;100},{"Muy baja";"Muy baja";"Baja";"Media";"Alta";"Muy alta"}),"")</f>
        <v/>
      </c>
      <c r="AF102" s="30">
        <f>T102*AD102</f>
        <v/>
      </c>
      <c r="AG102" s="28">
        <f>IFERROR(LOOKUP(AF102,{0;0.5;5;25},{"Bajo";"Medio";"Alto";"Crítico"}),"")</f>
        <v/>
      </c>
      <c r="AH102" s="28">
        <f>IF(AG102="","",IF(OR(AG102="Crítico",AG102="Alto"),"Mitigar",IF(AG102="Medio","Mitigar","Aceptar y monitorear")))</f>
        <v/>
      </c>
      <c r="AI102" s="21" t="n"/>
      <c r="AJ102" s="21" t="n"/>
      <c r="AK102" s="20" t="n"/>
      <c r="AL102" s="77">
        <f>IFERROR(INDEX(MgAmenEfic,MATCH(SUBSTITUTE($H102,"*","-"),MgAmenClave,0)),0)</f>
        <v/>
      </c>
    </row>
    <row r="103" hidden="1" ht="45" customHeight="1" s="54">
      <c r="B103" s="59" t="inlineStr">
        <is>
          <t>R-0098</t>
        </is>
      </c>
      <c r="C103" s="59" t="inlineStr">
        <is>
          <t>DO-09</t>
        </is>
      </c>
      <c r="D103" s="64">
        <f>IFERROR(INDEX(MgNombre,MATCH($C103,MgActId,0)),"")</f>
        <v/>
      </c>
      <c r="E103" s="64">
        <f>IFERROR(INDEX(MgProceso,MATCH($C103,MgActId,0)),"")</f>
        <v/>
      </c>
      <c r="F103" s="64">
        <f>IFERROR(INDEX(MgTipo,MATCH($C103,MgActId,0)),"")</f>
        <v/>
      </c>
      <c r="G103" s="64">
        <f>IFERROR(INDEX(MgSubtipo,MATCH($C103,MgActId,0)),"")</f>
        <v/>
      </c>
      <c r="H103" s="59" t="inlineStr">
        <is>
          <t>E.24</t>
        </is>
      </c>
      <c r="I103" s="64">
        <f>IFERROR(INDEX(MgAmenNombre,MATCH(SUBSTITUTE($H103,"*","-"),MgAmenClave,0)),"")</f>
        <v/>
      </c>
      <c r="J103" s="28">
        <f>IFERROR(INDEX(MgAmenGrupo,MATCH(SUBSTITUTE($H103,"*","-"),MgAmenClave,0)),"")</f>
        <v/>
      </c>
      <c r="K103" s="64">
        <f>IFERROR(INDEX('1. Matriz de Activos'!$Q$6:$Q$239,MATCH($C103,MgActId,0)),"")</f>
        <v/>
      </c>
      <c r="L103" s="64">
        <f>IFERROR(INDEX('1. Matriz de Activos'!$R$6:$R$239,MATCH($C103,MgActId,0)),"")</f>
        <v/>
      </c>
      <c r="M103" s="64">
        <f>IFERROR(INDEX('1. Matriz de Activos'!$S$6:$S$239,MATCH($C103,MgActId,0)),"")</f>
        <v/>
      </c>
      <c r="N103" s="28">
        <f>IFERROR(INDEX(MgAmenDegD,MATCH(SUBSTITUTE($H103,"*","-"),MgAmenClave,0)),"No aplica")</f>
        <v/>
      </c>
      <c r="O103" s="28">
        <f>IFERROR(INDEX(MgAmenDegI,MATCH(SUBSTITUTE($H103,"*","-"),MgAmenClave,0)),"No aplica")</f>
        <v/>
      </c>
      <c r="P103" s="28">
        <f>IFERROR(INDEX(MgAmenDegC,MATCH(SUBSTITUTE($H103,"*","-"),MgAmenClave,0)),"No aplica")</f>
        <v/>
      </c>
      <c r="Q103" s="29">
        <f>IFERROR(VLOOKUP(K103,MgValor,2,0)*VLOOKUP(N103,MgDeg,2,0),0)</f>
        <v/>
      </c>
      <c r="R103" s="29">
        <f>IFERROR(VLOOKUP(L103,MgValor,2,0)*VLOOKUP(O103,MgDeg,2,0),0)</f>
        <v/>
      </c>
      <c r="S103" s="29">
        <f>IFERROR(VLOOKUP(M103,MgValor,2,0)*VLOOKUP(P103,MgDeg,2,0),0)</f>
        <v/>
      </c>
      <c r="T103" s="30">
        <f>MAX(Q103:S103)</f>
        <v/>
      </c>
      <c r="U103" s="28">
        <f>IFERROR(LOOKUP(T103,{0;0.5;1.5;3;4.5},{"Despreciable";"Bajo";"Medio";"Alto";"Muy alto"}),"")</f>
        <v/>
      </c>
      <c r="V103" s="13">
        <f>IFERROR(INDEX(MgAmenFrec,MATCH(SUBSTITUTE($H103,"*","-"),MgAmenClave,0)),"")</f>
        <v/>
      </c>
      <c r="W103" s="28">
        <f>IFERROR(LOOKUP(X103,{0;0.01;0.1;1;10;100},{"Muy baja";"Muy baja";"Baja";"Media";"Alta";"Muy alta"}),"")</f>
        <v/>
      </c>
      <c r="X103" s="31">
        <f>IFERROR(VLOOKUP(V103,MgFrec,2,0),0)</f>
        <v/>
      </c>
      <c r="Y103" s="30">
        <f>T103*X103</f>
        <v/>
      </c>
      <c r="Z103" s="28">
        <f>IFERROR(LOOKUP(Y103,{0;0.5;5;25},{"Bajo";"Medio";"Alto";"Crítico"}),"")</f>
        <v/>
      </c>
      <c r="AA103" s="64">
        <f>IF(T103&gt;=3,IF(X103&gt;=1,"Zona 1 — Crítica: impacto alto y ocurre al menos una vez al año","Zona 4 — Catastrófica poco probable: impacto alto pero excepcional"),IF(AND(T103&lt;1.5,X103&lt;1),"Zona 3 — Asumible: impacto bajo y muy poco frecuente","Zona 2 — Atención: riesgo intermedio"))</f>
        <v/>
      </c>
      <c r="AB103" s="64">
        <f>IFERROR(INDEX(MgAmenCtrl,MATCH(SUBSTITUTE($H103,"*","-"),MgAmenClave,0)),"")</f>
        <v/>
      </c>
      <c r="AC103" s="20" t="n"/>
      <c r="AD103" s="31">
        <f>IFERROR($X103*(1-IF($AC103="",$AL103,VLOOKUP($AC103,MgMad,2,0))),"")</f>
        <v/>
      </c>
      <c r="AE103" s="28">
        <f>IFERROR(LOOKUP(AD103,{0;0.01;0.1;1;10;100},{"Muy baja";"Muy baja";"Baja";"Media";"Alta";"Muy alta"}),"")</f>
        <v/>
      </c>
      <c r="AF103" s="30">
        <f>T103*AD103</f>
        <v/>
      </c>
      <c r="AG103" s="28">
        <f>IFERROR(LOOKUP(AF103,{0;0.5;5;25},{"Bajo";"Medio";"Alto";"Crítico"}),"")</f>
        <v/>
      </c>
      <c r="AH103" s="28">
        <f>IF(AG103="","",IF(OR(AG103="Crítico",AG103="Alto"),"Mitigar",IF(AG103="Medio","Mitigar","Aceptar y monitorear")))</f>
        <v/>
      </c>
      <c r="AI103" s="21" t="n"/>
      <c r="AJ103" s="21" t="n"/>
      <c r="AK103" s="20" t="n"/>
      <c r="AL103" s="77">
        <f>IFERROR(INDEX(MgAmenEfic,MATCH(SUBSTITUTE($H103,"*","-"),MgAmenClave,0)),0)</f>
        <v/>
      </c>
    </row>
    <row r="104" hidden="1" ht="75" customHeight="1" s="54">
      <c r="B104" s="59" t="inlineStr">
        <is>
          <t>R-0099</t>
        </is>
      </c>
      <c r="C104" s="59" t="inlineStr">
        <is>
          <t>DO-09</t>
        </is>
      </c>
      <c r="D104" s="64">
        <f>IFERROR(INDEX(MgNombre,MATCH($C104,MgActId,0)),"")</f>
        <v/>
      </c>
      <c r="E104" s="64">
        <f>IFERROR(INDEX(MgProceso,MATCH($C104,MgActId,0)),"")</f>
        <v/>
      </c>
      <c r="F104" s="64">
        <f>IFERROR(INDEX(MgTipo,MATCH($C104,MgActId,0)),"")</f>
        <v/>
      </c>
      <c r="G104" s="64">
        <f>IFERROR(INDEX(MgSubtipo,MATCH($C104,MgActId,0)),"")</f>
        <v/>
      </c>
      <c r="H104" s="59" t="inlineStr">
        <is>
          <t>A.5</t>
        </is>
      </c>
      <c r="I104" s="64">
        <f>IFERROR(INDEX(MgAmenNombre,MATCH(SUBSTITUTE($H104,"*","-"),MgAmenClave,0)),"")</f>
        <v/>
      </c>
      <c r="J104" s="28">
        <f>IFERROR(INDEX(MgAmenGrupo,MATCH(SUBSTITUTE($H104,"*","-"),MgAmenClave,0)),"")</f>
        <v/>
      </c>
      <c r="K104" s="64">
        <f>IFERROR(INDEX('1. Matriz de Activos'!$Q$6:$Q$239,MATCH($C104,MgActId,0)),"")</f>
        <v/>
      </c>
      <c r="L104" s="64">
        <f>IFERROR(INDEX('1. Matriz de Activos'!$R$6:$R$239,MATCH($C104,MgActId,0)),"")</f>
        <v/>
      </c>
      <c r="M104" s="64">
        <f>IFERROR(INDEX('1. Matriz de Activos'!$S$6:$S$239,MATCH($C104,MgActId,0)),"")</f>
        <v/>
      </c>
      <c r="N104" s="28">
        <f>IFERROR(INDEX(MgAmenDegD,MATCH(SUBSTITUTE($H104,"*","-"),MgAmenClave,0)),"No aplica")</f>
        <v/>
      </c>
      <c r="O104" s="28">
        <f>IFERROR(INDEX(MgAmenDegI,MATCH(SUBSTITUTE($H104,"*","-"),MgAmenClave,0)),"No aplica")</f>
        <v/>
      </c>
      <c r="P104" s="28">
        <f>IFERROR(INDEX(MgAmenDegC,MATCH(SUBSTITUTE($H104,"*","-"),MgAmenClave,0)),"No aplica")</f>
        <v/>
      </c>
      <c r="Q104" s="29">
        <f>IFERROR(VLOOKUP(K104,MgValor,2,0)*VLOOKUP(N104,MgDeg,2,0),0)</f>
        <v/>
      </c>
      <c r="R104" s="29">
        <f>IFERROR(VLOOKUP(L104,MgValor,2,0)*VLOOKUP(O104,MgDeg,2,0),0)</f>
        <v/>
      </c>
      <c r="S104" s="29">
        <f>IFERROR(VLOOKUP(M104,MgValor,2,0)*VLOOKUP(P104,MgDeg,2,0),0)</f>
        <v/>
      </c>
      <c r="T104" s="30">
        <f>MAX(Q104:S104)</f>
        <v/>
      </c>
      <c r="U104" s="28">
        <f>IFERROR(LOOKUP(T104,{0;0.5;1.5;3;4.5},{"Despreciable";"Bajo";"Medio";"Alto";"Muy alto"}),"")</f>
        <v/>
      </c>
      <c r="V104" s="13">
        <f>IFERROR(INDEX(MgAmenFrec,MATCH(SUBSTITUTE($H104,"*","-"),MgAmenClave,0)),"")</f>
        <v/>
      </c>
      <c r="W104" s="28">
        <f>IFERROR(LOOKUP(X104,{0;0.01;0.1;1;10;100},{"Muy baja";"Muy baja";"Baja";"Media";"Alta";"Muy alta"}),"")</f>
        <v/>
      </c>
      <c r="X104" s="31">
        <f>IFERROR(VLOOKUP(V104,MgFrec,2,0),0)</f>
        <v/>
      </c>
      <c r="Y104" s="30">
        <f>T104*X104</f>
        <v/>
      </c>
      <c r="Z104" s="28">
        <f>IFERROR(LOOKUP(Y104,{0;0.5;5;25},{"Bajo";"Medio";"Alto";"Crítico"}),"")</f>
        <v/>
      </c>
      <c r="AA104" s="64">
        <f>IF(T104&gt;=3,IF(X104&gt;=1,"Zona 1 — Crítica: impacto alto y ocurre al menos una vez al año","Zona 4 — Catastrófica poco probable: impacto alto pero excepcional"),IF(AND(T104&lt;1.5,X104&lt;1),"Zona 3 — Asumible: impacto bajo y muy poco frecuente","Zona 2 — Atención: riesgo intermedio"))</f>
        <v/>
      </c>
      <c r="AB104" s="64">
        <f>IFERROR(INDEX(MgAmenCtrl,MATCH(SUBSTITUTE($H104,"*","-"),MgAmenClave,0)),"")</f>
        <v/>
      </c>
      <c r="AC104" s="20" t="n"/>
      <c r="AD104" s="31">
        <f>IFERROR($X104*(1-IF($AC104="",$AL104,VLOOKUP($AC104,MgMad,2,0))),"")</f>
        <v/>
      </c>
      <c r="AE104" s="28">
        <f>IFERROR(LOOKUP(AD104,{0;0.01;0.1;1;10;100},{"Muy baja";"Muy baja";"Baja";"Media";"Alta";"Muy alta"}),"")</f>
        <v/>
      </c>
      <c r="AF104" s="30">
        <f>T104*AD104</f>
        <v/>
      </c>
      <c r="AG104" s="28">
        <f>IFERROR(LOOKUP(AF104,{0;0.5;5;25},{"Bajo";"Medio";"Alto";"Crítico"}),"")</f>
        <v/>
      </c>
      <c r="AH104" s="28">
        <f>IF(AG104="","",IF(OR(AG104="Crítico",AG104="Alto"),"Mitigar",IF(AG104="Medio","Mitigar","Aceptar y monitorear")))</f>
        <v/>
      </c>
      <c r="AI104" s="21" t="n"/>
      <c r="AJ104" s="21" t="n"/>
      <c r="AK104" s="20" t="n"/>
      <c r="AL104" s="77">
        <f>IFERROR(INDEX(MgAmenEfic,MATCH(SUBSTITUTE($H104,"*","-"),MgAmenClave,0)),0)</f>
        <v/>
      </c>
    </row>
    <row r="105" hidden="1" ht="105" customHeight="1" s="54">
      <c r="B105" s="59" t="inlineStr">
        <is>
          <t>R-0100</t>
        </is>
      </c>
      <c r="C105" s="59" t="inlineStr">
        <is>
          <t>DO-09</t>
        </is>
      </c>
      <c r="D105" s="64">
        <f>IFERROR(INDEX(MgNombre,MATCH($C105,MgActId,0)),"")</f>
        <v/>
      </c>
      <c r="E105" s="64">
        <f>IFERROR(INDEX(MgProceso,MATCH($C105,MgActId,0)),"")</f>
        <v/>
      </c>
      <c r="F105" s="64">
        <f>IFERROR(INDEX(MgTipo,MATCH($C105,MgActId,0)),"")</f>
        <v/>
      </c>
      <c r="G105" s="64">
        <f>IFERROR(INDEX(MgSubtipo,MATCH($C105,MgActId,0)),"")</f>
        <v/>
      </c>
      <c r="H105" s="59" t="inlineStr">
        <is>
          <t>A.6</t>
        </is>
      </c>
      <c r="I105" s="64">
        <f>IFERROR(INDEX(MgAmenNombre,MATCH(SUBSTITUTE($H105,"*","-"),MgAmenClave,0)),"")</f>
        <v/>
      </c>
      <c r="J105" s="28">
        <f>IFERROR(INDEX(MgAmenGrupo,MATCH(SUBSTITUTE($H105,"*","-"),MgAmenClave,0)),"")</f>
        <v/>
      </c>
      <c r="K105" s="64">
        <f>IFERROR(INDEX('1. Matriz de Activos'!$Q$6:$Q$239,MATCH($C105,MgActId,0)),"")</f>
        <v/>
      </c>
      <c r="L105" s="64">
        <f>IFERROR(INDEX('1. Matriz de Activos'!$R$6:$R$239,MATCH($C105,MgActId,0)),"")</f>
        <v/>
      </c>
      <c r="M105" s="64">
        <f>IFERROR(INDEX('1. Matriz de Activos'!$S$6:$S$239,MATCH($C105,MgActId,0)),"")</f>
        <v/>
      </c>
      <c r="N105" s="28">
        <f>IFERROR(INDEX(MgAmenDegD,MATCH(SUBSTITUTE($H105,"*","-"),MgAmenClave,0)),"No aplica")</f>
        <v/>
      </c>
      <c r="O105" s="28">
        <f>IFERROR(INDEX(MgAmenDegI,MATCH(SUBSTITUTE($H105,"*","-"),MgAmenClave,0)),"No aplica")</f>
        <v/>
      </c>
      <c r="P105" s="28">
        <f>IFERROR(INDEX(MgAmenDegC,MATCH(SUBSTITUTE($H105,"*","-"),MgAmenClave,0)),"No aplica")</f>
        <v/>
      </c>
      <c r="Q105" s="29">
        <f>IFERROR(VLOOKUP(K105,MgValor,2,0)*VLOOKUP(N105,MgDeg,2,0),0)</f>
        <v/>
      </c>
      <c r="R105" s="29">
        <f>IFERROR(VLOOKUP(L105,MgValor,2,0)*VLOOKUP(O105,MgDeg,2,0),0)</f>
        <v/>
      </c>
      <c r="S105" s="29">
        <f>IFERROR(VLOOKUP(M105,MgValor,2,0)*VLOOKUP(P105,MgDeg,2,0),0)</f>
        <v/>
      </c>
      <c r="T105" s="30">
        <f>MAX(Q105:S105)</f>
        <v/>
      </c>
      <c r="U105" s="28">
        <f>IFERROR(LOOKUP(T105,{0;0.5;1.5;3;4.5},{"Despreciable";"Bajo";"Medio";"Alto";"Muy alto"}),"")</f>
        <v/>
      </c>
      <c r="V105" s="13">
        <f>IFERROR(INDEX(MgAmenFrec,MATCH(SUBSTITUTE($H105,"*","-"),MgAmenClave,0)),"")</f>
        <v/>
      </c>
      <c r="W105" s="28">
        <f>IFERROR(LOOKUP(X105,{0;0.01;0.1;1;10;100},{"Muy baja";"Muy baja";"Baja";"Media";"Alta";"Muy alta"}),"")</f>
        <v/>
      </c>
      <c r="X105" s="31">
        <f>IFERROR(VLOOKUP(V105,MgFrec,2,0),0)</f>
        <v/>
      </c>
      <c r="Y105" s="30">
        <f>T105*X105</f>
        <v/>
      </c>
      <c r="Z105" s="28">
        <f>IFERROR(LOOKUP(Y105,{0;0.5;5;25},{"Bajo";"Medio";"Alto";"Crítico"}),"")</f>
        <v/>
      </c>
      <c r="AA105" s="64">
        <f>IF(T105&gt;=3,IF(X105&gt;=1,"Zona 1 — Crítica: impacto alto y ocurre al menos una vez al año","Zona 4 — Catastrófica poco probable: impacto alto pero excepcional"),IF(AND(T105&lt;1.5,X105&lt;1),"Zona 3 — Asumible: impacto bajo y muy poco frecuente","Zona 2 — Atención: riesgo intermedio"))</f>
        <v/>
      </c>
      <c r="AB105" s="64">
        <f>IFERROR(INDEX(MgAmenCtrl,MATCH(SUBSTITUTE($H105,"*","-"),MgAmenClave,0)),"")</f>
        <v/>
      </c>
      <c r="AC105" s="20" t="n"/>
      <c r="AD105" s="31">
        <f>IFERROR($X105*(1-IF($AC105="",$AL105,VLOOKUP($AC105,MgMad,2,0))),"")</f>
        <v/>
      </c>
      <c r="AE105" s="28">
        <f>IFERROR(LOOKUP(AD105,{0;0.01;0.1;1;10;100},{"Muy baja";"Muy baja";"Baja";"Media";"Alta";"Muy alta"}),"")</f>
        <v/>
      </c>
      <c r="AF105" s="30">
        <f>T105*AD105</f>
        <v/>
      </c>
      <c r="AG105" s="28">
        <f>IFERROR(LOOKUP(AF105,{0;0.5;5;25},{"Bajo";"Medio";"Alto";"Crítico"}),"")</f>
        <v/>
      </c>
      <c r="AH105" s="28">
        <f>IF(AG105="","",IF(OR(AG105="Crítico",AG105="Alto"),"Mitigar",IF(AG105="Medio","Mitigar","Aceptar y monitorear")))</f>
        <v/>
      </c>
      <c r="AI105" s="21" t="n"/>
      <c r="AJ105" s="21" t="n"/>
      <c r="AK105" s="20" t="n"/>
      <c r="AL105" s="77">
        <f>IFERROR(INDEX(MgAmenEfic,MATCH(SUBSTITUTE($H105,"*","-"),MgAmenClave,0)),0)</f>
        <v/>
      </c>
    </row>
    <row r="106" hidden="1" ht="60" customHeight="1" s="54">
      <c r="B106" s="59" t="inlineStr">
        <is>
          <t>R-0101</t>
        </is>
      </c>
      <c r="C106" s="59" t="inlineStr">
        <is>
          <t>DO-09</t>
        </is>
      </c>
      <c r="D106" s="64">
        <f>IFERROR(INDEX(MgNombre,MATCH($C106,MgActId,0)),"")</f>
        <v/>
      </c>
      <c r="E106" s="64">
        <f>IFERROR(INDEX(MgProceso,MATCH($C106,MgActId,0)),"")</f>
        <v/>
      </c>
      <c r="F106" s="64">
        <f>IFERROR(INDEX(MgTipo,MATCH($C106,MgActId,0)),"")</f>
        <v/>
      </c>
      <c r="G106" s="64">
        <f>IFERROR(INDEX(MgSubtipo,MATCH($C106,MgActId,0)),"")</f>
        <v/>
      </c>
      <c r="H106" s="59" t="inlineStr">
        <is>
          <t>A.7</t>
        </is>
      </c>
      <c r="I106" s="64">
        <f>IFERROR(INDEX(MgAmenNombre,MATCH(SUBSTITUTE($H106,"*","-"),MgAmenClave,0)),"")</f>
        <v/>
      </c>
      <c r="J106" s="28">
        <f>IFERROR(INDEX(MgAmenGrupo,MATCH(SUBSTITUTE($H106,"*","-"),MgAmenClave,0)),"")</f>
        <v/>
      </c>
      <c r="K106" s="64">
        <f>IFERROR(INDEX('1. Matriz de Activos'!$Q$6:$Q$239,MATCH($C106,MgActId,0)),"")</f>
        <v/>
      </c>
      <c r="L106" s="64">
        <f>IFERROR(INDEX('1. Matriz de Activos'!$R$6:$R$239,MATCH($C106,MgActId,0)),"")</f>
        <v/>
      </c>
      <c r="M106" s="64">
        <f>IFERROR(INDEX('1. Matriz de Activos'!$S$6:$S$239,MATCH($C106,MgActId,0)),"")</f>
        <v/>
      </c>
      <c r="N106" s="28">
        <f>IFERROR(INDEX(MgAmenDegD,MATCH(SUBSTITUTE($H106,"*","-"),MgAmenClave,0)),"No aplica")</f>
        <v/>
      </c>
      <c r="O106" s="28">
        <f>IFERROR(INDEX(MgAmenDegI,MATCH(SUBSTITUTE($H106,"*","-"),MgAmenClave,0)),"No aplica")</f>
        <v/>
      </c>
      <c r="P106" s="28">
        <f>IFERROR(INDEX(MgAmenDegC,MATCH(SUBSTITUTE($H106,"*","-"),MgAmenClave,0)),"No aplica")</f>
        <v/>
      </c>
      <c r="Q106" s="29">
        <f>IFERROR(VLOOKUP(K106,MgValor,2,0)*VLOOKUP(N106,MgDeg,2,0),0)</f>
        <v/>
      </c>
      <c r="R106" s="29">
        <f>IFERROR(VLOOKUP(L106,MgValor,2,0)*VLOOKUP(O106,MgDeg,2,0),0)</f>
        <v/>
      </c>
      <c r="S106" s="29">
        <f>IFERROR(VLOOKUP(M106,MgValor,2,0)*VLOOKUP(P106,MgDeg,2,0),0)</f>
        <v/>
      </c>
      <c r="T106" s="30">
        <f>MAX(Q106:S106)</f>
        <v/>
      </c>
      <c r="U106" s="28">
        <f>IFERROR(LOOKUP(T106,{0;0.5;1.5;3;4.5},{"Despreciable";"Bajo";"Medio";"Alto";"Muy alto"}),"")</f>
        <v/>
      </c>
      <c r="V106" s="13">
        <f>IFERROR(INDEX(MgAmenFrec,MATCH(SUBSTITUTE($H106,"*","-"),MgAmenClave,0)),"")</f>
        <v/>
      </c>
      <c r="W106" s="28">
        <f>IFERROR(LOOKUP(X106,{0;0.01;0.1;1;10;100},{"Muy baja";"Muy baja";"Baja";"Media";"Alta";"Muy alta"}),"")</f>
        <v/>
      </c>
      <c r="X106" s="31">
        <f>IFERROR(VLOOKUP(V106,MgFrec,2,0),0)</f>
        <v/>
      </c>
      <c r="Y106" s="30">
        <f>T106*X106</f>
        <v/>
      </c>
      <c r="Z106" s="28">
        <f>IFERROR(LOOKUP(Y106,{0;0.5;5;25},{"Bajo";"Medio";"Alto";"Crítico"}),"")</f>
        <v/>
      </c>
      <c r="AA106" s="64">
        <f>IF(T106&gt;=3,IF(X106&gt;=1,"Zona 1 — Crítica: impacto alto y ocurre al menos una vez al año","Zona 4 — Catastrófica poco probable: impacto alto pero excepcional"),IF(AND(T106&lt;1.5,X106&lt;1),"Zona 3 — Asumible: impacto bajo y muy poco frecuente","Zona 2 — Atención: riesgo intermedio"))</f>
        <v/>
      </c>
      <c r="AB106" s="64">
        <f>IFERROR(INDEX(MgAmenCtrl,MATCH(SUBSTITUTE($H106,"*","-"),MgAmenClave,0)),"")</f>
        <v/>
      </c>
      <c r="AC106" s="20" t="n"/>
      <c r="AD106" s="31">
        <f>IFERROR($X106*(1-IF($AC106="",$AL106,VLOOKUP($AC106,MgMad,2,0))),"")</f>
        <v/>
      </c>
      <c r="AE106" s="28">
        <f>IFERROR(LOOKUP(AD106,{0;0.01;0.1;1;10;100},{"Muy baja";"Muy baja";"Baja";"Media";"Alta";"Muy alta"}),"")</f>
        <v/>
      </c>
      <c r="AF106" s="30">
        <f>T106*AD106</f>
        <v/>
      </c>
      <c r="AG106" s="28">
        <f>IFERROR(LOOKUP(AF106,{0;0.5;5;25},{"Bajo";"Medio";"Alto";"Crítico"}),"")</f>
        <v/>
      </c>
      <c r="AH106" s="28">
        <f>IF(AG106="","",IF(OR(AG106="Crítico",AG106="Alto"),"Mitigar",IF(AG106="Medio","Mitigar","Aceptar y monitorear")))</f>
        <v/>
      </c>
      <c r="AI106" s="21" t="n"/>
      <c r="AJ106" s="21" t="n"/>
      <c r="AK106" s="20" t="n"/>
      <c r="AL106" s="77">
        <f>IFERROR(INDEX(MgAmenEfic,MATCH(SUBSTITUTE($H106,"*","-"),MgAmenClave,0)),0)</f>
        <v/>
      </c>
    </row>
    <row r="107" hidden="1" ht="60" customHeight="1" s="54">
      <c r="B107" s="59" t="inlineStr">
        <is>
          <t>R-0102</t>
        </is>
      </c>
      <c r="C107" s="59" t="inlineStr">
        <is>
          <t>DO-09</t>
        </is>
      </c>
      <c r="D107" s="64">
        <f>IFERROR(INDEX(MgNombre,MATCH($C107,MgActId,0)),"")</f>
        <v/>
      </c>
      <c r="E107" s="64">
        <f>IFERROR(INDEX(MgProceso,MATCH($C107,MgActId,0)),"")</f>
        <v/>
      </c>
      <c r="F107" s="64">
        <f>IFERROR(INDEX(MgTipo,MATCH($C107,MgActId,0)),"")</f>
        <v/>
      </c>
      <c r="G107" s="64">
        <f>IFERROR(INDEX(MgSubtipo,MATCH($C107,MgActId,0)),"")</f>
        <v/>
      </c>
      <c r="H107" s="59" t="inlineStr">
        <is>
          <t>A.9</t>
        </is>
      </c>
      <c r="I107" s="64">
        <f>IFERROR(INDEX(MgAmenNombre,MATCH(SUBSTITUTE($H107,"*","-"),MgAmenClave,0)),"")</f>
        <v/>
      </c>
      <c r="J107" s="28">
        <f>IFERROR(INDEX(MgAmenGrupo,MATCH(SUBSTITUTE($H107,"*","-"),MgAmenClave,0)),"")</f>
        <v/>
      </c>
      <c r="K107" s="64">
        <f>IFERROR(INDEX('1. Matriz de Activos'!$Q$6:$Q$239,MATCH($C107,MgActId,0)),"")</f>
        <v/>
      </c>
      <c r="L107" s="64">
        <f>IFERROR(INDEX('1. Matriz de Activos'!$R$6:$R$239,MATCH($C107,MgActId,0)),"")</f>
        <v/>
      </c>
      <c r="M107" s="64">
        <f>IFERROR(INDEX('1. Matriz de Activos'!$S$6:$S$239,MATCH($C107,MgActId,0)),"")</f>
        <v/>
      </c>
      <c r="N107" s="28">
        <f>IFERROR(INDEX(MgAmenDegD,MATCH(SUBSTITUTE($H107,"*","-"),MgAmenClave,0)),"No aplica")</f>
        <v/>
      </c>
      <c r="O107" s="28">
        <f>IFERROR(INDEX(MgAmenDegI,MATCH(SUBSTITUTE($H107,"*","-"),MgAmenClave,0)),"No aplica")</f>
        <v/>
      </c>
      <c r="P107" s="28">
        <f>IFERROR(INDEX(MgAmenDegC,MATCH(SUBSTITUTE($H107,"*","-"),MgAmenClave,0)),"No aplica")</f>
        <v/>
      </c>
      <c r="Q107" s="29">
        <f>IFERROR(VLOOKUP(K107,MgValor,2,0)*VLOOKUP(N107,MgDeg,2,0),0)</f>
        <v/>
      </c>
      <c r="R107" s="29">
        <f>IFERROR(VLOOKUP(L107,MgValor,2,0)*VLOOKUP(O107,MgDeg,2,0),0)</f>
        <v/>
      </c>
      <c r="S107" s="29">
        <f>IFERROR(VLOOKUP(M107,MgValor,2,0)*VLOOKUP(P107,MgDeg,2,0),0)</f>
        <v/>
      </c>
      <c r="T107" s="30">
        <f>MAX(Q107:S107)</f>
        <v/>
      </c>
      <c r="U107" s="28">
        <f>IFERROR(LOOKUP(T107,{0;0.5;1.5;3;4.5},{"Despreciable";"Bajo";"Medio";"Alto";"Muy alto"}),"")</f>
        <v/>
      </c>
      <c r="V107" s="13">
        <f>IFERROR(INDEX(MgAmenFrec,MATCH(SUBSTITUTE($H107,"*","-"),MgAmenClave,0)),"")</f>
        <v/>
      </c>
      <c r="W107" s="28">
        <f>IFERROR(LOOKUP(X107,{0;0.01;0.1;1;10;100},{"Muy baja";"Muy baja";"Baja";"Media";"Alta";"Muy alta"}),"")</f>
        <v/>
      </c>
      <c r="X107" s="31">
        <f>IFERROR(VLOOKUP(V107,MgFrec,2,0),0)</f>
        <v/>
      </c>
      <c r="Y107" s="30">
        <f>T107*X107</f>
        <v/>
      </c>
      <c r="Z107" s="28">
        <f>IFERROR(LOOKUP(Y107,{0;0.5;5;25},{"Bajo";"Medio";"Alto";"Crítico"}),"")</f>
        <v/>
      </c>
      <c r="AA107" s="64">
        <f>IF(T107&gt;=3,IF(X107&gt;=1,"Zona 1 — Crítica: impacto alto y ocurre al menos una vez al año","Zona 4 — Catastrófica poco probable: impacto alto pero excepcional"),IF(AND(T107&lt;1.5,X107&lt;1),"Zona 3 — Asumible: impacto bajo y muy poco frecuente","Zona 2 — Atención: riesgo intermedio"))</f>
        <v/>
      </c>
      <c r="AB107" s="64">
        <f>IFERROR(INDEX(MgAmenCtrl,MATCH(SUBSTITUTE($H107,"*","-"),MgAmenClave,0)),"")</f>
        <v/>
      </c>
      <c r="AC107" s="20" t="n"/>
      <c r="AD107" s="31">
        <f>IFERROR($X107*(1-IF($AC107="",$AL107,VLOOKUP($AC107,MgMad,2,0))),"")</f>
        <v/>
      </c>
      <c r="AE107" s="28">
        <f>IFERROR(LOOKUP(AD107,{0;0.01;0.1;1;10;100},{"Muy baja";"Muy baja";"Baja";"Media";"Alta";"Muy alta"}),"")</f>
        <v/>
      </c>
      <c r="AF107" s="30">
        <f>T107*AD107</f>
        <v/>
      </c>
      <c r="AG107" s="28">
        <f>IFERROR(LOOKUP(AF107,{0;0.5;5;25},{"Bajo";"Medio";"Alto";"Crítico"}),"")</f>
        <v/>
      </c>
      <c r="AH107" s="28">
        <f>IF(AG107="","",IF(OR(AG107="Crítico",AG107="Alto"),"Mitigar",IF(AG107="Medio","Mitigar","Aceptar y monitorear")))</f>
        <v/>
      </c>
      <c r="AI107" s="21" t="n"/>
      <c r="AJ107" s="21" t="n"/>
      <c r="AK107" s="20" t="n"/>
      <c r="AL107" s="77">
        <f>IFERROR(INDEX(MgAmenEfic,MATCH(SUBSTITUTE($H107,"*","-"),MgAmenClave,0)),0)</f>
        <v/>
      </c>
    </row>
    <row r="108" hidden="1" ht="45" customHeight="1" s="54">
      <c r="B108" s="59" t="inlineStr">
        <is>
          <t>R-0103</t>
        </is>
      </c>
      <c r="C108" s="59" t="inlineStr">
        <is>
          <t>DO-09</t>
        </is>
      </c>
      <c r="D108" s="64">
        <f>IFERROR(INDEX(MgNombre,MATCH($C108,MgActId,0)),"")</f>
        <v/>
      </c>
      <c r="E108" s="64">
        <f>IFERROR(INDEX(MgProceso,MATCH($C108,MgActId,0)),"")</f>
        <v/>
      </c>
      <c r="F108" s="64">
        <f>IFERROR(INDEX(MgTipo,MATCH($C108,MgActId,0)),"")</f>
        <v/>
      </c>
      <c r="G108" s="64">
        <f>IFERROR(INDEX(MgSubtipo,MATCH($C108,MgActId,0)),"")</f>
        <v/>
      </c>
      <c r="H108" s="59" t="inlineStr">
        <is>
          <t>A.10</t>
        </is>
      </c>
      <c r="I108" s="64">
        <f>IFERROR(INDEX(MgAmenNombre,MATCH(SUBSTITUTE($H108,"*","-"),MgAmenClave,0)),"")</f>
        <v/>
      </c>
      <c r="J108" s="28">
        <f>IFERROR(INDEX(MgAmenGrupo,MATCH(SUBSTITUTE($H108,"*","-"),MgAmenClave,0)),"")</f>
        <v/>
      </c>
      <c r="K108" s="64">
        <f>IFERROR(INDEX('1. Matriz de Activos'!$Q$6:$Q$239,MATCH($C108,MgActId,0)),"")</f>
        <v/>
      </c>
      <c r="L108" s="64">
        <f>IFERROR(INDEX('1. Matriz de Activos'!$R$6:$R$239,MATCH($C108,MgActId,0)),"")</f>
        <v/>
      </c>
      <c r="M108" s="64">
        <f>IFERROR(INDEX('1. Matriz de Activos'!$S$6:$S$239,MATCH($C108,MgActId,0)),"")</f>
        <v/>
      </c>
      <c r="N108" s="28">
        <f>IFERROR(INDEX(MgAmenDegD,MATCH(SUBSTITUTE($H108,"*","-"),MgAmenClave,0)),"No aplica")</f>
        <v/>
      </c>
      <c r="O108" s="28">
        <f>IFERROR(INDEX(MgAmenDegI,MATCH(SUBSTITUTE($H108,"*","-"),MgAmenClave,0)),"No aplica")</f>
        <v/>
      </c>
      <c r="P108" s="28">
        <f>IFERROR(INDEX(MgAmenDegC,MATCH(SUBSTITUTE($H108,"*","-"),MgAmenClave,0)),"No aplica")</f>
        <v/>
      </c>
      <c r="Q108" s="29">
        <f>IFERROR(VLOOKUP(K108,MgValor,2,0)*VLOOKUP(N108,MgDeg,2,0),0)</f>
        <v/>
      </c>
      <c r="R108" s="29">
        <f>IFERROR(VLOOKUP(L108,MgValor,2,0)*VLOOKUP(O108,MgDeg,2,0),0)</f>
        <v/>
      </c>
      <c r="S108" s="29">
        <f>IFERROR(VLOOKUP(M108,MgValor,2,0)*VLOOKUP(P108,MgDeg,2,0),0)</f>
        <v/>
      </c>
      <c r="T108" s="30">
        <f>MAX(Q108:S108)</f>
        <v/>
      </c>
      <c r="U108" s="28">
        <f>IFERROR(LOOKUP(T108,{0;0.5;1.5;3;4.5},{"Despreciable";"Bajo";"Medio";"Alto";"Muy alto"}),"")</f>
        <v/>
      </c>
      <c r="V108" s="13">
        <f>IFERROR(INDEX(MgAmenFrec,MATCH(SUBSTITUTE($H108,"*","-"),MgAmenClave,0)),"")</f>
        <v/>
      </c>
      <c r="W108" s="28">
        <f>IFERROR(LOOKUP(X108,{0;0.01;0.1;1;10;100},{"Muy baja";"Muy baja";"Baja";"Media";"Alta";"Muy alta"}),"")</f>
        <v/>
      </c>
      <c r="X108" s="31">
        <f>IFERROR(VLOOKUP(V108,MgFrec,2,0),0)</f>
        <v/>
      </c>
      <c r="Y108" s="30">
        <f>T108*X108</f>
        <v/>
      </c>
      <c r="Z108" s="28">
        <f>IFERROR(LOOKUP(Y108,{0;0.5;5;25},{"Bajo";"Medio";"Alto";"Crítico"}),"")</f>
        <v/>
      </c>
      <c r="AA108" s="64">
        <f>IF(T108&gt;=3,IF(X108&gt;=1,"Zona 1 — Crítica: impacto alto y ocurre al menos una vez al año","Zona 4 — Catastrófica poco probable: impacto alto pero excepcional"),IF(AND(T108&lt;1.5,X108&lt;1),"Zona 3 — Asumible: impacto bajo y muy poco frecuente","Zona 2 — Atención: riesgo intermedio"))</f>
        <v/>
      </c>
      <c r="AB108" s="64">
        <f>IFERROR(INDEX(MgAmenCtrl,MATCH(SUBSTITUTE($H108,"*","-"),MgAmenClave,0)),"")</f>
        <v/>
      </c>
      <c r="AC108" s="20" t="n"/>
      <c r="AD108" s="31">
        <f>IFERROR($X108*(1-IF($AC108="",$AL108,VLOOKUP($AC108,MgMad,2,0))),"")</f>
        <v/>
      </c>
      <c r="AE108" s="28">
        <f>IFERROR(LOOKUP(AD108,{0;0.01;0.1;1;10;100},{"Muy baja";"Muy baja";"Baja";"Media";"Alta";"Muy alta"}),"")</f>
        <v/>
      </c>
      <c r="AF108" s="30">
        <f>T108*AD108</f>
        <v/>
      </c>
      <c r="AG108" s="28">
        <f>IFERROR(LOOKUP(AF108,{0;0.5;5;25},{"Bajo";"Medio";"Alto";"Crítico"}),"")</f>
        <v/>
      </c>
      <c r="AH108" s="28">
        <f>IF(AG108="","",IF(OR(AG108="Crítico",AG108="Alto"),"Mitigar",IF(AG108="Medio","Mitigar","Aceptar y monitorear")))</f>
        <v/>
      </c>
      <c r="AI108" s="21" t="n"/>
      <c r="AJ108" s="21" t="n"/>
      <c r="AK108" s="20" t="n"/>
      <c r="AL108" s="77">
        <f>IFERROR(INDEX(MgAmenEfic,MATCH(SUBSTITUTE($H108,"*","-"),MgAmenClave,0)),0)</f>
        <v/>
      </c>
    </row>
    <row r="109" hidden="1" ht="120" customHeight="1" s="54">
      <c r="B109" s="59" t="inlineStr">
        <is>
          <t>R-0104</t>
        </is>
      </c>
      <c r="C109" s="59" t="inlineStr">
        <is>
          <t>DO-09</t>
        </is>
      </c>
      <c r="D109" s="64">
        <f>IFERROR(INDEX(MgNombre,MATCH($C109,MgActId,0)),"")</f>
        <v/>
      </c>
      <c r="E109" s="64">
        <f>IFERROR(INDEX(MgProceso,MATCH($C109,MgActId,0)),"")</f>
        <v/>
      </c>
      <c r="F109" s="64">
        <f>IFERROR(INDEX(MgTipo,MATCH($C109,MgActId,0)),"")</f>
        <v/>
      </c>
      <c r="G109" s="64">
        <f>IFERROR(INDEX(MgSubtipo,MATCH($C109,MgActId,0)),"")</f>
        <v/>
      </c>
      <c r="H109" s="59" t="inlineStr">
        <is>
          <t>A.11</t>
        </is>
      </c>
      <c r="I109" s="64">
        <f>IFERROR(INDEX(MgAmenNombre,MATCH(SUBSTITUTE($H109,"*","-"),MgAmenClave,0)),"")</f>
        <v/>
      </c>
      <c r="J109" s="28">
        <f>IFERROR(INDEX(MgAmenGrupo,MATCH(SUBSTITUTE($H109,"*","-"),MgAmenClave,0)),"")</f>
        <v/>
      </c>
      <c r="K109" s="64">
        <f>IFERROR(INDEX('1. Matriz de Activos'!$Q$6:$Q$239,MATCH($C109,MgActId,0)),"")</f>
        <v/>
      </c>
      <c r="L109" s="64">
        <f>IFERROR(INDEX('1. Matriz de Activos'!$R$6:$R$239,MATCH($C109,MgActId,0)),"")</f>
        <v/>
      </c>
      <c r="M109" s="64">
        <f>IFERROR(INDEX('1. Matriz de Activos'!$S$6:$S$239,MATCH($C109,MgActId,0)),"")</f>
        <v/>
      </c>
      <c r="N109" s="28">
        <f>IFERROR(INDEX(MgAmenDegD,MATCH(SUBSTITUTE($H109,"*","-"),MgAmenClave,0)),"No aplica")</f>
        <v/>
      </c>
      <c r="O109" s="28">
        <f>IFERROR(INDEX(MgAmenDegI,MATCH(SUBSTITUTE($H109,"*","-"),MgAmenClave,0)),"No aplica")</f>
        <v/>
      </c>
      <c r="P109" s="28">
        <f>IFERROR(INDEX(MgAmenDegC,MATCH(SUBSTITUTE($H109,"*","-"),MgAmenClave,0)),"No aplica")</f>
        <v/>
      </c>
      <c r="Q109" s="29">
        <f>IFERROR(VLOOKUP(K109,MgValor,2,0)*VLOOKUP(N109,MgDeg,2,0),0)</f>
        <v/>
      </c>
      <c r="R109" s="29">
        <f>IFERROR(VLOOKUP(L109,MgValor,2,0)*VLOOKUP(O109,MgDeg,2,0),0)</f>
        <v/>
      </c>
      <c r="S109" s="29">
        <f>IFERROR(VLOOKUP(M109,MgValor,2,0)*VLOOKUP(P109,MgDeg,2,0),0)</f>
        <v/>
      </c>
      <c r="T109" s="30">
        <f>MAX(Q109:S109)</f>
        <v/>
      </c>
      <c r="U109" s="28">
        <f>IFERROR(LOOKUP(T109,{0;0.5;1.5;3;4.5},{"Despreciable";"Bajo";"Medio";"Alto";"Muy alto"}),"")</f>
        <v/>
      </c>
      <c r="V109" s="13">
        <f>IFERROR(INDEX(MgAmenFrec,MATCH(SUBSTITUTE($H109,"*","-"),MgAmenClave,0)),"")</f>
        <v/>
      </c>
      <c r="W109" s="28">
        <f>IFERROR(LOOKUP(X109,{0;0.01;0.1;1;10;100},{"Muy baja";"Muy baja";"Baja";"Media";"Alta";"Muy alta"}),"")</f>
        <v/>
      </c>
      <c r="X109" s="31">
        <f>IFERROR(VLOOKUP(V109,MgFrec,2,0),0)</f>
        <v/>
      </c>
      <c r="Y109" s="30">
        <f>T109*X109</f>
        <v/>
      </c>
      <c r="Z109" s="28">
        <f>IFERROR(LOOKUP(Y109,{0;0.5;5;25},{"Bajo";"Medio";"Alto";"Crítico"}),"")</f>
        <v/>
      </c>
      <c r="AA109" s="64">
        <f>IF(T109&gt;=3,IF(X109&gt;=1,"Zona 1 — Crítica: impacto alto y ocurre al menos una vez al año","Zona 4 — Catastrófica poco probable: impacto alto pero excepcional"),IF(AND(T109&lt;1.5,X109&lt;1),"Zona 3 — Asumible: impacto bajo y muy poco frecuente","Zona 2 — Atención: riesgo intermedio"))</f>
        <v/>
      </c>
      <c r="AB109" s="64">
        <f>IFERROR(INDEX(MgAmenCtrl,MATCH(SUBSTITUTE($H109,"*","-"),MgAmenClave,0)),"")</f>
        <v/>
      </c>
      <c r="AC109" s="20" t="n"/>
      <c r="AD109" s="31">
        <f>IFERROR($X109*(1-IF($AC109="",$AL109,VLOOKUP($AC109,MgMad,2,0))),"")</f>
        <v/>
      </c>
      <c r="AE109" s="28">
        <f>IFERROR(LOOKUP(AD109,{0;0.01;0.1;1;10;100},{"Muy baja";"Muy baja";"Baja";"Media";"Alta";"Muy alta"}),"")</f>
        <v/>
      </c>
      <c r="AF109" s="30">
        <f>T109*AD109</f>
        <v/>
      </c>
      <c r="AG109" s="28">
        <f>IFERROR(LOOKUP(AF109,{0;0.5;5;25},{"Bajo";"Medio";"Alto";"Crítico"}),"")</f>
        <v/>
      </c>
      <c r="AH109" s="28">
        <f>IF(AG109="","",IF(OR(AG109="Crítico",AG109="Alto"),"Mitigar",IF(AG109="Medio","Mitigar","Aceptar y monitorear")))</f>
        <v/>
      </c>
      <c r="AI109" s="21" t="n"/>
      <c r="AJ109" s="21" t="n"/>
      <c r="AK109" s="20" t="n"/>
      <c r="AL109" s="77">
        <f>IFERROR(INDEX(MgAmenEfic,MATCH(SUBSTITUTE($H109,"*","-"),MgAmenClave,0)),0)</f>
        <v/>
      </c>
    </row>
    <row r="110" hidden="1" ht="45" customHeight="1" s="54">
      <c r="B110" s="59" t="inlineStr">
        <is>
          <t>R-0105</t>
        </is>
      </c>
      <c r="C110" s="59" t="inlineStr">
        <is>
          <t>DO-09</t>
        </is>
      </c>
      <c r="D110" s="64">
        <f>IFERROR(INDEX(MgNombre,MATCH($C110,MgActId,0)),"")</f>
        <v/>
      </c>
      <c r="E110" s="64">
        <f>IFERROR(INDEX(MgProceso,MATCH($C110,MgActId,0)),"")</f>
        <v/>
      </c>
      <c r="F110" s="64">
        <f>IFERROR(INDEX(MgTipo,MATCH($C110,MgActId,0)),"")</f>
        <v/>
      </c>
      <c r="G110" s="64">
        <f>IFERROR(INDEX(MgSubtipo,MATCH($C110,MgActId,0)),"")</f>
        <v/>
      </c>
      <c r="H110" s="59" t="inlineStr">
        <is>
          <t>A.12</t>
        </is>
      </c>
      <c r="I110" s="64">
        <f>IFERROR(INDEX(MgAmenNombre,MATCH(SUBSTITUTE($H110,"*","-"),MgAmenClave,0)),"")</f>
        <v/>
      </c>
      <c r="J110" s="28">
        <f>IFERROR(INDEX(MgAmenGrupo,MATCH(SUBSTITUTE($H110,"*","-"),MgAmenClave,0)),"")</f>
        <v/>
      </c>
      <c r="K110" s="64">
        <f>IFERROR(INDEX('1. Matriz de Activos'!$Q$6:$Q$239,MATCH($C110,MgActId,0)),"")</f>
        <v/>
      </c>
      <c r="L110" s="64">
        <f>IFERROR(INDEX('1. Matriz de Activos'!$R$6:$R$239,MATCH($C110,MgActId,0)),"")</f>
        <v/>
      </c>
      <c r="M110" s="64">
        <f>IFERROR(INDEX('1. Matriz de Activos'!$S$6:$S$239,MATCH($C110,MgActId,0)),"")</f>
        <v/>
      </c>
      <c r="N110" s="28">
        <f>IFERROR(INDEX(MgAmenDegD,MATCH(SUBSTITUTE($H110,"*","-"),MgAmenClave,0)),"No aplica")</f>
        <v/>
      </c>
      <c r="O110" s="28">
        <f>IFERROR(INDEX(MgAmenDegI,MATCH(SUBSTITUTE($H110,"*","-"),MgAmenClave,0)),"No aplica")</f>
        <v/>
      </c>
      <c r="P110" s="28">
        <f>IFERROR(INDEX(MgAmenDegC,MATCH(SUBSTITUTE($H110,"*","-"),MgAmenClave,0)),"No aplica")</f>
        <v/>
      </c>
      <c r="Q110" s="29">
        <f>IFERROR(VLOOKUP(K110,MgValor,2,0)*VLOOKUP(N110,MgDeg,2,0),0)</f>
        <v/>
      </c>
      <c r="R110" s="29">
        <f>IFERROR(VLOOKUP(L110,MgValor,2,0)*VLOOKUP(O110,MgDeg,2,0),0)</f>
        <v/>
      </c>
      <c r="S110" s="29">
        <f>IFERROR(VLOOKUP(M110,MgValor,2,0)*VLOOKUP(P110,MgDeg,2,0),0)</f>
        <v/>
      </c>
      <c r="T110" s="30">
        <f>MAX(Q110:S110)</f>
        <v/>
      </c>
      <c r="U110" s="28">
        <f>IFERROR(LOOKUP(T110,{0;0.5;1.5;3;4.5},{"Despreciable";"Bajo";"Medio";"Alto";"Muy alto"}),"")</f>
        <v/>
      </c>
      <c r="V110" s="13">
        <f>IFERROR(INDEX(MgAmenFrec,MATCH(SUBSTITUTE($H110,"*","-"),MgAmenClave,0)),"")</f>
        <v/>
      </c>
      <c r="W110" s="28">
        <f>IFERROR(LOOKUP(X110,{0;0.01;0.1;1;10;100},{"Muy baja";"Muy baja";"Baja";"Media";"Alta";"Muy alta"}),"")</f>
        <v/>
      </c>
      <c r="X110" s="31">
        <f>IFERROR(VLOOKUP(V110,MgFrec,2,0),0)</f>
        <v/>
      </c>
      <c r="Y110" s="30">
        <f>T110*X110</f>
        <v/>
      </c>
      <c r="Z110" s="28">
        <f>IFERROR(LOOKUP(Y110,{0;0.5;5;25},{"Bajo";"Medio";"Alto";"Crítico"}),"")</f>
        <v/>
      </c>
      <c r="AA110" s="64">
        <f>IF(T110&gt;=3,IF(X110&gt;=1,"Zona 1 — Crítica: impacto alto y ocurre al menos una vez al año","Zona 4 — Catastrófica poco probable: impacto alto pero excepcional"),IF(AND(T110&lt;1.5,X110&lt;1),"Zona 3 — Asumible: impacto bajo y muy poco frecuente","Zona 2 — Atención: riesgo intermedio"))</f>
        <v/>
      </c>
      <c r="AB110" s="64">
        <f>IFERROR(INDEX(MgAmenCtrl,MATCH(SUBSTITUTE($H110,"*","-"),MgAmenClave,0)),"")</f>
        <v/>
      </c>
      <c r="AC110" s="20" t="n"/>
      <c r="AD110" s="31">
        <f>IFERROR($X110*(1-IF($AC110="",$AL110,VLOOKUP($AC110,MgMad,2,0))),"")</f>
        <v/>
      </c>
      <c r="AE110" s="28">
        <f>IFERROR(LOOKUP(AD110,{0;0.01;0.1;1;10;100},{"Muy baja";"Muy baja";"Baja";"Media";"Alta";"Muy alta"}),"")</f>
        <v/>
      </c>
      <c r="AF110" s="30">
        <f>T110*AD110</f>
        <v/>
      </c>
      <c r="AG110" s="28">
        <f>IFERROR(LOOKUP(AF110,{0;0.5;5;25},{"Bajo";"Medio";"Alto";"Crítico"}),"")</f>
        <v/>
      </c>
      <c r="AH110" s="28">
        <f>IF(AG110="","",IF(OR(AG110="Crítico",AG110="Alto"),"Mitigar",IF(AG110="Medio","Mitigar","Aceptar y monitorear")))</f>
        <v/>
      </c>
      <c r="AI110" s="21" t="n"/>
      <c r="AJ110" s="21" t="n"/>
      <c r="AK110" s="20" t="n"/>
      <c r="AL110" s="77">
        <f>IFERROR(INDEX(MgAmenEfic,MATCH(SUBSTITUTE($H110,"*","-"),MgAmenClave,0)),0)</f>
        <v/>
      </c>
    </row>
    <row r="111" hidden="1" ht="60" customHeight="1" s="54">
      <c r="B111" s="59" t="inlineStr">
        <is>
          <t>R-0106</t>
        </is>
      </c>
      <c r="C111" s="59" t="inlineStr">
        <is>
          <t>DO-09</t>
        </is>
      </c>
      <c r="D111" s="64">
        <f>IFERROR(INDEX(MgNombre,MATCH($C111,MgActId,0)),"")</f>
        <v/>
      </c>
      <c r="E111" s="64">
        <f>IFERROR(INDEX(MgProceso,MATCH($C111,MgActId,0)),"")</f>
        <v/>
      </c>
      <c r="F111" s="64">
        <f>IFERROR(INDEX(MgTipo,MATCH($C111,MgActId,0)),"")</f>
        <v/>
      </c>
      <c r="G111" s="64">
        <f>IFERROR(INDEX(MgSubtipo,MATCH($C111,MgActId,0)),"")</f>
        <v/>
      </c>
      <c r="H111" s="59" t="inlineStr">
        <is>
          <t>A.14</t>
        </is>
      </c>
      <c r="I111" s="64">
        <f>IFERROR(INDEX(MgAmenNombre,MATCH(SUBSTITUTE($H111,"*","-"),MgAmenClave,0)),"")</f>
        <v/>
      </c>
      <c r="J111" s="28">
        <f>IFERROR(INDEX(MgAmenGrupo,MATCH(SUBSTITUTE($H111,"*","-"),MgAmenClave,0)),"")</f>
        <v/>
      </c>
      <c r="K111" s="64">
        <f>IFERROR(INDEX('1. Matriz de Activos'!$Q$6:$Q$239,MATCH($C111,MgActId,0)),"")</f>
        <v/>
      </c>
      <c r="L111" s="64">
        <f>IFERROR(INDEX('1. Matriz de Activos'!$R$6:$R$239,MATCH($C111,MgActId,0)),"")</f>
        <v/>
      </c>
      <c r="M111" s="64">
        <f>IFERROR(INDEX('1. Matriz de Activos'!$S$6:$S$239,MATCH($C111,MgActId,0)),"")</f>
        <v/>
      </c>
      <c r="N111" s="28">
        <f>IFERROR(INDEX(MgAmenDegD,MATCH(SUBSTITUTE($H111,"*","-"),MgAmenClave,0)),"No aplica")</f>
        <v/>
      </c>
      <c r="O111" s="28">
        <f>IFERROR(INDEX(MgAmenDegI,MATCH(SUBSTITUTE($H111,"*","-"),MgAmenClave,0)),"No aplica")</f>
        <v/>
      </c>
      <c r="P111" s="28">
        <f>IFERROR(INDEX(MgAmenDegC,MATCH(SUBSTITUTE($H111,"*","-"),MgAmenClave,0)),"No aplica")</f>
        <v/>
      </c>
      <c r="Q111" s="29">
        <f>IFERROR(VLOOKUP(K111,MgValor,2,0)*VLOOKUP(N111,MgDeg,2,0),0)</f>
        <v/>
      </c>
      <c r="R111" s="29">
        <f>IFERROR(VLOOKUP(L111,MgValor,2,0)*VLOOKUP(O111,MgDeg,2,0),0)</f>
        <v/>
      </c>
      <c r="S111" s="29">
        <f>IFERROR(VLOOKUP(M111,MgValor,2,0)*VLOOKUP(P111,MgDeg,2,0),0)</f>
        <v/>
      </c>
      <c r="T111" s="30">
        <f>MAX(Q111:S111)</f>
        <v/>
      </c>
      <c r="U111" s="28">
        <f>IFERROR(LOOKUP(T111,{0;0.5;1.5;3;4.5},{"Despreciable";"Bajo";"Medio";"Alto";"Muy alto"}),"")</f>
        <v/>
      </c>
      <c r="V111" s="13">
        <f>IFERROR(INDEX(MgAmenFrec,MATCH(SUBSTITUTE($H111,"*","-"),MgAmenClave,0)),"")</f>
        <v/>
      </c>
      <c r="W111" s="28">
        <f>IFERROR(LOOKUP(X111,{0;0.01;0.1;1;10;100},{"Muy baja";"Muy baja";"Baja";"Media";"Alta";"Muy alta"}),"")</f>
        <v/>
      </c>
      <c r="X111" s="31">
        <f>IFERROR(VLOOKUP(V111,MgFrec,2,0),0)</f>
        <v/>
      </c>
      <c r="Y111" s="30">
        <f>T111*X111</f>
        <v/>
      </c>
      <c r="Z111" s="28">
        <f>IFERROR(LOOKUP(Y111,{0;0.5;5;25},{"Bajo";"Medio";"Alto";"Crítico"}),"")</f>
        <v/>
      </c>
      <c r="AA111" s="64">
        <f>IF(T111&gt;=3,IF(X111&gt;=1,"Zona 1 — Crítica: impacto alto y ocurre al menos una vez al año","Zona 4 — Catastrófica poco probable: impacto alto pero excepcional"),IF(AND(T111&lt;1.5,X111&lt;1),"Zona 3 — Asumible: impacto bajo y muy poco frecuente","Zona 2 — Atención: riesgo intermedio"))</f>
        <v/>
      </c>
      <c r="AB111" s="64">
        <f>IFERROR(INDEX(MgAmenCtrl,MATCH(SUBSTITUTE($H111,"*","-"),MgAmenClave,0)),"")</f>
        <v/>
      </c>
      <c r="AC111" s="20" t="n"/>
      <c r="AD111" s="31">
        <f>IFERROR($X111*(1-IF($AC111="",$AL111,VLOOKUP($AC111,MgMad,2,0))),"")</f>
        <v/>
      </c>
      <c r="AE111" s="28">
        <f>IFERROR(LOOKUP(AD111,{0;0.01;0.1;1;10;100},{"Muy baja";"Muy baja";"Baja";"Media";"Alta";"Muy alta"}),"")</f>
        <v/>
      </c>
      <c r="AF111" s="30">
        <f>T111*AD111</f>
        <v/>
      </c>
      <c r="AG111" s="28">
        <f>IFERROR(LOOKUP(AF111,{0;0.5;5;25},{"Bajo";"Medio";"Alto";"Crítico"}),"")</f>
        <v/>
      </c>
      <c r="AH111" s="28">
        <f>IF(AG111="","",IF(OR(AG111="Crítico",AG111="Alto"),"Mitigar",IF(AG111="Medio","Mitigar","Aceptar y monitorear")))</f>
        <v/>
      </c>
      <c r="AI111" s="21" t="n"/>
      <c r="AJ111" s="21" t="n"/>
      <c r="AK111" s="20" t="n"/>
      <c r="AL111" s="77">
        <f>IFERROR(INDEX(MgAmenEfic,MATCH(SUBSTITUTE($H111,"*","-"),MgAmenClave,0)),0)</f>
        <v/>
      </c>
    </row>
    <row r="112" hidden="1" ht="60" customHeight="1" s="54">
      <c r="B112" s="59" t="inlineStr">
        <is>
          <t>R-0107</t>
        </is>
      </c>
      <c r="C112" s="59" t="inlineStr">
        <is>
          <t>DO-09</t>
        </is>
      </c>
      <c r="D112" s="64">
        <f>IFERROR(INDEX(MgNombre,MATCH($C112,MgActId,0)),"")</f>
        <v/>
      </c>
      <c r="E112" s="64">
        <f>IFERROR(INDEX(MgProceso,MATCH($C112,MgActId,0)),"")</f>
        <v/>
      </c>
      <c r="F112" s="64">
        <f>IFERROR(INDEX(MgTipo,MATCH($C112,MgActId,0)),"")</f>
        <v/>
      </c>
      <c r="G112" s="64">
        <f>IFERROR(INDEX(MgSubtipo,MATCH($C112,MgActId,0)),"")</f>
        <v/>
      </c>
      <c r="H112" s="59" t="inlineStr">
        <is>
          <t>A.15</t>
        </is>
      </c>
      <c r="I112" s="64">
        <f>IFERROR(INDEX(MgAmenNombre,MATCH(SUBSTITUTE($H112,"*","-"),MgAmenClave,0)),"")</f>
        <v/>
      </c>
      <c r="J112" s="28">
        <f>IFERROR(INDEX(MgAmenGrupo,MATCH(SUBSTITUTE($H112,"*","-"),MgAmenClave,0)),"")</f>
        <v/>
      </c>
      <c r="K112" s="64">
        <f>IFERROR(INDEX('1. Matriz de Activos'!$Q$6:$Q$239,MATCH($C112,MgActId,0)),"")</f>
        <v/>
      </c>
      <c r="L112" s="64">
        <f>IFERROR(INDEX('1. Matriz de Activos'!$R$6:$R$239,MATCH($C112,MgActId,0)),"")</f>
        <v/>
      </c>
      <c r="M112" s="64">
        <f>IFERROR(INDEX('1. Matriz de Activos'!$S$6:$S$239,MATCH($C112,MgActId,0)),"")</f>
        <v/>
      </c>
      <c r="N112" s="28">
        <f>IFERROR(INDEX(MgAmenDegD,MATCH(SUBSTITUTE($H112,"*","-"),MgAmenClave,0)),"No aplica")</f>
        <v/>
      </c>
      <c r="O112" s="28">
        <f>IFERROR(INDEX(MgAmenDegI,MATCH(SUBSTITUTE($H112,"*","-"),MgAmenClave,0)),"No aplica")</f>
        <v/>
      </c>
      <c r="P112" s="28">
        <f>IFERROR(INDEX(MgAmenDegC,MATCH(SUBSTITUTE($H112,"*","-"),MgAmenClave,0)),"No aplica")</f>
        <v/>
      </c>
      <c r="Q112" s="29">
        <f>IFERROR(VLOOKUP(K112,MgValor,2,0)*VLOOKUP(N112,MgDeg,2,0),0)</f>
        <v/>
      </c>
      <c r="R112" s="29">
        <f>IFERROR(VLOOKUP(L112,MgValor,2,0)*VLOOKUP(O112,MgDeg,2,0),0)</f>
        <v/>
      </c>
      <c r="S112" s="29">
        <f>IFERROR(VLOOKUP(M112,MgValor,2,0)*VLOOKUP(P112,MgDeg,2,0),0)</f>
        <v/>
      </c>
      <c r="T112" s="30">
        <f>MAX(Q112:S112)</f>
        <v/>
      </c>
      <c r="U112" s="28">
        <f>IFERROR(LOOKUP(T112,{0;0.5;1.5;3;4.5},{"Despreciable";"Bajo";"Medio";"Alto";"Muy alto"}),"")</f>
        <v/>
      </c>
      <c r="V112" s="13">
        <f>IFERROR(INDEX(MgAmenFrec,MATCH(SUBSTITUTE($H112,"*","-"),MgAmenClave,0)),"")</f>
        <v/>
      </c>
      <c r="W112" s="28">
        <f>IFERROR(LOOKUP(X112,{0;0.01;0.1;1;10;100},{"Muy baja";"Muy baja";"Baja";"Media";"Alta";"Muy alta"}),"")</f>
        <v/>
      </c>
      <c r="X112" s="31">
        <f>IFERROR(VLOOKUP(V112,MgFrec,2,0),0)</f>
        <v/>
      </c>
      <c r="Y112" s="30">
        <f>T112*X112</f>
        <v/>
      </c>
      <c r="Z112" s="28">
        <f>IFERROR(LOOKUP(Y112,{0;0.5;5;25},{"Bajo";"Medio";"Alto";"Crítico"}),"")</f>
        <v/>
      </c>
      <c r="AA112" s="64">
        <f>IF(T112&gt;=3,IF(X112&gt;=1,"Zona 1 — Crítica: impacto alto y ocurre al menos una vez al año","Zona 4 — Catastrófica poco probable: impacto alto pero excepcional"),IF(AND(T112&lt;1.5,X112&lt;1),"Zona 3 — Asumible: impacto bajo y muy poco frecuente","Zona 2 — Atención: riesgo intermedio"))</f>
        <v/>
      </c>
      <c r="AB112" s="64">
        <f>IFERROR(INDEX(MgAmenCtrl,MATCH(SUBSTITUTE($H112,"*","-"),MgAmenClave,0)),"")</f>
        <v/>
      </c>
      <c r="AC112" s="20" t="n"/>
      <c r="AD112" s="31">
        <f>IFERROR($X112*(1-IF($AC112="",$AL112,VLOOKUP($AC112,MgMad,2,0))),"")</f>
        <v/>
      </c>
      <c r="AE112" s="28">
        <f>IFERROR(LOOKUP(AD112,{0;0.01;0.1;1;10;100},{"Muy baja";"Muy baja";"Baja";"Media";"Alta";"Muy alta"}),"")</f>
        <v/>
      </c>
      <c r="AF112" s="30">
        <f>T112*AD112</f>
        <v/>
      </c>
      <c r="AG112" s="28">
        <f>IFERROR(LOOKUP(AF112,{0;0.5;5;25},{"Bajo";"Medio";"Alto";"Crítico"}),"")</f>
        <v/>
      </c>
      <c r="AH112" s="28">
        <f>IF(AG112="","",IF(OR(AG112="Crítico",AG112="Alto"),"Mitigar",IF(AG112="Medio","Mitigar","Aceptar y monitorear")))</f>
        <v/>
      </c>
      <c r="AI112" s="21" t="n"/>
      <c r="AJ112" s="21" t="n"/>
      <c r="AK112" s="20" t="n"/>
      <c r="AL112" s="77">
        <f>IFERROR(INDEX(MgAmenEfic,MATCH(SUBSTITUTE($H112,"*","-"),MgAmenClave,0)),0)</f>
        <v/>
      </c>
    </row>
    <row r="113" hidden="1" ht="60" customHeight="1" s="54">
      <c r="B113" s="59" t="inlineStr">
        <is>
          <t>R-0108</t>
        </is>
      </c>
      <c r="C113" s="59" t="inlineStr">
        <is>
          <t>DO-09</t>
        </is>
      </c>
      <c r="D113" s="64">
        <f>IFERROR(INDEX(MgNombre,MATCH($C113,MgActId,0)),"")</f>
        <v/>
      </c>
      <c r="E113" s="64">
        <f>IFERROR(INDEX(MgProceso,MATCH($C113,MgActId,0)),"")</f>
        <v/>
      </c>
      <c r="F113" s="64">
        <f>IFERROR(INDEX(MgTipo,MATCH($C113,MgActId,0)),"")</f>
        <v/>
      </c>
      <c r="G113" s="64">
        <f>IFERROR(INDEX(MgSubtipo,MATCH($C113,MgActId,0)),"")</f>
        <v/>
      </c>
      <c r="H113" s="59" t="inlineStr">
        <is>
          <t>A.18</t>
        </is>
      </c>
      <c r="I113" s="64">
        <f>IFERROR(INDEX(MgAmenNombre,MATCH(SUBSTITUTE($H113,"*","-"),MgAmenClave,0)),"")</f>
        <v/>
      </c>
      <c r="J113" s="28">
        <f>IFERROR(INDEX(MgAmenGrupo,MATCH(SUBSTITUTE($H113,"*","-"),MgAmenClave,0)),"")</f>
        <v/>
      </c>
      <c r="K113" s="64">
        <f>IFERROR(INDEX('1. Matriz de Activos'!$Q$6:$Q$239,MATCH($C113,MgActId,0)),"")</f>
        <v/>
      </c>
      <c r="L113" s="64">
        <f>IFERROR(INDEX('1. Matriz de Activos'!$R$6:$R$239,MATCH($C113,MgActId,0)),"")</f>
        <v/>
      </c>
      <c r="M113" s="64">
        <f>IFERROR(INDEX('1. Matriz de Activos'!$S$6:$S$239,MATCH($C113,MgActId,0)),"")</f>
        <v/>
      </c>
      <c r="N113" s="28">
        <f>IFERROR(INDEX(MgAmenDegD,MATCH(SUBSTITUTE($H113,"*","-"),MgAmenClave,0)),"No aplica")</f>
        <v/>
      </c>
      <c r="O113" s="28">
        <f>IFERROR(INDEX(MgAmenDegI,MATCH(SUBSTITUTE($H113,"*","-"),MgAmenClave,0)),"No aplica")</f>
        <v/>
      </c>
      <c r="P113" s="28">
        <f>IFERROR(INDEX(MgAmenDegC,MATCH(SUBSTITUTE($H113,"*","-"),MgAmenClave,0)),"No aplica")</f>
        <v/>
      </c>
      <c r="Q113" s="29">
        <f>IFERROR(VLOOKUP(K113,MgValor,2,0)*VLOOKUP(N113,MgDeg,2,0),0)</f>
        <v/>
      </c>
      <c r="R113" s="29">
        <f>IFERROR(VLOOKUP(L113,MgValor,2,0)*VLOOKUP(O113,MgDeg,2,0),0)</f>
        <v/>
      </c>
      <c r="S113" s="29">
        <f>IFERROR(VLOOKUP(M113,MgValor,2,0)*VLOOKUP(P113,MgDeg,2,0),0)</f>
        <v/>
      </c>
      <c r="T113" s="30">
        <f>MAX(Q113:S113)</f>
        <v/>
      </c>
      <c r="U113" s="28">
        <f>IFERROR(LOOKUP(T113,{0;0.5;1.5;3;4.5},{"Despreciable";"Bajo";"Medio";"Alto";"Muy alto"}),"")</f>
        <v/>
      </c>
      <c r="V113" s="13">
        <f>IFERROR(INDEX(MgAmenFrec,MATCH(SUBSTITUTE($H113,"*","-"),MgAmenClave,0)),"")</f>
        <v/>
      </c>
      <c r="W113" s="28">
        <f>IFERROR(LOOKUP(X113,{0;0.01;0.1;1;10;100},{"Muy baja";"Muy baja";"Baja";"Media";"Alta";"Muy alta"}),"")</f>
        <v/>
      </c>
      <c r="X113" s="31">
        <f>IFERROR(VLOOKUP(V113,MgFrec,2,0),0)</f>
        <v/>
      </c>
      <c r="Y113" s="30">
        <f>T113*X113</f>
        <v/>
      </c>
      <c r="Z113" s="28">
        <f>IFERROR(LOOKUP(Y113,{0;0.5;5;25},{"Bajo";"Medio";"Alto";"Crítico"}),"")</f>
        <v/>
      </c>
      <c r="AA113" s="64">
        <f>IF(T113&gt;=3,IF(X113&gt;=1,"Zona 1 — Crítica: impacto alto y ocurre al menos una vez al año","Zona 4 — Catastrófica poco probable: impacto alto pero excepcional"),IF(AND(T113&lt;1.5,X113&lt;1),"Zona 3 — Asumible: impacto bajo y muy poco frecuente","Zona 2 — Atención: riesgo intermedio"))</f>
        <v/>
      </c>
      <c r="AB113" s="64">
        <f>IFERROR(INDEX(MgAmenCtrl,MATCH(SUBSTITUTE($H113,"*","-"),MgAmenClave,0)),"")</f>
        <v/>
      </c>
      <c r="AC113" s="20" t="n"/>
      <c r="AD113" s="31">
        <f>IFERROR($X113*(1-IF($AC113="",$AL113,VLOOKUP($AC113,MgMad,2,0))),"")</f>
        <v/>
      </c>
      <c r="AE113" s="28">
        <f>IFERROR(LOOKUP(AD113,{0;0.01;0.1;1;10;100},{"Muy baja";"Muy baja";"Baja";"Media";"Alta";"Muy alta"}),"")</f>
        <v/>
      </c>
      <c r="AF113" s="30">
        <f>T113*AD113</f>
        <v/>
      </c>
      <c r="AG113" s="28">
        <f>IFERROR(LOOKUP(AF113,{0;0.5;5;25},{"Bajo";"Medio";"Alto";"Crítico"}),"")</f>
        <v/>
      </c>
      <c r="AH113" s="28">
        <f>IF(AG113="","",IF(OR(AG113="Crítico",AG113="Alto"),"Mitigar",IF(AG113="Medio","Mitigar","Aceptar y monitorear")))</f>
        <v/>
      </c>
      <c r="AI113" s="21" t="n"/>
      <c r="AJ113" s="21" t="n"/>
      <c r="AK113" s="20" t="n"/>
      <c r="AL113" s="77">
        <f>IFERROR(INDEX(MgAmenEfic,MATCH(SUBSTITUTE($H113,"*","-"),MgAmenClave,0)),0)</f>
        <v/>
      </c>
    </row>
    <row r="114" hidden="1" ht="120" customHeight="1" s="54">
      <c r="B114" s="59" t="inlineStr">
        <is>
          <t>R-0109</t>
        </is>
      </c>
      <c r="C114" s="59" t="inlineStr">
        <is>
          <t>DO-09</t>
        </is>
      </c>
      <c r="D114" s="64">
        <f>IFERROR(INDEX(MgNombre,MATCH($C114,MgActId,0)),"")</f>
        <v/>
      </c>
      <c r="E114" s="64">
        <f>IFERROR(INDEX(MgProceso,MATCH($C114,MgActId,0)),"")</f>
        <v/>
      </c>
      <c r="F114" s="64">
        <f>IFERROR(INDEX(MgTipo,MATCH($C114,MgActId,0)),"")</f>
        <v/>
      </c>
      <c r="G114" s="64">
        <f>IFERROR(INDEX(MgSubtipo,MATCH($C114,MgActId,0)),"")</f>
        <v/>
      </c>
      <c r="H114" s="59" t="inlineStr">
        <is>
          <t>A.19</t>
        </is>
      </c>
      <c r="I114" s="64">
        <f>IFERROR(INDEX(MgAmenNombre,MATCH(SUBSTITUTE($H114,"*","-"),MgAmenClave,0)),"")</f>
        <v/>
      </c>
      <c r="J114" s="28">
        <f>IFERROR(INDEX(MgAmenGrupo,MATCH(SUBSTITUTE($H114,"*","-"),MgAmenClave,0)),"")</f>
        <v/>
      </c>
      <c r="K114" s="64">
        <f>IFERROR(INDEX('1. Matriz de Activos'!$Q$6:$Q$239,MATCH($C114,MgActId,0)),"")</f>
        <v/>
      </c>
      <c r="L114" s="64">
        <f>IFERROR(INDEX('1. Matriz de Activos'!$R$6:$R$239,MATCH($C114,MgActId,0)),"")</f>
        <v/>
      </c>
      <c r="M114" s="64">
        <f>IFERROR(INDEX('1. Matriz de Activos'!$S$6:$S$239,MATCH($C114,MgActId,0)),"")</f>
        <v/>
      </c>
      <c r="N114" s="28">
        <f>IFERROR(INDEX(MgAmenDegD,MATCH(SUBSTITUTE($H114,"*","-"),MgAmenClave,0)),"No aplica")</f>
        <v/>
      </c>
      <c r="O114" s="28">
        <f>IFERROR(INDEX(MgAmenDegI,MATCH(SUBSTITUTE($H114,"*","-"),MgAmenClave,0)),"No aplica")</f>
        <v/>
      </c>
      <c r="P114" s="28">
        <f>IFERROR(INDEX(MgAmenDegC,MATCH(SUBSTITUTE($H114,"*","-"),MgAmenClave,0)),"No aplica")</f>
        <v/>
      </c>
      <c r="Q114" s="29">
        <f>IFERROR(VLOOKUP(K114,MgValor,2,0)*VLOOKUP(N114,MgDeg,2,0),0)</f>
        <v/>
      </c>
      <c r="R114" s="29">
        <f>IFERROR(VLOOKUP(L114,MgValor,2,0)*VLOOKUP(O114,MgDeg,2,0),0)</f>
        <v/>
      </c>
      <c r="S114" s="29">
        <f>IFERROR(VLOOKUP(M114,MgValor,2,0)*VLOOKUP(P114,MgDeg,2,0),0)</f>
        <v/>
      </c>
      <c r="T114" s="30">
        <f>MAX(Q114:S114)</f>
        <v/>
      </c>
      <c r="U114" s="28">
        <f>IFERROR(LOOKUP(T114,{0;0.5;1.5;3;4.5},{"Despreciable";"Bajo";"Medio";"Alto";"Muy alto"}),"")</f>
        <v/>
      </c>
      <c r="V114" s="13">
        <f>IFERROR(INDEX(MgAmenFrec,MATCH(SUBSTITUTE($H114,"*","-"),MgAmenClave,0)),"")</f>
        <v/>
      </c>
      <c r="W114" s="28">
        <f>IFERROR(LOOKUP(X114,{0;0.01;0.1;1;10;100},{"Muy baja";"Muy baja";"Baja";"Media";"Alta";"Muy alta"}),"")</f>
        <v/>
      </c>
      <c r="X114" s="31">
        <f>IFERROR(VLOOKUP(V114,MgFrec,2,0),0)</f>
        <v/>
      </c>
      <c r="Y114" s="30">
        <f>T114*X114</f>
        <v/>
      </c>
      <c r="Z114" s="28">
        <f>IFERROR(LOOKUP(Y114,{0;0.5;5;25},{"Bajo";"Medio";"Alto";"Crítico"}),"")</f>
        <v/>
      </c>
      <c r="AA114" s="64">
        <f>IF(T114&gt;=3,IF(X114&gt;=1,"Zona 1 — Crítica: impacto alto y ocurre al menos una vez al año","Zona 4 — Catastrófica poco probable: impacto alto pero excepcional"),IF(AND(T114&lt;1.5,X114&lt;1),"Zona 3 — Asumible: impacto bajo y muy poco frecuente","Zona 2 — Atención: riesgo intermedio"))</f>
        <v/>
      </c>
      <c r="AB114" s="64">
        <f>IFERROR(INDEX(MgAmenCtrl,MATCH(SUBSTITUTE($H114,"*","-"),MgAmenClave,0)),"")</f>
        <v/>
      </c>
      <c r="AC114" s="20" t="n"/>
      <c r="AD114" s="31">
        <f>IFERROR($X114*(1-IF($AC114="",$AL114,VLOOKUP($AC114,MgMad,2,0))),"")</f>
        <v/>
      </c>
      <c r="AE114" s="28">
        <f>IFERROR(LOOKUP(AD114,{0;0.01;0.1;1;10;100},{"Muy baja";"Muy baja";"Baja";"Media";"Alta";"Muy alta"}),"")</f>
        <v/>
      </c>
      <c r="AF114" s="30">
        <f>T114*AD114</f>
        <v/>
      </c>
      <c r="AG114" s="28">
        <f>IFERROR(LOOKUP(AF114,{0;0.5;5;25},{"Bajo";"Medio";"Alto";"Crítico"}),"")</f>
        <v/>
      </c>
      <c r="AH114" s="28">
        <f>IF(AG114="","",IF(OR(AG114="Crítico",AG114="Alto"),"Mitigar",IF(AG114="Medio","Mitigar","Aceptar y monitorear")))</f>
        <v/>
      </c>
      <c r="AI114" s="21" t="n"/>
      <c r="AJ114" s="21" t="n"/>
      <c r="AK114" s="20" t="n"/>
      <c r="AL114" s="77">
        <f>IFERROR(INDEX(MgAmenEfic,MATCH(SUBSTITUTE($H114,"*","-"),MgAmenClave,0)),0)</f>
        <v/>
      </c>
    </row>
    <row r="115" hidden="1" ht="60" customHeight="1" s="54">
      <c r="B115" s="59" t="inlineStr">
        <is>
          <t>R-0110</t>
        </is>
      </c>
      <c r="C115" s="59" t="inlineStr">
        <is>
          <t>DO-09</t>
        </is>
      </c>
      <c r="D115" s="64">
        <f>IFERROR(INDEX(MgNombre,MATCH($C115,MgActId,0)),"")</f>
        <v/>
      </c>
      <c r="E115" s="64">
        <f>IFERROR(INDEX(MgProceso,MATCH($C115,MgActId,0)),"")</f>
        <v/>
      </c>
      <c r="F115" s="64">
        <f>IFERROR(INDEX(MgTipo,MATCH($C115,MgActId,0)),"")</f>
        <v/>
      </c>
      <c r="G115" s="64">
        <f>IFERROR(INDEX(MgSubtipo,MATCH($C115,MgActId,0)),"")</f>
        <v/>
      </c>
      <c r="H115" s="59" t="inlineStr">
        <is>
          <t>A.24</t>
        </is>
      </c>
      <c r="I115" s="64">
        <f>IFERROR(INDEX(MgAmenNombre,MATCH(SUBSTITUTE($H115,"*","-"),MgAmenClave,0)),"")</f>
        <v/>
      </c>
      <c r="J115" s="28">
        <f>IFERROR(INDEX(MgAmenGrupo,MATCH(SUBSTITUTE($H115,"*","-"),MgAmenClave,0)),"")</f>
        <v/>
      </c>
      <c r="K115" s="64">
        <f>IFERROR(INDEX('1. Matriz de Activos'!$Q$6:$Q$239,MATCH($C115,MgActId,0)),"")</f>
        <v/>
      </c>
      <c r="L115" s="64">
        <f>IFERROR(INDEX('1. Matriz de Activos'!$R$6:$R$239,MATCH($C115,MgActId,0)),"")</f>
        <v/>
      </c>
      <c r="M115" s="64">
        <f>IFERROR(INDEX('1. Matriz de Activos'!$S$6:$S$239,MATCH($C115,MgActId,0)),"")</f>
        <v/>
      </c>
      <c r="N115" s="28">
        <f>IFERROR(INDEX(MgAmenDegD,MATCH(SUBSTITUTE($H115,"*","-"),MgAmenClave,0)),"No aplica")</f>
        <v/>
      </c>
      <c r="O115" s="28">
        <f>IFERROR(INDEX(MgAmenDegI,MATCH(SUBSTITUTE($H115,"*","-"),MgAmenClave,0)),"No aplica")</f>
        <v/>
      </c>
      <c r="P115" s="28">
        <f>IFERROR(INDEX(MgAmenDegC,MATCH(SUBSTITUTE($H115,"*","-"),MgAmenClave,0)),"No aplica")</f>
        <v/>
      </c>
      <c r="Q115" s="29">
        <f>IFERROR(VLOOKUP(K115,MgValor,2,0)*VLOOKUP(N115,MgDeg,2,0),0)</f>
        <v/>
      </c>
      <c r="R115" s="29">
        <f>IFERROR(VLOOKUP(L115,MgValor,2,0)*VLOOKUP(O115,MgDeg,2,0),0)</f>
        <v/>
      </c>
      <c r="S115" s="29">
        <f>IFERROR(VLOOKUP(M115,MgValor,2,0)*VLOOKUP(P115,MgDeg,2,0),0)</f>
        <v/>
      </c>
      <c r="T115" s="30">
        <f>MAX(Q115:S115)</f>
        <v/>
      </c>
      <c r="U115" s="28">
        <f>IFERROR(LOOKUP(T115,{0;0.5;1.5;3;4.5},{"Despreciable";"Bajo";"Medio";"Alto";"Muy alto"}),"")</f>
        <v/>
      </c>
      <c r="V115" s="13">
        <f>IFERROR(INDEX(MgAmenFrec,MATCH(SUBSTITUTE($H115,"*","-"),MgAmenClave,0)),"")</f>
        <v/>
      </c>
      <c r="W115" s="28">
        <f>IFERROR(LOOKUP(X115,{0;0.01;0.1;1;10;100},{"Muy baja";"Muy baja";"Baja";"Media";"Alta";"Muy alta"}),"")</f>
        <v/>
      </c>
      <c r="X115" s="31">
        <f>IFERROR(VLOOKUP(V115,MgFrec,2,0),0)</f>
        <v/>
      </c>
      <c r="Y115" s="30">
        <f>T115*X115</f>
        <v/>
      </c>
      <c r="Z115" s="28">
        <f>IFERROR(LOOKUP(Y115,{0;0.5;5;25},{"Bajo";"Medio";"Alto";"Crítico"}),"")</f>
        <v/>
      </c>
      <c r="AA115" s="64">
        <f>IF(T115&gt;=3,IF(X115&gt;=1,"Zona 1 — Crítica: impacto alto y ocurre al menos una vez al año","Zona 4 — Catastrófica poco probable: impacto alto pero excepcional"),IF(AND(T115&lt;1.5,X115&lt;1),"Zona 3 — Asumible: impacto bajo y muy poco frecuente","Zona 2 — Atención: riesgo intermedio"))</f>
        <v/>
      </c>
      <c r="AB115" s="64">
        <f>IFERROR(INDEX(MgAmenCtrl,MATCH(SUBSTITUTE($H115,"*","-"),MgAmenClave,0)),"")</f>
        <v/>
      </c>
      <c r="AC115" s="20" t="n"/>
      <c r="AD115" s="31">
        <f>IFERROR($X115*(1-IF($AC115="",$AL115,VLOOKUP($AC115,MgMad,2,0))),"")</f>
        <v/>
      </c>
      <c r="AE115" s="28">
        <f>IFERROR(LOOKUP(AD115,{0;0.01;0.1;1;10;100},{"Muy baja";"Muy baja";"Baja";"Media";"Alta";"Muy alta"}),"")</f>
        <v/>
      </c>
      <c r="AF115" s="30">
        <f>T115*AD115</f>
        <v/>
      </c>
      <c r="AG115" s="28">
        <f>IFERROR(LOOKUP(AF115,{0;0.5;5;25},{"Bajo";"Medio";"Alto";"Crítico"}),"")</f>
        <v/>
      </c>
      <c r="AH115" s="28">
        <f>IF(AG115="","",IF(OR(AG115="Crítico",AG115="Alto"),"Mitigar",IF(AG115="Medio","Mitigar","Aceptar y monitorear")))</f>
        <v/>
      </c>
      <c r="AI115" s="21" t="n"/>
      <c r="AJ115" s="21" t="n"/>
      <c r="AK115" s="20" t="n"/>
      <c r="AL115" s="77">
        <f>IFERROR(INDEX(MgAmenEfic,MATCH(SUBSTITUTE($H115,"*","-"),MgAmenClave,0)),0)</f>
        <v/>
      </c>
    </row>
    <row r="116" hidden="1" ht="75" customHeight="1" s="54">
      <c r="B116" s="59" t="inlineStr">
        <is>
          <t>R-0111</t>
        </is>
      </c>
      <c r="C116" s="59" t="inlineStr">
        <is>
          <t>DO-12</t>
        </is>
      </c>
      <c r="D116" s="64">
        <f>IFERROR(INDEX(MgNombre,MATCH($C116,MgActId,0)),"")</f>
        <v/>
      </c>
      <c r="E116" s="64">
        <f>IFERROR(INDEX(MgProceso,MATCH($C116,MgActId,0)),"")</f>
        <v/>
      </c>
      <c r="F116" s="64">
        <f>IFERROR(INDEX(MgTipo,MATCH($C116,MgActId,0)),"")</f>
        <v/>
      </c>
      <c r="G116" s="64">
        <f>IFERROR(INDEX(MgSubtipo,MATCH($C116,MgActId,0)),"")</f>
        <v/>
      </c>
      <c r="H116" s="59" t="inlineStr">
        <is>
          <t>I.8</t>
        </is>
      </c>
      <c r="I116" s="64">
        <f>IFERROR(INDEX(MgAmenNombre,MATCH(SUBSTITUTE($H116,"*","-"),MgAmenClave,0)),"")</f>
        <v/>
      </c>
      <c r="J116" s="28">
        <f>IFERROR(INDEX(MgAmenGrupo,MATCH(SUBSTITUTE($H116,"*","-"),MgAmenClave,0)),"")</f>
        <v/>
      </c>
      <c r="K116" s="64">
        <f>IFERROR(INDEX('1. Matriz de Activos'!$Q$6:$Q$239,MATCH($C116,MgActId,0)),"")</f>
        <v/>
      </c>
      <c r="L116" s="64">
        <f>IFERROR(INDEX('1. Matriz de Activos'!$R$6:$R$239,MATCH($C116,MgActId,0)),"")</f>
        <v/>
      </c>
      <c r="M116" s="64">
        <f>IFERROR(INDEX('1. Matriz de Activos'!$S$6:$S$239,MATCH($C116,MgActId,0)),"")</f>
        <v/>
      </c>
      <c r="N116" s="28">
        <f>IFERROR(INDEX(MgAmenDegD,MATCH(SUBSTITUTE($H116,"*","-"),MgAmenClave,0)),"No aplica")</f>
        <v/>
      </c>
      <c r="O116" s="28">
        <f>IFERROR(INDEX(MgAmenDegI,MATCH(SUBSTITUTE($H116,"*","-"),MgAmenClave,0)),"No aplica")</f>
        <v/>
      </c>
      <c r="P116" s="28">
        <f>IFERROR(INDEX(MgAmenDegC,MATCH(SUBSTITUTE($H116,"*","-"),MgAmenClave,0)),"No aplica")</f>
        <v/>
      </c>
      <c r="Q116" s="29">
        <f>IFERROR(VLOOKUP(K116,MgValor,2,0)*VLOOKUP(N116,MgDeg,2,0),0)</f>
        <v/>
      </c>
      <c r="R116" s="29">
        <f>IFERROR(VLOOKUP(L116,MgValor,2,0)*VLOOKUP(O116,MgDeg,2,0),0)</f>
        <v/>
      </c>
      <c r="S116" s="29">
        <f>IFERROR(VLOOKUP(M116,MgValor,2,0)*VLOOKUP(P116,MgDeg,2,0),0)</f>
        <v/>
      </c>
      <c r="T116" s="30">
        <f>MAX(Q116:S116)</f>
        <v/>
      </c>
      <c r="U116" s="28">
        <f>IFERROR(LOOKUP(T116,{0;0.5;1.5;3;4.5},{"Despreciable";"Bajo";"Medio";"Alto";"Muy alto"}),"")</f>
        <v/>
      </c>
      <c r="V116" s="13">
        <f>IFERROR(INDEX(MgAmenFrec,MATCH(SUBSTITUTE($H116,"*","-"),MgAmenClave,0)),"")</f>
        <v/>
      </c>
      <c r="W116" s="28">
        <f>IFERROR(LOOKUP(X116,{0;0.01;0.1;1;10;100},{"Muy baja";"Muy baja";"Baja";"Media";"Alta";"Muy alta"}),"")</f>
        <v/>
      </c>
      <c r="X116" s="31">
        <f>IFERROR(VLOOKUP(V116,MgFrec,2,0),0)</f>
        <v/>
      </c>
      <c r="Y116" s="30">
        <f>T116*X116</f>
        <v/>
      </c>
      <c r="Z116" s="28">
        <f>IFERROR(LOOKUP(Y116,{0;0.5;5;25},{"Bajo";"Medio";"Alto";"Crítico"}),"")</f>
        <v/>
      </c>
      <c r="AA116" s="64">
        <f>IF(T116&gt;=3,IF(X116&gt;=1,"Zona 1 — Crítica: impacto alto y ocurre al menos una vez al año","Zona 4 — Catastrófica poco probable: impacto alto pero excepcional"),IF(AND(T116&lt;1.5,X116&lt;1),"Zona 3 — Asumible: impacto bajo y muy poco frecuente","Zona 2 — Atención: riesgo intermedio"))</f>
        <v/>
      </c>
      <c r="AB116" s="64">
        <f>IFERROR(INDEX(MgAmenCtrl,MATCH(SUBSTITUTE($H116,"*","-"),MgAmenClave,0)),"")</f>
        <v/>
      </c>
      <c r="AC116" s="20" t="n"/>
      <c r="AD116" s="31">
        <f>IFERROR($X116*(1-IF($AC116="",$AL116,VLOOKUP($AC116,MgMad,2,0))),"")</f>
        <v/>
      </c>
      <c r="AE116" s="28">
        <f>IFERROR(LOOKUP(AD116,{0;0.01;0.1;1;10;100},{"Muy baja";"Muy baja";"Baja";"Media";"Alta";"Muy alta"}),"")</f>
        <v/>
      </c>
      <c r="AF116" s="30">
        <f>T116*AD116</f>
        <v/>
      </c>
      <c r="AG116" s="28">
        <f>IFERROR(LOOKUP(AF116,{0;0.5;5;25},{"Bajo";"Medio";"Alto";"Crítico"}),"")</f>
        <v/>
      </c>
      <c r="AH116" s="28">
        <f>IF(AG116="","",IF(OR(AG116="Crítico",AG116="Alto"),"Mitigar",IF(AG116="Medio","Mitigar","Aceptar y monitorear")))</f>
        <v/>
      </c>
      <c r="AI116" s="21" t="n"/>
      <c r="AJ116" s="21" t="n"/>
      <c r="AK116" s="20" t="n"/>
      <c r="AL116" s="77">
        <f>IFERROR(INDEX(MgAmenEfic,MATCH(SUBSTITUTE($H116,"*","-"),MgAmenClave,0)),0)</f>
        <v/>
      </c>
    </row>
    <row r="117" hidden="1" ht="45" customHeight="1" s="54">
      <c r="B117" s="59" t="inlineStr">
        <is>
          <t>R-0112</t>
        </is>
      </c>
      <c r="C117" s="59" t="inlineStr">
        <is>
          <t>DO-12</t>
        </is>
      </c>
      <c r="D117" s="64">
        <f>IFERROR(INDEX(MgNombre,MATCH($C117,MgActId,0)),"")</f>
        <v/>
      </c>
      <c r="E117" s="64">
        <f>IFERROR(INDEX(MgProceso,MATCH($C117,MgActId,0)),"")</f>
        <v/>
      </c>
      <c r="F117" s="64">
        <f>IFERROR(INDEX(MgTipo,MATCH($C117,MgActId,0)),"")</f>
        <v/>
      </c>
      <c r="G117" s="64">
        <f>IFERROR(INDEX(MgSubtipo,MATCH($C117,MgActId,0)),"")</f>
        <v/>
      </c>
      <c r="H117" s="59" t="inlineStr">
        <is>
          <t>I.11</t>
        </is>
      </c>
      <c r="I117" s="64">
        <f>IFERROR(INDEX(MgAmenNombre,MATCH(SUBSTITUTE($H117,"*","-"),MgAmenClave,0)),"")</f>
        <v/>
      </c>
      <c r="J117" s="28">
        <f>IFERROR(INDEX(MgAmenGrupo,MATCH(SUBSTITUTE($H117,"*","-"),MgAmenClave,0)),"")</f>
        <v/>
      </c>
      <c r="K117" s="64">
        <f>IFERROR(INDEX('1. Matriz de Activos'!$Q$6:$Q$239,MATCH($C117,MgActId,0)),"")</f>
        <v/>
      </c>
      <c r="L117" s="64">
        <f>IFERROR(INDEX('1. Matriz de Activos'!$R$6:$R$239,MATCH($C117,MgActId,0)),"")</f>
        <v/>
      </c>
      <c r="M117" s="64">
        <f>IFERROR(INDEX('1. Matriz de Activos'!$S$6:$S$239,MATCH($C117,MgActId,0)),"")</f>
        <v/>
      </c>
      <c r="N117" s="28">
        <f>IFERROR(INDEX(MgAmenDegD,MATCH(SUBSTITUTE($H117,"*","-"),MgAmenClave,0)),"No aplica")</f>
        <v/>
      </c>
      <c r="O117" s="28">
        <f>IFERROR(INDEX(MgAmenDegI,MATCH(SUBSTITUTE($H117,"*","-"),MgAmenClave,0)),"No aplica")</f>
        <v/>
      </c>
      <c r="P117" s="28">
        <f>IFERROR(INDEX(MgAmenDegC,MATCH(SUBSTITUTE($H117,"*","-"),MgAmenClave,0)),"No aplica")</f>
        <v/>
      </c>
      <c r="Q117" s="29">
        <f>IFERROR(VLOOKUP(K117,MgValor,2,0)*VLOOKUP(N117,MgDeg,2,0),0)</f>
        <v/>
      </c>
      <c r="R117" s="29">
        <f>IFERROR(VLOOKUP(L117,MgValor,2,0)*VLOOKUP(O117,MgDeg,2,0),0)</f>
        <v/>
      </c>
      <c r="S117" s="29">
        <f>IFERROR(VLOOKUP(M117,MgValor,2,0)*VLOOKUP(P117,MgDeg,2,0),0)</f>
        <v/>
      </c>
      <c r="T117" s="30">
        <f>MAX(Q117:S117)</f>
        <v/>
      </c>
      <c r="U117" s="28">
        <f>IFERROR(LOOKUP(T117,{0;0.5;1.5;3;4.5},{"Despreciable";"Bajo";"Medio";"Alto";"Muy alto"}),"")</f>
        <v/>
      </c>
      <c r="V117" s="13">
        <f>IFERROR(INDEX(MgAmenFrec,MATCH(SUBSTITUTE($H117,"*","-"),MgAmenClave,0)),"")</f>
        <v/>
      </c>
      <c r="W117" s="28">
        <f>IFERROR(LOOKUP(X117,{0;0.01;0.1;1;10;100},{"Muy baja";"Muy baja";"Baja";"Media";"Alta";"Muy alta"}),"")</f>
        <v/>
      </c>
      <c r="X117" s="31">
        <f>IFERROR(VLOOKUP(V117,MgFrec,2,0),0)</f>
        <v/>
      </c>
      <c r="Y117" s="30">
        <f>T117*X117</f>
        <v/>
      </c>
      <c r="Z117" s="28">
        <f>IFERROR(LOOKUP(Y117,{0;0.5;5;25},{"Bajo";"Medio";"Alto";"Crítico"}),"")</f>
        <v/>
      </c>
      <c r="AA117" s="64">
        <f>IF(T117&gt;=3,IF(X117&gt;=1,"Zona 1 — Crítica: impacto alto y ocurre al menos una vez al año","Zona 4 — Catastrófica poco probable: impacto alto pero excepcional"),IF(AND(T117&lt;1.5,X117&lt;1),"Zona 3 — Asumible: impacto bajo y muy poco frecuente","Zona 2 — Atención: riesgo intermedio"))</f>
        <v/>
      </c>
      <c r="AB117" s="64">
        <f>IFERROR(INDEX(MgAmenCtrl,MATCH(SUBSTITUTE($H117,"*","-"),MgAmenClave,0)),"")</f>
        <v/>
      </c>
      <c r="AC117" s="20" t="n"/>
      <c r="AD117" s="31">
        <f>IFERROR($X117*(1-IF($AC117="",$AL117,VLOOKUP($AC117,MgMad,2,0))),"")</f>
        <v/>
      </c>
      <c r="AE117" s="28">
        <f>IFERROR(LOOKUP(AD117,{0;0.01;0.1;1;10;100},{"Muy baja";"Muy baja";"Baja";"Media";"Alta";"Muy alta"}),"")</f>
        <v/>
      </c>
      <c r="AF117" s="30">
        <f>T117*AD117</f>
        <v/>
      </c>
      <c r="AG117" s="28">
        <f>IFERROR(LOOKUP(AF117,{0;0.5;5;25},{"Bajo";"Medio";"Alto";"Crítico"}),"")</f>
        <v/>
      </c>
      <c r="AH117" s="28">
        <f>IF(AG117="","",IF(OR(AG117="Crítico",AG117="Alto"),"Mitigar",IF(AG117="Medio","Mitigar","Aceptar y monitorear")))</f>
        <v/>
      </c>
      <c r="AI117" s="21" t="n"/>
      <c r="AJ117" s="21" t="n"/>
      <c r="AK117" s="20" t="n"/>
      <c r="AL117" s="77">
        <f>IFERROR(INDEX(MgAmenEfic,MATCH(SUBSTITUTE($H117,"*","-"),MgAmenClave,0)),0)</f>
        <v/>
      </c>
    </row>
    <row r="118" hidden="1" ht="120" customHeight="1" s="54">
      <c r="B118" s="59" t="inlineStr">
        <is>
          <t>R-0113</t>
        </is>
      </c>
      <c r="C118" s="59" t="inlineStr">
        <is>
          <t>DO-12</t>
        </is>
      </c>
      <c r="D118" s="64">
        <f>IFERROR(INDEX(MgNombre,MATCH($C118,MgActId,0)),"")</f>
        <v/>
      </c>
      <c r="E118" s="64">
        <f>IFERROR(INDEX(MgProceso,MATCH($C118,MgActId,0)),"")</f>
        <v/>
      </c>
      <c r="F118" s="64">
        <f>IFERROR(INDEX(MgTipo,MATCH($C118,MgActId,0)),"")</f>
        <v/>
      </c>
      <c r="G118" s="64">
        <f>IFERROR(INDEX(MgSubtipo,MATCH($C118,MgActId,0)),"")</f>
        <v/>
      </c>
      <c r="H118" s="59" t="inlineStr">
        <is>
          <t>E.2</t>
        </is>
      </c>
      <c r="I118" s="64">
        <f>IFERROR(INDEX(MgAmenNombre,MATCH(SUBSTITUTE($H118,"*","-"),MgAmenClave,0)),"")</f>
        <v/>
      </c>
      <c r="J118" s="28">
        <f>IFERROR(INDEX(MgAmenGrupo,MATCH(SUBSTITUTE($H118,"*","-"),MgAmenClave,0)),"")</f>
        <v/>
      </c>
      <c r="K118" s="64">
        <f>IFERROR(INDEX('1. Matriz de Activos'!$Q$6:$Q$239,MATCH($C118,MgActId,0)),"")</f>
        <v/>
      </c>
      <c r="L118" s="64">
        <f>IFERROR(INDEX('1. Matriz de Activos'!$R$6:$R$239,MATCH($C118,MgActId,0)),"")</f>
        <v/>
      </c>
      <c r="M118" s="64">
        <f>IFERROR(INDEX('1. Matriz de Activos'!$S$6:$S$239,MATCH($C118,MgActId,0)),"")</f>
        <v/>
      </c>
      <c r="N118" s="28">
        <f>IFERROR(INDEX(MgAmenDegD,MATCH(SUBSTITUTE($H118,"*","-"),MgAmenClave,0)),"No aplica")</f>
        <v/>
      </c>
      <c r="O118" s="28">
        <f>IFERROR(INDEX(MgAmenDegI,MATCH(SUBSTITUTE($H118,"*","-"),MgAmenClave,0)),"No aplica")</f>
        <v/>
      </c>
      <c r="P118" s="28">
        <f>IFERROR(INDEX(MgAmenDegC,MATCH(SUBSTITUTE($H118,"*","-"),MgAmenClave,0)),"No aplica")</f>
        <v/>
      </c>
      <c r="Q118" s="29">
        <f>IFERROR(VLOOKUP(K118,MgValor,2,0)*VLOOKUP(N118,MgDeg,2,0),0)</f>
        <v/>
      </c>
      <c r="R118" s="29">
        <f>IFERROR(VLOOKUP(L118,MgValor,2,0)*VLOOKUP(O118,MgDeg,2,0),0)</f>
        <v/>
      </c>
      <c r="S118" s="29">
        <f>IFERROR(VLOOKUP(M118,MgValor,2,0)*VLOOKUP(P118,MgDeg,2,0),0)</f>
        <v/>
      </c>
      <c r="T118" s="30">
        <f>MAX(Q118:S118)</f>
        <v/>
      </c>
      <c r="U118" s="28">
        <f>IFERROR(LOOKUP(T118,{0;0.5;1.5;3;4.5},{"Despreciable";"Bajo";"Medio";"Alto";"Muy alto"}),"")</f>
        <v/>
      </c>
      <c r="V118" s="13">
        <f>IFERROR(INDEX(MgAmenFrec,MATCH(SUBSTITUTE($H118,"*","-"),MgAmenClave,0)),"")</f>
        <v/>
      </c>
      <c r="W118" s="28">
        <f>IFERROR(LOOKUP(X118,{0;0.01;0.1;1;10;100},{"Muy baja";"Muy baja";"Baja";"Media";"Alta";"Muy alta"}),"")</f>
        <v/>
      </c>
      <c r="X118" s="31">
        <f>IFERROR(VLOOKUP(V118,MgFrec,2,0),0)</f>
        <v/>
      </c>
      <c r="Y118" s="30">
        <f>T118*X118</f>
        <v/>
      </c>
      <c r="Z118" s="28">
        <f>IFERROR(LOOKUP(Y118,{0;0.5;5;25},{"Bajo";"Medio";"Alto";"Crítico"}),"")</f>
        <v/>
      </c>
      <c r="AA118" s="64">
        <f>IF(T118&gt;=3,IF(X118&gt;=1,"Zona 1 — Crítica: impacto alto y ocurre al menos una vez al año","Zona 4 — Catastrófica poco probable: impacto alto pero excepcional"),IF(AND(T118&lt;1.5,X118&lt;1),"Zona 3 — Asumible: impacto bajo y muy poco frecuente","Zona 2 — Atención: riesgo intermedio"))</f>
        <v/>
      </c>
      <c r="AB118" s="64">
        <f>IFERROR(INDEX(MgAmenCtrl,MATCH(SUBSTITUTE($H118,"*","-"),MgAmenClave,0)),"")</f>
        <v/>
      </c>
      <c r="AC118" s="20" t="n"/>
      <c r="AD118" s="31">
        <f>IFERROR($X118*(1-IF($AC118="",$AL118,VLOOKUP($AC118,MgMad,2,0))),"")</f>
        <v/>
      </c>
      <c r="AE118" s="28">
        <f>IFERROR(LOOKUP(AD118,{0;0.01;0.1;1;10;100},{"Muy baja";"Muy baja";"Baja";"Media";"Alta";"Muy alta"}),"")</f>
        <v/>
      </c>
      <c r="AF118" s="30">
        <f>T118*AD118</f>
        <v/>
      </c>
      <c r="AG118" s="28">
        <f>IFERROR(LOOKUP(AF118,{0;0.5;5;25},{"Bajo";"Medio";"Alto";"Crítico"}),"")</f>
        <v/>
      </c>
      <c r="AH118" s="28">
        <f>IF(AG118="","",IF(OR(AG118="Crítico",AG118="Alto"),"Mitigar",IF(AG118="Medio","Mitigar","Aceptar y monitorear")))</f>
        <v/>
      </c>
      <c r="AI118" s="21" t="n"/>
      <c r="AJ118" s="21" t="n"/>
      <c r="AK118" s="20" t="n"/>
      <c r="AL118" s="77">
        <f>IFERROR(INDEX(MgAmenEfic,MATCH(SUBSTITUTE($H118,"*","-"),MgAmenClave,0)),0)</f>
        <v/>
      </c>
    </row>
    <row r="119" hidden="1" ht="60" customHeight="1" s="54">
      <c r="B119" s="59" t="inlineStr">
        <is>
          <t>R-0114</t>
        </is>
      </c>
      <c r="C119" s="59" t="inlineStr">
        <is>
          <t>DO-12</t>
        </is>
      </c>
      <c r="D119" s="64">
        <f>IFERROR(INDEX(MgNombre,MATCH($C119,MgActId,0)),"")</f>
        <v/>
      </c>
      <c r="E119" s="64">
        <f>IFERROR(INDEX(MgProceso,MATCH($C119,MgActId,0)),"")</f>
        <v/>
      </c>
      <c r="F119" s="64">
        <f>IFERROR(INDEX(MgTipo,MATCH($C119,MgActId,0)),"")</f>
        <v/>
      </c>
      <c r="G119" s="64">
        <f>IFERROR(INDEX(MgSubtipo,MATCH($C119,MgActId,0)),"")</f>
        <v/>
      </c>
      <c r="H119" s="59" t="inlineStr">
        <is>
          <t>E.9</t>
        </is>
      </c>
      <c r="I119" s="64">
        <f>IFERROR(INDEX(MgAmenNombre,MATCH(SUBSTITUTE($H119,"*","-"),MgAmenClave,0)),"")</f>
        <v/>
      </c>
      <c r="J119" s="28">
        <f>IFERROR(INDEX(MgAmenGrupo,MATCH(SUBSTITUTE($H119,"*","-"),MgAmenClave,0)),"")</f>
        <v/>
      </c>
      <c r="K119" s="64">
        <f>IFERROR(INDEX('1. Matriz de Activos'!$Q$6:$Q$239,MATCH($C119,MgActId,0)),"")</f>
        <v/>
      </c>
      <c r="L119" s="64">
        <f>IFERROR(INDEX('1. Matriz de Activos'!$R$6:$R$239,MATCH($C119,MgActId,0)),"")</f>
        <v/>
      </c>
      <c r="M119" s="64">
        <f>IFERROR(INDEX('1. Matriz de Activos'!$S$6:$S$239,MATCH($C119,MgActId,0)),"")</f>
        <v/>
      </c>
      <c r="N119" s="28">
        <f>IFERROR(INDEX(MgAmenDegD,MATCH(SUBSTITUTE($H119,"*","-"),MgAmenClave,0)),"No aplica")</f>
        <v/>
      </c>
      <c r="O119" s="28">
        <f>IFERROR(INDEX(MgAmenDegI,MATCH(SUBSTITUTE($H119,"*","-"),MgAmenClave,0)),"No aplica")</f>
        <v/>
      </c>
      <c r="P119" s="28">
        <f>IFERROR(INDEX(MgAmenDegC,MATCH(SUBSTITUTE($H119,"*","-"),MgAmenClave,0)),"No aplica")</f>
        <v/>
      </c>
      <c r="Q119" s="29">
        <f>IFERROR(VLOOKUP(K119,MgValor,2,0)*VLOOKUP(N119,MgDeg,2,0),0)</f>
        <v/>
      </c>
      <c r="R119" s="29">
        <f>IFERROR(VLOOKUP(L119,MgValor,2,0)*VLOOKUP(O119,MgDeg,2,0),0)</f>
        <v/>
      </c>
      <c r="S119" s="29">
        <f>IFERROR(VLOOKUP(M119,MgValor,2,0)*VLOOKUP(P119,MgDeg,2,0),0)</f>
        <v/>
      </c>
      <c r="T119" s="30">
        <f>MAX(Q119:S119)</f>
        <v/>
      </c>
      <c r="U119" s="28">
        <f>IFERROR(LOOKUP(T119,{0;0.5;1.5;3;4.5},{"Despreciable";"Bajo";"Medio";"Alto";"Muy alto"}),"")</f>
        <v/>
      </c>
      <c r="V119" s="13">
        <f>IFERROR(INDEX(MgAmenFrec,MATCH(SUBSTITUTE($H119,"*","-"),MgAmenClave,0)),"")</f>
        <v/>
      </c>
      <c r="W119" s="28">
        <f>IFERROR(LOOKUP(X119,{0;0.01;0.1;1;10;100},{"Muy baja";"Muy baja";"Baja";"Media";"Alta";"Muy alta"}),"")</f>
        <v/>
      </c>
      <c r="X119" s="31">
        <f>IFERROR(VLOOKUP(V119,MgFrec,2,0),0)</f>
        <v/>
      </c>
      <c r="Y119" s="30">
        <f>T119*X119</f>
        <v/>
      </c>
      <c r="Z119" s="28">
        <f>IFERROR(LOOKUP(Y119,{0;0.5;5;25},{"Bajo";"Medio";"Alto";"Crítico"}),"")</f>
        <v/>
      </c>
      <c r="AA119" s="64">
        <f>IF(T119&gt;=3,IF(X119&gt;=1,"Zona 1 — Crítica: impacto alto y ocurre al menos una vez al año","Zona 4 — Catastrófica poco probable: impacto alto pero excepcional"),IF(AND(T119&lt;1.5,X119&lt;1),"Zona 3 — Asumible: impacto bajo y muy poco frecuente","Zona 2 — Atención: riesgo intermedio"))</f>
        <v/>
      </c>
      <c r="AB119" s="64">
        <f>IFERROR(INDEX(MgAmenCtrl,MATCH(SUBSTITUTE($H119,"*","-"),MgAmenClave,0)),"")</f>
        <v/>
      </c>
      <c r="AC119" s="20" t="n"/>
      <c r="AD119" s="31">
        <f>IFERROR($X119*(1-IF($AC119="",$AL119,VLOOKUP($AC119,MgMad,2,0))),"")</f>
        <v/>
      </c>
      <c r="AE119" s="28">
        <f>IFERROR(LOOKUP(AD119,{0;0.01;0.1;1;10;100},{"Muy baja";"Muy baja";"Baja";"Media";"Alta";"Muy alta"}),"")</f>
        <v/>
      </c>
      <c r="AF119" s="30">
        <f>T119*AD119</f>
        <v/>
      </c>
      <c r="AG119" s="28">
        <f>IFERROR(LOOKUP(AF119,{0;0.5;5;25},{"Bajo";"Medio";"Alto";"Crítico"}),"")</f>
        <v/>
      </c>
      <c r="AH119" s="28">
        <f>IF(AG119="","",IF(OR(AG119="Crítico",AG119="Alto"),"Mitigar",IF(AG119="Medio","Mitigar","Aceptar y monitorear")))</f>
        <v/>
      </c>
      <c r="AI119" s="21" t="n"/>
      <c r="AJ119" s="21" t="n"/>
      <c r="AK119" s="20" t="n"/>
      <c r="AL119" s="77">
        <f>IFERROR(INDEX(MgAmenEfic,MATCH(SUBSTITUTE($H119,"*","-"),MgAmenClave,0)),0)</f>
        <v/>
      </c>
    </row>
    <row r="120" hidden="1" ht="90" customHeight="1" s="54">
      <c r="B120" s="59" t="inlineStr">
        <is>
          <t>R-0115</t>
        </is>
      </c>
      <c r="C120" s="59" t="inlineStr">
        <is>
          <t>DO-12</t>
        </is>
      </c>
      <c r="D120" s="64">
        <f>IFERROR(INDEX(MgNombre,MATCH($C120,MgActId,0)),"")</f>
        <v/>
      </c>
      <c r="E120" s="64">
        <f>IFERROR(INDEX(MgProceso,MATCH($C120,MgActId,0)),"")</f>
        <v/>
      </c>
      <c r="F120" s="64">
        <f>IFERROR(INDEX(MgTipo,MATCH($C120,MgActId,0)),"")</f>
        <v/>
      </c>
      <c r="G120" s="64">
        <f>IFERROR(INDEX(MgSubtipo,MATCH($C120,MgActId,0)),"")</f>
        <v/>
      </c>
      <c r="H120" s="59" t="inlineStr">
        <is>
          <t>E.10</t>
        </is>
      </c>
      <c r="I120" s="64">
        <f>IFERROR(INDEX(MgAmenNombre,MATCH(SUBSTITUTE($H120,"*","-"),MgAmenClave,0)),"")</f>
        <v/>
      </c>
      <c r="J120" s="28">
        <f>IFERROR(INDEX(MgAmenGrupo,MATCH(SUBSTITUTE($H120,"*","-"),MgAmenClave,0)),"")</f>
        <v/>
      </c>
      <c r="K120" s="64">
        <f>IFERROR(INDEX('1. Matriz de Activos'!$Q$6:$Q$239,MATCH($C120,MgActId,0)),"")</f>
        <v/>
      </c>
      <c r="L120" s="64">
        <f>IFERROR(INDEX('1. Matriz de Activos'!$R$6:$R$239,MATCH($C120,MgActId,0)),"")</f>
        <v/>
      </c>
      <c r="M120" s="64">
        <f>IFERROR(INDEX('1. Matriz de Activos'!$S$6:$S$239,MATCH($C120,MgActId,0)),"")</f>
        <v/>
      </c>
      <c r="N120" s="28">
        <f>IFERROR(INDEX(MgAmenDegD,MATCH(SUBSTITUTE($H120,"*","-"),MgAmenClave,0)),"No aplica")</f>
        <v/>
      </c>
      <c r="O120" s="28">
        <f>IFERROR(INDEX(MgAmenDegI,MATCH(SUBSTITUTE($H120,"*","-"),MgAmenClave,0)),"No aplica")</f>
        <v/>
      </c>
      <c r="P120" s="28">
        <f>IFERROR(INDEX(MgAmenDegC,MATCH(SUBSTITUTE($H120,"*","-"),MgAmenClave,0)),"No aplica")</f>
        <v/>
      </c>
      <c r="Q120" s="29">
        <f>IFERROR(VLOOKUP(K120,MgValor,2,0)*VLOOKUP(N120,MgDeg,2,0),0)</f>
        <v/>
      </c>
      <c r="R120" s="29">
        <f>IFERROR(VLOOKUP(L120,MgValor,2,0)*VLOOKUP(O120,MgDeg,2,0),0)</f>
        <v/>
      </c>
      <c r="S120" s="29">
        <f>IFERROR(VLOOKUP(M120,MgValor,2,0)*VLOOKUP(P120,MgDeg,2,0),0)</f>
        <v/>
      </c>
      <c r="T120" s="30">
        <f>MAX(Q120:S120)</f>
        <v/>
      </c>
      <c r="U120" s="28">
        <f>IFERROR(LOOKUP(T120,{0;0.5;1.5;3;4.5},{"Despreciable";"Bajo";"Medio";"Alto";"Muy alto"}),"")</f>
        <v/>
      </c>
      <c r="V120" s="13">
        <f>IFERROR(INDEX(MgAmenFrec,MATCH(SUBSTITUTE($H120,"*","-"),MgAmenClave,0)),"")</f>
        <v/>
      </c>
      <c r="W120" s="28">
        <f>IFERROR(LOOKUP(X120,{0;0.01;0.1;1;10;100},{"Muy baja";"Muy baja";"Baja";"Media";"Alta";"Muy alta"}),"")</f>
        <v/>
      </c>
      <c r="X120" s="31">
        <f>IFERROR(VLOOKUP(V120,MgFrec,2,0),0)</f>
        <v/>
      </c>
      <c r="Y120" s="30">
        <f>T120*X120</f>
        <v/>
      </c>
      <c r="Z120" s="28">
        <f>IFERROR(LOOKUP(Y120,{0;0.5;5;25},{"Bajo";"Medio";"Alto";"Crítico"}),"")</f>
        <v/>
      </c>
      <c r="AA120" s="64">
        <f>IF(T120&gt;=3,IF(X120&gt;=1,"Zona 1 — Crítica: impacto alto y ocurre al menos una vez al año","Zona 4 — Catastrófica poco probable: impacto alto pero excepcional"),IF(AND(T120&lt;1.5,X120&lt;1),"Zona 3 — Asumible: impacto bajo y muy poco frecuente","Zona 2 — Atención: riesgo intermedio"))</f>
        <v/>
      </c>
      <c r="AB120" s="64">
        <f>IFERROR(INDEX(MgAmenCtrl,MATCH(SUBSTITUTE($H120,"*","-"),MgAmenClave,0)),"")</f>
        <v/>
      </c>
      <c r="AC120" s="20" t="n"/>
      <c r="AD120" s="31">
        <f>IFERROR($X120*(1-IF($AC120="",$AL120,VLOOKUP($AC120,MgMad,2,0))),"")</f>
        <v/>
      </c>
      <c r="AE120" s="28">
        <f>IFERROR(LOOKUP(AD120,{0;0.01;0.1;1;10;100},{"Muy baja";"Muy baja";"Baja";"Media";"Alta";"Muy alta"}),"")</f>
        <v/>
      </c>
      <c r="AF120" s="30">
        <f>T120*AD120</f>
        <v/>
      </c>
      <c r="AG120" s="28">
        <f>IFERROR(LOOKUP(AF120,{0;0.5;5;25},{"Bajo";"Medio";"Alto";"Crítico"}),"")</f>
        <v/>
      </c>
      <c r="AH120" s="28">
        <f>IF(AG120="","",IF(OR(AG120="Crítico",AG120="Alto"),"Mitigar",IF(AG120="Medio","Mitigar","Aceptar y monitorear")))</f>
        <v/>
      </c>
      <c r="AI120" s="21" t="n"/>
      <c r="AJ120" s="21" t="n"/>
      <c r="AK120" s="20" t="n"/>
      <c r="AL120" s="77">
        <f>IFERROR(INDEX(MgAmenEfic,MATCH(SUBSTITUTE($H120,"*","-"),MgAmenClave,0)),0)</f>
        <v/>
      </c>
    </row>
    <row r="121" hidden="1" ht="90" customHeight="1" s="54">
      <c r="B121" s="59" t="inlineStr">
        <is>
          <t>R-0116</t>
        </is>
      </c>
      <c r="C121" s="59" t="inlineStr">
        <is>
          <t>DO-12</t>
        </is>
      </c>
      <c r="D121" s="64">
        <f>IFERROR(INDEX(MgNombre,MATCH($C121,MgActId,0)),"")</f>
        <v/>
      </c>
      <c r="E121" s="64">
        <f>IFERROR(INDEX(MgProceso,MATCH($C121,MgActId,0)),"")</f>
        <v/>
      </c>
      <c r="F121" s="64">
        <f>IFERROR(INDEX(MgTipo,MATCH($C121,MgActId,0)),"")</f>
        <v/>
      </c>
      <c r="G121" s="64">
        <f>IFERROR(INDEX(MgSubtipo,MATCH($C121,MgActId,0)),"")</f>
        <v/>
      </c>
      <c r="H121" s="59" t="inlineStr">
        <is>
          <t>E.14</t>
        </is>
      </c>
      <c r="I121" s="64">
        <f>IFERROR(INDEX(MgAmenNombre,MATCH(SUBSTITUTE($H121,"*","-"),MgAmenClave,0)),"")</f>
        <v/>
      </c>
      <c r="J121" s="28">
        <f>IFERROR(INDEX(MgAmenGrupo,MATCH(SUBSTITUTE($H121,"*","-"),MgAmenClave,0)),"")</f>
        <v/>
      </c>
      <c r="K121" s="64">
        <f>IFERROR(INDEX('1. Matriz de Activos'!$Q$6:$Q$239,MATCH($C121,MgActId,0)),"")</f>
        <v/>
      </c>
      <c r="L121" s="64">
        <f>IFERROR(INDEX('1. Matriz de Activos'!$R$6:$R$239,MATCH($C121,MgActId,0)),"")</f>
        <v/>
      </c>
      <c r="M121" s="64">
        <f>IFERROR(INDEX('1. Matriz de Activos'!$S$6:$S$239,MATCH($C121,MgActId,0)),"")</f>
        <v/>
      </c>
      <c r="N121" s="28">
        <f>IFERROR(INDEX(MgAmenDegD,MATCH(SUBSTITUTE($H121,"*","-"),MgAmenClave,0)),"No aplica")</f>
        <v/>
      </c>
      <c r="O121" s="28">
        <f>IFERROR(INDEX(MgAmenDegI,MATCH(SUBSTITUTE($H121,"*","-"),MgAmenClave,0)),"No aplica")</f>
        <v/>
      </c>
      <c r="P121" s="28">
        <f>IFERROR(INDEX(MgAmenDegC,MATCH(SUBSTITUTE($H121,"*","-"),MgAmenClave,0)),"No aplica")</f>
        <v/>
      </c>
      <c r="Q121" s="29">
        <f>IFERROR(VLOOKUP(K121,MgValor,2,0)*VLOOKUP(N121,MgDeg,2,0),0)</f>
        <v/>
      </c>
      <c r="R121" s="29">
        <f>IFERROR(VLOOKUP(L121,MgValor,2,0)*VLOOKUP(O121,MgDeg,2,0),0)</f>
        <v/>
      </c>
      <c r="S121" s="29">
        <f>IFERROR(VLOOKUP(M121,MgValor,2,0)*VLOOKUP(P121,MgDeg,2,0),0)</f>
        <v/>
      </c>
      <c r="T121" s="30">
        <f>MAX(Q121:S121)</f>
        <v/>
      </c>
      <c r="U121" s="28">
        <f>IFERROR(LOOKUP(T121,{0;0.5;1.5;3;4.5},{"Despreciable";"Bajo";"Medio";"Alto";"Muy alto"}),"")</f>
        <v/>
      </c>
      <c r="V121" s="13">
        <f>IFERROR(INDEX(MgAmenFrec,MATCH(SUBSTITUTE($H121,"*","-"),MgAmenClave,0)),"")</f>
        <v/>
      </c>
      <c r="W121" s="28">
        <f>IFERROR(LOOKUP(X121,{0;0.01;0.1;1;10;100},{"Muy baja";"Muy baja";"Baja";"Media";"Alta";"Muy alta"}),"")</f>
        <v/>
      </c>
      <c r="X121" s="31">
        <f>IFERROR(VLOOKUP(V121,MgFrec,2,0),0)</f>
        <v/>
      </c>
      <c r="Y121" s="30">
        <f>T121*X121</f>
        <v/>
      </c>
      <c r="Z121" s="28">
        <f>IFERROR(LOOKUP(Y121,{0;0.5;5;25},{"Bajo";"Medio";"Alto";"Crítico"}),"")</f>
        <v/>
      </c>
      <c r="AA121" s="64">
        <f>IF(T121&gt;=3,IF(X121&gt;=1,"Zona 1 — Crítica: impacto alto y ocurre al menos una vez al año","Zona 4 — Catastrófica poco probable: impacto alto pero excepcional"),IF(AND(T121&lt;1.5,X121&lt;1),"Zona 3 — Asumible: impacto bajo y muy poco frecuente","Zona 2 — Atención: riesgo intermedio"))</f>
        <v/>
      </c>
      <c r="AB121" s="64">
        <f>IFERROR(INDEX(MgAmenCtrl,MATCH(SUBSTITUTE($H121,"*","-"),MgAmenClave,0)),"")</f>
        <v/>
      </c>
      <c r="AC121" s="20" t="n"/>
      <c r="AD121" s="31">
        <f>IFERROR($X121*(1-IF($AC121="",$AL121,VLOOKUP($AC121,MgMad,2,0))),"")</f>
        <v/>
      </c>
      <c r="AE121" s="28">
        <f>IFERROR(LOOKUP(AD121,{0;0.01;0.1;1;10;100},{"Muy baja";"Muy baja";"Baja";"Media";"Alta";"Muy alta"}),"")</f>
        <v/>
      </c>
      <c r="AF121" s="30">
        <f>T121*AD121</f>
        <v/>
      </c>
      <c r="AG121" s="28">
        <f>IFERROR(LOOKUP(AF121,{0;0.5;5;25},{"Bajo";"Medio";"Alto";"Crítico"}),"")</f>
        <v/>
      </c>
      <c r="AH121" s="28">
        <f>IF(AG121="","",IF(OR(AG121="Crítico",AG121="Alto"),"Mitigar",IF(AG121="Medio","Mitigar","Aceptar y monitorear")))</f>
        <v/>
      </c>
      <c r="AI121" s="21" t="n"/>
      <c r="AJ121" s="21" t="n"/>
      <c r="AK121" s="20" t="n"/>
      <c r="AL121" s="77">
        <f>IFERROR(INDEX(MgAmenEfic,MATCH(SUBSTITUTE($H121,"*","-"),MgAmenClave,0)),0)</f>
        <v/>
      </c>
    </row>
    <row r="122" hidden="1" ht="90" customHeight="1" s="54">
      <c r="B122" s="59" t="inlineStr">
        <is>
          <t>R-0117</t>
        </is>
      </c>
      <c r="C122" s="59" t="inlineStr">
        <is>
          <t>DO-12</t>
        </is>
      </c>
      <c r="D122" s="64">
        <f>IFERROR(INDEX(MgNombre,MATCH($C122,MgActId,0)),"")</f>
        <v/>
      </c>
      <c r="E122" s="64">
        <f>IFERROR(INDEX(MgProceso,MATCH($C122,MgActId,0)),"")</f>
        <v/>
      </c>
      <c r="F122" s="64">
        <f>IFERROR(INDEX(MgTipo,MATCH($C122,MgActId,0)),"")</f>
        <v/>
      </c>
      <c r="G122" s="64">
        <f>IFERROR(INDEX(MgSubtipo,MATCH($C122,MgActId,0)),"")</f>
        <v/>
      </c>
      <c r="H122" s="59" t="inlineStr">
        <is>
          <t>E.15</t>
        </is>
      </c>
      <c r="I122" s="64">
        <f>IFERROR(INDEX(MgAmenNombre,MATCH(SUBSTITUTE($H122,"*","-"),MgAmenClave,0)),"")</f>
        <v/>
      </c>
      <c r="J122" s="28">
        <f>IFERROR(INDEX(MgAmenGrupo,MATCH(SUBSTITUTE($H122,"*","-"),MgAmenClave,0)),"")</f>
        <v/>
      </c>
      <c r="K122" s="64">
        <f>IFERROR(INDEX('1. Matriz de Activos'!$Q$6:$Q$239,MATCH($C122,MgActId,0)),"")</f>
        <v/>
      </c>
      <c r="L122" s="64">
        <f>IFERROR(INDEX('1. Matriz de Activos'!$R$6:$R$239,MATCH($C122,MgActId,0)),"")</f>
        <v/>
      </c>
      <c r="M122" s="64">
        <f>IFERROR(INDEX('1. Matriz de Activos'!$S$6:$S$239,MATCH($C122,MgActId,0)),"")</f>
        <v/>
      </c>
      <c r="N122" s="28">
        <f>IFERROR(INDEX(MgAmenDegD,MATCH(SUBSTITUTE($H122,"*","-"),MgAmenClave,0)),"No aplica")</f>
        <v/>
      </c>
      <c r="O122" s="28">
        <f>IFERROR(INDEX(MgAmenDegI,MATCH(SUBSTITUTE($H122,"*","-"),MgAmenClave,0)),"No aplica")</f>
        <v/>
      </c>
      <c r="P122" s="28">
        <f>IFERROR(INDEX(MgAmenDegC,MATCH(SUBSTITUTE($H122,"*","-"),MgAmenClave,0)),"No aplica")</f>
        <v/>
      </c>
      <c r="Q122" s="29">
        <f>IFERROR(VLOOKUP(K122,MgValor,2,0)*VLOOKUP(N122,MgDeg,2,0),0)</f>
        <v/>
      </c>
      <c r="R122" s="29">
        <f>IFERROR(VLOOKUP(L122,MgValor,2,0)*VLOOKUP(O122,MgDeg,2,0),0)</f>
        <v/>
      </c>
      <c r="S122" s="29">
        <f>IFERROR(VLOOKUP(M122,MgValor,2,0)*VLOOKUP(P122,MgDeg,2,0),0)</f>
        <v/>
      </c>
      <c r="T122" s="30">
        <f>MAX(Q122:S122)</f>
        <v/>
      </c>
      <c r="U122" s="28">
        <f>IFERROR(LOOKUP(T122,{0;0.5;1.5;3;4.5},{"Despreciable";"Bajo";"Medio";"Alto";"Muy alto"}),"")</f>
        <v/>
      </c>
      <c r="V122" s="13">
        <f>IFERROR(INDEX(MgAmenFrec,MATCH(SUBSTITUTE($H122,"*","-"),MgAmenClave,0)),"")</f>
        <v/>
      </c>
      <c r="W122" s="28">
        <f>IFERROR(LOOKUP(X122,{0;0.01;0.1;1;10;100},{"Muy baja";"Muy baja";"Baja";"Media";"Alta";"Muy alta"}),"")</f>
        <v/>
      </c>
      <c r="X122" s="31">
        <f>IFERROR(VLOOKUP(V122,MgFrec,2,0),0)</f>
        <v/>
      </c>
      <c r="Y122" s="30">
        <f>T122*X122</f>
        <v/>
      </c>
      <c r="Z122" s="28">
        <f>IFERROR(LOOKUP(Y122,{0;0.5;5;25},{"Bajo";"Medio";"Alto";"Crítico"}),"")</f>
        <v/>
      </c>
      <c r="AA122" s="64">
        <f>IF(T122&gt;=3,IF(X122&gt;=1,"Zona 1 — Crítica: impacto alto y ocurre al menos una vez al año","Zona 4 — Catastrófica poco probable: impacto alto pero excepcional"),IF(AND(T122&lt;1.5,X122&lt;1),"Zona 3 — Asumible: impacto bajo y muy poco frecuente","Zona 2 — Atención: riesgo intermedio"))</f>
        <v/>
      </c>
      <c r="AB122" s="64">
        <f>IFERROR(INDEX(MgAmenCtrl,MATCH(SUBSTITUTE($H122,"*","-"),MgAmenClave,0)),"")</f>
        <v/>
      </c>
      <c r="AC122" s="20" t="n"/>
      <c r="AD122" s="31">
        <f>IFERROR($X122*(1-IF($AC122="",$AL122,VLOOKUP($AC122,MgMad,2,0))),"")</f>
        <v/>
      </c>
      <c r="AE122" s="28">
        <f>IFERROR(LOOKUP(AD122,{0;0.01;0.1;1;10;100},{"Muy baja";"Muy baja";"Baja";"Media";"Alta";"Muy alta"}),"")</f>
        <v/>
      </c>
      <c r="AF122" s="30">
        <f>T122*AD122</f>
        <v/>
      </c>
      <c r="AG122" s="28">
        <f>IFERROR(LOOKUP(AF122,{0;0.5;5;25},{"Bajo";"Medio";"Alto";"Crítico"}),"")</f>
        <v/>
      </c>
      <c r="AH122" s="28">
        <f>IF(AG122="","",IF(OR(AG122="Crítico",AG122="Alto"),"Mitigar",IF(AG122="Medio","Mitigar","Aceptar y monitorear")))</f>
        <v/>
      </c>
      <c r="AI122" s="21" t="n"/>
      <c r="AJ122" s="21" t="n"/>
      <c r="AK122" s="20" t="n"/>
      <c r="AL122" s="77">
        <f>IFERROR(INDEX(MgAmenEfic,MATCH(SUBSTITUTE($H122,"*","-"),MgAmenClave,0)),0)</f>
        <v/>
      </c>
    </row>
    <row r="123" hidden="1" ht="60" customHeight="1" s="54">
      <c r="B123" s="59" t="inlineStr">
        <is>
          <t>R-0118</t>
        </is>
      </c>
      <c r="C123" s="59" t="inlineStr">
        <is>
          <t>DO-12</t>
        </is>
      </c>
      <c r="D123" s="64">
        <f>IFERROR(INDEX(MgNombre,MATCH($C123,MgActId,0)),"")</f>
        <v/>
      </c>
      <c r="E123" s="64">
        <f>IFERROR(INDEX(MgProceso,MATCH($C123,MgActId,0)),"")</f>
        <v/>
      </c>
      <c r="F123" s="64">
        <f>IFERROR(INDEX(MgTipo,MATCH($C123,MgActId,0)),"")</f>
        <v/>
      </c>
      <c r="G123" s="64">
        <f>IFERROR(INDEX(MgSubtipo,MATCH($C123,MgActId,0)),"")</f>
        <v/>
      </c>
      <c r="H123" s="59" t="inlineStr">
        <is>
          <t>E.18</t>
        </is>
      </c>
      <c r="I123" s="64">
        <f>IFERROR(INDEX(MgAmenNombre,MATCH(SUBSTITUTE($H123,"*","-"),MgAmenClave,0)),"")</f>
        <v/>
      </c>
      <c r="J123" s="28">
        <f>IFERROR(INDEX(MgAmenGrupo,MATCH(SUBSTITUTE($H123,"*","-"),MgAmenClave,0)),"")</f>
        <v/>
      </c>
      <c r="K123" s="64">
        <f>IFERROR(INDEX('1. Matriz de Activos'!$Q$6:$Q$239,MATCH($C123,MgActId,0)),"")</f>
        <v/>
      </c>
      <c r="L123" s="64">
        <f>IFERROR(INDEX('1. Matriz de Activos'!$R$6:$R$239,MATCH($C123,MgActId,0)),"")</f>
        <v/>
      </c>
      <c r="M123" s="64">
        <f>IFERROR(INDEX('1. Matriz de Activos'!$S$6:$S$239,MATCH($C123,MgActId,0)),"")</f>
        <v/>
      </c>
      <c r="N123" s="28">
        <f>IFERROR(INDEX(MgAmenDegD,MATCH(SUBSTITUTE($H123,"*","-"),MgAmenClave,0)),"No aplica")</f>
        <v/>
      </c>
      <c r="O123" s="28">
        <f>IFERROR(INDEX(MgAmenDegI,MATCH(SUBSTITUTE($H123,"*","-"),MgAmenClave,0)),"No aplica")</f>
        <v/>
      </c>
      <c r="P123" s="28">
        <f>IFERROR(INDEX(MgAmenDegC,MATCH(SUBSTITUTE($H123,"*","-"),MgAmenClave,0)),"No aplica")</f>
        <v/>
      </c>
      <c r="Q123" s="29">
        <f>IFERROR(VLOOKUP(K123,MgValor,2,0)*VLOOKUP(N123,MgDeg,2,0),0)</f>
        <v/>
      </c>
      <c r="R123" s="29">
        <f>IFERROR(VLOOKUP(L123,MgValor,2,0)*VLOOKUP(O123,MgDeg,2,0),0)</f>
        <v/>
      </c>
      <c r="S123" s="29">
        <f>IFERROR(VLOOKUP(M123,MgValor,2,0)*VLOOKUP(P123,MgDeg,2,0),0)</f>
        <v/>
      </c>
      <c r="T123" s="30">
        <f>MAX(Q123:S123)</f>
        <v/>
      </c>
      <c r="U123" s="28">
        <f>IFERROR(LOOKUP(T123,{0;0.5;1.5;3;4.5},{"Despreciable";"Bajo";"Medio";"Alto";"Muy alto"}),"")</f>
        <v/>
      </c>
      <c r="V123" s="13">
        <f>IFERROR(INDEX(MgAmenFrec,MATCH(SUBSTITUTE($H123,"*","-"),MgAmenClave,0)),"")</f>
        <v/>
      </c>
      <c r="W123" s="28">
        <f>IFERROR(LOOKUP(X123,{0;0.01;0.1;1;10;100},{"Muy baja";"Muy baja";"Baja";"Media";"Alta";"Muy alta"}),"")</f>
        <v/>
      </c>
      <c r="X123" s="31">
        <f>IFERROR(VLOOKUP(V123,MgFrec,2,0),0)</f>
        <v/>
      </c>
      <c r="Y123" s="30">
        <f>T123*X123</f>
        <v/>
      </c>
      <c r="Z123" s="28">
        <f>IFERROR(LOOKUP(Y123,{0;0.5;5;25},{"Bajo";"Medio";"Alto";"Crítico"}),"")</f>
        <v/>
      </c>
      <c r="AA123" s="64">
        <f>IF(T123&gt;=3,IF(X123&gt;=1,"Zona 1 — Crítica: impacto alto y ocurre al menos una vez al año","Zona 4 — Catastrófica poco probable: impacto alto pero excepcional"),IF(AND(T123&lt;1.5,X123&lt;1),"Zona 3 — Asumible: impacto bajo y muy poco frecuente","Zona 2 — Atención: riesgo intermedio"))</f>
        <v/>
      </c>
      <c r="AB123" s="64">
        <f>IFERROR(INDEX(MgAmenCtrl,MATCH(SUBSTITUTE($H123,"*","-"),MgAmenClave,0)),"")</f>
        <v/>
      </c>
      <c r="AC123" s="20" t="n"/>
      <c r="AD123" s="31">
        <f>IFERROR($X123*(1-IF($AC123="",$AL123,VLOOKUP($AC123,MgMad,2,0))),"")</f>
        <v/>
      </c>
      <c r="AE123" s="28">
        <f>IFERROR(LOOKUP(AD123,{0;0.01;0.1;1;10;100},{"Muy baja";"Muy baja";"Baja";"Media";"Alta";"Muy alta"}),"")</f>
        <v/>
      </c>
      <c r="AF123" s="30">
        <f>T123*AD123</f>
        <v/>
      </c>
      <c r="AG123" s="28">
        <f>IFERROR(LOOKUP(AF123,{0;0.5;5;25},{"Bajo";"Medio";"Alto";"Crítico"}),"")</f>
        <v/>
      </c>
      <c r="AH123" s="28">
        <f>IF(AG123="","",IF(OR(AG123="Crítico",AG123="Alto"),"Mitigar",IF(AG123="Medio","Mitigar","Aceptar y monitorear")))</f>
        <v/>
      </c>
      <c r="AI123" s="21" t="n"/>
      <c r="AJ123" s="21" t="n"/>
      <c r="AK123" s="20" t="n"/>
      <c r="AL123" s="77">
        <f>IFERROR(INDEX(MgAmenEfic,MATCH(SUBSTITUTE($H123,"*","-"),MgAmenClave,0)),0)</f>
        <v/>
      </c>
    </row>
    <row r="124" hidden="1" ht="105" customHeight="1" s="54">
      <c r="B124" s="59" t="inlineStr">
        <is>
          <t>R-0119</t>
        </is>
      </c>
      <c r="C124" s="59" t="inlineStr">
        <is>
          <t>DO-12</t>
        </is>
      </c>
      <c r="D124" s="64">
        <f>IFERROR(INDEX(MgNombre,MATCH($C124,MgActId,0)),"")</f>
        <v/>
      </c>
      <c r="E124" s="64">
        <f>IFERROR(INDEX(MgProceso,MATCH($C124,MgActId,0)),"")</f>
        <v/>
      </c>
      <c r="F124" s="64">
        <f>IFERROR(INDEX(MgTipo,MATCH($C124,MgActId,0)),"")</f>
        <v/>
      </c>
      <c r="G124" s="64">
        <f>IFERROR(INDEX(MgSubtipo,MATCH($C124,MgActId,0)),"")</f>
        <v/>
      </c>
      <c r="H124" s="59" t="inlineStr">
        <is>
          <t>E.19</t>
        </is>
      </c>
      <c r="I124" s="64">
        <f>IFERROR(INDEX(MgAmenNombre,MATCH(SUBSTITUTE($H124,"*","-"),MgAmenClave,0)),"")</f>
        <v/>
      </c>
      <c r="J124" s="28">
        <f>IFERROR(INDEX(MgAmenGrupo,MATCH(SUBSTITUTE($H124,"*","-"),MgAmenClave,0)),"")</f>
        <v/>
      </c>
      <c r="K124" s="64">
        <f>IFERROR(INDEX('1. Matriz de Activos'!$Q$6:$Q$239,MATCH($C124,MgActId,0)),"")</f>
        <v/>
      </c>
      <c r="L124" s="64">
        <f>IFERROR(INDEX('1. Matriz de Activos'!$R$6:$R$239,MATCH($C124,MgActId,0)),"")</f>
        <v/>
      </c>
      <c r="M124" s="64">
        <f>IFERROR(INDEX('1. Matriz de Activos'!$S$6:$S$239,MATCH($C124,MgActId,0)),"")</f>
        <v/>
      </c>
      <c r="N124" s="28">
        <f>IFERROR(INDEX(MgAmenDegD,MATCH(SUBSTITUTE($H124,"*","-"),MgAmenClave,0)),"No aplica")</f>
        <v/>
      </c>
      <c r="O124" s="28">
        <f>IFERROR(INDEX(MgAmenDegI,MATCH(SUBSTITUTE($H124,"*","-"),MgAmenClave,0)),"No aplica")</f>
        <v/>
      </c>
      <c r="P124" s="28">
        <f>IFERROR(INDEX(MgAmenDegC,MATCH(SUBSTITUTE($H124,"*","-"),MgAmenClave,0)),"No aplica")</f>
        <v/>
      </c>
      <c r="Q124" s="29">
        <f>IFERROR(VLOOKUP(K124,MgValor,2,0)*VLOOKUP(N124,MgDeg,2,0),0)</f>
        <v/>
      </c>
      <c r="R124" s="29">
        <f>IFERROR(VLOOKUP(L124,MgValor,2,0)*VLOOKUP(O124,MgDeg,2,0),0)</f>
        <v/>
      </c>
      <c r="S124" s="29">
        <f>IFERROR(VLOOKUP(M124,MgValor,2,0)*VLOOKUP(P124,MgDeg,2,0),0)</f>
        <v/>
      </c>
      <c r="T124" s="30">
        <f>MAX(Q124:S124)</f>
        <v/>
      </c>
      <c r="U124" s="28">
        <f>IFERROR(LOOKUP(T124,{0;0.5;1.5;3;4.5},{"Despreciable";"Bajo";"Medio";"Alto";"Muy alto"}),"")</f>
        <v/>
      </c>
      <c r="V124" s="13">
        <f>IFERROR(INDEX(MgAmenFrec,MATCH(SUBSTITUTE($H124,"*","-"),MgAmenClave,0)),"")</f>
        <v/>
      </c>
      <c r="W124" s="28">
        <f>IFERROR(LOOKUP(X124,{0;0.01;0.1;1;10;100},{"Muy baja";"Muy baja";"Baja";"Media";"Alta";"Muy alta"}),"")</f>
        <v/>
      </c>
      <c r="X124" s="31">
        <f>IFERROR(VLOOKUP(V124,MgFrec,2,0),0)</f>
        <v/>
      </c>
      <c r="Y124" s="30">
        <f>T124*X124</f>
        <v/>
      </c>
      <c r="Z124" s="28">
        <f>IFERROR(LOOKUP(Y124,{0;0.5;5;25},{"Bajo";"Medio";"Alto";"Crítico"}),"")</f>
        <v/>
      </c>
      <c r="AA124" s="64">
        <f>IF(T124&gt;=3,IF(X124&gt;=1,"Zona 1 — Crítica: impacto alto y ocurre al menos una vez al año","Zona 4 — Catastrófica poco probable: impacto alto pero excepcional"),IF(AND(T124&lt;1.5,X124&lt;1),"Zona 3 — Asumible: impacto bajo y muy poco frecuente","Zona 2 — Atención: riesgo intermedio"))</f>
        <v/>
      </c>
      <c r="AB124" s="64">
        <f>IFERROR(INDEX(MgAmenCtrl,MATCH(SUBSTITUTE($H124,"*","-"),MgAmenClave,0)),"")</f>
        <v/>
      </c>
      <c r="AC124" s="20" t="n"/>
      <c r="AD124" s="31">
        <f>IFERROR($X124*(1-IF($AC124="",$AL124,VLOOKUP($AC124,MgMad,2,0))),"")</f>
        <v/>
      </c>
      <c r="AE124" s="28">
        <f>IFERROR(LOOKUP(AD124,{0;0.01;0.1;1;10;100},{"Muy baja";"Muy baja";"Baja";"Media";"Alta";"Muy alta"}),"")</f>
        <v/>
      </c>
      <c r="AF124" s="30">
        <f>T124*AD124</f>
        <v/>
      </c>
      <c r="AG124" s="28">
        <f>IFERROR(LOOKUP(AF124,{0;0.5;5;25},{"Bajo";"Medio";"Alto";"Crítico"}),"")</f>
        <v/>
      </c>
      <c r="AH124" s="28">
        <f>IF(AG124="","",IF(OR(AG124="Crítico",AG124="Alto"),"Mitigar",IF(AG124="Medio","Mitigar","Aceptar y monitorear")))</f>
        <v/>
      </c>
      <c r="AI124" s="21" t="n"/>
      <c r="AJ124" s="21" t="n"/>
      <c r="AK124" s="20" t="n"/>
      <c r="AL124" s="77">
        <f>IFERROR(INDEX(MgAmenEfic,MATCH(SUBSTITUTE($H124,"*","-"),MgAmenClave,0)),0)</f>
        <v/>
      </c>
    </row>
    <row r="125" hidden="1" ht="45" customHeight="1" s="54">
      <c r="B125" s="59" t="inlineStr">
        <is>
          <t>R-0120</t>
        </is>
      </c>
      <c r="C125" s="59" t="inlineStr">
        <is>
          <t>DO-12</t>
        </is>
      </c>
      <c r="D125" s="64">
        <f>IFERROR(INDEX(MgNombre,MATCH($C125,MgActId,0)),"")</f>
        <v/>
      </c>
      <c r="E125" s="64">
        <f>IFERROR(INDEX(MgProceso,MATCH($C125,MgActId,0)),"")</f>
        <v/>
      </c>
      <c r="F125" s="64">
        <f>IFERROR(INDEX(MgTipo,MATCH($C125,MgActId,0)),"")</f>
        <v/>
      </c>
      <c r="G125" s="64">
        <f>IFERROR(INDEX(MgSubtipo,MATCH($C125,MgActId,0)),"")</f>
        <v/>
      </c>
      <c r="H125" s="59" t="inlineStr">
        <is>
          <t>E.24</t>
        </is>
      </c>
      <c r="I125" s="64">
        <f>IFERROR(INDEX(MgAmenNombre,MATCH(SUBSTITUTE($H125,"*","-"),MgAmenClave,0)),"")</f>
        <v/>
      </c>
      <c r="J125" s="28">
        <f>IFERROR(INDEX(MgAmenGrupo,MATCH(SUBSTITUTE($H125,"*","-"),MgAmenClave,0)),"")</f>
        <v/>
      </c>
      <c r="K125" s="64">
        <f>IFERROR(INDEX('1. Matriz de Activos'!$Q$6:$Q$239,MATCH($C125,MgActId,0)),"")</f>
        <v/>
      </c>
      <c r="L125" s="64">
        <f>IFERROR(INDEX('1. Matriz de Activos'!$R$6:$R$239,MATCH($C125,MgActId,0)),"")</f>
        <v/>
      </c>
      <c r="M125" s="64">
        <f>IFERROR(INDEX('1. Matriz de Activos'!$S$6:$S$239,MATCH($C125,MgActId,0)),"")</f>
        <v/>
      </c>
      <c r="N125" s="28">
        <f>IFERROR(INDEX(MgAmenDegD,MATCH(SUBSTITUTE($H125,"*","-"),MgAmenClave,0)),"No aplica")</f>
        <v/>
      </c>
      <c r="O125" s="28">
        <f>IFERROR(INDEX(MgAmenDegI,MATCH(SUBSTITUTE($H125,"*","-"),MgAmenClave,0)),"No aplica")</f>
        <v/>
      </c>
      <c r="P125" s="28">
        <f>IFERROR(INDEX(MgAmenDegC,MATCH(SUBSTITUTE($H125,"*","-"),MgAmenClave,0)),"No aplica")</f>
        <v/>
      </c>
      <c r="Q125" s="29">
        <f>IFERROR(VLOOKUP(K125,MgValor,2,0)*VLOOKUP(N125,MgDeg,2,0),0)</f>
        <v/>
      </c>
      <c r="R125" s="29">
        <f>IFERROR(VLOOKUP(L125,MgValor,2,0)*VLOOKUP(O125,MgDeg,2,0),0)</f>
        <v/>
      </c>
      <c r="S125" s="29">
        <f>IFERROR(VLOOKUP(M125,MgValor,2,0)*VLOOKUP(P125,MgDeg,2,0),0)</f>
        <v/>
      </c>
      <c r="T125" s="30">
        <f>MAX(Q125:S125)</f>
        <v/>
      </c>
      <c r="U125" s="28">
        <f>IFERROR(LOOKUP(T125,{0;0.5;1.5;3;4.5},{"Despreciable";"Bajo";"Medio";"Alto";"Muy alto"}),"")</f>
        <v/>
      </c>
      <c r="V125" s="13">
        <f>IFERROR(INDEX(MgAmenFrec,MATCH(SUBSTITUTE($H125,"*","-"),MgAmenClave,0)),"")</f>
        <v/>
      </c>
      <c r="W125" s="28">
        <f>IFERROR(LOOKUP(X125,{0;0.01;0.1;1;10;100},{"Muy baja";"Muy baja";"Baja";"Media";"Alta";"Muy alta"}),"")</f>
        <v/>
      </c>
      <c r="X125" s="31">
        <f>IFERROR(VLOOKUP(V125,MgFrec,2,0),0)</f>
        <v/>
      </c>
      <c r="Y125" s="30">
        <f>T125*X125</f>
        <v/>
      </c>
      <c r="Z125" s="28">
        <f>IFERROR(LOOKUP(Y125,{0;0.5;5;25},{"Bajo";"Medio";"Alto";"Crítico"}),"")</f>
        <v/>
      </c>
      <c r="AA125" s="64">
        <f>IF(T125&gt;=3,IF(X125&gt;=1,"Zona 1 — Crítica: impacto alto y ocurre al menos una vez al año","Zona 4 — Catastrófica poco probable: impacto alto pero excepcional"),IF(AND(T125&lt;1.5,X125&lt;1),"Zona 3 — Asumible: impacto bajo y muy poco frecuente","Zona 2 — Atención: riesgo intermedio"))</f>
        <v/>
      </c>
      <c r="AB125" s="64">
        <f>IFERROR(INDEX(MgAmenCtrl,MATCH(SUBSTITUTE($H125,"*","-"),MgAmenClave,0)),"")</f>
        <v/>
      </c>
      <c r="AC125" s="20" t="n"/>
      <c r="AD125" s="31">
        <f>IFERROR($X125*(1-IF($AC125="",$AL125,VLOOKUP($AC125,MgMad,2,0))),"")</f>
        <v/>
      </c>
      <c r="AE125" s="28">
        <f>IFERROR(LOOKUP(AD125,{0;0.01;0.1;1;10;100},{"Muy baja";"Muy baja";"Baja";"Media";"Alta";"Muy alta"}),"")</f>
        <v/>
      </c>
      <c r="AF125" s="30">
        <f>T125*AD125</f>
        <v/>
      </c>
      <c r="AG125" s="28">
        <f>IFERROR(LOOKUP(AF125,{0;0.5;5;25},{"Bajo";"Medio";"Alto";"Crítico"}),"")</f>
        <v/>
      </c>
      <c r="AH125" s="28">
        <f>IF(AG125="","",IF(OR(AG125="Crítico",AG125="Alto"),"Mitigar",IF(AG125="Medio","Mitigar","Aceptar y monitorear")))</f>
        <v/>
      </c>
      <c r="AI125" s="21" t="n"/>
      <c r="AJ125" s="21" t="n"/>
      <c r="AK125" s="20" t="n"/>
      <c r="AL125" s="77">
        <f>IFERROR(INDEX(MgAmenEfic,MATCH(SUBSTITUTE($H125,"*","-"),MgAmenClave,0)),0)</f>
        <v/>
      </c>
    </row>
    <row r="126" hidden="1" ht="75" customHeight="1" s="54">
      <c r="B126" s="59" t="inlineStr">
        <is>
          <t>R-0121</t>
        </is>
      </c>
      <c r="C126" s="59" t="inlineStr">
        <is>
          <t>DO-12</t>
        </is>
      </c>
      <c r="D126" s="64">
        <f>IFERROR(INDEX(MgNombre,MATCH($C126,MgActId,0)),"")</f>
        <v/>
      </c>
      <c r="E126" s="64">
        <f>IFERROR(INDEX(MgProceso,MATCH($C126,MgActId,0)),"")</f>
        <v/>
      </c>
      <c r="F126" s="64">
        <f>IFERROR(INDEX(MgTipo,MATCH($C126,MgActId,0)),"")</f>
        <v/>
      </c>
      <c r="G126" s="64">
        <f>IFERROR(INDEX(MgSubtipo,MATCH($C126,MgActId,0)),"")</f>
        <v/>
      </c>
      <c r="H126" s="59" t="inlineStr">
        <is>
          <t>A.5</t>
        </is>
      </c>
      <c r="I126" s="64">
        <f>IFERROR(INDEX(MgAmenNombre,MATCH(SUBSTITUTE($H126,"*","-"),MgAmenClave,0)),"")</f>
        <v/>
      </c>
      <c r="J126" s="28">
        <f>IFERROR(INDEX(MgAmenGrupo,MATCH(SUBSTITUTE($H126,"*","-"),MgAmenClave,0)),"")</f>
        <v/>
      </c>
      <c r="K126" s="64">
        <f>IFERROR(INDEX('1. Matriz de Activos'!$Q$6:$Q$239,MATCH($C126,MgActId,0)),"")</f>
        <v/>
      </c>
      <c r="L126" s="64">
        <f>IFERROR(INDEX('1. Matriz de Activos'!$R$6:$R$239,MATCH($C126,MgActId,0)),"")</f>
        <v/>
      </c>
      <c r="M126" s="64">
        <f>IFERROR(INDEX('1. Matriz de Activos'!$S$6:$S$239,MATCH($C126,MgActId,0)),"")</f>
        <v/>
      </c>
      <c r="N126" s="28">
        <f>IFERROR(INDEX(MgAmenDegD,MATCH(SUBSTITUTE($H126,"*","-"),MgAmenClave,0)),"No aplica")</f>
        <v/>
      </c>
      <c r="O126" s="28">
        <f>IFERROR(INDEX(MgAmenDegI,MATCH(SUBSTITUTE($H126,"*","-"),MgAmenClave,0)),"No aplica")</f>
        <v/>
      </c>
      <c r="P126" s="28">
        <f>IFERROR(INDEX(MgAmenDegC,MATCH(SUBSTITUTE($H126,"*","-"),MgAmenClave,0)),"No aplica")</f>
        <v/>
      </c>
      <c r="Q126" s="29">
        <f>IFERROR(VLOOKUP(K126,MgValor,2,0)*VLOOKUP(N126,MgDeg,2,0),0)</f>
        <v/>
      </c>
      <c r="R126" s="29">
        <f>IFERROR(VLOOKUP(L126,MgValor,2,0)*VLOOKUP(O126,MgDeg,2,0),0)</f>
        <v/>
      </c>
      <c r="S126" s="29">
        <f>IFERROR(VLOOKUP(M126,MgValor,2,0)*VLOOKUP(P126,MgDeg,2,0),0)</f>
        <v/>
      </c>
      <c r="T126" s="30">
        <f>MAX(Q126:S126)</f>
        <v/>
      </c>
      <c r="U126" s="28">
        <f>IFERROR(LOOKUP(T126,{0;0.5;1.5;3;4.5},{"Despreciable";"Bajo";"Medio";"Alto";"Muy alto"}),"")</f>
        <v/>
      </c>
      <c r="V126" s="13">
        <f>IFERROR(INDEX(MgAmenFrec,MATCH(SUBSTITUTE($H126,"*","-"),MgAmenClave,0)),"")</f>
        <v/>
      </c>
      <c r="W126" s="28">
        <f>IFERROR(LOOKUP(X126,{0;0.01;0.1;1;10;100},{"Muy baja";"Muy baja";"Baja";"Media";"Alta";"Muy alta"}),"")</f>
        <v/>
      </c>
      <c r="X126" s="31">
        <f>IFERROR(VLOOKUP(V126,MgFrec,2,0),0)</f>
        <v/>
      </c>
      <c r="Y126" s="30">
        <f>T126*X126</f>
        <v/>
      </c>
      <c r="Z126" s="28">
        <f>IFERROR(LOOKUP(Y126,{0;0.5;5;25},{"Bajo";"Medio";"Alto";"Crítico"}),"")</f>
        <v/>
      </c>
      <c r="AA126" s="64">
        <f>IF(T126&gt;=3,IF(X126&gt;=1,"Zona 1 — Crítica: impacto alto y ocurre al menos una vez al año","Zona 4 — Catastrófica poco probable: impacto alto pero excepcional"),IF(AND(T126&lt;1.5,X126&lt;1),"Zona 3 — Asumible: impacto bajo y muy poco frecuente","Zona 2 — Atención: riesgo intermedio"))</f>
        <v/>
      </c>
      <c r="AB126" s="64">
        <f>IFERROR(INDEX(MgAmenCtrl,MATCH(SUBSTITUTE($H126,"*","-"),MgAmenClave,0)),"")</f>
        <v/>
      </c>
      <c r="AC126" s="20" t="n"/>
      <c r="AD126" s="31">
        <f>IFERROR($X126*(1-IF($AC126="",$AL126,VLOOKUP($AC126,MgMad,2,0))),"")</f>
        <v/>
      </c>
      <c r="AE126" s="28">
        <f>IFERROR(LOOKUP(AD126,{0;0.01;0.1;1;10;100},{"Muy baja";"Muy baja";"Baja";"Media";"Alta";"Muy alta"}),"")</f>
        <v/>
      </c>
      <c r="AF126" s="30">
        <f>T126*AD126</f>
        <v/>
      </c>
      <c r="AG126" s="28">
        <f>IFERROR(LOOKUP(AF126,{0;0.5;5;25},{"Bajo";"Medio";"Alto";"Crítico"}),"")</f>
        <v/>
      </c>
      <c r="AH126" s="28">
        <f>IF(AG126="","",IF(OR(AG126="Crítico",AG126="Alto"),"Mitigar",IF(AG126="Medio","Mitigar","Aceptar y monitorear")))</f>
        <v/>
      </c>
      <c r="AI126" s="21" t="n"/>
      <c r="AJ126" s="21" t="n"/>
      <c r="AK126" s="20" t="n"/>
      <c r="AL126" s="77">
        <f>IFERROR(INDEX(MgAmenEfic,MATCH(SUBSTITUTE($H126,"*","-"),MgAmenClave,0)),0)</f>
        <v/>
      </c>
    </row>
    <row r="127" hidden="1" ht="105" customHeight="1" s="54">
      <c r="B127" s="59" t="inlineStr">
        <is>
          <t>R-0122</t>
        </is>
      </c>
      <c r="C127" s="59" t="inlineStr">
        <is>
          <t>DO-12</t>
        </is>
      </c>
      <c r="D127" s="64">
        <f>IFERROR(INDEX(MgNombre,MATCH($C127,MgActId,0)),"")</f>
        <v/>
      </c>
      <c r="E127" s="64">
        <f>IFERROR(INDEX(MgProceso,MATCH($C127,MgActId,0)),"")</f>
        <v/>
      </c>
      <c r="F127" s="64">
        <f>IFERROR(INDEX(MgTipo,MATCH($C127,MgActId,0)),"")</f>
        <v/>
      </c>
      <c r="G127" s="64">
        <f>IFERROR(INDEX(MgSubtipo,MATCH($C127,MgActId,0)),"")</f>
        <v/>
      </c>
      <c r="H127" s="59" t="inlineStr">
        <is>
          <t>A.6</t>
        </is>
      </c>
      <c r="I127" s="64">
        <f>IFERROR(INDEX(MgAmenNombre,MATCH(SUBSTITUTE($H127,"*","-"),MgAmenClave,0)),"")</f>
        <v/>
      </c>
      <c r="J127" s="28">
        <f>IFERROR(INDEX(MgAmenGrupo,MATCH(SUBSTITUTE($H127,"*","-"),MgAmenClave,0)),"")</f>
        <v/>
      </c>
      <c r="K127" s="64">
        <f>IFERROR(INDEX('1. Matriz de Activos'!$Q$6:$Q$239,MATCH($C127,MgActId,0)),"")</f>
        <v/>
      </c>
      <c r="L127" s="64">
        <f>IFERROR(INDEX('1. Matriz de Activos'!$R$6:$R$239,MATCH($C127,MgActId,0)),"")</f>
        <v/>
      </c>
      <c r="M127" s="64">
        <f>IFERROR(INDEX('1. Matriz de Activos'!$S$6:$S$239,MATCH($C127,MgActId,0)),"")</f>
        <v/>
      </c>
      <c r="N127" s="28">
        <f>IFERROR(INDEX(MgAmenDegD,MATCH(SUBSTITUTE($H127,"*","-"),MgAmenClave,0)),"No aplica")</f>
        <v/>
      </c>
      <c r="O127" s="28">
        <f>IFERROR(INDEX(MgAmenDegI,MATCH(SUBSTITUTE($H127,"*","-"),MgAmenClave,0)),"No aplica")</f>
        <v/>
      </c>
      <c r="P127" s="28">
        <f>IFERROR(INDEX(MgAmenDegC,MATCH(SUBSTITUTE($H127,"*","-"),MgAmenClave,0)),"No aplica")</f>
        <v/>
      </c>
      <c r="Q127" s="29">
        <f>IFERROR(VLOOKUP(K127,MgValor,2,0)*VLOOKUP(N127,MgDeg,2,0),0)</f>
        <v/>
      </c>
      <c r="R127" s="29">
        <f>IFERROR(VLOOKUP(L127,MgValor,2,0)*VLOOKUP(O127,MgDeg,2,0),0)</f>
        <v/>
      </c>
      <c r="S127" s="29">
        <f>IFERROR(VLOOKUP(M127,MgValor,2,0)*VLOOKUP(P127,MgDeg,2,0),0)</f>
        <v/>
      </c>
      <c r="T127" s="30">
        <f>MAX(Q127:S127)</f>
        <v/>
      </c>
      <c r="U127" s="28">
        <f>IFERROR(LOOKUP(T127,{0;0.5;1.5;3;4.5},{"Despreciable";"Bajo";"Medio";"Alto";"Muy alto"}),"")</f>
        <v/>
      </c>
      <c r="V127" s="13">
        <f>IFERROR(INDEX(MgAmenFrec,MATCH(SUBSTITUTE($H127,"*","-"),MgAmenClave,0)),"")</f>
        <v/>
      </c>
      <c r="W127" s="28">
        <f>IFERROR(LOOKUP(X127,{0;0.01;0.1;1;10;100},{"Muy baja";"Muy baja";"Baja";"Media";"Alta";"Muy alta"}),"")</f>
        <v/>
      </c>
      <c r="X127" s="31">
        <f>IFERROR(VLOOKUP(V127,MgFrec,2,0),0)</f>
        <v/>
      </c>
      <c r="Y127" s="30">
        <f>T127*X127</f>
        <v/>
      </c>
      <c r="Z127" s="28">
        <f>IFERROR(LOOKUP(Y127,{0;0.5;5;25},{"Bajo";"Medio";"Alto";"Crítico"}),"")</f>
        <v/>
      </c>
      <c r="AA127" s="64">
        <f>IF(T127&gt;=3,IF(X127&gt;=1,"Zona 1 — Crítica: impacto alto y ocurre al menos una vez al año","Zona 4 — Catastrófica poco probable: impacto alto pero excepcional"),IF(AND(T127&lt;1.5,X127&lt;1),"Zona 3 — Asumible: impacto bajo y muy poco frecuente","Zona 2 — Atención: riesgo intermedio"))</f>
        <v/>
      </c>
      <c r="AB127" s="64">
        <f>IFERROR(INDEX(MgAmenCtrl,MATCH(SUBSTITUTE($H127,"*","-"),MgAmenClave,0)),"")</f>
        <v/>
      </c>
      <c r="AC127" s="20" t="n"/>
      <c r="AD127" s="31">
        <f>IFERROR($X127*(1-IF($AC127="",$AL127,VLOOKUP($AC127,MgMad,2,0))),"")</f>
        <v/>
      </c>
      <c r="AE127" s="28">
        <f>IFERROR(LOOKUP(AD127,{0;0.01;0.1;1;10;100},{"Muy baja";"Muy baja";"Baja";"Media";"Alta";"Muy alta"}),"")</f>
        <v/>
      </c>
      <c r="AF127" s="30">
        <f>T127*AD127</f>
        <v/>
      </c>
      <c r="AG127" s="28">
        <f>IFERROR(LOOKUP(AF127,{0;0.5;5;25},{"Bajo";"Medio";"Alto";"Crítico"}),"")</f>
        <v/>
      </c>
      <c r="AH127" s="28">
        <f>IF(AG127="","",IF(OR(AG127="Crítico",AG127="Alto"),"Mitigar",IF(AG127="Medio","Mitigar","Aceptar y monitorear")))</f>
        <v/>
      </c>
      <c r="AI127" s="21" t="n"/>
      <c r="AJ127" s="21" t="n"/>
      <c r="AK127" s="20" t="n"/>
      <c r="AL127" s="77">
        <f>IFERROR(INDEX(MgAmenEfic,MATCH(SUBSTITUTE($H127,"*","-"),MgAmenClave,0)),0)</f>
        <v/>
      </c>
    </row>
    <row r="128" hidden="1" ht="60" customHeight="1" s="54">
      <c r="B128" s="59" t="inlineStr">
        <is>
          <t>R-0123</t>
        </is>
      </c>
      <c r="C128" s="59" t="inlineStr">
        <is>
          <t>DO-12</t>
        </is>
      </c>
      <c r="D128" s="64">
        <f>IFERROR(INDEX(MgNombre,MATCH($C128,MgActId,0)),"")</f>
        <v/>
      </c>
      <c r="E128" s="64">
        <f>IFERROR(INDEX(MgProceso,MATCH($C128,MgActId,0)),"")</f>
        <v/>
      </c>
      <c r="F128" s="64">
        <f>IFERROR(INDEX(MgTipo,MATCH($C128,MgActId,0)),"")</f>
        <v/>
      </c>
      <c r="G128" s="64">
        <f>IFERROR(INDEX(MgSubtipo,MATCH($C128,MgActId,0)),"")</f>
        <v/>
      </c>
      <c r="H128" s="59" t="inlineStr">
        <is>
          <t>A.7</t>
        </is>
      </c>
      <c r="I128" s="64">
        <f>IFERROR(INDEX(MgAmenNombre,MATCH(SUBSTITUTE($H128,"*","-"),MgAmenClave,0)),"")</f>
        <v/>
      </c>
      <c r="J128" s="28">
        <f>IFERROR(INDEX(MgAmenGrupo,MATCH(SUBSTITUTE($H128,"*","-"),MgAmenClave,0)),"")</f>
        <v/>
      </c>
      <c r="K128" s="64">
        <f>IFERROR(INDEX('1. Matriz de Activos'!$Q$6:$Q$239,MATCH($C128,MgActId,0)),"")</f>
        <v/>
      </c>
      <c r="L128" s="64">
        <f>IFERROR(INDEX('1. Matriz de Activos'!$R$6:$R$239,MATCH($C128,MgActId,0)),"")</f>
        <v/>
      </c>
      <c r="M128" s="64">
        <f>IFERROR(INDEX('1. Matriz de Activos'!$S$6:$S$239,MATCH($C128,MgActId,0)),"")</f>
        <v/>
      </c>
      <c r="N128" s="28">
        <f>IFERROR(INDEX(MgAmenDegD,MATCH(SUBSTITUTE($H128,"*","-"),MgAmenClave,0)),"No aplica")</f>
        <v/>
      </c>
      <c r="O128" s="28">
        <f>IFERROR(INDEX(MgAmenDegI,MATCH(SUBSTITUTE($H128,"*","-"),MgAmenClave,0)),"No aplica")</f>
        <v/>
      </c>
      <c r="P128" s="28">
        <f>IFERROR(INDEX(MgAmenDegC,MATCH(SUBSTITUTE($H128,"*","-"),MgAmenClave,0)),"No aplica")</f>
        <v/>
      </c>
      <c r="Q128" s="29">
        <f>IFERROR(VLOOKUP(K128,MgValor,2,0)*VLOOKUP(N128,MgDeg,2,0),0)</f>
        <v/>
      </c>
      <c r="R128" s="29">
        <f>IFERROR(VLOOKUP(L128,MgValor,2,0)*VLOOKUP(O128,MgDeg,2,0),0)</f>
        <v/>
      </c>
      <c r="S128" s="29">
        <f>IFERROR(VLOOKUP(M128,MgValor,2,0)*VLOOKUP(P128,MgDeg,2,0),0)</f>
        <v/>
      </c>
      <c r="T128" s="30">
        <f>MAX(Q128:S128)</f>
        <v/>
      </c>
      <c r="U128" s="28">
        <f>IFERROR(LOOKUP(T128,{0;0.5;1.5;3;4.5},{"Despreciable";"Bajo";"Medio";"Alto";"Muy alto"}),"")</f>
        <v/>
      </c>
      <c r="V128" s="13">
        <f>IFERROR(INDEX(MgAmenFrec,MATCH(SUBSTITUTE($H128,"*","-"),MgAmenClave,0)),"")</f>
        <v/>
      </c>
      <c r="W128" s="28">
        <f>IFERROR(LOOKUP(X128,{0;0.01;0.1;1;10;100},{"Muy baja";"Muy baja";"Baja";"Media";"Alta";"Muy alta"}),"")</f>
        <v/>
      </c>
      <c r="X128" s="31">
        <f>IFERROR(VLOOKUP(V128,MgFrec,2,0),0)</f>
        <v/>
      </c>
      <c r="Y128" s="30">
        <f>T128*X128</f>
        <v/>
      </c>
      <c r="Z128" s="28">
        <f>IFERROR(LOOKUP(Y128,{0;0.5;5;25},{"Bajo";"Medio";"Alto";"Crítico"}),"")</f>
        <v/>
      </c>
      <c r="AA128" s="64">
        <f>IF(T128&gt;=3,IF(X128&gt;=1,"Zona 1 — Crítica: impacto alto y ocurre al menos una vez al año","Zona 4 — Catastrófica poco probable: impacto alto pero excepcional"),IF(AND(T128&lt;1.5,X128&lt;1),"Zona 3 — Asumible: impacto bajo y muy poco frecuente","Zona 2 — Atención: riesgo intermedio"))</f>
        <v/>
      </c>
      <c r="AB128" s="64">
        <f>IFERROR(INDEX(MgAmenCtrl,MATCH(SUBSTITUTE($H128,"*","-"),MgAmenClave,0)),"")</f>
        <v/>
      </c>
      <c r="AC128" s="20" t="n"/>
      <c r="AD128" s="31">
        <f>IFERROR($X128*(1-IF($AC128="",$AL128,VLOOKUP($AC128,MgMad,2,0))),"")</f>
        <v/>
      </c>
      <c r="AE128" s="28">
        <f>IFERROR(LOOKUP(AD128,{0;0.01;0.1;1;10;100},{"Muy baja";"Muy baja";"Baja";"Media";"Alta";"Muy alta"}),"")</f>
        <v/>
      </c>
      <c r="AF128" s="30">
        <f>T128*AD128</f>
        <v/>
      </c>
      <c r="AG128" s="28">
        <f>IFERROR(LOOKUP(AF128,{0;0.5;5;25},{"Bajo";"Medio";"Alto";"Crítico"}),"")</f>
        <v/>
      </c>
      <c r="AH128" s="28">
        <f>IF(AG128="","",IF(OR(AG128="Crítico",AG128="Alto"),"Mitigar",IF(AG128="Medio","Mitigar","Aceptar y monitorear")))</f>
        <v/>
      </c>
      <c r="AI128" s="21" t="n"/>
      <c r="AJ128" s="21" t="n"/>
      <c r="AK128" s="20" t="n"/>
      <c r="AL128" s="77">
        <f>IFERROR(INDEX(MgAmenEfic,MATCH(SUBSTITUTE($H128,"*","-"),MgAmenClave,0)),0)</f>
        <v/>
      </c>
    </row>
    <row r="129" hidden="1" ht="60" customHeight="1" s="54">
      <c r="B129" s="59" t="inlineStr">
        <is>
          <t>R-0124</t>
        </is>
      </c>
      <c r="C129" s="59" t="inlineStr">
        <is>
          <t>DO-12</t>
        </is>
      </c>
      <c r="D129" s="64">
        <f>IFERROR(INDEX(MgNombre,MATCH($C129,MgActId,0)),"")</f>
        <v/>
      </c>
      <c r="E129" s="64">
        <f>IFERROR(INDEX(MgProceso,MATCH($C129,MgActId,0)),"")</f>
        <v/>
      </c>
      <c r="F129" s="64">
        <f>IFERROR(INDEX(MgTipo,MATCH($C129,MgActId,0)),"")</f>
        <v/>
      </c>
      <c r="G129" s="64">
        <f>IFERROR(INDEX(MgSubtipo,MATCH($C129,MgActId,0)),"")</f>
        <v/>
      </c>
      <c r="H129" s="59" t="inlineStr">
        <is>
          <t>A.9</t>
        </is>
      </c>
      <c r="I129" s="64">
        <f>IFERROR(INDEX(MgAmenNombre,MATCH(SUBSTITUTE($H129,"*","-"),MgAmenClave,0)),"")</f>
        <v/>
      </c>
      <c r="J129" s="28">
        <f>IFERROR(INDEX(MgAmenGrupo,MATCH(SUBSTITUTE($H129,"*","-"),MgAmenClave,0)),"")</f>
        <v/>
      </c>
      <c r="K129" s="64">
        <f>IFERROR(INDEX('1. Matriz de Activos'!$Q$6:$Q$239,MATCH($C129,MgActId,0)),"")</f>
        <v/>
      </c>
      <c r="L129" s="64">
        <f>IFERROR(INDEX('1. Matriz de Activos'!$R$6:$R$239,MATCH($C129,MgActId,0)),"")</f>
        <v/>
      </c>
      <c r="M129" s="64">
        <f>IFERROR(INDEX('1. Matriz de Activos'!$S$6:$S$239,MATCH($C129,MgActId,0)),"")</f>
        <v/>
      </c>
      <c r="N129" s="28">
        <f>IFERROR(INDEX(MgAmenDegD,MATCH(SUBSTITUTE($H129,"*","-"),MgAmenClave,0)),"No aplica")</f>
        <v/>
      </c>
      <c r="O129" s="28">
        <f>IFERROR(INDEX(MgAmenDegI,MATCH(SUBSTITUTE($H129,"*","-"),MgAmenClave,0)),"No aplica")</f>
        <v/>
      </c>
      <c r="P129" s="28">
        <f>IFERROR(INDEX(MgAmenDegC,MATCH(SUBSTITUTE($H129,"*","-"),MgAmenClave,0)),"No aplica")</f>
        <v/>
      </c>
      <c r="Q129" s="29">
        <f>IFERROR(VLOOKUP(K129,MgValor,2,0)*VLOOKUP(N129,MgDeg,2,0),0)</f>
        <v/>
      </c>
      <c r="R129" s="29">
        <f>IFERROR(VLOOKUP(L129,MgValor,2,0)*VLOOKUP(O129,MgDeg,2,0),0)</f>
        <v/>
      </c>
      <c r="S129" s="29">
        <f>IFERROR(VLOOKUP(M129,MgValor,2,0)*VLOOKUP(P129,MgDeg,2,0),0)</f>
        <v/>
      </c>
      <c r="T129" s="30">
        <f>MAX(Q129:S129)</f>
        <v/>
      </c>
      <c r="U129" s="28">
        <f>IFERROR(LOOKUP(T129,{0;0.5;1.5;3;4.5},{"Despreciable";"Bajo";"Medio";"Alto";"Muy alto"}),"")</f>
        <v/>
      </c>
      <c r="V129" s="13">
        <f>IFERROR(INDEX(MgAmenFrec,MATCH(SUBSTITUTE($H129,"*","-"),MgAmenClave,0)),"")</f>
        <v/>
      </c>
      <c r="W129" s="28">
        <f>IFERROR(LOOKUP(X129,{0;0.01;0.1;1;10;100},{"Muy baja";"Muy baja";"Baja";"Media";"Alta";"Muy alta"}),"")</f>
        <v/>
      </c>
      <c r="X129" s="31">
        <f>IFERROR(VLOOKUP(V129,MgFrec,2,0),0)</f>
        <v/>
      </c>
      <c r="Y129" s="30">
        <f>T129*X129</f>
        <v/>
      </c>
      <c r="Z129" s="28">
        <f>IFERROR(LOOKUP(Y129,{0;0.5;5;25},{"Bajo";"Medio";"Alto";"Crítico"}),"")</f>
        <v/>
      </c>
      <c r="AA129" s="64">
        <f>IF(T129&gt;=3,IF(X129&gt;=1,"Zona 1 — Crítica: impacto alto y ocurre al menos una vez al año","Zona 4 — Catastrófica poco probable: impacto alto pero excepcional"),IF(AND(T129&lt;1.5,X129&lt;1),"Zona 3 — Asumible: impacto bajo y muy poco frecuente","Zona 2 — Atención: riesgo intermedio"))</f>
        <v/>
      </c>
      <c r="AB129" s="64">
        <f>IFERROR(INDEX(MgAmenCtrl,MATCH(SUBSTITUTE($H129,"*","-"),MgAmenClave,0)),"")</f>
        <v/>
      </c>
      <c r="AC129" s="20" t="n"/>
      <c r="AD129" s="31">
        <f>IFERROR($X129*(1-IF($AC129="",$AL129,VLOOKUP($AC129,MgMad,2,0))),"")</f>
        <v/>
      </c>
      <c r="AE129" s="28">
        <f>IFERROR(LOOKUP(AD129,{0;0.01;0.1;1;10;100},{"Muy baja";"Muy baja";"Baja";"Media";"Alta";"Muy alta"}),"")</f>
        <v/>
      </c>
      <c r="AF129" s="30">
        <f>T129*AD129</f>
        <v/>
      </c>
      <c r="AG129" s="28">
        <f>IFERROR(LOOKUP(AF129,{0;0.5;5;25},{"Bajo";"Medio";"Alto";"Crítico"}),"")</f>
        <v/>
      </c>
      <c r="AH129" s="28">
        <f>IF(AG129="","",IF(OR(AG129="Crítico",AG129="Alto"),"Mitigar",IF(AG129="Medio","Mitigar","Aceptar y monitorear")))</f>
        <v/>
      </c>
      <c r="AI129" s="21" t="n"/>
      <c r="AJ129" s="21" t="n"/>
      <c r="AK129" s="20" t="n"/>
      <c r="AL129" s="77">
        <f>IFERROR(INDEX(MgAmenEfic,MATCH(SUBSTITUTE($H129,"*","-"),MgAmenClave,0)),0)</f>
        <v/>
      </c>
    </row>
    <row r="130" hidden="1" ht="45" customHeight="1" s="54">
      <c r="B130" s="59" t="inlineStr">
        <is>
          <t>R-0125</t>
        </is>
      </c>
      <c r="C130" s="59" t="inlineStr">
        <is>
          <t>DO-12</t>
        </is>
      </c>
      <c r="D130" s="64">
        <f>IFERROR(INDEX(MgNombre,MATCH($C130,MgActId,0)),"")</f>
        <v/>
      </c>
      <c r="E130" s="64">
        <f>IFERROR(INDEX(MgProceso,MATCH($C130,MgActId,0)),"")</f>
        <v/>
      </c>
      <c r="F130" s="64">
        <f>IFERROR(INDEX(MgTipo,MATCH($C130,MgActId,0)),"")</f>
        <v/>
      </c>
      <c r="G130" s="64">
        <f>IFERROR(INDEX(MgSubtipo,MATCH($C130,MgActId,0)),"")</f>
        <v/>
      </c>
      <c r="H130" s="59" t="inlineStr">
        <is>
          <t>A.10</t>
        </is>
      </c>
      <c r="I130" s="64">
        <f>IFERROR(INDEX(MgAmenNombre,MATCH(SUBSTITUTE($H130,"*","-"),MgAmenClave,0)),"")</f>
        <v/>
      </c>
      <c r="J130" s="28">
        <f>IFERROR(INDEX(MgAmenGrupo,MATCH(SUBSTITUTE($H130,"*","-"),MgAmenClave,0)),"")</f>
        <v/>
      </c>
      <c r="K130" s="64">
        <f>IFERROR(INDEX('1. Matriz de Activos'!$Q$6:$Q$239,MATCH($C130,MgActId,0)),"")</f>
        <v/>
      </c>
      <c r="L130" s="64">
        <f>IFERROR(INDEX('1. Matriz de Activos'!$R$6:$R$239,MATCH($C130,MgActId,0)),"")</f>
        <v/>
      </c>
      <c r="M130" s="64">
        <f>IFERROR(INDEX('1. Matriz de Activos'!$S$6:$S$239,MATCH($C130,MgActId,0)),"")</f>
        <v/>
      </c>
      <c r="N130" s="28">
        <f>IFERROR(INDEX(MgAmenDegD,MATCH(SUBSTITUTE($H130,"*","-"),MgAmenClave,0)),"No aplica")</f>
        <v/>
      </c>
      <c r="O130" s="28">
        <f>IFERROR(INDEX(MgAmenDegI,MATCH(SUBSTITUTE($H130,"*","-"),MgAmenClave,0)),"No aplica")</f>
        <v/>
      </c>
      <c r="P130" s="28">
        <f>IFERROR(INDEX(MgAmenDegC,MATCH(SUBSTITUTE($H130,"*","-"),MgAmenClave,0)),"No aplica")</f>
        <v/>
      </c>
      <c r="Q130" s="29">
        <f>IFERROR(VLOOKUP(K130,MgValor,2,0)*VLOOKUP(N130,MgDeg,2,0),0)</f>
        <v/>
      </c>
      <c r="R130" s="29">
        <f>IFERROR(VLOOKUP(L130,MgValor,2,0)*VLOOKUP(O130,MgDeg,2,0),0)</f>
        <v/>
      </c>
      <c r="S130" s="29">
        <f>IFERROR(VLOOKUP(M130,MgValor,2,0)*VLOOKUP(P130,MgDeg,2,0),0)</f>
        <v/>
      </c>
      <c r="T130" s="30">
        <f>MAX(Q130:S130)</f>
        <v/>
      </c>
      <c r="U130" s="28">
        <f>IFERROR(LOOKUP(T130,{0;0.5;1.5;3;4.5},{"Despreciable";"Bajo";"Medio";"Alto";"Muy alto"}),"")</f>
        <v/>
      </c>
      <c r="V130" s="13">
        <f>IFERROR(INDEX(MgAmenFrec,MATCH(SUBSTITUTE($H130,"*","-"),MgAmenClave,0)),"")</f>
        <v/>
      </c>
      <c r="W130" s="28">
        <f>IFERROR(LOOKUP(X130,{0;0.01;0.1;1;10;100},{"Muy baja";"Muy baja";"Baja";"Media";"Alta";"Muy alta"}),"")</f>
        <v/>
      </c>
      <c r="X130" s="31">
        <f>IFERROR(VLOOKUP(V130,MgFrec,2,0),0)</f>
        <v/>
      </c>
      <c r="Y130" s="30">
        <f>T130*X130</f>
        <v/>
      </c>
      <c r="Z130" s="28">
        <f>IFERROR(LOOKUP(Y130,{0;0.5;5;25},{"Bajo";"Medio";"Alto";"Crítico"}),"")</f>
        <v/>
      </c>
      <c r="AA130" s="64">
        <f>IF(T130&gt;=3,IF(X130&gt;=1,"Zona 1 — Crítica: impacto alto y ocurre al menos una vez al año","Zona 4 — Catastrófica poco probable: impacto alto pero excepcional"),IF(AND(T130&lt;1.5,X130&lt;1),"Zona 3 — Asumible: impacto bajo y muy poco frecuente","Zona 2 — Atención: riesgo intermedio"))</f>
        <v/>
      </c>
      <c r="AB130" s="64">
        <f>IFERROR(INDEX(MgAmenCtrl,MATCH(SUBSTITUTE($H130,"*","-"),MgAmenClave,0)),"")</f>
        <v/>
      </c>
      <c r="AC130" s="20" t="n"/>
      <c r="AD130" s="31">
        <f>IFERROR($X130*(1-IF($AC130="",$AL130,VLOOKUP($AC130,MgMad,2,0))),"")</f>
        <v/>
      </c>
      <c r="AE130" s="28">
        <f>IFERROR(LOOKUP(AD130,{0;0.01;0.1;1;10;100},{"Muy baja";"Muy baja";"Baja";"Media";"Alta";"Muy alta"}),"")</f>
        <v/>
      </c>
      <c r="AF130" s="30">
        <f>T130*AD130</f>
        <v/>
      </c>
      <c r="AG130" s="28">
        <f>IFERROR(LOOKUP(AF130,{0;0.5;5;25},{"Bajo";"Medio";"Alto";"Crítico"}),"")</f>
        <v/>
      </c>
      <c r="AH130" s="28">
        <f>IF(AG130="","",IF(OR(AG130="Crítico",AG130="Alto"),"Mitigar",IF(AG130="Medio","Mitigar","Aceptar y monitorear")))</f>
        <v/>
      </c>
      <c r="AI130" s="21" t="n"/>
      <c r="AJ130" s="21" t="n"/>
      <c r="AK130" s="20" t="n"/>
      <c r="AL130" s="77">
        <f>IFERROR(INDEX(MgAmenEfic,MATCH(SUBSTITUTE($H130,"*","-"),MgAmenClave,0)),0)</f>
        <v/>
      </c>
    </row>
    <row r="131" hidden="1" ht="120" customHeight="1" s="54">
      <c r="B131" s="59" t="inlineStr">
        <is>
          <t>R-0126</t>
        </is>
      </c>
      <c r="C131" s="59" t="inlineStr">
        <is>
          <t>DO-12</t>
        </is>
      </c>
      <c r="D131" s="64">
        <f>IFERROR(INDEX(MgNombre,MATCH($C131,MgActId,0)),"")</f>
        <v/>
      </c>
      <c r="E131" s="64">
        <f>IFERROR(INDEX(MgProceso,MATCH($C131,MgActId,0)),"")</f>
        <v/>
      </c>
      <c r="F131" s="64">
        <f>IFERROR(INDEX(MgTipo,MATCH($C131,MgActId,0)),"")</f>
        <v/>
      </c>
      <c r="G131" s="64">
        <f>IFERROR(INDEX(MgSubtipo,MATCH($C131,MgActId,0)),"")</f>
        <v/>
      </c>
      <c r="H131" s="59" t="inlineStr">
        <is>
          <t>A.11</t>
        </is>
      </c>
      <c r="I131" s="64">
        <f>IFERROR(INDEX(MgAmenNombre,MATCH(SUBSTITUTE($H131,"*","-"),MgAmenClave,0)),"")</f>
        <v/>
      </c>
      <c r="J131" s="28">
        <f>IFERROR(INDEX(MgAmenGrupo,MATCH(SUBSTITUTE($H131,"*","-"),MgAmenClave,0)),"")</f>
        <v/>
      </c>
      <c r="K131" s="64">
        <f>IFERROR(INDEX('1. Matriz de Activos'!$Q$6:$Q$239,MATCH($C131,MgActId,0)),"")</f>
        <v/>
      </c>
      <c r="L131" s="64">
        <f>IFERROR(INDEX('1. Matriz de Activos'!$R$6:$R$239,MATCH($C131,MgActId,0)),"")</f>
        <v/>
      </c>
      <c r="M131" s="64">
        <f>IFERROR(INDEX('1. Matriz de Activos'!$S$6:$S$239,MATCH($C131,MgActId,0)),"")</f>
        <v/>
      </c>
      <c r="N131" s="28">
        <f>IFERROR(INDEX(MgAmenDegD,MATCH(SUBSTITUTE($H131,"*","-"),MgAmenClave,0)),"No aplica")</f>
        <v/>
      </c>
      <c r="O131" s="28">
        <f>IFERROR(INDEX(MgAmenDegI,MATCH(SUBSTITUTE($H131,"*","-"),MgAmenClave,0)),"No aplica")</f>
        <v/>
      </c>
      <c r="P131" s="28">
        <f>IFERROR(INDEX(MgAmenDegC,MATCH(SUBSTITUTE($H131,"*","-"),MgAmenClave,0)),"No aplica")</f>
        <v/>
      </c>
      <c r="Q131" s="29">
        <f>IFERROR(VLOOKUP(K131,MgValor,2,0)*VLOOKUP(N131,MgDeg,2,0),0)</f>
        <v/>
      </c>
      <c r="R131" s="29">
        <f>IFERROR(VLOOKUP(L131,MgValor,2,0)*VLOOKUP(O131,MgDeg,2,0),0)</f>
        <v/>
      </c>
      <c r="S131" s="29">
        <f>IFERROR(VLOOKUP(M131,MgValor,2,0)*VLOOKUP(P131,MgDeg,2,0),0)</f>
        <v/>
      </c>
      <c r="T131" s="30">
        <f>MAX(Q131:S131)</f>
        <v/>
      </c>
      <c r="U131" s="28">
        <f>IFERROR(LOOKUP(T131,{0;0.5;1.5;3;4.5},{"Despreciable";"Bajo";"Medio";"Alto";"Muy alto"}),"")</f>
        <v/>
      </c>
      <c r="V131" s="13">
        <f>IFERROR(INDEX(MgAmenFrec,MATCH(SUBSTITUTE($H131,"*","-"),MgAmenClave,0)),"")</f>
        <v/>
      </c>
      <c r="W131" s="28">
        <f>IFERROR(LOOKUP(X131,{0;0.01;0.1;1;10;100},{"Muy baja";"Muy baja";"Baja";"Media";"Alta";"Muy alta"}),"")</f>
        <v/>
      </c>
      <c r="X131" s="31">
        <f>IFERROR(VLOOKUP(V131,MgFrec,2,0),0)</f>
        <v/>
      </c>
      <c r="Y131" s="30">
        <f>T131*X131</f>
        <v/>
      </c>
      <c r="Z131" s="28">
        <f>IFERROR(LOOKUP(Y131,{0;0.5;5;25},{"Bajo";"Medio";"Alto";"Crítico"}),"")</f>
        <v/>
      </c>
      <c r="AA131" s="64">
        <f>IF(T131&gt;=3,IF(X131&gt;=1,"Zona 1 — Crítica: impacto alto y ocurre al menos una vez al año","Zona 4 — Catastrófica poco probable: impacto alto pero excepcional"),IF(AND(T131&lt;1.5,X131&lt;1),"Zona 3 — Asumible: impacto bajo y muy poco frecuente","Zona 2 — Atención: riesgo intermedio"))</f>
        <v/>
      </c>
      <c r="AB131" s="64">
        <f>IFERROR(INDEX(MgAmenCtrl,MATCH(SUBSTITUTE($H131,"*","-"),MgAmenClave,0)),"")</f>
        <v/>
      </c>
      <c r="AC131" s="20" t="n"/>
      <c r="AD131" s="31">
        <f>IFERROR($X131*(1-IF($AC131="",$AL131,VLOOKUP($AC131,MgMad,2,0))),"")</f>
        <v/>
      </c>
      <c r="AE131" s="28">
        <f>IFERROR(LOOKUP(AD131,{0;0.01;0.1;1;10;100},{"Muy baja";"Muy baja";"Baja";"Media";"Alta";"Muy alta"}),"")</f>
        <v/>
      </c>
      <c r="AF131" s="30">
        <f>T131*AD131</f>
        <v/>
      </c>
      <c r="AG131" s="28">
        <f>IFERROR(LOOKUP(AF131,{0;0.5;5;25},{"Bajo";"Medio";"Alto";"Crítico"}),"")</f>
        <v/>
      </c>
      <c r="AH131" s="28">
        <f>IF(AG131="","",IF(OR(AG131="Crítico",AG131="Alto"),"Mitigar",IF(AG131="Medio","Mitigar","Aceptar y monitorear")))</f>
        <v/>
      </c>
      <c r="AI131" s="21" t="n"/>
      <c r="AJ131" s="21" t="n"/>
      <c r="AK131" s="20" t="n"/>
      <c r="AL131" s="77">
        <f>IFERROR(INDEX(MgAmenEfic,MATCH(SUBSTITUTE($H131,"*","-"),MgAmenClave,0)),0)</f>
        <v/>
      </c>
    </row>
    <row r="132" hidden="1" ht="45" customHeight="1" s="54">
      <c r="B132" s="59" t="inlineStr">
        <is>
          <t>R-0127</t>
        </is>
      </c>
      <c r="C132" s="59" t="inlineStr">
        <is>
          <t>DO-12</t>
        </is>
      </c>
      <c r="D132" s="64">
        <f>IFERROR(INDEX(MgNombre,MATCH($C132,MgActId,0)),"")</f>
        <v/>
      </c>
      <c r="E132" s="64">
        <f>IFERROR(INDEX(MgProceso,MATCH($C132,MgActId,0)),"")</f>
        <v/>
      </c>
      <c r="F132" s="64">
        <f>IFERROR(INDEX(MgTipo,MATCH($C132,MgActId,0)),"")</f>
        <v/>
      </c>
      <c r="G132" s="64">
        <f>IFERROR(INDEX(MgSubtipo,MATCH($C132,MgActId,0)),"")</f>
        <v/>
      </c>
      <c r="H132" s="59" t="inlineStr">
        <is>
          <t>A.12</t>
        </is>
      </c>
      <c r="I132" s="64">
        <f>IFERROR(INDEX(MgAmenNombre,MATCH(SUBSTITUTE($H132,"*","-"),MgAmenClave,0)),"")</f>
        <v/>
      </c>
      <c r="J132" s="28">
        <f>IFERROR(INDEX(MgAmenGrupo,MATCH(SUBSTITUTE($H132,"*","-"),MgAmenClave,0)),"")</f>
        <v/>
      </c>
      <c r="K132" s="64">
        <f>IFERROR(INDEX('1. Matriz de Activos'!$Q$6:$Q$239,MATCH($C132,MgActId,0)),"")</f>
        <v/>
      </c>
      <c r="L132" s="64">
        <f>IFERROR(INDEX('1. Matriz de Activos'!$R$6:$R$239,MATCH($C132,MgActId,0)),"")</f>
        <v/>
      </c>
      <c r="M132" s="64">
        <f>IFERROR(INDEX('1. Matriz de Activos'!$S$6:$S$239,MATCH($C132,MgActId,0)),"")</f>
        <v/>
      </c>
      <c r="N132" s="28">
        <f>IFERROR(INDEX(MgAmenDegD,MATCH(SUBSTITUTE($H132,"*","-"),MgAmenClave,0)),"No aplica")</f>
        <v/>
      </c>
      <c r="O132" s="28">
        <f>IFERROR(INDEX(MgAmenDegI,MATCH(SUBSTITUTE($H132,"*","-"),MgAmenClave,0)),"No aplica")</f>
        <v/>
      </c>
      <c r="P132" s="28">
        <f>IFERROR(INDEX(MgAmenDegC,MATCH(SUBSTITUTE($H132,"*","-"),MgAmenClave,0)),"No aplica")</f>
        <v/>
      </c>
      <c r="Q132" s="29">
        <f>IFERROR(VLOOKUP(K132,MgValor,2,0)*VLOOKUP(N132,MgDeg,2,0),0)</f>
        <v/>
      </c>
      <c r="R132" s="29">
        <f>IFERROR(VLOOKUP(L132,MgValor,2,0)*VLOOKUP(O132,MgDeg,2,0),0)</f>
        <v/>
      </c>
      <c r="S132" s="29">
        <f>IFERROR(VLOOKUP(M132,MgValor,2,0)*VLOOKUP(P132,MgDeg,2,0),0)</f>
        <v/>
      </c>
      <c r="T132" s="30">
        <f>MAX(Q132:S132)</f>
        <v/>
      </c>
      <c r="U132" s="28">
        <f>IFERROR(LOOKUP(T132,{0;0.5;1.5;3;4.5},{"Despreciable";"Bajo";"Medio";"Alto";"Muy alto"}),"")</f>
        <v/>
      </c>
      <c r="V132" s="13">
        <f>IFERROR(INDEX(MgAmenFrec,MATCH(SUBSTITUTE($H132,"*","-"),MgAmenClave,0)),"")</f>
        <v/>
      </c>
      <c r="W132" s="28">
        <f>IFERROR(LOOKUP(X132,{0;0.01;0.1;1;10;100},{"Muy baja";"Muy baja";"Baja";"Media";"Alta";"Muy alta"}),"")</f>
        <v/>
      </c>
      <c r="X132" s="31">
        <f>IFERROR(VLOOKUP(V132,MgFrec,2,0),0)</f>
        <v/>
      </c>
      <c r="Y132" s="30">
        <f>T132*X132</f>
        <v/>
      </c>
      <c r="Z132" s="28">
        <f>IFERROR(LOOKUP(Y132,{0;0.5;5;25},{"Bajo";"Medio";"Alto";"Crítico"}),"")</f>
        <v/>
      </c>
      <c r="AA132" s="64">
        <f>IF(T132&gt;=3,IF(X132&gt;=1,"Zona 1 — Crítica: impacto alto y ocurre al menos una vez al año","Zona 4 — Catastrófica poco probable: impacto alto pero excepcional"),IF(AND(T132&lt;1.5,X132&lt;1),"Zona 3 — Asumible: impacto bajo y muy poco frecuente","Zona 2 — Atención: riesgo intermedio"))</f>
        <v/>
      </c>
      <c r="AB132" s="64">
        <f>IFERROR(INDEX(MgAmenCtrl,MATCH(SUBSTITUTE($H132,"*","-"),MgAmenClave,0)),"")</f>
        <v/>
      </c>
      <c r="AC132" s="20" t="n"/>
      <c r="AD132" s="31">
        <f>IFERROR($X132*(1-IF($AC132="",$AL132,VLOOKUP($AC132,MgMad,2,0))),"")</f>
        <v/>
      </c>
      <c r="AE132" s="28">
        <f>IFERROR(LOOKUP(AD132,{0;0.01;0.1;1;10;100},{"Muy baja";"Muy baja";"Baja";"Media";"Alta";"Muy alta"}),"")</f>
        <v/>
      </c>
      <c r="AF132" s="30">
        <f>T132*AD132</f>
        <v/>
      </c>
      <c r="AG132" s="28">
        <f>IFERROR(LOOKUP(AF132,{0;0.5;5;25},{"Bajo";"Medio";"Alto";"Crítico"}),"")</f>
        <v/>
      </c>
      <c r="AH132" s="28">
        <f>IF(AG132="","",IF(OR(AG132="Crítico",AG132="Alto"),"Mitigar",IF(AG132="Medio","Mitigar","Aceptar y monitorear")))</f>
        <v/>
      </c>
      <c r="AI132" s="21" t="n"/>
      <c r="AJ132" s="21" t="n"/>
      <c r="AK132" s="20" t="n"/>
      <c r="AL132" s="77">
        <f>IFERROR(INDEX(MgAmenEfic,MATCH(SUBSTITUTE($H132,"*","-"),MgAmenClave,0)),0)</f>
        <v/>
      </c>
    </row>
    <row r="133" hidden="1" ht="60" customHeight="1" s="54">
      <c r="B133" s="59" t="inlineStr">
        <is>
          <t>R-0128</t>
        </is>
      </c>
      <c r="C133" s="59" t="inlineStr">
        <is>
          <t>DO-12</t>
        </is>
      </c>
      <c r="D133" s="64">
        <f>IFERROR(INDEX(MgNombre,MATCH($C133,MgActId,0)),"")</f>
        <v/>
      </c>
      <c r="E133" s="64">
        <f>IFERROR(INDEX(MgProceso,MATCH($C133,MgActId,0)),"")</f>
        <v/>
      </c>
      <c r="F133" s="64">
        <f>IFERROR(INDEX(MgTipo,MATCH($C133,MgActId,0)),"")</f>
        <v/>
      </c>
      <c r="G133" s="64">
        <f>IFERROR(INDEX(MgSubtipo,MATCH($C133,MgActId,0)),"")</f>
        <v/>
      </c>
      <c r="H133" s="59" t="inlineStr">
        <is>
          <t>A.14</t>
        </is>
      </c>
      <c r="I133" s="64">
        <f>IFERROR(INDEX(MgAmenNombre,MATCH(SUBSTITUTE($H133,"*","-"),MgAmenClave,0)),"")</f>
        <v/>
      </c>
      <c r="J133" s="28">
        <f>IFERROR(INDEX(MgAmenGrupo,MATCH(SUBSTITUTE($H133,"*","-"),MgAmenClave,0)),"")</f>
        <v/>
      </c>
      <c r="K133" s="64">
        <f>IFERROR(INDEX('1. Matriz de Activos'!$Q$6:$Q$239,MATCH($C133,MgActId,0)),"")</f>
        <v/>
      </c>
      <c r="L133" s="64">
        <f>IFERROR(INDEX('1. Matriz de Activos'!$R$6:$R$239,MATCH($C133,MgActId,0)),"")</f>
        <v/>
      </c>
      <c r="M133" s="64">
        <f>IFERROR(INDEX('1. Matriz de Activos'!$S$6:$S$239,MATCH($C133,MgActId,0)),"")</f>
        <v/>
      </c>
      <c r="N133" s="28">
        <f>IFERROR(INDEX(MgAmenDegD,MATCH(SUBSTITUTE($H133,"*","-"),MgAmenClave,0)),"No aplica")</f>
        <v/>
      </c>
      <c r="O133" s="28">
        <f>IFERROR(INDEX(MgAmenDegI,MATCH(SUBSTITUTE($H133,"*","-"),MgAmenClave,0)),"No aplica")</f>
        <v/>
      </c>
      <c r="P133" s="28">
        <f>IFERROR(INDEX(MgAmenDegC,MATCH(SUBSTITUTE($H133,"*","-"),MgAmenClave,0)),"No aplica")</f>
        <v/>
      </c>
      <c r="Q133" s="29">
        <f>IFERROR(VLOOKUP(K133,MgValor,2,0)*VLOOKUP(N133,MgDeg,2,0),0)</f>
        <v/>
      </c>
      <c r="R133" s="29">
        <f>IFERROR(VLOOKUP(L133,MgValor,2,0)*VLOOKUP(O133,MgDeg,2,0),0)</f>
        <v/>
      </c>
      <c r="S133" s="29">
        <f>IFERROR(VLOOKUP(M133,MgValor,2,0)*VLOOKUP(P133,MgDeg,2,0),0)</f>
        <v/>
      </c>
      <c r="T133" s="30">
        <f>MAX(Q133:S133)</f>
        <v/>
      </c>
      <c r="U133" s="28">
        <f>IFERROR(LOOKUP(T133,{0;0.5;1.5;3;4.5},{"Despreciable";"Bajo";"Medio";"Alto";"Muy alto"}),"")</f>
        <v/>
      </c>
      <c r="V133" s="13">
        <f>IFERROR(INDEX(MgAmenFrec,MATCH(SUBSTITUTE($H133,"*","-"),MgAmenClave,0)),"")</f>
        <v/>
      </c>
      <c r="W133" s="28">
        <f>IFERROR(LOOKUP(X133,{0;0.01;0.1;1;10;100},{"Muy baja";"Muy baja";"Baja";"Media";"Alta";"Muy alta"}),"")</f>
        <v/>
      </c>
      <c r="X133" s="31">
        <f>IFERROR(VLOOKUP(V133,MgFrec,2,0),0)</f>
        <v/>
      </c>
      <c r="Y133" s="30">
        <f>T133*X133</f>
        <v/>
      </c>
      <c r="Z133" s="28">
        <f>IFERROR(LOOKUP(Y133,{0;0.5;5;25},{"Bajo";"Medio";"Alto";"Crítico"}),"")</f>
        <v/>
      </c>
      <c r="AA133" s="64">
        <f>IF(T133&gt;=3,IF(X133&gt;=1,"Zona 1 — Crítica: impacto alto y ocurre al menos una vez al año","Zona 4 — Catastrófica poco probable: impacto alto pero excepcional"),IF(AND(T133&lt;1.5,X133&lt;1),"Zona 3 — Asumible: impacto bajo y muy poco frecuente","Zona 2 — Atención: riesgo intermedio"))</f>
        <v/>
      </c>
      <c r="AB133" s="64">
        <f>IFERROR(INDEX(MgAmenCtrl,MATCH(SUBSTITUTE($H133,"*","-"),MgAmenClave,0)),"")</f>
        <v/>
      </c>
      <c r="AC133" s="20" t="n"/>
      <c r="AD133" s="31">
        <f>IFERROR($X133*(1-IF($AC133="",$AL133,VLOOKUP($AC133,MgMad,2,0))),"")</f>
        <v/>
      </c>
      <c r="AE133" s="28">
        <f>IFERROR(LOOKUP(AD133,{0;0.01;0.1;1;10;100},{"Muy baja";"Muy baja";"Baja";"Media";"Alta";"Muy alta"}),"")</f>
        <v/>
      </c>
      <c r="AF133" s="30">
        <f>T133*AD133</f>
        <v/>
      </c>
      <c r="AG133" s="28">
        <f>IFERROR(LOOKUP(AF133,{0;0.5;5;25},{"Bajo";"Medio";"Alto";"Crítico"}),"")</f>
        <v/>
      </c>
      <c r="AH133" s="28">
        <f>IF(AG133="","",IF(OR(AG133="Crítico",AG133="Alto"),"Mitigar",IF(AG133="Medio","Mitigar","Aceptar y monitorear")))</f>
        <v/>
      </c>
      <c r="AI133" s="21" t="n"/>
      <c r="AJ133" s="21" t="n"/>
      <c r="AK133" s="20" t="n"/>
      <c r="AL133" s="77">
        <f>IFERROR(INDEX(MgAmenEfic,MATCH(SUBSTITUTE($H133,"*","-"),MgAmenClave,0)),0)</f>
        <v/>
      </c>
    </row>
    <row r="134" hidden="1" ht="60" customHeight="1" s="54">
      <c r="B134" s="59" t="inlineStr">
        <is>
          <t>R-0129</t>
        </is>
      </c>
      <c r="C134" s="59" t="inlineStr">
        <is>
          <t>DO-12</t>
        </is>
      </c>
      <c r="D134" s="64">
        <f>IFERROR(INDEX(MgNombre,MATCH($C134,MgActId,0)),"")</f>
        <v/>
      </c>
      <c r="E134" s="64">
        <f>IFERROR(INDEX(MgProceso,MATCH($C134,MgActId,0)),"")</f>
        <v/>
      </c>
      <c r="F134" s="64">
        <f>IFERROR(INDEX(MgTipo,MATCH($C134,MgActId,0)),"")</f>
        <v/>
      </c>
      <c r="G134" s="64">
        <f>IFERROR(INDEX(MgSubtipo,MATCH($C134,MgActId,0)),"")</f>
        <v/>
      </c>
      <c r="H134" s="59" t="inlineStr">
        <is>
          <t>A.15</t>
        </is>
      </c>
      <c r="I134" s="64">
        <f>IFERROR(INDEX(MgAmenNombre,MATCH(SUBSTITUTE($H134,"*","-"),MgAmenClave,0)),"")</f>
        <v/>
      </c>
      <c r="J134" s="28">
        <f>IFERROR(INDEX(MgAmenGrupo,MATCH(SUBSTITUTE($H134,"*","-"),MgAmenClave,0)),"")</f>
        <v/>
      </c>
      <c r="K134" s="64">
        <f>IFERROR(INDEX('1. Matriz de Activos'!$Q$6:$Q$239,MATCH($C134,MgActId,0)),"")</f>
        <v/>
      </c>
      <c r="L134" s="64">
        <f>IFERROR(INDEX('1. Matriz de Activos'!$R$6:$R$239,MATCH($C134,MgActId,0)),"")</f>
        <v/>
      </c>
      <c r="M134" s="64">
        <f>IFERROR(INDEX('1. Matriz de Activos'!$S$6:$S$239,MATCH($C134,MgActId,0)),"")</f>
        <v/>
      </c>
      <c r="N134" s="28">
        <f>IFERROR(INDEX(MgAmenDegD,MATCH(SUBSTITUTE($H134,"*","-"),MgAmenClave,0)),"No aplica")</f>
        <v/>
      </c>
      <c r="O134" s="28">
        <f>IFERROR(INDEX(MgAmenDegI,MATCH(SUBSTITUTE($H134,"*","-"),MgAmenClave,0)),"No aplica")</f>
        <v/>
      </c>
      <c r="P134" s="28">
        <f>IFERROR(INDEX(MgAmenDegC,MATCH(SUBSTITUTE($H134,"*","-"),MgAmenClave,0)),"No aplica")</f>
        <v/>
      </c>
      <c r="Q134" s="29">
        <f>IFERROR(VLOOKUP(K134,MgValor,2,0)*VLOOKUP(N134,MgDeg,2,0),0)</f>
        <v/>
      </c>
      <c r="R134" s="29">
        <f>IFERROR(VLOOKUP(L134,MgValor,2,0)*VLOOKUP(O134,MgDeg,2,0),0)</f>
        <v/>
      </c>
      <c r="S134" s="29">
        <f>IFERROR(VLOOKUP(M134,MgValor,2,0)*VLOOKUP(P134,MgDeg,2,0),0)</f>
        <v/>
      </c>
      <c r="T134" s="30">
        <f>MAX(Q134:S134)</f>
        <v/>
      </c>
      <c r="U134" s="28">
        <f>IFERROR(LOOKUP(T134,{0;0.5;1.5;3;4.5},{"Despreciable";"Bajo";"Medio";"Alto";"Muy alto"}),"")</f>
        <v/>
      </c>
      <c r="V134" s="13">
        <f>IFERROR(INDEX(MgAmenFrec,MATCH(SUBSTITUTE($H134,"*","-"),MgAmenClave,0)),"")</f>
        <v/>
      </c>
      <c r="W134" s="28">
        <f>IFERROR(LOOKUP(X134,{0;0.01;0.1;1;10;100},{"Muy baja";"Muy baja";"Baja";"Media";"Alta";"Muy alta"}),"")</f>
        <v/>
      </c>
      <c r="X134" s="31">
        <f>IFERROR(VLOOKUP(V134,MgFrec,2,0),0)</f>
        <v/>
      </c>
      <c r="Y134" s="30">
        <f>T134*X134</f>
        <v/>
      </c>
      <c r="Z134" s="28">
        <f>IFERROR(LOOKUP(Y134,{0;0.5;5;25},{"Bajo";"Medio";"Alto";"Crítico"}),"")</f>
        <v/>
      </c>
      <c r="AA134" s="64">
        <f>IF(T134&gt;=3,IF(X134&gt;=1,"Zona 1 — Crítica: impacto alto y ocurre al menos una vez al año","Zona 4 — Catastrófica poco probable: impacto alto pero excepcional"),IF(AND(T134&lt;1.5,X134&lt;1),"Zona 3 — Asumible: impacto bajo y muy poco frecuente","Zona 2 — Atención: riesgo intermedio"))</f>
        <v/>
      </c>
      <c r="AB134" s="64">
        <f>IFERROR(INDEX(MgAmenCtrl,MATCH(SUBSTITUTE($H134,"*","-"),MgAmenClave,0)),"")</f>
        <v/>
      </c>
      <c r="AC134" s="20" t="n"/>
      <c r="AD134" s="31">
        <f>IFERROR($X134*(1-IF($AC134="",$AL134,VLOOKUP($AC134,MgMad,2,0))),"")</f>
        <v/>
      </c>
      <c r="AE134" s="28">
        <f>IFERROR(LOOKUP(AD134,{0;0.01;0.1;1;10;100},{"Muy baja";"Muy baja";"Baja";"Media";"Alta";"Muy alta"}),"")</f>
        <v/>
      </c>
      <c r="AF134" s="30">
        <f>T134*AD134</f>
        <v/>
      </c>
      <c r="AG134" s="28">
        <f>IFERROR(LOOKUP(AF134,{0;0.5;5;25},{"Bajo";"Medio";"Alto";"Crítico"}),"")</f>
        <v/>
      </c>
      <c r="AH134" s="28">
        <f>IF(AG134="","",IF(OR(AG134="Crítico",AG134="Alto"),"Mitigar",IF(AG134="Medio","Mitigar","Aceptar y monitorear")))</f>
        <v/>
      </c>
      <c r="AI134" s="21" t="n"/>
      <c r="AJ134" s="21" t="n"/>
      <c r="AK134" s="20" t="n"/>
      <c r="AL134" s="77">
        <f>IFERROR(INDEX(MgAmenEfic,MATCH(SUBSTITUTE($H134,"*","-"),MgAmenClave,0)),0)</f>
        <v/>
      </c>
    </row>
    <row r="135" hidden="1" ht="60" customHeight="1" s="54">
      <c r="B135" s="59" t="inlineStr">
        <is>
          <t>R-0130</t>
        </is>
      </c>
      <c r="C135" s="59" t="inlineStr">
        <is>
          <t>DO-12</t>
        </is>
      </c>
      <c r="D135" s="64">
        <f>IFERROR(INDEX(MgNombre,MATCH($C135,MgActId,0)),"")</f>
        <v/>
      </c>
      <c r="E135" s="64">
        <f>IFERROR(INDEX(MgProceso,MATCH($C135,MgActId,0)),"")</f>
        <v/>
      </c>
      <c r="F135" s="64">
        <f>IFERROR(INDEX(MgTipo,MATCH($C135,MgActId,0)),"")</f>
        <v/>
      </c>
      <c r="G135" s="64">
        <f>IFERROR(INDEX(MgSubtipo,MATCH($C135,MgActId,0)),"")</f>
        <v/>
      </c>
      <c r="H135" s="59" t="inlineStr">
        <is>
          <t>A.18</t>
        </is>
      </c>
      <c r="I135" s="64">
        <f>IFERROR(INDEX(MgAmenNombre,MATCH(SUBSTITUTE($H135,"*","-"),MgAmenClave,0)),"")</f>
        <v/>
      </c>
      <c r="J135" s="28">
        <f>IFERROR(INDEX(MgAmenGrupo,MATCH(SUBSTITUTE($H135,"*","-"),MgAmenClave,0)),"")</f>
        <v/>
      </c>
      <c r="K135" s="64">
        <f>IFERROR(INDEX('1. Matriz de Activos'!$Q$6:$Q$239,MATCH($C135,MgActId,0)),"")</f>
        <v/>
      </c>
      <c r="L135" s="64">
        <f>IFERROR(INDEX('1. Matriz de Activos'!$R$6:$R$239,MATCH($C135,MgActId,0)),"")</f>
        <v/>
      </c>
      <c r="M135" s="64">
        <f>IFERROR(INDEX('1. Matriz de Activos'!$S$6:$S$239,MATCH($C135,MgActId,0)),"")</f>
        <v/>
      </c>
      <c r="N135" s="28">
        <f>IFERROR(INDEX(MgAmenDegD,MATCH(SUBSTITUTE($H135,"*","-"),MgAmenClave,0)),"No aplica")</f>
        <v/>
      </c>
      <c r="O135" s="28">
        <f>IFERROR(INDEX(MgAmenDegI,MATCH(SUBSTITUTE($H135,"*","-"),MgAmenClave,0)),"No aplica")</f>
        <v/>
      </c>
      <c r="P135" s="28">
        <f>IFERROR(INDEX(MgAmenDegC,MATCH(SUBSTITUTE($H135,"*","-"),MgAmenClave,0)),"No aplica")</f>
        <v/>
      </c>
      <c r="Q135" s="29">
        <f>IFERROR(VLOOKUP(K135,MgValor,2,0)*VLOOKUP(N135,MgDeg,2,0),0)</f>
        <v/>
      </c>
      <c r="R135" s="29">
        <f>IFERROR(VLOOKUP(L135,MgValor,2,0)*VLOOKUP(O135,MgDeg,2,0),0)</f>
        <v/>
      </c>
      <c r="S135" s="29">
        <f>IFERROR(VLOOKUP(M135,MgValor,2,0)*VLOOKUP(P135,MgDeg,2,0),0)</f>
        <v/>
      </c>
      <c r="T135" s="30">
        <f>MAX(Q135:S135)</f>
        <v/>
      </c>
      <c r="U135" s="28">
        <f>IFERROR(LOOKUP(T135,{0;0.5;1.5;3;4.5},{"Despreciable";"Bajo";"Medio";"Alto";"Muy alto"}),"")</f>
        <v/>
      </c>
      <c r="V135" s="13">
        <f>IFERROR(INDEX(MgAmenFrec,MATCH(SUBSTITUTE($H135,"*","-"),MgAmenClave,0)),"")</f>
        <v/>
      </c>
      <c r="W135" s="28">
        <f>IFERROR(LOOKUP(X135,{0;0.01;0.1;1;10;100},{"Muy baja";"Muy baja";"Baja";"Media";"Alta";"Muy alta"}),"")</f>
        <v/>
      </c>
      <c r="X135" s="31">
        <f>IFERROR(VLOOKUP(V135,MgFrec,2,0),0)</f>
        <v/>
      </c>
      <c r="Y135" s="30">
        <f>T135*X135</f>
        <v/>
      </c>
      <c r="Z135" s="28">
        <f>IFERROR(LOOKUP(Y135,{0;0.5;5;25},{"Bajo";"Medio";"Alto";"Crítico"}),"")</f>
        <v/>
      </c>
      <c r="AA135" s="64">
        <f>IF(T135&gt;=3,IF(X135&gt;=1,"Zona 1 — Crítica: impacto alto y ocurre al menos una vez al año","Zona 4 — Catastrófica poco probable: impacto alto pero excepcional"),IF(AND(T135&lt;1.5,X135&lt;1),"Zona 3 — Asumible: impacto bajo y muy poco frecuente","Zona 2 — Atención: riesgo intermedio"))</f>
        <v/>
      </c>
      <c r="AB135" s="64">
        <f>IFERROR(INDEX(MgAmenCtrl,MATCH(SUBSTITUTE($H135,"*","-"),MgAmenClave,0)),"")</f>
        <v/>
      </c>
      <c r="AC135" s="20" t="n"/>
      <c r="AD135" s="31">
        <f>IFERROR($X135*(1-IF($AC135="",$AL135,VLOOKUP($AC135,MgMad,2,0))),"")</f>
        <v/>
      </c>
      <c r="AE135" s="28">
        <f>IFERROR(LOOKUP(AD135,{0;0.01;0.1;1;10;100},{"Muy baja";"Muy baja";"Baja";"Media";"Alta";"Muy alta"}),"")</f>
        <v/>
      </c>
      <c r="AF135" s="30">
        <f>T135*AD135</f>
        <v/>
      </c>
      <c r="AG135" s="28">
        <f>IFERROR(LOOKUP(AF135,{0;0.5;5;25},{"Bajo";"Medio";"Alto";"Crítico"}),"")</f>
        <v/>
      </c>
      <c r="AH135" s="28">
        <f>IF(AG135="","",IF(OR(AG135="Crítico",AG135="Alto"),"Mitigar",IF(AG135="Medio","Mitigar","Aceptar y monitorear")))</f>
        <v/>
      </c>
      <c r="AI135" s="21" t="n"/>
      <c r="AJ135" s="21" t="n"/>
      <c r="AK135" s="20" t="n"/>
      <c r="AL135" s="77">
        <f>IFERROR(INDEX(MgAmenEfic,MATCH(SUBSTITUTE($H135,"*","-"),MgAmenClave,0)),0)</f>
        <v/>
      </c>
    </row>
    <row r="136" hidden="1" ht="120" customHeight="1" s="54">
      <c r="B136" s="59" t="inlineStr">
        <is>
          <t>R-0131</t>
        </is>
      </c>
      <c r="C136" s="59" t="inlineStr">
        <is>
          <t>DO-12</t>
        </is>
      </c>
      <c r="D136" s="64">
        <f>IFERROR(INDEX(MgNombre,MATCH($C136,MgActId,0)),"")</f>
        <v/>
      </c>
      <c r="E136" s="64">
        <f>IFERROR(INDEX(MgProceso,MATCH($C136,MgActId,0)),"")</f>
        <v/>
      </c>
      <c r="F136" s="64">
        <f>IFERROR(INDEX(MgTipo,MATCH($C136,MgActId,0)),"")</f>
        <v/>
      </c>
      <c r="G136" s="64">
        <f>IFERROR(INDEX(MgSubtipo,MATCH($C136,MgActId,0)),"")</f>
        <v/>
      </c>
      <c r="H136" s="59" t="inlineStr">
        <is>
          <t>A.19</t>
        </is>
      </c>
      <c r="I136" s="64">
        <f>IFERROR(INDEX(MgAmenNombre,MATCH(SUBSTITUTE($H136,"*","-"),MgAmenClave,0)),"")</f>
        <v/>
      </c>
      <c r="J136" s="28">
        <f>IFERROR(INDEX(MgAmenGrupo,MATCH(SUBSTITUTE($H136,"*","-"),MgAmenClave,0)),"")</f>
        <v/>
      </c>
      <c r="K136" s="64">
        <f>IFERROR(INDEX('1. Matriz de Activos'!$Q$6:$Q$239,MATCH($C136,MgActId,0)),"")</f>
        <v/>
      </c>
      <c r="L136" s="64">
        <f>IFERROR(INDEX('1. Matriz de Activos'!$R$6:$R$239,MATCH($C136,MgActId,0)),"")</f>
        <v/>
      </c>
      <c r="M136" s="64">
        <f>IFERROR(INDEX('1. Matriz de Activos'!$S$6:$S$239,MATCH($C136,MgActId,0)),"")</f>
        <v/>
      </c>
      <c r="N136" s="28">
        <f>IFERROR(INDEX(MgAmenDegD,MATCH(SUBSTITUTE($H136,"*","-"),MgAmenClave,0)),"No aplica")</f>
        <v/>
      </c>
      <c r="O136" s="28">
        <f>IFERROR(INDEX(MgAmenDegI,MATCH(SUBSTITUTE($H136,"*","-"),MgAmenClave,0)),"No aplica")</f>
        <v/>
      </c>
      <c r="P136" s="28">
        <f>IFERROR(INDEX(MgAmenDegC,MATCH(SUBSTITUTE($H136,"*","-"),MgAmenClave,0)),"No aplica")</f>
        <v/>
      </c>
      <c r="Q136" s="29">
        <f>IFERROR(VLOOKUP(K136,MgValor,2,0)*VLOOKUP(N136,MgDeg,2,0),0)</f>
        <v/>
      </c>
      <c r="R136" s="29">
        <f>IFERROR(VLOOKUP(L136,MgValor,2,0)*VLOOKUP(O136,MgDeg,2,0),0)</f>
        <v/>
      </c>
      <c r="S136" s="29">
        <f>IFERROR(VLOOKUP(M136,MgValor,2,0)*VLOOKUP(P136,MgDeg,2,0),0)</f>
        <v/>
      </c>
      <c r="T136" s="30">
        <f>MAX(Q136:S136)</f>
        <v/>
      </c>
      <c r="U136" s="28">
        <f>IFERROR(LOOKUP(T136,{0;0.5;1.5;3;4.5},{"Despreciable";"Bajo";"Medio";"Alto";"Muy alto"}),"")</f>
        <v/>
      </c>
      <c r="V136" s="13">
        <f>IFERROR(INDEX(MgAmenFrec,MATCH(SUBSTITUTE($H136,"*","-"),MgAmenClave,0)),"")</f>
        <v/>
      </c>
      <c r="W136" s="28">
        <f>IFERROR(LOOKUP(X136,{0;0.01;0.1;1;10;100},{"Muy baja";"Muy baja";"Baja";"Media";"Alta";"Muy alta"}),"")</f>
        <v/>
      </c>
      <c r="X136" s="31">
        <f>IFERROR(VLOOKUP(V136,MgFrec,2,0),0)</f>
        <v/>
      </c>
      <c r="Y136" s="30">
        <f>T136*X136</f>
        <v/>
      </c>
      <c r="Z136" s="28">
        <f>IFERROR(LOOKUP(Y136,{0;0.5;5;25},{"Bajo";"Medio";"Alto";"Crítico"}),"")</f>
        <v/>
      </c>
      <c r="AA136" s="64">
        <f>IF(T136&gt;=3,IF(X136&gt;=1,"Zona 1 — Crítica: impacto alto y ocurre al menos una vez al año","Zona 4 — Catastrófica poco probable: impacto alto pero excepcional"),IF(AND(T136&lt;1.5,X136&lt;1),"Zona 3 — Asumible: impacto bajo y muy poco frecuente","Zona 2 — Atención: riesgo intermedio"))</f>
        <v/>
      </c>
      <c r="AB136" s="64">
        <f>IFERROR(INDEX(MgAmenCtrl,MATCH(SUBSTITUTE($H136,"*","-"),MgAmenClave,0)),"")</f>
        <v/>
      </c>
      <c r="AC136" s="20" t="n"/>
      <c r="AD136" s="31">
        <f>IFERROR($X136*(1-IF($AC136="",$AL136,VLOOKUP($AC136,MgMad,2,0))),"")</f>
        <v/>
      </c>
      <c r="AE136" s="28">
        <f>IFERROR(LOOKUP(AD136,{0;0.01;0.1;1;10;100},{"Muy baja";"Muy baja";"Baja";"Media";"Alta";"Muy alta"}),"")</f>
        <v/>
      </c>
      <c r="AF136" s="30">
        <f>T136*AD136</f>
        <v/>
      </c>
      <c r="AG136" s="28">
        <f>IFERROR(LOOKUP(AF136,{0;0.5;5;25},{"Bajo";"Medio";"Alto";"Crítico"}),"")</f>
        <v/>
      </c>
      <c r="AH136" s="28">
        <f>IF(AG136="","",IF(OR(AG136="Crítico",AG136="Alto"),"Mitigar",IF(AG136="Medio","Mitigar","Aceptar y monitorear")))</f>
        <v/>
      </c>
      <c r="AI136" s="21" t="n"/>
      <c r="AJ136" s="21" t="n"/>
      <c r="AK136" s="20" t="n"/>
      <c r="AL136" s="77">
        <f>IFERROR(INDEX(MgAmenEfic,MATCH(SUBSTITUTE($H136,"*","-"),MgAmenClave,0)),0)</f>
        <v/>
      </c>
    </row>
    <row r="137" hidden="1" ht="60" customHeight="1" s="54">
      <c r="B137" s="59" t="inlineStr">
        <is>
          <t>R-0132</t>
        </is>
      </c>
      <c r="C137" s="59" t="inlineStr">
        <is>
          <t>DO-12</t>
        </is>
      </c>
      <c r="D137" s="64">
        <f>IFERROR(INDEX(MgNombre,MATCH($C137,MgActId,0)),"")</f>
        <v/>
      </c>
      <c r="E137" s="64">
        <f>IFERROR(INDEX(MgProceso,MATCH($C137,MgActId,0)),"")</f>
        <v/>
      </c>
      <c r="F137" s="64">
        <f>IFERROR(INDEX(MgTipo,MATCH($C137,MgActId,0)),"")</f>
        <v/>
      </c>
      <c r="G137" s="64">
        <f>IFERROR(INDEX(MgSubtipo,MATCH($C137,MgActId,0)),"")</f>
        <v/>
      </c>
      <c r="H137" s="59" t="inlineStr">
        <is>
          <t>A.24</t>
        </is>
      </c>
      <c r="I137" s="64">
        <f>IFERROR(INDEX(MgAmenNombre,MATCH(SUBSTITUTE($H137,"*","-"),MgAmenClave,0)),"")</f>
        <v/>
      </c>
      <c r="J137" s="28">
        <f>IFERROR(INDEX(MgAmenGrupo,MATCH(SUBSTITUTE($H137,"*","-"),MgAmenClave,0)),"")</f>
        <v/>
      </c>
      <c r="K137" s="64">
        <f>IFERROR(INDEX('1. Matriz de Activos'!$Q$6:$Q$239,MATCH($C137,MgActId,0)),"")</f>
        <v/>
      </c>
      <c r="L137" s="64">
        <f>IFERROR(INDEX('1. Matriz de Activos'!$R$6:$R$239,MATCH($C137,MgActId,0)),"")</f>
        <v/>
      </c>
      <c r="M137" s="64">
        <f>IFERROR(INDEX('1. Matriz de Activos'!$S$6:$S$239,MATCH($C137,MgActId,0)),"")</f>
        <v/>
      </c>
      <c r="N137" s="28">
        <f>IFERROR(INDEX(MgAmenDegD,MATCH(SUBSTITUTE($H137,"*","-"),MgAmenClave,0)),"No aplica")</f>
        <v/>
      </c>
      <c r="O137" s="28">
        <f>IFERROR(INDEX(MgAmenDegI,MATCH(SUBSTITUTE($H137,"*","-"),MgAmenClave,0)),"No aplica")</f>
        <v/>
      </c>
      <c r="P137" s="28">
        <f>IFERROR(INDEX(MgAmenDegC,MATCH(SUBSTITUTE($H137,"*","-"),MgAmenClave,0)),"No aplica")</f>
        <v/>
      </c>
      <c r="Q137" s="29">
        <f>IFERROR(VLOOKUP(K137,MgValor,2,0)*VLOOKUP(N137,MgDeg,2,0),0)</f>
        <v/>
      </c>
      <c r="R137" s="29">
        <f>IFERROR(VLOOKUP(L137,MgValor,2,0)*VLOOKUP(O137,MgDeg,2,0),0)</f>
        <v/>
      </c>
      <c r="S137" s="29">
        <f>IFERROR(VLOOKUP(M137,MgValor,2,0)*VLOOKUP(P137,MgDeg,2,0),0)</f>
        <v/>
      </c>
      <c r="T137" s="30">
        <f>MAX(Q137:S137)</f>
        <v/>
      </c>
      <c r="U137" s="28">
        <f>IFERROR(LOOKUP(T137,{0;0.5;1.5;3;4.5},{"Despreciable";"Bajo";"Medio";"Alto";"Muy alto"}),"")</f>
        <v/>
      </c>
      <c r="V137" s="13">
        <f>IFERROR(INDEX(MgAmenFrec,MATCH(SUBSTITUTE($H137,"*","-"),MgAmenClave,0)),"")</f>
        <v/>
      </c>
      <c r="W137" s="28">
        <f>IFERROR(LOOKUP(X137,{0;0.01;0.1;1;10;100},{"Muy baja";"Muy baja";"Baja";"Media";"Alta";"Muy alta"}),"")</f>
        <v/>
      </c>
      <c r="X137" s="31">
        <f>IFERROR(VLOOKUP(V137,MgFrec,2,0),0)</f>
        <v/>
      </c>
      <c r="Y137" s="30">
        <f>T137*X137</f>
        <v/>
      </c>
      <c r="Z137" s="28">
        <f>IFERROR(LOOKUP(Y137,{0;0.5;5;25},{"Bajo";"Medio";"Alto";"Crítico"}),"")</f>
        <v/>
      </c>
      <c r="AA137" s="64">
        <f>IF(T137&gt;=3,IF(X137&gt;=1,"Zona 1 — Crítica: impacto alto y ocurre al menos una vez al año","Zona 4 — Catastrófica poco probable: impacto alto pero excepcional"),IF(AND(T137&lt;1.5,X137&lt;1),"Zona 3 — Asumible: impacto bajo y muy poco frecuente","Zona 2 — Atención: riesgo intermedio"))</f>
        <v/>
      </c>
      <c r="AB137" s="64">
        <f>IFERROR(INDEX(MgAmenCtrl,MATCH(SUBSTITUTE($H137,"*","-"),MgAmenClave,0)),"")</f>
        <v/>
      </c>
      <c r="AC137" s="20" t="n"/>
      <c r="AD137" s="31">
        <f>IFERROR($X137*(1-IF($AC137="",$AL137,VLOOKUP($AC137,MgMad,2,0))),"")</f>
        <v/>
      </c>
      <c r="AE137" s="28">
        <f>IFERROR(LOOKUP(AD137,{0;0.01;0.1;1;10;100},{"Muy baja";"Muy baja";"Baja";"Media";"Alta";"Muy alta"}),"")</f>
        <v/>
      </c>
      <c r="AF137" s="30">
        <f>T137*AD137</f>
        <v/>
      </c>
      <c r="AG137" s="28">
        <f>IFERROR(LOOKUP(AF137,{0;0.5;5;25},{"Bajo";"Medio";"Alto";"Crítico"}),"")</f>
        <v/>
      </c>
      <c r="AH137" s="28">
        <f>IF(AG137="","",IF(OR(AG137="Crítico",AG137="Alto"),"Mitigar",IF(AG137="Medio","Mitigar","Aceptar y monitorear")))</f>
        <v/>
      </c>
      <c r="AI137" s="21" t="n"/>
      <c r="AJ137" s="21" t="n"/>
      <c r="AK137" s="20" t="n"/>
      <c r="AL137" s="77">
        <f>IFERROR(INDEX(MgAmenEfic,MATCH(SUBSTITUTE($H137,"*","-"),MgAmenClave,0)),0)</f>
        <v/>
      </c>
    </row>
    <row r="138" hidden="1" ht="75" customHeight="1" s="54">
      <c r="B138" s="59" t="inlineStr">
        <is>
          <t>R-0133</t>
        </is>
      </c>
      <c r="C138" s="59" t="inlineStr">
        <is>
          <t>DO-11</t>
        </is>
      </c>
      <c r="D138" s="64">
        <f>IFERROR(INDEX(MgNombre,MATCH($C138,MgActId,0)),"")</f>
        <v/>
      </c>
      <c r="E138" s="64">
        <f>IFERROR(INDEX(MgProceso,MATCH($C138,MgActId,0)),"")</f>
        <v/>
      </c>
      <c r="F138" s="64">
        <f>IFERROR(INDEX(MgTipo,MATCH($C138,MgActId,0)),"")</f>
        <v/>
      </c>
      <c r="G138" s="64">
        <f>IFERROR(INDEX(MgSubtipo,MATCH($C138,MgActId,0)),"")</f>
        <v/>
      </c>
      <c r="H138" s="59" t="inlineStr">
        <is>
          <t>I.8</t>
        </is>
      </c>
      <c r="I138" s="64">
        <f>IFERROR(INDEX(MgAmenNombre,MATCH(SUBSTITUTE($H138,"*","-"),MgAmenClave,0)),"")</f>
        <v/>
      </c>
      <c r="J138" s="28">
        <f>IFERROR(INDEX(MgAmenGrupo,MATCH(SUBSTITUTE($H138,"*","-"),MgAmenClave,0)),"")</f>
        <v/>
      </c>
      <c r="K138" s="64">
        <f>IFERROR(INDEX('1. Matriz de Activos'!$Q$6:$Q$239,MATCH($C138,MgActId,0)),"")</f>
        <v/>
      </c>
      <c r="L138" s="64">
        <f>IFERROR(INDEX('1. Matriz de Activos'!$R$6:$R$239,MATCH($C138,MgActId,0)),"")</f>
        <v/>
      </c>
      <c r="M138" s="64">
        <f>IFERROR(INDEX('1. Matriz de Activos'!$S$6:$S$239,MATCH($C138,MgActId,0)),"")</f>
        <v/>
      </c>
      <c r="N138" s="28">
        <f>IFERROR(INDEX(MgAmenDegD,MATCH(SUBSTITUTE($H138,"*","-"),MgAmenClave,0)),"No aplica")</f>
        <v/>
      </c>
      <c r="O138" s="28">
        <f>IFERROR(INDEX(MgAmenDegI,MATCH(SUBSTITUTE($H138,"*","-"),MgAmenClave,0)),"No aplica")</f>
        <v/>
      </c>
      <c r="P138" s="28">
        <f>IFERROR(INDEX(MgAmenDegC,MATCH(SUBSTITUTE($H138,"*","-"),MgAmenClave,0)),"No aplica")</f>
        <v/>
      </c>
      <c r="Q138" s="29">
        <f>IFERROR(VLOOKUP(K138,MgValor,2,0)*VLOOKUP(N138,MgDeg,2,0),0)</f>
        <v/>
      </c>
      <c r="R138" s="29">
        <f>IFERROR(VLOOKUP(L138,MgValor,2,0)*VLOOKUP(O138,MgDeg,2,0),0)</f>
        <v/>
      </c>
      <c r="S138" s="29">
        <f>IFERROR(VLOOKUP(M138,MgValor,2,0)*VLOOKUP(P138,MgDeg,2,0),0)</f>
        <v/>
      </c>
      <c r="T138" s="30">
        <f>MAX(Q138:S138)</f>
        <v/>
      </c>
      <c r="U138" s="28">
        <f>IFERROR(LOOKUP(T138,{0;0.5;1.5;3;4.5},{"Despreciable";"Bajo";"Medio";"Alto";"Muy alto"}),"")</f>
        <v/>
      </c>
      <c r="V138" s="13">
        <f>IFERROR(INDEX(MgAmenFrec,MATCH(SUBSTITUTE($H138,"*","-"),MgAmenClave,0)),"")</f>
        <v/>
      </c>
      <c r="W138" s="28">
        <f>IFERROR(LOOKUP(X138,{0;0.01;0.1;1;10;100},{"Muy baja";"Muy baja";"Baja";"Media";"Alta";"Muy alta"}),"")</f>
        <v/>
      </c>
      <c r="X138" s="31">
        <f>IFERROR(VLOOKUP(V138,MgFrec,2,0),0)</f>
        <v/>
      </c>
      <c r="Y138" s="30">
        <f>T138*X138</f>
        <v/>
      </c>
      <c r="Z138" s="28">
        <f>IFERROR(LOOKUP(Y138,{0;0.5;5;25},{"Bajo";"Medio";"Alto";"Crítico"}),"")</f>
        <v/>
      </c>
      <c r="AA138" s="64">
        <f>IF(T138&gt;=3,IF(X138&gt;=1,"Zona 1 — Crítica: impacto alto y ocurre al menos una vez al año","Zona 4 — Catastrófica poco probable: impacto alto pero excepcional"),IF(AND(T138&lt;1.5,X138&lt;1),"Zona 3 — Asumible: impacto bajo y muy poco frecuente","Zona 2 — Atención: riesgo intermedio"))</f>
        <v/>
      </c>
      <c r="AB138" s="64">
        <f>IFERROR(INDEX(MgAmenCtrl,MATCH(SUBSTITUTE($H138,"*","-"),MgAmenClave,0)),"")</f>
        <v/>
      </c>
      <c r="AC138" s="20" t="n"/>
      <c r="AD138" s="31">
        <f>IFERROR($X138*(1-IF($AC138="",$AL138,VLOOKUP($AC138,MgMad,2,0))),"")</f>
        <v/>
      </c>
      <c r="AE138" s="28">
        <f>IFERROR(LOOKUP(AD138,{0;0.01;0.1;1;10;100},{"Muy baja";"Muy baja";"Baja";"Media";"Alta";"Muy alta"}),"")</f>
        <v/>
      </c>
      <c r="AF138" s="30">
        <f>T138*AD138</f>
        <v/>
      </c>
      <c r="AG138" s="28">
        <f>IFERROR(LOOKUP(AF138,{0;0.5;5;25},{"Bajo";"Medio";"Alto";"Crítico"}),"")</f>
        <v/>
      </c>
      <c r="AH138" s="28">
        <f>IF(AG138="","",IF(OR(AG138="Crítico",AG138="Alto"),"Mitigar",IF(AG138="Medio","Mitigar","Aceptar y monitorear")))</f>
        <v/>
      </c>
      <c r="AI138" s="21" t="n"/>
      <c r="AJ138" s="21" t="n"/>
      <c r="AK138" s="20" t="n"/>
      <c r="AL138" s="77">
        <f>IFERROR(INDEX(MgAmenEfic,MATCH(SUBSTITUTE($H138,"*","-"),MgAmenClave,0)),0)</f>
        <v/>
      </c>
    </row>
    <row r="139" hidden="1" ht="45" customHeight="1" s="54">
      <c r="B139" s="59" t="inlineStr">
        <is>
          <t>R-0134</t>
        </is>
      </c>
      <c r="C139" s="59" t="inlineStr">
        <is>
          <t>DO-11</t>
        </is>
      </c>
      <c r="D139" s="64">
        <f>IFERROR(INDEX(MgNombre,MATCH($C139,MgActId,0)),"")</f>
        <v/>
      </c>
      <c r="E139" s="64">
        <f>IFERROR(INDEX(MgProceso,MATCH($C139,MgActId,0)),"")</f>
        <v/>
      </c>
      <c r="F139" s="64">
        <f>IFERROR(INDEX(MgTipo,MATCH($C139,MgActId,0)),"")</f>
        <v/>
      </c>
      <c r="G139" s="64">
        <f>IFERROR(INDEX(MgSubtipo,MATCH($C139,MgActId,0)),"")</f>
        <v/>
      </c>
      <c r="H139" s="59" t="inlineStr">
        <is>
          <t>I.11</t>
        </is>
      </c>
      <c r="I139" s="64">
        <f>IFERROR(INDEX(MgAmenNombre,MATCH(SUBSTITUTE($H139,"*","-"),MgAmenClave,0)),"")</f>
        <v/>
      </c>
      <c r="J139" s="28">
        <f>IFERROR(INDEX(MgAmenGrupo,MATCH(SUBSTITUTE($H139,"*","-"),MgAmenClave,0)),"")</f>
        <v/>
      </c>
      <c r="K139" s="64">
        <f>IFERROR(INDEX('1. Matriz de Activos'!$Q$6:$Q$239,MATCH($C139,MgActId,0)),"")</f>
        <v/>
      </c>
      <c r="L139" s="64">
        <f>IFERROR(INDEX('1. Matriz de Activos'!$R$6:$R$239,MATCH($C139,MgActId,0)),"")</f>
        <v/>
      </c>
      <c r="M139" s="64">
        <f>IFERROR(INDEX('1. Matriz de Activos'!$S$6:$S$239,MATCH($C139,MgActId,0)),"")</f>
        <v/>
      </c>
      <c r="N139" s="28">
        <f>IFERROR(INDEX(MgAmenDegD,MATCH(SUBSTITUTE($H139,"*","-"),MgAmenClave,0)),"No aplica")</f>
        <v/>
      </c>
      <c r="O139" s="28">
        <f>IFERROR(INDEX(MgAmenDegI,MATCH(SUBSTITUTE($H139,"*","-"),MgAmenClave,0)),"No aplica")</f>
        <v/>
      </c>
      <c r="P139" s="28">
        <f>IFERROR(INDEX(MgAmenDegC,MATCH(SUBSTITUTE($H139,"*","-"),MgAmenClave,0)),"No aplica")</f>
        <v/>
      </c>
      <c r="Q139" s="29">
        <f>IFERROR(VLOOKUP(K139,MgValor,2,0)*VLOOKUP(N139,MgDeg,2,0),0)</f>
        <v/>
      </c>
      <c r="R139" s="29">
        <f>IFERROR(VLOOKUP(L139,MgValor,2,0)*VLOOKUP(O139,MgDeg,2,0),0)</f>
        <v/>
      </c>
      <c r="S139" s="29">
        <f>IFERROR(VLOOKUP(M139,MgValor,2,0)*VLOOKUP(P139,MgDeg,2,0),0)</f>
        <v/>
      </c>
      <c r="T139" s="30">
        <f>MAX(Q139:S139)</f>
        <v/>
      </c>
      <c r="U139" s="28">
        <f>IFERROR(LOOKUP(T139,{0;0.5;1.5;3;4.5},{"Despreciable";"Bajo";"Medio";"Alto";"Muy alto"}),"")</f>
        <v/>
      </c>
      <c r="V139" s="13">
        <f>IFERROR(INDEX(MgAmenFrec,MATCH(SUBSTITUTE($H139,"*","-"),MgAmenClave,0)),"")</f>
        <v/>
      </c>
      <c r="W139" s="28">
        <f>IFERROR(LOOKUP(X139,{0;0.01;0.1;1;10;100},{"Muy baja";"Muy baja";"Baja";"Media";"Alta";"Muy alta"}),"")</f>
        <v/>
      </c>
      <c r="X139" s="31">
        <f>IFERROR(VLOOKUP(V139,MgFrec,2,0),0)</f>
        <v/>
      </c>
      <c r="Y139" s="30">
        <f>T139*X139</f>
        <v/>
      </c>
      <c r="Z139" s="28">
        <f>IFERROR(LOOKUP(Y139,{0;0.5;5;25},{"Bajo";"Medio";"Alto";"Crítico"}),"")</f>
        <v/>
      </c>
      <c r="AA139" s="64">
        <f>IF(T139&gt;=3,IF(X139&gt;=1,"Zona 1 — Crítica: impacto alto y ocurre al menos una vez al año","Zona 4 — Catastrófica poco probable: impacto alto pero excepcional"),IF(AND(T139&lt;1.5,X139&lt;1),"Zona 3 — Asumible: impacto bajo y muy poco frecuente","Zona 2 — Atención: riesgo intermedio"))</f>
        <v/>
      </c>
      <c r="AB139" s="64">
        <f>IFERROR(INDEX(MgAmenCtrl,MATCH(SUBSTITUTE($H139,"*","-"),MgAmenClave,0)),"")</f>
        <v/>
      </c>
      <c r="AC139" s="20" t="n"/>
      <c r="AD139" s="31">
        <f>IFERROR($X139*(1-IF($AC139="",$AL139,VLOOKUP($AC139,MgMad,2,0))),"")</f>
        <v/>
      </c>
      <c r="AE139" s="28">
        <f>IFERROR(LOOKUP(AD139,{0;0.01;0.1;1;10;100},{"Muy baja";"Muy baja";"Baja";"Media";"Alta";"Muy alta"}),"")</f>
        <v/>
      </c>
      <c r="AF139" s="30">
        <f>T139*AD139</f>
        <v/>
      </c>
      <c r="AG139" s="28">
        <f>IFERROR(LOOKUP(AF139,{0;0.5;5;25},{"Bajo";"Medio";"Alto";"Crítico"}),"")</f>
        <v/>
      </c>
      <c r="AH139" s="28">
        <f>IF(AG139="","",IF(OR(AG139="Crítico",AG139="Alto"),"Mitigar",IF(AG139="Medio","Mitigar","Aceptar y monitorear")))</f>
        <v/>
      </c>
      <c r="AI139" s="21" t="n"/>
      <c r="AJ139" s="21" t="n"/>
      <c r="AK139" s="20" t="n"/>
      <c r="AL139" s="77">
        <f>IFERROR(INDEX(MgAmenEfic,MATCH(SUBSTITUTE($H139,"*","-"),MgAmenClave,0)),0)</f>
        <v/>
      </c>
    </row>
    <row r="140" hidden="1" ht="120" customHeight="1" s="54">
      <c r="B140" s="59" t="inlineStr">
        <is>
          <t>R-0135</t>
        </is>
      </c>
      <c r="C140" s="59" t="inlineStr">
        <is>
          <t>DO-11</t>
        </is>
      </c>
      <c r="D140" s="64">
        <f>IFERROR(INDEX(MgNombre,MATCH($C140,MgActId,0)),"")</f>
        <v/>
      </c>
      <c r="E140" s="64">
        <f>IFERROR(INDEX(MgProceso,MATCH($C140,MgActId,0)),"")</f>
        <v/>
      </c>
      <c r="F140" s="64">
        <f>IFERROR(INDEX(MgTipo,MATCH($C140,MgActId,0)),"")</f>
        <v/>
      </c>
      <c r="G140" s="64">
        <f>IFERROR(INDEX(MgSubtipo,MATCH($C140,MgActId,0)),"")</f>
        <v/>
      </c>
      <c r="H140" s="59" t="inlineStr">
        <is>
          <t>E.2</t>
        </is>
      </c>
      <c r="I140" s="64">
        <f>IFERROR(INDEX(MgAmenNombre,MATCH(SUBSTITUTE($H140,"*","-"),MgAmenClave,0)),"")</f>
        <v/>
      </c>
      <c r="J140" s="28">
        <f>IFERROR(INDEX(MgAmenGrupo,MATCH(SUBSTITUTE($H140,"*","-"),MgAmenClave,0)),"")</f>
        <v/>
      </c>
      <c r="K140" s="64">
        <f>IFERROR(INDEX('1. Matriz de Activos'!$Q$6:$Q$239,MATCH($C140,MgActId,0)),"")</f>
        <v/>
      </c>
      <c r="L140" s="64">
        <f>IFERROR(INDEX('1. Matriz de Activos'!$R$6:$R$239,MATCH($C140,MgActId,0)),"")</f>
        <v/>
      </c>
      <c r="M140" s="64">
        <f>IFERROR(INDEX('1. Matriz de Activos'!$S$6:$S$239,MATCH($C140,MgActId,0)),"")</f>
        <v/>
      </c>
      <c r="N140" s="28">
        <f>IFERROR(INDEX(MgAmenDegD,MATCH(SUBSTITUTE($H140,"*","-"),MgAmenClave,0)),"No aplica")</f>
        <v/>
      </c>
      <c r="O140" s="28">
        <f>IFERROR(INDEX(MgAmenDegI,MATCH(SUBSTITUTE($H140,"*","-"),MgAmenClave,0)),"No aplica")</f>
        <v/>
      </c>
      <c r="P140" s="28">
        <f>IFERROR(INDEX(MgAmenDegC,MATCH(SUBSTITUTE($H140,"*","-"),MgAmenClave,0)),"No aplica")</f>
        <v/>
      </c>
      <c r="Q140" s="29">
        <f>IFERROR(VLOOKUP(K140,MgValor,2,0)*VLOOKUP(N140,MgDeg,2,0),0)</f>
        <v/>
      </c>
      <c r="R140" s="29">
        <f>IFERROR(VLOOKUP(L140,MgValor,2,0)*VLOOKUP(O140,MgDeg,2,0),0)</f>
        <v/>
      </c>
      <c r="S140" s="29">
        <f>IFERROR(VLOOKUP(M140,MgValor,2,0)*VLOOKUP(P140,MgDeg,2,0),0)</f>
        <v/>
      </c>
      <c r="T140" s="30">
        <f>MAX(Q140:S140)</f>
        <v/>
      </c>
      <c r="U140" s="28">
        <f>IFERROR(LOOKUP(T140,{0;0.5;1.5;3;4.5},{"Despreciable";"Bajo";"Medio";"Alto";"Muy alto"}),"")</f>
        <v/>
      </c>
      <c r="V140" s="13">
        <f>IFERROR(INDEX(MgAmenFrec,MATCH(SUBSTITUTE($H140,"*","-"),MgAmenClave,0)),"")</f>
        <v/>
      </c>
      <c r="W140" s="28">
        <f>IFERROR(LOOKUP(X140,{0;0.01;0.1;1;10;100},{"Muy baja";"Muy baja";"Baja";"Media";"Alta";"Muy alta"}),"")</f>
        <v/>
      </c>
      <c r="X140" s="31">
        <f>IFERROR(VLOOKUP(V140,MgFrec,2,0),0)</f>
        <v/>
      </c>
      <c r="Y140" s="30">
        <f>T140*X140</f>
        <v/>
      </c>
      <c r="Z140" s="28">
        <f>IFERROR(LOOKUP(Y140,{0;0.5;5;25},{"Bajo";"Medio";"Alto";"Crítico"}),"")</f>
        <v/>
      </c>
      <c r="AA140" s="64">
        <f>IF(T140&gt;=3,IF(X140&gt;=1,"Zona 1 — Crítica: impacto alto y ocurre al menos una vez al año","Zona 4 — Catastrófica poco probable: impacto alto pero excepcional"),IF(AND(T140&lt;1.5,X140&lt;1),"Zona 3 — Asumible: impacto bajo y muy poco frecuente","Zona 2 — Atención: riesgo intermedio"))</f>
        <v/>
      </c>
      <c r="AB140" s="64">
        <f>IFERROR(INDEX(MgAmenCtrl,MATCH(SUBSTITUTE($H140,"*","-"),MgAmenClave,0)),"")</f>
        <v/>
      </c>
      <c r="AC140" s="20" t="n"/>
      <c r="AD140" s="31">
        <f>IFERROR($X140*(1-IF($AC140="",$AL140,VLOOKUP($AC140,MgMad,2,0))),"")</f>
        <v/>
      </c>
      <c r="AE140" s="28">
        <f>IFERROR(LOOKUP(AD140,{0;0.01;0.1;1;10;100},{"Muy baja";"Muy baja";"Baja";"Media";"Alta";"Muy alta"}),"")</f>
        <v/>
      </c>
      <c r="AF140" s="30">
        <f>T140*AD140</f>
        <v/>
      </c>
      <c r="AG140" s="28">
        <f>IFERROR(LOOKUP(AF140,{0;0.5;5;25},{"Bajo";"Medio";"Alto";"Crítico"}),"")</f>
        <v/>
      </c>
      <c r="AH140" s="28">
        <f>IF(AG140="","",IF(OR(AG140="Crítico",AG140="Alto"),"Mitigar",IF(AG140="Medio","Mitigar","Aceptar y monitorear")))</f>
        <v/>
      </c>
      <c r="AI140" s="21" t="n"/>
      <c r="AJ140" s="21" t="n"/>
      <c r="AK140" s="20" t="n"/>
      <c r="AL140" s="77">
        <f>IFERROR(INDEX(MgAmenEfic,MATCH(SUBSTITUTE($H140,"*","-"),MgAmenClave,0)),0)</f>
        <v/>
      </c>
    </row>
    <row r="141" hidden="1" ht="60" customHeight="1" s="54">
      <c r="B141" s="59" t="inlineStr">
        <is>
          <t>R-0136</t>
        </is>
      </c>
      <c r="C141" s="59" t="inlineStr">
        <is>
          <t>DO-11</t>
        </is>
      </c>
      <c r="D141" s="64">
        <f>IFERROR(INDEX(MgNombre,MATCH($C141,MgActId,0)),"")</f>
        <v/>
      </c>
      <c r="E141" s="64">
        <f>IFERROR(INDEX(MgProceso,MATCH($C141,MgActId,0)),"")</f>
        <v/>
      </c>
      <c r="F141" s="64">
        <f>IFERROR(INDEX(MgTipo,MATCH($C141,MgActId,0)),"")</f>
        <v/>
      </c>
      <c r="G141" s="64">
        <f>IFERROR(INDEX(MgSubtipo,MATCH($C141,MgActId,0)),"")</f>
        <v/>
      </c>
      <c r="H141" s="59" t="inlineStr">
        <is>
          <t>E.9</t>
        </is>
      </c>
      <c r="I141" s="64">
        <f>IFERROR(INDEX(MgAmenNombre,MATCH(SUBSTITUTE($H141,"*","-"),MgAmenClave,0)),"")</f>
        <v/>
      </c>
      <c r="J141" s="28">
        <f>IFERROR(INDEX(MgAmenGrupo,MATCH(SUBSTITUTE($H141,"*","-"),MgAmenClave,0)),"")</f>
        <v/>
      </c>
      <c r="K141" s="64">
        <f>IFERROR(INDEX('1. Matriz de Activos'!$Q$6:$Q$239,MATCH($C141,MgActId,0)),"")</f>
        <v/>
      </c>
      <c r="L141" s="64">
        <f>IFERROR(INDEX('1. Matriz de Activos'!$R$6:$R$239,MATCH($C141,MgActId,0)),"")</f>
        <v/>
      </c>
      <c r="M141" s="64">
        <f>IFERROR(INDEX('1. Matriz de Activos'!$S$6:$S$239,MATCH($C141,MgActId,0)),"")</f>
        <v/>
      </c>
      <c r="N141" s="28">
        <f>IFERROR(INDEX(MgAmenDegD,MATCH(SUBSTITUTE($H141,"*","-"),MgAmenClave,0)),"No aplica")</f>
        <v/>
      </c>
      <c r="O141" s="28">
        <f>IFERROR(INDEX(MgAmenDegI,MATCH(SUBSTITUTE($H141,"*","-"),MgAmenClave,0)),"No aplica")</f>
        <v/>
      </c>
      <c r="P141" s="28">
        <f>IFERROR(INDEX(MgAmenDegC,MATCH(SUBSTITUTE($H141,"*","-"),MgAmenClave,0)),"No aplica")</f>
        <v/>
      </c>
      <c r="Q141" s="29">
        <f>IFERROR(VLOOKUP(K141,MgValor,2,0)*VLOOKUP(N141,MgDeg,2,0),0)</f>
        <v/>
      </c>
      <c r="R141" s="29">
        <f>IFERROR(VLOOKUP(L141,MgValor,2,0)*VLOOKUP(O141,MgDeg,2,0),0)</f>
        <v/>
      </c>
      <c r="S141" s="29">
        <f>IFERROR(VLOOKUP(M141,MgValor,2,0)*VLOOKUP(P141,MgDeg,2,0),0)</f>
        <v/>
      </c>
      <c r="T141" s="30">
        <f>MAX(Q141:S141)</f>
        <v/>
      </c>
      <c r="U141" s="28">
        <f>IFERROR(LOOKUP(T141,{0;0.5;1.5;3;4.5},{"Despreciable";"Bajo";"Medio";"Alto";"Muy alto"}),"")</f>
        <v/>
      </c>
      <c r="V141" s="13">
        <f>IFERROR(INDEX(MgAmenFrec,MATCH(SUBSTITUTE($H141,"*","-"),MgAmenClave,0)),"")</f>
        <v/>
      </c>
      <c r="W141" s="28">
        <f>IFERROR(LOOKUP(X141,{0;0.01;0.1;1;10;100},{"Muy baja";"Muy baja";"Baja";"Media";"Alta";"Muy alta"}),"")</f>
        <v/>
      </c>
      <c r="X141" s="31">
        <f>IFERROR(VLOOKUP(V141,MgFrec,2,0),0)</f>
        <v/>
      </c>
      <c r="Y141" s="30">
        <f>T141*X141</f>
        <v/>
      </c>
      <c r="Z141" s="28">
        <f>IFERROR(LOOKUP(Y141,{0;0.5;5;25},{"Bajo";"Medio";"Alto";"Crítico"}),"")</f>
        <v/>
      </c>
      <c r="AA141" s="64">
        <f>IF(T141&gt;=3,IF(X141&gt;=1,"Zona 1 — Crítica: impacto alto y ocurre al menos una vez al año","Zona 4 — Catastrófica poco probable: impacto alto pero excepcional"),IF(AND(T141&lt;1.5,X141&lt;1),"Zona 3 — Asumible: impacto bajo y muy poco frecuente","Zona 2 — Atención: riesgo intermedio"))</f>
        <v/>
      </c>
      <c r="AB141" s="64">
        <f>IFERROR(INDEX(MgAmenCtrl,MATCH(SUBSTITUTE($H141,"*","-"),MgAmenClave,0)),"")</f>
        <v/>
      </c>
      <c r="AC141" s="20" t="n"/>
      <c r="AD141" s="31">
        <f>IFERROR($X141*(1-IF($AC141="",$AL141,VLOOKUP($AC141,MgMad,2,0))),"")</f>
        <v/>
      </c>
      <c r="AE141" s="28">
        <f>IFERROR(LOOKUP(AD141,{0;0.01;0.1;1;10;100},{"Muy baja";"Muy baja";"Baja";"Media";"Alta";"Muy alta"}),"")</f>
        <v/>
      </c>
      <c r="AF141" s="30">
        <f>T141*AD141</f>
        <v/>
      </c>
      <c r="AG141" s="28">
        <f>IFERROR(LOOKUP(AF141,{0;0.5;5;25},{"Bajo";"Medio";"Alto";"Crítico"}),"")</f>
        <v/>
      </c>
      <c r="AH141" s="28">
        <f>IF(AG141="","",IF(OR(AG141="Crítico",AG141="Alto"),"Mitigar",IF(AG141="Medio","Mitigar","Aceptar y monitorear")))</f>
        <v/>
      </c>
      <c r="AI141" s="21" t="n"/>
      <c r="AJ141" s="21" t="n"/>
      <c r="AK141" s="20" t="n"/>
      <c r="AL141" s="77">
        <f>IFERROR(INDEX(MgAmenEfic,MATCH(SUBSTITUTE($H141,"*","-"),MgAmenClave,0)),0)</f>
        <v/>
      </c>
    </row>
    <row r="142" hidden="1" ht="90" customHeight="1" s="54">
      <c r="B142" s="59" t="inlineStr">
        <is>
          <t>R-0137</t>
        </is>
      </c>
      <c r="C142" s="59" t="inlineStr">
        <is>
          <t>DO-11</t>
        </is>
      </c>
      <c r="D142" s="64">
        <f>IFERROR(INDEX(MgNombre,MATCH($C142,MgActId,0)),"")</f>
        <v/>
      </c>
      <c r="E142" s="64">
        <f>IFERROR(INDEX(MgProceso,MATCH($C142,MgActId,0)),"")</f>
        <v/>
      </c>
      <c r="F142" s="64">
        <f>IFERROR(INDEX(MgTipo,MATCH($C142,MgActId,0)),"")</f>
        <v/>
      </c>
      <c r="G142" s="64">
        <f>IFERROR(INDEX(MgSubtipo,MATCH($C142,MgActId,0)),"")</f>
        <v/>
      </c>
      <c r="H142" s="59" t="inlineStr">
        <is>
          <t>E.10</t>
        </is>
      </c>
      <c r="I142" s="64">
        <f>IFERROR(INDEX(MgAmenNombre,MATCH(SUBSTITUTE($H142,"*","-"),MgAmenClave,0)),"")</f>
        <v/>
      </c>
      <c r="J142" s="28">
        <f>IFERROR(INDEX(MgAmenGrupo,MATCH(SUBSTITUTE($H142,"*","-"),MgAmenClave,0)),"")</f>
        <v/>
      </c>
      <c r="K142" s="64">
        <f>IFERROR(INDEX('1. Matriz de Activos'!$Q$6:$Q$239,MATCH($C142,MgActId,0)),"")</f>
        <v/>
      </c>
      <c r="L142" s="64">
        <f>IFERROR(INDEX('1. Matriz de Activos'!$R$6:$R$239,MATCH($C142,MgActId,0)),"")</f>
        <v/>
      </c>
      <c r="M142" s="64">
        <f>IFERROR(INDEX('1. Matriz de Activos'!$S$6:$S$239,MATCH($C142,MgActId,0)),"")</f>
        <v/>
      </c>
      <c r="N142" s="28">
        <f>IFERROR(INDEX(MgAmenDegD,MATCH(SUBSTITUTE($H142,"*","-"),MgAmenClave,0)),"No aplica")</f>
        <v/>
      </c>
      <c r="O142" s="28">
        <f>IFERROR(INDEX(MgAmenDegI,MATCH(SUBSTITUTE($H142,"*","-"),MgAmenClave,0)),"No aplica")</f>
        <v/>
      </c>
      <c r="P142" s="28">
        <f>IFERROR(INDEX(MgAmenDegC,MATCH(SUBSTITUTE($H142,"*","-"),MgAmenClave,0)),"No aplica")</f>
        <v/>
      </c>
      <c r="Q142" s="29">
        <f>IFERROR(VLOOKUP(K142,MgValor,2,0)*VLOOKUP(N142,MgDeg,2,0),0)</f>
        <v/>
      </c>
      <c r="R142" s="29">
        <f>IFERROR(VLOOKUP(L142,MgValor,2,0)*VLOOKUP(O142,MgDeg,2,0),0)</f>
        <v/>
      </c>
      <c r="S142" s="29">
        <f>IFERROR(VLOOKUP(M142,MgValor,2,0)*VLOOKUP(P142,MgDeg,2,0),0)</f>
        <v/>
      </c>
      <c r="T142" s="30">
        <f>MAX(Q142:S142)</f>
        <v/>
      </c>
      <c r="U142" s="28">
        <f>IFERROR(LOOKUP(T142,{0;0.5;1.5;3;4.5},{"Despreciable";"Bajo";"Medio";"Alto";"Muy alto"}),"")</f>
        <v/>
      </c>
      <c r="V142" s="13">
        <f>IFERROR(INDEX(MgAmenFrec,MATCH(SUBSTITUTE($H142,"*","-"),MgAmenClave,0)),"")</f>
        <v/>
      </c>
      <c r="W142" s="28">
        <f>IFERROR(LOOKUP(X142,{0;0.01;0.1;1;10;100},{"Muy baja";"Muy baja";"Baja";"Media";"Alta";"Muy alta"}),"")</f>
        <v/>
      </c>
      <c r="X142" s="31">
        <f>IFERROR(VLOOKUP(V142,MgFrec,2,0),0)</f>
        <v/>
      </c>
      <c r="Y142" s="30">
        <f>T142*X142</f>
        <v/>
      </c>
      <c r="Z142" s="28">
        <f>IFERROR(LOOKUP(Y142,{0;0.5;5;25},{"Bajo";"Medio";"Alto";"Crítico"}),"")</f>
        <v/>
      </c>
      <c r="AA142" s="64">
        <f>IF(T142&gt;=3,IF(X142&gt;=1,"Zona 1 — Crítica: impacto alto y ocurre al menos una vez al año","Zona 4 — Catastrófica poco probable: impacto alto pero excepcional"),IF(AND(T142&lt;1.5,X142&lt;1),"Zona 3 — Asumible: impacto bajo y muy poco frecuente","Zona 2 — Atención: riesgo intermedio"))</f>
        <v/>
      </c>
      <c r="AB142" s="64">
        <f>IFERROR(INDEX(MgAmenCtrl,MATCH(SUBSTITUTE($H142,"*","-"),MgAmenClave,0)),"")</f>
        <v/>
      </c>
      <c r="AC142" s="20" t="n"/>
      <c r="AD142" s="31">
        <f>IFERROR($X142*(1-IF($AC142="",$AL142,VLOOKUP($AC142,MgMad,2,0))),"")</f>
        <v/>
      </c>
      <c r="AE142" s="28">
        <f>IFERROR(LOOKUP(AD142,{0;0.01;0.1;1;10;100},{"Muy baja";"Muy baja";"Baja";"Media";"Alta";"Muy alta"}),"")</f>
        <v/>
      </c>
      <c r="AF142" s="30">
        <f>T142*AD142</f>
        <v/>
      </c>
      <c r="AG142" s="28">
        <f>IFERROR(LOOKUP(AF142,{0;0.5;5;25},{"Bajo";"Medio";"Alto";"Crítico"}),"")</f>
        <v/>
      </c>
      <c r="AH142" s="28">
        <f>IF(AG142="","",IF(OR(AG142="Crítico",AG142="Alto"),"Mitigar",IF(AG142="Medio","Mitigar","Aceptar y monitorear")))</f>
        <v/>
      </c>
      <c r="AI142" s="21" t="n"/>
      <c r="AJ142" s="21" t="n"/>
      <c r="AK142" s="20" t="n"/>
      <c r="AL142" s="77">
        <f>IFERROR(INDEX(MgAmenEfic,MATCH(SUBSTITUTE($H142,"*","-"),MgAmenClave,0)),0)</f>
        <v/>
      </c>
    </row>
    <row r="143" hidden="1" ht="90" customHeight="1" s="54">
      <c r="B143" s="59" t="inlineStr">
        <is>
          <t>R-0138</t>
        </is>
      </c>
      <c r="C143" s="59" t="inlineStr">
        <is>
          <t>DO-11</t>
        </is>
      </c>
      <c r="D143" s="64">
        <f>IFERROR(INDEX(MgNombre,MATCH($C143,MgActId,0)),"")</f>
        <v/>
      </c>
      <c r="E143" s="64">
        <f>IFERROR(INDEX(MgProceso,MATCH($C143,MgActId,0)),"")</f>
        <v/>
      </c>
      <c r="F143" s="64">
        <f>IFERROR(INDEX(MgTipo,MATCH($C143,MgActId,0)),"")</f>
        <v/>
      </c>
      <c r="G143" s="64">
        <f>IFERROR(INDEX(MgSubtipo,MATCH($C143,MgActId,0)),"")</f>
        <v/>
      </c>
      <c r="H143" s="59" t="inlineStr">
        <is>
          <t>E.14</t>
        </is>
      </c>
      <c r="I143" s="64">
        <f>IFERROR(INDEX(MgAmenNombre,MATCH(SUBSTITUTE($H143,"*","-"),MgAmenClave,0)),"")</f>
        <v/>
      </c>
      <c r="J143" s="28">
        <f>IFERROR(INDEX(MgAmenGrupo,MATCH(SUBSTITUTE($H143,"*","-"),MgAmenClave,0)),"")</f>
        <v/>
      </c>
      <c r="K143" s="64">
        <f>IFERROR(INDEX('1. Matriz de Activos'!$Q$6:$Q$239,MATCH($C143,MgActId,0)),"")</f>
        <v/>
      </c>
      <c r="L143" s="64">
        <f>IFERROR(INDEX('1. Matriz de Activos'!$R$6:$R$239,MATCH($C143,MgActId,0)),"")</f>
        <v/>
      </c>
      <c r="M143" s="64">
        <f>IFERROR(INDEX('1. Matriz de Activos'!$S$6:$S$239,MATCH($C143,MgActId,0)),"")</f>
        <v/>
      </c>
      <c r="N143" s="28">
        <f>IFERROR(INDEX(MgAmenDegD,MATCH(SUBSTITUTE($H143,"*","-"),MgAmenClave,0)),"No aplica")</f>
        <v/>
      </c>
      <c r="O143" s="28">
        <f>IFERROR(INDEX(MgAmenDegI,MATCH(SUBSTITUTE($H143,"*","-"),MgAmenClave,0)),"No aplica")</f>
        <v/>
      </c>
      <c r="P143" s="28">
        <f>IFERROR(INDEX(MgAmenDegC,MATCH(SUBSTITUTE($H143,"*","-"),MgAmenClave,0)),"No aplica")</f>
        <v/>
      </c>
      <c r="Q143" s="29">
        <f>IFERROR(VLOOKUP(K143,MgValor,2,0)*VLOOKUP(N143,MgDeg,2,0),0)</f>
        <v/>
      </c>
      <c r="R143" s="29">
        <f>IFERROR(VLOOKUP(L143,MgValor,2,0)*VLOOKUP(O143,MgDeg,2,0),0)</f>
        <v/>
      </c>
      <c r="S143" s="29">
        <f>IFERROR(VLOOKUP(M143,MgValor,2,0)*VLOOKUP(P143,MgDeg,2,0),0)</f>
        <v/>
      </c>
      <c r="T143" s="30">
        <f>MAX(Q143:S143)</f>
        <v/>
      </c>
      <c r="U143" s="28">
        <f>IFERROR(LOOKUP(T143,{0;0.5;1.5;3;4.5},{"Despreciable";"Bajo";"Medio";"Alto";"Muy alto"}),"")</f>
        <v/>
      </c>
      <c r="V143" s="13">
        <f>IFERROR(INDEX(MgAmenFrec,MATCH(SUBSTITUTE($H143,"*","-"),MgAmenClave,0)),"")</f>
        <v/>
      </c>
      <c r="W143" s="28">
        <f>IFERROR(LOOKUP(X143,{0;0.01;0.1;1;10;100},{"Muy baja";"Muy baja";"Baja";"Media";"Alta";"Muy alta"}),"")</f>
        <v/>
      </c>
      <c r="X143" s="31">
        <f>IFERROR(VLOOKUP(V143,MgFrec,2,0),0)</f>
        <v/>
      </c>
      <c r="Y143" s="30">
        <f>T143*X143</f>
        <v/>
      </c>
      <c r="Z143" s="28">
        <f>IFERROR(LOOKUP(Y143,{0;0.5;5;25},{"Bajo";"Medio";"Alto";"Crítico"}),"")</f>
        <v/>
      </c>
      <c r="AA143" s="64">
        <f>IF(T143&gt;=3,IF(X143&gt;=1,"Zona 1 — Crítica: impacto alto y ocurre al menos una vez al año","Zona 4 — Catastrófica poco probable: impacto alto pero excepcional"),IF(AND(T143&lt;1.5,X143&lt;1),"Zona 3 — Asumible: impacto bajo y muy poco frecuente","Zona 2 — Atención: riesgo intermedio"))</f>
        <v/>
      </c>
      <c r="AB143" s="64">
        <f>IFERROR(INDEX(MgAmenCtrl,MATCH(SUBSTITUTE($H143,"*","-"),MgAmenClave,0)),"")</f>
        <v/>
      </c>
      <c r="AC143" s="20" t="n"/>
      <c r="AD143" s="31">
        <f>IFERROR($X143*(1-IF($AC143="",$AL143,VLOOKUP($AC143,MgMad,2,0))),"")</f>
        <v/>
      </c>
      <c r="AE143" s="28">
        <f>IFERROR(LOOKUP(AD143,{0;0.01;0.1;1;10;100},{"Muy baja";"Muy baja";"Baja";"Media";"Alta";"Muy alta"}),"")</f>
        <v/>
      </c>
      <c r="AF143" s="30">
        <f>T143*AD143</f>
        <v/>
      </c>
      <c r="AG143" s="28">
        <f>IFERROR(LOOKUP(AF143,{0;0.5;5;25},{"Bajo";"Medio";"Alto";"Crítico"}),"")</f>
        <v/>
      </c>
      <c r="AH143" s="28">
        <f>IF(AG143="","",IF(OR(AG143="Crítico",AG143="Alto"),"Mitigar",IF(AG143="Medio","Mitigar","Aceptar y monitorear")))</f>
        <v/>
      </c>
      <c r="AI143" s="21" t="n"/>
      <c r="AJ143" s="21" t="n"/>
      <c r="AK143" s="20" t="n"/>
      <c r="AL143" s="77">
        <f>IFERROR(INDEX(MgAmenEfic,MATCH(SUBSTITUTE($H143,"*","-"),MgAmenClave,0)),0)</f>
        <v/>
      </c>
    </row>
    <row r="144" hidden="1" ht="90" customHeight="1" s="54">
      <c r="B144" s="59" t="inlineStr">
        <is>
          <t>R-0139</t>
        </is>
      </c>
      <c r="C144" s="59" t="inlineStr">
        <is>
          <t>DO-11</t>
        </is>
      </c>
      <c r="D144" s="64">
        <f>IFERROR(INDEX(MgNombre,MATCH($C144,MgActId,0)),"")</f>
        <v/>
      </c>
      <c r="E144" s="64">
        <f>IFERROR(INDEX(MgProceso,MATCH($C144,MgActId,0)),"")</f>
        <v/>
      </c>
      <c r="F144" s="64">
        <f>IFERROR(INDEX(MgTipo,MATCH($C144,MgActId,0)),"")</f>
        <v/>
      </c>
      <c r="G144" s="64">
        <f>IFERROR(INDEX(MgSubtipo,MATCH($C144,MgActId,0)),"")</f>
        <v/>
      </c>
      <c r="H144" s="59" t="inlineStr">
        <is>
          <t>E.15</t>
        </is>
      </c>
      <c r="I144" s="64">
        <f>IFERROR(INDEX(MgAmenNombre,MATCH(SUBSTITUTE($H144,"*","-"),MgAmenClave,0)),"")</f>
        <v/>
      </c>
      <c r="J144" s="28">
        <f>IFERROR(INDEX(MgAmenGrupo,MATCH(SUBSTITUTE($H144,"*","-"),MgAmenClave,0)),"")</f>
        <v/>
      </c>
      <c r="K144" s="64">
        <f>IFERROR(INDEX('1. Matriz de Activos'!$Q$6:$Q$239,MATCH($C144,MgActId,0)),"")</f>
        <v/>
      </c>
      <c r="L144" s="64">
        <f>IFERROR(INDEX('1. Matriz de Activos'!$R$6:$R$239,MATCH($C144,MgActId,0)),"")</f>
        <v/>
      </c>
      <c r="M144" s="64">
        <f>IFERROR(INDEX('1. Matriz de Activos'!$S$6:$S$239,MATCH($C144,MgActId,0)),"")</f>
        <v/>
      </c>
      <c r="N144" s="28">
        <f>IFERROR(INDEX(MgAmenDegD,MATCH(SUBSTITUTE($H144,"*","-"),MgAmenClave,0)),"No aplica")</f>
        <v/>
      </c>
      <c r="O144" s="28">
        <f>IFERROR(INDEX(MgAmenDegI,MATCH(SUBSTITUTE($H144,"*","-"),MgAmenClave,0)),"No aplica")</f>
        <v/>
      </c>
      <c r="P144" s="28">
        <f>IFERROR(INDEX(MgAmenDegC,MATCH(SUBSTITUTE($H144,"*","-"),MgAmenClave,0)),"No aplica")</f>
        <v/>
      </c>
      <c r="Q144" s="29">
        <f>IFERROR(VLOOKUP(K144,MgValor,2,0)*VLOOKUP(N144,MgDeg,2,0),0)</f>
        <v/>
      </c>
      <c r="R144" s="29">
        <f>IFERROR(VLOOKUP(L144,MgValor,2,0)*VLOOKUP(O144,MgDeg,2,0),0)</f>
        <v/>
      </c>
      <c r="S144" s="29">
        <f>IFERROR(VLOOKUP(M144,MgValor,2,0)*VLOOKUP(P144,MgDeg,2,0),0)</f>
        <v/>
      </c>
      <c r="T144" s="30">
        <f>MAX(Q144:S144)</f>
        <v/>
      </c>
      <c r="U144" s="28">
        <f>IFERROR(LOOKUP(T144,{0;0.5;1.5;3;4.5},{"Despreciable";"Bajo";"Medio";"Alto";"Muy alto"}),"")</f>
        <v/>
      </c>
      <c r="V144" s="13">
        <f>IFERROR(INDEX(MgAmenFrec,MATCH(SUBSTITUTE($H144,"*","-"),MgAmenClave,0)),"")</f>
        <v/>
      </c>
      <c r="W144" s="28">
        <f>IFERROR(LOOKUP(X144,{0;0.01;0.1;1;10;100},{"Muy baja";"Muy baja";"Baja";"Media";"Alta";"Muy alta"}),"")</f>
        <v/>
      </c>
      <c r="X144" s="31">
        <f>IFERROR(VLOOKUP(V144,MgFrec,2,0),0)</f>
        <v/>
      </c>
      <c r="Y144" s="30">
        <f>T144*X144</f>
        <v/>
      </c>
      <c r="Z144" s="28">
        <f>IFERROR(LOOKUP(Y144,{0;0.5;5;25},{"Bajo";"Medio";"Alto";"Crítico"}),"")</f>
        <v/>
      </c>
      <c r="AA144" s="64">
        <f>IF(T144&gt;=3,IF(X144&gt;=1,"Zona 1 — Crítica: impacto alto y ocurre al menos una vez al año","Zona 4 — Catastrófica poco probable: impacto alto pero excepcional"),IF(AND(T144&lt;1.5,X144&lt;1),"Zona 3 — Asumible: impacto bajo y muy poco frecuente","Zona 2 — Atención: riesgo intermedio"))</f>
        <v/>
      </c>
      <c r="AB144" s="64">
        <f>IFERROR(INDEX(MgAmenCtrl,MATCH(SUBSTITUTE($H144,"*","-"),MgAmenClave,0)),"")</f>
        <v/>
      </c>
      <c r="AC144" s="20" t="n"/>
      <c r="AD144" s="31">
        <f>IFERROR($X144*(1-IF($AC144="",$AL144,VLOOKUP($AC144,MgMad,2,0))),"")</f>
        <v/>
      </c>
      <c r="AE144" s="28">
        <f>IFERROR(LOOKUP(AD144,{0;0.01;0.1;1;10;100},{"Muy baja";"Muy baja";"Baja";"Media";"Alta";"Muy alta"}),"")</f>
        <v/>
      </c>
      <c r="AF144" s="30">
        <f>T144*AD144</f>
        <v/>
      </c>
      <c r="AG144" s="28">
        <f>IFERROR(LOOKUP(AF144,{0;0.5;5;25},{"Bajo";"Medio";"Alto";"Crítico"}),"")</f>
        <v/>
      </c>
      <c r="AH144" s="28">
        <f>IF(AG144="","",IF(OR(AG144="Crítico",AG144="Alto"),"Mitigar",IF(AG144="Medio","Mitigar","Aceptar y monitorear")))</f>
        <v/>
      </c>
      <c r="AI144" s="21" t="n"/>
      <c r="AJ144" s="21" t="n"/>
      <c r="AK144" s="20" t="n"/>
      <c r="AL144" s="77">
        <f>IFERROR(INDEX(MgAmenEfic,MATCH(SUBSTITUTE($H144,"*","-"),MgAmenClave,0)),0)</f>
        <v/>
      </c>
    </row>
    <row r="145" hidden="1" ht="60" customHeight="1" s="54">
      <c r="B145" s="59" t="inlineStr">
        <is>
          <t>R-0140</t>
        </is>
      </c>
      <c r="C145" s="59" t="inlineStr">
        <is>
          <t>DO-11</t>
        </is>
      </c>
      <c r="D145" s="64">
        <f>IFERROR(INDEX(MgNombre,MATCH($C145,MgActId,0)),"")</f>
        <v/>
      </c>
      <c r="E145" s="64">
        <f>IFERROR(INDEX(MgProceso,MATCH($C145,MgActId,0)),"")</f>
        <v/>
      </c>
      <c r="F145" s="64">
        <f>IFERROR(INDEX(MgTipo,MATCH($C145,MgActId,0)),"")</f>
        <v/>
      </c>
      <c r="G145" s="64">
        <f>IFERROR(INDEX(MgSubtipo,MATCH($C145,MgActId,0)),"")</f>
        <v/>
      </c>
      <c r="H145" s="59" t="inlineStr">
        <is>
          <t>E.18</t>
        </is>
      </c>
      <c r="I145" s="64">
        <f>IFERROR(INDEX(MgAmenNombre,MATCH(SUBSTITUTE($H145,"*","-"),MgAmenClave,0)),"")</f>
        <v/>
      </c>
      <c r="J145" s="28">
        <f>IFERROR(INDEX(MgAmenGrupo,MATCH(SUBSTITUTE($H145,"*","-"),MgAmenClave,0)),"")</f>
        <v/>
      </c>
      <c r="K145" s="64">
        <f>IFERROR(INDEX('1. Matriz de Activos'!$Q$6:$Q$239,MATCH($C145,MgActId,0)),"")</f>
        <v/>
      </c>
      <c r="L145" s="64">
        <f>IFERROR(INDEX('1. Matriz de Activos'!$R$6:$R$239,MATCH($C145,MgActId,0)),"")</f>
        <v/>
      </c>
      <c r="M145" s="64">
        <f>IFERROR(INDEX('1. Matriz de Activos'!$S$6:$S$239,MATCH($C145,MgActId,0)),"")</f>
        <v/>
      </c>
      <c r="N145" s="28">
        <f>IFERROR(INDEX(MgAmenDegD,MATCH(SUBSTITUTE($H145,"*","-"),MgAmenClave,0)),"No aplica")</f>
        <v/>
      </c>
      <c r="O145" s="28">
        <f>IFERROR(INDEX(MgAmenDegI,MATCH(SUBSTITUTE($H145,"*","-"),MgAmenClave,0)),"No aplica")</f>
        <v/>
      </c>
      <c r="P145" s="28">
        <f>IFERROR(INDEX(MgAmenDegC,MATCH(SUBSTITUTE($H145,"*","-"),MgAmenClave,0)),"No aplica")</f>
        <v/>
      </c>
      <c r="Q145" s="29">
        <f>IFERROR(VLOOKUP(K145,MgValor,2,0)*VLOOKUP(N145,MgDeg,2,0),0)</f>
        <v/>
      </c>
      <c r="R145" s="29">
        <f>IFERROR(VLOOKUP(L145,MgValor,2,0)*VLOOKUP(O145,MgDeg,2,0),0)</f>
        <v/>
      </c>
      <c r="S145" s="29">
        <f>IFERROR(VLOOKUP(M145,MgValor,2,0)*VLOOKUP(P145,MgDeg,2,0),0)</f>
        <v/>
      </c>
      <c r="T145" s="30">
        <f>MAX(Q145:S145)</f>
        <v/>
      </c>
      <c r="U145" s="28">
        <f>IFERROR(LOOKUP(T145,{0;0.5;1.5;3;4.5},{"Despreciable";"Bajo";"Medio";"Alto";"Muy alto"}),"")</f>
        <v/>
      </c>
      <c r="V145" s="13">
        <f>IFERROR(INDEX(MgAmenFrec,MATCH(SUBSTITUTE($H145,"*","-"),MgAmenClave,0)),"")</f>
        <v/>
      </c>
      <c r="W145" s="28">
        <f>IFERROR(LOOKUP(X145,{0;0.01;0.1;1;10;100},{"Muy baja";"Muy baja";"Baja";"Media";"Alta";"Muy alta"}),"")</f>
        <v/>
      </c>
      <c r="X145" s="31">
        <f>IFERROR(VLOOKUP(V145,MgFrec,2,0),0)</f>
        <v/>
      </c>
      <c r="Y145" s="30">
        <f>T145*X145</f>
        <v/>
      </c>
      <c r="Z145" s="28">
        <f>IFERROR(LOOKUP(Y145,{0;0.5;5;25},{"Bajo";"Medio";"Alto";"Crítico"}),"")</f>
        <v/>
      </c>
      <c r="AA145" s="64">
        <f>IF(T145&gt;=3,IF(X145&gt;=1,"Zona 1 — Crítica: impacto alto y ocurre al menos una vez al año","Zona 4 — Catastrófica poco probable: impacto alto pero excepcional"),IF(AND(T145&lt;1.5,X145&lt;1),"Zona 3 — Asumible: impacto bajo y muy poco frecuente","Zona 2 — Atención: riesgo intermedio"))</f>
        <v/>
      </c>
      <c r="AB145" s="64">
        <f>IFERROR(INDEX(MgAmenCtrl,MATCH(SUBSTITUTE($H145,"*","-"),MgAmenClave,0)),"")</f>
        <v/>
      </c>
      <c r="AC145" s="20" t="n"/>
      <c r="AD145" s="31">
        <f>IFERROR($X145*(1-IF($AC145="",$AL145,VLOOKUP($AC145,MgMad,2,0))),"")</f>
        <v/>
      </c>
      <c r="AE145" s="28">
        <f>IFERROR(LOOKUP(AD145,{0;0.01;0.1;1;10;100},{"Muy baja";"Muy baja";"Baja";"Media";"Alta";"Muy alta"}),"")</f>
        <v/>
      </c>
      <c r="AF145" s="30">
        <f>T145*AD145</f>
        <v/>
      </c>
      <c r="AG145" s="28">
        <f>IFERROR(LOOKUP(AF145,{0;0.5;5;25},{"Bajo";"Medio";"Alto";"Crítico"}),"")</f>
        <v/>
      </c>
      <c r="AH145" s="28">
        <f>IF(AG145="","",IF(OR(AG145="Crítico",AG145="Alto"),"Mitigar",IF(AG145="Medio","Mitigar","Aceptar y monitorear")))</f>
        <v/>
      </c>
      <c r="AI145" s="21" t="n"/>
      <c r="AJ145" s="21" t="n"/>
      <c r="AK145" s="20" t="n"/>
      <c r="AL145" s="77">
        <f>IFERROR(INDEX(MgAmenEfic,MATCH(SUBSTITUTE($H145,"*","-"),MgAmenClave,0)),0)</f>
        <v/>
      </c>
    </row>
    <row r="146" hidden="1" ht="105" customHeight="1" s="54">
      <c r="B146" s="59" t="inlineStr">
        <is>
          <t>R-0141</t>
        </is>
      </c>
      <c r="C146" s="59" t="inlineStr">
        <is>
          <t>DO-11</t>
        </is>
      </c>
      <c r="D146" s="64">
        <f>IFERROR(INDEX(MgNombre,MATCH($C146,MgActId,0)),"")</f>
        <v/>
      </c>
      <c r="E146" s="64">
        <f>IFERROR(INDEX(MgProceso,MATCH($C146,MgActId,0)),"")</f>
        <v/>
      </c>
      <c r="F146" s="64">
        <f>IFERROR(INDEX(MgTipo,MATCH($C146,MgActId,0)),"")</f>
        <v/>
      </c>
      <c r="G146" s="64">
        <f>IFERROR(INDEX(MgSubtipo,MATCH($C146,MgActId,0)),"")</f>
        <v/>
      </c>
      <c r="H146" s="59" t="inlineStr">
        <is>
          <t>E.19</t>
        </is>
      </c>
      <c r="I146" s="64">
        <f>IFERROR(INDEX(MgAmenNombre,MATCH(SUBSTITUTE($H146,"*","-"),MgAmenClave,0)),"")</f>
        <v/>
      </c>
      <c r="J146" s="28">
        <f>IFERROR(INDEX(MgAmenGrupo,MATCH(SUBSTITUTE($H146,"*","-"),MgAmenClave,0)),"")</f>
        <v/>
      </c>
      <c r="K146" s="64">
        <f>IFERROR(INDEX('1. Matriz de Activos'!$Q$6:$Q$239,MATCH($C146,MgActId,0)),"")</f>
        <v/>
      </c>
      <c r="L146" s="64">
        <f>IFERROR(INDEX('1. Matriz de Activos'!$R$6:$R$239,MATCH($C146,MgActId,0)),"")</f>
        <v/>
      </c>
      <c r="M146" s="64">
        <f>IFERROR(INDEX('1. Matriz de Activos'!$S$6:$S$239,MATCH($C146,MgActId,0)),"")</f>
        <v/>
      </c>
      <c r="N146" s="28">
        <f>IFERROR(INDEX(MgAmenDegD,MATCH(SUBSTITUTE($H146,"*","-"),MgAmenClave,0)),"No aplica")</f>
        <v/>
      </c>
      <c r="O146" s="28">
        <f>IFERROR(INDEX(MgAmenDegI,MATCH(SUBSTITUTE($H146,"*","-"),MgAmenClave,0)),"No aplica")</f>
        <v/>
      </c>
      <c r="P146" s="28">
        <f>IFERROR(INDEX(MgAmenDegC,MATCH(SUBSTITUTE($H146,"*","-"),MgAmenClave,0)),"No aplica")</f>
        <v/>
      </c>
      <c r="Q146" s="29">
        <f>IFERROR(VLOOKUP(K146,MgValor,2,0)*VLOOKUP(N146,MgDeg,2,0),0)</f>
        <v/>
      </c>
      <c r="R146" s="29">
        <f>IFERROR(VLOOKUP(L146,MgValor,2,0)*VLOOKUP(O146,MgDeg,2,0),0)</f>
        <v/>
      </c>
      <c r="S146" s="29">
        <f>IFERROR(VLOOKUP(M146,MgValor,2,0)*VLOOKUP(P146,MgDeg,2,0),0)</f>
        <v/>
      </c>
      <c r="T146" s="30">
        <f>MAX(Q146:S146)</f>
        <v/>
      </c>
      <c r="U146" s="28">
        <f>IFERROR(LOOKUP(T146,{0;0.5;1.5;3;4.5},{"Despreciable";"Bajo";"Medio";"Alto";"Muy alto"}),"")</f>
        <v/>
      </c>
      <c r="V146" s="13">
        <f>IFERROR(INDEX(MgAmenFrec,MATCH(SUBSTITUTE($H146,"*","-"),MgAmenClave,0)),"")</f>
        <v/>
      </c>
      <c r="W146" s="28">
        <f>IFERROR(LOOKUP(X146,{0;0.01;0.1;1;10;100},{"Muy baja";"Muy baja";"Baja";"Media";"Alta";"Muy alta"}),"")</f>
        <v/>
      </c>
      <c r="X146" s="31">
        <f>IFERROR(VLOOKUP(V146,MgFrec,2,0),0)</f>
        <v/>
      </c>
      <c r="Y146" s="30">
        <f>T146*X146</f>
        <v/>
      </c>
      <c r="Z146" s="28">
        <f>IFERROR(LOOKUP(Y146,{0;0.5;5;25},{"Bajo";"Medio";"Alto";"Crítico"}),"")</f>
        <v/>
      </c>
      <c r="AA146" s="64">
        <f>IF(T146&gt;=3,IF(X146&gt;=1,"Zona 1 — Crítica: impacto alto y ocurre al menos una vez al año","Zona 4 — Catastrófica poco probable: impacto alto pero excepcional"),IF(AND(T146&lt;1.5,X146&lt;1),"Zona 3 — Asumible: impacto bajo y muy poco frecuente","Zona 2 — Atención: riesgo intermedio"))</f>
        <v/>
      </c>
      <c r="AB146" s="64">
        <f>IFERROR(INDEX(MgAmenCtrl,MATCH(SUBSTITUTE($H146,"*","-"),MgAmenClave,0)),"")</f>
        <v/>
      </c>
      <c r="AC146" s="20" t="n"/>
      <c r="AD146" s="31">
        <f>IFERROR($X146*(1-IF($AC146="",$AL146,VLOOKUP($AC146,MgMad,2,0))),"")</f>
        <v/>
      </c>
      <c r="AE146" s="28">
        <f>IFERROR(LOOKUP(AD146,{0;0.01;0.1;1;10;100},{"Muy baja";"Muy baja";"Baja";"Media";"Alta";"Muy alta"}),"")</f>
        <v/>
      </c>
      <c r="AF146" s="30">
        <f>T146*AD146</f>
        <v/>
      </c>
      <c r="AG146" s="28">
        <f>IFERROR(LOOKUP(AF146,{0;0.5;5;25},{"Bajo";"Medio";"Alto";"Crítico"}),"")</f>
        <v/>
      </c>
      <c r="AH146" s="28">
        <f>IF(AG146="","",IF(OR(AG146="Crítico",AG146="Alto"),"Mitigar",IF(AG146="Medio","Mitigar","Aceptar y monitorear")))</f>
        <v/>
      </c>
      <c r="AI146" s="21" t="n"/>
      <c r="AJ146" s="21" t="n"/>
      <c r="AK146" s="20" t="n"/>
      <c r="AL146" s="77">
        <f>IFERROR(INDEX(MgAmenEfic,MATCH(SUBSTITUTE($H146,"*","-"),MgAmenClave,0)),0)</f>
        <v/>
      </c>
    </row>
    <row r="147" hidden="1" ht="45" customHeight="1" s="54">
      <c r="B147" s="59" t="inlineStr">
        <is>
          <t>R-0142</t>
        </is>
      </c>
      <c r="C147" s="59" t="inlineStr">
        <is>
          <t>DO-11</t>
        </is>
      </c>
      <c r="D147" s="64">
        <f>IFERROR(INDEX(MgNombre,MATCH($C147,MgActId,0)),"")</f>
        <v/>
      </c>
      <c r="E147" s="64">
        <f>IFERROR(INDEX(MgProceso,MATCH($C147,MgActId,0)),"")</f>
        <v/>
      </c>
      <c r="F147" s="64">
        <f>IFERROR(INDEX(MgTipo,MATCH($C147,MgActId,0)),"")</f>
        <v/>
      </c>
      <c r="G147" s="64">
        <f>IFERROR(INDEX(MgSubtipo,MATCH($C147,MgActId,0)),"")</f>
        <v/>
      </c>
      <c r="H147" s="59" t="inlineStr">
        <is>
          <t>E.24</t>
        </is>
      </c>
      <c r="I147" s="64">
        <f>IFERROR(INDEX(MgAmenNombre,MATCH(SUBSTITUTE($H147,"*","-"),MgAmenClave,0)),"")</f>
        <v/>
      </c>
      <c r="J147" s="28">
        <f>IFERROR(INDEX(MgAmenGrupo,MATCH(SUBSTITUTE($H147,"*","-"),MgAmenClave,0)),"")</f>
        <v/>
      </c>
      <c r="K147" s="64">
        <f>IFERROR(INDEX('1. Matriz de Activos'!$Q$6:$Q$239,MATCH($C147,MgActId,0)),"")</f>
        <v/>
      </c>
      <c r="L147" s="64">
        <f>IFERROR(INDEX('1. Matriz de Activos'!$R$6:$R$239,MATCH($C147,MgActId,0)),"")</f>
        <v/>
      </c>
      <c r="M147" s="64">
        <f>IFERROR(INDEX('1. Matriz de Activos'!$S$6:$S$239,MATCH($C147,MgActId,0)),"")</f>
        <v/>
      </c>
      <c r="N147" s="28">
        <f>IFERROR(INDEX(MgAmenDegD,MATCH(SUBSTITUTE($H147,"*","-"),MgAmenClave,0)),"No aplica")</f>
        <v/>
      </c>
      <c r="O147" s="28">
        <f>IFERROR(INDEX(MgAmenDegI,MATCH(SUBSTITUTE($H147,"*","-"),MgAmenClave,0)),"No aplica")</f>
        <v/>
      </c>
      <c r="P147" s="28">
        <f>IFERROR(INDEX(MgAmenDegC,MATCH(SUBSTITUTE($H147,"*","-"),MgAmenClave,0)),"No aplica")</f>
        <v/>
      </c>
      <c r="Q147" s="29">
        <f>IFERROR(VLOOKUP(K147,MgValor,2,0)*VLOOKUP(N147,MgDeg,2,0),0)</f>
        <v/>
      </c>
      <c r="R147" s="29">
        <f>IFERROR(VLOOKUP(L147,MgValor,2,0)*VLOOKUP(O147,MgDeg,2,0),0)</f>
        <v/>
      </c>
      <c r="S147" s="29">
        <f>IFERROR(VLOOKUP(M147,MgValor,2,0)*VLOOKUP(P147,MgDeg,2,0),0)</f>
        <v/>
      </c>
      <c r="T147" s="30">
        <f>MAX(Q147:S147)</f>
        <v/>
      </c>
      <c r="U147" s="28">
        <f>IFERROR(LOOKUP(T147,{0;0.5;1.5;3;4.5},{"Despreciable";"Bajo";"Medio";"Alto";"Muy alto"}),"")</f>
        <v/>
      </c>
      <c r="V147" s="13">
        <f>IFERROR(INDEX(MgAmenFrec,MATCH(SUBSTITUTE($H147,"*","-"),MgAmenClave,0)),"")</f>
        <v/>
      </c>
      <c r="W147" s="28">
        <f>IFERROR(LOOKUP(X147,{0;0.01;0.1;1;10;100},{"Muy baja";"Muy baja";"Baja";"Media";"Alta";"Muy alta"}),"")</f>
        <v/>
      </c>
      <c r="X147" s="31">
        <f>IFERROR(VLOOKUP(V147,MgFrec,2,0),0)</f>
        <v/>
      </c>
      <c r="Y147" s="30">
        <f>T147*X147</f>
        <v/>
      </c>
      <c r="Z147" s="28">
        <f>IFERROR(LOOKUP(Y147,{0;0.5;5;25},{"Bajo";"Medio";"Alto";"Crítico"}),"")</f>
        <v/>
      </c>
      <c r="AA147" s="64">
        <f>IF(T147&gt;=3,IF(X147&gt;=1,"Zona 1 — Crítica: impacto alto y ocurre al menos una vez al año","Zona 4 — Catastrófica poco probable: impacto alto pero excepcional"),IF(AND(T147&lt;1.5,X147&lt;1),"Zona 3 — Asumible: impacto bajo y muy poco frecuente","Zona 2 — Atención: riesgo intermedio"))</f>
        <v/>
      </c>
      <c r="AB147" s="64">
        <f>IFERROR(INDEX(MgAmenCtrl,MATCH(SUBSTITUTE($H147,"*","-"),MgAmenClave,0)),"")</f>
        <v/>
      </c>
      <c r="AC147" s="20" t="n"/>
      <c r="AD147" s="31">
        <f>IFERROR($X147*(1-IF($AC147="",$AL147,VLOOKUP($AC147,MgMad,2,0))),"")</f>
        <v/>
      </c>
      <c r="AE147" s="28">
        <f>IFERROR(LOOKUP(AD147,{0;0.01;0.1;1;10;100},{"Muy baja";"Muy baja";"Baja";"Media";"Alta";"Muy alta"}),"")</f>
        <v/>
      </c>
      <c r="AF147" s="30">
        <f>T147*AD147</f>
        <v/>
      </c>
      <c r="AG147" s="28">
        <f>IFERROR(LOOKUP(AF147,{0;0.5;5;25},{"Bajo";"Medio";"Alto";"Crítico"}),"")</f>
        <v/>
      </c>
      <c r="AH147" s="28">
        <f>IF(AG147="","",IF(OR(AG147="Crítico",AG147="Alto"),"Mitigar",IF(AG147="Medio","Mitigar","Aceptar y monitorear")))</f>
        <v/>
      </c>
      <c r="AI147" s="21" t="n"/>
      <c r="AJ147" s="21" t="n"/>
      <c r="AK147" s="20" t="n"/>
      <c r="AL147" s="77">
        <f>IFERROR(INDEX(MgAmenEfic,MATCH(SUBSTITUTE($H147,"*","-"),MgAmenClave,0)),0)</f>
        <v/>
      </c>
    </row>
    <row r="148" hidden="1" ht="75" customHeight="1" s="54">
      <c r="B148" s="59" t="inlineStr">
        <is>
          <t>R-0143</t>
        </is>
      </c>
      <c r="C148" s="59" t="inlineStr">
        <is>
          <t>DO-11</t>
        </is>
      </c>
      <c r="D148" s="64">
        <f>IFERROR(INDEX(MgNombre,MATCH($C148,MgActId,0)),"")</f>
        <v/>
      </c>
      <c r="E148" s="64">
        <f>IFERROR(INDEX(MgProceso,MATCH($C148,MgActId,0)),"")</f>
        <v/>
      </c>
      <c r="F148" s="64">
        <f>IFERROR(INDEX(MgTipo,MATCH($C148,MgActId,0)),"")</f>
        <v/>
      </c>
      <c r="G148" s="64">
        <f>IFERROR(INDEX(MgSubtipo,MATCH($C148,MgActId,0)),"")</f>
        <v/>
      </c>
      <c r="H148" s="59" t="inlineStr">
        <is>
          <t>A.5</t>
        </is>
      </c>
      <c r="I148" s="64">
        <f>IFERROR(INDEX(MgAmenNombre,MATCH(SUBSTITUTE($H148,"*","-"),MgAmenClave,0)),"")</f>
        <v/>
      </c>
      <c r="J148" s="28">
        <f>IFERROR(INDEX(MgAmenGrupo,MATCH(SUBSTITUTE($H148,"*","-"),MgAmenClave,0)),"")</f>
        <v/>
      </c>
      <c r="K148" s="64">
        <f>IFERROR(INDEX('1. Matriz de Activos'!$Q$6:$Q$239,MATCH($C148,MgActId,0)),"")</f>
        <v/>
      </c>
      <c r="L148" s="64">
        <f>IFERROR(INDEX('1. Matriz de Activos'!$R$6:$R$239,MATCH($C148,MgActId,0)),"")</f>
        <v/>
      </c>
      <c r="M148" s="64">
        <f>IFERROR(INDEX('1. Matriz de Activos'!$S$6:$S$239,MATCH($C148,MgActId,0)),"")</f>
        <v/>
      </c>
      <c r="N148" s="28">
        <f>IFERROR(INDEX(MgAmenDegD,MATCH(SUBSTITUTE($H148,"*","-"),MgAmenClave,0)),"No aplica")</f>
        <v/>
      </c>
      <c r="O148" s="28">
        <f>IFERROR(INDEX(MgAmenDegI,MATCH(SUBSTITUTE($H148,"*","-"),MgAmenClave,0)),"No aplica")</f>
        <v/>
      </c>
      <c r="P148" s="28">
        <f>IFERROR(INDEX(MgAmenDegC,MATCH(SUBSTITUTE($H148,"*","-"),MgAmenClave,0)),"No aplica")</f>
        <v/>
      </c>
      <c r="Q148" s="29">
        <f>IFERROR(VLOOKUP(K148,MgValor,2,0)*VLOOKUP(N148,MgDeg,2,0),0)</f>
        <v/>
      </c>
      <c r="R148" s="29">
        <f>IFERROR(VLOOKUP(L148,MgValor,2,0)*VLOOKUP(O148,MgDeg,2,0),0)</f>
        <v/>
      </c>
      <c r="S148" s="29">
        <f>IFERROR(VLOOKUP(M148,MgValor,2,0)*VLOOKUP(P148,MgDeg,2,0),0)</f>
        <v/>
      </c>
      <c r="T148" s="30">
        <f>MAX(Q148:S148)</f>
        <v/>
      </c>
      <c r="U148" s="28">
        <f>IFERROR(LOOKUP(T148,{0;0.5;1.5;3;4.5},{"Despreciable";"Bajo";"Medio";"Alto";"Muy alto"}),"")</f>
        <v/>
      </c>
      <c r="V148" s="13">
        <f>IFERROR(INDEX(MgAmenFrec,MATCH(SUBSTITUTE($H148,"*","-"),MgAmenClave,0)),"")</f>
        <v/>
      </c>
      <c r="W148" s="28">
        <f>IFERROR(LOOKUP(X148,{0;0.01;0.1;1;10;100},{"Muy baja";"Muy baja";"Baja";"Media";"Alta";"Muy alta"}),"")</f>
        <v/>
      </c>
      <c r="X148" s="31">
        <f>IFERROR(VLOOKUP(V148,MgFrec,2,0),0)</f>
        <v/>
      </c>
      <c r="Y148" s="30">
        <f>T148*X148</f>
        <v/>
      </c>
      <c r="Z148" s="28">
        <f>IFERROR(LOOKUP(Y148,{0;0.5;5;25},{"Bajo";"Medio";"Alto";"Crítico"}),"")</f>
        <v/>
      </c>
      <c r="AA148" s="64">
        <f>IF(T148&gt;=3,IF(X148&gt;=1,"Zona 1 — Crítica: impacto alto y ocurre al menos una vez al año","Zona 4 — Catastrófica poco probable: impacto alto pero excepcional"),IF(AND(T148&lt;1.5,X148&lt;1),"Zona 3 — Asumible: impacto bajo y muy poco frecuente","Zona 2 — Atención: riesgo intermedio"))</f>
        <v/>
      </c>
      <c r="AB148" s="64">
        <f>IFERROR(INDEX(MgAmenCtrl,MATCH(SUBSTITUTE($H148,"*","-"),MgAmenClave,0)),"")</f>
        <v/>
      </c>
      <c r="AC148" s="20" t="n"/>
      <c r="AD148" s="31">
        <f>IFERROR($X148*(1-IF($AC148="",$AL148,VLOOKUP($AC148,MgMad,2,0))),"")</f>
        <v/>
      </c>
      <c r="AE148" s="28">
        <f>IFERROR(LOOKUP(AD148,{0;0.01;0.1;1;10;100},{"Muy baja";"Muy baja";"Baja";"Media";"Alta";"Muy alta"}),"")</f>
        <v/>
      </c>
      <c r="AF148" s="30">
        <f>T148*AD148</f>
        <v/>
      </c>
      <c r="AG148" s="28">
        <f>IFERROR(LOOKUP(AF148,{0;0.5;5;25},{"Bajo";"Medio";"Alto";"Crítico"}),"")</f>
        <v/>
      </c>
      <c r="AH148" s="28">
        <f>IF(AG148="","",IF(OR(AG148="Crítico",AG148="Alto"),"Mitigar",IF(AG148="Medio","Mitigar","Aceptar y monitorear")))</f>
        <v/>
      </c>
      <c r="AI148" s="21" t="n"/>
      <c r="AJ148" s="21" t="n"/>
      <c r="AK148" s="20" t="n"/>
      <c r="AL148" s="77">
        <f>IFERROR(INDEX(MgAmenEfic,MATCH(SUBSTITUTE($H148,"*","-"),MgAmenClave,0)),0)</f>
        <v/>
      </c>
    </row>
    <row r="149" hidden="1" ht="105" customHeight="1" s="54">
      <c r="B149" s="59" t="inlineStr">
        <is>
          <t>R-0144</t>
        </is>
      </c>
      <c r="C149" s="59" t="inlineStr">
        <is>
          <t>DO-11</t>
        </is>
      </c>
      <c r="D149" s="64">
        <f>IFERROR(INDEX(MgNombre,MATCH($C149,MgActId,0)),"")</f>
        <v/>
      </c>
      <c r="E149" s="64">
        <f>IFERROR(INDEX(MgProceso,MATCH($C149,MgActId,0)),"")</f>
        <v/>
      </c>
      <c r="F149" s="64">
        <f>IFERROR(INDEX(MgTipo,MATCH($C149,MgActId,0)),"")</f>
        <v/>
      </c>
      <c r="G149" s="64">
        <f>IFERROR(INDEX(MgSubtipo,MATCH($C149,MgActId,0)),"")</f>
        <v/>
      </c>
      <c r="H149" s="59" t="inlineStr">
        <is>
          <t>A.6</t>
        </is>
      </c>
      <c r="I149" s="64">
        <f>IFERROR(INDEX(MgAmenNombre,MATCH(SUBSTITUTE($H149,"*","-"),MgAmenClave,0)),"")</f>
        <v/>
      </c>
      <c r="J149" s="28">
        <f>IFERROR(INDEX(MgAmenGrupo,MATCH(SUBSTITUTE($H149,"*","-"),MgAmenClave,0)),"")</f>
        <v/>
      </c>
      <c r="K149" s="64">
        <f>IFERROR(INDEX('1. Matriz de Activos'!$Q$6:$Q$239,MATCH($C149,MgActId,0)),"")</f>
        <v/>
      </c>
      <c r="L149" s="64">
        <f>IFERROR(INDEX('1. Matriz de Activos'!$R$6:$R$239,MATCH($C149,MgActId,0)),"")</f>
        <v/>
      </c>
      <c r="M149" s="64">
        <f>IFERROR(INDEX('1. Matriz de Activos'!$S$6:$S$239,MATCH($C149,MgActId,0)),"")</f>
        <v/>
      </c>
      <c r="N149" s="28">
        <f>IFERROR(INDEX(MgAmenDegD,MATCH(SUBSTITUTE($H149,"*","-"),MgAmenClave,0)),"No aplica")</f>
        <v/>
      </c>
      <c r="O149" s="28">
        <f>IFERROR(INDEX(MgAmenDegI,MATCH(SUBSTITUTE($H149,"*","-"),MgAmenClave,0)),"No aplica")</f>
        <v/>
      </c>
      <c r="P149" s="28">
        <f>IFERROR(INDEX(MgAmenDegC,MATCH(SUBSTITUTE($H149,"*","-"),MgAmenClave,0)),"No aplica")</f>
        <v/>
      </c>
      <c r="Q149" s="29">
        <f>IFERROR(VLOOKUP(K149,MgValor,2,0)*VLOOKUP(N149,MgDeg,2,0),0)</f>
        <v/>
      </c>
      <c r="R149" s="29">
        <f>IFERROR(VLOOKUP(L149,MgValor,2,0)*VLOOKUP(O149,MgDeg,2,0),0)</f>
        <v/>
      </c>
      <c r="S149" s="29">
        <f>IFERROR(VLOOKUP(M149,MgValor,2,0)*VLOOKUP(P149,MgDeg,2,0),0)</f>
        <v/>
      </c>
      <c r="T149" s="30">
        <f>MAX(Q149:S149)</f>
        <v/>
      </c>
      <c r="U149" s="28">
        <f>IFERROR(LOOKUP(T149,{0;0.5;1.5;3;4.5},{"Despreciable";"Bajo";"Medio";"Alto";"Muy alto"}),"")</f>
        <v/>
      </c>
      <c r="V149" s="13">
        <f>IFERROR(INDEX(MgAmenFrec,MATCH(SUBSTITUTE($H149,"*","-"),MgAmenClave,0)),"")</f>
        <v/>
      </c>
      <c r="W149" s="28">
        <f>IFERROR(LOOKUP(X149,{0;0.01;0.1;1;10;100},{"Muy baja";"Muy baja";"Baja";"Media";"Alta";"Muy alta"}),"")</f>
        <v/>
      </c>
      <c r="X149" s="31">
        <f>IFERROR(VLOOKUP(V149,MgFrec,2,0),0)</f>
        <v/>
      </c>
      <c r="Y149" s="30">
        <f>T149*X149</f>
        <v/>
      </c>
      <c r="Z149" s="28">
        <f>IFERROR(LOOKUP(Y149,{0;0.5;5;25},{"Bajo";"Medio";"Alto";"Crítico"}),"")</f>
        <v/>
      </c>
      <c r="AA149" s="64">
        <f>IF(T149&gt;=3,IF(X149&gt;=1,"Zona 1 — Crítica: impacto alto y ocurre al menos una vez al año","Zona 4 — Catastrófica poco probable: impacto alto pero excepcional"),IF(AND(T149&lt;1.5,X149&lt;1),"Zona 3 — Asumible: impacto bajo y muy poco frecuente","Zona 2 — Atención: riesgo intermedio"))</f>
        <v/>
      </c>
      <c r="AB149" s="64">
        <f>IFERROR(INDEX(MgAmenCtrl,MATCH(SUBSTITUTE($H149,"*","-"),MgAmenClave,0)),"")</f>
        <v/>
      </c>
      <c r="AC149" s="20" t="n"/>
      <c r="AD149" s="31">
        <f>IFERROR($X149*(1-IF($AC149="",$AL149,VLOOKUP($AC149,MgMad,2,0))),"")</f>
        <v/>
      </c>
      <c r="AE149" s="28">
        <f>IFERROR(LOOKUP(AD149,{0;0.01;0.1;1;10;100},{"Muy baja";"Muy baja";"Baja";"Media";"Alta";"Muy alta"}),"")</f>
        <v/>
      </c>
      <c r="AF149" s="30">
        <f>T149*AD149</f>
        <v/>
      </c>
      <c r="AG149" s="28">
        <f>IFERROR(LOOKUP(AF149,{0;0.5;5;25},{"Bajo";"Medio";"Alto";"Crítico"}),"")</f>
        <v/>
      </c>
      <c r="AH149" s="28">
        <f>IF(AG149="","",IF(OR(AG149="Crítico",AG149="Alto"),"Mitigar",IF(AG149="Medio","Mitigar","Aceptar y monitorear")))</f>
        <v/>
      </c>
      <c r="AI149" s="21" t="n"/>
      <c r="AJ149" s="21" t="n"/>
      <c r="AK149" s="20" t="n"/>
      <c r="AL149" s="77">
        <f>IFERROR(INDEX(MgAmenEfic,MATCH(SUBSTITUTE($H149,"*","-"),MgAmenClave,0)),0)</f>
        <v/>
      </c>
    </row>
    <row r="150" hidden="1" ht="60" customHeight="1" s="54">
      <c r="B150" s="59" t="inlineStr">
        <is>
          <t>R-0145</t>
        </is>
      </c>
      <c r="C150" s="59" t="inlineStr">
        <is>
          <t>DO-11</t>
        </is>
      </c>
      <c r="D150" s="64">
        <f>IFERROR(INDEX(MgNombre,MATCH($C150,MgActId,0)),"")</f>
        <v/>
      </c>
      <c r="E150" s="64">
        <f>IFERROR(INDEX(MgProceso,MATCH($C150,MgActId,0)),"")</f>
        <v/>
      </c>
      <c r="F150" s="64">
        <f>IFERROR(INDEX(MgTipo,MATCH($C150,MgActId,0)),"")</f>
        <v/>
      </c>
      <c r="G150" s="64">
        <f>IFERROR(INDEX(MgSubtipo,MATCH($C150,MgActId,0)),"")</f>
        <v/>
      </c>
      <c r="H150" s="59" t="inlineStr">
        <is>
          <t>A.7</t>
        </is>
      </c>
      <c r="I150" s="64">
        <f>IFERROR(INDEX(MgAmenNombre,MATCH(SUBSTITUTE($H150,"*","-"),MgAmenClave,0)),"")</f>
        <v/>
      </c>
      <c r="J150" s="28">
        <f>IFERROR(INDEX(MgAmenGrupo,MATCH(SUBSTITUTE($H150,"*","-"),MgAmenClave,0)),"")</f>
        <v/>
      </c>
      <c r="K150" s="64">
        <f>IFERROR(INDEX('1. Matriz de Activos'!$Q$6:$Q$239,MATCH($C150,MgActId,0)),"")</f>
        <v/>
      </c>
      <c r="L150" s="64">
        <f>IFERROR(INDEX('1. Matriz de Activos'!$R$6:$R$239,MATCH($C150,MgActId,0)),"")</f>
        <v/>
      </c>
      <c r="M150" s="64">
        <f>IFERROR(INDEX('1. Matriz de Activos'!$S$6:$S$239,MATCH($C150,MgActId,0)),"")</f>
        <v/>
      </c>
      <c r="N150" s="28">
        <f>IFERROR(INDEX(MgAmenDegD,MATCH(SUBSTITUTE($H150,"*","-"),MgAmenClave,0)),"No aplica")</f>
        <v/>
      </c>
      <c r="O150" s="28">
        <f>IFERROR(INDEX(MgAmenDegI,MATCH(SUBSTITUTE($H150,"*","-"),MgAmenClave,0)),"No aplica")</f>
        <v/>
      </c>
      <c r="P150" s="28">
        <f>IFERROR(INDEX(MgAmenDegC,MATCH(SUBSTITUTE($H150,"*","-"),MgAmenClave,0)),"No aplica")</f>
        <v/>
      </c>
      <c r="Q150" s="29">
        <f>IFERROR(VLOOKUP(K150,MgValor,2,0)*VLOOKUP(N150,MgDeg,2,0),0)</f>
        <v/>
      </c>
      <c r="R150" s="29">
        <f>IFERROR(VLOOKUP(L150,MgValor,2,0)*VLOOKUP(O150,MgDeg,2,0),0)</f>
        <v/>
      </c>
      <c r="S150" s="29">
        <f>IFERROR(VLOOKUP(M150,MgValor,2,0)*VLOOKUP(P150,MgDeg,2,0),0)</f>
        <v/>
      </c>
      <c r="T150" s="30">
        <f>MAX(Q150:S150)</f>
        <v/>
      </c>
      <c r="U150" s="28">
        <f>IFERROR(LOOKUP(T150,{0;0.5;1.5;3;4.5},{"Despreciable";"Bajo";"Medio";"Alto";"Muy alto"}),"")</f>
        <v/>
      </c>
      <c r="V150" s="13">
        <f>IFERROR(INDEX(MgAmenFrec,MATCH(SUBSTITUTE($H150,"*","-"),MgAmenClave,0)),"")</f>
        <v/>
      </c>
      <c r="W150" s="28">
        <f>IFERROR(LOOKUP(X150,{0;0.01;0.1;1;10;100},{"Muy baja";"Muy baja";"Baja";"Media";"Alta";"Muy alta"}),"")</f>
        <v/>
      </c>
      <c r="X150" s="31">
        <f>IFERROR(VLOOKUP(V150,MgFrec,2,0),0)</f>
        <v/>
      </c>
      <c r="Y150" s="30">
        <f>T150*X150</f>
        <v/>
      </c>
      <c r="Z150" s="28">
        <f>IFERROR(LOOKUP(Y150,{0;0.5;5;25},{"Bajo";"Medio";"Alto";"Crítico"}),"")</f>
        <v/>
      </c>
      <c r="AA150" s="64">
        <f>IF(T150&gt;=3,IF(X150&gt;=1,"Zona 1 — Crítica: impacto alto y ocurre al menos una vez al año","Zona 4 — Catastrófica poco probable: impacto alto pero excepcional"),IF(AND(T150&lt;1.5,X150&lt;1),"Zona 3 — Asumible: impacto bajo y muy poco frecuente","Zona 2 — Atención: riesgo intermedio"))</f>
        <v/>
      </c>
      <c r="AB150" s="64">
        <f>IFERROR(INDEX(MgAmenCtrl,MATCH(SUBSTITUTE($H150,"*","-"),MgAmenClave,0)),"")</f>
        <v/>
      </c>
      <c r="AC150" s="20" t="n"/>
      <c r="AD150" s="31">
        <f>IFERROR($X150*(1-IF($AC150="",$AL150,VLOOKUP($AC150,MgMad,2,0))),"")</f>
        <v/>
      </c>
      <c r="AE150" s="28">
        <f>IFERROR(LOOKUP(AD150,{0;0.01;0.1;1;10;100},{"Muy baja";"Muy baja";"Baja";"Media";"Alta";"Muy alta"}),"")</f>
        <v/>
      </c>
      <c r="AF150" s="30">
        <f>T150*AD150</f>
        <v/>
      </c>
      <c r="AG150" s="28">
        <f>IFERROR(LOOKUP(AF150,{0;0.5;5;25},{"Bajo";"Medio";"Alto";"Crítico"}),"")</f>
        <v/>
      </c>
      <c r="AH150" s="28">
        <f>IF(AG150="","",IF(OR(AG150="Crítico",AG150="Alto"),"Mitigar",IF(AG150="Medio","Mitigar","Aceptar y monitorear")))</f>
        <v/>
      </c>
      <c r="AI150" s="21" t="n"/>
      <c r="AJ150" s="21" t="n"/>
      <c r="AK150" s="20" t="n"/>
      <c r="AL150" s="77">
        <f>IFERROR(INDEX(MgAmenEfic,MATCH(SUBSTITUTE($H150,"*","-"),MgAmenClave,0)),0)</f>
        <v/>
      </c>
    </row>
    <row r="151" hidden="1" ht="60" customHeight="1" s="54">
      <c r="B151" s="59" t="inlineStr">
        <is>
          <t>R-0146</t>
        </is>
      </c>
      <c r="C151" s="59" t="inlineStr">
        <is>
          <t>DO-11</t>
        </is>
      </c>
      <c r="D151" s="64">
        <f>IFERROR(INDEX(MgNombre,MATCH($C151,MgActId,0)),"")</f>
        <v/>
      </c>
      <c r="E151" s="64">
        <f>IFERROR(INDEX(MgProceso,MATCH($C151,MgActId,0)),"")</f>
        <v/>
      </c>
      <c r="F151" s="64">
        <f>IFERROR(INDEX(MgTipo,MATCH($C151,MgActId,0)),"")</f>
        <v/>
      </c>
      <c r="G151" s="64">
        <f>IFERROR(INDEX(MgSubtipo,MATCH($C151,MgActId,0)),"")</f>
        <v/>
      </c>
      <c r="H151" s="59" t="inlineStr">
        <is>
          <t>A.9</t>
        </is>
      </c>
      <c r="I151" s="64">
        <f>IFERROR(INDEX(MgAmenNombre,MATCH(SUBSTITUTE($H151,"*","-"),MgAmenClave,0)),"")</f>
        <v/>
      </c>
      <c r="J151" s="28">
        <f>IFERROR(INDEX(MgAmenGrupo,MATCH(SUBSTITUTE($H151,"*","-"),MgAmenClave,0)),"")</f>
        <v/>
      </c>
      <c r="K151" s="64">
        <f>IFERROR(INDEX('1. Matriz de Activos'!$Q$6:$Q$239,MATCH($C151,MgActId,0)),"")</f>
        <v/>
      </c>
      <c r="L151" s="64">
        <f>IFERROR(INDEX('1. Matriz de Activos'!$R$6:$R$239,MATCH($C151,MgActId,0)),"")</f>
        <v/>
      </c>
      <c r="M151" s="64">
        <f>IFERROR(INDEX('1. Matriz de Activos'!$S$6:$S$239,MATCH($C151,MgActId,0)),"")</f>
        <v/>
      </c>
      <c r="N151" s="28">
        <f>IFERROR(INDEX(MgAmenDegD,MATCH(SUBSTITUTE($H151,"*","-"),MgAmenClave,0)),"No aplica")</f>
        <v/>
      </c>
      <c r="O151" s="28">
        <f>IFERROR(INDEX(MgAmenDegI,MATCH(SUBSTITUTE($H151,"*","-"),MgAmenClave,0)),"No aplica")</f>
        <v/>
      </c>
      <c r="P151" s="28">
        <f>IFERROR(INDEX(MgAmenDegC,MATCH(SUBSTITUTE($H151,"*","-"),MgAmenClave,0)),"No aplica")</f>
        <v/>
      </c>
      <c r="Q151" s="29">
        <f>IFERROR(VLOOKUP(K151,MgValor,2,0)*VLOOKUP(N151,MgDeg,2,0),0)</f>
        <v/>
      </c>
      <c r="R151" s="29">
        <f>IFERROR(VLOOKUP(L151,MgValor,2,0)*VLOOKUP(O151,MgDeg,2,0),0)</f>
        <v/>
      </c>
      <c r="S151" s="29">
        <f>IFERROR(VLOOKUP(M151,MgValor,2,0)*VLOOKUP(P151,MgDeg,2,0),0)</f>
        <v/>
      </c>
      <c r="T151" s="30">
        <f>MAX(Q151:S151)</f>
        <v/>
      </c>
      <c r="U151" s="28">
        <f>IFERROR(LOOKUP(T151,{0;0.5;1.5;3;4.5},{"Despreciable";"Bajo";"Medio";"Alto";"Muy alto"}),"")</f>
        <v/>
      </c>
      <c r="V151" s="13">
        <f>IFERROR(INDEX(MgAmenFrec,MATCH(SUBSTITUTE($H151,"*","-"),MgAmenClave,0)),"")</f>
        <v/>
      </c>
      <c r="W151" s="28">
        <f>IFERROR(LOOKUP(X151,{0;0.01;0.1;1;10;100},{"Muy baja";"Muy baja";"Baja";"Media";"Alta";"Muy alta"}),"")</f>
        <v/>
      </c>
      <c r="X151" s="31">
        <f>IFERROR(VLOOKUP(V151,MgFrec,2,0),0)</f>
        <v/>
      </c>
      <c r="Y151" s="30">
        <f>T151*X151</f>
        <v/>
      </c>
      <c r="Z151" s="28">
        <f>IFERROR(LOOKUP(Y151,{0;0.5;5;25},{"Bajo";"Medio";"Alto";"Crítico"}),"")</f>
        <v/>
      </c>
      <c r="AA151" s="64">
        <f>IF(T151&gt;=3,IF(X151&gt;=1,"Zona 1 — Crítica: impacto alto y ocurre al menos una vez al año","Zona 4 — Catastrófica poco probable: impacto alto pero excepcional"),IF(AND(T151&lt;1.5,X151&lt;1),"Zona 3 — Asumible: impacto bajo y muy poco frecuente","Zona 2 — Atención: riesgo intermedio"))</f>
        <v/>
      </c>
      <c r="AB151" s="64">
        <f>IFERROR(INDEX(MgAmenCtrl,MATCH(SUBSTITUTE($H151,"*","-"),MgAmenClave,0)),"")</f>
        <v/>
      </c>
      <c r="AC151" s="20" t="n"/>
      <c r="AD151" s="31">
        <f>IFERROR($X151*(1-IF($AC151="",$AL151,VLOOKUP($AC151,MgMad,2,0))),"")</f>
        <v/>
      </c>
      <c r="AE151" s="28">
        <f>IFERROR(LOOKUP(AD151,{0;0.01;0.1;1;10;100},{"Muy baja";"Muy baja";"Baja";"Media";"Alta";"Muy alta"}),"")</f>
        <v/>
      </c>
      <c r="AF151" s="30">
        <f>T151*AD151</f>
        <v/>
      </c>
      <c r="AG151" s="28">
        <f>IFERROR(LOOKUP(AF151,{0;0.5;5;25},{"Bajo";"Medio";"Alto";"Crítico"}),"")</f>
        <v/>
      </c>
      <c r="AH151" s="28">
        <f>IF(AG151="","",IF(OR(AG151="Crítico",AG151="Alto"),"Mitigar",IF(AG151="Medio","Mitigar","Aceptar y monitorear")))</f>
        <v/>
      </c>
      <c r="AI151" s="21" t="n"/>
      <c r="AJ151" s="21" t="n"/>
      <c r="AK151" s="20" t="n"/>
      <c r="AL151" s="77">
        <f>IFERROR(INDEX(MgAmenEfic,MATCH(SUBSTITUTE($H151,"*","-"),MgAmenClave,0)),0)</f>
        <v/>
      </c>
    </row>
    <row r="152" hidden="1" ht="45" customHeight="1" s="54">
      <c r="B152" s="59" t="inlineStr">
        <is>
          <t>R-0147</t>
        </is>
      </c>
      <c r="C152" s="59" t="inlineStr">
        <is>
          <t>DO-11</t>
        </is>
      </c>
      <c r="D152" s="64">
        <f>IFERROR(INDEX(MgNombre,MATCH($C152,MgActId,0)),"")</f>
        <v/>
      </c>
      <c r="E152" s="64">
        <f>IFERROR(INDEX(MgProceso,MATCH($C152,MgActId,0)),"")</f>
        <v/>
      </c>
      <c r="F152" s="64">
        <f>IFERROR(INDEX(MgTipo,MATCH($C152,MgActId,0)),"")</f>
        <v/>
      </c>
      <c r="G152" s="64">
        <f>IFERROR(INDEX(MgSubtipo,MATCH($C152,MgActId,0)),"")</f>
        <v/>
      </c>
      <c r="H152" s="59" t="inlineStr">
        <is>
          <t>A.10</t>
        </is>
      </c>
      <c r="I152" s="64">
        <f>IFERROR(INDEX(MgAmenNombre,MATCH(SUBSTITUTE($H152,"*","-"),MgAmenClave,0)),"")</f>
        <v/>
      </c>
      <c r="J152" s="28">
        <f>IFERROR(INDEX(MgAmenGrupo,MATCH(SUBSTITUTE($H152,"*","-"),MgAmenClave,0)),"")</f>
        <v/>
      </c>
      <c r="K152" s="64">
        <f>IFERROR(INDEX('1. Matriz de Activos'!$Q$6:$Q$239,MATCH($C152,MgActId,0)),"")</f>
        <v/>
      </c>
      <c r="L152" s="64">
        <f>IFERROR(INDEX('1. Matriz de Activos'!$R$6:$R$239,MATCH($C152,MgActId,0)),"")</f>
        <v/>
      </c>
      <c r="M152" s="64">
        <f>IFERROR(INDEX('1. Matriz de Activos'!$S$6:$S$239,MATCH($C152,MgActId,0)),"")</f>
        <v/>
      </c>
      <c r="N152" s="28">
        <f>IFERROR(INDEX(MgAmenDegD,MATCH(SUBSTITUTE($H152,"*","-"),MgAmenClave,0)),"No aplica")</f>
        <v/>
      </c>
      <c r="O152" s="28">
        <f>IFERROR(INDEX(MgAmenDegI,MATCH(SUBSTITUTE($H152,"*","-"),MgAmenClave,0)),"No aplica")</f>
        <v/>
      </c>
      <c r="P152" s="28">
        <f>IFERROR(INDEX(MgAmenDegC,MATCH(SUBSTITUTE($H152,"*","-"),MgAmenClave,0)),"No aplica")</f>
        <v/>
      </c>
      <c r="Q152" s="29">
        <f>IFERROR(VLOOKUP(K152,MgValor,2,0)*VLOOKUP(N152,MgDeg,2,0),0)</f>
        <v/>
      </c>
      <c r="R152" s="29">
        <f>IFERROR(VLOOKUP(L152,MgValor,2,0)*VLOOKUP(O152,MgDeg,2,0),0)</f>
        <v/>
      </c>
      <c r="S152" s="29">
        <f>IFERROR(VLOOKUP(M152,MgValor,2,0)*VLOOKUP(P152,MgDeg,2,0),0)</f>
        <v/>
      </c>
      <c r="T152" s="30">
        <f>MAX(Q152:S152)</f>
        <v/>
      </c>
      <c r="U152" s="28">
        <f>IFERROR(LOOKUP(T152,{0;0.5;1.5;3;4.5},{"Despreciable";"Bajo";"Medio";"Alto";"Muy alto"}),"")</f>
        <v/>
      </c>
      <c r="V152" s="13">
        <f>IFERROR(INDEX(MgAmenFrec,MATCH(SUBSTITUTE($H152,"*","-"),MgAmenClave,0)),"")</f>
        <v/>
      </c>
      <c r="W152" s="28">
        <f>IFERROR(LOOKUP(X152,{0;0.01;0.1;1;10;100},{"Muy baja";"Muy baja";"Baja";"Media";"Alta";"Muy alta"}),"")</f>
        <v/>
      </c>
      <c r="X152" s="31">
        <f>IFERROR(VLOOKUP(V152,MgFrec,2,0),0)</f>
        <v/>
      </c>
      <c r="Y152" s="30">
        <f>T152*X152</f>
        <v/>
      </c>
      <c r="Z152" s="28">
        <f>IFERROR(LOOKUP(Y152,{0;0.5;5;25},{"Bajo";"Medio";"Alto";"Crítico"}),"")</f>
        <v/>
      </c>
      <c r="AA152" s="64">
        <f>IF(T152&gt;=3,IF(X152&gt;=1,"Zona 1 — Crítica: impacto alto y ocurre al menos una vez al año","Zona 4 — Catastrófica poco probable: impacto alto pero excepcional"),IF(AND(T152&lt;1.5,X152&lt;1),"Zona 3 — Asumible: impacto bajo y muy poco frecuente","Zona 2 — Atención: riesgo intermedio"))</f>
        <v/>
      </c>
      <c r="AB152" s="64">
        <f>IFERROR(INDEX(MgAmenCtrl,MATCH(SUBSTITUTE($H152,"*","-"),MgAmenClave,0)),"")</f>
        <v/>
      </c>
      <c r="AC152" s="20" t="n"/>
      <c r="AD152" s="31">
        <f>IFERROR($X152*(1-IF($AC152="",$AL152,VLOOKUP($AC152,MgMad,2,0))),"")</f>
        <v/>
      </c>
      <c r="AE152" s="28">
        <f>IFERROR(LOOKUP(AD152,{0;0.01;0.1;1;10;100},{"Muy baja";"Muy baja";"Baja";"Media";"Alta";"Muy alta"}),"")</f>
        <v/>
      </c>
      <c r="AF152" s="30">
        <f>T152*AD152</f>
        <v/>
      </c>
      <c r="AG152" s="28">
        <f>IFERROR(LOOKUP(AF152,{0;0.5;5;25},{"Bajo";"Medio";"Alto";"Crítico"}),"")</f>
        <v/>
      </c>
      <c r="AH152" s="28">
        <f>IF(AG152="","",IF(OR(AG152="Crítico",AG152="Alto"),"Mitigar",IF(AG152="Medio","Mitigar","Aceptar y monitorear")))</f>
        <v/>
      </c>
      <c r="AI152" s="21" t="n"/>
      <c r="AJ152" s="21" t="n"/>
      <c r="AK152" s="20" t="n"/>
      <c r="AL152" s="77">
        <f>IFERROR(INDEX(MgAmenEfic,MATCH(SUBSTITUTE($H152,"*","-"),MgAmenClave,0)),0)</f>
        <v/>
      </c>
    </row>
    <row r="153" hidden="1" ht="120" customHeight="1" s="54">
      <c r="B153" s="59" t="inlineStr">
        <is>
          <t>R-0148</t>
        </is>
      </c>
      <c r="C153" s="59" t="inlineStr">
        <is>
          <t>DO-11</t>
        </is>
      </c>
      <c r="D153" s="64">
        <f>IFERROR(INDEX(MgNombre,MATCH($C153,MgActId,0)),"")</f>
        <v/>
      </c>
      <c r="E153" s="64">
        <f>IFERROR(INDEX(MgProceso,MATCH($C153,MgActId,0)),"")</f>
        <v/>
      </c>
      <c r="F153" s="64">
        <f>IFERROR(INDEX(MgTipo,MATCH($C153,MgActId,0)),"")</f>
        <v/>
      </c>
      <c r="G153" s="64">
        <f>IFERROR(INDEX(MgSubtipo,MATCH($C153,MgActId,0)),"")</f>
        <v/>
      </c>
      <c r="H153" s="59" t="inlineStr">
        <is>
          <t>A.11</t>
        </is>
      </c>
      <c r="I153" s="64">
        <f>IFERROR(INDEX(MgAmenNombre,MATCH(SUBSTITUTE($H153,"*","-"),MgAmenClave,0)),"")</f>
        <v/>
      </c>
      <c r="J153" s="28">
        <f>IFERROR(INDEX(MgAmenGrupo,MATCH(SUBSTITUTE($H153,"*","-"),MgAmenClave,0)),"")</f>
        <v/>
      </c>
      <c r="K153" s="64">
        <f>IFERROR(INDEX('1. Matriz de Activos'!$Q$6:$Q$239,MATCH($C153,MgActId,0)),"")</f>
        <v/>
      </c>
      <c r="L153" s="64">
        <f>IFERROR(INDEX('1. Matriz de Activos'!$R$6:$R$239,MATCH($C153,MgActId,0)),"")</f>
        <v/>
      </c>
      <c r="M153" s="64">
        <f>IFERROR(INDEX('1. Matriz de Activos'!$S$6:$S$239,MATCH($C153,MgActId,0)),"")</f>
        <v/>
      </c>
      <c r="N153" s="28">
        <f>IFERROR(INDEX(MgAmenDegD,MATCH(SUBSTITUTE($H153,"*","-"),MgAmenClave,0)),"No aplica")</f>
        <v/>
      </c>
      <c r="O153" s="28">
        <f>IFERROR(INDEX(MgAmenDegI,MATCH(SUBSTITUTE($H153,"*","-"),MgAmenClave,0)),"No aplica")</f>
        <v/>
      </c>
      <c r="P153" s="28">
        <f>IFERROR(INDEX(MgAmenDegC,MATCH(SUBSTITUTE($H153,"*","-"),MgAmenClave,0)),"No aplica")</f>
        <v/>
      </c>
      <c r="Q153" s="29">
        <f>IFERROR(VLOOKUP(K153,MgValor,2,0)*VLOOKUP(N153,MgDeg,2,0),0)</f>
        <v/>
      </c>
      <c r="R153" s="29">
        <f>IFERROR(VLOOKUP(L153,MgValor,2,0)*VLOOKUP(O153,MgDeg,2,0),0)</f>
        <v/>
      </c>
      <c r="S153" s="29">
        <f>IFERROR(VLOOKUP(M153,MgValor,2,0)*VLOOKUP(P153,MgDeg,2,0),0)</f>
        <v/>
      </c>
      <c r="T153" s="30">
        <f>MAX(Q153:S153)</f>
        <v/>
      </c>
      <c r="U153" s="28">
        <f>IFERROR(LOOKUP(T153,{0;0.5;1.5;3;4.5},{"Despreciable";"Bajo";"Medio";"Alto";"Muy alto"}),"")</f>
        <v/>
      </c>
      <c r="V153" s="13">
        <f>IFERROR(INDEX(MgAmenFrec,MATCH(SUBSTITUTE($H153,"*","-"),MgAmenClave,0)),"")</f>
        <v/>
      </c>
      <c r="W153" s="28">
        <f>IFERROR(LOOKUP(X153,{0;0.01;0.1;1;10;100},{"Muy baja";"Muy baja";"Baja";"Media";"Alta";"Muy alta"}),"")</f>
        <v/>
      </c>
      <c r="X153" s="31">
        <f>IFERROR(VLOOKUP(V153,MgFrec,2,0),0)</f>
        <v/>
      </c>
      <c r="Y153" s="30">
        <f>T153*X153</f>
        <v/>
      </c>
      <c r="Z153" s="28">
        <f>IFERROR(LOOKUP(Y153,{0;0.5;5;25},{"Bajo";"Medio";"Alto";"Crítico"}),"")</f>
        <v/>
      </c>
      <c r="AA153" s="64">
        <f>IF(T153&gt;=3,IF(X153&gt;=1,"Zona 1 — Crítica: impacto alto y ocurre al menos una vez al año","Zona 4 — Catastrófica poco probable: impacto alto pero excepcional"),IF(AND(T153&lt;1.5,X153&lt;1),"Zona 3 — Asumible: impacto bajo y muy poco frecuente","Zona 2 — Atención: riesgo intermedio"))</f>
        <v/>
      </c>
      <c r="AB153" s="64">
        <f>IFERROR(INDEX(MgAmenCtrl,MATCH(SUBSTITUTE($H153,"*","-"),MgAmenClave,0)),"")</f>
        <v/>
      </c>
      <c r="AC153" s="20" t="n"/>
      <c r="AD153" s="31">
        <f>IFERROR($X153*(1-IF($AC153="",$AL153,VLOOKUP($AC153,MgMad,2,0))),"")</f>
        <v/>
      </c>
      <c r="AE153" s="28">
        <f>IFERROR(LOOKUP(AD153,{0;0.01;0.1;1;10;100},{"Muy baja";"Muy baja";"Baja";"Media";"Alta";"Muy alta"}),"")</f>
        <v/>
      </c>
      <c r="AF153" s="30">
        <f>T153*AD153</f>
        <v/>
      </c>
      <c r="AG153" s="28">
        <f>IFERROR(LOOKUP(AF153,{0;0.5;5;25},{"Bajo";"Medio";"Alto";"Crítico"}),"")</f>
        <v/>
      </c>
      <c r="AH153" s="28">
        <f>IF(AG153="","",IF(OR(AG153="Crítico",AG153="Alto"),"Mitigar",IF(AG153="Medio","Mitigar","Aceptar y monitorear")))</f>
        <v/>
      </c>
      <c r="AI153" s="21" t="n"/>
      <c r="AJ153" s="21" t="n"/>
      <c r="AK153" s="20" t="n"/>
      <c r="AL153" s="77">
        <f>IFERROR(INDEX(MgAmenEfic,MATCH(SUBSTITUTE($H153,"*","-"),MgAmenClave,0)),0)</f>
        <v/>
      </c>
    </row>
    <row r="154" hidden="1" ht="45" customHeight="1" s="54">
      <c r="B154" s="59" t="inlineStr">
        <is>
          <t>R-0149</t>
        </is>
      </c>
      <c r="C154" s="59" t="inlineStr">
        <is>
          <t>DO-11</t>
        </is>
      </c>
      <c r="D154" s="64">
        <f>IFERROR(INDEX(MgNombre,MATCH($C154,MgActId,0)),"")</f>
        <v/>
      </c>
      <c r="E154" s="64">
        <f>IFERROR(INDEX(MgProceso,MATCH($C154,MgActId,0)),"")</f>
        <v/>
      </c>
      <c r="F154" s="64">
        <f>IFERROR(INDEX(MgTipo,MATCH($C154,MgActId,0)),"")</f>
        <v/>
      </c>
      <c r="G154" s="64">
        <f>IFERROR(INDEX(MgSubtipo,MATCH($C154,MgActId,0)),"")</f>
        <v/>
      </c>
      <c r="H154" s="59" t="inlineStr">
        <is>
          <t>A.12</t>
        </is>
      </c>
      <c r="I154" s="64">
        <f>IFERROR(INDEX(MgAmenNombre,MATCH(SUBSTITUTE($H154,"*","-"),MgAmenClave,0)),"")</f>
        <v/>
      </c>
      <c r="J154" s="28">
        <f>IFERROR(INDEX(MgAmenGrupo,MATCH(SUBSTITUTE($H154,"*","-"),MgAmenClave,0)),"")</f>
        <v/>
      </c>
      <c r="K154" s="64">
        <f>IFERROR(INDEX('1. Matriz de Activos'!$Q$6:$Q$239,MATCH($C154,MgActId,0)),"")</f>
        <v/>
      </c>
      <c r="L154" s="64">
        <f>IFERROR(INDEX('1. Matriz de Activos'!$R$6:$R$239,MATCH($C154,MgActId,0)),"")</f>
        <v/>
      </c>
      <c r="M154" s="64">
        <f>IFERROR(INDEX('1. Matriz de Activos'!$S$6:$S$239,MATCH($C154,MgActId,0)),"")</f>
        <v/>
      </c>
      <c r="N154" s="28">
        <f>IFERROR(INDEX(MgAmenDegD,MATCH(SUBSTITUTE($H154,"*","-"),MgAmenClave,0)),"No aplica")</f>
        <v/>
      </c>
      <c r="O154" s="28">
        <f>IFERROR(INDEX(MgAmenDegI,MATCH(SUBSTITUTE($H154,"*","-"),MgAmenClave,0)),"No aplica")</f>
        <v/>
      </c>
      <c r="P154" s="28">
        <f>IFERROR(INDEX(MgAmenDegC,MATCH(SUBSTITUTE($H154,"*","-"),MgAmenClave,0)),"No aplica")</f>
        <v/>
      </c>
      <c r="Q154" s="29">
        <f>IFERROR(VLOOKUP(K154,MgValor,2,0)*VLOOKUP(N154,MgDeg,2,0),0)</f>
        <v/>
      </c>
      <c r="R154" s="29">
        <f>IFERROR(VLOOKUP(L154,MgValor,2,0)*VLOOKUP(O154,MgDeg,2,0),0)</f>
        <v/>
      </c>
      <c r="S154" s="29">
        <f>IFERROR(VLOOKUP(M154,MgValor,2,0)*VLOOKUP(P154,MgDeg,2,0),0)</f>
        <v/>
      </c>
      <c r="T154" s="30">
        <f>MAX(Q154:S154)</f>
        <v/>
      </c>
      <c r="U154" s="28">
        <f>IFERROR(LOOKUP(T154,{0;0.5;1.5;3;4.5},{"Despreciable";"Bajo";"Medio";"Alto";"Muy alto"}),"")</f>
        <v/>
      </c>
      <c r="V154" s="13">
        <f>IFERROR(INDEX(MgAmenFrec,MATCH(SUBSTITUTE($H154,"*","-"),MgAmenClave,0)),"")</f>
        <v/>
      </c>
      <c r="W154" s="28">
        <f>IFERROR(LOOKUP(X154,{0;0.01;0.1;1;10;100},{"Muy baja";"Muy baja";"Baja";"Media";"Alta";"Muy alta"}),"")</f>
        <v/>
      </c>
      <c r="X154" s="31">
        <f>IFERROR(VLOOKUP(V154,MgFrec,2,0),0)</f>
        <v/>
      </c>
      <c r="Y154" s="30">
        <f>T154*X154</f>
        <v/>
      </c>
      <c r="Z154" s="28">
        <f>IFERROR(LOOKUP(Y154,{0;0.5;5;25},{"Bajo";"Medio";"Alto";"Crítico"}),"")</f>
        <v/>
      </c>
      <c r="AA154" s="64">
        <f>IF(T154&gt;=3,IF(X154&gt;=1,"Zona 1 — Crítica: impacto alto y ocurre al menos una vez al año","Zona 4 — Catastrófica poco probable: impacto alto pero excepcional"),IF(AND(T154&lt;1.5,X154&lt;1),"Zona 3 — Asumible: impacto bajo y muy poco frecuente","Zona 2 — Atención: riesgo intermedio"))</f>
        <v/>
      </c>
      <c r="AB154" s="64">
        <f>IFERROR(INDEX(MgAmenCtrl,MATCH(SUBSTITUTE($H154,"*","-"),MgAmenClave,0)),"")</f>
        <v/>
      </c>
      <c r="AC154" s="20" t="n"/>
      <c r="AD154" s="31">
        <f>IFERROR($X154*(1-IF($AC154="",$AL154,VLOOKUP($AC154,MgMad,2,0))),"")</f>
        <v/>
      </c>
      <c r="AE154" s="28">
        <f>IFERROR(LOOKUP(AD154,{0;0.01;0.1;1;10;100},{"Muy baja";"Muy baja";"Baja";"Media";"Alta";"Muy alta"}),"")</f>
        <v/>
      </c>
      <c r="AF154" s="30">
        <f>T154*AD154</f>
        <v/>
      </c>
      <c r="AG154" s="28">
        <f>IFERROR(LOOKUP(AF154,{0;0.5;5;25},{"Bajo";"Medio";"Alto";"Crítico"}),"")</f>
        <v/>
      </c>
      <c r="AH154" s="28">
        <f>IF(AG154="","",IF(OR(AG154="Crítico",AG154="Alto"),"Mitigar",IF(AG154="Medio","Mitigar","Aceptar y monitorear")))</f>
        <v/>
      </c>
      <c r="AI154" s="21" t="n"/>
      <c r="AJ154" s="21" t="n"/>
      <c r="AK154" s="20" t="n"/>
      <c r="AL154" s="77">
        <f>IFERROR(INDEX(MgAmenEfic,MATCH(SUBSTITUTE($H154,"*","-"),MgAmenClave,0)),0)</f>
        <v/>
      </c>
    </row>
    <row r="155" hidden="1" ht="60" customHeight="1" s="54">
      <c r="B155" s="59" t="inlineStr">
        <is>
          <t>R-0150</t>
        </is>
      </c>
      <c r="C155" s="59" t="inlineStr">
        <is>
          <t>DO-11</t>
        </is>
      </c>
      <c r="D155" s="64">
        <f>IFERROR(INDEX(MgNombre,MATCH($C155,MgActId,0)),"")</f>
        <v/>
      </c>
      <c r="E155" s="64">
        <f>IFERROR(INDEX(MgProceso,MATCH($C155,MgActId,0)),"")</f>
        <v/>
      </c>
      <c r="F155" s="64">
        <f>IFERROR(INDEX(MgTipo,MATCH($C155,MgActId,0)),"")</f>
        <v/>
      </c>
      <c r="G155" s="64">
        <f>IFERROR(INDEX(MgSubtipo,MATCH($C155,MgActId,0)),"")</f>
        <v/>
      </c>
      <c r="H155" s="59" t="inlineStr">
        <is>
          <t>A.14</t>
        </is>
      </c>
      <c r="I155" s="64">
        <f>IFERROR(INDEX(MgAmenNombre,MATCH(SUBSTITUTE($H155,"*","-"),MgAmenClave,0)),"")</f>
        <v/>
      </c>
      <c r="J155" s="28">
        <f>IFERROR(INDEX(MgAmenGrupo,MATCH(SUBSTITUTE($H155,"*","-"),MgAmenClave,0)),"")</f>
        <v/>
      </c>
      <c r="K155" s="64">
        <f>IFERROR(INDEX('1. Matriz de Activos'!$Q$6:$Q$239,MATCH($C155,MgActId,0)),"")</f>
        <v/>
      </c>
      <c r="L155" s="64">
        <f>IFERROR(INDEX('1. Matriz de Activos'!$R$6:$R$239,MATCH($C155,MgActId,0)),"")</f>
        <v/>
      </c>
      <c r="M155" s="64">
        <f>IFERROR(INDEX('1. Matriz de Activos'!$S$6:$S$239,MATCH($C155,MgActId,0)),"")</f>
        <v/>
      </c>
      <c r="N155" s="28">
        <f>IFERROR(INDEX(MgAmenDegD,MATCH(SUBSTITUTE($H155,"*","-"),MgAmenClave,0)),"No aplica")</f>
        <v/>
      </c>
      <c r="O155" s="28">
        <f>IFERROR(INDEX(MgAmenDegI,MATCH(SUBSTITUTE($H155,"*","-"),MgAmenClave,0)),"No aplica")</f>
        <v/>
      </c>
      <c r="P155" s="28">
        <f>IFERROR(INDEX(MgAmenDegC,MATCH(SUBSTITUTE($H155,"*","-"),MgAmenClave,0)),"No aplica")</f>
        <v/>
      </c>
      <c r="Q155" s="29">
        <f>IFERROR(VLOOKUP(K155,MgValor,2,0)*VLOOKUP(N155,MgDeg,2,0),0)</f>
        <v/>
      </c>
      <c r="R155" s="29">
        <f>IFERROR(VLOOKUP(L155,MgValor,2,0)*VLOOKUP(O155,MgDeg,2,0),0)</f>
        <v/>
      </c>
      <c r="S155" s="29">
        <f>IFERROR(VLOOKUP(M155,MgValor,2,0)*VLOOKUP(P155,MgDeg,2,0),0)</f>
        <v/>
      </c>
      <c r="T155" s="30">
        <f>MAX(Q155:S155)</f>
        <v/>
      </c>
      <c r="U155" s="28">
        <f>IFERROR(LOOKUP(T155,{0;0.5;1.5;3;4.5},{"Despreciable";"Bajo";"Medio";"Alto";"Muy alto"}),"")</f>
        <v/>
      </c>
      <c r="V155" s="13">
        <f>IFERROR(INDEX(MgAmenFrec,MATCH(SUBSTITUTE($H155,"*","-"),MgAmenClave,0)),"")</f>
        <v/>
      </c>
      <c r="W155" s="28">
        <f>IFERROR(LOOKUP(X155,{0;0.01;0.1;1;10;100},{"Muy baja";"Muy baja";"Baja";"Media";"Alta";"Muy alta"}),"")</f>
        <v/>
      </c>
      <c r="X155" s="31">
        <f>IFERROR(VLOOKUP(V155,MgFrec,2,0),0)</f>
        <v/>
      </c>
      <c r="Y155" s="30">
        <f>T155*X155</f>
        <v/>
      </c>
      <c r="Z155" s="28">
        <f>IFERROR(LOOKUP(Y155,{0;0.5;5;25},{"Bajo";"Medio";"Alto";"Crítico"}),"")</f>
        <v/>
      </c>
      <c r="AA155" s="64">
        <f>IF(T155&gt;=3,IF(X155&gt;=1,"Zona 1 — Crítica: impacto alto y ocurre al menos una vez al año","Zona 4 — Catastrófica poco probable: impacto alto pero excepcional"),IF(AND(T155&lt;1.5,X155&lt;1),"Zona 3 — Asumible: impacto bajo y muy poco frecuente","Zona 2 — Atención: riesgo intermedio"))</f>
        <v/>
      </c>
      <c r="AB155" s="64">
        <f>IFERROR(INDEX(MgAmenCtrl,MATCH(SUBSTITUTE($H155,"*","-"),MgAmenClave,0)),"")</f>
        <v/>
      </c>
      <c r="AC155" s="20" t="n"/>
      <c r="AD155" s="31">
        <f>IFERROR($X155*(1-IF($AC155="",$AL155,VLOOKUP($AC155,MgMad,2,0))),"")</f>
        <v/>
      </c>
      <c r="AE155" s="28">
        <f>IFERROR(LOOKUP(AD155,{0;0.01;0.1;1;10;100},{"Muy baja";"Muy baja";"Baja";"Media";"Alta";"Muy alta"}),"")</f>
        <v/>
      </c>
      <c r="AF155" s="30">
        <f>T155*AD155</f>
        <v/>
      </c>
      <c r="AG155" s="28">
        <f>IFERROR(LOOKUP(AF155,{0;0.5;5;25},{"Bajo";"Medio";"Alto";"Crítico"}),"")</f>
        <v/>
      </c>
      <c r="AH155" s="28">
        <f>IF(AG155="","",IF(OR(AG155="Crítico",AG155="Alto"),"Mitigar",IF(AG155="Medio","Mitigar","Aceptar y monitorear")))</f>
        <v/>
      </c>
      <c r="AI155" s="21" t="n"/>
      <c r="AJ155" s="21" t="n"/>
      <c r="AK155" s="20" t="n"/>
      <c r="AL155" s="77">
        <f>IFERROR(INDEX(MgAmenEfic,MATCH(SUBSTITUTE($H155,"*","-"),MgAmenClave,0)),0)</f>
        <v/>
      </c>
    </row>
    <row r="156" hidden="1" ht="60" customHeight="1" s="54">
      <c r="B156" s="59" t="inlineStr">
        <is>
          <t>R-0151</t>
        </is>
      </c>
      <c r="C156" s="59" t="inlineStr">
        <is>
          <t>DO-11</t>
        </is>
      </c>
      <c r="D156" s="64">
        <f>IFERROR(INDEX(MgNombre,MATCH($C156,MgActId,0)),"")</f>
        <v/>
      </c>
      <c r="E156" s="64">
        <f>IFERROR(INDEX(MgProceso,MATCH($C156,MgActId,0)),"")</f>
        <v/>
      </c>
      <c r="F156" s="64">
        <f>IFERROR(INDEX(MgTipo,MATCH($C156,MgActId,0)),"")</f>
        <v/>
      </c>
      <c r="G156" s="64">
        <f>IFERROR(INDEX(MgSubtipo,MATCH($C156,MgActId,0)),"")</f>
        <v/>
      </c>
      <c r="H156" s="59" t="inlineStr">
        <is>
          <t>A.15</t>
        </is>
      </c>
      <c r="I156" s="64">
        <f>IFERROR(INDEX(MgAmenNombre,MATCH(SUBSTITUTE($H156,"*","-"),MgAmenClave,0)),"")</f>
        <v/>
      </c>
      <c r="J156" s="28">
        <f>IFERROR(INDEX(MgAmenGrupo,MATCH(SUBSTITUTE($H156,"*","-"),MgAmenClave,0)),"")</f>
        <v/>
      </c>
      <c r="K156" s="64">
        <f>IFERROR(INDEX('1. Matriz de Activos'!$Q$6:$Q$239,MATCH($C156,MgActId,0)),"")</f>
        <v/>
      </c>
      <c r="L156" s="64">
        <f>IFERROR(INDEX('1. Matriz de Activos'!$R$6:$R$239,MATCH($C156,MgActId,0)),"")</f>
        <v/>
      </c>
      <c r="M156" s="64">
        <f>IFERROR(INDEX('1. Matriz de Activos'!$S$6:$S$239,MATCH($C156,MgActId,0)),"")</f>
        <v/>
      </c>
      <c r="N156" s="28">
        <f>IFERROR(INDEX(MgAmenDegD,MATCH(SUBSTITUTE($H156,"*","-"),MgAmenClave,0)),"No aplica")</f>
        <v/>
      </c>
      <c r="O156" s="28">
        <f>IFERROR(INDEX(MgAmenDegI,MATCH(SUBSTITUTE($H156,"*","-"),MgAmenClave,0)),"No aplica")</f>
        <v/>
      </c>
      <c r="P156" s="28">
        <f>IFERROR(INDEX(MgAmenDegC,MATCH(SUBSTITUTE($H156,"*","-"),MgAmenClave,0)),"No aplica")</f>
        <v/>
      </c>
      <c r="Q156" s="29">
        <f>IFERROR(VLOOKUP(K156,MgValor,2,0)*VLOOKUP(N156,MgDeg,2,0),0)</f>
        <v/>
      </c>
      <c r="R156" s="29">
        <f>IFERROR(VLOOKUP(L156,MgValor,2,0)*VLOOKUP(O156,MgDeg,2,0),0)</f>
        <v/>
      </c>
      <c r="S156" s="29">
        <f>IFERROR(VLOOKUP(M156,MgValor,2,0)*VLOOKUP(P156,MgDeg,2,0),0)</f>
        <v/>
      </c>
      <c r="T156" s="30">
        <f>MAX(Q156:S156)</f>
        <v/>
      </c>
      <c r="U156" s="28">
        <f>IFERROR(LOOKUP(T156,{0;0.5;1.5;3;4.5},{"Despreciable";"Bajo";"Medio";"Alto";"Muy alto"}),"")</f>
        <v/>
      </c>
      <c r="V156" s="13">
        <f>IFERROR(INDEX(MgAmenFrec,MATCH(SUBSTITUTE($H156,"*","-"),MgAmenClave,0)),"")</f>
        <v/>
      </c>
      <c r="W156" s="28">
        <f>IFERROR(LOOKUP(X156,{0;0.01;0.1;1;10;100},{"Muy baja";"Muy baja";"Baja";"Media";"Alta";"Muy alta"}),"")</f>
        <v/>
      </c>
      <c r="X156" s="31">
        <f>IFERROR(VLOOKUP(V156,MgFrec,2,0),0)</f>
        <v/>
      </c>
      <c r="Y156" s="30">
        <f>T156*X156</f>
        <v/>
      </c>
      <c r="Z156" s="28">
        <f>IFERROR(LOOKUP(Y156,{0;0.5;5;25},{"Bajo";"Medio";"Alto";"Crítico"}),"")</f>
        <v/>
      </c>
      <c r="AA156" s="64">
        <f>IF(T156&gt;=3,IF(X156&gt;=1,"Zona 1 — Crítica: impacto alto y ocurre al menos una vez al año","Zona 4 — Catastrófica poco probable: impacto alto pero excepcional"),IF(AND(T156&lt;1.5,X156&lt;1),"Zona 3 — Asumible: impacto bajo y muy poco frecuente","Zona 2 — Atención: riesgo intermedio"))</f>
        <v/>
      </c>
      <c r="AB156" s="64">
        <f>IFERROR(INDEX(MgAmenCtrl,MATCH(SUBSTITUTE($H156,"*","-"),MgAmenClave,0)),"")</f>
        <v/>
      </c>
      <c r="AC156" s="20" t="n"/>
      <c r="AD156" s="31">
        <f>IFERROR($X156*(1-IF($AC156="",$AL156,VLOOKUP($AC156,MgMad,2,0))),"")</f>
        <v/>
      </c>
      <c r="AE156" s="28">
        <f>IFERROR(LOOKUP(AD156,{0;0.01;0.1;1;10;100},{"Muy baja";"Muy baja";"Baja";"Media";"Alta";"Muy alta"}),"")</f>
        <v/>
      </c>
      <c r="AF156" s="30">
        <f>T156*AD156</f>
        <v/>
      </c>
      <c r="AG156" s="28">
        <f>IFERROR(LOOKUP(AF156,{0;0.5;5;25},{"Bajo";"Medio";"Alto";"Crítico"}),"")</f>
        <v/>
      </c>
      <c r="AH156" s="28">
        <f>IF(AG156="","",IF(OR(AG156="Crítico",AG156="Alto"),"Mitigar",IF(AG156="Medio","Mitigar","Aceptar y monitorear")))</f>
        <v/>
      </c>
      <c r="AI156" s="21" t="n"/>
      <c r="AJ156" s="21" t="n"/>
      <c r="AK156" s="20" t="n"/>
      <c r="AL156" s="77">
        <f>IFERROR(INDEX(MgAmenEfic,MATCH(SUBSTITUTE($H156,"*","-"),MgAmenClave,0)),0)</f>
        <v/>
      </c>
    </row>
    <row r="157" hidden="1" ht="60" customHeight="1" s="54">
      <c r="B157" s="59" t="inlineStr">
        <is>
          <t>R-0152</t>
        </is>
      </c>
      <c r="C157" s="59" t="inlineStr">
        <is>
          <t>DO-11</t>
        </is>
      </c>
      <c r="D157" s="64">
        <f>IFERROR(INDEX(MgNombre,MATCH($C157,MgActId,0)),"")</f>
        <v/>
      </c>
      <c r="E157" s="64">
        <f>IFERROR(INDEX(MgProceso,MATCH($C157,MgActId,0)),"")</f>
        <v/>
      </c>
      <c r="F157" s="64">
        <f>IFERROR(INDEX(MgTipo,MATCH($C157,MgActId,0)),"")</f>
        <v/>
      </c>
      <c r="G157" s="64">
        <f>IFERROR(INDEX(MgSubtipo,MATCH($C157,MgActId,0)),"")</f>
        <v/>
      </c>
      <c r="H157" s="59" t="inlineStr">
        <is>
          <t>A.18</t>
        </is>
      </c>
      <c r="I157" s="64">
        <f>IFERROR(INDEX(MgAmenNombre,MATCH(SUBSTITUTE($H157,"*","-"),MgAmenClave,0)),"")</f>
        <v/>
      </c>
      <c r="J157" s="28">
        <f>IFERROR(INDEX(MgAmenGrupo,MATCH(SUBSTITUTE($H157,"*","-"),MgAmenClave,0)),"")</f>
        <v/>
      </c>
      <c r="K157" s="64">
        <f>IFERROR(INDEX('1. Matriz de Activos'!$Q$6:$Q$239,MATCH($C157,MgActId,0)),"")</f>
        <v/>
      </c>
      <c r="L157" s="64">
        <f>IFERROR(INDEX('1. Matriz de Activos'!$R$6:$R$239,MATCH($C157,MgActId,0)),"")</f>
        <v/>
      </c>
      <c r="M157" s="64">
        <f>IFERROR(INDEX('1. Matriz de Activos'!$S$6:$S$239,MATCH($C157,MgActId,0)),"")</f>
        <v/>
      </c>
      <c r="N157" s="28">
        <f>IFERROR(INDEX(MgAmenDegD,MATCH(SUBSTITUTE($H157,"*","-"),MgAmenClave,0)),"No aplica")</f>
        <v/>
      </c>
      <c r="O157" s="28">
        <f>IFERROR(INDEX(MgAmenDegI,MATCH(SUBSTITUTE($H157,"*","-"),MgAmenClave,0)),"No aplica")</f>
        <v/>
      </c>
      <c r="P157" s="28">
        <f>IFERROR(INDEX(MgAmenDegC,MATCH(SUBSTITUTE($H157,"*","-"),MgAmenClave,0)),"No aplica")</f>
        <v/>
      </c>
      <c r="Q157" s="29">
        <f>IFERROR(VLOOKUP(K157,MgValor,2,0)*VLOOKUP(N157,MgDeg,2,0),0)</f>
        <v/>
      </c>
      <c r="R157" s="29">
        <f>IFERROR(VLOOKUP(L157,MgValor,2,0)*VLOOKUP(O157,MgDeg,2,0),0)</f>
        <v/>
      </c>
      <c r="S157" s="29">
        <f>IFERROR(VLOOKUP(M157,MgValor,2,0)*VLOOKUP(P157,MgDeg,2,0),0)</f>
        <v/>
      </c>
      <c r="T157" s="30">
        <f>MAX(Q157:S157)</f>
        <v/>
      </c>
      <c r="U157" s="28">
        <f>IFERROR(LOOKUP(T157,{0;0.5;1.5;3;4.5},{"Despreciable";"Bajo";"Medio";"Alto";"Muy alto"}),"")</f>
        <v/>
      </c>
      <c r="V157" s="13">
        <f>IFERROR(INDEX(MgAmenFrec,MATCH(SUBSTITUTE($H157,"*","-"),MgAmenClave,0)),"")</f>
        <v/>
      </c>
      <c r="W157" s="28">
        <f>IFERROR(LOOKUP(X157,{0;0.01;0.1;1;10;100},{"Muy baja";"Muy baja";"Baja";"Media";"Alta";"Muy alta"}),"")</f>
        <v/>
      </c>
      <c r="X157" s="31">
        <f>IFERROR(VLOOKUP(V157,MgFrec,2,0),0)</f>
        <v/>
      </c>
      <c r="Y157" s="30">
        <f>T157*X157</f>
        <v/>
      </c>
      <c r="Z157" s="28">
        <f>IFERROR(LOOKUP(Y157,{0;0.5;5;25},{"Bajo";"Medio";"Alto";"Crítico"}),"")</f>
        <v/>
      </c>
      <c r="AA157" s="64">
        <f>IF(T157&gt;=3,IF(X157&gt;=1,"Zona 1 — Crítica: impacto alto y ocurre al menos una vez al año","Zona 4 — Catastrófica poco probable: impacto alto pero excepcional"),IF(AND(T157&lt;1.5,X157&lt;1),"Zona 3 — Asumible: impacto bajo y muy poco frecuente","Zona 2 — Atención: riesgo intermedio"))</f>
        <v/>
      </c>
      <c r="AB157" s="64">
        <f>IFERROR(INDEX(MgAmenCtrl,MATCH(SUBSTITUTE($H157,"*","-"),MgAmenClave,0)),"")</f>
        <v/>
      </c>
      <c r="AC157" s="20" t="n"/>
      <c r="AD157" s="31">
        <f>IFERROR($X157*(1-IF($AC157="",$AL157,VLOOKUP($AC157,MgMad,2,0))),"")</f>
        <v/>
      </c>
      <c r="AE157" s="28">
        <f>IFERROR(LOOKUP(AD157,{0;0.01;0.1;1;10;100},{"Muy baja";"Muy baja";"Baja";"Media";"Alta";"Muy alta"}),"")</f>
        <v/>
      </c>
      <c r="AF157" s="30">
        <f>T157*AD157</f>
        <v/>
      </c>
      <c r="AG157" s="28">
        <f>IFERROR(LOOKUP(AF157,{0;0.5;5;25},{"Bajo";"Medio";"Alto";"Crítico"}),"")</f>
        <v/>
      </c>
      <c r="AH157" s="28">
        <f>IF(AG157="","",IF(OR(AG157="Crítico",AG157="Alto"),"Mitigar",IF(AG157="Medio","Mitigar","Aceptar y monitorear")))</f>
        <v/>
      </c>
      <c r="AI157" s="21" t="n"/>
      <c r="AJ157" s="21" t="n"/>
      <c r="AK157" s="20" t="n"/>
      <c r="AL157" s="77">
        <f>IFERROR(INDEX(MgAmenEfic,MATCH(SUBSTITUTE($H157,"*","-"),MgAmenClave,0)),0)</f>
        <v/>
      </c>
    </row>
    <row r="158" hidden="1" ht="120" customHeight="1" s="54">
      <c r="B158" s="59" t="inlineStr">
        <is>
          <t>R-0153</t>
        </is>
      </c>
      <c r="C158" s="59" t="inlineStr">
        <is>
          <t>DO-11</t>
        </is>
      </c>
      <c r="D158" s="64">
        <f>IFERROR(INDEX(MgNombre,MATCH($C158,MgActId,0)),"")</f>
        <v/>
      </c>
      <c r="E158" s="64">
        <f>IFERROR(INDEX(MgProceso,MATCH($C158,MgActId,0)),"")</f>
        <v/>
      </c>
      <c r="F158" s="64">
        <f>IFERROR(INDEX(MgTipo,MATCH($C158,MgActId,0)),"")</f>
        <v/>
      </c>
      <c r="G158" s="64">
        <f>IFERROR(INDEX(MgSubtipo,MATCH($C158,MgActId,0)),"")</f>
        <v/>
      </c>
      <c r="H158" s="59" t="inlineStr">
        <is>
          <t>A.19</t>
        </is>
      </c>
      <c r="I158" s="64">
        <f>IFERROR(INDEX(MgAmenNombre,MATCH(SUBSTITUTE($H158,"*","-"),MgAmenClave,0)),"")</f>
        <v/>
      </c>
      <c r="J158" s="28">
        <f>IFERROR(INDEX(MgAmenGrupo,MATCH(SUBSTITUTE($H158,"*","-"),MgAmenClave,0)),"")</f>
        <v/>
      </c>
      <c r="K158" s="64">
        <f>IFERROR(INDEX('1. Matriz de Activos'!$Q$6:$Q$239,MATCH($C158,MgActId,0)),"")</f>
        <v/>
      </c>
      <c r="L158" s="64">
        <f>IFERROR(INDEX('1. Matriz de Activos'!$R$6:$R$239,MATCH($C158,MgActId,0)),"")</f>
        <v/>
      </c>
      <c r="M158" s="64">
        <f>IFERROR(INDEX('1. Matriz de Activos'!$S$6:$S$239,MATCH($C158,MgActId,0)),"")</f>
        <v/>
      </c>
      <c r="N158" s="28">
        <f>IFERROR(INDEX(MgAmenDegD,MATCH(SUBSTITUTE($H158,"*","-"),MgAmenClave,0)),"No aplica")</f>
        <v/>
      </c>
      <c r="O158" s="28">
        <f>IFERROR(INDEX(MgAmenDegI,MATCH(SUBSTITUTE($H158,"*","-"),MgAmenClave,0)),"No aplica")</f>
        <v/>
      </c>
      <c r="P158" s="28">
        <f>IFERROR(INDEX(MgAmenDegC,MATCH(SUBSTITUTE($H158,"*","-"),MgAmenClave,0)),"No aplica")</f>
        <v/>
      </c>
      <c r="Q158" s="29">
        <f>IFERROR(VLOOKUP(K158,MgValor,2,0)*VLOOKUP(N158,MgDeg,2,0),0)</f>
        <v/>
      </c>
      <c r="R158" s="29">
        <f>IFERROR(VLOOKUP(L158,MgValor,2,0)*VLOOKUP(O158,MgDeg,2,0),0)</f>
        <v/>
      </c>
      <c r="S158" s="29">
        <f>IFERROR(VLOOKUP(M158,MgValor,2,0)*VLOOKUP(P158,MgDeg,2,0),0)</f>
        <v/>
      </c>
      <c r="T158" s="30">
        <f>MAX(Q158:S158)</f>
        <v/>
      </c>
      <c r="U158" s="28">
        <f>IFERROR(LOOKUP(T158,{0;0.5;1.5;3;4.5},{"Despreciable";"Bajo";"Medio";"Alto";"Muy alto"}),"")</f>
        <v/>
      </c>
      <c r="V158" s="13">
        <f>IFERROR(INDEX(MgAmenFrec,MATCH(SUBSTITUTE($H158,"*","-"),MgAmenClave,0)),"")</f>
        <v/>
      </c>
      <c r="W158" s="28">
        <f>IFERROR(LOOKUP(X158,{0;0.01;0.1;1;10;100},{"Muy baja";"Muy baja";"Baja";"Media";"Alta";"Muy alta"}),"")</f>
        <v/>
      </c>
      <c r="X158" s="31">
        <f>IFERROR(VLOOKUP(V158,MgFrec,2,0),0)</f>
        <v/>
      </c>
      <c r="Y158" s="30">
        <f>T158*X158</f>
        <v/>
      </c>
      <c r="Z158" s="28">
        <f>IFERROR(LOOKUP(Y158,{0;0.5;5;25},{"Bajo";"Medio";"Alto";"Crítico"}),"")</f>
        <v/>
      </c>
      <c r="AA158" s="64">
        <f>IF(T158&gt;=3,IF(X158&gt;=1,"Zona 1 — Crítica: impacto alto y ocurre al menos una vez al año","Zona 4 — Catastrófica poco probable: impacto alto pero excepcional"),IF(AND(T158&lt;1.5,X158&lt;1),"Zona 3 — Asumible: impacto bajo y muy poco frecuente","Zona 2 — Atención: riesgo intermedio"))</f>
        <v/>
      </c>
      <c r="AB158" s="64">
        <f>IFERROR(INDEX(MgAmenCtrl,MATCH(SUBSTITUTE($H158,"*","-"),MgAmenClave,0)),"")</f>
        <v/>
      </c>
      <c r="AC158" s="20" t="n"/>
      <c r="AD158" s="31">
        <f>IFERROR($X158*(1-IF($AC158="",$AL158,VLOOKUP($AC158,MgMad,2,0))),"")</f>
        <v/>
      </c>
      <c r="AE158" s="28">
        <f>IFERROR(LOOKUP(AD158,{0;0.01;0.1;1;10;100},{"Muy baja";"Muy baja";"Baja";"Media";"Alta";"Muy alta"}),"")</f>
        <v/>
      </c>
      <c r="AF158" s="30">
        <f>T158*AD158</f>
        <v/>
      </c>
      <c r="AG158" s="28">
        <f>IFERROR(LOOKUP(AF158,{0;0.5;5;25},{"Bajo";"Medio";"Alto";"Crítico"}),"")</f>
        <v/>
      </c>
      <c r="AH158" s="28">
        <f>IF(AG158="","",IF(OR(AG158="Crítico",AG158="Alto"),"Mitigar",IF(AG158="Medio","Mitigar","Aceptar y monitorear")))</f>
        <v/>
      </c>
      <c r="AI158" s="21" t="n"/>
      <c r="AJ158" s="21" t="n"/>
      <c r="AK158" s="20" t="n"/>
      <c r="AL158" s="77">
        <f>IFERROR(INDEX(MgAmenEfic,MATCH(SUBSTITUTE($H158,"*","-"),MgAmenClave,0)),0)</f>
        <v/>
      </c>
    </row>
    <row r="159" hidden="1" ht="60" customHeight="1" s="54">
      <c r="B159" s="59" t="inlineStr">
        <is>
          <t>R-0154</t>
        </is>
      </c>
      <c r="C159" s="59" t="inlineStr">
        <is>
          <t>DO-11</t>
        </is>
      </c>
      <c r="D159" s="64">
        <f>IFERROR(INDEX(MgNombre,MATCH($C159,MgActId,0)),"")</f>
        <v/>
      </c>
      <c r="E159" s="64">
        <f>IFERROR(INDEX(MgProceso,MATCH($C159,MgActId,0)),"")</f>
        <v/>
      </c>
      <c r="F159" s="64">
        <f>IFERROR(INDEX(MgTipo,MATCH($C159,MgActId,0)),"")</f>
        <v/>
      </c>
      <c r="G159" s="64">
        <f>IFERROR(INDEX(MgSubtipo,MATCH($C159,MgActId,0)),"")</f>
        <v/>
      </c>
      <c r="H159" s="59" t="inlineStr">
        <is>
          <t>A.24</t>
        </is>
      </c>
      <c r="I159" s="64">
        <f>IFERROR(INDEX(MgAmenNombre,MATCH(SUBSTITUTE($H159,"*","-"),MgAmenClave,0)),"")</f>
        <v/>
      </c>
      <c r="J159" s="28">
        <f>IFERROR(INDEX(MgAmenGrupo,MATCH(SUBSTITUTE($H159,"*","-"),MgAmenClave,0)),"")</f>
        <v/>
      </c>
      <c r="K159" s="64">
        <f>IFERROR(INDEX('1. Matriz de Activos'!$Q$6:$Q$239,MATCH($C159,MgActId,0)),"")</f>
        <v/>
      </c>
      <c r="L159" s="64">
        <f>IFERROR(INDEX('1. Matriz de Activos'!$R$6:$R$239,MATCH($C159,MgActId,0)),"")</f>
        <v/>
      </c>
      <c r="M159" s="64">
        <f>IFERROR(INDEX('1. Matriz de Activos'!$S$6:$S$239,MATCH($C159,MgActId,0)),"")</f>
        <v/>
      </c>
      <c r="N159" s="28">
        <f>IFERROR(INDEX(MgAmenDegD,MATCH(SUBSTITUTE($H159,"*","-"),MgAmenClave,0)),"No aplica")</f>
        <v/>
      </c>
      <c r="O159" s="28">
        <f>IFERROR(INDEX(MgAmenDegI,MATCH(SUBSTITUTE($H159,"*","-"),MgAmenClave,0)),"No aplica")</f>
        <v/>
      </c>
      <c r="P159" s="28">
        <f>IFERROR(INDEX(MgAmenDegC,MATCH(SUBSTITUTE($H159,"*","-"),MgAmenClave,0)),"No aplica")</f>
        <v/>
      </c>
      <c r="Q159" s="29">
        <f>IFERROR(VLOOKUP(K159,MgValor,2,0)*VLOOKUP(N159,MgDeg,2,0),0)</f>
        <v/>
      </c>
      <c r="R159" s="29">
        <f>IFERROR(VLOOKUP(L159,MgValor,2,0)*VLOOKUP(O159,MgDeg,2,0),0)</f>
        <v/>
      </c>
      <c r="S159" s="29">
        <f>IFERROR(VLOOKUP(M159,MgValor,2,0)*VLOOKUP(P159,MgDeg,2,0),0)</f>
        <v/>
      </c>
      <c r="T159" s="30">
        <f>MAX(Q159:S159)</f>
        <v/>
      </c>
      <c r="U159" s="28">
        <f>IFERROR(LOOKUP(T159,{0;0.5;1.5;3;4.5},{"Despreciable";"Bajo";"Medio";"Alto";"Muy alto"}),"")</f>
        <v/>
      </c>
      <c r="V159" s="13">
        <f>IFERROR(INDEX(MgAmenFrec,MATCH(SUBSTITUTE($H159,"*","-"),MgAmenClave,0)),"")</f>
        <v/>
      </c>
      <c r="W159" s="28">
        <f>IFERROR(LOOKUP(X159,{0;0.01;0.1;1;10;100},{"Muy baja";"Muy baja";"Baja";"Media";"Alta";"Muy alta"}),"")</f>
        <v/>
      </c>
      <c r="X159" s="31">
        <f>IFERROR(VLOOKUP(V159,MgFrec,2,0),0)</f>
        <v/>
      </c>
      <c r="Y159" s="30">
        <f>T159*X159</f>
        <v/>
      </c>
      <c r="Z159" s="28">
        <f>IFERROR(LOOKUP(Y159,{0;0.5;5;25},{"Bajo";"Medio";"Alto";"Crítico"}),"")</f>
        <v/>
      </c>
      <c r="AA159" s="64">
        <f>IF(T159&gt;=3,IF(X159&gt;=1,"Zona 1 — Crítica: impacto alto y ocurre al menos una vez al año","Zona 4 — Catastrófica poco probable: impacto alto pero excepcional"),IF(AND(T159&lt;1.5,X159&lt;1),"Zona 3 — Asumible: impacto bajo y muy poco frecuente","Zona 2 — Atención: riesgo intermedio"))</f>
        <v/>
      </c>
      <c r="AB159" s="64">
        <f>IFERROR(INDEX(MgAmenCtrl,MATCH(SUBSTITUTE($H159,"*","-"),MgAmenClave,0)),"")</f>
        <v/>
      </c>
      <c r="AC159" s="20" t="n"/>
      <c r="AD159" s="31">
        <f>IFERROR($X159*(1-IF($AC159="",$AL159,VLOOKUP($AC159,MgMad,2,0))),"")</f>
        <v/>
      </c>
      <c r="AE159" s="28">
        <f>IFERROR(LOOKUP(AD159,{0;0.01;0.1;1;10;100},{"Muy baja";"Muy baja";"Baja";"Media";"Alta";"Muy alta"}),"")</f>
        <v/>
      </c>
      <c r="AF159" s="30">
        <f>T159*AD159</f>
        <v/>
      </c>
      <c r="AG159" s="28">
        <f>IFERROR(LOOKUP(AF159,{0;0.5;5;25},{"Bajo";"Medio";"Alto";"Crítico"}),"")</f>
        <v/>
      </c>
      <c r="AH159" s="28">
        <f>IF(AG159="","",IF(OR(AG159="Crítico",AG159="Alto"),"Mitigar",IF(AG159="Medio","Mitigar","Aceptar y monitorear")))</f>
        <v/>
      </c>
      <c r="AI159" s="21" t="n"/>
      <c r="AJ159" s="21" t="n"/>
      <c r="AK159" s="20" t="n"/>
      <c r="AL159" s="77">
        <f>IFERROR(INDEX(MgAmenEfic,MATCH(SUBSTITUTE($H159,"*","-"),MgAmenClave,0)),0)</f>
        <v/>
      </c>
    </row>
    <row r="160" hidden="1" ht="75" customHeight="1" s="54">
      <c r="B160" s="59" t="inlineStr">
        <is>
          <t>R-0155</t>
        </is>
      </c>
      <c r="C160" s="59" t="inlineStr">
        <is>
          <t>DO-08</t>
        </is>
      </c>
      <c r="D160" s="64">
        <f>IFERROR(INDEX(MgNombre,MATCH($C160,MgActId,0)),"")</f>
        <v/>
      </c>
      <c r="E160" s="64">
        <f>IFERROR(INDEX(MgProceso,MATCH($C160,MgActId,0)),"")</f>
        <v/>
      </c>
      <c r="F160" s="64">
        <f>IFERROR(INDEX(MgTipo,MATCH($C160,MgActId,0)),"")</f>
        <v/>
      </c>
      <c r="G160" s="64">
        <f>IFERROR(INDEX(MgSubtipo,MATCH($C160,MgActId,0)),"")</f>
        <v/>
      </c>
      <c r="H160" s="59" t="inlineStr">
        <is>
          <t>I.8</t>
        </is>
      </c>
      <c r="I160" s="64">
        <f>IFERROR(INDEX(MgAmenNombre,MATCH(SUBSTITUTE($H160,"*","-"),MgAmenClave,0)),"")</f>
        <v/>
      </c>
      <c r="J160" s="28">
        <f>IFERROR(INDEX(MgAmenGrupo,MATCH(SUBSTITUTE($H160,"*","-"),MgAmenClave,0)),"")</f>
        <v/>
      </c>
      <c r="K160" s="64">
        <f>IFERROR(INDEX('1. Matriz de Activos'!$Q$6:$Q$239,MATCH($C160,MgActId,0)),"")</f>
        <v/>
      </c>
      <c r="L160" s="64">
        <f>IFERROR(INDEX('1. Matriz de Activos'!$R$6:$R$239,MATCH($C160,MgActId,0)),"")</f>
        <v/>
      </c>
      <c r="M160" s="64">
        <f>IFERROR(INDEX('1. Matriz de Activos'!$S$6:$S$239,MATCH($C160,MgActId,0)),"")</f>
        <v/>
      </c>
      <c r="N160" s="28">
        <f>IFERROR(INDEX(MgAmenDegD,MATCH(SUBSTITUTE($H160,"*","-"),MgAmenClave,0)),"No aplica")</f>
        <v/>
      </c>
      <c r="O160" s="28">
        <f>IFERROR(INDEX(MgAmenDegI,MATCH(SUBSTITUTE($H160,"*","-"),MgAmenClave,0)),"No aplica")</f>
        <v/>
      </c>
      <c r="P160" s="28">
        <f>IFERROR(INDEX(MgAmenDegC,MATCH(SUBSTITUTE($H160,"*","-"),MgAmenClave,0)),"No aplica")</f>
        <v/>
      </c>
      <c r="Q160" s="29">
        <f>IFERROR(VLOOKUP(K160,MgValor,2,0)*VLOOKUP(N160,MgDeg,2,0),0)</f>
        <v/>
      </c>
      <c r="R160" s="29">
        <f>IFERROR(VLOOKUP(L160,MgValor,2,0)*VLOOKUP(O160,MgDeg,2,0),0)</f>
        <v/>
      </c>
      <c r="S160" s="29">
        <f>IFERROR(VLOOKUP(M160,MgValor,2,0)*VLOOKUP(P160,MgDeg,2,0),0)</f>
        <v/>
      </c>
      <c r="T160" s="30">
        <f>MAX(Q160:S160)</f>
        <v/>
      </c>
      <c r="U160" s="28">
        <f>IFERROR(LOOKUP(T160,{0;0.5;1.5;3;4.5},{"Despreciable";"Bajo";"Medio";"Alto";"Muy alto"}),"")</f>
        <v/>
      </c>
      <c r="V160" s="13">
        <f>IFERROR(INDEX(MgAmenFrec,MATCH(SUBSTITUTE($H160,"*","-"),MgAmenClave,0)),"")</f>
        <v/>
      </c>
      <c r="W160" s="28">
        <f>IFERROR(LOOKUP(X160,{0;0.01;0.1;1;10;100},{"Muy baja";"Muy baja";"Baja";"Media";"Alta";"Muy alta"}),"")</f>
        <v/>
      </c>
      <c r="X160" s="31">
        <f>IFERROR(VLOOKUP(V160,MgFrec,2,0),0)</f>
        <v/>
      </c>
      <c r="Y160" s="30">
        <f>T160*X160</f>
        <v/>
      </c>
      <c r="Z160" s="28">
        <f>IFERROR(LOOKUP(Y160,{0;0.5;5;25},{"Bajo";"Medio";"Alto";"Crítico"}),"")</f>
        <v/>
      </c>
      <c r="AA160" s="64">
        <f>IF(T160&gt;=3,IF(X160&gt;=1,"Zona 1 — Crítica: impacto alto y ocurre al menos una vez al año","Zona 4 — Catastrófica poco probable: impacto alto pero excepcional"),IF(AND(T160&lt;1.5,X160&lt;1),"Zona 3 — Asumible: impacto bajo y muy poco frecuente","Zona 2 — Atención: riesgo intermedio"))</f>
        <v/>
      </c>
      <c r="AB160" s="64">
        <f>IFERROR(INDEX(MgAmenCtrl,MATCH(SUBSTITUTE($H160,"*","-"),MgAmenClave,0)),"")</f>
        <v/>
      </c>
      <c r="AC160" s="20" t="n"/>
      <c r="AD160" s="31">
        <f>IFERROR($X160*(1-IF($AC160="",$AL160,VLOOKUP($AC160,MgMad,2,0))),"")</f>
        <v/>
      </c>
      <c r="AE160" s="28">
        <f>IFERROR(LOOKUP(AD160,{0;0.01;0.1;1;10;100},{"Muy baja";"Muy baja";"Baja";"Media";"Alta";"Muy alta"}),"")</f>
        <v/>
      </c>
      <c r="AF160" s="30">
        <f>T160*AD160</f>
        <v/>
      </c>
      <c r="AG160" s="28">
        <f>IFERROR(LOOKUP(AF160,{0;0.5;5;25},{"Bajo";"Medio";"Alto";"Crítico"}),"")</f>
        <v/>
      </c>
      <c r="AH160" s="28">
        <f>IF(AG160="","",IF(OR(AG160="Crítico",AG160="Alto"),"Mitigar",IF(AG160="Medio","Mitigar","Aceptar y monitorear")))</f>
        <v/>
      </c>
      <c r="AI160" s="21" t="n"/>
      <c r="AJ160" s="21" t="n"/>
      <c r="AK160" s="20" t="n"/>
      <c r="AL160" s="77">
        <f>IFERROR(INDEX(MgAmenEfic,MATCH(SUBSTITUTE($H160,"*","-"),MgAmenClave,0)),0)</f>
        <v/>
      </c>
    </row>
    <row r="161" hidden="1" ht="45" customHeight="1" s="54">
      <c r="B161" s="59" t="inlineStr">
        <is>
          <t>R-0156</t>
        </is>
      </c>
      <c r="C161" s="59" t="inlineStr">
        <is>
          <t>DO-08</t>
        </is>
      </c>
      <c r="D161" s="64">
        <f>IFERROR(INDEX(MgNombre,MATCH($C161,MgActId,0)),"")</f>
        <v/>
      </c>
      <c r="E161" s="64">
        <f>IFERROR(INDEX(MgProceso,MATCH($C161,MgActId,0)),"")</f>
        <v/>
      </c>
      <c r="F161" s="64">
        <f>IFERROR(INDEX(MgTipo,MATCH($C161,MgActId,0)),"")</f>
        <v/>
      </c>
      <c r="G161" s="64">
        <f>IFERROR(INDEX(MgSubtipo,MATCH($C161,MgActId,0)),"")</f>
        <v/>
      </c>
      <c r="H161" s="59" t="inlineStr">
        <is>
          <t>I.11</t>
        </is>
      </c>
      <c r="I161" s="64">
        <f>IFERROR(INDEX(MgAmenNombre,MATCH(SUBSTITUTE($H161,"*","-"),MgAmenClave,0)),"")</f>
        <v/>
      </c>
      <c r="J161" s="28">
        <f>IFERROR(INDEX(MgAmenGrupo,MATCH(SUBSTITUTE($H161,"*","-"),MgAmenClave,0)),"")</f>
        <v/>
      </c>
      <c r="K161" s="64">
        <f>IFERROR(INDEX('1. Matriz de Activos'!$Q$6:$Q$239,MATCH($C161,MgActId,0)),"")</f>
        <v/>
      </c>
      <c r="L161" s="64">
        <f>IFERROR(INDEX('1. Matriz de Activos'!$R$6:$R$239,MATCH($C161,MgActId,0)),"")</f>
        <v/>
      </c>
      <c r="M161" s="64">
        <f>IFERROR(INDEX('1. Matriz de Activos'!$S$6:$S$239,MATCH($C161,MgActId,0)),"")</f>
        <v/>
      </c>
      <c r="N161" s="28">
        <f>IFERROR(INDEX(MgAmenDegD,MATCH(SUBSTITUTE($H161,"*","-"),MgAmenClave,0)),"No aplica")</f>
        <v/>
      </c>
      <c r="O161" s="28">
        <f>IFERROR(INDEX(MgAmenDegI,MATCH(SUBSTITUTE($H161,"*","-"),MgAmenClave,0)),"No aplica")</f>
        <v/>
      </c>
      <c r="P161" s="28">
        <f>IFERROR(INDEX(MgAmenDegC,MATCH(SUBSTITUTE($H161,"*","-"),MgAmenClave,0)),"No aplica")</f>
        <v/>
      </c>
      <c r="Q161" s="29">
        <f>IFERROR(VLOOKUP(K161,MgValor,2,0)*VLOOKUP(N161,MgDeg,2,0),0)</f>
        <v/>
      </c>
      <c r="R161" s="29">
        <f>IFERROR(VLOOKUP(L161,MgValor,2,0)*VLOOKUP(O161,MgDeg,2,0),0)</f>
        <v/>
      </c>
      <c r="S161" s="29">
        <f>IFERROR(VLOOKUP(M161,MgValor,2,0)*VLOOKUP(P161,MgDeg,2,0),0)</f>
        <v/>
      </c>
      <c r="T161" s="30">
        <f>MAX(Q161:S161)</f>
        <v/>
      </c>
      <c r="U161" s="28">
        <f>IFERROR(LOOKUP(T161,{0;0.5;1.5;3;4.5},{"Despreciable";"Bajo";"Medio";"Alto";"Muy alto"}),"")</f>
        <v/>
      </c>
      <c r="V161" s="13">
        <f>IFERROR(INDEX(MgAmenFrec,MATCH(SUBSTITUTE($H161,"*","-"),MgAmenClave,0)),"")</f>
        <v/>
      </c>
      <c r="W161" s="28">
        <f>IFERROR(LOOKUP(X161,{0;0.01;0.1;1;10;100},{"Muy baja";"Muy baja";"Baja";"Media";"Alta";"Muy alta"}),"")</f>
        <v/>
      </c>
      <c r="X161" s="31">
        <f>IFERROR(VLOOKUP(V161,MgFrec,2,0),0)</f>
        <v/>
      </c>
      <c r="Y161" s="30">
        <f>T161*X161</f>
        <v/>
      </c>
      <c r="Z161" s="28">
        <f>IFERROR(LOOKUP(Y161,{0;0.5;5;25},{"Bajo";"Medio";"Alto";"Crítico"}),"")</f>
        <v/>
      </c>
      <c r="AA161" s="64">
        <f>IF(T161&gt;=3,IF(X161&gt;=1,"Zona 1 — Crítica: impacto alto y ocurre al menos una vez al año","Zona 4 — Catastrófica poco probable: impacto alto pero excepcional"),IF(AND(T161&lt;1.5,X161&lt;1),"Zona 3 — Asumible: impacto bajo y muy poco frecuente","Zona 2 — Atención: riesgo intermedio"))</f>
        <v/>
      </c>
      <c r="AB161" s="64">
        <f>IFERROR(INDEX(MgAmenCtrl,MATCH(SUBSTITUTE($H161,"*","-"),MgAmenClave,0)),"")</f>
        <v/>
      </c>
      <c r="AC161" s="20" t="n"/>
      <c r="AD161" s="31">
        <f>IFERROR($X161*(1-IF($AC161="",$AL161,VLOOKUP($AC161,MgMad,2,0))),"")</f>
        <v/>
      </c>
      <c r="AE161" s="28">
        <f>IFERROR(LOOKUP(AD161,{0;0.01;0.1;1;10;100},{"Muy baja";"Muy baja";"Baja";"Media";"Alta";"Muy alta"}),"")</f>
        <v/>
      </c>
      <c r="AF161" s="30">
        <f>T161*AD161</f>
        <v/>
      </c>
      <c r="AG161" s="28">
        <f>IFERROR(LOOKUP(AF161,{0;0.5;5;25},{"Bajo";"Medio";"Alto";"Crítico"}),"")</f>
        <v/>
      </c>
      <c r="AH161" s="28">
        <f>IF(AG161="","",IF(OR(AG161="Crítico",AG161="Alto"),"Mitigar",IF(AG161="Medio","Mitigar","Aceptar y monitorear")))</f>
        <v/>
      </c>
      <c r="AI161" s="21" t="n"/>
      <c r="AJ161" s="21" t="n"/>
      <c r="AK161" s="20" t="n"/>
      <c r="AL161" s="77">
        <f>IFERROR(INDEX(MgAmenEfic,MATCH(SUBSTITUTE($H161,"*","-"),MgAmenClave,0)),0)</f>
        <v/>
      </c>
    </row>
    <row r="162" hidden="1" ht="120" customHeight="1" s="54">
      <c r="B162" s="59" t="inlineStr">
        <is>
          <t>R-0157</t>
        </is>
      </c>
      <c r="C162" s="59" t="inlineStr">
        <is>
          <t>DO-08</t>
        </is>
      </c>
      <c r="D162" s="64">
        <f>IFERROR(INDEX(MgNombre,MATCH($C162,MgActId,0)),"")</f>
        <v/>
      </c>
      <c r="E162" s="64">
        <f>IFERROR(INDEX(MgProceso,MATCH($C162,MgActId,0)),"")</f>
        <v/>
      </c>
      <c r="F162" s="64">
        <f>IFERROR(INDEX(MgTipo,MATCH($C162,MgActId,0)),"")</f>
        <v/>
      </c>
      <c r="G162" s="64">
        <f>IFERROR(INDEX(MgSubtipo,MATCH($C162,MgActId,0)),"")</f>
        <v/>
      </c>
      <c r="H162" s="59" t="inlineStr">
        <is>
          <t>E.2</t>
        </is>
      </c>
      <c r="I162" s="64">
        <f>IFERROR(INDEX(MgAmenNombre,MATCH(SUBSTITUTE($H162,"*","-"),MgAmenClave,0)),"")</f>
        <v/>
      </c>
      <c r="J162" s="28">
        <f>IFERROR(INDEX(MgAmenGrupo,MATCH(SUBSTITUTE($H162,"*","-"),MgAmenClave,0)),"")</f>
        <v/>
      </c>
      <c r="K162" s="64">
        <f>IFERROR(INDEX('1. Matriz de Activos'!$Q$6:$Q$239,MATCH($C162,MgActId,0)),"")</f>
        <v/>
      </c>
      <c r="L162" s="64">
        <f>IFERROR(INDEX('1. Matriz de Activos'!$R$6:$R$239,MATCH($C162,MgActId,0)),"")</f>
        <v/>
      </c>
      <c r="M162" s="64">
        <f>IFERROR(INDEX('1. Matriz de Activos'!$S$6:$S$239,MATCH($C162,MgActId,0)),"")</f>
        <v/>
      </c>
      <c r="N162" s="28">
        <f>IFERROR(INDEX(MgAmenDegD,MATCH(SUBSTITUTE($H162,"*","-"),MgAmenClave,0)),"No aplica")</f>
        <v/>
      </c>
      <c r="O162" s="28">
        <f>IFERROR(INDEX(MgAmenDegI,MATCH(SUBSTITUTE($H162,"*","-"),MgAmenClave,0)),"No aplica")</f>
        <v/>
      </c>
      <c r="P162" s="28">
        <f>IFERROR(INDEX(MgAmenDegC,MATCH(SUBSTITUTE($H162,"*","-"),MgAmenClave,0)),"No aplica")</f>
        <v/>
      </c>
      <c r="Q162" s="29">
        <f>IFERROR(VLOOKUP(K162,MgValor,2,0)*VLOOKUP(N162,MgDeg,2,0),0)</f>
        <v/>
      </c>
      <c r="R162" s="29">
        <f>IFERROR(VLOOKUP(L162,MgValor,2,0)*VLOOKUP(O162,MgDeg,2,0),0)</f>
        <v/>
      </c>
      <c r="S162" s="29">
        <f>IFERROR(VLOOKUP(M162,MgValor,2,0)*VLOOKUP(P162,MgDeg,2,0),0)</f>
        <v/>
      </c>
      <c r="T162" s="30">
        <f>MAX(Q162:S162)</f>
        <v/>
      </c>
      <c r="U162" s="28">
        <f>IFERROR(LOOKUP(T162,{0;0.5;1.5;3;4.5},{"Despreciable";"Bajo";"Medio";"Alto";"Muy alto"}),"")</f>
        <v/>
      </c>
      <c r="V162" s="13">
        <f>IFERROR(INDEX(MgAmenFrec,MATCH(SUBSTITUTE($H162,"*","-"),MgAmenClave,0)),"")</f>
        <v/>
      </c>
      <c r="W162" s="28">
        <f>IFERROR(LOOKUP(X162,{0;0.01;0.1;1;10;100},{"Muy baja";"Muy baja";"Baja";"Media";"Alta";"Muy alta"}),"")</f>
        <v/>
      </c>
      <c r="X162" s="31">
        <f>IFERROR(VLOOKUP(V162,MgFrec,2,0),0)</f>
        <v/>
      </c>
      <c r="Y162" s="30">
        <f>T162*X162</f>
        <v/>
      </c>
      <c r="Z162" s="28">
        <f>IFERROR(LOOKUP(Y162,{0;0.5;5;25},{"Bajo";"Medio";"Alto";"Crítico"}),"")</f>
        <v/>
      </c>
      <c r="AA162" s="64">
        <f>IF(T162&gt;=3,IF(X162&gt;=1,"Zona 1 — Crítica: impacto alto y ocurre al menos una vez al año","Zona 4 — Catastrófica poco probable: impacto alto pero excepcional"),IF(AND(T162&lt;1.5,X162&lt;1),"Zona 3 — Asumible: impacto bajo y muy poco frecuente","Zona 2 — Atención: riesgo intermedio"))</f>
        <v/>
      </c>
      <c r="AB162" s="64">
        <f>IFERROR(INDEX(MgAmenCtrl,MATCH(SUBSTITUTE($H162,"*","-"),MgAmenClave,0)),"")</f>
        <v/>
      </c>
      <c r="AC162" s="20" t="n"/>
      <c r="AD162" s="31">
        <f>IFERROR($X162*(1-IF($AC162="",$AL162,VLOOKUP($AC162,MgMad,2,0))),"")</f>
        <v/>
      </c>
      <c r="AE162" s="28">
        <f>IFERROR(LOOKUP(AD162,{0;0.01;0.1;1;10;100},{"Muy baja";"Muy baja";"Baja";"Media";"Alta";"Muy alta"}),"")</f>
        <v/>
      </c>
      <c r="AF162" s="30">
        <f>T162*AD162</f>
        <v/>
      </c>
      <c r="AG162" s="28">
        <f>IFERROR(LOOKUP(AF162,{0;0.5;5;25},{"Bajo";"Medio";"Alto";"Crítico"}),"")</f>
        <v/>
      </c>
      <c r="AH162" s="28">
        <f>IF(AG162="","",IF(OR(AG162="Crítico",AG162="Alto"),"Mitigar",IF(AG162="Medio","Mitigar","Aceptar y monitorear")))</f>
        <v/>
      </c>
      <c r="AI162" s="21" t="n"/>
      <c r="AJ162" s="21" t="n"/>
      <c r="AK162" s="20" t="n"/>
      <c r="AL162" s="77">
        <f>IFERROR(INDEX(MgAmenEfic,MATCH(SUBSTITUTE($H162,"*","-"),MgAmenClave,0)),0)</f>
        <v/>
      </c>
    </row>
    <row r="163" hidden="1" ht="60" customHeight="1" s="54">
      <c r="B163" s="59" t="inlineStr">
        <is>
          <t>R-0158</t>
        </is>
      </c>
      <c r="C163" s="59" t="inlineStr">
        <is>
          <t>DO-08</t>
        </is>
      </c>
      <c r="D163" s="64">
        <f>IFERROR(INDEX(MgNombre,MATCH($C163,MgActId,0)),"")</f>
        <v/>
      </c>
      <c r="E163" s="64">
        <f>IFERROR(INDEX(MgProceso,MATCH($C163,MgActId,0)),"")</f>
        <v/>
      </c>
      <c r="F163" s="64">
        <f>IFERROR(INDEX(MgTipo,MATCH($C163,MgActId,0)),"")</f>
        <v/>
      </c>
      <c r="G163" s="64">
        <f>IFERROR(INDEX(MgSubtipo,MATCH($C163,MgActId,0)),"")</f>
        <v/>
      </c>
      <c r="H163" s="59" t="inlineStr">
        <is>
          <t>E.9</t>
        </is>
      </c>
      <c r="I163" s="64">
        <f>IFERROR(INDEX(MgAmenNombre,MATCH(SUBSTITUTE($H163,"*","-"),MgAmenClave,0)),"")</f>
        <v/>
      </c>
      <c r="J163" s="28">
        <f>IFERROR(INDEX(MgAmenGrupo,MATCH(SUBSTITUTE($H163,"*","-"),MgAmenClave,0)),"")</f>
        <v/>
      </c>
      <c r="K163" s="64">
        <f>IFERROR(INDEX('1. Matriz de Activos'!$Q$6:$Q$239,MATCH($C163,MgActId,0)),"")</f>
        <v/>
      </c>
      <c r="L163" s="64">
        <f>IFERROR(INDEX('1. Matriz de Activos'!$R$6:$R$239,MATCH($C163,MgActId,0)),"")</f>
        <v/>
      </c>
      <c r="M163" s="64">
        <f>IFERROR(INDEX('1. Matriz de Activos'!$S$6:$S$239,MATCH($C163,MgActId,0)),"")</f>
        <v/>
      </c>
      <c r="N163" s="28">
        <f>IFERROR(INDEX(MgAmenDegD,MATCH(SUBSTITUTE($H163,"*","-"),MgAmenClave,0)),"No aplica")</f>
        <v/>
      </c>
      <c r="O163" s="28">
        <f>IFERROR(INDEX(MgAmenDegI,MATCH(SUBSTITUTE($H163,"*","-"),MgAmenClave,0)),"No aplica")</f>
        <v/>
      </c>
      <c r="P163" s="28">
        <f>IFERROR(INDEX(MgAmenDegC,MATCH(SUBSTITUTE($H163,"*","-"),MgAmenClave,0)),"No aplica")</f>
        <v/>
      </c>
      <c r="Q163" s="29">
        <f>IFERROR(VLOOKUP(K163,MgValor,2,0)*VLOOKUP(N163,MgDeg,2,0),0)</f>
        <v/>
      </c>
      <c r="R163" s="29">
        <f>IFERROR(VLOOKUP(L163,MgValor,2,0)*VLOOKUP(O163,MgDeg,2,0),0)</f>
        <v/>
      </c>
      <c r="S163" s="29">
        <f>IFERROR(VLOOKUP(M163,MgValor,2,0)*VLOOKUP(P163,MgDeg,2,0),0)</f>
        <v/>
      </c>
      <c r="T163" s="30">
        <f>MAX(Q163:S163)</f>
        <v/>
      </c>
      <c r="U163" s="28">
        <f>IFERROR(LOOKUP(T163,{0;0.5;1.5;3;4.5},{"Despreciable";"Bajo";"Medio";"Alto";"Muy alto"}),"")</f>
        <v/>
      </c>
      <c r="V163" s="13">
        <f>IFERROR(INDEX(MgAmenFrec,MATCH(SUBSTITUTE($H163,"*","-"),MgAmenClave,0)),"")</f>
        <v/>
      </c>
      <c r="W163" s="28">
        <f>IFERROR(LOOKUP(X163,{0;0.01;0.1;1;10;100},{"Muy baja";"Muy baja";"Baja";"Media";"Alta";"Muy alta"}),"")</f>
        <v/>
      </c>
      <c r="X163" s="31">
        <f>IFERROR(VLOOKUP(V163,MgFrec,2,0),0)</f>
        <v/>
      </c>
      <c r="Y163" s="30">
        <f>T163*X163</f>
        <v/>
      </c>
      <c r="Z163" s="28">
        <f>IFERROR(LOOKUP(Y163,{0;0.5;5;25},{"Bajo";"Medio";"Alto";"Crítico"}),"")</f>
        <v/>
      </c>
      <c r="AA163" s="64">
        <f>IF(T163&gt;=3,IF(X163&gt;=1,"Zona 1 — Crítica: impacto alto y ocurre al menos una vez al año","Zona 4 — Catastrófica poco probable: impacto alto pero excepcional"),IF(AND(T163&lt;1.5,X163&lt;1),"Zona 3 — Asumible: impacto bajo y muy poco frecuente","Zona 2 — Atención: riesgo intermedio"))</f>
        <v/>
      </c>
      <c r="AB163" s="64">
        <f>IFERROR(INDEX(MgAmenCtrl,MATCH(SUBSTITUTE($H163,"*","-"),MgAmenClave,0)),"")</f>
        <v/>
      </c>
      <c r="AC163" s="20" t="n"/>
      <c r="AD163" s="31">
        <f>IFERROR($X163*(1-IF($AC163="",$AL163,VLOOKUP($AC163,MgMad,2,0))),"")</f>
        <v/>
      </c>
      <c r="AE163" s="28">
        <f>IFERROR(LOOKUP(AD163,{0;0.01;0.1;1;10;100},{"Muy baja";"Muy baja";"Baja";"Media";"Alta";"Muy alta"}),"")</f>
        <v/>
      </c>
      <c r="AF163" s="30">
        <f>T163*AD163</f>
        <v/>
      </c>
      <c r="AG163" s="28">
        <f>IFERROR(LOOKUP(AF163,{0;0.5;5;25},{"Bajo";"Medio";"Alto";"Crítico"}),"")</f>
        <v/>
      </c>
      <c r="AH163" s="28">
        <f>IF(AG163="","",IF(OR(AG163="Crítico",AG163="Alto"),"Mitigar",IF(AG163="Medio","Mitigar","Aceptar y monitorear")))</f>
        <v/>
      </c>
      <c r="AI163" s="21" t="n"/>
      <c r="AJ163" s="21" t="n"/>
      <c r="AK163" s="20" t="n"/>
      <c r="AL163" s="77">
        <f>IFERROR(INDEX(MgAmenEfic,MATCH(SUBSTITUTE($H163,"*","-"),MgAmenClave,0)),0)</f>
        <v/>
      </c>
    </row>
    <row r="164" hidden="1" ht="90" customHeight="1" s="54">
      <c r="B164" s="59" t="inlineStr">
        <is>
          <t>R-0159</t>
        </is>
      </c>
      <c r="C164" s="59" t="inlineStr">
        <is>
          <t>DO-08</t>
        </is>
      </c>
      <c r="D164" s="64">
        <f>IFERROR(INDEX(MgNombre,MATCH($C164,MgActId,0)),"")</f>
        <v/>
      </c>
      <c r="E164" s="64">
        <f>IFERROR(INDEX(MgProceso,MATCH($C164,MgActId,0)),"")</f>
        <v/>
      </c>
      <c r="F164" s="64">
        <f>IFERROR(INDEX(MgTipo,MATCH($C164,MgActId,0)),"")</f>
        <v/>
      </c>
      <c r="G164" s="64">
        <f>IFERROR(INDEX(MgSubtipo,MATCH($C164,MgActId,0)),"")</f>
        <v/>
      </c>
      <c r="H164" s="59" t="inlineStr">
        <is>
          <t>E.10</t>
        </is>
      </c>
      <c r="I164" s="64">
        <f>IFERROR(INDEX(MgAmenNombre,MATCH(SUBSTITUTE($H164,"*","-"),MgAmenClave,0)),"")</f>
        <v/>
      </c>
      <c r="J164" s="28">
        <f>IFERROR(INDEX(MgAmenGrupo,MATCH(SUBSTITUTE($H164,"*","-"),MgAmenClave,0)),"")</f>
        <v/>
      </c>
      <c r="K164" s="64">
        <f>IFERROR(INDEX('1. Matriz de Activos'!$Q$6:$Q$239,MATCH($C164,MgActId,0)),"")</f>
        <v/>
      </c>
      <c r="L164" s="64">
        <f>IFERROR(INDEX('1. Matriz de Activos'!$R$6:$R$239,MATCH($C164,MgActId,0)),"")</f>
        <v/>
      </c>
      <c r="M164" s="64">
        <f>IFERROR(INDEX('1. Matriz de Activos'!$S$6:$S$239,MATCH($C164,MgActId,0)),"")</f>
        <v/>
      </c>
      <c r="N164" s="28">
        <f>IFERROR(INDEX(MgAmenDegD,MATCH(SUBSTITUTE($H164,"*","-"),MgAmenClave,0)),"No aplica")</f>
        <v/>
      </c>
      <c r="O164" s="28">
        <f>IFERROR(INDEX(MgAmenDegI,MATCH(SUBSTITUTE($H164,"*","-"),MgAmenClave,0)),"No aplica")</f>
        <v/>
      </c>
      <c r="P164" s="28">
        <f>IFERROR(INDEX(MgAmenDegC,MATCH(SUBSTITUTE($H164,"*","-"),MgAmenClave,0)),"No aplica")</f>
        <v/>
      </c>
      <c r="Q164" s="29">
        <f>IFERROR(VLOOKUP(K164,MgValor,2,0)*VLOOKUP(N164,MgDeg,2,0),0)</f>
        <v/>
      </c>
      <c r="R164" s="29">
        <f>IFERROR(VLOOKUP(L164,MgValor,2,0)*VLOOKUP(O164,MgDeg,2,0),0)</f>
        <v/>
      </c>
      <c r="S164" s="29">
        <f>IFERROR(VLOOKUP(M164,MgValor,2,0)*VLOOKUP(P164,MgDeg,2,0),0)</f>
        <v/>
      </c>
      <c r="T164" s="30">
        <f>MAX(Q164:S164)</f>
        <v/>
      </c>
      <c r="U164" s="28">
        <f>IFERROR(LOOKUP(T164,{0;0.5;1.5;3;4.5},{"Despreciable";"Bajo";"Medio";"Alto";"Muy alto"}),"")</f>
        <v/>
      </c>
      <c r="V164" s="13">
        <f>IFERROR(INDEX(MgAmenFrec,MATCH(SUBSTITUTE($H164,"*","-"),MgAmenClave,0)),"")</f>
        <v/>
      </c>
      <c r="W164" s="28">
        <f>IFERROR(LOOKUP(X164,{0;0.01;0.1;1;10;100},{"Muy baja";"Muy baja";"Baja";"Media";"Alta";"Muy alta"}),"")</f>
        <v/>
      </c>
      <c r="X164" s="31">
        <f>IFERROR(VLOOKUP(V164,MgFrec,2,0),0)</f>
        <v/>
      </c>
      <c r="Y164" s="30">
        <f>T164*X164</f>
        <v/>
      </c>
      <c r="Z164" s="28">
        <f>IFERROR(LOOKUP(Y164,{0;0.5;5;25},{"Bajo";"Medio";"Alto";"Crítico"}),"")</f>
        <v/>
      </c>
      <c r="AA164" s="64">
        <f>IF(T164&gt;=3,IF(X164&gt;=1,"Zona 1 — Crítica: impacto alto y ocurre al menos una vez al año","Zona 4 — Catastrófica poco probable: impacto alto pero excepcional"),IF(AND(T164&lt;1.5,X164&lt;1),"Zona 3 — Asumible: impacto bajo y muy poco frecuente","Zona 2 — Atención: riesgo intermedio"))</f>
        <v/>
      </c>
      <c r="AB164" s="64">
        <f>IFERROR(INDEX(MgAmenCtrl,MATCH(SUBSTITUTE($H164,"*","-"),MgAmenClave,0)),"")</f>
        <v/>
      </c>
      <c r="AC164" s="20" t="n"/>
      <c r="AD164" s="31">
        <f>IFERROR($X164*(1-IF($AC164="",$AL164,VLOOKUP($AC164,MgMad,2,0))),"")</f>
        <v/>
      </c>
      <c r="AE164" s="28">
        <f>IFERROR(LOOKUP(AD164,{0;0.01;0.1;1;10;100},{"Muy baja";"Muy baja";"Baja";"Media";"Alta";"Muy alta"}),"")</f>
        <v/>
      </c>
      <c r="AF164" s="30">
        <f>T164*AD164</f>
        <v/>
      </c>
      <c r="AG164" s="28">
        <f>IFERROR(LOOKUP(AF164,{0;0.5;5;25},{"Bajo";"Medio";"Alto";"Crítico"}),"")</f>
        <v/>
      </c>
      <c r="AH164" s="28">
        <f>IF(AG164="","",IF(OR(AG164="Crítico",AG164="Alto"),"Mitigar",IF(AG164="Medio","Mitigar","Aceptar y monitorear")))</f>
        <v/>
      </c>
      <c r="AI164" s="21" t="n"/>
      <c r="AJ164" s="21" t="n"/>
      <c r="AK164" s="20" t="n"/>
      <c r="AL164" s="77">
        <f>IFERROR(INDEX(MgAmenEfic,MATCH(SUBSTITUTE($H164,"*","-"),MgAmenClave,0)),0)</f>
        <v/>
      </c>
    </row>
    <row r="165" hidden="1" ht="90" customHeight="1" s="54">
      <c r="B165" s="59" t="inlineStr">
        <is>
          <t>R-0160</t>
        </is>
      </c>
      <c r="C165" s="59" t="inlineStr">
        <is>
          <t>DO-08</t>
        </is>
      </c>
      <c r="D165" s="64">
        <f>IFERROR(INDEX(MgNombre,MATCH($C165,MgActId,0)),"")</f>
        <v/>
      </c>
      <c r="E165" s="64">
        <f>IFERROR(INDEX(MgProceso,MATCH($C165,MgActId,0)),"")</f>
        <v/>
      </c>
      <c r="F165" s="64">
        <f>IFERROR(INDEX(MgTipo,MATCH($C165,MgActId,0)),"")</f>
        <v/>
      </c>
      <c r="G165" s="64">
        <f>IFERROR(INDEX(MgSubtipo,MATCH($C165,MgActId,0)),"")</f>
        <v/>
      </c>
      <c r="H165" s="59" t="inlineStr">
        <is>
          <t>E.14</t>
        </is>
      </c>
      <c r="I165" s="64">
        <f>IFERROR(INDEX(MgAmenNombre,MATCH(SUBSTITUTE($H165,"*","-"),MgAmenClave,0)),"")</f>
        <v/>
      </c>
      <c r="J165" s="28">
        <f>IFERROR(INDEX(MgAmenGrupo,MATCH(SUBSTITUTE($H165,"*","-"),MgAmenClave,0)),"")</f>
        <v/>
      </c>
      <c r="K165" s="64">
        <f>IFERROR(INDEX('1. Matriz de Activos'!$Q$6:$Q$239,MATCH($C165,MgActId,0)),"")</f>
        <v/>
      </c>
      <c r="L165" s="64">
        <f>IFERROR(INDEX('1. Matriz de Activos'!$R$6:$R$239,MATCH($C165,MgActId,0)),"")</f>
        <v/>
      </c>
      <c r="M165" s="64">
        <f>IFERROR(INDEX('1. Matriz de Activos'!$S$6:$S$239,MATCH($C165,MgActId,0)),"")</f>
        <v/>
      </c>
      <c r="N165" s="28">
        <f>IFERROR(INDEX(MgAmenDegD,MATCH(SUBSTITUTE($H165,"*","-"),MgAmenClave,0)),"No aplica")</f>
        <v/>
      </c>
      <c r="O165" s="28">
        <f>IFERROR(INDEX(MgAmenDegI,MATCH(SUBSTITUTE($H165,"*","-"),MgAmenClave,0)),"No aplica")</f>
        <v/>
      </c>
      <c r="P165" s="28">
        <f>IFERROR(INDEX(MgAmenDegC,MATCH(SUBSTITUTE($H165,"*","-"),MgAmenClave,0)),"No aplica")</f>
        <v/>
      </c>
      <c r="Q165" s="29">
        <f>IFERROR(VLOOKUP(K165,MgValor,2,0)*VLOOKUP(N165,MgDeg,2,0),0)</f>
        <v/>
      </c>
      <c r="R165" s="29">
        <f>IFERROR(VLOOKUP(L165,MgValor,2,0)*VLOOKUP(O165,MgDeg,2,0),0)</f>
        <v/>
      </c>
      <c r="S165" s="29">
        <f>IFERROR(VLOOKUP(M165,MgValor,2,0)*VLOOKUP(P165,MgDeg,2,0),0)</f>
        <v/>
      </c>
      <c r="T165" s="30">
        <f>MAX(Q165:S165)</f>
        <v/>
      </c>
      <c r="U165" s="28">
        <f>IFERROR(LOOKUP(T165,{0;0.5;1.5;3;4.5},{"Despreciable";"Bajo";"Medio";"Alto";"Muy alto"}),"")</f>
        <v/>
      </c>
      <c r="V165" s="13">
        <f>IFERROR(INDEX(MgAmenFrec,MATCH(SUBSTITUTE($H165,"*","-"),MgAmenClave,0)),"")</f>
        <v/>
      </c>
      <c r="W165" s="28">
        <f>IFERROR(LOOKUP(X165,{0;0.01;0.1;1;10;100},{"Muy baja";"Muy baja";"Baja";"Media";"Alta";"Muy alta"}),"")</f>
        <v/>
      </c>
      <c r="X165" s="31">
        <f>IFERROR(VLOOKUP(V165,MgFrec,2,0),0)</f>
        <v/>
      </c>
      <c r="Y165" s="30">
        <f>T165*X165</f>
        <v/>
      </c>
      <c r="Z165" s="28">
        <f>IFERROR(LOOKUP(Y165,{0;0.5;5;25},{"Bajo";"Medio";"Alto";"Crítico"}),"")</f>
        <v/>
      </c>
      <c r="AA165" s="64">
        <f>IF(T165&gt;=3,IF(X165&gt;=1,"Zona 1 — Crítica: impacto alto y ocurre al menos una vez al año","Zona 4 — Catastrófica poco probable: impacto alto pero excepcional"),IF(AND(T165&lt;1.5,X165&lt;1),"Zona 3 — Asumible: impacto bajo y muy poco frecuente","Zona 2 — Atención: riesgo intermedio"))</f>
        <v/>
      </c>
      <c r="AB165" s="64">
        <f>IFERROR(INDEX(MgAmenCtrl,MATCH(SUBSTITUTE($H165,"*","-"),MgAmenClave,0)),"")</f>
        <v/>
      </c>
      <c r="AC165" s="20" t="n"/>
      <c r="AD165" s="31">
        <f>IFERROR($X165*(1-IF($AC165="",$AL165,VLOOKUP($AC165,MgMad,2,0))),"")</f>
        <v/>
      </c>
      <c r="AE165" s="28">
        <f>IFERROR(LOOKUP(AD165,{0;0.01;0.1;1;10;100},{"Muy baja";"Muy baja";"Baja";"Media";"Alta";"Muy alta"}),"")</f>
        <v/>
      </c>
      <c r="AF165" s="30">
        <f>T165*AD165</f>
        <v/>
      </c>
      <c r="AG165" s="28">
        <f>IFERROR(LOOKUP(AF165,{0;0.5;5;25},{"Bajo";"Medio";"Alto";"Crítico"}),"")</f>
        <v/>
      </c>
      <c r="AH165" s="28">
        <f>IF(AG165="","",IF(OR(AG165="Crítico",AG165="Alto"),"Mitigar",IF(AG165="Medio","Mitigar","Aceptar y monitorear")))</f>
        <v/>
      </c>
      <c r="AI165" s="21" t="n"/>
      <c r="AJ165" s="21" t="n"/>
      <c r="AK165" s="20" t="n"/>
      <c r="AL165" s="77">
        <f>IFERROR(INDEX(MgAmenEfic,MATCH(SUBSTITUTE($H165,"*","-"),MgAmenClave,0)),0)</f>
        <v/>
      </c>
    </row>
    <row r="166" hidden="1" ht="90" customHeight="1" s="54">
      <c r="B166" s="59" t="inlineStr">
        <is>
          <t>R-0161</t>
        </is>
      </c>
      <c r="C166" s="59" t="inlineStr">
        <is>
          <t>DO-08</t>
        </is>
      </c>
      <c r="D166" s="64">
        <f>IFERROR(INDEX(MgNombre,MATCH($C166,MgActId,0)),"")</f>
        <v/>
      </c>
      <c r="E166" s="64">
        <f>IFERROR(INDEX(MgProceso,MATCH($C166,MgActId,0)),"")</f>
        <v/>
      </c>
      <c r="F166" s="64">
        <f>IFERROR(INDEX(MgTipo,MATCH($C166,MgActId,0)),"")</f>
        <v/>
      </c>
      <c r="G166" s="64">
        <f>IFERROR(INDEX(MgSubtipo,MATCH($C166,MgActId,0)),"")</f>
        <v/>
      </c>
      <c r="H166" s="59" t="inlineStr">
        <is>
          <t>E.15</t>
        </is>
      </c>
      <c r="I166" s="64">
        <f>IFERROR(INDEX(MgAmenNombre,MATCH(SUBSTITUTE($H166,"*","-"),MgAmenClave,0)),"")</f>
        <v/>
      </c>
      <c r="J166" s="28">
        <f>IFERROR(INDEX(MgAmenGrupo,MATCH(SUBSTITUTE($H166,"*","-"),MgAmenClave,0)),"")</f>
        <v/>
      </c>
      <c r="K166" s="64">
        <f>IFERROR(INDEX('1. Matriz de Activos'!$Q$6:$Q$239,MATCH($C166,MgActId,0)),"")</f>
        <v/>
      </c>
      <c r="L166" s="64">
        <f>IFERROR(INDEX('1. Matriz de Activos'!$R$6:$R$239,MATCH($C166,MgActId,0)),"")</f>
        <v/>
      </c>
      <c r="M166" s="64">
        <f>IFERROR(INDEX('1. Matriz de Activos'!$S$6:$S$239,MATCH($C166,MgActId,0)),"")</f>
        <v/>
      </c>
      <c r="N166" s="28">
        <f>IFERROR(INDEX(MgAmenDegD,MATCH(SUBSTITUTE($H166,"*","-"),MgAmenClave,0)),"No aplica")</f>
        <v/>
      </c>
      <c r="O166" s="28">
        <f>IFERROR(INDEX(MgAmenDegI,MATCH(SUBSTITUTE($H166,"*","-"),MgAmenClave,0)),"No aplica")</f>
        <v/>
      </c>
      <c r="P166" s="28">
        <f>IFERROR(INDEX(MgAmenDegC,MATCH(SUBSTITUTE($H166,"*","-"),MgAmenClave,0)),"No aplica")</f>
        <v/>
      </c>
      <c r="Q166" s="29">
        <f>IFERROR(VLOOKUP(K166,MgValor,2,0)*VLOOKUP(N166,MgDeg,2,0),0)</f>
        <v/>
      </c>
      <c r="R166" s="29">
        <f>IFERROR(VLOOKUP(L166,MgValor,2,0)*VLOOKUP(O166,MgDeg,2,0),0)</f>
        <v/>
      </c>
      <c r="S166" s="29">
        <f>IFERROR(VLOOKUP(M166,MgValor,2,0)*VLOOKUP(P166,MgDeg,2,0),0)</f>
        <v/>
      </c>
      <c r="T166" s="30">
        <f>MAX(Q166:S166)</f>
        <v/>
      </c>
      <c r="U166" s="28">
        <f>IFERROR(LOOKUP(T166,{0;0.5;1.5;3;4.5},{"Despreciable";"Bajo";"Medio";"Alto";"Muy alto"}),"")</f>
        <v/>
      </c>
      <c r="V166" s="13">
        <f>IFERROR(INDEX(MgAmenFrec,MATCH(SUBSTITUTE($H166,"*","-"),MgAmenClave,0)),"")</f>
        <v/>
      </c>
      <c r="W166" s="28">
        <f>IFERROR(LOOKUP(X166,{0;0.01;0.1;1;10;100},{"Muy baja";"Muy baja";"Baja";"Media";"Alta";"Muy alta"}),"")</f>
        <v/>
      </c>
      <c r="X166" s="31">
        <f>IFERROR(VLOOKUP(V166,MgFrec,2,0),0)</f>
        <v/>
      </c>
      <c r="Y166" s="30">
        <f>T166*X166</f>
        <v/>
      </c>
      <c r="Z166" s="28">
        <f>IFERROR(LOOKUP(Y166,{0;0.5;5;25},{"Bajo";"Medio";"Alto";"Crítico"}),"")</f>
        <v/>
      </c>
      <c r="AA166" s="64">
        <f>IF(T166&gt;=3,IF(X166&gt;=1,"Zona 1 — Crítica: impacto alto y ocurre al menos una vez al año","Zona 4 — Catastrófica poco probable: impacto alto pero excepcional"),IF(AND(T166&lt;1.5,X166&lt;1),"Zona 3 — Asumible: impacto bajo y muy poco frecuente","Zona 2 — Atención: riesgo intermedio"))</f>
        <v/>
      </c>
      <c r="AB166" s="64">
        <f>IFERROR(INDEX(MgAmenCtrl,MATCH(SUBSTITUTE($H166,"*","-"),MgAmenClave,0)),"")</f>
        <v/>
      </c>
      <c r="AC166" s="20" t="n"/>
      <c r="AD166" s="31">
        <f>IFERROR($X166*(1-IF($AC166="",$AL166,VLOOKUP($AC166,MgMad,2,0))),"")</f>
        <v/>
      </c>
      <c r="AE166" s="28">
        <f>IFERROR(LOOKUP(AD166,{0;0.01;0.1;1;10;100},{"Muy baja";"Muy baja";"Baja";"Media";"Alta";"Muy alta"}),"")</f>
        <v/>
      </c>
      <c r="AF166" s="30">
        <f>T166*AD166</f>
        <v/>
      </c>
      <c r="AG166" s="28">
        <f>IFERROR(LOOKUP(AF166,{0;0.5;5;25},{"Bajo";"Medio";"Alto";"Crítico"}),"")</f>
        <v/>
      </c>
      <c r="AH166" s="28">
        <f>IF(AG166="","",IF(OR(AG166="Crítico",AG166="Alto"),"Mitigar",IF(AG166="Medio","Mitigar","Aceptar y monitorear")))</f>
        <v/>
      </c>
      <c r="AI166" s="21" t="n"/>
      <c r="AJ166" s="21" t="n"/>
      <c r="AK166" s="20" t="n"/>
      <c r="AL166" s="77">
        <f>IFERROR(INDEX(MgAmenEfic,MATCH(SUBSTITUTE($H166,"*","-"),MgAmenClave,0)),0)</f>
        <v/>
      </c>
    </row>
    <row r="167" hidden="1" ht="60" customHeight="1" s="54">
      <c r="B167" s="59" t="inlineStr">
        <is>
          <t>R-0162</t>
        </is>
      </c>
      <c r="C167" s="59" t="inlineStr">
        <is>
          <t>DO-08</t>
        </is>
      </c>
      <c r="D167" s="64">
        <f>IFERROR(INDEX(MgNombre,MATCH($C167,MgActId,0)),"")</f>
        <v/>
      </c>
      <c r="E167" s="64">
        <f>IFERROR(INDEX(MgProceso,MATCH($C167,MgActId,0)),"")</f>
        <v/>
      </c>
      <c r="F167" s="64">
        <f>IFERROR(INDEX(MgTipo,MATCH($C167,MgActId,0)),"")</f>
        <v/>
      </c>
      <c r="G167" s="64">
        <f>IFERROR(INDEX(MgSubtipo,MATCH($C167,MgActId,0)),"")</f>
        <v/>
      </c>
      <c r="H167" s="59" t="inlineStr">
        <is>
          <t>E.18</t>
        </is>
      </c>
      <c r="I167" s="64">
        <f>IFERROR(INDEX(MgAmenNombre,MATCH(SUBSTITUTE($H167,"*","-"),MgAmenClave,0)),"")</f>
        <v/>
      </c>
      <c r="J167" s="28">
        <f>IFERROR(INDEX(MgAmenGrupo,MATCH(SUBSTITUTE($H167,"*","-"),MgAmenClave,0)),"")</f>
        <v/>
      </c>
      <c r="K167" s="64">
        <f>IFERROR(INDEX('1. Matriz de Activos'!$Q$6:$Q$239,MATCH($C167,MgActId,0)),"")</f>
        <v/>
      </c>
      <c r="L167" s="64">
        <f>IFERROR(INDEX('1. Matriz de Activos'!$R$6:$R$239,MATCH($C167,MgActId,0)),"")</f>
        <v/>
      </c>
      <c r="M167" s="64">
        <f>IFERROR(INDEX('1. Matriz de Activos'!$S$6:$S$239,MATCH($C167,MgActId,0)),"")</f>
        <v/>
      </c>
      <c r="N167" s="28">
        <f>IFERROR(INDEX(MgAmenDegD,MATCH(SUBSTITUTE($H167,"*","-"),MgAmenClave,0)),"No aplica")</f>
        <v/>
      </c>
      <c r="O167" s="28">
        <f>IFERROR(INDEX(MgAmenDegI,MATCH(SUBSTITUTE($H167,"*","-"),MgAmenClave,0)),"No aplica")</f>
        <v/>
      </c>
      <c r="P167" s="28">
        <f>IFERROR(INDEX(MgAmenDegC,MATCH(SUBSTITUTE($H167,"*","-"),MgAmenClave,0)),"No aplica")</f>
        <v/>
      </c>
      <c r="Q167" s="29">
        <f>IFERROR(VLOOKUP(K167,MgValor,2,0)*VLOOKUP(N167,MgDeg,2,0),0)</f>
        <v/>
      </c>
      <c r="R167" s="29">
        <f>IFERROR(VLOOKUP(L167,MgValor,2,0)*VLOOKUP(O167,MgDeg,2,0),0)</f>
        <v/>
      </c>
      <c r="S167" s="29">
        <f>IFERROR(VLOOKUP(M167,MgValor,2,0)*VLOOKUP(P167,MgDeg,2,0),0)</f>
        <v/>
      </c>
      <c r="T167" s="30">
        <f>MAX(Q167:S167)</f>
        <v/>
      </c>
      <c r="U167" s="28">
        <f>IFERROR(LOOKUP(T167,{0;0.5;1.5;3;4.5},{"Despreciable";"Bajo";"Medio";"Alto";"Muy alto"}),"")</f>
        <v/>
      </c>
      <c r="V167" s="13">
        <f>IFERROR(INDEX(MgAmenFrec,MATCH(SUBSTITUTE($H167,"*","-"),MgAmenClave,0)),"")</f>
        <v/>
      </c>
      <c r="W167" s="28">
        <f>IFERROR(LOOKUP(X167,{0;0.01;0.1;1;10;100},{"Muy baja";"Muy baja";"Baja";"Media";"Alta";"Muy alta"}),"")</f>
        <v/>
      </c>
      <c r="X167" s="31">
        <f>IFERROR(VLOOKUP(V167,MgFrec,2,0),0)</f>
        <v/>
      </c>
      <c r="Y167" s="30">
        <f>T167*X167</f>
        <v/>
      </c>
      <c r="Z167" s="28">
        <f>IFERROR(LOOKUP(Y167,{0;0.5;5;25},{"Bajo";"Medio";"Alto";"Crítico"}),"")</f>
        <v/>
      </c>
      <c r="AA167" s="64">
        <f>IF(T167&gt;=3,IF(X167&gt;=1,"Zona 1 — Crítica: impacto alto y ocurre al menos una vez al año","Zona 4 — Catastrófica poco probable: impacto alto pero excepcional"),IF(AND(T167&lt;1.5,X167&lt;1),"Zona 3 — Asumible: impacto bajo y muy poco frecuente","Zona 2 — Atención: riesgo intermedio"))</f>
        <v/>
      </c>
      <c r="AB167" s="64">
        <f>IFERROR(INDEX(MgAmenCtrl,MATCH(SUBSTITUTE($H167,"*","-"),MgAmenClave,0)),"")</f>
        <v/>
      </c>
      <c r="AC167" s="20" t="n"/>
      <c r="AD167" s="31">
        <f>IFERROR($X167*(1-IF($AC167="",$AL167,VLOOKUP($AC167,MgMad,2,0))),"")</f>
        <v/>
      </c>
      <c r="AE167" s="28">
        <f>IFERROR(LOOKUP(AD167,{0;0.01;0.1;1;10;100},{"Muy baja";"Muy baja";"Baja";"Media";"Alta";"Muy alta"}),"")</f>
        <v/>
      </c>
      <c r="AF167" s="30">
        <f>T167*AD167</f>
        <v/>
      </c>
      <c r="AG167" s="28">
        <f>IFERROR(LOOKUP(AF167,{0;0.5;5;25},{"Bajo";"Medio";"Alto";"Crítico"}),"")</f>
        <v/>
      </c>
      <c r="AH167" s="28">
        <f>IF(AG167="","",IF(OR(AG167="Crítico",AG167="Alto"),"Mitigar",IF(AG167="Medio","Mitigar","Aceptar y monitorear")))</f>
        <v/>
      </c>
      <c r="AI167" s="21" t="n"/>
      <c r="AJ167" s="21" t="n"/>
      <c r="AK167" s="20" t="n"/>
      <c r="AL167" s="77">
        <f>IFERROR(INDEX(MgAmenEfic,MATCH(SUBSTITUTE($H167,"*","-"),MgAmenClave,0)),0)</f>
        <v/>
      </c>
    </row>
    <row r="168" hidden="1" ht="105" customHeight="1" s="54">
      <c r="B168" s="59" t="inlineStr">
        <is>
          <t>R-0163</t>
        </is>
      </c>
      <c r="C168" s="59" t="inlineStr">
        <is>
          <t>DO-08</t>
        </is>
      </c>
      <c r="D168" s="64">
        <f>IFERROR(INDEX(MgNombre,MATCH($C168,MgActId,0)),"")</f>
        <v/>
      </c>
      <c r="E168" s="64">
        <f>IFERROR(INDEX(MgProceso,MATCH($C168,MgActId,0)),"")</f>
        <v/>
      </c>
      <c r="F168" s="64">
        <f>IFERROR(INDEX(MgTipo,MATCH($C168,MgActId,0)),"")</f>
        <v/>
      </c>
      <c r="G168" s="64">
        <f>IFERROR(INDEX(MgSubtipo,MATCH($C168,MgActId,0)),"")</f>
        <v/>
      </c>
      <c r="H168" s="59" t="inlineStr">
        <is>
          <t>E.19</t>
        </is>
      </c>
      <c r="I168" s="64">
        <f>IFERROR(INDEX(MgAmenNombre,MATCH(SUBSTITUTE($H168,"*","-"),MgAmenClave,0)),"")</f>
        <v/>
      </c>
      <c r="J168" s="28">
        <f>IFERROR(INDEX(MgAmenGrupo,MATCH(SUBSTITUTE($H168,"*","-"),MgAmenClave,0)),"")</f>
        <v/>
      </c>
      <c r="K168" s="64">
        <f>IFERROR(INDEX('1. Matriz de Activos'!$Q$6:$Q$239,MATCH($C168,MgActId,0)),"")</f>
        <v/>
      </c>
      <c r="L168" s="64">
        <f>IFERROR(INDEX('1. Matriz de Activos'!$R$6:$R$239,MATCH($C168,MgActId,0)),"")</f>
        <v/>
      </c>
      <c r="M168" s="64">
        <f>IFERROR(INDEX('1. Matriz de Activos'!$S$6:$S$239,MATCH($C168,MgActId,0)),"")</f>
        <v/>
      </c>
      <c r="N168" s="28">
        <f>IFERROR(INDEX(MgAmenDegD,MATCH(SUBSTITUTE($H168,"*","-"),MgAmenClave,0)),"No aplica")</f>
        <v/>
      </c>
      <c r="O168" s="28">
        <f>IFERROR(INDEX(MgAmenDegI,MATCH(SUBSTITUTE($H168,"*","-"),MgAmenClave,0)),"No aplica")</f>
        <v/>
      </c>
      <c r="P168" s="28">
        <f>IFERROR(INDEX(MgAmenDegC,MATCH(SUBSTITUTE($H168,"*","-"),MgAmenClave,0)),"No aplica")</f>
        <v/>
      </c>
      <c r="Q168" s="29">
        <f>IFERROR(VLOOKUP(K168,MgValor,2,0)*VLOOKUP(N168,MgDeg,2,0),0)</f>
        <v/>
      </c>
      <c r="R168" s="29">
        <f>IFERROR(VLOOKUP(L168,MgValor,2,0)*VLOOKUP(O168,MgDeg,2,0),0)</f>
        <v/>
      </c>
      <c r="S168" s="29">
        <f>IFERROR(VLOOKUP(M168,MgValor,2,0)*VLOOKUP(P168,MgDeg,2,0),0)</f>
        <v/>
      </c>
      <c r="T168" s="30">
        <f>MAX(Q168:S168)</f>
        <v/>
      </c>
      <c r="U168" s="28">
        <f>IFERROR(LOOKUP(T168,{0;0.5;1.5;3;4.5},{"Despreciable";"Bajo";"Medio";"Alto";"Muy alto"}),"")</f>
        <v/>
      </c>
      <c r="V168" s="13">
        <f>IFERROR(INDEX(MgAmenFrec,MATCH(SUBSTITUTE($H168,"*","-"),MgAmenClave,0)),"")</f>
        <v/>
      </c>
      <c r="W168" s="28">
        <f>IFERROR(LOOKUP(X168,{0;0.01;0.1;1;10;100},{"Muy baja";"Muy baja";"Baja";"Media";"Alta";"Muy alta"}),"")</f>
        <v/>
      </c>
      <c r="X168" s="31">
        <f>IFERROR(VLOOKUP(V168,MgFrec,2,0),0)</f>
        <v/>
      </c>
      <c r="Y168" s="30">
        <f>T168*X168</f>
        <v/>
      </c>
      <c r="Z168" s="28">
        <f>IFERROR(LOOKUP(Y168,{0;0.5;5;25},{"Bajo";"Medio";"Alto";"Crítico"}),"")</f>
        <v/>
      </c>
      <c r="AA168" s="64">
        <f>IF(T168&gt;=3,IF(X168&gt;=1,"Zona 1 — Crítica: impacto alto y ocurre al menos una vez al año","Zona 4 — Catastrófica poco probable: impacto alto pero excepcional"),IF(AND(T168&lt;1.5,X168&lt;1),"Zona 3 — Asumible: impacto bajo y muy poco frecuente","Zona 2 — Atención: riesgo intermedio"))</f>
        <v/>
      </c>
      <c r="AB168" s="64">
        <f>IFERROR(INDEX(MgAmenCtrl,MATCH(SUBSTITUTE($H168,"*","-"),MgAmenClave,0)),"")</f>
        <v/>
      </c>
      <c r="AC168" s="20" t="n"/>
      <c r="AD168" s="31">
        <f>IFERROR($X168*(1-IF($AC168="",$AL168,VLOOKUP($AC168,MgMad,2,0))),"")</f>
        <v/>
      </c>
      <c r="AE168" s="28">
        <f>IFERROR(LOOKUP(AD168,{0;0.01;0.1;1;10;100},{"Muy baja";"Muy baja";"Baja";"Media";"Alta";"Muy alta"}),"")</f>
        <v/>
      </c>
      <c r="AF168" s="30">
        <f>T168*AD168</f>
        <v/>
      </c>
      <c r="AG168" s="28">
        <f>IFERROR(LOOKUP(AF168,{0;0.5;5;25},{"Bajo";"Medio";"Alto";"Crítico"}),"")</f>
        <v/>
      </c>
      <c r="AH168" s="28">
        <f>IF(AG168="","",IF(OR(AG168="Crítico",AG168="Alto"),"Mitigar",IF(AG168="Medio","Mitigar","Aceptar y monitorear")))</f>
        <v/>
      </c>
      <c r="AI168" s="21" t="n"/>
      <c r="AJ168" s="21" t="n"/>
      <c r="AK168" s="20" t="n"/>
      <c r="AL168" s="77">
        <f>IFERROR(INDEX(MgAmenEfic,MATCH(SUBSTITUTE($H168,"*","-"),MgAmenClave,0)),0)</f>
        <v/>
      </c>
    </row>
    <row r="169" hidden="1" ht="45" customHeight="1" s="54">
      <c r="B169" s="59" t="inlineStr">
        <is>
          <t>R-0164</t>
        </is>
      </c>
      <c r="C169" s="59" t="inlineStr">
        <is>
          <t>DO-08</t>
        </is>
      </c>
      <c r="D169" s="64">
        <f>IFERROR(INDEX(MgNombre,MATCH($C169,MgActId,0)),"")</f>
        <v/>
      </c>
      <c r="E169" s="64">
        <f>IFERROR(INDEX(MgProceso,MATCH($C169,MgActId,0)),"")</f>
        <v/>
      </c>
      <c r="F169" s="64">
        <f>IFERROR(INDEX(MgTipo,MATCH($C169,MgActId,0)),"")</f>
        <v/>
      </c>
      <c r="G169" s="64">
        <f>IFERROR(INDEX(MgSubtipo,MATCH($C169,MgActId,0)),"")</f>
        <v/>
      </c>
      <c r="H169" s="59" t="inlineStr">
        <is>
          <t>E.24</t>
        </is>
      </c>
      <c r="I169" s="64">
        <f>IFERROR(INDEX(MgAmenNombre,MATCH(SUBSTITUTE($H169,"*","-"),MgAmenClave,0)),"")</f>
        <v/>
      </c>
      <c r="J169" s="28">
        <f>IFERROR(INDEX(MgAmenGrupo,MATCH(SUBSTITUTE($H169,"*","-"),MgAmenClave,0)),"")</f>
        <v/>
      </c>
      <c r="K169" s="64">
        <f>IFERROR(INDEX('1. Matriz de Activos'!$Q$6:$Q$239,MATCH($C169,MgActId,0)),"")</f>
        <v/>
      </c>
      <c r="L169" s="64">
        <f>IFERROR(INDEX('1. Matriz de Activos'!$R$6:$R$239,MATCH($C169,MgActId,0)),"")</f>
        <v/>
      </c>
      <c r="M169" s="64">
        <f>IFERROR(INDEX('1. Matriz de Activos'!$S$6:$S$239,MATCH($C169,MgActId,0)),"")</f>
        <v/>
      </c>
      <c r="N169" s="28">
        <f>IFERROR(INDEX(MgAmenDegD,MATCH(SUBSTITUTE($H169,"*","-"),MgAmenClave,0)),"No aplica")</f>
        <v/>
      </c>
      <c r="O169" s="28">
        <f>IFERROR(INDEX(MgAmenDegI,MATCH(SUBSTITUTE($H169,"*","-"),MgAmenClave,0)),"No aplica")</f>
        <v/>
      </c>
      <c r="P169" s="28">
        <f>IFERROR(INDEX(MgAmenDegC,MATCH(SUBSTITUTE($H169,"*","-"),MgAmenClave,0)),"No aplica")</f>
        <v/>
      </c>
      <c r="Q169" s="29">
        <f>IFERROR(VLOOKUP(K169,MgValor,2,0)*VLOOKUP(N169,MgDeg,2,0),0)</f>
        <v/>
      </c>
      <c r="R169" s="29">
        <f>IFERROR(VLOOKUP(L169,MgValor,2,0)*VLOOKUP(O169,MgDeg,2,0),0)</f>
        <v/>
      </c>
      <c r="S169" s="29">
        <f>IFERROR(VLOOKUP(M169,MgValor,2,0)*VLOOKUP(P169,MgDeg,2,0),0)</f>
        <v/>
      </c>
      <c r="T169" s="30">
        <f>MAX(Q169:S169)</f>
        <v/>
      </c>
      <c r="U169" s="28">
        <f>IFERROR(LOOKUP(T169,{0;0.5;1.5;3;4.5},{"Despreciable";"Bajo";"Medio";"Alto";"Muy alto"}),"")</f>
        <v/>
      </c>
      <c r="V169" s="13">
        <f>IFERROR(INDEX(MgAmenFrec,MATCH(SUBSTITUTE($H169,"*","-"),MgAmenClave,0)),"")</f>
        <v/>
      </c>
      <c r="W169" s="28">
        <f>IFERROR(LOOKUP(X169,{0;0.01;0.1;1;10;100},{"Muy baja";"Muy baja";"Baja";"Media";"Alta";"Muy alta"}),"")</f>
        <v/>
      </c>
      <c r="X169" s="31">
        <f>IFERROR(VLOOKUP(V169,MgFrec,2,0),0)</f>
        <v/>
      </c>
      <c r="Y169" s="30">
        <f>T169*X169</f>
        <v/>
      </c>
      <c r="Z169" s="28">
        <f>IFERROR(LOOKUP(Y169,{0;0.5;5;25},{"Bajo";"Medio";"Alto";"Crítico"}),"")</f>
        <v/>
      </c>
      <c r="AA169" s="64">
        <f>IF(T169&gt;=3,IF(X169&gt;=1,"Zona 1 — Crítica: impacto alto y ocurre al menos una vez al año","Zona 4 — Catastrófica poco probable: impacto alto pero excepcional"),IF(AND(T169&lt;1.5,X169&lt;1),"Zona 3 — Asumible: impacto bajo y muy poco frecuente","Zona 2 — Atención: riesgo intermedio"))</f>
        <v/>
      </c>
      <c r="AB169" s="64">
        <f>IFERROR(INDEX(MgAmenCtrl,MATCH(SUBSTITUTE($H169,"*","-"),MgAmenClave,0)),"")</f>
        <v/>
      </c>
      <c r="AC169" s="20" t="n"/>
      <c r="AD169" s="31">
        <f>IFERROR($X169*(1-IF($AC169="",$AL169,VLOOKUP($AC169,MgMad,2,0))),"")</f>
        <v/>
      </c>
      <c r="AE169" s="28">
        <f>IFERROR(LOOKUP(AD169,{0;0.01;0.1;1;10;100},{"Muy baja";"Muy baja";"Baja";"Media";"Alta";"Muy alta"}),"")</f>
        <v/>
      </c>
      <c r="AF169" s="30">
        <f>T169*AD169</f>
        <v/>
      </c>
      <c r="AG169" s="28">
        <f>IFERROR(LOOKUP(AF169,{0;0.5;5;25},{"Bajo";"Medio";"Alto";"Crítico"}),"")</f>
        <v/>
      </c>
      <c r="AH169" s="28">
        <f>IF(AG169="","",IF(OR(AG169="Crítico",AG169="Alto"),"Mitigar",IF(AG169="Medio","Mitigar","Aceptar y monitorear")))</f>
        <v/>
      </c>
      <c r="AI169" s="21" t="n"/>
      <c r="AJ169" s="21" t="n"/>
      <c r="AK169" s="20" t="n"/>
      <c r="AL169" s="77">
        <f>IFERROR(INDEX(MgAmenEfic,MATCH(SUBSTITUTE($H169,"*","-"),MgAmenClave,0)),0)</f>
        <v/>
      </c>
    </row>
    <row r="170" hidden="1" ht="75" customHeight="1" s="54">
      <c r="B170" s="59" t="inlineStr">
        <is>
          <t>R-0165</t>
        </is>
      </c>
      <c r="C170" s="59" t="inlineStr">
        <is>
          <t>DO-08</t>
        </is>
      </c>
      <c r="D170" s="64">
        <f>IFERROR(INDEX(MgNombre,MATCH($C170,MgActId,0)),"")</f>
        <v/>
      </c>
      <c r="E170" s="64">
        <f>IFERROR(INDEX(MgProceso,MATCH($C170,MgActId,0)),"")</f>
        <v/>
      </c>
      <c r="F170" s="64">
        <f>IFERROR(INDEX(MgTipo,MATCH($C170,MgActId,0)),"")</f>
        <v/>
      </c>
      <c r="G170" s="64">
        <f>IFERROR(INDEX(MgSubtipo,MATCH($C170,MgActId,0)),"")</f>
        <v/>
      </c>
      <c r="H170" s="59" t="inlineStr">
        <is>
          <t>A.5</t>
        </is>
      </c>
      <c r="I170" s="64">
        <f>IFERROR(INDEX(MgAmenNombre,MATCH(SUBSTITUTE($H170,"*","-"),MgAmenClave,0)),"")</f>
        <v/>
      </c>
      <c r="J170" s="28">
        <f>IFERROR(INDEX(MgAmenGrupo,MATCH(SUBSTITUTE($H170,"*","-"),MgAmenClave,0)),"")</f>
        <v/>
      </c>
      <c r="K170" s="64">
        <f>IFERROR(INDEX('1. Matriz de Activos'!$Q$6:$Q$239,MATCH($C170,MgActId,0)),"")</f>
        <v/>
      </c>
      <c r="L170" s="64">
        <f>IFERROR(INDEX('1. Matriz de Activos'!$R$6:$R$239,MATCH($C170,MgActId,0)),"")</f>
        <v/>
      </c>
      <c r="M170" s="64">
        <f>IFERROR(INDEX('1. Matriz de Activos'!$S$6:$S$239,MATCH($C170,MgActId,0)),"")</f>
        <v/>
      </c>
      <c r="N170" s="28">
        <f>IFERROR(INDEX(MgAmenDegD,MATCH(SUBSTITUTE($H170,"*","-"),MgAmenClave,0)),"No aplica")</f>
        <v/>
      </c>
      <c r="O170" s="28">
        <f>IFERROR(INDEX(MgAmenDegI,MATCH(SUBSTITUTE($H170,"*","-"),MgAmenClave,0)),"No aplica")</f>
        <v/>
      </c>
      <c r="P170" s="28">
        <f>IFERROR(INDEX(MgAmenDegC,MATCH(SUBSTITUTE($H170,"*","-"),MgAmenClave,0)),"No aplica")</f>
        <v/>
      </c>
      <c r="Q170" s="29">
        <f>IFERROR(VLOOKUP(K170,MgValor,2,0)*VLOOKUP(N170,MgDeg,2,0),0)</f>
        <v/>
      </c>
      <c r="R170" s="29">
        <f>IFERROR(VLOOKUP(L170,MgValor,2,0)*VLOOKUP(O170,MgDeg,2,0),0)</f>
        <v/>
      </c>
      <c r="S170" s="29">
        <f>IFERROR(VLOOKUP(M170,MgValor,2,0)*VLOOKUP(P170,MgDeg,2,0),0)</f>
        <v/>
      </c>
      <c r="T170" s="30">
        <f>MAX(Q170:S170)</f>
        <v/>
      </c>
      <c r="U170" s="28">
        <f>IFERROR(LOOKUP(T170,{0;0.5;1.5;3;4.5},{"Despreciable";"Bajo";"Medio";"Alto";"Muy alto"}),"")</f>
        <v/>
      </c>
      <c r="V170" s="13">
        <f>IFERROR(INDEX(MgAmenFrec,MATCH(SUBSTITUTE($H170,"*","-"),MgAmenClave,0)),"")</f>
        <v/>
      </c>
      <c r="W170" s="28">
        <f>IFERROR(LOOKUP(X170,{0;0.01;0.1;1;10;100},{"Muy baja";"Muy baja";"Baja";"Media";"Alta";"Muy alta"}),"")</f>
        <v/>
      </c>
      <c r="X170" s="31">
        <f>IFERROR(VLOOKUP(V170,MgFrec,2,0),0)</f>
        <v/>
      </c>
      <c r="Y170" s="30">
        <f>T170*X170</f>
        <v/>
      </c>
      <c r="Z170" s="28">
        <f>IFERROR(LOOKUP(Y170,{0;0.5;5;25},{"Bajo";"Medio";"Alto";"Crítico"}),"")</f>
        <v/>
      </c>
      <c r="AA170" s="64">
        <f>IF(T170&gt;=3,IF(X170&gt;=1,"Zona 1 — Crítica: impacto alto y ocurre al menos una vez al año","Zona 4 — Catastrófica poco probable: impacto alto pero excepcional"),IF(AND(T170&lt;1.5,X170&lt;1),"Zona 3 — Asumible: impacto bajo y muy poco frecuente","Zona 2 — Atención: riesgo intermedio"))</f>
        <v/>
      </c>
      <c r="AB170" s="64">
        <f>IFERROR(INDEX(MgAmenCtrl,MATCH(SUBSTITUTE($H170,"*","-"),MgAmenClave,0)),"")</f>
        <v/>
      </c>
      <c r="AC170" s="20" t="n"/>
      <c r="AD170" s="31">
        <f>IFERROR($X170*(1-IF($AC170="",$AL170,VLOOKUP($AC170,MgMad,2,0))),"")</f>
        <v/>
      </c>
      <c r="AE170" s="28">
        <f>IFERROR(LOOKUP(AD170,{0;0.01;0.1;1;10;100},{"Muy baja";"Muy baja";"Baja";"Media";"Alta";"Muy alta"}),"")</f>
        <v/>
      </c>
      <c r="AF170" s="30">
        <f>T170*AD170</f>
        <v/>
      </c>
      <c r="AG170" s="28">
        <f>IFERROR(LOOKUP(AF170,{0;0.5;5;25},{"Bajo";"Medio";"Alto";"Crítico"}),"")</f>
        <v/>
      </c>
      <c r="AH170" s="28">
        <f>IF(AG170="","",IF(OR(AG170="Crítico",AG170="Alto"),"Mitigar",IF(AG170="Medio","Mitigar","Aceptar y monitorear")))</f>
        <v/>
      </c>
      <c r="AI170" s="21" t="n"/>
      <c r="AJ170" s="21" t="n"/>
      <c r="AK170" s="20" t="n"/>
      <c r="AL170" s="77">
        <f>IFERROR(INDEX(MgAmenEfic,MATCH(SUBSTITUTE($H170,"*","-"),MgAmenClave,0)),0)</f>
        <v/>
      </c>
    </row>
    <row r="171" hidden="1" ht="105" customHeight="1" s="54">
      <c r="B171" s="59" t="inlineStr">
        <is>
          <t>R-0166</t>
        </is>
      </c>
      <c r="C171" s="59" t="inlineStr">
        <is>
          <t>DO-08</t>
        </is>
      </c>
      <c r="D171" s="64">
        <f>IFERROR(INDEX(MgNombre,MATCH($C171,MgActId,0)),"")</f>
        <v/>
      </c>
      <c r="E171" s="64">
        <f>IFERROR(INDEX(MgProceso,MATCH($C171,MgActId,0)),"")</f>
        <v/>
      </c>
      <c r="F171" s="64">
        <f>IFERROR(INDEX(MgTipo,MATCH($C171,MgActId,0)),"")</f>
        <v/>
      </c>
      <c r="G171" s="64">
        <f>IFERROR(INDEX(MgSubtipo,MATCH($C171,MgActId,0)),"")</f>
        <v/>
      </c>
      <c r="H171" s="59" t="inlineStr">
        <is>
          <t>A.6</t>
        </is>
      </c>
      <c r="I171" s="64">
        <f>IFERROR(INDEX(MgAmenNombre,MATCH(SUBSTITUTE($H171,"*","-"),MgAmenClave,0)),"")</f>
        <v/>
      </c>
      <c r="J171" s="28">
        <f>IFERROR(INDEX(MgAmenGrupo,MATCH(SUBSTITUTE($H171,"*","-"),MgAmenClave,0)),"")</f>
        <v/>
      </c>
      <c r="K171" s="64">
        <f>IFERROR(INDEX('1. Matriz de Activos'!$Q$6:$Q$239,MATCH($C171,MgActId,0)),"")</f>
        <v/>
      </c>
      <c r="L171" s="64">
        <f>IFERROR(INDEX('1. Matriz de Activos'!$R$6:$R$239,MATCH($C171,MgActId,0)),"")</f>
        <v/>
      </c>
      <c r="M171" s="64">
        <f>IFERROR(INDEX('1. Matriz de Activos'!$S$6:$S$239,MATCH($C171,MgActId,0)),"")</f>
        <v/>
      </c>
      <c r="N171" s="28">
        <f>IFERROR(INDEX(MgAmenDegD,MATCH(SUBSTITUTE($H171,"*","-"),MgAmenClave,0)),"No aplica")</f>
        <v/>
      </c>
      <c r="O171" s="28">
        <f>IFERROR(INDEX(MgAmenDegI,MATCH(SUBSTITUTE($H171,"*","-"),MgAmenClave,0)),"No aplica")</f>
        <v/>
      </c>
      <c r="P171" s="28">
        <f>IFERROR(INDEX(MgAmenDegC,MATCH(SUBSTITUTE($H171,"*","-"),MgAmenClave,0)),"No aplica")</f>
        <v/>
      </c>
      <c r="Q171" s="29">
        <f>IFERROR(VLOOKUP(K171,MgValor,2,0)*VLOOKUP(N171,MgDeg,2,0),0)</f>
        <v/>
      </c>
      <c r="R171" s="29">
        <f>IFERROR(VLOOKUP(L171,MgValor,2,0)*VLOOKUP(O171,MgDeg,2,0),0)</f>
        <v/>
      </c>
      <c r="S171" s="29">
        <f>IFERROR(VLOOKUP(M171,MgValor,2,0)*VLOOKUP(P171,MgDeg,2,0),0)</f>
        <v/>
      </c>
      <c r="T171" s="30">
        <f>MAX(Q171:S171)</f>
        <v/>
      </c>
      <c r="U171" s="28">
        <f>IFERROR(LOOKUP(T171,{0;0.5;1.5;3;4.5},{"Despreciable";"Bajo";"Medio";"Alto";"Muy alto"}),"")</f>
        <v/>
      </c>
      <c r="V171" s="13">
        <f>IFERROR(INDEX(MgAmenFrec,MATCH(SUBSTITUTE($H171,"*","-"),MgAmenClave,0)),"")</f>
        <v/>
      </c>
      <c r="W171" s="28">
        <f>IFERROR(LOOKUP(X171,{0;0.01;0.1;1;10;100},{"Muy baja";"Muy baja";"Baja";"Media";"Alta";"Muy alta"}),"")</f>
        <v/>
      </c>
      <c r="X171" s="31">
        <f>IFERROR(VLOOKUP(V171,MgFrec,2,0),0)</f>
        <v/>
      </c>
      <c r="Y171" s="30">
        <f>T171*X171</f>
        <v/>
      </c>
      <c r="Z171" s="28">
        <f>IFERROR(LOOKUP(Y171,{0;0.5;5;25},{"Bajo";"Medio";"Alto";"Crítico"}),"")</f>
        <v/>
      </c>
      <c r="AA171" s="64">
        <f>IF(T171&gt;=3,IF(X171&gt;=1,"Zona 1 — Crítica: impacto alto y ocurre al menos una vez al año","Zona 4 — Catastrófica poco probable: impacto alto pero excepcional"),IF(AND(T171&lt;1.5,X171&lt;1),"Zona 3 — Asumible: impacto bajo y muy poco frecuente","Zona 2 — Atención: riesgo intermedio"))</f>
        <v/>
      </c>
      <c r="AB171" s="64">
        <f>IFERROR(INDEX(MgAmenCtrl,MATCH(SUBSTITUTE($H171,"*","-"),MgAmenClave,0)),"")</f>
        <v/>
      </c>
      <c r="AC171" s="20" t="n"/>
      <c r="AD171" s="31">
        <f>IFERROR($X171*(1-IF($AC171="",$AL171,VLOOKUP($AC171,MgMad,2,0))),"")</f>
        <v/>
      </c>
      <c r="AE171" s="28">
        <f>IFERROR(LOOKUP(AD171,{0;0.01;0.1;1;10;100},{"Muy baja";"Muy baja";"Baja";"Media";"Alta";"Muy alta"}),"")</f>
        <v/>
      </c>
      <c r="AF171" s="30">
        <f>T171*AD171</f>
        <v/>
      </c>
      <c r="AG171" s="28">
        <f>IFERROR(LOOKUP(AF171,{0;0.5;5;25},{"Bajo";"Medio";"Alto";"Crítico"}),"")</f>
        <v/>
      </c>
      <c r="AH171" s="28">
        <f>IF(AG171="","",IF(OR(AG171="Crítico",AG171="Alto"),"Mitigar",IF(AG171="Medio","Mitigar","Aceptar y monitorear")))</f>
        <v/>
      </c>
      <c r="AI171" s="21" t="n"/>
      <c r="AJ171" s="21" t="n"/>
      <c r="AK171" s="20" t="n"/>
      <c r="AL171" s="77">
        <f>IFERROR(INDEX(MgAmenEfic,MATCH(SUBSTITUTE($H171,"*","-"),MgAmenClave,0)),0)</f>
        <v/>
      </c>
    </row>
    <row r="172" hidden="1" ht="60" customHeight="1" s="54">
      <c r="B172" s="59" t="inlineStr">
        <is>
          <t>R-0167</t>
        </is>
      </c>
      <c r="C172" s="59" t="inlineStr">
        <is>
          <t>DO-08</t>
        </is>
      </c>
      <c r="D172" s="64">
        <f>IFERROR(INDEX(MgNombre,MATCH($C172,MgActId,0)),"")</f>
        <v/>
      </c>
      <c r="E172" s="64">
        <f>IFERROR(INDEX(MgProceso,MATCH($C172,MgActId,0)),"")</f>
        <v/>
      </c>
      <c r="F172" s="64">
        <f>IFERROR(INDEX(MgTipo,MATCH($C172,MgActId,0)),"")</f>
        <v/>
      </c>
      <c r="G172" s="64">
        <f>IFERROR(INDEX(MgSubtipo,MATCH($C172,MgActId,0)),"")</f>
        <v/>
      </c>
      <c r="H172" s="59" t="inlineStr">
        <is>
          <t>A.7</t>
        </is>
      </c>
      <c r="I172" s="64">
        <f>IFERROR(INDEX(MgAmenNombre,MATCH(SUBSTITUTE($H172,"*","-"),MgAmenClave,0)),"")</f>
        <v/>
      </c>
      <c r="J172" s="28">
        <f>IFERROR(INDEX(MgAmenGrupo,MATCH(SUBSTITUTE($H172,"*","-"),MgAmenClave,0)),"")</f>
        <v/>
      </c>
      <c r="K172" s="64">
        <f>IFERROR(INDEX('1. Matriz de Activos'!$Q$6:$Q$239,MATCH($C172,MgActId,0)),"")</f>
        <v/>
      </c>
      <c r="L172" s="64">
        <f>IFERROR(INDEX('1. Matriz de Activos'!$R$6:$R$239,MATCH($C172,MgActId,0)),"")</f>
        <v/>
      </c>
      <c r="M172" s="64">
        <f>IFERROR(INDEX('1. Matriz de Activos'!$S$6:$S$239,MATCH($C172,MgActId,0)),"")</f>
        <v/>
      </c>
      <c r="N172" s="28">
        <f>IFERROR(INDEX(MgAmenDegD,MATCH(SUBSTITUTE($H172,"*","-"),MgAmenClave,0)),"No aplica")</f>
        <v/>
      </c>
      <c r="O172" s="28">
        <f>IFERROR(INDEX(MgAmenDegI,MATCH(SUBSTITUTE($H172,"*","-"),MgAmenClave,0)),"No aplica")</f>
        <v/>
      </c>
      <c r="P172" s="28">
        <f>IFERROR(INDEX(MgAmenDegC,MATCH(SUBSTITUTE($H172,"*","-"),MgAmenClave,0)),"No aplica")</f>
        <v/>
      </c>
      <c r="Q172" s="29">
        <f>IFERROR(VLOOKUP(K172,MgValor,2,0)*VLOOKUP(N172,MgDeg,2,0),0)</f>
        <v/>
      </c>
      <c r="R172" s="29">
        <f>IFERROR(VLOOKUP(L172,MgValor,2,0)*VLOOKUP(O172,MgDeg,2,0),0)</f>
        <v/>
      </c>
      <c r="S172" s="29">
        <f>IFERROR(VLOOKUP(M172,MgValor,2,0)*VLOOKUP(P172,MgDeg,2,0),0)</f>
        <v/>
      </c>
      <c r="T172" s="30">
        <f>MAX(Q172:S172)</f>
        <v/>
      </c>
      <c r="U172" s="28">
        <f>IFERROR(LOOKUP(T172,{0;0.5;1.5;3;4.5},{"Despreciable";"Bajo";"Medio";"Alto";"Muy alto"}),"")</f>
        <v/>
      </c>
      <c r="V172" s="13">
        <f>IFERROR(INDEX(MgAmenFrec,MATCH(SUBSTITUTE($H172,"*","-"),MgAmenClave,0)),"")</f>
        <v/>
      </c>
      <c r="W172" s="28">
        <f>IFERROR(LOOKUP(X172,{0;0.01;0.1;1;10;100},{"Muy baja";"Muy baja";"Baja";"Media";"Alta";"Muy alta"}),"")</f>
        <v/>
      </c>
      <c r="X172" s="31">
        <f>IFERROR(VLOOKUP(V172,MgFrec,2,0),0)</f>
        <v/>
      </c>
      <c r="Y172" s="30">
        <f>T172*X172</f>
        <v/>
      </c>
      <c r="Z172" s="28">
        <f>IFERROR(LOOKUP(Y172,{0;0.5;5;25},{"Bajo";"Medio";"Alto";"Crítico"}),"")</f>
        <v/>
      </c>
      <c r="AA172" s="64">
        <f>IF(T172&gt;=3,IF(X172&gt;=1,"Zona 1 — Crítica: impacto alto y ocurre al menos una vez al año","Zona 4 — Catastrófica poco probable: impacto alto pero excepcional"),IF(AND(T172&lt;1.5,X172&lt;1),"Zona 3 — Asumible: impacto bajo y muy poco frecuente","Zona 2 — Atención: riesgo intermedio"))</f>
        <v/>
      </c>
      <c r="AB172" s="64">
        <f>IFERROR(INDEX(MgAmenCtrl,MATCH(SUBSTITUTE($H172,"*","-"),MgAmenClave,0)),"")</f>
        <v/>
      </c>
      <c r="AC172" s="20" t="n"/>
      <c r="AD172" s="31">
        <f>IFERROR($X172*(1-IF($AC172="",$AL172,VLOOKUP($AC172,MgMad,2,0))),"")</f>
        <v/>
      </c>
      <c r="AE172" s="28">
        <f>IFERROR(LOOKUP(AD172,{0;0.01;0.1;1;10;100},{"Muy baja";"Muy baja";"Baja";"Media";"Alta";"Muy alta"}),"")</f>
        <v/>
      </c>
      <c r="AF172" s="30">
        <f>T172*AD172</f>
        <v/>
      </c>
      <c r="AG172" s="28">
        <f>IFERROR(LOOKUP(AF172,{0;0.5;5;25},{"Bajo";"Medio";"Alto";"Crítico"}),"")</f>
        <v/>
      </c>
      <c r="AH172" s="28">
        <f>IF(AG172="","",IF(OR(AG172="Crítico",AG172="Alto"),"Mitigar",IF(AG172="Medio","Mitigar","Aceptar y monitorear")))</f>
        <v/>
      </c>
      <c r="AI172" s="21" t="n"/>
      <c r="AJ172" s="21" t="n"/>
      <c r="AK172" s="20" t="n"/>
      <c r="AL172" s="77">
        <f>IFERROR(INDEX(MgAmenEfic,MATCH(SUBSTITUTE($H172,"*","-"),MgAmenClave,0)),0)</f>
        <v/>
      </c>
    </row>
    <row r="173" hidden="1" ht="60" customHeight="1" s="54">
      <c r="B173" s="59" t="inlineStr">
        <is>
          <t>R-0168</t>
        </is>
      </c>
      <c r="C173" s="59" t="inlineStr">
        <is>
          <t>DO-08</t>
        </is>
      </c>
      <c r="D173" s="64">
        <f>IFERROR(INDEX(MgNombre,MATCH($C173,MgActId,0)),"")</f>
        <v/>
      </c>
      <c r="E173" s="64">
        <f>IFERROR(INDEX(MgProceso,MATCH($C173,MgActId,0)),"")</f>
        <v/>
      </c>
      <c r="F173" s="64">
        <f>IFERROR(INDEX(MgTipo,MATCH($C173,MgActId,0)),"")</f>
        <v/>
      </c>
      <c r="G173" s="64">
        <f>IFERROR(INDEX(MgSubtipo,MATCH($C173,MgActId,0)),"")</f>
        <v/>
      </c>
      <c r="H173" s="59" t="inlineStr">
        <is>
          <t>A.9</t>
        </is>
      </c>
      <c r="I173" s="64">
        <f>IFERROR(INDEX(MgAmenNombre,MATCH(SUBSTITUTE($H173,"*","-"),MgAmenClave,0)),"")</f>
        <v/>
      </c>
      <c r="J173" s="28">
        <f>IFERROR(INDEX(MgAmenGrupo,MATCH(SUBSTITUTE($H173,"*","-"),MgAmenClave,0)),"")</f>
        <v/>
      </c>
      <c r="K173" s="64">
        <f>IFERROR(INDEX('1. Matriz de Activos'!$Q$6:$Q$239,MATCH($C173,MgActId,0)),"")</f>
        <v/>
      </c>
      <c r="L173" s="64">
        <f>IFERROR(INDEX('1. Matriz de Activos'!$R$6:$R$239,MATCH($C173,MgActId,0)),"")</f>
        <v/>
      </c>
      <c r="M173" s="64">
        <f>IFERROR(INDEX('1. Matriz de Activos'!$S$6:$S$239,MATCH($C173,MgActId,0)),"")</f>
        <v/>
      </c>
      <c r="N173" s="28">
        <f>IFERROR(INDEX(MgAmenDegD,MATCH(SUBSTITUTE($H173,"*","-"),MgAmenClave,0)),"No aplica")</f>
        <v/>
      </c>
      <c r="O173" s="28">
        <f>IFERROR(INDEX(MgAmenDegI,MATCH(SUBSTITUTE($H173,"*","-"),MgAmenClave,0)),"No aplica")</f>
        <v/>
      </c>
      <c r="P173" s="28">
        <f>IFERROR(INDEX(MgAmenDegC,MATCH(SUBSTITUTE($H173,"*","-"),MgAmenClave,0)),"No aplica")</f>
        <v/>
      </c>
      <c r="Q173" s="29">
        <f>IFERROR(VLOOKUP(K173,MgValor,2,0)*VLOOKUP(N173,MgDeg,2,0),0)</f>
        <v/>
      </c>
      <c r="R173" s="29">
        <f>IFERROR(VLOOKUP(L173,MgValor,2,0)*VLOOKUP(O173,MgDeg,2,0),0)</f>
        <v/>
      </c>
      <c r="S173" s="29">
        <f>IFERROR(VLOOKUP(M173,MgValor,2,0)*VLOOKUP(P173,MgDeg,2,0),0)</f>
        <v/>
      </c>
      <c r="T173" s="30">
        <f>MAX(Q173:S173)</f>
        <v/>
      </c>
      <c r="U173" s="28">
        <f>IFERROR(LOOKUP(T173,{0;0.5;1.5;3;4.5},{"Despreciable";"Bajo";"Medio";"Alto";"Muy alto"}),"")</f>
        <v/>
      </c>
      <c r="V173" s="13">
        <f>IFERROR(INDEX(MgAmenFrec,MATCH(SUBSTITUTE($H173,"*","-"),MgAmenClave,0)),"")</f>
        <v/>
      </c>
      <c r="W173" s="28">
        <f>IFERROR(LOOKUP(X173,{0;0.01;0.1;1;10;100},{"Muy baja";"Muy baja";"Baja";"Media";"Alta";"Muy alta"}),"")</f>
        <v/>
      </c>
      <c r="X173" s="31">
        <f>IFERROR(VLOOKUP(V173,MgFrec,2,0),0)</f>
        <v/>
      </c>
      <c r="Y173" s="30">
        <f>T173*X173</f>
        <v/>
      </c>
      <c r="Z173" s="28">
        <f>IFERROR(LOOKUP(Y173,{0;0.5;5;25},{"Bajo";"Medio";"Alto";"Crítico"}),"")</f>
        <v/>
      </c>
      <c r="AA173" s="64">
        <f>IF(T173&gt;=3,IF(X173&gt;=1,"Zona 1 — Crítica: impacto alto y ocurre al menos una vez al año","Zona 4 — Catastrófica poco probable: impacto alto pero excepcional"),IF(AND(T173&lt;1.5,X173&lt;1),"Zona 3 — Asumible: impacto bajo y muy poco frecuente","Zona 2 — Atención: riesgo intermedio"))</f>
        <v/>
      </c>
      <c r="AB173" s="64">
        <f>IFERROR(INDEX(MgAmenCtrl,MATCH(SUBSTITUTE($H173,"*","-"),MgAmenClave,0)),"")</f>
        <v/>
      </c>
      <c r="AC173" s="20" t="n"/>
      <c r="AD173" s="31">
        <f>IFERROR($X173*(1-IF($AC173="",$AL173,VLOOKUP($AC173,MgMad,2,0))),"")</f>
        <v/>
      </c>
      <c r="AE173" s="28">
        <f>IFERROR(LOOKUP(AD173,{0;0.01;0.1;1;10;100},{"Muy baja";"Muy baja";"Baja";"Media";"Alta";"Muy alta"}),"")</f>
        <v/>
      </c>
      <c r="AF173" s="30">
        <f>T173*AD173</f>
        <v/>
      </c>
      <c r="AG173" s="28">
        <f>IFERROR(LOOKUP(AF173,{0;0.5;5;25},{"Bajo";"Medio";"Alto";"Crítico"}),"")</f>
        <v/>
      </c>
      <c r="AH173" s="28">
        <f>IF(AG173="","",IF(OR(AG173="Crítico",AG173="Alto"),"Mitigar",IF(AG173="Medio","Mitigar","Aceptar y monitorear")))</f>
        <v/>
      </c>
      <c r="AI173" s="21" t="n"/>
      <c r="AJ173" s="21" t="n"/>
      <c r="AK173" s="20" t="n"/>
      <c r="AL173" s="77">
        <f>IFERROR(INDEX(MgAmenEfic,MATCH(SUBSTITUTE($H173,"*","-"),MgAmenClave,0)),0)</f>
        <v/>
      </c>
    </row>
    <row r="174" hidden="1" ht="45" customHeight="1" s="54">
      <c r="B174" s="59" t="inlineStr">
        <is>
          <t>R-0169</t>
        </is>
      </c>
      <c r="C174" s="59" t="inlineStr">
        <is>
          <t>DO-08</t>
        </is>
      </c>
      <c r="D174" s="64">
        <f>IFERROR(INDEX(MgNombre,MATCH($C174,MgActId,0)),"")</f>
        <v/>
      </c>
      <c r="E174" s="64">
        <f>IFERROR(INDEX(MgProceso,MATCH($C174,MgActId,0)),"")</f>
        <v/>
      </c>
      <c r="F174" s="64">
        <f>IFERROR(INDEX(MgTipo,MATCH($C174,MgActId,0)),"")</f>
        <v/>
      </c>
      <c r="G174" s="64">
        <f>IFERROR(INDEX(MgSubtipo,MATCH($C174,MgActId,0)),"")</f>
        <v/>
      </c>
      <c r="H174" s="59" t="inlineStr">
        <is>
          <t>A.10</t>
        </is>
      </c>
      <c r="I174" s="64">
        <f>IFERROR(INDEX(MgAmenNombre,MATCH(SUBSTITUTE($H174,"*","-"),MgAmenClave,0)),"")</f>
        <v/>
      </c>
      <c r="J174" s="28">
        <f>IFERROR(INDEX(MgAmenGrupo,MATCH(SUBSTITUTE($H174,"*","-"),MgAmenClave,0)),"")</f>
        <v/>
      </c>
      <c r="K174" s="64">
        <f>IFERROR(INDEX('1. Matriz de Activos'!$Q$6:$Q$239,MATCH($C174,MgActId,0)),"")</f>
        <v/>
      </c>
      <c r="L174" s="64">
        <f>IFERROR(INDEX('1. Matriz de Activos'!$R$6:$R$239,MATCH($C174,MgActId,0)),"")</f>
        <v/>
      </c>
      <c r="M174" s="64">
        <f>IFERROR(INDEX('1. Matriz de Activos'!$S$6:$S$239,MATCH($C174,MgActId,0)),"")</f>
        <v/>
      </c>
      <c r="N174" s="28">
        <f>IFERROR(INDEX(MgAmenDegD,MATCH(SUBSTITUTE($H174,"*","-"),MgAmenClave,0)),"No aplica")</f>
        <v/>
      </c>
      <c r="O174" s="28">
        <f>IFERROR(INDEX(MgAmenDegI,MATCH(SUBSTITUTE($H174,"*","-"),MgAmenClave,0)),"No aplica")</f>
        <v/>
      </c>
      <c r="P174" s="28">
        <f>IFERROR(INDEX(MgAmenDegC,MATCH(SUBSTITUTE($H174,"*","-"),MgAmenClave,0)),"No aplica")</f>
        <v/>
      </c>
      <c r="Q174" s="29">
        <f>IFERROR(VLOOKUP(K174,MgValor,2,0)*VLOOKUP(N174,MgDeg,2,0),0)</f>
        <v/>
      </c>
      <c r="R174" s="29">
        <f>IFERROR(VLOOKUP(L174,MgValor,2,0)*VLOOKUP(O174,MgDeg,2,0),0)</f>
        <v/>
      </c>
      <c r="S174" s="29">
        <f>IFERROR(VLOOKUP(M174,MgValor,2,0)*VLOOKUP(P174,MgDeg,2,0),0)</f>
        <v/>
      </c>
      <c r="T174" s="30">
        <f>MAX(Q174:S174)</f>
        <v/>
      </c>
      <c r="U174" s="28">
        <f>IFERROR(LOOKUP(T174,{0;0.5;1.5;3;4.5},{"Despreciable";"Bajo";"Medio";"Alto";"Muy alto"}),"")</f>
        <v/>
      </c>
      <c r="V174" s="13">
        <f>IFERROR(INDEX(MgAmenFrec,MATCH(SUBSTITUTE($H174,"*","-"),MgAmenClave,0)),"")</f>
        <v/>
      </c>
      <c r="W174" s="28">
        <f>IFERROR(LOOKUP(X174,{0;0.01;0.1;1;10;100},{"Muy baja";"Muy baja";"Baja";"Media";"Alta";"Muy alta"}),"")</f>
        <v/>
      </c>
      <c r="X174" s="31">
        <f>IFERROR(VLOOKUP(V174,MgFrec,2,0),0)</f>
        <v/>
      </c>
      <c r="Y174" s="30">
        <f>T174*X174</f>
        <v/>
      </c>
      <c r="Z174" s="28">
        <f>IFERROR(LOOKUP(Y174,{0;0.5;5;25},{"Bajo";"Medio";"Alto";"Crítico"}),"")</f>
        <v/>
      </c>
      <c r="AA174" s="64">
        <f>IF(T174&gt;=3,IF(X174&gt;=1,"Zona 1 — Crítica: impacto alto y ocurre al menos una vez al año","Zona 4 — Catastrófica poco probable: impacto alto pero excepcional"),IF(AND(T174&lt;1.5,X174&lt;1),"Zona 3 — Asumible: impacto bajo y muy poco frecuente","Zona 2 — Atención: riesgo intermedio"))</f>
        <v/>
      </c>
      <c r="AB174" s="64">
        <f>IFERROR(INDEX(MgAmenCtrl,MATCH(SUBSTITUTE($H174,"*","-"),MgAmenClave,0)),"")</f>
        <v/>
      </c>
      <c r="AC174" s="20" t="n"/>
      <c r="AD174" s="31">
        <f>IFERROR($X174*(1-IF($AC174="",$AL174,VLOOKUP($AC174,MgMad,2,0))),"")</f>
        <v/>
      </c>
      <c r="AE174" s="28">
        <f>IFERROR(LOOKUP(AD174,{0;0.01;0.1;1;10;100},{"Muy baja";"Muy baja";"Baja";"Media";"Alta";"Muy alta"}),"")</f>
        <v/>
      </c>
      <c r="AF174" s="30">
        <f>T174*AD174</f>
        <v/>
      </c>
      <c r="AG174" s="28">
        <f>IFERROR(LOOKUP(AF174,{0;0.5;5;25},{"Bajo";"Medio";"Alto";"Crítico"}),"")</f>
        <v/>
      </c>
      <c r="AH174" s="28">
        <f>IF(AG174="","",IF(OR(AG174="Crítico",AG174="Alto"),"Mitigar",IF(AG174="Medio","Mitigar","Aceptar y monitorear")))</f>
        <v/>
      </c>
      <c r="AI174" s="21" t="n"/>
      <c r="AJ174" s="21" t="n"/>
      <c r="AK174" s="20" t="n"/>
      <c r="AL174" s="77">
        <f>IFERROR(INDEX(MgAmenEfic,MATCH(SUBSTITUTE($H174,"*","-"),MgAmenClave,0)),0)</f>
        <v/>
      </c>
    </row>
    <row r="175" hidden="1" ht="120" customHeight="1" s="54">
      <c r="B175" s="59" t="inlineStr">
        <is>
          <t>R-0170</t>
        </is>
      </c>
      <c r="C175" s="59" t="inlineStr">
        <is>
          <t>DO-08</t>
        </is>
      </c>
      <c r="D175" s="64">
        <f>IFERROR(INDEX(MgNombre,MATCH($C175,MgActId,0)),"")</f>
        <v/>
      </c>
      <c r="E175" s="64">
        <f>IFERROR(INDEX(MgProceso,MATCH($C175,MgActId,0)),"")</f>
        <v/>
      </c>
      <c r="F175" s="64">
        <f>IFERROR(INDEX(MgTipo,MATCH($C175,MgActId,0)),"")</f>
        <v/>
      </c>
      <c r="G175" s="64">
        <f>IFERROR(INDEX(MgSubtipo,MATCH($C175,MgActId,0)),"")</f>
        <v/>
      </c>
      <c r="H175" s="59" t="inlineStr">
        <is>
          <t>A.11</t>
        </is>
      </c>
      <c r="I175" s="64">
        <f>IFERROR(INDEX(MgAmenNombre,MATCH(SUBSTITUTE($H175,"*","-"),MgAmenClave,0)),"")</f>
        <v/>
      </c>
      <c r="J175" s="28">
        <f>IFERROR(INDEX(MgAmenGrupo,MATCH(SUBSTITUTE($H175,"*","-"),MgAmenClave,0)),"")</f>
        <v/>
      </c>
      <c r="K175" s="64">
        <f>IFERROR(INDEX('1. Matriz de Activos'!$Q$6:$Q$239,MATCH($C175,MgActId,0)),"")</f>
        <v/>
      </c>
      <c r="L175" s="64">
        <f>IFERROR(INDEX('1. Matriz de Activos'!$R$6:$R$239,MATCH($C175,MgActId,0)),"")</f>
        <v/>
      </c>
      <c r="M175" s="64">
        <f>IFERROR(INDEX('1. Matriz de Activos'!$S$6:$S$239,MATCH($C175,MgActId,0)),"")</f>
        <v/>
      </c>
      <c r="N175" s="28">
        <f>IFERROR(INDEX(MgAmenDegD,MATCH(SUBSTITUTE($H175,"*","-"),MgAmenClave,0)),"No aplica")</f>
        <v/>
      </c>
      <c r="O175" s="28">
        <f>IFERROR(INDEX(MgAmenDegI,MATCH(SUBSTITUTE($H175,"*","-"),MgAmenClave,0)),"No aplica")</f>
        <v/>
      </c>
      <c r="P175" s="28">
        <f>IFERROR(INDEX(MgAmenDegC,MATCH(SUBSTITUTE($H175,"*","-"),MgAmenClave,0)),"No aplica")</f>
        <v/>
      </c>
      <c r="Q175" s="29">
        <f>IFERROR(VLOOKUP(K175,MgValor,2,0)*VLOOKUP(N175,MgDeg,2,0),0)</f>
        <v/>
      </c>
      <c r="R175" s="29">
        <f>IFERROR(VLOOKUP(L175,MgValor,2,0)*VLOOKUP(O175,MgDeg,2,0),0)</f>
        <v/>
      </c>
      <c r="S175" s="29">
        <f>IFERROR(VLOOKUP(M175,MgValor,2,0)*VLOOKUP(P175,MgDeg,2,0),0)</f>
        <v/>
      </c>
      <c r="T175" s="30">
        <f>MAX(Q175:S175)</f>
        <v/>
      </c>
      <c r="U175" s="28">
        <f>IFERROR(LOOKUP(T175,{0;0.5;1.5;3;4.5},{"Despreciable";"Bajo";"Medio";"Alto";"Muy alto"}),"")</f>
        <v/>
      </c>
      <c r="V175" s="13">
        <f>IFERROR(INDEX(MgAmenFrec,MATCH(SUBSTITUTE($H175,"*","-"),MgAmenClave,0)),"")</f>
        <v/>
      </c>
      <c r="W175" s="28">
        <f>IFERROR(LOOKUP(X175,{0;0.01;0.1;1;10;100},{"Muy baja";"Muy baja";"Baja";"Media";"Alta";"Muy alta"}),"")</f>
        <v/>
      </c>
      <c r="X175" s="31">
        <f>IFERROR(VLOOKUP(V175,MgFrec,2,0),0)</f>
        <v/>
      </c>
      <c r="Y175" s="30">
        <f>T175*X175</f>
        <v/>
      </c>
      <c r="Z175" s="28">
        <f>IFERROR(LOOKUP(Y175,{0;0.5;5;25},{"Bajo";"Medio";"Alto";"Crítico"}),"")</f>
        <v/>
      </c>
      <c r="AA175" s="64">
        <f>IF(T175&gt;=3,IF(X175&gt;=1,"Zona 1 — Crítica: impacto alto y ocurre al menos una vez al año","Zona 4 — Catastrófica poco probable: impacto alto pero excepcional"),IF(AND(T175&lt;1.5,X175&lt;1),"Zona 3 — Asumible: impacto bajo y muy poco frecuente","Zona 2 — Atención: riesgo intermedio"))</f>
        <v/>
      </c>
      <c r="AB175" s="64">
        <f>IFERROR(INDEX(MgAmenCtrl,MATCH(SUBSTITUTE($H175,"*","-"),MgAmenClave,0)),"")</f>
        <v/>
      </c>
      <c r="AC175" s="20" t="n"/>
      <c r="AD175" s="31">
        <f>IFERROR($X175*(1-IF($AC175="",$AL175,VLOOKUP($AC175,MgMad,2,0))),"")</f>
        <v/>
      </c>
      <c r="AE175" s="28">
        <f>IFERROR(LOOKUP(AD175,{0;0.01;0.1;1;10;100},{"Muy baja";"Muy baja";"Baja";"Media";"Alta";"Muy alta"}),"")</f>
        <v/>
      </c>
      <c r="AF175" s="30">
        <f>T175*AD175</f>
        <v/>
      </c>
      <c r="AG175" s="28">
        <f>IFERROR(LOOKUP(AF175,{0;0.5;5;25},{"Bajo";"Medio";"Alto";"Crítico"}),"")</f>
        <v/>
      </c>
      <c r="AH175" s="28">
        <f>IF(AG175="","",IF(OR(AG175="Crítico",AG175="Alto"),"Mitigar",IF(AG175="Medio","Mitigar","Aceptar y monitorear")))</f>
        <v/>
      </c>
      <c r="AI175" s="21" t="n"/>
      <c r="AJ175" s="21" t="n"/>
      <c r="AK175" s="20" t="n"/>
      <c r="AL175" s="77">
        <f>IFERROR(INDEX(MgAmenEfic,MATCH(SUBSTITUTE($H175,"*","-"),MgAmenClave,0)),0)</f>
        <v/>
      </c>
    </row>
    <row r="176" hidden="1" ht="45" customHeight="1" s="54">
      <c r="B176" s="59" t="inlineStr">
        <is>
          <t>R-0171</t>
        </is>
      </c>
      <c r="C176" s="59" t="inlineStr">
        <is>
          <t>DO-08</t>
        </is>
      </c>
      <c r="D176" s="64">
        <f>IFERROR(INDEX(MgNombre,MATCH($C176,MgActId,0)),"")</f>
        <v/>
      </c>
      <c r="E176" s="64">
        <f>IFERROR(INDEX(MgProceso,MATCH($C176,MgActId,0)),"")</f>
        <v/>
      </c>
      <c r="F176" s="64">
        <f>IFERROR(INDEX(MgTipo,MATCH($C176,MgActId,0)),"")</f>
        <v/>
      </c>
      <c r="G176" s="64">
        <f>IFERROR(INDEX(MgSubtipo,MATCH($C176,MgActId,0)),"")</f>
        <v/>
      </c>
      <c r="H176" s="59" t="inlineStr">
        <is>
          <t>A.12</t>
        </is>
      </c>
      <c r="I176" s="64">
        <f>IFERROR(INDEX(MgAmenNombre,MATCH(SUBSTITUTE($H176,"*","-"),MgAmenClave,0)),"")</f>
        <v/>
      </c>
      <c r="J176" s="28">
        <f>IFERROR(INDEX(MgAmenGrupo,MATCH(SUBSTITUTE($H176,"*","-"),MgAmenClave,0)),"")</f>
        <v/>
      </c>
      <c r="K176" s="64">
        <f>IFERROR(INDEX('1. Matriz de Activos'!$Q$6:$Q$239,MATCH($C176,MgActId,0)),"")</f>
        <v/>
      </c>
      <c r="L176" s="64">
        <f>IFERROR(INDEX('1. Matriz de Activos'!$R$6:$R$239,MATCH($C176,MgActId,0)),"")</f>
        <v/>
      </c>
      <c r="M176" s="64">
        <f>IFERROR(INDEX('1. Matriz de Activos'!$S$6:$S$239,MATCH($C176,MgActId,0)),"")</f>
        <v/>
      </c>
      <c r="N176" s="28">
        <f>IFERROR(INDEX(MgAmenDegD,MATCH(SUBSTITUTE($H176,"*","-"),MgAmenClave,0)),"No aplica")</f>
        <v/>
      </c>
      <c r="O176" s="28">
        <f>IFERROR(INDEX(MgAmenDegI,MATCH(SUBSTITUTE($H176,"*","-"),MgAmenClave,0)),"No aplica")</f>
        <v/>
      </c>
      <c r="P176" s="28">
        <f>IFERROR(INDEX(MgAmenDegC,MATCH(SUBSTITUTE($H176,"*","-"),MgAmenClave,0)),"No aplica")</f>
        <v/>
      </c>
      <c r="Q176" s="29">
        <f>IFERROR(VLOOKUP(K176,MgValor,2,0)*VLOOKUP(N176,MgDeg,2,0),0)</f>
        <v/>
      </c>
      <c r="R176" s="29">
        <f>IFERROR(VLOOKUP(L176,MgValor,2,0)*VLOOKUP(O176,MgDeg,2,0),0)</f>
        <v/>
      </c>
      <c r="S176" s="29">
        <f>IFERROR(VLOOKUP(M176,MgValor,2,0)*VLOOKUP(P176,MgDeg,2,0),0)</f>
        <v/>
      </c>
      <c r="T176" s="30">
        <f>MAX(Q176:S176)</f>
        <v/>
      </c>
      <c r="U176" s="28">
        <f>IFERROR(LOOKUP(T176,{0;0.5;1.5;3;4.5},{"Despreciable";"Bajo";"Medio";"Alto";"Muy alto"}),"")</f>
        <v/>
      </c>
      <c r="V176" s="13">
        <f>IFERROR(INDEX(MgAmenFrec,MATCH(SUBSTITUTE($H176,"*","-"),MgAmenClave,0)),"")</f>
        <v/>
      </c>
      <c r="W176" s="28">
        <f>IFERROR(LOOKUP(X176,{0;0.01;0.1;1;10;100},{"Muy baja";"Muy baja";"Baja";"Media";"Alta";"Muy alta"}),"")</f>
        <v/>
      </c>
      <c r="X176" s="31">
        <f>IFERROR(VLOOKUP(V176,MgFrec,2,0),0)</f>
        <v/>
      </c>
      <c r="Y176" s="30">
        <f>T176*X176</f>
        <v/>
      </c>
      <c r="Z176" s="28">
        <f>IFERROR(LOOKUP(Y176,{0;0.5;5;25},{"Bajo";"Medio";"Alto";"Crítico"}),"")</f>
        <v/>
      </c>
      <c r="AA176" s="64">
        <f>IF(T176&gt;=3,IF(X176&gt;=1,"Zona 1 — Crítica: impacto alto y ocurre al menos una vez al año","Zona 4 — Catastrófica poco probable: impacto alto pero excepcional"),IF(AND(T176&lt;1.5,X176&lt;1),"Zona 3 — Asumible: impacto bajo y muy poco frecuente","Zona 2 — Atención: riesgo intermedio"))</f>
        <v/>
      </c>
      <c r="AB176" s="64">
        <f>IFERROR(INDEX(MgAmenCtrl,MATCH(SUBSTITUTE($H176,"*","-"),MgAmenClave,0)),"")</f>
        <v/>
      </c>
      <c r="AC176" s="20" t="n"/>
      <c r="AD176" s="31">
        <f>IFERROR($X176*(1-IF($AC176="",$AL176,VLOOKUP($AC176,MgMad,2,0))),"")</f>
        <v/>
      </c>
      <c r="AE176" s="28">
        <f>IFERROR(LOOKUP(AD176,{0;0.01;0.1;1;10;100},{"Muy baja";"Muy baja";"Baja";"Media";"Alta";"Muy alta"}),"")</f>
        <v/>
      </c>
      <c r="AF176" s="30">
        <f>T176*AD176</f>
        <v/>
      </c>
      <c r="AG176" s="28">
        <f>IFERROR(LOOKUP(AF176,{0;0.5;5;25},{"Bajo";"Medio";"Alto";"Crítico"}),"")</f>
        <v/>
      </c>
      <c r="AH176" s="28">
        <f>IF(AG176="","",IF(OR(AG176="Crítico",AG176="Alto"),"Mitigar",IF(AG176="Medio","Mitigar","Aceptar y monitorear")))</f>
        <v/>
      </c>
      <c r="AI176" s="21" t="n"/>
      <c r="AJ176" s="21" t="n"/>
      <c r="AK176" s="20" t="n"/>
      <c r="AL176" s="77">
        <f>IFERROR(INDEX(MgAmenEfic,MATCH(SUBSTITUTE($H176,"*","-"),MgAmenClave,0)),0)</f>
        <v/>
      </c>
    </row>
    <row r="177" hidden="1" ht="60" customHeight="1" s="54">
      <c r="B177" s="59" t="inlineStr">
        <is>
          <t>R-0172</t>
        </is>
      </c>
      <c r="C177" s="59" t="inlineStr">
        <is>
          <t>DO-08</t>
        </is>
      </c>
      <c r="D177" s="64">
        <f>IFERROR(INDEX(MgNombre,MATCH($C177,MgActId,0)),"")</f>
        <v/>
      </c>
      <c r="E177" s="64">
        <f>IFERROR(INDEX(MgProceso,MATCH($C177,MgActId,0)),"")</f>
        <v/>
      </c>
      <c r="F177" s="64">
        <f>IFERROR(INDEX(MgTipo,MATCH($C177,MgActId,0)),"")</f>
        <v/>
      </c>
      <c r="G177" s="64">
        <f>IFERROR(INDEX(MgSubtipo,MATCH($C177,MgActId,0)),"")</f>
        <v/>
      </c>
      <c r="H177" s="59" t="inlineStr">
        <is>
          <t>A.14</t>
        </is>
      </c>
      <c r="I177" s="64">
        <f>IFERROR(INDEX(MgAmenNombre,MATCH(SUBSTITUTE($H177,"*","-"),MgAmenClave,0)),"")</f>
        <v/>
      </c>
      <c r="J177" s="28">
        <f>IFERROR(INDEX(MgAmenGrupo,MATCH(SUBSTITUTE($H177,"*","-"),MgAmenClave,0)),"")</f>
        <v/>
      </c>
      <c r="K177" s="64">
        <f>IFERROR(INDEX('1. Matriz de Activos'!$Q$6:$Q$239,MATCH($C177,MgActId,0)),"")</f>
        <v/>
      </c>
      <c r="L177" s="64">
        <f>IFERROR(INDEX('1. Matriz de Activos'!$R$6:$R$239,MATCH($C177,MgActId,0)),"")</f>
        <v/>
      </c>
      <c r="M177" s="64">
        <f>IFERROR(INDEX('1. Matriz de Activos'!$S$6:$S$239,MATCH($C177,MgActId,0)),"")</f>
        <v/>
      </c>
      <c r="N177" s="28">
        <f>IFERROR(INDEX(MgAmenDegD,MATCH(SUBSTITUTE($H177,"*","-"),MgAmenClave,0)),"No aplica")</f>
        <v/>
      </c>
      <c r="O177" s="28">
        <f>IFERROR(INDEX(MgAmenDegI,MATCH(SUBSTITUTE($H177,"*","-"),MgAmenClave,0)),"No aplica")</f>
        <v/>
      </c>
      <c r="P177" s="28">
        <f>IFERROR(INDEX(MgAmenDegC,MATCH(SUBSTITUTE($H177,"*","-"),MgAmenClave,0)),"No aplica")</f>
        <v/>
      </c>
      <c r="Q177" s="29">
        <f>IFERROR(VLOOKUP(K177,MgValor,2,0)*VLOOKUP(N177,MgDeg,2,0),0)</f>
        <v/>
      </c>
      <c r="R177" s="29">
        <f>IFERROR(VLOOKUP(L177,MgValor,2,0)*VLOOKUP(O177,MgDeg,2,0),0)</f>
        <v/>
      </c>
      <c r="S177" s="29">
        <f>IFERROR(VLOOKUP(M177,MgValor,2,0)*VLOOKUP(P177,MgDeg,2,0),0)</f>
        <v/>
      </c>
      <c r="T177" s="30">
        <f>MAX(Q177:S177)</f>
        <v/>
      </c>
      <c r="U177" s="28">
        <f>IFERROR(LOOKUP(T177,{0;0.5;1.5;3;4.5},{"Despreciable";"Bajo";"Medio";"Alto";"Muy alto"}),"")</f>
        <v/>
      </c>
      <c r="V177" s="13">
        <f>IFERROR(INDEX(MgAmenFrec,MATCH(SUBSTITUTE($H177,"*","-"),MgAmenClave,0)),"")</f>
        <v/>
      </c>
      <c r="W177" s="28">
        <f>IFERROR(LOOKUP(X177,{0;0.01;0.1;1;10;100},{"Muy baja";"Muy baja";"Baja";"Media";"Alta";"Muy alta"}),"")</f>
        <v/>
      </c>
      <c r="X177" s="31">
        <f>IFERROR(VLOOKUP(V177,MgFrec,2,0),0)</f>
        <v/>
      </c>
      <c r="Y177" s="30">
        <f>T177*X177</f>
        <v/>
      </c>
      <c r="Z177" s="28">
        <f>IFERROR(LOOKUP(Y177,{0;0.5;5;25},{"Bajo";"Medio";"Alto";"Crítico"}),"")</f>
        <v/>
      </c>
      <c r="AA177" s="64">
        <f>IF(T177&gt;=3,IF(X177&gt;=1,"Zona 1 — Crítica: impacto alto y ocurre al menos una vez al año","Zona 4 — Catastrófica poco probable: impacto alto pero excepcional"),IF(AND(T177&lt;1.5,X177&lt;1),"Zona 3 — Asumible: impacto bajo y muy poco frecuente","Zona 2 — Atención: riesgo intermedio"))</f>
        <v/>
      </c>
      <c r="AB177" s="64">
        <f>IFERROR(INDEX(MgAmenCtrl,MATCH(SUBSTITUTE($H177,"*","-"),MgAmenClave,0)),"")</f>
        <v/>
      </c>
      <c r="AC177" s="20" t="n"/>
      <c r="AD177" s="31">
        <f>IFERROR($X177*(1-IF($AC177="",$AL177,VLOOKUP($AC177,MgMad,2,0))),"")</f>
        <v/>
      </c>
      <c r="AE177" s="28">
        <f>IFERROR(LOOKUP(AD177,{0;0.01;0.1;1;10;100},{"Muy baja";"Muy baja";"Baja";"Media";"Alta";"Muy alta"}),"")</f>
        <v/>
      </c>
      <c r="AF177" s="30">
        <f>T177*AD177</f>
        <v/>
      </c>
      <c r="AG177" s="28">
        <f>IFERROR(LOOKUP(AF177,{0;0.5;5;25},{"Bajo";"Medio";"Alto";"Crítico"}),"")</f>
        <v/>
      </c>
      <c r="AH177" s="28">
        <f>IF(AG177="","",IF(OR(AG177="Crítico",AG177="Alto"),"Mitigar",IF(AG177="Medio","Mitigar","Aceptar y monitorear")))</f>
        <v/>
      </c>
      <c r="AI177" s="21" t="n"/>
      <c r="AJ177" s="21" t="n"/>
      <c r="AK177" s="20" t="n"/>
      <c r="AL177" s="77">
        <f>IFERROR(INDEX(MgAmenEfic,MATCH(SUBSTITUTE($H177,"*","-"),MgAmenClave,0)),0)</f>
        <v/>
      </c>
    </row>
    <row r="178" hidden="1" ht="60" customHeight="1" s="54">
      <c r="B178" s="59" t="inlineStr">
        <is>
          <t>R-0173</t>
        </is>
      </c>
      <c r="C178" s="59" t="inlineStr">
        <is>
          <t>DO-08</t>
        </is>
      </c>
      <c r="D178" s="64">
        <f>IFERROR(INDEX(MgNombre,MATCH($C178,MgActId,0)),"")</f>
        <v/>
      </c>
      <c r="E178" s="64">
        <f>IFERROR(INDEX(MgProceso,MATCH($C178,MgActId,0)),"")</f>
        <v/>
      </c>
      <c r="F178" s="64">
        <f>IFERROR(INDEX(MgTipo,MATCH($C178,MgActId,0)),"")</f>
        <v/>
      </c>
      <c r="G178" s="64">
        <f>IFERROR(INDEX(MgSubtipo,MATCH($C178,MgActId,0)),"")</f>
        <v/>
      </c>
      <c r="H178" s="59" t="inlineStr">
        <is>
          <t>A.15</t>
        </is>
      </c>
      <c r="I178" s="64">
        <f>IFERROR(INDEX(MgAmenNombre,MATCH(SUBSTITUTE($H178,"*","-"),MgAmenClave,0)),"")</f>
        <v/>
      </c>
      <c r="J178" s="28">
        <f>IFERROR(INDEX(MgAmenGrupo,MATCH(SUBSTITUTE($H178,"*","-"),MgAmenClave,0)),"")</f>
        <v/>
      </c>
      <c r="K178" s="64">
        <f>IFERROR(INDEX('1. Matriz de Activos'!$Q$6:$Q$239,MATCH($C178,MgActId,0)),"")</f>
        <v/>
      </c>
      <c r="L178" s="64">
        <f>IFERROR(INDEX('1. Matriz de Activos'!$R$6:$R$239,MATCH($C178,MgActId,0)),"")</f>
        <v/>
      </c>
      <c r="M178" s="64">
        <f>IFERROR(INDEX('1. Matriz de Activos'!$S$6:$S$239,MATCH($C178,MgActId,0)),"")</f>
        <v/>
      </c>
      <c r="N178" s="28">
        <f>IFERROR(INDEX(MgAmenDegD,MATCH(SUBSTITUTE($H178,"*","-"),MgAmenClave,0)),"No aplica")</f>
        <v/>
      </c>
      <c r="O178" s="28">
        <f>IFERROR(INDEX(MgAmenDegI,MATCH(SUBSTITUTE($H178,"*","-"),MgAmenClave,0)),"No aplica")</f>
        <v/>
      </c>
      <c r="P178" s="28">
        <f>IFERROR(INDEX(MgAmenDegC,MATCH(SUBSTITUTE($H178,"*","-"),MgAmenClave,0)),"No aplica")</f>
        <v/>
      </c>
      <c r="Q178" s="29">
        <f>IFERROR(VLOOKUP(K178,MgValor,2,0)*VLOOKUP(N178,MgDeg,2,0),0)</f>
        <v/>
      </c>
      <c r="R178" s="29">
        <f>IFERROR(VLOOKUP(L178,MgValor,2,0)*VLOOKUP(O178,MgDeg,2,0),0)</f>
        <v/>
      </c>
      <c r="S178" s="29">
        <f>IFERROR(VLOOKUP(M178,MgValor,2,0)*VLOOKUP(P178,MgDeg,2,0),0)</f>
        <v/>
      </c>
      <c r="T178" s="30">
        <f>MAX(Q178:S178)</f>
        <v/>
      </c>
      <c r="U178" s="28">
        <f>IFERROR(LOOKUP(T178,{0;0.5;1.5;3;4.5},{"Despreciable";"Bajo";"Medio";"Alto";"Muy alto"}),"")</f>
        <v/>
      </c>
      <c r="V178" s="13">
        <f>IFERROR(INDEX(MgAmenFrec,MATCH(SUBSTITUTE($H178,"*","-"),MgAmenClave,0)),"")</f>
        <v/>
      </c>
      <c r="W178" s="28">
        <f>IFERROR(LOOKUP(X178,{0;0.01;0.1;1;10;100},{"Muy baja";"Muy baja";"Baja";"Media";"Alta";"Muy alta"}),"")</f>
        <v/>
      </c>
      <c r="X178" s="31">
        <f>IFERROR(VLOOKUP(V178,MgFrec,2,0),0)</f>
        <v/>
      </c>
      <c r="Y178" s="30">
        <f>T178*X178</f>
        <v/>
      </c>
      <c r="Z178" s="28">
        <f>IFERROR(LOOKUP(Y178,{0;0.5;5;25},{"Bajo";"Medio";"Alto";"Crítico"}),"")</f>
        <v/>
      </c>
      <c r="AA178" s="64">
        <f>IF(T178&gt;=3,IF(X178&gt;=1,"Zona 1 — Crítica: impacto alto y ocurre al menos una vez al año","Zona 4 — Catastrófica poco probable: impacto alto pero excepcional"),IF(AND(T178&lt;1.5,X178&lt;1),"Zona 3 — Asumible: impacto bajo y muy poco frecuente","Zona 2 — Atención: riesgo intermedio"))</f>
        <v/>
      </c>
      <c r="AB178" s="64">
        <f>IFERROR(INDEX(MgAmenCtrl,MATCH(SUBSTITUTE($H178,"*","-"),MgAmenClave,0)),"")</f>
        <v/>
      </c>
      <c r="AC178" s="20" t="n"/>
      <c r="AD178" s="31">
        <f>IFERROR($X178*(1-IF($AC178="",$AL178,VLOOKUP($AC178,MgMad,2,0))),"")</f>
        <v/>
      </c>
      <c r="AE178" s="28">
        <f>IFERROR(LOOKUP(AD178,{0;0.01;0.1;1;10;100},{"Muy baja";"Muy baja";"Baja";"Media";"Alta";"Muy alta"}),"")</f>
        <v/>
      </c>
      <c r="AF178" s="30">
        <f>T178*AD178</f>
        <v/>
      </c>
      <c r="AG178" s="28">
        <f>IFERROR(LOOKUP(AF178,{0;0.5;5;25},{"Bajo";"Medio";"Alto";"Crítico"}),"")</f>
        <v/>
      </c>
      <c r="AH178" s="28">
        <f>IF(AG178="","",IF(OR(AG178="Crítico",AG178="Alto"),"Mitigar",IF(AG178="Medio","Mitigar","Aceptar y monitorear")))</f>
        <v/>
      </c>
      <c r="AI178" s="21" t="n"/>
      <c r="AJ178" s="21" t="n"/>
      <c r="AK178" s="20" t="n"/>
      <c r="AL178" s="77">
        <f>IFERROR(INDEX(MgAmenEfic,MATCH(SUBSTITUTE($H178,"*","-"),MgAmenClave,0)),0)</f>
        <v/>
      </c>
    </row>
    <row r="179" hidden="1" ht="60" customHeight="1" s="54">
      <c r="B179" s="59" t="inlineStr">
        <is>
          <t>R-0174</t>
        </is>
      </c>
      <c r="C179" s="59" t="inlineStr">
        <is>
          <t>DO-08</t>
        </is>
      </c>
      <c r="D179" s="64">
        <f>IFERROR(INDEX(MgNombre,MATCH($C179,MgActId,0)),"")</f>
        <v/>
      </c>
      <c r="E179" s="64">
        <f>IFERROR(INDEX(MgProceso,MATCH($C179,MgActId,0)),"")</f>
        <v/>
      </c>
      <c r="F179" s="64">
        <f>IFERROR(INDEX(MgTipo,MATCH($C179,MgActId,0)),"")</f>
        <v/>
      </c>
      <c r="G179" s="64">
        <f>IFERROR(INDEX(MgSubtipo,MATCH($C179,MgActId,0)),"")</f>
        <v/>
      </c>
      <c r="H179" s="59" t="inlineStr">
        <is>
          <t>A.18</t>
        </is>
      </c>
      <c r="I179" s="64">
        <f>IFERROR(INDEX(MgAmenNombre,MATCH(SUBSTITUTE($H179,"*","-"),MgAmenClave,0)),"")</f>
        <v/>
      </c>
      <c r="J179" s="28">
        <f>IFERROR(INDEX(MgAmenGrupo,MATCH(SUBSTITUTE($H179,"*","-"),MgAmenClave,0)),"")</f>
        <v/>
      </c>
      <c r="K179" s="64">
        <f>IFERROR(INDEX('1. Matriz de Activos'!$Q$6:$Q$239,MATCH($C179,MgActId,0)),"")</f>
        <v/>
      </c>
      <c r="L179" s="64">
        <f>IFERROR(INDEX('1. Matriz de Activos'!$R$6:$R$239,MATCH($C179,MgActId,0)),"")</f>
        <v/>
      </c>
      <c r="M179" s="64">
        <f>IFERROR(INDEX('1. Matriz de Activos'!$S$6:$S$239,MATCH($C179,MgActId,0)),"")</f>
        <v/>
      </c>
      <c r="N179" s="28">
        <f>IFERROR(INDEX(MgAmenDegD,MATCH(SUBSTITUTE($H179,"*","-"),MgAmenClave,0)),"No aplica")</f>
        <v/>
      </c>
      <c r="O179" s="28">
        <f>IFERROR(INDEX(MgAmenDegI,MATCH(SUBSTITUTE($H179,"*","-"),MgAmenClave,0)),"No aplica")</f>
        <v/>
      </c>
      <c r="P179" s="28">
        <f>IFERROR(INDEX(MgAmenDegC,MATCH(SUBSTITUTE($H179,"*","-"),MgAmenClave,0)),"No aplica")</f>
        <v/>
      </c>
      <c r="Q179" s="29">
        <f>IFERROR(VLOOKUP(K179,MgValor,2,0)*VLOOKUP(N179,MgDeg,2,0),0)</f>
        <v/>
      </c>
      <c r="R179" s="29">
        <f>IFERROR(VLOOKUP(L179,MgValor,2,0)*VLOOKUP(O179,MgDeg,2,0),0)</f>
        <v/>
      </c>
      <c r="S179" s="29">
        <f>IFERROR(VLOOKUP(M179,MgValor,2,0)*VLOOKUP(P179,MgDeg,2,0),0)</f>
        <v/>
      </c>
      <c r="T179" s="30">
        <f>MAX(Q179:S179)</f>
        <v/>
      </c>
      <c r="U179" s="28">
        <f>IFERROR(LOOKUP(T179,{0;0.5;1.5;3;4.5},{"Despreciable";"Bajo";"Medio";"Alto";"Muy alto"}),"")</f>
        <v/>
      </c>
      <c r="V179" s="13">
        <f>IFERROR(INDEX(MgAmenFrec,MATCH(SUBSTITUTE($H179,"*","-"),MgAmenClave,0)),"")</f>
        <v/>
      </c>
      <c r="W179" s="28">
        <f>IFERROR(LOOKUP(X179,{0;0.01;0.1;1;10;100},{"Muy baja";"Muy baja";"Baja";"Media";"Alta";"Muy alta"}),"")</f>
        <v/>
      </c>
      <c r="X179" s="31">
        <f>IFERROR(VLOOKUP(V179,MgFrec,2,0),0)</f>
        <v/>
      </c>
      <c r="Y179" s="30">
        <f>T179*X179</f>
        <v/>
      </c>
      <c r="Z179" s="28">
        <f>IFERROR(LOOKUP(Y179,{0;0.5;5;25},{"Bajo";"Medio";"Alto";"Crítico"}),"")</f>
        <v/>
      </c>
      <c r="AA179" s="64">
        <f>IF(T179&gt;=3,IF(X179&gt;=1,"Zona 1 — Crítica: impacto alto y ocurre al menos una vez al año","Zona 4 — Catastrófica poco probable: impacto alto pero excepcional"),IF(AND(T179&lt;1.5,X179&lt;1),"Zona 3 — Asumible: impacto bajo y muy poco frecuente","Zona 2 — Atención: riesgo intermedio"))</f>
        <v/>
      </c>
      <c r="AB179" s="64">
        <f>IFERROR(INDEX(MgAmenCtrl,MATCH(SUBSTITUTE($H179,"*","-"),MgAmenClave,0)),"")</f>
        <v/>
      </c>
      <c r="AC179" s="20" t="n"/>
      <c r="AD179" s="31">
        <f>IFERROR($X179*(1-IF($AC179="",$AL179,VLOOKUP($AC179,MgMad,2,0))),"")</f>
        <v/>
      </c>
      <c r="AE179" s="28">
        <f>IFERROR(LOOKUP(AD179,{0;0.01;0.1;1;10;100},{"Muy baja";"Muy baja";"Baja";"Media";"Alta";"Muy alta"}),"")</f>
        <v/>
      </c>
      <c r="AF179" s="30">
        <f>T179*AD179</f>
        <v/>
      </c>
      <c r="AG179" s="28">
        <f>IFERROR(LOOKUP(AF179,{0;0.5;5;25},{"Bajo";"Medio";"Alto";"Crítico"}),"")</f>
        <v/>
      </c>
      <c r="AH179" s="28">
        <f>IF(AG179="","",IF(OR(AG179="Crítico",AG179="Alto"),"Mitigar",IF(AG179="Medio","Mitigar","Aceptar y monitorear")))</f>
        <v/>
      </c>
      <c r="AI179" s="21" t="n"/>
      <c r="AJ179" s="21" t="n"/>
      <c r="AK179" s="20" t="n"/>
      <c r="AL179" s="77">
        <f>IFERROR(INDEX(MgAmenEfic,MATCH(SUBSTITUTE($H179,"*","-"),MgAmenClave,0)),0)</f>
        <v/>
      </c>
    </row>
    <row r="180" hidden="1" ht="120" customHeight="1" s="54">
      <c r="B180" s="59" t="inlineStr">
        <is>
          <t>R-0175</t>
        </is>
      </c>
      <c r="C180" s="59" t="inlineStr">
        <is>
          <t>DO-08</t>
        </is>
      </c>
      <c r="D180" s="64">
        <f>IFERROR(INDEX(MgNombre,MATCH($C180,MgActId,0)),"")</f>
        <v/>
      </c>
      <c r="E180" s="64">
        <f>IFERROR(INDEX(MgProceso,MATCH($C180,MgActId,0)),"")</f>
        <v/>
      </c>
      <c r="F180" s="64">
        <f>IFERROR(INDEX(MgTipo,MATCH($C180,MgActId,0)),"")</f>
        <v/>
      </c>
      <c r="G180" s="64">
        <f>IFERROR(INDEX(MgSubtipo,MATCH($C180,MgActId,0)),"")</f>
        <v/>
      </c>
      <c r="H180" s="59" t="inlineStr">
        <is>
          <t>A.19</t>
        </is>
      </c>
      <c r="I180" s="64">
        <f>IFERROR(INDEX(MgAmenNombre,MATCH(SUBSTITUTE($H180,"*","-"),MgAmenClave,0)),"")</f>
        <v/>
      </c>
      <c r="J180" s="28">
        <f>IFERROR(INDEX(MgAmenGrupo,MATCH(SUBSTITUTE($H180,"*","-"),MgAmenClave,0)),"")</f>
        <v/>
      </c>
      <c r="K180" s="64">
        <f>IFERROR(INDEX('1. Matriz de Activos'!$Q$6:$Q$239,MATCH($C180,MgActId,0)),"")</f>
        <v/>
      </c>
      <c r="L180" s="64">
        <f>IFERROR(INDEX('1. Matriz de Activos'!$R$6:$R$239,MATCH($C180,MgActId,0)),"")</f>
        <v/>
      </c>
      <c r="M180" s="64">
        <f>IFERROR(INDEX('1. Matriz de Activos'!$S$6:$S$239,MATCH($C180,MgActId,0)),"")</f>
        <v/>
      </c>
      <c r="N180" s="28">
        <f>IFERROR(INDEX(MgAmenDegD,MATCH(SUBSTITUTE($H180,"*","-"),MgAmenClave,0)),"No aplica")</f>
        <v/>
      </c>
      <c r="O180" s="28">
        <f>IFERROR(INDEX(MgAmenDegI,MATCH(SUBSTITUTE($H180,"*","-"),MgAmenClave,0)),"No aplica")</f>
        <v/>
      </c>
      <c r="P180" s="28">
        <f>IFERROR(INDEX(MgAmenDegC,MATCH(SUBSTITUTE($H180,"*","-"),MgAmenClave,0)),"No aplica")</f>
        <v/>
      </c>
      <c r="Q180" s="29">
        <f>IFERROR(VLOOKUP(K180,MgValor,2,0)*VLOOKUP(N180,MgDeg,2,0),0)</f>
        <v/>
      </c>
      <c r="R180" s="29">
        <f>IFERROR(VLOOKUP(L180,MgValor,2,0)*VLOOKUP(O180,MgDeg,2,0),0)</f>
        <v/>
      </c>
      <c r="S180" s="29">
        <f>IFERROR(VLOOKUP(M180,MgValor,2,0)*VLOOKUP(P180,MgDeg,2,0),0)</f>
        <v/>
      </c>
      <c r="T180" s="30">
        <f>MAX(Q180:S180)</f>
        <v/>
      </c>
      <c r="U180" s="28">
        <f>IFERROR(LOOKUP(T180,{0;0.5;1.5;3;4.5},{"Despreciable";"Bajo";"Medio";"Alto";"Muy alto"}),"")</f>
        <v/>
      </c>
      <c r="V180" s="13">
        <f>IFERROR(INDEX(MgAmenFrec,MATCH(SUBSTITUTE($H180,"*","-"),MgAmenClave,0)),"")</f>
        <v/>
      </c>
      <c r="W180" s="28">
        <f>IFERROR(LOOKUP(X180,{0;0.01;0.1;1;10;100},{"Muy baja";"Muy baja";"Baja";"Media";"Alta";"Muy alta"}),"")</f>
        <v/>
      </c>
      <c r="X180" s="31">
        <f>IFERROR(VLOOKUP(V180,MgFrec,2,0),0)</f>
        <v/>
      </c>
      <c r="Y180" s="30">
        <f>T180*X180</f>
        <v/>
      </c>
      <c r="Z180" s="28">
        <f>IFERROR(LOOKUP(Y180,{0;0.5;5;25},{"Bajo";"Medio";"Alto";"Crítico"}),"")</f>
        <v/>
      </c>
      <c r="AA180" s="64">
        <f>IF(T180&gt;=3,IF(X180&gt;=1,"Zona 1 — Crítica: impacto alto y ocurre al menos una vez al año","Zona 4 — Catastrófica poco probable: impacto alto pero excepcional"),IF(AND(T180&lt;1.5,X180&lt;1),"Zona 3 — Asumible: impacto bajo y muy poco frecuente","Zona 2 — Atención: riesgo intermedio"))</f>
        <v/>
      </c>
      <c r="AB180" s="64">
        <f>IFERROR(INDEX(MgAmenCtrl,MATCH(SUBSTITUTE($H180,"*","-"),MgAmenClave,0)),"")</f>
        <v/>
      </c>
      <c r="AC180" s="20" t="n"/>
      <c r="AD180" s="31">
        <f>IFERROR($X180*(1-IF($AC180="",$AL180,VLOOKUP($AC180,MgMad,2,0))),"")</f>
        <v/>
      </c>
      <c r="AE180" s="28">
        <f>IFERROR(LOOKUP(AD180,{0;0.01;0.1;1;10;100},{"Muy baja";"Muy baja";"Baja";"Media";"Alta";"Muy alta"}),"")</f>
        <v/>
      </c>
      <c r="AF180" s="30">
        <f>T180*AD180</f>
        <v/>
      </c>
      <c r="AG180" s="28">
        <f>IFERROR(LOOKUP(AF180,{0;0.5;5;25},{"Bajo";"Medio";"Alto";"Crítico"}),"")</f>
        <v/>
      </c>
      <c r="AH180" s="28">
        <f>IF(AG180="","",IF(OR(AG180="Crítico",AG180="Alto"),"Mitigar",IF(AG180="Medio","Mitigar","Aceptar y monitorear")))</f>
        <v/>
      </c>
      <c r="AI180" s="21" t="n"/>
      <c r="AJ180" s="21" t="n"/>
      <c r="AK180" s="20" t="n"/>
      <c r="AL180" s="77">
        <f>IFERROR(INDEX(MgAmenEfic,MATCH(SUBSTITUTE($H180,"*","-"),MgAmenClave,0)),0)</f>
        <v/>
      </c>
    </row>
    <row r="181" hidden="1" ht="60" customHeight="1" s="54">
      <c r="B181" s="59" t="inlineStr">
        <is>
          <t>R-0176</t>
        </is>
      </c>
      <c r="C181" s="59" t="inlineStr">
        <is>
          <t>DO-08</t>
        </is>
      </c>
      <c r="D181" s="64">
        <f>IFERROR(INDEX(MgNombre,MATCH($C181,MgActId,0)),"")</f>
        <v/>
      </c>
      <c r="E181" s="64">
        <f>IFERROR(INDEX(MgProceso,MATCH($C181,MgActId,0)),"")</f>
        <v/>
      </c>
      <c r="F181" s="64">
        <f>IFERROR(INDEX(MgTipo,MATCH($C181,MgActId,0)),"")</f>
        <v/>
      </c>
      <c r="G181" s="64">
        <f>IFERROR(INDEX(MgSubtipo,MATCH($C181,MgActId,0)),"")</f>
        <v/>
      </c>
      <c r="H181" s="59" t="inlineStr">
        <is>
          <t>A.24</t>
        </is>
      </c>
      <c r="I181" s="64">
        <f>IFERROR(INDEX(MgAmenNombre,MATCH(SUBSTITUTE($H181,"*","-"),MgAmenClave,0)),"")</f>
        <v/>
      </c>
      <c r="J181" s="28">
        <f>IFERROR(INDEX(MgAmenGrupo,MATCH(SUBSTITUTE($H181,"*","-"),MgAmenClave,0)),"")</f>
        <v/>
      </c>
      <c r="K181" s="64">
        <f>IFERROR(INDEX('1. Matriz de Activos'!$Q$6:$Q$239,MATCH($C181,MgActId,0)),"")</f>
        <v/>
      </c>
      <c r="L181" s="64">
        <f>IFERROR(INDEX('1. Matriz de Activos'!$R$6:$R$239,MATCH($C181,MgActId,0)),"")</f>
        <v/>
      </c>
      <c r="M181" s="64">
        <f>IFERROR(INDEX('1. Matriz de Activos'!$S$6:$S$239,MATCH($C181,MgActId,0)),"")</f>
        <v/>
      </c>
      <c r="N181" s="28">
        <f>IFERROR(INDEX(MgAmenDegD,MATCH(SUBSTITUTE($H181,"*","-"),MgAmenClave,0)),"No aplica")</f>
        <v/>
      </c>
      <c r="O181" s="28">
        <f>IFERROR(INDEX(MgAmenDegI,MATCH(SUBSTITUTE($H181,"*","-"),MgAmenClave,0)),"No aplica")</f>
        <v/>
      </c>
      <c r="P181" s="28">
        <f>IFERROR(INDEX(MgAmenDegC,MATCH(SUBSTITUTE($H181,"*","-"),MgAmenClave,0)),"No aplica")</f>
        <v/>
      </c>
      <c r="Q181" s="29">
        <f>IFERROR(VLOOKUP(K181,MgValor,2,0)*VLOOKUP(N181,MgDeg,2,0),0)</f>
        <v/>
      </c>
      <c r="R181" s="29">
        <f>IFERROR(VLOOKUP(L181,MgValor,2,0)*VLOOKUP(O181,MgDeg,2,0),0)</f>
        <v/>
      </c>
      <c r="S181" s="29">
        <f>IFERROR(VLOOKUP(M181,MgValor,2,0)*VLOOKUP(P181,MgDeg,2,0),0)</f>
        <v/>
      </c>
      <c r="T181" s="30">
        <f>MAX(Q181:S181)</f>
        <v/>
      </c>
      <c r="U181" s="28">
        <f>IFERROR(LOOKUP(T181,{0;0.5;1.5;3;4.5},{"Despreciable";"Bajo";"Medio";"Alto";"Muy alto"}),"")</f>
        <v/>
      </c>
      <c r="V181" s="13">
        <f>IFERROR(INDEX(MgAmenFrec,MATCH(SUBSTITUTE($H181,"*","-"),MgAmenClave,0)),"")</f>
        <v/>
      </c>
      <c r="W181" s="28">
        <f>IFERROR(LOOKUP(X181,{0;0.01;0.1;1;10;100},{"Muy baja";"Muy baja";"Baja";"Media";"Alta";"Muy alta"}),"")</f>
        <v/>
      </c>
      <c r="X181" s="31">
        <f>IFERROR(VLOOKUP(V181,MgFrec,2,0),0)</f>
        <v/>
      </c>
      <c r="Y181" s="30">
        <f>T181*X181</f>
        <v/>
      </c>
      <c r="Z181" s="28">
        <f>IFERROR(LOOKUP(Y181,{0;0.5;5;25},{"Bajo";"Medio";"Alto";"Crítico"}),"")</f>
        <v/>
      </c>
      <c r="AA181" s="64">
        <f>IF(T181&gt;=3,IF(X181&gt;=1,"Zona 1 — Crítica: impacto alto y ocurre al menos una vez al año","Zona 4 — Catastrófica poco probable: impacto alto pero excepcional"),IF(AND(T181&lt;1.5,X181&lt;1),"Zona 3 — Asumible: impacto bajo y muy poco frecuente","Zona 2 — Atención: riesgo intermedio"))</f>
        <v/>
      </c>
      <c r="AB181" s="64">
        <f>IFERROR(INDEX(MgAmenCtrl,MATCH(SUBSTITUTE($H181,"*","-"),MgAmenClave,0)),"")</f>
        <v/>
      </c>
      <c r="AC181" s="20" t="n"/>
      <c r="AD181" s="31">
        <f>IFERROR($X181*(1-IF($AC181="",$AL181,VLOOKUP($AC181,MgMad,2,0))),"")</f>
        <v/>
      </c>
      <c r="AE181" s="28">
        <f>IFERROR(LOOKUP(AD181,{0;0.01;0.1;1;10;100},{"Muy baja";"Muy baja";"Baja";"Media";"Alta";"Muy alta"}),"")</f>
        <v/>
      </c>
      <c r="AF181" s="30">
        <f>T181*AD181</f>
        <v/>
      </c>
      <c r="AG181" s="28">
        <f>IFERROR(LOOKUP(AF181,{0;0.5;5;25},{"Bajo";"Medio";"Alto";"Crítico"}),"")</f>
        <v/>
      </c>
      <c r="AH181" s="28">
        <f>IF(AG181="","",IF(OR(AG181="Crítico",AG181="Alto"),"Mitigar",IF(AG181="Medio","Mitigar","Aceptar y monitorear")))</f>
        <v/>
      </c>
      <c r="AI181" s="21" t="n"/>
      <c r="AJ181" s="21" t="n"/>
      <c r="AK181" s="20" t="n"/>
      <c r="AL181" s="77">
        <f>IFERROR(INDEX(MgAmenEfic,MATCH(SUBSTITUTE($H181,"*","-"),MgAmenClave,0)),0)</f>
        <v/>
      </c>
    </row>
    <row r="182" hidden="1" ht="75" customHeight="1" s="54">
      <c r="B182" s="59" t="inlineStr">
        <is>
          <t>R-0177</t>
        </is>
      </c>
      <c r="C182" s="59" t="inlineStr">
        <is>
          <t>DO-10</t>
        </is>
      </c>
      <c r="D182" s="64">
        <f>IFERROR(INDEX(MgNombre,MATCH($C182,MgActId,0)),"")</f>
        <v/>
      </c>
      <c r="E182" s="64">
        <f>IFERROR(INDEX(MgProceso,MATCH($C182,MgActId,0)),"")</f>
        <v/>
      </c>
      <c r="F182" s="64">
        <f>IFERROR(INDEX(MgTipo,MATCH($C182,MgActId,0)),"")</f>
        <v/>
      </c>
      <c r="G182" s="64">
        <f>IFERROR(INDEX(MgSubtipo,MATCH($C182,MgActId,0)),"")</f>
        <v/>
      </c>
      <c r="H182" s="59" t="inlineStr">
        <is>
          <t>I.8</t>
        </is>
      </c>
      <c r="I182" s="64">
        <f>IFERROR(INDEX(MgAmenNombre,MATCH(SUBSTITUTE($H182,"*","-"),MgAmenClave,0)),"")</f>
        <v/>
      </c>
      <c r="J182" s="28">
        <f>IFERROR(INDEX(MgAmenGrupo,MATCH(SUBSTITUTE($H182,"*","-"),MgAmenClave,0)),"")</f>
        <v/>
      </c>
      <c r="K182" s="64">
        <f>IFERROR(INDEX('1. Matriz de Activos'!$Q$6:$Q$239,MATCH($C182,MgActId,0)),"")</f>
        <v/>
      </c>
      <c r="L182" s="64">
        <f>IFERROR(INDEX('1. Matriz de Activos'!$R$6:$R$239,MATCH($C182,MgActId,0)),"")</f>
        <v/>
      </c>
      <c r="M182" s="64">
        <f>IFERROR(INDEX('1. Matriz de Activos'!$S$6:$S$239,MATCH($C182,MgActId,0)),"")</f>
        <v/>
      </c>
      <c r="N182" s="28">
        <f>IFERROR(INDEX(MgAmenDegD,MATCH(SUBSTITUTE($H182,"*","-"),MgAmenClave,0)),"No aplica")</f>
        <v/>
      </c>
      <c r="O182" s="28">
        <f>IFERROR(INDEX(MgAmenDegI,MATCH(SUBSTITUTE($H182,"*","-"),MgAmenClave,0)),"No aplica")</f>
        <v/>
      </c>
      <c r="P182" s="28">
        <f>IFERROR(INDEX(MgAmenDegC,MATCH(SUBSTITUTE($H182,"*","-"),MgAmenClave,0)),"No aplica")</f>
        <v/>
      </c>
      <c r="Q182" s="29">
        <f>IFERROR(VLOOKUP(K182,MgValor,2,0)*VLOOKUP(N182,MgDeg,2,0),0)</f>
        <v/>
      </c>
      <c r="R182" s="29">
        <f>IFERROR(VLOOKUP(L182,MgValor,2,0)*VLOOKUP(O182,MgDeg,2,0),0)</f>
        <v/>
      </c>
      <c r="S182" s="29">
        <f>IFERROR(VLOOKUP(M182,MgValor,2,0)*VLOOKUP(P182,MgDeg,2,0),0)</f>
        <v/>
      </c>
      <c r="T182" s="30">
        <f>MAX(Q182:S182)</f>
        <v/>
      </c>
      <c r="U182" s="28">
        <f>IFERROR(LOOKUP(T182,{0;0.5;1.5;3;4.5},{"Despreciable";"Bajo";"Medio";"Alto";"Muy alto"}),"")</f>
        <v/>
      </c>
      <c r="V182" s="13">
        <f>IFERROR(INDEX(MgAmenFrec,MATCH(SUBSTITUTE($H182,"*","-"),MgAmenClave,0)),"")</f>
        <v/>
      </c>
      <c r="W182" s="28">
        <f>IFERROR(LOOKUP(X182,{0;0.01;0.1;1;10;100},{"Muy baja";"Muy baja";"Baja";"Media";"Alta";"Muy alta"}),"")</f>
        <v/>
      </c>
      <c r="X182" s="31">
        <f>IFERROR(VLOOKUP(V182,MgFrec,2,0),0)</f>
        <v/>
      </c>
      <c r="Y182" s="30">
        <f>T182*X182</f>
        <v/>
      </c>
      <c r="Z182" s="28">
        <f>IFERROR(LOOKUP(Y182,{0;0.5;5;25},{"Bajo";"Medio";"Alto";"Crítico"}),"")</f>
        <v/>
      </c>
      <c r="AA182" s="64">
        <f>IF(T182&gt;=3,IF(X182&gt;=1,"Zona 1 — Crítica: impacto alto y ocurre al menos una vez al año","Zona 4 — Catastrófica poco probable: impacto alto pero excepcional"),IF(AND(T182&lt;1.5,X182&lt;1),"Zona 3 — Asumible: impacto bajo y muy poco frecuente","Zona 2 — Atención: riesgo intermedio"))</f>
        <v/>
      </c>
      <c r="AB182" s="64">
        <f>IFERROR(INDEX(MgAmenCtrl,MATCH(SUBSTITUTE($H182,"*","-"),MgAmenClave,0)),"")</f>
        <v/>
      </c>
      <c r="AC182" s="20" t="n"/>
      <c r="AD182" s="31">
        <f>IFERROR($X182*(1-IF($AC182="",$AL182,VLOOKUP($AC182,MgMad,2,0))),"")</f>
        <v/>
      </c>
      <c r="AE182" s="28">
        <f>IFERROR(LOOKUP(AD182,{0;0.01;0.1;1;10;100},{"Muy baja";"Muy baja";"Baja";"Media";"Alta";"Muy alta"}),"")</f>
        <v/>
      </c>
      <c r="AF182" s="30">
        <f>T182*AD182</f>
        <v/>
      </c>
      <c r="AG182" s="28">
        <f>IFERROR(LOOKUP(AF182,{0;0.5;5;25},{"Bajo";"Medio";"Alto";"Crítico"}),"")</f>
        <v/>
      </c>
      <c r="AH182" s="28">
        <f>IF(AG182="","",IF(OR(AG182="Crítico",AG182="Alto"),"Mitigar",IF(AG182="Medio","Mitigar","Aceptar y monitorear")))</f>
        <v/>
      </c>
      <c r="AI182" s="21" t="n"/>
      <c r="AJ182" s="21" t="n"/>
      <c r="AK182" s="20" t="n"/>
      <c r="AL182" s="77">
        <f>IFERROR(INDEX(MgAmenEfic,MATCH(SUBSTITUTE($H182,"*","-"),MgAmenClave,0)),0)</f>
        <v/>
      </c>
    </row>
    <row r="183" hidden="1" ht="45" customHeight="1" s="54">
      <c r="B183" s="59" t="inlineStr">
        <is>
          <t>R-0178</t>
        </is>
      </c>
      <c r="C183" s="59" t="inlineStr">
        <is>
          <t>DO-10</t>
        </is>
      </c>
      <c r="D183" s="64">
        <f>IFERROR(INDEX(MgNombre,MATCH($C183,MgActId,0)),"")</f>
        <v/>
      </c>
      <c r="E183" s="64">
        <f>IFERROR(INDEX(MgProceso,MATCH($C183,MgActId,0)),"")</f>
        <v/>
      </c>
      <c r="F183" s="64">
        <f>IFERROR(INDEX(MgTipo,MATCH($C183,MgActId,0)),"")</f>
        <v/>
      </c>
      <c r="G183" s="64">
        <f>IFERROR(INDEX(MgSubtipo,MATCH($C183,MgActId,0)),"")</f>
        <v/>
      </c>
      <c r="H183" s="59" t="inlineStr">
        <is>
          <t>I.11</t>
        </is>
      </c>
      <c r="I183" s="64">
        <f>IFERROR(INDEX(MgAmenNombre,MATCH(SUBSTITUTE($H183,"*","-"),MgAmenClave,0)),"")</f>
        <v/>
      </c>
      <c r="J183" s="28">
        <f>IFERROR(INDEX(MgAmenGrupo,MATCH(SUBSTITUTE($H183,"*","-"),MgAmenClave,0)),"")</f>
        <v/>
      </c>
      <c r="K183" s="64">
        <f>IFERROR(INDEX('1. Matriz de Activos'!$Q$6:$Q$239,MATCH($C183,MgActId,0)),"")</f>
        <v/>
      </c>
      <c r="L183" s="64">
        <f>IFERROR(INDEX('1. Matriz de Activos'!$R$6:$R$239,MATCH($C183,MgActId,0)),"")</f>
        <v/>
      </c>
      <c r="M183" s="64">
        <f>IFERROR(INDEX('1. Matriz de Activos'!$S$6:$S$239,MATCH($C183,MgActId,0)),"")</f>
        <v/>
      </c>
      <c r="N183" s="28">
        <f>IFERROR(INDEX(MgAmenDegD,MATCH(SUBSTITUTE($H183,"*","-"),MgAmenClave,0)),"No aplica")</f>
        <v/>
      </c>
      <c r="O183" s="28">
        <f>IFERROR(INDEX(MgAmenDegI,MATCH(SUBSTITUTE($H183,"*","-"),MgAmenClave,0)),"No aplica")</f>
        <v/>
      </c>
      <c r="P183" s="28">
        <f>IFERROR(INDEX(MgAmenDegC,MATCH(SUBSTITUTE($H183,"*","-"),MgAmenClave,0)),"No aplica")</f>
        <v/>
      </c>
      <c r="Q183" s="29">
        <f>IFERROR(VLOOKUP(K183,MgValor,2,0)*VLOOKUP(N183,MgDeg,2,0),0)</f>
        <v/>
      </c>
      <c r="R183" s="29">
        <f>IFERROR(VLOOKUP(L183,MgValor,2,0)*VLOOKUP(O183,MgDeg,2,0),0)</f>
        <v/>
      </c>
      <c r="S183" s="29">
        <f>IFERROR(VLOOKUP(M183,MgValor,2,0)*VLOOKUP(P183,MgDeg,2,0),0)</f>
        <v/>
      </c>
      <c r="T183" s="30">
        <f>MAX(Q183:S183)</f>
        <v/>
      </c>
      <c r="U183" s="28">
        <f>IFERROR(LOOKUP(T183,{0;0.5;1.5;3;4.5},{"Despreciable";"Bajo";"Medio";"Alto";"Muy alto"}),"")</f>
        <v/>
      </c>
      <c r="V183" s="13">
        <f>IFERROR(INDEX(MgAmenFrec,MATCH(SUBSTITUTE($H183,"*","-"),MgAmenClave,0)),"")</f>
        <v/>
      </c>
      <c r="W183" s="28">
        <f>IFERROR(LOOKUP(X183,{0;0.01;0.1;1;10;100},{"Muy baja";"Muy baja";"Baja";"Media";"Alta";"Muy alta"}),"")</f>
        <v/>
      </c>
      <c r="X183" s="31">
        <f>IFERROR(VLOOKUP(V183,MgFrec,2,0),0)</f>
        <v/>
      </c>
      <c r="Y183" s="30">
        <f>T183*X183</f>
        <v/>
      </c>
      <c r="Z183" s="28">
        <f>IFERROR(LOOKUP(Y183,{0;0.5;5;25},{"Bajo";"Medio";"Alto";"Crítico"}),"")</f>
        <v/>
      </c>
      <c r="AA183" s="64">
        <f>IF(T183&gt;=3,IF(X183&gt;=1,"Zona 1 — Crítica: impacto alto y ocurre al menos una vez al año","Zona 4 — Catastrófica poco probable: impacto alto pero excepcional"),IF(AND(T183&lt;1.5,X183&lt;1),"Zona 3 — Asumible: impacto bajo y muy poco frecuente","Zona 2 — Atención: riesgo intermedio"))</f>
        <v/>
      </c>
      <c r="AB183" s="64">
        <f>IFERROR(INDEX(MgAmenCtrl,MATCH(SUBSTITUTE($H183,"*","-"),MgAmenClave,0)),"")</f>
        <v/>
      </c>
      <c r="AC183" s="20" t="n"/>
      <c r="AD183" s="31">
        <f>IFERROR($X183*(1-IF($AC183="",$AL183,VLOOKUP($AC183,MgMad,2,0))),"")</f>
        <v/>
      </c>
      <c r="AE183" s="28">
        <f>IFERROR(LOOKUP(AD183,{0;0.01;0.1;1;10;100},{"Muy baja";"Muy baja";"Baja";"Media";"Alta";"Muy alta"}),"")</f>
        <v/>
      </c>
      <c r="AF183" s="30">
        <f>T183*AD183</f>
        <v/>
      </c>
      <c r="AG183" s="28">
        <f>IFERROR(LOOKUP(AF183,{0;0.5;5;25},{"Bajo";"Medio";"Alto";"Crítico"}),"")</f>
        <v/>
      </c>
      <c r="AH183" s="28">
        <f>IF(AG183="","",IF(OR(AG183="Crítico",AG183="Alto"),"Mitigar",IF(AG183="Medio","Mitigar","Aceptar y monitorear")))</f>
        <v/>
      </c>
      <c r="AI183" s="21" t="n"/>
      <c r="AJ183" s="21" t="n"/>
      <c r="AK183" s="20" t="n"/>
      <c r="AL183" s="77">
        <f>IFERROR(INDEX(MgAmenEfic,MATCH(SUBSTITUTE($H183,"*","-"),MgAmenClave,0)),0)</f>
        <v/>
      </c>
    </row>
    <row r="184" hidden="1" ht="120" customHeight="1" s="54">
      <c r="B184" s="59" t="inlineStr">
        <is>
          <t>R-0179</t>
        </is>
      </c>
      <c r="C184" s="59" t="inlineStr">
        <is>
          <t>DO-10</t>
        </is>
      </c>
      <c r="D184" s="64">
        <f>IFERROR(INDEX(MgNombre,MATCH($C184,MgActId,0)),"")</f>
        <v/>
      </c>
      <c r="E184" s="64">
        <f>IFERROR(INDEX(MgProceso,MATCH($C184,MgActId,0)),"")</f>
        <v/>
      </c>
      <c r="F184" s="64">
        <f>IFERROR(INDEX(MgTipo,MATCH($C184,MgActId,0)),"")</f>
        <v/>
      </c>
      <c r="G184" s="64">
        <f>IFERROR(INDEX(MgSubtipo,MATCH($C184,MgActId,0)),"")</f>
        <v/>
      </c>
      <c r="H184" s="59" t="inlineStr">
        <is>
          <t>E.2</t>
        </is>
      </c>
      <c r="I184" s="64">
        <f>IFERROR(INDEX(MgAmenNombre,MATCH(SUBSTITUTE($H184,"*","-"),MgAmenClave,0)),"")</f>
        <v/>
      </c>
      <c r="J184" s="28">
        <f>IFERROR(INDEX(MgAmenGrupo,MATCH(SUBSTITUTE($H184,"*","-"),MgAmenClave,0)),"")</f>
        <v/>
      </c>
      <c r="K184" s="64">
        <f>IFERROR(INDEX('1. Matriz de Activos'!$Q$6:$Q$239,MATCH($C184,MgActId,0)),"")</f>
        <v/>
      </c>
      <c r="L184" s="64">
        <f>IFERROR(INDEX('1. Matriz de Activos'!$R$6:$R$239,MATCH($C184,MgActId,0)),"")</f>
        <v/>
      </c>
      <c r="M184" s="64">
        <f>IFERROR(INDEX('1. Matriz de Activos'!$S$6:$S$239,MATCH($C184,MgActId,0)),"")</f>
        <v/>
      </c>
      <c r="N184" s="28">
        <f>IFERROR(INDEX(MgAmenDegD,MATCH(SUBSTITUTE($H184,"*","-"),MgAmenClave,0)),"No aplica")</f>
        <v/>
      </c>
      <c r="O184" s="28">
        <f>IFERROR(INDEX(MgAmenDegI,MATCH(SUBSTITUTE($H184,"*","-"),MgAmenClave,0)),"No aplica")</f>
        <v/>
      </c>
      <c r="P184" s="28">
        <f>IFERROR(INDEX(MgAmenDegC,MATCH(SUBSTITUTE($H184,"*","-"),MgAmenClave,0)),"No aplica")</f>
        <v/>
      </c>
      <c r="Q184" s="29">
        <f>IFERROR(VLOOKUP(K184,MgValor,2,0)*VLOOKUP(N184,MgDeg,2,0),0)</f>
        <v/>
      </c>
      <c r="R184" s="29">
        <f>IFERROR(VLOOKUP(L184,MgValor,2,0)*VLOOKUP(O184,MgDeg,2,0),0)</f>
        <v/>
      </c>
      <c r="S184" s="29">
        <f>IFERROR(VLOOKUP(M184,MgValor,2,0)*VLOOKUP(P184,MgDeg,2,0),0)</f>
        <v/>
      </c>
      <c r="T184" s="30">
        <f>MAX(Q184:S184)</f>
        <v/>
      </c>
      <c r="U184" s="28">
        <f>IFERROR(LOOKUP(T184,{0;0.5;1.5;3;4.5},{"Despreciable";"Bajo";"Medio";"Alto";"Muy alto"}),"")</f>
        <v/>
      </c>
      <c r="V184" s="13">
        <f>IFERROR(INDEX(MgAmenFrec,MATCH(SUBSTITUTE($H184,"*","-"),MgAmenClave,0)),"")</f>
        <v/>
      </c>
      <c r="W184" s="28">
        <f>IFERROR(LOOKUP(X184,{0;0.01;0.1;1;10;100},{"Muy baja";"Muy baja";"Baja";"Media";"Alta";"Muy alta"}),"")</f>
        <v/>
      </c>
      <c r="X184" s="31">
        <f>IFERROR(VLOOKUP(V184,MgFrec,2,0),0)</f>
        <v/>
      </c>
      <c r="Y184" s="30">
        <f>T184*X184</f>
        <v/>
      </c>
      <c r="Z184" s="28">
        <f>IFERROR(LOOKUP(Y184,{0;0.5;5;25},{"Bajo";"Medio";"Alto";"Crítico"}),"")</f>
        <v/>
      </c>
      <c r="AA184" s="64">
        <f>IF(T184&gt;=3,IF(X184&gt;=1,"Zona 1 — Crítica: impacto alto y ocurre al menos una vez al año","Zona 4 — Catastrófica poco probable: impacto alto pero excepcional"),IF(AND(T184&lt;1.5,X184&lt;1),"Zona 3 — Asumible: impacto bajo y muy poco frecuente","Zona 2 — Atención: riesgo intermedio"))</f>
        <v/>
      </c>
      <c r="AB184" s="64">
        <f>IFERROR(INDEX(MgAmenCtrl,MATCH(SUBSTITUTE($H184,"*","-"),MgAmenClave,0)),"")</f>
        <v/>
      </c>
      <c r="AC184" s="20" t="n"/>
      <c r="AD184" s="31">
        <f>IFERROR($X184*(1-IF($AC184="",$AL184,VLOOKUP($AC184,MgMad,2,0))),"")</f>
        <v/>
      </c>
      <c r="AE184" s="28">
        <f>IFERROR(LOOKUP(AD184,{0;0.01;0.1;1;10;100},{"Muy baja";"Muy baja";"Baja";"Media";"Alta";"Muy alta"}),"")</f>
        <v/>
      </c>
      <c r="AF184" s="30">
        <f>T184*AD184</f>
        <v/>
      </c>
      <c r="AG184" s="28">
        <f>IFERROR(LOOKUP(AF184,{0;0.5;5;25},{"Bajo";"Medio";"Alto";"Crítico"}),"")</f>
        <v/>
      </c>
      <c r="AH184" s="28">
        <f>IF(AG184="","",IF(OR(AG184="Crítico",AG184="Alto"),"Mitigar",IF(AG184="Medio","Mitigar","Aceptar y monitorear")))</f>
        <v/>
      </c>
      <c r="AI184" s="21" t="n"/>
      <c r="AJ184" s="21" t="n"/>
      <c r="AK184" s="20" t="n"/>
      <c r="AL184" s="77">
        <f>IFERROR(INDEX(MgAmenEfic,MATCH(SUBSTITUTE($H184,"*","-"),MgAmenClave,0)),0)</f>
        <v/>
      </c>
    </row>
    <row r="185" hidden="1" ht="60" customHeight="1" s="54">
      <c r="B185" s="59" t="inlineStr">
        <is>
          <t>R-0180</t>
        </is>
      </c>
      <c r="C185" s="59" t="inlineStr">
        <is>
          <t>DO-10</t>
        </is>
      </c>
      <c r="D185" s="64">
        <f>IFERROR(INDEX(MgNombre,MATCH($C185,MgActId,0)),"")</f>
        <v/>
      </c>
      <c r="E185" s="64">
        <f>IFERROR(INDEX(MgProceso,MATCH($C185,MgActId,0)),"")</f>
        <v/>
      </c>
      <c r="F185" s="64">
        <f>IFERROR(INDEX(MgTipo,MATCH($C185,MgActId,0)),"")</f>
        <v/>
      </c>
      <c r="G185" s="64">
        <f>IFERROR(INDEX(MgSubtipo,MATCH($C185,MgActId,0)),"")</f>
        <v/>
      </c>
      <c r="H185" s="59" t="inlineStr">
        <is>
          <t>E.9</t>
        </is>
      </c>
      <c r="I185" s="64">
        <f>IFERROR(INDEX(MgAmenNombre,MATCH(SUBSTITUTE($H185,"*","-"),MgAmenClave,0)),"")</f>
        <v/>
      </c>
      <c r="J185" s="28">
        <f>IFERROR(INDEX(MgAmenGrupo,MATCH(SUBSTITUTE($H185,"*","-"),MgAmenClave,0)),"")</f>
        <v/>
      </c>
      <c r="K185" s="64">
        <f>IFERROR(INDEX('1. Matriz de Activos'!$Q$6:$Q$239,MATCH($C185,MgActId,0)),"")</f>
        <v/>
      </c>
      <c r="L185" s="64">
        <f>IFERROR(INDEX('1. Matriz de Activos'!$R$6:$R$239,MATCH($C185,MgActId,0)),"")</f>
        <v/>
      </c>
      <c r="M185" s="64">
        <f>IFERROR(INDEX('1. Matriz de Activos'!$S$6:$S$239,MATCH($C185,MgActId,0)),"")</f>
        <v/>
      </c>
      <c r="N185" s="28">
        <f>IFERROR(INDEX(MgAmenDegD,MATCH(SUBSTITUTE($H185,"*","-"),MgAmenClave,0)),"No aplica")</f>
        <v/>
      </c>
      <c r="O185" s="28">
        <f>IFERROR(INDEX(MgAmenDegI,MATCH(SUBSTITUTE($H185,"*","-"),MgAmenClave,0)),"No aplica")</f>
        <v/>
      </c>
      <c r="P185" s="28">
        <f>IFERROR(INDEX(MgAmenDegC,MATCH(SUBSTITUTE($H185,"*","-"),MgAmenClave,0)),"No aplica")</f>
        <v/>
      </c>
      <c r="Q185" s="29">
        <f>IFERROR(VLOOKUP(K185,MgValor,2,0)*VLOOKUP(N185,MgDeg,2,0),0)</f>
        <v/>
      </c>
      <c r="R185" s="29">
        <f>IFERROR(VLOOKUP(L185,MgValor,2,0)*VLOOKUP(O185,MgDeg,2,0),0)</f>
        <v/>
      </c>
      <c r="S185" s="29">
        <f>IFERROR(VLOOKUP(M185,MgValor,2,0)*VLOOKUP(P185,MgDeg,2,0),0)</f>
        <v/>
      </c>
      <c r="T185" s="30">
        <f>MAX(Q185:S185)</f>
        <v/>
      </c>
      <c r="U185" s="28">
        <f>IFERROR(LOOKUP(T185,{0;0.5;1.5;3;4.5},{"Despreciable";"Bajo";"Medio";"Alto";"Muy alto"}),"")</f>
        <v/>
      </c>
      <c r="V185" s="13">
        <f>IFERROR(INDEX(MgAmenFrec,MATCH(SUBSTITUTE($H185,"*","-"),MgAmenClave,0)),"")</f>
        <v/>
      </c>
      <c r="W185" s="28">
        <f>IFERROR(LOOKUP(X185,{0;0.01;0.1;1;10;100},{"Muy baja";"Muy baja";"Baja";"Media";"Alta";"Muy alta"}),"")</f>
        <v/>
      </c>
      <c r="X185" s="31">
        <f>IFERROR(VLOOKUP(V185,MgFrec,2,0),0)</f>
        <v/>
      </c>
      <c r="Y185" s="30">
        <f>T185*X185</f>
        <v/>
      </c>
      <c r="Z185" s="28">
        <f>IFERROR(LOOKUP(Y185,{0;0.5;5;25},{"Bajo";"Medio";"Alto";"Crítico"}),"")</f>
        <v/>
      </c>
      <c r="AA185" s="64">
        <f>IF(T185&gt;=3,IF(X185&gt;=1,"Zona 1 — Crítica: impacto alto y ocurre al menos una vez al año","Zona 4 — Catastrófica poco probable: impacto alto pero excepcional"),IF(AND(T185&lt;1.5,X185&lt;1),"Zona 3 — Asumible: impacto bajo y muy poco frecuente","Zona 2 — Atención: riesgo intermedio"))</f>
        <v/>
      </c>
      <c r="AB185" s="64">
        <f>IFERROR(INDEX(MgAmenCtrl,MATCH(SUBSTITUTE($H185,"*","-"),MgAmenClave,0)),"")</f>
        <v/>
      </c>
      <c r="AC185" s="20" t="n"/>
      <c r="AD185" s="31">
        <f>IFERROR($X185*(1-IF($AC185="",$AL185,VLOOKUP($AC185,MgMad,2,0))),"")</f>
        <v/>
      </c>
      <c r="AE185" s="28">
        <f>IFERROR(LOOKUP(AD185,{0;0.01;0.1;1;10;100},{"Muy baja";"Muy baja";"Baja";"Media";"Alta";"Muy alta"}),"")</f>
        <v/>
      </c>
      <c r="AF185" s="30">
        <f>T185*AD185</f>
        <v/>
      </c>
      <c r="AG185" s="28">
        <f>IFERROR(LOOKUP(AF185,{0;0.5;5;25},{"Bajo";"Medio";"Alto";"Crítico"}),"")</f>
        <v/>
      </c>
      <c r="AH185" s="28">
        <f>IF(AG185="","",IF(OR(AG185="Crítico",AG185="Alto"),"Mitigar",IF(AG185="Medio","Mitigar","Aceptar y monitorear")))</f>
        <v/>
      </c>
      <c r="AI185" s="21" t="n"/>
      <c r="AJ185" s="21" t="n"/>
      <c r="AK185" s="20" t="n"/>
      <c r="AL185" s="77">
        <f>IFERROR(INDEX(MgAmenEfic,MATCH(SUBSTITUTE($H185,"*","-"),MgAmenClave,0)),0)</f>
        <v/>
      </c>
    </row>
    <row r="186" hidden="1" ht="90" customHeight="1" s="54">
      <c r="B186" s="59" t="inlineStr">
        <is>
          <t>R-0181</t>
        </is>
      </c>
      <c r="C186" s="59" t="inlineStr">
        <is>
          <t>DO-10</t>
        </is>
      </c>
      <c r="D186" s="64">
        <f>IFERROR(INDEX(MgNombre,MATCH($C186,MgActId,0)),"")</f>
        <v/>
      </c>
      <c r="E186" s="64">
        <f>IFERROR(INDEX(MgProceso,MATCH($C186,MgActId,0)),"")</f>
        <v/>
      </c>
      <c r="F186" s="64">
        <f>IFERROR(INDEX(MgTipo,MATCH($C186,MgActId,0)),"")</f>
        <v/>
      </c>
      <c r="G186" s="64">
        <f>IFERROR(INDEX(MgSubtipo,MATCH($C186,MgActId,0)),"")</f>
        <v/>
      </c>
      <c r="H186" s="59" t="inlineStr">
        <is>
          <t>E.10</t>
        </is>
      </c>
      <c r="I186" s="64">
        <f>IFERROR(INDEX(MgAmenNombre,MATCH(SUBSTITUTE($H186,"*","-"),MgAmenClave,0)),"")</f>
        <v/>
      </c>
      <c r="J186" s="28">
        <f>IFERROR(INDEX(MgAmenGrupo,MATCH(SUBSTITUTE($H186,"*","-"),MgAmenClave,0)),"")</f>
        <v/>
      </c>
      <c r="K186" s="64">
        <f>IFERROR(INDEX('1. Matriz de Activos'!$Q$6:$Q$239,MATCH($C186,MgActId,0)),"")</f>
        <v/>
      </c>
      <c r="L186" s="64">
        <f>IFERROR(INDEX('1. Matriz de Activos'!$R$6:$R$239,MATCH($C186,MgActId,0)),"")</f>
        <v/>
      </c>
      <c r="M186" s="64">
        <f>IFERROR(INDEX('1. Matriz de Activos'!$S$6:$S$239,MATCH($C186,MgActId,0)),"")</f>
        <v/>
      </c>
      <c r="N186" s="28">
        <f>IFERROR(INDEX(MgAmenDegD,MATCH(SUBSTITUTE($H186,"*","-"),MgAmenClave,0)),"No aplica")</f>
        <v/>
      </c>
      <c r="O186" s="28">
        <f>IFERROR(INDEX(MgAmenDegI,MATCH(SUBSTITUTE($H186,"*","-"),MgAmenClave,0)),"No aplica")</f>
        <v/>
      </c>
      <c r="P186" s="28">
        <f>IFERROR(INDEX(MgAmenDegC,MATCH(SUBSTITUTE($H186,"*","-"),MgAmenClave,0)),"No aplica")</f>
        <v/>
      </c>
      <c r="Q186" s="29">
        <f>IFERROR(VLOOKUP(K186,MgValor,2,0)*VLOOKUP(N186,MgDeg,2,0),0)</f>
        <v/>
      </c>
      <c r="R186" s="29">
        <f>IFERROR(VLOOKUP(L186,MgValor,2,0)*VLOOKUP(O186,MgDeg,2,0),0)</f>
        <v/>
      </c>
      <c r="S186" s="29">
        <f>IFERROR(VLOOKUP(M186,MgValor,2,0)*VLOOKUP(P186,MgDeg,2,0),0)</f>
        <v/>
      </c>
      <c r="T186" s="30">
        <f>MAX(Q186:S186)</f>
        <v/>
      </c>
      <c r="U186" s="28">
        <f>IFERROR(LOOKUP(T186,{0;0.5;1.5;3;4.5},{"Despreciable";"Bajo";"Medio";"Alto";"Muy alto"}),"")</f>
        <v/>
      </c>
      <c r="V186" s="13">
        <f>IFERROR(INDEX(MgAmenFrec,MATCH(SUBSTITUTE($H186,"*","-"),MgAmenClave,0)),"")</f>
        <v/>
      </c>
      <c r="W186" s="28">
        <f>IFERROR(LOOKUP(X186,{0;0.01;0.1;1;10;100},{"Muy baja";"Muy baja";"Baja";"Media";"Alta";"Muy alta"}),"")</f>
        <v/>
      </c>
      <c r="X186" s="31">
        <f>IFERROR(VLOOKUP(V186,MgFrec,2,0),0)</f>
        <v/>
      </c>
      <c r="Y186" s="30">
        <f>T186*X186</f>
        <v/>
      </c>
      <c r="Z186" s="28">
        <f>IFERROR(LOOKUP(Y186,{0;0.5;5;25},{"Bajo";"Medio";"Alto";"Crítico"}),"")</f>
        <v/>
      </c>
      <c r="AA186" s="64">
        <f>IF(T186&gt;=3,IF(X186&gt;=1,"Zona 1 — Crítica: impacto alto y ocurre al menos una vez al año","Zona 4 — Catastrófica poco probable: impacto alto pero excepcional"),IF(AND(T186&lt;1.5,X186&lt;1),"Zona 3 — Asumible: impacto bajo y muy poco frecuente","Zona 2 — Atención: riesgo intermedio"))</f>
        <v/>
      </c>
      <c r="AB186" s="64">
        <f>IFERROR(INDEX(MgAmenCtrl,MATCH(SUBSTITUTE($H186,"*","-"),MgAmenClave,0)),"")</f>
        <v/>
      </c>
      <c r="AC186" s="20" t="n"/>
      <c r="AD186" s="31">
        <f>IFERROR($X186*(1-IF($AC186="",$AL186,VLOOKUP($AC186,MgMad,2,0))),"")</f>
        <v/>
      </c>
      <c r="AE186" s="28">
        <f>IFERROR(LOOKUP(AD186,{0;0.01;0.1;1;10;100},{"Muy baja";"Muy baja";"Baja";"Media";"Alta";"Muy alta"}),"")</f>
        <v/>
      </c>
      <c r="AF186" s="30">
        <f>T186*AD186</f>
        <v/>
      </c>
      <c r="AG186" s="28">
        <f>IFERROR(LOOKUP(AF186,{0;0.5;5;25},{"Bajo";"Medio";"Alto";"Crítico"}),"")</f>
        <v/>
      </c>
      <c r="AH186" s="28">
        <f>IF(AG186="","",IF(OR(AG186="Crítico",AG186="Alto"),"Mitigar",IF(AG186="Medio","Mitigar","Aceptar y monitorear")))</f>
        <v/>
      </c>
      <c r="AI186" s="21" t="n"/>
      <c r="AJ186" s="21" t="n"/>
      <c r="AK186" s="20" t="n"/>
      <c r="AL186" s="77">
        <f>IFERROR(INDEX(MgAmenEfic,MATCH(SUBSTITUTE($H186,"*","-"),MgAmenClave,0)),0)</f>
        <v/>
      </c>
    </row>
    <row r="187" hidden="1" ht="90" customHeight="1" s="54">
      <c r="B187" s="59" t="inlineStr">
        <is>
          <t>R-0182</t>
        </is>
      </c>
      <c r="C187" s="59" t="inlineStr">
        <is>
          <t>DO-10</t>
        </is>
      </c>
      <c r="D187" s="64">
        <f>IFERROR(INDEX(MgNombre,MATCH($C187,MgActId,0)),"")</f>
        <v/>
      </c>
      <c r="E187" s="64">
        <f>IFERROR(INDEX(MgProceso,MATCH($C187,MgActId,0)),"")</f>
        <v/>
      </c>
      <c r="F187" s="64">
        <f>IFERROR(INDEX(MgTipo,MATCH($C187,MgActId,0)),"")</f>
        <v/>
      </c>
      <c r="G187" s="64">
        <f>IFERROR(INDEX(MgSubtipo,MATCH($C187,MgActId,0)),"")</f>
        <v/>
      </c>
      <c r="H187" s="59" t="inlineStr">
        <is>
          <t>E.14</t>
        </is>
      </c>
      <c r="I187" s="64">
        <f>IFERROR(INDEX(MgAmenNombre,MATCH(SUBSTITUTE($H187,"*","-"),MgAmenClave,0)),"")</f>
        <v/>
      </c>
      <c r="J187" s="28">
        <f>IFERROR(INDEX(MgAmenGrupo,MATCH(SUBSTITUTE($H187,"*","-"),MgAmenClave,0)),"")</f>
        <v/>
      </c>
      <c r="K187" s="64">
        <f>IFERROR(INDEX('1. Matriz de Activos'!$Q$6:$Q$239,MATCH($C187,MgActId,0)),"")</f>
        <v/>
      </c>
      <c r="L187" s="64">
        <f>IFERROR(INDEX('1. Matriz de Activos'!$R$6:$R$239,MATCH($C187,MgActId,0)),"")</f>
        <v/>
      </c>
      <c r="M187" s="64">
        <f>IFERROR(INDEX('1. Matriz de Activos'!$S$6:$S$239,MATCH($C187,MgActId,0)),"")</f>
        <v/>
      </c>
      <c r="N187" s="28">
        <f>IFERROR(INDEX(MgAmenDegD,MATCH(SUBSTITUTE($H187,"*","-"),MgAmenClave,0)),"No aplica")</f>
        <v/>
      </c>
      <c r="O187" s="28">
        <f>IFERROR(INDEX(MgAmenDegI,MATCH(SUBSTITUTE($H187,"*","-"),MgAmenClave,0)),"No aplica")</f>
        <v/>
      </c>
      <c r="P187" s="28">
        <f>IFERROR(INDEX(MgAmenDegC,MATCH(SUBSTITUTE($H187,"*","-"),MgAmenClave,0)),"No aplica")</f>
        <v/>
      </c>
      <c r="Q187" s="29">
        <f>IFERROR(VLOOKUP(K187,MgValor,2,0)*VLOOKUP(N187,MgDeg,2,0),0)</f>
        <v/>
      </c>
      <c r="R187" s="29">
        <f>IFERROR(VLOOKUP(L187,MgValor,2,0)*VLOOKUP(O187,MgDeg,2,0),0)</f>
        <v/>
      </c>
      <c r="S187" s="29">
        <f>IFERROR(VLOOKUP(M187,MgValor,2,0)*VLOOKUP(P187,MgDeg,2,0),0)</f>
        <v/>
      </c>
      <c r="T187" s="30">
        <f>MAX(Q187:S187)</f>
        <v/>
      </c>
      <c r="U187" s="28">
        <f>IFERROR(LOOKUP(T187,{0;0.5;1.5;3;4.5},{"Despreciable";"Bajo";"Medio";"Alto";"Muy alto"}),"")</f>
        <v/>
      </c>
      <c r="V187" s="13">
        <f>IFERROR(INDEX(MgAmenFrec,MATCH(SUBSTITUTE($H187,"*","-"),MgAmenClave,0)),"")</f>
        <v/>
      </c>
      <c r="W187" s="28">
        <f>IFERROR(LOOKUP(X187,{0;0.01;0.1;1;10;100},{"Muy baja";"Muy baja";"Baja";"Media";"Alta";"Muy alta"}),"")</f>
        <v/>
      </c>
      <c r="X187" s="31">
        <f>IFERROR(VLOOKUP(V187,MgFrec,2,0),0)</f>
        <v/>
      </c>
      <c r="Y187" s="30">
        <f>T187*X187</f>
        <v/>
      </c>
      <c r="Z187" s="28">
        <f>IFERROR(LOOKUP(Y187,{0;0.5;5;25},{"Bajo";"Medio";"Alto";"Crítico"}),"")</f>
        <v/>
      </c>
      <c r="AA187" s="64">
        <f>IF(T187&gt;=3,IF(X187&gt;=1,"Zona 1 — Crítica: impacto alto y ocurre al menos una vez al año","Zona 4 — Catastrófica poco probable: impacto alto pero excepcional"),IF(AND(T187&lt;1.5,X187&lt;1),"Zona 3 — Asumible: impacto bajo y muy poco frecuente","Zona 2 — Atención: riesgo intermedio"))</f>
        <v/>
      </c>
      <c r="AB187" s="64">
        <f>IFERROR(INDEX(MgAmenCtrl,MATCH(SUBSTITUTE($H187,"*","-"),MgAmenClave,0)),"")</f>
        <v/>
      </c>
      <c r="AC187" s="20" t="n"/>
      <c r="AD187" s="31">
        <f>IFERROR($X187*(1-IF($AC187="",$AL187,VLOOKUP($AC187,MgMad,2,0))),"")</f>
        <v/>
      </c>
      <c r="AE187" s="28">
        <f>IFERROR(LOOKUP(AD187,{0;0.01;0.1;1;10;100},{"Muy baja";"Muy baja";"Baja";"Media";"Alta";"Muy alta"}),"")</f>
        <v/>
      </c>
      <c r="AF187" s="30">
        <f>T187*AD187</f>
        <v/>
      </c>
      <c r="AG187" s="28">
        <f>IFERROR(LOOKUP(AF187,{0;0.5;5;25},{"Bajo";"Medio";"Alto";"Crítico"}),"")</f>
        <v/>
      </c>
      <c r="AH187" s="28">
        <f>IF(AG187="","",IF(OR(AG187="Crítico",AG187="Alto"),"Mitigar",IF(AG187="Medio","Mitigar","Aceptar y monitorear")))</f>
        <v/>
      </c>
      <c r="AI187" s="21" t="n"/>
      <c r="AJ187" s="21" t="n"/>
      <c r="AK187" s="20" t="n"/>
      <c r="AL187" s="77">
        <f>IFERROR(INDEX(MgAmenEfic,MATCH(SUBSTITUTE($H187,"*","-"),MgAmenClave,0)),0)</f>
        <v/>
      </c>
    </row>
    <row r="188" hidden="1" ht="90" customHeight="1" s="54">
      <c r="B188" s="59" t="inlineStr">
        <is>
          <t>R-0183</t>
        </is>
      </c>
      <c r="C188" s="59" t="inlineStr">
        <is>
          <t>DO-10</t>
        </is>
      </c>
      <c r="D188" s="64">
        <f>IFERROR(INDEX(MgNombre,MATCH($C188,MgActId,0)),"")</f>
        <v/>
      </c>
      <c r="E188" s="64">
        <f>IFERROR(INDEX(MgProceso,MATCH($C188,MgActId,0)),"")</f>
        <v/>
      </c>
      <c r="F188" s="64">
        <f>IFERROR(INDEX(MgTipo,MATCH($C188,MgActId,0)),"")</f>
        <v/>
      </c>
      <c r="G188" s="64">
        <f>IFERROR(INDEX(MgSubtipo,MATCH($C188,MgActId,0)),"")</f>
        <v/>
      </c>
      <c r="H188" s="59" t="inlineStr">
        <is>
          <t>E.15</t>
        </is>
      </c>
      <c r="I188" s="64">
        <f>IFERROR(INDEX(MgAmenNombre,MATCH(SUBSTITUTE($H188,"*","-"),MgAmenClave,0)),"")</f>
        <v/>
      </c>
      <c r="J188" s="28">
        <f>IFERROR(INDEX(MgAmenGrupo,MATCH(SUBSTITUTE($H188,"*","-"),MgAmenClave,0)),"")</f>
        <v/>
      </c>
      <c r="K188" s="64">
        <f>IFERROR(INDEX('1. Matriz de Activos'!$Q$6:$Q$239,MATCH($C188,MgActId,0)),"")</f>
        <v/>
      </c>
      <c r="L188" s="64">
        <f>IFERROR(INDEX('1. Matriz de Activos'!$R$6:$R$239,MATCH($C188,MgActId,0)),"")</f>
        <v/>
      </c>
      <c r="M188" s="64">
        <f>IFERROR(INDEX('1. Matriz de Activos'!$S$6:$S$239,MATCH($C188,MgActId,0)),"")</f>
        <v/>
      </c>
      <c r="N188" s="28">
        <f>IFERROR(INDEX(MgAmenDegD,MATCH(SUBSTITUTE($H188,"*","-"),MgAmenClave,0)),"No aplica")</f>
        <v/>
      </c>
      <c r="O188" s="28">
        <f>IFERROR(INDEX(MgAmenDegI,MATCH(SUBSTITUTE($H188,"*","-"),MgAmenClave,0)),"No aplica")</f>
        <v/>
      </c>
      <c r="P188" s="28">
        <f>IFERROR(INDEX(MgAmenDegC,MATCH(SUBSTITUTE($H188,"*","-"),MgAmenClave,0)),"No aplica")</f>
        <v/>
      </c>
      <c r="Q188" s="29">
        <f>IFERROR(VLOOKUP(K188,MgValor,2,0)*VLOOKUP(N188,MgDeg,2,0),0)</f>
        <v/>
      </c>
      <c r="R188" s="29">
        <f>IFERROR(VLOOKUP(L188,MgValor,2,0)*VLOOKUP(O188,MgDeg,2,0),0)</f>
        <v/>
      </c>
      <c r="S188" s="29">
        <f>IFERROR(VLOOKUP(M188,MgValor,2,0)*VLOOKUP(P188,MgDeg,2,0),0)</f>
        <v/>
      </c>
      <c r="T188" s="30">
        <f>MAX(Q188:S188)</f>
        <v/>
      </c>
      <c r="U188" s="28">
        <f>IFERROR(LOOKUP(T188,{0;0.5;1.5;3;4.5},{"Despreciable";"Bajo";"Medio";"Alto";"Muy alto"}),"")</f>
        <v/>
      </c>
      <c r="V188" s="13">
        <f>IFERROR(INDEX(MgAmenFrec,MATCH(SUBSTITUTE($H188,"*","-"),MgAmenClave,0)),"")</f>
        <v/>
      </c>
      <c r="W188" s="28">
        <f>IFERROR(LOOKUP(X188,{0;0.01;0.1;1;10;100},{"Muy baja";"Muy baja";"Baja";"Media";"Alta";"Muy alta"}),"")</f>
        <v/>
      </c>
      <c r="X188" s="31">
        <f>IFERROR(VLOOKUP(V188,MgFrec,2,0),0)</f>
        <v/>
      </c>
      <c r="Y188" s="30">
        <f>T188*X188</f>
        <v/>
      </c>
      <c r="Z188" s="28">
        <f>IFERROR(LOOKUP(Y188,{0;0.5;5;25},{"Bajo";"Medio";"Alto";"Crítico"}),"")</f>
        <v/>
      </c>
      <c r="AA188" s="64">
        <f>IF(T188&gt;=3,IF(X188&gt;=1,"Zona 1 — Crítica: impacto alto y ocurre al menos una vez al año","Zona 4 — Catastrófica poco probable: impacto alto pero excepcional"),IF(AND(T188&lt;1.5,X188&lt;1),"Zona 3 — Asumible: impacto bajo y muy poco frecuente","Zona 2 — Atención: riesgo intermedio"))</f>
        <v/>
      </c>
      <c r="AB188" s="64">
        <f>IFERROR(INDEX(MgAmenCtrl,MATCH(SUBSTITUTE($H188,"*","-"),MgAmenClave,0)),"")</f>
        <v/>
      </c>
      <c r="AC188" s="20" t="n"/>
      <c r="AD188" s="31">
        <f>IFERROR($X188*(1-IF($AC188="",$AL188,VLOOKUP($AC188,MgMad,2,0))),"")</f>
        <v/>
      </c>
      <c r="AE188" s="28">
        <f>IFERROR(LOOKUP(AD188,{0;0.01;0.1;1;10;100},{"Muy baja";"Muy baja";"Baja";"Media";"Alta";"Muy alta"}),"")</f>
        <v/>
      </c>
      <c r="AF188" s="30">
        <f>T188*AD188</f>
        <v/>
      </c>
      <c r="AG188" s="28">
        <f>IFERROR(LOOKUP(AF188,{0;0.5;5;25},{"Bajo";"Medio";"Alto";"Crítico"}),"")</f>
        <v/>
      </c>
      <c r="AH188" s="28">
        <f>IF(AG188="","",IF(OR(AG188="Crítico",AG188="Alto"),"Mitigar",IF(AG188="Medio","Mitigar","Aceptar y monitorear")))</f>
        <v/>
      </c>
      <c r="AI188" s="21" t="n"/>
      <c r="AJ188" s="21" t="n"/>
      <c r="AK188" s="20" t="n"/>
      <c r="AL188" s="77">
        <f>IFERROR(INDEX(MgAmenEfic,MATCH(SUBSTITUTE($H188,"*","-"),MgAmenClave,0)),0)</f>
        <v/>
      </c>
    </row>
    <row r="189" hidden="1" ht="60" customHeight="1" s="54">
      <c r="B189" s="59" t="inlineStr">
        <is>
          <t>R-0184</t>
        </is>
      </c>
      <c r="C189" s="59" t="inlineStr">
        <is>
          <t>DO-10</t>
        </is>
      </c>
      <c r="D189" s="64">
        <f>IFERROR(INDEX(MgNombre,MATCH($C189,MgActId,0)),"")</f>
        <v/>
      </c>
      <c r="E189" s="64">
        <f>IFERROR(INDEX(MgProceso,MATCH($C189,MgActId,0)),"")</f>
        <v/>
      </c>
      <c r="F189" s="64">
        <f>IFERROR(INDEX(MgTipo,MATCH($C189,MgActId,0)),"")</f>
        <v/>
      </c>
      <c r="G189" s="64">
        <f>IFERROR(INDEX(MgSubtipo,MATCH($C189,MgActId,0)),"")</f>
        <v/>
      </c>
      <c r="H189" s="59" t="inlineStr">
        <is>
          <t>E.18</t>
        </is>
      </c>
      <c r="I189" s="64">
        <f>IFERROR(INDEX(MgAmenNombre,MATCH(SUBSTITUTE($H189,"*","-"),MgAmenClave,0)),"")</f>
        <v/>
      </c>
      <c r="J189" s="28">
        <f>IFERROR(INDEX(MgAmenGrupo,MATCH(SUBSTITUTE($H189,"*","-"),MgAmenClave,0)),"")</f>
        <v/>
      </c>
      <c r="K189" s="64">
        <f>IFERROR(INDEX('1. Matriz de Activos'!$Q$6:$Q$239,MATCH($C189,MgActId,0)),"")</f>
        <v/>
      </c>
      <c r="L189" s="64">
        <f>IFERROR(INDEX('1. Matriz de Activos'!$R$6:$R$239,MATCH($C189,MgActId,0)),"")</f>
        <v/>
      </c>
      <c r="M189" s="64">
        <f>IFERROR(INDEX('1. Matriz de Activos'!$S$6:$S$239,MATCH($C189,MgActId,0)),"")</f>
        <v/>
      </c>
      <c r="N189" s="28">
        <f>IFERROR(INDEX(MgAmenDegD,MATCH(SUBSTITUTE($H189,"*","-"),MgAmenClave,0)),"No aplica")</f>
        <v/>
      </c>
      <c r="O189" s="28">
        <f>IFERROR(INDEX(MgAmenDegI,MATCH(SUBSTITUTE($H189,"*","-"),MgAmenClave,0)),"No aplica")</f>
        <v/>
      </c>
      <c r="P189" s="28">
        <f>IFERROR(INDEX(MgAmenDegC,MATCH(SUBSTITUTE($H189,"*","-"),MgAmenClave,0)),"No aplica")</f>
        <v/>
      </c>
      <c r="Q189" s="29">
        <f>IFERROR(VLOOKUP(K189,MgValor,2,0)*VLOOKUP(N189,MgDeg,2,0),0)</f>
        <v/>
      </c>
      <c r="R189" s="29">
        <f>IFERROR(VLOOKUP(L189,MgValor,2,0)*VLOOKUP(O189,MgDeg,2,0),0)</f>
        <v/>
      </c>
      <c r="S189" s="29">
        <f>IFERROR(VLOOKUP(M189,MgValor,2,0)*VLOOKUP(P189,MgDeg,2,0),0)</f>
        <v/>
      </c>
      <c r="T189" s="30">
        <f>MAX(Q189:S189)</f>
        <v/>
      </c>
      <c r="U189" s="28">
        <f>IFERROR(LOOKUP(T189,{0;0.5;1.5;3;4.5},{"Despreciable";"Bajo";"Medio";"Alto";"Muy alto"}),"")</f>
        <v/>
      </c>
      <c r="V189" s="13">
        <f>IFERROR(INDEX(MgAmenFrec,MATCH(SUBSTITUTE($H189,"*","-"),MgAmenClave,0)),"")</f>
        <v/>
      </c>
      <c r="W189" s="28">
        <f>IFERROR(LOOKUP(X189,{0;0.01;0.1;1;10;100},{"Muy baja";"Muy baja";"Baja";"Media";"Alta";"Muy alta"}),"")</f>
        <v/>
      </c>
      <c r="X189" s="31">
        <f>IFERROR(VLOOKUP(V189,MgFrec,2,0),0)</f>
        <v/>
      </c>
      <c r="Y189" s="30">
        <f>T189*X189</f>
        <v/>
      </c>
      <c r="Z189" s="28">
        <f>IFERROR(LOOKUP(Y189,{0;0.5;5;25},{"Bajo";"Medio";"Alto";"Crítico"}),"")</f>
        <v/>
      </c>
      <c r="AA189" s="64">
        <f>IF(T189&gt;=3,IF(X189&gt;=1,"Zona 1 — Crítica: impacto alto y ocurre al menos una vez al año","Zona 4 — Catastrófica poco probable: impacto alto pero excepcional"),IF(AND(T189&lt;1.5,X189&lt;1),"Zona 3 — Asumible: impacto bajo y muy poco frecuente","Zona 2 — Atención: riesgo intermedio"))</f>
        <v/>
      </c>
      <c r="AB189" s="64">
        <f>IFERROR(INDEX(MgAmenCtrl,MATCH(SUBSTITUTE($H189,"*","-"),MgAmenClave,0)),"")</f>
        <v/>
      </c>
      <c r="AC189" s="20" t="n"/>
      <c r="AD189" s="31">
        <f>IFERROR($X189*(1-IF($AC189="",$AL189,VLOOKUP($AC189,MgMad,2,0))),"")</f>
        <v/>
      </c>
      <c r="AE189" s="28">
        <f>IFERROR(LOOKUP(AD189,{0;0.01;0.1;1;10;100},{"Muy baja";"Muy baja";"Baja";"Media";"Alta";"Muy alta"}),"")</f>
        <v/>
      </c>
      <c r="AF189" s="30">
        <f>T189*AD189</f>
        <v/>
      </c>
      <c r="AG189" s="28">
        <f>IFERROR(LOOKUP(AF189,{0;0.5;5;25},{"Bajo";"Medio";"Alto";"Crítico"}),"")</f>
        <v/>
      </c>
      <c r="AH189" s="28">
        <f>IF(AG189="","",IF(OR(AG189="Crítico",AG189="Alto"),"Mitigar",IF(AG189="Medio","Mitigar","Aceptar y monitorear")))</f>
        <v/>
      </c>
      <c r="AI189" s="21" t="n"/>
      <c r="AJ189" s="21" t="n"/>
      <c r="AK189" s="20" t="n"/>
      <c r="AL189" s="77">
        <f>IFERROR(INDEX(MgAmenEfic,MATCH(SUBSTITUTE($H189,"*","-"),MgAmenClave,0)),0)</f>
        <v/>
      </c>
    </row>
    <row r="190" hidden="1" ht="105" customHeight="1" s="54">
      <c r="B190" s="59" t="inlineStr">
        <is>
          <t>R-0185</t>
        </is>
      </c>
      <c r="C190" s="59" t="inlineStr">
        <is>
          <t>DO-10</t>
        </is>
      </c>
      <c r="D190" s="64">
        <f>IFERROR(INDEX(MgNombre,MATCH($C190,MgActId,0)),"")</f>
        <v/>
      </c>
      <c r="E190" s="64">
        <f>IFERROR(INDEX(MgProceso,MATCH($C190,MgActId,0)),"")</f>
        <v/>
      </c>
      <c r="F190" s="64">
        <f>IFERROR(INDEX(MgTipo,MATCH($C190,MgActId,0)),"")</f>
        <v/>
      </c>
      <c r="G190" s="64">
        <f>IFERROR(INDEX(MgSubtipo,MATCH($C190,MgActId,0)),"")</f>
        <v/>
      </c>
      <c r="H190" s="59" t="inlineStr">
        <is>
          <t>E.19</t>
        </is>
      </c>
      <c r="I190" s="64">
        <f>IFERROR(INDEX(MgAmenNombre,MATCH(SUBSTITUTE($H190,"*","-"),MgAmenClave,0)),"")</f>
        <v/>
      </c>
      <c r="J190" s="28">
        <f>IFERROR(INDEX(MgAmenGrupo,MATCH(SUBSTITUTE($H190,"*","-"),MgAmenClave,0)),"")</f>
        <v/>
      </c>
      <c r="K190" s="64">
        <f>IFERROR(INDEX('1. Matriz de Activos'!$Q$6:$Q$239,MATCH($C190,MgActId,0)),"")</f>
        <v/>
      </c>
      <c r="L190" s="64">
        <f>IFERROR(INDEX('1. Matriz de Activos'!$R$6:$R$239,MATCH($C190,MgActId,0)),"")</f>
        <v/>
      </c>
      <c r="M190" s="64">
        <f>IFERROR(INDEX('1. Matriz de Activos'!$S$6:$S$239,MATCH($C190,MgActId,0)),"")</f>
        <v/>
      </c>
      <c r="N190" s="28">
        <f>IFERROR(INDEX(MgAmenDegD,MATCH(SUBSTITUTE($H190,"*","-"),MgAmenClave,0)),"No aplica")</f>
        <v/>
      </c>
      <c r="O190" s="28">
        <f>IFERROR(INDEX(MgAmenDegI,MATCH(SUBSTITUTE($H190,"*","-"),MgAmenClave,0)),"No aplica")</f>
        <v/>
      </c>
      <c r="P190" s="28">
        <f>IFERROR(INDEX(MgAmenDegC,MATCH(SUBSTITUTE($H190,"*","-"),MgAmenClave,0)),"No aplica")</f>
        <v/>
      </c>
      <c r="Q190" s="29">
        <f>IFERROR(VLOOKUP(K190,MgValor,2,0)*VLOOKUP(N190,MgDeg,2,0),0)</f>
        <v/>
      </c>
      <c r="R190" s="29">
        <f>IFERROR(VLOOKUP(L190,MgValor,2,0)*VLOOKUP(O190,MgDeg,2,0),0)</f>
        <v/>
      </c>
      <c r="S190" s="29">
        <f>IFERROR(VLOOKUP(M190,MgValor,2,0)*VLOOKUP(P190,MgDeg,2,0),0)</f>
        <v/>
      </c>
      <c r="T190" s="30">
        <f>MAX(Q190:S190)</f>
        <v/>
      </c>
      <c r="U190" s="28">
        <f>IFERROR(LOOKUP(T190,{0;0.5;1.5;3;4.5},{"Despreciable";"Bajo";"Medio";"Alto";"Muy alto"}),"")</f>
        <v/>
      </c>
      <c r="V190" s="13">
        <f>IFERROR(INDEX(MgAmenFrec,MATCH(SUBSTITUTE($H190,"*","-"),MgAmenClave,0)),"")</f>
        <v/>
      </c>
      <c r="W190" s="28">
        <f>IFERROR(LOOKUP(X190,{0;0.01;0.1;1;10;100},{"Muy baja";"Muy baja";"Baja";"Media";"Alta";"Muy alta"}),"")</f>
        <v/>
      </c>
      <c r="X190" s="31">
        <f>IFERROR(VLOOKUP(V190,MgFrec,2,0),0)</f>
        <v/>
      </c>
      <c r="Y190" s="30">
        <f>T190*X190</f>
        <v/>
      </c>
      <c r="Z190" s="28">
        <f>IFERROR(LOOKUP(Y190,{0;0.5;5;25},{"Bajo";"Medio";"Alto";"Crítico"}),"")</f>
        <v/>
      </c>
      <c r="AA190" s="64">
        <f>IF(T190&gt;=3,IF(X190&gt;=1,"Zona 1 — Crítica: impacto alto y ocurre al menos una vez al año","Zona 4 — Catastrófica poco probable: impacto alto pero excepcional"),IF(AND(T190&lt;1.5,X190&lt;1),"Zona 3 — Asumible: impacto bajo y muy poco frecuente","Zona 2 — Atención: riesgo intermedio"))</f>
        <v/>
      </c>
      <c r="AB190" s="64">
        <f>IFERROR(INDEX(MgAmenCtrl,MATCH(SUBSTITUTE($H190,"*","-"),MgAmenClave,0)),"")</f>
        <v/>
      </c>
      <c r="AC190" s="20" t="n"/>
      <c r="AD190" s="31">
        <f>IFERROR($X190*(1-IF($AC190="",$AL190,VLOOKUP($AC190,MgMad,2,0))),"")</f>
        <v/>
      </c>
      <c r="AE190" s="28">
        <f>IFERROR(LOOKUP(AD190,{0;0.01;0.1;1;10;100},{"Muy baja";"Muy baja";"Baja";"Media";"Alta";"Muy alta"}),"")</f>
        <v/>
      </c>
      <c r="AF190" s="30">
        <f>T190*AD190</f>
        <v/>
      </c>
      <c r="AG190" s="28">
        <f>IFERROR(LOOKUP(AF190,{0;0.5;5;25},{"Bajo";"Medio";"Alto";"Crítico"}),"")</f>
        <v/>
      </c>
      <c r="AH190" s="28">
        <f>IF(AG190="","",IF(OR(AG190="Crítico",AG190="Alto"),"Mitigar",IF(AG190="Medio","Mitigar","Aceptar y monitorear")))</f>
        <v/>
      </c>
      <c r="AI190" s="21" t="n"/>
      <c r="AJ190" s="21" t="n"/>
      <c r="AK190" s="20" t="n"/>
      <c r="AL190" s="77">
        <f>IFERROR(INDEX(MgAmenEfic,MATCH(SUBSTITUTE($H190,"*","-"),MgAmenClave,0)),0)</f>
        <v/>
      </c>
    </row>
    <row r="191" hidden="1" ht="45" customHeight="1" s="54">
      <c r="B191" s="59" t="inlineStr">
        <is>
          <t>R-0186</t>
        </is>
      </c>
      <c r="C191" s="59" t="inlineStr">
        <is>
          <t>DO-10</t>
        </is>
      </c>
      <c r="D191" s="64">
        <f>IFERROR(INDEX(MgNombre,MATCH($C191,MgActId,0)),"")</f>
        <v/>
      </c>
      <c r="E191" s="64">
        <f>IFERROR(INDEX(MgProceso,MATCH($C191,MgActId,0)),"")</f>
        <v/>
      </c>
      <c r="F191" s="64">
        <f>IFERROR(INDEX(MgTipo,MATCH($C191,MgActId,0)),"")</f>
        <v/>
      </c>
      <c r="G191" s="64">
        <f>IFERROR(INDEX(MgSubtipo,MATCH($C191,MgActId,0)),"")</f>
        <v/>
      </c>
      <c r="H191" s="59" t="inlineStr">
        <is>
          <t>E.24</t>
        </is>
      </c>
      <c r="I191" s="64">
        <f>IFERROR(INDEX(MgAmenNombre,MATCH(SUBSTITUTE($H191,"*","-"),MgAmenClave,0)),"")</f>
        <v/>
      </c>
      <c r="J191" s="28">
        <f>IFERROR(INDEX(MgAmenGrupo,MATCH(SUBSTITUTE($H191,"*","-"),MgAmenClave,0)),"")</f>
        <v/>
      </c>
      <c r="K191" s="64">
        <f>IFERROR(INDEX('1. Matriz de Activos'!$Q$6:$Q$239,MATCH($C191,MgActId,0)),"")</f>
        <v/>
      </c>
      <c r="L191" s="64">
        <f>IFERROR(INDEX('1. Matriz de Activos'!$R$6:$R$239,MATCH($C191,MgActId,0)),"")</f>
        <v/>
      </c>
      <c r="M191" s="64">
        <f>IFERROR(INDEX('1. Matriz de Activos'!$S$6:$S$239,MATCH($C191,MgActId,0)),"")</f>
        <v/>
      </c>
      <c r="N191" s="28">
        <f>IFERROR(INDEX(MgAmenDegD,MATCH(SUBSTITUTE($H191,"*","-"),MgAmenClave,0)),"No aplica")</f>
        <v/>
      </c>
      <c r="O191" s="28">
        <f>IFERROR(INDEX(MgAmenDegI,MATCH(SUBSTITUTE($H191,"*","-"),MgAmenClave,0)),"No aplica")</f>
        <v/>
      </c>
      <c r="P191" s="28">
        <f>IFERROR(INDEX(MgAmenDegC,MATCH(SUBSTITUTE($H191,"*","-"),MgAmenClave,0)),"No aplica")</f>
        <v/>
      </c>
      <c r="Q191" s="29">
        <f>IFERROR(VLOOKUP(K191,MgValor,2,0)*VLOOKUP(N191,MgDeg,2,0),0)</f>
        <v/>
      </c>
      <c r="R191" s="29">
        <f>IFERROR(VLOOKUP(L191,MgValor,2,0)*VLOOKUP(O191,MgDeg,2,0),0)</f>
        <v/>
      </c>
      <c r="S191" s="29">
        <f>IFERROR(VLOOKUP(M191,MgValor,2,0)*VLOOKUP(P191,MgDeg,2,0),0)</f>
        <v/>
      </c>
      <c r="T191" s="30">
        <f>MAX(Q191:S191)</f>
        <v/>
      </c>
      <c r="U191" s="28">
        <f>IFERROR(LOOKUP(T191,{0;0.5;1.5;3;4.5},{"Despreciable";"Bajo";"Medio";"Alto";"Muy alto"}),"")</f>
        <v/>
      </c>
      <c r="V191" s="13">
        <f>IFERROR(INDEX(MgAmenFrec,MATCH(SUBSTITUTE($H191,"*","-"),MgAmenClave,0)),"")</f>
        <v/>
      </c>
      <c r="W191" s="28">
        <f>IFERROR(LOOKUP(X191,{0;0.01;0.1;1;10;100},{"Muy baja";"Muy baja";"Baja";"Media";"Alta";"Muy alta"}),"")</f>
        <v/>
      </c>
      <c r="X191" s="31">
        <f>IFERROR(VLOOKUP(V191,MgFrec,2,0),0)</f>
        <v/>
      </c>
      <c r="Y191" s="30">
        <f>T191*X191</f>
        <v/>
      </c>
      <c r="Z191" s="28">
        <f>IFERROR(LOOKUP(Y191,{0;0.5;5;25},{"Bajo";"Medio";"Alto";"Crítico"}),"")</f>
        <v/>
      </c>
      <c r="AA191" s="64">
        <f>IF(T191&gt;=3,IF(X191&gt;=1,"Zona 1 — Crítica: impacto alto y ocurre al menos una vez al año","Zona 4 — Catastrófica poco probable: impacto alto pero excepcional"),IF(AND(T191&lt;1.5,X191&lt;1),"Zona 3 — Asumible: impacto bajo y muy poco frecuente","Zona 2 — Atención: riesgo intermedio"))</f>
        <v/>
      </c>
      <c r="AB191" s="64">
        <f>IFERROR(INDEX(MgAmenCtrl,MATCH(SUBSTITUTE($H191,"*","-"),MgAmenClave,0)),"")</f>
        <v/>
      </c>
      <c r="AC191" s="20" t="n"/>
      <c r="AD191" s="31">
        <f>IFERROR($X191*(1-IF($AC191="",$AL191,VLOOKUP($AC191,MgMad,2,0))),"")</f>
        <v/>
      </c>
      <c r="AE191" s="28">
        <f>IFERROR(LOOKUP(AD191,{0;0.01;0.1;1;10;100},{"Muy baja";"Muy baja";"Baja";"Media";"Alta";"Muy alta"}),"")</f>
        <v/>
      </c>
      <c r="AF191" s="30">
        <f>T191*AD191</f>
        <v/>
      </c>
      <c r="AG191" s="28">
        <f>IFERROR(LOOKUP(AF191,{0;0.5;5;25},{"Bajo";"Medio";"Alto";"Crítico"}),"")</f>
        <v/>
      </c>
      <c r="AH191" s="28">
        <f>IF(AG191="","",IF(OR(AG191="Crítico",AG191="Alto"),"Mitigar",IF(AG191="Medio","Mitigar","Aceptar y monitorear")))</f>
        <v/>
      </c>
      <c r="AI191" s="21" t="n"/>
      <c r="AJ191" s="21" t="n"/>
      <c r="AK191" s="20" t="n"/>
      <c r="AL191" s="77">
        <f>IFERROR(INDEX(MgAmenEfic,MATCH(SUBSTITUTE($H191,"*","-"),MgAmenClave,0)),0)</f>
        <v/>
      </c>
    </row>
    <row r="192" hidden="1" ht="75" customHeight="1" s="54">
      <c r="B192" s="59" t="inlineStr">
        <is>
          <t>R-0187</t>
        </is>
      </c>
      <c r="C192" s="59" t="inlineStr">
        <is>
          <t>DO-10</t>
        </is>
      </c>
      <c r="D192" s="64">
        <f>IFERROR(INDEX(MgNombre,MATCH($C192,MgActId,0)),"")</f>
        <v/>
      </c>
      <c r="E192" s="64">
        <f>IFERROR(INDEX(MgProceso,MATCH($C192,MgActId,0)),"")</f>
        <v/>
      </c>
      <c r="F192" s="64">
        <f>IFERROR(INDEX(MgTipo,MATCH($C192,MgActId,0)),"")</f>
        <v/>
      </c>
      <c r="G192" s="64">
        <f>IFERROR(INDEX(MgSubtipo,MATCH($C192,MgActId,0)),"")</f>
        <v/>
      </c>
      <c r="H192" s="59" t="inlineStr">
        <is>
          <t>A.5</t>
        </is>
      </c>
      <c r="I192" s="64">
        <f>IFERROR(INDEX(MgAmenNombre,MATCH(SUBSTITUTE($H192,"*","-"),MgAmenClave,0)),"")</f>
        <v/>
      </c>
      <c r="J192" s="28">
        <f>IFERROR(INDEX(MgAmenGrupo,MATCH(SUBSTITUTE($H192,"*","-"),MgAmenClave,0)),"")</f>
        <v/>
      </c>
      <c r="K192" s="64">
        <f>IFERROR(INDEX('1. Matriz de Activos'!$Q$6:$Q$239,MATCH($C192,MgActId,0)),"")</f>
        <v/>
      </c>
      <c r="L192" s="64">
        <f>IFERROR(INDEX('1. Matriz de Activos'!$R$6:$R$239,MATCH($C192,MgActId,0)),"")</f>
        <v/>
      </c>
      <c r="M192" s="64">
        <f>IFERROR(INDEX('1. Matriz de Activos'!$S$6:$S$239,MATCH($C192,MgActId,0)),"")</f>
        <v/>
      </c>
      <c r="N192" s="28">
        <f>IFERROR(INDEX(MgAmenDegD,MATCH(SUBSTITUTE($H192,"*","-"),MgAmenClave,0)),"No aplica")</f>
        <v/>
      </c>
      <c r="O192" s="28">
        <f>IFERROR(INDEX(MgAmenDegI,MATCH(SUBSTITUTE($H192,"*","-"),MgAmenClave,0)),"No aplica")</f>
        <v/>
      </c>
      <c r="P192" s="28">
        <f>IFERROR(INDEX(MgAmenDegC,MATCH(SUBSTITUTE($H192,"*","-"),MgAmenClave,0)),"No aplica")</f>
        <v/>
      </c>
      <c r="Q192" s="29">
        <f>IFERROR(VLOOKUP(K192,MgValor,2,0)*VLOOKUP(N192,MgDeg,2,0),0)</f>
        <v/>
      </c>
      <c r="R192" s="29">
        <f>IFERROR(VLOOKUP(L192,MgValor,2,0)*VLOOKUP(O192,MgDeg,2,0),0)</f>
        <v/>
      </c>
      <c r="S192" s="29">
        <f>IFERROR(VLOOKUP(M192,MgValor,2,0)*VLOOKUP(P192,MgDeg,2,0),0)</f>
        <v/>
      </c>
      <c r="T192" s="30">
        <f>MAX(Q192:S192)</f>
        <v/>
      </c>
      <c r="U192" s="28">
        <f>IFERROR(LOOKUP(T192,{0;0.5;1.5;3;4.5},{"Despreciable";"Bajo";"Medio";"Alto";"Muy alto"}),"")</f>
        <v/>
      </c>
      <c r="V192" s="13">
        <f>IFERROR(INDEX(MgAmenFrec,MATCH(SUBSTITUTE($H192,"*","-"),MgAmenClave,0)),"")</f>
        <v/>
      </c>
      <c r="W192" s="28">
        <f>IFERROR(LOOKUP(X192,{0;0.01;0.1;1;10;100},{"Muy baja";"Muy baja";"Baja";"Media";"Alta";"Muy alta"}),"")</f>
        <v/>
      </c>
      <c r="X192" s="31">
        <f>IFERROR(VLOOKUP(V192,MgFrec,2,0),0)</f>
        <v/>
      </c>
      <c r="Y192" s="30">
        <f>T192*X192</f>
        <v/>
      </c>
      <c r="Z192" s="28">
        <f>IFERROR(LOOKUP(Y192,{0;0.5;5;25},{"Bajo";"Medio";"Alto";"Crítico"}),"")</f>
        <v/>
      </c>
      <c r="AA192" s="64">
        <f>IF(T192&gt;=3,IF(X192&gt;=1,"Zona 1 — Crítica: impacto alto y ocurre al menos una vez al año","Zona 4 — Catastrófica poco probable: impacto alto pero excepcional"),IF(AND(T192&lt;1.5,X192&lt;1),"Zona 3 — Asumible: impacto bajo y muy poco frecuente","Zona 2 — Atención: riesgo intermedio"))</f>
        <v/>
      </c>
      <c r="AB192" s="64">
        <f>IFERROR(INDEX(MgAmenCtrl,MATCH(SUBSTITUTE($H192,"*","-"),MgAmenClave,0)),"")</f>
        <v/>
      </c>
      <c r="AC192" s="20" t="n"/>
      <c r="AD192" s="31">
        <f>IFERROR($X192*(1-IF($AC192="",$AL192,VLOOKUP($AC192,MgMad,2,0))),"")</f>
        <v/>
      </c>
      <c r="AE192" s="28">
        <f>IFERROR(LOOKUP(AD192,{0;0.01;0.1;1;10;100},{"Muy baja";"Muy baja";"Baja";"Media";"Alta";"Muy alta"}),"")</f>
        <v/>
      </c>
      <c r="AF192" s="30">
        <f>T192*AD192</f>
        <v/>
      </c>
      <c r="AG192" s="28">
        <f>IFERROR(LOOKUP(AF192,{0;0.5;5;25},{"Bajo";"Medio";"Alto";"Crítico"}),"")</f>
        <v/>
      </c>
      <c r="AH192" s="28">
        <f>IF(AG192="","",IF(OR(AG192="Crítico",AG192="Alto"),"Mitigar",IF(AG192="Medio","Mitigar","Aceptar y monitorear")))</f>
        <v/>
      </c>
      <c r="AI192" s="21" t="n"/>
      <c r="AJ192" s="21" t="n"/>
      <c r="AK192" s="20" t="n"/>
      <c r="AL192" s="77">
        <f>IFERROR(INDEX(MgAmenEfic,MATCH(SUBSTITUTE($H192,"*","-"),MgAmenClave,0)),0)</f>
        <v/>
      </c>
    </row>
    <row r="193" hidden="1" ht="105" customHeight="1" s="54">
      <c r="B193" s="59" t="inlineStr">
        <is>
          <t>R-0188</t>
        </is>
      </c>
      <c r="C193" s="59" t="inlineStr">
        <is>
          <t>DO-10</t>
        </is>
      </c>
      <c r="D193" s="64">
        <f>IFERROR(INDEX(MgNombre,MATCH($C193,MgActId,0)),"")</f>
        <v/>
      </c>
      <c r="E193" s="64">
        <f>IFERROR(INDEX(MgProceso,MATCH($C193,MgActId,0)),"")</f>
        <v/>
      </c>
      <c r="F193" s="64">
        <f>IFERROR(INDEX(MgTipo,MATCH($C193,MgActId,0)),"")</f>
        <v/>
      </c>
      <c r="G193" s="64">
        <f>IFERROR(INDEX(MgSubtipo,MATCH($C193,MgActId,0)),"")</f>
        <v/>
      </c>
      <c r="H193" s="59" t="inlineStr">
        <is>
          <t>A.6</t>
        </is>
      </c>
      <c r="I193" s="64">
        <f>IFERROR(INDEX(MgAmenNombre,MATCH(SUBSTITUTE($H193,"*","-"),MgAmenClave,0)),"")</f>
        <v/>
      </c>
      <c r="J193" s="28">
        <f>IFERROR(INDEX(MgAmenGrupo,MATCH(SUBSTITUTE($H193,"*","-"),MgAmenClave,0)),"")</f>
        <v/>
      </c>
      <c r="K193" s="64">
        <f>IFERROR(INDEX('1. Matriz de Activos'!$Q$6:$Q$239,MATCH($C193,MgActId,0)),"")</f>
        <v/>
      </c>
      <c r="L193" s="64">
        <f>IFERROR(INDEX('1. Matriz de Activos'!$R$6:$R$239,MATCH($C193,MgActId,0)),"")</f>
        <v/>
      </c>
      <c r="M193" s="64">
        <f>IFERROR(INDEX('1. Matriz de Activos'!$S$6:$S$239,MATCH($C193,MgActId,0)),"")</f>
        <v/>
      </c>
      <c r="N193" s="28">
        <f>IFERROR(INDEX(MgAmenDegD,MATCH(SUBSTITUTE($H193,"*","-"),MgAmenClave,0)),"No aplica")</f>
        <v/>
      </c>
      <c r="O193" s="28">
        <f>IFERROR(INDEX(MgAmenDegI,MATCH(SUBSTITUTE($H193,"*","-"),MgAmenClave,0)),"No aplica")</f>
        <v/>
      </c>
      <c r="P193" s="28">
        <f>IFERROR(INDEX(MgAmenDegC,MATCH(SUBSTITUTE($H193,"*","-"),MgAmenClave,0)),"No aplica")</f>
        <v/>
      </c>
      <c r="Q193" s="29">
        <f>IFERROR(VLOOKUP(K193,MgValor,2,0)*VLOOKUP(N193,MgDeg,2,0),0)</f>
        <v/>
      </c>
      <c r="R193" s="29">
        <f>IFERROR(VLOOKUP(L193,MgValor,2,0)*VLOOKUP(O193,MgDeg,2,0),0)</f>
        <v/>
      </c>
      <c r="S193" s="29">
        <f>IFERROR(VLOOKUP(M193,MgValor,2,0)*VLOOKUP(P193,MgDeg,2,0),0)</f>
        <v/>
      </c>
      <c r="T193" s="30">
        <f>MAX(Q193:S193)</f>
        <v/>
      </c>
      <c r="U193" s="28">
        <f>IFERROR(LOOKUP(T193,{0;0.5;1.5;3;4.5},{"Despreciable";"Bajo";"Medio";"Alto";"Muy alto"}),"")</f>
        <v/>
      </c>
      <c r="V193" s="13">
        <f>IFERROR(INDEX(MgAmenFrec,MATCH(SUBSTITUTE($H193,"*","-"),MgAmenClave,0)),"")</f>
        <v/>
      </c>
      <c r="W193" s="28">
        <f>IFERROR(LOOKUP(X193,{0;0.01;0.1;1;10;100},{"Muy baja";"Muy baja";"Baja";"Media";"Alta";"Muy alta"}),"")</f>
        <v/>
      </c>
      <c r="X193" s="31">
        <f>IFERROR(VLOOKUP(V193,MgFrec,2,0),0)</f>
        <v/>
      </c>
      <c r="Y193" s="30">
        <f>T193*X193</f>
        <v/>
      </c>
      <c r="Z193" s="28">
        <f>IFERROR(LOOKUP(Y193,{0;0.5;5;25},{"Bajo";"Medio";"Alto";"Crítico"}),"")</f>
        <v/>
      </c>
      <c r="AA193" s="64">
        <f>IF(T193&gt;=3,IF(X193&gt;=1,"Zona 1 — Crítica: impacto alto y ocurre al menos una vez al año","Zona 4 — Catastrófica poco probable: impacto alto pero excepcional"),IF(AND(T193&lt;1.5,X193&lt;1),"Zona 3 — Asumible: impacto bajo y muy poco frecuente","Zona 2 — Atención: riesgo intermedio"))</f>
        <v/>
      </c>
      <c r="AB193" s="64">
        <f>IFERROR(INDEX(MgAmenCtrl,MATCH(SUBSTITUTE($H193,"*","-"),MgAmenClave,0)),"")</f>
        <v/>
      </c>
      <c r="AC193" s="20" t="n"/>
      <c r="AD193" s="31">
        <f>IFERROR($X193*(1-IF($AC193="",$AL193,VLOOKUP($AC193,MgMad,2,0))),"")</f>
        <v/>
      </c>
      <c r="AE193" s="28">
        <f>IFERROR(LOOKUP(AD193,{0;0.01;0.1;1;10;100},{"Muy baja";"Muy baja";"Baja";"Media";"Alta";"Muy alta"}),"")</f>
        <v/>
      </c>
      <c r="AF193" s="30">
        <f>T193*AD193</f>
        <v/>
      </c>
      <c r="AG193" s="28">
        <f>IFERROR(LOOKUP(AF193,{0;0.5;5;25},{"Bajo";"Medio";"Alto";"Crítico"}),"")</f>
        <v/>
      </c>
      <c r="AH193" s="28">
        <f>IF(AG193="","",IF(OR(AG193="Crítico",AG193="Alto"),"Mitigar",IF(AG193="Medio","Mitigar","Aceptar y monitorear")))</f>
        <v/>
      </c>
      <c r="AI193" s="21" t="n"/>
      <c r="AJ193" s="21" t="n"/>
      <c r="AK193" s="20" t="n"/>
      <c r="AL193" s="77">
        <f>IFERROR(INDEX(MgAmenEfic,MATCH(SUBSTITUTE($H193,"*","-"),MgAmenClave,0)),0)</f>
        <v/>
      </c>
    </row>
    <row r="194" hidden="1" ht="60" customHeight="1" s="54">
      <c r="B194" s="59" t="inlineStr">
        <is>
          <t>R-0189</t>
        </is>
      </c>
      <c r="C194" s="59" t="inlineStr">
        <is>
          <t>DO-10</t>
        </is>
      </c>
      <c r="D194" s="64">
        <f>IFERROR(INDEX(MgNombre,MATCH($C194,MgActId,0)),"")</f>
        <v/>
      </c>
      <c r="E194" s="64">
        <f>IFERROR(INDEX(MgProceso,MATCH($C194,MgActId,0)),"")</f>
        <v/>
      </c>
      <c r="F194" s="64">
        <f>IFERROR(INDEX(MgTipo,MATCH($C194,MgActId,0)),"")</f>
        <v/>
      </c>
      <c r="G194" s="64">
        <f>IFERROR(INDEX(MgSubtipo,MATCH($C194,MgActId,0)),"")</f>
        <v/>
      </c>
      <c r="H194" s="59" t="inlineStr">
        <is>
          <t>A.7</t>
        </is>
      </c>
      <c r="I194" s="64">
        <f>IFERROR(INDEX(MgAmenNombre,MATCH(SUBSTITUTE($H194,"*","-"),MgAmenClave,0)),"")</f>
        <v/>
      </c>
      <c r="J194" s="28">
        <f>IFERROR(INDEX(MgAmenGrupo,MATCH(SUBSTITUTE($H194,"*","-"),MgAmenClave,0)),"")</f>
        <v/>
      </c>
      <c r="K194" s="64">
        <f>IFERROR(INDEX('1. Matriz de Activos'!$Q$6:$Q$239,MATCH($C194,MgActId,0)),"")</f>
        <v/>
      </c>
      <c r="L194" s="64">
        <f>IFERROR(INDEX('1. Matriz de Activos'!$R$6:$R$239,MATCH($C194,MgActId,0)),"")</f>
        <v/>
      </c>
      <c r="M194" s="64">
        <f>IFERROR(INDEX('1. Matriz de Activos'!$S$6:$S$239,MATCH($C194,MgActId,0)),"")</f>
        <v/>
      </c>
      <c r="N194" s="28">
        <f>IFERROR(INDEX(MgAmenDegD,MATCH(SUBSTITUTE($H194,"*","-"),MgAmenClave,0)),"No aplica")</f>
        <v/>
      </c>
      <c r="O194" s="28">
        <f>IFERROR(INDEX(MgAmenDegI,MATCH(SUBSTITUTE($H194,"*","-"),MgAmenClave,0)),"No aplica")</f>
        <v/>
      </c>
      <c r="P194" s="28">
        <f>IFERROR(INDEX(MgAmenDegC,MATCH(SUBSTITUTE($H194,"*","-"),MgAmenClave,0)),"No aplica")</f>
        <v/>
      </c>
      <c r="Q194" s="29">
        <f>IFERROR(VLOOKUP(K194,MgValor,2,0)*VLOOKUP(N194,MgDeg,2,0),0)</f>
        <v/>
      </c>
      <c r="R194" s="29">
        <f>IFERROR(VLOOKUP(L194,MgValor,2,0)*VLOOKUP(O194,MgDeg,2,0),0)</f>
        <v/>
      </c>
      <c r="S194" s="29">
        <f>IFERROR(VLOOKUP(M194,MgValor,2,0)*VLOOKUP(P194,MgDeg,2,0),0)</f>
        <v/>
      </c>
      <c r="T194" s="30">
        <f>MAX(Q194:S194)</f>
        <v/>
      </c>
      <c r="U194" s="28">
        <f>IFERROR(LOOKUP(T194,{0;0.5;1.5;3;4.5},{"Despreciable";"Bajo";"Medio";"Alto";"Muy alto"}),"")</f>
        <v/>
      </c>
      <c r="V194" s="13">
        <f>IFERROR(INDEX(MgAmenFrec,MATCH(SUBSTITUTE($H194,"*","-"),MgAmenClave,0)),"")</f>
        <v/>
      </c>
      <c r="W194" s="28">
        <f>IFERROR(LOOKUP(X194,{0;0.01;0.1;1;10;100},{"Muy baja";"Muy baja";"Baja";"Media";"Alta";"Muy alta"}),"")</f>
        <v/>
      </c>
      <c r="X194" s="31">
        <f>IFERROR(VLOOKUP(V194,MgFrec,2,0),0)</f>
        <v/>
      </c>
      <c r="Y194" s="30">
        <f>T194*X194</f>
        <v/>
      </c>
      <c r="Z194" s="28">
        <f>IFERROR(LOOKUP(Y194,{0;0.5;5;25},{"Bajo";"Medio";"Alto";"Crítico"}),"")</f>
        <v/>
      </c>
      <c r="AA194" s="64">
        <f>IF(T194&gt;=3,IF(X194&gt;=1,"Zona 1 — Crítica: impacto alto y ocurre al menos una vez al año","Zona 4 — Catastrófica poco probable: impacto alto pero excepcional"),IF(AND(T194&lt;1.5,X194&lt;1),"Zona 3 — Asumible: impacto bajo y muy poco frecuente","Zona 2 — Atención: riesgo intermedio"))</f>
        <v/>
      </c>
      <c r="AB194" s="64">
        <f>IFERROR(INDEX(MgAmenCtrl,MATCH(SUBSTITUTE($H194,"*","-"),MgAmenClave,0)),"")</f>
        <v/>
      </c>
      <c r="AC194" s="20" t="n"/>
      <c r="AD194" s="31">
        <f>IFERROR($X194*(1-IF($AC194="",$AL194,VLOOKUP($AC194,MgMad,2,0))),"")</f>
        <v/>
      </c>
      <c r="AE194" s="28">
        <f>IFERROR(LOOKUP(AD194,{0;0.01;0.1;1;10;100},{"Muy baja";"Muy baja";"Baja";"Media";"Alta";"Muy alta"}),"")</f>
        <v/>
      </c>
      <c r="AF194" s="30">
        <f>T194*AD194</f>
        <v/>
      </c>
      <c r="AG194" s="28">
        <f>IFERROR(LOOKUP(AF194,{0;0.5;5;25},{"Bajo";"Medio";"Alto";"Crítico"}),"")</f>
        <v/>
      </c>
      <c r="AH194" s="28">
        <f>IF(AG194="","",IF(OR(AG194="Crítico",AG194="Alto"),"Mitigar",IF(AG194="Medio","Mitigar","Aceptar y monitorear")))</f>
        <v/>
      </c>
      <c r="AI194" s="21" t="n"/>
      <c r="AJ194" s="21" t="n"/>
      <c r="AK194" s="20" t="n"/>
      <c r="AL194" s="77">
        <f>IFERROR(INDEX(MgAmenEfic,MATCH(SUBSTITUTE($H194,"*","-"),MgAmenClave,0)),0)</f>
        <v/>
      </c>
    </row>
    <row r="195" hidden="1" ht="60" customHeight="1" s="54">
      <c r="B195" s="59" t="inlineStr">
        <is>
          <t>R-0190</t>
        </is>
      </c>
      <c r="C195" s="59" t="inlineStr">
        <is>
          <t>DO-10</t>
        </is>
      </c>
      <c r="D195" s="64">
        <f>IFERROR(INDEX(MgNombre,MATCH($C195,MgActId,0)),"")</f>
        <v/>
      </c>
      <c r="E195" s="64">
        <f>IFERROR(INDEX(MgProceso,MATCH($C195,MgActId,0)),"")</f>
        <v/>
      </c>
      <c r="F195" s="64">
        <f>IFERROR(INDEX(MgTipo,MATCH($C195,MgActId,0)),"")</f>
        <v/>
      </c>
      <c r="G195" s="64">
        <f>IFERROR(INDEX(MgSubtipo,MATCH($C195,MgActId,0)),"")</f>
        <v/>
      </c>
      <c r="H195" s="59" t="inlineStr">
        <is>
          <t>A.9</t>
        </is>
      </c>
      <c r="I195" s="64">
        <f>IFERROR(INDEX(MgAmenNombre,MATCH(SUBSTITUTE($H195,"*","-"),MgAmenClave,0)),"")</f>
        <v/>
      </c>
      <c r="J195" s="28">
        <f>IFERROR(INDEX(MgAmenGrupo,MATCH(SUBSTITUTE($H195,"*","-"),MgAmenClave,0)),"")</f>
        <v/>
      </c>
      <c r="K195" s="64">
        <f>IFERROR(INDEX('1. Matriz de Activos'!$Q$6:$Q$239,MATCH($C195,MgActId,0)),"")</f>
        <v/>
      </c>
      <c r="L195" s="64">
        <f>IFERROR(INDEX('1. Matriz de Activos'!$R$6:$R$239,MATCH($C195,MgActId,0)),"")</f>
        <v/>
      </c>
      <c r="M195" s="64">
        <f>IFERROR(INDEX('1. Matriz de Activos'!$S$6:$S$239,MATCH($C195,MgActId,0)),"")</f>
        <v/>
      </c>
      <c r="N195" s="28">
        <f>IFERROR(INDEX(MgAmenDegD,MATCH(SUBSTITUTE($H195,"*","-"),MgAmenClave,0)),"No aplica")</f>
        <v/>
      </c>
      <c r="O195" s="28">
        <f>IFERROR(INDEX(MgAmenDegI,MATCH(SUBSTITUTE($H195,"*","-"),MgAmenClave,0)),"No aplica")</f>
        <v/>
      </c>
      <c r="P195" s="28">
        <f>IFERROR(INDEX(MgAmenDegC,MATCH(SUBSTITUTE($H195,"*","-"),MgAmenClave,0)),"No aplica")</f>
        <v/>
      </c>
      <c r="Q195" s="29">
        <f>IFERROR(VLOOKUP(K195,MgValor,2,0)*VLOOKUP(N195,MgDeg,2,0),0)</f>
        <v/>
      </c>
      <c r="R195" s="29">
        <f>IFERROR(VLOOKUP(L195,MgValor,2,0)*VLOOKUP(O195,MgDeg,2,0),0)</f>
        <v/>
      </c>
      <c r="S195" s="29">
        <f>IFERROR(VLOOKUP(M195,MgValor,2,0)*VLOOKUP(P195,MgDeg,2,0),0)</f>
        <v/>
      </c>
      <c r="T195" s="30">
        <f>MAX(Q195:S195)</f>
        <v/>
      </c>
      <c r="U195" s="28">
        <f>IFERROR(LOOKUP(T195,{0;0.5;1.5;3;4.5},{"Despreciable";"Bajo";"Medio";"Alto";"Muy alto"}),"")</f>
        <v/>
      </c>
      <c r="V195" s="13">
        <f>IFERROR(INDEX(MgAmenFrec,MATCH(SUBSTITUTE($H195,"*","-"),MgAmenClave,0)),"")</f>
        <v/>
      </c>
      <c r="W195" s="28">
        <f>IFERROR(LOOKUP(X195,{0;0.01;0.1;1;10;100},{"Muy baja";"Muy baja";"Baja";"Media";"Alta";"Muy alta"}),"")</f>
        <v/>
      </c>
      <c r="X195" s="31">
        <f>IFERROR(VLOOKUP(V195,MgFrec,2,0),0)</f>
        <v/>
      </c>
      <c r="Y195" s="30">
        <f>T195*X195</f>
        <v/>
      </c>
      <c r="Z195" s="28">
        <f>IFERROR(LOOKUP(Y195,{0;0.5;5;25},{"Bajo";"Medio";"Alto";"Crítico"}),"")</f>
        <v/>
      </c>
      <c r="AA195" s="64">
        <f>IF(T195&gt;=3,IF(X195&gt;=1,"Zona 1 — Crítica: impacto alto y ocurre al menos una vez al año","Zona 4 — Catastrófica poco probable: impacto alto pero excepcional"),IF(AND(T195&lt;1.5,X195&lt;1),"Zona 3 — Asumible: impacto bajo y muy poco frecuente","Zona 2 — Atención: riesgo intermedio"))</f>
        <v/>
      </c>
      <c r="AB195" s="64">
        <f>IFERROR(INDEX(MgAmenCtrl,MATCH(SUBSTITUTE($H195,"*","-"),MgAmenClave,0)),"")</f>
        <v/>
      </c>
      <c r="AC195" s="20" t="n"/>
      <c r="AD195" s="31">
        <f>IFERROR($X195*(1-IF($AC195="",$AL195,VLOOKUP($AC195,MgMad,2,0))),"")</f>
        <v/>
      </c>
      <c r="AE195" s="28">
        <f>IFERROR(LOOKUP(AD195,{0;0.01;0.1;1;10;100},{"Muy baja";"Muy baja";"Baja";"Media";"Alta";"Muy alta"}),"")</f>
        <v/>
      </c>
      <c r="AF195" s="30">
        <f>T195*AD195</f>
        <v/>
      </c>
      <c r="AG195" s="28">
        <f>IFERROR(LOOKUP(AF195,{0;0.5;5;25},{"Bajo";"Medio";"Alto";"Crítico"}),"")</f>
        <v/>
      </c>
      <c r="AH195" s="28">
        <f>IF(AG195="","",IF(OR(AG195="Crítico",AG195="Alto"),"Mitigar",IF(AG195="Medio","Mitigar","Aceptar y monitorear")))</f>
        <v/>
      </c>
      <c r="AI195" s="21" t="n"/>
      <c r="AJ195" s="21" t="n"/>
      <c r="AK195" s="20" t="n"/>
      <c r="AL195" s="77">
        <f>IFERROR(INDEX(MgAmenEfic,MATCH(SUBSTITUTE($H195,"*","-"),MgAmenClave,0)),0)</f>
        <v/>
      </c>
    </row>
    <row r="196" hidden="1" ht="45" customHeight="1" s="54">
      <c r="B196" s="59" t="inlineStr">
        <is>
          <t>R-0191</t>
        </is>
      </c>
      <c r="C196" s="59" t="inlineStr">
        <is>
          <t>DO-10</t>
        </is>
      </c>
      <c r="D196" s="64">
        <f>IFERROR(INDEX(MgNombre,MATCH($C196,MgActId,0)),"")</f>
        <v/>
      </c>
      <c r="E196" s="64">
        <f>IFERROR(INDEX(MgProceso,MATCH($C196,MgActId,0)),"")</f>
        <v/>
      </c>
      <c r="F196" s="64">
        <f>IFERROR(INDEX(MgTipo,MATCH($C196,MgActId,0)),"")</f>
        <v/>
      </c>
      <c r="G196" s="64">
        <f>IFERROR(INDEX(MgSubtipo,MATCH($C196,MgActId,0)),"")</f>
        <v/>
      </c>
      <c r="H196" s="59" t="inlineStr">
        <is>
          <t>A.10</t>
        </is>
      </c>
      <c r="I196" s="64">
        <f>IFERROR(INDEX(MgAmenNombre,MATCH(SUBSTITUTE($H196,"*","-"),MgAmenClave,0)),"")</f>
        <v/>
      </c>
      <c r="J196" s="28">
        <f>IFERROR(INDEX(MgAmenGrupo,MATCH(SUBSTITUTE($H196,"*","-"),MgAmenClave,0)),"")</f>
        <v/>
      </c>
      <c r="K196" s="64">
        <f>IFERROR(INDEX('1. Matriz de Activos'!$Q$6:$Q$239,MATCH($C196,MgActId,0)),"")</f>
        <v/>
      </c>
      <c r="L196" s="64">
        <f>IFERROR(INDEX('1. Matriz de Activos'!$R$6:$R$239,MATCH($C196,MgActId,0)),"")</f>
        <v/>
      </c>
      <c r="M196" s="64">
        <f>IFERROR(INDEX('1. Matriz de Activos'!$S$6:$S$239,MATCH($C196,MgActId,0)),"")</f>
        <v/>
      </c>
      <c r="N196" s="28">
        <f>IFERROR(INDEX(MgAmenDegD,MATCH(SUBSTITUTE($H196,"*","-"),MgAmenClave,0)),"No aplica")</f>
        <v/>
      </c>
      <c r="O196" s="28">
        <f>IFERROR(INDEX(MgAmenDegI,MATCH(SUBSTITUTE($H196,"*","-"),MgAmenClave,0)),"No aplica")</f>
        <v/>
      </c>
      <c r="P196" s="28">
        <f>IFERROR(INDEX(MgAmenDegC,MATCH(SUBSTITUTE($H196,"*","-"),MgAmenClave,0)),"No aplica")</f>
        <v/>
      </c>
      <c r="Q196" s="29">
        <f>IFERROR(VLOOKUP(K196,MgValor,2,0)*VLOOKUP(N196,MgDeg,2,0),0)</f>
        <v/>
      </c>
      <c r="R196" s="29">
        <f>IFERROR(VLOOKUP(L196,MgValor,2,0)*VLOOKUP(O196,MgDeg,2,0),0)</f>
        <v/>
      </c>
      <c r="S196" s="29">
        <f>IFERROR(VLOOKUP(M196,MgValor,2,0)*VLOOKUP(P196,MgDeg,2,0),0)</f>
        <v/>
      </c>
      <c r="T196" s="30">
        <f>MAX(Q196:S196)</f>
        <v/>
      </c>
      <c r="U196" s="28">
        <f>IFERROR(LOOKUP(T196,{0;0.5;1.5;3;4.5},{"Despreciable";"Bajo";"Medio";"Alto";"Muy alto"}),"")</f>
        <v/>
      </c>
      <c r="V196" s="13">
        <f>IFERROR(INDEX(MgAmenFrec,MATCH(SUBSTITUTE($H196,"*","-"),MgAmenClave,0)),"")</f>
        <v/>
      </c>
      <c r="W196" s="28">
        <f>IFERROR(LOOKUP(X196,{0;0.01;0.1;1;10;100},{"Muy baja";"Muy baja";"Baja";"Media";"Alta";"Muy alta"}),"")</f>
        <v/>
      </c>
      <c r="X196" s="31">
        <f>IFERROR(VLOOKUP(V196,MgFrec,2,0),0)</f>
        <v/>
      </c>
      <c r="Y196" s="30">
        <f>T196*X196</f>
        <v/>
      </c>
      <c r="Z196" s="28">
        <f>IFERROR(LOOKUP(Y196,{0;0.5;5;25},{"Bajo";"Medio";"Alto";"Crítico"}),"")</f>
        <v/>
      </c>
      <c r="AA196" s="64">
        <f>IF(T196&gt;=3,IF(X196&gt;=1,"Zona 1 — Crítica: impacto alto y ocurre al menos una vez al año","Zona 4 — Catastrófica poco probable: impacto alto pero excepcional"),IF(AND(T196&lt;1.5,X196&lt;1),"Zona 3 — Asumible: impacto bajo y muy poco frecuente","Zona 2 — Atención: riesgo intermedio"))</f>
        <v/>
      </c>
      <c r="AB196" s="64">
        <f>IFERROR(INDEX(MgAmenCtrl,MATCH(SUBSTITUTE($H196,"*","-"),MgAmenClave,0)),"")</f>
        <v/>
      </c>
      <c r="AC196" s="20" t="n"/>
      <c r="AD196" s="31">
        <f>IFERROR($X196*(1-IF($AC196="",$AL196,VLOOKUP($AC196,MgMad,2,0))),"")</f>
        <v/>
      </c>
      <c r="AE196" s="28">
        <f>IFERROR(LOOKUP(AD196,{0;0.01;0.1;1;10;100},{"Muy baja";"Muy baja";"Baja";"Media";"Alta";"Muy alta"}),"")</f>
        <v/>
      </c>
      <c r="AF196" s="30">
        <f>T196*AD196</f>
        <v/>
      </c>
      <c r="AG196" s="28">
        <f>IFERROR(LOOKUP(AF196,{0;0.5;5;25},{"Bajo";"Medio";"Alto";"Crítico"}),"")</f>
        <v/>
      </c>
      <c r="AH196" s="28">
        <f>IF(AG196="","",IF(OR(AG196="Crítico",AG196="Alto"),"Mitigar",IF(AG196="Medio","Mitigar","Aceptar y monitorear")))</f>
        <v/>
      </c>
      <c r="AI196" s="21" t="n"/>
      <c r="AJ196" s="21" t="n"/>
      <c r="AK196" s="20" t="n"/>
      <c r="AL196" s="77">
        <f>IFERROR(INDEX(MgAmenEfic,MATCH(SUBSTITUTE($H196,"*","-"),MgAmenClave,0)),0)</f>
        <v/>
      </c>
    </row>
    <row r="197" hidden="1" ht="120" customHeight="1" s="54">
      <c r="B197" s="59" t="inlineStr">
        <is>
          <t>R-0192</t>
        </is>
      </c>
      <c r="C197" s="59" t="inlineStr">
        <is>
          <t>DO-10</t>
        </is>
      </c>
      <c r="D197" s="64">
        <f>IFERROR(INDEX(MgNombre,MATCH($C197,MgActId,0)),"")</f>
        <v/>
      </c>
      <c r="E197" s="64">
        <f>IFERROR(INDEX(MgProceso,MATCH($C197,MgActId,0)),"")</f>
        <v/>
      </c>
      <c r="F197" s="64">
        <f>IFERROR(INDEX(MgTipo,MATCH($C197,MgActId,0)),"")</f>
        <v/>
      </c>
      <c r="G197" s="64">
        <f>IFERROR(INDEX(MgSubtipo,MATCH($C197,MgActId,0)),"")</f>
        <v/>
      </c>
      <c r="H197" s="59" t="inlineStr">
        <is>
          <t>A.11</t>
        </is>
      </c>
      <c r="I197" s="64">
        <f>IFERROR(INDEX(MgAmenNombre,MATCH(SUBSTITUTE($H197,"*","-"),MgAmenClave,0)),"")</f>
        <v/>
      </c>
      <c r="J197" s="28">
        <f>IFERROR(INDEX(MgAmenGrupo,MATCH(SUBSTITUTE($H197,"*","-"),MgAmenClave,0)),"")</f>
        <v/>
      </c>
      <c r="K197" s="64">
        <f>IFERROR(INDEX('1. Matriz de Activos'!$Q$6:$Q$239,MATCH($C197,MgActId,0)),"")</f>
        <v/>
      </c>
      <c r="L197" s="64">
        <f>IFERROR(INDEX('1. Matriz de Activos'!$R$6:$R$239,MATCH($C197,MgActId,0)),"")</f>
        <v/>
      </c>
      <c r="M197" s="64">
        <f>IFERROR(INDEX('1. Matriz de Activos'!$S$6:$S$239,MATCH($C197,MgActId,0)),"")</f>
        <v/>
      </c>
      <c r="N197" s="28">
        <f>IFERROR(INDEX(MgAmenDegD,MATCH(SUBSTITUTE($H197,"*","-"),MgAmenClave,0)),"No aplica")</f>
        <v/>
      </c>
      <c r="O197" s="28">
        <f>IFERROR(INDEX(MgAmenDegI,MATCH(SUBSTITUTE($H197,"*","-"),MgAmenClave,0)),"No aplica")</f>
        <v/>
      </c>
      <c r="P197" s="28">
        <f>IFERROR(INDEX(MgAmenDegC,MATCH(SUBSTITUTE($H197,"*","-"),MgAmenClave,0)),"No aplica")</f>
        <v/>
      </c>
      <c r="Q197" s="29">
        <f>IFERROR(VLOOKUP(K197,MgValor,2,0)*VLOOKUP(N197,MgDeg,2,0),0)</f>
        <v/>
      </c>
      <c r="R197" s="29">
        <f>IFERROR(VLOOKUP(L197,MgValor,2,0)*VLOOKUP(O197,MgDeg,2,0),0)</f>
        <v/>
      </c>
      <c r="S197" s="29">
        <f>IFERROR(VLOOKUP(M197,MgValor,2,0)*VLOOKUP(P197,MgDeg,2,0),0)</f>
        <v/>
      </c>
      <c r="T197" s="30">
        <f>MAX(Q197:S197)</f>
        <v/>
      </c>
      <c r="U197" s="28">
        <f>IFERROR(LOOKUP(T197,{0;0.5;1.5;3;4.5},{"Despreciable";"Bajo";"Medio";"Alto";"Muy alto"}),"")</f>
        <v/>
      </c>
      <c r="V197" s="13">
        <f>IFERROR(INDEX(MgAmenFrec,MATCH(SUBSTITUTE($H197,"*","-"),MgAmenClave,0)),"")</f>
        <v/>
      </c>
      <c r="W197" s="28">
        <f>IFERROR(LOOKUP(X197,{0;0.01;0.1;1;10;100},{"Muy baja";"Muy baja";"Baja";"Media";"Alta";"Muy alta"}),"")</f>
        <v/>
      </c>
      <c r="X197" s="31">
        <f>IFERROR(VLOOKUP(V197,MgFrec,2,0),0)</f>
        <v/>
      </c>
      <c r="Y197" s="30">
        <f>T197*X197</f>
        <v/>
      </c>
      <c r="Z197" s="28">
        <f>IFERROR(LOOKUP(Y197,{0;0.5;5;25},{"Bajo";"Medio";"Alto";"Crítico"}),"")</f>
        <v/>
      </c>
      <c r="AA197" s="64">
        <f>IF(T197&gt;=3,IF(X197&gt;=1,"Zona 1 — Crítica: impacto alto y ocurre al menos una vez al año","Zona 4 — Catastrófica poco probable: impacto alto pero excepcional"),IF(AND(T197&lt;1.5,X197&lt;1),"Zona 3 — Asumible: impacto bajo y muy poco frecuente","Zona 2 — Atención: riesgo intermedio"))</f>
        <v/>
      </c>
      <c r="AB197" s="64">
        <f>IFERROR(INDEX(MgAmenCtrl,MATCH(SUBSTITUTE($H197,"*","-"),MgAmenClave,0)),"")</f>
        <v/>
      </c>
      <c r="AC197" s="20" t="n"/>
      <c r="AD197" s="31">
        <f>IFERROR($X197*(1-IF($AC197="",$AL197,VLOOKUP($AC197,MgMad,2,0))),"")</f>
        <v/>
      </c>
      <c r="AE197" s="28">
        <f>IFERROR(LOOKUP(AD197,{0;0.01;0.1;1;10;100},{"Muy baja";"Muy baja";"Baja";"Media";"Alta";"Muy alta"}),"")</f>
        <v/>
      </c>
      <c r="AF197" s="30">
        <f>T197*AD197</f>
        <v/>
      </c>
      <c r="AG197" s="28">
        <f>IFERROR(LOOKUP(AF197,{0;0.5;5;25},{"Bajo";"Medio";"Alto";"Crítico"}),"")</f>
        <v/>
      </c>
      <c r="AH197" s="28">
        <f>IF(AG197="","",IF(OR(AG197="Crítico",AG197="Alto"),"Mitigar",IF(AG197="Medio","Mitigar","Aceptar y monitorear")))</f>
        <v/>
      </c>
      <c r="AI197" s="21" t="n"/>
      <c r="AJ197" s="21" t="n"/>
      <c r="AK197" s="20" t="n"/>
      <c r="AL197" s="77">
        <f>IFERROR(INDEX(MgAmenEfic,MATCH(SUBSTITUTE($H197,"*","-"),MgAmenClave,0)),0)</f>
        <v/>
      </c>
    </row>
    <row r="198" hidden="1" ht="45" customHeight="1" s="54">
      <c r="B198" s="59" t="inlineStr">
        <is>
          <t>R-0193</t>
        </is>
      </c>
      <c r="C198" s="59" t="inlineStr">
        <is>
          <t>DO-10</t>
        </is>
      </c>
      <c r="D198" s="64">
        <f>IFERROR(INDEX(MgNombre,MATCH($C198,MgActId,0)),"")</f>
        <v/>
      </c>
      <c r="E198" s="64">
        <f>IFERROR(INDEX(MgProceso,MATCH($C198,MgActId,0)),"")</f>
        <v/>
      </c>
      <c r="F198" s="64">
        <f>IFERROR(INDEX(MgTipo,MATCH($C198,MgActId,0)),"")</f>
        <v/>
      </c>
      <c r="G198" s="64">
        <f>IFERROR(INDEX(MgSubtipo,MATCH($C198,MgActId,0)),"")</f>
        <v/>
      </c>
      <c r="H198" s="59" t="inlineStr">
        <is>
          <t>A.12</t>
        </is>
      </c>
      <c r="I198" s="64">
        <f>IFERROR(INDEX(MgAmenNombre,MATCH(SUBSTITUTE($H198,"*","-"),MgAmenClave,0)),"")</f>
        <v/>
      </c>
      <c r="J198" s="28">
        <f>IFERROR(INDEX(MgAmenGrupo,MATCH(SUBSTITUTE($H198,"*","-"),MgAmenClave,0)),"")</f>
        <v/>
      </c>
      <c r="K198" s="64">
        <f>IFERROR(INDEX('1. Matriz de Activos'!$Q$6:$Q$239,MATCH($C198,MgActId,0)),"")</f>
        <v/>
      </c>
      <c r="L198" s="64">
        <f>IFERROR(INDEX('1. Matriz de Activos'!$R$6:$R$239,MATCH($C198,MgActId,0)),"")</f>
        <v/>
      </c>
      <c r="M198" s="64">
        <f>IFERROR(INDEX('1. Matriz de Activos'!$S$6:$S$239,MATCH($C198,MgActId,0)),"")</f>
        <v/>
      </c>
      <c r="N198" s="28">
        <f>IFERROR(INDEX(MgAmenDegD,MATCH(SUBSTITUTE($H198,"*","-"),MgAmenClave,0)),"No aplica")</f>
        <v/>
      </c>
      <c r="O198" s="28">
        <f>IFERROR(INDEX(MgAmenDegI,MATCH(SUBSTITUTE($H198,"*","-"),MgAmenClave,0)),"No aplica")</f>
        <v/>
      </c>
      <c r="P198" s="28">
        <f>IFERROR(INDEX(MgAmenDegC,MATCH(SUBSTITUTE($H198,"*","-"),MgAmenClave,0)),"No aplica")</f>
        <v/>
      </c>
      <c r="Q198" s="29">
        <f>IFERROR(VLOOKUP(K198,MgValor,2,0)*VLOOKUP(N198,MgDeg,2,0),0)</f>
        <v/>
      </c>
      <c r="R198" s="29">
        <f>IFERROR(VLOOKUP(L198,MgValor,2,0)*VLOOKUP(O198,MgDeg,2,0),0)</f>
        <v/>
      </c>
      <c r="S198" s="29">
        <f>IFERROR(VLOOKUP(M198,MgValor,2,0)*VLOOKUP(P198,MgDeg,2,0),0)</f>
        <v/>
      </c>
      <c r="T198" s="30">
        <f>MAX(Q198:S198)</f>
        <v/>
      </c>
      <c r="U198" s="28">
        <f>IFERROR(LOOKUP(T198,{0;0.5;1.5;3;4.5},{"Despreciable";"Bajo";"Medio";"Alto";"Muy alto"}),"")</f>
        <v/>
      </c>
      <c r="V198" s="13">
        <f>IFERROR(INDEX(MgAmenFrec,MATCH(SUBSTITUTE($H198,"*","-"),MgAmenClave,0)),"")</f>
        <v/>
      </c>
      <c r="W198" s="28">
        <f>IFERROR(LOOKUP(X198,{0;0.01;0.1;1;10;100},{"Muy baja";"Muy baja";"Baja";"Media";"Alta";"Muy alta"}),"")</f>
        <v/>
      </c>
      <c r="X198" s="31">
        <f>IFERROR(VLOOKUP(V198,MgFrec,2,0),0)</f>
        <v/>
      </c>
      <c r="Y198" s="30">
        <f>T198*X198</f>
        <v/>
      </c>
      <c r="Z198" s="28">
        <f>IFERROR(LOOKUP(Y198,{0;0.5;5;25},{"Bajo";"Medio";"Alto";"Crítico"}),"")</f>
        <v/>
      </c>
      <c r="AA198" s="64">
        <f>IF(T198&gt;=3,IF(X198&gt;=1,"Zona 1 — Crítica: impacto alto y ocurre al menos una vez al año","Zona 4 — Catastrófica poco probable: impacto alto pero excepcional"),IF(AND(T198&lt;1.5,X198&lt;1),"Zona 3 — Asumible: impacto bajo y muy poco frecuente","Zona 2 — Atención: riesgo intermedio"))</f>
        <v/>
      </c>
      <c r="AB198" s="64">
        <f>IFERROR(INDEX(MgAmenCtrl,MATCH(SUBSTITUTE($H198,"*","-"),MgAmenClave,0)),"")</f>
        <v/>
      </c>
      <c r="AC198" s="20" t="n"/>
      <c r="AD198" s="31">
        <f>IFERROR($X198*(1-IF($AC198="",$AL198,VLOOKUP($AC198,MgMad,2,0))),"")</f>
        <v/>
      </c>
      <c r="AE198" s="28">
        <f>IFERROR(LOOKUP(AD198,{0;0.01;0.1;1;10;100},{"Muy baja";"Muy baja";"Baja";"Media";"Alta";"Muy alta"}),"")</f>
        <v/>
      </c>
      <c r="AF198" s="30">
        <f>T198*AD198</f>
        <v/>
      </c>
      <c r="AG198" s="28">
        <f>IFERROR(LOOKUP(AF198,{0;0.5;5;25},{"Bajo";"Medio";"Alto";"Crítico"}),"")</f>
        <v/>
      </c>
      <c r="AH198" s="28">
        <f>IF(AG198="","",IF(OR(AG198="Crítico",AG198="Alto"),"Mitigar",IF(AG198="Medio","Mitigar","Aceptar y monitorear")))</f>
        <v/>
      </c>
      <c r="AI198" s="21" t="n"/>
      <c r="AJ198" s="21" t="n"/>
      <c r="AK198" s="20" t="n"/>
      <c r="AL198" s="77">
        <f>IFERROR(INDEX(MgAmenEfic,MATCH(SUBSTITUTE($H198,"*","-"),MgAmenClave,0)),0)</f>
        <v/>
      </c>
    </row>
    <row r="199" hidden="1" ht="60" customHeight="1" s="54">
      <c r="B199" s="59" t="inlineStr">
        <is>
          <t>R-0194</t>
        </is>
      </c>
      <c r="C199" s="59" t="inlineStr">
        <is>
          <t>DO-10</t>
        </is>
      </c>
      <c r="D199" s="64">
        <f>IFERROR(INDEX(MgNombre,MATCH($C199,MgActId,0)),"")</f>
        <v/>
      </c>
      <c r="E199" s="64">
        <f>IFERROR(INDEX(MgProceso,MATCH($C199,MgActId,0)),"")</f>
        <v/>
      </c>
      <c r="F199" s="64">
        <f>IFERROR(INDEX(MgTipo,MATCH($C199,MgActId,0)),"")</f>
        <v/>
      </c>
      <c r="G199" s="64">
        <f>IFERROR(INDEX(MgSubtipo,MATCH($C199,MgActId,0)),"")</f>
        <v/>
      </c>
      <c r="H199" s="59" t="inlineStr">
        <is>
          <t>A.14</t>
        </is>
      </c>
      <c r="I199" s="64">
        <f>IFERROR(INDEX(MgAmenNombre,MATCH(SUBSTITUTE($H199,"*","-"),MgAmenClave,0)),"")</f>
        <v/>
      </c>
      <c r="J199" s="28">
        <f>IFERROR(INDEX(MgAmenGrupo,MATCH(SUBSTITUTE($H199,"*","-"),MgAmenClave,0)),"")</f>
        <v/>
      </c>
      <c r="K199" s="64">
        <f>IFERROR(INDEX('1. Matriz de Activos'!$Q$6:$Q$239,MATCH($C199,MgActId,0)),"")</f>
        <v/>
      </c>
      <c r="L199" s="64">
        <f>IFERROR(INDEX('1. Matriz de Activos'!$R$6:$R$239,MATCH($C199,MgActId,0)),"")</f>
        <v/>
      </c>
      <c r="M199" s="64">
        <f>IFERROR(INDEX('1. Matriz de Activos'!$S$6:$S$239,MATCH($C199,MgActId,0)),"")</f>
        <v/>
      </c>
      <c r="N199" s="28">
        <f>IFERROR(INDEX(MgAmenDegD,MATCH(SUBSTITUTE($H199,"*","-"),MgAmenClave,0)),"No aplica")</f>
        <v/>
      </c>
      <c r="O199" s="28">
        <f>IFERROR(INDEX(MgAmenDegI,MATCH(SUBSTITUTE($H199,"*","-"),MgAmenClave,0)),"No aplica")</f>
        <v/>
      </c>
      <c r="P199" s="28">
        <f>IFERROR(INDEX(MgAmenDegC,MATCH(SUBSTITUTE($H199,"*","-"),MgAmenClave,0)),"No aplica")</f>
        <v/>
      </c>
      <c r="Q199" s="29">
        <f>IFERROR(VLOOKUP(K199,MgValor,2,0)*VLOOKUP(N199,MgDeg,2,0),0)</f>
        <v/>
      </c>
      <c r="R199" s="29">
        <f>IFERROR(VLOOKUP(L199,MgValor,2,0)*VLOOKUP(O199,MgDeg,2,0),0)</f>
        <v/>
      </c>
      <c r="S199" s="29">
        <f>IFERROR(VLOOKUP(M199,MgValor,2,0)*VLOOKUP(P199,MgDeg,2,0),0)</f>
        <v/>
      </c>
      <c r="T199" s="30">
        <f>MAX(Q199:S199)</f>
        <v/>
      </c>
      <c r="U199" s="28">
        <f>IFERROR(LOOKUP(T199,{0;0.5;1.5;3;4.5},{"Despreciable";"Bajo";"Medio";"Alto";"Muy alto"}),"")</f>
        <v/>
      </c>
      <c r="V199" s="13">
        <f>IFERROR(INDEX(MgAmenFrec,MATCH(SUBSTITUTE($H199,"*","-"),MgAmenClave,0)),"")</f>
        <v/>
      </c>
      <c r="W199" s="28">
        <f>IFERROR(LOOKUP(X199,{0;0.01;0.1;1;10;100},{"Muy baja";"Muy baja";"Baja";"Media";"Alta";"Muy alta"}),"")</f>
        <v/>
      </c>
      <c r="X199" s="31">
        <f>IFERROR(VLOOKUP(V199,MgFrec,2,0),0)</f>
        <v/>
      </c>
      <c r="Y199" s="30">
        <f>T199*X199</f>
        <v/>
      </c>
      <c r="Z199" s="28">
        <f>IFERROR(LOOKUP(Y199,{0;0.5;5;25},{"Bajo";"Medio";"Alto";"Crítico"}),"")</f>
        <v/>
      </c>
      <c r="AA199" s="64">
        <f>IF(T199&gt;=3,IF(X199&gt;=1,"Zona 1 — Crítica: impacto alto y ocurre al menos una vez al año","Zona 4 — Catastrófica poco probable: impacto alto pero excepcional"),IF(AND(T199&lt;1.5,X199&lt;1),"Zona 3 — Asumible: impacto bajo y muy poco frecuente","Zona 2 — Atención: riesgo intermedio"))</f>
        <v/>
      </c>
      <c r="AB199" s="64">
        <f>IFERROR(INDEX(MgAmenCtrl,MATCH(SUBSTITUTE($H199,"*","-"),MgAmenClave,0)),"")</f>
        <v/>
      </c>
      <c r="AC199" s="20" t="n"/>
      <c r="AD199" s="31">
        <f>IFERROR($X199*(1-IF($AC199="",$AL199,VLOOKUP($AC199,MgMad,2,0))),"")</f>
        <v/>
      </c>
      <c r="AE199" s="28">
        <f>IFERROR(LOOKUP(AD199,{0;0.01;0.1;1;10;100},{"Muy baja";"Muy baja";"Baja";"Media";"Alta";"Muy alta"}),"")</f>
        <v/>
      </c>
      <c r="AF199" s="30">
        <f>T199*AD199</f>
        <v/>
      </c>
      <c r="AG199" s="28">
        <f>IFERROR(LOOKUP(AF199,{0;0.5;5;25},{"Bajo";"Medio";"Alto";"Crítico"}),"")</f>
        <v/>
      </c>
      <c r="AH199" s="28">
        <f>IF(AG199="","",IF(OR(AG199="Crítico",AG199="Alto"),"Mitigar",IF(AG199="Medio","Mitigar","Aceptar y monitorear")))</f>
        <v/>
      </c>
      <c r="AI199" s="21" t="n"/>
      <c r="AJ199" s="21" t="n"/>
      <c r="AK199" s="20" t="n"/>
      <c r="AL199" s="77">
        <f>IFERROR(INDEX(MgAmenEfic,MATCH(SUBSTITUTE($H199,"*","-"),MgAmenClave,0)),0)</f>
        <v/>
      </c>
    </row>
    <row r="200" hidden="1" ht="60" customHeight="1" s="54">
      <c r="B200" s="59" t="inlineStr">
        <is>
          <t>R-0195</t>
        </is>
      </c>
      <c r="C200" s="59" t="inlineStr">
        <is>
          <t>DO-10</t>
        </is>
      </c>
      <c r="D200" s="64">
        <f>IFERROR(INDEX(MgNombre,MATCH($C200,MgActId,0)),"")</f>
        <v/>
      </c>
      <c r="E200" s="64">
        <f>IFERROR(INDEX(MgProceso,MATCH($C200,MgActId,0)),"")</f>
        <v/>
      </c>
      <c r="F200" s="64">
        <f>IFERROR(INDEX(MgTipo,MATCH($C200,MgActId,0)),"")</f>
        <v/>
      </c>
      <c r="G200" s="64">
        <f>IFERROR(INDEX(MgSubtipo,MATCH($C200,MgActId,0)),"")</f>
        <v/>
      </c>
      <c r="H200" s="59" t="inlineStr">
        <is>
          <t>A.15</t>
        </is>
      </c>
      <c r="I200" s="64">
        <f>IFERROR(INDEX(MgAmenNombre,MATCH(SUBSTITUTE($H200,"*","-"),MgAmenClave,0)),"")</f>
        <v/>
      </c>
      <c r="J200" s="28">
        <f>IFERROR(INDEX(MgAmenGrupo,MATCH(SUBSTITUTE($H200,"*","-"),MgAmenClave,0)),"")</f>
        <v/>
      </c>
      <c r="K200" s="64">
        <f>IFERROR(INDEX('1. Matriz de Activos'!$Q$6:$Q$239,MATCH($C200,MgActId,0)),"")</f>
        <v/>
      </c>
      <c r="L200" s="64">
        <f>IFERROR(INDEX('1. Matriz de Activos'!$R$6:$R$239,MATCH($C200,MgActId,0)),"")</f>
        <v/>
      </c>
      <c r="M200" s="64">
        <f>IFERROR(INDEX('1. Matriz de Activos'!$S$6:$S$239,MATCH($C200,MgActId,0)),"")</f>
        <v/>
      </c>
      <c r="N200" s="28">
        <f>IFERROR(INDEX(MgAmenDegD,MATCH(SUBSTITUTE($H200,"*","-"),MgAmenClave,0)),"No aplica")</f>
        <v/>
      </c>
      <c r="O200" s="28">
        <f>IFERROR(INDEX(MgAmenDegI,MATCH(SUBSTITUTE($H200,"*","-"),MgAmenClave,0)),"No aplica")</f>
        <v/>
      </c>
      <c r="P200" s="28">
        <f>IFERROR(INDEX(MgAmenDegC,MATCH(SUBSTITUTE($H200,"*","-"),MgAmenClave,0)),"No aplica")</f>
        <v/>
      </c>
      <c r="Q200" s="29">
        <f>IFERROR(VLOOKUP(K200,MgValor,2,0)*VLOOKUP(N200,MgDeg,2,0),0)</f>
        <v/>
      </c>
      <c r="R200" s="29">
        <f>IFERROR(VLOOKUP(L200,MgValor,2,0)*VLOOKUP(O200,MgDeg,2,0),0)</f>
        <v/>
      </c>
      <c r="S200" s="29">
        <f>IFERROR(VLOOKUP(M200,MgValor,2,0)*VLOOKUP(P200,MgDeg,2,0),0)</f>
        <v/>
      </c>
      <c r="T200" s="30">
        <f>MAX(Q200:S200)</f>
        <v/>
      </c>
      <c r="U200" s="28">
        <f>IFERROR(LOOKUP(T200,{0;0.5;1.5;3;4.5},{"Despreciable";"Bajo";"Medio";"Alto";"Muy alto"}),"")</f>
        <v/>
      </c>
      <c r="V200" s="13">
        <f>IFERROR(INDEX(MgAmenFrec,MATCH(SUBSTITUTE($H200,"*","-"),MgAmenClave,0)),"")</f>
        <v/>
      </c>
      <c r="W200" s="28">
        <f>IFERROR(LOOKUP(X200,{0;0.01;0.1;1;10;100},{"Muy baja";"Muy baja";"Baja";"Media";"Alta";"Muy alta"}),"")</f>
        <v/>
      </c>
      <c r="X200" s="31">
        <f>IFERROR(VLOOKUP(V200,MgFrec,2,0),0)</f>
        <v/>
      </c>
      <c r="Y200" s="30">
        <f>T200*X200</f>
        <v/>
      </c>
      <c r="Z200" s="28">
        <f>IFERROR(LOOKUP(Y200,{0;0.5;5;25},{"Bajo";"Medio";"Alto";"Crítico"}),"")</f>
        <v/>
      </c>
      <c r="AA200" s="64">
        <f>IF(T200&gt;=3,IF(X200&gt;=1,"Zona 1 — Crítica: impacto alto y ocurre al menos una vez al año","Zona 4 — Catastrófica poco probable: impacto alto pero excepcional"),IF(AND(T200&lt;1.5,X200&lt;1),"Zona 3 — Asumible: impacto bajo y muy poco frecuente","Zona 2 — Atención: riesgo intermedio"))</f>
        <v/>
      </c>
      <c r="AB200" s="64">
        <f>IFERROR(INDEX(MgAmenCtrl,MATCH(SUBSTITUTE($H200,"*","-"),MgAmenClave,0)),"")</f>
        <v/>
      </c>
      <c r="AC200" s="20" t="n"/>
      <c r="AD200" s="31">
        <f>IFERROR($X200*(1-IF($AC200="",$AL200,VLOOKUP($AC200,MgMad,2,0))),"")</f>
        <v/>
      </c>
      <c r="AE200" s="28">
        <f>IFERROR(LOOKUP(AD200,{0;0.01;0.1;1;10;100},{"Muy baja";"Muy baja";"Baja";"Media";"Alta";"Muy alta"}),"")</f>
        <v/>
      </c>
      <c r="AF200" s="30">
        <f>T200*AD200</f>
        <v/>
      </c>
      <c r="AG200" s="28">
        <f>IFERROR(LOOKUP(AF200,{0;0.5;5;25},{"Bajo";"Medio";"Alto";"Crítico"}),"")</f>
        <v/>
      </c>
      <c r="AH200" s="28">
        <f>IF(AG200="","",IF(OR(AG200="Crítico",AG200="Alto"),"Mitigar",IF(AG200="Medio","Mitigar","Aceptar y monitorear")))</f>
        <v/>
      </c>
      <c r="AI200" s="21" t="n"/>
      <c r="AJ200" s="21" t="n"/>
      <c r="AK200" s="20" t="n"/>
      <c r="AL200" s="77">
        <f>IFERROR(INDEX(MgAmenEfic,MATCH(SUBSTITUTE($H200,"*","-"),MgAmenClave,0)),0)</f>
        <v/>
      </c>
    </row>
    <row r="201" hidden="1" ht="60" customHeight="1" s="54">
      <c r="B201" s="59" t="inlineStr">
        <is>
          <t>R-0196</t>
        </is>
      </c>
      <c r="C201" s="59" t="inlineStr">
        <is>
          <t>DO-10</t>
        </is>
      </c>
      <c r="D201" s="64">
        <f>IFERROR(INDEX(MgNombre,MATCH($C201,MgActId,0)),"")</f>
        <v/>
      </c>
      <c r="E201" s="64">
        <f>IFERROR(INDEX(MgProceso,MATCH($C201,MgActId,0)),"")</f>
        <v/>
      </c>
      <c r="F201" s="64">
        <f>IFERROR(INDEX(MgTipo,MATCH($C201,MgActId,0)),"")</f>
        <v/>
      </c>
      <c r="G201" s="64">
        <f>IFERROR(INDEX(MgSubtipo,MATCH($C201,MgActId,0)),"")</f>
        <v/>
      </c>
      <c r="H201" s="59" t="inlineStr">
        <is>
          <t>A.18</t>
        </is>
      </c>
      <c r="I201" s="64">
        <f>IFERROR(INDEX(MgAmenNombre,MATCH(SUBSTITUTE($H201,"*","-"),MgAmenClave,0)),"")</f>
        <v/>
      </c>
      <c r="J201" s="28">
        <f>IFERROR(INDEX(MgAmenGrupo,MATCH(SUBSTITUTE($H201,"*","-"),MgAmenClave,0)),"")</f>
        <v/>
      </c>
      <c r="K201" s="64">
        <f>IFERROR(INDEX('1. Matriz de Activos'!$Q$6:$Q$239,MATCH($C201,MgActId,0)),"")</f>
        <v/>
      </c>
      <c r="L201" s="64">
        <f>IFERROR(INDEX('1. Matriz de Activos'!$R$6:$R$239,MATCH($C201,MgActId,0)),"")</f>
        <v/>
      </c>
      <c r="M201" s="64">
        <f>IFERROR(INDEX('1. Matriz de Activos'!$S$6:$S$239,MATCH($C201,MgActId,0)),"")</f>
        <v/>
      </c>
      <c r="N201" s="28">
        <f>IFERROR(INDEX(MgAmenDegD,MATCH(SUBSTITUTE($H201,"*","-"),MgAmenClave,0)),"No aplica")</f>
        <v/>
      </c>
      <c r="O201" s="28">
        <f>IFERROR(INDEX(MgAmenDegI,MATCH(SUBSTITUTE($H201,"*","-"),MgAmenClave,0)),"No aplica")</f>
        <v/>
      </c>
      <c r="P201" s="28">
        <f>IFERROR(INDEX(MgAmenDegC,MATCH(SUBSTITUTE($H201,"*","-"),MgAmenClave,0)),"No aplica")</f>
        <v/>
      </c>
      <c r="Q201" s="29">
        <f>IFERROR(VLOOKUP(K201,MgValor,2,0)*VLOOKUP(N201,MgDeg,2,0),0)</f>
        <v/>
      </c>
      <c r="R201" s="29">
        <f>IFERROR(VLOOKUP(L201,MgValor,2,0)*VLOOKUP(O201,MgDeg,2,0),0)</f>
        <v/>
      </c>
      <c r="S201" s="29">
        <f>IFERROR(VLOOKUP(M201,MgValor,2,0)*VLOOKUP(P201,MgDeg,2,0),0)</f>
        <v/>
      </c>
      <c r="T201" s="30">
        <f>MAX(Q201:S201)</f>
        <v/>
      </c>
      <c r="U201" s="28">
        <f>IFERROR(LOOKUP(T201,{0;0.5;1.5;3;4.5},{"Despreciable";"Bajo";"Medio";"Alto";"Muy alto"}),"")</f>
        <v/>
      </c>
      <c r="V201" s="13">
        <f>IFERROR(INDEX(MgAmenFrec,MATCH(SUBSTITUTE($H201,"*","-"),MgAmenClave,0)),"")</f>
        <v/>
      </c>
      <c r="W201" s="28">
        <f>IFERROR(LOOKUP(X201,{0;0.01;0.1;1;10;100},{"Muy baja";"Muy baja";"Baja";"Media";"Alta";"Muy alta"}),"")</f>
        <v/>
      </c>
      <c r="X201" s="31">
        <f>IFERROR(VLOOKUP(V201,MgFrec,2,0),0)</f>
        <v/>
      </c>
      <c r="Y201" s="30">
        <f>T201*X201</f>
        <v/>
      </c>
      <c r="Z201" s="28">
        <f>IFERROR(LOOKUP(Y201,{0;0.5;5;25},{"Bajo";"Medio";"Alto";"Crítico"}),"")</f>
        <v/>
      </c>
      <c r="AA201" s="64">
        <f>IF(T201&gt;=3,IF(X201&gt;=1,"Zona 1 — Crítica: impacto alto y ocurre al menos una vez al año","Zona 4 — Catastrófica poco probable: impacto alto pero excepcional"),IF(AND(T201&lt;1.5,X201&lt;1),"Zona 3 — Asumible: impacto bajo y muy poco frecuente","Zona 2 — Atención: riesgo intermedio"))</f>
        <v/>
      </c>
      <c r="AB201" s="64">
        <f>IFERROR(INDEX(MgAmenCtrl,MATCH(SUBSTITUTE($H201,"*","-"),MgAmenClave,0)),"")</f>
        <v/>
      </c>
      <c r="AC201" s="20" t="n"/>
      <c r="AD201" s="31">
        <f>IFERROR($X201*(1-IF($AC201="",$AL201,VLOOKUP($AC201,MgMad,2,0))),"")</f>
        <v/>
      </c>
      <c r="AE201" s="28">
        <f>IFERROR(LOOKUP(AD201,{0;0.01;0.1;1;10;100},{"Muy baja";"Muy baja";"Baja";"Media";"Alta";"Muy alta"}),"")</f>
        <v/>
      </c>
      <c r="AF201" s="30">
        <f>T201*AD201</f>
        <v/>
      </c>
      <c r="AG201" s="28">
        <f>IFERROR(LOOKUP(AF201,{0;0.5;5;25},{"Bajo";"Medio";"Alto";"Crítico"}),"")</f>
        <v/>
      </c>
      <c r="AH201" s="28">
        <f>IF(AG201="","",IF(OR(AG201="Crítico",AG201="Alto"),"Mitigar",IF(AG201="Medio","Mitigar","Aceptar y monitorear")))</f>
        <v/>
      </c>
      <c r="AI201" s="21" t="n"/>
      <c r="AJ201" s="21" t="n"/>
      <c r="AK201" s="20" t="n"/>
      <c r="AL201" s="77">
        <f>IFERROR(INDEX(MgAmenEfic,MATCH(SUBSTITUTE($H201,"*","-"),MgAmenClave,0)),0)</f>
        <v/>
      </c>
    </row>
    <row r="202" hidden="1" ht="120" customHeight="1" s="54">
      <c r="B202" s="59" t="inlineStr">
        <is>
          <t>R-0197</t>
        </is>
      </c>
      <c r="C202" s="59" t="inlineStr">
        <is>
          <t>DO-10</t>
        </is>
      </c>
      <c r="D202" s="64">
        <f>IFERROR(INDEX(MgNombre,MATCH($C202,MgActId,0)),"")</f>
        <v/>
      </c>
      <c r="E202" s="64">
        <f>IFERROR(INDEX(MgProceso,MATCH($C202,MgActId,0)),"")</f>
        <v/>
      </c>
      <c r="F202" s="64">
        <f>IFERROR(INDEX(MgTipo,MATCH($C202,MgActId,0)),"")</f>
        <v/>
      </c>
      <c r="G202" s="64">
        <f>IFERROR(INDEX(MgSubtipo,MATCH($C202,MgActId,0)),"")</f>
        <v/>
      </c>
      <c r="H202" s="59" t="inlineStr">
        <is>
          <t>A.19</t>
        </is>
      </c>
      <c r="I202" s="64">
        <f>IFERROR(INDEX(MgAmenNombre,MATCH(SUBSTITUTE($H202,"*","-"),MgAmenClave,0)),"")</f>
        <v/>
      </c>
      <c r="J202" s="28">
        <f>IFERROR(INDEX(MgAmenGrupo,MATCH(SUBSTITUTE($H202,"*","-"),MgAmenClave,0)),"")</f>
        <v/>
      </c>
      <c r="K202" s="64">
        <f>IFERROR(INDEX('1. Matriz de Activos'!$Q$6:$Q$239,MATCH($C202,MgActId,0)),"")</f>
        <v/>
      </c>
      <c r="L202" s="64">
        <f>IFERROR(INDEX('1. Matriz de Activos'!$R$6:$R$239,MATCH($C202,MgActId,0)),"")</f>
        <v/>
      </c>
      <c r="M202" s="64">
        <f>IFERROR(INDEX('1. Matriz de Activos'!$S$6:$S$239,MATCH($C202,MgActId,0)),"")</f>
        <v/>
      </c>
      <c r="N202" s="28">
        <f>IFERROR(INDEX(MgAmenDegD,MATCH(SUBSTITUTE($H202,"*","-"),MgAmenClave,0)),"No aplica")</f>
        <v/>
      </c>
      <c r="O202" s="28">
        <f>IFERROR(INDEX(MgAmenDegI,MATCH(SUBSTITUTE($H202,"*","-"),MgAmenClave,0)),"No aplica")</f>
        <v/>
      </c>
      <c r="P202" s="28">
        <f>IFERROR(INDEX(MgAmenDegC,MATCH(SUBSTITUTE($H202,"*","-"),MgAmenClave,0)),"No aplica")</f>
        <v/>
      </c>
      <c r="Q202" s="29">
        <f>IFERROR(VLOOKUP(K202,MgValor,2,0)*VLOOKUP(N202,MgDeg,2,0),0)</f>
        <v/>
      </c>
      <c r="R202" s="29">
        <f>IFERROR(VLOOKUP(L202,MgValor,2,0)*VLOOKUP(O202,MgDeg,2,0),0)</f>
        <v/>
      </c>
      <c r="S202" s="29">
        <f>IFERROR(VLOOKUP(M202,MgValor,2,0)*VLOOKUP(P202,MgDeg,2,0),0)</f>
        <v/>
      </c>
      <c r="T202" s="30">
        <f>MAX(Q202:S202)</f>
        <v/>
      </c>
      <c r="U202" s="28">
        <f>IFERROR(LOOKUP(T202,{0;0.5;1.5;3;4.5},{"Despreciable";"Bajo";"Medio";"Alto";"Muy alto"}),"")</f>
        <v/>
      </c>
      <c r="V202" s="13">
        <f>IFERROR(INDEX(MgAmenFrec,MATCH(SUBSTITUTE($H202,"*","-"),MgAmenClave,0)),"")</f>
        <v/>
      </c>
      <c r="W202" s="28">
        <f>IFERROR(LOOKUP(X202,{0;0.01;0.1;1;10;100},{"Muy baja";"Muy baja";"Baja";"Media";"Alta";"Muy alta"}),"")</f>
        <v/>
      </c>
      <c r="X202" s="31">
        <f>IFERROR(VLOOKUP(V202,MgFrec,2,0),0)</f>
        <v/>
      </c>
      <c r="Y202" s="30">
        <f>T202*X202</f>
        <v/>
      </c>
      <c r="Z202" s="28">
        <f>IFERROR(LOOKUP(Y202,{0;0.5;5;25},{"Bajo";"Medio";"Alto";"Crítico"}),"")</f>
        <v/>
      </c>
      <c r="AA202" s="64">
        <f>IF(T202&gt;=3,IF(X202&gt;=1,"Zona 1 — Crítica: impacto alto y ocurre al menos una vez al año","Zona 4 — Catastrófica poco probable: impacto alto pero excepcional"),IF(AND(T202&lt;1.5,X202&lt;1),"Zona 3 — Asumible: impacto bajo y muy poco frecuente","Zona 2 — Atención: riesgo intermedio"))</f>
        <v/>
      </c>
      <c r="AB202" s="64">
        <f>IFERROR(INDEX(MgAmenCtrl,MATCH(SUBSTITUTE($H202,"*","-"),MgAmenClave,0)),"")</f>
        <v/>
      </c>
      <c r="AC202" s="20" t="n"/>
      <c r="AD202" s="31">
        <f>IFERROR($X202*(1-IF($AC202="",$AL202,VLOOKUP($AC202,MgMad,2,0))),"")</f>
        <v/>
      </c>
      <c r="AE202" s="28">
        <f>IFERROR(LOOKUP(AD202,{0;0.01;0.1;1;10;100},{"Muy baja";"Muy baja";"Baja";"Media";"Alta";"Muy alta"}),"")</f>
        <v/>
      </c>
      <c r="AF202" s="30">
        <f>T202*AD202</f>
        <v/>
      </c>
      <c r="AG202" s="28">
        <f>IFERROR(LOOKUP(AF202,{0;0.5;5;25},{"Bajo";"Medio";"Alto";"Crítico"}),"")</f>
        <v/>
      </c>
      <c r="AH202" s="28">
        <f>IF(AG202="","",IF(OR(AG202="Crítico",AG202="Alto"),"Mitigar",IF(AG202="Medio","Mitigar","Aceptar y monitorear")))</f>
        <v/>
      </c>
      <c r="AI202" s="21" t="n"/>
      <c r="AJ202" s="21" t="n"/>
      <c r="AK202" s="20" t="n"/>
      <c r="AL202" s="77">
        <f>IFERROR(INDEX(MgAmenEfic,MATCH(SUBSTITUTE($H202,"*","-"),MgAmenClave,0)),0)</f>
        <v/>
      </c>
    </row>
    <row r="203" hidden="1" ht="60" customHeight="1" s="54">
      <c r="B203" s="59" t="inlineStr">
        <is>
          <t>R-0198</t>
        </is>
      </c>
      <c r="C203" s="59" t="inlineStr">
        <is>
          <t>DO-10</t>
        </is>
      </c>
      <c r="D203" s="64">
        <f>IFERROR(INDEX(MgNombre,MATCH($C203,MgActId,0)),"")</f>
        <v/>
      </c>
      <c r="E203" s="64">
        <f>IFERROR(INDEX(MgProceso,MATCH($C203,MgActId,0)),"")</f>
        <v/>
      </c>
      <c r="F203" s="64">
        <f>IFERROR(INDEX(MgTipo,MATCH($C203,MgActId,0)),"")</f>
        <v/>
      </c>
      <c r="G203" s="64">
        <f>IFERROR(INDEX(MgSubtipo,MATCH($C203,MgActId,0)),"")</f>
        <v/>
      </c>
      <c r="H203" s="59" t="inlineStr">
        <is>
          <t>A.24</t>
        </is>
      </c>
      <c r="I203" s="64">
        <f>IFERROR(INDEX(MgAmenNombre,MATCH(SUBSTITUTE($H203,"*","-"),MgAmenClave,0)),"")</f>
        <v/>
      </c>
      <c r="J203" s="28">
        <f>IFERROR(INDEX(MgAmenGrupo,MATCH(SUBSTITUTE($H203,"*","-"),MgAmenClave,0)),"")</f>
        <v/>
      </c>
      <c r="K203" s="64">
        <f>IFERROR(INDEX('1. Matriz de Activos'!$Q$6:$Q$239,MATCH($C203,MgActId,0)),"")</f>
        <v/>
      </c>
      <c r="L203" s="64">
        <f>IFERROR(INDEX('1. Matriz de Activos'!$R$6:$R$239,MATCH($C203,MgActId,0)),"")</f>
        <v/>
      </c>
      <c r="M203" s="64">
        <f>IFERROR(INDEX('1. Matriz de Activos'!$S$6:$S$239,MATCH($C203,MgActId,0)),"")</f>
        <v/>
      </c>
      <c r="N203" s="28">
        <f>IFERROR(INDEX(MgAmenDegD,MATCH(SUBSTITUTE($H203,"*","-"),MgAmenClave,0)),"No aplica")</f>
        <v/>
      </c>
      <c r="O203" s="28">
        <f>IFERROR(INDEX(MgAmenDegI,MATCH(SUBSTITUTE($H203,"*","-"),MgAmenClave,0)),"No aplica")</f>
        <v/>
      </c>
      <c r="P203" s="28">
        <f>IFERROR(INDEX(MgAmenDegC,MATCH(SUBSTITUTE($H203,"*","-"),MgAmenClave,0)),"No aplica")</f>
        <v/>
      </c>
      <c r="Q203" s="29">
        <f>IFERROR(VLOOKUP(K203,MgValor,2,0)*VLOOKUP(N203,MgDeg,2,0),0)</f>
        <v/>
      </c>
      <c r="R203" s="29">
        <f>IFERROR(VLOOKUP(L203,MgValor,2,0)*VLOOKUP(O203,MgDeg,2,0),0)</f>
        <v/>
      </c>
      <c r="S203" s="29">
        <f>IFERROR(VLOOKUP(M203,MgValor,2,0)*VLOOKUP(P203,MgDeg,2,0),0)</f>
        <v/>
      </c>
      <c r="T203" s="30">
        <f>MAX(Q203:S203)</f>
        <v/>
      </c>
      <c r="U203" s="28">
        <f>IFERROR(LOOKUP(T203,{0;0.5;1.5;3;4.5},{"Despreciable";"Bajo";"Medio";"Alto";"Muy alto"}),"")</f>
        <v/>
      </c>
      <c r="V203" s="13">
        <f>IFERROR(INDEX(MgAmenFrec,MATCH(SUBSTITUTE($H203,"*","-"),MgAmenClave,0)),"")</f>
        <v/>
      </c>
      <c r="W203" s="28">
        <f>IFERROR(LOOKUP(X203,{0;0.01;0.1;1;10;100},{"Muy baja";"Muy baja";"Baja";"Media";"Alta";"Muy alta"}),"")</f>
        <v/>
      </c>
      <c r="X203" s="31">
        <f>IFERROR(VLOOKUP(V203,MgFrec,2,0),0)</f>
        <v/>
      </c>
      <c r="Y203" s="30">
        <f>T203*X203</f>
        <v/>
      </c>
      <c r="Z203" s="28">
        <f>IFERROR(LOOKUP(Y203,{0;0.5;5;25},{"Bajo";"Medio";"Alto";"Crítico"}),"")</f>
        <v/>
      </c>
      <c r="AA203" s="64">
        <f>IF(T203&gt;=3,IF(X203&gt;=1,"Zona 1 — Crítica: impacto alto y ocurre al menos una vez al año","Zona 4 — Catastrófica poco probable: impacto alto pero excepcional"),IF(AND(T203&lt;1.5,X203&lt;1),"Zona 3 — Asumible: impacto bajo y muy poco frecuente","Zona 2 — Atención: riesgo intermedio"))</f>
        <v/>
      </c>
      <c r="AB203" s="64">
        <f>IFERROR(INDEX(MgAmenCtrl,MATCH(SUBSTITUTE($H203,"*","-"),MgAmenClave,0)),"")</f>
        <v/>
      </c>
      <c r="AC203" s="20" t="n"/>
      <c r="AD203" s="31">
        <f>IFERROR($X203*(1-IF($AC203="",$AL203,VLOOKUP($AC203,MgMad,2,0))),"")</f>
        <v/>
      </c>
      <c r="AE203" s="28">
        <f>IFERROR(LOOKUP(AD203,{0;0.01;0.1;1;10;100},{"Muy baja";"Muy baja";"Baja";"Media";"Alta";"Muy alta"}),"")</f>
        <v/>
      </c>
      <c r="AF203" s="30">
        <f>T203*AD203</f>
        <v/>
      </c>
      <c r="AG203" s="28">
        <f>IFERROR(LOOKUP(AF203,{0;0.5;5;25},{"Bajo";"Medio";"Alto";"Crítico"}),"")</f>
        <v/>
      </c>
      <c r="AH203" s="28">
        <f>IF(AG203="","",IF(OR(AG203="Crítico",AG203="Alto"),"Mitigar",IF(AG203="Medio","Mitigar","Aceptar y monitorear")))</f>
        <v/>
      </c>
      <c r="AI203" s="21" t="n"/>
      <c r="AJ203" s="21" t="n"/>
      <c r="AK203" s="20" t="n"/>
      <c r="AL203" s="77">
        <f>IFERROR(INDEX(MgAmenEfic,MATCH(SUBSTITUTE($H203,"*","-"),MgAmenClave,0)),0)</f>
        <v/>
      </c>
    </row>
    <row r="204" hidden="1" ht="75" customHeight="1" s="54">
      <c r="B204" s="59" t="inlineStr">
        <is>
          <t>R-0199</t>
        </is>
      </c>
      <c r="C204" s="59" t="inlineStr">
        <is>
          <t>DO-16</t>
        </is>
      </c>
      <c r="D204" s="64">
        <f>IFERROR(INDEX(MgNombre,MATCH($C204,MgActId,0)),"")</f>
        <v/>
      </c>
      <c r="E204" s="64">
        <f>IFERROR(INDEX(MgProceso,MATCH($C204,MgActId,0)),"")</f>
        <v/>
      </c>
      <c r="F204" s="64">
        <f>IFERROR(INDEX(MgTipo,MATCH($C204,MgActId,0)),"")</f>
        <v/>
      </c>
      <c r="G204" s="64">
        <f>IFERROR(INDEX(MgSubtipo,MATCH($C204,MgActId,0)),"")</f>
        <v/>
      </c>
      <c r="H204" s="59" t="inlineStr">
        <is>
          <t>I.8</t>
        </is>
      </c>
      <c r="I204" s="64">
        <f>IFERROR(INDEX(MgAmenNombre,MATCH(SUBSTITUTE($H204,"*","-"),MgAmenClave,0)),"")</f>
        <v/>
      </c>
      <c r="J204" s="28">
        <f>IFERROR(INDEX(MgAmenGrupo,MATCH(SUBSTITUTE($H204,"*","-"),MgAmenClave,0)),"")</f>
        <v/>
      </c>
      <c r="K204" s="64">
        <f>IFERROR(INDEX('1. Matriz de Activos'!$Q$6:$Q$239,MATCH($C204,MgActId,0)),"")</f>
        <v/>
      </c>
      <c r="L204" s="64">
        <f>IFERROR(INDEX('1. Matriz de Activos'!$R$6:$R$239,MATCH($C204,MgActId,0)),"")</f>
        <v/>
      </c>
      <c r="M204" s="64">
        <f>IFERROR(INDEX('1. Matriz de Activos'!$S$6:$S$239,MATCH($C204,MgActId,0)),"")</f>
        <v/>
      </c>
      <c r="N204" s="28">
        <f>IFERROR(INDEX(MgAmenDegD,MATCH(SUBSTITUTE($H204,"*","-"),MgAmenClave,0)),"No aplica")</f>
        <v/>
      </c>
      <c r="O204" s="28">
        <f>IFERROR(INDEX(MgAmenDegI,MATCH(SUBSTITUTE($H204,"*","-"),MgAmenClave,0)),"No aplica")</f>
        <v/>
      </c>
      <c r="P204" s="28">
        <f>IFERROR(INDEX(MgAmenDegC,MATCH(SUBSTITUTE($H204,"*","-"),MgAmenClave,0)),"No aplica")</f>
        <v/>
      </c>
      <c r="Q204" s="29">
        <f>IFERROR(VLOOKUP(K204,MgValor,2,0)*VLOOKUP(N204,MgDeg,2,0),0)</f>
        <v/>
      </c>
      <c r="R204" s="29">
        <f>IFERROR(VLOOKUP(L204,MgValor,2,0)*VLOOKUP(O204,MgDeg,2,0),0)</f>
        <v/>
      </c>
      <c r="S204" s="29">
        <f>IFERROR(VLOOKUP(M204,MgValor,2,0)*VLOOKUP(P204,MgDeg,2,0),0)</f>
        <v/>
      </c>
      <c r="T204" s="30">
        <f>MAX(Q204:S204)</f>
        <v/>
      </c>
      <c r="U204" s="28">
        <f>IFERROR(LOOKUP(T204,{0;0.5;1.5;3;4.5},{"Despreciable";"Bajo";"Medio";"Alto";"Muy alto"}),"")</f>
        <v/>
      </c>
      <c r="V204" s="13">
        <f>IFERROR(INDEX(MgAmenFrec,MATCH(SUBSTITUTE($H204,"*","-"),MgAmenClave,0)),"")</f>
        <v/>
      </c>
      <c r="W204" s="28">
        <f>IFERROR(LOOKUP(X204,{0;0.01;0.1;1;10;100},{"Muy baja";"Muy baja";"Baja";"Media";"Alta";"Muy alta"}),"")</f>
        <v/>
      </c>
      <c r="X204" s="31">
        <f>IFERROR(VLOOKUP(V204,MgFrec,2,0),0)</f>
        <v/>
      </c>
      <c r="Y204" s="30">
        <f>T204*X204</f>
        <v/>
      </c>
      <c r="Z204" s="28">
        <f>IFERROR(LOOKUP(Y204,{0;0.5;5;25},{"Bajo";"Medio";"Alto";"Crítico"}),"")</f>
        <v/>
      </c>
      <c r="AA204" s="64">
        <f>IF(T204&gt;=3,IF(X204&gt;=1,"Zona 1 — Crítica: impacto alto y ocurre al menos una vez al año","Zona 4 — Catastrófica poco probable: impacto alto pero excepcional"),IF(AND(T204&lt;1.5,X204&lt;1),"Zona 3 — Asumible: impacto bajo y muy poco frecuente","Zona 2 — Atención: riesgo intermedio"))</f>
        <v/>
      </c>
      <c r="AB204" s="64">
        <f>IFERROR(INDEX(MgAmenCtrl,MATCH(SUBSTITUTE($H204,"*","-"),MgAmenClave,0)),"")</f>
        <v/>
      </c>
      <c r="AC204" s="20" t="n"/>
      <c r="AD204" s="31">
        <f>IFERROR($X204*(1-IF($AC204="",$AL204,VLOOKUP($AC204,MgMad,2,0))),"")</f>
        <v/>
      </c>
      <c r="AE204" s="28">
        <f>IFERROR(LOOKUP(AD204,{0;0.01;0.1;1;10;100},{"Muy baja";"Muy baja";"Baja";"Media";"Alta";"Muy alta"}),"")</f>
        <v/>
      </c>
      <c r="AF204" s="30">
        <f>T204*AD204</f>
        <v/>
      </c>
      <c r="AG204" s="28">
        <f>IFERROR(LOOKUP(AF204,{0;0.5;5;25},{"Bajo";"Medio";"Alto";"Crítico"}),"")</f>
        <v/>
      </c>
      <c r="AH204" s="28">
        <f>IF(AG204="","",IF(OR(AG204="Crítico",AG204="Alto"),"Mitigar",IF(AG204="Medio","Mitigar","Aceptar y monitorear")))</f>
        <v/>
      </c>
      <c r="AI204" s="21" t="n"/>
      <c r="AJ204" s="21" t="n"/>
      <c r="AK204" s="20" t="n"/>
      <c r="AL204" s="77">
        <f>IFERROR(INDEX(MgAmenEfic,MATCH(SUBSTITUTE($H204,"*","-"),MgAmenClave,0)),0)</f>
        <v/>
      </c>
    </row>
    <row r="205" hidden="1" ht="45" customHeight="1" s="54">
      <c r="B205" s="59" t="inlineStr">
        <is>
          <t>R-0200</t>
        </is>
      </c>
      <c r="C205" s="59" t="inlineStr">
        <is>
          <t>DO-16</t>
        </is>
      </c>
      <c r="D205" s="64">
        <f>IFERROR(INDEX(MgNombre,MATCH($C205,MgActId,0)),"")</f>
        <v/>
      </c>
      <c r="E205" s="64">
        <f>IFERROR(INDEX(MgProceso,MATCH($C205,MgActId,0)),"")</f>
        <v/>
      </c>
      <c r="F205" s="64">
        <f>IFERROR(INDEX(MgTipo,MATCH($C205,MgActId,0)),"")</f>
        <v/>
      </c>
      <c r="G205" s="64">
        <f>IFERROR(INDEX(MgSubtipo,MATCH($C205,MgActId,0)),"")</f>
        <v/>
      </c>
      <c r="H205" s="59" t="inlineStr">
        <is>
          <t>I.11</t>
        </is>
      </c>
      <c r="I205" s="64">
        <f>IFERROR(INDEX(MgAmenNombre,MATCH(SUBSTITUTE($H205,"*","-"),MgAmenClave,0)),"")</f>
        <v/>
      </c>
      <c r="J205" s="28">
        <f>IFERROR(INDEX(MgAmenGrupo,MATCH(SUBSTITUTE($H205,"*","-"),MgAmenClave,0)),"")</f>
        <v/>
      </c>
      <c r="K205" s="64">
        <f>IFERROR(INDEX('1. Matriz de Activos'!$Q$6:$Q$239,MATCH($C205,MgActId,0)),"")</f>
        <v/>
      </c>
      <c r="L205" s="64">
        <f>IFERROR(INDEX('1. Matriz de Activos'!$R$6:$R$239,MATCH($C205,MgActId,0)),"")</f>
        <v/>
      </c>
      <c r="M205" s="64">
        <f>IFERROR(INDEX('1. Matriz de Activos'!$S$6:$S$239,MATCH($C205,MgActId,0)),"")</f>
        <v/>
      </c>
      <c r="N205" s="28">
        <f>IFERROR(INDEX(MgAmenDegD,MATCH(SUBSTITUTE($H205,"*","-"),MgAmenClave,0)),"No aplica")</f>
        <v/>
      </c>
      <c r="O205" s="28">
        <f>IFERROR(INDEX(MgAmenDegI,MATCH(SUBSTITUTE($H205,"*","-"),MgAmenClave,0)),"No aplica")</f>
        <v/>
      </c>
      <c r="P205" s="28">
        <f>IFERROR(INDEX(MgAmenDegC,MATCH(SUBSTITUTE($H205,"*","-"),MgAmenClave,0)),"No aplica")</f>
        <v/>
      </c>
      <c r="Q205" s="29">
        <f>IFERROR(VLOOKUP(K205,MgValor,2,0)*VLOOKUP(N205,MgDeg,2,0),0)</f>
        <v/>
      </c>
      <c r="R205" s="29">
        <f>IFERROR(VLOOKUP(L205,MgValor,2,0)*VLOOKUP(O205,MgDeg,2,0),0)</f>
        <v/>
      </c>
      <c r="S205" s="29">
        <f>IFERROR(VLOOKUP(M205,MgValor,2,0)*VLOOKUP(P205,MgDeg,2,0),0)</f>
        <v/>
      </c>
      <c r="T205" s="30">
        <f>MAX(Q205:S205)</f>
        <v/>
      </c>
      <c r="U205" s="28">
        <f>IFERROR(LOOKUP(T205,{0;0.5;1.5;3;4.5},{"Despreciable";"Bajo";"Medio";"Alto";"Muy alto"}),"")</f>
        <v/>
      </c>
      <c r="V205" s="13">
        <f>IFERROR(INDEX(MgAmenFrec,MATCH(SUBSTITUTE($H205,"*","-"),MgAmenClave,0)),"")</f>
        <v/>
      </c>
      <c r="W205" s="28">
        <f>IFERROR(LOOKUP(X205,{0;0.01;0.1;1;10;100},{"Muy baja";"Muy baja";"Baja";"Media";"Alta";"Muy alta"}),"")</f>
        <v/>
      </c>
      <c r="X205" s="31">
        <f>IFERROR(VLOOKUP(V205,MgFrec,2,0),0)</f>
        <v/>
      </c>
      <c r="Y205" s="30">
        <f>T205*X205</f>
        <v/>
      </c>
      <c r="Z205" s="28">
        <f>IFERROR(LOOKUP(Y205,{0;0.5;5;25},{"Bajo";"Medio";"Alto";"Crítico"}),"")</f>
        <v/>
      </c>
      <c r="AA205" s="64">
        <f>IF(T205&gt;=3,IF(X205&gt;=1,"Zona 1 — Crítica: impacto alto y ocurre al menos una vez al año","Zona 4 — Catastrófica poco probable: impacto alto pero excepcional"),IF(AND(T205&lt;1.5,X205&lt;1),"Zona 3 — Asumible: impacto bajo y muy poco frecuente","Zona 2 — Atención: riesgo intermedio"))</f>
        <v/>
      </c>
      <c r="AB205" s="64">
        <f>IFERROR(INDEX(MgAmenCtrl,MATCH(SUBSTITUTE($H205,"*","-"),MgAmenClave,0)),"")</f>
        <v/>
      </c>
      <c r="AC205" s="20" t="n"/>
      <c r="AD205" s="31">
        <f>IFERROR($X205*(1-IF($AC205="",$AL205,VLOOKUP($AC205,MgMad,2,0))),"")</f>
        <v/>
      </c>
      <c r="AE205" s="28">
        <f>IFERROR(LOOKUP(AD205,{0;0.01;0.1;1;10;100},{"Muy baja";"Muy baja";"Baja";"Media";"Alta";"Muy alta"}),"")</f>
        <v/>
      </c>
      <c r="AF205" s="30">
        <f>T205*AD205</f>
        <v/>
      </c>
      <c r="AG205" s="28">
        <f>IFERROR(LOOKUP(AF205,{0;0.5;5;25},{"Bajo";"Medio";"Alto";"Crítico"}),"")</f>
        <v/>
      </c>
      <c r="AH205" s="28">
        <f>IF(AG205="","",IF(OR(AG205="Crítico",AG205="Alto"),"Mitigar",IF(AG205="Medio","Mitigar","Aceptar y monitorear")))</f>
        <v/>
      </c>
      <c r="AI205" s="21" t="n"/>
      <c r="AJ205" s="21" t="n"/>
      <c r="AK205" s="20" t="n"/>
      <c r="AL205" s="77">
        <f>IFERROR(INDEX(MgAmenEfic,MATCH(SUBSTITUTE($H205,"*","-"),MgAmenClave,0)),0)</f>
        <v/>
      </c>
    </row>
    <row r="206" hidden="1" ht="120" customHeight="1" s="54">
      <c r="B206" s="59" t="inlineStr">
        <is>
          <t>R-0201</t>
        </is>
      </c>
      <c r="C206" s="59" t="inlineStr">
        <is>
          <t>DO-16</t>
        </is>
      </c>
      <c r="D206" s="64">
        <f>IFERROR(INDEX(MgNombre,MATCH($C206,MgActId,0)),"")</f>
        <v/>
      </c>
      <c r="E206" s="64">
        <f>IFERROR(INDEX(MgProceso,MATCH($C206,MgActId,0)),"")</f>
        <v/>
      </c>
      <c r="F206" s="64">
        <f>IFERROR(INDEX(MgTipo,MATCH($C206,MgActId,0)),"")</f>
        <v/>
      </c>
      <c r="G206" s="64">
        <f>IFERROR(INDEX(MgSubtipo,MATCH($C206,MgActId,0)),"")</f>
        <v/>
      </c>
      <c r="H206" s="59" t="inlineStr">
        <is>
          <t>E.2</t>
        </is>
      </c>
      <c r="I206" s="64">
        <f>IFERROR(INDEX(MgAmenNombre,MATCH(SUBSTITUTE($H206,"*","-"),MgAmenClave,0)),"")</f>
        <v/>
      </c>
      <c r="J206" s="28">
        <f>IFERROR(INDEX(MgAmenGrupo,MATCH(SUBSTITUTE($H206,"*","-"),MgAmenClave,0)),"")</f>
        <v/>
      </c>
      <c r="K206" s="64">
        <f>IFERROR(INDEX('1. Matriz de Activos'!$Q$6:$Q$239,MATCH($C206,MgActId,0)),"")</f>
        <v/>
      </c>
      <c r="L206" s="64">
        <f>IFERROR(INDEX('1. Matriz de Activos'!$R$6:$R$239,MATCH($C206,MgActId,0)),"")</f>
        <v/>
      </c>
      <c r="M206" s="64">
        <f>IFERROR(INDEX('1. Matriz de Activos'!$S$6:$S$239,MATCH($C206,MgActId,0)),"")</f>
        <v/>
      </c>
      <c r="N206" s="28">
        <f>IFERROR(INDEX(MgAmenDegD,MATCH(SUBSTITUTE($H206,"*","-"),MgAmenClave,0)),"No aplica")</f>
        <v/>
      </c>
      <c r="O206" s="28">
        <f>IFERROR(INDEX(MgAmenDegI,MATCH(SUBSTITUTE($H206,"*","-"),MgAmenClave,0)),"No aplica")</f>
        <v/>
      </c>
      <c r="P206" s="28">
        <f>IFERROR(INDEX(MgAmenDegC,MATCH(SUBSTITUTE($H206,"*","-"),MgAmenClave,0)),"No aplica")</f>
        <v/>
      </c>
      <c r="Q206" s="29">
        <f>IFERROR(VLOOKUP(K206,MgValor,2,0)*VLOOKUP(N206,MgDeg,2,0),0)</f>
        <v/>
      </c>
      <c r="R206" s="29">
        <f>IFERROR(VLOOKUP(L206,MgValor,2,0)*VLOOKUP(O206,MgDeg,2,0),0)</f>
        <v/>
      </c>
      <c r="S206" s="29">
        <f>IFERROR(VLOOKUP(M206,MgValor,2,0)*VLOOKUP(P206,MgDeg,2,0),0)</f>
        <v/>
      </c>
      <c r="T206" s="30">
        <f>MAX(Q206:S206)</f>
        <v/>
      </c>
      <c r="U206" s="28">
        <f>IFERROR(LOOKUP(T206,{0;0.5;1.5;3;4.5},{"Despreciable";"Bajo";"Medio";"Alto";"Muy alto"}),"")</f>
        <v/>
      </c>
      <c r="V206" s="13">
        <f>IFERROR(INDEX(MgAmenFrec,MATCH(SUBSTITUTE($H206,"*","-"),MgAmenClave,0)),"")</f>
        <v/>
      </c>
      <c r="W206" s="28">
        <f>IFERROR(LOOKUP(X206,{0;0.01;0.1;1;10;100},{"Muy baja";"Muy baja";"Baja";"Media";"Alta";"Muy alta"}),"")</f>
        <v/>
      </c>
      <c r="X206" s="31">
        <f>IFERROR(VLOOKUP(V206,MgFrec,2,0),0)</f>
        <v/>
      </c>
      <c r="Y206" s="30">
        <f>T206*X206</f>
        <v/>
      </c>
      <c r="Z206" s="28">
        <f>IFERROR(LOOKUP(Y206,{0;0.5;5;25},{"Bajo";"Medio";"Alto";"Crítico"}),"")</f>
        <v/>
      </c>
      <c r="AA206" s="64">
        <f>IF(T206&gt;=3,IF(X206&gt;=1,"Zona 1 — Crítica: impacto alto y ocurre al menos una vez al año","Zona 4 — Catastrófica poco probable: impacto alto pero excepcional"),IF(AND(T206&lt;1.5,X206&lt;1),"Zona 3 — Asumible: impacto bajo y muy poco frecuente","Zona 2 — Atención: riesgo intermedio"))</f>
        <v/>
      </c>
      <c r="AB206" s="64">
        <f>IFERROR(INDEX(MgAmenCtrl,MATCH(SUBSTITUTE($H206,"*","-"),MgAmenClave,0)),"")</f>
        <v/>
      </c>
      <c r="AC206" s="20" t="n"/>
      <c r="AD206" s="31">
        <f>IFERROR($X206*(1-IF($AC206="",$AL206,VLOOKUP($AC206,MgMad,2,0))),"")</f>
        <v/>
      </c>
      <c r="AE206" s="28">
        <f>IFERROR(LOOKUP(AD206,{0;0.01;0.1;1;10;100},{"Muy baja";"Muy baja";"Baja";"Media";"Alta";"Muy alta"}),"")</f>
        <v/>
      </c>
      <c r="AF206" s="30">
        <f>T206*AD206</f>
        <v/>
      </c>
      <c r="AG206" s="28">
        <f>IFERROR(LOOKUP(AF206,{0;0.5;5;25},{"Bajo";"Medio";"Alto";"Crítico"}),"")</f>
        <v/>
      </c>
      <c r="AH206" s="28">
        <f>IF(AG206="","",IF(OR(AG206="Crítico",AG206="Alto"),"Mitigar",IF(AG206="Medio","Mitigar","Aceptar y monitorear")))</f>
        <v/>
      </c>
      <c r="AI206" s="21" t="n"/>
      <c r="AJ206" s="21" t="n"/>
      <c r="AK206" s="20" t="n"/>
      <c r="AL206" s="77">
        <f>IFERROR(INDEX(MgAmenEfic,MATCH(SUBSTITUTE($H206,"*","-"),MgAmenClave,0)),0)</f>
        <v/>
      </c>
    </row>
    <row r="207" hidden="1" ht="60" customHeight="1" s="54">
      <c r="B207" s="59" t="inlineStr">
        <is>
          <t>R-0202</t>
        </is>
      </c>
      <c r="C207" s="59" t="inlineStr">
        <is>
          <t>DO-16</t>
        </is>
      </c>
      <c r="D207" s="64">
        <f>IFERROR(INDEX(MgNombre,MATCH($C207,MgActId,0)),"")</f>
        <v/>
      </c>
      <c r="E207" s="64">
        <f>IFERROR(INDEX(MgProceso,MATCH($C207,MgActId,0)),"")</f>
        <v/>
      </c>
      <c r="F207" s="64">
        <f>IFERROR(INDEX(MgTipo,MATCH($C207,MgActId,0)),"")</f>
        <v/>
      </c>
      <c r="G207" s="64">
        <f>IFERROR(INDEX(MgSubtipo,MATCH($C207,MgActId,0)),"")</f>
        <v/>
      </c>
      <c r="H207" s="59" t="inlineStr">
        <is>
          <t>E.9</t>
        </is>
      </c>
      <c r="I207" s="64">
        <f>IFERROR(INDEX(MgAmenNombre,MATCH(SUBSTITUTE($H207,"*","-"),MgAmenClave,0)),"")</f>
        <v/>
      </c>
      <c r="J207" s="28">
        <f>IFERROR(INDEX(MgAmenGrupo,MATCH(SUBSTITUTE($H207,"*","-"),MgAmenClave,0)),"")</f>
        <v/>
      </c>
      <c r="K207" s="64">
        <f>IFERROR(INDEX('1. Matriz de Activos'!$Q$6:$Q$239,MATCH($C207,MgActId,0)),"")</f>
        <v/>
      </c>
      <c r="L207" s="64">
        <f>IFERROR(INDEX('1. Matriz de Activos'!$R$6:$R$239,MATCH($C207,MgActId,0)),"")</f>
        <v/>
      </c>
      <c r="M207" s="64">
        <f>IFERROR(INDEX('1. Matriz de Activos'!$S$6:$S$239,MATCH($C207,MgActId,0)),"")</f>
        <v/>
      </c>
      <c r="N207" s="28">
        <f>IFERROR(INDEX(MgAmenDegD,MATCH(SUBSTITUTE($H207,"*","-"),MgAmenClave,0)),"No aplica")</f>
        <v/>
      </c>
      <c r="O207" s="28">
        <f>IFERROR(INDEX(MgAmenDegI,MATCH(SUBSTITUTE($H207,"*","-"),MgAmenClave,0)),"No aplica")</f>
        <v/>
      </c>
      <c r="P207" s="28">
        <f>IFERROR(INDEX(MgAmenDegC,MATCH(SUBSTITUTE($H207,"*","-"),MgAmenClave,0)),"No aplica")</f>
        <v/>
      </c>
      <c r="Q207" s="29">
        <f>IFERROR(VLOOKUP(K207,MgValor,2,0)*VLOOKUP(N207,MgDeg,2,0),0)</f>
        <v/>
      </c>
      <c r="R207" s="29">
        <f>IFERROR(VLOOKUP(L207,MgValor,2,0)*VLOOKUP(O207,MgDeg,2,0),0)</f>
        <v/>
      </c>
      <c r="S207" s="29">
        <f>IFERROR(VLOOKUP(M207,MgValor,2,0)*VLOOKUP(P207,MgDeg,2,0),0)</f>
        <v/>
      </c>
      <c r="T207" s="30">
        <f>MAX(Q207:S207)</f>
        <v/>
      </c>
      <c r="U207" s="28">
        <f>IFERROR(LOOKUP(T207,{0;0.5;1.5;3;4.5},{"Despreciable";"Bajo";"Medio";"Alto";"Muy alto"}),"")</f>
        <v/>
      </c>
      <c r="V207" s="13">
        <f>IFERROR(INDEX(MgAmenFrec,MATCH(SUBSTITUTE($H207,"*","-"),MgAmenClave,0)),"")</f>
        <v/>
      </c>
      <c r="W207" s="28">
        <f>IFERROR(LOOKUP(X207,{0;0.01;0.1;1;10;100},{"Muy baja";"Muy baja";"Baja";"Media";"Alta";"Muy alta"}),"")</f>
        <v/>
      </c>
      <c r="X207" s="31">
        <f>IFERROR(VLOOKUP(V207,MgFrec,2,0),0)</f>
        <v/>
      </c>
      <c r="Y207" s="30">
        <f>T207*X207</f>
        <v/>
      </c>
      <c r="Z207" s="28">
        <f>IFERROR(LOOKUP(Y207,{0;0.5;5;25},{"Bajo";"Medio";"Alto";"Crítico"}),"")</f>
        <v/>
      </c>
      <c r="AA207" s="64">
        <f>IF(T207&gt;=3,IF(X207&gt;=1,"Zona 1 — Crítica: impacto alto y ocurre al menos una vez al año","Zona 4 — Catastrófica poco probable: impacto alto pero excepcional"),IF(AND(T207&lt;1.5,X207&lt;1),"Zona 3 — Asumible: impacto bajo y muy poco frecuente","Zona 2 — Atención: riesgo intermedio"))</f>
        <v/>
      </c>
      <c r="AB207" s="64">
        <f>IFERROR(INDEX(MgAmenCtrl,MATCH(SUBSTITUTE($H207,"*","-"),MgAmenClave,0)),"")</f>
        <v/>
      </c>
      <c r="AC207" s="20" t="n"/>
      <c r="AD207" s="31">
        <f>IFERROR($X207*(1-IF($AC207="",$AL207,VLOOKUP($AC207,MgMad,2,0))),"")</f>
        <v/>
      </c>
      <c r="AE207" s="28">
        <f>IFERROR(LOOKUP(AD207,{0;0.01;0.1;1;10;100},{"Muy baja";"Muy baja";"Baja";"Media";"Alta";"Muy alta"}),"")</f>
        <v/>
      </c>
      <c r="AF207" s="30">
        <f>T207*AD207</f>
        <v/>
      </c>
      <c r="AG207" s="28">
        <f>IFERROR(LOOKUP(AF207,{0;0.5;5;25},{"Bajo";"Medio";"Alto";"Crítico"}),"")</f>
        <v/>
      </c>
      <c r="AH207" s="28">
        <f>IF(AG207="","",IF(OR(AG207="Crítico",AG207="Alto"),"Mitigar",IF(AG207="Medio","Mitigar","Aceptar y monitorear")))</f>
        <v/>
      </c>
      <c r="AI207" s="21" t="n"/>
      <c r="AJ207" s="21" t="n"/>
      <c r="AK207" s="20" t="n"/>
      <c r="AL207" s="77">
        <f>IFERROR(INDEX(MgAmenEfic,MATCH(SUBSTITUTE($H207,"*","-"),MgAmenClave,0)),0)</f>
        <v/>
      </c>
    </row>
    <row r="208" hidden="1" ht="90" customHeight="1" s="54">
      <c r="B208" s="59" t="inlineStr">
        <is>
          <t>R-0203</t>
        </is>
      </c>
      <c r="C208" s="59" t="inlineStr">
        <is>
          <t>DO-16</t>
        </is>
      </c>
      <c r="D208" s="64">
        <f>IFERROR(INDEX(MgNombre,MATCH($C208,MgActId,0)),"")</f>
        <v/>
      </c>
      <c r="E208" s="64">
        <f>IFERROR(INDEX(MgProceso,MATCH($C208,MgActId,0)),"")</f>
        <v/>
      </c>
      <c r="F208" s="64">
        <f>IFERROR(INDEX(MgTipo,MATCH($C208,MgActId,0)),"")</f>
        <v/>
      </c>
      <c r="G208" s="64">
        <f>IFERROR(INDEX(MgSubtipo,MATCH($C208,MgActId,0)),"")</f>
        <v/>
      </c>
      <c r="H208" s="59" t="inlineStr">
        <is>
          <t>E.10</t>
        </is>
      </c>
      <c r="I208" s="64">
        <f>IFERROR(INDEX(MgAmenNombre,MATCH(SUBSTITUTE($H208,"*","-"),MgAmenClave,0)),"")</f>
        <v/>
      </c>
      <c r="J208" s="28">
        <f>IFERROR(INDEX(MgAmenGrupo,MATCH(SUBSTITUTE($H208,"*","-"),MgAmenClave,0)),"")</f>
        <v/>
      </c>
      <c r="K208" s="64">
        <f>IFERROR(INDEX('1. Matriz de Activos'!$Q$6:$Q$239,MATCH($C208,MgActId,0)),"")</f>
        <v/>
      </c>
      <c r="L208" s="64">
        <f>IFERROR(INDEX('1. Matriz de Activos'!$R$6:$R$239,MATCH($C208,MgActId,0)),"")</f>
        <v/>
      </c>
      <c r="M208" s="64">
        <f>IFERROR(INDEX('1. Matriz de Activos'!$S$6:$S$239,MATCH($C208,MgActId,0)),"")</f>
        <v/>
      </c>
      <c r="N208" s="28">
        <f>IFERROR(INDEX(MgAmenDegD,MATCH(SUBSTITUTE($H208,"*","-"),MgAmenClave,0)),"No aplica")</f>
        <v/>
      </c>
      <c r="O208" s="28">
        <f>IFERROR(INDEX(MgAmenDegI,MATCH(SUBSTITUTE($H208,"*","-"),MgAmenClave,0)),"No aplica")</f>
        <v/>
      </c>
      <c r="P208" s="28">
        <f>IFERROR(INDEX(MgAmenDegC,MATCH(SUBSTITUTE($H208,"*","-"),MgAmenClave,0)),"No aplica")</f>
        <v/>
      </c>
      <c r="Q208" s="29">
        <f>IFERROR(VLOOKUP(K208,MgValor,2,0)*VLOOKUP(N208,MgDeg,2,0),0)</f>
        <v/>
      </c>
      <c r="R208" s="29">
        <f>IFERROR(VLOOKUP(L208,MgValor,2,0)*VLOOKUP(O208,MgDeg,2,0),0)</f>
        <v/>
      </c>
      <c r="S208" s="29">
        <f>IFERROR(VLOOKUP(M208,MgValor,2,0)*VLOOKUP(P208,MgDeg,2,0),0)</f>
        <v/>
      </c>
      <c r="T208" s="30">
        <f>MAX(Q208:S208)</f>
        <v/>
      </c>
      <c r="U208" s="28">
        <f>IFERROR(LOOKUP(T208,{0;0.5;1.5;3;4.5},{"Despreciable";"Bajo";"Medio";"Alto";"Muy alto"}),"")</f>
        <v/>
      </c>
      <c r="V208" s="13">
        <f>IFERROR(INDEX(MgAmenFrec,MATCH(SUBSTITUTE($H208,"*","-"),MgAmenClave,0)),"")</f>
        <v/>
      </c>
      <c r="W208" s="28">
        <f>IFERROR(LOOKUP(X208,{0;0.01;0.1;1;10;100},{"Muy baja";"Muy baja";"Baja";"Media";"Alta";"Muy alta"}),"")</f>
        <v/>
      </c>
      <c r="X208" s="31">
        <f>IFERROR(VLOOKUP(V208,MgFrec,2,0),0)</f>
        <v/>
      </c>
      <c r="Y208" s="30">
        <f>T208*X208</f>
        <v/>
      </c>
      <c r="Z208" s="28">
        <f>IFERROR(LOOKUP(Y208,{0;0.5;5;25},{"Bajo";"Medio";"Alto";"Crítico"}),"")</f>
        <v/>
      </c>
      <c r="AA208" s="64">
        <f>IF(T208&gt;=3,IF(X208&gt;=1,"Zona 1 — Crítica: impacto alto y ocurre al menos una vez al año","Zona 4 — Catastrófica poco probable: impacto alto pero excepcional"),IF(AND(T208&lt;1.5,X208&lt;1),"Zona 3 — Asumible: impacto bajo y muy poco frecuente","Zona 2 — Atención: riesgo intermedio"))</f>
        <v/>
      </c>
      <c r="AB208" s="64">
        <f>IFERROR(INDEX(MgAmenCtrl,MATCH(SUBSTITUTE($H208,"*","-"),MgAmenClave,0)),"")</f>
        <v/>
      </c>
      <c r="AC208" s="20" t="n"/>
      <c r="AD208" s="31">
        <f>IFERROR($X208*(1-IF($AC208="",$AL208,VLOOKUP($AC208,MgMad,2,0))),"")</f>
        <v/>
      </c>
      <c r="AE208" s="28">
        <f>IFERROR(LOOKUP(AD208,{0;0.01;0.1;1;10;100},{"Muy baja";"Muy baja";"Baja";"Media";"Alta";"Muy alta"}),"")</f>
        <v/>
      </c>
      <c r="AF208" s="30">
        <f>T208*AD208</f>
        <v/>
      </c>
      <c r="AG208" s="28">
        <f>IFERROR(LOOKUP(AF208,{0;0.5;5;25},{"Bajo";"Medio";"Alto";"Crítico"}),"")</f>
        <v/>
      </c>
      <c r="AH208" s="28">
        <f>IF(AG208="","",IF(OR(AG208="Crítico",AG208="Alto"),"Mitigar",IF(AG208="Medio","Mitigar","Aceptar y monitorear")))</f>
        <v/>
      </c>
      <c r="AI208" s="21" t="n"/>
      <c r="AJ208" s="21" t="n"/>
      <c r="AK208" s="20" t="n"/>
      <c r="AL208" s="77">
        <f>IFERROR(INDEX(MgAmenEfic,MATCH(SUBSTITUTE($H208,"*","-"),MgAmenClave,0)),0)</f>
        <v/>
      </c>
    </row>
    <row r="209" hidden="1" ht="90" customHeight="1" s="54">
      <c r="B209" s="59" t="inlineStr">
        <is>
          <t>R-0204</t>
        </is>
      </c>
      <c r="C209" s="59" t="inlineStr">
        <is>
          <t>DO-16</t>
        </is>
      </c>
      <c r="D209" s="64">
        <f>IFERROR(INDEX(MgNombre,MATCH($C209,MgActId,0)),"")</f>
        <v/>
      </c>
      <c r="E209" s="64">
        <f>IFERROR(INDEX(MgProceso,MATCH($C209,MgActId,0)),"")</f>
        <v/>
      </c>
      <c r="F209" s="64">
        <f>IFERROR(INDEX(MgTipo,MATCH($C209,MgActId,0)),"")</f>
        <v/>
      </c>
      <c r="G209" s="64">
        <f>IFERROR(INDEX(MgSubtipo,MATCH($C209,MgActId,0)),"")</f>
        <v/>
      </c>
      <c r="H209" s="59" t="inlineStr">
        <is>
          <t>E.14</t>
        </is>
      </c>
      <c r="I209" s="64">
        <f>IFERROR(INDEX(MgAmenNombre,MATCH(SUBSTITUTE($H209,"*","-"),MgAmenClave,0)),"")</f>
        <v/>
      </c>
      <c r="J209" s="28">
        <f>IFERROR(INDEX(MgAmenGrupo,MATCH(SUBSTITUTE($H209,"*","-"),MgAmenClave,0)),"")</f>
        <v/>
      </c>
      <c r="K209" s="64">
        <f>IFERROR(INDEX('1. Matriz de Activos'!$Q$6:$Q$239,MATCH($C209,MgActId,0)),"")</f>
        <v/>
      </c>
      <c r="L209" s="64">
        <f>IFERROR(INDEX('1. Matriz de Activos'!$R$6:$R$239,MATCH($C209,MgActId,0)),"")</f>
        <v/>
      </c>
      <c r="M209" s="64">
        <f>IFERROR(INDEX('1. Matriz de Activos'!$S$6:$S$239,MATCH($C209,MgActId,0)),"")</f>
        <v/>
      </c>
      <c r="N209" s="28">
        <f>IFERROR(INDEX(MgAmenDegD,MATCH(SUBSTITUTE($H209,"*","-"),MgAmenClave,0)),"No aplica")</f>
        <v/>
      </c>
      <c r="O209" s="28">
        <f>IFERROR(INDEX(MgAmenDegI,MATCH(SUBSTITUTE($H209,"*","-"),MgAmenClave,0)),"No aplica")</f>
        <v/>
      </c>
      <c r="P209" s="28">
        <f>IFERROR(INDEX(MgAmenDegC,MATCH(SUBSTITUTE($H209,"*","-"),MgAmenClave,0)),"No aplica")</f>
        <v/>
      </c>
      <c r="Q209" s="29">
        <f>IFERROR(VLOOKUP(K209,MgValor,2,0)*VLOOKUP(N209,MgDeg,2,0),0)</f>
        <v/>
      </c>
      <c r="R209" s="29">
        <f>IFERROR(VLOOKUP(L209,MgValor,2,0)*VLOOKUP(O209,MgDeg,2,0),0)</f>
        <v/>
      </c>
      <c r="S209" s="29">
        <f>IFERROR(VLOOKUP(M209,MgValor,2,0)*VLOOKUP(P209,MgDeg,2,0),0)</f>
        <v/>
      </c>
      <c r="T209" s="30">
        <f>MAX(Q209:S209)</f>
        <v/>
      </c>
      <c r="U209" s="28">
        <f>IFERROR(LOOKUP(T209,{0;0.5;1.5;3;4.5},{"Despreciable";"Bajo";"Medio";"Alto";"Muy alto"}),"")</f>
        <v/>
      </c>
      <c r="V209" s="13">
        <f>IFERROR(INDEX(MgAmenFrec,MATCH(SUBSTITUTE($H209,"*","-"),MgAmenClave,0)),"")</f>
        <v/>
      </c>
      <c r="W209" s="28">
        <f>IFERROR(LOOKUP(X209,{0;0.01;0.1;1;10;100},{"Muy baja";"Muy baja";"Baja";"Media";"Alta";"Muy alta"}),"")</f>
        <v/>
      </c>
      <c r="X209" s="31">
        <f>IFERROR(VLOOKUP(V209,MgFrec,2,0),0)</f>
        <v/>
      </c>
      <c r="Y209" s="30">
        <f>T209*X209</f>
        <v/>
      </c>
      <c r="Z209" s="28">
        <f>IFERROR(LOOKUP(Y209,{0;0.5;5;25},{"Bajo";"Medio";"Alto";"Crítico"}),"")</f>
        <v/>
      </c>
      <c r="AA209" s="64">
        <f>IF(T209&gt;=3,IF(X209&gt;=1,"Zona 1 — Crítica: impacto alto y ocurre al menos una vez al año","Zona 4 — Catastrófica poco probable: impacto alto pero excepcional"),IF(AND(T209&lt;1.5,X209&lt;1),"Zona 3 — Asumible: impacto bajo y muy poco frecuente","Zona 2 — Atención: riesgo intermedio"))</f>
        <v/>
      </c>
      <c r="AB209" s="64">
        <f>IFERROR(INDEX(MgAmenCtrl,MATCH(SUBSTITUTE($H209,"*","-"),MgAmenClave,0)),"")</f>
        <v/>
      </c>
      <c r="AC209" s="20" t="n"/>
      <c r="AD209" s="31">
        <f>IFERROR($X209*(1-IF($AC209="",$AL209,VLOOKUP($AC209,MgMad,2,0))),"")</f>
        <v/>
      </c>
      <c r="AE209" s="28">
        <f>IFERROR(LOOKUP(AD209,{0;0.01;0.1;1;10;100},{"Muy baja";"Muy baja";"Baja";"Media";"Alta";"Muy alta"}),"")</f>
        <v/>
      </c>
      <c r="AF209" s="30">
        <f>T209*AD209</f>
        <v/>
      </c>
      <c r="AG209" s="28">
        <f>IFERROR(LOOKUP(AF209,{0;0.5;5;25},{"Bajo";"Medio";"Alto";"Crítico"}),"")</f>
        <v/>
      </c>
      <c r="AH209" s="28">
        <f>IF(AG209="","",IF(OR(AG209="Crítico",AG209="Alto"),"Mitigar",IF(AG209="Medio","Mitigar","Aceptar y monitorear")))</f>
        <v/>
      </c>
      <c r="AI209" s="21" t="n"/>
      <c r="AJ209" s="21" t="n"/>
      <c r="AK209" s="20" t="n"/>
      <c r="AL209" s="77">
        <f>IFERROR(INDEX(MgAmenEfic,MATCH(SUBSTITUTE($H209,"*","-"),MgAmenClave,0)),0)</f>
        <v/>
      </c>
    </row>
    <row r="210" hidden="1" ht="90" customHeight="1" s="54">
      <c r="B210" s="59" t="inlineStr">
        <is>
          <t>R-0205</t>
        </is>
      </c>
      <c r="C210" s="59" t="inlineStr">
        <is>
          <t>DO-16</t>
        </is>
      </c>
      <c r="D210" s="64">
        <f>IFERROR(INDEX(MgNombre,MATCH($C210,MgActId,0)),"")</f>
        <v/>
      </c>
      <c r="E210" s="64">
        <f>IFERROR(INDEX(MgProceso,MATCH($C210,MgActId,0)),"")</f>
        <v/>
      </c>
      <c r="F210" s="64">
        <f>IFERROR(INDEX(MgTipo,MATCH($C210,MgActId,0)),"")</f>
        <v/>
      </c>
      <c r="G210" s="64">
        <f>IFERROR(INDEX(MgSubtipo,MATCH($C210,MgActId,0)),"")</f>
        <v/>
      </c>
      <c r="H210" s="59" t="inlineStr">
        <is>
          <t>E.15</t>
        </is>
      </c>
      <c r="I210" s="64">
        <f>IFERROR(INDEX(MgAmenNombre,MATCH(SUBSTITUTE($H210,"*","-"),MgAmenClave,0)),"")</f>
        <v/>
      </c>
      <c r="J210" s="28">
        <f>IFERROR(INDEX(MgAmenGrupo,MATCH(SUBSTITUTE($H210,"*","-"),MgAmenClave,0)),"")</f>
        <v/>
      </c>
      <c r="K210" s="64">
        <f>IFERROR(INDEX('1. Matriz de Activos'!$Q$6:$Q$239,MATCH($C210,MgActId,0)),"")</f>
        <v/>
      </c>
      <c r="L210" s="64">
        <f>IFERROR(INDEX('1. Matriz de Activos'!$R$6:$R$239,MATCH($C210,MgActId,0)),"")</f>
        <v/>
      </c>
      <c r="M210" s="64">
        <f>IFERROR(INDEX('1. Matriz de Activos'!$S$6:$S$239,MATCH($C210,MgActId,0)),"")</f>
        <v/>
      </c>
      <c r="N210" s="28">
        <f>IFERROR(INDEX(MgAmenDegD,MATCH(SUBSTITUTE($H210,"*","-"),MgAmenClave,0)),"No aplica")</f>
        <v/>
      </c>
      <c r="O210" s="28">
        <f>IFERROR(INDEX(MgAmenDegI,MATCH(SUBSTITUTE($H210,"*","-"),MgAmenClave,0)),"No aplica")</f>
        <v/>
      </c>
      <c r="P210" s="28">
        <f>IFERROR(INDEX(MgAmenDegC,MATCH(SUBSTITUTE($H210,"*","-"),MgAmenClave,0)),"No aplica")</f>
        <v/>
      </c>
      <c r="Q210" s="29">
        <f>IFERROR(VLOOKUP(K210,MgValor,2,0)*VLOOKUP(N210,MgDeg,2,0),0)</f>
        <v/>
      </c>
      <c r="R210" s="29">
        <f>IFERROR(VLOOKUP(L210,MgValor,2,0)*VLOOKUP(O210,MgDeg,2,0),0)</f>
        <v/>
      </c>
      <c r="S210" s="29">
        <f>IFERROR(VLOOKUP(M210,MgValor,2,0)*VLOOKUP(P210,MgDeg,2,0),0)</f>
        <v/>
      </c>
      <c r="T210" s="30">
        <f>MAX(Q210:S210)</f>
        <v/>
      </c>
      <c r="U210" s="28">
        <f>IFERROR(LOOKUP(T210,{0;0.5;1.5;3;4.5},{"Despreciable";"Bajo";"Medio";"Alto";"Muy alto"}),"")</f>
        <v/>
      </c>
      <c r="V210" s="13">
        <f>IFERROR(INDEX(MgAmenFrec,MATCH(SUBSTITUTE($H210,"*","-"),MgAmenClave,0)),"")</f>
        <v/>
      </c>
      <c r="W210" s="28">
        <f>IFERROR(LOOKUP(X210,{0;0.01;0.1;1;10;100},{"Muy baja";"Muy baja";"Baja";"Media";"Alta";"Muy alta"}),"")</f>
        <v/>
      </c>
      <c r="X210" s="31">
        <f>IFERROR(VLOOKUP(V210,MgFrec,2,0),0)</f>
        <v/>
      </c>
      <c r="Y210" s="30">
        <f>T210*X210</f>
        <v/>
      </c>
      <c r="Z210" s="28">
        <f>IFERROR(LOOKUP(Y210,{0;0.5;5;25},{"Bajo";"Medio";"Alto";"Crítico"}),"")</f>
        <v/>
      </c>
      <c r="AA210" s="64">
        <f>IF(T210&gt;=3,IF(X210&gt;=1,"Zona 1 — Crítica: impacto alto y ocurre al menos una vez al año","Zona 4 — Catastrófica poco probable: impacto alto pero excepcional"),IF(AND(T210&lt;1.5,X210&lt;1),"Zona 3 — Asumible: impacto bajo y muy poco frecuente","Zona 2 — Atención: riesgo intermedio"))</f>
        <v/>
      </c>
      <c r="AB210" s="64">
        <f>IFERROR(INDEX(MgAmenCtrl,MATCH(SUBSTITUTE($H210,"*","-"),MgAmenClave,0)),"")</f>
        <v/>
      </c>
      <c r="AC210" s="20" t="n"/>
      <c r="AD210" s="31">
        <f>IFERROR($X210*(1-IF($AC210="",$AL210,VLOOKUP($AC210,MgMad,2,0))),"")</f>
        <v/>
      </c>
      <c r="AE210" s="28">
        <f>IFERROR(LOOKUP(AD210,{0;0.01;0.1;1;10;100},{"Muy baja";"Muy baja";"Baja";"Media";"Alta";"Muy alta"}),"")</f>
        <v/>
      </c>
      <c r="AF210" s="30">
        <f>T210*AD210</f>
        <v/>
      </c>
      <c r="AG210" s="28">
        <f>IFERROR(LOOKUP(AF210,{0;0.5;5;25},{"Bajo";"Medio";"Alto";"Crítico"}),"")</f>
        <v/>
      </c>
      <c r="AH210" s="28">
        <f>IF(AG210="","",IF(OR(AG210="Crítico",AG210="Alto"),"Mitigar",IF(AG210="Medio","Mitigar","Aceptar y monitorear")))</f>
        <v/>
      </c>
      <c r="AI210" s="21" t="n"/>
      <c r="AJ210" s="21" t="n"/>
      <c r="AK210" s="20" t="n"/>
      <c r="AL210" s="77">
        <f>IFERROR(INDEX(MgAmenEfic,MATCH(SUBSTITUTE($H210,"*","-"),MgAmenClave,0)),0)</f>
        <v/>
      </c>
    </row>
    <row r="211" hidden="1" ht="60" customHeight="1" s="54">
      <c r="B211" s="59" t="inlineStr">
        <is>
          <t>R-0206</t>
        </is>
      </c>
      <c r="C211" s="59" t="inlineStr">
        <is>
          <t>DO-16</t>
        </is>
      </c>
      <c r="D211" s="64">
        <f>IFERROR(INDEX(MgNombre,MATCH($C211,MgActId,0)),"")</f>
        <v/>
      </c>
      <c r="E211" s="64">
        <f>IFERROR(INDEX(MgProceso,MATCH($C211,MgActId,0)),"")</f>
        <v/>
      </c>
      <c r="F211" s="64">
        <f>IFERROR(INDEX(MgTipo,MATCH($C211,MgActId,0)),"")</f>
        <v/>
      </c>
      <c r="G211" s="64">
        <f>IFERROR(INDEX(MgSubtipo,MATCH($C211,MgActId,0)),"")</f>
        <v/>
      </c>
      <c r="H211" s="59" t="inlineStr">
        <is>
          <t>E.18</t>
        </is>
      </c>
      <c r="I211" s="64">
        <f>IFERROR(INDEX(MgAmenNombre,MATCH(SUBSTITUTE($H211,"*","-"),MgAmenClave,0)),"")</f>
        <v/>
      </c>
      <c r="J211" s="28">
        <f>IFERROR(INDEX(MgAmenGrupo,MATCH(SUBSTITUTE($H211,"*","-"),MgAmenClave,0)),"")</f>
        <v/>
      </c>
      <c r="K211" s="64">
        <f>IFERROR(INDEX('1. Matriz de Activos'!$Q$6:$Q$239,MATCH($C211,MgActId,0)),"")</f>
        <v/>
      </c>
      <c r="L211" s="64">
        <f>IFERROR(INDEX('1. Matriz de Activos'!$R$6:$R$239,MATCH($C211,MgActId,0)),"")</f>
        <v/>
      </c>
      <c r="M211" s="64">
        <f>IFERROR(INDEX('1. Matriz de Activos'!$S$6:$S$239,MATCH($C211,MgActId,0)),"")</f>
        <v/>
      </c>
      <c r="N211" s="28">
        <f>IFERROR(INDEX(MgAmenDegD,MATCH(SUBSTITUTE($H211,"*","-"),MgAmenClave,0)),"No aplica")</f>
        <v/>
      </c>
      <c r="O211" s="28">
        <f>IFERROR(INDEX(MgAmenDegI,MATCH(SUBSTITUTE($H211,"*","-"),MgAmenClave,0)),"No aplica")</f>
        <v/>
      </c>
      <c r="P211" s="28">
        <f>IFERROR(INDEX(MgAmenDegC,MATCH(SUBSTITUTE($H211,"*","-"),MgAmenClave,0)),"No aplica")</f>
        <v/>
      </c>
      <c r="Q211" s="29">
        <f>IFERROR(VLOOKUP(K211,MgValor,2,0)*VLOOKUP(N211,MgDeg,2,0),0)</f>
        <v/>
      </c>
      <c r="R211" s="29">
        <f>IFERROR(VLOOKUP(L211,MgValor,2,0)*VLOOKUP(O211,MgDeg,2,0),0)</f>
        <v/>
      </c>
      <c r="S211" s="29">
        <f>IFERROR(VLOOKUP(M211,MgValor,2,0)*VLOOKUP(P211,MgDeg,2,0),0)</f>
        <v/>
      </c>
      <c r="T211" s="30">
        <f>MAX(Q211:S211)</f>
        <v/>
      </c>
      <c r="U211" s="28">
        <f>IFERROR(LOOKUP(T211,{0;0.5;1.5;3;4.5},{"Despreciable";"Bajo";"Medio";"Alto";"Muy alto"}),"")</f>
        <v/>
      </c>
      <c r="V211" s="13">
        <f>IFERROR(INDEX(MgAmenFrec,MATCH(SUBSTITUTE($H211,"*","-"),MgAmenClave,0)),"")</f>
        <v/>
      </c>
      <c r="W211" s="28">
        <f>IFERROR(LOOKUP(X211,{0;0.01;0.1;1;10;100},{"Muy baja";"Muy baja";"Baja";"Media";"Alta";"Muy alta"}),"")</f>
        <v/>
      </c>
      <c r="X211" s="31">
        <f>IFERROR(VLOOKUP(V211,MgFrec,2,0),0)</f>
        <v/>
      </c>
      <c r="Y211" s="30">
        <f>T211*X211</f>
        <v/>
      </c>
      <c r="Z211" s="28">
        <f>IFERROR(LOOKUP(Y211,{0;0.5;5;25},{"Bajo";"Medio";"Alto";"Crítico"}),"")</f>
        <v/>
      </c>
      <c r="AA211" s="64">
        <f>IF(T211&gt;=3,IF(X211&gt;=1,"Zona 1 — Crítica: impacto alto y ocurre al menos una vez al año","Zona 4 — Catastrófica poco probable: impacto alto pero excepcional"),IF(AND(T211&lt;1.5,X211&lt;1),"Zona 3 — Asumible: impacto bajo y muy poco frecuente","Zona 2 — Atención: riesgo intermedio"))</f>
        <v/>
      </c>
      <c r="AB211" s="64">
        <f>IFERROR(INDEX(MgAmenCtrl,MATCH(SUBSTITUTE($H211,"*","-"),MgAmenClave,0)),"")</f>
        <v/>
      </c>
      <c r="AC211" s="20" t="n"/>
      <c r="AD211" s="31">
        <f>IFERROR($X211*(1-IF($AC211="",$AL211,VLOOKUP($AC211,MgMad,2,0))),"")</f>
        <v/>
      </c>
      <c r="AE211" s="28">
        <f>IFERROR(LOOKUP(AD211,{0;0.01;0.1;1;10;100},{"Muy baja";"Muy baja";"Baja";"Media";"Alta";"Muy alta"}),"")</f>
        <v/>
      </c>
      <c r="AF211" s="30">
        <f>T211*AD211</f>
        <v/>
      </c>
      <c r="AG211" s="28">
        <f>IFERROR(LOOKUP(AF211,{0;0.5;5;25},{"Bajo";"Medio";"Alto";"Crítico"}),"")</f>
        <v/>
      </c>
      <c r="AH211" s="28">
        <f>IF(AG211="","",IF(OR(AG211="Crítico",AG211="Alto"),"Mitigar",IF(AG211="Medio","Mitigar","Aceptar y monitorear")))</f>
        <v/>
      </c>
      <c r="AI211" s="21" t="n"/>
      <c r="AJ211" s="21" t="n"/>
      <c r="AK211" s="20" t="n"/>
      <c r="AL211" s="77">
        <f>IFERROR(INDEX(MgAmenEfic,MATCH(SUBSTITUTE($H211,"*","-"),MgAmenClave,0)),0)</f>
        <v/>
      </c>
    </row>
    <row r="212" hidden="1" ht="105" customHeight="1" s="54">
      <c r="B212" s="59" t="inlineStr">
        <is>
          <t>R-0207</t>
        </is>
      </c>
      <c r="C212" s="59" t="inlineStr">
        <is>
          <t>DO-16</t>
        </is>
      </c>
      <c r="D212" s="64">
        <f>IFERROR(INDEX(MgNombre,MATCH($C212,MgActId,0)),"")</f>
        <v/>
      </c>
      <c r="E212" s="64">
        <f>IFERROR(INDEX(MgProceso,MATCH($C212,MgActId,0)),"")</f>
        <v/>
      </c>
      <c r="F212" s="64">
        <f>IFERROR(INDEX(MgTipo,MATCH($C212,MgActId,0)),"")</f>
        <v/>
      </c>
      <c r="G212" s="64">
        <f>IFERROR(INDEX(MgSubtipo,MATCH($C212,MgActId,0)),"")</f>
        <v/>
      </c>
      <c r="H212" s="59" t="inlineStr">
        <is>
          <t>E.19</t>
        </is>
      </c>
      <c r="I212" s="64">
        <f>IFERROR(INDEX(MgAmenNombre,MATCH(SUBSTITUTE($H212,"*","-"),MgAmenClave,0)),"")</f>
        <v/>
      </c>
      <c r="J212" s="28">
        <f>IFERROR(INDEX(MgAmenGrupo,MATCH(SUBSTITUTE($H212,"*","-"),MgAmenClave,0)),"")</f>
        <v/>
      </c>
      <c r="K212" s="64">
        <f>IFERROR(INDEX('1. Matriz de Activos'!$Q$6:$Q$239,MATCH($C212,MgActId,0)),"")</f>
        <v/>
      </c>
      <c r="L212" s="64">
        <f>IFERROR(INDEX('1. Matriz de Activos'!$R$6:$R$239,MATCH($C212,MgActId,0)),"")</f>
        <v/>
      </c>
      <c r="M212" s="64">
        <f>IFERROR(INDEX('1. Matriz de Activos'!$S$6:$S$239,MATCH($C212,MgActId,0)),"")</f>
        <v/>
      </c>
      <c r="N212" s="28">
        <f>IFERROR(INDEX(MgAmenDegD,MATCH(SUBSTITUTE($H212,"*","-"),MgAmenClave,0)),"No aplica")</f>
        <v/>
      </c>
      <c r="O212" s="28">
        <f>IFERROR(INDEX(MgAmenDegI,MATCH(SUBSTITUTE($H212,"*","-"),MgAmenClave,0)),"No aplica")</f>
        <v/>
      </c>
      <c r="P212" s="28">
        <f>IFERROR(INDEX(MgAmenDegC,MATCH(SUBSTITUTE($H212,"*","-"),MgAmenClave,0)),"No aplica")</f>
        <v/>
      </c>
      <c r="Q212" s="29">
        <f>IFERROR(VLOOKUP(K212,MgValor,2,0)*VLOOKUP(N212,MgDeg,2,0),0)</f>
        <v/>
      </c>
      <c r="R212" s="29">
        <f>IFERROR(VLOOKUP(L212,MgValor,2,0)*VLOOKUP(O212,MgDeg,2,0),0)</f>
        <v/>
      </c>
      <c r="S212" s="29">
        <f>IFERROR(VLOOKUP(M212,MgValor,2,0)*VLOOKUP(P212,MgDeg,2,0),0)</f>
        <v/>
      </c>
      <c r="T212" s="30">
        <f>MAX(Q212:S212)</f>
        <v/>
      </c>
      <c r="U212" s="28">
        <f>IFERROR(LOOKUP(T212,{0;0.5;1.5;3;4.5},{"Despreciable";"Bajo";"Medio";"Alto";"Muy alto"}),"")</f>
        <v/>
      </c>
      <c r="V212" s="13">
        <f>IFERROR(INDEX(MgAmenFrec,MATCH(SUBSTITUTE($H212,"*","-"),MgAmenClave,0)),"")</f>
        <v/>
      </c>
      <c r="W212" s="28">
        <f>IFERROR(LOOKUP(X212,{0;0.01;0.1;1;10;100},{"Muy baja";"Muy baja";"Baja";"Media";"Alta";"Muy alta"}),"")</f>
        <v/>
      </c>
      <c r="X212" s="31">
        <f>IFERROR(VLOOKUP(V212,MgFrec,2,0),0)</f>
        <v/>
      </c>
      <c r="Y212" s="30">
        <f>T212*X212</f>
        <v/>
      </c>
      <c r="Z212" s="28">
        <f>IFERROR(LOOKUP(Y212,{0;0.5;5;25},{"Bajo";"Medio";"Alto";"Crítico"}),"")</f>
        <v/>
      </c>
      <c r="AA212" s="64">
        <f>IF(T212&gt;=3,IF(X212&gt;=1,"Zona 1 — Crítica: impacto alto y ocurre al menos una vez al año","Zona 4 — Catastrófica poco probable: impacto alto pero excepcional"),IF(AND(T212&lt;1.5,X212&lt;1),"Zona 3 — Asumible: impacto bajo y muy poco frecuente","Zona 2 — Atención: riesgo intermedio"))</f>
        <v/>
      </c>
      <c r="AB212" s="64">
        <f>IFERROR(INDEX(MgAmenCtrl,MATCH(SUBSTITUTE($H212,"*","-"),MgAmenClave,0)),"")</f>
        <v/>
      </c>
      <c r="AC212" s="20" t="n"/>
      <c r="AD212" s="31">
        <f>IFERROR($X212*(1-IF($AC212="",$AL212,VLOOKUP($AC212,MgMad,2,0))),"")</f>
        <v/>
      </c>
      <c r="AE212" s="28">
        <f>IFERROR(LOOKUP(AD212,{0;0.01;0.1;1;10;100},{"Muy baja";"Muy baja";"Baja";"Media";"Alta";"Muy alta"}),"")</f>
        <v/>
      </c>
      <c r="AF212" s="30">
        <f>T212*AD212</f>
        <v/>
      </c>
      <c r="AG212" s="28">
        <f>IFERROR(LOOKUP(AF212,{0;0.5;5;25},{"Bajo";"Medio";"Alto";"Crítico"}),"")</f>
        <v/>
      </c>
      <c r="AH212" s="28">
        <f>IF(AG212="","",IF(OR(AG212="Crítico",AG212="Alto"),"Mitigar",IF(AG212="Medio","Mitigar","Aceptar y monitorear")))</f>
        <v/>
      </c>
      <c r="AI212" s="21" t="n"/>
      <c r="AJ212" s="21" t="n"/>
      <c r="AK212" s="20" t="n"/>
      <c r="AL212" s="77">
        <f>IFERROR(INDEX(MgAmenEfic,MATCH(SUBSTITUTE($H212,"*","-"),MgAmenClave,0)),0)</f>
        <v/>
      </c>
    </row>
    <row r="213" hidden="1" ht="45" customHeight="1" s="54">
      <c r="B213" s="59" t="inlineStr">
        <is>
          <t>R-0208</t>
        </is>
      </c>
      <c r="C213" s="59" t="inlineStr">
        <is>
          <t>DO-16</t>
        </is>
      </c>
      <c r="D213" s="64">
        <f>IFERROR(INDEX(MgNombre,MATCH($C213,MgActId,0)),"")</f>
        <v/>
      </c>
      <c r="E213" s="64">
        <f>IFERROR(INDEX(MgProceso,MATCH($C213,MgActId,0)),"")</f>
        <v/>
      </c>
      <c r="F213" s="64">
        <f>IFERROR(INDEX(MgTipo,MATCH($C213,MgActId,0)),"")</f>
        <v/>
      </c>
      <c r="G213" s="64">
        <f>IFERROR(INDEX(MgSubtipo,MATCH($C213,MgActId,0)),"")</f>
        <v/>
      </c>
      <c r="H213" s="59" t="inlineStr">
        <is>
          <t>E.24</t>
        </is>
      </c>
      <c r="I213" s="64">
        <f>IFERROR(INDEX(MgAmenNombre,MATCH(SUBSTITUTE($H213,"*","-"),MgAmenClave,0)),"")</f>
        <v/>
      </c>
      <c r="J213" s="28">
        <f>IFERROR(INDEX(MgAmenGrupo,MATCH(SUBSTITUTE($H213,"*","-"),MgAmenClave,0)),"")</f>
        <v/>
      </c>
      <c r="K213" s="64">
        <f>IFERROR(INDEX('1. Matriz de Activos'!$Q$6:$Q$239,MATCH($C213,MgActId,0)),"")</f>
        <v/>
      </c>
      <c r="L213" s="64">
        <f>IFERROR(INDEX('1. Matriz de Activos'!$R$6:$R$239,MATCH($C213,MgActId,0)),"")</f>
        <v/>
      </c>
      <c r="M213" s="64">
        <f>IFERROR(INDEX('1. Matriz de Activos'!$S$6:$S$239,MATCH($C213,MgActId,0)),"")</f>
        <v/>
      </c>
      <c r="N213" s="28">
        <f>IFERROR(INDEX(MgAmenDegD,MATCH(SUBSTITUTE($H213,"*","-"),MgAmenClave,0)),"No aplica")</f>
        <v/>
      </c>
      <c r="O213" s="28">
        <f>IFERROR(INDEX(MgAmenDegI,MATCH(SUBSTITUTE($H213,"*","-"),MgAmenClave,0)),"No aplica")</f>
        <v/>
      </c>
      <c r="P213" s="28">
        <f>IFERROR(INDEX(MgAmenDegC,MATCH(SUBSTITUTE($H213,"*","-"),MgAmenClave,0)),"No aplica")</f>
        <v/>
      </c>
      <c r="Q213" s="29">
        <f>IFERROR(VLOOKUP(K213,MgValor,2,0)*VLOOKUP(N213,MgDeg,2,0),0)</f>
        <v/>
      </c>
      <c r="R213" s="29">
        <f>IFERROR(VLOOKUP(L213,MgValor,2,0)*VLOOKUP(O213,MgDeg,2,0),0)</f>
        <v/>
      </c>
      <c r="S213" s="29">
        <f>IFERROR(VLOOKUP(M213,MgValor,2,0)*VLOOKUP(P213,MgDeg,2,0),0)</f>
        <v/>
      </c>
      <c r="T213" s="30">
        <f>MAX(Q213:S213)</f>
        <v/>
      </c>
      <c r="U213" s="28">
        <f>IFERROR(LOOKUP(T213,{0;0.5;1.5;3;4.5},{"Despreciable";"Bajo";"Medio";"Alto";"Muy alto"}),"")</f>
        <v/>
      </c>
      <c r="V213" s="13">
        <f>IFERROR(INDEX(MgAmenFrec,MATCH(SUBSTITUTE($H213,"*","-"),MgAmenClave,0)),"")</f>
        <v/>
      </c>
      <c r="W213" s="28">
        <f>IFERROR(LOOKUP(X213,{0;0.01;0.1;1;10;100},{"Muy baja";"Muy baja";"Baja";"Media";"Alta";"Muy alta"}),"")</f>
        <v/>
      </c>
      <c r="X213" s="31">
        <f>IFERROR(VLOOKUP(V213,MgFrec,2,0),0)</f>
        <v/>
      </c>
      <c r="Y213" s="30">
        <f>T213*X213</f>
        <v/>
      </c>
      <c r="Z213" s="28">
        <f>IFERROR(LOOKUP(Y213,{0;0.5;5;25},{"Bajo";"Medio";"Alto";"Crítico"}),"")</f>
        <v/>
      </c>
      <c r="AA213" s="64">
        <f>IF(T213&gt;=3,IF(X213&gt;=1,"Zona 1 — Crítica: impacto alto y ocurre al menos una vez al año","Zona 4 — Catastrófica poco probable: impacto alto pero excepcional"),IF(AND(T213&lt;1.5,X213&lt;1),"Zona 3 — Asumible: impacto bajo y muy poco frecuente","Zona 2 — Atención: riesgo intermedio"))</f>
        <v/>
      </c>
      <c r="AB213" s="64">
        <f>IFERROR(INDEX(MgAmenCtrl,MATCH(SUBSTITUTE($H213,"*","-"),MgAmenClave,0)),"")</f>
        <v/>
      </c>
      <c r="AC213" s="20" t="n"/>
      <c r="AD213" s="31">
        <f>IFERROR($X213*(1-IF($AC213="",$AL213,VLOOKUP($AC213,MgMad,2,0))),"")</f>
        <v/>
      </c>
      <c r="AE213" s="28">
        <f>IFERROR(LOOKUP(AD213,{0;0.01;0.1;1;10;100},{"Muy baja";"Muy baja";"Baja";"Media";"Alta";"Muy alta"}),"")</f>
        <v/>
      </c>
      <c r="AF213" s="30">
        <f>T213*AD213</f>
        <v/>
      </c>
      <c r="AG213" s="28">
        <f>IFERROR(LOOKUP(AF213,{0;0.5;5;25},{"Bajo";"Medio";"Alto";"Crítico"}),"")</f>
        <v/>
      </c>
      <c r="AH213" s="28">
        <f>IF(AG213="","",IF(OR(AG213="Crítico",AG213="Alto"),"Mitigar",IF(AG213="Medio","Mitigar","Aceptar y monitorear")))</f>
        <v/>
      </c>
      <c r="AI213" s="21" t="n"/>
      <c r="AJ213" s="21" t="n"/>
      <c r="AK213" s="20" t="n"/>
      <c r="AL213" s="77">
        <f>IFERROR(INDEX(MgAmenEfic,MATCH(SUBSTITUTE($H213,"*","-"),MgAmenClave,0)),0)</f>
        <v/>
      </c>
    </row>
    <row r="214" hidden="1" ht="75" customHeight="1" s="54">
      <c r="B214" s="59" t="inlineStr">
        <is>
          <t>R-0209</t>
        </is>
      </c>
      <c r="C214" s="59" t="inlineStr">
        <is>
          <t>DO-16</t>
        </is>
      </c>
      <c r="D214" s="64">
        <f>IFERROR(INDEX(MgNombre,MATCH($C214,MgActId,0)),"")</f>
        <v/>
      </c>
      <c r="E214" s="64">
        <f>IFERROR(INDEX(MgProceso,MATCH($C214,MgActId,0)),"")</f>
        <v/>
      </c>
      <c r="F214" s="64">
        <f>IFERROR(INDEX(MgTipo,MATCH($C214,MgActId,0)),"")</f>
        <v/>
      </c>
      <c r="G214" s="64">
        <f>IFERROR(INDEX(MgSubtipo,MATCH($C214,MgActId,0)),"")</f>
        <v/>
      </c>
      <c r="H214" s="59" t="inlineStr">
        <is>
          <t>A.5</t>
        </is>
      </c>
      <c r="I214" s="64">
        <f>IFERROR(INDEX(MgAmenNombre,MATCH(SUBSTITUTE($H214,"*","-"),MgAmenClave,0)),"")</f>
        <v/>
      </c>
      <c r="J214" s="28">
        <f>IFERROR(INDEX(MgAmenGrupo,MATCH(SUBSTITUTE($H214,"*","-"),MgAmenClave,0)),"")</f>
        <v/>
      </c>
      <c r="K214" s="64">
        <f>IFERROR(INDEX('1. Matriz de Activos'!$Q$6:$Q$239,MATCH($C214,MgActId,0)),"")</f>
        <v/>
      </c>
      <c r="L214" s="64">
        <f>IFERROR(INDEX('1. Matriz de Activos'!$R$6:$R$239,MATCH($C214,MgActId,0)),"")</f>
        <v/>
      </c>
      <c r="M214" s="64">
        <f>IFERROR(INDEX('1. Matriz de Activos'!$S$6:$S$239,MATCH($C214,MgActId,0)),"")</f>
        <v/>
      </c>
      <c r="N214" s="28">
        <f>IFERROR(INDEX(MgAmenDegD,MATCH(SUBSTITUTE($H214,"*","-"),MgAmenClave,0)),"No aplica")</f>
        <v/>
      </c>
      <c r="O214" s="28">
        <f>IFERROR(INDEX(MgAmenDegI,MATCH(SUBSTITUTE($H214,"*","-"),MgAmenClave,0)),"No aplica")</f>
        <v/>
      </c>
      <c r="P214" s="28">
        <f>IFERROR(INDEX(MgAmenDegC,MATCH(SUBSTITUTE($H214,"*","-"),MgAmenClave,0)),"No aplica")</f>
        <v/>
      </c>
      <c r="Q214" s="29">
        <f>IFERROR(VLOOKUP(K214,MgValor,2,0)*VLOOKUP(N214,MgDeg,2,0),0)</f>
        <v/>
      </c>
      <c r="R214" s="29">
        <f>IFERROR(VLOOKUP(L214,MgValor,2,0)*VLOOKUP(O214,MgDeg,2,0),0)</f>
        <v/>
      </c>
      <c r="S214" s="29">
        <f>IFERROR(VLOOKUP(M214,MgValor,2,0)*VLOOKUP(P214,MgDeg,2,0),0)</f>
        <v/>
      </c>
      <c r="T214" s="30">
        <f>MAX(Q214:S214)</f>
        <v/>
      </c>
      <c r="U214" s="28">
        <f>IFERROR(LOOKUP(T214,{0;0.5;1.5;3;4.5},{"Despreciable";"Bajo";"Medio";"Alto";"Muy alto"}),"")</f>
        <v/>
      </c>
      <c r="V214" s="13">
        <f>IFERROR(INDEX(MgAmenFrec,MATCH(SUBSTITUTE($H214,"*","-"),MgAmenClave,0)),"")</f>
        <v/>
      </c>
      <c r="W214" s="28">
        <f>IFERROR(LOOKUP(X214,{0;0.01;0.1;1;10;100},{"Muy baja";"Muy baja";"Baja";"Media";"Alta";"Muy alta"}),"")</f>
        <v/>
      </c>
      <c r="X214" s="31">
        <f>IFERROR(VLOOKUP(V214,MgFrec,2,0),0)</f>
        <v/>
      </c>
      <c r="Y214" s="30">
        <f>T214*X214</f>
        <v/>
      </c>
      <c r="Z214" s="28">
        <f>IFERROR(LOOKUP(Y214,{0;0.5;5;25},{"Bajo";"Medio";"Alto";"Crítico"}),"")</f>
        <v/>
      </c>
      <c r="AA214" s="64">
        <f>IF(T214&gt;=3,IF(X214&gt;=1,"Zona 1 — Crítica: impacto alto y ocurre al menos una vez al año","Zona 4 — Catastrófica poco probable: impacto alto pero excepcional"),IF(AND(T214&lt;1.5,X214&lt;1),"Zona 3 — Asumible: impacto bajo y muy poco frecuente","Zona 2 — Atención: riesgo intermedio"))</f>
        <v/>
      </c>
      <c r="AB214" s="64">
        <f>IFERROR(INDEX(MgAmenCtrl,MATCH(SUBSTITUTE($H214,"*","-"),MgAmenClave,0)),"")</f>
        <v/>
      </c>
      <c r="AC214" s="20" t="n"/>
      <c r="AD214" s="31">
        <f>IFERROR($X214*(1-IF($AC214="",$AL214,VLOOKUP($AC214,MgMad,2,0))),"")</f>
        <v/>
      </c>
      <c r="AE214" s="28">
        <f>IFERROR(LOOKUP(AD214,{0;0.01;0.1;1;10;100},{"Muy baja";"Muy baja";"Baja";"Media";"Alta";"Muy alta"}),"")</f>
        <v/>
      </c>
      <c r="AF214" s="30">
        <f>T214*AD214</f>
        <v/>
      </c>
      <c r="AG214" s="28">
        <f>IFERROR(LOOKUP(AF214,{0;0.5;5;25},{"Bajo";"Medio";"Alto";"Crítico"}),"")</f>
        <v/>
      </c>
      <c r="AH214" s="28">
        <f>IF(AG214="","",IF(OR(AG214="Crítico",AG214="Alto"),"Mitigar",IF(AG214="Medio","Mitigar","Aceptar y monitorear")))</f>
        <v/>
      </c>
      <c r="AI214" s="21" t="n"/>
      <c r="AJ214" s="21" t="n"/>
      <c r="AK214" s="20" t="n"/>
      <c r="AL214" s="77">
        <f>IFERROR(INDEX(MgAmenEfic,MATCH(SUBSTITUTE($H214,"*","-"),MgAmenClave,0)),0)</f>
        <v/>
      </c>
    </row>
    <row r="215" hidden="1" ht="105" customHeight="1" s="54">
      <c r="B215" s="59" t="inlineStr">
        <is>
          <t>R-0210</t>
        </is>
      </c>
      <c r="C215" s="59" t="inlineStr">
        <is>
          <t>DO-16</t>
        </is>
      </c>
      <c r="D215" s="64">
        <f>IFERROR(INDEX(MgNombre,MATCH($C215,MgActId,0)),"")</f>
        <v/>
      </c>
      <c r="E215" s="64">
        <f>IFERROR(INDEX(MgProceso,MATCH($C215,MgActId,0)),"")</f>
        <v/>
      </c>
      <c r="F215" s="64">
        <f>IFERROR(INDEX(MgTipo,MATCH($C215,MgActId,0)),"")</f>
        <v/>
      </c>
      <c r="G215" s="64">
        <f>IFERROR(INDEX(MgSubtipo,MATCH($C215,MgActId,0)),"")</f>
        <v/>
      </c>
      <c r="H215" s="59" t="inlineStr">
        <is>
          <t>A.6</t>
        </is>
      </c>
      <c r="I215" s="64">
        <f>IFERROR(INDEX(MgAmenNombre,MATCH(SUBSTITUTE($H215,"*","-"),MgAmenClave,0)),"")</f>
        <v/>
      </c>
      <c r="J215" s="28">
        <f>IFERROR(INDEX(MgAmenGrupo,MATCH(SUBSTITUTE($H215,"*","-"),MgAmenClave,0)),"")</f>
        <v/>
      </c>
      <c r="K215" s="64">
        <f>IFERROR(INDEX('1. Matriz de Activos'!$Q$6:$Q$239,MATCH($C215,MgActId,0)),"")</f>
        <v/>
      </c>
      <c r="L215" s="64">
        <f>IFERROR(INDEX('1. Matriz de Activos'!$R$6:$R$239,MATCH($C215,MgActId,0)),"")</f>
        <v/>
      </c>
      <c r="M215" s="64">
        <f>IFERROR(INDEX('1. Matriz de Activos'!$S$6:$S$239,MATCH($C215,MgActId,0)),"")</f>
        <v/>
      </c>
      <c r="N215" s="28">
        <f>IFERROR(INDEX(MgAmenDegD,MATCH(SUBSTITUTE($H215,"*","-"),MgAmenClave,0)),"No aplica")</f>
        <v/>
      </c>
      <c r="O215" s="28">
        <f>IFERROR(INDEX(MgAmenDegI,MATCH(SUBSTITUTE($H215,"*","-"),MgAmenClave,0)),"No aplica")</f>
        <v/>
      </c>
      <c r="P215" s="28">
        <f>IFERROR(INDEX(MgAmenDegC,MATCH(SUBSTITUTE($H215,"*","-"),MgAmenClave,0)),"No aplica")</f>
        <v/>
      </c>
      <c r="Q215" s="29">
        <f>IFERROR(VLOOKUP(K215,MgValor,2,0)*VLOOKUP(N215,MgDeg,2,0),0)</f>
        <v/>
      </c>
      <c r="R215" s="29">
        <f>IFERROR(VLOOKUP(L215,MgValor,2,0)*VLOOKUP(O215,MgDeg,2,0),0)</f>
        <v/>
      </c>
      <c r="S215" s="29">
        <f>IFERROR(VLOOKUP(M215,MgValor,2,0)*VLOOKUP(P215,MgDeg,2,0),0)</f>
        <v/>
      </c>
      <c r="T215" s="30">
        <f>MAX(Q215:S215)</f>
        <v/>
      </c>
      <c r="U215" s="28">
        <f>IFERROR(LOOKUP(T215,{0;0.5;1.5;3;4.5},{"Despreciable";"Bajo";"Medio";"Alto";"Muy alto"}),"")</f>
        <v/>
      </c>
      <c r="V215" s="13">
        <f>IFERROR(INDEX(MgAmenFrec,MATCH(SUBSTITUTE($H215,"*","-"),MgAmenClave,0)),"")</f>
        <v/>
      </c>
      <c r="W215" s="28">
        <f>IFERROR(LOOKUP(X215,{0;0.01;0.1;1;10;100},{"Muy baja";"Muy baja";"Baja";"Media";"Alta";"Muy alta"}),"")</f>
        <v/>
      </c>
      <c r="X215" s="31">
        <f>IFERROR(VLOOKUP(V215,MgFrec,2,0),0)</f>
        <v/>
      </c>
      <c r="Y215" s="30">
        <f>T215*X215</f>
        <v/>
      </c>
      <c r="Z215" s="28">
        <f>IFERROR(LOOKUP(Y215,{0;0.5;5;25},{"Bajo";"Medio";"Alto";"Crítico"}),"")</f>
        <v/>
      </c>
      <c r="AA215" s="64">
        <f>IF(T215&gt;=3,IF(X215&gt;=1,"Zona 1 — Crítica: impacto alto y ocurre al menos una vez al año","Zona 4 — Catastrófica poco probable: impacto alto pero excepcional"),IF(AND(T215&lt;1.5,X215&lt;1),"Zona 3 — Asumible: impacto bajo y muy poco frecuente","Zona 2 — Atención: riesgo intermedio"))</f>
        <v/>
      </c>
      <c r="AB215" s="64">
        <f>IFERROR(INDEX(MgAmenCtrl,MATCH(SUBSTITUTE($H215,"*","-"),MgAmenClave,0)),"")</f>
        <v/>
      </c>
      <c r="AC215" s="20" t="n"/>
      <c r="AD215" s="31">
        <f>IFERROR($X215*(1-IF($AC215="",$AL215,VLOOKUP($AC215,MgMad,2,0))),"")</f>
        <v/>
      </c>
      <c r="AE215" s="28">
        <f>IFERROR(LOOKUP(AD215,{0;0.01;0.1;1;10;100},{"Muy baja";"Muy baja";"Baja";"Media";"Alta";"Muy alta"}),"")</f>
        <v/>
      </c>
      <c r="AF215" s="30">
        <f>T215*AD215</f>
        <v/>
      </c>
      <c r="AG215" s="28">
        <f>IFERROR(LOOKUP(AF215,{0;0.5;5;25},{"Bajo";"Medio";"Alto";"Crítico"}),"")</f>
        <v/>
      </c>
      <c r="AH215" s="28">
        <f>IF(AG215="","",IF(OR(AG215="Crítico",AG215="Alto"),"Mitigar",IF(AG215="Medio","Mitigar","Aceptar y monitorear")))</f>
        <v/>
      </c>
      <c r="AI215" s="21" t="n"/>
      <c r="AJ215" s="21" t="n"/>
      <c r="AK215" s="20" t="n"/>
      <c r="AL215" s="77">
        <f>IFERROR(INDEX(MgAmenEfic,MATCH(SUBSTITUTE($H215,"*","-"),MgAmenClave,0)),0)</f>
        <v/>
      </c>
    </row>
    <row r="216" hidden="1" ht="60" customHeight="1" s="54">
      <c r="B216" s="59" t="inlineStr">
        <is>
          <t>R-0211</t>
        </is>
      </c>
      <c r="C216" s="59" t="inlineStr">
        <is>
          <t>DO-16</t>
        </is>
      </c>
      <c r="D216" s="64">
        <f>IFERROR(INDEX(MgNombre,MATCH($C216,MgActId,0)),"")</f>
        <v/>
      </c>
      <c r="E216" s="64">
        <f>IFERROR(INDEX(MgProceso,MATCH($C216,MgActId,0)),"")</f>
        <v/>
      </c>
      <c r="F216" s="64">
        <f>IFERROR(INDEX(MgTipo,MATCH($C216,MgActId,0)),"")</f>
        <v/>
      </c>
      <c r="G216" s="64">
        <f>IFERROR(INDEX(MgSubtipo,MATCH($C216,MgActId,0)),"")</f>
        <v/>
      </c>
      <c r="H216" s="59" t="inlineStr">
        <is>
          <t>A.7</t>
        </is>
      </c>
      <c r="I216" s="64">
        <f>IFERROR(INDEX(MgAmenNombre,MATCH(SUBSTITUTE($H216,"*","-"),MgAmenClave,0)),"")</f>
        <v/>
      </c>
      <c r="J216" s="28">
        <f>IFERROR(INDEX(MgAmenGrupo,MATCH(SUBSTITUTE($H216,"*","-"),MgAmenClave,0)),"")</f>
        <v/>
      </c>
      <c r="K216" s="64">
        <f>IFERROR(INDEX('1. Matriz de Activos'!$Q$6:$Q$239,MATCH($C216,MgActId,0)),"")</f>
        <v/>
      </c>
      <c r="L216" s="64">
        <f>IFERROR(INDEX('1. Matriz de Activos'!$R$6:$R$239,MATCH($C216,MgActId,0)),"")</f>
        <v/>
      </c>
      <c r="M216" s="64">
        <f>IFERROR(INDEX('1. Matriz de Activos'!$S$6:$S$239,MATCH($C216,MgActId,0)),"")</f>
        <v/>
      </c>
      <c r="N216" s="28">
        <f>IFERROR(INDEX(MgAmenDegD,MATCH(SUBSTITUTE($H216,"*","-"),MgAmenClave,0)),"No aplica")</f>
        <v/>
      </c>
      <c r="O216" s="28">
        <f>IFERROR(INDEX(MgAmenDegI,MATCH(SUBSTITUTE($H216,"*","-"),MgAmenClave,0)),"No aplica")</f>
        <v/>
      </c>
      <c r="P216" s="28">
        <f>IFERROR(INDEX(MgAmenDegC,MATCH(SUBSTITUTE($H216,"*","-"),MgAmenClave,0)),"No aplica")</f>
        <v/>
      </c>
      <c r="Q216" s="29">
        <f>IFERROR(VLOOKUP(K216,MgValor,2,0)*VLOOKUP(N216,MgDeg,2,0),0)</f>
        <v/>
      </c>
      <c r="R216" s="29">
        <f>IFERROR(VLOOKUP(L216,MgValor,2,0)*VLOOKUP(O216,MgDeg,2,0),0)</f>
        <v/>
      </c>
      <c r="S216" s="29">
        <f>IFERROR(VLOOKUP(M216,MgValor,2,0)*VLOOKUP(P216,MgDeg,2,0),0)</f>
        <v/>
      </c>
      <c r="T216" s="30">
        <f>MAX(Q216:S216)</f>
        <v/>
      </c>
      <c r="U216" s="28">
        <f>IFERROR(LOOKUP(T216,{0;0.5;1.5;3;4.5},{"Despreciable";"Bajo";"Medio";"Alto";"Muy alto"}),"")</f>
        <v/>
      </c>
      <c r="V216" s="13">
        <f>IFERROR(INDEX(MgAmenFrec,MATCH(SUBSTITUTE($H216,"*","-"),MgAmenClave,0)),"")</f>
        <v/>
      </c>
      <c r="W216" s="28">
        <f>IFERROR(LOOKUP(X216,{0;0.01;0.1;1;10;100},{"Muy baja";"Muy baja";"Baja";"Media";"Alta";"Muy alta"}),"")</f>
        <v/>
      </c>
      <c r="X216" s="31">
        <f>IFERROR(VLOOKUP(V216,MgFrec,2,0),0)</f>
        <v/>
      </c>
      <c r="Y216" s="30">
        <f>T216*X216</f>
        <v/>
      </c>
      <c r="Z216" s="28">
        <f>IFERROR(LOOKUP(Y216,{0;0.5;5;25},{"Bajo";"Medio";"Alto";"Crítico"}),"")</f>
        <v/>
      </c>
      <c r="AA216" s="64">
        <f>IF(T216&gt;=3,IF(X216&gt;=1,"Zona 1 — Crítica: impacto alto y ocurre al menos una vez al año","Zona 4 — Catastrófica poco probable: impacto alto pero excepcional"),IF(AND(T216&lt;1.5,X216&lt;1),"Zona 3 — Asumible: impacto bajo y muy poco frecuente","Zona 2 — Atención: riesgo intermedio"))</f>
        <v/>
      </c>
      <c r="AB216" s="64">
        <f>IFERROR(INDEX(MgAmenCtrl,MATCH(SUBSTITUTE($H216,"*","-"),MgAmenClave,0)),"")</f>
        <v/>
      </c>
      <c r="AC216" s="20" t="n"/>
      <c r="AD216" s="31">
        <f>IFERROR($X216*(1-IF($AC216="",$AL216,VLOOKUP($AC216,MgMad,2,0))),"")</f>
        <v/>
      </c>
      <c r="AE216" s="28">
        <f>IFERROR(LOOKUP(AD216,{0;0.01;0.1;1;10;100},{"Muy baja";"Muy baja";"Baja";"Media";"Alta";"Muy alta"}),"")</f>
        <v/>
      </c>
      <c r="AF216" s="30">
        <f>T216*AD216</f>
        <v/>
      </c>
      <c r="AG216" s="28">
        <f>IFERROR(LOOKUP(AF216,{0;0.5;5;25},{"Bajo";"Medio";"Alto";"Crítico"}),"")</f>
        <v/>
      </c>
      <c r="AH216" s="28">
        <f>IF(AG216="","",IF(OR(AG216="Crítico",AG216="Alto"),"Mitigar",IF(AG216="Medio","Mitigar","Aceptar y monitorear")))</f>
        <v/>
      </c>
      <c r="AI216" s="21" t="n"/>
      <c r="AJ216" s="21" t="n"/>
      <c r="AK216" s="20" t="n"/>
      <c r="AL216" s="77">
        <f>IFERROR(INDEX(MgAmenEfic,MATCH(SUBSTITUTE($H216,"*","-"),MgAmenClave,0)),0)</f>
        <v/>
      </c>
    </row>
    <row r="217" hidden="1" ht="60" customHeight="1" s="54">
      <c r="B217" s="59" t="inlineStr">
        <is>
          <t>R-0212</t>
        </is>
      </c>
      <c r="C217" s="59" t="inlineStr">
        <is>
          <t>DO-16</t>
        </is>
      </c>
      <c r="D217" s="64">
        <f>IFERROR(INDEX(MgNombre,MATCH($C217,MgActId,0)),"")</f>
        <v/>
      </c>
      <c r="E217" s="64">
        <f>IFERROR(INDEX(MgProceso,MATCH($C217,MgActId,0)),"")</f>
        <v/>
      </c>
      <c r="F217" s="64">
        <f>IFERROR(INDEX(MgTipo,MATCH($C217,MgActId,0)),"")</f>
        <v/>
      </c>
      <c r="G217" s="64">
        <f>IFERROR(INDEX(MgSubtipo,MATCH($C217,MgActId,0)),"")</f>
        <v/>
      </c>
      <c r="H217" s="59" t="inlineStr">
        <is>
          <t>A.9</t>
        </is>
      </c>
      <c r="I217" s="64">
        <f>IFERROR(INDEX(MgAmenNombre,MATCH(SUBSTITUTE($H217,"*","-"),MgAmenClave,0)),"")</f>
        <v/>
      </c>
      <c r="J217" s="28">
        <f>IFERROR(INDEX(MgAmenGrupo,MATCH(SUBSTITUTE($H217,"*","-"),MgAmenClave,0)),"")</f>
        <v/>
      </c>
      <c r="K217" s="64">
        <f>IFERROR(INDEX('1. Matriz de Activos'!$Q$6:$Q$239,MATCH($C217,MgActId,0)),"")</f>
        <v/>
      </c>
      <c r="L217" s="64">
        <f>IFERROR(INDEX('1. Matriz de Activos'!$R$6:$R$239,MATCH($C217,MgActId,0)),"")</f>
        <v/>
      </c>
      <c r="M217" s="64">
        <f>IFERROR(INDEX('1. Matriz de Activos'!$S$6:$S$239,MATCH($C217,MgActId,0)),"")</f>
        <v/>
      </c>
      <c r="N217" s="28">
        <f>IFERROR(INDEX(MgAmenDegD,MATCH(SUBSTITUTE($H217,"*","-"),MgAmenClave,0)),"No aplica")</f>
        <v/>
      </c>
      <c r="O217" s="28">
        <f>IFERROR(INDEX(MgAmenDegI,MATCH(SUBSTITUTE($H217,"*","-"),MgAmenClave,0)),"No aplica")</f>
        <v/>
      </c>
      <c r="P217" s="28">
        <f>IFERROR(INDEX(MgAmenDegC,MATCH(SUBSTITUTE($H217,"*","-"),MgAmenClave,0)),"No aplica")</f>
        <v/>
      </c>
      <c r="Q217" s="29">
        <f>IFERROR(VLOOKUP(K217,MgValor,2,0)*VLOOKUP(N217,MgDeg,2,0),0)</f>
        <v/>
      </c>
      <c r="R217" s="29">
        <f>IFERROR(VLOOKUP(L217,MgValor,2,0)*VLOOKUP(O217,MgDeg,2,0),0)</f>
        <v/>
      </c>
      <c r="S217" s="29">
        <f>IFERROR(VLOOKUP(M217,MgValor,2,0)*VLOOKUP(P217,MgDeg,2,0),0)</f>
        <v/>
      </c>
      <c r="T217" s="30">
        <f>MAX(Q217:S217)</f>
        <v/>
      </c>
      <c r="U217" s="28">
        <f>IFERROR(LOOKUP(T217,{0;0.5;1.5;3;4.5},{"Despreciable";"Bajo";"Medio";"Alto";"Muy alto"}),"")</f>
        <v/>
      </c>
      <c r="V217" s="13">
        <f>IFERROR(INDEX(MgAmenFrec,MATCH(SUBSTITUTE($H217,"*","-"),MgAmenClave,0)),"")</f>
        <v/>
      </c>
      <c r="W217" s="28">
        <f>IFERROR(LOOKUP(X217,{0;0.01;0.1;1;10;100},{"Muy baja";"Muy baja";"Baja";"Media";"Alta";"Muy alta"}),"")</f>
        <v/>
      </c>
      <c r="X217" s="31">
        <f>IFERROR(VLOOKUP(V217,MgFrec,2,0),0)</f>
        <v/>
      </c>
      <c r="Y217" s="30">
        <f>T217*X217</f>
        <v/>
      </c>
      <c r="Z217" s="28">
        <f>IFERROR(LOOKUP(Y217,{0;0.5;5;25},{"Bajo";"Medio";"Alto";"Crítico"}),"")</f>
        <v/>
      </c>
      <c r="AA217" s="64">
        <f>IF(T217&gt;=3,IF(X217&gt;=1,"Zona 1 — Crítica: impacto alto y ocurre al menos una vez al año","Zona 4 — Catastrófica poco probable: impacto alto pero excepcional"),IF(AND(T217&lt;1.5,X217&lt;1),"Zona 3 — Asumible: impacto bajo y muy poco frecuente","Zona 2 — Atención: riesgo intermedio"))</f>
        <v/>
      </c>
      <c r="AB217" s="64">
        <f>IFERROR(INDEX(MgAmenCtrl,MATCH(SUBSTITUTE($H217,"*","-"),MgAmenClave,0)),"")</f>
        <v/>
      </c>
      <c r="AC217" s="20" t="n"/>
      <c r="AD217" s="31">
        <f>IFERROR($X217*(1-IF($AC217="",$AL217,VLOOKUP($AC217,MgMad,2,0))),"")</f>
        <v/>
      </c>
      <c r="AE217" s="28">
        <f>IFERROR(LOOKUP(AD217,{0;0.01;0.1;1;10;100},{"Muy baja";"Muy baja";"Baja";"Media";"Alta";"Muy alta"}),"")</f>
        <v/>
      </c>
      <c r="AF217" s="30">
        <f>T217*AD217</f>
        <v/>
      </c>
      <c r="AG217" s="28">
        <f>IFERROR(LOOKUP(AF217,{0;0.5;5;25},{"Bajo";"Medio";"Alto";"Crítico"}),"")</f>
        <v/>
      </c>
      <c r="AH217" s="28">
        <f>IF(AG217="","",IF(OR(AG217="Crítico",AG217="Alto"),"Mitigar",IF(AG217="Medio","Mitigar","Aceptar y monitorear")))</f>
        <v/>
      </c>
      <c r="AI217" s="21" t="n"/>
      <c r="AJ217" s="21" t="n"/>
      <c r="AK217" s="20" t="n"/>
      <c r="AL217" s="77">
        <f>IFERROR(INDEX(MgAmenEfic,MATCH(SUBSTITUTE($H217,"*","-"),MgAmenClave,0)),0)</f>
        <v/>
      </c>
    </row>
    <row r="218" hidden="1" ht="45" customHeight="1" s="54">
      <c r="B218" s="59" t="inlineStr">
        <is>
          <t>R-0213</t>
        </is>
      </c>
      <c r="C218" s="59" t="inlineStr">
        <is>
          <t>DO-16</t>
        </is>
      </c>
      <c r="D218" s="64">
        <f>IFERROR(INDEX(MgNombre,MATCH($C218,MgActId,0)),"")</f>
        <v/>
      </c>
      <c r="E218" s="64">
        <f>IFERROR(INDEX(MgProceso,MATCH($C218,MgActId,0)),"")</f>
        <v/>
      </c>
      <c r="F218" s="64">
        <f>IFERROR(INDEX(MgTipo,MATCH($C218,MgActId,0)),"")</f>
        <v/>
      </c>
      <c r="G218" s="64">
        <f>IFERROR(INDEX(MgSubtipo,MATCH($C218,MgActId,0)),"")</f>
        <v/>
      </c>
      <c r="H218" s="59" t="inlineStr">
        <is>
          <t>A.10</t>
        </is>
      </c>
      <c r="I218" s="64">
        <f>IFERROR(INDEX(MgAmenNombre,MATCH(SUBSTITUTE($H218,"*","-"),MgAmenClave,0)),"")</f>
        <v/>
      </c>
      <c r="J218" s="28">
        <f>IFERROR(INDEX(MgAmenGrupo,MATCH(SUBSTITUTE($H218,"*","-"),MgAmenClave,0)),"")</f>
        <v/>
      </c>
      <c r="K218" s="64">
        <f>IFERROR(INDEX('1. Matriz de Activos'!$Q$6:$Q$239,MATCH($C218,MgActId,0)),"")</f>
        <v/>
      </c>
      <c r="L218" s="64">
        <f>IFERROR(INDEX('1. Matriz de Activos'!$R$6:$R$239,MATCH($C218,MgActId,0)),"")</f>
        <v/>
      </c>
      <c r="M218" s="64">
        <f>IFERROR(INDEX('1. Matriz de Activos'!$S$6:$S$239,MATCH($C218,MgActId,0)),"")</f>
        <v/>
      </c>
      <c r="N218" s="28">
        <f>IFERROR(INDEX(MgAmenDegD,MATCH(SUBSTITUTE($H218,"*","-"),MgAmenClave,0)),"No aplica")</f>
        <v/>
      </c>
      <c r="O218" s="28">
        <f>IFERROR(INDEX(MgAmenDegI,MATCH(SUBSTITUTE($H218,"*","-"),MgAmenClave,0)),"No aplica")</f>
        <v/>
      </c>
      <c r="P218" s="28">
        <f>IFERROR(INDEX(MgAmenDegC,MATCH(SUBSTITUTE($H218,"*","-"),MgAmenClave,0)),"No aplica")</f>
        <v/>
      </c>
      <c r="Q218" s="29">
        <f>IFERROR(VLOOKUP(K218,MgValor,2,0)*VLOOKUP(N218,MgDeg,2,0),0)</f>
        <v/>
      </c>
      <c r="R218" s="29">
        <f>IFERROR(VLOOKUP(L218,MgValor,2,0)*VLOOKUP(O218,MgDeg,2,0),0)</f>
        <v/>
      </c>
      <c r="S218" s="29">
        <f>IFERROR(VLOOKUP(M218,MgValor,2,0)*VLOOKUP(P218,MgDeg,2,0),0)</f>
        <v/>
      </c>
      <c r="T218" s="30">
        <f>MAX(Q218:S218)</f>
        <v/>
      </c>
      <c r="U218" s="28">
        <f>IFERROR(LOOKUP(T218,{0;0.5;1.5;3;4.5},{"Despreciable";"Bajo";"Medio";"Alto";"Muy alto"}),"")</f>
        <v/>
      </c>
      <c r="V218" s="13">
        <f>IFERROR(INDEX(MgAmenFrec,MATCH(SUBSTITUTE($H218,"*","-"),MgAmenClave,0)),"")</f>
        <v/>
      </c>
      <c r="W218" s="28">
        <f>IFERROR(LOOKUP(X218,{0;0.01;0.1;1;10;100},{"Muy baja";"Muy baja";"Baja";"Media";"Alta";"Muy alta"}),"")</f>
        <v/>
      </c>
      <c r="X218" s="31">
        <f>IFERROR(VLOOKUP(V218,MgFrec,2,0),0)</f>
        <v/>
      </c>
      <c r="Y218" s="30">
        <f>T218*X218</f>
        <v/>
      </c>
      <c r="Z218" s="28">
        <f>IFERROR(LOOKUP(Y218,{0;0.5;5;25},{"Bajo";"Medio";"Alto";"Crítico"}),"")</f>
        <v/>
      </c>
      <c r="AA218" s="64">
        <f>IF(T218&gt;=3,IF(X218&gt;=1,"Zona 1 — Crítica: impacto alto y ocurre al menos una vez al año","Zona 4 — Catastrófica poco probable: impacto alto pero excepcional"),IF(AND(T218&lt;1.5,X218&lt;1),"Zona 3 — Asumible: impacto bajo y muy poco frecuente","Zona 2 — Atención: riesgo intermedio"))</f>
        <v/>
      </c>
      <c r="AB218" s="64">
        <f>IFERROR(INDEX(MgAmenCtrl,MATCH(SUBSTITUTE($H218,"*","-"),MgAmenClave,0)),"")</f>
        <v/>
      </c>
      <c r="AC218" s="20" t="n"/>
      <c r="AD218" s="31">
        <f>IFERROR($X218*(1-IF($AC218="",$AL218,VLOOKUP($AC218,MgMad,2,0))),"")</f>
        <v/>
      </c>
      <c r="AE218" s="28">
        <f>IFERROR(LOOKUP(AD218,{0;0.01;0.1;1;10;100},{"Muy baja";"Muy baja";"Baja";"Media";"Alta";"Muy alta"}),"")</f>
        <v/>
      </c>
      <c r="AF218" s="30">
        <f>T218*AD218</f>
        <v/>
      </c>
      <c r="AG218" s="28">
        <f>IFERROR(LOOKUP(AF218,{0;0.5;5;25},{"Bajo";"Medio";"Alto";"Crítico"}),"")</f>
        <v/>
      </c>
      <c r="AH218" s="28">
        <f>IF(AG218="","",IF(OR(AG218="Crítico",AG218="Alto"),"Mitigar",IF(AG218="Medio","Mitigar","Aceptar y monitorear")))</f>
        <v/>
      </c>
      <c r="AI218" s="21" t="n"/>
      <c r="AJ218" s="21" t="n"/>
      <c r="AK218" s="20" t="n"/>
      <c r="AL218" s="77">
        <f>IFERROR(INDEX(MgAmenEfic,MATCH(SUBSTITUTE($H218,"*","-"),MgAmenClave,0)),0)</f>
        <v/>
      </c>
    </row>
    <row r="219" hidden="1" ht="120" customHeight="1" s="54">
      <c r="B219" s="59" t="inlineStr">
        <is>
          <t>R-0214</t>
        </is>
      </c>
      <c r="C219" s="59" t="inlineStr">
        <is>
          <t>DO-16</t>
        </is>
      </c>
      <c r="D219" s="64">
        <f>IFERROR(INDEX(MgNombre,MATCH($C219,MgActId,0)),"")</f>
        <v/>
      </c>
      <c r="E219" s="64">
        <f>IFERROR(INDEX(MgProceso,MATCH($C219,MgActId,0)),"")</f>
        <v/>
      </c>
      <c r="F219" s="64">
        <f>IFERROR(INDEX(MgTipo,MATCH($C219,MgActId,0)),"")</f>
        <v/>
      </c>
      <c r="G219" s="64">
        <f>IFERROR(INDEX(MgSubtipo,MATCH($C219,MgActId,0)),"")</f>
        <v/>
      </c>
      <c r="H219" s="59" t="inlineStr">
        <is>
          <t>A.11</t>
        </is>
      </c>
      <c r="I219" s="64">
        <f>IFERROR(INDEX(MgAmenNombre,MATCH(SUBSTITUTE($H219,"*","-"),MgAmenClave,0)),"")</f>
        <v/>
      </c>
      <c r="J219" s="28">
        <f>IFERROR(INDEX(MgAmenGrupo,MATCH(SUBSTITUTE($H219,"*","-"),MgAmenClave,0)),"")</f>
        <v/>
      </c>
      <c r="K219" s="64">
        <f>IFERROR(INDEX('1. Matriz de Activos'!$Q$6:$Q$239,MATCH($C219,MgActId,0)),"")</f>
        <v/>
      </c>
      <c r="L219" s="64">
        <f>IFERROR(INDEX('1. Matriz de Activos'!$R$6:$R$239,MATCH($C219,MgActId,0)),"")</f>
        <v/>
      </c>
      <c r="M219" s="64">
        <f>IFERROR(INDEX('1. Matriz de Activos'!$S$6:$S$239,MATCH($C219,MgActId,0)),"")</f>
        <v/>
      </c>
      <c r="N219" s="28">
        <f>IFERROR(INDEX(MgAmenDegD,MATCH(SUBSTITUTE($H219,"*","-"),MgAmenClave,0)),"No aplica")</f>
        <v/>
      </c>
      <c r="O219" s="28">
        <f>IFERROR(INDEX(MgAmenDegI,MATCH(SUBSTITUTE($H219,"*","-"),MgAmenClave,0)),"No aplica")</f>
        <v/>
      </c>
      <c r="P219" s="28">
        <f>IFERROR(INDEX(MgAmenDegC,MATCH(SUBSTITUTE($H219,"*","-"),MgAmenClave,0)),"No aplica")</f>
        <v/>
      </c>
      <c r="Q219" s="29">
        <f>IFERROR(VLOOKUP(K219,MgValor,2,0)*VLOOKUP(N219,MgDeg,2,0),0)</f>
        <v/>
      </c>
      <c r="R219" s="29">
        <f>IFERROR(VLOOKUP(L219,MgValor,2,0)*VLOOKUP(O219,MgDeg,2,0),0)</f>
        <v/>
      </c>
      <c r="S219" s="29">
        <f>IFERROR(VLOOKUP(M219,MgValor,2,0)*VLOOKUP(P219,MgDeg,2,0),0)</f>
        <v/>
      </c>
      <c r="T219" s="30">
        <f>MAX(Q219:S219)</f>
        <v/>
      </c>
      <c r="U219" s="28">
        <f>IFERROR(LOOKUP(T219,{0;0.5;1.5;3;4.5},{"Despreciable";"Bajo";"Medio";"Alto";"Muy alto"}),"")</f>
        <v/>
      </c>
      <c r="V219" s="13">
        <f>IFERROR(INDEX(MgAmenFrec,MATCH(SUBSTITUTE($H219,"*","-"),MgAmenClave,0)),"")</f>
        <v/>
      </c>
      <c r="W219" s="28">
        <f>IFERROR(LOOKUP(X219,{0;0.01;0.1;1;10;100},{"Muy baja";"Muy baja";"Baja";"Media";"Alta";"Muy alta"}),"")</f>
        <v/>
      </c>
      <c r="X219" s="31">
        <f>IFERROR(VLOOKUP(V219,MgFrec,2,0),0)</f>
        <v/>
      </c>
      <c r="Y219" s="30">
        <f>T219*X219</f>
        <v/>
      </c>
      <c r="Z219" s="28">
        <f>IFERROR(LOOKUP(Y219,{0;0.5;5;25},{"Bajo";"Medio";"Alto";"Crítico"}),"")</f>
        <v/>
      </c>
      <c r="AA219" s="64">
        <f>IF(T219&gt;=3,IF(X219&gt;=1,"Zona 1 — Crítica: impacto alto y ocurre al menos una vez al año","Zona 4 — Catastrófica poco probable: impacto alto pero excepcional"),IF(AND(T219&lt;1.5,X219&lt;1),"Zona 3 — Asumible: impacto bajo y muy poco frecuente","Zona 2 — Atención: riesgo intermedio"))</f>
        <v/>
      </c>
      <c r="AB219" s="64">
        <f>IFERROR(INDEX(MgAmenCtrl,MATCH(SUBSTITUTE($H219,"*","-"),MgAmenClave,0)),"")</f>
        <v/>
      </c>
      <c r="AC219" s="20" t="n"/>
      <c r="AD219" s="31">
        <f>IFERROR($X219*(1-IF($AC219="",$AL219,VLOOKUP($AC219,MgMad,2,0))),"")</f>
        <v/>
      </c>
      <c r="AE219" s="28">
        <f>IFERROR(LOOKUP(AD219,{0;0.01;0.1;1;10;100},{"Muy baja";"Muy baja";"Baja";"Media";"Alta";"Muy alta"}),"")</f>
        <v/>
      </c>
      <c r="AF219" s="30">
        <f>T219*AD219</f>
        <v/>
      </c>
      <c r="AG219" s="28">
        <f>IFERROR(LOOKUP(AF219,{0;0.5;5;25},{"Bajo";"Medio";"Alto";"Crítico"}),"")</f>
        <v/>
      </c>
      <c r="AH219" s="28">
        <f>IF(AG219="","",IF(OR(AG219="Crítico",AG219="Alto"),"Mitigar",IF(AG219="Medio","Mitigar","Aceptar y monitorear")))</f>
        <v/>
      </c>
      <c r="AI219" s="21" t="n"/>
      <c r="AJ219" s="21" t="n"/>
      <c r="AK219" s="20" t="n"/>
      <c r="AL219" s="77">
        <f>IFERROR(INDEX(MgAmenEfic,MATCH(SUBSTITUTE($H219,"*","-"),MgAmenClave,0)),0)</f>
        <v/>
      </c>
    </row>
    <row r="220" hidden="1" ht="45" customHeight="1" s="54">
      <c r="B220" s="59" t="inlineStr">
        <is>
          <t>R-0215</t>
        </is>
      </c>
      <c r="C220" s="59" t="inlineStr">
        <is>
          <t>DO-16</t>
        </is>
      </c>
      <c r="D220" s="64">
        <f>IFERROR(INDEX(MgNombre,MATCH($C220,MgActId,0)),"")</f>
        <v/>
      </c>
      <c r="E220" s="64">
        <f>IFERROR(INDEX(MgProceso,MATCH($C220,MgActId,0)),"")</f>
        <v/>
      </c>
      <c r="F220" s="64">
        <f>IFERROR(INDEX(MgTipo,MATCH($C220,MgActId,0)),"")</f>
        <v/>
      </c>
      <c r="G220" s="64">
        <f>IFERROR(INDEX(MgSubtipo,MATCH($C220,MgActId,0)),"")</f>
        <v/>
      </c>
      <c r="H220" s="59" t="inlineStr">
        <is>
          <t>A.12</t>
        </is>
      </c>
      <c r="I220" s="64">
        <f>IFERROR(INDEX(MgAmenNombre,MATCH(SUBSTITUTE($H220,"*","-"),MgAmenClave,0)),"")</f>
        <v/>
      </c>
      <c r="J220" s="28">
        <f>IFERROR(INDEX(MgAmenGrupo,MATCH(SUBSTITUTE($H220,"*","-"),MgAmenClave,0)),"")</f>
        <v/>
      </c>
      <c r="K220" s="64">
        <f>IFERROR(INDEX('1. Matriz de Activos'!$Q$6:$Q$239,MATCH($C220,MgActId,0)),"")</f>
        <v/>
      </c>
      <c r="L220" s="64">
        <f>IFERROR(INDEX('1. Matriz de Activos'!$R$6:$R$239,MATCH($C220,MgActId,0)),"")</f>
        <v/>
      </c>
      <c r="M220" s="64">
        <f>IFERROR(INDEX('1. Matriz de Activos'!$S$6:$S$239,MATCH($C220,MgActId,0)),"")</f>
        <v/>
      </c>
      <c r="N220" s="28">
        <f>IFERROR(INDEX(MgAmenDegD,MATCH(SUBSTITUTE($H220,"*","-"),MgAmenClave,0)),"No aplica")</f>
        <v/>
      </c>
      <c r="O220" s="28">
        <f>IFERROR(INDEX(MgAmenDegI,MATCH(SUBSTITUTE($H220,"*","-"),MgAmenClave,0)),"No aplica")</f>
        <v/>
      </c>
      <c r="P220" s="28">
        <f>IFERROR(INDEX(MgAmenDegC,MATCH(SUBSTITUTE($H220,"*","-"),MgAmenClave,0)),"No aplica")</f>
        <v/>
      </c>
      <c r="Q220" s="29">
        <f>IFERROR(VLOOKUP(K220,MgValor,2,0)*VLOOKUP(N220,MgDeg,2,0),0)</f>
        <v/>
      </c>
      <c r="R220" s="29">
        <f>IFERROR(VLOOKUP(L220,MgValor,2,0)*VLOOKUP(O220,MgDeg,2,0),0)</f>
        <v/>
      </c>
      <c r="S220" s="29">
        <f>IFERROR(VLOOKUP(M220,MgValor,2,0)*VLOOKUP(P220,MgDeg,2,0),0)</f>
        <v/>
      </c>
      <c r="T220" s="30">
        <f>MAX(Q220:S220)</f>
        <v/>
      </c>
      <c r="U220" s="28">
        <f>IFERROR(LOOKUP(T220,{0;0.5;1.5;3;4.5},{"Despreciable";"Bajo";"Medio";"Alto";"Muy alto"}),"")</f>
        <v/>
      </c>
      <c r="V220" s="13">
        <f>IFERROR(INDEX(MgAmenFrec,MATCH(SUBSTITUTE($H220,"*","-"),MgAmenClave,0)),"")</f>
        <v/>
      </c>
      <c r="W220" s="28">
        <f>IFERROR(LOOKUP(X220,{0;0.01;0.1;1;10;100},{"Muy baja";"Muy baja";"Baja";"Media";"Alta";"Muy alta"}),"")</f>
        <v/>
      </c>
      <c r="X220" s="31">
        <f>IFERROR(VLOOKUP(V220,MgFrec,2,0),0)</f>
        <v/>
      </c>
      <c r="Y220" s="30">
        <f>T220*X220</f>
        <v/>
      </c>
      <c r="Z220" s="28">
        <f>IFERROR(LOOKUP(Y220,{0;0.5;5;25},{"Bajo";"Medio";"Alto";"Crítico"}),"")</f>
        <v/>
      </c>
      <c r="AA220" s="64">
        <f>IF(T220&gt;=3,IF(X220&gt;=1,"Zona 1 — Crítica: impacto alto y ocurre al menos una vez al año","Zona 4 — Catastrófica poco probable: impacto alto pero excepcional"),IF(AND(T220&lt;1.5,X220&lt;1),"Zona 3 — Asumible: impacto bajo y muy poco frecuente","Zona 2 — Atención: riesgo intermedio"))</f>
        <v/>
      </c>
      <c r="AB220" s="64">
        <f>IFERROR(INDEX(MgAmenCtrl,MATCH(SUBSTITUTE($H220,"*","-"),MgAmenClave,0)),"")</f>
        <v/>
      </c>
      <c r="AC220" s="20" t="n"/>
      <c r="AD220" s="31">
        <f>IFERROR($X220*(1-IF($AC220="",$AL220,VLOOKUP($AC220,MgMad,2,0))),"")</f>
        <v/>
      </c>
      <c r="AE220" s="28">
        <f>IFERROR(LOOKUP(AD220,{0;0.01;0.1;1;10;100},{"Muy baja";"Muy baja";"Baja";"Media";"Alta";"Muy alta"}),"")</f>
        <v/>
      </c>
      <c r="AF220" s="30">
        <f>T220*AD220</f>
        <v/>
      </c>
      <c r="AG220" s="28">
        <f>IFERROR(LOOKUP(AF220,{0;0.5;5;25},{"Bajo";"Medio";"Alto";"Crítico"}),"")</f>
        <v/>
      </c>
      <c r="AH220" s="28">
        <f>IF(AG220="","",IF(OR(AG220="Crítico",AG220="Alto"),"Mitigar",IF(AG220="Medio","Mitigar","Aceptar y monitorear")))</f>
        <v/>
      </c>
      <c r="AI220" s="21" t="n"/>
      <c r="AJ220" s="21" t="n"/>
      <c r="AK220" s="20" t="n"/>
      <c r="AL220" s="77">
        <f>IFERROR(INDEX(MgAmenEfic,MATCH(SUBSTITUTE($H220,"*","-"),MgAmenClave,0)),0)</f>
        <v/>
      </c>
    </row>
    <row r="221" hidden="1" ht="60" customHeight="1" s="54">
      <c r="B221" s="59" t="inlineStr">
        <is>
          <t>R-0216</t>
        </is>
      </c>
      <c r="C221" s="59" t="inlineStr">
        <is>
          <t>DO-16</t>
        </is>
      </c>
      <c r="D221" s="64">
        <f>IFERROR(INDEX(MgNombre,MATCH($C221,MgActId,0)),"")</f>
        <v/>
      </c>
      <c r="E221" s="64">
        <f>IFERROR(INDEX(MgProceso,MATCH($C221,MgActId,0)),"")</f>
        <v/>
      </c>
      <c r="F221" s="64">
        <f>IFERROR(INDEX(MgTipo,MATCH($C221,MgActId,0)),"")</f>
        <v/>
      </c>
      <c r="G221" s="64">
        <f>IFERROR(INDEX(MgSubtipo,MATCH($C221,MgActId,0)),"")</f>
        <v/>
      </c>
      <c r="H221" s="59" t="inlineStr">
        <is>
          <t>A.14</t>
        </is>
      </c>
      <c r="I221" s="64">
        <f>IFERROR(INDEX(MgAmenNombre,MATCH(SUBSTITUTE($H221,"*","-"),MgAmenClave,0)),"")</f>
        <v/>
      </c>
      <c r="J221" s="28">
        <f>IFERROR(INDEX(MgAmenGrupo,MATCH(SUBSTITUTE($H221,"*","-"),MgAmenClave,0)),"")</f>
        <v/>
      </c>
      <c r="K221" s="64">
        <f>IFERROR(INDEX('1. Matriz de Activos'!$Q$6:$Q$239,MATCH($C221,MgActId,0)),"")</f>
        <v/>
      </c>
      <c r="L221" s="64">
        <f>IFERROR(INDEX('1. Matriz de Activos'!$R$6:$R$239,MATCH($C221,MgActId,0)),"")</f>
        <v/>
      </c>
      <c r="M221" s="64">
        <f>IFERROR(INDEX('1. Matriz de Activos'!$S$6:$S$239,MATCH($C221,MgActId,0)),"")</f>
        <v/>
      </c>
      <c r="N221" s="28">
        <f>IFERROR(INDEX(MgAmenDegD,MATCH(SUBSTITUTE($H221,"*","-"),MgAmenClave,0)),"No aplica")</f>
        <v/>
      </c>
      <c r="O221" s="28">
        <f>IFERROR(INDEX(MgAmenDegI,MATCH(SUBSTITUTE($H221,"*","-"),MgAmenClave,0)),"No aplica")</f>
        <v/>
      </c>
      <c r="P221" s="28">
        <f>IFERROR(INDEX(MgAmenDegC,MATCH(SUBSTITUTE($H221,"*","-"),MgAmenClave,0)),"No aplica")</f>
        <v/>
      </c>
      <c r="Q221" s="29">
        <f>IFERROR(VLOOKUP(K221,MgValor,2,0)*VLOOKUP(N221,MgDeg,2,0),0)</f>
        <v/>
      </c>
      <c r="R221" s="29">
        <f>IFERROR(VLOOKUP(L221,MgValor,2,0)*VLOOKUP(O221,MgDeg,2,0),0)</f>
        <v/>
      </c>
      <c r="S221" s="29">
        <f>IFERROR(VLOOKUP(M221,MgValor,2,0)*VLOOKUP(P221,MgDeg,2,0),0)</f>
        <v/>
      </c>
      <c r="T221" s="30">
        <f>MAX(Q221:S221)</f>
        <v/>
      </c>
      <c r="U221" s="28">
        <f>IFERROR(LOOKUP(T221,{0;0.5;1.5;3;4.5},{"Despreciable";"Bajo";"Medio";"Alto";"Muy alto"}),"")</f>
        <v/>
      </c>
      <c r="V221" s="13">
        <f>IFERROR(INDEX(MgAmenFrec,MATCH(SUBSTITUTE($H221,"*","-"),MgAmenClave,0)),"")</f>
        <v/>
      </c>
      <c r="W221" s="28">
        <f>IFERROR(LOOKUP(X221,{0;0.01;0.1;1;10;100},{"Muy baja";"Muy baja";"Baja";"Media";"Alta";"Muy alta"}),"")</f>
        <v/>
      </c>
      <c r="X221" s="31">
        <f>IFERROR(VLOOKUP(V221,MgFrec,2,0),0)</f>
        <v/>
      </c>
      <c r="Y221" s="30">
        <f>T221*X221</f>
        <v/>
      </c>
      <c r="Z221" s="28">
        <f>IFERROR(LOOKUP(Y221,{0;0.5;5;25},{"Bajo";"Medio";"Alto";"Crítico"}),"")</f>
        <v/>
      </c>
      <c r="AA221" s="64">
        <f>IF(T221&gt;=3,IF(X221&gt;=1,"Zona 1 — Crítica: impacto alto y ocurre al menos una vez al año","Zona 4 — Catastrófica poco probable: impacto alto pero excepcional"),IF(AND(T221&lt;1.5,X221&lt;1),"Zona 3 — Asumible: impacto bajo y muy poco frecuente","Zona 2 — Atención: riesgo intermedio"))</f>
        <v/>
      </c>
      <c r="AB221" s="64">
        <f>IFERROR(INDEX(MgAmenCtrl,MATCH(SUBSTITUTE($H221,"*","-"),MgAmenClave,0)),"")</f>
        <v/>
      </c>
      <c r="AC221" s="20" t="n"/>
      <c r="AD221" s="31">
        <f>IFERROR($X221*(1-IF($AC221="",$AL221,VLOOKUP($AC221,MgMad,2,0))),"")</f>
        <v/>
      </c>
      <c r="AE221" s="28">
        <f>IFERROR(LOOKUP(AD221,{0;0.01;0.1;1;10;100},{"Muy baja";"Muy baja";"Baja";"Media";"Alta";"Muy alta"}),"")</f>
        <v/>
      </c>
      <c r="AF221" s="30">
        <f>T221*AD221</f>
        <v/>
      </c>
      <c r="AG221" s="28">
        <f>IFERROR(LOOKUP(AF221,{0;0.5;5;25},{"Bajo";"Medio";"Alto";"Crítico"}),"")</f>
        <v/>
      </c>
      <c r="AH221" s="28">
        <f>IF(AG221="","",IF(OR(AG221="Crítico",AG221="Alto"),"Mitigar",IF(AG221="Medio","Mitigar","Aceptar y monitorear")))</f>
        <v/>
      </c>
      <c r="AI221" s="21" t="n"/>
      <c r="AJ221" s="21" t="n"/>
      <c r="AK221" s="20" t="n"/>
      <c r="AL221" s="77">
        <f>IFERROR(INDEX(MgAmenEfic,MATCH(SUBSTITUTE($H221,"*","-"),MgAmenClave,0)),0)</f>
        <v/>
      </c>
    </row>
    <row r="222" hidden="1" ht="60" customHeight="1" s="54">
      <c r="B222" s="59" t="inlineStr">
        <is>
          <t>R-0217</t>
        </is>
      </c>
      <c r="C222" s="59" t="inlineStr">
        <is>
          <t>DO-16</t>
        </is>
      </c>
      <c r="D222" s="64">
        <f>IFERROR(INDEX(MgNombre,MATCH($C222,MgActId,0)),"")</f>
        <v/>
      </c>
      <c r="E222" s="64">
        <f>IFERROR(INDEX(MgProceso,MATCH($C222,MgActId,0)),"")</f>
        <v/>
      </c>
      <c r="F222" s="64">
        <f>IFERROR(INDEX(MgTipo,MATCH($C222,MgActId,0)),"")</f>
        <v/>
      </c>
      <c r="G222" s="64">
        <f>IFERROR(INDEX(MgSubtipo,MATCH($C222,MgActId,0)),"")</f>
        <v/>
      </c>
      <c r="H222" s="59" t="inlineStr">
        <is>
          <t>A.15</t>
        </is>
      </c>
      <c r="I222" s="64">
        <f>IFERROR(INDEX(MgAmenNombre,MATCH(SUBSTITUTE($H222,"*","-"),MgAmenClave,0)),"")</f>
        <v/>
      </c>
      <c r="J222" s="28">
        <f>IFERROR(INDEX(MgAmenGrupo,MATCH(SUBSTITUTE($H222,"*","-"),MgAmenClave,0)),"")</f>
        <v/>
      </c>
      <c r="K222" s="64">
        <f>IFERROR(INDEX('1. Matriz de Activos'!$Q$6:$Q$239,MATCH($C222,MgActId,0)),"")</f>
        <v/>
      </c>
      <c r="L222" s="64">
        <f>IFERROR(INDEX('1. Matriz de Activos'!$R$6:$R$239,MATCH($C222,MgActId,0)),"")</f>
        <v/>
      </c>
      <c r="M222" s="64">
        <f>IFERROR(INDEX('1. Matriz de Activos'!$S$6:$S$239,MATCH($C222,MgActId,0)),"")</f>
        <v/>
      </c>
      <c r="N222" s="28">
        <f>IFERROR(INDEX(MgAmenDegD,MATCH(SUBSTITUTE($H222,"*","-"),MgAmenClave,0)),"No aplica")</f>
        <v/>
      </c>
      <c r="O222" s="28">
        <f>IFERROR(INDEX(MgAmenDegI,MATCH(SUBSTITUTE($H222,"*","-"),MgAmenClave,0)),"No aplica")</f>
        <v/>
      </c>
      <c r="P222" s="28">
        <f>IFERROR(INDEX(MgAmenDegC,MATCH(SUBSTITUTE($H222,"*","-"),MgAmenClave,0)),"No aplica")</f>
        <v/>
      </c>
      <c r="Q222" s="29">
        <f>IFERROR(VLOOKUP(K222,MgValor,2,0)*VLOOKUP(N222,MgDeg,2,0),0)</f>
        <v/>
      </c>
      <c r="R222" s="29">
        <f>IFERROR(VLOOKUP(L222,MgValor,2,0)*VLOOKUP(O222,MgDeg,2,0),0)</f>
        <v/>
      </c>
      <c r="S222" s="29">
        <f>IFERROR(VLOOKUP(M222,MgValor,2,0)*VLOOKUP(P222,MgDeg,2,0),0)</f>
        <v/>
      </c>
      <c r="T222" s="30">
        <f>MAX(Q222:S222)</f>
        <v/>
      </c>
      <c r="U222" s="28">
        <f>IFERROR(LOOKUP(T222,{0;0.5;1.5;3;4.5},{"Despreciable";"Bajo";"Medio";"Alto";"Muy alto"}),"")</f>
        <v/>
      </c>
      <c r="V222" s="13">
        <f>IFERROR(INDEX(MgAmenFrec,MATCH(SUBSTITUTE($H222,"*","-"),MgAmenClave,0)),"")</f>
        <v/>
      </c>
      <c r="W222" s="28">
        <f>IFERROR(LOOKUP(X222,{0;0.01;0.1;1;10;100},{"Muy baja";"Muy baja";"Baja";"Media";"Alta";"Muy alta"}),"")</f>
        <v/>
      </c>
      <c r="X222" s="31">
        <f>IFERROR(VLOOKUP(V222,MgFrec,2,0),0)</f>
        <v/>
      </c>
      <c r="Y222" s="30">
        <f>T222*X222</f>
        <v/>
      </c>
      <c r="Z222" s="28">
        <f>IFERROR(LOOKUP(Y222,{0;0.5;5;25},{"Bajo";"Medio";"Alto";"Crítico"}),"")</f>
        <v/>
      </c>
      <c r="AA222" s="64">
        <f>IF(T222&gt;=3,IF(X222&gt;=1,"Zona 1 — Crítica: impacto alto y ocurre al menos una vez al año","Zona 4 — Catastrófica poco probable: impacto alto pero excepcional"),IF(AND(T222&lt;1.5,X222&lt;1),"Zona 3 — Asumible: impacto bajo y muy poco frecuente","Zona 2 — Atención: riesgo intermedio"))</f>
        <v/>
      </c>
      <c r="AB222" s="64">
        <f>IFERROR(INDEX(MgAmenCtrl,MATCH(SUBSTITUTE($H222,"*","-"),MgAmenClave,0)),"")</f>
        <v/>
      </c>
      <c r="AC222" s="20" t="n"/>
      <c r="AD222" s="31">
        <f>IFERROR($X222*(1-IF($AC222="",$AL222,VLOOKUP($AC222,MgMad,2,0))),"")</f>
        <v/>
      </c>
      <c r="AE222" s="28">
        <f>IFERROR(LOOKUP(AD222,{0;0.01;0.1;1;10;100},{"Muy baja";"Muy baja";"Baja";"Media";"Alta";"Muy alta"}),"")</f>
        <v/>
      </c>
      <c r="AF222" s="30">
        <f>T222*AD222</f>
        <v/>
      </c>
      <c r="AG222" s="28">
        <f>IFERROR(LOOKUP(AF222,{0;0.5;5;25},{"Bajo";"Medio";"Alto";"Crítico"}),"")</f>
        <v/>
      </c>
      <c r="AH222" s="28">
        <f>IF(AG222="","",IF(OR(AG222="Crítico",AG222="Alto"),"Mitigar",IF(AG222="Medio","Mitigar","Aceptar y monitorear")))</f>
        <v/>
      </c>
      <c r="AI222" s="21" t="n"/>
      <c r="AJ222" s="21" t="n"/>
      <c r="AK222" s="20" t="n"/>
      <c r="AL222" s="77">
        <f>IFERROR(INDEX(MgAmenEfic,MATCH(SUBSTITUTE($H222,"*","-"),MgAmenClave,0)),0)</f>
        <v/>
      </c>
    </row>
    <row r="223" hidden="1" ht="60" customHeight="1" s="54">
      <c r="B223" s="59" t="inlineStr">
        <is>
          <t>R-0218</t>
        </is>
      </c>
      <c r="C223" s="59" t="inlineStr">
        <is>
          <t>DO-16</t>
        </is>
      </c>
      <c r="D223" s="64">
        <f>IFERROR(INDEX(MgNombre,MATCH($C223,MgActId,0)),"")</f>
        <v/>
      </c>
      <c r="E223" s="64">
        <f>IFERROR(INDEX(MgProceso,MATCH($C223,MgActId,0)),"")</f>
        <v/>
      </c>
      <c r="F223" s="64">
        <f>IFERROR(INDEX(MgTipo,MATCH($C223,MgActId,0)),"")</f>
        <v/>
      </c>
      <c r="G223" s="64">
        <f>IFERROR(INDEX(MgSubtipo,MATCH($C223,MgActId,0)),"")</f>
        <v/>
      </c>
      <c r="H223" s="59" t="inlineStr">
        <is>
          <t>A.18</t>
        </is>
      </c>
      <c r="I223" s="64">
        <f>IFERROR(INDEX(MgAmenNombre,MATCH(SUBSTITUTE($H223,"*","-"),MgAmenClave,0)),"")</f>
        <v/>
      </c>
      <c r="J223" s="28">
        <f>IFERROR(INDEX(MgAmenGrupo,MATCH(SUBSTITUTE($H223,"*","-"),MgAmenClave,0)),"")</f>
        <v/>
      </c>
      <c r="K223" s="64">
        <f>IFERROR(INDEX('1. Matriz de Activos'!$Q$6:$Q$239,MATCH($C223,MgActId,0)),"")</f>
        <v/>
      </c>
      <c r="L223" s="64">
        <f>IFERROR(INDEX('1. Matriz de Activos'!$R$6:$R$239,MATCH($C223,MgActId,0)),"")</f>
        <v/>
      </c>
      <c r="M223" s="64">
        <f>IFERROR(INDEX('1. Matriz de Activos'!$S$6:$S$239,MATCH($C223,MgActId,0)),"")</f>
        <v/>
      </c>
      <c r="N223" s="28">
        <f>IFERROR(INDEX(MgAmenDegD,MATCH(SUBSTITUTE($H223,"*","-"),MgAmenClave,0)),"No aplica")</f>
        <v/>
      </c>
      <c r="O223" s="28">
        <f>IFERROR(INDEX(MgAmenDegI,MATCH(SUBSTITUTE($H223,"*","-"),MgAmenClave,0)),"No aplica")</f>
        <v/>
      </c>
      <c r="P223" s="28">
        <f>IFERROR(INDEX(MgAmenDegC,MATCH(SUBSTITUTE($H223,"*","-"),MgAmenClave,0)),"No aplica")</f>
        <v/>
      </c>
      <c r="Q223" s="29">
        <f>IFERROR(VLOOKUP(K223,MgValor,2,0)*VLOOKUP(N223,MgDeg,2,0),0)</f>
        <v/>
      </c>
      <c r="R223" s="29">
        <f>IFERROR(VLOOKUP(L223,MgValor,2,0)*VLOOKUP(O223,MgDeg,2,0),0)</f>
        <v/>
      </c>
      <c r="S223" s="29">
        <f>IFERROR(VLOOKUP(M223,MgValor,2,0)*VLOOKUP(P223,MgDeg,2,0),0)</f>
        <v/>
      </c>
      <c r="T223" s="30">
        <f>MAX(Q223:S223)</f>
        <v/>
      </c>
      <c r="U223" s="28">
        <f>IFERROR(LOOKUP(T223,{0;0.5;1.5;3;4.5},{"Despreciable";"Bajo";"Medio";"Alto";"Muy alto"}),"")</f>
        <v/>
      </c>
      <c r="V223" s="13">
        <f>IFERROR(INDEX(MgAmenFrec,MATCH(SUBSTITUTE($H223,"*","-"),MgAmenClave,0)),"")</f>
        <v/>
      </c>
      <c r="W223" s="28">
        <f>IFERROR(LOOKUP(X223,{0;0.01;0.1;1;10;100},{"Muy baja";"Muy baja";"Baja";"Media";"Alta";"Muy alta"}),"")</f>
        <v/>
      </c>
      <c r="X223" s="31">
        <f>IFERROR(VLOOKUP(V223,MgFrec,2,0),0)</f>
        <v/>
      </c>
      <c r="Y223" s="30">
        <f>T223*X223</f>
        <v/>
      </c>
      <c r="Z223" s="28">
        <f>IFERROR(LOOKUP(Y223,{0;0.5;5;25},{"Bajo";"Medio";"Alto";"Crítico"}),"")</f>
        <v/>
      </c>
      <c r="AA223" s="64">
        <f>IF(T223&gt;=3,IF(X223&gt;=1,"Zona 1 — Crítica: impacto alto y ocurre al menos una vez al año","Zona 4 — Catastrófica poco probable: impacto alto pero excepcional"),IF(AND(T223&lt;1.5,X223&lt;1),"Zona 3 — Asumible: impacto bajo y muy poco frecuente","Zona 2 — Atención: riesgo intermedio"))</f>
        <v/>
      </c>
      <c r="AB223" s="64">
        <f>IFERROR(INDEX(MgAmenCtrl,MATCH(SUBSTITUTE($H223,"*","-"),MgAmenClave,0)),"")</f>
        <v/>
      </c>
      <c r="AC223" s="20" t="n"/>
      <c r="AD223" s="31">
        <f>IFERROR($X223*(1-IF($AC223="",$AL223,VLOOKUP($AC223,MgMad,2,0))),"")</f>
        <v/>
      </c>
      <c r="AE223" s="28">
        <f>IFERROR(LOOKUP(AD223,{0;0.01;0.1;1;10;100},{"Muy baja";"Muy baja";"Baja";"Media";"Alta";"Muy alta"}),"")</f>
        <v/>
      </c>
      <c r="AF223" s="30">
        <f>T223*AD223</f>
        <v/>
      </c>
      <c r="AG223" s="28">
        <f>IFERROR(LOOKUP(AF223,{0;0.5;5;25},{"Bajo";"Medio";"Alto";"Crítico"}),"")</f>
        <v/>
      </c>
      <c r="AH223" s="28">
        <f>IF(AG223="","",IF(OR(AG223="Crítico",AG223="Alto"),"Mitigar",IF(AG223="Medio","Mitigar","Aceptar y monitorear")))</f>
        <v/>
      </c>
      <c r="AI223" s="21" t="n"/>
      <c r="AJ223" s="21" t="n"/>
      <c r="AK223" s="20" t="n"/>
      <c r="AL223" s="77">
        <f>IFERROR(INDEX(MgAmenEfic,MATCH(SUBSTITUTE($H223,"*","-"),MgAmenClave,0)),0)</f>
        <v/>
      </c>
    </row>
    <row r="224" hidden="1" ht="120" customHeight="1" s="54">
      <c r="B224" s="59" t="inlineStr">
        <is>
          <t>R-0219</t>
        </is>
      </c>
      <c r="C224" s="59" t="inlineStr">
        <is>
          <t>DO-16</t>
        </is>
      </c>
      <c r="D224" s="64">
        <f>IFERROR(INDEX(MgNombre,MATCH($C224,MgActId,0)),"")</f>
        <v/>
      </c>
      <c r="E224" s="64">
        <f>IFERROR(INDEX(MgProceso,MATCH($C224,MgActId,0)),"")</f>
        <v/>
      </c>
      <c r="F224" s="64">
        <f>IFERROR(INDEX(MgTipo,MATCH($C224,MgActId,0)),"")</f>
        <v/>
      </c>
      <c r="G224" s="64">
        <f>IFERROR(INDEX(MgSubtipo,MATCH($C224,MgActId,0)),"")</f>
        <v/>
      </c>
      <c r="H224" s="59" t="inlineStr">
        <is>
          <t>A.19</t>
        </is>
      </c>
      <c r="I224" s="64">
        <f>IFERROR(INDEX(MgAmenNombre,MATCH(SUBSTITUTE($H224,"*","-"),MgAmenClave,0)),"")</f>
        <v/>
      </c>
      <c r="J224" s="28">
        <f>IFERROR(INDEX(MgAmenGrupo,MATCH(SUBSTITUTE($H224,"*","-"),MgAmenClave,0)),"")</f>
        <v/>
      </c>
      <c r="K224" s="64">
        <f>IFERROR(INDEX('1. Matriz de Activos'!$Q$6:$Q$239,MATCH($C224,MgActId,0)),"")</f>
        <v/>
      </c>
      <c r="L224" s="64">
        <f>IFERROR(INDEX('1. Matriz de Activos'!$R$6:$R$239,MATCH($C224,MgActId,0)),"")</f>
        <v/>
      </c>
      <c r="M224" s="64">
        <f>IFERROR(INDEX('1. Matriz de Activos'!$S$6:$S$239,MATCH($C224,MgActId,0)),"")</f>
        <v/>
      </c>
      <c r="N224" s="28">
        <f>IFERROR(INDEX(MgAmenDegD,MATCH(SUBSTITUTE($H224,"*","-"),MgAmenClave,0)),"No aplica")</f>
        <v/>
      </c>
      <c r="O224" s="28">
        <f>IFERROR(INDEX(MgAmenDegI,MATCH(SUBSTITUTE($H224,"*","-"),MgAmenClave,0)),"No aplica")</f>
        <v/>
      </c>
      <c r="P224" s="28">
        <f>IFERROR(INDEX(MgAmenDegC,MATCH(SUBSTITUTE($H224,"*","-"),MgAmenClave,0)),"No aplica")</f>
        <v/>
      </c>
      <c r="Q224" s="29">
        <f>IFERROR(VLOOKUP(K224,MgValor,2,0)*VLOOKUP(N224,MgDeg,2,0),0)</f>
        <v/>
      </c>
      <c r="R224" s="29">
        <f>IFERROR(VLOOKUP(L224,MgValor,2,0)*VLOOKUP(O224,MgDeg,2,0),0)</f>
        <v/>
      </c>
      <c r="S224" s="29">
        <f>IFERROR(VLOOKUP(M224,MgValor,2,0)*VLOOKUP(P224,MgDeg,2,0),0)</f>
        <v/>
      </c>
      <c r="T224" s="30">
        <f>MAX(Q224:S224)</f>
        <v/>
      </c>
      <c r="U224" s="28">
        <f>IFERROR(LOOKUP(T224,{0;0.5;1.5;3;4.5},{"Despreciable";"Bajo";"Medio";"Alto";"Muy alto"}),"")</f>
        <v/>
      </c>
      <c r="V224" s="13">
        <f>IFERROR(INDEX(MgAmenFrec,MATCH(SUBSTITUTE($H224,"*","-"),MgAmenClave,0)),"")</f>
        <v/>
      </c>
      <c r="W224" s="28">
        <f>IFERROR(LOOKUP(X224,{0;0.01;0.1;1;10;100},{"Muy baja";"Muy baja";"Baja";"Media";"Alta";"Muy alta"}),"")</f>
        <v/>
      </c>
      <c r="X224" s="31">
        <f>IFERROR(VLOOKUP(V224,MgFrec,2,0),0)</f>
        <v/>
      </c>
      <c r="Y224" s="30">
        <f>T224*X224</f>
        <v/>
      </c>
      <c r="Z224" s="28">
        <f>IFERROR(LOOKUP(Y224,{0;0.5;5;25},{"Bajo";"Medio";"Alto";"Crítico"}),"")</f>
        <v/>
      </c>
      <c r="AA224" s="64">
        <f>IF(T224&gt;=3,IF(X224&gt;=1,"Zona 1 — Crítica: impacto alto y ocurre al menos una vez al año","Zona 4 — Catastrófica poco probable: impacto alto pero excepcional"),IF(AND(T224&lt;1.5,X224&lt;1),"Zona 3 — Asumible: impacto bajo y muy poco frecuente","Zona 2 — Atención: riesgo intermedio"))</f>
        <v/>
      </c>
      <c r="AB224" s="64">
        <f>IFERROR(INDEX(MgAmenCtrl,MATCH(SUBSTITUTE($H224,"*","-"),MgAmenClave,0)),"")</f>
        <v/>
      </c>
      <c r="AC224" s="20" t="n"/>
      <c r="AD224" s="31">
        <f>IFERROR($X224*(1-IF($AC224="",$AL224,VLOOKUP($AC224,MgMad,2,0))),"")</f>
        <v/>
      </c>
      <c r="AE224" s="28">
        <f>IFERROR(LOOKUP(AD224,{0;0.01;0.1;1;10;100},{"Muy baja";"Muy baja";"Baja";"Media";"Alta";"Muy alta"}),"")</f>
        <v/>
      </c>
      <c r="AF224" s="30">
        <f>T224*AD224</f>
        <v/>
      </c>
      <c r="AG224" s="28">
        <f>IFERROR(LOOKUP(AF224,{0;0.5;5;25},{"Bajo";"Medio";"Alto";"Crítico"}),"")</f>
        <v/>
      </c>
      <c r="AH224" s="28">
        <f>IF(AG224="","",IF(OR(AG224="Crítico",AG224="Alto"),"Mitigar",IF(AG224="Medio","Mitigar","Aceptar y monitorear")))</f>
        <v/>
      </c>
      <c r="AI224" s="21" t="n"/>
      <c r="AJ224" s="21" t="n"/>
      <c r="AK224" s="20" t="n"/>
      <c r="AL224" s="77">
        <f>IFERROR(INDEX(MgAmenEfic,MATCH(SUBSTITUTE($H224,"*","-"),MgAmenClave,0)),0)</f>
        <v/>
      </c>
    </row>
    <row r="225" hidden="1" ht="60" customHeight="1" s="54">
      <c r="B225" s="59" t="inlineStr">
        <is>
          <t>R-0220</t>
        </is>
      </c>
      <c r="C225" s="59" t="inlineStr">
        <is>
          <t>DO-16</t>
        </is>
      </c>
      <c r="D225" s="64">
        <f>IFERROR(INDEX(MgNombre,MATCH($C225,MgActId,0)),"")</f>
        <v/>
      </c>
      <c r="E225" s="64">
        <f>IFERROR(INDEX(MgProceso,MATCH($C225,MgActId,0)),"")</f>
        <v/>
      </c>
      <c r="F225" s="64">
        <f>IFERROR(INDEX(MgTipo,MATCH($C225,MgActId,0)),"")</f>
        <v/>
      </c>
      <c r="G225" s="64">
        <f>IFERROR(INDEX(MgSubtipo,MATCH($C225,MgActId,0)),"")</f>
        <v/>
      </c>
      <c r="H225" s="59" t="inlineStr">
        <is>
          <t>A.24</t>
        </is>
      </c>
      <c r="I225" s="64">
        <f>IFERROR(INDEX(MgAmenNombre,MATCH(SUBSTITUTE($H225,"*","-"),MgAmenClave,0)),"")</f>
        <v/>
      </c>
      <c r="J225" s="28">
        <f>IFERROR(INDEX(MgAmenGrupo,MATCH(SUBSTITUTE($H225,"*","-"),MgAmenClave,0)),"")</f>
        <v/>
      </c>
      <c r="K225" s="64">
        <f>IFERROR(INDEX('1. Matriz de Activos'!$Q$6:$Q$239,MATCH($C225,MgActId,0)),"")</f>
        <v/>
      </c>
      <c r="L225" s="64">
        <f>IFERROR(INDEX('1. Matriz de Activos'!$R$6:$R$239,MATCH($C225,MgActId,0)),"")</f>
        <v/>
      </c>
      <c r="M225" s="64">
        <f>IFERROR(INDEX('1. Matriz de Activos'!$S$6:$S$239,MATCH($C225,MgActId,0)),"")</f>
        <v/>
      </c>
      <c r="N225" s="28">
        <f>IFERROR(INDEX(MgAmenDegD,MATCH(SUBSTITUTE($H225,"*","-"),MgAmenClave,0)),"No aplica")</f>
        <v/>
      </c>
      <c r="O225" s="28">
        <f>IFERROR(INDEX(MgAmenDegI,MATCH(SUBSTITUTE($H225,"*","-"),MgAmenClave,0)),"No aplica")</f>
        <v/>
      </c>
      <c r="P225" s="28">
        <f>IFERROR(INDEX(MgAmenDegC,MATCH(SUBSTITUTE($H225,"*","-"),MgAmenClave,0)),"No aplica")</f>
        <v/>
      </c>
      <c r="Q225" s="29">
        <f>IFERROR(VLOOKUP(K225,MgValor,2,0)*VLOOKUP(N225,MgDeg,2,0),0)</f>
        <v/>
      </c>
      <c r="R225" s="29">
        <f>IFERROR(VLOOKUP(L225,MgValor,2,0)*VLOOKUP(O225,MgDeg,2,0),0)</f>
        <v/>
      </c>
      <c r="S225" s="29">
        <f>IFERROR(VLOOKUP(M225,MgValor,2,0)*VLOOKUP(P225,MgDeg,2,0),0)</f>
        <v/>
      </c>
      <c r="T225" s="30">
        <f>MAX(Q225:S225)</f>
        <v/>
      </c>
      <c r="U225" s="28">
        <f>IFERROR(LOOKUP(T225,{0;0.5;1.5;3;4.5},{"Despreciable";"Bajo";"Medio";"Alto";"Muy alto"}),"")</f>
        <v/>
      </c>
      <c r="V225" s="13">
        <f>IFERROR(INDEX(MgAmenFrec,MATCH(SUBSTITUTE($H225,"*","-"),MgAmenClave,0)),"")</f>
        <v/>
      </c>
      <c r="W225" s="28">
        <f>IFERROR(LOOKUP(X225,{0;0.01;0.1;1;10;100},{"Muy baja";"Muy baja";"Baja";"Media";"Alta";"Muy alta"}),"")</f>
        <v/>
      </c>
      <c r="X225" s="31">
        <f>IFERROR(VLOOKUP(V225,MgFrec,2,0),0)</f>
        <v/>
      </c>
      <c r="Y225" s="30">
        <f>T225*X225</f>
        <v/>
      </c>
      <c r="Z225" s="28">
        <f>IFERROR(LOOKUP(Y225,{0;0.5;5;25},{"Bajo";"Medio";"Alto";"Crítico"}),"")</f>
        <v/>
      </c>
      <c r="AA225" s="64">
        <f>IF(T225&gt;=3,IF(X225&gt;=1,"Zona 1 — Crítica: impacto alto y ocurre al menos una vez al año","Zona 4 — Catastrófica poco probable: impacto alto pero excepcional"),IF(AND(T225&lt;1.5,X225&lt;1),"Zona 3 — Asumible: impacto bajo y muy poco frecuente","Zona 2 — Atención: riesgo intermedio"))</f>
        <v/>
      </c>
      <c r="AB225" s="64">
        <f>IFERROR(INDEX(MgAmenCtrl,MATCH(SUBSTITUTE($H225,"*","-"),MgAmenClave,0)),"")</f>
        <v/>
      </c>
      <c r="AC225" s="20" t="n"/>
      <c r="AD225" s="31">
        <f>IFERROR($X225*(1-IF($AC225="",$AL225,VLOOKUP($AC225,MgMad,2,0))),"")</f>
        <v/>
      </c>
      <c r="AE225" s="28">
        <f>IFERROR(LOOKUP(AD225,{0;0.01;0.1;1;10;100},{"Muy baja";"Muy baja";"Baja";"Media";"Alta";"Muy alta"}),"")</f>
        <v/>
      </c>
      <c r="AF225" s="30">
        <f>T225*AD225</f>
        <v/>
      </c>
      <c r="AG225" s="28">
        <f>IFERROR(LOOKUP(AF225,{0;0.5;5;25},{"Bajo";"Medio";"Alto";"Crítico"}),"")</f>
        <v/>
      </c>
      <c r="AH225" s="28">
        <f>IF(AG225="","",IF(OR(AG225="Crítico",AG225="Alto"),"Mitigar",IF(AG225="Medio","Mitigar","Aceptar y monitorear")))</f>
        <v/>
      </c>
      <c r="AI225" s="21" t="n"/>
      <c r="AJ225" s="21" t="n"/>
      <c r="AK225" s="20" t="n"/>
      <c r="AL225" s="77">
        <f>IFERROR(INDEX(MgAmenEfic,MATCH(SUBSTITUTE($H225,"*","-"),MgAmenClave,0)),0)</f>
        <v/>
      </c>
    </row>
    <row r="226" hidden="1" ht="75" customHeight="1" s="54">
      <c r="B226" s="59" t="inlineStr">
        <is>
          <t>R-0221</t>
        </is>
      </c>
      <c r="C226" s="59" t="inlineStr">
        <is>
          <t>DO-06</t>
        </is>
      </c>
      <c r="D226" s="64">
        <f>IFERROR(INDEX(MgNombre,MATCH($C226,MgActId,0)),"")</f>
        <v/>
      </c>
      <c r="E226" s="64">
        <f>IFERROR(INDEX(MgProceso,MATCH($C226,MgActId,0)),"")</f>
        <v/>
      </c>
      <c r="F226" s="64">
        <f>IFERROR(INDEX(MgTipo,MATCH($C226,MgActId,0)),"")</f>
        <v/>
      </c>
      <c r="G226" s="64">
        <f>IFERROR(INDEX(MgSubtipo,MATCH($C226,MgActId,0)),"")</f>
        <v/>
      </c>
      <c r="H226" s="59" t="inlineStr">
        <is>
          <t>I.8</t>
        </is>
      </c>
      <c r="I226" s="64">
        <f>IFERROR(INDEX(MgAmenNombre,MATCH(SUBSTITUTE($H226,"*","-"),MgAmenClave,0)),"")</f>
        <v/>
      </c>
      <c r="J226" s="28">
        <f>IFERROR(INDEX(MgAmenGrupo,MATCH(SUBSTITUTE($H226,"*","-"),MgAmenClave,0)),"")</f>
        <v/>
      </c>
      <c r="K226" s="64">
        <f>IFERROR(INDEX('1. Matriz de Activos'!$Q$6:$Q$239,MATCH($C226,MgActId,0)),"")</f>
        <v/>
      </c>
      <c r="L226" s="64">
        <f>IFERROR(INDEX('1. Matriz de Activos'!$R$6:$R$239,MATCH($C226,MgActId,0)),"")</f>
        <v/>
      </c>
      <c r="M226" s="64">
        <f>IFERROR(INDEX('1. Matriz de Activos'!$S$6:$S$239,MATCH($C226,MgActId,0)),"")</f>
        <v/>
      </c>
      <c r="N226" s="28">
        <f>IFERROR(INDEX(MgAmenDegD,MATCH(SUBSTITUTE($H226,"*","-"),MgAmenClave,0)),"No aplica")</f>
        <v/>
      </c>
      <c r="O226" s="28">
        <f>IFERROR(INDEX(MgAmenDegI,MATCH(SUBSTITUTE($H226,"*","-"),MgAmenClave,0)),"No aplica")</f>
        <v/>
      </c>
      <c r="P226" s="28">
        <f>IFERROR(INDEX(MgAmenDegC,MATCH(SUBSTITUTE($H226,"*","-"),MgAmenClave,0)),"No aplica")</f>
        <v/>
      </c>
      <c r="Q226" s="29">
        <f>IFERROR(VLOOKUP(K226,MgValor,2,0)*VLOOKUP(N226,MgDeg,2,0),0)</f>
        <v/>
      </c>
      <c r="R226" s="29">
        <f>IFERROR(VLOOKUP(L226,MgValor,2,0)*VLOOKUP(O226,MgDeg,2,0),0)</f>
        <v/>
      </c>
      <c r="S226" s="29">
        <f>IFERROR(VLOOKUP(M226,MgValor,2,0)*VLOOKUP(P226,MgDeg,2,0),0)</f>
        <v/>
      </c>
      <c r="T226" s="30">
        <f>MAX(Q226:S226)</f>
        <v/>
      </c>
      <c r="U226" s="28">
        <f>IFERROR(LOOKUP(T226,{0;0.5;1.5;3;4.5},{"Despreciable";"Bajo";"Medio";"Alto";"Muy alto"}),"")</f>
        <v/>
      </c>
      <c r="V226" s="13">
        <f>IFERROR(INDEX(MgAmenFrec,MATCH(SUBSTITUTE($H226,"*","-"),MgAmenClave,0)),"")</f>
        <v/>
      </c>
      <c r="W226" s="28">
        <f>IFERROR(LOOKUP(X226,{0;0.01;0.1;1;10;100},{"Muy baja";"Muy baja";"Baja";"Media";"Alta";"Muy alta"}),"")</f>
        <v/>
      </c>
      <c r="X226" s="31">
        <f>IFERROR(VLOOKUP(V226,MgFrec,2,0),0)</f>
        <v/>
      </c>
      <c r="Y226" s="30">
        <f>T226*X226</f>
        <v/>
      </c>
      <c r="Z226" s="28">
        <f>IFERROR(LOOKUP(Y226,{0;0.5;5;25},{"Bajo";"Medio";"Alto";"Crítico"}),"")</f>
        <v/>
      </c>
      <c r="AA226" s="64">
        <f>IF(T226&gt;=3,IF(X226&gt;=1,"Zona 1 — Crítica: impacto alto y ocurre al menos una vez al año","Zona 4 — Catastrófica poco probable: impacto alto pero excepcional"),IF(AND(T226&lt;1.5,X226&lt;1),"Zona 3 — Asumible: impacto bajo y muy poco frecuente","Zona 2 — Atención: riesgo intermedio"))</f>
        <v/>
      </c>
      <c r="AB226" s="64">
        <f>IFERROR(INDEX(MgAmenCtrl,MATCH(SUBSTITUTE($H226,"*","-"),MgAmenClave,0)),"")</f>
        <v/>
      </c>
      <c r="AC226" s="20" t="n"/>
      <c r="AD226" s="31">
        <f>IFERROR($X226*(1-IF($AC226="",$AL226,VLOOKUP($AC226,MgMad,2,0))),"")</f>
        <v/>
      </c>
      <c r="AE226" s="28">
        <f>IFERROR(LOOKUP(AD226,{0;0.01;0.1;1;10;100},{"Muy baja";"Muy baja";"Baja";"Media";"Alta";"Muy alta"}),"")</f>
        <v/>
      </c>
      <c r="AF226" s="30">
        <f>T226*AD226</f>
        <v/>
      </c>
      <c r="AG226" s="28">
        <f>IFERROR(LOOKUP(AF226,{0;0.5;5;25},{"Bajo";"Medio";"Alto";"Crítico"}),"")</f>
        <v/>
      </c>
      <c r="AH226" s="28">
        <f>IF(AG226="","",IF(OR(AG226="Crítico",AG226="Alto"),"Mitigar",IF(AG226="Medio","Mitigar","Aceptar y monitorear")))</f>
        <v/>
      </c>
      <c r="AI226" s="21" t="n"/>
      <c r="AJ226" s="21" t="n"/>
      <c r="AK226" s="20" t="n"/>
      <c r="AL226" s="77">
        <f>IFERROR(INDEX(MgAmenEfic,MATCH(SUBSTITUTE($H226,"*","-"),MgAmenClave,0)),0)</f>
        <v/>
      </c>
    </row>
    <row r="227" hidden="1" ht="45" customHeight="1" s="54">
      <c r="B227" s="59" t="inlineStr">
        <is>
          <t>R-0222</t>
        </is>
      </c>
      <c r="C227" s="59" t="inlineStr">
        <is>
          <t>DO-06</t>
        </is>
      </c>
      <c r="D227" s="64">
        <f>IFERROR(INDEX(MgNombre,MATCH($C227,MgActId,0)),"")</f>
        <v/>
      </c>
      <c r="E227" s="64">
        <f>IFERROR(INDEX(MgProceso,MATCH($C227,MgActId,0)),"")</f>
        <v/>
      </c>
      <c r="F227" s="64">
        <f>IFERROR(INDEX(MgTipo,MATCH($C227,MgActId,0)),"")</f>
        <v/>
      </c>
      <c r="G227" s="64">
        <f>IFERROR(INDEX(MgSubtipo,MATCH($C227,MgActId,0)),"")</f>
        <v/>
      </c>
      <c r="H227" s="59" t="inlineStr">
        <is>
          <t>I.11</t>
        </is>
      </c>
      <c r="I227" s="64">
        <f>IFERROR(INDEX(MgAmenNombre,MATCH(SUBSTITUTE($H227,"*","-"),MgAmenClave,0)),"")</f>
        <v/>
      </c>
      <c r="J227" s="28">
        <f>IFERROR(INDEX(MgAmenGrupo,MATCH(SUBSTITUTE($H227,"*","-"),MgAmenClave,0)),"")</f>
        <v/>
      </c>
      <c r="K227" s="64">
        <f>IFERROR(INDEX('1. Matriz de Activos'!$Q$6:$Q$239,MATCH($C227,MgActId,0)),"")</f>
        <v/>
      </c>
      <c r="L227" s="64">
        <f>IFERROR(INDEX('1. Matriz de Activos'!$R$6:$R$239,MATCH($C227,MgActId,0)),"")</f>
        <v/>
      </c>
      <c r="M227" s="64">
        <f>IFERROR(INDEX('1. Matriz de Activos'!$S$6:$S$239,MATCH($C227,MgActId,0)),"")</f>
        <v/>
      </c>
      <c r="N227" s="28">
        <f>IFERROR(INDEX(MgAmenDegD,MATCH(SUBSTITUTE($H227,"*","-"),MgAmenClave,0)),"No aplica")</f>
        <v/>
      </c>
      <c r="O227" s="28">
        <f>IFERROR(INDEX(MgAmenDegI,MATCH(SUBSTITUTE($H227,"*","-"),MgAmenClave,0)),"No aplica")</f>
        <v/>
      </c>
      <c r="P227" s="28">
        <f>IFERROR(INDEX(MgAmenDegC,MATCH(SUBSTITUTE($H227,"*","-"),MgAmenClave,0)),"No aplica")</f>
        <v/>
      </c>
      <c r="Q227" s="29">
        <f>IFERROR(VLOOKUP(K227,MgValor,2,0)*VLOOKUP(N227,MgDeg,2,0),0)</f>
        <v/>
      </c>
      <c r="R227" s="29">
        <f>IFERROR(VLOOKUP(L227,MgValor,2,0)*VLOOKUP(O227,MgDeg,2,0),0)</f>
        <v/>
      </c>
      <c r="S227" s="29">
        <f>IFERROR(VLOOKUP(M227,MgValor,2,0)*VLOOKUP(P227,MgDeg,2,0),0)</f>
        <v/>
      </c>
      <c r="T227" s="30">
        <f>MAX(Q227:S227)</f>
        <v/>
      </c>
      <c r="U227" s="28">
        <f>IFERROR(LOOKUP(T227,{0;0.5;1.5;3;4.5},{"Despreciable";"Bajo";"Medio";"Alto";"Muy alto"}),"")</f>
        <v/>
      </c>
      <c r="V227" s="13">
        <f>IFERROR(INDEX(MgAmenFrec,MATCH(SUBSTITUTE($H227,"*","-"),MgAmenClave,0)),"")</f>
        <v/>
      </c>
      <c r="W227" s="28">
        <f>IFERROR(LOOKUP(X227,{0;0.01;0.1;1;10;100},{"Muy baja";"Muy baja";"Baja";"Media";"Alta";"Muy alta"}),"")</f>
        <v/>
      </c>
      <c r="X227" s="31">
        <f>IFERROR(VLOOKUP(V227,MgFrec,2,0),0)</f>
        <v/>
      </c>
      <c r="Y227" s="30">
        <f>T227*X227</f>
        <v/>
      </c>
      <c r="Z227" s="28">
        <f>IFERROR(LOOKUP(Y227,{0;0.5;5;25},{"Bajo";"Medio";"Alto";"Crítico"}),"")</f>
        <v/>
      </c>
      <c r="AA227" s="64">
        <f>IF(T227&gt;=3,IF(X227&gt;=1,"Zona 1 — Crítica: impacto alto y ocurre al menos una vez al año","Zona 4 — Catastrófica poco probable: impacto alto pero excepcional"),IF(AND(T227&lt;1.5,X227&lt;1),"Zona 3 — Asumible: impacto bajo y muy poco frecuente","Zona 2 — Atención: riesgo intermedio"))</f>
        <v/>
      </c>
      <c r="AB227" s="64">
        <f>IFERROR(INDEX(MgAmenCtrl,MATCH(SUBSTITUTE($H227,"*","-"),MgAmenClave,0)),"")</f>
        <v/>
      </c>
      <c r="AC227" s="20" t="n"/>
      <c r="AD227" s="31">
        <f>IFERROR($X227*(1-IF($AC227="",$AL227,VLOOKUP($AC227,MgMad,2,0))),"")</f>
        <v/>
      </c>
      <c r="AE227" s="28">
        <f>IFERROR(LOOKUP(AD227,{0;0.01;0.1;1;10;100},{"Muy baja";"Muy baja";"Baja";"Media";"Alta";"Muy alta"}),"")</f>
        <v/>
      </c>
      <c r="AF227" s="30">
        <f>T227*AD227</f>
        <v/>
      </c>
      <c r="AG227" s="28">
        <f>IFERROR(LOOKUP(AF227,{0;0.5;5;25},{"Bajo";"Medio";"Alto";"Crítico"}),"")</f>
        <v/>
      </c>
      <c r="AH227" s="28">
        <f>IF(AG227="","",IF(OR(AG227="Crítico",AG227="Alto"),"Mitigar",IF(AG227="Medio","Mitigar","Aceptar y monitorear")))</f>
        <v/>
      </c>
      <c r="AI227" s="21" t="n"/>
      <c r="AJ227" s="21" t="n"/>
      <c r="AK227" s="20" t="n"/>
      <c r="AL227" s="77">
        <f>IFERROR(INDEX(MgAmenEfic,MATCH(SUBSTITUTE($H227,"*","-"),MgAmenClave,0)),0)</f>
        <v/>
      </c>
    </row>
    <row r="228" hidden="1" ht="120" customHeight="1" s="54">
      <c r="B228" s="59" t="inlineStr">
        <is>
          <t>R-0223</t>
        </is>
      </c>
      <c r="C228" s="59" t="inlineStr">
        <is>
          <t>DO-06</t>
        </is>
      </c>
      <c r="D228" s="64">
        <f>IFERROR(INDEX(MgNombre,MATCH($C228,MgActId,0)),"")</f>
        <v/>
      </c>
      <c r="E228" s="64">
        <f>IFERROR(INDEX(MgProceso,MATCH($C228,MgActId,0)),"")</f>
        <v/>
      </c>
      <c r="F228" s="64">
        <f>IFERROR(INDEX(MgTipo,MATCH($C228,MgActId,0)),"")</f>
        <v/>
      </c>
      <c r="G228" s="64">
        <f>IFERROR(INDEX(MgSubtipo,MATCH($C228,MgActId,0)),"")</f>
        <v/>
      </c>
      <c r="H228" s="59" t="inlineStr">
        <is>
          <t>E.2</t>
        </is>
      </c>
      <c r="I228" s="64">
        <f>IFERROR(INDEX(MgAmenNombre,MATCH(SUBSTITUTE($H228,"*","-"),MgAmenClave,0)),"")</f>
        <v/>
      </c>
      <c r="J228" s="28">
        <f>IFERROR(INDEX(MgAmenGrupo,MATCH(SUBSTITUTE($H228,"*","-"),MgAmenClave,0)),"")</f>
        <v/>
      </c>
      <c r="K228" s="64">
        <f>IFERROR(INDEX('1. Matriz de Activos'!$Q$6:$Q$239,MATCH($C228,MgActId,0)),"")</f>
        <v/>
      </c>
      <c r="L228" s="64">
        <f>IFERROR(INDEX('1. Matriz de Activos'!$R$6:$R$239,MATCH($C228,MgActId,0)),"")</f>
        <v/>
      </c>
      <c r="M228" s="64">
        <f>IFERROR(INDEX('1. Matriz de Activos'!$S$6:$S$239,MATCH($C228,MgActId,0)),"")</f>
        <v/>
      </c>
      <c r="N228" s="28">
        <f>IFERROR(INDEX(MgAmenDegD,MATCH(SUBSTITUTE($H228,"*","-"),MgAmenClave,0)),"No aplica")</f>
        <v/>
      </c>
      <c r="O228" s="28">
        <f>IFERROR(INDEX(MgAmenDegI,MATCH(SUBSTITUTE($H228,"*","-"),MgAmenClave,0)),"No aplica")</f>
        <v/>
      </c>
      <c r="P228" s="28">
        <f>IFERROR(INDEX(MgAmenDegC,MATCH(SUBSTITUTE($H228,"*","-"),MgAmenClave,0)),"No aplica")</f>
        <v/>
      </c>
      <c r="Q228" s="29">
        <f>IFERROR(VLOOKUP(K228,MgValor,2,0)*VLOOKUP(N228,MgDeg,2,0),0)</f>
        <v/>
      </c>
      <c r="R228" s="29">
        <f>IFERROR(VLOOKUP(L228,MgValor,2,0)*VLOOKUP(O228,MgDeg,2,0),0)</f>
        <v/>
      </c>
      <c r="S228" s="29">
        <f>IFERROR(VLOOKUP(M228,MgValor,2,0)*VLOOKUP(P228,MgDeg,2,0),0)</f>
        <v/>
      </c>
      <c r="T228" s="30">
        <f>MAX(Q228:S228)</f>
        <v/>
      </c>
      <c r="U228" s="28">
        <f>IFERROR(LOOKUP(T228,{0;0.5;1.5;3;4.5},{"Despreciable";"Bajo";"Medio";"Alto";"Muy alto"}),"")</f>
        <v/>
      </c>
      <c r="V228" s="13">
        <f>IFERROR(INDEX(MgAmenFrec,MATCH(SUBSTITUTE($H228,"*","-"),MgAmenClave,0)),"")</f>
        <v/>
      </c>
      <c r="W228" s="28">
        <f>IFERROR(LOOKUP(X228,{0;0.01;0.1;1;10;100},{"Muy baja";"Muy baja";"Baja";"Media";"Alta";"Muy alta"}),"")</f>
        <v/>
      </c>
      <c r="X228" s="31">
        <f>IFERROR(VLOOKUP(V228,MgFrec,2,0),0)</f>
        <v/>
      </c>
      <c r="Y228" s="30">
        <f>T228*X228</f>
        <v/>
      </c>
      <c r="Z228" s="28">
        <f>IFERROR(LOOKUP(Y228,{0;0.5;5;25},{"Bajo";"Medio";"Alto";"Crítico"}),"")</f>
        <v/>
      </c>
      <c r="AA228" s="64">
        <f>IF(T228&gt;=3,IF(X228&gt;=1,"Zona 1 — Crítica: impacto alto y ocurre al menos una vez al año","Zona 4 — Catastrófica poco probable: impacto alto pero excepcional"),IF(AND(T228&lt;1.5,X228&lt;1),"Zona 3 — Asumible: impacto bajo y muy poco frecuente","Zona 2 — Atención: riesgo intermedio"))</f>
        <v/>
      </c>
      <c r="AB228" s="64">
        <f>IFERROR(INDEX(MgAmenCtrl,MATCH(SUBSTITUTE($H228,"*","-"),MgAmenClave,0)),"")</f>
        <v/>
      </c>
      <c r="AC228" s="20" t="n"/>
      <c r="AD228" s="31">
        <f>IFERROR($X228*(1-IF($AC228="",$AL228,VLOOKUP($AC228,MgMad,2,0))),"")</f>
        <v/>
      </c>
      <c r="AE228" s="28">
        <f>IFERROR(LOOKUP(AD228,{0;0.01;0.1;1;10;100},{"Muy baja";"Muy baja";"Baja";"Media";"Alta";"Muy alta"}),"")</f>
        <v/>
      </c>
      <c r="AF228" s="30">
        <f>T228*AD228</f>
        <v/>
      </c>
      <c r="AG228" s="28">
        <f>IFERROR(LOOKUP(AF228,{0;0.5;5;25},{"Bajo";"Medio";"Alto";"Crítico"}),"")</f>
        <v/>
      </c>
      <c r="AH228" s="28">
        <f>IF(AG228="","",IF(OR(AG228="Crítico",AG228="Alto"),"Mitigar",IF(AG228="Medio","Mitigar","Aceptar y monitorear")))</f>
        <v/>
      </c>
      <c r="AI228" s="21" t="n"/>
      <c r="AJ228" s="21" t="n"/>
      <c r="AK228" s="20" t="n"/>
      <c r="AL228" s="77">
        <f>IFERROR(INDEX(MgAmenEfic,MATCH(SUBSTITUTE($H228,"*","-"),MgAmenClave,0)),0)</f>
        <v/>
      </c>
    </row>
    <row r="229" hidden="1" ht="60" customHeight="1" s="54">
      <c r="B229" s="59" t="inlineStr">
        <is>
          <t>R-0224</t>
        </is>
      </c>
      <c r="C229" s="59" t="inlineStr">
        <is>
          <t>DO-06</t>
        </is>
      </c>
      <c r="D229" s="64">
        <f>IFERROR(INDEX(MgNombre,MATCH($C229,MgActId,0)),"")</f>
        <v/>
      </c>
      <c r="E229" s="64">
        <f>IFERROR(INDEX(MgProceso,MATCH($C229,MgActId,0)),"")</f>
        <v/>
      </c>
      <c r="F229" s="64">
        <f>IFERROR(INDEX(MgTipo,MATCH($C229,MgActId,0)),"")</f>
        <v/>
      </c>
      <c r="G229" s="64">
        <f>IFERROR(INDEX(MgSubtipo,MATCH($C229,MgActId,0)),"")</f>
        <v/>
      </c>
      <c r="H229" s="59" t="inlineStr">
        <is>
          <t>E.9</t>
        </is>
      </c>
      <c r="I229" s="64">
        <f>IFERROR(INDEX(MgAmenNombre,MATCH(SUBSTITUTE($H229,"*","-"),MgAmenClave,0)),"")</f>
        <v/>
      </c>
      <c r="J229" s="28">
        <f>IFERROR(INDEX(MgAmenGrupo,MATCH(SUBSTITUTE($H229,"*","-"),MgAmenClave,0)),"")</f>
        <v/>
      </c>
      <c r="K229" s="64">
        <f>IFERROR(INDEX('1. Matriz de Activos'!$Q$6:$Q$239,MATCH($C229,MgActId,0)),"")</f>
        <v/>
      </c>
      <c r="L229" s="64">
        <f>IFERROR(INDEX('1. Matriz de Activos'!$R$6:$R$239,MATCH($C229,MgActId,0)),"")</f>
        <v/>
      </c>
      <c r="M229" s="64">
        <f>IFERROR(INDEX('1. Matriz de Activos'!$S$6:$S$239,MATCH($C229,MgActId,0)),"")</f>
        <v/>
      </c>
      <c r="N229" s="28">
        <f>IFERROR(INDEX(MgAmenDegD,MATCH(SUBSTITUTE($H229,"*","-"),MgAmenClave,0)),"No aplica")</f>
        <v/>
      </c>
      <c r="O229" s="28">
        <f>IFERROR(INDEX(MgAmenDegI,MATCH(SUBSTITUTE($H229,"*","-"),MgAmenClave,0)),"No aplica")</f>
        <v/>
      </c>
      <c r="P229" s="28">
        <f>IFERROR(INDEX(MgAmenDegC,MATCH(SUBSTITUTE($H229,"*","-"),MgAmenClave,0)),"No aplica")</f>
        <v/>
      </c>
      <c r="Q229" s="29">
        <f>IFERROR(VLOOKUP(K229,MgValor,2,0)*VLOOKUP(N229,MgDeg,2,0),0)</f>
        <v/>
      </c>
      <c r="R229" s="29">
        <f>IFERROR(VLOOKUP(L229,MgValor,2,0)*VLOOKUP(O229,MgDeg,2,0),0)</f>
        <v/>
      </c>
      <c r="S229" s="29">
        <f>IFERROR(VLOOKUP(M229,MgValor,2,0)*VLOOKUP(P229,MgDeg,2,0),0)</f>
        <v/>
      </c>
      <c r="T229" s="30">
        <f>MAX(Q229:S229)</f>
        <v/>
      </c>
      <c r="U229" s="28">
        <f>IFERROR(LOOKUP(T229,{0;0.5;1.5;3;4.5},{"Despreciable";"Bajo";"Medio";"Alto";"Muy alto"}),"")</f>
        <v/>
      </c>
      <c r="V229" s="13">
        <f>IFERROR(INDEX(MgAmenFrec,MATCH(SUBSTITUTE($H229,"*","-"),MgAmenClave,0)),"")</f>
        <v/>
      </c>
      <c r="W229" s="28">
        <f>IFERROR(LOOKUP(X229,{0;0.01;0.1;1;10;100},{"Muy baja";"Muy baja";"Baja";"Media";"Alta";"Muy alta"}),"")</f>
        <v/>
      </c>
      <c r="X229" s="31">
        <f>IFERROR(VLOOKUP(V229,MgFrec,2,0),0)</f>
        <v/>
      </c>
      <c r="Y229" s="30">
        <f>T229*X229</f>
        <v/>
      </c>
      <c r="Z229" s="28">
        <f>IFERROR(LOOKUP(Y229,{0;0.5;5;25},{"Bajo";"Medio";"Alto";"Crítico"}),"")</f>
        <v/>
      </c>
      <c r="AA229" s="64">
        <f>IF(T229&gt;=3,IF(X229&gt;=1,"Zona 1 — Crítica: impacto alto y ocurre al menos una vez al año","Zona 4 — Catastrófica poco probable: impacto alto pero excepcional"),IF(AND(T229&lt;1.5,X229&lt;1),"Zona 3 — Asumible: impacto bajo y muy poco frecuente","Zona 2 — Atención: riesgo intermedio"))</f>
        <v/>
      </c>
      <c r="AB229" s="64">
        <f>IFERROR(INDEX(MgAmenCtrl,MATCH(SUBSTITUTE($H229,"*","-"),MgAmenClave,0)),"")</f>
        <v/>
      </c>
      <c r="AC229" s="20" t="n"/>
      <c r="AD229" s="31">
        <f>IFERROR($X229*(1-IF($AC229="",$AL229,VLOOKUP($AC229,MgMad,2,0))),"")</f>
        <v/>
      </c>
      <c r="AE229" s="28">
        <f>IFERROR(LOOKUP(AD229,{0;0.01;0.1;1;10;100},{"Muy baja";"Muy baja";"Baja";"Media";"Alta";"Muy alta"}),"")</f>
        <v/>
      </c>
      <c r="AF229" s="30">
        <f>T229*AD229</f>
        <v/>
      </c>
      <c r="AG229" s="28">
        <f>IFERROR(LOOKUP(AF229,{0;0.5;5;25},{"Bajo";"Medio";"Alto";"Crítico"}),"")</f>
        <v/>
      </c>
      <c r="AH229" s="28">
        <f>IF(AG229="","",IF(OR(AG229="Crítico",AG229="Alto"),"Mitigar",IF(AG229="Medio","Mitigar","Aceptar y monitorear")))</f>
        <v/>
      </c>
      <c r="AI229" s="21" t="n"/>
      <c r="AJ229" s="21" t="n"/>
      <c r="AK229" s="20" t="n"/>
      <c r="AL229" s="77">
        <f>IFERROR(INDEX(MgAmenEfic,MATCH(SUBSTITUTE($H229,"*","-"),MgAmenClave,0)),0)</f>
        <v/>
      </c>
    </row>
    <row r="230" hidden="1" ht="90" customHeight="1" s="54">
      <c r="B230" s="59" t="inlineStr">
        <is>
          <t>R-0225</t>
        </is>
      </c>
      <c r="C230" s="59" t="inlineStr">
        <is>
          <t>DO-06</t>
        </is>
      </c>
      <c r="D230" s="64">
        <f>IFERROR(INDEX(MgNombre,MATCH($C230,MgActId,0)),"")</f>
        <v/>
      </c>
      <c r="E230" s="64">
        <f>IFERROR(INDEX(MgProceso,MATCH($C230,MgActId,0)),"")</f>
        <v/>
      </c>
      <c r="F230" s="64">
        <f>IFERROR(INDEX(MgTipo,MATCH($C230,MgActId,0)),"")</f>
        <v/>
      </c>
      <c r="G230" s="64">
        <f>IFERROR(INDEX(MgSubtipo,MATCH($C230,MgActId,0)),"")</f>
        <v/>
      </c>
      <c r="H230" s="59" t="inlineStr">
        <is>
          <t>E.10</t>
        </is>
      </c>
      <c r="I230" s="64">
        <f>IFERROR(INDEX(MgAmenNombre,MATCH(SUBSTITUTE($H230,"*","-"),MgAmenClave,0)),"")</f>
        <v/>
      </c>
      <c r="J230" s="28">
        <f>IFERROR(INDEX(MgAmenGrupo,MATCH(SUBSTITUTE($H230,"*","-"),MgAmenClave,0)),"")</f>
        <v/>
      </c>
      <c r="K230" s="64">
        <f>IFERROR(INDEX('1. Matriz de Activos'!$Q$6:$Q$239,MATCH($C230,MgActId,0)),"")</f>
        <v/>
      </c>
      <c r="L230" s="64">
        <f>IFERROR(INDEX('1. Matriz de Activos'!$R$6:$R$239,MATCH($C230,MgActId,0)),"")</f>
        <v/>
      </c>
      <c r="M230" s="64">
        <f>IFERROR(INDEX('1. Matriz de Activos'!$S$6:$S$239,MATCH($C230,MgActId,0)),"")</f>
        <v/>
      </c>
      <c r="N230" s="28">
        <f>IFERROR(INDEX(MgAmenDegD,MATCH(SUBSTITUTE($H230,"*","-"),MgAmenClave,0)),"No aplica")</f>
        <v/>
      </c>
      <c r="O230" s="28">
        <f>IFERROR(INDEX(MgAmenDegI,MATCH(SUBSTITUTE($H230,"*","-"),MgAmenClave,0)),"No aplica")</f>
        <v/>
      </c>
      <c r="P230" s="28">
        <f>IFERROR(INDEX(MgAmenDegC,MATCH(SUBSTITUTE($H230,"*","-"),MgAmenClave,0)),"No aplica")</f>
        <v/>
      </c>
      <c r="Q230" s="29">
        <f>IFERROR(VLOOKUP(K230,MgValor,2,0)*VLOOKUP(N230,MgDeg,2,0),0)</f>
        <v/>
      </c>
      <c r="R230" s="29">
        <f>IFERROR(VLOOKUP(L230,MgValor,2,0)*VLOOKUP(O230,MgDeg,2,0),0)</f>
        <v/>
      </c>
      <c r="S230" s="29">
        <f>IFERROR(VLOOKUP(M230,MgValor,2,0)*VLOOKUP(P230,MgDeg,2,0),0)</f>
        <v/>
      </c>
      <c r="T230" s="30">
        <f>MAX(Q230:S230)</f>
        <v/>
      </c>
      <c r="U230" s="28">
        <f>IFERROR(LOOKUP(T230,{0;0.5;1.5;3;4.5},{"Despreciable";"Bajo";"Medio";"Alto";"Muy alto"}),"")</f>
        <v/>
      </c>
      <c r="V230" s="13">
        <f>IFERROR(INDEX(MgAmenFrec,MATCH(SUBSTITUTE($H230,"*","-"),MgAmenClave,0)),"")</f>
        <v/>
      </c>
      <c r="W230" s="28">
        <f>IFERROR(LOOKUP(X230,{0;0.01;0.1;1;10;100},{"Muy baja";"Muy baja";"Baja";"Media";"Alta";"Muy alta"}),"")</f>
        <v/>
      </c>
      <c r="X230" s="31">
        <f>IFERROR(VLOOKUP(V230,MgFrec,2,0),0)</f>
        <v/>
      </c>
      <c r="Y230" s="30">
        <f>T230*X230</f>
        <v/>
      </c>
      <c r="Z230" s="28">
        <f>IFERROR(LOOKUP(Y230,{0;0.5;5;25},{"Bajo";"Medio";"Alto";"Crítico"}),"")</f>
        <v/>
      </c>
      <c r="AA230" s="64">
        <f>IF(T230&gt;=3,IF(X230&gt;=1,"Zona 1 — Crítica: impacto alto y ocurre al menos una vez al año","Zona 4 — Catastrófica poco probable: impacto alto pero excepcional"),IF(AND(T230&lt;1.5,X230&lt;1),"Zona 3 — Asumible: impacto bajo y muy poco frecuente","Zona 2 — Atención: riesgo intermedio"))</f>
        <v/>
      </c>
      <c r="AB230" s="64">
        <f>IFERROR(INDEX(MgAmenCtrl,MATCH(SUBSTITUTE($H230,"*","-"),MgAmenClave,0)),"")</f>
        <v/>
      </c>
      <c r="AC230" s="20" t="n"/>
      <c r="AD230" s="31">
        <f>IFERROR($X230*(1-IF($AC230="",$AL230,VLOOKUP($AC230,MgMad,2,0))),"")</f>
        <v/>
      </c>
      <c r="AE230" s="28">
        <f>IFERROR(LOOKUP(AD230,{0;0.01;0.1;1;10;100},{"Muy baja";"Muy baja";"Baja";"Media";"Alta";"Muy alta"}),"")</f>
        <v/>
      </c>
      <c r="AF230" s="30">
        <f>T230*AD230</f>
        <v/>
      </c>
      <c r="AG230" s="28">
        <f>IFERROR(LOOKUP(AF230,{0;0.5;5;25},{"Bajo";"Medio";"Alto";"Crítico"}),"")</f>
        <v/>
      </c>
      <c r="AH230" s="28">
        <f>IF(AG230="","",IF(OR(AG230="Crítico",AG230="Alto"),"Mitigar",IF(AG230="Medio","Mitigar","Aceptar y monitorear")))</f>
        <v/>
      </c>
      <c r="AI230" s="21" t="n"/>
      <c r="AJ230" s="21" t="n"/>
      <c r="AK230" s="20" t="n"/>
      <c r="AL230" s="77">
        <f>IFERROR(INDEX(MgAmenEfic,MATCH(SUBSTITUTE($H230,"*","-"),MgAmenClave,0)),0)</f>
        <v/>
      </c>
    </row>
    <row r="231" hidden="1" ht="90" customHeight="1" s="54">
      <c r="B231" s="59" t="inlineStr">
        <is>
          <t>R-0226</t>
        </is>
      </c>
      <c r="C231" s="59" t="inlineStr">
        <is>
          <t>DO-06</t>
        </is>
      </c>
      <c r="D231" s="64">
        <f>IFERROR(INDEX(MgNombre,MATCH($C231,MgActId,0)),"")</f>
        <v/>
      </c>
      <c r="E231" s="64">
        <f>IFERROR(INDEX(MgProceso,MATCH($C231,MgActId,0)),"")</f>
        <v/>
      </c>
      <c r="F231" s="64">
        <f>IFERROR(INDEX(MgTipo,MATCH($C231,MgActId,0)),"")</f>
        <v/>
      </c>
      <c r="G231" s="64">
        <f>IFERROR(INDEX(MgSubtipo,MATCH($C231,MgActId,0)),"")</f>
        <v/>
      </c>
      <c r="H231" s="59" t="inlineStr">
        <is>
          <t>E.14</t>
        </is>
      </c>
      <c r="I231" s="64">
        <f>IFERROR(INDEX(MgAmenNombre,MATCH(SUBSTITUTE($H231,"*","-"),MgAmenClave,0)),"")</f>
        <v/>
      </c>
      <c r="J231" s="28">
        <f>IFERROR(INDEX(MgAmenGrupo,MATCH(SUBSTITUTE($H231,"*","-"),MgAmenClave,0)),"")</f>
        <v/>
      </c>
      <c r="K231" s="64">
        <f>IFERROR(INDEX('1. Matriz de Activos'!$Q$6:$Q$239,MATCH($C231,MgActId,0)),"")</f>
        <v/>
      </c>
      <c r="L231" s="64">
        <f>IFERROR(INDEX('1. Matriz de Activos'!$R$6:$R$239,MATCH($C231,MgActId,0)),"")</f>
        <v/>
      </c>
      <c r="M231" s="64">
        <f>IFERROR(INDEX('1. Matriz de Activos'!$S$6:$S$239,MATCH($C231,MgActId,0)),"")</f>
        <v/>
      </c>
      <c r="N231" s="28">
        <f>IFERROR(INDEX(MgAmenDegD,MATCH(SUBSTITUTE($H231,"*","-"),MgAmenClave,0)),"No aplica")</f>
        <v/>
      </c>
      <c r="O231" s="28">
        <f>IFERROR(INDEX(MgAmenDegI,MATCH(SUBSTITUTE($H231,"*","-"),MgAmenClave,0)),"No aplica")</f>
        <v/>
      </c>
      <c r="P231" s="28">
        <f>IFERROR(INDEX(MgAmenDegC,MATCH(SUBSTITUTE($H231,"*","-"),MgAmenClave,0)),"No aplica")</f>
        <v/>
      </c>
      <c r="Q231" s="29">
        <f>IFERROR(VLOOKUP(K231,MgValor,2,0)*VLOOKUP(N231,MgDeg,2,0),0)</f>
        <v/>
      </c>
      <c r="R231" s="29">
        <f>IFERROR(VLOOKUP(L231,MgValor,2,0)*VLOOKUP(O231,MgDeg,2,0),0)</f>
        <v/>
      </c>
      <c r="S231" s="29">
        <f>IFERROR(VLOOKUP(M231,MgValor,2,0)*VLOOKUP(P231,MgDeg,2,0),0)</f>
        <v/>
      </c>
      <c r="T231" s="30">
        <f>MAX(Q231:S231)</f>
        <v/>
      </c>
      <c r="U231" s="28">
        <f>IFERROR(LOOKUP(T231,{0;0.5;1.5;3;4.5},{"Despreciable";"Bajo";"Medio";"Alto";"Muy alto"}),"")</f>
        <v/>
      </c>
      <c r="V231" s="13">
        <f>IFERROR(INDEX(MgAmenFrec,MATCH(SUBSTITUTE($H231,"*","-"),MgAmenClave,0)),"")</f>
        <v/>
      </c>
      <c r="W231" s="28">
        <f>IFERROR(LOOKUP(X231,{0;0.01;0.1;1;10;100},{"Muy baja";"Muy baja";"Baja";"Media";"Alta";"Muy alta"}),"")</f>
        <v/>
      </c>
      <c r="X231" s="31">
        <f>IFERROR(VLOOKUP(V231,MgFrec,2,0),0)</f>
        <v/>
      </c>
      <c r="Y231" s="30">
        <f>T231*X231</f>
        <v/>
      </c>
      <c r="Z231" s="28">
        <f>IFERROR(LOOKUP(Y231,{0;0.5;5;25},{"Bajo";"Medio";"Alto";"Crítico"}),"")</f>
        <v/>
      </c>
      <c r="AA231" s="64">
        <f>IF(T231&gt;=3,IF(X231&gt;=1,"Zona 1 — Crítica: impacto alto y ocurre al menos una vez al año","Zona 4 — Catastrófica poco probable: impacto alto pero excepcional"),IF(AND(T231&lt;1.5,X231&lt;1),"Zona 3 — Asumible: impacto bajo y muy poco frecuente","Zona 2 — Atención: riesgo intermedio"))</f>
        <v/>
      </c>
      <c r="AB231" s="64">
        <f>IFERROR(INDEX(MgAmenCtrl,MATCH(SUBSTITUTE($H231,"*","-"),MgAmenClave,0)),"")</f>
        <v/>
      </c>
      <c r="AC231" s="20" t="n"/>
      <c r="AD231" s="31">
        <f>IFERROR($X231*(1-IF($AC231="",$AL231,VLOOKUP($AC231,MgMad,2,0))),"")</f>
        <v/>
      </c>
      <c r="AE231" s="28">
        <f>IFERROR(LOOKUP(AD231,{0;0.01;0.1;1;10;100},{"Muy baja";"Muy baja";"Baja";"Media";"Alta";"Muy alta"}),"")</f>
        <v/>
      </c>
      <c r="AF231" s="30">
        <f>T231*AD231</f>
        <v/>
      </c>
      <c r="AG231" s="28">
        <f>IFERROR(LOOKUP(AF231,{0;0.5;5;25},{"Bajo";"Medio";"Alto";"Crítico"}),"")</f>
        <v/>
      </c>
      <c r="AH231" s="28">
        <f>IF(AG231="","",IF(OR(AG231="Crítico",AG231="Alto"),"Mitigar",IF(AG231="Medio","Mitigar","Aceptar y monitorear")))</f>
        <v/>
      </c>
      <c r="AI231" s="21" t="n"/>
      <c r="AJ231" s="21" t="n"/>
      <c r="AK231" s="20" t="n"/>
      <c r="AL231" s="77">
        <f>IFERROR(INDEX(MgAmenEfic,MATCH(SUBSTITUTE($H231,"*","-"),MgAmenClave,0)),0)</f>
        <v/>
      </c>
    </row>
    <row r="232" hidden="1" ht="90" customHeight="1" s="54">
      <c r="B232" s="59" t="inlineStr">
        <is>
          <t>R-0227</t>
        </is>
      </c>
      <c r="C232" s="59" t="inlineStr">
        <is>
          <t>DO-06</t>
        </is>
      </c>
      <c r="D232" s="64">
        <f>IFERROR(INDEX(MgNombre,MATCH($C232,MgActId,0)),"")</f>
        <v/>
      </c>
      <c r="E232" s="64">
        <f>IFERROR(INDEX(MgProceso,MATCH($C232,MgActId,0)),"")</f>
        <v/>
      </c>
      <c r="F232" s="64">
        <f>IFERROR(INDEX(MgTipo,MATCH($C232,MgActId,0)),"")</f>
        <v/>
      </c>
      <c r="G232" s="64">
        <f>IFERROR(INDEX(MgSubtipo,MATCH($C232,MgActId,0)),"")</f>
        <v/>
      </c>
      <c r="H232" s="59" t="inlineStr">
        <is>
          <t>E.15</t>
        </is>
      </c>
      <c r="I232" s="64">
        <f>IFERROR(INDEX(MgAmenNombre,MATCH(SUBSTITUTE($H232,"*","-"),MgAmenClave,0)),"")</f>
        <v/>
      </c>
      <c r="J232" s="28">
        <f>IFERROR(INDEX(MgAmenGrupo,MATCH(SUBSTITUTE($H232,"*","-"),MgAmenClave,0)),"")</f>
        <v/>
      </c>
      <c r="K232" s="64">
        <f>IFERROR(INDEX('1. Matriz de Activos'!$Q$6:$Q$239,MATCH($C232,MgActId,0)),"")</f>
        <v/>
      </c>
      <c r="L232" s="64">
        <f>IFERROR(INDEX('1. Matriz de Activos'!$R$6:$R$239,MATCH($C232,MgActId,0)),"")</f>
        <v/>
      </c>
      <c r="M232" s="64">
        <f>IFERROR(INDEX('1. Matriz de Activos'!$S$6:$S$239,MATCH($C232,MgActId,0)),"")</f>
        <v/>
      </c>
      <c r="N232" s="28">
        <f>IFERROR(INDEX(MgAmenDegD,MATCH(SUBSTITUTE($H232,"*","-"),MgAmenClave,0)),"No aplica")</f>
        <v/>
      </c>
      <c r="O232" s="28">
        <f>IFERROR(INDEX(MgAmenDegI,MATCH(SUBSTITUTE($H232,"*","-"),MgAmenClave,0)),"No aplica")</f>
        <v/>
      </c>
      <c r="P232" s="28">
        <f>IFERROR(INDEX(MgAmenDegC,MATCH(SUBSTITUTE($H232,"*","-"),MgAmenClave,0)),"No aplica")</f>
        <v/>
      </c>
      <c r="Q232" s="29">
        <f>IFERROR(VLOOKUP(K232,MgValor,2,0)*VLOOKUP(N232,MgDeg,2,0),0)</f>
        <v/>
      </c>
      <c r="R232" s="29">
        <f>IFERROR(VLOOKUP(L232,MgValor,2,0)*VLOOKUP(O232,MgDeg,2,0),0)</f>
        <v/>
      </c>
      <c r="S232" s="29">
        <f>IFERROR(VLOOKUP(M232,MgValor,2,0)*VLOOKUP(P232,MgDeg,2,0),0)</f>
        <v/>
      </c>
      <c r="T232" s="30">
        <f>MAX(Q232:S232)</f>
        <v/>
      </c>
      <c r="U232" s="28">
        <f>IFERROR(LOOKUP(T232,{0;0.5;1.5;3;4.5},{"Despreciable";"Bajo";"Medio";"Alto";"Muy alto"}),"")</f>
        <v/>
      </c>
      <c r="V232" s="13">
        <f>IFERROR(INDEX(MgAmenFrec,MATCH(SUBSTITUTE($H232,"*","-"),MgAmenClave,0)),"")</f>
        <v/>
      </c>
      <c r="W232" s="28">
        <f>IFERROR(LOOKUP(X232,{0;0.01;0.1;1;10;100},{"Muy baja";"Muy baja";"Baja";"Media";"Alta";"Muy alta"}),"")</f>
        <v/>
      </c>
      <c r="X232" s="31">
        <f>IFERROR(VLOOKUP(V232,MgFrec,2,0),0)</f>
        <v/>
      </c>
      <c r="Y232" s="30">
        <f>T232*X232</f>
        <v/>
      </c>
      <c r="Z232" s="28">
        <f>IFERROR(LOOKUP(Y232,{0;0.5;5;25},{"Bajo";"Medio";"Alto";"Crítico"}),"")</f>
        <v/>
      </c>
      <c r="AA232" s="64">
        <f>IF(T232&gt;=3,IF(X232&gt;=1,"Zona 1 — Crítica: impacto alto y ocurre al menos una vez al año","Zona 4 — Catastrófica poco probable: impacto alto pero excepcional"),IF(AND(T232&lt;1.5,X232&lt;1),"Zona 3 — Asumible: impacto bajo y muy poco frecuente","Zona 2 — Atención: riesgo intermedio"))</f>
        <v/>
      </c>
      <c r="AB232" s="64">
        <f>IFERROR(INDEX(MgAmenCtrl,MATCH(SUBSTITUTE($H232,"*","-"),MgAmenClave,0)),"")</f>
        <v/>
      </c>
      <c r="AC232" s="20" t="n"/>
      <c r="AD232" s="31">
        <f>IFERROR($X232*(1-IF($AC232="",$AL232,VLOOKUP($AC232,MgMad,2,0))),"")</f>
        <v/>
      </c>
      <c r="AE232" s="28">
        <f>IFERROR(LOOKUP(AD232,{0;0.01;0.1;1;10;100},{"Muy baja";"Muy baja";"Baja";"Media";"Alta";"Muy alta"}),"")</f>
        <v/>
      </c>
      <c r="AF232" s="30">
        <f>T232*AD232</f>
        <v/>
      </c>
      <c r="AG232" s="28">
        <f>IFERROR(LOOKUP(AF232,{0;0.5;5;25},{"Bajo";"Medio";"Alto";"Crítico"}),"")</f>
        <v/>
      </c>
      <c r="AH232" s="28">
        <f>IF(AG232="","",IF(OR(AG232="Crítico",AG232="Alto"),"Mitigar",IF(AG232="Medio","Mitigar","Aceptar y monitorear")))</f>
        <v/>
      </c>
      <c r="AI232" s="21" t="n"/>
      <c r="AJ232" s="21" t="n"/>
      <c r="AK232" s="20" t="n"/>
      <c r="AL232" s="77">
        <f>IFERROR(INDEX(MgAmenEfic,MATCH(SUBSTITUTE($H232,"*","-"),MgAmenClave,0)),0)</f>
        <v/>
      </c>
    </row>
    <row r="233" hidden="1" ht="60" customHeight="1" s="54">
      <c r="B233" s="59" t="inlineStr">
        <is>
          <t>R-0228</t>
        </is>
      </c>
      <c r="C233" s="59" t="inlineStr">
        <is>
          <t>DO-06</t>
        </is>
      </c>
      <c r="D233" s="64">
        <f>IFERROR(INDEX(MgNombre,MATCH($C233,MgActId,0)),"")</f>
        <v/>
      </c>
      <c r="E233" s="64">
        <f>IFERROR(INDEX(MgProceso,MATCH($C233,MgActId,0)),"")</f>
        <v/>
      </c>
      <c r="F233" s="64">
        <f>IFERROR(INDEX(MgTipo,MATCH($C233,MgActId,0)),"")</f>
        <v/>
      </c>
      <c r="G233" s="64">
        <f>IFERROR(INDEX(MgSubtipo,MATCH($C233,MgActId,0)),"")</f>
        <v/>
      </c>
      <c r="H233" s="59" t="inlineStr">
        <is>
          <t>E.18</t>
        </is>
      </c>
      <c r="I233" s="64">
        <f>IFERROR(INDEX(MgAmenNombre,MATCH(SUBSTITUTE($H233,"*","-"),MgAmenClave,0)),"")</f>
        <v/>
      </c>
      <c r="J233" s="28">
        <f>IFERROR(INDEX(MgAmenGrupo,MATCH(SUBSTITUTE($H233,"*","-"),MgAmenClave,0)),"")</f>
        <v/>
      </c>
      <c r="K233" s="64">
        <f>IFERROR(INDEX('1. Matriz de Activos'!$Q$6:$Q$239,MATCH($C233,MgActId,0)),"")</f>
        <v/>
      </c>
      <c r="L233" s="64">
        <f>IFERROR(INDEX('1. Matriz de Activos'!$R$6:$R$239,MATCH($C233,MgActId,0)),"")</f>
        <v/>
      </c>
      <c r="M233" s="64">
        <f>IFERROR(INDEX('1. Matriz de Activos'!$S$6:$S$239,MATCH($C233,MgActId,0)),"")</f>
        <v/>
      </c>
      <c r="N233" s="28">
        <f>IFERROR(INDEX(MgAmenDegD,MATCH(SUBSTITUTE($H233,"*","-"),MgAmenClave,0)),"No aplica")</f>
        <v/>
      </c>
      <c r="O233" s="28">
        <f>IFERROR(INDEX(MgAmenDegI,MATCH(SUBSTITUTE($H233,"*","-"),MgAmenClave,0)),"No aplica")</f>
        <v/>
      </c>
      <c r="P233" s="28">
        <f>IFERROR(INDEX(MgAmenDegC,MATCH(SUBSTITUTE($H233,"*","-"),MgAmenClave,0)),"No aplica")</f>
        <v/>
      </c>
      <c r="Q233" s="29">
        <f>IFERROR(VLOOKUP(K233,MgValor,2,0)*VLOOKUP(N233,MgDeg,2,0),0)</f>
        <v/>
      </c>
      <c r="R233" s="29">
        <f>IFERROR(VLOOKUP(L233,MgValor,2,0)*VLOOKUP(O233,MgDeg,2,0),0)</f>
        <v/>
      </c>
      <c r="S233" s="29">
        <f>IFERROR(VLOOKUP(M233,MgValor,2,0)*VLOOKUP(P233,MgDeg,2,0),0)</f>
        <v/>
      </c>
      <c r="T233" s="30">
        <f>MAX(Q233:S233)</f>
        <v/>
      </c>
      <c r="U233" s="28">
        <f>IFERROR(LOOKUP(T233,{0;0.5;1.5;3;4.5},{"Despreciable";"Bajo";"Medio";"Alto";"Muy alto"}),"")</f>
        <v/>
      </c>
      <c r="V233" s="13">
        <f>IFERROR(INDEX(MgAmenFrec,MATCH(SUBSTITUTE($H233,"*","-"),MgAmenClave,0)),"")</f>
        <v/>
      </c>
      <c r="W233" s="28">
        <f>IFERROR(LOOKUP(X233,{0;0.01;0.1;1;10;100},{"Muy baja";"Muy baja";"Baja";"Media";"Alta";"Muy alta"}),"")</f>
        <v/>
      </c>
      <c r="X233" s="31">
        <f>IFERROR(VLOOKUP(V233,MgFrec,2,0),0)</f>
        <v/>
      </c>
      <c r="Y233" s="30">
        <f>T233*X233</f>
        <v/>
      </c>
      <c r="Z233" s="28">
        <f>IFERROR(LOOKUP(Y233,{0;0.5;5;25},{"Bajo";"Medio";"Alto";"Crítico"}),"")</f>
        <v/>
      </c>
      <c r="AA233" s="64">
        <f>IF(T233&gt;=3,IF(X233&gt;=1,"Zona 1 — Crítica: impacto alto y ocurre al menos una vez al año","Zona 4 — Catastrófica poco probable: impacto alto pero excepcional"),IF(AND(T233&lt;1.5,X233&lt;1),"Zona 3 — Asumible: impacto bajo y muy poco frecuente","Zona 2 — Atención: riesgo intermedio"))</f>
        <v/>
      </c>
      <c r="AB233" s="64">
        <f>IFERROR(INDEX(MgAmenCtrl,MATCH(SUBSTITUTE($H233,"*","-"),MgAmenClave,0)),"")</f>
        <v/>
      </c>
      <c r="AC233" s="20" t="n"/>
      <c r="AD233" s="31">
        <f>IFERROR($X233*(1-IF($AC233="",$AL233,VLOOKUP($AC233,MgMad,2,0))),"")</f>
        <v/>
      </c>
      <c r="AE233" s="28">
        <f>IFERROR(LOOKUP(AD233,{0;0.01;0.1;1;10;100},{"Muy baja";"Muy baja";"Baja";"Media";"Alta";"Muy alta"}),"")</f>
        <v/>
      </c>
      <c r="AF233" s="30">
        <f>T233*AD233</f>
        <v/>
      </c>
      <c r="AG233" s="28">
        <f>IFERROR(LOOKUP(AF233,{0;0.5;5;25},{"Bajo";"Medio";"Alto";"Crítico"}),"")</f>
        <v/>
      </c>
      <c r="AH233" s="28">
        <f>IF(AG233="","",IF(OR(AG233="Crítico",AG233="Alto"),"Mitigar",IF(AG233="Medio","Mitigar","Aceptar y monitorear")))</f>
        <v/>
      </c>
      <c r="AI233" s="21" t="n"/>
      <c r="AJ233" s="21" t="n"/>
      <c r="AK233" s="20" t="n"/>
      <c r="AL233" s="77">
        <f>IFERROR(INDEX(MgAmenEfic,MATCH(SUBSTITUTE($H233,"*","-"),MgAmenClave,0)),0)</f>
        <v/>
      </c>
    </row>
    <row r="234" hidden="1" ht="105" customHeight="1" s="54">
      <c r="B234" s="59" t="inlineStr">
        <is>
          <t>R-0229</t>
        </is>
      </c>
      <c r="C234" s="59" t="inlineStr">
        <is>
          <t>DO-06</t>
        </is>
      </c>
      <c r="D234" s="64">
        <f>IFERROR(INDEX(MgNombre,MATCH($C234,MgActId,0)),"")</f>
        <v/>
      </c>
      <c r="E234" s="64">
        <f>IFERROR(INDEX(MgProceso,MATCH($C234,MgActId,0)),"")</f>
        <v/>
      </c>
      <c r="F234" s="64">
        <f>IFERROR(INDEX(MgTipo,MATCH($C234,MgActId,0)),"")</f>
        <v/>
      </c>
      <c r="G234" s="64">
        <f>IFERROR(INDEX(MgSubtipo,MATCH($C234,MgActId,0)),"")</f>
        <v/>
      </c>
      <c r="H234" s="59" t="inlineStr">
        <is>
          <t>E.19</t>
        </is>
      </c>
      <c r="I234" s="64">
        <f>IFERROR(INDEX(MgAmenNombre,MATCH(SUBSTITUTE($H234,"*","-"),MgAmenClave,0)),"")</f>
        <v/>
      </c>
      <c r="J234" s="28">
        <f>IFERROR(INDEX(MgAmenGrupo,MATCH(SUBSTITUTE($H234,"*","-"),MgAmenClave,0)),"")</f>
        <v/>
      </c>
      <c r="K234" s="64">
        <f>IFERROR(INDEX('1. Matriz de Activos'!$Q$6:$Q$239,MATCH($C234,MgActId,0)),"")</f>
        <v/>
      </c>
      <c r="L234" s="64">
        <f>IFERROR(INDEX('1. Matriz de Activos'!$R$6:$R$239,MATCH($C234,MgActId,0)),"")</f>
        <v/>
      </c>
      <c r="M234" s="64">
        <f>IFERROR(INDEX('1. Matriz de Activos'!$S$6:$S$239,MATCH($C234,MgActId,0)),"")</f>
        <v/>
      </c>
      <c r="N234" s="28">
        <f>IFERROR(INDEX(MgAmenDegD,MATCH(SUBSTITUTE($H234,"*","-"),MgAmenClave,0)),"No aplica")</f>
        <v/>
      </c>
      <c r="O234" s="28">
        <f>IFERROR(INDEX(MgAmenDegI,MATCH(SUBSTITUTE($H234,"*","-"),MgAmenClave,0)),"No aplica")</f>
        <v/>
      </c>
      <c r="P234" s="28">
        <f>IFERROR(INDEX(MgAmenDegC,MATCH(SUBSTITUTE($H234,"*","-"),MgAmenClave,0)),"No aplica")</f>
        <v/>
      </c>
      <c r="Q234" s="29">
        <f>IFERROR(VLOOKUP(K234,MgValor,2,0)*VLOOKUP(N234,MgDeg,2,0),0)</f>
        <v/>
      </c>
      <c r="R234" s="29">
        <f>IFERROR(VLOOKUP(L234,MgValor,2,0)*VLOOKUP(O234,MgDeg,2,0),0)</f>
        <v/>
      </c>
      <c r="S234" s="29">
        <f>IFERROR(VLOOKUP(M234,MgValor,2,0)*VLOOKUP(P234,MgDeg,2,0),0)</f>
        <v/>
      </c>
      <c r="T234" s="30">
        <f>MAX(Q234:S234)</f>
        <v/>
      </c>
      <c r="U234" s="28">
        <f>IFERROR(LOOKUP(T234,{0;0.5;1.5;3;4.5},{"Despreciable";"Bajo";"Medio";"Alto";"Muy alto"}),"")</f>
        <v/>
      </c>
      <c r="V234" s="13">
        <f>IFERROR(INDEX(MgAmenFrec,MATCH(SUBSTITUTE($H234,"*","-"),MgAmenClave,0)),"")</f>
        <v/>
      </c>
      <c r="W234" s="28">
        <f>IFERROR(LOOKUP(X234,{0;0.01;0.1;1;10;100},{"Muy baja";"Muy baja";"Baja";"Media";"Alta";"Muy alta"}),"")</f>
        <v/>
      </c>
      <c r="X234" s="31">
        <f>IFERROR(VLOOKUP(V234,MgFrec,2,0),0)</f>
        <v/>
      </c>
      <c r="Y234" s="30">
        <f>T234*X234</f>
        <v/>
      </c>
      <c r="Z234" s="28">
        <f>IFERROR(LOOKUP(Y234,{0;0.5;5;25},{"Bajo";"Medio";"Alto";"Crítico"}),"")</f>
        <v/>
      </c>
      <c r="AA234" s="64">
        <f>IF(T234&gt;=3,IF(X234&gt;=1,"Zona 1 — Crítica: impacto alto y ocurre al menos una vez al año","Zona 4 — Catastrófica poco probable: impacto alto pero excepcional"),IF(AND(T234&lt;1.5,X234&lt;1),"Zona 3 — Asumible: impacto bajo y muy poco frecuente","Zona 2 — Atención: riesgo intermedio"))</f>
        <v/>
      </c>
      <c r="AB234" s="64">
        <f>IFERROR(INDEX(MgAmenCtrl,MATCH(SUBSTITUTE($H234,"*","-"),MgAmenClave,0)),"")</f>
        <v/>
      </c>
      <c r="AC234" s="20" t="n"/>
      <c r="AD234" s="31">
        <f>IFERROR($X234*(1-IF($AC234="",$AL234,VLOOKUP($AC234,MgMad,2,0))),"")</f>
        <v/>
      </c>
      <c r="AE234" s="28">
        <f>IFERROR(LOOKUP(AD234,{0;0.01;0.1;1;10;100},{"Muy baja";"Muy baja";"Baja";"Media";"Alta";"Muy alta"}),"")</f>
        <v/>
      </c>
      <c r="AF234" s="30">
        <f>T234*AD234</f>
        <v/>
      </c>
      <c r="AG234" s="28">
        <f>IFERROR(LOOKUP(AF234,{0;0.5;5;25},{"Bajo";"Medio";"Alto";"Crítico"}),"")</f>
        <v/>
      </c>
      <c r="AH234" s="28">
        <f>IF(AG234="","",IF(OR(AG234="Crítico",AG234="Alto"),"Mitigar",IF(AG234="Medio","Mitigar","Aceptar y monitorear")))</f>
        <v/>
      </c>
      <c r="AI234" s="21" t="n"/>
      <c r="AJ234" s="21" t="n"/>
      <c r="AK234" s="20" t="n"/>
      <c r="AL234" s="77">
        <f>IFERROR(INDEX(MgAmenEfic,MATCH(SUBSTITUTE($H234,"*","-"),MgAmenClave,0)),0)</f>
        <v/>
      </c>
    </row>
    <row r="235" hidden="1" ht="45" customHeight="1" s="54">
      <c r="B235" s="59" t="inlineStr">
        <is>
          <t>R-0230</t>
        </is>
      </c>
      <c r="C235" s="59" t="inlineStr">
        <is>
          <t>DO-06</t>
        </is>
      </c>
      <c r="D235" s="64">
        <f>IFERROR(INDEX(MgNombre,MATCH($C235,MgActId,0)),"")</f>
        <v/>
      </c>
      <c r="E235" s="64">
        <f>IFERROR(INDEX(MgProceso,MATCH($C235,MgActId,0)),"")</f>
        <v/>
      </c>
      <c r="F235" s="64">
        <f>IFERROR(INDEX(MgTipo,MATCH($C235,MgActId,0)),"")</f>
        <v/>
      </c>
      <c r="G235" s="64">
        <f>IFERROR(INDEX(MgSubtipo,MATCH($C235,MgActId,0)),"")</f>
        <v/>
      </c>
      <c r="H235" s="59" t="inlineStr">
        <is>
          <t>E.24</t>
        </is>
      </c>
      <c r="I235" s="64">
        <f>IFERROR(INDEX(MgAmenNombre,MATCH(SUBSTITUTE($H235,"*","-"),MgAmenClave,0)),"")</f>
        <v/>
      </c>
      <c r="J235" s="28">
        <f>IFERROR(INDEX(MgAmenGrupo,MATCH(SUBSTITUTE($H235,"*","-"),MgAmenClave,0)),"")</f>
        <v/>
      </c>
      <c r="K235" s="64">
        <f>IFERROR(INDEX('1. Matriz de Activos'!$Q$6:$Q$239,MATCH($C235,MgActId,0)),"")</f>
        <v/>
      </c>
      <c r="L235" s="64">
        <f>IFERROR(INDEX('1. Matriz de Activos'!$R$6:$R$239,MATCH($C235,MgActId,0)),"")</f>
        <v/>
      </c>
      <c r="M235" s="64">
        <f>IFERROR(INDEX('1. Matriz de Activos'!$S$6:$S$239,MATCH($C235,MgActId,0)),"")</f>
        <v/>
      </c>
      <c r="N235" s="28">
        <f>IFERROR(INDEX(MgAmenDegD,MATCH(SUBSTITUTE($H235,"*","-"),MgAmenClave,0)),"No aplica")</f>
        <v/>
      </c>
      <c r="O235" s="28">
        <f>IFERROR(INDEX(MgAmenDegI,MATCH(SUBSTITUTE($H235,"*","-"),MgAmenClave,0)),"No aplica")</f>
        <v/>
      </c>
      <c r="P235" s="28">
        <f>IFERROR(INDEX(MgAmenDegC,MATCH(SUBSTITUTE($H235,"*","-"),MgAmenClave,0)),"No aplica")</f>
        <v/>
      </c>
      <c r="Q235" s="29">
        <f>IFERROR(VLOOKUP(K235,MgValor,2,0)*VLOOKUP(N235,MgDeg,2,0),0)</f>
        <v/>
      </c>
      <c r="R235" s="29">
        <f>IFERROR(VLOOKUP(L235,MgValor,2,0)*VLOOKUP(O235,MgDeg,2,0),0)</f>
        <v/>
      </c>
      <c r="S235" s="29">
        <f>IFERROR(VLOOKUP(M235,MgValor,2,0)*VLOOKUP(P235,MgDeg,2,0),0)</f>
        <v/>
      </c>
      <c r="T235" s="30">
        <f>MAX(Q235:S235)</f>
        <v/>
      </c>
      <c r="U235" s="28">
        <f>IFERROR(LOOKUP(T235,{0;0.5;1.5;3;4.5},{"Despreciable";"Bajo";"Medio";"Alto";"Muy alto"}),"")</f>
        <v/>
      </c>
      <c r="V235" s="13">
        <f>IFERROR(INDEX(MgAmenFrec,MATCH(SUBSTITUTE($H235,"*","-"),MgAmenClave,0)),"")</f>
        <v/>
      </c>
      <c r="W235" s="28">
        <f>IFERROR(LOOKUP(X235,{0;0.01;0.1;1;10;100},{"Muy baja";"Muy baja";"Baja";"Media";"Alta";"Muy alta"}),"")</f>
        <v/>
      </c>
      <c r="X235" s="31">
        <f>IFERROR(VLOOKUP(V235,MgFrec,2,0),0)</f>
        <v/>
      </c>
      <c r="Y235" s="30">
        <f>T235*X235</f>
        <v/>
      </c>
      <c r="Z235" s="28">
        <f>IFERROR(LOOKUP(Y235,{0;0.5;5;25},{"Bajo";"Medio";"Alto";"Crítico"}),"")</f>
        <v/>
      </c>
      <c r="AA235" s="64">
        <f>IF(T235&gt;=3,IF(X235&gt;=1,"Zona 1 — Crítica: impacto alto y ocurre al menos una vez al año","Zona 4 — Catastrófica poco probable: impacto alto pero excepcional"),IF(AND(T235&lt;1.5,X235&lt;1),"Zona 3 — Asumible: impacto bajo y muy poco frecuente","Zona 2 — Atención: riesgo intermedio"))</f>
        <v/>
      </c>
      <c r="AB235" s="64">
        <f>IFERROR(INDEX(MgAmenCtrl,MATCH(SUBSTITUTE($H235,"*","-"),MgAmenClave,0)),"")</f>
        <v/>
      </c>
      <c r="AC235" s="20" t="n"/>
      <c r="AD235" s="31">
        <f>IFERROR($X235*(1-IF($AC235="",$AL235,VLOOKUP($AC235,MgMad,2,0))),"")</f>
        <v/>
      </c>
      <c r="AE235" s="28">
        <f>IFERROR(LOOKUP(AD235,{0;0.01;0.1;1;10;100},{"Muy baja";"Muy baja";"Baja";"Media";"Alta";"Muy alta"}),"")</f>
        <v/>
      </c>
      <c r="AF235" s="30">
        <f>T235*AD235</f>
        <v/>
      </c>
      <c r="AG235" s="28">
        <f>IFERROR(LOOKUP(AF235,{0;0.5;5;25},{"Bajo";"Medio";"Alto";"Crítico"}),"")</f>
        <v/>
      </c>
      <c r="AH235" s="28">
        <f>IF(AG235="","",IF(OR(AG235="Crítico",AG235="Alto"),"Mitigar",IF(AG235="Medio","Mitigar","Aceptar y monitorear")))</f>
        <v/>
      </c>
      <c r="AI235" s="21" t="n"/>
      <c r="AJ235" s="21" t="n"/>
      <c r="AK235" s="20" t="n"/>
      <c r="AL235" s="77">
        <f>IFERROR(INDEX(MgAmenEfic,MATCH(SUBSTITUTE($H235,"*","-"),MgAmenClave,0)),0)</f>
        <v/>
      </c>
    </row>
    <row r="236" hidden="1" ht="75" customHeight="1" s="54">
      <c r="B236" s="59" t="inlineStr">
        <is>
          <t>R-0231</t>
        </is>
      </c>
      <c r="C236" s="59" t="inlineStr">
        <is>
          <t>DO-06</t>
        </is>
      </c>
      <c r="D236" s="64">
        <f>IFERROR(INDEX(MgNombre,MATCH($C236,MgActId,0)),"")</f>
        <v/>
      </c>
      <c r="E236" s="64">
        <f>IFERROR(INDEX(MgProceso,MATCH($C236,MgActId,0)),"")</f>
        <v/>
      </c>
      <c r="F236" s="64">
        <f>IFERROR(INDEX(MgTipo,MATCH($C236,MgActId,0)),"")</f>
        <v/>
      </c>
      <c r="G236" s="64">
        <f>IFERROR(INDEX(MgSubtipo,MATCH($C236,MgActId,0)),"")</f>
        <v/>
      </c>
      <c r="H236" s="59" t="inlineStr">
        <is>
          <t>A.5</t>
        </is>
      </c>
      <c r="I236" s="64">
        <f>IFERROR(INDEX(MgAmenNombre,MATCH(SUBSTITUTE($H236,"*","-"),MgAmenClave,0)),"")</f>
        <v/>
      </c>
      <c r="J236" s="28">
        <f>IFERROR(INDEX(MgAmenGrupo,MATCH(SUBSTITUTE($H236,"*","-"),MgAmenClave,0)),"")</f>
        <v/>
      </c>
      <c r="K236" s="64">
        <f>IFERROR(INDEX('1. Matriz de Activos'!$Q$6:$Q$239,MATCH($C236,MgActId,0)),"")</f>
        <v/>
      </c>
      <c r="L236" s="64">
        <f>IFERROR(INDEX('1. Matriz de Activos'!$R$6:$R$239,MATCH($C236,MgActId,0)),"")</f>
        <v/>
      </c>
      <c r="M236" s="64">
        <f>IFERROR(INDEX('1. Matriz de Activos'!$S$6:$S$239,MATCH($C236,MgActId,0)),"")</f>
        <v/>
      </c>
      <c r="N236" s="28">
        <f>IFERROR(INDEX(MgAmenDegD,MATCH(SUBSTITUTE($H236,"*","-"),MgAmenClave,0)),"No aplica")</f>
        <v/>
      </c>
      <c r="O236" s="28">
        <f>IFERROR(INDEX(MgAmenDegI,MATCH(SUBSTITUTE($H236,"*","-"),MgAmenClave,0)),"No aplica")</f>
        <v/>
      </c>
      <c r="P236" s="28">
        <f>IFERROR(INDEX(MgAmenDegC,MATCH(SUBSTITUTE($H236,"*","-"),MgAmenClave,0)),"No aplica")</f>
        <v/>
      </c>
      <c r="Q236" s="29">
        <f>IFERROR(VLOOKUP(K236,MgValor,2,0)*VLOOKUP(N236,MgDeg,2,0),0)</f>
        <v/>
      </c>
      <c r="R236" s="29">
        <f>IFERROR(VLOOKUP(L236,MgValor,2,0)*VLOOKUP(O236,MgDeg,2,0),0)</f>
        <v/>
      </c>
      <c r="S236" s="29">
        <f>IFERROR(VLOOKUP(M236,MgValor,2,0)*VLOOKUP(P236,MgDeg,2,0),0)</f>
        <v/>
      </c>
      <c r="T236" s="30">
        <f>MAX(Q236:S236)</f>
        <v/>
      </c>
      <c r="U236" s="28">
        <f>IFERROR(LOOKUP(T236,{0;0.5;1.5;3;4.5},{"Despreciable";"Bajo";"Medio";"Alto";"Muy alto"}),"")</f>
        <v/>
      </c>
      <c r="V236" s="13">
        <f>IFERROR(INDEX(MgAmenFrec,MATCH(SUBSTITUTE($H236,"*","-"),MgAmenClave,0)),"")</f>
        <v/>
      </c>
      <c r="W236" s="28">
        <f>IFERROR(LOOKUP(X236,{0;0.01;0.1;1;10;100},{"Muy baja";"Muy baja";"Baja";"Media";"Alta";"Muy alta"}),"")</f>
        <v/>
      </c>
      <c r="X236" s="31">
        <f>IFERROR(VLOOKUP(V236,MgFrec,2,0),0)</f>
        <v/>
      </c>
      <c r="Y236" s="30">
        <f>T236*X236</f>
        <v/>
      </c>
      <c r="Z236" s="28">
        <f>IFERROR(LOOKUP(Y236,{0;0.5;5;25},{"Bajo";"Medio";"Alto";"Crítico"}),"")</f>
        <v/>
      </c>
      <c r="AA236" s="64">
        <f>IF(T236&gt;=3,IF(X236&gt;=1,"Zona 1 — Crítica: impacto alto y ocurre al menos una vez al año","Zona 4 — Catastrófica poco probable: impacto alto pero excepcional"),IF(AND(T236&lt;1.5,X236&lt;1),"Zona 3 — Asumible: impacto bajo y muy poco frecuente","Zona 2 — Atención: riesgo intermedio"))</f>
        <v/>
      </c>
      <c r="AB236" s="64">
        <f>IFERROR(INDEX(MgAmenCtrl,MATCH(SUBSTITUTE($H236,"*","-"),MgAmenClave,0)),"")</f>
        <v/>
      </c>
      <c r="AC236" s="20" t="n"/>
      <c r="AD236" s="31">
        <f>IFERROR($X236*(1-IF($AC236="",$AL236,VLOOKUP($AC236,MgMad,2,0))),"")</f>
        <v/>
      </c>
      <c r="AE236" s="28">
        <f>IFERROR(LOOKUP(AD236,{0;0.01;0.1;1;10;100},{"Muy baja";"Muy baja";"Baja";"Media";"Alta";"Muy alta"}),"")</f>
        <v/>
      </c>
      <c r="AF236" s="30">
        <f>T236*AD236</f>
        <v/>
      </c>
      <c r="AG236" s="28">
        <f>IFERROR(LOOKUP(AF236,{0;0.5;5;25},{"Bajo";"Medio";"Alto";"Crítico"}),"")</f>
        <v/>
      </c>
      <c r="AH236" s="28">
        <f>IF(AG236="","",IF(OR(AG236="Crítico",AG236="Alto"),"Mitigar",IF(AG236="Medio","Mitigar","Aceptar y monitorear")))</f>
        <v/>
      </c>
      <c r="AI236" s="21" t="n"/>
      <c r="AJ236" s="21" t="n"/>
      <c r="AK236" s="20" t="n"/>
      <c r="AL236" s="77">
        <f>IFERROR(INDEX(MgAmenEfic,MATCH(SUBSTITUTE($H236,"*","-"),MgAmenClave,0)),0)</f>
        <v/>
      </c>
    </row>
    <row r="237" hidden="1" ht="105" customHeight="1" s="54">
      <c r="B237" s="59" t="inlineStr">
        <is>
          <t>R-0232</t>
        </is>
      </c>
      <c r="C237" s="59" t="inlineStr">
        <is>
          <t>DO-06</t>
        </is>
      </c>
      <c r="D237" s="64">
        <f>IFERROR(INDEX(MgNombre,MATCH($C237,MgActId,0)),"")</f>
        <v/>
      </c>
      <c r="E237" s="64">
        <f>IFERROR(INDEX(MgProceso,MATCH($C237,MgActId,0)),"")</f>
        <v/>
      </c>
      <c r="F237" s="64">
        <f>IFERROR(INDEX(MgTipo,MATCH($C237,MgActId,0)),"")</f>
        <v/>
      </c>
      <c r="G237" s="64">
        <f>IFERROR(INDEX(MgSubtipo,MATCH($C237,MgActId,0)),"")</f>
        <v/>
      </c>
      <c r="H237" s="59" t="inlineStr">
        <is>
          <t>A.6</t>
        </is>
      </c>
      <c r="I237" s="64">
        <f>IFERROR(INDEX(MgAmenNombre,MATCH(SUBSTITUTE($H237,"*","-"),MgAmenClave,0)),"")</f>
        <v/>
      </c>
      <c r="J237" s="28">
        <f>IFERROR(INDEX(MgAmenGrupo,MATCH(SUBSTITUTE($H237,"*","-"),MgAmenClave,0)),"")</f>
        <v/>
      </c>
      <c r="K237" s="64">
        <f>IFERROR(INDEX('1. Matriz de Activos'!$Q$6:$Q$239,MATCH($C237,MgActId,0)),"")</f>
        <v/>
      </c>
      <c r="L237" s="64">
        <f>IFERROR(INDEX('1. Matriz de Activos'!$R$6:$R$239,MATCH($C237,MgActId,0)),"")</f>
        <v/>
      </c>
      <c r="M237" s="64">
        <f>IFERROR(INDEX('1. Matriz de Activos'!$S$6:$S$239,MATCH($C237,MgActId,0)),"")</f>
        <v/>
      </c>
      <c r="N237" s="28">
        <f>IFERROR(INDEX(MgAmenDegD,MATCH(SUBSTITUTE($H237,"*","-"),MgAmenClave,0)),"No aplica")</f>
        <v/>
      </c>
      <c r="O237" s="28">
        <f>IFERROR(INDEX(MgAmenDegI,MATCH(SUBSTITUTE($H237,"*","-"),MgAmenClave,0)),"No aplica")</f>
        <v/>
      </c>
      <c r="P237" s="28">
        <f>IFERROR(INDEX(MgAmenDegC,MATCH(SUBSTITUTE($H237,"*","-"),MgAmenClave,0)),"No aplica")</f>
        <v/>
      </c>
      <c r="Q237" s="29">
        <f>IFERROR(VLOOKUP(K237,MgValor,2,0)*VLOOKUP(N237,MgDeg,2,0),0)</f>
        <v/>
      </c>
      <c r="R237" s="29">
        <f>IFERROR(VLOOKUP(L237,MgValor,2,0)*VLOOKUP(O237,MgDeg,2,0),0)</f>
        <v/>
      </c>
      <c r="S237" s="29">
        <f>IFERROR(VLOOKUP(M237,MgValor,2,0)*VLOOKUP(P237,MgDeg,2,0),0)</f>
        <v/>
      </c>
      <c r="T237" s="30">
        <f>MAX(Q237:S237)</f>
        <v/>
      </c>
      <c r="U237" s="28">
        <f>IFERROR(LOOKUP(T237,{0;0.5;1.5;3;4.5},{"Despreciable";"Bajo";"Medio";"Alto";"Muy alto"}),"")</f>
        <v/>
      </c>
      <c r="V237" s="13">
        <f>IFERROR(INDEX(MgAmenFrec,MATCH(SUBSTITUTE($H237,"*","-"),MgAmenClave,0)),"")</f>
        <v/>
      </c>
      <c r="W237" s="28">
        <f>IFERROR(LOOKUP(X237,{0;0.01;0.1;1;10;100},{"Muy baja";"Muy baja";"Baja";"Media";"Alta";"Muy alta"}),"")</f>
        <v/>
      </c>
      <c r="X237" s="31">
        <f>IFERROR(VLOOKUP(V237,MgFrec,2,0),0)</f>
        <v/>
      </c>
      <c r="Y237" s="30">
        <f>T237*X237</f>
        <v/>
      </c>
      <c r="Z237" s="28">
        <f>IFERROR(LOOKUP(Y237,{0;0.5;5;25},{"Bajo";"Medio";"Alto";"Crítico"}),"")</f>
        <v/>
      </c>
      <c r="AA237" s="64">
        <f>IF(T237&gt;=3,IF(X237&gt;=1,"Zona 1 — Crítica: impacto alto y ocurre al menos una vez al año","Zona 4 — Catastrófica poco probable: impacto alto pero excepcional"),IF(AND(T237&lt;1.5,X237&lt;1),"Zona 3 — Asumible: impacto bajo y muy poco frecuente","Zona 2 — Atención: riesgo intermedio"))</f>
        <v/>
      </c>
      <c r="AB237" s="64">
        <f>IFERROR(INDEX(MgAmenCtrl,MATCH(SUBSTITUTE($H237,"*","-"),MgAmenClave,0)),"")</f>
        <v/>
      </c>
      <c r="AC237" s="20" t="n"/>
      <c r="AD237" s="31">
        <f>IFERROR($X237*(1-IF($AC237="",$AL237,VLOOKUP($AC237,MgMad,2,0))),"")</f>
        <v/>
      </c>
      <c r="AE237" s="28">
        <f>IFERROR(LOOKUP(AD237,{0;0.01;0.1;1;10;100},{"Muy baja";"Muy baja";"Baja";"Media";"Alta";"Muy alta"}),"")</f>
        <v/>
      </c>
      <c r="AF237" s="30">
        <f>T237*AD237</f>
        <v/>
      </c>
      <c r="AG237" s="28">
        <f>IFERROR(LOOKUP(AF237,{0;0.5;5;25},{"Bajo";"Medio";"Alto";"Crítico"}),"")</f>
        <v/>
      </c>
      <c r="AH237" s="28">
        <f>IF(AG237="","",IF(OR(AG237="Crítico",AG237="Alto"),"Mitigar",IF(AG237="Medio","Mitigar","Aceptar y monitorear")))</f>
        <v/>
      </c>
      <c r="AI237" s="21" t="n"/>
      <c r="AJ237" s="21" t="n"/>
      <c r="AK237" s="20" t="n"/>
      <c r="AL237" s="77">
        <f>IFERROR(INDEX(MgAmenEfic,MATCH(SUBSTITUTE($H237,"*","-"),MgAmenClave,0)),0)</f>
        <v/>
      </c>
    </row>
    <row r="238" hidden="1" ht="60" customHeight="1" s="54">
      <c r="B238" s="59" t="inlineStr">
        <is>
          <t>R-0233</t>
        </is>
      </c>
      <c r="C238" s="59" t="inlineStr">
        <is>
          <t>DO-06</t>
        </is>
      </c>
      <c r="D238" s="64">
        <f>IFERROR(INDEX(MgNombre,MATCH($C238,MgActId,0)),"")</f>
        <v/>
      </c>
      <c r="E238" s="64">
        <f>IFERROR(INDEX(MgProceso,MATCH($C238,MgActId,0)),"")</f>
        <v/>
      </c>
      <c r="F238" s="64">
        <f>IFERROR(INDEX(MgTipo,MATCH($C238,MgActId,0)),"")</f>
        <v/>
      </c>
      <c r="G238" s="64">
        <f>IFERROR(INDEX(MgSubtipo,MATCH($C238,MgActId,0)),"")</f>
        <v/>
      </c>
      <c r="H238" s="59" t="inlineStr">
        <is>
          <t>A.7</t>
        </is>
      </c>
      <c r="I238" s="64">
        <f>IFERROR(INDEX(MgAmenNombre,MATCH(SUBSTITUTE($H238,"*","-"),MgAmenClave,0)),"")</f>
        <v/>
      </c>
      <c r="J238" s="28">
        <f>IFERROR(INDEX(MgAmenGrupo,MATCH(SUBSTITUTE($H238,"*","-"),MgAmenClave,0)),"")</f>
        <v/>
      </c>
      <c r="K238" s="64">
        <f>IFERROR(INDEX('1. Matriz de Activos'!$Q$6:$Q$239,MATCH($C238,MgActId,0)),"")</f>
        <v/>
      </c>
      <c r="L238" s="64">
        <f>IFERROR(INDEX('1. Matriz de Activos'!$R$6:$R$239,MATCH($C238,MgActId,0)),"")</f>
        <v/>
      </c>
      <c r="M238" s="64">
        <f>IFERROR(INDEX('1. Matriz de Activos'!$S$6:$S$239,MATCH($C238,MgActId,0)),"")</f>
        <v/>
      </c>
      <c r="N238" s="28">
        <f>IFERROR(INDEX(MgAmenDegD,MATCH(SUBSTITUTE($H238,"*","-"),MgAmenClave,0)),"No aplica")</f>
        <v/>
      </c>
      <c r="O238" s="28">
        <f>IFERROR(INDEX(MgAmenDegI,MATCH(SUBSTITUTE($H238,"*","-"),MgAmenClave,0)),"No aplica")</f>
        <v/>
      </c>
      <c r="P238" s="28">
        <f>IFERROR(INDEX(MgAmenDegC,MATCH(SUBSTITUTE($H238,"*","-"),MgAmenClave,0)),"No aplica")</f>
        <v/>
      </c>
      <c r="Q238" s="29">
        <f>IFERROR(VLOOKUP(K238,MgValor,2,0)*VLOOKUP(N238,MgDeg,2,0),0)</f>
        <v/>
      </c>
      <c r="R238" s="29">
        <f>IFERROR(VLOOKUP(L238,MgValor,2,0)*VLOOKUP(O238,MgDeg,2,0),0)</f>
        <v/>
      </c>
      <c r="S238" s="29">
        <f>IFERROR(VLOOKUP(M238,MgValor,2,0)*VLOOKUP(P238,MgDeg,2,0),0)</f>
        <v/>
      </c>
      <c r="T238" s="30">
        <f>MAX(Q238:S238)</f>
        <v/>
      </c>
      <c r="U238" s="28">
        <f>IFERROR(LOOKUP(T238,{0;0.5;1.5;3;4.5},{"Despreciable";"Bajo";"Medio";"Alto";"Muy alto"}),"")</f>
        <v/>
      </c>
      <c r="V238" s="13">
        <f>IFERROR(INDEX(MgAmenFrec,MATCH(SUBSTITUTE($H238,"*","-"),MgAmenClave,0)),"")</f>
        <v/>
      </c>
      <c r="W238" s="28">
        <f>IFERROR(LOOKUP(X238,{0;0.01;0.1;1;10;100},{"Muy baja";"Muy baja";"Baja";"Media";"Alta";"Muy alta"}),"")</f>
        <v/>
      </c>
      <c r="X238" s="31">
        <f>IFERROR(VLOOKUP(V238,MgFrec,2,0),0)</f>
        <v/>
      </c>
      <c r="Y238" s="30">
        <f>T238*X238</f>
        <v/>
      </c>
      <c r="Z238" s="28">
        <f>IFERROR(LOOKUP(Y238,{0;0.5;5;25},{"Bajo";"Medio";"Alto";"Crítico"}),"")</f>
        <v/>
      </c>
      <c r="AA238" s="64">
        <f>IF(T238&gt;=3,IF(X238&gt;=1,"Zona 1 — Crítica: impacto alto y ocurre al menos una vez al año","Zona 4 — Catastrófica poco probable: impacto alto pero excepcional"),IF(AND(T238&lt;1.5,X238&lt;1),"Zona 3 — Asumible: impacto bajo y muy poco frecuente","Zona 2 — Atención: riesgo intermedio"))</f>
        <v/>
      </c>
      <c r="AB238" s="64">
        <f>IFERROR(INDEX(MgAmenCtrl,MATCH(SUBSTITUTE($H238,"*","-"),MgAmenClave,0)),"")</f>
        <v/>
      </c>
      <c r="AC238" s="20" t="n"/>
      <c r="AD238" s="31">
        <f>IFERROR($X238*(1-IF($AC238="",$AL238,VLOOKUP($AC238,MgMad,2,0))),"")</f>
        <v/>
      </c>
      <c r="AE238" s="28">
        <f>IFERROR(LOOKUP(AD238,{0;0.01;0.1;1;10;100},{"Muy baja";"Muy baja";"Baja";"Media";"Alta";"Muy alta"}),"")</f>
        <v/>
      </c>
      <c r="AF238" s="30">
        <f>T238*AD238</f>
        <v/>
      </c>
      <c r="AG238" s="28">
        <f>IFERROR(LOOKUP(AF238,{0;0.5;5;25},{"Bajo";"Medio";"Alto";"Crítico"}),"")</f>
        <v/>
      </c>
      <c r="AH238" s="28">
        <f>IF(AG238="","",IF(OR(AG238="Crítico",AG238="Alto"),"Mitigar",IF(AG238="Medio","Mitigar","Aceptar y monitorear")))</f>
        <v/>
      </c>
      <c r="AI238" s="21" t="n"/>
      <c r="AJ238" s="21" t="n"/>
      <c r="AK238" s="20" t="n"/>
      <c r="AL238" s="77">
        <f>IFERROR(INDEX(MgAmenEfic,MATCH(SUBSTITUTE($H238,"*","-"),MgAmenClave,0)),0)</f>
        <v/>
      </c>
    </row>
    <row r="239" hidden="1" ht="60" customHeight="1" s="54">
      <c r="B239" s="59" t="inlineStr">
        <is>
          <t>R-0234</t>
        </is>
      </c>
      <c r="C239" s="59" t="inlineStr">
        <is>
          <t>DO-06</t>
        </is>
      </c>
      <c r="D239" s="64">
        <f>IFERROR(INDEX(MgNombre,MATCH($C239,MgActId,0)),"")</f>
        <v/>
      </c>
      <c r="E239" s="64">
        <f>IFERROR(INDEX(MgProceso,MATCH($C239,MgActId,0)),"")</f>
        <v/>
      </c>
      <c r="F239" s="64">
        <f>IFERROR(INDEX(MgTipo,MATCH($C239,MgActId,0)),"")</f>
        <v/>
      </c>
      <c r="G239" s="64">
        <f>IFERROR(INDEX(MgSubtipo,MATCH($C239,MgActId,0)),"")</f>
        <v/>
      </c>
      <c r="H239" s="59" t="inlineStr">
        <is>
          <t>A.9</t>
        </is>
      </c>
      <c r="I239" s="64">
        <f>IFERROR(INDEX(MgAmenNombre,MATCH(SUBSTITUTE($H239,"*","-"),MgAmenClave,0)),"")</f>
        <v/>
      </c>
      <c r="J239" s="28">
        <f>IFERROR(INDEX(MgAmenGrupo,MATCH(SUBSTITUTE($H239,"*","-"),MgAmenClave,0)),"")</f>
        <v/>
      </c>
      <c r="K239" s="64">
        <f>IFERROR(INDEX('1. Matriz de Activos'!$Q$6:$Q$239,MATCH($C239,MgActId,0)),"")</f>
        <v/>
      </c>
      <c r="L239" s="64">
        <f>IFERROR(INDEX('1. Matriz de Activos'!$R$6:$R$239,MATCH($C239,MgActId,0)),"")</f>
        <v/>
      </c>
      <c r="M239" s="64">
        <f>IFERROR(INDEX('1. Matriz de Activos'!$S$6:$S$239,MATCH($C239,MgActId,0)),"")</f>
        <v/>
      </c>
      <c r="N239" s="28">
        <f>IFERROR(INDEX(MgAmenDegD,MATCH(SUBSTITUTE($H239,"*","-"),MgAmenClave,0)),"No aplica")</f>
        <v/>
      </c>
      <c r="O239" s="28">
        <f>IFERROR(INDEX(MgAmenDegI,MATCH(SUBSTITUTE($H239,"*","-"),MgAmenClave,0)),"No aplica")</f>
        <v/>
      </c>
      <c r="P239" s="28">
        <f>IFERROR(INDEX(MgAmenDegC,MATCH(SUBSTITUTE($H239,"*","-"),MgAmenClave,0)),"No aplica")</f>
        <v/>
      </c>
      <c r="Q239" s="29">
        <f>IFERROR(VLOOKUP(K239,MgValor,2,0)*VLOOKUP(N239,MgDeg,2,0),0)</f>
        <v/>
      </c>
      <c r="R239" s="29">
        <f>IFERROR(VLOOKUP(L239,MgValor,2,0)*VLOOKUP(O239,MgDeg,2,0),0)</f>
        <v/>
      </c>
      <c r="S239" s="29">
        <f>IFERROR(VLOOKUP(M239,MgValor,2,0)*VLOOKUP(P239,MgDeg,2,0),0)</f>
        <v/>
      </c>
      <c r="T239" s="30">
        <f>MAX(Q239:S239)</f>
        <v/>
      </c>
      <c r="U239" s="28">
        <f>IFERROR(LOOKUP(T239,{0;0.5;1.5;3;4.5},{"Despreciable";"Bajo";"Medio";"Alto";"Muy alto"}),"")</f>
        <v/>
      </c>
      <c r="V239" s="13">
        <f>IFERROR(INDEX(MgAmenFrec,MATCH(SUBSTITUTE($H239,"*","-"),MgAmenClave,0)),"")</f>
        <v/>
      </c>
      <c r="W239" s="28">
        <f>IFERROR(LOOKUP(X239,{0;0.01;0.1;1;10;100},{"Muy baja";"Muy baja";"Baja";"Media";"Alta";"Muy alta"}),"")</f>
        <v/>
      </c>
      <c r="X239" s="31">
        <f>IFERROR(VLOOKUP(V239,MgFrec,2,0),0)</f>
        <v/>
      </c>
      <c r="Y239" s="30">
        <f>T239*X239</f>
        <v/>
      </c>
      <c r="Z239" s="28">
        <f>IFERROR(LOOKUP(Y239,{0;0.5;5;25},{"Bajo";"Medio";"Alto";"Crítico"}),"")</f>
        <v/>
      </c>
      <c r="AA239" s="64">
        <f>IF(T239&gt;=3,IF(X239&gt;=1,"Zona 1 — Crítica: impacto alto y ocurre al menos una vez al año","Zona 4 — Catastrófica poco probable: impacto alto pero excepcional"),IF(AND(T239&lt;1.5,X239&lt;1),"Zona 3 — Asumible: impacto bajo y muy poco frecuente","Zona 2 — Atención: riesgo intermedio"))</f>
        <v/>
      </c>
      <c r="AB239" s="64">
        <f>IFERROR(INDEX(MgAmenCtrl,MATCH(SUBSTITUTE($H239,"*","-"),MgAmenClave,0)),"")</f>
        <v/>
      </c>
      <c r="AC239" s="20" t="n"/>
      <c r="AD239" s="31">
        <f>IFERROR($X239*(1-IF($AC239="",$AL239,VLOOKUP($AC239,MgMad,2,0))),"")</f>
        <v/>
      </c>
      <c r="AE239" s="28">
        <f>IFERROR(LOOKUP(AD239,{0;0.01;0.1;1;10;100},{"Muy baja";"Muy baja";"Baja";"Media";"Alta";"Muy alta"}),"")</f>
        <v/>
      </c>
      <c r="AF239" s="30">
        <f>T239*AD239</f>
        <v/>
      </c>
      <c r="AG239" s="28">
        <f>IFERROR(LOOKUP(AF239,{0;0.5;5;25},{"Bajo";"Medio";"Alto";"Crítico"}),"")</f>
        <v/>
      </c>
      <c r="AH239" s="28">
        <f>IF(AG239="","",IF(OR(AG239="Crítico",AG239="Alto"),"Mitigar",IF(AG239="Medio","Mitigar","Aceptar y monitorear")))</f>
        <v/>
      </c>
      <c r="AI239" s="21" t="n"/>
      <c r="AJ239" s="21" t="n"/>
      <c r="AK239" s="20" t="n"/>
      <c r="AL239" s="77">
        <f>IFERROR(INDEX(MgAmenEfic,MATCH(SUBSTITUTE($H239,"*","-"),MgAmenClave,0)),0)</f>
        <v/>
      </c>
    </row>
    <row r="240" hidden="1" ht="45" customHeight="1" s="54">
      <c r="B240" s="59" t="inlineStr">
        <is>
          <t>R-0235</t>
        </is>
      </c>
      <c r="C240" s="59" t="inlineStr">
        <is>
          <t>DO-06</t>
        </is>
      </c>
      <c r="D240" s="64">
        <f>IFERROR(INDEX(MgNombre,MATCH($C240,MgActId,0)),"")</f>
        <v/>
      </c>
      <c r="E240" s="64">
        <f>IFERROR(INDEX(MgProceso,MATCH($C240,MgActId,0)),"")</f>
        <v/>
      </c>
      <c r="F240" s="64">
        <f>IFERROR(INDEX(MgTipo,MATCH($C240,MgActId,0)),"")</f>
        <v/>
      </c>
      <c r="G240" s="64">
        <f>IFERROR(INDEX(MgSubtipo,MATCH($C240,MgActId,0)),"")</f>
        <v/>
      </c>
      <c r="H240" s="59" t="inlineStr">
        <is>
          <t>A.10</t>
        </is>
      </c>
      <c r="I240" s="64">
        <f>IFERROR(INDEX(MgAmenNombre,MATCH(SUBSTITUTE($H240,"*","-"),MgAmenClave,0)),"")</f>
        <v/>
      </c>
      <c r="J240" s="28">
        <f>IFERROR(INDEX(MgAmenGrupo,MATCH(SUBSTITUTE($H240,"*","-"),MgAmenClave,0)),"")</f>
        <v/>
      </c>
      <c r="K240" s="64">
        <f>IFERROR(INDEX('1. Matriz de Activos'!$Q$6:$Q$239,MATCH($C240,MgActId,0)),"")</f>
        <v/>
      </c>
      <c r="L240" s="64">
        <f>IFERROR(INDEX('1. Matriz de Activos'!$R$6:$R$239,MATCH($C240,MgActId,0)),"")</f>
        <v/>
      </c>
      <c r="M240" s="64">
        <f>IFERROR(INDEX('1. Matriz de Activos'!$S$6:$S$239,MATCH($C240,MgActId,0)),"")</f>
        <v/>
      </c>
      <c r="N240" s="28">
        <f>IFERROR(INDEX(MgAmenDegD,MATCH(SUBSTITUTE($H240,"*","-"),MgAmenClave,0)),"No aplica")</f>
        <v/>
      </c>
      <c r="O240" s="28">
        <f>IFERROR(INDEX(MgAmenDegI,MATCH(SUBSTITUTE($H240,"*","-"),MgAmenClave,0)),"No aplica")</f>
        <v/>
      </c>
      <c r="P240" s="28">
        <f>IFERROR(INDEX(MgAmenDegC,MATCH(SUBSTITUTE($H240,"*","-"),MgAmenClave,0)),"No aplica")</f>
        <v/>
      </c>
      <c r="Q240" s="29">
        <f>IFERROR(VLOOKUP(K240,MgValor,2,0)*VLOOKUP(N240,MgDeg,2,0),0)</f>
        <v/>
      </c>
      <c r="R240" s="29">
        <f>IFERROR(VLOOKUP(L240,MgValor,2,0)*VLOOKUP(O240,MgDeg,2,0),0)</f>
        <v/>
      </c>
      <c r="S240" s="29">
        <f>IFERROR(VLOOKUP(M240,MgValor,2,0)*VLOOKUP(P240,MgDeg,2,0),0)</f>
        <v/>
      </c>
      <c r="T240" s="30">
        <f>MAX(Q240:S240)</f>
        <v/>
      </c>
      <c r="U240" s="28">
        <f>IFERROR(LOOKUP(T240,{0;0.5;1.5;3;4.5},{"Despreciable";"Bajo";"Medio";"Alto";"Muy alto"}),"")</f>
        <v/>
      </c>
      <c r="V240" s="13">
        <f>IFERROR(INDEX(MgAmenFrec,MATCH(SUBSTITUTE($H240,"*","-"),MgAmenClave,0)),"")</f>
        <v/>
      </c>
      <c r="W240" s="28">
        <f>IFERROR(LOOKUP(X240,{0;0.01;0.1;1;10;100},{"Muy baja";"Muy baja";"Baja";"Media";"Alta";"Muy alta"}),"")</f>
        <v/>
      </c>
      <c r="X240" s="31">
        <f>IFERROR(VLOOKUP(V240,MgFrec,2,0),0)</f>
        <v/>
      </c>
      <c r="Y240" s="30">
        <f>T240*X240</f>
        <v/>
      </c>
      <c r="Z240" s="28">
        <f>IFERROR(LOOKUP(Y240,{0;0.5;5;25},{"Bajo";"Medio";"Alto";"Crítico"}),"")</f>
        <v/>
      </c>
      <c r="AA240" s="64">
        <f>IF(T240&gt;=3,IF(X240&gt;=1,"Zona 1 — Crítica: impacto alto y ocurre al menos una vez al año","Zona 4 — Catastrófica poco probable: impacto alto pero excepcional"),IF(AND(T240&lt;1.5,X240&lt;1),"Zona 3 — Asumible: impacto bajo y muy poco frecuente","Zona 2 — Atención: riesgo intermedio"))</f>
        <v/>
      </c>
      <c r="AB240" s="64">
        <f>IFERROR(INDEX(MgAmenCtrl,MATCH(SUBSTITUTE($H240,"*","-"),MgAmenClave,0)),"")</f>
        <v/>
      </c>
      <c r="AC240" s="20" t="n"/>
      <c r="AD240" s="31">
        <f>IFERROR($X240*(1-IF($AC240="",$AL240,VLOOKUP($AC240,MgMad,2,0))),"")</f>
        <v/>
      </c>
      <c r="AE240" s="28">
        <f>IFERROR(LOOKUP(AD240,{0;0.01;0.1;1;10;100},{"Muy baja";"Muy baja";"Baja";"Media";"Alta";"Muy alta"}),"")</f>
        <v/>
      </c>
      <c r="AF240" s="30">
        <f>T240*AD240</f>
        <v/>
      </c>
      <c r="AG240" s="28">
        <f>IFERROR(LOOKUP(AF240,{0;0.5;5;25},{"Bajo";"Medio";"Alto";"Crítico"}),"")</f>
        <v/>
      </c>
      <c r="AH240" s="28">
        <f>IF(AG240="","",IF(OR(AG240="Crítico",AG240="Alto"),"Mitigar",IF(AG240="Medio","Mitigar","Aceptar y monitorear")))</f>
        <v/>
      </c>
      <c r="AI240" s="21" t="n"/>
      <c r="AJ240" s="21" t="n"/>
      <c r="AK240" s="20" t="n"/>
      <c r="AL240" s="77">
        <f>IFERROR(INDEX(MgAmenEfic,MATCH(SUBSTITUTE($H240,"*","-"),MgAmenClave,0)),0)</f>
        <v/>
      </c>
    </row>
    <row r="241" hidden="1" ht="120" customHeight="1" s="54">
      <c r="B241" s="59" t="inlineStr">
        <is>
          <t>R-0236</t>
        </is>
      </c>
      <c r="C241" s="59" t="inlineStr">
        <is>
          <t>DO-06</t>
        </is>
      </c>
      <c r="D241" s="64">
        <f>IFERROR(INDEX(MgNombre,MATCH($C241,MgActId,0)),"")</f>
        <v/>
      </c>
      <c r="E241" s="64">
        <f>IFERROR(INDEX(MgProceso,MATCH($C241,MgActId,0)),"")</f>
        <v/>
      </c>
      <c r="F241" s="64">
        <f>IFERROR(INDEX(MgTipo,MATCH($C241,MgActId,0)),"")</f>
        <v/>
      </c>
      <c r="G241" s="64">
        <f>IFERROR(INDEX(MgSubtipo,MATCH($C241,MgActId,0)),"")</f>
        <v/>
      </c>
      <c r="H241" s="59" t="inlineStr">
        <is>
          <t>A.11</t>
        </is>
      </c>
      <c r="I241" s="64">
        <f>IFERROR(INDEX(MgAmenNombre,MATCH(SUBSTITUTE($H241,"*","-"),MgAmenClave,0)),"")</f>
        <v/>
      </c>
      <c r="J241" s="28">
        <f>IFERROR(INDEX(MgAmenGrupo,MATCH(SUBSTITUTE($H241,"*","-"),MgAmenClave,0)),"")</f>
        <v/>
      </c>
      <c r="K241" s="64">
        <f>IFERROR(INDEX('1. Matriz de Activos'!$Q$6:$Q$239,MATCH($C241,MgActId,0)),"")</f>
        <v/>
      </c>
      <c r="L241" s="64">
        <f>IFERROR(INDEX('1. Matriz de Activos'!$R$6:$R$239,MATCH($C241,MgActId,0)),"")</f>
        <v/>
      </c>
      <c r="M241" s="64">
        <f>IFERROR(INDEX('1. Matriz de Activos'!$S$6:$S$239,MATCH($C241,MgActId,0)),"")</f>
        <v/>
      </c>
      <c r="N241" s="28">
        <f>IFERROR(INDEX(MgAmenDegD,MATCH(SUBSTITUTE($H241,"*","-"),MgAmenClave,0)),"No aplica")</f>
        <v/>
      </c>
      <c r="O241" s="28">
        <f>IFERROR(INDEX(MgAmenDegI,MATCH(SUBSTITUTE($H241,"*","-"),MgAmenClave,0)),"No aplica")</f>
        <v/>
      </c>
      <c r="P241" s="28">
        <f>IFERROR(INDEX(MgAmenDegC,MATCH(SUBSTITUTE($H241,"*","-"),MgAmenClave,0)),"No aplica")</f>
        <v/>
      </c>
      <c r="Q241" s="29">
        <f>IFERROR(VLOOKUP(K241,MgValor,2,0)*VLOOKUP(N241,MgDeg,2,0),0)</f>
        <v/>
      </c>
      <c r="R241" s="29">
        <f>IFERROR(VLOOKUP(L241,MgValor,2,0)*VLOOKUP(O241,MgDeg,2,0),0)</f>
        <v/>
      </c>
      <c r="S241" s="29">
        <f>IFERROR(VLOOKUP(M241,MgValor,2,0)*VLOOKUP(P241,MgDeg,2,0),0)</f>
        <v/>
      </c>
      <c r="T241" s="30">
        <f>MAX(Q241:S241)</f>
        <v/>
      </c>
      <c r="U241" s="28">
        <f>IFERROR(LOOKUP(T241,{0;0.5;1.5;3;4.5},{"Despreciable";"Bajo";"Medio";"Alto";"Muy alto"}),"")</f>
        <v/>
      </c>
      <c r="V241" s="13">
        <f>IFERROR(INDEX(MgAmenFrec,MATCH(SUBSTITUTE($H241,"*","-"),MgAmenClave,0)),"")</f>
        <v/>
      </c>
      <c r="W241" s="28">
        <f>IFERROR(LOOKUP(X241,{0;0.01;0.1;1;10;100},{"Muy baja";"Muy baja";"Baja";"Media";"Alta";"Muy alta"}),"")</f>
        <v/>
      </c>
      <c r="X241" s="31">
        <f>IFERROR(VLOOKUP(V241,MgFrec,2,0),0)</f>
        <v/>
      </c>
      <c r="Y241" s="30">
        <f>T241*X241</f>
        <v/>
      </c>
      <c r="Z241" s="28">
        <f>IFERROR(LOOKUP(Y241,{0;0.5;5;25},{"Bajo";"Medio";"Alto";"Crítico"}),"")</f>
        <v/>
      </c>
      <c r="AA241" s="64">
        <f>IF(T241&gt;=3,IF(X241&gt;=1,"Zona 1 — Crítica: impacto alto y ocurre al menos una vez al año","Zona 4 — Catastrófica poco probable: impacto alto pero excepcional"),IF(AND(T241&lt;1.5,X241&lt;1),"Zona 3 — Asumible: impacto bajo y muy poco frecuente","Zona 2 — Atención: riesgo intermedio"))</f>
        <v/>
      </c>
      <c r="AB241" s="64">
        <f>IFERROR(INDEX(MgAmenCtrl,MATCH(SUBSTITUTE($H241,"*","-"),MgAmenClave,0)),"")</f>
        <v/>
      </c>
      <c r="AC241" s="20" t="n"/>
      <c r="AD241" s="31">
        <f>IFERROR($X241*(1-IF($AC241="",$AL241,VLOOKUP($AC241,MgMad,2,0))),"")</f>
        <v/>
      </c>
      <c r="AE241" s="28">
        <f>IFERROR(LOOKUP(AD241,{0;0.01;0.1;1;10;100},{"Muy baja";"Muy baja";"Baja";"Media";"Alta";"Muy alta"}),"")</f>
        <v/>
      </c>
      <c r="AF241" s="30">
        <f>T241*AD241</f>
        <v/>
      </c>
      <c r="AG241" s="28">
        <f>IFERROR(LOOKUP(AF241,{0;0.5;5;25},{"Bajo";"Medio";"Alto";"Crítico"}),"")</f>
        <v/>
      </c>
      <c r="AH241" s="28">
        <f>IF(AG241="","",IF(OR(AG241="Crítico",AG241="Alto"),"Mitigar",IF(AG241="Medio","Mitigar","Aceptar y monitorear")))</f>
        <v/>
      </c>
      <c r="AI241" s="21" t="n"/>
      <c r="AJ241" s="21" t="n"/>
      <c r="AK241" s="20" t="n"/>
      <c r="AL241" s="77">
        <f>IFERROR(INDEX(MgAmenEfic,MATCH(SUBSTITUTE($H241,"*","-"),MgAmenClave,0)),0)</f>
        <v/>
      </c>
    </row>
    <row r="242" hidden="1" ht="45" customHeight="1" s="54">
      <c r="B242" s="59" t="inlineStr">
        <is>
          <t>R-0237</t>
        </is>
      </c>
      <c r="C242" s="59" t="inlineStr">
        <is>
          <t>DO-06</t>
        </is>
      </c>
      <c r="D242" s="64">
        <f>IFERROR(INDEX(MgNombre,MATCH($C242,MgActId,0)),"")</f>
        <v/>
      </c>
      <c r="E242" s="64">
        <f>IFERROR(INDEX(MgProceso,MATCH($C242,MgActId,0)),"")</f>
        <v/>
      </c>
      <c r="F242" s="64">
        <f>IFERROR(INDEX(MgTipo,MATCH($C242,MgActId,0)),"")</f>
        <v/>
      </c>
      <c r="G242" s="64">
        <f>IFERROR(INDEX(MgSubtipo,MATCH($C242,MgActId,0)),"")</f>
        <v/>
      </c>
      <c r="H242" s="59" t="inlineStr">
        <is>
          <t>A.12</t>
        </is>
      </c>
      <c r="I242" s="64">
        <f>IFERROR(INDEX(MgAmenNombre,MATCH(SUBSTITUTE($H242,"*","-"),MgAmenClave,0)),"")</f>
        <v/>
      </c>
      <c r="J242" s="28">
        <f>IFERROR(INDEX(MgAmenGrupo,MATCH(SUBSTITUTE($H242,"*","-"),MgAmenClave,0)),"")</f>
        <v/>
      </c>
      <c r="K242" s="64">
        <f>IFERROR(INDEX('1. Matriz de Activos'!$Q$6:$Q$239,MATCH($C242,MgActId,0)),"")</f>
        <v/>
      </c>
      <c r="L242" s="64">
        <f>IFERROR(INDEX('1. Matriz de Activos'!$R$6:$R$239,MATCH($C242,MgActId,0)),"")</f>
        <v/>
      </c>
      <c r="M242" s="64">
        <f>IFERROR(INDEX('1. Matriz de Activos'!$S$6:$S$239,MATCH($C242,MgActId,0)),"")</f>
        <v/>
      </c>
      <c r="N242" s="28">
        <f>IFERROR(INDEX(MgAmenDegD,MATCH(SUBSTITUTE($H242,"*","-"),MgAmenClave,0)),"No aplica")</f>
        <v/>
      </c>
      <c r="O242" s="28">
        <f>IFERROR(INDEX(MgAmenDegI,MATCH(SUBSTITUTE($H242,"*","-"),MgAmenClave,0)),"No aplica")</f>
        <v/>
      </c>
      <c r="P242" s="28">
        <f>IFERROR(INDEX(MgAmenDegC,MATCH(SUBSTITUTE($H242,"*","-"),MgAmenClave,0)),"No aplica")</f>
        <v/>
      </c>
      <c r="Q242" s="29">
        <f>IFERROR(VLOOKUP(K242,MgValor,2,0)*VLOOKUP(N242,MgDeg,2,0),0)</f>
        <v/>
      </c>
      <c r="R242" s="29">
        <f>IFERROR(VLOOKUP(L242,MgValor,2,0)*VLOOKUP(O242,MgDeg,2,0),0)</f>
        <v/>
      </c>
      <c r="S242" s="29">
        <f>IFERROR(VLOOKUP(M242,MgValor,2,0)*VLOOKUP(P242,MgDeg,2,0),0)</f>
        <v/>
      </c>
      <c r="T242" s="30">
        <f>MAX(Q242:S242)</f>
        <v/>
      </c>
      <c r="U242" s="28">
        <f>IFERROR(LOOKUP(T242,{0;0.5;1.5;3;4.5},{"Despreciable";"Bajo";"Medio";"Alto";"Muy alto"}),"")</f>
        <v/>
      </c>
      <c r="V242" s="13">
        <f>IFERROR(INDEX(MgAmenFrec,MATCH(SUBSTITUTE($H242,"*","-"),MgAmenClave,0)),"")</f>
        <v/>
      </c>
      <c r="W242" s="28">
        <f>IFERROR(LOOKUP(X242,{0;0.01;0.1;1;10;100},{"Muy baja";"Muy baja";"Baja";"Media";"Alta";"Muy alta"}),"")</f>
        <v/>
      </c>
      <c r="X242" s="31">
        <f>IFERROR(VLOOKUP(V242,MgFrec,2,0),0)</f>
        <v/>
      </c>
      <c r="Y242" s="30">
        <f>T242*X242</f>
        <v/>
      </c>
      <c r="Z242" s="28">
        <f>IFERROR(LOOKUP(Y242,{0;0.5;5;25},{"Bajo";"Medio";"Alto";"Crítico"}),"")</f>
        <v/>
      </c>
      <c r="AA242" s="64">
        <f>IF(T242&gt;=3,IF(X242&gt;=1,"Zona 1 — Crítica: impacto alto y ocurre al menos una vez al año","Zona 4 — Catastrófica poco probable: impacto alto pero excepcional"),IF(AND(T242&lt;1.5,X242&lt;1),"Zona 3 — Asumible: impacto bajo y muy poco frecuente","Zona 2 — Atención: riesgo intermedio"))</f>
        <v/>
      </c>
      <c r="AB242" s="64">
        <f>IFERROR(INDEX(MgAmenCtrl,MATCH(SUBSTITUTE($H242,"*","-"),MgAmenClave,0)),"")</f>
        <v/>
      </c>
      <c r="AC242" s="20" t="n"/>
      <c r="AD242" s="31">
        <f>IFERROR($X242*(1-IF($AC242="",$AL242,VLOOKUP($AC242,MgMad,2,0))),"")</f>
        <v/>
      </c>
      <c r="AE242" s="28">
        <f>IFERROR(LOOKUP(AD242,{0;0.01;0.1;1;10;100},{"Muy baja";"Muy baja";"Baja";"Media";"Alta";"Muy alta"}),"")</f>
        <v/>
      </c>
      <c r="AF242" s="30">
        <f>T242*AD242</f>
        <v/>
      </c>
      <c r="AG242" s="28">
        <f>IFERROR(LOOKUP(AF242,{0;0.5;5;25},{"Bajo";"Medio";"Alto";"Crítico"}),"")</f>
        <v/>
      </c>
      <c r="AH242" s="28">
        <f>IF(AG242="","",IF(OR(AG242="Crítico",AG242="Alto"),"Mitigar",IF(AG242="Medio","Mitigar","Aceptar y monitorear")))</f>
        <v/>
      </c>
      <c r="AI242" s="21" t="n"/>
      <c r="AJ242" s="21" t="n"/>
      <c r="AK242" s="20" t="n"/>
      <c r="AL242" s="77">
        <f>IFERROR(INDEX(MgAmenEfic,MATCH(SUBSTITUTE($H242,"*","-"),MgAmenClave,0)),0)</f>
        <v/>
      </c>
    </row>
    <row r="243" hidden="1" ht="60" customHeight="1" s="54">
      <c r="B243" s="59" t="inlineStr">
        <is>
          <t>R-0238</t>
        </is>
      </c>
      <c r="C243" s="59" t="inlineStr">
        <is>
          <t>DO-06</t>
        </is>
      </c>
      <c r="D243" s="64">
        <f>IFERROR(INDEX(MgNombre,MATCH($C243,MgActId,0)),"")</f>
        <v/>
      </c>
      <c r="E243" s="64">
        <f>IFERROR(INDEX(MgProceso,MATCH($C243,MgActId,0)),"")</f>
        <v/>
      </c>
      <c r="F243" s="64">
        <f>IFERROR(INDEX(MgTipo,MATCH($C243,MgActId,0)),"")</f>
        <v/>
      </c>
      <c r="G243" s="64">
        <f>IFERROR(INDEX(MgSubtipo,MATCH($C243,MgActId,0)),"")</f>
        <v/>
      </c>
      <c r="H243" s="59" t="inlineStr">
        <is>
          <t>A.14</t>
        </is>
      </c>
      <c r="I243" s="64">
        <f>IFERROR(INDEX(MgAmenNombre,MATCH(SUBSTITUTE($H243,"*","-"),MgAmenClave,0)),"")</f>
        <v/>
      </c>
      <c r="J243" s="28">
        <f>IFERROR(INDEX(MgAmenGrupo,MATCH(SUBSTITUTE($H243,"*","-"),MgAmenClave,0)),"")</f>
        <v/>
      </c>
      <c r="K243" s="64">
        <f>IFERROR(INDEX('1. Matriz de Activos'!$Q$6:$Q$239,MATCH($C243,MgActId,0)),"")</f>
        <v/>
      </c>
      <c r="L243" s="64">
        <f>IFERROR(INDEX('1. Matriz de Activos'!$R$6:$R$239,MATCH($C243,MgActId,0)),"")</f>
        <v/>
      </c>
      <c r="M243" s="64">
        <f>IFERROR(INDEX('1. Matriz de Activos'!$S$6:$S$239,MATCH($C243,MgActId,0)),"")</f>
        <v/>
      </c>
      <c r="N243" s="28">
        <f>IFERROR(INDEX(MgAmenDegD,MATCH(SUBSTITUTE($H243,"*","-"),MgAmenClave,0)),"No aplica")</f>
        <v/>
      </c>
      <c r="O243" s="28">
        <f>IFERROR(INDEX(MgAmenDegI,MATCH(SUBSTITUTE($H243,"*","-"),MgAmenClave,0)),"No aplica")</f>
        <v/>
      </c>
      <c r="P243" s="28">
        <f>IFERROR(INDEX(MgAmenDegC,MATCH(SUBSTITUTE($H243,"*","-"),MgAmenClave,0)),"No aplica")</f>
        <v/>
      </c>
      <c r="Q243" s="29">
        <f>IFERROR(VLOOKUP(K243,MgValor,2,0)*VLOOKUP(N243,MgDeg,2,0),0)</f>
        <v/>
      </c>
      <c r="R243" s="29">
        <f>IFERROR(VLOOKUP(L243,MgValor,2,0)*VLOOKUP(O243,MgDeg,2,0),0)</f>
        <v/>
      </c>
      <c r="S243" s="29">
        <f>IFERROR(VLOOKUP(M243,MgValor,2,0)*VLOOKUP(P243,MgDeg,2,0),0)</f>
        <v/>
      </c>
      <c r="T243" s="30">
        <f>MAX(Q243:S243)</f>
        <v/>
      </c>
      <c r="U243" s="28">
        <f>IFERROR(LOOKUP(T243,{0;0.5;1.5;3;4.5},{"Despreciable";"Bajo";"Medio";"Alto";"Muy alto"}),"")</f>
        <v/>
      </c>
      <c r="V243" s="13">
        <f>IFERROR(INDEX(MgAmenFrec,MATCH(SUBSTITUTE($H243,"*","-"),MgAmenClave,0)),"")</f>
        <v/>
      </c>
      <c r="W243" s="28">
        <f>IFERROR(LOOKUP(X243,{0;0.01;0.1;1;10;100},{"Muy baja";"Muy baja";"Baja";"Media";"Alta";"Muy alta"}),"")</f>
        <v/>
      </c>
      <c r="X243" s="31">
        <f>IFERROR(VLOOKUP(V243,MgFrec,2,0),0)</f>
        <v/>
      </c>
      <c r="Y243" s="30">
        <f>T243*X243</f>
        <v/>
      </c>
      <c r="Z243" s="28">
        <f>IFERROR(LOOKUP(Y243,{0;0.5;5;25},{"Bajo";"Medio";"Alto";"Crítico"}),"")</f>
        <v/>
      </c>
      <c r="AA243" s="64">
        <f>IF(T243&gt;=3,IF(X243&gt;=1,"Zona 1 — Crítica: impacto alto y ocurre al menos una vez al año","Zona 4 — Catastrófica poco probable: impacto alto pero excepcional"),IF(AND(T243&lt;1.5,X243&lt;1),"Zona 3 — Asumible: impacto bajo y muy poco frecuente","Zona 2 — Atención: riesgo intermedio"))</f>
        <v/>
      </c>
      <c r="AB243" s="64">
        <f>IFERROR(INDEX(MgAmenCtrl,MATCH(SUBSTITUTE($H243,"*","-"),MgAmenClave,0)),"")</f>
        <v/>
      </c>
      <c r="AC243" s="20" t="n"/>
      <c r="AD243" s="31">
        <f>IFERROR($X243*(1-IF($AC243="",$AL243,VLOOKUP($AC243,MgMad,2,0))),"")</f>
        <v/>
      </c>
      <c r="AE243" s="28">
        <f>IFERROR(LOOKUP(AD243,{0;0.01;0.1;1;10;100},{"Muy baja";"Muy baja";"Baja";"Media";"Alta";"Muy alta"}),"")</f>
        <v/>
      </c>
      <c r="AF243" s="30">
        <f>T243*AD243</f>
        <v/>
      </c>
      <c r="AG243" s="28">
        <f>IFERROR(LOOKUP(AF243,{0;0.5;5;25},{"Bajo";"Medio";"Alto";"Crítico"}),"")</f>
        <v/>
      </c>
      <c r="AH243" s="28">
        <f>IF(AG243="","",IF(OR(AG243="Crítico",AG243="Alto"),"Mitigar",IF(AG243="Medio","Mitigar","Aceptar y monitorear")))</f>
        <v/>
      </c>
      <c r="AI243" s="21" t="n"/>
      <c r="AJ243" s="21" t="n"/>
      <c r="AK243" s="20" t="n"/>
      <c r="AL243" s="77">
        <f>IFERROR(INDEX(MgAmenEfic,MATCH(SUBSTITUTE($H243,"*","-"),MgAmenClave,0)),0)</f>
        <v/>
      </c>
    </row>
    <row r="244" hidden="1" ht="60" customHeight="1" s="54">
      <c r="B244" s="59" t="inlineStr">
        <is>
          <t>R-0239</t>
        </is>
      </c>
      <c r="C244" s="59" t="inlineStr">
        <is>
          <t>DO-06</t>
        </is>
      </c>
      <c r="D244" s="64">
        <f>IFERROR(INDEX(MgNombre,MATCH($C244,MgActId,0)),"")</f>
        <v/>
      </c>
      <c r="E244" s="64">
        <f>IFERROR(INDEX(MgProceso,MATCH($C244,MgActId,0)),"")</f>
        <v/>
      </c>
      <c r="F244" s="64">
        <f>IFERROR(INDEX(MgTipo,MATCH($C244,MgActId,0)),"")</f>
        <v/>
      </c>
      <c r="G244" s="64">
        <f>IFERROR(INDEX(MgSubtipo,MATCH($C244,MgActId,0)),"")</f>
        <v/>
      </c>
      <c r="H244" s="59" t="inlineStr">
        <is>
          <t>A.15</t>
        </is>
      </c>
      <c r="I244" s="64">
        <f>IFERROR(INDEX(MgAmenNombre,MATCH(SUBSTITUTE($H244,"*","-"),MgAmenClave,0)),"")</f>
        <v/>
      </c>
      <c r="J244" s="28">
        <f>IFERROR(INDEX(MgAmenGrupo,MATCH(SUBSTITUTE($H244,"*","-"),MgAmenClave,0)),"")</f>
        <v/>
      </c>
      <c r="K244" s="64">
        <f>IFERROR(INDEX('1. Matriz de Activos'!$Q$6:$Q$239,MATCH($C244,MgActId,0)),"")</f>
        <v/>
      </c>
      <c r="L244" s="64">
        <f>IFERROR(INDEX('1. Matriz de Activos'!$R$6:$R$239,MATCH($C244,MgActId,0)),"")</f>
        <v/>
      </c>
      <c r="M244" s="64">
        <f>IFERROR(INDEX('1. Matriz de Activos'!$S$6:$S$239,MATCH($C244,MgActId,0)),"")</f>
        <v/>
      </c>
      <c r="N244" s="28">
        <f>IFERROR(INDEX(MgAmenDegD,MATCH(SUBSTITUTE($H244,"*","-"),MgAmenClave,0)),"No aplica")</f>
        <v/>
      </c>
      <c r="O244" s="28">
        <f>IFERROR(INDEX(MgAmenDegI,MATCH(SUBSTITUTE($H244,"*","-"),MgAmenClave,0)),"No aplica")</f>
        <v/>
      </c>
      <c r="P244" s="28">
        <f>IFERROR(INDEX(MgAmenDegC,MATCH(SUBSTITUTE($H244,"*","-"),MgAmenClave,0)),"No aplica")</f>
        <v/>
      </c>
      <c r="Q244" s="29">
        <f>IFERROR(VLOOKUP(K244,MgValor,2,0)*VLOOKUP(N244,MgDeg,2,0),0)</f>
        <v/>
      </c>
      <c r="R244" s="29">
        <f>IFERROR(VLOOKUP(L244,MgValor,2,0)*VLOOKUP(O244,MgDeg,2,0),0)</f>
        <v/>
      </c>
      <c r="S244" s="29">
        <f>IFERROR(VLOOKUP(M244,MgValor,2,0)*VLOOKUP(P244,MgDeg,2,0),0)</f>
        <v/>
      </c>
      <c r="T244" s="30">
        <f>MAX(Q244:S244)</f>
        <v/>
      </c>
      <c r="U244" s="28">
        <f>IFERROR(LOOKUP(T244,{0;0.5;1.5;3;4.5},{"Despreciable";"Bajo";"Medio";"Alto";"Muy alto"}),"")</f>
        <v/>
      </c>
      <c r="V244" s="13">
        <f>IFERROR(INDEX(MgAmenFrec,MATCH(SUBSTITUTE($H244,"*","-"),MgAmenClave,0)),"")</f>
        <v/>
      </c>
      <c r="W244" s="28">
        <f>IFERROR(LOOKUP(X244,{0;0.01;0.1;1;10;100},{"Muy baja";"Muy baja";"Baja";"Media";"Alta";"Muy alta"}),"")</f>
        <v/>
      </c>
      <c r="X244" s="31">
        <f>IFERROR(VLOOKUP(V244,MgFrec,2,0),0)</f>
        <v/>
      </c>
      <c r="Y244" s="30">
        <f>T244*X244</f>
        <v/>
      </c>
      <c r="Z244" s="28">
        <f>IFERROR(LOOKUP(Y244,{0;0.5;5;25},{"Bajo";"Medio";"Alto";"Crítico"}),"")</f>
        <v/>
      </c>
      <c r="AA244" s="64">
        <f>IF(T244&gt;=3,IF(X244&gt;=1,"Zona 1 — Crítica: impacto alto y ocurre al menos una vez al año","Zona 4 — Catastrófica poco probable: impacto alto pero excepcional"),IF(AND(T244&lt;1.5,X244&lt;1),"Zona 3 — Asumible: impacto bajo y muy poco frecuente","Zona 2 — Atención: riesgo intermedio"))</f>
        <v/>
      </c>
      <c r="AB244" s="64">
        <f>IFERROR(INDEX(MgAmenCtrl,MATCH(SUBSTITUTE($H244,"*","-"),MgAmenClave,0)),"")</f>
        <v/>
      </c>
      <c r="AC244" s="20" t="n"/>
      <c r="AD244" s="31">
        <f>IFERROR($X244*(1-IF($AC244="",$AL244,VLOOKUP($AC244,MgMad,2,0))),"")</f>
        <v/>
      </c>
      <c r="AE244" s="28">
        <f>IFERROR(LOOKUP(AD244,{0;0.01;0.1;1;10;100},{"Muy baja";"Muy baja";"Baja";"Media";"Alta";"Muy alta"}),"")</f>
        <v/>
      </c>
      <c r="AF244" s="30">
        <f>T244*AD244</f>
        <v/>
      </c>
      <c r="AG244" s="28">
        <f>IFERROR(LOOKUP(AF244,{0;0.5;5;25},{"Bajo";"Medio";"Alto";"Crítico"}),"")</f>
        <v/>
      </c>
      <c r="AH244" s="28">
        <f>IF(AG244="","",IF(OR(AG244="Crítico",AG244="Alto"),"Mitigar",IF(AG244="Medio","Mitigar","Aceptar y monitorear")))</f>
        <v/>
      </c>
      <c r="AI244" s="21" t="n"/>
      <c r="AJ244" s="21" t="n"/>
      <c r="AK244" s="20" t="n"/>
      <c r="AL244" s="77">
        <f>IFERROR(INDEX(MgAmenEfic,MATCH(SUBSTITUTE($H244,"*","-"),MgAmenClave,0)),0)</f>
        <v/>
      </c>
    </row>
    <row r="245" hidden="1" ht="60" customHeight="1" s="54">
      <c r="B245" s="59" t="inlineStr">
        <is>
          <t>R-0240</t>
        </is>
      </c>
      <c r="C245" s="59" t="inlineStr">
        <is>
          <t>DO-06</t>
        </is>
      </c>
      <c r="D245" s="64">
        <f>IFERROR(INDEX(MgNombre,MATCH($C245,MgActId,0)),"")</f>
        <v/>
      </c>
      <c r="E245" s="64">
        <f>IFERROR(INDEX(MgProceso,MATCH($C245,MgActId,0)),"")</f>
        <v/>
      </c>
      <c r="F245" s="64">
        <f>IFERROR(INDEX(MgTipo,MATCH($C245,MgActId,0)),"")</f>
        <v/>
      </c>
      <c r="G245" s="64">
        <f>IFERROR(INDEX(MgSubtipo,MATCH($C245,MgActId,0)),"")</f>
        <v/>
      </c>
      <c r="H245" s="59" t="inlineStr">
        <is>
          <t>A.18</t>
        </is>
      </c>
      <c r="I245" s="64">
        <f>IFERROR(INDEX(MgAmenNombre,MATCH(SUBSTITUTE($H245,"*","-"),MgAmenClave,0)),"")</f>
        <v/>
      </c>
      <c r="J245" s="28">
        <f>IFERROR(INDEX(MgAmenGrupo,MATCH(SUBSTITUTE($H245,"*","-"),MgAmenClave,0)),"")</f>
        <v/>
      </c>
      <c r="K245" s="64">
        <f>IFERROR(INDEX('1. Matriz de Activos'!$Q$6:$Q$239,MATCH($C245,MgActId,0)),"")</f>
        <v/>
      </c>
      <c r="L245" s="64">
        <f>IFERROR(INDEX('1. Matriz de Activos'!$R$6:$R$239,MATCH($C245,MgActId,0)),"")</f>
        <v/>
      </c>
      <c r="M245" s="64">
        <f>IFERROR(INDEX('1. Matriz de Activos'!$S$6:$S$239,MATCH($C245,MgActId,0)),"")</f>
        <v/>
      </c>
      <c r="N245" s="28">
        <f>IFERROR(INDEX(MgAmenDegD,MATCH(SUBSTITUTE($H245,"*","-"),MgAmenClave,0)),"No aplica")</f>
        <v/>
      </c>
      <c r="O245" s="28">
        <f>IFERROR(INDEX(MgAmenDegI,MATCH(SUBSTITUTE($H245,"*","-"),MgAmenClave,0)),"No aplica")</f>
        <v/>
      </c>
      <c r="P245" s="28">
        <f>IFERROR(INDEX(MgAmenDegC,MATCH(SUBSTITUTE($H245,"*","-"),MgAmenClave,0)),"No aplica")</f>
        <v/>
      </c>
      <c r="Q245" s="29">
        <f>IFERROR(VLOOKUP(K245,MgValor,2,0)*VLOOKUP(N245,MgDeg,2,0),0)</f>
        <v/>
      </c>
      <c r="R245" s="29">
        <f>IFERROR(VLOOKUP(L245,MgValor,2,0)*VLOOKUP(O245,MgDeg,2,0),0)</f>
        <v/>
      </c>
      <c r="S245" s="29">
        <f>IFERROR(VLOOKUP(M245,MgValor,2,0)*VLOOKUP(P245,MgDeg,2,0),0)</f>
        <v/>
      </c>
      <c r="T245" s="30">
        <f>MAX(Q245:S245)</f>
        <v/>
      </c>
      <c r="U245" s="28">
        <f>IFERROR(LOOKUP(T245,{0;0.5;1.5;3;4.5},{"Despreciable";"Bajo";"Medio";"Alto";"Muy alto"}),"")</f>
        <v/>
      </c>
      <c r="V245" s="13">
        <f>IFERROR(INDEX(MgAmenFrec,MATCH(SUBSTITUTE($H245,"*","-"),MgAmenClave,0)),"")</f>
        <v/>
      </c>
      <c r="W245" s="28">
        <f>IFERROR(LOOKUP(X245,{0;0.01;0.1;1;10;100},{"Muy baja";"Muy baja";"Baja";"Media";"Alta";"Muy alta"}),"")</f>
        <v/>
      </c>
      <c r="X245" s="31">
        <f>IFERROR(VLOOKUP(V245,MgFrec,2,0),0)</f>
        <v/>
      </c>
      <c r="Y245" s="30">
        <f>T245*X245</f>
        <v/>
      </c>
      <c r="Z245" s="28">
        <f>IFERROR(LOOKUP(Y245,{0;0.5;5;25},{"Bajo";"Medio";"Alto";"Crítico"}),"")</f>
        <v/>
      </c>
      <c r="AA245" s="64">
        <f>IF(T245&gt;=3,IF(X245&gt;=1,"Zona 1 — Crítica: impacto alto y ocurre al menos una vez al año","Zona 4 — Catastrófica poco probable: impacto alto pero excepcional"),IF(AND(T245&lt;1.5,X245&lt;1),"Zona 3 — Asumible: impacto bajo y muy poco frecuente","Zona 2 — Atención: riesgo intermedio"))</f>
        <v/>
      </c>
      <c r="AB245" s="64">
        <f>IFERROR(INDEX(MgAmenCtrl,MATCH(SUBSTITUTE($H245,"*","-"),MgAmenClave,0)),"")</f>
        <v/>
      </c>
      <c r="AC245" s="20" t="n"/>
      <c r="AD245" s="31">
        <f>IFERROR($X245*(1-IF($AC245="",$AL245,VLOOKUP($AC245,MgMad,2,0))),"")</f>
        <v/>
      </c>
      <c r="AE245" s="28">
        <f>IFERROR(LOOKUP(AD245,{0;0.01;0.1;1;10;100},{"Muy baja";"Muy baja";"Baja";"Media";"Alta";"Muy alta"}),"")</f>
        <v/>
      </c>
      <c r="AF245" s="30">
        <f>T245*AD245</f>
        <v/>
      </c>
      <c r="AG245" s="28">
        <f>IFERROR(LOOKUP(AF245,{0;0.5;5;25},{"Bajo";"Medio";"Alto";"Crítico"}),"")</f>
        <v/>
      </c>
      <c r="AH245" s="28">
        <f>IF(AG245="","",IF(OR(AG245="Crítico",AG245="Alto"),"Mitigar",IF(AG245="Medio","Mitigar","Aceptar y monitorear")))</f>
        <v/>
      </c>
      <c r="AI245" s="21" t="n"/>
      <c r="AJ245" s="21" t="n"/>
      <c r="AK245" s="20" t="n"/>
      <c r="AL245" s="77">
        <f>IFERROR(INDEX(MgAmenEfic,MATCH(SUBSTITUTE($H245,"*","-"),MgAmenClave,0)),0)</f>
        <v/>
      </c>
    </row>
    <row r="246" hidden="1" ht="120" customHeight="1" s="54">
      <c r="B246" s="59" t="inlineStr">
        <is>
          <t>R-0241</t>
        </is>
      </c>
      <c r="C246" s="59" t="inlineStr">
        <is>
          <t>DO-06</t>
        </is>
      </c>
      <c r="D246" s="64">
        <f>IFERROR(INDEX(MgNombre,MATCH($C246,MgActId,0)),"")</f>
        <v/>
      </c>
      <c r="E246" s="64">
        <f>IFERROR(INDEX(MgProceso,MATCH($C246,MgActId,0)),"")</f>
        <v/>
      </c>
      <c r="F246" s="64">
        <f>IFERROR(INDEX(MgTipo,MATCH($C246,MgActId,0)),"")</f>
        <v/>
      </c>
      <c r="G246" s="64">
        <f>IFERROR(INDEX(MgSubtipo,MATCH($C246,MgActId,0)),"")</f>
        <v/>
      </c>
      <c r="H246" s="59" t="inlineStr">
        <is>
          <t>A.19</t>
        </is>
      </c>
      <c r="I246" s="64">
        <f>IFERROR(INDEX(MgAmenNombre,MATCH(SUBSTITUTE($H246,"*","-"),MgAmenClave,0)),"")</f>
        <v/>
      </c>
      <c r="J246" s="28">
        <f>IFERROR(INDEX(MgAmenGrupo,MATCH(SUBSTITUTE($H246,"*","-"),MgAmenClave,0)),"")</f>
        <v/>
      </c>
      <c r="K246" s="64">
        <f>IFERROR(INDEX('1. Matriz de Activos'!$Q$6:$Q$239,MATCH($C246,MgActId,0)),"")</f>
        <v/>
      </c>
      <c r="L246" s="64">
        <f>IFERROR(INDEX('1. Matriz de Activos'!$R$6:$R$239,MATCH($C246,MgActId,0)),"")</f>
        <v/>
      </c>
      <c r="M246" s="64">
        <f>IFERROR(INDEX('1. Matriz de Activos'!$S$6:$S$239,MATCH($C246,MgActId,0)),"")</f>
        <v/>
      </c>
      <c r="N246" s="28">
        <f>IFERROR(INDEX(MgAmenDegD,MATCH(SUBSTITUTE($H246,"*","-"),MgAmenClave,0)),"No aplica")</f>
        <v/>
      </c>
      <c r="O246" s="28">
        <f>IFERROR(INDEX(MgAmenDegI,MATCH(SUBSTITUTE($H246,"*","-"),MgAmenClave,0)),"No aplica")</f>
        <v/>
      </c>
      <c r="P246" s="28">
        <f>IFERROR(INDEX(MgAmenDegC,MATCH(SUBSTITUTE($H246,"*","-"),MgAmenClave,0)),"No aplica")</f>
        <v/>
      </c>
      <c r="Q246" s="29">
        <f>IFERROR(VLOOKUP(K246,MgValor,2,0)*VLOOKUP(N246,MgDeg,2,0),0)</f>
        <v/>
      </c>
      <c r="R246" s="29">
        <f>IFERROR(VLOOKUP(L246,MgValor,2,0)*VLOOKUP(O246,MgDeg,2,0),0)</f>
        <v/>
      </c>
      <c r="S246" s="29">
        <f>IFERROR(VLOOKUP(M246,MgValor,2,0)*VLOOKUP(P246,MgDeg,2,0),0)</f>
        <v/>
      </c>
      <c r="T246" s="30">
        <f>MAX(Q246:S246)</f>
        <v/>
      </c>
      <c r="U246" s="28">
        <f>IFERROR(LOOKUP(T246,{0;0.5;1.5;3;4.5},{"Despreciable";"Bajo";"Medio";"Alto";"Muy alto"}),"")</f>
        <v/>
      </c>
      <c r="V246" s="13">
        <f>IFERROR(INDEX(MgAmenFrec,MATCH(SUBSTITUTE($H246,"*","-"),MgAmenClave,0)),"")</f>
        <v/>
      </c>
      <c r="W246" s="28">
        <f>IFERROR(LOOKUP(X246,{0;0.01;0.1;1;10;100},{"Muy baja";"Muy baja";"Baja";"Media";"Alta";"Muy alta"}),"")</f>
        <v/>
      </c>
      <c r="X246" s="31">
        <f>IFERROR(VLOOKUP(V246,MgFrec,2,0),0)</f>
        <v/>
      </c>
      <c r="Y246" s="30">
        <f>T246*X246</f>
        <v/>
      </c>
      <c r="Z246" s="28">
        <f>IFERROR(LOOKUP(Y246,{0;0.5;5;25},{"Bajo";"Medio";"Alto";"Crítico"}),"")</f>
        <v/>
      </c>
      <c r="AA246" s="64">
        <f>IF(T246&gt;=3,IF(X246&gt;=1,"Zona 1 — Crítica: impacto alto y ocurre al menos una vez al año","Zona 4 — Catastrófica poco probable: impacto alto pero excepcional"),IF(AND(T246&lt;1.5,X246&lt;1),"Zona 3 — Asumible: impacto bajo y muy poco frecuente","Zona 2 — Atención: riesgo intermedio"))</f>
        <v/>
      </c>
      <c r="AB246" s="64">
        <f>IFERROR(INDEX(MgAmenCtrl,MATCH(SUBSTITUTE($H246,"*","-"),MgAmenClave,0)),"")</f>
        <v/>
      </c>
      <c r="AC246" s="20" t="n"/>
      <c r="AD246" s="31">
        <f>IFERROR($X246*(1-IF($AC246="",$AL246,VLOOKUP($AC246,MgMad,2,0))),"")</f>
        <v/>
      </c>
      <c r="AE246" s="28">
        <f>IFERROR(LOOKUP(AD246,{0;0.01;0.1;1;10;100},{"Muy baja";"Muy baja";"Baja";"Media";"Alta";"Muy alta"}),"")</f>
        <v/>
      </c>
      <c r="AF246" s="30">
        <f>T246*AD246</f>
        <v/>
      </c>
      <c r="AG246" s="28">
        <f>IFERROR(LOOKUP(AF246,{0;0.5;5;25},{"Bajo";"Medio";"Alto";"Crítico"}),"")</f>
        <v/>
      </c>
      <c r="AH246" s="28">
        <f>IF(AG246="","",IF(OR(AG246="Crítico",AG246="Alto"),"Mitigar",IF(AG246="Medio","Mitigar","Aceptar y monitorear")))</f>
        <v/>
      </c>
      <c r="AI246" s="21" t="n"/>
      <c r="AJ246" s="21" t="n"/>
      <c r="AK246" s="20" t="n"/>
      <c r="AL246" s="77">
        <f>IFERROR(INDEX(MgAmenEfic,MATCH(SUBSTITUTE($H246,"*","-"),MgAmenClave,0)),0)</f>
        <v/>
      </c>
    </row>
    <row r="247" hidden="1" ht="60" customHeight="1" s="54">
      <c r="B247" s="59" t="inlineStr">
        <is>
          <t>R-0242</t>
        </is>
      </c>
      <c r="C247" s="59" t="inlineStr">
        <is>
          <t>DO-06</t>
        </is>
      </c>
      <c r="D247" s="64">
        <f>IFERROR(INDEX(MgNombre,MATCH($C247,MgActId,0)),"")</f>
        <v/>
      </c>
      <c r="E247" s="64">
        <f>IFERROR(INDEX(MgProceso,MATCH($C247,MgActId,0)),"")</f>
        <v/>
      </c>
      <c r="F247" s="64">
        <f>IFERROR(INDEX(MgTipo,MATCH($C247,MgActId,0)),"")</f>
        <v/>
      </c>
      <c r="G247" s="64">
        <f>IFERROR(INDEX(MgSubtipo,MATCH($C247,MgActId,0)),"")</f>
        <v/>
      </c>
      <c r="H247" s="59" t="inlineStr">
        <is>
          <t>A.24</t>
        </is>
      </c>
      <c r="I247" s="64">
        <f>IFERROR(INDEX(MgAmenNombre,MATCH(SUBSTITUTE($H247,"*","-"),MgAmenClave,0)),"")</f>
        <v/>
      </c>
      <c r="J247" s="28">
        <f>IFERROR(INDEX(MgAmenGrupo,MATCH(SUBSTITUTE($H247,"*","-"),MgAmenClave,0)),"")</f>
        <v/>
      </c>
      <c r="K247" s="64">
        <f>IFERROR(INDEX('1. Matriz de Activos'!$Q$6:$Q$239,MATCH($C247,MgActId,0)),"")</f>
        <v/>
      </c>
      <c r="L247" s="64">
        <f>IFERROR(INDEX('1. Matriz de Activos'!$R$6:$R$239,MATCH($C247,MgActId,0)),"")</f>
        <v/>
      </c>
      <c r="M247" s="64">
        <f>IFERROR(INDEX('1. Matriz de Activos'!$S$6:$S$239,MATCH($C247,MgActId,0)),"")</f>
        <v/>
      </c>
      <c r="N247" s="28">
        <f>IFERROR(INDEX(MgAmenDegD,MATCH(SUBSTITUTE($H247,"*","-"),MgAmenClave,0)),"No aplica")</f>
        <v/>
      </c>
      <c r="O247" s="28">
        <f>IFERROR(INDEX(MgAmenDegI,MATCH(SUBSTITUTE($H247,"*","-"),MgAmenClave,0)),"No aplica")</f>
        <v/>
      </c>
      <c r="P247" s="28">
        <f>IFERROR(INDEX(MgAmenDegC,MATCH(SUBSTITUTE($H247,"*","-"),MgAmenClave,0)),"No aplica")</f>
        <v/>
      </c>
      <c r="Q247" s="29">
        <f>IFERROR(VLOOKUP(K247,MgValor,2,0)*VLOOKUP(N247,MgDeg,2,0),0)</f>
        <v/>
      </c>
      <c r="R247" s="29">
        <f>IFERROR(VLOOKUP(L247,MgValor,2,0)*VLOOKUP(O247,MgDeg,2,0),0)</f>
        <v/>
      </c>
      <c r="S247" s="29">
        <f>IFERROR(VLOOKUP(M247,MgValor,2,0)*VLOOKUP(P247,MgDeg,2,0),0)</f>
        <v/>
      </c>
      <c r="T247" s="30">
        <f>MAX(Q247:S247)</f>
        <v/>
      </c>
      <c r="U247" s="28">
        <f>IFERROR(LOOKUP(T247,{0;0.5;1.5;3;4.5},{"Despreciable";"Bajo";"Medio";"Alto";"Muy alto"}),"")</f>
        <v/>
      </c>
      <c r="V247" s="13">
        <f>IFERROR(INDEX(MgAmenFrec,MATCH(SUBSTITUTE($H247,"*","-"),MgAmenClave,0)),"")</f>
        <v/>
      </c>
      <c r="W247" s="28">
        <f>IFERROR(LOOKUP(X247,{0;0.01;0.1;1;10;100},{"Muy baja";"Muy baja";"Baja";"Media";"Alta";"Muy alta"}),"")</f>
        <v/>
      </c>
      <c r="X247" s="31">
        <f>IFERROR(VLOOKUP(V247,MgFrec,2,0),0)</f>
        <v/>
      </c>
      <c r="Y247" s="30">
        <f>T247*X247</f>
        <v/>
      </c>
      <c r="Z247" s="28">
        <f>IFERROR(LOOKUP(Y247,{0;0.5;5;25},{"Bajo";"Medio";"Alto";"Crítico"}),"")</f>
        <v/>
      </c>
      <c r="AA247" s="64">
        <f>IF(T247&gt;=3,IF(X247&gt;=1,"Zona 1 — Crítica: impacto alto y ocurre al menos una vez al año","Zona 4 — Catastrófica poco probable: impacto alto pero excepcional"),IF(AND(T247&lt;1.5,X247&lt;1),"Zona 3 — Asumible: impacto bajo y muy poco frecuente","Zona 2 — Atención: riesgo intermedio"))</f>
        <v/>
      </c>
      <c r="AB247" s="64">
        <f>IFERROR(INDEX(MgAmenCtrl,MATCH(SUBSTITUTE($H247,"*","-"),MgAmenClave,0)),"")</f>
        <v/>
      </c>
      <c r="AC247" s="20" t="n"/>
      <c r="AD247" s="31">
        <f>IFERROR($X247*(1-IF($AC247="",$AL247,VLOOKUP($AC247,MgMad,2,0))),"")</f>
        <v/>
      </c>
      <c r="AE247" s="28">
        <f>IFERROR(LOOKUP(AD247,{0;0.01;0.1;1;10;100},{"Muy baja";"Muy baja";"Baja";"Media";"Alta";"Muy alta"}),"")</f>
        <v/>
      </c>
      <c r="AF247" s="30">
        <f>T247*AD247</f>
        <v/>
      </c>
      <c r="AG247" s="28">
        <f>IFERROR(LOOKUP(AF247,{0;0.5;5;25},{"Bajo";"Medio";"Alto";"Crítico"}),"")</f>
        <v/>
      </c>
      <c r="AH247" s="28">
        <f>IF(AG247="","",IF(OR(AG247="Crítico",AG247="Alto"),"Mitigar",IF(AG247="Medio","Mitigar","Aceptar y monitorear")))</f>
        <v/>
      </c>
      <c r="AI247" s="21" t="n"/>
      <c r="AJ247" s="21" t="n"/>
      <c r="AK247" s="20" t="n"/>
      <c r="AL247" s="77">
        <f>IFERROR(INDEX(MgAmenEfic,MATCH(SUBSTITUTE($H247,"*","-"),MgAmenClave,0)),0)</f>
        <v/>
      </c>
    </row>
    <row r="248" hidden="1" ht="75" customHeight="1" s="54">
      <c r="B248" s="59" t="inlineStr">
        <is>
          <t>R-0243</t>
        </is>
      </c>
      <c r="C248" s="59" t="inlineStr">
        <is>
          <t>DO-05</t>
        </is>
      </c>
      <c r="D248" s="64">
        <f>IFERROR(INDEX(MgNombre,MATCH($C248,MgActId,0)),"")</f>
        <v/>
      </c>
      <c r="E248" s="64">
        <f>IFERROR(INDEX(MgProceso,MATCH($C248,MgActId,0)),"")</f>
        <v/>
      </c>
      <c r="F248" s="64">
        <f>IFERROR(INDEX(MgTipo,MATCH($C248,MgActId,0)),"")</f>
        <v/>
      </c>
      <c r="G248" s="64">
        <f>IFERROR(INDEX(MgSubtipo,MATCH($C248,MgActId,0)),"")</f>
        <v/>
      </c>
      <c r="H248" s="59" t="inlineStr">
        <is>
          <t>I.8</t>
        </is>
      </c>
      <c r="I248" s="64">
        <f>IFERROR(INDEX(MgAmenNombre,MATCH(SUBSTITUTE($H248,"*","-"),MgAmenClave,0)),"")</f>
        <v/>
      </c>
      <c r="J248" s="28">
        <f>IFERROR(INDEX(MgAmenGrupo,MATCH(SUBSTITUTE($H248,"*","-"),MgAmenClave,0)),"")</f>
        <v/>
      </c>
      <c r="K248" s="64">
        <f>IFERROR(INDEX('1. Matriz de Activos'!$Q$6:$Q$239,MATCH($C248,MgActId,0)),"")</f>
        <v/>
      </c>
      <c r="L248" s="64">
        <f>IFERROR(INDEX('1. Matriz de Activos'!$R$6:$R$239,MATCH($C248,MgActId,0)),"")</f>
        <v/>
      </c>
      <c r="M248" s="64">
        <f>IFERROR(INDEX('1. Matriz de Activos'!$S$6:$S$239,MATCH($C248,MgActId,0)),"")</f>
        <v/>
      </c>
      <c r="N248" s="28">
        <f>IFERROR(INDEX(MgAmenDegD,MATCH(SUBSTITUTE($H248,"*","-"),MgAmenClave,0)),"No aplica")</f>
        <v/>
      </c>
      <c r="O248" s="28">
        <f>IFERROR(INDEX(MgAmenDegI,MATCH(SUBSTITUTE($H248,"*","-"),MgAmenClave,0)),"No aplica")</f>
        <v/>
      </c>
      <c r="P248" s="28">
        <f>IFERROR(INDEX(MgAmenDegC,MATCH(SUBSTITUTE($H248,"*","-"),MgAmenClave,0)),"No aplica")</f>
        <v/>
      </c>
      <c r="Q248" s="29">
        <f>IFERROR(VLOOKUP(K248,MgValor,2,0)*VLOOKUP(N248,MgDeg,2,0),0)</f>
        <v/>
      </c>
      <c r="R248" s="29">
        <f>IFERROR(VLOOKUP(L248,MgValor,2,0)*VLOOKUP(O248,MgDeg,2,0),0)</f>
        <v/>
      </c>
      <c r="S248" s="29">
        <f>IFERROR(VLOOKUP(M248,MgValor,2,0)*VLOOKUP(P248,MgDeg,2,0),0)</f>
        <v/>
      </c>
      <c r="T248" s="30">
        <f>MAX(Q248:S248)</f>
        <v/>
      </c>
      <c r="U248" s="28">
        <f>IFERROR(LOOKUP(T248,{0;0.5;1.5;3;4.5},{"Despreciable";"Bajo";"Medio";"Alto";"Muy alto"}),"")</f>
        <v/>
      </c>
      <c r="V248" s="13">
        <f>IFERROR(INDEX(MgAmenFrec,MATCH(SUBSTITUTE($H248,"*","-"),MgAmenClave,0)),"")</f>
        <v/>
      </c>
      <c r="W248" s="28">
        <f>IFERROR(LOOKUP(X248,{0;0.01;0.1;1;10;100},{"Muy baja";"Muy baja";"Baja";"Media";"Alta";"Muy alta"}),"")</f>
        <v/>
      </c>
      <c r="X248" s="31">
        <f>IFERROR(VLOOKUP(V248,MgFrec,2,0),0)</f>
        <v/>
      </c>
      <c r="Y248" s="30">
        <f>T248*X248</f>
        <v/>
      </c>
      <c r="Z248" s="28">
        <f>IFERROR(LOOKUP(Y248,{0;0.5;5;25},{"Bajo";"Medio";"Alto";"Crítico"}),"")</f>
        <v/>
      </c>
      <c r="AA248" s="64">
        <f>IF(T248&gt;=3,IF(X248&gt;=1,"Zona 1 — Crítica: impacto alto y ocurre al menos una vez al año","Zona 4 — Catastrófica poco probable: impacto alto pero excepcional"),IF(AND(T248&lt;1.5,X248&lt;1),"Zona 3 — Asumible: impacto bajo y muy poco frecuente","Zona 2 — Atención: riesgo intermedio"))</f>
        <v/>
      </c>
      <c r="AB248" s="64">
        <f>IFERROR(INDEX(MgAmenCtrl,MATCH(SUBSTITUTE($H248,"*","-"),MgAmenClave,0)),"")</f>
        <v/>
      </c>
      <c r="AC248" s="20" t="n"/>
      <c r="AD248" s="31">
        <f>IFERROR($X248*(1-IF($AC248="",$AL248,VLOOKUP($AC248,MgMad,2,0))),"")</f>
        <v/>
      </c>
      <c r="AE248" s="28">
        <f>IFERROR(LOOKUP(AD248,{0;0.01;0.1;1;10;100},{"Muy baja";"Muy baja";"Baja";"Media";"Alta";"Muy alta"}),"")</f>
        <v/>
      </c>
      <c r="AF248" s="30">
        <f>T248*AD248</f>
        <v/>
      </c>
      <c r="AG248" s="28">
        <f>IFERROR(LOOKUP(AF248,{0;0.5;5;25},{"Bajo";"Medio";"Alto";"Crítico"}),"")</f>
        <v/>
      </c>
      <c r="AH248" s="28">
        <f>IF(AG248="","",IF(OR(AG248="Crítico",AG248="Alto"),"Mitigar",IF(AG248="Medio","Mitigar","Aceptar y monitorear")))</f>
        <v/>
      </c>
      <c r="AI248" s="21" t="n"/>
      <c r="AJ248" s="21" t="n"/>
      <c r="AK248" s="20" t="n"/>
      <c r="AL248" s="77">
        <f>IFERROR(INDEX(MgAmenEfic,MATCH(SUBSTITUTE($H248,"*","-"),MgAmenClave,0)),0)</f>
        <v/>
      </c>
    </row>
    <row r="249" hidden="1" ht="45" customHeight="1" s="54">
      <c r="B249" s="59" t="inlineStr">
        <is>
          <t>R-0244</t>
        </is>
      </c>
      <c r="C249" s="59" t="inlineStr">
        <is>
          <t>DO-05</t>
        </is>
      </c>
      <c r="D249" s="64">
        <f>IFERROR(INDEX(MgNombre,MATCH($C249,MgActId,0)),"")</f>
        <v/>
      </c>
      <c r="E249" s="64">
        <f>IFERROR(INDEX(MgProceso,MATCH($C249,MgActId,0)),"")</f>
        <v/>
      </c>
      <c r="F249" s="64">
        <f>IFERROR(INDEX(MgTipo,MATCH($C249,MgActId,0)),"")</f>
        <v/>
      </c>
      <c r="G249" s="64">
        <f>IFERROR(INDEX(MgSubtipo,MATCH($C249,MgActId,0)),"")</f>
        <v/>
      </c>
      <c r="H249" s="59" t="inlineStr">
        <is>
          <t>I.11</t>
        </is>
      </c>
      <c r="I249" s="64">
        <f>IFERROR(INDEX(MgAmenNombre,MATCH(SUBSTITUTE($H249,"*","-"),MgAmenClave,0)),"")</f>
        <v/>
      </c>
      <c r="J249" s="28">
        <f>IFERROR(INDEX(MgAmenGrupo,MATCH(SUBSTITUTE($H249,"*","-"),MgAmenClave,0)),"")</f>
        <v/>
      </c>
      <c r="K249" s="64">
        <f>IFERROR(INDEX('1. Matriz de Activos'!$Q$6:$Q$239,MATCH($C249,MgActId,0)),"")</f>
        <v/>
      </c>
      <c r="L249" s="64">
        <f>IFERROR(INDEX('1. Matriz de Activos'!$R$6:$R$239,MATCH($C249,MgActId,0)),"")</f>
        <v/>
      </c>
      <c r="M249" s="64">
        <f>IFERROR(INDEX('1. Matriz de Activos'!$S$6:$S$239,MATCH($C249,MgActId,0)),"")</f>
        <v/>
      </c>
      <c r="N249" s="28">
        <f>IFERROR(INDEX(MgAmenDegD,MATCH(SUBSTITUTE($H249,"*","-"),MgAmenClave,0)),"No aplica")</f>
        <v/>
      </c>
      <c r="O249" s="28">
        <f>IFERROR(INDEX(MgAmenDegI,MATCH(SUBSTITUTE($H249,"*","-"),MgAmenClave,0)),"No aplica")</f>
        <v/>
      </c>
      <c r="P249" s="28">
        <f>IFERROR(INDEX(MgAmenDegC,MATCH(SUBSTITUTE($H249,"*","-"),MgAmenClave,0)),"No aplica")</f>
        <v/>
      </c>
      <c r="Q249" s="29">
        <f>IFERROR(VLOOKUP(K249,MgValor,2,0)*VLOOKUP(N249,MgDeg,2,0),0)</f>
        <v/>
      </c>
      <c r="R249" s="29">
        <f>IFERROR(VLOOKUP(L249,MgValor,2,0)*VLOOKUP(O249,MgDeg,2,0),0)</f>
        <v/>
      </c>
      <c r="S249" s="29">
        <f>IFERROR(VLOOKUP(M249,MgValor,2,0)*VLOOKUP(P249,MgDeg,2,0),0)</f>
        <v/>
      </c>
      <c r="T249" s="30">
        <f>MAX(Q249:S249)</f>
        <v/>
      </c>
      <c r="U249" s="28">
        <f>IFERROR(LOOKUP(T249,{0;0.5;1.5;3;4.5},{"Despreciable";"Bajo";"Medio";"Alto";"Muy alto"}),"")</f>
        <v/>
      </c>
      <c r="V249" s="13">
        <f>IFERROR(INDEX(MgAmenFrec,MATCH(SUBSTITUTE($H249,"*","-"),MgAmenClave,0)),"")</f>
        <v/>
      </c>
      <c r="W249" s="28">
        <f>IFERROR(LOOKUP(X249,{0;0.01;0.1;1;10;100},{"Muy baja";"Muy baja";"Baja";"Media";"Alta";"Muy alta"}),"")</f>
        <v/>
      </c>
      <c r="X249" s="31">
        <f>IFERROR(VLOOKUP(V249,MgFrec,2,0),0)</f>
        <v/>
      </c>
      <c r="Y249" s="30">
        <f>T249*X249</f>
        <v/>
      </c>
      <c r="Z249" s="28">
        <f>IFERROR(LOOKUP(Y249,{0;0.5;5;25},{"Bajo";"Medio";"Alto";"Crítico"}),"")</f>
        <v/>
      </c>
      <c r="AA249" s="64">
        <f>IF(T249&gt;=3,IF(X249&gt;=1,"Zona 1 — Crítica: impacto alto y ocurre al menos una vez al año","Zona 4 — Catastrófica poco probable: impacto alto pero excepcional"),IF(AND(T249&lt;1.5,X249&lt;1),"Zona 3 — Asumible: impacto bajo y muy poco frecuente","Zona 2 — Atención: riesgo intermedio"))</f>
        <v/>
      </c>
      <c r="AB249" s="64">
        <f>IFERROR(INDEX(MgAmenCtrl,MATCH(SUBSTITUTE($H249,"*","-"),MgAmenClave,0)),"")</f>
        <v/>
      </c>
      <c r="AC249" s="20" t="n"/>
      <c r="AD249" s="31">
        <f>IFERROR($X249*(1-IF($AC249="",$AL249,VLOOKUP($AC249,MgMad,2,0))),"")</f>
        <v/>
      </c>
      <c r="AE249" s="28">
        <f>IFERROR(LOOKUP(AD249,{0;0.01;0.1;1;10;100},{"Muy baja";"Muy baja";"Baja";"Media";"Alta";"Muy alta"}),"")</f>
        <v/>
      </c>
      <c r="AF249" s="30">
        <f>T249*AD249</f>
        <v/>
      </c>
      <c r="AG249" s="28">
        <f>IFERROR(LOOKUP(AF249,{0;0.5;5;25},{"Bajo";"Medio";"Alto";"Crítico"}),"")</f>
        <v/>
      </c>
      <c r="AH249" s="28">
        <f>IF(AG249="","",IF(OR(AG249="Crítico",AG249="Alto"),"Mitigar",IF(AG249="Medio","Mitigar","Aceptar y monitorear")))</f>
        <v/>
      </c>
      <c r="AI249" s="21" t="n"/>
      <c r="AJ249" s="21" t="n"/>
      <c r="AK249" s="20" t="n"/>
      <c r="AL249" s="77">
        <f>IFERROR(INDEX(MgAmenEfic,MATCH(SUBSTITUTE($H249,"*","-"),MgAmenClave,0)),0)</f>
        <v/>
      </c>
    </row>
    <row r="250" hidden="1" ht="120" customHeight="1" s="54">
      <c r="B250" s="59" t="inlineStr">
        <is>
          <t>R-0245</t>
        </is>
      </c>
      <c r="C250" s="59" t="inlineStr">
        <is>
          <t>DO-05</t>
        </is>
      </c>
      <c r="D250" s="64">
        <f>IFERROR(INDEX(MgNombre,MATCH($C250,MgActId,0)),"")</f>
        <v/>
      </c>
      <c r="E250" s="64">
        <f>IFERROR(INDEX(MgProceso,MATCH($C250,MgActId,0)),"")</f>
        <v/>
      </c>
      <c r="F250" s="64">
        <f>IFERROR(INDEX(MgTipo,MATCH($C250,MgActId,0)),"")</f>
        <v/>
      </c>
      <c r="G250" s="64">
        <f>IFERROR(INDEX(MgSubtipo,MATCH($C250,MgActId,0)),"")</f>
        <v/>
      </c>
      <c r="H250" s="59" t="inlineStr">
        <is>
          <t>E.2</t>
        </is>
      </c>
      <c r="I250" s="64">
        <f>IFERROR(INDEX(MgAmenNombre,MATCH(SUBSTITUTE($H250,"*","-"),MgAmenClave,0)),"")</f>
        <v/>
      </c>
      <c r="J250" s="28">
        <f>IFERROR(INDEX(MgAmenGrupo,MATCH(SUBSTITUTE($H250,"*","-"),MgAmenClave,0)),"")</f>
        <v/>
      </c>
      <c r="K250" s="64">
        <f>IFERROR(INDEX('1. Matriz de Activos'!$Q$6:$Q$239,MATCH($C250,MgActId,0)),"")</f>
        <v/>
      </c>
      <c r="L250" s="64">
        <f>IFERROR(INDEX('1. Matriz de Activos'!$R$6:$R$239,MATCH($C250,MgActId,0)),"")</f>
        <v/>
      </c>
      <c r="M250" s="64">
        <f>IFERROR(INDEX('1. Matriz de Activos'!$S$6:$S$239,MATCH($C250,MgActId,0)),"")</f>
        <v/>
      </c>
      <c r="N250" s="28">
        <f>IFERROR(INDEX(MgAmenDegD,MATCH(SUBSTITUTE($H250,"*","-"),MgAmenClave,0)),"No aplica")</f>
        <v/>
      </c>
      <c r="O250" s="28">
        <f>IFERROR(INDEX(MgAmenDegI,MATCH(SUBSTITUTE($H250,"*","-"),MgAmenClave,0)),"No aplica")</f>
        <v/>
      </c>
      <c r="P250" s="28">
        <f>IFERROR(INDEX(MgAmenDegC,MATCH(SUBSTITUTE($H250,"*","-"),MgAmenClave,0)),"No aplica")</f>
        <v/>
      </c>
      <c r="Q250" s="29">
        <f>IFERROR(VLOOKUP(K250,MgValor,2,0)*VLOOKUP(N250,MgDeg,2,0),0)</f>
        <v/>
      </c>
      <c r="R250" s="29">
        <f>IFERROR(VLOOKUP(L250,MgValor,2,0)*VLOOKUP(O250,MgDeg,2,0),0)</f>
        <v/>
      </c>
      <c r="S250" s="29">
        <f>IFERROR(VLOOKUP(M250,MgValor,2,0)*VLOOKUP(P250,MgDeg,2,0),0)</f>
        <v/>
      </c>
      <c r="T250" s="30">
        <f>MAX(Q250:S250)</f>
        <v/>
      </c>
      <c r="U250" s="28">
        <f>IFERROR(LOOKUP(T250,{0;0.5;1.5;3;4.5},{"Despreciable";"Bajo";"Medio";"Alto";"Muy alto"}),"")</f>
        <v/>
      </c>
      <c r="V250" s="13">
        <f>IFERROR(INDEX(MgAmenFrec,MATCH(SUBSTITUTE($H250,"*","-"),MgAmenClave,0)),"")</f>
        <v/>
      </c>
      <c r="W250" s="28">
        <f>IFERROR(LOOKUP(X250,{0;0.01;0.1;1;10;100},{"Muy baja";"Muy baja";"Baja";"Media";"Alta";"Muy alta"}),"")</f>
        <v/>
      </c>
      <c r="X250" s="31">
        <f>IFERROR(VLOOKUP(V250,MgFrec,2,0),0)</f>
        <v/>
      </c>
      <c r="Y250" s="30">
        <f>T250*X250</f>
        <v/>
      </c>
      <c r="Z250" s="28">
        <f>IFERROR(LOOKUP(Y250,{0;0.5;5;25},{"Bajo";"Medio";"Alto";"Crítico"}),"")</f>
        <v/>
      </c>
      <c r="AA250" s="64">
        <f>IF(T250&gt;=3,IF(X250&gt;=1,"Zona 1 — Crítica: impacto alto y ocurre al menos una vez al año","Zona 4 — Catastrófica poco probable: impacto alto pero excepcional"),IF(AND(T250&lt;1.5,X250&lt;1),"Zona 3 — Asumible: impacto bajo y muy poco frecuente","Zona 2 — Atención: riesgo intermedio"))</f>
        <v/>
      </c>
      <c r="AB250" s="64">
        <f>IFERROR(INDEX(MgAmenCtrl,MATCH(SUBSTITUTE($H250,"*","-"),MgAmenClave,0)),"")</f>
        <v/>
      </c>
      <c r="AC250" s="20" t="n"/>
      <c r="AD250" s="31">
        <f>IFERROR($X250*(1-IF($AC250="",$AL250,VLOOKUP($AC250,MgMad,2,0))),"")</f>
        <v/>
      </c>
      <c r="AE250" s="28">
        <f>IFERROR(LOOKUP(AD250,{0;0.01;0.1;1;10;100},{"Muy baja";"Muy baja";"Baja";"Media";"Alta";"Muy alta"}),"")</f>
        <v/>
      </c>
      <c r="AF250" s="30">
        <f>T250*AD250</f>
        <v/>
      </c>
      <c r="AG250" s="28">
        <f>IFERROR(LOOKUP(AF250,{0;0.5;5;25},{"Bajo";"Medio";"Alto";"Crítico"}),"")</f>
        <v/>
      </c>
      <c r="AH250" s="28">
        <f>IF(AG250="","",IF(OR(AG250="Crítico",AG250="Alto"),"Mitigar",IF(AG250="Medio","Mitigar","Aceptar y monitorear")))</f>
        <v/>
      </c>
      <c r="AI250" s="21" t="n"/>
      <c r="AJ250" s="21" t="n"/>
      <c r="AK250" s="20" t="n"/>
      <c r="AL250" s="77">
        <f>IFERROR(INDEX(MgAmenEfic,MATCH(SUBSTITUTE($H250,"*","-"),MgAmenClave,0)),0)</f>
        <v/>
      </c>
    </row>
    <row r="251" hidden="1" ht="60" customHeight="1" s="54">
      <c r="B251" s="59" t="inlineStr">
        <is>
          <t>R-0246</t>
        </is>
      </c>
      <c r="C251" s="59" t="inlineStr">
        <is>
          <t>DO-05</t>
        </is>
      </c>
      <c r="D251" s="64">
        <f>IFERROR(INDEX(MgNombre,MATCH($C251,MgActId,0)),"")</f>
        <v/>
      </c>
      <c r="E251" s="64">
        <f>IFERROR(INDEX(MgProceso,MATCH($C251,MgActId,0)),"")</f>
        <v/>
      </c>
      <c r="F251" s="64">
        <f>IFERROR(INDEX(MgTipo,MATCH($C251,MgActId,0)),"")</f>
        <v/>
      </c>
      <c r="G251" s="64">
        <f>IFERROR(INDEX(MgSubtipo,MATCH($C251,MgActId,0)),"")</f>
        <v/>
      </c>
      <c r="H251" s="59" t="inlineStr">
        <is>
          <t>E.9</t>
        </is>
      </c>
      <c r="I251" s="64">
        <f>IFERROR(INDEX(MgAmenNombre,MATCH(SUBSTITUTE($H251,"*","-"),MgAmenClave,0)),"")</f>
        <v/>
      </c>
      <c r="J251" s="28">
        <f>IFERROR(INDEX(MgAmenGrupo,MATCH(SUBSTITUTE($H251,"*","-"),MgAmenClave,0)),"")</f>
        <v/>
      </c>
      <c r="K251" s="64">
        <f>IFERROR(INDEX('1. Matriz de Activos'!$Q$6:$Q$239,MATCH($C251,MgActId,0)),"")</f>
        <v/>
      </c>
      <c r="L251" s="64">
        <f>IFERROR(INDEX('1. Matriz de Activos'!$R$6:$R$239,MATCH($C251,MgActId,0)),"")</f>
        <v/>
      </c>
      <c r="M251" s="64">
        <f>IFERROR(INDEX('1. Matriz de Activos'!$S$6:$S$239,MATCH($C251,MgActId,0)),"")</f>
        <v/>
      </c>
      <c r="N251" s="28">
        <f>IFERROR(INDEX(MgAmenDegD,MATCH(SUBSTITUTE($H251,"*","-"),MgAmenClave,0)),"No aplica")</f>
        <v/>
      </c>
      <c r="O251" s="28">
        <f>IFERROR(INDEX(MgAmenDegI,MATCH(SUBSTITUTE($H251,"*","-"),MgAmenClave,0)),"No aplica")</f>
        <v/>
      </c>
      <c r="P251" s="28">
        <f>IFERROR(INDEX(MgAmenDegC,MATCH(SUBSTITUTE($H251,"*","-"),MgAmenClave,0)),"No aplica")</f>
        <v/>
      </c>
      <c r="Q251" s="29">
        <f>IFERROR(VLOOKUP(K251,MgValor,2,0)*VLOOKUP(N251,MgDeg,2,0),0)</f>
        <v/>
      </c>
      <c r="R251" s="29">
        <f>IFERROR(VLOOKUP(L251,MgValor,2,0)*VLOOKUP(O251,MgDeg,2,0),0)</f>
        <v/>
      </c>
      <c r="S251" s="29">
        <f>IFERROR(VLOOKUP(M251,MgValor,2,0)*VLOOKUP(P251,MgDeg,2,0),0)</f>
        <v/>
      </c>
      <c r="T251" s="30">
        <f>MAX(Q251:S251)</f>
        <v/>
      </c>
      <c r="U251" s="28">
        <f>IFERROR(LOOKUP(T251,{0;0.5;1.5;3;4.5},{"Despreciable";"Bajo";"Medio";"Alto";"Muy alto"}),"")</f>
        <v/>
      </c>
      <c r="V251" s="13">
        <f>IFERROR(INDEX(MgAmenFrec,MATCH(SUBSTITUTE($H251,"*","-"),MgAmenClave,0)),"")</f>
        <v/>
      </c>
      <c r="W251" s="28">
        <f>IFERROR(LOOKUP(X251,{0;0.01;0.1;1;10;100},{"Muy baja";"Muy baja";"Baja";"Media";"Alta";"Muy alta"}),"")</f>
        <v/>
      </c>
      <c r="X251" s="31">
        <f>IFERROR(VLOOKUP(V251,MgFrec,2,0),0)</f>
        <v/>
      </c>
      <c r="Y251" s="30">
        <f>T251*X251</f>
        <v/>
      </c>
      <c r="Z251" s="28">
        <f>IFERROR(LOOKUP(Y251,{0;0.5;5;25},{"Bajo";"Medio";"Alto";"Crítico"}),"")</f>
        <v/>
      </c>
      <c r="AA251" s="64">
        <f>IF(T251&gt;=3,IF(X251&gt;=1,"Zona 1 — Crítica: impacto alto y ocurre al menos una vez al año","Zona 4 — Catastrófica poco probable: impacto alto pero excepcional"),IF(AND(T251&lt;1.5,X251&lt;1),"Zona 3 — Asumible: impacto bajo y muy poco frecuente","Zona 2 — Atención: riesgo intermedio"))</f>
        <v/>
      </c>
      <c r="AB251" s="64">
        <f>IFERROR(INDEX(MgAmenCtrl,MATCH(SUBSTITUTE($H251,"*","-"),MgAmenClave,0)),"")</f>
        <v/>
      </c>
      <c r="AC251" s="20" t="n"/>
      <c r="AD251" s="31">
        <f>IFERROR($X251*(1-IF($AC251="",$AL251,VLOOKUP($AC251,MgMad,2,0))),"")</f>
        <v/>
      </c>
      <c r="AE251" s="28">
        <f>IFERROR(LOOKUP(AD251,{0;0.01;0.1;1;10;100},{"Muy baja";"Muy baja";"Baja";"Media";"Alta";"Muy alta"}),"")</f>
        <v/>
      </c>
      <c r="AF251" s="30">
        <f>T251*AD251</f>
        <v/>
      </c>
      <c r="AG251" s="28">
        <f>IFERROR(LOOKUP(AF251,{0;0.5;5;25},{"Bajo";"Medio";"Alto";"Crítico"}),"")</f>
        <v/>
      </c>
      <c r="AH251" s="28">
        <f>IF(AG251="","",IF(OR(AG251="Crítico",AG251="Alto"),"Mitigar",IF(AG251="Medio","Mitigar","Aceptar y monitorear")))</f>
        <v/>
      </c>
      <c r="AI251" s="21" t="n"/>
      <c r="AJ251" s="21" t="n"/>
      <c r="AK251" s="20" t="n"/>
      <c r="AL251" s="77">
        <f>IFERROR(INDEX(MgAmenEfic,MATCH(SUBSTITUTE($H251,"*","-"),MgAmenClave,0)),0)</f>
        <v/>
      </c>
    </row>
    <row r="252" hidden="1" ht="90" customHeight="1" s="54">
      <c r="B252" s="59" t="inlineStr">
        <is>
          <t>R-0247</t>
        </is>
      </c>
      <c r="C252" s="59" t="inlineStr">
        <is>
          <t>DO-05</t>
        </is>
      </c>
      <c r="D252" s="64">
        <f>IFERROR(INDEX(MgNombre,MATCH($C252,MgActId,0)),"")</f>
        <v/>
      </c>
      <c r="E252" s="64">
        <f>IFERROR(INDEX(MgProceso,MATCH($C252,MgActId,0)),"")</f>
        <v/>
      </c>
      <c r="F252" s="64">
        <f>IFERROR(INDEX(MgTipo,MATCH($C252,MgActId,0)),"")</f>
        <v/>
      </c>
      <c r="G252" s="64">
        <f>IFERROR(INDEX(MgSubtipo,MATCH($C252,MgActId,0)),"")</f>
        <v/>
      </c>
      <c r="H252" s="59" t="inlineStr">
        <is>
          <t>E.10</t>
        </is>
      </c>
      <c r="I252" s="64">
        <f>IFERROR(INDEX(MgAmenNombre,MATCH(SUBSTITUTE($H252,"*","-"),MgAmenClave,0)),"")</f>
        <v/>
      </c>
      <c r="J252" s="28">
        <f>IFERROR(INDEX(MgAmenGrupo,MATCH(SUBSTITUTE($H252,"*","-"),MgAmenClave,0)),"")</f>
        <v/>
      </c>
      <c r="K252" s="64">
        <f>IFERROR(INDEX('1. Matriz de Activos'!$Q$6:$Q$239,MATCH($C252,MgActId,0)),"")</f>
        <v/>
      </c>
      <c r="L252" s="64">
        <f>IFERROR(INDEX('1. Matriz de Activos'!$R$6:$R$239,MATCH($C252,MgActId,0)),"")</f>
        <v/>
      </c>
      <c r="M252" s="64">
        <f>IFERROR(INDEX('1. Matriz de Activos'!$S$6:$S$239,MATCH($C252,MgActId,0)),"")</f>
        <v/>
      </c>
      <c r="N252" s="28">
        <f>IFERROR(INDEX(MgAmenDegD,MATCH(SUBSTITUTE($H252,"*","-"),MgAmenClave,0)),"No aplica")</f>
        <v/>
      </c>
      <c r="O252" s="28">
        <f>IFERROR(INDEX(MgAmenDegI,MATCH(SUBSTITUTE($H252,"*","-"),MgAmenClave,0)),"No aplica")</f>
        <v/>
      </c>
      <c r="P252" s="28">
        <f>IFERROR(INDEX(MgAmenDegC,MATCH(SUBSTITUTE($H252,"*","-"),MgAmenClave,0)),"No aplica")</f>
        <v/>
      </c>
      <c r="Q252" s="29">
        <f>IFERROR(VLOOKUP(K252,MgValor,2,0)*VLOOKUP(N252,MgDeg,2,0),0)</f>
        <v/>
      </c>
      <c r="R252" s="29">
        <f>IFERROR(VLOOKUP(L252,MgValor,2,0)*VLOOKUP(O252,MgDeg,2,0),0)</f>
        <v/>
      </c>
      <c r="S252" s="29">
        <f>IFERROR(VLOOKUP(M252,MgValor,2,0)*VLOOKUP(P252,MgDeg,2,0),0)</f>
        <v/>
      </c>
      <c r="T252" s="30">
        <f>MAX(Q252:S252)</f>
        <v/>
      </c>
      <c r="U252" s="28">
        <f>IFERROR(LOOKUP(T252,{0;0.5;1.5;3;4.5},{"Despreciable";"Bajo";"Medio";"Alto";"Muy alto"}),"")</f>
        <v/>
      </c>
      <c r="V252" s="13">
        <f>IFERROR(INDEX(MgAmenFrec,MATCH(SUBSTITUTE($H252,"*","-"),MgAmenClave,0)),"")</f>
        <v/>
      </c>
      <c r="W252" s="28">
        <f>IFERROR(LOOKUP(X252,{0;0.01;0.1;1;10;100},{"Muy baja";"Muy baja";"Baja";"Media";"Alta";"Muy alta"}),"")</f>
        <v/>
      </c>
      <c r="X252" s="31">
        <f>IFERROR(VLOOKUP(V252,MgFrec,2,0),0)</f>
        <v/>
      </c>
      <c r="Y252" s="30">
        <f>T252*X252</f>
        <v/>
      </c>
      <c r="Z252" s="28">
        <f>IFERROR(LOOKUP(Y252,{0;0.5;5;25},{"Bajo";"Medio";"Alto";"Crítico"}),"")</f>
        <v/>
      </c>
      <c r="AA252" s="64">
        <f>IF(T252&gt;=3,IF(X252&gt;=1,"Zona 1 — Crítica: impacto alto y ocurre al menos una vez al año","Zona 4 — Catastrófica poco probable: impacto alto pero excepcional"),IF(AND(T252&lt;1.5,X252&lt;1),"Zona 3 — Asumible: impacto bajo y muy poco frecuente","Zona 2 — Atención: riesgo intermedio"))</f>
        <v/>
      </c>
      <c r="AB252" s="64">
        <f>IFERROR(INDEX(MgAmenCtrl,MATCH(SUBSTITUTE($H252,"*","-"),MgAmenClave,0)),"")</f>
        <v/>
      </c>
      <c r="AC252" s="20" t="n"/>
      <c r="AD252" s="31">
        <f>IFERROR($X252*(1-IF($AC252="",$AL252,VLOOKUP($AC252,MgMad,2,0))),"")</f>
        <v/>
      </c>
      <c r="AE252" s="28">
        <f>IFERROR(LOOKUP(AD252,{0;0.01;0.1;1;10;100},{"Muy baja";"Muy baja";"Baja";"Media";"Alta";"Muy alta"}),"")</f>
        <v/>
      </c>
      <c r="AF252" s="30">
        <f>T252*AD252</f>
        <v/>
      </c>
      <c r="AG252" s="28">
        <f>IFERROR(LOOKUP(AF252,{0;0.5;5;25},{"Bajo";"Medio";"Alto";"Crítico"}),"")</f>
        <v/>
      </c>
      <c r="AH252" s="28">
        <f>IF(AG252="","",IF(OR(AG252="Crítico",AG252="Alto"),"Mitigar",IF(AG252="Medio","Mitigar","Aceptar y monitorear")))</f>
        <v/>
      </c>
      <c r="AI252" s="21" t="n"/>
      <c r="AJ252" s="21" t="n"/>
      <c r="AK252" s="20" t="n"/>
      <c r="AL252" s="77">
        <f>IFERROR(INDEX(MgAmenEfic,MATCH(SUBSTITUTE($H252,"*","-"),MgAmenClave,0)),0)</f>
        <v/>
      </c>
    </row>
    <row r="253" hidden="1" ht="90" customHeight="1" s="54">
      <c r="B253" s="59" t="inlineStr">
        <is>
          <t>R-0248</t>
        </is>
      </c>
      <c r="C253" s="59" t="inlineStr">
        <is>
          <t>DO-05</t>
        </is>
      </c>
      <c r="D253" s="64">
        <f>IFERROR(INDEX(MgNombre,MATCH($C253,MgActId,0)),"")</f>
        <v/>
      </c>
      <c r="E253" s="64">
        <f>IFERROR(INDEX(MgProceso,MATCH($C253,MgActId,0)),"")</f>
        <v/>
      </c>
      <c r="F253" s="64">
        <f>IFERROR(INDEX(MgTipo,MATCH($C253,MgActId,0)),"")</f>
        <v/>
      </c>
      <c r="G253" s="64">
        <f>IFERROR(INDEX(MgSubtipo,MATCH($C253,MgActId,0)),"")</f>
        <v/>
      </c>
      <c r="H253" s="59" t="inlineStr">
        <is>
          <t>E.14</t>
        </is>
      </c>
      <c r="I253" s="64">
        <f>IFERROR(INDEX(MgAmenNombre,MATCH(SUBSTITUTE($H253,"*","-"),MgAmenClave,0)),"")</f>
        <v/>
      </c>
      <c r="J253" s="28">
        <f>IFERROR(INDEX(MgAmenGrupo,MATCH(SUBSTITUTE($H253,"*","-"),MgAmenClave,0)),"")</f>
        <v/>
      </c>
      <c r="K253" s="64">
        <f>IFERROR(INDEX('1. Matriz de Activos'!$Q$6:$Q$239,MATCH($C253,MgActId,0)),"")</f>
        <v/>
      </c>
      <c r="L253" s="64">
        <f>IFERROR(INDEX('1. Matriz de Activos'!$R$6:$R$239,MATCH($C253,MgActId,0)),"")</f>
        <v/>
      </c>
      <c r="M253" s="64">
        <f>IFERROR(INDEX('1. Matriz de Activos'!$S$6:$S$239,MATCH($C253,MgActId,0)),"")</f>
        <v/>
      </c>
      <c r="N253" s="28">
        <f>IFERROR(INDEX(MgAmenDegD,MATCH(SUBSTITUTE($H253,"*","-"),MgAmenClave,0)),"No aplica")</f>
        <v/>
      </c>
      <c r="O253" s="28">
        <f>IFERROR(INDEX(MgAmenDegI,MATCH(SUBSTITUTE($H253,"*","-"),MgAmenClave,0)),"No aplica")</f>
        <v/>
      </c>
      <c r="P253" s="28">
        <f>IFERROR(INDEX(MgAmenDegC,MATCH(SUBSTITUTE($H253,"*","-"),MgAmenClave,0)),"No aplica")</f>
        <v/>
      </c>
      <c r="Q253" s="29">
        <f>IFERROR(VLOOKUP(K253,MgValor,2,0)*VLOOKUP(N253,MgDeg,2,0),0)</f>
        <v/>
      </c>
      <c r="R253" s="29">
        <f>IFERROR(VLOOKUP(L253,MgValor,2,0)*VLOOKUP(O253,MgDeg,2,0),0)</f>
        <v/>
      </c>
      <c r="S253" s="29">
        <f>IFERROR(VLOOKUP(M253,MgValor,2,0)*VLOOKUP(P253,MgDeg,2,0),0)</f>
        <v/>
      </c>
      <c r="T253" s="30">
        <f>MAX(Q253:S253)</f>
        <v/>
      </c>
      <c r="U253" s="28">
        <f>IFERROR(LOOKUP(T253,{0;0.5;1.5;3;4.5},{"Despreciable";"Bajo";"Medio";"Alto";"Muy alto"}),"")</f>
        <v/>
      </c>
      <c r="V253" s="13">
        <f>IFERROR(INDEX(MgAmenFrec,MATCH(SUBSTITUTE($H253,"*","-"),MgAmenClave,0)),"")</f>
        <v/>
      </c>
      <c r="W253" s="28">
        <f>IFERROR(LOOKUP(X253,{0;0.01;0.1;1;10;100},{"Muy baja";"Muy baja";"Baja";"Media";"Alta";"Muy alta"}),"")</f>
        <v/>
      </c>
      <c r="X253" s="31">
        <f>IFERROR(VLOOKUP(V253,MgFrec,2,0),0)</f>
        <v/>
      </c>
      <c r="Y253" s="30">
        <f>T253*X253</f>
        <v/>
      </c>
      <c r="Z253" s="28">
        <f>IFERROR(LOOKUP(Y253,{0;0.5;5;25},{"Bajo";"Medio";"Alto";"Crítico"}),"")</f>
        <v/>
      </c>
      <c r="AA253" s="64">
        <f>IF(T253&gt;=3,IF(X253&gt;=1,"Zona 1 — Crítica: impacto alto y ocurre al menos una vez al año","Zona 4 — Catastrófica poco probable: impacto alto pero excepcional"),IF(AND(T253&lt;1.5,X253&lt;1),"Zona 3 — Asumible: impacto bajo y muy poco frecuente","Zona 2 — Atención: riesgo intermedio"))</f>
        <v/>
      </c>
      <c r="AB253" s="64">
        <f>IFERROR(INDEX(MgAmenCtrl,MATCH(SUBSTITUTE($H253,"*","-"),MgAmenClave,0)),"")</f>
        <v/>
      </c>
      <c r="AC253" s="20" t="n"/>
      <c r="AD253" s="31">
        <f>IFERROR($X253*(1-IF($AC253="",$AL253,VLOOKUP($AC253,MgMad,2,0))),"")</f>
        <v/>
      </c>
      <c r="AE253" s="28">
        <f>IFERROR(LOOKUP(AD253,{0;0.01;0.1;1;10;100},{"Muy baja";"Muy baja";"Baja";"Media";"Alta";"Muy alta"}),"")</f>
        <v/>
      </c>
      <c r="AF253" s="30">
        <f>T253*AD253</f>
        <v/>
      </c>
      <c r="AG253" s="28">
        <f>IFERROR(LOOKUP(AF253,{0;0.5;5;25},{"Bajo";"Medio";"Alto";"Crítico"}),"")</f>
        <v/>
      </c>
      <c r="AH253" s="28">
        <f>IF(AG253="","",IF(OR(AG253="Crítico",AG253="Alto"),"Mitigar",IF(AG253="Medio","Mitigar","Aceptar y monitorear")))</f>
        <v/>
      </c>
      <c r="AI253" s="21" t="n"/>
      <c r="AJ253" s="21" t="n"/>
      <c r="AK253" s="20" t="n"/>
      <c r="AL253" s="77">
        <f>IFERROR(INDEX(MgAmenEfic,MATCH(SUBSTITUTE($H253,"*","-"),MgAmenClave,0)),0)</f>
        <v/>
      </c>
    </row>
    <row r="254" hidden="1" ht="90" customHeight="1" s="54">
      <c r="B254" s="59" t="inlineStr">
        <is>
          <t>R-0249</t>
        </is>
      </c>
      <c r="C254" s="59" t="inlineStr">
        <is>
          <t>DO-05</t>
        </is>
      </c>
      <c r="D254" s="64">
        <f>IFERROR(INDEX(MgNombre,MATCH($C254,MgActId,0)),"")</f>
        <v/>
      </c>
      <c r="E254" s="64">
        <f>IFERROR(INDEX(MgProceso,MATCH($C254,MgActId,0)),"")</f>
        <v/>
      </c>
      <c r="F254" s="64">
        <f>IFERROR(INDEX(MgTipo,MATCH($C254,MgActId,0)),"")</f>
        <v/>
      </c>
      <c r="G254" s="64">
        <f>IFERROR(INDEX(MgSubtipo,MATCH($C254,MgActId,0)),"")</f>
        <v/>
      </c>
      <c r="H254" s="59" t="inlineStr">
        <is>
          <t>E.15</t>
        </is>
      </c>
      <c r="I254" s="64">
        <f>IFERROR(INDEX(MgAmenNombre,MATCH(SUBSTITUTE($H254,"*","-"),MgAmenClave,0)),"")</f>
        <v/>
      </c>
      <c r="J254" s="28">
        <f>IFERROR(INDEX(MgAmenGrupo,MATCH(SUBSTITUTE($H254,"*","-"),MgAmenClave,0)),"")</f>
        <v/>
      </c>
      <c r="K254" s="64">
        <f>IFERROR(INDEX('1. Matriz de Activos'!$Q$6:$Q$239,MATCH($C254,MgActId,0)),"")</f>
        <v/>
      </c>
      <c r="L254" s="64">
        <f>IFERROR(INDEX('1. Matriz de Activos'!$R$6:$R$239,MATCH($C254,MgActId,0)),"")</f>
        <v/>
      </c>
      <c r="M254" s="64">
        <f>IFERROR(INDEX('1. Matriz de Activos'!$S$6:$S$239,MATCH($C254,MgActId,0)),"")</f>
        <v/>
      </c>
      <c r="N254" s="28">
        <f>IFERROR(INDEX(MgAmenDegD,MATCH(SUBSTITUTE($H254,"*","-"),MgAmenClave,0)),"No aplica")</f>
        <v/>
      </c>
      <c r="O254" s="28">
        <f>IFERROR(INDEX(MgAmenDegI,MATCH(SUBSTITUTE($H254,"*","-"),MgAmenClave,0)),"No aplica")</f>
        <v/>
      </c>
      <c r="P254" s="28">
        <f>IFERROR(INDEX(MgAmenDegC,MATCH(SUBSTITUTE($H254,"*","-"),MgAmenClave,0)),"No aplica")</f>
        <v/>
      </c>
      <c r="Q254" s="29">
        <f>IFERROR(VLOOKUP(K254,MgValor,2,0)*VLOOKUP(N254,MgDeg,2,0),0)</f>
        <v/>
      </c>
      <c r="R254" s="29">
        <f>IFERROR(VLOOKUP(L254,MgValor,2,0)*VLOOKUP(O254,MgDeg,2,0),0)</f>
        <v/>
      </c>
      <c r="S254" s="29">
        <f>IFERROR(VLOOKUP(M254,MgValor,2,0)*VLOOKUP(P254,MgDeg,2,0),0)</f>
        <v/>
      </c>
      <c r="T254" s="30">
        <f>MAX(Q254:S254)</f>
        <v/>
      </c>
      <c r="U254" s="28">
        <f>IFERROR(LOOKUP(T254,{0;0.5;1.5;3;4.5},{"Despreciable";"Bajo";"Medio";"Alto";"Muy alto"}),"")</f>
        <v/>
      </c>
      <c r="V254" s="13">
        <f>IFERROR(INDEX(MgAmenFrec,MATCH(SUBSTITUTE($H254,"*","-"),MgAmenClave,0)),"")</f>
        <v/>
      </c>
      <c r="W254" s="28">
        <f>IFERROR(LOOKUP(X254,{0;0.01;0.1;1;10;100},{"Muy baja";"Muy baja";"Baja";"Media";"Alta";"Muy alta"}),"")</f>
        <v/>
      </c>
      <c r="X254" s="31">
        <f>IFERROR(VLOOKUP(V254,MgFrec,2,0),0)</f>
        <v/>
      </c>
      <c r="Y254" s="30">
        <f>T254*X254</f>
        <v/>
      </c>
      <c r="Z254" s="28">
        <f>IFERROR(LOOKUP(Y254,{0;0.5;5;25},{"Bajo";"Medio";"Alto";"Crítico"}),"")</f>
        <v/>
      </c>
      <c r="AA254" s="64">
        <f>IF(T254&gt;=3,IF(X254&gt;=1,"Zona 1 — Crítica: impacto alto y ocurre al menos una vez al año","Zona 4 — Catastrófica poco probable: impacto alto pero excepcional"),IF(AND(T254&lt;1.5,X254&lt;1),"Zona 3 — Asumible: impacto bajo y muy poco frecuente","Zona 2 — Atención: riesgo intermedio"))</f>
        <v/>
      </c>
      <c r="AB254" s="64">
        <f>IFERROR(INDEX(MgAmenCtrl,MATCH(SUBSTITUTE($H254,"*","-"),MgAmenClave,0)),"")</f>
        <v/>
      </c>
      <c r="AC254" s="20" t="n"/>
      <c r="AD254" s="31">
        <f>IFERROR($X254*(1-IF($AC254="",$AL254,VLOOKUP($AC254,MgMad,2,0))),"")</f>
        <v/>
      </c>
      <c r="AE254" s="28">
        <f>IFERROR(LOOKUP(AD254,{0;0.01;0.1;1;10;100},{"Muy baja";"Muy baja";"Baja";"Media";"Alta";"Muy alta"}),"")</f>
        <v/>
      </c>
      <c r="AF254" s="30">
        <f>T254*AD254</f>
        <v/>
      </c>
      <c r="AG254" s="28">
        <f>IFERROR(LOOKUP(AF254,{0;0.5;5;25},{"Bajo";"Medio";"Alto";"Crítico"}),"")</f>
        <v/>
      </c>
      <c r="AH254" s="28">
        <f>IF(AG254="","",IF(OR(AG254="Crítico",AG254="Alto"),"Mitigar",IF(AG254="Medio","Mitigar","Aceptar y monitorear")))</f>
        <v/>
      </c>
      <c r="AI254" s="21" t="n"/>
      <c r="AJ254" s="21" t="n"/>
      <c r="AK254" s="20" t="n"/>
      <c r="AL254" s="77">
        <f>IFERROR(INDEX(MgAmenEfic,MATCH(SUBSTITUTE($H254,"*","-"),MgAmenClave,0)),0)</f>
        <v/>
      </c>
    </row>
    <row r="255" hidden="1" ht="60" customHeight="1" s="54">
      <c r="B255" s="59" t="inlineStr">
        <is>
          <t>R-0250</t>
        </is>
      </c>
      <c r="C255" s="59" t="inlineStr">
        <is>
          <t>DO-05</t>
        </is>
      </c>
      <c r="D255" s="64">
        <f>IFERROR(INDEX(MgNombre,MATCH($C255,MgActId,0)),"")</f>
        <v/>
      </c>
      <c r="E255" s="64">
        <f>IFERROR(INDEX(MgProceso,MATCH($C255,MgActId,0)),"")</f>
        <v/>
      </c>
      <c r="F255" s="64">
        <f>IFERROR(INDEX(MgTipo,MATCH($C255,MgActId,0)),"")</f>
        <v/>
      </c>
      <c r="G255" s="64">
        <f>IFERROR(INDEX(MgSubtipo,MATCH($C255,MgActId,0)),"")</f>
        <v/>
      </c>
      <c r="H255" s="59" t="inlineStr">
        <is>
          <t>E.18</t>
        </is>
      </c>
      <c r="I255" s="64">
        <f>IFERROR(INDEX(MgAmenNombre,MATCH(SUBSTITUTE($H255,"*","-"),MgAmenClave,0)),"")</f>
        <v/>
      </c>
      <c r="J255" s="28">
        <f>IFERROR(INDEX(MgAmenGrupo,MATCH(SUBSTITUTE($H255,"*","-"),MgAmenClave,0)),"")</f>
        <v/>
      </c>
      <c r="K255" s="64">
        <f>IFERROR(INDEX('1. Matriz de Activos'!$Q$6:$Q$239,MATCH($C255,MgActId,0)),"")</f>
        <v/>
      </c>
      <c r="L255" s="64">
        <f>IFERROR(INDEX('1. Matriz de Activos'!$R$6:$R$239,MATCH($C255,MgActId,0)),"")</f>
        <v/>
      </c>
      <c r="M255" s="64">
        <f>IFERROR(INDEX('1. Matriz de Activos'!$S$6:$S$239,MATCH($C255,MgActId,0)),"")</f>
        <v/>
      </c>
      <c r="N255" s="28">
        <f>IFERROR(INDEX(MgAmenDegD,MATCH(SUBSTITUTE($H255,"*","-"),MgAmenClave,0)),"No aplica")</f>
        <v/>
      </c>
      <c r="O255" s="28">
        <f>IFERROR(INDEX(MgAmenDegI,MATCH(SUBSTITUTE($H255,"*","-"),MgAmenClave,0)),"No aplica")</f>
        <v/>
      </c>
      <c r="P255" s="28">
        <f>IFERROR(INDEX(MgAmenDegC,MATCH(SUBSTITUTE($H255,"*","-"),MgAmenClave,0)),"No aplica")</f>
        <v/>
      </c>
      <c r="Q255" s="29">
        <f>IFERROR(VLOOKUP(K255,MgValor,2,0)*VLOOKUP(N255,MgDeg,2,0),0)</f>
        <v/>
      </c>
      <c r="R255" s="29">
        <f>IFERROR(VLOOKUP(L255,MgValor,2,0)*VLOOKUP(O255,MgDeg,2,0),0)</f>
        <v/>
      </c>
      <c r="S255" s="29">
        <f>IFERROR(VLOOKUP(M255,MgValor,2,0)*VLOOKUP(P255,MgDeg,2,0),0)</f>
        <v/>
      </c>
      <c r="T255" s="30">
        <f>MAX(Q255:S255)</f>
        <v/>
      </c>
      <c r="U255" s="28">
        <f>IFERROR(LOOKUP(T255,{0;0.5;1.5;3;4.5},{"Despreciable";"Bajo";"Medio";"Alto";"Muy alto"}),"")</f>
        <v/>
      </c>
      <c r="V255" s="13">
        <f>IFERROR(INDEX(MgAmenFrec,MATCH(SUBSTITUTE($H255,"*","-"),MgAmenClave,0)),"")</f>
        <v/>
      </c>
      <c r="W255" s="28">
        <f>IFERROR(LOOKUP(X255,{0;0.01;0.1;1;10;100},{"Muy baja";"Muy baja";"Baja";"Media";"Alta";"Muy alta"}),"")</f>
        <v/>
      </c>
      <c r="X255" s="31">
        <f>IFERROR(VLOOKUP(V255,MgFrec,2,0),0)</f>
        <v/>
      </c>
      <c r="Y255" s="30">
        <f>T255*X255</f>
        <v/>
      </c>
      <c r="Z255" s="28">
        <f>IFERROR(LOOKUP(Y255,{0;0.5;5;25},{"Bajo";"Medio";"Alto";"Crítico"}),"")</f>
        <v/>
      </c>
      <c r="AA255" s="64">
        <f>IF(T255&gt;=3,IF(X255&gt;=1,"Zona 1 — Crítica: impacto alto y ocurre al menos una vez al año","Zona 4 — Catastrófica poco probable: impacto alto pero excepcional"),IF(AND(T255&lt;1.5,X255&lt;1),"Zona 3 — Asumible: impacto bajo y muy poco frecuente","Zona 2 — Atención: riesgo intermedio"))</f>
        <v/>
      </c>
      <c r="AB255" s="64">
        <f>IFERROR(INDEX(MgAmenCtrl,MATCH(SUBSTITUTE($H255,"*","-"),MgAmenClave,0)),"")</f>
        <v/>
      </c>
      <c r="AC255" s="20" t="n"/>
      <c r="AD255" s="31">
        <f>IFERROR($X255*(1-IF($AC255="",$AL255,VLOOKUP($AC255,MgMad,2,0))),"")</f>
        <v/>
      </c>
      <c r="AE255" s="28">
        <f>IFERROR(LOOKUP(AD255,{0;0.01;0.1;1;10;100},{"Muy baja";"Muy baja";"Baja";"Media";"Alta";"Muy alta"}),"")</f>
        <v/>
      </c>
      <c r="AF255" s="30">
        <f>T255*AD255</f>
        <v/>
      </c>
      <c r="AG255" s="28">
        <f>IFERROR(LOOKUP(AF255,{0;0.5;5;25},{"Bajo";"Medio";"Alto";"Crítico"}),"")</f>
        <v/>
      </c>
      <c r="AH255" s="28">
        <f>IF(AG255="","",IF(OR(AG255="Crítico",AG255="Alto"),"Mitigar",IF(AG255="Medio","Mitigar","Aceptar y monitorear")))</f>
        <v/>
      </c>
      <c r="AI255" s="21" t="n"/>
      <c r="AJ255" s="21" t="n"/>
      <c r="AK255" s="20" t="n"/>
      <c r="AL255" s="77">
        <f>IFERROR(INDEX(MgAmenEfic,MATCH(SUBSTITUTE($H255,"*","-"),MgAmenClave,0)),0)</f>
        <v/>
      </c>
    </row>
    <row r="256" hidden="1" ht="105" customHeight="1" s="54">
      <c r="B256" s="59" t="inlineStr">
        <is>
          <t>R-0251</t>
        </is>
      </c>
      <c r="C256" s="59" t="inlineStr">
        <is>
          <t>DO-05</t>
        </is>
      </c>
      <c r="D256" s="64">
        <f>IFERROR(INDEX(MgNombre,MATCH($C256,MgActId,0)),"")</f>
        <v/>
      </c>
      <c r="E256" s="64">
        <f>IFERROR(INDEX(MgProceso,MATCH($C256,MgActId,0)),"")</f>
        <v/>
      </c>
      <c r="F256" s="64">
        <f>IFERROR(INDEX(MgTipo,MATCH($C256,MgActId,0)),"")</f>
        <v/>
      </c>
      <c r="G256" s="64">
        <f>IFERROR(INDEX(MgSubtipo,MATCH($C256,MgActId,0)),"")</f>
        <v/>
      </c>
      <c r="H256" s="59" t="inlineStr">
        <is>
          <t>E.19</t>
        </is>
      </c>
      <c r="I256" s="64">
        <f>IFERROR(INDEX(MgAmenNombre,MATCH(SUBSTITUTE($H256,"*","-"),MgAmenClave,0)),"")</f>
        <v/>
      </c>
      <c r="J256" s="28">
        <f>IFERROR(INDEX(MgAmenGrupo,MATCH(SUBSTITUTE($H256,"*","-"),MgAmenClave,0)),"")</f>
        <v/>
      </c>
      <c r="K256" s="64">
        <f>IFERROR(INDEX('1. Matriz de Activos'!$Q$6:$Q$239,MATCH($C256,MgActId,0)),"")</f>
        <v/>
      </c>
      <c r="L256" s="64">
        <f>IFERROR(INDEX('1. Matriz de Activos'!$R$6:$R$239,MATCH($C256,MgActId,0)),"")</f>
        <v/>
      </c>
      <c r="M256" s="64">
        <f>IFERROR(INDEX('1. Matriz de Activos'!$S$6:$S$239,MATCH($C256,MgActId,0)),"")</f>
        <v/>
      </c>
      <c r="N256" s="28">
        <f>IFERROR(INDEX(MgAmenDegD,MATCH(SUBSTITUTE($H256,"*","-"),MgAmenClave,0)),"No aplica")</f>
        <v/>
      </c>
      <c r="O256" s="28">
        <f>IFERROR(INDEX(MgAmenDegI,MATCH(SUBSTITUTE($H256,"*","-"),MgAmenClave,0)),"No aplica")</f>
        <v/>
      </c>
      <c r="P256" s="28">
        <f>IFERROR(INDEX(MgAmenDegC,MATCH(SUBSTITUTE($H256,"*","-"),MgAmenClave,0)),"No aplica")</f>
        <v/>
      </c>
      <c r="Q256" s="29">
        <f>IFERROR(VLOOKUP(K256,MgValor,2,0)*VLOOKUP(N256,MgDeg,2,0),0)</f>
        <v/>
      </c>
      <c r="R256" s="29">
        <f>IFERROR(VLOOKUP(L256,MgValor,2,0)*VLOOKUP(O256,MgDeg,2,0),0)</f>
        <v/>
      </c>
      <c r="S256" s="29">
        <f>IFERROR(VLOOKUP(M256,MgValor,2,0)*VLOOKUP(P256,MgDeg,2,0),0)</f>
        <v/>
      </c>
      <c r="T256" s="30">
        <f>MAX(Q256:S256)</f>
        <v/>
      </c>
      <c r="U256" s="28">
        <f>IFERROR(LOOKUP(T256,{0;0.5;1.5;3;4.5},{"Despreciable";"Bajo";"Medio";"Alto";"Muy alto"}),"")</f>
        <v/>
      </c>
      <c r="V256" s="13">
        <f>IFERROR(INDEX(MgAmenFrec,MATCH(SUBSTITUTE($H256,"*","-"),MgAmenClave,0)),"")</f>
        <v/>
      </c>
      <c r="W256" s="28">
        <f>IFERROR(LOOKUP(X256,{0;0.01;0.1;1;10;100},{"Muy baja";"Muy baja";"Baja";"Media";"Alta";"Muy alta"}),"")</f>
        <v/>
      </c>
      <c r="X256" s="31">
        <f>IFERROR(VLOOKUP(V256,MgFrec,2,0),0)</f>
        <v/>
      </c>
      <c r="Y256" s="30">
        <f>T256*X256</f>
        <v/>
      </c>
      <c r="Z256" s="28">
        <f>IFERROR(LOOKUP(Y256,{0;0.5;5;25},{"Bajo";"Medio";"Alto";"Crítico"}),"")</f>
        <v/>
      </c>
      <c r="AA256" s="64">
        <f>IF(T256&gt;=3,IF(X256&gt;=1,"Zona 1 — Crítica: impacto alto y ocurre al menos una vez al año","Zona 4 — Catastrófica poco probable: impacto alto pero excepcional"),IF(AND(T256&lt;1.5,X256&lt;1),"Zona 3 — Asumible: impacto bajo y muy poco frecuente","Zona 2 — Atención: riesgo intermedio"))</f>
        <v/>
      </c>
      <c r="AB256" s="64">
        <f>IFERROR(INDEX(MgAmenCtrl,MATCH(SUBSTITUTE($H256,"*","-"),MgAmenClave,0)),"")</f>
        <v/>
      </c>
      <c r="AC256" s="20" t="n"/>
      <c r="AD256" s="31">
        <f>IFERROR($X256*(1-IF($AC256="",$AL256,VLOOKUP($AC256,MgMad,2,0))),"")</f>
        <v/>
      </c>
      <c r="AE256" s="28">
        <f>IFERROR(LOOKUP(AD256,{0;0.01;0.1;1;10;100},{"Muy baja";"Muy baja";"Baja";"Media";"Alta";"Muy alta"}),"")</f>
        <v/>
      </c>
      <c r="AF256" s="30">
        <f>T256*AD256</f>
        <v/>
      </c>
      <c r="AG256" s="28">
        <f>IFERROR(LOOKUP(AF256,{0;0.5;5;25},{"Bajo";"Medio";"Alto";"Crítico"}),"")</f>
        <v/>
      </c>
      <c r="AH256" s="28">
        <f>IF(AG256="","",IF(OR(AG256="Crítico",AG256="Alto"),"Mitigar",IF(AG256="Medio","Mitigar","Aceptar y monitorear")))</f>
        <v/>
      </c>
      <c r="AI256" s="21" t="n"/>
      <c r="AJ256" s="21" t="n"/>
      <c r="AK256" s="20" t="n"/>
      <c r="AL256" s="77">
        <f>IFERROR(INDEX(MgAmenEfic,MATCH(SUBSTITUTE($H256,"*","-"),MgAmenClave,0)),0)</f>
        <v/>
      </c>
    </row>
    <row r="257" hidden="1" ht="45" customHeight="1" s="54">
      <c r="B257" s="59" t="inlineStr">
        <is>
          <t>R-0252</t>
        </is>
      </c>
      <c r="C257" s="59" t="inlineStr">
        <is>
          <t>DO-05</t>
        </is>
      </c>
      <c r="D257" s="64">
        <f>IFERROR(INDEX(MgNombre,MATCH($C257,MgActId,0)),"")</f>
        <v/>
      </c>
      <c r="E257" s="64">
        <f>IFERROR(INDEX(MgProceso,MATCH($C257,MgActId,0)),"")</f>
        <v/>
      </c>
      <c r="F257" s="64">
        <f>IFERROR(INDEX(MgTipo,MATCH($C257,MgActId,0)),"")</f>
        <v/>
      </c>
      <c r="G257" s="64">
        <f>IFERROR(INDEX(MgSubtipo,MATCH($C257,MgActId,0)),"")</f>
        <v/>
      </c>
      <c r="H257" s="59" t="inlineStr">
        <is>
          <t>E.24</t>
        </is>
      </c>
      <c r="I257" s="64">
        <f>IFERROR(INDEX(MgAmenNombre,MATCH(SUBSTITUTE($H257,"*","-"),MgAmenClave,0)),"")</f>
        <v/>
      </c>
      <c r="J257" s="28">
        <f>IFERROR(INDEX(MgAmenGrupo,MATCH(SUBSTITUTE($H257,"*","-"),MgAmenClave,0)),"")</f>
        <v/>
      </c>
      <c r="K257" s="64">
        <f>IFERROR(INDEX('1. Matriz de Activos'!$Q$6:$Q$239,MATCH($C257,MgActId,0)),"")</f>
        <v/>
      </c>
      <c r="L257" s="64">
        <f>IFERROR(INDEX('1. Matriz de Activos'!$R$6:$R$239,MATCH($C257,MgActId,0)),"")</f>
        <v/>
      </c>
      <c r="M257" s="64">
        <f>IFERROR(INDEX('1. Matriz de Activos'!$S$6:$S$239,MATCH($C257,MgActId,0)),"")</f>
        <v/>
      </c>
      <c r="N257" s="28">
        <f>IFERROR(INDEX(MgAmenDegD,MATCH(SUBSTITUTE($H257,"*","-"),MgAmenClave,0)),"No aplica")</f>
        <v/>
      </c>
      <c r="O257" s="28">
        <f>IFERROR(INDEX(MgAmenDegI,MATCH(SUBSTITUTE($H257,"*","-"),MgAmenClave,0)),"No aplica")</f>
        <v/>
      </c>
      <c r="P257" s="28">
        <f>IFERROR(INDEX(MgAmenDegC,MATCH(SUBSTITUTE($H257,"*","-"),MgAmenClave,0)),"No aplica")</f>
        <v/>
      </c>
      <c r="Q257" s="29">
        <f>IFERROR(VLOOKUP(K257,MgValor,2,0)*VLOOKUP(N257,MgDeg,2,0),0)</f>
        <v/>
      </c>
      <c r="R257" s="29">
        <f>IFERROR(VLOOKUP(L257,MgValor,2,0)*VLOOKUP(O257,MgDeg,2,0),0)</f>
        <v/>
      </c>
      <c r="S257" s="29">
        <f>IFERROR(VLOOKUP(M257,MgValor,2,0)*VLOOKUP(P257,MgDeg,2,0),0)</f>
        <v/>
      </c>
      <c r="T257" s="30">
        <f>MAX(Q257:S257)</f>
        <v/>
      </c>
      <c r="U257" s="28">
        <f>IFERROR(LOOKUP(T257,{0;0.5;1.5;3;4.5},{"Despreciable";"Bajo";"Medio";"Alto";"Muy alto"}),"")</f>
        <v/>
      </c>
      <c r="V257" s="13">
        <f>IFERROR(INDEX(MgAmenFrec,MATCH(SUBSTITUTE($H257,"*","-"),MgAmenClave,0)),"")</f>
        <v/>
      </c>
      <c r="W257" s="28">
        <f>IFERROR(LOOKUP(X257,{0;0.01;0.1;1;10;100},{"Muy baja";"Muy baja";"Baja";"Media";"Alta";"Muy alta"}),"")</f>
        <v/>
      </c>
      <c r="X257" s="31">
        <f>IFERROR(VLOOKUP(V257,MgFrec,2,0),0)</f>
        <v/>
      </c>
      <c r="Y257" s="30">
        <f>T257*X257</f>
        <v/>
      </c>
      <c r="Z257" s="28">
        <f>IFERROR(LOOKUP(Y257,{0;0.5;5;25},{"Bajo";"Medio";"Alto";"Crítico"}),"")</f>
        <v/>
      </c>
      <c r="AA257" s="64">
        <f>IF(T257&gt;=3,IF(X257&gt;=1,"Zona 1 — Crítica: impacto alto y ocurre al menos una vez al año","Zona 4 — Catastrófica poco probable: impacto alto pero excepcional"),IF(AND(T257&lt;1.5,X257&lt;1),"Zona 3 — Asumible: impacto bajo y muy poco frecuente","Zona 2 — Atención: riesgo intermedio"))</f>
        <v/>
      </c>
      <c r="AB257" s="64">
        <f>IFERROR(INDEX(MgAmenCtrl,MATCH(SUBSTITUTE($H257,"*","-"),MgAmenClave,0)),"")</f>
        <v/>
      </c>
      <c r="AC257" s="20" t="n"/>
      <c r="AD257" s="31">
        <f>IFERROR($X257*(1-IF($AC257="",$AL257,VLOOKUP($AC257,MgMad,2,0))),"")</f>
        <v/>
      </c>
      <c r="AE257" s="28">
        <f>IFERROR(LOOKUP(AD257,{0;0.01;0.1;1;10;100},{"Muy baja";"Muy baja";"Baja";"Media";"Alta";"Muy alta"}),"")</f>
        <v/>
      </c>
      <c r="AF257" s="30">
        <f>T257*AD257</f>
        <v/>
      </c>
      <c r="AG257" s="28">
        <f>IFERROR(LOOKUP(AF257,{0;0.5;5;25},{"Bajo";"Medio";"Alto";"Crítico"}),"")</f>
        <v/>
      </c>
      <c r="AH257" s="28">
        <f>IF(AG257="","",IF(OR(AG257="Crítico",AG257="Alto"),"Mitigar",IF(AG257="Medio","Mitigar","Aceptar y monitorear")))</f>
        <v/>
      </c>
      <c r="AI257" s="21" t="n"/>
      <c r="AJ257" s="21" t="n"/>
      <c r="AK257" s="20" t="n"/>
      <c r="AL257" s="77">
        <f>IFERROR(INDEX(MgAmenEfic,MATCH(SUBSTITUTE($H257,"*","-"),MgAmenClave,0)),0)</f>
        <v/>
      </c>
    </row>
    <row r="258" hidden="1" ht="75" customHeight="1" s="54">
      <c r="B258" s="59" t="inlineStr">
        <is>
          <t>R-0253</t>
        </is>
      </c>
      <c r="C258" s="59" t="inlineStr">
        <is>
          <t>DO-05</t>
        </is>
      </c>
      <c r="D258" s="64">
        <f>IFERROR(INDEX(MgNombre,MATCH($C258,MgActId,0)),"")</f>
        <v/>
      </c>
      <c r="E258" s="64">
        <f>IFERROR(INDEX(MgProceso,MATCH($C258,MgActId,0)),"")</f>
        <v/>
      </c>
      <c r="F258" s="64">
        <f>IFERROR(INDEX(MgTipo,MATCH($C258,MgActId,0)),"")</f>
        <v/>
      </c>
      <c r="G258" s="64">
        <f>IFERROR(INDEX(MgSubtipo,MATCH($C258,MgActId,0)),"")</f>
        <v/>
      </c>
      <c r="H258" s="59" t="inlineStr">
        <is>
          <t>A.5</t>
        </is>
      </c>
      <c r="I258" s="64">
        <f>IFERROR(INDEX(MgAmenNombre,MATCH(SUBSTITUTE($H258,"*","-"),MgAmenClave,0)),"")</f>
        <v/>
      </c>
      <c r="J258" s="28">
        <f>IFERROR(INDEX(MgAmenGrupo,MATCH(SUBSTITUTE($H258,"*","-"),MgAmenClave,0)),"")</f>
        <v/>
      </c>
      <c r="K258" s="64">
        <f>IFERROR(INDEX('1. Matriz de Activos'!$Q$6:$Q$239,MATCH($C258,MgActId,0)),"")</f>
        <v/>
      </c>
      <c r="L258" s="64">
        <f>IFERROR(INDEX('1. Matriz de Activos'!$R$6:$R$239,MATCH($C258,MgActId,0)),"")</f>
        <v/>
      </c>
      <c r="M258" s="64">
        <f>IFERROR(INDEX('1. Matriz de Activos'!$S$6:$S$239,MATCH($C258,MgActId,0)),"")</f>
        <v/>
      </c>
      <c r="N258" s="28">
        <f>IFERROR(INDEX(MgAmenDegD,MATCH(SUBSTITUTE($H258,"*","-"),MgAmenClave,0)),"No aplica")</f>
        <v/>
      </c>
      <c r="O258" s="28">
        <f>IFERROR(INDEX(MgAmenDegI,MATCH(SUBSTITUTE($H258,"*","-"),MgAmenClave,0)),"No aplica")</f>
        <v/>
      </c>
      <c r="P258" s="28">
        <f>IFERROR(INDEX(MgAmenDegC,MATCH(SUBSTITUTE($H258,"*","-"),MgAmenClave,0)),"No aplica")</f>
        <v/>
      </c>
      <c r="Q258" s="29">
        <f>IFERROR(VLOOKUP(K258,MgValor,2,0)*VLOOKUP(N258,MgDeg,2,0),0)</f>
        <v/>
      </c>
      <c r="R258" s="29">
        <f>IFERROR(VLOOKUP(L258,MgValor,2,0)*VLOOKUP(O258,MgDeg,2,0),0)</f>
        <v/>
      </c>
      <c r="S258" s="29">
        <f>IFERROR(VLOOKUP(M258,MgValor,2,0)*VLOOKUP(P258,MgDeg,2,0),0)</f>
        <v/>
      </c>
      <c r="T258" s="30">
        <f>MAX(Q258:S258)</f>
        <v/>
      </c>
      <c r="U258" s="28">
        <f>IFERROR(LOOKUP(T258,{0;0.5;1.5;3;4.5},{"Despreciable";"Bajo";"Medio";"Alto";"Muy alto"}),"")</f>
        <v/>
      </c>
      <c r="V258" s="13">
        <f>IFERROR(INDEX(MgAmenFrec,MATCH(SUBSTITUTE($H258,"*","-"),MgAmenClave,0)),"")</f>
        <v/>
      </c>
      <c r="W258" s="28">
        <f>IFERROR(LOOKUP(X258,{0;0.01;0.1;1;10;100},{"Muy baja";"Muy baja";"Baja";"Media";"Alta";"Muy alta"}),"")</f>
        <v/>
      </c>
      <c r="X258" s="31">
        <f>IFERROR(VLOOKUP(V258,MgFrec,2,0),0)</f>
        <v/>
      </c>
      <c r="Y258" s="30">
        <f>T258*X258</f>
        <v/>
      </c>
      <c r="Z258" s="28">
        <f>IFERROR(LOOKUP(Y258,{0;0.5;5;25},{"Bajo";"Medio";"Alto";"Crítico"}),"")</f>
        <v/>
      </c>
      <c r="AA258" s="64">
        <f>IF(T258&gt;=3,IF(X258&gt;=1,"Zona 1 — Crítica: impacto alto y ocurre al menos una vez al año","Zona 4 — Catastrófica poco probable: impacto alto pero excepcional"),IF(AND(T258&lt;1.5,X258&lt;1),"Zona 3 — Asumible: impacto bajo y muy poco frecuente","Zona 2 — Atención: riesgo intermedio"))</f>
        <v/>
      </c>
      <c r="AB258" s="64">
        <f>IFERROR(INDEX(MgAmenCtrl,MATCH(SUBSTITUTE($H258,"*","-"),MgAmenClave,0)),"")</f>
        <v/>
      </c>
      <c r="AC258" s="20" t="n"/>
      <c r="AD258" s="31">
        <f>IFERROR($X258*(1-IF($AC258="",$AL258,VLOOKUP($AC258,MgMad,2,0))),"")</f>
        <v/>
      </c>
      <c r="AE258" s="28">
        <f>IFERROR(LOOKUP(AD258,{0;0.01;0.1;1;10;100},{"Muy baja";"Muy baja";"Baja";"Media";"Alta";"Muy alta"}),"")</f>
        <v/>
      </c>
      <c r="AF258" s="30">
        <f>T258*AD258</f>
        <v/>
      </c>
      <c r="AG258" s="28">
        <f>IFERROR(LOOKUP(AF258,{0;0.5;5;25},{"Bajo";"Medio";"Alto";"Crítico"}),"")</f>
        <v/>
      </c>
      <c r="AH258" s="28">
        <f>IF(AG258="","",IF(OR(AG258="Crítico",AG258="Alto"),"Mitigar",IF(AG258="Medio","Mitigar","Aceptar y monitorear")))</f>
        <v/>
      </c>
      <c r="AI258" s="21" t="n"/>
      <c r="AJ258" s="21" t="n"/>
      <c r="AK258" s="20" t="n"/>
      <c r="AL258" s="77">
        <f>IFERROR(INDEX(MgAmenEfic,MATCH(SUBSTITUTE($H258,"*","-"),MgAmenClave,0)),0)</f>
        <v/>
      </c>
    </row>
    <row r="259" hidden="1" ht="105" customHeight="1" s="54">
      <c r="B259" s="59" t="inlineStr">
        <is>
          <t>R-0254</t>
        </is>
      </c>
      <c r="C259" s="59" t="inlineStr">
        <is>
          <t>DO-05</t>
        </is>
      </c>
      <c r="D259" s="64">
        <f>IFERROR(INDEX(MgNombre,MATCH($C259,MgActId,0)),"")</f>
        <v/>
      </c>
      <c r="E259" s="64">
        <f>IFERROR(INDEX(MgProceso,MATCH($C259,MgActId,0)),"")</f>
        <v/>
      </c>
      <c r="F259" s="64">
        <f>IFERROR(INDEX(MgTipo,MATCH($C259,MgActId,0)),"")</f>
        <v/>
      </c>
      <c r="G259" s="64">
        <f>IFERROR(INDEX(MgSubtipo,MATCH($C259,MgActId,0)),"")</f>
        <v/>
      </c>
      <c r="H259" s="59" t="inlineStr">
        <is>
          <t>A.6</t>
        </is>
      </c>
      <c r="I259" s="64">
        <f>IFERROR(INDEX(MgAmenNombre,MATCH(SUBSTITUTE($H259,"*","-"),MgAmenClave,0)),"")</f>
        <v/>
      </c>
      <c r="J259" s="28">
        <f>IFERROR(INDEX(MgAmenGrupo,MATCH(SUBSTITUTE($H259,"*","-"),MgAmenClave,0)),"")</f>
        <v/>
      </c>
      <c r="K259" s="64">
        <f>IFERROR(INDEX('1. Matriz de Activos'!$Q$6:$Q$239,MATCH($C259,MgActId,0)),"")</f>
        <v/>
      </c>
      <c r="L259" s="64">
        <f>IFERROR(INDEX('1. Matriz de Activos'!$R$6:$R$239,MATCH($C259,MgActId,0)),"")</f>
        <v/>
      </c>
      <c r="M259" s="64">
        <f>IFERROR(INDEX('1. Matriz de Activos'!$S$6:$S$239,MATCH($C259,MgActId,0)),"")</f>
        <v/>
      </c>
      <c r="N259" s="28">
        <f>IFERROR(INDEX(MgAmenDegD,MATCH(SUBSTITUTE($H259,"*","-"),MgAmenClave,0)),"No aplica")</f>
        <v/>
      </c>
      <c r="O259" s="28">
        <f>IFERROR(INDEX(MgAmenDegI,MATCH(SUBSTITUTE($H259,"*","-"),MgAmenClave,0)),"No aplica")</f>
        <v/>
      </c>
      <c r="P259" s="28">
        <f>IFERROR(INDEX(MgAmenDegC,MATCH(SUBSTITUTE($H259,"*","-"),MgAmenClave,0)),"No aplica")</f>
        <v/>
      </c>
      <c r="Q259" s="29">
        <f>IFERROR(VLOOKUP(K259,MgValor,2,0)*VLOOKUP(N259,MgDeg,2,0),0)</f>
        <v/>
      </c>
      <c r="R259" s="29">
        <f>IFERROR(VLOOKUP(L259,MgValor,2,0)*VLOOKUP(O259,MgDeg,2,0),0)</f>
        <v/>
      </c>
      <c r="S259" s="29">
        <f>IFERROR(VLOOKUP(M259,MgValor,2,0)*VLOOKUP(P259,MgDeg,2,0),0)</f>
        <v/>
      </c>
      <c r="T259" s="30">
        <f>MAX(Q259:S259)</f>
        <v/>
      </c>
      <c r="U259" s="28">
        <f>IFERROR(LOOKUP(T259,{0;0.5;1.5;3;4.5},{"Despreciable";"Bajo";"Medio";"Alto";"Muy alto"}),"")</f>
        <v/>
      </c>
      <c r="V259" s="13">
        <f>IFERROR(INDEX(MgAmenFrec,MATCH(SUBSTITUTE($H259,"*","-"),MgAmenClave,0)),"")</f>
        <v/>
      </c>
      <c r="W259" s="28">
        <f>IFERROR(LOOKUP(X259,{0;0.01;0.1;1;10;100},{"Muy baja";"Muy baja";"Baja";"Media";"Alta";"Muy alta"}),"")</f>
        <v/>
      </c>
      <c r="X259" s="31">
        <f>IFERROR(VLOOKUP(V259,MgFrec,2,0),0)</f>
        <v/>
      </c>
      <c r="Y259" s="30">
        <f>T259*X259</f>
        <v/>
      </c>
      <c r="Z259" s="28">
        <f>IFERROR(LOOKUP(Y259,{0;0.5;5;25},{"Bajo";"Medio";"Alto";"Crítico"}),"")</f>
        <v/>
      </c>
      <c r="AA259" s="64">
        <f>IF(T259&gt;=3,IF(X259&gt;=1,"Zona 1 — Crítica: impacto alto y ocurre al menos una vez al año","Zona 4 — Catastrófica poco probable: impacto alto pero excepcional"),IF(AND(T259&lt;1.5,X259&lt;1),"Zona 3 — Asumible: impacto bajo y muy poco frecuente","Zona 2 — Atención: riesgo intermedio"))</f>
        <v/>
      </c>
      <c r="AB259" s="64">
        <f>IFERROR(INDEX(MgAmenCtrl,MATCH(SUBSTITUTE($H259,"*","-"),MgAmenClave,0)),"")</f>
        <v/>
      </c>
      <c r="AC259" s="20" t="n"/>
      <c r="AD259" s="31">
        <f>IFERROR($X259*(1-IF($AC259="",$AL259,VLOOKUP($AC259,MgMad,2,0))),"")</f>
        <v/>
      </c>
      <c r="AE259" s="28">
        <f>IFERROR(LOOKUP(AD259,{0;0.01;0.1;1;10;100},{"Muy baja";"Muy baja";"Baja";"Media";"Alta";"Muy alta"}),"")</f>
        <v/>
      </c>
      <c r="AF259" s="30">
        <f>T259*AD259</f>
        <v/>
      </c>
      <c r="AG259" s="28">
        <f>IFERROR(LOOKUP(AF259,{0;0.5;5;25},{"Bajo";"Medio";"Alto";"Crítico"}),"")</f>
        <v/>
      </c>
      <c r="AH259" s="28">
        <f>IF(AG259="","",IF(OR(AG259="Crítico",AG259="Alto"),"Mitigar",IF(AG259="Medio","Mitigar","Aceptar y monitorear")))</f>
        <v/>
      </c>
      <c r="AI259" s="21" t="n"/>
      <c r="AJ259" s="21" t="n"/>
      <c r="AK259" s="20" t="n"/>
      <c r="AL259" s="77">
        <f>IFERROR(INDEX(MgAmenEfic,MATCH(SUBSTITUTE($H259,"*","-"),MgAmenClave,0)),0)</f>
        <v/>
      </c>
    </row>
    <row r="260" hidden="1" ht="60" customHeight="1" s="54">
      <c r="B260" s="59" t="inlineStr">
        <is>
          <t>R-0255</t>
        </is>
      </c>
      <c r="C260" s="59" t="inlineStr">
        <is>
          <t>DO-05</t>
        </is>
      </c>
      <c r="D260" s="64">
        <f>IFERROR(INDEX(MgNombre,MATCH($C260,MgActId,0)),"")</f>
        <v/>
      </c>
      <c r="E260" s="64">
        <f>IFERROR(INDEX(MgProceso,MATCH($C260,MgActId,0)),"")</f>
        <v/>
      </c>
      <c r="F260" s="64">
        <f>IFERROR(INDEX(MgTipo,MATCH($C260,MgActId,0)),"")</f>
        <v/>
      </c>
      <c r="G260" s="64">
        <f>IFERROR(INDEX(MgSubtipo,MATCH($C260,MgActId,0)),"")</f>
        <v/>
      </c>
      <c r="H260" s="59" t="inlineStr">
        <is>
          <t>A.7</t>
        </is>
      </c>
      <c r="I260" s="64">
        <f>IFERROR(INDEX(MgAmenNombre,MATCH(SUBSTITUTE($H260,"*","-"),MgAmenClave,0)),"")</f>
        <v/>
      </c>
      <c r="J260" s="28">
        <f>IFERROR(INDEX(MgAmenGrupo,MATCH(SUBSTITUTE($H260,"*","-"),MgAmenClave,0)),"")</f>
        <v/>
      </c>
      <c r="K260" s="64">
        <f>IFERROR(INDEX('1. Matriz de Activos'!$Q$6:$Q$239,MATCH($C260,MgActId,0)),"")</f>
        <v/>
      </c>
      <c r="L260" s="64">
        <f>IFERROR(INDEX('1. Matriz de Activos'!$R$6:$R$239,MATCH($C260,MgActId,0)),"")</f>
        <v/>
      </c>
      <c r="M260" s="64">
        <f>IFERROR(INDEX('1. Matriz de Activos'!$S$6:$S$239,MATCH($C260,MgActId,0)),"")</f>
        <v/>
      </c>
      <c r="N260" s="28">
        <f>IFERROR(INDEX(MgAmenDegD,MATCH(SUBSTITUTE($H260,"*","-"),MgAmenClave,0)),"No aplica")</f>
        <v/>
      </c>
      <c r="O260" s="28">
        <f>IFERROR(INDEX(MgAmenDegI,MATCH(SUBSTITUTE($H260,"*","-"),MgAmenClave,0)),"No aplica")</f>
        <v/>
      </c>
      <c r="P260" s="28">
        <f>IFERROR(INDEX(MgAmenDegC,MATCH(SUBSTITUTE($H260,"*","-"),MgAmenClave,0)),"No aplica")</f>
        <v/>
      </c>
      <c r="Q260" s="29">
        <f>IFERROR(VLOOKUP(K260,MgValor,2,0)*VLOOKUP(N260,MgDeg,2,0),0)</f>
        <v/>
      </c>
      <c r="R260" s="29">
        <f>IFERROR(VLOOKUP(L260,MgValor,2,0)*VLOOKUP(O260,MgDeg,2,0),0)</f>
        <v/>
      </c>
      <c r="S260" s="29">
        <f>IFERROR(VLOOKUP(M260,MgValor,2,0)*VLOOKUP(P260,MgDeg,2,0),0)</f>
        <v/>
      </c>
      <c r="T260" s="30">
        <f>MAX(Q260:S260)</f>
        <v/>
      </c>
      <c r="U260" s="28">
        <f>IFERROR(LOOKUP(T260,{0;0.5;1.5;3;4.5},{"Despreciable";"Bajo";"Medio";"Alto";"Muy alto"}),"")</f>
        <v/>
      </c>
      <c r="V260" s="13">
        <f>IFERROR(INDEX(MgAmenFrec,MATCH(SUBSTITUTE($H260,"*","-"),MgAmenClave,0)),"")</f>
        <v/>
      </c>
      <c r="W260" s="28">
        <f>IFERROR(LOOKUP(X260,{0;0.01;0.1;1;10;100},{"Muy baja";"Muy baja";"Baja";"Media";"Alta";"Muy alta"}),"")</f>
        <v/>
      </c>
      <c r="X260" s="31">
        <f>IFERROR(VLOOKUP(V260,MgFrec,2,0),0)</f>
        <v/>
      </c>
      <c r="Y260" s="30">
        <f>T260*X260</f>
        <v/>
      </c>
      <c r="Z260" s="28">
        <f>IFERROR(LOOKUP(Y260,{0;0.5;5;25},{"Bajo";"Medio";"Alto";"Crítico"}),"")</f>
        <v/>
      </c>
      <c r="AA260" s="64">
        <f>IF(T260&gt;=3,IF(X260&gt;=1,"Zona 1 — Crítica: impacto alto y ocurre al menos una vez al año","Zona 4 — Catastrófica poco probable: impacto alto pero excepcional"),IF(AND(T260&lt;1.5,X260&lt;1),"Zona 3 — Asumible: impacto bajo y muy poco frecuente","Zona 2 — Atención: riesgo intermedio"))</f>
        <v/>
      </c>
      <c r="AB260" s="64">
        <f>IFERROR(INDEX(MgAmenCtrl,MATCH(SUBSTITUTE($H260,"*","-"),MgAmenClave,0)),"")</f>
        <v/>
      </c>
      <c r="AC260" s="20" t="n"/>
      <c r="AD260" s="31">
        <f>IFERROR($X260*(1-IF($AC260="",$AL260,VLOOKUP($AC260,MgMad,2,0))),"")</f>
        <v/>
      </c>
      <c r="AE260" s="28">
        <f>IFERROR(LOOKUP(AD260,{0;0.01;0.1;1;10;100},{"Muy baja";"Muy baja";"Baja";"Media";"Alta";"Muy alta"}),"")</f>
        <v/>
      </c>
      <c r="AF260" s="30">
        <f>T260*AD260</f>
        <v/>
      </c>
      <c r="AG260" s="28">
        <f>IFERROR(LOOKUP(AF260,{0;0.5;5;25},{"Bajo";"Medio";"Alto";"Crítico"}),"")</f>
        <v/>
      </c>
      <c r="AH260" s="28">
        <f>IF(AG260="","",IF(OR(AG260="Crítico",AG260="Alto"),"Mitigar",IF(AG260="Medio","Mitigar","Aceptar y monitorear")))</f>
        <v/>
      </c>
      <c r="AI260" s="21" t="n"/>
      <c r="AJ260" s="21" t="n"/>
      <c r="AK260" s="20" t="n"/>
      <c r="AL260" s="77">
        <f>IFERROR(INDEX(MgAmenEfic,MATCH(SUBSTITUTE($H260,"*","-"),MgAmenClave,0)),0)</f>
        <v/>
      </c>
    </row>
    <row r="261" hidden="1" ht="60" customHeight="1" s="54">
      <c r="B261" s="59" t="inlineStr">
        <is>
          <t>R-0256</t>
        </is>
      </c>
      <c r="C261" s="59" t="inlineStr">
        <is>
          <t>DO-05</t>
        </is>
      </c>
      <c r="D261" s="64">
        <f>IFERROR(INDEX(MgNombre,MATCH($C261,MgActId,0)),"")</f>
        <v/>
      </c>
      <c r="E261" s="64">
        <f>IFERROR(INDEX(MgProceso,MATCH($C261,MgActId,0)),"")</f>
        <v/>
      </c>
      <c r="F261" s="64">
        <f>IFERROR(INDEX(MgTipo,MATCH($C261,MgActId,0)),"")</f>
        <v/>
      </c>
      <c r="G261" s="64">
        <f>IFERROR(INDEX(MgSubtipo,MATCH($C261,MgActId,0)),"")</f>
        <v/>
      </c>
      <c r="H261" s="59" t="inlineStr">
        <is>
          <t>A.9</t>
        </is>
      </c>
      <c r="I261" s="64">
        <f>IFERROR(INDEX(MgAmenNombre,MATCH(SUBSTITUTE($H261,"*","-"),MgAmenClave,0)),"")</f>
        <v/>
      </c>
      <c r="J261" s="28">
        <f>IFERROR(INDEX(MgAmenGrupo,MATCH(SUBSTITUTE($H261,"*","-"),MgAmenClave,0)),"")</f>
        <v/>
      </c>
      <c r="K261" s="64">
        <f>IFERROR(INDEX('1. Matriz de Activos'!$Q$6:$Q$239,MATCH($C261,MgActId,0)),"")</f>
        <v/>
      </c>
      <c r="L261" s="64">
        <f>IFERROR(INDEX('1. Matriz de Activos'!$R$6:$R$239,MATCH($C261,MgActId,0)),"")</f>
        <v/>
      </c>
      <c r="M261" s="64">
        <f>IFERROR(INDEX('1. Matriz de Activos'!$S$6:$S$239,MATCH($C261,MgActId,0)),"")</f>
        <v/>
      </c>
      <c r="N261" s="28">
        <f>IFERROR(INDEX(MgAmenDegD,MATCH(SUBSTITUTE($H261,"*","-"),MgAmenClave,0)),"No aplica")</f>
        <v/>
      </c>
      <c r="O261" s="28">
        <f>IFERROR(INDEX(MgAmenDegI,MATCH(SUBSTITUTE($H261,"*","-"),MgAmenClave,0)),"No aplica")</f>
        <v/>
      </c>
      <c r="P261" s="28">
        <f>IFERROR(INDEX(MgAmenDegC,MATCH(SUBSTITUTE($H261,"*","-"),MgAmenClave,0)),"No aplica")</f>
        <v/>
      </c>
      <c r="Q261" s="29">
        <f>IFERROR(VLOOKUP(K261,MgValor,2,0)*VLOOKUP(N261,MgDeg,2,0),0)</f>
        <v/>
      </c>
      <c r="R261" s="29">
        <f>IFERROR(VLOOKUP(L261,MgValor,2,0)*VLOOKUP(O261,MgDeg,2,0),0)</f>
        <v/>
      </c>
      <c r="S261" s="29">
        <f>IFERROR(VLOOKUP(M261,MgValor,2,0)*VLOOKUP(P261,MgDeg,2,0),0)</f>
        <v/>
      </c>
      <c r="T261" s="30">
        <f>MAX(Q261:S261)</f>
        <v/>
      </c>
      <c r="U261" s="28">
        <f>IFERROR(LOOKUP(T261,{0;0.5;1.5;3;4.5},{"Despreciable";"Bajo";"Medio";"Alto";"Muy alto"}),"")</f>
        <v/>
      </c>
      <c r="V261" s="13">
        <f>IFERROR(INDEX(MgAmenFrec,MATCH(SUBSTITUTE($H261,"*","-"),MgAmenClave,0)),"")</f>
        <v/>
      </c>
      <c r="W261" s="28">
        <f>IFERROR(LOOKUP(X261,{0;0.01;0.1;1;10;100},{"Muy baja";"Muy baja";"Baja";"Media";"Alta";"Muy alta"}),"")</f>
        <v/>
      </c>
      <c r="X261" s="31">
        <f>IFERROR(VLOOKUP(V261,MgFrec,2,0),0)</f>
        <v/>
      </c>
      <c r="Y261" s="30">
        <f>T261*X261</f>
        <v/>
      </c>
      <c r="Z261" s="28">
        <f>IFERROR(LOOKUP(Y261,{0;0.5;5;25},{"Bajo";"Medio";"Alto";"Crítico"}),"")</f>
        <v/>
      </c>
      <c r="AA261" s="64">
        <f>IF(T261&gt;=3,IF(X261&gt;=1,"Zona 1 — Crítica: impacto alto y ocurre al menos una vez al año","Zona 4 — Catastrófica poco probable: impacto alto pero excepcional"),IF(AND(T261&lt;1.5,X261&lt;1),"Zona 3 — Asumible: impacto bajo y muy poco frecuente","Zona 2 — Atención: riesgo intermedio"))</f>
        <v/>
      </c>
      <c r="AB261" s="64">
        <f>IFERROR(INDEX(MgAmenCtrl,MATCH(SUBSTITUTE($H261,"*","-"),MgAmenClave,0)),"")</f>
        <v/>
      </c>
      <c r="AC261" s="20" t="n"/>
      <c r="AD261" s="31">
        <f>IFERROR($X261*(1-IF($AC261="",$AL261,VLOOKUP($AC261,MgMad,2,0))),"")</f>
        <v/>
      </c>
      <c r="AE261" s="28">
        <f>IFERROR(LOOKUP(AD261,{0;0.01;0.1;1;10;100},{"Muy baja";"Muy baja";"Baja";"Media";"Alta";"Muy alta"}),"")</f>
        <v/>
      </c>
      <c r="AF261" s="30">
        <f>T261*AD261</f>
        <v/>
      </c>
      <c r="AG261" s="28">
        <f>IFERROR(LOOKUP(AF261,{0;0.5;5;25},{"Bajo";"Medio";"Alto";"Crítico"}),"")</f>
        <v/>
      </c>
      <c r="AH261" s="28">
        <f>IF(AG261="","",IF(OR(AG261="Crítico",AG261="Alto"),"Mitigar",IF(AG261="Medio","Mitigar","Aceptar y monitorear")))</f>
        <v/>
      </c>
      <c r="AI261" s="21" t="n"/>
      <c r="AJ261" s="21" t="n"/>
      <c r="AK261" s="20" t="n"/>
      <c r="AL261" s="77">
        <f>IFERROR(INDEX(MgAmenEfic,MATCH(SUBSTITUTE($H261,"*","-"),MgAmenClave,0)),0)</f>
        <v/>
      </c>
    </row>
    <row r="262" hidden="1" ht="45" customHeight="1" s="54">
      <c r="B262" s="59" t="inlineStr">
        <is>
          <t>R-0257</t>
        </is>
      </c>
      <c r="C262" s="59" t="inlineStr">
        <is>
          <t>DO-05</t>
        </is>
      </c>
      <c r="D262" s="64">
        <f>IFERROR(INDEX(MgNombre,MATCH($C262,MgActId,0)),"")</f>
        <v/>
      </c>
      <c r="E262" s="64">
        <f>IFERROR(INDEX(MgProceso,MATCH($C262,MgActId,0)),"")</f>
        <v/>
      </c>
      <c r="F262" s="64">
        <f>IFERROR(INDEX(MgTipo,MATCH($C262,MgActId,0)),"")</f>
        <v/>
      </c>
      <c r="G262" s="64">
        <f>IFERROR(INDEX(MgSubtipo,MATCH($C262,MgActId,0)),"")</f>
        <v/>
      </c>
      <c r="H262" s="59" t="inlineStr">
        <is>
          <t>A.10</t>
        </is>
      </c>
      <c r="I262" s="64">
        <f>IFERROR(INDEX(MgAmenNombre,MATCH(SUBSTITUTE($H262,"*","-"),MgAmenClave,0)),"")</f>
        <v/>
      </c>
      <c r="J262" s="28">
        <f>IFERROR(INDEX(MgAmenGrupo,MATCH(SUBSTITUTE($H262,"*","-"),MgAmenClave,0)),"")</f>
        <v/>
      </c>
      <c r="K262" s="64">
        <f>IFERROR(INDEX('1. Matriz de Activos'!$Q$6:$Q$239,MATCH($C262,MgActId,0)),"")</f>
        <v/>
      </c>
      <c r="L262" s="64">
        <f>IFERROR(INDEX('1. Matriz de Activos'!$R$6:$R$239,MATCH($C262,MgActId,0)),"")</f>
        <v/>
      </c>
      <c r="M262" s="64">
        <f>IFERROR(INDEX('1. Matriz de Activos'!$S$6:$S$239,MATCH($C262,MgActId,0)),"")</f>
        <v/>
      </c>
      <c r="N262" s="28">
        <f>IFERROR(INDEX(MgAmenDegD,MATCH(SUBSTITUTE($H262,"*","-"),MgAmenClave,0)),"No aplica")</f>
        <v/>
      </c>
      <c r="O262" s="28">
        <f>IFERROR(INDEX(MgAmenDegI,MATCH(SUBSTITUTE($H262,"*","-"),MgAmenClave,0)),"No aplica")</f>
        <v/>
      </c>
      <c r="P262" s="28">
        <f>IFERROR(INDEX(MgAmenDegC,MATCH(SUBSTITUTE($H262,"*","-"),MgAmenClave,0)),"No aplica")</f>
        <v/>
      </c>
      <c r="Q262" s="29">
        <f>IFERROR(VLOOKUP(K262,MgValor,2,0)*VLOOKUP(N262,MgDeg,2,0),0)</f>
        <v/>
      </c>
      <c r="R262" s="29">
        <f>IFERROR(VLOOKUP(L262,MgValor,2,0)*VLOOKUP(O262,MgDeg,2,0),0)</f>
        <v/>
      </c>
      <c r="S262" s="29">
        <f>IFERROR(VLOOKUP(M262,MgValor,2,0)*VLOOKUP(P262,MgDeg,2,0),0)</f>
        <v/>
      </c>
      <c r="T262" s="30">
        <f>MAX(Q262:S262)</f>
        <v/>
      </c>
      <c r="U262" s="28">
        <f>IFERROR(LOOKUP(T262,{0;0.5;1.5;3;4.5},{"Despreciable";"Bajo";"Medio";"Alto";"Muy alto"}),"")</f>
        <v/>
      </c>
      <c r="V262" s="13">
        <f>IFERROR(INDEX(MgAmenFrec,MATCH(SUBSTITUTE($H262,"*","-"),MgAmenClave,0)),"")</f>
        <v/>
      </c>
      <c r="W262" s="28">
        <f>IFERROR(LOOKUP(X262,{0;0.01;0.1;1;10;100},{"Muy baja";"Muy baja";"Baja";"Media";"Alta";"Muy alta"}),"")</f>
        <v/>
      </c>
      <c r="X262" s="31">
        <f>IFERROR(VLOOKUP(V262,MgFrec,2,0),0)</f>
        <v/>
      </c>
      <c r="Y262" s="30">
        <f>T262*X262</f>
        <v/>
      </c>
      <c r="Z262" s="28">
        <f>IFERROR(LOOKUP(Y262,{0;0.5;5;25},{"Bajo";"Medio";"Alto";"Crítico"}),"")</f>
        <v/>
      </c>
      <c r="AA262" s="64">
        <f>IF(T262&gt;=3,IF(X262&gt;=1,"Zona 1 — Crítica: impacto alto y ocurre al menos una vez al año","Zona 4 — Catastrófica poco probable: impacto alto pero excepcional"),IF(AND(T262&lt;1.5,X262&lt;1),"Zona 3 — Asumible: impacto bajo y muy poco frecuente","Zona 2 — Atención: riesgo intermedio"))</f>
        <v/>
      </c>
      <c r="AB262" s="64">
        <f>IFERROR(INDEX(MgAmenCtrl,MATCH(SUBSTITUTE($H262,"*","-"),MgAmenClave,0)),"")</f>
        <v/>
      </c>
      <c r="AC262" s="20" t="n"/>
      <c r="AD262" s="31">
        <f>IFERROR($X262*(1-IF($AC262="",$AL262,VLOOKUP($AC262,MgMad,2,0))),"")</f>
        <v/>
      </c>
      <c r="AE262" s="28">
        <f>IFERROR(LOOKUP(AD262,{0;0.01;0.1;1;10;100},{"Muy baja";"Muy baja";"Baja";"Media";"Alta";"Muy alta"}),"")</f>
        <v/>
      </c>
      <c r="AF262" s="30">
        <f>T262*AD262</f>
        <v/>
      </c>
      <c r="AG262" s="28">
        <f>IFERROR(LOOKUP(AF262,{0;0.5;5;25},{"Bajo";"Medio";"Alto";"Crítico"}),"")</f>
        <v/>
      </c>
      <c r="AH262" s="28">
        <f>IF(AG262="","",IF(OR(AG262="Crítico",AG262="Alto"),"Mitigar",IF(AG262="Medio","Mitigar","Aceptar y monitorear")))</f>
        <v/>
      </c>
      <c r="AI262" s="21" t="n"/>
      <c r="AJ262" s="21" t="n"/>
      <c r="AK262" s="20" t="n"/>
      <c r="AL262" s="77">
        <f>IFERROR(INDEX(MgAmenEfic,MATCH(SUBSTITUTE($H262,"*","-"),MgAmenClave,0)),0)</f>
        <v/>
      </c>
    </row>
    <row r="263" hidden="1" ht="120" customHeight="1" s="54">
      <c r="B263" s="59" t="inlineStr">
        <is>
          <t>R-0258</t>
        </is>
      </c>
      <c r="C263" s="59" t="inlineStr">
        <is>
          <t>DO-05</t>
        </is>
      </c>
      <c r="D263" s="64">
        <f>IFERROR(INDEX(MgNombre,MATCH($C263,MgActId,0)),"")</f>
        <v/>
      </c>
      <c r="E263" s="64">
        <f>IFERROR(INDEX(MgProceso,MATCH($C263,MgActId,0)),"")</f>
        <v/>
      </c>
      <c r="F263" s="64">
        <f>IFERROR(INDEX(MgTipo,MATCH($C263,MgActId,0)),"")</f>
        <v/>
      </c>
      <c r="G263" s="64">
        <f>IFERROR(INDEX(MgSubtipo,MATCH($C263,MgActId,0)),"")</f>
        <v/>
      </c>
      <c r="H263" s="59" t="inlineStr">
        <is>
          <t>A.11</t>
        </is>
      </c>
      <c r="I263" s="64">
        <f>IFERROR(INDEX(MgAmenNombre,MATCH(SUBSTITUTE($H263,"*","-"),MgAmenClave,0)),"")</f>
        <v/>
      </c>
      <c r="J263" s="28">
        <f>IFERROR(INDEX(MgAmenGrupo,MATCH(SUBSTITUTE($H263,"*","-"),MgAmenClave,0)),"")</f>
        <v/>
      </c>
      <c r="K263" s="64">
        <f>IFERROR(INDEX('1. Matriz de Activos'!$Q$6:$Q$239,MATCH($C263,MgActId,0)),"")</f>
        <v/>
      </c>
      <c r="L263" s="64">
        <f>IFERROR(INDEX('1. Matriz de Activos'!$R$6:$R$239,MATCH($C263,MgActId,0)),"")</f>
        <v/>
      </c>
      <c r="M263" s="64">
        <f>IFERROR(INDEX('1. Matriz de Activos'!$S$6:$S$239,MATCH($C263,MgActId,0)),"")</f>
        <v/>
      </c>
      <c r="N263" s="28">
        <f>IFERROR(INDEX(MgAmenDegD,MATCH(SUBSTITUTE($H263,"*","-"),MgAmenClave,0)),"No aplica")</f>
        <v/>
      </c>
      <c r="O263" s="28">
        <f>IFERROR(INDEX(MgAmenDegI,MATCH(SUBSTITUTE($H263,"*","-"),MgAmenClave,0)),"No aplica")</f>
        <v/>
      </c>
      <c r="P263" s="28">
        <f>IFERROR(INDEX(MgAmenDegC,MATCH(SUBSTITUTE($H263,"*","-"),MgAmenClave,0)),"No aplica")</f>
        <v/>
      </c>
      <c r="Q263" s="29">
        <f>IFERROR(VLOOKUP(K263,MgValor,2,0)*VLOOKUP(N263,MgDeg,2,0),0)</f>
        <v/>
      </c>
      <c r="R263" s="29">
        <f>IFERROR(VLOOKUP(L263,MgValor,2,0)*VLOOKUP(O263,MgDeg,2,0),0)</f>
        <v/>
      </c>
      <c r="S263" s="29">
        <f>IFERROR(VLOOKUP(M263,MgValor,2,0)*VLOOKUP(P263,MgDeg,2,0),0)</f>
        <v/>
      </c>
      <c r="T263" s="30">
        <f>MAX(Q263:S263)</f>
        <v/>
      </c>
      <c r="U263" s="28">
        <f>IFERROR(LOOKUP(T263,{0;0.5;1.5;3;4.5},{"Despreciable";"Bajo";"Medio";"Alto";"Muy alto"}),"")</f>
        <v/>
      </c>
      <c r="V263" s="13">
        <f>IFERROR(INDEX(MgAmenFrec,MATCH(SUBSTITUTE($H263,"*","-"),MgAmenClave,0)),"")</f>
        <v/>
      </c>
      <c r="W263" s="28">
        <f>IFERROR(LOOKUP(X263,{0;0.01;0.1;1;10;100},{"Muy baja";"Muy baja";"Baja";"Media";"Alta";"Muy alta"}),"")</f>
        <v/>
      </c>
      <c r="X263" s="31">
        <f>IFERROR(VLOOKUP(V263,MgFrec,2,0),0)</f>
        <v/>
      </c>
      <c r="Y263" s="30">
        <f>T263*X263</f>
        <v/>
      </c>
      <c r="Z263" s="28">
        <f>IFERROR(LOOKUP(Y263,{0;0.5;5;25},{"Bajo";"Medio";"Alto";"Crítico"}),"")</f>
        <v/>
      </c>
      <c r="AA263" s="64">
        <f>IF(T263&gt;=3,IF(X263&gt;=1,"Zona 1 — Crítica: impacto alto y ocurre al menos una vez al año","Zona 4 — Catastrófica poco probable: impacto alto pero excepcional"),IF(AND(T263&lt;1.5,X263&lt;1),"Zona 3 — Asumible: impacto bajo y muy poco frecuente","Zona 2 — Atención: riesgo intermedio"))</f>
        <v/>
      </c>
      <c r="AB263" s="64">
        <f>IFERROR(INDEX(MgAmenCtrl,MATCH(SUBSTITUTE($H263,"*","-"),MgAmenClave,0)),"")</f>
        <v/>
      </c>
      <c r="AC263" s="20" t="n"/>
      <c r="AD263" s="31">
        <f>IFERROR($X263*(1-IF($AC263="",$AL263,VLOOKUP($AC263,MgMad,2,0))),"")</f>
        <v/>
      </c>
      <c r="AE263" s="28">
        <f>IFERROR(LOOKUP(AD263,{0;0.01;0.1;1;10;100},{"Muy baja";"Muy baja";"Baja";"Media";"Alta";"Muy alta"}),"")</f>
        <v/>
      </c>
      <c r="AF263" s="30">
        <f>T263*AD263</f>
        <v/>
      </c>
      <c r="AG263" s="28">
        <f>IFERROR(LOOKUP(AF263,{0;0.5;5;25},{"Bajo";"Medio";"Alto";"Crítico"}),"")</f>
        <v/>
      </c>
      <c r="AH263" s="28">
        <f>IF(AG263="","",IF(OR(AG263="Crítico",AG263="Alto"),"Mitigar",IF(AG263="Medio","Mitigar","Aceptar y monitorear")))</f>
        <v/>
      </c>
      <c r="AI263" s="21" t="n"/>
      <c r="AJ263" s="21" t="n"/>
      <c r="AK263" s="20" t="n"/>
      <c r="AL263" s="77">
        <f>IFERROR(INDEX(MgAmenEfic,MATCH(SUBSTITUTE($H263,"*","-"),MgAmenClave,0)),0)</f>
        <v/>
      </c>
    </row>
    <row r="264" hidden="1" ht="45" customHeight="1" s="54">
      <c r="B264" s="59" t="inlineStr">
        <is>
          <t>R-0259</t>
        </is>
      </c>
      <c r="C264" s="59" t="inlineStr">
        <is>
          <t>DO-05</t>
        </is>
      </c>
      <c r="D264" s="64">
        <f>IFERROR(INDEX(MgNombre,MATCH($C264,MgActId,0)),"")</f>
        <v/>
      </c>
      <c r="E264" s="64">
        <f>IFERROR(INDEX(MgProceso,MATCH($C264,MgActId,0)),"")</f>
        <v/>
      </c>
      <c r="F264" s="64">
        <f>IFERROR(INDEX(MgTipo,MATCH($C264,MgActId,0)),"")</f>
        <v/>
      </c>
      <c r="G264" s="64">
        <f>IFERROR(INDEX(MgSubtipo,MATCH($C264,MgActId,0)),"")</f>
        <v/>
      </c>
      <c r="H264" s="59" t="inlineStr">
        <is>
          <t>A.12</t>
        </is>
      </c>
      <c r="I264" s="64">
        <f>IFERROR(INDEX(MgAmenNombre,MATCH(SUBSTITUTE($H264,"*","-"),MgAmenClave,0)),"")</f>
        <v/>
      </c>
      <c r="J264" s="28">
        <f>IFERROR(INDEX(MgAmenGrupo,MATCH(SUBSTITUTE($H264,"*","-"),MgAmenClave,0)),"")</f>
        <v/>
      </c>
      <c r="K264" s="64">
        <f>IFERROR(INDEX('1. Matriz de Activos'!$Q$6:$Q$239,MATCH($C264,MgActId,0)),"")</f>
        <v/>
      </c>
      <c r="L264" s="64">
        <f>IFERROR(INDEX('1. Matriz de Activos'!$R$6:$R$239,MATCH($C264,MgActId,0)),"")</f>
        <v/>
      </c>
      <c r="M264" s="64">
        <f>IFERROR(INDEX('1. Matriz de Activos'!$S$6:$S$239,MATCH($C264,MgActId,0)),"")</f>
        <v/>
      </c>
      <c r="N264" s="28">
        <f>IFERROR(INDEX(MgAmenDegD,MATCH(SUBSTITUTE($H264,"*","-"),MgAmenClave,0)),"No aplica")</f>
        <v/>
      </c>
      <c r="O264" s="28">
        <f>IFERROR(INDEX(MgAmenDegI,MATCH(SUBSTITUTE($H264,"*","-"),MgAmenClave,0)),"No aplica")</f>
        <v/>
      </c>
      <c r="P264" s="28">
        <f>IFERROR(INDEX(MgAmenDegC,MATCH(SUBSTITUTE($H264,"*","-"),MgAmenClave,0)),"No aplica")</f>
        <v/>
      </c>
      <c r="Q264" s="29">
        <f>IFERROR(VLOOKUP(K264,MgValor,2,0)*VLOOKUP(N264,MgDeg,2,0),0)</f>
        <v/>
      </c>
      <c r="R264" s="29">
        <f>IFERROR(VLOOKUP(L264,MgValor,2,0)*VLOOKUP(O264,MgDeg,2,0),0)</f>
        <v/>
      </c>
      <c r="S264" s="29">
        <f>IFERROR(VLOOKUP(M264,MgValor,2,0)*VLOOKUP(P264,MgDeg,2,0),0)</f>
        <v/>
      </c>
      <c r="T264" s="30">
        <f>MAX(Q264:S264)</f>
        <v/>
      </c>
      <c r="U264" s="28">
        <f>IFERROR(LOOKUP(T264,{0;0.5;1.5;3;4.5},{"Despreciable";"Bajo";"Medio";"Alto";"Muy alto"}),"")</f>
        <v/>
      </c>
      <c r="V264" s="13">
        <f>IFERROR(INDEX(MgAmenFrec,MATCH(SUBSTITUTE($H264,"*","-"),MgAmenClave,0)),"")</f>
        <v/>
      </c>
      <c r="W264" s="28">
        <f>IFERROR(LOOKUP(X264,{0;0.01;0.1;1;10;100},{"Muy baja";"Muy baja";"Baja";"Media";"Alta";"Muy alta"}),"")</f>
        <v/>
      </c>
      <c r="X264" s="31">
        <f>IFERROR(VLOOKUP(V264,MgFrec,2,0),0)</f>
        <v/>
      </c>
      <c r="Y264" s="30">
        <f>T264*X264</f>
        <v/>
      </c>
      <c r="Z264" s="28">
        <f>IFERROR(LOOKUP(Y264,{0;0.5;5;25},{"Bajo";"Medio";"Alto";"Crítico"}),"")</f>
        <v/>
      </c>
      <c r="AA264" s="64">
        <f>IF(T264&gt;=3,IF(X264&gt;=1,"Zona 1 — Crítica: impacto alto y ocurre al menos una vez al año","Zona 4 — Catastrófica poco probable: impacto alto pero excepcional"),IF(AND(T264&lt;1.5,X264&lt;1),"Zona 3 — Asumible: impacto bajo y muy poco frecuente","Zona 2 — Atención: riesgo intermedio"))</f>
        <v/>
      </c>
      <c r="AB264" s="64">
        <f>IFERROR(INDEX(MgAmenCtrl,MATCH(SUBSTITUTE($H264,"*","-"),MgAmenClave,0)),"")</f>
        <v/>
      </c>
      <c r="AC264" s="20" t="n"/>
      <c r="AD264" s="31">
        <f>IFERROR($X264*(1-IF($AC264="",$AL264,VLOOKUP($AC264,MgMad,2,0))),"")</f>
        <v/>
      </c>
      <c r="AE264" s="28">
        <f>IFERROR(LOOKUP(AD264,{0;0.01;0.1;1;10;100},{"Muy baja";"Muy baja";"Baja";"Media";"Alta";"Muy alta"}),"")</f>
        <v/>
      </c>
      <c r="AF264" s="30">
        <f>T264*AD264</f>
        <v/>
      </c>
      <c r="AG264" s="28">
        <f>IFERROR(LOOKUP(AF264,{0;0.5;5;25},{"Bajo";"Medio";"Alto";"Crítico"}),"")</f>
        <v/>
      </c>
      <c r="AH264" s="28">
        <f>IF(AG264="","",IF(OR(AG264="Crítico",AG264="Alto"),"Mitigar",IF(AG264="Medio","Mitigar","Aceptar y monitorear")))</f>
        <v/>
      </c>
      <c r="AI264" s="21" t="n"/>
      <c r="AJ264" s="21" t="n"/>
      <c r="AK264" s="20" t="n"/>
      <c r="AL264" s="77">
        <f>IFERROR(INDEX(MgAmenEfic,MATCH(SUBSTITUTE($H264,"*","-"),MgAmenClave,0)),0)</f>
        <v/>
      </c>
    </row>
    <row r="265" hidden="1" ht="60" customHeight="1" s="54">
      <c r="B265" s="59" t="inlineStr">
        <is>
          <t>R-0260</t>
        </is>
      </c>
      <c r="C265" s="59" t="inlineStr">
        <is>
          <t>DO-05</t>
        </is>
      </c>
      <c r="D265" s="64">
        <f>IFERROR(INDEX(MgNombre,MATCH($C265,MgActId,0)),"")</f>
        <v/>
      </c>
      <c r="E265" s="64">
        <f>IFERROR(INDEX(MgProceso,MATCH($C265,MgActId,0)),"")</f>
        <v/>
      </c>
      <c r="F265" s="64">
        <f>IFERROR(INDEX(MgTipo,MATCH($C265,MgActId,0)),"")</f>
        <v/>
      </c>
      <c r="G265" s="64">
        <f>IFERROR(INDEX(MgSubtipo,MATCH($C265,MgActId,0)),"")</f>
        <v/>
      </c>
      <c r="H265" s="59" t="inlineStr">
        <is>
          <t>A.14</t>
        </is>
      </c>
      <c r="I265" s="64">
        <f>IFERROR(INDEX(MgAmenNombre,MATCH(SUBSTITUTE($H265,"*","-"),MgAmenClave,0)),"")</f>
        <v/>
      </c>
      <c r="J265" s="28">
        <f>IFERROR(INDEX(MgAmenGrupo,MATCH(SUBSTITUTE($H265,"*","-"),MgAmenClave,0)),"")</f>
        <v/>
      </c>
      <c r="K265" s="64">
        <f>IFERROR(INDEX('1. Matriz de Activos'!$Q$6:$Q$239,MATCH($C265,MgActId,0)),"")</f>
        <v/>
      </c>
      <c r="L265" s="64">
        <f>IFERROR(INDEX('1. Matriz de Activos'!$R$6:$R$239,MATCH($C265,MgActId,0)),"")</f>
        <v/>
      </c>
      <c r="M265" s="64">
        <f>IFERROR(INDEX('1. Matriz de Activos'!$S$6:$S$239,MATCH($C265,MgActId,0)),"")</f>
        <v/>
      </c>
      <c r="N265" s="28">
        <f>IFERROR(INDEX(MgAmenDegD,MATCH(SUBSTITUTE($H265,"*","-"),MgAmenClave,0)),"No aplica")</f>
        <v/>
      </c>
      <c r="O265" s="28">
        <f>IFERROR(INDEX(MgAmenDegI,MATCH(SUBSTITUTE($H265,"*","-"),MgAmenClave,0)),"No aplica")</f>
        <v/>
      </c>
      <c r="P265" s="28">
        <f>IFERROR(INDEX(MgAmenDegC,MATCH(SUBSTITUTE($H265,"*","-"),MgAmenClave,0)),"No aplica")</f>
        <v/>
      </c>
      <c r="Q265" s="29">
        <f>IFERROR(VLOOKUP(K265,MgValor,2,0)*VLOOKUP(N265,MgDeg,2,0),0)</f>
        <v/>
      </c>
      <c r="R265" s="29">
        <f>IFERROR(VLOOKUP(L265,MgValor,2,0)*VLOOKUP(O265,MgDeg,2,0),0)</f>
        <v/>
      </c>
      <c r="S265" s="29">
        <f>IFERROR(VLOOKUP(M265,MgValor,2,0)*VLOOKUP(P265,MgDeg,2,0),0)</f>
        <v/>
      </c>
      <c r="T265" s="30">
        <f>MAX(Q265:S265)</f>
        <v/>
      </c>
      <c r="U265" s="28">
        <f>IFERROR(LOOKUP(T265,{0;0.5;1.5;3;4.5},{"Despreciable";"Bajo";"Medio";"Alto";"Muy alto"}),"")</f>
        <v/>
      </c>
      <c r="V265" s="13">
        <f>IFERROR(INDEX(MgAmenFrec,MATCH(SUBSTITUTE($H265,"*","-"),MgAmenClave,0)),"")</f>
        <v/>
      </c>
      <c r="W265" s="28">
        <f>IFERROR(LOOKUP(X265,{0;0.01;0.1;1;10;100},{"Muy baja";"Muy baja";"Baja";"Media";"Alta";"Muy alta"}),"")</f>
        <v/>
      </c>
      <c r="X265" s="31">
        <f>IFERROR(VLOOKUP(V265,MgFrec,2,0),0)</f>
        <v/>
      </c>
      <c r="Y265" s="30">
        <f>T265*X265</f>
        <v/>
      </c>
      <c r="Z265" s="28">
        <f>IFERROR(LOOKUP(Y265,{0;0.5;5;25},{"Bajo";"Medio";"Alto";"Crítico"}),"")</f>
        <v/>
      </c>
      <c r="AA265" s="64">
        <f>IF(T265&gt;=3,IF(X265&gt;=1,"Zona 1 — Crítica: impacto alto y ocurre al menos una vez al año","Zona 4 — Catastrófica poco probable: impacto alto pero excepcional"),IF(AND(T265&lt;1.5,X265&lt;1),"Zona 3 — Asumible: impacto bajo y muy poco frecuente","Zona 2 — Atención: riesgo intermedio"))</f>
        <v/>
      </c>
      <c r="AB265" s="64">
        <f>IFERROR(INDEX(MgAmenCtrl,MATCH(SUBSTITUTE($H265,"*","-"),MgAmenClave,0)),"")</f>
        <v/>
      </c>
      <c r="AC265" s="20" t="n"/>
      <c r="AD265" s="31">
        <f>IFERROR($X265*(1-IF($AC265="",$AL265,VLOOKUP($AC265,MgMad,2,0))),"")</f>
        <v/>
      </c>
      <c r="AE265" s="28">
        <f>IFERROR(LOOKUP(AD265,{0;0.01;0.1;1;10;100},{"Muy baja";"Muy baja";"Baja";"Media";"Alta";"Muy alta"}),"")</f>
        <v/>
      </c>
      <c r="AF265" s="30">
        <f>T265*AD265</f>
        <v/>
      </c>
      <c r="AG265" s="28">
        <f>IFERROR(LOOKUP(AF265,{0;0.5;5;25},{"Bajo";"Medio";"Alto";"Crítico"}),"")</f>
        <v/>
      </c>
      <c r="AH265" s="28">
        <f>IF(AG265="","",IF(OR(AG265="Crítico",AG265="Alto"),"Mitigar",IF(AG265="Medio","Mitigar","Aceptar y monitorear")))</f>
        <v/>
      </c>
      <c r="AI265" s="21" t="n"/>
      <c r="AJ265" s="21" t="n"/>
      <c r="AK265" s="20" t="n"/>
      <c r="AL265" s="77">
        <f>IFERROR(INDEX(MgAmenEfic,MATCH(SUBSTITUTE($H265,"*","-"),MgAmenClave,0)),0)</f>
        <v/>
      </c>
    </row>
    <row r="266" hidden="1" ht="60" customHeight="1" s="54">
      <c r="B266" s="59" t="inlineStr">
        <is>
          <t>R-0261</t>
        </is>
      </c>
      <c r="C266" s="59" t="inlineStr">
        <is>
          <t>DO-05</t>
        </is>
      </c>
      <c r="D266" s="64">
        <f>IFERROR(INDEX(MgNombre,MATCH($C266,MgActId,0)),"")</f>
        <v/>
      </c>
      <c r="E266" s="64">
        <f>IFERROR(INDEX(MgProceso,MATCH($C266,MgActId,0)),"")</f>
        <v/>
      </c>
      <c r="F266" s="64">
        <f>IFERROR(INDEX(MgTipo,MATCH($C266,MgActId,0)),"")</f>
        <v/>
      </c>
      <c r="G266" s="64">
        <f>IFERROR(INDEX(MgSubtipo,MATCH($C266,MgActId,0)),"")</f>
        <v/>
      </c>
      <c r="H266" s="59" t="inlineStr">
        <is>
          <t>A.15</t>
        </is>
      </c>
      <c r="I266" s="64">
        <f>IFERROR(INDEX(MgAmenNombre,MATCH(SUBSTITUTE($H266,"*","-"),MgAmenClave,0)),"")</f>
        <v/>
      </c>
      <c r="J266" s="28">
        <f>IFERROR(INDEX(MgAmenGrupo,MATCH(SUBSTITUTE($H266,"*","-"),MgAmenClave,0)),"")</f>
        <v/>
      </c>
      <c r="K266" s="64">
        <f>IFERROR(INDEX('1. Matriz de Activos'!$Q$6:$Q$239,MATCH($C266,MgActId,0)),"")</f>
        <v/>
      </c>
      <c r="L266" s="64">
        <f>IFERROR(INDEX('1. Matriz de Activos'!$R$6:$R$239,MATCH($C266,MgActId,0)),"")</f>
        <v/>
      </c>
      <c r="M266" s="64">
        <f>IFERROR(INDEX('1. Matriz de Activos'!$S$6:$S$239,MATCH($C266,MgActId,0)),"")</f>
        <v/>
      </c>
      <c r="N266" s="28">
        <f>IFERROR(INDEX(MgAmenDegD,MATCH(SUBSTITUTE($H266,"*","-"),MgAmenClave,0)),"No aplica")</f>
        <v/>
      </c>
      <c r="O266" s="28">
        <f>IFERROR(INDEX(MgAmenDegI,MATCH(SUBSTITUTE($H266,"*","-"),MgAmenClave,0)),"No aplica")</f>
        <v/>
      </c>
      <c r="P266" s="28">
        <f>IFERROR(INDEX(MgAmenDegC,MATCH(SUBSTITUTE($H266,"*","-"),MgAmenClave,0)),"No aplica")</f>
        <v/>
      </c>
      <c r="Q266" s="29">
        <f>IFERROR(VLOOKUP(K266,MgValor,2,0)*VLOOKUP(N266,MgDeg,2,0),0)</f>
        <v/>
      </c>
      <c r="R266" s="29">
        <f>IFERROR(VLOOKUP(L266,MgValor,2,0)*VLOOKUP(O266,MgDeg,2,0),0)</f>
        <v/>
      </c>
      <c r="S266" s="29">
        <f>IFERROR(VLOOKUP(M266,MgValor,2,0)*VLOOKUP(P266,MgDeg,2,0),0)</f>
        <v/>
      </c>
      <c r="T266" s="30">
        <f>MAX(Q266:S266)</f>
        <v/>
      </c>
      <c r="U266" s="28">
        <f>IFERROR(LOOKUP(T266,{0;0.5;1.5;3;4.5},{"Despreciable";"Bajo";"Medio";"Alto";"Muy alto"}),"")</f>
        <v/>
      </c>
      <c r="V266" s="13">
        <f>IFERROR(INDEX(MgAmenFrec,MATCH(SUBSTITUTE($H266,"*","-"),MgAmenClave,0)),"")</f>
        <v/>
      </c>
      <c r="W266" s="28">
        <f>IFERROR(LOOKUP(X266,{0;0.01;0.1;1;10;100},{"Muy baja";"Muy baja";"Baja";"Media";"Alta";"Muy alta"}),"")</f>
        <v/>
      </c>
      <c r="X266" s="31">
        <f>IFERROR(VLOOKUP(V266,MgFrec,2,0),0)</f>
        <v/>
      </c>
      <c r="Y266" s="30">
        <f>T266*X266</f>
        <v/>
      </c>
      <c r="Z266" s="28">
        <f>IFERROR(LOOKUP(Y266,{0;0.5;5;25},{"Bajo";"Medio";"Alto";"Crítico"}),"")</f>
        <v/>
      </c>
      <c r="AA266" s="64">
        <f>IF(T266&gt;=3,IF(X266&gt;=1,"Zona 1 — Crítica: impacto alto y ocurre al menos una vez al año","Zona 4 — Catastrófica poco probable: impacto alto pero excepcional"),IF(AND(T266&lt;1.5,X266&lt;1),"Zona 3 — Asumible: impacto bajo y muy poco frecuente","Zona 2 — Atención: riesgo intermedio"))</f>
        <v/>
      </c>
      <c r="AB266" s="64">
        <f>IFERROR(INDEX(MgAmenCtrl,MATCH(SUBSTITUTE($H266,"*","-"),MgAmenClave,0)),"")</f>
        <v/>
      </c>
      <c r="AC266" s="20" t="n"/>
      <c r="AD266" s="31">
        <f>IFERROR($X266*(1-IF($AC266="",$AL266,VLOOKUP($AC266,MgMad,2,0))),"")</f>
        <v/>
      </c>
      <c r="AE266" s="28">
        <f>IFERROR(LOOKUP(AD266,{0;0.01;0.1;1;10;100},{"Muy baja";"Muy baja";"Baja";"Media";"Alta";"Muy alta"}),"")</f>
        <v/>
      </c>
      <c r="AF266" s="30">
        <f>T266*AD266</f>
        <v/>
      </c>
      <c r="AG266" s="28">
        <f>IFERROR(LOOKUP(AF266,{0;0.5;5;25},{"Bajo";"Medio";"Alto";"Crítico"}),"")</f>
        <v/>
      </c>
      <c r="AH266" s="28">
        <f>IF(AG266="","",IF(OR(AG266="Crítico",AG266="Alto"),"Mitigar",IF(AG266="Medio","Mitigar","Aceptar y monitorear")))</f>
        <v/>
      </c>
      <c r="AI266" s="21" t="n"/>
      <c r="AJ266" s="21" t="n"/>
      <c r="AK266" s="20" t="n"/>
      <c r="AL266" s="77">
        <f>IFERROR(INDEX(MgAmenEfic,MATCH(SUBSTITUTE($H266,"*","-"),MgAmenClave,0)),0)</f>
        <v/>
      </c>
    </row>
    <row r="267" hidden="1" ht="60" customHeight="1" s="54">
      <c r="B267" s="59" t="inlineStr">
        <is>
          <t>R-0262</t>
        </is>
      </c>
      <c r="C267" s="59" t="inlineStr">
        <is>
          <t>DO-05</t>
        </is>
      </c>
      <c r="D267" s="64">
        <f>IFERROR(INDEX(MgNombre,MATCH($C267,MgActId,0)),"")</f>
        <v/>
      </c>
      <c r="E267" s="64">
        <f>IFERROR(INDEX(MgProceso,MATCH($C267,MgActId,0)),"")</f>
        <v/>
      </c>
      <c r="F267" s="64">
        <f>IFERROR(INDEX(MgTipo,MATCH($C267,MgActId,0)),"")</f>
        <v/>
      </c>
      <c r="G267" s="64">
        <f>IFERROR(INDEX(MgSubtipo,MATCH($C267,MgActId,0)),"")</f>
        <v/>
      </c>
      <c r="H267" s="59" t="inlineStr">
        <is>
          <t>A.18</t>
        </is>
      </c>
      <c r="I267" s="64">
        <f>IFERROR(INDEX(MgAmenNombre,MATCH(SUBSTITUTE($H267,"*","-"),MgAmenClave,0)),"")</f>
        <v/>
      </c>
      <c r="J267" s="28">
        <f>IFERROR(INDEX(MgAmenGrupo,MATCH(SUBSTITUTE($H267,"*","-"),MgAmenClave,0)),"")</f>
        <v/>
      </c>
      <c r="K267" s="64">
        <f>IFERROR(INDEX('1. Matriz de Activos'!$Q$6:$Q$239,MATCH($C267,MgActId,0)),"")</f>
        <v/>
      </c>
      <c r="L267" s="64">
        <f>IFERROR(INDEX('1. Matriz de Activos'!$R$6:$R$239,MATCH($C267,MgActId,0)),"")</f>
        <v/>
      </c>
      <c r="M267" s="64">
        <f>IFERROR(INDEX('1. Matriz de Activos'!$S$6:$S$239,MATCH($C267,MgActId,0)),"")</f>
        <v/>
      </c>
      <c r="N267" s="28">
        <f>IFERROR(INDEX(MgAmenDegD,MATCH(SUBSTITUTE($H267,"*","-"),MgAmenClave,0)),"No aplica")</f>
        <v/>
      </c>
      <c r="O267" s="28">
        <f>IFERROR(INDEX(MgAmenDegI,MATCH(SUBSTITUTE($H267,"*","-"),MgAmenClave,0)),"No aplica")</f>
        <v/>
      </c>
      <c r="P267" s="28">
        <f>IFERROR(INDEX(MgAmenDegC,MATCH(SUBSTITUTE($H267,"*","-"),MgAmenClave,0)),"No aplica")</f>
        <v/>
      </c>
      <c r="Q267" s="29">
        <f>IFERROR(VLOOKUP(K267,MgValor,2,0)*VLOOKUP(N267,MgDeg,2,0),0)</f>
        <v/>
      </c>
      <c r="R267" s="29">
        <f>IFERROR(VLOOKUP(L267,MgValor,2,0)*VLOOKUP(O267,MgDeg,2,0),0)</f>
        <v/>
      </c>
      <c r="S267" s="29">
        <f>IFERROR(VLOOKUP(M267,MgValor,2,0)*VLOOKUP(P267,MgDeg,2,0),0)</f>
        <v/>
      </c>
      <c r="T267" s="30">
        <f>MAX(Q267:S267)</f>
        <v/>
      </c>
      <c r="U267" s="28">
        <f>IFERROR(LOOKUP(T267,{0;0.5;1.5;3;4.5},{"Despreciable";"Bajo";"Medio";"Alto";"Muy alto"}),"")</f>
        <v/>
      </c>
      <c r="V267" s="13">
        <f>IFERROR(INDEX(MgAmenFrec,MATCH(SUBSTITUTE($H267,"*","-"),MgAmenClave,0)),"")</f>
        <v/>
      </c>
      <c r="W267" s="28">
        <f>IFERROR(LOOKUP(X267,{0;0.01;0.1;1;10;100},{"Muy baja";"Muy baja";"Baja";"Media";"Alta";"Muy alta"}),"")</f>
        <v/>
      </c>
      <c r="X267" s="31">
        <f>IFERROR(VLOOKUP(V267,MgFrec,2,0),0)</f>
        <v/>
      </c>
      <c r="Y267" s="30">
        <f>T267*X267</f>
        <v/>
      </c>
      <c r="Z267" s="28">
        <f>IFERROR(LOOKUP(Y267,{0;0.5;5;25},{"Bajo";"Medio";"Alto";"Crítico"}),"")</f>
        <v/>
      </c>
      <c r="AA267" s="64">
        <f>IF(T267&gt;=3,IF(X267&gt;=1,"Zona 1 — Crítica: impacto alto y ocurre al menos una vez al año","Zona 4 — Catastrófica poco probable: impacto alto pero excepcional"),IF(AND(T267&lt;1.5,X267&lt;1),"Zona 3 — Asumible: impacto bajo y muy poco frecuente","Zona 2 — Atención: riesgo intermedio"))</f>
        <v/>
      </c>
      <c r="AB267" s="64">
        <f>IFERROR(INDEX(MgAmenCtrl,MATCH(SUBSTITUTE($H267,"*","-"),MgAmenClave,0)),"")</f>
        <v/>
      </c>
      <c r="AC267" s="20" t="n"/>
      <c r="AD267" s="31">
        <f>IFERROR($X267*(1-IF($AC267="",$AL267,VLOOKUP($AC267,MgMad,2,0))),"")</f>
        <v/>
      </c>
      <c r="AE267" s="28">
        <f>IFERROR(LOOKUP(AD267,{0;0.01;0.1;1;10;100},{"Muy baja";"Muy baja";"Baja";"Media";"Alta";"Muy alta"}),"")</f>
        <v/>
      </c>
      <c r="AF267" s="30">
        <f>T267*AD267</f>
        <v/>
      </c>
      <c r="AG267" s="28">
        <f>IFERROR(LOOKUP(AF267,{0;0.5;5;25},{"Bajo";"Medio";"Alto";"Crítico"}),"")</f>
        <v/>
      </c>
      <c r="AH267" s="28">
        <f>IF(AG267="","",IF(OR(AG267="Crítico",AG267="Alto"),"Mitigar",IF(AG267="Medio","Mitigar","Aceptar y monitorear")))</f>
        <v/>
      </c>
      <c r="AI267" s="21" t="n"/>
      <c r="AJ267" s="21" t="n"/>
      <c r="AK267" s="20" t="n"/>
      <c r="AL267" s="77">
        <f>IFERROR(INDEX(MgAmenEfic,MATCH(SUBSTITUTE($H267,"*","-"),MgAmenClave,0)),0)</f>
        <v/>
      </c>
    </row>
    <row r="268" hidden="1" ht="120" customHeight="1" s="54">
      <c r="B268" s="59" t="inlineStr">
        <is>
          <t>R-0263</t>
        </is>
      </c>
      <c r="C268" s="59" t="inlineStr">
        <is>
          <t>DO-05</t>
        </is>
      </c>
      <c r="D268" s="64">
        <f>IFERROR(INDEX(MgNombre,MATCH($C268,MgActId,0)),"")</f>
        <v/>
      </c>
      <c r="E268" s="64">
        <f>IFERROR(INDEX(MgProceso,MATCH($C268,MgActId,0)),"")</f>
        <v/>
      </c>
      <c r="F268" s="64">
        <f>IFERROR(INDEX(MgTipo,MATCH($C268,MgActId,0)),"")</f>
        <v/>
      </c>
      <c r="G268" s="64">
        <f>IFERROR(INDEX(MgSubtipo,MATCH($C268,MgActId,0)),"")</f>
        <v/>
      </c>
      <c r="H268" s="59" t="inlineStr">
        <is>
          <t>A.19</t>
        </is>
      </c>
      <c r="I268" s="64">
        <f>IFERROR(INDEX(MgAmenNombre,MATCH(SUBSTITUTE($H268,"*","-"),MgAmenClave,0)),"")</f>
        <v/>
      </c>
      <c r="J268" s="28">
        <f>IFERROR(INDEX(MgAmenGrupo,MATCH(SUBSTITUTE($H268,"*","-"),MgAmenClave,0)),"")</f>
        <v/>
      </c>
      <c r="K268" s="64">
        <f>IFERROR(INDEX('1. Matriz de Activos'!$Q$6:$Q$239,MATCH($C268,MgActId,0)),"")</f>
        <v/>
      </c>
      <c r="L268" s="64">
        <f>IFERROR(INDEX('1. Matriz de Activos'!$R$6:$R$239,MATCH($C268,MgActId,0)),"")</f>
        <v/>
      </c>
      <c r="M268" s="64">
        <f>IFERROR(INDEX('1. Matriz de Activos'!$S$6:$S$239,MATCH($C268,MgActId,0)),"")</f>
        <v/>
      </c>
      <c r="N268" s="28">
        <f>IFERROR(INDEX(MgAmenDegD,MATCH(SUBSTITUTE($H268,"*","-"),MgAmenClave,0)),"No aplica")</f>
        <v/>
      </c>
      <c r="O268" s="28">
        <f>IFERROR(INDEX(MgAmenDegI,MATCH(SUBSTITUTE($H268,"*","-"),MgAmenClave,0)),"No aplica")</f>
        <v/>
      </c>
      <c r="P268" s="28">
        <f>IFERROR(INDEX(MgAmenDegC,MATCH(SUBSTITUTE($H268,"*","-"),MgAmenClave,0)),"No aplica")</f>
        <v/>
      </c>
      <c r="Q268" s="29">
        <f>IFERROR(VLOOKUP(K268,MgValor,2,0)*VLOOKUP(N268,MgDeg,2,0),0)</f>
        <v/>
      </c>
      <c r="R268" s="29">
        <f>IFERROR(VLOOKUP(L268,MgValor,2,0)*VLOOKUP(O268,MgDeg,2,0),0)</f>
        <v/>
      </c>
      <c r="S268" s="29">
        <f>IFERROR(VLOOKUP(M268,MgValor,2,0)*VLOOKUP(P268,MgDeg,2,0),0)</f>
        <v/>
      </c>
      <c r="T268" s="30">
        <f>MAX(Q268:S268)</f>
        <v/>
      </c>
      <c r="U268" s="28">
        <f>IFERROR(LOOKUP(T268,{0;0.5;1.5;3;4.5},{"Despreciable";"Bajo";"Medio";"Alto";"Muy alto"}),"")</f>
        <v/>
      </c>
      <c r="V268" s="13">
        <f>IFERROR(INDEX(MgAmenFrec,MATCH(SUBSTITUTE($H268,"*","-"),MgAmenClave,0)),"")</f>
        <v/>
      </c>
      <c r="W268" s="28">
        <f>IFERROR(LOOKUP(X268,{0;0.01;0.1;1;10;100},{"Muy baja";"Muy baja";"Baja";"Media";"Alta";"Muy alta"}),"")</f>
        <v/>
      </c>
      <c r="X268" s="31">
        <f>IFERROR(VLOOKUP(V268,MgFrec,2,0),0)</f>
        <v/>
      </c>
      <c r="Y268" s="30">
        <f>T268*X268</f>
        <v/>
      </c>
      <c r="Z268" s="28">
        <f>IFERROR(LOOKUP(Y268,{0;0.5;5;25},{"Bajo";"Medio";"Alto";"Crítico"}),"")</f>
        <v/>
      </c>
      <c r="AA268" s="64">
        <f>IF(T268&gt;=3,IF(X268&gt;=1,"Zona 1 — Crítica: impacto alto y ocurre al menos una vez al año","Zona 4 — Catastrófica poco probable: impacto alto pero excepcional"),IF(AND(T268&lt;1.5,X268&lt;1),"Zona 3 — Asumible: impacto bajo y muy poco frecuente","Zona 2 — Atención: riesgo intermedio"))</f>
        <v/>
      </c>
      <c r="AB268" s="64">
        <f>IFERROR(INDEX(MgAmenCtrl,MATCH(SUBSTITUTE($H268,"*","-"),MgAmenClave,0)),"")</f>
        <v/>
      </c>
      <c r="AC268" s="20" t="n"/>
      <c r="AD268" s="31">
        <f>IFERROR($X268*(1-IF($AC268="",$AL268,VLOOKUP($AC268,MgMad,2,0))),"")</f>
        <v/>
      </c>
      <c r="AE268" s="28">
        <f>IFERROR(LOOKUP(AD268,{0;0.01;0.1;1;10;100},{"Muy baja";"Muy baja";"Baja";"Media";"Alta";"Muy alta"}),"")</f>
        <v/>
      </c>
      <c r="AF268" s="30">
        <f>T268*AD268</f>
        <v/>
      </c>
      <c r="AG268" s="28">
        <f>IFERROR(LOOKUP(AF268,{0;0.5;5;25},{"Bajo";"Medio";"Alto";"Crítico"}),"")</f>
        <v/>
      </c>
      <c r="AH268" s="28">
        <f>IF(AG268="","",IF(OR(AG268="Crítico",AG268="Alto"),"Mitigar",IF(AG268="Medio","Mitigar","Aceptar y monitorear")))</f>
        <v/>
      </c>
      <c r="AI268" s="21" t="n"/>
      <c r="AJ268" s="21" t="n"/>
      <c r="AK268" s="20" t="n"/>
      <c r="AL268" s="77">
        <f>IFERROR(INDEX(MgAmenEfic,MATCH(SUBSTITUTE($H268,"*","-"),MgAmenClave,0)),0)</f>
        <v/>
      </c>
    </row>
    <row r="269" hidden="1" ht="60" customHeight="1" s="54">
      <c r="B269" s="59" t="inlineStr">
        <is>
          <t>R-0264</t>
        </is>
      </c>
      <c r="C269" s="59" t="inlineStr">
        <is>
          <t>DO-05</t>
        </is>
      </c>
      <c r="D269" s="64">
        <f>IFERROR(INDEX(MgNombre,MATCH($C269,MgActId,0)),"")</f>
        <v/>
      </c>
      <c r="E269" s="64">
        <f>IFERROR(INDEX(MgProceso,MATCH($C269,MgActId,0)),"")</f>
        <v/>
      </c>
      <c r="F269" s="64">
        <f>IFERROR(INDEX(MgTipo,MATCH($C269,MgActId,0)),"")</f>
        <v/>
      </c>
      <c r="G269" s="64">
        <f>IFERROR(INDEX(MgSubtipo,MATCH($C269,MgActId,0)),"")</f>
        <v/>
      </c>
      <c r="H269" s="59" t="inlineStr">
        <is>
          <t>A.24</t>
        </is>
      </c>
      <c r="I269" s="64">
        <f>IFERROR(INDEX(MgAmenNombre,MATCH(SUBSTITUTE($H269,"*","-"),MgAmenClave,0)),"")</f>
        <v/>
      </c>
      <c r="J269" s="28">
        <f>IFERROR(INDEX(MgAmenGrupo,MATCH(SUBSTITUTE($H269,"*","-"),MgAmenClave,0)),"")</f>
        <v/>
      </c>
      <c r="K269" s="64">
        <f>IFERROR(INDEX('1. Matriz de Activos'!$Q$6:$Q$239,MATCH($C269,MgActId,0)),"")</f>
        <v/>
      </c>
      <c r="L269" s="64">
        <f>IFERROR(INDEX('1. Matriz de Activos'!$R$6:$R$239,MATCH($C269,MgActId,0)),"")</f>
        <v/>
      </c>
      <c r="M269" s="64">
        <f>IFERROR(INDEX('1. Matriz de Activos'!$S$6:$S$239,MATCH($C269,MgActId,0)),"")</f>
        <v/>
      </c>
      <c r="N269" s="28">
        <f>IFERROR(INDEX(MgAmenDegD,MATCH(SUBSTITUTE($H269,"*","-"),MgAmenClave,0)),"No aplica")</f>
        <v/>
      </c>
      <c r="O269" s="28">
        <f>IFERROR(INDEX(MgAmenDegI,MATCH(SUBSTITUTE($H269,"*","-"),MgAmenClave,0)),"No aplica")</f>
        <v/>
      </c>
      <c r="P269" s="28">
        <f>IFERROR(INDEX(MgAmenDegC,MATCH(SUBSTITUTE($H269,"*","-"),MgAmenClave,0)),"No aplica")</f>
        <v/>
      </c>
      <c r="Q269" s="29">
        <f>IFERROR(VLOOKUP(K269,MgValor,2,0)*VLOOKUP(N269,MgDeg,2,0),0)</f>
        <v/>
      </c>
      <c r="R269" s="29">
        <f>IFERROR(VLOOKUP(L269,MgValor,2,0)*VLOOKUP(O269,MgDeg,2,0),0)</f>
        <v/>
      </c>
      <c r="S269" s="29">
        <f>IFERROR(VLOOKUP(M269,MgValor,2,0)*VLOOKUP(P269,MgDeg,2,0),0)</f>
        <v/>
      </c>
      <c r="T269" s="30">
        <f>MAX(Q269:S269)</f>
        <v/>
      </c>
      <c r="U269" s="28">
        <f>IFERROR(LOOKUP(T269,{0;0.5;1.5;3;4.5},{"Despreciable";"Bajo";"Medio";"Alto";"Muy alto"}),"")</f>
        <v/>
      </c>
      <c r="V269" s="13">
        <f>IFERROR(INDEX(MgAmenFrec,MATCH(SUBSTITUTE($H269,"*","-"),MgAmenClave,0)),"")</f>
        <v/>
      </c>
      <c r="W269" s="28">
        <f>IFERROR(LOOKUP(X269,{0;0.01;0.1;1;10;100},{"Muy baja";"Muy baja";"Baja";"Media";"Alta";"Muy alta"}),"")</f>
        <v/>
      </c>
      <c r="X269" s="31">
        <f>IFERROR(VLOOKUP(V269,MgFrec,2,0),0)</f>
        <v/>
      </c>
      <c r="Y269" s="30">
        <f>T269*X269</f>
        <v/>
      </c>
      <c r="Z269" s="28">
        <f>IFERROR(LOOKUP(Y269,{0;0.5;5;25},{"Bajo";"Medio";"Alto";"Crítico"}),"")</f>
        <v/>
      </c>
      <c r="AA269" s="64">
        <f>IF(T269&gt;=3,IF(X269&gt;=1,"Zona 1 — Crítica: impacto alto y ocurre al menos una vez al año","Zona 4 — Catastrófica poco probable: impacto alto pero excepcional"),IF(AND(T269&lt;1.5,X269&lt;1),"Zona 3 — Asumible: impacto bajo y muy poco frecuente","Zona 2 — Atención: riesgo intermedio"))</f>
        <v/>
      </c>
      <c r="AB269" s="64">
        <f>IFERROR(INDEX(MgAmenCtrl,MATCH(SUBSTITUTE($H269,"*","-"),MgAmenClave,0)),"")</f>
        <v/>
      </c>
      <c r="AC269" s="20" t="n"/>
      <c r="AD269" s="31">
        <f>IFERROR($X269*(1-IF($AC269="",$AL269,VLOOKUP($AC269,MgMad,2,0))),"")</f>
        <v/>
      </c>
      <c r="AE269" s="28">
        <f>IFERROR(LOOKUP(AD269,{0;0.01;0.1;1;10;100},{"Muy baja";"Muy baja";"Baja";"Media";"Alta";"Muy alta"}),"")</f>
        <v/>
      </c>
      <c r="AF269" s="30">
        <f>T269*AD269</f>
        <v/>
      </c>
      <c r="AG269" s="28">
        <f>IFERROR(LOOKUP(AF269,{0;0.5;5;25},{"Bajo";"Medio";"Alto";"Crítico"}),"")</f>
        <v/>
      </c>
      <c r="AH269" s="28">
        <f>IF(AG269="","",IF(OR(AG269="Crítico",AG269="Alto"),"Mitigar",IF(AG269="Medio","Mitigar","Aceptar y monitorear")))</f>
        <v/>
      </c>
      <c r="AI269" s="21" t="n"/>
      <c r="AJ269" s="21" t="n"/>
      <c r="AK269" s="20" t="n"/>
      <c r="AL269" s="77">
        <f>IFERROR(INDEX(MgAmenEfic,MATCH(SUBSTITUTE($H269,"*","-"),MgAmenClave,0)),0)</f>
        <v/>
      </c>
    </row>
    <row r="270" hidden="1" ht="75" customHeight="1" s="54">
      <c r="B270" s="59" t="inlineStr">
        <is>
          <t>R-0265</t>
        </is>
      </c>
      <c r="C270" s="59" t="inlineStr">
        <is>
          <t>DO-01</t>
        </is>
      </c>
      <c r="D270" s="64">
        <f>IFERROR(INDEX(MgNombre,MATCH($C270,MgActId,0)),"")</f>
        <v/>
      </c>
      <c r="E270" s="64">
        <f>IFERROR(INDEX(MgProceso,MATCH($C270,MgActId,0)),"")</f>
        <v/>
      </c>
      <c r="F270" s="64">
        <f>IFERROR(INDEX(MgTipo,MATCH($C270,MgActId,0)),"")</f>
        <v/>
      </c>
      <c r="G270" s="64">
        <f>IFERROR(INDEX(MgSubtipo,MATCH($C270,MgActId,0)),"")</f>
        <v/>
      </c>
      <c r="H270" s="59" t="inlineStr">
        <is>
          <t>I.8</t>
        </is>
      </c>
      <c r="I270" s="64">
        <f>IFERROR(INDEX(MgAmenNombre,MATCH(SUBSTITUTE($H270,"*","-"),MgAmenClave,0)),"")</f>
        <v/>
      </c>
      <c r="J270" s="28">
        <f>IFERROR(INDEX(MgAmenGrupo,MATCH(SUBSTITUTE($H270,"*","-"),MgAmenClave,0)),"")</f>
        <v/>
      </c>
      <c r="K270" s="64">
        <f>IFERROR(INDEX('1. Matriz de Activos'!$Q$6:$Q$239,MATCH($C270,MgActId,0)),"")</f>
        <v/>
      </c>
      <c r="L270" s="64">
        <f>IFERROR(INDEX('1. Matriz de Activos'!$R$6:$R$239,MATCH($C270,MgActId,0)),"")</f>
        <v/>
      </c>
      <c r="M270" s="64">
        <f>IFERROR(INDEX('1. Matriz de Activos'!$S$6:$S$239,MATCH($C270,MgActId,0)),"")</f>
        <v/>
      </c>
      <c r="N270" s="28">
        <f>IFERROR(INDEX(MgAmenDegD,MATCH(SUBSTITUTE($H270,"*","-"),MgAmenClave,0)),"No aplica")</f>
        <v/>
      </c>
      <c r="O270" s="28">
        <f>IFERROR(INDEX(MgAmenDegI,MATCH(SUBSTITUTE($H270,"*","-"),MgAmenClave,0)),"No aplica")</f>
        <v/>
      </c>
      <c r="P270" s="28">
        <f>IFERROR(INDEX(MgAmenDegC,MATCH(SUBSTITUTE($H270,"*","-"),MgAmenClave,0)),"No aplica")</f>
        <v/>
      </c>
      <c r="Q270" s="29">
        <f>IFERROR(VLOOKUP(K270,MgValor,2,0)*VLOOKUP(N270,MgDeg,2,0),0)</f>
        <v/>
      </c>
      <c r="R270" s="29">
        <f>IFERROR(VLOOKUP(L270,MgValor,2,0)*VLOOKUP(O270,MgDeg,2,0),0)</f>
        <v/>
      </c>
      <c r="S270" s="29">
        <f>IFERROR(VLOOKUP(M270,MgValor,2,0)*VLOOKUP(P270,MgDeg,2,0),0)</f>
        <v/>
      </c>
      <c r="T270" s="30">
        <f>MAX(Q270:S270)</f>
        <v/>
      </c>
      <c r="U270" s="28">
        <f>IFERROR(LOOKUP(T270,{0;0.5;1.5;3;4.5},{"Despreciable";"Bajo";"Medio";"Alto";"Muy alto"}),"")</f>
        <v/>
      </c>
      <c r="V270" s="13">
        <f>IFERROR(INDEX(MgAmenFrec,MATCH(SUBSTITUTE($H270,"*","-"),MgAmenClave,0)),"")</f>
        <v/>
      </c>
      <c r="W270" s="28">
        <f>IFERROR(LOOKUP(X270,{0;0.01;0.1;1;10;100},{"Muy baja";"Muy baja";"Baja";"Media";"Alta";"Muy alta"}),"")</f>
        <v/>
      </c>
      <c r="X270" s="31">
        <f>IFERROR(VLOOKUP(V270,MgFrec,2,0),0)</f>
        <v/>
      </c>
      <c r="Y270" s="30">
        <f>T270*X270</f>
        <v/>
      </c>
      <c r="Z270" s="28">
        <f>IFERROR(LOOKUP(Y270,{0;0.5;5;25},{"Bajo";"Medio";"Alto";"Crítico"}),"")</f>
        <v/>
      </c>
      <c r="AA270" s="64">
        <f>IF(T270&gt;=3,IF(X270&gt;=1,"Zona 1 — Crítica: impacto alto y ocurre al menos una vez al año","Zona 4 — Catastrófica poco probable: impacto alto pero excepcional"),IF(AND(T270&lt;1.5,X270&lt;1),"Zona 3 — Asumible: impacto bajo y muy poco frecuente","Zona 2 — Atención: riesgo intermedio"))</f>
        <v/>
      </c>
      <c r="AB270" s="64">
        <f>IFERROR(INDEX(MgAmenCtrl,MATCH(SUBSTITUTE($H270,"*","-"),MgAmenClave,0)),"")</f>
        <v/>
      </c>
      <c r="AC270" s="20" t="n"/>
      <c r="AD270" s="31">
        <f>IFERROR($X270*(1-IF($AC270="",$AL270,VLOOKUP($AC270,MgMad,2,0))),"")</f>
        <v/>
      </c>
      <c r="AE270" s="28">
        <f>IFERROR(LOOKUP(AD270,{0;0.01;0.1;1;10;100},{"Muy baja";"Muy baja";"Baja";"Media";"Alta";"Muy alta"}),"")</f>
        <v/>
      </c>
      <c r="AF270" s="30">
        <f>T270*AD270</f>
        <v/>
      </c>
      <c r="AG270" s="28">
        <f>IFERROR(LOOKUP(AF270,{0;0.5;5;25},{"Bajo";"Medio";"Alto";"Crítico"}),"")</f>
        <v/>
      </c>
      <c r="AH270" s="28">
        <f>IF(AG270="","",IF(OR(AG270="Crítico",AG270="Alto"),"Mitigar",IF(AG270="Medio","Mitigar","Aceptar y monitorear")))</f>
        <v/>
      </c>
      <c r="AI270" s="21" t="n"/>
      <c r="AJ270" s="21" t="n"/>
      <c r="AK270" s="20" t="n"/>
      <c r="AL270" s="77">
        <f>IFERROR(INDEX(MgAmenEfic,MATCH(SUBSTITUTE($H270,"*","-"),MgAmenClave,0)),0)</f>
        <v/>
      </c>
    </row>
    <row r="271" hidden="1" ht="45" customHeight="1" s="54">
      <c r="B271" s="59" t="inlineStr">
        <is>
          <t>R-0266</t>
        </is>
      </c>
      <c r="C271" s="59" t="inlineStr">
        <is>
          <t>DO-01</t>
        </is>
      </c>
      <c r="D271" s="64">
        <f>IFERROR(INDEX(MgNombre,MATCH($C271,MgActId,0)),"")</f>
        <v/>
      </c>
      <c r="E271" s="64">
        <f>IFERROR(INDEX(MgProceso,MATCH($C271,MgActId,0)),"")</f>
        <v/>
      </c>
      <c r="F271" s="64">
        <f>IFERROR(INDEX(MgTipo,MATCH($C271,MgActId,0)),"")</f>
        <v/>
      </c>
      <c r="G271" s="64">
        <f>IFERROR(INDEX(MgSubtipo,MATCH($C271,MgActId,0)),"")</f>
        <v/>
      </c>
      <c r="H271" s="59" t="inlineStr">
        <is>
          <t>I.11</t>
        </is>
      </c>
      <c r="I271" s="64">
        <f>IFERROR(INDEX(MgAmenNombre,MATCH(SUBSTITUTE($H271,"*","-"),MgAmenClave,0)),"")</f>
        <v/>
      </c>
      <c r="J271" s="28">
        <f>IFERROR(INDEX(MgAmenGrupo,MATCH(SUBSTITUTE($H271,"*","-"),MgAmenClave,0)),"")</f>
        <v/>
      </c>
      <c r="K271" s="64">
        <f>IFERROR(INDEX('1. Matriz de Activos'!$Q$6:$Q$239,MATCH($C271,MgActId,0)),"")</f>
        <v/>
      </c>
      <c r="L271" s="64">
        <f>IFERROR(INDEX('1. Matriz de Activos'!$R$6:$R$239,MATCH($C271,MgActId,0)),"")</f>
        <v/>
      </c>
      <c r="M271" s="64">
        <f>IFERROR(INDEX('1. Matriz de Activos'!$S$6:$S$239,MATCH($C271,MgActId,0)),"")</f>
        <v/>
      </c>
      <c r="N271" s="28">
        <f>IFERROR(INDEX(MgAmenDegD,MATCH(SUBSTITUTE($H271,"*","-"),MgAmenClave,0)),"No aplica")</f>
        <v/>
      </c>
      <c r="O271" s="28">
        <f>IFERROR(INDEX(MgAmenDegI,MATCH(SUBSTITUTE($H271,"*","-"),MgAmenClave,0)),"No aplica")</f>
        <v/>
      </c>
      <c r="P271" s="28">
        <f>IFERROR(INDEX(MgAmenDegC,MATCH(SUBSTITUTE($H271,"*","-"),MgAmenClave,0)),"No aplica")</f>
        <v/>
      </c>
      <c r="Q271" s="29">
        <f>IFERROR(VLOOKUP(K271,MgValor,2,0)*VLOOKUP(N271,MgDeg,2,0),0)</f>
        <v/>
      </c>
      <c r="R271" s="29">
        <f>IFERROR(VLOOKUP(L271,MgValor,2,0)*VLOOKUP(O271,MgDeg,2,0),0)</f>
        <v/>
      </c>
      <c r="S271" s="29">
        <f>IFERROR(VLOOKUP(M271,MgValor,2,0)*VLOOKUP(P271,MgDeg,2,0),0)</f>
        <v/>
      </c>
      <c r="T271" s="30">
        <f>MAX(Q271:S271)</f>
        <v/>
      </c>
      <c r="U271" s="28">
        <f>IFERROR(LOOKUP(T271,{0;0.5;1.5;3;4.5},{"Despreciable";"Bajo";"Medio";"Alto";"Muy alto"}),"")</f>
        <v/>
      </c>
      <c r="V271" s="13">
        <f>IFERROR(INDEX(MgAmenFrec,MATCH(SUBSTITUTE($H271,"*","-"),MgAmenClave,0)),"")</f>
        <v/>
      </c>
      <c r="W271" s="28">
        <f>IFERROR(LOOKUP(X271,{0;0.01;0.1;1;10;100},{"Muy baja";"Muy baja";"Baja";"Media";"Alta";"Muy alta"}),"")</f>
        <v/>
      </c>
      <c r="X271" s="31">
        <f>IFERROR(VLOOKUP(V271,MgFrec,2,0),0)</f>
        <v/>
      </c>
      <c r="Y271" s="30">
        <f>T271*X271</f>
        <v/>
      </c>
      <c r="Z271" s="28">
        <f>IFERROR(LOOKUP(Y271,{0;0.5;5;25},{"Bajo";"Medio";"Alto";"Crítico"}),"")</f>
        <v/>
      </c>
      <c r="AA271" s="64">
        <f>IF(T271&gt;=3,IF(X271&gt;=1,"Zona 1 — Crítica: impacto alto y ocurre al menos una vez al año","Zona 4 — Catastrófica poco probable: impacto alto pero excepcional"),IF(AND(T271&lt;1.5,X271&lt;1),"Zona 3 — Asumible: impacto bajo y muy poco frecuente","Zona 2 — Atención: riesgo intermedio"))</f>
        <v/>
      </c>
      <c r="AB271" s="64">
        <f>IFERROR(INDEX(MgAmenCtrl,MATCH(SUBSTITUTE($H271,"*","-"),MgAmenClave,0)),"")</f>
        <v/>
      </c>
      <c r="AC271" s="20" t="n"/>
      <c r="AD271" s="31">
        <f>IFERROR($X271*(1-IF($AC271="",$AL271,VLOOKUP($AC271,MgMad,2,0))),"")</f>
        <v/>
      </c>
      <c r="AE271" s="28">
        <f>IFERROR(LOOKUP(AD271,{0;0.01;0.1;1;10;100},{"Muy baja";"Muy baja";"Baja";"Media";"Alta";"Muy alta"}),"")</f>
        <v/>
      </c>
      <c r="AF271" s="30">
        <f>T271*AD271</f>
        <v/>
      </c>
      <c r="AG271" s="28">
        <f>IFERROR(LOOKUP(AF271,{0;0.5;5;25},{"Bajo";"Medio";"Alto";"Crítico"}),"")</f>
        <v/>
      </c>
      <c r="AH271" s="28">
        <f>IF(AG271="","",IF(OR(AG271="Crítico",AG271="Alto"),"Mitigar",IF(AG271="Medio","Mitigar","Aceptar y monitorear")))</f>
        <v/>
      </c>
      <c r="AI271" s="21" t="n"/>
      <c r="AJ271" s="21" t="n"/>
      <c r="AK271" s="20" t="n"/>
      <c r="AL271" s="77">
        <f>IFERROR(INDEX(MgAmenEfic,MATCH(SUBSTITUTE($H271,"*","-"),MgAmenClave,0)),0)</f>
        <v/>
      </c>
    </row>
    <row r="272" hidden="1" ht="120" customHeight="1" s="54">
      <c r="B272" s="59" t="inlineStr">
        <is>
          <t>R-0267</t>
        </is>
      </c>
      <c r="C272" s="59" t="inlineStr">
        <is>
          <t>DO-01</t>
        </is>
      </c>
      <c r="D272" s="64">
        <f>IFERROR(INDEX(MgNombre,MATCH($C272,MgActId,0)),"")</f>
        <v/>
      </c>
      <c r="E272" s="64">
        <f>IFERROR(INDEX(MgProceso,MATCH($C272,MgActId,0)),"")</f>
        <v/>
      </c>
      <c r="F272" s="64">
        <f>IFERROR(INDEX(MgTipo,MATCH($C272,MgActId,0)),"")</f>
        <v/>
      </c>
      <c r="G272" s="64">
        <f>IFERROR(INDEX(MgSubtipo,MATCH($C272,MgActId,0)),"")</f>
        <v/>
      </c>
      <c r="H272" s="59" t="inlineStr">
        <is>
          <t>E.2</t>
        </is>
      </c>
      <c r="I272" s="64">
        <f>IFERROR(INDEX(MgAmenNombre,MATCH(SUBSTITUTE($H272,"*","-"),MgAmenClave,0)),"")</f>
        <v/>
      </c>
      <c r="J272" s="28">
        <f>IFERROR(INDEX(MgAmenGrupo,MATCH(SUBSTITUTE($H272,"*","-"),MgAmenClave,0)),"")</f>
        <v/>
      </c>
      <c r="K272" s="64">
        <f>IFERROR(INDEX('1. Matriz de Activos'!$Q$6:$Q$239,MATCH($C272,MgActId,0)),"")</f>
        <v/>
      </c>
      <c r="L272" s="64">
        <f>IFERROR(INDEX('1. Matriz de Activos'!$R$6:$R$239,MATCH($C272,MgActId,0)),"")</f>
        <v/>
      </c>
      <c r="M272" s="64">
        <f>IFERROR(INDEX('1. Matriz de Activos'!$S$6:$S$239,MATCH($C272,MgActId,0)),"")</f>
        <v/>
      </c>
      <c r="N272" s="28">
        <f>IFERROR(INDEX(MgAmenDegD,MATCH(SUBSTITUTE($H272,"*","-"),MgAmenClave,0)),"No aplica")</f>
        <v/>
      </c>
      <c r="O272" s="28">
        <f>IFERROR(INDEX(MgAmenDegI,MATCH(SUBSTITUTE($H272,"*","-"),MgAmenClave,0)),"No aplica")</f>
        <v/>
      </c>
      <c r="P272" s="28">
        <f>IFERROR(INDEX(MgAmenDegC,MATCH(SUBSTITUTE($H272,"*","-"),MgAmenClave,0)),"No aplica")</f>
        <v/>
      </c>
      <c r="Q272" s="29">
        <f>IFERROR(VLOOKUP(K272,MgValor,2,0)*VLOOKUP(N272,MgDeg,2,0),0)</f>
        <v/>
      </c>
      <c r="R272" s="29">
        <f>IFERROR(VLOOKUP(L272,MgValor,2,0)*VLOOKUP(O272,MgDeg,2,0),0)</f>
        <v/>
      </c>
      <c r="S272" s="29">
        <f>IFERROR(VLOOKUP(M272,MgValor,2,0)*VLOOKUP(P272,MgDeg,2,0),0)</f>
        <v/>
      </c>
      <c r="T272" s="30">
        <f>MAX(Q272:S272)</f>
        <v/>
      </c>
      <c r="U272" s="28">
        <f>IFERROR(LOOKUP(T272,{0;0.5;1.5;3;4.5},{"Despreciable";"Bajo";"Medio";"Alto";"Muy alto"}),"")</f>
        <v/>
      </c>
      <c r="V272" s="13">
        <f>IFERROR(INDEX(MgAmenFrec,MATCH(SUBSTITUTE($H272,"*","-"),MgAmenClave,0)),"")</f>
        <v/>
      </c>
      <c r="W272" s="28">
        <f>IFERROR(LOOKUP(X272,{0;0.01;0.1;1;10;100},{"Muy baja";"Muy baja";"Baja";"Media";"Alta";"Muy alta"}),"")</f>
        <v/>
      </c>
      <c r="X272" s="31">
        <f>IFERROR(VLOOKUP(V272,MgFrec,2,0),0)</f>
        <v/>
      </c>
      <c r="Y272" s="30">
        <f>T272*X272</f>
        <v/>
      </c>
      <c r="Z272" s="28">
        <f>IFERROR(LOOKUP(Y272,{0;0.5;5;25},{"Bajo";"Medio";"Alto";"Crítico"}),"")</f>
        <v/>
      </c>
      <c r="AA272" s="64">
        <f>IF(T272&gt;=3,IF(X272&gt;=1,"Zona 1 — Crítica: impacto alto y ocurre al menos una vez al año","Zona 4 — Catastrófica poco probable: impacto alto pero excepcional"),IF(AND(T272&lt;1.5,X272&lt;1),"Zona 3 — Asumible: impacto bajo y muy poco frecuente","Zona 2 — Atención: riesgo intermedio"))</f>
        <v/>
      </c>
      <c r="AB272" s="64">
        <f>IFERROR(INDEX(MgAmenCtrl,MATCH(SUBSTITUTE($H272,"*","-"),MgAmenClave,0)),"")</f>
        <v/>
      </c>
      <c r="AC272" s="20" t="n"/>
      <c r="AD272" s="31">
        <f>IFERROR($X272*(1-IF($AC272="",$AL272,VLOOKUP($AC272,MgMad,2,0))),"")</f>
        <v/>
      </c>
      <c r="AE272" s="28">
        <f>IFERROR(LOOKUP(AD272,{0;0.01;0.1;1;10;100},{"Muy baja";"Muy baja";"Baja";"Media";"Alta";"Muy alta"}),"")</f>
        <v/>
      </c>
      <c r="AF272" s="30">
        <f>T272*AD272</f>
        <v/>
      </c>
      <c r="AG272" s="28">
        <f>IFERROR(LOOKUP(AF272,{0;0.5;5;25},{"Bajo";"Medio";"Alto";"Crítico"}),"")</f>
        <v/>
      </c>
      <c r="AH272" s="28">
        <f>IF(AG272="","",IF(OR(AG272="Crítico",AG272="Alto"),"Mitigar",IF(AG272="Medio","Mitigar","Aceptar y monitorear")))</f>
        <v/>
      </c>
      <c r="AI272" s="21" t="n"/>
      <c r="AJ272" s="21" t="n"/>
      <c r="AK272" s="20" t="n"/>
      <c r="AL272" s="77">
        <f>IFERROR(INDEX(MgAmenEfic,MATCH(SUBSTITUTE($H272,"*","-"),MgAmenClave,0)),0)</f>
        <v/>
      </c>
    </row>
    <row r="273" hidden="1" ht="60" customHeight="1" s="54">
      <c r="B273" s="59" t="inlineStr">
        <is>
          <t>R-0268</t>
        </is>
      </c>
      <c r="C273" s="59" t="inlineStr">
        <is>
          <t>DO-01</t>
        </is>
      </c>
      <c r="D273" s="64">
        <f>IFERROR(INDEX(MgNombre,MATCH($C273,MgActId,0)),"")</f>
        <v/>
      </c>
      <c r="E273" s="64">
        <f>IFERROR(INDEX(MgProceso,MATCH($C273,MgActId,0)),"")</f>
        <v/>
      </c>
      <c r="F273" s="64">
        <f>IFERROR(INDEX(MgTipo,MATCH($C273,MgActId,0)),"")</f>
        <v/>
      </c>
      <c r="G273" s="64">
        <f>IFERROR(INDEX(MgSubtipo,MATCH($C273,MgActId,0)),"")</f>
        <v/>
      </c>
      <c r="H273" s="59" t="inlineStr">
        <is>
          <t>E.9</t>
        </is>
      </c>
      <c r="I273" s="64">
        <f>IFERROR(INDEX(MgAmenNombre,MATCH(SUBSTITUTE($H273,"*","-"),MgAmenClave,0)),"")</f>
        <v/>
      </c>
      <c r="J273" s="28">
        <f>IFERROR(INDEX(MgAmenGrupo,MATCH(SUBSTITUTE($H273,"*","-"),MgAmenClave,0)),"")</f>
        <v/>
      </c>
      <c r="K273" s="64">
        <f>IFERROR(INDEX('1. Matriz de Activos'!$Q$6:$Q$239,MATCH($C273,MgActId,0)),"")</f>
        <v/>
      </c>
      <c r="L273" s="64">
        <f>IFERROR(INDEX('1. Matriz de Activos'!$R$6:$R$239,MATCH($C273,MgActId,0)),"")</f>
        <v/>
      </c>
      <c r="M273" s="64">
        <f>IFERROR(INDEX('1. Matriz de Activos'!$S$6:$S$239,MATCH($C273,MgActId,0)),"")</f>
        <v/>
      </c>
      <c r="N273" s="28">
        <f>IFERROR(INDEX(MgAmenDegD,MATCH(SUBSTITUTE($H273,"*","-"),MgAmenClave,0)),"No aplica")</f>
        <v/>
      </c>
      <c r="O273" s="28">
        <f>IFERROR(INDEX(MgAmenDegI,MATCH(SUBSTITUTE($H273,"*","-"),MgAmenClave,0)),"No aplica")</f>
        <v/>
      </c>
      <c r="P273" s="28">
        <f>IFERROR(INDEX(MgAmenDegC,MATCH(SUBSTITUTE($H273,"*","-"),MgAmenClave,0)),"No aplica")</f>
        <v/>
      </c>
      <c r="Q273" s="29">
        <f>IFERROR(VLOOKUP(K273,MgValor,2,0)*VLOOKUP(N273,MgDeg,2,0),0)</f>
        <v/>
      </c>
      <c r="R273" s="29">
        <f>IFERROR(VLOOKUP(L273,MgValor,2,0)*VLOOKUP(O273,MgDeg,2,0),0)</f>
        <v/>
      </c>
      <c r="S273" s="29">
        <f>IFERROR(VLOOKUP(M273,MgValor,2,0)*VLOOKUP(P273,MgDeg,2,0),0)</f>
        <v/>
      </c>
      <c r="T273" s="30">
        <f>MAX(Q273:S273)</f>
        <v/>
      </c>
      <c r="U273" s="28">
        <f>IFERROR(LOOKUP(T273,{0;0.5;1.5;3;4.5},{"Despreciable";"Bajo";"Medio";"Alto";"Muy alto"}),"")</f>
        <v/>
      </c>
      <c r="V273" s="13">
        <f>IFERROR(INDEX(MgAmenFrec,MATCH(SUBSTITUTE($H273,"*","-"),MgAmenClave,0)),"")</f>
        <v/>
      </c>
      <c r="W273" s="28">
        <f>IFERROR(LOOKUP(X273,{0;0.01;0.1;1;10;100},{"Muy baja";"Muy baja";"Baja";"Media";"Alta";"Muy alta"}),"")</f>
        <v/>
      </c>
      <c r="X273" s="31">
        <f>IFERROR(VLOOKUP(V273,MgFrec,2,0),0)</f>
        <v/>
      </c>
      <c r="Y273" s="30">
        <f>T273*X273</f>
        <v/>
      </c>
      <c r="Z273" s="28">
        <f>IFERROR(LOOKUP(Y273,{0;0.5;5;25},{"Bajo";"Medio";"Alto";"Crítico"}),"")</f>
        <v/>
      </c>
      <c r="AA273" s="64">
        <f>IF(T273&gt;=3,IF(X273&gt;=1,"Zona 1 — Crítica: impacto alto y ocurre al menos una vez al año","Zona 4 — Catastrófica poco probable: impacto alto pero excepcional"),IF(AND(T273&lt;1.5,X273&lt;1),"Zona 3 — Asumible: impacto bajo y muy poco frecuente","Zona 2 — Atención: riesgo intermedio"))</f>
        <v/>
      </c>
      <c r="AB273" s="64">
        <f>IFERROR(INDEX(MgAmenCtrl,MATCH(SUBSTITUTE($H273,"*","-"),MgAmenClave,0)),"")</f>
        <v/>
      </c>
      <c r="AC273" s="20" t="n"/>
      <c r="AD273" s="31">
        <f>IFERROR($X273*(1-IF($AC273="",$AL273,VLOOKUP($AC273,MgMad,2,0))),"")</f>
        <v/>
      </c>
      <c r="AE273" s="28">
        <f>IFERROR(LOOKUP(AD273,{0;0.01;0.1;1;10;100},{"Muy baja";"Muy baja";"Baja";"Media";"Alta";"Muy alta"}),"")</f>
        <v/>
      </c>
      <c r="AF273" s="30">
        <f>T273*AD273</f>
        <v/>
      </c>
      <c r="AG273" s="28">
        <f>IFERROR(LOOKUP(AF273,{0;0.5;5;25},{"Bajo";"Medio";"Alto";"Crítico"}),"")</f>
        <v/>
      </c>
      <c r="AH273" s="28">
        <f>IF(AG273="","",IF(OR(AG273="Crítico",AG273="Alto"),"Mitigar",IF(AG273="Medio","Mitigar","Aceptar y monitorear")))</f>
        <v/>
      </c>
      <c r="AI273" s="21" t="n"/>
      <c r="AJ273" s="21" t="n"/>
      <c r="AK273" s="20" t="n"/>
      <c r="AL273" s="77">
        <f>IFERROR(INDEX(MgAmenEfic,MATCH(SUBSTITUTE($H273,"*","-"),MgAmenClave,0)),0)</f>
        <v/>
      </c>
    </row>
    <row r="274" hidden="1" ht="90" customHeight="1" s="54">
      <c r="B274" s="59" t="inlineStr">
        <is>
          <t>R-0269</t>
        </is>
      </c>
      <c r="C274" s="59" t="inlineStr">
        <is>
          <t>DO-01</t>
        </is>
      </c>
      <c r="D274" s="64">
        <f>IFERROR(INDEX(MgNombre,MATCH($C274,MgActId,0)),"")</f>
        <v/>
      </c>
      <c r="E274" s="64">
        <f>IFERROR(INDEX(MgProceso,MATCH($C274,MgActId,0)),"")</f>
        <v/>
      </c>
      <c r="F274" s="64">
        <f>IFERROR(INDEX(MgTipo,MATCH($C274,MgActId,0)),"")</f>
        <v/>
      </c>
      <c r="G274" s="64">
        <f>IFERROR(INDEX(MgSubtipo,MATCH($C274,MgActId,0)),"")</f>
        <v/>
      </c>
      <c r="H274" s="59" t="inlineStr">
        <is>
          <t>E.10</t>
        </is>
      </c>
      <c r="I274" s="64">
        <f>IFERROR(INDEX(MgAmenNombre,MATCH(SUBSTITUTE($H274,"*","-"),MgAmenClave,0)),"")</f>
        <v/>
      </c>
      <c r="J274" s="28">
        <f>IFERROR(INDEX(MgAmenGrupo,MATCH(SUBSTITUTE($H274,"*","-"),MgAmenClave,0)),"")</f>
        <v/>
      </c>
      <c r="K274" s="64">
        <f>IFERROR(INDEX('1. Matriz de Activos'!$Q$6:$Q$239,MATCH($C274,MgActId,0)),"")</f>
        <v/>
      </c>
      <c r="L274" s="64">
        <f>IFERROR(INDEX('1. Matriz de Activos'!$R$6:$R$239,MATCH($C274,MgActId,0)),"")</f>
        <v/>
      </c>
      <c r="M274" s="64">
        <f>IFERROR(INDEX('1. Matriz de Activos'!$S$6:$S$239,MATCH($C274,MgActId,0)),"")</f>
        <v/>
      </c>
      <c r="N274" s="28">
        <f>IFERROR(INDEX(MgAmenDegD,MATCH(SUBSTITUTE($H274,"*","-"),MgAmenClave,0)),"No aplica")</f>
        <v/>
      </c>
      <c r="O274" s="28">
        <f>IFERROR(INDEX(MgAmenDegI,MATCH(SUBSTITUTE($H274,"*","-"),MgAmenClave,0)),"No aplica")</f>
        <v/>
      </c>
      <c r="P274" s="28">
        <f>IFERROR(INDEX(MgAmenDegC,MATCH(SUBSTITUTE($H274,"*","-"),MgAmenClave,0)),"No aplica")</f>
        <v/>
      </c>
      <c r="Q274" s="29">
        <f>IFERROR(VLOOKUP(K274,MgValor,2,0)*VLOOKUP(N274,MgDeg,2,0),0)</f>
        <v/>
      </c>
      <c r="R274" s="29">
        <f>IFERROR(VLOOKUP(L274,MgValor,2,0)*VLOOKUP(O274,MgDeg,2,0),0)</f>
        <v/>
      </c>
      <c r="S274" s="29">
        <f>IFERROR(VLOOKUP(M274,MgValor,2,0)*VLOOKUP(P274,MgDeg,2,0),0)</f>
        <v/>
      </c>
      <c r="T274" s="30">
        <f>MAX(Q274:S274)</f>
        <v/>
      </c>
      <c r="U274" s="28">
        <f>IFERROR(LOOKUP(T274,{0;0.5;1.5;3;4.5},{"Despreciable";"Bajo";"Medio";"Alto";"Muy alto"}),"")</f>
        <v/>
      </c>
      <c r="V274" s="13">
        <f>IFERROR(INDEX(MgAmenFrec,MATCH(SUBSTITUTE($H274,"*","-"),MgAmenClave,0)),"")</f>
        <v/>
      </c>
      <c r="W274" s="28">
        <f>IFERROR(LOOKUP(X274,{0;0.01;0.1;1;10;100},{"Muy baja";"Muy baja";"Baja";"Media";"Alta";"Muy alta"}),"")</f>
        <v/>
      </c>
      <c r="X274" s="31">
        <f>IFERROR(VLOOKUP(V274,MgFrec,2,0),0)</f>
        <v/>
      </c>
      <c r="Y274" s="30">
        <f>T274*X274</f>
        <v/>
      </c>
      <c r="Z274" s="28">
        <f>IFERROR(LOOKUP(Y274,{0;0.5;5;25},{"Bajo";"Medio";"Alto";"Crítico"}),"")</f>
        <v/>
      </c>
      <c r="AA274" s="64">
        <f>IF(T274&gt;=3,IF(X274&gt;=1,"Zona 1 — Crítica: impacto alto y ocurre al menos una vez al año","Zona 4 — Catastrófica poco probable: impacto alto pero excepcional"),IF(AND(T274&lt;1.5,X274&lt;1),"Zona 3 — Asumible: impacto bajo y muy poco frecuente","Zona 2 — Atención: riesgo intermedio"))</f>
        <v/>
      </c>
      <c r="AB274" s="64">
        <f>IFERROR(INDEX(MgAmenCtrl,MATCH(SUBSTITUTE($H274,"*","-"),MgAmenClave,0)),"")</f>
        <v/>
      </c>
      <c r="AC274" s="20" t="n"/>
      <c r="AD274" s="31">
        <f>IFERROR($X274*(1-IF($AC274="",$AL274,VLOOKUP($AC274,MgMad,2,0))),"")</f>
        <v/>
      </c>
      <c r="AE274" s="28">
        <f>IFERROR(LOOKUP(AD274,{0;0.01;0.1;1;10;100},{"Muy baja";"Muy baja";"Baja";"Media";"Alta";"Muy alta"}),"")</f>
        <v/>
      </c>
      <c r="AF274" s="30">
        <f>T274*AD274</f>
        <v/>
      </c>
      <c r="AG274" s="28">
        <f>IFERROR(LOOKUP(AF274,{0;0.5;5;25},{"Bajo";"Medio";"Alto";"Crítico"}),"")</f>
        <v/>
      </c>
      <c r="AH274" s="28">
        <f>IF(AG274="","",IF(OR(AG274="Crítico",AG274="Alto"),"Mitigar",IF(AG274="Medio","Mitigar","Aceptar y monitorear")))</f>
        <v/>
      </c>
      <c r="AI274" s="21" t="n"/>
      <c r="AJ274" s="21" t="n"/>
      <c r="AK274" s="20" t="n"/>
      <c r="AL274" s="77">
        <f>IFERROR(INDEX(MgAmenEfic,MATCH(SUBSTITUTE($H274,"*","-"),MgAmenClave,0)),0)</f>
        <v/>
      </c>
    </row>
    <row r="275" hidden="1" ht="90" customHeight="1" s="54">
      <c r="B275" s="59" t="inlineStr">
        <is>
          <t>R-0270</t>
        </is>
      </c>
      <c r="C275" s="59" t="inlineStr">
        <is>
          <t>DO-01</t>
        </is>
      </c>
      <c r="D275" s="64">
        <f>IFERROR(INDEX(MgNombre,MATCH($C275,MgActId,0)),"")</f>
        <v/>
      </c>
      <c r="E275" s="64">
        <f>IFERROR(INDEX(MgProceso,MATCH($C275,MgActId,0)),"")</f>
        <v/>
      </c>
      <c r="F275" s="64">
        <f>IFERROR(INDEX(MgTipo,MATCH($C275,MgActId,0)),"")</f>
        <v/>
      </c>
      <c r="G275" s="64">
        <f>IFERROR(INDEX(MgSubtipo,MATCH($C275,MgActId,0)),"")</f>
        <v/>
      </c>
      <c r="H275" s="59" t="inlineStr">
        <is>
          <t>E.14</t>
        </is>
      </c>
      <c r="I275" s="64">
        <f>IFERROR(INDEX(MgAmenNombre,MATCH(SUBSTITUTE($H275,"*","-"),MgAmenClave,0)),"")</f>
        <v/>
      </c>
      <c r="J275" s="28">
        <f>IFERROR(INDEX(MgAmenGrupo,MATCH(SUBSTITUTE($H275,"*","-"),MgAmenClave,0)),"")</f>
        <v/>
      </c>
      <c r="K275" s="64">
        <f>IFERROR(INDEX('1. Matriz de Activos'!$Q$6:$Q$239,MATCH($C275,MgActId,0)),"")</f>
        <v/>
      </c>
      <c r="L275" s="64">
        <f>IFERROR(INDEX('1. Matriz de Activos'!$R$6:$R$239,MATCH($C275,MgActId,0)),"")</f>
        <v/>
      </c>
      <c r="M275" s="64">
        <f>IFERROR(INDEX('1. Matriz de Activos'!$S$6:$S$239,MATCH($C275,MgActId,0)),"")</f>
        <v/>
      </c>
      <c r="N275" s="28">
        <f>IFERROR(INDEX(MgAmenDegD,MATCH(SUBSTITUTE($H275,"*","-"),MgAmenClave,0)),"No aplica")</f>
        <v/>
      </c>
      <c r="O275" s="28">
        <f>IFERROR(INDEX(MgAmenDegI,MATCH(SUBSTITUTE($H275,"*","-"),MgAmenClave,0)),"No aplica")</f>
        <v/>
      </c>
      <c r="P275" s="28">
        <f>IFERROR(INDEX(MgAmenDegC,MATCH(SUBSTITUTE($H275,"*","-"),MgAmenClave,0)),"No aplica")</f>
        <v/>
      </c>
      <c r="Q275" s="29">
        <f>IFERROR(VLOOKUP(K275,MgValor,2,0)*VLOOKUP(N275,MgDeg,2,0),0)</f>
        <v/>
      </c>
      <c r="R275" s="29">
        <f>IFERROR(VLOOKUP(L275,MgValor,2,0)*VLOOKUP(O275,MgDeg,2,0),0)</f>
        <v/>
      </c>
      <c r="S275" s="29">
        <f>IFERROR(VLOOKUP(M275,MgValor,2,0)*VLOOKUP(P275,MgDeg,2,0),0)</f>
        <v/>
      </c>
      <c r="T275" s="30">
        <f>MAX(Q275:S275)</f>
        <v/>
      </c>
      <c r="U275" s="28">
        <f>IFERROR(LOOKUP(T275,{0;0.5;1.5;3;4.5},{"Despreciable";"Bajo";"Medio";"Alto";"Muy alto"}),"")</f>
        <v/>
      </c>
      <c r="V275" s="13">
        <f>IFERROR(INDEX(MgAmenFrec,MATCH(SUBSTITUTE($H275,"*","-"),MgAmenClave,0)),"")</f>
        <v/>
      </c>
      <c r="W275" s="28">
        <f>IFERROR(LOOKUP(X275,{0;0.01;0.1;1;10;100},{"Muy baja";"Muy baja";"Baja";"Media";"Alta";"Muy alta"}),"")</f>
        <v/>
      </c>
      <c r="X275" s="31">
        <f>IFERROR(VLOOKUP(V275,MgFrec,2,0),0)</f>
        <v/>
      </c>
      <c r="Y275" s="30">
        <f>T275*X275</f>
        <v/>
      </c>
      <c r="Z275" s="28">
        <f>IFERROR(LOOKUP(Y275,{0;0.5;5;25},{"Bajo";"Medio";"Alto";"Crítico"}),"")</f>
        <v/>
      </c>
      <c r="AA275" s="64">
        <f>IF(T275&gt;=3,IF(X275&gt;=1,"Zona 1 — Crítica: impacto alto y ocurre al menos una vez al año","Zona 4 — Catastrófica poco probable: impacto alto pero excepcional"),IF(AND(T275&lt;1.5,X275&lt;1),"Zona 3 — Asumible: impacto bajo y muy poco frecuente","Zona 2 — Atención: riesgo intermedio"))</f>
        <v/>
      </c>
      <c r="AB275" s="64">
        <f>IFERROR(INDEX(MgAmenCtrl,MATCH(SUBSTITUTE($H275,"*","-"),MgAmenClave,0)),"")</f>
        <v/>
      </c>
      <c r="AC275" s="20" t="n"/>
      <c r="AD275" s="31">
        <f>IFERROR($X275*(1-IF($AC275="",$AL275,VLOOKUP($AC275,MgMad,2,0))),"")</f>
        <v/>
      </c>
      <c r="AE275" s="28">
        <f>IFERROR(LOOKUP(AD275,{0;0.01;0.1;1;10;100},{"Muy baja";"Muy baja";"Baja";"Media";"Alta";"Muy alta"}),"")</f>
        <v/>
      </c>
      <c r="AF275" s="30">
        <f>T275*AD275</f>
        <v/>
      </c>
      <c r="AG275" s="28">
        <f>IFERROR(LOOKUP(AF275,{0;0.5;5;25},{"Bajo";"Medio";"Alto";"Crítico"}),"")</f>
        <v/>
      </c>
      <c r="AH275" s="28">
        <f>IF(AG275="","",IF(OR(AG275="Crítico",AG275="Alto"),"Mitigar",IF(AG275="Medio","Mitigar","Aceptar y monitorear")))</f>
        <v/>
      </c>
      <c r="AI275" s="21" t="n"/>
      <c r="AJ275" s="21" t="n"/>
      <c r="AK275" s="20" t="n"/>
      <c r="AL275" s="77">
        <f>IFERROR(INDEX(MgAmenEfic,MATCH(SUBSTITUTE($H275,"*","-"),MgAmenClave,0)),0)</f>
        <v/>
      </c>
    </row>
    <row r="276" hidden="1" ht="90" customHeight="1" s="54">
      <c r="B276" s="59" t="inlineStr">
        <is>
          <t>R-0271</t>
        </is>
      </c>
      <c r="C276" s="59" t="inlineStr">
        <is>
          <t>DO-01</t>
        </is>
      </c>
      <c r="D276" s="64">
        <f>IFERROR(INDEX(MgNombre,MATCH($C276,MgActId,0)),"")</f>
        <v/>
      </c>
      <c r="E276" s="64">
        <f>IFERROR(INDEX(MgProceso,MATCH($C276,MgActId,0)),"")</f>
        <v/>
      </c>
      <c r="F276" s="64">
        <f>IFERROR(INDEX(MgTipo,MATCH($C276,MgActId,0)),"")</f>
        <v/>
      </c>
      <c r="G276" s="64">
        <f>IFERROR(INDEX(MgSubtipo,MATCH($C276,MgActId,0)),"")</f>
        <v/>
      </c>
      <c r="H276" s="59" t="inlineStr">
        <is>
          <t>E.15</t>
        </is>
      </c>
      <c r="I276" s="64">
        <f>IFERROR(INDEX(MgAmenNombre,MATCH(SUBSTITUTE($H276,"*","-"),MgAmenClave,0)),"")</f>
        <v/>
      </c>
      <c r="J276" s="28">
        <f>IFERROR(INDEX(MgAmenGrupo,MATCH(SUBSTITUTE($H276,"*","-"),MgAmenClave,0)),"")</f>
        <v/>
      </c>
      <c r="K276" s="64">
        <f>IFERROR(INDEX('1. Matriz de Activos'!$Q$6:$Q$239,MATCH($C276,MgActId,0)),"")</f>
        <v/>
      </c>
      <c r="L276" s="64">
        <f>IFERROR(INDEX('1. Matriz de Activos'!$R$6:$R$239,MATCH($C276,MgActId,0)),"")</f>
        <v/>
      </c>
      <c r="M276" s="64">
        <f>IFERROR(INDEX('1. Matriz de Activos'!$S$6:$S$239,MATCH($C276,MgActId,0)),"")</f>
        <v/>
      </c>
      <c r="N276" s="28">
        <f>IFERROR(INDEX(MgAmenDegD,MATCH(SUBSTITUTE($H276,"*","-"),MgAmenClave,0)),"No aplica")</f>
        <v/>
      </c>
      <c r="O276" s="28">
        <f>IFERROR(INDEX(MgAmenDegI,MATCH(SUBSTITUTE($H276,"*","-"),MgAmenClave,0)),"No aplica")</f>
        <v/>
      </c>
      <c r="P276" s="28">
        <f>IFERROR(INDEX(MgAmenDegC,MATCH(SUBSTITUTE($H276,"*","-"),MgAmenClave,0)),"No aplica")</f>
        <v/>
      </c>
      <c r="Q276" s="29">
        <f>IFERROR(VLOOKUP(K276,MgValor,2,0)*VLOOKUP(N276,MgDeg,2,0),0)</f>
        <v/>
      </c>
      <c r="R276" s="29">
        <f>IFERROR(VLOOKUP(L276,MgValor,2,0)*VLOOKUP(O276,MgDeg,2,0),0)</f>
        <v/>
      </c>
      <c r="S276" s="29">
        <f>IFERROR(VLOOKUP(M276,MgValor,2,0)*VLOOKUP(P276,MgDeg,2,0),0)</f>
        <v/>
      </c>
      <c r="T276" s="30">
        <f>MAX(Q276:S276)</f>
        <v/>
      </c>
      <c r="U276" s="28">
        <f>IFERROR(LOOKUP(T276,{0;0.5;1.5;3;4.5},{"Despreciable";"Bajo";"Medio";"Alto";"Muy alto"}),"")</f>
        <v/>
      </c>
      <c r="V276" s="13">
        <f>IFERROR(INDEX(MgAmenFrec,MATCH(SUBSTITUTE($H276,"*","-"),MgAmenClave,0)),"")</f>
        <v/>
      </c>
      <c r="W276" s="28">
        <f>IFERROR(LOOKUP(X276,{0;0.01;0.1;1;10;100},{"Muy baja";"Muy baja";"Baja";"Media";"Alta";"Muy alta"}),"")</f>
        <v/>
      </c>
      <c r="X276" s="31">
        <f>IFERROR(VLOOKUP(V276,MgFrec,2,0),0)</f>
        <v/>
      </c>
      <c r="Y276" s="30">
        <f>T276*X276</f>
        <v/>
      </c>
      <c r="Z276" s="28">
        <f>IFERROR(LOOKUP(Y276,{0;0.5;5;25},{"Bajo";"Medio";"Alto";"Crítico"}),"")</f>
        <v/>
      </c>
      <c r="AA276" s="64">
        <f>IF(T276&gt;=3,IF(X276&gt;=1,"Zona 1 — Crítica: impacto alto y ocurre al menos una vez al año","Zona 4 — Catastrófica poco probable: impacto alto pero excepcional"),IF(AND(T276&lt;1.5,X276&lt;1),"Zona 3 — Asumible: impacto bajo y muy poco frecuente","Zona 2 — Atención: riesgo intermedio"))</f>
        <v/>
      </c>
      <c r="AB276" s="64">
        <f>IFERROR(INDEX(MgAmenCtrl,MATCH(SUBSTITUTE($H276,"*","-"),MgAmenClave,0)),"")</f>
        <v/>
      </c>
      <c r="AC276" s="20" t="n"/>
      <c r="AD276" s="31">
        <f>IFERROR($X276*(1-IF($AC276="",$AL276,VLOOKUP($AC276,MgMad,2,0))),"")</f>
        <v/>
      </c>
      <c r="AE276" s="28">
        <f>IFERROR(LOOKUP(AD276,{0;0.01;0.1;1;10;100},{"Muy baja";"Muy baja";"Baja";"Media";"Alta";"Muy alta"}),"")</f>
        <v/>
      </c>
      <c r="AF276" s="30">
        <f>T276*AD276</f>
        <v/>
      </c>
      <c r="AG276" s="28">
        <f>IFERROR(LOOKUP(AF276,{0;0.5;5;25},{"Bajo";"Medio";"Alto";"Crítico"}),"")</f>
        <v/>
      </c>
      <c r="AH276" s="28">
        <f>IF(AG276="","",IF(OR(AG276="Crítico",AG276="Alto"),"Mitigar",IF(AG276="Medio","Mitigar","Aceptar y monitorear")))</f>
        <v/>
      </c>
      <c r="AI276" s="21" t="n"/>
      <c r="AJ276" s="21" t="n"/>
      <c r="AK276" s="20" t="n"/>
      <c r="AL276" s="77">
        <f>IFERROR(INDEX(MgAmenEfic,MATCH(SUBSTITUTE($H276,"*","-"),MgAmenClave,0)),0)</f>
        <v/>
      </c>
    </row>
    <row r="277" hidden="1" ht="60" customHeight="1" s="54">
      <c r="B277" s="59" t="inlineStr">
        <is>
          <t>R-0272</t>
        </is>
      </c>
      <c r="C277" s="59" t="inlineStr">
        <is>
          <t>DO-01</t>
        </is>
      </c>
      <c r="D277" s="64">
        <f>IFERROR(INDEX(MgNombre,MATCH($C277,MgActId,0)),"")</f>
        <v/>
      </c>
      <c r="E277" s="64">
        <f>IFERROR(INDEX(MgProceso,MATCH($C277,MgActId,0)),"")</f>
        <v/>
      </c>
      <c r="F277" s="64">
        <f>IFERROR(INDEX(MgTipo,MATCH($C277,MgActId,0)),"")</f>
        <v/>
      </c>
      <c r="G277" s="64">
        <f>IFERROR(INDEX(MgSubtipo,MATCH($C277,MgActId,0)),"")</f>
        <v/>
      </c>
      <c r="H277" s="59" t="inlineStr">
        <is>
          <t>E.18</t>
        </is>
      </c>
      <c r="I277" s="64">
        <f>IFERROR(INDEX(MgAmenNombre,MATCH(SUBSTITUTE($H277,"*","-"),MgAmenClave,0)),"")</f>
        <v/>
      </c>
      <c r="J277" s="28">
        <f>IFERROR(INDEX(MgAmenGrupo,MATCH(SUBSTITUTE($H277,"*","-"),MgAmenClave,0)),"")</f>
        <v/>
      </c>
      <c r="K277" s="64">
        <f>IFERROR(INDEX('1. Matriz de Activos'!$Q$6:$Q$239,MATCH($C277,MgActId,0)),"")</f>
        <v/>
      </c>
      <c r="L277" s="64">
        <f>IFERROR(INDEX('1. Matriz de Activos'!$R$6:$R$239,MATCH($C277,MgActId,0)),"")</f>
        <v/>
      </c>
      <c r="M277" s="64">
        <f>IFERROR(INDEX('1. Matriz de Activos'!$S$6:$S$239,MATCH($C277,MgActId,0)),"")</f>
        <v/>
      </c>
      <c r="N277" s="28">
        <f>IFERROR(INDEX(MgAmenDegD,MATCH(SUBSTITUTE($H277,"*","-"),MgAmenClave,0)),"No aplica")</f>
        <v/>
      </c>
      <c r="O277" s="28">
        <f>IFERROR(INDEX(MgAmenDegI,MATCH(SUBSTITUTE($H277,"*","-"),MgAmenClave,0)),"No aplica")</f>
        <v/>
      </c>
      <c r="P277" s="28">
        <f>IFERROR(INDEX(MgAmenDegC,MATCH(SUBSTITUTE($H277,"*","-"),MgAmenClave,0)),"No aplica")</f>
        <v/>
      </c>
      <c r="Q277" s="29">
        <f>IFERROR(VLOOKUP(K277,MgValor,2,0)*VLOOKUP(N277,MgDeg,2,0),0)</f>
        <v/>
      </c>
      <c r="R277" s="29">
        <f>IFERROR(VLOOKUP(L277,MgValor,2,0)*VLOOKUP(O277,MgDeg,2,0),0)</f>
        <v/>
      </c>
      <c r="S277" s="29">
        <f>IFERROR(VLOOKUP(M277,MgValor,2,0)*VLOOKUP(P277,MgDeg,2,0),0)</f>
        <v/>
      </c>
      <c r="T277" s="30">
        <f>MAX(Q277:S277)</f>
        <v/>
      </c>
      <c r="U277" s="28">
        <f>IFERROR(LOOKUP(T277,{0;0.5;1.5;3;4.5},{"Despreciable";"Bajo";"Medio";"Alto";"Muy alto"}),"")</f>
        <v/>
      </c>
      <c r="V277" s="13">
        <f>IFERROR(INDEX(MgAmenFrec,MATCH(SUBSTITUTE($H277,"*","-"),MgAmenClave,0)),"")</f>
        <v/>
      </c>
      <c r="W277" s="28">
        <f>IFERROR(LOOKUP(X277,{0;0.01;0.1;1;10;100},{"Muy baja";"Muy baja";"Baja";"Media";"Alta";"Muy alta"}),"")</f>
        <v/>
      </c>
      <c r="X277" s="31">
        <f>IFERROR(VLOOKUP(V277,MgFrec,2,0),0)</f>
        <v/>
      </c>
      <c r="Y277" s="30">
        <f>T277*X277</f>
        <v/>
      </c>
      <c r="Z277" s="28">
        <f>IFERROR(LOOKUP(Y277,{0;0.5;5;25},{"Bajo";"Medio";"Alto";"Crítico"}),"")</f>
        <v/>
      </c>
      <c r="AA277" s="64">
        <f>IF(T277&gt;=3,IF(X277&gt;=1,"Zona 1 — Crítica: impacto alto y ocurre al menos una vez al año","Zona 4 — Catastrófica poco probable: impacto alto pero excepcional"),IF(AND(T277&lt;1.5,X277&lt;1),"Zona 3 — Asumible: impacto bajo y muy poco frecuente","Zona 2 — Atención: riesgo intermedio"))</f>
        <v/>
      </c>
      <c r="AB277" s="64">
        <f>IFERROR(INDEX(MgAmenCtrl,MATCH(SUBSTITUTE($H277,"*","-"),MgAmenClave,0)),"")</f>
        <v/>
      </c>
      <c r="AC277" s="20" t="n"/>
      <c r="AD277" s="31">
        <f>IFERROR($X277*(1-IF($AC277="",$AL277,VLOOKUP($AC277,MgMad,2,0))),"")</f>
        <v/>
      </c>
      <c r="AE277" s="28">
        <f>IFERROR(LOOKUP(AD277,{0;0.01;0.1;1;10;100},{"Muy baja";"Muy baja";"Baja";"Media";"Alta";"Muy alta"}),"")</f>
        <v/>
      </c>
      <c r="AF277" s="30">
        <f>T277*AD277</f>
        <v/>
      </c>
      <c r="AG277" s="28">
        <f>IFERROR(LOOKUP(AF277,{0;0.5;5;25},{"Bajo";"Medio";"Alto";"Crítico"}),"")</f>
        <v/>
      </c>
      <c r="AH277" s="28">
        <f>IF(AG277="","",IF(OR(AG277="Crítico",AG277="Alto"),"Mitigar",IF(AG277="Medio","Mitigar","Aceptar y monitorear")))</f>
        <v/>
      </c>
      <c r="AI277" s="21" t="n"/>
      <c r="AJ277" s="21" t="n"/>
      <c r="AK277" s="20" t="n"/>
      <c r="AL277" s="77">
        <f>IFERROR(INDEX(MgAmenEfic,MATCH(SUBSTITUTE($H277,"*","-"),MgAmenClave,0)),0)</f>
        <v/>
      </c>
    </row>
    <row r="278" hidden="1" ht="105" customHeight="1" s="54">
      <c r="B278" s="59" t="inlineStr">
        <is>
          <t>R-0273</t>
        </is>
      </c>
      <c r="C278" s="59" t="inlineStr">
        <is>
          <t>DO-01</t>
        </is>
      </c>
      <c r="D278" s="64">
        <f>IFERROR(INDEX(MgNombre,MATCH($C278,MgActId,0)),"")</f>
        <v/>
      </c>
      <c r="E278" s="64">
        <f>IFERROR(INDEX(MgProceso,MATCH($C278,MgActId,0)),"")</f>
        <v/>
      </c>
      <c r="F278" s="64">
        <f>IFERROR(INDEX(MgTipo,MATCH($C278,MgActId,0)),"")</f>
        <v/>
      </c>
      <c r="G278" s="64">
        <f>IFERROR(INDEX(MgSubtipo,MATCH($C278,MgActId,0)),"")</f>
        <v/>
      </c>
      <c r="H278" s="59" t="inlineStr">
        <is>
          <t>E.19</t>
        </is>
      </c>
      <c r="I278" s="64">
        <f>IFERROR(INDEX(MgAmenNombre,MATCH(SUBSTITUTE($H278,"*","-"),MgAmenClave,0)),"")</f>
        <v/>
      </c>
      <c r="J278" s="28">
        <f>IFERROR(INDEX(MgAmenGrupo,MATCH(SUBSTITUTE($H278,"*","-"),MgAmenClave,0)),"")</f>
        <v/>
      </c>
      <c r="K278" s="64">
        <f>IFERROR(INDEX('1. Matriz de Activos'!$Q$6:$Q$239,MATCH($C278,MgActId,0)),"")</f>
        <v/>
      </c>
      <c r="L278" s="64">
        <f>IFERROR(INDEX('1. Matriz de Activos'!$R$6:$R$239,MATCH($C278,MgActId,0)),"")</f>
        <v/>
      </c>
      <c r="M278" s="64">
        <f>IFERROR(INDEX('1. Matriz de Activos'!$S$6:$S$239,MATCH($C278,MgActId,0)),"")</f>
        <v/>
      </c>
      <c r="N278" s="28">
        <f>IFERROR(INDEX(MgAmenDegD,MATCH(SUBSTITUTE($H278,"*","-"),MgAmenClave,0)),"No aplica")</f>
        <v/>
      </c>
      <c r="O278" s="28">
        <f>IFERROR(INDEX(MgAmenDegI,MATCH(SUBSTITUTE($H278,"*","-"),MgAmenClave,0)),"No aplica")</f>
        <v/>
      </c>
      <c r="P278" s="28">
        <f>IFERROR(INDEX(MgAmenDegC,MATCH(SUBSTITUTE($H278,"*","-"),MgAmenClave,0)),"No aplica")</f>
        <v/>
      </c>
      <c r="Q278" s="29">
        <f>IFERROR(VLOOKUP(K278,MgValor,2,0)*VLOOKUP(N278,MgDeg,2,0),0)</f>
        <v/>
      </c>
      <c r="R278" s="29">
        <f>IFERROR(VLOOKUP(L278,MgValor,2,0)*VLOOKUP(O278,MgDeg,2,0),0)</f>
        <v/>
      </c>
      <c r="S278" s="29">
        <f>IFERROR(VLOOKUP(M278,MgValor,2,0)*VLOOKUP(P278,MgDeg,2,0),0)</f>
        <v/>
      </c>
      <c r="T278" s="30">
        <f>MAX(Q278:S278)</f>
        <v/>
      </c>
      <c r="U278" s="28">
        <f>IFERROR(LOOKUP(T278,{0;0.5;1.5;3;4.5},{"Despreciable";"Bajo";"Medio";"Alto";"Muy alto"}),"")</f>
        <v/>
      </c>
      <c r="V278" s="13">
        <f>IFERROR(INDEX(MgAmenFrec,MATCH(SUBSTITUTE($H278,"*","-"),MgAmenClave,0)),"")</f>
        <v/>
      </c>
      <c r="W278" s="28">
        <f>IFERROR(LOOKUP(X278,{0;0.01;0.1;1;10;100},{"Muy baja";"Muy baja";"Baja";"Media";"Alta";"Muy alta"}),"")</f>
        <v/>
      </c>
      <c r="X278" s="31">
        <f>IFERROR(VLOOKUP(V278,MgFrec,2,0),0)</f>
        <v/>
      </c>
      <c r="Y278" s="30">
        <f>T278*X278</f>
        <v/>
      </c>
      <c r="Z278" s="28">
        <f>IFERROR(LOOKUP(Y278,{0;0.5;5;25},{"Bajo";"Medio";"Alto";"Crítico"}),"")</f>
        <v/>
      </c>
      <c r="AA278" s="64">
        <f>IF(T278&gt;=3,IF(X278&gt;=1,"Zona 1 — Crítica: impacto alto y ocurre al menos una vez al año","Zona 4 — Catastrófica poco probable: impacto alto pero excepcional"),IF(AND(T278&lt;1.5,X278&lt;1),"Zona 3 — Asumible: impacto bajo y muy poco frecuente","Zona 2 — Atención: riesgo intermedio"))</f>
        <v/>
      </c>
      <c r="AB278" s="64">
        <f>IFERROR(INDEX(MgAmenCtrl,MATCH(SUBSTITUTE($H278,"*","-"),MgAmenClave,0)),"")</f>
        <v/>
      </c>
      <c r="AC278" s="20" t="n"/>
      <c r="AD278" s="31">
        <f>IFERROR($X278*(1-IF($AC278="",$AL278,VLOOKUP($AC278,MgMad,2,0))),"")</f>
        <v/>
      </c>
      <c r="AE278" s="28">
        <f>IFERROR(LOOKUP(AD278,{0;0.01;0.1;1;10;100},{"Muy baja";"Muy baja";"Baja";"Media";"Alta";"Muy alta"}),"")</f>
        <v/>
      </c>
      <c r="AF278" s="30">
        <f>T278*AD278</f>
        <v/>
      </c>
      <c r="AG278" s="28">
        <f>IFERROR(LOOKUP(AF278,{0;0.5;5;25},{"Bajo";"Medio";"Alto";"Crítico"}),"")</f>
        <v/>
      </c>
      <c r="AH278" s="28">
        <f>IF(AG278="","",IF(OR(AG278="Crítico",AG278="Alto"),"Mitigar",IF(AG278="Medio","Mitigar","Aceptar y monitorear")))</f>
        <v/>
      </c>
      <c r="AI278" s="21" t="n"/>
      <c r="AJ278" s="21" t="n"/>
      <c r="AK278" s="20" t="n"/>
      <c r="AL278" s="77">
        <f>IFERROR(INDEX(MgAmenEfic,MATCH(SUBSTITUTE($H278,"*","-"),MgAmenClave,0)),0)</f>
        <v/>
      </c>
    </row>
    <row r="279" hidden="1" ht="45" customHeight="1" s="54">
      <c r="B279" s="59" t="inlineStr">
        <is>
          <t>R-0274</t>
        </is>
      </c>
      <c r="C279" s="59" t="inlineStr">
        <is>
          <t>DO-01</t>
        </is>
      </c>
      <c r="D279" s="64">
        <f>IFERROR(INDEX(MgNombre,MATCH($C279,MgActId,0)),"")</f>
        <v/>
      </c>
      <c r="E279" s="64">
        <f>IFERROR(INDEX(MgProceso,MATCH($C279,MgActId,0)),"")</f>
        <v/>
      </c>
      <c r="F279" s="64">
        <f>IFERROR(INDEX(MgTipo,MATCH($C279,MgActId,0)),"")</f>
        <v/>
      </c>
      <c r="G279" s="64">
        <f>IFERROR(INDEX(MgSubtipo,MATCH($C279,MgActId,0)),"")</f>
        <v/>
      </c>
      <c r="H279" s="59" t="inlineStr">
        <is>
          <t>E.24</t>
        </is>
      </c>
      <c r="I279" s="64">
        <f>IFERROR(INDEX(MgAmenNombre,MATCH(SUBSTITUTE($H279,"*","-"),MgAmenClave,0)),"")</f>
        <v/>
      </c>
      <c r="J279" s="28">
        <f>IFERROR(INDEX(MgAmenGrupo,MATCH(SUBSTITUTE($H279,"*","-"),MgAmenClave,0)),"")</f>
        <v/>
      </c>
      <c r="K279" s="64">
        <f>IFERROR(INDEX('1. Matriz de Activos'!$Q$6:$Q$239,MATCH($C279,MgActId,0)),"")</f>
        <v/>
      </c>
      <c r="L279" s="64">
        <f>IFERROR(INDEX('1. Matriz de Activos'!$R$6:$R$239,MATCH($C279,MgActId,0)),"")</f>
        <v/>
      </c>
      <c r="M279" s="64">
        <f>IFERROR(INDEX('1. Matriz de Activos'!$S$6:$S$239,MATCH($C279,MgActId,0)),"")</f>
        <v/>
      </c>
      <c r="N279" s="28">
        <f>IFERROR(INDEX(MgAmenDegD,MATCH(SUBSTITUTE($H279,"*","-"),MgAmenClave,0)),"No aplica")</f>
        <v/>
      </c>
      <c r="O279" s="28">
        <f>IFERROR(INDEX(MgAmenDegI,MATCH(SUBSTITUTE($H279,"*","-"),MgAmenClave,0)),"No aplica")</f>
        <v/>
      </c>
      <c r="P279" s="28">
        <f>IFERROR(INDEX(MgAmenDegC,MATCH(SUBSTITUTE($H279,"*","-"),MgAmenClave,0)),"No aplica")</f>
        <v/>
      </c>
      <c r="Q279" s="29">
        <f>IFERROR(VLOOKUP(K279,MgValor,2,0)*VLOOKUP(N279,MgDeg,2,0),0)</f>
        <v/>
      </c>
      <c r="R279" s="29">
        <f>IFERROR(VLOOKUP(L279,MgValor,2,0)*VLOOKUP(O279,MgDeg,2,0),0)</f>
        <v/>
      </c>
      <c r="S279" s="29">
        <f>IFERROR(VLOOKUP(M279,MgValor,2,0)*VLOOKUP(P279,MgDeg,2,0),0)</f>
        <v/>
      </c>
      <c r="T279" s="30">
        <f>MAX(Q279:S279)</f>
        <v/>
      </c>
      <c r="U279" s="28">
        <f>IFERROR(LOOKUP(T279,{0;0.5;1.5;3;4.5},{"Despreciable";"Bajo";"Medio";"Alto";"Muy alto"}),"")</f>
        <v/>
      </c>
      <c r="V279" s="13">
        <f>IFERROR(INDEX(MgAmenFrec,MATCH(SUBSTITUTE($H279,"*","-"),MgAmenClave,0)),"")</f>
        <v/>
      </c>
      <c r="W279" s="28">
        <f>IFERROR(LOOKUP(X279,{0;0.01;0.1;1;10;100},{"Muy baja";"Muy baja";"Baja";"Media";"Alta";"Muy alta"}),"")</f>
        <v/>
      </c>
      <c r="X279" s="31">
        <f>IFERROR(VLOOKUP(V279,MgFrec,2,0),0)</f>
        <v/>
      </c>
      <c r="Y279" s="30">
        <f>T279*X279</f>
        <v/>
      </c>
      <c r="Z279" s="28">
        <f>IFERROR(LOOKUP(Y279,{0;0.5;5;25},{"Bajo";"Medio";"Alto";"Crítico"}),"")</f>
        <v/>
      </c>
      <c r="AA279" s="64">
        <f>IF(T279&gt;=3,IF(X279&gt;=1,"Zona 1 — Crítica: impacto alto y ocurre al menos una vez al año","Zona 4 — Catastrófica poco probable: impacto alto pero excepcional"),IF(AND(T279&lt;1.5,X279&lt;1),"Zona 3 — Asumible: impacto bajo y muy poco frecuente","Zona 2 — Atención: riesgo intermedio"))</f>
        <v/>
      </c>
      <c r="AB279" s="64">
        <f>IFERROR(INDEX(MgAmenCtrl,MATCH(SUBSTITUTE($H279,"*","-"),MgAmenClave,0)),"")</f>
        <v/>
      </c>
      <c r="AC279" s="20" t="n"/>
      <c r="AD279" s="31">
        <f>IFERROR($X279*(1-IF($AC279="",$AL279,VLOOKUP($AC279,MgMad,2,0))),"")</f>
        <v/>
      </c>
      <c r="AE279" s="28">
        <f>IFERROR(LOOKUP(AD279,{0;0.01;0.1;1;10;100},{"Muy baja";"Muy baja";"Baja";"Media";"Alta";"Muy alta"}),"")</f>
        <v/>
      </c>
      <c r="AF279" s="30">
        <f>T279*AD279</f>
        <v/>
      </c>
      <c r="AG279" s="28">
        <f>IFERROR(LOOKUP(AF279,{0;0.5;5;25},{"Bajo";"Medio";"Alto";"Crítico"}),"")</f>
        <v/>
      </c>
      <c r="AH279" s="28">
        <f>IF(AG279="","",IF(OR(AG279="Crítico",AG279="Alto"),"Mitigar",IF(AG279="Medio","Mitigar","Aceptar y monitorear")))</f>
        <v/>
      </c>
      <c r="AI279" s="21" t="n"/>
      <c r="AJ279" s="21" t="n"/>
      <c r="AK279" s="20" t="n"/>
      <c r="AL279" s="77">
        <f>IFERROR(INDEX(MgAmenEfic,MATCH(SUBSTITUTE($H279,"*","-"),MgAmenClave,0)),0)</f>
        <v/>
      </c>
    </row>
    <row r="280" hidden="1" ht="75" customHeight="1" s="54">
      <c r="B280" s="59" t="inlineStr">
        <is>
          <t>R-0275</t>
        </is>
      </c>
      <c r="C280" s="59" t="inlineStr">
        <is>
          <t>DO-01</t>
        </is>
      </c>
      <c r="D280" s="64">
        <f>IFERROR(INDEX(MgNombre,MATCH($C280,MgActId,0)),"")</f>
        <v/>
      </c>
      <c r="E280" s="64">
        <f>IFERROR(INDEX(MgProceso,MATCH($C280,MgActId,0)),"")</f>
        <v/>
      </c>
      <c r="F280" s="64">
        <f>IFERROR(INDEX(MgTipo,MATCH($C280,MgActId,0)),"")</f>
        <v/>
      </c>
      <c r="G280" s="64">
        <f>IFERROR(INDEX(MgSubtipo,MATCH($C280,MgActId,0)),"")</f>
        <v/>
      </c>
      <c r="H280" s="59" t="inlineStr">
        <is>
          <t>A.5</t>
        </is>
      </c>
      <c r="I280" s="64">
        <f>IFERROR(INDEX(MgAmenNombre,MATCH(SUBSTITUTE($H280,"*","-"),MgAmenClave,0)),"")</f>
        <v/>
      </c>
      <c r="J280" s="28">
        <f>IFERROR(INDEX(MgAmenGrupo,MATCH(SUBSTITUTE($H280,"*","-"),MgAmenClave,0)),"")</f>
        <v/>
      </c>
      <c r="K280" s="64">
        <f>IFERROR(INDEX('1. Matriz de Activos'!$Q$6:$Q$239,MATCH($C280,MgActId,0)),"")</f>
        <v/>
      </c>
      <c r="L280" s="64">
        <f>IFERROR(INDEX('1. Matriz de Activos'!$R$6:$R$239,MATCH($C280,MgActId,0)),"")</f>
        <v/>
      </c>
      <c r="M280" s="64">
        <f>IFERROR(INDEX('1. Matriz de Activos'!$S$6:$S$239,MATCH($C280,MgActId,0)),"")</f>
        <v/>
      </c>
      <c r="N280" s="28">
        <f>IFERROR(INDEX(MgAmenDegD,MATCH(SUBSTITUTE($H280,"*","-"),MgAmenClave,0)),"No aplica")</f>
        <v/>
      </c>
      <c r="O280" s="28">
        <f>IFERROR(INDEX(MgAmenDegI,MATCH(SUBSTITUTE($H280,"*","-"),MgAmenClave,0)),"No aplica")</f>
        <v/>
      </c>
      <c r="P280" s="28">
        <f>IFERROR(INDEX(MgAmenDegC,MATCH(SUBSTITUTE($H280,"*","-"),MgAmenClave,0)),"No aplica")</f>
        <v/>
      </c>
      <c r="Q280" s="29">
        <f>IFERROR(VLOOKUP(K280,MgValor,2,0)*VLOOKUP(N280,MgDeg,2,0),0)</f>
        <v/>
      </c>
      <c r="R280" s="29">
        <f>IFERROR(VLOOKUP(L280,MgValor,2,0)*VLOOKUP(O280,MgDeg,2,0),0)</f>
        <v/>
      </c>
      <c r="S280" s="29">
        <f>IFERROR(VLOOKUP(M280,MgValor,2,0)*VLOOKUP(P280,MgDeg,2,0),0)</f>
        <v/>
      </c>
      <c r="T280" s="30">
        <f>MAX(Q280:S280)</f>
        <v/>
      </c>
      <c r="U280" s="28">
        <f>IFERROR(LOOKUP(T280,{0;0.5;1.5;3;4.5},{"Despreciable";"Bajo";"Medio";"Alto";"Muy alto"}),"")</f>
        <v/>
      </c>
      <c r="V280" s="13">
        <f>IFERROR(INDEX(MgAmenFrec,MATCH(SUBSTITUTE($H280,"*","-"),MgAmenClave,0)),"")</f>
        <v/>
      </c>
      <c r="W280" s="28">
        <f>IFERROR(LOOKUP(X280,{0;0.01;0.1;1;10;100},{"Muy baja";"Muy baja";"Baja";"Media";"Alta";"Muy alta"}),"")</f>
        <v/>
      </c>
      <c r="X280" s="31">
        <f>IFERROR(VLOOKUP(V280,MgFrec,2,0),0)</f>
        <v/>
      </c>
      <c r="Y280" s="30">
        <f>T280*X280</f>
        <v/>
      </c>
      <c r="Z280" s="28">
        <f>IFERROR(LOOKUP(Y280,{0;0.5;5;25},{"Bajo";"Medio";"Alto";"Crítico"}),"")</f>
        <v/>
      </c>
      <c r="AA280" s="64">
        <f>IF(T280&gt;=3,IF(X280&gt;=1,"Zona 1 — Crítica: impacto alto y ocurre al menos una vez al año","Zona 4 — Catastrófica poco probable: impacto alto pero excepcional"),IF(AND(T280&lt;1.5,X280&lt;1),"Zona 3 — Asumible: impacto bajo y muy poco frecuente","Zona 2 — Atención: riesgo intermedio"))</f>
        <v/>
      </c>
      <c r="AB280" s="64">
        <f>IFERROR(INDEX(MgAmenCtrl,MATCH(SUBSTITUTE($H280,"*","-"),MgAmenClave,0)),"")</f>
        <v/>
      </c>
      <c r="AC280" s="20" t="n"/>
      <c r="AD280" s="31">
        <f>IFERROR($X280*(1-IF($AC280="",$AL280,VLOOKUP($AC280,MgMad,2,0))),"")</f>
        <v/>
      </c>
      <c r="AE280" s="28">
        <f>IFERROR(LOOKUP(AD280,{0;0.01;0.1;1;10;100},{"Muy baja";"Muy baja";"Baja";"Media";"Alta";"Muy alta"}),"")</f>
        <v/>
      </c>
      <c r="AF280" s="30">
        <f>T280*AD280</f>
        <v/>
      </c>
      <c r="AG280" s="28">
        <f>IFERROR(LOOKUP(AF280,{0;0.5;5;25},{"Bajo";"Medio";"Alto";"Crítico"}),"")</f>
        <v/>
      </c>
      <c r="AH280" s="28">
        <f>IF(AG280="","",IF(OR(AG280="Crítico",AG280="Alto"),"Mitigar",IF(AG280="Medio","Mitigar","Aceptar y monitorear")))</f>
        <v/>
      </c>
      <c r="AI280" s="21" t="n"/>
      <c r="AJ280" s="21" t="n"/>
      <c r="AK280" s="20" t="n"/>
      <c r="AL280" s="77">
        <f>IFERROR(INDEX(MgAmenEfic,MATCH(SUBSTITUTE($H280,"*","-"),MgAmenClave,0)),0)</f>
        <v/>
      </c>
    </row>
    <row r="281" hidden="1" ht="105" customHeight="1" s="54">
      <c r="B281" s="59" t="inlineStr">
        <is>
          <t>R-0276</t>
        </is>
      </c>
      <c r="C281" s="59" t="inlineStr">
        <is>
          <t>DO-01</t>
        </is>
      </c>
      <c r="D281" s="64">
        <f>IFERROR(INDEX(MgNombre,MATCH($C281,MgActId,0)),"")</f>
        <v/>
      </c>
      <c r="E281" s="64">
        <f>IFERROR(INDEX(MgProceso,MATCH($C281,MgActId,0)),"")</f>
        <v/>
      </c>
      <c r="F281" s="64">
        <f>IFERROR(INDEX(MgTipo,MATCH($C281,MgActId,0)),"")</f>
        <v/>
      </c>
      <c r="G281" s="64">
        <f>IFERROR(INDEX(MgSubtipo,MATCH($C281,MgActId,0)),"")</f>
        <v/>
      </c>
      <c r="H281" s="59" t="inlineStr">
        <is>
          <t>A.6</t>
        </is>
      </c>
      <c r="I281" s="64">
        <f>IFERROR(INDEX(MgAmenNombre,MATCH(SUBSTITUTE($H281,"*","-"),MgAmenClave,0)),"")</f>
        <v/>
      </c>
      <c r="J281" s="28">
        <f>IFERROR(INDEX(MgAmenGrupo,MATCH(SUBSTITUTE($H281,"*","-"),MgAmenClave,0)),"")</f>
        <v/>
      </c>
      <c r="K281" s="64">
        <f>IFERROR(INDEX('1. Matriz de Activos'!$Q$6:$Q$239,MATCH($C281,MgActId,0)),"")</f>
        <v/>
      </c>
      <c r="L281" s="64">
        <f>IFERROR(INDEX('1. Matriz de Activos'!$R$6:$R$239,MATCH($C281,MgActId,0)),"")</f>
        <v/>
      </c>
      <c r="M281" s="64">
        <f>IFERROR(INDEX('1. Matriz de Activos'!$S$6:$S$239,MATCH($C281,MgActId,0)),"")</f>
        <v/>
      </c>
      <c r="N281" s="28">
        <f>IFERROR(INDEX(MgAmenDegD,MATCH(SUBSTITUTE($H281,"*","-"),MgAmenClave,0)),"No aplica")</f>
        <v/>
      </c>
      <c r="O281" s="28">
        <f>IFERROR(INDEX(MgAmenDegI,MATCH(SUBSTITUTE($H281,"*","-"),MgAmenClave,0)),"No aplica")</f>
        <v/>
      </c>
      <c r="P281" s="28">
        <f>IFERROR(INDEX(MgAmenDegC,MATCH(SUBSTITUTE($H281,"*","-"),MgAmenClave,0)),"No aplica")</f>
        <v/>
      </c>
      <c r="Q281" s="29">
        <f>IFERROR(VLOOKUP(K281,MgValor,2,0)*VLOOKUP(N281,MgDeg,2,0),0)</f>
        <v/>
      </c>
      <c r="R281" s="29">
        <f>IFERROR(VLOOKUP(L281,MgValor,2,0)*VLOOKUP(O281,MgDeg,2,0),0)</f>
        <v/>
      </c>
      <c r="S281" s="29">
        <f>IFERROR(VLOOKUP(M281,MgValor,2,0)*VLOOKUP(P281,MgDeg,2,0),0)</f>
        <v/>
      </c>
      <c r="T281" s="30">
        <f>MAX(Q281:S281)</f>
        <v/>
      </c>
      <c r="U281" s="28">
        <f>IFERROR(LOOKUP(T281,{0;0.5;1.5;3;4.5},{"Despreciable";"Bajo";"Medio";"Alto";"Muy alto"}),"")</f>
        <v/>
      </c>
      <c r="V281" s="13">
        <f>IFERROR(INDEX(MgAmenFrec,MATCH(SUBSTITUTE($H281,"*","-"),MgAmenClave,0)),"")</f>
        <v/>
      </c>
      <c r="W281" s="28">
        <f>IFERROR(LOOKUP(X281,{0;0.01;0.1;1;10;100},{"Muy baja";"Muy baja";"Baja";"Media";"Alta";"Muy alta"}),"")</f>
        <v/>
      </c>
      <c r="X281" s="31">
        <f>IFERROR(VLOOKUP(V281,MgFrec,2,0),0)</f>
        <v/>
      </c>
      <c r="Y281" s="30">
        <f>T281*X281</f>
        <v/>
      </c>
      <c r="Z281" s="28">
        <f>IFERROR(LOOKUP(Y281,{0;0.5;5;25},{"Bajo";"Medio";"Alto";"Crítico"}),"")</f>
        <v/>
      </c>
      <c r="AA281" s="64">
        <f>IF(T281&gt;=3,IF(X281&gt;=1,"Zona 1 — Crítica: impacto alto y ocurre al menos una vez al año","Zona 4 — Catastrófica poco probable: impacto alto pero excepcional"),IF(AND(T281&lt;1.5,X281&lt;1),"Zona 3 — Asumible: impacto bajo y muy poco frecuente","Zona 2 — Atención: riesgo intermedio"))</f>
        <v/>
      </c>
      <c r="AB281" s="64">
        <f>IFERROR(INDEX(MgAmenCtrl,MATCH(SUBSTITUTE($H281,"*","-"),MgAmenClave,0)),"")</f>
        <v/>
      </c>
      <c r="AC281" s="20" t="n"/>
      <c r="AD281" s="31">
        <f>IFERROR($X281*(1-IF($AC281="",$AL281,VLOOKUP($AC281,MgMad,2,0))),"")</f>
        <v/>
      </c>
      <c r="AE281" s="28">
        <f>IFERROR(LOOKUP(AD281,{0;0.01;0.1;1;10;100},{"Muy baja";"Muy baja";"Baja";"Media";"Alta";"Muy alta"}),"")</f>
        <v/>
      </c>
      <c r="AF281" s="30">
        <f>T281*AD281</f>
        <v/>
      </c>
      <c r="AG281" s="28">
        <f>IFERROR(LOOKUP(AF281,{0;0.5;5;25},{"Bajo";"Medio";"Alto";"Crítico"}),"")</f>
        <v/>
      </c>
      <c r="AH281" s="28">
        <f>IF(AG281="","",IF(OR(AG281="Crítico",AG281="Alto"),"Mitigar",IF(AG281="Medio","Mitigar","Aceptar y monitorear")))</f>
        <v/>
      </c>
      <c r="AI281" s="21" t="n"/>
      <c r="AJ281" s="21" t="n"/>
      <c r="AK281" s="20" t="n"/>
      <c r="AL281" s="77">
        <f>IFERROR(INDEX(MgAmenEfic,MATCH(SUBSTITUTE($H281,"*","-"),MgAmenClave,0)),0)</f>
        <v/>
      </c>
    </row>
    <row r="282" hidden="1" ht="60" customHeight="1" s="54">
      <c r="B282" s="59" t="inlineStr">
        <is>
          <t>R-0277</t>
        </is>
      </c>
      <c r="C282" s="59" t="inlineStr">
        <is>
          <t>DO-01</t>
        </is>
      </c>
      <c r="D282" s="64">
        <f>IFERROR(INDEX(MgNombre,MATCH($C282,MgActId,0)),"")</f>
        <v/>
      </c>
      <c r="E282" s="64">
        <f>IFERROR(INDEX(MgProceso,MATCH($C282,MgActId,0)),"")</f>
        <v/>
      </c>
      <c r="F282" s="64">
        <f>IFERROR(INDEX(MgTipo,MATCH($C282,MgActId,0)),"")</f>
        <v/>
      </c>
      <c r="G282" s="64">
        <f>IFERROR(INDEX(MgSubtipo,MATCH($C282,MgActId,0)),"")</f>
        <v/>
      </c>
      <c r="H282" s="59" t="inlineStr">
        <is>
          <t>A.7</t>
        </is>
      </c>
      <c r="I282" s="64">
        <f>IFERROR(INDEX(MgAmenNombre,MATCH(SUBSTITUTE($H282,"*","-"),MgAmenClave,0)),"")</f>
        <v/>
      </c>
      <c r="J282" s="28">
        <f>IFERROR(INDEX(MgAmenGrupo,MATCH(SUBSTITUTE($H282,"*","-"),MgAmenClave,0)),"")</f>
        <v/>
      </c>
      <c r="K282" s="64">
        <f>IFERROR(INDEX('1. Matriz de Activos'!$Q$6:$Q$239,MATCH($C282,MgActId,0)),"")</f>
        <v/>
      </c>
      <c r="L282" s="64">
        <f>IFERROR(INDEX('1. Matriz de Activos'!$R$6:$R$239,MATCH($C282,MgActId,0)),"")</f>
        <v/>
      </c>
      <c r="M282" s="64">
        <f>IFERROR(INDEX('1. Matriz de Activos'!$S$6:$S$239,MATCH($C282,MgActId,0)),"")</f>
        <v/>
      </c>
      <c r="N282" s="28">
        <f>IFERROR(INDEX(MgAmenDegD,MATCH(SUBSTITUTE($H282,"*","-"),MgAmenClave,0)),"No aplica")</f>
        <v/>
      </c>
      <c r="O282" s="28">
        <f>IFERROR(INDEX(MgAmenDegI,MATCH(SUBSTITUTE($H282,"*","-"),MgAmenClave,0)),"No aplica")</f>
        <v/>
      </c>
      <c r="P282" s="28">
        <f>IFERROR(INDEX(MgAmenDegC,MATCH(SUBSTITUTE($H282,"*","-"),MgAmenClave,0)),"No aplica")</f>
        <v/>
      </c>
      <c r="Q282" s="29">
        <f>IFERROR(VLOOKUP(K282,MgValor,2,0)*VLOOKUP(N282,MgDeg,2,0),0)</f>
        <v/>
      </c>
      <c r="R282" s="29">
        <f>IFERROR(VLOOKUP(L282,MgValor,2,0)*VLOOKUP(O282,MgDeg,2,0),0)</f>
        <v/>
      </c>
      <c r="S282" s="29">
        <f>IFERROR(VLOOKUP(M282,MgValor,2,0)*VLOOKUP(P282,MgDeg,2,0),0)</f>
        <v/>
      </c>
      <c r="T282" s="30">
        <f>MAX(Q282:S282)</f>
        <v/>
      </c>
      <c r="U282" s="28">
        <f>IFERROR(LOOKUP(T282,{0;0.5;1.5;3;4.5},{"Despreciable";"Bajo";"Medio";"Alto";"Muy alto"}),"")</f>
        <v/>
      </c>
      <c r="V282" s="13">
        <f>IFERROR(INDEX(MgAmenFrec,MATCH(SUBSTITUTE($H282,"*","-"),MgAmenClave,0)),"")</f>
        <v/>
      </c>
      <c r="W282" s="28">
        <f>IFERROR(LOOKUP(X282,{0;0.01;0.1;1;10;100},{"Muy baja";"Muy baja";"Baja";"Media";"Alta";"Muy alta"}),"")</f>
        <v/>
      </c>
      <c r="X282" s="31">
        <f>IFERROR(VLOOKUP(V282,MgFrec,2,0),0)</f>
        <v/>
      </c>
      <c r="Y282" s="30">
        <f>T282*X282</f>
        <v/>
      </c>
      <c r="Z282" s="28">
        <f>IFERROR(LOOKUP(Y282,{0;0.5;5;25},{"Bajo";"Medio";"Alto";"Crítico"}),"")</f>
        <v/>
      </c>
      <c r="AA282" s="64">
        <f>IF(T282&gt;=3,IF(X282&gt;=1,"Zona 1 — Crítica: impacto alto y ocurre al menos una vez al año","Zona 4 — Catastrófica poco probable: impacto alto pero excepcional"),IF(AND(T282&lt;1.5,X282&lt;1),"Zona 3 — Asumible: impacto bajo y muy poco frecuente","Zona 2 — Atención: riesgo intermedio"))</f>
        <v/>
      </c>
      <c r="AB282" s="64">
        <f>IFERROR(INDEX(MgAmenCtrl,MATCH(SUBSTITUTE($H282,"*","-"),MgAmenClave,0)),"")</f>
        <v/>
      </c>
      <c r="AC282" s="20" t="n"/>
      <c r="AD282" s="31">
        <f>IFERROR($X282*(1-IF($AC282="",$AL282,VLOOKUP($AC282,MgMad,2,0))),"")</f>
        <v/>
      </c>
      <c r="AE282" s="28">
        <f>IFERROR(LOOKUP(AD282,{0;0.01;0.1;1;10;100},{"Muy baja";"Muy baja";"Baja";"Media";"Alta";"Muy alta"}),"")</f>
        <v/>
      </c>
      <c r="AF282" s="30">
        <f>T282*AD282</f>
        <v/>
      </c>
      <c r="AG282" s="28">
        <f>IFERROR(LOOKUP(AF282,{0;0.5;5;25},{"Bajo";"Medio";"Alto";"Crítico"}),"")</f>
        <v/>
      </c>
      <c r="AH282" s="28">
        <f>IF(AG282="","",IF(OR(AG282="Crítico",AG282="Alto"),"Mitigar",IF(AG282="Medio","Mitigar","Aceptar y monitorear")))</f>
        <v/>
      </c>
      <c r="AI282" s="21" t="n"/>
      <c r="AJ282" s="21" t="n"/>
      <c r="AK282" s="20" t="n"/>
      <c r="AL282" s="77">
        <f>IFERROR(INDEX(MgAmenEfic,MATCH(SUBSTITUTE($H282,"*","-"),MgAmenClave,0)),0)</f>
        <v/>
      </c>
    </row>
    <row r="283" hidden="1" ht="60" customHeight="1" s="54">
      <c r="B283" s="59" t="inlineStr">
        <is>
          <t>R-0278</t>
        </is>
      </c>
      <c r="C283" s="59" t="inlineStr">
        <is>
          <t>DO-01</t>
        </is>
      </c>
      <c r="D283" s="64">
        <f>IFERROR(INDEX(MgNombre,MATCH($C283,MgActId,0)),"")</f>
        <v/>
      </c>
      <c r="E283" s="64">
        <f>IFERROR(INDEX(MgProceso,MATCH($C283,MgActId,0)),"")</f>
        <v/>
      </c>
      <c r="F283" s="64">
        <f>IFERROR(INDEX(MgTipo,MATCH($C283,MgActId,0)),"")</f>
        <v/>
      </c>
      <c r="G283" s="64">
        <f>IFERROR(INDEX(MgSubtipo,MATCH($C283,MgActId,0)),"")</f>
        <v/>
      </c>
      <c r="H283" s="59" t="inlineStr">
        <is>
          <t>A.9</t>
        </is>
      </c>
      <c r="I283" s="64">
        <f>IFERROR(INDEX(MgAmenNombre,MATCH(SUBSTITUTE($H283,"*","-"),MgAmenClave,0)),"")</f>
        <v/>
      </c>
      <c r="J283" s="28">
        <f>IFERROR(INDEX(MgAmenGrupo,MATCH(SUBSTITUTE($H283,"*","-"),MgAmenClave,0)),"")</f>
        <v/>
      </c>
      <c r="K283" s="64">
        <f>IFERROR(INDEX('1. Matriz de Activos'!$Q$6:$Q$239,MATCH($C283,MgActId,0)),"")</f>
        <v/>
      </c>
      <c r="L283" s="64">
        <f>IFERROR(INDEX('1. Matriz de Activos'!$R$6:$R$239,MATCH($C283,MgActId,0)),"")</f>
        <v/>
      </c>
      <c r="M283" s="64">
        <f>IFERROR(INDEX('1. Matriz de Activos'!$S$6:$S$239,MATCH($C283,MgActId,0)),"")</f>
        <v/>
      </c>
      <c r="N283" s="28">
        <f>IFERROR(INDEX(MgAmenDegD,MATCH(SUBSTITUTE($H283,"*","-"),MgAmenClave,0)),"No aplica")</f>
        <v/>
      </c>
      <c r="O283" s="28">
        <f>IFERROR(INDEX(MgAmenDegI,MATCH(SUBSTITUTE($H283,"*","-"),MgAmenClave,0)),"No aplica")</f>
        <v/>
      </c>
      <c r="P283" s="28">
        <f>IFERROR(INDEX(MgAmenDegC,MATCH(SUBSTITUTE($H283,"*","-"),MgAmenClave,0)),"No aplica")</f>
        <v/>
      </c>
      <c r="Q283" s="29">
        <f>IFERROR(VLOOKUP(K283,MgValor,2,0)*VLOOKUP(N283,MgDeg,2,0),0)</f>
        <v/>
      </c>
      <c r="R283" s="29">
        <f>IFERROR(VLOOKUP(L283,MgValor,2,0)*VLOOKUP(O283,MgDeg,2,0),0)</f>
        <v/>
      </c>
      <c r="S283" s="29">
        <f>IFERROR(VLOOKUP(M283,MgValor,2,0)*VLOOKUP(P283,MgDeg,2,0),0)</f>
        <v/>
      </c>
      <c r="T283" s="30">
        <f>MAX(Q283:S283)</f>
        <v/>
      </c>
      <c r="U283" s="28">
        <f>IFERROR(LOOKUP(T283,{0;0.5;1.5;3;4.5},{"Despreciable";"Bajo";"Medio";"Alto";"Muy alto"}),"")</f>
        <v/>
      </c>
      <c r="V283" s="13">
        <f>IFERROR(INDEX(MgAmenFrec,MATCH(SUBSTITUTE($H283,"*","-"),MgAmenClave,0)),"")</f>
        <v/>
      </c>
      <c r="W283" s="28">
        <f>IFERROR(LOOKUP(X283,{0;0.01;0.1;1;10;100},{"Muy baja";"Muy baja";"Baja";"Media";"Alta";"Muy alta"}),"")</f>
        <v/>
      </c>
      <c r="X283" s="31">
        <f>IFERROR(VLOOKUP(V283,MgFrec,2,0),0)</f>
        <v/>
      </c>
      <c r="Y283" s="30">
        <f>T283*X283</f>
        <v/>
      </c>
      <c r="Z283" s="28">
        <f>IFERROR(LOOKUP(Y283,{0;0.5;5;25},{"Bajo";"Medio";"Alto";"Crítico"}),"")</f>
        <v/>
      </c>
      <c r="AA283" s="64">
        <f>IF(T283&gt;=3,IF(X283&gt;=1,"Zona 1 — Crítica: impacto alto y ocurre al menos una vez al año","Zona 4 — Catastrófica poco probable: impacto alto pero excepcional"),IF(AND(T283&lt;1.5,X283&lt;1),"Zona 3 — Asumible: impacto bajo y muy poco frecuente","Zona 2 — Atención: riesgo intermedio"))</f>
        <v/>
      </c>
      <c r="AB283" s="64">
        <f>IFERROR(INDEX(MgAmenCtrl,MATCH(SUBSTITUTE($H283,"*","-"),MgAmenClave,0)),"")</f>
        <v/>
      </c>
      <c r="AC283" s="20" t="n"/>
      <c r="AD283" s="31">
        <f>IFERROR($X283*(1-IF($AC283="",$AL283,VLOOKUP($AC283,MgMad,2,0))),"")</f>
        <v/>
      </c>
      <c r="AE283" s="28">
        <f>IFERROR(LOOKUP(AD283,{0;0.01;0.1;1;10;100},{"Muy baja";"Muy baja";"Baja";"Media";"Alta";"Muy alta"}),"")</f>
        <v/>
      </c>
      <c r="AF283" s="30">
        <f>T283*AD283</f>
        <v/>
      </c>
      <c r="AG283" s="28">
        <f>IFERROR(LOOKUP(AF283,{0;0.5;5;25},{"Bajo";"Medio";"Alto";"Crítico"}),"")</f>
        <v/>
      </c>
      <c r="AH283" s="28">
        <f>IF(AG283="","",IF(OR(AG283="Crítico",AG283="Alto"),"Mitigar",IF(AG283="Medio","Mitigar","Aceptar y monitorear")))</f>
        <v/>
      </c>
      <c r="AI283" s="21" t="n"/>
      <c r="AJ283" s="21" t="n"/>
      <c r="AK283" s="20" t="n"/>
      <c r="AL283" s="77">
        <f>IFERROR(INDEX(MgAmenEfic,MATCH(SUBSTITUTE($H283,"*","-"),MgAmenClave,0)),0)</f>
        <v/>
      </c>
    </row>
    <row r="284" hidden="1" ht="45" customHeight="1" s="54">
      <c r="B284" s="59" t="inlineStr">
        <is>
          <t>R-0279</t>
        </is>
      </c>
      <c r="C284" s="59" t="inlineStr">
        <is>
          <t>DO-01</t>
        </is>
      </c>
      <c r="D284" s="64">
        <f>IFERROR(INDEX(MgNombre,MATCH($C284,MgActId,0)),"")</f>
        <v/>
      </c>
      <c r="E284" s="64">
        <f>IFERROR(INDEX(MgProceso,MATCH($C284,MgActId,0)),"")</f>
        <v/>
      </c>
      <c r="F284" s="64">
        <f>IFERROR(INDEX(MgTipo,MATCH($C284,MgActId,0)),"")</f>
        <v/>
      </c>
      <c r="G284" s="64">
        <f>IFERROR(INDEX(MgSubtipo,MATCH($C284,MgActId,0)),"")</f>
        <v/>
      </c>
      <c r="H284" s="59" t="inlineStr">
        <is>
          <t>A.10</t>
        </is>
      </c>
      <c r="I284" s="64">
        <f>IFERROR(INDEX(MgAmenNombre,MATCH(SUBSTITUTE($H284,"*","-"),MgAmenClave,0)),"")</f>
        <v/>
      </c>
      <c r="J284" s="28">
        <f>IFERROR(INDEX(MgAmenGrupo,MATCH(SUBSTITUTE($H284,"*","-"),MgAmenClave,0)),"")</f>
        <v/>
      </c>
      <c r="K284" s="64">
        <f>IFERROR(INDEX('1. Matriz de Activos'!$Q$6:$Q$239,MATCH($C284,MgActId,0)),"")</f>
        <v/>
      </c>
      <c r="L284" s="64">
        <f>IFERROR(INDEX('1. Matriz de Activos'!$R$6:$R$239,MATCH($C284,MgActId,0)),"")</f>
        <v/>
      </c>
      <c r="M284" s="64">
        <f>IFERROR(INDEX('1. Matriz de Activos'!$S$6:$S$239,MATCH($C284,MgActId,0)),"")</f>
        <v/>
      </c>
      <c r="N284" s="28">
        <f>IFERROR(INDEX(MgAmenDegD,MATCH(SUBSTITUTE($H284,"*","-"),MgAmenClave,0)),"No aplica")</f>
        <v/>
      </c>
      <c r="O284" s="28">
        <f>IFERROR(INDEX(MgAmenDegI,MATCH(SUBSTITUTE($H284,"*","-"),MgAmenClave,0)),"No aplica")</f>
        <v/>
      </c>
      <c r="P284" s="28">
        <f>IFERROR(INDEX(MgAmenDegC,MATCH(SUBSTITUTE($H284,"*","-"),MgAmenClave,0)),"No aplica")</f>
        <v/>
      </c>
      <c r="Q284" s="29">
        <f>IFERROR(VLOOKUP(K284,MgValor,2,0)*VLOOKUP(N284,MgDeg,2,0),0)</f>
        <v/>
      </c>
      <c r="R284" s="29">
        <f>IFERROR(VLOOKUP(L284,MgValor,2,0)*VLOOKUP(O284,MgDeg,2,0),0)</f>
        <v/>
      </c>
      <c r="S284" s="29">
        <f>IFERROR(VLOOKUP(M284,MgValor,2,0)*VLOOKUP(P284,MgDeg,2,0),0)</f>
        <v/>
      </c>
      <c r="T284" s="30">
        <f>MAX(Q284:S284)</f>
        <v/>
      </c>
      <c r="U284" s="28">
        <f>IFERROR(LOOKUP(T284,{0;0.5;1.5;3;4.5},{"Despreciable";"Bajo";"Medio";"Alto";"Muy alto"}),"")</f>
        <v/>
      </c>
      <c r="V284" s="13">
        <f>IFERROR(INDEX(MgAmenFrec,MATCH(SUBSTITUTE($H284,"*","-"),MgAmenClave,0)),"")</f>
        <v/>
      </c>
      <c r="W284" s="28">
        <f>IFERROR(LOOKUP(X284,{0;0.01;0.1;1;10;100},{"Muy baja";"Muy baja";"Baja";"Media";"Alta";"Muy alta"}),"")</f>
        <v/>
      </c>
      <c r="X284" s="31">
        <f>IFERROR(VLOOKUP(V284,MgFrec,2,0),0)</f>
        <v/>
      </c>
      <c r="Y284" s="30">
        <f>T284*X284</f>
        <v/>
      </c>
      <c r="Z284" s="28">
        <f>IFERROR(LOOKUP(Y284,{0;0.5;5;25},{"Bajo";"Medio";"Alto";"Crítico"}),"")</f>
        <v/>
      </c>
      <c r="AA284" s="64">
        <f>IF(T284&gt;=3,IF(X284&gt;=1,"Zona 1 — Crítica: impacto alto y ocurre al menos una vez al año","Zona 4 — Catastrófica poco probable: impacto alto pero excepcional"),IF(AND(T284&lt;1.5,X284&lt;1),"Zona 3 — Asumible: impacto bajo y muy poco frecuente","Zona 2 — Atención: riesgo intermedio"))</f>
        <v/>
      </c>
      <c r="AB284" s="64">
        <f>IFERROR(INDEX(MgAmenCtrl,MATCH(SUBSTITUTE($H284,"*","-"),MgAmenClave,0)),"")</f>
        <v/>
      </c>
      <c r="AC284" s="20" t="n"/>
      <c r="AD284" s="31">
        <f>IFERROR($X284*(1-IF($AC284="",$AL284,VLOOKUP($AC284,MgMad,2,0))),"")</f>
        <v/>
      </c>
      <c r="AE284" s="28">
        <f>IFERROR(LOOKUP(AD284,{0;0.01;0.1;1;10;100},{"Muy baja";"Muy baja";"Baja";"Media";"Alta";"Muy alta"}),"")</f>
        <v/>
      </c>
      <c r="AF284" s="30">
        <f>T284*AD284</f>
        <v/>
      </c>
      <c r="AG284" s="28">
        <f>IFERROR(LOOKUP(AF284,{0;0.5;5;25},{"Bajo";"Medio";"Alto";"Crítico"}),"")</f>
        <v/>
      </c>
      <c r="AH284" s="28">
        <f>IF(AG284="","",IF(OR(AG284="Crítico",AG284="Alto"),"Mitigar",IF(AG284="Medio","Mitigar","Aceptar y monitorear")))</f>
        <v/>
      </c>
      <c r="AI284" s="21" t="n"/>
      <c r="AJ284" s="21" t="n"/>
      <c r="AK284" s="20" t="n"/>
      <c r="AL284" s="77">
        <f>IFERROR(INDEX(MgAmenEfic,MATCH(SUBSTITUTE($H284,"*","-"),MgAmenClave,0)),0)</f>
        <v/>
      </c>
    </row>
    <row r="285" hidden="1" ht="120" customHeight="1" s="54">
      <c r="B285" s="59" t="inlineStr">
        <is>
          <t>R-0280</t>
        </is>
      </c>
      <c r="C285" s="59" t="inlineStr">
        <is>
          <t>DO-01</t>
        </is>
      </c>
      <c r="D285" s="64">
        <f>IFERROR(INDEX(MgNombre,MATCH($C285,MgActId,0)),"")</f>
        <v/>
      </c>
      <c r="E285" s="64">
        <f>IFERROR(INDEX(MgProceso,MATCH($C285,MgActId,0)),"")</f>
        <v/>
      </c>
      <c r="F285" s="64">
        <f>IFERROR(INDEX(MgTipo,MATCH($C285,MgActId,0)),"")</f>
        <v/>
      </c>
      <c r="G285" s="64">
        <f>IFERROR(INDEX(MgSubtipo,MATCH($C285,MgActId,0)),"")</f>
        <v/>
      </c>
      <c r="H285" s="59" t="inlineStr">
        <is>
          <t>A.11</t>
        </is>
      </c>
      <c r="I285" s="64">
        <f>IFERROR(INDEX(MgAmenNombre,MATCH(SUBSTITUTE($H285,"*","-"),MgAmenClave,0)),"")</f>
        <v/>
      </c>
      <c r="J285" s="28">
        <f>IFERROR(INDEX(MgAmenGrupo,MATCH(SUBSTITUTE($H285,"*","-"),MgAmenClave,0)),"")</f>
        <v/>
      </c>
      <c r="K285" s="64">
        <f>IFERROR(INDEX('1. Matriz de Activos'!$Q$6:$Q$239,MATCH($C285,MgActId,0)),"")</f>
        <v/>
      </c>
      <c r="L285" s="64">
        <f>IFERROR(INDEX('1. Matriz de Activos'!$R$6:$R$239,MATCH($C285,MgActId,0)),"")</f>
        <v/>
      </c>
      <c r="M285" s="64">
        <f>IFERROR(INDEX('1. Matriz de Activos'!$S$6:$S$239,MATCH($C285,MgActId,0)),"")</f>
        <v/>
      </c>
      <c r="N285" s="28">
        <f>IFERROR(INDEX(MgAmenDegD,MATCH(SUBSTITUTE($H285,"*","-"),MgAmenClave,0)),"No aplica")</f>
        <v/>
      </c>
      <c r="O285" s="28">
        <f>IFERROR(INDEX(MgAmenDegI,MATCH(SUBSTITUTE($H285,"*","-"),MgAmenClave,0)),"No aplica")</f>
        <v/>
      </c>
      <c r="P285" s="28">
        <f>IFERROR(INDEX(MgAmenDegC,MATCH(SUBSTITUTE($H285,"*","-"),MgAmenClave,0)),"No aplica")</f>
        <v/>
      </c>
      <c r="Q285" s="29">
        <f>IFERROR(VLOOKUP(K285,MgValor,2,0)*VLOOKUP(N285,MgDeg,2,0),0)</f>
        <v/>
      </c>
      <c r="R285" s="29">
        <f>IFERROR(VLOOKUP(L285,MgValor,2,0)*VLOOKUP(O285,MgDeg,2,0),0)</f>
        <v/>
      </c>
      <c r="S285" s="29">
        <f>IFERROR(VLOOKUP(M285,MgValor,2,0)*VLOOKUP(P285,MgDeg,2,0),0)</f>
        <v/>
      </c>
      <c r="T285" s="30">
        <f>MAX(Q285:S285)</f>
        <v/>
      </c>
      <c r="U285" s="28">
        <f>IFERROR(LOOKUP(T285,{0;0.5;1.5;3;4.5},{"Despreciable";"Bajo";"Medio";"Alto";"Muy alto"}),"")</f>
        <v/>
      </c>
      <c r="V285" s="13">
        <f>IFERROR(INDEX(MgAmenFrec,MATCH(SUBSTITUTE($H285,"*","-"),MgAmenClave,0)),"")</f>
        <v/>
      </c>
      <c r="W285" s="28">
        <f>IFERROR(LOOKUP(X285,{0;0.01;0.1;1;10;100},{"Muy baja";"Muy baja";"Baja";"Media";"Alta";"Muy alta"}),"")</f>
        <v/>
      </c>
      <c r="X285" s="31">
        <f>IFERROR(VLOOKUP(V285,MgFrec,2,0),0)</f>
        <v/>
      </c>
      <c r="Y285" s="30">
        <f>T285*X285</f>
        <v/>
      </c>
      <c r="Z285" s="28">
        <f>IFERROR(LOOKUP(Y285,{0;0.5;5;25},{"Bajo";"Medio";"Alto";"Crítico"}),"")</f>
        <v/>
      </c>
      <c r="AA285" s="64">
        <f>IF(T285&gt;=3,IF(X285&gt;=1,"Zona 1 — Crítica: impacto alto y ocurre al menos una vez al año","Zona 4 — Catastrófica poco probable: impacto alto pero excepcional"),IF(AND(T285&lt;1.5,X285&lt;1),"Zona 3 — Asumible: impacto bajo y muy poco frecuente","Zona 2 — Atención: riesgo intermedio"))</f>
        <v/>
      </c>
      <c r="AB285" s="64">
        <f>IFERROR(INDEX(MgAmenCtrl,MATCH(SUBSTITUTE($H285,"*","-"),MgAmenClave,0)),"")</f>
        <v/>
      </c>
      <c r="AC285" s="20" t="n"/>
      <c r="AD285" s="31">
        <f>IFERROR($X285*(1-IF($AC285="",$AL285,VLOOKUP($AC285,MgMad,2,0))),"")</f>
        <v/>
      </c>
      <c r="AE285" s="28">
        <f>IFERROR(LOOKUP(AD285,{0;0.01;0.1;1;10;100},{"Muy baja";"Muy baja";"Baja";"Media";"Alta";"Muy alta"}),"")</f>
        <v/>
      </c>
      <c r="AF285" s="30">
        <f>T285*AD285</f>
        <v/>
      </c>
      <c r="AG285" s="28">
        <f>IFERROR(LOOKUP(AF285,{0;0.5;5;25},{"Bajo";"Medio";"Alto";"Crítico"}),"")</f>
        <v/>
      </c>
      <c r="AH285" s="28">
        <f>IF(AG285="","",IF(OR(AG285="Crítico",AG285="Alto"),"Mitigar",IF(AG285="Medio","Mitigar","Aceptar y monitorear")))</f>
        <v/>
      </c>
      <c r="AI285" s="21" t="n"/>
      <c r="AJ285" s="21" t="n"/>
      <c r="AK285" s="20" t="n"/>
      <c r="AL285" s="77">
        <f>IFERROR(INDEX(MgAmenEfic,MATCH(SUBSTITUTE($H285,"*","-"),MgAmenClave,0)),0)</f>
        <v/>
      </c>
    </row>
    <row r="286" hidden="1" ht="45" customHeight="1" s="54">
      <c r="B286" s="59" t="inlineStr">
        <is>
          <t>R-0281</t>
        </is>
      </c>
      <c r="C286" s="59" t="inlineStr">
        <is>
          <t>DO-01</t>
        </is>
      </c>
      <c r="D286" s="64">
        <f>IFERROR(INDEX(MgNombre,MATCH($C286,MgActId,0)),"")</f>
        <v/>
      </c>
      <c r="E286" s="64">
        <f>IFERROR(INDEX(MgProceso,MATCH($C286,MgActId,0)),"")</f>
        <v/>
      </c>
      <c r="F286" s="64">
        <f>IFERROR(INDEX(MgTipo,MATCH($C286,MgActId,0)),"")</f>
        <v/>
      </c>
      <c r="G286" s="64">
        <f>IFERROR(INDEX(MgSubtipo,MATCH($C286,MgActId,0)),"")</f>
        <v/>
      </c>
      <c r="H286" s="59" t="inlineStr">
        <is>
          <t>A.12</t>
        </is>
      </c>
      <c r="I286" s="64">
        <f>IFERROR(INDEX(MgAmenNombre,MATCH(SUBSTITUTE($H286,"*","-"),MgAmenClave,0)),"")</f>
        <v/>
      </c>
      <c r="J286" s="28">
        <f>IFERROR(INDEX(MgAmenGrupo,MATCH(SUBSTITUTE($H286,"*","-"),MgAmenClave,0)),"")</f>
        <v/>
      </c>
      <c r="K286" s="64">
        <f>IFERROR(INDEX('1. Matriz de Activos'!$Q$6:$Q$239,MATCH($C286,MgActId,0)),"")</f>
        <v/>
      </c>
      <c r="L286" s="64">
        <f>IFERROR(INDEX('1. Matriz de Activos'!$R$6:$R$239,MATCH($C286,MgActId,0)),"")</f>
        <v/>
      </c>
      <c r="M286" s="64">
        <f>IFERROR(INDEX('1. Matriz de Activos'!$S$6:$S$239,MATCH($C286,MgActId,0)),"")</f>
        <v/>
      </c>
      <c r="N286" s="28">
        <f>IFERROR(INDEX(MgAmenDegD,MATCH(SUBSTITUTE($H286,"*","-"),MgAmenClave,0)),"No aplica")</f>
        <v/>
      </c>
      <c r="O286" s="28">
        <f>IFERROR(INDEX(MgAmenDegI,MATCH(SUBSTITUTE($H286,"*","-"),MgAmenClave,0)),"No aplica")</f>
        <v/>
      </c>
      <c r="P286" s="28">
        <f>IFERROR(INDEX(MgAmenDegC,MATCH(SUBSTITUTE($H286,"*","-"),MgAmenClave,0)),"No aplica")</f>
        <v/>
      </c>
      <c r="Q286" s="29">
        <f>IFERROR(VLOOKUP(K286,MgValor,2,0)*VLOOKUP(N286,MgDeg,2,0),0)</f>
        <v/>
      </c>
      <c r="R286" s="29">
        <f>IFERROR(VLOOKUP(L286,MgValor,2,0)*VLOOKUP(O286,MgDeg,2,0),0)</f>
        <v/>
      </c>
      <c r="S286" s="29">
        <f>IFERROR(VLOOKUP(M286,MgValor,2,0)*VLOOKUP(P286,MgDeg,2,0),0)</f>
        <v/>
      </c>
      <c r="T286" s="30">
        <f>MAX(Q286:S286)</f>
        <v/>
      </c>
      <c r="U286" s="28">
        <f>IFERROR(LOOKUP(T286,{0;0.5;1.5;3;4.5},{"Despreciable";"Bajo";"Medio";"Alto";"Muy alto"}),"")</f>
        <v/>
      </c>
      <c r="V286" s="13">
        <f>IFERROR(INDEX(MgAmenFrec,MATCH(SUBSTITUTE($H286,"*","-"),MgAmenClave,0)),"")</f>
        <v/>
      </c>
      <c r="W286" s="28">
        <f>IFERROR(LOOKUP(X286,{0;0.01;0.1;1;10;100},{"Muy baja";"Muy baja";"Baja";"Media";"Alta";"Muy alta"}),"")</f>
        <v/>
      </c>
      <c r="X286" s="31">
        <f>IFERROR(VLOOKUP(V286,MgFrec,2,0),0)</f>
        <v/>
      </c>
      <c r="Y286" s="30">
        <f>T286*X286</f>
        <v/>
      </c>
      <c r="Z286" s="28">
        <f>IFERROR(LOOKUP(Y286,{0;0.5;5;25},{"Bajo";"Medio";"Alto";"Crítico"}),"")</f>
        <v/>
      </c>
      <c r="AA286" s="64">
        <f>IF(T286&gt;=3,IF(X286&gt;=1,"Zona 1 — Crítica: impacto alto y ocurre al menos una vez al año","Zona 4 — Catastrófica poco probable: impacto alto pero excepcional"),IF(AND(T286&lt;1.5,X286&lt;1),"Zona 3 — Asumible: impacto bajo y muy poco frecuente","Zona 2 — Atención: riesgo intermedio"))</f>
        <v/>
      </c>
      <c r="AB286" s="64">
        <f>IFERROR(INDEX(MgAmenCtrl,MATCH(SUBSTITUTE($H286,"*","-"),MgAmenClave,0)),"")</f>
        <v/>
      </c>
      <c r="AC286" s="20" t="n"/>
      <c r="AD286" s="31">
        <f>IFERROR($X286*(1-IF($AC286="",$AL286,VLOOKUP($AC286,MgMad,2,0))),"")</f>
        <v/>
      </c>
      <c r="AE286" s="28">
        <f>IFERROR(LOOKUP(AD286,{0;0.01;0.1;1;10;100},{"Muy baja";"Muy baja";"Baja";"Media";"Alta";"Muy alta"}),"")</f>
        <v/>
      </c>
      <c r="AF286" s="30">
        <f>T286*AD286</f>
        <v/>
      </c>
      <c r="AG286" s="28">
        <f>IFERROR(LOOKUP(AF286,{0;0.5;5;25},{"Bajo";"Medio";"Alto";"Crítico"}),"")</f>
        <v/>
      </c>
      <c r="AH286" s="28">
        <f>IF(AG286="","",IF(OR(AG286="Crítico",AG286="Alto"),"Mitigar",IF(AG286="Medio","Mitigar","Aceptar y monitorear")))</f>
        <v/>
      </c>
      <c r="AI286" s="21" t="n"/>
      <c r="AJ286" s="21" t="n"/>
      <c r="AK286" s="20" t="n"/>
      <c r="AL286" s="77">
        <f>IFERROR(INDEX(MgAmenEfic,MATCH(SUBSTITUTE($H286,"*","-"),MgAmenClave,0)),0)</f>
        <v/>
      </c>
    </row>
    <row r="287" hidden="1" ht="60" customHeight="1" s="54">
      <c r="B287" s="59" t="inlineStr">
        <is>
          <t>R-0282</t>
        </is>
      </c>
      <c r="C287" s="59" t="inlineStr">
        <is>
          <t>DO-01</t>
        </is>
      </c>
      <c r="D287" s="64">
        <f>IFERROR(INDEX(MgNombre,MATCH($C287,MgActId,0)),"")</f>
        <v/>
      </c>
      <c r="E287" s="64">
        <f>IFERROR(INDEX(MgProceso,MATCH($C287,MgActId,0)),"")</f>
        <v/>
      </c>
      <c r="F287" s="64">
        <f>IFERROR(INDEX(MgTipo,MATCH($C287,MgActId,0)),"")</f>
        <v/>
      </c>
      <c r="G287" s="64">
        <f>IFERROR(INDEX(MgSubtipo,MATCH($C287,MgActId,0)),"")</f>
        <v/>
      </c>
      <c r="H287" s="59" t="inlineStr">
        <is>
          <t>A.14</t>
        </is>
      </c>
      <c r="I287" s="64">
        <f>IFERROR(INDEX(MgAmenNombre,MATCH(SUBSTITUTE($H287,"*","-"),MgAmenClave,0)),"")</f>
        <v/>
      </c>
      <c r="J287" s="28">
        <f>IFERROR(INDEX(MgAmenGrupo,MATCH(SUBSTITUTE($H287,"*","-"),MgAmenClave,0)),"")</f>
        <v/>
      </c>
      <c r="K287" s="64">
        <f>IFERROR(INDEX('1. Matriz de Activos'!$Q$6:$Q$239,MATCH($C287,MgActId,0)),"")</f>
        <v/>
      </c>
      <c r="L287" s="64">
        <f>IFERROR(INDEX('1. Matriz de Activos'!$R$6:$R$239,MATCH($C287,MgActId,0)),"")</f>
        <v/>
      </c>
      <c r="M287" s="64">
        <f>IFERROR(INDEX('1. Matriz de Activos'!$S$6:$S$239,MATCH($C287,MgActId,0)),"")</f>
        <v/>
      </c>
      <c r="N287" s="28">
        <f>IFERROR(INDEX(MgAmenDegD,MATCH(SUBSTITUTE($H287,"*","-"),MgAmenClave,0)),"No aplica")</f>
        <v/>
      </c>
      <c r="O287" s="28">
        <f>IFERROR(INDEX(MgAmenDegI,MATCH(SUBSTITUTE($H287,"*","-"),MgAmenClave,0)),"No aplica")</f>
        <v/>
      </c>
      <c r="P287" s="28">
        <f>IFERROR(INDEX(MgAmenDegC,MATCH(SUBSTITUTE($H287,"*","-"),MgAmenClave,0)),"No aplica")</f>
        <v/>
      </c>
      <c r="Q287" s="29">
        <f>IFERROR(VLOOKUP(K287,MgValor,2,0)*VLOOKUP(N287,MgDeg,2,0),0)</f>
        <v/>
      </c>
      <c r="R287" s="29">
        <f>IFERROR(VLOOKUP(L287,MgValor,2,0)*VLOOKUP(O287,MgDeg,2,0),0)</f>
        <v/>
      </c>
      <c r="S287" s="29">
        <f>IFERROR(VLOOKUP(M287,MgValor,2,0)*VLOOKUP(P287,MgDeg,2,0),0)</f>
        <v/>
      </c>
      <c r="T287" s="30">
        <f>MAX(Q287:S287)</f>
        <v/>
      </c>
      <c r="U287" s="28">
        <f>IFERROR(LOOKUP(T287,{0;0.5;1.5;3;4.5},{"Despreciable";"Bajo";"Medio";"Alto";"Muy alto"}),"")</f>
        <v/>
      </c>
      <c r="V287" s="13">
        <f>IFERROR(INDEX(MgAmenFrec,MATCH(SUBSTITUTE($H287,"*","-"),MgAmenClave,0)),"")</f>
        <v/>
      </c>
      <c r="W287" s="28">
        <f>IFERROR(LOOKUP(X287,{0;0.01;0.1;1;10;100},{"Muy baja";"Muy baja";"Baja";"Media";"Alta";"Muy alta"}),"")</f>
        <v/>
      </c>
      <c r="X287" s="31">
        <f>IFERROR(VLOOKUP(V287,MgFrec,2,0),0)</f>
        <v/>
      </c>
      <c r="Y287" s="30">
        <f>T287*X287</f>
        <v/>
      </c>
      <c r="Z287" s="28">
        <f>IFERROR(LOOKUP(Y287,{0;0.5;5;25},{"Bajo";"Medio";"Alto";"Crítico"}),"")</f>
        <v/>
      </c>
      <c r="AA287" s="64">
        <f>IF(T287&gt;=3,IF(X287&gt;=1,"Zona 1 — Crítica: impacto alto y ocurre al menos una vez al año","Zona 4 — Catastrófica poco probable: impacto alto pero excepcional"),IF(AND(T287&lt;1.5,X287&lt;1),"Zona 3 — Asumible: impacto bajo y muy poco frecuente","Zona 2 — Atención: riesgo intermedio"))</f>
        <v/>
      </c>
      <c r="AB287" s="64">
        <f>IFERROR(INDEX(MgAmenCtrl,MATCH(SUBSTITUTE($H287,"*","-"),MgAmenClave,0)),"")</f>
        <v/>
      </c>
      <c r="AC287" s="20" t="n"/>
      <c r="AD287" s="31">
        <f>IFERROR($X287*(1-IF($AC287="",$AL287,VLOOKUP($AC287,MgMad,2,0))),"")</f>
        <v/>
      </c>
      <c r="AE287" s="28">
        <f>IFERROR(LOOKUP(AD287,{0;0.01;0.1;1;10;100},{"Muy baja";"Muy baja";"Baja";"Media";"Alta";"Muy alta"}),"")</f>
        <v/>
      </c>
      <c r="AF287" s="30">
        <f>T287*AD287</f>
        <v/>
      </c>
      <c r="AG287" s="28">
        <f>IFERROR(LOOKUP(AF287,{0;0.5;5;25},{"Bajo";"Medio";"Alto";"Crítico"}),"")</f>
        <v/>
      </c>
      <c r="AH287" s="28">
        <f>IF(AG287="","",IF(OR(AG287="Crítico",AG287="Alto"),"Mitigar",IF(AG287="Medio","Mitigar","Aceptar y monitorear")))</f>
        <v/>
      </c>
      <c r="AI287" s="21" t="n"/>
      <c r="AJ287" s="21" t="n"/>
      <c r="AK287" s="20" t="n"/>
      <c r="AL287" s="77">
        <f>IFERROR(INDEX(MgAmenEfic,MATCH(SUBSTITUTE($H287,"*","-"),MgAmenClave,0)),0)</f>
        <v/>
      </c>
    </row>
    <row r="288" hidden="1" ht="60" customHeight="1" s="54">
      <c r="B288" s="59" t="inlineStr">
        <is>
          <t>R-0283</t>
        </is>
      </c>
      <c r="C288" s="59" t="inlineStr">
        <is>
          <t>DO-01</t>
        </is>
      </c>
      <c r="D288" s="64">
        <f>IFERROR(INDEX(MgNombre,MATCH($C288,MgActId,0)),"")</f>
        <v/>
      </c>
      <c r="E288" s="64">
        <f>IFERROR(INDEX(MgProceso,MATCH($C288,MgActId,0)),"")</f>
        <v/>
      </c>
      <c r="F288" s="64">
        <f>IFERROR(INDEX(MgTipo,MATCH($C288,MgActId,0)),"")</f>
        <v/>
      </c>
      <c r="G288" s="64">
        <f>IFERROR(INDEX(MgSubtipo,MATCH($C288,MgActId,0)),"")</f>
        <v/>
      </c>
      <c r="H288" s="59" t="inlineStr">
        <is>
          <t>A.15</t>
        </is>
      </c>
      <c r="I288" s="64">
        <f>IFERROR(INDEX(MgAmenNombre,MATCH(SUBSTITUTE($H288,"*","-"),MgAmenClave,0)),"")</f>
        <v/>
      </c>
      <c r="J288" s="28">
        <f>IFERROR(INDEX(MgAmenGrupo,MATCH(SUBSTITUTE($H288,"*","-"),MgAmenClave,0)),"")</f>
        <v/>
      </c>
      <c r="K288" s="64">
        <f>IFERROR(INDEX('1. Matriz de Activos'!$Q$6:$Q$239,MATCH($C288,MgActId,0)),"")</f>
        <v/>
      </c>
      <c r="L288" s="64">
        <f>IFERROR(INDEX('1. Matriz de Activos'!$R$6:$R$239,MATCH($C288,MgActId,0)),"")</f>
        <v/>
      </c>
      <c r="M288" s="64">
        <f>IFERROR(INDEX('1. Matriz de Activos'!$S$6:$S$239,MATCH($C288,MgActId,0)),"")</f>
        <v/>
      </c>
      <c r="N288" s="28">
        <f>IFERROR(INDEX(MgAmenDegD,MATCH(SUBSTITUTE($H288,"*","-"),MgAmenClave,0)),"No aplica")</f>
        <v/>
      </c>
      <c r="O288" s="28">
        <f>IFERROR(INDEX(MgAmenDegI,MATCH(SUBSTITUTE($H288,"*","-"),MgAmenClave,0)),"No aplica")</f>
        <v/>
      </c>
      <c r="P288" s="28">
        <f>IFERROR(INDEX(MgAmenDegC,MATCH(SUBSTITUTE($H288,"*","-"),MgAmenClave,0)),"No aplica")</f>
        <v/>
      </c>
      <c r="Q288" s="29">
        <f>IFERROR(VLOOKUP(K288,MgValor,2,0)*VLOOKUP(N288,MgDeg,2,0),0)</f>
        <v/>
      </c>
      <c r="R288" s="29">
        <f>IFERROR(VLOOKUP(L288,MgValor,2,0)*VLOOKUP(O288,MgDeg,2,0),0)</f>
        <v/>
      </c>
      <c r="S288" s="29">
        <f>IFERROR(VLOOKUP(M288,MgValor,2,0)*VLOOKUP(P288,MgDeg,2,0),0)</f>
        <v/>
      </c>
      <c r="T288" s="30">
        <f>MAX(Q288:S288)</f>
        <v/>
      </c>
      <c r="U288" s="28">
        <f>IFERROR(LOOKUP(T288,{0;0.5;1.5;3;4.5},{"Despreciable";"Bajo";"Medio";"Alto";"Muy alto"}),"")</f>
        <v/>
      </c>
      <c r="V288" s="13">
        <f>IFERROR(INDEX(MgAmenFrec,MATCH(SUBSTITUTE($H288,"*","-"),MgAmenClave,0)),"")</f>
        <v/>
      </c>
      <c r="W288" s="28">
        <f>IFERROR(LOOKUP(X288,{0;0.01;0.1;1;10;100},{"Muy baja";"Muy baja";"Baja";"Media";"Alta";"Muy alta"}),"")</f>
        <v/>
      </c>
      <c r="X288" s="31">
        <f>IFERROR(VLOOKUP(V288,MgFrec,2,0),0)</f>
        <v/>
      </c>
      <c r="Y288" s="30">
        <f>T288*X288</f>
        <v/>
      </c>
      <c r="Z288" s="28">
        <f>IFERROR(LOOKUP(Y288,{0;0.5;5;25},{"Bajo";"Medio";"Alto";"Crítico"}),"")</f>
        <v/>
      </c>
      <c r="AA288" s="64">
        <f>IF(T288&gt;=3,IF(X288&gt;=1,"Zona 1 — Crítica: impacto alto y ocurre al menos una vez al año","Zona 4 — Catastrófica poco probable: impacto alto pero excepcional"),IF(AND(T288&lt;1.5,X288&lt;1),"Zona 3 — Asumible: impacto bajo y muy poco frecuente","Zona 2 — Atención: riesgo intermedio"))</f>
        <v/>
      </c>
      <c r="AB288" s="64">
        <f>IFERROR(INDEX(MgAmenCtrl,MATCH(SUBSTITUTE($H288,"*","-"),MgAmenClave,0)),"")</f>
        <v/>
      </c>
      <c r="AC288" s="20" t="n"/>
      <c r="AD288" s="31">
        <f>IFERROR($X288*(1-IF($AC288="",$AL288,VLOOKUP($AC288,MgMad,2,0))),"")</f>
        <v/>
      </c>
      <c r="AE288" s="28">
        <f>IFERROR(LOOKUP(AD288,{0;0.01;0.1;1;10;100},{"Muy baja";"Muy baja";"Baja";"Media";"Alta";"Muy alta"}),"")</f>
        <v/>
      </c>
      <c r="AF288" s="30">
        <f>T288*AD288</f>
        <v/>
      </c>
      <c r="AG288" s="28">
        <f>IFERROR(LOOKUP(AF288,{0;0.5;5;25},{"Bajo";"Medio";"Alto";"Crítico"}),"")</f>
        <v/>
      </c>
      <c r="AH288" s="28">
        <f>IF(AG288="","",IF(OR(AG288="Crítico",AG288="Alto"),"Mitigar",IF(AG288="Medio","Mitigar","Aceptar y monitorear")))</f>
        <v/>
      </c>
      <c r="AI288" s="21" t="n"/>
      <c r="AJ288" s="21" t="n"/>
      <c r="AK288" s="20" t="n"/>
      <c r="AL288" s="77">
        <f>IFERROR(INDEX(MgAmenEfic,MATCH(SUBSTITUTE($H288,"*","-"),MgAmenClave,0)),0)</f>
        <v/>
      </c>
    </row>
    <row r="289" hidden="1" ht="60" customHeight="1" s="54">
      <c r="B289" s="59" t="inlineStr">
        <is>
          <t>R-0284</t>
        </is>
      </c>
      <c r="C289" s="59" t="inlineStr">
        <is>
          <t>DO-01</t>
        </is>
      </c>
      <c r="D289" s="64">
        <f>IFERROR(INDEX(MgNombre,MATCH($C289,MgActId,0)),"")</f>
        <v/>
      </c>
      <c r="E289" s="64">
        <f>IFERROR(INDEX(MgProceso,MATCH($C289,MgActId,0)),"")</f>
        <v/>
      </c>
      <c r="F289" s="64">
        <f>IFERROR(INDEX(MgTipo,MATCH($C289,MgActId,0)),"")</f>
        <v/>
      </c>
      <c r="G289" s="64">
        <f>IFERROR(INDEX(MgSubtipo,MATCH($C289,MgActId,0)),"")</f>
        <v/>
      </c>
      <c r="H289" s="59" t="inlineStr">
        <is>
          <t>A.18</t>
        </is>
      </c>
      <c r="I289" s="64">
        <f>IFERROR(INDEX(MgAmenNombre,MATCH(SUBSTITUTE($H289,"*","-"),MgAmenClave,0)),"")</f>
        <v/>
      </c>
      <c r="J289" s="28">
        <f>IFERROR(INDEX(MgAmenGrupo,MATCH(SUBSTITUTE($H289,"*","-"),MgAmenClave,0)),"")</f>
        <v/>
      </c>
      <c r="K289" s="64">
        <f>IFERROR(INDEX('1. Matriz de Activos'!$Q$6:$Q$239,MATCH($C289,MgActId,0)),"")</f>
        <v/>
      </c>
      <c r="L289" s="64">
        <f>IFERROR(INDEX('1. Matriz de Activos'!$R$6:$R$239,MATCH($C289,MgActId,0)),"")</f>
        <v/>
      </c>
      <c r="M289" s="64">
        <f>IFERROR(INDEX('1. Matriz de Activos'!$S$6:$S$239,MATCH($C289,MgActId,0)),"")</f>
        <v/>
      </c>
      <c r="N289" s="28">
        <f>IFERROR(INDEX(MgAmenDegD,MATCH(SUBSTITUTE($H289,"*","-"),MgAmenClave,0)),"No aplica")</f>
        <v/>
      </c>
      <c r="O289" s="28">
        <f>IFERROR(INDEX(MgAmenDegI,MATCH(SUBSTITUTE($H289,"*","-"),MgAmenClave,0)),"No aplica")</f>
        <v/>
      </c>
      <c r="P289" s="28">
        <f>IFERROR(INDEX(MgAmenDegC,MATCH(SUBSTITUTE($H289,"*","-"),MgAmenClave,0)),"No aplica")</f>
        <v/>
      </c>
      <c r="Q289" s="29">
        <f>IFERROR(VLOOKUP(K289,MgValor,2,0)*VLOOKUP(N289,MgDeg,2,0),0)</f>
        <v/>
      </c>
      <c r="R289" s="29">
        <f>IFERROR(VLOOKUP(L289,MgValor,2,0)*VLOOKUP(O289,MgDeg,2,0),0)</f>
        <v/>
      </c>
      <c r="S289" s="29">
        <f>IFERROR(VLOOKUP(M289,MgValor,2,0)*VLOOKUP(P289,MgDeg,2,0),0)</f>
        <v/>
      </c>
      <c r="T289" s="30">
        <f>MAX(Q289:S289)</f>
        <v/>
      </c>
      <c r="U289" s="28">
        <f>IFERROR(LOOKUP(T289,{0;0.5;1.5;3;4.5},{"Despreciable";"Bajo";"Medio";"Alto";"Muy alto"}),"")</f>
        <v/>
      </c>
      <c r="V289" s="13">
        <f>IFERROR(INDEX(MgAmenFrec,MATCH(SUBSTITUTE($H289,"*","-"),MgAmenClave,0)),"")</f>
        <v/>
      </c>
      <c r="W289" s="28">
        <f>IFERROR(LOOKUP(X289,{0;0.01;0.1;1;10;100},{"Muy baja";"Muy baja";"Baja";"Media";"Alta";"Muy alta"}),"")</f>
        <v/>
      </c>
      <c r="X289" s="31">
        <f>IFERROR(VLOOKUP(V289,MgFrec,2,0),0)</f>
        <v/>
      </c>
      <c r="Y289" s="30">
        <f>T289*X289</f>
        <v/>
      </c>
      <c r="Z289" s="28">
        <f>IFERROR(LOOKUP(Y289,{0;0.5;5;25},{"Bajo";"Medio";"Alto";"Crítico"}),"")</f>
        <v/>
      </c>
      <c r="AA289" s="64">
        <f>IF(T289&gt;=3,IF(X289&gt;=1,"Zona 1 — Crítica: impacto alto y ocurre al menos una vez al año","Zona 4 — Catastrófica poco probable: impacto alto pero excepcional"),IF(AND(T289&lt;1.5,X289&lt;1),"Zona 3 — Asumible: impacto bajo y muy poco frecuente","Zona 2 — Atención: riesgo intermedio"))</f>
        <v/>
      </c>
      <c r="AB289" s="64">
        <f>IFERROR(INDEX(MgAmenCtrl,MATCH(SUBSTITUTE($H289,"*","-"),MgAmenClave,0)),"")</f>
        <v/>
      </c>
      <c r="AC289" s="20" t="n"/>
      <c r="AD289" s="31">
        <f>IFERROR($X289*(1-IF($AC289="",$AL289,VLOOKUP($AC289,MgMad,2,0))),"")</f>
        <v/>
      </c>
      <c r="AE289" s="28">
        <f>IFERROR(LOOKUP(AD289,{0;0.01;0.1;1;10;100},{"Muy baja";"Muy baja";"Baja";"Media";"Alta";"Muy alta"}),"")</f>
        <v/>
      </c>
      <c r="AF289" s="30">
        <f>T289*AD289</f>
        <v/>
      </c>
      <c r="AG289" s="28">
        <f>IFERROR(LOOKUP(AF289,{0;0.5;5;25},{"Bajo";"Medio";"Alto";"Crítico"}),"")</f>
        <v/>
      </c>
      <c r="AH289" s="28">
        <f>IF(AG289="","",IF(OR(AG289="Crítico",AG289="Alto"),"Mitigar",IF(AG289="Medio","Mitigar","Aceptar y monitorear")))</f>
        <v/>
      </c>
      <c r="AI289" s="21" t="n"/>
      <c r="AJ289" s="21" t="n"/>
      <c r="AK289" s="20" t="n"/>
      <c r="AL289" s="77">
        <f>IFERROR(INDEX(MgAmenEfic,MATCH(SUBSTITUTE($H289,"*","-"),MgAmenClave,0)),0)</f>
        <v/>
      </c>
    </row>
    <row r="290" hidden="1" ht="120" customHeight="1" s="54">
      <c r="B290" s="59" t="inlineStr">
        <is>
          <t>R-0285</t>
        </is>
      </c>
      <c r="C290" s="59" t="inlineStr">
        <is>
          <t>DO-01</t>
        </is>
      </c>
      <c r="D290" s="64">
        <f>IFERROR(INDEX(MgNombre,MATCH($C290,MgActId,0)),"")</f>
        <v/>
      </c>
      <c r="E290" s="64">
        <f>IFERROR(INDEX(MgProceso,MATCH($C290,MgActId,0)),"")</f>
        <v/>
      </c>
      <c r="F290" s="64">
        <f>IFERROR(INDEX(MgTipo,MATCH($C290,MgActId,0)),"")</f>
        <v/>
      </c>
      <c r="G290" s="64">
        <f>IFERROR(INDEX(MgSubtipo,MATCH($C290,MgActId,0)),"")</f>
        <v/>
      </c>
      <c r="H290" s="59" t="inlineStr">
        <is>
          <t>A.19</t>
        </is>
      </c>
      <c r="I290" s="64">
        <f>IFERROR(INDEX(MgAmenNombre,MATCH(SUBSTITUTE($H290,"*","-"),MgAmenClave,0)),"")</f>
        <v/>
      </c>
      <c r="J290" s="28">
        <f>IFERROR(INDEX(MgAmenGrupo,MATCH(SUBSTITUTE($H290,"*","-"),MgAmenClave,0)),"")</f>
        <v/>
      </c>
      <c r="K290" s="64">
        <f>IFERROR(INDEX('1. Matriz de Activos'!$Q$6:$Q$239,MATCH($C290,MgActId,0)),"")</f>
        <v/>
      </c>
      <c r="L290" s="64">
        <f>IFERROR(INDEX('1. Matriz de Activos'!$R$6:$R$239,MATCH($C290,MgActId,0)),"")</f>
        <v/>
      </c>
      <c r="M290" s="64">
        <f>IFERROR(INDEX('1. Matriz de Activos'!$S$6:$S$239,MATCH($C290,MgActId,0)),"")</f>
        <v/>
      </c>
      <c r="N290" s="28">
        <f>IFERROR(INDEX(MgAmenDegD,MATCH(SUBSTITUTE($H290,"*","-"),MgAmenClave,0)),"No aplica")</f>
        <v/>
      </c>
      <c r="O290" s="28">
        <f>IFERROR(INDEX(MgAmenDegI,MATCH(SUBSTITUTE($H290,"*","-"),MgAmenClave,0)),"No aplica")</f>
        <v/>
      </c>
      <c r="P290" s="28">
        <f>IFERROR(INDEX(MgAmenDegC,MATCH(SUBSTITUTE($H290,"*","-"),MgAmenClave,0)),"No aplica")</f>
        <v/>
      </c>
      <c r="Q290" s="29">
        <f>IFERROR(VLOOKUP(K290,MgValor,2,0)*VLOOKUP(N290,MgDeg,2,0),0)</f>
        <v/>
      </c>
      <c r="R290" s="29">
        <f>IFERROR(VLOOKUP(L290,MgValor,2,0)*VLOOKUP(O290,MgDeg,2,0),0)</f>
        <v/>
      </c>
      <c r="S290" s="29">
        <f>IFERROR(VLOOKUP(M290,MgValor,2,0)*VLOOKUP(P290,MgDeg,2,0),0)</f>
        <v/>
      </c>
      <c r="T290" s="30">
        <f>MAX(Q290:S290)</f>
        <v/>
      </c>
      <c r="U290" s="28">
        <f>IFERROR(LOOKUP(T290,{0;0.5;1.5;3;4.5},{"Despreciable";"Bajo";"Medio";"Alto";"Muy alto"}),"")</f>
        <v/>
      </c>
      <c r="V290" s="13">
        <f>IFERROR(INDEX(MgAmenFrec,MATCH(SUBSTITUTE($H290,"*","-"),MgAmenClave,0)),"")</f>
        <v/>
      </c>
      <c r="W290" s="28">
        <f>IFERROR(LOOKUP(X290,{0;0.01;0.1;1;10;100},{"Muy baja";"Muy baja";"Baja";"Media";"Alta";"Muy alta"}),"")</f>
        <v/>
      </c>
      <c r="X290" s="31">
        <f>IFERROR(VLOOKUP(V290,MgFrec,2,0),0)</f>
        <v/>
      </c>
      <c r="Y290" s="30">
        <f>T290*X290</f>
        <v/>
      </c>
      <c r="Z290" s="28">
        <f>IFERROR(LOOKUP(Y290,{0;0.5;5;25},{"Bajo";"Medio";"Alto";"Crítico"}),"")</f>
        <v/>
      </c>
      <c r="AA290" s="64">
        <f>IF(T290&gt;=3,IF(X290&gt;=1,"Zona 1 — Crítica: impacto alto y ocurre al menos una vez al año","Zona 4 — Catastrófica poco probable: impacto alto pero excepcional"),IF(AND(T290&lt;1.5,X290&lt;1),"Zona 3 — Asumible: impacto bajo y muy poco frecuente","Zona 2 — Atención: riesgo intermedio"))</f>
        <v/>
      </c>
      <c r="AB290" s="64">
        <f>IFERROR(INDEX(MgAmenCtrl,MATCH(SUBSTITUTE($H290,"*","-"),MgAmenClave,0)),"")</f>
        <v/>
      </c>
      <c r="AC290" s="20" t="n"/>
      <c r="AD290" s="31">
        <f>IFERROR($X290*(1-IF($AC290="",$AL290,VLOOKUP($AC290,MgMad,2,0))),"")</f>
        <v/>
      </c>
      <c r="AE290" s="28">
        <f>IFERROR(LOOKUP(AD290,{0;0.01;0.1;1;10;100},{"Muy baja";"Muy baja";"Baja";"Media";"Alta";"Muy alta"}),"")</f>
        <v/>
      </c>
      <c r="AF290" s="30">
        <f>T290*AD290</f>
        <v/>
      </c>
      <c r="AG290" s="28">
        <f>IFERROR(LOOKUP(AF290,{0;0.5;5;25},{"Bajo";"Medio";"Alto";"Crítico"}),"")</f>
        <v/>
      </c>
      <c r="AH290" s="28">
        <f>IF(AG290="","",IF(OR(AG290="Crítico",AG290="Alto"),"Mitigar",IF(AG290="Medio","Mitigar","Aceptar y monitorear")))</f>
        <v/>
      </c>
      <c r="AI290" s="21" t="n"/>
      <c r="AJ290" s="21" t="n"/>
      <c r="AK290" s="20" t="n"/>
      <c r="AL290" s="77">
        <f>IFERROR(INDEX(MgAmenEfic,MATCH(SUBSTITUTE($H290,"*","-"),MgAmenClave,0)),0)</f>
        <v/>
      </c>
    </row>
    <row r="291" hidden="1" ht="60" customHeight="1" s="54">
      <c r="B291" s="59" t="inlineStr">
        <is>
          <t>R-0286</t>
        </is>
      </c>
      <c r="C291" s="59" t="inlineStr">
        <is>
          <t>DO-01</t>
        </is>
      </c>
      <c r="D291" s="64">
        <f>IFERROR(INDEX(MgNombre,MATCH($C291,MgActId,0)),"")</f>
        <v/>
      </c>
      <c r="E291" s="64">
        <f>IFERROR(INDEX(MgProceso,MATCH($C291,MgActId,0)),"")</f>
        <v/>
      </c>
      <c r="F291" s="64">
        <f>IFERROR(INDEX(MgTipo,MATCH($C291,MgActId,0)),"")</f>
        <v/>
      </c>
      <c r="G291" s="64">
        <f>IFERROR(INDEX(MgSubtipo,MATCH($C291,MgActId,0)),"")</f>
        <v/>
      </c>
      <c r="H291" s="59" t="inlineStr">
        <is>
          <t>A.24</t>
        </is>
      </c>
      <c r="I291" s="64">
        <f>IFERROR(INDEX(MgAmenNombre,MATCH(SUBSTITUTE($H291,"*","-"),MgAmenClave,0)),"")</f>
        <v/>
      </c>
      <c r="J291" s="28">
        <f>IFERROR(INDEX(MgAmenGrupo,MATCH(SUBSTITUTE($H291,"*","-"),MgAmenClave,0)),"")</f>
        <v/>
      </c>
      <c r="K291" s="64">
        <f>IFERROR(INDEX('1. Matriz de Activos'!$Q$6:$Q$239,MATCH($C291,MgActId,0)),"")</f>
        <v/>
      </c>
      <c r="L291" s="64">
        <f>IFERROR(INDEX('1. Matriz de Activos'!$R$6:$R$239,MATCH($C291,MgActId,0)),"")</f>
        <v/>
      </c>
      <c r="M291" s="64">
        <f>IFERROR(INDEX('1. Matriz de Activos'!$S$6:$S$239,MATCH($C291,MgActId,0)),"")</f>
        <v/>
      </c>
      <c r="N291" s="28">
        <f>IFERROR(INDEX(MgAmenDegD,MATCH(SUBSTITUTE($H291,"*","-"),MgAmenClave,0)),"No aplica")</f>
        <v/>
      </c>
      <c r="O291" s="28">
        <f>IFERROR(INDEX(MgAmenDegI,MATCH(SUBSTITUTE($H291,"*","-"),MgAmenClave,0)),"No aplica")</f>
        <v/>
      </c>
      <c r="P291" s="28">
        <f>IFERROR(INDEX(MgAmenDegC,MATCH(SUBSTITUTE($H291,"*","-"),MgAmenClave,0)),"No aplica")</f>
        <v/>
      </c>
      <c r="Q291" s="29">
        <f>IFERROR(VLOOKUP(K291,MgValor,2,0)*VLOOKUP(N291,MgDeg,2,0),0)</f>
        <v/>
      </c>
      <c r="R291" s="29">
        <f>IFERROR(VLOOKUP(L291,MgValor,2,0)*VLOOKUP(O291,MgDeg,2,0),0)</f>
        <v/>
      </c>
      <c r="S291" s="29">
        <f>IFERROR(VLOOKUP(M291,MgValor,2,0)*VLOOKUP(P291,MgDeg,2,0),0)</f>
        <v/>
      </c>
      <c r="T291" s="30">
        <f>MAX(Q291:S291)</f>
        <v/>
      </c>
      <c r="U291" s="28">
        <f>IFERROR(LOOKUP(T291,{0;0.5;1.5;3;4.5},{"Despreciable";"Bajo";"Medio";"Alto";"Muy alto"}),"")</f>
        <v/>
      </c>
      <c r="V291" s="13">
        <f>IFERROR(INDEX(MgAmenFrec,MATCH(SUBSTITUTE($H291,"*","-"),MgAmenClave,0)),"")</f>
        <v/>
      </c>
      <c r="W291" s="28">
        <f>IFERROR(LOOKUP(X291,{0;0.01;0.1;1;10;100},{"Muy baja";"Muy baja";"Baja";"Media";"Alta";"Muy alta"}),"")</f>
        <v/>
      </c>
      <c r="X291" s="31">
        <f>IFERROR(VLOOKUP(V291,MgFrec,2,0),0)</f>
        <v/>
      </c>
      <c r="Y291" s="30">
        <f>T291*X291</f>
        <v/>
      </c>
      <c r="Z291" s="28">
        <f>IFERROR(LOOKUP(Y291,{0;0.5;5;25},{"Bajo";"Medio";"Alto";"Crítico"}),"")</f>
        <v/>
      </c>
      <c r="AA291" s="64">
        <f>IF(T291&gt;=3,IF(X291&gt;=1,"Zona 1 — Crítica: impacto alto y ocurre al menos una vez al año","Zona 4 — Catastrófica poco probable: impacto alto pero excepcional"),IF(AND(T291&lt;1.5,X291&lt;1),"Zona 3 — Asumible: impacto bajo y muy poco frecuente","Zona 2 — Atención: riesgo intermedio"))</f>
        <v/>
      </c>
      <c r="AB291" s="64">
        <f>IFERROR(INDEX(MgAmenCtrl,MATCH(SUBSTITUTE($H291,"*","-"),MgAmenClave,0)),"")</f>
        <v/>
      </c>
      <c r="AC291" s="20" t="n"/>
      <c r="AD291" s="31">
        <f>IFERROR($X291*(1-IF($AC291="",$AL291,VLOOKUP($AC291,MgMad,2,0))),"")</f>
        <v/>
      </c>
      <c r="AE291" s="28">
        <f>IFERROR(LOOKUP(AD291,{0;0.01;0.1;1;10;100},{"Muy baja";"Muy baja";"Baja";"Media";"Alta";"Muy alta"}),"")</f>
        <v/>
      </c>
      <c r="AF291" s="30">
        <f>T291*AD291</f>
        <v/>
      </c>
      <c r="AG291" s="28">
        <f>IFERROR(LOOKUP(AF291,{0;0.5;5;25},{"Bajo";"Medio";"Alto";"Crítico"}),"")</f>
        <v/>
      </c>
      <c r="AH291" s="28">
        <f>IF(AG291="","",IF(OR(AG291="Crítico",AG291="Alto"),"Mitigar",IF(AG291="Medio","Mitigar","Aceptar y monitorear")))</f>
        <v/>
      </c>
      <c r="AI291" s="21" t="n"/>
      <c r="AJ291" s="21" t="n"/>
      <c r="AK291" s="20" t="n"/>
      <c r="AL291" s="77">
        <f>IFERROR(INDEX(MgAmenEfic,MATCH(SUBSTITUTE($H291,"*","-"),MgAmenClave,0)),0)</f>
        <v/>
      </c>
    </row>
    <row r="292" hidden="1" ht="75" customHeight="1" s="54">
      <c r="B292" s="59" t="inlineStr">
        <is>
          <t>R-0287</t>
        </is>
      </c>
      <c r="C292" s="59" t="inlineStr">
        <is>
          <t>DO-02</t>
        </is>
      </c>
      <c r="D292" s="64">
        <f>IFERROR(INDEX(MgNombre,MATCH($C292,MgActId,0)),"")</f>
        <v/>
      </c>
      <c r="E292" s="64">
        <f>IFERROR(INDEX(MgProceso,MATCH($C292,MgActId,0)),"")</f>
        <v/>
      </c>
      <c r="F292" s="64">
        <f>IFERROR(INDEX(MgTipo,MATCH($C292,MgActId,0)),"")</f>
        <v/>
      </c>
      <c r="G292" s="64">
        <f>IFERROR(INDEX(MgSubtipo,MATCH($C292,MgActId,0)),"")</f>
        <v/>
      </c>
      <c r="H292" s="59" t="inlineStr">
        <is>
          <t>I.8</t>
        </is>
      </c>
      <c r="I292" s="64">
        <f>IFERROR(INDEX(MgAmenNombre,MATCH(SUBSTITUTE($H292,"*","-"),MgAmenClave,0)),"")</f>
        <v/>
      </c>
      <c r="J292" s="28">
        <f>IFERROR(INDEX(MgAmenGrupo,MATCH(SUBSTITUTE($H292,"*","-"),MgAmenClave,0)),"")</f>
        <v/>
      </c>
      <c r="K292" s="64">
        <f>IFERROR(INDEX('1. Matriz de Activos'!$Q$6:$Q$239,MATCH($C292,MgActId,0)),"")</f>
        <v/>
      </c>
      <c r="L292" s="64">
        <f>IFERROR(INDEX('1. Matriz de Activos'!$R$6:$R$239,MATCH($C292,MgActId,0)),"")</f>
        <v/>
      </c>
      <c r="M292" s="64">
        <f>IFERROR(INDEX('1. Matriz de Activos'!$S$6:$S$239,MATCH($C292,MgActId,0)),"")</f>
        <v/>
      </c>
      <c r="N292" s="28">
        <f>IFERROR(INDEX(MgAmenDegD,MATCH(SUBSTITUTE($H292,"*","-"),MgAmenClave,0)),"No aplica")</f>
        <v/>
      </c>
      <c r="O292" s="28">
        <f>IFERROR(INDEX(MgAmenDegI,MATCH(SUBSTITUTE($H292,"*","-"),MgAmenClave,0)),"No aplica")</f>
        <v/>
      </c>
      <c r="P292" s="28">
        <f>IFERROR(INDEX(MgAmenDegC,MATCH(SUBSTITUTE($H292,"*","-"),MgAmenClave,0)),"No aplica")</f>
        <v/>
      </c>
      <c r="Q292" s="29">
        <f>IFERROR(VLOOKUP(K292,MgValor,2,0)*VLOOKUP(N292,MgDeg,2,0),0)</f>
        <v/>
      </c>
      <c r="R292" s="29">
        <f>IFERROR(VLOOKUP(L292,MgValor,2,0)*VLOOKUP(O292,MgDeg,2,0),0)</f>
        <v/>
      </c>
      <c r="S292" s="29">
        <f>IFERROR(VLOOKUP(M292,MgValor,2,0)*VLOOKUP(P292,MgDeg,2,0),0)</f>
        <v/>
      </c>
      <c r="T292" s="30">
        <f>MAX(Q292:S292)</f>
        <v/>
      </c>
      <c r="U292" s="28">
        <f>IFERROR(LOOKUP(T292,{0;0.5;1.5;3;4.5},{"Despreciable";"Bajo";"Medio";"Alto";"Muy alto"}),"")</f>
        <v/>
      </c>
      <c r="V292" s="13">
        <f>IFERROR(INDEX(MgAmenFrec,MATCH(SUBSTITUTE($H292,"*","-"),MgAmenClave,0)),"")</f>
        <v/>
      </c>
      <c r="W292" s="28">
        <f>IFERROR(LOOKUP(X292,{0;0.01;0.1;1;10;100},{"Muy baja";"Muy baja";"Baja";"Media";"Alta";"Muy alta"}),"")</f>
        <v/>
      </c>
      <c r="X292" s="31">
        <f>IFERROR(VLOOKUP(V292,MgFrec,2,0),0)</f>
        <v/>
      </c>
      <c r="Y292" s="30">
        <f>T292*X292</f>
        <v/>
      </c>
      <c r="Z292" s="28">
        <f>IFERROR(LOOKUP(Y292,{0;0.5;5;25},{"Bajo";"Medio";"Alto";"Crítico"}),"")</f>
        <v/>
      </c>
      <c r="AA292" s="64">
        <f>IF(T292&gt;=3,IF(X292&gt;=1,"Zona 1 — Crítica: impacto alto y ocurre al menos una vez al año","Zona 4 — Catastrófica poco probable: impacto alto pero excepcional"),IF(AND(T292&lt;1.5,X292&lt;1),"Zona 3 — Asumible: impacto bajo y muy poco frecuente","Zona 2 — Atención: riesgo intermedio"))</f>
        <v/>
      </c>
      <c r="AB292" s="64">
        <f>IFERROR(INDEX(MgAmenCtrl,MATCH(SUBSTITUTE($H292,"*","-"),MgAmenClave,0)),"")</f>
        <v/>
      </c>
      <c r="AC292" s="20" t="n"/>
      <c r="AD292" s="31">
        <f>IFERROR($X292*(1-IF($AC292="",$AL292,VLOOKUP($AC292,MgMad,2,0))),"")</f>
        <v/>
      </c>
      <c r="AE292" s="28">
        <f>IFERROR(LOOKUP(AD292,{0;0.01;0.1;1;10;100},{"Muy baja";"Muy baja";"Baja";"Media";"Alta";"Muy alta"}),"")</f>
        <v/>
      </c>
      <c r="AF292" s="30">
        <f>T292*AD292</f>
        <v/>
      </c>
      <c r="AG292" s="28">
        <f>IFERROR(LOOKUP(AF292,{0;0.5;5;25},{"Bajo";"Medio";"Alto";"Crítico"}),"")</f>
        <v/>
      </c>
      <c r="AH292" s="28">
        <f>IF(AG292="","",IF(OR(AG292="Crítico",AG292="Alto"),"Mitigar",IF(AG292="Medio","Mitigar","Aceptar y monitorear")))</f>
        <v/>
      </c>
      <c r="AI292" s="21" t="n"/>
      <c r="AJ292" s="21" t="n"/>
      <c r="AK292" s="20" t="n"/>
      <c r="AL292" s="77">
        <f>IFERROR(INDEX(MgAmenEfic,MATCH(SUBSTITUTE($H292,"*","-"),MgAmenClave,0)),0)</f>
        <v/>
      </c>
    </row>
    <row r="293" hidden="1" ht="45" customHeight="1" s="54">
      <c r="B293" s="59" t="inlineStr">
        <is>
          <t>R-0288</t>
        </is>
      </c>
      <c r="C293" s="59" t="inlineStr">
        <is>
          <t>DO-02</t>
        </is>
      </c>
      <c r="D293" s="64">
        <f>IFERROR(INDEX(MgNombre,MATCH($C293,MgActId,0)),"")</f>
        <v/>
      </c>
      <c r="E293" s="64">
        <f>IFERROR(INDEX(MgProceso,MATCH($C293,MgActId,0)),"")</f>
        <v/>
      </c>
      <c r="F293" s="64">
        <f>IFERROR(INDEX(MgTipo,MATCH($C293,MgActId,0)),"")</f>
        <v/>
      </c>
      <c r="G293" s="64">
        <f>IFERROR(INDEX(MgSubtipo,MATCH($C293,MgActId,0)),"")</f>
        <v/>
      </c>
      <c r="H293" s="59" t="inlineStr">
        <is>
          <t>I.11</t>
        </is>
      </c>
      <c r="I293" s="64">
        <f>IFERROR(INDEX(MgAmenNombre,MATCH(SUBSTITUTE($H293,"*","-"),MgAmenClave,0)),"")</f>
        <v/>
      </c>
      <c r="J293" s="28">
        <f>IFERROR(INDEX(MgAmenGrupo,MATCH(SUBSTITUTE($H293,"*","-"),MgAmenClave,0)),"")</f>
        <v/>
      </c>
      <c r="K293" s="64">
        <f>IFERROR(INDEX('1. Matriz de Activos'!$Q$6:$Q$239,MATCH($C293,MgActId,0)),"")</f>
        <v/>
      </c>
      <c r="L293" s="64">
        <f>IFERROR(INDEX('1. Matriz de Activos'!$R$6:$R$239,MATCH($C293,MgActId,0)),"")</f>
        <v/>
      </c>
      <c r="M293" s="64">
        <f>IFERROR(INDEX('1. Matriz de Activos'!$S$6:$S$239,MATCH($C293,MgActId,0)),"")</f>
        <v/>
      </c>
      <c r="N293" s="28">
        <f>IFERROR(INDEX(MgAmenDegD,MATCH(SUBSTITUTE($H293,"*","-"),MgAmenClave,0)),"No aplica")</f>
        <v/>
      </c>
      <c r="O293" s="28">
        <f>IFERROR(INDEX(MgAmenDegI,MATCH(SUBSTITUTE($H293,"*","-"),MgAmenClave,0)),"No aplica")</f>
        <v/>
      </c>
      <c r="P293" s="28">
        <f>IFERROR(INDEX(MgAmenDegC,MATCH(SUBSTITUTE($H293,"*","-"),MgAmenClave,0)),"No aplica")</f>
        <v/>
      </c>
      <c r="Q293" s="29">
        <f>IFERROR(VLOOKUP(K293,MgValor,2,0)*VLOOKUP(N293,MgDeg,2,0),0)</f>
        <v/>
      </c>
      <c r="R293" s="29">
        <f>IFERROR(VLOOKUP(L293,MgValor,2,0)*VLOOKUP(O293,MgDeg,2,0),0)</f>
        <v/>
      </c>
      <c r="S293" s="29">
        <f>IFERROR(VLOOKUP(M293,MgValor,2,0)*VLOOKUP(P293,MgDeg,2,0),0)</f>
        <v/>
      </c>
      <c r="T293" s="30">
        <f>MAX(Q293:S293)</f>
        <v/>
      </c>
      <c r="U293" s="28">
        <f>IFERROR(LOOKUP(T293,{0;0.5;1.5;3;4.5},{"Despreciable";"Bajo";"Medio";"Alto";"Muy alto"}),"")</f>
        <v/>
      </c>
      <c r="V293" s="13">
        <f>IFERROR(INDEX(MgAmenFrec,MATCH(SUBSTITUTE($H293,"*","-"),MgAmenClave,0)),"")</f>
        <v/>
      </c>
      <c r="W293" s="28">
        <f>IFERROR(LOOKUP(X293,{0;0.01;0.1;1;10;100},{"Muy baja";"Muy baja";"Baja";"Media";"Alta";"Muy alta"}),"")</f>
        <v/>
      </c>
      <c r="X293" s="31">
        <f>IFERROR(VLOOKUP(V293,MgFrec,2,0),0)</f>
        <v/>
      </c>
      <c r="Y293" s="30">
        <f>T293*X293</f>
        <v/>
      </c>
      <c r="Z293" s="28">
        <f>IFERROR(LOOKUP(Y293,{0;0.5;5;25},{"Bajo";"Medio";"Alto";"Crítico"}),"")</f>
        <v/>
      </c>
      <c r="AA293" s="64">
        <f>IF(T293&gt;=3,IF(X293&gt;=1,"Zona 1 — Crítica: impacto alto y ocurre al menos una vez al año","Zona 4 — Catastrófica poco probable: impacto alto pero excepcional"),IF(AND(T293&lt;1.5,X293&lt;1),"Zona 3 — Asumible: impacto bajo y muy poco frecuente","Zona 2 — Atención: riesgo intermedio"))</f>
        <v/>
      </c>
      <c r="AB293" s="64">
        <f>IFERROR(INDEX(MgAmenCtrl,MATCH(SUBSTITUTE($H293,"*","-"),MgAmenClave,0)),"")</f>
        <v/>
      </c>
      <c r="AC293" s="20" t="n"/>
      <c r="AD293" s="31">
        <f>IFERROR($X293*(1-IF($AC293="",$AL293,VLOOKUP($AC293,MgMad,2,0))),"")</f>
        <v/>
      </c>
      <c r="AE293" s="28">
        <f>IFERROR(LOOKUP(AD293,{0;0.01;0.1;1;10;100},{"Muy baja";"Muy baja";"Baja";"Media";"Alta";"Muy alta"}),"")</f>
        <v/>
      </c>
      <c r="AF293" s="30">
        <f>T293*AD293</f>
        <v/>
      </c>
      <c r="AG293" s="28">
        <f>IFERROR(LOOKUP(AF293,{0;0.5;5;25},{"Bajo";"Medio";"Alto";"Crítico"}),"")</f>
        <v/>
      </c>
      <c r="AH293" s="28">
        <f>IF(AG293="","",IF(OR(AG293="Crítico",AG293="Alto"),"Mitigar",IF(AG293="Medio","Mitigar","Aceptar y monitorear")))</f>
        <v/>
      </c>
      <c r="AI293" s="21" t="n"/>
      <c r="AJ293" s="21" t="n"/>
      <c r="AK293" s="20" t="n"/>
      <c r="AL293" s="77">
        <f>IFERROR(INDEX(MgAmenEfic,MATCH(SUBSTITUTE($H293,"*","-"),MgAmenClave,0)),0)</f>
        <v/>
      </c>
    </row>
    <row r="294" hidden="1" ht="120" customHeight="1" s="54">
      <c r="B294" s="59" t="inlineStr">
        <is>
          <t>R-0289</t>
        </is>
      </c>
      <c r="C294" s="59" t="inlineStr">
        <is>
          <t>DO-02</t>
        </is>
      </c>
      <c r="D294" s="64">
        <f>IFERROR(INDEX(MgNombre,MATCH($C294,MgActId,0)),"")</f>
        <v/>
      </c>
      <c r="E294" s="64">
        <f>IFERROR(INDEX(MgProceso,MATCH($C294,MgActId,0)),"")</f>
        <v/>
      </c>
      <c r="F294" s="64">
        <f>IFERROR(INDEX(MgTipo,MATCH($C294,MgActId,0)),"")</f>
        <v/>
      </c>
      <c r="G294" s="64">
        <f>IFERROR(INDEX(MgSubtipo,MATCH($C294,MgActId,0)),"")</f>
        <v/>
      </c>
      <c r="H294" s="59" t="inlineStr">
        <is>
          <t>E.2</t>
        </is>
      </c>
      <c r="I294" s="64">
        <f>IFERROR(INDEX(MgAmenNombre,MATCH(SUBSTITUTE($H294,"*","-"),MgAmenClave,0)),"")</f>
        <v/>
      </c>
      <c r="J294" s="28">
        <f>IFERROR(INDEX(MgAmenGrupo,MATCH(SUBSTITUTE($H294,"*","-"),MgAmenClave,0)),"")</f>
        <v/>
      </c>
      <c r="K294" s="64">
        <f>IFERROR(INDEX('1. Matriz de Activos'!$Q$6:$Q$239,MATCH($C294,MgActId,0)),"")</f>
        <v/>
      </c>
      <c r="L294" s="64">
        <f>IFERROR(INDEX('1. Matriz de Activos'!$R$6:$R$239,MATCH($C294,MgActId,0)),"")</f>
        <v/>
      </c>
      <c r="M294" s="64">
        <f>IFERROR(INDEX('1. Matriz de Activos'!$S$6:$S$239,MATCH($C294,MgActId,0)),"")</f>
        <v/>
      </c>
      <c r="N294" s="28">
        <f>IFERROR(INDEX(MgAmenDegD,MATCH(SUBSTITUTE($H294,"*","-"),MgAmenClave,0)),"No aplica")</f>
        <v/>
      </c>
      <c r="O294" s="28">
        <f>IFERROR(INDEX(MgAmenDegI,MATCH(SUBSTITUTE($H294,"*","-"),MgAmenClave,0)),"No aplica")</f>
        <v/>
      </c>
      <c r="P294" s="28">
        <f>IFERROR(INDEX(MgAmenDegC,MATCH(SUBSTITUTE($H294,"*","-"),MgAmenClave,0)),"No aplica")</f>
        <v/>
      </c>
      <c r="Q294" s="29">
        <f>IFERROR(VLOOKUP(K294,MgValor,2,0)*VLOOKUP(N294,MgDeg,2,0),0)</f>
        <v/>
      </c>
      <c r="R294" s="29">
        <f>IFERROR(VLOOKUP(L294,MgValor,2,0)*VLOOKUP(O294,MgDeg,2,0),0)</f>
        <v/>
      </c>
      <c r="S294" s="29">
        <f>IFERROR(VLOOKUP(M294,MgValor,2,0)*VLOOKUP(P294,MgDeg,2,0),0)</f>
        <v/>
      </c>
      <c r="T294" s="30">
        <f>MAX(Q294:S294)</f>
        <v/>
      </c>
      <c r="U294" s="28">
        <f>IFERROR(LOOKUP(T294,{0;0.5;1.5;3;4.5},{"Despreciable";"Bajo";"Medio";"Alto";"Muy alto"}),"")</f>
        <v/>
      </c>
      <c r="V294" s="13">
        <f>IFERROR(INDEX(MgAmenFrec,MATCH(SUBSTITUTE($H294,"*","-"),MgAmenClave,0)),"")</f>
        <v/>
      </c>
      <c r="W294" s="28">
        <f>IFERROR(LOOKUP(X294,{0;0.01;0.1;1;10;100},{"Muy baja";"Muy baja";"Baja";"Media";"Alta";"Muy alta"}),"")</f>
        <v/>
      </c>
      <c r="X294" s="31">
        <f>IFERROR(VLOOKUP(V294,MgFrec,2,0),0)</f>
        <v/>
      </c>
      <c r="Y294" s="30">
        <f>T294*X294</f>
        <v/>
      </c>
      <c r="Z294" s="28">
        <f>IFERROR(LOOKUP(Y294,{0;0.5;5;25},{"Bajo";"Medio";"Alto";"Crítico"}),"")</f>
        <v/>
      </c>
      <c r="AA294" s="64">
        <f>IF(T294&gt;=3,IF(X294&gt;=1,"Zona 1 — Crítica: impacto alto y ocurre al menos una vez al año","Zona 4 — Catastrófica poco probable: impacto alto pero excepcional"),IF(AND(T294&lt;1.5,X294&lt;1),"Zona 3 — Asumible: impacto bajo y muy poco frecuente","Zona 2 — Atención: riesgo intermedio"))</f>
        <v/>
      </c>
      <c r="AB294" s="64">
        <f>IFERROR(INDEX(MgAmenCtrl,MATCH(SUBSTITUTE($H294,"*","-"),MgAmenClave,0)),"")</f>
        <v/>
      </c>
      <c r="AC294" s="20" t="n"/>
      <c r="AD294" s="31">
        <f>IFERROR($X294*(1-IF($AC294="",$AL294,VLOOKUP($AC294,MgMad,2,0))),"")</f>
        <v/>
      </c>
      <c r="AE294" s="28">
        <f>IFERROR(LOOKUP(AD294,{0;0.01;0.1;1;10;100},{"Muy baja";"Muy baja";"Baja";"Media";"Alta";"Muy alta"}),"")</f>
        <v/>
      </c>
      <c r="AF294" s="30">
        <f>T294*AD294</f>
        <v/>
      </c>
      <c r="AG294" s="28">
        <f>IFERROR(LOOKUP(AF294,{0;0.5;5;25},{"Bajo";"Medio";"Alto";"Crítico"}),"")</f>
        <v/>
      </c>
      <c r="AH294" s="28">
        <f>IF(AG294="","",IF(OR(AG294="Crítico",AG294="Alto"),"Mitigar",IF(AG294="Medio","Mitigar","Aceptar y monitorear")))</f>
        <v/>
      </c>
      <c r="AI294" s="21" t="n"/>
      <c r="AJ294" s="21" t="n"/>
      <c r="AK294" s="20" t="n"/>
      <c r="AL294" s="77">
        <f>IFERROR(INDEX(MgAmenEfic,MATCH(SUBSTITUTE($H294,"*","-"),MgAmenClave,0)),0)</f>
        <v/>
      </c>
    </row>
    <row r="295" hidden="1" ht="60" customHeight="1" s="54">
      <c r="B295" s="59" t="inlineStr">
        <is>
          <t>R-0290</t>
        </is>
      </c>
      <c r="C295" s="59" t="inlineStr">
        <is>
          <t>DO-02</t>
        </is>
      </c>
      <c r="D295" s="64">
        <f>IFERROR(INDEX(MgNombre,MATCH($C295,MgActId,0)),"")</f>
        <v/>
      </c>
      <c r="E295" s="64">
        <f>IFERROR(INDEX(MgProceso,MATCH($C295,MgActId,0)),"")</f>
        <v/>
      </c>
      <c r="F295" s="64">
        <f>IFERROR(INDEX(MgTipo,MATCH($C295,MgActId,0)),"")</f>
        <v/>
      </c>
      <c r="G295" s="64">
        <f>IFERROR(INDEX(MgSubtipo,MATCH($C295,MgActId,0)),"")</f>
        <v/>
      </c>
      <c r="H295" s="59" t="inlineStr">
        <is>
          <t>E.9</t>
        </is>
      </c>
      <c r="I295" s="64">
        <f>IFERROR(INDEX(MgAmenNombre,MATCH(SUBSTITUTE($H295,"*","-"),MgAmenClave,0)),"")</f>
        <v/>
      </c>
      <c r="J295" s="28">
        <f>IFERROR(INDEX(MgAmenGrupo,MATCH(SUBSTITUTE($H295,"*","-"),MgAmenClave,0)),"")</f>
        <v/>
      </c>
      <c r="K295" s="64">
        <f>IFERROR(INDEX('1. Matriz de Activos'!$Q$6:$Q$239,MATCH($C295,MgActId,0)),"")</f>
        <v/>
      </c>
      <c r="L295" s="64">
        <f>IFERROR(INDEX('1. Matriz de Activos'!$R$6:$R$239,MATCH($C295,MgActId,0)),"")</f>
        <v/>
      </c>
      <c r="M295" s="64">
        <f>IFERROR(INDEX('1. Matriz de Activos'!$S$6:$S$239,MATCH($C295,MgActId,0)),"")</f>
        <v/>
      </c>
      <c r="N295" s="28">
        <f>IFERROR(INDEX(MgAmenDegD,MATCH(SUBSTITUTE($H295,"*","-"),MgAmenClave,0)),"No aplica")</f>
        <v/>
      </c>
      <c r="O295" s="28">
        <f>IFERROR(INDEX(MgAmenDegI,MATCH(SUBSTITUTE($H295,"*","-"),MgAmenClave,0)),"No aplica")</f>
        <v/>
      </c>
      <c r="P295" s="28">
        <f>IFERROR(INDEX(MgAmenDegC,MATCH(SUBSTITUTE($H295,"*","-"),MgAmenClave,0)),"No aplica")</f>
        <v/>
      </c>
      <c r="Q295" s="29">
        <f>IFERROR(VLOOKUP(K295,MgValor,2,0)*VLOOKUP(N295,MgDeg,2,0),0)</f>
        <v/>
      </c>
      <c r="R295" s="29">
        <f>IFERROR(VLOOKUP(L295,MgValor,2,0)*VLOOKUP(O295,MgDeg,2,0),0)</f>
        <v/>
      </c>
      <c r="S295" s="29">
        <f>IFERROR(VLOOKUP(M295,MgValor,2,0)*VLOOKUP(P295,MgDeg,2,0),0)</f>
        <v/>
      </c>
      <c r="T295" s="30">
        <f>MAX(Q295:S295)</f>
        <v/>
      </c>
      <c r="U295" s="28">
        <f>IFERROR(LOOKUP(T295,{0;0.5;1.5;3;4.5},{"Despreciable";"Bajo";"Medio";"Alto";"Muy alto"}),"")</f>
        <v/>
      </c>
      <c r="V295" s="13">
        <f>IFERROR(INDEX(MgAmenFrec,MATCH(SUBSTITUTE($H295,"*","-"),MgAmenClave,0)),"")</f>
        <v/>
      </c>
      <c r="W295" s="28">
        <f>IFERROR(LOOKUP(X295,{0;0.01;0.1;1;10;100},{"Muy baja";"Muy baja";"Baja";"Media";"Alta";"Muy alta"}),"")</f>
        <v/>
      </c>
      <c r="X295" s="31">
        <f>IFERROR(VLOOKUP(V295,MgFrec,2,0),0)</f>
        <v/>
      </c>
      <c r="Y295" s="30">
        <f>T295*X295</f>
        <v/>
      </c>
      <c r="Z295" s="28">
        <f>IFERROR(LOOKUP(Y295,{0;0.5;5;25},{"Bajo";"Medio";"Alto";"Crítico"}),"")</f>
        <v/>
      </c>
      <c r="AA295" s="64">
        <f>IF(T295&gt;=3,IF(X295&gt;=1,"Zona 1 — Crítica: impacto alto y ocurre al menos una vez al año","Zona 4 — Catastrófica poco probable: impacto alto pero excepcional"),IF(AND(T295&lt;1.5,X295&lt;1),"Zona 3 — Asumible: impacto bajo y muy poco frecuente","Zona 2 — Atención: riesgo intermedio"))</f>
        <v/>
      </c>
      <c r="AB295" s="64">
        <f>IFERROR(INDEX(MgAmenCtrl,MATCH(SUBSTITUTE($H295,"*","-"),MgAmenClave,0)),"")</f>
        <v/>
      </c>
      <c r="AC295" s="20" t="n"/>
      <c r="AD295" s="31">
        <f>IFERROR($X295*(1-IF($AC295="",$AL295,VLOOKUP($AC295,MgMad,2,0))),"")</f>
        <v/>
      </c>
      <c r="AE295" s="28">
        <f>IFERROR(LOOKUP(AD295,{0;0.01;0.1;1;10;100},{"Muy baja";"Muy baja";"Baja";"Media";"Alta";"Muy alta"}),"")</f>
        <v/>
      </c>
      <c r="AF295" s="30">
        <f>T295*AD295</f>
        <v/>
      </c>
      <c r="AG295" s="28">
        <f>IFERROR(LOOKUP(AF295,{0;0.5;5;25},{"Bajo";"Medio";"Alto";"Crítico"}),"")</f>
        <v/>
      </c>
      <c r="AH295" s="28">
        <f>IF(AG295="","",IF(OR(AG295="Crítico",AG295="Alto"),"Mitigar",IF(AG295="Medio","Mitigar","Aceptar y monitorear")))</f>
        <v/>
      </c>
      <c r="AI295" s="21" t="n"/>
      <c r="AJ295" s="21" t="n"/>
      <c r="AK295" s="20" t="n"/>
      <c r="AL295" s="77">
        <f>IFERROR(INDEX(MgAmenEfic,MATCH(SUBSTITUTE($H295,"*","-"),MgAmenClave,0)),0)</f>
        <v/>
      </c>
    </row>
    <row r="296" hidden="1" ht="90" customHeight="1" s="54">
      <c r="B296" s="59" t="inlineStr">
        <is>
          <t>R-0291</t>
        </is>
      </c>
      <c r="C296" s="59" t="inlineStr">
        <is>
          <t>DO-02</t>
        </is>
      </c>
      <c r="D296" s="64">
        <f>IFERROR(INDEX(MgNombre,MATCH($C296,MgActId,0)),"")</f>
        <v/>
      </c>
      <c r="E296" s="64">
        <f>IFERROR(INDEX(MgProceso,MATCH($C296,MgActId,0)),"")</f>
        <v/>
      </c>
      <c r="F296" s="64">
        <f>IFERROR(INDEX(MgTipo,MATCH($C296,MgActId,0)),"")</f>
        <v/>
      </c>
      <c r="G296" s="64">
        <f>IFERROR(INDEX(MgSubtipo,MATCH($C296,MgActId,0)),"")</f>
        <v/>
      </c>
      <c r="H296" s="59" t="inlineStr">
        <is>
          <t>E.10</t>
        </is>
      </c>
      <c r="I296" s="64">
        <f>IFERROR(INDEX(MgAmenNombre,MATCH(SUBSTITUTE($H296,"*","-"),MgAmenClave,0)),"")</f>
        <v/>
      </c>
      <c r="J296" s="28">
        <f>IFERROR(INDEX(MgAmenGrupo,MATCH(SUBSTITUTE($H296,"*","-"),MgAmenClave,0)),"")</f>
        <v/>
      </c>
      <c r="K296" s="64">
        <f>IFERROR(INDEX('1. Matriz de Activos'!$Q$6:$Q$239,MATCH($C296,MgActId,0)),"")</f>
        <v/>
      </c>
      <c r="L296" s="64">
        <f>IFERROR(INDEX('1. Matriz de Activos'!$R$6:$R$239,MATCH($C296,MgActId,0)),"")</f>
        <v/>
      </c>
      <c r="M296" s="64">
        <f>IFERROR(INDEX('1. Matriz de Activos'!$S$6:$S$239,MATCH($C296,MgActId,0)),"")</f>
        <v/>
      </c>
      <c r="N296" s="28">
        <f>IFERROR(INDEX(MgAmenDegD,MATCH(SUBSTITUTE($H296,"*","-"),MgAmenClave,0)),"No aplica")</f>
        <v/>
      </c>
      <c r="O296" s="28">
        <f>IFERROR(INDEX(MgAmenDegI,MATCH(SUBSTITUTE($H296,"*","-"),MgAmenClave,0)),"No aplica")</f>
        <v/>
      </c>
      <c r="P296" s="28">
        <f>IFERROR(INDEX(MgAmenDegC,MATCH(SUBSTITUTE($H296,"*","-"),MgAmenClave,0)),"No aplica")</f>
        <v/>
      </c>
      <c r="Q296" s="29">
        <f>IFERROR(VLOOKUP(K296,MgValor,2,0)*VLOOKUP(N296,MgDeg,2,0),0)</f>
        <v/>
      </c>
      <c r="R296" s="29">
        <f>IFERROR(VLOOKUP(L296,MgValor,2,0)*VLOOKUP(O296,MgDeg,2,0),0)</f>
        <v/>
      </c>
      <c r="S296" s="29">
        <f>IFERROR(VLOOKUP(M296,MgValor,2,0)*VLOOKUP(P296,MgDeg,2,0),0)</f>
        <v/>
      </c>
      <c r="T296" s="30">
        <f>MAX(Q296:S296)</f>
        <v/>
      </c>
      <c r="U296" s="28">
        <f>IFERROR(LOOKUP(T296,{0;0.5;1.5;3;4.5},{"Despreciable";"Bajo";"Medio";"Alto";"Muy alto"}),"")</f>
        <v/>
      </c>
      <c r="V296" s="13">
        <f>IFERROR(INDEX(MgAmenFrec,MATCH(SUBSTITUTE($H296,"*","-"),MgAmenClave,0)),"")</f>
        <v/>
      </c>
      <c r="W296" s="28">
        <f>IFERROR(LOOKUP(X296,{0;0.01;0.1;1;10;100},{"Muy baja";"Muy baja";"Baja";"Media";"Alta";"Muy alta"}),"")</f>
        <v/>
      </c>
      <c r="X296" s="31">
        <f>IFERROR(VLOOKUP(V296,MgFrec,2,0),0)</f>
        <v/>
      </c>
      <c r="Y296" s="30">
        <f>T296*X296</f>
        <v/>
      </c>
      <c r="Z296" s="28">
        <f>IFERROR(LOOKUP(Y296,{0;0.5;5;25},{"Bajo";"Medio";"Alto";"Crítico"}),"")</f>
        <v/>
      </c>
      <c r="AA296" s="64">
        <f>IF(T296&gt;=3,IF(X296&gt;=1,"Zona 1 — Crítica: impacto alto y ocurre al menos una vez al año","Zona 4 — Catastrófica poco probable: impacto alto pero excepcional"),IF(AND(T296&lt;1.5,X296&lt;1),"Zona 3 — Asumible: impacto bajo y muy poco frecuente","Zona 2 — Atención: riesgo intermedio"))</f>
        <v/>
      </c>
      <c r="AB296" s="64">
        <f>IFERROR(INDEX(MgAmenCtrl,MATCH(SUBSTITUTE($H296,"*","-"),MgAmenClave,0)),"")</f>
        <v/>
      </c>
      <c r="AC296" s="20" t="n"/>
      <c r="AD296" s="31">
        <f>IFERROR($X296*(1-IF($AC296="",$AL296,VLOOKUP($AC296,MgMad,2,0))),"")</f>
        <v/>
      </c>
      <c r="AE296" s="28">
        <f>IFERROR(LOOKUP(AD296,{0;0.01;0.1;1;10;100},{"Muy baja";"Muy baja";"Baja";"Media";"Alta";"Muy alta"}),"")</f>
        <v/>
      </c>
      <c r="AF296" s="30">
        <f>T296*AD296</f>
        <v/>
      </c>
      <c r="AG296" s="28">
        <f>IFERROR(LOOKUP(AF296,{0;0.5;5;25},{"Bajo";"Medio";"Alto";"Crítico"}),"")</f>
        <v/>
      </c>
      <c r="AH296" s="28">
        <f>IF(AG296="","",IF(OR(AG296="Crítico",AG296="Alto"),"Mitigar",IF(AG296="Medio","Mitigar","Aceptar y monitorear")))</f>
        <v/>
      </c>
      <c r="AI296" s="21" t="n"/>
      <c r="AJ296" s="21" t="n"/>
      <c r="AK296" s="20" t="n"/>
      <c r="AL296" s="77">
        <f>IFERROR(INDEX(MgAmenEfic,MATCH(SUBSTITUTE($H296,"*","-"),MgAmenClave,0)),0)</f>
        <v/>
      </c>
    </row>
    <row r="297" hidden="1" ht="90" customHeight="1" s="54">
      <c r="B297" s="59" t="inlineStr">
        <is>
          <t>R-0292</t>
        </is>
      </c>
      <c r="C297" s="59" t="inlineStr">
        <is>
          <t>DO-02</t>
        </is>
      </c>
      <c r="D297" s="64">
        <f>IFERROR(INDEX(MgNombre,MATCH($C297,MgActId,0)),"")</f>
        <v/>
      </c>
      <c r="E297" s="64">
        <f>IFERROR(INDEX(MgProceso,MATCH($C297,MgActId,0)),"")</f>
        <v/>
      </c>
      <c r="F297" s="64">
        <f>IFERROR(INDEX(MgTipo,MATCH($C297,MgActId,0)),"")</f>
        <v/>
      </c>
      <c r="G297" s="64">
        <f>IFERROR(INDEX(MgSubtipo,MATCH($C297,MgActId,0)),"")</f>
        <v/>
      </c>
      <c r="H297" s="59" t="inlineStr">
        <is>
          <t>E.14</t>
        </is>
      </c>
      <c r="I297" s="64">
        <f>IFERROR(INDEX(MgAmenNombre,MATCH(SUBSTITUTE($H297,"*","-"),MgAmenClave,0)),"")</f>
        <v/>
      </c>
      <c r="J297" s="28">
        <f>IFERROR(INDEX(MgAmenGrupo,MATCH(SUBSTITUTE($H297,"*","-"),MgAmenClave,0)),"")</f>
        <v/>
      </c>
      <c r="K297" s="64">
        <f>IFERROR(INDEX('1. Matriz de Activos'!$Q$6:$Q$239,MATCH($C297,MgActId,0)),"")</f>
        <v/>
      </c>
      <c r="L297" s="64">
        <f>IFERROR(INDEX('1. Matriz de Activos'!$R$6:$R$239,MATCH($C297,MgActId,0)),"")</f>
        <v/>
      </c>
      <c r="M297" s="64">
        <f>IFERROR(INDEX('1. Matriz de Activos'!$S$6:$S$239,MATCH($C297,MgActId,0)),"")</f>
        <v/>
      </c>
      <c r="N297" s="28">
        <f>IFERROR(INDEX(MgAmenDegD,MATCH(SUBSTITUTE($H297,"*","-"),MgAmenClave,0)),"No aplica")</f>
        <v/>
      </c>
      <c r="O297" s="28">
        <f>IFERROR(INDEX(MgAmenDegI,MATCH(SUBSTITUTE($H297,"*","-"),MgAmenClave,0)),"No aplica")</f>
        <v/>
      </c>
      <c r="P297" s="28">
        <f>IFERROR(INDEX(MgAmenDegC,MATCH(SUBSTITUTE($H297,"*","-"),MgAmenClave,0)),"No aplica")</f>
        <v/>
      </c>
      <c r="Q297" s="29">
        <f>IFERROR(VLOOKUP(K297,MgValor,2,0)*VLOOKUP(N297,MgDeg,2,0),0)</f>
        <v/>
      </c>
      <c r="R297" s="29">
        <f>IFERROR(VLOOKUP(L297,MgValor,2,0)*VLOOKUP(O297,MgDeg,2,0),0)</f>
        <v/>
      </c>
      <c r="S297" s="29">
        <f>IFERROR(VLOOKUP(M297,MgValor,2,0)*VLOOKUP(P297,MgDeg,2,0),0)</f>
        <v/>
      </c>
      <c r="T297" s="30">
        <f>MAX(Q297:S297)</f>
        <v/>
      </c>
      <c r="U297" s="28">
        <f>IFERROR(LOOKUP(T297,{0;0.5;1.5;3;4.5},{"Despreciable";"Bajo";"Medio";"Alto";"Muy alto"}),"")</f>
        <v/>
      </c>
      <c r="V297" s="13">
        <f>IFERROR(INDEX(MgAmenFrec,MATCH(SUBSTITUTE($H297,"*","-"),MgAmenClave,0)),"")</f>
        <v/>
      </c>
      <c r="W297" s="28">
        <f>IFERROR(LOOKUP(X297,{0;0.01;0.1;1;10;100},{"Muy baja";"Muy baja";"Baja";"Media";"Alta";"Muy alta"}),"")</f>
        <v/>
      </c>
      <c r="X297" s="31">
        <f>IFERROR(VLOOKUP(V297,MgFrec,2,0),0)</f>
        <v/>
      </c>
      <c r="Y297" s="30">
        <f>T297*X297</f>
        <v/>
      </c>
      <c r="Z297" s="28">
        <f>IFERROR(LOOKUP(Y297,{0;0.5;5;25},{"Bajo";"Medio";"Alto";"Crítico"}),"")</f>
        <v/>
      </c>
      <c r="AA297" s="64">
        <f>IF(T297&gt;=3,IF(X297&gt;=1,"Zona 1 — Crítica: impacto alto y ocurre al menos una vez al año","Zona 4 — Catastrófica poco probable: impacto alto pero excepcional"),IF(AND(T297&lt;1.5,X297&lt;1),"Zona 3 — Asumible: impacto bajo y muy poco frecuente","Zona 2 — Atención: riesgo intermedio"))</f>
        <v/>
      </c>
      <c r="AB297" s="64">
        <f>IFERROR(INDEX(MgAmenCtrl,MATCH(SUBSTITUTE($H297,"*","-"),MgAmenClave,0)),"")</f>
        <v/>
      </c>
      <c r="AC297" s="20" t="n"/>
      <c r="AD297" s="31">
        <f>IFERROR($X297*(1-IF($AC297="",$AL297,VLOOKUP($AC297,MgMad,2,0))),"")</f>
        <v/>
      </c>
      <c r="AE297" s="28">
        <f>IFERROR(LOOKUP(AD297,{0;0.01;0.1;1;10;100},{"Muy baja";"Muy baja";"Baja";"Media";"Alta";"Muy alta"}),"")</f>
        <v/>
      </c>
      <c r="AF297" s="30">
        <f>T297*AD297</f>
        <v/>
      </c>
      <c r="AG297" s="28">
        <f>IFERROR(LOOKUP(AF297,{0;0.5;5;25},{"Bajo";"Medio";"Alto";"Crítico"}),"")</f>
        <v/>
      </c>
      <c r="AH297" s="28">
        <f>IF(AG297="","",IF(OR(AG297="Crítico",AG297="Alto"),"Mitigar",IF(AG297="Medio","Mitigar","Aceptar y monitorear")))</f>
        <v/>
      </c>
      <c r="AI297" s="21" t="n"/>
      <c r="AJ297" s="21" t="n"/>
      <c r="AK297" s="20" t="n"/>
      <c r="AL297" s="77">
        <f>IFERROR(INDEX(MgAmenEfic,MATCH(SUBSTITUTE($H297,"*","-"),MgAmenClave,0)),0)</f>
        <v/>
      </c>
    </row>
    <row r="298" hidden="1" ht="90" customHeight="1" s="54">
      <c r="B298" s="59" t="inlineStr">
        <is>
          <t>R-0293</t>
        </is>
      </c>
      <c r="C298" s="59" t="inlineStr">
        <is>
          <t>DO-02</t>
        </is>
      </c>
      <c r="D298" s="64">
        <f>IFERROR(INDEX(MgNombre,MATCH($C298,MgActId,0)),"")</f>
        <v/>
      </c>
      <c r="E298" s="64">
        <f>IFERROR(INDEX(MgProceso,MATCH($C298,MgActId,0)),"")</f>
        <v/>
      </c>
      <c r="F298" s="64">
        <f>IFERROR(INDEX(MgTipo,MATCH($C298,MgActId,0)),"")</f>
        <v/>
      </c>
      <c r="G298" s="64">
        <f>IFERROR(INDEX(MgSubtipo,MATCH($C298,MgActId,0)),"")</f>
        <v/>
      </c>
      <c r="H298" s="59" t="inlineStr">
        <is>
          <t>E.15</t>
        </is>
      </c>
      <c r="I298" s="64">
        <f>IFERROR(INDEX(MgAmenNombre,MATCH(SUBSTITUTE($H298,"*","-"),MgAmenClave,0)),"")</f>
        <v/>
      </c>
      <c r="J298" s="28">
        <f>IFERROR(INDEX(MgAmenGrupo,MATCH(SUBSTITUTE($H298,"*","-"),MgAmenClave,0)),"")</f>
        <v/>
      </c>
      <c r="K298" s="64">
        <f>IFERROR(INDEX('1. Matriz de Activos'!$Q$6:$Q$239,MATCH($C298,MgActId,0)),"")</f>
        <v/>
      </c>
      <c r="L298" s="64">
        <f>IFERROR(INDEX('1. Matriz de Activos'!$R$6:$R$239,MATCH($C298,MgActId,0)),"")</f>
        <v/>
      </c>
      <c r="M298" s="64">
        <f>IFERROR(INDEX('1. Matriz de Activos'!$S$6:$S$239,MATCH($C298,MgActId,0)),"")</f>
        <v/>
      </c>
      <c r="N298" s="28">
        <f>IFERROR(INDEX(MgAmenDegD,MATCH(SUBSTITUTE($H298,"*","-"),MgAmenClave,0)),"No aplica")</f>
        <v/>
      </c>
      <c r="O298" s="28">
        <f>IFERROR(INDEX(MgAmenDegI,MATCH(SUBSTITUTE($H298,"*","-"),MgAmenClave,0)),"No aplica")</f>
        <v/>
      </c>
      <c r="P298" s="28">
        <f>IFERROR(INDEX(MgAmenDegC,MATCH(SUBSTITUTE($H298,"*","-"),MgAmenClave,0)),"No aplica")</f>
        <v/>
      </c>
      <c r="Q298" s="29">
        <f>IFERROR(VLOOKUP(K298,MgValor,2,0)*VLOOKUP(N298,MgDeg,2,0),0)</f>
        <v/>
      </c>
      <c r="R298" s="29">
        <f>IFERROR(VLOOKUP(L298,MgValor,2,0)*VLOOKUP(O298,MgDeg,2,0),0)</f>
        <v/>
      </c>
      <c r="S298" s="29">
        <f>IFERROR(VLOOKUP(M298,MgValor,2,0)*VLOOKUP(P298,MgDeg,2,0),0)</f>
        <v/>
      </c>
      <c r="T298" s="30">
        <f>MAX(Q298:S298)</f>
        <v/>
      </c>
      <c r="U298" s="28">
        <f>IFERROR(LOOKUP(T298,{0;0.5;1.5;3;4.5},{"Despreciable";"Bajo";"Medio";"Alto";"Muy alto"}),"")</f>
        <v/>
      </c>
      <c r="V298" s="13">
        <f>IFERROR(INDEX(MgAmenFrec,MATCH(SUBSTITUTE($H298,"*","-"),MgAmenClave,0)),"")</f>
        <v/>
      </c>
      <c r="W298" s="28">
        <f>IFERROR(LOOKUP(X298,{0;0.01;0.1;1;10;100},{"Muy baja";"Muy baja";"Baja";"Media";"Alta";"Muy alta"}),"")</f>
        <v/>
      </c>
      <c r="X298" s="31">
        <f>IFERROR(VLOOKUP(V298,MgFrec,2,0),0)</f>
        <v/>
      </c>
      <c r="Y298" s="30">
        <f>T298*X298</f>
        <v/>
      </c>
      <c r="Z298" s="28">
        <f>IFERROR(LOOKUP(Y298,{0;0.5;5;25},{"Bajo";"Medio";"Alto";"Crítico"}),"")</f>
        <v/>
      </c>
      <c r="AA298" s="64">
        <f>IF(T298&gt;=3,IF(X298&gt;=1,"Zona 1 — Crítica: impacto alto y ocurre al menos una vez al año","Zona 4 — Catastrófica poco probable: impacto alto pero excepcional"),IF(AND(T298&lt;1.5,X298&lt;1),"Zona 3 — Asumible: impacto bajo y muy poco frecuente","Zona 2 — Atención: riesgo intermedio"))</f>
        <v/>
      </c>
      <c r="AB298" s="64">
        <f>IFERROR(INDEX(MgAmenCtrl,MATCH(SUBSTITUTE($H298,"*","-"),MgAmenClave,0)),"")</f>
        <v/>
      </c>
      <c r="AC298" s="20" t="n"/>
      <c r="AD298" s="31">
        <f>IFERROR($X298*(1-IF($AC298="",$AL298,VLOOKUP($AC298,MgMad,2,0))),"")</f>
        <v/>
      </c>
      <c r="AE298" s="28">
        <f>IFERROR(LOOKUP(AD298,{0;0.01;0.1;1;10;100},{"Muy baja";"Muy baja";"Baja";"Media";"Alta";"Muy alta"}),"")</f>
        <v/>
      </c>
      <c r="AF298" s="30">
        <f>T298*AD298</f>
        <v/>
      </c>
      <c r="AG298" s="28">
        <f>IFERROR(LOOKUP(AF298,{0;0.5;5;25},{"Bajo";"Medio";"Alto";"Crítico"}),"")</f>
        <v/>
      </c>
      <c r="AH298" s="28">
        <f>IF(AG298="","",IF(OR(AG298="Crítico",AG298="Alto"),"Mitigar",IF(AG298="Medio","Mitigar","Aceptar y monitorear")))</f>
        <v/>
      </c>
      <c r="AI298" s="21" t="n"/>
      <c r="AJ298" s="21" t="n"/>
      <c r="AK298" s="20" t="n"/>
      <c r="AL298" s="77">
        <f>IFERROR(INDEX(MgAmenEfic,MATCH(SUBSTITUTE($H298,"*","-"),MgAmenClave,0)),0)</f>
        <v/>
      </c>
    </row>
    <row r="299" hidden="1" ht="60" customHeight="1" s="54">
      <c r="B299" s="59" t="inlineStr">
        <is>
          <t>R-0294</t>
        </is>
      </c>
      <c r="C299" s="59" t="inlineStr">
        <is>
          <t>DO-02</t>
        </is>
      </c>
      <c r="D299" s="64">
        <f>IFERROR(INDEX(MgNombre,MATCH($C299,MgActId,0)),"")</f>
        <v/>
      </c>
      <c r="E299" s="64">
        <f>IFERROR(INDEX(MgProceso,MATCH($C299,MgActId,0)),"")</f>
        <v/>
      </c>
      <c r="F299" s="64">
        <f>IFERROR(INDEX(MgTipo,MATCH($C299,MgActId,0)),"")</f>
        <v/>
      </c>
      <c r="G299" s="64">
        <f>IFERROR(INDEX(MgSubtipo,MATCH($C299,MgActId,0)),"")</f>
        <v/>
      </c>
      <c r="H299" s="59" t="inlineStr">
        <is>
          <t>E.18</t>
        </is>
      </c>
      <c r="I299" s="64">
        <f>IFERROR(INDEX(MgAmenNombre,MATCH(SUBSTITUTE($H299,"*","-"),MgAmenClave,0)),"")</f>
        <v/>
      </c>
      <c r="J299" s="28">
        <f>IFERROR(INDEX(MgAmenGrupo,MATCH(SUBSTITUTE($H299,"*","-"),MgAmenClave,0)),"")</f>
        <v/>
      </c>
      <c r="K299" s="64">
        <f>IFERROR(INDEX('1. Matriz de Activos'!$Q$6:$Q$239,MATCH($C299,MgActId,0)),"")</f>
        <v/>
      </c>
      <c r="L299" s="64">
        <f>IFERROR(INDEX('1. Matriz de Activos'!$R$6:$R$239,MATCH($C299,MgActId,0)),"")</f>
        <v/>
      </c>
      <c r="M299" s="64">
        <f>IFERROR(INDEX('1. Matriz de Activos'!$S$6:$S$239,MATCH($C299,MgActId,0)),"")</f>
        <v/>
      </c>
      <c r="N299" s="28">
        <f>IFERROR(INDEX(MgAmenDegD,MATCH(SUBSTITUTE($H299,"*","-"),MgAmenClave,0)),"No aplica")</f>
        <v/>
      </c>
      <c r="O299" s="28">
        <f>IFERROR(INDEX(MgAmenDegI,MATCH(SUBSTITUTE($H299,"*","-"),MgAmenClave,0)),"No aplica")</f>
        <v/>
      </c>
      <c r="P299" s="28">
        <f>IFERROR(INDEX(MgAmenDegC,MATCH(SUBSTITUTE($H299,"*","-"),MgAmenClave,0)),"No aplica")</f>
        <v/>
      </c>
      <c r="Q299" s="29">
        <f>IFERROR(VLOOKUP(K299,MgValor,2,0)*VLOOKUP(N299,MgDeg,2,0),0)</f>
        <v/>
      </c>
      <c r="R299" s="29">
        <f>IFERROR(VLOOKUP(L299,MgValor,2,0)*VLOOKUP(O299,MgDeg,2,0),0)</f>
        <v/>
      </c>
      <c r="S299" s="29">
        <f>IFERROR(VLOOKUP(M299,MgValor,2,0)*VLOOKUP(P299,MgDeg,2,0),0)</f>
        <v/>
      </c>
      <c r="T299" s="30">
        <f>MAX(Q299:S299)</f>
        <v/>
      </c>
      <c r="U299" s="28">
        <f>IFERROR(LOOKUP(T299,{0;0.5;1.5;3;4.5},{"Despreciable";"Bajo";"Medio";"Alto";"Muy alto"}),"")</f>
        <v/>
      </c>
      <c r="V299" s="13">
        <f>IFERROR(INDEX(MgAmenFrec,MATCH(SUBSTITUTE($H299,"*","-"),MgAmenClave,0)),"")</f>
        <v/>
      </c>
      <c r="W299" s="28">
        <f>IFERROR(LOOKUP(X299,{0;0.01;0.1;1;10;100},{"Muy baja";"Muy baja";"Baja";"Media";"Alta";"Muy alta"}),"")</f>
        <v/>
      </c>
      <c r="X299" s="31">
        <f>IFERROR(VLOOKUP(V299,MgFrec,2,0),0)</f>
        <v/>
      </c>
      <c r="Y299" s="30">
        <f>T299*X299</f>
        <v/>
      </c>
      <c r="Z299" s="28">
        <f>IFERROR(LOOKUP(Y299,{0;0.5;5;25},{"Bajo";"Medio";"Alto";"Crítico"}),"")</f>
        <v/>
      </c>
      <c r="AA299" s="64">
        <f>IF(T299&gt;=3,IF(X299&gt;=1,"Zona 1 — Crítica: impacto alto y ocurre al menos una vez al año","Zona 4 — Catastrófica poco probable: impacto alto pero excepcional"),IF(AND(T299&lt;1.5,X299&lt;1),"Zona 3 — Asumible: impacto bajo y muy poco frecuente","Zona 2 — Atención: riesgo intermedio"))</f>
        <v/>
      </c>
      <c r="AB299" s="64">
        <f>IFERROR(INDEX(MgAmenCtrl,MATCH(SUBSTITUTE($H299,"*","-"),MgAmenClave,0)),"")</f>
        <v/>
      </c>
      <c r="AC299" s="20" t="n"/>
      <c r="AD299" s="31">
        <f>IFERROR($X299*(1-IF($AC299="",$AL299,VLOOKUP($AC299,MgMad,2,0))),"")</f>
        <v/>
      </c>
      <c r="AE299" s="28">
        <f>IFERROR(LOOKUP(AD299,{0;0.01;0.1;1;10;100},{"Muy baja";"Muy baja";"Baja";"Media";"Alta";"Muy alta"}),"")</f>
        <v/>
      </c>
      <c r="AF299" s="30">
        <f>T299*AD299</f>
        <v/>
      </c>
      <c r="AG299" s="28">
        <f>IFERROR(LOOKUP(AF299,{0;0.5;5;25},{"Bajo";"Medio";"Alto";"Crítico"}),"")</f>
        <v/>
      </c>
      <c r="AH299" s="28">
        <f>IF(AG299="","",IF(OR(AG299="Crítico",AG299="Alto"),"Mitigar",IF(AG299="Medio","Mitigar","Aceptar y monitorear")))</f>
        <v/>
      </c>
      <c r="AI299" s="21" t="n"/>
      <c r="AJ299" s="21" t="n"/>
      <c r="AK299" s="20" t="n"/>
      <c r="AL299" s="77">
        <f>IFERROR(INDEX(MgAmenEfic,MATCH(SUBSTITUTE($H299,"*","-"),MgAmenClave,0)),0)</f>
        <v/>
      </c>
    </row>
    <row r="300" hidden="1" ht="105" customHeight="1" s="54">
      <c r="B300" s="59" t="inlineStr">
        <is>
          <t>R-0295</t>
        </is>
      </c>
      <c r="C300" s="59" t="inlineStr">
        <is>
          <t>DO-02</t>
        </is>
      </c>
      <c r="D300" s="64">
        <f>IFERROR(INDEX(MgNombre,MATCH($C300,MgActId,0)),"")</f>
        <v/>
      </c>
      <c r="E300" s="64">
        <f>IFERROR(INDEX(MgProceso,MATCH($C300,MgActId,0)),"")</f>
        <v/>
      </c>
      <c r="F300" s="64">
        <f>IFERROR(INDEX(MgTipo,MATCH($C300,MgActId,0)),"")</f>
        <v/>
      </c>
      <c r="G300" s="64">
        <f>IFERROR(INDEX(MgSubtipo,MATCH($C300,MgActId,0)),"")</f>
        <v/>
      </c>
      <c r="H300" s="59" t="inlineStr">
        <is>
          <t>E.19</t>
        </is>
      </c>
      <c r="I300" s="64">
        <f>IFERROR(INDEX(MgAmenNombre,MATCH(SUBSTITUTE($H300,"*","-"),MgAmenClave,0)),"")</f>
        <v/>
      </c>
      <c r="J300" s="28">
        <f>IFERROR(INDEX(MgAmenGrupo,MATCH(SUBSTITUTE($H300,"*","-"),MgAmenClave,0)),"")</f>
        <v/>
      </c>
      <c r="K300" s="64">
        <f>IFERROR(INDEX('1. Matriz de Activos'!$Q$6:$Q$239,MATCH($C300,MgActId,0)),"")</f>
        <v/>
      </c>
      <c r="L300" s="64">
        <f>IFERROR(INDEX('1. Matriz de Activos'!$R$6:$R$239,MATCH($C300,MgActId,0)),"")</f>
        <v/>
      </c>
      <c r="M300" s="64">
        <f>IFERROR(INDEX('1. Matriz de Activos'!$S$6:$S$239,MATCH($C300,MgActId,0)),"")</f>
        <v/>
      </c>
      <c r="N300" s="28">
        <f>IFERROR(INDEX(MgAmenDegD,MATCH(SUBSTITUTE($H300,"*","-"),MgAmenClave,0)),"No aplica")</f>
        <v/>
      </c>
      <c r="O300" s="28">
        <f>IFERROR(INDEX(MgAmenDegI,MATCH(SUBSTITUTE($H300,"*","-"),MgAmenClave,0)),"No aplica")</f>
        <v/>
      </c>
      <c r="P300" s="28">
        <f>IFERROR(INDEX(MgAmenDegC,MATCH(SUBSTITUTE($H300,"*","-"),MgAmenClave,0)),"No aplica")</f>
        <v/>
      </c>
      <c r="Q300" s="29">
        <f>IFERROR(VLOOKUP(K300,MgValor,2,0)*VLOOKUP(N300,MgDeg,2,0),0)</f>
        <v/>
      </c>
      <c r="R300" s="29">
        <f>IFERROR(VLOOKUP(L300,MgValor,2,0)*VLOOKUP(O300,MgDeg,2,0),0)</f>
        <v/>
      </c>
      <c r="S300" s="29">
        <f>IFERROR(VLOOKUP(M300,MgValor,2,0)*VLOOKUP(P300,MgDeg,2,0),0)</f>
        <v/>
      </c>
      <c r="T300" s="30">
        <f>MAX(Q300:S300)</f>
        <v/>
      </c>
      <c r="U300" s="28">
        <f>IFERROR(LOOKUP(T300,{0;0.5;1.5;3;4.5},{"Despreciable";"Bajo";"Medio";"Alto";"Muy alto"}),"")</f>
        <v/>
      </c>
      <c r="V300" s="13">
        <f>IFERROR(INDEX(MgAmenFrec,MATCH(SUBSTITUTE($H300,"*","-"),MgAmenClave,0)),"")</f>
        <v/>
      </c>
      <c r="W300" s="28">
        <f>IFERROR(LOOKUP(X300,{0;0.01;0.1;1;10;100},{"Muy baja";"Muy baja";"Baja";"Media";"Alta";"Muy alta"}),"")</f>
        <v/>
      </c>
      <c r="X300" s="31">
        <f>IFERROR(VLOOKUP(V300,MgFrec,2,0),0)</f>
        <v/>
      </c>
      <c r="Y300" s="30">
        <f>T300*X300</f>
        <v/>
      </c>
      <c r="Z300" s="28">
        <f>IFERROR(LOOKUP(Y300,{0;0.5;5;25},{"Bajo";"Medio";"Alto";"Crítico"}),"")</f>
        <v/>
      </c>
      <c r="AA300" s="64">
        <f>IF(T300&gt;=3,IF(X300&gt;=1,"Zona 1 — Crítica: impacto alto y ocurre al menos una vez al año","Zona 4 — Catastrófica poco probable: impacto alto pero excepcional"),IF(AND(T300&lt;1.5,X300&lt;1),"Zona 3 — Asumible: impacto bajo y muy poco frecuente","Zona 2 — Atención: riesgo intermedio"))</f>
        <v/>
      </c>
      <c r="AB300" s="64">
        <f>IFERROR(INDEX(MgAmenCtrl,MATCH(SUBSTITUTE($H300,"*","-"),MgAmenClave,0)),"")</f>
        <v/>
      </c>
      <c r="AC300" s="20" t="n"/>
      <c r="AD300" s="31">
        <f>IFERROR($X300*(1-IF($AC300="",$AL300,VLOOKUP($AC300,MgMad,2,0))),"")</f>
        <v/>
      </c>
      <c r="AE300" s="28">
        <f>IFERROR(LOOKUP(AD300,{0;0.01;0.1;1;10;100},{"Muy baja";"Muy baja";"Baja";"Media";"Alta";"Muy alta"}),"")</f>
        <v/>
      </c>
      <c r="AF300" s="30">
        <f>T300*AD300</f>
        <v/>
      </c>
      <c r="AG300" s="28">
        <f>IFERROR(LOOKUP(AF300,{0;0.5;5;25},{"Bajo";"Medio";"Alto";"Crítico"}),"")</f>
        <v/>
      </c>
      <c r="AH300" s="28">
        <f>IF(AG300="","",IF(OR(AG300="Crítico",AG300="Alto"),"Mitigar",IF(AG300="Medio","Mitigar","Aceptar y monitorear")))</f>
        <v/>
      </c>
      <c r="AI300" s="21" t="n"/>
      <c r="AJ300" s="21" t="n"/>
      <c r="AK300" s="20" t="n"/>
      <c r="AL300" s="77">
        <f>IFERROR(INDEX(MgAmenEfic,MATCH(SUBSTITUTE($H300,"*","-"),MgAmenClave,0)),0)</f>
        <v/>
      </c>
    </row>
    <row r="301" hidden="1" ht="45" customHeight="1" s="54">
      <c r="B301" s="59" t="inlineStr">
        <is>
          <t>R-0296</t>
        </is>
      </c>
      <c r="C301" s="59" t="inlineStr">
        <is>
          <t>DO-02</t>
        </is>
      </c>
      <c r="D301" s="64">
        <f>IFERROR(INDEX(MgNombre,MATCH($C301,MgActId,0)),"")</f>
        <v/>
      </c>
      <c r="E301" s="64">
        <f>IFERROR(INDEX(MgProceso,MATCH($C301,MgActId,0)),"")</f>
        <v/>
      </c>
      <c r="F301" s="64">
        <f>IFERROR(INDEX(MgTipo,MATCH($C301,MgActId,0)),"")</f>
        <v/>
      </c>
      <c r="G301" s="64">
        <f>IFERROR(INDEX(MgSubtipo,MATCH($C301,MgActId,0)),"")</f>
        <v/>
      </c>
      <c r="H301" s="59" t="inlineStr">
        <is>
          <t>E.24</t>
        </is>
      </c>
      <c r="I301" s="64">
        <f>IFERROR(INDEX(MgAmenNombre,MATCH(SUBSTITUTE($H301,"*","-"),MgAmenClave,0)),"")</f>
        <v/>
      </c>
      <c r="J301" s="28">
        <f>IFERROR(INDEX(MgAmenGrupo,MATCH(SUBSTITUTE($H301,"*","-"),MgAmenClave,0)),"")</f>
        <v/>
      </c>
      <c r="K301" s="64">
        <f>IFERROR(INDEX('1. Matriz de Activos'!$Q$6:$Q$239,MATCH($C301,MgActId,0)),"")</f>
        <v/>
      </c>
      <c r="L301" s="64">
        <f>IFERROR(INDEX('1. Matriz de Activos'!$R$6:$R$239,MATCH($C301,MgActId,0)),"")</f>
        <v/>
      </c>
      <c r="M301" s="64">
        <f>IFERROR(INDEX('1. Matriz de Activos'!$S$6:$S$239,MATCH($C301,MgActId,0)),"")</f>
        <v/>
      </c>
      <c r="N301" s="28">
        <f>IFERROR(INDEX(MgAmenDegD,MATCH(SUBSTITUTE($H301,"*","-"),MgAmenClave,0)),"No aplica")</f>
        <v/>
      </c>
      <c r="O301" s="28">
        <f>IFERROR(INDEX(MgAmenDegI,MATCH(SUBSTITUTE($H301,"*","-"),MgAmenClave,0)),"No aplica")</f>
        <v/>
      </c>
      <c r="P301" s="28">
        <f>IFERROR(INDEX(MgAmenDegC,MATCH(SUBSTITUTE($H301,"*","-"),MgAmenClave,0)),"No aplica")</f>
        <v/>
      </c>
      <c r="Q301" s="29">
        <f>IFERROR(VLOOKUP(K301,MgValor,2,0)*VLOOKUP(N301,MgDeg,2,0),0)</f>
        <v/>
      </c>
      <c r="R301" s="29">
        <f>IFERROR(VLOOKUP(L301,MgValor,2,0)*VLOOKUP(O301,MgDeg,2,0),0)</f>
        <v/>
      </c>
      <c r="S301" s="29">
        <f>IFERROR(VLOOKUP(M301,MgValor,2,0)*VLOOKUP(P301,MgDeg,2,0),0)</f>
        <v/>
      </c>
      <c r="T301" s="30">
        <f>MAX(Q301:S301)</f>
        <v/>
      </c>
      <c r="U301" s="28">
        <f>IFERROR(LOOKUP(T301,{0;0.5;1.5;3;4.5},{"Despreciable";"Bajo";"Medio";"Alto";"Muy alto"}),"")</f>
        <v/>
      </c>
      <c r="V301" s="13">
        <f>IFERROR(INDEX(MgAmenFrec,MATCH(SUBSTITUTE($H301,"*","-"),MgAmenClave,0)),"")</f>
        <v/>
      </c>
      <c r="W301" s="28">
        <f>IFERROR(LOOKUP(X301,{0;0.01;0.1;1;10;100},{"Muy baja";"Muy baja";"Baja";"Media";"Alta";"Muy alta"}),"")</f>
        <v/>
      </c>
      <c r="X301" s="31">
        <f>IFERROR(VLOOKUP(V301,MgFrec,2,0),0)</f>
        <v/>
      </c>
      <c r="Y301" s="30">
        <f>T301*X301</f>
        <v/>
      </c>
      <c r="Z301" s="28">
        <f>IFERROR(LOOKUP(Y301,{0;0.5;5;25},{"Bajo";"Medio";"Alto";"Crítico"}),"")</f>
        <v/>
      </c>
      <c r="AA301" s="64">
        <f>IF(T301&gt;=3,IF(X301&gt;=1,"Zona 1 — Crítica: impacto alto y ocurre al menos una vez al año","Zona 4 — Catastrófica poco probable: impacto alto pero excepcional"),IF(AND(T301&lt;1.5,X301&lt;1),"Zona 3 — Asumible: impacto bajo y muy poco frecuente","Zona 2 — Atención: riesgo intermedio"))</f>
        <v/>
      </c>
      <c r="AB301" s="64">
        <f>IFERROR(INDEX(MgAmenCtrl,MATCH(SUBSTITUTE($H301,"*","-"),MgAmenClave,0)),"")</f>
        <v/>
      </c>
      <c r="AC301" s="20" t="n"/>
      <c r="AD301" s="31">
        <f>IFERROR($X301*(1-IF($AC301="",$AL301,VLOOKUP($AC301,MgMad,2,0))),"")</f>
        <v/>
      </c>
      <c r="AE301" s="28">
        <f>IFERROR(LOOKUP(AD301,{0;0.01;0.1;1;10;100},{"Muy baja";"Muy baja";"Baja";"Media";"Alta";"Muy alta"}),"")</f>
        <v/>
      </c>
      <c r="AF301" s="30">
        <f>T301*AD301</f>
        <v/>
      </c>
      <c r="AG301" s="28">
        <f>IFERROR(LOOKUP(AF301,{0;0.5;5;25},{"Bajo";"Medio";"Alto";"Crítico"}),"")</f>
        <v/>
      </c>
      <c r="AH301" s="28">
        <f>IF(AG301="","",IF(OR(AG301="Crítico",AG301="Alto"),"Mitigar",IF(AG301="Medio","Mitigar","Aceptar y monitorear")))</f>
        <v/>
      </c>
      <c r="AI301" s="21" t="n"/>
      <c r="AJ301" s="21" t="n"/>
      <c r="AK301" s="20" t="n"/>
      <c r="AL301" s="77">
        <f>IFERROR(INDEX(MgAmenEfic,MATCH(SUBSTITUTE($H301,"*","-"),MgAmenClave,0)),0)</f>
        <v/>
      </c>
    </row>
    <row r="302" hidden="1" ht="75" customHeight="1" s="54">
      <c r="B302" s="59" t="inlineStr">
        <is>
          <t>R-0297</t>
        </is>
      </c>
      <c r="C302" s="59" t="inlineStr">
        <is>
          <t>DO-02</t>
        </is>
      </c>
      <c r="D302" s="64">
        <f>IFERROR(INDEX(MgNombre,MATCH($C302,MgActId,0)),"")</f>
        <v/>
      </c>
      <c r="E302" s="64">
        <f>IFERROR(INDEX(MgProceso,MATCH($C302,MgActId,0)),"")</f>
        <v/>
      </c>
      <c r="F302" s="64">
        <f>IFERROR(INDEX(MgTipo,MATCH($C302,MgActId,0)),"")</f>
        <v/>
      </c>
      <c r="G302" s="64">
        <f>IFERROR(INDEX(MgSubtipo,MATCH($C302,MgActId,0)),"")</f>
        <v/>
      </c>
      <c r="H302" s="59" t="inlineStr">
        <is>
          <t>A.5</t>
        </is>
      </c>
      <c r="I302" s="64">
        <f>IFERROR(INDEX(MgAmenNombre,MATCH(SUBSTITUTE($H302,"*","-"),MgAmenClave,0)),"")</f>
        <v/>
      </c>
      <c r="J302" s="28">
        <f>IFERROR(INDEX(MgAmenGrupo,MATCH(SUBSTITUTE($H302,"*","-"),MgAmenClave,0)),"")</f>
        <v/>
      </c>
      <c r="K302" s="64">
        <f>IFERROR(INDEX('1. Matriz de Activos'!$Q$6:$Q$239,MATCH($C302,MgActId,0)),"")</f>
        <v/>
      </c>
      <c r="L302" s="64">
        <f>IFERROR(INDEX('1. Matriz de Activos'!$R$6:$R$239,MATCH($C302,MgActId,0)),"")</f>
        <v/>
      </c>
      <c r="M302" s="64">
        <f>IFERROR(INDEX('1. Matriz de Activos'!$S$6:$S$239,MATCH($C302,MgActId,0)),"")</f>
        <v/>
      </c>
      <c r="N302" s="28">
        <f>IFERROR(INDEX(MgAmenDegD,MATCH(SUBSTITUTE($H302,"*","-"),MgAmenClave,0)),"No aplica")</f>
        <v/>
      </c>
      <c r="O302" s="28">
        <f>IFERROR(INDEX(MgAmenDegI,MATCH(SUBSTITUTE($H302,"*","-"),MgAmenClave,0)),"No aplica")</f>
        <v/>
      </c>
      <c r="P302" s="28">
        <f>IFERROR(INDEX(MgAmenDegC,MATCH(SUBSTITUTE($H302,"*","-"),MgAmenClave,0)),"No aplica")</f>
        <v/>
      </c>
      <c r="Q302" s="29">
        <f>IFERROR(VLOOKUP(K302,MgValor,2,0)*VLOOKUP(N302,MgDeg,2,0),0)</f>
        <v/>
      </c>
      <c r="R302" s="29">
        <f>IFERROR(VLOOKUP(L302,MgValor,2,0)*VLOOKUP(O302,MgDeg,2,0),0)</f>
        <v/>
      </c>
      <c r="S302" s="29">
        <f>IFERROR(VLOOKUP(M302,MgValor,2,0)*VLOOKUP(P302,MgDeg,2,0),0)</f>
        <v/>
      </c>
      <c r="T302" s="30">
        <f>MAX(Q302:S302)</f>
        <v/>
      </c>
      <c r="U302" s="28">
        <f>IFERROR(LOOKUP(T302,{0;0.5;1.5;3;4.5},{"Despreciable";"Bajo";"Medio";"Alto";"Muy alto"}),"")</f>
        <v/>
      </c>
      <c r="V302" s="13">
        <f>IFERROR(INDEX(MgAmenFrec,MATCH(SUBSTITUTE($H302,"*","-"),MgAmenClave,0)),"")</f>
        <v/>
      </c>
      <c r="W302" s="28">
        <f>IFERROR(LOOKUP(X302,{0;0.01;0.1;1;10;100},{"Muy baja";"Muy baja";"Baja";"Media";"Alta";"Muy alta"}),"")</f>
        <v/>
      </c>
      <c r="X302" s="31">
        <f>IFERROR(VLOOKUP(V302,MgFrec,2,0),0)</f>
        <v/>
      </c>
      <c r="Y302" s="30">
        <f>T302*X302</f>
        <v/>
      </c>
      <c r="Z302" s="28">
        <f>IFERROR(LOOKUP(Y302,{0;0.5;5;25},{"Bajo";"Medio";"Alto";"Crítico"}),"")</f>
        <v/>
      </c>
      <c r="AA302" s="64">
        <f>IF(T302&gt;=3,IF(X302&gt;=1,"Zona 1 — Crítica: impacto alto y ocurre al menos una vez al año","Zona 4 — Catastrófica poco probable: impacto alto pero excepcional"),IF(AND(T302&lt;1.5,X302&lt;1),"Zona 3 — Asumible: impacto bajo y muy poco frecuente","Zona 2 — Atención: riesgo intermedio"))</f>
        <v/>
      </c>
      <c r="AB302" s="64">
        <f>IFERROR(INDEX(MgAmenCtrl,MATCH(SUBSTITUTE($H302,"*","-"),MgAmenClave,0)),"")</f>
        <v/>
      </c>
      <c r="AC302" s="20" t="n"/>
      <c r="AD302" s="31">
        <f>IFERROR($X302*(1-IF($AC302="",$AL302,VLOOKUP($AC302,MgMad,2,0))),"")</f>
        <v/>
      </c>
      <c r="AE302" s="28">
        <f>IFERROR(LOOKUP(AD302,{0;0.01;0.1;1;10;100},{"Muy baja";"Muy baja";"Baja";"Media";"Alta";"Muy alta"}),"")</f>
        <v/>
      </c>
      <c r="AF302" s="30">
        <f>T302*AD302</f>
        <v/>
      </c>
      <c r="AG302" s="28">
        <f>IFERROR(LOOKUP(AF302,{0;0.5;5;25},{"Bajo";"Medio";"Alto";"Crítico"}),"")</f>
        <v/>
      </c>
      <c r="AH302" s="28">
        <f>IF(AG302="","",IF(OR(AG302="Crítico",AG302="Alto"),"Mitigar",IF(AG302="Medio","Mitigar","Aceptar y monitorear")))</f>
        <v/>
      </c>
      <c r="AI302" s="21" t="n"/>
      <c r="AJ302" s="21" t="n"/>
      <c r="AK302" s="20" t="n"/>
      <c r="AL302" s="77">
        <f>IFERROR(INDEX(MgAmenEfic,MATCH(SUBSTITUTE($H302,"*","-"),MgAmenClave,0)),0)</f>
        <v/>
      </c>
    </row>
    <row r="303" hidden="1" ht="105" customHeight="1" s="54">
      <c r="B303" s="59" t="inlineStr">
        <is>
          <t>R-0298</t>
        </is>
      </c>
      <c r="C303" s="59" t="inlineStr">
        <is>
          <t>DO-02</t>
        </is>
      </c>
      <c r="D303" s="64">
        <f>IFERROR(INDEX(MgNombre,MATCH($C303,MgActId,0)),"")</f>
        <v/>
      </c>
      <c r="E303" s="64">
        <f>IFERROR(INDEX(MgProceso,MATCH($C303,MgActId,0)),"")</f>
        <v/>
      </c>
      <c r="F303" s="64">
        <f>IFERROR(INDEX(MgTipo,MATCH($C303,MgActId,0)),"")</f>
        <v/>
      </c>
      <c r="G303" s="64">
        <f>IFERROR(INDEX(MgSubtipo,MATCH($C303,MgActId,0)),"")</f>
        <v/>
      </c>
      <c r="H303" s="59" t="inlineStr">
        <is>
          <t>A.6</t>
        </is>
      </c>
      <c r="I303" s="64">
        <f>IFERROR(INDEX(MgAmenNombre,MATCH(SUBSTITUTE($H303,"*","-"),MgAmenClave,0)),"")</f>
        <v/>
      </c>
      <c r="J303" s="28">
        <f>IFERROR(INDEX(MgAmenGrupo,MATCH(SUBSTITUTE($H303,"*","-"),MgAmenClave,0)),"")</f>
        <v/>
      </c>
      <c r="K303" s="64">
        <f>IFERROR(INDEX('1. Matriz de Activos'!$Q$6:$Q$239,MATCH($C303,MgActId,0)),"")</f>
        <v/>
      </c>
      <c r="L303" s="64">
        <f>IFERROR(INDEX('1. Matriz de Activos'!$R$6:$R$239,MATCH($C303,MgActId,0)),"")</f>
        <v/>
      </c>
      <c r="M303" s="64">
        <f>IFERROR(INDEX('1. Matriz de Activos'!$S$6:$S$239,MATCH($C303,MgActId,0)),"")</f>
        <v/>
      </c>
      <c r="N303" s="28">
        <f>IFERROR(INDEX(MgAmenDegD,MATCH(SUBSTITUTE($H303,"*","-"),MgAmenClave,0)),"No aplica")</f>
        <v/>
      </c>
      <c r="O303" s="28">
        <f>IFERROR(INDEX(MgAmenDegI,MATCH(SUBSTITUTE($H303,"*","-"),MgAmenClave,0)),"No aplica")</f>
        <v/>
      </c>
      <c r="P303" s="28">
        <f>IFERROR(INDEX(MgAmenDegC,MATCH(SUBSTITUTE($H303,"*","-"),MgAmenClave,0)),"No aplica")</f>
        <v/>
      </c>
      <c r="Q303" s="29">
        <f>IFERROR(VLOOKUP(K303,MgValor,2,0)*VLOOKUP(N303,MgDeg,2,0),0)</f>
        <v/>
      </c>
      <c r="R303" s="29">
        <f>IFERROR(VLOOKUP(L303,MgValor,2,0)*VLOOKUP(O303,MgDeg,2,0),0)</f>
        <v/>
      </c>
      <c r="S303" s="29">
        <f>IFERROR(VLOOKUP(M303,MgValor,2,0)*VLOOKUP(P303,MgDeg,2,0),0)</f>
        <v/>
      </c>
      <c r="T303" s="30">
        <f>MAX(Q303:S303)</f>
        <v/>
      </c>
      <c r="U303" s="28">
        <f>IFERROR(LOOKUP(T303,{0;0.5;1.5;3;4.5},{"Despreciable";"Bajo";"Medio";"Alto";"Muy alto"}),"")</f>
        <v/>
      </c>
      <c r="V303" s="13">
        <f>IFERROR(INDEX(MgAmenFrec,MATCH(SUBSTITUTE($H303,"*","-"),MgAmenClave,0)),"")</f>
        <v/>
      </c>
      <c r="W303" s="28">
        <f>IFERROR(LOOKUP(X303,{0;0.01;0.1;1;10;100},{"Muy baja";"Muy baja";"Baja";"Media";"Alta";"Muy alta"}),"")</f>
        <v/>
      </c>
      <c r="X303" s="31">
        <f>IFERROR(VLOOKUP(V303,MgFrec,2,0),0)</f>
        <v/>
      </c>
      <c r="Y303" s="30">
        <f>T303*X303</f>
        <v/>
      </c>
      <c r="Z303" s="28">
        <f>IFERROR(LOOKUP(Y303,{0;0.5;5;25},{"Bajo";"Medio";"Alto";"Crítico"}),"")</f>
        <v/>
      </c>
      <c r="AA303" s="64">
        <f>IF(T303&gt;=3,IF(X303&gt;=1,"Zona 1 — Crítica: impacto alto y ocurre al menos una vez al año","Zona 4 — Catastrófica poco probable: impacto alto pero excepcional"),IF(AND(T303&lt;1.5,X303&lt;1),"Zona 3 — Asumible: impacto bajo y muy poco frecuente","Zona 2 — Atención: riesgo intermedio"))</f>
        <v/>
      </c>
      <c r="AB303" s="64">
        <f>IFERROR(INDEX(MgAmenCtrl,MATCH(SUBSTITUTE($H303,"*","-"),MgAmenClave,0)),"")</f>
        <v/>
      </c>
      <c r="AC303" s="20" t="n"/>
      <c r="AD303" s="31">
        <f>IFERROR($X303*(1-IF($AC303="",$AL303,VLOOKUP($AC303,MgMad,2,0))),"")</f>
        <v/>
      </c>
      <c r="AE303" s="28">
        <f>IFERROR(LOOKUP(AD303,{0;0.01;0.1;1;10;100},{"Muy baja";"Muy baja";"Baja";"Media";"Alta";"Muy alta"}),"")</f>
        <v/>
      </c>
      <c r="AF303" s="30">
        <f>T303*AD303</f>
        <v/>
      </c>
      <c r="AG303" s="28">
        <f>IFERROR(LOOKUP(AF303,{0;0.5;5;25},{"Bajo";"Medio";"Alto";"Crítico"}),"")</f>
        <v/>
      </c>
      <c r="AH303" s="28">
        <f>IF(AG303="","",IF(OR(AG303="Crítico",AG303="Alto"),"Mitigar",IF(AG303="Medio","Mitigar","Aceptar y monitorear")))</f>
        <v/>
      </c>
      <c r="AI303" s="21" t="n"/>
      <c r="AJ303" s="21" t="n"/>
      <c r="AK303" s="20" t="n"/>
      <c r="AL303" s="77">
        <f>IFERROR(INDEX(MgAmenEfic,MATCH(SUBSTITUTE($H303,"*","-"),MgAmenClave,0)),0)</f>
        <v/>
      </c>
    </row>
    <row r="304" hidden="1" ht="60" customHeight="1" s="54">
      <c r="B304" s="59" t="inlineStr">
        <is>
          <t>R-0299</t>
        </is>
      </c>
      <c r="C304" s="59" t="inlineStr">
        <is>
          <t>DO-02</t>
        </is>
      </c>
      <c r="D304" s="64">
        <f>IFERROR(INDEX(MgNombre,MATCH($C304,MgActId,0)),"")</f>
        <v/>
      </c>
      <c r="E304" s="64">
        <f>IFERROR(INDEX(MgProceso,MATCH($C304,MgActId,0)),"")</f>
        <v/>
      </c>
      <c r="F304" s="64">
        <f>IFERROR(INDEX(MgTipo,MATCH($C304,MgActId,0)),"")</f>
        <v/>
      </c>
      <c r="G304" s="64">
        <f>IFERROR(INDEX(MgSubtipo,MATCH($C304,MgActId,0)),"")</f>
        <v/>
      </c>
      <c r="H304" s="59" t="inlineStr">
        <is>
          <t>A.7</t>
        </is>
      </c>
      <c r="I304" s="64">
        <f>IFERROR(INDEX(MgAmenNombre,MATCH(SUBSTITUTE($H304,"*","-"),MgAmenClave,0)),"")</f>
        <v/>
      </c>
      <c r="J304" s="28">
        <f>IFERROR(INDEX(MgAmenGrupo,MATCH(SUBSTITUTE($H304,"*","-"),MgAmenClave,0)),"")</f>
        <v/>
      </c>
      <c r="K304" s="64">
        <f>IFERROR(INDEX('1. Matriz de Activos'!$Q$6:$Q$239,MATCH($C304,MgActId,0)),"")</f>
        <v/>
      </c>
      <c r="L304" s="64">
        <f>IFERROR(INDEX('1. Matriz de Activos'!$R$6:$R$239,MATCH($C304,MgActId,0)),"")</f>
        <v/>
      </c>
      <c r="M304" s="64">
        <f>IFERROR(INDEX('1. Matriz de Activos'!$S$6:$S$239,MATCH($C304,MgActId,0)),"")</f>
        <v/>
      </c>
      <c r="N304" s="28">
        <f>IFERROR(INDEX(MgAmenDegD,MATCH(SUBSTITUTE($H304,"*","-"),MgAmenClave,0)),"No aplica")</f>
        <v/>
      </c>
      <c r="O304" s="28">
        <f>IFERROR(INDEX(MgAmenDegI,MATCH(SUBSTITUTE($H304,"*","-"),MgAmenClave,0)),"No aplica")</f>
        <v/>
      </c>
      <c r="P304" s="28">
        <f>IFERROR(INDEX(MgAmenDegC,MATCH(SUBSTITUTE($H304,"*","-"),MgAmenClave,0)),"No aplica")</f>
        <v/>
      </c>
      <c r="Q304" s="29">
        <f>IFERROR(VLOOKUP(K304,MgValor,2,0)*VLOOKUP(N304,MgDeg,2,0),0)</f>
        <v/>
      </c>
      <c r="R304" s="29">
        <f>IFERROR(VLOOKUP(L304,MgValor,2,0)*VLOOKUP(O304,MgDeg,2,0),0)</f>
        <v/>
      </c>
      <c r="S304" s="29">
        <f>IFERROR(VLOOKUP(M304,MgValor,2,0)*VLOOKUP(P304,MgDeg,2,0),0)</f>
        <v/>
      </c>
      <c r="T304" s="30">
        <f>MAX(Q304:S304)</f>
        <v/>
      </c>
      <c r="U304" s="28">
        <f>IFERROR(LOOKUP(T304,{0;0.5;1.5;3;4.5},{"Despreciable";"Bajo";"Medio";"Alto";"Muy alto"}),"")</f>
        <v/>
      </c>
      <c r="V304" s="13">
        <f>IFERROR(INDEX(MgAmenFrec,MATCH(SUBSTITUTE($H304,"*","-"),MgAmenClave,0)),"")</f>
        <v/>
      </c>
      <c r="W304" s="28">
        <f>IFERROR(LOOKUP(X304,{0;0.01;0.1;1;10;100},{"Muy baja";"Muy baja";"Baja";"Media";"Alta";"Muy alta"}),"")</f>
        <v/>
      </c>
      <c r="X304" s="31">
        <f>IFERROR(VLOOKUP(V304,MgFrec,2,0),0)</f>
        <v/>
      </c>
      <c r="Y304" s="30">
        <f>T304*X304</f>
        <v/>
      </c>
      <c r="Z304" s="28">
        <f>IFERROR(LOOKUP(Y304,{0;0.5;5;25},{"Bajo";"Medio";"Alto";"Crítico"}),"")</f>
        <v/>
      </c>
      <c r="AA304" s="64">
        <f>IF(T304&gt;=3,IF(X304&gt;=1,"Zona 1 — Crítica: impacto alto y ocurre al menos una vez al año","Zona 4 — Catastrófica poco probable: impacto alto pero excepcional"),IF(AND(T304&lt;1.5,X304&lt;1),"Zona 3 — Asumible: impacto bajo y muy poco frecuente","Zona 2 — Atención: riesgo intermedio"))</f>
        <v/>
      </c>
      <c r="AB304" s="64">
        <f>IFERROR(INDEX(MgAmenCtrl,MATCH(SUBSTITUTE($H304,"*","-"),MgAmenClave,0)),"")</f>
        <v/>
      </c>
      <c r="AC304" s="20" t="n"/>
      <c r="AD304" s="31">
        <f>IFERROR($X304*(1-IF($AC304="",$AL304,VLOOKUP($AC304,MgMad,2,0))),"")</f>
        <v/>
      </c>
      <c r="AE304" s="28">
        <f>IFERROR(LOOKUP(AD304,{0;0.01;0.1;1;10;100},{"Muy baja";"Muy baja";"Baja";"Media";"Alta";"Muy alta"}),"")</f>
        <v/>
      </c>
      <c r="AF304" s="30">
        <f>T304*AD304</f>
        <v/>
      </c>
      <c r="AG304" s="28">
        <f>IFERROR(LOOKUP(AF304,{0;0.5;5;25},{"Bajo";"Medio";"Alto";"Crítico"}),"")</f>
        <v/>
      </c>
      <c r="AH304" s="28">
        <f>IF(AG304="","",IF(OR(AG304="Crítico",AG304="Alto"),"Mitigar",IF(AG304="Medio","Mitigar","Aceptar y monitorear")))</f>
        <v/>
      </c>
      <c r="AI304" s="21" t="n"/>
      <c r="AJ304" s="21" t="n"/>
      <c r="AK304" s="20" t="n"/>
      <c r="AL304" s="77">
        <f>IFERROR(INDEX(MgAmenEfic,MATCH(SUBSTITUTE($H304,"*","-"),MgAmenClave,0)),0)</f>
        <v/>
      </c>
    </row>
    <row r="305" hidden="1" ht="60" customHeight="1" s="54">
      <c r="B305" s="59" t="inlineStr">
        <is>
          <t>R-0300</t>
        </is>
      </c>
      <c r="C305" s="59" t="inlineStr">
        <is>
          <t>DO-02</t>
        </is>
      </c>
      <c r="D305" s="64">
        <f>IFERROR(INDEX(MgNombre,MATCH($C305,MgActId,0)),"")</f>
        <v/>
      </c>
      <c r="E305" s="64">
        <f>IFERROR(INDEX(MgProceso,MATCH($C305,MgActId,0)),"")</f>
        <v/>
      </c>
      <c r="F305" s="64">
        <f>IFERROR(INDEX(MgTipo,MATCH($C305,MgActId,0)),"")</f>
        <v/>
      </c>
      <c r="G305" s="64">
        <f>IFERROR(INDEX(MgSubtipo,MATCH($C305,MgActId,0)),"")</f>
        <v/>
      </c>
      <c r="H305" s="59" t="inlineStr">
        <is>
          <t>A.9</t>
        </is>
      </c>
      <c r="I305" s="64">
        <f>IFERROR(INDEX(MgAmenNombre,MATCH(SUBSTITUTE($H305,"*","-"),MgAmenClave,0)),"")</f>
        <v/>
      </c>
      <c r="J305" s="28">
        <f>IFERROR(INDEX(MgAmenGrupo,MATCH(SUBSTITUTE($H305,"*","-"),MgAmenClave,0)),"")</f>
        <v/>
      </c>
      <c r="K305" s="64">
        <f>IFERROR(INDEX('1. Matriz de Activos'!$Q$6:$Q$239,MATCH($C305,MgActId,0)),"")</f>
        <v/>
      </c>
      <c r="L305" s="64">
        <f>IFERROR(INDEX('1. Matriz de Activos'!$R$6:$R$239,MATCH($C305,MgActId,0)),"")</f>
        <v/>
      </c>
      <c r="M305" s="64">
        <f>IFERROR(INDEX('1. Matriz de Activos'!$S$6:$S$239,MATCH($C305,MgActId,0)),"")</f>
        <v/>
      </c>
      <c r="N305" s="28">
        <f>IFERROR(INDEX(MgAmenDegD,MATCH(SUBSTITUTE($H305,"*","-"),MgAmenClave,0)),"No aplica")</f>
        <v/>
      </c>
      <c r="O305" s="28">
        <f>IFERROR(INDEX(MgAmenDegI,MATCH(SUBSTITUTE($H305,"*","-"),MgAmenClave,0)),"No aplica")</f>
        <v/>
      </c>
      <c r="P305" s="28">
        <f>IFERROR(INDEX(MgAmenDegC,MATCH(SUBSTITUTE($H305,"*","-"),MgAmenClave,0)),"No aplica")</f>
        <v/>
      </c>
      <c r="Q305" s="29">
        <f>IFERROR(VLOOKUP(K305,MgValor,2,0)*VLOOKUP(N305,MgDeg,2,0),0)</f>
        <v/>
      </c>
      <c r="R305" s="29">
        <f>IFERROR(VLOOKUP(L305,MgValor,2,0)*VLOOKUP(O305,MgDeg,2,0),0)</f>
        <v/>
      </c>
      <c r="S305" s="29">
        <f>IFERROR(VLOOKUP(M305,MgValor,2,0)*VLOOKUP(P305,MgDeg,2,0),0)</f>
        <v/>
      </c>
      <c r="T305" s="30">
        <f>MAX(Q305:S305)</f>
        <v/>
      </c>
      <c r="U305" s="28">
        <f>IFERROR(LOOKUP(T305,{0;0.5;1.5;3;4.5},{"Despreciable";"Bajo";"Medio";"Alto";"Muy alto"}),"")</f>
        <v/>
      </c>
      <c r="V305" s="13">
        <f>IFERROR(INDEX(MgAmenFrec,MATCH(SUBSTITUTE($H305,"*","-"),MgAmenClave,0)),"")</f>
        <v/>
      </c>
      <c r="W305" s="28">
        <f>IFERROR(LOOKUP(X305,{0;0.01;0.1;1;10;100},{"Muy baja";"Muy baja";"Baja";"Media";"Alta";"Muy alta"}),"")</f>
        <v/>
      </c>
      <c r="X305" s="31">
        <f>IFERROR(VLOOKUP(V305,MgFrec,2,0),0)</f>
        <v/>
      </c>
      <c r="Y305" s="30">
        <f>T305*X305</f>
        <v/>
      </c>
      <c r="Z305" s="28">
        <f>IFERROR(LOOKUP(Y305,{0;0.5;5;25},{"Bajo";"Medio";"Alto";"Crítico"}),"")</f>
        <v/>
      </c>
      <c r="AA305" s="64">
        <f>IF(T305&gt;=3,IF(X305&gt;=1,"Zona 1 — Crítica: impacto alto y ocurre al menos una vez al año","Zona 4 — Catastrófica poco probable: impacto alto pero excepcional"),IF(AND(T305&lt;1.5,X305&lt;1),"Zona 3 — Asumible: impacto bajo y muy poco frecuente","Zona 2 — Atención: riesgo intermedio"))</f>
        <v/>
      </c>
      <c r="AB305" s="64">
        <f>IFERROR(INDEX(MgAmenCtrl,MATCH(SUBSTITUTE($H305,"*","-"),MgAmenClave,0)),"")</f>
        <v/>
      </c>
      <c r="AC305" s="20" t="n"/>
      <c r="AD305" s="31">
        <f>IFERROR($X305*(1-IF($AC305="",$AL305,VLOOKUP($AC305,MgMad,2,0))),"")</f>
        <v/>
      </c>
      <c r="AE305" s="28">
        <f>IFERROR(LOOKUP(AD305,{0;0.01;0.1;1;10;100},{"Muy baja";"Muy baja";"Baja";"Media";"Alta";"Muy alta"}),"")</f>
        <v/>
      </c>
      <c r="AF305" s="30">
        <f>T305*AD305</f>
        <v/>
      </c>
      <c r="AG305" s="28">
        <f>IFERROR(LOOKUP(AF305,{0;0.5;5;25},{"Bajo";"Medio";"Alto";"Crítico"}),"")</f>
        <v/>
      </c>
      <c r="AH305" s="28">
        <f>IF(AG305="","",IF(OR(AG305="Crítico",AG305="Alto"),"Mitigar",IF(AG305="Medio","Mitigar","Aceptar y monitorear")))</f>
        <v/>
      </c>
      <c r="AI305" s="21" t="n"/>
      <c r="AJ305" s="21" t="n"/>
      <c r="AK305" s="20" t="n"/>
      <c r="AL305" s="77">
        <f>IFERROR(INDEX(MgAmenEfic,MATCH(SUBSTITUTE($H305,"*","-"),MgAmenClave,0)),0)</f>
        <v/>
      </c>
    </row>
    <row r="306" hidden="1" ht="45" customHeight="1" s="54">
      <c r="B306" s="59" t="inlineStr">
        <is>
          <t>R-0301</t>
        </is>
      </c>
      <c r="C306" s="59" t="inlineStr">
        <is>
          <t>DO-02</t>
        </is>
      </c>
      <c r="D306" s="64">
        <f>IFERROR(INDEX(MgNombre,MATCH($C306,MgActId,0)),"")</f>
        <v/>
      </c>
      <c r="E306" s="64">
        <f>IFERROR(INDEX(MgProceso,MATCH($C306,MgActId,0)),"")</f>
        <v/>
      </c>
      <c r="F306" s="64">
        <f>IFERROR(INDEX(MgTipo,MATCH($C306,MgActId,0)),"")</f>
        <v/>
      </c>
      <c r="G306" s="64">
        <f>IFERROR(INDEX(MgSubtipo,MATCH($C306,MgActId,0)),"")</f>
        <v/>
      </c>
      <c r="H306" s="59" t="inlineStr">
        <is>
          <t>A.10</t>
        </is>
      </c>
      <c r="I306" s="64">
        <f>IFERROR(INDEX(MgAmenNombre,MATCH(SUBSTITUTE($H306,"*","-"),MgAmenClave,0)),"")</f>
        <v/>
      </c>
      <c r="J306" s="28">
        <f>IFERROR(INDEX(MgAmenGrupo,MATCH(SUBSTITUTE($H306,"*","-"),MgAmenClave,0)),"")</f>
        <v/>
      </c>
      <c r="K306" s="64">
        <f>IFERROR(INDEX('1. Matriz de Activos'!$Q$6:$Q$239,MATCH($C306,MgActId,0)),"")</f>
        <v/>
      </c>
      <c r="L306" s="64">
        <f>IFERROR(INDEX('1. Matriz de Activos'!$R$6:$R$239,MATCH($C306,MgActId,0)),"")</f>
        <v/>
      </c>
      <c r="M306" s="64">
        <f>IFERROR(INDEX('1. Matriz de Activos'!$S$6:$S$239,MATCH($C306,MgActId,0)),"")</f>
        <v/>
      </c>
      <c r="N306" s="28">
        <f>IFERROR(INDEX(MgAmenDegD,MATCH(SUBSTITUTE($H306,"*","-"),MgAmenClave,0)),"No aplica")</f>
        <v/>
      </c>
      <c r="O306" s="28">
        <f>IFERROR(INDEX(MgAmenDegI,MATCH(SUBSTITUTE($H306,"*","-"),MgAmenClave,0)),"No aplica")</f>
        <v/>
      </c>
      <c r="P306" s="28">
        <f>IFERROR(INDEX(MgAmenDegC,MATCH(SUBSTITUTE($H306,"*","-"),MgAmenClave,0)),"No aplica")</f>
        <v/>
      </c>
      <c r="Q306" s="29">
        <f>IFERROR(VLOOKUP(K306,MgValor,2,0)*VLOOKUP(N306,MgDeg,2,0),0)</f>
        <v/>
      </c>
      <c r="R306" s="29">
        <f>IFERROR(VLOOKUP(L306,MgValor,2,0)*VLOOKUP(O306,MgDeg,2,0),0)</f>
        <v/>
      </c>
      <c r="S306" s="29">
        <f>IFERROR(VLOOKUP(M306,MgValor,2,0)*VLOOKUP(P306,MgDeg,2,0),0)</f>
        <v/>
      </c>
      <c r="T306" s="30">
        <f>MAX(Q306:S306)</f>
        <v/>
      </c>
      <c r="U306" s="28">
        <f>IFERROR(LOOKUP(T306,{0;0.5;1.5;3;4.5},{"Despreciable";"Bajo";"Medio";"Alto";"Muy alto"}),"")</f>
        <v/>
      </c>
      <c r="V306" s="13">
        <f>IFERROR(INDEX(MgAmenFrec,MATCH(SUBSTITUTE($H306,"*","-"),MgAmenClave,0)),"")</f>
        <v/>
      </c>
      <c r="W306" s="28">
        <f>IFERROR(LOOKUP(X306,{0;0.01;0.1;1;10;100},{"Muy baja";"Muy baja";"Baja";"Media";"Alta";"Muy alta"}),"")</f>
        <v/>
      </c>
      <c r="X306" s="31">
        <f>IFERROR(VLOOKUP(V306,MgFrec,2,0),0)</f>
        <v/>
      </c>
      <c r="Y306" s="30">
        <f>T306*X306</f>
        <v/>
      </c>
      <c r="Z306" s="28">
        <f>IFERROR(LOOKUP(Y306,{0;0.5;5;25},{"Bajo";"Medio";"Alto";"Crítico"}),"")</f>
        <v/>
      </c>
      <c r="AA306" s="64">
        <f>IF(T306&gt;=3,IF(X306&gt;=1,"Zona 1 — Crítica: impacto alto y ocurre al menos una vez al año","Zona 4 — Catastrófica poco probable: impacto alto pero excepcional"),IF(AND(T306&lt;1.5,X306&lt;1),"Zona 3 — Asumible: impacto bajo y muy poco frecuente","Zona 2 — Atención: riesgo intermedio"))</f>
        <v/>
      </c>
      <c r="AB306" s="64">
        <f>IFERROR(INDEX(MgAmenCtrl,MATCH(SUBSTITUTE($H306,"*","-"),MgAmenClave,0)),"")</f>
        <v/>
      </c>
      <c r="AC306" s="20" t="n"/>
      <c r="AD306" s="31">
        <f>IFERROR($X306*(1-IF($AC306="",$AL306,VLOOKUP($AC306,MgMad,2,0))),"")</f>
        <v/>
      </c>
      <c r="AE306" s="28">
        <f>IFERROR(LOOKUP(AD306,{0;0.01;0.1;1;10;100},{"Muy baja";"Muy baja";"Baja";"Media";"Alta";"Muy alta"}),"")</f>
        <v/>
      </c>
      <c r="AF306" s="30">
        <f>T306*AD306</f>
        <v/>
      </c>
      <c r="AG306" s="28">
        <f>IFERROR(LOOKUP(AF306,{0;0.5;5;25},{"Bajo";"Medio";"Alto";"Crítico"}),"")</f>
        <v/>
      </c>
      <c r="AH306" s="28">
        <f>IF(AG306="","",IF(OR(AG306="Crítico",AG306="Alto"),"Mitigar",IF(AG306="Medio","Mitigar","Aceptar y monitorear")))</f>
        <v/>
      </c>
      <c r="AI306" s="21" t="n"/>
      <c r="AJ306" s="21" t="n"/>
      <c r="AK306" s="20" t="n"/>
      <c r="AL306" s="77">
        <f>IFERROR(INDEX(MgAmenEfic,MATCH(SUBSTITUTE($H306,"*","-"),MgAmenClave,0)),0)</f>
        <v/>
      </c>
    </row>
    <row r="307" hidden="1" ht="120" customHeight="1" s="54">
      <c r="B307" s="59" t="inlineStr">
        <is>
          <t>R-0302</t>
        </is>
      </c>
      <c r="C307" s="59" t="inlineStr">
        <is>
          <t>DO-02</t>
        </is>
      </c>
      <c r="D307" s="64">
        <f>IFERROR(INDEX(MgNombre,MATCH($C307,MgActId,0)),"")</f>
        <v/>
      </c>
      <c r="E307" s="64">
        <f>IFERROR(INDEX(MgProceso,MATCH($C307,MgActId,0)),"")</f>
        <v/>
      </c>
      <c r="F307" s="64">
        <f>IFERROR(INDEX(MgTipo,MATCH($C307,MgActId,0)),"")</f>
        <v/>
      </c>
      <c r="G307" s="64">
        <f>IFERROR(INDEX(MgSubtipo,MATCH($C307,MgActId,0)),"")</f>
        <v/>
      </c>
      <c r="H307" s="59" t="inlineStr">
        <is>
          <t>A.11</t>
        </is>
      </c>
      <c r="I307" s="64">
        <f>IFERROR(INDEX(MgAmenNombre,MATCH(SUBSTITUTE($H307,"*","-"),MgAmenClave,0)),"")</f>
        <v/>
      </c>
      <c r="J307" s="28">
        <f>IFERROR(INDEX(MgAmenGrupo,MATCH(SUBSTITUTE($H307,"*","-"),MgAmenClave,0)),"")</f>
        <v/>
      </c>
      <c r="K307" s="64">
        <f>IFERROR(INDEX('1. Matriz de Activos'!$Q$6:$Q$239,MATCH($C307,MgActId,0)),"")</f>
        <v/>
      </c>
      <c r="L307" s="64">
        <f>IFERROR(INDEX('1. Matriz de Activos'!$R$6:$R$239,MATCH($C307,MgActId,0)),"")</f>
        <v/>
      </c>
      <c r="M307" s="64">
        <f>IFERROR(INDEX('1. Matriz de Activos'!$S$6:$S$239,MATCH($C307,MgActId,0)),"")</f>
        <v/>
      </c>
      <c r="N307" s="28">
        <f>IFERROR(INDEX(MgAmenDegD,MATCH(SUBSTITUTE($H307,"*","-"),MgAmenClave,0)),"No aplica")</f>
        <v/>
      </c>
      <c r="O307" s="28">
        <f>IFERROR(INDEX(MgAmenDegI,MATCH(SUBSTITUTE($H307,"*","-"),MgAmenClave,0)),"No aplica")</f>
        <v/>
      </c>
      <c r="P307" s="28">
        <f>IFERROR(INDEX(MgAmenDegC,MATCH(SUBSTITUTE($H307,"*","-"),MgAmenClave,0)),"No aplica")</f>
        <v/>
      </c>
      <c r="Q307" s="29">
        <f>IFERROR(VLOOKUP(K307,MgValor,2,0)*VLOOKUP(N307,MgDeg,2,0),0)</f>
        <v/>
      </c>
      <c r="R307" s="29">
        <f>IFERROR(VLOOKUP(L307,MgValor,2,0)*VLOOKUP(O307,MgDeg,2,0),0)</f>
        <v/>
      </c>
      <c r="S307" s="29">
        <f>IFERROR(VLOOKUP(M307,MgValor,2,0)*VLOOKUP(P307,MgDeg,2,0),0)</f>
        <v/>
      </c>
      <c r="T307" s="30">
        <f>MAX(Q307:S307)</f>
        <v/>
      </c>
      <c r="U307" s="28">
        <f>IFERROR(LOOKUP(T307,{0;0.5;1.5;3;4.5},{"Despreciable";"Bajo";"Medio";"Alto";"Muy alto"}),"")</f>
        <v/>
      </c>
      <c r="V307" s="13">
        <f>IFERROR(INDEX(MgAmenFrec,MATCH(SUBSTITUTE($H307,"*","-"),MgAmenClave,0)),"")</f>
        <v/>
      </c>
      <c r="W307" s="28">
        <f>IFERROR(LOOKUP(X307,{0;0.01;0.1;1;10;100},{"Muy baja";"Muy baja";"Baja";"Media";"Alta";"Muy alta"}),"")</f>
        <v/>
      </c>
      <c r="X307" s="31">
        <f>IFERROR(VLOOKUP(V307,MgFrec,2,0),0)</f>
        <v/>
      </c>
      <c r="Y307" s="30">
        <f>T307*X307</f>
        <v/>
      </c>
      <c r="Z307" s="28">
        <f>IFERROR(LOOKUP(Y307,{0;0.5;5;25},{"Bajo";"Medio";"Alto";"Crítico"}),"")</f>
        <v/>
      </c>
      <c r="AA307" s="64">
        <f>IF(T307&gt;=3,IF(X307&gt;=1,"Zona 1 — Crítica: impacto alto y ocurre al menos una vez al año","Zona 4 — Catastrófica poco probable: impacto alto pero excepcional"),IF(AND(T307&lt;1.5,X307&lt;1),"Zona 3 — Asumible: impacto bajo y muy poco frecuente","Zona 2 — Atención: riesgo intermedio"))</f>
        <v/>
      </c>
      <c r="AB307" s="64">
        <f>IFERROR(INDEX(MgAmenCtrl,MATCH(SUBSTITUTE($H307,"*","-"),MgAmenClave,0)),"")</f>
        <v/>
      </c>
      <c r="AC307" s="20" t="n"/>
      <c r="AD307" s="31">
        <f>IFERROR($X307*(1-IF($AC307="",$AL307,VLOOKUP($AC307,MgMad,2,0))),"")</f>
        <v/>
      </c>
      <c r="AE307" s="28">
        <f>IFERROR(LOOKUP(AD307,{0;0.01;0.1;1;10;100},{"Muy baja";"Muy baja";"Baja";"Media";"Alta";"Muy alta"}),"")</f>
        <v/>
      </c>
      <c r="AF307" s="30">
        <f>T307*AD307</f>
        <v/>
      </c>
      <c r="AG307" s="28">
        <f>IFERROR(LOOKUP(AF307,{0;0.5;5;25},{"Bajo";"Medio";"Alto";"Crítico"}),"")</f>
        <v/>
      </c>
      <c r="AH307" s="28">
        <f>IF(AG307="","",IF(OR(AG307="Crítico",AG307="Alto"),"Mitigar",IF(AG307="Medio","Mitigar","Aceptar y monitorear")))</f>
        <v/>
      </c>
      <c r="AI307" s="21" t="n"/>
      <c r="AJ307" s="21" t="n"/>
      <c r="AK307" s="20" t="n"/>
      <c r="AL307" s="77">
        <f>IFERROR(INDEX(MgAmenEfic,MATCH(SUBSTITUTE($H307,"*","-"),MgAmenClave,0)),0)</f>
        <v/>
      </c>
    </row>
    <row r="308" hidden="1" ht="45" customHeight="1" s="54">
      <c r="B308" s="59" t="inlineStr">
        <is>
          <t>R-0303</t>
        </is>
      </c>
      <c r="C308" s="59" t="inlineStr">
        <is>
          <t>DO-02</t>
        </is>
      </c>
      <c r="D308" s="64">
        <f>IFERROR(INDEX(MgNombre,MATCH($C308,MgActId,0)),"")</f>
        <v/>
      </c>
      <c r="E308" s="64">
        <f>IFERROR(INDEX(MgProceso,MATCH($C308,MgActId,0)),"")</f>
        <v/>
      </c>
      <c r="F308" s="64">
        <f>IFERROR(INDEX(MgTipo,MATCH($C308,MgActId,0)),"")</f>
        <v/>
      </c>
      <c r="G308" s="64">
        <f>IFERROR(INDEX(MgSubtipo,MATCH($C308,MgActId,0)),"")</f>
        <v/>
      </c>
      <c r="H308" s="59" t="inlineStr">
        <is>
          <t>A.12</t>
        </is>
      </c>
      <c r="I308" s="64">
        <f>IFERROR(INDEX(MgAmenNombre,MATCH(SUBSTITUTE($H308,"*","-"),MgAmenClave,0)),"")</f>
        <v/>
      </c>
      <c r="J308" s="28">
        <f>IFERROR(INDEX(MgAmenGrupo,MATCH(SUBSTITUTE($H308,"*","-"),MgAmenClave,0)),"")</f>
        <v/>
      </c>
      <c r="K308" s="64">
        <f>IFERROR(INDEX('1. Matriz de Activos'!$Q$6:$Q$239,MATCH($C308,MgActId,0)),"")</f>
        <v/>
      </c>
      <c r="L308" s="64">
        <f>IFERROR(INDEX('1. Matriz de Activos'!$R$6:$R$239,MATCH($C308,MgActId,0)),"")</f>
        <v/>
      </c>
      <c r="M308" s="64">
        <f>IFERROR(INDEX('1. Matriz de Activos'!$S$6:$S$239,MATCH($C308,MgActId,0)),"")</f>
        <v/>
      </c>
      <c r="N308" s="28">
        <f>IFERROR(INDEX(MgAmenDegD,MATCH(SUBSTITUTE($H308,"*","-"),MgAmenClave,0)),"No aplica")</f>
        <v/>
      </c>
      <c r="O308" s="28">
        <f>IFERROR(INDEX(MgAmenDegI,MATCH(SUBSTITUTE($H308,"*","-"),MgAmenClave,0)),"No aplica")</f>
        <v/>
      </c>
      <c r="P308" s="28">
        <f>IFERROR(INDEX(MgAmenDegC,MATCH(SUBSTITUTE($H308,"*","-"),MgAmenClave,0)),"No aplica")</f>
        <v/>
      </c>
      <c r="Q308" s="29">
        <f>IFERROR(VLOOKUP(K308,MgValor,2,0)*VLOOKUP(N308,MgDeg,2,0),0)</f>
        <v/>
      </c>
      <c r="R308" s="29">
        <f>IFERROR(VLOOKUP(L308,MgValor,2,0)*VLOOKUP(O308,MgDeg,2,0),0)</f>
        <v/>
      </c>
      <c r="S308" s="29">
        <f>IFERROR(VLOOKUP(M308,MgValor,2,0)*VLOOKUP(P308,MgDeg,2,0),0)</f>
        <v/>
      </c>
      <c r="T308" s="30">
        <f>MAX(Q308:S308)</f>
        <v/>
      </c>
      <c r="U308" s="28">
        <f>IFERROR(LOOKUP(T308,{0;0.5;1.5;3;4.5},{"Despreciable";"Bajo";"Medio";"Alto";"Muy alto"}),"")</f>
        <v/>
      </c>
      <c r="V308" s="13">
        <f>IFERROR(INDEX(MgAmenFrec,MATCH(SUBSTITUTE($H308,"*","-"),MgAmenClave,0)),"")</f>
        <v/>
      </c>
      <c r="W308" s="28">
        <f>IFERROR(LOOKUP(X308,{0;0.01;0.1;1;10;100},{"Muy baja";"Muy baja";"Baja";"Media";"Alta";"Muy alta"}),"")</f>
        <v/>
      </c>
      <c r="X308" s="31">
        <f>IFERROR(VLOOKUP(V308,MgFrec,2,0),0)</f>
        <v/>
      </c>
      <c r="Y308" s="30">
        <f>T308*X308</f>
        <v/>
      </c>
      <c r="Z308" s="28">
        <f>IFERROR(LOOKUP(Y308,{0;0.5;5;25},{"Bajo";"Medio";"Alto";"Crítico"}),"")</f>
        <v/>
      </c>
      <c r="AA308" s="64">
        <f>IF(T308&gt;=3,IF(X308&gt;=1,"Zona 1 — Crítica: impacto alto y ocurre al menos una vez al año","Zona 4 — Catastrófica poco probable: impacto alto pero excepcional"),IF(AND(T308&lt;1.5,X308&lt;1),"Zona 3 — Asumible: impacto bajo y muy poco frecuente","Zona 2 — Atención: riesgo intermedio"))</f>
        <v/>
      </c>
      <c r="AB308" s="64">
        <f>IFERROR(INDEX(MgAmenCtrl,MATCH(SUBSTITUTE($H308,"*","-"),MgAmenClave,0)),"")</f>
        <v/>
      </c>
      <c r="AC308" s="20" t="n"/>
      <c r="AD308" s="31">
        <f>IFERROR($X308*(1-IF($AC308="",$AL308,VLOOKUP($AC308,MgMad,2,0))),"")</f>
        <v/>
      </c>
      <c r="AE308" s="28">
        <f>IFERROR(LOOKUP(AD308,{0;0.01;0.1;1;10;100},{"Muy baja";"Muy baja";"Baja";"Media";"Alta";"Muy alta"}),"")</f>
        <v/>
      </c>
      <c r="AF308" s="30">
        <f>T308*AD308</f>
        <v/>
      </c>
      <c r="AG308" s="28">
        <f>IFERROR(LOOKUP(AF308,{0;0.5;5;25},{"Bajo";"Medio";"Alto";"Crítico"}),"")</f>
        <v/>
      </c>
      <c r="AH308" s="28">
        <f>IF(AG308="","",IF(OR(AG308="Crítico",AG308="Alto"),"Mitigar",IF(AG308="Medio","Mitigar","Aceptar y monitorear")))</f>
        <v/>
      </c>
      <c r="AI308" s="21" t="n"/>
      <c r="AJ308" s="21" t="n"/>
      <c r="AK308" s="20" t="n"/>
      <c r="AL308" s="77">
        <f>IFERROR(INDEX(MgAmenEfic,MATCH(SUBSTITUTE($H308,"*","-"),MgAmenClave,0)),0)</f>
        <v/>
      </c>
    </row>
    <row r="309" hidden="1" ht="60" customHeight="1" s="54">
      <c r="B309" s="59" t="inlineStr">
        <is>
          <t>R-0304</t>
        </is>
      </c>
      <c r="C309" s="59" t="inlineStr">
        <is>
          <t>DO-02</t>
        </is>
      </c>
      <c r="D309" s="64">
        <f>IFERROR(INDEX(MgNombre,MATCH($C309,MgActId,0)),"")</f>
        <v/>
      </c>
      <c r="E309" s="64">
        <f>IFERROR(INDEX(MgProceso,MATCH($C309,MgActId,0)),"")</f>
        <v/>
      </c>
      <c r="F309" s="64">
        <f>IFERROR(INDEX(MgTipo,MATCH($C309,MgActId,0)),"")</f>
        <v/>
      </c>
      <c r="G309" s="64">
        <f>IFERROR(INDEX(MgSubtipo,MATCH($C309,MgActId,0)),"")</f>
        <v/>
      </c>
      <c r="H309" s="59" t="inlineStr">
        <is>
          <t>A.14</t>
        </is>
      </c>
      <c r="I309" s="64">
        <f>IFERROR(INDEX(MgAmenNombre,MATCH(SUBSTITUTE($H309,"*","-"),MgAmenClave,0)),"")</f>
        <v/>
      </c>
      <c r="J309" s="28">
        <f>IFERROR(INDEX(MgAmenGrupo,MATCH(SUBSTITUTE($H309,"*","-"),MgAmenClave,0)),"")</f>
        <v/>
      </c>
      <c r="K309" s="64">
        <f>IFERROR(INDEX('1. Matriz de Activos'!$Q$6:$Q$239,MATCH($C309,MgActId,0)),"")</f>
        <v/>
      </c>
      <c r="L309" s="64">
        <f>IFERROR(INDEX('1. Matriz de Activos'!$R$6:$R$239,MATCH($C309,MgActId,0)),"")</f>
        <v/>
      </c>
      <c r="M309" s="64">
        <f>IFERROR(INDEX('1. Matriz de Activos'!$S$6:$S$239,MATCH($C309,MgActId,0)),"")</f>
        <v/>
      </c>
      <c r="N309" s="28">
        <f>IFERROR(INDEX(MgAmenDegD,MATCH(SUBSTITUTE($H309,"*","-"),MgAmenClave,0)),"No aplica")</f>
        <v/>
      </c>
      <c r="O309" s="28">
        <f>IFERROR(INDEX(MgAmenDegI,MATCH(SUBSTITUTE($H309,"*","-"),MgAmenClave,0)),"No aplica")</f>
        <v/>
      </c>
      <c r="P309" s="28">
        <f>IFERROR(INDEX(MgAmenDegC,MATCH(SUBSTITUTE($H309,"*","-"),MgAmenClave,0)),"No aplica")</f>
        <v/>
      </c>
      <c r="Q309" s="29">
        <f>IFERROR(VLOOKUP(K309,MgValor,2,0)*VLOOKUP(N309,MgDeg,2,0),0)</f>
        <v/>
      </c>
      <c r="R309" s="29">
        <f>IFERROR(VLOOKUP(L309,MgValor,2,0)*VLOOKUP(O309,MgDeg,2,0),0)</f>
        <v/>
      </c>
      <c r="S309" s="29">
        <f>IFERROR(VLOOKUP(M309,MgValor,2,0)*VLOOKUP(P309,MgDeg,2,0),0)</f>
        <v/>
      </c>
      <c r="T309" s="30">
        <f>MAX(Q309:S309)</f>
        <v/>
      </c>
      <c r="U309" s="28">
        <f>IFERROR(LOOKUP(T309,{0;0.5;1.5;3;4.5},{"Despreciable";"Bajo";"Medio";"Alto";"Muy alto"}),"")</f>
        <v/>
      </c>
      <c r="V309" s="13">
        <f>IFERROR(INDEX(MgAmenFrec,MATCH(SUBSTITUTE($H309,"*","-"),MgAmenClave,0)),"")</f>
        <v/>
      </c>
      <c r="W309" s="28">
        <f>IFERROR(LOOKUP(X309,{0;0.01;0.1;1;10;100},{"Muy baja";"Muy baja";"Baja";"Media";"Alta";"Muy alta"}),"")</f>
        <v/>
      </c>
      <c r="X309" s="31">
        <f>IFERROR(VLOOKUP(V309,MgFrec,2,0),0)</f>
        <v/>
      </c>
      <c r="Y309" s="30">
        <f>T309*X309</f>
        <v/>
      </c>
      <c r="Z309" s="28">
        <f>IFERROR(LOOKUP(Y309,{0;0.5;5;25},{"Bajo";"Medio";"Alto";"Crítico"}),"")</f>
        <v/>
      </c>
      <c r="AA309" s="64">
        <f>IF(T309&gt;=3,IF(X309&gt;=1,"Zona 1 — Crítica: impacto alto y ocurre al menos una vez al año","Zona 4 — Catastrófica poco probable: impacto alto pero excepcional"),IF(AND(T309&lt;1.5,X309&lt;1),"Zona 3 — Asumible: impacto bajo y muy poco frecuente","Zona 2 — Atención: riesgo intermedio"))</f>
        <v/>
      </c>
      <c r="AB309" s="64">
        <f>IFERROR(INDEX(MgAmenCtrl,MATCH(SUBSTITUTE($H309,"*","-"),MgAmenClave,0)),"")</f>
        <v/>
      </c>
      <c r="AC309" s="20" t="n"/>
      <c r="AD309" s="31">
        <f>IFERROR($X309*(1-IF($AC309="",$AL309,VLOOKUP($AC309,MgMad,2,0))),"")</f>
        <v/>
      </c>
      <c r="AE309" s="28">
        <f>IFERROR(LOOKUP(AD309,{0;0.01;0.1;1;10;100},{"Muy baja";"Muy baja";"Baja";"Media";"Alta";"Muy alta"}),"")</f>
        <v/>
      </c>
      <c r="AF309" s="30">
        <f>T309*AD309</f>
        <v/>
      </c>
      <c r="AG309" s="28">
        <f>IFERROR(LOOKUP(AF309,{0;0.5;5;25},{"Bajo";"Medio";"Alto";"Crítico"}),"")</f>
        <v/>
      </c>
      <c r="AH309" s="28">
        <f>IF(AG309="","",IF(OR(AG309="Crítico",AG309="Alto"),"Mitigar",IF(AG309="Medio","Mitigar","Aceptar y monitorear")))</f>
        <v/>
      </c>
      <c r="AI309" s="21" t="n"/>
      <c r="AJ309" s="21" t="n"/>
      <c r="AK309" s="20" t="n"/>
      <c r="AL309" s="77">
        <f>IFERROR(INDEX(MgAmenEfic,MATCH(SUBSTITUTE($H309,"*","-"),MgAmenClave,0)),0)</f>
        <v/>
      </c>
    </row>
    <row r="310" hidden="1" ht="60" customHeight="1" s="54">
      <c r="B310" s="59" t="inlineStr">
        <is>
          <t>R-0305</t>
        </is>
      </c>
      <c r="C310" s="59" t="inlineStr">
        <is>
          <t>DO-02</t>
        </is>
      </c>
      <c r="D310" s="64">
        <f>IFERROR(INDEX(MgNombre,MATCH($C310,MgActId,0)),"")</f>
        <v/>
      </c>
      <c r="E310" s="64">
        <f>IFERROR(INDEX(MgProceso,MATCH($C310,MgActId,0)),"")</f>
        <v/>
      </c>
      <c r="F310" s="64">
        <f>IFERROR(INDEX(MgTipo,MATCH($C310,MgActId,0)),"")</f>
        <v/>
      </c>
      <c r="G310" s="64">
        <f>IFERROR(INDEX(MgSubtipo,MATCH($C310,MgActId,0)),"")</f>
        <v/>
      </c>
      <c r="H310" s="59" t="inlineStr">
        <is>
          <t>A.15</t>
        </is>
      </c>
      <c r="I310" s="64">
        <f>IFERROR(INDEX(MgAmenNombre,MATCH(SUBSTITUTE($H310,"*","-"),MgAmenClave,0)),"")</f>
        <v/>
      </c>
      <c r="J310" s="28">
        <f>IFERROR(INDEX(MgAmenGrupo,MATCH(SUBSTITUTE($H310,"*","-"),MgAmenClave,0)),"")</f>
        <v/>
      </c>
      <c r="K310" s="64">
        <f>IFERROR(INDEX('1. Matriz de Activos'!$Q$6:$Q$239,MATCH($C310,MgActId,0)),"")</f>
        <v/>
      </c>
      <c r="L310" s="64">
        <f>IFERROR(INDEX('1. Matriz de Activos'!$R$6:$R$239,MATCH($C310,MgActId,0)),"")</f>
        <v/>
      </c>
      <c r="M310" s="64">
        <f>IFERROR(INDEX('1. Matriz de Activos'!$S$6:$S$239,MATCH($C310,MgActId,0)),"")</f>
        <v/>
      </c>
      <c r="N310" s="28">
        <f>IFERROR(INDEX(MgAmenDegD,MATCH(SUBSTITUTE($H310,"*","-"),MgAmenClave,0)),"No aplica")</f>
        <v/>
      </c>
      <c r="O310" s="28">
        <f>IFERROR(INDEX(MgAmenDegI,MATCH(SUBSTITUTE($H310,"*","-"),MgAmenClave,0)),"No aplica")</f>
        <v/>
      </c>
      <c r="P310" s="28">
        <f>IFERROR(INDEX(MgAmenDegC,MATCH(SUBSTITUTE($H310,"*","-"),MgAmenClave,0)),"No aplica")</f>
        <v/>
      </c>
      <c r="Q310" s="29">
        <f>IFERROR(VLOOKUP(K310,MgValor,2,0)*VLOOKUP(N310,MgDeg,2,0),0)</f>
        <v/>
      </c>
      <c r="R310" s="29">
        <f>IFERROR(VLOOKUP(L310,MgValor,2,0)*VLOOKUP(O310,MgDeg,2,0),0)</f>
        <v/>
      </c>
      <c r="S310" s="29">
        <f>IFERROR(VLOOKUP(M310,MgValor,2,0)*VLOOKUP(P310,MgDeg,2,0),0)</f>
        <v/>
      </c>
      <c r="T310" s="30">
        <f>MAX(Q310:S310)</f>
        <v/>
      </c>
      <c r="U310" s="28">
        <f>IFERROR(LOOKUP(T310,{0;0.5;1.5;3;4.5},{"Despreciable";"Bajo";"Medio";"Alto";"Muy alto"}),"")</f>
        <v/>
      </c>
      <c r="V310" s="13">
        <f>IFERROR(INDEX(MgAmenFrec,MATCH(SUBSTITUTE($H310,"*","-"),MgAmenClave,0)),"")</f>
        <v/>
      </c>
      <c r="W310" s="28">
        <f>IFERROR(LOOKUP(X310,{0;0.01;0.1;1;10;100},{"Muy baja";"Muy baja";"Baja";"Media";"Alta";"Muy alta"}),"")</f>
        <v/>
      </c>
      <c r="X310" s="31">
        <f>IFERROR(VLOOKUP(V310,MgFrec,2,0),0)</f>
        <v/>
      </c>
      <c r="Y310" s="30">
        <f>T310*X310</f>
        <v/>
      </c>
      <c r="Z310" s="28">
        <f>IFERROR(LOOKUP(Y310,{0;0.5;5;25},{"Bajo";"Medio";"Alto";"Crítico"}),"")</f>
        <v/>
      </c>
      <c r="AA310" s="64">
        <f>IF(T310&gt;=3,IF(X310&gt;=1,"Zona 1 — Crítica: impacto alto y ocurre al menos una vez al año","Zona 4 — Catastrófica poco probable: impacto alto pero excepcional"),IF(AND(T310&lt;1.5,X310&lt;1),"Zona 3 — Asumible: impacto bajo y muy poco frecuente","Zona 2 — Atención: riesgo intermedio"))</f>
        <v/>
      </c>
      <c r="AB310" s="64">
        <f>IFERROR(INDEX(MgAmenCtrl,MATCH(SUBSTITUTE($H310,"*","-"),MgAmenClave,0)),"")</f>
        <v/>
      </c>
      <c r="AC310" s="20" t="n"/>
      <c r="AD310" s="31">
        <f>IFERROR($X310*(1-IF($AC310="",$AL310,VLOOKUP($AC310,MgMad,2,0))),"")</f>
        <v/>
      </c>
      <c r="AE310" s="28">
        <f>IFERROR(LOOKUP(AD310,{0;0.01;0.1;1;10;100},{"Muy baja";"Muy baja";"Baja";"Media";"Alta";"Muy alta"}),"")</f>
        <v/>
      </c>
      <c r="AF310" s="30">
        <f>T310*AD310</f>
        <v/>
      </c>
      <c r="AG310" s="28">
        <f>IFERROR(LOOKUP(AF310,{0;0.5;5;25},{"Bajo";"Medio";"Alto";"Crítico"}),"")</f>
        <v/>
      </c>
      <c r="AH310" s="28">
        <f>IF(AG310="","",IF(OR(AG310="Crítico",AG310="Alto"),"Mitigar",IF(AG310="Medio","Mitigar","Aceptar y monitorear")))</f>
        <v/>
      </c>
      <c r="AI310" s="21" t="n"/>
      <c r="AJ310" s="21" t="n"/>
      <c r="AK310" s="20" t="n"/>
      <c r="AL310" s="77">
        <f>IFERROR(INDEX(MgAmenEfic,MATCH(SUBSTITUTE($H310,"*","-"),MgAmenClave,0)),0)</f>
        <v/>
      </c>
    </row>
    <row r="311" hidden="1" ht="60" customHeight="1" s="54">
      <c r="B311" s="59" t="inlineStr">
        <is>
          <t>R-0306</t>
        </is>
      </c>
      <c r="C311" s="59" t="inlineStr">
        <is>
          <t>DO-02</t>
        </is>
      </c>
      <c r="D311" s="64">
        <f>IFERROR(INDEX(MgNombre,MATCH($C311,MgActId,0)),"")</f>
        <v/>
      </c>
      <c r="E311" s="64">
        <f>IFERROR(INDEX(MgProceso,MATCH($C311,MgActId,0)),"")</f>
        <v/>
      </c>
      <c r="F311" s="64">
        <f>IFERROR(INDEX(MgTipo,MATCH($C311,MgActId,0)),"")</f>
        <v/>
      </c>
      <c r="G311" s="64">
        <f>IFERROR(INDEX(MgSubtipo,MATCH($C311,MgActId,0)),"")</f>
        <v/>
      </c>
      <c r="H311" s="59" t="inlineStr">
        <is>
          <t>A.18</t>
        </is>
      </c>
      <c r="I311" s="64">
        <f>IFERROR(INDEX(MgAmenNombre,MATCH(SUBSTITUTE($H311,"*","-"),MgAmenClave,0)),"")</f>
        <v/>
      </c>
      <c r="J311" s="28">
        <f>IFERROR(INDEX(MgAmenGrupo,MATCH(SUBSTITUTE($H311,"*","-"),MgAmenClave,0)),"")</f>
        <v/>
      </c>
      <c r="K311" s="64">
        <f>IFERROR(INDEX('1. Matriz de Activos'!$Q$6:$Q$239,MATCH($C311,MgActId,0)),"")</f>
        <v/>
      </c>
      <c r="L311" s="64">
        <f>IFERROR(INDEX('1. Matriz de Activos'!$R$6:$R$239,MATCH($C311,MgActId,0)),"")</f>
        <v/>
      </c>
      <c r="M311" s="64">
        <f>IFERROR(INDEX('1. Matriz de Activos'!$S$6:$S$239,MATCH($C311,MgActId,0)),"")</f>
        <v/>
      </c>
      <c r="N311" s="28">
        <f>IFERROR(INDEX(MgAmenDegD,MATCH(SUBSTITUTE($H311,"*","-"),MgAmenClave,0)),"No aplica")</f>
        <v/>
      </c>
      <c r="O311" s="28">
        <f>IFERROR(INDEX(MgAmenDegI,MATCH(SUBSTITUTE($H311,"*","-"),MgAmenClave,0)),"No aplica")</f>
        <v/>
      </c>
      <c r="P311" s="28">
        <f>IFERROR(INDEX(MgAmenDegC,MATCH(SUBSTITUTE($H311,"*","-"),MgAmenClave,0)),"No aplica")</f>
        <v/>
      </c>
      <c r="Q311" s="29">
        <f>IFERROR(VLOOKUP(K311,MgValor,2,0)*VLOOKUP(N311,MgDeg,2,0),0)</f>
        <v/>
      </c>
      <c r="R311" s="29">
        <f>IFERROR(VLOOKUP(L311,MgValor,2,0)*VLOOKUP(O311,MgDeg,2,0),0)</f>
        <v/>
      </c>
      <c r="S311" s="29">
        <f>IFERROR(VLOOKUP(M311,MgValor,2,0)*VLOOKUP(P311,MgDeg,2,0),0)</f>
        <v/>
      </c>
      <c r="T311" s="30">
        <f>MAX(Q311:S311)</f>
        <v/>
      </c>
      <c r="U311" s="28">
        <f>IFERROR(LOOKUP(T311,{0;0.5;1.5;3;4.5},{"Despreciable";"Bajo";"Medio";"Alto";"Muy alto"}),"")</f>
        <v/>
      </c>
      <c r="V311" s="13">
        <f>IFERROR(INDEX(MgAmenFrec,MATCH(SUBSTITUTE($H311,"*","-"),MgAmenClave,0)),"")</f>
        <v/>
      </c>
      <c r="W311" s="28">
        <f>IFERROR(LOOKUP(X311,{0;0.01;0.1;1;10;100},{"Muy baja";"Muy baja";"Baja";"Media";"Alta";"Muy alta"}),"")</f>
        <v/>
      </c>
      <c r="X311" s="31">
        <f>IFERROR(VLOOKUP(V311,MgFrec,2,0),0)</f>
        <v/>
      </c>
      <c r="Y311" s="30">
        <f>T311*X311</f>
        <v/>
      </c>
      <c r="Z311" s="28">
        <f>IFERROR(LOOKUP(Y311,{0;0.5;5;25},{"Bajo";"Medio";"Alto";"Crítico"}),"")</f>
        <v/>
      </c>
      <c r="AA311" s="64">
        <f>IF(T311&gt;=3,IF(X311&gt;=1,"Zona 1 — Crítica: impacto alto y ocurre al menos una vez al año","Zona 4 — Catastrófica poco probable: impacto alto pero excepcional"),IF(AND(T311&lt;1.5,X311&lt;1),"Zona 3 — Asumible: impacto bajo y muy poco frecuente","Zona 2 — Atención: riesgo intermedio"))</f>
        <v/>
      </c>
      <c r="AB311" s="64">
        <f>IFERROR(INDEX(MgAmenCtrl,MATCH(SUBSTITUTE($H311,"*","-"),MgAmenClave,0)),"")</f>
        <v/>
      </c>
      <c r="AC311" s="20" t="n"/>
      <c r="AD311" s="31">
        <f>IFERROR($X311*(1-IF($AC311="",$AL311,VLOOKUP($AC311,MgMad,2,0))),"")</f>
        <v/>
      </c>
      <c r="AE311" s="28">
        <f>IFERROR(LOOKUP(AD311,{0;0.01;0.1;1;10;100},{"Muy baja";"Muy baja";"Baja";"Media";"Alta";"Muy alta"}),"")</f>
        <v/>
      </c>
      <c r="AF311" s="30">
        <f>T311*AD311</f>
        <v/>
      </c>
      <c r="AG311" s="28">
        <f>IFERROR(LOOKUP(AF311,{0;0.5;5;25},{"Bajo";"Medio";"Alto";"Crítico"}),"")</f>
        <v/>
      </c>
      <c r="AH311" s="28">
        <f>IF(AG311="","",IF(OR(AG311="Crítico",AG311="Alto"),"Mitigar",IF(AG311="Medio","Mitigar","Aceptar y monitorear")))</f>
        <v/>
      </c>
      <c r="AI311" s="21" t="n"/>
      <c r="AJ311" s="21" t="n"/>
      <c r="AK311" s="20" t="n"/>
      <c r="AL311" s="77">
        <f>IFERROR(INDEX(MgAmenEfic,MATCH(SUBSTITUTE($H311,"*","-"),MgAmenClave,0)),0)</f>
        <v/>
      </c>
    </row>
    <row r="312" hidden="1" ht="120" customHeight="1" s="54">
      <c r="B312" s="59" t="inlineStr">
        <is>
          <t>R-0307</t>
        </is>
      </c>
      <c r="C312" s="59" t="inlineStr">
        <is>
          <t>DO-02</t>
        </is>
      </c>
      <c r="D312" s="64">
        <f>IFERROR(INDEX(MgNombre,MATCH($C312,MgActId,0)),"")</f>
        <v/>
      </c>
      <c r="E312" s="64">
        <f>IFERROR(INDEX(MgProceso,MATCH($C312,MgActId,0)),"")</f>
        <v/>
      </c>
      <c r="F312" s="64">
        <f>IFERROR(INDEX(MgTipo,MATCH($C312,MgActId,0)),"")</f>
        <v/>
      </c>
      <c r="G312" s="64">
        <f>IFERROR(INDEX(MgSubtipo,MATCH($C312,MgActId,0)),"")</f>
        <v/>
      </c>
      <c r="H312" s="59" t="inlineStr">
        <is>
          <t>A.19</t>
        </is>
      </c>
      <c r="I312" s="64">
        <f>IFERROR(INDEX(MgAmenNombre,MATCH(SUBSTITUTE($H312,"*","-"),MgAmenClave,0)),"")</f>
        <v/>
      </c>
      <c r="J312" s="28">
        <f>IFERROR(INDEX(MgAmenGrupo,MATCH(SUBSTITUTE($H312,"*","-"),MgAmenClave,0)),"")</f>
        <v/>
      </c>
      <c r="K312" s="64">
        <f>IFERROR(INDEX('1. Matriz de Activos'!$Q$6:$Q$239,MATCH($C312,MgActId,0)),"")</f>
        <v/>
      </c>
      <c r="L312" s="64">
        <f>IFERROR(INDEX('1. Matriz de Activos'!$R$6:$R$239,MATCH($C312,MgActId,0)),"")</f>
        <v/>
      </c>
      <c r="M312" s="64">
        <f>IFERROR(INDEX('1. Matriz de Activos'!$S$6:$S$239,MATCH($C312,MgActId,0)),"")</f>
        <v/>
      </c>
      <c r="N312" s="28">
        <f>IFERROR(INDEX(MgAmenDegD,MATCH(SUBSTITUTE($H312,"*","-"),MgAmenClave,0)),"No aplica")</f>
        <v/>
      </c>
      <c r="O312" s="28">
        <f>IFERROR(INDEX(MgAmenDegI,MATCH(SUBSTITUTE($H312,"*","-"),MgAmenClave,0)),"No aplica")</f>
        <v/>
      </c>
      <c r="P312" s="28">
        <f>IFERROR(INDEX(MgAmenDegC,MATCH(SUBSTITUTE($H312,"*","-"),MgAmenClave,0)),"No aplica")</f>
        <v/>
      </c>
      <c r="Q312" s="29">
        <f>IFERROR(VLOOKUP(K312,MgValor,2,0)*VLOOKUP(N312,MgDeg,2,0),0)</f>
        <v/>
      </c>
      <c r="R312" s="29">
        <f>IFERROR(VLOOKUP(L312,MgValor,2,0)*VLOOKUP(O312,MgDeg,2,0),0)</f>
        <v/>
      </c>
      <c r="S312" s="29">
        <f>IFERROR(VLOOKUP(M312,MgValor,2,0)*VLOOKUP(P312,MgDeg,2,0),0)</f>
        <v/>
      </c>
      <c r="T312" s="30">
        <f>MAX(Q312:S312)</f>
        <v/>
      </c>
      <c r="U312" s="28">
        <f>IFERROR(LOOKUP(T312,{0;0.5;1.5;3;4.5},{"Despreciable";"Bajo";"Medio";"Alto";"Muy alto"}),"")</f>
        <v/>
      </c>
      <c r="V312" s="13">
        <f>IFERROR(INDEX(MgAmenFrec,MATCH(SUBSTITUTE($H312,"*","-"),MgAmenClave,0)),"")</f>
        <v/>
      </c>
      <c r="W312" s="28">
        <f>IFERROR(LOOKUP(X312,{0;0.01;0.1;1;10;100},{"Muy baja";"Muy baja";"Baja";"Media";"Alta";"Muy alta"}),"")</f>
        <v/>
      </c>
      <c r="X312" s="31">
        <f>IFERROR(VLOOKUP(V312,MgFrec,2,0),0)</f>
        <v/>
      </c>
      <c r="Y312" s="30">
        <f>T312*X312</f>
        <v/>
      </c>
      <c r="Z312" s="28">
        <f>IFERROR(LOOKUP(Y312,{0;0.5;5;25},{"Bajo";"Medio";"Alto";"Crítico"}),"")</f>
        <v/>
      </c>
      <c r="AA312" s="64">
        <f>IF(T312&gt;=3,IF(X312&gt;=1,"Zona 1 — Crítica: impacto alto y ocurre al menos una vez al año","Zona 4 — Catastrófica poco probable: impacto alto pero excepcional"),IF(AND(T312&lt;1.5,X312&lt;1),"Zona 3 — Asumible: impacto bajo y muy poco frecuente","Zona 2 — Atención: riesgo intermedio"))</f>
        <v/>
      </c>
      <c r="AB312" s="64">
        <f>IFERROR(INDEX(MgAmenCtrl,MATCH(SUBSTITUTE($H312,"*","-"),MgAmenClave,0)),"")</f>
        <v/>
      </c>
      <c r="AC312" s="20" t="n"/>
      <c r="AD312" s="31">
        <f>IFERROR($X312*(1-IF($AC312="",$AL312,VLOOKUP($AC312,MgMad,2,0))),"")</f>
        <v/>
      </c>
      <c r="AE312" s="28">
        <f>IFERROR(LOOKUP(AD312,{0;0.01;0.1;1;10;100},{"Muy baja";"Muy baja";"Baja";"Media";"Alta";"Muy alta"}),"")</f>
        <v/>
      </c>
      <c r="AF312" s="30">
        <f>T312*AD312</f>
        <v/>
      </c>
      <c r="AG312" s="28">
        <f>IFERROR(LOOKUP(AF312,{0;0.5;5;25},{"Bajo";"Medio";"Alto";"Crítico"}),"")</f>
        <v/>
      </c>
      <c r="AH312" s="28">
        <f>IF(AG312="","",IF(OR(AG312="Crítico",AG312="Alto"),"Mitigar",IF(AG312="Medio","Mitigar","Aceptar y monitorear")))</f>
        <v/>
      </c>
      <c r="AI312" s="21" t="n"/>
      <c r="AJ312" s="21" t="n"/>
      <c r="AK312" s="20" t="n"/>
      <c r="AL312" s="77">
        <f>IFERROR(INDEX(MgAmenEfic,MATCH(SUBSTITUTE($H312,"*","-"),MgAmenClave,0)),0)</f>
        <v/>
      </c>
    </row>
    <row r="313" hidden="1" ht="60" customHeight="1" s="54">
      <c r="B313" s="59" t="inlineStr">
        <is>
          <t>R-0308</t>
        </is>
      </c>
      <c r="C313" s="59" t="inlineStr">
        <is>
          <t>DO-02</t>
        </is>
      </c>
      <c r="D313" s="64">
        <f>IFERROR(INDEX(MgNombre,MATCH($C313,MgActId,0)),"")</f>
        <v/>
      </c>
      <c r="E313" s="64">
        <f>IFERROR(INDEX(MgProceso,MATCH($C313,MgActId,0)),"")</f>
        <v/>
      </c>
      <c r="F313" s="64">
        <f>IFERROR(INDEX(MgTipo,MATCH($C313,MgActId,0)),"")</f>
        <v/>
      </c>
      <c r="G313" s="64">
        <f>IFERROR(INDEX(MgSubtipo,MATCH($C313,MgActId,0)),"")</f>
        <v/>
      </c>
      <c r="H313" s="59" t="inlineStr">
        <is>
          <t>A.24</t>
        </is>
      </c>
      <c r="I313" s="64">
        <f>IFERROR(INDEX(MgAmenNombre,MATCH(SUBSTITUTE($H313,"*","-"),MgAmenClave,0)),"")</f>
        <v/>
      </c>
      <c r="J313" s="28">
        <f>IFERROR(INDEX(MgAmenGrupo,MATCH(SUBSTITUTE($H313,"*","-"),MgAmenClave,0)),"")</f>
        <v/>
      </c>
      <c r="K313" s="64">
        <f>IFERROR(INDEX('1. Matriz de Activos'!$Q$6:$Q$239,MATCH($C313,MgActId,0)),"")</f>
        <v/>
      </c>
      <c r="L313" s="64">
        <f>IFERROR(INDEX('1. Matriz de Activos'!$R$6:$R$239,MATCH($C313,MgActId,0)),"")</f>
        <v/>
      </c>
      <c r="M313" s="64">
        <f>IFERROR(INDEX('1. Matriz de Activos'!$S$6:$S$239,MATCH($C313,MgActId,0)),"")</f>
        <v/>
      </c>
      <c r="N313" s="28">
        <f>IFERROR(INDEX(MgAmenDegD,MATCH(SUBSTITUTE($H313,"*","-"),MgAmenClave,0)),"No aplica")</f>
        <v/>
      </c>
      <c r="O313" s="28">
        <f>IFERROR(INDEX(MgAmenDegI,MATCH(SUBSTITUTE($H313,"*","-"),MgAmenClave,0)),"No aplica")</f>
        <v/>
      </c>
      <c r="P313" s="28">
        <f>IFERROR(INDEX(MgAmenDegC,MATCH(SUBSTITUTE($H313,"*","-"),MgAmenClave,0)),"No aplica")</f>
        <v/>
      </c>
      <c r="Q313" s="29">
        <f>IFERROR(VLOOKUP(K313,MgValor,2,0)*VLOOKUP(N313,MgDeg,2,0),0)</f>
        <v/>
      </c>
      <c r="R313" s="29">
        <f>IFERROR(VLOOKUP(L313,MgValor,2,0)*VLOOKUP(O313,MgDeg,2,0),0)</f>
        <v/>
      </c>
      <c r="S313" s="29">
        <f>IFERROR(VLOOKUP(M313,MgValor,2,0)*VLOOKUP(P313,MgDeg,2,0),0)</f>
        <v/>
      </c>
      <c r="T313" s="30">
        <f>MAX(Q313:S313)</f>
        <v/>
      </c>
      <c r="U313" s="28">
        <f>IFERROR(LOOKUP(T313,{0;0.5;1.5;3;4.5},{"Despreciable";"Bajo";"Medio";"Alto";"Muy alto"}),"")</f>
        <v/>
      </c>
      <c r="V313" s="13">
        <f>IFERROR(INDEX(MgAmenFrec,MATCH(SUBSTITUTE($H313,"*","-"),MgAmenClave,0)),"")</f>
        <v/>
      </c>
      <c r="W313" s="28">
        <f>IFERROR(LOOKUP(X313,{0;0.01;0.1;1;10;100},{"Muy baja";"Muy baja";"Baja";"Media";"Alta";"Muy alta"}),"")</f>
        <v/>
      </c>
      <c r="X313" s="31">
        <f>IFERROR(VLOOKUP(V313,MgFrec,2,0),0)</f>
        <v/>
      </c>
      <c r="Y313" s="30">
        <f>T313*X313</f>
        <v/>
      </c>
      <c r="Z313" s="28">
        <f>IFERROR(LOOKUP(Y313,{0;0.5;5;25},{"Bajo";"Medio";"Alto";"Crítico"}),"")</f>
        <v/>
      </c>
      <c r="AA313" s="64">
        <f>IF(T313&gt;=3,IF(X313&gt;=1,"Zona 1 — Crítica: impacto alto y ocurre al menos una vez al año","Zona 4 — Catastrófica poco probable: impacto alto pero excepcional"),IF(AND(T313&lt;1.5,X313&lt;1),"Zona 3 — Asumible: impacto bajo y muy poco frecuente","Zona 2 — Atención: riesgo intermedio"))</f>
        <v/>
      </c>
      <c r="AB313" s="64">
        <f>IFERROR(INDEX(MgAmenCtrl,MATCH(SUBSTITUTE($H313,"*","-"),MgAmenClave,0)),"")</f>
        <v/>
      </c>
      <c r="AC313" s="20" t="n"/>
      <c r="AD313" s="31">
        <f>IFERROR($X313*(1-IF($AC313="",$AL313,VLOOKUP($AC313,MgMad,2,0))),"")</f>
        <v/>
      </c>
      <c r="AE313" s="28">
        <f>IFERROR(LOOKUP(AD313,{0;0.01;0.1;1;10;100},{"Muy baja";"Muy baja";"Baja";"Media";"Alta";"Muy alta"}),"")</f>
        <v/>
      </c>
      <c r="AF313" s="30">
        <f>T313*AD313</f>
        <v/>
      </c>
      <c r="AG313" s="28">
        <f>IFERROR(LOOKUP(AF313,{0;0.5;5;25},{"Bajo";"Medio";"Alto";"Crítico"}),"")</f>
        <v/>
      </c>
      <c r="AH313" s="28">
        <f>IF(AG313="","",IF(OR(AG313="Crítico",AG313="Alto"),"Mitigar",IF(AG313="Medio","Mitigar","Aceptar y monitorear")))</f>
        <v/>
      </c>
      <c r="AI313" s="21" t="n"/>
      <c r="AJ313" s="21" t="n"/>
      <c r="AK313" s="20" t="n"/>
      <c r="AL313" s="77">
        <f>IFERROR(INDEX(MgAmenEfic,MATCH(SUBSTITUTE($H313,"*","-"),MgAmenClave,0)),0)</f>
        <v/>
      </c>
    </row>
    <row r="314" hidden="1" ht="75" customHeight="1" s="54">
      <c r="B314" s="59" t="inlineStr">
        <is>
          <t>R-0309</t>
        </is>
      </c>
      <c r="C314" s="59" t="inlineStr">
        <is>
          <t>DO-07</t>
        </is>
      </c>
      <c r="D314" s="64">
        <f>IFERROR(INDEX(MgNombre,MATCH($C314,MgActId,0)),"")</f>
        <v/>
      </c>
      <c r="E314" s="64">
        <f>IFERROR(INDEX(MgProceso,MATCH($C314,MgActId,0)),"")</f>
        <v/>
      </c>
      <c r="F314" s="64">
        <f>IFERROR(INDEX(MgTipo,MATCH($C314,MgActId,0)),"")</f>
        <v/>
      </c>
      <c r="G314" s="64">
        <f>IFERROR(INDEX(MgSubtipo,MATCH($C314,MgActId,0)),"")</f>
        <v/>
      </c>
      <c r="H314" s="59" t="inlineStr">
        <is>
          <t>I.8</t>
        </is>
      </c>
      <c r="I314" s="64">
        <f>IFERROR(INDEX(MgAmenNombre,MATCH(SUBSTITUTE($H314,"*","-"),MgAmenClave,0)),"")</f>
        <v/>
      </c>
      <c r="J314" s="28">
        <f>IFERROR(INDEX(MgAmenGrupo,MATCH(SUBSTITUTE($H314,"*","-"),MgAmenClave,0)),"")</f>
        <v/>
      </c>
      <c r="K314" s="64">
        <f>IFERROR(INDEX('1. Matriz de Activos'!$Q$6:$Q$239,MATCH($C314,MgActId,0)),"")</f>
        <v/>
      </c>
      <c r="L314" s="64">
        <f>IFERROR(INDEX('1. Matriz de Activos'!$R$6:$R$239,MATCH($C314,MgActId,0)),"")</f>
        <v/>
      </c>
      <c r="M314" s="64">
        <f>IFERROR(INDEX('1. Matriz de Activos'!$S$6:$S$239,MATCH($C314,MgActId,0)),"")</f>
        <v/>
      </c>
      <c r="N314" s="28">
        <f>IFERROR(INDEX(MgAmenDegD,MATCH(SUBSTITUTE($H314,"*","-"),MgAmenClave,0)),"No aplica")</f>
        <v/>
      </c>
      <c r="O314" s="28">
        <f>IFERROR(INDEX(MgAmenDegI,MATCH(SUBSTITUTE($H314,"*","-"),MgAmenClave,0)),"No aplica")</f>
        <v/>
      </c>
      <c r="P314" s="28">
        <f>IFERROR(INDEX(MgAmenDegC,MATCH(SUBSTITUTE($H314,"*","-"),MgAmenClave,0)),"No aplica")</f>
        <v/>
      </c>
      <c r="Q314" s="29">
        <f>IFERROR(VLOOKUP(K314,MgValor,2,0)*VLOOKUP(N314,MgDeg,2,0),0)</f>
        <v/>
      </c>
      <c r="R314" s="29">
        <f>IFERROR(VLOOKUP(L314,MgValor,2,0)*VLOOKUP(O314,MgDeg,2,0),0)</f>
        <v/>
      </c>
      <c r="S314" s="29">
        <f>IFERROR(VLOOKUP(M314,MgValor,2,0)*VLOOKUP(P314,MgDeg,2,0),0)</f>
        <v/>
      </c>
      <c r="T314" s="30">
        <f>MAX(Q314:S314)</f>
        <v/>
      </c>
      <c r="U314" s="28">
        <f>IFERROR(LOOKUP(T314,{0;0.5;1.5;3;4.5},{"Despreciable";"Bajo";"Medio";"Alto";"Muy alto"}),"")</f>
        <v/>
      </c>
      <c r="V314" s="13">
        <f>IFERROR(INDEX(MgAmenFrec,MATCH(SUBSTITUTE($H314,"*","-"),MgAmenClave,0)),"")</f>
        <v/>
      </c>
      <c r="W314" s="28">
        <f>IFERROR(LOOKUP(X314,{0;0.01;0.1;1;10;100},{"Muy baja";"Muy baja";"Baja";"Media";"Alta";"Muy alta"}),"")</f>
        <v/>
      </c>
      <c r="X314" s="31">
        <f>IFERROR(VLOOKUP(V314,MgFrec,2,0),0)</f>
        <v/>
      </c>
      <c r="Y314" s="30">
        <f>T314*X314</f>
        <v/>
      </c>
      <c r="Z314" s="28">
        <f>IFERROR(LOOKUP(Y314,{0;0.5;5;25},{"Bajo";"Medio";"Alto";"Crítico"}),"")</f>
        <v/>
      </c>
      <c r="AA314" s="64">
        <f>IF(T314&gt;=3,IF(X314&gt;=1,"Zona 1 — Crítica: impacto alto y ocurre al menos una vez al año","Zona 4 — Catastrófica poco probable: impacto alto pero excepcional"),IF(AND(T314&lt;1.5,X314&lt;1),"Zona 3 — Asumible: impacto bajo y muy poco frecuente","Zona 2 — Atención: riesgo intermedio"))</f>
        <v/>
      </c>
      <c r="AB314" s="64">
        <f>IFERROR(INDEX(MgAmenCtrl,MATCH(SUBSTITUTE($H314,"*","-"),MgAmenClave,0)),"")</f>
        <v/>
      </c>
      <c r="AC314" s="20" t="n"/>
      <c r="AD314" s="31">
        <f>IFERROR($X314*(1-IF($AC314="",$AL314,VLOOKUP($AC314,MgMad,2,0))),"")</f>
        <v/>
      </c>
      <c r="AE314" s="28">
        <f>IFERROR(LOOKUP(AD314,{0;0.01;0.1;1;10;100},{"Muy baja";"Muy baja";"Baja";"Media";"Alta";"Muy alta"}),"")</f>
        <v/>
      </c>
      <c r="AF314" s="30">
        <f>T314*AD314</f>
        <v/>
      </c>
      <c r="AG314" s="28">
        <f>IFERROR(LOOKUP(AF314,{0;0.5;5;25},{"Bajo";"Medio";"Alto";"Crítico"}),"")</f>
        <v/>
      </c>
      <c r="AH314" s="28">
        <f>IF(AG314="","",IF(OR(AG314="Crítico",AG314="Alto"),"Mitigar",IF(AG314="Medio","Mitigar","Aceptar y monitorear")))</f>
        <v/>
      </c>
      <c r="AI314" s="21" t="n"/>
      <c r="AJ314" s="21" t="n"/>
      <c r="AK314" s="20" t="n"/>
      <c r="AL314" s="77">
        <f>IFERROR(INDEX(MgAmenEfic,MATCH(SUBSTITUTE($H314,"*","-"),MgAmenClave,0)),0)</f>
        <v/>
      </c>
    </row>
    <row r="315" hidden="1" ht="45" customHeight="1" s="54">
      <c r="B315" s="59" t="inlineStr">
        <is>
          <t>R-0310</t>
        </is>
      </c>
      <c r="C315" s="59" t="inlineStr">
        <is>
          <t>DO-07</t>
        </is>
      </c>
      <c r="D315" s="64">
        <f>IFERROR(INDEX(MgNombre,MATCH($C315,MgActId,0)),"")</f>
        <v/>
      </c>
      <c r="E315" s="64">
        <f>IFERROR(INDEX(MgProceso,MATCH($C315,MgActId,0)),"")</f>
        <v/>
      </c>
      <c r="F315" s="64">
        <f>IFERROR(INDEX(MgTipo,MATCH($C315,MgActId,0)),"")</f>
        <v/>
      </c>
      <c r="G315" s="64">
        <f>IFERROR(INDEX(MgSubtipo,MATCH($C315,MgActId,0)),"")</f>
        <v/>
      </c>
      <c r="H315" s="59" t="inlineStr">
        <is>
          <t>I.11</t>
        </is>
      </c>
      <c r="I315" s="64">
        <f>IFERROR(INDEX(MgAmenNombre,MATCH(SUBSTITUTE($H315,"*","-"),MgAmenClave,0)),"")</f>
        <v/>
      </c>
      <c r="J315" s="28">
        <f>IFERROR(INDEX(MgAmenGrupo,MATCH(SUBSTITUTE($H315,"*","-"),MgAmenClave,0)),"")</f>
        <v/>
      </c>
      <c r="K315" s="64">
        <f>IFERROR(INDEX('1. Matriz de Activos'!$Q$6:$Q$239,MATCH($C315,MgActId,0)),"")</f>
        <v/>
      </c>
      <c r="L315" s="64">
        <f>IFERROR(INDEX('1. Matriz de Activos'!$R$6:$R$239,MATCH($C315,MgActId,0)),"")</f>
        <v/>
      </c>
      <c r="M315" s="64">
        <f>IFERROR(INDEX('1. Matriz de Activos'!$S$6:$S$239,MATCH($C315,MgActId,0)),"")</f>
        <v/>
      </c>
      <c r="N315" s="28">
        <f>IFERROR(INDEX(MgAmenDegD,MATCH(SUBSTITUTE($H315,"*","-"),MgAmenClave,0)),"No aplica")</f>
        <v/>
      </c>
      <c r="O315" s="28">
        <f>IFERROR(INDEX(MgAmenDegI,MATCH(SUBSTITUTE($H315,"*","-"),MgAmenClave,0)),"No aplica")</f>
        <v/>
      </c>
      <c r="P315" s="28">
        <f>IFERROR(INDEX(MgAmenDegC,MATCH(SUBSTITUTE($H315,"*","-"),MgAmenClave,0)),"No aplica")</f>
        <v/>
      </c>
      <c r="Q315" s="29">
        <f>IFERROR(VLOOKUP(K315,MgValor,2,0)*VLOOKUP(N315,MgDeg,2,0),0)</f>
        <v/>
      </c>
      <c r="R315" s="29">
        <f>IFERROR(VLOOKUP(L315,MgValor,2,0)*VLOOKUP(O315,MgDeg,2,0),0)</f>
        <v/>
      </c>
      <c r="S315" s="29">
        <f>IFERROR(VLOOKUP(M315,MgValor,2,0)*VLOOKUP(P315,MgDeg,2,0),0)</f>
        <v/>
      </c>
      <c r="T315" s="30">
        <f>MAX(Q315:S315)</f>
        <v/>
      </c>
      <c r="U315" s="28">
        <f>IFERROR(LOOKUP(T315,{0;0.5;1.5;3;4.5},{"Despreciable";"Bajo";"Medio";"Alto";"Muy alto"}),"")</f>
        <v/>
      </c>
      <c r="V315" s="13">
        <f>IFERROR(INDEX(MgAmenFrec,MATCH(SUBSTITUTE($H315,"*","-"),MgAmenClave,0)),"")</f>
        <v/>
      </c>
      <c r="W315" s="28">
        <f>IFERROR(LOOKUP(X315,{0;0.01;0.1;1;10;100},{"Muy baja";"Muy baja";"Baja";"Media";"Alta";"Muy alta"}),"")</f>
        <v/>
      </c>
      <c r="X315" s="31">
        <f>IFERROR(VLOOKUP(V315,MgFrec,2,0),0)</f>
        <v/>
      </c>
      <c r="Y315" s="30">
        <f>T315*X315</f>
        <v/>
      </c>
      <c r="Z315" s="28">
        <f>IFERROR(LOOKUP(Y315,{0;0.5;5;25},{"Bajo";"Medio";"Alto";"Crítico"}),"")</f>
        <v/>
      </c>
      <c r="AA315" s="64">
        <f>IF(T315&gt;=3,IF(X315&gt;=1,"Zona 1 — Crítica: impacto alto y ocurre al menos una vez al año","Zona 4 — Catastrófica poco probable: impacto alto pero excepcional"),IF(AND(T315&lt;1.5,X315&lt;1),"Zona 3 — Asumible: impacto bajo y muy poco frecuente","Zona 2 — Atención: riesgo intermedio"))</f>
        <v/>
      </c>
      <c r="AB315" s="64">
        <f>IFERROR(INDEX(MgAmenCtrl,MATCH(SUBSTITUTE($H315,"*","-"),MgAmenClave,0)),"")</f>
        <v/>
      </c>
      <c r="AC315" s="20" t="n"/>
      <c r="AD315" s="31">
        <f>IFERROR($X315*(1-IF($AC315="",$AL315,VLOOKUP($AC315,MgMad,2,0))),"")</f>
        <v/>
      </c>
      <c r="AE315" s="28">
        <f>IFERROR(LOOKUP(AD315,{0;0.01;0.1;1;10;100},{"Muy baja";"Muy baja";"Baja";"Media";"Alta";"Muy alta"}),"")</f>
        <v/>
      </c>
      <c r="AF315" s="30">
        <f>T315*AD315</f>
        <v/>
      </c>
      <c r="AG315" s="28">
        <f>IFERROR(LOOKUP(AF315,{0;0.5;5;25},{"Bajo";"Medio";"Alto";"Crítico"}),"")</f>
        <v/>
      </c>
      <c r="AH315" s="28">
        <f>IF(AG315="","",IF(OR(AG315="Crítico",AG315="Alto"),"Mitigar",IF(AG315="Medio","Mitigar","Aceptar y monitorear")))</f>
        <v/>
      </c>
      <c r="AI315" s="21" t="n"/>
      <c r="AJ315" s="21" t="n"/>
      <c r="AK315" s="20" t="n"/>
      <c r="AL315" s="77">
        <f>IFERROR(INDEX(MgAmenEfic,MATCH(SUBSTITUTE($H315,"*","-"),MgAmenClave,0)),0)</f>
        <v/>
      </c>
    </row>
    <row r="316" hidden="1" ht="120" customHeight="1" s="54">
      <c r="B316" s="59" t="inlineStr">
        <is>
          <t>R-0311</t>
        </is>
      </c>
      <c r="C316" s="59" t="inlineStr">
        <is>
          <t>DO-07</t>
        </is>
      </c>
      <c r="D316" s="64">
        <f>IFERROR(INDEX(MgNombre,MATCH($C316,MgActId,0)),"")</f>
        <v/>
      </c>
      <c r="E316" s="64">
        <f>IFERROR(INDEX(MgProceso,MATCH($C316,MgActId,0)),"")</f>
        <v/>
      </c>
      <c r="F316" s="64">
        <f>IFERROR(INDEX(MgTipo,MATCH($C316,MgActId,0)),"")</f>
        <v/>
      </c>
      <c r="G316" s="64">
        <f>IFERROR(INDEX(MgSubtipo,MATCH($C316,MgActId,0)),"")</f>
        <v/>
      </c>
      <c r="H316" s="59" t="inlineStr">
        <is>
          <t>E.2</t>
        </is>
      </c>
      <c r="I316" s="64">
        <f>IFERROR(INDEX(MgAmenNombre,MATCH(SUBSTITUTE($H316,"*","-"),MgAmenClave,0)),"")</f>
        <v/>
      </c>
      <c r="J316" s="28">
        <f>IFERROR(INDEX(MgAmenGrupo,MATCH(SUBSTITUTE($H316,"*","-"),MgAmenClave,0)),"")</f>
        <v/>
      </c>
      <c r="K316" s="64">
        <f>IFERROR(INDEX('1. Matriz de Activos'!$Q$6:$Q$239,MATCH($C316,MgActId,0)),"")</f>
        <v/>
      </c>
      <c r="L316" s="64">
        <f>IFERROR(INDEX('1. Matriz de Activos'!$R$6:$R$239,MATCH($C316,MgActId,0)),"")</f>
        <v/>
      </c>
      <c r="M316" s="64">
        <f>IFERROR(INDEX('1. Matriz de Activos'!$S$6:$S$239,MATCH($C316,MgActId,0)),"")</f>
        <v/>
      </c>
      <c r="N316" s="28">
        <f>IFERROR(INDEX(MgAmenDegD,MATCH(SUBSTITUTE($H316,"*","-"),MgAmenClave,0)),"No aplica")</f>
        <v/>
      </c>
      <c r="O316" s="28">
        <f>IFERROR(INDEX(MgAmenDegI,MATCH(SUBSTITUTE($H316,"*","-"),MgAmenClave,0)),"No aplica")</f>
        <v/>
      </c>
      <c r="P316" s="28">
        <f>IFERROR(INDEX(MgAmenDegC,MATCH(SUBSTITUTE($H316,"*","-"),MgAmenClave,0)),"No aplica")</f>
        <v/>
      </c>
      <c r="Q316" s="29">
        <f>IFERROR(VLOOKUP(K316,MgValor,2,0)*VLOOKUP(N316,MgDeg,2,0),0)</f>
        <v/>
      </c>
      <c r="R316" s="29">
        <f>IFERROR(VLOOKUP(L316,MgValor,2,0)*VLOOKUP(O316,MgDeg,2,0),0)</f>
        <v/>
      </c>
      <c r="S316" s="29">
        <f>IFERROR(VLOOKUP(M316,MgValor,2,0)*VLOOKUP(P316,MgDeg,2,0),0)</f>
        <v/>
      </c>
      <c r="T316" s="30">
        <f>MAX(Q316:S316)</f>
        <v/>
      </c>
      <c r="U316" s="28">
        <f>IFERROR(LOOKUP(T316,{0;0.5;1.5;3;4.5},{"Despreciable";"Bajo";"Medio";"Alto";"Muy alto"}),"")</f>
        <v/>
      </c>
      <c r="V316" s="13">
        <f>IFERROR(INDEX(MgAmenFrec,MATCH(SUBSTITUTE($H316,"*","-"),MgAmenClave,0)),"")</f>
        <v/>
      </c>
      <c r="W316" s="28">
        <f>IFERROR(LOOKUP(X316,{0;0.01;0.1;1;10;100},{"Muy baja";"Muy baja";"Baja";"Media";"Alta";"Muy alta"}),"")</f>
        <v/>
      </c>
      <c r="X316" s="31">
        <f>IFERROR(VLOOKUP(V316,MgFrec,2,0),0)</f>
        <v/>
      </c>
      <c r="Y316" s="30">
        <f>T316*X316</f>
        <v/>
      </c>
      <c r="Z316" s="28">
        <f>IFERROR(LOOKUP(Y316,{0;0.5;5;25},{"Bajo";"Medio";"Alto";"Crítico"}),"")</f>
        <v/>
      </c>
      <c r="AA316" s="64">
        <f>IF(T316&gt;=3,IF(X316&gt;=1,"Zona 1 — Crítica: impacto alto y ocurre al menos una vez al año","Zona 4 — Catastrófica poco probable: impacto alto pero excepcional"),IF(AND(T316&lt;1.5,X316&lt;1),"Zona 3 — Asumible: impacto bajo y muy poco frecuente","Zona 2 — Atención: riesgo intermedio"))</f>
        <v/>
      </c>
      <c r="AB316" s="64">
        <f>IFERROR(INDEX(MgAmenCtrl,MATCH(SUBSTITUTE($H316,"*","-"),MgAmenClave,0)),"")</f>
        <v/>
      </c>
      <c r="AC316" s="20" t="n"/>
      <c r="AD316" s="31">
        <f>IFERROR($X316*(1-IF($AC316="",$AL316,VLOOKUP($AC316,MgMad,2,0))),"")</f>
        <v/>
      </c>
      <c r="AE316" s="28">
        <f>IFERROR(LOOKUP(AD316,{0;0.01;0.1;1;10;100},{"Muy baja";"Muy baja";"Baja";"Media";"Alta";"Muy alta"}),"")</f>
        <v/>
      </c>
      <c r="AF316" s="30">
        <f>T316*AD316</f>
        <v/>
      </c>
      <c r="AG316" s="28">
        <f>IFERROR(LOOKUP(AF316,{0;0.5;5;25},{"Bajo";"Medio";"Alto";"Crítico"}),"")</f>
        <v/>
      </c>
      <c r="AH316" s="28">
        <f>IF(AG316="","",IF(OR(AG316="Crítico",AG316="Alto"),"Mitigar",IF(AG316="Medio","Mitigar","Aceptar y monitorear")))</f>
        <v/>
      </c>
      <c r="AI316" s="21" t="n"/>
      <c r="AJ316" s="21" t="n"/>
      <c r="AK316" s="20" t="n"/>
      <c r="AL316" s="77">
        <f>IFERROR(INDEX(MgAmenEfic,MATCH(SUBSTITUTE($H316,"*","-"),MgAmenClave,0)),0)</f>
        <v/>
      </c>
    </row>
    <row r="317" hidden="1" ht="60" customHeight="1" s="54">
      <c r="B317" s="59" t="inlineStr">
        <is>
          <t>R-0312</t>
        </is>
      </c>
      <c r="C317" s="59" t="inlineStr">
        <is>
          <t>DO-07</t>
        </is>
      </c>
      <c r="D317" s="64">
        <f>IFERROR(INDEX(MgNombre,MATCH($C317,MgActId,0)),"")</f>
        <v/>
      </c>
      <c r="E317" s="64">
        <f>IFERROR(INDEX(MgProceso,MATCH($C317,MgActId,0)),"")</f>
        <v/>
      </c>
      <c r="F317" s="64">
        <f>IFERROR(INDEX(MgTipo,MATCH($C317,MgActId,0)),"")</f>
        <v/>
      </c>
      <c r="G317" s="64">
        <f>IFERROR(INDEX(MgSubtipo,MATCH($C317,MgActId,0)),"")</f>
        <v/>
      </c>
      <c r="H317" s="59" t="inlineStr">
        <is>
          <t>E.9</t>
        </is>
      </c>
      <c r="I317" s="64">
        <f>IFERROR(INDEX(MgAmenNombre,MATCH(SUBSTITUTE($H317,"*","-"),MgAmenClave,0)),"")</f>
        <v/>
      </c>
      <c r="J317" s="28">
        <f>IFERROR(INDEX(MgAmenGrupo,MATCH(SUBSTITUTE($H317,"*","-"),MgAmenClave,0)),"")</f>
        <v/>
      </c>
      <c r="K317" s="64">
        <f>IFERROR(INDEX('1. Matriz de Activos'!$Q$6:$Q$239,MATCH($C317,MgActId,0)),"")</f>
        <v/>
      </c>
      <c r="L317" s="64">
        <f>IFERROR(INDEX('1. Matriz de Activos'!$R$6:$R$239,MATCH($C317,MgActId,0)),"")</f>
        <v/>
      </c>
      <c r="M317" s="64">
        <f>IFERROR(INDEX('1. Matriz de Activos'!$S$6:$S$239,MATCH($C317,MgActId,0)),"")</f>
        <v/>
      </c>
      <c r="N317" s="28">
        <f>IFERROR(INDEX(MgAmenDegD,MATCH(SUBSTITUTE($H317,"*","-"),MgAmenClave,0)),"No aplica")</f>
        <v/>
      </c>
      <c r="O317" s="28">
        <f>IFERROR(INDEX(MgAmenDegI,MATCH(SUBSTITUTE($H317,"*","-"),MgAmenClave,0)),"No aplica")</f>
        <v/>
      </c>
      <c r="P317" s="28">
        <f>IFERROR(INDEX(MgAmenDegC,MATCH(SUBSTITUTE($H317,"*","-"),MgAmenClave,0)),"No aplica")</f>
        <v/>
      </c>
      <c r="Q317" s="29">
        <f>IFERROR(VLOOKUP(K317,MgValor,2,0)*VLOOKUP(N317,MgDeg,2,0),0)</f>
        <v/>
      </c>
      <c r="R317" s="29">
        <f>IFERROR(VLOOKUP(L317,MgValor,2,0)*VLOOKUP(O317,MgDeg,2,0),0)</f>
        <v/>
      </c>
      <c r="S317" s="29">
        <f>IFERROR(VLOOKUP(M317,MgValor,2,0)*VLOOKUP(P317,MgDeg,2,0),0)</f>
        <v/>
      </c>
      <c r="T317" s="30">
        <f>MAX(Q317:S317)</f>
        <v/>
      </c>
      <c r="U317" s="28">
        <f>IFERROR(LOOKUP(T317,{0;0.5;1.5;3;4.5},{"Despreciable";"Bajo";"Medio";"Alto";"Muy alto"}),"")</f>
        <v/>
      </c>
      <c r="V317" s="13">
        <f>IFERROR(INDEX(MgAmenFrec,MATCH(SUBSTITUTE($H317,"*","-"),MgAmenClave,0)),"")</f>
        <v/>
      </c>
      <c r="W317" s="28">
        <f>IFERROR(LOOKUP(X317,{0;0.01;0.1;1;10;100},{"Muy baja";"Muy baja";"Baja";"Media";"Alta";"Muy alta"}),"")</f>
        <v/>
      </c>
      <c r="X317" s="31">
        <f>IFERROR(VLOOKUP(V317,MgFrec,2,0),0)</f>
        <v/>
      </c>
      <c r="Y317" s="30">
        <f>T317*X317</f>
        <v/>
      </c>
      <c r="Z317" s="28">
        <f>IFERROR(LOOKUP(Y317,{0;0.5;5;25},{"Bajo";"Medio";"Alto";"Crítico"}),"")</f>
        <v/>
      </c>
      <c r="AA317" s="64">
        <f>IF(T317&gt;=3,IF(X317&gt;=1,"Zona 1 — Crítica: impacto alto y ocurre al menos una vez al año","Zona 4 — Catastrófica poco probable: impacto alto pero excepcional"),IF(AND(T317&lt;1.5,X317&lt;1),"Zona 3 — Asumible: impacto bajo y muy poco frecuente","Zona 2 — Atención: riesgo intermedio"))</f>
        <v/>
      </c>
      <c r="AB317" s="64">
        <f>IFERROR(INDEX(MgAmenCtrl,MATCH(SUBSTITUTE($H317,"*","-"),MgAmenClave,0)),"")</f>
        <v/>
      </c>
      <c r="AC317" s="20" t="n"/>
      <c r="AD317" s="31">
        <f>IFERROR($X317*(1-IF($AC317="",$AL317,VLOOKUP($AC317,MgMad,2,0))),"")</f>
        <v/>
      </c>
      <c r="AE317" s="28">
        <f>IFERROR(LOOKUP(AD317,{0;0.01;0.1;1;10;100},{"Muy baja";"Muy baja";"Baja";"Media";"Alta";"Muy alta"}),"")</f>
        <v/>
      </c>
      <c r="AF317" s="30">
        <f>T317*AD317</f>
        <v/>
      </c>
      <c r="AG317" s="28">
        <f>IFERROR(LOOKUP(AF317,{0;0.5;5;25},{"Bajo";"Medio";"Alto";"Crítico"}),"")</f>
        <v/>
      </c>
      <c r="AH317" s="28">
        <f>IF(AG317="","",IF(OR(AG317="Crítico",AG317="Alto"),"Mitigar",IF(AG317="Medio","Mitigar","Aceptar y monitorear")))</f>
        <v/>
      </c>
      <c r="AI317" s="21" t="n"/>
      <c r="AJ317" s="21" t="n"/>
      <c r="AK317" s="20" t="n"/>
      <c r="AL317" s="77">
        <f>IFERROR(INDEX(MgAmenEfic,MATCH(SUBSTITUTE($H317,"*","-"),MgAmenClave,0)),0)</f>
        <v/>
      </c>
    </row>
    <row r="318" hidden="1" ht="90" customHeight="1" s="54">
      <c r="B318" s="59" t="inlineStr">
        <is>
          <t>R-0313</t>
        </is>
      </c>
      <c r="C318" s="59" t="inlineStr">
        <is>
          <t>DO-07</t>
        </is>
      </c>
      <c r="D318" s="64">
        <f>IFERROR(INDEX(MgNombre,MATCH($C318,MgActId,0)),"")</f>
        <v/>
      </c>
      <c r="E318" s="64">
        <f>IFERROR(INDEX(MgProceso,MATCH($C318,MgActId,0)),"")</f>
        <v/>
      </c>
      <c r="F318" s="64">
        <f>IFERROR(INDEX(MgTipo,MATCH($C318,MgActId,0)),"")</f>
        <v/>
      </c>
      <c r="G318" s="64">
        <f>IFERROR(INDEX(MgSubtipo,MATCH($C318,MgActId,0)),"")</f>
        <v/>
      </c>
      <c r="H318" s="59" t="inlineStr">
        <is>
          <t>E.10</t>
        </is>
      </c>
      <c r="I318" s="64">
        <f>IFERROR(INDEX(MgAmenNombre,MATCH(SUBSTITUTE($H318,"*","-"),MgAmenClave,0)),"")</f>
        <v/>
      </c>
      <c r="J318" s="28">
        <f>IFERROR(INDEX(MgAmenGrupo,MATCH(SUBSTITUTE($H318,"*","-"),MgAmenClave,0)),"")</f>
        <v/>
      </c>
      <c r="K318" s="64">
        <f>IFERROR(INDEX('1. Matriz de Activos'!$Q$6:$Q$239,MATCH($C318,MgActId,0)),"")</f>
        <v/>
      </c>
      <c r="L318" s="64">
        <f>IFERROR(INDEX('1. Matriz de Activos'!$R$6:$R$239,MATCH($C318,MgActId,0)),"")</f>
        <v/>
      </c>
      <c r="M318" s="64">
        <f>IFERROR(INDEX('1. Matriz de Activos'!$S$6:$S$239,MATCH($C318,MgActId,0)),"")</f>
        <v/>
      </c>
      <c r="N318" s="28">
        <f>IFERROR(INDEX(MgAmenDegD,MATCH(SUBSTITUTE($H318,"*","-"),MgAmenClave,0)),"No aplica")</f>
        <v/>
      </c>
      <c r="O318" s="28">
        <f>IFERROR(INDEX(MgAmenDegI,MATCH(SUBSTITUTE($H318,"*","-"),MgAmenClave,0)),"No aplica")</f>
        <v/>
      </c>
      <c r="P318" s="28">
        <f>IFERROR(INDEX(MgAmenDegC,MATCH(SUBSTITUTE($H318,"*","-"),MgAmenClave,0)),"No aplica")</f>
        <v/>
      </c>
      <c r="Q318" s="29">
        <f>IFERROR(VLOOKUP(K318,MgValor,2,0)*VLOOKUP(N318,MgDeg,2,0),0)</f>
        <v/>
      </c>
      <c r="R318" s="29">
        <f>IFERROR(VLOOKUP(L318,MgValor,2,0)*VLOOKUP(O318,MgDeg,2,0),0)</f>
        <v/>
      </c>
      <c r="S318" s="29">
        <f>IFERROR(VLOOKUP(M318,MgValor,2,0)*VLOOKUP(P318,MgDeg,2,0),0)</f>
        <v/>
      </c>
      <c r="T318" s="30">
        <f>MAX(Q318:S318)</f>
        <v/>
      </c>
      <c r="U318" s="28">
        <f>IFERROR(LOOKUP(T318,{0;0.5;1.5;3;4.5},{"Despreciable";"Bajo";"Medio";"Alto";"Muy alto"}),"")</f>
        <v/>
      </c>
      <c r="V318" s="13">
        <f>IFERROR(INDEX(MgAmenFrec,MATCH(SUBSTITUTE($H318,"*","-"),MgAmenClave,0)),"")</f>
        <v/>
      </c>
      <c r="W318" s="28">
        <f>IFERROR(LOOKUP(X318,{0;0.01;0.1;1;10;100},{"Muy baja";"Muy baja";"Baja";"Media";"Alta";"Muy alta"}),"")</f>
        <v/>
      </c>
      <c r="X318" s="31">
        <f>IFERROR(VLOOKUP(V318,MgFrec,2,0),0)</f>
        <v/>
      </c>
      <c r="Y318" s="30">
        <f>T318*X318</f>
        <v/>
      </c>
      <c r="Z318" s="28">
        <f>IFERROR(LOOKUP(Y318,{0;0.5;5;25},{"Bajo";"Medio";"Alto";"Crítico"}),"")</f>
        <v/>
      </c>
      <c r="AA318" s="64">
        <f>IF(T318&gt;=3,IF(X318&gt;=1,"Zona 1 — Crítica: impacto alto y ocurre al menos una vez al año","Zona 4 — Catastrófica poco probable: impacto alto pero excepcional"),IF(AND(T318&lt;1.5,X318&lt;1),"Zona 3 — Asumible: impacto bajo y muy poco frecuente","Zona 2 — Atención: riesgo intermedio"))</f>
        <v/>
      </c>
      <c r="AB318" s="64">
        <f>IFERROR(INDEX(MgAmenCtrl,MATCH(SUBSTITUTE($H318,"*","-"),MgAmenClave,0)),"")</f>
        <v/>
      </c>
      <c r="AC318" s="20" t="n"/>
      <c r="AD318" s="31">
        <f>IFERROR($X318*(1-IF($AC318="",$AL318,VLOOKUP($AC318,MgMad,2,0))),"")</f>
        <v/>
      </c>
      <c r="AE318" s="28">
        <f>IFERROR(LOOKUP(AD318,{0;0.01;0.1;1;10;100},{"Muy baja";"Muy baja";"Baja";"Media";"Alta";"Muy alta"}),"")</f>
        <v/>
      </c>
      <c r="AF318" s="30">
        <f>T318*AD318</f>
        <v/>
      </c>
      <c r="AG318" s="28">
        <f>IFERROR(LOOKUP(AF318,{0;0.5;5;25},{"Bajo";"Medio";"Alto";"Crítico"}),"")</f>
        <v/>
      </c>
      <c r="AH318" s="28">
        <f>IF(AG318="","",IF(OR(AG318="Crítico",AG318="Alto"),"Mitigar",IF(AG318="Medio","Mitigar","Aceptar y monitorear")))</f>
        <v/>
      </c>
      <c r="AI318" s="21" t="n"/>
      <c r="AJ318" s="21" t="n"/>
      <c r="AK318" s="20" t="n"/>
      <c r="AL318" s="77">
        <f>IFERROR(INDEX(MgAmenEfic,MATCH(SUBSTITUTE($H318,"*","-"),MgAmenClave,0)),0)</f>
        <v/>
      </c>
    </row>
    <row r="319" hidden="1" ht="90" customHeight="1" s="54">
      <c r="B319" s="59" t="inlineStr">
        <is>
          <t>R-0314</t>
        </is>
      </c>
      <c r="C319" s="59" t="inlineStr">
        <is>
          <t>DO-07</t>
        </is>
      </c>
      <c r="D319" s="64">
        <f>IFERROR(INDEX(MgNombre,MATCH($C319,MgActId,0)),"")</f>
        <v/>
      </c>
      <c r="E319" s="64">
        <f>IFERROR(INDEX(MgProceso,MATCH($C319,MgActId,0)),"")</f>
        <v/>
      </c>
      <c r="F319" s="64">
        <f>IFERROR(INDEX(MgTipo,MATCH($C319,MgActId,0)),"")</f>
        <v/>
      </c>
      <c r="G319" s="64">
        <f>IFERROR(INDEX(MgSubtipo,MATCH($C319,MgActId,0)),"")</f>
        <v/>
      </c>
      <c r="H319" s="59" t="inlineStr">
        <is>
          <t>E.14</t>
        </is>
      </c>
      <c r="I319" s="64">
        <f>IFERROR(INDEX(MgAmenNombre,MATCH(SUBSTITUTE($H319,"*","-"),MgAmenClave,0)),"")</f>
        <v/>
      </c>
      <c r="J319" s="28">
        <f>IFERROR(INDEX(MgAmenGrupo,MATCH(SUBSTITUTE($H319,"*","-"),MgAmenClave,0)),"")</f>
        <v/>
      </c>
      <c r="K319" s="64">
        <f>IFERROR(INDEX('1. Matriz de Activos'!$Q$6:$Q$239,MATCH($C319,MgActId,0)),"")</f>
        <v/>
      </c>
      <c r="L319" s="64">
        <f>IFERROR(INDEX('1. Matriz de Activos'!$R$6:$R$239,MATCH($C319,MgActId,0)),"")</f>
        <v/>
      </c>
      <c r="M319" s="64">
        <f>IFERROR(INDEX('1. Matriz de Activos'!$S$6:$S$239,MATCH($C319,MgActId,0)),"")</f>
        <v/>
      </c>
      <c r="N319" s="28">
        <f>IFERROR(INDEX(MgAmenDegD,MATCH(SUBSTITUTE($H319,"*","-"),MgAmenClave,0)),"No aplica")</f>
        <v/>
      </c>
      <c r="O319" s="28">
        <f>IFERROR(INDEX(MgAmenDegI,MATCH(SUBSTITUTE($H319,"*","-"),MgAmenClave,0)),"No aplica")</f>
        <v/>
      </c>
      <c r="P319" s="28">
        <f>IFERROR(INDEX(MgAmenDegC,MATCH(SUBSTITUTE($H319,"*","-"),MgAmenClave,0)),"No aplica")</f>
        <v/>
      </c>
      <c r="Q319" s="29">
        <f>IFERROR(VLOOKUP(K319,MgValor,2,0)*VLOOKUP(N319,MgDeg,2,0),0)</f>
        <v/>
      </c>
      <c r="R319" s="29">
        <f>IFERROR(VLOOKUP(L319,MgValor,2,0)*VLOOKUP(O319,MgDeg,2,0),0)</f>
        <v/>
      </c>
      <c r="S319" s="29">
        <f>IFERROR(VLOOKUP(M319,MgValor,2,0)*VLOOKUP(P319,MgDeg,2,0),0)</f>
        <v/>
      </c>
      <c r="T319" s="30">
        <f>MAX(Q319:S319)</f>
        <v/>
      </c>
      <c r="U319" s="28">
        <f>IFERROR(LOOKUP(T319,{0;0.5;1.5;3;4.5},{"Despreciable";"Bajo";"Medio";"Alto";"Muy alto"}),"")</f>
        <v/>
      </c>
      <c r="V319" s="13">
        <f>IFERROR(INDEX(MgAmenFrec,MATCH(SUBSTITUTE($H319,"*","-"),MgAmenClave,0)),"")</f>
        <v/>
      </c>
      <c r="W319" s="28">
        <f>IFERROR(LOOKUP(X319,{0;0.01;0.1;1;10;100},{"Muy baja";"Muy baja";"Baja";"Media";"Alta";"Muy alta"}),"")</f>
        <v/>
      </c>
      <c r="X319" s="31">
        <f>IFERROR(VLOOKUP(V319,MgFrec,2,0),0)</f>
        <v/>
      </c>
      <c r="Y319" s="30">
        <f>T319*X319</f>
        <v/>
      </c>
      <c r="Z319" s="28">
        <f>IFERROR(LOOKUP(Y319,{0;0.5;5;25},{"Bajo";"Medio";"Alto";"Crítico"}),"")</f>
        <v/>
      </c>
      <c r="AA319" s="64">
        <f>IF(T319&gt;=3,IF(X319&gt;=1,"Zona 1 — Crítica: impacto alto y ocurre al menos una vez al año","Zona 4 — Catastrófica poco probable: impacto alto pero excepcional"),IF(AND(T319&lt;1.5,X319&lt;1),"Zona 3 — Asumible: impacto bajo y muy poco frecuente","Zona 2 — Atención: riesgo intermedio"))</f>
        <v/>
      </c>
      <c r="AB319" s="64">
        <f>IFERROR(INDEX(MgAmenCtrl,MATCH(SUBSTITUTE($H319,"*","-"),MgAmenClave,0)),"")</f>
        <v/>
      </c>
      <c r="AC319" s="20" t="n"/>
      <c r="AD319" s="31">
        <f>IFERROR($X319*(1-IF($AC319="",$AL319,VLOOKUP($AC319,MgMad,2,0))),"")</f>
        <v/>
      </c>
      <c r="AE319" s="28">
        <f>IFERROR(LOOKUP(AD319,{0;0.01;0.1;1;10;100},{"Muy baja";"Muy baja";"Baja";"Media";"Alta";"Muy alta"}),"")</f>
        <v/>
      </c>
      <c r="AF319" s="30">
        <f>T319*AD319</f>
        <v/>
      </c>
      <c r="AG319" s="28">
        <f>IFERROR(LOOKUP(AF319,{0;0.5;5;25},{"Bajo";"Medio";"Alto";"Crítico"}),"")</f>
        <v/>
      </c>
      <c r="AH319" s="28">
        <f>IF(AG319="","",IF(OR(AG319="Crítico",AG319="Alto"),"Mitigar",IF(AG319="Medio","Mitigar","Aceptar y monitorear")))</f>
        <v/>
      </c>
      <c r="AI319" s="21" t="n"/>
      <c r="AJ319" s="21" t="n"/>
      <c r="AK319" s="20" t="n"/>
      <c r="AL319" s="77">
        <f>IFERROR(INDEX(MgAmenEfic,MATCH(SUBSTITUTE($H319,"*","-"),MgAmenClave,0)),0)</f>
        <v/>
      </c>
    </row>
    <row r="320" hidden="1" ht="90" customHeight="1" s="54">
      <c r="B320" s="59" t="inlineStr">
        <is>
          <t>R-0315</t>
        </is>
      </c>
      <c r="C320" s="59" t="inlineStr">
        <is>
          <t>DO-07</t>
        </is>
      </c>
      <c r="D320" s="64">
        <f>IFERROR(INDEX(MgNombre,MATCH($C320,MgActId,0)),"")</f>
        <v/>
      </c>
      <c r="E320" s="64">
        <f>IFERROR(INDEX(MgProceso,MATCH($C320,MgActId,0)),"")</f>
        <v/>
      </c>
      <c r="F320" s="64">
        <f>IFERROR(INDEX(MgTipo,MATCH($C320,MgActId,0)),"")</f>
        <v/>
      </c>
      <c r="G320" s="64">
        <f>IFERROR(INDEX(MgSubtipo,MATCH($C320,MgActId,0)),"")</f>
        <v/>
      </c>
      <c r="H320" s="59" t="inlineStr">
        <is>
          <t>E.15</t>
        </is>
      </c>
      <c r="I320" s="64">
        <f>IFERROR(INDEX(MgAmenNombre,MATCH(SUBSTITUTE($H320,"*","-"),MgAmenClave,0)),"")</f>
        <v/>
      </c>
      <c r="J320" s="28">
        <f>IFERROR(INDEX(MgAmenGrupo,MATCH(SUBSTITUTE($H320,"*","-"),MgAmenClave,0)),"")</f>
        <v/>
      </c>
      <c r="K320" s="64">
        <f>IFERROR(INDEX('1. Matriz de Activos'!$Q$6:$Q$239,MATCH($C320,MgActId,0)),"")</f>
        <v/>
      </c>
      <c r="L320" s="64">
        <f>IFERROR(INDEX('1. Matriz de Activos'!$R$6:$R$239,MATCH($C320,MgActId,0)),"")</f>
        <v/>
      </c>
      <c r="M320" s="64">
        <f>IFERROR(INDEX('1. Matriz de Activos'!$S$6:$S$239,MATCH($C320,MgActId,0)),"")</f>
        <v/>
      </c>
      <c r="N320" s="28">
        <f>IFERROR(INDEX(MgAmenDegD,MATCH(SUBSTITUTE($H320,"*","-"),MgAmenClave,0)),"No aplica")</f>
        <v/>
      </c>
      <c r="O320" s="28">
        <f>IFERROR(INDEX(MgAmenDegI,MATCH(SUBSTITUTE($H320,"*","-"),MgAmenClave,0)),"No aplica")</f>
        <v/>
      </c>
      <c r="P320" s="28">
        <f>IFERROR(INDEX(MgAmenDegC,MATCH(SUBSTITUTE($H320,"*","-"),MgAmenClave,0)),"No aplica")</f>
        <v/>
      </c>
      <c r="Q320" s="29">
        <f>IFERROR(VLOOKUP(K320,MgValor,2,0)*VLOOKUP(N320,MgDeg,2,0),0)</f>
        <v/>
      </c>
      <c r="R320" s="29">
        <f>IFERROR(VLOOKUP(L320,MgValor,2,0)*VLOOKUP(O320,MgDeg,2,0),0)</f>
        <v/>
      </c>
      <c r="S320" s="29">
        <f>IFERROR(VLOOKUP(M320,MgValor,2,0)*VLOOKUP(P320,MgDeg,2,0),0)</f>
        <v/>
      </c>
      <c r="T320" s="30">
        <f>MAX(Q320:S320)</f>
        <v/>
      </c>
      <c r="U320" s="28">
        <f>IFERROR(LOOKUP(T320,{0;0.5;1.5;3;4.5},{"Despreciable";"Bajo";"Medio";"Alto";"Muy alto"}),"")</f>
        <v/>
      </c>
      <c r="V320" s="13">
        <f>IFERROR(INDEX(MgAmenFrec,MATCH(SUBSTITUTE($H320,"*","-"),MgAmenClave,0)),"")</f>
        <v/>
      </c>
      <c r="W320" s="28">
        <f>IFERROR(LOOKUP(X320,{0;0.01;0.1;1;10;100},{"Muy baja";"Muy baja";"Baja";"Media";"Alta";"Muy alta"}),"")</f>
        <v/>
      </c>
      <c r="X320" s="31">
        <f>IFERROR(VLOOKUP(V320,MgFrec,2,0),0)</f>
        <v/>
      </c>
      <c r="Y320" s="30">
        <f>T320*X320</f>
        <v/>
      </c>
      <c r="Z320" s="28">
        <f>IFERROR(LOOKUP(Y320,{0;0.5;5;25},{"Bajo";"Medio";"Alto";"Crítico"}),"")</f>
        <v/>
      </c>
      <c r="AA320" s="64">
        <f>IF(T320&gt;=3,IF(X320&gt;=1,"Zona 1 — Crítica: impacto alto y ocurre al menos una vez al año","Zona 4 — Catastrófica poco probable: impacto alto pero excepcional"),IF(AND(T320&lt;1.5,X320&lt;1),"Zona 3 — Asumible: impacto bajo y muy poco frecuente","Zona 2 — Atención: riesgo intermedio"))</f>
        <v/>
      </c>
      <c r="AB320" s="64">
        <f>IFERROR(INDEX(MgAmenCtrl,MATCH(SUBSTITUTE($H320,"*","-"),MgAmenClave,0)),"")</f>
        <v/>
      </c>
      <c r="AC320" s="20" t="n"/>
      <c r="AD320" s="31">
        <f>IFERROR($X320*(1-IF($AC320="",$AL320,VLOOKUP($AC320,MgMad,2,0))),"")</f>
        <v/>
      </c>
      <c r="AE320" s="28">
        <f>IFERROR(LOOKUP(AD320,{0;0.01;0.1;1;10;100},{"Muy baja";"Muy baja";"Baja";"Media";"Alta";"Muy alta"}),"")</f>
        <v/>
      </c>
      <c r="AF320" s="30">
        <f>T320*AD320</f>
        <v/>
      </c>
      <c r="AG320" s="28">
        <f>IFERROR(LOOKUP(AF320,{0;0.5;5;25},{"Bajo";"Medio";"Alto";"Crítico"}),"")</f>
        <v/>
      </c>
      <c r="AH320" s="28">
        <f>IF(AG320="","",IF(OR(AG320="Crítico",AG320="Alto"),"Mitigar",IF(AG320="Medio","Mitigar","Aceptar y monitorear")))</f>
        <v/>
      </c>
      <c r="AI320" s="21" t="n"/>
      <c r="AJ320" s="21" t="n"/>
      <c r="AK320" s="20" t="n"/>
      <c r="AL320" s="77">
        <f>IFERROR(INDEX(MgAmenEfic,MATCH(SUBSTITUTE($H320,"*","-"),MgAmenClave,0)),0)</f>
        <v/>
      </c>
    </row>
    <row r="321" hidden="1" ht="60" customHeight="1" s="54">
      <c r="B321" s="59" t="inlineStr">
        <is>
          <t>R-0316</t>
        </is>
      </c>
      <c r="C321" s="59" t="inlineStr">
        <is>
          <t>DO-07</t>
        </is>
      </c>
      <c r="D321" s="64">
        <f>IFERROR(INDEX(MgNombre,MATCH($C321,MgActId,0)),"")</f>
        <v/>
      </c>
      <c r="E321" s="64">
        <f>IFERROR(INDEX(MgProceso,MATCH($C321,MgActId,0)),"")</f>
        <v/>
      </c>
      <c r="F321" s="64">
        <f>IFERROR(INDEX(MgTipo,MATCH($C321,MgActId,0)),"")</f>
        <v/>
      </c>
      <c r="G321" s="64">
        <f>IFERROR(INDEX(MgSubtipo,MATCH($C321,MgActId,0)),"")</f>
        <v/>
      </c>
      <c r="H321" s="59" t="inlineStr">
        <is>
          <t>E.18</t>
        </is>
      </c>
      <c r="I321" s="64">
        <f>IFERROR(INDEX(MgAmenNombre,MATCH(SUBSTITUTE($H321,"*","-"),MgAmenClave,0)),"")</f>
        <v/>
      </c>
      <c r="J321" s="28">
        <f>IFERROR(INDEX(MgAmenGrupo,MATCH(SUBSTITUTE($H321,"*","-"),MgAmenClave,0)),"")</f>
        <v/>
      </c>
      <c r="K321" s="64">
        <f>IFERROR(INDEX('1. Matriz de Activos'!$Q$6:$Q$239,MATCH($C321,MgActId,0)),"")</f>
        <v/>
      </c>
      <c r="L321" s="64">
        <f>IFERROR(INDEX('1. Matriz de Activos'!$R$6:$R$239,MATCH($C321,MgActId,0)),"")</f>
        <v/>
      </c>
      <c r="M321" s="64">
        <f>IFERROR(INDEX('1. Matriz de Activos'!$S$6:$S$239,MATCH($C321,MgActId,0)),"")</f>
        <v/>
      </c>
      <c r="N321" s="28">
        <f>IFERROR(INDEX(MgAmenDegD,MATCH(SUBSTITUTE($H321,"*","-"),MgAmenClave,0)),"No aplica")</f>
        <v/>
      </c>
      <c r="O321" s="28">
        <f>IFERROR(INDEX(MgAmenDegI,MATCH(SUBSTITUTE($H321,"*","-"),MgAmenClave,0)),"No aplica")</f>
        <v/>
      </c>
      <c r="P321" s="28">
        <f>IFERROR(INDEX(MgAmenDegC,MATCH(SUBSTITUTE($H321,"*","-"),MgAmenClave,0)),"No aplica")</f>
        <v/>
      </c>
      <c r="Q321" s="29">
        <f>IFERROR(VLOOKUP(K321,MgValor,2,0)*VLOOKUP(N321,MgDeg,2,0),0)</f>
        <v/>
      </c>
      <c r="R321" s="29">
        <f>IFERROR(VLOOKUP(L321,MgValor,2,0)*VLOOKUP(O321,MgDeg,2,0),0)</f>
        <v/>
      </c>
      <c r="S321" s="29">
        <f>IFERROR(VLOOKUP(M321,MgValor,2,0)*VLOOKUP(P321,MgDeg,2,0),0)</f>
        <v/>
      </c>
      <c r="T321" s="30">
        <f>MAX(Q321:S321)</f>
        <v/>
      </c>
      <c r="U321" s="28">
        <f>IFERROR(LOOKUP(T321,{0;0.5;1.5;3;4.5},{"Despreciable";"Bajo";"Medio";"Alto";"Muy alto"}),"")</f>
        <v/>
      </c>
      <c r="V321" s="13">
        <f>IFERROR(INDEX(MgAmenFrec,MATCH(SUBSTITUTE($H321,"*","-"),MgAmenClave,0)),"")</f>
        <v/>
      </c>
      <c r="W321" s="28">
        <f>IFERROR(LOOKUP(X321,{0;0.01;0.1;1;10;100},{"Muy baja";"Muy baja";"Baja";"Media";"Alta";"Muy alta"}),"")</f>
        <v/>
      </c>
      <c r="X321" s="31">
        <f>IFERROR(VLOOKUP(V321,MgFrec,2,0),0)</f>
        <v/>
      </c>
      <c r="Y321" s="30">
        <f>T321*X321</f>
        <v/>
      </c>
      <c r="Z321" s="28">
        <f>IFERROR(LOOKUP(Y321,{0;0.5;5;25},{"Bajo";"Medio";"Alto";"Crítico"}),"")</f>
        <v/>
      </c>
      <c r="AA321" s="64">
        <f>IF(T321&gt;=3,IF(X321&gt;=1,"Zona 1 — Crítica: impacto alto y ocurre al menos una vez al año","Zona 4 — Catastrófica poco probable: impacto alto pero excepcional"),IF(AND(T321&lt;1.5,X321&lt;1),"Zona 3 — Asumible: impacto bajo y muy poco frecuente","Zona 2 — Atención: riesgo intermedio"))</f>
        <v/>
      </c>
      <c r="AB321" s="64">
        <f>IFERROR(INDEX(MgAmenCtrl,MATCH(SUBSTITUTE($H321,"*","-"),MgAmenClave,0)),"")</f>
        <v/>
      </c>
      <c r="AC321" s="20" t="n"/>
      <c r="AD321" s="31">
        <f>IFERROR($X321*(1-IF($AC321="",$AL321,VLOOKUP($AC321,MgMad,2,0))),"")</f>
        <v/>
      </c>
      <c r="AE321" s="28">
        <f>IFERROR(LOOKUP(AD321,{0;0.01;0.1;1;10;100},{"Muy baja";"Muy baja";"Baja";"Media";"Alta";"Muy alta"}),"")</f>
        <v/>
      </c>
      <c r="AF321" s="30">
        <f>T321*AD321</f>
        <v/>
      </c>
      <c r="AG321" s="28">
        <f>IFERROR(LOOKUP(AF321,{0;0.5;5;25},{"Bajo";"Medio";"Alto";"Crítico"}),"")</f>
        <v/>
      </c>
      <c r="AH321" s="28">
        <f>IF(AG321="","",IF(OR(AG321="Crítico",AG321="Alto"),"Mitigar",IF(AG321="Medio","Mitigar","Aceptar y monitorear")))</f>
        <v/>
      </c>
      <c r="AI321" s="21" t="n"/>
      <c r="AJ321" s="21" t="n"/>
      <c r="AK321" s="20" t="n"/>
      <c r="AL321" s="77">
        <f>IFERROR(INDEX(MgAmenEfic,MATCH(SUBSTITUTE($H321,"*","-"),MgAmenClave,0)),0)</f>
        <v/>
      </c>
    </row>
    <row r="322" hidden="1" ht="105" customHeight="1" s="54">
      <c r="B322" s="59" t="inlineStr">
        <is>
          <t>R-0317</t>
        </is>
      </c>
      <c r="C322" s="59" t="inlineStr">
        <is>
          <t>DO-07</t>
        </is>
      </c>
      <c r="D322" s="64">
        <f>IFERROR(INDEX(MgNombre,MATCH($C322,MgActId,0)),"")</f>
        <v/>
      </c>
      <c r="E322" s="64">
        <f>IFERROR(INDEX(MgProceso,MATCH($C322,MgActId,0)),"")</f>
        <v/>
      </c>
      <c r="F322" s="64">
        <f>IFERROR(INDEX(MgTipo,MATCH($C322,MgActId,0)),"")</f>
        <v/>
      </c>
      <c r="G322" s="64">
        <f>IFERROR(INDEX(MgSubtipo,MATCH($C322,MgActId,0)),"")</f>
        <v/>
      </c>
      <c r="H322" s="59" t="inlineStr">
        <is>
          <t>E.19</t>
        </is>
      </c>
      <c r="I322" s="64">
        <f>IFERROR(INDEX(MgAmenNombre,MATCH(SUBSTITUTE($H322,"*","-"),MgAmenClave,0)),"")</f>
        <v/>
      </c>
      <c r="J322" s="28">
        <f>IFERROR(INDEX(MgAmenGrupo,MATCH(SUBSTITUTE($H322,"*","-"),MgAmenClave,0)),"")</f>
        <v/>
      </c>
      <c r="K322" s="64">
        <f>IFERROR(INDEX('1. Matriz de Activos'!$Q$6:$Q$239,MATCH($C322,MgActId,0)),"")</f>
        <v/>
      </c>
      <c r="L322" s="64">
        <f>IFERROR(INDEX('1. Matriz de Activos'!$R$6:$R$239,MATCH($C322,MgActId,0)),"")</f>
        <v/>
      </c>
      <c r="M322" s="64">
        <f>IFERROR(INDEX('1. Matriz de Activos'!$S$6:$S$239,MATCH($C322,MgActId,0)),"")</f>
        <v/>
      </c>
      <c r="N322" s="28">
        <f>IFERROR(INDEX(MgAmenDegD,MATCH(SUBSTITUTE($H322,"*","-"),MgAmenClave,0)),"No aplica")</f>
        <v/>
      </c>
      <c r="O322" s="28">
        <f>IFERROR(INDEX(MgAmenDegI,MATCH(SUBSTITUTE($H322,"*","-"),MgAmenClave,0)),"No aplica")</f>
        <v/>
      </c>
      <c r="P322" s="28">
        <f>IFERROR(INDEX(MgAmenDegC,MATCH(SUBSTITUTE($H322,"*","-"),MgAmenClave,0)),"No aplica")</f>
        <v/>
      </c>
      <c r="Q322" s="29">
        <f>IFERROR(VLOOKUP(K322,MgValor,2,0)*VLOOKUP(N322,MgDeg,2,0),0)</f>
        <v/>
      </c>
      <c r="R322" s="29">
        <f>IFERROR(VLOOKUP(L322,MgValor,2,0)*VLOOKUP(O322,MgDeg,2,0),0)</f>
        <v/>
      </c>
      <c r="S322" s="29">
        <f>IFERROR(VLOOKUP(M322,MgValor,2,0)*VLOOKUP(P322,MgDeg,2,0),0)</f>
        <v/>
      </c>
      <c r="T322" s="30">
        <f>MAX(Q322:S322)</f>
        <v/>
      </c>
      <c r="U322" s="28">
        <f>IFERROR(LOOKUP(T322,{0;0.5;1.5;3;4.5},{"Despreciable";"Bajo";"Medio";"Alto";"Muy alto"}),"")</f>
        <v/>
      </c>
      <c r="V322" s="13">
        <f>IFERROR(INDEX(MgAmenFrec,MATCH(SUBSTITUTE($H322,"*","-"),MgAmenClave,0)),"")</f>
        <v/>
      </c>
      <c r="W322" s="28">
        <f>IFERROR(LOOKUP(X322,{0;0.01;0.1;1;10;100},{"Muy baja";"Muy baja";"Baja";"Media";"Alta";"Muy alta"}),"")</f>
        <v/>
      </c>
      <c r="X322" s="31">
        <f>IFERROR(VLOOKUP(V322,MgFrec,2,0),0)</f>
        <v/>
      </c>
      <c r="Y322" s="30">
        <f>T322*X322</f>
        <v/>
      </c>
      <c r="Z322" s="28">
        <f>IFERROR(LOOKUP(Y322,{0;0.5;5;25},{"Bajo";"Medio";"Alto";"Crítico"}),"")</f>
        <v/>
      </c>
      <c r="AA322" s="64">
        <f>IF(T322&gt;=3,IF(X322&gt;=1,"Zona 1 — Crítica: impacto alto y ocurre al menos una vez al año","Zona 4 — Catastrófica poco probable: impacto alto pero excepcional"),IF(AND(T322&lt;1.5,X322&lt;1),"Zona 3 — Asumible: impacto bajo y muy poco frecuente","Zona 2 — Atención: riesgo intermedio"))</f>
        <v/>
      </c>
      <c r="AB322" s="64">
        <f>IFERROR(INDEX(MgAmenCtrl,MATCH(SUBSTITUTE($H322,"*","-"),MgAmenClave,0)),"")</f>
        <v/>
      </c>
      <c r="AC322" s="20" t="n"/>
      <c r="AD322" s="31">
        <f>IFERROR($X322*(1-IF($AC322="",$AL322,VLOOKUP($AC322,MgMad,2,0))),"")</f>
        <v/>
      </c>
      <c r="AE322" s="28">
        <f>IFERROR(LOOKUP(AD322,{0;0.01;0.1;1;10;100},{"Muy baja";"Muy baja";"Baja";"Media";"Alta";"Muy alta"}),"")</f>
        <v/>
      </c>
      <c r="AF322" s="30">
        <f>T322*AD322</f>
        <v/>
      </c>
      <c r="AG322" s="28">
        <f>IFERROR(LOOKUP(AF322,{0;0.5;5;25},{"Bajo";"Medio";"Alto";"Crítico"}),"")</f>
        <v/>
      </c>
      <c r="AH322" s="28">
        <f>IF(AG322="","",IF(OR(AG322="Crítico",AG322="Alto"),"Mitigar",IF(AG322="Medio","Mitigar","Aceptar y monitorear")))</f>
        <v/>
      </c>
      <c r="AI322" s="21" t="n"/>
      <c r="AJ322" s="21" t="n"/>
      <c r="AK322" s="20" t="n"/>
      <c r="AL322" s="77">
        <f>IFERROR(INDEX(MgAmenEfic,MATCH(SUBSTITUTE($H322,"*","-"),MgAmenClave,0)),0)</f>
        <v/>
      </c>
    </row>
    <row r="323" hidden="1" ht="45" customHeight="1" s="54">
      <c r="B323" s="59" t="inlineStr">
        <is>
          <t>R-0318</t>
        </is>
      </c>
      <c r="C323" s="59" t="inlineStr">
        <is>
          <t>DO-07</t>
        </is>
      </c>
      <c r="D323" s="64">
        <f>IFERROR(INDEX(MgNombre,MATCH($C323,MgActId,0)),"")</f>
        <v/>
      </c>
      <c r="E323" s="64">
        <f>IFERROR(INDEX(MgProceso,MATCH($C323,MgActId,0)),"")</f>
        <v/>
      </c>
      <c r="F323" s="64">
        <f>IFERROR(INDEX(MgTipo,MATCH($C323,MgActId,0)),"")</f>
        <v/>
      </c>
      <c r="G323" s="64">
        <f>IFERROR(INDEX(MgSubtipo,MATCH($C323,MgActId,0)),"")</f>
        <v/>
      </c>
      <c r="H323" s="59" t="inlineStr">
        <is>
          <t>E.24</t>
        </is>
      </c>
      <c r="I323" s="64">
        <f>IFERROR(INDEX(MgAmenNombre,MATCH(SUBSTITUTE($H323,"*","-"),MgAmenClave,0)),"")</f>
        <v/>
      </c>
      <c r="J323" s="28">
        <f>IFERROR(INDEX(MgAmenGrupo,MATCH(SUBSTITUTE($H323,"*","-"),MgAmenClave,0)),"")</f>
        <v/>
      </c>
      <c r="K323" s="64">
        <f>IFERROR(INDEX('1. Matriz de Activos'!$Q$6:$Q$239,MATCH($C323,MgActId,0)),"")</f>
        <v/>
      </c>
      <c r="L323" s="64">
        <f>IFERROR(INDEX('1. Matriz de Activos'!$R$6:$R$239,MATCH($C323,MgActId,0)),"")</f>
        <v/>
      </c>
      <c r="M323" s="64">
        <f>IFERROR(INDEX('1. Matriz de Activos'!$S$6:$S$239,MATCH($C323,MgActId,0)),"")</f>
        <v/>
      </c>
      <c r="N323" s="28">
        <f>IFERROR(INDEX(MgAmenDegD,MATCH(SUBSTITUTE($H323,"*","-"),MgAmenClave,0)),"No aplica")</f>
        <v/>
      </c>
      <c r="O323" s="28">
        <f>IFERROR(INDEX(MgAmenDegI,MATCH(SUBSTITUTE($H323,"*","-"),MgAmenClave,0)),"No aplica")</f>
        <v/>
      </c>
      <c r="P323" s="28">
        <f>IFERROR(INDEX(MgAmenDegC,MATCH(SUBSTITUTE($H323,"*","-"),MgAmenClave,0)),"No aplica")</f>
        <v/>
      </c>
      <c r="Q323" s="29">
        <f>IFERROR(VLOOKUP(K323,MgValor,2,0)*VLOOKUP(N323,MgDeg,2,0),0)</f>
        <v/>
      </c>
      <c r="R323" s="29">
        <f>IFERROR(VLOOKUP(L323,MgValor,2,0)*VLOOKUP(O323,MgDeg,2,0),0)</f>
        <v/>
      </c>
      <c r="S323" s="29">
        <f>IFERROR(VLOOKUP(M323,MgValor,2,0)*VLOOKUP(P323,MgDeg,2,0),0)</f>
        <v/>
      </c>
      <c r="T323" s="30">
        <f>MAX(Q323:S323)</f>
        <v/>
      </c>
      <c r="U323" s="28">
        <f>IFERROR(LOOKUP(T323,{0;0.5;1.5;3;4.5},{"Despreciable";"Bajo";"Medio";"Alto";"Muy alto"}),"")</f>
        <v/>
      </c>
      <c r="V323" s="13">
        <f>IFERROR(INDEX(MgAmenFrec,MATCH(SUBSTITUTE($H323,"*","-"),MgAmenClave,0)),"")</f>
        <v/>
      </c>
      <c r="W323" s="28">
        <f>IFERROR(LOOKUP(X323,{0;0.01;0.1;1;10;100},{"Muy baja";"Muy baja";"Baja";"Media";"Alta";"Muy alta"}),"")</f>
        <v/>
      </c>
      <c r="X323" s="31">
        <f>IFERROR(VLOOKUP(V323,MgFrec,2,0),0)</f>
        <v/>
      </c>
      <c r="Y323" s="30">
        <f>T323*X323</f>
        <v/>
      </c>
      <c r="Z323" s="28">
        <f>IFERROR(LOOKUP(Y323,{0;0.5;5;25},{"Bajo";"Medio";"Alto";"Crítico"}),"")</f>
        <v/>
      </c>
      <c r="AA323" s="64">
        <f>IF(T323&gt;=3,IF(X323&gt;=1,"Zona 1 — Crítica: impacto alto y ocurre al menos una vez al año","Zona 4 — Catastrófica poco probable: impacto alto pero excepcional"),IF(AND(T323&lt;1.5,X323&lt;1),"Zona 3 — Asumible: impacto bajo y muy poco frecuente","Zona 2 — Atención: riesgo intermedio"))</f>
        <v/>
      </c>
      <c r="AB323" s="64">
        <f>IFERROR(INDEX(MgAmenCtrl,MATCH(SUBSTITUTE($H323,"*","-"),MgAmenClave,0)),"")</f>
        <v/>
      </c>
      <c r="AC323" s="20" t="n"/>
      <c r="AD323" s="31">
        <f>IFERROR($X323*(1-IF($AC323="",$AL323,VLOOKUP($AC323,MgMad,2,0))),"")</f>
        <v/>
      </c>
      <c r="AE323" s="28">
        <f>IFERROR(LOOKUP(AD323,{0;0.01;0.1;1;10;100},{"Muy baja";"Muy baja";"Baja";"Media";"Alta";"Muy alta"}),"")</f>
        <v/>
      </c>
      <c r="AF323" s="30">
        <f>T323*AD323</f>
        <v/>
      </c>
      <c r="AG323" s="28">
        <f>IFERROR(LOOKUP(AF323,{0;0.5;5;25},{"Bajo";"Medio";"Alto";"Crítico"}),"")</f>
        <v/>
      </c>
      <c r="AH323" s="28">
        <f>IF(AG323="","",IF(OR(AG323="Crítico",AG323="Alto"),"Mitigar",IF(AG323="Medio","Mitigar","Aceptar y monitorear")))</f>
        <v/>
      </c>
      <c r="AI323" s="21" t="n"/>
      <c r="AJ323" s="21" t="n"/>
      <c r="AK323" s="20" t="n"/>
      <c r="AL323" s="77">
        <f>IFERROR(INDEX(MgAmenEfic,MATCH(SUBSTITUTE($H323,"*","-"),MgAmenClave,0)),0)</f>
        <v/>
      </c>
    </row>
    <row r="324" hidden="1" ht="75" customHeight="1" s="54">
      <c r="B324" s="59" t="inlineStr">
        <is>
          <t>R-0319</t>
        </is>
      </c>
      <c r="C324" s="59" t="inlineStr">
        <is>
          <t>DO-07</t>
        </is>
      </c>
      <c r="D324" s="64">
        <f>IFERROR(INDEX(MgNombre,MATCH($C324,MgActId,0)),"")</f>
        <v/>
      </c>
      <c r="E324" s="64">
        <f>IFERROR(INDEX(MgProceso,MATCH($C324,MgActId,0)),"")</f>
        <v/>
      </c>
      <c r="F324" s="64">
        <f>IFERROR(INDEX(MgTipo,MATCH($C324,MgActId,0)),"")</f>
        <v/>
      </c>
      <c r="G324" s="64">
        <f>IFERROR(INDEX(MgSubtipo,MATCH($C324,MgActId,0)),"")</f>
        <v/>
      </c>
      <c r="H324" s="59" t="inlineStr">
        <is>
          <t>A.5</t>
        </is>
      </c>
      <c r="I324" s="64">
        <f>IFERROR(INDEX(MgAmenNombre,MATCH(SUBSTITUTE($H324,"*","-"),MgAmenClave,0)),"")</f>
        <v/>
      </c>
      <c r="J324" s="28">
        <f>IFERROR(INDEX(MgAmenGrupo,MATCH(SUBSTITUTE($H324,"*","-"),MgAmenClave,0)),"")</f>
        <v/>
      </c>
      <c r="K324" s="64">
        <f>IFERROR(INDEX('1. Matriz de Activos'!$Q$6:$Q$239,MATCH($C324,MgActId,0)),"")</f>
        <v/>
      </c>
      <c r="L324" s="64">
        <f>IFERROR(INDEX('1. Matriz de Activos'!$R$6:$R$239,MATCH($C324,MgActId,0)),"")</f>
        <v/>
      </c>
      <c r="M324" s="64">
        <f>IFERROR(INDEX('1. Matriz de Activos'!$S$6:$S$239,MATCH($C324,MgActId,0)),"")</f>
        <v/>
      </c>
      <c r="N324" s="28">
        <f>IFERROR(INDEX(MgAmenDegD,MATCH(SUBSTITUTE($H324,"*","-"),MgAmenClave,0)),"No aplica")</f>
        <v/>
      </c>
      <c r="O324" s="28">
        <f>IFERROR(INDEX(MgAmenDegI,MATCH(SUBSTITUTE($H324,"*","-"),MgAmenClave,0)),"No aplica")</f>
        <v/>
      </c>
      <c r="P324" s="28">
        <f>IFERROR(INDEX(MgAmenDegC,MATCH(SUBSTITUTE($H324,"*","-"),MgAmenClave,0)),"No aplica")</f>
        <v/>
      </c>
      <c r="Q324" s="29">
        <f>IFERROR(VLOOKUP(K324,MgValor,2,0)*VLOOKUP(N324,MgDeg,2,0),0)</f>
        <v/>
      </c>
      <c r="R324" s="29">
        <f>IFERROR(VLOOKUP(L324,MgValor,2,0)*VLOOKUP(O324,MgDeg,2,0),0)</f>
        <v/>
      </c>
      <c r="S324" s="29">
        <f>IFERROR(VLOOKUP(M324,MgValor,2,0)*VLOOKUP(P324,MgDeg,2,0),0)</f>
        <v/>
      </c>
      <c r="T324" s="30">
        <f>MAX(Q324:S324)</f>
        <v/>
      </c>
      <c r="U324" s="28">
        <f>IFERROR(LOOKUP(T324,{0;0.5;1.5;3;4.5},{"Despreciable";"Bajo";"Medio";"Alto";"Muy alto"}),"")</f>
        <v/>
      </c>
      <c r="V324" s="13">
        <f>IFERROR(INDEX(MgAmenFrec,MATCH(SUBSTITUTE($H324,"*","-"),MgAmenClave,0)),"")</f>
        <v/>
      </c>
      <c r="W324" s="28">
        <f>IFERROR(LOOKUP(X324,{0;0.01;0.1;1;10;100},{"Muy baja";"Muy baja";"Baja";"Media";"Alta";"Muy alta"}),"")</f>
        <v/>
      </c>
      <c r="X324" s="31">
        <f>IFERROR(VLOOKUP(V324,MgFrec,2,0),0)</f>
        <v/>
      </c>
      <c r="Y324" s="30">
        <f>T324*X324</f>
        <v/>
      </c>
      <c r="Z324" s="28">
        <f>IFERROR(LOOKUP(Y324,{0;0.5;5;25},{"Bajo";"Medio";"Alto";"Crítico"}),"")</f>
        <v/>
      </c>
      <c r="AA324" s="64">
        <f>IF(T324&gt;=3,IF(X324&gt;=1,"Zona 1 — Crítica: impacto alto y ocurre al menos una vez al año","Zona 4 — Catastrófica poco probable: impacto alto pero excepcional"),IF(AND(T324&lt;1.5,X324&lt;1),"Zona 3 — Asumible: impacto bajo y muy poco frecuente","Zona 2 — Atención: riesgo intermedio"))</f>
        <v/>
      </c>
      <c r="AB324" s="64">
        <f>IFERROR(INDEX(MgAmenCtrl,MATCH(SUBSTITUTE($H324,"*","-"),MgAmenClave,0)),"")</f>
        <v/>
      </c>
      <c r="AC324" s="20" t="n"/>
      <c r="AD324" s="31">
        <f>IFERROR($X324*(1-IF($AC324="",$AL324,VLOOKUP($AC324,MgMad,2,0))),"")</f>
        <v/>
      </c>
      <c r="AE324" s="28">
        <f>IFERROR(LOOKUP(AD324,{0;0.01;0.1;1;10;100},{"Muy baja";"Muy baja";"Baja";"Media";"Alta";"Muy alta"}),"")</f>
        <v/>
      </c>
      <c r="AF324" s="30">
        <f>T324*AD324</f>
        <v/>
      </c>
      <c r="AG324" s="28">
        <f>IFERROR(LOOKUP(AF324,{0;0.5;5;25},{"Bajo";"Medio";"Alto";"Crítico"}),"")</f>
        <v/>
      </c>
      <c r="AH324" s="28">
        <f>IF(AG324="","",IF(OR(AG324="Crítico",AG324="Alto"),"Mitigar",IF(AG324="Medio","Mitigar","Aceptar y monitorear")))</f>
        <v/>
      </c>
      <c r="AI324" s="21" t="n"/>
      <c r="AJ324" s="21" t="n"/>
      <c r="AK324" s="20" t="n"/>
      <c r="AL324" s="77">
        <f>IFERROR(INDEX(MgAmenEfic,MATCH(SUBSTITUTE($H324,"*","-"),MgAmenClave,0)),0)</f>
        <v/>
      </c>
    </row>
    <row r="325" hidden="1" ht="105" customHeight="1" s="54">
      <c r="B325" s="59" t="inlineStr">
        <is>
          <t>R-0320</t>
        </is>
      </c>
      <c r="C325" s="59" t="inlineStr">
        <is>
          <t>DO-07</t>
        </is>
      </c>
      <c r="D325" s="64">
        <f>IFERROR(INDEX(MgNombre,MATCH($C325,MgActId,0)),"")</f>
        <v/>
      </c>
      <c r="E325" s="64">
        <f>IFERROR(INDEX(MgProceso,MATCH($C325,MgActId,0)),"")</f>
        <v/>
      </c>
      <c r="F325" s="64">
        <f>IFERROR(INDEX(MgTipo,MATCH($C325,MgActId,0)),"")</f>
        <v/>
      </c>
      <c r="G325" s="64">
        <f>IFERROR(INDEX(MgSubtipo,MATCH($C325,MgActId,0)),"")</f>
        <v/>
      </c>
      <c r="H325" s="59" t="inlineStr">
        <is>
          <t>A.6</t>
        </is>
      </c>
      <c r="I325" s="64">
        <f>IFERROR(INDEX(MgAmenNombre,MATCH(SUBSTITUTE($H325,"*","-"),MgAmenClave,0)),"")</f>
        <v/>
      </c>
      <c r="J325" s="28">
        <f>IFERROR(INDEX(MgAmenGrupo,MATCH(SUBSTITUTE($H325,"*","-"),MgAmenClave,0)),"")</f>
        <v/>
      </c>
      <c r="K325" s="64">
        <f>IFERROR(INDEX('1. Matriz de Activos'!$Q$6:$Q$239,MATCH($C325,MgActId,0)),"")</f>
        <v/>
      </c>
      <c r="L325" s="64">
        <f>IFERROR(INDEX('1. Matriz de Activos'!$R$6:$R$239,MATCH($C325,MgActId,0)),"")</f>
        <v/>
      </c>
      <c r="M325" s="64">
        <f>IFERROR(INDEX('1. Matriz de Activos'!$S$6:$S$239,MATCH($C325,MgActId,0)),"")</f>
        <v/>
      </c>
      <c r="N325" s="28">
        <f>IFERROR(INDEX(MgAmenDegD,MATCH(SUBSTITUTE($H325,"*","-"),MgAmenClave,0)),"No aplica")</f>
        <v/>
      </c>
      <c r="O325" s="28">
        <f>IFERROR(INDEX(MgAmenDegI,MATCH(SUBSTITUTE($H325,"*","-"),MgAmenClave,0)),"No aplica")</f>
        <v/>
      </c>
      <c r="P325" s="28">
        <f>IFERROR(INDEX(MgAmenDegC,MATCH(SUBSTITUTE($H325,"*","-"),MgAmenClave,0)),"No aplica")</f>
        <v/>
      </c>
      <c r="Q325" s="29">
        <f>IFERROR(VLOOKUP(K325,MgValor,2,0)*VLOOKUP(N325,MgDeg,2,0),0)</f>
        <v/>
      </c>
      <c r="R325" s="29">
        <f>IFERROR(VLOOKUP(L325,MgValor,2,0)*VLOOKUP(O325,MgDeg,2,0),0)</f>
        <v/>
      </c>
      <c r="S325" s="29">
        <f>IFERROR(VLOOKUP(M325,MgValor,2,0)*VLOOKUP(P325,MgDeg,2,0),0)</f>
        <v/>
      </c>
      <c r="T325" s="30">
        <f>MAX(Q325:S325)</f>
        <v/>
      </c>
      <c r="U325" s="28">
        <f>IFERROR(LOOKUP(T325,{0;0.5;1.5;3;4.5},{"Despreciable";"Bajo";"Medio";"Alto";"Muy alto"}),"")</f>
        <v/>
      </c>
      <c r="V325" s="13">
        <f>IFERROR(INDEX(MgAmenFrec,MATCH(SUBSTITUTE($H325,"*","-"),MgAmenClave,0)),"")</f>
        <v/>
      </c>
      <c r="W325" s="28">
        <f>IFERROR(LOOKUP(X325,{0;0.01;0.1;1;10;100},{"Muy baja";"Muy baja";"Baja";"Media";"Alta";"Muy alta"}),"")</f>
        <v/>
      </c>
      <c r="X325" s="31">
        <f>IFERROR(VLOOKUP(V325,MgFrec,2,0),0)</f>
        <v/>
      </c>
      <c r="Y325" s="30">
        <f>T325*X325</f>
        <v/>
      </c>
      <c r="Z325" s="28">
        <f>IFERROR(LOOKUP(Y325,{0;0.5;5;25},{"Bajo";"Medio";"Alto";"Crítico"}),"")</f>
        <v/>
      </c>
      <c r="AA325" s="64">
        <f>IF(T325&gt;=3,IF(X325&gt;=1,"Zona 1 — Crítica: impacto alto y ocurre al menos una vez al año","Zona 4 — Catastrófica poco probable: impacto alto pero excepcional"),IF(AND(T325&lt;1.5,X325&lt;1),"Zona 3 — Asumible: impacto bajo y muy poco frecuente","Zona 2 — Atención: riesgo intermedio"))</f>
        <v/>
      </c>
      <c r="AB325" s="64">
        <f>IFERROR(INDEX(MgAmenCtrl,MATCH(SUBSTITUTE($H325,"*","-"),MgAmenClave,0)),"")</f>
        <v/>
      </c>
      <c r="AC325" s="20" t="n"/>
      <c r="AD325" s="31">
        <f>IFERROR($X325*(1-IF($AC325="",$AL325,VLOOKUP($AC325,MgMad,2,0))),"")</f>
        <v/>
      </c>
      <c r="AE325" s="28">
        <f>IFERROR(LOOKUP(AD325,{0;0.01;0.1;1;10;100},{"Muy baja";"Muy baja";"Baja";"Media";"Alta";"Muy alta"}),"")</f>
        <v/>
      </c>
      <c r="AF325" s="30">
        <f>T325*AD325</f>
        <v/>
      </c>
      <c r="AG325" s="28">
        <f>IFERROR(LOOKUP(AF325,{0;0.5;5;25},{"Bajo";"Medio";"Alto";"Crítico"}),"")</f>
        <v/>
      </c>
      <c r="AH325" s="28">
        <f>IF(AG325="","",IF(OR(AG325="Crítico",AG325="Alto"),"Mitigar",IF(AG325="Medio","Mitigar","Aceptar y monitorear")))</f>
        <v/>
      </c>
      <c r="AI325" s="21" t="n"/>
      <c r="AJ325" s="21" t="n"/>
      <c r="AK325" s="20" t="n"/>
      <c r="AL325" s="77">
        <f>IFERROR(INDEX(MgAmenEfic,MATCH(SUBSTITUTE($H325,"*","-"),MgAmenClave,0)),0)</f>
        <v/>
      </c>
    </row>
    <row r="326" hidden="1" ht="60" customHeight="1" s="54">
      <c r="B326" s="59" t="inlineStr">
        <is>
          <t>R-0321</t>
        </is>
      </c>
      <c r="C326" s="59" t="inlineStr">
        <is>
          <t>DO-07</t>
        </is>
      </c>
      <c r="D326" s="64">
        <f>IFERROR(INDEX(MgNombre,MATCH($C326,MgActId,0)),"")</f>
        <v/>
      </c>
      <c r="E326" s="64">
        <f>IFERROR(INDEX(MgProceso,MATCH($C326,MgActId,0)),"")</f>
        <v/>
      </c>
      <c r="F326" s="64">
        <f>IFERROR(INDEX(MgTipo,MATCH($C326,MgActId,0)),"")</f>
        <v/>
      </c>
      <c r="G326" s="64">
        <f>IFERROR(INDEX(MgSubtipo,MATCH($C326,MgActId,0)),"")</f>
        <v/>
      </c>
      <c r="H326" s="59" t="inlineStr">
        <is>
          <t>A.7</t>
        </is>
      </c>
      <c r="I326" s="64">
        <f>IFERROR(INDEX(MgAmenNombre,MATCH(SUBSTITUTE($H326,"*","-"),MgAmenClave,0)),"")</f>
        <v/>
      </c>
      <c r="J326" s="28">
        <f>IFERROR(INDEX(MgAmenGrupo,MATCH(SUBSTITUTE($H326,"*","-"),MgAmenClave,0)),"")</f>
        <v/>
      </c>
      <c r="K326" s="64">
        <f>IFERROR(INDEX('1. Matriz de Activos'!$Q$6:$Q$239,MATCH($C326,MgActId,0)),"")</f>
        <v/>
      </c>
      <c r="L326" s="64">
        <f>IFERROR(INDEX('1. Matriz de Activos'!$R$6:$R$239,MATCH($C326,MgActId,0)),"")</f>
        <v/>
      </c>
      <c r="M326" s="64">
        <f>IFERROR(INDEX('1. Matriz de Activos'!$S$6:$S$239,MATCH($C326,MgActId,0)),"")</f>
        <v/>
      </c>
      <c r="N326" s="28">
        <f>IFERROR(INDEX(MgAmenDegD,MATCH(SUBSTITUTE($H326,"*","-"),MgAmenClave,0)),"No aplica")</f>
        <v/>
      </c>
      <c r="O326" s="28">
        <f>IFERROR(INDEX(MgAmenDegI,MATCH(SUBSTITUTE($H326,"*","-"),MgAmenClave,0)),"No aplica")</f>
        <v/>
      </c>
      <c r="P326" s="28">
        <f>IFERROR(INDEX(MgAmenDegC,MATCH(SUBSTITUTE($H326,"*","-"),MgAmenClave,0)),"No aplica")</f>
        <v/>
      </c>
      <c r="Q326" s="29">
        <f>IFERROR(VLOOKUP(K326,MgValor,2,0)*VLOOKUP(N326,MgDeg,2,0),0)</f>
        <v/>
      </c>
      <c r="R326" s="29">
        <f>IFERROR(VLOOKUP(L326,MgValor,2,0)*VLOOKUP(O326,MgDeg,2,0),0)</f>
        <v/>
      </c>
      <c r="S326" s="29">
        <f>IFERROR(VLOOKUP(M326,MgValor,2,0)*VLOOKUP(P326,MgDeg,2,0),0)</f>
        <v/>
      </c>
      <c r="T326" s="30">
        <f>MAX(Q326:S326)</f>
        <v/>
      </c>
      <c r="U326" s="28">
        <f>IFERROR(LOOKUP(T326,{0;0.5;1.5;3;4.5},{"Despreciable";"Bajo";"Medio";"Alto";"Muy alto"}),"")</f>
        <v/>
      </c>
      <c r="V326" s="13">
        <f>IFERROR(INDEX(MgAmenFrec,MATCH(SUBSTITUTE($H326,"*","-"),MgAmenClave,0)),"")</f>
        <v/>
      </c>
      <c r="W326" s="28">
        <f>IFERROR(LOOKUP(X326,{0;0.01;0.1;1;10;100},{"Muy baja";"Muy baja";"Baja";"Media";"Alta";"Muy alta"}),"")</f>
        <v/>
      </c>
      <c r="X326" s="31">
        <f>IFERROR(VLOOKUP(V326,MgFrec,2,0),0)</f>
        <v/>
      </c>
      <c r="Y326" s="30">
        <f>T326*X326</f>
        <v/>
      </c>
      <c r="Z326" s="28">
        <f>IFERROR(LOOKUP(Y326,{0;0.5;5;25},{"Bajo";"Medio";"Alto";"Crítico"}),"")</f>
        <v/>
      </c>
      <c r="AA326" s="64">
        <f>IF(T326&gt;=3,IF(X326&gt;=1,"Zona 1 — Crítica: impacto alto y ocurre al menos una vez al año","Zona 4 — Catastrófica poco probable: impacto alto pero excepcional"),IF(AND(T326&lt;1.5,X326&lt;1),"Zona 3 — Asumible: impacto bajo y muy poco frecuente","Zona 2 — Atención: riesgo intermedio"))</f>
        <v/>
      </c>
      <c r="AB326" s="64">
        <f>IFERROR(INDEX(MgAmenCtrl,MATCH(SUBSTITUTE($H326,"*","-"),MgAmenClave,0)),"")</f>
        <v/>
      </c>
      <c r="AC326" s="20" t="n"/>
      <c r="AD326" s="31">
        <f>IFERROR($X326*(1-IF($AC326="",$AL326,VLOOKUP($AC326,MgMad,2,0))),"")</f>
        <v/>
      </c>
      <c r="AE326" s="28">
        <f>IFERROR(LOOKUP(AD326,{0;0.01;0.1;1;10;100},{"Muy baja";"Muy baja";"Baja";"Media";"Alta";"Muy alta"}),"")</f>
        <v/>
      </c>
      <c r="AF326" s="30">
        <f>T326*AD326</f>
        <v/>
      </c>
      <c r="AG326" s="28">
        <f>IFERROR(LOOKUP(AF326,{0;0.5;5;25},{"Bajo";"Medio";"Alto";"Crítico"}),"")</f>
        <v/>
      </c>
      <c r="AH326" s="28">
        <f>IF(AG326="","",IF(OR(AG326="Crítico",AG326="Alto"),"Mitigar",IF(AG326="Medio","Mitigar","Aceptar y monitorear")))</f>
        <v/>
      </c>
      <c r="AI326" s="21" t="n"/>
      <c r="AJ326" s="21" t="n"/>
      <c r="AK326" s="20" t="n"/>
      <c r="AL326" s="77">
        <f>IFERROR(INDEX(MgAmenEfic,MATCH(SUBSTITUTE($H326,"*","-"),MgAmenClave,0)),0)</f>
        <v/>
      </c>
    </row>
    <row r="327" hidden="1" ht="60" customHeight="1" s="54">
      <c r="B327" s="59" t="inlineStr">
        <is>
          <t>R-0322</t>
        </is>
      </c>
      <c r="C327" s="59" t="inlineStr">
        <is>
          <t>DO-07</t>
        </is>
      </c>
      <c r="D327" s="64">
        <f>IFERROR(INDEX(MgNombre,MATCH($C327,MgActId,0)),"")</f>
        <v/>
      </c>
      <c r="E327" s="64">
        <f>IFERROR(INDEX(MgProceso,MATCH($C327,MgActId,0)),"")</f>
        <v/>
      </c>
      <c r="F327" s="64">
        <f>IFERROR(INDEX(MgTipo,MATCH($C327,MgActId,0)),"")</f>
        <v/>
      </c>
      <c r="G327" s="64">
        <f>IFERROR(INDEX(MgSubtipo,MATCH($C327,MgActId,0)),"")</f>
        <v/>
      </c>
      <c r="H327" s="59" t="inlineStr">
        <is>
          <t>A.9</t>
        </is>
      </c>
      <c r="I327" s="64">
        <f>IFERROR(INDEX(MgAmenNombre,MATCH(SUBSTITUTE($H327,"*","-"),MgAmenClave,0)),"")</f>
        <v/>
      </c>
      <c r="J327" s="28">
        <f>IFERROR(INDEX(MgAmenGrupo,MATCH(SUBSTITUTE($H327,"*","-"),MgAmenClave,0)),"")</f>
        <v/>
      </c>
      <c r="K327" s="64">
        <f>IFERROR(INDEX('1. Matriz de Activos'!$Q$6:$Q$239,MATCH($C327,MgActId,0)),"")</f>
        <v/>
      </c>
      <c r="L327" s="64">
        <f>IFERROR(INDEX('1. Matriz de Activos'!$R$6:$R$239,MATCH($C327,MgActId,0)),"")</f>
        <v/>
      </c>
      <c r="M327" s="64">
        <f>IFERROR(INDEX('1. Matriz de Activos'!$S$6:$S$239,MATCH($C327,MgActId,0)),"")</f>
        <v/>
      </c>
      <c r="N327" s="28">
        <f>IFERROR(INDEX(MgAmenDegD,MATCH(SUBSTITUTE($H327,"*","-"),MgAmenClave,0)),"No aplica")</f>
        <v/>
      </c>
      <c r="O327" s="28">
        <f>IFERROR(INDEX(MgAmenDegI,MATCH(SUBSTITUTE($H327,"*","-"),MgAmenClave,0)),"No aplica")</f>
        <v/>
      </c>
      <c r="P327" s="28">
        <f>IFERROR(INDEX(MgAmenDegC,MATCH(SUBSTITUTE($H327,"*","-"),MgAmenClave,0)),"No aplica")</f>
        <v/>
      </c>
      <c r="Q327" s="29">
        <f>IFERROR(VLOOKUP(K327,MgValor,2,0)*VLOOKUP(N327,MgDeg,2,0),0)</f>
        <v/>
      </c>
      <c r="R327" s="29">
        <f>IFERROR(VLOOKUP(L327,MgValor,2,0)*VLOOKUP(O327,MgDeg,2,0),0)</f>
        <v/>
      </c>
      <c r="S327" s="29">
        <f>IFERROR(VLOOKUP(M327,MgValor,2,0)*VLOOKUP(P327,MgDeg,2,0),0)</f>
        <v/>
      </c>
      <c r="T327" s="30">
        <f>MAX(Q327:S327)</f>
        <v/>
      </c>
      <c r="U327" s="28">
        <f>IFERROR(LOOKUP(T327,{0;0.5;1.5;3;4.5},{"Despreciable";"Bajo";"Medio";"Alto";"Muy alto"}),"")</f>
        <v/>
      </c>
      <c r="V327" s="13">
        <f>IFERROR(INDEX(MgAmenFrec,MATCH(SUBSTITUTE($H327,"*","-"),MgAmenClave,0)),"")</f>
        <v/>
      </c>
      <c r="W327" s="28">
        <f>IFERROR(LOOKUP(X327,{0;0.01;0.1;1;10;100},{"Muy baja";"Muy baja";"Baja";"Media";"Alta";"Muy alta"}),"")</f>
        <v/>
      </c>
      <c r="X327" s="31">
        <f>IFERROR(VLOOKUP(V327,MgFrec,2,0),0)</f>
        <v/>
      </c>
      <c r="Y327" s="30">
        <f>T327*X327</f>
        <v/>
      </c>
      <c r="Z327" s="28">
        <f>IFERROR(LOOKUP(Y327,{0;0.5;5;25},{"Bajo";"Medio";"Alto";"Crítico"}),"")</f>
        <v/>
      </c>
      <c r="AA327" s="64">
        <f>IF(T327&gt;=3,IF(X327&gt;=1,"Zona 1 — Crítica: impacto alto y ocurre al menos una vez al año","Zona 4 — Catastrófica poco probable: impacto alto pero excepcional"),IF(AND(T327&lt;1.5,X327&lt;1),"Zona 3 — Asumible: impacto bajo y muy poco frecuente","Zona 2 — Atención: riesgo intermedio"))</f>
        <v/>
      </c>
      <c r="AB327" s="64">
        <f>IFERROR(INDEX(MgAmenCtrl,MATCH(SUBSTITUTE($H327,"*","-"),MgAmenClave,0)),"")</f>
        <v/>
      </c>
      <c r="AC327" s="20" t="n"/>
      <c r="AD327" s="31">
        <f>IFERROR($X327*(1-IF($AC327="",$AL327,VLOOKUP($AC327,MgMad,2,0))),"")</f>
        <v/>
      </c>
      <c r="AE327" s="28">
        <f>IFERROR(LOOKUP(AD327,{0;0.01;0.1;1;10;100},{"Muy baja";"Muy baja";"Baja";"Media";"Alta";"Muy alta"}),"")</f>
        <v/>
      </c>
      <c r="AF327" s="30">
        <f>T327*AD327</f>
        <v/>
      </c>
      <c r="AG327" s="28">
        <f>IFERROR(LOOKUP(AF327,{0;0.5;5;25},{"Bajo";"Medio";"Alto";"Crítico"}),"")</f>
        <v/>
      </c>
      <c r="AH327" s="28">
        <f>IF(AG327="","",IF(OR(AG327="Crítico",AG327="Alto"),"Mitigar",IF(AG327="Medio","Mitigar","Aceptar y monitorear")))</f>
        <v/>
      </c>
      <c r="AI327" s="21" t="n"/>
      <c r="AJ327" s="21" t="n"/>
      <c r="AK327" s="20" t="n"/>
      <c r="AL327" s="77">
        <f>IFERROR(INDEX(MgAmenEfic,MATCH(SUBSTITUTE($H327,"*","-"),MgAmenClave,0)),0)</f>
        <v/>
      </c>
    </row>
    <row r="328" hidden="1" ht="45" customHeight="1" s="54">
      <c r="B328" s="59" t="inlineStr">
        <is>
          <t>R-0323</t>
        </is>
      </c>
      <c r="C328" s="59" t="inlineStr">
        <is>
          <t>DO-07</t>
        </is>
      </c>
      <c r="D328" s="64">
        <f>IFERROR(INDEX(MgNombre,MATCH($C328,MgActId,0)),"")</f>
        <v/>
      </c>
      <c r="E328" s="64">
        <f>IFERROR(INDEX(MgProceso,MATCH($C328,MgActId,0)),"")</f>
        <v/>
      </c>
      <c r="F328" s="64">
        <f>IFERROR(INDEX(MgTipo,MATCH($C328,MgActId,0)),"")</f>
        <v/>
      </c>
      <c r="G328" s="64">
        <f>IFERROR(INDEX(MgSubtipo,MATCH($C328,MgActId,0)),"")</f>
        <v/>
      </c>
      <c r="H328" s="59" t="inlineStr">
        <is>
          <t>A.10</t>
        </is>
      </c>
      <c r="I328" s="64">
        <f>IFERROR(INDEX(MgAmenNombre,MATCH(SUBSTITUTE($H328,"*","-"),MgAmenClave,0)),"")</f>
        <v/>
      </c>
      <c r="J328" s="28">
        <f>IFERROR(INDEX(MgAmenGrupo,MATCH(SUBSTITUTE($H328,"*","-"),MgAmenClave,0)),"")</f>
        <v/>
      </c>
      <c r="K328" s="64">
        <f>IFERROR(INDEX('1. Matriz de Activos'!$Q$6:$Q$239,MATCH($C328,MgActId,0)),"")</f>
        <v/>
      </c>
      <c r="L328" s="64">
        <f>IFERROR(INDEX('1. Matriz de Activos'!$R$6:$R$239,MATCH($C328,MgActId,0)),"")</f>
        <v/>
      </c>
      <c r="M328" s="64">
        <f>IFERROR(INDEX('1. Matriz de Activos'!$S$6:$S$239,MATCH($C328,MgActId,0)),"")</f>
        <v/>
      </c>
      <c r="N328" s="28">
        <f>IFERROR(INDEX(MgAmenDegD,MATCH(SUBSTITUTE($H328,"*","-"),MgAmenClave,0)),"No aplica")</f>
        <v/>
      </c>
      <c r="O328" s="28">
        <f>IFERROR(INDEX(MgAmenDegI,MATCH(SUBSTITUTE($H328,"*","-"),MgAmenClave,0)),"No aplica")</f>
        <v/>
      </c>
      <c r="P328" s="28">
        <f>IFERROR(INDEX(MgAmenDegC,MATCH(SUBSTITUTE($H328,"*","-"),MgAmenClave,0)),"No aplica")</f>
        <v/>
      </c>
      <c r="Q328" s="29">
        <f>IFERROR(VLOOKUP(K328,MgValor,2,0)*VLOOKUP(N328,MgDeg,2,0),0)</f>
        <v/>
      </c>
      <c r="R328" s="29">
        <f>IFERROR(VLOOKUP(L328,MgValor,2,0)*VLOOKUP(O328,MgDeg,2,0),0)</f>
        <v/>
      </c>
      <c r="S328" s="29">
        <f>IFERROR(VLOOKUP(M328,MgValor,2,0)*VLOOKUP(P328,MgDeg,2,0),0)</f>
        <v/>
      </c>
      <c r="T328" s="30">
        <f>MAX(Q328:S328)</f>
        <v/>
      </c>
      <c r="U328" s="28">
        <f>IFERROR(LOOKUP(T328,{0;0.5;1.5;3;4.5},{"Despreciable";"Bajo";"Medio";"Alto";"Muy alto"}),"")</f>
        <v/>
      </c>
      <c r="V328" s="13">
        <f>IFERROR(INDEX(MgAmenFrec,MATCH(SUBSTITUTE($H328,"*","-"),MgAmenClave,0)),"")</f>
        <v/>
      </c>
      <c r="W328" s="28">
        <f>IFERROR(LOOKUP(X328,{0;0.01;0.1;1;10;100},{"Muy baja";"Muy baja";"Baja";"Media";"Alta";"Muy alta"}),"")</f>
        <v/>
      </c>
      <c r="X328" s="31">
        <f>IFERROR(VLOOKUP(V328,MgFrec,2,0),0)</f>
        <v/>
      </c>
      <c r="Y328" s="30">
        <f>T328*X328</f>
        <v/>
      </c>
      <c r="Z328" s="28">
        <f>IFERROR(LOOKUP(Y328,{0;0.5;5;25},{"Bajo";"Medio";"Alto";"Crítico"}),"")</f>
        <v/>
      </c>
      <c r="AA328" s="64">
        <f>IF(T328&gt;=3,IF(X328&gt;=1,"Zona 1 — Crítica: impacto alto y ocurre al menos una vez al año","Zona 4 — Catastrófica poco probable: impacto alto pero excepcional"),IF(AND(T328&lt;1.5,X328&lt;1),"Zona 3 — Asumible: impacto bajo y muy poco frecuente","Zona 2 — Atención: riesgo intermedio"))</f>
        <v/>
      </c>
      <c r="AB328" s="64">
        <f>IFERROR(INDEX(MgAmenCtrl,MATCH(SUBSTITUTE($H328,"*","-"),MgAmenClave,0)),"")</f>
        <v/>
      </c>
      <c r="AC328" s="20" t="n"/>
      <c r="AD328" s="31">
        <f>IFERROR($X328*(1-IF($AC328="",$AL328,VLOOKUP($AC328,MgMad,2,0))),"")</f>
        <v/>
      </c>
      <c r="AE328" s="28">
        <f>IFERROR(LOOKUP(AD328,{0;0.01;0.1;1;10;100},{"Muy baja";"Muy baja";"Baja";"Media";"Alta";"Muy alta"}),"")</f>
        <v/>
      </c>
      <c r="AF328" s="30">
        <f>T328*AD328</f>
        <v/>
      </c>
      <c r="AG328" s="28">
        <f>IFERROR(LOOKUP(AF328,{0;0.5;5;25},{"Bajo";"Medio";"Alto";"Crítico"}),"")</f>
        <v/>
      </c>
      <c r="AH328" s="28">
        <f>IF(AG328="","",IF(OR(AG328="Crítico",AG328="Alto"),"Mitigar",IF(AG328="Medio","Mitigar","Aceptar y monitorear")))</f>
        <v/>
      </c>
      <c r="AI328" s="21" t="n"/>
      <c r="AJ328" s="21" t="n"/>
      <c r="AK328" s="20" t="n"/>
      <c r="AL328" s="77">
        <f>IFERROR(INDEX(MgAmenEfic,MATCH(SUBSTITUTE($H328,"*","-"),MgAmenClave,0)),0)</f>
        <v/>
      </c>
    </row>
    <row r="329" hidden="1" ht="120" customHeight="1" s="54">
      <c r="B329" s="59" t="inlineStr">
        <is>
          <t>R-0324</t>
        </is>
      </c>
      <c r="C329" s="59" t="inlineStr">
        <is>
          <t>DO-07</t>
        </is>
      </c>
      <c r="D329" s="64">
        <f>IFERROR(INDEX(MgNombre,MATCH($C329,MgActId,0)),"")</f>
        <v/>
      </c>
      <c r="E329" s="64">
        <f>IFERROR(INDEX(MgProceso,MATCH($C329,MgActId,0)),"")</f>
        <v/>
      </c>
      <c r="F329" s="64">
        <f>IFERROR(INDEX(MgTipo,MATCH($C329,MgActId,0)),"")</f>
        <v/>
      </c>
      <c r="G329" s="64">
        <f>IFERROR(INDEX(MgSubtipo,MATCH($C329,MgActId,0)),"")</f>
        <v/>
      </c>
      <c r="H329" s="59" t="inlineStr">
        <is>
          <t>A.11</t>
        </is>
      </c>
      <c r="I329" s="64">
        <f>IFERROR(INDEX(MgAmenNombre,MATCH(SUBSTITUTE($H329,"*","-"),MgAmenClave,0)),"")</f>
        <v/>
      </c>
      <c r="J329" s="28">
        <f>IFERROR(INDEX(MgAmenGrupo,MATCH(SUBSTITUTE($H329,"*","-"),MgAmenClave,0)),"")</f>
        <v/>
      </c>
      <c r="K329" s="64">
        <f>IFERROR(INDEX('1. Matriz de Activos'!$Q$6:$Q$239,MATCH($C329,MgActId,0)),"")</f>
        <v/>
      </c>
      <c r="L329" s="64">
        <f>IFERROR(INDEX('1. Matriz de Activos'!$R$6:$R$239,MATCH($C329,MgActId,0)),"")</f>
        <v/>
      </c>
      <c r="M329" s="64">
        <f>IFERROR(INDEX('1. Matriz de Activos'!$S$6:$S$239,MATCH($C329,MgActId,0)),"")</f>
        <v/>
      </c>
      <c r="N329" s="28">
        <f>IFERROR(INDEX(MgAmenDegD,MATCH(SUBSTITUTE($H329,"*","-"),MgAmenClave,0)),"No aplica")</f>
        <v/>
      </c>
      <c r="O329" s="28">
        <f>IFERROR(INDEX(MgAmenDegI,MATCH(SUBSTITUTE($H329,"*","-"),MgAmenClave,0)),"No aplica")</f>
        <v/>
      </c>
      <c r="P329" s="28">
        <f>IFERROR(INDEX(MgAmenDegC,MATCH(SUBSTITUTE($H329,"*","-"),MgAmenClave,0)),"No aplica")</f>
        <v/>
      </c>
      <c r="Q329" s="29">
        <f>IFERROR(VLOOKUP(K329,MgValor,2,0)*VLOOKUP(N329,MgDeg,2,0),0)</f>
        <v/>
      </c>
      <c r="R329" s="29">
        <f>IFERROR(VLOOKUP(L329,MgValor,2,0)*VLOOKUP(O329,MgDeg,2,0),0)</f>
        <v/>
      </c>
      <c r="S329" s="29">
        <f>IFERROR(VLOOKUP(M329,MgValor,2,0)*VLOOKUP(P329,MgDeg,2,0),0)</f>
        <v/>
      </c>
      <c r="T329" s="30">
        <f>MAX(Q329:S329)</f>
        <v/>
      </c>
      <c r="U329" s="28">
        <f>IFERROR(LOOKUP(T329,{0;0.5;1.5;3;4.5},{"Despreciable";"Bajo";"Medio";"Alto";"Muy alto"}),"")</f>
        <v/>
      </c>
      <c r="V329" s="13">
        <f>IFERROR(INDEX(MgAmenFrec,MATCH(SUBSTITUTE($H329,"*","-"),MgAmenClave,0)),"")</f>
        <v/>
      </c>
      <c r="W329" s="28">
        <f>IFERROR(LOOKUP(X329,{0;0.01;0.1;1;10;100},{"Muy baja";"Muy baja";"Baja";"Media";"Alta";"Muy alta"}),"")</f>
        <v/>
      </c>
      <c r="X329" s="31">
        <f>IFERROR(VLOOKUP(V329,MgFrec,2,0),0)</f>
        <v/>
      </c>
      <c r="Y329" s="30">
        <f>T329*X329</f>
        <v/>
      </c>
      <c r="Z329" s="28">
        <f>IFERROR(LOOKUP(Y329,{0;0.5;5;25},{"Bajo";"Medio";"Alto";"Crítico"}),"")</f>
        <v/>
      </c>
      <c r="AA329" s="64">
        <f>IF(T329&gt;=3,IF(X329&gt;=1,"Zona 1 — Crítica: impacto alto y ocurre al menos una vez al año","Zona 4 — Catastrófica poco probable: impacto alto pero excepcional"),IF(AND(T329&lt;1.5,X329&lt;1),"Zona 3 — Asumible: impacto bajo y muy poco frecuente","Zona 2 — Atención: riesgo intermedio"))</f>
        <v/>
      </c>
      <c r="AB329" s="64">
        <f>IFERROR(INDEX(MgAmenCtrl,MATCH(SUBSTITUTE($H329,"*","-"),MgAmenClave,0)),"")</f>
        <v/>
      </c>
      <c r="AC329" s="20" t="n"/>
      <c r="AD329" s="31">
        <f>IFERROR($X329*(1-IF($AC329="",$AL329,VLOOKUP($AC329,MgMad,2,0))),"")</f>
        <v/>
      </c>
      <c r="AE329" s="28">
        <f>IFERROR(LOOKUP(AD329,{0;0.01;0.1;1;10;100},{"Muy baja";"Muy baja";"Baja";"Media";"Alta";"Muy alta"}),"")</f>
        <v/>
      </c>
      <c r="AF329" s="30">
        <f>T329*AD329</f>
        <v/>
      </c>
      <c r="AG329" s="28">
        <f>IFERROR(LOOKUP(AF329,{0;0.5;5;25},{"Bajo";"Medio";"Alto";"Crítico"}),"")</f>
        <v/>
      </c>
      <c r="AH329" s="28">
        <f>IF(AG329="","",IF(OR(AG329="Crítico",AG329="Alto"),"Mitigar",IF(AG329="Medio","Mitigar","Aceptar y monitorear")))</f>
        <v/>
      </c>
      <c r="AI329" s="21" t="n"/>
      <c r="AJ329" s="21" t="n"/>
      <c r="AK329" s="20" t="n"/>
      <c r="AL329" s="77">
        <f>IFERROR(INDEX(MgAmenEfic,MATCH(SUBSTITUTE($H329,"*","-"),MgAmenClave,0)),0)</f>
        <v/>
      </c>
    </row>
    <row r="330" hidden="1" ht="45" customHeight="1" s="54">
      <c r="B330" s="59" t="inlineStr">
        <is>
          <t>R-0325</t>
        </is>
      </c>
      <c r="C330" s="59" t="inlineStr">
        <is>
          <t>DO-07</t>
        </is>
      </c>
      <c r="D330" s="64">
        <f>IFERROR(INDEX(MgNombre,MATCH($C330,MgActId,0)),"")</f>
        <v/>
      </c>
      <c r="E330" s="64">
        <f>IFERROR(INDEX(MgProceso,MATCH($C330,MgActId,0)),"")</f>
        <v/>
      </c>
      <c r="F330" s="64">
        <f>IFERROR(INDEX(MgTipo,MATCH($C330,MgActId,0)),"")</f>
        <v/>
      </c>
      <c r="G330" s="64">
        <f>IFERROR(INDEX(MgSubtipo,MATCH($C330,MgActId,0)),"")</f>
        <v/>
      </c>
      <c r="H330" s="59" t="inlineStr">
        <is>
          <t>A.12</t>
        </is>
      </c>
      <c r="I330" s="64">
        <f>IFERROR(INDEX(MgAmenNombre,MATCH(SUBSTITUTE($H330,"*","-"),MgAmenClave,0)),"")</f>
        <v/>
      </c>
      <c r="J330" s="28">
        <f>IFERROR(INDEX(MgAmenGrupo,MATCH(SUBSTITUTE($H330,"*","-"),MgAmenClave,0)),"")</f>
        <v/>
      </c>
      <c r="K330" s="64">
        <f>IFERROR(INDEX('1. Matriz de Activos'!$Q$6:$Q$239,MATCH($C330,MgActId,0)),"")</f>
        <v/>
      </c>
      <c r="L330" s="64">
        <f>IFERROR(INDEX('1. Matriz de Activos'!$R$6:$R$239,MATCH($C330,MgActId,0)),"")</f>
        <v/>
      </c>
      <c r="M330" s="64">
        <f>IFERROR(INDEX('1. Matriz de Activos'!$S$6:$S$239,MATCH($C330,MgActId,0)),"")</f>
        <v/>
      </c>
      <c r="N330" s="28">
        <f>IFERROR(INDEX(MgAmenDegD,MATCH(SUBSTITUTE($H330,"*","-"),MgAmenClave,0)),"No aplica")</f>
        <v/>
      </c>
      <c r="O330" s="28">
        <f>IFERROR(INDEX(MgAmenDegI,MATCH(SUBSTITUTE($H330,"*","-"),MgAmenClave,0)),"No aplica")</f>
        <v/>
      </c>
      <c r="P330" s="28">
        <f>IFERROR(INDEX(MgAmenDegC,MATCH(SUBSTITUTE($H330,"*","-"),MgAmenClave,0)),"No aplica")</f>
        <v/>
      </c>
      <c r="Q330" s="29">
        <f>IFERROR(VLOOKUP(K330,MgValor,2,0)*VLOOKUP(N330,MgDeg,2,0),0)</f>
        <v/>
      </c>
      <c r="R330" s="29">
        <f>IFERROR(VLOOKUP(L330,MgValor,2,0)*VLOOKUP(O330,MgDeg,2,0),0)</f>
        <v/>
      </c>
      <c r="S330" s="29">
        <f>IFERROR(VLOOKUP(M330,MgValor,2,0)*VLOOKUP(P330,MgDeg,2,0),0)</f>
        <v/>
      </c>
      <c r="T330" s="30">
        <f>MAX(Q330:S330)</f>
        <v/>
      </c>
      <c r="U330" s="28">
        <f>IFERROR(LOOKUP(T330,{0;0.5;1.5;3;4.5},{"Despreciable";"Bajo";"Medio";"Alto";"Muy alto"}),"")</f>
        <v/>
      </c>
      <c r="V330" s="13">
        <f>IFERROR(INDEX(MgAmenFrec,MATCH(SUBSTITUTE($H330,"*","-"),MgAmenClave,0)),"")</f>
        <v/>
      </c>
      <c r="W330" s="28">
        <f>IFERROR(LOOKUP(X330,{0;0.01;0.1;1;10;100},{"Muy baja";"Muy baja";"Baja";"Media";"Alta";"Muy alta"}),"")</f>
        <v/>
      </c>
      <c r="X330" s="31">
        <f>IFERROR(VLOOKUP(V330,MgFrec,2,0),0)</f>
        <v/>
      </c>
      <c r="Y330" s="30">
        <f>T330*X330</f>
        <v/>
      </c>
      <c r="Z330" s="28">
        <f>IFERROR(LOOKUP(Y330,{0;0.5;5;25},{"Bajo";"Medio";"Alto";"Crítico"}),"")</f>
        <v/>
      </c>
      <c r="AA330" s="64">
        <f>IF(T330&gt;=3,IF(X330&gt;=1,"Zona 1 — Crítica: impacto alto y ocurre al menos una vez al año","Zona 4 — Catastrófica poco probable: impacto alto pero excepcional"),IF(AND(T330&lt;1.5,X330&lt;1),"Zona 3 — Asumible: impacto bajo y muy poco frecuente","Zona 2 — Atención: riesgo intermedio"))</f>
        <v/>
      </c>
      <c r="AB330" s="64">
        <f>IFERROR(INDEX(MgAmenCtrl,MATCH(SUBSTITUTE($H330,"*","-"),MgAmenClave,0)),"")</f>
        <v/>
      </c>
      <c r="AC330" s="20" t="n"/>
      <c r="AD330" s="31">
        <f>IFERROR($X330*(1-IF($AC330="",$AL330,VLOOKUP($AC330,MgMad,2,0))),"")</f>
        <v/>
      </c>
      <c r="AE330" s="28">
        <f>IFERROR(LOOKUP(AD330,{0;0.01;0.1;1;10;100},{"Muy baja";"Muy baja";"Baja";"Media";"Alta";"Muy alta"}),"")</f>
        <v/>
      </c>
      <c r="AF330" s="30">
        <f>T330*AD330</f>
        <v/>
      </c>
      <c r="AG330" s="28">
        <f>IFERROR(LOOKUP(AF330,{0;0.5;5;25},{"Bajo";"Medio";"Alto";"Crítico"}),"")</f>
        <v/>
      </c>
      <c r="AH330" s="28">
        <f>IF(AG330="","",IF(OR(AG330="Crítico",AG330="Alto"),"Mitigar",IF(AG330="Medio","Mitigar","Aceptar y monitorear")))</f>
        <v/>
      </c>
      <c r="AI330" s="21" t="n"/>
      <c r="AJ330" s="21" t="n"/>
      <c r="AK330" s="20" t="n"/>
      <c r="AL330" s="77">
        <f>IFERROR(INDEX(MgAmenEfic,MATCH(SUBSTITUTE($H330,"*","-"),MgAmenClave,0)),0)</f>
        <v/>
      </c>
    </row>
    <row r="331" hidden="1" ht="60" customHeight="1" s="54">
      <c r="B331" s="59" t="inlineStr">
        <is>
          <t>R-0326</t>
        </is>
      </c>
      <c r="C331" s="59" t="inlineStr">
        <is>
          <t>DO-07</t>
        </is>
      </c>
      <c r="D331" s="64">
        <f>IFERROR(INDEX(MgNombre,MATCH($C331,MgActId,0)),"")</f>
        <v/>
      </c>
      <c r="E331" s="64">
        <f>IFERROR(INDEX(MgProceso,MATCH($C331,MgActId,0)),"")</f>
        <v/>
      </c>
      <c r="F331" s="64">
        <f>IFERROR(INDEX(MgTipo,MATCH($C331,MgActId,0)),"")</f>
        <v/>
      </c>
      <c r="G331" s="64">
        <f>IFERROR(INDEX(MgSubtipo,MATCH($C331,MgActId,0)),"")</f>
        <v/>
      </c>
      <c r="H331" s="59" t="inlineStr">
        <is>
          <t>A.14</t>
        </is>
      </c>
      <c r="I331" s="64">
        <f>IFERROR(INDEX(MgAmenNombre,MATCH(SUBSTITUTE($H331,"*","-"),MgAmenClave,0)),"")</f>
        <v/>
      </c>
      <c r="J331" s="28">
        <f>IFERROR(INDEX(MgAmenGrupo,MATCH(SUBSTITUTE($H331,"*","-"),MgAmenClave,0)),"")</f>
        <v/>
      </c>
      <c r="K331" s="64">
        <f>IFERROR(INDEX('1. Matriz de Activos'!$Q$6:$Q$239,MATCH($C331,MgActId,0)),"")</f>
        <v/>
      </c>
      <c r="L331" s="64">
        <f>IFERROR(INDEX('1. Matriz de Activos'!$R$6:$R$239,MATCH($C331,MgActId,0)),"")</f>
        <v/>
      </c>
      <c r="M331" s="64">
        <f>IFERROR(INDEX('1. Matriz de Activos'!$S$6:$S$239,MATCH($C331,MgActId,0)),"")</f>
        <v/>
      </c>
      <c r="N331" s="28">
        <f>IFERROR(INDEX(MgAmenDegD,MATCH(SUBSTITUTE($H331,"*","-"),MgAmenClave,0)),"No aplica")</f>
        <v/>
      </c>
      <c r="O331" s="28">
        <f>IFERROR(INDEX(MgAmenDegI,MATCH(SUBSTITUTE($H331,"*","-"),MgAmenClave,0)),"No aplica")</f>
        <v/>
      </c>
      <c r="P331" s="28">
        <f>IFERROR(INDEX(MgAmenDegC,MATCH(SUBSTITUTE($H331,"*","-"),MgAmenClave,0)),"No aplica")</f>
        <v/>
      </c>
      <c r="Q331" s="29">
        <f>IFERROR(VLOOKUP(K331,MgValor,2,0)*VLOOKUP(N331,MgDeg,2,0),0)</f>
        <v/>
      </c>
      <c r="R331" s="29">
        <f>IFERROR(VLOOKUP(L331,MgValor,2,0)*VLOOKUP(O331,MgDeg,2,0),0)</f>
        <v/>
      </c>
      <c r="S331" s="29">
        <f>IFERROR(VLOOKUP(M331,MgValor,2,0)*VLOOKUP(P331,MgDeg,2,0),0)</f>
        <v/>
      </c>
      <c r="T331" s="30">
        <f>MAX(Q331:S331)</f>
        <v/>
      </c>
      <c r="U331" s="28">
        <f>IFERROR(LOOKUP(T331,{0;0.5;1.5;3;4.5},{"Despreciable";"Bajo";"Medio";"Alto";"Muy alto"}),"")</f>
        <v/>
      </c>
      <c r="V331" s="13">
        <f>IFERROR(INDEX(MgAmenFrec,MATCH(SUBSTITUTE($H331,"*","-"),MgAmenClave,0)),"")</f>
        <v/>
      </c>
      <c r="W331" s="28">
        <f>IFERROR(LOOKUP(X331,{0;0.01;0.1;1;10;100},{"Muy baja";"Muy baja";"Baja";"Media";"Alta";"Muy alta"}),"")</f>
        <v/>
      </c>
      <c r="X331" s="31">
        <f>IFERROR(VLOOKUP(V331,MgFrec,2,0),0)</f>
        <v/>
      </c>
      <c r="Y331" s="30">
        <f>T331*X331</f>
        <v/>
      </c>
      <c r="Z331" s="28">
        <f>IFERROR(LOOKUP(Y331,{0;0.5;5;25},{"Bajo";"Medio";"Alto";"Crítico"}),"")</f>
        <v/>
      </c>
      <c r="AA331" s="64">
        <f>IF(T331&gt;=3,IF(X331&gt;=1,"Zona 1 — Crítica: impacto alto y ocurre al menos una vez al año","Zona 4 — Catastrófica poco probable: impacto alto pero excepcional"),IF(AND(T331&lt;1.5,X331&lt;1),"Zona 3 — Asumible: impacto bajo y muy poco frecuente","Zona 2 — Atención: riesgo intermedio"))</f>
        <v/>
      </c>
      <c r="AB331" s="64">
        <f>IFERROR(INDEX(MgAmenCtrl,MATCH(SUBSTITUTE($H331,"*","-"),MgAmenClave,0)),"")</f>
        <v/>
      </c>
      <c r="AC331" s="20" t="n"/>
      <c r="AD331" s="31">
        <f>IFERROR($X331*(1-IF($AC331="",$AL331,VLOOKUP($AC331,MgMad,2,0))),"")</f>
        <v/>
      </c>
      <c r="AE331" s="28">
        <f>IFERROR(LOOKUP(AD331,{0;0.01;0.1;1;10;100},{"Muy baja";"Muy baja";"Baja";"Media";"Alta";"Muy alta"}),"")</f>
        <v/>
      </c>
      <c r="AF331" s="30">
        <f>T331*AD331</f>
        <v/>
      </c>
      <c r="AG331" s="28">
        <f>IFERROR(LOOKUP(AF331,{0;0.5;5;25},{"Bajo";"Medio";"Alto";"Crítico"}),"")</f>
        <v/>
      </c>
      <c r="AH331" s="28">
        <f>IF(AG331="","",IF(OR(AG331="Crítico",AG331="Alto"),"Mitigar",IF(AG331="Medio","Mitigar","Aceptar y monitorear")))</f>
        <v/>
      </c>
      <c r="AI331" s="21" t="n"/>
      <c r="AJ331" s="21" t="n"/>
      <c r="AK331" s="20" t="n"/>
      <c r="AL331" s="77">
        <f>IFERROR(INDEX(MgAmenEfic,MATCH(SUBSTITUTE($H331,"*","-"),MgAmenClave,0)),0)</f>
        <v/>
      </c>
    </row>
    <row r="332" hidden="1" ht="60" customHeight="1" s="54">
      <c r="B332" s="59" t="inlineStr">
        <is>
          <t>R-0327</t>
        </is>
      </c>
      <c r="C332" s="59" t="inlineStr">
        <is>
          <t>DO-07</t>
        </is>
      </c>
      <c r="D332" s="64">
        <f>IFERROR(INDEX(MgNombre,MATCH($C332,MgActId,0)),"")</f>
        <v/>
      </c>
      <c r="E332" s="64">
        <f>IFERROR(INDEX(MgProceso,MATCH($C332,MgActId,0)),"")</f>
        <v/>
      </c>
      <c r="F332" s="64">
        <f>IFERROR(INDEX(MgTipo,MATCH($C332,MgActId,0)),"")</f>
        <v/>
      </c>
      <c r="G332" s="64">
        <f>IFERROR(INDEX(MgSubtipo,MATCH($C332,MgActId,0)),"")</f>
        <v/>
      </c>
      <c r="H332" s="59" t="inlineStr">
        <is>
          <t>A.15</t>
        </is>
      </c>
      <c r="I332" s="64">
        <f>IFERROR(INDEX(MgAmenNombre,MATCH(SUBSTITUTE($H332,"*","-"),MgAmenClave,0)),"")</f>
        <v/>
      </c>
      <c r="J332" s="28">
        <f>IFERROR(INDEX(MgAmenGrupo,MATCH(SUBSTITUTE($H332,"*","-"),MgAmenClave,0)),"")</f>
        <v/>
      </c>
      <c r="K332" s="64">
        <f>IFERROR(INDEX('1. Matriz de Activos'!$Q$6:$Q$239,MATCH($C332,MgActId,0)),"")</f>
        <v/>
      </c>
      <c r="L332" s="64">
        <f>IFERROR(INDEX('1. Matriz de Activos'!$R$6:$R$239,MATCH($C332,MgActId,0)),"")</f>
        <v/>
      </c>
      <c r="M332" s="64">
        <f>IFERROR(INDEX('1. Matriz de Activos'!$S$6:$S$239,MATCH($C332,MgActId,0)),"")</f>
        <v/>
      </c>
      <c r="N332" s="28">
        <f>IFERROR(INDEX(MgAmenDegD,MATCH(SUBSTITUTE($H332,"*","-"),MgAmenClave,0)),"No aplica")</f>
        <v/>
      </c>
      <c r="O332" s="28">
        <f>IFERROR(INDEX(MgAmenDegI,MATCH(SUBSTITUTE($H332,"*","-"),MgAmenClave,0)),"No aplica")</f>
        <v/>
      </c>
      <c r="P332" s="28">
        <f>IFERROR(INDEX(MgAmenDegC,MATCH(SUBSTITUTE($H332,"*","-"),MgAmenClave,0)),"No aplica")</f>
        <v/>
      </c>
      <c r="Q332" s="29">
        <f>IFERROR(VLOOKUP(K332,MgValor,2,0)*VLOOKUP(N332,MgDeg,2,0),0)</f>
        <v/>
      </c>
      <c r="R332" s="29">
        <f>IFERROR(VLOOKUP(L332,MgValor,2,0)*VLOOKUP(O332,MgDeg,2,0),0)</f>
        <v/>
      </c>
      <c r="S332" s="29">
        <f>IFERROR(VLOOKUP(M332,MgValor,2,0)*VLOOKUP(P332,MgDeg,2,0),0)</f>
        <v/>
      </c>
      <c r="T332" s="30">
        <f>MAX(Q332:S332)</f>
        <v/>
      </c>
      <c r="U332" s="28">
        <f>IFERROR(LOOKUP(T332,{0;0.5;1.5;3;4.5},{"Despreciable";"Bajo";"Medio";"Alto";"Muy alto"}),"")</f>
        <v/>
      </c>
      <c r="V332" s="13">
        <f>IFERROR(INDEX(MgAmenFrec,MATCH(SUBSTITUTE($H332,"*","-"),MgAmenClave,0)),"")</f>
        <v/>
      </c>
      <c r="W332" s="28">
        <f>IFERROR(LOOKUP(X332,{0;0.01;0.1;1;10;100},{"Muy baja";"Muy baja";"Baja";"Media";"Alta";"Muy alta"}),"")</f>
        <v/>
      </c>
      <c r="X332" s="31">
        <f>IFERROR(VLOOKUP(V332,MgFrec,2,0),0)</f>
        <v/>
      </c>
      <c r="Y332" s="30">
        <f>T332*X332</f>
        <v/>
      </c>
      <c r="Z332" s="28">
        <f>IFERROR(LOOKUP(Y332,{0;0.5;5;25},{"Bajo";"Medio";"Alto";"Crítico"}),"")</f>
        <v/>
      </c>
      <c r="AA332" s="64">
        <f>IF(T332&gt;=3,IF(X332&gt;=1,"Zona 1 — Crítica: impacto alto y ocurre al menos una vez al año","Zona 4 — Catastrófica poco probable: impacto alto pero excepcional"),IF(AND(T332&lt;1.5,X332&lt;1),"Zona 3 — Asumible: impacto bajo y muy poco frecuente","Zona 2 — Atención: riesgo intermedio"))</f>
        <v/>
      </c>
      <c r="AB332" s="64">
        <f>IFERROR(INDEX(MgAmenCtrl,MATCH(SUBSTITUTE($H332,"*","-"),MgAmenClave,0)),"")</f>
        <v/>
      </c>
      <c r="AC332" s="20" t="n"/>
      <c r="AD332" s="31">
        <f>IFERROR($X332*(1-IF($AC332="",$AL332,VLOOKUP($AC332,MgMad,2,0))),"")</f>
        <v/>
      </c>
      <c r="AE332" s="28">
        <f>IFERROR(LOOKUP(AD332,{0;0.01;0.1;1;10;100},{"Muy baja";"Muy baja";"Baja";"Media";"Alta";"Muy alta"}),"")</f>
        <v/>
      </c>
      <c r="AF332" s="30">
        <f>T332*AD332</f>
        <v/>
      </c>
      <c r="AG332" s="28">
        <f>IFERROR(LOOKUP(AF332,{0;0.5;5;25},{"Bajo";"Medio";"Alto";"Crítico"}),"")</f>
        <v/>
      </c>
      <c r="AH332" s="28">
        <f>IF(AG332="","",IF(OR(AG332="Crítico",AG332="Alto"),"Mitigar",IF(AG332="Medio","Mitigar","Aceptar y monitorear")))</f>
        <v/>
      </c>
      <c r="AI332" s="21" t="n"/>
      <c r="AJ332" s="21" t="n"/>
      <c r="AK332" s="20" t="n"/>
      <c r="AL332" s="77">
        <f>IFERROR(INDEX(MgAmenEfic,MATCH(SUBSTITUTE($H332,"*","-"),MgAmenClave,0)),0)</f>
        <v/>
      </c>
    </row>
    <row r="333" hidden="1" ht="60" customHeight="1" s="54">
      <c r="B333" s="59" t="inlineStr">
        <is>
          <t>R-0328</t>
        </is>
      </c>
      <c r="C333" s="59" t="inlineStr">
        <is>
          <t>DO-07</t>
        </is>
      </c>
      <c r="D333" s="64">
        <f>IFERROR(INDEX(MgNombre,MATCH($C333,MgActId,0)),"")</f>
        <v/>
      </c>
      <c r="E333" s="64">
        <f>IFERROR(INDEX(MgProceso,MATCH($C333,MgActId,0)),"")</f>
        <v/>
      </c>
      <c r="F333" s="64">
        <f>IFERROR(INDEX(MgTipo,MATCH($C333,MgActId,0)),"")</f>
        <v/>
      </c>
      <c r="G333" s="64">
        <f>IFERROR(INDEX(MgSubtipo,MATCH($C333,MgActId,0)),"")</f>
        <v/>
      </c>
      <c r="H333" s="59" t="inlineStr">
        <is>
          <t>A.18</t>
        </is>
      </c>
      <c r="I333" s="64">
        <f>IFERROR(INDEX(MgAmenNombre,MATCH(SUBSTITUTE($H333,"*","-"),MgAmenClave,0)),"")</f>
        <v/>
      </c>
      <c r="J333" s="28">
        <f>IFERROR(INDEX(MgAmenGrupo,MATCH(SUBSTITUTE($H333,"*","-"),MgAmenClave,0)),"")</f>
        <v/>
      </c>
      <c r="K333" s="64">
        <f>IFERROR(INDEX('1. Matriz de Activos'!$Q$6:$Q$239,MATCH($C333,MgActId,0)),"")</f>
        <v/>
      </c>
      <c r="L333" s="64">
        <f>IFERROR(INDEX('1. Matriz de Activos'!$R$6:$R$239,MATCH($C333,MgActId,0)),"")</f>
        <v/>
      </c>
      <c r="M333" s="64">
        <f>IFERROR(INDEX('1. Matriz de Activos'!$S$6:$S$239,MATCH($C333,MgActId,0)),"")</f>
        <v/>
      </c>
      <c r="N333" s="28">
        <f>IFERROR(INDEX(MgAmenDegD,MATCH(SUBSTITUTE($H333,"*","-"),MgAmenClave,0)),"No aplica")</f>
        <v/>
      </c>
      <c r="O333" s="28">
        <f>IFERROR(INDEX(MgAmenDegI,MATCH(SUBSTITUTE($H333,"*","-"),MgAmenClave,0)),"No aplica")</f>
        <v/>
      </c>
      <c r="P333" s="28">
        <f>IFERROR(INDEX(MgAmenDegC,MATCH(SUBSTITUTE($H333,"*","-"),MgAmenClave,0)),"No aplica")</f>
        <v/>
      </c>
      <c r="Q333" s="29">
        <f>IFERROR(VLOOKUP(K333,MgValor,2,0)*VLOOKUP(N333,MgDeg,2,0),0)</f>
        <v/>
      </c>
      <c r="R333" s="29">
        <f>IFERROR(VLOOKUP(L333,MgValor,2,0)*VLOOKUP(O333,MgDeg,2,0),0)</f>
        <v/>
      </c>
      <c r="S333" s="29">
        <f>IFERROR(VLOOKUP(M333,MgValor,2,0)*VLOOKUP(P333,MgDeg,2,0),0)</f>
        <v/>
      </c>
      <c r="T333" s="30">
        <f>MAX(Q333:S333)</f>
        <v/>
      </c>
      <c r="U333" s="28">
        <f>IFERROR(LOOKUP(T333,{0;0.5;1.5;3;4.5},{"Despreciable";"Bajo";"Medio";"Alto";"Muy alto"}),"")</f>
        <v/>
      </c>
      <c r="V333" s="13">
        <f>IFERROR(INDEX(MgAmenFrec,MATCH(SUBSTITUTE($H333,"*","-"),MgAmenClave,0)),"")</f>
        <v/>
      </c>
      <c r="W333" s="28">
        <f>IFERROR(LOOKUP(X333,{0;0.01;0.1;1;10;100},{"Muy baja";"Muy baja";"Baja";"Media";"Alta";"Muy alta"}),"")</f>
        <v/>
      </c>
      <c r="X333" s="31">
        <f>IFERROR(VLOOKUP(V333,MgFrec,2,0),0)</f>
        <v/>
      </c>
      <c r="Y333" s="30">
        <f>T333*X333</f>
        <v/>
      </c>
      <c r="Z333" s="28">
        <f>IFERROR(LOOKUP(Y333,{0;0.5;5;25},{"Bajo";"Medio";"Alto";"Crítico"}),"")</f>
        <v/>
      </c>
      <c r="AA333" s="64">
        <f>IF(T333&gt;=3,IF(X333&gt;=1,"Zona 1 — Crítica: impacto alto y ocurre al menos una vez al año","Zona 4 — Catastrófica poco probable: impacto alto pero excepcional"),IF(AND(T333&lt;1.5,X333&lt;1),"Zona 3 — Asumible: impacto bajo y muy poco frecuente","Zona 2 — Atención: riesgo intermedio"))</f>
        <v/>
      </c>
      <c r="AB333" s="64">
        <f>IFERROR(INDEX(MgAmenCtrl,MATCH(SUBSTITUTE($H333,"*","-"),MgAmenClave,0)),"")</f>
        <v/>
      </c>
      <c r="AC333" s="20" t="n"/>
      <c r="AD333" s="31">
        <f>IFERROR($X333*(1-IF($AC333="",$AL333,VLOOKUP($AC333,MgMad,2,0))),"")</f>
        <v/>
      </c>
      <c r="AE333" s="28">
        <f>IFERROR(LOOKUP(AD333,{0;0.01;0.1;1;10;100},{"Muy baja";"Muy baja";"Baja";"Media";"Alta";"Muy alta"}),"")</f>
        <v/>
      </c>
      <c r="AF333" s="30">
        <f>T333*AD333</f>
        <v/>
      </c>
      <c r="AG333" s="28">
        <f>IFERROR(LOOKUP(AF333,{0;0.5;5;25},{"Bajo";"Medio";"Alto";"Crítico"}),"")</f>
        <v/>
      </c>
      <c r="AH333" s="28">
        <f>IF(AG333="","",IF(OR(AG333="Crítico",AG333="Alto"),"Mitigar",IF(AG333="Medio","Mitigar","Aceptar y monitorear")))</f>
        <v/>
      </c>
      <c r="AI333" s="21" t="n"/>
      <c r="AJ333" s="21" t="n"/>
      <c r="AK333" s="20" t="n"/>
      <c r="AL333" s="77">
        <f>IFERROR(INDEX(MgAmenEfic,MATCH(SUBSTITUTE($H333,"*","-"),MgAmenClave,0)),0)</f>
        <v/>
      </c>
    </row>
    <row r="334" hidden="1" ht="120" customHeight="1" s="54">
      <c r="B334" s="59" t="inlineStr">
        <is>
          <t>R-0329</t>
        </is>
      </c>
      <c r="C334" s="59" t="inlineStr">
        <is>
          <t>DO-07</t>
        </is>
      </c>
      <c r="D334" s="64">
        <f>IFERROR(INDEX(MgNombre,MATCH($C334,MgActId,0)),"")</f>
        <v/>
      </c>
      <c r="E334" s="64">
        <f>IFERROR(INDEX(MgProceso,MATCH($C334,MgActId,0)),"")</f>
        <v/>
      </c>
      <c r="F334" s="64">
        <f>IFERROR(INDEX(MgTipo,MATCH($C334,MgActId,0)),"")</f>
        <v/>
      </c>
      <c r="G334" s="64">
        <f>IFERROR(INDEX(MgSubtipo,MATCH($C334,MgActId,0)),"")</f>
        <v/>
      </c>
      <c r="H334" s="59" t="inlineStr">
        <is>
          <t>A.19</t>
        </is>
      </c>
      <c r="I334" s="64">
        <f>IFERROR(INDEX(MgAmenNombre,MATCH(SUBSTITUTE($H334,"*","-"),MgAmenClave,0)),"")</f>
        <v/>
      </c>
      <c r="J334" s="28">
        <f>IFERROR(INDEX(MgAmenGrupo,MATCH(SUBSTITUTE($H334,"*","-"),MgAmenClave,0)),"")</f>
        <v/>
      </c>
      <c r="K334" s="64">
        <f>IFERROR(INDEX('1. Matriz de Activos'!$Q$6:$Q$239,MATCH($C334,MgActId,0)),"")</f>
        <v/>
      </c>
      <c r="L334" s="64">
        <f>IFERROR(INDEX('1. Matriz de Activos'!$R$6:$R$239,MATCH($C334,MgActId,0)),"")</f>
        <v/>
      </c>
      <c r="M334" s="64">
        <f>IFERROR(INDEX('1. Matriz de Activos'!$S$6:$S$239,MATCH($C334,MgActId,0)),"")</f>
        <v/>
      </c>
      <c r="N334" s="28">
        <f>IFERROR(INDEX(MgAmenDegD,MATCH(SUBSTITUTE($H334,"*","-"),MgAmenClave,0)),"No aplica")</f>
        <v/>
      </c>
      <c r="O334" s="28">
        <f>IFERROR(INDEX(MgAmenDegI,MATCH(SUBSTITUTE($H334,"*","-"),MgAmenClave,0)),"No aplica")</f>
        <v/>
      </c>
      <c r="P334" s="28">
        <f>IFERROR(INDEX(MgAmenDegC,MATCH(SUBSTITUTE($H334,"*","-"),MgAmenClave,0)),"No aplica")</f>
        <v/>
      </c>
      <c r="Q334" s="29">
        <f>IFERROR(VLOOKUP(K334,MgValor,2,0)*VLOOKUP(N334,MgDeg,2,0),0)</f>
        <v/>
      </c>
      <c r="R334" s="29">
        <f>IFERROR(VLOOKUP(L334,MgValor,2,0)*VLOOKUP(O334,MgDeg,2,0),0)</f>
        <v/>
      </c>
      <c r="S334" s="29">
        <f>IFERROR(VLOOKUP(M334,MgValor,2,0)*VLOOKUP(P334,MgDeg,2,0),0)</f>
        <v/>
      </c>
      <c r="T334" s="30">
        <f>MAX(Q334:S334)</f>
        <v/>
      </c>
      <c r="U334" s="28">
        <f>IFERROR(LOOKUP(T334,{0;0.5;1.5;3;4.5},{"Despreciable";"Bajo";"Medio";"Alto";"Muy alto"}),"")</f>
        <v/>
      </c>
      <c r="V334" s="13">
        <f>IFERROR(INDEX(MgAmenFrec,MATCH(SUBSTITUTE($H334,"*","-"),MgAmenClave,0)),"")</f>
        <v/>
      </c>
      <c r="W334" s="28">
        <f>IFERROR(LOOKUP(X334,{0;0.01;0.1;1;10;100},{"Muy baja";"Muy baja";"Baja";"Media";"Alta";"Muy alta"}),"")</f>
        <v/>
      </c>
      <c r="X334" s="31">
        <f>IFERROR(VLOOKUP(V334,MgFrec,2,0),0)</f>
        <v/>
      </c>
      <c r="Y334" s="30">
        <f>T334*X334</f>
        <v/>
      </c>
      <c r="Z334" s="28">
        <f>IFERROR(LOOKUP(Y334,{0;0.5;5;25},{"Bajo";"Medio";"Alto";"Crítico"}),"")</f>
        <v/>
      </c>
      <c r="AA334" s="64">
        <f>IF(T334&gt;=3,IF(X334&gt;=1,"Zona 1 — Crítica: impacto alto y ocurre al menos una vez al año","Zona 4 — Catastrófica poco probable: impacto alto pero excepcional"),IF(AND(T334&lt;1.5,X334&lt;1),"Zona 3 — Asumible: impacto bajo y muy poco frecuente","Zona 2 — Atención: riesgo intermedio"))</f>
        <v/>
      </c>
      <c r="AB334" s="64">
        <f>IFERROR(INDEX(MgAmenCtrl,MATCH(SUBSTITUTE($H334,"*","-"),MgAmenClave,0)),"")</f>
        <v/>
      </c>
      <c r="AC334" s="20" t="n"/>
      <c r="AD334" s="31">
        <f>IFERROR($X334*(1-IF($AC334="",$AL334,VLOOKUP($AC334,MgMad,2,0))),"")</f>
        <v/>
      </c>
      <c r="AE334" s="28">
        <f>IFERROR(LOOKUP(AD334,{0;0.01;0.1;1;10;100},{"Muy baja";"Muy baja";"Baja";"Media";"Alta";"Muy alta"}),"")</f>
        <v/>
      </c>
      <c r="AF334" s="30">
        <f>T334*AD334</f>
        <v/>
      </c>
      <c r="AG334" s="28">
        <f>IFERROR(LOOKUP(AF334,{0;0.5;5;25},{"Bajo";"Medio";"Alto";"Crítico"}),"")</f>
        <v/>
      </c>
      <c r="AH334" s="28">
        <f>IF(AG334="","",IF(OR(AG334="Crítico",AG334="Alto"),"Mitigar",IF(AG334="Medio","Mitigar","Aceptar y monitorear")))</f>
        <v/>
      </c>
      <c r="AI334" s="21" t="n"/>
      <c r="AJ334" s="21" t="n"/>
      <c r="AK334" s="20" t="n"/>
      <c r="AL334" s="77">
        <f>IFERROR(INDEX(MgAmenEfic,MATCH(SUBSTITUTE($H334,"*","-"),MgAmenClave,0)),0)</f>
        <v/>
      </c>
    </row>
    <row r="335" hidden="1" ht="60" customHeight="1" s="54">
      <c r="B335" s="59" t="inlineStr">
        <is>
          <t>R-0330</t>
        </is>
      </c>
      <c r="C335" s="59" t="inlineStr">
        <is>
          <t>DO-07</t>
        </is>
      </c>
      <c r="D335" s="64">
        <f>IFERROR(INDEX(MgNombre,MATCH($C335,MgActId,0)),"")</f>
        <v/>
      </c>
      <c r="E335" s="64">
        <f>IFERROR(INDEX(MgProceso,MATCH($C335,MgActId,0)),"")</f>
        <v/>
      </c>
      <c r="F335" s="64">
        <f>IFERROR(INDEX(MgTipo,MATCH($C335,MgActId,0)),"")</f>
        <v/>
      </c>
      <c r="G335" s="64">
        <f>IFERROR(INDEX(MgSubtipo,MATCH($C335,MgActId,0)),"")</f>
        <v/>
      </c>
      <c r="H335" s="59" t="inlineStr">
        <is>
          <t>A.24</t>
        </is>
      </c>
      <c r="I335" s="64">
        <f>IFERROR(INDEX(MgAmenNombre,MATCH(SUBSTITUTE($H335,"*","-"),MgAmenClave,0)),"")</f>
        <v/>
      </c>
      <c r="J335" s="28">
        <f>IFERROR(INDEX(MgAmenGrupo,MATCH(SUBSTITUTE($H335,"*","-"),MgAmenClave,0)),"")</f>
        <v/>
      </c>
      <c r="K335" s="64">
        <f>IFERROR(INDEX('1. Matriz de Activos'!$Q$6:$Q$239,MATCH($C335,MgActId,0)),"")</f>
        <v/>
      </c>
      <c r="L335" s="64">
        <f>IFERROR(INDEX('1. Matriz de Activos'!$R$6:$R$239,MATCH($C335,MgActId,0)),"")</f>
        <v/>
      </c>
      <c r="M335" s="64">
        <f>IFERROR(INDEX('1. Matriz de Activos'!$S$6:$S$239,MATCH($C335,MgActId,0)),"")</f>
        <v/>
      </c>
      <c r="N335" s="28">
        <f>IFERROR(INDEX(MgAmenDegD,MATCH(SUBSTITUTE($H335,"*","-"),MgAmenClave,0)),"No aplica")</f>
        <v/>
      </c>
      <c r="O335" s="28">
        <f>IFERROR(INDEX(MgAmenDegI,MATCH(SUBSTITUTE($H335,"*","-"),MgAmenClave,0)),"No aplica")</f>
        <v/>
      </c>
      <c r="P335" s="28">
        <f>IFERROR(INDEX(MgAmenDegC,MATCH(SUBSTITUTE($H335,"*","-"),MgAmenClave,0)),"No aplica")</f>
        <v/>
      </c>
      <c r="Q335" s="29">
        <f>IFERROR(VLOOKUP(K335,MgValor,2,0)*VLOOKUP(N335,MgDeg,2,0),0)</f>
        <v/>
      </c>
      <c r="R335" s="29">
        <f>IFERROR(VLOOKUP(L335,MgValor,2,0)*VLOOKUP(O335,MgDeg,2,0),0)</f>
        <v/>
      </c>
      <c r="S335" s="29">
        <f>IFERROR(VLOOKUP(M335,MgValor,2,0)*VLOOKUP(P335,MgDeg,2,0),0)</f>
        <v/>
      </c>
      <c r="T335" s="30">
        <f>MAX(Q335:S335)</f>
        <v/>
      </c>
      <c r="U335" s="28">
        <f>IFERROR(LOOKUP(T335,{0;0.5;1.5;3;4.5},{"Despreciable";"Bajo";"Medio";"Alto";"Muy alto"}),"")</f>
        <v/>
      </c>
      <c r="V335" s="13">
        <f>IFERROR(INDEX(MgAmenFrec,MATCH(SUBSTITUTE($H335,"*","-"),MgAmenClave,0)),"")</f>
        <v/>
      </c>
      <c r="W335" s="28">
        <f>IFERROR(LOOKUP(X335,{0;0.01;0.1;1;10;100},{"Muy baja";"Muy baja";"Baja";"Media";"Alta";"Muy alta"}),"")</f>
        <v/>
      </c>
      <c r="X335" s="31">
        <f>IFERROR(VLOOKUP(V335,MgFrec,2,0),0)</f>
        <v/>
      </c>
      <c r="Y335" s="30">
        <f>T335*X335</f>
        <v/>
      </c>
      <c r="Z335" s="28">
        <f>IFERROR(LOOKUP(Y335,{0;0.5;5;25},{"Bajo";"Medio";"Alto";"Crítico"}),"")</f>
        <v/>
      </c>
      <c r="AA335" s="64">
        <f>IF(T335&gt;=3,IF(X335&gt;=1,"Zona 1 — Crítica: impacto alto y ocurre al menos una vez al año","Zona 4 — Catastrófica poco probable: impacto alto pero excepcional"),IF(AND(T335&lt;1.5,X335&lt;1),"Zona 3 — Asumible: impacto bajo y muy poco frecuente","Zona 2 — Atención: riesgo intermedio"))</f>
        <v/>
      </c>
      <c r="AB335" s="64">
        <f>IFERROR(INDEX(MgAmenCtrl,MATCH(SUBSTITUTE($H335,"*","-"),MgAmenClave,0)),"")</f>
        <v/>
      </c>
      <c r="AC335" s="20" t="n"/>
      <c r="AD335" s="31">
        <f>IFERROR($X335*(1-IF($AC335="",$AL335,VLOOKUP($AC335,MgMad,2,0))),"")</f>
        <v/>
      </c>
      <c r="AE335" s="28">
        <f>IFERROR(LOOKUP(AD335,{0;0.01;0.1;1;10;100},{"Muy baja";"Muy baja";"Baja";"Media";"Alta";"Muy alta"}),"")</f>
        <v/>
      </c>
      <c r="AF335" s="30">
        <f>T335*AD335</f>
        <v/>
      </c>
      <c r="AG335" s="28">
        <f>IFERROR(LOOKUP(AF335,{0;0.5;5;25},{"Bajo";"Medio";"Alto";"Crítico"}),"")</f>
        <v/>
      </c>
      <c r="AH335" s="28">
        <f>IF(AG335="","",IF(OR(AG335="Crítico",AG335="Alto"),"Mitigar",IF(AG335="Medio","Mitigar","Aceptar y monitorear")))</f>
        <v/>
      </c>
      <c r="AI335" s="21" t="n"/>
      <c r="AJ335" s="21" t="n"/>
      <c r="AK335" s="20" t="n"/>
      <c r="AL335" s="77">
        <f>IFERROR(INDEX(MgAmenEfic,MATCH(SUBSTITUTE($H335,"*","-"),MgAmenClave,0)),0)</f>
        <v/>
      </c>
    </row>
    <row r="336" hidden="1" ht="75" customHeight="1" s="54">
      <c r="B336" s="59" t="inlineStr">
        <is>
          <t>R-0331</t>
        </is>
      </c>
      <c r="C336" s="59" t="inlineStr">
        <is>
          <t>DO-04</t>
        </is>
      </c>
      <c r="D336" s="64">
        <f>IFERROR(INDEX(MgNombre,MATCH($C336,MgActId,0)),"")</f>
        <v/>
      </c>
      <c r="E336" s="64">
        <f>IFERROR(INDEX(MgProceso,MATCH($C336,MgActId,0)),"")</f>
        <v/>
      </c>
      <c r="F336" s="64">
        <f>IFERROR(INDEX(MgTipo,MATCH($C336,MgActId,0)),"")</f>
        <v/>
      </c>
      <c r="G336" s="64">
        <f>IFERROR(INDEX(MgSubtipo,MATCH($C336,MgActId,0)),"")</f>
        <v/>
      </c>
      <c r="H336" s="59" t="inlineStr">
        <is>
          <t>I.8</t>
        </is>
      </c>
      <c r="I336" s="64">
        <f>IFERROR(INDEX(MgAmenNombre,MATCH(SUBSTITUTE($H336,"*","-"),MgAmenClave,0)),"")</f>
        <v/>
      </c>
      <c r="J336" s="28">
        <f>IFERROR(INDEX(MgAmenGrupo,MATCH(SUBSTITUTE($H336,"*","-"),MgAmenClave,0)),"")</f>
        <v/>
      </c>
      <c r="K336" s="64">
        <f>IFERROR(INDEX('1. Matriz de Activos'!$Q$6:$Q$239,MATCH($C336,MgActId,0)),"")</f>
        <v/>
      </c>
      <c r="L336" s="64">
        <f>IFERROR(INDEX('1. Matriz de Activos'!$R$6:$R$239,MATCH($C336,MgActId,0)),"")</f>
        <v/>
      </c>
      <c r="M336" s="64">
        <f>IFERROR(INDEX('1. Matriz de Activos'!$S$6:$S$239,MATCH($C336,MgActId,0)),"")</f>
        <v/>
      </c>
      <c r="N336" s="28">
        <f>IFERROR(INDEX(MgAmenDegD,MATCH(SUBSTITUTE($H336,"*","-"),MgAmenClave,0)),"No aplica")</f>
        <v/>
      </c>
      <c r="O336" s="28">
        <f>IFERROR(INDEX(MgAmenDegI,MATCH(SUBSTITUTE($H336,"*","-"),MgAmenClave,0)),"No aplica")</f>
        <v/>
      </c>
      <c r="P336" s="28">
        <f>IFERROR(INDEX(MgAmenDegC,MATCH(SUBSTITUTE($H336,"*","-"),MgAmenClave,0)),"No aplica")</f>
        <v/>
      </c>
      <c r="Q336" s="29">
        <f>IFERROR(VLOOKUP(K336,MgValor,2,0)*VLOOKUP(N336,MgDeg,2,0),0)</f>
        <v/>
      </c>
      <c r="R336" s="29">
        <f>IFERROR(VLOOKUP(L336,MgValor,2,0)*VLOOKUP(O336,MgDeg,2,0),0)</f>
        <v/>
      </c>
      <c r="S336" s="29">
        <f>IFERROR(VLOOKUP(M336,MgValor,2,0)*VLOOKUP(P336,MgDeg,2,0),0)</f>
        <v/>
      </c>
      <c r="T336" s="30">
        <f>MAX(Q336:S336)</f>
        <v/>
      </c>
      <c r="U336" s="28">
        <f>IFERROR(LOOKUP(T336,{0;0.5;1.5;3;4.5},{"Despreciable";"Bajo";"Medio";"Alto";"Muy alto"}),"")</f>
        <v/>
      </c>
      <c r="V336" s="13">
        <f>IFERROR(INDEX(MgAmenFrec,MATCH(SUBSTITUTE($H336,"*","-"),MgAmenClave,0)),"")</f>
        <v/>
      </c>
      <c r="W336" s="28">
        <f>IFERROR(LOOKUP(X336,{0;0.01;0.1;1;10;100},{"Muy baja";"Muy baja";"Baja";"Media";"Alta";"Muy alta"}),"")</f>
        <v/>
      </c>
      <c r="X336" s="31">
        <f>IFERROR(VLOOKUP(V336,MgFrec,2,0),0)</f>
        <v/>
      </c>
      <c r="Y336" s="30">
        <f>T336*X336</f>
        <v/>
      </c>
      <c r="Z336" s="28">
        <f>IFERROR(LOOKUP(Y336,{0;0.5;5;25},{"Bajo";"Medio";"Alto";"Crítico"}),"")</f>
        <v/>
      </c>
      <c r="AA336" s="64">
        <f>IF(T336&gt;=3,IF(X336&gt;=1,"Zona 1 — Crítica: impacto alto y ocurre al menos una vez al año","Zona 4 — Catastrófica poco probable: impacto alto pero excepcional"),IF(AND(T336&lt;1.5,X336&lt;1),"Zona 3 — Asumible: impacto bajo y muy poco frecuente","Zona 2 — Atención: riesgo intermedio"))</f>
        <v/>
      </c>
      <c r="AB336" s="64">
        <f>IFERROR(INDEX(MgAmenCtrl,MATCH(SUBSTITUTE($H336,"*","-"),MgAmenClave,0)),"")</f>
        <v/>
      </c>
      <c r="AC336" s="20" t="n"/>
      <c r="AD336" s="31">
        <f>IFERROR($X336*(1-IF($AC336="",$AL336,VLOOKUP($AC336,MgMad,2,0))),"")</f>
        <v/>
      </c>
      <c r="AE336" s="28">
        <f>IFERROR(LOOKUP(AD336,{0;0.01;0.1;1;10;100},{"Muy baja";"Muy baja";"Baja";"Media";"Alta";"Muy alta"}),"")</f>
        <v/>
      </c>
      <c r="AF336" s="30">
        <f>T336*AD336</f>
        <v/>
      </c>
      <c r="AG336" s="28">
        <f>IFERROR(LOOKUP(AF336,{0;0.5;5;25},{"Bajo";"Medio";"Alto";"Crítico"}),"")</f>
        <v/>
      </c>
      <c r="AH336" s="28">
        <f>IF(AG336="","",IF(OR(AG336="Crítico",AG336="Alto"),"Mitigar",IF(AG336="Medio","Mitigar","Aceptar y monitorear")))</f>
        <v/>
      </c>
      <c r="AI336" s="21" t="n"/>
      <c r="AJ336" s="21" t="n"/>
      <c r="AK336" s="20" t="n"/>
      <c r="AL336" s="77">
        <f>IFERROR(INDEX(MgAmenEfic,MATCH(SUBSTITUTE($H336,"*","-"),MgAmenClave,0)),0)</f>
        <v/>
      </c>
    </row>
    <row r="337" hidden="1" ht="45" customHeight="1" s="54">
      <c r="B337" s="59" t="inlineStr">
        <is>
          <t>R-0332</t>
        </is>
      </c>
      <c r="C337" s="59" t="inlineStr">
        <is>
          <t>DO-04</t>
        </is>
      </c>
      <c r="D337" s="64">
        <f>IFERROR(INDEX(MgNombre,MATCH($C337,MgActId,0)),"")</f>
        <v/>
      </c>
      <c r="E337" s="64">
        <f>IFERROR(INDEX(MgProceso,MATCH($C337,MgActId,0)),"")</f>
        <v/>
      </c>
      <c r="F337" s="64">
        <f>IFERROR(INDEX(MgTipo,MATCH($C337,MgActId,0)),"")</f>
        <v/>
      </c>
      <c r="G337" s="64">
        <f>IFERROR(INDEX(MgSubtipo,MATCH($C337,MgActId,0)),"")</f>
        <v/>
      </c>
      <c r="H337" s="59" t="inlineStr">
        <is>
          <t>I.11</t>
        </is>
      </c>
      <c r="I337" s="64">
        <f>IFERROR(INDEX(MgAmenNombre,MATCH(SUBSTITUTE($H337,"*","-"),MgAmenClave,0)),"")</f>
        <v/>
      </c>
      <c r="J337" s="28">
        <f>IFERROR(INDEX(MgAmenGrupo,MATCH(SUBSTITUTE($H337,"*","-"),MgAmenClave,0)),"")</f>
        <v/>
      </c>
      <c r="K337" s="64">
        <f>IFERROR(INDEX('1. Matriz de Activos'!$Q$6:$Q$239,MATCH($C337,MgActId,0)),"")</f>
        <v/>
      </c>
      <c r="L337" s="64">
        <f>IFERROR(INDEX('1. Matriz de Activos'!$R$6:$R$239,MATCH($C337,MgActId,0)),"")</f>
        <v/>
      </c>
      <c r="M337" s="64">
        <f>IFERROR(INDEX('1. Matriz de Activos'!$S$6:$S$239,MATCH($C337,MgActId,0)),"")</f>
        <v/>
      </c>
      <c r="N337" s="28">
        <f>IFERROR(INDEX(MgAmenDegD,MATCH(SUBSTITUTE($H337,"*","-"),MgAmenClave,0)),"No aplica")</f>
        <v/>
      </c>
      <c r="O337" s="28">
        <f>IFERROR(INDEX(MgAmenDegI,MATCH(SUBSTITUTE($H337,"*","-"),MgAmenClave,0)),"No aplica")</f>
        <v/>
      </c>
      <c r="P337" s="28">
        <f>IFERROR(INDEX(MgAmenDegC,MATCH(SUBSTITUTE($H337,"*","-"),MgAmenClave,0)),"No aplica")</f>
        <v/>
      </c>
      <c r="Q337" s="29">
        <f>IFERROR(VLOOKUP(K337,MgValor,2,0)*VLOOKUP(N337,MgDeg,2,0),0)</f>
        <v/>
      </c>
      <c r="R337" s="29">
        <f>IFERROR(VLOOKUP(L337,MgValor,2,0)*VLOOKUP(O337,MgDeg,2,0),0)</f>
        <v/>
      </c>
      <c r="S337" s="29">
        <f>IFERROR(VLOOKUP(M337,MgValor,2,0)*VLOOKUP(P337,MgDeg,2,0),0)</f>
        <v/>
      </c>
      <c r="T337" s="30">
        <f>MAX(Q337:S337)</f>
        <v/>
      </c>
      <c r="U337" s="28">
        <f>IFERROR(LOOKUP(T337,{0;0.5;1.5;3;4.5},{"Despreciable";"Bajo";"Medio";"Alto";"Muy alto"}),"")</f>
        <v/>
      </c>
      <c r="V337" s="13">
        <f>IFERROR(INDEX(MgAmenFrec,MATCH(SUBSTITUTE($H337,"*","-"),MgAmenClave,0)),"")</f>
        <v/>
      </c>
      <c r="W337" s="28">
        <f>IFERROR(LOOKUP(X337,{0;0.01;0.1;1;10;100},{"Muy baja";"Muy baja";"Baja";"Media";"Alta";"Muy alta"}),"")</f>
        <v/>
      </c>
      <c r="X337" s="31">
        <f>IFERROR(VLOOKUP(V337,MgFrec,2,0),0)</f>
        <v/>
      </c>
      <c r="Y337" s="30">
        <f>T337*X337</f>
        <v/>
      </c>
      <c r="Z337" s="28">
        <f>IFERROR(LOOKUP(Y337,{0;0.5;5;25},{"Bajo";"Medio";"Alto";"Crítico"}),"")</f>
        <v/>
      </c>
      <c r="AA337" s="64">
        <f>IF(T337&gt;=3,IF(X337&gt;=1,"Zona 1 — Crítica: impacto alto y ocurre al menos una vez al año","Zona 4 — Catastrófica poco probable: impacto alto pero excepcional"),IF(AND(T337&lt;1.5,X337&lt;1),"Zona 3 — Asumible: impacto bajo y muy poco frecuente","Zona 2 — Atención: riesgo intermedio"))</f>
        <v/>
      </c>
      <c r="AB337" s="64">
        <f>IFERROR(INDEX(MgAmenCtrl,MATCH(SUBSTITUTE($H337,"*","-"),MgAmenClave,0)),"")</f>
        <v/>
      </c>
      <c r="AC337" s="20" t="n"/>
      <c r="AD337" s="31">
        <f>IFERROR($X337*(1-IF($AC337="",$AL337,VLOOKUP($AC337,MgMad,2,0))),"")</f>
        <v/>
      </c>
      <c r="AE337" s="28">
        <f>IFERROR(LOOKUP(AD337,{0;0.01;0.1;1;10;100},{"Muy baja";"Muy baja";"Baja";"Media";"Alta";"Muy alta"}),"")</f>
        <v/>
      </c>
      <c r="AF337" s="30">
        <f>T337*AD337</f>
        <v/>
      </c>
      <c r="AG337" s="28">
        <f>IFERROR(LOOKUP(AF337,{0;0.5;5;25},{"Bajo";"Medio";"Alto";"Crítico"}),"")</f>
        <v/>
      </c>
      <c r="AH337" s="28">
        <f>IF(AG337="","",IF(OR(AG337="Crítico",AG337="Alto"),"Mitigar",IF(AG337="Medio","Mitigar","Aceptar y monitorear")))</f>
        <v/>
      </c>
      <c r="AI337" s="21" t="n"/>
      <c r="AJ337" s="21" t="n"/>
      <c r="AK337" s="20" t="n"/>
      <c r="AL337" s="77">
        <f>IFERROR(INDEX(MgAmenEfic,MATCH(SUBSTITUTE($H337,"*","-"),MgAmenClave,0)),0)</f>
        <v/>
      </c>
    </row>
    <row r="338" hidden="1" ht="120" customHeight="1" s="54">
      <c r="B338" s="59" t="inlineStr">
        <is>
          <t>R-0333</t>
        </is>
      </c>
      <c r="C338" s="59" t="inlineStr">
        <is>
          <t>DO-04</t>
        </is>
      </c>
      <c r="D338" s="64">
        <f>IFERROR(INDEX(MgNombre,MATCH($C338,MgActId,0)),"")</f>
        <v/>
      </c>
      <c r="E338" s="64">
        <f>IFERROR(INDEX(MgProceso,MATCH($C338,MgActId,0)),"")</f>
        <v/>
      </c>
      <c r="F338" s="64">
        <f>IFERROR(INDEX(MgTipo,MATCH($C338,MgActId,0)),"")</f>
        <v/>
      </c>
      <c r="G338" s="64">
        <f>IFERROR(INDEX(MgSubtipo,MATCH($C338,MgActId,0)),"")</f>
        <v/>
      </c>
      <c r="H338" s="59" t="inlineStr">
        <is>
          <t>E.2</t>
        </is>
      </c>
      <c r="I338" s="64">
        <f>IFERROR(INDEX(MgAmenNombre,MATCH(SUBSTITUTE($H338,"*","-"),MgAmenClave,0)),"")</f>
        <v/>
      </c>
      <c r="J338" s="28">
        <f>IFERROR(INDEX(MgAmenGrupo,MATCH(SUBSTITUTE($H338,"*","-"),MgAmenClave,0)),"")</f>
        <v/>
      </c>
      <c r="K338" s="64">
        <f>IFERROR(INDEX('1. Matriz de Activos'!$Q$6:$Q$239,MATCH($C338,MgActId,0)),"")</f>
        <v/>
      </c>
      <c r="L338" s="64">
        <f>IFERROR(INDEX('1. Matriz de Activos'!$R$6:$R$239,MATCH($C338,MgActId,0)),"")</f>
        <v/>
      </c>
      <c r="M338" s="64">
        <f>IFERROR(INDEX('1. Matriz de Activos'!$S$6:$S$239,MATCH($C338,MgActId,0)),"")</f>
        <v/>
      </c>
      <c r="N338" s="28">
        <f>IFERROR(INDEX(MgAmenDegD,MATCH(SUBSTITUTE($H338,"*","-"),MgAmenClave,0)),"No aplica")</f>
        <v/>
      </c>
      <c r="O338" s="28">
        <f>IFERROR(INDEX(MgAmenDegI,MATCH(SUBSTITUTE($H338,"*","-"),MgAmenClave,0)),"No aplica")</f>
        <v/>
      </c>
      <c r="P338" s="28">
        <f>IFERROR(INDEX(MgAmenDegC,MATCH(SUBSTITUTE($H338,"*","-"),MgAmenClave,0)),"No aplica")</f>
        <v/>
      </c>
      <c r="Q338" s="29">
        <f>IFERROR(VLOOKUP(K338,MgValor,2,0)*VLOOKUP(N338,MgDeg,2,0),0)</f>
        <v/>
      </c>
      <c r="R338" s="29">
        <f>IFERROR(VLOOKUP(L338,MgValor,2,0)*VLOOKUP(O338,MgDeg,2,0),0)</f>
        <v/>
      </c>
      <c r="S338" s="29">
        <f>IFERROR(VLOOKUP(M338,MgValor,2,0)*VLOOKUP(P338,MgDeg,2,0),0)</f>
        <v/>
      </c>
      <c r="T338" s="30">
        <f>MAX(Q338:S338)</f>
        <v/>
      </c>
      <c r="U338" s="28">
        <f>IFERROR(LOOKUP(T338,{0;0.5;1.5;3;4.5},{"Despreciable";"Bajo";"Medio";"Alto";"Muy alto"}),"")</f>
        <v/>
      </c>
      <c r="V338" s="13">
        <f>IFERROR(INDEX(MgAmenFrec,MATCH(SUBSTITUTE($H338,"*","-"),MgAmenClave,0)),"")</f>
        <v/>
      </c>
      <c r="W338" s="28">
        <f>IFERROR(LOOKUP(X338,{0;0.01;0.1;1;10;100},{"Muy baja";"Muy baja";"Baja";"Media";"Alta";"Muy alta"}),"")</f>
        <v/>
      </c>
      <c r="X338" s="31">
        <f>IFERROR(VLOOKUP(V338,MgFrec,2,0),0)</f>
        <v/>
      </c>
      <c r="Y338" s="30">
        <f>T338*X338</f>
        <v/>
      </c>
      <c r="Z338" s="28">
        <f>IFERROR(LOOKUP(Y338,{0;0.5;5;25},{"Bajo";"Medio";"Alto";"Crítico"}),"")</f>
        <v/>
      </c>
      <c r="AA338" s="64">
        <f>IF(T338&gt;=3,IF(X338&gt;=1,"Zona 1 — Crítica: impacto alto y ocurre al menos una vez al año","Zona 4 — Catastrófica poco probable: impacto alto pero excepcional"),IF(AND(T338&lt;1.5,X338&lt;1),"Zona 3 — Asumible: impacto bajo y muy poco frecuente","Zona 2 — Atención: riesgo intermedio"))</f>
        <v/>
      </c>
      <c r="AB338" s="64">
        <f>IFERROR(INDEX(MgAmenCtrl,MATCH(SUBSTITUTE($H338,"*","-"),MgAmenClave,0)),"")</f>
        <v/>
      </c>
      <c r="AC338" s="20" t="n"/>
      <c r="AD338" s="31">
        <f>IFERROR($X338*(1-IF($AC338="",$AL338,VLOOKUP($AC338,MgMad,2,0))),"")</f>
        <v/>
      </c>
      <c r="AE338" s="28">
        <f>IFERROR(LOOKUP(AD338,{0;0.01;0.1;1;10;100},{"Muy baja";"Muy baja";"Baja";"Media";"Alta";"Muy alta"}),"")</f>
        <v/>
      </c>
      <c r="AF338" s="30">
        <f>T338*AD338</f>
        <v/>
      </c>
      <c r="AG338" s="28">
        <f>IFERROR(LOOKUP(AF338,{0;0.5;5;25},{"Bajo";"Medio";"Alto";"Crítico"}),"")</f>
        <v/>
      </c>
      <c r="AH338" s="28">
        <f>IF(AG338="","",IF(OR(AG338="Crítico",AG338="Alto"),"Mitigar",IF(AG338="Medio","Mitigar","Aceptar y monitorear")))</f>
        <v/>
      </c>
      <c r="AI338" s="21" t="n"/>
      <c r="AJ338" s="21" t="n"/>
      <c r="AK338" s="20" t="n"/>
      <c r="AL338" s="77">
        <f>IFERROR(INDEX(MgAmenEfic,MATCH(SUBSTITUTE($H338,"*","-"),MgAmenClave,0)),0)</f>
        <v/>
      </c>
    </row>
    <row r="339" hidden="1" ht="60" customHeight="1" s="54">
      <c r="B339" s="59" t="inlineStr">
        <is>
          <t>R-0334</t>
        </is>
      </c>
      <c r="C339" s="59" t="inlineStr">
        <is>
          <t>DO-04</t>
        </is>
      </c>
      <c r="D339" s="64">
        <f>IFERROR(INDEX(MgNombre,MATCH($C339,MgActId,0)),"")</f>
        <v/>
      </c>
      <c r="E339" s="64">
        <f>IFERROR(INDEX(MgProceso,MATCH($C339,MgActId,0)),"")</f>
        <v/>
      </c>
      <c r="F339" s="64">
        <f>IFERROR(INDEX(MgTipo,MATCH($C339,MgActId,0)),"")</f>
        <v/>
      </c>
      <c r="G339" s="64">
        <f>IFERROR(INDEX(MgSubtipo,MATCH($C339,MgActId,0)),"")</f>
        <v/>
      </c>
      <c r="H339" s="59" t="inlineStr">
        <is>
          <t>E.9</t>
        </is>
      </c>
      <c r="I339" s="64">
        <f>IFERROR(INDEX(MgAmenNombre,MATCH(SUBSTITUTE($H339,"*","-"),MgAmenClave,0)),"")</f>
        <v/>
      </c>
      <c r="J339" s="28">
        <f>IFERROR(INDEX(MgAmenGrupo,MATCH(SUBSTITUTE($H339,"*","-"),MgAmenClave,0)),"")</f>
        <v/>
      </c>
      <c r="K339" s="64">
        <f>IFERROR(INDEX('1. Matriz de Activos'!$Q$6:$Q$239,MATCH($C339,MgActId,0)),"")</f>
        <v/>
      </c>
      <c r="L339" s="64">
        <f>IFERROR(INDEX('1. Matriz de Activos'!$R$6:$R$239,MATCH($C339,MgActId,0)),"")</f>
        <v/>
      </c>
      <c r="M339" s="64">
        <f>IFERROR(INDEX('1. Matriz de Activos'!$S$6:$S$239,MATCH($C339,MgActId,0)),"")</f>
        <v/>
      </c>
      <c r="N339" s="28">
        <f>IFERROR(INDEX(MgAmenDegD,MATCH(SUBSTITUTE($H339,"*","-"),MgAmenClave,0)),"No aplica")</f>
        <v/>
      </c>
      <c r="O339" s="28">
        <f>IFERROR(INDEX(MgAmenDegI,MATCH(SUBSTITUTE($H339,"*","-"),MgAmenClave,0)),"No aplica")</f>
        <v/>
      </c>
      <c r="P339" s="28">
        <f>IFERROR(INDEX(MgAmenDegC,MATCH(SUBSTITUTE($H339,"*","-"),MgAmenClave,0)),"No aplica")</f>
        <v/>
      </c>
      <c r="Q339" s="29">
        <f>IFERROR(VLOOKUP(K339,MgValor,2,0)*VLOOKUP(N339,MgDeg,2,0),0)</f>
        <v/>
      </c>
      <c r="R339" s="29">
        <f>IFERROR(VLOOKUP(L339,MgValor,2,0)*VLOOKUP(O339,MgDeg,2,0),0)</f>
        <v/>
      </c>
      <c r="S339" s="29">
        <f>IFERROR(VLOOKUP(M339,MgValor,2,0)*VLOOKUP(P339,MgDeg,2,0),0)</f>
        <v/>
      </c>
      <c r="T339" s="30">
        <f>MAX(Q339:S339)</f>
        <v/>
      </c>
      <c r="U339" s="28">
        <f>IFERROR(LOOKUP(T339,{0;0.5;1.5;3;4.5},{"Despreciable";"Bajo";"Medio";"Alto";"Muy alto"}),"")</f>
        <v/>
      </c>
      <c r="V339" s="13">
        <f>IFERROR(INDEX(MgAmenFrec,MATCH(SUBSTITUTE($H339,"*","-"),MgAmenClave,0)),"")</f>
        <v/>
      </c>
      <c r="W339" s="28">
        <f>IFERROR(LOOKUP(X339,{0;0.01;0.1;1;10;100},{"Muy baja";"Muy baja";"Baja";"Media";"Alta";"Muy alta"}),"")</f>
        <v/>
      </c>
      <c r="X339" s="31">
        <f>IFERROR(VLOOKUP(V339,MgFrec,2,0),0)</f>
        <v/>
      </c>
      <c r="Y339" s="30">
        <f>T339*X339</f>
        <v/>
      </c>
      <c r="Z339" s="28">
        <f>IFERROR(LOOKUP(Y339,{0;0.5;5;25},{"Bajo";"Medio";"Alto";"Crítico"}),"")</f>
        <v/>
      </c>
      <c r="AA339" s="64">
        <f>IF(T339&gt;=3,IF(X339&gt;=1,"Zona 1 — Crítica: impacto alto y ocurre al menos una vez al año","Zona 4 — Catastrófica poco probable: impacto alto pero excepcional"),IF(AND(T339&lt;1.5,X339&lt;1),"Zona 3 — Asumible: impacto bajo y muy poco frecuente","Zona 2 — Atención: riesgo intermedio"))</f>
        <v/>
      </c>
      <c r="AB339" s="64">
        <f>IFERROR(INDEX(MgAmenCtrl,MATCH(SUBSTITUTE($H339,"*","-"),MgAmenClave,0)),"")</f>
        <v/>
      </c>
      <c r="AC339" s="20" t="n"/>
      <c r="AD339" s="31">
        <f>IFERROR($X339*(1-IF($AC339="",$AL339,VLOOKUP($AC339,MgMad,2,0))),"")</f>
        <v/>
      </c>
      <c r="AE339" s="28">
        <f>IFERROR(LOOKUP(AD339,{0;0.01;0.1;1;10;100},{"Muy baja";"Muy baja";"Baja";"Media";"Alta";"Muy alta"}),"")</f>
        <v/>
      </c>
      <c r="AF339" s="30">
        <f>T339*AD339</f>
        <v/>
      </c>
      <c r="AG339" s="28">
        <f>IFERROR(LOOKUP(AF339,{0;0.5;5;25},{"Bajo";"Medio";"Alto";"Crítico"}),"")</f>
        <v/>
      </c>
      <c r="AH339" s="28">
        <f>IF(AG339="","",IF(OR(AG339="Crítico",AG339="Alto"),"Mitigar",IF(AG339="Medio","Mitigar","Aceptar y monitorear")))</f>
        <v/>
      </c>
      <c r="AI339" s="21" t="n"/>
      <c r="AJ339" s="21" t="n"/>
      <c r="AK339" s="20" t="n"/>
      <c r="AL339" s="77">
        <f>IFERROR(INDEX(MgAmenEfic,MATCH(SUBSTITUTE($H339,"*","-"),MgAmenClave,0)),0)</f>
        <v/>
      </c>
    </row>
    <row r="340" hidden="1" ht="90" customHeight="1" s="54">
      <c r="B340" s="59" t="inlineStr">
        <is>
          <t>R-0335</t>
        </is>
      </c>
      <c r="C340" s="59" t="inlineStr">
        <is>
          <t>DO-04</t>
        </is>
      </c>
      <c r="D340" s="64">
        <f>IFERROR(INDEX(MgNombre,MATCH($C340,MgActId,0)),"")</f>
        <v/>
      </c>
      <c r="E340" s="64">
        <f>IFERROR(INDEX(MgProceso,MATCH($C340,MgActId,0)),"")</f>
        <v/>
      </c>
      <c r="F340" s="64">
        <f>IFERROR(INDEX(MgTipo,MATCH($C340,MgActId,0)),"")</f>
        <v/>
      </c>
      <c r="G340" s="64">
        <f>IFERROR(INDEX(MgSubtipo,MATCH($C340,MgActId,0)),"")</f>
        <v/>
      </c>
      <c r="H340" s="59" t="inlineStr">
        <is>
          <t>E.10</t>
        </is>
      </c>
      <c r="I340" s="64">
        <f>IFERROR(INDEX(MgAmenNombre,MATCH(SUBSTITUTE($H340,"*","-"),MgAmenClave,0)),"")</f>
        <v/>
      </c>
      <c r="J340" s="28">
        <f>IFERROR(INDEX(MgAmenGrupo,MATCH(SUBSTITUTE($H340,"*","-"),MgAmenClave,0)),"")</f>
        <v/>
      </c>
      <c r="K340" s="64">
        <f>IFERROR(INDEX('1. Matriz de Activos'!$Q$6:$Q$239,MATCH($C340,MgActId,0)),"")</f>
        <v/>
      </c>
      <c r="L340" s="64">
        <f>IFERROR(INDEX('1. Matriz de Activos'!$R$6:$R$239,MATCH($C340,MgActId,0)),"")</f>
        <v/>
      </c>
      <c r="M340" s="64">
        <f>IFERROR(INDEX('1. Matriz de Activos'!$S$6:$S$239,MATCH($C340,MgActId,0)),"")</f>
        <v/>
      </c>
      <c r="N340" s="28">
        <f>IFERROR(INDEX(MgAmenDegD,MATCH(SUBSTITUTE($H340,"*","-"),MgAmenClave,0)),"No aplica")</f>
        <v/>
      </c>
      <c r="O340" s="28">
        <f>IFERROR(INDEX(MgAmenDegI,MATCH(SUBSTITUTE($H340,"*","-"),MgAmenClave,0)),"No aplica")</f>
        <v/>
      </c>
      <c r="P340" s="28">
        <f>IFERROR(INDEX(MgAmenDegC,MATCH(SUBSTITUTE($H340,"*","-"),MgAmenClave,0)),"No aplica")</f>
        <v/>
      </c>
      <c r="Q340" s="29">
        <f>IFERROR(VLOOKUP(K340,MgValor,2,0)*VLOOKUP(N340,MgDeg,2,0),0)</f>
        <v/>
      </c>
      <c r="R340" s="29">
        <f>IFERROR(VLOOKUP(L340,MgValor,2,0)*VLOOKUP(O340,MgDeg,2,0),0)</f>
        <v/>
      </c>
      <c r="S340" s="29">
        <f>IFERROR(VLOOKUP(M340,MgValor,2,0)*VLOOKUP(P340,MgDeg,2,0),0)</f>
        <v/>
      </c>
      <c r="T340" s="30">
        <f>MAX(Q340:S340)</f>
        <v/>
      </c>
      <c r="U340" s="28">
        <f>IFERROR(LOOKUP(T340,{0;0.5;1.5;3;4.5},{"Despreciable";"Bajo";"Medio";"Alto";"Muy alto"}),"")</f>
        <v/>
      </c>
      <c r="V340" s="13">
        <f>IFERROR(INDEX(MgAmenFrec,MATCH(SUBSTITUTE($H340,"*","-"),MgAmenClave,0)),"")</f>
        <v/>
      </c>
      <c r="W340" s="28">
        <f>IFERROR(LOOKUP(X340,{0;0.01;0.1;1;10;100},{"Muy baja";"Muy baja";"Baja";"Media";"Alta";"Muy alta"}),"")</f>
        <v/>
      </c>
      <c r="X340" s="31">
        <f>IFERROR(VLOOKUP(V340,MgFrec,2,0),0)</f>
        <v/>
      </c>
      <c r="Y340" s="30">
        <f>T340*X340</f>
        <v/>
      </c>
      <c r="Z340" s="28">
        <f>IFERROR(LOOKUP(Y340,{0;0.5;5;25},{"Bajo";"Medio";"Alto";"Crítico"}),"")</f>
        <v/>
      </c>
      <c r="AA340" s="64">
        <f>IF(T340&gt;=3,IF(X340&gt;=1,"Zona 1 — Crítica: impacto alto y ocurre al menos una vez al año","Zona 4 — Catastrófica poco probable: impacto alto pero excepcional"),IF(AND(T340&lt;1.5,X340&lt;1),"Zona 3 — Asumible: impacto bajo y muy poco frecuente","Zona 2 — Atención: riesgo intermedio"))</f>
        <v/>
      </c>
      <c r="AB340" s="64">
        <f>IFERROR(INDEX(MgAmenCtrl,MATCH(SUBSTITUTE($H340,"*","-"),MgAmenClave,0)),"")</f>
        <v/>
      </c>
      <c r="AC340" s="20" t="n"/>
      <c r="AD340" s="31">
        <f>IFERROR($X340*(1-IF($AC340="",$AL340,VLOOKUP($AC340,MgMad,2,0))),"")</f>
        <v/>
      </c>
      <c r="AE340" s="28">
        <f>IFERROR(LOOKUP(AD340,{0;0.01;0.1;1;10;100},{"Muy baja";"Muy baja";"Baja";"Media";"Alta";"Muy alta"}),"")</f>
        <v/>
      </c>
      <c r="AF340" s="30">
        <f>T340*AD340</f>
        <v/>
      </c>
      <c r="AG340" s="28">
        <f>IFERROR(LOOKUP(AF340,{0;0.5;5;25},{"Bajo";"Medio";"Alto";"Crítico"}),"")</f>
        <v/>
      </c>
      <c r="AH340" s="28">
        <f>IF(AG340="","",IF(OR(AG340="Crítico",AG340="Alto"),"Mitigar",IF(AG340="Medio","Mitigar","Aceptar y monitorear")))</f>
        <v/>
      </c>
      <c r="AI340" s="21" t="n"/>
      <c r="AJ340" s="21" t="n"/>
      <c r="AK340" s="20" t="n"/>
      <c r="AL340" s="77">
        <f>IFERROR(INDEX(MgAmenEfic,MATCH(SUBSTITUTE($H340,"*","-"),MgAmenClave,0)),0)</f>
        <v/>
      </c>
    </row>
    <row r="341" hidden="1" ht="90" customHeight="1" s="54">
      <c r="B341" s="59" t="inlineStr">
        <is>
          <t>R-0336</t>
        </is>
      </c>
      <c r="C341" s="59" t="inlineStr">
        <is>
          <t>DO-04</t>
        </is>
      </c>
      <c r="D341" s="64">
        <f>IFERROR(INDEX(MgNombre,MATCH($C341,MgActId,0)),"")</f>
        <v/>
      </c>
      <c r="E341" s="64">
        <f>IFERROR(INDEX(MgProceso,MATCH($C341,MgActId,0)),"")</f>
        <v/>
      </c>
      <c r="F341" s="64">
        <f>IFERROR(INDEX(MgTipo,MATCH($C341,MgActId,0)),"")</f>
        <v/>
      </c>
      <c r="G341" s="64">
        <f>IFERROR(INDEX(MgSubtipo,MATCH($C341,MgActId,0)),"")</f>
        <v/>
      </c>
      <c r="H341" s="59" t="inlineStr">
        <is>
          <t>E.14</t>
        </is>
      </c>
      <c r="I341" s="64">
        <f>IFERROR(INDEX(MgAmenNombre,MATCH(SUBSTITUTE($H341,"*","-"),MgAmenClave,0)),"")</f>
        <v/>
      </c>
      <c r="J341" s="28">
        <f>IFERROR(INDEX(MgAmenGrupo,MATCH(SUBSTITUTE($H341,"*","-"),MgAmenClave,0)),"")</f>
        <v/>
      </c>
      <c r="K341" s="64">
        <f>IFERROR(INDEX('1. Matriz de Activos'!$Q$6:$Q$239,MATCH($C341,MgActId,0)),"")</f>
        <v/>
      </c>
      <c r="L341" s="64">
        <f>IFERROR(INDEX('1. Matriz de Activos'!$R$6:$R$239,MATCH($C341,MgActId,0)),"")</f>
        <v/>
      </c>
      <c r="M341" s="64">
        <f>IFERROR(INDEX('1. Matriz de Activos'!$S$6:$S$239,MATCH($C341,MgActId,0)),"")</f>
        <v/>
      </c>
      <c r="N341" s="28">
        <f>IFERROR(INDEX(MgAmenDegD,MATCH(SUBSTITUTE($H341,"*","-"),MgAmenClave,0)),"No aplica")</f>
        <v/>
      </c>
      <c r="O341" s="28">
        <f>IFERROR(INDEX(MgAmenDegI,MATCH(SUBSTITUTE($H341,"*","-"),MgAmenClave,0)),"No aplica")</f>
        <v/>
      </c>
      <c r="P341" s="28">
        <f>IFERROR(INDEX(MgAmenDegC,MATCH(SUBSTITUTE($H341,"*","-"),MgAmenClave,0)),"No aplica")</f>
        <v/>
      </c>
      <c r="Q341" s="29">
        <f>IFERROR(VLOOKUP(K341,MgValor,2,0)*VLOOKUP(N341,MgDeg,2,0),0)</f>
        <v/>
      </c>
      <c r="R341" s="29">
        <f>IFERROR(VLOOKUP(L341,MgValor,2,0)*VLOOKUP(O341,MgDeg,2,0),0)</f>
        <v/>
      </c>
      <c r="S341" s="29">
        <f>IFERROR(VLOOKUP(M341,MgValor,2,0)*VLOOKUP(P341,MgDeg,2,0),0)</f>
        <v/>
      </c>
      <c r="T341" s="30">
        <f>MAX(Q341:S341)</f>
        <v/>
      </c>
      <c r="U341" s="28">
        <f>IFERROR(LOOKUP(T341,{0;0.5;1.5;3;4.5},{"Despreciable";"Bajo";"Medio";"Alto";"Muy alto"}),"")</f>
        <v/>
      </c>
      <c r="V341" s="13">
        <f>IFERROR(INDEX(MgAmenFrec,MATCH(SUBSTITUTE($H341,"*","-"),MgAmenClave,0)),"")</f>
        <v/>
      </c>
      <c r="W341" s="28">
        <f>IFERROR(LOOKUP(X341,{0;0.01;0.1;1;10;100},{"Muy baja";"Muy baja";"Baja";"Media";"Alta";"Muy alta"}),"")</f>
        <v/>
      </c>
      <c r="X341" s="31">
        <f>IFERROR(VLOOKUP(V341,MgFrec,2,0),0)</f>
        <v/>
      </c>
      <c r="Y341" s="30">
        <f>T341*X341</f>
        <v/>
      </c>
      <c r="Z341" s="28">
        <f>IFERROR(LOOKUP(Y341,{0;0.5;5;25},{"Bajo";"Medio";"Alto";"Crítico"}),"")</f>
        <v/>
      </c>
      <c r="AA341" s="64">
        <f>IF(T341&gt;=3,IF(X341&gt;=1,"Zona 1 — Crítica: impacto alto y ocurre al menos una vez al año","Zona 4 — Catastrófica poco probable: impacto alto pero excepcional"),IF(AND(T341&lt;1.5,X341&lt;1),"Zona 3 — Asumible: impacto bajo y muy poco frecuente","Zona 2 — Atención: riesgo intermedio"))</f>
        <v/>
      </c>
      <c r="AB341" s="64">
        <f>IFERROR(INDEX(MgAmenCtrl,MATCH(SUBSTITUTE($H341,"*","-"),MgAmenClave,0)),"")</f>
        <v/>
      </c>
      <c r="AC341" s="20" t="n"/>
      <c r="AD341" s="31">
        <f>IFERROR($X341*(1-IF($AC341="",$AL341,VLOOKUP($AC341,MgMad,2,0))),"")</f>
        <v/>
      </c>
      <c r="AE341" s="28">
        <f>IFERROR(LOOKUP(AD341,{0;0.01;0.1;1;10;100},{"Muy baja";"Muy baja";"Baja";"Media";"Alta";"Muy alta"}),"")</f>
        <v/>
      </c>
      <c r="AF341" s="30">
        <f>T341*AD341</f>
        <v/>
      </c>
      <c r="AG341" s="28">
        <f>IFERROR(LOOKUP(AF341,{0;0.5;5;25},{"Bajo";"Medio";"Alto";"Crítico"}),"")</f>
        <v/>
      </c>
      <c r="AH341" s="28">
        <f>IF(AG341="","",IF(OR(AG341="Crítico",AG341="Alto"),"Mitigar",IF(AG341="Medio","Mitigar","Aceptar y monitorear")))</f>
        <v/>
      </c>
      <c r="AI341" s="21" t="n"/>
      <c r="AJ341" s="21" t="n"/>
      <c r="AK341" s="20" t="n"/>
      <c r="AL341" s="77">
        <f>IFERROR(INDEX(MgAmenEfic,MATCH(SUBSTITUTE($H341,"*","-"),MgAmenClave,0)),0)</f>
        <v/>
      </c>
    </row>
    <row r="342" hidden="1" ht="90" customHeight="1" s="54">
      <c r="B342" s="59" t="inlineStr">
        <is>
          <t>R-0337</t>
        </is>
      </c>
      <c r="C342" s="59" t="inlineStr">
        <is>
          <t>DO-04</t>
        </is>
      </c>
      <c r="D342" s="64">
        <f>IFERROR(INDEX(MgNombre,MATCH($C342,MgActId,0)),"")</f>
        <v/>
      </c>
      <c r="E342" s="64">
        <f>IFERROR(INDEX(MgProceso,MATCH($C342,MgActId,0)),"")</f>
        <v/>
      </c>
      <c r="F342" s="64">
        <f>IFERROR(INDEX(MgTipo,MATCH($C342,MgActId,0)),"")</f>
        <v/>
      </c>
      <c r="G342" s="64">
        <f>IFERROR(INDEX(MgSubtipo,MATCH($C342,MgActId,0)),"")</f>
        <v/>
      </c>
      <c r="H342" s="59" t="inlineStr">
        <is>
          <t>E.15</t>
        </is>
      </c>
      <c r="I342" s="64">
        <f>IFERROR(INDEX(MgAmenNombre,MATCH(SUBSTITUTE($H342,"*","-"),MgAmenClave,0)),"")</f>
        <v/>
      </c>
      <c r="J342" s="28">
        <f>IFERROR(INDEX(MgAmenGrupo,MATCH(SUBSTITUTE($H342,"*","-"),MgAmenClave,0)),"")</f>
        <v/>
      </c>
      <c r="K342" s="64">
        <f>IFERROR(INDEX('1. Matriz de Activos'!$Q$6:$Q$239,MATCH($C342,MgActId,0)),"")</f>
        <v/>
      </c>
      <c r="L342" s="64">
        <f>IFERROR(INDEX('1. Matriz de Activos'!$R$6:$R$239,MATCH($C342,MgActId,0)),"")</f>
        <v/>
      </c>
      <c r="M342" s="64">
        <f>IFERROR(INDEX('1. Matriz de Activos'!$S$6:$S$239,MATCH($C342,MgActId,0)),"")</f>
        <v/>
      </c>
      <c r="N342" s="28">
        <f>IFERROR(INDEX(MgAmenDegD,MATCH(SUBSTITUTE($H342,"*","-"),MgAmenClave,0)),"No aplica")</f>
        <v/>
      </c>
      <c r="O342" s="28">
        <f>IFERROR(INDEX(MgAmenDegI,MATCH(SUBSTITUTE($H342,"*","-"),MgAmenClave,0)),"No aplica")</f>
        <v/>
      </c>
      <c r="P342" s="28">
        <f>IFERROR(INDEX(MgAmenDegC,MATCH(SUBSTITUTE($H342,"*","-"),MgAmenClave,0)),"No aplica")</f>
        <v/>
      </c>
      <c r="Q342" s="29">
        <f>IFERROR(VLOOKUP(K342,MgValor,2,0)*VLOOKUP(N342,MgDeg,2,0),0)</f>
        <v/>
      </c>
      <c r="R342" s="29">
        <f>IFERROR(VLOOKUP(L342,MgValor,2,0)*VLOOKUP(O342,MgDeg,2,0),0)</f>
        <v/>
      </c>
      <c r="S342" s="29">
        <f>IFERROR(VLOOKUP(M342,MgValor,2,0)*VLOOKUP(P342,MgDeg,2,0),0)</f>
        <v/>
      </c>
      <c r="T342" s="30">
        <f>MAX(Q342:S342)</f>
        <v/>
      </c>
      <c r="U342" s="28">
        <f>IFERROR(LOOKUP(T342,{0;0.5;1.5;3;4.5},{"Despreciable";"Bajo";"Medio";"Alto";"Muy alto"}),"")</f>
        <v/>
      </c>
      <c r="V342" s="13">
        <f>IFERROR(INDEX(MgAmenFrec,MATCH(SUBSTITUTE($H342,"*","-"),MgAmenClave,0)),"")</f>
        <v/>
      </c>
      <c r="W342" s="28">
        <f>IFERROR(LOOKUP(X342,{0;0.01;0.1;1;10;100},{"Muy baja";"Muy baja";"Baja";"Media";"Alta";"Muy alta"}),"")</f>
        <v/>
      </c>
      <c r="X342" s="31">
        <f>IFERROR(VLOOKUP(V342,MgFrec,2,0),0)</f>
        <v/>
      </c>
      <c r="Y342" s="30">
        <f>T342*X342</f>
        <v/>
      </c>
      <c r="Z342" s="28">
        <f>IFERROR(LOOKUP(Y342,{0;0.5;5;25},{"Bajo";"Medio";"Alto";"Crítico"}),"")</f>
        <v/>
      </c>
      <c r="AA342" s="64">
        <f>IF(T342&gt;=3,IF(X342&gt;=1,"Zona 1 — Crítica: impacto alto y ocurre al menos una vez al año","Zona 4 — Catastrófica poco probable: impacto alto pero excepcional"),IF(AND(T342&lt;1.5,X342&lt;1),"Zona 3 — Asumible: impacto bajo y muy poco frecuente","Zona 2 — Atención: riesgo intermedio"))</f>
        <v/>
      </c>
      <c r="AB342" s="64">
        <f>IFERROR(INDEX(MgAmenCtrl,MATCH(SUBSTITUTE($H342,"*","-"),MgAmenClave,0)),"")</f>
        <v/>
      </c>
      <c r="AC342" s="20" t="n"/>
      <c r="AD342" s="31">
        <f>IFERROR($X342*(1-IF($AC342="",$AL342,VLOOKUP($AC342,MgMad,2,0))),"")</f>
        <v/>
      </c>
      <c r="AE342" s="28">
        <f>IFERROR(LOOKUP(AD342,{0;0.01;0.1;1;10;100},{"Muy baja";"Muy baja";"Baja";"Media";"Alta";"Muy alta"}),"")</f>
        <v/>
      </c>
      <c r="AF342" s="30">
        <f>T342*AD342</f>
        <v/>
      </c>
      <c r="AG342" s="28">
        <f>IFERROR(LOOKUP(AF342,{0;0.5;5;25},{"Bajo";"Medio";"Alto";"Crítico"}),"")</f>
        <v/>
      </c>
      <c r="AH342" s="28">
        <f>IF(AG342="","",IF(OR(AG342="Crítico",AG342="Alto"),"Mitigar",IF(AG342="Medio","Mitigar","Aceptar y monitorear")))</f>
        <v/>
      </c>
      <c r="AI342" s="21" t="n"/>
      <c r="AJ342" s="21" t="n"/>
      <c r="AK342" s="20" t="n"/>
      <c r="AL342" s="77">
        <f>IFERROR(INDEX(MgAmenEfic,MATCH(SUBSTITUTE($H342,"*","-"),MgAmenClave,0)),0)</f>
        <v/>
      </c>
    </row>
    <row r="343" hidden="1" ht="60" customHeight="1" s="54">
      <c r="B343" s="59" t="inlineStr">
        <is>
          <t>R-0338</t>
        </is>
      </c>
      <c r="C343" s="59" t="inlineStr">
        <is>
          <t>DO-04</t>
        </is>
      </c>
      <c r="D343" s="64">
        <f>IFERROR(INDEX(MgNombre,MATCH($C343,MgActId,0)),"")</f>
        <v/>
      </c>
      <c r="E343" s="64">
        <f>IFERROR(INDEX(MgProceso,MATCH($C343,MgActId,0)),"")</f>
        <v/>
      </c>
      <c r="F343" s="64">
        <f>IFERROR(INDEX(MgTipo,MATCH($C343,MgActId,0)),"")</f>
        <v/>
      </c>
      <c r="G343" s="64">
        <f>IFERROR(INDEX(MgSubtipo,MATCH($C343,MgActId,0)),"")</f>
        <v/>
      </c>
      <c r="H343" s="59" t="inlineStr">
        <is>
          <t>E.18</t>
        </is>
      </c>
      <c r="I343" s="64">
        <f>IFERROR(INDEX(MgAmenNombre,MATCH(SUBSTITUTE($H343,"*","-"),MgAmenClave,0)),"")</f>
        <v/>
      </c>
      <c r="J343" s="28">
        <f>IFERROR(INDEX(MgAmenGrupo,MATCH(SUBSTITUTE($H343,"*","-"),MgAmenClave,0)),"")</f>
        <v/>
      </c>
      <c r="K343" s="64">
        <f>IFERROR(INDEX('1. Matriz de Activos'!$Q$6:$Q$239,MATCH($C343,MgActId,0)),"")</f>
        <v/>
      </c>
      <c r="L343" s="64">
        <f>IFERROR(INDEX('1. Matriz de Activos'!$R$6:$R$239,MATCH($C343,MgActId,0)),"")</f>
        <v/>
      </c>
      <c r="M343" s="64">
        <f>IFERROR(INDEX('1. Matriz de Activos'!$S$6:$S$239,MATCH($C343,MgActId,0)),"")</f>
        <v/>
      </c>
      <c r="N343" s="28">
        <f>IFERROR(INDEX(MgAmenDegD,MATCH(SUBSTITUTE($H343,"*","-"),MgAmenClave,0)),"No aplica")</f>
        <v/>
      </c>
      <c r="O343" s="28">
        <f>IFERROR(INDEX(MgAmenDegI,MATCH(SUBSTITUTE($H343,"*","-"),MgAmenClave,0)),"No aplica")</f>
        <v/>
      </c>
      <c r="P343" s="28">
        <f>IFERROR(INDEX(MgAmenDegC,MATCH(SUBSTITUTE($H343,"*","-"),MgAmenClave,0)),"No aplica")</f>
        <v/>
      </c>
      <c r="Q343" s="29">
        <f>IFERROR(VLOOKUP(K343,MgValor,2,0)*VLOOKUP(N343,MgDeg,2,0),0)</f>
        <v/>
      </c>
      <c r="R343" s="29">
        <f>IFERROR(VLOOKUP(L343,MgValor,2,0)*VLOOKUP(O343,MgDeg,2,0),0)</f>
        <v/>
      </c>
      <c r="S343" s="29">
        <f>IFERROR(VLOOKUP(M343,MgValor,2,0)*VLOOKUP(P343,MgDeg,2,0),0)</f>
        <v/>
      </c>
      <c r="T343" s="30">
        <f>MAX(Q343:S343)</f>
        <v/>
      </c>
      <c r="U343" s="28">
        <f>IFERROR(LOOKUP(T343,{0;0.5;1.5;3;4.5},{"Despreciable";"Bajo";"Medio";"Alto";"Muy alto"}),"")</f>
        <v/>
      </c>
      <c r="V343" s="13">
        <f>IFERROR(INDEX(MgAmenFrec,MATCH(SUBSTITUTE($H343,"*","-"),MgAmenClave,0)),"")</f>
        <v/>
      </c>
      <c r="W343" s="28">
        <f>IFERROR(LOOKUP(X343,{0;0.01;0.1;1;10;100},{"Muy baja";"Muy baja";"Baja";"Media";"Alta";"Muy alta"}),"")</f>
        <v/>
      </c>
      <c r="X343" s="31">
        <f>IFERROR(VLOOKUP(V343,MgFrec,2,0),0)</f>
        <v/>
      </c>
      <c r="Y343" s="30">
        <f>T343*X343</f>
        <v/>
      </c>
      <c r="Z343" s="28">
        <f>IFERROR(LOOKUP(Y343,{0;0.5;5;25},{"Bajo";"Medio";"Alto";"Crítico"}),"")</f>
        <v/>
      </c>
      <c r="AA343" s="64">
        <f>IF(T343&gt;=3,IF(X343&gt;=1,"Zona 1 — Crítica: impacto alto y ocurre al menos una vez al año","Zona 4 — Catastrófica poco probable: impacto alto pero excepcional"),IF(AND(T343&lt;1.5,X343&lt;1),"Zona 3 — Asumible: impacto bajo y muy poco frecuente","Zona 2 — Atención: riesgo intermedio"))</f>
        <v/>
      </c>
      <c r="AB343" s="64">
        <f>IFERROR(INDEX(MgAmenCtrl,MATCH(SUBSTITUTE($H343,"*","-"),MgAmenClave,0)),"")</f>
        <v/>
      </c>
      <c r="AC343" s="20" t="n"/>
      <c r="AD343" s="31">
        <f>IFERROR($X343*(1-IF($AC343="",$AL343,VLOOKUP($AC343,MgMad,2,0))),"")</f>
        <v/>
      </c>
      <c r="AE343" s="28">
        <f>IFERROR(LOOKUP(AD343,{0;0.01;0.1;1;10;100},{"Muy baja";"Muy baja";"Baja";"Media";"Alta";"Muy alta"}),"")</f>
        <v/>
      </c>
      <c r="AF343" s="30">
        <f>T343*AD343</f>
        <v/>
      </c>
      <c r="AG343" s="28">
        <f>IFERROR(LOOKUP(AF343,{0;0.5;5;25},{"Bajo";"Medio";"Alto";"Crítico"}),"")</f>
        <v/>
      </c>
      <c r="AH343" s="28">
        <f>IF(AG343="","",IF(OR(AG343="Crítico",AG343="Alto"),"Mitigar",IF(AG343="Medio","Mitigar","Aceptar y monitorear")))</f>
        <v/>
      </c>
      <c r="AI343" s="21" t="n"/>
      <c r="AJ343" s="21" t="n"/>
      <c r="AK343" s="20" t="n"/>
      <c r="AL343" s="77">
        <f>IFERROR(INDEX(MgAmenEfic,MATCH(SUBSTITUTE($H343,"*","-"),MgAmenClave,0)),0)</f>
        <v/>
      </c>
    </row>
    <row r="344" hidden="1" ht="105" customHeight="1" s="54">
      <c r="B344" s="59" t="inlineStr">
        <is>
          <t>R-0339</t>
        </is>
      </c>
      <c r="C344" s="59" t="inlineStr">
        <is>
          <t>DO-04</t>
        </is>
      </c>
      <c r="D344" s="64">
        <f>IFERROR(INDEX(MgNombre,MATCH($C344,MgActId,0)),"")</f>
        <v/>
      </c>
      <c r="E344" s="64">
        <f>IFERROR(INDEX(MgProceso,MATCH($C344,MgActId,0)),"")</f>
        <v/>
      </c>
      <c r="F344" s="64">
        <f>IFERROR(INDEX(MgTipo,MATCH($C344,MgActId,0)),"")</f>
        <v/>
      </c>
      <c r="G344" s="64">
        <f>IFERROR(INDEX(MgSubtipo,MATCH($C344,MgActId,0)),"")</f>
        <v/>
      </c>
      <c r="H344" s="59" t="inlineStr">
        <is>
          <t>E.19</t>
        </is>
      </c>
      <c r="I344" s="64">
        <f>IFERROR(INDEX(MgAmenNombre,MATCH(SUBSTITUTE($H344,"*","-"),MgAmenClave,0)),"")</f>
        <v/>
      </c>
      <c r="J344" s="28">
        <f>IFERROR(INDEX(MgAmenGrupo,MATCH(SUBSTITUTE($H344,"*","-"),MgAmenClave,0)),"")</f>
        <v/>
      </c>
      <c r="K344" s="64">
        <f>IFERROR(INDEX('1. Matriz de Activos'!$Q$6:$Q$239,MATCH($C344,MgActId,0)),"")</f>
        <v/>
      </c>
      <c r="L344" s="64">
        <f>IFERROR(INDEX('1. Matriz de Activos'!$R$6:$R$239,MATCH($C344,MgActId,0)),"")</f>
        <v/>
      </c>
      <c r="M344" s="64">
        <f>IFERROR(INDEX('1. Matriz de Activos'!$S$6:$S$239,MATCH($C344,MgActId,0)),"")</f>
        <v/>
      </c>
      <c r="N344" s="28">
        <f>IFERROR(INDEX(MgAmenDegD,MATCH(SUBSTITUTE($H344,"*","-"),MgAmenClave,0)),"No aplica")</f>
        <v/>
      </c>
      <c r="O344" s="28">
        <f>IFERROR(INDEX(MgAmenDegI,MATCH(SUBSTITUTE($H344,"*","-"),MgAmenClave,0)),"No aplica")</f>
        <v/>
      </c>
      <c r="P344" s="28">
        <f>IFERROR(INDEX(MgAmenDegC,MATCH(SUBSTITUTE($H344,"*","-"),MgAmenClave,0)),"No aplica")</f>
        <v/>
      </c>
      <c r="Q344" s="29">
        <f>IFERROR(VLOOKUP(K344,MgValor,2,0)*VLOOKUP(N344,MgDeg,2,0),0)</f>
        <v/>
      </c>
      <c r="R344" s="29">
        <f>IFERROR(VLOOKUP(L344,MgValor,2,0)*VLOOKUP(O344,MgDeg,2,0),0)</f>
        <v/>
      </c>
      <c r="S344" s="29">
        <f>IFERROR(VLOOKUP(M344,MgValor,2,0)*VLOOKUP(P344,MgDeg,2,0),0)</f>
        <v/>
      </c>
      <c r="T344" s="30">
        <f>MAX(Q344:S344)</f>
        <v/>
      </c>
      <c r="U344" s="28">
        <f>IFERROR(LOOKUP(T344,{0;0.5;1.5;3;4.5},{"Despreciable";"Bajo";"Medio";"Alto";"Muy alto"}),"")</f>
        <v/>
      </c>
      <c r="V344" s="13">
        <f>IFERROR(INDEX(MgAmenFrec,MATCH(SUBSTITUTE($H344,"*","-"),MgAmenClave,0)),"")</f>
        <v/>
      </c>
      <c r="W344" s="28">
        <f>IFERROR(LOOKUP(X344,{0;0.01;0.1;1;10;100},{"Muy baja";"Muy baja";"Baja";"Media";"Alta";"Muy alta"}),"")</f>
        <v/>
      </c>
      <c r="X344" s="31">
        <f>IFERROR(VLOOKUP(V344,MgFrec,2,0),0)</f>
        <v/>
      </c>
      <c r="Y344" s="30">
        <f>T344*X344</f>
        <v/>
      </c>
      <c r="Z344" s="28">
        <f>IFERROR(LOOKUP(Y344,{0;0.5;5;25},{"Bajo";"Medio";"Alto";"Crítico"}),"")</f>
        <v/>
      </c>
      <c r="AA344" s="64">
        <f>IF(T344&gt;=3,IF(X344&gt;=1,"Zona 1 — Crítica: impacto alto y ocurre al menos una vez al año","Zona 4 — Catastrófica poco probable: impacto alto pero excepcional"),IF(AND(T344&lt;1.5,X344&lt;1),"Zona 3 — Asumible: impacto bajo y muy poco frecuente","Zona 2 — Atención: riesgo intermedio"))</f>
        <v/>
      </c>
      <c r="AB344" s="64">
        <f>IFERROR(INDEX(MgAmenCtrl,MATCH(SUBSTITUTE($H344,"*","-"),MgAmenClave,0)),"")</f>
        <v/>
      </c>
      <c r="AC344" s="20" t="n"/>
      <c r="AD344" s="31">
        <f>IFERROR($X344*(1-IF($AC344="",$AL344,VLOOKUP($AC344,MgMad,2,0))),"")</f>
        <v/>
      </c>
      <c r="AE344" s="28">
        <f>IFERROR(LOOKUP(AD344,{0;0.01;0.1;1;10;100},{"Muy baja";"Muy baja";"Baja";"Media";"Alta";"Muy alta"}),"")</f>
        <v/>
      </c>
      <c r="AF344" s="30">
        <f>T344*AD344</f>
        <v/>
      </c>
      <c r="AG344" s="28">
        <f>IFERROR(LOOKUP(AF344,{0;0.5;5;25},{"Bajo";"Medio";"Alto";"Crítico"}),"")</f>
        <v/>
      </c>
      <c r="AH344" s="28">
        <f>IF(AG344="","",IF(OR(AG344="Crítico",AG344="Alto"),"Mitigar",IF(AG344="Medio","Mitigar","Aceptar y monitorear")))</f>
        <v/>
      </c>
      <c r="AI344" s="21" t="n"/>
      <c r="AJ344" s="21" t="n"/>
      <c r="AK344" s="20" t="n"/>
      <c r="AL344" s="77">
        <f>IFERROR(INDEX(MgAmenEfic,MATCH(SUBSTITUTE($H344,"*","-"),MgAmenClave,0)),0)</f>
        <v/>
      </c>
    </row>
    <row r="345" hidden="1" ht="45" customHeight="1" s="54">
      <c r="B345" s="59" t="inlineStr">
        <is>
          <t>R-0340</t>
        </is>
      </c>
      <c r="C345" s="59" t="inlineStr">
        <is>
          <t>DO-04</t>
        </is>
      </c>
      <c r="D345" s="64">
        <f>IFERROR(INDEX(MgNombre,MATCH($C345,MgActId,0)),"")</f>
        <v/>
      </c>
      <c r="E345" s="64">
        <f>IFERROR(INDEX(MgProceso,MATCH($C345,MgActId,0)),"")</f>
        <v/>
      </c>
      <c r="F345" s="64">
        <f>IFERROR(INDEX(MgTipo,MATCH($C345,MgActId,0)),"")</f>
        <v/>
      </c>
      <c r="G345" s="64">
        <f>IFERROR(INDEX(MgSubtipo,MATCH($C345,MgActId,0)),"")</f>
        <v/>
      </c>
      <c r="H345" s="59" t="inlineStr">
        <is>
          <t>E.24</t>
        </is>
      </c>
      <c r="I345" s="64">
        <f>IFERROR(INDEX(MgAmenNombre,MATCH(SUBSTITUTE($H345,"*","-"),MgAmenClave,0)),"")</f>
        <v/>
      </c>
      <c r="J345" s="28">
        <f>IFERROR(INDEX(MgAmenGrupo,MATCH(SUBSTITUTE($H345,"*","-"),MgAmenClave,0)),"")</f>
        <v/>
      </c>
      <c r="K345" s="64">
        <f>IFERROR(INDEX('1. Matriz de Activos'!$Q$6:$Q$239,MATCH($C345,MgActId,0)),"")</f>
        <v/>
      </c>
      <c r="L345" s="64">
        <f>IFERROR(INDEX('1. Matriz de Activos'!$R$6:$R$239,MATCH($C345,MgActId,0)),"")</f>
        <v/>
      </c>
      <c r="M345" s="64">
        <f>IFERROR(INDEX('1. Matriz de Activos'!$S$6:$S$239,MATCH($C345,MgActId,0)),"")</f>
        <v/>
      </c>
      <c r="N345" s="28">
        <f>IFERROR(INDEX(MgAmenDegD,MATCH(SUBSTITUTE($H345,"*","-"),MgAmenClave,0)),"No aplica")</f>
        <v/>
      </c>
      <c r="O345" s="28">
        <f>IFERROR(INDEX(MgAmenDegI,MATCH(SUBSTITUTE($H345,"*","-"),MgAmenClave,0)),"No aplica")</f>
        <v/>
      </c>
      <c r="P345" s="28">
        <f>IFERROR(INDEX(MgAmenDegC,MATCH(SUBSTITUTE($H345,"*","-"),MgAmenClave,0)),"No aplica")</f>
        <v/>
      </c>
      <c r="Q345" s="29">
        <f>IFERROR(VLOOKUP(K345,MgValor,2,0)*VLOOKUP(N345,MgDeg,2,0),0)</f>
        <v/>
      </c>
      <c r="R345" s="29">
        <f>IFERROR(VLOOKUP(L345,MgValor,2,0)*VLOOKUP(O345,MgDeg,2,0),0)</f>
        <v/>
      </c>
      <c r="S345" s="29">
        <f>IFERROR(VLOOKUP(M345,MgValor,2,0)*VLOOKUP(P345,MgDeg,2,0),0)</f>
        <v/>
      </c>
      <c r="T345" s="30">
        <f>MAX(Q345:S345)</f>
        <v/>
      </c>
      <c r="U345" s="28">
        <f>IFERROR(LOOKUP(T345,{0;0.5;1.5;3;4.5},{"Despreciable";"Bajo";"Medio";"Alto";"Muy alto"}),"")</f>
        <v/>
      </c>
      <c r="V345" s="13">
        <f>IFERROR(INDEX(MgAmenFrec,MATCH(SUBSTITUTE($H345,"*","-"),MgAmenClave,0)),"")</f>
        <v/>
      </c>
      <c r="W345" s="28">
        <f>IFERROR(LOOKUP(X345,{0;0.01;0.1;1;10;100},{"Muy baja";"Muy baja";"Baja";"Media";"Alta";"Muy alta"}),"")</f>
        <v/>
      </c>
      <c r="X345" s="31">
        <f>IFERROR(VLOOKUP(V345,MgFrec,2,0),0)</f>
        <v/>
      </c>
      <c r="Y345" s="30">
        <f>T345*X345</f>
        <v/>
      </c>
      <c r="Z345" s="28">
        <f>IFERROR(LOOKUP(Y345,{0;0.5;5;25},{"Bajo";"Medio";"Alto";"Crítico"}),"")</f>
        <v/>
      </c>
      <c r="AA345" s="64">
        <f>IF(T345&gt;=3,IF(X345&gt;=1,"Zona 1 — Crítica: impacto alto y ocurre al menos una vez al año","Zona 4 — Catastrófica poco probable: impacto alto pero excepcional"),IF(AND(T345&lt;1.5,X345&lt;1),"Zona 3 — Asumible: impacto bajo y muy poco frecuente","Zona 2 — Atención: riesgo intermedio"))</f>
        <v/>
      </c>
      <c r="AB345" s="64">
        <f>IFERROR(INDEX(MgAmenCtrl,MATCH(SUBSTITUTE($H345,"*","-"),MgAmenClave,0)),"")</f>
        <v/>
      </c>
      <c r="AC345" s="20" t="n"/>
      <c r="AD345" s="31">
        <f>IFERROR($X345*(1-IF($AC345="",$AL345,VLOOKUP($AC345,MgMad,2,0))),"")</f>
        <v/>
      </c>
      <c r="AE345" s="28">
        <f>IFERROR(LOOKUP(AD345,{0;0.01;0.1;1;10;100},{"Muy baja";"Muy baja";"Baja";"Media";"Alta";"Muy alta"}),"")</f>
        <v/>
      </c>
      <c r="AF345" s="30">
        <f>T345*AD345</f>
        <v/>
      </c>
      <c r="AG345" s="28">
        <f>IFERROR(LOOKUP(AF345,{0;0.5;5;25},{"Bajo";"Medio";"Alto";"Crítico"}),"")</f>
        <v/>
      </c>
      <c r="AH345" s="28">
        <f>IF(AG345="","",IF(OR(AG345="Crítico",AG345="Alto"),"Mitigar",IF(AG345="Medio","Mitigar","Aceptar y monitorear")))</f>
        <v/>
      </c>
      <c r="AI345" s="21" t="n"/>
      <c r="AJ345" s="21" t="n"/>
      <c r="AK345" s="20" t="n"/>
      <c r="AL345" s="77">
        <f>IFERROR(INDEX(MgAmenEfic,MATCH(SUBSTITUTE($H345,"*","-"),MgAmenClave,0)),0)</f>
        <v/>
      </c>
    </row>
    <row r="346" hidden="1" ht="75" customHeight="1" s="54">
      <c r="B346" s="59" t="inlineStr">
        <is>
          <t>R-0341</t>
        </is>
      </c>
      <c r="C346" s="59" t="inlineStr">
        <is>
          <t>DO-04</t>
        </is>
      </c>
      <c r="D346" s="64">
        <f>IFERROR(INDEX(MgNombre,MATCH($C346,MgActId,0)),"")</f>
        <v/>
      </c>
      <c r="E346" s="64">
        <f>IFERROR(INDEX(MgProceso,MATCH($C346,MgActId,0)),"")</f>
        <v/>
      </c>
      <c r="F346" s="64">
        <f>IFERROR(INDEX(MgTipo,MATCH($C346,MgActId,0)),"")</f>
        <v/>
      </c>
      <c r="G346" s="64">
        <f>IFERROR(INDEX(MgSubtipo,MATCH($C346,MgActId,0)),"")</f>
        <v/>
      </c>
      <c r="H346" s="59" t="inlineStr">
        <is>
          <t>A.5</t>
        </is>
      </c>
      <c r="I346" s="64">
        <f>IFERROR(INDEX(MgAmenNombre,MATCH(SUBSTITUTE($H346,"*","-"),MgAmenClave,0)),"")</f>
        <v/>
      </c>
      <c r="J346" s="28">
        <f>IFERROR(INDEX(MgAmenGrupo,MATCH(SUBSTITUTE($H346,"*","-"),MgAmenClave,0)),"")</f>
        <v/>
      </c>
      <c r="K346" s="64">
        <f>IFERROR(INDEX('1. Matriz de Activos'!$Q$6:$Q$239,MATCH($C346,MgActId,0)),"")</f>
        <v/>
      </c>
      <c r="L346" s="64">
        <f>IFERROR(INDEX('1. Matriz de Activos'!$R$6:$R$239,MATCH($C346,MgActId,0)),"")</f>
        <v/>
      </c>
      <c r="M346" s="64">
        <f>IFERROR(INDEX('1. Matriz de Activos'!$S$6:$S$239,MATCH($C346,MgActId,0)),"")</f>
        <v/>
      </c>
      <c r="N346" s="28">
        <f>IFERROR(INDEX(MgAmenDegD,MATCH(SUBSTITUTE($H346,"*","-"),MgAmenClave,0)),"No aplica")</f>
        <v/>
      </c>
      <c r="O346" s="28">
        <f>IFERROR(INDEX(MgAmenDegI,MATCH(SUBSTITUTE($H346,"*","-"),MgAmenClave,0)),"No aplica")</f>
        <v/>
      </c>
      <c r="P346" s="28">
        <f>IFERROR(INDEX(MgAmenDegC,MATCH(SUBSTITUTE($H346,"*","-"),MgAmenClave,0)),"No aplica")</f>
        <v/>
      </c>
      <c r="Q346" s="29">
        <f>IFERROR(VLOOKUP(K346,MgValor,2,0)*VLOOKUP(N346,MgDeg,2,0),0)</f>
        <v/>
      </c>
      <c r="R346" s="29">
        <f>IFERROR(VLOOKUP(L346,MgValor,2,0)*VLOOKUP(O346,MgDeg,2,0),0)</f>
        <v/>
      </c>
      <c r="S346" s="29">
        <f>IFERROR(VLOOKUP(M346,MgValor,2,0)*VLOOKUP(P346,MgDeg,2,0),0)</f>
        <v/>
      </c>
      <c r="T346" s="30">
        <f>MAX(Q346:S346)</f>
        <v/>
      </c>
      <c r="U346" s="28">
        <f>IFERROR(LOOKUP(T346,{0;0.5;1.5;3;4.5},{"Despreciable";"Bajo";"Medio";"Alto";"Muy alto"}),"")</f>
        <v/>
      </c>
      <c r="V346" s="13">
        <f>IFERROR(INDEX(MgAmenFrec,MATCH(SUBSTITUTE($H346,"*","-"),MgAmenClave,0)),"")</f>
        <v/>
      </c>
      <c r="W346" s="28">
        <f>IFERROR(LOOKUP(X346,{0;0.01;0.1;1;10;100},{"Muy baja";"Muy baja";"Baja";"Media";"Alta";"Muy alta"}),"")</f>
        <v/>
      </c>
      <c r="X346" s="31">
        <f>IFERROR(VLOOKUP(V346,MgFrec,2,0),0)</f>
        <v/>
      </c>
      <c r="Y346" s="30">
        <f>T346*X346</f>
        <v/>
      </c>
      <c r="Z346" s="28">
        <f>IFERROR(LOOKUP(Y346,{0;0.5;5;25},{"Bajo";"Medio";"Alto";"Crítico"}),"")</f>
        <v/>
      </c>
      <c r="AA346" s="64">
        <f>IF(T346&gt;=3,IF(X346&gt;=1,"Zona 1 — Crítica: impacto alto y ocurre al menos una vez al año","Zona 4 — Catastrófica poco probable: impacto alto pero excepcional"),IF(AND(T346&lt;1.5,X346&lt;1),"Zona 3 — Asumible: impacto bajo y muy poco frecuente","Zona 2 — Atención: riesgo intermedio"))</f>
        <v/>
      </c>
      <c r="AB346" s="64">
        <f>IFERROR(INDEX(MgAmenCtrl,MATCH(SUBSTITUTE($H346,"*","-"),MgAmenClave,0)),"")</f>
        <v/>
      </c>
      <c r="AC346" s="20" t="n"/>
      <c r="AD346" s="31">
        <f>IFERROR($X346*(1-IF($AC346="",$AL346,VLOOKUP($AC346,MgMad,2,0))),"")</f>
        <v/>
      </c>
      <c r="AE346" s="28">
        <f>IFERROR(LOOKUP(AD346,{0;0.01;0.1;1;10;100},{"Muy baja";"Muy baja";"Baja";"Media";"Alta";"Muy alta"}),"")</f>
        <v/>
      </c>
      <c r="AF346" s="30">
        <f>T346*AD346</f>
        <v/>
      </c>
      <c r="AG346" s="28">
        <f>IFERROR(LOOKUP(AF346,{0;0.5;5;25},{"Bajo";"Medio";"Alto";"Crítico"}),"")</f>
        <v/>
      </c>
      <c r="AH346" s="28">
        <f>IF(AG346="","",IF(OR(AG346="Crítico",AG346="Alto"),"Mitigar",IF(AG346="Medio","Mitigar","Aceptar y monitorear")))</f>
        <v/>
      </c>
      <c r="AI346" s="21" t="n"/>
      <c r="AJ346" s="21" t="n"/>
      <c r="AK346" s="20" t="n"/>
      <c r="AL346" s="77">
        <f>IFERROR(INDEX(MgAmenEfic,MATCH(SUBSTITUTE($H346,"*","-"),MgAmenClave,0)),0)</f>
        <v/>
      </c>
    </row>
    <row r="347" hidden="1" ht="105" customHeight="1" s="54">
      <c r="B347" s="59" t="inlineStr">
        <is>
          <t>R-0342</t>
        </is>
      </c>
      <c r="C347" s="59" t="inlineStr">
        <is>
          <t>DO-04</t>
        </is>
      </c>
      <c r="D347" s="64">
        <f>IFERROR(INDEX(MgNombre,MATCH($C347,MgActId,0)),"")</f>
        <v/>
      </c>
      <c r="E347" s="64">
        <f>IFERROR(INDEX(MgProceso,MATCH($C347,MgActId,0)),"")</f>
        <v/>
      </c>
      <c r="F347" s="64">
        <f>IFERROR(INDEX(MgTipo,MATCH($C347,MgActId,0)),"")</f>
        <v/>
      </c>
      <c r="G347" s="64">
        <f>IFERROR(INDEX(MgSubtipo,MATCH($C347,MgActId,0)),"")</f>
        <v/>
      </c>
      <c r="H347" s="59" t="inlineStr">
        <is>
          <t>A.6</t>
        </is>
      </c>
      <c r="I347" s="64">
        <f>IFERROR(INDEX(MgAmenNombre,MATCH(SUBSTITUTE($H347,"*","-"),MgAmenClave,0)),"")</f>
        <v/>
      </c>
      <c r="J347" s="28">
        <f>IFERROR(INDEX(MgAmenGrupo,MATCH(SUBSTITUTE($H347,"*","-"),MgAmenClave,0)),"")</f>
        <v/>
      </c>
      <c r="K347" s="64">
        <f>IFERROR(INDEX('1. Matriz de Activos'!$Q$6:$Q$239,MATCH($C347,MgActId,0)),"")</f>
        <v/>
      </c>
      <c r="L347" s="64">
        <f>IFERROR(INDEX('1. Matriz de Activos'!$R$6:$R$239,MATCH($C347,MgActId,0)),"")</f>
        <v/>
      </c>
      <c r="M347" s="64">
        <f>IFERROR(INDEX('1. Matriz de Activos'!$S$6:$S$239,MATCH($C347,MgActId,0)),"")</f>
        <v/>
      </c>
      <c r="N347" s="28">
        <f>IFERROR(INDEX(MgAmenDegD,MATCH(SUBSTITUTE($H347,"*","-"),MgAmenClave,0)),"No aplica")</f>
        <v/>
      </c>
      <c r="O347" s="28">
        <f>IFERROR(INDEX(MgAmenDegI,MATCH(SUBSTITUTE($H347,"*","-"),MgAmenClave,0)),"No aplica")</f>
        <v/>
      </c>
      <c r="P347" s="28">
        <f>IFERROR(INDEX(MgAmenDegC,MATCH(SUBSTITUTE($H347,"*","-"),MgAmenClave,0)),"No aplica")</f>
        <v/>
      </c>
      <c r="Q347" s="29">
        <f>IFERROR(VLOOKUP(K347,MgValor,2,0)*VLOOKUP(N347,MgDeg,2,0),0)</f>
        <v/>
      </c>
      <c r="R347" s="29">
        <f>IFERROR(VLOOKUP(L347,MgValor,2,0)*VLOOKUP(O347,MgDeg,2,0),0)</f>
        <v/>
      </c>
      <c r="S347" s="29">
        <f>IFERROR(VLOOKUP(M347,MgValor,2,0)*VLOOKUP(P347,MgDeg,2,0),0)</f>
        <v/>
      </c>
      <c r="T347" s="30">
        <f>MAX(Q347:S347)</f>
        <v/>
      </c>
      <c r="U347" s="28">
        <f>IFERROR(LOOKUP(T347,{0;0.5;1.5;3;4.5},{"Despreciable";"Bajo";"Medio";"Alto";"Muy alto"}),"")</f>
        <v/>
      </c>
      <c r="V347" s="13">
        <f>IFERROR(INDEX(MgAmenFrec,MATCH(SUBSTITUTE($H347,"*","-"),MgAmenClave,0)),"")</f>
        <v/>
      </c>
      <c r="W347" s="28">
        <f>IFERROR(LOOKUP(X347,{0;0.01;0.1;1;10;100},{"Muy baja";"Muy baja";"Baja";"Media";"Alta";"Muy alta"}),"")</f>
        <v/>
      </c>
      <c r="X347" s="31">
        <f>IFERROR(VLOOKUP(V347,MgFrec,2,0),0)</f>
        <v/>
      </c>
      <c r="Y347" s="30">
        <f>T347*X347</f>
        <v/>
      </c>
      <c r="Z347" s="28">
        <f>IFERROR(LOOKUP(Y347,{0;0.5;5;25},{"Bajo";"Medio";"Alto";"Crítico"}),"")</f>
        <v/>
      </c>
      <c r="AA347" s="64">
        <f>IF(T347&gt;=3,IF(X347&gt;=1,"Zona 1 — Crítica: impacto alto y ocurre al menos una vez al año","Zona 4 — Catastrófica poco probable: impacto alto pero excepcional"),IF(AND(T347&lt;1.5,X347&lt;1),"Zona 3 — Asumible: impacto bajo y muy poco frecuente","Zona 2 — Atención: riesgo intermedio"))</f>
        <v/>
      </c>
      <c r="AB347" s="64">
        <f>IFERROR(INDEX(MgAmenCtrl,MATCH(SUBSTITUTE($H347,"*","-"),MgAmenClave,0)),"")</f>
        <v/>
      </c>
      <c r="AC347" s="20" t="n"/>
      <c r="AD347" s="31">
        <f>IFERROR($X347*(1-IF($AC347="",$AL347,VLOOKUP($AC347,MgMad,2,0))),"")</f>
        <v/>
      </c>
      <c r="AE347" s="28">
        <f>IFERROR(LOOKUP(AD347,{0;0.01;0.1;1;10;100},{"Muy baja";"Muy baja";"Baja";"Media";"Alta";"Muy alta"}),"")</f>
        <v/>
      </c>
      <c r="AF347" s="30">
        <f>T347*AD347</f>
        <v/>
      </c>
      <c r="AG347" s="28">
        <f>IFERROR(LOOKUP(AF347,{0;0.5;5;25},{"Bajo";"Medio";"Alto";"Crítico"}),"")</f>
        <v/>
      </c>
      <c r="AH347" s="28">
        <f>IF(AG347="","",IF(OR(AG347="Crítico",AG347="Alto"),"Mitigar",IF(AG347="Medio","Mitigar","Aceptar y monitorear")))</f>
        <v/>
      </c>
      <c r="AI347" s="21" t="n"/>
      <c r="AJ347" s="21" t="n"/>
      <c r="AK347" s="20" t="n"/>
      <c r="AL347" s="77">
        <f>IFERROR(INDEX(MgAmenEfic,MATCH(SUBSTITUTE($H347,"*","-"),MgAmenClave,0)),0)</f>
        <v/>
      </c>
    </row>
    <row r="348" hidden="1" ht="60" customHeight="1" s="54">
      <c r="B348" s="59" t="inlineStr">
        <is>
          <t>R-0343</t>
        </is>
      </c>
      <c r="C348" s="59" t="inlineStr">
        <is>
          <t>DO-04</t>
        </is>
      </c>
      <c r="D348" s="64">
        <f>IFERROR(INDEX(MgNombre,MATCH($C348,MgActId,0)),"")</f>
        <v/>
      </c>
      <c r="E348" s="64">
        <f>IFERROR(INDEX(MgProceso,MATCH($C348,MgActId,0)),"")</f>
        <v/>
      </c>
      <c r="F348" s="64">
        <f>IFERROR(INDEX(MgTipo,MATCH($C348,MgActId,0)),"")</f>
        <v/>
      </c>
      <c r="G348" s="64">
        <f>IFERROR(INDEX(MgSubtipo,MATCH($C348,MgActId,0)),"")</f>
        <v/>
      </c>
      <c r="H348" s="59" t="inlineStr">
        <is>
          <t>A.7</t>
        </is>
      </c>
      <c r="I348" s="64">
        <f>IFERROR(INDEX(MgAmenNombre,MATCH(SUBSTITUTE($H348,"*","-"),MgAmenClave,0)),"")</f>
        <v/>
      </c>
      <c r="J348" s="28">
        <f>IFERROR(INDEX(MgAmenGrupo,MATCH(SUBSTITUTE($H348,"*","-"),MgAmenClave,0)),"")</f>
        <v/>
      </c>
      <c r="K348" s="64">
        <f>IFERROR(INDEX('1. Matriz de Activos'!$Q$6:$Q$239,MATCH($C348,MgActId,0)),"")</f>
        <v/>
      </c>
      <c r="L348" s="64">
        <f>IFERROR(INDEX('1. Matriz de Activos'!$R$6:$R$239,MATCH($C348,MgActId,0)),"")</f>
        <v/>
      </c>
      <c r="M348" s="64">
        <f>IFERROR(INDEX('1. Matriz de Activos'!$S$6:$S$239,MATCH($C348,MgActId,0)),"")</f>
        <v/>
      </c>
      <c r="N348" s="28">
        <f>IFERROR(INDEX(MgAmenDegD,MATCH(SUBSTITUTE($H348,"*","-"),MgAmenClave,0)),"No aplica")</f>
        <v/>
      </c>
      <c r="O348" s="28">
        <f>IFERROR(INDEX(MgAmenDegI,MATCH(SUBSTITUTE($H348,"*","-"),MgAmenClave,0)),"No aplica")</f>
        <v/>
      </c>
      <c r="P348" s="28">
        <f>IFERROR(INDEX(MgAmenDegC,MATCH(SUBSTITUTE($H348,"*","-"),MgAmenClave,0)),"No aplica")</f>
        <v/>
      </c>
      <c r="Q348" s="29">
        <f>IFERROR(VLOOKUP(K348,MgValor,2,0)*VLOOKUP(N348,MgDeg,2,0),0)</f>
        <v/>
      </c>
      <c r="R348" s="29">
        <f>IFERROR(VLOOKUP(L348,MgValor,2,0)*VLOOKUP(O348,MgDeg,2,0),0)</f>
        <v/>
      </c>
      <c r="S348" s="29">
        <f>IFERROR(VLOOKUP(M348,MgValor,2,0)*VLOOKUP(P348,MgDeg,2,0),0)</f>
        <v/>
      </c>
      <c r="T348" s="30">
        <f>MAX(Q348:S348)</f>
        <v/>
      </c>
      <c r="U348" s="28">
        <f>IFERROR(LOOKUP(T348,{0;0.5;1.5;3;4.5},{"Despreciable";"Bajo";"Medio";"Alto";"Muy alto"}),"")</f>
        <v/>
      </c>
      <c r="V348" s="13">
        <f>IFERROR(INDEX(MgAmenFrec,MATCH(SUBSTITUTE($H348,"*","-"),MgAmenClave,0)),"")</f>
        <v/>
      </c>
      <c r="W348" s="28">
        <f>IFERROR(LOOKUP(X348,{0;0.01;0.1;1;10;100},{"Muy baja";"Muy baja";"Baja";"Media";"Alta";"Muy alta"}),"")</f>
        <v/>
      </c>
      <c r="X348" s="31">
        <f>IFERROR(VLOOKUP(V348,MgFrec,2,0),0)</f>
        <v/>
      </c>
      <c r="Y348" s="30">
        <f>T348*X348</f>
        <v/>
      </c>
      <c r="Z348" s="28">
        <f>IFERROR(LOOKUP(Y348,{0;0.5;5;25},{"Bajo";"Medio";"Alto";"Crítico"}),"")</f>
        <v/>
      </c>
      <c r="AA348" s="64">
        <f>IF(T348&gt;=3,IF(X348&gt;=1,"Zona 1 — Crítica: impacto alto y ocurre al menos una vez al año","Zona 4 — Catastrófica poco probable: impacto alto pero excepcional"),IF(AND(T348&lt;1.5,X348&lt;1),"Zona 3 — Asumible: impacto bajo y muy poco frecuente","Zona 2 — Atención: riesgo intermedio"))</f>
        <v/>
      </c>
      <c r="AB348" s="64">
        <f>IFERROR(INDEX(MgAmenCtrl,MATCH(SUBSTITUTE($H348,"*","-"),MgAmenClave,0)),"")</f>
        <v/>
      </c>
      <c r="AC348" s="20" t="n"/>
      <c r="AD348" s="31">
        <f>IFERROR($X348*(1-IF($AC348="",$AL348,VLOOKUP($AC348,MgMad,2,0))),"")</f>
        <v/>
      </c>
      <c r="AE348" s="28">
        <f>IFERROR(LOOKUP(AD348,{0;0.01;0.1;1;10;100},{"Muy baja";"Muy baja";"Baja";"Media";"Alta";"Muy alta"}),"")</f>
        <v/>
      </c>
      <c r="AF348" s="30">
        <f>T348*AD348</f>
        <v/>
      </c>
      <c r="AG348" s="28">
        <f>IFERROR(LOOKUP(AF348,{0;0.5;5;25},{"Bajo";"Medio";"Alto";"Crítico"}),"")</f>
        <v/>
      </c>
      <c r="AH348" s="28">
        <f>IF(AG348="","",IF(OR(AG348="Crítico",AG348="Alto"),"Mitigar",IF(AG348="Medio","Mitigar","Aceptar y monitorear")))</f>
        <v/>
      </c>
      <c r="AI348" s="21" t="n"/>
      <c r="AJ348" s="21" t="n"/>
      <c r="AK348" s="20" t="n"/>
      <c r="AL348" s="77">
        <f>IFERROR(INDEX(MgAmenEfic,MATCH(SUBSTITUTE($H348,"*","-"),MgAmenClave,0)),0)</f>
        <v/>
      </c>
    </row>
    <row r="349" hidden="1" ht="60" customHeight="1" s="54">
      <c r="B349" s="59" t="inlineStr">
        <is>
          <t>R-0344</t>
        </is>
      </c>
      <c r="C349" s="59" t="inlineStr">
        <is>
          <t>DO-04</t>
        </is>
      </c>
      <c r="D349" s="64">
        <f>IFERROR(INDEX(MgNombre,MATCH($C349,MgActId,0)),"")</f>
        <v/>
      </c>
      <c r="E349" s="64">
        <f>IFERROR(INDEX(MgProceso,MATCH($C349,MgActId,0)),"")</f>
        <v/>
      </c>
      <c r="F349" s="64">
        <f>IFERROR(INDEX(MgTipo,MATCH($C349,MgActId,0)),"")</f>
        <v/>
      </c>
      <c r="G349" s="64">
        <f>IFERROR(INDEX(MgSubtipo,MATCH($C349,MgActId,0)),"")</f>
        <v/>
      </c>
      <c r="H349" s="59" t="inlineStr">
        <is>
          <t>A.9</t>
        </is>
      </c>
      <c r="I349" s="64">
        <f>IFERROR(INDEX(MgAmenNombre,MATCH(SUBSTITUTE($H349,"*","-"),MgAmenClave,0)),"")</f>
        <v/>
      </c>
      <c r="J349" s="28">
        <f>IFERROR(INDEX(MgAmenGrupo,MATCH(SUBSTITUTE($H349,"*","-"),MgAmenClave,0)),"")</f>
        <v/>
      </c>
      <c r="K349" s="64">
        <f>IFERROR(INDEX('1. Matriz de Activos'!$Q$6:$Q$239,MATCH($C349,MgActId,0)),"")</f>
        <v/>
      </c>
      <c r="L349" s="64">
        <f>IFERROR(INDEX('1. Matriz de Activos'!$R$6:$R$239,MATCH($C349,MgActId,0)),"")</f>
        <v/>
      </c>
      <c r="M349" s="64">
        <f>IFERROR(INDEX('1. Matriz de Activos'!$S$6:$S$239,MATCH($C349,MgActId,0)),"")</f>
        <v/>
      </c>
      <c r="N349" s="28">
        <f>IFERROR(INDEX(MgAmenDegD,MATCH(SUBSTITUTE($H349,"*","-"),MgAmenClave,0)),"No aplica")</f>
        <v/>
      </c>
      <c r="O349" s="28">
        <f>IFERROR(INDEX(MgAmenDegI,MATCH(SUBSTITUTE($H349,"*","-"),MgAmenClave,0)),"No aplica")</f>
        <v/>
      </c>
      <c r="P349" s="28">
        <f>IFERROR(INDEX(MgAmenDegC,MATCH(SUBSTITUTE($H349,"*","-"),MgAmenClave,0)),"No aplica")</f>
        <v/>
      </c>
      <c r="Q349" s="29">
        <f>IFERROR(VLOOKUP(K349,MgValor,2,0)*VLOOKUP(N349,MgDeg,2,0),0)</f>
        <v/>
      </c>
      <c r="R349" s="29">
        <f>IFERROR(VLOOKUP(L349,MgValor,2,0)*VLOOKUP(O349,MgDeg,2,0),0)</f>
        <v/>
      </c>
      <c r="S349" s="29">
        <f>IFERROR(VLOOKUP(M349,MgValor,2,0)*VLOOKUP(P349,MgDeg,2,0),0)</f>
        <v/>
      </c>
      <c r="T349" s="30">
        <f>MAX(Q349:S349)</f>
        <v/>
      </c>
      <c r="U349" s="28">
        <f>IFERROR(LOOKUP(T349,{0;0.5;1.5;3;4.5},{"Despreciable";"Bajo";"Medio";"Alto";"Muy alto"}),"")</f>
        <v/>
      </c>
      <c r="V349" s="13">
        <f>IFERROR(INDEX(MgAmenFrec,MATCH(SUBSTITUTE($H349,"*","-"),MgAmenClave,0)),"")</f>
        <v/>
      </c>
      <c r="W349" s="28">
        <f>IFERROR(LOOKUP(X349,{0;0.01;0.1;1;10;100},{"Muy baja";"Muy baja";"Baja";"Media";"Alta";"Muy alta"}),"")</f>
        <v/>
      </c>
      <c r="X349" s="31">
        <f>IFERROR(VLOOKUP(V349,MgFrec,2,0),0)</f>
        <v/>
      </c>
      <c r="Y349" s="30">
        <f>T349*X349</f>
        <v/>
      </c>
      <c r="Z349" s="28">
        <f>IFERROR(LOOKUP(Y349,{0;0.5;5;25},{"Bajo";"Medio";"Alto";"Crítico"}),"")</f>
        <v/>
      </c>
      <c r="AA349" s="64">
        <f>IF(T349&gt;=3,IF(X349&gt;=1,"Zona 1 — Crítica: impacto alto y ocurre al menos una vez al año","Zona 4 — Catastrófica poco probable: impacto alto pero excepcional"),IF(AND(T349&lt;1.5,X349&lt;1),"Zona 3 — Asumible: impacto bajo y muy poco frecuente","Zona 2 — Atención: riesgo intermedio"))</f>
        <v/>
      </c>
      <c r="AB349" s="64">
        <f>IFERROR(INDEX(MgAmenCtrl,MATCH(SUBSTITUTE($H349,"*","-"),MgAmenClave,0)),"")</f>
        <v/>
      </c>
      <c r="AC349" s="20" t="n"/>
      <c r="AD349" s="31">
        <f>IFERROR($X349*(1-IF($AC349="",$AL349,VLOOKUP($AC349,MgMad,2,0))),"")</f>
        <v/>
      </c>
      <c r="AE349" s="28">
        <f>IFERROR(LOOKUP(AD349,{0;0.01;0.1;1;10;100},{"Muy baja";"Muy baja";"Baja";"Media";"Alta";"Muy alta"}),"")</f>
        <v/>
      </c>
      <c r="AF349" s="30">
        <f>T349*AD349</f>
        <v/>
      </c>
      <c r="AG349" s="28">
        <f>IFERROR(LOOKUP(AF349,{0;0.5;5;25},{"Bajo";"Medio";"Alto";"Crítico"}),"")</f>
        <v/>
      </c>
      <c r="AH349" s="28">
        <f>IF(AG349="","",IF(OR(AG349="Crítico",AG349="Alto"),"Mitigar",IF(AG349="Medio","Mitigar","Aceptar y monitorear")))</f>
        <v/>
      </c>
      <c r="AI349" s="21" t="n"/>
      <c r="AJ349" s="21" t="n"/>
      <c r="AK349" s="20" t="n"/>
      <c r="AL349" s="77">
        <f>IFERROR(INDEX(MgAmenEfic,MATCH(SUBSTITUTE($H349,"*","-"),MgAmenClave,0)),0)</f>
        <v/>
      </c>
    </row>
    <row r="350" hidden="1" ht="45" customHeight="1" s="54">
      <c r="B350" s="59" t="inlineStr">
        <is>
          <t>R-0345</t>
        </is>
      </c>
      <c r="C350" s="59" t="inlineStr">
        <is>
          <t>DO-04</t>
        </is>
      </c>
      <c r="D350" s="64">
        <f>IFERROR(INDEX(MgNombre,MATCH($C350,MgActId,0)),"")</f>
        <v/>
      </c>
      <c r="E350" s="64">
        <f>IFERROR(INDEX(MgProceso,MATCH($C350,MgActId,0)),"")</f>
        <v/>
      </c>
      <c r="F350" s="64">
        <f>IFERROR(INDEX(MgTipo,MATCH($C350,MgActId,0)),"")</f>
        <v/>
      </c>
      <c r="G350" s="64">
        <f>IFERROR(INDEX(MgSubtipo,MATCH($C350,MgActId,0)),"")</f>
        <v/>
      </c>
      <c r="H350" s="59" t="inlineStr">
        <is>
          <t>A.10</t>
        </is>
      </c>
      <c r="I350" s="64">
        <f>IFERROR(INDEX(MgAmenNombre,MATCH(SUBSTITUTE($H350,"*","-"),MgAmenClave,0)),"")</f>
        <v/>
      </c>
      <c r="J350" s="28">
        <f>IFERROR(INDEX(MgAmenGrupo,MATCH(SUBSTITUTE($H350,"*","-"),MgAmenClave,0)),"")</f>
        <v/>
      </c>
      <c r="K350" s="64">
        <f>IFERROR(INDEX('1. Matriz de Activos'!$Q$6:$Q$239,MATCH($C350,MgActId,0)),"")</f>
        <v/>
      </c>
      <c r="L350" s="64">
        <f>IFERROR(INDEX('1. Matriz de Activos'!$R$6:$R$239,MATCH($C350,MgActId,0)),"")</f>
        <v/>
      </c>
      <c r="M350" s="64">
        <f>IFERROR(INDEX('1. Matriz de Activos'!$S$6:$S$239,MATCH($C350,MgActId,0)),"")</f>
        <v/>
      </c>
      <c r="N350" s="28">
        <f>IFERROR(INDEX(MgAmenDegD,MATCH(SUBSTITUTE($H350,"*","-"),MgAmenClave,0)),"No aplica")</f>
        <v/>
      </c>
      <c r="O350" s="28">
        <f>IFERROR(INDEX(MgAmenDegI,MATCH(SUBSTITUTE($H350,"*","-"),MgAmenClave,0)),"No aplica")</f>
        <v/>
      </c>
      <c r="P350" s="28">
        <f>IFERROR(INDEX(MgAmenDegC,MATCH(SUBSTITUTE($H350,"*","-"),MgAmenClave,0)),"No aplica")</f>
        <v/>
      </c>
      <c r="Q350" s="29">
        <f>IFERROR(VLOOKUP(K350,MgValor,2,0)*VLOOKUP(N350,MgDeg,2,0),0)</f>
        <v/>
      </c>
      <c r="R350" s="29">
        <f>IFERROR(VLOOKUP(L350,MgValor,2,0)*VLOOKUP(O350,MgDeg,2,0),0)</f>
        <v/>
      </c>
      <c r="S350" s="29">
        <f>IFERROR(VLOOKUP(M350,MgValor,2,0)*VLOOKUP(P350,MgDeg,2,0),0)</f>
        <v/>
      </c>
      <c r="T350" s="30">
        <f>MAX(Q350:S350)</f>
        <v/>
      </c>
      <c r="U350" s="28">
        <f>IFERROR(LOOKUP(T350,{0;0.5;1.5;3;4.5},{"Despreciable";"Bajo";"Medio";"Alto";"Muy alto"}),"")</f>
        <v/>
      </c>
      <c r="V350" s="13">
        <f>IFERROR(INDEX(MgAmenFrec,MATCH(SUBSTITUTE($H350,"*","-"),MgAmenClave,0)),"")</f>
        <v/>
      </c>
      <c r="W350" s="28">
        <f>IFERROR(LOOKUP(X350,{0;0.01;0.1;1;10;100},{"Muy baja";"Muy baja";"Baja";"Media";"Alta";"Muy alta"}),"")</f>
        <v/>
      </c>
      <c r="X350" s="31">
        <f>IFERROR(VLOOKUP(V350,MgFrec,2,0),0)</f>
        <v/>
      </c>
      <c r="Y350" s="30">
        <f>T350*X350</f>
        <v/>
      </c>
      <c r="Z350" s="28">
        <f>IFERROR(LOOKUP(Y350,{0;0.5;5;25},{"Bajo";"Medio";"Alto";"Crítico"}),"")</f>
        <v/>
      </c>
      <c r="AA350" s="64">
        <f>IF(T350&gt;=3,IF(X350&gt;=1,"Zona 1 — Crítica: impacto alto y ocurre al menos una vez al año","Zona 4 — Catastrófica poco probable: impacto alto pero excepcional"),IF(AND(T350&lt;1.5,X350&lt;1),"Zona 3 — Asumible: impacto bajo y muy poco frecuente","Zona 2 — Atención: riesgo intermedio"))</f>
        <v/>
      </c>
      <c r="AB350" s="64">
        <f>IFERROR(INDEX(MgAmenCtrl,MATCH(SUBSTITUTE($H350,"*","-"),MgAmenClave,0)),"")</f>
        <v/>
      </c>
      <c r="AC350" s="20" t="n"/>
      <c r="AD350" s="31">
        <f>IFERROR($X350*(1-IF($AC350="",$AL350,VLOOKUP($AC350,MgMad,2,0))),"")</f>
        <v/>
      </c>
      <c r="AE350" s="28">
        <f>IFERROR(LOOKUP(AD350,{0;0.01;0.1;1;10;100},{"Muy baja";"Muy baja";"Baja";"Media";"Alta";"Muy alta"}),"")</f>
        <v/>
      </c>
      <c r="AF350" s="30">
        <f>T350*AD350</f>
        <v/>
      </c>
      <c r="AG350" s="28">
        <f>IFERROR(LOOKUP(AF350,{0;0.5;5;25},{"Bajo";"Medio";"Alto";"Crítico"}),"")</f>
        <v/>
      </c>
      <c r="AH350" s="28">
        <f>IF(AG350="","",IF(OR(AG350="Crítico",AG350="Alto"),"Mitigar",IF(AG350="Medio","Mitigar","Aceptar y monitorear")))</f>
        <v/>
      </c>
      <c r="AI350" s="21" t="n"/>
      <c r="AJ350" s="21" t="n"/>
      <c r="AK350" s="20" t="n"/>
      <c r="AL350" s="77">
        <f>IFERROR(INDEX(MgAmenEfic,MATCH(SUBSTITUTE($H350,"*","-"),MgAmenClave,0)),0)</f>
        <v/>
      </c>
    </row>
    <row r="351" hidden="1" ht="120" customHeight="1" s="54">
      <c r="B351" s="59" t="inlineStr">
        <is>
          <t>R-0346</t>
        </is>
      </c>
      <c r="C351" s="59" t="inlineStr">
        <is>
          <t>DO-04</t>
        </is>
      </c>
      <c r="D351" s="64">
        <f>IFERROR(INDEX(MgNombre,MATCH($C351,MgActId,0)),"")</f>
        <v/>
      </c>
      <c r="E351" s="64">
        <f>IFERROR(INDEX(MgProceso,MATCH($C351,MgActId,0)),"")</f>
        <v/>
      </c>
      <c r="F351" s="64">
        <f>IFERROR(INDEX(MgTipo,MATCH($C351,MgActId,0)),"")</f>
        <v/>
      </c>
      <c r="G351" s="64">
        <f>IFERROR(INDEX(MgSubtipo,MATCH($C351,MgActId,0)),"")</f>
        <v/>
      </c>
      <c r="H351" s="59" t="inlineStr">
        <is>
          <t>A.11</t>
        </is>
      </c>
      <c r="I351" s="64">
        <f>IFERROR(INDEX(MgAmenNombre,MATCH(SUBSTITUTE($H351,"*","-"),MgAmenClave,0)),"")</f>
        <v/>
      </c>
      <c r="J351" s="28">
        <f>IFERROR(INDEX(MgAmenGrupo,MATCH(SUBSTITUTE($H351,"*","-"),MgAmenClave,0)),"")</f>
        <v/>
      </c>
      <c r="K351" s="64">
        <f>IFERROR(INDEX('1. Matriz de Activos'!$Q$6:$Q$239,MATCH($C351,MgActId,0)),"")</f>
        <v/>
      </c>
      <c r="L351" s="64">
        <f>IFERROR(INDEX('1. Matriz de Activos'!$R$6:$R$239,MATCH($C351,MgActId,0)),"")</f>
        <v/>
      </c>
      <c r="M351" s="64">
        <f>IFERROR(INDEX('1. Matriz de Activos'!$S$6:$S$239,MATCH($C351,MgActId,0)),"")</f>
        <v/>
      </c>
      <c r="N351" s="28">
        <f>IFERROR(INDEX(MgAmenDegD,MATCH(SUBSTITUTE($H351,"*","-"),MgAmenClave,0)),"No aplica")</f>
        <v/>
      </c>
      <c r="O351" s="28">
        <f>IFERROR(INDEX(MgAmenDegI,MATCH(SUBSTITUTE($H351,"*","-"),MgAmenClave,0)),"No aplica")</f>
        <v/>
      </c>
      <c r="P351" s="28">
        <f>IFERROR(INDEX(MgAmenDegC,MATCH(SUBSTITUTE($H351,"*","-"),MgAmenClave,0)),"No aplica")</f>
        <v/>
      </c>
      <c r="Q351" s="29">
        <f>IFERROR(VLOOKUP(K351,MgValor,2,0)*VLOOKUP(N351,MgDeg,2,0),0)</f>
        <v/>
      </c>
      <c r="R351" s="29">
        <f>IFERROR(VLOOKUP(L351,MgValor,2,0)*VLOOKUP(O351,MgDeg,2,0),0)</f>
        <v/>
      </c>
      <c r="S351" s="29">
        <f>IFERROR(VLOOKUP(M351,MgValor,2,0)*VLOOKUP(P351,MgDeg,2,0),0)</f>
        <v/>
      </c>
      <c r="T351" s="30">
        <f>MAX(Q351:S351)</f>
        <v/>
      </c>
      <c r="U351" s="28">
        <f>IFERROR(LOOKUP(T351,{0;0.5;1.5;3;4.5},{"Despreciable";"Bajo";"Medio";"Alto";"Muy alto"}),"")</f>
        <v/>
      </c>
      <c r="V351" s="13">
        <f>IFERROR(INDEX(MgAmenFrec,MATCH(SUBSTITUTE($H351,"*","-"),MgAmenClave,0)),"")</f>
        <v/>
      </c>
      <c r="W351" s="28">
        <f>IFERROR(LOOKUP(X351,{0;0.01;0.1;1;10;100},{"Muy baja";"Muy baja";"Baja";"Media";"Alta";"Muy alta"}),"")</f>
        <v/>
      </c>
      <c r="X351" s="31">
        <f>IFERROR(VLOOKUP(V351,MgFrec,2,0),0)</f>
        <v/>
      </c>
      <c r="Y351" s="30">
        <f>T351*X351</f>
        <v/>
      </c>
      <c r="Z351" s="28">
        <f>IFERROR(LOOKUP(Y351,{0;0.5;5;25},{"Bajo";"Medio";"Alto";"Crítico"}),"")</f>
        <v/>
      </c>
      <c r="AA351" s="64">
        <f>IF(T351&gt;=3,IF(X351&gt;=1,"Zona 1 — Crítica: impacto alto y ocurre al menos una vez al año","Zona 4 — Catastrófica poco probable: impacto alto pero excepcional"),IF(AND(T351&lt;1.5,X351&lt;1),"Zona 3 — Asumible: impacto bajo y muy poco frecuente","Zona 2 — Atención: riesgo intermedio"))</f>
        <v/>
      </c>
      <c r="AB351" s="64">
        <f>IFERROR(INDEX(MgAmenCtrl,MATCH(SUBSTITUTE($H351,"*","-"),MgAmenClave,0)),"")</f>
        <v/>
      </c>
      <c r="AC351" s="20" t="n"/>
      <c r="AD351" s="31">
        <f>IFERROR($X351*(1-IF($AC351="",$AL351,VLOOKUP($AC351,MgMad,2,0))),"")</f>
        <v/>
      </c>
      <c r="AE351" s="28">
        <f>IFERROR(LOOKUP(AD351,{0;0.01;0.1;1;10;100},{"Muy baja";"Muy baja";"Baja";"Media";"Alta";"Muy alta"}),"")</f>
        <v/>
      </c>
      <c r="AF351" s="30">
        <f>T351*AD351</f>
        <v/>
      </c>
      <c r="AG351" s="28">
        <f>IFERROR(LOOKUP(AF351,{0;0.5;5;25},{"Bajo";"Medio";"Alto";"Crítico"}),"")</f>
        <v/>
      </c>
      <c r="AH351" s="28">
        <f>IF(AG351="","",IF(OR(AG351="Crítico",AG351="Alto"),"Mitigar",IF(AG351="Medio","Mitigar","Aceptar y monitorear")))</f>
        <v/>
      </c>
      <c r="AI351" s="21" t="n"/>
      <c r="AJ351" s="21" t="n"/>
      <c r="AK351" s="20" t="n"/>
      <c r="AL351" s="77">
        <f>IFERROR(INDEX(MgAmenEfic,MATCH(SUBSTITUTE($H351,"*","-"),MgAmenClave,0)),0)</f>
        <v/>
      </c>
    </row>
    <row r="352" hidden="1" ht="45" customHeight="1" s="54">
      <c r="B352" s="59" t="inlineStr">
        <is>
          <t>R-0347</t>
        </is>
      </c>
      <c r="C352" s="59" t="inlineStr">
        <is>
          <t>DO-04</t>
        </is>
      </c>
      <c r="D352" s="64">
        <f>IFERROR(INDEX(MgNombre,MATCH($C352,MgActId,0)),"")</f>
        <v/>
      </c>
      <c r="E352" s="64">
        <f>IFERROR(INDEX(MgProceso,MATCH($C352,MgActId,0)),"")</f>
        <v/>
      </c>
      <c r="F352" s="64">
        <f>IFERROR(INDEX(MgTipo,MATCH($C352,MgActId,0)),"")</f>
        <v/>
      </c>
      <c r="G352" s="64">
        <f>IFERROR(INDEX(MgSubtipo,MATCH($C352,MgActId,0)),"")</f>
        <v/>
      </c>
      <c r="H352" s="59" t="inlineStr">
        <is>
          <t>A.12</t>
        </is>
      </c>
      <c r="I352" s="64">
        <f>IFERROR(INDEX(MgAmenNombre,MATCH(SUBSTITUTE($H352,"*","-"),MgAmenClave,0)),"")</f>
        <v/>
      </c>
      <c r="J352" s="28">
        <f>IFERROR(INDEX(MgAmenGrupo,MATCH(SUBSTITUTE($H352,"*","-"),MgAmenClave,0)),"")</f>
        <v/>
      </c>
      <c r="K352" s="64">
        <f>IFERROR(INDEX('1. Matriz de Activos'!$Q$6:$Q$239,MATCH($C352,MgActId,0)),"")</f>
        <v/>
      </c>
      <c r="L352" s="64">
        <f>IFERROR(INDEX('1. Matriz de Activos'!$R$6:$R$239,MATCH($C352,MgActId,0)),"")</f>
        <v/>
      </c>
      <c r="M352" s="64">
        <f>IFERROR(INDEX('1. Matriz de Activos'!$S$6:$S$239,MATCH($C352,MgActId,0)),"")</f>
        <v/>
      </c>
      <c r="N352" s="28">
        <f>IFERROR(INDEX(MgAmenDegD,MATCH(SUBSTITUTE($H352,"*","-"),MgAmenClave,0)),"No aplica")</f>
        <v/>
      </c>
      <c r="O352" s="28">
        <f>IFERROR(INDEX(MgAmenDegI,MATCH(SUBSTITUTE($H352,"*","-"),MgAmenClave,0)),"No aplica")</f>
        <v/>
      </c>
      <c r="P352" s="28">
        <f>IFERROR(INDEX(MgAmenDegC,MATCH(SUBSTITUTE($H352,"*","-"),MgAmenClave,0)),"No aplica")</f>
        <v/>
      </c>
      <c r="Q352" s="29">
        <f>IFERROR(VLOOKUP(K352,MgValor,2,0)*VLOOKUP(N352,MgDeg,2,0),0)</f>
        <v/>
      </c>
      <c r="R352" s="29">
        <f>IFERROR(VLOOKUP(L352,MgValor,2,0)*VLOOKUP(O352,MgDeg,2,0),0)</f>
        <v/>
      </c>
      <c r="S352" s="29">
        <f>IFERROR(VLOOKUP(M352,MgValor,2,0)*VLOOKUP(P352,MgDeg,2,0),0)</f>
        <v/>
      </c>
      <c r="T352" s="30">
        <f>MAX(Q352:S352)</f>
        <v/>
      </c>
      <c r="U352" s="28">
        <f>IFERROR(LOOKUP(T352,{0;0.5;1.5;3;4.5},{"Despreciable";"Bajo";"Medio";"Alto";"Muy alto"}),"")</f>
        <v/>
      </c>
      <c r="V352" s="13">
        <f>IFERROR(INDEX(MgAmenFrec,MATCH(SUBSTITUTE($H352,"*","-"),MgAmenClave,0)),"")</f>
        <v/>
      </c>
      <c r="W352" s="28">
        <f>IFERROR(LOOKUP(X352,{0;0.01;0.1;1;10;100},{"Muy baja";"Muy baja";"Baja";"Media";"Alta";"Muy alta"}),"")</f>
        <v/>
      </c>
      <c r="X352" s="31">
        <f>IFERROR(VLOOKUP(V352,MgFrec,2,0),0)</f>
        <v/>
      </c>
      <c r="Y352" s="30">
        <f>T352*X352</f>
        <v/>
      </c>
      <c r="Z352" s="28">
        <f>IFERROR(LOOKUP(Y352,{0;0.5;5;25},{"Bajo";"Medio";"Alto";"Crítico"}),"")</f>
        <v/>
      </c>
      <c r="AA352" s="64">
        <f>IF(T352&gt;=3,IF(X352&gt;=1,"Zona 1 — Crítica: impacto alto y ocurre al menos una vez al año","Zona 4 — Catastrófica poco probable: impacto alto pero excepcional"),IF(AND(T352&lt;1.5,X352&lt;1),"Zona 3 — Asumible: impacto bajo y muy poco frecuente","Zona 2 — Atención: riesgo intermedio"))</f>
        <v/>
      </c>
      <c r="AB352" s="64">
        <f>IFERROR(INDEX(MgAmenCtrl,MATCH(SUBSTITUTE($H352,"*","-"),MgAmenClave,0)),"")</f>
        <v/>
      </c>
      <c r="AC352" s="20" t="n"/>
      <c r="AD352" s="31">
        <f>IFERROR($X352*(1-IF($AC352="",$AL352,VLOOKUP($AC352,MgMad,2,0))),"")</f>
        <v/>
      </c>
      <c r="AE352" s="28">
        <f>IFERROR(LOOKUP(AD352,{0;0.01;0.1;1;10;100},{"Muy baja";"Muy baja";"Baja";"Media";"Alta";"Muy alta"}),"")</f>
        <v/>
      </c>
      <c r="AF352" s="30">
        <f>T352*AD352</f>
        <v/>
      </c>
      <c r="AG352" s="28">
        <f>IFERROR(LOOKUP(AF352,{0;0.5;5;25},{"Bajo";"Medio";"Alto";"Crítico"}),"")</f>
        <v/>
      </c>
      <c r="AH352" s="28">
        <f>IF(AG352="","",IF(OR(AG352="Crítico",AG352="Alto"),"Mitigar",IF(AG352="Medio","Mitigar","Aceptar y monitorear")))</f>
        <v/>
      </c>
      <c r="AI352" s="21" t="n"/>
      <c r="AJ352" s="21" t="n"/>
      <c r="AK352" s="20" t="n"/>
      <c r="AL352" s="77">
        <f>IFERROR(INDEX(MgAmenEfic,MATCH(SUBSTITUTE($H352,"*","-"),MgAmenClave,0)),0)</f>
        <v/>
      </c>
    </row>
    <row r="353" hidden="1" ht="60" customHeight="1" s="54">
      <c r="B353" s="59" t="inlineStr">
        <is>
          <t>R-0348</t>
        </is>
      </c>
      <c r="C353" s="59" t="inlineStr">
        <is>
          <t>DO-04</t>
        </is>
      </c>
      <c r="D353" s="64">
        <f>IFERROR(INDEX(MgNombre,MATCH($C353,MgActId,0)),"")</f>
        <v/>
      </c>
      <c r="E353" s="64">
        <f>IFERROR(INDEX(MgProceso,MATCH($C353,MgActId,0)),"")</f>
        <v/>
      </c>
      <c r="F353" s="64">
        <f>IFERROR(INDEX(MgTipo,MATCH($C353,MgActId,0)),"")</f>
        <v/>
      </c>
      <c r="G353" s="64">
        <f>IFERROR(INDEX(MgSubtipo,MATCH($C353,MgActId,0)),"")</f>
        <v/>
      </c>
      <c r="H353" s="59" t="inlineStr">
        <is>
          <t>A.14</t>
        </is>
      </c>
      <c r="I353" s="64">
        <f>IFERROR(INDEX(MgAmenNombre,MATCH(SUBSTITUTE($H353,"*","-"),MgAmenClave,0)),"")</f>
        <v/>
      </c>
      <c r="J353" s="28">
        <f>IFERROR(INDEX(MgAmenGrupo,MATCH(SUBSTITUTE($H353,"*","-"),MgAmenClave,0)),"")</f>
        <v/>
      </c>
      <c r="K353" s="64">
        <f>IFERROR(INDEX('1. Matriz de Activos'!$Q$6:$Q$239,MATCH($C353,MgActId,0)),"")</f>
        <v/>
      </c>
      <c r="L353" s="64">
        <f>IFERROR(INDEX('1. Matriz de Activos'!$R$6:$R$239,MATCH($C353,MgActId,0)),"")</f>
        <v/>
      </c>
      <c r="M353" s="64">
        <f>IFERROR(INDEX('1. Matriz de Activos'!$S$6:$S$239,MATCH($C353,MgActId,0)),"")</f>
        <v/>
      </c>
      <c r="N353" s="28">
        <f>IFERROR(INDEX(MgAmenDegD,MATCH(SUBSTITUTE($H353,"*","-"),MgAmenClave,0)),"No aplica")</f>
        <v/>
      </c>
      <c r="O353" s="28">
        <f>IFERROR(INDEX(MgAmenDegI,MATCH(SUBSTITUTE($H353,"*","-"),MgAmenClave,0)),"No aplica")</f>
        <v/>
      </c>
      <c r="P353" s="28">
        <f>IFERROR(INDEX(MgAmenDegC,MATCH(SUBSTITUTE($H353,"*","-"),MgAmenClave,0)),"No aplica")</f>
        <v/>
      </c>
      <c r="Q353" s="29">
        <f>IFERROR(VLOOKUP(K353,MgValor,2,0)*VLOOKUP(N353,MgDeg,2,0),0)</f>
        <v/>
      </c>
      <c r="R353" s="29">
        <f>IFERROR(VLOOKUP(L353,MgValor,2,0)*VLOOKUP(O353,MgDeg,2,0),0)</f>
        <v/>
      </c>
      <c r="S353" s="29">
        <f>IFERROR(VLOOKUP(M353,MgValor,2,0)*VLOOKUP(P353,MgDeg,2,0),0)</f>
        <v/>
      </c>
      <c r="T353" s="30">
        <f>MAX(Q353:S353)</f>
        <v/>
      </c>
      <c r="U353" s="28">
        <f>IFERROR(LOOKUP(T353,{0;0.5;1.5;3;4.5},{"Despreciable";"Bajo";"Medio";"Alto";"Muy alto"}),"")</f>
        <v/>
      </c>
      <c r="V353" s="13">
        <f>IFERROR(INDEX(MgAmenFrec,MATCH(SUBSTITUTE($H353,"*","-"),MgAmenClave,0)),"")</f>
        <v/>
      </c>
      <c r="W353" s="28">
        <f>IFERROR(LOOKUP(X353,{0;0.01;0.1;1;10;100},{"Muy baja";"Muy baja";"Baja";"Media";"Alta";"Muy alta"}),"")</f>
        <v/>
      </c>
      <c r="X353" s="31">
        <f>IFERROR(VLOOKUP(V353,MgFrec,2,0),0)</f>
        <v/>
      </c>
      <c r="Y353" s="30">
        <f>T353*X353</f>
        <v/>
      </c>
      <c r="Z353" s="28">
        <f>IFERROR(LOOKUP(Y353,{0;0.5;5;25},{"Bajo";"Medio";"Alto";"Crítico"}),"")</f>
        <v/>
      </c>
      <c r="AA353" s="64">
        <f>IF(T353&gt;=3,IF(X353&gt;=1,"Zona 1 — Crítica: impacto alto y ocurre al menos una vez al año","Zona 4 — Catastrófica poco probable: impacto alto pero excepcional"),IF(AND(T353&lt;1.5,X353&lt;1),"Zona 3 — Asumible: impacto bajo y muy poco frecuente","Zona 2 — Atención: riesgo intermedio"))</f>
        <v/>
      </c>
      <c r="AB353" s="64">
        <f>IFERROR(INDEX(MgAmenCtrl,MATCH(SUBSTITUTE($H353,"*","-"),MgAmenClave,0)),"")</f>
        <v/>
      </c>
      <c r="AC353" s="20" t="n"/>
      <c r="AD353" s="31">
        <f>IFERROR($X353*(1-IF($AC353="",$AL353,VLOOKUP($AC353,MgMad,2,0))),"")</f>
        <v/>
      </c>
      <c r="AE353" s="28">
        <f>IFERROR(LOOKUP(AD353,{0;0.01;0.1;1;10;100},{"Muy baja";"Muy baja";"Baja";"Media";"Alta";"Muy alta"}),"")</f>
        <v/>
      </c>
      <c r="AF353" s="30">
        <f>T353*AD353</f>
        <v/>
      </c>
      <c r="AG353" s="28">
        <f>IFERROR(LOOKUP(AF353,{0;0.5;5;25},{"Bajo";"Medio";"Alto";"Crítico"}),"")</f>
        <v/>
      </c>
      <c r="AH353" s="28">
        <f>IF(AG353="","",IF(OR(AG353="Crítico",AG353="Alto"),"Mitigar",IF(AG353="Medio","Mitigar","Aceptar y monitorear")))</f>
        <v/>
      </c>
      <c r="AI353" s="21" t="n"/>
      <c r="AJ353" s="21" t="n"/>
      <c r="AK353" s="20" t="n"/>
      <c r="AL353" s="77">
        <f>IFERROR(INDEX(MgAmenEfic,MATCH(SUBSTITUTE($H353,"*","-"),MgAmenClave,0)),0)</f>
        <v/>
      </c>
    </row>
    <row r="354" hidden="1" ht="60" customHeight="1" s="54">
      <c r="B354" s="59" t="inlineStr">
        <is>
          <t>R-0349</t>
        </is>
      </c>
      <c r="C354" s="59" t="inlineStr">
        <is>
          <t>DO-04</t>
        </is>
      </c>
      <c r="D354" s="64">
        <f>IFERROR(INDEX(MgNombre,MATCH($C354,MgActId,0)),"")</f>
        <v/>
      </c>
      <c r="E354" s="64">
        <f>IFERROR(INDEX(MgProceso,MATCH($C354,MgActId,0)),"")</f>
        <v/>
      </c>
      <c r="F354" s="64">
        <f>IFERROR(INDEX(MgTipo,MATCH($C354,MgActId,0)),"")</f>
        <v/>
      </c>
      <c r="G354" s="64">
        <f>IFERROR(INDEX(MgSubtipo,MATCH($C354,MgActId,0)),"")</f>
        <v/>
      </c>
      <c r="H354" s="59" t="inlineStr">
        <is>
          <t>A.15</t>
        </is>
      </c>
      <c r="I354" s="64">
        <f>IFERROR(INDEX(MgAmenNombre,MATCH(SUBSTITUTE($H354,"*","-"),MgAmenClave,0)),"")</f>
        <v/>
      </c>
      <c r="J354" s="28">
        <f>IFERROR(INDEX(MgAmenGrupo,MATCH(SUBSTITUTE($H354,"*","-"),MgAmenClave,0)),"")</f>
        <v/>
      </c>
      <c r="K354" s="64">
        <f>IFERROR(INDEX('1. Matriz de Activos'!$Q$6:$Q$239,MATCH($C354,MgActId,0)),"")</f>
        <v/>
      </c>
      <c r="L354" s="64">
        <f>IFERROR(INDEX('1. Matriz de Activos'!$R$6:$R$239,MATCH($C354,MgActId,0)),"")</f>
        <v/>
      </c>
      <c r="M354" s="64">
        <f>IFERROR(INDEX('1. Matriz de Activos'!$S$6:$S$239,MATCH($C354,MgActId,0)),"")</f>
        <v/>
      </c>
      <c r="N354" s="28">
        <f>IFERROR(INDEX(MgAmenDegD,MATCH(SUBSTITUTE($H354,"*","-"),MgAmenClave,0)),"No aplica")</f>
        <v/>
      </c>
      <c r="O354" s="28">
        <f>IFERROR(INDEX(MgAmenDegI,MATCH(SUBSTITUTE($H354,"*","-"),MgAmenClave,0)),"No aplica")</f>
        <v/>
      </c>
      <c r="P354" s="28">
        <f>IFERROR(INDEX(MgAmenDegC,MATCH(SUBSTITUTE($H354,"*","-"),MgAmenClave,0)),"No aplica")</f>
        <v/>
      </c>
      <c r="Q354" s="29">
        <f>IFERROR(VLOOKUP(K354,MgValor,2,0)*VLOOKUP(N354,MgDeg,2,0),0)</f>
        <v/>
      </c>
      <c r="R354" s="29">
        <f>IFERROR(VLOOKUP(L354,MgValor,2,0)*VLOOKUP(O354,MgDeg,2,0),0)</f>
        <v/>
      </c>
      <c r="S354" s="29">
        <f>IFERROR(VLOOKUP(M354,MgValor,2,0)*VLOOKUP(P354,MgDeg,2,0),0)</f>
        <v/>
      </c>
      <c r="T354" s="30">
        <f>MAX(Q354:S354)</f>
        <v/>
      </c>
      <c r="U354" s="28">
        <f>IFERROR(LOOKUP(T354,{0;0.5;1.5;3;4.5},{"Despreciable";"Bajo";"Medio";"Alto";"Muy alto"}),"")</f>
        <v/>
      </c>
      <c r="V354" s="13">
        <f>IFERROR(INDEX(MgAmenFrec,MATCH(SUBSTITUTE($H354,"*","-"),MgAmenClave,0)),"")</f>
        <v/>
      </c>
      <c r="W354" s="28">
        <f>IFERROR(LOOKUP(X354,{0;0.01;0.1;1;10;100},{"Muy baja";"Muy baja";"Baja";"Media";"Alta";"Muy alta"}),"")</f>
        <v/>
      </c>
      <c r="X354" s="31">
        <f>IFERROR(VLOOKUP(V354,MgFrec,2,0),0)</f>
        <v/>
      </c>
      <c r="Y354" s="30">
        <f>T354*X354</f>
        <v/>
      </c>
      <c r="Z354" s="28">
        <f>IFERROR(LOOKUP(Y354,{0;0.5;5;25},{"Bajo";"Medio";"Alto";"Crítico"}),"")</f>
        <v/>
      </c>
      <c r="AA354" s="64">
        <f>IF(T354&gt;=3,IF(X354&gt;=1,"Zona 1 — Crítica: impacto alto y ocurre al menos una vez al año","Zona 4 — Catastrófica poco probable: impacto alto pero excepcional"),IF(AND(T354&lt;1.5,X354&lt;1),"Zona 3 — Asumible: impacto bajo y muy poco frecuente","Zona 2 — Atención: riesgo intermedio"))</f>
        <v/>
      </c>
      <c r="AB354" s="64">
        <f>IFERROR(INDEX(MgAmenCtrl,MATCH(SUBSTITUTE($H354,"*","-"),MgAmenClave,0)),"")</f>
        <v/>
      </c>
      <c r="AC354" s="20" t="n"/>
      <c r="AD354" s="31">
        <f>IFERROR($X354*(1-IF($AC354="",$AL354,VLOOKUP($AC354,MgMad,2,0))),"")</f>
        <v/>
      </c>
      <c r="AE354" s="28">
        <f>IFERROR(LOOKUP(AD354,{0;0.01;0.1;1;10;100},{"Muy baja";"Muy baja";"Baja";"Media";"Alta";"Muy alta"}),"")</f>
        <v/>
      </c>
      <c r="AF354" s="30">
        <f>T354*AD354</f>
        <v/>
      </c>
      <c r="AG354" s="28">
        <f>IFERROR(LOOKUP(AF354,{0;0.5;5;25},{"Bajo";"Medio";"Alto";"Crítico"}),"")</f>
        <v/>
      </c>
      <c r="AH354" s="28">
        <f>IF(AG354="","",IF(OR(AG354="Crítico",AG354="Alto"),"Mitigar",IF(AG354="Medio","Mitigar","Aceptar y monitorear")))</f>
        <v/>
      </c>
      <c r="AI354" s="21" t="n"/>
      <c r="AJ354" s="21" t="n"/>
      <c r="AK354" s="20" t="n"/>
      <c r="AL354" s="77">
        <f>IFERROR(INDEX(MgAmenEfic,MATCH(SUBSTITUTE($H354,"*","-"),MgAmenClave,0)),0)</f>
        <v/>
      </c>
    </row>
    <row r="355" hidden="1" ht="60" customHeight="1" s="54">
      <c r="B355" s="59" t="inlineStr">
        <is>
          <t>R-0350</t>
        </is>
      </c>
      <c r="C355" s="59" t="inlineStr">
        <is>
          <t>DO-04</t>
        </is>
      </c>
      <c r="D355" s="64">
        <f>IFERROR(INDEX(MgNombre,MATCH($C355,MgActId,0)),"")</f>
        <v/>
      </c>
      <c r="E355" s="64">
        <f>IFERROR(INDEX(MgProceso,MATCH($C355,MgActId,0)),"")</f>
        <v/>
      </c>
      <c r="F355" s="64">
        <f>IFERROR(INDEX(MgTipo,MATCH($C355,MgActId,0)),"")</f>
        <v/>
      </c>
      <c r="G355" s="64">
        <f>IFERROR(INDEX(MgSubtipo,MATCH($C355,MgActId,0)),"")</f>
        <v/>
      </c>
      <c r="H355" s="59" t="inlineStr">
        <is>
          <t>A.18</t>
        </is>
      </c>
      <c r="I355" s="64">
        <f>IFERROR(INDEX(MgAmenNombre,MATCH(SUBSTITUTE($H355,"*","-"),MgAmenClave,0)),"")</f>
        <v/>
      </c>
      <c r="J355" s="28">
        <f>IFERROR(INDEX(MgAmenGrupo,MATCH(SUBSTITUTE($H355,"*","-"),MgAmenClave,0)),"")</f>
        <v/>
      </c>
      <c r="K355" s="64">
        <f>IFERROR(INDEX('1. Matriz de Activos'!$Q$6:$Q$239,MATCH($C355,MgActId,0)),"")</f>
        <v/>
      </c>
      <c r="L355" s="64">
        <f>IFERROR(INDEX('1. Matriz de Activos'!$R$6:$R$239,MATCH($C355,MgActId,0)),"")</f>
        <v/>
      </c>
      <c r="M355" s="64">
        <f>IFERROR(INDEX('1. Matriz de Activos'!$S$6:$S$239,MATCH($C355,MgActId,0)),"")</f>
        <v/>
      </c>
      <c r="N355" s="28">
        <f>IFERROR(INDEX(MgAmenDegD,MATCH(SUBSTITUTE($H355,"*","-"),MgAmenClave,0)),"No aplica")</f>
        <v/>
      </c>
      <c r="O355" s="28">
        <f>IFERROR(INDEX(MgAmenDegI,MATCH(SUBSTITUTE($H355,"*","-"),MgAmenClave,0)),"No aplica")</f>
        <v/>
      </c>
      <c r="P355" s="28">
        <f>IFERROR(INDEX(MgAmenDegC,MATCH(SUBSTITUTE($H355,"*","-"),MgAmenClave,0)),"No aplica")</f>
        <v/>
      </c>
      <c r="Q355" s="29">
        <f>IFERROR(VLOOKUP(K355,MgValor,2,0)*VLOOKUP(N355,MgDeg,2,0),0)</f>
        <v/>
      </c>
      <c r="R355" s="29">
        <f>IFERROR(VLOOKUP(L355,MgValor,2,0)*VLOOKUP(O355,MgDeg,2,0),0)</f>
        <v/>
      </c>
      <c r="S355" s="29">
        <f>IFERROR(VLOOKUP(M355,MgValor,2,0)*VLOOKUP(P355,MgDeg,2,0),0)</f>
        <v/>
      </c>
      <c r="T355" s="30">
        <f>MAX(Q355:S355)</f>
        <v/>
      </c>
      <c r="U355" s="28">
        <f>IFERROR(LOOKUP(T355,{0;0.5;1.5;3;4.5},{"Despreciable";"Bajo";"Medio";"Alto";"Muy alto"}),"")</f>
        <v/>
      </c>
      <c r="V355" s="13">
        <f>IFERROR(INDEX(MgAmenFrec,MATCH(SUBSTITUTE($H355,"*","-"),MgAmenClave,0)),"")</f>
        <v/>
      </c>
      <c r="W355" s="28">
        <f>IFERROR(LOOKUP(X355,{0;0.01;0.1;1;10;100},{"Muy baja";"Muy baja";"Baja";"Media";"Alta";"Muy alta"}),"")</f>
        <v/>
      </c>
      <c r="X355" s="31">
        <f>IFERROR(VLOOKUP(V355,MgFrec,2,0),0)</f>
        <v/>
      </c>
      <c r="Y355" s="30">
        <f>T355*X355</f>
        <v/>
      </c>
      <c r="Z355" s="28">
        <f>IFERROR(LOOKUP(Y355,{0;0.5;5;25},{"Bajo";"Medio";"Alto";"Crítico"}),"")</f>
        <v/>
      </c>
      <c r="AA355" s="64">
        <f>IF(T355&gt;=3,IF(X355&gt;=1,"Zona 1 — Crítica: impacto alto y ocurre al menos una vez al año","Zona 4 — Catastrófica poco probable: impacto alto pero excepcional"),IF(AND(T355&lt;1.5,X355&lt;1),"Zona 3 — Asumible: impacto bajo y muy poco frecuente","Zona 2 — Atención: riesgo intermedio"))</f>
        <v/>
      </c>
      <c r="AB355" s="64">
        <f>IFERROR(INDEX(MgAmenCtrl,MATCH(SUBSTITUTE($H355,"*","-"),MgAmenClave,0)),"")</f>
        <v/>
      </c>
      <c r="AC355" s="20" t="n"/>
      <c r="AD355" s="31">
        <f>IFERROR($X355*(1-IF($AC355="",$AL355,VLOOKUP($AC355,MgMad,2,0))),"")</f>
        <v/>
      </c>
      <c r="AE355" s="28">
        <f>IFERROR(LOOKUP(AD355,{0;0.01;0.1;1;10;100},{"Muy baja";"Muy baja";"Baja";"Media";"Alta";"Muy alta"}),"")</f>
        <v/>
      </c>
      <c r="AF355" s="30">
        <f>T355*AD355</f>
        <v/>
      </c>
      <c r="AG355" s="28">
        <f>IFERROR(LOOKUP(AF355,{0;0.5;5;25},{"Bajo";"Medio";"Alto";"Crítico"}),"")</f>
        <v/>
      </c>
      <c r="AH355" s="28">
        <f>IF(AG355="","",IF(OR(AG355="Crítico",AG355="Alto"),"Mitigar",IF(AG355="Medio","Mitigar","Aceptar y monitorear")))</f>
        <v/>
      </c>
      <c r="AI355" s="21" t="n"/>
      <c r="AJ355" s="21" t="n"/>
      <c r="AK355" s="20" t="n"/>
      <c r="AL355" s="77">
        <f>IFERROR(INDEX(MgAmenEfic,MATCH(SUBSTITUTE($H355,"*","-"),MgAmenClave,0)),0)</f>
        <v/>
      </c>
    </row>
    <row r="356" hidden="1" ht="120" customHeight="1" s="54">
      <c r="B356" s="59" t="inlineStr">
        <is>
          <t>R-0351</t>
        </is>
      </c>
      <c r="C356" s="59" t="inlineStr">
        <is>
          <t>DO-04</t>
        </is>
      </c>
      <c r="D356" s="64">
        <f>IFERROR(INDEX(MgNombre,MATCH($C356,MgActId,0)),"")</f>
        <v/>
      </c>
      <c r="E356" s="64">
        <f>IFERROR(INDEX(MgProceso,MATCH($C356,MgActId,0)),"")</f>
        <v/>
      </c>
      <c r="F356" s="64">
        <f>IFERROR(INDEX(MgTipo,MATCH($C356,MgActId,0)),"")</f>
        <v/>
      </c>
      <c r="G356" s="64">
        <f>IFERROR(INDEX(MgSubtipo,MATCH($C356,MgActId,0)),"")</f>
        <v/>
      </c>
      <c r="H356" s="59" t="inlineStr">
        <is>
          <t>A.19</t>
        </is>
      </c>
      <c r="I356" s="64">
        <f>IFERROR(INDEX(MgAmenNombre,MATCH(SUBSTITUTE($H356,"*","-"),MgAmenClave,0)),"")</f>
        <v/>
      </c>
      <c r="J356" s="28">
        <f>IFERROR(INDEX(MgAmenGrupo,MATCH(SUBSTITUTE($H356,"*","-"),MgAmenClave,0)),"")</f>
        <v/>
      </c>
      <c r="K356" s="64">
        <f>IFERROR(INDEX('1. Matriz de Activos'!$Q$6:$Q$239,MATCH($C356,MgActId,0)),"")</f>
        <v/>
      </c>
      <c r="L356" s="64">
        <f>IFERROR(INDEX('1. Matriz de Activos'!$R$6:$R$239,MATCH($C356,MgActId,0)),"")</f>
        <v/>
      </c>
      <c r="M356" s="64">
        <f>IFERROR(INDEX('1. Matriz de Activos'!$S$6:$S$239,MATCH($C356,MgActId,0)),"")</f>
        <v/>
      </c>
      <c r="N356" s="28">
        <f>IFERROR(INDEX(MgAmenDegD,MATCH(SUBSTITUTE($H356,"*","-"),MgAmenClave,0)),"No aplica")</f>
        <v/>
      </c>
      <c r="O356" s="28">
        <f>IFERROR(INDEX(MgAmenDegI,MATCH(SUBSTITUTE($H356,"*","-"),MgAmenClave,0)),"No aplica")</f>
        <v/>
      </c>
      <c r="P356" s="28">
        <f>IFERROR(INDEX(MgAmenDegC,MATCH(SUBSTITUTE($H356,"*","-"),MgAmenClave,0)),"No aplica")</f>
        <v/>
      </c>
      <c r="Q356" s="29">
        <f>IFERROR(VLOOKUP(K356,MgValor,2,0)*VLOOKUP(N356,MgDeg,2,0),0)</f>
        <v/>
      </c>
      <c r="R356" s="29">
        <f>IFERROR(VLOOKUP(L356,MgValor,2,0)*VLOOKUP(O356,MgDeg,2,0),0)</f>
        <v/>
      </c>
      <c r="S356" s="29">
        <f>IFERROR(VLOOKUP(M356,MgValor,2,0)*VLOOKUP(P356,MgDeg,2,0),0)</f>
        <v/>
      </c>
      <c r="T356" s="30">
        <f>MAX(Q356:S356)</f>
        <v/>
      </c>
      <c r="U356" s="28">
        <f>IFERROR(LOOKUP(T356,{0;0.5;1.5;3;4.5},{"Despreciable";"Bajo";"Medio";"Alto";"Muy alto"}),"")</f>
        <v/>
      </c>
      <c r="V356" s="13">
        <f>IFERROR(INDEX(MgAmenFrec,MATCH(SUBSTITUTE($H356,"*","-"),MgAmenClave,0)),"")</f>
        <v/>
      </c>
      <c r="W356" s="28">
        <f>IFERROR(LOOKUP(X356,{0;0.01;0.1;1;10;100},{"Muy baja";"Muy baja";"Baja";"Media";"Alta";"Muy alta"}),"")</f>
        <v/>
      </c>
      <c r="X356" s="31">
        <f>IFERROR(VLOOKUP(V356,MgFrec,2,0),0)</f>
        <v/>
      </c>
      <c r="Y356" s="30">
        <f>T356*X356</f>
        <v/>
      </c>
      <c r="Z356" s="28">
        <f>IFERROR(LOOKUP(Y356,{0;0.5;5;25},{"Bajo";"Medio";"Alto";"Crítico"}),"")</f>
        <v/>
      </c>
      <c r="AA356" s="64">
        <f>IF(T356&gt;=3,IF(X356&gt;=1,"Zona 1 — Crítica: impacto alto y ocurre al menos una vez al año","Zona 4 — Catastrófica poco probable: impacto alto pero excepcional"),IF(AND(T356&lt;1.5,X356&lt;1),"Zona 3 — Asumible: impacto bajo y muy poco frecuente","Zona 2 — Atención: riesgo intermedio"))</f>
        <v/>
      </c>
      <c r="AB356" s="64">
        <f>IFERROR(INDEX(MgAmenCtrl,MATCH(SUBSTITUTE($H356,"*","-"),MgAmenClave,0)),"")</f>
        <v/>
      </c>
      <c r="AC356" s="20" t="n"/>
      <c r="AD356" s="31">
        <f>IFERROR($X356*(1-IF($AC356="",$AL356,VLOOKUP($AC356,MgMad,2,0))),"")</f>
        <v/>
      </c>
      <c r="AE356" s="28">
        <f>IFERROR(LOOKUP(AD356,{0;0.01;0.1;1;10;100},{"Muy baja";"Muy baja";"Baja";"Media";"Alta";"Muy alta"}),"")</f>
        <v/>
      </c>
      <c r="AF356" s="30">
        <f>T356*AD356</f>
        <v/>
      </c>
      <c r="AG356" s="28">
        <f>IFERROR(LOOKUP(AF356,{0;0.5;5;25},{"Bajo";"Medio";"Alto";"Crítico"}),"")</f>
        <v/>
      </c>
      <c r="AH356" s="28">
        <f>IF(AG356="","",IF(OR(AG356="Crítico",AG356="Alto"),"Mitigar",IF(AG356="Medio","Mitigar","Aceptar y monitorear")))</f>
        <v/>
      </c>
      <c r="AI356" s="21" t="n"/>
      <c r="AJ356" s="21" t="n"/>
      <c r="AK356" s="20" t="n"/>
      <c r="AL356" s="77">
        <f>IFERROR(INDEX(MgAmenEfic,MATCH(SUBSTITUTE($H356,"*","-"),MgAmenClave,0)),0)</f>
        <v/>
      </c>
    </row>
    <row r="357" hidden="1" ht="60" customHeight="1" s="54">
      <c r="B357" s="59" t="inlineStr">
        <is>
          <t>R-0352</t>
        </is>
      </c>
      <c r="C357" s="59" t="inlineStr">
        <is>
          <t>DO-04</t>
        </is>
      </c>
      <c r="D357" s="64">
        <f>IFERROR(INDEX(MgNombre,MATCH($C357,MgActId,0)),"")</f>
        <v/>
      </c>
      <c r="E357" s="64">
        <f>IFERROR(INDEX(MgProceso,MATCH($C357,MgActId,0)),"")</f>
        <v/>
      </c>
      <c r="F357" s="64">
        <f>IFERROR(INDEX(MgTipo,MATCH($C357,MgActId,0)),"")</f>
        <v/>
      </c>
      <c r="G357" s="64">
        <f>IFERROR(INDEX(MgSubtipo,MATCH($C357,MgActId,0)),"")</f>
        <v/>
      </c>
      <c r="H357" s="59" t="inlineStr">
        <is>
          <t>A.24</t>
        </is>
      </c>
      <c r="I357" s="64">
        <f>IFERROR(INDEX(MgAmenNombre,MATCH(SUBSTITUTE($H357,"*","-"),MgAmenClave,0)),"")</f>
        <v/>
      </c>
      <c r="J357" s="28">
        <f>IFERROR(INDEX(MgAmenGrupo,MATCH(SUBSTITUTE($H357,"*","-"),MgAmenClave,0)),"")</f>
        <v/>
      </c>
      <c r="K357" s="64">
        <f>IFERROR(INDEX('1. Matriz de Activos'!$Q$6:$Q$239,MATCH($C357,MgActId,0)),"")</f>
        <v/>
      </c>
      <c r="L357" s="64">
        <f>IFERROR(INDEX('1. Matriz de Activos'!$R$6:$R$239,MATCH($C357,MgActId,0)),"")</f>
        <v/>
      </c>
      <c r="M357" s="64">
        <f>IFERROR(INDEX('1. Matriz de Activos'!$S$6:$S$239,MATCH($C357,MgActId,0)),"")</f>
        <v/>
      </c>
      <c r="N357" s="28">
        <f>IFERROR(INDEX(MgAmenDegD,MATCH(SUBSTITUTE($H357,"*","-"),MgAmenClave,0)),"No aplica")</f>
        <v/>
      </c>
      <c r="O357" s="28">
        <f>IFERROR(INDEX(MgAmenDegI,MATCH(SUBSTITUTE($H357,"*","-"),MgAmenClave,0)),"No aplica")</f>
        <v/>
      </c>
      <c r="P357" s="28">
        <f>IFERROR(INDEX(MgAmenDegC,MATCH(SUBSTITUTE($H357,"*","-"),MgAmenClave,0)),"No aplica")</f>
        <v/>
      </c>
      <c r="Q357" s="29">
        <f>IFERROR(VLOOKUP(K357,MgValor,2,0)*VLOOKUP(N357,MgDeg,2,0),0)</f>
        <v/>
      </c>
      <c r="R357" s="29">
        <f>IFERROR(VLOOKUP(L357,MgValor,2,0)*VLOOKUP(O357,MgDeg,2,0),0)</f>
        <v/>
      </c>
      <c r="S357" s="29">
        <f>IFERROR(VLOOKUP(M357,MgValor,2,0)*VLOOKUP(P357,MgDeg,2,0),0)</f>
        <v/>
      </c>
      <c r="T357" s="30">
        <f>MAX(Q357:S357)</f>
        <v/>
      </c>
      <c r="U357" s="28">
        <f>IFERROR(LOOKUP(T357,{0;0.5;1.5;3;4.5},{"Despreciable";"Bajo";"Medio";"Alto";"Muy alto"}),"")</f>
        <v/>
      </c>
      <c r="V357" s="13">
        <f>IFERROR(INDEX(MgAmenFrec,MATCH(SUBSTITUTE($H357,"*","-"),MgAmenClave,0)),"")</f>
        <v/>
      </c>
      <c r="W357" s="28">
        <f>IFERROR(LOOKUP(X357,{0;0.01;0.1;1;10;100},{"Muy baja";"Muy baja";"Baja";"Media";"Alta";"Muy alta"}),"")</f>
        <v/>
      </c>
      <c r="X357" s="31">
        <f>IFERROR(VLOOKUP(V357,MgFrec,2,0),0)</f>
        <v/>
      </c>
      <c r="Y357" s="30">
        <f>T357*X357</f>
        <v/>
      </c>
      <c r="Z357" s="28">
        <f>IFERROR(LOOKUP(Y357,{0;0.5;5;25},{"Bajo";"Medio";"Alto";"Crítico"}),"")</f>
        <v/>
      </c>
      <c r="AA357" s="64">
        <f>IF(T357&gt;=3,IF(X357&gt;=1,"Zona 1 — Crítica: impacto alto y ocurre al menos una vez al año","Zona 4 — Catastrófica poco probable: impacto alto pero excepcional"),IF(AND(T357&lt;1.5,X357&lt;1),"Zona 3 — Asumible: impacto bajo y muy poco frecuente","Zona 2 — Atención: riesgo intermedio"))</f>
        <v/>
      </c>
      <c r="AB357" s="64">
        <f>IFERROR(INDEX(MgAmenCtrl,MATCH(SUBSTITUTE($H357,"*","-"),MgAmenClave,0)),"")</f>
        <v/>
      </c>
      <c r="AC357" s="20" t="n"/>
      <c r="AD357" s="31">
        <f>IFERROR($X357*(1-IF($AC357="",$AL357,VLOOKUP($AC357,MgMad,2,0))),"")</f>
        <v/>
      </c>
      <c r="AE357" s="28">
        <f>IFERROR(LOOKUP(AD357,{0;0.01;0.1;1;10;100},{"Muy baja";"Muy baja";"Baja";"Media";"Alta";"Muy alta"}),"")</f>
        <v/>
      </c>
      <c r="AF357" s="30">
        <f>T357*AD357</f>
        <v/>
      </c>
      <c r="AG357" s="28">
        <f>IFERROR(LOOKUP(AF357,{0;0.5;5;25},{"Bajo";"Medio";"Alto";"Crítico"}),"")</f>
        <v/>
      </c>
      <c r="AH357" s="28">
        <f>IF(AG357="","",IF(OR(AG357="Crítico",AG357="Alto"),"Mitigar",IF(AG357="Medio","Mitigar","Aceptar y monitorear")))</f>
        <v/>
      </c>
      <c r="AI357" s="21" t="n"/>
      <c r="AJ357" s="21" t="n"/>
      <c r="AK357" s="20" t="n"/>
      <c r="AL357" s="77">
        <f>IFERROR(INDEX(MgAmenEfic,MATCH(SUBSTITUTE($H357,"*","-"),MgAmenClave,0)),0)</f>
        <v/>
      </c>
    </row>
    <row r="358" hidden="1" ht="75" customHeight="1" s="54">
      <c r="B358" s="59" t="inlineStr">
        <is>
          <t>R-0353</t>
        </is>
      </c>
      <c r="C358" s="59" t="inlineStr">
        <is>
          <t>DO-03</t>
        </is>
      </c>
      <c r="D358" s="64">
        <f>IFERROR(INDEX(MgNombre,MATCH($C358,MgActId,0)),"")</f>
        <v/>
      </c>
      <c r="E358" s="64">
        <f>IFERROR(INDEX(MgProceso,MATCH($C358,MgActId,0)),"")</f>
        <v/>
      </c>
      <c r="F358" s="64">
        <f>IFERROR(INDEX(MgTipo,MATCH($C358,MgActId,0)),"")</f>
        <v/>
      </c>
      <c r="G358" s="64">
        <f>IFERROR(INDEX(MgSubtipo,MATCH($C358,MgActId,0)),"")</f>
        <v/>
      </c>
      <c r="H358" s="59" t="inlineStr">
        <is>
          <t>I.8</t>
        </is>
      </c>
      <c r="I358" s="64">
        <f>IFERROR(INDEX(MgAmenNombre,MATCH(SUBSTITUTE($H358,"*","-"),MgAmenClave,0)),"")</f>
        <v/>
      </c>
      <c r="J358" s="28">
        <f>IFERROR(INDEX(MgAmenGrupo,MATCH(SUBSTITUTE($H358,"*","-"),MgAmenClave,0)),"")</f>
        <v/>
      </c>
      <c r="K358" s="64">
        <f>IFERROR(INDEX('1. Matriz de Activos'!$Q$6:$Q$239,MATCH($C358,MgActId,0)),"")</f>
        <v/>
      </c>
      <c r="L358" s="64">
        <f>IFERROR(INDEX('1. Matriz de Activos'!$R$6:$R$239,MATCH($C358,MgActId,0)),"")</f>
        <v/>
      </c>
      <c r="M358" s="64">
        <f>IFERROR(INDEX('1. Matriz de Activos'!$S$6:$S$239,MATCH($C358,MgActId,0)),"")</f>
        <v/>
      </c>
      <c r="N358" s="28">
        <f>IFERROR(INDEX(MgAmenDegD,MATCH(SUBSTITUTE($H358,"*","-"),MgAmenClave,0)),"No aplica")</f>
        <v/>
      </c>
      <c r="O358" s="28">
        <f>IFERROR(INDEX(MgAmenDegI,MATCH(SUBSTITUTE($H358,"*","-"),MgAmenClave,0)),"No aplica")</f>
        <v/>
      </c>
      <c r="P358" s="28">
        <f>IFERROR(INDEX(MgAmenDegC,MATCH(SUBSTITUTE($H358,"*","-"),MgAmenClave,0)),"No aplica")</f>
        <v/>
      </c>
      <c r="Q358" s="29">
        <f>IFERROR(VLOOKUP(K358,MgValor,2,0)*VLOOKUP(N358,MgDeg,2,0),0)</f>
        <v/>
      </c>
      <c r="R358" s="29">
        <f>IFERROR(VLOOKUP(L358,MgValor,2,0)*VLOOKUP(O358,MgDeg,2,0),0)</f>
        <v/>
      </c>
      <c r="S358" s="29">
        <f>IFERROR(VLOOKUP(M358,MgValor,2,0)*VLOOKUP(P358,MgDeg,2,0),0)</f>
        <v/>
      </c>
      <c r="T358" s="30">
        <f>MAX(Q358:S358)</f>
        <v/>
      </c>
      <c r="U358" s="28">
        <f>IFERROR(LOOKUP(T358,{0;0.5;1.5;3;4.5},{"Despreciable";"Bajo";"Medio";"Alto";"Muy alto"}),"")</f>
        <v/>
      </c>
      <c r="V358" s="13">
        <f>IFERROR(INDEX(MgAmenFrec,MATCH(SUBSTITUTE($H358,"*","-"),MgAmenClave,0)),"")</f>
        <v/>
      </c>
      <c r="W358" s="28">
        <f>IFERROR(LOOKUP(X358,{0;0.01;0.1;1;10;100},{"Muy baja";"Muy baja";"Baja";"Media";"Alta";"Muy alta"}),"")</f>
        <v/>
      </c>
      <c r="X358" s="31">
        <f>IFERROR(VLOOKUP(V358,MgFrec,2,0),0)</f>
        <v/>
      </c>
      <c r="Y358" s="30">
        <f>T358*X358</f>
        <v/>
      </c>
      <c r="Z358" s="28">
        <f>IFERROR(LOOKUP(Y358,{0;0.5;5;25},{"Bajo";"Medio";"Alto";"Crítico"}),"")</f>
        <v/>
      </c>
      <c r="AA358" s="64">
        <f>IF(T358&gt;=3,IF(X358&gt;=1,"Zona 1 — Crítica: impacto alto y ocurre al menos una vez al año","Zona 4 — Catastrófica poco probable: impacto alto pero excepcional"),IF(AND(T358&lt;1.5,X358&lt;1),"Zona 3 — Asumible: impacto bajo y muy poco frecuente","Zona 2 — Atención: riesgo intermedio"))</f>
        <v/>
      </c>
      <c r="AB358" s="64">
        <f>IFERROR(INDEX(MgAmenCtrl,MATCH(SUBSTITUTE($H358,"*","-"),MgAmenClave,0)),"")</f>
        <v/>
      </c>
      <c r="AC358" s="20" t="n"/>
      <c r="AD358" s="31">
        <f>IFERROR($X358*(1-IF($AC358="",$AL358,VLOOKUP($AC358,MgMad,2,0))),"")</f>
        <v/>
      </c>
      <c r="AE358" s="28">
        <f>IFERROR(LOOKUP(AD358,{0;0.01;0.1;1;10;100},{"Muy baja";"Muy baja";"Baja";"Media";"Alta";"Muy alta"}),"")</f>
        <v/>
      </c>
      <c r="AF358" s="30">
        <f>T358*AD358</f>
        <v/>
      </c>
      <c r="AG358" s="28">
        <f>IFERROR(LOOKUP(AF358,{0;0.5;5;25},{"Bajo";"Medio";"Alto";"Crítico"}),"")</f>
        <v/>
      </c>
      <c r="AH358" s="28">
        <f>IF(AG358="","",IF(OR(AG358="Crítico",AG358="Alto"),"Mitigar",IF(AG358="Medio","Mitigar","Aceptar y monitorear")))</f>
        <v/>
      </c>
      <c r="AI358" s="21" t="n"/>
      <c r="AJ358" s="21" t="n"/>
      <c r="AK358" s="20" t="n"/>
      <c r="AL358" s="77">
        <f>IFERROR(INDEX(MgAmenEfic,MATCH(SUBSTITUTE($H358,"*","-"),MgAmenClave,0)),0)</f>
        <v/>
      </c>
    </row>
    <row r="359" hidden="1" ht="45" customHeight="1" s="54">
      <c r="B359" s="59" t="inlineStr">
        <is>
          <t>R-0354</t>
        </is>
      </c>
      <c r="C359" s="59" t="inlineStr">
        <is>
          <t>DO-03</t>
        </is>
      </c>
      <c r="D359" s="64">
        <f>IFERROR(INDEX(MgNombre,MATCH($C359,MgActId,0)),"")</f>
        <v/>
      </c>
      <c r="E359" s="64">
        <f>IFERROR(INDEX(MgProceso,MATCH($C359,MgActId,0)),"")</f>
        <v/>
      </c>
      <c r="F359" s="64">
        <f>IFERROR(INDEX(MgTipo,MATCH($C359,MgActId,0)),"")</f>
        <v/>
      </c>
      <c r="G359" s="64">
        <f>IFERROR(INDEX(MgSubtipo,MATCH($C359,MgActId,0)),"")</f>
        <v/>
      </c>
      <c r="H359" s="59" t="inlineStr">
        <is>
          <t>I.11</t>
        </is>
      </c>
      <c r="I359" s="64">
        <f>IFERROR(INDEX(MgAmenNombre,MATCH(SUBSTITUTE($H359,"*","-"),MgAmenClave,0)),"")</f>
        <v/>
      </c>
      <c r="J359" s="28">
        <f>IFERROR(INDEX(MgAmenGrupo,MATCH(SUBSTITUTE($H359,"*","-"),MgAmenClave,0)),"")</f>
        <v/>
      </c>
      <c r="K359" s="64">
        <f>IFERROR(INDEX('1. Matriz de Activos'!$Q$6:$Q$239,MATCH($C359,MgActId,0)),"")</f>
        <v/>
      </c>
      <c r="L359" s="64">
        <f>IFERROR(INDEX('1. Matriz de Activos'!$R$6:$R$239,MATCH($C359,MgActId,0)),"")</f>
        <v/>
      </c>
      <c r="M359" s="64">
        <f>IFERROR(INDEX('1. Matriz de Activos'!$S$6:$S$239,MATCH($C359,MgActId,0)),"")</f>
        <v/>
      </c>
      <c r="N359" s="28">
        <f>IFERROR(INDEX(MgAmenDegD,MATCH(SUBSTITUTE($H359,"*","-"),MgAmenClave,0)),"No aplica")</f>
        <v/>
      </c>
      <c r="O359" s="28">
        <f>IFERROR(INDEX(MgAmenDegI,MATCH(SUBSTITUTE($H359,"*","-"),MgAmenClave,0)),"No aplica")</f>
        <v/>
      </c>
      <c r="P359" s="28">
        <f>IFERROR(INDEX(MgAmenDegC,MATCH(SUBSTITUTE($H359,"*","-"),MgAmenClave,0)),"No aplica")</f>
        <v/>
      </c>
      <c r="Q359" s="29">
        <f>IFERROR(VLOOKUP(K359,MgValor,2,0)*VLOOKUP(N359,MgDeg,2,0),0)</f>
        <v/>
      </c>
      <c r="R359" s="29">
        <f>IFERROR(VLOOKUP(L359,MgValor,2,0)*VLOOKUP(O359,MgDeg,2,0),0)</f>
        <v/>
      </c>
      <c r="S359" s="29">
        <f>IFERROR(VLOOKUP(M359,MgValor,2,0)*VLOOKUP(P359,MgDeg,2,0),0)</f>
        <v/>
      </c>
      <c r="T359" s="30">
        <f>MAX(Q359:S359)</f>
        <v/>
      </c>
      <c r="U359" s="28">
        <f>IFERROR(LOOKUP(T359,{0;0.5;1.5;3;4.5},{"Despreciable";"Bajo";"Medio";"Alto";"Muy alto"}),"")</f>
        <v/>
      </c>
      <c r="V359" s="13">
        <f>IFERROR(INDEX(MgAmenFrec,MATCH(SUBSTITUTE($H359,"*","-"),MgAmenClave,0)),"")</f>
        <v/>
      </c>
      <c r="W359" s="28">
        <f>IFERROR(LOOKUP(X359,{0;0.01;0.1;1;10;100},{"Muy baja";"Muy baja";"Baja";"Media";"Alta";"Muy alta"}),"")</f>
        <v/>
      </c>
      <c r="X359" s="31">
        <f>IFERROR(VLOOKUP(V359,MgFrec,2,0),0)</f>
        <v/>
      </c>
      <c r="Y359" s="30">
        <f>T359*X359</f>
        <v/>
      </c>
      <c r="Z359" s="28">
        <f>IFERROR(LOOKUP(Y359,{0;0.5;5;25},{"Bajo";"Medio";"Alto";"Crítico"}),"")</f>
        <v/>
      </c>
      <c r="AA359" s="64">
        <f>IF(T359&gt;=3,IF(X359&gt;=1,"Zona 1 — Crítica: impacto alto y ocurre al menos una vez al año","Zona 4 — Catastrófica poco probable: impacto alto pero excepcional"),IF(AND(T359&lt;1.5,X359&lt;1),"Zona 3 — Asumible: impacto bajo y muy poco frecuente","Zona 2 — Atención: riesgo intermedio"))</f>
        <v/>
      </c>
      <c r="AB359" s="64">
        <f>IFERROR(INDEX(MgAmenCtrl,MATCH(SUBSTITUTE($H359,"*","-"),MgAmenClave,0)),"")</f>
        <v/>
      </c>
      <c r="AC359" s="20" t="n"/>
      <c r="AD359" s="31">
        <f>IFERROR($X359*(1-IF($AC359="",$AL359,VLOOKUP($AC359,MgMad,2,0))),"")</f>
        <v/>
      </c>
      <c r="AE359" s="28">
        <f>IFERROR(LOOKUP(AD359,{0;0.01;0.1;1;10;100},{"Muy baja";"Muy baja";"Baja";"Media";"Alta";"Muy alta"}),"")</f>
        <v/>
      </c>
      <c r="AF359" s="30">
        <f>T359*AD359</f>
        <v/>
      </c>
      <c r="AG359" s="28">
        <f>IFERROR(LOOKUP(AF359,{0;0.5;5;25},{"Bajo";"Medio";"Alto";"Crítico"}),"")</f>
        <v/>
      </c>
      <c r="AH359" s="28">
        <f>IF(AG359="","",IF(OR(AG359="Crítico",AG359="Alto"),"Mitigar",IF(AG359="Medio","Mitigar","Aceptar y monitorear")))</f>
        <v/>
      </c>
      <c r="AI359" s="21" t="n"/>
      <c r="AJ359" s="21" t="n"/>
      <c r="AK359" s="20" t="n"/>
      <c r="AL359" s="77">
        <f>IFERROR(INDEX(MgAmenEfic,MATCH(SUBSTITUTE($H359,"*","-"),MgAmenClave,0)),0)</f>
        <v/>
      </c>
    </row>
    <row r="360" hidden="1" ht="120" customHeight="1" s="54">
      <c r="B360" s="59" t="inlineStr">
        <is>
          <t>R-0355</t>
        </is>
      </c>
      <c r="C360" s="59" t="inlineStr">
        <is>
          <t>DO-03</t>
        </is>
      </c>
      <c r="D360" s="64">
        <f>IFERROR(INDEX(MgNombre,MATCH($C360,MgActId,0)),"")</f>
        <v/>
      </c>
      <c r="E360" s="64">
        <f>IFERROR(INDEX(MgProceso,MATCH($C360,MgActId,0)),"")</f>
        <v/>
      </c>
      <c r="F360" s="64">
        <f>IFERROR(INDEX(MgTipo,MATCH($C360,MgActId,0)),"")</f>
        <v/>
      </c>
      <c r="G360" s="64">
        <f>IFERROR(INDEX(MgSubtipo,MATCH($C360,MgActId,0)),"")</f>
        <v/>
      </c>
      <c r="H360" s="59" t="inlineStr">
        <is>
          <t>E.2</t>
        </is>
      </c>
      <c r="I360" s="64">
        <f>IFERROR(INDEX(MgAmenNombre,MATCH(SUBSTITUTE($H360,"*","-"),MgAmenClave,0)),"")</f>
        <v/>
      </c>
      <c r="J360" s="28">
        <f>IFERROR(INDEX(MgAmenGrupo,MATCH(SUBSTITUTE($H360,"*","-"),MgAmenClave,0)),"")</f>
        <v/>
      </c>
      <c r="K360" s="64">
        <f>IFERROR(INDEX('1. Matriz de Activos'!$Q$6:$Q$239,MATCH($C360,MgActId,0)),"")</f>
        <v/>
      </c>
      <c r="L360" s="64">
        <f>IFERROR(INDEX('1. Matriz de Activos'!$R$6:$R$239,MATCH($C360,MgActId,0)),"")</f>
        <v/>
      </c>
      <c r="M360" s="64">
        <f>IFERROR(INDEX('1. Matriz de Activos'!$S$6:$S$239,MATCH($C360,MgActId,0)),"")</f>
        <v/>
      </c>
      <c r="N360" s="28">
        <f>IFERROR(INDEX(MgAmenDegD,MATCH(SUBSTITUTE($H360,"*","-"),MgAmenClave,0)),"No aplica")</f>
        <v/>
      </c>
      <c r="O360" s="28">
        <f>IFERROR(INDEX(MgAmenDegI,MATCH(SUBSTITUTE($H360,"*","-"),MgAmenClave,0)),"No aplica")</f>
        <v/>
      </c>
      <c r="P360" s="28">
        <f>IFERROR(INDEX(MgAmenDegC,MATCH(SUBSTITUTE($H360,"*","-"),MgAmenClave,0)),"No aplica")</f>
        <v/>
      </c>
      <c r="Q360" s="29">
        <f>IFERROR(VLOOKUP(K360,MgValor,2,0)*VLOOKUP(N360,MgDeg,2,0),0)</f>
        <v/>
      </c>
      <c r="R360" s="29">
        <f>IFERROR(VLOOKUP(L360,MgValor,2,0)*VLOOKUP(O360,MgDeg,2,0),0)</f>
        <v/>
      </c>
      <c r="S360" s="29">
        <f>IFERROR(VLOOKUP(M360,MgValor,2,0)*VLOOKUP(P360,MgDeg,2,0),0)</f>
        <v/>
      </c>
      <c r="T360" s="30">
        <f>MAX(Q360:S360)</f>
        <v/>
      </c>
      <c r="U360" s="28">
        <f>IFERROR(LOOKUP(T360,{0;0.5;1.5;3;4.5},{"Despreciable";"Bajo";"Medio";"Alto";"Muy alto"}),"")</f>
        <v/>
      </c>
      <c r="V360" s="13">
        <f>IFERROR(INDEX(MgAmenFrec,MATCH(SUBSTITUTE($H360,"*","-"),MgAmenClave,0)),"")</f>
        <v/>
      </c>
      <c r="W360" s="28">
        <f>IFERROR(LOOKUP(X360,{0;0.01;0.1;1;10;100},{"Muy baja";"Muy baja";"Baja";"Media";"Alta";"Muy alta"}),"")</f>
        <v/>
      </c>
      <c r="X360" s="31">
        <f>IFERROR(VLOOKUP(V360,MgFrec,2,0),0)</f>
        <v/>
      </c>
      <c r="Y360" s="30">
        <f>T360*X360</f>
        <v/>
      </c>
      <c r="Z360" s="28">
        <f>IFERROR(LOOKUP(Y360,{0;0.5;5;25},{"Bajo";"Medio";"Alto";"Crítico"}),"")</f>
        <v/>
      </c>
      <c r="AA360" s="64">
        <f>IF(T360&gt;=3,IF(X360&gt;=1,"Zona 1 — Crítica: impacto alto y ocurre al menos una vez al año","Zona 4 — Catastrófica poco probable: impacto alto pero excepcional"),IF(AND(T360&lt;1.5,X360&lt;1),"Zona 3 — Asumible: impacto bajo y muy poco frecuente","Zona 2 — Atención: riesgo intermedio"))</f>
        <v/>
      </c>
      <c r="AB360" s="64">
        <f>IFERROR(INDEX(MgAmenCtrl,MATCH(SUBSTITUTE($H360,"*","-"),MgAmenClave,0)),"")</f>
        <v/>
      </c>
      <c r="AC360" s="20" t="n"/>
      <c r="AD360" s="31">
        <f>IFERROR($X360*(1-IF($AC360="",$AL360,VLOOKUP($AC360,MgMad,2,0))),"")</f>
        <v/>
      </c>
      <c r="AE360" s="28">
        <f>IFERROR(LOOKUP(AD360,{0;0.01;0.1;1;10;100},{"Muy baja";"Muy baja";"Baja";"Media";"Alta";"Muy alta"}),"")</f>
        <v/>
      </c>
      <c r="AF360" s="30">
        <f>T360*AD360</f>
        <v/>
      </c>
      <c r="AG360" s="28">
        <f>IFERROR(LOOKUP(AF360,{0;0.5;5;25},{"Bajo";"Medio";"Alto";"Crítico"}),"")</f>
        <v/>
      </c>
      <c r="AH360" s="28">
        <f>IF(AG360="","",IF(OR(AG360="Crítico",AG360="Alto"),"Mitigar",IF(AG360="Medio","Mitigar","Aceptar y monitorear")))</f>
        <v/>
      </c>
      <c r="AI360" s="21" t="n"/>
      <c r="AJ360" s="21" t="n"/>
      <c r="AK360" s="20" t="n"/>
      <c r="AL360" s="77">
        <f>IFERROR(INDEX(MgAmenEfic,MATCH(SUBSTITUTE($H360,"*","-"),MgAmenClave,0)),0)</f>
        <v/>
      </c>
    </row>
    <row r="361" hidden="1" ht="60" customHeight="1" s="54">
      <c r="B361" s="59" t="inlineStr">
        <is>
          <t>R-0356</t>
        </is>
      </c>
      <c r="C361" s="59" t="inlineStr">
        <is>
          <t>DO-03</t>
        </is>
      </c>
      <c r="D361" s="64">
        <f>IFERROR(INDEX(MgNombre,MATCH($C361,MgActId,0)),"")</f>
        <v/>
      </c>
      <c r="E361" s="64">
        <f>IFERROR(INDEX(MgProceso,MATCH($C361,MgActId,0)),"")</f>
        <v/>
      </c>
      <c r="F361" s="64">
        <f>IFERROR(INDEX(MgTipo,MATCH($C361,MgActId,0)),"")</f>
        <v/>
      </c>
      <c r="G361" s="64">
        <f>IFERROR(INDEX(MgSubtipo,MATCH($C361,MgActId,0)),"")</f>
        <v/>
      </c>
      <c r="H361" s="59" t="inlineStr">
        <is>
          <t>E.9</t>
        </is>
      </c>
      <c r="I361" s="64">
        <f>IFERROR(INDEX(MgAmenNombre,MATCH(SUBSTITUTE($H361,"*","-"),MgAmenClave,0)),"")</f>
        <v/>
      </c>
      <c r="J361" s="28">
        <f>IFERROR(INDEX(MgAmenGrupo,MATCH(SUBSTITUTE($H361,"*","-"),MgAmenClave,0)),"")</f>
        <v/>
      </c>
      <c r="K361" s="64">
        <f>IFERROR(INDEX('1. Matriz de Activos'!$Q$6:$Q$239,MATCH($C361,MgActId,0)),"")</f>
        <v/>
      </c>
      <c r="L361" s="64">
        <f>IFERROR(INDEX('1. Matriz de Activos'!$R$6:$R$239,MATCH($C361,MgActId,0)),"")</f>
        <v/>
      </c>
      <c r="M361" s="64">
        <f>IFERROR(INDEX('1. Matriz de Activos'!$S$6:$S$239,MATCH($C361,MgActId,0)),"")</f>
        <v/>
      </c>
      <c r="N361" s="28">
        <f>IFERROR(INDEX(MgAmenDegD,MATCH(SUBSTITUTE($H361,"*","-"),MgAmenClave,0)),"No aplica")</f>
        <v/>
      </c>
      <c r="O361" s="28">
        <f>IFERROR(INDEX(MgAmenDegI,MATCH(SUBSTITUTE($H361,"*","-"),MgAmenClave,0)),"No aplica")</f>
        <v/>
      </c>
      <c r="P361" s="28">
        <f>IFERROR(INDEX(MgAmenDegC,MATCH(SUBSTITUTE($H361,"*","-"),MgAmenClave,0)),"No aplica")</f>
        <v/>
      </c>
      <c r="Q361" s="29">
        <f>IFERROR(VLOOKUP(K361,MgValor,2,0)*VLOOKUP(N361,MgDeg,2,0),0)</f>
        <v/>
      </c>
      <c r="R361" s="29">
        <f>IFERROR(VLOOKUP(L361,MgValor,2,0)*VLOOKUP(O361,MgDeg,2,0),0)</f>
        <v/>
      </c>
      <c r="S361" s="29">
        <f>IFERROR(VLOOKUP(M361,MgValor,2,0)*VLOOKUP(P361,MgDeg,2,0),0)</f>
        <v/>
      </c>
      <c r="T361" s="30">
        <f>MAX(Q361:S361)</f>
        <v/>
      </c>
      <c r="U361" s="28">
        <f>IFERROR(LOOKUP(T361,{0;0.5;1.5;3;4.5},{"Despreciable";"Bajo";"Medio";"Alto";"Muy alto"}),"")</f>
        <v/>
      </c>
      <c r="V361" s="13">
        <f>IFERROR(INDEX(MgAmenFrec,MATCH(SUBSTITUTE($H361,"*","-"),MgAmenClave,0)),"")</f>
        <v/>
      </c>
      <c r="W361" s="28">
        <f>IFERROR(LOOKUP(X361,{0;0.01;0.1;1;10;100},{"Muy baja";"Muy baja";"Baja";"Media";"Alta";"Muy alta"}),"")</f>
        <v/>
      </c>
      <c r="X361" s="31">
        <f>IFERROR(VLOOKUP(V361,MgFrec,2,0),0)</f>
        <v/>
      </c>
      <c r="Y361" s="30">
        <f>T361*X361</f>
        <v/>
      </c>
      <c r="Z361" s="28">
        <f>IFERROR(LOOKUP(Y361,{0;0.5;5;25},{"Bajo";"Medio";"Alto";"Crítico"}),"")</f>
        <v/>
      </c>
      <c r="AA361" s="64">
        <f>IF(T361&gt;=3,IF(X361&gt;=1,"Zona 1 — Crítica: impacto alto y ocurre al menos una vez al año","Zona 4 — Catastrófica poco probable: impacto alto pero excepcional"),IF(AND(T361&lt;1.5,X361&lt;1),"Zona 3 — Asumible: impacto bajo y muy poco frecuente","Zona 2 — Atención: riesgo intermedio"))</f>
        <v/>
      </c>
      <c r="AB361" s="64">
        <f>IFERROR(INDEX(MgAmenCtrl,MATCH(SUBSTITUTE($H361,"*","-"),MgAmenClave,0)),"")</f>
        <v/>
      </c>
      <c r="AC361" s="20" t="n"/>
      <c r="AD361" s="31">
        <f>IFERROR($X361*(1-IF($AC361="",$AL361,VLOOKUP($AC361,MgMad,2,0))),"")</f>
        <v/>
      </c>
      <c r="AE361" s="28">
        <f>IFERROR(LOOKUP(AD361,{0;0.01;0.1;1;10;100},{"Muy baja";"Muy baja";"Baja";"Media";"Alta";"Muy alta"}),"")</f>
        <v/>
      </c>
      <c r="AF361" s="30">
        <f>T361*AD361</f>
        <v/>
      </c>
      <c r="AG361" s="28">
        <f>IFERROR(LOOKUP(AF361,{0;0.5;5;25},{"Bajo";"Medio";"Alto";"Crítico"}),"")</f>
        <v/>
      </c>
      <c r="AH361" s="28">
        <f>IF(AG361="","",IF(OR(AG361="Crítico",AG361="Alto"),"Mitigar",IF(AG361="Medio","Mitigar","Aceptar y monitorear")))</f>
        <v/>
      </c>
      <c r="AI361" s="21" t="n"/>
      <c r="AJ361" s="21" t="n"/>
      <c r="AK361" s="20" t="n"/>
      <c r="AL361" s="77">
        <f>IFERROR(INDEX(MgAmenEfic,MATCH(SUBSTITUTE($H361,"*","-"),MgAmenClave,0)),0)</f>
        <v/>
      </c>
    </row>
    <row r="362" hidden="1" ht="90" customHeight="1" s="54">
      <c r="B362" s="59" t="inlineStr">
        <is>
          <t>R-0357</t>
        </is>
      </c>
      <c r="C362" s="59" t="inlineStr">
        <is>
          <t>DO-03</t>
        </is>
      </c>
      <c r="D362" s="64">
        <f>IFERROR(INDEX(MgNombre,MATCH($C362,MgActId,0)),"")</f>
        <v/>
      </c>
      <c r="E362" s="64">
        <f>IFERROR(INDEX(MgProceso,MATCH($C362,MgActId,0)),"")</f>
        <v/>
      </c>
      <c r="F362" s="64">
        <f>IFERROR(INDEX(MgTipo,MATCH($C362,MgActId,0)),"")</f>
        <v/>
      </c>
      <c r="G362" s="64">
        <f>IFERROR(INDEX(MgSubtipo,MATCH($C362,MgActId,0)),"")</f>
        <v/>
      </c>
      <c r="H362" s="59" t="inlineStr">
        <is>
          <t>E.10</t>
        </is>
      </c>
      <c r="I362" s="64">
        <f>IFERROR(INDEX(MgAmenNombre,MATCH(SUBSTITUTE($H362,"*","-"),MgAmenClave,0)),"")</f>
        <v/>
      </c>
      <c r="J362" s="28">
        <f>IFERROR(INDEX(MgAmenGrupo,MATCH(SUBSTITUTE($H362,"*","-"),MgAmenClave,0)),"")</f>
        <v/>
      </c>
      <c r="K362" s="64">
        <f>IFERROR(INDEX('1. Matriz de Activos'!$Q$6:$Q$239,MATCH($C362,MgActId,0)),"")</f>
        <v/>
      </c>
      <c r="L362" s="64">
        <f>IFERROR(INDEX('1. Matriz de Activos'!$R$6:$R$239,MATCH($C362,MgActId,0)),"")</f>
        <v/>
      </c>
      <c r="M362" s="64">
        <f>IFERROR(INDEX('1. Matriz de Activos'!$S$6:$S$239,MATCH($C362,MgActId,0)),"")</f>
        <v/>
      </c>
      <c r="N362" s="28">
        <f>IFERROR(INDEX(MgAmenDegD,MATCH(SUBSTITUTE($H362,"*","-"),MgAmenClave,0)),"No aplica")</f>
        <v/>
      </c>
      <c r="O362" s="28">
        <f>IFERROR(INDEX(MgAmenDegI,MATCH(SUBSTITUTE($H362,"*","-"),MgAmenClave,0)),"No aplica")</f>
        <v/>
      </c>
      <c r="P362" s="28">
        <f>IFERROR(INDEX(MgAmenDegC,MATCH(SUBSTITUTE($H362,"*","-"),MgAmenClave,0)),"No aplica")</f>
        <v/>
      </c>
      <c r="Q362" s="29">
        <f>IFERROR(VLOOKUP(K362,MgValor,2,0)*VLOOKUP(N362,MgDeg,2,0),0)</f>
        <v/>
      </c>
      <c r="R362" s="29">
        <f>IFERROR(VLOOKUP(L362,MgValor,2,0)*VLOOKUP(O362,MgDeg,2,0),0)</f>
        <v/>
      </c>
      <c r="S362" s="29">
        <f>IFERROR(VLOOKUP(M362,MgValor,2,0)*VLOOKUP(P362,MgDeg,2,0),0)</f>
        <v/>
      </c>
      <c r="T362" s="30">
        <f>MAX(Q362:S362)</f>
        <v/>
      </c>
      <c r="U362" s="28">
        <f>IFERROR(LOOKUP(T362,{0;0.5;1.5;3;4.5},{"Despreciable";"Bajo";"Medio";"Alto";"Muy alto"}),"")</f>
        <v/>
      </c>
      <c r="V362" s="13">
        <f>IFERROR(INDEX(MgAmenFrec,MATCH(SUBSTITUTE($H362,"*","-"),MgAmenClave,0)),"")</f>
        <v/>
      </c>
      <c r="W362" s="28">
        <f>IFERROR(LOOKUP(X362,{0;0.01;0.1;1;10;100},{"Muy baja";"Muy baja";"Baja";"Media";"Alta";"Muy alta"}),"")</f>
        <v/>
      </c>
      <c r="X362" s="31">
        <f>IFERROR(VLOOKUP(V362,MgFrec,2,0),0)</f>
        <v/>
      </c>
      <c r="Y362" s="30">
        <f>T362*X362</f>
        <v/>
      </c>
      <c r="Z362" s="28">
        <f>IFERROR(LOOKUP(Y362,{0;0.5;5;25},{"Bajo";"Medio";"Alto";"Crítico"}),"")</f>
        <v/>
      </c>
      <c r="AA362" s="64">
        <f>IF(T362&gt;=3,IF(X362&gt;=1,"Zona 1 — Crítica: impacto alto y ocurre al menos una vez al año","Zona 4 — Catastrófica poco probable: impacto alto pero excepcional"),IF(AND(T362&lt;1.5,X362&lt;1),"Zona 3 — Asumible: impacto bajo y muy poco frecuente","Zona 2 — Atención: riesgo intermedio"))</f>
        <v/>
      </c>
      <c r="AB362" s="64">
        <f>IFERROR(INDEX(MgAmenCtrl,MATCH(SUBSTITUTE($H362,"*","-"),MgAmenClave,0)),"")</f>
        <v/>
      </c>
      <c r="AC362" s="20" t="n"/>
      <c r="AD362" s="31">
        <f>IFERROR($X362*(1-IF($AC362="",$AL362,VLOOKUP($AC362,MgMad,2,0))),"")</f>
        <v/>
      </c>
      <c r="AE362" s="28">
        <f>IFERROR(LOOKUP(AD362,{0;0.01;0.1;1;10;100},{"Muy baja";"Muy baja";"Baja";"Media";"Alta";"Muy alta"}),"")</f>
        <v/>
      </c>
      <c r="AF362" s="30">
        <f>T362*AD362</f>
        <v/>
      </c>
      <c r="AG362" s="28">
        <f>IFERROR(LOOKUP(AF362,{0;0.5;5;25},{"Bajo";"Medio";"Alto";"Crítico"}),"")</f>
        <v/>
      </c>
      <c r="AH362" s="28">
        <f>IF(AG362="","",IF(OR(AG362="Crítico",AG362="Alto"),"Mitigar",IF(AG362="Medio","Mitigar","Aceptar y monitorear")))</f>
        <v/>
      </c>
      <c r="AI362" s="21" t="n"/>
      <c r="AJ362" s="21" t="n"/>
      <c r="AK362" s="20" t="n"/>
      <c r="AL362" s="77">
        <f>IFERROR(INDEX(MgAmenEfic,MATCH(SUBSTITUTE($H362,"*","-"),MgAmenClave,0)),0)</f>
        <v/>
      </c>
    </row>
    <row r="363" hidden="1" ht="90" customHeight="1" s="54">
      <c r="B363" s="59" t="inlineStr">
        <is>
          <t>R-0358</t>
        </is>
      </c>
      <c r="C363" s="59" t="inlineStr">
        <is>
          <t>DO-03</t>
        </is>
      </c>
      <c r="D363" s="64">
        <f>IFERROR(INDEX(MgNombre,MATCH($C363,MgActId,0)),"")</f>
        <v/>
      </c>
      <c r="E363" s="64">
        <f>IFERROR(INDEX(MgProceso,MATCH($C363,MgActId,0)),"")</f>
        <v/>
      </c>
      <c r="F363" s="64">
        <f>IFERROR(INDEX(MgTipo,MATCH($C363,MgActId,0)),"")</f>
        <v/>
      </c>
      <c r="G363" s="64">
        <f>IFERROR(INDEX(MgSubtipo,MATCH($C363,MgActId,0)),"")</f>
        <v/>
      </c>
      <c r="H363" s="59" t="inlineStr">
        <is>
          <t>E.14</t>
        </is>
      </c>
      <c r="I363" s="64">
        <f>IFERROR(INDEX(MgAmenNombre,MATCH(SUBSTITUTE($H363,"*","-"),MgAmenClave,0)),"")</f>
        <v/>
      </c>
      <c r="J363" s="28">
        <f>IFERROR(INDEX(MgAmenGrupo,MATCH(SUBSTITUTE($H363,"*","-"),MgAmenClave,0)),"")</f>
        <v/>
      </c>
      <c r="K363" s="64">
        <f>IFERROR(INDEX('1. Matriz de Activos'!$Q$6:$Q$239,MATCH($C363,MgActId,0)),"")</f>
        <v/>
      </c>
      <c r="L363" s="64">
        <f>IFERROR(INDEX('1. Matriz de Activos'!$R$6:$R$239,MATCH($C363,MgActId,0)),"")</f>
        <v/>
      </c>
      <c r="M363" s="64">
        <f>IFERROR(INDEX('1. Matriz de Activos'!$S$6:$S$239,MATCH($C363,MgActId,0)),"")</f>
        <v/>
      </c>
      <c r="N363" s="28">
        <f>IFERROR(INDEX(MgAmenDegD,MATCH(SUBSTITUTE($H363,"*","-"),MgAmenClave,0)),"No aplica")</f>
        <v/>
      </c>
      <c r="O363" s="28">
        <f>IFERROR(INDEX(MgAmenDegI,MATCH(SUBSTITUTE($H363,"*","-"),MgAmenClave,0)),"No aplica")</f>
        <v/>
      </c>
      <c r="P363" s="28">
        <f>IFERROR(INDEX(MgAmenDegC,MATCH(SUBSTITUTE($H363,"*","-"),MgAmenClave,0)),"No aplica")</f>
        <v/>
      </c>
      <c r="Q363" s="29">
        <f>IFERROR(VLOOKUP(K363,MgValor,2,0)*VLOOKUP(N363,MgDeg,2,0),0)</f>
        <v/>
      </c>
      <c r="R363" s="29">
        <f>IFERROR(VLOOKUP(L363,MgValor,2,0)*VLOOKUP(O363,MgDeg,2,0),0)</f>
        <v/>
      </c>
      <c r="S363" s="29">
        <f>IFERROR(VLOOKUP(M363,MgValor,2,0)*VLOOKUP(P363,MgDeg,2,0),0)</f>
        <v/>
      </c>
      <c r="T363" s="30">
        <f>MAX(Q363:S363)</f>
        <v/>
      </c>
      <c r="U363" s="28">
        <f>IFERROR(LOOKUP(T363,{0;0.5;1.5;3;4.5},{"Despreciable";"Bajo";"Medio";"Alto";"Muy alto"}),"")</f>
        <v/>
      </c>
      <c r="V363" s="13">
        <f>IFERROR(INDEX(MgAmenFrec,MATCH(SUBSTITUTE($H363,"*","-"),MgAmenClave,0)),"")</f>
        <v/>
      </c>
      <c r="W363" s="28">
        <f>IFERROR(LOOKUP(X363,{0;0.01;0.1;1;10;100},{"Muy baja";"Muy baja";"Baja";"Media";"Alta";"Muy alta"}),"")</f>
        <v/>
      </c>
      <c r="X363" s="31">
        <f>IFERROR(VLOOKUP(V363,MgFrec,2,0),0)</f>
        <v/>
      </c>
      <c r="Y363" s="30">
        <f>T363*X363</f>
        <v/>
      </c>
      <c r="Z363" s="28">
        <f>IFERROR(LOOKUP(Y363,{0;0.5;5;25},{"Bajo";"Medio";"Alto";"Crítico"}),"")</f>
        <v/>
      </c>
      <c r="AA363" s="64">
        <f>IF(T363&gt;=3,IF(X363&gt;=1,"Zona 1 — Crítica: impacto alto y ocurre al menos una vez al año","Zona 4 — Catastrófica poco probable: impacto alto pero excepcional"),IF(AND(T363&lt;1.5,X363&lt;1),"Zona 3 — Asumible: impacto bajo y muy poco frecuente","Zona 2 — Atención: riesgo intermedio"))</f>
        <v/>
      </c>
      <c r="AB363" s="64">
        <f>IFERROR(INDEX(MgAmenCtrl,MATCH(SUBSTITUTE($H363,"*","-"),MgAmenClave,0)),"")</f>
        <v/>
      </c>
      <c r="AC363" s="20" t="n"/>
      <c r="AD363" s="31">
        <f>IFERROR($X363*(1-IF($AC363="",$AL363,VLOOKUP($AC363,MgMad,2,0))),"")</f>
        <v/>
      </c>
      <c r="AE363" s="28">
        <f>IFERROR(LOOKUP(AD363,{0;0.01;0.1;1;10;100},{"Muy baja";"Muy baja";"Baja";"Media";"Alta";"Muy alta"}),"")</f>
        <v/>
      </c>
      <c r="AF363" s="30">
        <f>T363*AD363</f>
        <v/>
      </c>
      <c r="AG363" s="28">
        <f>IFERROR(LOOKUP(AF363,{0;0.5;5;25},{"Bajo";"Medio";"Alto";"Crítico"}),"")</f>
        <v/>
      </c>
      <c r="AH363" s="28">
        <f>IF(AG363="","",IF(OR(AG363="Crítico",AG363="Alto"),"Mitigar",IF(AG363="Medio","Mitigar","Aceptar y monitorear")))</f>
        <v/>
      </c>
      <c r="AI363" s="21" t="n"/>
      <c r="AJ363" s="21" t="n"/>
      <c r="AK363" s="20" t="n"/>
      <c r="AL363" s="77">
        <f>IFERROR(INDEX(MgAmenEfic,MATCH(SUBSTITUTE($H363,"*","-"),MgAmenClave,0)),0)</f>
        <v/>
      </c>
    </row>
    <row r="364" hidden="1" ht="90" customHeight="1" s="54">
      <c r="B364" s="59" t="inlineStr">
        <is>
          <t>R-0359</t>
        </is>
      </c>
      <c r="C364" s="59" t="inlineStr">
        <is>
          <t>DO-03</t>
        </is>
      </c>
      <c r="D364" s="64">
        <f>IFERROR(INDEX(MgNombre,MATCH($C364,MgActId,0)),"")</f>
        <v/>
      </c>
      <c r="E364" s="64">
        <f>IFERROR(INDEX(MgProceso,MATCH($C364,MgActId,0)),"")</f>
        <v/>
      </c>
      <c r="F364" s="64">
        <f>IFERROR(INDEX(MgTipo,MATCH($C364,MgActId,0)),"")</f>
        <v/>
      </c>
      <c r="G364" s="64">
        <f>IFERROR(INDEX(MgSubtipo,MATCH($C364,MgActId,0)),"")</f>
        <v/>
      </c>
      <c r="H364" s="59" t="inlineStr">
        <is>
          <t>E.15</t>
        </is>
      </c>
      <c r="I364" s="64">
        <f>IFERROR(INDEX(MgAmenNombre,MATCH(SUBSTITUTE($H364,"*","-"),MgAmenClave,0)),"")</f>
        <v/>
      </c>
      <c r="J364" s="28">
        <f>IFERROR(INDEX(MgAmenGrupo,MATCH(SUBSTITUTE($H364,"*","-"),MgAmenClave,0)),"")</f>
        <v/>
      </c>
      <c r="K364" s="64">
        <f>IFERROR(INDEX('1. Matriz de Activos'!$Q$6:$Q$239,MATCH($C364,MgActId,0)),"")</f>
        <v/>
      </c>
      <c r="L364" s="64">
        <f>IFERROR(INDEX('1. Matriz de Activos'!$R$6:$R$239,MATCH($C364,MgActId,0)),"")</f>
        <v/>
      </c>
      <c r="M364" s="64">
        <f>IFERROR(INDEX('1. Matriz de Activos'!$S$6:$S$239,MATCH($C364,MgActId,0)),"")</f>
        <v/>
      </c>
      <c r="N364" s="28">
        <f>IFERROR(INDEX(MgAmenDegD,MATCH(SUBSTITUTE($H364,"*","-"),MgAmenClave,0)),"No aplica")</f>
        <v/>
      </c>
      <c r="O364" s="28">
        <f>IFERROR(INDEX(MgAmenDegI,MATCH(SUBSTITUTE($H364,"*","-"),MgAmenClave,0)),"No aplica")</f>
        <v/>
      </c>
      <c r="P364" s="28">
        <f>IFERROR(INDEX(MgAmenDegC,MATCH(SUBSTITUTE($H364,"*","-"),MgAmenClave,0)),"No aplica")</f>
        <v/>
      </c>
      <c r="Q364" s="29">
        <f>IFERROR(VLOOKUP(K364,MgValor,2,0)*VLOOKUP(N364,MgDeg,2,0),0)</f>
        <v/>
      </c>
      <c r="R364" s="29">
        <f>IFERROR(VLOOKUP(L364,MgValor,2,0)*VLOOKUP(O364,MgDeg,2,0),0)</f>
        <v/>
      </c>
      <c r="S364" s="29">
        <f>IFERROR(VLOOKUP(M364,MgValor,2,0)*VLOOKUP(P364,MgDeg,2,0),0)</f>
        <v/>
      </c>
      <c r="T364" s="30">
        <f>MAX(Q364:S364)</f>
        <v/>
      </c>
      <c r="U364" s="28">
        <f>IFERROR(LOOKUP(T364,{0;0.5;1.5;3;4.5},{"Despreciable";"Bajo";"Medio";"Alto";"Muy alto"}),"")</f>
        <v/>
      </c>
      <c r="V364" s="13">
        <f>IFERROR(INDEX(MgAmenFrec,MATCH(SUBSTITUTE($H364,"*","-"),MgAmenClave,0)),"")</f>
        <v/>
      </c>
      <c r="W364" s="28">
        <f>IFERROR(LOOKUP(X364,{0;0.01;0.1;1;10;100},{"Muy baja";"Muy baja";"Baja";"Media";"Alta";"Muy alta"}),"")</f>
        <v/>
      </c>
      <c r="X364" s="31">
        <f>IFERROR(VLOOKUP(V364,MgFrec,2,0),0)</f>
        <v/>
      </c>
      <c r="Y364" s="30">
        <f>T364*X364</f>
        <v/>
      </c>
      <c r="Z364" s="28">
        <f>IFERROR(LOOKUP(Y364,{0;0.5;5;25},{"Bajo";"Medio";"Alto";"Crítico"}),"")</f>
        <v/>
      </c>
      <c r="AA364" s="64">
        <f>IF(T364&gt;=3,IF(X364&gt;=1,"Zona 1 — Crítica: impacto alto y ocurre al menos una vez al año","Zona 4 — Catastrófica poco probable: impacto alto pero excepcional"),IF(AND(T364&lt;1.5,X364&lt;1),"Zona 3 — Asumible: impacto bajo y muy poco frecuente","Zona 2 — Atención: riesgo intermedio"))</f>
        <v/>
      </c>
      <c r="AB364" s="64">
        <f>IFERROR(INDEX(MgAmenCtrl,MATCH(SUBSTITUTE($H364,"*","-"),MgAmenClave,0)),"")</f>
        <v/>
      </c>
      <c r="AC364" s="20" t="n"/>
      <c r="AD364" s="31">
        <f>IFERROR($X364*(1-IF($AC364="",$AL364,VLOOKUP($AC364,MgMad,2,0))),"")</f>
        <v/>
      </c>
      <c r="AE364" s="28">
        <f>IFERROR(LOOKUP(AD364,{0;0.01;0.1;1;10;100},{"Muy baja";"Muy baja";"Baja";"Media";"Alta";"Muy alta"}),"")</f>
        <v/>
      </c>
      <c r="AF364" s="30">
        <f>T364*AD364</f>
        <v/>
      </c>
      <c r="AG364" s="28">
        <f>IFERROR(LOOKUP(AF364,{0;0.5;5;25},{"Bajo";"Medio";"Alto";"Crítico"}),"")</f>
        <v/>
      </c>
      <c r="AH364" s="28">
        <f>IF(AG364="","",IF(OR(AG364="Crítico",AG364="Alto"),"Mitigar",IF(AG364="Medio","Mitigar","Aceptar y monitorear")))</f>
        <v/>
      </c>
      <c r="AI364" s="21" t="n"/>
      <c r="AJ364" s="21" t="n"/>
      <c r="AK364" s="20" t="n"/>
      <c r="AL364" s="77">
        <f>IFERROR(INDEX(MgAmenEfic,MATCH(SUBSTITUTE($H364,"*","-"),MgAmenClave,0)),0)</f>
        <v/>
      </c>
    </row>
    <row r="365" hidden="1" ht="60" customHeight="1" s="54">
      <c r="B365" s="59" t="inlineStr">
        <is>
          <t>R-0360</t>
        </is>
      </c>
      <c r="C365" s="59" t="inlineStr">
        <is>
          <t>DO-03</t>
        </is>
      </c>
      <c r="D365" s="64">
        <f>IFERROR(INDEX(MgNombre,MATCH($C365,MgActId,0)),"")</f>
        <v/>
      </c>
      <c r="E365" s="64">
        <f>IFERROR(INDEX(MgProceso,MATCH($C365,MgActId,0)),"")</f>
        <v/>
      </c>
      <c r="F365" s="64">
        <f>IFERROR(INDEX(MgTipo,MATCH($C365,MgActId,0)),"")</f>
        <v/>
      </c>
      <c r="G365" s="64">
        <f>IFERROR(INDEX(MgSubtipo,MATCH($C365,MgActId,0)),"")</f>
        <v/>
      </c>
      <c r="H365" s="59" t="inlineStr">
        <is>
          <t>E.18</t>
        </is>
      </c>
      <c r="I365" s="64">
        <f>IFERROR(INDEX(MgAmenNombre,MATCH(SUBSTITUTE($H365,"*","-"),MgAmenClave,0)),"")</f>
        <v/>
      </c>
      <c r="J365" s="28">
        <f>IFERROR(INDEX(MgAmenGrupo,MATCH(SUBSTITUTE($H365,"*","-"),MgAmenClave,0)),"")</f>
        <v/>
      </c>
      <c r="K365" s="64">
        <f>IFERROR(INDEX('1. Matriz de Activos'!$Q$6:$Q$239,MATCH($C365,MgActId,0)),"")</f>
        <v/>
      </c>
      <c r="L365" s="64">
        <f>IFERROR(INDEX('1. Matriz de Activos'!$R$6:$R$239,MATCH($C365,MgActId,0)),"")</f>
        <v/>
      </c>
      <c r="M365" s="64">
        <f>IFERROR(INDEX('1. Matriz de Activos'!$S$6:$S$239,MATCH($C365,MgActId,0)),"")</f>
        <v/>
      </c>
      <c r="N365" s="28">
        <f>IFERROR(INDEX(MgAmenDegD,MATCH(SUBSTITUTE($H365,"*","-"),MgAmenClave,0)),"No aplica")</f>
        <v/>
      </c>
      <c r="O365" s="28">
        <f>IFERROR(INDEX(MgAmenDegI,MATCH(SUBSTITUTE($H365,"*","-"),MgAmenClave,0)),"No aplica")</f>
        <v/>
      </c>
      <c r="P365" s="28">
        <f>IFERROR(INDEX(MgAmenDegC,MATCH(SUBSTITUTE($H365,"*","-"),MgAmenClave,0)),"No aplica")</f>
        <v/>
      </c>
      <c r="Q365" s="29">
        <f>IFERROR(VLOOKUP(K365,MgValor,2,0)*VLOOKUP(N365,MgDeg,2,0),0)</f>
        <v/>
      </c>
      <c r="R365" s="29">
        <f>IFERROR(VLOOKUP(L365,MgValor,2,0)*VLOOKUP(O365,MgDeg,2,0),0)</f>
        <v/>
      </c>
      <c r="S365" s="29">
        <f>IFERROR(VLOOKUP(M365,MgValor,2,0)*VLOOKUP(P365,MgDeg,2,0),0)</f>
        <v/>
      </c>
      <c r="T365" s="30">
        <f>MAX(Q365:S365)</f>
        <v/>
      </c>
      <c r="U365" s="28">
        <f>IFERROR(LOOKUP(T365,{0;0.5;1.5;3;4.5},{"Despreciable";"Bajo";"Medio";"Alto";"Muy alto"}),"")</f>
        <v/>
      </c>
      <c r="V365" s="13">
        <f>IFERROR(INDEX(MgAmenFrec,MATCH(SUBSTITUTE($H365,"*","-"),MgAmenClave,0)),"")</f>
        <v/>
      </c>
      <c r="W365" s="28">
        <f>IFERROR(LOOKUP(X365,{0;0.01;0.1;1;10;100},{"Muy baja";"Muy baja";"Baja";"Media";"Alta";"Muy alta"}),"")</f>
        <v/>
      </c>
      <c r="X365" s="31">
        <f>IFERROR(VLOOKUP(V365,MgFrec,2,0),0)</f>
        <v/>
      </c>
      <c r="Y365" s="30">
        <f>T365*X365</f>
        <v/>
      </c>
      <c r="Z365" s="28">
        <f>IFERROR(LOOKUP(Y365,{0;0.5;5;25},{"Bajo";"Medio";"Alto";"Crítico"}),"")</f>
        <v/>
      </c>
      <c r="AA365" s="64">
        <f>IF(T365&gt;=3,IF(X365&gt;=1,"Zona 1 — Crítica: impacto alto y ocurre al menos una vez al año","Zona 4 — Catastrófica poco probable: impacto alto pero excepcional"),IF(AND(T365&lt;1.5,X365&lt;1),"Zona 3 — Asumible: impacto bajo y muy poco frecuente","Zona 2 — Atención: riesgo intermedio"))</f>
        <v/>
      </c>
      <c r="AB365" s="64">
        <f>IFERROR(INDEX(MgAmenCtrl,MATCH(SUBSTITUTE($H365,"*","-"),MgAmenClave,0)),"")</f>
        <v/>
      </c>
      <c r="AC365" s="20" t="n"/>
      <c r="AD365" s="31">
        <f>IFERROR($X365*(1-IF($AC365="",$AL365,VLOOKUP($AC365,MgMad,2,0))),"")</f>
        <v/>
      </c>
      <c r="AE365" s="28">
        <f>IFERROR(LOOKUP(AD365,{0;0.01;0.1;1;10;100},{"Muy baja";"Muy baja";"Baja";"Media";"Alta";"Muy alta"}),"")</f>
        <v/>
      </c>
      <c r="AF365" s="30">
        <f>T365*AD365</f>
        <v/>
      </c>
      <c r="AG365" s="28">
        <f>IFERROR(LOOKUP(AF365,{0;0.5;5;25},{"Bajo";"Medio";"Alto";"Crítico"}),"")</f>
        <v/>
      </c>
      <c r="AH365" s="28">
        <f>IF(AG365="","",IF(OR(AG365="Crítico",AG365="Alto"),"Mitigar",IF(AG365="Medio","Mitigar","Aceptar y monitorear")))</f>
        <v/>
      </c>
      <c r="AI365" s="21" t="n"/>
      <c r="AJ365" s="21" t="n"/>
      <c r="AK365" s="20" t="n"/>
      <c r="AL365" s="77">
        <f>IFERROR(INDEX(MgAmenEfic,MATCH(SUBSTITUTE($H365,"*","-"),MgAmenClave,0)),0)</f>
        <v/>
      </c>
    </row>
    <row r="366" hidden="1" ht="105" customHeight="1" s="54">
      <c r="B366" s="59" t="inlineStr">
        <is>
          <t>R-0361</t>
        </is>
      </c>
      <c r="C366" s="59" t="inlineStr">
        <is>
          <t>DO-03</t>
        </is>
      </c>
      <c r="D366" s="64">
        <f>IFERROR(INDEX(MgNombre,MATCH($C366,MgActId,0)),"")</f>
        <v/>
      </c>
      <c r="E366" s="64">
        <f>IFERROR(INDEX(MgProceso,MATCH($C366,MgActId,0)),"")</f>
        <v/>
      </c>
      <c r="F366" s="64">
        <f>IFERROR(INDEX(MgTipo,MATCH($C366,MgActId,0)),"")</f>
        <v/>
      </c>
      <c r="G366" s="64">
        <f>IFERROR(INDEX(MgSubtipo,MATCH($C366,MgActId,0)),"")</f>
        <v/>
      </c>
      <c r="H366" s="59" t="inlineStr">
        <is>
          <t>E.19</t>
        </is>
      </c>
      <c r="I366" s="64">
        <f>IFERROR(INDEX(MgAmenNombre,MATCH(SUBSTITUTE($H366,"*","-"),MgAmenClave,0)),"")</f>
        <v/>
      </c>
      <c r="J366" s="28">
        <f>IFERROR(INDEX(MgAmenGrupo,MATCH(SUBSTITUTE($H366,"*","-"),MgAmenClave,0)),"")</f>
        <v/>
      </c>
      <c r="K366" s="64">
        <f>IFERROR(INDEX('1. Matriz de Activos'!$Q$6:$Q$239,MATCH($C366,MgActId,0)),"")</f>
        <v/>
      </c>
      <c r="L366" s="64">
        <f>IFERROR(INDEX('1. Matriz de Activos'!$R$6:$R$239,MATCH($C366,MgActId,0)),"")</f>
        <v/>
      </c>
      <c r="M366" s="64">
        <f>IFERROR(INDEX('1. Matriz de Activos'!$S$6:$S$239,MATCH($C366,MgActId,0)),"")</f>
        <v/>
      </c>
      <c r="N366" s="28">
        <f>IFERROR(INDEX(MgAmenDegD,MATCH(SUBSTITUTE($H366,"*","-"),MgAmenClave,0)),"No aplica")</f>
        <v/>
      </c>
      <c r="O366" s="28">
        <f>IFERROR(INDEX(MgAmenDegI,MATCH(SUBSTITUTE($H366,"*","-"),MgAmenClave,0)),"No aplica")</f>
        <v/>
      </c>
      <c r="P366" s="28">
        <f>IFERROR(INDEX(MgAmenDegC,MATCH(SUBSTITUTE($H366,"*","-"),MgAmenClave,0)),"No aplica")</f>
        <v/>
      </c>
      <c r="Q366" s="29">
        <f>IFERROR(VLOOKUP(K366,MgValor,2,0)*VLOOKUP(N366,MgDeg,2,0),0)</f>
        <v/>
      </c>
      <c r="R366" s="29">
        <f>IFERROR(VLOOKUP(L366,MgValor,2,0)*VLOOKUP(O366,MgDeg,2,0),0)</f>
        <v/>
      </c>
      <c r="S366" s="29">
        <f>IFERROR(VLOOKUP(M366,MgValor,2,0)*VLOOKUP(P366,MgDeg,2,0),0)</f>
        <v/>
      </c>
      <c r="T366" s="30">
        <f>MAX(Q366:S366)</f>
        <v/>
      </c>
      <c r="U366" s="28">
        <f>IFERROR(LOOKUP(T366,{0;0.5;1.5;3;4.5},{"Despreciable";"Bajo";"Medio";"Alto";"Muy alto"}),"")</f>
        <v/>
      </c>
      <c r="V366" s="13">
        <f>IFERROR(INDEX(MgAmenFrec,MATCH(SUBSTITUTE($H366,"*","-"),MgAmenClave,0)),"")</f>
        <v/>
      </c>
      <c r="W366" s="28">
        <f>IFERROR(LOOKUP(X366,{0;0.01;0.1;1;10;100},{"Muy baja";"Muy baja";"Baja";"Media";"Alta";"Muy alta"}),"")</f>
        <v/>
      </c>
      <c r="X366" s="31">
        <f>IFERROR(VLOOKUP(V366,MgFrec,2,0),0)</f>
        <v/>
      </c>
      <c r="Y366" s="30">
        <f>T366*X366</f>
        <v/>
      </c>
      <c r="Z366" s="28">
        <f>IFERROR(LOOKUP(Y366,{0;0.5;5;25},{"Bajo";"Medio";"Alto";"Crítico"}),"")</f>
        <v/>
      </c>
      <c r="AA366" s="64">
        <f>IF(T366&gt;=3,IF(X366&gt;=1,"Zona 1 — Crítica: impacto alto y ocurre al menos una vez al año","Zona 4 — Catastrófica poco probable: impacto alto pero excepcional"),IF(AND(T366&lt;1.5,X366&lt;1),"Zona 3 — Asumible: impacto bajo y muy poco frecuente","Zona 2 — Atención: riesgo intermedio"))</f>
        <v/>
      </c>
      <c r="AB366" s="64">
        <f>IFERROR(INDEX(MgAmenCtrl,MATCH(SUBSTITUTE($H366,"*","-"),MgAmenClave,0)),"")</f>
        <v/>
      </c>
      <c r="AC366" s="20" t="n"/>
      <c r="AD366" s="31">
        <f>IFERROR($X366*(1-IF($AC366="",$AL366,VLOOKUP($AC366,MgMad,2,0))),"")</f>
        <v/>
      </c>
      <c r="AE366" s="28">
        <f>IFERROR(LOOKUP(AD366,{0;0.01;0.1;1;10;100},{"Muy baja";"Muy baja";"Baja";"Media";"Alta";"Muy alta"}),"")</f>
        <v/>
      </c>
      <c r="AF366" s="30">
        <f>T366*AD366</f>
        <v/>
      </c>
      <c r="AG366" s="28">
        <f>IFERROR(LOOKUP(AF366,{0;0.5;5;25},{"Bajo";"Medio";"Alto";"Crítico"}),"")</f>
        <v/>
      </c>
      <c r="AH366" s="28">
        <f>IF(AG366="","",IF(OR(AG366="Crítico",AG366="Alto"),"Mitigar",IF(AG366="Medio","Mitigar","Aceptar y monitorear")))</f>
        <v/>
      </c>
      <c r="AI366" s="21" t="n"/>
      <c r="AJ366" s="21" t="n"/>
      <c r="AK366" s="20" t="n"/>
      <c r="AL366" s="77">
        <f>IFERROR(INDEX(MgAmenEfic,MATCH(SUBSTITUTE($H366,"*","-"),MgAmenClave,0)),0)</f>
        <v/>
      </c>
    </row>
    <row r="367" hidden="1" ht="45" customHeight="1" s="54">
      <c r="B367" s="59" t="inlineStr">
        <is>
          <t>R-0362</t>
        </is>
      </c>
      <c r="C367" s="59" t="inlineStr">
        <is>
          <t>DO-03</t>
        </is>
      </c>
      <c r="D367" s="64">
        <f>IFERROR(INDEX(MgNombre,MATCH($C367,MgActId,0)),"")</f>
        <v/>
      </c>
      <c r="E367" s="64">
        <f>IFERROR(INDEX(MgProceso,MATCH($C367,MgActId,0)),"")</f>
        <v/>
      </c>
      <c r="F367" s="64">
        <f>IFERROR(INDEX(MgTipo,MATCH($C367,MgActId,0)),"")</f>
        <v/>
      </c>
      <c r="G367" s="64">
        <f>IFERROR(INDEX(MgSubtipo,MATCH($C367,MgActId,0)),"")</f>
        <v/>
      </c>
      <c r="H367" s="59" t="inlineStr">
        <is>
          <t>E.24</t>
        </is>
      </c>
      <c r="I367" s="64">
        <f>IFERROR(INDEX(MgAmenNombre,MATCH(SUBSTITUTE($H367,"*","-"),MgAmenClave,0)),"")</f>
        <v/>
      </c>
      <c r="J367" s="28">
        <f>IFERROR(INDEX(MgAmenGrupo,MATCH(SUBSTITUTE($H367,"*","-"),MgAmenClave,0)),"")</f>
        <v/>
      </c>
      <c r="K367" s="64">
        <f>IFERROR(INDEX('1. Matriz de Activos'!$Q$6:$Q$239,MATCH($C367,MgActId,0)),"")</f>
        <v/>
      </c>
      <c r="L367" s="64">
        <f>IFERROR(INDEX('1. Matriz de Activos'!$R$6:$R$239,MATCH($C367,MgActId,0)),"")</f>
        <v/>
      </c>
      <c r="M367" s="64">
        <f>IFERROR(INDEX('1. Matriz de Activos'!$S$6:$S$239,MATCH($C367,MgActId,0)),"")</f>
        <v/>
      </c>
      <c r="N367" s="28">
        <f>IFERROR(INDEX(MgAmenDegD,MATCH(SUBSTITUTE($H367,"*","-"),MgAmenClave,0)),"No aplica")</f>
        <v/>
      </c>
      <c r="O367" s="28">
        <f>IFERROR(INDEX(MgAmenDegI,MATCH(SUBSTITUTE($H367,"*","-"),MgAmenClave,0)),"No aplica")</f>
        <v/>
      </c>
      <c r="P367" s="28">
        <f>IFERROR(INDEX(MgAmenDegC,MATCH(SUBSTITUTE($H367,"*","-"),MgAmenClave,0)),"No aplica")</f>
        <v/>
      </c>
      <c r="Q367" s="29">
        <f>IFERROR(VLOOKUP(K367,MgValor,2,0)*VLOOKUP(N367,MgDeg,2,0),0)</f>
        <v/>
      </c>
      <c r="R367" s="29">
        <f>IFERROR(VLOOKUP(L367,MgValor,2,0)*VLOOKUP(O367,MgDeg,2,0),0)</f>
        <v/>
      </c>
      <c r="S367" s="29">
        <f>IFERROR(VLOOKUP(M367,MgValor,2,0)*VLOOKUP(P367,MgDeg,2,0),0)</f>
        <v/>
      </c>
      <c r="T367" s="30">
        <f>MAX(Q367:S367)</f>
        <v/>
      </c>
      <c r="U367" s="28">
        <f>IFERROR(LOOKUP(T367,{0;0.5;1.5;3;4.5},{"Despreciable";"Bajo";"Medio";"Alto";"Muy alto"}),"")</f>
        <v/>
      </c>
      <c r="V367" s="13">
        <f>IFERROR(INDEX(MgAmenFrec,MATCH(SUBSTITUTE($H367,"*","-"),MgAmenClave,0)),"")</f>
        <v/>
      </c>
      <c r="W367" s="28">
        <f>IFERROR(LOOKUP(X367,{0;0.01;0.1;1;10;100},{"Muy baja";"Muy baja";"Baja";"Media";"Alta";"Muy alta"}),"")</f>
        <v/>
      </c>
      <c r="X367" s="31">
        <f>IFERROR(VLOOKUP(V367,MgFrec,2,0),0)</f>
        <v/>
      </c>
      <c r="Y367" s="30">
        <f>T367*X367</f>
        <v/>
      </c>
      <c r="Z367" s="28">
        <f>IFERROR(LOOKUP(Y367,{0;0.5;5;25},{"Bajo";"Medio";"Alto";"Crítico"}),"")</f>
        <v/>
      </c>
      <c r="AA367" s="64">
        <f>IF(T367&gt;=3,IF(X367&gt;=1,"Zona 1 — Crítica: impacto alto y ocurre al menos una vez al año","Zona 4 — Catastrófica poco probable: impacto alto pero excepcional"),IF(AND(T367&lt;1.5,X367&lt;1),"Zona 3 — Asumible: impacto bajo y muy poco frecuente","Zona 2 — Atención: riesgo intermedio"))</f>
        <v/>
      </c>
      <c r="AB367" s="64">
        <f>IFERROR(INDEX(MgAmenCtrl,MATCH(SUBSTITUTE($H367,"*","-"),MgAmenClave,0)),"")</f>
        <v/>
      </c>
      <c r="AC367" s="20" t="n"/>
      <c r="AD367" s="31">
        <f>IFERROR($X367*(1-IF($AC367="",$AL367,VLOOKUP($AC367,MgMad,2,0))),"")</f>
        <v/>
      </c>
      <c r="AE367" s="28">
        <f>IFERROR(LOOKUP(AD367,{0;0.01;0.1;1;10;100},{"Muy baja";"Muy baja";"Baja";"Media";"Alta";"Muy alta"}),"")</f>
        <v/>
      </c>
      <c r="AF367" s="30">
        <f>T367*AD367</f>
        <v/>
      </c>
      <c r="AG367" s="28">
        <f>IFERROR(LOOKUP(AF367,{0;0.5;5;25},{"Bajo";"Medio";"Alto";"Crítico"}),"")</f>
        <v/>
      </c>
      <c r="AH367" s="28">
        <f>IF(AG367="","",IF(OR(AG367="Crítico",AG367="Alto"),"Mitigar",IF(AG367="Medio","Mitigar","Aceptar y monitorear")))</f>
        <v/>
      </c>
      <c r="AI367" s="21" t="n"/>
      <c r="AJ367" s="21" t="n"/>
      <c r="AK367" s="20" t="n"/>
      <c r="AL367" s="77">
        <f>IFERROR(INDEX(MgAmenEfic,MATCH(SUBSTITUTE($H367,"*","-"),MgAmenClave,0)),0)</f>
        <v/>
      </c>
    </row>
    <row r="368" hidden="1" ht="75" customHeight="1" s="54">
      <c r="B368" s="59" t="inlineStr">
        <is>
          <t>R-0363</t>
        </is>
      </c>
      <c r="C368" s="59" t="inlineStr">
        <is>
          <t>DO-03</t>
        </is>
      </c>
      <c r="D368" s="64">
        <f>IFERROR(INDEX(MgNombre,MATCH($C368,MgActId,0)),"")</f>
        <v/>
      </c>
      <c r="E368" s="64">
        <f>IFERROR(INDEX(MgProceso,MATCH($C368,MgActId,0)),"")</f>
        <v/>
      </c>
      <c r="F368" s="64">
        <f>IFERROR(INDEX(MgTipo,MATCH($C368,MgActId,0)),"")</f>
        <v/>
      </c>
      <c r="G368" s="64">
        <f>IFERROR(INDEX(MgSubtipo,MATCH($C368,MgActId,0)),"")</f>
        <v/>
      </c>
      <c r="H368" s="59" t="inlineStr">
        <is>
          <t>A.5</t>
        </is>
      </c>
      <c r="I368" s="64">
        <f>IFERROR(INDEX(MgAmenNombre,MATCH(SUBSTITUTE($H368,"*","-"),MgAmenClave,0)),"")</f>
        <v/>
      </c>
      <c r="J368" s="28">
        <f>IFERROR(INDEX(MgAmenGrupo,MATCH(SUBSTITUTE($H368,"*","-"),MgAmenClave,0)),"")</f>
        <v/>
      </c>
      <c r="K368" s="64">
        <f>IFERROR(INDEX('1. Matriz de Activos'!$Q$6:$Q$239,MATCH($C368,MgActId,0)),"")</f>
        <v/>
      </c>
      <c r="L368" s="64">
        <f>IFERROR(INDEX('1. Matriz de Activos'!$R$6:$R$239,MATCH($C368,MgActId,0)),"")</f>
        <v/>
      </c>
      <c r="M368" s="64">
        <f>IFERROR(INDEX('1. Matriz de Activos'!$S$6:$S$239,MATCH($C368,MgActId,0)),"")</f>
        <v/>
      </c>
      <c r="N368" s="28">
        <f>IFERROR(INDEX(MgAmenDegD,MATCH(SUBSTITUTE($H368,"*","-"),MgAmenClave,0)),"No aplica")</f>
        <v/>
      </c>
      <c r="O368" s="28">
        <f>IFERROR(INDEX(MgAmenDegI,MATCH(SUBSTITUTE($H368,"*","-"),MgAmenClave,0)),"No aplica")</f>
        <v/>
      </c>
      <c r="P368" s="28">
        <f>IFERROR(INDEX(MgAmenDegC,MATCH(SUBSTITUTE($H368,"*","-"),MgAmenClave,0)),"No aplica")</f>
        <v/>
      </c>
      <c r="Q368" s="29">
        <f>IFERROR(VLOOKUP(K368,MgValor,2,0)*VLOOKUP(N368,MgDeg,2,0),0)</f>
        <v/>
      </c>
      <c r="R368" s="29">
        <f>IFERROR(VLOOKUP(L368,MgValor,2,0)*VLOOKUP(O368,MgDeg,2,0),0)</f>
        <v/>
      </c>
      <c r="S368" s="29">
        <f>IFERROR(VLOOKUP(M368,MgValor,2,0)*VLOOKUP(P368,MgDeg,2,0),0)</f>
        <v/>
      </c>
      <c r="T368" s="30">
        <f>MAX(Q368:S368)</f>
        <v/>
      </c>
      <c r="U368" s="28">
        <f>IFERROR(LOOKUP(T368,{0;0.5;1.5;3;4.5},{"Despreciable";"Bajo";"Medio";"Alto";"Muy alto"}),"")</f>
        <v/>
      </c>
      <c r="V368" s="13">
        <f>IFERROR(INDEX(MgAmenFrec,MATCH(SUBSTITUTE($H368,"*","-"),MgAmenClave,0)),"")</f>
        <v/>
      </c>
      <c r="W368" s="28">
        <f>IFERROR(LOOKUP(X368,{0;0.01;0.1;1;10;100},{"Muy baja";"Muy baja";"Baja";"Media";"Alta";"Muy alta"}),"")</f>
        <v/>
      </c>
      <c r="X368" s="31">
        <f>IFERROR(VLOOKUP(V368,MgFrec,2,0),0)</f>
        <v/>
      </c>
      <c r="Y368" s="30">
        <f>T368*X368</f>
        <v/>
      </c>
      <c r="Z368" s="28">
        <f>IFERROR(LOOKUP(Y368,{0;0.5;5;25},{"Bajo";"Medio";"Alto";"Crítico"}),"")</f>
        <v/>
      </c>
      <c r="AA368" s="64">
        <f>IF(T368&gt;=3,IF(X368&gt;=1,"Zona 1 — Crítica: impacto alto y ocurre al menos una vez al año","Zona 4 — Catastrófica poco probable: impacto alto pero excepcional"),IF(AND(T368&lt;1.5,X368&lt;1),"Zona 3 — Asumible: impacto bajo y muy poco frecuente","Zona 2 — Atención: riesgo intermedio"))</f>
        <v/>
      </c>
      <c r="AB368" s="64">
        <f>IFERROR(INDEX(MgAmenCtrl,MATCH(SUBSTITUTE($H368,"*","-"),MgAmenClave,0)),"")</f>
        <v/>
      </c>
      <c r="AC368" s="20" t="n"/>
      <c r="AD368" s="31">
        <f>IFERROR($X368*(1-IF($AC368="",$AL368,VLOOKUP($AC368,MgMad,2,0))),"")</f>
        <v/>
      </c>
      <c r="AE368" s="28">
        <f>IFERROR(LOOKUP(AD368,{0;0.01;0.1;1;10;100},{"Muy baja";"Muy baja";"Baja";"Media";"Alta";"Muy alta"}),"")</f>
        <v/>
      </c>
      <c r="AF368" s="30">
        <f>T368*AD368</f>
        <v/>
      </c>
      <c r="AG368" s="28">
        <f>IFERROR(LOOKUP(AF368,{0;0.5;5;25},{"Bajo";"Medio";"Alto";"Crítico"}),"")</f>
        <v/>
      </c>
      <c r="AH368" s="28">
        <f>IF(AG368="","",IF(OR(AG368="Crítico",AG368="Alto"),"Mitigar",IF(AG368="Medio","Mitigar","Aceptar y monitorear")))</f>
        <v/>
      </c>
      <c r="AI368" s="21" t="n"/>
      <c r="AJ368" s="21" t="n"/>
      <c r="AK368" s="20" t="n"/>
      <c r="AL368" s="77">
        <f>IFERROR(INDEX(MgAmenEfic,MATCH(SUBSTITUTE($H368,"*","-"),MgAmenClave,0)),0)</f>
        <v/>
      </c>
    </row>
    <row r="369" hidden="1" ht="105" customHeight="1" s="54">
      <c r="B369" s="59" t="inlineStr">
        <is>
          <t>R-0364</t>
        </is>
      </c>
      <c r="C369" s="59" t="inlineStr">
        <is>
          <t>DO-03</t>
        </is>
      </c>
      <c r="D369" s="64">
        <f>IFERROR(INDEX(MgNombre,MATCH($C369,MgActId,0)),"")</f>
        <v/>
      </c>
      <c r="E369" s="64">
        <f>IFERROR(INDEX(MgProceso,MATCH($C369,MgActId,0)),"")</f>
        <v/>
      </c>
      <c r="F369" s="64">
        <f>IFERROR(INDEX(MgTipo,MATCH($C369,MgActId,0)),"")</f>
        <v/>
      </c>
      <c r="G369" s="64">
        <f>IFERROR(INDEX(MgSubtipo,MATCH($C369,MgActId,0)),"")</f>
        <v/>
      </c>
      <c r="H369" s="59" t="inlineStr">
        <is>
          <t>A.6</t>
        </is>
      </c>
      <c r="I369" s="64">
        <f>IFERROR(INDEX(MgAmenNombre,MATCH(SUBSTITUTE($H369,"*","-"),MgAmenClave,0)),"")</f>
        <v/>
      </c>
      <c r="J369" s="28">
        <f>IFERROR(INDEX(MgAmenGrupo,MATCH(SUBSTITUTE($H369,"*","-"),MgAmenClave,0)),"")</f>
        <v/>
      </c>
      <c r="K369" s="64">
        <f>IFERROR(INDEX('1. Matriz de Activos'!$Q$6:$Q$239,MATCH($C369,MgActId,0)),"")</f>
        <v/>
      </c>
      <c r="L369" s="64">
        <f>IFERROR(INDEX('1. Matriz de Activos'!$R$6:$R$239,MATCH($C369,MgActId,0)),"")</f>
        <v/>
      </c>
      <c r="M369" s="64">
        <f>IFERROR(INDEX('1. Matriz de Activos'!$S$6:$S$239,MATCH($C369,MgActId,0)),"")</f>
        <v/>
      </c>
      <c r="N369" s="28">
        <f>IFERROR(INDEX(MgAmenDegD,MATCH(SUBSTITUTE($H369,"*","-"),MgAmenClave,0)),"No aplica")</f>
        <v/>
      </c>
      <c r="O369" s="28">
        <f>IFERROR(INDEX(MgAmenDegI,MATCH(SUBSTITUTE($H369,"*","-"),MgAmenClave,0)),"No aplica")</f>
        <v/>
      </c>
      <c r="P369" s="28">
        <f>IFERROR(INDEX(MgAmenDegC,MATCH(SUBSTITUTE($H369,"*","-"),MgAmenClave,0)),"No aplica")</f>
        <v/>
      </c>
      <c r="Q369" s="29">
        <f>IFERROR(VLOOKUP(K369,MgValor,2,0)*VLOOKUP(N369,MgDeg,2,0),0)</f>
        <v/>
      </c>
      <c r="R369" s="29">
        <f>IFERROR(VLOOKUP(L369,MgValor,2,0)*VLOOKUP(O369,MgDeg,2,0),0)</f>
        <v/>
      </c>
      <c r="S369" s="29">
        <f>IFERROR(VLOOKUP(M369,MgValor,2,0)*VLOOKUP(P369,MgDeg,2,0),0)</f>
        <v/>
      </c>
      <c r="T369" s="30">
        <f>MAX(Q369:S369)</f>
        <v/>
      </c>
      <c r="U369" s="28">
        <f>IFERROR(LOOKUP(T369,{0;0.5;1.5;3;4.5},{"Despreciable";"Bajo";"Medio";"Alto";"Muy alto"}),"")</f>
        <v/>
      </c>
      <c r="V369" s="13">
        <f>IFERROR(INDEX(MgAmenFrec,MATCH(SUBSTITUTE($H369,"*","-"),MgAmenClave,0)),"")</f>
        <v/>
      </c>
      <c r="W369" s="28">
        <f>IFERROR(LOOKUP(X369,{0;0.01;0.1;1;10;100},{"Muy baja";"Muy baja";"Baja";"Media";"Alta";"Muy alta"}),"")</f>
        <v/>
      </c>
      <c r="X369" s="31">
        <f>IFERROR(VLOOKUP(V369,MgFrec,2,0),0)</f>
        <v/>
      </c>
      <c r="Y369" s="30">
        <f>T369*X369</f>
        <v/>
      </c>
      <c r="Z369" s="28">
        <f>IFERROR(LOOKUP(Y369,{0;0.5;5;25},{"Bajo";"Medio";"Alto";"Crítico"}),"")</f>
        <v/>
      </c>
      <c r="AA369" s="64">
        <f>IF(T369&gt;=3,IF(X369&gt;=1,"Zona 1 — Crítica: impacto alto y ocurre al menos una vez al año","Zona 4 — Catastrófica poco probable: impacto alto pero excepcional"),IF(AND(T369&lt;1.5,X369&lt;1),"Zona 3 — Asumible: impacto bajo y muy poco frecuente","Zona 2 — Atención: riesgo intermedio"))</f>
        <v/>
      </c>
      <c r="AB369" s="64">
        <f>IFERROR(INDEX(MgAmenCtrl,MATCH(SUBSTITUTE($H369,"*","-"),MgAmenClave,0)),"")</f>
        <v/>
      </c>
      <c r="AC369" s="20" t="n"/>
      <c r="AD369" s="31">
        <f>IFERROR($X369*(1-IF($AC369="",$AL369,VLOOKUP($AC369,MgMad,2,0))),"")</f>
        <v/>
      </c>
      <c r="AE369" s="28">
        <f>IFERROR(LOOKUP(AD369,{0;0.01;0.1;1;10;100},{"Muy baja";"Muy baja";"Baja";"Media";"Alta";"Muy alta"}),"")</f>
        <v/>
      </c>
      <c r="AF369" s="30">
        <f>T369*AD369</f>
        <v/>
      </c>
      <c r="AG369" s="28">
        <f>IFERROR(LOOKUP(AF369,{0;0.5;5;25},{"Bajo";"Medio";"Alto";"Crítico"}),"")</f>
        <v/>
      </c>
      <c r="AH369" s="28">
        <f>IF(AG369="","",IF(OR(AG369="Crítico",AG369="Alto"),"Mitigar",IF(AG369="Medio","Mitigar","Aceptar y monitorear")))</f>
        <v/>
      </c>
      <c r="AI369" s="21" t="n"/>
      <c r="AJ369" s="21" t="n"/>
      <c r="AK369" s="20" t="n"/>
      <c r="AL369" s="77">
        <f>IFERROR(INDEX(MgAmenEfic,MATCH(SUBSTITUTE($H369,"*","-"),MgAmenClave,0)),0)</f>
        <v/>
      </c>
    </row>
    <row r="370" hidden="1" ht="60" customHeight="1" s="54">
      <c r="B370" s="59" t="inlineStr">
        <is>
          <t>R-0365</t>
        </is>
      </c>
      <c r="C370" s="59" t="inlineStr">
        <is>
          <t>DO-03</t>
        </is>
      </c>
      <c r="D370" s="64">
        <f>IFERROR(INDEX(MgNombre,MATCH($C370,MgActId,0)),"")</f>
        <v/>
      </c>
      <c r="E370" s="64">
        <f>IFERROR(INDEX(MgProceso,MATCH($C370,MgActId,0)),"")</f>
        <v/>
      </c>
      <c r="F370" s="64">
        <f>IFERROR(INDEX(MgTipo,MATCH($C370,MgActId,0)),"")</f>
        <v/>
      </c>
      <c r="G370" s="64">
        <f>IFERROR(INDEX(MgSubtipo,MATCH($C370,MgActId,0)),"")</f>
        <v/>
      </c>
      <c r="H370" s="59" t="inlineStr">
        <is>
          <t>A.7</t>
        </is>
      </c>
      <c r="I370" s="64">
        <f>IFERROR(INDEX(MgAmenNombre,MATCH(SUBSTITUTE($H370,"*","-"),MgAmenClave,0)),"")</f>
        <v/>
      </c>
      <c r="J370" s="28">
        <f>IFERROR(INDEX(MgAmenGrupo,MATCH(SUBSTITUTE($H370,"*","-"),MgAmenClave,0)),"")</f>
        <v/>
      </c>
      <c r="K370" s="64">
        <f>IFERROR(INDEX('1. Matriz de Activos'!$Q$6:$Q$239,MATCH($C370,MgActId,0)),"")</f>
        <v/>
      </c>
      <c r="L370" s="64">
        <f>IFERROR(INDEX('1. Matriz de Activos'!$R$6:$R$239,MATCH($C370,MgActId,0)),"")</f>
        <v/>
      </c>
      <c r="M370" s="64">
        <f>IFERROR(INDEX('1. Matriz de Activos'!$S$6:$S$239,MATCH($C370,MgActId,0)),"")</f>
        <v/>
      </c>
      <c r="N370" s="28">
        <f>IFERROR(INDEX(MgAmenDegD,MATCH(SUBSTITUTE($H370,"*","-"),MgAmenClave,0)),"No aplica")</f>
        <v/>
      </c>
      <c r="O370" s="28">
        <f>IFERROR(INDEX(MgAmenDegI,MATCH(SUBSTITUTE($H370,"*","-"),MgAmenClave,0)),"No aplica")</f>
        <v/>
      </c>
      <c r="P370" s="28">
        <f>IFERROR(INDEX(MgAmenDegC,MATCH(SUBSTITUTE($H370,"*","-"),MgAmenClave,0)),"No aplica")</f>
        <v/>
      </c>
      <c r="Q370" s="29">
        <f>IFERROR(VLOOKUP(K370,MgValor,2,0)*VLOOKUP(N370,MgDeg,2,0),0)</f>
        <v/>
      </c>
      <c r="R370" s="29">
        <f>IFERROR(VLOOKUP(L370,MgValor,2,0)*VLOOKUP(O370,MgDeg,2,0),0)</f>
        <v/>
      </c>
      <c r="S370" s="29">
        <f>IFERROR(VLOOKUP(M370,MgValor,2,0)*VLOOKUP(P370,MgDeg,2,0),0)</f>
        <v/>
      </c>
      <c r="T370" s="30">
        <f>MAX(Q370:S370)</f>
        <v/>
      </c>
      <c r="U370" s="28">
        <f>IFERROR(LOOKUP(T370,{0;0.5;1.5;3;4.5},{"Despreciable";"Bajo";"Medio";"Alto";"Muy alto"}),"")</f>
        <v/>
      </c>
      <c r="V370" s="13">
        <f>IFERROR(INDEX(MgAmenFrec,MATCH(SUBSTITUTE($H370,"*","-"),MgAmenClave,0)),"")</f>
        <v/>
      </c>
      <c r="W370" s="28">
        <f>IFERROR(LOOKUP(X370,{0;0.01;0.1;1;10;100},{"Muy baja";"Muy baja";"Baja";"Media";"Alta";"Muy alta"}),"")</f>
        <v/>
      </c>
      <c r="X370" s="31">
        <f>IFERROR(VLOOKUP(V370,MgFrec,2,0),0)</f>
        <v/>
      </c>
      <c r="Y370" s="30">
        <f>T370*X370</f>
        <v/>
      </c>
      <c r="Z370" s="28">
        <f>IFERROR(LOOKUP(Y370,{0;0.5;5;25},{"Bajo";"Medio";"Alto";"Crítico"}),"")</f>
        <v/>
      </c>
      <c r="AA370" s="64">
        <f>IF(T370&gt;=3,IF(X370&gt;=1,"Zona 1 — Crítica: impacto alto y ocurre al menos una vez al año","Zona 4 — Catastrófica poco probable: impacto alto pero excepcional"),IF(AND(T370&lt;1.5,X370&lt;1),"Zona 3 — Asumible: impacto bajo y muy poco frecuente","Zona 2 — Atención: riesgo intermedio"))</f>
        <v/>
      </c>
      <c r="AB370" s="64">
        <f>IFERROR(INDEX(MgAmenCtrl,MATCH(SUBSTITUTE($H370,"*","-"),MgAmenClave,0)),"")</f>
        <v/>
      </c>
      <c r="AC370" s="20" t="n"/>
      <c r="AD370" s="31">
        <f>IFERROR($X370*(1-IF($AC370="",$AL370,VLOOKUP($AC370,MgMad,2,0))),"")</f>
        <v/>
      </c>
      <c r="AE370" s="28">
        <f>IFERROR(LOOKUP(AD370,{0;0.01;0.1;1;10;100},{"Muy baja";"Muy baja";"Baja";"Media";"Alta";"Muy alta"}),"")</f>
        <v/>
      </c>
      <c r="AF370" s="30">
        <f>T370*AD370</f>
        <v/>
      </c>
      <c r="AG370" s="28">
        <f>IFERROR(LOOKUP(AF370,{0;0.5;5;25},{"Bajo";"Medio";"Alto";"Crítico"}),"")</f>
        <v/>
      </c>
      <c r="AH370" s="28">
        <f>IF(AG370="","",IF(OR(AG370="Crítico",AG370="Alto"),"Mitigar",IF(AG370="Medio","Mitigar","Aceptar y monitorear")))</f>
        <v/>
      </c>
      <c r="AI370" s="21" t="n"/>
      <c r="AJ370" s="21" t="n"/>
      <c r="AK370" s="20" t="n"/>
      <c r="AL370" s="77">
        <f>IFERROR(INDEX(MgAmenEfic,MATCH(SUBSTITUTE($H370,"*","-"),MgAmenClave,0)),0)</f>
        <v/>
      </c>
    </row>
    <row r="371" hidden="1" ht="60" customHeight="1" s="54">
      <c r="B371" s="59" t="inlineStr">
        <is>
          <t>R-0366</t>
        </is>
      </c>
      <c r="C371" s="59" t="inlineStr">
        <is>
          <t>DO-03</t>
        </is>
      </c>
      <c r="D371" s="64">
        <f>IFERROR(INDEX(MgNombre,MATCH($C371,MgActId,0)),"")</f>
        <v/>
      </c>
      <c r="E371" s="64">
        <f>IFERROR(INDEX(MgProceso,MATCH($C371,MgActId,0)),"")</f>
        <v/>
      </c>
      <c r="F371" s="64">
        <f>IFERROR(INDEX(MgTipo,MATCH($C371,MgActId,0)),"")</f>
        <v/>
      </c>
      <c r="G371" s="64">
        <f>IFERROR(INDEX(MgSubtipo,MATCH($C371,MgActId,0)),"")</f>
        <v/>
      </c>
      <c r="H371" s="59" t="inlineStr">
        <is>
          <t>A.9</t>
        </is>
      </c>
      <c r="I371" s="64">
        <f>IFERROR(INDEX(MgAmenNombre,MATCH(SUBSTITUTE($H371,"*","-"),MgAmenClave,0)),"")</f>
        <v/>
      </c>
      <c r="J371" s="28">
        <f>IFERROR(INDEX(MgAmenGrupo,MATCH(SUBSTITUTE($H371,"*","-"),MgAmenClave,0)),"")</f>
        <v/>
      </c>
      <c r="K371" s="64">
        <f>IFERROR(INDEX('1. Matriz de Activos'!$Q$6:$Q$239,MATCH($C371,MgActId,0)),"")</f>
        <v/>
      </c>
      <c r="L371" s="64">
        <f>IFERROR(INDEX('1. Matriz de Activos'!$R$6:$R$239,MATCH($C371,MgActId,0)),"")</f>
        <v/>
      </c>
      <c r="M371" s="64">
        <f>IFERROR(INDEX('1. Matriz de Activos'!$S$6:$S$239,MATCH($C371,MgActId,0)),"")</f>
        <v/>
      </c>
      <c r="N371" s="28">
        <f>IFERROR(INDEX(MgAmenDegD,MATCH(SUBSTITUTE($H371,"*","-"),MgAmenClave,0)),"No aplica")</f>
        <v/>
      </c>
      <c r="O371" s="28">
        <f>IFERROR(INDEX(MgAmenDegI,MATCH(SUBSTITUTE($H371,"*","-"),MgAmenClave,0)),"No aplica")</f>
        <v/>
      </c>
      <c r="P371" s="28">
        <f>IFERROR(INDEX(MgAmenDegC,MATCH(SUBSTITUTE($H371,"*","-"),MgAmenClave,0)),"No aplica")</f>
        <v/>
      </c>
      <c r="Q371" s="29">
        <f>IFERROR(VLOOKUP(K371,MgValor,2,0)*VLOOKUP(N371,MgDeg,2,0),0)</f>
        <v/>
      </c>
      <c r="R371" s="29">
        <f>IFERROR(VLOOKUP(L371,MgValor,2,0)*VLOOKUP(O371,MgDeg,2,0),0)</f>
        <v/>
      </c>
      <c r="S371" s="29">
        <f>IFERROR(VLOOKUP(M371,MgValor,2,0)*VLOOKUP(P371,MgDeg,2,0),0)</f>
        <v/>
      </c>
      <c r="T371" s="30">
        <f>MAX(Q371:S371)</f>
        <v/>
      </c>
      <c r="U371" s="28">
        <f>IFERROR(LOOKUP(T371,{0;0.5;1.5;3;4.5},{"Despreciable";"Bajo";"Medio";"Alto";"Muy alto"}),"")</f>
        <v/>
      </c>
      <c r="V371" s="13">
        <f>IFERROR(INDEX(MgAmenFrec,MATCH(SUBSTITUTE($H371,"*","-"),MgAmenClave,0)),"")</f>
        <v/>
      </c>
      <c r="W371" s="28">
        <f>IFERROR(LOOKUP(X371,{0;0.01;0.1;1;10;100},{"Muy baja";"Muy baja";"Baja";"Media";"Alta";"Muy alta"}),"")</f>
        <v/>
      </c>
      <c r="X371" s="31">
        <f>IFERROR(VLOOKUP(V371,MgFrec,2,0),0)</f>
        <v/>
      </c>
      <c r="Y371" s="30">
        <f>T371*X371</f>
        <v/>
      </c>
      <c r="Z371" s="28">
        <f>IFERROR(LOOKUP(Y371,{0;0.5;5;25},{"Bajo";"Medio";"Alto";"Crítico"}),"")</f>
        <v/>
      </c>
      <c r="AA371" s="64">
        <f>IF(T371&gt;=3,IF(X371&gt;=1,"Zona 1 — Crítica: impacto alto y ocurre al menos una vez al año","Zona 4 — Catastrófica poco probable: impacto alto pero excepcional"),IF(AND(T371&lt;1.5,X371&lt;1),"Zona 3 — Asumible: impacto bajo y muy poco frecuente","Zona 2 — Atención: riesgo intermedio"))</f>
        <v/>
      </c>
      <c r="AB371" s="64">
        <f>IFERROR(INDEX(MgAmenCtrl,MATCH(SUBSTITUTE($H371,"*","-"),MgAmenClave,0)),"")</f>
        <v/>
      </c>
      <c r="AC371" s="20" t="n"/>
      <c r="AD371" s="31">
        <f>IFERROR($X371*(1-IF($AC371="",$AL371,VLOOKUP($AC371,MgMad,2,0))),"")</f>
        <v/>
      </c>
      <c r="AE371" s="28">
        <f>IFERROR(LOOKUP(AD371,{0;0.01;0.1;1;10;100},{"Muy baja";"Muy baja";"Baja";"Media";"Alta";"Muy alta"}),"")</f>
        <v/>
      </c>
      <c r="AF371" s="30">
        <f>T371*AD371</f>
        <v/>
      </c>
      <c r="AG371" s="28">
        <f>IFERROR(LOOKUP(AF371,{0;0.5;5;25},{"Bajo";"Medio";"Alto";"Crítico"}),"")</f>
        <v/>
      </c>
      <c r="AH371" s="28">
        <f>IF(AG371="","",IF(OR(AG371="Crítico",AG371="Alto"),"Mitigar",IF(AG371="Medio","Mitigar","Aceptar y monitorear")))</f>
        <v/>
      </c>
      <c r="AI371" s="21" t="n"/>
      <c r="AJ371" s="21" t="n"/>
      <c r="AK371" s="20" t="n"/>
      <c r="AL371" s="77">
        <f>IFERROR(INDEX(MgAmenEfic,MATCH(SUBSTITUTE($H371,"*","-"),MgAmenClave,0)),0)</f>
        <v/>
      </c>
    </row>
    <row r="372" hidden="1" ht="45" customHeight="1" s="54">
      <c r="B372" s="59" t="inlineStr">
        <is>
          <t>R-0367</t>
        </is>
      </c>
      <c r="C372" s="59" t="inlineStr">
        <is>
          <t>DO-03</t>
        </is>
      </c>
      <c r="D372" s="64">
        <f>IFERROR(INDEX(MgNombre,MATCH($C372,MgActId,0)),"")</f>
        <v/>
      </c>
      <c r="E372" s="64">
        <f>IFERROR(INDEX(MgProceso,MATCH($C372,MgActId,0)),"")</f>
        <v/>
      </c>
      <c r="F372" s="64">
        <f>IFERROR(INDEX(MgTipo,MATCH($C372,MgActId,0)),"")</f>
        <v/>
      </c>
      <c r="G372" s="64">
        <f>IFERROR(INDEX(MgSubtipo,MATCH($C372,MgActId,0)),"")</f>
        <v/>
      </c>
      <c r="H372" s="59" t="inlineStr">
        <is>
          <t>A.10</t>
        </is>
      </c>
      <c r="I372" s="64">
        <f>IFERROR(INDEX(MgAmenNombre,MATCH(SUBSTITUTE($H372,"*","-"),MgAmenClave,0)),"")</f>
        <v/>
      </c>
      <c r="J372" s="28">
        <f>IFERROR(INDEX(MgAmenGrupo,MATCH(SUBSTITUTE($H372,"*","-"),MgAmenClave,0)),"")</f>
        <v/>
      </c>
      <c r="K372" s="64">
        <f>IFERROR(INDEX('1. Matriz de Activos'!$Q$6:$Q$239,MATCH($C372,MgActId,0)),"")</f>
        <v/>
      </c>
      <c r="L372" s="64">
        <f>IFERROR(INDEX('1. Matriz de Activos'!$R$6:$R$239,MATCH($C372,MgActId,0)),"")</f>
        <v/>
      </c>
      <c r="M372" s="64">
        <f>IFERROR(INDEX('1. Matriz de Activos'!$S$6:$S$239,MATCH($C372,MgActId,0)),"")</f>
        <v/>
      </c>
      <c r="N372" s="28">
        <f>IFERROR(INDEX(MgAmenDegD,MATCH(SUBSTITUTE($H372,"*","-"),MgAmenClave,0)),"No aplica")</f>
        <v/>
      </c>
      <c r="O372" s="28">
        <f>IFERROR(INDEX(MgAmenDegI,MATCH(SUBSTITUTE($H372,"*","-"),MgAmenClave,0)),"No aplica")</f>
        <v/>
      </c>
      <c r="P372" s="28">
        <f>IFERROR(INDEX(MgAmenDegC,MATCH(SUBSTITUTE($H372,"*","-"),MgAmenClave,0)),"No aplica")</f>
        <v/>
      </c>
      <c r="Q372" s="29">
        <f>IFERROR(VLOOKUP(K372,MgValor,2,0)*VLOOKUP(N372,MgDeg,2,0),0)</f>
        <v/>
      </c>
      <c r="R372" s="29">
        <f>IFERROR(VLOOKUP(L372,MgValor,2,0)*VLOOKUP(O372,MgDeg,2,0),0)</f>
        <v/>
      </c>
      <c r="S372" s="29">
        <f>IFERROR(VLOOKUP(M372,MgValor,2,0)*VLOOKUP(P372,MgDeg,2,0),0)</f>
        <v/>
      </c>
      <c r="T372" s="30">
        <f>MAX(Q372:S372)</f>
        <v/>
      </c>
      <c r="U372" s="28">
        <f>IFERROR(LOOKUP(T372,{0;0.5;1.5;3;4.5},{"Despreciable";"Bajo";"Medio";"Alto";"Muy alto"}),"")</f>
        <v/>
      </c>
      <c r="V372" s="13">
        <f>IFERROR(INDEX(MgAmenFrec,MATCH(SUBSTITUTE($H372,"*","-"),MgAmenClave,0)),"")</f>
        <v/>
      </c>
      <c r="W372" s="28">
        <f>IFERROR(LOOKUP(X372,{0;0.01;0.1;1;10;100},{"Muy baja";"Muy baja";"Baja";"Media";"Alta";"Muy alta"}),"")</f>
        <v/>
      </c>
      <c r="X372" s="31">
        <f>IFERROR(VLOOKUP(V372,MgFrec,2,0),0)</f>
        <v/>
      </c>
      <c r="Y372" s="30">
        <f>T372*X372</f>
        <v/>
      </c>
      <c r="Z372" s="28">
        <f>IFERROR(LOOKUP(Y372,{0;0.5;5;25},{"Bajo";"Medio";"Alto";"Crítico"}),"")</f>
        <v/>
      </c>
      <c r="AA372" s="64">
        <f>IF(T372&gt;=3,IF(X372&gt;=1,"Zona 1 — Crítica: impacto alto y ocurre al menos una vez al año","Zona 4 — Catastrófica poco probable: impacto alto pero excepcional"),IF(AND(T372&lt;1.5,X372&lt;1),"Zona 3 — Asumible: impacto bajo y muy poco frecuente","Zona 2 — Atención: riesgo intermedio"))</f>
        <v/>
      </c>
      <c r="AB372" s="64">
        <f>IFERROR(INDEX(MgAmenCtrl,MATCH(SUBSTITUTE($H372,"*","-"),MgAmenClave,0)),"")</f>
        <v/>
      </c>
      <c r="AC372" s="20" t="n"/>
      <c r="AD372" s="31">
        <f>IFERROR($X372*(1-IF($AC372="",$AL372,VLOOKUP($AC372,MgMad,2,0))),"")</f>
        <v/>
      </c>
      <c r="AE372" s="28">
        <f>IFERROR(LOOKUP(AD372,{0;0.01;0.1;1;10;100},{"Muy baja";"Muy baja";"Baja";"Media";"Alta";"Muy alta"}),"")</f>
        <v/>
      </c>
      <c r="AF372" s="30">
        <f>T372*AD372</f>
        <v/>
      </c>
      <c r="AG372" s="28">
        <f>IFERROR(LOOKUP(AF372,{0;0.5;5;25},{"Bajo";"Medio";"Alto";"Crítico"}),"")</f>
        <v/>
      </c>
      <c r="AH372" s="28">
        <f>IF(AG372="","",IF(OR(AG372="Crítico",AG372="Alto"),"Mitigar",IF(AG372="Medio","Mitigar","Aceptar y monitorear")))</f>
        <v/>
      </c>
      <c r="AI372" s="21" t="n"/>
      <c r="AJ372" s="21" t="n"/>
      <c r="AK372" s="20" t="n"/>
      <c r="AL372" s="77">
        <f>IFERROR(INDEX(MgAmenEfic,MATCH(SUBSTITUTE($H372,"*","-"),MgAmenClave,0)),0)</f>
        <v/>
      </c>
    </row>
    <row r="373" hidden="1" ht="120" customHeight="1" s="54">
      <c r="B373" s="59" t="inlineStr">
        <is>
          <t>R-0368</t>
        </is>
      </c>
      <c r="C373" s="59" t="inlineStr">
        <is>
          <t>DO-03</t>
        </is>
      </c>
      <c r="D373" s="64">
        <f>IFERROR(INDEX(MgNombre,MATCH($C373,MgActId,0)),"")</f>
        <v/>
      </c>
      <c r="E373" s="64">
        <f>IFERROR(INDEX(MgProceso,MATCH($C373,MgActId,0)),"")</f>
        <v/>
      </c>
      <c r="F373" s="64">
        <f>IFERROR(INDEX(MgTipo,MATCH($C373,MgActId,0)),"")</f>
        <v/>
      </c>
      <c r="G373" s="64">
        <f>IFERROR(INDEX(MgSubtipo,MATCH($C373,MgActId,0)),"")</f>
        <v/>
      </c>
      <c r="H373" s="59" t="inlineStr">
        <is>
          <t>A.11</t>
        </is>
      </c>
      <c r="I373" s="64">
        <f>IFERROR(INDEX(MgAmenNombre,MATCH(SUBSTITUTE($H373,"*","-"),MgAmenClave,0)),"")</f>
        <v/>
      </c>
      <c r="J373" s="28">
        <f>IFERROR(INDEX(MgAmenGrupo,MATCH(SUBSTITUTE($H373,"*","-"),MgAmenClave,0)),"")</f>
        <v/>
      </c>
      <c r="K373" s="64">
        <f>IFERROR(INDEX('1. Matriz de Activos'!$Q$6:$Q$239,MATCH($C373,MgActId,0)),"")</f>
        <v/>
      </c>
      <c r="L373" s="64">
        <f>IFERROR(INDEX('1. Matriz de Activos'!$R$6:$R$239,MATCH($C373,MgActId,0)),"")</f>
        <v/>
      </c>
      <c r="M373" s="64">
        <f>IFERROR(INDEX('1. Matriz de Activos'!$S$6:$S$239,MATCH($C373,MgActId,0)),"")</f>
        <v/>
      </c>
      <c r="N373" s="28">
        <f>IFERROR(INDEX(MgAmenDegD,MATCH(SUBSTITUTE($H373,"*","-"),MgAmenClave,0)),"No aplica")</f>
        <v/>
      </c>
      <c r="O373" s="28">
        <f>IFERROR(INDEX(MgAmenDegI,MATCH(SUBSTITUTE($H373,"*","-"),MgAmenClave,0)),"No aplica")</f>
        <v/>
      </c>
      <c r="P373" s="28">
        <f>IFERROR(INDEX(MgAmenDegC,MATCH(SUBSTITUTE($H373,"*","-"),MgAmenClave,0)),"No aplica")</f>
        <v/>
      </c>
      <c r="Q373" s="29">
        <f>IFERROR(VLOOKUP(K373,MgValor,2,0)*VLOOKUP(N373,MgDeg,2,0),0)</f>
        <v/>
      </c>
      <c r="R373" s="29">
        <f>IFERROR(VLOOKUP(L373,MgValor,2,0)*VLOOKUP(O373,MgDeg,2,0),0)</f>
        <v/>
      </c>
      <c r="S373" s="29">
        <f>IFERROR(VLOOKUP(M373,MgValor,2,0)*VLOOKUP(P373,MgDeg,2,0),0)</f>
        <v/>
      </c>
      <c r="T373" s="30">
        <f>MAX(Q373:S373)</f>
        <v/>
      </c>
      <c r="U373" s="28">
        <f>IFERROR(LOOKUP(T373,{0;0.5;1.5;3;4.5},{"Despreciable";"Bajo";"Medio";"Alto";"Muy alto"}),"")</f>
        <v/>
      </c>
      <c r="V373" s="13">
        <f>IFERROR(INDEX(MgAmenFrec,MATCH(SUBSTITUTE($H373,"*","-"),MgAmenClave,0)),"")</f>
        <v/>
      </c>
      <c r="W373" s="28">
        <f>IFERROR(LOOKUP(X373,{0;0.01;0.1;1;10;100},{"Muy baja";"Muy baja";"Baja";"Media";"Alta";"Muy alta"}),"")</f>
        <v/>
      </c>
      <c r="X373" s="31">
        <f>IFERROR(VLOOKUP(V373,MgFrec,2,0),0)</f>
        <v/>
      </c>
      <c r="Y373" s="30">
        <f>T373*X373</f>
        <v/>
      </c>
      <c r="Z373" s="28">
        <f>IFERROR(LOOKUP(Y373,{0;0.5;5;25},{"Bajo";"Medio";"Alto";"Crítico"}),"")</f>
        <v/>
      </c>
      <c r="AA373" s="64">
        <f>IF(T373&gt;=3,IF(X373&gt;=1,"Zona 1 — Crítica: impacto alto y ocurre al menos una vez al año","Zona 4 — Catastrófica poco probable: impacto alto pero excepcional"),IF(AND(T373&lt;1.5,X373&lt;1),"Zona 3 — Asumible: impacto bajo y muy poco frecuente","Zona 2 — Atención: riesgo intermedio"))</f>
        <v/>
      </c>
      <c r="AB373" s="64">
        <f>IFERROR(INDEX(MgAmenCtrl,MATCH(SUBSTITUTE($H373,"*","-"),MgAmenClave,0)),"")</f>
        <v/>
      </c>
      <c r="AC373" s="20" t="n"/>
      <c r="AD373" s="31">
        <f>IFERROR($X373*(1-IF($AC373="",$AL373,VLOOKUP($AC373,MgMad,2,0))),"")</f>
        <v/>
      </c>
      <c r="AE373" s="28">
        <f>IFERROR(LOOKUP(AD373,{0;0.01;0.1;1;10;100},{"Muy baja";"Muy baja";"Baja";"Media";"Alta";"Muy alta"}),"")</f>
        <v/>
      </c>
      <c r="AF373" s="30">
        <f>T373*AD373</f>
        <v/>
      </c>
      <c r="AG373" s="28">
        <f>IFERROR(LOOKUP(AF373,{0;0.5;5;25},{"Bajo";"Medio";"Alto";"Crítico"}),"")</f>
        <v/>
      </c>
      <c r="AH373" s="28">
        <f>IF(AG373="","",IF(OR(AG373="Crítico",AG373="Alto"),"Mitigar",IF(AG373="Medio","Mitigar","Aceptar y monitorear")))</f>
        <v/>
      </c>
      <c r="AI373" s="21" t="n"/>
      <c r="AJ373" s="21" t="n"/>
      <c r="AK373" s="20" t="n"/>
      <c r="AL373" s="77">
        <f>IFERROR(INDEX(MgAmenEfic,MATCH(SUBSTITUTE($H373,"*","-"),MgAmenClave,0)),0)</f>
        <v/>
      </c>
    </row>
    <row r="374" hidden="1" ht="45" customHeight="1" s="54">
      <c r="B374" s="59" t="inlineStr">
        <is>
          <t>R-0369</t>
        </is>
      </c>
      <c r="C374" s="59" t="inlineStr">
        <is>
          <t>DO-03</t>
        </is>
      </c>
      <c r="D374" s="64">
        <f>IFERROR(INDEX(MgNombre,MATCH($C374,MgActId,0)),"")</f>
        <v/>
      </c>
      <c r="E374" s="64">
        <f>IFERROR(INDEX(MgProceso,MATCH($C374,MgActId,0)),"")</f>
        <v/>
      </c>
      <c r="F374" s="64">
        <f>IFERROR(INDEX(MgTipo,MATCH($C374,MgActId,0)),"")</f>
        <v/>
      </c>
      <c r="G374" s="64">
        <f>IFERROR(INDEX(MgSubtipo,MATCH($C374,MgActId,0)),"")</f>
        <v/>
      </c>
      <c r="H374" s="59" t="inlineStr">
        <is>
          <t>A.12</t>
        </is>
      </c>
      <c r="I374" s="64">
        <f>IFERROR(INDEX(MgAmenNombre,MATCH(SUBSTITUTE($H374,"*","-"),MgAmenClave,0)),"")</f>
        <v/>
      </c>
      <c r="J374" s="28">
        <f>IFERROR(INDEX(MgAmenGrupo,MATCH(SUBSTITUTE($H374,"*","-"),MgAmenClave,0)),"")</f>
        <v/>
      </c>
      <c r="K374" s="64">
        <f>IFERROR(INDEX('1. Matriz de Activos'!$Q$6:$Q$239,MATCH($C374,MgActId,0)),"")</f>
        <v/>
      </c>
      <c r="L374" s="64">
        <f>IFERROR(INDEX('1. Matriz de Activos'!$R$6:$R$239,MATCH($C374,MgActId,0)),"")</f>
        <v/>
      </c>
      <c r="M374" s="64">
        <f>IFERROR(INDEX('1. Matriz de Activos'!$S$6:$S$239,MATCH($C374,MgActId,0)),"")</f>
        <v/>
      </c>
      <c r="N374" s="28">
        <f>IFERROR(INDEX(MgAmenDegD,MATCH(SUBSTITUTE($H374,"*","-"),MgAmenClave,0)),"No aplica")</f>
        <v/>
      </c>
      <c r="O374" s="28">
        <f>IFERROR(INDEX(MgAmenDegI,MATCH(SUBSTITUTE($H374,"*","-"),MgAmenClave,0)),"No aplica")</f>
        <v/>
      </c>
      <c r="P374" s="28">
        <f>IFERROR(INDEX(MgAmenDegC,MATCH(SUBSTITUTE($H374,"*","-"),MgAmenClave,0)),"No aplica")</f>
        <v/>
      </c>
      <c r="Q374" s="29">
        <f>IFERROR(VLOOKUP(K374,MgValor,2,0)*VLOOKUP(N374,MgDeg,2,0),0)</f>
        <v/>
      </c>
      <c r="R374" s="29">
        <f>IFERROR(VLOOKUP(L374,MgValor,2,0)*VLOOKUP(O374,MgDeg,2,0),0)</f>
        <v/>
      </c>
      <c r="S374" s="29">
        <f>IFERROR(VLOOKUP(M374,MgValor,2,0)*VLOOKUP(P374,MgDeg,2,0),0)</f>
        <v/>
      </c>
      <c r="T374" s="30">
        <f>MAX(Q374:S374)</f>
        <v/>
      </c>
      <c r="U374" s="28">
        <f>IFERROR(LOOKUP(T374,{0;0.5;1.5;3;4.5},{"Despreciable";"Bajo";"Medio";"Alto";"Muy alto"}),"")</f>
        <v/>
      </c>
      <c r="V374" s="13">
        <f>IFERROR(INDEX(MgAmenFrec,MATCH(SUBSTITUTE($H374,"*","-"),MgAmenClave,0)),"")</f>
        <v/>
      </c>
      <c r="W374" s="28">
        <f>IFERROR(LOOKUP(X374,{0;0.01;0.1;1;10;100},{"Muy baja";"Muy baja";"Baja";"Media";"Alta";"Muy alta"}),"")</f>
        <v/>
      </c>
      <c r="X374" s="31">
        <f>IFERROR(VLOOKUP(V374,MgFrec,2,0),0)</f>
        <v/>
      </c>
      <c r="Y374" s="30">
        <f>T374*X374</f>
        <v/>
      </c>
      <c r="Z374" s="28">
        <f>IFERROR(LOOKUP(Y374,{0;0.5;5;25},{"Bajo";"Medio";"Alto";"Crítico"}),"")</f>
        <v/>
      </c>
      <c r="AA374" s="64">
        <f>IF(T374&gt;=3,IF(X374&gt;=1,"Zona 1 — Crítica: impacto alto y ocurre al menos una vez al año","Zona 4 — Catastrófica poco probable: impacto alto pero excepcional"),IF(AND(T374&lt;1.5,X374&lt;1),"Zona 3 — Asumible: impacto bajo y muy poco frecuente","Zona 2 — Atención: riesgo intermedio"))</f>
        <v/>
      </c>
      <c r="AB374" s="64">
        <f>IFERROR(INDEX(MgAmenCtrl,MATCH(SUBSTITUTE($H374,"*","-"),MgAmenClave,0)),"")</f>
        <v/>
      </c>
      <c r="AC374" s="20" t="n"/>
      <c r="AD374" s="31">
        <f>IFERROR($X374*(1-IF($AC374="",$AL374,VLOOKUP($AC374,MgMad,2,0))),"")</f>
        <v/>
      </c>
      <c r="AE374" s="28">
        <f>IFERROR(LOOKUP(AD374,{0;0.01;0.1;1;10;100},{"Muy baja";"Muy baja";"Baja";"Media";"Alta";"Muy alta"}),"")</f>
        <v/>
      </c>
      <c r="AF374" s="30">
        <f>T374*AD374</f>
        <v/>
      </c>
      <c r="AG374" s="28">
        <f>IFERROR(LOOKUP(AF374,{0;0.5;5;25},{"Bajo";"Medio";"Alto";"Crítico"}),"")</f>
        <v/>
      </c>
      <c r="AH374" s="28">
        <f>IF(AG374="","",IF(OR(AG374="Crítico",AG374="Alto"),"Mitigar",IF(AG374="Medio","Mitigar","Aceptar y monitorear")))</f>
        <v/>
      </c>
      <c r="AI374" s="21" t="n"/>
      <c r="AJ374" s="21" t="n"/>
      <c r="AK374" s="20" t="n"/>
      <c r="AL374" s="77">
        <f>IFERROR(INDEX(MgAmenEfic,MATCH(SUBSTITUTE($H374,"*","-"),MgAmenClave,0)),0)</f>
        <v/>
      </c>
    </row>
    <row r="375" hidden="1" ht="60" customHeight="1" s="54">
      <c r="B375" s="59" t="inlineStr">
        <is>
          <t>R-0370</t>
        </is>
      </c>
      <c r="C375" s="59" t="inlineStr">
        <is>
          <t>DO-03</t>
        </is>
      </c>
      <c r="D375" s="64">
        <f>IFERROR(INDEX(MgNombre,MATCH($C375,MgActId,0)),"")</f>
        <v/>
      </c>
      <c r="E375" s="64">
        <f>IFERROR(INDEX(MgProceso,MATCH($C375,MgActId,0)),"")</f>
        <v/>
      </c>
      <c r="F375" s="64">
        <f>IFERROR(INDEX(MgTipo,MATCH($C375,MgActId,0)),"")</f>
        <v/>
      </c>
      <c r="G375" s="64">
        <f>IFERROR(INDEX(MgSubtipo,MATCH($C375,MgActId,0)),"")</f>
        <v/>
      </c>
      <c r="H375" s="59" t="inlineStr">
        <is>
          <t>A.14</t>
        </is>
      </c>
      <c r="I375" s="64">
        <f>IFERROR(INDEX(MgAmenNombre,MATCH(SUBSTITUTE($H375,"*","-"),MgAmenClave,0)),"")</f>
        <v/>
      </c>
      <c r="J375" s="28">
        <f>IFERROR(INDEX(MgAmenGrupo,MATCH(SUBSTITUTE($H375,"*","-"),MgAmenClave,0)),"")</f>
        <v/>
      </c>
      <c r="K375" s="64">
        <f>IFERROR(INDEX('1. Matriz de Activos'!$Q$6:$Q$239,MATCH($C375,MgActId,0)),"")</f>
        <v/>
      </c>
      <c r="L375" s="64">
        <f>IFERROR(INDEX('1. Matriz de Activos'!$R$6:$R$239,MATCH($C375,MgActId,0)),"")</f>
        <v/>
      </c>
      <c r="M375" s="64">
        <f>IFERROR(INDEX('1. Matriz de Activos'!$S$6:$S$239,MATCH($C375,MgActId,0)),"")</f>
        <v/>
      </c>
      <c r="N375" s="28">
        <f>IFERROR(INDEX(MgAmenDegD,MATCH(SUBSTITUTE($H375,"*","-"),MgAmenClave,0)),"No aplica")</f>
        <v/>
      </c>
      <c r="O375" s="28">
        <f>IFERROR(INDEX(MgAmenDegI,MATCH(SUBSTITUTE($H375,"*","-"),MgAmenClave,0)),"No aplica")</f>
        <v/>
      </c>
      <c r="P375" s="28">
        <f>IFERROR(INDEX(MgAmenDegC,MATCH(SUBSTITUTE($H375,"*","-"),MgAmenClave,0)),"No aplica")</f>
        <v/>
      </c>
      <c r="Q375" s="29">
        <f>IFERROR(VLOOKUP(K375,MgValor,2,0)*VLOOKUP(N375,MgDeg,2,0),0)</f>
        <v/>
      </c>
      <c r="R375" s="29">
        <f>IFERROR(VLOOKUP(L375,MgValor,2,0)*VLOOKUP(O375,MgDeg,2,0),0)</f>
        <v/>
      </c>
      <c r="S375" s="29">
        <f>IFERROR(VLOOKUP(M375,MgValor,2,0)*VLOOKUP(P375,MgDeg,2,0),0)</f>
        <v/>
      </c>
      <c r="T375" s="30">
        <f>MAX(Q375:S375)</f>
        <v/>
      </c>
      <c r="U375" s="28">
        <f>IFERROR(LOOKUP(T375,{0;0.5;1.5;3;4.5},{"Despreciable";"Bajo";"Medio";"Alto";"Muy alto"}),"")</f>
        <v/>
      </c>
      <c r="V375" s="13">
        <f>IFERROR(INDEX(MgAmenFrec,MATCH(SUBSTITUTE($H375,"*","-"),MgAmenClave,0)),"")</f>
        <v/>
      </c>
      <c r="W375" s="28">
        <f>IFERROR(LOOKUP(X375,{0;0.01;0.1;1;10;100},{"Muy baja";"Muy baja";"Baja";"Media";"Alta";"Muy alta"}),"")</f>
        <v/>
      </c>
      <c r="X375" s="31">
        <f>IFERROR(VLOOKUP(V375,MgFrec,2,0),0)</f>
        <v/>
      </c>
      <c r="Y375" s="30">
        <f>T375*X375</f>
        <v/>
      </c>
      <c r="Z375" s="28">
        <f>IFERROR(LOOKUP(Y375,{0;0.5;5;25},{"Bajo";"Medio";"Alto";"Crítico"}),"")</f>
        <v/>
      </c>
      <c r="AA375" s="64">
        <f>IF(T375&gt;=3,IF(X375&gt;=1,"Zona 1 — Crítica: impacto alto y ocurre al menos una vez al año","Zona 4 — Catastrófica poco probable: impacto alto pero excepcional"),IF(AND(T375&lt;1.5,X375&lt;1),"Zona 3 — Asumible: impacto bajo y muy poco frecuente","Zona 2 — Atención: riesgo intermedio"))</f>
        <v/>
      </c>
      <c r="AB375" s="64">
        <f>IFERROR(INDEX(MgAmenCtrl,MATCH(SUBSTITUTE($H375,"*","-"),MgAmenClave,0)),"")</f>
        <v/>
      </c>
      <c r="AC375" s="20" t="n"/>
      <c r="AD375" s="31">
        <f>IFERROR($X375*(1-IF($AC375="",$AL375,VLOOKUP($AC375,MgMad,2,0))),"")</f>
        <v/>
      </c>
      <c r="AE375" s="28">
        <f>IFERROR(LOOKUP(AD375,{0;0.01;0.1;1;10;100},{"Muy baja";"Muy baja";"Baja";"Media";"Alta";"Muy alta"}),"")</f>
        <v/>
      </c>
      <c r="AF375" s="30">
        <f>T375*AD375</f>
        <v/>
      </c>
      <c r="AG375" s="28">
        <f>IFERROR(LOOKUP(AF375,{0;0.5;5;25},{"Bajo";"Medio";"Alto";"Crítico"}),"")</f>
        <v/>
      </c>
      <c r="AH375" s="28">
        <f>IF(AG375="","",IF(OR(AG375="Crítico",AG375="Alto"),"Mitigar",IF(AG375="Medio","Mitigar","Aceptar y monitorear")))</f>
        <v/>
      </c>
      <c r="AI375" s="21" t="n"/>
      <c r="AJ375" s="21" t="n"/>
      <c r="AK375" s="20" t="n"/>
      <c r="AL375" s="77">
        <f>IFERROR(INDEX(MgAmenEfic,MATCH(SUBSTITUTE($H375,"*","-"),MgAmenClave,0)),0)</f>
        <v/>
      </c>
    </row>
    <row r="376" hidden="1" ht="60" customHeight="1" s="54">
      <c r="B376" s="59" t="inlineStr">
        <is>
          <t>R-0371</t>
        </is>
      </c>
      <c r="C376" s="59" t="inlineStr">
        <is>
          <t>DO-03</t>
        </is>
      </c>
      <c r="D376" s="64">
        <f>IFERROR(INDEX(MgNombre,MATCH($C376,MgActId,0)),"")</f>
        <v/>
      </c>
      <c r="E376" s="64">
        <f>IFERROR(INDEX(MgProceso,MATCH($C376,MgActId,0)),"")</f>
        <v/>
      </c>
      <c r="F376" s="64">
        <f>IFERROR(INDEX(MgTipo,MATCH($C376,MgActId,0)),"")</f>
        <v/>
      </c>
      <c r="G376" s="64">
        <f>IFERROR(INDEX(MgSubtipo,MATCH($C376,MgActId,0)),"")</f>
        <v/>
      </c>
      <c r="H376" s="59" t="inlineStr">
        <is>
          <t>A.15</t>
        </is>
      </c>
      <c r="I376" s="64">
        <f>IFERROR(INDEX(MgAmenNombre,MATCH(SUBSTITUTE($H376,"*","-"),MgAmenClave,0)),"")</f>
        <v/>
      </c>
      <c r="J376" s="28">
        <f>IFERROR(INDEX(MgAmenGrupo,MATCH(SUBSTITUTE($H376,"*","-"),MgAmenClave,0)),"")</f>
        <v/>
      </c>
      <c r="K376" s="64">
        <f>IFERROR(INDEX('1. Matriz de Activos'!$Q$6:$Q$239,MATCH($C376,MgActId,0)),"")</f>
        <v/>
      </c>
      <c r="L376" s="64">
        <f>IFERROR(INDEX('1. Matriz de Activos'!$R$6:$R$239,MATCH($C376,MgActId,0)),"")</f>
        <v/>
      </c>
      <c r="M376" s="64">
        <f>IFERROR(INDEX('1. Matriz de Activos'!$S$6:$S$239,MATCH($C376,MgActId,0)),"")</f>
        <v/>
      </c>
      <c r="N376" s="28">
        <f>IFERROR(INDEX(MgAmenDegD,MATCH(SUBSTITUTE($H376,"*","-"),MgAmenClave,0)),"No aplica")</f>
        <v/>
      </c>
      <c r="O376" s="28">
        <f>IFERROR(INDEX(MgAmenDegI,MATCH(SUBSTITUTE($H376,"*","-"),MgAmenClave,0)),"No aplica")</f>
        <v/>
      </c>
      <c r="P376" s="28">
        <f>IFERROR(INDEX(MgAmenDegC,MATCH(SUBSTITUTE($H376,"*","-"),MgAmenClave,0)),"No aplica")</f>
        <v/>
      </c>
      <c r="Q376" s="29">
        <f>IFERROR(VLOOKUP(K376,MgValor,2,0)*VLOOKUP(N376,MgDeg,2,0),0)</f>
        <v/>
      </c>
      <c r="R376" s="29">
        <f>IFERROR(VLOOKUP(L376,MgValor,2,0)*VLOOKUP(O376,MgDeg,2,0),0)</f>
        <v/>
      </c>
      <c r="S376" s="29">
        <f>IFERROR(VLOOKUP(M376,MgValor,2,0)*VLOOKUP(P376,MgDeg,2,0),0)</f>
        <v/>
      </c>
      <c r="T376" s="30">
        <f>MAX(Q376:S376)</f>
        <v/>
      </c>
      <c r="U376" s="28">
        <f>IFERROR(LOOKUP(T376,{0;0.5;1.5;3;4.5},{"Despreciable";"Bajo";"Medio";"Alto";"Muy alto"}),"")</f>
        <v/>
      </c>
      <c r="V376" s="13">
        <f>IFERROR(INDEX(MgAmenFrec,MATCH(SUBSTITUTE($H376,"*","-"),MgAmenClave,0)),"")</f>
        <v/>
      </c>
      <c r="W376" s="28">
        <f>IFERROR(LOOKUP(X376,{0;0.01;0.1;1;10;100},{"Muy baja";"Muy baja";"Baja";"Media";"Alta";"Muy alta"}),"")</f>
        <v/>
      </c>
      <c r="X376" s="31">
        <f>IFERROR(VLOOKUP(V376,MgFrec,2,0),0)</f>
        <v/>
      </c>
      <c r="Y376" s="30">
        <f>T376*X376</f>
        <v/>
      </c>
      <c r="Z376" s="28">
        <f>IFERROR(LOOKUP(Y376,{0;0.5;5;25},{"Bajo";"Medio";"Alto";"Crítico"}),"")</f>
        <v/>
      </c>
      <c r="AA376" s="64">
        <f>IF(T376&gt;=3,IF(X376&gt;=1,"Zona 1 — Crítica: impacto alto y ocurre al menos una vez al año","Zona 4 — Catastrófica poco probable: impacto alto pero excepcional"),IF(AND(T376&lt;1.5,X376&lt;1),"Zona 3 — Asumible: impacto bajo y muy poco frecuente","Zona 2 — Atención: riesgo intermedio"))</f>
        <v/>
      </c>
      <c r="AB376" s="64">
        <f>IFERROR(INDEX(MgAmenCtrl,MATCH(SUBSTITUTE($H376,"*","-"),MgAmenClave,0)),"")</f>
        <v/>
      </c>
      <c r="AC376" s="20" t="n"/>
      <c r="AD376" s="31">
        <f>IFERROR($X376*(1-IF($AC376="",$AL376,VLOOKUP($AC376,MgMad,2,0))),"")</f>
        <v/>
      </c>
      <c r="AE376" s="28">
        <f>IFERROR(LOOKUP(AD376,{0;0.01;0.1;1;10;100},{"Muy baja";"Muy baja";"Baja";"Media";"Alta";"Muy alta"}),"")</f>
        <v/>
      </c>
      <c r="AF376" s="30">
        <f>T376*AD376</f>
        <v/>
      </c>
      <c r="AG376" s="28">
        <f>IFERROR(LOOKUP(AF376,{0;0.5;5;25},{"Bajo";"Medio";"Alto";"Crítico"}),"")</f>
        <v/>
      </c>
      <c r="AH376" s="28">
        <f>IF(AG376="","",IF(OR(AG376="Crítico",AG376="Alto"),"Mitigar",IF(AG376="Medio","Mitigar","Aceptar y monitorear")))</f>
        <v/>
      </c>
      <c r="AI376" s="21" t="n"/>
      <c r="AJ376" s="21" t="n"/>
      <c r="AK376" s="20" t="n"/>
      <c r="AL376" s="77">
        <f>IFERROR(INDEX(MgAmenEfic,MATCH(SUBSTITUTE($H376,"*","-"),MgAmenClave,0)),0)</f>
        <v/>
      </c>
    </row>
    <row r="377" hidden="1" ht="60" customHeight="1" s="54">
      <c r="B377" s="59" t="inlineStr">
        <is>
          <t>R-0372</t>
        </is>
      </c>
      <c r="C377" s="59" t="inlineStr">
        <is>
          <t>DO-03</t>
        </is>
      </c>
      <c r="D377" s="64">
        <f>IFERROR(INDEX(MgNombre,MATCH($C377,MgActId,0)),"")</f>
        <v/>
      </c>
      <c r="E377" s="64">
        <f>IFERROR(INDEX(MgProceso,MATCH($C377,MgActId,0)),"")</f>
        <v/>
      </c>
      <c r="F377" s="64">
        <f>IFERROR(INDEX(MgTipo,MATCH($C377,MgActId,0)),"")</f>
        <v/>
      </c>
      <c r="G377" s="64">
        <f>IFERROR(INDEX(MgSubtipo,MATCH($C377,MgActId,0)),"")</f>
        <v/>
      </c>
      <c r="H377" s="59" t="inlineStr">
        <is>
          <t>A.18</t>
        </is>
      </c>
      <c r="I377" s="64">
        <f>IFERROR(INDEX(MgAmenNombre,MATCH(SUBSTITUTE($H377,"*","-"),MgAmenClave,0)),"")</f>
        <v/>
      </c>
      <c r="J377" s="28">
        <f>IFERROR(INDEX(MgAmenGrupo,MATCH(SUBSTITUTE($H377,"*","-"),MgAmenClave,0)),"")</f>
        <v/>
      </c>
      <c r="K377" s="64">
        <f>IFERROR(INDEX('1. Matriz de Activos'!$Q$6:$Q$239,MATCH($C377,MgActId,0)),"")</f>
        <v/>
      </c>
      <c r="L377" s="64">
        <f>IFERROR(INDEX('1. Matriz de Activos'!$R$6:$R$239,MATCH($C377,MgActId,0)),"")</f>
        <v/>
      </c>
      <c r="M377" s="64">
        <f>IFERROR(INDEX('1. Matriz de Activos'!$S$6:$S$239,MATCH($C377,MgActId,0)),"")</f>
        <v/>
      </c>
      <c r="N377" s="28">
        <f>IFERROR(INDEX(MgAmenDegD,MATCH(SUBSTITUTE($H377,"*","-"),MgAmenClave,0)),"No aplica")</f>
        <v/>
      </c>
      <c r="O377" s="28">
        <f>IFERROR(INDEX(MgAmenDegI,MATCH(SUBSTITUTE($H377,"*","-"),MgAmenClave,0)),"No aplica")</f>
        <v/>
      </c>
      <c r="P377" s="28">
        <f>IFERROR(INDEX(MgAmenDegC,MATCH(SUBSTITUTE($H377,"*","-"),MgAmenClave,0)),"No aplica")</f>
        <v/>
      </c>
      <c r="Q377" s="29">
        <f>IFERROR(VLOOKUP(K377,MgValor,2,0)*VLOOKUP(N377,MgDeg,2,0),0)</f>
        <v/>
      </c>
      <c r="R377" s="29">
        <f>IFERROR(VLOOKUP(L377,MgValor,2,0)*VLOOKUP(O377,MgDeg,2,0),0)</f>
        <v/>
      </c>
      <c r="S377" s="29">
        <f>IFERROR(VLOOKUP(M377,MgValor,2,0)*VLOOKUP(P377,MgDeg,2,0),0)</f>
        <v/>
      </c>
      <c r="T377" s="30">
        <f>MAX(Q377:S377)</f>
        <v/>
      </c>
      <c r="U377" s="28">
        <f>IFERROR(LOOKUP(T377,{0;0.5;1.5;3;4.5},{"Despreciable";"Bajo";"Medio";"Alto";"Muy alto"}),"")</f>
        <v/>
      </c>
      <c r="V377" s="13">
        <f>IFERROR(INDEX(MgAmenFrec,MATCH(SUBSTITUTE($H377,"*","-"),MgAmenClave,0)),"")</f>
        <v/>
      </c>
      <c r="W377" s="28">
        <f>IFERROR(LOOKUP(X377,{0;0.01;0.1;1;10;100},{"Muy baja";"Muy baja";"Baja";"Media";"Alta";"Muy alta"}),"")</f>
        <v/>
      </c>
      <c r="X377" s="31">
        <f>IFERROR(VLOOKUP(V377,MgFrec,2,0),0)</f>
        <v/>
      </c>
      <c r="Y377" s="30">
        <f>T377*X377</f>
        <v/>
      </c>
      <c r="Z377" s="28">
        <f>IFERROR(LOOKUP(Y377,{0;0.5;5;25},{"Bajo";"Medio";"Alto";"Crítico"}),"")</f>
        <v/>
      </c>
      <c r="AA377" s="64">
        <f>IF(T377&gt;=3,IF(X377&gt;=1,"Zona 1 — Crítica: impacto alto y ocurre al menos una vez al año","Zona 4 — Catastrófica poco probable: impacto alto pero excepcional"),IF(AND(T377&lt;1.5,X377&lt;1),"Zona 3 — Asumible: impacto bajo y muy poco frecuente","Zona 2 — Atención: riesgo intermedio"))</f>
        <v/>
      </c>
      <c r="AB377" s="64">
        <f>IFERROR(INDEX(MgAmenCtrl,MATCH(SUBSTITUTE($H377,"*","-"),MgAmenClave,0)),"")</f>
        <v/>
      </c>
      <c r="AC377" s="20" t="n"/>
      <c r="AD377" s="31">
        <f>IFERROR($X377*(1-IF($AC377="",$AL377,VLOOKUP($AC377,MgMad,2,0))),"")</f>
        <v/>
      </c>
      <c r="AE377" s="28">
        <f>IFERROR(LOOKUP(AD377,{0;0.01;0.1;1;10;100},{"Muy baja";"Muy baja";"Baja";"Media";"Alta";"Muy alta"}),"")</f>
        <v/>
      </c>
      <c r="AF377" s="30">
        <f>T377*AD377</f>
        <v/>
      </c>
      <c r="AG377" s="28">
        <f>IFERROR(LOOKUP(AF377,{0;0.5;5;25},{"Bajo";"Medio";"Alto";"Crítico"}),"")</f>
        <v/>
      </c>
      <c r="AH377" s="28">
        <f>IF(AG377="","",IF(OR(AG377="Crítico",AG377="Alto"),"Mitigar",IF(AG377="Medio","Mitigar","Aceptar y monitorear")))</f>
        <v/>
      </c>
      <c r="AI377" s="21" t="n"/>
      <c r="AJ377" s="21" t="n"/>
      <c r="AK377" s="20" t="n"/>
      <c r="AL377" s="77">
        <f>IFERROR(INDEX(MgAmenEfic,MATCH(SUBSTITUTE($H377,"*","-"),MgAmenClave,0)),0)</f>
        <v/>
      </c>
    </row>
    <row r="378" hidden="1" ht="120" customHeight="1" s="54">
      <c r="B378" s="59" t="inlineStr">
        <is>
          <t>R-0373</t>
        </is>
      </c>
      <c r="C378" s="59" t="inlineStr">
        <is>
          <t>DO-03</t>
        </is>
      </c>
      <c r="D378" s="64">
        <f>IFERROR(INDEX(MgNombre,MATCH($C378,MgActId,0)),"")</f>
        <v/>
      </c>
      <c r="E378" s="64">
        <f>IFERROR(INDEX(MgProceso,MATCH($C378,MgActId,0)),"")</f>
        <v/>
      </c>
      <c r="F378" s="64">
        <f>IFERROR(INDEX(MgTipo,MATCH($C378,MgActId,0)),"")</f>
        <v/>
      </c>
      <c r="G378" s="64">
        <f>IFERROR(INDEX(MgSubtipo,MATCH($C378,MgActId,0)),"")</f>
        <v/>
      </c>
      <c r="H378" s="59" t="inlineStr">
        <is>
          <t>A.19</t>
        </is>
      </c>
      <c r="I378" s="64">
        <f>IFERROR(INDEX(MgAmenNombre,MATCH(SUBSTITUTE($H378,"*","-"),MgAmenClave,0)),"")</f>
        <v/>
      </c>
      <c r="J378" s="28">
        <f>IFERROR(INDEX(MgAmenGrupo,MATCH(SUBSTITUTE($H378,"*","-"),MgAmenClave,0)),"")</f>
        <v/>
      </c>
      <c r="K378" s="64">
        <f>IFERROR(INDEX('1. Matriz de Activos'!$Q$6:$Q$239,MATCH($C378,MgActId,0)),"")</f>
        <v/>
      </c>
      <c r="L378" s="64">
        <f>IFERROR(INDEX('1. Matriz de Activos'!$R$6:$R$239,MATCH($C378,MgActId,0)),"")</f>
        <v/>
      </c>
      <c r="M378" s="64">
        <f>IFERROR(INDEX('1. Matriz de Activos'!$S$6:$S$239,MATCH($C378,MgActId,0)),"")</f>
        <v/>
      </c>
      <c r="N378" s="28">
        <f>IFERROR(INDEX(MgAmenDegD,MATCH(SUBSTITUTE($H378,"*","-"),MgAmenClave,0)),"No aplica")</f>
        <v/>
      </c>
      <c r="O378" s="28">
        <f>IFERROR(INDEX(MgAmenDegI,MATCH(SUBSTITUTE($H378,"*","-"),MgAmenClave,0)),"No aplica")</f>
        <v/>
      </c>
      <c r="P378" s="28">
        <f>IFERROR(INDEX(MgAmenDegC,MATCH(SUBSTITUTE($H378,"*","-"),MgAmenClave,0)),"No aplica")</f>
        <v/>
      </c>
      <c r="Q378" s="29">
        <f>IFERROR(VLOOKUP(K378,MgValor,2,0)*VLOOKUP(N378,MgDeg,2,0),0)</f>
        <v/>
      </c>
      <c r="R378" s="29">
        <f>IFERROR(VLOOKUP(L378,MgValor,2,0)*VLOOKUP(O378,MgDeg,2,0),0)</f>
        <v/>
      </c>
      <c r="S378" s="29">
        <f>IFERROR(VLOOKUP(M378,MgValor,2,0)*VLOOKUP(P378,MgDeg,2,0),0)</f>
        <v/>
      </c>
      <c r="T378" s="30">
        <f>MAX(Q378:S378)</f>
        <v/>
      </c>
      <c r="U378" s="28">
        <f>IFERROR(LOOKUP(T378,{0;0.5;1.5;3;4.5},{"Despreciable";"Bajo";"Medio";"Alto";"Muy alto"}),"")</f>
        <v/>
      </c>
      <c r="V378" s="13">
        <f>IFERROR(INDEX(MgAmenFrec,MATCH(SUBSTITUTE($H378,"*","-"),MgAmenClave,0)),"")</f>
        <v/>
      </c>
      <c r="W378" s="28">
        <f>IFERROR(LOOKUP(X378,{0;0.01;0.1;1;10;100},{"Muy baja";"Muy baja";"Baja";"Media";"Alta";"Muy alta"}),"")</f>
        <v/>
      </c>
      <c r="X378" s="31">
        <f>IFERROR(VLOOKUP(V378,MgFrec,2,0),0)</f>
        <v/>
      </c>
      <c r="Y378" s="30">
        <f>T378*X378</f>
        <v/>
      </c>
      <c r="Z378" s="28">
        <f>IFERROR(LOOKUP(Y378,{0;0.5;5;25},{"Bajo";"Medio";"Alto";"Crítico"}),"")</f>
        <v/>
      </c>
      <c r="AA378" s="64">
        <f>IF(T378&gt;=3,IF(X378&gt;=1,"Zona 1 — Crítica: impacto alto y ocurre al menos una vez al año","Zona 4 — Catastrófica poco probable: impacto alto pero excepcional"),IF(AND(T378&lt;1.5,X378&lt;1),"Zona 3 — Asumible: impacto bajo y muy poco frecuente","Zona 2 — Atención: riesgo intermedio"))</f>
        <v/>
      </c>
      <c r="AB378" s="64">
        <f>IFERROR(INDEX(MgAmenCtrl,MATCH(SUBSTITUTE($H378,"*","-"),MgAmenClave,0)),"")</f>
        <v/>
      </c>
      <c r="AC378" s="20" t="n"/>
      <c r="AD378" s="31">
        <f>IFERROR($X378*(1-IF($AC378="",$AL378,VLOOKUP($AC378,MgMad,2,0))),"")</f>
        <v/>
      </c>
      <c r="AE378" s="28">
        <f>IFERROR(LOOKUP(AD378,{0;0.01;0.1;1;10;100},{"Muy baja";"Muy baja";"Baja";"Media";"Alta";"Muy alta"}),"")</f>
        <v/>
      </c>
      <c r="AF378" s="30">
        <f>T378*AD378</f>
        <v/>
      </c>
      <c r="AG378" s="28">
        <f>IFERROR(LOOKUP(AF378,{0;0.5;5;25},{"Bajo";"Medio";"Alto";"Crítico"}),"")</f>
        <v/>
      </c>
      <c r="AH378" s="28">
        <f>IF(AG378="","",IF(OR(AG378="Crítico",AG378="Alto"),"Mitigar",IF(AG378="Medio","Mitigar","Aceptar y monitorear")))</f>
        <v/>
      </c>
      <c r="AI378" s="21" t="n"/>
      <c r="AJ378" s="21" t="n"/>
      <c r="AK378" s="20" t="n"/>
      <c r="AL378" s="77">
        <f>IFERROR(INDEX(MgAmenEfic,MATCH(SUBSTITUTE($H378,"*","-"),MgAmenClave,0)),0)</f>
        <v/>
      </c>
    </row>
    <row r="379" hidden="1" ht="60" customHeight="1" s="54">
      <c r="B379" s="59" t="inlineStr">
        <is>
          <t>R-0374</t>
        </is>
      </c>
      <c r="C379" s="59" t="inlineStr">
        <is>
          <t>DO-03</t>
        </is>
      </c>
      <c r="D379" s="64">
        <f>IFERROR(INDEX(MgNombre,MATCH($C379,MgActId,0)),"")</f>
        <v/>
      </c>
      <c r="E379" s="64">
        <f>IFERROR(INDEX(MgProceso,MATCH($C379,MgActId,0)),"")</f>
        <v/>
      </c>
      <c r="F379" s="64">
        <f>IFERROR(INDEX(MgTipo,MATCH($C379,MgActId,0)),"")</f>
        <v/>
      </c>
      <c r="G379" s="64">
        <f>IFERROR(INDEX(MgSubtipo,MATCH($C379,MgActId,0)),"")</f>
        <v/>
      </c>
      <c r="H379" s="59" t="inlineStr">
        <is>
          <t>A.24</t>
        </is>
      </c>
      <c r="I379" s="64">
        <f>IFERROR(INDEX(MgAmenNombre,MATCH(SUBSTITUTE($H379,"*","-"),MgAmenClave,0)),"")</f>
        <v/>
      </c>
      <c r="J379" s="28">
        <f>IFERROR(INDEX(MgAmenGrupo,MATCH(SUBSTITUTE($H379,"*","-"),MgAmenClave,0)),"")</f>
        <v/>
      </c>
      <c r="K379" s="64">
        <f>IFERROR(INDEX('1. Matriz de Activos'!$Q$6:$Q$239,MATCH($C379,MgActId,0)),"")</f>
        <v/>
      </c>
      <c r="L379" s="64">
        <f>IFERROR(INDEX('1. Matriz de Activos'!$R$6:$R$239,MATCH($C379,MgActId,0)),"")</f>
        <v/>
      </c>
      <c r="M379" s="64">
        <f>IFERROR(INDEX('1. Matriz de Activos'!$S$6:$S$239,MATCH($C379,MgActId,0)),"")</f>
        <v/>
      </c>
      <c r="N379" s="28">
        <f>IFERROR(INDEX(MgAmenDegD,MATCH(SUBSTITUTE($H379,"*","-"),MgAmenClave,0)),"No aplica")</f>
        <v/>
      </c>
      <c r="O379" s="28">
        <f>IFERROR(INDEX(MgAmenDegI,MATCH(SUBSTITUTE($H379,"*","-"),MgAmenClave,0)),"No aplica")</f>
        <v/>
      </c>
      <c r="P379" s="28">
        <f>IFERROR(INDEX(MgAmenDegC,MATCH(SUBSTITUTE($H379,"*","-"),MgAmenClave,0)),"No aplica")</f>
        <v/>
      </c>
      <c r="Q379" s="29">
        <f>IFERROR(VLOOKUP(K379,MgValor,2,0)*VLOOKUP(N379,MgDeg,2,0),0)</f>
        <v/>
      </c>
      <c r="R379" s="29">
        <f>IFERROR(VLOOKUP(L379,MgValor,2,0)*VLOOKUP(O379,MgDeg,2,0),0)</f>
        <v/>
      </c>
      <c r="S379" s="29">
        <f>IFERROR(VLOOKUP(M379,MgValor,2,0)*VLOOKUP(P379,MgDeg,2,0),0)</f>
        <v/>
      </c>
      <c r="T379" s="30">
        <f>MAX(Q379:S379)</f>
        <v/>
      </c>
      <c r="U379" s="28">
        <f>IFERROR(LOOKUP(T379,{0;0.5;1.5;3;4.5},{"Despreciable";"Bajo";"Medio";"Alto";"Muy alto"}),"")</f>
        <v/>
      </c>
      <c r="V379" s="13">
        <f>IFERROR(INDEX(MgAmenFrec,MATCH(SUBSTITUTE($H379,"*","-"),MgAmenClave,0)),"")</f>
        <v/>
      </c>
      <c r="W379" s="28">
        <f>IFERROR(LOOKUP(X379,{0;0.01;0.1;1;10;100},{"Muy baja";"Muy baja";"Baja";"Media";"Alta";"Muy alta"}),"")</f>
        <v/>
      </c>
      <c r="X379" s="31">
        <f>IFERROR(VLOOKUP(V379,MgFrec,2,0),0)</f>
        <v/>
      </c>
      <c r="Y379" s="30">
        <f>T379*X379</f>
        <v/>
      </c>
      <c r="Z379" s="28">
        <f>IFERROR(LOOKUP(Y379,{0;0.5;5;25},{"Bajo";"Medio";"Alto";"Crítico"}),"")</f>
        <v/>
      </c>
      <c r="AA379" s="64">
        <f>IF(T379&gt;=3,IF(X379&gt;=1,"Zona 1 — Crítica: impacto alto y ocurre al menos una vez al año","Zona 4 — Catastrófica poco probable: impacto alto pero excepcional"),IF(AND(T379&lt;1.5,X379&lt;1),"Zona 3 — Asumible: impacto bajo y muy poco frecuente","Zona 2 — Atención: riesgo intermedio"))</f>
        <v/>
      </c>
      <c r="AB379" s="64">
        <f>IFERROR(INDEX(MgAmenCtrl,MATCH(SUBSTITUTE($H379,"*","-"),MgAmenClave,0)),"")</f>
        <v/>
      </c>
      <c r="AC379" s="20" t="n"/>
      <c r="AD379" s="31">
        <f>IFERROR($X379*(1-IF($AC379="",$AL379,VLOOKUP($AC379,MgMad,2,0))),"")</f>
        <v/>
      </c>
      <c r="AE379" s="28">
        <f>IFERROR(LOOKUP(AD379,{0;0.01;0.1;1;10;100},{"Muy baja";"Muy baja";"Baja";"Media";"Alta";"Muy alta"}),"")</f>
        <v/>
      </c>
      <c r="AF379" s="30">
        <f>T379*AD379</f>
        <v/>
      </c>
      <c r="AG379" s="28">
        <f>IFERROR(LOOKUP(AF379,{0;0.5;5;25},{"Bajo";"Medio";"Alto";"Crítico"}),"")</f>
        <v/>
      </c>
      <c r="AH379" s="28">
        <f>IF(AG379="","",IF(OR(AG379="Crítico",AG379="Alto"),"Mitigar",IF(AG379="Medio","Mitigar","Aceptar y monitorear")))</f>
        <v/>
      </c>
      <c r="AI379" s="21" t="n"/>
      <c r="AJ379" s="21" t="n"/>
      <c r="AK379" s="20" t="n"/>
      <c r="AL379" s="77">
        <f>IFERROR(INDEX(MgAmenEfic,MATCH(SUBSTITUTE($H379,"*","-"),MgAmenClave,0)),0)</f>
        <v/>
      </c>
    </row>
    <row r="380" hidden="1" ht="75" customHeight="1" s="54">
      <c r="B380" s="59" t="inlineStr">
        <is>
          <t>R-0375</t>
        </is>
      </c>
      <c r="C380" s="59" t="inlineStr">
        <is>
          <t>TEC-013</t>
        </is>
      </c>
      <c r="D380" s="64">
        <f>IFERROR(INDEX(MgNombre,MATCH($C380,MgActId,0)),"")</f>
        <v/>
      </c>
      <c r="E380" s="64">
        <f>IFERROR(INDEX(MgProceso,MATCH($C380,MgActId,0)),"")</f>
        <v/>
      </c>
      <c r="F380" s="64">
        <f>IFERROR(INDEX(MgTipo,MATCH($C380,MgActId,0)),"")</f>
        <v/>
      </c>
      <c r="G380" s="64">
        <f>IFERROR(INDEX(MgSubtipo,MATCH($C380,MgActId,0)),"")</f>
        <v/>
      </c>
      <c r="H380" s="59" t="inlineStr">
        <is>
          <t>I.8</t>
        </is>
      </c>
      <c r="I380" s="64">
        <f>IFERROR(INDEX(MgAmenNombre,MATCH(SUBSTITUTE($H380,"*","-"),MgAmenClave,0)),"")</f>
        <v/>
      </c>
      <c r="J380" s="28">
        <f>IFERROR(INDEX(MgAmenGrupo,MATCH(SUBSTITUTE($H380,"*","-"),MgAmenClave,0)),"")</f>
        <v/>
      </c>
      <c r="K380" s="64">
        <f>IFERROR(INDEX('1. Matriz de Activos'!$Q$6:$Q$239,MATCH($C380,MgActId,0)),"")</f>
        <v/>
      </c>
      <c r="L380" s="64">
        <f>IFERROR(INDEX('1. Matriz de Activos'!$R$6:$R$239,MATCH($C380,MgActId,0)),"")</f>
        <v/>
      </c>
      <c r="M380" s="64">
        <f>IFERROR(INDEX('1. Matriz de Activos'!$S$6:$S$239,MATCH($C380,MgActId,0)),"")</f>
        <v/>
      </c>
      <c r="N380" s="28">
        <f>IFERROR(INDEX(MgAmenDegD,MATCH(SUBSTITUTE($H380,"*","-"),MgAmenClave,0)),"No aplica")</f>
        <v/>
      </c>
      <c r="O380" s="28">
        <f>IFERROR(INDEX(MgAmenDegI,MATCH(SUBSTITUTE($H380,"*","-"),MgAmenClave,0)),"No aplica")</f>
        <v/>
      </c>
      <c r="P380" s="28">
        <f>IFERROR(INDEX(MgAmenDegC,MATCH(SUBSTITUTE($H380,"*","-"),MgAmenClave,0)),"No aplica")</f>
        <v/>
      </c>
      <c r="Q380" s="29">
        <f>IFERROR(VLOOKUP(K380,MgValor,2,0)*VLOOKUP(N380,MgDeg,2,0),0)</f>
        <v/>
      </c>
      <c r="R380" s="29">
        <f>IFERROR(VLOOKUP(L380,MgValor,2,0)*VLOOKUP(O380,MgDeg,2,0),0)</f>
        <v/>
      </c>
      <c r="S380" s="29">
        <f>IFERROR(VLOOKUP(M380,MgValor,2,0)*VLOOKUP(P380,MgDeg,2,0),0)</f>
        <v/>
      </c>
      <c r="T380" s="30">
        <f>MAX(Q380:S380)</f>
        <v/>
      </c>
      <c r="U380" s="28">
        <f>IFERROR(LOOKUP(T380,{0;0.5;1.5;3;4.5},{"Despreciable";"Bajo";"Medio";"Alto";"Muy alto"}),"")</f>
        <v/>
      </c>
      <c r="V380" s="13">
        <f>IFERROR(INDEX(MgAmenFrec,MATCH(SUBSTITUTE($H380,"*","-"),MgAmenClave,0)),"")</f>
        <v/>
      </c>
      <c r="W380" s="28">
        <f>IFERROR(LOOKUP(X380,{0;0.01;0.1;1;10;100},{"Muy baja";"Muy baja";"Baja";"Media";"Alta";"Muy alta"}),"")</f>
        <v/>
      </c>
      <c r="X380" s="31">
        <f>IFERROR(VLOOKUP(V380,MgFrec,2,0),0)</f>
        <v/>
      </c>
      <c r="Y380" s="30">
        <f>T380*X380</f>
        <v/>
      </c>
      <c r="Z380" s="28">
        <f>IFERROR(LOOKUP(Y380,{0;0.5;5;25},{"Bajo";"Medio";"Alto";"Crítico"}),"")</f>
        <v/>
      </c>
      <c r="AA380" s="64">
        <f>IF(T380&gt;=3,IF(X380&gt;=1,"Zona 1 — Crítica: impacto alto y ocurre al menos una vez al año","Zona 4 — Catastrófica poco probable: impacto alto pero excepcional"),IF(AND(T380&lt;1.5,X380&lt;1),"Zona 3 — Asumible: impacto bajo y muy poco frecuente","Zona 2 — Atención: riesgo intermedio"))</f>
        <v/>
      </c>
      <c r="AB380" s="64">
        <f>IFERROR(INDEX(MgAmenCtrl,MATCH(SUBSTITUTE($H380,"*","-"),MgAmenClave,0)),"")</f>
        <v/>
      </c>
      <c r="AC380" s="20" t="n"/>
      <c r="AD380" s="31">
        <f>IFERROR($X380*(1-IF($AC380="",$AL380,VLOOKUP($AC380,MgMad,2,0))),"")</f>
        <v/>
      </c>
      <c r="AE380" s="28">
        <f>IFERROR(LOOKUP(AD380,{0;0.01;0.1;1;10;100},{"Muy baja";"Muy baja";"Baja";"Media";"Alta";"Muy alta"}),"")</f>
        <v/>
      </c>
      <c r="AF380" s="30">
        <f>T380*AD380</f>
        <v/>
      </c>
      <c r="AG380" s="28">
        <f>IFERROR(LOOKUP(AF380,{0;0.5;5;25},{"Bajo";"Medio";"Alto";"Crítico"}),"")</f>
        <v/>
      </c>
      <c r="AH380" s="28">
        <f>IF(AG380="","",IF(OR(AG380="Crítico",AG380="Alto"),"Mitigar",IF(AG380="Medio","Mitigar","Aceptar y monitorear")))</f>
        <v/>
      </c>
      <c r="AI380" s="21" t="n"/>
      <c r="AJ380" s="21" t="n"/>
      <c r="AK380" s="20" t="n"/>
      <c r="AL380" s="77">
        <f>IFERROR(INDEX(MgAmenEfic,MATCH(SUBSTITUTE($H380,"*","-"),MgAmenClave,0)),0)</f>
        <v/>
      </c>
    </row>
    <row r="381" hidden="1" ht="45" customHeight="1" s="54">
      <c r="B381" s="59" t="inlineStr">
        <is>
          <t>R-0376</t>
        </is>
      </c>
      <c r="C381" s="59" t="inlineStr">
        <is>
          <t>TEC-013</t>
        </is>
      </c>
      <c r="D381" s="64">
        <f>IFERROR(INDEX(MgNombre,MATCH($C381,MgActId,0)),"")</f>
        <v/>
      </c>
      <c r="E381" s="64">
        <f>IFERROR(INDEX(MgProceso,MATCH($C381,MgActId,0)),"")</f>
        <v/>
      </c>
      <c r="F381" s="64">
        <f>IFERROR(INDEX(MgTipo,MATCH($C381,MgActId,0)),"")</f>
        <v/>
      </c>
      <c r="G381" s="64">
        <f>IFERROR(INDEX(MgSubtipo,MATCH($C381,MgActId,0)),"")</f>
        <v/>
      </c>
      <c r="H381" s="59" t="inlineStr">
        <is>
          <t>I.11</t>
        </is>
      </c>
      <c r="I381" s="64">
        <f>IFERROR(INDEX(MgAmenNombre,MATCH(SUBSTITUTE($H381,"*","-"),MgAmenClave,0)),"")</f>
        <v/>
      </c>
      <c r="J381" s="28">
        <f>IFERROR(INDEX(MgAmenGrupo,MATCH(SUBSTITUTE($H381,"*","-"),MgAmenClave,0)),"")</f>
        <v/>
      </c>
      <c r="K381" s="64">
        <f>IFERROR(INDEX('1. Matriz de Activos'!$Q$6:$Q$239,MATCH($C381,MgActId,0)),"")</f>
        <v/>
      </c>
      <c r="L381" s="64">
        <f>IFERROR(INDEX('1. Matriz de Activos'!$R$6:$R$239,MATCH($C381,MgActId,0)),"")</f>
        <v/>
      </c>
      <c r="M381" s="64">
        <f>IFERROR(INDEX('1. Matriz de Activos'!$S$6:$S$239,MATCH($C381,MgActId,0)),"")</f>
        <v/>
      </c>
      <c r="N381" s="28">
        <f>IFERROR(INDEX(MgAmenDegD,MATCH(SUBSTITUTE($H381,"*","-"),MgAmenClave,0)),"No aplica")</f>
        <v/>
      </c>
      <c r="O381" s="28">
        <f>IFERROR(INDEX(MgAmenDegI,MATCH(SUBSTITUTE($H381,"*","-"),MgAmenClave,0)),"No aplica")</f>
        <v/>
      </c>
      <c r="P381" s="28">
        <f>IFERROR(INDEX(MgAmenDegC,MATCH(SUBSTITUTE($H381,"*","-"),MgAmenClave,0)),"No aplica")</f>
        <v/>
      </c>
      <c r="Q381" s="29">
        <f>IFERROR(VLOOKUP(K381,MgValor,2,0)*VLOOKUP(N381,MgDeg,2,0),0)</f>
        <v/>
      </c>
      <c r="R381" s="29">
        <f>IFERROR(VLOOKUP(L381,MgValor,2,0)*VLOOKUP(O381,MgDeg,2,0),0)</f>
        <v/>
      </c>
      <c r="S381" s="29">
        <f>IFERROR(VLOOKUP(M381,MgValor,2,0)*VLOOKUP(P381,MgDeg,2,0),0)</f>
        <v/>
      </c>
      <c r="T381" s="30">
        <f>MAX(Q381:S381)</f>
        <v/>
      </c>
      <c r="U381" s="28">
        <f>IFERROR(LOOKUP(T381,{0;0.5;1.5;3;4.5},{"Despreciable";"Bajo";"Medio";"Alto";"Muy alto"}),"")</f>
        <v/>
      </c>
      <c r="V381" s="13">
        <f>IFERROR(INDEX(MgAmenFrec,MATCH(SUBSTITUTE($H381,"*","-"),MgAmenClave,0)),"")</f>
        <v/>
      </c>
      <c r="W381" s="28">
        <f>IFERROR(LOOKUP(X381,{0;0.01;0.1;1;10;100},{"Muy baja";"Muy baja";"Baja";"Media";"Alta";"Muy alta"}),"")</f>
        <v/>
      </c>
      <c r="X381" s="31">
        <f>IFERROR(VLOOKUP(V381,MgFrec,2,0),0)</f>
        <v/>
      </c>
      <c r="Y381" s="30">
        <f>T381*X381</f>
        <v/>
      </c>
      <c r="Z381" s="28">
        <f>IFERROR(LOOKUP(Y381,{0;0.5;5;25},{"Bajo";"Medio";"Alto";"Crítico"}),"")</f>
        <v/>
      </c>
      <c r="AA381" s="64">
        <f>IF(T381&gt;=3,IF(X381&gt;=1,"Zona 1 — Crítica: impacto alto y ocurre al menos una vez al año","Zona 4 — Catastrófica poco probable: impacto alto pero excepcional"),IF(AND(T381&lt;1.5,X381&lt;1),"Zona 3 — Asumible: impacto bajo y muy poco frecuente","Zona 2 — Atención: riesgo intermedio"))</f>
        <v/>
      </c>
      <c r="AB381" s="64">
        <f>IFERROR(INDEX(MgAmenCtrl,MATCH(SUBSTITUTE($H381,"*","-"),MgAmenClave,0)),"")</f>
        <v/>
      </c>
      <c r="AC381" s="20" t="n"/>
      <c r="AD381" s="31">
        <f>IFERROR($X381*(1-IF($AC381="",$AL381,VLOOKUP($AC381,MgMad,2,0))),"")</f>
        <v/>
      </c>
      <c r="AE381" s="28">
        <f>IFERROR(LOOKUP(AD381,{0;0.01;0.1;1;10;100},{"Muy baja";"Muy baja";"Baja";"Media";"Alta";"Muy alta"}),"")</f>
        <v/>
      </c>
      <c r="AF381" s="30">
        <f>T381*AD381</f>
        <v/>
      </c>
      <c r="AG381" s="28">
        <f>IFERROR(LOOKUP(AF381,{0;0.5;5;25},{"Bajo";"Medio";"Alto";"Crítico"}),"")</f>
        <v/>
      </c>
      <c r="AH381" s="28">
        <f>IF(AG381="","",IF(OR(AG381="Crítico",AG381="Alto"),"Mitigar",IF(AG381="Medio","Mitigar","Aceptar y monitorear")))</f>
        <v/>
      </c>
      <c r="AI381" s="21" t="n"/>
      <c r="AJ381" s="21" t="n"/>
      <c r="AK381" s="20" t="n"/>
      <c r="AL381" s="77">
        <f>IFERROR(INDEX(MgAmenEfic,MATCH(SUBSTITUTE($H381,"*","-"),MgAmenClave,0)),0)</f>
        <v/>
      </c>
    </row>
    <row r="382" hidden="1" ht="120" customHeight="1" s="54">
      <c r="B382" s="59" t="inlineStr">
        <is>
          <t>R-0377</t>
        </is>
      </c>
      <c r="C382" s="59" t="inlineStr">
        <is>
          <t>TEC-013</t>
        </is>
      </c>
      <c r="D382" s="64">
        <f>IFERROR(INDEX(MgNombre,MATCH($C382,MgActId,0)),"")</f>
        <v/>
      </c>
      <c r="E382" s="64">
        <f>IFERROR(INDEX(MgProceso,MATCH($C382,MgActId,0)),"")</f>
        <v/>
      </c>
      <c r="F382" s="64">
        <f>IFERROR(INDEX(MgTipo,MATCH($C382,MgActId,0)),"")</f>
        <v/>
      </c>
      <c r="G382" s="64">
        <f>IFERROR(INDEX(MgSubtipo,MATCH($C382,MgActId,0)),"")</f>
        <v/>
      </c>
      <c r="H382" s="59" t="inlineStr">
        <is>
          <t>E.2</t>
        </is>
      </c>
      <c r="I382" s="64">
        <f>IFERROR(INDEX(MgAmenNombre,MATCH(SUBSTITUTE($H382,"*","-"),MgAmenClave,0)),"")</f>
        <v/>
      </c>
      <c r="J382" s="28">
        <f>IFERROR(INDEX(MgAmenGrupo,MATCH(SUBSTITUTE($H382,"*","-"),MgAmenClave,0)),"")</f>
        <v/>
      </c>
      <c r="K382" s="64">
        <f>IFERROR(INDEX('1. Matriz de Activos'!$Q$6:$Q$239,MATCH($C382,MgActId,0)),"")</f>
        <v/>
      </c>
      <c r="L382" s="64">
        <f>IFERROR(INDEX('1. Matriz de Activos'!$R$6:$R$239,MATCH($C382,MgActId,0)),"")</f>
        <v/>
      </c>
      <c r="M382" s="64">
        <f>IFERROR(INDEX('1. Matriz de Activos'!$S$6:$S$239,MATCH($C382,MgActId,0)),"")</f>
        <v/>
      </c>
      <c r="N382" s="28">
        <f>IFERROR(INDEX(MgAmenDegD,MATCH(SUBSTITUTE($H382,"*","-"),MgAmenClave,0)),"No aplica")</f>
        <v/>
      </c>
      <c r="O382" s="28">
        <f>IFERROR(INDEX(MgAmenDegI,MATCH(SUBSTITUTE($H382,"*","-"),MgAmenClave,0)),"No aplica")</f>
        <v/>
      </c>
      <c r="P382" s="28">
        <f>IFERROR(INDEX(MgAmenDegC,MATCH(SUBSTITUTE($H382,"*","-"),MgAmenClave,0)),"No aplica")</f>
        <v/>
      </c>
      <c r="Q382" s="29">
        <f>IFERROR(VLOOKUP(K382,MgValor,2,0)*VLOOKUP(N382,MgDeg,2,0),0)</f>
        <v/>
      </c>
      <c r="R382" s="29">
        <f>IFERROR(VLOOKUP(L382,MgValor,2,0)*VLOOKUP(O382,MgDeg,2,0),0)</f>
        <v/>
      </c>
      <c r="S382" s="29">
        <f>IFERROR(VLOOKUP(M382,MgValor,2,0)*VLOOKUP(P382,MgDeg,2,0),0)</f>
        <v/>
      </c>
      <c r="T382" s="30">
        <f>MAX(Q382:S382)</f>
        <v/>
      </c>
      <c r="U382" s="28">
        <f>IFERROR(LOOKUP(T382,{0;0.5;1.5;3;4.5},{"Despreciable";"Bajo";"Medio";"Alto";"Muy alto"}),"")</f>
        <v/>
      </c>
      <c r="V382" s="13">
        <f>IFERROR(INDEX(MgAmenFrec,MATCH(SUBSTITUTE($H382,"*","-"),MgAmenClave,0)),"")</f>
        <v/>
      </c>
      <c r="W382" s="28">
        <f>IFERROR(LOOKUP(X382,{0;0.01;0.1;1;10;100},{"Muy baja";"Muy baja";"Baja";"Media";"Alta";"Muy alta"}),"")</f>
        <v/>
      </c>
      <c r="X382" s="31">
        <f>IFERROR(VLOOKUP(V382,MgFrec,2,0),0)</f>
        <v/>
      </c>
      <c r="Y382" s="30">
        <f>T382*X382</f>
        <v/>
      </c>
      <c r="Z382" s="28">
        <f>IFERROR(LOOKUP(Y382,{0;0.5;5;25},{"Bajo";"Medio";"Alto";"Crítico"}),"")</f>
        <v/>
      </c>
      <c r="AA382" s="64">
        <f>IF(T382&gt;=3,IF(X382&gt;=1,"Zona 1 — Crítica: impacto alto y ocurre al menos una vez al año","Zona 4 — Catastrófica poco probable: impacto alto pero excepcional"),IF(AND(T382&lt;1.5,X382&lt;1),"Zona 3 — Asumible: impacto bajo y muy poco frecuente","Zona 2 — Atención: riesgo intermedio"))</f>
        <v/>
      </c>
      <c r="AB382" s="64">
        <f>IFERROR(INDEX(MgAmenCtrl,MATCH(SUBSTITUTE($H382,"*","-"),MgAmenClave,0)),"")</f>
        <v/>
      </c>
      <c r="AC382" s="20" t="n"/>
      <c r="AD382" s="31">
        <f>IFERROR($X382*(1-IF($AC382="",$AL382,VLOOKUP($AC382,MgMad,2,0))),"")</f>
        <v/>
      </c>
      <c r="AE382" s="28">
        <f>IFERROR(LOOKUP(AD382,{0;0.01;0.1;1;10;100},{"Muy baja";"Muy baja";"Baja";"Media";"Alta";"Muy alta"}),"")</f>
        <v/>
      </c>
      <c r="AF382" s="30">
        <f>T382*AD382</f>
        <v/>
      </c>
      <c r="AG382" s="28">
        <f>IFERROR(LOOKUP(AF382,{0;0.5;5;25},{"Bajo";"Medio";"Alto";"Crítico"}),"")</f>
        <v/>
      </c>
      <c r="AH382" s="28">
        <f>IF(AG382="","",IF(OR(AG382="Crítico",AG382="Alto"),"Mitigar",IF(AG382="Medio","Mitigar","Aceptar y monitorear")))</f>
        <v/>
      </c>
      <c r="AI382" s="21" t="n"/>
      <c r="AJ382" s="21" t="n"/>
      <c r="AK382" s="20" t="n"/>
      <c r="AL382" s="77">
        <f>IFERROR(INDEX(MgAmenEfic,MATCH(SUBSTITUTE($H382,"*","-"),MgAmenClave,0)),0)</f>
        <v/>
      </c>
    </row>
    <row r="383" hidden="1" ht="60" customHeight="1" s="54">
      <c r="B383" s="59" t="inlineStr">
        <is>
          <t>R-0378</t>
        </is>
      </c>
      <c r="C383" s="59" t="inlineStr">
        <is>
          <t>TEC-013</t>
        </is>
      </c>
      <c r="D383" s="64">
        <f>IFERROR(INDEX(MgNombre,MATCH($C383,MgActId,0)),"")</f>
        <v/>
      </c>
      <c r="E383" s="64">
        <f>IFERROR(INDEX(MgProceso,MATCH($C383,MgActId,0)),"")</f>
        <v/>
      </c>
      <c r="F383" s="64">
        <f>IFERROR(INDEX(MgTipo,MATCH($C383,MgActId,0)),"")</f>
        <v/>
      </c>
      <c r="G383" s="64">
        <f>IFERROR(INDEX(MgSubtipo,MATCH($C383,MgActId,0)),"")</f>
        <v/>
      </c>
      <c r="H383" s="59" t="inlineStr">
        <is>
          <t>E.9</t>
        </is>
      </c>
      <c r="I383" s="64">
        <f>IFERROR(INDEX(MgAmenNombre,MATCH(SUBSTITUTE($H383,"*","-"),MgAmenClave,0)),"")</f>
        <v/>
      </c>
      <c r="J383" s="28">
        <f>IFERROR(INDEX(MgAmenGrupo,MATCH(SUBSTITUTE($H383,"*","-"),MgAmenClave,0)),"")</f>
        <v/>
      </c>
      <c r="K383" s="64">
        <f>IFERROR(INDEX('1. Matriz de Activos'!$Q$6:$Q$239,MATCH($C383,MgActId,0)),"")</f>
        <v/>
      </c>
      <c r="L383" s="64">
        <f>IFERROR(INDEX('1. Matriz de Activos'!$R$6:$R$239,MATCH($C383,MgActId,0)),"")</f>
        <v/>
      </c>
      <c r="M383" s="64">
        <f>IFERROR(INDEX('1. Matriz de Activos'!$S$6:$S$239,MATCH($C383,MgActId,0)),"")</f>
        <v/>
      </c>
      <c r="N383" s="28">
        <f>IFERROR(INDEX(MgAmenDegD,MATCH(SUBSTITUTE($H383,"*","-"),MgAmenClave,0)),"No aplica")</f>
        <v/>
      </c>
      <c r="O383" s="28">
        <f>IFERROR(INDEX(MgAmenDegI,MATCH(SUBSTITUTE($H383,"*","-"),MgAmenClave,0)),"No aplica")</f>
        <v/>
      </c>
      <c r="P383" s="28">
        <f>IFERROR(INDEX(MgAmenDegC,MATCH(SUBSTITUTE($H383,"*","-"),MgAmenClave,0)),"No aplica")</f>
        <v/>
      </c>
      <c r="Q383" s="29">
        <f>IFERROR(VLOOKUP(K383,MgValor,2,0)*VLOOKUP(N383,MgDeg,2,0),0)</f>
        <v/>
      </c>
      <c r="R383" s="29">
        <f>IFERROR(VLOOKUP(L383,MgValor,2,0)*VLOOKUP(O383,MgDeg,2,0),0)</f>
        <v/>
      </c>
      <c r="S383" s="29">
        <f>IFERROR(VLOOKUP(M383,MgValor,2,0)*VLOOKUP(P383,MgDeg,2,0),0)</f>
        <v/>
      </c>
      <c r="T383" s="30">
        <f>MAX(Q383:S383)</f>
        <v/>
      </c>
      <c r="U383" s="28">
        <f>IFERROR(LOOKUP(T383,{0;0.5;1.5;3;4.5},{"Despreciable";"Bajo";"Medio";"Alto";"Muy alto"}),"")</f>
        <v/>
      </c>
      <c r="V383" s="13">
        <f>IFERROR(INDEX(MgAmenFrec,MATCH(SUBSTITUTE($H383,"*","-"),MgAmenClave,0)),"")</f>
        <v/>
      </c>
      <c r="W383" s="28">
        <f>IFERROR(LOOKUP(X383,{0;0.01;0.1;1;10;100},{"Muy baja";"Muy baja";"Baja";"Media";"Alta";"Muy alta"}),"")</f>
        <v/>
      </c>
      <c r="X383" s="31">
        <f>IFERROR(VLOOKUP(V383,MgFrec,2,0),0)</f>
        <v/>
      </c>
      <c r="Y383" s="30">
        <f>T383*X383</f>
        <v/>
      </c>
      <c r="Z383" s="28">
        <f>IFERROR(LOOKUP(Y383,{0;0.5;5;25},{"Bajo";"Medio";"Alto";"Crítico"}),"")</f>
        <v/>
      </c>
      <c r="AA383" s="64">
        <f>IF(T383&gt;=3,IF(X383&gt;=1,"Zona 1 — Crítica: impacto alto y ocurre al menos una vez al año","Zona 4 — Catastrófica poco probable: impacto alto pero excepcional"),IF(AND(T383&lt;1.5,X383&lt;1),"Zona 3 — Asumible: impacto bajo y muy poco frecuente","Zona 2 — Atención: riesgo intermedio"))</f>
        <v/>
      </c>
      <c r="AB383" s="64">
        <f>IFERROR(INDEX(MgAmenCtrl,MATCH(SUBSTITUTE($H383,"*","-"),MgAmenClave,0)),"")</f>
        <v/>
      </c>
      <c r="AC383" s="20" t="n"/>
      <c r="AD383" s="31">
        <f>IFERROR($X383*(1-IF($AC383="",$AL383,VLOOKUP($AC383,MgMad,2,0))),"")</f>
        <v/>
      </c>
      <c r="AE383" s="28">
        <f>IFERROR(LOOKUP(AD383,{0;0.01;0.1;1;10;100},{"Muy baja";"Muy baja";"Baja";"Media";"Alta";"Muy alta"}),"")</f>
        <v/>
      </c>
      <c r="AF383" s="30">
        <f>T383*AD383</f>
        <v/>
      </c>
      <c r="AG383" s="28">
        <f>IFERROR(LOOKUP(AF383,{0;0.5;5;25},{"Bajo";"Medio";"Alto";"Crítico"}),"")</f>
        <v/>
      </c>
      <c r="AH383" s="28">
        <f>IF(AG383="","",IF(OR(AG383="Crítico",AG383="Alto"),"Mitigar",IF(AG383="Medio","Mitigar","Aceptar y monitorear")))</f>
        <v/>
      </c>
      <c r="AI383" s="21" t="n"/>
      <c r="AJ383" s="21" t="n"/>
      <c r="AK383" s="20" t="n"/>
      <c r="AL383" s="77">
        <f>IFERROR(INDEX(MgAmenEfic,MATCH(SUBSTITUTE($H383,"*","-"),MgAmenClave,0)),0)</f>
        <v/>
      </c>
    </row>
    <row r="384" hidden="1" ht="90" customHeight="1" s="54">
      <c r="B384" s="59" t="inlineStr">
        <is>
          <t>R-0379</t>
        </is>
      </c>
      <c r="C384" s="59" t="inlineStr">
        <is>
          <t>TEC-013</t>
        </is>
      </c>
      <c r="D384" s="64">
        <f>IFERROR(INDEX(MgNombre,MATCH($C384,MgActId,0)),"")</f>
        <v/>
      </c>
      <c r="E384" s="64">
        <f>IFERROR(INDEX(MgProceso,MATCH($C384,MgActId,0)),"")</f>
        <v/>
      </c>
      <c r="F384" s="64">
        <f>IFERROR(INDEX(MgTipo,MATCH($C384,MgActId,0)),"")</f>
        <v/>
      </c>
      <c r="G384" s="64">
        <f>IFERROR(INDEX(MgSubtipo,MATCH($C384,MgActId,0)),"")</f>
        <v/>
      </c>
      <c r="H384" s="59" t="inlineStr">
        <is>
          <t>E.10</t>
        </is>
      </c>
      <c r="I384" s="64">
        <f>IFERROR(INDEX(MgAmenNombre,MATCH(SUBSTITUTE($H384,"*","-"),MgAmenClave,0)),"")</f>
        <v/>
      </c>
      <c r="J384" s="28">
        <f>IFERROR(INDEX(MgAmenGrupo,MATCH(SUBSTITUTE($H384,"*","-"),MgAmenClave,0)),"")</f>
        <v/>
      </c>
      <c r="K384" s="64">
        <f>IFERROR(INDEX('1. Matriz de Activos'!$Q$6:$Q$239,MATCH($C384,MgActId,0)),"")</f>
        <v/>
      </c>
      <c r="L384" s="64">
        <f>IFERROR(INDEX('1. Matriz de Activos'!$R$6:$R$239,MATCH($C384,MgActId,0)),"")</f>
        <v/>
      </c>
      <c r="M384" s="64">
        <f>IFERROR(INDEX('1. Matriz de Activos'!$S$6:$S$239,MATCH($C384,MgActId,0)),"")</f>
        <v/>
      </c>
      <c r="N384" s="28">
        <f>IFERROR(INDEX(MgAmenDegD,MATCH(SUBSTITUTE($H384,"*","-"),MgAmenClave,0)),"No aplica")</f>
        <v/>
      </c>
      <c r="O384" s="28">
        <f>IFERROR(INDEX(MgAmenDegI,MATCH(SUBSTITUTE($H384,"*","-"),MgAmenClave,0)),"No aplica")</f>
        <v/>
      </c>
      <c r="P384" s="28">
        <f>IFERROR(INDEX(MgAmenDegC,MATCH(SUBSTITUTE($H384,"*","-"),MgAmenClave,0)),"No aplica")</f>
        <v/>
      </c>
      <c r="Q384" s="29">
        <f>IFERROR(VLOOKUP(K384,MgValor,2,0)*VLOOKUP(N384,MgDeg,2,0),0)</f>
        <v/>
      </c>
      <c r="R384" s="29">
        <f>IFERROR(VLOOKUP(L384,MgValor,2,0)*VLOOKUP(O384,MgDeg,2,0),0)</f>
        <v/>
      </c>
      <c r="S384" s="29">
        <f>IFERROR(VLOOKUP(M384,MgValor,2,0)*VLOOKUP(P384,MgDeg,2,0),0)</f>
        <v/>
      </c>
      <c r="T384" s="30">
        <f>MAX(Q384:S384)</f>
        <v/>
      </c>
      <c r="U384" s="28">
        <f>IFERROR(LOOKUP(T384,{0;0.5;1.5;3;4.5},{"Despreciable";"Bajo";"Medio";"Alto";"Muy alto"}),"")</f>
        <v/>
      </c>
      <c r="V384" s="13">
        <f>IFERROR(INDEX(MgAmenFrec,MATCH(SUBSTITUTE($H384,"*","-"),MgAmenClave,0)),"")</f>
        <v/>
      </c>
      <c r="W384" s="28">
        <f>IFERROR(LOOKUP(X384,{0;0.01;0.1;1;10;100},{"Muy baja";"Muy baja";"Baja";"Media";"Alta";"Muy alta"}),"")</f>
        <v/>
      </c>
      <c r="X384" s="31">
        <f>IFERROR(VLOOKUP(V384,MgFrec,2,0),0)</f>
        <v/>
      </c>
      <c r="Y384" s="30">
        <f>T384*X384</f>
        <v/>
      </c>
      <c r="Z384" s="28">
        <f>IFERROR(LOOKUP(Y384,{0;0.5;5;25},{"Bajo";"Medio";"Alto";"Crítico"}),"")</f>
        <v/>
      </c>
      <c r="AA384" s="64">
        <f>IF(T384&gt;=3,IF(X384&gt;=1,"Zona 1 — Crítica: impacto alto y ocurre al menos una vez al año","Zona 4 — Catastrófica poco probable: impacto alto pero excepcional"),IF(AND(T384&lt;1.5,X384&lt;1),"Zona 3 — Asumible: impacto bajo y muy poco frecuente","Zona 2 — Atención: riesgo intermedio"))</f>
        <v/>
      </c>
      <c r="AB384" s="64">
        <f>IFERROR(INDEX(MgAmenCtrl,MATCH(SUBSTITUTE($H384,"*","-"),MgAmenClave,0)),"")</f>
        <v/>
      </c>
      <c r="AC384" s="20" t="n"/>
      <c r="AD384" s="31">
        <f>IFERROR($X384*(1-IF($AC384="",$AL384,VLOOKUP($AC384,MgMad,2,0))),"")</f>
        <v/>
      </c>
      <c r="AE384" s="28">
        <f>IFERROR(LOOKUP(AD384,{0;0.01;0.1;1;10;100},{"Muy baja";"Muy baja";"Baja";"Media";"Alta";"Muy alta"}),"")</f>
        <v/>
      </c>
      <c r="AF384" s="30">
        <f>T384*AD384</f>
        <v/>
      </c>
      <c r="AG384" s="28">
        <f>IFERROR(LOOKUP(AF384,{0;0.5;5;25},{"Bajo";"Medio";"Alto";"Crítico"}),"")</f>
        <v/>
      </c>
      <c r="AH384" s="28">
        <f>IF(AG384="","",IF(OR(AG384="Crítico",AG384="Alto"),"Mitigar",IF(AG384="Medio","Mitigar","Aceptar y monitorear")))</f>
        <v/>
      </c>
      <c r="AI384" s="21" t="n"/>
      <c r="AJ384" s="21" t="n"/>
      <c r="AK384" s="20" t="n"/>
      <c r="AL384" s="77">
        <f>IFERROR(INDEX(MgAmenEfic,MATCH(SUBSTITUTE($H384,"*","-"),MgAmenClave,0)),0)</f>
        <v/>
      </c>
    </row>
    <row r="385" hidden="1" ht="90" customHeight="1" s="54">
      <c r="B385" s="59" t="inlineStr">
        <is>
          <t>R-0380</t>
        </is>
      </c>
      <c r="C385" s="59" t="inlineStr">
        <is>
          <t>TEC-013</t>
        </is>
      </c>
      <c r="D385" s="64">
        <f>IFERROR(INDEX(MgNombre,MATCH($C385,MgActId,0)),"")</f>
        <v/>
      </c>
      <c r="E385" s="64">
        <f>IFERROR(INDEX(MgProceso,MATCH($C385,MgActId,0)),"")</f>
        <v/>
      </c>
      <c r="F385" s="64">
        <f>IFERROR(INDEX(MgTipo,MATCH($C385,MgActId,0)),"")</f>
        <v/>
      </c>
      <c r="G385" s="64">
        <f>IFERROR(INDEX(MgSubtipo,MATCH($C385,MgActId,0)),"")</f>
        <v/>
      </c>
      <c r="H385" s="59" t="inlineStr">
        <is>
          <t>E.14</t>
        </is>
      </c>
      <c r="I385" s="64">
        <f>IFERROR(INDEX(MgAmenNombre,MATCH(SUBSTITUTE($H385,"*","-"),MgAmenClave,0)),"")</f>
        <v/>
      </c>
      <c r="J385" s="28">
        <f>IFERROR(INDEX(MgAmenGrupo,MATCH(SUBSTITUTE($H385,"*","-"),MgAmenClave,0)),"")</f>
        <v/>
      </c>
      <c r="K385" s="64">
        <f>IFERROR(INDEX('1. Matriz de Activos'!$Q$6:$Q$239,MATCH($C385,MgActId,0)),"")</f>
        <v/>
      </c>
      <c r="L385" s="64">
        <f>IFERROR(INDEX('1. Matriz de Activos'!$R$6:$R$239,MATCH($C385,MgActId,0)),"")</f>
        <v/>
      </c>
      <c r="M385" s="64">
        <f>IFERROR(INDEX('1. Matriz de Activos'!$S$6:$S$239,MATCH($C385,MgActId,0)),"")</f>
        <v/>
      </c>
      <c r="N385" s="28">
        <f>IFERROR(INDEX(MgAmenDegD,MATCH(SUBSTITUTE($H385,"*","-"),MgAmenClave,0)),"No aplica")</f>
        <v/>
      </c>
      <c r="O385" s="28">
        <f>IFERROR(INDEX(MgAmenDegI,MATCH(SUBSTITUTE($H385,"*","-"),MgAmenClave,0)),"No aplica")</f>
        <v/>
      </c>
      <c r="P385" s="28">
        <f>IFERROR(INDEX(MgAmenDegC,MATCH(SUBSTITUTE($H385,"*","-"),MgAmenClave,0)),"No aplica")</f>
        <v/>
      </c>
      <c r="Q385" s="29">
        <f>IFERROR(VLOOKUP(K385,MgValor,2,0)*VLOOKUP(N385,MgDeg,2,0),0)</f>
        <v/>
      </c>
      <c r="R385" s="29">
        <f>IFERROR(VLOOKUP(L385,MgValor,2,0)*VLOOKUP(O385,MgDeg,2,0),0)</f>
        <v/>
      </c>
      <c r="S385" s="29">
        <f>IFERROR(VLOOKUP(M385,MgValor,2,0)*VLOOKUP(P385,MgDeg,2,0),0)</f>
        <v/>
      </c>
      <c r="T385" s="30">
        <f>MAX(Q385:S385)</f>
        <v/>
      </c>
      <c r="U385" s="28">
        <f>IFERROR(LOOKUP(T385,{0;0.5;1.5;3;4.5},{"Despreciable";"Bajo";"Medio";"Alto";"Muy alto"}),"")</f>
        <v/>
      </c>
      <c r="V385" s="13">
        <f>IFERROR(INDEX(MgAmenFrec,MATCH(SUBSTITUTE($H385,"*","-"),MgAmenClave,0)),"")</f>
        <v/>
      </c>
      <c r="W385" s="28">
        <f>IFERROR(LOOKUP(X385,{0;0.01;0.1;1;10;100},{"Muy baja";"Muy baja";"Baja";"Media";"Alta";"Muy alta"}),"")</f>
        <v/>
      </c>
      <c r="X385" s="31">
        <f>IFERROR(VLOOKUP(V385,MgFrec,2,0),0)</f>
        <v/>
      </c>
      <c r="Y385" s="30">
        <f>T385*X385</f>
        <v/>
      </c>
      <c r="Z385" s="28">
        <f>IFERROR(LOOKUP(Y385,{0;0.5;5;25},{"Bajo";"Medio";"Alto";"Crítico"}),"")</f>
        <v/>
      </c>
      <c r="AA385" s="64">
        <f>IF(T385&gt;=3,IF(X385&gt;=1,"Zona 1 — Crítica: impacto alto y ocurre al menos una vez al año","Zona 4 — Catastrófica poco probable: impacto alto pero excepcional"),IF(AND(T385&lt;1.5,X385&lt;1),"Zona 3 — Asumible: impacto bajo y muy poco frecuente","Zona 2 — Atención: riesgo intermedio"))</f>
        <v/>
      </c>
      <c r="AB385" s="64">
        <f>IFERROR(INDEX(MgAmenCtrl,MATCH(SUBSTITUTE($H385,"*","-"),MgAmenClave,0)),"")</f>
        <v/>
      </c>
      <c r="AC385" s="20" t="n"/>
      <c r="AD385" s="31">
        <f>IFERROR($X385*(1-IF($AC385="",$AL385,VLOOKUP($AC385,MgMad,2,0))),"")</f>
        <v/>
      </c>
      <c r="AE385" s="28">
        <f>IFERROR(LOOKUP(AD385,{0;0.01;0.1;1;10;100},{"Muy baja";"Muy baja";"Baja";"Media";"Alta";"Muy alta"}),"")</f>
        <v/>
      </c>
      <c r="AF385" s="30">
        <f>T385*AD385</f>
        <v/>
      </c>
      <c r="AG385" s="28">
        <f>IFERROR(LOOKUP(AF385,{0;0.5;5;25},{"Bajo";"Medio";"Alto";"Crítico"}),"")</f>
        <v/>
      </c>
      <c r="AH385" s="28">
        <f>IF(AG385="","",IF(OR(AG385="Crítico",AG385="Alto"),"Mitigar",IF(AG385="Medio","Mitigar","Aceptar y monitorear")))</f>
        <v/>
      </c>
      <c r="AI385" s="21" t="n"/>
      <c r="AJ385" s="21" t="n"/>
      <c r="AK385" s="20" t="n"/>
      <c r="AL385" s="77">
        <f>IFERROR(INDEX(MgAmenEfic,MATCH(SUBSTITUTE($H385,"*","-"),MgAmenClave,0)),0)</f>
        <v/>
      </c>
    </row>
    <row r="386" hidden="1" ht="90" customHeight="1" s="54">
      <c r="B386" s="59" t="inlineStr">
        <is>
          <t>R-0381</t>
        </is>
      </c>
      <c r="C386" s="59" t="inlineStr">
        <is>
          <t>TEC-013</t>
        </is>
      </c>
      <c r="D386" s="64">
        <f>IFERROR(INDEX(MgNombre,MATCH($C386,MgActId,0)),"")</f>
        <v/>
      </c>
      <c r="E386" s="64">
        <f>IFERROR(INDEX(MgProceso,MATCH($C386,MgActId,0)),"")</f>
        <v/>
      </c>
      <c r="F386" s="64">
        <f>IFERROR(INDEX(MgTipo,MATCH($C386,MgActId,0)),"")</f>
        <v/>
      </c>
      <c r="G386" s="64">
        <f>IFERROR(INDEX(MgSubtipo,MATCH($C386,MgActId,0)),"")</f>
        <v/>
      </c>
      <c r="H386" s="59" t="inlineStr">
        <is>
          <t>E.15</t>
        </is>
      </c>
      <c r="I386" s="64">
        <f>IFERROR(INDEX(MgAmenNombre,MATCH(SUBSTITUTE($H386,"*","-"),MgAmenClave,0)),"")</f>
        <v/>
      </c>
      <c r="J386" s="28">
        <f>IFERROR(INDEX(MgAmenGrupo,MATCH(SUBSTITUTE($H386,"*","-"),MgAmenClave,0)),"")</f>
        <v/>
      </c>
      <c r="K386" s="64">
        <f>IFERROR(INDEX('1. Matriz de Activos'!$Q$6:$Q$239,MATCH($C386,MgActId,0)),"")</f>
        <v/>
      </c>
      <c r="L386" s="64">
        <f>IFERROR(INDEX('1. Matriz de Activos'!$R$6:$R$239,MATCH($C386,MgActId,0)),"")</f>
        <v/>
      </c>
      <c r="M386" s="64">
        <f>IFERROR(INDEX('1. Matriz de Activos'!$S$6:$S$239,MATCH($C386,MgActId,0)),"")</f>
        <v/>
      </c>
      <c r="N386" s="28">
        <f>IFERROR(INDEX(MgAmenDegD,MATCH(SUBSTITUTE($H386,"*","-"),MgAmenClave,0)),"No aplica")</f>
        <v/>
      </c>
      <c r="O386" s="28">
        <f>IFERROR(INDEX(MgAmenDegI,MATCH(SUBSTITUTE($H386,"*","-"),MgAmenClave,0)),"No aplica")</f>
        <v/>
      </c>
      <c r="P386" s="28">
        <f>IFERROR(INDEX(MgAmenDegC,MATCH(SUBSTITUTE($H386,"*","-"),MgAmenClave,0)),"No aplica")</f>
        <v/>
      </c>
      <c r="Q386" s="29">
        <f>IFERROR(VLOOKUP(K386,MgValor,2,0)*VLOOKUP(N386,MgDeg,2,0),0)</f>
        <v/>
      </c>
      <c r="R386" s="29">
        <f>IFERROR(VLOOKUP(L386,MgValor,2,0)*VLOOKUP(O386,MgDeg,2,0),0)</f>
        <v/>
      </c>
      <c r="S386" s="29">
        <f>IFERROR(VLOOKUP(M386,MgValor,2,0)*VLOOKUP(P386,MgDeg,2,0),0)</f>
        <v/>
      </c>
      <c r="T386" s="30">
        <f>MAX(Q386:S386)</f>
        <v/>
      </c>
      <c r="U386" s="28">
        <f>IFERROR(LOOKUP(T386,{0;0.5;1.5;3;4.5},{"Despreciable";"Bajo";"Medio";"Alto";"Muy alto"}),"")</f>
        <v/>
      </c>
      <c r="V386" s="13">
        <f>IFERROR(INDEX(MgAmenFrec,MATCH(SUBSTITUTE($H386,"*","-"),MgAmenClave,0)),"")</f>
        <v/>
      </c>
      <c r="W386" s="28">
        <f>IFERROR(LOOKUP(X386,{0;0.01;0.1;1;10;100},{"Muy baja";"Muy baja";"Baja";"Media";"Alta";"Muy alta"}),"")</f>
        <v/>
      </c>
      <c r="X386" s="31">
        <f>IFERROR(VLOOKUP(V386,MgFrec,2,0),0)</f>
        <v/>
      </c>
      <c r="Y386" s="30">
        <f>T386*X386</f>
        <v/>
      </c>
      <c r="Z386" s="28">
        <f>IFERROR(LOOKUP(Y386,{0;0.5;5;25},{"Bajo";"Medio";"Alto";"Crítico"}),"")</f>
        <v/>
      </c>
      <c r="AA386" s="64">
        <f>IF(T386&gt;=3,IF(X386&gt;=1,"Zona 1 — Crítica: impacto alto y ocurre al menos una vez al año","Zona 4 — Catastrófica poco probable: impacto alto pero excepcional"),IF(AND(T386&lt;1.5,X386&lt;1),"Zona 3 — Asumible: impacto bajo y muy poco frecuente","Zona 2 — Atención: riesgo intermedio"))</f>
        <v/>
      </c>
      <c r="AB386" s="64">
        <f>IFERROR(INDEX(MgAmenCtrl,MATCH(SUBSTITUTE($H386,"*","-"),MgAmenClave,0)),"")</f>
        <v/>
      </c>
      <c r="AC386" s="20" t="n"/>
      <c r="AD386" s="31">
        <f>IFERROR($X386*(1-IF($AC386="",$AL386,VLOOKUP($AC386,MgMad,2,0))),"")</f>
        <v/>
      </c>
      <c r="AE386" s="28">
        <f>IFERROR(LOOKUP(AD386,{0;0.01;0.1;1;10;100},{"Muy baja";"Muy baja";"Baja";"Media";"Alta";"Muy alta"}),"")</f>
        <v/>
      </c>
      <c r="AF386" s="30">
        <f>T386*AD386</f>
        <v/>
      </c>
      <c r="AG386" s="28">
        <f>IFERROR(LOOKUP(AF386,{0;0.5;5;25},{"Bajo";"Medio";"Alto";"Crítico"}),"")</f>
        <v/>
      </c>
      <c r="AH386" s="28">
        <f>IF(AG386="","",IF(OR(AG386="Crítico",AG386="Alto"),"Mitigar",IF(AG386="Medio","Mitigar","Aceptar y monitorear")))</f>
        <v/>
      </c>
      <c r="AI386" s="21" t="n"/>
      <c r="AJ386" s="21" t="n"/>
      <c r="AK386" s="20" t="n"/>
      <c r="AL386" s="77">
        <f>IFERROR(INDEX(MgAmenEfic,MATCH(SUBSTITUTE($H386,"*","-"),MgAmenClave,0)),0)</f>
        <v/>
      </c>
    </row>
    <row r="387" hidden="1" ht="60" customHeight="1" s="54">
      <c r="B387" s="59" t="inlineStr">
        <is>
          <t>R-0382</t>
        </is>
      </c>
      <c r="C387" s="59" t="inlineStr">
        <is>
          <t>TEC-013</t>
        </is>
      </c>
      <c r="D387" s="64">
        <f>IFERROR(INDEX(MgNombre,MATCH($C387,MgActId,0)),"")</f>
        <v/>
      </c>
      <c r="E387" s="64">
        <f>IFERROR(INDEX(MgProceso,MATCH($C387,MgActId,0)),"")</f>
        <v/>
      </c>
      <c r="F387" s="64">
        <f>IFERROR(INDEX(MgTipo,MATCH($C387,MgActId,0)),"")</f>
        <v/>
      </c>
      <c r="G387" s="64">
        <f>IFERROR(INDEX(MgSubtipo,MATCH($C387,MgActId,0)),"")</f>
        <v/>
      </c>
      <c r="H387" s="59" t="inlineStr">
        <is>
          <t>E.18</t>
        </is>
      </c>
      <c r="I387" s="64">
        <f>IFERROR(INDEX(MgAmenNombre,MATCH(SUBSTITUTE($H387,"*","-"),MgAmenClave,0)),"")</f>
        <v/>
      </c>
      <c r="J387" s="28">
        <f>IFERROR(INDEX(MgAmenGrupo,MATCH(SUBSTITUTE($H387,"*","-"),MgAmenClave,0)),"")</f>
        <v/>
      </c>
      <c r="K387" s="64">
        <f>IFERROR(INDEX('1. Matriz de Activos'!$Q$6:$Q$239,MATCH($C387,MgActId,0)),"")</f>
        <v/>
      </c>
      <c r="L387" s="64">
        <f>IFERROR(INDEX('1. Matriz de Activos'!$R$6:$R$239,MATCH($C387,MgActId,0)),"")</f>
        <v/>
      </c>
      <c r="M387" s="64">
        <f>IFERROR(INDEX('1. Matriz de Activos'!$S$6:$S$239,MATCH($C387,MgActId,0)),"")</f>
        <v/>
      </c>
      <c r="N387" s="28">
        <f>IFERROR(INDEX(MgAmenDegD,MATCH(SUBSTITUTE($H387,"*","-"),MgAmenClave,0)),"No aplica")</f>
        <v/>
      </c>
      <c r="O387" s="28">
        <f>IFERROR(INDEX(MgAmenDegI,MATCH(SUBSTITUTE($H387,"*","-"),MgAmenClave,0)),"No aplica")</f>
        <v/>
      </c>
      <c r="P387" s="28">
        <f>IFERROR(INDEX(MgAmenDegC,MATCH(SUBSTITUTE($H387,"*","-"),MgAmenClave,0)),"No aplica")</f>
        <v/>
      </c>
      <c r="Q387" s="29">
        <f>IFERROR(VLOOKUP(K387,MgValor,2,0)*VLOOKUP(N387,MgDeg,2,0),0)</f>
        <v/>
      </c>
      <c r="R387" s="29">
        <f>IFERROR(VLOOKUP(L387,MgValor,2,0)*VLOOKUP(O387,MgDeg,2,0),0)</f>
        <v/>
      </c>
      <c r="S387" s="29">
        <f>IFERROR(VLOOKUP(M387,MgValor,2,0)*VLOOKUP(P387,MgDeg,2,0),0)</f>
        <v/>
      </c>
      <c r="T387" s="30">
        <f>MAX(Q387:S387)</f>
        <v/>
      </c>
      <c r="U387" s="28">
        <f>IFERROR(LOOKUP(T387,{0;0.5;1.5;3;4.5},{"Despreciable";"Bajo";"Medio";"Alto";"Muy alto"}),"")</f>
        <v/>
      </c>
      <c r="V387" s="13">
        <f>IFERROR(INDEX(MgAmenFrec,MATCH(SUBSTITUTE($H387,"*","-"),MgAmenClave,0)),"")</f>
        <v/>
      </c>
      <c r="W387" s="28">
        <f>IFERROR(LOOKUP(X387,{0;0.01;0.1;1;10;100},{"Muy baja";"Muy baja";"Baja";"Media";"Alta";"Muy alta"}),"")</f>
        <v/>
      </c>
      <c r="X387" s="31">
        <f>IFERROR(VLOOKUP(V387,MgFrec,2,0),0)</f>
        <v/>
      </c>
      <c r="Y387" s="30">
        <f>T387*X387</f>
        <v/>
      </c>
      <c r="Z387" s="28">
        <f>IFERROR(LOOKUP(Y387,{0;0.5;5;25},{"Bajo";"Medio";"Alto";"Crítico"}),"")</f>
        <v/>
      </c>
      <c r="AA387" s="64">
        <f>IF(T387&gt;=3,IF(X387&gt;=1,"Zona 1 — Crítica: impacto alto y ocurre al menos una vez al año","Zona 4 — Catastrófica poco probable: impacto alto pero excepcional"),IF(AND(T387&lt;1.5,X387&lt;1),"Zona 3 — Asumible: impacto bajo y muy poco frecuente","Zona 2 — Atención: riesgo intermedio"))</f>
        <v/>
      </c>
      <c r="AB387" s="64">
        <f>IFERROR(INDEX(MgAmenCtrl,MATCH(SUBSTITUTE($H387,"*","-"),MgAmenClave,0)),"")</f>
        <v/>
      </c>
      <c r="AC387" s="20" t="n"/>
      <c r="AD387" s="31">
        <f>IFERROR($X387*(1-IF($AC387="",$AL387,VLOOKUP($AC387,MgMad,2,0))),"")</f>
        <v/>
      </c>
      <c r="AE387" s="28">
        <f>IFERROR(LOOKUP(AD387,{0;0.01;0.1;1;10;100},{"Muy baja";"Muy baja";"Baja";"Media";"Alta";"Muy alta"}),"")</f>
        <v/>
      </c>
      <c r="AF387" s="30">
        <f>T387*AD387</f>
        <v/>
      </c>
      <c r="AG387" s="28">
        <f>IFERROR(LOOKUP(AF387,{0;0.5;5;25},{"Bajo";"Medio";"Alto";"Crítico"}),"")</f>
        <v/>
      </c>
      <c r="AH387" s="28">
        <f>IF(AG387="","",IF(OR(AG387="Crítico",AG387="Alto"),"Mitigar",IF(AG387="Medio","Mitigar","Aceptar y monitorear")))</f>
        <v/>
      </c>
      <c r="AI387" s="21" t="n"/>
      <c r="AJ387" s="21" t="n"/>
      <c r="AK387" s="20" t="n"/>
      <c r="AL387" s="77">
        <f>IFERROR(INDEX(MgAmenEfic,MATCH(SUBSTITUTE($H387,"*","-"),MgAmenClave,0)),0)</f>
        <v/>
      </c>
    </row>
    <row r="388" hidden="1" ht="105" customHeight="1" s="54">
      <c r="B388" s="59" t="inlineStr">
        <is>
          <t>R-0383</t>
        </is>
      </c>
      <c r="C388" s="59" t="inlineStr">
        <is>
          <t>TEC-013</t>
        </is>
      </c>
      <c r="D388" s="64">
        <f>IFERROR(INDEX(MgNombre,MATCH($C388,MgActId,0)),"")</f>
        <v/>
      </c>
      <c r="E388" s="64">
        <f>IFERROR(INDEX(MgProceso,MATCH($C388,MgActId,0)),"")</f>
        <v/>
      </c>
      <c r="F388" s="64">
        <f>IFERROR(INDEX(MgTipo,MATCH($C388,MgActId,0)),"")</f>
        <v/>
      </c>
      <c r="G388" s="64">
        <f>IFERROR(INDEX(MgSubtipo,MATCH($C388,MgActId,0)),"")</f>
        <v/>
      </c>
      <c r="H388" s="59" t="inlineStr">
        <is>
          <t>E.19</t>
        </is>
      </c>
      <c r="I388" s="64">
        <f>IFERROR(INDEX(MgAmenNombre,MATCH(SUBSTITUTE($H388,"*","-"),MgAmenClave,0)),"")</f>
        <v/>
      </c>
      <c r="J388" s="28">
        <f>IFERROR(INDEX(MgAmenGrupo,MATCH(SUBSTITUTE($H388,"*","-"),MgAmenClave,0)),"")</f>
        <v/>
      </c>
      <c r="K388" s="64">
        <f>IFERROR(INDEX('1. Matriz de Activos'!$Q$6:$Q$239,MATCH($C388,MgActId,0)),"")</f>
        <v/>
      </c>
      <c r="L388" s="64">
        <f>IFERROR(INDEX('1. Matriz de Activos'!$R$6:$R$239,MATCH($C388,MgActId,0)),"")</f>
        <v/>
      </c>
      <c r="M388" s="64">
        <f>IFERROR(INDEX('1. Matriz de Activos'!$S$6:$S$239,MATCH($C388,MgActId,0)),"")</f>
        <v/>
      </c>
      <c r="N388" s="28">
        <f>IFERROR(INDEX(MgAmenDegD,MATCH(SUBSTITUTE($H388,"*","-"),MgAmenClave,0)),"No aplica")</f>
        <v/>
      </c>
      <c r="O388" s="28">
        <f>IFERROR(INDEX(MgAmenDegI,MATCH(SUBSTITUTE($H388,"*","-"),MgAmenClave,0)),"No aplica")</f>
        <v/>
      </c>
      <c r="P388" s="28">
        <f>IFERROR(INDEX(MgAmenDegC,MATCH(SUBSTITUTE($H388,"*","-"),MgAmenClave,0)),"No aplica")</f>
        <v/>
      </c>
      <c r="Q388" s="29">
        <f>IFERROR(VLOOKUP(K388,MgValor,2,0)*VLOOKUP(N388,MgDeg,2,0),0)</f>
        <v/>
      </c>
      <c r="R388" s="29">
        <f>IFERROR(VLOOKUP(L388,MgValor,2,0)*VLOOKUP(O388,MgDeg,2,0),0)</f>
        <v/>
      </c>
      <c r="S388" s="29">
        <f>IFERROR(VLOOKUP(M388,MgValor,2,0)*VLOOKUP(P388,MgDeg,2,0),0)</f>
        <v/>
      </c>
      <c r="T388" s="30">
        <f>MAX(Q388:S388)</f>
        <v/>
      </c>
      <c r="U388" s="28">
        <f>IFERROR(LOOKUP(T388,{0;0.5;1.5;3;4.5},{"Despreciable";"Bajo";"Medio";"Alto";"Muy alto"}),"")</f>
        <v/>
      </c>
      <c r="V388" s="13">
        <f>IFERROR(INDEX(MgAmenFrec,MATCH(SUBSTITUTE($H388,"*","-"),MgAmenClave,0)),"")</f>
        <v/>
      </c>
      <c r="W388" s="28">
        <f>IFERROR(LOOKUP(X388,{0;0.01;0.1;1;10;100},{"Muy baja";"Muy baja";"Baja";"Media";"Alta";"Muy alta"}),"")</f>
        <v/>
      </c>
      <c r="X388" s="31">
        <f>IFERROR(VLOOKUP(V388,MgFrec,2,0),0)</f>
        <v/>
      </c>
      <c r="Y388" s="30">
        <f>T388*X388</f>
        <v/>
      </c>
      <c r="Z388" s="28">
        <f>IFERROR(LOOKUP(Y388,{0;0.5;5;25},{"Bajo";"Medio";"Alto";"Crítico"}),"")</f>
        <v/>
      </c>
      <c r="AA388" s="64">
        <f>IF(T388&gt;=3,IF(X388&gt;=1,"Zona 1 — Crítica: impacto alto y ocurre al menos una vez al año","Zona 4 — Catastrófica poco probable: impacto alto pero excepcional"),IF(AND(T388&lt;1.5,X388&lt;1),"Zona 3 — Asumible: impacto bajo y muy poco frecuente","Zona 2 — Atención: riesgo intermedio"))</f>
        <v/>
      </c>
      <c r="AB388" s="64">
        <f>IFERROR(INDEX(MgAmenCtrl,MATCH(SUBSTITUTE($H388,"*","-"),MgAmenClave,0)),"")</f>
        <v/>
      </c>
      <c r="AC388" s="20" t="n"/>
      <c r="AD388" s="31">
        <f>IFERROR($X388*(1-IF($AC388="",$AL388,VLOOKUP($AC388,MgMad,2,0))),"")</f>
        <v/>
      </c>
      <c r="AE388" s="28">
        <f>IFERROR(LOOKUP(AD388,{0;0.01;0.1;1;10;100},{"Muy baja";"Muy baja";"Baja";"Media";"Alta";"Muy alta"}),"")</f>
        <v/>
      </c>
      <c r="AF388" s="30">
        <f>T388*AD388</f>
        <v/>
      </c>
      <c r="AG388" s="28">
        <f>IFERROR(LOOKUP(AF388,{0;0.5;5;25},{"Bajo";"Medio";"Alto";"Crítico"}),"")</f>
        <v/>
      </c>
      <c r="AH388" s="28">
        <f>IF(AG388="","",IF(OR(AG388="Crítico",AG388="Alto"),"Mitigar",IF(AG388="Medio","Mitigar","Aceptar y monitorear")))</f>
        <v/>
      </c>
      <c r="AI388" s="21" t="n"/>
      <c r="AJ388" s="21" t="n"/>
      <c r="AK388" s="20" t="n"/>
      <c r="AL388" s="77">
        <f>IFERROR(INDEX(MgAmenEfic,MATCH(SUBSTITUTE($H388,"*","-"),MgAmenClave,0)),0)</f>
        <v/>
      </c>
    </row>
    <row r="389" hidden="1" ht="45" customHeight="1" s="54">
      <c r="B389" s="59" t="inlineStr">
        <is>
          <t>R-0384</t>
        </is>
      </c>
      <c r="C389" s="59" t="inlineStr">
        <is>
          <t>TEC-013</t>
        </is>
      </c>
      <c r="D389" s="64">
        <f>IFERROR(INDEX(MgNombre,MATCH($C389,MgActId,0)),"")</f>
        <v/>
      </c>
      <c r="E389" s="64">
        <f>IFERROR(INDEX(MgProceso,MATCH($C389,MgActId,0)),"")</f>
        <v/>
      </c>
      <c r="F389" s="64">
        <f>IFERROR(INDEX(MgTipo,MATCH($C389,MgActId,0)),"")</f>
        <v/>
      </c>
      <c r="G389" s="64">
        <f>IFERROR(INDEX(MgSubtipo,MATCH($C389,MgActId,0)),"")</f>
        <v/>
      </c>
      <c r="H389" s="59" t="inlineStr">
        <is>
          <t>E.24</t>
        </is>
      </c>
      <c r="I389" s="64">
        <f>IFERROR(INDEX(MgAmenNombre,MATCH(SUBSTITUTE($H389,"*","-"),MgAmenClave,0)),"")</f>
        <v/>
      </c>
      <c r="J389" s="28">
        <f>IFERROR(INDEX(MgAmenGrupo,MATCH(SUBSTITUTE($H389,"*","-"),MgAmenClave,0)),"")</f>
        <v/>
      </c>
      <c r="K389" s="64">
        <f>IFERROR(INDEX('1. Matriz de Activos'!$Q$6:$Q$239,MATCH($C389,MgActId,0)),"")</f>
        <v/>
      </c>
      <c r="L389" s="64">
        <f>IFERROR(INDEX('1. Matriz de Activos'!$R$6:$R$239,MATCH($C389,MgActId,0)),"")</f>
        <v/>
      </c>
      <c r="M389" s="64">
        <f>IFERROR(INDEX('1. Matriz de Activos'!$S$6:$S$239,MATCH($C389,MgActId,0)),"")</f>
        <v/>
      </c>
      <c r="N389" s="28">
        <f>IFERROR(INDEX(MgAmenDegD,MATCH(SUBSTITUTE($H389,"*","-"),MgAmenClave,0)),"No aplica")</f>
        <v/>
      </c>
      <c r="O389" s="28">
        <f>IFERROR(INDEX(MgAmenDegI,MATCH(SUBSTITUTE($H389,"*","-"),MgAmenClave,0)),"No aplica")</f>
        <v/>
      </c>
      <c r="P389" s="28">
        <f>IFERROR(INDEX(MgAmenDegC,MATCH(SUBSTITUTE($H389,"*","-"),MgAmenClave,0)),"No aplica")</f>
        <v/>
      </c>
      <c r="Q389" s="29">
        <f>IFERROR(VLOOKUP(K389,MgValor,2,0)*VLOOKUP(N389,MgDeg,2,0),0)</f>
        <v/>
      </c>
      <c r="R389" s="29">
        <f>IFERROR(VLOOKUP(L389,MgValor,2,0)*VLOOKUP(O389,MgDeg,2,0),0)</f>
        <v/>
      </c>
      <c r="S389" s="29">
        <f>IFERROR(VLOOKUP(M389,MgValor,2,0)*VLOOKUP(P389,MgDeg,2,0),0)</f>
        <v/>
      </c>
      <c r="T389" s="30">
        <f>MAX(Q389:S389)</f>
        <v/>
      </c>
      <c r="U389" s="28">
        <f>IFERROR(LOOKUP(T389,{0;0.5;1.5;3;4.5},{"Despreciable";"Bajo";"Medio";"Alto";"Muy alto"}),"")</f>
        <v/>
      </c>
      <c r="V389" s="13">
        <f>IFERROR(INDEX(MgAmenFrec,MATCH(SUBSTITUTE($H389,"*","-"),MgAmenClave,0)),"")</f>
        <v/>
      </c>
      <c r="W389" s="28">
        <f>IFERROR(LOOKUP(X389,{0;0.01;0.1;1;10;100},{"Muy baja";"Muy baja";"Baja";"Media";"Alta";"Muy alta"}),"")</f>
        <v/>
      </c>
      <c r="X389" s="31">
        <f>IFERROR(VLOOKUP(V389,MgFrec,2,0),0)</f>
        <v/>
      </c>
      <c r="Y389" s="30">
        <f>T389*X389</f>
        <v/>
      </c>
      <c r="Z389" s="28">
        <f>IFERROR(LOOKUP(Y389,{0;0.5;5;25},{"Bajo";"Medio";"Alto";"Crítico"}),"")</f>
        <v/>
      </c>
      <c r="AA389" s="64">
        <f>IF(T389&gt;=3,IF(X389&gt;=1,"Zona 1 — Crítica: impacto alto y ocurre al menos una vez al año","Zona 4 — Catastrófica poco probable: impacto alto pero excepcional"),IF(AND(T389&lt;1.5,X389&lt;1),"Zona 3 — Asumible: impacto bajo y muy poco frecuente","Zona 2 — Atención: riesgo intermedio"))</f>
        <v/>
      </c>
      <c r="AB389" s="64">
        <f>IFERROR(INDEX(MgAmenCtrl,MATCH(SUBSTITUTE($H389,"*","-"),MgAmenClave,0)),"")</f>
        <v/>
      </c>
      <c r="AC389" s="20" t="n"/>
      <c r="AD389" s="31">
        <f>IFERROR($X389*(1-IF($AC389="",$AL389,VLOOKUP($AC389,MgMad,2,0))),"")</f>
        <v/>
      </c>
      <c r="AE389" s="28">
        <f>IFERROR(LOOKUP(AD389,{0;0.01;0.1;1;10;100},{"Muy baja";"Muy baja";"Baja";"Media";"Alta";"Muy alta"}),"")</f>
        <v/>
      </c>
      <c r="AF389" s="30">
        <f>T389*AD389</f>
        <v/>
      </c>
      <c r="AG389" s="28">
        <f>IFERROR(LOOKUP(AF389,{0;0.5;5;25},{"Bajo";"Medio";"Alto";"Crítico"}),"")</f>
        <v/>
      </c>
      <c r="AH389" s="28">
        <f>IF(AG389="","",IF(OR(AG389="Crítico",AG389="Alto"),"Mitigar",IF(AG389="Medio","Mitigar","Aceptar y monitorear")))</f>
        <v/>
      </c>
      <c r="AI389" s="21" t="n"/>
      <c r="AJ389" s="21" t="n"/>
      <c r="AK389" s="20" t="n"/>
      <c r="AL389" s="77">
        <f>IFERROR(INDEX(MgAmenEfic,MATCH(SUBSTITUTE($H389,"*","-"),MgAmenClave,0)),0)</f>
        <v/>
      </c>
    </row>
    <row r="390" hidden="1" ht="75" customHeight="1" s="54">
      <c r="B390" s="59" t="inlineStr">
        <is>
          <t>R-0385</t>
        </is>
      </c>
      <c r="C390" s="59" t="inlineStr">
        <is>
          <t>TEC-013</t>
        </is>
      </c>
      <c r="D390" s="64">
        <f>IFERROR(INDEX(MgNombre,MATCH($C390,MgActId,0)),"")</f>
        <v/>
      </c>
      <c r="E390" s="64">
        <f>IFERROR(INDEX(MgProceso,MATCH($C390,MgActId,0)),"")</f>
        <v/>
      </c>
      <c r="F390" s="64">
        <f>IFERROR(INDEX(MgTipo,MATCH($C390,MgActId,0)),"")</f>
        <v/>
      </c>
      <c r="G390" s="64">
        <f>IFERROR(INDEX(MgSubtipo,MATCH($C390,MgActId,0)),"")</f>
        <v/>
      </c>
      <c r="H390" s="59" t="inlineStr">
        <is>
          <t>A.5</t>
        </is>
      </c>
      <c r="I390" s="64">
        <f>IFERROR(INDEX(MgAmenNombre,MATCH(SUBSTITUTE($H390,"*","-"),MgAmenClave,0)),"")</f>
        <v/>
      </c>
      <c r="J390" s="28">
        <f>IFERROR(INDEX(MgAmenGrupo,MATCH(SUBSTITUTE($H390,"*","-"),MgAmenClave,0)),"")</f>
        <v/>
      </c>
      <c r="K390" s="64">
        <f>IFERROR(INDEX('1. Matriz de Activos'!$Q$6:$Q$239,MATCH($C390,MgActId,0)),"")</f>
        <v/>
      </c>
      <c r="L390" s="64">
        <f>IFERROR(INDEX('1. Matriz de Activos'!$R$6:$R$239,MATCH($C390,MgActId,0)),"")</f>
        <v/>
      </c>
      <c r="M390" s="64">
        <f>IFERROR(INDEX('1. Matriz de Activos'!$S$6:$S$239,MATCH($C390,MgActId,0)),"")</f>
        <v/>
      </c>
      <c r="N390" s="28">
        <f>IFERROR(INDEX(MgAmenDegD,MATCH(SUBSTITUTE($H390,"*","-"),MgAmenClave,0)),"No aplica")</f>
        <v/>
      </c>
      <c r="O390" s="28">
        <f>IFERROR(INDEX(MgAmenDegI,MATCH(SUBSTITUTE($H390,"*","-"),MgAmenClave,0)),"No aplica")</f>
        <v/>
      </c>
      <c r="P390" s="28">
        <f>IFERROR(INDEX(MgAmenDegC,MATCH(SUBSTITUTE($H390,"*","-"),MgAmenClave,0)),"No aplica")</f>
        <v/>
      </c>
      <c r="Q390" s="29">
        <f>IFERROR(VLOOKUP(K390,MgValor,2,0)*VLOOKUP(N390,MgDeg,2,0),0)</f>
        <v/>
      </c>
      <c r="R390" s="29">
        <f>IFERROR(VLOOKUP(L390,MgValor,2,0)*VLOOKUP(O390,MgDeg,2,0),0)</f>
        <v/>
      </c>
      <c r="S390" s="29">
        <f>IFERROR(VLOOKUP(M390,MgValor,2,0)*VLOOKUP(P390,MgDeg,2,0),0)</f>
        <v/>
      </c>
      <c r="T390" s="30">
        <f>MAX(Q390:S390)</f>
        <v/>
      </c>
      <c r="U390" s="28">
        <f>IFERROR(LOOKUP(T390,{0;0.5;1.5;3;4.5},{"Despreciable";"Bajo";"Medio";"Alto";"Muy alto"}),"")</f>
        <v/>
      </c>
      <c r="V390" s="13">
        <f>IFERROR(INDEX(MgAmenFrec,MATCH(SUBSTITUTE($H390,"*","-"),MgAmenClave,0)),"")</f>
        <v/>
      </c>
      <c r="W390" s="28">
        <f>IFERROR(LOOKUP(X390,{0;0.01;0.1;1;10;100},{"Muy baja";"Muy baja";"Baja";"Media";"Alta";"Muy alta"}),"")</f>
        <v/>
      </c>
      <c r="X390" s="31">
        <f>IFERROR(VLOOKUP(V390,MgFrec,2,0),0)</f>
        <v/>
      </c>
      <c r="Y390" s="30">
        <f>T390*X390</f>
        <v/>
      </c>
      <c r="Z390" s="28">
        <f>IFERROR(LOOKUP(Y390,{0;0.5;5;25},{"Bajo";"Medio";"Alto";"Crítico"}),"")</f>
        <v/>
      </c>
      <c r="AA390" s="64">
        <f>IF(T390&gt;=3,IF(X390&gt;=1,"Zona 1 — Crítica: impacto alto y ocurre al menos una vez al año","Zona 4 — Catastrófica poco probable: impacto alto pero excepcional"),IF(AND(T390&lt;1.5,X390&lt;1),"Zona 3 — Asumible: impacto bajo y muy poco frecuente","Zona 2 — Atención: riesgo intermedio"))</f>
        <v/>
      </c>
      <c r="AB390" s="64">
        <f>IFERROR(INDEX(MgAmenCtrl,MATCH(SUBSTITUTE($H390,"*","-"),MgAmenClave,0)),"")</f>
        <v/>
      </c>
      <c r="AC390" s="20" t="n"/>
      <c r="AD390" s="31">
        <f>IFERROR($X390*(1-IF($AC390="",$AL390,VLOOKUP($AC390,MgMad,2,0))),"")</f>
        <v/>
      </c>
      <c r="AE390" s="28">
        <f>IFERROR(LOOKUP(AD390,{0;0.01;0.1;1;10;100},{"Muy baja";"Muy baja";"Baja";"Media";"Alta";"Muy alta"}),"")</f>
        <v/>
      </c>
      <c r="AF390" s="30">
        <f>T390*AD390</f>
        <v/>
      </c>
      <c r="AG390" s="28">
        <f>IFERROR(LOOKUP(AF390,{0;0.5;5;25},{"Bajo";"Medio";"Alto";"Crítico"}),"")</f>
        <v/>
      </c>
      <c r="AH390" s="28">
        <f>IF(AG390="","",IF(OR(AG390="Crítico",AG390="Alto"),"Mitigar",IF(AG390="Medio","Mitigar","Aceptar y monitorear")))</f>
        <v/>
      </c>
      <c r="AI390" s="21" t="n"/>
      <c r="AJ390" s="21" t="n"/>
      <c r="AK390" s="20" t="n"/>
      <c r="AL390" s="77">
        <f>IFERROR(INDEX(MgAmenEfic,MATCH(SUBSTITUTE($H390,"*","-"),MgAmenClave,0)),0)</f>
        <v/>
      </c>
    </row>
    <row r="391" hidden="1" ht="105" customHeight="1" s="54">
      <c r="B391" s="59" t="inlineStr">
        <is>
          <t>R-0386</t>
        </is>
      </c>
      <c r="C391" s="59" t="inlineStr">
        <is>
          <t>TEC-013</t>
        </is>
      </c>
      <c r="D391" s="64">
        <f>IFERROR(INDEX(MgNombre,MATCH($C391,MgActId,0)),"")</f>
        <v/>
      </c>
      <c r="E391" s="64">
        <f>IFERROR(INDEX(MgProceso,MATCH($C391,MgActId,0)),"")</f>
        <v/>
      </c>
      <c r="F391" s="64">
        <f>IFERROR(INDEX(MgTipo,MATCH($C391,MgActId,0)),"")</f>
        <v/>
      </c>
      <c r="G391" s="64">
        <f>IFERROR(INDEX(MgSubtipo,MATCH($C391,MgActId,0)),"")</f>
        <v/>
      </c>
      <c r="H391" s="59" t="inlineStr">
        <is>
          <t>A.6</t>
        </is>
      </c>
      <c r="I391" s="64">
        <f>IFERROR(INDEX(MgAmenNombre,MATCH(SUBSTITUTE($H391,"*","-"),MgAmenClave,0)),"")</f>
        <v/>
      </c>
      <c r="J391" s="28">
        <f>IFERROR(INDEX(MgAmenGrupo,MATCH(SUBSTITUTE($H391,"*","-"),MgAmenClave,0)),"")</f>
        <v/>
      </c>
      <c r="K391" s="64">
        <f>IFERROR(INDEX('1. Matriz de Activos'!$Q$6:$Q$239,MATCH($C391,MgActId,0)),"")</f>
        <v/>
      </c>
      <c r="L391" s="64">
        <f>IFERROR(INDEX('1. Matriz de Activos'!$R$6:$R$239,MATCH($C391,MgActId,0)),"")</f>
        <v/>
      </c>
      <c r="M391" s="64">
        <f>IFERROR(INDEX('1. Matriz de Activos'!$S$6:$S$239,MATCH($C391,MgActId,0)),"")</f>
        <v/>
      </c>
      <c r="N391" s="28">
        <f>IFERROR(INDEX(MgAmenDegD,MATCH(SUBSTITUTE($H391,"*","-"),MgAmenClave,0)),"No aplica")</f>
        <v/>
      </c>
      <c r="O391" s="28">
        <f>IFERROR(INDEX(MgAmenDegI,MATCH(SUBSTITUTE($H391,"*","-"),MgAmenClave,0)),"No aplica")</f>
        <v/>
      </c>
      <c r="P391" s="28">
        <f>IFERROR(INDEX(MgAmenDegC,MATCH(SUBSTITUTE($H391,"*","-"),MgAmenClave,0)),"No aplica")</f>
        <v/>
      </c>
      <c r="Q391" s="29">
        <f>IFERROR(VLOOKUP(K391,MgValor,2,0)*VLOOKUP(N391,MgDeg,2,0),0)</f>
        <v/>
      </c>
      <c r="R391" s="29">
        <f>IFERROR(VLOOKUP(L391,MgValor,2,0)*VLOOKUP(O391,MgDeg,2,0),0)</f>
        <v/>
      </c>
      <c r="S391" s="29">
        <f>IFERROR(VLOOKUP(M391,MgValor,2,0)*VLOOKUP(P391,MgDeg,2,0),0)</f>
        <v/>
      </c>
      <c r="T391" s="30">
        <f>MAX(Q391:S391)</f>
        <v/>
      </c>
      <c r="U391" s="28">
        <f>IFERROR(LOOKUP(T391,{0;0.5;1.5;3;4.5},{"Despreciable";"Bajo";"Medio";"Alto";"Muy alto"}),"")</f>
        <v/>
      </c>
      <c r="V391" s="13">
        <f>IFERROR(INDEX(MgAmenFrec,MATCH(SUBSTITUTE($H391,"*","-"),MgAmenClave,0)),"")</f>
        <v/>
      </c>
      <c r="W391" s="28">
        <f>IFERROR(LOOKUP(X391,{0;0.01;0.1;1;10;100},{"Muy baja";"Muy baja";"Baja";"Media";"Alta";"Muy alta"}),"")</f>
        <v/>
      </c>
      <c r="X391" s="31">
        <f>IFERROR(VLOOKUP(V391,MgFrec,2,0),0)</f>
        <v/>
      </c>
      <c r="Y391" s="30">
        <f>T391*X391</f>
        <v/>
      </c>
      <c r="Z391" s="28">
        <f>IFERROR(LOOKUP(Y391,{0;0.5;5;25},{"Bajo";"Medio";"Alto";"Crítico"}),"")</f>
        <v/>
      </c>
      <c r="AA391" s="64">
        <f>IF(T391&gt;=3,IF(X391&gt;=1,"Zona 1 — Crítica: impacto alto y ocurre al menos una vez al año","Zona 4 — Catastrófica poco probable: impacto alto pero excepcional"),IF(AND(T391&lt;1.5,X391&lt;1),"Zona 3 — Asumible: impacto bajo y muy poco frecuente","Zona 2 — Atención: riesgo intermedio"))</f>
        <v/>
      </c>
      <c r="AB391" s="64">
        <f>IFERROR(INDEX(MgAmenCtrl,MATCH(SUBSTITUTE($H391,"*","-"),MgAmenClave,0)),"")</f>
        <v/>
      </c>
      <c r="AC391" s="20" t="n"/>
      <c r="AD391" s="31">
        <f>IFERROR($X391*(1-IF($AC391="",$AL391,VLOOKUP($AC391,MgMad,2,0))),"")</f>
        <v/>
      </c>
      <c r="AE391" s="28">
        <f>IFERROR(LOOKUP(AD391,{0;0.01;0.1;1;10;100},{"Muy baja";"Muy baja";"Baja";"Media";"Alta";"Muy alta"}),"")</f>
        <v/>
      </c>
      <c r="AF391" s="30">
        <f>T391*AD391</f>
        <v/>
      </c>
      <c r="AG391" s="28">
        <f>IFERROR(LOOKUP(AF391,{0;0.5;5;25},{"Bajo";"Medio";"Alto";"Crítico"}),"")</f>
        <v/>
      </c>
      <c r="AH391" s="28">
        <f>IF(AG391="","",IF(OR(AG391="Crítico",AG391="Alto"),"Mitigar",IF(AG391="Medio","Mitigar","Aceptar y monitorear")))</f>
        <v/>
      </c>
      <c r="AI391" s="21" t="n"/>
      <c r="AJ391" s="21" t="n"/>
      <c r="AK391" s="20" t="n"/>
      <c r="AL391" s="77">
        <f>IFERROR(INDEX(MgAmenEfic,MATCH(SUBSTITUTE($H391,"*","-"),MgAmenClave,0)),0)</f>
        <v/>
      </c>
    </row>
    <row r="392" hidden="1" ht="60" customHeight="1" s="54">
      <c r="B392" s="59" t="inlineStr">
        <is>
          <t>R-0387</t>
        </is>
      </c>
      <c r="C392" s="59" t="inlineStr">
        <is>
          <t>TEC-013</t>
        </is>
      </c>
      <c r="D392" s="64">
        <f>IFERROR(INDEX(MgNombre,MATCH($C392,MgActId,0)),"")</f>
        <v/>
      </c>
      <c r="E392" s="64">
        <f>IFERROR(INDEX(MgProceso,MATCH($C392,MgActId,0)),"")</f>
        <v/>
      </c>
      <c r="F392" s="64">
        <f>IFERROR(INDEX(MgTipo,MATCH($C392,MgActId,0)),"")</f>
        <v/>
      </c>
      <c r="G392" s="64">
        <f>IFERROR(INDEX(MgSubtipo,MATCH($C392,MgActId,0)),"")</f>
        <v/>
      </c>
      <c r="H392" s="59" t="inlineStr">
        <is>
          <t>A.7</t>
        </is>
      </c>
      <c r="I392" s="64">
        <f>IFERROR(INDEX(MgAmenNombre,MATCH(SUBSTITUTE($H392,"*","-"),MgAmenClave,0)),"")</f>
        <v/>
      </c>
      <c r="J392" s="28">
        <f>IFERROR(INDEX(MgAmenGrupo,MATCH(SUBSTITUTE($H392,"*","-"),MgAmenClave,0)),"")</f>
        <v/>
      </c>
      <c r="K392" s="64">
        <f>IFERROR(INDEX('1. Matriz de Activos'!$Q$6:$Q$239,MATCH($C392,MgActId,0)),"")</f>
        <v/>
      </c>
      <c r="L392" s="64">
        <f>IFERROR(INDEX('1. Matriz de Activos'!$R$6:$R$239,MATCH($C392,MgActId,0)),"")</f>
        <v/>
      </c>
      <c r="M392" s="64">
        <f>IFERROR(INDEX('1. Matriz de Activos'!$S$6:$S$239,MATCH($C392,MgActId,0)),"")</f>
        <v/>
      </c>
      <c r="N392" s="28">
        <f>IFERROR(INDEX(MgAmenDegD,MATCH(SUBSTITUTE($H392,"*","-"),MgAmenClave,0)),"No aplica")</f>
        <v/>
      </c>
      <c r="O392" s="28">
        <f>IFERROR(INDEX(MgAmenDegI,MATCH(SUBSTITUTE($H392,"*","-"),MgAmenClave,0)),"No aplica")</f>
        <v/>
      </c>
      <c r="P392" s="28">
        <f>IFERROR(INDEX(MgAmenDegC,MATCH(SUBSTITUTE($H392,"*","-"),MgAmenClave,0)),"No aplica")</f>
        <v/>
      </c>
      <c r="Q392" s="29">
        <f>IFERROR(VLOOKUP(K392,MgValor,2,0)*VLOOKUP(N392,MgDeg,2,0),0)</f>
        <v/>
      </c>
      <c r="R392" s="29">
        <f>IFERROR(VLOOKUP(L392,MgValor,2,0)*VLOOKUP(O392,MgDeg,2,0),0)</f>
        <v/>
      </c>
      <c r="S392" s="29">
        <f>IFERROR(VLOOKUP(M392,MgValor,2,0)*VLOOKUP(P392,MgDeg,2,0),0)</f>
        <v/>
      </c>
      <c r="T392" s="30">
        <f>MAX(Q392:S392)</f>
        <v/>
      </c>
      <c r="U392" s="28">
        <f>IFERROR(LOOKUP(T392,{0;0.5;1.5;3;4.5},{"Despreciable";"Bajo";"Medio";"Alto";"Muy alto"}),"")</f>
        <v/>
      </c>
      <c r="V392" s="13">
        <f>IFERROR(INDEX(MgAmenFrec,MATCH(SUBSTITUTE($H392,"*","-"),MgAmenClave,0)),"")</f>
        <v/>
      </c>
      <c r="W392" s="28">
        <f>IFERROR(LOOKUP(X392,{0;0.01;0.1;1;10;100},{"Muy baja";"Muy baja";"Baja";"Media";"Alta";"Muy alta"}),"")</f>
        <v/>
      </c>
      <c r="X392" s="31">
        <f>IFERROR(VLOOKUP(V392,MgFrec,2,0),0)</f>
        <v/>
      </c>
      <c r="Y392" s="30">
        <f>T392*X392</f>
        <v/>
      </c>
      <c r="Z392" s="28">
        <f>IFERROR(LOOKUP(Y392,{0;0.5;5;25},{"Bajo";"Medio";"Alto";"Crítico"}),"")</f>
        <v/>
      </c>
      <c r="AA392" s="64">
        <f>IF(T392&gt;=3,IF(X392&gt;=1,"Zona 1 — Crítica: impacto alto y ocurre al menos una vez al año","Zona 4 — Catastrófica poco probable: impacto alto pero excepcional"),IF(AND(T392&lt;1.5,X392&lt;1),"Zona 3 — Asumible: impacto bajo y muy poco frecuente","Zona 2 — Atención: riesgo intermedio"))</f>
        <v/>
      </c>
      <c r="AB392" s="64">
        <f>IFERROR(INDEX(MgAmenCtrl,MATCH(SUBSTITUTE($H392,"*","-"),MgAmenClave,0)),"")</f>
        <v/>
      </c>
      <c r="AC392" s="20" t="n"/>
      <c r="AD392" s="31">
        <f>IFERROR($X392*(1-IF($AC392="",$AL392,VLOOKUP($AC392,MgMad,2,0))),"")</f>
        <v/>
      </c>
      <c r="AE392" s="28">
        <f>IFERROR(LOOKUP(AD392,{0;0.01;0.1;1;10;100},{"Muy baja";"Muy baja";"Baja";"Media";"Alta";"Muy alta"}),"")</f>
        <v/>
      </c>
      <c r="AF392" s="30">
        <f>T392*AD392</f>
        <v/>
      </c>
      <c r="AG392" s="28">
        <f>IFERROR(LOOKUP(AF392,{0;0.5;5;25},{"Bajo";"Medio";"Alto";"Crítico"}),"")</f>
        <v/>
      </c>
      <c r="AH392" s="28">
        <f>IF(AG392="","",IF(OR(AG392="Crítico",AG392="Alto"),"Mitigar",IF(AG392="Medio","Mitigar","Aceptar y monitorear")))</f>
        <v/>
      </c>
      <c r="AI392" s="21" t="n"/>
      <c r="AJ392" s="21" t="n"/>
      <c r="AK392" s="20" t="n"/>
      <c r="AL392" s="77">
        <f>IFERROR(INDEX(MgAmenEfic,MATCH(SUBSTITUTE($H392,"*","-"),MgAmenClave,0)),0)</f>
        <v/>
      </c>
    </row>
    <row r="393" hidden="1" ht="60" customHeight="1" s="54">
      <c r="B393" s="59" t="inlineStr">
        <is>
          <t>R-0388</t>
        </is>
      </c>
      <c r="C393" s="59" t="inlineStr">
        <is>
          <t>TEC-013</t>
        </is>
      </c>
      <c r="D393" s="64">
        <f>IFERROR(INDEX(MgNombre,MATCH($C393,MgActId,0)),"")</f>
        <v/>
      </c>
      <c r="E393" s="64">
        <f>IFERROR(INDEX(MgProceso,MATCH($C393,MgActId,0)),"")</f>
        <v/>
      </c>
      <c r="F393" s="64">
        <f>IFERROR(INDEX(MgTipo,MATCH($C393,MgActId,0)),"")</f>
        <v/>
      </c>
      <c r="G393" s="64">
        <f>IFERROR(INDEX(MgSubtipo,MATCH($C393,MgActId,0)),"")</f>
        <v/>
      </c>
      <c r="H393" s="59" t="inlineStr">
        <is>
          <t>A.9</t>
        </is>
      </c>
      <c r="I393" s="64">
        <f>IFERROR(INDEX(MgAmenNombre,MATCH(SUBSTITUTE($H393,"*","-"),MgAmenClave,0)),"")</f>
        <v/>
      </c>
      <c r="J393" s="28">
        <f>IFERROR(INDEX(MgAmenGrupo,MATCH(SUBSTITUTE($H393,"*","-"),MgAmenClave,0)),"")</f>
        <v/>
      </c>
      <c r="K393" s="64">
        <f>IFERROR(INDEX('1. Matriz de Activos'!$Q$6:$Q$239,MATCH($C393,MgActId,0)),"")</f>
        <v/>
      </c>
      <c r="L393" s="64">
        <f>IFERROR(INDEX('1. Matriz de Activos'!$R$6:$R$239,MATCH($C393,MgActId,0)),"")</f>
        <v/>
      </c>
      <c r="M393" s="64">
        <f>IFERROR(INDEX('1. Matriz de Activos'!$S$6:$S$239,MATCH($C393,MgActId,0)),"")</f>
        <v/>
      </c>
      <c r="N393" s="28">
        <f>IFERROR(INDEX(MgAmenDegD,MATCH(SUBSTITUTE($H393,"*","-"),MgAmenClave,0)),"No aplica")</f>
        <v/>
      </c>
      <c r="O393" s="28">
        <f>IFERROR(INDEX(MgAmenDegI,MATCH(SUBSTITUTE($H393,"*","-"),MgAmenClave,0)),"No aplica")</f>
        <v/>
      </c>
      <c r="P393" s="28">
        <f>IFERROR(INDEX(MgAmenDegC,MATCH(SUBSTITUTE($H393,"*","-"),MgAmenClave,0)),"No aplica")</f>
        <v/>
      </c>
      <c r="Q393" s="29">
        <f>IFERROR(VLOOKUP(K393,MgValor,2,0)*VLOOKUP(N393,MgDeg,2,0),0)</f>
        <v/>
      </c>
      <c r="R393" s="29">
        <f>IFERROR(VLOOKUP(L393,MgValor,2,0)*VLOOKUP(O393,MgDeg,2,0),0)</f>
        <v/>
      </c>
      <c r="S393" s="29">
        <f>IFERROR(VLOOKUP(M393,MgValor,2,0)*VLOOKUP(P393,MgDeg,2,0),0)</f>
        <v/>
      </c>
      <c r="T393" s="30">
        <f>MAX(Q393:S393)</f>
        <v/>
      </c>
      <c r="U393" s="28">
        <f>IFERROR(LOOKUP(T393,{0;0.5;1.5;3;4.5},{"Despreciable";"Bajo";"Medio";"Alto";"Muy alto"}),"")</f>
        <v/>
      </c>
      <c r="V393" s="13">
        <f>IFERROR(INDEX(MgAmenFrec,MATCH(SUBSTITUTE($H393,"*","-"),MgAmenClave,0)),"")</f>
        <v/>
      </c>
      <c r="W393" s="28">
        <f>IFERROR(LOOKUP(X393,{0;0.01;0.1;1;10;100},{"Muy baja";"Muy baja";"Baja";"Media";"Alta";"Muy alta"}),"")</f>
        <v/>
      </c>
      <c r="X393" s="31">
        <f>IFERROR(VLOOKUP(V393,MgFrec,2,0),0)</f>
        <v/>
      </c>
      <c r="Y393" s="30">
        <f>T393*X393</f>
        <v/>
      </c>
      <c r="Z393" s="28">
        <f>IFERROR(LOOKUP(Y393,{0;0.5;5;25},{"Bajo";"Medio";"Alto";"Crítico"}),"")</f>
        <v/>
      </c>
      <c r="AA393" s="64">
        <f>IF(T393&gt;=3,IF(X393&gt;=1,"Zona 1 — Crítica: impacto alto y ocurre al menos una vez al año","Zona 4 — Catastrófica poco probable: impacto alto pero excepcional"),IF(AND(T393&lt;1.5,X393&lt;1),"Zona 3 — Asumible: impacto bajo y muy poco frecuente","Zona 2 — Atención: riesgo intermedio"))</f>
        <v/>
      </c>
      <c r="AB393" s="64">
        <f>IFERROR(INDEX(MgAmenCtrl,MATCH(SUBSTITUTE($H393,"*","-"),MgAmenClave,0)),"")</f>
        <v/>
      </c>
      <c r="AC393" s="20" t="n"/>
      <c r="AD393" s="31">
        <f>IFERROR($X393*(1-IF($AC393="",$AL393,VLOOKUP($AC393,MgMad,2,0))),"")</f>
        <v/>
      </c>
      <c r="AE393" s="28">
        <f>IFERROR(LOOKUP(AD393,{0;0.01;0.1;1;10;100},{"Muy baja";"Muy baja";"Baja";"Media";"Alta";"Muy alta"}),"")</f>
        <v/>
      </c>
      <c r="AF393" s="30">
        <f>T393*AD393</f>
        <v/>
      </c>
      <c r="AG393" s="28">
        <f>IFERROR(LOOKUP(AF393,{0;0.5;5;25},{"Bajo";"Medio";"Alto";"Crítico"}),"")</f>
        <v/>
      </c>
      <c r="AH393" s="28">
        <f>IF(AG393="","",IF(OR(AG393="Crítico",AG393="Alto"),"Mitigar",IF(AG393="Medio","Mitigar","Aceptar y monitorear")))</f>
        <v/>
      </c>
      <c r="AI393" s="21" t="n"/>
      <c r="AJ393" s="21" t="n"/>
      <c r="AK393" s="20" t="n"/>
      <c r="AL393" s="77">
        <f>IFERROR(INDEX(MgAmenEfic,MATCH(SUBSTITUTE($H393,"*","-"),MgAmenClave,0)),0)</f>
        <v/>
      </c>
    </row>
    <row r="394" hidden="1" ht="45" customHeight="1" s="54">
      <c r="B394" s="59" t="inlineStr">
        <is>
          <t>R-0389</t>
        </is>
      </c>
      <c r="C394" s="59" t="inlineStr">
        <is>
          <t>TEC-013</t>
        </is>
      </c>
      <c r="D394" s="64">
        <f>IFERROR(INDEX(MgNombre,MATCH($C394,MgActId,0)),"")</f>
        <v/>
      </c>
      <c r="E394" s="64">
        <f>IFERROR(INDEX(MgProceso,MATCH($C394,MgActId,0)),"")</f>
        <v/>
      </c>
      <c r="F394" s="64">
        <f>IFERROR(INDEX(MgTipo,MATCH($C394,MgActId,0)),"")</f>
        <v/>
      </c>
      <c r="G394" s="64">
        <f>IFERROR(INDEX(MgSubtipo,MATCH($C394,MgActId,0)),"")</f>
        <v/>
      </c>
      <c r="H394" s="59" t="inlineStr">
        <is>
          <t>A.10</t>
        </is>
      </c>
      <c r="I394" s="64">
        <f>IFERROR(INDEX(MgAmenNombre,MATCH(SUBSTITUTE($H394,"*","-"),MgAmenClave,0)),"")</f>
        <v/>
      </c>
      <c r="J394" s="28">
        <f>IFERROR(INDEX(MgAmenGrupo,MATCH(SUBSTITUTE($H394,"*","-"),MgAmenClave,0)),"")</f>
        <v/>
      </c>
      <c r="K394" s="64">
        <f>IFERROR(INDEX('1. Matriz de Activos'!$Q$6:$Q$239,MATCH($C394,MgActId,0)),"")</f>
        <v/>
      </c>
      <c r="L394" s="64">
        <f>IFERROR(INDEX('1. Matriz de Activos'!$R$6:$R$239,MATCH($C394,MgActId,0)),"")</f>
        <v/>
      </c>
      <c r="M394" s="64">
        <f>IFERROR(INDEX('1. Matriz de Activos'!$S$6:$S$239,MATCH($C394,MgActId,0)),"")</f>
        <v/>
      </c>
      <c r="N394" s="28">
        <f>IFERROR(INDEX(MgAmenDegD,MATCH(SUBSTITUTE($H394,"*","-"),MgAmenClave,0)),"No aplica")</f>
        <v/>
      </c>
      <c r="O394" s="28">
        <f>IFERROR(INDEX(MgAmenDegI,MATCH(SUBSTITUTE($H394,"*","-"),MgAmenClave,0)),"No aplica")</f>
        <v/>
      </c>
      <c r="P394" s="28">
        <f>IFERROR(INDEX(MgAmenDegC,MATCH(SUBSTITUTE($H394,"*","-"),MgAmenClave,0)),"No aplica")</f>
        <v/>
      </c>
      <c r="Q394" s="29">
        <f>IFERROR(VLOOKUP(K394,MgValor,2,0)*VLOOKUP(N394,MgDeg,2,0),0)</f>
        <v/>
      </c>
      <c r="R394" s="29">
        <f>IFERROR(VLOOKUP(L394,MgValor,2,0)*VLOOKUP(O394,MgDeg,2,0),0)</f>
        <v/>
      </c>
      <c r="S394" s="29">
        <f>IFERROR(VLOOKUP(M394,MgValor,2,0)*VLOOKUP(P394,MgDeg,2,0),0)</f>
        <v/>
      </c>
      <c r="T394" s="30">
        <f>MAX(Q394:S394)</f>
        <v/>
      </c>
      <c r="U394" s="28">
        <f>IFERROR(LOOKUP(T394,{0;0.5;1.5;3;4.5},{"Despreciable";"Bajo";"Medio";"Alto";"Muy alto"}),"")</f>
        <v/>
      </c>
      <c r="V394" s="13">
        <f>IFERROR(INDEX(MgAmenFrec,MATCH(SUBSTITUTE($H394,"*","-"),MgAmenClave,0)),"")</f>
        <v/>
      </c>
      <c r="W394" s="28">
        <f>IFERROR(LOOKUP(X394,{0;0.01;0.1;1;10;100},{"Muy baja";"Muy baja";"Baja";"Media";"Alta";"Muy alta"}),"")</f>
        <v/>
      </c>
      <c r="X394" s="31">
        <f>IFERROR(VLOOKUP(V394,MgFrec,2,0),0)</f>
        <v/>
      </c>
      <c r="Y394" s="30">
        <f>T394*X394</f>
        <v/>
      </c>
      <c r="Z394" s="28">
        <f>IFERROR(LOOKUP(Y394,{0;0.5;5;25},{"Bajo";"Medio";"Alto";"Crítico"}),"")</f>
        <v/>
      </c>
      <c r="AA394" s="64">
        <f>IF(T394&gt;=3,IF(X394&gt;=1,"Zona 1 — Crítica: impacto alto y ocurre al menos una vez al año","Zona 4 — Catastrófica poco probable: impacto alto pero excepcional"),IF(AND(T394&lt;1.5,X394&lt;1),"Zona 3 — Asumible: impacto bajo y muy poco frecuente","Zona 2 — Atención: riesgo intermedio"))</f>
        <v/>
      </c>
      <c r="AB394" s="64">
        <f>IFERROR(INDEX(MgAmenCtrl,MATCH(SUBSTITUTE($H394,"*","-"),MgAmenClave,0)),"")</f>
        <v/>
      </c>
      <c r="AC394" s="20" t="n"/>
      <c r="AD394" s="31">
        <f>IFERROR($X394*(1-IF($AC394="",$AL394,VLOOKUP($AC394,MgMad,2,0))),"")</f>
        <v/>
      </c>
      <c r="AE394" s="28">
        <f>IFERROR(LOOKUP(AD394,{0;0.01;0.1;1;10;100},{"Muy baja";"Muy baja";"Baja";"Media";"Alta";"Muy alta"}),"")</f>
        <v/>
      </c>
      <c r="AF394" s="30">
        <f>T394*AD394</f>
        <v/>
      </c>
      <c r="AG394" s="28">
        <f>IFERROR(LOOKUP(AF394,{0;0.5;5;25},{"Bajo";"Medio";"Alto";"Crítico"}),"")</f>
        <v/>
      </c>
      <c r="AH394" s="28">
        <f>IF(AG394="","",IF(OR(AG394="Crítico",AG394="Alto"),"Mitigar",IF(AG394="Medio","Mitigar","Aceptar y monitorear")))</f>
        <v/>
      </c>
      <c r="AI394" s="21" t="n"/>
      <c r="AJ394" s="21" t="n"/>
      <c r="AK394" s="20" t="n"/>
      <c r="AL394" s="77">
        <f>IFERROR(INDEX(MgAmenEfic,MATCH(SUBSTITUTE($H394,"*","-"),MgAmenClave,0)),0)</f>
        <v/>
      </c>
    </row>
    <row r="395" hidden="1" ht="120" customHeight="1" s="54">
      <c r="B395" s="59" t="inlineStr">
        <is>
          <t>R-0390</t>
        </is>
      </c>
      <c r="C395" s="59" t="inlineStr">
        <is>
          <t>TEC-013</t>
        </is>
      </c>
      <c r="D395" s="64">
        <f>IFERROR(INDEX(MgNombre,MATCH($C395,MgActId,0)),"")</f>
        <v/>
      </c>
      <c r="E395" s="64">
        <f>IFERROR(INDEX(MgProceso,MATCH($C395,MgActId,0)),"")</f>
        <v/>
      </c>
      <c r="F395" s="64">
        <f>IFERROR(INDEX(MgTipo,MATCH($C395,MgActId,0)),"")</f>
        <v/>
      </c>
      <c r="G395" s="64">
        <f>IFERROR(INDEX(MgSubtipo,MATCH($C395,MgActId,0)),"")</f>
        <v/>
      </c>
      <c r="H395" s="59" t="inlineStr">
        <is>
          <t>A.11</t>
        </is>
      </c>
      <c r="I395" s="64">
        <f>IFERROR(INDEX(MgAmenNombre,MATCH(SUBSTITUTE($H395,"*","-"),MgAmenClave,0)),"")</f>
        <v/>
      </c>
      <c r="J395" s="28">
        <f>IFERROR(INDEX(MgAmenGrupo,MATCH(SUBSTITUTE($H395,"*","-"),MgAmenClave,0)),"")</f>
        <v/>
      </c>
      <c r="K395" s="64">
        <f>IFERROR(INDEX('1. Matriz de Activos'!$Q$6:$Q$239,MATCH($C395,MgActId,0)),"")</f>
        <v/>
      </c>
      <c r="L395" s="64">
        <f>IFERROR(INDEX('1. Matriz de Activos'!$R$6:$R$239,MATCH($C395,MgActId,0)),"")</f>
        <v/>
      </c>
      <c r="M395" s="64">
        <f>IFERROR(INDEX('1. Matriz de Activos'!$S$6:$S$239,MATCH($C395,MgActId,0)),"")</f>
        <v/>
      </c>
      <c r="N395" s="28">
        <f>IFERROR(INDEX(MgAmenDegD,MATCH(SUBSTITUTE($H395,"*","-"),MgAmenClave,0)),"No aplica")</f>
        <v/>
      </c>
      <c r="O395" s="28">
        <f>IFERROR(INDEX(MgAmenDegI,MATCH(SUBSTITUTE($H395,"*","-"),MgAmenClave,0)),"No aplica")</f>
        <v/>
      </c>
      <c r="P395" s="28">
        <f>IFERROR(INDEX(MgAmenDegC,MATCH(SUBSTITUTE($H395,"*","-"),MgAmenClave,0)),"No aplica")</f>
        <v/>
      </c>
      <c r="Q395" s="29">
        <f>IFERROR(VLOOKUP(K395,MgValor,2,0)*VLOOKUP(N395,MgDeg,2,0),0)</f>
        <v/>
      </c>
      <c r="R395" s="29">
        <f>IFERROR(VLOOKUP(L395,MgValor,2,0)*VLOOKUP(O395,MgDeg,2,0),0)</f>
        <v/>
      </c>
      <c r="S395" s="29">
        <f>IFERROR(VLOOKUP(M395,MgValor,2,0)*VLOOKUP(P395,MgDeg,2,0),0)</f>
        <v/>
      </c>
      <c r="T395" s="30">
        <f>MAX(Q395:S395)</f>
        <v/>
      </c>
      <c r="U395" s="28">
        <f>IFERROR(LOOKUP(T395,{0;0.5;1.5;3;4.5},{"Despreciable";"Bajo";"Medio";"Alto";"Muy alto"}),"")</f>
        <v/>
      </c>
      <c r="V395" s="13">
        <f>IFERROR(INDEX(MgAmenFrec,MATCH(SUBSTITUTE($H395,"*","-"),MgAmenClave,0)),"")</f>
        <v/>
      </c>
      <c r="W395" s="28">
        <f>IFERROR(LOOKUP(X395,{0;0.01;0.1;1;10;100},{"Muy baja";"Muy baja";"Baja";"Media";"Alta";"Muy alta"}),"")</f>
        <v/>
      </c>
      <c r="X395" s="31">
        <f>IFERROR(VLOOKUP(V395,MgFrec,2,0),0)</f>
        <v/>
      </c>
      <c r="Y395" s="30">
        <f>T395*X395</f>
        <v/>
      </c>
      <c r="Z395" s="28">
        <f>IFERROR(LOOKUP(Y395,{0;0.5;5;25},{"Bajo";"Medio";"Alto";"Crítico"}),"")</f>
        <v/>
      </c>
      <c r="AA395" s="64">
        <f>IF(T395&gt;=3,IF(X395&gt;=1,"Zona 1 — Crítica: impacto alto y ocurre al menos una vez al año","Zona 4 — Catastrófica poco probable: impacto alto pero excepcional"),IF(AND(T395&lt;1.5,X395&lt;1),"Zona 3 — Asumible: impacto bajo y muy poco frecuente","Zona 2 — Atención: riesgo intermedio"))</f>
        <v/>
      </c>
      <c r="AB395" s="64">
        <f>IFERROR(INDEX(MgAmenCtrl,MATCH(SUBSTITUTE($H395,"*","-"),MgAmenClave,0)),"")</f>
        <v/>
      </c>
      <c r="AC395" s="20" t="n"/>
      <c r="AD395" s="31">
        <f>IFERROR($X395*(1-IF($AC395="",$AL395,VLOOKUP($AC395,MgMad,2,0))),"")</f>
        <v/>
      </c>
      <c r="AE395" s="28">
        <f>IFERROR(LOOKUP(AD395,{0;0.01;0.1;1;10;100},{"Muy baja";"Muy baja";"Baja";"Media";"Alta";"Muy alta"}),"")</f>
        <v/>
      </c>
      <c r="AF395" s="30">
        <f>T395*AD395</f>
        <v/>
      </c>
      <c r="AG395" s="28">
        <f>IFERROR(LOOKUP(AF395,{0;0.5;5;25},{"Bajo";"Medio";"Alto";"Crítico"}),"")</f>
        <v/>
      </c>
      <c r="AH395" s="28">
        <f>IF(AG395="","",IF(OR(AG395="Crítico",AG395="Alto"),"Mitigar",IF(AG395="Medio","Mitigar","Aceptar y monitorear")))</f>
        <v/>
      </c>
      <c r="AI395" s="21" t="n"/>
      <c r="AJ395" s="21" t="n"/>
      <c r="AK395" s="20" t="n"/>
      <c r="AL395" s="77">
        <f>IFERROR(INDEX(MgAmenEfic,MATCH(SUBSTITUTE($H395,"*","-"),MgAmenClave,0)),0)</f>
        <v/>
      </c>
    </row>
    <row r="396" hidden="1" ht="45" customHeight="1" s="54">
      <c r="B396" s="59" t="inlineStr">
        <is>
          <t>R-0391</t>
        </is>
      </c>
      <c r="C396" s="59" t="inlineStr">
        <is>
          <t>TEC-013</t>
        </is>
      </c>
      <c r="D396" s="64">
        <f>IFERROR(INDEX(MgNombre,MATCH($C396,MgActId,0)),"")</f>
        <v/>
      </c>
      <c r="E396" s="64">
        <f>IFERROR(INDEX(MgProceso,MATCH($C396,MgActId,0)),"")</f>
        <v/>
      </c>
      <c r="F396" s="64">
        <f>IFERROR(INDEX(MgTipo,MATCH($C396,MgActId,0)),"")</f>
        <v/>
      </c>
      <c r="G396" s="64">
        <f>IFERROR(INDEX(MgSubtipo,MATCH($C396,MgActId,0)),"")</f>
        <v/>
      </c>
      <c r="H396" s="59" t="inlineStr">
        <is>
          <t>A.12</t>
        </is>
      </c>
      <c r="I396" s="64">
        <f>IFERROR(INDEX(MgAmenNombre,MATCH(SUBSTITUTE($H396,"*","-"),MgAmenClave,0)),"")</f>
        <v/>
      </c>
      <c r="J396" s="28">
        <f>IFERROR(INDEX(MgAmenGrupo,MATCH(SUBSTITUTE($H396,"*","-"),MgAmenClave,0)),"")</f>
        <v/>
      </c>
      <c r="K396" s="64">
        <f>IFERROR(INDEX('1. Matriz de Activos'!$Q$6:$Q$239,MATCH($C396,MgActId,0)),"")</f>
        <v/>
      </c>
      <c r="L396" s="64">
        <f>IFERROR(INDEX('1. Matriz de Activos'!$R$6:$R$239,MATCH($C396,MgActId,0)),"")</f>
        <v/>
      </c>
      <c r="M396" s="64">
        <f>IFERROR(INDEX('1. Matriz de Activos'!$S$6:$S$239,MATCH($C396,MgActId,0)),"")</f>
        <v/>
      </c>
      <c r="N396" s="28">
        <f>IFERROR(INDEX(MgAmenDegD,MATCH(SUBSTITUTE($H396,"*","-"),MgAmenClave,0)),"No aplica")</f>
        <v/>
      </c>
      <c r="O396" s="28">
        <f>IFERROR(INDEX(MgAmenDegI,MATCH(SUBSTITUTE($H396,"*","-"),MgAmenClave,0)),"No aplica")</f>
        <v/>
      </c>
      <c r="P396" s="28">
        <f>IFERROR(INDEX(MgAmenDegC,MATCH(SUBSTITUTE($H396,"*","-"),MgAmenClave,0)),"No aplica")</f>
        <v/>
      </c>
      <c r="Q396" s="29">
        <f>IFERROR(VLOOKUP(K396,MgValor,2,0)*VLOOKUP(N396,MgDeg,2,0),0)</f>
        <v/>
      </c>
      <c r="R396" s="29">
        <f>IFERROR(VLOOKUP(L396,MgValor,2,0)*VLOOKUP(O396,MgDeg,2,0),0)</f>
        <v/>
      </c>
      <c r="S396" s="29">
        <f>IFERROR(VLOOKUP(M396,MgValor,2,0)*VLOOKUP(P396,MgDeg,2,0),0)</f>
        <v/>
      </c>
      <c r="T396" s="30">
        <f>MAX(Q396:S396)</f>
        <v/>
      </c>
      <c r="U396" s="28">
        <f>IFERROR(LOOKUP(T396,{0;0.5;1.5;3;4.5},{"Despreciable";"Bajo";"Medio";"Alto";"Muy alto"}),"")</f>
        <v/>
      </c>
      <c r="V396" s="13">
        <f>IFERROR(INDEX(MgAmenFrec,MATCH(SUBSTITUTE($H396,"*","-"),MgAmenClave,0)),"")</f>
        <v/>
      </c>
      <c r="W396" s="28">
        <f>IFERROR(LOOKUP(X396,{0;0.01;0.1;1;10;100},{"Muy baja";"Muy baja";"Baja";"Media";"Alta";"Muy alta"}),"")</f>
        <v/>
      </c>
      <c r="X396" s="31">
        <f>IFERROR(VLOOKUP(V396,MgFrec,2,0),0)</f>
        <v/>
      </c>
      <c r="Y396" s="30">
        <f>T396*X396</f>
        <v/>
      </c>
      <c r="Z396" s="28">
        <f>IFERROR(LOOKUP(Y396,{0;0.5;5;25},{"Bajo";"Medio";"Alto";"Crítico"}),"")</f>
        <v/>
      </c>
      <c r="AA396" s="64">
        <f>IF(T396&gt;=3,IF(X396&gt;=1,"Zona 1 — Crítica: impacto alto y ocurre al menos una vez al año","Zona 4 — Catastrófica poco probable: impacto alto pero excepcional"),IF(AND(T396&lt;1.5,X396&lt;1),"Zona 3 — Asumible: impacto bajo y muy poco frecuente","Zona 2 — Atención: riesgo intermedio"))</f>
        <v/>
      </c>
      <c r="AB396" s="64">
        <f>IFERROR(INDEX(MgAmenCtrl,MATCH(SUBSTITUTE($H396,"*","-"),MgAmenClave,0)),"")</f>
        <v/>
      </c>
      <c r="AC396" s="20" t="n"/>
      <c r="AD396" s="31">
        <f>IFERROR($X396*(1-IF($AC396="",$AL396,VLOOKUP($AC396,MgMad,2,0))),"")</f>
        <v/>
      </c>
      <c r="AE396" s="28">
        <f>IFERROR(LOOKUP(AD396,{0;0.01;0.1;1;10;100},{"Muy baja";"Muy baja";"Baja";"Media";"Alta";"Muy alta"}),"")</f>
        <v/>
      </c>
      <c r="AF396" s="30">
        <f>T396*AD396</f>
        <v/>
      </c>
      <c r="AG396" s="28">
        <f>IFERROR(LOOKUP(AF396,{0;0.5;5;25},{"Bajo";"Medio";"Alto";"Crítico"}),"")</f>
        <v/>
      </c>
      <c r="AH396" s="28">
        <f>IF(AG396="","",IF(OR(AG396="Crítico",AG396="Alto"),"Mitigar",IF(AG396="Medio","Mitigar","Aceptar y monitorear")))</f>
        <v/>
      </c>
      <c r="AI396" s="21" t="n"/>
      <c r="AJ396" s="21" t="n"/>
      <c r="AK396" s="20" t="n"/>
      <c r="AL396" s="77">
        <f>IFERROR(INDEX(MgAmenEfic,MATCH(SUBSTITUTE($H396,"*","-"),MgAmenClave,0)),0)</f>
        <v/>
      </c>
    </row>
    <row r="397" hidden="1" ht="60" customHeight="1" s="54">
      <c r="B397" s="59" t="inlineStr">
        <is>
          <t>R-0392</t>
        </is>
      </c>
      <c r="C397" s="59" t="inlineStr">
        <is>
          <t>TEC-013</t>
        </is>
      </c>
      <c r="D397" s="64">
        <f>IFERROR(INDEX(MgNombre,MATCH($C397,MgActId,0)),"")</f>
        <v/>
      </c>
      <c r="E397" s="64">
        <f>IFERROR(INDEX(MgProceso,MATCH($C397,MgActId,0)),"")</f>
        <v/>
      </c>
      <c r="F397" s="64">
        <f>IFERROR(INDEX(MgTipo,MATCH($C397,MgActId,0)),"")</f>
        <v/>
      </c>
      <c r="G397" s="64">
        <f>IFERROR(INDEX(MgSubtipo,MATCH($C397,MgActId,0)),"")</f>
        <v/>
      </c>
      <c r="H397" s="59" t="inlineStr">
        <is>
          <t>A.14</t>
        </is>
      </c>
      <c r="I397" s="64">
        <f>IFERROR(INDEX(MgAmenNombre,MATCH(SUBSTITUTE($H397,"*","-"),MgAmenClave,0)),"")</f>
        <v/>
      </c>
      <c r="J397" s="28">
        <f>IFERROR(INDEX(MgAmenGrupo,MATCH(SUBSTITUTE($H397,"*","-"),MgAmenClave,0)),"")</f>
        <v/>
      </c>
      <c r="K397" s="64">
        <f>IFERROR(INDEX('1. Matriz de Activos'!$Q$6:$Q$239,MATCH($C397,MgActId,0)),"")</f>
        <v/>
      </c>
      <c r="L397" s="64">
        <f>IFERROR(INDEX('1. Matriz de Activos'!$R$6:$R$239,MATCH($C397,MgActId,0)),"")</f>
        <v/>
      </c>
      <c r="M397" s="64">
        <f>IFERROR(INDEX('1. Matriz de Activos'!$S$6:$S$239,MATCH($C397,MgActId,0)),"")</f>
        <v/>
      </c>
      <c r="N397" s="28">
        <f>IFERROR(INDEX(MgAmenDegD,MATCH(SUBSTITUTE($H397,"*","-"),MgAmenClave,0)),"No aplica")</f>
        <v/>
      </c>
      <c r="O397" s="28">
        <f>IFERROR(INDEX(MgAmenDegI,MATCH(SUBSTITUTE($H397,"*","-"),MgAmenClave,0)),"No aplica")</f>
        <v/>
      </c>
      <c r="P397" s="28">
        <f>IFERROR(INDEX(MgAmenDegC,MATCH(SUBSTITUTE($H397,"*","-"),MgAmenClave,0)),"No aplica")</f>
        <v/>
      </c>
      <c r="Q397" s="29">
        <f>IFERROR(VLOOKUP(K397,MgValor,2,0)*VLOOKUP(N397,MgDeg,2,0),0)</f>
        <v/>
      </c>
      <c r="R397" s="29">
        <f>IFERROR(VLOOKUP(L397,MgValor,2,0)*VLOOKUP(O397,MgDeg,2,0),0)</f>
        <v/>
      </c>
      <c r="S397" s="29">
        <f>IFERROR(VLOOKUP(M397,MgValor,2,0)*VLOOKUP(P397,MgDeg,2,0),0)</f>
        <v/>
      </c>
      <c r="T397" s="30">
        <f>MAX(Q397:S397)</f>
        <v/>
      </c>
      <c r="U397" s="28">
        <f>IFERROR(LOOKUP(T397,{0;0.5;1.5;3;4.5},{"Despreciable";"Bajo";"Medio";"Alto";"Muy alto"}),"")</f>
        <v/>
      </c>
      <c r="V397" s="13">
        <f>IFERROR(INDEX(MgAmenFrec,MATCH(SUBSTITUTE($H397,"*","-"),MgAmenClave,0)),"")</f>
        <v/>
      </c>
      <c r="W397" s="28">
        <f>IFERROR(LOOKUP(X397,{0;0.01;0.1;1;10;100},{"Muy baja";"Muy baja";"Baja";"Media";"Alta";"Muy alta"}),"")</f>
        <v/>
      </c>
      <c r="X397" s="31">
        <f>IFERROR(VLOOKUP(V397,MgFrec,2,0),0)</f>
        <v/>
      </c>
      <c r="Y397" s="30">
        <f>T397*X397</f>
        <v/>
      </c>
      <c r="Z397" s="28">
        <f>IFERROR(LOOKUP(Y397,{0;0.5;5;25},{"Bajo";"Medio";"Alto";"Crítico"}),"")</f>
        <v/>
      </c>
      <c r="AA397" s="64">
        <f>IF(T397&gt;=3,IF(X397&gt;=1,"Zona 1 — Crítica: impacto alto y ocurre al menos una vez al año","Zona 4 — Catastrófica poco probable: impacto alto pero excepcional"),IF(AND(T397&lt;1.5,X397&lt;1),"Zona 3 — Asumible: impacto bajo y muy poco frecuente","Zona 2 — Atención: riesgo intermedio"))</f>
        <v/>
      </c>
      <c r="AB397" s="64">
        <f>IFERROR(INDEX(MgAmenCtrl,MATCH(SUBSTITUTE($H397,"*","-"),MgAmenClave,0)),"")</f>
        <v/>
      </c>
      <c r="AC397" s="20" t="n"/>
      <c r="AD397" s="31">
        <f>IFERROR($X397*(1-IF($AC397="",$AL397,VLOOKUP($AC397,MgMad,2,0))),"")</f>
        <v/>
      </c>
      <c r="AE397" s="28">
        <f>IFERROR(LOOKUP(AD397,{0;0.01;0.1;1;10;100},{"Muy baja";"Muy baja";"Baja";"Media";"Alta";"Muy alta"}),"")</f>
        <v/>
      </c>
      <c r="AF397" s="30">
        <f>T397*AD397</f>
        <v/>
      </c>
      <c r="AG397" s="28">
        <f>IFERROR(LOOKUP(AF397,{0;0.5;5;25},{"Bajo";"Medio";"Alto";"Crítico"}),"")</f>
        <v/>
      </c>
      <c r="AH397" s="28">
        <f>IF(AG397="","",IF(OR(AG397="Crítico",AG397="Alto"),"Mitigar",IF(AG397="Medio","Mitigar","Aceptar y monitorear")))</f>
        <v/>
      </c>
      <c r="AI397" s="21" t="n"/>
      <c r="AJ397" s="21" t="n"/>
      <c r="AK397" s="20" t="n"/>
      <c r="AL397" s="77">
        <f>IFERROR(INDEX(MgAmenEfic,MATCH(SUBSTITUTE($H397,"*","-"),MgAmenClave,0)),0)</f>
        <v/>
      </c>
    </row>
    <row r="398" hidden="1" ht="60" customHeight="1" s="54">
      <c r="B398" s="59" t="inlineStr">
        <is>
          <t>R-0393</t>
        </is>
      </c>
      <c r="C398" s="59" t="inlineStr">
        <is>
          <t>TEC-013</t>
        </is>
      </c>
      <c r="D398" s="64">
        <f>IFERROR(INDEX(MgNombre,MATCH($C398,MgActId,0)),"")</f>
        <v/>
      </c>
      <c r="E398" s="64">
        <f>IFERROR(INDEX(MgProceso,MATCH($C398,MgActId,0)),"")</f>
        <v/>
      </c>
      <c r="F398" s="64">
        <f>IFERROR(INDEX(MgTipo,MATCH($C398,MgActId,0)),"")</f>
        <v/>
      </c>
      <c r="G398" s="64">
        <f>IFERROR(INDEX(MgSubtipo,MATCH($C398,MgActId,0)),"")</f>
        <v/>
      </c>
      <c r="H398" s="59" t="inlineStr">
        <is>
          <t>A.15</t>
        </is>
      </c>
      <c r="I398" s="64">
        <f>IFERROR(INDEX(MgAmenNombre,MATCH(SUBSTITUTE($H398,"*","-"),MgAmenClave,0)),"")</f>
        <v/>
      </c>
      <c r="J398" s="28">
        <f>IFERROR(INDEX(MgAmenGrupo,MATCH(SUBSTITUTE($H398,"*","-"),MgAmenClave,0)),"")</f>
        <v/>
      </c>
      <c r="K398" s="64">
        <f>IFERROR(INDEX('1. Matriz de Activos'!$Q$6:$Q$239,MATCH($C398,MgActId,0)),"")</f>
        <v/>
      </c>
      <c r="L398" s="64">
        <f>IFERROR(INDEX('1. Matriz de Activos'!$R$6:$R$239,MATCH($C398,MgActId,0)),"")</f>
        <v/>
      </c>
      <c r="M398" s="64">
        <f>IFERROR(INDEX('1. Matriz de Activos'!$S$6:$S$239,MATCH($C398,MgActId,0)),"")</f>
        <v/>
      </c>
      <c r="N398" s="28">
        <f>IFERROR(INDEX(MgAmenDegD,MATCH(SUBSTITUTE($H398,"*","-"),MgAmenClave,0)),"No aplica")</f>
        <v/>
      </c>
      <c r="O398" s="28">
        <f>IFERROR(INDEX(MgAmenDegI,MATCH(SUBSTITUTE($H398,"*","-"),MgAmenClave,0)),"No aplica")</f>
        <v/>
      </c>
      <c r="P398" s="28">
        <f>IFERROR(INDEX(MgAmenDegC,MATCH(SUBSTITUTE($H398,"*","-"),MgAmenClave,0)),"No aplica")</f>
        <v/>
      </c>
      <c r="Q398" s="29">
        <f>IFERROR(VLOOKUP(K398,MgValor,2,0)*VLOOKUP(N398,MgDeg,2,0),0)</f>
        <v/>
      </c>
      <c r="R398" s="29">
        <f>IFERROR(VLOOKUP(L398,MgValor,2,0)*VLOOKUP(O398,MgDeg,2,0),0)</f>
        <v/>
      </c>
      <c r="S398" s="29">
        <f>IFERROR(VLOOKUP(M398,MgValor,2,0)*VLOOKUP(P398,MgDeg,2,0),0)</f>
        <v/>
      </c>
      <c r="T398" s="30">
        <f>MAX(Q398:S398)</f>
        <v/>
      </c>
      <c r="U398" s="28">
        <f>IFERROR(LOOKUP(T398,{0;0.5;1.5;3;4.5},{"Despreciable";"Bajo";"Medio";"Alto";"Muy alto"}),"")</f>
        <v/>
      </c>
      <c r="V398" s="13">
        <f>IFERROR(INDEX(MgAmenFrec,MATCH(SUBSTITUTE($H398,"*","-"),MgAmenClave,0)),"")</f>
        <v/>
      </c>
      <c r="W398" s="28">
        <f>IFERROR(LOOKUP(X398,{0;0.01;0.1;1;10;100},{"Muy baja";"Muy baja";"Baja";"Media";"Alta";"Muy alta"}),"")</f>
        <v/>
      </c>
      <c r="X398" s="31">
        <f>IFERROR(VLOOKUP(V398,MgFrec,2,0),0)</f>
        <v/>
      </c>
      <c r="Y398" s="30">
        <f>T398*X398</f>
        <v/>
      </c>
      <c r="Z398" s="28">
        <f>IFERROR(LOOKUP(Y398,{0;0.5;5;25},{"Bajo";"Medio";"Alto";"Crítico"}),"")</f>
        <v/>
      </c>
      <c r="AA398" s="64">
        <f>IF(T398&gt;=3,IF(X398&gt;=1,"Zona 1 — Crítica: impacto alto y ocurre al menos una vez al año","Zona 4 — Catastrófica poco probable: impacto alto pero excepcional"),IF(AND(T398&lt;1.5,X398&lt;1),"Zona 3 — Asumible: impacto bajo y muy poco frecuente","Zona 2 — Atención: riesgo intermedio"))</f>
        <v/>
      </c>
      <c r="AB398" s="64">
        <f>IFERROR(INDEX(MgAmenCtrl,MATCH(SUBSTITUTE($H398,"*","-"),MgAmenClave,0)),"")</f>
        <v/>
      </c>
      <c r="AC398" s="20" t="n"/>
      <c r="AD398" s="31">
        <f>IFERROR($X398*(1-IF($AC398="",$AL398,VLOOKUP($AC398,MgMad,2,0))),"")</f>
        <v/>
      </c>
      <c r="AE398" s="28">
        <f>IFERROR(LOOKUP(AD398,{0;0.01;0.1;1;10;100},{"Muy baja";"Muy baja";"Baja";"Media";"Alta";"Muy alta"}),"")</f>
        <v/>
      </c>
      <c r="AF398" s="30">
        <f>T398*AD398</f>
        <v/>
      </c>
      <c r="AG398" s="28">
        <f>IFERROR(LOOKUP(AF398,{0;0.5;5;25},{"Bajo";"Medio";"Alto";"Crítico"}),"")</f>
        <v/>
      </c>
      <c r="AH398" s="28">
        <f>IF(AG398="","",IF(OR(AG398="Crítico",AG398="Alto"),"Mitigar",IF(AG398="Medio","Mitigar","Aceptar y monitorear")))</f>
        <v/>
      </c>
      <c r="AI398" s="21" t="n"/>
      <c r="AJ398" s="21" t="n"/>
      <c r="AK398" s="20" t="n"/>
      <c r="AL398" s="77">
        <f>IFERROR(INDEX(MgAmenEfic,MATCH(SUBSTITUTE($H398,"*","-"),MgAmenClave,0)),0)</f>
        <v/>
      </c>
    </row>
    <row r="399" hidden="1" ht="60" customHeight="1" s="54">
      <c r="B399" s="59" t="inlineStr">
        <is>
          <t>R-0394</t>
        </is>
      </c>
      <c r="C399" s="59" t="inlineStr">
        <is>
          <t>TEC-013</t>
        </is>
      </c>
      <c r="D399" s="64">
        <f>IFERROR(INDEX(MgNombre,MATCH($C399,MgActId,0)),"")</f>
        <v/>
      </c>
      <c r="E399" s="64">
        <f>IFERROR(INDEX(MgProceso,MATCH($C399,MgActId,0)),"")</f>
        <v/>
      </c>
      <c r="F399" s="64">
        <f>IFERROR(INDEX(MgTipo,MATCH($C399,MgActId,0)),"")</f>
        <v/>
      </c>
      <c r="G399" s="64">
        <f>IFERROR(INDEX(MgSubtipo,MATCH($C399,MgActId,0)),"")</f>
        <v/>
      </c>
      <c r="H399" s="59" t="inlineStr">
        <is>
          <t>A.18</t>
        </is>
      </c>
      <c r="I399" s="64">
        <f>IFERROR(INDEX(MgAmenNombre,MATCH(SUBSTITUTE($H399,"*","-"),MgAmenClave,0)),"")</f>
        <v/>
      </c>
      <c r="J399" s="28">
        <f>IFERROR(INDEX(MgAmenGrupo,MATCH(SUBSTITUTE($H399,"*","-"),MgAmenClave,0)),"")</f>
        <v/>
      </c>
      <c r="K399" s="64">
        <f>IFERROR(INDEX('1. Matriz de Activos'!$Q$6:$Q$239,MATCH($C399,MgActId,0)),"")</f>
        <v/>
      </c>
      <c r="L399" s="64">
        <f>IFERROR(INDEX('1. Matriz de Activos'!$R$6:$R$239,MATCH($C399,MgActId,0)),"")</f>
        <v/>
      </c>
      <c r="M399" s="64">
        <f>IFERROR(INDEX('1. Matriz de Activos'!$S$6:$S$239,MATCH($C399,MgActId,0)),"")</f>
        <v/>
      </c>
      <c r="N399" s="28">
        <f>IFERROR(INDEX(MgAmenDegD,MATCH(SUBSTITUTE($H399,"*","-"),MgAmenClave,0)),"No aplica")</f>
        <v/>
      </c>
      <c r="O399" s="28">
        <f>IFERROR(INDEX(MgAmenDegI,MATCH(SUBSTITUTE($H399,"*","-"),MgAmenClave,0)),"No aplica")</f>
        <v/>
      </c>
      <c r="P399" s="28">
        <f>IFERROR(INDEX(MgAmenDegC,MATCH(SUBSTITUTE($H399,"*","-"),MgAmenClave,0)),"No aplica")</f>
        <v/>
      </c>
      <c r="Q399" s="29">
        <f>IFERROR(VLOOKUP(K399,MgValor,2,0)*VLOOKUP(N399,MgDeg,2,0),0)</f>
        <v/>
      </c>
      <c r="R399" s="29">
        <f>IFERROR(VLOOKUP(L399,MgValor,2,0)*VLOOKUP(O399,MgDeg,2,0),0)</f>
        <v/>
      </c>
      <c r="S399" s="29">
        <f>IFERROR(VLOOKUP(M399,MgValor,2,0)*VLOOKUP(P399,MgDeg,2,0),0)</f>
        <v/>
      </c>
      <c r="T399" s="30">
        <f>MAX(Q399:S399)</f>
        <v/>
      </c>
      <c r="U399" s="28">
        <f>IFERROR(LOOKUP(T399,{0;0.5;1.5;3;4.5},{"Despreciable";"Bajo";"Medio";"Alto";"Muy alto"}),"")</f>
        <v/>
      </c>
      <c r="V399" s="13">
        <f>IFERROR(INDEX(MgAmenFrec,MATCH(SUBSTITUTE($H399,"*","-"),MgAmenClave,0)),"")</f>
        <v/>
      </c>
      <c r="W399" s="28">
        <f>IFERROR(LOOKUP(X399,{0;0.01;0.1;1;10;100},{"Muy baja";"Muy baja";"Baja";"Media";"Alta";"Muy alta"}),"")</f>
        <v/>
      </c>
      <c r="X399" s="31">
        <f>IFERROR(VLOOKUP(V399,MgFrec,2,0),0)</f>
        <v/>
      </c>
      <c r="Y399" s="30">
        <f>T399*X399</f>
        <v/>
      </c>
      <c r="Z399" s="28">
        <f>IFERROR(LOOKUP(Y399,{0;0.5;5;25},{"Bajo";"Medio";"Alto";"Crítico"}),"")</f>
        <v/>
      </c>
      <c r="AA399" s="64">
        <f>IF(T399&gt;=3,IF(X399&gt;=1,"Zona 1 — Crítica: impacto alto y ocurre al menos una vez al año","Zona 4 — Catastrófica poco probable: impacto alto pero excepcional"),IF(AND(T399&lt;1.5,X399&lt;1),"Zona 3 — Asumible: impacto bajo y muy poco frecuente","Zona 2 — Atención: riesgo intermedio"))</f>
        <v/>
      </c>
      <c r="AB399" s="64">
        <f>IFERROR(INDEX(MgAmenCtrl,MATCH(SUBSTITUTE($H399,"*","-"),MgAmenClave,0)),"")</f>
        <v/>
      </c>
      <c r="AC399" s="20" t="n"/>
      <c r="AD399" s="31">
        <f>IFERROR($X399*(1-IF($AC399="",$AL399,VLOOKUP($AC399,MgMad,2,0))),"")</f>
        <v/>
      </c>
      <c r="AE399" s="28">
        <f>IFERROR(LOOKUP(AD399,{0;0.01;0.1;1;10;100},{"Muy baja";"Muy baja";"Baja";"Media";"Alta";"Muy alta"}),"")</f>
        <v/>
      </c>
      <c r="AF399" s="30">
        <f>T399*AD399</f>
        <v/>
      </c>
      <c r="AG399" s="28">
        <f>IFERROR(LOOKUP(AF399,{0;0.5;5;25},{"Bajo";"Medio";"Alto";"Crítico"}),"")</f>
        <v/>
      </c>
      <c r="AH399" s="28">
        <f>IF(AG399="","",IF(OR(AG399="Crítico",AG399="Alto"),"Mitigar",IF(AG399="Medio","Mitigar","Aceptar y monitorear")))</f>
        <v/>
      </c>
      <c r="AI399" s="21" t="n"/>
      <c r="AJ399" s="21" t="n"/>
      <c r="AK399" s="20" t="n"/>
      <c r="AL399" s="77">
        <f>IFERROR(INDEX(MgAmenEfic,MATCH(SUBSTITUTE($H399,"*","-"),MgAmenClave,0)),0)</f>
        <v/>
      </c>
    </row>
    <row r="400" hidden="1" ht="120" customHeight="1" s="54">
      <c r="B400" s="59" t="inlineStr">
        <is>
          <t>R-0395</t>
        </is>
      </c>
      <c r="C400" s="59" t="inlineStr">
        <is>
          <t>TEC-013</t>
        </is>
      </c>
      <c r="D400" s="64">
        <f>IFERROR(INDEX(MgNombre,MATCH($C400,MgActId,0)),"")</f>
        <v/>
      </c>
      <c r="E400" s="64">
        <f>IFERROR(INDEX(MgProceso,MATCH($C400,MgActId,0)),"")</f>
        <v/>
      </c>
      <c r="F400" s="64">
        <f>IFERROR(INDEX(MgTipo,MATCH($C400,MgActId,0)),"")</f>
        <v/>
      </c>
      <c r="G400" s="64">
        <f>IFERROR(INDEX(MgSubtipo,MATCH($C400,MgActId,0)),"")</f>
        <v/>
      </c>
      <c r="H400" s="59" t="inlineStr">
        <is>
          <t>A.19</t>
        </is>
      </c>
      <c r="I400" s="64">
        <f>IFERROR(INDEX(MgAmenNombre,MATCH(SUBSTITUTE($H400,"*","-"),MgAmenClave,0)),"")</f>
        <v/>
      </c>
      <c r="J400" s="28">
        <f>IFERROR(INDEX(MgAmenGrupo,MATCH(SUBSTITUTE($H400,"*","-"),MgAmenClave,0)),"")</f>
        <v/>
      </c>
      <c r="K400" s="64">
        <f>IFERROR(INDEX('1. Matriz de Activos'!$Q$6:$Q$239,MATCH($C400,MgActId,0)),"")</f>
        <v/>
      </c>
      <c r="L400" s="64">
        <f>IFERROR(INDEX('1. Matriz de Activos'!$R$6:$R$239,MATCH($C400,MgActId,0)),"")</f>
        <v/>
      </c>
      <c r="M400" s="64">
        <f>IFERROR(INDEX('1. Matriz de Activos'!$S$6:$S$239,MATCH($C400,MgActId,0)),"")</f>
        <v/>
      </c>
      <c r="N400" s="28">
        <f>IFERROR(INDEX(MgAmenDegD,MATCH(SUBSTITUTE($H400,"*","-"),MgAmenClave,0)),"No aplica")</f>
        <v/>
      </c>
      <c r="O400" s="28">
        <f>IFERROR(INDEX(MgAmenDegI,MATCH(SUBSTITUTE($H400,"*","-"),MgAmenClave,0)),"No aplica")</f>
        <v/>
      </c>
      <c r="P400" s="28">
        <f>IFERROR(INDEX(MgAmenDegC,MATCH(SUBSTITUTE($H400,"*","-"),MgAmenClave,0)),"No aplica")</f>
        <v/>
      </c>
      <c r="Q400" s="29">
        <f>IFERROR(VLOOKUP(K400,MgValor,2,0)*VLOOKUP(N400,MgDeg,2,0),0)</f>
        <v/>
      </c>
      <c r="R400" s="29">
        <f>IFERROR(VLOOKUP(L400,MgValor,2,0)*VLOOKUP(O400,MgDeg,2,0),0)</f>
        <v/>
      </c>
      <c r="S400" s="29">
        <f>IFERROR(VLOOKUP(M400,MgValor,2,0)*VLOOKUP(P400,MgDeg,2,0),0)</f>
        <v/>
      </c>
      <c r="T400" s="30">
        <f>MAX(Q400:S400)</f>
        <v/>
      </c>
      <c r="U400" s="28">
        <f>IFERROR(LOOKUP(T400,{0;0.5;1.5;3;4.5},{"Despreciable";"Bajo";"Medio";"Alto";"Muy alto"}),"")</f>
        <v/>
      </c>
      <c r="V400" s="13">
        <f>IFERROR(INDEX(MgAmenFrec,MATCH(SUBSTITUTE($H400,"*","-"),MgAmenClave,0)),"")</f>
        <v/>
      </c>
      <c r="W400" s="28">
        <f>IFERROR(LOOKUP(X400,{0;0.01;0.1;1;10;100},{"Muy baja";"Muy baja";"Baja";"Media";"Alta";"Muy alta"}),"")</f>
        <v/>
      </c>
      <c r="X400" s="31">
        <f>IFERROR(VLOOKUP(V400,MgFrec,2,0),0)</f>
        <v/>
      </c>
      <c r="Y400" s="30">
        <f>T400*X400</f>
        <v/>
      </c>
      <c r="Z400" s="28">
        <f>IFERROR(LOOKUP(Y400,{0;0.5;5;25},{"Bajo";"Medio";"Alto";"Crítico"}),"")</f>
        <v/>
      </c>
      <c r="AA400" s="64">
        <f>IF(T400&gt;=3,IF(X400&gt;=1,"Zona 1 — Crítica: impacto alto y ocurre al menos una vez al año","Zona 4 — Catastrófica poco probable: impacto alto pero excepcional"),IF(AND(T400&lt;1.5,X400&lt;1),"Zona 3 — Asumible: impacto bajo y muy poco frecuente","Zona 2 — Atención: riesgo intermedio"))</f>
        <v/>
      </c>
      <c r="AB400" s="64">
        <f>IFERROR(INDEX(MgAmenCtrl,MATCH(SUBSTITUTE($H400,"*","-"),MgAmenClave,0)),"")</f>
        <v/>
      </c>
      <c r="AC400" s="20" t="n"/>
      <c r="AD400" s="31">
        <f>IFERROR($X400*(1-IF($AC400="",$AL400,VLOOKUP($AC400,MgMad,2,0))),"")</f>
        <v/>
      </c>
      <c r="AE400" s="28">
        <f>IFERROR(LOOKUP(AD400,{0;0.01;0.1;1;10;100},{"Muy baja";"Muy baja";"Baja";"Media";"Alta";"Muy alta"}),"")</f>
        <v/>
      </c>
      <c r="AF400" s="30">
        <f>T400*AD400</f>
        <v/>
      </c>
      <c r="AG400" s="28">
        <f>IFERROR(LOOKUP(AF400,{0;0.5;5;25},{"Bajo";"Medio";"Alto";"Crítico"}),"")</f>
        <v/>
      </c>
      <c r="AH400" s="28">
        <f>IF(AG400="","",IF(OR(AG400="Crítico",AG400="Alto"),"Mitigar",IF(AG400="Medio","Mitigar","Aceptar y monitorear")))</f>
        <v/>
      </c>
      <c r="AI400" s="21" t="n"/>
      <c r="AJ400" s="21" t="n"/>
      <c r="AK400" s="20" t="n"/>
      <c r="AL400" s="77">
        <f>IFERROR(INDEX(MgAmenEfic,MATCH(SUBSTITUTE($H400,"*","-"),MgAmenClave,0)),0)</f>
        <v/>
      </c>
    </row>
    <row r="401" hidden="1" ht="60" customHeight="1" s="54">
      <c r="B401" s="59" t="inlineStr">
        <is>
          <t>R-0396</t>
        </is>
      </c>
      <c r="C401" s="59" t="inlineStr">
        <is>
          <t>TEC-013</t>
        </is>
      </c>
      <c r="D401" s="64">
        <f>IFERROR(INDEX(MgNombre,MATCH($C401,MgActId,0)),"")</f>
        <v/>
      </c>
      <c r="E401" s="64">
        <f>IFERROR(INDEX(MgProceso,MATCH($C401,MgActId,0)),"")</f>
        <v/>
      </c>
      <c r="F401" s="64">
        <f>IFERROR(INDEX(MgTipo,MATCH($C401,MgActId,0)),"")</f>
        <v/>
      </c>
      <c r="G401" s="64">
        <f>IFERROR(INDEX(MgSubtipo,MATCH($C401,MgActId,0)),"")</f>
        <v/>
      </c>
      <c r="H401" s="59" t="inlineStr">
        <is>
          <t>A.24</t>
        </is>
      </c>
      <c r="I401" s="64">
        <f>IFERROR(INDEX(MgAmenNombre,MATCH(SUBSTITUTE($H401,"*","-"),MgAmenClave,0)),"")</f>
        <v/>
      </c>
      <c r="J401" s="28">
        <f>IFERROR(INDEX(MgAmenGrupo,MATCH(SUBSTITUTE($H401,"*","-"),MgAmenClave,0)),"")</f>
        <v/>
      </c>
      <c r="K401" s="64">
        <f>IFERROR(INDEX('1. Matriz de Activos'!$Q$6:$Q$239,MATCH($C401,MgActId,0)),"")</f>
        <v/>
      </c>
      <c r="L401" s="64">
        <f>IFERROR(INDEX('1. Matriz de Activos'!$R$6:$R$239,MATCH($C401,MgActId,0)),"")</f>
        <v/>
      </c>
      <c r="M401" s="64">
        <f>IFERROR(INDEX('1. Matriz de Activos'!$S$6:$S$239,MATCH($C401,MgActId,0)),"")</f>
        <v/>
      </c>
      <c r="N401" s="28">
        <f>IFERROR(INDEX(MgAmenDegD,MATCH(SUBSTITUTE($H401,"*","-"),MgAmenClave,0)),"No aplica")</f>
        <v/>
      </c>
      <c r="O401" s="28">
        <f>IFERROR(INDEX(MgAmenDegI,MATCH(SUBSTITUTE($H401,"*","-"),MgAmenClave,0)),"No aplica")</f>
        <v/>
      </c>
      <c r="P401" s="28">
        <f>IFERROR(INDEX(MgAmenDegC,MATCH(SUBSTITUTE($H401,"*","-"),MgAmenClave,0)),"No aplica")</f>
        <v/>
      </c>
      <c r="Q401" s="29">
        <f>IFERROR(VLOOKUP(K401,MgValor,2,0)*VLOOKUP(N401,MgDeg,2,0),0)</f>
        <v/>
      </c>
      <c r="R401" s="29">
        <f>IFERROR(VLOOKUP(L401,MgValor,2,0)*VLOOKUP(O401,MgDeg,2,0),0)</f>
        <v/>
      </c>
      <c r="S401" s="29">
        <f>IFERROR(VLOOKUP(M401,MgValor,2,0)*VLOOKUP(P401,MgDeg,2,0),0)</f>
        <v/>
      </c>
      <c r="T401" s="30">
        <f>MAX(Q401:S401)</f>
        <v/>
      </c>
      <c r="U401" s="28">
        <f>IFERROR(LOOKUP(T401,{0;0.5;1.5;3;4.5},{"Despreciable";"Bajo";"Medio";"Alto";"Muy alto"}),"")</f>
        <v/>
      </c>
      <c r="V401" s="13">
        <f>IFERROR(INDEX(MgAmenFrec,MATCH(SUBSTITUTE($H401,"*","-"),MgAmenClave,0)),"")</f>
        <v/>
      </c>
      <c r="W401" s="28">
        <f>IFERROR(LOOKUP(X401,{0;0.01;0.1;1;10;100},{"Muy baja";"Muy baja";"Baja";"Media";"Alta";"Muy alta"}),"")</f>
        <v/>
      </c>
      <c r="X401" s="31">
        <f>IFERROR(VLOOKUP(V401,MgFrec,2,0),0)</f>
        <v/>
      </c>
      <c r="Y401" s="30">
        <f>T401*X401</f>
        <v/>
      </c>
      <c r="Z401" s="28">
        <f>IFERROR(LOOKUP(Y401,{0;0.5;5;25},{"Bajo";"Medio";"Alto";"Crítico"}),"")</f>
        <v/>
      </c>
      <c r="AA401" s="64">
        <f>IF(T401&gt;=3,IF(X401&gt;=1,"Zona 1 — Crítica: impacto alto y ocurre al menos una vez al año","Zona 4 — Catastrófica poco probable: impacto alto pero excepcional"),IF(AND(T401&lt;1.5,X401&lt;1),"Zona 3 — Asumible: impacto bajo y muy poco frecuente","Zona 2 — Atención: riesgo intermedio"))</f>
        <v/>
      </c>
      <c r="AB401" s="64">
        <f>IFERROR(INDEX(MgAmenCtrl,MATCH(SUBSTITUTE($H401,"*","-"),MgAmenClave,0)),"")</f>
        <v/>
      </c>
      <c r="AC401" s="20" t="n"/>
      <c r="AD401" s="31">
        <f>IFERROR($X401*(1-IF($AC401="",$AL401,VLOOKUP($AC401,MgMad,2,0))),"")</f>
        <v/>
      </c>
      <c r="AE401" s="28">
        <f>IFERROR(LOOKUP(AD401,{0;0.01;0.1;1;10;100},{"Muy baja";"Muy baja";"Baja";"Media";"Alta";"Muy alta"}),"")</f>
        <v/>
      </c>
      <c r="AF401" s="30">
        <f>T401*AD401</f>
        <v/>
      </c>
      <c r="AG401" s="28">
        <f>IFERROR(LOOKUP(AF401,{0;0.5;5;25},{"Bajo";"Medio";"Alto";"Crítico"}),"")</f>
        <v/>
      </c>
      <c r="AH401" s="28">
        <f>IF(AG401="","",IF(OR(AG401="Crítico",AG401="Alto"),"Mitigar",IF(AG401="Medio","Mitigar","Aceptar y monitorear")))</f>
        <v/>
      </c>
      <c r="AI401" s="21" t="n"/>
      <c r="AJ401" s="21" t="n"/>
      <c r="AK401" s="20" t="n"/>
      <c r="AL401" s="77">
        <f>IFERROR(INDEX(MgAmenEfic,MATCH(SUBSTITUTE($H401,"*","-"),MgAmenClave,0)),0)</f>
        <v/>
      </c>
    </row>
    <row r="402" hidden="1" ht="105" customHeight="1" s="54">
      <c r="B402" s="59" t="inlineStr">
        <is>
          <t>R-0397</t>
        </is>
      </c>
      <c r="C402" s="59" t="inlineStr">
        <is>
          <t>TEC-008</t>
        </is>
      </c>
      <c r="D402" s="64">
        <f>IFERROR(INDEX(MgNombre,MATCH($C402,MgActId,0)),"")</f>
        <v/>
      </c>
      <c r="E402" s="64">
        <f>IFERROR(INDEX(MgProceso,MATCH($C402,MgActId,0)),"")</f>
        <v/>
      </c>
      <c r="F402" s="64">
        <f>IFERROR(INDEX(MgTipo,MATCH($C402,MgActId,0)),"")</f>
        <v/>
      </c>
      <c r="G402" s="64">
        <f>IFERROR(INDEX(MgSubtipo,MATCH($C402,MgActId,0)),"")</f>
        <v/>
      </c>
      <c r="H402" s="59" t="inlineStr">
        <is>
          <t>E.1</t>
        </is>
      </c>
      <c r="I402" s="64">
        <f>IFERROR(INDEX(MgAmenNombre,MATCH(SUBSTITUTE($H402,"*","-"),MgAmenClave,0)),"")</f>
        <v/>
      </c>
      <c r="J402" s="28">
        <f>IFERROR(INDEX(MgAmenGrupo,MATCH(SUBSTITUTE($H402,"*","-"),MgAmenClave,0)),"")</f>
        <v/>
      </c>
      <c r="K402" s="64">
        <f>IFERROR(INDEX('1. Matriz de Activos'!$Q$6:$Q$239,MATCH($C402,MgActId,0)),"")</f>
        <v/>
      </c>
      <c r="L402" s="64">
        <f>IFERROR(INDEX('1. Matriz de Activos'!$R$6:$R$239,MATCH($C402,MgActId,0)),"")</f>
        <v/>
      </c>
      <c r="M402" s="64">
        <f>IFERROR(INDEX('1. Matriz de Activos'!$S$6:$S$239,MATCH($C402,MgActId,0)),"")</f>
        <v/>
      </c>
      <c r="N402" s="28">
        <f>IFERROR(INDEX(MgAmenDegD,MATCH(SUBSTITUTE($H402,"*","-"),MgAmenClave,0)),"No aplica")</f>
        <v/>
      </c>
      <c r="O402" s="28">
        <f>IFERROR(INDEX(MgAmenDegI,MATCH(SUBSTITUTE($H402,"*","-"),MgAmenClave,0)),"No aplica")</f>
        <v/>
      </c>
      <c r="P402" s="28">
        <f>IFERROR(INDEX(MgAmenDegC,MATCH(SUBSTITUTE($H402,"*","-"),MgAmenClave,0)),"No aplica")</f>
        <v/>
      </c>
      <c r="Q402" s="29">
        <f>IFERROR(VLOOKUP(K402,MgValor,2,0)*VLOOKUP(N402,MgDeg,2,0),0)</f>
        <v/>
      </c>
      <c r="R402" s="29">
        <f>IFERROR(VLOOKUP(L402,MgValor,2,0)*VLOOKUP(O402,MgDeg,2,0),0)</f>
        <v/>
      </c>
      <c r="S402" s="29">
        <f>IFERROR(VLOOKUP(M402,MgValor,2,0)*VLOOKUP(P402,MgDeg,2,0),0)</f>
        <v/>
      </c>
      <c r="T402" s="30">
        <f>MAX(Q402:S402)</f>
        <v/>
      </c>
      <c r="U402" s="28">
        <f>IFERROR(LOOKUP(T402,{0;0.5;1.5;3;4.5},{"Despreciable";"Bajo";"Medio";"Alto";"Muy alto"}),"")</f>
        <v/>
      </c>
      <c r="V402" s="13">
        <f>IFERROR(INDEX(MgAmenFrec,MATCH(SUBSTITUTE($H402,"*","-"),MgAmenClave,0)),"")</f>
        <v/>
      </c>
      <c r="W402" s="28">
        <f>IFERROR(LOOKUP(X402,{0;0.01;0.1;1;10;100},{"Muy baja";"Muy baja";"Baja";"Media";"Alta";"Muy alta"}),"")</f>
        <v/>
      </c>
      <c r="X402" s="31">
        <f>IFERROR(VLOOKUP(V402,MgFrec,2,0),0)</f>
        <v/>
      </c>
      <c r="Y402" s="30">
        <f>T402*X402</f>
        <v/>
      </c>
      <c r="Z402" s="28">
        <f>IFERROR(LOOKUP(Y402,{0;0.5;5;25},{"Bajo";"Medio";"Alto";"Crítico"}),"")</f>
        <v/>
      </c>
      <c r="AA402" s="64">
        <f>IF(T402&gt;=3,IF(X402&gt;=1,"Zona 1 — Crítica: impacto alto y ocurre al menos una vez al año","Zona 4 — Catastrófica poco probable: impacto alto pero excepcional"),IF(AND(T402&lt;1.5,X402&lt;1),"Zona 3 — Asumible: impacto bajo y muy poco frecuente","Zona 2 — Atención: riesgo intermedio"))</f>
        <v/>
      </c>
      <c r="AB402" s="64">
        <f>IFERROR(INDEX(MgAmenCtrl,MATCH(SUBSTITUTE($H402,"*","-"),MgAmenClave,0)),"")</f>
        <v/>
      </c>
      <c r="AC402" s="20" t="n"/>
      <c r="AD402" s="31">
        <f>IFERROR($X402*(1-IF($AC402="",$AL402,VLOOKUP($AC402,MgMad,2,0))),"")</f>
        <v/>
      </c>
      <c r="AE402" s="28">
        <f>IFERROR(LOOKUP(AD402,{0;0.01;0.1;1;10;100},{"Muy baja";"Muy baja";"Baja";"Media";"Alta";"Muy alta"}),"")</f>
        <v/>
      </c>
      <c r="AF402" s="30">
        <f>T402*AD402</f>
        <v/>
      </c>
      <c r="AG402" s="28">
        <f>IFERROR(LOOKUP(AF402,{0;0.5;5;25},{"Bajo";"Medio";"Alto";"Crítico"}),"")</f>
        <v/>
      </c>
      <c r="AH402" s="28">
        <f>IF(AG402="","",IF(OR(AG402="Crítico",AG402="Alto"),"Mitigar",IF(AG402="Medio","Mitigar","Aceptar y monitorear")))</f>
        <v/>
      </c>
      <c r="AI402" s="21" t="n"/>
      <c r="AJ402" s="21" t="n"/>
      <c r="AK402" s="20" t="n"/>
      <c r="AL402" s="77">
        <f>IFERROR(INDEX(MgAmenEfic,MATCH(SUBSTITUTE($H402,"*","-"),MgAmenClave,0)),0)</f>
        <v/>
      </c>
    </row>
    <row r="403" hidden="1" ht="120" customHeight="1" s="54">
      <c r="B403" s="59" t="inlineStr">
        <is>
          <t>R-0398</t>
        </is>
      </c>
      <c r="C403" s="59" t="inlineStr">
        <is>
          <t>TEC-008</t>
        </is>
      </c>
      <c r="D403" s="64">
        <f>IFERROR(INDEX(MgNombre,MATCH($C403,MgActId,0)),"")</f>
        <v/>
      </c>
      <c r="E403" s="64">
        <f>IFERROR(INDEX(MgProceso,MATCH($C403,MgActId,0)),"")</f>
        <v/>
      </c>
      <c r="F403" s="64">
        <f>IFERROR(INDEX(MgTipo,MATCH($C403,MgActId,0)),"")</f>
        <v/>
      </c>
      <c r="G403" s="64">
        <f>IFERROR(INDEX(MgSubtipo,MATCH($C403,MgActId,0)),"")</f>
        <v/>
      </c>
      <c r="H403" s="59" t="inlineStr">
        <is>
          <t>E.2</t>
        </is>
      </c>
      <c r="I403" s="64">
        <f>IFERROR(INDEX(MgAmenNombre,MATCH(SUBSTITUTE($H403,"*","-"),MgAmenClave,0)),"")</f>
        <v/>
      </c>
      <c r="J403" s="28">
        <f>IFERROR(INDEX(MgAmenGrupo,MATCH(SUBSTITUTE($H403,"*","-"),MgAmenClave,0)),"")</f>
        <v/>
      </c>
      <c r="K403" s="64">
        <f>IFERROR(INDEX('1. Matriz de Activos'!$Q$6:$Q$239,MATCH($C403,MgActId,0)),"")</f>
        <v/>
      </c>
      <c r="L403" s="64">
        <f>IFERROR(INDEX('1. Matriz de Activos'!$R$6:$R$239,MATCH($C403,MgActId,0)),"")</f>
        <v/>
      </c>
      <c r="M403" s="64">
        <f>IFERROR(INDEX('1. Matriz de Activos'!$S$6:$S$239,MATCH($C403,MgActId,0)),"")</f>
        <v/>
      </c>
      <c r="N403" s="28">
        <f>IFERROR(INDEX(MgAmenDegD,MATCH(SUBSTITUTE($H403,"*","-"),MgAmenClave,0)),"No aplica")</f>
        <v/>
      </c>
      <c r="O403" s="28">
        <f>IFERROR(INDEX(MgAmenDegI,MATCH(SUBSTITUTE($H403,"*","-"),MgAmenClave,0)),"No aplica")</f>
        <v/>
      </c>
      <c r="P403" s="28">
        <f>IFERROR(INDEX(MgAmenDegC,MATCH(SUBSTITUTE($H403,"*","-"),MgAmenClave,0)),"No aplica")</f>
        <v/>
      </c>
      <c r="Q403" s="29">
        <f>IFERROR(VLOOKUP(K403,MgValor,2,0)*VLOOKUP(N403,MgDeg,2,0),0)</f>
        <v/>
      </c>
      <c r="R403" s="29">
        <f>IFERROR(VLOOKUP(L403,MgValor,2,0)*VLOOKUP(O403,MgDeg,2,0),0)</f>
        <v/>
      </c>
      <c r="S403" s="29">
        <f>IFERROR(VLOOKUP(M403,MgValor,2,0)*VLOOKUP(P403,MgDeg,2,0),0)</f>
        <v/>
      </c>
      <c r="T403" s="30">
        <f>MAX(Q403:S403)</f>
        <v/>
      </c>
      <c r="U403" s="28">
        <f>IFERROR(LOOKUP(T403,{0;0.5;1.5;3;4.5},{"Despreciable";"Bajo";"Medio";"Alto";"Muy alto"}),"")</f>
        <v/>
      </c>
      <c r="V403" s="13">
        <f>IFERROR(INDEX(MgAmenFrec,MATCH(SUBSTITUTE($H403,"*","-"),MgAmenClave,0)),"")</f>
        <v/>
      </c>
      <c r="W403" s="28">
        <f>IFERROR(LOOKUP(X403,{0;0.01;0.1;1;10;100},{"Muy baja";"Muy baja";"Baja";"Media";"Alta";"Muy alta"}),"")</f>
        <v/>
      </c>
      <c r="X403" s="31">
        <f>IFERROR(VLOOKUP(V403,MgFrec,2,0),0)</f>
        <v/>
      </c>
      <c r="Y403" s="30">
        <f>T403*X403</f>
        <v/>
      </c>
      <c r="Z403" s="28">
        <f>IFERROR(LOOKUP(Y403,{0;0.5;5;25},{"Bajo";"Medio";"Alto";"Crítico"}),"")</f>
        <v/>
      </c>
      <c r="AA403" s="64">
        <f>IF(T403&gt;=3,IF(X403&gt;=1,"Zona 1 — Crítica: impacto alto y ocurre al menos una vez al año","Zona 4 — Catastrófica poco probable: impacto alto pero excepcional"),IF(AND(T403&lt;1.5,X403&lt;1),"Zona 3 — Asumible: impacto bajo y muy poco frecuente","Zona 2 — Atención: riesgo intermedio"))</f>
        <v/>
      </c>
      <c r="AB403" s="64">
        <f>IFERROR(INDEX(MgAmenCtrl,MATCH(SUBSTITUTE($H403,"*","-"),MgAmenClave,0)),"")</f>
        <v/>
      </c>
      <c r="AC403" s="20" t="n"/>
      <c r="AD403" s="31">
        <f>IFERROR($X403*(1-IF($AC403="",$AL403,VLOOKUP($AC403,MgMad,2,0))),"")</f>
        <v/>
      </c>
      <c r="AE403" s="28">
        <f>IFERROR(LOOKUP(AD403,{0;0.01;0.1;1;10;100},{"Muy baja";"Muy baja";"Baja";"Media";"Alta";"Muy alta"}),"")</f>
        <v/>
      </c>
      <c r="AF403" s="30">
        <f>T403*AD403</f>
        <v/>
      </c>
      <c r="AG403" s="28">
        <f>IFERROR(LOOKUP(AF403,{0;0.5;5;25},{"Bajo";"Medio";"Alto";"Crítico"}),"")</f>
        <v/>
      </c>
      <c r="AH403" s="28">
        <f>IF(AG403="","",IF(OR(AG403="Crítico",AG403="Alto"),"Mitigar",IF(AG403="Medio","Mitigar","Aceptar y monitorear")))</f>
        <v/>
      </c>
      <c r="AI403" s="21" t="n"/>
      <c r="AJ403" s="21" t="n"/>
      <c r="AK403" s="20" t="n"/>
      <c r="AL403" s="77">
        <f>IFERROR(INDEX(MgAmenEfic,MATCH(SUBSTITUTE($H403,"*","-"),MgAmenClave,0)),0)</f>
        <v/>
      </c>
    </row>
    <row r="404" hidden="1" ht="75" customHeight="1" s="54">
      <c r="B404" s="59" t="inlineStr">
        <is>
          <t>R-0399</t>
        </is>
      </c>
      <c r="C404" s="59" t="inlineStr">
        <is>
          <t>TEC-008</t>
        </is>
      </c>
      <c r="D404" s="64">
        <f>IFERROR(INDEX(MgNombre,MATCH($C404,MgActId,0)),"")</f>
        <v/>
      </c>
      <c r="E404" s="64">
        <f>IFERROR(INDEX(MgProceso,MATCH($C404,MgActId,0)),"")</f>
        <v/>
      </c>
      <c r="F404" s="64">
        <f>IFERROR(INDEX(MgTipo,MATCH($C404,MgActId,0)),"")</f>
        <v/>
      </c>
      <c r="G404" s="64">
        <f>IFERROR(INDEX(MgSubtipo,MATCH($C404,MgActId,0)),"")</f>
        <v/>
      </c>
      <c r="H404" s="59" t="inlineStr">
        <is>
          <t>E.3</t>
        </is>
      </c>
      <c r="I404" s="64">
        <f>IFERROR(INDEX(MgAmenNombre,MATCH(SUBSTITUTE($H404,"*","-"),MgAmenClave,0)),"")</f>
        <v/>
      </c>
      <c r="J404" s="28">
        <f>IFERROR(INDEX(MgAmenGrupo,MATCH(SUBSTITUTE($H404,"*","-"),MgAmenClave,0)),"")</f>
        <v/>
      </c>
      <c r="K404" s="64">
        <f>IFERROR(INDEX('1. Matriz de Activos'!$Q$6:$Q$239,MATCH($C404,MgActId,0)),"")</f>
        <v/>
      </c>
      <c r="L404" s="64">
        <f>IFERROR(INDEX('1. Matriz de Activos'!$R$6:$R$239,MATCH($C404,MgActId,0)),"")</f>
        <v/>
      </c>
      <c r="M404" s="64">
        <f>IFERROR(INDEX('1. Matriz de Activos'!$S$6:$S$239,MATCH($C404,MgActId,0)),"")</f>
        <v/>
      </c>
      <c r="N404" s="28">
        <f>IFERROR(INDEX(MgAmenDegD,MATCH(SUBSTITUTE($H404,"*","-"),MgAmenClave,0)),"No aplica")</f>
        <v/>
      </c>
      <c r="O404" s="28">
        <f>IFERROR(INDEX(MgAmenDegI,MATCH(SUBSTITUTE($H404,"*","-"),MgAmenClave,0)),"No aplica")</f>
        <v/>
      </c>
      <c r="P404" s="28">
        <f>IFERROR(INDEX(MgAmenDegC,MATCH(SUBSTITUTE($H404,"*","-"),MgAmenClave,0)),"No aplica")</f>
        <v/>
      </c>
      <c r="Q404" s="29">
        <f>IFERROR(VLOOKUP(K404,MgValor,2,0)*VLOOKUP(N404,MgDeg,2,0),0)</f>
        <v/>
      </c>
      <c r="R404" s="29">
        <f>IFERROR(VLOOKUP(L404,MgValor,2,0)*VLOOKUP(O404,MgDeg,2,0),0)</f>
        <v/>
      </c>
      <c r="S404" s="29">
        <f>IFERROR(VLOOKUP(M404,MgValor,2,0)*VLOOKUP(P404,MgDeg,2,0),0)</f>
        <v/>
      </c>
      <c r="T404" s="30">
        <f>MAX(Q404:S404)</f>
        <v/>
      </c>
      <c r="U404" s="28">
        <f>IFERROR(LOOKUP(T404,{0;0.5;1.5;3;4.5},{"Despreciable";"Bajo";"Medio";"Alto";"Muy alto"}),"")</f>
        <v/>
      </c>
      <c r="V404" s="13">
        <f>IFERROR(INDEX(MgAmenFrec,MATCH(SUBSTITUTE($H404,"*","-"),MgAmenClave,0)),"")</f>
        <v/>
      </c>
      <c r="W404" s="28">
        <f>IFERROR(LOOKUP(X404,{0;0.01;0.1;1;10;100},{"Muy baja";"Muy baja";"Baja";"Media";"Alta";"Muy alta"}),"")</f>
        <v/>
      </c>
      <c r="X404" s="31">
        <f>IFERROR(VLOOKUP(V404,MgFrec,2,0),0)</f>
        <v/>
      </c>
      <c r="Y404" s="30">
        <f>T404*X404</f>
        <v/>
      </c>
      <c r="Z404" s="28">
        <f>IFERROR(LOOKUP(Y404,{0;0.5;5;25},{"Bajo";"Medio";"Alto";"Crítico"}),"")</f>
        <v/>
      </c>
      <c r="AA404" s="64">
        <f>IF(T404&gt;=3,IF(X404&gt;=1,"Zona 1 — Crítica: impacto alto y ocurre al menos una vez al año","Zona 4 — Catastrófica poco probable: impacto alto pero excepcional"),IF(AND(T404&lt;1.5,X404&lt;1),"Zona 3 — Asumible: impacto bajo y muy poco frecuente","Zona 2 — Atención: riesgo intermedio"))</f>
        <v/>
      </c>
      <c r="AB404" s="64">
        <f>IFERROR(INDEX(MgAmenCtrl,MATCH(SUBSTITUTE($H404,"*","-"),MgAmenClave,0)),"")</f>
        <v/>
      </c>
      <c r="AC404" s="20" t="n"/>
      <c r="AD404" s="31">
        <f>IFERROR($X404*(1-IF($AC404="",$AL404,VLOOKUP($AC404,MgMad,2,0))),"")</f>
        <v/>
      </c>
      <c r="AE404" s="28">
        <f>IFERROR(LOOKUP(AD404,{0;0.01;0.1;1;10;100},{"Muy baja";"Muy baja";"Baja";"Media";"Alta";"Muy alta"}),"")</f>
        <v/>
      </c>
      <c r="AF404" s="30">
        <f>T404*AD404</f>
        <v/>
      </c>
      <c r="AG404" s="28">
        <f>IFERROR(LOOKUP(AF404,{0;0.5;5;25},{"Bajo";"Medio";"Alto";"Crítico"}),"")</f>
        <v/>
      </c>
      <c r="AH404" s="28">
        <f>IF(AG404="","",IF(OR(AG404="Crítico",AG404="Alto"),"Mitigar",IF(AG404="Medio","Mitigar","Aceptar y monitorear")))</f>
        <v/>
      </c>
      <c r="AI404" s="21" t="n"/>
      <c r="AJ404" s="21" t="n"/>
      <c r="AK404" s="20" t="n"/>
      <c r="AL404" s="77">
        <f>IFERROR(INDEX(MgAmenEfic,MATCH(SUBSTITUTE($H404,"*","-"),MgAmenClave,0)),0)</f>
        <v/>
      </c>
    </row>
    <row r="405" hidden="1" ht="75" customHeight="1" s="54">
      <c r="B405" s="59" t="inlineStr">
        <is>
          <t>R-0400</t>
        </is>
      </c>
      <c r="C405" s="59" t="inlineStr">
        <is>
          <t>TEC-008</t>
        </is>
      </c>
      <c r="D405" s="64">
        <f>IFERROR(INDEX(MgNombre,MATCH($C405,MgActId,0)),"")</f>
        <v/>
      </c>
      <c r="E405" s="64">
        <f>IFERROR(INDEX(MgProceso,MATCH($C405,MgActId,0)),"")</f>
        <v/>
      </c>
      <c r="F405" s="64">
        <f>IFERROR(INDEX(MgTipo,MATCH($C405,MgActId,0)),"")</f>
        <v/>
      </c>
      <c r="G405" s="64">
        <f>IFERROR(INDEX(MgSubtipo,MATCH($C405,MgActId,0)),"")</f>
        <v/>
      </c>
      <c r="H405" s="59" t="inlineStr">
        <is>
          <t>E.4</t>
        </is>
      </c>
      <c r="I405" s="64">
        <f>IFERROR(INDEX(MgAmenNombre,MATCH(SUBSTITUTE($H405,"*","-"),MgAmenClave,0)),"")</f>
        <v/>
      </c>
      <c r="J405" s="28">
        <f>IFERROR(INDEX(MgAmenGrupo,MATCH(SUBSTITUTE($H405,"*","-"),MgAmenClave,0)),"")</f>
        <v/>
      </c>
      <c r="K405" s="64">
        <f>IFERROR(INDEX('1. Matriz de Activos'!$Q$6:$Q$239,MATCH($C405,MgActId,0)),"")</f>
        <v/>
      </c>
      <c r="L405" s="64">
        <f>IFERROR(INDEX('1. Matriz de Activos'!$R$6:$R$239,MATCH($C405,MgActId,0)),"")</f>
        <v/>
      </c>
      <c r="M405" s="64">
        <f>IFERROR(INDEX('1. Matriz de Activos'!$S$6:$S$239,MATCH($C405,MgActId,0)),"")</f>
        <v/>
      </c>
      <c r="N405" s="28">
        <f>IFERROR(INDEX(MgAmenDegD,MATCH(SUBSTITUTE($H405,"*","-"),MgAmenClave,0)),"No aplica")</f>
        <v/>
      </c>
      <c r="O405" s="28">
        <f>IFERROR(INDEX(MgAmenDegI,MATCH(SUBSTITUTE($H405,"*","-"),MgAmenClave,0)),"No aplica")</f>
        <v/>
      </c>
      <c r="P405" s="28">
        <f>IFERROR(INDEX(MgAmenDegC,MATCH(SUBSTITUTE($H405,"*","-"),MgAmenClave,0)),"No aplica")</f>
        <v/>
      </c>
      <c r="Q405" s="29">
        <f>IFERROR(VLOOKUP(K405,MgValor,2,0)*VLOOKUP(N405,MgDeg,2,0),0)</f>
        <v/>
      </c>
      <c r="R405" s="29">
        <f>IFERROR(VLOOKUP(L405,MgValor,2,0)*VLOOKUP(O405,MgDeg,2,0),0)</f>
        <v/>
      </c>
      <c r="S405" s="29">
        <f>IFERROR(VLOOKUP(M405,MgValor,2,0)*VLOOKUP(P405,MgDeg,2,0),0)</f>
        <v/>
      </c>
      <c r="T405" s="30">
        <f>MAX(Q405:S405)</f>
        <v/>
      </c>
      <c r="U405" s="28">
        <f>IFERROR(LOOKUP(T405,{0;0.5;1.5;3;4.5},{"Despreciable";"Bajo";"Medio";"Alto";"Muy alto"}),"")</f>
        <v/>
      </c>
      <c r="V405" s="13">
        <f>IFERROR(INDEX(MgAmenFrec,MATCH(SUBSTITUTE($H405,"*","-"),MgAmenClave,0)),"")</f>
        <v/>
      </c>
      <c r="W405" s="28">
        <f>IFERROR(LOOKUP(X405,{0;0.01;0.1;1;10;100},{"Muy baja";"Muy baja";"Baja";"Media";"Alta";"Muy alta"}),"")</f>
        <v/>
      </c>
      <c r="X405" s="31">
        <f>IFERROR(VLOOKUP(V405,MgFrec,2,0),0)</f>
        <v/>
      </c>
      <c r="Y405" s="30">
        <f>T405*X405</f>
        <v/>
      </c>
      <c r="Z405" s="28">
        <f>IFERROR(LOOKUP(Y405,{0;0.5;5;25},{"Bajo";"Medio";"Alto";"Crítico"}),"")</f>
        <v/>
      </c>
      <c r="AA405" s="64">
        <f>IF(T405&gt;=3,IF(X405&gt;=1,"Zona 1 — Crítica: impacto alto y ocurre al menos una vez al año","Zona 4 — Catastrófica poco probable: impacto alto pero excepcional"),IF(AND(T405&lt;1.5,X405&lt;1),"Zona 3 — Asumible: impacto bajo y muy poco frecuente","Zona 2 — Atención: riesgo intermedio"))</f>
        <v/>
      </c>
      <c r="AB405" s="64">
        <f>IFERROR(INDEX(MgAmenCtrl,MATCH(SUBSTITUTE($H405,"*","-"),MgAmenClave,0)),"")</f>
        <v/>
      </c>
      <c r="AC405" s="20" t="n"/>
      <c r="AD405" s="31">
        <f>IFERROR($X405*(1-IF($AC405="",$AL405,VLOOKUP($AC405,MgMad,2,0))),"")</f>
        <v/>
      </c>
      <c r="AE405" s="28">
        <f>IFERROR(LOOKUP(AD405,{0;0.01;0.1;1;10;100},{"Muy baja";"Muy baja";"Baja";"Media";"Alta";"Muy alta"}),"")</f>
        <v/>
      </c>
      <c r="AF405" s="30">
        <f>T405*AD405</f>
        <v/>
      </c>
      <c r="AG405" s="28">
        <f>IFERROR(LOOKUP(AF405,{0;0.5;5;25},{"Bajo";"Medio";"Alto";"Crítico"}),"")</f>
        <v/>
      </c>
      <c r="AH405" s="28">
        <f>IF(AG405="","",IF(OR(AG405="Crítico",AG405="Alto"),"Mitigar",IF(AG405="Medio","Mitigar","Aceptar y monitorear")))</f>
        <v/>
      </c>
      <c r="AI405" s="21" t="n"/>
      <c r="AJ405" s="21" t="n"/>
      <c r="AK405" s="20" t="n"/>
      <c r="AL405" s="77">
        <f>IFERROR(INDEX(MgAmenEfic,MATCH(SUBSTITUTE($H405,"*","-"),MgAmenClave,0)),0)</f>
        <v/>
      </c>
    </row>
    <row r="406" hidden="1" ht="90" customHeight="1" s="54">
      <c r="B406" s="59" t="inlineStr">
        <is>
          <t>R-0401</t>
        </is>
      </c>
      <c r="C406" s="59" t="inlineStr">
        <is>
          <t>TEC-008</t>
        </is>
      </c>
      <c r="D406" s="64">
        <f>IFERROR(INDEX(MgNombre,MATCH($C406,MgActId,0)),"")</f>
        <v/>
      </c>
      <c r="E406" s="64">
        <f>IFERROR(INDEX(MgProceso,MATCH($C406,MgActId,0)),"")</f>
        <v/>
      </c>
      <c r="F406" s="64">
        <f>IFERROR(INDEX(MgTipo,MATCH($C406,MgActId,0)),"")</f>
        <v/>
      </c>
      <c r="G406" s="64">
        <f>IFERROR(INDEX(MgSubtipo,MATCH($C406,MgActId,0)),"")</f>
        <v/>
      </c>
      <c r="H406" s="59" t="inlineStr">
        <is>
          <t>E.14</t>
        </is>
      </c>
      <c r="I406" s="64">
        <f>IFERROR(INDEX(MgAmenNombre,MATCH(SUBSTITUTE($H406,"*","-"),MgAmenClave,0)),"")</f>
        <v/>
      </c>
      <c r="J406" s="28">
        <f>IFERROR(INDEX(MgAmenGrupo,MATCH(SUBSTITUTE($H406,"*","-"),MgAmenClave,0)),"")</f>
        <v/>
      </c>
      <c r="K406" s="64">
        <f>IFERROR(INDEX('1. Matriz de Activos'!$Q$6:$Q$239,MATCH($C406,MgActId,0)),"")</f>
        <v/>
      </c>
      <c r="L406" s="64">
        <f>IFERROR(INDEX('1. Matriz de Activos'!$R$6:$R$239,MATCH($C406,MgActId,0)),"")</f>
        <v/>
      </c>
      <c r="M406" s="64">
        <f>IFERROR(INDEX('1. Matriz de Activos'!$S$6:$S$239,MATCH($C406,MgActId,0)),"")</f>
        <v/>
      </c>
      <c r="N406" s="28">
        <f>IFERROR(INDEX(MgAmenDegD,MATCH(SUBSTITUTE($H406,"*","-"),MgAmenClave,0)),"No aplica")</f>
        <v/>
      </c>
      <c r="O406" s="28">
        <f>IFERROR(INDEX(MgAmenDegI,MATCH(SUBSTITUTE($H406,"*","-"),MgAmenClave,0)),"No aplica")</f>
        <v/>
      </c>
      <c r="P406" s="28">
        <f>IFERROR(INDEX(MgAmenDegC,MATCH(SUBSTITUTE($H406,"*","-"),MgAmenClave,0)),"No aplica")</f>
        <v/>
      </c>
      <c r="Q406" s="29">
        <f>IFERROR(VLOOKUP(K406,MgValor,2,0)*VLOOKUP(N406,MgDeg,2,0),0)</f>
        <v/>
      </c>
      <c r="R406" s="29">
        <f>IFERROR(VLOOKUP(L406,MgValor,2,0)*VLOOKUP(O406,MgDeg,2,0),0)</f>
        <v/>
      </c>
      <c r="S406" s="29">
        <f>IFERROR(VLOOKUP(M406,MgValor,2,0)*VLOOKUP(P406,MgDeg,2,0),0)</f>
        <v/>
      </c>
      <c r="T406" s="30">
        <f>MAX(Q406:S406)</f>
        <v/>
      </c>
      <c r="U406" s="28">
        <f>IFERROR(LOOKUP(T406,{0;0.5;1.5;3;4.5},{"Despreciable";"Bajo";"Medio";"Alto";"Muy alto"}),"")</f>
        <v/>
      </c>
      <c r="V406" s="13">
        <f>IFERROR(INDEX(MgAmenFrec,MATCH(SUBSTITUTE($H406,"*","-"),MgAmenClave,0)),"")</f>
        <v/>
      </c>
      <c r="W406" s="28">
        <f>IFERROR(LOOKUP(X406,{0;0.01;0.1;1;10;100},{"Muy baja";"Muy baja";"Baja";"Media";"Alta";"Muy alta"}),"")</f>
        <v/>
      </c>
      <c r="X406" s="31">
        <f>IFERROR(VLOOKUP(V406,MgFrec,2,0),0)</f>
        <v/>
      </c>
      <c r="Y406" s="30">
        <f>T406*X406</f>
        <v/>
      </c>
      <c r="Z406" s="28">
        <f>IFERROR(LOOKUP(Y406,{0;0.5;5;25},{"Bajo";"Medio";"Alto";"Crítico"}),"")</f>
        <v/>
      </c>
      <c r="AA406" s="64">
        <f>IF(T406&gt;=3,IF(X406&gt;=1,"Zona 1 — Crítica: impacto alto y ocurre al menos una vez al año","Zona 4 — Catastrófica poco probable: impacto alto pero excepcional"),IF(AND(T406&lt;1.5,X406&lt;1),"Zona 3 — Asumible: impacto bajo y muy poco frecuente","Zona 2 — Atención: riesgo intermedio"))</f>
        <v/>
      </c>
      <c r="AB406" s="64">
        <f>IFERROR(INDEX(MgAmenCtrl,MATCH(SUBSTITUTE($H406,"*","-"),MgAmenClave,0)),"")</f>
        <v/>
      </c>
      <c r="AC406" s="20" t="n"/>
      <c r="AD406" s="31">
        <f>IFERROR($X406*(1-IF($AC406="",$AL406,VLOOKUP($AC406,MgMad,2,0))),"")</f>
        <v/>
      </c>
      <c r="AE406" s="28">
        <f>IFERROR(LOOKUP(AD406,{0;0.01;0.1;1;10;100},{"Muy baja";"Muy baja";"Baja";"Media";"Alta";"Muy alta"}),"")</f>
        <v/>
      </c>
      <c r="AF406" s="30">
        <f>T406*AD406</f>
        <v/>
      </c>
      <c r="AG406" s="28">
        <f>IFERROR(LOOKUP(AF406,{0;0.5;5;25},{"Bajo";"Medio";"Alto";"Crítico"}),"")</f>
        <v/>
      </c>
      <c r="AH406" s="28">
        <f>IF(AG406="","",IF(OR(AG406="Crítico",AG406="Alto"),"Mitigar",IF(AG406="Medio","Mitigar","Aceptar y monitorear")))</f>
        <v/>
      </c>
      <c r="AI406" s="21" t="n"/>
      <c r="AJ406" s="21" t="n"/>
      <c r="AK406" s="20" t="n"/>
      <c r="AL406" s="77">
        <f>IFERROR(INDEX(MgAmenEfic,MATCH(SUBSTITUTE($H406,"*","-"),MgAmenClave,0)),0)</f>
        <v/>
      </c>
    </row>
    <row r="407" hidden="1" ht="90" customHeight="1" s="54">
      <c r="B407" s="59" t="inlineStr">
        <is>
          <t>R-0402</t>
        </is>
      </c>
      <c r="C407" s="59" t="inlineStr">
        <is>
          <t>TEC-008</t>
        </is>
      </c>
      <c r="D407" s="64">
        <f>IFERROR(INDEX(MgNombre,MATCH($C407,MgActId,0)),"")</f>
        <v/>
      </c>
      <c r="E407" s="64">
        <f>IFERROR(INDEX(MgProceso,MATCH($C407,MgActId,0)),"")</f>
        <v/>
      </c>
      <c r="F407" s="64">
        <f>IFERROR(INDEX(MgTipo,MATCH($C407,MgActId,0)),"")</f>
        <v/>
      </c>
      <c r="G407" s="64">
        <f>IFERROR(INDEX(MgSubtipo,MATCH($C407,MgActId,0)),"")</f>
        <v/>
      </c>
      <c r="H407" s="59" t="inlineStr">
        <is>
          <t>E.15</t>
        </is>
      </c>
      <c r="I407" s="64">
        <f>IFERROR(INDEX(MgAmenNombre,MATCH(SUBSTITUTE($H407,"*","-"),MgAmenClave,0)),"")</f>
        <v/>
      </c>
      <c r="J407" s="28">
        <f>IFERROR(INDEX(MgAmenGrupo,MATCH(SUBSTITUTE($H407,"*","-"),MgAmenClave,0)),"")</f>
        <v/>
      </c>
      <c r="K407" s="64">
        <f>IFERROR(INDEX('1. Matriz de Activos'!$Q$6:$Q$239,MATCH($C407,MgActId,0)),"")</f>
        <v/>
      </c>
      <c r="L407" s="64">
        <f>IFERROR(INDEX('1. Matriz de Activos'!$R$6:$R$239,MATCH($C407,MgActId,0)),"")</f>
        <v/>
      </c>
      <c r="M407" s="64">
        <f>IFERROR(INDEX('1. Matriz de Activos'!$S$6:$S$239,MATCH($C407,MgActId,0)),"")</f>
        <v/>
      </c>
      <c r="N407" s="28">
        <f>IFERROR(INDEX(MgAmenDegD,MATCH(SUBSTITUTE($H407,"*","-"),MgAmenClave,0)),"No aplica")</f>
        <v/>
      </c>
      <c r="O407" s="28">
        <f>IFERROR(INDEX(MgAmenDegI,MATCH(SUBSTITUTE($H407,"*","-"),MgAmenClave,0)),"No aplica")</f>
        <v/>
      </c>
      <c r="P407" s="28">
        <f>IFERROR(INDEX(MgAmenDegC,MATCH(SUBSTITUTE($H407,"*","-"),MgAmenClave,0)),"No aplica")</f>
        <v/>
      </c>
      <c r="Q407" s="29">
        <f>IFERROR(VLOOKUP(K407,MgValor,2,0)*VLOOKUP(N407,MgDeg,2,0),0)</f>
        <v/>
      </c>
      <c r="R407" s="29">
        <f>IFERROR(VLOOKUP(L407,MgValor,2,0)*VLOOKUP(O407,MgDeg,2,0),0)</f>
        <v/>
      </c>
      <c r="S407" s="29">
        <f>IFERROR(VLOOKUP(M407,MgValor,2,0)*VLOOKUP(P407,MgDeg,2,0),0)</f>
        <v/>
      </c>
      <c r="T407" s="30">
        <f>MAX(Q407:S407)</f>
        <v/>
      </c>
      <c r="U407" s="28">
        <f>IFERROR(LOOKUP(T407,{0;0.5;1.5;3;4.5},{"Despreciable";"Bajo";"Medio";"Alto";"Muy alto"}),"")</f>
        <v/>
      </c>
      <c r="V407" s="13">
        <f>IFERROR(INDEX(MgAmenFrec,MATCH(SUBSTITUTE($H407,"*","-"),MgAmenClave,0)),"")</f>
        <v/>
      </c>
      <c r="W407" s="28">
        <f>IFERROR(LOOKUP(X407,{0;0.01;0.1;1;10;100},{"Muy baja";"Muy baja";"Baja";"Media";"Alta";"Muy alta"}),"")</f>
        <v/>
      </c>
      <c r="X407" s="31">
        <f>IFERROR(VLOOKUP(V407,MgFrec,2,0),0)</f>
        <v/>
      </c>
      <c r="Y407" s="30">
        <f>T407*X407</f>
        <v/>
      </c>
      <c r="Z407" s="28">
        <f>IFERROR(LOOKUP(Y407,{0;0.5;5;25},{"Bajo";"Medio";"Alto";"Crítico"}),"")</f>
        <v/>
      </c>
      <c r="AA407" s="64">
        <f>IF(T407&gt;=3,IF(X407&gt;=1,"Zona 1 — Crítica: impacto alto y ocurre al menos una vez al año","Zona 4 — Catastrófica poco probable: impacto alto pero excepcional"),IF(AND(T407&lt;1.5,X407&lt;1),"Zona 3 — Asumible: impacto bajo y muy poco frecuente","Zona 2 — Atención: riesgo intermedio"))</f>
        <v/>
      </c>
      <c r="AB407" s="64">
        <f>IFERROR(INDEX(MgAmenCtrl,MATCH(SUBSTITUTE($H407,"*","-"),MgAmenClave,0)),"")</f>
        <v/>
      </c>
      <c r="AC407" s="20" t="n"/>
      <c r="AD407" s="31">
        <f>IFERROR($X407*(1-IF($AC407="",$AL407,VLOOKUP($AC407,MgMad,2,0))),"")</f>
        <v/>
      </c>
      <c r="AE407" s="28">
        <f>IFERROR(LOOKUP(AD407,{0;0.01;0.1;1;10;100},{"Muy baja";"Muy baja";"Baja";"Media";"Alta";"Muy alta"}),"")</f>
        <v/>
      </c>
      <c r="AF407" s="30">
        <f>T407*AD407</f>
        <v/>
      </c>
      <c r="AG407" s="28">
        <f>IFERROR(LOOKUP(AF407,{0;0.5;5;25},{"Bajo";"Medio";"Alto";"Crítico"}),"")</f>
        <v/>
      </c>
      <c r="AH407" s="28">
        <f>IF(AG407="","",IF(OR(AG407="Crítico",AG407="Alto"),"Mitigar",IF(AG407="Medio","Mitigar","Aceptar y monitorear")))</f>
        <v/>
      </c>
      <c r="AI407" s="21" t="n"/>
      <c r="AJ407" s="21" t="n"/>
      <c r="AK407" s="20" t="n"/>
      <c r="AL407" s="77">
        <f>IFERROR(INDEX(MgAmenEfic,MATCH(SUBSTITUTE($H407,"*","-"),MgAmenClave,0)),0)</f>
        <v/>
      </c>
    </row>
    <row r="408" hidden="1" ht="60" customHeight="1" s="54">
      <c r="B408" s="59" t="inlineStr">
        <is>
          <t>R-0403</t>
        </is>
      </c>
      <c r="C408" s="59" t="inlineStr">
        <is>
          <t>TEC-008</t>
        </is>
      </c>
      <c r="D408" s="64">
        <f>IFERROR(INDEX(MgNombre,MATCH($C408,MgActId,0)),"")</f>
        <v/>
      </c>
      <c r="E408" s="64">
        <f>IFERROR(INDEX(MgProceso,MATCH($C408,MgActId,0)),"")</f>
        <v/>
      </c>
      <c r="F408" s="64">
        <f>IFERROR(INDEX(MgTipo,MATCH($C408,MgActId,0)),"")</f>
        <v/>
      </c>
      <c r="G408" s="64">
        <f>IFERROR(INDEX(MgSubtipo,MATCH($C408,MgActId,0)),"")</f>
        <v/>
      </c>
      <c r="H408" s="59" t="inlineStr">
        <is>
          <t>E.18</t>
        </is>
      </c>
      <c r="I408" s="64">
        <f>IFERROR(INDEX(MgAmenNombre,MATCH(SUBSTITUTE($H408,"*","-"),MgAmenClave,0)),"")</f>
        <v/>
      </c>
      <c r="J408" s="28">
        <f>IFERROR(INDEX(MgAmenGrupo,MATCH(SUBSTITUTE($H408,"*","-"),MgAmenClave,0)),"")</f>
        <v/>
      </c>
      <c r="K408" s="64">
        <f>IFERROR(INDEX('1. Matriz de Activos'!$Q$6:$Q$239,MATCH($C408,MgActId,0)),"")</f>
        <v/>
      </c>
      <c r="L408" s="64">
        <f>IFERROR(INDEX('1. Matriz de Activos'!$R$6:$R$239,MATCH($C408,MgActId,0)),"")</f>
        <v/>
      </c>
      <c r="M408" s="64">
        <f>IFERROR(INDEX('1. Matriz de Activos'!$S$6:$S$239,MATCH($C408,MgActId,0)),"")</f>
        <v/>
      </c>
      <c r="N408" s="28">
        <f>IFERROR(INDEX(MgAmenDegD,MATCH(SUBSTITUTE($H408,"*","-"),MgAmenClave,0)),"No aplica")</f>
        <v/>
      </c>
      <c r="O408" s="28">
        <f>IFERROR(INDEX(MgAmenDegI,MATCH(SUBSTITUTE($H408,"*","-"),MgAmenClave,0)),"No aplica")</f>
        <v/>
      </c>
      <c r="P408" s="28">
        <f>IFERROR(INDEX(MgAmenDegC,MATCH(SUBSTITUTE($H408,"*","-"),MgAmenClave,0)),"No aplica")</f>
        <v/>
      </c>
      <c r="Q408" s="29">
        <f>IFERROR(VLOOKUP(K408,MgValor,2,0)*VLOOKUP(N408,MgDeg,2,0),0)</f>
        <v/>
      </c>
      <c r="R408" s="29">
        <f>IFERROR(VLOOKUP(L408,MgValor,2,0)*VLOOKUP(O408,MgDeg,2,0),0)</f>
        <v/>
      </c>
      <c r="S408" s="29">
        <f>IFERROR(VLOOKUP(M408,MgValor,2,0)*VLOOKUP(P408,MgDeg,2,0),0)</f>
        <v/>
      </c>
      <c r="T408" s="30">
        <f>MAX(Q408:S408)</f>
        <v/>
      </c>
      <c r="U408" s="28">
        <f>IFERROR(LOOKUP(T408,{0;0.5;1.5;3;4.5},{"Despreciable";"Bajo";"Medio";"Alto";"Muy alto"}),"")</f>
        <v/>
      </c>
      <c r="V408" s="13">
        <f>IFERROR(INDEX(MgAmenFrec,MATCH(SUBSTITUTE($H408,"*","-"),MgAmenClave,0)),"")</f>
        <v/>
      </c>
      <c r="W408" s="28">
        <f>IFERROR(LOOKUP(X408,{0;0.01;0.1;1;10;100},{"Muy baja";"Muy baja";"Baja";"Media";"Alta";"Muy alta"}),"")</f>
        <v/>
      </c>
      <c r="X408" s="31">
        <f>IFERROR(VLOOKUP(V408,MgFrec,2,0),0)</f>
        <v/>
      </c>
      <c r="Y408" s="30">
        <f>T408*X408</f>
        <v/>
      </c>
      <c r="Z408" s="28">
        <f>IFERROR(LOOKUP(Y408,{0;0.5;5;25},{"Bajo";"Medio";"Alto";"Crítico"}),"")</f>
        <v/>
      </c>
      <c r="AA408" s="64">
        <f>IF(T408&gt;=3,IF(X408&gt;=1,"Zona 1 — Crítica: impacto alto y ocurre al menos una vez al año","Zona 4 — Catastrófica poco probable: impacto alto pero excepcional"),IF(AND(T408&lt;1.5,X408&lt;1),"Zona 3 — Asumible: impacto bajo y muy poco frecuente","Zona 2 — Atención: riesgo intermedio"))</f>
        <v/>
      </c>
      <c r="AB408" s="64">
        <f>IFERROR(INDEX(MgAmenCtrl,MATCH(SUBSTITUTE($H408,"*","-"),MgAmenClave,0)),"")</f>
        <v/>
      </c>
      <c r="AC408" s="20" t="n"/>
      <c r="AD408" s="31">
        <f>IFERROR($X408*(1-IF($AC408="",$AL408,VLOOKUP($AC408,MgMad,2,0))),"")</f>
        <v/>
      </c>
      <c r="AE408" s="28">
        <f>IFERROR(LOOKUP(AD408,{0;0.01;0.1;1;10;100},{"Muy baja";"Muy baja";"Baja";"Media";"Alta";"Muy alta"}),"")</f>
        <v/>
      </c>
      <c r="AF408" s="30">
        <f>T408*AD408</f>
        <v/>
      </c>
      <c r="AG408" s="28">
        <f>IFERROR(LOOKUP(AF408,{0;0.5;5;25},{"Bajo";"Medio";"Alto";"Crítico"}),"")</f>
        <v/>
      </c>
      <c r="AH408" s="28">
        <f>IF(AG408="","",IF(OR(AG408="Crítico",AG408="Alto"),"Mitigar",IF(AG408="Medio","Mitigar","Aceptar y monitorear")))</f>
        <v/>
      </c>
      <c r="AI408" s="21" t="n"/>
      <c r="AJ408" s="21" t="n"/>
      <c r="AK408" s="20" t="n"/>
      <c r="AL408" s="77">
        <f>IFERROR(INDEX(MgAmenEfic,MATCH(SUBSTITUTE($H408,"*","-"),MgAmenClave,0)),0)</f>
        <v/>
      </c>
    </row>
    <row r="409" hidden="1" ht="105" customHeight="1" s="54">
      <c r="B409" s="59" t="inlineStr">
        <is>
          <t>R-0404</t>
        </is>
      </c>
      <c r="C409" s="59" t="inlineStr">
        <is>
          <t>TEC-008</t>
        </is>
      </c>
      <c r="D409" s="64">
        <f>IFERROR(INDEX(MgNombre,MATCH($C409,MgActId,0)),"")</f>
        <v/>
      </c>
      <c r="E409" s="64">
        <f>IFERROR(INDEX(MgProceso,MATCH($C409,MgActId,0)),"")</f>
        <v/>
      </c>
      <c r="F409" s="64">
        <f>IFERROR(INDEX(MgTipo,MATCH($C409,MgActId,0)),"")</f>
        <v/>
      </c>
      <c r="G409" s="64">
        <f>IFERROR(INDEX(MgSubtipo,MATCH($C409,MgActId,0)),"")</f>
        <v/>
      </c>
      <c r="H409" s="59" t="inlineStr">
        <is>
          <t>E.19</t>
        </is>
      </c>
      <c r="I409" s="64">
        <f>IFERROR(INDEX(MgAmenNombre,MATCH(SUBSTITUTE($H409,"*","-"),MgAmenClave,0)),"")</f>
        <v/>
      </c>
      <c r="J409" s="28">
        <f>IFERROR(INDEX(MgAmenGrupo,MATCH(SUBSTITUTE($H409,"*","-"),MgAmenClave,0)),"")</f>
        <v/>
      </c>
      <c r="K409" s="64">
        <f>IFERROR(INDEX('1. Matriz de Activos'!$Q$6:$Q$239,MATCH($C409,MgActId,0)),"")</f>
        <v/>
      </c>
      <c r="L409" s="64">
        <f>IFERROR(INDEX('1. Matriz de Activos'!$R$6:$R$239,MATCH($C409,MgActId,0)),"")</f>
        <v/>
      </c>
      <c r="M409" s="64">
        <f>IFERROR(INDEX('1. Matriz de Activos'!$S$6:$S$239,MATCH($C409,MgActId,0)),"")</f>
        <v/>
      </c>
      <c r="N409" s="28">
        <f>IFERROR(INDEX(MgAmenDegD,MATCH(SUBSTITUTE($H409,"*","-"),MgAmenClave,0)),"No aplica")</f>
        <v/>
      </c>
      <c r="O409" s="28">
        <f>IFERROR(INDEX(MgAmenDegI,MATCH(SUBSTITUTE($H409,"*","-"),MgAmenClave,0)),"No aplica")</f>
        <v/>
      </c>
      <c r="P409" s="28">
        <f>IFERROR(INDEX(MgAmenDegC,MATCH(SUBSTITUTE($H409,"*","-"),MgAmenClave,0)),"No aplica")</f>
        <v/>
      </c>
      <c r="Q409" s="29">
        <f>IFERROR(VLOOKUP(K409,MgValor,2,0)*VLOOKUP(N409,MgDeg,2,0),0)</f>
        <v/>
      </c>
      <c r="R409" s="29">
        <f>IFERROR(VLOOKUP(L409,MgValor,2,0)*VLOOKUP(O409,MgDeg,2,0),0)</f>
        <v/>
      </c>
      <c r="S409" s="29">
        <f>IFERROR(VLOOKUP(M409,MgValor,2,0)*VLOOKUP(P409,MgDeg,2,0),0)</f>
        <v/>
      </c>
      <c r="T409" s="30">
        <f>MAX(Q409:S409)</f>
        <v/>
      </c>
      <c r="U409" s="28">
        <f>IFERROR(LOOKUP(T409,{0;0.5;1.5;3;4.5},{"Despreciable";"Bajo";"Medio";"Alto";"Muy alto"}),"")</f>
        <v/>
      </c>
      <c r="V409" s="13">
        <f>IFERROR(INDEX(MgAmenFrec,MATCH(SUBSTITUTE($H409,"*","-"),MgAmenClave,0)),"")</f>
        <v/>
      </c>
      <c r="W409" s="28">
        <f>IFERROR(LOOKUP(X409,{0;0.01;0.1;1;10;100},{"Muy baja";"Muy baja";"Baja";"Media";"Alta";"Muy alta"}),"")</f>
        <v/>
      </c>
      <c r="X409" s="31">
        <f>IFERROR(VLOOKUP(V409,MgFrec,2,0),0)</f>
        <v/>
      </c>
      <c r="Y409" s="30">
        <f>T409*X409</f>
        <v/>
      </c>
      <c r="Z409" s="28">
        <f>IFERROR(LOOKUP(Y409,{0;0.5;5;25},{"Bajo";"Medio";"Alto";"Crítico"}),"")</f>
        <v/>
      </c>
      <c r="AA409" s="64">
        <f>IF(T409&gt;=3,IF(X409&gt;=1,"Zona 1 — Crítica: impacto alto y ocurre al menos una vez al año","Zona 4 — Catastrófica poco probable: impacto alto pero excepcional"),IF(AND(T409&lt;1.5,X409&lt;1),"Zona 3 — Asumible: impacto bajo y muy poco frecuente","Zona 2 — Atención: riesgo intermedio"))</f>
        <v/>
      </c>
      <c r="AB409" s="64">
        <f>IFERROR(INDEX(MgAmenCtrl,MATCH(SUBSTITUTE($H409,"*","-"),MgAmenClave,0)),"")</f>
        <v/>
      </c>
      <c r="AC409" s="20" t="n"/>
      <c r="AD409" s="31">
        <f>IFERROR($X409*(1-IF($AC409="",$AL409,VLOOKUP($AC409,MgMad,2,0))),"")</f>
        <v/>
      </c>
      <c r="AE409" s="28">
        <f>IFERROR(LOOKUP(AD409,{0;0.01;0.1;1;10;100},{"Muy baja";"Muy baja";"Baja";"Media";"Alta";"Muy alta"}),"")</f>
        <v/>
      </c>
      <c r="AF409" s="30">
        <f>T409*AD409</f>
        <v/>
      </c>
      <c r="AG409" s="28">
        <f>IFERROR(LOOKUP(AF409,{0;0.5;5;25},{"Bajo";"Medio";"Alto";"Crítico"}),"")</f>
        <v/>
      </c>
      <c r="AH409" s="28">
        <f>IF(AG409="","",IF(OR(AG409="Crítico",AG409="Alto"),"Mitigar",IF(AG409="Medio","Mitigar","Aceptar y monitorear")))</f>
        <v/>
      </c>
      <c r="AI409" s="21" t="n"/>
      <c r="AJ409" s="21" t="n"/>
      <c r="AK409" s="20" t="n"/>
      <c r="AL409" s="77">
        <f>IFERROR(INDEX(MgAmenEfic,MATCH(SUBSTITUTE($H409,"*","-"),MgAmenClave,0)),0)</f>
        <v/>
      </c>
    </row>
    <row r="410" hidden="1" ht="60" customHeight="1" s="54">
      <c r="B410" s="59" t="inlineStr">
        <is>
          <t>R-0405</t>
        </is>
      </c>
      <c r="C410" s="59" t="inlineStr">
        <is>
          <t>TEC-008</t>
        </is>
      </c>
      <c r="D410" s="64">
        <f>IFERROR(INDEX(MgNombre,MATCH($C410,MgActId,0)),"")</f>
        <v/>
      </c>
      <c r="E410" s="64">
        <f>IFERROR(INDEX(MgProceso,MATCH($C410,MgActId,0)),"")</f>
        <v/>
      </c>
      <c r="F410" s="64">
        <f>IFERROR(INDEX(MgTipo,MATCH($C410,MgActId,0)),"")</f>
        <v/>
      </c>
      <c r="G410" s="64">
        <f>IFERROR(INDEX(MgSubtipo,MATCH($C410,MgActId,0)),"")</f>
        <v/>
      </c>
      <c r="H410" s="59" t="inlineStr">
        <is>
          <t>A.3</t>
        </is>
      </c>
      <c r="I410" s="64">
        <f>IFERROR(INDEX(MgAmenNombre,MATCH(SUBSTITUTE($H410,"*","-"),MgAmenClave,0)),"")</f>
        <v/>
      </c>
      <c r="J410" s="28">
        <f>IFERROR(INDEX(MgAmenGrupo,MATCH(SUBSTITUTE($H410,"*","-"),MgAmenClave,0)),"")</f>
        <v/>
      </c>
      <c r="K410" s="64">
        <f>IFERROR(INDEX('1. Matriz de Activos'!$Q$6:$Q$239,MATCH($C410,MgActId,0)),"")</f>
        <v/>
      </c>
      <c r="L410" s="64">
        <f>IFERROR(INDEX('1. Matriz de Activos'!$R$6:$R$239,MATCH($C410,MgActId,0)),"")</f>
        <v/>
      </c>
      <c r="M410" s="64">
        <f>IFERROR(INDEX('1. Matriz de Activos'!$S$6:$S$239,MATCH($C410,MgActId,0)),"")</f>
        <v/>
      </c>
      <c r="N410" s="28">
        <f>IFERROR(INDEX(MgAmenDegD,MATCH(SUBSTITUTE($H410,"*","-"),MgAmenClave,0)),"No aplica")</f>
        <v/>
      </c>
      <c r="O410" s="28">
        <f>IFERROR(INDEX(MgAmenDegI,MATCH(SUBSTITUTE($H410,"*","-"),MgAmenClave,0)),"No aplica")</f>
        <v/>
      </c>
      <c r="P410" s="28">
        <f>IFERROR(INDEX(MgAmenDegC,MATCH(SUBSTITUTE($H410,"*","-"),MgAmenClave,0)),"No aplica")</f>
        <v/>
      </c>
      <c r="Q410" s="29">
        <f>IFERROR(VLOOKUP(K410,MgValor,2,0)*VLOOKUP(N410,MgDeg,2,0),0)</f>
        <v/>
      </c>
      <c r="R410" s="29">
        <f>IFERROR(VLOOKUP(L410,MgValor,2,0)*VLOOKUP(O410,MgDeg,2,0),0)</f>
        <v/>
      </c>
      <c r="S410" s="29">
        <f>IFERROR(VLOOKUP(M410,MgValor,2,0)*VLOOKUP(P410,MgDeg,2,0),0)</f>
        <v/>
      </c>
      <c r="T410" s="30">
        <f>MAX(Q410:S410)</f>
        <v/>
      </c>
      <c r="U410" s="28">
        <f>IFERROR(LOOKUP(T410,{0;0.5;1.5;3;4.5},{"Despreciable";"Bajo";"Medio";"Alto";"Muy alto"}),"")</f>
        <v/>
      </c>
      <c r="V410" s="13">
        <f>IFERROR(INDEX(MgAmenFrec,MATCH(SUBSTITUTE($H410,"*","-"),MgAmenClave,0)),"")</f>
        <v/>
      </c>
      <c r="W410" s="28">
        <f>IFERROR(LOOKUP(X410,{0;0.01;0.1;1;10;100},{"Muy baja";"Muy baja";"Baja";"Media";"Alta";"Muy alta"}),"")</f>
        <v/>
      </c>
      <c r="X410" s="31">
        <f>IFERROR(VLOOKUP(V410,MgFrec,2,0),0)</f>
        <v/>
      </c>
      <c r="Y410" s="30">
        <f>T410*X410</f>
        <v/>
      </c>
      <c r="Z410" s="28">
        <f>IFERROR(LOOKUP(Y410,{0;0.5;5;25},{"Bajo";"Medio";"Alto";"Crítico"}),"")</f>
        <v/>
      </c>
      <c r="AA410" s="64">
        <f>IF(T410&gt;=3,IF(X410&gt;=1,"Zona 1 — Crítica: impacto alto y ocurre al menos una vez al año","Zona 4 — Catastrófica poco probable: impacto alto pero excepcional"),IF(AND(T410&lt;1.5,X410&lt;1),"Zona 3 — Asumible: impacto bajo y muy poco frecuente","Zona 2 — Atención: riesgo intermedio"))</f>
        <v/>
      </c>
      <c r="AB410" s="64">
        <f>IFERROR(INDEX(MgAmenCtrl,MATCH(SUBSTITUTE($H410,"*","-"),MgAmenClave,0)),"")</f>
        <v/>
      </c>
      <c r="AC410" s="20" t="n"/>
      <c r="AD410" s="31">
        <f>IFERROR($X410*(1-IF($AC410="",$AL410,VLOOKUP($AC410,MgMad,2,0))),"")</f>
        <v/>
      </c>
      <c r="AE410" s="28">
        <f>IFERROR(LOOKUP(AD410,{0;0.01;0.1;1;10;100},{"Muy baja";"Muy baja";"Baja";"Media";"Alta";"Muy alta"}),"")</f>
        <v/>
      </c>
      <c r="AF410" s="30">
        <f>T410*AD410</f>
        <v/>
      </c>
      <c r="AG410" s="28">
        <f>IFERROR(LOOKUP(AF410,{0;0.5;5;25},{"Bajo";"Medio";"Alto";"Crítico"}),"")</f>
        <v/>
      </c>
      <c r="AH410" s="28">
        <f>IF(AG410="","",IF(OR(AG410="Crítico",AG410="Alto"),"Mitigar",IF(AG410="Medio","Mitigar","Aceptar y monitorear")))</f>
        <v/>
      </c>
      <c r="AI410" s="21" t="n"/>
      <c r="AJ410" s="21" t="n"/>
      <c r="AK410" s="20" t="n"/>
      <c r="AL410" s="77">
        <f>IFERROR(INDEX(MgAmenEfic,MATCH(SUBSTITUTE($H410,"*","-"),MgAmenClave,0)),0)</f>
        <v/>
      </c>
    </row>
    <row r="411" hidden="1" ht="60" customHeight="1" s="54">
      <c r="B411" s="59" t="inlineStr">
        <is>
          <t>R-0406</t>
        </is>
      </c>
      <c r="C411" s="59" t="inlineStr">
        <is>
          <t>TEC-008</t>
        </is>
      </c>
      <c r="D411" s="64">
        <f>IFERROR(INDEX(MgNombre,MATCH($C411,MgActId,0)),"")</f>
        <v/>
      </c>
      <c r="E411" s="64">
        <f>IFERROR(INDEX(MgProceso,MATCH($C411,MgActId,0)),"")</f>
        <v/>
      </c>
      <c r="F411" s="64">
        <f>IFERROR(INDEX(MgTipo,MATCH($C411,MgActId,0)),"")</f>
        <v/>
      </c>
      <c r="G411" s="64">
        <f>IFERROR(INDEX(MgSubtipo,MATCH($C411,MgActId,0)),"")</f>
        <v/>
      </c>
      <c r="H411" s="59" t="inlineStr">
        <is>
          <t>A.4</t>
        </is>
      </c>
      <c r="I411" s="64">
        <f>IFERROR(INDEX(MgAmenNombre,MATCH(SUBSTITUTE($H411,"*","-"),MgAmenClave,0)),"")</f>
        <v/>
      </c>
      <c r="J411" s="28">
        <f>IFERROR(INDEX(MgAmenGrupo,MATCH(SUBSTITUTE($H411,"*","-"),MgAmenClave,0)),"")</f>
        <v/>
      </c>
      <c r="K411" s="64">
        <f>IFERROR(INDEX('1. Matriz de Activos'!$Q$6:$Q$239,MATCH($C411,MgActId,0)),"")</f>
        <v/>
      </c>
      <c r="L411" s="64">
        <f>IFERROR(INDEX('1. Matriz de Activos'!$R$6:$R$239,MATCH($C411,MgActId,0)),"")</f>
        <v/>
      </c>
      <c r="M411" s="64">
        <f>IFERROR(INDEX('1. Matriz de Activos'!$S$6:$S$239,MATCH($C411,MgActId,0)),"")</f>
        <v/>
      </c>
      <c r="N411" s="28">
        <f>IFERROR(INDEX(MgAmenDegD,MATCH(SUBSTITUTE($H411,"*","-"),MgAmenClave,0)),"No aplica")</f>
        <v/>
      </c>
      <c r="O411" s="28">
        <f>IFERROR(INDEX(MgAmenDegI,MATCH(SUBSTITUTE($H411,"*","-"),MgAmenClave,0)),"No aplica")</f>
        <v/>
      </c>
      <c r="P411" s="28">
        <f>IFERROR(INDEX(MgAmenDegC,MATCH(SUBSTITUTE($H411,"*","-"),MgAmenClave,0)),"No aplica")</f>
        <v/>
      </c>
      <c r="Q411" s="29">
        <f>IFERROR(VLOOKUP(K411,MgValor,2,0)*VLOOKUP(N411,MgDeg,2,0),0)</f>
        <v/>
      </c>
      <c r="R411" s="29">
        <f>IFERROR(VLOOKUP(L411,MgValor,2,0)*VLOOKUP(O411,MgDeg,2,0),0)</f>
        <v/>
      </c>
      <c r="S411" s="29">
        <f>IFERROR(VLOOKUP(M411,MgValor,2,0)*VLOOKUP(P411,MgDeg,2,0),0)</f>
        <v/>
      </c>
      <c r="T411" s="30">
        <f>MAX(Q411:S411)</f>
        <v/>
      </c>
      <c r="U411" s="28">
        <f>IFERROR(LOOKUP(T411,{0;0.5;1.5;3;4.5},{"Despreciable";"Bajo";"Medio";"Alto";"Muy alto"}),"")</f>
        <v/>
      </c>
      <c r="V411" s="13">
        <f>IFERROR(INDEX(MgAmenFrec,MATCH(SUBSTITUTE($H411,"*","-"),MgAmenClave,0)),"")</f>
        <v/>
      </c>
      <c r="W411" s="28">
        <f>IFERROR(LOOKUP(X411,{0;0.01;0.1;1;10;100},{"Muy baja";"Muy baja";"Baja";"Media";"Alta";"Muy alta"}),"")</f>
        <v/>
      </c>
      <c r="X411" s="31">
        <f>IFERROR(VLOOKUP(V411,MgFrec,2,0),0)</f>
        <v/>
      </c>
      <c r="Y411" s="30">
        <f>T411*X411</f>
        <v/>
      </c>
      <c r="Z411" s="28">
        <f>IFERROR(LOOKUP(Y411,{0;0.5;5;25},{"Bajo";"Medio";"Alto";"Crítico"}),"")</f>
        <v/>
      </c>
      <c r="AA411" s="64">
        <f>IF(T411&gt;=3,IF(X411&gt;=1,"Zona 1 — Crítica: impacto alto y ocurre al menos una vez al año","Zona 4 — Catastrófica poco probable: impacto alto pero excepcional"),IF(AND(T411&lt;1.5,X411&lt;1),"Zona 3 — Asumible: impacto bajo y muy poco frecuente","Zona 2 — Atención: riesgo intermedio"))</f>
        <v/>
      </c>
      <c r="AB411" s="64">
        <f>IFERROR(INDEX(MgAmenCtrl,MATCH(SUBSTITUTE($H411,"*","-"),MgAmenClave,0)),"")</f>
        <v/>
      </c>
      <c r="AC411" s="20" t="n"/>
      <c r="AD411" s="31">
        <f>IFERROR($X411*(1-IF($AC411="",$AL411,VLOOKUP($AC411,MgMad,2,0))),"")</f>
        <v/>
      </c>
      <c r="AE411" s="28">
        <f>IFERROR(LOOKUP(AD411,{0;0.01;0.1;1;10;100},{"Muy baja";"Muy baja";"Baja";"Media";"Alta";"Muy alta"}),"")</f>
        <v/>
      </c>
      <c r="AF411" s="30">
        <f>T411*AD411</f>
        <v/>
      </c>
      <c r="AG411" s="28">
        <f>IFERROR(LOOKUP(AF411,{0;0.5;5;25},{"Bajo";"Medio";"Alto";"Crítico"}),"")</f>
        <v/>
      </c>
      <c r="AH411" s="28">
        <f>IF(AG411="","",IF(OR(AG411="Crítico",AG411="Alto"),"Mitigar",IF(AG411="Medio","Mitigar","Aceptar y monitorear")))</f>
        <v/>
      </c>
      <c r="AI411" s="21" t="n"/>
      <c r="AJ411" s="21" t="n"/>
      <c r="AK411" s="20" t="n"/>
      <c r="AL411" s="77">
        <f>IFERROR(INDEX(MgAmenEfic,MATCH(SUBSTITUTE($H411,"*","-"),MgAmenClave,0)),0)</f>
        <v/>
      </c>
    </row>
    <row r="412" hidden="1" ht="75" customHeight="1" s="54">
      <c r="B412" s="59" t="inlineStr">
        <is>
          <t>R-0407</t>
        </is>
      </c>
      <c r="C412" s="59" t="inlineStr">
        <is>
          <t>TEC-008</t>
        </is>
      </c>
      <c r="D412" s="64">
        <f>IFERROR(INDEX(MgNombre,MATCH($C412,MgActId,0)),"")</f>
        <v/>
      </c>
      <c r="E412" s="64">
        <f>IFERROR(INDEX(MgProceso,MATCH($C412,MgActId,0)),"")</f>
        <v/>
      </c>
      <c r="F412" s="64">
        <f>IFERROR(INDEX(MgTipo,MATCH($C412,MgActId,0)),"")</f>
        <v/>
      </c>
      <c r="G412" s="64">
        <f>IFERROR(INDEX(MgSubtipo,MATCH($C412,MgActId,0)),"")</f>
        <v/>
      </c>
      <c r="H412" s="59" t="inlineStr">
        <is>
          <t>A.5</t>
        </is>
      </c>
      <c r="I412" s="64">
        <f>IFERROR(INDEX(MgAmenNombre,MATCH(SUBSTITUTE($H412,"*","-"),MgAmenClave,0)),"")</f>
        <v/>
      </c>
      <c r="J412" s="28">
        <f>IFERROR(INDEX(MgAmenGrupo,MATCH(SUBSTITUTE($H412,"*","-"),MgAmenClave,0)),"")</f>
        <v/>
      </c>
      <c r="K412" s="64">
        <f>IFERROR(INDEX('1. Matriz de Activos'!$Q$6:$Q$239,MATCH($C412,MgActId,0)),"")</f>
        <v/>
      </c>
      <c r="L412" s="64">
        <f>IFERROR(INDEX('1. Matriz de Activos'!$R$6:$R$239,MATCH($C412,MgActId,0)),"")</f>
        <v/>
      </c>
      <c r="M412" s="64">
        <f>IFERROR(INDEX('1. Matriz de Activos'!$S$6:$S$239,MATCH($C412,MgActId,0)),"")</f>
        <v/>
      </c>
      <c r="N412" s="28">
        <f>IFERROR(INDEX(MgAmenDegD,MATCH(SUBSTITUTE($H412,"*","-"),MgAmenClave,0)),"No aplica")</f>
        <v/>
      </c>
      <c r="O412" s="28">
        <f>IFERROR(INDEX(MgAmenDegI,MATCH(SUBSTITUTE($H412,"*","-"),MgAmenClave,0)),"No aplica")</f>
        <v/>
      </c>
      <c r="P412" s="28">
        <f>IFERROR(INDEX(MgAmenDegC,MATCH(SUBSTITUTE($H412,"*","-"),MgAmenClave,0)),"No aplica")</f>
        <v/>
      </c>
      <c r="Q412" s="29">
        <f>IFERROR(VLOOKUP(K412,MgValor,2,0)*VLOOKUP(N412,MgDeg,2,0),0)</f>
        <v/>
      </c>
      <c r="R412" s="29">
        <f>IFERROR(VLOOKUP(L412,MgValor,2,0)*VLOOKUP(O412,MgDeg,2,0),0)</f>
        <v/>
      </c>
      <c r="S412" s="29">
        <f>IFERROR(VLOOKUP(M412,MgValor,2,0)*VLOOKUP(P412,MgDeg,2,0),0)</f>
        <v/>
      </c>
      <c r="T412" s="30">
        <f>MAX(Q412:S412)</f>
        <v/>
      </c>
      <c r="U412" s="28">
        <f>IFERROR(LOOKUP(T412,{0;0.5;1.5;3;4.5},{"Despreciable";"Bajo";"Medio";"Alto";"Muy alto"}),"")</f>
        <v/>
      </c>
      <c r="V412" s="13">
        <f>IFERROR(INDEX(MgAmenFrec,MATCH(SUBSTITUTE($H412,"*","-"),MgAmenClave,0)),"")</f>
        <v/>
      </c>
      <c r="W412" s="28">
        <f>IFERROR(LOOKUP(X412,{0;0.01;0.1;1;10;100},{"Muy baja";"Muy baja";"Baja";"Media";"Alta";"Muy alta"}),"")</f>
        <v/>
      </c>
      <c r="X412" s="31">
        <f>IFERROR(VLOOKUP(V412,MgFrec,2,0),0)</f>
        <v/>
      </c>
      <c r="Y412" s="30">
        <f>T412*X412</f>
        <v/>
      </c>
      <c r="Z412" s="28">
        <f>IFERROR(LOOKUP(Y412,{0;0.5;5;25},{"Bajo";"Medio";"Alto";"Crítico"}),"")</f>
        <v/>
      </c>
      <c r="AA412" s="64">
        <f>IF(T412&gt;=3,IF(X412&gt;=1,"Zona 1 — Crítica: impacto alto y ocurre al menos una vez al año","Zona 4 — Catastrófica poco probable: impacto alto pero excepcional"),IF(AND(T412&lt;1.5,X412&lt;1),"Zona 3 — Asumible: impacto bajo y muy poco frecuente","Zona 2 — Atención: riesgo intermedio"))</f>
        <v/>
      </c>
      <c r="AB412" s="64">
        <f>IFERROR(INDEX(MgAmenCtrl,MATCH(SUBSTITUTE($H412,"*","-"),MgAmenClave,0)),"")</f>
        <v/>
      </c>
      <c r="AC412" s="20" t="n"/>
      <c r="AD412" s="31">
        <f>IFERROR($X412*(1-IF($AC412="",$AL412,VLOOKUP($AC412,MgMad,2,0))),"")</f>
        <v/>
      </c>
      <c r="AE412" s="28">
        <f>IFERROR(LOOKUP(AD412,{0;0.01;0.1;1;10;100},{"Muy baja";"Muy baja";"Baja";"Media";"Alta";"Muy alta"}),"")</f>
        <v/>
      </c>
      <c r="AF412" s="30">
        <f>T412*AD412</f>
        <v/>
      </c>
      <c r="AG412" s="28">
        <f>IFERROR(LOOKUP(AF412,{0;0.5;5;25},{"Bajo";"Medio";"Alto";"Crítico"}),"")</f>
        <v/>
      </c>
      <c r="AH412" s="28">
        <f>IF(AG412="","",IF(OR(AG412="Crítico",AG412="Alto"),"Mitigar",IF(AG412="Medio","Mitigar","Aceptar y monitorear")))</f>
        <v/>
      </c>
      <c r="AI412" s="21" t="n"/>
      <c r="AJ412" s="21" t="n"/>
      <c r="AK412" s="20" t="n"/>
      <c r="AL412" s="77">
        <f>IFERROR(INDEX(MgAmenEfic,MATCH(SUBSTITUTE($H412,"*","-"),MgAmenClave,0)),0)</f>
        <v/>
      </c>
    </row>
    <row r="413" hidden="1" ht="105" customHeight="1" s="54">
      <c r="B413" s="59" t="inlineStr">
        <is>
          <t>R-0408</t>
        </is>
      </c>
      <c r="C413" s="59" t="inlineStr">
        <is>
          <t>TEC-008</t>
        </is>
      </c>
      <c r="D413" s="64">
        <f>IFERROR(INDEX(MgNombre,MATCH($C413,MgActId,0)),"")</f>
        <v/>
      </c>
      <c r="E413" s="64">
        <f>IFERROR(INDEX(MgProceso,MATCH($C413,MgActId,0)),"")</f>
        <v/>
      </c>
      <c r="F413" s="64">
        <f>IFERROR(INDEX(MgTipo,MATCH($C413,MgActId,0)),"")</f>
        <v/>
      </c>
      <c r="G413" s="64">
        <f>IFERROR(INDEX(MgSubtipo,MATCH($C413,MgActId,0)),"")</f>
        <v/>
      </c>
      <c r="H413" s="59" t="inlineStr">
        <is>
          <t>A.6</t>
        </is>
      </c>
      <c r="I413" s="64">
        <f>IFERROR(INDEX(MgAmenNombre,MATCH(SUBSTITUTE($H413,"*","-"),MgAmenClave,0)),"")</f>
        <v/>
      </c>
      <c r="J413" s="28">
        <f>IFERROR(INDEX(MgAmenGrupo,MATCH(SUBSTITUTE($H413,"*","-"),MgAmenClave,0)),"")</f>
        <v/>
      </c>
      <c r="K413" s="64">
        <f>IFERROR(INDEX('1. Matriz de Activos'!$Q$6:$Q$239,MATCH($C413,MgActId,0)),"")</f>
        <v/>
      </c>
      <c r="L413" s="64">
        <f>IFERROR(INDEX('1. Matriz de Activos'!$R$6:$R$239,MATCH($C413,MgActId,0)),"")</f>
        <v/>
      </c>
      <c r="M413" s="64">
        <f>IFERROR(INDEX('1. Matriz de Activos'!$S$6:$S$239,MATCH($C413,MgActId,0)),"")</f>
        <v/>
      </c>
      <c r="N413" s="28">
        <f>IFERROR(INDEX(MgAmenDegD,MATCH(SUBSTITUTE($H413,"*","-"),MgAmenClave,0)),"No aplica")</f>
        <v/>
      </c>
      <c r="O413" s="28">
        <f>IFERROR(INDEX(MgAmenDegI,MATCH(SUBSTITUTE($H413,"*","-"),MgAmenClave,0)),"No aplica")</f>
        <v/>
      </c>
      <c r="P413" s="28">
        <f>IFERROR(INDEX(MgAmenDegC,MATCH(SUBSTITUTE($H413,"*","-"),MgAmenClave,0)),"No aplica")</f>
        <v/>
      </c>
      <c r="Q413" s="29">
        <f>IFERROR(VLOOKUP(K413,MgValor,2,0)*VLOOKUP(N413,MgDeg,2,0),0)</f>
        <v/>
      </c>
      <c r="R413" s="29">
        <f>IFERROR(VLOOKUP(L413,MgValor,2,0)*VLOOKUP(O413,MgDeg,2,0),0)</f>
        <v/>
      </c>
      <c r="S413" s="29">
        <f>IFERROR(VLOOKUP(M413,MgValor,2,0)*VLOOKUP(P413,MgDeg,2,0),0)</f>
        <v/>
      </c>
      <c r="T413" s="30">
        <f>MAX(Q413:S413)</f>
        <v/>
      </c>
      <c r="U413" s="28">
        <f>IFERROR(LOOKUP(T413,{0;0.5;1.5;3;4.5},{"Despreciable";"Bajo";"Medio";"Alto";"Muy alto"}),"")</f>
        <v/>
      </c>
      <c r="V413" s="13">
        <f>IFERROR(INDEX(MgAmenFrec,MATCH(SUBSTITUTE($H413,"*","-"),MgAmenClave,0)),"")</f>
        <v/>
      </c>
      <c r="W413" s="28">
        <f>IFERROR(LOOKUP(X413,{0;0.01;0.1;1;10;100},{"Muy baja";"Muy baja";"Baja";"Media";"Alta";"Muy alta"}),"")</f>
        <v/>
      </c>
      <c r="X413" s="31">
        <f>IFERROR(VLOOKUP(V413,MgFrec,2,0),0)</f>
        <v/>
      </c>
      <c r="Y413" s="30">
        <f>T413*X413</f>
        <v/>
      </c>
      <c r="Z413" s="28">
        <f>IFERROR(LOOKUP(Y413,{0;0.5;5;25},{"Bajo";"Medio";"Alto";"Crítico"}),"")</f>
        <v/>
      </c>
      <c r="AA413" s="64">
        <f>IF(T413&gt;=3,IF(X413&gt;=1,"Zona 1 — Crítica: impacto alto y ocurre al menos una vez al año","Zona 4 — Catastrófica poco probable: impacto alto pero excepcional"),IF(AND(T413&lt;1.5,X413&lt;1),"Zona 3 — Asumible: impacto bajo y muy poco frecuente","Zona 2 — Atención: riesgo intermedio"))</f>
        <v/>
      </c>
      <c r="AB413" s="64">
        <f>IFERROR(INDEX(MgAmenCtrl,MATCH(SUBSTITUTE($H413,"*","-"),MgAmenClave,0)),"")</f>
        <v/>
      </c>
      <c r="AC413" s="20" t="n"/>
      <c r="AD413" s="31">
        <f>IFERROR($X413*(1-IF($AC413="",$AL413,VLOOKUP($AC413,MgMad,2,0))),"")</f>
        <v/>
      </c>
      <c r="AE413" s="28">
        <f>IFERROR(LOOKUP(AD413,{0;0.01;0.1;1;10;100},{"Muy baja";"Muy baja";"Baja";"Media";"Alta";"Muy alta"}),"")</f>
        <v/>
      </c>
      <c r="AF413" s="30">
        <f>T413*AD413</f>
        <v/>
      </c>
      <c r="AG413" s="28">
        <f>IFERROR(LOOKUP(AF413,{0;0.5;5;25},{"Bajo";"Medio";"Alto";"Crítico"}),"")</f>
        <v/>
      </c>
      <c r="AH413" s="28">
        <f>IF(AG413="","",IF(OR(AG413="Crítico",AG413="Alto"),"Mitigar",IF(AG413="Medio","Mitigar","Aceptar y monitorear")))</f>
        <v/>
      </c>
      <c r="AI413" s="21" t="n"/>
      <c r="AJ413" s="21" t="n"/>
      <c r="AK413" s="20" t="n"/>
      <c r="AL413" s="77">
        <f>IFERROR(INDEX(MgAmenEfic,MATCH(SUBSTITUTE($H413,"*","-"),MgAmenClave,0)),0)</f>
        <v/>
      </c>
    </row>
    <row r="414" hidden="1" ht="120" customHeight="1" s="54">
      <c r="B414" s="59" t="inlineStr">
        <is>
          <t>R-0409</t>
        </is>
      </c>
      <c r="C414" s="59" t="inlineStr">
        <is>
          <t>TEC-008</t>
        </is>
      </c>
      <c r="D414" s="64">
        <f>IFERROR(INDEX(MgNombre,MATCH($C414,MgActId,0)),"")</f>
        <v/>
      </c>
      <c r="E414" s="64">
        <f>IFERROR(INDEX(MgProceso,MATCH($C414,MgActId,0)),"")</f>
        <v/>
      </c>
      <c r="F414" s="64">
        <f>IFERROR(INDEX(MgTipo,MATCH($C414,MgActId,0)),"")</f>
        <v/>
      </c>
      <c r="G414" s="64">
        <f>IFERROR(INDEX(MgSubtipo,MATCH($C414,MgActId,0)),"")</f>
        <v/>
      </c>
      <c r="H414" s="59" t="inlineStr">
        <is>
          <t>A.11</t>
        </is>
      </c>
      <c r="I414" s="64">
        <f>IFERROR(INDEX(MgAmenNombre,MATCH(SUBSTITUTE($H414,"*","-"),MgAmenClave,0)),"")</f>
        <v/>
      </c>
      <c r="J414" s="28">
        <f>IFERROR(INDEX(MgAmenGrupo,MATCH(SUBSTITUTE($H414,"*","-"),MgAmenClave,0)),"")</f>
        <v/>
      </c>
      <c r="K414" s="64">
        <f>IFERROR(INDEX('1. Matriz de Activos'!$Q$6:$Q$239,MATCH($C414,MgActId,0)),"")</f>
        <v/>
      </c>
      <c r="L414" s="64">
        <f>IFERROR(INDEX('1. Matriz de Activos'!$R$6:$R$239,MATCH($C414,MgActId,0)),"")</f>
        <v/>
      </c>
      <c r="M414" s="64">
        <f>IFERROR(INDEX('1. Matriz de Activos'!$S$6:$S$239,MATCH($C414,MgActId,0)),"")</f>
        <v/>
      </c>
      <c r="N414" s="28">
        <f>IFERROR(INDEX(MgAmenDegD,MATCH(SUBSTITUTE($H414,"*","-"),MgAmenClave,0)),"No aplica")</f>
        <v/>
      </c>
      <c r="O414" s="28">
        <f>IFERROR(INDEX(MgAmenDegI,MATCH(SUBSTITUTE($H414,"*","-"),MgAmenClave,0)),"No aplica")</f>
        <v/>
      </c>
      <c r="P414" s="28">
        <f>IFERROR(INDEX(MgAmenDegC,MATCH(SUBSTITUTE($H414,"*","-"),MgAmenClave,0)),"No aplica")</f>
        <v/>
      </c>
      <c r="Q414" s="29">
        <f>IFERROR(VLOOKUP(K414,MgValor,2,0)*VLOOKUP(N414,MgDeg,2,0),0)</f>
        <v/>
      </c>
      <c r="R414" s="29">
        <f>IFERROR(VLOOKUP(L414,MgValor,2,0)*VLOOKUP(O414,MgDeg,2,0),0)</f>
        <v/>
      </c>
      <c r="S414" s="29">
        <f>IFERROR(VLOOKUP(M414,MgValor,2,0)*VLOOKUP(P414,MgDeg,2,0),0)</f>
        <v/>
      </c>
      <c r="T414" s="30">
        <f>MAX(Q414:S414)</f>
        <v/>
      </c>
      <c r="U414" s="28">
        <f>IFERROR(LOOKUP(T414,{0;0.5;1.5;3;4.5},{"Despreciable";"Bajo";"Medio";"Alto";"Muy alto"}),"")</f>
        <v/>
      </c>
      <c r="V414" s="13">
        <f>IFERROR(INDEX(MgAmenFrec,MATCH(SUBSTITUTE($H414,"*","-"),MgAmenClave,0)),"")</f>
        <v/>
      </c>
      <c r="W414" s="28">
        <f>IFERROR(LOOKUP(X414,{0;0.01;0.1;1;10;100},{"Muy baja";"Muy baja";"Baja";"Media";"Alta";"Muy alta"}),"")</f>
        <v/>
      </c>
      <c r="X414" s="31">
        <f>IFERROR(VLOOKUP(V414,MgFrec,2,0),0)</f>
        <v/>
      </c>
      <c r="Y414" s="30">
        <f>T414*X414</f>
        <v/>
      </c>
      <c r="Z414" s="28">
        <f>IFERROR(LOOKUP(Y414,{0;0.5;5;25},{"Bajo";"Medio";"Alto";"Crítico"}),"")</f>
        <v/>
      </c>
      <c r="AA414" s="64">
        <f>IF(T414&gt;=3,IF(X414&gt;=1,"Zona 1 — Crítica: impacto alto y ocurre al menos una vez al año","Zona 4 — Catastrófica poco probable: impacto alto pero excepcional"),IF(AND(T414&lt;1.5,X414&lt;1),"Zona 3 — Asumible: impacto bajo y muy poco frecuente","Zona 2 — Atención: riesgo intermedio"))</f>
        <v/>
      </c>
      <c r="AB414" s="64">
        <f>IFERROR(INDEX(MgAmenCtrl,MATCH(SUBSTITUTE($H414,"*","-"),MgAmenClave,0)),"")</f>
        <v/>
      </c>
      <c r="AC414" s="20" t="n"/>
      <c r="AD414" s="31">
        <f>IFERROR($X414*(1-IF($AC414="",$AL414,VLOOKUP($AC414,MgMad,2,0))),"")</f>
        <v/>
      </c>
      <c r="AE414" s="28">
        <f>IFERROR(LOOKUP(AD414,{0;0.01;0.1;1;10;100},{"Muy baja";"Muy baja";"Baja";"Media";"Alta";"Muy alta"}),"")</f>
        <v/>
      </c>
      <c r="AF414" s="30">
        <f>T414*AD414</f>
        <v/>
      </c>
      <c r="AG414" s="28">
        <f>IFERROR(LOOKUP(AF414,{0;0.5;5;25},{"Bajo";"Medio";"Alto";"Crítico"}),"")</f>
        <v/>
      </c>
      <c r="AH414" s="28">
        <f>IF(AG414="","",IF(OR(AG414="Crítico",AG414="Alto"),"Mitigar",IF(AG414="Medio","Mitigar","Aceptar y monitorear")))</f>
        <v/>
      </c>
      <c r="AI414" s="21" t="n"/>
      <c r="AJ414" s="21" t="n"/>
      <c r="AK414" s="20" t="n"/>
      <c r="AL414" s="77">
        <f>IFERROR(INDEX(MgAmenEfic,MATCH(SUBSTITUTE($H414,"*","-"),MgAmenClave,0)),0)</f>
        <v/>
      </c>
    </row>
    <row r="415" hidden="1" ht="90" customHeight="1" s="54">
      <c r="B415" s="59" t="inlineStr">
        <is>
          <t>R-0410</t>
        </is>
      </c>
      <c r="C415" s="59" t="inlineStr">
        <is>
          <t>TEC-008</t>
        </is>
      </c>
      <c r="D415" s="64">
        <f>IFERROR(INDEX(MgNombre,MATCH($C415,MgActId,0)),"")</f>
        <v/>
      </c>
      <c r="E415" s="64">
        <f>IFERROR(INDEX(MgProceso,MATCH($C415,MgActId,0)),"")</f>
        <v/>
      </c>
      <c r="F415" s="64">
        <f>IFERROR(INDEX(MgTipo,MATCH($C415,MgActId,0)),"")</f>
        <v/>
      </c>
      <c r="G415" s="64">
        <f>IFERROR(INDEX(MgSubtipo,MATCH($C415,MgActId,0)),"")</f>
        <v/>
      </c>
      <c r="H415" s="59" t="inlineStr">
        <is>
          <t>A.13</t>
        </is>
      </c>
      <c r="I415" s="64">
        <f>IFERROR(INDEX(MgAmenNombre,MATCH(SUBSTITUTE($H415,"*","-"),MgAmenClave,0)),"")</f>
        <v/>
      </c>
      <c r="J415" s="28">
        <f>IFERROR(INDEX(MgAmenGrupo,MATCH(SUBSTITUTE($H415,"*","-"),MgAmenClave,0)),"")</f>
        <v/>
      </c>
      <c r="K415" s="64">
        <f>IFERROR(INDEX('1. Matriz de Activos'!$Q$6:$Q$239,MATCH($C415,MgActId,0)),"")</f>
        <v/>
      </c>
      <c r="L415" s="64">
        <f>IFERROR(INDEX('1. Matriz de Activos'!$R$6:$R$239,MATCH($C415,MgActId,0)),"")</f>
        <v/>
      </c>
      <c r="M415" s="64">
        <f>IFERROR(INDEX('1. Matriz de Activos'!$S$6:$S$239,MATCH($C415,MgActId,0)),"")</f>
        <v/>
      </c>
      <c r="N415" s="28">
        <f>IFERROR(INDEX(MgAmenDegD,MATCH(SUBSTITUTE($H415,"*","-"),MgAmenClave,0)),"No aplica")</f>
        <v/>
      </c>
      <c r="O415" s="28">
        <f>IFERROR(INDEX(MgAmenDegI,MATCH(SUBSTITUTE($H415,"*","-"),MgAmenClave,0)),"No aplica")</f>
        <v/>
      </c>
      <c r="P415" s="28">
        <f>IFERROR(INDEX(MgAmenDegC,MATCH(SUBSTITUTE($H415,"*","-"),MgAmenClave,0)),"No aplica")</f>
        <v/>
      </c>
      <c r="Q415" s="29">
        <f>IFERROR(VLOOKUP(K415,MgValor,2,0)*VLOOKUP(N415,MgDeg,2,0),0)</f>
        <v/>
      </c>
      <c r="R415" s="29">
        <f>IFERROR(VLOOKUP(L415,MgValor,2,0)*VLOOKUP(O415,MgDeg,2,0),0)</f>
        <v/>
      </c>
      <c r="S415" s="29">
        <f>IFERROR(VLOOKUP(M415,MgValor,2,0)*VLOOKUP(P415,MgDeg,2,0),0)</f>
        <v/>
      </c>
      <c r="T415" s="30">
        <f>MAX(Q415:S415)</f>
        <v/>
      </c>
      <c r="U415" s="28">
        <f>IFERROR(LOOKUP(T415,{0;0.5;1.5;3;4.5},{"Despreciable";"Bajo";"Medio";"Alto";"Muy alto"}),"")</f>
        <v/>
      </c>
      <c r="V415" s="13">
        <f>IFERROR(INDEX(MgAmenFrec,MATCH(SUBSTITUTE($H415,"*","-"),MgAmenClave,0)),"")</f>
        <v/>
      </c>
      <c r="W415" s="28">
        <f>IFERROR(LOOKUP(X415,{0;0.01;0.1;1;10;100},{"Muy baja";"Muy baja";"Baja";"Media";"Alta";"Muy alta"}),"")</f>
        <v/>
      </c>
      <c r="X415" s="31">
        <f>IFERROR(VLOOKUP(V415,MgFrec,2,0),0)</f>
        <v/>
      </c>
      <c r="Y415" s="30">
        <f>T415*X415</f>
        <v/>
      </c>
      <c r="Z415" s="28">
        <f>IFERROR(LOOKUP(Y415,{0;0.5;5;25},{"Bajo";"Medio";"Alto";"Crítico"}),"")</f>
        <v/>
      </c>
      <c r="AA415" s="64">
        <f>IF(T415&gt;=3,IF(X415&gt;=1,"Zona 1 — Crítica: impacto alto y ocurre al menos una vez al año","Zona 4 — Catastrófica poco probable: impacto alto pero excepcional"),IF(AND(T415&lt;1.5,X415&lt;1),"Zona 3 — Asumible: impacto bajo y muy poco frecuente","Zona 2 — Atención: riesgo intermedio"))</f>
        <v/>
      </c>
      <c r="AB415" s="64">
        <f>IFERROR(INDEX(MgAmenCtrl,MATCH(SUBSTITUTE($H415,"*","-"),MgAmenClave,0)),"")</f>
        <v/>
      </c>
      <c r="AC415" s="20" t="n"/>
      <c r="AD415" s="31">
        <f>IFERROR($X415*(1-IF($AC415="",$AL415,VLOOKUP($AC415,MgMad,2,0))),"")</f>
        <v/>
      </c>
      <c r="AE415" s="28">
        <f>IFERROR(LOOKUP(AD415,{0;0.01;0.1;1;10;100},{"Muy baja";"Muy baja";"Baja";"Media";"Alta";"Muy alta"}),"")</f>
        <v/>
      </c>
      <c r="AF415" s="30">
        <f>T415*AD415</f>
        <v/>
      </c>
      <c r="AG415" s="28">
        <f>IFERROR(LOOKUP(AF415,{0;0.5;5;25},{"Bajo";"Medio";"Alto";"Crítico"}),"")</f>
        <v/>
      </c>
      <c r="AH415" s="28">
        <f>IF(AG415="","",IF(OR(AG415="Crítico",AG415="Alto"),"Mitigar",IF(AG415="Medio","Mitigar","Aceptar y monitorear")))</f>
        <v/>
      </c>
      <c r="AI415" s="21" t="n"/>
      <c r="AJ415" s="21" t="n"/>
      <c r="AK415" s="20" t="n"/>
      <c r="AL415" s="77">
        <f>IFERROR(INDEX(MgAmenEfic,MATCH(SUBSTITUTE($H415,"*","-"),MgAmenClave,0)),0)</f>
        <v/>
      </c>
    </row>
    <row r="416" hidden="1" ht="60" customHeight="1" s="54">
      <c r="B416" s="59" t="inlineStr">
        <is>
          <t>R-0411</t>
        </is>
      </c>
      <c r="C416" s="59" t="inlineStr">
        <is>
          <t>TEC-008</t>
        </is>
      </c>
      <c r="D416" s="64">
        <f>IFERROR(INDEX(MgNombre,MATCH($C416,MgActId,0)),"")</f>
        <v/>
      </c>
      <c r="E416" s="64">
        <f>IFERROR(INDEX(MgProceso,MATCH($C416,MgActId,0)),"")</f>
        <v/>
      </c>
      <c r="F416" s="64">
        <f>IFERROR(INDEX(MgTipo,MATCH($C416,MgActId,0)),"")</f>
        <v/>
      </c>
      <c r="G416" s="64">
        <f>IFERROR(INDEX(MgSubtipo,MATCH($C416,MgActId,0)),"")</f>
        <v/>
      </c>
      <c r="H416" s="59" t="inlineStr">
        <is>
          <t>A.15</t>
        </is>
      </c>
      <c r="I416" s="64">
        <f>IFERROR(INDEX(MgAmenNombre,MATCH(SUBSTITUTE($H416,"*","-"),MgAmenClave,0)),"")</f>
        <v/>
      </c>
      <c r="J416" s="28">
        <f>IFERROR(INDEX(MgAmenGrupo,MATCH(SUBSTITUTE($H416,"*","-"),MgAmenClave,0)),"")</f>
        <v/>
      </c>
      <c r="K416" s="64">
        <f>IFERROR(INDEX('1. Matriz de Activos'!$Q$6:$Q$239,MATCH($C416,MgActId,0)),"")</f>
        <v/>
      </c>
      <c r="L416" s="64">
        <f>IFERROR(INDEX('1. Matriz de Activos'!$R$6:$R$239,MATCH($C416,MgActId,0)),"")</f>
        <v/>
      </c>
      <c r="M416" s="64">
        <f>IFERROR(INDEX('1. Matriz de Activos'!$S$6:$S$239,MATCH($C416,MgActId,0)),"")</f>
        <v/>
      </c>
      <c r="N416" s="28">
        <f>IFERROR(INDEX(MgAmenDegD,MATCH(SUBSTITUTE($H416,"*","-"),MgAmenClave,0)),"No aplica")</f>
        <v/>
      </c>
      <c r="O416" s="28">
        <f>IFERROR(INDEX(MgAmenDegI,MATCH(SUBSTITUTE($H416,"*","-"),MgAmenClave,0)),"No aplica")</f>
        <v/>
      </c>
      <c r="P416" s="28">
        <f>IFERROR(INDEX(MgAmenDegC,MATCH(SUBSTITUTE($H416,"*","-"),MgAmenClave,0)),"No aplica")</f>
        <v/>
      </c>
      <c r="Q416" s="29">
        <f>IFERROR(VLOOKUP(K416,MgValor,2,0)*VLOOKUP(N416,MgDeg,2,0),0)</f>
        <v/>
      </c>
      <c r="R416" s="29">
        <f>IFERROR(VLOOKUP(L416,MgValor,2,0)*VLOOKUP(O416,MgDeg,2,0),0)</f>
        <v/>
      </c>
      <c r="S416" s="29">
        <f>IFERROR(VLOOKUP(M416,MgValor,2,0)*VLOOKUP(P416,MgDeg,2,0),0)</f>
        <v/>
      </c>
      <c r="T416" s="30">
        <f>MAX(Q416:S416)</f>
        <v/>
      </c>
      <c r="U416" s="28">
        <f>IFERROR(LOOKUP(T416,{0;0.5;1.5;3;4.5},{"Despreciable";"Bajo";"Medio";"Alto";"Muy alto"}),"")</f>
        <v/>
      </c>
      <c r="V416" s="13">
        <f>IFERROR(INDEX(MgAmenFrec,MATCH(SUBSTITUTE($H416,"*","-"),MgAmenClave,0)),"")</f>
        <v/>
      </c>
      <c r="W416" s="28">
        <f>IFERROR(LOOKUP(X416,{0;0.01;0.1;1;10;100},{"Muy baja";"Muy baja";"Baja";"Media";"Alta";"Muy alta"}),"")</f>
        <v/>
      </c>
      <c r="X416" s="31">
        <f>IFERROR(VLOOKUP(V416,MgFrec,2,0),0)</f>
        <v/>
      </c>
      <c r="Y416" s="30">
        <f>T416*X416</f>
        <v/>
      </c>
      <c r="Z416" s="28">
        <f>IFERROR(LOOKUP(Y416,{0;0.5;5;25},{"Bajo";"Medio";"Alto";"Crítico"}),"")</f>
        <v/>
      </c>
      <c r="AA416" s="64">
        <f>IF(T416&gt;=3,IF(X416&gt;=1,"Zona 1 — Crítica: impacto alto y ocurre al menos una vez al año","Zona 4 — Catastrófica poco probable: impacto alto pero excepcional"),IF(AND(T416&lt;1.5,X416&lt;1),"Zona 3 — Asumible: impacto bajo y muy poco frecuente","Zona 2 — Atención: riesgo intermedio"))</f>
        <v/>
      </c>
      <c r="AB416" s="64">
        <f>IFERROR(INDEX(MgAmenCtrl,MATCH(SUBSTITUTE($H416,"*","-"),MgAmenClave,0)),"")</f>
        <v/>
      </c>
      <c r="AC416" s="20" t="n"/>
      <c r="AD416" s="31">
        <f>IFERROR($X416*(1-IF($AC416="",$AL416,VLOOKUP($AC416,MgMad,2,0))),"")</f>
        <v/>
      </c>
      <c r="AE416" s="28">
        <f>IFERROR(LOOKUP(AD416,{0;0.01;0.1;1;10;100},{"Muy baja";"Muy baja";"Baja";"Media";"Alta";"Muy alta"}),"")</f>
        <v/>
      </c>
      <c r="AF416" s="30">
        <f>T416*AD416</f>
        <v/>
      </c>
      <c r="AG416" s="28">
        <f>IFERROR(LOOKUP(AF416,{0;0.5;5;25},{"Bajo";"Medio";"Alto";"Crítico"}),"")</f>
        <v/>
      </c>
      <c r="AH416" s="28">
        <f>IF(AG416="","",IF(OR(AG416="Crítico",AG416="Alto"),"Mitigar",IF(AG416="Medio","Mitigar","Aceptar y monitorear")))</f>
        <v/>
      </c>
      <c r="AI416" s="21" t="n"/>
      <c r="AJ416" s="21" t="n"/>
      <c r="AK416" s="20" t="n"/>
      <c r="AL416" s="77">
        <f>IFERROR(INDEX(MgAmenEfic,MATCH(SUBSTITUTE($H416,"*","-"),MgAmenClave,0)),0)</f>
        <v/>
      </c>
    </row>
    <row r="417" hidden="1" ht="60" customHeight="1" s="54">
      <c r="B417" s="59" t="inlineStr">
        <is>
          <t>R-0412</t>
        </is>
      </c>
      <c r="C417" s="59" t="inlineStr">
        <is>
          <t>TEC-008</t>
        </is>
      </c>
      <c r="D417" s="64">
        <f>IFERROR(INDEX(MgNombre,MATCH($C417,MgActId,0)),"")</f>
        <v/>
      </c>
      <c r="E417" s="64">
        <f>IFERROR(INDEX(MgProceso,MATCH($C417,MgActId,0)),"")</f>
        <v/>
      </c>
      <c r="F417" s="64">
        <f>IFERROR(INDEX(MgTipo,MATCH($C417,MgActId,0)),"")</f>
        <v/>
      </c>
      <c r="G417" s="64">
        <f>IFERROR(INDEX(MgSubtipo,MATCH($C417,MgActId,0)),"")</f>
        <v/>
      </c>
      <c r="H417" s="59" t="inlineStr">
        <is>
          <t>A.18</t>
        </is>
      </c>
      <c r="I417" s="64">
        <f>IFERROR(INDEX(MgAmenNombre,MATCH(SUBSTITUTE($H417,"*","-"),MgAmenClave,0)),"")</f>
        <v/>
      </c>
      <c r="J417" s="28">
        <f>IFERROR(INDEX(MgAmenGrupo,MATCH(SUBSTITUTE($H417,"*","-"),MgAmenClave,0)),"")</f>
        <v/>
      </c>
      <c r="K417" s="64">
        <f>IFERROR(INDEX('1. Matriz de Activos'!$Q$6:$Q$239,MATCH($C417,MgActId,0)),"")</f>
        <v/>
      </c>
      <c r="L417" s="64">
        <f>IFERROR(INDEX('1. Matriz de Activos'!$R$6:$R$239,MATCH($C417,MgActId,0)),"")</f>
        <v/>
      </c>
      <c r="M417" s="64">
        <f>IFERROR(INDEX('1. Matriz de Activos'!$S$6:$S$239,MATCH($C417,MgActId,0)),"")</f>
        <v/>
      </c>
      <c r="N417" s="28">
        <f>IFERROR(INDEX(MgAmenDegD,MATCH(SUBSTITUTE($H417,"*","-"),MgAmenClave,0)),"No aplica")</f>
        <v/>
      </c>
      <c r="O417" s="28">
        <f>IFERROR(INDEX(MgAmenDegI,MATCH(SUBSTITUTE($H417,"*","-"),MgAmenClave,0)),"No aplica")</f>
        <v/>
      </c>
      <c r="P417" s="28">
        <f>IFERROR(INDEX(MgAmenDegC,MATCH(SUBSTITUTE($H417,"*","-"),MgAmenClave,0)),"No aplica")</f>
        <v/>
      </c>
      <c r="Q417" s="29">
        <f>IFERROR(VLOOKUP(K417,MgValor,2,0)*VLOOKUP(N417,MgDeg,2,0),0)</f>
        <v/>
      </c>
      <c r="R417" s="29">
        <f>IFERROR(VLOOKUP(L417,MgValor,2,0)*VLOOKUP(O417,MgDeg,2,0),0)</f>
        <v/>
      </c>
      <c r="S417" s="29">
        <f>IFERROR(VLOOKUP(M417,MgValor,2,0)*VLOOKUP(P417,MgDeg,2,0),0)</f>
        <v/>
      </c>
      <c r="T417" s="30">
        <f>MAX(Q417:S417)</f>
        <v/>
      </c>
      <c r="U417" s="28">
        <f>IFERROR(LOOKUP(T417,{0;0.5;1.5;3;4.5},{"Despreciable";"Bajo";"Medio";"Alto";"Muy alto"}),"")</f>
        <v/>
      </c>
      <c r="V417" s="13">
        <f>IFERROR(INDEX(MgAmenFrec,MATCH(SUBSTITUTE($H417,"*","-"),MgAmenClave,0)),"")</f>
        <v/>
      </c>
      <c r="W417" s="28">
        <f>IFERROR(LOOKUP(X417,{0;0.01;0.1;1;10;100},{"Muy baja";"Muy baja";"Baja";"Media";"Alta";"Muy alta"}),"")</f>
        <v/>
      </c>
      <c r="X417" s="31">
        <f>IFERROR(VLOOKUP(V417,MgFrec,2,0),0)</f>
        <v/>
      </c>
      <c r="Y417" s="30">
        <f>T417*X417</f>
        <v/>
      </c>
      <c r="Z417" s="28">
        <f>IFERROR(LOOKUP(Y417,{0;0.5;5;25},{"Bajo";"Medio";"Alto";"Crítico"}),"")</f>
        <v/>
      </c>
      <c r="AA417" s="64">
        <f>IF(T417&gt;=3,IF(X417&gt;=1,"Zona 1 — Crítica: impacto alto y ocurre al menos una vez al año","Zona 4 — Catastrófica poco probable: impacto alto pero excepcional"),IF(AND(T417&lt;1.5,X417&lt;1),"Zona 3 — Asumible: impacto bajo y muy poco frecuente","Zona 2 — Atención: riesgo intermedio"))</f>
        <v/>
      </c>
      <c r="AB417" s="64">
        <f>IFERROR(INDEX(MgAmenCtrl,MATCH(SUBSTITUTE($H417,"*","-"),MgAmenClave,0)),"")</f>
        <v/>
      </c>
      <c r="AC417" s="20" t="n"/>
      <c r="AD417" s="31">
        <f>IFERROR($X417*(1-IF($AC417="",$AL417,VLOOKUP($AC417,MgMad,2,0))),"")</f>
        <v/>
      </c>
      <c r="AE417" s="28">
        <f>IFERROR(LOOKUP(AD417,{0;0.01;0.1;1;10;100},{"Muy baja";"Muy baja";"Baja";"Media";"Alta";"Muy alta"}),"")</f>
        <v/>
      </c>
      <c r="AF417" s="30">
        <f>T417*AD417</f>
        <v/>
      </c>
      <c r="AG417" s="28">
        <f>IFERROR(LOOKUP(AF417,{0;0.5;5;25},{"Bajo";"Medio";"Alto";"Crítico"}),"")</f>
        <v/>
      </c>
      <c r="AH417" s="28">
        <f>IF(AG417="","",IF(OR(AG417="Crítico",AG417="Alto"),"Mitigar",IF(AG417="Medio","Mitigar","Aceptar y monitorear")))</f>
        <v/>
      </c>
      <c r="AI417" s="21" t="n"/>
      <c r="AJ417" s="21" t="n"/>
      <c r="AK417" s="20" t="n"/>
      <c r="AL417" s="77">
        <f>IFERROR(INDEX(MgAmenEfic,MATCH(SUBSTITUTE($H417,"*","-"),MgAmenClave,0)),0)</f>
        <v/>
      </c>
    </row>
    <row r="418" hidden="1" ht="120" customHeight="1" s="54">
      <c r="B418" s="59" t="inlineStr">
        <is>
          <t>R-0413</t>
        </is>
      </c>
      <c r="C418" s="59" t="inlineStr">
        <is>
          <t>TEC-008</t>
        </is>
      </c>
      <c r="D418" s="64">
        <f>IFERROR(INDEX(MgNombre,MATCH($C418,MgActId,0)),"")</f>
        <v/>
      </c>
      <c r="E418" s="64">
        <f>IFERROR(INDEX(MgProceso,MATCH($C418,MgActId,0)),"")</f>
        <v/>
      </c>
      <c r="F418" s="64">
        <f>IFERROR(INDEX(MgTipo,MATCH($C418,MgActId,0)),"")</f>
        <v/>
      </c>
      <c r="G418" s="64">
        <f>IFERROR(INDEX(MgSubtipo,MATCH($C418,MgActId,0)),"")</f>
        <v/>
      </c>
      <c r="H418" s="59" t="inlineStr">
        <is>
          <t>A.19</t>
        </is>
      </c>
      <c r="I418" s="64">
        <f>IFERROR(INDEX(MgAmenNombre,MATCH(SUBSTITUTE($H418,"*","-"),MgAmenClave,0)),"")</f>
        <v/>
      </c>
      <c r="J418" s="28">
        <f>IFERROR(INDEX(MgAmenGrupo,MATCH(SUBSTITUTE($H418,"*","-"),MgAmenClave,0)),"")</f>
        <v/>
      </c>
      <c r="K418" s="64">
        <f>IFERROR(INDEX('1. Matriz de Activos'!$Q$6:$Q$239,MATCH($C418,MgActId,0)),"")</f>
        <v/>
      </c>
      <c r="L418" s="64">
        <f>IFERROR(INDEX('1. Matriz de Activos'!$R$6:$R$239,MATCH($C418,MgActId,0)),"")</f>
        <v/>
      </c>
      <c r="M418" s="64">
        <f>IFERROR(INDEX('1. Matriz de Activos'!$S$6:$S$239,MATCH($C418,MgActId,0)),"")</f>
        <v/>
      </c>
      <c r="N418" s="28">
        <f>IFERROR(INDEX(MgAmenDegD,MATCH(SUBSTITUTE($H418,"*","-"),MgAmenClave,0)),"No aplica")</f>
        <v/>
      </c>
      <c r="O418" s="28">
        <f>IFERROR(INDEX(MgAmenDegI,MATCH(SUBSTITUTE($H418,"*","-"),MgAmenClave,0)),"No aplica")</f>
        <v/>
      </c>
      <c r="P418" s="28">
        <f>IFERROR(INDEX(MgAmenDegC,MATCH(SUBSTITUTE($H418,"*","-"),MgAmenClave,0)),"No aplica")</f>
        <v/>
      </c>
      <c r="Q418" s="29">
        <f>IFERROR(VLOOKUP(K418,MgValor,2,0)*VLOOKUP(N418,MgDeg,2,0),0)</f>
        <v/>
      </c>
      <c r="R418" s="29">
        <f>IFERROR(VLOOKUP(L418,MgValor,2,0)*VLOOKUP(O418,MgDeg,2,0),0)</f>
        <v/>
      </c>
      <c r="S418" s="29">
        <f>IFERROR(VLOOKUP(M418,MgValor,2,0)*VLOOKUP(P418,MgDeg,2,0),0)</f>
        <v/>
      </c>
      <c r="T418" s="30">
        <f>MAX(Q418:S418)</f>
        <v/>
      </c>
      <c r="U418" s="28">
        <f>IFERROR(LOOKUP(T418,{0;0.5;1.5;3;4.5},{"Despreciable";"Bajo";"Medio";"Alto";"Muy alto"}),"")</f>
        <v/>
      </c>
      <c r="V418" s="13">
        <f>IFERROR(INDEX(MgAmenFrec,MATCH(SUBSTITUTE($H418,"*","-"),MgAmenClave,0)),"")</f>
        <v/>
      </c>
      <c r="W418" s="28">
        <f>IFERROR(LOOKUP(X418,{0;0.01;0.1;1;10;100},{"Muy baja";"Muy baja";"Baja";"Media";"Alta";"Muy alta"}),"")</f>
        <v/>
      </c>
      <c r="X418" s="31">
        <f>IFERROR(VLOOKUP(V418,MgFrec,2,0),0)</f>
        <v/>
      </c>
      <c r="Y418" s="30">
        <f>T418*X418</f>
        <v/>
      </c>
      <c r="Z418" s="28">
        <f>IFERROR(LOOKUP(Y418,{0;0.5;5;25},{"Bajo";"Medio";"Alto";"Crítico"}),"")</f>
        <v/>
      </c>
      <c r="AA418" s="64">
        <f>IF(T418&gt;=3,IF(X418&gt;=1,"Zona 1 — Crítica: impacto alto y ocurre al menos una vez al año","Zona 4 — Catastrófica poco probable: impacto alto pero excepcional"),IF(AND(T418&lt;1.5,X418&lt;1),"Zona 3 — Asumible: impacto bajo y muy poco frecuente","Zona 2 — Atención: riesgo intermedio"))</f>
        <v/>
      </c>
      <c r="AB418" s="64">
        <f>IFERROR(INDEX(MgAmenCtrl,MATCH(SUBSTITUTE($H418,"*","-"),MgAmenClave,0)),"")</f>
        <v/>
      </c>
      <c r="AC418" s="20" t="n"/>
      <c r="AD418" s="31">
        <f>IFERROR($X418*(1-IF($AC418="",$AL418,VLOOKUP($AC418,MgMad,2,0))),"")</f>
        <v/>
      </c>
      <c r="AE418" s="28">
        <f>IFERROR(LOOKUP(AD418,{0;0.01;0.1;1;10;100},{"Muy baja";"Muy baja";"Baja";"Media";"Alta";"Muy alta"}),"")</f>
        <v/>
      </c>
      <c r="AF418" s="30">
        <f>T418*AD418</f>
        <v/>
      </c>
      <c r="AG418" s="28">
        <f>IFERROR(LOOKUP(AF418,{0;0.5;5;25},{"Bajo";"Medio";"Alto";"Crítico"}),"")</f>
        <v/>
      </c>
      <c r="AH418" s="28">
        <f>IF(AG418="","",IF(OR(AG418="Crítico",AG418="Alto"),"Mitigar",IF(AG418="Medio","Mitigar","Aceptar y monitorear")))</f>
        <v/>
      </c>
      <c r="AI418" s="21" t="n"/>
      <c r="AJ418" s="21" t="n"/>
      <c r="AK418" s="20" t="n"/>
      <c r="AL418" s="77">
        <f>IFERROR(INDEX(MgAmenEfic,MATCH(SUBSTITUTE($H418,"*","-"),MgAmenClave,0)),0)</f>
        <v/>
      </c>
    </row>
    <row r="419" hidden="1" ht="105" customHeight="1" s="54">
      <c r="B419" s="59" t="inlineStr">
        <is>
          <t>R-0414</t>
        </is>
      </c>
      <c r="C419" s="59" t="inlineStr">
        <is>
          <t>GH-057</t>
        </is>
      </c>
      <c r="D419" s="64">
        <f>IFERROR(INDEX(MgNombre,MATCH($C419,MgActId,0)),"")</f>
        <v/>
      </c>
      <c r="E419" s="64">
        <f>IFERROR(INDEX(MgProceso,MATCH($C419,MgActId,0)),"")</f>
        <v/>
      </c>
      <c r="F419" s="64">
        <f>IFERROR(INDEX(MgTipo,MATCH($C419,MgActId,0)),"")</f>
        <v/>
      </c>
      <c r="G419" s="64">
        <f>IFERROR(INDEX(MgSubtipo,MATCH($C419,MgActId,0)),"")</f>
        <v/>
      </c>
      <c r="H419" s="59" t="inlineStr">
        <is>
          <t>E.1</t>
        </is>
      </c>
      <c r="I419" s="64">
        <f>IFERROR(INDEX(MgAmenNombre,MATCH(SUBSTITUTE($H419,"*","-"),MgAmenClave,0)),"")</f>
        <v/>
      </c>
      <c r="J419" s="28">
        <f>IFERROR(INDEX(MgAmenGrupo,MATCH(SUBSTITUTE($H419,"*","-"),MgAmenClave,0)),"")</f>
        <v/>
      </c>
      <c r="K419" s="64">
        <f>IFERROR(INDEX('1. Matriz de Activos'!$Q$6:$Q$239,MATCH($C419,MgActId,0)),"")</f>
        <v/>
      </c>
      <c r="L419" s="64">
        <f>IFERROR(INDEX('1. Matriz de Activos'!$R$6:$R$239,MATCH($C419,MgActId,0)),"")</f>
        <v/>
      </c>
      <c r="M419" s="64">
        <f>IFERROR(INDEX('1. Matriz de Activos'!$S$6:$S$239,MATCH($C419,MgActId,0)),"")</f>
        <v/>
      </c>
      <c r="N419" s="28">
        <f>IFERROR(INDEX(MgAmenDegD,MATCH(SUBSTITUTE($H419,"*","-"),MgAmenClave,0)),"No aplica")</f>
        <v/>
      </c>
      <c r="O419" s="28">
        <f>IFERROR(INDEX(MgAmenDegI,MATCH(SUBSTITUTE($H419,"*","-"),MgAmenClave,0)),"No aplica")</f>
        <v/>
      </c>
      <c r="P419" s="28">
        <f>IFERROR(INDEX(MgAmenDegC,MATCH(SUBSTITUTE($H419,"*","-"),MgAmenClave,0)),"No aplica")</f>
        <v/>
      </c>
      <c r="Q419" s="29">
        <f>IFERROR(VLOOKUP(K419,MgValor,2,0)*VLOOKUP(N419,MgDeg,2,0),0)</f>
        <v/>
      </c>
      <c r="R419" s="29">
        <f>IFERROR(VLOOKUP(L419,MgValor,2,0)*VLOOKUP(O419,MgDeg,2,0),0)</f>
        <v/>
      </c>
      <c r="S419" s="29">
        <f>IFERROR(VLOOKUP(M419,MgValor,2,0)*VLOOKUP(P419,MgDeg,2,0),0)</f>
        <v/>
      </c>
      <c r="T419" s="30">
        <f>MAX(Q419:S419)</f>
        <v/>
      </c>
      <c r="U419" s="28">
        <f>IFERROR(LOOKUP(T419,{0;0.5;1.5;3;4.5},{"Despreciable";"Bajo";"Medio";"Alto";"Muy alto"}),"")</f>
        <v/>
      </c>
      <c r="V419" s="13">
        <f>IFERROR(INDEX(MgAmenFrec,MATCH(SUBSTITUTE($H419,"*","-"),MgAmenClave,0)),"")</f>
        <v/>
      </c>
      <c r="W419" s="28">
        <f>IFERROR(LOOKUP(X419,{0;0.01;0.1;1;10;100},{"Muy baja";"Muy baja";"Baja";"Media";"Alta";"Muy alta"}),"")</f>
        <v/>
      </c>
      <c r="X419" s="31">
        <f>IFERROR(VLOOKUP(V419,MgFrec,2,0),0)</f>
        <v/>
      </c>
      <c r="Y419" s="30">
        <f>T419*X419</f>
        <v/>
      </c>
      <c r="Z419" s="28">
        <f>IFERROR(LOOKUP(Y419,{0;0.5;5;25},{"Bajo";"Medio";"Alto";"Crítico"}),"")</f>
        <v/>
      </c>
      <c r="AA419" s="64">
        <f>IF(T419&gt;=3,IF(X419&gt;=1,"Zona 1 — Crítica: impacto alto y ocurre al menos una vez al año","Zona 4 — Catastrófica poco probable: impacto alto pero excepcional"),IF(AND(T419&lt;1.5,X419&lt;1),"Zona 3 — Asumible: impacto bajo y muy poco frecuente","Zona 2 — Atención: riesgo intermedio"))</f>
        <v/>
      </c>
      <c r="AB419" s="64">
        <f>IFERROR(INDEX(MgAmenCtrl,MATCH(SUBSTITUTE($H419,"*","-"),MgAmenClave,0)),"")</f>
        <v/>
      </c>
      <c r="AC419" s="20" t="n"/>
      <c r="AD419" s="31">
        <f>IFERROR($X419*(1-IF($AC419="",$AL419,VLOOKUP($AC419,MgMad,2,0))),"")</f>
        <v/>
      </c>
      <c r="AE419" s="28">
        <f>IFERROR(LOOKUP(AD419,{0;0.01;0.1;1;10;100},{"Muy baja";"Muy baja";"Baja";"Media";"Alta";"Muy alta"}),"")</f>
        <v/>
      </c>
      <c r="AF419" s="30">
        <f>T419*AD419</f>
        <v/>
      </c>
      <c r="AG419" s="28">
        <f>IFERROR(LOOKUP(AF419,{0;0.5;5;25},{"Bajo";"Medio";"Alto";"Crítico"}),"")</f>
        <v/>
      </c>
      <c r="AH419" s="28">
        <f>IF(AG419="","",IF(OR(AG419="Crítico",AG419="Alto"),"Mitigar",IF(AG419="Medio","Mitigar","Aceptar y monitorear")))</f>
        <v/>
      </c>
      <c r="AI419" s="21" t="n"/>
      <c r="AJ419" s="21" t="n"/>
      <c r="AK419" s="20" t="n"/>
      <c r="AL419" s="77">
        <f>IFERROR(INDEX(MgAmenEfic,MATCH(SUBSTITUTE($H419,"*","-"),MgAmenClave,0)),0)</f>
        <v/>
      </c>
    </row>
    <row r="420" hidden="1" ht="120" customHeight="1" s="54">
      <c r="B420" s="59" t="inlineStr">
        <is>
          <t>R-0415</t>
        </is>
      </c>
      <c r="C420" s="59" t="inlineStr">
        <is>
          <t>GH-057</t>
        </is>
      </c>
      <c r="D420" s="64">
        <f>IFERROR(INDEX(MgNombre,MATCH($C420,MgActId,0)),"")</f>
        <v/>
      </c>
      <c r="E420" s="64">
        <f>IFERROR(INDEX(MgProceso,MATCH($C420,MgActId,0)),"")</f>
        <v/>
      </c>
      <c r="F420" s="64">
        <f>IFERROR(INDEX(MgTipo,MATCH($C420,MgActId,0)),"")</f>
        <v/>
      </c>
      <c r="G420" s="64">
        <f>IFERROR(INDEX(MgSubtipo,MATCH($C420,MgActId,0)),"")</f>
        <v/>
      </c>
      <c r="H420" s="59" t="inlineStr">
        <is>
          <t>E.2</t>
        </is>
      </c>
      <c r="I420" s="64">
        <f>IFERROR(INDEX(MgAmenNombre,MATCH(SUBSTITUTE($H420,"*","-"),MgAmenClave,0)),"")</f>
        <v/>
      </c>
      <c r="J420" s="28">
        <f>IFERROR(INDEX(MgAmenGrupo,MATCH(SUBSTITUTE($H420,"*","-"),MgAmenClave,0)),"")</f>
        <v/>
      </c>
      <c r="K420" s="64">
        <f>IFERROR(INDEX('1. Matriz de Activos'!$Q$6:$Q$239,MATCH($C420,MgActId,0)),"")</f>
        <v/>
      </c>
      <c r="L420" s="64">
        <f>IFERROR(INDEX('1. Matriz de Activos'!$R$6:$R$239,MATCH($C420,MgActId,0)),"")</f>
        <v/>
      </c>
      <c r="M420" s="64">
        <f>IFERROR(INDEX('1. Matriz de Activos'!$S$6:$S$239,MATCH($C420,MgActId,0)),"")</f>
        <v/>
      </c>
      <c r="N420" s="28">
        <f>IFERROR(INDEX(MgAmenDegD,MATCH(SUBSTITUTE($H420,"*","-"),MgAmenClave,0)),"No aplica")</f>
        <v/>
      </c>
      <c r="O420" s="28">
        <f>IFERROR(INDEX(MgAmenDegI,MATCH(SUBSTITUTE($H420,"*","-"),MgAmenClave,0)),"No aplica")</f>
        <v/>
      </c>
      <c r="P420" s="28">
        <f>IFERROR(INDEX(MgAmenDegC,MATCH(SUBSTITUTE($H420,"*","-"),MgAmenClave,0)),"No aplica")</f>
        <v/>
      </c>
      <c r="Q420" s="29">
        <f>IFERROR(VLOOKUP(K420,MgValor,2,0)*VLOOKUP(N420,MgDeg,2,0),0)</f>
        <v/>
      </c>
      <c r="R420" s="29">
        <f>IFERROR(VLOOKUP(L420,MgValor,2,0)*VLOOKUP(O420,MgDeg,2,0),0)</f>
        <v/>
      </c>
      <c r="S420" s="29">
        <f>IFERROR(VLOOKUP(M420,MgValor,2,0)*VLOOKUP(P420,MgDeg,2,0),0)</f>
        <v/>
      </c>
      <c r="T420" s="30">
        <f>MAX(Q420:S420)</f>
        <v/>
      </c>
      <c r="U420" s="28">
        <f>IFERROR(LOOKUP(T420,{0;0.5;1.5;3;4.5},{"Despreciable";"Bajo";"Medio";"Alto";"Muy alto"}),"")</f>
        <v/>
      </c>
      <c r="V420" s="13">
        <f>IFERROR(INDEX(MgAmenFrec,MATCH(SUBSTITUTE($H420,"*","-"),MgAmenClave,0)),"")</f>
        <v/>
      </c>
      <c r="W420" s="28">
        <f>IFERROR(LOOKUP(X420,{0;0.01;0.1;1;10;100},{"Muy baja";"Muy baja";"Baja";"Media";"Alta";"Muy alta"}),"")</f>
        <v/>
      </c>
      <c r="X420" s="31">
        <f>IFERROR(VLOOKUP(V420,MgFrec,2,0),0)</f>
        <v/>
      </c>
      <c r="Y420" s="30">
        <f>T420*X420</f>
        <v/>
      </c>
      <c r="Z420" s="28">
        <f>IFERROR(LOOKUP(Y420,{0;0.5;5;25},{"Bajo";"Medio";"Alto";"Crítico"}),"")</f>
        <v/>
      </c>
      <c r="AA420" s="64">
        <f>IF(T420&gt;=3,IF(X420&gt;=1,"Zona 1 — Crítica: impacto alto y ocurre al menos una vez al año","Zona 4 — Catastrófica poco probable: impacto alto pero excepcional"),IF(AND(T420&lt;1.5,X420&lt;1),"Zona 3 — Asumible: impacto bajo y muy poco frecuente","Zona 2 — Atención: riesgo intermedio"))</f>
        <v/>
      </c>
      <c r="AB420" s="64">
        <f>IFERROR(INDEX(MgAmenCtrl,MATCH(SUBSTITUTE($H420,"*","-"),MgAmenClave,0)),"")</f>
        <v/>
      </c>
      <c r="AC420" s="20" t="n"/>
      <c r="AD420" s="31">
        <f>IFERROR($X420*(1-IF($AC420="",$AL420,VLOOKUP($AC420,MgMad,2,0))),"")</f>
        <v/>
      </c>
      <c r="AE420" s="28">
        <f>IFERROR(LOOKUP(AD420,{0;0.01;0.1;1;10;100},{"Muy baja";"Muy baja";"Baja";"Media";"Alta";"Muy alta"}),"")</f>
        <v/>
      </c>
      <c r="AF420" s="30">
        <f>T420*AD420</f>
        <v/>
      </c>
      <c r="AG420" s="28">
        <f>IFERROR(LOOKUP(AF420,{0;0.5;5;25},{"Bajo";"Medio";"Alto";"Crítico"}),"")</f>
        <v/>
      </c>
      <c r="AH420" s="28">
        <f>IF(AG420="","",IF(OR(AG420="Crítico",AG420="Alto"),"Mitigar",IF(AG420="Medio","Mitigar","Aceptar y monitorear")))</f>
        <v/>
      </c>
      <c r="AI420" s="21" t="n"/>
      <c r="AJ420" s="21" t="n"/>
      <c r="AK420" s="20" t="n"/>
      <c r="AL420" s="77">
        <f>IFERROR(INDEX(MgAmenEfic,MATCH(SUBSTITUTE($H420,"*","-"),MgAmenClave,0)),0)</f>
        <v/>
      </c>
    </row>
    <row r="421" hidden="1" ht="75" customHeight="1" s="54">
      <c r="B421" s="59" t="inlineStr">
        <is>
          <t>R-0416</t>
        </is>
      </c>
      <c r="C421" s="59" t="inlineStr">
        <is>
          <t>GH-057</t>
        </is>
      </c>
      <c r="D421" s="64">
        <f>IFERROR(INDEX(MgNombre,MATCH($C421,MgActId,0)),"")</f>
        <v/>
      </c>
      <c r="E421" s="64">
        <f>IFERROR(INDEX(MgProceso,MATCH($C421,MgActId,0)),"")</f>
        <v/>
      </c>
      <c r="F421" s="64">
        <f>IFERROR(INDEX(MgTipo,MATCH($C421,MgActId,0)),"")</f>
        <v/>
      </c>
      <c r="G421" s="64">
        <f>IFERROR(INDEX(MgSubtipo,MATCH($C421,MgActId,0)),"")</f>
        <v/>
      </c>
      <c r="H421" s="59" t="inlineStr">
        <is>
          <t>E.3</t>
        </is>
      </c>
      <c r="I421" s="64">
        <f>IFERROR(INDEX(MgAmenNombre,MATCH(SUBSTITUTE($H421,"*","-"),MgAmenClave,0)),"")</f>
        <v/>
      </c>
      <c r="J421" s="28">
        <f>IFERROR(INDEX(MgAmenGrupo,MATCH(SUBSTITUTE($H421,"*","-"),MgAmenClave,0)),"")</f>
        <v/>
      </c>
      <c r="K421" s="64">
        <f>IFERROR(INDEX('1. Matriz de Activos'!$Q$6:$Q$239,MATCH($C421,MgActId,0)),"")</f>
        <v/>
      </c>
      <c r="L421" s="64">
        <f>IFERROR(INDEX('1. Matriz de Activos'!$R$6:$R$239,MATCH($C421,MgActId,0)),"")</f>
        <v/>
      </c>
      <c r="M421" s="64">
        <f>IFERROR(INDEX('1. Matriz de Activos'!$S$6:$S$239,MATCH($C421,MgActId,0)),"")</f>
        <v/>
      </c>
      <c r="N421" s="28">
        <f>IFERROR(INDEX(MgAmenDegD,MATCH(SUBSTITUTE($H421,"*","-"),MgAmenClave,0)),"No aplica")</f>
        <v/>
      </c>
      <c r="O421" s="28">
        <f>IFERROR(INDEX(MgAmenDegI,MATCH(SUBSTITUTE($H421,"*","-"),MgAmenClave,0)),"No aplica")</f>
        <v/>
      </c>
      <c r="P421" s="28">
        <f>IFERROR(INDEX(MgAmenDegC,MATCH(SUBSTITUTE($H421,"*","-"),MgAmenClave,0)),"No aplica")</f>
        <v/>
      </c>
      <c r="Q421" s="29">
        <f>IFERROR(VLOOKUP(K421,MgValor,2,0)*VLOOKUP(N421,MgDeg,2,0),0)</f>
        <v/>
      </c>
      <c r="R421" s="29">
        <f>IFERROR(VLOOKUP(L421,MgValor,2,0)*VLOOKUP(O421,MgDeg,2,0),0)</f>
        <v/>
      </c>
      <c r="S421" s="29">
        <f>IFERROR(VLOOKUP(M421,MgValor,2,0)*VLOOKUP(P421,MgDeg,2,0),0)</f>
        <v/>
      </c>
      <c r="T421" s="30">
        <f>MAX(Q421:S421)</f>
        <v/>
      </c>
      <c r="U421" s="28">
        <f>IFERROR(LOOKUP(T421,{0;0.5;1.5;3;4.5},{"Despreciable";"Bajo";"Medio";"Alto";"Muy alto"}),"")</f>
        <v/>
      </c>
      <c r="V421" s="13">
        <f>IFERROR(INDEX(MgAmenFrec,MATCH(SUBSTITUTE($H421,"*","-"),MgAmenClave,0)),"")</f>
        <v/>
      </c>
      <c r="W421" s="28">
        <f>IFERROR(LOOKUP(X421,{0;0.01;0.1;1;10;100},{"Muy baja";"Muy baja";"Baja";"Media";"Alta";"Muy alta"}),"")</f>
        <v/>
      </c>
      <c r="X421" s="31">
        <f>IFERROR(VLOOKUP(V421,MgFrec,2,0),0)</f>
        <v/>
      </c>
      <c r="Y421" s="30">
        <f>T421*X421</f>
        <v/>
      </c>
      <c r="Z421" s="28">
        <f>IFERROR(LOOKUP(Y421,{0;0.5;5;25},{"Bajo";"Medio";"Alto";"Crítico"}),"")</f>
        <v/>
      </c>
      <c r="AA421" s="64">
        <f>IF(T421&gt;=3,IF(X421&gt;=1,"Zona 1 — Crítica: impacto alto y ocurre al menos una vez al año","Zona 4 — Catastrófica poco probable: impacto alto pero excepcional"),IF(AND(T421&lt;1.5,X421&lt;1),"Zona 3 — Asumible: impacto bajo y muy poco frecuente","Zona 2 — Atención: riesgo intermedio"))</f>
        <v/>
      </c>
      <c r="AB421" s="64">
        <f>IFERROR(INDEX(MgAmenCtrl,MATCH(SUBSTITUTE($H421,"*","-"),MgAmenClave,0)),"")</f>
        <v/>
      </c>
      <c r="AC421" s="20" t="n"/>
      <c r="AD421" s="31">
        <f>IFERROR($X421*(1-IF($AC421="",$AL421,VLOOKUP($AC421,MgMad,2,0))),"")</f>
        <v/>
      </c>
      <c r="AE421" s="28">
        <f>IFERROR(LOOKUP(AD421,{0;0.01;0.1;1;10;100},{"Muy baja";"Muy baja";"Baja";"Media";"Alta";"Muy alta"}),"")</f>
        <v/>
      </c>
      <c r="AF421" s="30">
        <f>T421*AD421</f>
        <v/>
      </c>
      <c r="AG421" s="28">
        <f>IFERROR(LOOKUP(AF421,{0;0.5;5;25},{"Bajo";"Medio";"Alto";"Crítico"}),"")</f>
        <v/>
      </c>
      <c r="AH421" s="28">
        <f>IF(AG421="","",IF(OR(AG421="Crítico",AG421="Alto"),"Mitigar",IF(AG421="Medio","Mitigar","Aceptar y monitorear")))</f>
        <v/>
      </c>
      <c r="AI421" s="21" t="n"/>
      <c r="AJ421" s="21" t="n"/>
      <c r="AK421" s="20" t="n"/>
      <c r="AL421" s="77">
        <f>IFERROR(INDEX(MgAmenEfic,MATCH(SUBSTITUTE($H421,"*","-"),MgAmenClave,0)),0)</f>
        <v/>
      </c>
    </row>
    <row r="422" hidden="1" ht="75" customHeight="1" s="54">
      <c r="B422" s="59" t="inlineStr">
        <is>
          <t>R-0417</t>
        </is>
      </c>
      <c r="C422" s="59" t="inlineStr">
        <is>
          <t>GH-057</t>
        </is>
      </c>
      <c r="D422" s="64">
        <f>IFERROR(INDEX(MgNombre,MATCH($C422,MgActId,0)),"")</f>
        <v/>
      </c>
      <c r="E422" s="64">
        <f>IFERROR(INDEX(MgProceso,MATCH($C422,MgActId,0)),"")</f>
        <v/>
      </c>
      <c r="F422" s="64">
        <f>IFERROR(INDEX(MgTipo,MATCH($C422,MgActId,0)),"")</f>
        <v/>
      </c>
      <c r="G422" s="64">
        <f>IFERROR(INDEX(MgSubtipo,MATCH($C422,MgActId,0)),"")</f>
        <v/>
      </c>
      <c r="H422" s="59" t="inlineStr">
        <is>
          <t>E.4</t>
        </is>
      </c>
      <c r="I422" s="64">
        <f>IFERROR(INDEX(MgAmenNombre,MATCH(SUBSTITUTE($H422,"*","-"),MgAmenClave,0)),"")</f>
        <v/>
      </c>
      <c r="J422" s="28">
        <f>IFERROR(INDEX(MgAmenGrupo,MATCH(SUBSTITUTE($H422,"*","-"),MgAmenClave,0)),"")</f>
        <v/>
      </c>
      <c r="K422" s="64">
        <f>IFERROR(INDEX('1. Matriz de Activos'!$Q$6:$Q$239,MATCH($C422,MgActId,0)),"")</f>
        <v/>
      </c>
      <c r="L422" s="64">
        <f>IFERROR(INDEX('1. Matriz de Activos'!$R$6:$R$239,MATCH($C422,MgActId,0)),"")</f>
        <v/>
      </c>
      <c r="M422" s="64">
        <f>IFERROR(INDEX('1. Matriz de Activos'!$S$6:$S$239,MATCH($C422,MgActId,0)),"")</f>
        <v/>
      </c>
      <c r="N422" s="28">
        <f>IFERROR(INDEX(MgAmenDegD,MATCH(SUBSTITUTE($H422,"*","-"),MgAmenClave,0)),"No aplica")</f>
        <v/>
      </c>
      <c r="O422" s="28">
        <f>IFERROR(INDEX(MgAmenDegI,MATCH(SUBSTITUTE($H422,"*","-"),MgAmenClave,0)),"No aplica")</f>
        <v/>
      </c>
      <c r="P422" s="28">
        <f>IFERROR(INDEX(MgAmenDegC,MATCH(SUBSTITUTE($H422,"*","-"),MgAmenClave,0)),"No aplica")</f>
        <v/>
      </c>
      <c r="Q422" s="29">
        <f>IFERROR(VLOOKUP(K422,MgValor,2,0)*VLOOKUP(N422,MgDeg,2,0),0)</f>
        <v/>
      </c>
      <c r="R422" s="29">
        <f>IFERROR(VLOOKUP(L422,MgValor,2,0)*VLOOKUP(O422,MgDeg,2,0),0)</f>
        <v/>
      </c>
      <c r="S422" s="29">
        <f>IFERROR(VLOOKUP(M422,MgValor,2,0)*VLOOKUP(P422,MgDeg,2,0),0)</f>
        <v/>
      </c>
      <c r="T422" s="30">
        <f>MAX(Q422:S422)</f>
        <v/>
      </c>
      <c r="U422" s="28">
        <f>IFERROR(LOOKUP(T422,{0;0.5;1.5;3;4.5},{"Despreciable";"Bajo";"Medio";"Alto";"Muy alto"}),"")</f>
        <v/>
      </c>
      <c r="V422" s="13">
        <f>IFERROR(INDEX(MgAmenFrec,MATCH(SUBSTITUTE($H422,"*","-"),MgAmenClave,0)),"")</f>
        <v/>
      </c>
      <c r="W422" s="28">
        <f>IFERROR(LOOKUP(X422,{0;0.01;0.1;1;10;100},{"Muy baja";"Muy baja";"Baja";"Media";"Alta";"Muy alta"}),"")</f>
        <v/>
      </c>
      <c r="X422" s="31">
        <f>IFERROR(VLOOKUP(V422,MgFrec,2,0),0)</f>
        <v/>
      </c>
      <c r="Y422" s="30">
        <f>T422*X422</f>
        <v/>
      </c>
      <c r="Z422" s="28">
        <f>IFERROR(LOOKUP(Y422,{0;0.5;5;25},{"Bajo";"Medio";"Alto";"Crítico"}),"")</f>
        <v/>
      </c>
      <c r="AA422" s="64">
        <f>IF(T422&gt;=3,IF(X422&gt;=1,"Zona 1 — Crítica: impacto alto y ocurre al menos una vez al año","Zona 4 — Catastrófica poco probable: impacto alto pero excepcional"),IF(AND(T422&lt;1.5,X422&lt;1),"Zona 3 — Asumible: impacto bajo y muy poco frecuente","Zona 2 — Atención: riesgo intermedio"))</f>
        <v/>
      </c>
      <c r="AB422" s="64">
        <f>IFERROR(INDEX(MgAmenCtrl,MATCH(SUBSTITUTE($H422,"*","-"),MgAmenClave,0)),"")</f>
        <v/>
      </c>
      <c r="AC422" s="20" t="n"/>
      <c r="AD422" s="31">
        <f>IFERROR($X422*(1-IF($AC422="",$AL422,VLOOKUP($AC422,MgMad,2,0))),"")</f>
        <v/>
      </c>
      <c r="AE422" s="28">
        <f>IFERROR(LOOKUP(AD422,{0;0.01;0.1;1;10;100},{"Muy baja";"Muy baja";"Baja";"Media";"Alta";"Muy alta"}),"")</f>
        <v/>
      </c>
      <c r="AF422" s="30">
        <f>T422*AD422</f>
        <v/>
      </c>
      <c r="AG422" s="28">
        <f>IFERROR(LOOKUP(AF422,{0;0.5;5;25},{"Bajo";"Medio";"Alto";"Crítico"}),"")</f>
        <v/>
      </c>
      <c r="AH422" s="28">
        <f>IF(AG422="","",IF(OR(AG422="Crítico",AG422="Alto"),"Mitigar",IF(AG422="Medio","Mitigar","Aceptar y monitorear")))</f>
        <v/>
      </c>
      <c r="AI422" s="21" t="n"/>
      <c r="AJ422" s="21" t="n"/>
      <c r="AK422" s="20" t="n"/>
      <c r="AL422" s="77">
        <f>IFERROR(INDEX(MgAmenEfic,MATCH(SUBSTITUTE($H422,"*","-"),MgAmenClave,0)),0)</f>
        <v/>
      </c>
    </row>
    <row r="423" hidden="1" ht="90" customHeight="1" s="54">
      <c r="B423" s="59" t="inlineStr">
        <is>
          <t>R-0418</t>
        </is>
      </c>
      <c r="C423" s="59" t="inlineStr">
        <is>
          <t>GH-057</t>
        </is>
      </c>
      <c r="D423" s="64">
        <f>IFERROR(INDEX(MgNombre,MATCH($C423,MgActId,0)),"")</f>
        <v/>
      </c>
      <c r="E423" s="64">
        <f>IFERROR(INDEX(MgProceso,MATCH($C423,MgActId,0)),"")</f>
        <v/>
      </c>
      <c r="F423" s="64">
        <f>IFERROR(INDEX(MgTipo,MATCH($C423,MgActId,0)),"")</f>
        <v/>
      </c>
      <c r="G423" s="64">
        <f>IFERROR(INDEX(MgSubtipo,MATCH($C423,MgActId,0)),"")</f>
        <v/>
      </c>
      <c r="H423" s="59" t="inlineStr">
        <is>
          <t>E.14</t>
        </is>
      </c>
      <c r="I423" s="64">
        <f>IFERROR(INDEX(MgAmenNombre,MATCH(SUBSTITUTE($H423,"*","-"),MgAmenClave,0)),"")</f>
        <v/>
      </c>
      <c r="J423" s="28">
        <f>IFERROR(INDEX(MgAmenGrupo,MATCH(SUBSTITUTE($H423,"*","-"),MgAmenClave,0)),"")</f>
        <v/>
      </c>
      <c r="K423" s="64">
        <f>IFERROR(INDEX('1. Matriz de Activos'!$Q$6:$Q$239,MATCH($C423,MgActId,0)),"")</f>
        <v/>
      </c>
      <c r="L423" s="64">
        <f>IFERROR(INDEX('1. Matriz de Activos'!$R$6:$R$239,MATCH($C423,MgActId,0)),"")</f>
        <v/>
      </c>
      <c r="M423" s="64">
        <f>IFERROR(INDEX('1. Matriz de Activos'!$S$6:$S$239,MATCH($C423,MgActId,0)),"")</f>
        <v/>
      </c>
      <c r="N423" s="28">
        <f>IFERROR(INDEX(MgAmenDegD,MATCH(SUBSTITUTE($H423,"*","-"),MgAmenClave,0)),"No aplica")</f>
        <v/>
      </c>
      <c r="O423" s="28">
        <f>IFERROR(INDEX(MgAmenDegI,MATCH(SUBSTITUTE($H423,"*","-"),MgAmenClave,0)),"No aplica")</f>
        <v/>
      </c>
      <c r="P423" s="28">
        <f>IFERROR(INDEX(MgAmenDegC,MATCH(SUBSTITUTE($H423,"*","-"),MgAmenClave,0)),"No aplica")</f>
        <v/>
      </c>
      <c r="Q423" s="29">
        <f>IFERROR(VLOOKUP(K423,MgValor,2,0)*VLOOKUP(N423,MgDeg,2,0),0)</f>
        <v/>
      </c>
      <c r="R423" s="29">
        <f>IFERROR(VLOOKUP(L423,MgValor,2,0)*VLOOKUP(O423,MgDeg,2,0),0)</f>
        <v/>
      </c>
      <c r="S423" s="29">
        <f>IFERROR(VLOOKUP(M423,MgValor,2,0)*VLOOKUP(P423,MgDeg,2,0),0)</f>
        <v/>
      </c>
      <c r="T423" s="30">
        <f>MAX(Q423:S423)</f>
        <v/>
      </c>
      <c r="U423" s="28">
        <f>IFERROR(LOOKUP(T423,{0;0.5;1.5;3;4.5},{"Despreciable";"Bajo";"Medio";"Alto";"Muy alto"}),"")</f>
        <v/>
      </c>
      <c r="V423" s="13">
        <f>IFERROR(INDEX(MgAmenFrec,MATCH(SUBSTITUTE($H423,"*","-"),MgAmenClave,0)),"")</f>
        <v/>
      </c>
      <c r="W423" s="28">
        <f>IFERROR(LOOKUP(X423,{0;0.01;0.1;1;10;100},{"Muy baja";"Muy baja";"Baja";"Media";"Alta";"Muy alta"}),"")</f>
        <v/>
      </c>
      <c r="X423" s="31">
        <f>IFERROR(VLOOKUP(V423,MgFrec,2,0),0)</f>
        <v/>
      </c>
      <c r="Y423" s="30">
        <f>T423*X423</f>
        <v/>
      </c>
      <c r="Z423" s="28">
        <f>IFERROR(LOOKUP(Y423,{0;0.5;5;25},{"Bajo";"Medio";"Alto";"Crítico"}),"")</f>
        <v/>
      </c>
      <c r="AA423" s="64">
        <f>IF(T423&gt;=3,IF(X423&gt;=1,"Zona 1 — Crítica: impacto alto y ocurre al menos una vez al año","Zona 4 — Catastrófica poco probable: impacto alto pero excepcional"),IF(AND(T423&lt;1.5,X423&lt;1),"Zona 3 — Asumible: impacto bajo y muy poco frecuente","Zona 2 — Atención: riesgo intermedio"))</f>
        <v/>
      </c>
      <c r="AB423" s="64">
        <f>IFERROR(INDEX(MgAmenCtrl,MATCH(SUBSTITUTE($H423,"*","-"),MgAmenClave,0)),"")</f>
        <v/>
      </c>
      <c r="AC423" s="20" t="n"/>
      <c r="AD423" s="31">
        <f>IFERROR($X423*(1-IF($AC423="",$AL423,VLOOKUP($AC423,MgMad,2,0))),"")</f>
        <v/>
      </c>
      <c r="AE423" s="28">
        <f>IFERROR(LOOKUP(AD423,{0;0.01;0.1;1;10;100},{"Muy baja";"Muy baja";"Baja";"Media";"Alta";"Muy alta"}),"")</f>
        <v/>
      </c>
      <c r="AF423" s="30">
        <f>T423*AD423</f>
        <v/>
      </c>
      <c r="AG423" s="28">
        <f>IFERROR(LOOKUP(AF423,{0;0.5;5;25},{"Bajo";"Medio";"Alto";"Crítico"}),"")</f>
        <v/>
      </c>
      <c r="AH423" s="28">
        <f>IF(AG423="","",IF(OR(AG423="Crítico",AG423="Alto"),"Mitigar",IF(AG423="Medio","Mitigar","Aceptar y monitorear")))</f>
        <v/>
      </c>
      <c r="AI423" s="21" t="n"/>
      <c r="AJ423" s="21" t="n"/>
      <c r="AK423" s="20" t="n"/>
      <c r="AL423" s="77">
        <f>IFERROR(INDEX(MgAmenEfic,MATCH(SUBSTITUTE($H423,"*","-"),MgAmenClave,0)),0)</f>
        <v/>
      </c>
    </row>
    <row r="424" hidden="1" ht="90" customHeight="1" s="54">
      <c r="B424" s="59" t="inlineStr">
        <is>
          <t>R-0419</t>
        </is>
      </c>
      <c r="C424" s="59" t="inlineStr">
        <is>
          <t>GH-057</t>
        </is>
      </c>
      <c r="D424" s="64">
        <f>IFERROR(INDEX(MgNombre,MATCH($C424,MgActId,0)),"")</f>
        <v/>
      </c>
      <c r="E424" s="64">
        <f>IFERROR(INDEX(MgProceso,MATCH($C424,MgActId,0)),"")</f>
        <v/>
      </c>
      <c r="F424" s="64">
        <f>IFERROR(INDEX(MgTipo,MATCH($C424,MgActId,0)),"")</f>
        <v/>
      </c>
      <c r="G424" s="64">
        <f>IFERROR(INDEX(MgSubtipo,MATCH($C424,MgActId,0)),"")</f>
        <v/>
      </c>
      <c r="H424" s="59" t="inlineStr">
        <is>
          <t>E.15</t>
        </is>
      </c>
      <c r="I424" s="64">
        <f>IFERROR(INDEX(MgAmenNombre,MATCH(SUBSTITUTE($H424,"*","-"),MgAmenClave,0)),"")</f>
        <v/>
      </c>
      <c r="J424" s="28">
        <f>IFERROR(INDEX(MgAmenGrupo,MATCH(SUBSTITUTE($H424,"*","-"),MgAmenClave,0)),"")</f>
        <v/>
      </c>
      <c r="K424" s="64">
        <f>IFERROR(INDEX('1. Matriz de Activos'!$Q$6:$Q$239,MATCH($C424,MgActId,0)),"")</f>
        <v/>
      </c>
      <c r="L424" s="64">
        <f>IFERROR(INDEX('1. Matriz de Activos'!$R$6:$R$239,MATCH($C424,MgActId,0)),"")</f>
        <v/>
      </c>
      <c r="M424" s="64">
        <f>IFERROR(INDEX('1. Matriz de Activos'!$S$6:$S$239,MATCH($C424,MgActId,0)),"")</f>
        <v/>
      </c>
      <c r="N424" s="28">
        <f>IFERROR(INDEX(MgAmenDegD,MATCH(SUBSTITUTE($H424,"*","-"),MgAmenClave,0)),"No aplica")</f>
        <v/>
      </c>
      <c r="O424" s="28">
        <f>IFERROR(INDEX(MgAmenDegI,MATCH(SUBSTITUTE($H424,"*","-"),MgAmenClave,0)),"No aplica")</f>
        <v/>
      </c>
      <c r="P424" s="28">
        <f>IFERROR(INDEX(MgAmenDegC,MATCH(SUBSTITUTE($H424,"*","-"),MgAmenClave,0)),"No aplica")</f>
        <v/>
      </c>
      <c r="Q424" s="29">
        <f>IFERROR(VLOOKUP(K424,MgValor,2,0)*VLOOKUP(N424,MgDeg,2,0),0)</f>
        <v/>
      </c>
      <c r="R424" s="29">
        <f>IFERROR(VLOOKUP(L424,MgValor,2,0)*VLOOKUP(O424,MgDeg,2,0),0)</f>
        <v/>
      </c>
      <c r="S424" s="29">
        <f>IFERROR(VLOOKUP(M424,MgValor,2,0)*VLOOKUP(P424,MgDeg,2,0),0)</f>
        <v/>
      </c>
      <c r="T424" s="30">
        <f>MAX(Q424:S424)</f>
        <v/>
      </c>
      <c r="U424" s="28">
        <f>IFERROR(LOOKUP(T424,{0;0.5;1.5;3;4.5},{"Despreciable";"Bajo";"Medio";"Alto";"Muy alto"}),"")</f>
        <v/>
      </c>
      <c r="V424" s="13">
        <f>IFERROR(INDEX(MgAmenFrec,MATCH(SUBSTITUTE($H424,"*","-"),MgAmenClave,0)),"")</f>
        <v/>
      </c>
      <c r="W424" s="28">
        <f>IFERROR(LOOKUP(X424,{0;0.01;0.1;1;10;100},{"Muy baja";"Muy baja";"Baja";"Media";"Alta";"Muy alta"}),"")</f>
        <v/>
      </c>
      <c r="X424" s="31">
        <f>IFERROR(VLOOKUP(V424,MgFrec,2,0),0)</f>
        <v/>
      </c>
      <c r="Y424" s="30">
        <f>T424*X424</f>
        <v/>
      </c>
      <c r="Z424" s="28">
        <f>IFERROR(LOOKUP(Y424,{0;0.5;5;25},{"Bajo";"Medio";"Alto";"Crítico"}),"")</f>
        <v/>
      </c>
      <c r="AA424" s="64">
        <f>IF(T424&gt;=3,IF(X424&gt;=1,"Zona 1 — Crítica: impacto alto y ocurre al menos una vez al año","Zona 4 — Catastrófica poco probable: impacto alto pero excepcional"),IF(AND(T424&lt;1.5,X424&lt;1),"Zona 3 — Asumible: impacto bajo y muy poco frecuente","Zona 2 — Atención: riesgo intermedio"))</f>
        <v/>
      </c>
      <c r="AB424" s="64">
        <f>IFERROR(INDEX(MgAmenCtrl,MATCH(SUBSTITUTE($H424,"*","-"),MgAmenClave,0)),"")</f>
        <v/>
      </c>
      <c r="AC424" s="20" t="n"/>
      <c r="AD424" s="31">
        <f>IFERROR($X424*(1-IF($AC424="",$AL424,VLOOKUP($AC424,MgMad,2,0))),"")</f>
        <v/>
      </c>
      <c r="AE424" s="28">
        <f>IFERROR(LOOKUP(AD424,{0;0.01;0.1;1;10;100},{"Muy baja";"Muy baja";"Baja";"Media";"Alta";"Muy alta"}),"")</f>
        <v/>
      </c>
      <c r="AF424" s="30">
        <f>T424*AD424</f>
        <v/>
      </c>
      <c r="AG424" s="28">
        <f>IFERROR(LOOKUP(AF424,{0;0.5;5;25},{"Bajo";"Medio";"Alto";"Crítico"}),"")</f>
        <v/>
      </c>
      <c r="AH424" s="28">
        <f>IF(AG424="","",IF(OR(AG424="Crítico",AG424="Alto"),"Mitigar",IF(AG424="Medio","Mitigar","Aceptar y monitorear")))</f>
        <v/>
      </c>
      <c r="AI424" s="21" t="n"/>
      <c r="AJ424" s="21" t="n"/>
      <c r="AK424" s="20" t="n"/>
      <c r="AL424" s="77">
        <f>IFERROR(INDEX(MgAmenEfic,MATCH(SUBSTITUTE($H424,"*","-"),MgAmenClave,0)),0)</f>
        <v/>
      </c>
    </row>
    <row r="425" hidden="1" ht="60" customHeight="1" s="54">
      <c r="B425" s="59" t="inlineStr">
        <is>
          <t>R-0420</t>
        </is>
      </c>
      <c r="C425" s="59" t="inlineStr">
        <is>
          <t>GH-057</t>
        </is>
      </c>
      <c r="D425" s="64">
        <f>IFERROR(INDEX(MgNombre,MATCH($C425,MgActId,0)),"")</f>
        <v/>
      </c>
      <c r="E425" s="64">
        <f>IFERROR(INDEX(MgProceso,MATCH($C425,MgActId,0)),"")</f>
        <v/>
      </c>
      <c r="F425" s="64">
        <f>IFERROR(INDEX(MgTipo,MATCH($C425,MgActId,0)),"")</f>
        <v/>
      </c>
      <c r="G425" s="64">
        <f>IFERROR(INDEX(MgSubtipo,MATCH($C425,MgActId,0)),"")</f>
        <v/>
      </c>
      <c r="H425" s="59" t="inlineStr">
        <is>
          <t>E.18</t>
        </is>
      </c>
      <c r="I425" s="64">
        <f>IFERROR(INDEX(MgAmenNombre,MATCH(SUBSTITUTE($H425,"*","-"),MgAmenClave,0)),"")</f>
        <v/>
      </c>
      <c r="J425" s="28">
        <f>IFERROR(INDEX(MgAmenGrupo,MATCH(SUBSTITUTE($H425,"*","-"),MgAmenClave,0)),"")</f>
        <v/>
      </c>
      <c r="K425" s="64">
        <f>IFERROR(INDEX('1. Matriz de Activos'!$Q$6:$Q$239,MATCH($C425,MgActId,0)),"")</f>
        <v/>
      </c>
      <c r="L425" s="64">
        <f>IFERROR(INDEX('1. Matriz de Activos'!$R$6:$R$239,MATCH($C425,MgActId,0)),"")</f>
        <v/>
      </c>
      <c r="M425" s="64">
        <f>IFERROR(INDEX('1. Matriz de Activos'!$S$6:$S$239,MATCH($C425,MgActId,0)),"")</f>
        <v/>
      </c>
      <c r="N425" s="28">
        <f>IFERROR(INDEX(MgAmenDegD,MATCH(SUBSTITUTE($H425,"*","-"),MgAmenClave,0)),"No aplica")</f>
        <v/>
      </c>
      <c r="O425" s="28">
        <f>IFERROR(INDEX(MgAmenDegI,MATCH(SUBSTITUTE($H425,"*","-"),MgAmenClave,0)),"No aplica")</f>
        <v/>
      </c>
      <c r="P425" s="28">
        <f>IFERROR(INDEX(MgAmenDegC,MATCH(SUBSTITUTE($H425,"*","-"),MgAmenClave,0)),"No aplica")</f>
        <v/>
      </c>
      <c r="Q425" s="29">
        <f>IFERROR(VLOOKUP(K425,MgValor,2,0)*VLOOKUP(N425,MgDeg,2,0),0)</f>
        <v/>
      </c>
      <c r="R425" s="29">
        <f>IFERROR(VLOOKUP(L425,MgValor,2,0)*VLOOKUP(O425,MgDeg,2,0),0)</f>
        <v/>
      </c>
      <c r="S425" s="29">
        <f>IFERROR(VLOOKUP(M425,MgValor,2,0)*VLOOKUP(P425,MgDeg,2,0),0)</f>
        <v/>
      </c>
      <c r="T425" s="30">
        <f>MAX(Q425:S425)</f>
        <v/>
      </c>
      <c r="U425" s="28">
        <f>IFERROR(LOOKUP(T425,{0;0.5;1.5;3;4.5},{"Despreciable";"Bajo";"Medio";"Alto";"Muy alto"}),"")</f>
        <v/>
      </c>
      <c r="V425" s="13">
        <f>IFERROR(INDEX(MgAmenFrec,MATCH(SUBSTITUTE($H425,"*","-"),MgAmenClave,0)),"")</f>
        <v/>
      </c>
      <c r="W425" s="28">
        <f>IFERROR(LOOKUP(X425,{0;0.01;0.1;1;10;100},{"Muy baja";"Muy baja";"Baja";"Media";"Alta";"Muy alta"}),"")</f>
        <v/>
      </c>
      <c r="X425" s="31">
        <f>IFERROR(VLOOKUP(V425,MgFrec,2,0),0)</f>
        <v/>
      </c>
      <c r="Y425" s="30">
        <f>T425*X425</f>
        <v/>
      </c>
      <c r="Z425" s="28">
        <f>IFERROR(LOOKUP(Y425,{0;0.5;5;25},{"Bajo";"Medio";"Alto";"Crítico"}),"")</f>
        <v/>
      </c>
      <c r="AA425" s="64">
        <f>IF(T425&gt;=3,IF(X425&gt;=1,"Zona 1 — Crítica: impacto alto y ocurre al menos una vez al año","Zona 4 — Catastrófica poco probable: impacto alto pero excepcional"),IF(AND(T425&lt;1.5,X425&lt;1),"Zona 3 — Asumible: impacto bajo y muy poco frecuente","Zona 2 — Atención: riesgo intermedio"))</f>
        <v/>
      </c>
      <c r="AB425" s="64">
        <f>IFERROR(INDEX(MgAmenCtrl,MATCH(SUBSTITUTE($H425,"*","-"),MgAmenClave,0)),"")</f>
        <v/>
      </c>
      <c r="AC425" s="20" t="n"/>
      <c r="AD425" s="31">
        <f>IFERROR($X425*(1-IF($AC425="",$AL425,VLOOKUP($AC425,MgMad,2,0))),"")</f>
        <v/>
      </c>
      <c r="AE425" s="28">
        <f>IFERROR(LOOKUP(AD425,{0;0.01;0.1;1;10;100},{"Muy baja";"Muy baja";"Baja";"Media";"Alta";"Muy alta"}),"")</f>
        <v/>
      </c>
      <c r="AF425" s="30">
        <f>T425*AD425</f>
        <v/>
      </c>
      <c r="AG425" s="28">
        <f>IFERROR(LOOKUP(AF425,{0;0.5;5;25},{"Bajo";"Medio";"Alto";"Crítico"}),"")</f>
        <v/>
      </c>
      <c r="AH425" s="28">
        <f>IF(AG425="","",IF(OR(AG425="Crítico",AG425="Alto"),"Mitigar",IF(AG425="Medio","Mitigar","Aceptar y monitorear")))</f>
        <v/>
      </c>
      <c r="AI425" s="21" t="n"/>
      <c r="AJ425" s="21" t="n"/>
      <c r="AK425" s="20" t="n"/>
      <c r="AL425" s="77">
        <f>IFERROR(INDEX(MgAmenEfic,MATCH(SUBSTITUTE($H425,"*","-"),MgAmenClave,0)),0)</f>
        <v/>
      </c>
    </row>
    <row r="426" hidden="1" ht="105" customHeight="1" s="54">
      <c r="B426" s="59" t="inlineStr">
        <is>
          <t>R-0421</t>
        </is>
      </c>
      <c r="C426" s="59" t="inlineStr">
        <is>
          <t>GH-057</t>
        </is>
      </c>
      <c r="D426" s="64">
        <f>IFERROR(INDEX(MgNombre,MATCH($C426,MgActId,0)),"")</f>
        <v/>
      </c>
      <c r="E426" s="64">
        <f>IFERROR(INDEX(MgProceso,MATCH($C426,MgActId,0)),"")</f>
        <v/>
      </c>
      <c r="F426" s="64">
        <f>IFERROR(INDEX(MgTipo,MATCH($C426,MgActId,0)),"")</f>
        <v/>
      </c>
      <c r="G426" s="64">
        <f>IFERROR(INDEX(MgSubtipo,MATCH($C426,MgActId,0)),"")</f>
        <v/>
      </c>
      <c r="H426" s="59" t="inlineStr">
        <is>
          <t>E.19</t>
        </is>
      </c>
      <c r="I426" s="64">
        <f>IFERROR(INDEX(MgAmenNombre,MATCH(SUBSTITUTE($H426,"*","-"),MgAmenClave,0)),"")</f>
        <v/>
      </c>
      <c r="J426" s="28">
        <f>IFERROR(INDEX(MgAmenGrupo,MATCH(SUBSTITUTE($H426,"*","-"),MgAmenClave,0)),"")</f>
        <v/>
      </c>
      <c r="K426" s="64">
        <f>IFERROR(INDEX('1. Matriz de Activos'!$Q$6:$Q$239,MATCH($C426,MgActId,0)),"")</f>
        <v/>
      </c>
      <c r="L426" s="64">
        <f>IFERROR(INDEX('1. Matriz de Activos'!$R$6:$R$239,MATCH($C426,MgActId,0)),"")</f>
        <v/>
      </c>
      <c r="M426" s="64">
        <f>IFERROR(INDEX('1. Matriz de Activos'!$S$6:$S$239,MATCH($C426,MgActId,0)),"")</f>
        <v/>
      </c>
      <c r="N426" s="28">
        <f>IFERROR(INDEX(MgAmenDegD,MATCH(SUBSTITUTE($H426,"*","-"),MgAmenClave,0)),"No aplica")</f>
        <v/>
      </c>
      <c r="O426" s="28">
        <f>IFERROR(INDEX(MgAmenDegI,MATCH(SUBSTITUTE($H426,"*","-"),MgAmenClave,0)),"No aplica")</f>
        <v/>
      </c>
      <c r="P426" s="28">
        <f>IFERROR(INDEX(MgAmenDegC,MATCH(SUBSTITUTE($H426,"*","-"),MgAmenClave,0)),"No aplica")</f>
        <v/>
      </c>
      <c r="Q426" s="29">
        <f>IFERROR(VLOOKUP(K426,MgValor,2,0)*VLOOKUP(N426,MgDeg,2,0),0)</f>
        <v/>
      </c>
      <c r="R426" s="29">
        <f>IFERROR(VLOOKUP(L426,MgValor,2,0)*VLOOKUP(O426,MgDeg,2,0),0)</f>
        <v/>
      </c>
      <c r="S426" s="29">
        <f>IFERROR(VLOOKUP(M426,MgValor,2,0)*VLOOKUP(P426,MgDeg,2,0),0)</f>
        <v/>
      </c>
      <c r="T426" s="30">
        <f>MAX(Q426:S426)</f>
        <v/>
      </c>
      <c r="U426" s="28">
        <f>IFERROR(LOOKUP(T426,{0;0.5;1.5;3;4.5},{"Despreciable";"Bajo";"Medio";"Alto";"Muy alto"}),"")</f>
        <v/>
      </c>
      <c r="V426" s="13">
        <f>IFERROR(INDEX(MgAmenFrec,MATCH(SUBSTITUTE($H426,"*","-"),MgAmenClave,0)),"")</f>
        <v/>
      </c>
      <c r="W426" s="28">
        <f>IFERROR(LOOKUP(X426,{0;0.01;0.1;1;10;100},{"Muy baja";"Muy baja";"Baja";"Media";"Alta";"Muy alta"}),"")</f>
        <v/>
      </c>
      <c r="X426" s="31">
        <f>IFERROR(VLOOKUP(V426,MgFrec,2,0),0)</f>
        <v/>
      </c>
      <c r="Y426" s="30">
        <f>T426*X426</f>
        <v/>
      </c>
      <c r="Z426" s="28">
        <f>IFERROR(LOOKUP(Y426,{0;0.5;5;25},{"Bajo";"Medio";"Alto";"Crítico"}),"")</f>
        <v/>
      </c>
      <c r="AA426" s="64">
        <f>IF(T426&gt;=3,IF(X426&gt;=1,"Zona 1 — Crítica: impacto alto y ocurre al menos una vez al año","Zona 4 — Catastrófica poco probable: impacto alto pero excepcional"),IF(AND(T426&lt;1.5,X426&lt;1),"Zona 3 — Asumible: impacto bajo y muy poco frecuente","Zona 2 — Atención: riesgo intermedio"))</f>
        <v/>
      </c>
      <c r="AB426" s="64">
        <f>IFERROR(INDEX(MgAmenCtrl,MATCH(SUBSTITUTE($H426,"*","-"),MgAmenClave,0)),"")</f>
        <v/>
      </c>
      <c r="AC426" s="20" t="n"/>
      <c r="AD426" s="31">
        <f>IFERROR($X426*(1-IF($AC426="",$AL426,VLOOKUP($AC426,MgMad,2,0))),"")</f>
        <v/>
      </c>
      <c r="AE426" s="28">
        <f>IFERROR(LOOKUP(AD426,{0;0.01;0.1;1;10;100},{"Muy baja";"Muy baja";"Baja";"Media";"Alta";"Muy alta"}),"")</f>
        <v/>
      </c>
      <c r="AF426" s="30">
        <f>T426*AD426</f>
        <v/>
      </c>
      <c r="AG426" s="28">
        <f>IFERROR(LOOKUP(AF426,{0;0.5;5;25},{"Bajo";"Medio";"Alto";"Crítico"}),"")</f>
        <v/>
      </c>
      <c r="AH426" s="28">
        <f>IF(AG426="","",IF(OR(AG426="Crítico",AG426="Alto"),"Mitigar",IF(AG426="Medio","Mitigar","Aceptar y monitorear")))</f>
        <v/>
      </c>
      <c r="AI426" s="21" t="n"/>
      <c r="AJ426" s="21" t="n"/>
      <c r="AK426" s="20" t="n"/>
      <c r="AL426" s="77">
        <f>IFERROR(INDEX(MgAmenEfic,MATCH(SUBSTITUTE($H426,"*","-"),MgAmenClave,0)),0)</f>
        <v/>
      </c>
    </row>
    <row r="427" hidden="1" ht="60" customHeight="1" s="54">
      <c r="B427" s="59" t="inlineStr">
        <is>
          <t>R-0422</t>
        </is>
      </c>
      <c r="C427" s="59" t="inlineStr">
        <is>
          <t>GH-057</t>
        </is>
      </c>
      <c r="D427" s="64">
        <f>IFERROR(INDEX(MgNombre,MATCH($C427,MgActId,0)),"")</f>
        <v/>
      </c>
      <c r="E427" s="64">
        <f>IFERROR(INDEX(MgProceso,MATCH($C427,MgActId,0)),"")</f>
        <v/>
      </c>
      <c r="F427" s="64">
        <f>IFERROR(INDEX(MgTipo,MATCH($C427,MgActId,0)),"")</f>
        <v/>
      </c>
      <c r="G427" s="64">
        <f>IFERROR(INDEX(MgSubtipo,MATCH($C427,MgActId,0)),"")</f>
        <v/>
      </c>
      <c r="H427" s="59" t="inlineStr">
        <is>
          <t>A.3</t>
        </is>
      </c>
      <c r="I427" s="64">
        <f>IFERROR(INDEX(MgAmenNombre,MATCH(SUBSTITUTE($H427,"*","-"),MgAmenClave,0)),"")</f>
        <v/>
      </c>
      <c r="J427" s="28">
        <f>IFERROR(INDEX(MgAmenGrupo,MATCH(SUBSTITUTE($H427,"*","-"),MgAmenClave,0)),"")</f>
        <v/>
      </c>
      <c r="K427" s="64">
        <f>IFERROR(INDEX('1. Matriz de Activos'!$Q$6:$Q$239,MATCH($C427,MgActId,0)),"")</f>
        <v/>
      </c>
      <c r="L427" s="64">
        <f>IFERROR(INDEX('1. Matriz de Activos'!$R$6:$R$239,MATCH($C427,MgActId,0)),"")</f>
        <v/>
      </c>
      <c r="M427" s="64">
        <f>IFERROR(INDEX('1. Matriz de Activos'!$S$6:$S$239,MATCH($C427,MgActId,0)),"")</f>
        <v/>
      </c>
      <c r="N427" s="28">
        <f>IFERROR(INDEX(MgAmenDegD,MATCH(SUBSTITUTE($H427,"*","-"),MgAmenClave,0)),"No aplica")</f>
        <v/>
      </c>
      <c r="O427" s="28">
        <f>IFERROR(INDEX(MgAmenDegI,MATCH(SUBSTITUTE($H427,"*","-"),MgAmenClave,0)),"No aplica")</f>
        <v/>
      </c>
      <c r="P427" s="28">
        <f>IFERROR(INDEX(MgAmenDegC,MATCH(SUBSTITUTE($H427,"*","-"),MgAmenClave,0)),"No aplica")</f>
        <v/>
      </c>
      <c r="Q427" s="29">
        <f>IFERROR(VLOOKUP(K427,MgValor,2,0)*VLOOKUP(N427,MgDeg,2,0),0)</f>
        <v/>
      </c>
      <c r="R427" s="29">
        <f>IFERROR(VLOOKUP(L427,MgValor,2,0)*VLOOKUP(O427,MgDeg,2,0),0)</f>
        <v/>
      </c>
      <c r="S427" s="29">
        <f>IFERROR(VLOOKUP(M427,MgValor,2,0)*VLOOKUP(P427,MgDeg,2,0),0)</f>
        <v/>
      </c>
      <c r="T427" s="30">
        <f>MAX(Q427:S427)</f>
        <v/>
      </c>
      <c r="U427" s="28">
        <f>IFERROR(LOOKUP(T427,{0;0.5;1.5;3;4.5},{"Despreciable";"Bajo";"Medio";"Alto";"Muy alto"}),"")</f>
        <v/>
      </c>
      <c r="V427" s="13">
        <f>IFERROR(INDEX(MgAmenFrec,MATCH(SUBSTITUTE($H427,"*","-"),MgAmenClave,0)),"")</f>
        <v/>
      </c>
      <c r="W427" s="28">
        <f>IFERROR(LOOKUP(X427,{0;0.01;0.1;1;10;100},{"Muy baja";"Muy baja";"Baja";"Media";"Alta";"Muy alta"}),"")</f>
        <v/>
      </c>
      <c r="X427" s="31">
        <f>IFERROR(VLOOKUP(V427,MgFrec,2,0),0)</f>
        <v/>
      </c>
      <c r="Y427" s="30">
        <f>T427*X427</f>
        <v/>
      </c>
      <c r="Z427" s="28">
        <f>IFERROR(LOOKUP(Y427,{0;0.5;5;25},{"Bajo";"Medio";"Alto";"Crítico"}),"")</f>
        <v/>
      </c>
      <c r="AA427" s="64">
        <f>IF(T427&gt;=3,IF(X427&gt;=1,"Zona 1 — Crítica: impacto alto y ocurre al menos una vez al año","Zona 4 — Catastrófica poco probable: impacto alto pero excepcional"),IF(AND(T427&lt;1.5,X427&lt;1),"Zona 3 — Asumible: impacto bajo y muy poco frecuente","Zona 2 — Atención: riesgo intermedio"))</f>
        <v/>
      </c>
      <c r="AB427" s="64">
        <f>IFERROR(INDEX(MgAmenCtrl,MATCH(SUBSTITUTE($H427,"*","-"),MgAmenClave,0)),"")</f>
        <v/>
      </c>
      <c r="AC427" s="20" t="n"/>
      <c r="AD427" s="31">
        <f>IFERROR($X427*(1-IF($AC427="",$AL427,VLOOKUP($AC427,MgMad,2,0))),"")</f>
        <v/>
      </c>
      <c r="AE427" s="28">
        <f>IFERROR(LOOKUP(AD427,{0;0.01;0.1;1;10;100},{"Muy baja";"Muy baja";"Baja";"Media";"Alta";"Muy alta"}),"")</f>
        <v/>
      </c>
      <c r="AF427" s="30">
        <f>T427*AD427</f>
        <v/>
      </c>
      <c r="AG427" s="28">
        <f>IFERROR(LOOKUP(AF427,{0;0.5;5;25},{"Bajo";"Medio";"Alto";"Crítico"}),"")</f>
        <v/>
      </c>
      <c r="AH427" s="28">
        <f>IF(AG427="","",IF(OR(AG427="Crítico",AG427="Alto"),"Mitigar",IF(AG427="Medio","Mitigar","Aceptar y monitorear")))</f>
        <v/>
      </c>
      <c r="AI427" s="21" t="n"/>
      <c r="AJ427" s="21" t="n"/>
      <c r="AK427" s="20" t="n"/>
      <c r="AL427" s="77">
        <f>IFERROR(INDEX(MgAmenEfic,MATCH(SUBSTITUTE($H427,"*","-"),MgAmenClave,0)),0)</f>
        <v/>
      </c>
    </row>
    <row r="428" hidden="1" ht="60" customHeight="1" s="54">
      <c r="B428" s="59" t="inlineStr">
        <is>
          <t>R-0423</t>
        </is>
      </c>
      <c r="C428" s="59" t="inlineStr">
        <is>
          <t>GH-057</t>
        </is>
      </c>
      <c r="D428" s="64">
        <f>IFERROR(INDEX(MgNombre,MATCH($C428,MgActId,0)),"")</f>
        <v/>
      </c>
      <c r="E428" s="64">
        <f>IFERROR(INDEX(MgProceso,MATCH($C428,MgActId,0)),"")</f>
        <v/>
      </c>
      <c r="F428" s="64">
        <f>IFERROR(INDEX(MgTipo,MATCH($C428,MgActId,0)),"")</f>
        <v/>
      </c>
      <c r="G428" s="64">
        <f>IFERROR(INDEX(MgSubtipo,MATCH($C428,MgActId,0)),"")</f>
        <v/>
      </c>
      <c r="H428" s="59" t="inlineStr">
        <is>
          <t>A.4</t>
        </is>
      </c>
      <c r="I428" s="64">
        <f>IFERROR(INDEX(MgAmenNombre,MATCH(SUBSTITUTE($H428,"*","-"),MgAmenClave,0)),"")</f>
        <v/>
      </c>
      <c r="J428" s="28">
        <f>IFERROR(INDEX(MgAmenGrupo,MATCH(SUBSTITUTE($H428,"*","-"),MgAmenClave,0)),"")</f>
        <v/>
      </c>
      <c r="K428" s="64">
        <f>IFERROR(INDEX('1. Matriz de Activos'!$Q$6:$Q$239,MATCH($C428,MgActId,0)),"")</f>
        <v/>
      </c>
      <c r="L428" s="64">
        <f>IFERROR(INDEX('1. Matriz de Activos'!$R$6:$R$239,MATCH($C428,MgActId,0)),"")</f>
        <v/>
      </c>
      <c r="M428" s="64">
        <f>IFERROR(INDEX('1. Matriz de Activos'!$S$6:$S$239,MATCH($C428,MgActId,0)),"")</f>
        <v/>
      </c>
      <c r="N428" s="28">
        <f>IFERROR(INDEX(MgAmenDegD,MATCH(SUBSTITUTE($H428,"*","-"),MgAmenClave,0)),"No aplica")</f>
        <v/>
      </c>
      <c r="O428" s="28">
        <f>IFERROR(INDEX(MgAmenDegI,MATCH(SUBSTITUTE($H428,"*","-"),MgAmenClave,0)),"No aplica")</f>
        <v/>
      </c>
      <c r="P428" s="28">
        <f>IFERROR(INDEX(MgAmenDegC,MATCH(SUBSTITUTE($H428,"*","-"),MgAmenClave,0)),"No aplica")</f>
        <v/>
      </c>
      <c r="Q428" s="29">
        <f>IFERROR(VLOOKUP(K428,MgValor,2,0)*VLOOKUP(N428,MgDeg,2,0),0)</f>
        <v/>
      </c>
      <c r="R428" s="29">
        <f>IFERROR(VLOOKUP(L428,MgValor,2,0)*VLOOKUP(O428,MgDeg,2,0),0)</f>
        <v/>
      </c>
      <c r="S428" s="29">
        <f>IFERROR(VLOOKUP(M428,MgValor,2,0)*VLOOKUP(P428,MgDeg,2,0),0)</f>
        <v/>
      </c>
      <c r="T428" s="30">
        <f>MAX(Q428:S428)</f>
        <v/>
      </c>
      <c r="U428" s="28">
        <f>IFERROR(LOOKUP(T428,{0;0.5;1.5;3;4.5},{"Despreciable";"Bajo";"Medio";"Alto";"Muy alto"}),"")</f>
        <v/>
      </c>
      <c r="V428" s="13">
        <f>IFERROR(INDEX(MgAmenFrec,MATCH(SUBSTITUTE($H428,"*","-"),MgAmenClave,0)),"")</f>
        <v/>
      </c>
      <c r="W428" s="28">
        <f>IFERROR(LOOKUP(X428,{0;0.01;0.1;1;10;100},{"Muy baja";"Muy baja";"Baja";"Media";"Alta";"Muy alta"}),"")</f>
        <v/>
      </c>
      <c r="X428" s="31">
        <f>IFERROR(VLOOKUP(V428,MgFrec,2,0),0)</f>
        <v/>
      </c>
      <c r="Y428" s="30">
        <f>T428*X428</f>
        <v/>
      </c>
      <c r="Z428" s="28">
        <f>IFERROR(LOOKUP(Y428,{0;0.5;5;25},{"Bajo";"Medio";"Alto";"Crítico"}),"")</f>
        <v/>
      </c>
      <c r="AA428" s="64">
        <f>IF(T428&gt;=3,IF(X428&gt;=1,"Zona 1 — Crítica: impacto alto y ocurre al menos una vez al año","Zona 4 — Catastrófica poco probable: impacto alto pero excepcional"),IF(AND(T428&lt;1.5,X428&lt;1),"Zona 3 — Asumible: impacto bajo y muy poco frecuente","Zona 2 — Atención: riesgo intermedio"))</f>
        <v/>
      </c>
      <c r="AB428" s="64">
        <f>IFERROR(INDEX(MgAmenCtrl,MATCH(SUBSTITUTE($H428,"*","-"),MgAmenClave,0)),"")</f>
        <v/>
      </c>
      <c r="AC428" s="20" t="n"/>
      <c r="AD428" s="31">
        <f>IFERROR($X428*(1-IF($AC428="",$AL428,VLOOKUP($AC428,MgMad,2,0))),"")</f>
        <v/>
      </c>
      <c r="AE428" s="28">
        <f>IFERROR(LOOKUP(AD428,{0;0.01;0.1;1;10;100},{"Muy baja";"Muy baja";"Baja";"Media";"Alta";"Muy alta"}),"")</f>
        <v/>
      </c>
      <c r="AF428" s="30">
        <f>T428*AD428</f>
        <v/>
      </c>
      <c r="AG428" s="28">
        <f>IFERROR(LOOKUP(AF428,{0;0.5;5;25},{"Bajo";"Medio";"Alto";"Crítico"}),"")</f>
        <v/>
      </c>
      <c r="AH428" s="28">
        <f>IF(AG428="","",IF(OR(AG428="Crítico",AG428="Alto"),"Mitigar",IF(AG428="Medio","Mitigar","Aceptar y monitorear")))</f>
        <v/>
      </c>
      <c r="AI428" s="21" t="n"/>
      <c r="AJ428" s="21" t="n"/>
      <c r="AK428" s="20" t="n"/>
      <c r="AL428" s="77">
        <f>IFERROR(INDEX(MgAmenEfic,MATCH(SUBSTITUTE($H428,"*","-"),MgAmenClave,0)),0)</f>
        <v/>
      </c>
    </row>
    <row r="429" hidden="1" ht="75" customHeight="1" s="54">
      <c r="B429" s="59" t="inlineStr">
        <is>
          <t>R-0424</t>
        </is>
      </c>
      <c r="C429" s="59" t="inlineStr">
        <is>
          <t>GH-057</t>
        </is>
      </c>
      <c r="D429" s="64">
        <f>IFERROR(INDEX(MgNombre,MATCH($C429,MgActId,0)),"")</f>
        <v/>
      </c>
      <c r="E429" s="64">
        <f>IFERROR(INDEX(MgProceso,MATCH($C429,MgActId,0)),"")</f>
        <v/>
      </c>
      <c r="F429" s="64">
        <f>IFERROR(INDEX(MgTipo,MATCH($C429,MgActId,0)),"")</f>
        <v/>
      </c>
      <c r="G429" s="64">
        <f>IFERROR(INDEX(MgSubtipo,MATCH($C429,MgActId,0)),"")</f>
        <v/>
      </c>
      <c r="H429" s="59" t="inlineStr">
        <is>
          <t>A.5</t>
        </is>
      </c>
      <c r="I429" s="64">
        <f>IFERROR(INDEX(MgAmenNombre,MATCH(SUBSTITUTE($H429,"*","-"),MgAmenClave,0)),"")</f>
        <v/>
      </c>
      <c r="J429" s="28">
        <f>IFERROR(INDEX(MgAmenGrupo,MATCH(SUBSTITUTE($H429,"*","-"),MgAmenClave,0)),"")</f>
        <v/>
      </c>
      <c r="K429" s="64">
        <f>IFERROR(INDEX('1. Matriz de Activos'!$Q$6:$Q$239,MATCH($C429,MgActId,0)),"")</f>
        <v/>
      </c>
      <c r="L429" s="64">
        <f>IFERROR(INDEX('1. Matriz de Activos'!$R$6:$R$239,MATCH($C429,MgActId,0)),"")</f>
        <v/>
      </c>
      <c r="M429" s="64">
        <f>IFERROR(INDEX('1. Matriz de Activos'!$S$6:$S$239,MATCH($C429,MgActId,0)),"")</f>
        <v/>
      </c>
      <c r="N429" s="28">
        <f>IFERROR(INDEX(MgAmenDegD,MATCH(SUBSTITUTE($H429,"*","-"),MgAmenClave,0)),"No aplica")</f>
        <v/>
      </c>
      <c r="O429" s="28">
        <f>IFERROR(INDEX(MgAmenDegI,MATCH(SUBSTITUTE($H429,"*","-"),MgAmenClave,0)),"No aplica")</f>
        <v/>
      </c>
      <c r="P429" s="28">
        <f>IFERROR(INDEX(MgAmenDegC,MATCH(SUBSTITUTE($H429,"*","-"),MgAmenClave,0)),"No aplica")</f>
        <v/>
      </c>
      <c r="Q429" s="29">
        <f>IFERROR(VLOOKUP(K429,MgValor,2,0)*VLOOKUP(N429,MgDeg,2,0),0)</f>
        <v/>
      </c>
      <c r="R429" s="29">
        <f>IFERROR(VLOOKUP(L429,MgValor,2,0)*VLOOKUP(O429,MgDeg,2,0),0)</f>
        <v/>
      </c>
      <c r="S429" s="29">
        <f>IFERROR(VLOOKUP(M429,MgValor,2,0)*VLOOKUP(P429,MgDeg,2,0),0)</f>
        <v/>
      </c>
      <c r="T429" s="30">
        <f>MAX(Q429:S429)</f>
        <v/>
      </c>
      <c r="U429" s="28">
        <f>IFERROR(LOOKUP(T429,{0;0.5;1.5;3;4.5},{"Despreciable";"Bajo";"Medio";"Alto";"Muy alto"}),"")</f>
        <v/>
      </c>
      <c r="V429" s="13">
        <f>IFERROR(INDEX(MgAmenFrec,MATCH(SUBSTITUTE($H429,"*","-"),MgAmenClave,0)),"")</f>
        <v/>
      </c>
      <c r="W429" s="28">
        <f>IFERROR(LOOKUP(X429,{0;0.01;0.1;1;10;100},{"Muy baja";"Muy baja";"Baja";"Media";"Alta";"Muy alta"}),"")</f>
        <v/>
      </c>
      <c r="X429" s="31">
        <f>IFERROR(VLOOKUP(V429,MgFrec,2,0),0)</f>
        <v/>
      </c>
      <c r="Y429" s="30">
        <f>T429*X429</f>
        <v/>
      </c>
      <c r="Z429" s="28">
        <f>IFERROR(LOOKUP(Y429,{0;0.5;5;25},{"Bajo";"Medio";"Alto";"Crítico"}),"")</f>
        <v/>
      </c>
      <c r="AA429" s="64">
        <f>IF(T429&gt;=3,IF(X429&gt;=1,"Zona 1 — Crítica: impacto alto y ocurre al menos una vez al año","Zona 4 — Catastrófica poco probable: impacto alto pero excepcional"),IF(AND(T429&lt;1.5,X429&lt;1),"Zona 3 — Asumible: impacto bajo y muy poco frecuente","Zona 2 — Atención: riesgo intermedio"))</f>
        <v/>
      </c>
      <c r="AB429" s="64">
        <f>IFERROR(INDEX(MgAmenCtrl,MATCH(SUBSTITUTE($H429,"*","-"),MgAmenClave,0)),"")</f>
        <v/>
      </c>
      <c r="AC429" s="20" t="n"/>
      <c r="AD429" s="31">
        <f>IFERROR($X429*(1-IF($AC429="",$AL429,VLOOKUP($AC429,MgMad,2,0))),"")</f>
        <v/>
      </c>
      <c r="AE429" s="28">
        <f>IFERROR(LOOKUP(AD429,{0;0.01;0.1;1;10;100},{"Muy baja";"Muy baja";"Baja";"Media";"Alta";"Muy alta"}),"")</f>
        <v/>
      </c>
      <c r="AF429" s="30">
        <f>T429*AD429</f>
        <v/>
      </c>
      <c r="AG429" s="28">
        <f>IFERROR(LOOKUP(AF429,{0;0.5;5;25},{"Bajo";"Medio";"Alto";"Crítico"}),"")</f>
        <v/>
      </c>
      <c r="AH429" s="28">
        <f>IF(AG429="","",IF(OR(AG429="Crítico",AG429="Alto"),"Mitigar",IF(AG429="Medio","Mitigar","Aceptar y monitorear")))</f>
        <v/>
      </c>
      <c r="AI429" s="21" t="n"/>
      <c r="AJ429" s="21" t="n"/>
      <c r="AK429" s="20" t="n"/>
      <c r="AL429" s="77">
        <f>IFERROR(INDEX(MgAmenEfic,MATCH(SUBSTITUTE($H429,"*","-"),MgAmenClave,0)),0)</f>
        <v/>
      </c>
    </row>
    <row r="430" hidden="1" ht="105" customHeight="1" s="54">
      <c r="B430" s="59" t="inlineStr">
        <is>
          <t>R-0425</t>
        </is>
      </c>
      <c r="C430" s="59" t="inlineStr">
        <is>
          <t>GH-057</t>
        </is>
      </c>
      <c r="D430" s="64">
        <f>IFERROR(INDEX(MgNombre,MATCH($C430,MgActId,0)),"")</f>
        <v/>
      </c>
      <c r="E430" s="64">
        <f>IFERROR(INDEX(MgProceso,MATCH($C430,MgActId,0)),"")</f>
        <v/>
      </c>
      <c r="F430" s="64">
        <f>IFERROR(INDEX(MgTipo,MATCH($C430,MgActId,0)),"")</f>
        <v/>
      </c>
      <c r="G430" s="64">
        <f>IFERROR(INDEX(MgSubtipo,MATCH($C430,MgActId,0)),"")</f>
        <v/>
      </c>
      <c r="H430" s="59" t="inlineStr">
        <is>
          <t>A.6</t>
        </is>
      </c>
      <c r="I430" s="64">
        <f>IFERROR(INDEX(MgAmenNombre,MATCH(SUBSTITUTE($H430,"*","-"),MgAmenClave,0)),"")</f>
        <v/>
      </c>
      <c r="J430" s="28">
        <f>IFERROR(INDEX(MgAmenGrupo,MATCH(SUBSTITUTE($H430,"*","-"),MgAmenClave,0)),"")</f>
        <v/>
      </c>
      <c r="K430" s="64">
        <f>IFERROR(INDEX('1. Matriz de Activos'!$Q$6:$Q$239,MATCH($C430,MgActId,0)),"")</f>
        <v/>
      </c>
      <c r="L430" s="64">
        <f>IFERROR(INDEX('1. Matriz de Activos'!$R$6:$R$239,MATCH($C430,MgActId,0)),"")</f>
        <v/>
      </c>
      <c r="M430" s="64">
        <f>IFERROR(INDEX('1. Matriz de Activos'!$S$6:$S$239,MATCH($C430,MgActId,0)),"")</f>
        <v/>
      </c>
      <c r="N430" s="28">
        <f>IFERROR(INDEX(MgAmenDegD,MATCH(SUBSTITUTE($H430,"*","-"),MgAmenClave,0)),"No aplica")</f>
        <v/>
      </c>
      <c r="O430" s="28">
        <f>IFERROR(INDEX(MgAmenDegI,MATCH(SUBSTITUTE($H430,"*","-"),MgAmenClave,0)),"No aplica")</f>
        <v/>
      </c>
      <c r="P430" s="28">
        <f>IFERROR(INDEX(MgAmenDegC,MATCH(SUBSTITUTE($H430,"*","-"),MgAmenClave,0)),"No aplica")</f>
        <v/>
      </c>
      <c r="Q430" s="29">
        <f>IFERROR(VLOOKUP(K430,MgValor,2,0)*VLOOKUP(N430,MgDeg,2,0),0)</f>
        <v/>
      </c>
      <c r="R430" s="29">
        <f>IFERROR(VLOOKUP(L430,MgValor,2,0)*VLOOKUP(O430,MgDeg,2,0),0)</f>
        <v/>
      </c>
      <c r="S430" s="29">
        <f>IFERROR(VLOOKUP(M430,MgValor,2,0)*VLOOKUP(P430,MgDeg,2,0),0)</f>
        <v/>
      </c>
      <c r="T430" s="30">
        <f>MAX(Q430:S430)</f>
        <v/>
      </c>
      <c r="U430" s="28">
        <f>IFERROR(LOOKUP(T430,{0;0.5;1.5;3;4.5},{"Despreciable";"Bajo";"Medio";"Alto";"Muy alto"}),"")</f>
        <v/>
      </c>
      <c r="V430" s="13">
        <f>IFERROR(INDEX(MgAmenFrec,MATCH(SUBSTITUTE($H430,"*","-"),MgAmenClave,0)),"")</f>
        <v/>
      </c>
      <c r="W430" s="28">
        <f>IFERROR(LOOKUP(X430,{0;0.01;0.1;1;10;100},{"Muy baja";"Muy baja";"Baja";"Media";"Alta";"Muy alta"}),"")</f>
        <v/>
      </c>
      <c r="X430" s="31">
        <f>IFERROR(VLOOKUP(V430,MgFrec,2,0),0)</f>
        <v/>
      </c>
      <c r="Y430" s="30">
        <f>T430*X430</f>
        <v/>
      </c>
      <c r="Z430" s="28">
        <f>IFERROR(LOOKUP(Y430,{0;0.5;5;25},{"Bajo";"Medio";"Alto";"Crítico"}),"")</f>
        <v/>
      </c>
      <c r="AA430" s="64">
        <f>IF(T430&gt;=3,IF(X430&gt;=1,"Zona 1 — Crítica: impacto alto y ocurre al menos una vez al año","Zona 4 — Catastrófica poco probable: impacto alto pero excepcional"),IF(AND(T430&lt;1.5,X430&lt;1),"Zona 3 — Asumible: impacto bajo y muy poco frecuente","Zona 2 — Atención: riesgo intermedio"))</f>
        <v/>
      </c>
      <c r="AB430" s="64">
        <f>IFERROR(INDEX(MgAmenCtrl,MATCH(SUBSTITUTE($H430,"*","-"),MgAmenClave,0)),"")</f>
        <v/>
      </c>
      <c r="AC430" s="20" t="n"/>
      <c r="AD430" s="31">
        <f>IFERROR($X430*(1-IF($AC430="",$AL430,VLOOKUP($AC430,MgMad,2,0))),"")</f>
        <v/>
      </c>
      <c r="AE430" s="28">
        <f>IFERROR(LOOKUP(AD430,{0;0.01;0.1;1;10;100},{"Muy baja";"Muy baja";"Baja";"Media";"Alta";"Muy alta"}),"")</f>
        <v/>
      </c>
      <c r="AF430" s="30">
        <f>T430*AD430</f>
        <v/>
      </c>
      <c r="AG430" s="28">
        <f>IFERROR(LOOKUP(AF430,{0;0.5;5;25},{"Bajo";"Medio";"Alto";"Crítico"}),"")</f>
        <v/>
      </c>
      <c r="AH430" s="28">
        <f>IF(AG430="","",IF(OR(AG430="Crítico",AG430="Alto"),"Mitigar",IF(AG430="Medio","Mitigar","Aceptar y monitorear")))</f>
        <v/>
      </c>
      <c r="AI430" s="21" t="n"/>
      <c r="AJ430" s="21" t="n"/>
      <c r="AK430" s="20" t="n"/>
      <c r="AL430" s="77">
        <f>IFERROR(INDEX(MgAmenEfic,MATCH(SUBSTITUTE($H430,"*","-"),MgAmenClave,0)),0)</f>
        <v/>
      </c>
    </row>
    <row r="431" hidden="1" ht="120" customHeight="1" s="54">
      <c r="B431" s="59" t="inlineStr">
        <is>
          <t>R-0426</t>
        </is>
      </c>
      <c r="C431" s="59" t="inlineStr">
        <is>
          <t>GH-057</t>
        </is>
      </c>
      <c r="D431" s="64">
        <f>IFERROR(INDEX(MgNombre,MATCH($C431,MgActId,0)),"")</f>
        <v/>
      </c>
      <c r="E431" s="64">
        <f>IFERROR(INDEX(MgProceso,MATCH($C431,MgActId,0)),"")</f>
        <v/>
      </c>
      <c r="F431" s="64">
        <f>IFERROR(INDEX(MgTipo,MATCH($C431,MgActId,0)),"")</f>
        <v/>
      </c>
      <c r="G431" s="64">
        <f>IFERROR(INDEX(MgSubtipo,MATCH($C431,MgActId,0)),"")</f>
        <v/>
      </c>
      <c r="H431" s="59" t="inlineStr">
        <is>
          <t>A.11</t>
        </is>
      </c>
      <c r="I431" s="64">
        <f>IFERROR(INDEX(MgAmenNombre,MATCH(SUBSTITUTE($H431,"*","-"),MgAmenClave,0)),"")</f>
        <v/>
      </c>
      <c r="J431" s="28">
        <f>IFERROR(INDEX(MgAmenGrupo,MATCH(SUBSTITUTE($H431,"*","-"),MgAmenClave,0)),"")</f>
        <v/>
      </c>
      <c r="K431" s="64">
        <f>IFERROR(INDEX('1. Matriz de Activos'!$Q$6:$Q$239,MATCH($C431,MgActId,0)),"")</f>
        <v/>
      </c>
      <c r="L431" s="64">
        <f>IFERROR(INDEX('1. Matriz de Activos'!$R$6:$R$239,MATCH($C431,MgActId,0)),"")</f>
        <v/>
      </c>
      <c r="M431" s="64">
        <f>IFERROR(INDEX('1. Matriz de Activos'!$S$6:$S$239,MATCH($C431,MgActId,0)),"")</f>
        <v/>
      </c>
      <c r="N431" s="28">
        <f>IFERROR(INDEX(MgAmenDegD,MATCH(SUBSTITUTE($H431,"*","-"),MgAmenClave,0)),"No aplica")</f>
        <v/>
      </c>
      <c r="O431" s="28">
        <f>IFERROR(INDEX(MgAmenDegI,MATCH(SUBSTITUTE($H431,"*","-"),MgAmenClave,0)),"No aplica")</f>
        <v/>
      </c>
      <c r="P431" s="28">
        <f>IFERROR(INDEX(MgAmenDegC,MATCH(SUBSTITUTE($H431,"*","-"),MgAmenClave,0)),"No aplica")</f>
        <v/>
      </c>
      <c r="Q431" s="29">
        <f>IFERROR(VLOOKUP(K431,MgValor,2,0)*VLOOKUP(N431,MgDeg,2,0),0)</f>
        <v/>
      </c>
      <c r="R431" s="29">
        <f>IFERROR(VLOOKUP(L431,MgValor,2,0)*VLOOKUP(O431,MgDeg,2,0),0)</f>
        <v/>
      </c>
      <c r="S431" s="29">
        <f>IFERROR(VLOOKUP(M431,MgValor,2,0)*VLOOKUP(P431,MgDeg,2,0),0)</f>
        <v/>
      </c>
      <c r="T431" s="30">
        <f>MAX(Q431:S431)</f>
        <v/>
      </c>
      <c r="U431" s="28">
        <f>IFERROR(LOOKUP(T431,{0;0.5;1.5;3;4.5},{"Despreciable";"Bajo";"Medio";"Alto";"Muy alto"}),"")</f>
        <v/>
      </c>
      <c r="V431" s="13">
        <f>IFERROR(INDEX(MgAmenFrec,MATCH(SUBSTITUTE($H431,"*","-"),MgAmenClave,0)),"")</f>
        <v/>
      </c>
      <c r="W431" s="28">
        <f>IFERROR(LOOKUP(X431,{0;0.01;0.1;1;10;100},{"Muy baja";"Muy baja";"Baja";"Media";"Alta";"Muy alta"}),"")</f>
        <v/>
      </c>
      <c r="X431" s="31">
        <f>IFERROR(VLOOKUP(V431,MgFrec,2,0),0)</f>
        <v/>
      </c>
      <c r="Y431" s="30">
        <f>T431*X431</f>
        <v/>
      </c>
      <c r="Z431" s="28">
        <f>IFERROR(LOOKUP(Y431,{0;0.5;5;25},{"Bajo";"Medio";"Alto";"Crítico"}),"")</f>
        <v/>
      </c>
      <c r="AA431" s="64">
        <f>IF(T431&gt;=3,IF(X431&gt;=1,"Zona 1 — Crítica: impacto alto y ocurre al menos una vez al año","Zona 4 — Catastrófica poco probable: impacto alto pero excepcional"),IF(AND(T431&lt;1.5,X431&lt;1),"Zona 3 — Asumible: impacto bajo y muy poco frecuente","Zona 2 — Atención: riesgo intermedio"))</f>
        <v/>
      </c>
      <c r="AB431" s="64">
        <f>IFERROR(INDEX(MgAmenCtrl,MATCH(SUBSTITUTE($H431,"*","-"),MgAmenClave,0)),"")</f>
        <v/>
      </c>
      <c r="AC431" s="20" t="n"/>
      <c r="AD431" s="31">
        <f>IFERROR($X431*(1-IF($AC431="",$AL431,VLOOKUP($AC431,MgMad,2,0))),"")</f>
        <v/>
      </c>
      <c r="AE431" s="28">
        <f>IFERROR(LOOKUP(AD431,{0;0.01;0.1;1;10;100},{"Muy baja";"Muy baja";"Baja";"Media";"Alta";"Muy alta"}),"")</f>
        <v/>
      </c>
      <c r="AF431" s="30">
        <f>T431*AD431</f>
        <v/>
      </c>
      <c r="AG431" s="28">
        <f>IFERROR(LOOKUP(AF431,{0;0.5;5;25},{"Bajo";"Medio";"Alto";"Crítico"}),"")</f>
        <v/>
      </c>
      <c r="AH431" s="28">
        <f>IF(AG431="","",IF(OR(AG431="Crítico",AG431="Alto"),"Mitigar",IF(AG431="Medio","Mitigar","Aceptar y monitorear")))</f>
        <v/>
      </c>
      <c r="AI431" s="21" t="n"/>
      <c r="AJ431" s="21" t="n"/>
      <c r="AK431" s="20" t="n"/>
      <c r="AL431" s="77">
        <f>IFERROR(INDEX(MgAmenEfic,MATCH(SUBSTITUTE($H431,"*","-"),MgAmenClave,0)),0)</f>
        <v/>
      </c>
    </row>
    <row r="432" hidden="1" ht="90" customHeight="1" s="54">
      <c r="B432" s="59" t="inlineStr">
        <is>
          <t>R-0427</t>
        </is>
      </c>
      <c r="C432" s="59" t="inlineStr">
        <is>
          <t>GH-057</t>
        </is>
      </c>
      <c r="D432" s="64">
        <f>IFERROR(INDEX(MgNombre,MATCH($C432,MgActId,0)),"")</f>
        <v/>
      </c>
      <c r="E432" s="64">
        <f>IFERROR(INDEX(MgProceso,MATCH($C432,MgActId,0)),"")</f>
        <v/>
      </c>
      <c r="F432" s="64">
        <f>IFERROR(INDEX(MgTipo,MATCH($C432,MgActId,0)),"")</f>
        <v/>
      </c>
      <c r="G432" s="64">
        <f>IFERROR(INDEX(MgSubtipo,MATCH($C432,MgActId,0)),"")</f>
        <v/>
      </c>
      <c r="H432" s="59" t="inlineStr">
        <is>
          <t>A.13</t>
        </is>
      </c>
      <c r="I432" s="64">
        <f>IFERROR(INDEX(MgAmenNombre,MATCH(SUBSTITUTE($H432,"*","-"),MgAmenClave,0)),"")</f>
        <v/>
      </c>
      <c r="J432" s="28">
        <f>IFERROR(INDEX(MgAmenGrupo,MATCH(SUBSTITUTE($H432,"*","-"),MgAmenClave,0)),"")</f>
        <v/>
      </c>
      <c r="K432" s="64">
        <f>IFERROR(INDEX('1. Matriz de Activos'!$Q$6:$Q$239,MATCH($C432,MgActId,0)),"")</f>
        <v/>
      </c>
      <c r="L432" s="64">
        <f>IFERROR(INDEX('1. Matriz de Activos'!$R$6:$R$239,MATCH($C432,MgActId,0)),"")</f>
        <v/>
      </c>
      <c r="M432" s="64">
        <f>IFERROR(INDEX('1. Matriz de Activos'!$S$6:$S$239,MATCH($C432,MgActId,0)),"")</f>
        <v/>
      </c>
      <c r="N432" s="28">
        <f>IFERROR(INDEX(MgAmenDegD,MATCH(SUBSTITUTE($H432,"*","-"),MgAmenClave,0)),"No aplica")</f>
        <v/>
      </c>
      <c r="O432" s="28">
        <f>IFERROR(INDEX(MgAmenDegI,MATCH(SUBSTITUTE($H432,"*","-"),MgAmenClave,0)),"No aplica")</f>
        <v/>
      </c>
      <c r="P432" s="28">
        <f>IFERROR(INDEX(MgAmenDegC,MATCH(SUBSTITUTE($H432,"*","-"),MgAmenClave,0)),"No aplica")</f>
        <v/>
      </c>
      <c r="Q432" s="29">
        <f>IFERROR(VLOOKUP(K432,MgValor,2,0)*VLOOKUP(N432,MgDeg,2,0),0)</f>
        <v/>
      </c>
      <c r="R432" s="29">
        <f>IFERROR(VLOOKUP(L432,MgValor,2,0)*VLOOKUP(O432,MgDeg,2,0),0)</f>
        <v/>
      </c>
      <c r="S432" s="29">
        <f>IFERROR(VLOOKUP(M432,MgValor,2,0)*VLOOKUP(P432,MgDeg,2,0),0)</f>
        <v/>
      </c>
      <c r="T432" s="30">
        <f>MAX(Q432:S432)</f>
        <v/>
      </c>
      <c r="U432" s="28">
        <f>IFERROR(LOOKUP(T432,{0;0.5;1.5;3;4.5},{"Despreciable";"Bajo";"Medio";"Alto";"Muy alto"}),"")</f>
        <v/>
      </c>
      <c r="V432" s="13">
        <f>IFERROR(INDEX(MgAmenFrec,MATCH(SUBSTITUTE($H432,"*","-"),MgAmenClave,0)),"")</f>
        <v/>
      </c>
      <c r="W432" s="28">
        <f>IFERROR(LOOKUP(X432,{0;0.01;0.1;1;10;100},{"Muy baja";"Muy baja";"Baja";"Media";"Alta";"Muy alta"}),"")</f>
        <v/>
      </c>
      <c r="X432" s="31">
        <f>IFERROR(VLOOKUP(V432,MgFrec,2,0),0)</f>
        <v/>
      </c>
      <c r="Y432" s="30">
        <f>T432*X432</f>
        <v/>
      </c>
      <c r="Z432" s="28">
        <f>IFERROR(LOOKUP(Y432,{0;0.5;5;25},{"Bajo";"Medio";"Alto";"Crítico"}),"")</f>
        <v/>
      </c>
      <c r="AA432" s="64">
        <f>IF(T432&gt;=3,IF(X432&gt;=1,"Zona 1 — Crítica: impacto alto y ocurre al menos una vez al año","Zona 4 — Catastrófica poco probable: impacto alto pero excepcional"),IF(AND(T432&lt;1.5,X432&lt;1),"Zona 3 — Asumible: impacto bajo y muy poco frecuente","Zona 2 — Atención: riesgo intermedio"))</f>
        <v/>
      </c>
      <c r="AB432" s="64">
        <f>IFERROR(INDEX(MgAmenCtrl,MATCH(SUBSTITUTE($H432,"*","-"),MgAmenClave,0)),"")</f>
        <v/>
      </c>
      <c r="AC432" s="20" t="n"/>
      <c r="AD432" s="31">
        <f>IFERROR($X432*(1-IF($AC432="",$AL432,VLOOKUP($AC432,MgMad,2,0))),"")</f>
        <v/>
      </c>
      <c r="AE432" s="28">
        <f>IFERROR(LOOKUP(AD432,{0;0.01;0.1;1;10;100},{"Muy baja";"Muy baja";"Baja";"Media";"Alta";"Muy alta"}),"")</f>
        <v/>
      </c>
      <c r="AF432" s="30">
        <f>T432*AD432</f>
        <v/>
      </c>
      <c r="AG432" s="28">
        <f>IFERROR(LOOKUP(AF432,{0;0.5;5;25},{"Bajo";"Medio";"Alto";"Crítico"}),"")</f>
        <v/>
      </c>
      <c r="AH432" s="28">
        <f>IF(AG432="","",IF(OR(AG432="Crítico",AG432="Alto"),"Mitigar",IF(AG432="Medio","Mitigar","Aceptar y monitorear")))</f>
        <v/>
      </c>
      <c r="AI432" s="21" t="n"/>
      <c r="AJ432" s="21" t="n"/>
      <c r="AK432" s="20" t="n"/>
      <c r="AL432" s="77">
        <f>IFERROR(INDEX(MgAmenEfic,MATCH(SUBSTITUTE($H432,"*","-"),MgAmenClave,0)),0)</f>
        <v/>
      </c>
    </row>
    <row r="433" hidden="1" ht="60" customHeight="1" s="54">
      <c r="B433" s="59" t="inlineStr">
        <is>
          <t>R-0428</t>
        </is>
      </c>
      <c r="C433" s="59" t="inlineStr">
        <is>
          <t>GH-057</t>
        </is>
      </c>
      <c r="D433" s="64">
        <f>IFERROR(INDEX(MgNombre,MATCH($C433,MgActId,0)),"")</f>
        <v/>
      </c>
      <c r="E433" s="64">
        <f>IFERROR(INDEX(MgProceso,MATCH($C433,MgActId,0)),"")</f>
        <v/>
      </c>
      <c r="F433" s="64">
        <f>IFERROR(INDEX(MgTipo,MATCH($C433,MgActId,0)),"")</f>
        <v/>
      </c>
      <c r="G433" s="64">
        <f>IFERROR(INDEX(MgSubtipo,MATCH($C433,MgActId,0)),"")</f>
        <v/>
      </c>
      <c r="H433" s="59" t="inlineStr">
        <is>
          <t>A.15</t>
        </is>
      </c>
      <c r="I433" s="64">
        <f>IFERROR(INDEX(MgAmenNombre,MATCH(SUBSTITUTE($H433,"*","-"),MgAmenClave,0)),"")</f>
        <v/>
      </c>
      <c r="J433" s="28">
        <f>IFERROR(INDEX(MgAmenGrupo,MATCH(SUBSTITUTE($H433,"*","-"),MgAmenClave,0)),"")</f>
        <v/>
      </c>
      <c r="K433" s="64">
        <f>IFERROR(INDEX('1. Matriz de Activos'!$Q$6:$Q$239,MATCH($C433,MgActId,0)),"")</f>
        <v/>
      </c>
      <c r="L433" s="64">
        <f>IFERROR(INDEX('1. Matriz de Activos'!$R$6:$R$239,MATCH($C433,MgActId,0)),"")</f>
        <v/>
      </c>
      <c r="M433" s="64">
        <f>IFERROR(INDEX('1. Matriz de Activos'!$S$6:$S$239,MATCH($C433,MgActId,0)),"")</f>
        <v/>
      </c>
      <c r="N433" s="28">
        <f>IFERROR(INDEX(MgAmenDegD,MATCH(SUBSTITUTE($H433,"*","-"),MgAmenClave,0)),"No aplica")</f>
        <v/>
      </c>
      <c r="O433" s="28">
        <f>IFERROR(INDEX(MgAmenDegI,MATCH(SUBSTITUTE($H433,"*","-"),MgAmenClave,0)),"No aplica")</f>
        <v/>
      </c>
      <c r="P433" s="28">
        <f>IFERROR(INDEX(MgAmenDegC,MATCH(SUBSTITUTE($H433,"*","-"),MgAmenClave,0)),"No aplica")</f>
        <v/>
      </c>
      <c r="Q433" s="29">
        <f>IFERROR(VLOOKUP(K433,MgValor,2,0)*VLOOKUP(N433,MgDeg,2,0),0)</f>
        <v/>
      </c>
      <c r="R433" s="29">
        <f>IFERROR(VLOOKUP(L433,MgValor,2,0)*VLOOKUP(O433,MgDeg,2,0),0)</f>
        <v/>
      </c>
      <c r="S433" s="29">
        <f>IFERROR(VLOOKUP(M433,MgValor,2,0)*VLOOKUP(P433,MgDeg,2,0),0)</f>
        <v/>
      </c>
      <c r="T433" s="30">
        <f>MAX(Q433:S433)</f>
        <v/>
      </c>
      <c r="U433" s="28">
        <f>IFERROR(LOOKUP(T433,{0;0.5;1.5;3;4.5},{"Despreciable";"Bajo";"Medio";"Alto";"Muy alto"}),"")</f>
        <v/>
      </c>
      <c r="V433" s="13">
        <f>IFERROR(INDEX(MgAmenFrec,MATCH(SUBSTITUTE($H433,"*","-"),MgAmenClave,0)),"")</f>
        <v/>
      </c>
      <c r="W433" s="28">
        <f>IFERROR(LOOKUP(X433,{0;0.01;0.1;1;10;100},{"Muy baja";"Muy baja";"Baja";"Media";"Alta";"Muy alta"}),"")</f>
        <v/>
      </c>
      <c r="X433" s="31">
        <f>IFERROR(VLOOKUP(V433,MgFrec,2,0),0)</f>
        <v/>
      </c>
      <c r="Y433" s="30">
        <f>T433*X433</f>
        <v/>
      </c>
      <c r="Z433" s="28">
        <f>IFERROR(LOOKUP(Y433,{0;0.5;5;25},{"Bajo";"Medio";"Alto";"Crítico"}),"")</f>
        <v/>
      </c>
      <c r="AA433" s="64">
        <f>IF(T433&gt;=3,IF(X433&gt;=1,"Zona 1 — Crítica: impacto alto y ocurre al menos una vez al año","Zona 4 — Catastrófica poco probable: impacto alto pero excepcional"),IF(AND(T433&lt;1.5,X433&lt;1),"Zona 3 — Asumible: impacto bajo y muy poco frecuente","Zona 2 — Atención: riesgo intermedio"))</f>
        <v/>
      </c>
      <c r="AB433" s="64">
        <f>IFERROR(INDEX(MgAmenCtrl,MATCH(SUBSTITUTE($H433,"*","-"),MgAmenClave,0)),"")</f>
        <v/>
      </c>
      <c r="AC433" s="20" t="n"/>
      <c r="AD433" s="31">
        <f>IFERROR($X433*(1-IF($AC433="",$AL433,VLOOKUP($AC433,MgMad,2,0))),"")</f>
        <v/>
      </c>
      <c r="AE433" s="28">
        <f>IFERROR(LOOKUP(AD433,{0;0.01;0.1;1;10;100},{"Muy baja";"Muy baja";"Baja";"Media";"Alta";"Muy alta"}),"")</f>
        <v/>
      </c>
      <c r="AF433" s="30">
        <f>T433*AD433</f>
        <v/>
      </c>
      <c r="AG433" s="28">
        <f>IFERROR(LOOKUP(AF433,{0;0.5;5;25},{"Bajo";"Medio";"Alto";"Crítico"}),"")</f>
        <v/>
      </c>
      <c r="AH433" s="28">
        <f>IF(AG433="","",IF(OR(AG433="Crítico",AG433="Alto"),"Mitigar",IF(AG433="Medio","Mitigar","Aceptar y monitorear")))</f>
        <v/>
      </c>
      <c r="AI433" s="21" t="n"/>
      <c r="AJ433" s="21" t="n"/>
      <c r="AK433" s="20" t="n"/>
      <c r="AL433" s="77">
        <f>IFERROR(INDEX(MgAmenEfic,MATCH(SUBSTITUTE($H433,"*","-"),MgAmenClave,0)),0)</f>
        <v/>
      </c>
    </row>
    <row r="434" hidden="1" ht="60" customHeight="1" s="54">
      <c r="B434" s="59" t="inlineStr">
        <is>
          <t>R-0429</t>
        </is>
      </c>
      <c r="C434" s="59" t="inlineStr">
        <is>
          <t>GH-057</t>
        </is>
      </c>
      <c r="D434" s="64">
        <f>IFERROR(INDEX(MgNombre,MATCH($C434,MgActId,0)),"")</f>
        <v/>
      </c>
      <c r="E434" s="64">
        <f>IFERROR(INDEX(MgProceso,MATCH($C434,MgActId,0)),"")</f>
        <v/>
      </c>
      <c r="F434" s="64">
        <f>IFERROR(INDEX(MgTipo,MATCH($C434,MgActId,0)),"")</f>
        <v/>
      </c>
      <c r="G434" s="64">
        <f>IFERROR(INDEX(MgSubtipo,MATCH($C434,MgActId,0)),"")</f>
        <v/>
      </c>
      <c r="H434" s="59" t="inlineStr">
        <is>
          <t>A.18</t>
        </is>
      </c>
      <c r="I434" s="64">
        <f>IFERROR(INDEX(MgAmenNombre,MATCH(SUBSTITUTE($H434,"*","-"),MgAmenClave,0)),"")</f>
        <v/>
      </c>
      <c r="J434" s="28">
        <f>IFERROR(INDEX(MgAmenGrupo,MATCH(SUBSTITUTE($H434,"*","-"),MgAmenClave,0)),"")</f>
        <v/>
      </c>
      <c r="K434" s="64">
        <f>IFERROR(INDEX('1. Matriz de Activos'!$Q$6:$Q$239,MATCH($C434,MgActId,0)),"")</f>
        <v/>
      </c>
      <c r="L434" s="64">
        <f>IFERROR(INDEX('1. Matriz de Activos'!$R$6:$R$239,MATCH($C434,MgActId,0)),"")</f>
        <v/>
      </c>
      <c r="M434" s="64">
        <f>IFERROR(INDEX('1. Matriz de Activos'!$S$6:$S$239,MATCH($C434,MgActId,0)),"")</f>
        <v/>
      </c>
      <c r="N434" s="28">
        <f>IFERROR(INDEX(MgAmenDegD,MATCH(SUBSTITUTE($H434,"*","-"),MgAmenClave,0)),"No aplica")</f>
        <v/>
      </c>
      <c r="O434" s="28">
        <f>IFERROR(INDEX(MgAmenDegI,MATCH(SUBSTITUTE($H434,"*","-"),MgAmenClave,0)),"No aplica")</f>
        <v/>
      </c>
      <c r="P434" s="28">
        <f>IFERROR(INDEX(MgAmenDegC,MATCH(SUBSTITUTE($H434,"*","-"),MgAmenClave,0)),"No aplica")</f>
        <v/>
      </c>
      <c r="Q434" s="29">
        <f>IFERROR(VLOOKUP(K434,MgValor,2,0)*VLOOKUP(N434,MgDeg,2,0),0)</f>
        <v/>
      </c>
      <c r="R434" s="29">
        <f>IFERROR(VLOOKUP(L434,MgValor,2,0)*VLOOKUP(O434,MgDeg,2,0),0)</f>
        <v/>
      </c>
      <c r="S434" s="29">
        <f>IFERROR(VLOOKUP(M434,MgValor,2,0)*VLOOKUP(P434,MgDeg,2,0),0)</f>
        <v/>
      </c>
      <c r="T434" s="30">
        <f>MAX(Q434:S434)</f>
        <v/>
      </c>
      <c r="U434" s="28">
        <f>IFERROR(LOOKUP(T434,{0;0.5;1.5;3;4.5},{"Despreciable";"Bajo";"Medio";"Alto";"Muy alto"}),"")</f>
        <v/>
      </c>
      <c r="V434" s="13">
        <f>IFERROR(INDEX(MgAmenFrec,MATCH(SUBSTITUTE($H434,"*","-"),MgAmenClave,0)),"")</f>
        <v/>
      </c>
      <c r="W434" s="28">
        <f>IFERROR(LOOKUP(X434,{0;0.01;0.1;1;10;100},{"Muy baja";"Muy baja";"Baja";"Media";"Alta";"Muy alta"}),"")</f>
        <v/>
      </c>
      <c r="X434" s="31">
        <f>IFERROR(VLOOKUP(V434,MgFrec,2,0),0)</f>
        <v/>
      </c>
      <c r="Y434" s="30">
        <f>T434*X434</f>
        <v/>
      </c>
      <c r="Z434" s="28">
        <f>IFERROR(LOOKUP(Y434,{0;0.5;5;25},{"Bajo";"Medio";"Alto";"Crítico"}),"")</f>
        <v/>
      </c>
      <c r="AA434" s="64">
        <f>IF(T434&gt;=3,IF(X434&gt;=1,"Zona 1 — Crítica: impacto alto y ocurre al menos una vez al año","Zona 4 — Catastrófica poco probable: impacto alto pero excepcional"),IF(AND(T434&lt;1.5,X434&lt;1),"Zona 3 — Asumible: impacto bajo y muy poco frecuente","Zona 2 — Atención: riesgo intermedio"))</f>
        <v/>
      </c>
      <c r="AB434" s="64">
        <f>IFERROR(INDEX(MgAmenCtrl,MATCH(SUBSTITUTE($H434,"*","-"),MgAmenClave,0)),"")</f>
        <v/>
      </c>
      <c r="AC434" s="20" t="n"/>
      <c r="AD434" s="31">
        <f>IFERROR($X434*(1-IF($AC434="",$AL434,VLOOKUP($AC434,MgMad,2,0))),"")</f>
        <v/>
      </c>
      <c r="AE434" s="28">
        <f>IFERROR(LOOKUP(AD434,{0;0.01;0.1;1;10;100},{"Muy baja";"Muy baja";"Baja";"Media";"Alta";"Muy alta"}),"")</f>
        <v/>
      </c>
      <c r="AF434" s="30">
        <f>T434*AD434</f>
        <v/>
      </c>
      <c r="AG434" s="28">
        <f>IFERROR(LOOKUP(AF434,{0;0.5;5;25},{"Bajo";"Medio";"Alto";"Crítico"}),"")</f>
        <v/>
      </c>
      <c r="AH434" s="28">
        <f>IF(AG434="","",IF(OR(AG434="Crítico",AG434="Alto"),"Mitigar",IF(AG434="Medio","Mitigar","Aceptar y monitorear")))</f>
        <v/>
      </c>
      <c r="AI434" s="21" t="n"/>
      <c r="AJ434" s="21" t="n"/>
      <c r="AK434" s="20" t="n"/>
      <c r="AL434" s="77">
        <f>IFERROR(INDEX(MgAmenEfic,MATCH(SUBSTITUTE($H434,"*","-"),MgAmenClave,0)),0)</f>
        <v/>
      </c>
    </row>
    <row r="435" hidden="1" ht="120" customHeight="1" s="54">
      <c r="B435" s="59" t="inlineStr">
        <is>
          <t>R-0430</t>
        </is>
      </c>
      <c r="C435" s="59" t="inlineStr">
        <is>
          <t>GH-057</t>
        </is>
      </c>
      <c r="D435" s="64">
        <f>IFERROR(INDEX(MgNombre,MATCH($C435,MgActId,0)),"")</f>
        <v/>
      </c>
      <c r="E435" s="64">
        <f>IFERROR(INDEX(MgProceso,MATCH($C435,MgActId,0)),"")</f>
        <v/>
      </c>
      <c r="F435" s="64">
        <f>IFERROR(INDEX(MgTipo,MATCH($C435,MgActId,0)),"")</f>
        <v/>
      </c>
      <c r="G435" s="64">
        <f>IFERROR(INDEX(MgSubtipo,MATCH($C435,MgActId,0)),"")</f>
        <v/>
      </c>
      <c r="H435" s="59" t="inlineStr">
        <is>
          <t>A.19</t>
        </is>
      </c>
      <c r="I435" s="64">
        <f>IFERROR(INDEX(MgAmenNombre,MATCH(SUBSTITUTE($H435,"*","-"),MgAmenClave,0)),"")</f>
        <v/>
      </c>
      <c r="J435" s="28">
        <f>IFERROR(INDEX(MgAmenGrupo,MATCH(SUBSTITUTE($H435,"*","-"),MgAmenClave,0)),"")</f>
        <v/>
      </c>
      <c r="K435" s="64">
        <f>IFERROR(INDEX('1. Matriz de Activos'!$Q$6:$Q$239,MATCH($C435,MgActId,0)),"")</f>
        <v/>
      </c>
      <c r="L435" s="64">
        <f>IFERROR(INDEX('1. Matriz de Activos'!$R$6:$R$239,MATCH($C435,MgActId,0)),"")</f>
        <v/>
      </c>
      <c r="M435" s="64">
        <f>IFERROR(INDEX('1. Matriz de Activos'!$S$6:$S$239,MATCH($C435,MgActId,0)),"")</f>
        <v/>
      </c>
      <c r="N435" s="28">
        <f>IFERROR(INDEX(MgAmenDegD,MATCH(SUBSTITUTE($H435,"*","-"),MgAmenClave,0)),"No aplica")</f>
        <v/>
      </c>
      <c r="O435" s="28">
        <f>IFERROR(INDEX(MgAmenDegI,MATCH(SUBSTITUTE($H435,"*","-"),MgAmenClave,0)),"No aplica")</f>
        <v/>
      </c>
      <c r="P435" s="28">
        <f>IFERROR(INDEX(MgAmenDegC,MATCH(SUBSTITUTE($H435,"*","-"),MgAmenClave,0)),"No aplica")</f>
        <v/>
      </c>
      <c r="Q435" s="29">
        <f>IFERROR(VLOOKUP(K435,MgValor,2,0)*VLOOKUP(N435,MgDeg,2,0),0)</f>
        <v/>
      </c>
      <c r="R435" s="29">
        <f>IFERROR(VLOOKUP(L435,MgValor,2,0)*VLOOKUP(O435,MgDeg,2,0),0)</f>
        <v/>
      </c>
      <c r="S435" s="29">
        <f>IFERROR(VLOOKUP(M435,MgValor,2,0)*VLOOKUP(P435,MgDeg,2,0),0)</f>
        <v/>
      </c>
      <c r="T435" s="30">
        <f>MAX(Q435:S435)</f>
        <v/>
      </c>
      <c r="U435" s="28">
        <f>IFERROR(LOOKUP(T435,{0;0.5;1.5;3;4.5},{"Despreciable";"Bajo";"Medio";"Alto";"Muy alto"}),"")</f>
        <v/>
      </c>
      <c r="V435" s="13">
        <f>IFERROR(INDEX(MgAmenFrec,MATCH(SUBSTITUTE($H435,"*","-"),MgAmenClave,0)),"")</f>
        <v/>
      </c>
      <c r="W435" s="28">
        <f>IFERROR(LOOKUP(X435,{0;0.01;0.1;1;10;100},{"Muy baja";"Muy baja";"Baja";"Media";"Alta";"Muy alta"}),"")</f>
        <v/>
      </c>
      <c r="X435" s="31">
        <f>IFERROR(VLOOKUP(V435,MgFrec,2,0),0)</f>
        <v/>
      </c>
      <c r="Y435" s="30">
        <f>T435*X435</f>
        <v/>
      </c>
      <c r="Z435" s="28">
        <f>IFERROR(LOOKUP(Y435,{0;0.5;5;25},{"Bajo";"Medio";"Alto";"Crítico"}),"")</f>
        <v/>
      </c>
      <c r="AA435" s="64">
        <f>IF(T435&gt;=3,IF(X435&gt;=1,"Zona 1 — Crítica: impacto alto y ocurre al menos una vez al año","Zona 4 — Catastrófica poco probable: impacto alto pero excepcional"),IF(AND(T435&lt;1.5,X435&lt;1),"Zona 3 — Asumible: impacto bajo y muy poco frecuente","Zona 2 — Atención: riesgo intermedio"))</f>
        <v/>
      </c>
      <c r="AB435" s="64">
        <f>IFERROR(INDEX(MgAmenCtrl,MATCH(SUBSTITUTE($H435,"*","-"),MgAmenClave,0)),"")</f>
        <v/>
      </c>
      <c r="AC435" s="20" t="n"/>
      <c r="AD435" s="31">
        <f>IFERROR($X435*(1-IF($AC435="",$AL435,VLOOKUP($AC435,MgMad,2,0))),"")</f>
        <v/>
      </c>
      <c r="AE435" s="28">
        <f>IFERROR(LOOKUP(AD435,{0;0.01;0.1;1;10;100},{"Muy baja";"Muy baja";"Baja";"Media";"Alta";"Muy alta"}),"")</f>
        <v/>
      </c>
      <c r="AF435" s="30">
        <f>T435*AD435</f>
        <v/>
      </c>
      <c r="AG435" s="28">
        <f>IFERROR(LOOKUP(AF435,{0;0.5;5;25},{"Bajo";"Medio";"Alto";"Crítico"}),"")</f>
        <v/>
      </c>
      <c r="AH435" s="28">
        <f>IF(AG435="","",IF(OR(AG435="Crítico",AG435="Alto"),"Mitigar",IF(AG435="Medio","Mitigar","Aceptar y monitorear")))</f>
        <v/>
      </c>
      <c r="AI435" s="21" t="n"/>
      <c r="AJ435" s="21" t="n"/>
      <c r="AK435" s="20" t="n"/>
      <c r="AL435" s="77">
        <f>IFERROR(INDEX(MgAmenEfic,MATCH(SUBSTITUTE($H435,"*","-"),MgAmenClave,0)),0)</f>
        <v/>
      </c>
    </row>
    <row r="436" hidden="1" ht="105" customHeight="1" s="54">
      <c r="B436" s="59" t="inlineStr">
        <is>
          <t>R-0431</t>
        </is>
      </c>
      <c r="C436" s="59" t="inlineStr">
        <is>
          <t>TAL-11</t>
        </is>
      </c>
      <c r="D436" s="64">
        <f>IFERROR(INDEX(MgNombre,MATCH($C436,MgActId,0)),"")</f>
        <v/>
      </c>
      <c r="E436" s="64">
        <f>IFERROR(INDEX(MgProceso,MATCH($C436,MgActId,0)),"")</f>
        <v/>
      </c>
      <c r="F436" s="64">
        <f>IFERROR(INDEX(MgTipo,MATCH($C436,MgActId,0)),"")</f>
        <v/>
      </c>
      <c r="G436" s="64">
        <f>IFERROR(INDEX(MgSubtipo,MATCH($C436,MgActId,0)),"")</f>
        <v/>
      </c>
      <c r="H436" s="59" t="inlineStr">
        <is>
          <t>E.1</t>
        </is>
      </c>
      <c r="I436" s="64">
        <f>IFERROR(INDEX(MgAmenNombre,MATCH(SUBSTITUTE($H436,"*","-"),MgAmenClave,0)),"")</f>
        <v/>
      </c>
      <c r="J436" s="28">
        <f>IFERROR(INDEX(MgAmenGrupo,MATCH(SUBSTITUTE($H436,"*","-"),MgAmenClave,0)),"")</f>
        <v/>
      </c>
      <c r="K436" s="64">
        <f>IFERROR(INDEX('1. Matriz de Activos'!$Q$6:$Q$239,MATCH($C436,MgActId,0)),"")</f>
        <v/>
      </c>
      <c r="L436" s="64">
        <f>IFERROR(INDEX('1. Matriz de Activos'!$R$6:$R$239,MATCH($C436,MgActId,0)),"")</f>
        <v/>
      </c>
      <c r="M436" s="64">
        <f>IFERROR(INDEX('1. Matriz de Activos'!$S$6:$S$239,MATCH($C436,MgActId,0)),"")</f>
        <v/>
      </c>
      <c r="N436" s="28">
        <f>IFERROR(INDEX(MgAmenDegD,MATCH(SUBSTITUTE($H436,"*","-"),MgAmenClave,0)),"No aplica")</f>
        <v/>
      </c>
      <c r="O436" s="28">
        <f>IFERROR(INDEX(MgAmenDegI,MATCH(SUBSTITUTE($H436,"*","-"),MgAmenClave,0)),"No aplica")</f>
        <v/>
      </c>
      <c r="P436" s="28">
        <f>IFERROR(INDEX(MgAmenDegC,MATCH(SUBSTITUTE($H436,"*","-"),MgAmenClave,0)),"No aplica")</f>
        <v/>
      </c>
      <c r="Q436" s="29">
        <f>IFERROR(VLOOKUP(K436,MgValor,2,0)*VLOOKUP(N436,MgDeg,2,0),0)</f>
        <v/>
      </c>
      <c r="R436" s="29">
        <f>IFERROR(VLOOKUP(L436,MgValor,2,0)*VLOOKUP(O436,MgDeg,2,0),0)</f>
        <v/>
      </c>
      <c r="S436" s="29">
        <f>IFERROR(VLOOKUP(M436,MgValor,2,0)*VLOOKUP(P436,MgDeg,2,0),0)</f>
        <v/>
      </c>
      <c r="T436" s="30">
        <f>MAX(Q436:S436)</f>
        <v/>
      </c>
      <c r="U436" s="28">
        <f>IFERROR(LOOKUP(T436,{0;0.5;1.5;3;4.5},{"Despreciable";"Bajo";"Medio";"Alto";"Muy alto"}),"")</f>
        <v/>
      </c>
      <c r="V436" s="13">
        <f>IFERROR(INDEX(MgAmenFrec,MATCH(SUBSTITUTE($H436,"*","-"),MgAmenClave,0)),"")</f>
        <v/>
      </c>
      <c r="W436" s="28">
        <f>IFERROR(LOOKUP(X436,{0;0.01;0.1;1;10;100},{"Muy baja";"Muy baja";"Baja";"Media";"Alta";"Muy alta"}),"")</f>
        <v/>
      </c>
      <c r="X436" s="31">
        <f>IFERROR(VLOOKUP(V436,MgFrec,2,0),0)</f>
        <v/>
      </c>
      <c r="Y436" s="30">
        <f>T436*X436</f>
        <v/>
      </c>
      <c r="Z436" s="28">
        <f>IFERROR(LOOKUP(Y436,{0;0.5;5;25},{"Bajo";"Medio";"Alto";"Crítico"}),"")</f>
        <v/>
      </c>
      <c r="AA436" s="64">
        <f>IF(T436&gt;=3,IF(X436&gt;=1,"Zona 1 — Crítica: impacto alto y ocurre al menos una vez al año","Zona 4 — Catastrófica poco probable: impacto alto pero excepcional"),IF(AND(T436&lt;1.5,X436&lt;1),"Zona 3 — Asumible: impacto bajo y muy poco frecuente","Zona 2 — Atención: riesgo intermedio"))</f>
        <v/>
      </c>
      <c r="AB436" s="64">
        <f>IFERROR(INDEX(MgAmenCtrl,MATCH(SUBSTITUTE($H436,"*","-"),MgAmenClave,0)),"")</f>
        <v/>
      </c>
      <c r="AC436" s="20" t="n"/>
      <c r="AD436" s="31">
        <f>IFERROR($X436*(1-IF($AC436="",$AL436,VLOOKUP($AC436,MgMad,2,0))),"")</f>
        <v/>
      </c>
      <c r="AE436" s="28">
        <f>IFERROR(LOOKUP(AD436,{0;0.01;0.1;1;10;100},{"Muy baja";"Muy baja";"Baja";"Media";"Alta";"Muy alta"}),"")</f>
        <v/>
      </c>
      <c r="AF436" s="30">
        <f>T436*AD436</f>
        <v/>
      </c>
      <c r="AG436" s="28">
        <f>IFERROR(LOOKUP(AF436,{0;0.5;5;25},{"Bajo";"Medio";"Alto";"Crítico"}),"")</f>
        <v/>
      </c>
      <c r="AH436" s="28">
        <f>IF(AG436="","",IF(OR(AG436="Crítico",AG436="Alto"),"Mitigar",IF(AG436="Medio","Mitigar","Aceptar y monitorear")))</f>
        <v/>
      </c>
      <c r="AI436" s="21" t="n"/>
      <c r="AJ436" s="21" t="n"/>
      <c r="AK436" s="20" t="n"/>
      <c r="AL436" s="77">
        <f>IFERROR(INDEX(MgAmenEfic,MATCH(SUBSTITUTE($H436,"*","-"),MgAmenClave,0)),0)</f>
        <v/>
      </c>
    </row>
    <row r="437" hidden="1" ht="120" customHeight="1" s="54">
      <c r="B437" s="59" t="inlineStr">
        <is>
          <t>R-0432</t>
        </is>
      </c>
      <c r="C437" s="59" t="inlineStr">
        <is>
          <t>TAL-11</t>
        </is>
      </c>
      <c r="D437" s="64">
        <f>IFERROR(INDEX(MgNombre,MATCH($C437,MgActId,0)),"")</f>
        <v/>
      </c>
      <c r="E437" s="64">
        <f>IFERROR(INDEX(MgProceso,MATCH($C437,MgActId,0)),"")</f>
        <v/>
      </c>
      <c r="F437" s="64">
        <f>IFERROR(INDEX(MgTipo,MATCH($C437,MgActId,0)),"")</f>
        <v/>
      </c>
      <c r="G437" s="64">
        <f>IFERROR(INDEX(MgSubtipo,MATCH($C437,MgActId,0)),"")</f>
        <v/>
      </c>
      <c r="H437" s="59" t="inlineStr">
        <is>
          <t>E.2</t>
        </is>
      </c>
      <c r="I437" s="64">
        <f>IFERROR(INDEX(MgAmenNombre,MATCH(SUBSTITUTE($H437,"*","-"),MgAmenClave,0)),"")</f>
        <v/>
      </c>
      <c r="J437" s="28">
        <f>IFERROR(INDEX(MgAmenGrupo,MATCH(SUBSTITUTE($H437,"*","-"),MgAmenClave,0)),"")</f>
        <v/>
      </c>
      <c r="K437" s="64">
        <f>IFERROR(INDEX('1. Matriz de Activos'!$Q$6:$Q$239,MATCH($C437,MgActId,0)),"")</f>
        <v/>
      </c>
      <c r="L437" s="64">
        <f>IFERROR(INDEX('1. Matriz de Activos'!$R$6:$R$239,MATCH($C437,MgActId,0)),"")</f>
        <v/>
      </c>
      <c r="M437" s="64">
        <f>IFERROR(INDEX('1. Matriz de Activos'!$S$6:$S$239,MATCH($C437,MgActId,0)),"")</f>
        <v/>
      </c>
      <c r="N437" s="28">
        <f>IFERROR(INDEX(MgAmenDegD,MATCH(SUBSTITUTE($H437,"*","-"),MgAmenClave,0)),"No aplica")</f>
        <v/>
      </c>
      <c r="O437" s="28">
        <f>IFERROR(INDEX(MgAmenDegI,MATCH(SUBSTITUTE($H437,"*","-"),MgAmenClave,0)),"No aplica")</f>
        <v/>
      </c>
      <c r="P437" s="28">
        <f>IFERROR(INDEX(MgAmenDegC,MATCH(SUBSTITUTE($H437,"*","-"),MgAmenClave,0)),"No aplica")</f>
        <v/>
      </c>
      <c r="Q437" s="29">
        <f>IFERROR(VLOOKUP(K437,MgValor,2,0)*VLOOKUP(N437,MgDeg,2,0),0)</f>
        <v/>
      </c>
      <c r="R437" s="29">
        <f>IFERROR(VLOOKUP(L437,MgValor,2,0)*VLOOKUP(O437,MgDeg,2,0),0)</f>
        <v/>
      </c>
      <c r="S437" s="29">
        <f>IFERROR(VLOOKUP(M437,MgValor,2,0)*VLOOKUP(P437,MgDeg,2,0),0)</f>
        <v/>
      </c>
      <c r="T437" s="30">
        <f>MAX(Q437:S437)</f>
        <v/>
      </c>
      <c r="U437" s="28">
        <f>IFERROR(LOOKUP(T437,{0;0.5;1.5;3;4.5},{"Despreciable";"Bajo";"Medio";"Alto";"Muy alto"}),"")</f>
        <v/>
      </c>
      <c r="V437" s="13">
        <f>IFERROR(INDEX(MgAmenFrec,MATCH(SUBSTITUTE($H437,"*","-"),MgAmenClave,0)),"")</f>
        <v/>
      </c>
      <c r="W437" s="28">
        <f>IFERROR(LOOKUP(X437,{0;0.01;0.1;1;10;100},{"Muy baja";"Muy baja";"Baja";"Media";"Alta";"Muy alta"}),"")</f>
        <v/>
      </c>
      <c r="X437" s="31">
        <f>IFERROR(VLOOKUP(V437,MgFrec,2,0),0)</f>
        <v/>
      </c>
      <c r="Y437" s="30">
        <f>T437*X437</f>
        <v/>
      </c>
      <c r="Z437" s="28">
        <f>IFERROR(LOOKUP(Y437,{0;0.5;5;25},{"Bajo";"Medio";"Alto";"Crítico"}),"")</f>
        <v/>
      </c>
      <c r="AA437" s="64">
        <f>IF(T437&gt;=3,IF(X437&gt;=1,"Zona 1 — Crítica: impacto alto y ocurre al menos una vez al año","Zona 4 — Catastrófica poco probable: impacto alto pero excepcional"),IF(AND(T437&lt;1.5,X437&lt;1),"Zona 3 — Asumible: impacto bajo y muy poco frecuente","Zona 2 — Atención: riesgo intermedio"))</f>
        <v/>
      </c>
      <c r="AB437" s="64">
        <f>IFERROR(INDEX(MgAmenCtrl,MATCH(SUBSTITUTE($H437,"*","-"),MgAmenClave,0)),"")</f>
        <v/>
      </c>
      <c r="AC437" s="20" t="n"/>
      <c r="AD437" s="31">
        <f>IFERROR($X437*(1-IF($AC437="",$AL437,VLOOKUP($AC437,MgMad,2,0))),"")</f>
        <v/>
      </c>
      <c r="AE437" s="28">
        <f>IFERROR(LOOKUP(AD437,{0;0.01;0.1;1;10;100},{"Muy baja";"Muy baja";"Baja";"Media";"Alta";"Muy alta"}),"")</f>
        <v/>
      </c>
      <c r="AF437" s="30">
        <f>T437*AD437</f>
        <v/>
      </c>
      <c r="AG437" s="28">
        <f>IFERROR(LOOKUP(AF437,{0;0.5;5;25},{"Bajo";"Medio";"Alto";"Crítico"}),"")</f>
        <v/>
      </c>
      <c r="AH437" s="28">
        <f>IF(AG437="","",IF(OR(AG437="Crítico",AG437="Alto"),"Mitigar",IF(AG437="Medio","Mitigar","Aceptar y monitorear")))</f>
        <v/>
      </c>
      <c r="AI437" s="21" t="n"/>
      <c r="AJ437" s="21" t="n"/>
      <c r="AK437" s="20" t="n"/>
      <c r="AL437" s="77">
        <f>IFERROR(INDEX(MgAmenEfic,MATCH(SUBSTITUTE($H437,"*","-"),MgAmenClave,0)),0)</f>
        <v/>
      </c>
    </row>
    <row r="438" hidden="1" ht="75" customHeight="1" s="54">
      <c r="B438" s="59" t="inlineStr">
        <is>
          <t>R-0433</t>
        </is>
      </c>
      <c r="C438" s="59" t="inlineStr">
        <is>
          <t>TAL-11</t>
        </is>
      </c>
      <c r="D438" s="64">
        <f>IFERROR(INDEX(MgNombre,MATCH($C438,MgActId,0)),"")</f>
        <v/>
      </c>
      <c r="E438" s="64">
        <f>IFERROR(INDEX(MgProceso,MATCH($C438,MgActId,0)),"")</f>
        <v/>
      </c>
      <c r="F438" s="64">
        <f>IFERROR(INDEX(MgTipo,MATCH($C438,MgActId,0)),"")</f>
        <v/>
      </c>
      <c r="G438" s="64">
        <f>IFERROR(INDEX(MgSubtipo,MATCH($C438,MgActId,0)),"")</f>
        <v/>
      </c>
      <c r="H438" s="59" t="inlineStr">
        <is>
          <t>E.3</t>
        </is>
      </c>
      <c r="I438" s="64">
        <f>IFERROR(INDEX(MgAmenNombre,MATCH(SUBSTITUTE($H438,"*","-"),MgAmenClave,0)),"")</f>
        <v/>
      </c>
      <c r="J438" s="28">
        <f>IFERROR(INDEX(MgAmenGrupo,MATCH(SUBSTITUTE($H438,"*","-"),MgAmenClave,0)),"")</f>
        <v/>
      </c>
      <c r="K438" s="64">
        <f>IFERROR(INDEX('1. Matriz de Activos'!$Q$6:$Q$239,MATCH($C438,MgActId,0)),"")</f>
        <v/>
      </c>
      <c r="L438" s="64">
        <f>IFERROR(INDEX('1. Matriz de Activos'!$R$6:$R$239,MATCH($C438,MgActId,0)),"")</f>
        <v/>
      </c>
      <c r="M438" s="64">
        <f>IFERROR(INDEX('1. Matriz de Activos'!$S$6:$S$239,MATCH($C438,MgActId,0)),"")</f>
        <v/>
      </c>
      <c r="N438" s="28">
        <f>IFERROR(INDEX(MgAmenDegD,MATCH(SUBSTITUTE($H438,"*","-"),MgAmenClave,0)),"No aplica")</f>
        <v/>
      </c>
      <c r="O438" s="28">
        <f>IFERROR(INDEX(MgAmenDegI,MATCH(SUBSTITUTE($H438,"*","-"),MgAmenClave,0)),"No aplica")</f>
        <v/>
      </c>
      <c r="P438" s="28">
        <f>IFERROR(INDEX(MgAmenDegC,MATCH(SUBSTITUTE($H438,"*","-"),MgAmenClave,0)),"No aplica")</f>
        <v/>
      </c>
      <c r="Q438" s="29">
        <f>IFERROR(VLOOKUP(K438,MgValor,2,0)*VLOOKUP(N438,MgDeg,2,0),0)</f>
        <v/>
      </c>
      <c r="R438" s="29">
        <f>IFERROR(VLOOKUP(L438,MgValor,2,0)*VLOOKUP(O438,MgDeg,2,0),0)</f>
        <v/>
      </c>
      <c r="S438" s="29">
        <f>IFERROR(VLOOKUP(M438,MgValor,2,0)*VLOOKUP(P438,MgDeg,2,0),0)</f>
        <v/>
      </c>
      <c r="T438" s="30">
        <f>MAX(Q438:S438)</f>
        <v/>
      </c>
      <c r="U438" s="28">
        <f>IFERROR(LOOKUP(T438,{0;0.5;1.5;3;4.5},{"Despreciable";"Bajo";"Medio";"Alto";"Muy alto"}),"")</f>
        <v/>
      </c>
      <c r="V438" s="13">
        <f>IFERROR(INDEX(MgAmenFrec,MATCH(SUBSTITUTE($H438,"*","-"),MgAmenClave,0)),"")</f>
        <v/>
      </c>
      <c r="W438" s="28">
        <f>IFERROR(LOOKUP(X438,{0;0.01;0.1;1;10;100},{"Muy baja";"Muy baja";"Baja";"Media";"Alta";"Muy alta"}),"")</f>
        <v/>
      </c>
      <c r="X438" s="31">
        <f>IFERROR(VLOOKUP(V438,MgFrec,2,0),0)</f>
        <v/>
      </c>
      <c r="Y438" s="30">
        <f>T438*X438</f>
        <v/>
      </c>
      <c r="Z438" s="28">
        <f>IFERROR(LOOKUP(Y438,{0;0.5;5;25},{"Bajo";"Medio";"Alto";"Crítico"}),"")</f>
        <v/>
      </c>
      <c r="AA438" s="64">
        <f>IF(T438&gt;=3,IF(X438&gt;=1,"Zona 1 — Crítica: impacto alto y ocurre al menos una vez al año","Zona 4 — Catastrófica poco probable: impacto alto pero excepcional"),IF(AND(T438&lt;1.5,X438&lt;1),"Zona 3 — Asumible: impacto bajo y muy poco frecuente","Zona 2 — Atención: riesgo intermedio"))</f>
        <v/>
      </c>
      <c r="AB438" s="64">
        <f>IFERROR(INDEX(MgAmenCtrl,MATCH(SUBSTITUTE($H438,"*","-"),MgAmenClave,0)),"")</f>
        <v/>
      </c>
      <c r="AC438" s="20" t="n"/>
      <c r="AD438" s="31">
        <f>IFERROR($X438*(1-IF($AC438="",$AL438,VLOOKUP($AC438,MgMad,2,0))),"")</f>
        <v/>
      </c>
      <c r="AE438" s="28">
        <f>IFERROR(LOOKUP(AD438,{0;0.01;0.1;1;10;100},{"Muy baja";"Muy baja";"Baja";"Media";"Alta";"Muy alta"}),"")</f>
        <v/>
      </c>
      <c r="AF438" s="30">
        <f>T438*AD438</f>
        <v/>
      </c>
      <c r="AG438" s="28">
        <f>IFERROR(LOOKUP(AF438,{0;0.5;5;25},{"Bajo";"Medio";"Alto";"Crítico"}),"")</f>
        <v/>
      </c>
      <c r="AH438" s="28">
        <f>IF(AG438="","",IF(OR(AG438="Crítico",AG438="Alto"),"Mitigar",IF(AG438="Medio","Mitigar","Aceptar y monitorear")))</f>
        <v/>
      </c>
      <c r="AI438" s="21" t="n"/>
      <c r="AJ438" s="21" t="n"/>
      <c r="AK438" s="20" t="n"/>
      <c r="AL438" s="77">
        <f>IFERROR(INDEX(MgAmenEfic,MATCH(SUBSTITUTE($H438,"*","-"),MgAmenClave,0)),0)</f>
        <v/>
      </c>
    </row>
    <row r="439" hidden="1" ht="75" customHeight="1" s="54">
      <c r="B439" s="59" t="inlineStr">
        <is>
          <t>R-0434</t>
        </is>
      </c>
      <c r="C439" s="59" t="inlineStr">
        <is>
          <t>TAL-11</t>
        </is>
      </c>
      <c r="D439" s="64">
        <f>IFERROR(INDEX(MgNombre,MATCH($C439,MgActId,0)),"")</f>
        <v/>
      </c>
      <c r="E439" s="64">
        <f>IFERROR(INDEX(MgProceso,MATCH($C439,MgActId,0)),"")</f>
        <v/>
      </c>
      <c r="F439" s="64">
        <f>IFERROR(INDEX(MgTipo,MATCH($C439,MgActId,0)),"")</f>
        <v/>
      </c>
      <c r="G439" s="64">
        <f>IFERROR(INDEX(MgSubtipo,MATCH($C439,MgActId,0)),"")</f>
        <v/>
      </c>
      <c r="H439" s="59" t="inlineStr">
        <is>
          <t>E.4</t>
        </is>
      </c>
      <c r="I439" s="64">
        <f>IFERROR(INDEX(MgAmenNombre,MATCH(SUBSTITUTE($H439,"*","-"),MgAmenClave,0)),"")</f>
        <v/>
      </c>
      <c r="J439" s="28">
        <f>IFERROR(INDEX(MgAmenGrupo,MATCH(SUBSTITUTE($H439,"*","-"),MgAmenClave,0)),"")</f>
        <v/>
      </c>
      <c r="K439" s="64">
        <f>IFERROR(INDEX('1. Matriz de Activos'!$Q$6:$Q$239,MATCH($C439,MgActId,0)),"")</f>
        <v/>
      </c>
      <c r="L439" s="64">
        <f>IFERROR(INDEX('1. Matriz de Activos'!$R$6:$R$239,MATCH($C439,MgActId,0)),"")</f>
        <v/>
      </c>
      <c r="M439" s="64">
        <f>IFERROR(INDEX('1. Matriz de Activos'!$S$6:$S$239,MATCH($C439,MgActId,0)),"")</f>
        <v/>
      </c>
      <c r="N439" s="28">
        <f>IFERROR(INDEX(MgAmenDegD,MATCH(SUBSTITUTE($H439,"*","-"),MgAmenClave,0)),"No aplica")</f>
        <v/>
      </c>
      <c r="O439" s="28">
        <f>IFERROR(INDEX(MgAmenDegI,MATCH(SUBSTITUTE($H439,"*","-"),MgAmenClave,0)),"No aplica")</f>
        <v/>
      </c>
      <c r="P439" s="28">
        <f>IFERROR(INDEX(MgAmenDegC,MATCH(SUBSTITUTE($H439,"*","-"),MgAmenClave,0)),"No aplica")</f>
        <v/>
      </c>
      <c r="Q439" s="29">
        <f>IFERROR(VLOOKUP(K439,MgValor,2,0)*VLOOKUP(N439,MgDeg,2,0),0)</f>
        <v/>
      </c>
      <c r="R439" s="29">
        <f>IFERROR(VLOOKUP(L439,MgValor,2,0)*VLOOKUP(O439,MgDeg,2,0),0)</f>
        <v/>
      </c>
      <c r="S439" s="29">
        <f>IFERROR(VLOOKUP(M439,MgValor,2,0)*VLOOKUP(P439,MgDeg,2,0),0)</f>
        <v/>
      </c>
      <c r="T439" s="30">
        <f>MAX(Q439:S439)</f>
        <v/>
      </c>
      <c r="U439" s="28">
        <f>IFERROR(LOOKUP(T439,{0;0.5;1.5;3;4.5},{"Despreciable";"Bajo";"Medio";"Alto";"Muy alto"}),"")</f>
        <v/>
      </c>
      <c r="V439" s="13">
        <f>IFERROR(INDEX(MgAmenFrec,MATCH(SUBSTITUTE($H439,"*","-"),MgAmenClave,0)),"")</f>
        <v/>
      </c>
      <c r="W439" s="28">
        <f>IFERROR(LOOKUP(X439,{0;0.01;0.1;1;10;100},{"Muy baja";"Muy baja";"Baja";"Media";"Alta";"Muy alta"}),"")</f>
        <v/>
      </c>
      <c r="X439" s="31">
        <f>IFERROR(VLOOKUP(V439,MgFrec,2,0),0)</f>
        <v/>
      </c>
      <c r="Y439" s="30">
        <f>T439*X439</f>
        <v/>
      </c>
      <c r="Z439" s="28">
        <f>IFERROR(LOOKUP(Y439,{0;0.5;5;25},{"Bajo";"Medio";"Alto";"Crítico"}),"")</f>
        <v/>
      </c>
      <c r="AA439" s="64">
        <f>IF(T439&gt;=3,IF(X439&gt;=1,"Zona 1 — Crítica: impacto alto y ocurre al menos una vez al año","Zona 4 — Catastrófica poco probable: impacto alto pero excepcional"),IF(AND(T439&lt;1.5,X439&lt;1),"Zona 3 — Asumible: impacto bajo y muy poco frecuente","Zona 2 — Atención: riesgo intermedio"))</f>
        <v/>
      </c>
      <c r="AB439" s="64">
        <f>IFERROR(INDEX(MgAmenCtrl,MATCH(SUBSTITUTE($H439,"*","-"),MgAmenClave,0)),"")</f>
        <v/>
      </c>
      <c r="AC439" s="20" t="n"/>
      <c r="AD439" s="31">
        <f>IFERROR($X439*(1-IF($AC439="",$AL439,VLOOKUP($AC439,MgMad,2,0))),"")</f>
        <v/>
      </c>
      <c r="AE439" s="28">
        <f>IFERROR(LOOKUP(AD439,{0;0.01;0.1;1;10;100},{"Muy baja";"Muy baja";"Baja";"Media";"Alta";"Muy alta"}),"")</f>
        <v/>
      </c>
      <c r="AF439" s="30">
        <f>T439*AD439</f>
        <v/>
      </c>
      <c r="AG439" s="28">
        <f>IFERROR(LOOKUP(AF439,{0;0.5;5;25},{"Bajo";"Medio";"Alto";"Crítico"}),"")</f>
        <v/>
      </c>
      <c r="AH439" s="28">
        <f>IF(AG439="","",IF(OR(AG439="Crítico",AG439="Alto"),"Mitigar",IF(AG439="Medio","Mitigar","Aceptar y monitorear")))</f>
        <v/>
      </c>
      <c r="AI439" s="21" t="n"/>
      <c r="AJ439" s="21" t="n"/>
      <c r="AK439" s="20" t="n"/>
      <c r="AL439" s="77">
        <f>IFERROR(INDEX(MgAmenEfic,MATCH(SUBSTITUTE($H439,"*","-"),MgAmenClave,0)),0)</f>
        <v/>
      </c>
    </row>
    <row r="440" hidden="1" ht="90" customHeight="1" s="54">
      <c r="B440" s="59" t="inlineStr">
        <is>
          <t>R-0435</t>
        </is>
      </c>
      <c r="C440" s="59" t="inlineStr">
        <is>
          <t>TAL-11</t>
        </is>
      </c>
      <c r="D440" s="64">
        <f>IFERROR(INDEX(MgNombre,MATCH($C440,MgActId,0)),"")</f>
        <v/>
      </c>
      <c r="E440" s="64">
        <f>IFERROR(INDEX(MgProceso,MATCH($C440,MgActId,0)),"")</f>
        <v/>
      </c>
      <c r="F440" s="64">
        <f>IFERROR(INDEX(MgTipo,MATCH($C440,MgActId,0)),"")</f>
        <v/>
      </c>
      <c r="G440" s="64">
        <f>IFERROR(INDEX(MgSubtipo,MATCH($C440,MgActId,0)),"")</f>
        <v/>
      </c>
      <c r="H440" s="59" t="inlineStr">
        <is>
          <t>E.14</t>
        </is>
      </c>
      <c r="I440" s="64">
        <f>IFERROR(INDEX(MgAmenNombre,MATCH(SUBSTITUTE($H440,"*","-"),MgAmenClave,0)),"")</f>
        <v/>
      </c>
      <c r="J440" s="28">
        <f>IFERROR(INDEX(MgAmenGrupo,MATCH(SUBSTITUTE($H440,"*","-"),MgAmenClave,0)),"")</f>
        <v/>
      </c>
      <c r="K440" s="64">
        <f>IFERROR(INDEX('1. Matriz de Activos'!$Q$6:$Q$239,MATCH($C440,MgActId,0)),"")</f>
        <v/>
      </c>
      <c r="L440" s="64">
        <f>IFERROR(INDEX('1. Matriz de Activos'!$R$6:$R$239,MATCH($C440,MgActId,0)),"")</f>
        <v/>
      </c>
      <c r="M440" s="64">
        <f>IFERROR(INDEX('1. Matriz de Activos'!$S$6:$S$239,MATCH($C440,MgActId,0)),"")</f>
        <v/>
      </c>
      <c r="N440" s="28">
        <f>IFERROR(INDEX(MgAmenDegD,MATCH(SUBSTITUTE($H440,"*","-"),MgAmenClave,0)),"No aplica")</f>
        <v/>
      </c>
      <c r="O440" s="28">
        <f>IFERROR(INDEX(MgAmenDegI,MATCH(SUBSTITUTE($H440,"*","-"),MgAmenClave,0)),"No aplica")</f>
        <v/>
      </c>
      <c r="P440" s="28">
        <f>IFERROR(INDEX(MgAmenDegC,MATCH(SUBSTITUTE($H440,"*","-"),MgAmenClave,0)),"No aplica")</f>
        <v/>
      </c>
      <c r="Q440" s="29">
        <f>IFERROR(VLOOKUP(K440,MgValor,2,0)*VLOOKUP(N440,MgDeg,2,0),0)</f>
        <v/>
      </c>
      <c r="R440" s="29">
        <f>IFERROR(VLOOKUP(L440,MgValor,2,0)*VLOOKUP(O440,MgDeg,2,0),0)</f>
        <v/>
      </c>
      <c r="S440" s="29">
        <f>IFERROR(VLOOKUP(M440,MgValor,2,0)*VLOOKUP(P440,MgDeg,2,0),0)</f>
        <v/>
      </c>
      <c r="T440" s="30">
        <f>MAX(Q440:S440)</f>
        <v/>
      </c>
      <c r="U440" s="28">
        <f>IFERROR(LOOKUP(T440,{0;0.5;1.5;3;4.5},{"Despreciable";"Bajo";"Medio";"Alto";"Muy alto"}),"")</f>
        <v/>
      </c>
      <c r="V440" s="13">
        <f>IFERROR(INDEX(MgAmenFrec,MATCH(SUBSTITUTE($H440,"*","-"),MgAmenClave,0)),"")</f>
        <v/>
      </c>
      <c r="W440" s="28">
        <f>IFERROR(LOOKUP(X440,{0;0.01;0.1;1;10;100},{"Muy baja";"Muy baja";"Baja";"Media";"Alta";"Muy alta"}),"")</f>
        <v/>
      </c>
      <c r="X440" s="31">
        <f>IFERROR(VLOOKUP(V440,MgFrec,2,0),0)</f>
        <v/>
      </c>
      <c r="Y440" s="30">
        <f>T440*X440</f>
        <v/>
      </c>
      <c r="Z440" s="28">
        <f>IFERROR(LOOKUP(Y440,{0;0.5;5;25},{"Bajo";"Medio";"Alto";"Crítico"}),"")</f>
        <v/>
      </c>
      <c r="AA440" s="64">
        <f>IF(T440&gt;=3,IF(X440&gt;=1,"Zona 1 — Crítica: impacto alto y ocurre al menos una vez al año","Zona 4 — Catastrófica poco probable: impacto alto pero excepcional"),IF(AND(T440&lt;1.5,X440&lt;1),"Zona 3 — Asumible: impacto bajo y muy poco frecuente","Zona 2 — Atención: riesgo intermedio"))</f>
        <v/>
      </c>
      <c r="AB440" s="64">
        <f>IFERROR(INDEX(MgAmenCtrl,MATCH(SUBSTITUTE($H440,"*","-"),MgAmenClave,0)),"")</f>
        <v/>
      </c>
      <c r="AC440" s="20" t="n"/>
      <c r="AD440" s="31">
        <f>IFERROR($X440*(1-IF($AC440="",$AL440,VLOOKUP($AC440,MgMad,2,0))),"")</f>
        <v/>
      </c>
      <c r="AE440" s="28">
        <f>IFERROR(LOOKUP(AD440,{0;0.01;0.1;1;10;100},{"Muy baja";"Muy baja";"Baja";"Media";"Alta";"Muy alta"}),"")</f>
        <v/>
      </c>
      <c r="AF440" s="30">
        <f>T440*AD440</f>
        <v/>
      </c>
      <c r="AG440" s="28">
        <f>IFERROR(LOOKUP(AF440,{0;0.5;5;25},{"Bajo";"Medio";"Alto";"Crítico"}),"")</f>
        <v/>
      </c>
      <c r="AH440" s="28">
        <f>IF(AG440="","",IF(OR(AG440="Crítico",AG440="Alto"),"Mitigar",IF(AG440="Medio","Mitigar","Aceptar y monitorear")))</f>
        <v/>
      </c>
      <c r="AI440" s="21" t="n"/>
      <c r="AJ440" s="21" t="n"/>
      <c r="AK440" s="20" t="n"/>
      <c r="AL440" s="77">
        <f>IFERROR(INDEX(MgAmenEfic,MATCH(SUBSTITUTE($H440,"*","-"),MgAmenClave,0)),0)</f>
        <v/>
      </c>
    </row>
    <row r="441" hidden="1" ht="90" customHeight="1" s="54">
      <c r="B441" s="59" t="inlineStr">
        <is>
          <t>R-0436</t>
        </is>
      </c>
      <c r="C441" s="59" t="inlineStr">
        <is>
          <t>TAL-11</t>
        </is>
      </c>
      <c r="D441" s="64">
        <f>IFERROR(INDEX(MgNombre,MATCH($C441,MgActId,0)),"")</f>
        <v/>
      </c>
      <c r="E441" s="64">
        <f>IFERROR(INDEX(MgProceso,MATCH($C441,MgActId,0)),"")</f>
        <v/>
      </c>
      <c r="F441" s="64">
        <f>IFERROR(INDEX(MgTipo,MATCH($C441,MgActId,0)),"")</f>
        <v/>
      </c>
      <c r="G441" s="64">
        <f>IFERROR(INDEX(MgSubtipo,MATCH($C441,MgActId,0)),"")</f>
        <v/>
      </c>
      <c r="H441" s="59" t="inlineStr">
        <is>
          <t>E.15</t>
        </is>
      </c>
      <c r="I441" s="64">
        <f>IFERROR(INDEX(MgAmenNombre,MATCH(SUBSTITUTE($H441,"*","-"),MgAmenClave,0)),"")</f>
        <v/>
      </c>
      <c r="J441" s="28">
        <f>IFERROR(INDEX(MgAmenGrupo,MATCH(SUBSTITUTE($H441,"*","-"),MgAmenClave,0)),"")</f>
        <v/>
      </c>
      <c r="K441" s="64">
        <f>IFERROR(INDEX('1. Matriz de Activos'!$Q$6:$Q$239,MATCH($C441,MgActId,0)),"")</f>
        <v/>
      </c>
      <c r="L441" s="64">
        <f>IFERROR(INDEX('1. Matriz de Activos'!$R$6:$R$239,MATCH($C441,MgActId,0)),"")</f>
        <v/>
      </c>
      <c r="M441" s="64">
        <f>IFERROR(INDEX('1. Matriz de Activos'!$S$6:$S$239,MATCH($C441,MgActId,0)),"")</f>
        <v/>
      </c>
      <c r="N441" s="28">
        <f>IFERROR(INDEX(MgAmenDegD,MATCH(SUBSTITUTE($H441,"*","-"),MgAmenClave,0)),"No aplica")</f>
        <v/>
      </c>
      <c r="O441" s="28">
        <f>IFERROR(INDEX(MgAmenDegI,MATCH(SUBSTITUTE($H441,"*","-"),MgAmenClave,0)),"No aplica")</f>
        <v/>
      </c>
      <c r="P441" s="28">
        <f>IFERROR(INDEX(MgAmenDegC,MATCH(SUBSTITUTE($H441,"*","-"),MgAmenClave,0)),"No aplica")</f>
        <v/>
      </c>
      <c r="Q441" s="29">
        <f>IFERROR(VLOOKUP(K441,MgValor,2,0)*VLOOKUP(N441,MgDeg,2,0),0)</f>
        <v/>
      </c>
      <c r="R441" s="29">
        <f>IFERROR(VLOOKUP(L441,MgValor,2,0)*VLOOKUP(O441,MgDeg,2,0),0)</f>
        <v/>
      </c>
      <c r="S441" s="29">
        <f>IFERROR(VLOOKUP(M441,MgValor,2,0)*VLOOKUP(P441,MgDeg,2,0),0)</f>
        <v/>
      </c>
      <c r="T441" s="30">
        <f>MAX(Q441:S441)</f>
        <v/>
      </c>
      <c r="U441" s="28">
        <f>IFERROR(LOOKUP(T441,{0;0.5;1.5;3;4.5},{"Despreciable";"Bajo";"Medio";"Alto";"Muy alto"}),"")</f>
        <v/>
      </c>
      <c r="V441" s="13">
        <f>IFERROR(INDEX(MgAmenFrec,MATCH(SUBSTITUTE($H441,"*","-"),MgAmenClave,0)),"")</f>
        <v/>
      </c>
      <c r="W441" s="28">
        <f>IFERROR(LOOKUP(X441,{0;0.01;0.1;1;10;100},{"Muy baja";"Muy baja";"Baja";"Media";"Alta";"Muy alta"}),"")</f>
        <v/>
      </c>
      <c r="X441" s="31">
        <f>IFERROR(VLOOKUP(V441,MgFrec,2,0),0)</f>
        <v/>
      </c>
      <c r="Y441" s="30">
        <f>T441*X441</f>
        <v/>
      </c>
      <c r="Z441" s="28">
        <f>IFERROR(LOOKUP(Y441,{0;0.5;5;25},{"Bajo";"Medio";"Alto";"Crítico"}),"")</f>
        <v/>
      </c>
      <c r="AA441" s="64">
        <f>IF(T441&gt;=3,IF(X441&gt;=1,"Zona 1 — Crítica: impacto alto y ocurre al menos una vez al año","Zona 4 — Catastrófica poco probable: impacto alto pero excepcional"),IF(AND(T441&lt;1.5,X441&lt;1),"Zona 3 — Asumible: impacto bajo y muy poco frecuente","Zona 2 — Atención: riesgo intermedio"))</f>
        <v/>
      </c>
      <c r="AB441" s="64">
        <f>IFERROR(INDEX(MgAmenCtrl,MATCH(SUBSTITUTE($H441,"*","-"),MgAmenClave,0)),"")</f>
        <v/>
      </c>
      <c r="AC441" s="20" t="n"/>
      <c r="AD441" s="31">
        <f>IFERROR($X441*(1-IF($AC441="",$AL441,VLOOKUP($AC441,MgMad,2,0))),"")</f>
        <v/>
      </c>
      <c r="AE441" s="28">
        <f>IFERROR(LOOKUP(AD441,{0;0.01;0.1;1;10;100},{"Muy baja";"Muy baja";"Baja";"Media";"Alta";"Muy alta"}),"")</f>
        <v/>
      </c>
      <c r="AF441" s="30">
        <f>T441*AD441</f>
        <v/>
      </c>
      <c r="AG441" s="28">
        <f>IFERROR(LOOKUP(AF441,{0;0.5;5;25},{"Bajo";"Medio";"Alto";"Crítico"}),"")</f>
        <v/>
      </c>
      <c r="AH441" s="28">
        <f>IF(AG441="","",IF(OR(AG441="Crítico",AG441="Alto"),"Mitigar",IF(AG441="Medio","Mitigar","Aceptar y monitorear")))</f>
        <v/>
      </c>
      <c r="AI441" s="21" t="n"/>
      <c r="AJ441" s="21" t="n"/>
      <c r="AK441" s="20" t="n"/>
      <c r="AL441" s="77">
        <f>IFERROR(INDEX(MgAmenEfic,MATCH(SUBSTITUTE($H441,"*","-"),MgAmenClave,0)),0)</f>
        <v/>
      </c>
    </row>
    <row r="442" hidden="1" ht="60" customHeight="1" s="54">
      <c r="B442" s="59" t="inlineStr">
        <is>
          <t>R-0437</t>
        </is>
      </c>
      <c r="C442" s="59" t="inlineStr">
        <is>
          <t>TAL-11</t>
        </is>
      </c>
      <c r="D442" s="64">
        <f>IFERROR(INDEX(MgNombre,MATCH($C442,MgActId,0)),"")</f>
        <v/>
      </c>
      <c r="E442" s="64">
        <f>IFERROR(INDEX(MgProceso,MATCH($C442,MgActId,0)),"")</f>
        <v/>
      </c>
      <c r="F442" s="64">
        <f>IFERROR(INDEX(MgTipo,MATCH($C442,MgActId,0)),"")</f>
        <v/>
      </c>
      <c r="G442" s="64">
        <f>IFERROR(INDEX(MgSubtipo,MATCH($C442,MgActId,0)),"")</f>
        <v/>
      </c>
      <c r="H442" s="59" t="inlineStr">
        <is>
          <t>E.18</t>
        </is>
      </c>
      <c r="I442" s="64">
        <f>IFERROR(INDEX(MgAmenNombre,MATCH(SUBSTITUTE($H442,"*","-"),MgAmenClave,0)),"")</f>
        <v/>
      </c>
      <c r="J442" s="28">
        <f>IFERROR(INDEX(MgAmenGrupo,MATCH(SUBSTITUTE($H442,"*","-"),MgAmenClave,0)),"")</f>
        <v/>
      </c>
      <c r="K442" s="64">
        <f>IFERROR(INDEX('1. Matriz de Activos'!$Q$6:$Q$239,MATCH($C442,MgActId,0)),"")</f>
        <v/>
      </c>
      <c r="L442" s="64">
        <f>IFERROR(INDEX('1. Matriz de Activos'!$R$6:$R$239,MATCH($C442,MgActId,0)),"")</f>
        <v/>
      </c>
      <c r="M442" s="64">
        <f>IFERROR(INDEX('1. Matriz de Activos'!$S$6:$S$239,MATCH($C442,MgActId,0)),"")</f>
        <v/>
      </c>
      <c r="N442" s="28">
        <f>IFERROR(INDEX(MgAmenDegD,MATCH(SUBSTITUTE($H442,"*","-"),MgAmenClave,0)),"No aplica")</f>
        <v/>
      </c>
      <c r="O442" s="28">
        <f>IFERROR(INDEX(MgAmenDegI,MATCH(SUBSTITUTE($H442,"*","-"),MgAmenClave,0)),"No aplica")</f>
        <v/>
      </c>
      <c r="P442" s="28">
        <f>IFERROR(INDEX(MgAmenDegC,MATCH(SUBSTITUTE($H442,"*","-"),MgAmenClave,0)),"No aplica")</f>
        <v/>
      </c>
      <c r="Q442" s="29">
        <f>IFERROR(VLOOKUP(K442,MgValor,2,0)*VLOOKUP(N442,MgDeg,2,0),0)</f>
        <v/>
      </c>
      <c r="R442" s="29">
        <f>IFERROR(VLOOKUP(L442,MgValor,2,0)*VLOOKUP(O442,MgDeg,2,0),0)</f>
        <v/>
      </c>
      <c r="S442" s="29">
        <f>IFERROR(VLOOKUP(M442,MgValor,2,0)*VLOOKUP(P442,MgDeg,2,0),0)</f>
        <v/>
      </c>
      <c r="T442" s="30">
        <f>MAX(Q442:S442)</f>
        <v/>
      </c>
      <c r="U442" s="28">
        <f>IFERROR(LOOKUP(T442,{0;0.5;1.5;3;4.5},{"Despreciable";"Bajo";"Medio";"Alto";"Muy alto"}),"")</f>
        <v/>
      </c>
      <c r="V442" s="13">
        <f>IFERROR(INDEX(MgAmenFrec,MATCH(SUBSTITUTE($H442,"*","-"),MgAmenClave,0)),"")</f>
        <v/>
      </c>
      <c r="W442" s="28">
        <f>IFERROR(LOOKUP(X442,{0;0.01;0.1;1;10;100},{"Muy baja";"Muy baja";"Baja";"Media";"Alta";"Muy alta"}),"")</f>
        <v/>
      </c>
      <c r="X442" s="31">
        <f>IFERROR(VLOOKUP(V442,MgFrec,2,0),0)</f>
        <v/>
      </c>
      <c r="Y442" s="30">
        <f>T442*X442</f>
        <v/>
      </c>
      <c r="Z442" s="28">
        <f>IFERROR(LOOKUP(Y442,{0;0.5;5;25},{"Bajo";"Medio";"Alto";"Crítico"}),"")</f>
        <v/>
      </c>
      <c r="AA442" s="64">
        <f>IF(T442&gt;=3,IF(X442&gt;=1,"Zona 1 — Crítica: impacto alto y ocurre al menos una vez al año","Zona 4 — Catastrófica poco probable: impacto alto pero excepcional"),IF(AND(T442&lt;1.5,X442&lt;1),"Zona 3 — Asumible: impacto bajo y muy poco frecuente","Zona 2 — Atención: riesgo intermedio"))</f>
        <v/>
      </c>
      <c r="AB442" s="64">
        <f>IFERROR(INDEX(MgAmenCtrl,MATCH(SUBSTITUTE($H442,"*","-"),MgAmenClave,0)),"")</f>
        <v/>
      </c>
      <c r="AC442" s="20" t="n"/>
      <c r="AD442" s="31">
        <f>IFERROR($X442*(1-IF($AC442="",$AL442,VLOOKUP($AC442,MgMad,2,0))),"")</f>
        <v/>
      </c>
      <c r="AE442" s="28">
        <f>IFERROR(LOOKUP(AD442,{0;0.01;0.1;1;10;100},{"Muy baja";"Muy baja";"Baja";"Media";"Alta";"Muy alta"}),"")</f>
        <v/>
      </c>
      <c r="AF442" s="30">
        <f>T442*AD442</f>
        <v/>
      </c>
      <c r="AG442" s="28">
        <f>IFERROR(LOOKUP(AF442,{0;0.5;5;25},{"Bajo";"Medio";"Alto";"Crítico"}),"")</f>
        <v/>
      </c>
      <c r="AH442" s="28">
        <f>IF(AG442="","",IF(OR(AG442="Crítico",AG442="Alto"),"Mitigar",IF(AG442="Medio","Mitigar","Aceptar y monitorear")))</f>
        <v/>
      </c>
      <c r="AI442" s="21" t="n"/>
      <c r="AJ442" s="21" t="n"/>
      <c r="AK442" s="20" t="n"/>
      <c r="AL442" s="77">
        <f>IFERROR(INDEX(MgAmenEfic,MATCH(SUBSTITUTE($H442,"*","-"),MgAmenClave,0)),0)</f>
        <v/>
      </c>
    </row>
    <row r="443" hidden="1" ht="105" customHeight="1" s="54">
      <c r="B443" s="59" t="inlineStr">
        <is>
          <t>R-0438</t>
        </is>
      </c>
      <c r="C443" s="59" t="inlineStr">
        <is>
          <t>TAL-11</t>
        </is>
      </c>
      <c r="D443" s="64">
        <f>IFERROR(INDEX(MgNombre,MATCH($C443,MgActId,0)),"")</f>
        <v/>
      </c>
      <c r="E443" s="64">
        <f>IFERROR(INDEX(MgProceso,MATCH($C443,MgActId,0)),"")</f>
        <v/>
      </c>
      <c r="F443" s="64">
        <f>IFERROR(INDEX(MgTipo,MATCH($C443,MgActId,0)),"")</f>
        <v/>
      </c>
      <c r="G443" s="64">
        <f>IFERROR(INDEX(MgSubtipo,MATCH($C443,MgActId,0)),"")</f>
        <v/>
      </c>
      <c r="H443" s="59" t="inlineStr">
        <is>
          <t>E.19</t>
        </is>
      </c>
      <c r="I443" s="64">
        <f>IFERROR(INDEX(MgAmenNombre,MATCH(SUBSTITUTE($H443,"*","-"),MgAmenClave,0)),"")</f>
        <v/>
      </c>
      <c r="J443" s="28">
        <f>IFERROR(INDEX(MgAmenGrupo,MATCH(SUBSTITUTE($H443,"*","-"),MgAmenClave,0)),"")</f>
        <v/>
      </c>
      <c r="K443" s="64">
        <f>IFERROR(INDEX('1. Matriz de Activos'!$Q$6:$Q$239,MATCH($C443,MgActId,0)),"")</f>
        <v/>
      </c>
      <c r="L443" s="64">
        <f>IFERROR(INDEX('1. Matriz de Activos'!$R$6:$R$239,MATCH($C443,MgActId,0)),"")</f>
        <v/>
      </c>
      <c r="M443" s="64">
        <f>IFERROR(INDEX('1. Matriz de Activos'!$S$6:$S$239,MATCH($C443,MgActId,0)),"")</f>
        <v/>
      </c>
      <c r="N443" s="28">
        <f>IFERROR(INDEX(MgAmenDegD,MATCH(SUBSTITUTE($H443,"*","-"),MgAmenClave,0)),"No aplica")</f>
        <v/>
      </c>
      <c r="O443" s="28">
        <f>IFERROR(INDEX(MgAmenDegI,MATCH(SUBSTITUTE($H443,"*","-"),MgAmenClave,0)),"No aplica")</f>
        <v/>
      </c>
      <c r="P443" s="28">
        <f>IFERROR(INDEX(MgAmenDegC,MATCH(SUBSTITUTE($H443,"*","-"),MgAmenClave,0)),"No aplica")</f>
        <v/>
      </c>
      <c r="Q443" s="29">
        <f>IFERROR(VLOOKUP(K443,MgValor,2,0)*VLOOKUP(N443,MgDeg,2,0),0)</f>
        <v/>
      </c>
      <c r="R443" s="29">
        <f>IFERROR(VLOOKUP(L443,MgValor,2,0)*VLOOKUP(O443,MgDeg,2,0),0)</f>
        <v/>
      </c>
      <c r="S443" s="29">
        <f>IFERROR(VLOOKUP(M443,MgValor,2,0)*VLOOKUP(P443,MgDeg,2,0),0)</f>
        <v/>
      </c>
      <c r="T443" s="30">
        <f>MAX(Q443:S443)</f>
        <v/>
      </c>
      <c r="U443" s="28">
        <f>IFERROR(LOOKUP(T443,{0;0.5;1.5;3;4.5},{"Despreciable";"Bajo";"Medio";"Alto";"Muy alto"}),"")</f>
        <v/>
      </c>
      <c r="V443" s="13">
        <f>IFERROR(INDEX(MgAmenFrec,MATCH(SUBSTITUTE($H443,"*","-"),MgAmenClave,0)),"")</f>
        <v/>
      </c>
      <c r="W443" s="28">
        <f>IFERROR(LOOKUP(X443,{0;0.01;0.1;1;10;100},{"Muy baja";"Muy baja";"Baja";"Media";"Alta";"Muy alta"}),"")</f>
        <v/>
      </c>
      <c r="X443" s="31">
        <f>IFERROR(VLOOKUP(V443,MgFrec,2,0),0)</f>
        <v/>
      </c>
      <c r="Y443" s="30">
        <f>T443*X443</f>
        <v/>
      </c>
      <c r="Z443" s="28">
        <f>IFERROR(LOOKUP(Y443,{0;0.5;5;25},{"Bajo";"Medio";"Alto";"Crítico"}),"")</f>
        <v/>
      </c>
      <c r="AA443" s="64">
        <f>IF(T443&gt;=3,IF(X443&gt;=1,"Zona 1 — Crítica: impacto alto y ocurre al menos una vez al año","Zona 4 — Catastrófica poco probable: impacto alto pero excepcional"),IF(AND(T443&lt;1.5,X443&lt;1),"Zona 3 — Asumible: impacto bajo y muy poco frecuente","Zona 2 — Atención: riesgo intermedio"))</f>
        <v/>
      </c>
      <c r="AB443" s="64">
        <f>IFERROR(INDEX(MgAmenCtrl,MATCH(SUBSTITUTE($H443,"*","-"),MgAmenClave,0)),"")</f>
        <v/>
      </c>
      <c r="AC443" s="20" t="n"/>
      <c r="AD443" s="31">
        <f>IFERROR($X443*(1-IF($AC443="",$AL443,VLOOKUP($AC443,MgMad,2,0))),"")</f>
        <v/>
      </c>
      <c r="AE443" s="28">
        <f>IFERROR(LOOKUP(AD443,{0;0.01;0.1;1;10;100},{"Muy baja";"Muy baja";"Baja";"Media";"Alta";"Muy alta"}),"")</f>
        <v/>
      </c>
      <c r="AF443" s="30">
        <f>T443*AD443</f>
        <v/>
      </c>
      <c r="AG443" s="28">
        <f>IFERROR(LOOKUP(AF443,{0;0.5;5;25},{"Bajo";"Medio";"Alto";"Crítico"}),"")</f>
        <v/>
      </c>
      <c r="AH443" s="28">
        <f>IF(AG443="","",IF(OR(AG443="Crítico",AG443="Alto"),"Mitigar",IF(AG443="Medio","Mitigar","Aceptar y monitorear")))</f>
        <v/>
      </c>
      <c r="AI443" s="21" t="n"/>
      <c r="AJ443" s="21" t="n"/>
      <c r="AK443" s="20" t="n"/>
      <c r="AL443" s="77">
        <f>IFERROR(INDEX(MgAmenEfic,MATCH(SUBSTITUTE($H443,"*","-"),MgAmenClave,0)),0)</f>
        <v/>
      </c>
    </row>
    <row r="444" hidden="1" ht="60" customHeight="1" s="54">
      <c r="B444" s="59" t="inlineStr">
        <is>
          <t>R-0439</t>
        </is>
      </c>
      <c r="C444" s="59" t="inlineStr">
        <is>
          <t>TAL-11</t>
        </is>
      </c>
      <c r="D444" s="64">
        <f>IFERROR(INDEX(MgNombre,MATCH($C444,MgActId,0)),"")</f>
        <v/>
      </c>
      <c r="E444" s="64">
        <f>IFERROR(INDEX(MgProceso,MATCH($C444,MgActId,0)),"")</f>
        <v/>
      </c>
      <c r="F444" s="64">
        <f>IFERROR(INDEX(MgTipo,MATCH($C444,MgActId,0)),"")</f>
        <v/>
      </c>
      <c r="G444" s="64">
        <f>IFERROR(INDEX(MgSubtipo,MATCH($C444,MgActId,0)),"")</f>
        <v/>
      </c>
      <c r="H444" s="59" t="inlineStr">
        <is>
          <t>A.3</t>
        </is>
      </c>
      <c r="I444" s="64">
        <f>IFERROR(INDEX(MgAmenNombre,MATCH(SUBSTITUTE($H444,"*","-"),MgAmenClave,0)),"")</f>
        <v/>
      </c>
      <c r="J444" s="28">
        <f>IFERROR(INDEX(MgAmenGrupo,MATCH(SUBSTITUTE($H444,"*","-"),MgAmenClave,0)),"")</f>
        <v/>
      </c>
      <c r="K444" s="64">
        <f>IFERROR(INDEX('1. Matriz de Activos'!$Q$6:$Q$239,MATCH($C444,MgActId,0)),"")</f>
        <v/>
      </c>
      <c r="L444" s="64">
        <f>IFERROR(INDEX('1. Matriz de Activos'!$R$6:$R$239,MATCH($C444,MgActId,0)),"")</f>
        <v/>
      </c>
      <c r="M444" s="64">
        <f>IFERROR(INDEX('1. Matriz de Activos'!$S$6:$S$239,MATCH($C444,MgActId,0)),"")</f>
        <v/>
      </c>
      <c r="N444" s="28">
        <f>IFERROR(INDEX(MgAmenDegD,MATCH(SUBSTITUTE($H444,"*","-"),MgAmenClave,0)),"No aplica")</f>
        <v/>
      </c>
      <c r="O444" s="28">
        <f>IFERROR(INDEX(MgAmenDegI,MATCH(SUBSTITUTE($H444,"*","-"),MgAmenClave,0)),"No aplica")</f>
        <v/>
      </c>
      <c r="P444" s="28">
        <f>IFERROR(INDEX(MgAmenDegC,MATCH(SUBSTITUTE($H444,"*","-"),MgAmenClave,0)),"No aplica")</f>
        <v/>
      </c>
      <c r="Q444" s="29">
        <f>IFERROR(VLOOKUP(K444,MgValor,2,0)*VLOOKUP(N444,MgDeg,2,0),0)</f>
        <v/>
      </c>
      <c r="R444" s="29">
        <f>IFERROR(VLOOKUP(L444,MgValor,2,0)*VLOOKUP(O444,MgDeg,2,0),0)</f>
        <v/>
      </c>
      <c r="S444" s="29">
        <f>IFERROR(VLOOKUP(M444,MgValor,2,0)*VLOOKUP(P444,MgDeg,2,0),0)</f>
        <v/>
      </c>
      <c r="T444" s="30">
        <f>MAX(Q444:S444)</f>
        <v/>
      </c>
      <c r="U444" s="28">
        <f>IFERROR(LOOKUP(T444,{0;0.5;1.5;3;4.5},{"Despreciable";"Bajo";"Medio";"Alto";"Muy alto"}),"")</f>
        <v/>
      </c>
      <c r="V444" s="13">
        <f>IFERROR(INDEX(MgAmenFrec,MATCH(SUBSTITUTE($H444,"*","-"),MgAmenClave,0)),"")</f>
        <v/>
      </c>
      <c r="W444" s="28">
        <f>IFERROR(LOOKUP(X444,{0;0.01;0.1;1;10;100},{"Muy baja";"Muy baja";"Baja";"Media";"Alta";"Muy alta"}),"")</f>
        <v/>
      </c>
      <c r="X444" s="31">
        <f>IFERROR(VLOOKUP(V444,MgFrec,2,0),0)</f>
        <v/>
      </c>
      <c r="Y444" s="30">
        <f>T444*X444</f>
        <v/>
      </c>
      <c r="Z444" s="28">
        <f>IFERROR(LOOKUP(Y444,{0;0.5;5;25},{"Bajo";"Medio";"Alto";"Crítico"}),"")</f>
        <v/>
      </c>
      <c r="AA444" s="64">
        <f>IF(T444&gt;=3,IF(X444&gt;=1,"Zona 1 — Crítica: impacto alto y ocurre al menos una vez al año","Zona 4 — Catastrófica poco probable: impacto alto pero excepcional"),IF(AND(T444&lt;1.5,X444&lt;1),"Zona 3 — Asumible: impacto bajo y muy poco frecuente","Zona 2 — Atención: riesgo intermedio"))</f>
        <v/>
      </c>
      <c r="AB444" s="64">
        <f>IFERROR(INDEX(MgAmenCtrl,MATCH(SUBSTITUTE($H444,"*","-"),MgAmenClave,0)),"")</f>
        <v/>
      </c>
      <c r="AC444" s="20" t="n"/>
      <c r="AD444" s="31">
        <f>IFERROR($X444*(1-IF($AC444="",$AL444,VLOOKUP($AC444,MgMad,2,0))),"")</f>
        <v/>
      </c>
      <c r="AE444" s="28">
        <f>IFERROR(LOOKUP(AD444,{0;0.01;0.1;1;10;100},{"Muy baja";"Muy baja";"Baja";"Media";"Alta";"Muy alta"}),"")</f>
        <v/>
      </c>
      <c r="AF444" s="30">
        <f>T444*AD444</f>
        <v/>
      </c>
      <c r="AG444" s="28">
        <f>IFERROR(LOOKUP(AF444,{0;0.5;5;25},{"Bajo";"Medio";"Alto";"Crítico"}),"")</f>
        <v/>
      </c>
      <c r="AH444" s="28">
        <f>IF(AG444="","",IF(OR(AG444="Crítico",AG444="Alto"),"Mitigar",IF(AG444="Medio","Mitigar","Aceptar y monitorear")))</f>
        <v/>
      </c>
      <c r="AI444" s="21" t="n"/>
      <c r="AJ444" s="21" t="n"/>
      <c r="AK444" s="20" t="n"/>
      <c r="AL444" s="77">
        <f>IFERROR(INDEX(MgAmenEfic,MATCH(SUBSTITUTE($H444,"*","-"),MgAmenClave,0)),0)</f>
        <v/>
      </c>
    </row>
    <row r="445" hidden="1" ht="60" customHeight="1" s="54">
      <c r="B445" s="59" t="inlineStr">
        <is>
          <t>R-0440</t>
        </is>
      </c>
      <c r="C445" s="59" t="inlineStr">
        <is>
          <t>TAL-11</t>
        </is>
      </c>
      <c r="D445" s="64">
        <f>IFERROR(INDEX(MgNombre,MATCH($C445,MgActId,0)),"")</f>
        <v/>
      </c>
      <c r="E445" s="64">
        <f>IFERROR(INDEX(MgProceso,MATCH($C445,MgActId,0)),"")</f>
        <v/>
      </c>
      <c r="F445" s="64">
        <f>IFERROR(INDEX(MgTipo,MATCH($C445,MgActId,0)),"")</f>
        <v/>
      </c>
      <c r="G445" s="64">
        <f>IFERROR(INDEX(MgSubtipo,MATCH($C445,MgActId,0)),"")</f>
        <v/>
      </c>
      <c r="H445" s="59" t="inlineStr">
        <is>
          <t>A.4</t>
        </is>
      </c>
      <c r="I445" s="64">
        <f>IFERROR(INDEX(MgAmenNombre,MATCH(SUBSTITUTE($H445,"*","-"),MgAmenClave,0)),"")</f>
        <v/>
      </c>
      <c r="J445" s="28">
        <f>IFERROR(INDEX(MgAmenGrupo,MATCH(SUBSTITUTE($H445,"*","-"),MgAmenClave,0)),"")</f>
        <v/>
      </c>
      <c r="K445" s="64">
        <f>IFERROR(INDEX('1. Matriz de Activos'!$Q$6:$Q$239,MATCH($C445,MgActId,0)),"")</f>
        <v/>
      </c>
      <c r="L445" s="64">
        <f>IFERROR(INDEX('1. Matriz de Activos'!$R$6:$R$239,MATCH($C445,MgActId,0)),"")</f>
        <v/>
      </c>
      <c r="M445" s="64">
        <f>IFERROR(INDEX('1. Matriz de Activos'!$S$6:$S$239,MATCH($C445,MgActId,0)),"")</f>
        <v/>
      </c>
      <c r="N445" s="28">
        <f>IFERROR(INDEX(MgAmenDegD,MATCH(SUBSTITUTE($H445,"*","-"),MgAmenClave,0)),"No aplica")</f>
        <v/>
      </c>
      <c r="O445" s="28">
        <f>IFERROR(INDEX(MgAmenDegI,MATCH(SUBSTITUTE($H445,"*","-"),MgAmenClave,0)),"No aplica")</f>
        <v/>
      </c>
      <c r="P445" s="28">
        <f>IFERROR(INDEX(MgAmenDegC,MATCH(SUBSTITUTE($H445,"*","-"),MgAmenClave,0)),"No aplica")</f>
        <v/>
      </c>
      <c r="Q445" s="29">
        <f>IFERROR(VLOOKUP(K445,MgValor,2,0)*VLOOKUP(N445,MgDeg,2,0),0)</f>
        <v/>
      </c>
      <c r="R445" s="29">
        <f>IFERROR(VLOOKUP(L445,MgValor,2,0)*VLOOKUP(O445,MgDeg,2,0),0)</f>
        <v/>
      </c>
      <c r="S445" s="29">
        <f>IFERROR(VLOOKUP(M445,MgValor,2,0)*VLOOKUP(P445,MgDeg,2,0),0)</f>
        <v/>
      </c>
      <c r="T445" s="30">
        <f>MAX(Q445:S445)</f>
        <v/>
      </c>
      <c r="U445" s="28">
        <f>IFERROR(LOOKUP(T445,{0;0.5;1.5;3;4.5},{"Despreciable";"Bajo";"Medio";"Alto";"Muy alto"}),"")</f>
        <v/>
      </c>
      <c r="V445" s="13">
        <f>IFERROR(INDEX(MgAmenFrec,MATCH(SUBSTITUTE($H445,"*","-"),MgAmenClave,0)),"")</f>
        <v/>
      </c>
      <c r="W445" s="28">
        <f>IFERROR(LOOKUP(X445,{0;0.01;0.1;1;10;100},{"Muy baja";"Muy baja";"Baja";"Media";"Alta";"Muy alta"}),"")</f>
        <v/>
      </c>
      <c r="X445" s="31">
        <f>IFERROR(VLOOKUP(V445,MgFrec,2,0),0)</f>
        <v/>
      </c>
      <c r="Y445" s="30">
        <f>T445*X445</f>
        <v/>
      </c>
      <c r="Z445" s="28">
        <f>IFERROR(LOOKUP(Y445,{0;0.5;5;25},{"Bajo";"Medio";"Alto";"Crítico"}),"")</f>
        <v/>
      </c>
      <c r="AA445" s="64">
        <f>IF(T445&gt;=3,IF(X445&gt;=1,"Zona 1 — Crítica: impacto alto y ocurre al menos una vez al año","Zona 4 — Catastrófica poco probable: impacto alto pero excepcional"),IF(AND(T445&lt;1.5,X445&lt;1),"Zona 3 — Asumible: impacto bajo y muy poco frecuente","Zona 2 — Atención: riesgo intermedio"))</f>
        <v/>
      </c>
      <c r="AB445" s="64">
        <f>IFERROR(INDEX(MgAmenCtrl,MATCH(SUBSTITUTE($H445,"*","-"),MgAmenClave,0)),"")</f>
        <v/>
      </c>
      <c r="AC445" s="20" t="n"/>
      <c r="AD445" s="31">
        <f>IFERROR($X445*(1-IF($AC445="",$AL445,VLOOKUP($AC445,MgMad,2,0))),"")</f>
        <v/>
      </c>
      <c r="AE445" s="28">
        <f>IFERROR(LOOKUP(AD445,{0;0.01;0.1;1;10;100},{"Muy baja";"Muy baja";"Baja";"Media";"Alta";"Muy alta"}),"")</f>
        <v/>
      </c>
      <c r="AF445" s="30">
        <f>T445*AD445</f>
        <v/>
      </c>
      <c r="AG445" s="28">
        <f>IFERROR(LOOKUP(AF445,{0;0.5;5;25},{"Bajo";"Medio";"Alto";"Crítico"}),"")</f>
        <v/>
      </c>
      <c r="AH445" s="28">
        <f>IF(AG445="","",IF(OR(AG445="Crítico",AG445="Alto"),"Mitigar",IF(AG445="Medio","Mitigar","Aceptar y monitorear")))</f>
        <v/>
      </c>
      <c r="AI445" s="21" t="n"/>
      <c r="AJ445" s="21" t="n"/>
      <c r="AK445" s="20" t="n"/>
      <c r="AL445" s="77">
        <f>IFERROR(INDEX(MgAmenEfic,MATCH(SUBSTITUTE($H445,"*","-"),MgAmenClave,0)),0)</f>
        <v/>
      </c>
    </row>
    <row r="446" hidden="1" ht="75" customHeight="1" s="54">
      <c r="B446" s="59" t="inlineStr">
        <is>
          <t>R-0441</t>
        </is>
      </c>
      <c r="C446" s="59" t="inlineStr">
        <is>
          <t>TAL-11</t>
        </is>
      </c>
      <c r="D446" s="64">
        <f>IFERROR(INDEX(MgNombre,MATCH($C446,MgActId,0)),"")</f>
        <v/>
      </c>
      <c r="E446" s="64">
        <f>IFERROR(INDEX(MgProceso,MATCH($C446,MgActId,0)),"")</f>
        <v/>
      </c>
      <c r="F446" s="64">
        <f>IFERROR(INDEX(MgTipo,MATCH($C446,MgActId,0)),"")</f>
        <v/>
      </c>
      <c r="G446" s="64">
        <f>IFERROR(INDEX(MgSubtipo,MATCH($C446,MgActId,0)),"")</f>
        <v/>
      </c>
      <c r="H446" s="59" t="inlineStr">
        <is>
          <t>A.5</t>
        </is>
      </c>
      <c r="I446" s="64">
        <f>IFERROR(INDEX(MgAmenNombre,MATCH(SUBSTITUTE($H446,"*","-"),MgAmenClave,0)),"")</f>
        <v/>
      </c>
      <c r="J446" s="28">
        <f>IFERROR(INDEX(MgAmenGrupo,MATCH(SUBSTITUTE($H446,"*","-"),MgAmenClave,0)),"")</f>
        <v/>
      </c>
      <c r="K446" s="64">
        <f>IFERROR(INDEX('1. Matriz de Activos'!$Q$6:$Q$239,MATCH($C446,MgActId,0)),"")</f>
        <v/>
      </c>
      <c r="L446" s="64">
        <f>IFERROR(INDEX('1. Matriz de Activos'!$R$6:$R$239,MATCH($C446,MgActId,0)),"")</f>
        <v/>
      </c>
      <c r="M446" s="64">
        <f>IFERROR(INDEX('1. Matriz de Activos'!$S$6:$S$239,MATCH($C446,MgActId,0)),"")</f>
        <v/>
      </c>
      <c r="N446" s="28">
        <f>IFERROR(INDEX(MgAmenDegD,MATCH(SUBSTITUTE($H446,"*","-"),MgAmenClave,0)),"No aplica")</f>
        <v/>
      </c>
      <c r="O446" s="28">
        <f>IFERROR(INDEX(MgAmenDegI,MATCH(SUBSTITUTE($H446,"*","-"),MgAmenClave,0)),"No aplica")</f>
        <v/>
      </c>
      <c r="P446" s="28">
        <f>IFERROR(INDEX(MgAmenDegC,MATCH(SUBSTITUTE($H446,"*","-"),MgAmenClave,0)),"No aplica")</f>
        <v/>
      </c>
      <c r="Q446" s="29">
        <f>IFERROR(VLOOKUP(K446,MgValor,2,0)*VLOOKUP(N446,MgDeg,2,0),0)</f>
        <v/>
      </c>
      <c r="R446" s="29">
        <f>IFERROR(VLOOKUP(L446,MgValor,2,0)*VLOOKUP(O446,MgDeg,2,0),0)</f>
        <v/>
      </c>
      <c r="S446" s="29">
        <f>IFERROR(VLOOKUP(M446,MgValor,2,0)*VLOOKUP(P446,MgDeg,2,0),0)</f>
        <v/>
      </c>
      <c r="T446" s="30">
        <f>MAX(Q446:S446)</f>
        <v/>
      </c>
      <c r="U446" s="28">
        <f>IFERROR(LOOKUP(T446,{0;0.5;1.5;3;4.5},{"Despreciable";"Bajo";"Medio";"Alto";"Muy alto"}),"")</f>
        <v/>
      </c>
      <c r="V446" s="13">
        <f>IFERROR(INDEX(MgAmenFrec,MATCH(SUBSTITUTE($H446,"*","-"),MgAmenClave,0)),"")</f>
        <v/>
      </c>
      <c r="W446" s="28">
        <f>IFERROR(LOOKUP(X446,{0;0.01;0.1;1;10;100},{"Muy baja";"Muy baja";"Baja";"Media";"Alta";"Muy alta"}),"")</f>
        <v/>
      </c>
      <c r="X446" s="31">
        <f>IFERROR(VLOOKUP(V446,MgFrec,2,0),0)</f>
        <v/>
      </c>
      <c r="Y446" s="30">
        <f>T446*X446</f>
        <v/>
      </c>
      <c r="Z446" s="28">
        <f>IFERROR(LOOKUP(Y446,{0;0.5;5;25},{"Bajo";"Medio";"Alto";"Crítico"}),"")</f>
        <v/>
      </c>
      <c r="AA446" s="64">
        <f>IF(T446&gt;=3,IF(X446&gt;=1,"Zona 1 — Crítica: impacto alto y ocurre al menos una vez al año","Zona 4 — Catastrófica poco probable: impacto alto pero excepcional"),IF(AND(T446&lt;1.5,X446&lt;1),"Zona 3 — Asumible: impacto bajo y muy poco frecuente","Zona 2 — Atención: riesgo intermedio"))</f>
        <v/>
      </c>
      <c r="AB446" s="64">
        <f>IFERROR(INDEX(MgAmenCtrl,MATCH(SUBSTITUTE($H446,"*","-"),MgAmenClave,0)),"")</f>
        <v/>
      </c>
      <c r="AC446" s="20" t="n"/>
      <c r="AD446" s="31">
        <f>IFERROR($X446*(1-IF($AC446="",$AL446,VLOOKUP($AC446,MgMad,2,0))),"")</f>
        <v/>
      </c>
      <c r="AE446" s="28">
        <f>IFERROR(LOOKUP(AD446,{0;0.01;0.1;1;10;100},{"Muy baja";"Muy baja";"Baja";"Media";"Alta";"Muy alta"}),"")</f>
        <v/>
      </c>
      <c r="AF446" s="30">
        <f>T446*AD446</f>
        <v/>
      </c>
      <c r="AG446" s="28">
        <f>IFERROR(LOOKUP(AF446,{0;0.5;5;25},{"Bajo";"Medio";"Alto";"Crítico"}),"")</f>
        <v/>
      </c>
      <c r="AH446" s="28">
        <f>IF(AG446="","",IF(OR(AG446="Crítico",AG446="Alto"),"Mitigar",IF(AG446="Medio","Mitigar","Aceptar y monitorear")))</f>
        <v/>
      </c>
      <c r="AI446" s="21" t="n"/>
      <c r="AJ446" s="21" t="n"/>
      <c r="AK446" s="20" t="n"/>
      <c r="AL446" s="77">
        <f>IFERROR(INDEX(MgAmenEfic,MATCH(SUBSTITUTE($H446,"*","-"),MgAmenClave,0)),0)</f>
        <v/>
      </c>
    </row>
    <row r="447" hidden="1" ht="105" customHeight="1" s="54">
      <c r="B447" s="59" t="inlineStr">
        <is>
          <t>R-0442</t>
        </is>
      </c>
      <c r="C447" s="59" t="inlineStr">
        <is>
          <t>TAL-11</t>
        </is>
      </c>
      <c r="D447" s="64">
        <f>IFERROR(INDEX(MgNombre,MATCH($C447,MgActId,0)),"")</f>
        <v/>
      </c>
      <c r="E447" s="64">
        <f>IFERROR(INDEX(MgProceso,MATCH($C447,MgActId,0)),"")</f>
        <v/>
      </c>
      <c r="F447" s="64">
        <f>IFERROR(INDEX(MgTipo,MATCH($C447,MgActId,0)),"")</f>
        <v/>
      </c>
      <c r="G447" s="64">
        <f>IFERROR(INDEX(MgSubtipo,MATCH($C447,MgActId,0)),"")</f>
        <v/>
      </c>
      <c r="H447" s="59" t="inlineStr">
        <is>
          <t>A.6</t>
        </is>
      </c>
      <c r="I447" s="64">
        <f>IFERROR(INDEX(MgAmenNombre,MATCH(SUBSTITUTE($H447,"*","-"),MgAmenClave,0)),"")</f>
        <v/>
      </c>
      <c r="J447" s="28">
        <f>IFERROR(INDEX(MgAmenGrupo,MATCH(SUBSTITUTE($H447,"*","-"),MgAmenClave,0)),"")</f>
        <v/>
      </c>
      <c r="K447" s="64">
        <f>IFERROR(INDEX('1. Matriz de Activos'!$Q$6:$Q$239,MATCH($C447,MgActId,0)),"")</f>
        <v/>
      </c>
      <c r="L447" s="64">
        <f>IFERROR(INDEX('1. Matriz de Activos'!$R$6:$R$239,MATCH($C447,MgActId,0)),"")</f>
        <v/>
      </c>
      <c r="M447" s="64">
        <f>IFERROR(INDEX('1. Matriz de Activos'!$S$6:$S$239,MATCH($C447,MgActId,0)),"")</f>
        <v/>
      </c>
      <c r="N447" s="28">
        <f>IFERROR(INDEX(MgAmenDegD,MATCH(SUBSTITUTE($H447,"*","-"),MgAmenClave,0)),"No aplica")</f>
        <v/>
      </c>
      <c r="O447" s="28">
        <f>IFERROR(INDEX(MgAmenDegI,MATCH(SUBSTITUTE($H447,"*","-"),MgAmenClave,0)),"No aplica")</f>
        <v/>
      </c>
      <c r="P447" s="28">
        <f>IFERROR(INDEX(MgAmenDegC,MATCH(SUBSTITUTE($H447,"*","-"),MgAmenClave,0)),"No aplica")</f>
        <v/>
      </c>
      <c r="Q447" s="29">
        <f>IFERROR(VLOOKUP(K447,MgValor,2,0)*VLOOKUP(N447,MgDeg,2,0),0)</f>
        <v/>
      </c>
      <c r="R447" s="29">
        <f>IFERROR(VLOOKUP(L447,MgValor,2,0)*VLOOKUP(O447,MgDeg,2,0),0)</f>
        <v/>
      </c>
      <c r="S447" s="29">
        <f>IFERROR(VLOOKUP(M447,MgValor,2,0)*VLOOKUP(P447,MgDeg,2,0),0)</f>
        <v/>
      </c>
      <c r="T447" s="30">
        <f>MAX(Q447:S447)</f>
        <v/>
      </c>
      <c r="U447" s="28">
        <f>IFERROR(LOOKUP(T447,{0;0.5;1.5;3;4.5},{"Despreciable";"Bajo";"Medio";"Alto";"Muy alto"}),"")</f>
        <v/>
      </c>
      <c r="V447" s="13">
        <f>IFERROR(INDEX(MgAmenFrec,MATCH(SUBSTITUTE($H447,"*","-"),MgAmenClave,0)),"")</f>
        <v/>
      </c>
      <c r="W447" s="28">
        <f>IFERROR(LOOKUP(X447,{0;0.01;0.1;1;10;100},{"Muy baja";"Muy baja";"Baja";"Media";"Alta";"Muy alta"}),"")</f>
        <v/>
      </c>
      <c r="X447" s="31">
        <f>IFERROR(VLOOKUP(V447,MgFrec,2,0),0)</f>
        <v/>
      </c>
      <c r="Y447" s="30">
        <f>T447*X447</f>
        <v/>
      </c>
      <c r="Z447" s="28">
        <f>IFERROR(LOOKUP(Y447,{0;0.5;5;25},{"Bajo";"Medio";"Alto";"Crítico"}),"")</f>
        <v/>
      </c>
      <c r="AA447" s="64">
        <f>IF(T447&gt;=3,IF(X447&gt;=1,"Zona 1 — Crítica: impacto alto y ocurre al menos una vez al año","Zona 4 — Catastrófica poco probable: impacto alto pero excepcional"),IF(AND(T447&lt;1.5,X447&lt;1),"Zona 3 — Asumible: impacto bajo y muy poco frecuente","Zona 2 — Atención: riesgo intermedio"))</f>
        <v/>
      </c>
      <c r="AB447" s="64">
        <f>IFERROR(INDEX(MgAmenCtrl,MATCH(SUBSTITUTE($H447,"*","-"),MgAmenClave,0)),"")</f>
        <v/>
      </c>
      <c r="AC447" s="20" t="n"/>
      <c r="AD447" s="31">
        <f>IFERROR($X447*(1-IF($AC447="",$AL447,VLOOKUP($AC447,MgMad,2,0))),"")</f>
        <v/>
      </c>
      <c r="AE447" s="28">
        <f>IFERROR(LOOKUP(AD447,{0;0.01;0.1;1;10;100},{"Muy baja";"Muy baja";"Baja";"Media";"Alta";"Muy alta"}),"")</f>
        <v/>
      </c>
      <c r="AF447" s="30">
        <f>T447*AD447</f>
        <v/>
      </c>
      <c r="AG447" s="28">
        <f>IFERROR(LOOKUP(AF447,{0;0.5;5;25},{"Bajo";"Medio";"Alto";"Crítico"}),"")</f>
        <v/>
      </c>
      <c r="AH447" s="28">
        <f>IF(AG447="","",IF(OR(AG447="Crítico",AG447="Alto"),"Mitigar",IF(AG447="Medio","Mitigar","Aceptar y monitorear")))</f>
        <v/>
      </c>
      <c r="AI447" s="21" t="n"/>
      <c r="AJ447" s="21" t="n"/>
      <c r="AK447" s="20" t="n"/>
      <c r="AL447" s="77">
        <f>IFERROR(INDEX(MgAmenEfic,MATCH(SUBSTITUTE($H447,"*","-"),MgAmenClave,0)),0)</f>
        <v/>
      </c>
    </row>
    <row r="448" hidden="1" ht="120" customHeight="1" s="54">
      <c r="B448" s="59" t="inlineStr">
        <is>
          <t>R-0443</t>
        </is>
      </c>
      <c r="C448" s="59" t="inlineStr">
        <is>
          <t>TAL-11</t>
        </is>
      </c>
      <c r="D448" s="64">
        <f>IFERROR(INDEX(MgNombre,MATCH($C448,MgActId,0)),"")</f>
        <v/>
      </c>
      <c r="E448" s="64">
        <f>IFERROR(INDEX(MgProceso,MATCH($C448,MgActId,0)),"")</f>
        <v/>
      </c>
      <c r="F448" s="64">
        <f>IFERROR(INDEX(MgTipo,MATCH($C448,MgActId,0)),"")</f>
        <v/>
      </c>
      <c r="G448" s="64">
        <f>IFERROR(INDEX(MgSubtipo,MATCH($C448,MgActId,0)),"")</f>
        <v/>
      </c>
      <c r="H448" s="59" t="inlineStr">
        <is>
          <t>A.11</t>
        </is>
      </c>
      <c r="I448" s="64">
        <f>IFERROR(INDEX(MgAmenNombre,MATCH(SUBSTITUTE($H448,"*","-"),MgAmenClave,0)),"")</f>
        <v/>
      </c>
      <c r="J448" s="28">
        <f>IFERROR(INDEX(MgAmenGrupo,MATCH(SUBSTITUTE($H448,"*","-"),MgAmenClave,0)),"")</f>
        <v/>
      </c>
      <c r="K448" s="64">
        <f>IFERROR(INDEX('1. Matriz de Activos'!$Q$6:$Q$239,MATCH($C448,MgActId,0)),"")</f>
        <v/>
      </c>
      <c r="L448" s="64">
        <f>IFERROR(INDEX('1. Matriz de Activos'!$R$6:$R$239,MATCH($C448,MgActId,0)),"")</f>
        <v/>
      </c>
      <c r="M448" s="64">
        <f>IFERROR(INDEX('1. Matriz de Activos'!$S$6:$S$239,MATCH($C448,MgActId,0)),"")</f>
        <v/>
      </c>
      <c r="N448" s="28">
        <f>IFERROR(INDEX(MgAmenDegD,MATCH(SUBSTITUTE($H448,"*","-"),MgAmenClave,0)),"No aplica")</f>
        <v/>
      </c>
      <c r="O448" s="28">
        <f>IFERROR(INDEX(MgAmenDegI,MATCH(SUBSTITUTE($H448,"*","-"),MgAmenClave,0)),"No aplica")</f>
        <v/>
      </c>
      <c r="P448" s="28">
        <f>IFERROR(INDEX(MgAmenDegC,MATCH(SUBSTITUTE($H448,"*","-"),MgAmenClave,0)),"No aplica")</f>
        <v/>
      </c>
      <c r="Q448" s="29">
        <f>IFERROR(VLOOKUP(K448,MgValor,2,0)*VLOOKUP(N448,MgDeg,2,0),0)</f>
        <v/>
      </c>
      <c r="R448" s="29">
        <f>IFERROR(VLOOKUP(L448,MgValor,2,0)*VLOOKUP(O448,MgDeg,2,0),0)</f>
        <v/>
      </c>
      <c r="S448" s="29">
        <f>IFERROR(VLOOKUP(M448,MgValor,2,0)*VLOOKUP(P448,MgDeg,2,0),0)</f>
        <v/>
      </c>
      <c r="T448" s="30">
        <f>MAX(Q448:S448)</f>
        <v/>
      </c>
      <c r="U448" s="28">
        <f>IFERROR(LOOKUP(T448,{0;0.5;1.5;3;4.5},{"Despreciable";"Bajo";"Medio";"Alto";"Muy alto"}),"")</f>
        <v/>
      </c>
      <c r="V448" s="13">
        <f>IFERROR(INDEX(MgAmenFrec,MATCH(SUBSTITUTE($H448,"*","-"),MgAmenClave,0)),"")</f>
        <v/>
      </c>
      <c r="W448" s="28">
        <f>IFERROR(LOOKUP(X448,{0;0.01;0.1;1;10;100},{"Muy baja";"Muy baja";"Baja";"Media";"Alta";"Muy alta"}),"")</f>
        <v/>
      </c>
      <c r="X448" s="31">
        <f>IFERROR(VLOOKUP(V448,MgFrec,2,0),0)</f>
        <v/>
      </c>
      <c r="Y448" s="30">
        <f>T448*X448</f>
        <v/>
      </c>
      <c r="Z448" s="28">
        <f>IFERROR(LOOKUP(Y448,{0;0.5;5;25},{"Bajo";"Medio";"Alto";"Crítico"}),"")</f>
        <v/>
      </c>
      <c r="AA448" s="64">
        <f>IF(T448&gt;=3,IF(X448&gt;=1,"Zona 1 — Crítica: impacto alto y ocurre al menos una vez al año","Zona 4 — Catastrófica poco probable: impacto alto pero excepcional"),IF(AND(T448&lt;1.5,X448&lt;1),"Zona 3 — Asumible: impacto bajo y muy poco frecuente","Zona 2 — Atención: riesgo intermedio"))</f>
        <v/>
      </c>
      <c r="AB448" s="64">
        <f>IFERROR(INDEX(MgAmenCtrl,MATCH(SUBSTITUTE($H448,"*","-"),MgAmenClave,0)),"")</f>
        <v/>
      </c>
      <c r="AC448" s="20" t="n"/>
      <c r="AD448" s="31">
        <f>IFERROR($X448*(1-IF($AC448="",$AL448,VLOOKUP($AC448,MgMad,2,0))),"")</f>
        <v/>
      </c>
      <c r="AE448" s="28">
        <f>IFERROR(LOOKUP(AD448,{0;0.01;0.1;1;10;100},{"Muy baja";"Muy baja";"Baja";"Media";"Alta";"Muy alta"}),"")</f>
        <v/>
      </c>
      <c r="AF448" s="30">
        <f>T448*AD448</f>
        <v/>
      </c>
      <c r="AG448" s="28">
        <f>IFERROR(LOOKUP(AF448,{0;0.5;5;25},{"Bajo";"Medio";"Alto";"Crítico"}),"")</f>
        <v/>
      </c>
      <c r="AH448" s="28">
        <f>IF(AG448="","",IF(OR(AG448="Crítico",AG448="Alto"),"Mitigar",IF(AG448="Medio","Mitigar","Aceptar y monitorear")))</f>
        <v/>
      </c>
      <c r="AI448" s="21" t="n"/>
      <c r="AJ448" s="21" t="n"/>
      <c r="AK448" s="20" t="n"/>
      <c r="AL448" s="77">
        <f>IFERROR(INDEX(MgAmenEfic,MATCH(SUBSTITUTE($H448,"*","-"),MgAmenClave,0)),0)</f>
        <v/>
      </c>
    </row>
    <row r="449" hidden="1" ht="90" customHeight="1" s="54">
      <c r="B449" s="59" t="inlineStr">
        <is>
          <t>R-0444</t>
        </is>
      </c>
      <c r="C449" s="59" t="inlineStr">
        <is>
          <t>TAL-11</t>
        </is>
      </c>
      <c r="D449" s="64">
        <f>IFERROR(INDEX(MgNombre,MATCH($C449,MgActId,0)),"")</f>
        <v/>
      </c>
      <c r="E449" s="64">
        <f>IFERROR(INDEX(MgProceso,MATCH($C449,MgActId,0)),"")</f>
        <v/>
      </c>
      <c r="F449" s="64">
        <f>IFERROR(INDEX(MgTipo,MATCH($C449,MgActId,0)),"")</f>
        <v/>
      </c>
      <c r="G449" s="64">
        <f>IFERROR(INDEX(MgSubtipo,MATCH($C449,MgActId,0)),"")</f>
        <v/>
      </c>
      <c r="H449" s="59" t="inlineStr">
        <is>
          <t>A.13</t>
        </is>
      </c>
      <c r="I449" s="64">
        <f>IFERROR(INDEX(MgAmenNombre,MATCH(SUBSTITUTE($H449,"*","-"),MgAmenClave,0)),"")</f>
        <v/>
      </c>
      <c r="J449" s="28">
        <f>IFERROR(INDEX(MgAmenGrupo,MATCH(SUBSTITUTE($H449,"*","-"),MgAmenClave,0)),"")</f>
        <v/>
      </c>
      <c r="K449" s="64">
        <f>IFERROR(INDEX('1. Matriz de Activos'!$Q$6:$Q$239,MATCH($C449,MgActId,0)),"")</f>
        <v/>
      </c>
      <c r="L449" s="64">
        <f>IFERROR(INDEX('1. Matriz de Activos'!$R$6:$R$239,MATCH($C449,MgActId,0)),"")</f>
        <v/>
      </c>
      <c r="M449" s="64">
        <f>IFERROR(INDEX('1. Matriz de Activos'!$S$6:$S$239,MATCH($C449,MgActId,0)),"")</f>
        <v/>
      </c>
      <c r="N449" s="28">
        <f>IFERROR(INDEX(MgAmenDegD,MATCH(SUBSTITUTE($H449,"*","-"),MgAmenClave,0)),"No aplica")</f>
        <v/>
      </c>
      <c r="O449" s="28">
        <f>IFERROR(INDEX(MgAmenDegI,MATCH(SUBSTITUTE($H449,"*","-"),MgAmenClave,0)),"No aplica")</f>
        <v/>
      </c>
      <c r="P449" s="28">
        <f>IFERROR(INDEX(MgAmenDegC,MATCH(SUBSTITUTE($H449,"*","-"),MgAmenClave,0)),"No aplica")</f>
        <v/>
      </c>
      <c r="Q449" s="29">
        <f>IFERROR(VLOOKUP(K449,MgValor,2,0)*VLOOKUP(N449,MgDeg,2,0),0)</f>
        <v/>
      </c>
      <c r="R449" s="29">
        <f>IFERROR(VLOOKUP(L449,MgValor,2,0)*VLOOKUP(O449,MgDeg,2,0),0)</f>
        <v/>
      </c>
      <c r="S449" s="29">
        <f>IFERROR(VLOOKUP(M449,MgValor,2,0)*VLOOKUP(P449,MgDeg,2,0),0)</f>
        <v/>
      </c>
      <c r="T449" s="30">
        <f>MAX(Q449:S449)</f>
        <v/>
      </c>
      <c r="U449" s="28">
        <f>IFERROR(LOOKUP(T449,{0;0.5;1.5;3;4.5},{"Despreciable";"Bajo";"Medio";"Alto";"Muy alto"}),"")</f>
        <v/>
      </c>
      <c r="V449" s="13">
        <f>IFERROR(INDEX(MgAmenFrec,MATCH(SUBSTITUTE($H449,"*","-"),MgAmenClave,0)),"")</f>
        <v/>
      </c>
      <c r="W449" s="28">
        <f>IFERROR(LOOKUP(X449,{0;0.01;0.1;1;10;100},{"Muy baja";"Muy baja";"Baja";"Media";"Alta";"Muy alta"}),"")</f>
        <v/>
      </c>
      <c r="X449" s="31">
        <f>IFERROR(VLOOKUP(V449,MgFrec,2,0),0)</f>
        <v/>
      </c>
      <c r="Y449" s="30">
        <f>T449*X449</f>
        <v/>
      </c>
      <c r="Z449" s="28">
        <f>IFERROR(LOOKUP(Y449,{0;0.5;5;25},{"Bajo";"Medio";"Alto";"Crítico"}),"")</f>
        <v/>
      </c>
      <c r="AA449" s="64">
        <f>IF(T449&gt;=3,IF(X449&gt;=1,"Zona 1 — Crítica: impacto alto y ocurre al menos una vez al año","Zona 4 — Catastrófica poco probable: impacto alto pero excepcional"),IF(AND(T449&lt;1.5,X449&lt;1),"Zona 3 — Asumible: impacto bajo y muy poco frecuente","Zona 2 — Atención: riesgo intermedio"))</f>
        <v/>
      </c>
      <c r="AB449" s="64">
        <f>IFERROR(INDEX(MgAmenCtrl,MATCH(SUBSTITUTE($H449,"*","-"),MgAmenClave,0)),"")</f>
        <v/>
      </c>
      <c r="AC449" s="20" t="n"/>
      <c r="AD449" s="31">
        <f>IFERROR($X449*(1-IF($AC449="",$AL449,VLOOKUP($AC449,MgMad,2,0))),"")</f>
        <v/>
      </c>
      <c r="AE449" s="28">
        <f>IFERROR(LOOKUP(AD449,{0;0.01;0.1;1;10;100},{"Muy baja";"Muy baja";"Baja";"Media";"Alta";"Muy alta"}),"")</f>
        <v/>
      </c>
      <c r="AF449" s="30">
        <f>T449*AD449</f>
        <v/>
      </c>
      <c r="AG449" s="28">
        <f>IFERROR(LOOKUP(AF449,{0;0.5;5;25},{"Bajo";"Medio";"Alto";"Crítico"}),"")</f>
        <v/>
      </c>
      <c r="AH449" s="28">
        <f>IF(AG449="","",IF(OR(AG449="Crítico",AG449="Alto"),"Mitigar",IF(AG449="Medio","Mitigar","Aceptar y monitorear")))</f>
        <v/>
      </c>
      <c r="AI449" s="21" t="n"/>
      <c r="AJ449" s="21" t="n"/>
      <c r="AK449" s="20" t="n"/>
      <c r="AL449" s="77">
        <f>IFERROR(INDEX(MgAmenEfic,MATCH(SUBSTITUTE($H449,"*","-"),MgAmenClave,0)),0)</f>
        <v/>
      </c>
    </row>
    <row r="450" hidden="1" ht="60" customHeight="1" s="54">
      <c r="B450" s="59" t="inlineStr">
        <is>
          <t>R-0445</t>
        </is>
      </c>
      <c r="C450" s="59" t="inlineStr">
        <is>
          <t>TAL-11</t>
        </is>
      </c>
      <c r="D450" s="64">
        <f>IFERROR(INDEX(MgNombre,MATCH($C450,MgActId,0)),"")</f>
        <v/>
      </c>
      <c r="E450" s="64">
        <f>IFERROR(INDEX(MgProceso,MATCH($C450,MgActId,0)),"")</f>
        <v/>
      </c>
      <c r="F450" s="64">
        <f>IFERROR(INDEX(MgTipo,MATCH($C450,MgActId,0)),"")</f>
        <v/>
      </c>
      <c r="G450" s="64">
        <f>IFERROR(INDEX(MgSubtipo,MATCH($C450,MgActId,0)),"")</f>
        <v/>
      </c>
      <c r="H450" s="59" t="inlineStr">
        <is>
          <t>A.15</t>
        </is>
      </c>
      <c r="I450" s="64">
        <f>IFERROR(INDEX(MgAmenNombre,MATCH(SUBSTITUTE($H450,"*","-"),MgAmenClave,0)),"")</f>
        <v/>
      </c>
      <c r="J450" s="28">
        <f>IFERROR(INDEX(MgAmenGrupo,MATCH(SUBSTITUTE($H450,"*","-"),MgAmenClave,0)),"")</f>
        <v/>
      </c>
      <c r="K450" s="64">
        <f>IFERROR(INDEX('1. Matriz de Activos'!$Q$6:$Q$239,MATCH($C450,MgActId,0)),"")</f>
        <v/>
      </c>
      <c r="L450" s="64">
        <f>IFERROR(INDEX('1. Matriz de Activos'!$R$6:$R$239,MATCH($C450,MgActId,0)),"")</f>
        <v/>
      </c>
      <c r="M450" s="64">
        <f>IFERROR(INDEX('1. Matriz de Activos'!$S$6:$S$239,MATCH($C450,MgActId,0)),"")</f>
        <v/>
      </c>
      <c r="N450" s="28">
        <f>IFERROR(INDEX(MgAmenDegD,MATCH(SUBSTITUTE($H450,"*","-"),MgAmenClave,0)),"No aplica")</f>
        <v/>
      </c>
      <c r="O450" s="28">
        <f>IFERROR(INDEX(MgAmenDegI,MATCH(SUBSTITUTE($H450,"*","-"),MgAmenClave,0)),"No aplica")</f>
        <v/>
      </c>
      <c r="P450" s="28">
        <f>IFERROR(INDEX(MgAmenDegC,MATCH(SUBSTITUTE($H450,"*","-"),MgAmenClave,0)),"No aplica")</f>
        <v/>
      </c>
      <c r="Q450" s="29">
        <f>IFERROR(VLOOKUP(K450,MgValor,2,0)*VLOOKUP(N450,MgDeg,2,0),0)</f>
        <v/>
      </c>
      <c r="R450" s="29">
        <f>IFERROR(VLOOKUP(L450,MgValor,2,0)*VLOOKUP(O450,MgDeg,2,0),0)</f>
        <v/>
      </c>
      <c r="S450" s="29">
        <f>IFERROR(VLOOKUP(M450,MgValor,2,0)*VLOOKUP(P450,MgDeg,2,0),0)</f>
        <v/>
      </c>
      <c r="T450" s="30">
        <f>MAX(Q450:S450)</f>
        <v/>
      </c>
      <c r="U450" s="28">
        <f>IFERROR(LOOKUP(T450,{0;0.5;1.5;3;4.5},{"Despreciable";"Bajo";"Medio";"Alto";"Muy alto"}),"")</f>
        <v/>
      </c>
      <c r="V450" s="13">
        <f>IFERROR(INDEX(MgAmenFrec,MATCH(SUBSTITUTE($H450,"*","-"),MgAmenClave,0)),"")</f>
        <v/>
      </c>
      <c r="W450" s="28">
        <f>IFERROR(LOOKUP(X450,{0;0.01;0.1;1;10;100},{"Muy baja";"Muy baja";"Baja";"Media";"Alta";"Muy alta"}),"")</f>
        <v/>
      </c>
      <c r="X450" s="31">
        <f>IFERROR(VLOOKUP(V450,MgFrec,2,0),0)</f>
        <v/>
      </c>
      <c r="Y450" s="30">
        <f>T450*X450</f>
        <v/>
      </c>
      <c r="Z450" s="28">
        <f>IFERROR(LOOKUP(Y450,{0;0.5;5;25},{"Bajo";"Medio";"Alto";"Crítico"}),"")</f>
        <v/>
      </c>
      <c r="AA450" s="64">
        <f>IF(T450&gt;=3,IF(X450&gt;=1,"Zona 1 — Crítica: impacto alto y ocurre al menos una vez al año","Zona 4 — Catastrófica poco probable: impacto alto pero excepcional"),IF(AND(T450&lt;1.5,X450&lt;1),"Zona 3 — Asumible: impacto bajo y muy poco frecuente","Zona 2 — Atención: riesgo intermedio"))</f>
        <v/>
      </c>
      <c r="AB450" s="64">
        <f>IFERROR(INDEX(MgAmenCtrl,MATCH(SUBSTITUTE($H450,"*","-"),MgAmenClave,0)),"")</f>
        <v/>
      </c>
      <c r="AC450" s="20" t="n"/>
      <c r="AD450" s="31">
        <f>IFERROR($X450*(1-IF($AC450="",$AL450,VLOOKUP($AC450,MgMad,2,0))),"")</f>
        <v/>
      </c>
      <c r="AE450" s="28">
        <f>IFERROR(LOOKUP(AD450,{0;0.01;0.1;1;10;100},{"Muy baja";"Muy baja";"Baja";"Media";"Alta";"Muy alta"}),"")</f>
        <v/>
      </c>
      <c r="AF450" s="30">
        <f>T450*AD450</f>
        <v/>
      </c>
      <c r="AG450" s="28">
        <f>IFERROR(LOOKUP(AF450,{0;0.5;5;25},{"Bajo";"Medio";"Alto";"Crítico"}),"")</f>
        <v/>
      </c>
      <c r="AH450" s="28">
        <f>IF(AG450="","",IF(OR(AG450="Crítico",AG450="Alto"),"Mitigar",IF(AG450="Medio","Mitigar","Aceptar y monitorear")))</f>
        <v/>
      </c>
      <c r="AI450" s="21" t="n"/>
      <c r="AJ450" s="21" t="n"/>
      <c r="AK450" s="20" t="n"/>
      <c r="AL450" s="77">
        <f>IFERROR(INDEX(MgAmenEfic,MATCH(SUBSTITUTE($H450,"*","-"),MgAmenClave,0)),0)</f>
        <v/>
      </c>
    </row>
    <row r="451" hidden="1" ht="60" customHeight="1" s="54">
      <c r="B451" s="59" t="inlineStr">
        <is>
          <t>R-0446</t>
        </is>
      </c>
      <c r="C451" s="59" t="inlineStr">
        <is>
          <t>TAL-11</t>
        </is>
      </c>
      <c r="D451" s="64">
        <f>IFERROR(INDEX(MgNombre,MATCH($C451,MgActId,0)),"")</f>
        <v/>
      </c>
      <c r="E451" s="64">
        <f>IFERROR(INDEX(MgProceso,MATCH($C451,MgActId,0)),"")</f>
        <v/>
      </c>
      <c r="F451" s="64">
        <f>IFERROR(INDEX(MgTipo,MATCH($C451,MgActId,0)),"")</f>
        <v/>
      </c>
      <c r="G451" s="64">
        <f>IFERROR(INDEX(MgSubtipo,MATCH($C451,MgActId,0)),"")</f>
        <v/>
      </c>
      <c r="H451" s="59" t="inlineStr">
        <is>
          <t>A.18</t>
        </is>
      </c>
      <c r="I451" s="64">
        <f>IFERROR(INDEX(MgAmenNombre,MATCH(SUBSTITUTE($H451,"*","-"),MgAmenClave,0)),"")</f>
        <v/>
      </c>
      <c r="J451" s="28">
        <f>IFERROR(INDEX(MgAmenGrupo,MATCH(SUBSTITUTE($H451,"*","-"),MgAmenClave,0)),"")</f>
        <v/>
      </c>
      <c r="K451" s="64">
        <f>IFERROR(INDEX('1. Matriz de Activos'!$Q$6:$Q$239,MATCH($C451,MgActId,0)),"")</f>
        <v/>
      </c>
      <c r="L451" s="64">
        <f>IFERROR(INDEX('1. Matriz de Activos'!$R$6:$R$239,MATCH($C451,MgActId,0)),"")</f>
        <v/>
      </c>
      <c r="M451" s="64">
        <f>IFERROR(INDEX('1. Matriz de Activos'!$S$6:$S$239,MATCH($C451,MgActId,0)),"")</f>
        <v/>
      </c>
      <c r="N451" s="28">
        <f>IFERROR(INDEX(MgAmenDegD,MATCH(SUBSTITUTE($H451,"*","-"),MgAmenClave,0)),"No aplica")</f>
        <v/>
      </c>
      <c r="O451" s="28">
        <f>IFERROR(INDEX(MgAmenDegI,MATCH(SUBSTITUTE($H451,"*","-"),MgAmenClave,0)),"No aplica")</f>
        <v/>
      </c>
      <c r="P451" s="28">
        <f>IFERROR(INDEX(MgAmenDegC,MATCH(SUBSTITUTE($H451,"*","-"),MgAmenClave,0)),"No aplica")</f>
        <v/>
      </c>
      <c r="Q451" s="29">
        <f>IFERROR(VLOOKUP(K451,MgValor,2,0)*VLOOKUP(N451,MgDeg,2,0),0)</f>
        <v/>
      </c>
      <c r="R451" s="29">
        <f>IFERROR(VLOOKUP(L451,MgValor,2,0)*VLOOKUP(O451,MgDeg,2,0),0)</f>
        <v/>
      </c>
      <c r="S451" s="29">
        <f>IFERROR(VLOOKUP(M451,MgValor,2,0)*VLOOKUP(P451,MgDeg,2,0),0)</f>
        <v/>
      </c>
      <c r="T451" s="30">
        <f>MAX(Q451:S451)</f>
        <v/>
      </c>
      <c r="U451" s="28">
        <f>IFERROR(LOOKUP(T451,{0;0.5;1.5;3;4.5},{"Despreciable";"Bajo";"Medio";"Alto";"Muy alto"}),"")</f>
        <v/>
      </c>
      <c r="V451" s="13">
        <f>IFERROR(INDEX(MgAmenFrec,MATCH(SUBSTITUTE($H451,"*","-"),MgAmenClave,0)),"")</f>
        <v/>
      </c>
      <c r="W451" s="28">
        <f>IFERROR(LOOKUP(X451,{0;0.01;0.1;1;10;100},{"Muy baja";"Muy baja";"Baja";"Media";"Alta";"Muy alta"}),"")</f>
        <v/>
      </c>
      <c r="X451" s="31">
        <f>IFERROR(VLOOKUP(V451,MgFrec,2,0),0)</f>
        <v/>
      </c>
      <c r="Y451" s="30">
        <f>T451*X451</f>
        <v/>
      </c>
      <c r="Z451" s="28">
        <f>IFERROR(LOOKUP(Y451,{0;0.5;5;25},{"Bajo";"Medio";"Alto";"Crítico"}),"")</f>
        <v/>
      </c>
      <c r="AA451" s="64">
        <f>IF(T451&gt;=3,IF(X451&gt;=1,"Zona 1 — Crítica: impacto alto y ocurre al menos una vez al año","Zona 4 — Catastrófica poco probable: impacto alto pero excepcional"),IF(AND(T451&lt;1.5,X451&lt;1),"Zona 3 — Asumible: impacto bajo y muy poco frecuente","Zona 2 — Atención: riesgo intermedio"))</f>
        <v/>
      </c>
      <c r="AB451" s="64">
        <f>IFERROR(INDEX(MgAmenCtrl,MATCH(SUBSTITUTE($H451,"*","-"),MgAmenClave,0)),"")</f>
        <v/>
      </c>
      <c r="AC451" s="20" t="n"/>
      <c r="AD451" s="31">
        <f>IFERROR($X451*(1-IF($AC451="",$AL451,VLOOKUP($AC451,MgMad,2,0))),"")</f>
        <v/>
      </c>
      <c r="AE451" s="28">
        <f>IFERROR(LOOKUP(AD451,{0;0.01;0.1;1;10;100},{"Muy baja";"Muy baja";"Baja";"Media";"Alta";"Muy alta"}),"")</f>
        <v/>
      </c>
      <c r="AF451" s="30">
        <f>T451*AD451</f>
        <v/>
      </c>
      <c r="AG451" s="28">
        <f>IFERROR(LOOKUP(AF451,{0;0.5;5;25},{"Bajo";"Medio";"Alto";"Crítico"}),"")</f>
        <v/>
      </c>
      <c r="AH451" s="28">
        <f>IF(AG451="","",IF(OR(AG451="Crítico",AG451="Alto"),"Mitigar",IF(AG451="Medio","Mitigar","Aceptar y monitorear")))</f>
        <v/>
      </c>
      <c r="AI451" s="21" t="n"/>
      <c r="AJ451" s="21" t="n"/>
      <c r="AK451" s="20" t="n"/>
      <c r="AL451" s="77">
        <f>IFERROR(INDEX(MgAmenEfic,MATCH(SUBSTITUTE($H451,"*","-"),MgAmenClave,0)),0)</f>
        <v/>
      </c>
    </row>
    <row r="452" hidden="1" ht="120" customHeight="1" s="54">
      <c r="B452" s="59" t="inlineStr">
        <is>
          <t>R-0447</t>
        </is>
      </c>
      <c r="C452" s="59" t="inlineStr">
        <is>
          <t>TAL-11</t>
        </is>
      </c>
      <c r="D452" s="64">
        <f>IFERROR(INDEX(MgNombre,MATCH($C452,MgActId,0)),"")</f>
        <v/>
      </c>
      <c r="E452" s="64">
        <f>IFERROR(INDEX(MgProceso,MATCH($C452,MgActId,0)),"")</f>
        <v/>
      </c>
      <c r="F452" s="64">
        <f>IFERROR(INDEX(MgTipo,MATCH($C452,MgActId,0)),"")</f>
        <v/>
      </c>
      <c r="G452" s="64">
        <f>IFERROR(INDEX(MgSubtipo,MATCH($C452,MgActId,0)),"")</f>
        <v/>
      </c>
      <c r="H452" s="59" t="inlineStr">
        <is>
          <t>A.19</t>
        </is>
      </c>
      <c r="I452" s="64">
        <f>IFERROR(INDEX(MgAmenNombre,MATCH(SUBSTITUTE($H452,"*","-"),MgAmenClave,0)),"")</f>
        <v/>
      </c>
      <c r="J452" s="28">
        <f>IFERROR(INDEX(MgAmenGrupo,MATCH(SUBSTITUTE($H452,"*","-"),MgAmenClave,0)),"")</f>
        <v/>
      </c>
      <c r="K452" s="64">
        <f>IFERROR(INDEX('1. Matriz de Activos'!$Q$6:$Q$239,MATCH($C452,MgActId,0)),"")</f>
        <v/>
      </c>
      <c r="L452" s="64">
        <f>IFERROR(INDEX('1. Matriz de Activos'!$R$6:$R$239,MATCH($C452,MgActId,0)),"")</f>
        <v/>
      </c>
      <c r="M452" s="64">
        <f>IFERROR(INDEX('1. Matriz de Activos'!$S$6:$S$239,MATCH($C452,MgActId,0)),"")</f>
        <v/>
      </c>
      <c r="N452" s="28">
        <f>IFERROR(INDEX(MgAmenDegD,MATCH(SUBSTITUTE($H452,"*","-"),MgAmenClave,0)),"No aplica")</f>
        <v/>
      </c>
      <c r="O452" s="28">
        <f>IFERROR(INDEX(MgAmenDegI,MATCH(SUBSTITUTE($H452,"*","-"),MgAmenClave,0)),"No aplica")</f>
        <v/>
      </c>
      <c r="P452" s="28">
        <f>IFERROR(INDEX(MgAmenDegC,MATCH(SUBSTITUTE($H452,"*","-"),MgAmenClave,0)),"No aplica")</f>
        <v/>
      </c>
      <c r="Q452" s="29">
        <f>IFERROR(VLOOKUP(K452,MgValor,2,0)*VLOOKUP(N452,MgDeg,2,0),0)</f>
        <v/>
      </c>
      <c r="R452" s="29">
        <f>IFERROR(VLOOKUP(L452,MgValor,2,0)*VLOOKUP(O452,MgDeg,2,0),0)</f>
        <v/>
      </c>
      <c r="S452" s="29">
        <f>IFERROR(VLOOKUP(M452,MgValor,2,0)*VLOOKUP(P452,MgDeg,2,0),0)</f>
        <v/>
      </c>
      <c r="T452" s="30">
        <f>MAX(Q452:S452)</f>
        <v/>
      </c>
      <c r="U452" s="28">
        <f>IFERROR(LOOKUP(T452,{0;0.5;1.5;3;4.5},{"Despreciable";"Bajo";"Medio";"Alto";"Muy alto"}),"")</f>
        <v/>
      </c>
      <c r="V452" s="13">
        <f>IFERROR(INDEX(MgAmenFrec,MATCH(SUBSTITUTE($H452,"*","-"),MgAmenClave,0)),"")</f>
        <v/>
      </c>
      <c r="W452" s="28">
        <f>IFERROR(LOOKUP(X452,{0;0.01;0.1;1;10;100},{"Muy baja";"Muy baja";"Baja";"Media";"Alta";"Muy alta"}),"")</f>
        <v/>
      </c>
      <c r="X452" s="31">
        <f>IFERROR(VLOOKUP(V452,MgFrec,2,0),0)</f>
        <v/>
      </c>
      <c r="Y452" s="30">
        <f>T452*X452</f>
        <v/>
      </c>
      <c r="Z452" s="28">
        <f>IFERROR(LOOKUP(Y452,{0;0.5;5;25},{"Bajo";"Medio";"Alto";"Crítico"}),"")</f>
        <v/>
      </c>
      <c r="AA452" s="64">
        <f>IF(T452&gt;=3,IF(X452&gt;=1,"Zona 1 — Crítica: impacto alto y ocurre al menos una vez al año","Zona 4 — Catastrófica poco probable: impacto alto pero excepcional"),IF(AND(T452&lt;1.5,X452&lt;1),"Zona 3 — Asumible: impacto bajo y muy poco frecuente","Zona 2 — Atención: riesgo intermedio"))</f>
        <v/>
      </c>
      <c r="AB452" s="64">
        <f>IFERROR(INDEX(MgAmenCtrl,MATCH(SUBSTITUTE($H452,"*","-"),MgAmenClave,0)),"")</f>
        <v/>
      </c>
      <c r="AC452" s="20" t="n"/>
      <c r="AD452" s="31">
        <f>IFERROR($X452*(1-IF($AC452="",$AL452,VLOOKUP($AC452,MgMad,2,0))),"")</f>
        <v/>
      </c>
      <c r="AE452" s="28">
        <f>IFERROR(LOOKUP(AD452,{0;0.01;0.1;1;10;100},{"Muy baja";"Muy baja";"Baja";"Media";"Alta";"Muy alta"}),"")</f>
        <v/>
      </c>
      <c r="AF452" s="30">
        <f>T452*AD452</f>
        <v/>
      </c>
      <c r="AG452" s="28">
        <f>IFERROR(LOOKUP(AF452,{0;0.5;5;25},{"Bajo";"Medio";"Alto";"Crítico"}),"")</f>
        <v/>
      </c>
      <c r="AH452" s="28">
        <f>IF(AG452="","",IF(OR(AG452="Crítico",AG452="Alto"),"Mitigar",IF(AG452="Medio","Mitigar","Aceptar y monitorear")))</f>
        <v/>
      </c>
      <c r="AI452" s="21" t="n"/>
      <c r="AJ452" s="21" t="n"/>
      <c r="AK452" s="20" t="n"/>
      <c r="AL452" s="77">
        <f>IFERROR(INDEX(MgAmenEfic,MATCH(SUBSTITUTE($H452,"*","-"),MgAmenClave,0)),0)</f>
        <v/>
      </c>
    </row>
    <row r="453" hidden="1" ht="105" customHeight="1" s="54">
      <c r="B453" s="59" t="inlineStr">
        <is>
          <t>R-0448</t>
        </is>
      </c>
      <c r="C453" s="59" t="inlineStr">
        <is>
          <t>COM-16</t>
        </is>
      </c>
      <c r="D453" s="64">
        <f>IFERROR(INDEX(MgNombre,MATCH($C453,MgActId,0)),"")</f>
        <v/>
      </c>
      <c r="E453" s="64">
        <f>IFERROR(INDEX(MgProceso,MATCH($C453,MgActId,0)),"")</f>
        <v/>
      </c>
      <c r="F453" s="64">
        <f>IFERROR(INDEX(MgTipo,MATCH($C453,MgActId,0)),"")</f>
        <v/>
      </c>
      <c r="G453" s="64">
        <f>IFERROR(INDEX(MgSubtipo,MATCH($C453,MgActId,0)),"")</f>
        <v/>
      </c>
      <c r="H453" s="59" t="inlineStr">
        <is>
          <t>E.1</t>
        </is>
      </c>
      <c r="I453" s="64">
        <f>IFERROR(INDEX(MgAmenNombre,MATCH(SUBSTITUTE($H453,"*","-"),MgAmenClave,0)),"")</f>
        <v/>
      </c>
      <c r="J453" s="28">
        <f>IFERROR(INDEX(MgAmenGrupo,MATCH(SUBSTITUTE($H453,"*","-"),MgAmenClave,0)),"")</f>
        <v/>
      </c>
      <c r="K453" s="64">
        <f>IFERROR(INDEX('1. Matriz de Activos'!$Q$6:$Q$239,MATCH($C453,MgActId,0)),"")</f>
        <v/>
      </c>
      <c r="L453" s="64">
        <f>IFERROR(INDEX('1. Matriz de Activos'!$R$6:$R$239,MATCH($C453,MgActId,0)),"")</f>
        <v/>
      </c>
      <c r="M453" s="64">
        <f>IFERROR(INDEX('1. Matriz de Activos'!$S$6:$S$239,MATCH($C453,MgActId,0)),"")</f>
        <v/>
      </c>
      <c r="N453" s="28">
        <f>IFERROR(INDEX(MgAmenDegD,MATCH(SUBSTITUTE($H453,"*","-"),MgAmenClave,0)),"No aplica")</f>
        <v/>
      </c>
      <c r="O453" s="28">
        <f>IFERROR(INDEX(MgAmenDegI,MATCH(SUBSTITUTE($H453,"*","-"),MgAmenClave,0)),"No aplica")</f>
        <v/>
      </c>
      <c r="P453" s="28">
        <f>IFERROR(INDEX(MgAmenDegC,MATCH(SUBSTITUTE($H453,"*","-"),MgAmenClave,0)),"No aplica")</f>
        <v/>
      </c>
      <c r="Q453" s="29">
        <f>IFERROR(VLOOKUP(K453,MgValor,2,0)*VLOOKUP(N453,MgDeg,2,0),0)</f>
        <v/>
      </c>
      <c r="R453" s="29">
        <f>IFERROR(VLOOKUP(L453,MgValor,2,0)*VLOOKUP(O453,MgDeg,2,0),0)</f>
        <v/>
      </c>
      <c r="S453" s="29">
        <f>IFERROR(VLOOKUP(M453,MgValor,2,0)*VLOOKUP(P453,MgDeg,2,0),0)</f>
        <v/>
      </c>
      <c r="T453" s="30">
        <f>MAX(Q453:S453)</f>
        <v/>
      </c>
      <c r="U453" s="28">
        <f>IFERROR(LOOKUP(T453,{0;0.5;1.5;3;4.5},{"Despreciable";"Bajo";"Medio";"Alto";"Muy alto"}),"")</f>
        <v/>
      </c>
      <c r="V453" s="13">
        <f>IFERROR(INDEX(MgAmenFrec,MATCH(SUBSTITUTE($H453,"*","-"),MgAmenClave,0)),"")</f>
        <v/>
      </c>
      <c r="W453" s="28">
        <f>IFERROR(LOOKUP(X453,{0;0.01;0.1;1;10;100},{"Muy baja";"Muy baja";"Baja";"Media";"Alta";"Muy alta"}),"")</f>
        <v/>
      </c>
      <c r="X453" s="31">
        <f>IFERROR(VLOOKUP(V453,MgFrec,2,0),0)</f>
        <v/>
      </c>
      <c r="Y453" s="30">
        <f>T453*X453</f>
        <v/>
      </c>
      <c r="Z453" s="28">
        <f>IFERROR(LOOKUP(Y453,{0;0.5;5;25},{"Bajo";"Medio";"Alto";"Crítico"}),"")</f>
        <v/>
      </c>
      <c r="AA453" s="64">
        <f>IF(T453&gt;=3,IF(X453&gt;=1,"Zona 1 — Crítica: impacto alto y ocurre al menos una vez al año","Zona 4 — Catastrófica poco probable: impacto alto pero excepcional"),IF(AND(T453&lt;1.5,X453&lt;1),"Zona 3 — Asumible: impacto bajo y muy poco frecuente","Zona 2 — Atención: riesgo intermedio"))</f>
        <v/>
      </c>
      <c r="AB453" s="64">
        <f>IFERROR(INDEX(MgAmenCtrl,MATCH(SUBSTITUTE($H453,"*","-"),MgAmenClave,0)),"")</f>
        <v/>
      </c>
      <c r="AC453" s="20" t="n"/>
      <c r="AD453" s="31">
        <f>IFERROR($X453*(1-IF($AC453="",$AL453,VLOOKUP($AC453,MgMad,2,0))),"")</f>
        <v/>
      </c>
      <c r="AE453" s="28">
        <f>IFERROR(LOOKUP(AD453,{0;0.01;0.1;1;10;100},{"Muy baja";"Muy baja";"Baja";"Media";"Alta";"Muy alta"}),"")</f>
        <v/>
      </c>
      <c r="AF453" s="30">
        <f>T453*AD453</f>
        <v/>
      </c>
      <c r="AG453" s="28">
        <f>IFERROR(LOOKUP(AF453,{0;0.5;5;25},{"Bajo";"Medio";"Alto";"Crítico"}),"")</f>
        <v/>
      </c>
      <c r="AH453" s="28">
        <f>IF(AG453="","",IF(OR(AG453="Crítico",AG453="Alto"),"Mitigar",IF(AG453="Medio","Mitigar","Aceptar y monitorear")))</f>
        <v/>
      </c>
      <c r="AI453" s="21" t="n"/>
      <c r="AJ453" s="21" t="n"/>
      <c r="AK453" s="20" t="n"/>
      <c r="AL453" s="77">
        <f>IFERROR(INDEX(MgAmenEfic,MATCH(SUBSTITUTE($H453,"*","-"),MgAmenClave,0)),0)</f>
        <v/>
      </c>
    </row>
    <row r="454" hidden="1" ht="120" customHeight="1" s="54">
      <c r="B454" s="59" t="inlineStr">
        <is>
          <t>R-0449</t>
        </is>
      </c>
      <c r="C454" s="59" t="inlineStr">
        <is>
          <t>COM-16</t>
        </is>
      </c>
      <c r="D454" s="64">
        <f>IFERROR(INDEX(MgNombre,MATCH($C454,MgActId,0)),"")</f>
        <v/>
      </c>
      <c r="E454" s="64">
        <f>IFERROR(INDEX(MgProceso,MATCH($C454,MgActId,0)),"")</f>
        <v/>
      </c>
      <c r="F454" s="64">
        <f>IFERROR(INDEX(MgTipo,MATCH($C454,MgActId,0)),"")</f>
        <v/>
      </c>
      <c r="G454" s="64">
        <f>IFERROR(INDEX(MgSubtipo,MATCH($C454,MgActId,0)),"")</f>
        <v/>
      </c>
      <c r="H454" s="59" t="inlineStr">
        <is>
          <t>E.2</t>
        </is>
      </c>
      <c r="I454" s="64">
        <f>IFERROR(INDEX(MgAmenNombre,MATCH(SUBSTITUTE($H454,"*","-"),MgAmenClave,0)),"")</f>
        <v/>
      </c>
      <c r="J454" s="28">
        <f>IFERROR(INDEX(MgAmenGrupo,MATCH(SUBSTITUTE($H454,"*","-"),MgAmenClave,0)),"")</f>
        <v/>
      </c>
      <c r="K454" s="64">
        <f>IFERROR(INDEX('1. Matriz de Activos'!$Q$6:$Q$239,MATCH($C454,MgActId,0)),"")</f>
        <v/>
      </c>
      <c r="L454" s="64">
        <f>IFERROR(INDEX('1. Matriz de Activos'!$R$6:$R$239,MATCH($C454,MgActId,0)),"")</f>
        <v/>
      </c>
      <c r="M454" s="64">
        <f>IFERROR(INDEX('1. Matriz de Activos'!$S$6:$S$239,MATCH($C454,MgActId,0)),"")</f>
        <v/>
      </c>
      <c r="N454" s="28">
        <f>IFERROR(INDEX(MgAmenDegD,MATCH(SUBSTITUTE($H454,"*","-"),MgAmenClave,0)),"No aplica")</f>
        <v/>
      </c>
      <c r="O454" s="28">
        <f>IFERROR(INDEX(MgAmenDegI,MATCH(SUBSTITUTE($H454,"*","-"),MgAmenClave,0)),"No aplica")</f>
        <v/>
      </c>
      <c r="P454" s="28">
        <f>IFERROR(INDEX(MgAmenDegC,MATCH(SUBSTITUTE($H454,"*","-"),MgAmenClave,0)),"No aplica")</f>
        <v/>
      </c>
      <c r="Q454" s="29">
        <f>IFERROR(VLOOKUP(K454,MgValor,2,0)*VLOOKUP(N454,MgDeg,2,0),0)</f>
        <v/>
      </c>
      <c r="R454" s="29">
        <f>IFERROR(VLOOKUP(L454,MgValor,2,0)*VLOOKUP(O454,MgDeg,2,0),0)</f>
        <v/>
      </c>
      <c r="S454" s="29">
        <f>IFERROR(VLOOKUP(M454,MgValor,2,0)*VLOOKUP(P454,MgDeg,2,0),0)</f>
        <v/>
      </c>
      <c r="T454" s="30">
        <f>MAX(Q454:S454)</f>
        <v/>
      </c>
      <c r="U454" s="28">
        <f>IFERROR(LOOKUP(T454,{0;0.5;1.5;3;4.5},{"Despreciable";"Bajo";"Medio";"Alto";"Muy alto"}),"")</f>
        <v/>
      </c>
      <c r="V454" s="13">
        <f>IFERROR(INDEX(MgAmenFrec,MATCH(SUBSTITUTE($H454,"*","-"),MgAmenClave,0)),"")</f>
        <v/>
      </c>
      <c r="W454" s="28">
        <f>IFERROR(LOOKUP(X454,{0;0.01;0.1;1;10;100},{"Muy baja";"Muy baja";"Baja";"Media";"Alta";"Muy alta"}),"")</f>
        <v/>
      </c>
      <c r="X454" s="31">
        <f>IFERROR(VLOOKUP(V454,MgFrec,2,0),0)</f>
        <v/>
      </c>
      <c r="Y454" s="30">
        <f>T454*X454</f>
        <v/>
      </c>
      <c r="Z454" s="28">
        <f>IFERROR(LOOKUP(Y454,{0;0.5;5;25},{"Bajo";"Medio";"Alto";"Crítico"}),"")</f>
        <v/>
      </c>
      <c r="AA454" s="64">
        <f>IF(T454&gt;=3,IF(X454&gt;=1,"Zona 1 — Crítica: impacto alto y ocurre al menos una vez al año","Zona 4 — Catastrófica poco probable: impacto alto pero excepcional"),IF(AND(T454&lt;1.5,X454&lt;1),"Zona 3 — Asumible: impacto bajo y muy poco frecuente","Zona 2 — Atención: riesgo intermedio"))</f>
        <v/>
      </c>
      <c r="AB454" s="64">
        <f>IFERROR(INDEX(MgAmenCtrl,MATCH(SUBSTITUTE($H454,"*","-"),MgAmenClave,0)),"")</f>
        <v/>
      </c>
      <c r="AC454" s="20" t="n"/>
      <c r="AD454" s="31">
        <f>IFERROR($X454*(1-IF($AC454="",$AL454,VLOOKUP($AC454,MgMad,2,0))),"")</f>
        <v/>
      </c>
      <c r="AE454" s="28">
        <f>IFERROR(LOOKUP(AD454,{0;0.01;0.1;1;10;100},{"Muy baja";"Muy baja";"Baja";"Media";"Alta";"Muy alta"}),"")</f>
        <v/>
      </c>
      <c r="AF454" s="30">
        <f>T454*AD454</f>
        <v/>
      </c>
      <c r="AG454" s="28">
        <f>IFERROR(LOOKUP(AF454,{0;0.5;5;25},{"Bajo";"Medio";"Alto";"Crítico"}),"")</f>
        <v/>
      </c>
      <c r="AH454" s="28">
        <f>IF(AG454="","",IF(OR(AG454="Crítico",AG454="Alto"),"Mitigar",IF(AG454="Medio","Mitigar","Aceptar y monitorear")))</f>
        <v/>
      </c>
      <c r="AI454" s="21" t="n"/>
      <c r="AJ454" s="21" t="n"/>
      <c r="AK454" s="20" t="n"/>
      <c r="AL454" s="77">
        <f>IFERROR(INDEX(MgAmenEfic,MATCH(SUBSTITUTE($H454,"*","-"),MgAmenClave,0)),0)</f>
        <v/>
      </c>
    </row>
    <row r="455" hidden="1" ht="75" customHeight="1" s="54">
      <c r="B455" s="59" t="inlineStr">
        <is>
          <t>R-0450</t>
        </is>
      </c>
      <c r="C455" s="59" t="inlineStr">
        <is>
          <t>COM-16</t>
        </is>
      </c>
      <c r="D455" s="64">
        <f>IFERROR(INDEX(MgNombre,MATCH($C455,MgActId,0)),"")</f>
        <v/>
      </c>
      <c r="E455" s="64">
        <f>IFERROR(INDEX(MgProceso,MATCH($C455,MgActId,0)),"")</f>
        <v/>
      </c>
      <c r="F455" s="64">
        <f>IFERROR(INDEX(MgTipo,MATCH($C455,MgActId,0)),"")</f>
        <v/>
      </c>
      <c r="G455" s="64">
        <f>IFERROR(INDEX(MgSubtipo,MATCH($C455,MgActId,0)),"")</f>
        <v/>
      </c>
      <c r="H455" s="59" t="inlineStr">
        <is>
          <t>E.3</t>
        </is>
      </c>
      <c r="I455" s="64">
        <f>IFERROR(INDEX(MgAmenNombre,MATCH(SUBSTITUTE($H455,"*","-"),MgAmenClave,0)),"")</f>
        <v/>
      </c>
      <c r="J455" s="28">
        <f>IFERROR(INDEX(MgAmenGrupo,MATCH(SUBSTITUTE($H455,"*","-"),MgAmenClave,0)),"")</f>
        <v/>
      </c>
      <c r="K455" s="64">
        <f>IFERROR(INDEX('1. Matriz de Activos'!$Q$6:$Q$239,MATCH($C455,MgActId,0)),"")</f>
        <v/>
      </c>
      <c r="L455" s="64">
        <f>IFERROR(INDEX('1. Matriz de Activos'!$R$6:$R$239,MATCH($C455,MgActId,0)),"")</f>
        <v/>
      </c>
      <c r="M455" s="64">
        <f>IFERROR(INDEX('1. Matriz de Activos'!$S$6:$S$239,MATCH($C455,MgActId,0)),"")</f>
        <v/>
      </c>
      <c r="N455" s="28">
        <f>IFERROR(INDEX(MgAmenDegD,MATCH(SUBSTITUTE($H455,"*","-"),MgAmenClave,0)),"No aplica")</f>
        <v/>
      </c>
      <c r="O455" s="28">
        <f>IFERROR(INDEX(MgAmenDegI,MATCH(SUBSTITUTE($H455,"*","-"),MgAmenClave,0)),"No aplica")</f>
        <v/>
      </c>
      <c r="P455" s="28">
        <f>IFERROR(INDEX(MgAmenDegC,MATCH(SUBSTITUTE($H455,"*","-"),MgAmenClave,0)),"No aplica")</f>
        <v/>
      </c>
      <c r="Q455" s="29">
        <f>IFERROR(VLOOKUP(K455,MgValor,2,0)*VLOOKUP(N455,MgDeg,2,0),0)</f>
        <v/>
      </c>
      <c r="R455" s="29">
        <f>IFERROR(VLOOKUP(L455,MgValor,2,0)*VLOOKUP(O455,MgDeg,2,0),0)</f>
        <v/>
      </c>
      <c r="S455" s="29">
        <f>IFERROR(VLOOKUP(M455,MgValor,2,0)*VLOOKUP(P455,MgDeg,2,0),0)</f>
        <v/>
      </c>
      <c r="T455" s="30">
        <f>MAX(Q455:S455)</f>
        <v/>
      </c>
      <c r="U455" s="28">
        <f>IFERROR(LOOKUP(T455,{0;0.5;1.5;3;4.5},{"Despreciable";"Bajo";"Medio";"Alto";"Muy alto"}),"")</f>
        <v/>
      </c>
      <c r="V455" s="13">
        <f>IFERROR(INDEX(MgAmenFrec,MATCH(SUBSTITUTE($H455,"*","-"),MgAmenClave,0)),"")</f>
        <v/>
      </c>
      <c r="W455" s="28">
        <f>IFERROR(LOOKUP(X455,{0;0.01;0.1;1;10;100},{"Muy baja";"Muy baja";"Baja";"Media";"Alta";"Muy alta"}),"")</f>
        <v/>
      </c>
      <c r="X455" s="31">
        <f>IFERROR(VLOOKUP(V455,MgFrec,2,0),0)</f>
        <v/>
      </c>
      <c r="Y455" s="30">
        <f>T455*X455</f>
        <v/>
      </c>
      <c r="Z455" s="28">
        <f>IFERROR(LOOKUP(Y455,{0;0.5;5;25},{"Bajo";"Medio";"Alto";"Crítico"}),"")</f>
        <v/>
      </c>
      <c r="AA455" s="64">
        <f>IF(T455&gt;=3,IF(X455&gt;=1,"Zona 1 — Crítica: impacto alto y ocurre al menos una vez al año","Zona 4 — Catastrófica poco probable: impacto alto pero excepcional"),IF(AND(T455&lt;1.5,X455&lt;1),"Zona 3 — Asumible: impacto bajo y muy poco frecuente","Zona 2 — Atención: riesgo intermedio"))</f>
        <v/>
      </c>
      <c r="AB455" s="64">
        <f>IFERROR(INDEX(MgAmenCtrl,MATCH(SUBSTITUTE($H455,"*","-"),MgAmenClave,0)),"")</f>
        <v/>
      </c>
      <c r="AC455" s="20" t="n"/>
      <c r="AD455" s="31">
        <f>IFERROR($X455*(1-IF($AC455="",$AL455,VLOOKUP($AC455,MgMad,2,0))),"")</f>
        <v/>
      </c>
      <c r="AE455" s="28">
        <f>IFERROR(LOOKUP(AD455,{0;0.01;0.1;1;10;100},{"Muy baja";"Muy baja";"Baja";"Media";"Alta";"Muy alta"}),"")</f>
        <v/>
      </c>
      <c r="AF455" s="30">
        <f>T455*AD455</f>
        <v/>
      </c>
      <c r="AG455" s="28">
        <f>IFERROR(LOOKUP(AF455,{0;0.5;5;25},{"Bajo";"Medio";"Alto";"Crítico"}),"")</f>
        <v/>
      </c>
      <c r="AH455" s="28">
        <f>IF(AG455="","",IF(OR(AG455="Crítico",AG455="Alto"),"Mitigar",IF(AG455="Medio","Mitigar","Aceptar y monitorear")))</f>
        <v/>
      </c>
      <c r="AI455" s="21" t="n"/>
      <c r="AJ455" s="21" t="n"/>
      <c r="AK455" s="20" t="n"/>
      <c r="AL455" s="77">
        <f>IFERROR(INDEX(MgAmenEfic,MATCH(SUBSTITUTE($H455,"*","-"),MgAmenClave,0)),0)</f>
        <v/>
      </c>
    </row>
    <row r="456" hidden="1" ht="75" customHeight="1" s="54">
      <c r="B456" s="59" t="inlineStr">
        <is>
          <t>R-0451</t>
        </is>
      </c>
      <c r="C456" s="59" t="inlineStr">
        <is>
          <t>COM-16</t>
        </is>
      </c>
      <c r="D456" s="64">
        <f>IFERROR(INDEX(MgNombre,MATCH($C456,MgActId,0)),"")</f>
        <v/>
      </c>
      <c r="E456" s="64">
        <f>IFERROR(INDEX(MgProceso,MATCH($C456,MgActId,0)),"")</f>
        <v/>
      </c>
      <c r="F456" s="64">
        <f>IFERROR(INDEX(MgTipo,MATCH($C456,MgActId,0)),"")</f>
        <v/>
      </c>
      <c r="G456" s="64">
        <f>IFERROR(INDEX(MgSubtipo,MATCH($C456,MgActId,0)),"")</f>
        <v/>
      </c>
      <c r="H456" s="59" t="inlineStr">
        <is>
          <t>E.4</t>
        </is>
      </c>
      <c r="I456" s="64">
        <f>IFERROR(INDEX(MgAmenNombre,MATCH(SUBSTITUTE($H456,"*","-"),MgAmenClave,0)),"")</f>
        <v/>
      </c>
      <c r="J456" s="28">
        <f>IFERROR(INDEX(MgAmenGrupo,MATCH(SUBSTITUTE($H456,"*","-"),MgAmenClave,0)),"")</f>
        <v/>
      </c>
      <c r="K456" s="64">
        <f>IFERROR(INDEX('1. Matriz de Activos'!$Q$6:$Q$239,MATCH($C456,MgActId,0)),"")</f>
        <v/>
      </c>
      <c r="L456" s="64">
        <f>IFERROR(INDEX('1. Matriz de Activos'!$R$6:$R$239,MATCH($C456,MgActId,0)),"")</f>
        <v/>
      </c>
      <c r="M456" s="64">
        <f>IFERROR(INDEX('1. Matriz de Activos'!$S$6:$S$239,MATCH($C456,MgActId,0)),"")</f>
        <v/>
      </c>
      <c r="N456" s="28">
        <f>IFERROR(INDEX(MgAmenDegD,MATCH(SUBSTITUTE($H456,"*","-"),MgAmenClave,0)),"No aplica")</f>
        <v/>
      </c>
      <c r="O456" s="28">
        <f>IFERROR(INDEX(MgAmenDegI,MATCH(SUBSTITUTE($H456,"*","-"),MgAmenClave,0)),"No aplica")</f>
        <v/>
      </c>
      <c r="P456" s="28">
        <f>IFERROR(INDEX(MgAmenDegC,MATCH(SUBSTITUTE($H456,"*","-"),MgAmenClave,0)),"No aplica")</f>
        <v/>
      </c>
      <c r="Q456" s="29">
        <f>IFERROR(VLOOKUP(K456,MgValor,2,0)*VLOOKUP(N456,MgDeg,2,0),0)</f>
        <v/>
      </c>
      <c r="R456" s="29">
        <f>IFERROR(VLOOKUP(L456,MgValor,2,0)*VLOOKUP(O456,MgDeg,2,0),0)</f>
        <v/>
      </c>
      <c r="S456" s="29">
        <f>IFERROR(VLOOKUP(M456,MgValor,2,0)*VLOOKUP(P456,MgDeg,2,0),0)</f>
        <v/>
      </c>
      <c r="T456" s="30">
        <f>MAX(Q456:S456)</f>
        <v/>
      </c>
      <c r="U456" s="28">
        <f>IFERROR(LOOKUP(T456,{0;0.5;1.5;3;4.5},{"Despreciable";"Bajo";"Medio";"Alto";"Muy alto"}),"")</f>
        <v/>
      </c>
      <c r="V456" s="13">
        <f>IFERROR(INDEX(MgAmenFrec,MATCH(SUBSTITUTE($H456,"*","-"),MgAmenClave,0)),"")</f>
        <v/>
      </c>
      <c r="W456" s="28">
        <f>IFERROR(LOOKUP(X456,{0;0.01;0.1;1;10;100},{"Muy baja";"Muy baja";"Baja";"Media";"Alta";"Muy alta"}),"")</f>
        <v/>
      </c>
      <c r="X456" s="31">
        <f>IFERROR(VLOOKUP(V456,MgFrec,2,0),0)</f>
        <v/>
      </c>
      <c r="Y456" s="30">
        <f>T456*X456</f>
        <v/>
      </c>
      <c r="Z456" s="28">
        <f>IFERROR(LOOKUP(Y456,{0;0.5;5;25},{"Bajo";"Medio";"Alto";"Crítico"}),"")</f>
        <v/>
      </c>
      <c r="AA456" s="64">
        <f>IF(T456&gt;=3,IF(X456&gt;=1,"Zona 1 — Crítica: impacto alto y ocurre al menos una vez al año","Zona 4 — Catastrófica poco probable: impacto alto pero excepcional"),IF(AND(T456&lt;1.5,X456&lt;1),"Zona 3 — Asumible: impacto bajo y muy poco frecuente","Zona 2 — Atención: riesgo intermedio"))</f>
        <v/>
      </c>
      <c r="AB456" s="64">
        <f>IFERROR(INDEX(MgAmenCtrl,MATCH(SUBSTITUTE($H456,"*","-"),MgAmenClave,0)),"")</f>
        <v/>
      </c>
      <c r="AC456" s="20" t="n"/>
      <c r="AD456" s="31">
        <f>IFERROR($X456*(1-IF($AC456="",$AL456,VLOOKUP($AC456,MgMad,2,0))),"")</f>
        <v/>
      </c>
      <c r="AE456" s="28">
        <f>IFERROR(LOOKUP(AD456,{0;0.01;0.1;1;10;100},{"Muy baja";"Muy baja";"Baja";"Media";"Alta";"Muy alta"}),"")</f>
        <v/>
      </c>
      <c r="AF456" s="30">
        <f>T456*AD456</f>
        <v/>
      </c>
      <c r="AG456" s="28">
        <f>IFERROR(LOOKUP(AF456,{0;0.5;5;25},{"Bajo";"Medio";"Alto";"Crítico"}),"")</f>
        <v/>
      </c>
      <c r="AH456" s="28">
        <f>IF(AG456="","",IF(OR(AG456="Crítico",AG456="Alto"),"Mitigar",IF(AG456="Medio","Mitigar","Aceptar y monitorear")))</f>
        <v/>
      </c>
      <c r="AI456" s="21" t="n"/>
      <c r="AJ456" s="21" t="n"/>
      <c r="AK456" s="20" t="n"/>
      <c r="AL456" s="77">
        <f>IFERROR(INDEX(MgAmenEfic,MATCH(SUBSTITUTE($H456,"*","-"),MgAmenClave,0)),0)</f>
        <v/>
      </c>
    </row>
    <row r="457" hidden="1" ht="90" customHeight="1" s="54">
      <c r="B457" s="59" t="inlineStr">
        <is>
          <t>R-0452</t>
        </is>
      </c>
      <c r="C457" s="59" t="inlineStr">
        <is>
          <t>COM-16</t>
        </is>
      </c>
      <c r="D457" s="64">
        <f>IFERROR(INDEX(MgNombre,MATCH($C457,MgActId,0)),"")</f>
        <v/>
      </c>
      <c r="E457" s="64">
        <f>IFERROR(INDEX(MgProceso,MATCH($C457,MgActId,0)),"")</f>
        <v/>
      </c>
      <c r="F457" s="64">
        <f>IFERROR(INDEX(MgTipo,MATCH($C457,MgActId,0)),"")</f>
        <v/>
      </c>
      <c r="G457" s="64">
        <f>IFERROR(INDEX(MgSubtipo,MATCH($C457,MgActId,0)),"")</f>
        <v/>
      </c>
      <c r="H457" s="59" t="inlineStr">
        <is>
          <t>E.14</t>
        </is>
      </c>
      <c r="I457" s="64">
        <f>IFERROR(INDEX(MgAmenNombre,MATCH(SUBSTITUTE($H457,"*","-"),MgAmenClave,0)),"")</f>
        <v/>
      </c>
      <c r="J457" s="28">
        <f>IFERROR(INDEX(MgAmenGrupo,MATCH(SUBSTITUTE($H457,"*","-"),MgAmenClave,0)),"")</f>
        <v/>
      </c>
      <c r="K457" s="64">
        <f>IFERROR(INDEX('1. Matriz de Activos'!$Q$6:$Q$239,MATCH($C457,MgActId,0)),"")</f>
        <v/>
      </c>
      <c r="L457" s="64">
        <f>IFERROR(INDEX('1. Matriz de Activos'!$R$6:$R$239,MATCH($C457,MgActId,0)),"")</f>
        <v/>
      </c>
      <c r="M457" s="64">
        <f>IFERROR(INDEX('1. Matriz de Activos'!$S$6:$S$239,MATCH($C457,MgActId,0)),"")</f>
        <v/>
      </c>
      <c r="N457" s="28">
        <f>IFERROR(INDEX(MgAmenDegD,MATCH(SUBSTITUTE($H457,"*","-"),MgAmenClave,0)),"No aplica")</f>
        <v/>
      </c>
      <c r="O457" s="28">
        <f>IFERROR(INDEX(MgAmenDegI,MATCH(SUBSTITUTE($H457,"*","-"),MgAmenClave,0)),"No aplica")</f>
        <v/>
      </c>
      <c r="P457" s="28">
        <f>IFERROR(INDEX(MgAmenDegC,MATCH(SUBSTITUTE($H457,"*","-"),MgAmenClave,0)),"No aplica")</f>
        <v/>
      </c>
      <c r="Q457" s="29">
        <f>IFERROR(VLOOKUP(K457,MgValor,2,0)*VLOOKUP(N457,MgDeg,2,0),0)</f>
        <v/>
      </c>
      <c r="R457" s="29">
        <f>IFERROR(VLOOKUP(L457,MgValor,2,0)*VLOOKUP(O457,MgDeg,2,0),0)</f>
        <v/>
      </c>
      <c r="S457" s="29">
        <f>IFERROR(VLOOKUP(M457,MgValor,2,0)*VLOOKUP(P457,MgDeg,2,0),0)</f>
        <v/>
      </c>
      <c r="T457" s="30">
        <f>MAX(Q457:S457)</f>
        <v/>
      </c>
      <c r="U457" s="28">
        <f>IFERROR(LOOKUP(T457,{0;0.5;1.5;3;4.5},{"Despreciable";"Bajo";"Medio";"Alto";"Muy alto"}),"")</f>
        <v/>
      </c>
      <c r="V457" s="13">
        <f>IFERROR(INDEX(MgAmenFrec,MATCH(SUBSTITUTE($H457,"*","-"),MgAmenClave,0)),"")</f>
        <v/>
      </c>
      <c r="W457" s="28">
        <f>IFERROR(LOOKUP(X457,{0;0.01;0.1;1;10;100},{"Muy baja";"Muy baja";"Baja";"Media";"Alta";"Muy alta"}),"")</f>
        <v/>
      </c>
      <c r="X457" s="31">
        <f>IFERROR(VLOOKUP(V457,MgFrec,2,0),0)</f>
        <v/>
      </c>
      <c r="Y457" s="30">
        <f>T457*X457</f>
        <v/>
      </c>
      <c r="Z457" s="28">
        <f>IFERROR(LOOKUP(Y457,{0;0.5;5;25},{"Bajo";"Medio";"Alto";"Crítico"}),"")</f>
        <v/>
      </c>
      <c r="AA457" s="64">
        <f>IF(T457&gt;=3,IF(X457&gt;=1,"Zona 1 — Crítica: impacto alto y ocurre al menos una vez al año","Zona 4 — Catastrófica poco probable: impacto alto pero excepcional"),IF(AND(T457&lt;1.5,X457&lt;1),"Zona 3 — Asumible: impacto bajo y muy poco frecuente","Zona 2 — Atención: riesgo intermedio"))</f>
        <v/>
      </c>
      <c r="AB457" s="64">
        <f>IFERROR(INDEX(MgAmenCtrl,MATCH(SUBSTITUTE($H457,"*","-"),MgAmenClave,0)),"")</f>
        <v/>
      </c>
      <c r="AC457" s="20" t="n"/>
      <c r="AD457" s="31">
        <f>IFERROR($X457*(1-IF($AC457="",$AL457,VLOOKUP($AC457,MgMad,2,0))),"")</f>
        <v/>
      </c>
      <c r="AE457" s="28">
        <f>IFERROR(LOOKUP(AD457,{0;0.01;0.1;1;10;100},{"Muy baja";"Muy baja";"Baja";"Media";"Alta";"Muy alta"}),"")</f>
        <v/>
      </c>
      <c r="AF457" s="30">
        <f>T457*AD457</f>
        <v/>
      </c>
      <c r="AG457" s="28">
        <f>IFERROR(LOOKUP(AF457,{0;0.5;5;25},{"Bajo";"Medio";"Alto";"Crítico"}),"")</f>
        <v/>
      </c>
      <c r="AH457" s="28">
        <f>IF(AG457="","",IF(OR(AG457="Crítico",AG457="Alto"),"Mitigar",IF(AG457="Medio","Mitigar","Aceptar y monitorear")))</f>
        <v/>
      </c>
      <c r="AI457" s="21" t="n"/>
      <c r="AJ457" s="21" t="n"/>
      <c r="AK457" s="20" t="n"/>
      <c r="AL457" s="77">
        <f>IFERROR(INDEX(MgAmenEfic,MATCH(SUBSTITUTE($H457,"*","-"),MgAmenClave,0)),0)</f>
        <v/>
      </c>
    </row>
    <row r="458" hidden="1" ht="90" customHeight="1" s="54">
      <c r="B458" s="59" t="inlineStr">
        <is>
          <t>R-0453</t>
        </is>
      </c>
      <c r="C458" s="59" t="inlineStr">
        <is>
          <t>COM-16</t>
        </is>
      </c>
      <c r="D458" s="64">
        <f>IFERROR(INDEX(MgNombre,MATCH($C458,MgActId,0)),"")</f>
        <v/>
      </c>
      <c r="E458" s="64">
        <f>IFERROR(INDEX(MgProceso,MATCH($C458,MgActId,0)),"")</f>
        <v/>
      </c>
      <c r="F458" s="64">
        <f>IFERROR(INDEX(MgTipo,MATCH($C458,MgActId,0)),"")</f>
        <v/>
      </c>
      <c r="G458" s="64">
        <f>IFERROR(INDEX(MgSubtipo,MATCH($C458,MgActId,0)),"")</f>
        <v/>
      </c>
      <c r="H458" s="59" t="inlineStr">
        <is>
          <t>E.15</t>
        </is>
      </c>
      <c r="I458" s="64">
        <f>IFERROR(INDEX(MgAmenNombre,MATCH(SUBSTITUTE($H458,"*","-"),MgAmenClave,0)),"")</f>
        <v/>
      </c>
      <c r="J458" s="28">
        <f>IFERROR(INDEX(MgAmenGrupo,MATCH(SUBSTITUTE($H458,"*","-"),MgAmenClave,0)),"")</f>
        <v/>
      </c>
      <c r="K458" s="64">
        <f>IFERROR(INDEX('1. Matriz de Activos'!$Q$6:$Q$239,MATCH($C458,MgActId,0)),"")</f>
        <v/>
      </c>
      <c r="L458" s="64">
        <f>IFERROR(INDEX('1. Matriz de Activos'!$R$6:$R$239,MATCH($C458,MgActId,0)),"")</f>
        <v/>
      </c>
      <c r="M458" s="64">
        <f>IFERROR(INDEX('1. Matriz de Activos'!$S$6:$S$239,MATCH($C458,MgActId,0)),"")</f>
        <v/>
      </c>
      <c r="N458" s="28">
        <f>IFERROR(INDEX(MgAmenDegD,MATCH(SUBSTITUTE($H458,"*","-"),MgAmenClave,0)),"No aplica")</f>
        <v/>
      </c>
      <c r="O458" s="28">
        <f>IFERROR(INDEX(MgAmenDegI,MATCH(SUBSTITUTE($H458,"*","-"),MgAmenClave,0)),"No aplica")</f>
        <v/>
      </c>
      <c r="P458" s="28">
        <f>IFERROR(INDEX(MgAmenDegC,MATCH(SUBSTITUTE($H458,"*","-"),MgAmenClave,0)),"No aplica")</f>
        <v/>
      </c>
      <c r="Q458" s="29">
        <f>IFERROR(VLOOKUP(K458,MgValor,2,0)*VLOOKUP(N458,MgDeg,2,0),0)</f>
        <v/>
      </c>
      <c r="R458" s="29">
        <f>IFERROR(VLOOKUP(L458,MgValor,2,0)*VLOOKUP(O458,MgDeg,2,0),0)</f>
        <v/>
      </c>
      <c r="S458" s="29">
        <f>IFERROR(VLOOKUP(M458,MgValor,2,0)*VLOOKUP(P458,MgDeg,2,0),0)</f>
        <v/>
      </c>
      <c r="T458" s="30">
        <f>MAX(Q458:S458)</f>
        <v/>
      </c>
      <c r="U458" s="28">
        <f>IFERROR(LOOKUP(T458,{0;0.5;1.5;3;4.5},{"Despreciable";"Bajo";"Medio";"Alto";"Muy alto"}),"")</f>
        <v/>
      </c>
      <c r="V458" s="13">
        <f>IFERROR(INDEX(MgAmenFrec,MATCH(SUBSTITUTE($H458,"*","-"),MgAmenClave,0)),"")</f>
        <v/>
      </c>
      <c r="W458" s="28">
        <f>IFERROR(LOOKUP(X458,{0;0.01;0.1;1;10;100},{"Muy baja";"Muy baja";"Baja";"Media";"Alta";"Muy alta"}),"")</f>
        <v/>
      </c>
      <c r="X458" s="31">
        <f>IFERROR(VLOOKUP(V458,MgFrec,2,0),0)</f>
        <v/>
      </c>
      <c r="Y458" s="30">
        <f>T458*X458</f>
        <v/>
      </c>
      <c r="Z458" s="28">
        <f>IFERROR(LOOKUP(Y458,{0;0.5;5;25},{"Bajo";"Medio";"Alto";"Crítico"}),"")</f>
        <v/>
      </c>
      <c r="AA458" s="64">
        <f>IF(T458&gt;=3,IF(X458&gt;=1,"Zona 1 — Crítica: impacto alto y ocurre al menos una vez al año","Zona 4 — Catastrófica poco probable: impacto alto pero excepcional"),IF(AND(T458&lt;1.5,X458&lt;1),"Zona 3 — Asumible: impacto bajo y muy poco frecuente","Zona 2 — Atención: riesgo intermedio"))</f>
        <v/>
      </c>
      <c r="AB458" s="64">
        <f>IFERROR(INDEX(MgAmenCtrl,MATCH(SUBSTITUTE($H458,"*","-"),MgAmenClave,0)),"")</f>
        <v/>
      </c>
      <c r="AC458" s="20" t="n"/>
      <c r="AD458" s="31">
        <f>IFERROR($X458*(1-IF($AC458="",$AL458,VLOOKUP($AC458,MgMad,2,0))),"")</f>
        <v/>
      </c>
      <c r="AE458" s="28">
        <f>IFERROR(LOOKUP(AD458,{0;0.01;0.1;1;10;100},{"Muy baja";"Muy baja";"Baja";"Media";"Alta";"Muy alta"}),"")</f>
        <v/>
      </c>
      <c r="AF458" s="30">
        <f>T458*AD458</f>
        <v/>
      </c>
      <c r="AG458" s="28">
        <f>IFERROR(LOOKUP(AF458,{0;0.5;5;25},{"Bajo";"Medio";"Alto";"Crítico"}),"")</f>
        <v/>
      </c>
      <c r="AH458" s="28">
        <f>IF(AG458="","",IF(OR(AG458="Crítico",AG458="Alto"),"Mitigar",IF(AG458="Medio","Mitigar","Aceptar y monitorear")))</f>
        <v/>
      </c>
      <c r="AI458" s="21" t="n"/>
      <c r="AJ458" s="21" t="n"/>
      <c r="AK458" s="20" t="n"/>
      <c r="AL458" s="77">
        <f>IFERROR(INDEX(MgAmenEfic,MATCH(SUBSTITUTE($H458,"*","-"),MgAmenClave,0)),0)</f>
        <v/>
      </c>
    </row>
    <row r="459" hidden="1" ht="60" customHeight="1" s="54">
      <c r="B459" s="59" t="inlineStr">
        <is>
          <t>R-0454</t>
        </is>
      </c>
      <c r="C459" s="59" t="inlineStr">
        <is>
          <t>COM-16</t>
        </is>
      </c>
      <c r="D459" s="64">
        <f>IFERROR(INDEX(MgNombre,MATCH($C459,MgActId,0)),"")</f>
        <v/>
      </c>
      <c r="E459" s="64">
        <f>IFERROR(INDEX(MgProceso,MATCH($C459,MgActId,0)),"")</f>
        <v/>
      </c>
      <c r="F459" s="64">
        <f>IFERROR(INDEX(MgTipo,MATCH($C459,MgActId,0)),"")</f>
        <v/>
      </c>
      <c r="G459" s="64">
        <f>IFERROR(INDEX(MgSubtipo,MATCH($C459,MgActId,0)),"")</f>
        <v/>
      </c>
      <c r="H459" s="59" t="inlineStr">
        <is>
          <t>E.18</t>
        </is>
      </c>
      <c r="I459" s="64">
        <f>IFERROR(INDEX(MgAmenNombre,MATCH(SUBSTITUTE($H459,"*","-"),MgAmenClave,0)),"")</f>
        <v/>
      </c>
      <c r="J459" s="28">
        <f>IFERROR(INDEX(MgAmenGrupo,MATCH(SUBSTITUTE($H459,"*","-"),MgAmenClave,0)),"")</f>
        <v/>
      </c>
      <c r="K459" s="64">
        <f>IFERROR(INDEX('1. Matriz de Activos'!$Q$6:$Q$239,MATCH($C459,MgActId,0)),"")</f>
        <v/>
      </c>
      <c r="L459" s="64">
        <f>IFERROR(INDEX('1. Matriz de Activos'!$R$6:$R$239,MATCH($C459,MgActId,0)),"")</f>
        <v/>
      </c>
      <c r="M459" s="64">
        <f>IFERROR(INDEX('1. Matriz de Activos'!$S$6:$S$239,MATCH($C459,MgActId,0)),"")</f>
        <v/>
      </c>
      <c r="N459" s="28">
        <f>IFERROR(INDEX(MgAmenDegD,MATCH(SUBSTITUTE($H459,"*","-"),MgAmenClave,0)),"No aplica")</f>
        <v/>
      </c>
      <c r="O459" s="28">
        <f>IFERROR(INDEX(MgAmenDegI,MATCH(SUBSTITUTE($H459,"*","-"),MgAmenClave,0)),"No aplica")</f>
        <v/>
      </c>
      <c r="P459" s="28">
        <f>IFERROR(INDEX(MgAmenDegC,MATCH(SUBSTITUTE($H459,"*","-"),MgAmenClave,0)),"No aplica")</f>
        <v/>
      </c>
      <c r="Q459" s="29">
        <f>IFERROR(VLOOKUP(K459,MgValor,2,0)*VLOOKUP(N459,MgDeg,2,0),0)</f>
        <v/>
      </c>
      <c r="R459" s="29">
        <f>IFERROR(VLOOKUP(L459,MgValor,2,0)*VLOOKUP(O459,MgDeg,2,0),0)</f>
        <v/>
      </c>
      <c r="S459" s="29">
        <f>IFERROR(VLOOKUP(M459,MgValor,2,0)*VLOOKUP(P459,MgDeg,2,0),0)</f>
        <v/>
      </c>
      <c r="T459" s="30">
        <f>MAX(Q459:S459)</f>
        <v/>
      </c>
      <c r="U459" s="28">
        <f>IFERROR(LOOKUP(T459,{0;0.5;1.5;3;4.5},{"Despreciable";"Bajo";"Medio";"Alto";"Muy alto"}),"")</f>
        <v/>
      </c>
      <c r="V459" s="13">
        <f>IFERROR(INDEX(MgAmenFrec,MATCH(SUBSTITUTE($H459,"*","-"),MgAmenClave,0)),"")</f>
        <v/>
      </c>
      <c r="W459" s="28">
        <f>IFERROR(LOOKUP(X459,{0;0.01;0.1;1;10;100},{"Muy baja";"Muy baja";"Baja";"Media";"Alta";"Muy alta"}),"")</f>
        <v/>
      </c>
      <c r="X459" s="31">
        <f>IFERROR(VLOOKUP(V459,MgFrec,2,0),0)</f>
        <v/>
      </c>
      <c r="Y459" s="30">
        <f>T459*X459</f>
        <v/>
      </c>
      <c r="Z459" s="28">
        <f>IFERROR(LOOKUP(Y459,{0;0.5;5;25},{"Bajo";"Medio";"Alto";"Crítico"}),"")</f>
        <v/>
      </c>
      <c r="AA459" s="64">
        <f>IF(T459&gt;=3,IF(X459&gt;=1,"Zona 1 — Crítica: impacto alto y ocurre al menos una vez al año","Zona 4 — Catastrófica poco probable: impacto alto pero excepcional"),IF(AND(T459&lt;1.5,X459&lt;1),"Zona 3 — Asumible: impacto bajo y muy poco frecuente","Zona 2 — Atención: riesgo intermedio"))</f>
        <v/>
      </c>
      <c r="AB459" s="64">
        <f>IFERROR(INDEX(MgAmenCtrl,MATCH(SUBSTITUTE($H459,"*","-"),MgAmenClave,0)),"")</f>
        <v/>
      </c>
      <c r="AC459" s="20" t="n"/>
      <c r="AD459" s="31">
        <f>IFERROR($X459*(1-IF($AC459="",$AL459,VLOOKUP($AC459,MgMad,2,0))),"")</f>
        <v/>
      </c>
      <c r="AE459" s="28">
        <f>IFERROR(LOOKUP(AD459,{0;0.01;0.1;1;10;100},{"Muy baja";"Muy baja";"Baja";"Media";"Alta";"Muy alta"}),"")</f>
        <v/>
      </c>
      <c r="AF459" s="30">
        <f>T459*AD459</f>
        <v/>
      </c>
      <c r="AG459" s="28">
        <f>IFERROR(LOOKUP(AF459,{0;0.5;5;25},{"Bajo";"Medio";"Alto";"Crítico"}),"")</f>
        <v/>
      </c>
      <c r="AH459" s="28">
        <f>IF(AG459="","",IF(OR(AG459="Crítico",AG459="Alto"),"Mitigar",IF(AG459="Medio","Mitigar","Aceptar y monitorear")))</f>
        <v/>
      </c>
      <c r="AI459" s="21" t="n"/>
      <c r="AJ459" s="21" t="n"/>
      <c r="AK459" s="20" t="n"/>
      <c r="AL459" s="77">
        <f>IFERROR(INDEX(MgAmenEfic,MATCH(SUBSTITUTE($H459,"*","-"),MgAmenClave,0)),0)</f>
        <v/>
      </c>
    </row>
    <row r="460" hidden="1" ht="105" customHeight="1" s="54">
      <c r="B460" s="59" t="inlineStr">
        <is>
          <t>R-0455</t>
        </is>
      </c>
      <c r="C460" s="59" t="inlineStr">
        <is>
          <t>COM-16</t>
        </is>
      </c>
      <c r="D460" s="64">
        <f>IFERROR(INDEX(MgNombre,MATCH($C460,MgActId,0)),"")</f>
        <v/>
      </c>
      <c r="E460" s="64">
        <f>IFERROR(INDEX(MgProceso,MATCH($C460,MgActId,0)),"")</f>
        <v/>
      </c>
      <c r="F460" s="64">
        <f>IFERROR(INDEX(MgTipo,MATCH($C460,MgActId,0)),"")</f>
        <v/>
      </c>
      <c r="G460" s="64">
        <f>IFERROR(INDEX(MgSubtipo,MATCH($C460,MgActId,0)),"")</f>
        <v/>
      </c>
      <c r="H460" s="59" t="inlineStr">
        <is>
          <t>E.19</t>
        </is>
      </c>
      <c r="I460" s="64">
        <f>IFERROR(INDEX(MgAmenNombre,MATCH(SUBSTITUTE($H460,"*","-"),MgAmenClave,0)),"")</f>
        <v/>
      </c>
      <c r="J460" s="28">
        <f>IFERROR(INDEX(MgAmenGrupo,MATCH(SUBSTITUTE($H460,"*","-"),MgAmenClave,0)),"")</f>
        <v/>
      </c>
      <c r="K460" s="64">
        <f>IFERROR(INDEX('1. Matriz de Activos'!$Q$6:$Q$239,MATCH($C460,MgActId,0)),"")</f>
        <v/>
      </c>
      <c r="L460" s="64">
        <f>IFERROR(INDEX('1. Matriz de Activos'!$R$6:$R$239,MATCH($C460,MgActId,0)),"")</f>
        <v/>
      </c>
      <c r="M460" s="64">
        <f>IFERROR(INDEX('1. Matriz de Activos'!$S$6:$S$239,MATCH($C460,MgActId,0)),"")</f>
        <v/>
      </c>
      <c r="N460" s="28">
        <f>IFERROR(INDEX(MgAmenDegD,MATCH(SUBSTITUTE($H460,"*","-"),MgAmenClave,0)),"No aplica")</f>
        <v/>
      </c>
      <c r="O460" s="28">
        <f>IFERROR(INDEX(MgAmenDegI,MATCH(SUBSTITUTE($H460,"*","-"),MgAmenClave,0)),"No aplica")</f>
        <v/>
      </c>
      <c r="P460" s="28">
        <f>IFERROR(INDEX(MgAmenDegC,MATCH(SUBSTITUTE($H460,"*","-"),MgAmenClave,0)),"No aplica")</f>
        <v/>
      </c>
      <c r="Q460" s="29">
        <f>IFERROR(VLOOKUP(K460,MgValor,2,0)*VLOOKUP(N460,MgDeg,2,0),0)</f>
        <v/>
      </c>
      <c r="R460" s="29">
        <f>IFERROR(VLOOKUP(L460,MgValor,2,0)*VLOOKUP(O460,MgDeg,2,0),0)</f>
        <v/>
      </c>
      <c r="S460" s="29">
        <f>IFERROR(VLOOKUP(M460,MgValor,2,0)*VLOOKUP(P460,MgDeg,2,0),0)</f>
        <v/>
      </c>
      <c r="T460" s="30">
        <f>MAX(Q460:S460)</f>
        <v/>
      </c>
      <c r="U460" s="28">
        <f>IFERROR(LOOKUP(T460,{0;0.5;1.5;3;4.5},{"Despreciable";"Bajo";"Medio";"Alto";"Muy alto"}),"")</f>
        <v/>
      </c>
      <c r="V460" s="13">
        <f>IFERROR(INDEX(MgAmenFrec,MATCH(SUBSTITUTE($H460,"*","-"),MgAmenClave,0)),"")</f>
        <v/>
      </c>
      <c r="W460" s="28">
        <f>IFERROR(LOOKUP(X460,{0;0.01;0.1;1;10;100},{"Muy baja";"Muy baja";"Baja";"Media";"Alta";"Muy alta"}),"")</f>
        <v/>
      </c>
      <c r="X460" s="31">
        <f>IFERROR(VLOOKUP(V460,MgFrec,2,0),0)</f>
        <v/>
      </c>
      <c r="Y460" s="30">
        <f>T460*X460</f>
        <v/>
      </c>
      <c r="Z460" s="28">
        <f>IFERROR(LOOKUP(Y460,{0;0.5;5;25},{"Bajo";"Medio";"Alto";"Crítico"}),"")</f>
        <v/>
      </c>
      <c r="AA460" s="64">
        <f>IF(T460&gt;=3,IF(X460&gt;=1,"Zona 1 — Crítica: impacto alto y ocurre al menos una vez al año","Zona 4 — Catastrófica poco probable: impacto alto pero excepcional"),IF(AND(T460&lt;1.5,X460&lt;1),"Zona 3 — Asumible: impacto bajo y muy poco frecuente","Zona 2 — Atención: riesgo intermedio"))</f>
        <v/>
      </c>
      <c r="AB460" s="64">
        <f>IFERROR(INDEX(MgAmenCtrl,MATCH(SUBSTITUTE($H460,"*","-"),MgAmenClave,0)),"")</f>
        <v/>
      </c>
      <c r="AC460" s="20" t="n"/>
      <c r="AD460" s="31">
        <f>IFERROR($X460*(1-IF($AC460="",$AL460,VLOOKUP($AC460,MgMad,2,0))),"")</f>
        <v/>
      </c>
      <c r="AE460" s="28">
        <f>IFERROR(LOOKUP(AD460,{0;0.01;0.1;1;10;100},{"Muy baja";"Muy baja";"Baja";"Media";"Alta";"Muy alta"}),"")</f>
        <v/>
      </c>
      <c r="AF460" s="30">
        <f>T460*AD460</f>
        <v/>
      </c>
      <c r="AG460" s="28">
        <f>IFERROR(LOOKUP(AF460,{0;0.5;5;25},{"Bajo";"Medio";"Alto";"Crítico"}),"")</f>
        <v/>
      </c>
      <c r="AH460" s="28">
        <f>IF(AG460="","",IF(OR(AG460="Crítico",AG460="Alto"),"Mitigar",IF(AG460="Medio","Mitigar","Aceptar y monitorear")))</f>
        <v/>
      </c>
      <c r="AI460" s="21" t="n"/>
      <c r="AJ460" s="21" t="n"/>
      <c r="AK460" s="20" t="n"/>
      <c r="AL460" s="77">
        <f>IFERROR(INDEX(MgAmenEfic,MATCH(SUBSTITUTE($H460,"*","-"),MgAmenClave,0)),0)</f>
        <v/>
      </c>
    </row>
    <row r="461" hidden="1" ht="60" customHeight="1" s="54">
      <c r="B461" s="59" t="inlineStr">
        <is>
          <t>R-0456</t>
        </is>
      </c>
      <c r="C461" s="59" t="inlineStr">
        <is>
          <t>COM-16</t>
        </is>
      </c>
      <c r="D461" s="64">
        <f>IFERROR(INDEX(MgNombre,MATCH($C461,MgActId,0)),"")</f>
        <v/>
      </c>
      <c r="E461" s="64">
        <f>IFERROR(INDEX(MgProceso,MATCH($C461,MgActId,0)),"")</f>
        <v/>
      </c>
      <c r="F461" s="64">
        <f>IFERROR(INDEX(MgTipo,MATCH($C461,MgActId,0)),"")</f>
        <v/>
      </c>
      <c r="G461" s="64">
        <f>IFERROR(INDEX(MgSubtipo,MATCH($C461,MgActId,0)),"")</f>
        <v/>
      </c>
      <c r="H461" s="59" t="inlineStr">
        <is>
          <t>A.3</t>
        </is>
      </c>
      <c r="I461" s="64">
        <f>IFERROR(INDEX(MgAmenNombre,MATCH(SUBSTITUTE($H461,"*","-"),MgAmenClave,0)),"")</f>
        <v/>
      </c>
      <c r="J461" s="28">
        <f>IFERROR(INDEX(MgAmenGrupo,MATCH(SUBSTITUTE($H461,"*","-"),MgAmenClave,0)),"")</f>
        <v/>
      </c>
      <c r="K461" s="64">
        <f>IFERROR(INDEX('1. Matriz de Activos'!$Q$6:$Q$239,MATCH($C461,MgActId,0)),"")</f>
        <v/>
      </c>
      <c r="L461" s="64">
        <f>IFERROR(INDEX('1. Matriz de Activos'!$R$6:$R$239,MATCH($C461,MgActId,0)),"")</f>
        <v/>
      </c>
      <c r="M461" s="64">
        <f>IFERROR(INDEX('1. Matriz de Activos'!$S$6:$S$239,MATCH($C461,MgActId,0)),"")</f>
        <v/>
      </c>
      <c r="N461" s="28">
        <f>IFERROR(INDEX(MgAmenDegD,MATCH(SUBSTITUTE($H461,"*","-"),MgAmenClave,0)),"No aplica")</f>
        <v/>
      </c>
      <c r="O461" s="28">
        <f>IFERROR(INDEX(MgAmenDegI,MATCH(SUBSTITUTE($H461,"*","-"),MgAmenClave,0)),"No aplica")</f>
        <v/>
      </c>
      <c r="P461" s="28">
        <f>IFERROR(INDEX(MgAmenDegC,MATCH(SUBSTITUTE($H461,"*","-"),MgAmenClave,0)),"No aplica")</f>
        <v/>
      </c>
      <c r="Q461" s="29">
        <f>IFERROR(VLOOKUP(K461,MgValor,2,0)*VLOOKUP(N461,MgDeg,2,0),0)</f>
        <v/>
      </c>
      <c r="R461" s="29">
        <f>IFERROR(VLOOKUP(L461,MgValor,2,0)*VLOOKUP(O461,MgDeg,2,0),0)</f>
        <v/>
      </c>
      <c r="S461" s="29">
        <f>IFERROR(VLOOKUP(M461,MgValor,2,0)*VLOOKUP(P461,MgDeg,2,0),0)</f>
        <v/>
      </c>
      <c r="T461" s="30">
        <f>MAX(Q461:S461)</f>
        <v/>
      </c>
      <c r="U461" s="28">
        <f>IFERROR(LOOKUP(T461,{0;0.5;1.5;3;4.5},{"Despreciable";"Bajo";"Medio";"Alto";"Muy alto"}),"")</f>
        <v/>
      </c>
      <c r="V461" s="13">
        <f>IFERROR(INDEX(MgAmenFrec,MATCH(SUBSTITUTE($H461,"*","-"),MgAmenClave,0)),"")</f>
        <v/>
      </c>
      <c r="W461" s="28">
        <f>IFERROR(LOOKUP(X461,{0;0.01;0.1;1;10;100},{"Muy baja";"Muy baja";"Baja";"Media";"Alta";"Muy alta"}),"")</f>
        <v/>
      </c>
      <c r="X461" s="31">
        <f>IFERROR(VLOOKUP(V461,MgFrec,2,0),0)</f>
        <v/>
      </c>
      <c r="Y461" s="30">
        <f>T461*X461</f>
        <v/>
      </c>
      <c r="Z461" s="28">
        <f>IFERROR(LOOKUP(Y461,{0;0.5;5;25},{"Bajo";"Medio";"Alto";"Crítico"}),"")</f>
        <v/>
      </c>
      <c r="AA461" s="64">
        <f>IF(T461&gt;=3,IF(X461&gt;=1,"Zona 1 — Crítica: impacto alto y ocurre al menos una vez al año","Zona 4 — Catastrófica poco probable: impacto alto pero excepcional"),IF(AND(T461&lt;1.5,X461&lt;1),"Zona 3 — Asumible: impacto bajo y muy poco frecuente","Zona 2 — Atención: riesgo intermedio"))</f>
        <v/>
      </c>
      <c r="AB461" s="64">
        <f>IFERROR(INDEX(MgAmenCtrl,MATCH(SUBSTITUTE($H461,"*","-"),MgAmenClave,0)),"")</f>
        <v/>
      </c>
      <c r="AC461" s="20" t="n"/>
      <c r="AD461" s="31">
        <f>IFERROR($X461*(1-IF($AC461="",$AL461,VLOOKUP($AC461,MgMad,2,0))),"")</f>
        <v/>
      </c>
      <c r="AE461" s="28">
        <f>IFERROR(LOOKUP(AD461,{0;0.01;0.1;1;10;100},{"Muy baja";"Muy baja";"Baja";"Media";"Alta";"Muy alta"}),"")</f>
        <v/>
      </c>
      <c r="AF461" s="30">
        <f>T461*AD461</f>
        <v/>
      </c>
      <c r="AG461" s="28">
        <f>IFERROR(LOOKUP(AF461,{0;0.5;5;25},{"Bajo";"Medio";"Alto";"Crítico"}),"")</f>
        <v/>
      </c>
      <c r="AH461" s="28">
        <f>IF(AG461="","",IF(OR(AG461="Crítico",AG461="Alto"),"Mitigar",IF(AG461="Medio","Mitigar","Aceptar y monitorear")))</f>
        <v/>
      </c>
      <c r="AI461" s="21" t="n"/>
      <c r="AJ461" s="21" t="n"/>
      <c r="AK461" s="20" t="n"/>
      <c r="AL461" s="77">
        <f>IFERROR(INDEX(MgAmenEfic,MATCH(SUBSTITUTE($H461,"*","-"),MgAmenClave,0)),0)</f>
        <v/>
      </c>
    </row>
    <row r="462" hidden="1" ht="60" customHeight="1" s="54">
      <c r="B462" s="59" t="inlineStr">
        <is>
          <t>R-0457</t>
        </is>
      </c>
      <c r="C462" s="59" t="inlineStr">
        <is>
          <t>COM-16</t>
        </is>
      </c>
      <c r="D462" s="64">
        <f>IFERROR(INDEX(MgNombre,MATCH($C462,MgActId,0)),"")</f>
        <v/>
      </c>
      <c r="E462" s="64">
        <f>IFERROR(INDEX(MgProceso,MATCH($C462,MgActId,0)),"")</f>
        <v/>
      </c>
      <c r="F462" s="64">
        <f>IFERROR(INDEX(MgTipo,MATCH($C462,MgActId,0)),"")</f>
        <v/>
      </c>
      <c r="G462" s="64">
        <f>IFERROR(INDEX(MgSubtipo,MATCH($C462,MgActId,0)),"")</f>
        <v/>
      </c>
      <c r="H462" s="59" t="inlineStr">
        <is>
          <t>A.4</t>
        </is>
      </c>
      <c r="I462" s="64">
        <f>IFERROR(INDEX(MgAmenNombre,MATCH(SUBSTITUTE($H462,"*","-"),MgAmenClave,0)),"")</f>
        <v/>
      </c>
      <c r="J462" s="28">
        <f>IFERROR(INDEX(MgAmenGrupo,MATCH(SUBSTITUTE($H462,"*","-"),MgAmenClave,0)),"")</f>
        <v/>
      </c>
      <c r="K462" s="64">
        <f>IFERROR(INDEX('1. Matriz de Activos'!$Q$6:$Q$239,MATCH($C462,MgActId,0)),"")</f>
        <v/>
      </c>
      <c r="L462" s="64">
        <f>IFERROR(INDEX('1. Matriz de Activos'!$R$6:$R$239,MATCH($C462,MgActId,0)),"")</f>
        <v/>
      </c>
      <c r="M462" s="64">
        <f>IFERROR(INDEX('1. Matriz de Activos'!$S$6:$S$239,MATCH($C462,MgActId,0)),"")</f>
        <v/>
      </c>
      <c r="N462" s="28">
        <f>IFERROR(INDEX(MgAmenDegD,MATCH(SUBSTITUTE($H462,"*","-"),MgAmenClave,0)),"No aplica")</f>
        <v/>
      </c>
      <c r="O462" s="28">
        <f>IFERROR(INDEX(MgAmenDegI,MATCH(SUBSTITUTE($H462,"*","-"),MgAmenClave,0)),"No aplica")</f>
        <v/>
      </c>
      <c r="P462" s="28">
        <f>IFERROR(INDEX(MgAmenDegC,MATCH(SUBSTITUTE($H462,"*","-"),MgAmenClave,0)),"No aplica")</f>
        <v/>
      </c>
      <c r="Q462" s="29">
        <f>IFERROR(VLOOKUP(K462,MgValor,2,0)*VLOOKUP(N462,MgDeg,2,0),0)</f>
        <v/>
      </c>
      <c r="R462" s="29">
        <f>IFERROR(VLOOKUP(L462,MgValor,2,0)*VLOOKUP(O462,MgDeg,2,0),0)</f>
        <v/>
      </c>
      <c r="S462" s="29">
        <f>IFERROR(VLOOKUP(M462,MgValor,2,0)*VLOOKUP(P462,MgDeg,2,0),0)</f>
        <v/>
      </c>
      <c r="T462" s="30">
        <f>MAX(Q462:S462)</f>
        <v/>
      </c>
      <c r="U462" s="28">
        <f>IFERROR(LOOKUP(T462,{0;0.5;1.5;3;4.5},{"Despreciable";"Bajo";"Medio";"Alto";"Muy alto"}),"")</f>
        <v/>
      </c>
      <c r="V462" s="13">
        <f>IFERROR(INDEX(MgAmenFrec,MATCH(SUBSTITUTE($H462,"*","-"),MgAmenClave,0)),"")</f>
        <v/>
      </c>
      <c r="W462" s="28">
        <f>IFERROR(LOOKUP(X462,{0;0.01;0.1;1;10;100},{"Muy baja";"Muy baja";"Baja";"Media";"Alta";"Muy alta"}),"")</f>
        <v/>
      </c>
      <c r="X462" s="31">
        <f>IFERROR(VLOOKUP(V462,MgFrec,2,0),0)</f>
        <v/>
      </c>
      <c r="Y462" s="30">
        <f>T462*X462</f>
        <v/>
      </c>
      <c r="Z462" s="28">
        <f>IFERROR(LOOKUP(Y462,{0;0.5;5;25},{"Bajo";"Medio";"Alto";"Crítico"}),"")</f>
        <v/>
      </c>
      <c r="AA462" s="64">
        <f>IF(T462&gt;=3,IF(X462&gt;=1,"Zona 1 — Crítica: impacto alto y ocurre al menos una vez al año","Zona 4 — Catastrófica poco probable: impacto alto pero excepcional"),IF(AND(T462&lt;1.5,X462&lt;1),"Zona 3 — Asumible: impacto bajo y muy poco frecuente","Zona 2 — Atención: riesgo intermedio"))</f>
        <v/>
      </c>
      <c r="AB462" s="64">
        <f>IFERROR(INDEX(MgAmenCtrl,MATCH(SUBSTITUTE($H462,"*","-"),MgAmenClave,0)),"")</f>
        <v/>
      </c>
      <c r="AC462" s="20" t="n"/>
      <c r="AD462" s="31">
        <f>IFERROR($X462*(1-IF($AC462="",$AL462,VLOOKUP($AC462,MgMad,2,0))),"")</f>
        <v/>
      </c>
      <c r="AE462" s="28">
        <f>IFERROR(LOOKUP(AD462,{0;0.01;0.1;1;10;100},{"Muy baja";"Muy baja";"Baja";"Media";"Alta";"Muy alta"}),"")</f>
        <v/>
      </c>
      <c r="AF462" s="30">
        <f>T462*AD462</f>
        <v/>
      </c>
      <c r="AG462" s="28">
        <f>IFERROR(LOOKUP(AF462,{0;0.5;5;25},{"Bajo";"Medio";"Alto";"Crítico"}),"")</f>
        <v/>
      </c>
      <c r="AH462" s="28">
        <f>IF(AG462="","",IF(OR(AG462="Crítico",AG462="Alto"),"Mitigar",IF(AG462="Medio","Mitigar","Aceptar y monitorear")))</f>
        <v/>
      </c>
      <c r="AI462" s="21" t="n"/>
      <c r="AJ462" s="21" t="n"/>
      <c r="AK462" s="20" t="n"/>
      <c r="AL462" s="77">
        <f>IFERROR(INDEX(MgAmenEfic,MATCH(SUBSTITUTE($H462,"*","-"),MgAmenClave,0)),0)</f>
        <v/>
      </c>
    </row>
    <row r="463" hidden="1" ht="75" customHeight="1" s="54">
      <c r="B463" s="59" t="inlineStr">
        <is>
          <t>R-0458</t>
        </is>
      </c>
      <c r="C463" s="59" t="inlineStr">
        <is>
          <t>COM-16</t>
        </is>
      </c>
      <c r="D463" s="64">
        <f>IFERROR(INDEX(MgNombre,MATCH($C463,MgActId,0)),"")</f>
        <v/>
      </c>
      <c r="E463" s="64">
        <f>IFERROR(INDEX(MgProceso,MATCH($C463,MgActId,0)),"")</f>
        <v/>
      </c>
      <c r="F463" s="64">
        <f>IFERROR(INDEX(MgTipo,MATCH($C463,MgActId,0)),"")</f>
        <v/>
      </c>
      <c r="G463" s="64">
        <f>IFERROR(INDEX(MgSubtipo,MATCH($C463,MgActId,0)),"")</f>
        <v/>
      </c>
      <c r="H463" s="59" t="inlineStr">
        <is>
          <t>A.5</t>
        </is>
      </c>
      <c r="I463" s="64">
        <f>IFERROR(INDEX(MgAmenNombre,MATCH(SUBSTITUTE($H463,"*","-"),MgAmenClave,0)),"")</f>
        <v/>
      </c>
      <c r="J463" s="28">
        <f>IFERROR(INDEX(MgAmenGrupo,MATCH(SUBSTITUTE($H463,"*","-"),MgAmenClave,0)),"")</f>
        <v/>
      </c>
      <c r="K463" s="64">
        <f>IFERROR(INDEX('1. Matriz de Activos'!$Q$6:$Q$239,MATCH($C463,MgActId,0)),"")</f>
        <v/>
      </c>
      <c r="L463" s="64">
        <f>IFERROR(INDEX('1. Matriz de Activos'!$R$6:$R$239,MATCH($C463,MgActId,0)),"")</f>
        <v/>
      </c>
      <c r="M463" s="64">
        <f>IFERROR(INDEX('1. Matriz de Activos'!$S$6:$S$239,MATCH($C463,MgActId,0)),"")</f>
        <v/>
      </c>
      <c r="N463" s="28">
        <f>IFERROR(INDEX(MgAmenDegD,MATCH(SUBSTITUTE($H463,"*","-"),MgAmenClave,0)),"No aplica")</f>
        <v/>
      </c>
      <c r="O463" s="28">
        <f>IFERROR(INDEX(MgAmenDegI,MATCH(SUBSTITUTE($H463,"*","-"),MgAmenClave,0)),"No aplica")</f>
        <v/>
      </c>
      <c r="P463" s="28">
        <f>IFERROR(INDEX(MgAmenDegC,MATCH(SUBSTITUTE($H463,"*","-"),MgAmenClave,0)),"No aplica")</f>
        <v/>
      </c>
      <c r="Q463" s="29">
        <f>IFERROR(VLOOKUP(K463,MgValor,2,0)*VLOOKUP(N463,MgDeg,2,0),0)</f>
        <v/>
      </c>
      <c r="R463" s="29">
        <f>IFERROR(VLOOKUP(L463,MgValor,2,0)*VLOOKUP(O463,MgDeg,2,0),0)</f>
        <v/>
      </c>
      <c r="S463" s="29">
        <f>IFERROR(VLOOKUP(M463,MgValor,2,0)*VLOOKUP(P463,MgDeg,2,0),0)</f>
        <v/>
      </c>
      <c r="T463" s="30">
        <f>MAX(Q463:S463)</f>
        <v/>
      </c>
      <c r="U463" s="28">
        <f>IFERROR(LOOKUP(T463,{0;0.5;1.5;3;4.5},{"Despreciable";"Bajo";"Medio";"Alto";"Muy alto"}),"")</f>
        <v/>
      </c>
      <c r="V463" s="13">
        <f>IFERROR(INDEX(MgAmenFrec,MATCH(SUBSTITUTE($H463,"*","-"),MgAmenClave,0)),"")</f>
        <v/>
      </c>
      <c r="W463" s="28">
        <f>IFERROR(LOOKUP(X463,{0;0.01;0.1;1;10;100},{"Muy baja";"Muy baja";"Baja";"Media";"Alta";"Muy alta"}),"")</f>
        <v/>
      </c>
      <c r="X463" s="31">
        <f>IFERROR(VLOOKUP(V463,MgFrec,2,0),0)</f>
        <v/>
      </c>
      <c r="Y463" s="30">
        <f>T463*X463</f>
        <v/>
      </c>
      <c r="Z463" s="28">
        <f>IFERROR(LOOKUP(Y463,{0;0.5;5;25},{"Bajo";"Medio";"Alto";"Crítico"}),"")</f>
        <v/>
      </c>
      <c r="AA463" s="64">
        <f>IF(T463&gt;=3,IF(X463&gt;=1,"Zona 1 — Crítica: impacto alto y ocurre al menos una vez al año","Zona 4 — Catastrófica poco probable: impacto alto pero excepcional"),IF(AND(T463&lt;1.5,X463&lt;1),"Zona 3 — Asumible: impacto bajo y muy poco frecuente","Zona 2 — Atención: riesgo intermedio"))</f>
        <v/>
      </c>
      <c r="AB463" s="64">
        <f>IFERROR(INDEX(MgAmenCtrl,MATCH(SUBSTITUTE($H463,"*","-"),MgAmenClave,0)),"")</f>
        <v/>
      </c>
      <c r="AC463" s="20" t="n"/>
      <c r="AD463" s="31">
        <f>IFERROR($X463*(1-IF($AC463="",$AL463,VLOOKUP($AC463,MgMad,2,0))),"")</f>
        <v/>
      </c>
      <c r="AE463" s="28">
        <f>IFERROR(LOOKUP(AD463,{0;0.01;0.1;1;10;100},{"Muy baja";"Muy baja";"Baja";"Media";"Alta";"Muy alta"}),"")</f>
        <v/>
      </c>
      <c r="AF463" s="30">
        <f>T463*AD463</f>
        <v/>
      </c>
      <c r="AG463" s="28">
        <f>IFERROR(LOOKUP(AF463,{0;0.5;5;25},{"Bajo";"Medio";"Alto";"Crítico"}),"")</f>
        <v/>
      </c>
      <c r="AH463" s="28">
        <f>IF(AG463="","",IF(OR(AG463="Crítico",AG463="Alto"),"Mitigar",IF(AG463="Medio","Mitigar","Aceptar y monitorear")))</f>
        <v/>
      </c>
      <c r="AI463" s="21" t="n"/>
      <c r="AJ463" s="21" t="n"/>
      <c r="AK463" s="20" t="n"/>
      <c r="AL463" s="77">
        <f>IFERROR(INDEX(MgAmenEfic,MATCH(SUBSTITUTE($H463,"*","-"),MgAmenClave,0)),0)</f>
        <v/>
      </c>
    </row>
    <row r="464" hidden="1" ht="105" customHeight="1" s="54">
      <c r="B464" s="59" t="inlineStr">
        <is>
          <t>R-0459</t>
        </is>
      </c>
      <c r="C464" s="59" t="inlineStr">
        <is>
          <t>COM-16</t>
        </is>
      </c>
      <c r="D464" s="64">
        <f>IFERROR(INDEX(MgNombre,MATCH($C464,MgActId,0)),"")</f>
        <v/>
      </c>
      <c r="E464" s="64">
        <f>IFERROR(INDEX(MgProceso,MATCH($C464,MgActId,0)),"")</f>
        <v/>
      </c>
      <c r="F464" s="64">
        <f>IFERROR(INDEX(MgTipo,MATCH($C464,MgActId,0)),"")</f>
        <v/>
      </c>
      <c r="G464" s="64">
        <f>IFERROR(INDEX(MgSubtipo,MATCH($C464,MgActId,0)),"")</f>
        <v/>
      </c>
      <c r="H464" s="59" t="inlineStr">
        <is>
          <t>A.6</t>
        </is>
      </c>
      <c r="I464" s="64">
        <f>IFERROR(INDEX(MgAmenNombre,MATCH(SUBSTITUTE($H464,"*","-"),MgAmenClave,0)),"")</f>
        <v/>
      </c>
      <c r="J464" s="28">
        <f>IFERROR(INDEX(MgAmenGrupo,MATCH(SUBSTITUTE($H464,"*","-"),MgAmenClave,0)),"")</f>
        <v/>
      </c>
      <c r="K464" s="64">
        <f>IFERROR(INDEX('1. Matriz de Activos'!$Q$6:$Q$239,MATCH($C464,MgActId,0)),"")</f>
        <v/>
      </c>
      <c r="L464" s="64">
        <f>IFERROR(INDEX('1. Matriz de Activos'!$R$6:$R$239,MATCH($C464,MgActId,0)),"")</f>
        <v/>
      </c>
      <c r="M464" s="64">
        <f>IFERROR(INDEX('1. Matriz de Activos'!$S$6:$S$239,MATCH($C464,MgActId,0)),"")</f>
        <v/>
      </c>
      <c r="N464" s="28">
        <f>IFERROR(INDEX(MgAmenDegD,MATCH(SUBSTITUTE($H464,"*","-"),MgAmenClave,0)),"No aplica")</f>
        <v/>
      </c>
      <c r="O464" s="28">
        <f>IFERROR(INDEX(MgAmenDegI,MATCH(SUBSTITUTE($H464,"*","-"),MgAmenClave,0)),"No aplica")</f>
        <v/>
      </c>
      <c r="P464" s="28">
        <f>IFERROR(INDEX(MgAmenDegC,MATCH(SUBSTITUTE($H464,"*","-"),MgAmenClave,0)),"No aplica")</f>
        <v/>
      </c>
      <c r="Q464" s="29">
        <f>IFERROR(VLOOKUP(K464,MgValor,2,0)*VLOOKUP(N464,MgDeg,2,0),0)</f>
        <v/>
      </c>
      <c r="R464" s="29">
        <f>IFERROR(VLOOKUP(L464,MgValor,2,0)*VLOOKUP(O464,MgDeg,2,0),0)</f>
        <v/>
      </c>
      <c r="S464" s="29">
        <f>IFERROR(VLOOKUP(M464,MgValor,2,0)*VLOOKUP(P464,MgDeg,2,0),0)</f>
        <v/>
      </c>
      <c r="T464" s="30">
        <f>MAX(Q464:S464)</f>
        <v/>
      </c>
      <c r="U464" s="28">
        <f>IFERROR(LOOKUP(T464,{0;0.5;1.5;3;4.5},{"Despreciable";"Bajo";"Medio";"Alto";"Muy alto"}),"")</f>
        <v/>
      </c>
      <c r="V464" s="13">
        <f>IFERROR(INDEX(MgAmenFrec,MATCH(SUBSTITUTE($H464,"*","-"),MgAmenClave,0)),"")</f>
        <v/>
      </c>
      <c r="W464" s="28">
        <f>IFERROR(LOOKUP(X464,{0;0.01;0.1;1;10;100},{"Muy baja";"Muy baja";"Baja";"Media";"Alta";"Muy alta"}),"")</f>
        <v/>
      </c>
      <c r="X464" s="31">
        <f>IFERROR(VLOOKUP(V464,MgFrec,2,0),0)</f>
        <v/>
      </c>
      <c r="Y464" s="30">
        <f>T464*X464</f>
        <v/>
      </c>
      <c r="Z464" s="28">
        <f>IFERROR(LOOKUP(Y464,{0;0.5;5;25},{"Bajo";"Medio";"Alto";"Crítico"}),"")</f>
        <v/>
      </c>
      <c r="AA464" s="64">
        <f>IF(T464&gt;=3,IF(X464&gt;=1,"Zona 1 — Crítica: impacto alto y ocurre al menos una vez al año","Zona 4 — Catastrófica poco probable: impacto alto pero excepcional"),IF(AND(T464&lt;1.5,X464&lt;1),"Zona 3 — Asumible: impacto bajo y muy poco frecuente","Zona 2 — Atención: riesgo intermedio"))</f>
        <v/>
      </c>
      <c r="AB464" s="64">
        <f>IFERROR(INDEX(MgAmenCtrl,MATCH(SUBSTITUTE($H464,"*","-"),MgAmenClave,0)),"")</f>
        <v/>
      </c>
      <c r="AC464" s="20" t="n"/>
      <c r="AD464" s="31">
        <f>IFERROR($X464*(1-IF($AC464="",$AL464,VLOOKUP($AC464,MgMad,2,0))),"")</f>
        <v/>
      </c>
      <c r="AE464" s="28">
        <f>IFERROR(LOOKUP(AD464,{0;0.01;0.1;1;10;100},{"Muy baja";"Muy baja";"Baja";"Media";"Alta";"Muy alta"}),"")</f>
        <v/>
      </c>
      <c r="AF464" s="30">
        <f>T464*AD464</f>
        <v/>
      </c>
      <c r="AG464" s="28">
        <f>IFERROR(LOOKUP(AF464,{0;0.5;5;25},{"Bajo";"Medio";"Alto";"Crítico"}),"")</f>
        <v/>
      </c>
      <c r="AH464" s="28">
        <f>IF(AG464="","",IF(OR(AG464="Crítico",AG464="Alto"),"Mitigar",IF(AG464="Medio","Mitigar","Aceptar y monitorear")))</f>
        <v/>
      </c>
      <c r="AI464" s="21" t="n"/>
      <c r="AJ464" s="21" t="n"/>
      <c r="AK464" s="20" t="n"/>
      <c r="AL464" s="77">
        <f>IFERROR(INDEX(MgAmenEfic,MATCH(SUBSTITUTE($H464,"*","-"),MgAmenClave,0)),0)</f>
        <v/>
      </c>
    </row>
    <row r="465" hidden="1" ht="120" customHeight="1" s="54">
      <c r="B465" s="59" t="inlineStr">
        <is>
          <t>R-0460</t>
        </is>
      </c>
      <c r="C465" s="59" t="inlineStr">
        <is>
          <t>COM-16</t>
        </is>
      </c>
      <c r="D465" s="64">
        <f>IFERROR(INDEX(MgNombre,MATCH($C465,MgActId,0)),"")</f>
        <v/>
      </c>
      <c r="E465" s="64">
        <f>IFERROR(INDEX(MgProceso,MATCH($C465,MgActId,0)),"")</f>
        <v/>
      </c>
      <c r="F465" s="64">
        <f>IFERROR(INDEX(MgTipo,MATCH($C465,MgActId,0)),"")</f>
        <v/>
      </c>
      <c r="G465" s="64">
        <f>IFERROR(INDEX(MgSubtipo,MATCH($C465,MgActId,0)),"")</f>
        <v/>
      </c>
      <c r="H465" s="59" t="inlineStr">
        <is>
          <t>A.11</t>
        </is>
      </c>
      <c r="I465" s="64">
        <f>IFERROR(INDEX(MgAmenNombre,MATCH(SUBSTITUTE($H465,"*","-"),MgAmenClave,0)),"")</f>
        <v/>
      </c>
      <c r="J465" s="28">
        <f>IFERROR(INDEX(MgAmenGrupo,MATCH(SUBSTITUTE($H465,"*","-"),MgAmenClave,0)),"")</f>
        <v/>
      </c>
      <c r="K465" s="64">
        <f>IFERROR(INDEX('1. Matriz de Activos'!$Q$6:$Q$239,MATCH($C465,MgActId,0)),"")</f>
        <v/>
      </c>
      <c r="L465" s="64">
        <f>IFERROR(INDEX('1. Matriz de Activos'!$R$6:$R$239,MATCH($C465,MgActId,0)),"")</f>
        <v/>
      </c>
      <c r="M465" s="64">
        <f>IFERROR(INDEX('1. Matriz de Activos'!$S$6:$S$239,MATCH($C465,MgActId,0)),"")</f>
        <v/>
      </c>
      <c r="N465" s="28">
        <f>IFERROR(INDEX(MgAmenDegD,MATCH(SUBSTITUTE($H465,"*","-"),MgAmenClave,0)),"No aplica")</f>
        <v/>
      </c>
      <c r="O465" s="28">
        <f>IFERROR(INDEX(MgAmenDegI,MATCH(SUBSTITUTE($H465,"*","-"),MgAmenClave,0)),"No aplica")</f>
        <v/>
      </c>
      <c r="P465" s="28">
        <f>IFERROR(INDEX(MgAmenDegC,MATCH(SUBSTITUTE($H465,"*","-"),MgAmenClave,0)),"No aplica")</f>
        <v/>
      </c>
      <c r="Q465" s="29">
        <f>IFERROR(VLOOKUP(K465,MgValor,2,0)*VLOOKUP(N465,MgDeg,2,0),0)</f>
        <v/>
      </c>
      <c r="R465" s="29">
        <f>IFERROR(VLOOKUP(L465,MgValor,2,0)*VLOOKUP(O465,MgDeg,2,0),0)</f>
        <v/>
      </c>
      <c r="S465" s="29">
        <f>IFERROR(VLOOKUP(M465,MgValor,2,0)*VLOOKUP(P465,MgDeg,2,0),0)</f>
        <v/>
      </c>
      <c r="T465" s="30">
        <f>MAX(Q465:S465)</f>
        <v/>
      </c>
      <c r="U465" s="28">
        <f>IFERROR(LOOKUP(T465,{0;0.5;1.5;3;4.5},{"Despreciable";"Bajo";"Medio";"Alto";"Muy alto"}),"")</f>
        <v/>
      </c>
      <c r="V465" s="13">
        <f>IFERROR(INDEX(MgAmenFrec,MATCH(SUBSTITUTE($H465,"*","-"),MgAmenClave,0)),"")</f>
        <v/>
      </c>
      <c r="W465" s="28">
        <f>IFERROR(LOOKUP(X465,{0;0.01;0.1;1;10;100},{"Muy baja";"Muy baja";"Baja";"Media";"Alta";"Muy alta"}),"")</f>
        <v/>
      </c>
      <c r="X465" s="31">
        <f>IFERROR(VLOOKUP(V465,MgFrec,2,0),0)</f>
        <v/>
      </c>
      <c r="Y465" s="30">
        <f>T465*X465</f>
        <v/>
      </c>
      <c r="Z465" s="28">
        <f>IFERROR(LOOKUP(Y465,{0;0.5;5;25},{"Bajo";"Medio";"Alto";"Crítico"}),"")</f>
        <v/>
      </c>
      <c r="AA465" s="64">
        <f>IF(T465&gt;=3,IF(X465&gt;=1,"Zona 1 — Crítica: impacto alto y ocurre al menos una vez al año","Zona 4 — Catastrófica poco probable: impacto alto pero excepcional"),IF(AND(T465&lt;1.5,X465&lt;1),"Zona 3 — Asumible: impacto bajo y muy poco frecuente","Zona 2 — Atención: riesgo intermedio"))</f>
        <v/>
      </c>
      <c r="AB465" s="64">
        <f>IFERROR(INDEX(MgAmenCtrl,MATCH(SUBSTITUTE($H465,"*","-"),MgAmenClave,0)),"")</f>
        <v/>
      </c>
      <c r="AC465" s="20" t="n"/>
      <c r="AD465" s="31">
        <f>IFERROR($X465*(1-IF($AC465="",$AL465,VLOOKUP($AC465,MgMad,2,0))),"")</f>
        <v/>
      </c>
      <c r="AE465" s="28">
        <f>IFERROR(LOOKUP(AD465,{0;0.01;0.1;1;10;100},{"Muy baja";"Muy baja";"Baja";"Media";"Alta";"Muy alta"}),"")</f>
        <v/>
      </c>
      <c r="AF465" s="30">
        <f>T465*AD465</f>
        <v/>
      </c>
      <c r="AG465" s="28">
        <f>IFERROR(LOOKUP(AF465,{0;0.5;5;25},{"Bajo";"Medio";"Alto";"Crítico"}),"")</f>
        <v/>
      </c>
      <c r="AH465" s="28">
        <f>IF(AG465="","",IF(OR(AG465="Crítico",AG465="Alto"),"Mitigar",IF(AG465="Medio","Mitigar","Aceptar y monitorear")))</f>
        <v/>
      </c>
      <c r="AI465" s="21" t="n"/>
      <c r="AJ465" s="21" t="n"/>
      <c r="AK465" s="20" t="n"/>
      <c r="AL465" s="77">
        <f>IFERROR(INDEX(MgAmenEfic,MATCH(SUBSTITUTE($H465,"*","-"),MgAmenClave,0)),0)</f>
        <v/>
      </c>
    </row>
    <row r="466" hidden="1" ht="90" customHeight="1" s="54">
      <c r="B466" s="59" t="inlineStr">
        <is>
          <t>R-0461</t>
        </is>
      </c>
      <c r="C466" s="59" t="inlineStr">
        <is>
          <t>COM-16</t>
        </is>
      </c>
      <c r="D466" s="64">
        <f>IFERROR(INDEX(MgNombre,MATCH($C466,MgActId,0)),"")</f>
        <v/>
      </c>
      <c r="E466" s="64">
        <f>IFERROR(INDEX(MgProceso,MATCH($C466,MgActId,0)),"")</f>
        <v/>
      </c>
      <c r="F466" s="64">
        <f>IFERROR(INDEX(MgTipo,MATCH($C466,MgActId,0)),"")</f>
        <v/>
      </c>
      <c r="G466" s="64">
        <f>IFERROR(INDEX(MgSubtipo,MATCH($C466,MgActId,0)),"")</f>
        <v/>
      </c>
      <c r="H466" s="59" t="inlineStr">
        <is>
          <t>A.13</t>
        </is>
      </c>
      <c r="I466" s="64">
        <f>IFERROR(INDEX(MgAmenNombre,MATCH(SUBSTITUTE($H466,"*","-"),MgAmenClave,0)),"")</f>
        <v/>
      </c>
      <c r="J466" s="28">
        <f>IFERROR(INDEX(MgAmenGrupo,MATCH(SUBSTITUTE($H466,"*","-"),MgAmenClave,0)),"")</f>
        <v/>
      </c>
      <c r="K466" s="64">
        <f>IFERROR(INDEX('1. Matriz de Activos'!$Q$6:$Q$239,MATCH($C466,MgActId,0)),"")</f>
        <v/>
      </c>
      <c r="L466" s="64">
        <f>IFERROR(INDEX('1. Matriz de Activos'!$R$6:$R$239,MATCH($C466,MgActId,0)),"")</f>
        <v/>
      </c>
      <c r="M466" s="64">
        <f>IFERROR(INDEX('1. Matriz de Activos'!$S$6:$S$239,MATCH($C466,MgActId,0)),"")</f>
        <v/>
      </c>
      <c r="N466" s="28">
        <f>IFERROR(INDEX(MgAmenDegD,MATCH(SUBSTITUTE($H466,"*","-"),MgAmenClave,0)),"No aplica")</f>
        <v/>
      </c>
      <c r="O466" s="28">
        <f>IFERROR(INDEX(MgAmenDegI,MATCH(SUBSTITUTE($H466,"*","-"),MgAmenClave,0)),"No aplica")</f>
        <v/>
      </c>
      <c r="P466" s="28">
        <f>IFERROR(INDEX(MgAmenDegC,MATCH(SUBSTITUTE($H466,"*","-"),MgAmenClave,0)),"No aplica")</f>
        <v/>
      </c>
      <c r="Q466" s="29">
        <f>IFERROR(VLOOKUP(K466,MgValor,2,0)*VLOOKUP(N466,MgDeg,2,0),0)</f>
        <v/>
      </c>
      <c r="R466" s="29">
        <f>IFERROR(VLOOKUP(L466,MgValor,2,0)*VLOOKUP(O466,MgDeg,2,0),0)</f>
        <v/>
      </c>
      <c r="S466" s="29">
        <f>IFERROR(VLOOKUP(M466,MgValor,2,0)*VLOOKUP(P466,MgDeg,2,0),0)</f>
        <v/>
      </c>
      <c r="T466" s="30">
        <f>MAX(Q466:S466)</f>
        <v/>
      </c>
      <c r="U466" s="28">
        <f>IFERROR(LOOKUP(T466,{0;0.5;1.5;3;4.5},{"Despreciable";"Bajo";"Medio";"Alto";"Muy alto"}),"")</f>
        <v/>
      </c>
      <c r="V466" s="13">
        <f>IFERROR(INDEX(MgAmenFrec,MATCH(SUBSTITUTE($H466,"*","-"),MgAmenClave,0)),"")</f>
        <v/>
      </c>
      <c r="W466" s="28">
        <f>IFERROR(LOOKUP(X466,{0;0.01;0.1;1;10;100},{"Muy baja";"Muy baja";"Baja";"Media";"Alta";"Muy alta"}),"")</f>
        <v/>
      </c>
      <c r="X466" s="31">
        <f>IFERROR(VLOOKUP(V466,MgFrec,2,0),0)</f>
        <v/>
      </c>
      <c r="Y466" s="30">
        <f>T466*X466</f>
        <v/>
      </c>
      <c r="Z466" s="28">
        <f>IFERROR(LOOKUP(Y466,{0;0.5;5;25},{"Bajo";"Medio";"Alto";"Crítico"}),"")</f>
        <v/>
      </c>
      <c r="AA466" s="64">
        <f>IF(T466&gt;=3,IF(X466&gt;=1,"Zona 1 — Crítica: impacto alto y ocurre al menos una vez al año","Zona 4 — Catastrófica poco probable: impacto alto pero excepcional"),IF(AND(T466&lt;1.5,X466&lt;1),"Zona 3 — Asumible: impacto bajo y muy poco frecuente","Zona 2 — Atención: riesgo intermedio"))</f>
        <v/>
      </c>
      <c r="AB466" s="64">
        <f>IFERROR(INDEX(MgAmenCtrl,MATCH(SUBSTITUTE($H466,"*","-"),MgAmenClave,0)),"")</f>
        <v/>
      </c>
      <c r="AC466" s="20" t="n"/>
      <c r="AD466" s="31">
        <f>IFERROR($X466*(1-IF($AC466="",$AL466,VLOOKUP($AC466,MgMad,2,0))),"")</f>
        <v/>
      </c>
      <c r="AE466" s="28">
        <f>IFERROR(LOOKUP(AD466,{0;0.01;0.1;1;10;100},{"Muy baja";"Muy baja";"Baja";"Media";"Alta";"Muy alta"}),"")</f>
        <v/>
      </c>
      <c r="AF466" s="30">
        <f>T466*AD466</f>
        <v/>
      </c>
      <c r="AG466" s="28">
        <f>IFERROR(LOOKUP(AF466,{0;0.5;5;25},{"Bajo";"Medio";"Alto";"Crítico"}),"")</f>
        <v/>
      </c>
      <c r="AH466" s="28">
        <f>IF(AG466="","",IF(OR(AG466="Crítico",AG466="Alto"),"Mitigar",IF(AG466="Medio","Mitigar","Aceptar y monitorear")))</f>
        <v/>
      </c>
      <c r="AI466" s="21" t="n"/>
      <c r="AJ466" s="21" t="n"/>
      <c r="AK466" s="20" t="n"/>
      <c r="AL466" s="77">
        <f>IFERROR(INDEX(MgAmenEfic,MATCH(SUBSTITUTE($H466,"*","-"),MgAmenClave,0)),0)</f>
        <v/>
      </c>
    </row>
    <row r="467" hidden="1" ht="60" customHeight="1" s="54">
      <c r="B467" s="59" t="inlineStr">
        <is>
          <t>R-0462</t>
        </is>
      </c>
      <c r="C467" s="59" t="inlineStr">
        <is>
          <t>COM-16</t>
        </is>
      </c>
      <c r="D467" s="64">
        <f>IFERROR(INDEX(MgNombre,MATCH($C467,MgActId,0)),"")</f>
        <v/>
      </c>
      <c r="E467" s="64">
        <f>IFERROR(INDEX(MgProceso,MATCH($C467,MgActId,0)),"")</f>
        <v/>
      </c>
      <c r="F467" s="64">
        <f>IFERROR(INDEX(MgTipo,MATCH($C467,MgActId,0)),"")</f>
        <v/>
      </c>
      <c r="G467" s="64">
        <f>IFERROR(INDEX(MgSubtipo,MATCH($C467,MgActId,0)),"")</f>
        <v/>
      </c>
      <c r="H467" s="59" t="inlineStr">
        <is>
          <t>A.15</t>
        </is>
      </c>
      <c r="I467" s="64">
        <f>IFERROR(INDEX(MgAmenNombre,MATCH(SUBSTITUTE($H467,"*","-"),MgAmenClave,0)),"")</f>
        <v/>
      </c>
      <c r="J467" s="28">
        <f>IFERROR(INDEX(MgAmenGrupo,MATCH(SUBSTITUTE($H467,"*","-"),MgAmenClave,0)),"")</f>
        <v/>
      </c>
      <c r="K467" s="64">
        <f>IFERROR(INDEX('1. Matriz de Activos'!$Q$6:$Q$239,MATCH($C467,MgActId,0)),"")</f>
        <v/>
      </c>
      <c r="L467" s="64">
        <f>IFERROR(INDEX('1. Matriz de Activos'!$R$6:$R$239,MATCH($C467,MgActId,0)),"")</f>
        <v/>
      </c>
      <c r="M467" s="64">
        <f>IFERROR(INDEX('1. Matriz de Activos'!$S$6:$S$239,MATCH($C467,MgActId,0)),"")</f>
        <v/>
      </c>
      <c r="N467" s="28">
        <f>IFERROR(INDEX(MgAmenDegD,MATCH(SUBSTITUTE($H467,"*","-"),MgAmenClave,0)),"No aplica")</f>
        <v/>
      </c>
      <c r="O467" s="28">
        <f>IFERROR(INDEX(MgAmenDegI,MATCH(SUBSTITUTE($H467,"*","-"),MgAmenClave,0)),"No aplica")</f>
        <v/>
      </c>
      <c r="P467" s="28">
        <f>IFERROR(INDEX(MgAmenDegC,MATCH(SUBSTITUTE($H467,"*","-"),MgAmenClave,0)),"No aplica")</f>
        <v/>
      </c>
      <c r="Q467" s="29">
        <f>IFERROR(VLOOKUP(K467,MgValor,2,0)*VLOOKUP(N467,MgDeg,2,0),0)</f>
        <v/>
      </c>
      <c r="R467" s="29">
        <f>IFERROR(VLOOKUP(L467,MgValor,2,0)*VLOOKUP(O467,MgDeg,2,0),0)</f>
        <v/>
      </c>
      <c r="S467" s="29">
        <f>IFERROR(VLOOKUP(M467,MgValor,2,0)*VLOOKUP(P467,MgDeg,2,0),0)</f>
        <v/>
      </c>
      <c r="T467" s="30">
        <f>MAX(Q467:S467)</f>
        <v/>
      </c>
      <c r="U467" s="28">
        <f>IFERROR(LOOKUP(T467,{0;0.5;1.5;3;4.5},{"Despreciable";"Bajo";"Medio";"Alto";"Muy alto"}),"")</f>
        <v/>
      </c>
      <c r="V467" s="13">
        <f>IFERROR(INDEX(MgAmenFrec,MATCH(SUBSTITUTE($H467,"*","-"),MgAmenClave,0)),"")</f>
        <v/>
      </c>
      <c r="W467" s="28">
        <f>IFERROR(LOOKUP(X467,{0;0.01;0.1;1;10;100},{"Muy baja";"Muy baja";"Baja";"Media";"Alta";"Muy alta"}),"")</f>
        <v/>
      </c>
      <c r="X467" s="31">
        <f>IFERROR(VLOOKUP(V467,MgFrec,2,0),0)</f>
        <v/>
      </c>
      <c r="Y467" s="30">
        <f>T467*X467</f>
        <v/>
      </c>
      <c r="Z467" s="28">
        <f>IFERROR(LOOKUP(Y467,{0;0.5;5;25},{"Bajo";"Medio";"Alto";"Crítico"}),"")</f>
        <v/>
      </c>
      <c r="AA467" s="64">
        <f>IF(T467&gt;=3,IF(X467&gt;=1,"Zona 1 — Crítica: impacto alto y ocurre al menos una vez al año","Zona 4 — Catastrófica poco probable: impacto alto pero excepcional"),IF(AND(T467&lt;1.5,X467&lt;1),"Zona 3 — Asumible: impacto bajo y muy poco frecuente","Zona 2 — Atención: riesgo intermedio"))</f>
        <v/>
      </c>
      <c r="AB467" s="64">
        <f>IFERROR(INDEX(MgAmenCtrl,MATCH(SUBSTITUTE($H467,"*","-"),MgAmenClave,0)),"")</f>
        <v/>
      </c>
      <c r="AC467" s="20" t="n"/>
      <c r="AD467" s="31">
        <f>IFERROR($X467*(1-IF($AC467="",$AL467,VLOOKUP($AC467,MgMad,2,0))),"")</f>
        <v/>
      </c>
      <c r="AE467" s="28">
        <f>IFERROR(LOOKUP(AD467,{0;0.01;0.1;1;10;100},{"Muy baja";"Muy baja";"Baja";"Media";"Alta";"Muy alta"}),"")</f>
        <v/>
      </c>
      <c r="AF467" s="30">
        <f>T467*AD467</f>
        <v/>
      </c>
      <c r="AG467" s="28">
        <f>IFERROR(LOOKUP(AF467,{0;0.5;5;25},{"Bajo";"Medio";"Alto";"Crítico"}),"")</f>
        <v/>
      </c>
      <c r="AH467" s="28">
        <f>IF(AG467="","",IF(OR(AG467="Crítico",AG467="Alto"),"Mitigar",IF(AG467="Medio","Mitigar","Aceptar y monitorear")))</f>
        <v/>
      </c>
      <c r="AI467" s="21" t="n"/>
      <c r="AJ467" s="21" t="n"/>
      <c r="AK467" s="20" t="n"/>
      <c r="AL467" s="77">
        <f>IFERROR(INDEX(MgAmenEfic,MATCH(SUBSTITUTE($H467,"*","-"),MgAmenClave,0)),0)</f>
        <v/>
      </c>
    </row>
    <row r="468" hidden="1" ht="60" customHeight="1" s="54">
      <c r="B468" s="59" t="inlineStr">
        <is>
          <t>R-0463</t>
        </is>
      </c>
      <c r="C468" s="59" t="inlineStr">
        <is>
          <t>COM-16</t>
        </is>
      </c>
      <c r="D468" s="64">
        <f>IFERROR(INDEX(MgNombre,MATCH($C468,MgActId,0)),"")</f>
        <v/>
      </c>
      <c r="E468" s="64">
        <f>IFERROR(INDEX(MgProceso,MATCH($C468,MgActId,0)),"")</f>
        <v/>
      </c>
      <c r="F468" s="64">
        <f>IFERROR(INDEX(MgTipo,MATCH($C468,MgActId,0)),"")</f>
        <v/>
      </c>
      <c r="G468" s="64">
        <f>IFERROR(INDEX(MgSubtipo,MATCH($C468,MgActId,0)),"")</f>
        <v/>
      </c>
      <c r="H468" s="59" t="inlineStr">
        <is>
          <t>A.18</t>
        </is>
      </c>
      <c r="I468" s="64">
        <f>IFERROR(INDEX(MgAmenNombre,MATCH(SUBSTITUTE($H468,"*","-"),MgAmenClave,0)),"")</f>
        <v/>
      </c>
      <c r="J468" s="28">
        <f>IFERROR(INDEX(MgAmenGrupo,MATCH(SUBSTITUTE($H468,"*","-"),MgAmenClave,0)),"")</f>
        <v/>
      </c>
      <c r="K468" s="64">
        <f>IFERROR(INDEX('1. Matriz de Activos'!$Q$6:$Q$239,MATCH($C468,MgActId,0)),"")</f>
        <v/>
      </c>
      <c r="L468" s="64">
        <f>IFERROR(INDEX('1. Matriz de Activos'!$R$6:$R$239,MATCH($C468,MgActId,0)),"")</f>
        <v/>
      </c>
      <c r="M468" s="64">
        <f>IFERROR(INDEX('1. Matriz de Activos'!$S$6:$S$239,MATCH($C468,MgActId,0)),"")</f>
        <v/>
      </c>
      <c r="N468" s="28">
        <f>IFERROR(INDEX(MgAmenDegD,MATCH(SUBSTITUTE($H468,"*","-"),MgAmenClave,0)),"No aplica")</f>
        <v/>
      </c>
      <c r="O468" s="28">
        <f>IFERROR(INDEX(MgAmenDegI,MATCH(SUBSTITUTE($H468,"*","-"),MgAmenClave,0)),"No aplica")</f>
        <v/>
      </c>
      <c r="P468" s="28">
        <f>IFERROR(INDEX(MgAmenDegC,MATCH(SUBSTITUTE($H468,"*","-"),MgAmenClave,0)),"No aplica")</f>
        <v/>
      </c>
      <c r="Q468" s="29">
        <f>IFERROR(VLOOKUP(K468,MgValor,2,0)*VLOOKUP(N468,MgDeg,2,0),0)</f>
        <v/>
      </c>
      <c r="R468" s="29">
        <f>IFERROR(VLOOKUP(L468,MgValor,2,0)*VLOOKUP(O468,MgDeg,2,0),0)</f>
        <v/>
      </c>
      <c r="S468" s="29">
        <f>IFERROR(VLOOKUP(M468,MgValor,2,0)*VLOOKUP(P468,MgDeg,2,0),0)</f>
        <v/>
      </c>
      <c r="T468" s="30">
        <f>MAX(Q468:S468)</f>
        <v/>
      </c>
      <c r="U468" s="28">
        <f>IFERROR(LOOKUP(T468,{0;0.5;1.5;3;4.5},{"Despreciable";"Bajo";"Medio";"Alto";"Muy alto"}),"")</f>
        <v/>
      </c>
      <c r="V468" s="13">
        <f>IFERROR(INDEX(MgAmenFrec,MATCH(SUBSTITUTE($H468,"*","-"),MgAmenClave,0)),"")</f>
        <v/>
      </c>
      <c r="W468" s="28">
        <f>IFERROR(LOOKUP(X468,{0;0.01;0.1;1;10;100},{"Muy baja";"Muy baja";"Baja";"Media";"Alta";"Muy alta"}),"")</f>
        <v/>
      </c>
      <c r="X468" s="31">
        <f>IFERROR(VLOOKUP(V468,MgFrec,2,0),0)</f>
        <v/>
      </c>
      <c r="Y468" s="30">
        <f>T468*X468</f>
        <v/>
      </c>
      <c r="Z468" s="28">
        <f>IFERROR(LOOKUP(Y468,{0;0.5;5;25},{"Bajo";"Medio";"Alto";"Crítico"}),"")</f>
        <v/>
      </c>
      <c r="AA468" s="64">
        <f>IF(T468&gt;=3,IF(X468&gt;=1,"Zona 1 — Crítica: impacto alto y ocurre al menos una vez al año","Zona 4 — Catastrófica poco probable: impacto alto pero excepcional"),IF(AND(T468&lt;1.5,X468&lt;1),"Zona 3 — Asumible: impacto bajo y muy poco frecuente","Zona 2 — Atención: riesgo intermedio"))</f>
        <v/>
      </c>
      <c r="AB468" s="64">
        <f>IFERROR(INDEX(MgAmenCtrl,MATCH(SUBSTITUTE($H468,"*","-"),MgAmenClave,0)),"")</f>
        <v/>
      </c>
      <c r="AC468" s="20" t="n"/>
      <c r="AD468" s="31">
        <f>IFERROR($X468*(1-IF($AC468="",$AL468,VLOOKUP($AC468,MgMad,2,0))),"")</f>
        <v/>
      </c>
      <c r="AE468" s="28">
        <f>IFERROR(LOOKUP(AD468,{0;0.01;0.1;1;10;100},{"Muy baja";"Muy baja";"Baja";"Media";"Alta";"Muy alta"}),"")</f>
        <v/>
      </c>
      <c r="AF468" s="30">
        <f>T468*AD468</f>
        <v/>
      </c>
      <c r="AG468" s="28">
        <f>IFERROR(LOOKUP(AF468,{0;0.5;5;25},{"Bajo";"Medio";"Alto";"Crítico"}),"")</f>
        <v/>
      </c>
      <c r="AH468" s="28">
        <f>IF(AG468="","",IF(OR(AG468="Crítico",AG468="Alto"),"Mitigar",IF(AG468="Medio","Mitigar","Aceptar y monitorear")))</f>
        <v/>
      </c>
      <c r="AI468" s="21" t="n"/>
      <c r="AJ468" s="21" t="n"/>
      <c r="AK468" s="20" t="n"/>
      <c r="AL468" s="77">
        <f>IFERROR(INDEX(MgAmenEfic,MATCH(SUBSTITUTE($H468,"*","-"),MgAmenClave,0)),0)</f>
        <v/>
      </c>
    </row>
    <row r="469" hidden="1" ht="120" customHeight="1" s="54">
      <c r="B469" s="59" t="inlineStr">
        <is>
          <t>R-0464</t>
        </is>
      </c>
      <c r="C469" s="59" t="inlineStr">
        <is>
          <t>COM-16</t>
        </is>
      </c>
      <c r="D469" s="64">
        <f>IFERROR(INDEX(MgNombre,MATCH($C469,MgActId,0)),"")</f>
        <v/>
      </c>
      <c r="E469" s="64">
        <f>IFERROR(INDEX(MgProceso,MATCH($C469,MgActId,0)),"")</f>
        <v/>
      </c>
      <c r="F469" s="64">
        <f>IFERROR(INDEX(MgTipo,MATCH($C469,MgActId,0)),"")</f>
        <v/>
      </c>
      <c r="G469" s="64">
        <f>IFERROR(INDEX(MgSubtipo,MATCH($C469,MgActId,0)),"")</f>
        <v/>
      </c>
      <c r="H469" s="59" t="inlineStr">
        <is>
          <t>A.19</t>
        </is>
      </c>
      <c r="I469" s="64">
        <f>IFERROR(INDEX(MgAmenNombre,MATCH(SUBSTITUTE($H469,"*","-"),MgAmenClave,0)),"")</f>
        <v/>
      </c>
      <c r="J469" s="28">
        <f>IFERROR(INDEX(MgAmenGrupo,MATCH(SUBSTITUTE($H469,"*","-"),MgAmenClave,0)),"")</f>
        <v/>
      </c>
      <c r="K469" s="64">
        <f>IFERROR(INDEX('1. Matriz de Activos'!$Q$6:$Q$239,MATCH($C469,MgActId,0)),"")</f>
        <v/>
      </c>
      <c r="L469" s="64">
        <f>IFERROR(INDEX('1. Matriz de Activos'!$R$6:$R$239,MATCH($C469,MgActId,0)),"")</f>
        <v/>
      </c>
      <c r="M469" s="64">
        <f>IFERROR(INDEX('1. Matriz de Activos'!$S$6:$S$239,MATCH($C469,MgActId,0)),"")</f>
        <v/>
      </c>
      <c r="N469" s="28">
        <f>IFERROR(INDEX(MgAmenDegD,MATCH(SUBSTITUTE($H469,"*","-"),MgAmenClave,0)),"No aplica")</f>
        <v/>
      </c>
      <c r="O469" s="28">
        <f>IFERROR(INDEX(MgAmenDegI,MATCH(SUBSTITUTE($H469,"*","-"),MgAmenClave,0)),"No aplica")</f>
        <v/>
      </c>
      <c r="P469" s="28">
        <f>IFERROR(INDEX(MgAmenDegC,MATCH(SUBSTITUTE($H469,"*","-"),MgAmenClave,0)),"No aplica")</f>
        <v/>
      </c>
      <c r="Q469" s="29">
        <f>IFERROR(VLOOKUP(K469,MgValor,2,0)*VLOOKUP(N469,MgDeg,2,0),0)</f>
        <v/>
      </c>
      <c r="R469" s="29">
        <f>IFERROR(VLOOKUP(L469,MgValor,2,0)*VLOOKUP(O469,MgDeg,2,0),0)</f>
        <v/>
      </c>
      <c r="S469" s="29">
        <f>IFERROR(VLOOKUP(M469,MgValor,2,0)*VLOOKUP(P469,MgDeg,2,0),0)</f>
        <v/>
      </c>
      <c r="T469" s="30">
        <f>MAX(Q469:S469)</f>
        <v/>
      </c>
      <c r="U469" s="28">
        <f>IFERROR(LOOKUP(T469,{0;0.5;1.5;3;4.5},{"Despreciable";"Bajo";"Medio";"Alto";"Muy alto"}),"")</f>
        <v/>
      </c>
      <c r="V469" s="13">
        <f>IFERROR(INDEX(MgAmenFrec,MATCH(SUBSTITUTE($H469,"*","-"),MgAmenClave,0)),"")</f>
        <v/>
      </c>
      <c r="W469" s="28">
        <f>IFERROR(LOOKUP(X469,{0;0.01;0.1;1;10;100},{"Muy baja";"Muy baja";"Baja";"Media";"Alta";"Muy alta"}),"")</f>
        <v/>
      </c>
      <c r="X469" s="31">
        <f>IFERROR(VLOOKUP(V469,MgFrec,2,0),0)</f>
        <v/>
      </c>
      <c r="Y469" s="30">
        <f>T469*X469</f>
        <v/>
      </c>
      <c r="Z469" s="28">
        <f>IFERROR(LOOKUP(Y469,{0;0.5;5;25},{"Bajo";"Medio";"Alto";"Crítico"}),"")</f>
        <v/>
      </c>
      <c r="AA469" s="64">
        <f>IF(T469&gt;=3,IF(X469&gt;=1,"Zona 1 — Crítica: impacto alto y ocurre al menos una vez al año","Zona 4 — Catastrófica poco probable: impacto alto pero excepcional"),IF(AND(T469&lt;1.5,X469&lt;1),"Zona 3 — Asumible: impacto bajo y muy poco frecuente","Zona 2 — Atención: riesgo intermedio"))</f>
        <v/>
      </c>
      <c r="AB469" s="64">
        <f>IFERROR(INDEX(MgAmenCtrl,MATCH(SUBSTITUTE($H469,"*","-"),MgAmenClave,0)),"")</f>
        <v/>
      </c>
      <c r="AC469" s="20" t="n"/>
      <c r="AD469" s="31">
        <f>IFERROR($X469*(1-IF($AC469="",$AL469,VLOOKUP($AC469,MgMad,2,0))),"")</f>
        <v/>
      </c>
      <c r="AE469" s="28">
        <f>IFERROR(LOOKUP(AD469,{0;0.01;0.1;1;10;100},{"Muy baja";"Muy baja";"Baja";"Media";"Alta";"Muy alta"}),"")</f>
        <v/>
      </c>
      <c r="AF469" s="30">
        <f>T469*AD469</f>
        <v/>
      </c>
      <c r="AG469" s="28">
        <f>IFERROR(LOOKUP(AF469,{0;0.5;5;25},{"Bajo";"Medio";"Alto";"Crítico"}),"")</f>
        <v/>
      </c>
      <c r="AH469" s="28">
        <f>IF(AG469="","",IF(OR(AG469="Crítico",AG469="Alto"),"Mitigar",IF(AG469="Medio","Mitigar","Aceptar y monitorear")))</f>
        <v/>
      </c>
      <c r="AI469" s="21" t="n"/>
      <c r="AJ469" s="21" t="n"/>
      <c r="AK469" s="20" t="n"/>
      <c r="AL469" s="77">
        <f>IFERROR(INDEX(MgAmenEfic,MATCH(SUBSTITUTE($H469,"*","-"),MgAmenClave,0)),0)</f>
        <v/>
      </c>
    </row>
    <row r="470" hidden="1" ht="105" customHeight="1" s="54">
      <c r="B470" s="59" t="inlineStr">
        <is>
          <t>R-0465</t>
        </is>
      </c>
      <c r="C470" s="59" t="inlineStr">
        <is>
          <t>COM-21</t>
        </is>
      </c>
      <c r="D470" s="64">
        <f>IFERROR(INDEX(MgNombre,MATCH($C470,MgActId,0)),"")</f>
        <v/>
      </c>
      <c r="E470" s="64">
        <f>IFERROR(INDEX(MgProceso,MATCH($C470,MgActId,0)),"")</f>
        <v/>
      </c>
      <c r="F470" s="64">
        <f>IFERROR(INDEX(MgTipo,MATCH($C470,MgActId,0)),"")</f>
        <v/>
      </c>
      <c r="G470" s="64">
        <f>IFERROR(INDEX(MgSubtipo,MATCH($C470,MgActId,0)),"")</f>
        <v/>
      </c>
      <c r="H470" s="59" t="inlineStr">
        <is>
          <t>E.1</t>
        </is>
      </c>
      <c r="I470" s="64">
        <f>IFERROR(INDEX(MgAmenNombre,MATCH(SUBSTITUTE($H470,"*","-"),MgAmenClave,0)),"")</f>
        <v/>
      </c>
      <c r="J470" s="28">
        <f>IFERROR(INDEX(MgAmenGrupo,MATCH(SUBSTITUTE($H470,"*","-"),MgAmenClave,0)),"")</f>
        <v/>
      </c>
      <c r="K470" s="64">
        <f>IFERROR(INDEX('1. Matriz de Activos'!$Q$6:$Q$239,MATCH($C470,MgActId,0)),"")</f>
        <v/>
      </c>
      <c r="L470" s="64">
        <f>IFERROR(INDEX('1. Matriz de Activos'!$R$6:$R$239,MATCH($C470,MgActId,0)),"")</f>
        <v/>
      </c>
      <c r="M470" s="64">
        <f>IFERROR(INDEX('1. Matriz de Activos'!$S$6:$S$239,MATCH($C470,MgActId,0)),"")</f>
        <v/>
      </c>
      <c r="N470" s="28">
        <f>IFERROR(INDEX(MgAmenDegD,MATCH(SUBSTITUTE($H470,"*","-"),MgAmenClave,0)),"No aplica")</f>
        <v/>
      </c>
      <c r="O470" s="28">
        <f>IFERROR(INDEX(MgAmenDegI,MATCH(SUBSTITUTE($H470,"*","-"),MgAmenClave,0)),"No aplica")</f>
        <v/>
      </c>
      <c r="P470" s="28">
        <f>IFERROR(INDEX(MgAmenDegC,MATCH(SUBSTITUTE($H470,"*","-"),MgAmenClave,0)),"No aplica")</f>
        <v/>
      </c>
      <c r="Q470" s="29">
        <f>IFERROR(VLOOKUP(K470,MgValor,2,0)*VLOOKUP(N470,MgDeg,2,0),0)</f>
        <v/>
      </c>
      <c r="R470" s="29">
        <f>IFERROR(VLOOKUP(L470,MgValor,2,0)*VLOOKUP(O470,MgDeg,2,0),0)</f>
        <v/>
      </c>
      <c r="S470" s="29">
        <f>IFERROR(VLOOKUP(M470,MgValor,2,0)*VLOOKUP(P470,MgDeg,2,0),0)</f>
        <v/>
      </c>
      <c r="T470" s="30">
        <f>MAX(Q470:S470)</f>
        <v/>
      </c>
      <c r="U470" s="28">
        <f>IFERROR(LOOKUP(T470,{0;0.5;1.5;3;4.5},{"Despreciable";"Bajo";"Medio";"Alto";"Muy alto"}),"")</f>
        <v/>
      </c>
      <c r="V470" s="13">
        <f>IFERROR(INDEX(MgAmenFrec,MATCH(SUBSTITUTE($H470,"*","-"),MgAmenClave,0)),"")</f>
        <v/>
      </c>
      <c r="W470" s="28">
        <f>IFERROR(LOOKUP(X470,{0;0.01;0.1;1;10;100},{"Muy baja";"Muy baja";"Baja";"Media";"Alta";"Muy alta"}),"")</f>
        <v/>
      </c>
      <c r="X470" s="31">
        <f>IFERROR(VLOOKUP(V470,MgFrec,2,0),0)</f>
        <v/>
      </c>
      <c r="Y470" s="30">
        <f>T470*X470</f>
        <v/>
      </c>
      <c r="Z470" s="28">
        <f>IFERROR(LOOKUP(Y470,{0;0.5;5;25},{"Bajo";"Medio";"Alto";"Crítico"}),"")</f>
        <v/>
      </c>
      <c r="AA470" s="64">
        <f>IF(T470&gt;=3,IF(X470&gt;=1,"Zona 1 — Crítica: impacto alto y ocurre al menos una vez al año","Zona 4 — Catastrófica poco probable: impacto alto pero excepcional"),IF(AND(T470&lt;1.5,X470&lt;1),"Zona 3 — Asumible: impacto bajo y muy poco frecuente","Zona 2 — Atención: riesgo intermedio"))</f>
        <v/>
      </c>
      <c r="AB470" s="64">
        <f>IFERROR(INDEX(MgAmenCtrl,MATCH(SUBSTITUTE($H470,"*","-"),MgAmenClave,0)),"")</f>
        <v/>
      </c>
      <c r="AC470" s="20" t="n"/>
      <c r="AD470" s="31">
        <f>IFERROR($X470*(1-IF($AC470="",$AL470,VLOOKUP($AC470,MgMad,2,0))),"")</f>
        <v/>
      </c>
      <c r="AE470" s="28">
        <f>IFERROR(LOOKUP(AD470,{0;0.01;0.1;1;10;100},{"Muy baja";"Muy baja";"Baja";"Media";"Alta";"Muy alta"}),"")</f>
        <v/>
      </c>
      <c r="AF470" s="30">
        <f>T470*AD470</f>
        <v/>
      </c>
      <c r="AG470" s="28">
        <f>IFERROR(LOOKUP(AF470,{0;0.5;5;25},{"Bajo";"Medio";"Alto";"Crítico"}),"")</f>
        <v/>
      </c>
      <c r="AH470" s="28">
        <f>IF(AG470="","",IF(OR(AG470="Crítico",AG470="Alto"),"Mitigar",IF(AG470="Medio","Mitigar","Aceptar y monitorear")))</f>
        <v/>
      </c>
      <c r="AI470" s="21" t="n"/>
      <c r="AJ470" s="21" t="n"/>
      <c r="AK470" s="20" t="n"/>
      <c r="AL470" s="77">
        <f>IFERROR(INDEX(MgAmenEfic,MATCH(SUBSTITUTE($H470,"*","-"),MgAmenClave,0)),0)</f>
        <v/>
      </c>
    </row>
    <row r="471" hidden="1" ht="120" customHeight="1" s="54">
      <c r="B471" s="59" t="inlineStr">
        <is>
          <t>R-0466</t>
        </is>
      </c>
      <c r="C471" s="59" t="inlineStr">
        <is>
          <t>COM-21</t>
        </is>
      </c>
      <c r="D471" s="64">
        <f>IFERROR(INDEX(MgNombre,MATCH($C471,MgActId,0)),"")</f>
        <v/>
      </c>
      <c r="E471" s="64">
        <f>IFERROR(INDEX(MgProceso,MATCH($C471,MgActId,0)),"")</f>
        <v/>
      </c>
      <c r="F471" s="64">
        <f>IFERROR(INDEX(MgTipo,MATCH($C471,MgActId,0)),"")</f>
        <v/>
      </c>
      <c r="G471" s="64">
        <f>IFERROR(INDEX(MgSubtipo,MATCH($C471,MgActId,0)),"")</f>
        <v/>
      </c>
      <c r="H471" s="59" t="inlineStr">
        <is>
          <t>E.2</t>
        </is>
      </c>
      <c r="I471" s="64">
        <f>IFERROR(INDEX(MgAmenNombre,MATCH(SUBSTITUTE($H471,"*","-"),MgAmenClave,0)),"")</f>
        <v/>
      </c>
      <c r="J471" s="28">
        <f>IFERROR(INDEX(MgAmenGrupo,MATCH(SUBSTITUTE($H471,"*","-"),MgAmenClave,0)),"")</f>
        <v/>
      </c>
      <c r="K471" s="64">
        <f>IFERROR(INDEX('1. Matriz de Activos'!$Q$6:$Q$239,MATCH($C471,MgActId,0)),"")</f>
        <v/>
      </c>
      <c r="L471" s="64">
        <f>IFERROR(INDEX('1. Matriz de Activos'!$R$6:$R$239,MATCH($C471,MgActId,0)),"")</f>
        <v/>
      </c>
      <c r="M471" s="64">
        <f>IFERROR(INDEX('1. Matriz de Activos'!$S$6:$S$239,MATCH($C471,MgActId,0)),"")</f>
        <v/>
      </c>
      <c r="N471" s="28">
        <f>IFERROR(INDEX(MgAmenDegD,MATCH(SUBSTITUTE($H471,"*","-"),MgAmenClave,0)),"No aplica")</f>
        <v/>
      </c>
      <c r="O471" s="28">
        <f>IFERROR(INDEX(MgAmenDegI,MATCH(SUBSTITUTE($H471,"*","-"),MgAmenClave,0)),"No aplica")</f>
        <v/>
      </c>
      <c r="P471" s="28">
        <f>IFERROR(INDEX(MgAmenDegC,MATCH(SUBSTITUTE($H471,"*","-"),MgAmenClave,0)),"No aplica")</f>
        <v/>
      </c>
      <c r="Q471" s="29">
        <f>IFERROR(VLOOKUP(K471,MgValor,2,0)*VLOOKUP(N471,MgDeg,2,0),0)</f>
        <v/>
      </c>
      <c r="R471" s="29">
        <f>IFERROR(VLOOKUP(L471,MgValor,2,0)*VLOOKUP(O471,MgDeg,2,0),0)</f>
        <v/>
      </c>
      <c r="S471" s="29">
        <f>IFERROR(VLOOKUP(M471,MgValor,2,0)*VLOOKUP(P471,MgDeg,2,0),0)</f>
        <v/>
      </c>
      <c r="T471" s="30">
        <f>MAX(Q471:S471)</f>
        <v/>
      </c>
      <c r="U471" s="28">
        <f>IFERROR(LOOKUP(T471,{0;0.5;1.5;3;4.5},{"Despreciable";"Bajo";"Medio";"Alto";"Muy alto"}),"")</f>
        <v/>
      </c>
      <c r="V471" s="13">
        <f>IFERROR(INDEX(MgAmenFrec,MATCH(SUBSTITUTE($H471,"*","-"),MgAmenClave,0)),"")</f>
        <v/>
      </c>
      <c r="W471" s="28">
        <f>IFERROR(LOOKUP(X471,{0;0.01;0.1;1;10;100},{"Muy baja";"Muy baja";"Baja";"Media";"Alta";"Muy alta"}),"")</f>
        <v/>
      </c>
      <c r="X471" s="31">
        <f>IFERROR(VLOOKUP(V471,MgFrec,2,0),0)</f>
        <v/>
      </c>
      <c r="Y471" s="30">
        <f>T471*X471</f>
        <v/>
      </c>
      <c r="Z471" s="28">
        <f>IFERROR(LOOKUP(Y471,{0;0.5;5;25},{"Bajo";"Medio";"Alto";"Crítico"}),"")</f>
        <v/>
      </c>
      <c r="AA471" s="64">
        <f>IF(T471&gt;=3,IF(X471&gt;=1,"Zona 1 — Crítica: impacto alto y ocurre al menos una vez al año","Zona 4 — Catastrófica poco probable: impacto alto pero excepcional"),IF(AND(T471&lt;1.5,X471&lt;1),"Zona 3 — Asumible: impacto bajo y muy poco frecuente","Zona 2 — Atención: riesgo intermedio"))</f>
        <v/>
      </c>
      <c r="AB471" s="64">
        <f>IFERROR(INDEX(MgAmenCtrl,MATCH(SUBSTITUTE($H471,"*","-"),MgAmenClave,0)),"")</f>
        <v/>
      </c>
      <c r="AC471" s="20" t="n"/>
      <c r="AD471" s="31">
        <f>IFERROR($X471*(1-IF($AC471="",$AL471,VLOOKUP($AC471,MgMad,2,0))),"")</f>
        <v/>
      </c>
      <c r="AE471" s="28">
        <f>IFERROR(LOOKUP(AD471,{0;0.01;0.1;1;10;100},{"Muy baja";"Muy baja";"Baja";"Media";"Alta";"Muy alta"}),"")</f>
        <v/>
      </c>
      <c r="AF471" s="30">
        <f>T471*AD471</f>
        <v/>
      </c>
      <c r="AG471" s="28">
        <f>IFERROR(LOOKUP(AF471,{0;0.5;5;25},{"Bajo";"Medio";"Alto";"Crítico"}),"")</f>
        <v/>
      </c>
      <c r="AH471" s="28">
        <f>IF(AG471="","",IF(OR(AG471="Crítico",AG471="Alto"),"Mitigar",IF(AG471="Medio","Mitigar","Aceptar y monitorear")))</f>
        <v/>
      </c>
      <c r="AI471" s="21" t="n"/>
      <c r="AJ471" s="21" t="n"/>
      <c r="AK471" s="20" t="n"/>
      <c r="AL471" s="77">
        <f>IFERROR(INDEX(MgAmenEfic,MATCH(SUBSTITUTE($H471,"*","-"),MgAmenClave,0)),0)</f>
        <v/>
      </c>
    </row>
    <row r="472" hidden="1" ht="75" customHeight="1" s="54">
      <c r="B472" s="59" t="inlineStr">
        <is>
          <t>R-0467</t>
        </is>
      </c>
      <c r="C472" s="59" t="inlineStr">
        <is>
          <t>COM-21</t>
        </is>
      </c>
      <c r="D472" s="64">
        <f>IFERROR(INDEX(MgNombre,MATCH($C472,MgActId,0)),"")</f>
        <v/>
      </c>
      <c r="E472" s="64">
        <f>IFERROR(INDEX(MgProceso,MATCH($C472,MgActId,0)),"")</f>
        <v/>
      </c>
      <c r="F472" s="64">
        <f>IFERROR(INDEX(MgTipo,MATCH($C472,MgActId,0)),"")</f>
        <v/>
      </c>
      <c r="G472" s="64">
        <f>IFERROR(INDEX(MgSubtipo,MATCH($C472,MgActId,0)),"")</f>
        <v/>
      </c>
      <c r="H472" s="59" t="inlineStr">
        <is>
          <t>E.3</t>
        </is>
      </c>
      <c r="I472" s="64">
        <f>IFERROR(INDEX(MgAmenNombre,MATCH(SUBSTITUTE($H472,"*","-"),MgAmenClave,0)),"")</f>
        <v/>
      </c>
      <c r="J472" s="28">
        <f>IFERROR(INDEX(MgAmenGrupo,MATCH(SUBSTITUTE($H472,"*","-"),MgAmenClave,0)),"")</f>
        <v/>
      </c>
      <c r="K472" s="64">
        <f>IFERROR(INDEX('1. Matriz de Activos'!$Q$6:$Q$239,MATCH($C472,MgActId,0)),"")</f>
        <v/>
      </c>
      <c r="L472" s="64">
        <f>IFERROR(INDEX('1. Matriz de Activos'!$R$6:$R$239,MATCH($C472,MgActId,0)),"")</f>
        <v/>
      </c>
      <c r="M472" s="64">
        <f>IFERROR(INDEX('1. Matriz de Activos'!$S$6:$S$239,MATCH($C472,MgActId,0)),"")</f>
        <v/>
      </c>
      <c r="N472" s="28">
        <f>IFERROR(INDEX(MgAmenDegD,MATCH(SUBSTITUTE($H472,"*","-"),MgAmenClave,0)),"No aplica")</f>
        <v/>
      </c>
      <c r="O472" s="28">
        <f>IFERROR(INDEX(MgAmenDegI,MATCH(SUBSTITUTE($H472,"*","-"),MgAmenClave,0)),"No aplica")</f>
        <v/>
      </c>
      <c r="P472" s="28">
        <f>IFERROR(INDEX(MgAmenDegC,MATCH(SUBSTITUTE($H472,"*","-"),MgAmenClave,0)),"No aplica")</f>
        <v/>
      </c>
      <c r="Q472" s="29">
        <f>IFERROR(VLOOKUP(K472,MgValor,2,0)*VLOOKUP(N472,MgDeg,2,0),0)</f>
        <v/>
      </c>
      <c r="R472" s="29">
        <f>IFERROR(VLOOKUP(L472,MgValor,2,0)*VLOOKUP(O472,MgDeg,2,0),0)</f>
        <v/>
      </c>
      <c r="S472" s="29">
        <f>IFERROR(VLOOKUP(M472,MgValor,2,0)*VLOOKUP(P472,MgDeg,2,0),0)</f>
        <v/>
      </c>
      <c r="T472" s="30">
        <f>MAX(Q472:S472)</f>
        <v/>
      </c>
      <c r="U472" s="28">
        <f>IFERROR(LOOKUP(T472,{0;0.5;1.5;3;4.5},{"Despreciable";"Bajo";"Medio";"Alto";"Muy alto"}),"")</f>
        <v/>
      </c>
      <c r="V472" s="13">
        <f>IFERROR(INDEX(MgAmenFrec,MATCH(SUBSTITUTE($H472,"*","-"),MgAmenClave,0)),"")</f>
        <v/>
      </c>
      <c r="W472" s="28">
        <f>IFERROR(LOOKUP(X472,{0;0.01;0.1;1;10;100},{"Muy baja";"Muy baja";"Baja";"Media";"Alta";"Muy alta"}),"")</f>
        <v/>
      </c>
      <c r="X472" s="31">
        <f>IFERROR(VLOOKUP(V472,MgFrec,2,0),0)</f>
        <v/>
      </c>
      <c r="Y472" s="30">
        <f>T472*X472</f>
        <v/>
      </c>
      <c r="Z472" s="28">
        <f>IFERROR(LOOKUP(Y472,{0;0.5;5;25},{"Bajo";"Medio";"Alto";"Crítico"}),"")</f>
        <v/>
      </c>
      <c r="AA472" s="64">
        <f>IF(T472&gt;=3,IF(X472&gt;=1,"Zona 1 — Crítica: impacto alto y ocurre al menos una vez al año","Zona 4 — Catastrófica poco probable: impacto alto pero excepcional"),IF(AND(T472&lt;1.5,X472&lt;1),"Zona 3 — Asumible: impacto bajo y muy poco frecuente","Zona 2 — Atención: riesgo intermedio"))</f>
        <v/>
      </c>
      <c r="AB472" s="64">
        <f>IFERROR(INDEX(MgAmenCtrl,MATCH(SUBSTITUTE($H472,"*","-"),MgAmenClave,0)),"")</f>
        <v/>
      </c>
      <c r="AC472" s="20" t="n"/>
      <c r="AD472" s="31">
        <f>IFERROR($X472*(1-IF($AC472="",$AL472,VLOOKUP($AC472,MgMad,2,0))),"")</f>
        <v/>
      </c>
      <c r="AE472" s="28">
        <f>IFERROR(LOOKUP(AD472,{0;0.01;0.1;1;10;100},{"Muy baja";"Muy baja";"Baja";"Media";"Alta";"Muy alta"}),"")</f>
        <v/>
      </c>
      <c r="AF472" s="30">
        <f>T472*AD472</f>
        <v/>
      </c>
      <c r="AG472" s="28">
        <f>IFERROR(LOOKUP(AF472,{0;0.5;5;25},{"Bajo";"Medio";"Alto";"Crítico"}),"")</f>
        <v/>
      </c>
      <c r="AH472" s="28">
        <f>IF(AG472="","",IF(OR(AG472="Crítico",AG472="Alto"),"Mitigar",IF(AG472="Medio","Mitigar","Aceptar y monitorear")))</f>
        <v/>
      </c>
      <c r="AI472" s="21" t="n"/>
      <c r="AJ472" s="21" t="n"/>
      <c r="AK472" s="20" t="n"/>
      <c r="AL472" s="77">
        <f>IFERROR(INDEX(MgAmenEfic,MATCH(SUBSTITUTE($H472,"*","-"),MgAmenClave,0)),0)</f>
        <v/>
      </c>
    </row>
    <row r="473" hidden="1" ht="75" customHeight="1" s="54">
      <c r="B473" s="59" t="inlineStr">
        <is>
          <t>R-0468</t>
        </is>
      </c>
      <c r="C473" s="59" t="inlineStr">
        <is>
          <t>COM-21</t>
        </is>
      </c>
      <c r="D473" s="64">
        <f>IFERROR(INDEX(MgNombre,MATCH($C473,MgActId,0)),"")</f>
        <v/>
      </c>
      <c r="E473" s="64">
        <f>IFERROR(INDEX(MgProceso,MATCH($C473,MgActId,0)),"")</f>
        <v/>
      </c>
      <c r="F473" s="64">
        <f>IFERROR(INDEX(MgTipo,MATCH($C473,MgActId,0)),"")</f>
        <v/>
      </c>
      <c r="G473" s="64">
        <f>IFERROR(INDEX(MgSubtipo,MATCH($C473,MgActId,0)),"")</f>
        <v/>
      </c>
      <c r="H473" s="59" t="inlineStr">
        <is>
          <t>E.4</t>
        </is>
      </c>
      <c r="I473" s="64">
        <f>IFERROR(INDEX(MgAmenNombre,MATCH(SUBSTITUTE($H473,"*","-"),MgAmenClave,0)),"")</f>
        <v/>
      </c>
      <c r="J473" s="28">
        <f>IFERROR(INDEX(MgAmenGrupo,MATCH(SUBSTITUTE($H473,"*","-"),MgAmenClave,0)),"")</f>
        <v/>
      </c>
      <c r="K473" s="64">
        <f>IFERROR(INDEX('1. Matriz de Activos'!$Q$6:$Q$239,MATCH($C473,MgActId,0)),"")</f>
        <v/>
      </c>
      <c r="L473" s="64">
        <f>IFERROR(INDEX('1. Matriz de Activos'!$R$6:$R$239,MATCH($C473,MgActId,0)),"")</f>
        <v/>
      </c>
      <c r="M473" s="64">
        <f>IFERROR(INDEX('1. Matriz de Activos'!$S$6:$S$239,MATCH($C473,MgActId,0)),"")</f>
        <v/>
      </c>
      <c r="N473" s="28">
        <f>IFERROR(INDEX(MgAmenDegD,MATCH(SUBSTITUTE($H473,"*","-"),MgAmenClave,0)),"No aplica")</f>
        <v/>
      </c>
      <c r="O473" s="28">
        <f>IFERROR(INDEX(MgAmenDegI,MATCH(SUBSTITUTE($H473,"*","-"),MgAmenClave,0)),"No aplica")</f>
        <v/>
      </c>
      <c r="P473" s="28">
        <f>IFERROR(INDEX(MgAmenDegC,MATCH(SUBSTITUTE($H473,"*","-"),MgAmenClave,0)),"No aplica")</f>
        <v/>
      </c>
      <c r="Q473" s="29">
        <f>IFERROR(VLOOKUP(K473,MgValor,2,0)*VLOOKUP(N473,MgDeg,2,0),0)</f>
        <v/>
      </c>
      <c r="R473" s="29">
        <f>IFERROR(VLOOKUP(L473,MgValor,2,0)*VLOOKUP(O473,MgDeg,2,0),0)</f>
        <v/>
      </c>
      <c r="S473" s="29">
        <f>IFERROR(VLOOKUP(M473,MgValor,2,0)*VLOOKUP(P473,MgDeg,2,0),0)</f>
        <v/>
      </c>
      <c r="T473" s="30">
        <f>MAX(Q473:S473)</f>
        <v/>
      </c>
      <c r="U473" s="28">
        <f>IFERROR(LOOKUP(T473,{0;0.5;1.5;3;4.5},{"Despreciable";"Bajo";"Medio";"Alto";"Muy alto"}),"")</f>
        <v/>
      </c>
      <c r="V473" s="13">
        <f>IFERROR(INDEX(MgAmenFrec,MATCH(SUBSTITUTE($H473,"*","-"),MgAmenClave,0)),"")</f>
        <v/>
      </c>
      <c r="W473" s="28">
        <f>IFERROR(LOOKUP(X473,{0;0.01;0.1;1;10;100},{"Muy baja";"Muy baja";"Baja";"Media";"Alta";"Muy alta"}),"")</f>
        <v/>
      </c>
      <c r="X473" s="31">
        <f>IFERROR(VLOOKUP(V473,MgFrec,2,0),0)</f>
        <v/>
      </c>
      <c r="Y473" s="30">
        <f>T473*X473</f>
        <v/>
      </c>
      <c r="Z473" s="28">
        <f>IFERROR(LOOKUP(Y473,{0;0.5;5;25},{"Bajo";"Medio";"Alto";"Crítico"}),"")</f>
        <v/>
      </c>
      <c r="AA473" s="64">
        <f>IF(T473&gt;=3,IF(X473&gt;=1,"Zona 1 — Crítica: impacto alto y ocurre al menos una vez al año","Zona 4 — Catastrófica poco probable: impacto alto pero excepcional"),IF(AND(T473&lt;1.5,X473&lt;1),"Zona 3 — Asumible: impacto bajo y muy poco frecuente","Zona 2 — Atención: riesgo intermedio"))</f>
        <v/>
      </c>
      <c r="AB473" s="64">
        <f>IFERROR(INDEX(MgAmenCtrl,MATCH(SUBSTITUTE($H473,"*","-"),MgAmenClave,0)),"")</f>
        <v/>
      </c>
      <c r="AC473" s="20" t="n"/>
      <c r="AD473" s="31">
        <f>IFERROR($X473*(1-IF($AC473="",$AL473,VLOOKUP($AC473,MgMad,2,0))),"")</f>
        <v/>
      </c>
      <c r="AE473" s="28">
        <f>IFERROR(LOOKUP(AD473,{0;0.01;0.1;1;10;100},{"Muy baja";"Muy baja";"Baja";"Media";"Alta";"Muy alta"}),"")</f>
        <v/>
      </c>
      <c r="AF473" s="30">
        <f>T473*AD473</f>
        <v/>
      </c>
      <c r="AG473" s="28">
        <f>IFERROR(LOOKUP(AF473,{0;0.5;5;25},{"Bajo";"Medio";"Alto";"Crítico"}),"")</f>
        <v/>
      </c>
      <c r="AH473" s="28">
        <f>IF(AG473="","",IF(OR(AG473="Crítico",AG473="Alto"),"Mitigar",IF(AG473="Medio","Mitigar","Aceptar y monitorear")))</f>
        <v/>
      </c>
      <c r="AI473" s="21" t="n"/>
      <c r="AJ473" s="21" t="n"/>
      <c r="AK473" s="20" t="n"/>
      <c r="AL473" s="77">
        <f>IFERROR(INDEX(MgAmenEfic,MATCH(SUBSTITUTE($H473,"*","-"),MgAmenClave,0)),0)</f>
        <v/>
      </c>
    </row>
    <row r="474" hidden="1" ht="90" customHeight="1" s="54">
      <c r="B474" s="59" t="inlineStr">
        <is>
          <t>R-0469</t>
        </is>
      </c>
      <c r="C474" s="59" t="inlineStr">
        <is>
          <t>COM-21</t>
        </is>
      </c>
      <c r="D474" s="64">
        <f>IFERROR(INDEX(MgNombre,MATCH($C474,MgActId,0)),"")</f>
        <v/>
      </c>
      <c r="E474" s="64">
        <f>IFERROR(INDEX(MgProceso,MATCH($C474,MgActId,0)),"")</f>
        <v/>
      </c>
      <c r="F474" s="64">
        <f>IFERROR(INDEX(MgTipo,MATCH($C474,MgActId,0)),"")</f>
        <v/>
      </c>
      <c r="G474" s="64">
        <f>IFERROR(INDEX(MgSubtipo,MATCH($C474,MgActId,0)),"")</f>
        <v/>
      </c>
      <c r="H474" s="59" t="inlineStr">
        <is>
          <t>E.14</t>
        </is>
      </c>
      <c r="I474" s="64">
        <f>IFERROR(INDEX(MgAmenNombre,MATCH(SUBSTITUTE($H474,"*","-"),MgAmenClave,0)),"")</f>
        <v/>
      </c>
      <c r="J474" s="28">
        <f>IFERROR(INDEX(MgAmenGrupo,MATCH(SUBSTITUTE($H474,"*","-"),MgAmenClave,0)),"")</f>
        <v/>
      </c>
      <c r="K474" s="64">
        <f>IFERROR(INDEX('1. Matriz de Activos'!$Q$6:$Q$239,MATCH($C474,MgActId,0)),"")</f>
        <v/>
      </c>
      <c r="L474" s="64">
        <f>IFERROR(INDEX('1. Matriz de Activos'!$R$6:$R$239,MATCH($C474,MgActId,0)),"")</f>
        <v/>
      </c>
      <c r="M474" s="64">
        <f>IFERROR(INDEX('1. Matriz de Activos'!$S$6:$S$239,MATCH($C474,MgActId,0)),"")</f>
        <v/>
      </c>
      <c r="N474" s="28">
        <f>IFERROR(INDEX(MgAmenDegD,MATCH(SUBSTITUTE($H474,"*","-"),MgAmenClave,0)),"No aplica")</f>
        <v/>
      </c>
      <c r="O474" s="28">
        <f>IFERROR(INDEX(MgAmenDegI,MATCH(SUBSTITUTE($H474,"*","-"),MgAmenClave,0)),"No aplica")</f>
        <v/>
      </c>
      <c r="P474" s="28">
        <f>IFERROR(INDEX(MgAmenDegC,MATCH(SUBSTITUTE($H474,"*","-"),MgAmenClave,0)),"No aplica")</f>
        <v/>
      </c>
      <c r="Q474" s="29">
        <f>IFERROR(VLOOKUP(K474,MgValor,2,0)*VLOOKUP(N474,MgDeg,2,0),0)</f>
        <v/>
      </c>
      <c r="R474" s="29">
        <f>IFERROR(VLOOKUP(L474,MgValor,2,0)*VLOOKUP(O474,MgDeg,2,0),0)</f>
        <v/>
      </c>
      <c r="S474" s="29">
        <f>IFERROR(VLOOKUP(M474,MgValor,2,0)*VLOOKUP(P474,MgDeg,2,0),0)</f>
        <v/>
      </c>
      <c r="T474" s="30">
        <f>MAX(Q474:S474)</f>
        <v/>
      </c>
      <c r="U474" s="28">
        <f>IFERROR(LOOKUP(T474,{0;0.5;1.5;3;4.5},{"Despreciable";"Bajo";"Medio";"Alto";"Muy alto"}),"")</f>
        <v/>
      </c>
      <c r="V474" s="13">
        <f>IFERROR(INDEX(MgAmenFrec,MATCH(SUBSTITUTE($H474,"*","-"),MgAmenClave,0)),"")</f>
        <v/>
      </c>
      <c r="W474" s="28">
        <f>IFERROR(LOOKUP(X474,{0;0.01;0.1;1;10;100},{"Muy baja";"Muy baja";"Baja";"Media";"Alta";"Muy alta"}),"")</f>
        <v/>
      </c>
      <c r="X474" s="31">
        <f>IFERROR(VLOOKUP(V474,MgFrec,2,0),0)</f>
        <v/>
      </c>
      <c r="Y474" s="30">
        <f>T474*X474</f>
        <v/>
      </c>
      <c r="Z474" s="28">
        <f>IFERROR(LOOKUP(Y474,{0;0.5;5;25},{"Bajo";"Medio";"Alto";"Crítico"}),"")</f>
        <v/>
      </c>
      <c r="AA474" s="64">
        <f>IF(T474&gt;=3,IF(X474&gt;=1,"Zona 1 — Crítica: impacto alto y ocurre al menos una vez al año","Zona 4 — Catastrófica poco probable: impacto alto pero excepcional"),IF(AND(T474&lt;1.5,X474&lt;1),"Zona 3 — Asumible: impacto bajo y muy poco frecuente","Zona 2 — Atención: riesgo intermedio"))</f>
        <v/>
      </c>
      <c r="AB474" s="64">
        <f>IFERROR(INDEX(MgAmenCtrl,MATCH(SUBSTITUTE($H474,"*","-"),MgAmenClave,0)),"")</f>
        <v/>
      </c>
      <c r="AC474" s="20" t="n"/>
      <c r="AD474" s="31">
        <f>IFERROR($X474*(1-IF($AC474="",$AL474,VLOOKUP($AC474,MgMad,2,0))),"")</f>
        <v/>
      </c>
      <c r="AE474" s="28">
        <f>IFERROR(LOOKUP(AD474,{0;0.01;0.1;1;10;100},{"Muy baja";"Muy baja";"Baja";"Media";"Alta";"Muy alta"}),"")</f>
        <v/>
      </c>
      <c r="AF474" s="30">
        <f>T474*AD474</f>
        <v/>
      </c>
      <c r="AG474" s="28">
        <f>IFERROR(LOOKUP(AF474,{0;0.5;5;25},{"Bajo";"Medio";"Alto";"Crítico"}),"")</f>
        <v/>
      </c>
      <c r="AH474" s="28">
        <f>IF(AG474="","",IF(OR(AG474="Crítico",AG474="Alto"),"Mitigar",IF(AG474="Medio","Mitigar","Aceptar y monitorear")))</f>
        <v/>
      </c>
      <c r="AI474" s="21" t="n"/>
      <c r="AJ474" s="21" t="n"/>
      <c r="AK474" s="20" t="n"/>
      <c r="AL474" s="77">
        <f>IFERROR(INDEX(MgAmenEfic,MATCH(SUBSTITUTE($H474,"*","-"),MgAmenClave,0)),0)</f>
        <v/>
      </c>
    </row>
    <row r="475" hidden="1" ht="90" customHeight="1" s="54">
      <c r="B475" s="59" t="inlineStr">
        <is>
          <t>R-0470</t>
        </is>
      </c>
      <c r="C475" s="59" t="inlineStr">
        <is>
          <t>COM-21</t>
        </is>
      </c>
      <c r="D475" s="64">
        <f>IFERROR(INDEX(MgNombre,MATCH($C475,MgActId,0)),"")</f>
        <v/>
      </c>
      <c r="E475" s="64">
        <f>IFERROR(INDEX(MgProceso,MATCH($C475,MgActId,0)),"")</f>
        <v/>
      </c>
      <c r="F475" s="64">
        <f>IFERROR(INDEX(MgTipo,MATCH($C475,MgActId,0)),"")</f>
        <v/>
      </c>
      <c r="G475" s="64">
        <f>IFERROR(INDEX(MgSubtipo,MATCH($C475,MgActId,0)),"")</f>
        <v/>
      </c>
      <c r="H475" s="59" t="inlineStr">
        <is>
          <t>E.15</t>
        </is>
      </c>
      <c r="I475" s="64">
        <f>IFERROR(INDEX(MgAmenNombre,MATCH(SUBSTITUTE($H475,"*","-"),MgAmenClave,0)),"")</f>
        <v/>
      </c>
      <c r="J475" s="28">
        <f>IFERROR(INDEX(MgAmenGrupo,MATCH(SUBSTITUTE($H475,"*","-"),MgAmenClave,0)),"")</f>
        <v/>
      </c>
      <c r="K475" s="64">
        <f>IFERROR(INDEX('1. Matriz de Activos'!$Q$6:$Q$239,MATCH($C475,MgActId,0)),"")</f>
        <v/>
      </c>
      <c r="L475" s="64">
        <f>IFERROR(INDEX('1. Matriz de Activos'!$R$6:$R$239,MATCH($C475,MgActId,0)),"")</f>
        <v/>
      </c>
      <c r="M475" s="64">
        <f>IFERROR(INDEX('1. Matriz de Activos'!$S$6:$S$239,MATCH($C475,MgActId,0)),"")</f>
        <v/>
      </c>
      <c r="N475" s="28">
        <f>IFERROR(INDEX(MgAmenDegD,MATCH(SUBSTITUTE($H475,"*","-"),MgAmenClave,0)),"No aplica")</f>
        <v/>
      </c>
      <c r="O475" s="28">
        <f>IFERROR(INDEX(MgAmenDegI,MATCH(SUBSTITUTE($H475,"*","-"),MgAmenClave,0)),"No aplica")</f>
        <v/>
      </c>
      <c r="P475" s="28">
        <f>IFERROR(INDEX(MgAmenDegC,MATCH(SUBSTITUTE($H475,"*","-"),MgAmenClave,0)),"No aplica")</f>
        <v/>
      </c>
      <c r="Q475" s="29">
        <f>IFERROR(VLOOKUP(K475,MgValor,2,0)*VLOOKUP(N475,MgDeg,2,0),0)</f>
        <v/>
      </c>
      <c r="R475" s="29">
        <f>IFERROR(VLOOKUP(L475,MgValor,2,0)*VLOOKUP(O475,MgDeg,2,0),0)</f>
        <v/>
      </c>
      <c r="S475" s="29">
        <f>IFERROR(VLOOKUP(M475,MgValor,2,0)*VLOOKUP(P475,MgDeg,2,0),0)</f>
        <v/>
      </c>
      <c r="T475" s="30">
        <f>MAX(Q475:S475)</f>
        <v/>
      </c>
      <c r="U475" s="28">
        <f>IFERROR(LOOKUP(T475,{0;0.5;1.5;3;4.5},{"Despreciable";"Bajo";"Medio";"Alto";"Muy alto"}),"")</f>
        <v/>
      </c>
      <c r="V475" s="13">
        <f>IFERROR(INDEX(MgAmenFrec,MATCH(SUBSTITUTE($H475,"*","-"),MgAmenClave,0)),"")</f>
        <v/>
      </c>
      <c r="W475" s="28">
        <f>IFERROR(LOOKUP(X475,{0;0.01;0.1;1;10;100},{"Muy baja";"Muy baja";"Baja";"Media";"Alta";"Muy alta"}),"")</f>
        <v/>
      </c>
      <c r="X475" s="31">
        <f>IFERROR(VLOOKUP(V475,MgFrec,2,0),0)</f>
        <v/>
      </c>
      <c r="Y475" s="30">
        <f>T475*X475</f>
        <v/>
      </c>
      <c r="Z475" s="28">
        <f>IFERROR(LOOKUP(Y475,{0;0.5;5;25},{"Bajo";"Medio";"Alto";"Crítico"}),"")</f>
        <v/>
      </c>
      <c r="AA475" s="64">
        <f>IF(T475&gt;=3,IF(X475&gt;=1,"Zona 1 — Crítica: impacto alto y ocurre al menos una vez al año","Zona 4 — Catastrófica poco probable: impacto alto pero excepcional"),IF(AND(T475&lt;1.5,X475&lt;1),"Zona 3 — Asumible: impacto bajo y muy poco frecuente","Zona 2 — Atención: riesgo intermedio"))</f>
        <v/>
      </c>
      <c r="AB475" s="64">
        <f>IFERROR(INDEX(MgAmenCtrl,MATCH(SUBSTITUTE($H475,"*","-"),MgAmenClave,0)),"")</f>
        <v/>
      </c>
      <c r="AC475" s="20" t="n"/>
      <c r="AD475" s="31">
        <f>IFERROR($X475*(1-IF($AC475="",$AL475,VLOOKUP($AC475,MgMad,2,0))),"")</f>
        <v/>
      </c>
      <c r="AE475" s="28">
        <f>IFERROR(LOOKUP(AD475,{0;0.01;0.1;1;10;100},{"Muy baja";"Muy baja";"Baja";"Media";"Alta";"Muy alta"}),"")</f>
        <v/>
      </c>
      <c r="AF475" s="30">
        <f>T475*AD475</f>
        <v/>
      </c>
      <c r="AG475" s="28">
        <f>IFERROR(LOOKUP(AF475,{0;0.5;5;25},{"Bajo";"Medio";"Alto";"Crítico"}),"")</f>
        <v/>
      </c>
      <c r="AH475" s="28">
        <f>IF(AG475="","",IF(OR(AG475="Crítico",AG475="Alto"),"Mitigar",IF(AG475="Medio","Mitigar","Aceptar y monitorear")))</f>
        <v/>
      </c>
      <c r="AI475" s="21" t="n"/>
      <c r="AJ475" s="21" t="n"/>
      <c r="AK475" s="20" t="n"/>
      <c r="AL475" s="77">
        <f>IFERROR(INDEX(MgAmenEfic,MATCH(SUBSTITUTE($H475,"*","-"),MgAmenClave,0)),0)</f>
        <v/>
      </c>
    </row>
    <row r="476" hidden="1" ht="60" customHeight="1" s="54">
      <c r="B476" s="59" t="inlineStr">
        <is>
          <t>R-0471</t>
        </is>
      </c>
      <c r="C476" s="59" t="inlineStr">
        <is>
          <t>COM-21</t>
        </is>
      </c>
      <c r="D476" s="64">
        <f>IFERROR(INDEX(MgNombre,MATCH($C476,MgActId,0)),"")</f>
        <v/>
      </c>
      <c r="E476" s="64">
        <f>IFERROR(INDEX(MgProceso,MATCH($C476,MgActId,0)),"")</f>
        <v/>
      </c>
      <c r="F476" s="64">
        <f>IFERROR(INDEX(MgTipo,MATCH($C476,MgActId,0)),"")</f>
        <v/>
      </c>
      <c r="G476" s="64">
        <f>IFERROR(INDEX(MgSubtipo,MATCH($C476,MgActId,0)),"")</f>
        <v/>
      </c>
      <c r="H476" s="59" t="inlineStr">
        <is>
          <t>E.18</t>
        </is>
      </c>
      <c r="I476" s="64">
        <f>IFERROR(INDEX(MgAmenNombre,MATCH(SUBSTITUTE($H476,"*","-"),MgAmenClave,0)),"")</f>
        <v/>
      </c>
      <c r="J476" s="28">
        <f>IFERROR(INDEX(MgAmenGrupo,MATCH(SUBSTITUTE($H476,"*","-"),MgAmenClave,0)),"")</f>
        <v/>
      </c>
      <c r="K476" s="64">
        <f>IFERROR(INDEX('1. Matriz de Activos'!$Q$6:$Q$239,MATCH($C476,MgActId,0)),"")</f>
        <v/>
      </c>
      <c r="L476" s="64">
        <f>IFERROR(INDEX('1. Matriz de Activos'!$R$6:$R$239,MATCH($C476,MgActId,0)),"")</f>
        <v/>
      </c>
      <c r="M476" s="64">
        <f>IFERROR(INDEX('1. Matriz de Activos'!$S$6:$S$239,MATCH($C476,MgActId,0)),"")</f>
        <v/>
      </c>
      <c r="N476" s="28">
        <f>IFERROR(INDEX(MgAmenDegD,MATCH(SUBSTITUTE($H476,"*","-"),MgAmenClave,0)),"No aplica")</f>
        <v/>
      </c>
      <c r="O476" s="28">
        <f>IFERROR(INDEX(MgAmenDegI,MATCH(SUBSTITUTE($H476,"*","-"),MgAmenClave,0)),"No aplica")</f>
        <v/>
      </c>
      <c r="P476" s="28">
        <f>IFERROR(INDEX(MgAmenDegC,MATCH(SUBSTITUTE($H476,"*","-"),MgAmenClave,0)),"No aplica")</f>
        <v/>
      </c>
      <c r="Q476" s="29">
        <f>IFERROR(VLOOKUP(K476,MgValor,2,0)*VLOOKUP(N476,MgDeg,2,0),0)</f>
        <v/>
      </c>
      <c r="R476" s="29">
        <f>IFERROR(VLOOKUP(L476,MgValor,2,0)*VLOOKUP(O476,MgDeg,2,0),0)</f>
        <v/>
      </c>
      <c r="S476" s="29">
        <f>IFERROR(VLOOKUP(M476,MgValor,2,0)*VLOOKUP(P476,MgDeg,2,0),0)</f>
        <v/>
      </c>
      <c r="T476" s="30">
        <f>MAX(Q476:S476)</f>
        <v/>
      </c>
      <c r="U476" s="28">
        <f>IFERROR(LOOKUP(T476,{0;0.5;1.5;3;4.5},{"Despreciable";"Bajo";"Medio";"Alto";"Muy alto"}),"")</f>
        <v/>
      </c>
      <c r="V476" s="13">
        <f>IFERROR(INDEX(MgAmenFrec,MATCH(SUBSTITUTE($H476,"*","-"),MgAmenClave,0)),"")</f>
        <v/>
      </c>
      <c r="W476" s="28">
        <f>IFERROR(LOOKUP(X476,{0;0.01;0.1;1;10;100},{"Muy baja";"Muy baja";"Baja";"Media";"Alta";"Muy alta"}),"")</f>
        <v/>
      </c>
      <c r="X476" s="31">
        <f>IFERROR(VLOOKUP(V476,MgFrec,2,0),0)</f>
        <v/>
      </c>
      <c r="Y476" s="30">
        <f>T476*X476</f>
        <v/>
      </c>
      <c r="Z476" s="28">
        <f>IFERROR(LOOKUP(Y476,{0;0.5;5;25},{"Bajo";"Medio";"Alto";"Crítico"}),"")</f>
        <v/>
      </c>
      <c r="AA476" s="64">
        <f>IF(T476&gt;=3,IF(X476&gt;=1,"Zona 1 — Crítica: impacto alto y ocurre al menos una vez al año","Zona 4 — Catastrófica poco probable: impacto alto pero excepcional"),IF(AND(T476&lt;1.5,X476&lt;1),"Zona 3 — Asumible: impacto bajo y muy poco frecuente","Zona 2 — Atención: riesgo intermedio"))</f>
        <v/>
      </c>
      <c r="AB476" s="64">
        <f>IFERROR(INDEX(MgAmenCtrl,MATCH(SUBSTITUTE($H476,"*","-"),MgAmenClave,0)),"")</f>
        <v/>
      </c>
      <c r="AC476" s="20" t="n"/>
      <c r="AD476" s="31">
        <f>IFERROR($X476*(1-IF($AC476="",$AL476,VLOOKUP($AC476,MgMad,2,0))),"")</f>
        <v/>
      </c>
      <c r="AE476" s="28">
        <f>IFERROR(LOOKUP(AD476,{0;0.01;0.1;1;10;100},{"Muy baja";"Muy baja";"Baja";"Media";"Alta";"Muy alta"}),"")</f>
        <v/>
      </c>
      <c r="AF476" s="30">
        <f>T476*AD476</f>
        <v/>
      </c>
      <c r="AG476" s="28">
        <f>IFERROR(LOOKUP(AF476,{0;0.5;5;25},{"Bajo";"Medio";"Alto";"Crítico"}),"")</f>
        <v/>
      </c>
      <c r="AH476" s="28">
        <f>IF(AG476="","",IF(OR(AG476="Crítico",AG476="Alto"),"Mitigar",IF(AG476="Medio","Mitigar","Aceptar y monitorear")))</f>
        <v/>
      </c>
      <c r="AI476" s="21" t="n"/>
      <c r="AJ476" s="21" t="n"/>
      <c r="AK476" s="20" t="n"/>
      <c r="AL476" s="77">
        <f>IFERROR(INDEX(MgAmenEfic,MATCH(SUBSTITUTE($H476,"*","-"),MgAmenClave,0)),0)</f>
        <v/>
      </c>
    </row>
    <row r="477" hidden="1" ht="105" customHeight="1" s="54">
      <c r="B477" s="59" t="inlineStr">
        <is>
          <t>R-0472</t>
        </is>
      </c>
      <c r="C477" s="59" t="inlineStr">
        <is>
          <t>COM-21</t>
        </is>
      </c>
      <c r="D477" s="64">
        <f>IFERROR(INDEX(MgNombre,MATCH($C477,MgActId,0)),"")</f>
        <v/>
      </c>
      <c r="E477" s="64">
        <f>IFERROR(INDEX(MgProceso,MATCH($C477,MgActId,0)),"")</f>
        <v/>
      </c>
      <c r="F477" s="64">
        <f>IFERROR(INDEX(MgTipo,MATCH($C477,MgActId,0)),"")</f>
        <v/>
      </c>
      <c r="G477" s="64">
        <f>IFERROR(INDEX(MgSubtipo,MATCH($C477,MgActId,0)),"")</f>
        <v/>
      </c>
      <c r="H477" s="59" t="inlineStr">
        <is>
          <t>E.19</t>
        </is>
      </c>
      <c r="I477" s="64">
        <f>IFERROR(INDEX(MgAmenNombre,MATCH(SUBSTITUTE($H477,"*","-"),MgAmenClave,0)),"")</f>
        <v/>
      </c>
      <c r="J477" s="28">
        <f>IFERROR(INDEX(MgAmenGrupo,MATCH(SUBSTITUTE($H477,"*","-"),MgAmenClave,0)),"")</f>
        <v/>
      </c>
      <c r="K477" s="64">
        <f>IFERROR(INDEX('1. Matriz de Activos'!$Q$6:$Q$239,MATCH($C477,MgActId,0)),"")</f>
        <v/>
      </c>
      <c r="L477" s="64">
        <f>IFERROR(INDEX('1. Matriz de Activos'!$R$6:$R$239,MATCH($C477,MgActId,0)),"")</f>
        <v/>
      </c>
      <c r="M477" s="64">
        <f>IFERROR(INDEX('1. Matriz de Activos'!$S$6:$S$239,MATCH($C477,MgActId,0)),"")</f>
        <v/>
      </c>
      <c r="N477" s="28">
        <f>IFERROR(INDEX(MgAmenDegD,MATCH(SUBSTITUTE($H477,"*","-"),MgAmenClave,0)),"No aplica")</f>
        <v/>
      </c>
      <c r="O477" s="28">
        <f>IFERROR(INDEX(MgAmenDegI,MATCH(SUBSTITUTE($H477,"*","-"),MgAmenClave,0)),"No aplica")</f>
        <v/>
      </c>
      <c r="P477" s="28">
        <f>IFERROR(INDEX(MgAmenDegC,MATCH(SUBSTITUTE($H477,"*","-"),MgAmenClave,0)),"No aplica")</f>
        <v/>
      </c>
      <c r="Q477" s="29">
        <f>IFERROR(VLOOKUP(K477,MgValor,2,0)*VLOOKUP(N477,MgDeg,2,0),0)</f>
        <v/>
      </c>
      <c r="R477" s="29">
        <f>IFERROR(VLOOKUP(L477,MgValor,2,0)*VLOOKUP(O477,MgDeg,2,0),0)</f>
        <v/>
      </c>
      <c r="S477" s="29">
        <f>IFERROR(VLOOKUP(M477,MgValor,2,0)*VLOOKUP(P477,MgDeg,2,0),0)</f>
        <v/>
      </c>
      <c r="T477" s="30">
        <f>MAX(Q477:S477)</f>
        <v/>
      </c>
      <c r="U477" s="28">
        <f>IFERROR(LOOKUP(T477,{0;0.5;1.5;3;4.5},{"Despreciable";"Bajo";"Medio";"Alto";"Muy alto"}),"")</f>
        <v/>
      </c>
      <c r="V477" s="13">
        <f>IFERROR(INDEX(MgAmenFrec,MATCH(SUBSTITUTE($H477,"*","-"),MgAmenClave,0)),"")</f>
        <v/>
      </c>
      <c r="W477" s="28">
        <f>IFERROR(LOOKUP(X477,{0;0.01;0.1;1;10;100},{"Muy baja";"Muy baja";"Baja";"Media";"Alta";"Muy alta"}),"")</f>
        <v/>
      </c>
      <c r="X477" s="31">
        <f>IFERROR(VLOOKUP(V477,MgFrec,2,0),0)</f>
        <v/>
      </c>
      <c r="Y477" s="30">
        <f>T477*X477</f>
        <v/>
      </c>
      <c r="Z477" s="28">
        <f>IFERROR(LOOKUP(Y477,{0;0.5;5;25},{"Bajo";"Medio";"Alto";"Crítico"}),"")</f>
        <v/>
      </c>
      <c r="AA477" s="64">
        <f>IF(T477&gt;=3,IF(X477&gt;=1,"Zona 1 — Crítica: impacto alto y ocurre al menos una vez al año","Zona 4 — Catastrófica poco probable: impacto alto pero excepcional"),IF(AND(T477&lt;1.5,X477&lt;1),"Zona 3 — Asumible: impacto bajo y muy poco frecuente","Zona 2 — Atención: riesgo intermedio"))</f>
        <v/>
      </c>
      <c r="AB477" s="64">
        <f>IFERROR(INDEX(MgAmenCtrl,MATCH(SUBSTITUTE($H477,"*","-"),MgAmenClave,0)),"")</f>
        <v/>
      </c>
      <c r="AC477" s="20" t="n"/>
      <c r="AD477" s="31">
        <f>IFERROR($X477*(1-IF($AC477="",$AL477,VLOOKUP($AC477,MgMad,2,0))),"")</f>
        <v/>
      </c>
      <c r="AE477" s="28">
        <f>IFERROR(LOOKUP(AD477,{0;0.01;0.1;1;10;100},{"Muy baja";"Muy baja";"Baja";"Media";"Alta";"Muy alta"}),"")</f>
        <v/>
      </c>
      <c r="AF477" s="30">
        <f>T477*AD477</f>
        <v/>
      </c>
      <c r="AG477" s="28">
        <f>IFERROR(LOOKUP(AF477,{0;0.5;5;25},{"Bajo";"Medio";"Alto";"Crítico"}),"")</f>
        <v/>
      </c>
      <c r="AH477" s="28">
        <f>IF(AG477="","",IF(OR(AG477="Crítico",AG477="Alto"),"Mitigar",IF(AG477="Medio","Mitigar","Aceptar y monitorear")))</f>
        <v/>
      </c>
      <c r="AI477" s="21" t="n"/>
      <c r="AJ477" s="21" t="n"/>
      <c r="AK477" s="20" t="n"/>
      <c r="AL477" s="77">
        <f>IFERROR(INDEX(MgAmenEfic,MATCH(SUBSTITUTE($H477,"*","-"),MgAmenClave,0)),0)</f>
        <v/>
      </c>
    </row>
    <row r="478" hidden="1" ht="60" customHeight="1" s="54">
      <c r="B478" s="59" t="inlineStr">
        <is>
          <t>R-0473</t>
        </is>
      </c>
      <c r="C478" s="59" t="inlineStr">
        <is>
          <t>COM-21</t>
        </is>
      </c>
      <c r="D478" s="64">
        <f>IFERROR(INDEX(MgNombre,MATCH($C478,MgActId,0)),"")</f>
        <v/>
      </c>
      <c r="E478" s="64">
        <f>IFERROR(INDEX(MgProceso,MATCH($C478,MgActId,0)),"")</f>
        <v/>
      </c>
      <c r="F478" s="64">
        <f>IFERROR(INDEX(MgTipo,MATCH($C478,MgActId,0)),"")</f>
        <v/>
      </c>
      <c r="G478" s="64">
        <f>IFERROR(INDEX(MgSubtipo,MATCH($C478,MgActId,0)),"")</f>
        <v/>
      </c>
      <c r="H478" s="59" t="inlineStr">
        <is>
          <t>A.3</t>
        </is>
      </c>
      <c r="I478" s="64">
        <f>IFERROR(INDEX(MgAmenNombre,MATCH(SUBSTITUTE($H478,"*","-"),MgAmenClave,0)),"")</f>
        <v/>
      </c>
      <c r="J478" s="28">
        <f>IFERROR(INDEX(MgAmenGrupo,MATCH(SUBSTITUTE($H478,"*","-"),MgAmenClave,0)),"")</f>
        <v/>
      </c>
      <c r="K478" s="64">
        <f>IFERROR(INDEX('1. Matriz de Activos'!$Q$6:$Q$239,MATCH($C478,MgActId,0)),"")</f>
        <v/>
      </c>
      <c r="L478" s="64">
        <f>IFERROR(INDEX('1. Matriz de Activos'!$R$6:$R$239,MATCH($C478,MgActId,0)),"")</f>
        <v/>
      </c>
      <c r="M478" s="64">
        <f>IFERROR(INDEX('1. Matriz de Activos'!$S$6:$S$239,MATCH($C478,MgActId,0)),"")</f>
        <v/>
      </c>
      <c r="N478" s="28">
        <f>IFERROR(INDEX(MgAmenDegD,MATCH(SUBSTITUTE($H478,"*","-"),MgAmenClave,0)),"No aplica")</f>
        <v/>
      </c>
      <c r="O478" s="28">
        <f>IFERROR(INDEX(MgAmenDegI,MATCH(SUBSTITUTE($H478,"*","-"),MgAmenClave,0)),"No aplica")</f>
        <v/>
      </c>
      <c r="P478" s="28">
        <f>IFERROR(INDEX(MgAmenDegC,MATCH(SUBSTITUTE($H478,"*","-"),MgAmenClave,0)),"No aplica")</f>
        <v/>
      </c>
      <c r="Q478" s="29">
        <f>IFERROR(VLOOKUP(K478,MgValor,2,0)*VLOOKUP(N478,MgDeg,2,0),0)</f>
        <v/>
      </c>
      <c r="R478" s="29">
        <f>IFERROR(VLOOKUP(L478,MgValor,2,0)*VLOOKUP(O478,MgDeg,2,0),0)</f>
        <v/>
      </c>
      <c r="S478" s="29">
        <f>IFERROR(VLOOKUP(M478,MgValor,2,0)*VLOOKUP(P478,MgDeg,2,0),0)</f>
        <v/>
      </c>
      <c r="T478" s="30">
        <f>MAX(Q478:S478)</f>
        <v/>
      </c>
      <c r="U478" s="28">
        <f>IFERROR(LOOKUP(T478,{0;0.5;1.5;3;4.5},{"Despreciable";"Bajo";"Medio";"Alto";"Muy alto"}),"")</f>
        <v/>
      </c>
      <c r="V478" s="13">
        <f>IFERROR(INDEX(MgAmenFrec,MATCH(SUBSTITUTE($H478,"*","-"),MgAmenClave,0)),"")</f>
        <v/>
      </c>
      <c r="W478" s="28">
        <f>IFERROR(LOOKUP(X478,{0;0.01;0.1;1;10;100},{"Muy baja";"Muy baja";"Baja";"Media";"Alta";"Muy alta"}),"")</f>
        <v/>
      </c>
      <c r="X478" s="31">
        <f>IFERROR(VLOOKUP(V478,MgFrec,2,0),0)</f>
        <v/>
      </c>
      <c r="Y478" s="30">
        <f>T478*X478</f>
        <v/>
      </c>
      <c r="Z478" s="28">
        <f>IFERROR(LOOKUP(Y478,{0;0.5;5;25},{"Bajo";"Medio";"Alto";"Crítico"}),"")</f>
        <v/>
      </c>
      <c r="AA478" s="64">
        <f>IF(T478&gt;=3,IF(X478&gt;=1,"Zona 1 — Crítica: impacto alto y ocurre al menos una vez al año","Zona 4 — Catastrófica poco probable: impacto alto pero excepcional"),IF(AND(T478&lt;1.5,X478&lt;1),"Zona 3 — Asumible: impacto bajo y muy poco frecuente","Zona 2 — Atención: riesgo intermedio"))</f>
        <v/>
      </c>
      <c r="AB478" s="64">
        <f>IFERROR(INDEX(MgAmenCtrl,MATCH(SUBSTITUTE($H478,"*","-"),MgAmenClave,0)),"")</f>
        <v/>
      </c>
      <c r="AC478" s="20" t="n"/>
      <c r="AD478" s="31">
        <f>IFERROR($X478*(1-IF($AC478="",$AL478,VLOOKUP($AC478,MgMad,2,0))),"")</f>
        <v/>
      </c>
      <c r="AE478" s="28">
        <f>IFERROR(LOOKUP(AD478,{0;0.01;0.1;1;10;100},{"Muy baja";"Muy baja";"Baja";"Media";"Alta";"Muy alta"}),"")</f>
        <v/>
      </c>
      <c r="AF478" s="30">
        <f>T478*AD478</f>
        <v/>
      </c>
      <c r="AG478" s="28">
        <f>IFERROR(LOOKUP(AF478,{0;0.5;5;25},{"Bajo";"Medio";"Alto";"Crítico"}),"")</f>
        <v/>
      </c>
      <c r="AH478" s="28">
        <f>IF(AG478="","",IF(OR(AG478="Crítico",AG478="Alto"),"Mitigar",IF(AG478="Medio","Mitigar","Aceptar y monitorear")))</f>
        <v/>
      </c>
      <c r="AI478" s="21" t="n"/>
      <c r="AJ478" s="21" t="n"/>
      <c r="AK478" s="20" t="n"/>
      <c r="AL478" s="77">
        <f>IFERROR(INDEX(MgAmenEfic,MATCH(SUBSTITUTE($H478,"*","-"),MgAmenClave,0)),0)</f>
        <v/>
      </c>
    </row>
    <row r="479" hidden="1" ht="60" customHeight="1" s="54">
      <c r="B479" s="59" t="inlineStr">
        <is>
          <t>R-0474</t>
        </is>
      </c>
      <c r="C479" s="59" t="inlineStr">
        <is>
          <t>COM-21</t>
        </is>
      </c>
      <c r="D479" s="64">
        <f>IFERROR(INDEX(MgNombre,MATCH($C479,MgActId,0)),"")</f>
        <v/>
      </c>
      <c r="E479" s="64">
        <f>IFERROR(INDEX(MgProceso,MATCH($C479,MgActId,0)),"")</f>
        <v/>
      </c>
      <c r="F479" s="64">
        <f>IFERROR(INDEX(MgTipo,MATCH($C479,MgActId,0)),"")</f>
        <v/>
      </c>
      <c r="G479" s="64">
        <f>IFERROR(INDEX(MgSubtipo,MATCH($C479,MgActId,0)),"")</f>
        <v/>
      </c>
      <c r="H479" s="59" t="inlineStr">
        <is>
          <t>A.4</t>
        </is>
      </c>
      <c r="I479" s="64">
        <f>IFERROR(INDEX(MgAmenNombre,MATCH(SUBSTITUTE($H479,"*","-"),MgAmenClave,0)),"")</f>
        <v/>
      </c>
      <c r="J479" s="28">
        <f>IFERROR(INDEX(MgAmenGrupo,MATCH(SUBSTITUTE($H479,"*","-"),MgAmenClave,0)),"")</f>
        <v/>
      </c>
      <c r="K479" s="64">
        <f>IFERROR(INDEX('1. Matriz de Activos'!$Q$6:$Q$239,MATCH($C479,MgActId,0)),"")</f>
        <v/>
      </c>
      <c r="L479" s="64">
        <f>IFERROR(INDEX('1. Matriz de Activos'!$R$6:$R$239,MATCH($C479,MgActId,0)),"")</f>
        <v/>
      </c>
      <c r="M479" s="64">
        <f>IFERROR(INDEX('1. Matriz de Activos'!$S$6:$S$239,MATCH($C479,MgActId,0)),"")</f>
        <v/>
      </c>
      <c r="N479" s="28">
        <f>IFERROR(INDEX(MgAmenDegD,MATCH(SUBSTITUTE($H479,"*","-"),MgAmenClave,0)),"No aplica")</f>
        <v/>
      </c>
      <c r="O479" s="28">
        <f>IFERROR(INDEX(MgAmenDegI,MATCH(SUBSTITUTE($H479,"*","-"),MgAmenClave,0)),"No aplica")</f>
        <v/>
      </c>
      <c r="P479" s="28">
        <f>IFERROR(INDEX(MgAmenDegC,MATCH(SUBSTITUTE($H479,"*","-"),MgAmenClave,0)),"No aplica")</f>
        <v/>
      </c>
      <c r="Q479" s="29">
        <f>IFERROR(VLOOKUP(K479,MgValor,2,0)*VLOOKUP(N479,MgDeg,2,0),0)</f>
        <v/>
      </c>
      <c r="R479" s="29">
        <f>IFERROR(VLOOKUP(L479,MgValor,2,0)*VLOOKUP(O479,MgDeg,2,0),0)</f>
        <v/>
      </c>
      <c r="S479" s="29">
        <f>IFERROR(VLOOKUP(M479,MgValor,2,0)*VLOOKUP(P479,MgDeg,2,0),0)</f>
        <v/>
      </c>
      <c r="T479" s="30">
        <f>MAX(Q479:S479)</f>
        <v/>
      </c>
      <c r="U479" s="28">
        <f>IFERROR(LOOKUP(T479,{0;0.5;1.5;3;4.5},{"Despreciable";"Bajo";"Medio";"Alto";"Muy alto"}),"")</f>
        <v/>
      </c>
      <c r="V479" s="13">
        <f>IFERROR(INDEX(MgAmenFrec,MATCH(SUBSTITUTE($H479,"*","-"),MgAmenClave,0)),"")</f>
        <v/>
      </c>
      <c r="W479" s="28">
        <f>IFERROR(LOOKUP(X479,{0;0.01;0.1;1;10;100},{"Muy baja";"Muy baja";"Baja";"Media";"Alta";"Muy alta"}),"")</f>
        <v/>
      </c>
      <c r="X479" s="31">
        <f>IFERROR(VLOOKUP(V479,MgFrec,2,0),0)</f>
        <v/>
      </c>
      <c r="Y479" s="30">
        <f>T479*X479</f>
        <v/>
      </c>
      <c r="Z479" s="28">
        <f>IFERROR(LOOKUP(Y479,{0;0.5;5;25},{"Bajo";"Medio";"Alto";"Crítico"}),"")</f>
        <v/>
      </c>
      <c r="AA479" s="64">
        <f>IF(T479&gt;=3,IF(X479&gt;=1,"Zona 1 — Crítica: impacto alto y ocurre al menos una vez al año","Zona 4 — Catastrófica poco probable: impacto alto pero excepcional"),IF(AND(T479&lt;1.5,X479&lt;1),"Zona 3 — Asumible: impacto bajo y muy poco frecuente","Zona 2 — Atención: riesgo intermedio"))</f>
        <v/>
      </c>
      <c r="AB479" s="64">
        <f>IFERROR(INDEX(MgAmenCtrl,MATCH(SUBSTITUTE($H479,"*","-"),MgAmenClave,0)),"")</f>
        <v/>
      </c>
      <c r="AC479" s="20" t="n"/>
      <c r="AD479" s="31">
        <f>IFERROR($X479*(1-IF($AC479="",$AL479,VLOOKUP($AC479,MgMad,2,0))),"")</f>
        <v/>
      </c>
      <c r="AE479" s="28">
        <f>IFERROR(LOOKUP(AD479,{0;0.01;0.1;1;10;100},{"Muy baja";"Muy baja";"Baja";"Media";"Alta";"Muy alta"}),"")</f>
        <v/>
      </c>
      <c r="AF479" s="30">
        <f>T479*AD479</f>
        <v/>
      </c>
      <c r="AG479" s="28">
        <f>IFERROR(LOOKUP(AF479,{0;0.5;5;25},{"Bajo";"Medio";"Alto";"Crítico"}),"")</f>
        <v/>
      </c>
      <c r="AH479" s="28">
        <f>IF(AG479="","",IF(OR(AG479="Crítico",AG479="Alto"),"Mitigar",IF(AG479="Medio","Mitigar","Aceptar y monitorear")))</f>
        <v/>
      </c>
      <c r="AI479" s="21" t="n"/>
      <c r="AJ479" s="21" t="n"/>
      <c r="AK479" s="20" t="n"/>
      <c r="AL479" s="77">
        <f>IFERROR(INDEX(MgAmenEfic,MATCH(SUBSTITUTE($H479,"*","-"),MgAmenClave,0)),0)</f>
        <v/>
      </c>
    </row>
    <row r="480" hidden="1" ht="75" customHeight="1" s="54">
      <c r="B480" s="59" t="inlineStr">
        <is>
          <t>R-0475</t>
        </is>
      </c>
      <c r="C480" s="59" t="inlineStr">
        <is>
          <t>COM-21</t>
        </is>
      </c>
      <c r="D480" s="64">
        <f>IFERROR(INDEX(MgNombre,MATCH($C480,MgActId,0)),"")</f>
        <v/>
      </c>
      <c r="E480" s="64">
        <f>IFERROR(INDEX(MgProceso,MATCH($C480,MgActId,0)),"")</f>
        <v/>
      </c>
      <c r="F480" s="64">
        <f>IFERROR(INDEX(MgTipo,MATCH($C480,MgActId,0)),"")</f>
        <v/>
      </c>
      <c r="G480" s="64">
        <f>IFERROR(INDEX(MgSubtipo,MATCH($C480,MgActId,0)),"")</f>
        <v/>
      </c>
      <c r="H480" s="59" t="inlineStr">
        <is>
          <t>A.5</t>
        </is>
      </c>
      <c r="I480" s="64">
        <f>IFERROR(INDEX(MgAmenNombre,MATCH(SUBSTITUTE($H480,"*","-"),MgAmenClave,0)),"")</f>
        <v/>
      </c>
      <c r="J480" s="28">
        <f>IFERROR(INDEX(MgAmenGrupo,MATCH(SUBSTITUTE($H480,"*","-"),MgAmenClave,0)),"")</f>
        <v/>
      </c>
      <c r="K480" s="64">
        <f>IFERROR(INDEX('1. Matriz de Activos'!$Q$6:$Q$239,MATCH($C480,MgActId,0)),"")</f>
        <v/>
      </c>
      <c r="L480" s="64">
        <f>IFERROR(INDEX('1. Matriz de Activos'!$R$6:$R$239,MATCH($C480,MgActId,0)),"")</f>
        <v/>
      </c>
      <c r="M480" s="64">
        <f>IFERROR(INDEX('1. Matriz de Activos'!$S$6:$S$239,MATCH($C480,MgActId,0)),"")</f>
        <v/>
      </c>
      <c r="N480" s="28">
        <f>IFERROR(INDEX(MgAmenDegD,MATCH(SUBSTITUTE($H480,"*","-"),MgAmenClave,0)),"No aplica")</f>
        <v/>
      </c>
      <c r="O480" s="28">
        <f>IFERROR(INDEX(MgAmenDegI,MATCH(SUBSTITUTE($H480,"*","-"),MgAmenClave,0)),"No aplica")</f>
        <v/>
      </c>
      <c r="P480" s="28">
        <f>IFERROR(INDEX(MgAmenDegC,MATCH(SUBSTITUTE($H480,"*","-"),MgAmenClave,0)),"No aplica")</f>
        <v/>
      </c>
      <c r="Q480" s="29">
        <f>IFERROR(VLOOKUP(K480,MgValor,2,0)*VLOOKUP(N480,MgDeg,2,0),0)</f>
        <v/>
      </c>
      <c r="R480" s="29">
        <f>IFERROR(VLOOKUP(L480,MgValor,2,0)*VLOOKUP(O480,MgDeg,2,0),0)</f>
        <v/>
      </c>
      <c r="S480" s="29">
        <f>IFERROR(VLOOKUP(M480,MgValor,2,0)*VLOOKUP(P480,MgDeg,2,0),0)</f>
        <v/>
      </c>
      <c r="T480" s="30">
        <f>MAX(Q480:S480)</f>
        <v/>
      </c>
      <c r="U480" s="28">
        <f>IFERROR(LOOKUP(T480,{0;0.5;1.5;3;4.5},{"Despreciable";"Bajo";"Medio";"Alto";"Muy alto"}),"")</f>
        <v/>
      </c>
      <c r="V480" s="13">
        <f>IFERROR(INDEX(MgAmenFrec,MATCH(SUBSTITUTE($H480,"*","-"),MgAmenClave,0)),"")</f>
        <v/>
      </c>
      <c r="W480" s="28">
        <f>IFERROR(LOOKUP(X480,{0;0.01;0.1;1;10;100},{"Muy baja";"Muy baja";"Baja";"Media";"Alta";"Muy alta"}),"")</f>
        <v/>
      </c>
      <c r="X480" s="31">
        <f>IFERROR(VLOOKUP(V480,MgFrec,2,0),0)</f>
        <v/>
      </c>
      <c r="Y480" s="30">
        <f>T480*X480</f>
        <v/>
      </c>
      <c r="Z480" s="28">
        <f>IFERROR(LOOKUP(Y480,{0;0.5;5;25},{"Bajo";"Medio";"Alto";"Crítico"}),"")</f>
        <v/>
      </c>
      <c r="AA480" s="64">
        <f>IF(T480&gt;=3,IF(X480&gt;=1,"Zona 1 — Crítica: impacto alto y ocurre al menos una vez al año","Zona 4 — Catastrófica poco probable: impacto alto pero excepcional"),IF(AND(T480&lt;1.5,X480&lt;1),"Zona 3 — Asumible: impacto bajo y muy poco frecuente","Zona 2 — Atención: riesgo intermedio"))</f>
        <v/>
      </c>
      <c r="AB480" s="64">
        <f>IFERROR(INDEX(MgAmenCtrl,MATCH(SUBSTITUTE($H480,"*","-"),MgAmenClave,0)),"")</f>
        <v/>
      </c>
      <c r="AC480" s="20" t="n"/>
      <c r="AD480" s="31">
        <f>IFERROR($X480*(1-IF($AC480="",$AL480,VLOOKUP($AC480,MgMad,2,0))),"")</f>
        <v/>
      </c>
      <c r="AE480" s="28">
        <f>IFERROR(LOOKUP(AD480,{0;0.01;0.1;1;10;100},{"Muy baja";"Muy baja";"Baja";"Media";"Alta";"Muy alta"}),"")</f>
        <v/>
      </c>
      <c r="AF480" s="30">
        <f>T480*AD480</f>
        <v/>
      </c>
      <c r="AG480" s="28">
        <f>IFERROR(LOOKUP(AF480,{0;0.5;5;25},{"Bajo";"Medio";"Alto";"Crítico"}),"")</f>
        <v/>
      </c>
      <c r="AH480" s="28">
        <f>IF(AG480="","",IF(OR(AG480="Crítico",AG480="Alto"),"Mitigar",IF(AG480="Medio","Mitigar","Aceptar y monitorear")))</f>
        <v/>
      </c>
      <c r="AI480" s="21" t="n"/>
      <c r="AJ480" s="21" t="n"/>
      <c r="AK480" s="20" t="n"/>
      <c r="AL480" s="77">
        <f>IFERROR(INDEX(MgAmenEfic,MATCH(SUBSTITUTE($H480,"*","-"),MgAmenClave,0)),0)</f>
        <v/>
      </c>
    </row>
    <row r="481" hidden="1" ht="105" customHeight="1" s="54">
      <c r="B481" s="59" t="inlineStr">
        <is>
          <t>R-0476</t>
        </is>
      </c>
      <c r="C481" s="59" t="inlineStr">
        <is>
          <t>COM-21</t>
        </is>
      </c>
      <c r="D481" s="64">
        <f>IFERROR(INDEX(MgNombre,MATCH($C481,MgActId,0)),"")</f>
        <v/>
      </c>
      <c r="E481" s="64">
        <f>IFERROR(INDEX(MgProceso,MATCH($C481,MgActId,0)),"")</f>
        <v/>
      </c>
      <c r="F481" s="64">
        <f>IFERROR(INDEX(MgTipo,MATCH($C481,MgActId,0)),"")</f>
        <v/>
      </c>
      <c r="G481" s="64">
        <f>IFERROR(INDEX(MgSubtipo,MATCH($C481,MgActId,0)),"")</f>
        <v/>
      </c>
      <c r="H481" s="59" t="inlineStr">
        <is>
          <t>A.6</t>
        </is>
      </c>
      <c r="I481" s="64">
        <f>IFERROR(INDEX(MgAmenNombre,MATCH(SUBSTITUTE($H481,"*","-"),MgAmenClave,0)),"")</f>
        <v/>
      </c>
      <c r="J481" s="28">
        <f>IFERROR(INDEX(MgAmenGrupo,MATCH(SUBSTITUTE($H481,"*","-"),MgAmenClave,0)),"")</f>
        <v/>
      </c>
      <c r="K481" s="64">
        <f>IFERROR(INDEX('1. Matriz de Activos'!$Q$6:$Q$239,MATCH($C481,MgActId,0)),"")</f>
        <v/>
      </c>
      <c r="L481" s="64">
        <f>IFERROR(INDEX('1. Matriz de Activos'!$R$6:$R$239,MATCH($C481,MgActId,0)),"")</f>
        <v/>
      </c>
      <c r="M481" s="64">
        <f>IFERROR(INDEX('1. Matriz de Activos'!$S$6:$S$239,MATCH($C481,MgActId,0)),"")</f>
        <v/>
      </c>
      <c r="N481" s="28">
        <f>IFERROR(INDEX(MgAmenDegD,MATCH(SUBSTITUTE($H481,"*","-"),MgAmenClave,0)),"No aplica")</f>
        <v/>
      </c>
      <c r="O481" s="28">
        <f>IFERROR(INDEX(MgAmenDegI,MATCH(SUBSTITUTE($H481,"*","-"),MgAmenClave,0)),"No aplica")</f>
        <v/>
      </c>
      <c r="P481" s="28">
        <f>IFERROR(INDEX(MgAmenDegC,MATCH(SUBSTITUTE($H481,"*","-"),MgAmenClave,0)),"No aplica")</f>
        <v/>
      </c>
      <c r="Q481" s="29">
        <f>IFERROR(VLOOKUP(K481,MgValor,2,0)*VLOOKUP(N481,MgDeg,2,0),0)</f>
        <v/>
      </c>
      <c r="R481" s="29">
        <f>IFERROR(VLOOKUP(L481,MgValor,2,0)*VLOOKUP(O481,MgDeg,2,0),0)</f>
        <v/>
      </c>
      <c r="S481" s="29">
        <f>IFERROR(VLOOKUP(M481,MgValor,2,0)*VLOOKUP(P481,MgDeg,2,0),0)</f>
        <v/>
      </c>
      <c r="T481" s="30">
        <f>MAX(Q481:S481)</f>
        <v/>
      </c>
      <c r="U481" s="28">
        <f>IFERROR(LOOKUP(T481,{0;0.5;1.5;3;4.5},{"Despreciable";"Bajo";"Medio";"Alto";"Muy alto"}),"")</f>
        <v/>
      </c>
      <c r="V481" s="13">
        <f>IFERROR(INDEX(MgAmenFrec,MATCH(SUBSTITUTE($H481,"*","-"),MgAmenClave,0)),"")</f>
        <v/>
      </c>
      <c r="W481" s="28">
        <f>IFERROR(LOOKUP(X481,{0;0.01;0.1;1;10;100},{"Muy baja";"Muy baja";"Baja";"Media";"Alta";"Muy alta"}),"")</f>
        <v/>
      </c>
      <c r="X481" s="31">
        <f>IFERROR(VLOOKUP(V481,MgFrec,2,0),0)</f>
        <v/>
      </c>
      <c r="Y481" s="30">
        <f>T481*X481</f>
        <v/>
      </c>
      <c r="Z481" s="28">
        <f>IFERROR(LOOKUP(Y481,{0;0.5;5;25},{"Bajo";"Medio";"Alto";"Crítico"}),"")</f>
        <v/>
      </c>
      <c r="AA481" s="64">
        <f>IF(T481&gt;=3,IF(X481&gt;=1,"Zona 1 — Crítica: impacto alto y ocurre al menos una vez al año","Zona 4 — Catastrófica poco probable: impacto alto pero excepcional"),IF(AND(T481&lt;1.5,X481&lt;1),"Zona 3 — Asumible: impacto bajo y muy poco frecuente","Zona 2 — Atención: riesgo intermedio"))</f>
        <v/>
      </c>
      <c r="AB481" s="64">
        <f>IFERROR(INDEX(MgAmenCtrl,MATCH(SUBSTITUTE($H481,"*","-"),MgAmenClave,0)),"")</f>
        <v/>
      </c>
      <c r="AC481" s="20" t="n"/>
      <c r="AD481" s="31">
        <f>IFERROR($X481*(1-IF($AC481="",$AL481,VLOOKUP($AC481,MgMad,2,0))),"")</f>
        <v/>
      </c>
      <c r="AE481" s="28">
        <f>IFERROR(LOOKUP(AD481,{0;0.01;0.1;1;10;100},{"Muy baja";"Muy baja";"Baja";"Media";"Alta";"Muy alta"}),"")</f>
        <v/>
      </c>
      <c r="AF481" s="30">
        <f>T481*AD481</f>
        <v/>
      </c>
      <c r="AG481" s="28">
        <f>IFERROR(LOOKUP(AF481,{0;0.5;5;25},{"Bajo";"Medio";"Alto";"Crítico"}),"")</f>
        <v/>
      </c>
      <c r="AH481" s="28">
        <f>IF(AG481="","",IF(OR(AG481="Crítico",AG481="Alto"),"Mitigar",IF(AG481="Medio","Mitigar","Aceptar y monitorear")))</f>
        <v/>
      </c>
      <c r="AI481" s="21" t="n"/>
      <c r="AJ481" s="21" t="n"/>
      <c r="AK481" s="20" t="n"/>
      <c r="AL481" s="77">
        <f>IFERROR(INDEX(MgAmenEfic,MATCH(SUBSTITUTE($H481,"*","-"),MgAmenClave,0)),0)</f>
        <v/>
      </c>
    </row>
    <row r="482" hidden="1" ht="120" customHeight="1" s="54">
      <c r="B482" s="59" t="inlineStr">
        <is>
          <t>R-0477</t>
        </is>
      </c>
      <c r="C482" s="59" t="inlineStr">
        <is>
          <t>COM-21</t>
        </is>
      </c>
      <c r="D482" s="64">
        <f>IFERROR(INDEX(MgNombre,MATCH($C482,MgActId,0)),"")</f>
        <v/>
      </c>
      <c r="E482" s="64">
        <f>IFERROR(INDEX(MgProceso,MATCH($C482,MgActId,0)),"")</f>
        <v/>
      </c>
      <c r="F482" s="64">
        <f>IFERROR(INDEX(MgTipo,MATCH($C482,MgActId,0)),"")</f>
        <v/>
      </c>
      <c r="G482" s="64">
        <f>IFERROR(INDEX(MgSubtipo,MATCH($C482,MgActId,0)),"")</f>
        <v/>
      </c>
      <c r="H482" s="59" t="inlineStr">
        <is>
          <t>A.11</t>
        </is>
      </c>
      <c r="I482" s="64">
        <f>IFERROR(INDEX(MgAmenNombre,MATCH(SUBSTITUTE($H482,"*","-"),MgAmenClave,0)),"")</f>
        <v/>
      </c>
      <c r="J482" s="28">
        <f>IFERROR(INDEX(MgAmenGrupo,MATCH(SUBSTITUTE($H482,"*","-"),MgAmenClave,0)),"")</f>
        <v/>
      </c>
      <c r="K482" s="64">
        <f>IFERROR(INDEX('1. Matriz de Activos'!$Q$6:$Q$239,MATCH($C482,MgActId,0)),"")</f>
        <v/>
      </c>
      <c r="L482" s="64">
        <f>IFERROR(INDEX('1. Matriz de Activos'!$R$6:$R$239,MATCH($C482,MgActId,0)),"")</f>
        <v/>
      </c>
      <c r="M482" s="64">
        <f>IFERROR(INDEX('1. Matriz de Activos'!$S$6:$S$239,MATCH($C482,MgActId,0)),"")</f>
        <v/>
      </c>
      <c r="N482" s="28">
        <f>IFERROR(INDEX(MgAmenDegD,MATCH(SUBSTITUTE($H482,"*","-"),MgAmenClave,0)),"No aplica")</f>
        <v/>
      </c>
      <c r="O482" s="28">
        <f>IFERROR(INDEX(MgAmenDegI,MATCH(SUBSTITUTE($H482,"*","-"),MgAmenClave,0)),"No aplica")</f>
        <v/>
      </c>
      <c r="P482" s="28">
        <f>IFERROR(INDEX(MgAmenDegC,MATCH(SUBSTITUTE($H482,"*","-"),MgAmenClave,0)),"No aplica")</f>
        <v/>
      </c>
      <c r="Q482" s="29">
        <f>IFERROR(VLOOKUP(K482,MgValor,2,0)*VLOOKUP(N482,MgDeg,2,0),0)</f>
        <v/>
      </c>
      <c r="R482" s="29">
        <f>IFERROR(VLOOKUP(L482,MgValor,2,0)*VLOOKUP(O482,MgDeg,2,0),0)</f>
        <v/>
      </c>
      <c r="S482" s="29">
        <f>IFERROR(VLOOKUP(M482,MgValor,2,0)*VLOOKUP(P482,MgDeg,2,0),0)</f>
        <v/>
      </c>
      <c r="T482" s="30">
        <f>MAX(Q482:S482)</f>
        <v/>
      </c>
      <c r="U482" s="28">
        <f>IFERROR(LOOKUP(T482,{0;0.5;1.5;3;4.5},{"Despreciable";"Bajo";"Medio";"Alto";"Muy alto"}),"")</f>
        <v/>
      </c>
      <c r="V482" s="13">
        <f>IFERROR(INDEX(MgAmenFrec,MATCH(SUBSTITUTE($H482,"*","-"),MgAmenClave,0)),"")</f>
        <v/>
      </c>
      <c r="W482" s="28">
        <f>IFERROR(LOOKUP(X482,{0;0.01;0.1;1;10;100},{"Muy baja";"Muy baja";"Baja";"Media";"Alta";"Muy alta"}),"")</f>
        <v/>
      </c>
      <c r="X482" s="31">
        <f>IFERROR(VLOOKUP(V482,MgFrec,2,0),0)</f>
        <v/>
      </c>
      <c r="Y482" s="30">
        <f>T482*X482</f>
        <v/>
      </c>
      <c r="Z482" s="28">
        <f>IFERROR(LOOKUP(Y482,{0;0.5;5;25},{"Bajo";"Medio";"Alto";"Crítico"}),"")</f>
        <v/>
      </c>
      <c r="AA482" s="64">
        <f>IF(T482&gt;=3,IF(X482&gt;=1,"Zona 1 — Crítica: impacto alto y ocurre al menos una vez al año","Zona 4 — Catastrófica poco probable: impacto alto pero excepcional"),IF(AND(T482&lt;1.5,X482&lt;1),"Zona 3 — Asumible: impacto bajo y muy poco frecuente","Zona 2 — Atención: riesgo intermedio"))</f>
        <v/>
      </c>
      <c r="AB482" s="64">
        <f>IFERROR(INDEX(MgAmenCtrl,MATCH(SUBSTITUTE($H482,"*","-"),MgAmenClave,0)),"")</f>
        <v/>
      </c>
      <c r="AC482" s="20" t="n"/>
      <c r="AD482" s="31">
        <f>IFERROR($X482*(1-IF($AC482="",$AL482,VLOOKUP($AC482,MgMad,2,0))),"")</f>
        <v/>
      </c>
      <c r="AE482" s="28">
        <f>IFERROR(LOOKUP(AD482,{0;0.01;0.1;1;10;100},{"Muy baja";"Muy baja";"Baja";"Media";"Alta";"Muy alta"}),"")</f>
        <v/>
      </c>
      <c r="AF482" s="30">
        <f>T482*AD482</f>
        <v/>
      </c>
      <c r="AG482" s="28">
        <f>IFERROR(LOOKUP(AF482,{0;0.5;5;25},{"Bajo";"Medio";"Alto";"Crítico"}),"")</f>
        <v/>
      </c>
      <c r="AH482" s="28">
        <f>IF(AG482="","",IF(OR(AG482="Crítico",AG482="Alto"),"Mitigar",IF(AG482="Medio","Mitigar","Aceptar y monitorear")))</f>
        <v/>
      </c>
      <c r="AI482" s="21" t="n"/>
      <c r="AJ482" s="21" t="n"/>
      <c r="AK482" s="20" t="n"/>
      <c r="AL482" s="77">
        <f>IFERROR(INDEX(MgAmenEfic,MATCH(SUBSTITUTE($H482,"*","-"),MgAmenClave,0)),0)</f>
        <v/>
      </c>
    </row>
    <row r="483" hidden="1" ht="90" customHeight="1" s="54">
      <c r="B483" s="59" t="inlineStr">
        <is>
          <t>R-0478</t>
        </is>
      </c>
      <c r="C483" s="59" t="inlineStr">
        <is>
          <t>COM-21</t>
        </is>
      </c>
      <c r="D483" s="64">
        <f>IFERROR(INDEX(MgNombre,MATCH($C483,MgActId,0)),"")</f>
        <v/>
      </c>
      <c r="E483" s="64">
        <f>IFERROR(INDEX(MgProceso,MATCH($C483,MgActId,0)),"")</f>
        <v/>
      </c>
      <c r="F483" s="64">
        <f>IFERROR(INDEX(MgTipo,MATCH($C483,MgActId,0)),"")</f>
        <v/>
      </c>
      <c r="G483" s="64">
        <f>IFERROR(INDEX(MgSubtipo,MATCH($C483,MgActId,0)),"")</f>
        <v/>
      </c>
      <c r="H483" s="59" t="inlineStr">
        <is>
          <t>A.13</t>
        </is>
      </c>
      <c r="I483" s="64">
        <f>IFERROR(INDEX(MgAmenNombre,MATCH(SUBSTITUTE($H483,"*","-"),MgAmenClave,0)),"")</f>
        <v/>
      </c>
      <c r="J483" s="28">
        <f>IFERROR(INDEX(MgAmenGrupo,MATCH(SUBSTITUTE($H483,"*","-"),MgAmenClave,0)),"")</f>
        <v/>
      </c>
      <c r="K483" s="64">
        <f>IFERROR(INDEX('1. Matriz de Activos'!$Q$6:$Q$239,MATCH($C483,MgActId,0)),"")</f>
        <v/>
      </c>
      <c r="L483" s="64">
        <f>IFERROR(INDEX('1. Matriz de Activos'!$R$6:$R$239,MATCH($C483,MgActId,0)),"")</f>
        <v/>
      </c>
      <c r="M483" s="64">
        <f>IFERROR(INDEX('1. Matriz de Activos'!$S$6:$S$239,MATCH($C483,MgActId,0)),"")</f>
        <v/>
      </c>
      <c r="N483" s="28">
        <f>IFERROR(INDEX(MgAmenDegD,MATCH(SUBSTITUTE($H483,"*","-"),MgAmenClave,0)),"No aplica")</f>
        <v/>
      </c>
      <c r="O483" s="28">
        <f>IFERROR(INDEX(MgAmenDegI,MATCH(SUBSTITUTE($H483,"*","-"),MgAmenClave,0)),"No aplica")</f>
        <v/>
      </c>
      <c r="P483" s="28">
        <f>IFERROR(INDEX(MgAmenDegC,MATCH(SUBSTITUTE($H483,"*","-"),MgAmenClave,0)),"No aplica")</f>
        <v/>
      </c>
      <c r="Q483" s="29">
        <f>IFERROR(VLOOKUP(K483,MgValor,2,0)*VLOOKUP(N483,MgDeg,2,0),0)</f>
        <v/>
      </c>
      <c r="R483" s="29">
        <f>IFERROR(VLOOKUP(L483,MgValor,2,0)*VLOOKUP(O483,MgDeg,2,0),0)</f>
        <v/>
      </c>
      <c r="S483" s="29">
        <f>IFERROR(VLOOKUP(M483,MgValor,2,0)*VLOOKUP(P483,MgDeg,2,0),0)</f>
        <v/>
      </c>
      <c r="T483" s="30">
        <f>MAX(Q483:S483)</f>
        <v/>
      </c>
      <c r="U483" s="28">
        <f>IFERROR(LOOKUP(T483,{0;0.5;1.5;3;4.5},{"Despreciable";"Bajo";"Medio";"Alto";"Muy alto"}),"")</f>
        <v/>
      </c>
      <c r="V483" s="13">
        <f>IFERROR(INDEX(MgAmenFrec,MATCH(SUBSTITUTE($H483,"*","-"),MgAmenClave,0)),"")</f>
        <v/>
      </c>
      <c r="W483" s="28">
        <f>IFERROR(LOOKUP(X483,{0;0.01;0.1;1;10;100},{"Muy baja";"Muy baja";"Baja";"Media";"Alta";"Muy alta"}),"")</f>
        <v/>
      </c>
      <c r="X483" s="31">
        <f>IFERROR(VLOOKUP(V483,MgFrec,2,0),0)</f>
        <v/>
      </c>
      <c r="Y483" s="30">
        <f>T483*X483</f>
        <v/>
      </c>
      <c r="Z483" s="28">
        <f>IFERROR(LOOKUP(Y483,{0;0.5;5;25},{"Bajo";"Medio";"Alto";"Crítico"}),"")</f>
        <v/>
      </c>
      <c r="AA483" s="64">
        <f>IF(T483&gt;=3,IF(X483&gt;=1,"Zona 1 — Crítica: impacto alto y ocurre al menos una vez al año","Zona 4 — Catastrófica poco probable: impacto alto pero excepcional"),IF(AND(T483&lt;1.5,X483&lt;1),"Zona 3 — Asumible: impacto bajo y muy poco frecuente","Zona 2 — Atención: riesgo intermedio"))</f>
        <v/>
      </c>
      <c r="AB483" s="64">
        <f>IFERROR(INDEX(MgAmenCtrl,MATCH(SUBSTITUTE($H483,"*","-"),MgAmenClave,0)),"")</f>
        <v/>
      </c>
      <c r="AC483" s="20" t="n"/>
      <c r="AD483" s="31">
        <f>IFERROR($X483*(1-IF($AC483="",$AL483,VLOOKUP($AC483,MgMad,2,0))),"")</f>
        <v/>
      </c>
      <c r="AE483" s="28">
        <f>IFERROR(LOOKUP(AD483,{0;0.01;0.1;1;10;100},{"Muy baja";"Muy baja";"Baja";"Media";"Alta";"Muy alta"}),"")</f>
        <v/>
      </c>
      <c r="AF483" s="30">
        <f>T483*AD483</f>
        <v/>
      </c>
      <c r="AG483" s="28">
        <f>IFERROR(LOOKUP(AF483,{0;0.5;5;25},{"Bajo";"Medio";"Alto";"Crítico"}),"")</f>
        <v/>
      </c>
      <c r="AH483" s="28">
        <f>IF(AG483="","",IF(OR(AG483="Crítico",AG483="Alto"),"Mitigar",IF(AG483="Medio","Mitigar","Aceptar y monitorear")))</f>
        <v/>
      </c>
      <c r="AI483" s="21" t="n"/>
      <c r="AJ483" s="21" t="n"/>
      <c r="AK483" s="20" t="n"/>
      <c r="AL483" s="77">
        <f>IFERROR(INDEX(MgAmenEfic,MATCH(SUBSTITUTE($H483,"*","-"),MgAmenClave,0)),0)</f>
        <v/>
      </c>
    </row>
    <row r="484" hidden="1" ht="60" customHeight="1" s="54">
      <c r="B484" s="59" t="inlineStr">
        <is>
          <t>R-0479</t>
        </is>
      </c>
      <c r="C484" s="59" t="inlineStr">
        <is>
          <t>COM-21</t>
        </is>
      </c>
      <c r="D484" s="64">
        <f>IFERROR(INDEX(MgNombre,MATCH($C484,MgActId,0)),"")</f>
        <v/>
      </c>
      <c r="E484" s="64">
        <f>IFERROR(INDEX(MgProceso,MATCH($C484,MgActId,0)),"")</f>
        <v/>
      </c>
      <c r="F484" s="64">
        <f>IFERROR(INDEX(MgTipo,MATCH($C484,MgActId,0)),"")</f>
        <v/>
      </c>
      <c r="G484" s="64">
        <f>IFERROR(INDEX(MgSubtipo,MATCH($C484,MgActId,0)),"")</f>
        <v/>
      </c>
      <c r="H484" s="59" t="inlineStr">
        <is>
          <t>A.15</t>
        </is>
      </c>
      <c r="I484" s="64">
        <f>IFERROR(INDEX(MgAmenNombre,MATCH(SUBSTITUTE($H484,"*","-"),MgAmenClave,0)),"")</f>
        <v/>
      </c>
      <c r="J484" s="28">
        <f>IFERROR(INDEX(MgAmenGrupo,MATCH(SUBSTITUTE($H484,"*","-"),MgAmenClave,0)),"")</f>
        <v/>
      </c>
      <c r="K484" s="64">
        <f>IFERROR(INDEX('1. Matriz de Activos'!$Q$6:$Q$239,MATCH($C484,MgActId,0)),"")</f>
        <v/>
      </c>
      <c r="L484" s="64">
        <f>IFERROR(INDEX('1. Matriz de Activos'!$R$6:$R$239,MATCH($C484,MgActId,0)),"")</f>
        <v/>
      </c>
      <c r="M484" s="64">
        <f>IFERROR(INDEX('1. Matriz de Activos'!$S$6:$S$239,MATCH($C484,MgActId,0)),"")</f>
        <v/>
      </c>
      <c r="N484" s="28">
        <f>IFERROR(INDEX(MgAmenDegD,MATCH(SUBSTITUTE($H484,"*","-"),MgAmenClave,0)),"No aplica")</f>
        <v/>
      </c>
      <c r="O484" s="28">
        <f>IFERROR(INDEX(MgAmenDegI,MATCH(SUBSTITUTE($H484,"*","-"),MgAmenClave,0)),"No aplica")</f>
        <v/>
      </c>
      <c r="P484" s="28">
        <f>IFERROR(INDEX(MgAmenDegC,MATCH(SUBSTITUTE($H484,"*","-"),MgAmenClave,0)),"No aplica")</f>
        <v/>
      </c>
      <c r="Q484" s="29">
        <f>IFERROR(VLOOKUP(K484,MgValor,2,0)*VLOOKUP(N484,MgDeg,2,0),0)</f>
        <v/>
      </c>
      <c r="R484" s="29">
        <f>IFERROR(VLOOKUP(L484,MgValor,2,0)*VLOOKUP(O484,MgDeg,2,0),0)</f>
        <v/>
      </c>
      <c r="S484" s="29">
        <f>IFERROR(VLOOKUP(M484,MgValor,2,0)*VLOOKUP(P484,MgDeg,2,0),0)</f>
        <v/>
      </c>
      <c r="T484" s="30">
        <f>MAX(Q484:S484)</f>
        <v/>
      </c>
      <c r="U484" s="28">
        <f>IFERROR(LOOKUP(T484,{0;0.5;1.5;3;4.5},{"Despreciable";"Bajo";"Medio";"Alto";"Muy alto"}),"")</f>
        <v/>
      </c>
      <c r="V484" s="13">
        <f>IFERROR(INDEX(MgAmenFrec,MATCH(SUBSTITUTE($H484,"*","-"),MgAmenClave,0)),"")</f>
        <v/>
      </c>
      <c r="W484" s="28">
        <f>IFERROR(LOOKUP(X484,{0;0.01;0.1;1;10;100},{"Muy baja";"Muy baja";"Baja";"Media";"Alta";"Muy alta"}),"")</f>
        <v/>
      </c>
      <c r="X484" s="31">
        <f>IFERROR(VLOOKUP(V484,MgFrec,2,0),0)</f>
        <v/>
      </c>
      <c r="Y484" s="30">
        <f>T484*X484</f>
        <v/>
      </c>
      <c r="Z484" s="28">
        <f>IFERROR(LOOKUP(Y484,{0;0.5;5;25},{"Bajo";"Medio";"Alto";"Crítico"}),"")</f>
        <v/>
      </c>
      <c r="AA484" s="64">
        <f>IF(T484&gt;=3,IF(X484&gt;=1,"Zona 1 — Crítica: impacto alto y ocurre al menos una vez al año","Zona 4 — Catastrófica poco probable: impacto alto pero excepcional"),IF(AND(T484&lt;1.5,X484&lt;1),"Zona 3 — Asumible: impacto bajo y muy poco frecuente","Zona 2 — Atención: riesgo intermedio"))</f>
        <v/>
      </c>
      <c r="AB484" s="64">
        <f>IFERROR(INDEX(MgAmenCtrl,MATCH(SUBSTITUTE($H484,"*","-"),MgAmenClave,0)),"")</f>
        <v/>
      </c>
      <c r="AC484" s="20" t="n"/>
      <c r="AD484" s="31">
        <f>IFERROR($X484*(1-IF($AC484="",$AL484,VLOOKUP($AC484,MgMad,2,0))),"")</f>
        <v/>
      </c>
      <c r="AE484" s="28">
        <f>IFERROR(LOOKUP(AD484,{0;0.01;0.1;1;10;100},{"Muy baja";"Muy baja";"Baja";"Media";"Alta";"Muy alta"}),"")</f>
        <v/>
      </c>
      <c r="AF484" s="30">
        <f>T484*AD484</f>
        <v/>
      </c>
      <c r="AG484" s="28">
        <f>IFERROR(LOOKUP(AF484,{0;0.5;5;25},{"Bajo";"Medio";"Alto";"Crítico"}),"")</f>
        <v/>
      </c>
      <c r="AH484" s="28">
        <f>IF(AG484="","",IF(OR(AG484="Crítico",AG484="Alto"),"Mitigar",IF(AG484="Medio","Mitigar","Aceptar y monitorear")))</f>
        <v/>
      </c>
      <c r="AI484" s="21" t="n"/>
      <c r="AJ484" s="21" t="n"/>
      <c r="AK484" s="20" t="n"/>
      <c r="AL484" s="77">
        <f>IFERROR(INDEX(MgAmenEfic,MATCH(SUBSTITUTE($H484,"*","-"),MgAmenClave,0)),0)</f>
        <v/>
      </c>
    </row>
    <row r="485" hidden="1" ht="60" customHeight="1" s="54">
      <c r="B485" s="59" t="inlineStr">
        <is>
          <t>R-0480</t>
        </is>
      </c>
      <c r="C485" s="59" t="inlineStr">
        <is>
          <t>COM-21</t>
        </is>
      </c>
      <c r="D485" s="64">
        <f>IFERROR(INDEX(MgNombre,MATCH($C485,MgActId,0)),"")</f>
        <v/>
      </c>
      <c r="E485" s="64">
        <f>IFERROR(INDEX(MgProceso,MATCH($C485,MgActId,0)),"")</f>
        <v/>
      </c>
      <c r="F485" s="64">
        <f>IFERROR(INDEX(MgTipo,MATCH($C485,MgActId,0)),"")</f>
        <v/>
      </c>
      <c r="G485" s="64">
        <f>IFERROR(INDEX(MgSubtipo,MATCH($C485,MgActId,0)),"")</f>
        <v/>
      </c>
      <c r="H485" s="59" t="inlineStr">
        <is>
          <t>A.18</t>
        </is>
      </c>
      <c r="I485" s="64">
        <f>IFERROR(INDEX(MgAmenNombre,MATCH(SUBSTITUTE($H485,"*","-"),MgAmenClave,0)),"")</f>
        <v/>
      </c>
      <c r="J485" s="28">
        <f>IFERROR(INDEX(MgAmenGrupo,MATCH(SUBSTITUTE($H485,"*","-"),MgAmenClave,0)),"")</f>
        <v/>
      </c>
      <c r="K485" s="64">
        <f>IFERROR(INDEX('1. Matriz de Activos'!$Q$6:$Q$239,MATCH($C485,MgActId,0)),"")</f>
        <v/>
      </c>
      <c r="L485" s="64">
        <f>IFERROR(INDEX('1. Matriz de Activos'!$R$6:$R$239,MATCH($C485,MgActId,0)),"")</f>
        <v/>
      </c>
      <c r="M485" s="64">
        <f>IFERROR(INDEX('1. Matriz de Activos'!$S$6:$S$239,MATCH($C485,MgActId,0)),"")</f>
        <v/>
      </c>
      <c r="N485" s="28">
        <f>IFERROR(INDEX(MgAmenDegD,MATCH(SUBSTITUTE($H485,"*","-"),MgAmenClave,0)),"No aplica")</f>
        <v/>
      </c>
      <c r="O485" s="28">
        <f>IFERROR(INDEX(MgAmenDegI,MATCH(SUBSTITUTE($H485,"*","-"),MgAmenClave,0)),"No aplica")</f>
        <v/>
      </c>
      <c r="P485" s="28">
        <f>IFERROR(INDEX(MgAmenDegC,MATCH(SUBSTITUTE($H485,"*","-"),MgAmenClave,0)),"No aplica")</f>
        <v/>
      </c>
      <c r="Q485" s="29">
        <f>IFERROR(VLOOKUP(K485,MgValor,2,0)*VLOOKUP(N485,MgDeg,2,0),0)</f>
        <v/>
      </c>
      <c r="R485" s="29">
        <f>IFERROR(VLOOKUP(L485,MgValor,2,0)*VLOOKUP(O485,MgDeg,2,0),0)</f>
        <v/>
      </c>
      <c r="S485" s="29">
        <f>IFERROR(VLOOKUP(M485,MgValor,2,0)*VLOOKUP(P485,MgDeg,2,0),0)</f>
        <v/>
      </c>
      <c r="T485" s="30">
        <f>MAX(Q485:S485)</f>
        <v/>
      </c>
      <c r="U485" s="28">
        <f>IFERROR(LOOKUP(T485,{0;0.5;1.5;3;4.5},{"Despreciable";"Bajo";"Medio";"Alto";"Muy alto"}),"")</f>
        <v/>
      </c>
      <c r="V485" s="13">
        <f>IFERROR(INDEX(MgAmenFrec,MATCH(SUBSTITUTE($H485,"*","-"),MgAmenClave,0)),"")</f>
        <v/>
      </c>
      <c r="W485" s="28">
        <f>IFERROR(LOOKUP(X485,{0;0.01;0.1;1;10;100},{"Muy baja";"Muy baja";"Baja";"Media";"Alta";"Muy alta"}),"")</f>
        <v/>
      </c>
      <c r="X485" s="31">
        <f>IFERROR(VLOOKUP(V485,MgFrec,2,0),0)</f>
        <v/>
      </c>
      <c r="Y485" s="30">
        <f>T485*X485</f>
        <v/>
      </c>
      <c r="Z485" s="28">
        <f>IFERROR(LOOKUP(Y485,{0;0.5;5;25},{"Bajo";"Medio";"Alto";"Crítico"}),"")</f>
        <v/>
      </c>
      <c r="AA485" s="64">
        <f>IF(T485&gt;=3,IF(X485&gt;=1,"Zona 1 — Crítica: impacto alto y ocurre al menos una vez al año","Zona 4 — Catastrófica poco probable: impacto alto pero excepcional"),IF(AND(T485&lt;1.5,X485&lt;1),"Zona 3 — Asumible: impacto bajo y muy poco frecuente","Zona 2 — Atención: riesgo intermedio"))</f>
        <v/>
      </c>
      <c r="AB485" s="64">
        <f>IFERROR(INDEX(MgAmenCtrl,MATCH(SUBSTITUTE($H485,"*","-"),MgAmenClave,0)),"")</f>
        <v/>
      </c>
      <c r="AC485" s="20" t="n"/>
      <c r="AD485" s="31">
        <f>IFERROR($X485*(1-IF($AC485="",$AL485,VLOOKUP($AC485,MgMad,2,0))),"")</f>
        <v/>
      </c>
      <c r="AE485" s="28">
        <f>IFERROR(LOOKUP(AD485,{0;0.01;0.1;1;10;100},{"Muy baja";"Muy baja";"Baja";"Media";"Alta";"Muy alta"}),"")</f>
        <v/>
      </c>
      <c r="AF485" s="30">
        <f>T485*AD485</f>
        <v/>
      </c>
      <c r="AG485" s="28">
        <f>IFERROR(LOOKUP(AF485,{0;0.5;5;25},{"Bajo";"Medio";"Alto";"Crítico"}),"")</f>
        <v/>
      </c>
      <c r="AH485" s="28">
        <f>IF(AG485="","",IF(OR(AG485="Crítico",AG485="Alto"),"Mitigar",IF(AG485="Medio","Mitigar","Aceptar y monitorear")))</f>
        <v/>
      </c>
      <c r="AI485" s="21" t="n"/>
      <c r="AJ485" s="21" t="n"/>
      <c r="AK485" s="20" t="n"/>
      <c r="AL485" s="77">
        <f>IFERROR(INDEX(MgAmenEfic,MATCH(SUBSTITUTE($H485,"*","-"),MgAmenClave,0)),0)</f>
        <v/>
      </c>
    </row>
    <row r="486" hidden="1" ht="120" customHeight="1" s="54">
      <c r="B486" s="59" t="inlineStr">
        <is>
          <t>R-0481</t>
        </is>
      </c>
      <c r="C486" s="59" t="inlineStr">
        <is>
          <t>COM-21</t>
        </is>
      </c>
      <c r="D486" s="64">
        <f>IFERROR(INDEX(MgNombre,MATCH($C486,MgActId,0)),"")</f>
        <v/>
      </c>
      <c r="E486" s="64">
        <f>IFERROR(INDEX(MgProceso,MATCH($C486,MgActId,0)),"")</f>
        <v/>
      </c>
      <c r="F486" s="64">
        <f>IFERROR(INDEX(MgTipo,MATCH($C486,MgActId,0)),"")</f>
        <v/>
      </c>
      <c r="G486" s="64">
        <f>IFERROR(INDEX(MgSubtipo,MATCH($C486,MgActId,0)),"")</f>
        <v/>
      </c>
      <c r="H486" s="59" t="inlineStr">
        <is>
          <t>A.19</t>
        </is>
      </c>
      <c r="I486" s="64">
        <f>IFERROR(INDEX(MgAmenNombre,MATCH(SUBSTITUTE($H486,"*","-"),MgAmenClave,0)),"")</f>
        <v/>
      </c>
      <c r="J486" s="28">
        <f>IFERROR(INDEX(MgAmenGrupo,MATCH(SUBSTITUTE($H486,"*","-"),MgAmenClave,0)),"")</f>
        <v/>
      </c>
      <c r="K486" s="64">
        <f>IFERROR(INDEX('1. Matriz de Activos'!$Q$6:$Q$239,MATCH($C486,MgActId,0)),"")</f>
        <v/>
      </c>
      <c r="L486" s="64">
        <f>IFERROR(INDEX('1. Matriz de Activos'!$R$6:$R$239,MATCH($C486,MgActId,0)),"")</f>
        <v/>
      </c>
      <c r="M486" s="64">
        <f>IFERROR(INDEX('1. Matriz de Activos'!$S$6:$S$239,MATCH($C486,MgActId,0)),"")</f>
        <v/>
      </c>
      <c r="N486" s="28">
        <f>IFERROR(INDEX(MgAmenDegD,MATCH(SUBSTITUTE($H486,"*","-"),MgAmenClave,0)),"No aplica")</f>
        <v/>
      </c>
      <c r="O486" s="28">
        <f>IFERROR(INDEX(MgAmenDegI,MATCH(SUBSTITUTE($H486,"*","-"),MgAmenClave,0)),"No aplica")</f>
        <v/>
      </c>
      <c r="P486" s="28">
        <f>IFERROR(INDEX(MgAmenDegC,MATCH(SUBSTITUTE($H486,"*","-"),MgAmenClave,0)),"No aplica")</f>
        <v/>
      </c>
      <c r="Q486" s="29">
        <f>IFERROR(VLOOKUP(K486,MgValor,2,0)*VLOOKUP(N486,MgDeg,2,0),0)</f>
        <v/>
      </c>
      <c r="R486" s="29">
        <f>IFERROR(VLOOKUP(L486,MgValor,2,0)*VLOOKUP(O486,MgDeg,2,0),0)</f>
        <v/>
      </c>
      <c r="S486" s="29">
        <f>IFERROR(VLOOKUP(M486,MgValor,2,0)*VLOOKUP(P486,MgDeg,2,0),0)</f>
        <v/>
      </c>
      <c r="T486" s="30">
        <f>MAX(Q486:S486)</f>
        <v/>
      </c>
      <c r="U486" s="28">
        <f>IFERROR(LOOKUP(T486,{0;0.5;1.5;3;4.5},{"Despreciable";"Bajo";"Medio";"Alto";"Muy alto"}),"")</f>
        <v/>
      </c>
      <c r="V486" s="13">
        <f>IFERROR(INDEX(MgAmenFrec,MATCH(SUBSTITUTE($H486,"*","-"),MgAmenClave,0)),"")</f>
        <v/>
      </c>
      <c r="W486" s="28">
        <f>IFERROR(LOOKUP(X486,{0;0.01;0.1;1;10;100},{"Muy baja";"Muy baja";"Baja";"Media";"Alta";"Muy alta"}),"")</f>
        <v/>
      </c>
      <c r="X486" s="31">
        <f>IFERROR(VLOOKUP(V486,MgFrec,2,0),0)</f>
        <v/>
      </c>
      <c r="Y486" s="30">
        <f>T486*X486</f>
        <v/>
      </c>
      <c r="Z486" s="28">
        <f>IFERROR(LOOKUP(Y486,{0;0.5;5;25},{"Bajo";"Medio";"Alto";"Crítico"}),"")</f>
        <v/>
      </c>
      <c r="AA486" s="64">
        <f>IF(T486&gt;=3,IF(X486&gt;=1,"Zona 1 — Crítica: impacto alto y ocurre al menos una vez al año","Zona 4 — Catastrófica poco probable: impacto alto pero excepcional"),IF(AND(T486&lt;1.5,X486&lt;1),"Zona 3 — Asumible: impacto bajo y muy poco frecuente","Zona 2 — Atención: riesgo intermedio"))</f>
        <v/>
      </c>
      <c r="AB486" s="64">
        <f>IFERROR(INDEX(MgAmenCtrl,MATCH(SUBSTITUTE($H486,"*","-"),MgAmenClave,0)),"")</f>
        <v/>
      </c>
      <c r="AC486" s="20" t="n"/>
      <c r="AD486" s="31">
        <f>IFERROR($X486*(1-IF($AC486="",$AL486,VLOOKUP($AC486,MgMad,2,0))),"")</f>
        <v/>
      </c>
      <c r="AE486" s="28">
        <f>IFERROR(LOOKUP(AD486,{0;0.01;0.1;1;10;100},{"Muy baja";"Muy baja";"Baja";"Media";"Alta";"Muy alta"}),"")</f>
        <v/>
      </c>
      <c r="AF486" s="30">
        <f>T486*AD486</f>
        <v/>
      </c>
      <c r="AG486" s="28">
        <f>IFERROR(LOOKUP(AF486,{0;0.5;5;25},{"Bajo";"Medio";"Alto";"Crítico"}),"")</f>
        <v/>
      </c>
      <c r="AH486" s="28">
        <f>IF(AG486="","",IF(OR(AG486="Crítico",AG486="Alto"),"Mitigar",IF(AG486="Medio","Mitigar","Aceptar y monitorear")))</f>
        <v/>
      </c>
      <c r="AI486" s="21" t="n"/>
      <c r="AJ486" s="21" t="n"/>
      <c r="AK486" s="20" t="n"/>
      <c r="AL486" s="77">
        <f>IFERROR(INDEX(MgAmenEfic,MATCH(SUBSTITUTE($H486,"*","-"),MgAmenClave,0)),0)</f>
        <v/>
      </c>
    </row>
    <row r="487" hidden="1" ht="105" customHeight="1" s="54">
      <c r="B487" s="59" t="inlineStr">
        <is>
          <t>R-0482</t>
        </is>
      </c>
      <c r="C487" s="59" t="inlineStr">
        <is>
          <t>TAL-13</t>
        </is>
      </c>
      <c r="D487" s="64">
        <f>IFERROR(INDEX(MgNombre,MATCH($C487,MgActId,0)),"")</f>
        <v/>
      </c>
      <c r="E487" s="64">
        <f>IFERROR(INDEX(MgProceso,MATCH($C487,MgActId,0)),"")</f>
        <v/>
      </c>
      <c r="F487" s="64">
        <f>IFERROR(INDEX(MgTipo,MATCH($C487,MgActId,0)),"")</f>
        <v/>
      </c>
      <c r="G487" s="64">
        <f>IFERROR(INDEX(MgSubtipo,MATCH($C487,MgActId,0)),"")</f>
        <v/>
      </c>
      <c r="H487" s="59" t="inlineStr">
        <is>
          <t>E.1</t>
        </is>
      </c>
      <c r="I487" s="64">
        <f>IFERROR(INDEX(MgAmenNombre,MATCH(SUBSTITUTE($H487,"*","-"),MgAmenClave,0)),"")</f>
        <v/>
      </c>
      <c r="J487" s="28">
        <f>IFERROR(INDEX(MgAmenGrupo,MATCH(SUBSTITUTE($H487,"*","-"),MgAmenClave,0)),"")</f>
        <v/>
      </c>
      <c r="K487" s="64">
        <f>IFERROR(INDEX('1. Matriz de Activos'!$Q$6:$Q$239,MATCH($C487,MgActId,0)),"")</f>
        <v/>
      </c>
      <c r="L487" s="64">
        <f>IFERROR(INDEX('1. Matriz de Activos'!$R$6:$R$239,MATCH($C487,MgActId,0)),"")</f>
        <v/>
      </c>
      <c r="M487" s="64">
        <f>IFERROR(INDEX('1. Matriz de Activos'!$S$6:$S$239,MATCH($C487,MgActId,0)),"")</f>
        <v/>
      </c>
      <c r="N487" s="28">
        <f>IFERROR(INDEX(MgAmenDegD,MATCH(SUBSTITUTE($H487,"*","-"),MgAmenClave,0)),"No aplica")</f>
        <v/>
      </c>
      <c r="O487" s="28">
        <f>IFERROR(INDEX(MgAmenDegI,MATCH(SUBSTITUTE($H487,"*","-"),MgAmenClave,0)),"No aplica")</f>
        <v/>
      </c>
      <c r="P487" s="28">
        <f>IFERROR(INDEX(MgAmenDegC,MATCH(SUBSTITUTE($H487,"*","-"),MgAmenClave,0)),"No aplica")</f>
        <v/>
      </c>
      <c r="Q487" s="29">
        <f>IFERROR(VLOOKUP(K487,MgValor,2,0)*VLOOKUP(N487,MgDeg,2,0),0)</f>
        <v/>
      </c>
      <c r="R487" s="29">
        <f>IFERROR(VLOOKUP(L487,MgValor,2,0)*VLOOKUP(O487,MgDeg,2,0),0)</f>
        <v/>
      </c>
      <c r="S487" s="29">
        <f>IFERROR(VLOOKUP(M487,MgValor,2,0)*VLOOKUP(P487,MgDeg,2,0),0)</f>
        <v/>
      </c>
      <c r="T487" s="30">
        <f>MAX(Q487:S487)</f>
        <v/>
      </c>
      <c r="U487" s="28">
        <f>IFERROR(LOOKUP(T487,{0;0.5;1.5;3;4.5},{"Despreciable";"Bajo";"Medio";"Alto";"Muy alto"}),"")</f>
        <v/>
      </c>
      <c r="V487" s="13">
        <f>IFERROR(INDEX(MgAmenFrec,MATCH(SUBSTITUTE($H487,"*","-"),MgAmenClave,0)),"")</f>
        <v/>
      </c>
      <c r="W487" s="28">
        <f>IFERROR(LOOKUP(X487,{0;0.01;0.1;1;10;100},{"Muy baja";"Muy baja";"Baja";"Media";"Alta";"Muy alta"}),"")</f>
        <v/>
      </c>
      <c r="X487" s="31">
        <f>IFERROR(VLOOKUP(V487,MgFrec,2,0),0)</f>
        <v/>
      </c>
      <c r="Y487" s="30">
        <f>T487*X487</f>
        <v/>
      </c>
      <c r="Z487" s="28">
        <f>IFERROR(LOOKUP(Y487,{0;0.5;5;25},{"Bajo";"Medio";"Alto";"Crítico"}),"")</f>
        <v/>
      </c>
      <c r="AA487" s="64">
        <f>IF(T487&gt;=3,IF(X487&gt;=1,"Zona 1 — Crítica: impacto alto y ocurre al menos una vez al año","Zona 4 — Catastrófica poco probable: impacto alto pero excepcional"),IF(AND(T487&lt;1.5,X487&lt;1),"Zona 3 — Asumible: impacto bajo y muy poco frecuente","Zona 2 — Atención: riesgo intermedio"))</f>
        <v/>
      </c>
      <c r="AB487" s="64">
        <f>IFERROR(INDEX(MgAmenCtrl,MATCH(SUBSTITUTE($H487,"*","-"),MgAmenClave,0)),"")</f>
        <v/>
      </c>
      <c r="AC487" s="20" t="n"/>
      <c r="AD487" s="31">
        <f>IFERROR($X487*(1-IF($AC487="",$AL487,VLOOKUP($AC487,MgMad,2,0))),"")</f>
        <v/>
      </c>
      <c r="AE487" s="28">
        <f>IFERROR(LOOKUP(AD487,{0;0.01;0.1;1;10;100},{"Muy baja";"Muy baja";"Baja";"Media";"Alta";"Muy alta"}),"")</f>
        <v/>
      </c>
      <c r="AF487" s="30">
        <f>T487*AD487</f>
        <v/>
      </c>
      <c r="AG487" s="28">
        <f>IFERROR(LOOKUP(AF487,{0;0.5;5;25},{"Bajo";"Medio";"Alto";"Crítico"}),"")</f>
        <v/>
      </c>
      <c r="AH487" s="28">
        <f>IF(AG487="","",IF(OR(AG487="Crítico",AG487="Alto"),"Mitigar",IF(AG487="Medio","Mitigar","Aceptar y monitorear")))</f>
        <v/>
      </c>
      <c r="AI487" s="21" t="n"/>
      <c r="AJ487" s="21" t="n"/>
      <c r="AK487" s="20" t="n"/>
      <c r="AL487" s="77">
        <f>IFERROR(INDEX(MgAmenEfic,MATCH(SUBSTITUTE($H487,"*","-"),MgAmenClave,0)),0)</f>
        <v/>
      </c>
    </row>
    <row r="488" hidden="1" ht="120" customHeight="1" s="54">
      <c r="B488" s="59" t="inlineStr">
        <is>
          <t>R-0483</t>
        </is>
      </c>
      <c r="C488" s="59" t="inlineStr">
        <is>
          <t>TAL-13</t>
        </is>
      </c>
      <c r="D488" s="64">
        <f>IFERROR(INDEX(MgNombre,MATCH($C488,MgActId,0)),"")</f>
        <v/>
      </c>
      <c r="E488" s="64">
        <f>IFERROR(INDEX(MgProceso,MATCH($C488,MgActId,0)),"")</f>
        <v/>
      </c>
      <c r="F488" s="64">
        <f>IFERROR(INDEX(MgTipo,MATCH($C488,MgActId,0)),"")</f>
        <v/>
      </c>
      <c r="G488" s="64">
        <f>IFERROR(INDEX(MgSubtipo,MATCH($C488,MgActId,0)),"")</f>
        <v/>
      </c>
      <c r="H488" s="59" t="inlineStr">
        <is>
          <t>E.2</t>
        </is>
      </c>
      <c r="I488" s="64">
        <f>IFERROR(INDEX(MgAmenNombre,MATCH(SUBSTITUTE($H488,"*","-"),MgAmenClave,0)),"")</f>
        <v/>
      </c>
      <c r="J488" s="28">
        <f>IFERROR(INDEX(MgAmenGrupo,MATCH(SUBSTITUTE($H488,"*","-"),MgAmenClave,0)),"")</f>
        <v/>
      </c>
      <c r="K488" s="64">
        <f>IFERROR(INDEX('1. Matriz de Activos'!$Q$6:$Q$239,MATCH($C488,MgActId,0)),"")</f>
        <v/>
      </c>
      <c r="L488" s="64">
        <f>IFERROR(INDEX('1. Matriz de Activos'!$R$6:$R$239,MATCH($C488,MgActId,0)),"")</f>
        <v/>
      </c>
      <c r="M488" s="64">
        <f>IFERROR(INDEX('1. Matriz de Activos'!$S$6:$S$239,MATCH($C488,MgActId,0)),"")</f>
        <v/>
      </c>
      <c r="N488" s="28">
        <f>IFERROR(INDEX(MgAmenDegD,MATCH(SUBSTITUTE($H488,"*","-"),MgAmenClave,0)),"No aplica")</f>
        <v/>
      </c>
      <c r="O488" s="28">
        <f>IFERROR(INDEX(MgAmenDegI,MATCH(SUBSTITUTE($H488,"*","-"),MgAmenClave,0)),"No aplica")</f>
        <v/>
      </c>
      <c r="P488" s="28">
        <f>IFERROR(INDEX(MgAmenDegC,MATCH(SUBSTITUTE($H488,"*","-"),MgAmenClave,0)),"No aplica")</f>
        <v/>
      </c>
      <c r="Q488" s="29">
        <f>IFERROR(VLOOKUP(K488,MgValor,2,0)*VLOOKUP(N488,MgDeg,2,0),0)</f>
        <v/>
      </c>
      <c r="R488" s="29">
        <f>IFERROR(VLOOKUP(L488,MgValor,2,0)*VLOOKUP(O488,MgDeg,2,0),0)</f>
        <v/>
      </c>
      <c r="S488" s="29">
        <f>IFERROR(VLOOKUP(M488,MgValor,2,0)*VLOOKUP(P488,MgDeg,2,0),0)</f>
        <v/>
      </c>
      <c r="T488" s="30">
        <f>MAX(Q488:S488)</f>
        <v/>
      </c>
      <c r="U488" s="28">
        <f>IFERROR(LOOKUP(T488,{0;0.5;1.5;3;4.5},{"Despreciable";"Bajo";"Medio";"Alto";"Muy alto"}),"")</f>
        <v/>
      </c>
      <c r="V488" s="13">
        <f>IFERROR(INDEX(MgAmenFrec,MATCH(SUBSTITUTE($H488,"*","-"),MgAmenClave,0)),"")</f>
        <v/>
      </c>
      <c r="W488" s="28">
        <f>IFERROR(LOOKUP(X488,{0;0.01;0.1;1;10;100},{"Muy baja";"Muy baja";"Baja";"Media";"Alta";"Muy alta"}),"")</f>
        <v/>
      </c>
      <c r="X488" s="31">
        <f>IFERROR(VLOOKUP(V488,MgFrec,2,0),0)</f>
        <v/>
      </c>
      <c r="Y488" s="30">
        <f>T488*X488</f>
        <v/>
      </c>
      <c r="Z488" s="28">
        <f>IFERROR(LOOKUP(Y488,{0;0.5;5;25},{"Bajo";"Medio";"Alto";"Crítico"}),"")</f>
        <v/>
      </c>
      <c r="AA488" s="64">
        <f>IF(T488&gt;=3,IF(X488&gt;=1,"Zona 1 — Crítica: impacto alto y ocurre al menos una vez al año","Zona 4 — Catastrófica poco probable: impacto alto pero excepcional"),IF(AND(T488&lt;1.5,X488&lt;1),"Zona 3 — Asumible: impacto bajo y muy poco frecuente","Zona 2 — Atención: riesgo intermedio"))</f>
        <v/>
      </c>
      <c r="AB488" s="64">
        <f>IFERROR(INDEX(MgAmenCtrl,MATCH(SUBSTITUTE($H488,"*","-"),MgAmenClave,0)),"")</f>
        <v/>
      </c>
      <c r="AC488" s="20" t="n"/>
      <c r="AD488" s="31">
        <f>IFERROR($X488*(1-IF($AC488="",$AL488,VLOOKUP($AC488,MgMad,2,0))),"")</f>
        <v/>
      </c>
      <c r="AE488" s="28">
        <f>IFERROR(LOOKUP(AD488,{0;0.01;0.1;1;10;100},{"Muy baja";"Muy baja";"Baja";"Media";"Alta";"Muy alta"}),"")</f>
        <v/>
      </c>
      <c r="AF488" s="30">
        <f>T488*AD488</f>
        <v/>
      </c>
      <c r="AG488" s="28">
        <f>IFERROR(LOOKUP(AF488,{0;0.5;5;25},{"Bajo";"Medio";"Alto";"Crítico"}),"")</f>
        <v/>
      </c>
      <c r="AH488" s="28">
        <f>IF(AG488="","",IF(OR(AG488="Crítico",AG488="Alto"),"Mitigar",IF(AG488="Medio","Mitigar","Aceptar y monitorear")))</f>
        <v/>
      </c>
      <c r="AI488" s="21" t="n"/>
      <c r="AJ488" s="21" t="n"/>
      <c r="AK488" s="20" t="n"/>
      <c r="AL488" s="77">
        <f>IFERROR(INDEX(MgAmenEfic,MATCH(SUBSTITUTE($H488,"*","-"),MgAmenClave,0)),0)</f>
        <v/>
      </c>
    </row>
    <row r="489" hidden="1" ht="75" customHeight="1" s="54">
      <c r="B489" s="59" t="inlineStr">
        <is>
          <t>R-0484</t>
        </is>
      </c>
      <c r="C489" s="59" t="inlineStr">
        <is>
          <t>TAL-13</t>
        </is>
      </c>
      <c r="D489" s="64">
        <f>IFERROR(INDEX(MgNombre,MATCH($C489,MgActId,0)),"")</f>
        <v/>
      </c>
      <c r="E489" s="64">
        <f>IFERROR(INDEX(MgProceso,MATCH($C489,MgActId,0)),"")</f>
        <v/>
      </c>
      <c r="F489" s="64">
        <f>IFERROR(INDEX(MgTipo,MATCH($C489,MgActId,0)),"")</f>
        <v/>
      </c>
      <c r="G489" s="64">
        <f>IFERROR(INDEX(MgSubtipo,MATCH($C489,MgActId,0)),"")</f>
        <v/>
      </c>
      <c r="H489" s="59" t="inlineStr">
        <is>
          <t>E.3</t>
        </is>
      </c>
      <c r="I489" s="64">
        <f>IFERROR(INDEX(MgAmenNombre,MATCH(SUBSTITUTE($H489,"*","-"),MgAmenClave,0)),"")</f>
        <v/>
      </c>
      <c r="J489" s="28">
        <f>IFERROR(INDEX(MgAmenGrupo,MATCH(SUBSTITUTE($H489,"*","-"),MgAmenClave,0)),"")</f>
        <v/>
      </c>
      <c r="K489" s="64">
        <f>IFERROR(INDEX('1. Matriz de Activos'!$Q$6:$Q$239,MATCH($C489,MgActId,0)),"")</f>
        <v/>
      </c>
      <c r="L489" s="64">
        <f>IFERROR(INDEX('1. Matriz de Activos'!$R$6:$R$239,MATCH($C489,MgActId,0)),"")</f>
        <v/>
      </c>
      <c r="M489" s="64">
        <f>IFERROR(INDEX('1. Matriz de Activos'!$S$6:$S$239,MATCH($C489,MgActId,0)),"")</f>
        <v/>
      </c>
      <c r="N489" s="28">
        <f>IFERROR(INDEX(MgAmenDegD,MATCH(SUBSTITUTE($H489,"*","-"),MgAmenClave,0)),"No aplica")</f>
        <v/>
      </c>
      <c r="O489" s="28">
        <f>IFERROR(INDEX(MgAmenDegI,MATCH(SUBSTITUTE($H489,"*","-"),MgAmenClave,0)),"No aplica")</f>
        <v/>
      </c>
      <c r="P489" s="28">
        <f>IFERROR(INDEX(MgAmenDegC,MATCH(SUBSTITUTE($H489,"*","-"),MgAmenClave,0)),"No aplica")</f>
        <v/>
      </c>
      <c r="Q489" s="29">
        <f>IFERROR(VLOOKUP(K489,MgValor,2,0)*VLOOKUP(N489,MgDeg,2,0),0)</f>
        <v/>
      </c>
      <c r="R489" s="29">
        <f>IFERROR(VLOOKUP(L489,MgValor,2,0)*VLOOKUP(O489,MgDeg,2,0),0)</f>
        <v/>
      </c>
      <c r="S489" s="29">
        <f>IFERROR(VLOOKUP(M489,MgValor,2,0)*VLOOKUP(P489,MgDeg,2,0),0)</f>
        <v/>
      </c>
      <c r="T489" s="30">
        <f>MAX(Q489:S489)</f>
        <v/>
      </c>
      <c r="U489" s="28">
        <f>IFERROR(LOOKUP(T489,{0;0.5;1.5;3;4.5},{"Despreciable";"Bajo";"Medio";"Alto";"Muy alto"}),"")</f>
        <v/>
      </c>
      <c r="V489" s="13">
        <f>IFERROR(INDEX(MgAmenFrec,MATCH(SUBSTITUTE($H489,"*","-"),MgAmenClave,0)),"")</f>
        <v/>
      </c>
      <c r="W489" s="28">
        <f>IFERROR(LOOKUP(X489,{0;0.01;0.1;1;10;100},{"Muy baja";"Muy baja";"Baja";"Media";"Alta";"Muy alta"}),"")</f>
        <v/>
      </c>
      <c r="X489" s="31">
        <f>IFERROR(VLOOKUP(V489,MgFrec,2,0),0)</f>
        <v/>
      </c>
      <c r="Y489" s="30">
        <f>T489*X489</f>
        <v/>
      </c>
      <c r="Z489" s="28">
        <f>IFERROR(LOOKUP(Y489,{0;0.5;5;25},{"Bajo";"Medio";"Alto";"Crítico"}),"")</f>
        <v/>
      </c>
      <c r="AA489" s="64">
        <f>IF(T489&gt;=3,IF(X489&gt;=1,"Zona 1 — Crítica: impacto alto y ocurre al menos una vez al año","Zona 4 — Catastrófica poco probable: impacto alto pero excepcional"),IF(AND(T489&lt;1.5,X489&lt;1),"Zona 3 — Asumible: impacto bajo y muy poco frecuente","Zona 2 — Atención: riesgo intermedio"))</f>
        <v/>
      </c>
      <c r="AB489" s="64">
        <f>IFERROR(INDEX(MgAmenCtrl,MATCH(SUBSTITUTE($H489,"*","-"),MgAmenClave,0)),"")</f>
        <v/>
      </c>
      <c r="AC489" s="20" t="n"/>
      <c r="AD489" s="31">
        <f>IFERROR($X489*(1-IF($AC489="",$AL489,VLOOKUP($AC489,MgMad,2,0))),"")</f>
        <v/>
      </c>
      <c r="AE489" s="28">
        <f>IFERROR(LOOKUP(AD489,{0;0.01;0.1;1;10;100},{"Muy baja";"Muy baja";"Baja";"Media";"Alta";"Muy alta"}),"")</f>
        <v/>
      </c>
      <c r="AF489" s="30">
        <f>T489*AD489</f>
        <v/>
      </c>
      <c r="AG489" s="28">
        <f>IFERROR(LOOKUP(AF489,{0;0.5;5;25},{"Bajo";"Medio";"Alto";"Crítico"}),"")</f>
        <v/>
      </c>
      <c r="AH489" s="28">
        <f>IF(AG489="","",IF(OR(AG489="Crítico",AG489="Alto"),"Mitigar",IF(AG489="Medio","Mitigar","Aceptar y monitorear")))</f>
        <v/>
      </c>
      <c r="AI489" s="21" t="n"/>
      <c r="AJ489" s="21" t="n"/>
      <c r="AK489" s="20" t="n"/>
      <c r="AL489" s="77">
        <f>IFERROR(INDEX(MgAmenEfic,MATCH(SUBSTITUTE($H489,"*","-"),MgAmenClave,0)),0)</f>
        <v/>
      </c>
    </row>
    <row r="490" hidden="1" ht="75" customHeight="1" s="54">
      <c r="B490" s="59" t="inlineStr">
        <is>
          <t>R-0485</t>
        </is>
      </c>
      <c r="C490" s="59" t="inlineStr">
        <is>
          <t>TAL-13</t>
        </is>
      </c>
      <c r="D490" s="64">
        <f>IFERROR(INDEX(MgNombre,MATCH($C490,MgActId,0)),"")</f>
        <v/>
      </c>
      <c r="E490" s="64">
        <f>IFERROR(INDEX(MgProceso,MATCH($C490,MgActId,0)),"")</f>
        <v/>
      </c>
      <c r="F490" s="64">
        <f>IFERROR(INDEX(MgTipo,MATCH($C490,MgActId,0)),"")</f>
        <v/>
      </c>
      <c r="G490" s="64">
        <f>IFERROR(INDEX(MgSubtipo,MATCH($C490,MgActId,0)),"")</f>
        <v/>
      </c>
      <c r="H490" s="59" t="inlineStr">
        <is>
          <t>E.4</t>
        </is>
      </c>
      <c r="I490" s="64">
        <f>IFERROR(INDEX(MgAmenNombre,MATCH(SUBSTITUTE($H490,"*","-"),MgAmenClave,0)),"")</f>
        <v/>
      </c>
      <c r="J490" s="28">
        <f>IFERROR(INDEX(MgAmenGrupo,MATCH(SUBSTITUTE($H490,"*","-"),MgAmenClave,0)),"")</f>
        <v/>
      </c>
      <c r="K490" s="64">
        <f>IFERROR(INDEX('1. Matriz de Activos'!$Q$6:$Q$239,MATCH($C490,MgActId,0)),"")</f>
        <v/>
      </c>
      <c r="L490" s="64">
        <f>IFERROR(INDEX('1. Matriz de Activos'!$R$6:$R$239,MATCH($C490,MgActId,0)),"")</f>
        <v/>
      </c>
      <c r="M490" s="64">
        <f>IFERROR(INDEX('1. Matriz de Activos'!$S$6:$S$239,MATCH($C490,MgActId,0)),"")</f>
        <v/>
      </c>
      <c r="N490" s="28">
        <f>IFERROR(INDEX(MgAmenDegD,MATCH(SUBSTITUTE($H490,"*","-"),MgAmenClave,0)),"No aplica")</f>
        <v/>
      </c>
      <c r="O490" s="28">
        <f>IFERROR(INDEX(MgAmenDegI,MATCH(SUBSTITUTE($H490,"*","-"),MgAmenClave,0)),"No aplica")</f>
        <v/>
      </c>
      <c r="P490" s="28">
        <f>IFERROR(INDEX(MgAmenDegC,MATCH(SUBSTITUTE($H490,"*","-"),MgAmenClave,0)),"No aplica")</f>
        <v/>
      </c>
      <c r="Q490" s="29">
        <f>IFERROR(VLOOKUP(K490,MgValor,2,0)*VLOOKUP(N490,MgDeg,2,0),0)</f>
        <v/>
      </c>
      <c r="R490" s="29">
        <f>IFERROR(VLOOKUP(L490,MgValor,2,0)*VLOOKUP(O490,MgDeg,2,0),0)</f>
        <v/>
      </c>
      <c r="S490" s="29">
        <f>IFERROR(VLOOKUP(M490,MgValor,2,0)*VLOOKUP(P490,MgDeg,2,0),0)</f>
        <v/>
      </c>
      <c r="T490" s="30">
        <f>MAX(Q490:S490)</f>
        <v/>
      </c>
      <c r="U490" s="28">
        <f>IFERROR(LOOKUP(T490,{0;0.5;1.5;3;4.5},{"Despreciable";"Bajo";"Medio";"Alto";"Muy alto"}),"")</f>
        <v/>
      </c>
      <c r="V490" s="13">
        <f>IFERROR(INDEX(MgAmenFrec,MATCH(SUBSTITUTE($H490,"*","-"),MgAmenClave,0)),"")</f>
        <v/>
      </c>
      <c r="W490" s="28">
        <f>IFERROR(LOOKUP(X490,{0;0.01;0.1;1;10;100},{"Muy baja";"Muy baja";"Baja";"Media";"Alta";"Muy alta"}),"")</f>
        <v/>
      </c>
      <c r="X490" s="31">
        <f>IFERROR(VLOOKUP(V490,MgFrec,2,0),0)</f>
        <v/>
      </c>
      <c r="Y490" s="30">
        <f>T490*X490</f>
        <v/>
      </c>
      <c r="Z490" s="28">
        <f>IFERROR(LOOKUP(Y490,{0;0.5;5;25},{"Bajo";"Medio";"Alto";"Crítico"}),"")</f>
        <v/>
      </c>
      <c r="AA490" s="64">
        <f>IF(T490&gt;=3,IF(X490&gt;=1,"Zona 1 — Crítica: impacto alto y ocurre al menos una vez al año","Zona 4 — Catastrófica poco probable: impacto alto pero excepcional"),IF(AND(T490&lt;1.5,X490&lt;1),"Zona 3 — Asumible: impacto bajo y muy poco frecuente","Zona 2 — Atención: riesgo intermedio"))</f>
        <v/>
      </c>
      <c r="AB490" s="64">
        <f>IFERROR(INDEX(MgAmenCtrl,MATCH(SUBSTITUTE($H490,"*","-"),MgAmenClave,0)),"")</f>
        <v/>
      </c>
      <c r="AC490" s="20" t="n"/>
      <c r="AD490" s="31">
        <f>IFERROR($X490*(1-IF($AC490="",$AL490,VLOOKUP($AC490,MgMad,2,0))),"")</f>
        <v/>
      </c>
      <c r="AE490" s="28">
        <f>IFERROR(LOOKUP(AD490,{0;0.01;0.1;1;10;100},{"Muy baja";"Muy baja";"Baja";"Media";"Alta";"Muy alta"}),"")</f>
        <v/>
      </c>
      <c r="AF490" s="30">
        <f>T490*AD490</f>
        <v/>
      </c>
      <c r="AG490" s="28">
        <f>IFERROR(LOOKUP(AF490,{0;0.5;5;25},{"Bajo";"Medio";"Alto";"Crítico"}),"")</f>
        <v/>
      </c>
      <c r="AH490" s="28">
        <f>IF(AG490="","",IF(OR(AG490="Crítico",AG490="Alto"),"Mitigar",IF(AG490="Medio","Mitigar","Aceptar y monitorear")))</f>
        <v/>
      </c>
      <c r="AI490" s="21" t="n"/>
      <c r="AJ490" s="21" t="n"/>
      <c r="AK490" s="20" t="n"/>
      <c r="AL490" s="77">
        <f>IFERROR(INDEX(MgAmenEfic,MATCH(SUBSTITUTE($H490,"*","-"),MgAmenClave,0)),0)</f>
        <v/>
      </c>
    </row>
    <row r="491" hidden="1" ht="90" customHeight="1" s="54">
      <c r="B491" s="59" t="inlineStr">
        <is>
          <t>R-0486</t>
        </is>
      </c>
      <c r="C491" s="59" t="inlineStr">
        <is>
          <t>TAL-13</t>
        </is>
      </c>
      <c r="D491" s="64">
        <f>IFERROR(INDEX(MgNombre,MATCH($C491,MgActId,0)),"")</f>
        <v/>
      </c>
      <c r="E491" s="64">
        <f>IFERROR(INDEX(MgProceso,MATCH($C491,MgActId,0)),"")</f>
        <v/>
      </c>
      <c r="F491" s="64">
        <f>IFERROR(INDEX(MgTipo,MATCH($C491,MgActId,0)),"")</f>
        <v/>
      </c>
      <c r="G491" s="64">
        <f>IFERROR(INDEX(MgSubtipo,MATCH($C491,MgActId,0)),"")</f>
        <v/>
      </c>
      <c r="H491" s="59" t="inlineStr">
        <is>
          <t>E.14</t>
        </is>
      </c>
      <c r="I491" s="64">
        <f>IFERROR(INDEX(MgAmenNombre,MATCH(SUBSTITUTE($H491,"*","-"),MgAmenClave,0)),"")</f>
        <v/>
      </c>
      <c r="J491" s="28">
        <f>IFERROR(INDEX(MgAmenGrupo,MATCH(SUBSTITUTE($H491,"*","-"),MgAmenClave,0)),"")</f>
        <v/>
      </c>
      <c r="K491" s="64">
        <f>IFERROR(INDEX('1. Matriz de Activos'!$Q$6:$Q$239,MATCH($C491,MgActId,0)),"")</f>
        <v/>
      </c>
      <c r="L491" s="64">
        <f>IFERROR(INDEX('1. Matriz de Activos'!$R$6:$R$239,MATCH($C491,MgActId,0)),"")</f>
        <v/>
      </c>
      <c r="M491" s="64">
        <f>IFERROR(INDEX('1. Matriz de Activos'!$S$6:$S$239,MATCH($C491,MgActId,0)),"")</f>
        <v/>
      </c>
      <c r="N491" s="28">
        <f>IFERROR(INDEX(MgAmenDegD,MATCH(SUBSTITUTE($H491,"*","-"),MgAmenClave,0)),"No aplica")</f>
        <v/>
      </c>
      <c r="O491" s="28">
        <f>IFERROR(INDEX(MgAmenDegI,MATCH(SUBSTITUTE($H491,"*","-"),MgAmenClave,0)),"No aplica")</f>
        <v/>
      </c>
      <c r="P491" s="28">
        <f>IFERROR(INDEX(MgAmenDegC,MATCH(SUBSTITUTE($H491,"*","-"),MgAmenClave,0)),"No aplica")</f>
        <v/>
      </c>
      <c r="Q491" s="29">
        <f>IFERROR(VLOOKUP(K491,MgValor,2,0)*VLOOKUP(N491,MgDeg,2,0),0)</f>
        <v/>
      </c>
      <c r="R491" s="29">
        <f>IFERROR(VLOOKUP(L491,MgValor,2,0)*VLOOKUP(O491,MgDeg,2,0),0)</f>
        <v/>
      </c>
      <c r="S491" s="29">
        <f>IFERROR(VLOOKUP(M491,MgValor,2,0)*VLOOKUP(P491,MgDeg,2,0),0)</f>
        <v/>
      </c>
      <c r="T491" s="30">
        <f>MAX(Q491:S491)</f>
        <v/>
      </c>
      <c r="U491" s="28">
        <f>IFERROR(LOOKUP(T491,{0;0.5;1.5;3;4.5},{"Despreciable";"Bajo";"Medio";"Alto";"Muy alto"}),"")</f>
        <v/>
      </c>
      <c r="V491" s="13">
        <f>IFERROR(INDEX(MgAmenFrec,MATCH(SUBSTITUTE($H491,"*","-"),MgAmenClave,0)),"")</f>
        <v/>
      </c>
      <c r="W491" s="28">
        <f>IFERROR(LOOKUP(X491,{0;0.01;0.1;1;10;100},{"Muy baja";"Muy baja";"Baja";"Media";"Alta";"Muy alta"}),"")</f>
        <v/>
      </c>
      <c r="X491" s="31">
        <f>IFERROR(VLOOKUP(V491,MgFrec,2,0),0)</f>
        <v/>
      </c>
      <c r="Y491" s="30">
        <f>T491*X491</f>
        <v/>
      </c>
      <c r="Z491" s="28">
        <f>IFERROR(LOOKUP(Y491,{0;0.5;5;25},{"Bajo";"Medio";"Alto";"Crítico"}),"")</f>
        <v/>
      </c>
      <c r="AA491" s="64">
        <f>IF(T491&gt;=3,IF(X491&gt;=1,"Zona 1 — Crítica: impacto alto y ocurre al menos una vez al año","Zona 4 — Catastrófica poco probable: impacto alto pero excepcional"),IF(AND(T491&lt;1.5,X491&lt;1),"Zona 3 — Asumible: impacto bajo y muy poco frecuente","Zona 2 — Atención: riesgo intermedio"))</f>
        <v/>
      </c>
      <c r="AB491" s="64">
        <f>IFERROR(INDEX(MgAmenCtrl,MATCH(SUBSTITUTE($H491,"*","-"),MgAmenClave,0)),"")</f>
        <v/>
      </c>
      <c r="AC491" s="20" t="n"/>
      <c r="AD491" s="31">
        <f>IFERROR($X491*(1-IF($AC491="",$AL491,VLOOKUP($AC491,MgMad,2,0))),"")</f>
        <v/>
      </c>
      <c r="AE491" s="28">
        <f>IFERROR(LOOKUP(AD491,{0;0.01;0.1;1;10;100},{"Muy baja";"Muy baja";"Baja";"Media";"Alta";"Muy alta"}),"")</f>
        <v/>
      </c>
      <c r="AF491" s="30">
        <f>T491*AD491</f>
        <v/>
      </c>
      <c r="AG491" s="28">
        <f>IFERROR(LOOKUP(AF491,{0;0.5;5;25},{"Bajo";"Medio";"Alto";"Crítico"}),"")</f>
        <v/>
      </c>
      <c r="AH491" s="28">
        <f>IF(AG491="","",IF(OR(AG491="Crítico",AG491="Alto"),"Mitigar",IF(AG491="Medio","Mitigar","Aceptar y monitorear")))</f>
        <v/>
      </c>
      <c r="AI491" s="21" t="n"/>
      <c r="AJ491" s="21" t="n"/>
      <c r="AK491" s="20" t="n"/>
      <c r="AL491" s="77">
        <f>IFERROR(INDEX(MgAmenEfic,MATCH(SUBSTITUTE($H491,"*","-"),MgAmenClave,0)),0)</f>
        <v/>
      </c>
    </row>
    <row r="492" hidden="1" ht="90" customHeight="1" s="54">
      <c r="B492" s="59" t="inlineStr">
        <is>
          <t>R-0487</t>
        </is>
      </c>
      <c r="C492" s="59" t="inlineStr">
        <is>
          <t>TAL-13</t>
        </is>
      </c>
      <c r="D492" s="64">
        <f>IFERROR(INDEX(MgNombre,MATCH($C492,MgActId,0)),"")</f>
        <v/>
      </c>
      <c r="E492" s="64">
        <f>IFERROR(INDEX(MgProceso,MATCH($C492,MgActId,0)),"")</f>
        <v/>
      </c>
      <c r="F492" s="64">
        <f>IFERROR(INDEX(MgTipo,MATCH($C492,MgActId,0)),"")</f>
        <v/>
      </c>
      <c r="G492" s="64">
        <f>IFERROR(INDEX(MgSubtipo,MATCH($C492,MgActId,0)),"")</f>
        <v/>
      </c>
      <c r="H492" s="59" t="inlineStr">
        <is>
          <t>E.15</t>
        </is>
      </c>
      <c r="I492" s="64">
        <f>IFERROR(INDEX(MgAmenNombre,MATCH(SUBSTITUTE($H492,"*","-"),MgAmenClave,0)),"")</f>
        <v/>
      </c>
      <c r="J492" s="28">
        <f>IFERROR(INDEX(MgAmenGrupo,MATCH(SUBSTITUTE($H492,"*","-"),MgAmenClave,0)),"")</f>
        <v/>
      </c>
      <c r="K492" s="64">
        <f>IFERROR(INDEX('1. Matriz de Activos'!$Q$6:$Q$239,MATCH($C492,MgActId,0)),"")</f>
        <v/>
      </c>
      <c r="L492" s="64">
        <f>IFERROR(INDEX('1. Matriz de Activos'!$R$6:$R$239,MATCH($C492,MgActId,0)),"")</f>
        <v/>
      </c>
      <c r="M492" s="64">
        <f>IFERROR(INDEX('1. Matriz de Activos'!$S$6:$S$239,MATCH($C492,MgActId,0)),"")</f>
        <v/>
      </c>
      <c r="N492" s="28">
        <f>IFERROR(INDEX(MgAmenDegD,MATCH(SUBSTITUTE($H492,"*","-"),MgAmenClave,0)),"No aplica")</f>
        <v/>
      </c>
      <c r="O492" s="28">
        <f>IFERROR(INDEX(MgAmenDegI,MATCH(SUBSTITUTE($H492,"*","-"),MgAmenClave,0)),"No aplica")</f>
        <v/>
      </c>
      <c r="P492" s="28">
        <f>IFERROR(INDEX(MgAmenDegC,MATCH(SUBSTITUTE($H492,"*","-"),MgAmenClave,0)),"No aplica")</f>
        <v/>
      </c>
      <c r="Q492" s="29">
        <f>IFERROR(VLOOKUP(K492,MgValor,2,0)*VLOOKUP(N492,MgDeg,2,0),0)</f>
        <v/>
      </c>
      <c r="R492" s="29">
        <f>IFERROR(VLOOKUP(L492,MgValor,2,0)*VLOOKUP(O492,MgDeg,2,0),0)</f>
        <v/>
      </c>
      <c r="S492" s="29">
        <f>IFERROR(VLOOKUP(M492,MgValor,2,0)*VLOOKUP(P492,MgDeg,2,0),0)</f>
        <v/>
      </c>
      <c r="T492" s="30">
        <f>MAX(Q492:S492)</f>
        <v/>
      </c>
      <c r="U492" s="28">
        <f>IFERROR(LOOKUP(T492,{0;0.5;1.5;3;4.5},{"Despreciable";"Bajo";"Medio";"Alto";"Muy alto"}),"")</f>
        <v/>
      </c>
      <c r="V492" s="13">
        <f>IFERROR(INDEX(MgAmenFrec,MATCH(SUBSTITUTE($H492,"*","-"),MgAmenClave,0)),"")</f>
        <v/>
      </c>
      <c r="W492" s="28">
        <f>IFERROR(LOOKUP(X492,{0;0.01;0.1;1;10;100},{"Muy baja";"Muy baja";"Baja";"Media";"Alta";"Muy alta"}),"")</f>
        <v/>
      </c>
      <c r="X492" s="31">
        <f>IFERROR(VLOOKUP(V492,MgFrec,2,0),0)</f>
        <v/>
      </c>
      <c r="Y492" s="30">
        <f>T492*X492</f>
        <v/>
      </c>
      <c r="Z492" s="28">
        <f>IFERROR(LOOKUP(Y492,{0;0.5;5;25},{"Bajo";"Medio";"Alto";"Crítico"}),"")</f>
        <v/>
      </c>
      <c r="AA492" s="64">
        <f>IF(T492&gt;=3,IF(X492&gt;=1,"Zona 1 — Crítica: impacto alto y ocurre al menos una vez al año","Zona 4 — Catastrófica poco probable: impacto alto pero excepcional"),IF(AND(T492&lt;1.5,X492&lt;1),"Zona 3 — Asumible: impacto bajo y muy poco frecuente","Zona 2 — Atención: riesgo intermedio"))</f>
        <v/>
      </c>
      <c r="AB492" s="64">
        <f>IFERROR(INDEX(MgAmenCtrl,MATCH(SUBSTITUTE($H492,"*","-"),MgAmenClave,0)),"")</f>
        <v/>
      </c>
      <c r="AC492" s="20" t="n"/>
      <c r="AD492" s="31">
        <f>IFERROR($X492*(1-IF($AC492="",$AL492,VLOOKUP($AC492,MgMad,2,0))),"")</f>
        <v/>
      </c>
      <c r="AE492" s="28">
        <f>IFERROR(LOOKUP(AD492,{0;0.01;0.1;1;10;100},{"Muy baja";"Muy baja";"Baja";"Media";"Alta";"Muy alta"}),"")</f>
        <v/>
      </c>
      <c r="AF492" s="30">
        <f>T492*AD492</f>
        <v/>
      </c>
      <c r="AG492" s="28">
        <f>IFERROR(LOOKUP(AF492,{0;0.5;5;25},{"Bajo";"Medio";"Alto";"Crítico"}),"")</f>
        <v/>
      </c>
      <c r="AH492" s="28">
        <f>IF(AG492="","",IF(OR(AG492="Crítico",AG492="Alto"),"Mitigar",IF(AG492="Medio","Mitigar","Aceptar y monitorear")))</f>
        <v/>
      </c>
      <c r="AI492" s="21" t="n"/>
      <c r="AJ492" s="21" t="n"/>
      <c r="AK492" s="20" t="n"/>
      <c r="AL492" s="77">
        <f>IFERROR(INDEX(MgAmenEfic,MATCH(SUBSTITUTE($H492,"*","-"),MgAmenClave,0)),0)</f>
        <v/>
      </c>
    </row>
    <row r="493" hidden="1" ht="60" customHeight="1" s="54">
      <c r="B493" s="59" t="inlineStr">
        <is>
          <t>R-0488</t>
        </is>
      </c>
      <c r="C493" s="59" t="inlineStr">
        <is>
          <t>TAL-13</t>
        </is>
      </c>
      <c r="D493" s="64">
        <f>IFERROR(INDEX(MgNombre,MATCH($C493,MgActId,0)),"")</f>
        <v/>
      </c>
      <c r="E493" s="64">
        <f>IFERROR(INDEX(MgProceso,MATCH($C493,MgActId,0)),"")</f>
        <v/>
      </c>
      <c r="F493" s="64">
        <f>IFERROR(INDEX(MgTipo,MATCH($C493,MgActId,0)),"")</f>
        <v/>
      </c>
      <c r="G493" s="64">
        <f>IFERROR(INDEX(MgSubtipo,MATCH($C493,MgActId,0)),"")</f>
        <v/>
      </c>
      <c r="H493" s="59" t="inlineStr">
        <is>
          <t>E.18</t>
        </is>
      </c>
      <c r="I493" s="64">
        <f>IFERROR(INDEX(MgAmenNombre,MATCH(SUBSTITUTE($H493,"*","-"),MgAmenClave,0)),"")</f>
        <v/>
      </c>
      <c r="J493" s="28">
        <f>IFERROR(INDEX(MgAmenGrupo,MATCH(SUBSTITUTE($H493,"*","-"),MgAmenClave,0)),"")</f>
        <v/>
      </c>
      <c r="K493" s="64">
        <f>IFERROR(INDEX('1. Matriz de Activos'!$Q$6:$Q$239,MATCH($C493,MgActId,0)),"")</f>
        <v/>
      </c>
      <c r="L493" s="64">
        <f>IFERROR(INDEX('1. Matriz de Activos'!$R$6:$R$239,MATCH($C493,MgActId,0)),"")</f>
        <v/>
      </c>
      <c r="M493" s="64">
        <f>IFERROR(INDEX('1. Matriz de Activos'!$S$6:$S$239,MATCH($C493,MgActId,0)),"")</f>
        <v/>
      </c>
      <c r="N493" s="28">
        <f>IFERROR(INDEX(MgAmenDegD,MATCH(SUBSTITUTE($H493,"*","-"),MgAmenClave,0)),"No aplica")</f>
        <v/>
      </c>
      <c r="O493" s="28">
        <f>IFERROR(INDEX(MgAmenDegI,MATCH(SUBSTITUTE($H493,"*","-"),MgAmenClave,0)),"No aplica")</f>
        <v/>
      </c>
      <c r="P493" s="28">
        <f>IFERROR(INDEX(MgAmenDegC,MATCH(SUBSTITUTE($H493,"*","-"),MgAmenClave,0)),"No aplica")</f>
        <v/>
      </c>
      <c r="Q493" s="29">
        <f>IFERROR(VLOOKUP(K493,MgValor,2,0)*VLOOKUP(N493,MgDeg,2,0),0)</f>
        <v/>
      </c>
      <c r="R493" s="29">
        <f>IFERROR(VLOOKUP(L493,MgValor,2,0)*VLOOKUP(O493,MgDeg,2,0),0)</f>
        <v/>
      </c>
      <c r="S493" s="29">
        <f>IFERROR(VLOOKUP(M493,MgValor,2,0)*VLOOKUP(P493,MgDeg,2,0),0)</f>
        <v/>
      </c>
      <c r="T493" s="30">
        <f>MAX(Q493:S493)</f>
        <v/>
      </c>
      <c r="U493" s="28">
        <f>IFERROR(LOOKUP(T493,{0;0.5;1.5;3;4.5},{"Despreciable";"Bajo";"Medio";"Alto";"Muy alto"}),"")</f>
        <v/>
      </c>
      <c r="V493" s="13">
        <f>IFERROR(INDEX(MgAmenFrec,MATCH(SUBSTITUTE($H493,"*","-"),MgAmenClave,0)),"")</f>
        <v/>
      </c>
      <c r="W493" s="28">
        <f>IFERROR(LOOKUP(X493,{0;0.01;0.1;1;10;100},{"Muy baja";"Muy baja";"Baja";"Media";"Alta";"Muy alta"}),"")</f>
        <v/>
      </c>
      <c r="X493" s="31">
        <f>IFERROR(VLOOKUP(V493,MgFrec,2,0),0)</f>
        <v/>
      </c>
      <c r="Y493" s="30">
        <f>T493*X493</f>
        <v/>
      </c>
      <c r="Z493" s="28">
        <f>IFERROR(LOOKUP(Y493,{0;0.5;5;25},{"Bajo";"Medio";"Alto";"Crítico"}),"")</f>
        <v/>
      </c>
      <c r="AA493" s="64">
        <f>IF(T493&gt;=3,IF(X493&gt;=1,"Zona 1 — Crítica: impacto alto y ocurre al menos una vez al año","Zona 4 — Catastrófica poco probable: impacto alto pero excepcional"),IF(AND(T493&lt;1.5,X493&lt;1),"Zona 3 — Asumible: impacto bajo y muy poco frecuente","Zona 2 — Atención: riesgo intermedio"))</f>
        <v/>
      </c>
      <c r="AB493" s="64">
        <f>IFERROR(INDEX(MgAmenCtrl,MATCH(SUBSTITUTE($H493,"*","-"),MgAmenClave,0)),"")</f>
        <v/>
      </c>
      <c r="AC493" s="20" t="n"/>
      <c r="AD493" s="31">
        <f>IFERROR($X493*(1-IF($AC493="",$AL493,VLOOKUP($AC493,MgMad,2,0))),"")</f>
        <v/>
      </c>
      <c r="AE493" s="28">
        <f>IFERROR(LOOKUP(AD493,{0;0.01;0.1;1;10;100},{"Muy baja";"Muy baja";"Baja";"Media";"Alta";"Muy alta"}),"")</f>
        <v/>
      </c>
      <c r="AF493" s="30">
        <f>T493*AD493</f>
        <v/>
      </c>
      <c r="AG493" s="28">
        <f>IFERROR(LOOKUP(AF493,{0;0.5;5;25},{"Bajo";"Medio";"Alto";"Crítico"}),"")</f>
        <v/>
      </c>
      <c r="AH493" s="28">
        <f>IF(AG493="","",IF(OR(AG493="Crítico",AG493="Alto"),"Mitigar",IF(AG493="Medio","Mitigar","Aceptar y monitorear")))</f>
        <v/>
      </c>
      <c r="AI493" s="21" t="n"/>
      <c r="AJ493" s="21" t="n"/>
      <c r="AK493" s="20" t="n"/>
      <c r="AL493" s="77">
        <f>IFERROR(INDEX(MgAmenEfic,MATCH(SUBSTITUTE($H493,"*","-"),MgAmenClave,0)),0)</f>
        <v/>
      </c>
    </row>
    <row r="494" hidden="1" ht="105" customHeight="1" s="54">
      <c r="B494" s="59" t="inlineStr">
        <is>
          <t>R-0489</t>
        </is>
      </c>
      <c r="C494" s="59" t="inlineStr">
        <is>
          <t>TAL-13</t>
        </is>
      </c>
      <c r="D494" s="64">
        <f>IFERROR(INDEX(MgNombre,MATCH($C494,MgActId,0)),"")</f>
        <v/>
      </c>
      <c r="E494" s="64">
        <f>IFERROR(INDEX(MgProceso,MATCH($C494,MgActId,0)),"")</f>
        <v/>
      </c>
      <c r="F494" s="64">
        <f>IFERROR(INDEX(MgTipo,MATCH($C494,MgActId,0)),"")</f>
        <v/>
      </c>
      <c r="G494" s="64">
        <f>IFERROR(INDEX(MgSubtipo,MATCH($C494,MgActId,0)),"")</f>
        <v/>
      </c>
      <c r="H494" s="59" t="inlineStr">
        <is>
          <t>E.19</t>
        </is>
      </c>
      <c r="I494" s="64">
        <f>IFERROR(INDEX(MgAmenNombre,MATCH(SUBSTITUTE($H494,"*","-"),MgAmenClave,0)),"")</f>
        <v/>
      </c>
      <c r="J494" s="28">
        <f>IFERROR(INDEX(MgAmenGrupo,MATCH(SUBSTITUTE($H494,"*","-"),MgAmenClave,0)),"")</f>
        <v/>
      </c>
      <c r="K494" s="64">
        <f>IFERROR(INDEX('1. Matriz de Activos'!$Q$6:$Q$239,MATCH($C494,MgActId,0)),"")</f>
        <v/>
      </c>
      <c r="L494" s="64">
        <f>IFERROR(INDEX('1. Matriz de Activos'!$R$6:$R$239,MATCH($C494,MgActId,0)),"")</f>
        <v/>
      </c>
      <c r="M494" s="64">
        <f>IFERROR(INDEX('1. Matriz de Activos'!$S$6:$S$239,MATCH($C494,MgActId,0)),"")</f>
        <v/>
      </c>
      <c r="N494" s="28">
        <f>IFERROR(INDEX(MgAmenDegD,MATCH(SUBSTITUTE($H494,"*","-"),MgAmenClave,0)),"No aplica")</f>
        <v/>
      </c>
      <c r="O494" s="28">
        <f>IFERROR(INDEX(MgAmenDegI,MATCH(SUBSTITUTE($H494,"*","-"),MgAmenClave,0)),"No aplica")</f>
        <v/>
      </c>
      <c r="P494" s="28">
        <f>IFERROR(INDEX(MgAmenDegC,MATCH(SUBSTITUTE($H494,"*","-"),MgAmenClave,0)),"No aplica")</f>
        <v/>
      </c>
      <c r="Q494" s="29">
        <f>IFERROR(VLOOKUP(K494,MgValor,2,0)*VLOOKUP(N494,MgDeg,2,0),0)</f>
        <v/>
      </c>
      <c r="R494" s="29">
        <f>IFERROR(VLOOKUP(L494,MgValor,2,0)*VLOOKUP(O494,MgDeg,2,0),0)</f>
        <v/>
      </c>
      <c r="S494" s="29">
        <f>IFERROR(VLOOKUP(M494,MgValor,2,0)*VLOOKUP(P494,MgDeg,2,0),0)</f>
        <v/>
      </c>
      <c r="T494" s="30">
        <f>MAX(Q494:S494)</f>
        <v/>
      </c>
      <c r="U494" s="28">
        <f>IFERROR(LOOKUP(T494,{0;0.5;1.5;3;4.5},{"Despreciable";"Bajo";"Medio";"Alto";"Muy alto"}),"")</f>
        <v/>
      </c>
      <c r="V494" s="13">
        <f>IFERROR(INDEX(MgAmenFrec,MATCH(SUBSTITUTE($H494,"*","-"),MgAmenClave,0)),"")</f>
        <v/>
      </c>
      <c r="W494" s="28">
        <f>IFERROR(LOOKUP(X494,{0;0.01;0.1;1;10;100},{"Muy baja";"Muy baja";"Baja";"Media";"Alta";"Muy alta"}),"")</f>
        <v/>
      </c>
      <c r="X494" s="31">
        <f>IFERROR(VLOOKUP(V494,MgFrec,2,0),0)</f>
        <v/>
      </c>
      <c r="Y494" s="30">
        <f>T494*X494</f>
        <v/>
      </c>
      <c r="Z494" s="28">
        <f>IFERROR(LOOKUP(Y494,{0;0.5;5;25},{"Bajo";"Medio";"Alto";"Crítico"}),"")</f>
        <v/>
      </c>
      <c r="AA494" s="64">
        <f>IF(T494&gt;=3,IF(X494&gt;=1,"Zona 1 — Crítica: impacto alto y ocurre al menos una vez al año","Zona 4 — Catastrófica poco probable: impacto alto pero excepcional"),IF(AND(T494&lt;1.5,X494&lt;1),"Zona 3 — Asumible: impacto bajo y muy poco frecuente","Zona 2 — Atención: riesgo intermedio"))</f>
        <v/>
      </c>
      <c r="AB494" s="64">
        <f>IFERROR(INDEX(MgAmenCtrl,MATCH(SUBSTITUTE($H494,"*","-"),MgAmenClave,0)),"")</f>
        <v/>
      </c>
      <c r="AC494" s="20" t="n"/>
      <c r="AD494" s="31">
        <f>IFERROR($X494*(1-IF($AC494="",$AL494,VLOOKUP($AC494,MgMad,2,0))),"")</f>
        <v/>
      </c>
      <c r="AE494" s="28">
        <f>IFERROR(LOOKUP(AD494,{0;0.01;0.1;1;10;100},{"Muy baja";"Muy baja";"Baja";"Media";"Alta";"Muy alta"}),"")</f>
        <v/>
      </c>
      <c r="AF494" s="30">
        <f>T494*AD494</f>
        <v/>
      </c>
      <c r="AG494" s="28">
        <f>IFERROR(LOOKUP(AF494,{0;0.5;5;25},{"Bajo";"Medio";"Alto";"Crítico"}),"")</f>
        <v/>
      </c>
      <c r="AH494" s="28">
        <f>IF(AG494="","",IF(OR(AG494="Crítico",AG494="Alto"),"Mitigar",IF(AG494="Medio","Mitigar","Aceptar y monitorear")))</f>
        <v/>
      </c>
      <c r="AI494" s="21" t="n"/>
      <c r="AJ494" s="21" t="n"/>
      <c r="AK494" s="20" t="n"/>
      <c r="AL494" s="77">
        <f>IFERROR(INDEX(MgAmenEfic,MATCH(SUBSTITUTE($H494,"*","-"),MgAmenClave,0)),0)</f>
        <v/>
      </c>
    </row>
    <row r="495" hidden="1" ht="60" customHeight="1" s="54">
      <c r="B495" s="59" t="inlineStr">
        <is>
          <t>R-0490</t>
        </is>
      </c>
      <c r="C495" s="59" t="inlineStr">
        <is>
          <t>TAL-13</t>
        </is>
      </c>
      <c r="D495" s="64">
        <f>IFERROR(INDEX(MgNombre,MATCH($C495,MgActId,0)),"")</f>
        <v/>
      </c>
      <c r="E495" s="64">
        <f>IFERROR(INDEX(MgProceso,MATCH($C495,MgActId,0)),"")</f>
        <v/>
      </c>
      <c r="F495" s="64">
        <f>IFERROR(INDEX(MgTipo,MATCH($C495,MgActId,0)),"")</f>
        <v/>
      </c>
      <c r="G495" s="64">
        <f>IFERROR(INDEX(MgSubtipo,MATCH($C495,MgActId,0)),"")</f>
        <v/>
      </c>
      <c r="H495" s="59" t="inlineStr">
        <is>
          <t>A.3</t>
        </is>
      </c>
      <c r="I495" s="64">
        <f>IFERROR(INDEX(MgAmenNombre,MATCH(SUBSTITUTE($H495,"*","-"),MgAmenClave,0)),"")</f>
        <v/>
      </c>
      <c r="J495" s="28">
        <f>IFERROR(INDEX(MgAmenGrupo,MATCH(SUBSTITUTE($H495,"*","-"),MgAmenClave,0)),"")</f>
        <v/>
      </c>
      <c r="K495" s="64">
        <f>IFERROR(INDEX('1. Matriz de Activos'!$Q$6:$Q$239,MATCH($C495,MgActId,0)),"")</f>
        <v/>
      </c>
      <c r="L495" s="64">
        <f>IFERROR(INDEX('1. Matriz de Activos'!$R$6:$R$239,MATCH($C495,MgActId,0)),"")</f>
        <v/>
      </c>
      <c r="M495" s="64">
        <f>IFERROR(INDEX('1. Matriz de Activos'!$S$6:$S$239,MATCH($C495,MgActId,0)),"")</f>
        <v/>
      </c>
      <c r="N495" s="28">
        <f>IFERROR(INDEX(MgAmenDegD,MATCH(SUBSTITUTE($H495,"*","-"),MgAmenClave,0)),"No aplica")</f>
        <v/>
      </c>
      <c r="O495" s="28">
        <f>IFERROR(INDEX(MgAmenDegI,MATCH(SUBSTITUTE($H495,"*","-"),MgAmenClave,0)),"No aplica")</f>
        <v/>
      </c>
      <c r="P495" s="28">
        <f>IFERROR(INDEX(MgAmenDegC,MATCH(SUBSTITUTE($H495,"*","-"),MgAmenClave,0)),"No aplica")</f>
        <v/>
      </c>
      <c r="Q495" s="29">
        <f>IFERROR(VLOOKUP(K495,MgValor,2,0)*VLOOKUP(N495,MgDeg,2,0),0)</f>
        <v/>
      </c>
      <c r="R495" s="29">
        <f>IFERROR(VLOOKUP(L495,MgValor,2,0)*VLOOKUP(O495,MgDeg,2,0),0)</f>
        <v/>
      </c>
      <c r="S495" s="29">
        <f>IFERROR(VLOOKUP(M495,MgValor,2,0)*VLOOKUP(P495,MgDeg,2,0),0)</f>
        <v/>
      </c>
      <c r="T495" s="30">
        <f>MAX(Q495:S495)</f>
        <v/>
      </c>
      <c r="U495" s="28">
        <f>IFERROR(LOOKUP(T495,{0;0.5;1.5;3;4.5},{"Despreciable";"Bajo";"Medio";"Alto";"Muy alto"}),"")</f>
        <v/>
      </c>
      <c r="V495" s="13">
        <f>IFERROR(INDEX(MgAmenFrec,MATCH(SUBSTITUTE($H495,"*","-"),MgAmenClave,0)),"")</f>
        <v/>
      </c>
      <c r="W495" s="28">
        <f>IFERROR(LOOKUP(X495,{0;0.01;0.1;1;10;100},{"Muy baja";"Muy baja";"Baja";"Media";"Alta";"Muy alta"}),"")</f>
        <v/>
      </c>
      <c r="X495" s="31">
        <f>IFERROR(VLOOKUP(V495,MgFrec,2,0),0)</f>
        <v/>
      </c>
      <c r="Y495" s="30">
        <f>T495*X495</f>
        <v/>
      </c>
      <c r="Z495" s="28">
        <f>IFERROR(LOOKUP(Y495,{0;0.5;5;25},{"Bajo";"Medio";"Alto";"Crítico"}),"")</f>
        <v/>
      </c>
      <c r="AA495" s="64">
        <f>IF(T495&gt;=3,IF(X495&gt;=1,"Zona 1 — Crítica: impacto alto y ocurre al menos una vez al año","Zona 4 — Catastrófica poco probable: impacto alto pero excepcional"),IF(AND(T495&lt;1.5,X495&lt;1),"Zona 3 — Asumible: impacto bajo y muy poco frecuente","Zona 2 — Atención: riesgo intermedio"))</f>
        <v/>
      </c>
      <c r="AB495" s="64">
        <f>IFERROR(INDEX(MgAmenCtrl,MATCH(SUBSTITUTE($H495,"*","-"),MgAmenClave,0)),"")</f>
        <v/>
      </c>
      <c r="AC495" s="20" t="n"/>
      <c r="AD495" s="31">
        <f>IFERROR($X495*(1-IF($AC495="",$AL495,VLOOKUP($AC495,MgMad,2,0))),"")</f>
        <v/>
      </c>
      <c r="AE495" s="28">
        <f>IFERROR(LOOKUP(AD495,{0;0.01;0.1;1;10;100},{"Muy baja";"Muy baja";"Baja";"Media";"Alta";"Muy alta"}),"")</f>
        <v/>
      </c>
      <c r="AF495" s="30">
        <f>T495*AD495</f>
        <v/>
      </c>
      <c r="AG495" s="28">
        <f>IFERROR(LOOKUP(AF495,{0;0.5;5;25},{"Bajo";"Medio";"Alto";"Crítico"}),"")</f>
        <v/>
      </c>
      <c r="AH495" s="28">
        <f>IF(AG495="","",IF(OR(AG495="Crítico",AG495="Alto"),"Mitigar",IF(AG495="Medio","Mitigar","Aceptar y monitorear")))</f>
        <v/>
      </c>
      <c r="AI495" s="21" t="n"/>
      <c r="AJ495" s="21" t="n"/>
      <c r="AK495" s="20" t="n"/>
      <c r="AL495" s="77">
        <f>IFERROR(INDEX(MgAmenEfic,MATCH(SUBSTITUTE($H495,"*","-"),MgAmenClave,0)),0)</f>
        <v/>
      </c>
    </row>
    <row r="496" hidden="1" ht="60" customHeight="1" s="54">
      <c r="B496" s="59" t="inlineStr">
        <is>
          <t>R-0491</t>
        </is>
      </c>
      <c r="C496" s="59" t="inlineStr">
        <is>
          <t>TAL-13</t>
        </is>
      </c>
      <c r="D496" s="64">
        <f>IFERROR(INDEX(MgNombre,MATCH($C496,MgActId,0)),"")</f>
        <v/>
      </c>
      <c r="E496" s="64">
        <f>IFERROR(INDEX(MgProceso,MATCH($C496,MgActId,0)),"")</f>
        <v/>
      </c>
      <c r="F496" s="64">
        <f>IFERROR(INDEX(MgTipo,MATCH($C496,MgActId,0)),"")</f>
        <v/>
      </c>
      <c r="G496" s="64">
        <f>IFERROR(INDEX(MgSubtipo,MATCH($C496,MgActId,0)),"")</f>
        <v/>
      </c>
      <c r="H496" s="59" t="inlineStr">
        <is>
          <t>A.4</t>
        </is>
      </c>
      <c r="I496" s="64">
        <f>IFERROR(INDEX(MgAmenNombre,MATCH(SUBSTITUTE($H496,"*","-"),MgAmenClave,0)),"")</f>
        <v/>
      </c>
      <c r="J496" s="28">
        <f>IFERROR(INDEX(MgAmenGrupo,MATCH(SUBSTITUTE($H496,"*","-"),MgAmenClave,0)),"")</f>
        <v/>
      </c>
      <c r="K496" s="64">
        <f>IFERROR(INDEX('1. Matriz de Activos'!$Q$6:$Q$239,MATCH($C496,MgActId,0)),"")</f>
        <v/>
      </c>
      <c r="L496" s="64">
        <f>IFERROR(INDEX('1. Matriz de Activos'!$R$6:$R$239,MATCH($C496,MgActId,0)),"")</f>
        <v/>
      </c>
      <c r="M496" s="64">
        <f>IFERROR(INDEX('1. Matriz de Activos'!$S$6:$S$239,MATCH($C496,MgActId,0)),"")</f>
        <v/>
      </c>
      <c r="N496" s="28">
        <f>IFERROR(INDEX(MgAmenDegD,MATCH(SUBSTITUTE($H496,"*","-"),MgAmenClave,0)),"No aplica")</f>
        <v/>
      </c>
      <c r="O496" s="28">
        <f>IFERROR(INDEX(MgAmenDegI,MATCH(SUBSTITUTE($H496,"*","-"),MgAmenClave,0)),"No aplica")</f>
        <v/>
      </c>
      <c r="P496" s="28">
        <f>IFERROR(INDEX(MgAmenDegC,MATCH(SUBSTITUTE($H496,"*","-"),MgAmenClave,0)),"No aplica")</f>
        <v/>
      </c>
      <c r="Q496" s="29">
        <f>IFERROR(VLOOKUP(K496,MgValor,2,0)*VLOOKUP(N496,MgDeg,2,0),0)</f>
        <v/>
      </c>
      <c r="R496" s="29">
        <f>IFERROR(VLOOKUP(L496,MgValor,2,0)*VLOOKUP(O496,MgDeg,2,0),0)</f>
        <v/>
      </c>
      <c r="S496" s="29">
        <f>IFERROR(VLOOKUP(M496,MgValor,2,0)*VLOOKUP(P496,MgDeg,2,0),0)</f>
        <v/>
      </c>
      <c r="T496" s="30">
        <f>MAX(Q496:S496)</f>
        <v/>
      </c>
      <c r="U496" s="28">
        <f>IFERROR(LOOKUP(T496,{0;0.5;1.5;3;4.5},{"Despreciable";"Bajo";"Medio";"Alto";"Muy alto"}),"")</f>
        <v/>
      </c>
      <c r="V496" s="13">
        <f>IFERROR(INDEX(MgAmenFrec,MATCH(SUBSTITUTE($H496,"*","-"),MgAmenClave,0)),"")</f>
        <v/>
      </c>
      <c r="W496" s="28">
        <f>IFERROR(LOOKUP(X496,{0;0.01;0.1;1;10;100},{"Muy baja";"Muy baja";"Baja";"Media";"Alta";"Muy alta"}),"")</f>
        <v/>
      </c>
      <c r="X496" s="31">
        <f>IFERROR(VLOOKUP(V496,MgFrec,2,0),0)</f>
        <v/>
      </c>
      <c r="Y496" s="30">
        <f>T496*X496</f>
        <v/>
      </c>
      <c r="Z496" s="28">
        <f>IFERROR(LOOKUP(Y496,{0;0.5;5;25},{"Bajo";"Medio";"Alto";"Crítico"}),"")</f>
        <v/>
      </c>
      <c r="AA496" s="64">
        <f>IF(T496&gt;=3,IF(X496&gt;=1,"Zona 1 — Crítica: impacto alto y ocurre al menos una vez al año","Zona 4 — Catastrófica poco probable: impacto alto pero excepcional"),IF(AND(T496&lt;1.5,X496&lt;1),"Zona 3 — Asumible: impacto bajo y muy poco frecuente","Zona 2 — Atención: riesgo intermedio"))</f>
        <v/>
      </c>
      <c r="AB496" s="64">
        <f>IFERROR(INDEX(MgAmenCtrl,MATCH(SUBSTITUTE($H496,"*","-"),MgAmenClave,0)),"")</f>
        <v/>
      </c>
      <c r="AC496" s="20" t="n"/>
      <c r="AD496" s="31">
        <f>IFERROR($X496*(1-IF($AC496="",$AL496,VLOOKUP($AC496,MgMad,2,0))),"")</f>
        <v/>
      </c>
      <c r="AE496" s="28">
        <f>IFERROR(LOOKUP(AD496,{0;0.01;0.1;1;10;100},{"Muy baja";"Muy baja";"Baja";"Media";"Alta";"Muy alta"}),"")</f>
        <v/>
      </c>
      <c r="AF496" s="30">
        <f>T496*AD496</f>
        <v/>
      </c>
      <c r="AG496" s="28">
        <f>IFERROR(LOOKUP(AF496,{0;0.5;5;25},{"Bajo";"Medio";"Alto";"Crítico"}),"")</f>
        <v/>
      </c>
      <c r="AH496" s="28">
        <f>IF(AG496="","",IF(OR(AG496="Crítico",AG496="Alto"),"Mitigar",IF(AG496="Medio","Mitigar","Aceptar y monitorear")))</f>
        <v/>
      </c>
      <c r="AI496" s="21" t="n"/>
      <c r="AJ496" s="21" t="n"/>
      <c r="AK496" s="20" t="n"/>
      <c r="AL496" s="77">
        <f>IFERROR(INDEX(MgAmenEfic,MATCH(SUBSTITUTE($H496,"*","-"),MgAmenClave,0)),0)</f>
        <v/>
      </c>
    </row>
    <row r="497" hidden="1" ht="75" customHeight="1" s="54">
      <c r="B497" s="59" t="inlineStr">
        <is>
          <t>R-0492</t>
        </is>
      </c>
      <c r="C497" s="59" t="inlineStr">
        <is>
          <t>TAL-13</t>
        </is>
      </c>
      <c r="D497" s="64">
        <f>IFERROR(INDEX(MgNombre,MATCH($C497,MgActId,0)),"")</f>
        <v/>
      </c>
      <c r="E497" s="64">
        <f>IFERROR(INDEX(MgProceso,MATCH($C497,MgActId,0)),"")</f>
        <v/>
      </c>
      <c r="F497" s="64">
        <f>IFERROR(INDEX(MgTipo,MATCH($C497,MgActId,0)),"")</f>
        <v/>
      </c>
      <c r="G497" s="64">
        <f>IFERROR(INDEX(MgSubtipo,MATCH($C497,MgActId,0)),"")</f>
        <v/>
      </c>
      <c r="H497" s="59" t="inlineStr">
        <is>
          <t>A.5</t>
        </is>
      </c>
      <c r="I497" s="64">
        <f>IFERROR(INDEX(MgAmenNombre,MATCH(SUBSTITUTE($H497,"*","-"),MgAmenClave,0)),"")</f>
        <v/>
      </c>
      <c r="J497" s="28">
        <f>IFERROR(INDEX(MgAmenGrupo,MATCH(SUBSTITUTE($H497,"*","-"),MgAmenClave,0)),"")</f>
        <v/>
      </c>
      <c r="K497" s="64">
        <f>IFERROR(INDEX('1. Matriz de Activos'!$Q$6:$Q$239,MATCH($C497,MgActId,0)),"")</f>
        <v/>
      </c>
      <c r="L497" s="64">
        <f>IFERROR(INDEX('1. Matriz de Activos'!$R$6:$R$239,MATCH($C497,MgActId,0)),"")</f>
        <v/>
      </c>
      <c r="M497" s="64">
        <f>IFERROR(INDEX('1. Matriz de Activos'!$S$6:$S$239,MATCH($C497,MgActId,0)),"")</f>
        <v/>
      </c>
      <c r="N497" s="28">
        <f>IFERROR(INDEX(MgAmenDegD,MATCH(SUBSTITUTE($H497,"*","-"),MgAmenClave,0)),"No aplica")</f>
        <v/>
      </c>
      <c r="O497" s="28">
        <f>IFERROR(INDEX(MgAmenDegI,MATCH(SUBSTITUTE($H497,"*","-"),MgAmenClave,0)),"No aplica")</f>
        <v/>
      </c>
      <c r="P497" s="28">
        <f>IFERROR(INDEX(MgAmenDegC,MATCH(SUBSTITUTE($H497,"*","-"),MgAmenClave,0)),"No aplica")</f>
        <v/>
      </c>
      <c r="Q497" s="29">
        <f>IFERROR(VLOOKUP(K497,MgValor,2,0)*VLOOKUP(N497,MgDeg,2,0),0)</f>
        <v/>
      </c>
      <c r="R497" s="29">
        <f>IFERROR(VLOOKUP(L497,MgValor,2,0)*VLOOKUP(O497,MgDeg,2,0),0)</f>
        <v/>
      </c>
      <c r="S497" s="29">
        <f>IFERROR(VLOOKUP(M497,MgValor,2,0)*VLOOKUP(P497,MgDeg,2,0),0)</f>
        <v/>
      </c>
      <c r="T497" s="30">
        <f>MAX(Q497:S497)</f>
        <v/>
      </c>
      <c r="U497" s="28">
        <f>IFERROR(LOOKUP(T497,{0;0.5;1.5;3;4.5},{"Despreciable";"Bajo";"Medio";"Alto";"Muy alto"}),"")</f>
        <v/>
      </c>
      <c r="V497" s="13">
        <f>IFERROR(INDEX(MgAmenFrec,MATCH(SUBSTITUTE($H497,"*","-"),MgAmenClave,0)),"")</f>
        <v/>
      </c>
      <c r="W497" s="28">
        <f>IFERROR(LOOKUP(X497,{0;0.01;0.1;1;10;100},{"Muy baja";"Muy baja";"Baja";"Media";"Alta";"Muy alta"}),"")</f>
        <v/>
      </c>
      <c r="X497" s="31">
        <f>IFERROR(VLOOKUP(V497,MgFrec,2,0),0)</f>
        <v/>
      </c>
      <c r="Y497" s="30">
        <f>T497*X497</f>
        <v/>
      </c>
      <c r="Z497" s="28">
        <f>IFERROR(LOOKUP(Y497,{0;0.5;5;25},{"Bajo";"Medio";"Alto";"Crítico"}),"")</f>
        <v/>
      </c>
      <c r="AA497" s="64">
        <f>IF(T497&gt;=3,IF(X497&gt;=1,"Zona 1 — Crítica: impacto alto y ocurre al menos una vez al año","Zona 4 — Catastrófica poco probable: impacto alto pero excepcional"),IF(AND(T497&lt;1.5,X497&lt;1),"Zona 3 — Asumible: impacto bajo y muy poco frecuente","Zona 2 — Atención: riesgo intermedio"))</f>
        <v/>
      </c>
      <c r="AB497" s="64">
        <f>IFERROR(INDEX(MgAmenCtrl,MATCH(SUBSTITUTE($H497,"*","-"),MgAmenClave,0)),"")</f>
        <v/>
      </c>
      <c r="AC497" s="20" t="n"/>
      <c r="AD497" s="31">
        <f>IFERROR($X497*(1-IF($AC497="",$AL497,VLOOKUP($AC497,MgMad,2,0))),"")</f>
        <v/>
      </c>
      <c r="AE497" s="28">
        <f>IFERROR(LOOKUP(AD497,{0;0.01;0.1;1;10;100},{"Muy baja";"Muy baja";"Baja";"Media";"Alta";"Muy alta"}),"")</f>
        <v/>
      </c>
      <c r="AF497" s="30">
        <f>T497*AD497</f>
        <v/>
      </c>
      <c r="AG497" s="28">
        <f>IFERROR(LOOKUP(AF497,{0;0.5;5;25},{"Bajo";"Medio";"Alto";"Crítico"}),"")</f>
        <v/>
      </c>
      <c r="AH497" s="28">
        <f>IF(AG497="","",IF(OR(AG497="Crítico",AG497="Alto"),"Mitigar",IF(AG497="Medio","Mitigar","Aceptar y monitorear")))</f>
        <v/>
      </c>
      <c r="AI497" s="21" t="n"/>
      <c r="AJ497" s="21" t="n"/>
      <c r="AK497" s="20" t="n"/>
      <c r="AL497" s="77">
        <f>IFERROR(INDEX(MgAmenEfic,MATCH(SUBSTITUTE($H497,"*","-"),MgAmenClave,0)),0)</f>
        <v/>
      </c>
    </row>
    <row r="498" hidden="1" ht="105" customHeight="1" s="54">
      <c r="B498" s="59" t="inlineStr">
        <is>
          <t>R-0493</t>
        </is>
      </c>
      <c r="C498" s="59" t="inlineStr">
        <is>
          <t>TAL-13</t>
        </is>
      </c>
      <c r="D498" s="64">
        <f>IFERROR(INDEX(MgNombre,MATCH($C498,MgActId,0)),"")</f>
        <v/>
      </c>
      <c r="E498" s="64">
        <f>IFERROR(INDEX(MgProceso,MATCH($C498,MgActId,0)),"")</f>
        <v/>
      </c>
      <c r="F498" s="64">
        <f>IFERROR(INDEX(MgTipo,MATCH($C498,MgActId,0)),"")</f>
        <v/>
      </c>
      <c r="G498" s="64">
        <f>IFERROR(INDEX(MgSubtipo,MATCH($C498,MgActId,0)),"")</f>
        <v/>
      </c>
      <c r="H498" s="59" t="inlineStr">
        <is>
          <t>A.6</t>
        </is>
      </c>
      <c r="I498" s="64">
        <f>IFERROR(INDEX(MgAmenNombre,MATCH(SUBSTITUTE($H498,"*","-"),MgAmenClave,0)),"")</f>
        <v/>
      </c>
      <c r="J498" s="28">
        <f>IFERROR(INDEX(MgAmenGrupo,MATCH(SUBSTITUTE($H498,"*","-"),MgAmenClave,0)),"")</f>
        <v/>
      </c>
      <c r="K498" s="64">
        <f>IFERROR(INDEX('1. Matriz de Activos'!$Q$6:$Q$239,MATCH($C498,MgActId,0)),"")</f>
        <v/>
      </c>
      <c r="L498" s="64">
        <f>IFERROR(INDEX('1. Matriz de Activos'!$R$6:$R$239,MATCH($C498,MgActId,0)),"")</f>
        <v/>
      </c>
      <c r="M498" s="64">
        <f>IFERROR(INDEX('1. Matriz de Activos'!$S$6:$S$239,MATCH($C498,MgActId,0)),"")</f>
        <v/>
      </c>
      <c r="N498" s="28">
        <f>IFERROR(INDEX(MgAmenDegD,MATCH(SUBSTITUTE($H498,"*","-"),MgAmenClave,0)),"No aplica")</f>
        <v/>
      </c>
      <c r="O498" s="28">
        <f>IFERROR(INDEX(MgAmenDegI,MATCH(SUBSTITUTE($H498,"*","-"),MgAmenClave,0)),"No aplica")</f>
        <v/>
      </c>
      <c r="P498" s="28">
        <f>IFERROR(INDEX(MgAmenDegC,MATCH(SUBSTITUTE($H498,"*","-"),MgAmenClave,0)),"No aplica")</f>
        <v/>
      </c>
      <c r="Q498" s="29">
        <f>IFERROR(VLOOKUP(K498,MgValor,2,0)*VLOOKUP(N498,MgDeg,2,0),0)</f>
        <v/>
      </c>
      <c r="R498" s="29">
        <f>IFERROR(VLOOKUP(L498,MgValor,2,0)*VLOOKUP(O498,MgDeg,2,0),0)</f>
        <v/>
      </c>
      <c r="S498" s="29">
        <f>IFERROR(VLOOKUP(M498,MgValor,2,0)*VLOOKUP(P498,MgDeg,2,0),0)</f>
        <v/>
      </c>
      <c r="T498" s="30">
        <f>MAX(Q498:S498)</f>
        <v/>
      </c>
      <c r="U498" s="28">
        <f>IFERROR(LOOKUP(T498,{0;0.5;1.5;3;4.5},{"Despreciable";"Bajo";"Medio";"Alto";"Muy alto"}),"")</f>
        <v/>
      </c>
      <c r="V498" s="13">
        <f>IFERROR(INDEX(MgAmenFrec,MATCH(SUBSTITUTE($H498,"*","-"),MgAmenClave,0)),"")</f>
        <v/>
      </c>
      <c r="W498" s="28">
        <f>IFERROR(LOOKUP(X498,{0;0.01;0.1;1;10;100},{"Muy baja";"Muy baja";"Baja";"Media";"Alta";"Muy alta"}),"")</f>
        <v/>
      </c>
      <c r="X498" s="31">
        <f>IFERROR(VLOOKUP(V498,MgFrec,2,0),0)</f>
        <v/>
      </c>
      <c r="Y498" s="30">
        <f>T498*X498</f>
        <v/>
      </c>
      <c r="Z498" s="28">
        <f>IFERROR(LOOKUP(Y498,{0;0.5;5;25},{"Bajo";"Medio";"Alto";"Crítico"}),"")</f>
        <v/>
      </c>
      <c r="AA498" s="64">
        <f>IF(T498&gt;=3,IF(X498&gt;=1,"Zona 1 — Crítica: impacto alto y ocurre al menos una vez al año","Zona 4 — Catastrófica poco probable: impacto alto pero excepcional"),IF(AND(T498&lt;1.5,X498&lt;1),"Zona 3 — Asumible: impacto bajo y muy poco frecuente","Zona 2 — Atención: riesgo intermedio"))</f>
        <v/>
      </c>
      <c r="AB498" s="64">
        <f>IFERROR(INDEX(MgAmenCtrl,MATCH(SUBSTITUTE($H498,"*","-"),MgAmenClave,0)),"")</f>
        <v/>
      </c>
      <c r="AC498" s="20" t="n"/>
      <c r="AD498" s="31">
        <f>IFERROR($X498*(1-IF($AC498="",$AL498,VLOOKUP($AC498,MgMad,2,0))),"")</f>
        <v/>
      </c>
      <c r="AE498" s="28">
        <f>IFERROR(LOOKUP(AD498,{0;0.01;0.1;1;10;100},{"Muy baja";"Muy baja";"Baja";"Media";"Alta";"Muy alta"}),"")</f>
        <v/>
      </c>
      <c r="AF498" s="30">
        <f>T498*AD498</f>
        <v/>
      </c>
      <c r="AG498" s="28">
        <f>IFERROR(LOOKUP(AF498,{0;0.5;5;25},{"Bajo";"Medio";"Alto";"Crítico"}),"")</f>
        <v/>
      </c>
      <c r="AH498" s="28">
        <f>IF(AG498="","",IF(OR(AG498="Crítico",AG498="Alto"),"Mitigar",IF(AG498="Medio","Mitigar","Aceptar y monitorear")))</f>
        <v/>
      </c>
      <c r="AI498" s="21" t="n"/>
      <c r="AJ498" s="21" t="n"/>
      <c r="AK498" s="20" t="n"/>
      <c r="AL498" s="77">
        <f>IFERROR(INDEX(MgAmenEfic,MATCH(SUBSTITUTE($H498,"*","-"),MgAmenClave,0)),0)</f>
        <v/>
      </c>
    </row>
    <row r="499" hidden="1" ht="120" customHeight="1" s="54">
      <c r="B499" s="59" t="inlineStr">
        <is>
          <t>R-0494</t>
        </is>
      </c>
      <c r="C499" s="59" t="inlineStr">
        <is>
          <t>TAL-13</t>
        </is>
      </c>
      <c r="D499" s="64">
        <f>IFERROR(INDEX(MgNombre,MATCH($C499,MgActId,0)),"")</f>
        <v/>
      </c>
      <c r="E499" s="64">
        <f>IFERROR(INDEX(MgProceso,MATCH($C499,MgActId,0)),"")</f>
        <v/>
      </c>
      <c r="F499" s="64">
        <f>IFERROR(INDEX(MgTipo,MATCH($C499,MgActId,0)),"")</f>
        <v/>
      </c>
      <c r="G499" s="64">
        <f>IFERROR(INDEX(MgSubtipo,MATCH($C499,MgActId,0)),"")</f>
        <v/>
      </c>
      <c r="H499" s="59" t="inlineStr">
        <is>
          <t>A.11</t>
        </is>
      </c>
      <c r="I499" s="64">
        <f>IFERROR(INDEX(MgAmenNombre,MATCH(SUBSTITUTE($H499,"*","-"),MgAmenClave,0)),"")</f>
        <v/>
      </c>
      <c r="J499" s="28">
        <f>IFERROR(INDEX(MgAmenGrupo,MATCH(SUBSTITUTE($H499,"*","-"),MgAmenClave,0)),"")</f>
        <v/>
      </c>
      <c r="K499" s="64">
        <f>IFERROR(INDEX('1. Matriz de Activos'!$Q$6:$Q$239,MATCH($C499,MgActId,0)),"")</f>
        <v/>
      </c>
      <c r="L499" s="64">
        <f>IFERROR(INDEX('1. Matriz de Activos'!$R$6:$R$239,MATCH($C499,MgActId,0)),"")</f>
        <v/>
      </c>
      <c r="M499" s="64">
        <f>IFERROR(INDEX('1. Matriz de Activos'!$S$6:$S$239,MATCH($C499,MgActId,0)),"")</f>
        <v/>
      </c>
      <c r="N499" s="28">
        <f>IFERROR(INDEX(MgAmenDegD,MATCH(SUBSTITUTE($H499,"*","-"),MgAmenClave,0)),"No aplica")</f>
        <v/>
      </c>
      <c r="O499" s="28">
        <f>IFERROR(INDEX(MgAmenDegI,MATCH(SUBSTITUTE($H499,"*","-"),MgAmenClave,0)),"No aplica")</f>
        <v/>
      </c>
      <c r="P499" s="28">
        <f>IFERROR(INDEX(MgAmenDegC,MATCH(SUBSTITUTE($H499,"*","-"),MgAmenClave,0)),"No aplica")</f>
        <v/>
      </c>
      <c r="Q499" s="29">
        <f>IFERROR(VLOOKUP(K499,MgValor,2,0)*VLOOKUP(N499,MgDeg,2,0),0)</f>
        <v/>
      </c>
      <c r="R499" s="29">
        <f>IFERROR(VLOOKUP(L499,MgValor,2,0)*VLOOKUP(O499,MgDeg,2,0),0)</f>
        <v/>
      </c>
      <c r="S499" s="29">
        <f>IFERROR(VLOOKUP(M499,MgValor,2,0)*VLOOKUP(P499,MgDeg,2,0),0)</f>
        <v/>
      </c>
      <c r="T499" s="30">
        <f>MAX(Q499:S499)</f>
        <v/>
      </c>
      <c r="U499" s="28">
        <f>IFERROR(LOOKUP(T499,{0;0.5;1.5;3;4.5},{"Despreciable";"Bajo";"Medio";"Alto";"Muy alto"}),"")</f>
        <v/>
      </c>
      <c r="V499" s="13">
        <f>IFERROR(INDEX(MgAmenFrec,MATCH(SUBSTITUTE($H499,"*","-"),MgAmenClave,0)),"")</f>
        <v/>
      </c>
      <c r="W499" s="28">
        <f>IFERROR(LOOKUP(X499,{0;0.01;0.1;1;10;100},{"Muy baja";"Muy baja";"Baja";"Media";"Alta";"Muy alta"}),"")</f>
        <v/>
      </c>
      <c r="X499" s="31">
        <f>IFERROR(VLOOKUP(V499,MgFrec,2,0),0)</f>
        <v/>
      </c>
      <c r="Y499" s="30">
        <f>T499*X499</f>
        <v/>
      </c>
      <c r="Z499" s="28">
        <f>IFERROR(LOOKUP(Y499,{0;0.5;5;25},{"Bajo";"Medio";"Alto";"Crítico"}),"")</f>
        <v/>
      </c>
      <c r="AA499" s="64">
        <f>IF(T499&gt;=3,IF(X499&gt;=1,"Zona 1 — Crítica: impacto alto y ocurre al menos una vez al año","Zona 4 — Catastrófica poco probable: impacto alto pero excepcional"),IF(AND(T499&lt;1.5,X499&lt;1),"Zona 3 — Asumible: impacto bajo y muy poco frecuente","Zona 2 — Atención: riesgo intermedio"))</f>
        <v/>
      </c>
      <c r="AB499" s="64">
        <f>IFERROR(INDEX(MgAmenCtrl,MATCH(SUBSTITUTE($H499,"*","-"),MgAmenClave,0)),"")</f>
        <v/>
      </c>
      <c r="AC499" s="20" t="n"/>
      <c r="AD499" s="31">
        <f>IFERROR($X499*(1-IF($AC499="",$AL499,VLOOKUP($AC499,MgMad,2,0))),"")</f>
        <v/>
      </c>
      <c r="AE499" s="28">
        <f>IFERROR(LOOKUP(AD499,{0;0.01;0.1;1;10;100},{"Muy baja";"Muy baja";"Baja";"Media";"Alta";"Muy alta"}),"")</f>
        <v/>
      </c>
      <c r="AF499" s="30">
        <f>T499*AD499</f>
        <v/>
      </c>
      <c r="AG499" s="28">
        <f>IFERROR(LOOKUP(AF499,{0;0.5;5;25},{"Bajo";"Medio";"Alto";"Crítico"}),"")</f>
        <v/>
      </c>
      <c r="AH499" s="28">
        <f>IF(AG499="","",IF(OR(AG499="Crítico",AG499="Alto"),"Mitigar",IF(AG499="Medio","Mitigar","Aceptar y monitorear")))</f>
        <v/>
      </c>
      <c r="AI499" s="21" t="n"/>
      <c r="AJ499" s="21" t="n"/>
      <c r="AK499" s="20" t="n"/>
      <c r="AL499" s="77">
        <f>IFERROR(INDEX(MgAmenEfic,MATCH(SUBSTITUTE($H499,"*","-"),MgAmenClave,0)),0)</f>
        <v/>
      </c>
    </row>
    <row r="500" hidden="1" ht="90" customHeight="1" s="54">
      <c r="B500" s="59" t="inlineStr">
        <is>
          <t>R-0495</t>
        </is>
      </c>
      <c r="C500" s="59" t="inlineStr">
        <is>
          <t>TAL-13</t>
        </is>
      </c>
      <c r="D500" s="64">
        <f>IFERROR(INDEX(MgNombre,MATCH($C500,MgActId,0)),"")</f>
        <v/>
      </c>
      <c r="E500" s="64">
        <f>IFERROR(INDEX(MgProceso,MATCH($C500,MgActId,0)),"")</f>
        <v/>
      </c>
      <c r="F500" s="64">
        <f>IFERROR(INDEX(MgTipo,MATCH($C500,MgActId,0)),"")</f>
        <v/>
      </c>
      <c r="G500" s="64">
        <f>IFERROR(INDEX(MgSubtipo,MATCH($C500,MgActId,0)),"")</f>
        <v/>
      </c>
      <c r="H500" s="59" t="inlineStr">
        <is>
          <t>A.13</t>
        </is>
      </c>
      <c r="I500" s="64">
        <f>IFERROR(INDEX(MgAmenNombre,MATCH(SUBSTITUTE($H500,"*","-"),MgAmenClave,0)),"")</f>
        <v/>
      </c>
      <c r="J500" s="28">
        <f>IFERROR(INDEX(MgAmenGrupo,MATCH(SUBSTITUTE($H500,"*","-"),MgAmenClave,0)),"")</f>
        <v/>
      </c>
      <c r="K500" s="64">
        <f>IFERROR(INDEX('1. Matriz de Activos'!$Q$6:$Q$239,MATCH($C500,MgActId,0)),"")</f>
        <v/>
      </c>
      <c r="L500" s="64">
        <f>IFERROR(INDEX('1. Matriz de Activos'!$R$6:$R$239,MATCH($C500,MgActId,0)),"")</f>
        <v/>
      </c>
      <c r="M500" s="64">
        <f>IFERROR(INDEX('1. Matriz de Activos'!$S$6:$S$239,MATCH($C500,MgActId,0)),"")</f>
        <v/>
      </c>
      <c r="N500" s="28">
        <f>IFERROR(INDEX(MgAmenDegD,MATCH(SUBSTITUTE($H500,"*","-"),MgAmenClave,0)),"No aplica")</f>
        <v/>
      </c>
      <c r="O500" s="28">
        <f>IFERROR(INDEX(MgAmenDegI,MATCH(SUBSTITUTE($H500,"*","-"),MgAmenClave,0)),"No aplica")</f>
        <v/>
      </c>
      <c r="P500" s="28">
        <f>IFERROR(INDEX(MgAmenDegC,MATCH(SUBSTITUTE($H500,"*","-"),MgAmenClave,0)),"No aplica")</f>
        <v/>
      </c>
      <c r="Q500" s="29">
        <f>IFERROR(VLOOKUP(K500,MgValor,2,0)*VLOOKUP(N500,MgDeg,2,0),0)</f>
        <v/>
      </c>
      <c r="R500" s="29">
        <f>IFERROR(VLOOKUP(L500,MgValor,2,0)*VLOOKUP(O500,MgDeg,2,0),0)</f>
        <v/>
      </c>
      <c r="S500" s="29">
        <f>IFERROR(VLOOKUP(M500,MgValor,2,0)*VLOOKUP(P500,MgDeg,2,0),0)</f>
        <v/>
      </c>
      <c r="T500" s="30">
        <f>MAX(Q500:S500)</f>
        <v/>
      </c>
      <c r="U500" s="28">
        <f>IFERROR(LOOKUP(T500,{0;0.5;1.5;3;4.5},{"Despreciable";"Bajo";"Medio";"Alto";"Muy alto"}),"")</f>
        <v/>
      </c>
      <c r="V500" s="13">
        <f>IFERROR(INDEX(MgAmenFrec,MATCH(SUBSTITUTE($H500,"*","-"),MgAmenClave,0)),"")</f>
        <v/>
      </c>
      <c r="W500" s="28">
        <f>IFERROR(LOOKUP(X500,{0;0.01;0.1;1;10;100},{"Muy baja";"Muy baja";"Baja";"Media";"Alta";"Muy alta"}),"")</f>
        <v/>
      </c>
      <c r="X500" s="31">
        <f>IFERROR(VLOOKUP(V500,MgFrec,2,0),0)</f>
        <v/>
      </c>
      <c r="Y500" s="30">
        <f>T500*X500</f>
        <v/>
      </c>
      <c r="Z500" s="28">
        <f>IFERROR(LOOKUP(Y500,{0;0.5;5;25},{"Bajo";"Medio";"Alto";"Crítico"}),"")</f>
        <v/>
      </c>
      <c r="AA500" s="64">
        <f>IF(T500&gt;=3,IF(X500&gt;=1,"Zona 1 — Crítica: impacto alto y ocurre al menos una vez al año","Zona 4 — Catastrófica poco probable: impacto alto pero excepcional"),IF(AND(T500&lt;1.5,X500&lt;1),"Zona 3 — Asumible: impacto bajo y muy poco frecuente","Zona 2 — Atención: riesgo intermedio"))</f>
        <v/>
      </c>
      <c r="AB500" s="64">
        <f>IFERROR(INDEX(MgAmenCtrl,MATCH(SUBSTITUTE($H500,"*","-"),MgAmenClave,0)),"")</f>
        <v/>
      </c>
      <c r="AC500" s="20" t="n"/>
      <c r="AD500" s="31">
        <f>IFERROR($X500*(1-IF($AC500="",$AL500,VLOOKUP($AC500,MgMad,2,0))),"")</f>
        <v/>
      </c>
      <c r="AE500" s="28">
        <f>IFERROR(LOOKUP(AD500,{0;0.01;0.1;1;10;100},{"Muy baja";"Muy baja";"Baja";"Media";"Alta";"Muy alta"}),"")</f>
        <v/>
      </c>
      <c r="AF500" s="30">
        <f>T500*AD500</f>
        <v/>
      </c>
      <c r="AG500" s="28">
        <f>IFERROR(LOOKUP(AF500,{0;0.5;5;25},{"Bajo";"Medio";"Alto";"Crítico"}),"")</f>
        <v/>
      </c>
      <c r="AH500" s="28">
        <f>IF(AG500="","",IF(OR(AG500="Crítico",AG500="Alto"),"Mitigar",IF(AG500="Medio","Mitigar","Aceptar y monitorear")))</f>
        <v/>
      </c>
      <c r="AI500" s="21" t="n"/>
      <c r="AJ500" s="21" t="n"/>
      <c r="AK500" s="20" t="n"/>
      <c r="AL500" s="77">
        <f>IFERROR(INDEX(MgAmenEfic,MATCH(SUBSTITUTE($H500,"*","-"),MgAmenClave,0)),0)</f>
        <v/>
      </c>
    </row>
    <row r="501" hidden="1" ht="60" customHeight="1" s="54">
      <c r="B501" s="59" t="inlineStr">
        <is>
          <t>R-0496</t>
        </is>
      </c>
      <c r="C501" s="59" t="inlineStr">
        <is>
          <t>TAL-13</t>
        </is>
      </c>
      <c r="D501" s="64">
        <f>IFERROR(INDEX(MgNombre,MATCH($C501,MgActId,0)),"")</f>
        <v/>
      </c>
      <c r="E501" s="64">
        <f>IFERROR(INDEX(MgProceso,MATCH($C501,MgActId,0)),"")</f>
        <v/>
      </c>
      <c r="F501" s="64">
        <f>IFERROR(INDEX(MgTipo,MATCH($C501,MgActId,0)),"")</f>
        <v/>
      </c>
      <c r="G501" s="64">
        <f>IFERROR(INDEX(MgSubtipo,MATCH($C501,MgActId,0)),"")</f>
        <v/>
      </c>
      <c r="H501" s="59" t="inlineStr">
        <is>
          <t>A.15</t>
        </is>
      </c>
      <c r="I501" s="64">
        <f>IFERROR(INDEX(MgAmenNombre,MATCH(SUBSTITUTE($H501,"*","-"),MgAmenClave,0)),"")</f>
        <v/>
      </c>
      <c r="J501" s="28">
        <f>IFERROR(INDEX(MgAmenGrupo,MATCH(SUBSTITUTE($H501,"*","-"),MgAmenClave,0)),"")</f>
        <v/>
      </c>
      <c r="K501" s="64">
        <f>IFERROR(INDEX('1. Matriz de Activos'!$Q$6:$Q$239,MATCH($C501,MgActId,0)),"")</f>
        <v/>
      </c>
      <c r="L501" s="64">
        <f>IFERROR(INDEX('1. Matriz de Activos'!$R$6:$R$239,MATCH($C501,MgActId,0)),"")</f>
        <v/>
      </c>
      <c r="M501" s="64">
        <f>IFERROR(INDEX('1. Matriz de Activos'!$S$6:$S$239,MATCH($C501,MgActId,0)),"")</f>
        <v/>
      </c>
      <c r="N501" s="28">
        <f>IFERROR(INDEX(MgAmenDegD,MATCH(SUBSTITUTE($H501,"*","-"),MgAmenClave,0)),"No aplica")</f>
        <v/>
      </c>
      <c r="O501" s="28">
        <f>IFERROR(INDEX(MgAmenDegI,MATCH(SUBSTITUTE($H501,"*","-"),MgAmenClave,0)),"No aplica")</f>
        <v/>
      </c>
      <c r="P501" s="28">
        <f>IFERROR(INDEX(MgAmenDegC,MATCH(SUBSTITUTE($H501,"*","-"),MgAmenClave,0)),"No aplica")</f>
        <v/>
      </c>
      <c r="Q501" s="29">
        <f>IFERROR(VLOOKUP(K501,MgValor,2,0)*VLOOKUP(N501,MgDeg,2,0),0)</f>
        <v/>
      </c>
      <c r="R501" s="29">
        <f>IFERROR(VLOOKUP(L501,MgValor,2,0)*VLOOKUP(O501,MgDeg,2,0),0)</f>
        <v/>
      </c>
      <c r="S501" s="29">
        <f>IFERROR(VLOOKUP(M501,MgValor,2,0)*VLOOKUP(P501,MgDeg,2,0),0)</f>
        <v/>
      </c>
      <c r="T501" s="30">
        <f>MAX(Q501:S501)</f>
        <v/>
      </c>
      <c r="U501" s="28">
        <f>IFERROR(LOOKUP(T501,{0;0.5;1.5;3;4.5},{"Despreciable";"Bajo";"Medio";"Alto";"Muy alto"}),"")</f>
        <v/>
      </c>
      <c r="V501" s="13">
        <f>IFERROR(INDEX(MgAmenFrec,MATCH(SUBSTITUTE($H501,"*","-"),MgAmenClave,0)),"")</f>
        <v/>
      </c>
      <c r="W501" s="28">
        <f>IFERROR(LOOKUP(X501,{0;0.01;0.1;1;10;100},{"Muy baja";"Muy baja";"Baja";"Media";"Alta";"Muy alta"}),"")</f>
        <v/>
      </c>
      <c r="X501" s="31">
        <f>IFERROR(VLOOKUP(V501,MgFrec,2,0),0)</f>
        <v/>
      </c>
      <c r="Y501" s="30">
        <f>T501*X501</f>
        <v/>
      </c>
      <c r="Z501" s="28">
        <f>IFERROR(LOOKUP(Y501,{0;0.5;5;25},{"Bajo";"Medio";"Alto";"Crítico"}),"")</f>
        <v/>
      </c>
      <c r="AA501" s="64">
        <f>IF(T501&gt;=3,IF(X501&gt;=1,"Zona 1 — Crítica: impacto alto y ocurre al menos una vez al año","Zona 4 — Catastrófica poco probable: impacto alto pero excepcional"),IF(AND(T501&lt;1.5,X501&lt;1),"Zona 3 — Asumible: impacto bajo y muy poco frecuente","Zona 2 — Atención: riesgo intermedio"))</f>
        <v/>
      </c>
      <c r="AB501" s="64">
        <f>IFERROR(INDEX(MgAmenCtrl,MATCH(SUBSTITUTE($H501,"*","-"),MgAmenClave,0)),"")</f>
        <v/>
      </c>
      <c r="AC501" s="20" t="n"/>
      <c r="AD501" s="31">
        <f>IFERROR($X501*(1-IF($AC501="",$AL501,VLOOKUP($AC501,MgMad,2,0))),"")</f>
        <v/>
      </c>
      <c r="AE501" s="28">
        <f>IFERROR(LOOKUP(AD501,{0;0.01;0.1;1;10;100},{"Muy baja";"Muy baja";"Baja";"Media";"Alta";"Muy alta"}),"")</f>
        <v/>
      </c>
      <c r="AF501" s="30">
        <f>T501*AD501</f>
        <v/>
      </c>
      <c r="AG501" s="28">
        <f>IFERROR(LOOKUP(AF501,{0;0.5;5;25},{"Bajo";"Medio";"Alto";"Crítico"}),"")</f>
        <v/>
      </c>
      <c r="AH501" s="28">
        <f>IF(AG501="","",IF(OR(AG501="Crítico",AG501="Alto"),"Mitigar",IF(AG501="Medio","Mitigar","Aceptar y monitorear")))</f>
        <v/>
      </c>
      <c r="AI501" s="21" t="n"/>
      <c r="AJ501" s="21" t="n"/>
      <c r="AK501" s="20" t="n"/>
      <c r="AL501" s="77">
        <f>IFERROR(INDEX(MgAmenEfic,MATCH(SUBSTITUTE($H501,"*","-"),MgAmenClave,0)),0)</f>
        <v/>
      </c>
    </row>
    <row r="502" hidden="1" ht="60" customHeight="1" s="54">
      <c r="B502" s="59" t="inlineStr">
        <is>
          <t>R-0497</t>
        </is>
      </c>
      <c r="C502" s="59" t="inlineStr">
        <is>
          <t>TAL-13</t>
        </is>
      </c>
      <c r="D502" s="64">
        <f>IFERROR(INDEX(MgNombre,MATCH($C502,MgActId,0)),"")</f>
        <v/>
      </c>
      <c r="E502" s="64">
        <f>IFERROR(INDEX(MgProceso,MATCH($C502,MgActId,0)),"")</f>
        <v/>
      </c>
      <c r="F502" s="64">
        <f>IFERROR(INDEX(MgTipo,MATCH($C502,MgActId,0)),"")</f>
        <v/>
      </c>
      <c r="G502" s="64">
        <f>IFERROR(INDEX(MgSubtipo,MATCH($C502,MgActId,0)),"")</f>
        <v/>
      </c>
      <c r="H502" s="59" t="inlineStr">
        <is>
          <t>A.18</t>
        </is>
      </c>
      <c r="I502" s="64">
        <f>IFERROR(INDEX(MgAmenNombre,MATCH(SUBSTITUTE($H502,"*","-"),MgAmenClave,0)),"")</f>
        <v/>
      </c>
      <c r="J502" s="28">
        <f>IFERROR(INDEX(MgAmenGrupo,MATCH(SUBSTITUTE($H502,"*","-"),MgAmenClave,0)),"")</f>
        <v/>
      </c>
      <c r="K502" s="64">
        <f>IFERROR(INDEX('1. Matriz de Activos'!$Q$6:$Q$239,MATCH($C502,MgActId,0)),"")</f>
        <v/>
      </c>
      <c r="L502" s="64">
        <f>IFERROR(INDEX('1. Matriz de Activos'!$R$6:$R$239,MATCH($C502,MgActId,0)),"")</f>
        <v/>
      </c>
      <c r="M502" s="64">
        <f>IFERROR(INDEX('1. Matriz de Activos'!$S$6:$S$239,MATCH($C502,MgActId,0)),"")</f>
        <v/>
      </c>
      <c r="N502" s="28">
        <f>IFERROR(INDEX(MgAmenDegD,MATCH(SUBSTITUTE($H502,"*","-"),MgAmenClave,0)),"No aplica")</f>
        <v/>
      </c>
      <c r="O502" s="28">
        <f>IFERROR(INDEX(MgAmenDegI,MATCH(SUBSTITUTE($H502,"*","-"),MgAmenClave,0)),"No aplica")</f>
        <v/>
      </c>
      <c r="P502" s="28">
        <f>IFERROR(INDEX(MgAmenDegC,MATCH(SUBSTITUTE($H502,"*","-"),MgAmenClave,0)),"No aplica")</f>
        <v/>
      </c>
      <c r="Q502" s="29">
        <f>IFERROR(VLOOKUP(K502,MgValor,2,0)*VLOOKUP(N502,MgDeg,2,0),0)</f>
        <v/>
      </c>
      <c r="R502" s="29">
        <f>IFERROR(VLOOKUP(L502,MgValor,2,0)*VLOOKUP(O502,MgDeg,2,0),0)</f>
        <v/>
      </c>
      <c r="S502" s="29">
        <f>IFERROR(VLOOKUP(M502,MgValor,2,0)*VLOOKUP(P502,MgDeg,2,0),0)</f>
        <v/>
      </c>
      <c r="T502" s="30">
        <f>MAX(Q502:S502)</f>
        <v/>
      </c>
      <c r="U502" s="28">
        <f>IFERROR(LOOKUP(T502,{0;0.5;1.5;3;4.5},{"Despreciable";"Bajo";"Medio";"Alto";"Muy alto"}),"")</f>
        <v/>
      </c>
      <c r="V502" s="13">
        <f>IFERROR(INDEX(MgAmenFrec,MATCH(SUBSTITUTE($H502,"*","-"),MgAmenClave,0)),"")</f>
        <v/>
      </c>
      <c r="W502" s="28">
        <f>IFERROR(LOOKUP(X502,{0;0.01;0.1;1;10;100},{"Muy baja";"Muy baja";"Baja";"Media";"Alta";"Muy alta"}),"")</f>
        <v/>
      </c>
      <c r="X502" s="31">
        <f>IFERROR(VLOOKUP(V502,MgFrec,2,0),0)</f>
        <v/>
      </c>
      <c r="Y502" s="30">
        <f>T502*X502</f>
        <v/>
      </c>
      <c r="Z502" s="28">
        <f>IFERROR(LOOKUP(Y502,{0;0.5;5;25},{"Bajo";"Medio";"Alto";"Crítico"}),"")</f>
        <v/>
      </c>
      <c r="AA502" s="64">
        <f>IF(T502&gt;=3,IF(X502&gt;=1,"Zona 1 — Crítica: impacto alto y ocurre al menos una vez al año","Zona 4 — Catastrófica poco probable: impacto alto pero excepcional"),IF(AND(T502&lt;1.5,X502&lt;1),"Zona 3 — Asumible: impacto bajo y muy poco frecuente","Zona 2 — Atención: riesgo intermedio"))</f>
        <v/>
      </c>
      <c r="AB502" s="64">
        <f>IFERROR(INDEX(MgAmenCtrl,MATCH(SUBSTITUTE($H502,"*","-"),MgAmenClave,0)),"")</f>
        <v/>
      </c>
      <c r="AC502" s="20" t="n"/>
      <c r="AD502" s="31">
        <f>IFERROR($X502*(1-IF($AC502="",$AL502,VLOOKUP($AC502,MgMad,2,0))),"")</f>
        <v/>
      </c>
      <c r="AE502" s="28">
        <f>IFERROR(LOOKUP(AD502,{0;0.01;0.1;1;10;100},{"Muy baja";"Muy baja";"Baja";"Media";"Alta";"Muy alta"}),"")</f>
        <v/>
      </c>
      <c r="AF502" s="30">
        <f>T502*AD502</f>
        <v/>
      </c>
      <c r="AG502" s="28">
        <f>IFERROR(LOOKUP(AF502,{0;0.5;5;25},{"Bajo";"Medio";"Alto";"Crítico"}),"")</f>
        <v/>
      </c>
      <c r="AH502" s="28">
        <f>IF(AG502="","",IF(OR(AG502="Crítico",AG502="Alto"),"Mitigar",IF(AG502="Medio","Mitigar","Aceptar y monitorear")))</f>
        <v/>
      </c>
      <c r="AI502" s="21" t="n"/>
      <c r="AJ502" s="21" t="n"/>
      <c r="AK502" s="20" t="n"/>
      <c r="AL502" s="77">
        <f>IFERROR(INDEX(MgAmenEfic,MATCH(SUBSTITUTE($H502,"*","-"),MgAmenClave,0)),0)</f>
        <v/>
      </c>
    </row>
    <row r="503" hidden="1" ht="120" customHeight="1" s="54">
      <c r="B503" s="59" t="inlineStr">
        <is>
          <t>R-0498</t>
        </is>
      </c>
      <c r="C503" s="59" t="inlineStr">
        <is>
          <t>TAL-13</t>
        </is>
      </c>
      <c r="D503" s="64">
        <f>IFERROR(INDEX(MgNombre,MATCH($C503,MgActId,0)),"")</f>
        <v/>
      </c>
      <c r="E503" s="64">
        <f>IFERROR(INDEX(MgProceso,MATCH($C503,MgActId,0)),"")</f>
        <v/>
      </c>
      <c r="F503" s="64">
        <f>IFERROR(INDEX(MgTipo,MATCH($C503,MgActId,0)),"")</f>
        <v/>
      </c>
      <c r="G503" s="64">
        <f>IFERROR(INDEX(MgSubtipo,MATCH($C503,MgActId,0)),"")</f>
        <v/>
      </c>
      <c r="H503" s="59" t="inlineStr">
        <is>
          <t>A.19</t>
        </is>
      </c>
      <c r="I503" s="64">
        <f>IFERROR(INDEX(MgAmenNombre,MATCH(SUBSTITUTE($H503,"*","-"),MgAmenClave,0)),"")</f>
        <v/>
      </c>
      <c r="J503" s="28">
        <f>IFERROR(INDEX(MgAmenGrupo,MATCH(SUBSTITUTE($H503,"*","-"),MgAmenClave,0)),"")</f>
        <v/>
      </c>
      <c r="K503" s="64">
        <f>IFERROR(INDEX('1. Matriz de Activos'!$Q$6:$Q$239,MATCH($C503,MgActId,0)),"")</f>
        <v/>
      </c>
      <c r="L503" s="64">
        <f>IFERROR(INDEX('1. Matriz de Activos'!$R$6:$R$239,MATCH($C503,MgActId,0)),"")</f>
        <v/>
      </c>
      <c r="M503" s="64">
        <f>IFERROR(INDEX('1. Matriz de Activos'!$S$6:$S$239,MATCH($C503,MgActId,0)),"")</f>
        <v/>
      </c>
      <c r="N503" s="28">
        <f>IFERROR(INDEX(MgAmenDegD,MATCH(SUBSTITUTE($H503,"*","-"),MgAmenClave,0)),"No aplica")</f>
        <v/>
      </c>
      <c r="O503" s="28">
        <f>IFERROR(INDEX(MgAmenDegI,MATCH(SUBSTITUTE($H503,"*","-"),MgAmenClave,0)),"No aplica")</f>
        <v/>
      </c>
      <c r="P503" s="28">
        <f>IFERROR(INDEX(MgAmenDegC,MATCH(SUBSTITUTE($H503,"*","-"),MgAmenClave,0)),"No aplica")</f>
        <v/>
      </c>
      <c r="Q503" s="29">
        <f>IFERROR(VLOOKUP(K503,MgValor,2,0)*VLOOKUP(N503,MgDeg,2,0),0)</f>
        <v/>
      </c>
      <c r="R503" s="29">
        <f>IFERROR(VLOOKUP(L503,MgValor,2,0)*VLOOKUP(O503,MgDeg,2,0),0)</f>
        <v/>
      </c>
      <c r="S503" s="29">
        <f>IFERROR(VLOOKUP(M503,MgValor,2,0)*VLOOKUP(P503,MgDeg,2,0),0)</f>
        <v/>
      </c>
      <c r="T503" s="30">
        <f>MAX(Q503:S503)</f>
        <v/>
      </c>
      <c r="U503" s="28">
        <f>IFERROR(LOOKUP(T503,{0;0.5;1.5;3;4.5},{"Despreciable";"Bajo";"Medio";"Alto";"Muy alto"}),"")</f>
        <v/>
      </c>
      <c r="V503" s="13">
        <f>IFERROR(INDEX(MgAmenFrec,MATCH(SUBSTITUTE($H503,"*","-"),MgAmenClave,0)),"")</f>
        <v/>
      </c>
      <c r="W503" s="28">
        <f>IFERROR(LOOKUP(X503,{0;0.01;0.1;1;10;100},{"Muy baja";"Muy baja";"Baja";"Media";"Alta";"Muy alta"}),"")</f>
        <v/>
      </c>
      <c r="X503" s="31">
        <f>IFERROR(VLOOKUP(V503,MgFrec,2,0),0)</f>
        <v/>
      </c>
      <c r="Y503" s="30">
        <f>T503*X503</f>
        <v/>
      </c>
      <c r="Z503" s="28">
        <f>IFERROR(LOOKUP(Y503,{0;0.5;5;25},{"Bajo";"Medio";"Alto";"Crítico"}),"")</f>
        <v/>
      </c>
      <c r="AA503" s="64">
        <f>IF(T503&gt;=3,IF(X503&gt;=1,"Zona 1 — Crítica: impacto alto y ocurre al menos una vez al año","Zona 4 — Catastrófica poco probable: impacto alto pero excepcional"),IF(AND(T503&lt;1.5,X503&lt;1),"Zona 3 — Asumible: impacto bajo y muy poco frecuente","Zona 2 — Atención: riesgo intermedio"))</f>
        <v/>
      </c>
      <c r="AB503" s="64">
        <f>IFERROR(INDEX(MgAmenCtrl,MATCH(SUBSTITUTE($H503,"*","-"),MgAmenClave,0)),"")</f>
        <v/>
      </c>
      <c r="AC503" s="20" t="n"/>
      <c r="AD503" s="31">
        <f>IFERROR($X503*(1-IF($AC503="",$AL503,VLOOKUP($AC503,MgMad,2,0))),"")</f>
        <v/>
      </c>
      <c r="AE503" s="28">
        <f>IFERROR(LOOKUP(AD503,{0;0.01;0.1;1;10;100},{"Muy baja";"Muy baja";"Baja";"Media";"Alta";"Muy alta"}),"")</f>
        <v/>
      </c>
      <c r="AF503" s="30">
        <f>T503*AD503</f>
        <v/>
      </c>
      <c r="AG503" s="28">
        <f>IFERROR(LOOKUP(AF503,{0;0.5;5;25},{"Bajo";"Medio";"Alto";"Crítico"}),"")</f>
        <v/>
      </c>
      <c r="AH503" s="28">
        <f>IF(AG503="","",IF(OR(AG503="Crítico",AG503="Alto"),"Mitigar",IF(AG503="Medio","Mitigar","Aceptar y monitorear")))</f>
        <v/>
      </c>
      <c r="AI503" s="21" t="n"/>
      <c r="AJ503" s="21" t="n"/>
      <c r="AK503" s="20" t="n"/>
      <c r="AL503" s="77">
        <f>IFERROR(INDEX(MgAmenEfic,MATCH(SUBSTITUTE($H503,"*","-"),MgAmenClave,0)),0)</f>
        <v/>
      </c>
    </row>
    <row r="504" hidden="1" ht="105" customHeight="1" s="54">
      <c r="B504" s="59" t="inlineStr">
        <is>
          <t>R-0499</t>
        </is>
      </c>
      <c r="C504" s="59" t="inlineStr">
        <is>
          <t>TAL-12</t>
        </is>
      </c>
      <c r="D504" s="64">
        <f>IFERROR(INDEX(MgNombre,MATCH($C504,MgActId,0)),"")</f>
        <v/>
      </c>
      <c r="E504" s="64">
        <f>IFERROR(INDEX(MgProceso,MATCH($C504,MgActId,0)),"")</f>
        <v/>
      </c>
      <c r="F504" s="64">
        <f>IFERROR(INDEX(MgTipo,MATCH($C504,MgActId,0)),"")</f>
        <v/>
      </c>
      <c r="G504" s="64">
        <f>IFERROR(INDEX(MgSubtipo,MATCH($C504,MgActId,0)),"")</f>
        <v/>
      </c>
      <c r="H504" s="59" t="inlineStr">
        <is>
          <t>E.1</t>
        </is>
      </c>
      <c r="I504" s="64">
        <f>IFERROR(INDEX(MgAmenNombre,MATCH(SUBSTITUTE($H504,"*","-"),MgAmenClave,0)),"")</f>
        <v/>
      </c>
      <c r="J504" s="28">
        <f>IFERROR(INDEX(MgAmenGrupo,MATCH(SUBSTITUTE($H504,"*","-"),MgAmenClave,0)),"")</f>
        <v/>
      </c>
      <c r="K504" s="64">
        <f>IFERROR(INDEX('1. Matriz de Activos'!$Q$6:$Q$239,MATCH($C504,MgActId,0)),"")</f>
        <v/>
      </c>
      <c r="L504" s="64">
        <f>IFERROR(INDEX('1. Matriz de Activos'!$R$6:$R$239,MATCH($C504,MgActId,0)),"")</f>
        <v/>
      </c>
      <c r="M504" s="64">
        <f>IFERROR(INDEX('1. Matriz de Activos'!$S$6:$S$239,MATCH($C504,MgActId,0)),"")</f>
        <v/>
      </c>
      <c r="N504" s="28">
        <f>IFERROR(INDEX(MgAmenDegD,MATCH(SUBSTITUTE($H504,"*","-"),MgAmenClave,0)),"No aplica")</f>
        <v/>
      </c>
      <c r="O504" s="28">
        <f>IFERROR(INDEX(MgAmenDegI,MATCH(SUBSTITUTE($H504,"*","-"),MgAmenClave,0)),"No aplica")</f>
        <v/>
      </c>
      <c r="P504" s="28">
        <f>IFERROR(INDEX(MgAmenDegC,MATCH(SUBSTITUTE($H504,"*","-"),MgAmenClave,0)),"No aplica")</f>
        <v/>
      </c>
      <c r="Q504" s="29">
        <f>IFERROR(VLOOKUP(K504,MgValor,2,0)*VLOOKUP(N504,MgDeg,2,0),0)</f>
        <v/>
      </c>
      <c r="R504" s="29">
        <f>IFERROR(VLOOKUP(L504,MgValor,2,0)*VLOOKUP(O504,MgDeg,2,0),0)</f>
        <v/>
      </c>
      <c r="S504" s="29">
        <f>IFERROR(VLOOKUP(M504,MgValor,2,0)*VLOOKUP(P504,MgDeg,2,0),0)</f>
        <v/>
      </c>
      <c r="T504" s="30">
        <f>MAX(Q504:S504)</f>
        <v/>
      </c>
      <c r="U504" s="28">
        <f>IFERROR(LOOKUP(T504,{0;0.5;1.5;3;4.5},{"Despreciable";"Bajo";"Medio";"Alto";"Muy alto"}),"")</f>
        <v/>
      </c>
      <c r="V504" s="13">
        <f>IFERROR(INDEX(MgAmenFrec,MATCH(SUBSTITUTE($H504,"*","-"),MgAmenClave,0)),"")</f>
        <v/>
      </c>
      <c r="W504" s="28">
        <f>IFERROR(LOOKUP(X504,{0;0.01;0.1;1;10;100},{"Muy baja";"Muy baja";"Baja";"Media";"Alta";"Muy alta"}),"")</f>
        <v/>
      </c>
      <c r="X504" s="31">
        <f>IFERROR(VLOOKUP(V504,MgFrec,2,0),0)</f>
        <v/>
      </c>
      <c r="Y504" s="30">
        <f>T504*X504</f>
        <v/>
      </c>
      <c r="Z504" s="28">
        <f>IFERROR(LOOKUP(Y504,{0;0.5;5;25},{"Bajo";"Medio";"Alto";"Crítico"}),"")</f>
        <v/>
      </c>
      <c r="AA504" s="64">
        <f>IF(T504&gt;=3,IF(X504&gt;=1,"Zona 1 — Crítica: impacto alto y ocurre al menos una vez al año","Zona 4 — Catastrófica poco probable: impacto alto pero excepcional"),IF(AND(T504&lt;1.5,X504&lt;1),"Zona 3 — Asumible: impacto bajo y muy poco frecuente","Zona 2 — Atención: riesgo intermedio"))</f>
        <v/>
      </c>
      <c r="AB504" s="64">
        <f>IFERROR(INDEX(MgAmenCtrl,MATCH(SUBSTITUTE($H504,"*","-"),MgAmenClave,0)),"")</f>
        <v/>
      </c>
      <c r="AC504" s="20" t="n"/>
      <c r="AD504" s="31">
        <f>IFERROR($X504*(1-IF($AC504="",$AL504,VLOOKUP($AC504,MgMad,2,0))),"")</f>
        <v/>
      </c>
      <c r="AE504" s="28">
        <f>IFERROR(LOOKUP(AD504,{0;0.01;0.1;1;10;100},{"Muy baja";"Muy baja";"Baja";"Media";"Alta";"Muy alta"}),"")</f>
        <v/>
      </c>
      <c r="AF504" s="30">
        <f>T504*AD504</f>
        <v/>
      </c>
      <c r="AG504" s="28">
        <f>IFERROR(LOOKUP(AF504,{0;0.5;5;25},{"Bajo";"Medio";"Alto";"Crítico"}),"")</f>
        <v/>
      </c>
      <c r="AH504" s="28">
        <f>IF(AG504="","",IF(OR(AG504="Crítico",AG504="Alto"),"Mitigar",IF(AG504="Medio","Mitigar","Aceptar y monitorear")))</f>
        <v/>
      </c>
      <c r="AI504" s="21" t="n"/>
      <c r="AJ504" s="21" t="n"/>
      <c r="AK504" s="20" t="n"/>
      <c r="AL504" s="77">
        <f>IFERROR(INDEX(MgAmenEfic,MATCH(SUBSTITUTE($H504,"*","-"),MgAmenClave,0)),0)</f>
        <v/>
      </c>
    </row>
    <row r="505" hidden="1" ht="120" customHeight="1" s="54">
      <c r="B505" s="59" t="inlineStr">
        <is>
          <t>R-0500</t>
        </is>
      </c>
      <c r="C505" s="59" t="inlineStr">
        <is>
          <t>TAL-12</t>
        </is>
      </c>
      <c r="D505" s="64">
        <f>IFERROR(INDEX(MgNombre,MATCH($C505,MgActId,0)),"")</f>
        <v/>
      </c>
      <c r="E505" s="64">
        <f>IFERROR(INDEX(MgProceso,MATCH($C505,MgActId,0)),"")</f>
        <v/>
      </c>
      <c r="F505" s="64">
        <f>IFERROR(INDEX(MgTipo,MATCH($C505,MgActId,0)),"")</f>
        <v/>
      </c>
      <c r="G505" s="64">
        <f>IFERROR(INDEX(MgSubtipo,MATCH($C505,MgActId,0)),"")</f>
        <v/>
      </c>
      <c r="H505" s="59" t="inlineStr">
        <is>
          <t>E.2</t>
        </is>
      </c>
      <c r="I505" s="64">
        <f>IFERROR(INDEX(MgAmenNombre,MATCH(SUBSTITUTE($H505,"*","-"),MgAmenClave,0)),"")</f>
        <v/>
      </c>
      <c r="J505" s="28">
        <f>IFERROR(INDEX(MgAmenGrupo,MATCH(SUBSTITUTE($H505,"*","-"),MgAmenClave,0)),"")</f>
        <v/>
      </c>
      <c r="K505" s="64">
        <f>IFERROR(INDEX('1. Matriz de Activos'!$Q$6:$Q$239,MATCH($C505,MgActId,0)),"")</f>
        <v/>
      </c>
      <c r="L505" s="64">
        <f>IFERROR(INDEX('1. Matriz de Activos'!$R$6:$R$239,MATCH($C505,MgActId,0)),"")</f>
        <v/>
      </c>
      <c r="M505" s="64">
        <f>IFERROR(INDEX('1. Matriz de Activos'!$S$6:$S$239,MATCH($C505,MgActId,0)),"")</f>
        <v/>
      </c>
      <c r="N505" s="28">
        <f>IFERROR(INDEX(MgAmenDegD,MATCH(SUBSTITUTE($H505,"*","-"),MgAmenClave,0)),"No aplica")</f>
        <v/>
      </c>
      <c r="O505" s="28">
        <f>IFERROR(INDEX(MgAmenDegI,MATCH(SUBSTITUTE($H505,"*","-"),MgAmenClave,0)),"No aplica")</f>
        <v/>
      </c>
      <c r="P505" s="28">
        <f>IFERROR(INDEX(MgAmenDegC,MATCH(SUBSTITUTE($H505,"*","-"),MgAmenClave,0)),"No aplica")</f>
        <v/>
      </c>
      <c r="Q505" s="29">
        <f>IFERROR(VLOOKUP(K505,MgValor,2,0)*VLOOKUP(N505,MgDeg,2,0),0)</f>
        <v/>
      </c>
      <c r="R505" s="29">
        <f>IFERROR(VLOOKUP(L505,MgValor,2,0)*VLOOKUP(O505,MgDeg,2,0),0)</f>
        <v/>
      </c>
      <c r="S505" s="29">
        <f>IFERROR(VLOOKUP(M505,MgValor,2,0)*VLOOKUP(P505,MgDeg,2,0),0)</f>
        <v/>
      </c>
      <c r="T505" s="30">
        <f>MAX(Q505:S505)</f>
        <v/>
      </c>
      <c r="U505" s="28">
        <f>IFERROR(LOOKUP(T505,{0;0.5;1.5;3;4.5},{"Despreciable";"Bajo";"Medio";"Alto";"Muy alto"}),"")</f>
        <v/>
      </c>
      <c r="V505" s="13">
        <f>IFERROR(INDEX(MgAmenFrec,MATCH(SUBSTITUTE($H505,"*","-"),MgAmenClave,0)),"")</f>
        <v/>
      </c>
      <c r="W505" s="28">
        <f>IFERROR(LOOKUP(X505,{0;0.01;0.1;1;10;100},{"Muy baja";"Muy baja";"Baja";"Media";"Alta";"Muy alta"}),"")</f>
        <v/>
      </c>
      <c r="X505" s="31">
        <f>IFERROR(VLOOKUP(V505,MgFrec,2,0),0)</f>
        <v/>
      </c>
      <c r="Y505" s="30">
        <f>T505*X505</f>
        <v/>
      </c>
      <c r="Z505" s="28">
        <f>IFERROR(LOOKUP(Y505,{0;0.5;5;25},{"Bajo";"Medio";"Alto";"Crítico"}),"")</f>
        <v/>
      </c>
      <c r="AA505" s="64">
        <f>IF(T505&gt;=3,IF(X505&gt;=1,"Zona 1 — Crítica: impacto alto y ocurre al menos una vez al año","Zona 4 — Catastrófica poco probable: impacto alto pero excepcional"),IF(AND(T505&lt;1.5,X505&lt;1),"Zona 3 — Asumible: impacto bajo y muy poco frecuente","Zona 2 — Atención: riesgo intermedio"))</f>
        <v/>
      </c>
      <c r="AB505" s="64">
        <f>IFERROR(INDEX(MgAmenCtrl,MATCH(SUBSTITUTE($H505,"*","-"),MgAmenClave,0)),"")</f>
        <v/>
      </c>
      <c r="AC505" s="20" t="n"/>
      <c r="AD505" s="31">
        <f>IFERROR($X505*(1-IF($AC505="",$AL505,VLOOKUP($AC505,MgMad,2,0))),"")</f>
        <v/>
      </c>
      <c r="AE505" s="28">
        <f>IFERROR(LOOKUP(AD505,{0;0.01;0.1;1;10;100},{"Muy baja";"Muy baja";"Baja";"Media";"Alta";"Muy alta"}),"")</f>
        <v/>
      </c>
      <c r="AF505" s="30">
        <f>T505*AD505</f>
        <v/>
      </c>
      <c r="AG505" s="28">
        <f>IFERROR(LOOKUP(AF505,{0;0.5;5;25},{"Bajo";"Medio";"Alto";"Crítico"}),"")</f>
        <v/>
      </c>
      <c r="AH505" s="28">
        <f>IF(AG505="","",IF(OR(AG505="Crítico",AG505="Alto"),"Mitigar",IF(AG505="Medio","Mitigar","Aceptar y monitorear")))</f>
        <v/>
      </c>
      <c r="AI505" s="21" t="n"/>
      <c r="AJ505" s="21" t="n"/>
      <c r="AK505" s="20" t="n"/>
      <c r="AL505" s="77">
        <f>IFERROR(INDEX(MgAmenEfic,MATCH(SUBSTITUTE($H505,"*","-"),MgAmenClave,0)),0)</f>
        <v/>
      </c>
    </row>
    <row r="506" hidden="1" ht="75" customHeight="1" s="54">
      <c r="B506" s="59" t="inlineStr">
        <is>
          <t>R-0501</t>
        </is>
      </c>
      <c r="C506" s="59" t="inlineStr">
        <is>
          <t>TAL-12</t>
        </is>
      </c>
      <c r="D506" s="64">
        <f>IFERROR(INDEX(MgNombre,MATCH($C506,MgActId,0)),"")</f>
        <v/>
      </c>
      <c r="E506" s="64">
        <f>IFERROR(INDEX(MgProceso,MATCH($C506,MgActId,0)),"")</f>
        <v/>
      </c>
      <c r="F506" s="64">
        <f>IFERROR(INDEX(MgTipo,MATCH($C506,MgActId,0)),"")</f>
        <v/>
      </c>
      <c r="G506" s="64">
        <f>IFERROR(INDEX(MgSubtipo,MATCH($C506,MgActId,0)),"")</f>
        <v/>
      </c>
      <c r="H506" s="59" t="inlineStr">
        <is>
          <t>E.3</t>
        </is>
      </c>
      <c r="I506" s="64">
        <f>IFERROR(INDEX(MgAmenNombre,MATCH(SUBSTITUTE($H506,"*","-"),MgAmenClave,0)),"")</f>
        <v/>
      </c>
      <c r="J506" s="28">
        <f>IFERROR(INDEX(MgAmenGrupo,MATCH(SUBSTITUTE($H506,"*","-"),MgAmenClave,0)),"")</f>
        <v/>
      </c>
      <c r="K506" s="64">
        <f>IFERROR(INDEX('1. Matriz de Activos'!$Q$6:$Q$239,MATCH($C506,MgActId,0)),"")</f>
        <v/>
      </c>
      <c r="L506" s="64">
        <f>IFERROR(INDEX('1. Matriz de Activos'!$R$6:$R$239,MATCH($C506,MgActId,0)),"")</f>
        <v/>
      </c>
      <c r="M506" s="64">
        <f>IFERROR(INDEX('1. Matriz de Activos'!$S$6:$S$239,MATCH($C506,MgActId,0)),"")</f>
        <v/>
      </c>
      <c r="N506" s="28">
        <f>IFERROR(INDEX(MgAmenDegD,MATCH(SUBSTITUTE($H506,"*","-"),MgAmenClave,0)),"No aplica")</f>
        <v/>
      </c>
      <c r="O506" s="28">
        <f>IFERROR(INDEX(MgAmenDegI,MATCH(SUBSTITUTE($H506,"*","-"),MgAmenClave,0)),"No aplica")</f>
        <v/>
      </c>
      <c r="P506" s="28">
        <f>IFERROR(INDEX(MgAmenDegC,MATCH(SUBSTITUTE($H506,"*","-"),MgAmenClave,0)),"No aplica")</f>
        <v/>
      </c>
      <c r="Q506" s="29">
        <f>IFERROR(VLOOKUP(K506,MgValor,2,0)*VLOOKUP(N506,MgDeg,2,0),0)</f>
        <v/>
      </c>
      <c r="R506" s="29">
        <f>IFERROR(VLOOKUP(L506,MgValor,2,0)*VLOOKUP(O506,MgDeg,2,0),0)</f>
        <v/>
      </c>
      <c r="S506" s="29">
        <f>IFERROR(VLOOKUP(M506,MgValor,2,0)*VLOOKUP(P506,MgDeg,2,0),0)</f>
        <v/>
      </c>
      <c r="T506" s="30">
        <f>MAX(Q506:S506)</f>
        <v/>
      </c>
      <c r="U506" s="28">
        <f>IFERROR(LOOKUP(T506,{0;0.5;1.5;3;4.5},{"Despreciable";"Bajo";"Medio";"Alto";"Muy alto"}),"")</f>
        <v/>
      </c>
      <c r="V506" s="13">
        <f>IFERROR(INDEX(MgAmenFrec,MATCH(SUBSTITUTE($H506,"*","-"),MgAmenClave,0)),"")</f>
        <v/>
      </c>
      <c r="W506" s="28">
        <f>IFERROR(LOOKUP(X506,{0;0.01;0.1;1;10;100},{"Muy baja";"Muy baja";"Baja";"Media";"Alta";"Muy alta"}),"")</f>
        <v/>
      </c>
      <c r="X506" s="31">
        <f>IFERROR(VLOOKUP(V506,MgFrec,2,0),0)</f>
        <v/>
      </c>
      <c r="Y506" s="30">
        <f>T506*X506</f>
        <v/>
      </c>
      <c r="Z506" s="28">
        <f>IFERROR(LOOKUP(Y506,{0;0.5;5;25},{"Bajo";"Medio";"Alto";"Crítico"}),"")</f>
        <v/>
      </c>
      <c r="AA506" s="64">
        <f>IF(T506&gt;=3,IF(X506&gt;=1,"Zona 1 — Crítica: impacto alto y ocurre al menos una vez al año","Zona 4 — Catastrófica poco probable: impacto alto pero excepcional"),IF(AND(T506&lt;1.5,X506&lt;1),"Zona 3 — Asumible: impacto bajo y muy poco frecuente","Zona 2 — Atención: riesgo intermedio"))</f>
        <v/>
      </c>
      <c r="AB506" s="64">
        <f>IFERROR(INDEX(MgAmenCtrl,MATCH(SUBSTITUTE($H506,"*","-"),MgAmenClave,0)),"")</f>
        <v/>
      </c>
      <c r="AC506" s="20" t="n"/>
      <c r="AD506" s="31">
        <f>IFERROR($X506*(1-IF($AC506="",$AL506,VLOOKUP($AC506,MgMad,2,0))),"")</f>
        <v/>
      </c>
      <c r="AE506" s="28">
        <f>IFERROR(LOOKUP(AD506,{0;0.01;0.1;1;10;100},{"Muy baja";"Muy baja";"Baja";"Media";"Alta";"Muy alta"}),"")</f>
        <v/>
      </c>
      <c r="AF506" s="30">
        <f>T506*AD506</f>
        <v/>
      </c>
      <c r="AG506" s="28">
        <f>IFERROR(LOOKUP(AF506,{0;0.5;5;25},{"Bajo";"Medio";"Alto";"Crítico"}),"")</f>
        <v/>
      </c>
      <c r="AH506" s="28">
        <f>IF(AG506="","",IF(OR(AG506="Crítico",AG506="Alto"),"Mitigar",IF(AG506="Medio","Mitigar","Aceptar y monitorear")))</f>
        <v/>
      </c>
      <c r="AI506" s="21" t="n"/>
      <c r="AJ506" s="21" t="n"/>
      <c r="AK506" s="20" t="n"/>
      <c r="AL506" s="77">
        <f>IFERROR(INDEX(MgAmenEfic,MATCH(SUBSTITUTE($H506,"*","-"),MgAmenClave,0)),0)</f>
        <v/>
      </c>
    </row>
    <row r="507" hidden="1" ht="75" customHeight="1" s="54">
      <c r="B507" s="59" t="inlineStr">
        <is>
          <t>R-0502</t>
        </is>
      </c>
      <c r="C507" s="59" t="inlineStr">
        <is>
          <t>TAL-12</t>
        </is>
      </c>
      <c r="D507" s="64">
        <f>IFERROR(INDEX(MgNombre,MATCH($C507,MgActId,0)),"")</f>
        <v/>
      </c>
      <c r="E507" s="64">
        <f>IFERROR(INDEX(MgProceso,MATCH($C507,MgActId,0)),"")</f>
        <v/>
      </c>
      <c r="F507" s="64">
        <f>IFERROR(INDEX(MgTipo,MATCH($C507,MgActId,0)),"")</f>
        <v/>
      </c>
      <c r="G507" s="64">
        <f>IFERROR(INDEX(MgSubtipo,MATCH($C507,MgActId,0)),"")</f>
        <v/>
      </c>
      <c r="H507" s="59" t="inlineStr">
        <is>
          <t>E.4</t>
        </is>
      </c>
      <c r="I507" s="64">
        <f>IFERROR(INDEX(MgAmenNombre,MATCH(SUBSTITUTE($H507,"*","-"),MgAmenClave,0)),"")</f>
        <v/>
      </c>
      <c r="J507" s="28">
        <f>IFERROR(INDEX(MgAmenGrupo,MATCH(SUBSTITUTE($H507,"*","-"),MgAmenClave,0)),"")</f>
        <v/>
      </c>
      <c r="K507" s="64">
        <f>IFERROR(INDEX('1. Matriz de Activos'!$Q$6:$Q$239,MATCH($C507,MgActId,0)),"")</f>
        <v/>
      </c>
      <c r="L507" s="64">
        <f>IFERROR(INDEX('1. Matriz de Activos'!$R$6:$R$239,MATCH($C507,MgActId,0)),"")</f>
        <v/>
      </c>
      <c r="M507" s="64">
        <f>IFERROR(INDEX('1. Matriz de Activos'!$S$6:$S$239,MATCH($C507,MgActId,0)),"")</f>
        <v/>
      </c>
      <c r="N507" s="28">
        <f>IFERROR(INDEX(MgAmenDegD,MATCH(SUBSTITUTE($H507,"*","-"),MgAmenClave,0)),"No aplica")</f>
        <v/>
      </c>
      <c r="O507" s="28">
        <f>IFERROR(INDEX(MgAmenDegI,MATCH(SUBSTITUTE($H507,"*","-"),MgAmenClave,0)),"No aplica")</f>
        <v/>
      </c>
      <c r="P507" s="28">
        <f>IFERROR(INDEX(MgAmenDegC,MATCH(SUBSTITUTE($H507,"*","-"),MgAmenClave,0)),"No aplica")</f>
        <v/>
      </c>
      <c r="Q507" s="29">
        <f>IFERROR(VLOOKUP(K507,MgValor,2,0)*VLOOKUP(N507,MgDeg,2,0),0)</f>
        <v/>
      </c>
      <c r="R507" s="29">
        <f>IFERROR(VLOOKUP(L507,MgValor,2,0)*VLOOKUP(O507,MgDeg,2,0),0)</f>
        <v/>
      </c>
      <c r="S507" s="29">
        <f>IFERROR(VLOOKUP(M507,MgValor,2,0)*VLOOKUP(P507,MgDeg,2,0),0)</f>
        <v/>
      </c>
      <c r="T507" s="30">
        <f>MAX(Q507:S507)</f>
        <v/>
      </c>
      <c r="U507" s="28">
        <f>IFERROR(LOOKUP(T507,{0;0.5;1.5;3;4.5},{"Despreciable";"Bajo";"Medio";"Alto";"Muy alto"}),"")</f>
        <v/>
      </c>
      <c r="V507" s="13">
        <f>IFERROR(INDEX(MgAmenFrec,MATCH(SUBSTITUTE($H507,"*","-"),MgAmenClave,0)),"")</f>
        <v/>
      </c>
      <c r="W507" s="28">
        <f>IFERROR(LOOKUP(X507,{0;0.01;0.1;1;10;100},{"Muy baja";"Muy baja";"Baja";"Media";"Alta";"Muy alta"}),"")</f>
        <v/>
      </c>
      <c r="X507" s="31">
        <f>IFERROR(VLOOKUP(V507,MgFrec,2,0),0)</f>
        <v/>
      </c>
      <c r="Y507" s="30">
        <f>T507*X507</f>
        <v/>
      </c>
      <c r="Z507" s="28">
        <f>IFERROR(LOOKUP(Y507,{0;0.5;5;25},{"Bajo";"Medio";"Alto";"Crítico"}),"")</f>
        <v/>
      </c>
      <c r="AA507" s="64">
        <f>IF(T507&gt;=3,IF(X507&gt;=1,"Zona 1 — Crítica: impacto alto y ocurre al menos una vez al año","Zona 4 — Catastrófica poco probable: impacto alto pero excepcional"),IF(AND(T507&lt;1.5,X507&lt;1),"Zona 3 — Asumible: impacto bajo y muy poco frecuente","Zona 2 — Atención: riesgo intermedio"))</f>
        <v/>
      </c>
      <c r="AB507" s="64">
        <f>IFERROR(INDEX(MgAmenCtrl,MATCH(SUBSTITUTE($H507,"*","-"),MgAmenClave,0)),"")</f>
        <v/>
      </c>
      <c r="AC507" s="20" t="n"/>
      <c r="AD507" s="31">
        <f>IFERROR($X507*(1-IF($AC507="",$AL507,VLOOKUP($AC507,MgMad,2,0))),"")</f>
        <v/>
      </c>
      <c r="AE507" s="28">
        <f>IFERROR(LOOKUP(AD507,{0;0.01;0.1;1;10;100},{"Muy baja";"Muy baja";"Baja";"Media";"Alta";"Muy alta"}),"")</f>
        <v/>
      </c>
      <c r="AF507" s="30">
        <f>T507*AD507</f>
        <v/>
      </c>
      <c r="AG507" s="28">
        <f>IFERROR(LOOKUP(AF507,{0;0.5;5;25},{"Bajo";"Medio";"Alto";"Crítico"}),"")</f>
        <v/>
      </c>
      <c r="AH507" s="28">
        <f>IF(AG507="","",IF(OR(AG507="Crítico",AG507="Alto"),"Mitigar",IF(AG507="Medio","Mitigar","Aceptar y monitorear")))</f>
        <v/>
      </c>
      <c r="AI507" s="21" t="n"/>
      <c r="AJ507" s="21" t="n"/>
      <c r="AK507" s="20" t="n"/>
      <c r="AL507" s="77">
        <f>IFERROR(INDEX(MgAmenEfic,MATCH(SUBSTITUTE($H507,"*","-"),MgAmenClave,0)),0)</f>
        <v/>
      </c>
    </row>
    <row r="508" hidden="1" ht="90" customHeight="1" s="54">
      <c r="B508" s="59" t="inlineStr">
        <is>
          <t>R-0503</t>
        </is>
      </c>
      <c r="C508" s="59" t="inlineStr">
        <is>
          <t>TAL-12</t>
        </is>
      </c>
      <c r="D508" s="64">
        <f>IFERROR(INDEX(MgNombre,MATCH($C508,MgActId,0)),"")</f>
        <v/>
      </c>
      <c r="E508" s="64">
        <f>IFERROR(INDEX(MgProceso,MATCH($C508,MgActId,0)),"")</f>
        <v/>
      </c>
      <c r="F508" s="64">
        <f>IFERROR(INDEX(MgTipo,MATCH($C508,MgActId,0)),"")</f>
        <v/>
      </c>
      <c r="G508" s="64">
        <f>IFERROR(INDEX(MgSubtipo,MATCH($C508,MgActId,0)),"")</f>
        <v/>
      </c>
      <c r="H508" s="59" t="inlineStr">
        <is>
          <t>E.14</t>
        </is>
      </c>
      <c r="I508" s="64">
        <f>IFERROR(INDEX(MgAmenNombre,MATCH(SUBSTITUTE($H508,"*","-"),MgAmenClave,0)),"")</f>
        <v/>
      </c>
      <c r="J508" s="28">
        <f>IFERROR(INDEX(MgAmenGrupo,MATCH(SUBSTITUTE($H508,"*","-"),MgAmenClave,0)),"")</f>
        <v/>
      </c>
      <c r="K508" s="64">
        <f>IFERROR(INDEX('1. Matriz de Activos'!$Q$6:$Q$239,MATCH($C508,MgActId,0)),"")</f>
        <v/>
      </c>
      <c r="L508" s="64">
        <f>IFERROR(INDEX('1. Matriz de Activos'!$R$6:$R$239,MATCH($C508,MgActId,0)),"")</f>
        <v/>
      </c>
      <c r="M508" s="64">
        <f>IFERROR(INDEX('1. Matriz de Activos'!$S$6:$S$239,MATCH($C508,MgActId,0)),"")</f>
        <v/>
      </c>
      <c r="N508" s="28">
        <f>IFERROR(INDEX(MgAmenDegD,MATCH(SUBSTITUTE($H508,"*","-"),MgAmenClave,0)),"No aplica")</f>
        <v/>
      </c>
      <c r="O508" s="28">
        <f>IFERROR(INDEX(MgAmenDegI,MATCH(SUBSTITUTE($H508,"*","-"),MgAmenClave,0)),"No aplica")</f>
        <v/>
      </c>
      <c r="P508" s="28">
        <f>IFERROR(INDEX(MgAmenDegC,MATCH(SUBSTITUTE($H508,"*","-"),MgAmenClave,0)),"No aplica")</f>
        <v/>
      </c>
      <c r="Q508" s="29">
        <f>IFERROR(VLOOKUP(K508,MgValor,2,0)*VLOOKUP(N508,MgDeg,2,0),0)</f>
        <v/>
      </c>
      <c r="R508" s="29">
        <f>IFERROR(VLOOKUP(L508,MgValor,2,0)*VLOOKUP(O508,MgDeg,2,0),0)</f>
        <v/>
      </c>
      <c r="S508" s="29">
        <f>IFERROR(VLOOKUP(M508,MgValor,2,0)*VLOOKUP(P508,MgDeg,2,0),0)</f>
        <v/>
      </c>
      <c r="T508" s="30">
        <f>MAX(Q508:S508)</f>
        <v/>
      </c>
      <c r="U508" s="28">
        <f>IFERROR(LOOKUP(T508,{0;0.5;1.5;3;4.5},{"Despreciable";"Bajo";"Medio";"Alto";"Muy alto"}),"")</f>
        <v/>
      </c>
      <c r="V508" s="13">
        <f>IFERROR(INDEX(MgAmenFrec,MATCH(SUBSTITUTE($H508,"*","-"),MgAmenClave,0)),"")</f>
        <v/>
      </c>
      <c r="W508" s="28">
        <f>IFERROR(LOOKUP(X508,{0;0.01;0.1;1;10;100},{"Muy baja";"Muy baja";"Baja";"Media";"Alta";"Muy alta"}),"")</f>
        <v/>
      </c>
      <c r="X508" s="31">
        <f>IFERROR(VLOOKUP(V508,MgFrec,2,0),0)</f>
        <v/>
      </c>
      <c r="Y508" s="30">
        <f>T508*X508</f>
        <v/>
      </c>
      <c r="Z508" s="28">
        <f>IFERROR(LOOKUP(Y508,{0;0.5;5;25},{"Bajo";"Medio";"Alto";"Crítico"}),"")</f>
        <v/>
      </c>
      <c r="AA508" s="64">
        <f>IF(T508&gt;=3,IF(X508&gt;=1,"Zona 1 — Crítica: impacto alto y ocurre al menos una vez al año","Zona 4 — Catastrófica poco probable: impacto alto pero excepcional"),IF(AND(T508&lt;1.5,X508&lt;1),"Zona 3 — Asumible: impacto bajo y muy poco frecuente","Zona 2 — Atención: riesgo intermedio"))</f>
        <v/>
      </c>
      <c r="AB508" s="64">
        <f>IFERROR(INDEX(MgAmenCtrl,MATCH(SUBSTITUTE($H508,"*","-"),MgAmenClave,0)),"")</f>
        <v/>
      </c>
      <c r="AC508" s="20" t="n"/>
      <c r="AD508" s="31">
        <f>IFERROR($X508*(1-IF($AC508="",$AL508,VLOOKUP($AC508,MgMad,2,0))),"")</f>
        <v/>
      </c>
      <c r="AE508" s="28">
        <f>IFERROR(LOOKUP(AD508,{0;0.01;0.1;1;10;100},{"Muy baja";"Muy baja";"Baja";"Media";"Alta";"Muy alta"}),"")</f>
        <v/>
      </c>
      <c r="AF508" s="30">
        <f>T508*AD508</f>
        <v/>
      </c>
      <c r="AG508" s="28">
        <f>IFERROR(LOOKUP(AF508,{0;0.5;5;25},{"Bajo";"Medio";"Alto";"Crítico"}),"")</f>
        <v/>
      </c>
      <c r="AH508" s="28">
        <f>IF(AG508="","",IF(OR(AG508="Crítico",AG508="Alto"),"Mitigar",IF(AG508="Medio","Mitigar","Aceptar y monitorear")))</f>
        <v/>
      </c>
      <c r="AI508" s="21" t="n"/>
      <c r="AJ508" s="21" t="n"/>
      <c r="AK508" s="20" t="n"/>
      <c r="AL508" s="77">
        <f>IFERROR(INDEX(MgAmenEfic,MATCH(SUBSTITUTE($H508,"*","-"),MgAmenClave,0)),0)</f>
        <v/>
      </c>
    </row>
    <row r="509" hidden="1" ht="90" customHeight="1" s="54">
      <c r="B509" s="59" t="inlineStr">
        <is>
          <t>R-0504</t>
        </is>
      </c>
      <c r="C509" s="59" t="inlineStr">
        <is>
          <t>TAL-12</t>
        </is>
      </c>
      <c r="D509" s="64">
        <f>IFERROR(INDEX(MgNombre,MATCH($C509,MgActId,0)),"")</f>
        <v/>
      </c>
      <c r="E509" s="64">
        <f>IFERROR(INDEX(MgProceso,MATCH($C509,MgActId,0)),"")</f>
        <v/>
      </c>
      <c r="F509" s="64">
        <f>IFERROR(INDEX(MgTipo,MATCH($C509,MgActId,0)),"")</f>
        <v/>
      </c>
      <c r="G509" s="64">
        <f>IFERROR(INDEX(MgSubtipo,MATCH($C509,MgActId,0)),"")</f>
        <v/>
      </c>
      <c r="H509" s="59" t="inlineStr">
        <is>
          <t>E.15</t>
        </is>
      </c>
      <c r="I509" s="64">
        <f>IFERROR(INDEX(MgAmenNombre,MATCH(SUBSTITUTE($H509,"*","-"),MgAmenClave,0)),"")</f>
        <v/>
      </c>
      <c r="J509" s="28">
        <f>IFERROR(INDEX(MgAmenGrupo,MATCH(SUBSTITUTE($H509,"*","-"),MgAmenClave,0)),"")</f>
        <v/>
      </c>
      <c r="K509" s="64">
        <f>IFERROR(INDEX('1. Matriz de Activos'!$Q$6:$Q$239,MATCH($C509,MgActId,0)),"")</f>
        <v/>
      </c>
      <c r="L509" s="64">
        <f>IFERROR(INDEX('1. Matriz de Activos'!$R$6:$R$239,MATCH($C509,MgActId,0)),"")</f>
        <v/>
      </c>
      <c r="M509" s="64">
        <f>IFERROR(INDEX('1. Matriz de Activos'!$S$6:$S$239,MATCH($C509,MgActId,0)),"")</f>
        <v/>
      </c>
      <c r="N509" s="28">
        <f>IFERROR(INDEX(MgAmenDegD,MATCH(SUBSTITUTE($H509,"*","-"),MgAmenClave,0)),"No aplica")</f>
        <v/>
      </c>
      <c r="O509" s="28">
        <f>IFERROR(INDEX(MgAmenDegI,MATCH(SUBSTITUTE($H509,"*","-"),MgAmenClave,0)),"No aplica")</f>
        <v/>
      </c>
      <c r="P509" s="28">
        <f>IFERROR(INDEX(MgAmenDegC,MATCH(SUBSTITUTE($H509,"*","-"),MgAmenClave,0)),"No aplica")</f>
        <v/>
      </c>
      <c r="Q509" s="29">
        <f>IFERROR(VLOOKUP(K509,MgValor,2,0)*VLOOKUP(N509,MgDeg,2,0),0)</f>
        <v/>
      </c>
      <c r="R509" s="29">
        <f>IFERROR(VLOOKUP(L509,MgValor,2,0)*VLOOKUP(O509,MgDeg,2,0),0)</f>
        <v/>
      </c>
      <c r="S509" s="29">
        <f>IFERROR(VLOOKUP(M509,MgValor,2,0)*VLOOKUP(P509,MgDeg,2,0),0)</f>
        <v/>
      </c>
      <c r="T509" s="30">
        <f>MAX(Q509:S509)</f>
        <v/>
      </c>
      <c r="U509" s="28">
        <f>IFERROR(LOOKUP(T509,{0;0.5;1.5;3;4.5},{"Despreciable";"Bajo";"Medio";"Alto";"Muy alto"}),"")</f>
        <v/>
      </c>
      <c r="V509" s="13">
        <f>IFERROR(INDEX(MgAmenFrec,MATCH(SUBSTITUTE($H509,"*","-"),MgAmenClave,0)),"")</f>
        <v/>
      </c>
      <c r="W509" s="28">
        <f>IFERROR(LOOKUP(X509,{0;0.01;0.1;1;10;100},{"Muy baja";"Muy baja";"Baja";"Media";"Alta";"Muy alta"}),"")</f>
        <v/>
      </c>
      <c r="X509" s="31">
        <f>IFERROR(VLOOKUP(V509,MgFrec,2,0),0)</f>
        <v/>
      </c>
      <c r="Y509" s="30">
        <f>T509*X509</f>
        <v/>
      </c>
      <c r="Z509" s="28">
        <f>IFERROR(LOOKUP(Y509,{0;0.5;5;25},{"Bajo";"Medio";"Alto";"Crítico"}),"")</f>
        <v/>
      </c>
      <c r="AA509" s="64">
        <f>IF(T509&gt;=3,IF(X509&gt;=1,"Zona 1 — Crítica: impacto alto y ocurre al menos una vez al año","Zona 4 — Catastrófica poco probable: impacto alto pero excepcional"),IF(AND(T509&lt;1.5,X509&lt;1),"Zona 3 — Asumible: impacto bajo y muy poco frecuente","Zona 2 — Atención: riesgo intermedio"))</f>
        <v/>
      </c>
      <c r="AB509" s="64">
        <f>IFERROR(INDEX(MgAmenCtrl,MATCH(SUBSTITUTE($H509,"*","-"),MgAmenClave,0)),"")</f>
        <v/>
      </c>
      <c r="AC509" s="20" t="n"/>
      <c r="AD509" s="31">
        <f>IFERROR($X509*(1-IF($AC509="",$AL509,VLOOKUP($AC509,MgMad,2,0))),"")</f>
        <v/>
      </c>
      <c r="AE509" s="28">
        <f>IFERROR(LOOKUP(AD509,{0;0.01;0.1;1;10;100},{"Muy baja";"Muy baja";"Baja";"Media";"Alta";"Muy alta"}),"")</f>
        <v/>
      </c>
      <c r="AF509" s="30">
        <f>T509*AD509</f>
        <v/>
      </c>
      <c r="AG509" s="28">
        <f>IFERROR(LOOKUP(AF509,{0;0.5;5;25},{"Bajo";"Medio";"Alto";"Crítico"}),"")</f>
        <v/>
      </c>
      <c r="AH509" s="28">
        <f>IF(AG509="","",IF(OR(AG509="Crítico",AG509="Alto"),"Mitigar",IF(AG509="Medio","Mitigar","Aceptar y monitorear")))</f>
        <v/>
      </c>
      <c r="AI509" s="21" t="n"/>
      <c r="AJ509" s="21" t="n"/>
      <c r="AK509" s="20" t="n"/>
      <c r="AL509" s="77">
        <f>IFERROR(INDEX(MgAmenEfic,MATCH(SUBSTITUTE($H509,"*","-"),MgAmenClave,0)),0)</f>
        <v/>
      </c>
    </row>
    <row r="510" hidden="1" ht="60" customHeight="1" s="54">
      <c r="B510" s="59" t="inlineStr">
        <is>
          <t>R-0505</t>
        </is>
      </c>
      <c r="C510" s="59" t="inlineStr">
        <is>
          <t>TAL-12</t>
        </is>
      </c>
      <c r="D510" s="64">
        <f>IFERROR(INDEX(MgNombre,MATCH($C510,MgActId,0)),"")</f>
        <v/>
      </c>
      <c r="E510" s="64">
        <f>IFERROR(INDEX(MgProceso,MATCH($C510,MgActId,0)),"")</f>
        <v/>
      </c>
      <c r="F510" s="64">
        <f>IFERROR(INDEX(MgTipo,MATCH($C510,MgActId,0)),"")</f>
        <v/>
      </c>
      <c r="G510" s="64">
        <f>IFERROR(INDEX(MgSubtipo,MATCH($C510,MgActId,0)),"")</f>
        <v/>
      </c>
      <c r="H510" s="59" t="inlineStr">
        <is>
          <t>E.18</t>
        </is>
      </c>
      <c r="I510" s="64">
        <f>IFERROR(INDEX(MgAmenNombre,MATCH(SUBSTITUTE($H510,"*","-"),MgAmenClave,0)),"")</f>
        <v/>
      </c>
      <c r="J510" s="28">
        <f>IFERROR(INDEX(MgAmenGrupo,MATCH(SUBSTITUTE($H510,"*","-"),MgAmenClave,0)),"")</f>
        <v/>
      </c>
      <c r="K510" s="64">
        <f>IFERROR(INDEX('1. Matriz de Activos'!$Q$6:$Q$239,MATCH($C510,MgActId,0)),"")</f>
        <v/>
      </c>
      <c r="L510" s="64">
        <f>IFERROR(INDEX('1. Matriz de Activos'!$R$6:$R$239,MATCH($C510,MgActId,0)),"")</f>
        <v/>
      </c>
      <c r="M510" s="64">
        <f>IFERROR(INDEX('1. Matriz de Activos'!$S$6:$S$239,MATCH($C510,MgActId,0)),"")</f>
        <v/>
      </c>
      <c r="N510" s="28">
        <f>IFERROR(INDEX(MgAmenDegD,MATCH(SUBSTITUTE($H510,"*","-"),MgAmenClave,0)),"No aplica")</f>
        <v/>
      </c>
      <c r="O510" s="28">
        <f>IFERROR(INDEX(MgAmenDegI,MATCH(SUBSTITUTE($H510,"*","-"),MgAmenClave,0)),"No aplica")</f>
        <v/>
      </c>
      <c r="P510" s="28">
        <f>IFERROR(INDEX(MgAmenDegC,MATCH(SUBSTITUTE($H510,"*","-"),MgAmenClave,0)),"No aplica")</f>
        <v/>
      </c>
      <c r="Q510" s="29">
        <f>IFERROR(VLOOKUP(K510,MgValor,2,0)*VLOOKUP(N510,MgDeg,2,0),0)</f>
        <v/>
      </c>
      <c r="R510" s="29">
        <f>IFERROR(VLOOKUP(L510,MgValor,2,0)*VLOOKUP(O510,MgDeg,2,0),0)</f>
        <v/>
      </c>
      <c r="S510" s="29">
        <f>IFERROR(VLOOKUP(M510,MgValor,2,0)*VLOOKUP(P510,MgDeg,2,0),0)</f>
        <v/>
      </c>
      <c r="T510" s="30">
        <f>MAX(Q510:S510)</f>
        <v/>
      </c>
      <c r="U510" s="28">
        <f>IFERROR(LOOKUP(T510,{0;0.5;1.5;3;4.5},{"Despreciable";"Bajo";"Medio";"Alto";"Muy alto"}),"")</f>
        <v/>
      </c>
      <c r="V510" s="13">
        <f>IFERROR(INDEX(MgAmenFrec,MATCH(SUBSTITUTE($H510,"*","-"),MgAmenClave,0)),"")</f>
        <v/>
      </c>
      <c r="W510" s="28">
        <f>IFERROR(LOOKUP(X510,{0;0.01;0.1;1;10;100},{"Muy baja";"Muy baja";"Baja";"Media";"Alta";"Muy alta"}),"")</f>
        <v/>
      </c>
      <c r="X510" s="31">
        <f>IFERROR(VLOOKUP(V510,MgFrec,2,0),0)</f>
        <v/>
      </c>
      <c r="Y510" s="30">
        <f>T510*X510</f>
        <v/>
      </c>
      <c r="Z510" s="28">
        <f>IFERROR(LOOKUP(Y510,{0;0.5;5;25},{"Bajo";"Medio";"Alto";"Crítico"}),"")</f>
        <v/>
      </c>
      <c r="AA510" s="64">
        <f>IF(T510&gt;=3,IF(X510&gt;=1,"Zona 1 — Crítica: impacto alto y ocurre al menos una vez al año","Zona 4 — Catastrófica poco probable: impacto alto pero excepcional"),IF(AND(T510&lt;1.5,X510&lt;1),"Zona 3 — Asumible: impacto bajo y muy poco frecuente","Zona 2 — Atención: riesgo intermedio"))</f>
        <v/>
      </c>
      <c r="AB510" s="64">
        <f>IFERROR(INDEX(MgAmenCtrl,MATCH(SUBSTITUTE($H510,"*","-"),MgAmenClave,0)),"")</f>
        <v/>
      </c>
      <c r="AC510" s="20" t="n"/>
      <c r="AD510" s="31">
        <f>IFERROR($X510*(1-IF($AC510="",$AL510,VLOOKUP($AC510,MgMad,2,0))),"")</f>
        <v/>
      </c>
      <c r="AE510" s="28">
        <f>IFERROR(LOOKUP(AD510,{0;0.01;0.1;1;10;100},{"Muy baja";"Muy baja";"Baja";"Media";"Alta";"Muy alta"}),"")</f>
        <v/>
      </c>
      <c r="AF510" s="30">
        <f>T510*AD510</f>
        <v/>
      </c>
      <c r="AG510" s="28">
        <f>IFERROR(LOOKUP(AF510,{0;0.5;5;25},{"Bajo";"Medio";"Alto";"Crítico"}),"")</f>
        <v/>
      </c>
      <c r="AH510" s="28">
        <f>IF(AG510="","",IF(OR(AG510="Crítico",AG510="Alto"),"Mitigar",IF(AG510="Medio","Mitigar","Aceptar y monitorear")))</f>
        <v/>
      </c>
      <c r="AI510" s="21" t="n"/>
      <c r="AJ510" s="21" t="n"/>
      <c r="AK510" s="20" t="n"/>
      <c r="AL510" s="77">
        <f>IFERROR(INDEX(MgAmenEfic,MATCH(SUBSTITUTE($H510,"*","-"),MgAmenClave,0)),0)</f>
        <v/>
      </c>
    </row>
    <row r="511" hidden="1" ht="105" customHeight="1" s="54">
      <c r="B511" s="59" t="inlineStr">
        <is>
          <t>R-0506</t>
        </is>
      </c>
      <c r="C511" s="59" t="inlineStr">
        <is>
          <t>TAL-12</t>
        </is>
      </c>
      <c r="D511" s="64">
        <f>IFERROR(INDEX(MgNombre,MATCH($C511,MgActId,0)),"")</f>
        <v/>
      </c>
      <c r="E511" s="64">
        <f>IFERROR(INDEX(MgProceso,MATCH($C511,MgActId,0)),"")</f>
        <v/>
      </c>
      <c r="F511" s="64">
        <f>IFERROR(INDEX(MgTipo,MATCH($C511,MgActId,0)),"")</f>
        <v/>
      </c>
      <c r="G511" s="64">
        <f>IFERROR(INDEX(MgSubtipo,MATCH($C511,MgActId,0)),"")</f>
        <v/>
      </c>
      <c r="H511" s="59" t="inlineStr">
        <is>
          <t>E.19</t>
        </is>
      </c>
      <c r="I511" s="64">
        <f>IFERROR(INDEX(MgAmenNombre,MATCH(SUBSTITUTE($H511,"*","-"),MgAmenClave,0)),"")</f>
        <v/>
      </c>
      <c r="J511" s="28">
        <f>IFERROR(INDEX(MgAmenGrupo,MATCH(SUBSTITUTE($H511,"*","-"),MgAmenClave,0)),"")</f>
        <v/>
      </c>
      <c r="K511" s="64">
        <f>IFERROR(INDEX('1. Matriz de Activos'!$Q$6:$Q$239,MATCH($C511,MgActId,0)),"")</f>
        <v/>
      </c>
      <c r="L511" s="64">
        <f>IFERROR(INDEX('1. Matriz de Activos'!$R$6:$R$239,MATCH($C511,MgActId,0)),"")</f>
        <v/>
      </c>
      <c r="M511" s="64">
        <f>IFERROR(INDEX('1. Matriz de Activos'!$S$6:$S$239,MATCH($C511,MgActId,0)),"")</f>
        <v/>
      </c>
      <c r="N511" s="28">
        <f>IFERROR(INDEX(MgAmenDegD,MATCH(SUBSTITUTE($H511,"*","-"),MgAmenClave,0)),"No aplica")</f>
        <v/>
      </c>
      <c r="O511" s="28">
        <f>IFERROR(INDEX(MgAmenDegI,MATCH(SUBSTITUTE($H511,"*","-"),MgAmenClave,0)),"No aplica")</f>
        <v/>
      </c>
      <c r="P511" s="28">
        <f>IFERROR(INDEX(MgAmenDegC,MATCH(SUBSTITUTE($H511,"*","-"),MgAmenClave,0)),"No aplica")</f>
        <v/>
      </c>
      <c r="Q511" s="29">
        <f>IFERROR(VLOOKUP(K511,MgValor,2,0)*VLOOKUP(N511,MgDeg,2,0),0)</f>
        <v/>
      </c>
      <c r="R511" s="29">
        <f>IFERROR(VLOOKUP(L511,MgValor,2,0)*VLOOKUP(O511,MgDeg,2,0),0)</f>
        <v/>
      </c>
      <c r="S511" s="29">
        <f>IFERROR(VLOOKUP(M511,MgValor,2,0)*VLOOKUP(P511,MgDeg,2,0),0)</f>
        <v/>
      </c>
      <c r="T511" s="30">
        <f>MAX(Q511:S511)</f>
        <v/>
      </c>
      <c r="U511" s="28">
        <f>IFERROR(LOOKUP(T511,{0;0.5;1.5;3;4.5},{"Despreciable";"Bajo";"Medio";"Alto";"Muy alto"}),"")</f>
        <v/>
      </c>
      <c r="V511" s="13">
        <f>IFERROR(INDEX(MgAmenFrec,MATCH(SUBSTITUTE($H511,"*","-"),MgAmenClave,0)),"")</f>
        <v/>
      </c>
      <c r="W511" s="28">
        <f>IFERROR(LOOKUP(X511,{0;0.01;0.1;1;10;100},{"Muy baja";"Muy baja";"Baja";"Media";"Alta";"Muy alta"}),"")</f>
        <v/>
      </c>
      <c r="X511" s="31">
        <f>IFERROR(VLOOKUP(V511,MgFrec,2,0),0)</f>
        <v/>
      </c>
      <c r="Y511" s="30">
        <f>T511*X511</f>
        <v/>
      </c>
      <c r="Z511" s="28">
        <f>IFERROR(LOOKUP(Y511,{0;0.5;5;25},{"Bajo";"Medio";"Alto";"Crítico"}),"")</f>
        <v/>
      </c>
      <c r="AA511" s="64">
        <f>IF(T511&gt;=3,IF(X511&gt;=1,"Zona 1 — Crítica: impacto alto y ocurre al menos una vez al año","Zona 4 — Catastrófica poco probable: impacto alto pero excepcional"),IF(AND(T511&lt;1.5,X511&lt;1),"Zona 3 — Asumible: impacto bajo y muy poco frecuente","Zona 2 — Atención: riesgo intermedio"))</f>
        <v/>
      </c>
      <c r="AB511" s="64">
        <f>IFERROR(INDEX(MgAmenCtrl,MATCH(SUBSTITUTE($H511,"*","-"),MgAmenClave,0)),"")</f>
        <v/>
      </c>
      <c r="AC511" s="20" t="n"/>
      <c r="AD511" s="31">
        <f>IFERROR($X511*(1-IF($AC511="",$AL511,VLOOKUP($AC511,MgMad,2,0))),"")</f>
        <v/>
      </c>
      <c r="AE511" s="28">
        <f>IFERROR(LOOKUP(AD511,{0;0.01;0.1;1;10;100},{"Muy baja";"Muy baja";"Baja";"Media";"Alta";"Muy alta"}),"")</f>
        <v/>
      </c>
      <c r="AF511" s="30">
        <f>T511*AD511</f>
        <v/>
      </c>
      <c r="AG511" s="28">
        <f>IFERROR(LOOKUP(AF511,{0;0.5;5;25},{"Bajo";"Medio";"Alto";"Crítico"}),"")</f>
        <v/>
      </c>
      <c r="AH511" s="28">
        <f>IF(AG511="","",IF(OR(AG511="Crítico",AG511="Alto"),"Mitigar",IF(AG511="Medio","Mitigar","Aceptar y monitorear")))</f>
        <v/>
      </c>
      <c r="AI511" s="21" t="n"/>
      <c r="AJ511" s="21" t="n"/>
      <c r="AK511" s="20" t="n"/>
      <c r="AL511" s="77">
        <f>IFERROR(INDEX(MgAmenEfic,MATCH(SUBSTITUTE($H511,"*","-"),MgAmenClave,0)),0)</f>
        <v/>
      </c>
    </row>
    <row r="512" hidden="1" ht="60" customHeight="1" s="54">
      <c r="B512" s="59" t="inlineStr">
        <is>
          <t>R-0507</t>
        </is>
      </c>
      <c r="C512" s="59" t="inlineStr">
        <is>
          <t>TAL-12</t>
        </is>
      </c>
      <c r="D512" s="64">
        <f>IFERROR(INDEX(MgNombre,MATCH($C512,MgActId,0)),"")</f>
        <v/>
      </c>
      <c r="E512" s="64">
        <f>IFERROR(INDEX(MgProceso,MATCH($C512,MgActId,0)),"")</f>
        <v/>
      </c>
      <c r="F512" s="64">
        <f>IFERROR(INDEX(MgTipo,MATCH($C512,MgActId,0)),"")</f>
        <v/>
      </c>
      <c r="G512" s="64">
        <f>IFERROR(INDEX(MgSubtipo,MATCH($C512,MgActId,0)),"")</f>
        <v/>
      </c>
      <c r="H512" s="59" t="inlineStr">
        <is>
          <t>A.3</t>
        </is>
      </c>
      <c r="I512" s="64">
        <f>IFERROR(INDEX(MgAmenNombre,MATCH(SUBSTITUTE($H512,"*","-"),MgAmenClave,0)),"")</f>
        <v/>
      </c>
      <c r="J512" s="28">
        <f>IFERROR(INDEX(MgAmenGrupo,MATCH(SUBSTITUTE($H512,"*","-"),MgAmenClave,0)),"")</f>
        <v/>
      </c>
      <c r="K512" s="64">
        <f>IFERROR(INDEX('1. Matriz de Activos'!$Q$6:$Q$239,MATCH($C512,MgActId,0)),"")</f>
        <v/>
      </c>
      <c r="L512" s="64">
        <f>IFERROR(INDEX('1. Matriz de Activos'!$R$6:$R$239,MATCH($C512,MgActId,0)),"")</f>
        <v/>
      </c>
      <c r="M512" s="64">
        <f>IFERROR(INDEX('1. Matriz de Activos'!$S$6:$S$239,MATCH($C512,MgActId,0)),"")</f>
        <v/>
      </c>
      <c r="N512" s="28">
        <f>IFERROR(INDEX(MgAmenDegD,MATCH(SUBSTITUTE($H512,"*","-"),MgAmenClave,0)),"No aplica")</f>
        <v/>
      </c>
      <c r="O512" s="28">
        <f>IFERROR(INDEX(MgAmenDegI,MATCH(SUBSTITUTE($H512,"*","-"),MgAmenClave,0)),"No aplica")</f>
        <v/>
      </c>
      <c r="P512" s="28">
        <f>IFERROR(INDEX(MgAmenDegC,MATCH(SUBSTITUTE($H512,"*","-"),MgAmenClave,0)),"No aplica")</f>
        <v/>
      </c>
      <c r="Q512" s="29">
        <f>IFERROR(VLOOKUP(K512,MgValor,2,0)*VLOOKUP(N512,MgDeg,2,0),0)</f>
        <v/>
      </c>
      <c r="R512" s="29">
        <f>IFERROR(VLOOKUP(L512,MgValor,2,0)*VLOOKUP(O512,MgDeg,2,0),0)</f>
        <v/>
      </c>
      <c r="S512" s="29">
        <f>IFERROR(VLOOKUP(M512,MgValor,2,0)*VLOOKUP(P512,MgDeg,2,0),0)</f>
        <v/>
      </c>
      <c r="T512" s="30">
        <f>MAX(Q512:S512)</f>
        <v/>
      </c>
      <c r="U512" s="28">
        <f>IFERROR(LOOKUP(T512,{0;0.5;1.5;3;4.5},{"Despreciable";"Bajo";"Medio";"Alto";"Muy alto"}),"")</f>
        <v/>
      </c>
      <c r="V512" s="13">
        <f>IFERROR(INDEX(MgAmenFrec,MATCH(SUBSTITUTE($H512,"*","-"),MgAmenClave,0)),"")</f>
        <v/>
      </c>
      <c r="W512" s="28">
        <f>IFERROR(LOOKUP(X512,{0;0.01;0.1;1;10;100},{"Muy baja";"Muy baja";"Baja";"Media";"Alta";"Muy alta"}),"")</f>
        <v/>
      </c>
      <c r="X512" s="31">
        <f>IFERROR(VLOOKUP(V512,MgFrec,2,0),0)</f>
        <v/>
      </c>
      <c r="Y512" s="30">
        <f>T512*X512</f>
        <v/>
      </c>
      <c r="Z512" s="28">
        <f>IFERROR(LOOKUP(Y512,{0;0.5;5;25},{"Bajo";"Medio";"Alto";"Crítico"}),"")</f>
        <v/>
      </c>
      <c r="AA512" s="64">
        <f>IF(T512&gt;=3,IF(X512&gt;=1,"Zona 1 — Crítica: impacto alto y ocurre al menos una vez al año","Zona 4 — Catastrófica poco probable: impacto alto pero excepcional"),IF(AND(T512&lt;1.5,X512&lt;1),"Zona 3 — Asumible: impacto bajo y muy poco frecuente","Zona 2 — Atención: riesgo intermedio"))</f>
        <v/>
      </c>
      <c r="AB512" s="64">
        <f>IFERROR(INDEX(MgAmenCtrl,MATCH(SUBSTITUTE($H512,"*","-"),MgAmenClave,0)),"")</f>
        <v/>
      </c>
      <c r="AC512" s="20" t="n"/>
      <c r="AD512" s="31">
        <f>IFERROR($X512*(1-IF($AC512="",$AL512,VLOOKUP($AC512,MgMad,2,0))),"")</f>
        <v/>
      </c>
      <c r="AE512" s="28">
        <f>IFERROR(LOOKUP(AD512,{0;0.01;0.1;1;10;100},{"Muy baja";"Muy baja";"Baja";"Media";"Alta";"Muy alta"}),"")</f>
        <v/>
      </c>
      <c r="AF512" s="30">
        <f>T512*AD512</f>
        <v/>
      </c>
      <c r="AG512" s="28">
        <f>IFERROR(LOOKUP(AF512,{0;0.5;5;25},{"Bajo";"Medio";"Alto";"Crítico"}),"")</f>
        <v/>
      </c>
      <c r="AH512" s="28">
        <f>IF(AG512="","",IF(OR(AG512="Crítico",AG512="Alto"),"Mitigar",IF(AG512="Medio","Mitigar","Aceptar y monitorear")))</f>
        <v/>
      </c>
      <c r="AI512" s="21" t="n"/>
      <c r="AJ512" s="21" t="n"/>
      <c r="AK512" s="20" t="n"/>
      <c r="AL512" s="77">
        <f>IFERROR(INDEX(MgAmenEfic,MATCH(SUBSTITUTE($H512,"*","-"),MgAmenClave,0)),0)</f>
        <v/>
      </c>
    </row>
    <row r="513" hidden="1" ht="60" customHeight="1" s="54">
      <c r="B513" s="59" t="inlineStr">
        <is>
          <t>R-0508</t>
        </is>
      </c>
      <c r="C513" s="59" t="inlineStr">
        <is>
          <t>TAL-12</t>
        </is>
      </c>
      <c r="D513" s="64">
        <f>IFERROR(INDEX(MgNombre,MATCH($C513,MgActId,0)),"")</f>
        <v/>
      </c>
      <c r="E513" s="64">
        <f>IFERROR(INDEX(MgProceso,MATCH($C513,MgActId,0)),"")</f>
        <v/>
      </c>
      <c r="F513" s="64">
        <f>IFERROR(INDEX(MgTipo,MATCH($C513,MgActId,0)),"")</f>
        <v/>
      </c>
      <c r="G513" s="64">
        <f>IFERROR(INDEX(MgSubtipo,MATCH($C513,MgActId,0)),"")</f>
        <v/>
      </c>
      <c r="H513" s="59" t="inlineStr">
        <is>
          <t>A.4</t>
        </is>
      </c>
      <c r="I513" s="64">
        <f>IFERROR(INDEX(MgAmenNombre,MATCH(SUBSTITUTE($H513,"*","-"),MgAmenClave,0)),"")</f>
        <v/>
      </c>
      <c r="J513" s="28">
        <f>IFERROR(INDEX(MgAmenGrupo,MATCH(SUBSTITUTE($H513,"*","-"),MgAmenClave,0)),"")</f>
        <v/>
      </c>
      <c r="K513" s="64">
        <f>IFERROR(INDEX('1. Matriz de Activos'!$Q$6:$Q$239,MATCH($C513,MgActId,0)),"")</f>
        <v/>
      </c>
      <c r="L513" s="64">
        <f>IFERROR(INDEX('1. Matriz de Activos'!$R$6:$R$239,MATCH($C513,MgActId,0)),"")</f>
        <v/>
      </c>
      <c r="M513" s="64">
        <f>IFERROR(INDEX('1. Matriz de Activos'!$S$6:$S$239,MATCH($C513,MgActId,0)),"")</f>
        <v/>
      </c>
      <c r="N513" s="28">
        <f>IFERROR(INDEX(MgAmenDegD,MATCH(SUBSTITUTE($H513,"*","-"),MgAmenClave,0)),"No aplica")</f>
        <v/>
      </c>
      <c r="O513" s="28">
        <f>IFERROR(INDEX(MgAmenDegI,MATCH(SUBSTITUTE($H513,"*","-"),MgAmenClave,0)),"No aplica")</f>
        <v/>
      </c>
      <c r="P513" s="28">
        <f>IFERROR(INDEX(MgAmenDegC,MATCH(SUBSTITUTE($H513,"*","-"),MgAmenClave,0)),"No aplica")</f>
        <v/>
      </c>
      <c r="Q513" s="29">
        <f>IFERROR(VLOOKUP(K513,MgValor,2,0)*VLOOKUP(N513,MgDeg,2,0),0)</f>
        <v/>
      </c>
      <c r="R513" s="29">
        <f>IFERROR(VLOOKUP(L513,MgValor,2,0)*VLOOKUP(O513,MgDeg,2,0),0)</f>
        <v/>
      </c>
      <c r="S513" s="29">
        <f>IFERROR(VLOOKUP(M513,MgValor,2,0)*VLOOKUP(P513,MgDeg,2,0),0)</f>
        <v/>
      </c>
      <c r="T513" s="30">
        <f>MAX(Q513:S513)</f>
        <v/>
      </c>
      <c r="U513" s="28">
        <f>IFERROR(LOOKUP(T513,{0;0.5;1.5;3;4.5},{"Despreciable";"Bajo";"Medio";"Alto";"Muy alto"}),"")</f>
        <v/>
      </c>
      <c r="V513" s="13">
        <f>IFERROR(INDEX(MgAmenFrec,MATCH(SUBSTITUTE($H513,"*","-"),MgAmenClave,0)),"")</f>
        <v/>
      </c>
      <c r="W513" s="28">
        <f>IFERROR(LOOKUP(X513,{0;0.01;0.1;1;10;100},{"Muy baja";"Muy baja";"Baja";"Media";"Alta";"Muy alta"}),"")</f>
        <v/>
      </c>
      <c r="X513" s="31">
        <f>IFERROR(VLOOKUP(V513,MgFrec,2,0),0)</f>
        <v/>
      </c>
      <c r="Y513" s="30">
        <f>T513*X513</f>
        <v/>
      </c>
      <c r="Z513" s="28">
        <f>IFERROR(LOOKUP(Y513,{0;0.5;5;25},{"Bajo";"Medio";"Alto";"Crítico"}),"")</f>
        <v/>
      </c>
      <c r="AA513" s="64">
        <f>IF(T513&gt;=3,IF(X513&gt;=1,"Zona 1 — Crítica: impacto alto y ocurre al menos una vez al año","Zona 4 — Catastrófica poco probable: impacto alto pero excepcional"),IF(AND(T513&lt;1.5,X513&lt;1),"Zona 3 — Asumible: impacto bajo y muy poco frecuente","Zona 2 — Atención: riesgo intermedio"))</f>
        <v/>
      </c>
      <c r="AB513" s="64">
        <f>IFERROR(INDEX(MgAmenCtrl,MATCH(SUBSTITUTE($H513,"*","-"),MgAmenClave,0)),"")</f>
        <v/>
      </c>
      <c r="AC513" s="20" t="n"/>
      <c r="AD513" s="31">
        <f>IFERROR($X513*(1-IF($AC513="",$AL513,VLOOKUP($AC513,MgMad,2,0))),"")</f>
        <v/>
      </c>
      <c r="AE513" s="28">
        <f>IFERROR(LOOKUP(AD513,{0;0.01;0.1;1;10;100},{"Muy baja";"Muy baja";"Baja";"Media";"Alta";"Muy alta"}),"")</f>
        <v/>
      </c>
      <c r="AF513" s="30">
        <f>T513*AD513</f>
        <v/>
      </c>
      <c r="AG513" s="28">
        <f>IFERROR(LOOKUP(AF513,{0;0.5;5;25},{"Bajo";"Medio";"Alto";"Crítico"}),"")</f>
        <v/>
      </c>
      <c r="AH513" s="28">
        <f>IF(AG513="","",IF(OR(AG513="Crítico",AG513="Alto"),"Mitigar",IF(AG513="Medio","Mitigar","Aceptar y monitorear")))</f>
        <v/>
      </c>
      <c r="AI513" s="21" t="n"/>
      <c r="AJ513" s="21" t="n"/>
      <c r="AK513" s="20" t="n"/>
      <c r="AL513" s="77">
        <f>IFERROR(INDEX(MgAmenEfic,MATCH(SUBSTITUTE($H513,"*","-"),MgAmenClave,0)),0)</f>
        <v/>
      </c>
    </row>
    <row r="514" hidden="1" ht="75" customHeight="1" s="54">
      <c r="B514" s="59" t="inlineStr">
        <is>
          <t>R-0509</t>
        </is>
      </c>
      <c r="C514" s="59" t="inlineStr">
        <is>
          <t>TAL-12</t>
        </is>
      </c>
      <c r="D514" s="64">
        <f>IFERROR(INDEX(MgNombre,MATCH($C514,MgActId,0)),"")</f>
        <v/>
      </c>
      <c r="E514" s="64">
        <f>IFERROR(INDEX(MgProceso,MATCH($C514,MgActId,0)),"")</f>
        <v/>
      </c>
      <c r="F514" s="64">
        <f>IFERROR(INDEX(MgTipo,MATCH($C514,MgActId,0)),"")</f>
        <v/>
      </c>
      <c r="G514" s="64">
        <f>IFERROR(INDEX(MgSubtipo,MATCH($C514,MgActId,0)),"")</f>
        <v/>
      </c>
      <c r="H514" s="59" t="inlineStr">
        <is>
          <t>A.5</t>
        </is>
      </c>
      <c r="I514" s="64">
        <f>IFERROR(INDEX(MgAmenNombre,MATCH(SUBSTITUTE($H514,"*","-"),MgAmenClave,0)),"")</f>
        <v/>
      </c>
      <c r="J514" s="28">
        <f>IFERROR(INDEX(MgAmenGrupo,MATCH(SUBSTITUTE($H514,"*","-"),MgAmenClave,0)),"")</f>
        <v/>
      </c>
      <c r="K514" s="64">
        <f>IFERROR(INDEX('1. Matriz de Activos'!$Q$6:$Q$239,MATCH($C514,MgActId,0)),"")</f>
        <v/>
      </c>
      <c r="L514" s="64">
        <f>IFERROR(INDEX('1. Matriz de Activos'!$R$6:$R$239,MATCH($C514,MgActId,0)),"")</f>
        <v/>
      </c>
      <c r="M514" s="64">
        <f>IFERROR(INDEX('1. Matriz de Activos'!$S$6:$S$239,MATCH($C514,MgActId,0)),"")</f>
        <v/>
      </c>
      <c r="N514" s="28">
        <f>IFERROR(INDEX(MgAmenDegD,MATCH(SUBSTITUTE($H514,"*","-"),MgAmenClave,0)),"No aplica")</f>
        <v/>
      </c>
      <c r="O514" s="28">
        <f>IFERROR(INDEX(MgAmenDegI,MATCH(SUBSTITUTE($H514,"*","-"),MgAmenClave,0)),"No aplica")</f>
        <v/>
      </c>
      <c r="P514" s="28">
        <f>IFERROR(INDEX(MgAmenDegC,MATCH(SUBSTITUTE($H514,"*","-"),MgAmenClave,0)),"No aplica")</f>
        <v/>
      </c>
      <c r="Q514" s="29">
        <f>IFERROR(VLOOKUP(K514,MgValor,2,0)*VLOOKUP(N514,MgDeg,2,0),0)</f>
        <v/>
      </c>
      <c r="R514" s="29">
        <f>IFERROR(VLOOKUP(L514,MgValor,2,0)*VLOOKUP(O514,MgDeg,2,0),0)</f>
        <v/>
      </c>
      <c r="S514" s="29">
        <f>IFERROR(VLOOKUP(M514,MgValor,2,0)*VLOOKUP(P514,MgDeg,2,0),0)</f>
        <v/>
      </c>
      <c r="T514" s="30">
        <f>MAX(Q514:S514)</f>
        <v/>
      </c>
      <c r="U514" s="28">
        <f>IFERROR(LOOKUP(T514,{0;0.5;1.5;3;4.5},{"Despreciable";"Bajo";"Medio";"Alto";"Muy alto"}),"")</f>
        <v/>
      </c>
      <c r="V514" s="13">
        <f>IFERROR(INDEX(MgAmenFrec,MATCH(SUBSTITUTE($H514,"*","-"),MgAmenClave,0)),"")</f>
        <v/>
      </c>
      <c r="W514" s="28">
        <f>IFERROR(LOOKUP(X514,{0;0.01;0.1;1;10;100},{"Muy baja";"Muy baja";"Baja";"Media";"Alta";"Muy alta"}),"")</f>
        <v/>
      </c>
      <c r="X514" s="31">
        <f>IFERROR(VLOOKUP(V514,MgFrec,2,0),0)</f>
        <v/>
      </c>
      <c r="Y514" s="30">
        <f>T514*X514</f>
        <v/>
      </c>
      <c r="Z514" s="28">
        <f>IFERROR(LOOKUP(Y514,{0;0.5;5;25},{"Bajo";"Medio";"Alto";"Crítico"}),"")</f>
        <v/>
      </c>
      <c r="AA514" s="64">
        <f>IF(T514&gt;=3,IF(X514&gt;=1,"Zona 1 — Crítica: impacto alto y ocurre al menos una vez al año","Zona 4 — Catastrófica poco probable: impacto alto pero excepcional"),IF(AND(T514&lt;1.5,X514&lt;1),"Zona 3 — Asumible: impacto bajo y muy poco frecuente","Zona 2 — Atención: riesgo intermedio"))</f>
        <v/>
      </c>
      <c r="AB514" s="64">
        <f>IFERROR(INDEX(MgAmenCtrl,MATCH(SUBSTITUTE($H514,"*","-"),MgAmenClave,0)),"")</f>
        <v/>
      </c>
      <c r="AC514" s="20" t="n"/>
      <c r="AD514" s="31">
        <f>IFERROR($X514*(1-IF($AC514="",$AL514,VLOOKUP($AC514,MgMad,2,0))),"")</f>
        <v/>
      </c>
      <c r="AE514" s="28">
        <f>IFERROR(LOOKUP(AD514,{0;0.01;0.1;1;10;100},{"Muy baja";"Muy baja";"Baja";"Media";"Alta";"Muy alta"}),"")</f>
        <v/>
      </c>
      <c r="AF514" s="30">
        <f>T514*AD514</f>
        <v/>
      </c>
      <c r="AG514" s="28">
        <f>IFERROR(LOOKUP(AF514,{0;0.5;5;25},{"Bajo";"Medio";"Alto";"Crítico"}),"")</f>
        <v/>
      </c>
      <c r="AH514" s="28">
        <f>IF(AG514="","",IF(OR(AG514="Crítico",AG514="Alto"),"Mitigar",IF(AG514="Medio","Mitigar","Aceptar y monitorear")))</f>
        <v/>
      </c>
      <c r="AI514" s="21" t="n"/>
      <c r="AJ514" s="21" t="n"/>
      <c r="AK514" s="20" t="n"/>
      <c r="AL514" s="77">
        <f>IFERROR(INDEX(MgAmenEfic,MATCH(SUBSTITUTE($H514,"*","-"),MgAmenClave,0)),0)</f>
        <v/>
      </c>
    </row>
    <row r="515" hidden="1" ht="105" customHeight="1" s="54">
      <c r="B515" s="59" t="inlineStr">
        <is>
          <t>R-0510</t>
        </is>
      </c>
      <c r="C515" s="59" t="inlineStr">
        <is>
          <t>TAL-12</t>
        </is>
      </c>
      <c r="D515" s="64">
        <f>IFERROR(INDEX(MgNombre,MATCH($C515,MgActId,0)),"")</f>
        <v/>
      </c>
      <c r="E515" s="64">
        <f>IFERROR(INDEX(MgProceso,MATCH($C515,MgActId,0)),"")</f>
        <v/>
      </c>
      <c r="F515" s="64">
        <f>IFERROR(INDEX(MgTipo,MATCH($C515,MgActId,0)),"")</f>
        <v/>
      </c>
      <c r="G515" s="64">
        <f>IFERROR(INDEX(MgSubtipo,MATCH($C515,MgActId,0)),"")</f>
        <v/>
      </c>
      <c r="H515" s="59" t="inlineStr">
        <is>
          <t>A.6</t>
        </is>
      </c>
      <c r="I515" s="64">
        <f>IFERROR(INDEX(MgAmenNombre,MATCH(SUBSTITUTE($H515,"*","-"),MgAmenClave,0)),"")</f>
        <v/>
      </c>
      <c r="J515" s="28">
        <f>IFERROR(INDEX(MgAmenGrupo,MATCH(SUBSTITUTE($H515,"*","-"),MgAmenClave,0)),"")</f>
        <v/>
      </c>
      <c r="K515" s="64">
        <f>IFERROR(INDEX('1. Matriz de Activos'!$Q$6:$Q$239,MATCH($C515,MgActId,0)),"")</f>
        <v/>
      </c>
      <c r="L515" s="64">
        <f>IFERROR(INDEX('1. Matriz de Activos'!$R$6:$R$239,MATCH($C515,MgActId,0)),"")</f>
        <v/>
      </c>
      <c r="M515" s="64">
        <f>IFERROR(INDEX('1. Matriz de Activos'!$S$6:$S$239,MATCH($C515,MgActId,0)),"")</f>
        <v/>
      </c>
      <c r="N515" s="28">
        <f>IFERROR(INDEX(MgAmenDegD,MATCH(SUBSTITUTE($H515,"*","-"),MgAmenClave,0)),"No aplica")</f>
        <v/>
      </c>
      <c r="O515" s="28">
        <f>IFERROR(INDEX(MgAmenDegI,MATCH(SUBSTITUTE($H515,"*","-"),MgAmenClave,0)),"No aplica")</f>
        <v/>
      </c>
      <c r="P515" s="28">
        <f>IFERROR(INDEX(MgAmenDegC,MATCH(SUBSTITUTE($H515,"*","-"),MgAmenClave,0)),"No aplica")</f>
        <v/>
      </c>
      <c r="Q515" s="29">
        <f>IFERROR(VLOOKUP(K515,MgValor,2,0)*VLOOKUP(N515,MgDeg,2,0),0)</f>
        <v/>
      </c>
      <c r="R515" s="29">
        <f>IFERROR(VLOOKUP(L515,MgValor,2,0)*VLOOKUP(O515,MgDeg,2,0),0)</f>
        <v/>
      </c>
      <c r="S515" s="29">
        <f>IFERROR(VLOOKUP(M515,MgValor,2,0)*VLOOKUP(P515,MgDeg,2,0),0)</f>
        <v/>
      </c>
      <c r="T515" s="30">
        <f>MAX(Q515:S515)</f>
        <v/>
      </c>
      <c r="U515" s="28">
        <f>IFERROR(LOOKUP(T515,{0;0.5;1.5;3;4.5},{"Despreciable";"Bajo";"Medio";"Alto";"Muy alto"}),"")</f>
        <v/>
      </c>
      <c r="V515" s="13">
        <f>IFERROR(INDEX(MgAmenFrec,MATCH(SUBSTITUTE($H515,"*","-"),MgAmenClave,0)),"")</f>
        <v/>
      </c>
      <c r="W515" s="28">
        <f>IFERROR(LOOKUP(X515,{0;0.01;0.1;1;10;100},{"Muy baja";"Muy baja";"Baja";"Media";"Alta";"Muy alta"}),"")</f>
        <v/>
      </c>
      <c r="X515" s="31">
        <f>IFERROR(VLOOKUP(V515,MgFrec,2,0),0)</f>
        <v/>
      </c>
      <c r="Y515" s="30">
        <f>T515*X515</f>
        <v/>
      </c>
      <c r="Z515" s="28">
        <f>IFERROR(LOOKUP(Y515,{0;0.5;5;25},{"Bajo";"Medio";"Alto";"Crítico"}),"")</f>
        <v/>
      </c>
      <c r="AA515" s="64">
        <f>IF(T515&gt;=3,IF(X515&gt;=1,"Zona 1 — Crítica: impacto alto y ocurre al menos una vez al año","Zona 4 — Catastrófica poco probable: impacto alto pero excepcional"),IF(AND(T515&lt;1.5,X515&lt;1),"Zona 3 — Asumible: impacto bajo y muy poco frecuente","Zona 2 — Atención: riesgo intermedio"))</f>
        <v/>
      </c>
      <c r="AB515" s="64">
        <f>IFERROR(INDEX(MgAmenCtrl,MATCH(SUBSTITUTE($H515,"*","-"),MgAmenClave,0)),"")</f>
        <v/>
      </c>
      <c r="AC515" s="20" t="n"/>
      <c r="AD515" s="31">
        <f>IFERROR($X515*(1-IF($AC515="",$AL515,VLOOKUP($AC515,MgMad,2,0))),"")</f>
        <v/>
      </c>
      <c r="AE515" s="28">
        <f>IFERROR(LOOKUP(AD515,{0;0.01;0.1;1;10;100},{"Muy baja";"Muy baja";"Baja";"Media";"Alta";"Muy alta"}),"")</f>
        <v/>
      </c>
      <c r="AF515" s="30">
        <f>T515*AD515</f>
        <v/>
      </c>
      <c r="AG515" s="28">
        <f>IFERROR(LOOKUP(AF515,{0;0.5;5;25},{"Bajo";"Medio";"Alto";"Crítico"}),"")</f>
        <v/>
      </c>
      <c r="AH515" s="28">
        <f>IF(AG515="","",IF(OR(AG515="Crítico",AG515="Alto"),"Mitigar",IF(AG515="Medio","Mitigar","Aceptar y monitorear")))</f>
        <v/>
      </c>
      <c r="AI515" s="21" t="n"/>
      <c r="AJ515" s="21" t="n"/>
      <c r="AK515" s="20" t="n"/>
      <c r="AL515" s="77">
        <f>IFERROR(INDEX(MgAmenEfic,MATCH(SUBSTITUTE($H515,"*","-"),MgAmenClave,0)),0)</f>
        <v/>
      </c>
    </row>
    <row r="516" hidden="1" ht="120" customHeight="1" s="54">
      <c r="B516" s="59" t="inlineStr">
        <is>
          <t>R-0511</t>
        </is>
      </c>
      <c r="C516" s="59" t="inlineStr">
        <is>
          <t>TAL-12</t>
        </is>
      </c>
      <c r="D516" s="64">
        <f>IFERROR(INDEX(MgNombre,MATCH($C516,MgActId,0)),"")</f>
        <v/>
      </c>
      <c r="E516" s="64">
        <f>IFERROR(INDEX(MgProceso,MATCH($C516,MgActId,0)),"")</f>
        <v/>
      </c>
      <c r="F516" s="64">
        <f>IFERROR(INDEX(MgTipo,MATCH($C516,MgActId,0)),"")</f>
        <v/>
      </c>
      <c r="G516" s="64">
        <f>IFERROR(INDEX(MgSubtipo,MATCH($C516,MgActId,0)),"")</f>
        <v/>
      </c>
      <c r="H516" s="59" t="inlineStr">
        <is>
          <t>A.11</t>
        </is>
      </c>
      <c r="I516" s="64">
        <f>IFERROR(INDEX(MgAmenNombre,MATCH(SUBSTITUTE($H516,"*","-"),MgAmenClave,0)),"")</f>
        <v/>
      </c>
      <c r="J516" s="28">
        <f>IFERROR(INDEX(MgAmenGrupo,MATCH(SUBSTITUTE($H516,"*","-"),MgAmenClave,0)),"")</f>
        <v/>
      </c>
      <c r="K516" s="64">
        <f>IFERROR(INDEX('1. Matriz de Activos'!$Q$6:$Q$239,MATCH($C516,MgActId,0)),"")</f>
        <v/>
      </c>
      <c r="L516" s="64">
        <f>IFERROR(INDEX('1. Matriz de Activos'!$R$6:$R$239,MATCH($C516,MgActId,0)),"")</f>
        <v/>
      </c>
      <c r="M516" s="64">
        <f>IFERROR(INDEX('1. Matriz de Activos'!$S$6:$S$239,MATCH($C516,MgActId,0)),"")</f>
        <v/>
      </c>
      <c r="N516" s="28">
        <f>IFERROR(INDEX(MgAmenDegD,MATCH(SUBSTITUTE($H516,"*","-"),MgAmenClave,0)),"No aplica")</f>
        <v/>
      </c>
      <c r="O516" s="28">
        <f>IFERROR(INDEX(MgAmenDegI,MATCH(SUBSTITUTE($H516,"*","-"),MgAmenClave,0)),"No aplica")</f>
        <v/>
      </c>
      <c r="P516" s="28">
        <f>IFERROR(INDEX(MgAmenDegC,MATCH(SUBSTITUTE($H516,"*","-"),MgAmenClave,0)),"No aplica")</f>
        <v/>
      </c>
      <c r="Q516" s="29">
        <f>IFERROR(VLOOKUP(K516,MgValor,2,0)*VLOOKUP(N516,MgDeg,2,0),0)</f>
        <v/>
      </c>
      <c r="R516" s="29">
        <f>IFERROR(VLOOKUP(L516,MgValor,2,0)*VLOOKUP(O516,MgDeg,2,0),0)</f>
        <v/>
      </c>
      <c r="S516" s="29">
        <f>IFERROR(VLOOKUP(M516,MgValor,2,0)*VLOOKUP(P516,MgDeg,2,0),0)</f>
        <v/>
      </c>
      <c r="T516" s="30">
        <f>MAX(Q516:S516)</f>
        <v/>
      </c>
      <c r="U516" s="28">
        <f>IFERROR(LOOKUP(T516,{0;0.5;1.5;3;4.5},{"Despreciable";"Bajo";"Medio";"Alto";"Muy alto"}),"")</f>
        <v/>
      </c>
      <c r="V516" s="13">
        <f>IFERROR(INDEX(MgAmenFrec,MATCH(SUBSTITUTE($H516,"*","-"),MgAmenClave,0)),"")</f>
        <v/>
      </c>
      <c r="W516" s="28">
        <f>IFERROR(LOOKUP(X516,{0;0.01;0.1;1;10;100},{"Muy baja";"Muy baja";"Baja";"Media";"Alta";"Muy alta"}),"")</f>
        <v/>
      </c>
      <c r="X516" s="31">
        <f>IFERROR(VLOOKUP(V516,MgFrec,2,0),0)</f>
        <v/>
      </c>
      <c r="Y516" s="30">
        <f>T516*X516</f>
        <v/>
      </c>
      <c r="Z516" s="28">
        <f>IFERROR(LOOKUP(Y516,{0;0.5;5;25},{"Bajo";"Medio";"Alto";"Crítico"}),"")</f>
        <v/>
      </c>
      <c r="AA516" s="64">
        <f>IF(T516&gt;=3,IF(X516&gt;=1,"Zona 1 — Crítica: impacto alto y ocurre al menos una vez al año","Zona 4 — Catastrófica poco probable: impacto alto pero excepcional"),IF(AND(T516&lt;1.5,X516&lt;1),"Zona 3 — Asumible: impacto bajo y muy poco frecuente","Zona 2 — Atención: riesgo intermedio"))</f>
        <v/>
      </c>
      <c r="AB516" s="64">
        <f>IFERROR(INDEX(MgAmenCtrl,MATCH(SUBSTITUTE($H516,"*","-"),MgAmenClave,0)),"")</f>
        <v/>
      </c>
      <c r="AC516" s="20" t="n"/>
      <c r="AD516" s="31">
        <f>IFERROR($X516*(1-IF($AC516="",$AL516,VLOOKUP($AC516,MgMad,2,0))),"")</f>
        <v/>
      </c>
      <c r="AE516" s="28">
        <f>IFERROR(LOOKUP(AD516,{0;0.01;0.1;1;10;100},{"Muy baja";"Muy baja";"Baja";"Media";"Alta";"Muy alta"}),"")</f>
        <v/>
      </c>
      <c r="AF516" s="30">
        <f>T516*AD516</f>
        <v/>
      </c>
      <c r="AG516" s="28">
        <f>IFERROR(LOOKUP(AF516,{0;0.5;5;25},{"Bajo";"Medio";"Alto";"Crítico"}),"")</f>
        <v/>
      </c>
      <c r="AH516" s="28">
        <f>IF(AG516="","",IF(OR(AG516="Crítico",AG516="Alto"),"Mitigar",IF(AG516="Medio","Mitigar","Aceptar y monitorear")))</f>
        <v/>
      </c>
      <c r="AI516" s="21" t="n"/>
      <c r="AJ516" s="21" t="n"/>
      <c r="AK516" s="20" t="n"/>
      <c r="AL516" s="77">
        <f>IFERROR(INDEX(MgAmenEfic,MATCH(SUBSTITUTE($H516,"*","-"),MgAmenClave,0)),0)</f>
        <v/>
      </c>
    </row>
    <row r="517" hidden="1" ht="90" customHeight="1" s="54">
      <c r="B517" s="59" t="inlineStr">
        <is>
          <t>R-0512</t>
        </is>
      </c>
      <c r="C517" s="59" t="inlineStr">
        <is>
          <t>TAL-12</t>
        </is>
      </c>
      <c r="D517" s="64">
        <f>IFERROR(INDEX(MgNombre,MATCH($C517,MgActId,0)),"")</f>
        <v/>
      </c>
      <c r="E517" s="64">
        <f>IFERROR(INDEX(MgProceso,MATCH($C517,MgActId,0)),"")</f>
        <v/>
      </c>
      <c r="F517" s="64">
        <f>IFERROR(INDEX(MgTipo,MATCH($C517,MgActId,0)),"")</f>
        <v/>
      </c>
      <c r="G517" s="64">
        <f>IFERROR(INDEX(MgSubtipo,MATCH($C517,MgActId,0)),"")</f>
        <v/>
      </c>
      <c r="H517" s="59" t="inlineStr">
        <is>
          <t>A.13</t>
        </is>
      </c>
      <c r="I517" s="64">
        <f>IFERROR(INDEX(MgAmenNombre,MATCH(SUBSTITUTE($H517,"*","-"),MgAmenClave,0)),"")</f>
        <v/>
      </c>
      <c r="J517" s="28">
        <f>IFERROR(INDEX(MgAmenGrupo,MATCH(SUBSTITUTE($H517,"*","-"),MgAmenClave,0)),"")</f>
        <v/>
      </c>
      <c r="K517" s="64">
        <f>IFERROR(INDEX('1. Matriz de Activos'!$Q$6:$Q$239,MATCH($C517,MgActId,0)),"")</f>
        <v/>
      </c>
      <c r="L517" s="64">
        <f>IFERROR(INDEX('1. Matriz de Activos'!$R$6:$R$239,MATCH($C517,MgActId,0)),"")</f>
        <v/>
      </c>
      <c r="M517" s="64">
        <f>IFERROR(INDEX('1. Matriz de Activos'!$S$6:$S$239,MATCH($C517,MgActId,0)),"")</f>
        <v/>
      </c>
      <c r="N517" s="28">
        <f>IFERROR(INDEX(MgAmenDegD,MATCH(SUBSTITUTE($H517,"*","-"),MgAmenClave,0)),"No aplica")</f>
        <v/>
      </c>
      <c r="O517" s="28">
        <f>IFERROR(INDEX(MgAmenDegI,MATCH(SUBSTITUTE($H517,"*","-"),MgAmenClave,0)),"No aplica")</f>
        <v/>
      </c>
      <c r="P517" s="28">
        <f>IFERROR(INDEX(MgAmenDegC,MATCH(SUBSTITUTE($H517,"*","-"),MgAmenClave,0)),"No aplica")</f>
        <v/>
      </c>
      <c r="Q517" s="29">
        <f>IFERROR(VLOOKUP(K517,MgValor,2,0)*VLOOKUP(N517,MgDeg,2,0),0)</f>
        <v/>
      </c>
      <c r="R517" s="29">
        <f>IFERROR(VLOOKUP(L517,MgValor,2,0)*VLOOKUP(O517,MgDeg,2,0),0)</f>
        <v/>
      </c>
      <c r="S517" s="29">
        <f>IFERROR(VLOOKUP(M517,MgValor,2,0)*VLOOKUP(P517,MgDeg,2,0),0)</f>
        <v/>
      </c>
      <c r="T517" s="30">
        <f>MAX(Q517:S517)</f>
        <v/>
      </c>
      <c r="U517" s="28">
        <f>IFERROR(LOOKUP(T517,{0;0.5;1.5;3;4.5},{"Despreciable";"Bajo";"Medio";"Alto";"Muy alto"}),"")</f>
        <v/>
      </c>
      <c r="V517" s="13">
        <f>IFERROR(INDEX(MgAmenFrec,MATCH(SUBSTITUTE($H517,"*","-"),MgAmenClave,0)),"")</f>
        <v/>
      </c>
      <c r="W517" s="28">
        <f>IFERROR(LOOKUP(X517,{0;0.01;0.1;1;10;100},{"Muy baja";"Muy baja";"Baja";"Media";"Alta";"Muy alta"}),"")</f>
        <v/>
      </c>
      <c r="X517" s="31">
        <f>IFERROR(VLOOKUP(V517,MgFrec,2,0),0)</f>
        <v/>
      </c>
      <c r="Y517" s="30">
        <f>T517*X517</f>
        <v/>
      </c>
      <c r="Z517" s="28">
        <f>IFERROR(LOOKUP(Y517,{0;0.5;5;25},{"Bajo";"Medio";"Alto";"Crítico"}),"")</f>
        <v/>
      </c>
      <c r="AA517" s="64">
        <f>IF(T517&gt;=3,IF(X517&gt;=1,"Zona 1 — Crítica: impacto alto y ocurre al menos una vez al año","Zona 4 — Catastrófica poco probable: impacto alto pero excepcional"),IF(AND(T517&lt;1.5,X517&lt;1),"Zona 3 — Asumible: impacto bajo y muy poco frecuente","Zona 2 — Atención: riesgo intermedio"))</f>
        <v/>
      </c>
      <c r="AB517" s="64">
        <f>IFERROR(INDEX(MgAmenCtrl,MATCH(SUBSTITUTE($H517,"*","-"),MgAmenClave,0)),"")</f>
        <v/>
      </c>
      <c r="AC517" s="20" t="n"/>
      <c r="AD517" s="31">
        <f>IFERROR($X517*(1-IF($AC517="",$AL517,VLOOKUP($AC517,MgMad,2,0))),"")</f>
        <v/>
      </c>
      <c r="AE517" s="28">
        <f>IFERROR(LOOKUP(AD517,{0;0.01;0.1;1;10;100},{"Muy baja";"Muy baja";"Baja";"Media";"Alta";"Muy alta"}),"")</f>
        <v/>
      </c>
      <c r="AF517" s="30">
        <f>T517*AD517</f>
        <v/>
      </c>
      <c r="AG517" s="28">
        <f>IFERROR(LOOKUP(AF517,{0;0.5;5;25},{"Bajo";"Medio";"Alto";"Crítico"}),"")</f>
        <v/>
      </c>
      <c r="AH517" s="28">
        <f>IF(AG517="","",IF(OR(AG517="Crítico",AG517="Alto"),"Mitigar",IF(AG517="Medio","Mitigar","Aceptar y monitorear")))</f>
        <v/>
      </c>
      <c r="AI517" s="21" t="n"/>
      <c r="AJ517" s="21" t="n"/>
      <c r="AK517" s="20" t="n"/>
      <c r="AL517" s="77">
        <f>IFERROR(INDEX(MgAmenEfic,MATCH(SUBSTITUTE($H517,"*","-"),MgAmenClave,0)),0)</f>
        <v/>
      </c>
    </row>
    <row r="518" hidden="1" ht="60" customHeight="1" s="54">
      <c r="B518" s="59" t="inlineStr">
        <is>
          <t>R-0513</t>
        </is>
      </c>
      <c r="C518" s="59" t="inlineStr">
        <is>
          <t>TAL-12</t>
        </is>
      </c>
      <c r="D518" s="64">
        <f>IFERROR(INDEX(MgNombre,MATCH($C518,MgActId,0)),"")</f>
        <v/>
      </c>
      <c r="E518" s="64">
        <f>IFERROR(INDEX(MgProceso,MATCH($C518,MgActId,0)),"")</f>
        <v/>
      </c>
      <c r="F518" s="64">
        <f>IFERROR(INDEX(MgTipo,MATCH($C518,MgActId,0)),"")</f>
        <v/>
      </c>
      <c r="G518" s="64">
        <f>IFERROR(INDEX(MgSubtipo,MATCH($C518,MgActId,0)),"")</f>
        <v/>
      </c>
      <c r="H518" s="59" t="inlineStr">
        <is>
          <t>A.15</t>
        </is>
      </c>
      <c r="I518" s="64">
        <f>IFERROR(INDEX(MgAmenNombre,MATCH(SUBSTITUTE($H518,"*","-"),MgAmenClave,0)),"")</f>
        <v/>
      </c>
      <c r="J518" s="28">
        <f>IFERROR(INDEX(MgAmenGrupo,MATCH(SUBSTITUTE($H518,"*","-"),MgAmenClave,0)),"")</f>
        <v/>
      </c>
      <c r="K518" s="64">
        <f>IFERROR(INDEX('1. Matriz de Activos'!$Q$6:$Q$239,MATCH($C518,MgActId,0)),"")</f>
        <v/>
      </c>
      <c r="L518" s="64">
        <f>IFERROR(INDEX('1. Matriz de Activos'!$R$6:$R$239,MATCH($C518,MgActId,0)),"")</f>
        <v/>
      </c>
      <c r="M518" s="64">
        <f>IFERROR(INDEX('1. Matriz de Activos'!$S$6:$S$239,MATCH($C518,MgActId,0)),"")</f>
        <v/>
      </c>
      <c r="N518" s="28">
        <f>IFERROR(INDEX(MgAmenDegD,MATCH(SUBSTITUTE($H518,"*","-"),MgAmenClave,0)),"No aplica")</f>
        <v/>
      </c>
      <c r="O518" s="28">
        <f>IFERROR(INDEX(MgAmenDegI,MATCH(SUBSTITUTE($H518,"*","-"),MgAmenClave,0)),"No aplica")</f>
        <v/>
      </c>
      <c r="P518" s="28">
        <f>IFERROR(INDEX(MgAmenDegC,MATCH(SUBSTITUTE($H518,"*","-"),MgAmenClave,0)),"No aplica")</f>
        <v/>
      </c>
      <c r="Q518" s="29">
        <f>IFERROR(VLOOKUP(K518,MgValor,2,0)*VLOOKUP(N518,MgDeg,2,0),0)</f>
        <v/>
      </c>
      <c r="R518" s="29">
        <f>IFERROR(VLOOKUP(L518,MgValor,2,0)*VLOOKUP(O518,MgDeg,2,0),0)</f>
        <v/>
      </c>
      <c r="S518" s="29">
        <f>IFERROR(VLOOKUP(M518,MgValor,2,0)*VLOOKUP(P518,MgDeg,2,0),0)</f>
        <v/>
      </c>
      <c r="T518" s="30">
        <f>MAX(Q518:S518)</f>
        <v/>
      </c>
      <c r="U518" s="28">
        <f>IFERROR(LOOKUP(T518,{0;0.5;1.5;3;4.5},{"Despreciable";"Bajo";"Medio";"Alto";"Muy alto"}),"")</f>
        <v/>
      </c>
      <c r="V518" s="13">
        <f>IFERROR(INDEX(MgAmenFrec,MATCH(SUBSTITUTE($H518,"*","-"),MgAmenClave,0)),"")</f>
        <v/>
      </c>
      <c r="W518" s="28">
        <f>IFERROR(LOOKUP(X518,{0;0.01;0.1;1;10;100},{"Muy baja";"Muy baja";"Baja";"Media";"Alta";"Muy alta"}),"")</f>
        <v/>
      </c>
      <c r="X518" s="31">
        <f>IFERROR(VLOOKUP(V518,MgFrec,2,0),0)</f>
        <v/>
      </c>
      <c r="Y518" s="30">
        <f>T518*X518</f>
        <v/>
      </c>
      <c r="Z518" s="28">
        <f>IFERROR(LOOKUP(Y518,{0;0.5;5;25},{"Bajo";"Medio";"Alto";"Crítico"}),"")</f>
        <v/>
      </c>
      <c r="AA518" s="64">
        <f>IF(T518&gt;=3,IF(X518&gt;=1,"Zona 1 — Crítica: impacto alto y ocurre al menos una vez al año","Zona 4 — Catastrófica poco probable: impacto alto pero excepcional"),IF(AND(T518&lt;1.5,X518&lt;1),"Zona 3 — Asumible: impacto bajo y muy poco frecuente","Zona 2 — Atención: riesgo intermedio"))</f>
        <v/>
      </c>
      <c r="AB518" s="64">
        <f>IFERROR(INDEX(MgAmenCtrl,MATCH(SUBSTITUTE($H518,"*","-"),MgAmenClave,0)),"")</f>
        <v/>
      </c>
      <c r="AC518" s="20" t="n"/>
      <c r="AD518" s="31">
        <f>IFERROR($X518*(1-IF($AC518="",$AL518,VLOOKUP($AC518,MgMad,2,0))),"")</f>
        <v/>
      </c>
      <c r="AE518" s="28">
        <f>IFERROR(LOOKUP(AD518,{0;0.01;0.1;1;10;100},{"Muy baja";"Muy baja";"Baja";"Media";"Alta";"Muy alta"}),"")</f>
        <v/>
      </c>
      <c r="AF518" s="30">
        <f>T518*AD518</f>
        <v/>
      </c>
      <c r="AG518" s="28">
        <f>IFERROR(LOOKUP(AF518,{0;0.5;5;25},{"Bajo";"Medio";"Alto";"Crítico"}),"")</f>
        <v/>
      </c>
      <c r="AH518" s="28">
        <f>IF(AG518="","",IF(OR(AG518="Crítico",AG518="Alto"),"Mitigar",IF(AG518="Medio","Mitigar","Aceptar y monitorear")))</f>
        <v/>
      </c>
      <c r="AI518" s="21" t="n"/>
      <c r="AJ518" s="21" t="n"/>
      <c r="AK518" s="20" t="n"/>
      <c r="AL518" s="77">
        <f>IFERROR(INDEX(MgAmenEfic,MATCH(SUBSTITUTE($H518,"*","-"),MgAmenClave,0)),0)</f>
        <v/>
      </c>
    </row>
    <row r="519" hidden="1" ht="60" customHeight="1" s="54">
      <c r="B519" s="59" t="inlineStr">
        <is>
          <t>R-0514</t>
        </is>
      </c>
      <c r="C519" s="59" t="inlineStr">
        <is>
          <t>TAL-12</t>
        </is>
      </c>
      <c r="D519" s="64">
        <f>IFERROR(INDEX(MgNombre,MATCH($C519,MgActId,0)),"")</f>
        <v/>
      </c>
      <c r="E519" s="64">
        <f>IFERROR(INDEX(MgProceso,MATCH($C519,MgActId,0)),"")</f>
        <v/>
      </c>
      <c r="F519" s="64">
        <f>IFERROR(INDEX(MgTipo,MATCH($C519,MgActId,0)),"")</f>
        <v/>
      </c>
      <c r="G519" s="64">
        <f>IFERROR(INDEX(MgSubtipo,MATCH($C519,MgActId,0)),"")</f>
        <v/>
      </c>
      <c r="H519" s="59" t="inlineStr">
        <is>
          <t>A.18</t>
        </is>
      </c>
      <c r="I519" s="64">
        <f>IFERROR(INDEX(MgAmenNombre,MATCH(SUBSTITUTE($H519,"*","-"),MgAmenClave,0)),"")</f>
        <v/>
      </c>
      <c r="J519" s="28">
        <f>IFERROR(INDEX(MgAmenGrupo,MATCH(SUBSTITUTE($H519,"*","-"),MgAmenClave,0)),"")</f>
        <v/>
      </c>
      <c r="K519" s="64">
        <f>IFERROR(INDEX('1. Matriz de Activos'!$Q$6:$Q$239,MATCH($C519,MgActId,0)),"")</f>
        <v/>
      </c>
      <c r="L519" s="64">
        <f>IFERROR(INDEX('1. Matriz de Activos'!$R$6:$R$239,MATCH($C519,MgActId,0)),"")</f>
        <v/>
      </c>
      <c r="M519" s="64">
        <f>IFERROR(INDEX('1. Matriz de Activos'!$S$6:$S$239,MATCH($C519,MgActId,0)),"")</f>
        <v/>
      </c>
      <c r="N519" s="28">
        <f>IFERROR(INDEX(MgAmenDegD,MATCH(SUBSTITUTE($H519,"*","-"),MgAmenClave,0)),"No aplica")</f>
        <v/>
      </c>
      <c r="O519" s="28">
        <f>IFERROR(INDEX(MgAmenDegI,MATCH(SUBSTITUTE($H519,"*","-"),MgAmenClave,0)),"No aplica")</f>
        <v/>
      </c>
      <c r="P519" s="28">
        <f>IFERROR(INDEX(MgAmenDegC,MATCH(SUBSTITUTE($H519,"*","-"),MgAmenClave,0)),"No aplica")</f>
        <v/>
      </c>
      <c r="Q519" s="29">
        <f>IFERROR(VLOOKUP(K519,MgValor,2,0)*VLOOKUP(N519,MgDeg,2,0),0)</f>
        <v/>
      </c>
      <c r="R519" s="29">
        <f>IFERROR(VLOOKUP(L519,MgValor,2,0)*VLOOKUP(O519,MgDeg,2,0),0)</f>
        <v/>
      </c>
      <c r="S519" s="29">
        <f>IFERROR(VLOOKUP(M519,MgValor,2,0)*VLOOKUP(P519,MgDeg,2,0),0)</f>
        <v/>
      </c>
      <c r="T519" s="30">
        <f>MAX(Q519:S519)</f>
        <v/>
      </c>
      <c r="U519" s="28">
        <f>IFERROR(LOOKUP(T519,{0;0.5;1.5;3;4.5},{"Despreciable";"Bajo";"Medio";"Alto";"Muy alto"}),"")</f>
        <v/>
      </c>
      <c r="V519" s="13">
        <f>IFERROR(INDEX(MgAmenFrec,MATCH(SUBSTITUTE($H519,"*","-"),MgAmenClave,0)),"")</f>
        <v/>
      </c>
      <c r="W519" s="28">
        <f>IFERROR(LOOKUP(X519,{0;0.01;0.1;1;10;100},{"Muy baja";"Muy baja";"Baja";"Media";"Alta";"Muy alta"}),"")</f>
        <v/>
      </c>
      <c r="X519" s="31">
        <f>IFERROR(VLOOKUP(V519,MgFrec,2,0),0)</f>
        <v/>
      </c>
      <c r="Y519" s="30">
        <f>T519*X519</f>
        <v/>
      </c>
      <c r="Z519" s="28">
        <f>IFERROR(LOOKUP(Y519,{0;0.5;5;25},{"Bajo";"Medio";"Alto";"Crítico"}),"")</f>
        <v/>
      </c>
      <c r="AA519" s="64">
        <f>IF(T519&gt;=3,IF(X519&gt;=1,"Zona 1 — Crítica: impacto alto y ocurre al menos una vez al año","Zona 4 — Catastrófica poco probable: impacto alto pero excepcional"),IF(AND(T519&lt;1.5,X519&lt;1),"Zona 3 — Asumible: impacto bajo y muy poco frecuente","Zona 2 — Atención: riesgo intermedio"))</f>
        <v/>
      </c>
      <c r="AB519" s="64">
        <f>IFERROR(INDEX(MgAmenCtrl,MATCH(SUBSTITUTE($H519,"*","-"),MgAmenClave,0)),"")</f>
        <v/>
      </c>
      <c r="AC519" s="20" t="n"/>
      <c r="AD519" s="31">
        <f>IFERROR($X519*(1-IF($AC519="",$AL519,VLOOKUP($AC519,MgMad,2,0))),"")</f>
        <v/>
      </c>
      <c r="AE519" s="28">
        <f>IFERROR(LOOKUP(AD519,{0;0.01;0.1;1;10;100},{"Muy baja";"Muy baja";"Baja";"Media";"Alta";"Muy alta"}),"")</f>
        <v/>
      </c>
      <c r="AF519" s="30">
        <f>T519*AD519</f>
        <v/>
      </c>
      <c r="AG519" s="28">
        <f>IFERROR(LOOKUP(AF519,{0;0.5;5;25},{"Bajo";"Medio";"Alto";"Crítico"}),"")</f>
        <v/>
      </c>
      <c r="AH519" s="28">
        <f>IF(AG519="","",IF(OR(AG519="Crítico",AG519="Alto"),"Mitigar",IF(AG519="Medio","Mitigar","Aceptar y monitorear")))</f>
        <v/>
      </c>
      <c r="AI519" s="21" t="n"/>
      <c r="AJ519" s="21" t="n"/>
      <c r="AK519" s="20" t="n"/>
      <c r="AL519" s="77">
        <f>IFERROR(INDEX(MgAmenEfic,MATCH(SUBSTITUTE($H519,"*","-"),MgAmenClave,0)),0)</f>
        <v/>
      </c>
    </row>
    <row r="520" hidden="1" ht="120" customHeight="1" s="54">
      <c r="B520" s="59" t="inlineStr">
        <is>
          <t>R-0515</t>
        </is>
      </c>
      <c r="C520" s="59" t="inlineStr">
        <is>
          <t>TAL-12</t>
        </is>
      </c>
      <c r="D520" s="64">
        <f>IFERROR(INDEX(MgNombre,MATCH($C520,MgActId,0)),"")</f>
        <v/>
      </c>
      <c r="E520" s="64">
        <f>IFERROR(INDEX(MgProceso,MATCH($C520,MgActId,0)),"")</f>
        <v/>
      </c>
      <c r="F520" s="64">
        <f>IFERROR(INDEX(MgTipo,MATCH($C520,MgActId,0)),"")</f>
        <v/>
      </c>
      <c r="G520" s="64">
        <f>IFERROR(INDEX(MgSubtipo,MATCH($C520,MgActId,0)),"")</f>
        <v/>
      </c>
      <c r="H520" s="59" t="inlineStr">
        <is>
          <t>A.19</t>
        </is>
      </c>
      <c r="I520" s="64">
        <f>IFERROR(INDEX(MgAmenNombre,MATCH(SUBSTITUTE($H520,"*","-"),MgAmenClave,0)),"")</f>
        <v/>
      </c>
      <c r="J520" s="28">
        <f>IFERROR(INDEX(MgAmenGrupo,MATCH(SUBSTITUTE($H520,"*","-"),MgAmenClave,0)),"")</f>
        <v/>
      </c>
      <c r="K520" s="64">
        <f>IFERROR(INDEX('1. Matriz de Activos'!$Q$6:$Q$239,MATCH($C520,MgActId,0)),"")</f>
        <v/>
      </c>
      <c r="L520" s="64">
        <f>IFERROR(INDEX('1. Matriz de Activos'!$R$6:$R$239,MATCH($C520,MgActId,0)),"")</f>
        <v/>
      </c>
      <c r="M520" s="64">
        <f>IFERROR(INDEX('1. Matriz de Activos'!$S$6:$S$239,MATCH($C520,MgActId,0)),"")</f>
        <v/>
      </c>
      <c r="N520" s="28">
        <f>IFERROR(INDEX(MgAmenDegD,MATCH(SUBSTITUTE($H520,"*","-"),MgAmenClave,0)),"No aplica")</f>
        <v/>
      </c>
      <c r="O520" s="28">
        <f>IFERROR(INDEX(MgAmenDegI,MATCH(SUBSTITUTE($H520,"*","-"),MgAmenClave,0)),"No aplica")</f>
        <v/>
      </c>
      <c r="P520" s="28">
        <f>IFERROR(INDEX(MgAmenDegC,MATCH(SUBSTITUTE($H520,"*","-"),MgAmenClave,0)),"No aplica")</f>
        <v/>
      </c>
      <c r="Q520" s="29">
        <f>IFERROR(VLOOKUP(K520,MgValor,2,0)*VLOOKUP(N520,MgDeg,2,0),0)</f>
        <v/>
      </c>
      <c r="R520" s="29">
        <f>IFERROR(VLOOKUP(L520,MgValor,2,0)*VLOOKUP(O520,MgDeg,2,0),0)</f>
        <v/>
      </c>
      <c r="S520" s="29">
        <f>IFERROR(VLOOKUP(M520,MgValor,2,0)*VLOOKUP(P520,MgDeg,2,0),0)</f>
        <v/>
      </c>
      <c r="T520" s="30">
        <f>MAX(Q520:S520)</f>
        <v/>
      </c>
      <c r="U520" s="28">
        <f>IFERROR(LOOKUP(T520,{0;0.5;1.5;3;4.5},{"Despreciable";"Bajo";"Medio";"Alto";"Muy alto"}),"")</f>
        <v/>
      </c>
      <c r="V520" s="13">
        <f>IFERROR(INDEX(MgAmenFrec,MATCH(SUBSTITUTE($H520,"*","-"),MgAmenClave,0)),"")</f>
        <v/>
      </c>
      <c r="W520" s="28">
        <f>IFERROR(LOOKUP(X520,{0;0.01;0.1;1;10;100},{"Muy baja";"Muy baja";"Baja";"Media";"Alta";"Muy alta"}),"")</f>
        <v/>
      </c>
      <c r="X520" s="31">
        <f>IFERROR(VLOOKUP(V520,MgFrec,2,0),0)</f>
        <v/>
      </c>
      <c r="Y520" s="30">
        <f>T520*X520</f>
        <v/>
      </c>
      <c r="Z520" s="28">
        <f>IFERROR(LOOKUP(Y520,{0;0.5;5;25},{"Bajo";"Medio";"Alto";"Crítico"}),"")</f>
        <v/>
      </c>
      <c r="AA520" s="64">
        <f>IF(T520&gt;=3,IF(X520&gt;=1,"Zona 1 — Crítica: impacto alto y ocurre al menos una vez al año","Zona 4 — Catastrófica poco probable: impacto alto pero excepcional"),IF(AND(T520&lt;1.5,X520&lt;1),"Zona 3 — Asumible: impacto bajo y muy poco frecuente","Zona 2 — Atención: riesgo intermedio"))</f>
        <v/>
      </c>
      <c r="AB520" s="64">
        <f>IFERROR(INDEX(MgAmenCtrl,MATCH(SUBSTITUTE($H520,"*","-"),MgAmenClave,0)),"")</f>
        <v/>
      </c>
      <c r="AC520" s="20" t="n"/>
      <c r="AD520" s="31">
        <f>IFERROR($X520*(1-IF($AC520="",$AL520,VLOOKUP($AC520,MgMad,2,0))),"")</f>
        <v/>
      </c>
      <c r="AE520" s="28">
        <f>IFERROR(LOOKUP(AD520,{0;0.01;0.1;1;10;100},{"Muy baja";"Muy baja";"Baja";"Media";"Alta";"Muy alta"}),"")</f>
        <v/>
      </c>
      <c r="AF520" s="30">
        <f>T520*AD520</f>
        <v/>
      </c>
      <c r="AG520" s="28">
        <f>IFERROR(LOOKUP(AF520,{0;0.5;5;25},{"Bajo";"Medio";"Alto";"Crítico"}),"")</f>
        <v/>
      </c>
      <c r="AH520" s="28">
        <f>IF(AG520="","",IF(OR(AG520="Crítico",AG520="Alto"),"Mitigar",IF(AG520="Medio","Mitigar","Aceptar y monitorear")))</f>
        <v/>
      </c>
      <c r="AI520" s="21" t="n"/>
      <c r="AJ520" s="21" t="n"/>
      <c r="AK520" s="20" t="n"/>
      <c r="AL520" s="77">
        <f>IFERROR(INDEX(MgAmenEfic,MATCH(SUBSTITUTE($H520,"*","-"),MgAmenClave,0)),0)</f>
        <v/>
      </c>
    </row>
    <row r="521" hidden="1" ht="105" customHeight="1" s="54">
      <c r="B521" s="59" t="inlineStr">
        <is>
          <t>R-0516</t>
        </is>
      </c>
      <c r="C521" s="59" t="inlineStr">
        <is>
          <t>FIN-06</t>
        </is>
      </c>
      <c r="D521" s="64">
        <f>IFERROR(INDEX(MgNombre,MATCH($C521,MgActId,0)),"")</f>
        <v/>
      </c>
      <c r="E521" s="64">
        <f>IFERROR(INDEX(MgProceso,MATCH($C521,MgActId,0)),"")</f>
        <v/>
      </c>
      <c r="F521" s="64">
        <f>IFERROR(INDEX(MgTipo,MATCH($C521,MgActId,0)),"")</f>
        <v/>
      </c>
      <c r="G521" s="64">
        <f>IFERROR(INDEX(MgSubtipo,MATCH($C521,MgActId,0)),"")</f>
        <v/>
      </c>
      <c r="H521" s="59" t="inlineStr">
        <is>
          <t>E.1</t>
        </is>
      </c>
      <c r="I521" s="64">
        <f>IFERROR(INDEX(MgAmenNombre,MATCH(SUBSTITUTE($H521,"*","-"),MgAmenClave,0)),"")</f>
        <v/>
      </c>
      <c r="J521" s="28">
        <f>IFERROR(INDEX(MgAmenGrupo,MATCH(SUBSTITUTE($H521,"*","-"),MgAmenClave,0)),"")</f>
        <v/>
      </c>
      <c r="K521" s="64">
        <f>IFERROR(INDEX('1. Matriz de Activos'!$Q$6:$Q$239,MATCH($C521,MgActId,0)),"")</f>
        <v/>
      </c>
      <c r="L521" s="64">
        <f>IFERROR(INDEX('1. Matriz de Activos'!$R$6:$R$239,MATCH($C521,MgActId,0)),"")</f>
        <v/>
      </c>
      <c r="M521" s="64">
        <f>IFERROR(INDEX('1. Matriz de Activos'!$S$6:$S$239,MATCH($C521,MgActId,0)),"")</f>
        <v/>
      </c>
      <c r="N521" s="28">
        <f>IFERROR(INDEX(MgAmenDegD,MATCH(SUBSTITUTE($H521,"*","-"),MgAmenClave,0)),"No aplica")</f>
        <v/>
      </c>
      <c r="O521" s="28">
        <f>IFERROR(INDEX(MgAmenDegI,MATCH(SUBSTITUTE($H521,"*","-"),MgAmenClave,0)),"No aplica")</f>
        <v/>
      </c>
      <c r="P521" s="28">
        <f>IFERROR(INDEX(MgAmenDegC,MATCH(SUBSTITUTE($H521,"*","-"),MgAmenClave,0)),"No aplica")</f>
        <v/>
      </c>
      <c r="Q521" s="29">
        <f>IFERROR(VLOOKUP(K521,MgValor,2,0)*VLOOKUP(N521,MgDeg,2,0),0)</f>
        <v/>
      </c>
      <c r="R521" s="29">
        <f>IFERROR(VLOOKUP(L521,MgValor,2,0)*VLOOKUP(O521,MgDeg,2,0),0)</f>
        <v/>
      </c>
      <c r="S521" s="29">
        <f>IFERROR(VLOOKUP(M521,MgValor,2,0)*VLOOKUP(P521,MgDeg,2,0),0)</f>
        <v/>
      </c>
      <c r="T521" s="30">
        <f>MAX(Q521:S521)</f>
        <v/>
      </c>
      <c r="U521" s="28">
        <f>IFERROR(LOOKUP(T521,{0;0.5;1.5;3;4.5},{"Despreciable";"Bajo";"Medio";"Alto";"Muy alto"}),"")</f>
        <v/>
      </c>
      <c r="V521" s="13">
        <f>IFERROR(INDEX(MgAmenFrec,MATCH(SUBSTITUTE($H521,"*","-"),MgAmenClave,0)),"")</f>
        <v/>
      </c>
      <c r="W521" s="28">
        <f>IFERROR(LOOKUP(X521,{0;0.01;0.1;1;10;100},{"Muy baja";"Muy baja";"Baja";"Media";"Alta";"Muy alta"}),"")</f>
        <v/>
      </c>
      <c r="X521" s="31">
        <f>IFERROR(VLOOKUP(V521,MgFrec,2,0),0)</f>
        <v/>
      </c>
      <c r="Y521" s="30">
        <f>T521*X521</f>
        <v/>
      </c>
      <c r="Z521" s="28">
        <f>IFERROR(LOOKUP(Y521,{0;0.5;5;25},{"Bajo";"Medio";"Alto";"Crítico"}),"")</f>
        <v/>
      </c>
      <c r="AA521" s="64">
        <f>IF(T521&gt;=3,IF(X521&gt;=1,"Zona 1 — Crítica: impacto alto y ocurre al menos una vez al año","Zona 4 — Catastrófica poco probable: impacto alto pero excepcional"),IF(AND(T521&lt;1.5,X521&lt;1),"Zona 3 — Asumible: impacto bajo y muy poco frecuente","Zona 2 — Atención: riesgo intermedio"))</f>
        <v/>
      </c>
      <c r="AB521" s="64">
        <f>IFERROR(INDEX(MgAmenCtrl,MATCH(SUBSTITUTE($H521,"*","-"),MgAmenClave,0)),"")</f>
        <v/>
      </c>
      <c r="AC521" s="20" t="n"/>
      <c r="AD521" s="31">
        <f>IFERROR($X521*(1-IF($AC521="",$AL521,VLOOKUP($AC521,MgMad,2,0))),"")</f>
        <v/>
      </c>
      <c r="AE521" s="28">
        <f>IFERROR(LOOKUP(AD521,{0;0.01;0.1;1;10;100},{"Muy baja";"Muy baja";"Baja";"Media";"Alta";"Muy alta"}),"")</f>
        <v/>
      </c>
      <c r="AF521" s="30">
        <f>T521*AD521</f>
        <v/>
      </c>
      <c r="AG521" s="28">
        <f>IFERROR(LOOKUP(AF521,{0;0.5;5;25},{"Bajo";"Medio";"Alto";"Crítico"}),"")</f>
        <v/>
      </c>
      <c r="AH521" s="28">
        <f>IF(AG521="","",IF(OR(AG521="Crítico",AG521="Alto"),"Mitigar",IF(AG521="Medio","Mitigar","Aceptar y monitorear")))</f>
        <v/>
      </c>
      <c r="AI521" s="21" t="n"/>
      <c r="AJ521" s="21" t="n"/>
      <c r="AK521" s="20" t="n"/>
      <c r="AL521" s="77">
        <f>IFERROR(INDEX(MgAmenEfic,MATCH(SUBSTITUTE($H521,"*","-"),MgAmenClave,0)),0)</f>
        <v/>
      </c>
    </row>
    <row r="522" hidden="1" ht="120" customHeight="1" s="54">
      <c r="B522" s="59" t="inlineStr">
        <is>
          <t>R-0517</t>
        </is>
      </c>
      <c r="C522" s="59" t="inlineStr">
        <is>
          <t>FIN-06</t>
        </is>
      </c>
      <c r="D522" s="64">
        <f>IFERROR(INDEX(MgNombre,MATCH($C522,MgActId,0)),"")</f>
        <v/>
      </c>
      <c r="E522" s="64">
        <f>IFERROR(INDEX(MgProceso,MATCH($C522,MgActId,0)),"")</f>
        <v/>
      </c>
      <c r="F522" s="64">
        <f>IFERROR(INDEX(MgTipo,MATCH($C522,MgActId,0)),"")</f>
        <v/>
      </c>
      <c r="G522" s="64">
        <f>IFERROR(INDEX(MgSubtipo,MATCH($C522,MgActId,0)),"")</f>
        <v/>
      </c>
      <c r="H522" s="59" t="inlineStr">
        <is>
          <t>E.2</t>
        </is>
      </c>
      <c r="I522" s="64">
        <f>IFERROR(INDEX(MgAmenNombre,MATCH(SUBSTITUTE($H522,"*","-"),MgAmenClave,0)),"")</f>
        <v/>
      </c>
      <c r="J522" s="28">
        <f>IFERROR(INDEX(MgAmenGrupo,MATCH(SUBSTITUTE($H522,"*","-"),MgAmenClave,0)),"")</f>
        <v/>
      </c>
      <c r="K522" s="64">
        <f>IFERROR(INDEX('1. Matriz de Activos'!$Q$6:$Q$239,MATCH($C522,MgActId,0)),"")</f>
        <v/>
      </c>
      <c r="L522" s="64">
        <f>IFERROR(INDEX('1. Matriz de Activos'!$R$6:$R$239,MATCH($C522,MgActId,0)),"")</f>
        <v/>
      </c>
      <c r="M522" s="64">
        <f>IFERROR(INDEX('1. Matriz de Activos'!$S$6:$S$239,MATCH($C522,MgActId,0)),"")</f>
        <v/>
      </c>
      <c r="N522" s="28">
        <f>IFERROR(INDEX(MgAmenDegD,MATCH(SUBSTITUTE($H522,"*","-"),MgAmenClave,0)),"No aplica")</f>
        <v/>
      </c>
      <c r="O522" s="28">
        <f>IFERROR(INDEX(MgAmenDegI,MATCH(SUBSTITUTE($H522,"*","-"),MgAmenClave,0)),"No aplica")</f>
        <v/>
      </c>
      <c r="P522" s="28">
        <f>IFERROR(INDEX(MgAmenDegC,MATCH(SUBSTITUTE($H522,"*","-"),MgAmenClave,0)),"No aplica")</f>
        <v/>
      </c>
      <c r="Q522" s="29">
        <f>IFERROR(VLOOKUP(K522,MgValor,2,0)*VLOOKUP(N522,MgDeg,2,0),0)</f>
        <v/>
      </c>
      <c r="R522" s="29">
        <f>IFERROR(VLOOKUP(L522,MgValor,2,0)*VLOOKUP(O522,MgDeg,2,0),0)</f>
        <v/>
      </c>
      <c r="S522" s="29">
        <f>IFERROR(VLOOKUP(M522,MgValor,2,0)*VLOOKUP(P522,MgDeg,2,0),0)</f>
        <v/>
      </c>
      <c r="T522" s="30">
        <f>MAX(Q522:S522)</f>
        <v/>
      </c>
      <c r="U522" s="28">
        <f>IFERROR(LOOKUP(T522,{0;0.5;1.5;3;4.5},{"Despreciable";"Bajo";"Medio";"Alto";"Muy alto"}),"")</f>
        <v/>
      </c>
      <c r="V522" s="13">
        <f>IFERROR(INDEX(MgAmenFrec,MATCH(SUBSTITUTE($H522,"*","-"),MgAmenClave,0)),"")</f>
        <v/>
      </c>
      <c r="W522" s="28">
        <f>IFERROR(LOOKUP(X522,{0;0.01;0.1;1;10;100},{"Muy baja";"Muy baja";"Baja";"Media";"Alta";"Muy alta"}),"")</f>
        <v/>
      </c>
      <c r="X522" s="31">
        <f>IFERROR(VLOOKUP(V522,MgFrec,2,0),0)</f>
        <v/>
      </c>
      <c r="Y522" s="30">
        <f>T522*X522</f>
        <v/>
      </c>
      <c r="Z522" s="28">
        <f>IFERROR(LOOKUP(Y522,{0;0.5;5;25},{"Bajo";"Medio";"Alto";"Crítico"}),"")</f>
        <v/>
      </c>
      <c r="AA522" s="64">
        <f>IF(T522&gt;=3,IF(X522&gt;=1,"Zona 1 — Crítica: impacto alto y ocurre al menos una vez al año","Zona 4 — Catastrófica poco probable: impacto alto pero excepcional"),IF(AND(T522&lt;1.5,X522&lt;1),"Zona 3 — Asumible: impacto bajo y muy poco frecuente","Zona 2 — Atención: riesgo intermedio"))</f>
        <v/>
      </c>
      <c r="AB522" s="64">
        <f>IFERROR(INDEX(MgAmenCtrl,MATCH(SUBSTITUTE($H522,"*","-"),MgAmenClave,0)),"")</f>
        <v/>
      </c>
      <c r="AC522" s="20" t="n"/>
      <c r="AD522" s="31">
        <f>IFERROR($X522*(1-IF($AC522="",$AL522,VLOOKUP($AC522,MgMad,2,0))),"")</f>
        <v/>
      </c>
      <c r="AE522" s="28">
        <f>IFERROR(LOOKUP(AD522,{0;0.01;0.1;1;10;100},{"Muy baja";"Muy baja";"Baja";"Media";"Alta";"Muy alta"}),"")</f>
        <v/>
      </c>
      <c r="AF522" s="30">
        <f>T522*AD522</f>
        <v/>
      </c>
      <c r="AG522" s="28">
        <f>IFERROR(LOOKUP(AF522,{0;0.5;5;25},{"Bajo";"Medio";"Alto";"Crítico"}),"")</f>
        <v/>
      </c>
      <c r="AH522" s="28">
        <f>IF(AG522="","",IF(OR(AG522="Crítico",AG522="Alto"),"Mitigar",IF(AG522="Medio","Mitigar","Aceptar y monitorear")))</f>
        <v/>
      </c>
      <c r="AI522" s="21" t="n"/>
      <c r="AJ522" s="21" t="n"/>
      <c r="AK522" s="20" t="n"/>
      <c r="AL522" s="77">
        <f>IFERROR(INDEX(MgAmenEfic,MATCH(SUBSTITUTE($H522,"*","-"),MgAmenClave,0)),0)</f>
        <v/>
      </c>
    </row>
    <row r="523" hidden="1" ht="75" customHeight="1" s="54">
      <c r="B523" s="59" t="inlineStr">
        <is>
          <t>R-0518</t>
        </is>
      </c>
      <c r="C523" s="59" t="inlineStr">
        <is>
          <t>FIN-06</t>
        </is>
      </c>
      <c r="D523" s="64">
        <f>IFERROR(INDEX(MgNombre,MATCH($C523,MgActId,0)),"")</f>
        <v/>
      </c>
      <c r="E523" s="64">
        <f>IFERROR(INDEX(MgProceso,MATCH($C523,MgActId,0)),"")</f>
        <v/>
      </c>
      <c r="F523" s="64">
        <f>IFERROR(INDEX(MgTipo,MATCH($C523,MgActId,0)),"")</f>
        <v/>
      </c>
      <c r="G523" s="64">
        <f>IFERROR(INDEX(MgSubtipo,MATCH($C523,MgActId,0)),"")</f>
        <v/>
      </c>
      <c r="H523" s="59" t="inlineStr">
        <is>
          <t>E.3</t>
        </is>
      </c>
      <c r="I523" s="64">
        <f>IFERROR(INDEX(MgAmenNombre,MATCH(SUBSTITUTE($H523,"*","-"),MgAmenClave,0)),"")</f>
        <v/>
      </c>
      <c r="J523" s="28">
        <f>IFERROR(INDEX(MgAmenGrupo,MATCH(SUBSTITUTE($H523,"*","-"),MgAmenClave,0)),"")</f>
        <v/>
      </c>
      <c r="K523" s="64">
        <f>IFERROR(INDEX('1. Matriz de Activos'!$Q$6:$Q$239,MATCH($C523,MgActId,0)),"")</f>
        <v/>
      </c>
      <c r="L523" s="64">
        <f>IFERROR(INDEX('1. Matriz de Activos'!$R$6:$R$239,MATCH($C523,MgActId,0)),"")</f>
        <v/>
      </c>
      <c r="M523" s="64">
        <f>IFERROR(INDEX('1. Matriz de Activos'!$S$6:$S$239,MATCH($C523,MgActId,0)),"")</f>
        <v/>
      </c>
      <c r="N523" s="28">
        <f>IFERROR(INDEX(MgAmenDegD,MATCH(SUBSTITUTE($H523,"*","-"),MgAmenClave,0)),"No aplica")</f>
        <v/>
      </c>
      <c r="O523" s="28">
        <f>IFERROR(INDEX(MgAmenDegI,MATCH(SUBSTITUTE($H523,"*","-"),MgAmenClave,0)),"No aplica")</f>
        <v/>
      </c>
      <c r="P523" s="28">
        <f>IFERROR(INDEX(MgAmenDegC,MATCH(SUBSTITUTE($H523,"*","-"),MgAmenClave,0)),"No aplica")</f>
        <v/>
      </c>
      <c r="Q523" s="29">
        <f>IFERROR(VLOOKUP(K523,MgValor,2,0)*VLOOKUP(N523,MgDeg,2,0),0)</f>
        <v/>
      </c>
      <c r="R523" s="29">
        <f>IFERROR(VLOOKUP(L523,MgValor,2,0)*VLOOKUP(O523,MgDeg,2,0),0)</f>
        <v/>
      </c>
      <c r="S523" s="29">
        <f>IFERROR(VLOOKUP(M523,MgValor,2,0)*VLOOKUP(P523,MgDeg,2,0),0)</f>
        <v/>
      </c>
      <c r="T523" s="30">
        <f>MAX(Q523:S523)</f>
        <v/>
      </c>
      <c r="U523" s="28">
        <f>IFERROR(LOOKUP(T523,{0;0.5;1.5;3;4.5},{"Despreciable";"Bajo";"Medio";"Alto";"Muy alto"}),"")</f>
        <v/>
      </c>
      <c r="V523" s="13">
        <f>IFERROR(INDEX(MgAmenFrec,MATCH(SUBSTITUTE($H523,"*","-"),MgAmenClave,0)),"")</f>
        <v/>
      </c>
      <c r="W523" s="28">
        <f>IFERROR(LOOKUP(X523,{0;0.01;0.1;1;10;100},{"Muy baja";"Muy baja";"Baja";"Media";"Alta";"Muy alta"}),"")</f>
        <v/>
      </c>
      <c r="X523" s="31">
        <f>IFERROR(VLOOKUP(V523,MgFrec,2,0),0)</f>
        <v/>
      </c>
      <c r="Y523" s="30">
        <f>T523*X523</f>
        <v/>
      </c>
      <c r="Z523" s="28">
        <f>IFERROR(LOOKUP(Y523,{0;0.5;5;25},{"Bajo";"Medio";"Alto";"Crítico"}),"")</f>
        <v/>
      </c>
      <c r="AA523" s="64">
        <f>IF(T523&gt;=3,IF(X523&gt;=1,"Zona 1 — Crítica: impacto alto y ocurre al menos una vez al año","Zona 4 — Catastrófica poco probable: impacto alto pero excepcional"),IF(AND(T523&lt;1.5,X523&lt;1),"Zona 3 — Asumible: impacto bajo y muy poco frecuente","Zona 2 — Atención: riesgo intermedio"))</f>
        <v/>
      </c>
      <c r="AB523" s="64">
        <f>IFERROR(INDEX(MgAmenCtrl,MATCH(SUBSTITUTE($H523,"*","-"),MgAmenClave,0)),"")</f>
        <v/>
      </c>
      <c r="AC523" s="20" t="n"/>
      <c r="AD523" s="31">
        <f>IFERROR($X523*(1-IF($AC523="",$AL523,VLOOKUP($AC523,MgMad,2,0))),"")</f>
        <v/>
      </c>
      <c r="AE523" s="28">
        <f>IFERROR(LOOKUP(AD523,{0;0.01;0.1;1;10;100},{"Muy baja";"Muy baja";"Baja";"Media";"Alta";"Muy alta"}),"")</f>
        <v/>
      </c>
      <c r="AF523" s="30">
        <f>T523*AD523</f>
        <v/>
      </c>
      <c r="AG523" s="28">
        <f>IFERROR(LOOKUP(AF523,{0;0.5;5;25},{"Bajo";"Medio";"Alto";"Crítico"}),"")</f>
        <v/>
      </c>
      <c r="AH523" s="28">
        <f>IF(AG523="","",IF(OR(AG523="Crítico",AG523="Alto"),"Mitigar",IF(AG523="Medio","Mitigar","Aceptar y monitorear")))</f>
        <v/>
      </c>
      <c r="AI523" s="21" t="n"/>
      <c r="AJ523" s="21" t="n"/>
      <c r="AK523" s="20" t="n"/>
      <c r="AL523" s="77">
        <f>IFERROR(INDEX(MgAmenEfic,MATCH(SUBSTITUTE($H523,"*","-"),MgAmenClave,0)),0)</f>
        <v/>
      </c>
    </row>
    <row r="524" hidden="1" ht="75" customHeight="1" s="54">
      <c r="B524" s="59" t="inlineStr">
        <is>
          <t>R-0519</t>
        </is>
      </c>
      <c r="C524" s="59" t="inlineStr">
        <is>
          <t>FIN-06</t>
        </is>
      </c>
      <c r="D524" s="64">
        <f>IFERROR(INDEX(MgNombre,MATCH($C524,MgActId,0)),"")</f>
        <v/>
      </c>
      <c r="E524" s="64">
        <f>IFERROR(INDEX(MgProceso,MATCH($C524,MgActId,0)),"")</f>
        <v/>
      </c>
      <c r="F524" s="64">
        <f>IFERROR(INDEX(MgTipo,MATCH($C524,MgActId,0)),"")</f>
        <v/>
      </c>
      <c r="G524" s="64">
        <f>IFERROR(INDEX(MgSubtipo,MATCH($C524,MgActId,0)),"")</f>
        <v/>
      </c>
      <c r="H524" s="59" t="inlineStr">
        <is>
          <t>E.4</t>
        </is>
      </c>
      <c r="I524" s="64">
        <f>IFERROR(INDEX(MgAmenNombre,MATCH(SUBSTITUTE($H524,"*","-"),MgAmenClave,0)),"")</f>
        <v/>
      </c>
      <c r="J524" s="28">
        <f>IFERROR(INDEX(MgAmenGrupo,MATCH(SUBSTITUTE($H524,"*","-"),MgAmenClave,0)),"")</f>
        <v/>
      </c>
      <c r="K524" s="64">
        <f>IFERROR(INDEX('1. Matriz de Activos'!$Q$6:$Q$239,MATCH($C524,MgActId,0)),"")</f>
        <v/>
      </c>
      <c r="L524" s="64">
        <f>IFERROR(INDEX('1. Matriz de Activos'!$R$6:$R$239,MATCH($C524,MgActId,0)),"")</f>
        <v/>
      </c>
      <c r="M524" s="64">
        <f>IFERROR(INDEX('1. Matriz de Activos'!$S$6:$S$239,MATCH($C524,MgActId,0)),"")</f>
        <v/>
      </c>
      <c r="N524" s="28">
        <f>IFERROR(INDEX(MgAmenDegD,MATCH(SUBSTITUTE($H524,"*","-"),MgAmenClave,0)),"No aplica")</f>
        <v/>
      </c>
      <c r="O524" s="28">
        <f>IFERROR(INDEX(MgAmenDegI,MATCH(SUBSTITUTE($H524,"*","-"),MgAmenClave,0)),"No aplica")</f>
        <v/>
      </c>
      <c r="P524" s="28">
        <f>IFERROR(INDEX(MgAmenDegC,MATCH(SUBSTITUTE($H524,"*","-"),MgAmenClave,0)),"No aplica")</f>
        <v/>
      </c>
      <c r="Q524" s="29">
        <f>IFERROR(VLOOKUP(K524,MgValor,2,0)*VLOOKUP(N524,MgDeg,2,0),0)</f>
        <v/>
      </c>
      <c r="R524" s="29">
        <f>IFERROR(VLOOKUP(L524,MgValor,2,0)*VLOOKUP(O524,MgDeg,2,0),0)</f>
        <v/>
      </c>
      <c r="S524" s="29">
        <f>IFERROR(VLOOKUP(M524,MgValor,2,0)*VLOOKUP(P524,MgDeg,2,0),0)</f>
        <v/>
      </c>
      <c r="T524" s="30">
        <f>MAX(Q524:S524)</f>
        <v/>
      </c>
      <c r="U524" s="28">
        <f>IFERROR(LOOKUP(T524,{0;0.5;1.5;3;4.5},{"Despreciable";"Bajo";"Medio";"Alto";"Muy alto"}),"")</f>
        <v/>
      </c>
      <c r="V524" s="13">
        <f>IFERROR(INDEX(MgAmenFrec,MATCH(SUBSTITUTE($H524,"*","-"),MgAmenClave,0)),"")</f>
        <v/>
      </c>
      <c r="W524" s="28">
        <f>IFERROR(LOOKUP(X524,{0;0.01;0.1;1;10;100},{"Muy baja";"Muy baja";"Baja";"Media";"Alta";"Muy alta"}),"")</f>
        <v/>
      </c>
      <c r="X524" s="31">
        <f>IFERROR(VLOOKUP(V524,MgFrec,2,0),0)</f>
        <v/>
      </c>
      <c r="Y524" s="30">
        <f>T524*X524</f>
        <v/>
      </c>
      <c r="Z524" s="28">
        <f>IFERROR(LOOKUP(Y524,{0;0.5;5;25},{"Bajo";"Medio";"Alto";"Crítico"}),"")</f>
        <v/>
      </c>
      <c r="AA524" s="64">
        <f>IF(T524&gt;=3,IF(X524&gt;=1,"Zona 1 — Crítica: impacto alto y ocurre al menos una vez al año","Zona 4 — Catastrófica poco probable: impacto alto pero excepcional"),IF(AND(T524&lt;1.5,X524&lt;1),"Zona 3 — Asumible: impacto bajo y muy poco frecuente","Zona 2 — Atención: riesgo intermedio"))</f>
        <v/>
      </c>
      <c r="AB524" s="64">
        <f>IFERROR(INDEX(MgAmenCtrl,MATCH(SUBSTITUTE($H524,"*","-"),MgAmenClave,0)),"")</f>
        <v/>
      </c>
      <c r="AC524" s="20" t="n"/>
      <c r="AD524" s="31">
        <f>IFERROR($X524*(1-IF($AC524="",$AL524,VLOOKUP($AC524,MgMad,2,0))),"")</f>
        <v/>
      </c>
      <c r="AE524" s="28">
        <f>IFERROR(LOOKUP(AD524,{0;0.01;0.1;1;10;100},{"Muy baja";"Muy baja";"Baja";"Media";"Alta";"Muy alta"}),"")</f>
        <v/>
      </c>
      <c r="AF524" s="30">
        <f>T524*AD524</f>
        <v/>
      </c>
      <c r="AG524" s="28">
        <f>IFERROR(LOOKUP(AF524,{0;0.5;5;25},{"Bajo";"Medio";"Alto";"Crítico"}),"")</f>
        <v/>
      </c>
      <c r="AH524" s="28">
        <f>IF(AG524="","",IF(OR(AG524="Crítico",AG524="Alto"),"Mitigar",IF(AG524="Medio","Mitigar","Aceptar y monitorear")))</f>
        <v/>
      </c>
      <c r="AI524" s="21" t="n"/>
      <c r="AJ524" s="21" t="n"/>
      <c r="AK524" s="20" t="n"/>
      <c r="AL524" s="77">
        <f>IFERROR(INDEX(MgAmenEfic,MATCH(SUBSTITUTE($H524,"*","-"),MgAmenClave,0)),0)</f>
        <v/>
      </c>
    </row>
    <row r="525" hidden="1" ht="90" customHeight="1" s="54">
      <c r="B525" s="59" t="inlineStr">
        <is>
          <t>R-0520</t>
        </is>
      </c>
      <c r="C525" s="59" t="inlineStr">
        <is>
          <t>FIN-06</t>
        </is>
      </c>
      <c r="D525" s="64">
        <f>IFERROR(INDEX(MgNombre,MATCH($C525,MgActId,0)),"")</f>
        <v/>
      </c>
      <c r="E525" s="64">
        <f>IFERROR(INDEX(MgProceso,MATCH($C525,MgActId,0)),"")</f>
        <v/>
      </c>
      <c r="F525" s="64">
        <f>IFERROR(INDEX(MgTipo,MATCH($C525,MgActId,0)),"")</f>
        <v/>
      </c>
      <c r="G525" s="64">
        <f>IFERROR(INDEX(MgSubtipo,MATCH($C525,MgActId,0)),"")</f>
        <v/>
      </c>
      <c r="H525" s="59" t="inlineStr">
        <is>
          <t>E.14</t>
        </is>
      </c>
      <c r="I525" s="64">
        <f>IFERROR(INDEX(MgAmenNombre,MATCH(SUBSTITUTE($H525,"*","-"),MgAmenClave,0)),"")</f>
        <v/>
      </c>
      <c r="J525" s="28">
        <f>IFERROR(INDEX(MgAmenGrupo,MATCH(SUBSTITUTE($H525,"*","-"),MgAmenClave,0)),"")</f>
        <v/>
      </c>
      <c r="K525" s="64">
        <f>IFERROR(INDEX('1. Matriz de Activos'!$Q$6:$Q$239,MATCH($C525,MgActId,0)),"")</f>
        <v/>
      </c>
      <c r="L525" s="64">
        <f>IFERROR(INDEX('1. Matriz de Activos'!$R$6:$R$239,MATCH($C525,MgActId,0)),"")</f>
        <v/>
      </c>
      <c r="M525" s="64">
        <f>IFERROR(INDEX('1. Matriz de Activos'!$S$6:$S$239,MATCH($C525,MgActId,0)),"")</f>
        <v/>
      </c>
      <c r="N525" s="28">
        <f>IFERROR(INDEX(MgAmenDegD,MATCH(SUBSTITUTE($H525,"*","-"),MgAmenClave,0)),"No aplica")</f>
        <v/>
      </c>
      <c r="O525" s="28">
        <f>IFERROR(INDEX(MgAmenDegI,MATCH(SUBSTITUTE($H525,"*","-"),MgAmenClave,0)),"No aplica")</f>
        <v/>
      </c>
      <c r="P525" s="28">
        <f>IFERROR(INDEX(MgAmenDegC,MATCH(SUBSTITUTE($H525,"*","-"),MgAmenClave,0)),"No aplica")</f>
        <v/>
      </c>
      <c r="Q525" s="29">
        <f>IFERROR(VLOOKUP(K525,MgValor,2,0)*VLOOKUP(N525,MgDeg,2,0),0)</f>
        <v/>
      </c>
      <c r="R525" s="29">
        <f>IFERROR(VLOOKUP(L525,MgValor,2,0)*VLOOKUP(O525,MgDeg,2,0),0)</f>
        <v/>
      </c>
      <c r="S525" s="29">
        <f>IFERROR(VLOOKUP(M525,MgValor,2,0)*VLOOKUP(P525,MgDeg,2,0),0)</f>
        <v/>
      </c>
      <c r="T525" s="30">
        <f>MAX(Q525:S525)</f>
        <v/>
      </c>
      <c r="U525" s="28">
        <f>IFERROR(LOOKUP(T525,{0;0.5;1.5;3;4.5},{"Despreciable";"Bajo";"Medio";"Alto";"Muy alto"}),"")</f>
        <v/>
      </c>
      <c r="V525" s="13">
        <f>IFERROR(INDEX(MgAmenFrec,MATCH(SUBSTITUTE($H525,"*","-"),MgAmenClave,0)),"")</f>
        <v/>
      </c>
      <c r="W525" s="28">
        <f>IFERROR(LOOKUP(X525,{0;0.01;0.1;1;10;100},{"Muy baja";"Muy baja";"Baja";"Media";"Alta";"Muy alta"}),"")</f>
        <v/>
      </c>
      <c r="X525" s="31">
        <f>IFERROR(VLOOKUP(V525,MgFrec,2,0),0)</f>
        <v/>
      </c>
      <c r="Y525" s="30">
        <f>T525*X525</f>
        <v/>
      </c>
      <c r="Z525" s="28">
        <f>IFERROR(LOOKUP(Y525,{0;0.5;5;25},{"Bajo";"Medio";"Alto";"Crítico"}),"")</f>
        <v/>
      </c>
      <c r="AA525" s="64">
        <f>IF(T525&gt;=3,IF(X525&gt;=1,"Zona 1 — Crítica: impacto alto y ocurre al menos una vez al año","Zona 4 — Catastrófica poco probable: impacto alto pero excepcional"),IF(AND(T525&lt;1.5,X525&lt;1),"Zona 3 — Asumible: impacto bajo y muy poco frecuente","Zona 2 — Atención: riesgo intermedio"))</f>
        <v/>
      </c>
      <c r="AB525" s="64">
        <f>IFERROR(INDEX(MgAmenCtrl,MATCH(SUBSTITUTE($H525,"*","-"),MgAmenClave,0)),"")</f>
        <v/>
      </c>
      <c r="AC525" s="20" t="n"/>
      <c r="AD525" s="31">
        <f>IFERROR($X525*(1-IF($AC525="",$AL525,VLOOKUP($AC525,MgMad,2,0))),"")</f>
        <v/>
      </c>
      <c r="AE525" s="28">
        <f>IFERROR(LOOKUP(AD525,{0;0.01;0.1;1;10;100},{"Muy baja";"Muy baja";"Baja";"Media";"Alta";"Muy alta"}),"")</f>
        <v/>
      </c>
      <c r="AF525" s="30">
        <f>T525*AD525</f>
        <v/>
      </c>
      <c r="AG525" s="28">
        <f>IFERROR(LOOKUP(AF525,{0;0.5;5;25},{"Bajo";"Medio";"Alto";"Crítico"}),"")</f>
        <v/>
      </c>
      <c r="AH525" s="28">
        <f>IF(AG525="","",IF(OR(AG525="Crítico",AG525="Alto"),"Mitigar",IF(AG525="Medio","Mitigar","Aceptar y monitorear")))</f>
        <v/>
      </c>
      <c r="AI525" s="21" t="n"/>
      <c r="AJ525" s="21" t="n"/>
      <c r="AK525" s="20" t="n"/>
      <c r="AL525" s="77">
        <f>IFERROR(INDEX(MgAmenEfic,MATCH(SUBSTITUTE($H525,"*","-"),MgAmenClave,0)),0)</f>
        <v/>
      </c>
    </row>
    <row r="526" hidden="1" ht="90" customHeight="1" s="54">
      <c r="B526" s="59" t="inlineStr">
        <is>
          <t>R-0521</t>
        </is>
      </c>
      <c r="C526" s="59" t="inlineStr">
        <is>
          <t>FIN-06</t>
        </is>
      </c>
      <c r="D526" s="64">
        <f>IFERROR(INDEX(MgNombre,MATCH($C526,MgActId,0)),"")</f>
        <v/>
      </c>
      <c r="E526" s="64">
        <f>IFERROR(INDEX(MgProceso,MATCH($C526,MgActId,0)),"")</f>
        <v/>
      </c>
      <c r="F526" s="64">
        <f>IFERROR(INDEX(MgTipo,MATCH($C526,MgActId,0)),"")</f>
        <v/>
      </c>
      <c r="G526" s="64">
        <f>IFERROR(INDEX(MgSubtipo,MATCH($C526,MgActId,0)),"")</f>
        <v/>
      </c>
      <c r="H526" s="59" t="inlineStr">
        <is>
          <t>E.15</t>
        </is>
      </c>
      <c r="I526" s="64">
        <f>IFERROR(INDEX(MgAmenNombre,MATCH(SUBSTITUTE($H526,"*","-"),MgAmenClave,0)),"")</f>
        <v/>
      </c>
      <c r="J526" s="28">
        <f>IFERROR(INDEX(MgAmenGrupo,MATCH(SUBSTITUTE($H526,"*","-"),MgAmenClave,0)),"")</f>
        <v/>
      </c>
      <c r="K526" s="64">
        <f>IFERROR(INDEX('1. Matriz de Activos'!$Q$6:$Q$239,MATCH($C526,MgActId,0)),"")</f>
        <v/>
      </c>
      <c r="L526" s="64">
        <f>IFERROR(INDEX('1. Matriz de Activos'!$R$6:$R$239,MATCH($C526,MgActId,0)),"")</f>
        <v/>
      </c>
      <c r="M526" s="64">
        <f>IFERROR(INDEX('1. Matriz de Activos'!$S$6:$S$239,MATCH($C526,MgActId,0)),"")</f>
        <v/>
      </c>
      <c r="N526" s="28">
        <f>IFERROR(INDEX(MgAmenDegD,MATCH(SUBSTITUTE($H526,"*","-"),MgAmenClave,0)),"No aplica")</f>
        <v/>
      </c>
      <c r="O526" s="28">
        <f>IFERROR(INDEX(MgAmenDegI,MATCH(SUBSTITUTE($H526,"*","-"),MgAmenClave,0)),"No aplica")</f>
        <v/>
      </c>
      <c r="P526" s="28">
        <f>IFERROR(INDEX(MgAmenDegC,MATCH(SUBSTITUTE($H526,"*","-"),MgAmenClave,0)),"No aplica")</f>
        <v/>
      </c>
      <c r="Q526" s="29">
        <f>IFERROR(VLOOKUP(K526,MgValor,2,0)*VLOOKUP(N526,MgDeg,2,0),0)</f>
        <v/>
      </c>
      <c r="R526" s="29">
        <f>IFERROR(VLOOKUP(L526,MgValor,2,0)*VLOOKUP(O526,MgDeg,2,0),0)</f>
        <v/>
      </c>
      <c r="S526" s="29">
        <f>IFERROR(VLOOKUP(M526,MgValor,2,0)*VLOOKUP(P526,MgDeg,2,0),0)</f>
        <v/>
      </c>
      <c r="T526" s="30">
        <f>MAX(Q526:S526)</f>
        <v/>
      </c>
      <c r="U526" s="28">
        <f>IFERROR(LOOKUP(T526,{0;0.5;1.5;3;4.5},{"Despreciable";"Bajo";"Medio";"Alto";"Muy alto"}),"")</f>
        <v/>
      </c>
      <c r="V526" s="13">
        <f>IFERROR(INDEX(MgAmenFrec,MATCH(SUBSTITUTE($H526,"*","-"),MgAmenClave,0)),"")</f>
        <v/>
      </c>
      <c r="W526" s="28">
        <f>IFERROR(LOOKUP(X526,{0;0.01;0.1;1;10;100},{"Muy baja";"Muy baja";"Baja";"Media";"Alta";"Muy alta"}),"")</f>
        <v/>
      </c>
      <c r="X526" s="31">
        <f>IFERROR(VLOOKUP(V526,MgFrec,2,0),0)</f>
        <v/>
      </c>
      <c r="Y526" s="30">
        <f>T526*X526</f>
        <v/>
      </c>
      <c r="Z526" s="28">
        <f>IFERROR(LOOKUP(Y526,{0;0.5;5;25},{"Bajo";"Medio";"Alto";"Crítico"}),"")</f>
        <v/>
      </c>
      <c r="AA526" s="64">
        <f>IF(T526&gt;=3,IF(X526&gt;=1,"Zona 1 — Crítica: impacto alto y ocurre al menos una vez al año","Zona 4 — Catastrófica poco probable: impacto alto pero excepcional"),IF(AND(T526&lt;1.5,X526&lt;1),"Zona 3 — Asumible: impacto bajo y muy poco frecuente","Zona 2 — Atención: riesgo intermedio"))</f>
        <v/>
      </c>
      <c r="AB526" s="64">
        <f>IFERROR(INDEX(MgAmenCtrl,MATCH(SUBSTITUTE($H526,"*","-"),MgAmenClave,0)),"")</f>
        <v/>
      </c>
      <c r="AC526" s="20" t="n"/>
      <c r="AD526" s="31">
        <f>IFERROR($X526*(1-IF($AC526="",$AL526,VLOOKUP($AC526,MgMad,2,0))),"")</f>
        <v/>
      </c>
      <c r="AE526" s="28">
        <f>IFERROR(LOOKUP(AD526,{0;0.01;0.1;1;10;100},{"Muy baja";"Muy baja";"Baja";"Media";"Alta";"Muy alta"}),"")</f>
        <v/>
      </c>
      <c r="AF526" s="30">
        <f>T526*AD526</f>
        <v/>
      </c>
      <c r="AG526" s="28">
        <f>IFERROR(LOOKUP(AF526,{0;0.5;5;25},{"Bajo";"Medio";"Alto";"Crítico"}),"")</f>
        <v/>
      </c>
      <c r="AH526" s="28">
        <f>IF(AG526="","",IF(OR(AG526="Crítico",AG526="Alto"),"Mitigar",IF(AG526="Medio","Mitigar","Aceptar y monitorear")))</f>
        <v/>
      </c>
      <c r="AI526" s="21" t="n"/>
      <c r="AJ526" s="21" t="n"/>
      <c r="AK526" s="20" t="n"/>
      <c r="AL526" s="77">
        <f>IFERROR(INDEX(MgAmenEfic,MATCH(SUBSTITUTE($H526,"*","-"),MgAmenClave,0)),0)</f>
        <v/>
      </c>
    </row>
    <row r="527" hidden="1" ht="60" customHeight="1" s="54">
      <c r="B527" s="59" t="inlineStr">
        <is>
          <t>R-0522</t>
        </is>
      </c>
      <c r="C527" s="59" t="inlineStr">
        <is>
          <t>FIN-06</t>
        </is>
      </c>
      <c r="D527" s="64">
        <f>IFERROR(INDEX(MgNombre,MATCH($C527,MgActId,0)),"")</f>
        <v/>
      </c>
      <c r="E527" s="64">
        <f>IFERROR(INDEX(MgProceso,MATCH($C527,MgActId,0)),"")</f>
        <v/>
      </c>
      <c r="F527" s="64">
        <f>IFERROR(INDEX(MgTipo,MATCH($C527,MgActId,0)),"")</f>
        <v/>
      </c>
      <c r="G527" s="64">
        <f>IFERROR(INDEX(MgSubtipo,MATCH($C527,MgActId,0)),"")</f>
        <v/>
      </c>
      <c r="H527" s="59" t="inlineStr">
        <is>
          <t>E.18</t>
        </is>
      </c>
      <c r="I527" s="64">
        <f>IFERROR(INDEX(MgAmenNombre,MATCH(SUBSTITUTE($H527,"*","-"),MgAmenClave,0)),"")</f>
        <v/>
      </c>
      <c r="J527" s="28">
        <f>IFERROR(INDEX(MgAmenGrupo,MATCH(SUBSTITUTE($H527,"*","-"),MgAmenClave,0)),"")</f>
        <v/>
      </c>
      <c r="K527" s="64">
        <f>IFERROR(INDEX('1. Matriz de Activos'!$Q$6:$Q$239,MATCH($C527,MgActId,0)),"")</f>
        <v/>
      </c>
      <c r="L527" s="64">
        <f>IFERROR(INDEX('1. Matriz de Activos'!$R$6:$R$239,MATCH($C527,MgActId,0)),"")</f>
        <v/>
      </c>
      <c r="M527" s="64">
        <f>IFERROR(INDEX('1. Matriz de Activos'!$S$6:$S$239,MATCH($C527,MgActId,0)),"")</f>
        <v/>
      </c>
      <c r="N527" s="28">
        <f>IFERROR(INDEX(MgAmenDegD,MATCH(SUBSTITUTE($H527,"*","-"),MgAmenClave,0)),"No aplica")</f>
        <v/>
      </c>
      <c r="O527" s="28">
        <f>IFERROR(INDEX(MgAmenDegI,MATCH(SUBSTITUTE($H527,"*","-"),MgAmenClave,0)),"No aplica")</f>
        <v/>
      </c>
      <c r="P527" s="28">
        <f>IFERROR(INDEX(MgAmenDegC,MATCH(SUBSTITUTE($H527,"*","-"),MgAmenClave,0)),"No aplica")</f>
        <v/>
      </c>
      <c r="Q527" s="29">
        <f>IFERROR(VLOOKUP(K527,MgValor,2,0)*VLOOKUP(N527,MgDeg,2,0),0)</f>
        <v/>
      </c>
      <c r="R527" s="29">
        <f>IFERROR(VLOOKUP(L527,MgValor,2,0)*VLOOKUP(O527,MgDeg,2,0),0)</f>
        <v/>
      </c>
      <c r="S527" s="29">
        <f>IFERROR(VLOOKUP(M527,MgValor,2,0)*VLOOKUP(P527,MgDeg,2,0),0)</f>
        <v/>
      </c>
      <c r="T527" s="30">
        <f>MAX(Q527:S527)</f>
        <v/>
      </c>
      <c r="U527" s="28">
        <f>IFERROR(LOOKUP(T527,{0;0.5;1.5;3;4.5},{"Despreciable";"Bajo";"Medio";"Alto";"Muy alto"}),"")</f>
        <v/>
      </c>
      <c r="V527" s="13">
        <f>IFERROR(INDEX(MgAmenFrec,MATCH(SUBSTITUTE($H527,"*","-"),MgAmenClave,0)),"")</f>
        <v/>
      </c>
      <c r="W527" s="28">
        <f>IFERROR(LOOKUP(X527,{0;0.01;0.1;1;10;100},{"Muy baja";"Muy baja";"Baja";"Media";"Alta";"Muy alta"}),"")</f>
        <v/>
      </c>
      <c r="X527" s="31">
        <f>IFERROR(VLOOKUP(V527,MgFrec,2,0),0)</f>
        <v/>
      </c>
      <c r="Y527" s="30">
        <f>T527*X527</f>
        <v/>
      </c>
      <c r="Z527" s="28">
        <f>IFERROR(LOOKUP(Y527,{0;0.5;5;25},{"Bajo";"Medio";"Alto";"Crítico"}),"")</f>
        <v/>
      </c>
      <c r="AA527" s="64">
        <f>IF(T527&gt;=3,IF(X527&gt;=1,"Zona 1 — Crítica: impacto alto y ocurre al menos una vez al año","Zona 4 — Catastrófica poco probable: impacto alto pero excepcional"),IF(AND(T527&lt;1.5,X527&lt;1),"Zona 3 — Asumible: impacto bajo y muy poco frecuente","Zona 2 — Atención: riesgo intermedio"))</f>
        <v/>
      </c>
      <c r="AB527" s="64">
        <f>IFERROR(INDEX(MgAmenCtrl,MATCH(SUBSTITUTE($H527,"*","-"),MgAmenClave,0)),"")</f>
        <v/>
      </c>
      <c r="AC527" s="20" t="n"/>
      <c r="AD527" s="31">
        <f>IFERROR($X527*(1-IF($AC527="",$AL527,VLOOKUP($AC527,MgMad,2,0))),"")</f>
        <v/>
      </c>
      <c r="AE527" s="28">
        <f>IFERROR(LOOKUP(AD527,{0;0.01;0.1;1;10;100},{"Muy baja";"Muy baja";"Baja";"Media";"Alta";"Muy alta"}),"")</f>
        <v/>
      </c>
      <c r="AF527" s="30">
        <f>T527*AD527</f>
        <v/>
      </c>
      <c r="AG527" s="28">
        <f>IFERROR(LOOKUP(AF527,{0;0.5;5;25},{"Bajo";"Medio";"Alto";"Crítico"}),"")</f>
        <v/>
      </c>
      <c r="AH527" s="28">
        <f>IF(AG527="","",IF(OR(AG527="Crítico",AG527="Alto"),"Mitigar",IF(AG527="Medio","Mitigar","Aceptar y monitorear")))</f>
        <v/>
      </c>
      <c r="AI527" s="21" t="n"/>
      <c r="AJ527" s="21" t="n"/>
      <c r="AK527" s="20" t="n"/>
      <c r="AL527" s="77">
        <f>IFERROR(INDEX(MgAmenEfic,MATCH(SUBSTITUTE($H527,"*","-"),MgAmenClave,0)),0)</f>
        <v/>
      </c>
    </row>
    <row r="528" hidden="1" ht="105" customHeight="1" s="54">
      <c r="B528" s="59" t="inlineStr">
        <is>
          <t>R-0523</t>
        </is>
      </c>
      <c r="C528" s="59" t="inlineStr">
        <is>
          <t>FIN-06</t>
        </is>
      </c>
      <c r="D528" s="64">
        <f>IFERROR(INDEX(MgNombre,MATCH($C528,MgActId,0)),"")</f>
        <v/>
      </c>
      <c r="E528" s="64">
        <f>IFERROR(INDEX(MgProceso,MATCH($C528,MgActId,0)),"")</f>
        <v/>
      </c>
      <c r="F528" s="64">
        <f>IFERROR(INDEX(MgTipo,MATCH($C528,MgActId,0)),"")</f>
        <v/>
      </c>
      <c r="G528" s="64">
        <f>IFERROR(INDEX(MgSubtipo,MATCH($C528,MgActId,0)),"")</f>
        <v/>
      </c>
      <c r="H528" s="59" t="inlineStr">
        <is>
          <t>E.19</t>
        </is>
      </c>
      <c r="I528" s="64">
        <f>IFERROR(INDEX(MgAmenNombre,MATCH(SUBSTITUTE($H528,"*","-"),MgAmenClave,0)),"")</f>
        <v/>
      </c>
      <c r="J528" s="28">
        <f>IFERROR(INDEX(MgAmenGrupo,MATCH(SUBSTITUTE($H528,"*","-"),MgAmenClave,0)),"")</f>
        <v/>
      </c>
      <c r="K528" s="64">
        <f>IFERROR(INDEX('1. Matriz de Activos'!$Q$6:$Q$239,MATCH($C528,MgActId,0)),"")</f>
        <v/>
      </c>
      <c r="L528" s="64">
        <f>IFERROR(INDEX('1. Matriz de Activos'!$R$6:$R$239,MATCH($C528,MgActId,0)),"")</f>
        <v/>
      </c>
      <c r="M528" s="64">
        <f>IFERROR(INDEX('1. Matriz de Activos'!$S$6:$S$239,MATCH($C528,MgActId,0)),"")</f>
        <v/>
      </c>
      <c r="N528" s="28">
        <f>IFERROR(INDEX(MgAmenDegD,MATCH(SUBSTITUTE($H528,"*","-"),MgAmenClave,0)),"No aplica")</f>
        <v/>
      </c>
      <c r="O528" s="28">
        <f>IFERROR(INDEX(MgAmenDegI,MATCH(SUBSTITUTE($H528,"*","-"),MgAmenClave,0)),"No aplica")</f>
        <v/>
      </c>
      <c r="P528" s="28">
        <f>IFERROR(INDEX(MgAmenDegC,MATCH(SUBSTITUTE($H528,"*","-"),MgAmenClave,0)),"No aplica")</f>
        <v/>
      </c>
      <c r="Q528" s="29">
        <f>IFERROR(VLOOKUP(K528,MgValor,2,0)*VLOOKUP(N528,MgDeg,2,0),0)</f>
        <v/>
      </c>
      <c r="R528" s="29">
        <f>IFERROR(VLOOKUP(L528,MgValor,2,0)*VLOOKUP(O528,MgDeg,2,0),0)</f>
        <v/>
      </c>
      <c r="S528" s="29">
        <f>IFERROR(VLOOKUP(M528,MgValor,2,0)*VLOOKUP(P528,MgDeg,2,0),0)</f>
        <v/>
      </c>
      <c r="T528" s="30">
        <f>MAX(Q528:S528)</f>
        <v/>
      </c>
      <c r="U528" s="28">
        <f>IFERROR(LOOKUP(T528,{0;0.5;1.5;3;4.5},{"Despreciable";"Bajo";"Medio";"Alto";"Muy alto"}),"")</f>
        <v/>
      </c>
      <c r="V528" s="13">
        <f>IFERROR(INDEX(MgAmenFrec,MATCH(SUBSTITUTE($H528,"*","-"),MgAmenClave,0)),"")</f>
        <v/>
      </c>
      <c r="W528" s="28">
        <f>IFERROR(LOOKUP(X528,{0;0.01;0.1;1;10;100},{"Muy baja";"Muy baja";"Baja";"Media";"Alta";"Muy alta"}),"")</f>
        <v/>
      </c>
      <c r="X528" s="31">
        <f>IFERROR(VLOOKUP(V528,MgFrec,2,0),0)</f>
        <v/>
      </c>
      <c r="Y528" s="30">
        <f>T528*X528</f>
        <v/>
      </c>
      <c r="Z528" s="28">
        <f>IFERROR(LOOKUP(Y528,{0;0.5;5;25},{"Bajo";"Medio";"Alto";"Crítico"}),"")</f>
        <v/>
      </c>
      <c r="AA528" s="64">
        <f>IF(T528&gt;=3,IF(X528&gt;=1,"Zona 1 — Crítica: impacto alto y ocurre al menos una vez al año","Zona 4 — Catastrófica poco probable: impacto alto pero excepcional"),IF(AND(T528&lt;1.5,X528&lt;1),"Zona 3 — Asumible: impacto bajo y muy poco frecuente","Zona 2 — Atención: riesgo intermedio"))</f>
        <v/>
      </c>
      <c r="AB528" s="64">
        <f>IFERROR(INDEX(MgAmenCtrl,MATCH(SUBSTITUTE($H528,"*","-"),MgAmenClave,0)),"")</f>
        <v/>
      </c>
      <c r="AC528" s="20" t="n"/>
      <c r="AD528" s="31">
        <f>IFERROR($X528*(1-IF($AC528="",$AL528,VLOOKUP($AC528,MgMad,2,0))),"")</f>
        <v/>
      </c>
      <c r="AE528" s="28">
        <f>IFERROR(LOOKUP(AD528,{0;0.01;0.1;1;10;100},{"Muy baja";"Muy baja";"Baja";"Media";"Alta";"Muy alta"}),"")</f>
        <v/>
      </c>
      <c r="AF528" s="30">
        <f>T528*AD528</f>
        <v/>
      </c>
      <c r="AG528" s="28">
        <f>IFERROR(LOOKUP(AF528,{0;0.5;5;25},{"Bajo";"Medio";"Alto";"Crítico"}),"")</f>
        <v/>
      </c>
      <c r="AH528" s="28">
        <f>IF(AG528="","",IF(OR(AG528="Crítico",AG528="Alto"),"Mitigar",IF(AG528="Medio","Mitigar","Aceptar y monitorear")))</f>
        <v/>
      </c>
      <c r="AI528" s="21" t="n"/>
      <c r="AJ528" s="21" t="n"/>
      <c r="AK528" s="20" t="n"/>
      <c r="AL528" s="77">
        <f>IFERROR(INDEX(MgAmenEfic,MATCH(SUBSTITUTE($H528,"*","-"),MgAmenClave,0)),0)</f>
        <v/>
      </c>
    </row>
    <row r="529" hidden="1" ht="60" customHeight="1" s="54">
      <c r="B529" s="59" t="inlineStr">
        <is>
          <t>R-0524</t>
        </is>
      </c>
      <c r="C529" s="59" t="inlineStr">
        <is>
          <t>FIN-06</t>
        </is>
      </c>
      <c r="D529" s="64">
        <f>IFERROR(INDEX(MgNombre,MATCH($C529,MgActId,0)),"")</f>
        <v/>
      </c>
      <c r="E529" s="64">
        <f>IFERROR(INDEX(MgProceso,MATCH($C529,MgActId,0)),"")</f>
        <v/>
      </c>
      <c r="F529" s="64">
        <f>IFERROR(INDEX(MgTipo,MATCH($C529,MgActId,0)),"")</f>
        <v/>
      </c>
      <c r="G529" s="64">
        <f>IFERROR(INDEX(MgSubtipo,MATCH($C529,MgActId,0)),"")</f>
        <v/>
      </c>
      <c r="H529" s="59" t="inlineStr">
        <is>
          <t>A.3</t>
        </is>
      </c>
      <c r="I529" s="64">
        <f>IFERROR(INDEX(MgAmenNombre,MATCH(SUBSTITUTE($H529,"*","-"),MgAmenClave,0)),"")</f>
        <v/>
      </c>
      <c r="J529" s="28">
        <f>IFERROR(INDEX(MgAmenGrupo,MATCH(SUBSTITUTE($H529,"*","-"),MgAmenClave,0)),"")</f>
        <v/>
      </c>
      <c r="K529" s="64">
        <f>IFERROR(INDEX('1. Matriz de Activos'!$Q$6:$Q$239,MATCH($C529,MgActId,0)),"")</f>
        <v/>
      </c>
      <c r="L529" s="64">
        <f>IFERROR(INDEX('1. Matriz de Activos'!$R$6:$R$239,MATCH($C529,MgActId,0)),"")</f>
        <v/>
      </c>
      <c r="M529" s="64">
        <f>IFERROR(INDEX('1. Matriz de Activos'!$S$6:$S$239,MATCH($C529,MgActId,0)),"")</f>
        <v/>
      </c>
      <c r="N529" s="28">
        <f>IFERROR(INDEX(MgAmenDegD,MATCH(SUBSTITUTE($H529,"*","-"),MgAmenClave,0)),"No aplica")</f>
        <v/>
      </c>
      <c r="O529" s="28">
        <f>IFERROR(INDEX(MgAmenDegI,MATCH(SUBSTITUTE($H529,"*","-"),MgAmenClave,0)),"No aplica")</f>
        <v/>
      </c>
      <c r="P529" s="28">
        <f>IFERROR(INDEX(MgAmenDegC,MATCH(SUBSTITUTE($H529,"*","-"),MgAmenClave,0)),"No aplica")</f>
        <v/>
      </c>
      <c r="Q529" s="29">
        <f>IFERROR(VLOOKUP(K529,MgValor,2,0)*VLOOKUP(N529,MgDeg,2,0),0)</f>
        <v/>
      </c>
      <c r="R529" s="29">
        <f>IFERROR(VLOOKUP(L529,MgValor,2,0)*VLOOKUP(O529,MgDeg,2,0),0)</f>
        <v/>
      </c>
      <c r="S529" s="29">
        <f>IFERROR(VLOOKUP(M529,MgValor,2,0)*VLOOKUP(P529,MgDeg,2,0),0)</f>
        <v/>
      </c>
      <c r="T529" s="30">
        <f>MAX(Q529:S529)</f>
        <v/>
      </c>
      <c r="U529" s="28">
        <f>IFERROR(LOOKUP(T529,{0;0.5;1.5;3;4.5},{"Despreciable";"Bajo";"Medio";"Alto";"Muy alto"}),"")</f>
        <v/>
      </c>
      <c r="V529" s="13">
        <f>IFERROR(INDEX(MgAmenFrec,MATCH(SUBSTITUTE($H529,"*","-"),MgAmenClave,0)),"")</f>
        <v/>
      </c>
      <c r="W529" s="28">
        <f>IFERROR(LOOKUP(X529,{0;0.01;0.1;1;10;100},{"Muy baja";"Muy baja";"Baja";"Media";"Alta";"Muy alta"}),"")</f>
        <v/>
      </c>
      <c r="X529" s="31">
        <f>IFERROR(VLOOKUP(V529,MgFrec,2,0),0)</f>
        <v/>
      </c>
      <c r="Y529" s="30">
        <f>T529*X529</f>
        <v/>
      </c>
      <c r="Z529" s="28">
        <f>IFERROR(LOOKUP(Y529,{0;0.5;5;25},{"Bajo";"Medio";"Alto";"Crítico"}),"")</f>
        <v/>
      </c>
      <c r="AA529" s="64">
        <f>IF(T529&gt;=3,IF(X529&gt;=1,"Zona 1 — Crítica: impacto alto y ocurre al menos una vez al año","Zona 4 — Catastrófica poco probable: impacto alto pero excepcional"),IF(AND(T529&lt;1.5,X529&lt;1),"Zona 3 — Asumible: impacto bajo y muy poco frecuente","Zona 2 — Atención: riesgo intermedio"))</f>
        <v/>
      </c>
      <c r="AB529" s="64">
        <f>IFERROR(INDEX(MgAmenCtrl,MATCH(SUBSTITUTE($H529,"*","-"),MgAmenClave,0)),"")</f>
        <v/>
      </c>
      <c r="AC529" s="20" t="n"/>
      <c r="AD529" s="31">
        <f>IFERROR($X529*(1-IF($AC529="",$AL529,VLOOKUP($AC529,MgMad,2,0))),"")</f>
        <v/>
      </c>
      <c r="AE529" s="28">
        <f>IFERROR(LOOKUP(AD529,{0;0.01;0.1;1;10;100},{"Muy baja";"Muy baja";"Baja";"Media";"Alta";"Muy alta"}),"")</f>
        <v/>
      </c>
      <c r="AF529" s="30">
        <f>T529*AD529</f>
        <v/>
      </c>
      <c r="AG529" s="28">
        <f>IFERROR(LOOKUP(AF529,{0;0.5;5;25},{"Bajo";"Medio";"Alto";"Crítico"}),"")</f>
        <v/>
      </c>
      <c r="AH529" s="28">
        <f>IF(AG529="","",IF(OR(AG529="Crítico",AG529="Alto"),"Mitigar",IF(AG529="Medio","Mitigar","Aceptar y monitorear")))</f>
        <v/>
      </c>
      <c r="AI529" s="21" t="n"/>
      <c r="AJ529" s="21" t="n"/>
      <c r="AK529" s="20" t="n"/>
      <c r="AL529" s="77">
        <f>IFERROR(INDEX(MgAmenEfic,MATCH(SUBSTITUTE($H529,"*","-"),MgAmenClave,0)),0)</f>
        <v/>
      </c>
    </row>
    <row r="530" hidden="1" ht="60" customHeight="1" s="54">
      <c r="B530" s="59" t="inlineStr">
        <is>
          <t>R-0525</t>
        </is>
      </c>
      <c r="C530" s="59" t="inlineStr">
        <is>
          <t>FIN-06</t>
        </is>
      </c>
      <c r="D530" s="64">
        <f>IFERROR(INDEX(MgNombre,MATCH($C530,MgActId,0)),"")</f>
        <v/>
      </c>
      <c r="E530" s="64">
        <f>IFERROR(INDEX(MgProceso,MATCH($C530,MgActId,0)),"")</f>
        <v/>
      </c>
      <c r="F530" s="64">
        <f>IFERROR(INDEX(MgTipo,MATCH($C530,MgActId,0)),"")</f>
        <v/>
      </c>
      <c r="G530" s="64">
        <f>IFERROR(INDEX(MgSubtipo,MATCH($C530,MgActId,0)),"")</f>
        <v/>
      </c>
      <c r="H530" s="59" t="inlineStr">
        <is>
          <t>A.4</t>
        </is>
      </c>
      <c r="I530" s="64">
        <f>IFERROR(INDEX(MgAmenNombre,MATCH(SUBSTITUTE($H530,"*","-"),MgAmenClave,0)),"")</f>
        <v/>
      </c>
      <c r="J530" s="28">
        <f>IFERROR(INDEX(MgAmenGrupo,MATCH(SUBSTITUTE($H530,"*","-"),MgAmenClave,0)),"")</f>
        <v/>
      </c>
      <c r="K530" s="64">
        <f>IFERROR(INDEX('1. Matriz de Activos'!$Q$6:$Q$239,MATCH($C530,MgActId,0)),"")</f>
        <v/>
      </c>
      <c r="L530" s="64">
        <f>IFERROR(INDEX('1. Matriz de Activos'!$R$6:$R$239,MATCH($C530,MgActId,0)),"")</f>
        <v/>
      </c>
      <c r="M530" s="64">
        <f>IFERROR(INDEX('1. Matriz de Activos'!$S$6:$S$239,MATCH($C530,MgActId,0)),"")</f>
        <v/>
      </c>
      <c r="N530" s="28">
        <f>IFERROR(INDEX(MgAmenDegD,MATCH(SUBSTITUTE($H530,"*","-"),MgAmenClave,0)),"No aplica")</f>
        <v/>
      </c>
      <c r="O530" s="28">
        <f>IFERROR(INDEX(MgAmenDegI,MATCH(SUBSTITUTE($H530,"*","-"),MgAmenClave,0)),"No aplica")</f>
        <v/>
      </c>
      <c r="P530" s="28">
        <f>IFERROR(INDEX(MgAmenDegC,MATCH(SUBSTITUTE($H530,"*","-"),MgAmenClave,0)),"No aplica")</f>
        <v/>
      </c>
      <c r="Q530" s="29">
        <f>IFERROR(VLOOKUP(K530,MgValor,2,0)*VLOOKUP(N530,MgDeg,2,0),0)</f>
        <v/>
      </c>
      <c r="R530" s="29">
        <f>IFERROR(VLOOKUP(L530,MgValor,2,0)*VLOOKUP(O530,MgDeg,2,0),0)</f>
        <v/>
      </c>
      <c r="S530" s="29">
        <f>IFERROR(VLOOKUP(M530,MgValor,2,0)*VLOOKUP(P530,MgDeg,2,0),0)</f>
        <v/>
      </c>
      <c r="T530" s="30">
        <f>MAX(Q530:S530)</f>
        <v/>
      </c>
      <c r="U530" s="28">
        <f>IFERROR(LOOKUP(T530,{0;0.5;1.5;3;4.5},{"Despreciable";"Bajo";"Medio";"Alto";"Muy alto"}),"")</f>
        <v/>
      </c>
      <c r="V530" s="13">
        <f>IFERROR(INDEX(MgAmenFrec,MATCH(SUBSTITUTE($H530,"*","-"),MgAmenClave,0)),"")</f>
        <v/>
      </c>
      <c r="W530" s="28">
        <f>IFERROR(LOOKUP(X530,{0;0.01;0.1;1;10;100},{"Muy baja";"Muy baja";"Baja";"Media";"Alta";"Muy alta"}),"")</f>
        <v/>
      </c>
      <c r="X530" s="31">
        <f>IFERROR(VLOOKUP(V530,MgFrec,2,0),0)</f>
        <v/>
      </c>
      <c r="Y530" s="30">
        <f>T530*X530</f>
        <v/>
      </c>
      <c r="Z530" s="28">
        <f>IFERROR(LOOKUP(Y530,{0;0.5;5;25},{"Bajo";"Medio";"Alto";"Crítico"}),"")</f>
        <v/>
      </c>
      <c r="AA530" s="64">
        <f>IF(T530&gt;=3,IF(X530&gt;=1,"Zona 1 — Crítica: impacto alto y ocurre al menos una vez al año","Zona 4 — Catastrófica poco probable: impacto alto pero excepcional"),IF(AND(T530&lt;1.5,X530&lt;1),"Zona 3 — Asumible: impacto bajo y muy poco frecuente","Zona 2 — Atención: riesgo intermedio"))</f>
        <v/>
      </c>
      <c r="AB530" s="64">
        <f>IFERROR(INDEX(MgAmenCtrl,MATCH(SUBSTITUTE($H530,"*","-"),MgAmenClave,0)),"")</f>
        <v/>
      </c>
      <c r="AC530" s="20" t="n"/>
      <c r="AD530" s="31">
        <f>IFERROR($X530*(1-IF($AC530="",$AL530,VLOOKUP($AC530,MgMad,2,0))),"")</f>
        <v/>
      </c>
      <c r="AE530" s="28">
        <f>IFERROR(LOOKUP(AD530,{0;0.01;0.1;1;10;100},{"Muy baja";"Muy baja";"Baja";"Media";"Alta";"Muy alta"}),"")</f>
        <v/>
      </c>
      <c r="AF530" s="30">
        <f>T530*AD530</f>
        <v/>
      </c>
      <c r="AG530" s="28">
        <f>IFERROR(LOOKUP(AF530,{0;0.5;5;25},{"Bajo";"Medio";"Alto";"Crítico"}),"")</f>
        <v/>
      </c>
      <c r="AH530" s="28">
        <f>IF(AG530="","",IF(OR(AG530="Crítico",AG530="Alto"),"Mitigar",IF(AG530="Medio","Mitigar","Aceptar y monitorear")))</f>
        <v/>
      </c>
      <c r="AI530" s="21" t="n"/>
      <c r="AJ530" s="21" t="n"/>
      <c r="AK530" s="20" t="n"/>
      <c r="AL530" s="77">
        <f>IFERROR(INDEX(MgAmenEfic,MATCH(SUBSTITUTE($H530,"*","-"),MgAmenClave,0)),0)</f>
        <v/>
      </c>
    </row>
    <row r="531" hidden="1" ht="75" customHeight="1" s="54">
      <c r="B531" s="59" t="inlineStr">
        <is>
          <t>R-0526</t>
        </is>
      </c>
      <c r="C531" s="59" t="inlineStr">
        <is>
          <t>FIN-06</t>
        </is>
      </c>
      <c r="D531" s="64">
        <f>IFERROR(INDEX(MgNombre,MATCH($C531,MgActId,0)),"")</f>
        <v/>
      </c>
      <c r="E531" s="64">
        <f>IFERROR(INDEX(MgProceso,MATCH($C531,MgActId,0)),"")</f>
        <v/>
      </c>
      <c r="F531" s="64">
        <f>IFERROR(INDEX(MgTipo,MATCH($C531,MgActId,0)),"")</f>
        <v/>
      </c>
      <c r="G531" s="64">
        <f>IFERROR(INDEX(MgSubtipo,MATCH($C531,MgActId,0)),"")</f>
        <v/>
      </c>
      <c r="H531" s="59" t="inlineStr">
        <is>
          <t>A.5</t>
        </is>
      </c>
      <c r="I531" s="64">
        <f>IFERROR(INDEX(MgAmenNombre,MATCH(SUBSTITUTE($H531,"*","-"),MgAmenClave,0)),"")</f>
        <v/>
      </c>
      <c r="J531" s="28">
        <f>IFERROR(INDEX(MgAmenGrupo,MATCH(SUBSTITUTE($H531,"*","-"),MgAmenClave,0)),"")</f>
        <v/>
      </c>
      <c r="K531" s="64">
        <f>IFERROR(INDEX('1. Matriz de Activos'!$Q$6:$Q$239,MATCH($C531,MgActId,0)),"")</f>
        <v/>
      </c>
      <c r="L531" s="64">
        <f>IFERROR(INDEX('1. Matriz de Activos'!$R$6:$R$239,MATCH($C531,MgActId,0)),"")</f>
        <v/>
      </c>
      <c r="M531" s="64">
        <f>IFERROR(INDEX('1. Matriz de Activos'!$S$6:$S$239,MATCH($C531,MgActId,0)),"")</f>
        <v/>
      </c>
      <c r="N531" s="28">
        <f>IFERROR(INDEX(MgAmenDegD,MATCH(SUBSTITUTE($H531,"*","-"),MgAmenClave,0)),"No aplica")</f>
        <v/>
      </c>
      <c r="O531" s="28">
        <f>IFERROR(INDEX(MgAmenDegI,MATCH(SUBSTITUTE($H531,"*","-"),MgAmenClave,0)),"No aplica")</f>
        <v/>
      </c>
      <c r="P531" s="28">
        <f>IFERROR(INDEX(MgAmenDegC,MATCH(SUBSTITUTE($H531,"*","-"),MgAmenClave,0)),"No aplica")</f>
        <v/>
      </c>
      <c r="Q531" s="29">
        <f>IFERROR(VLOOKUP(K531,MgValor,2,0)*VLOOKUP(N531,MgDeg,2,0),0)</f>
        <v/>
      </c>
      <c r="R531" s="29">
        <f>IFERROR(VLOOKUP(L531,MgValor,2,0)*VLOOKUP(O531,MgDeg,2,0),0)</f>
        <v/>
      </c>
      <c r="S531" s="29">
        <f>IFERROR(VLOOKUP(M531,MgValor,2,0)*VLOOKUP(P531,MgDeg,2,0),0)</f>
        <v/>
      </c>
      <c r="T531" s="30">
        <f>MAX(Q531:S531)</f>
        <v/>
      </c>
      <c r="U531" s="28">
        <f>IFERROR(LOOKUP(T531,{0;0.5;1.5;3;4.5},{"Despreciable";"Bajo";"Medio";"Alto";"Muy alto"}),"")</f>
        <v/>
      </c>
      <c r="V531" s="13">
        <f>IFERROR(INDEX(MgAmenFrec,MATCH(SUBSTITUTE($H531,"*","-"),MgAmenClave,0)),"")</f>
        <v/>
      </c>
      <c r="W531" s="28">
        <f>IFERROR(LOOKUP(X531,{0;0.01;0.1;1;10;100},{"Muy baja";"Muy baja";"Baja";"Media";"Alta";"Muy alta"}),"")</f>
        <v/>
      </c>
      <c r="X531" s="31">
        <f>IFERROR(VLOOKUP(V531,MgFrec,2,0),0)</f>
        <v/>
      </c>
      <c r="Y531" s="30">
        <f>T531*X531</f>
        <v/>
      </c>
      <c r="Z531" s="28">
        <f>IFERROR(LOOKUP(Y531,{0;0.5;5;25},{"Bajo";"Medio";"Alto";"Crítico"}),"")</f>
        <v/>
      </c>
      <c r="AA531" s="64">
        <f>IF(T531&gt;=3,IF(X531&gt;=1,"Zona 1 — Crítica: impacto alto y ocurre al menos una vez al año","Zona 4 — Catastrófica poco probable: impacto alto pero excepcional"),IF(AND(T531&lt;1.5,X531&lt;1),"Zona 3 — Asumible: impacto bajo y muy poco frecuente","Zona 2 — Atención: riesgo intermedio"))</f>
        <v/>
      </c>
      <c r="AB531" s="64">
        <f>IFERROR(INDEX(MgAmenCtrl,MATCH(SUBSTITUTE($H531,"*","-"),MgAmenClave,0)),"")</f>
        <v/>
      </c>
      <c r="AC531" s="20" t="n"/>
      <c r="AD531" s="31">
        <f>IFERROR($X531*(1-IF($AC531="",$AL531,VLOOKUP($AC531,MgMad,2,0))),"")</f>
        <v/>
      </c>
      <c r="AE531" s="28">
        <f>IFERROR(LOOKUP(AD531,{0;0.01;0.1;1;10;100},{"Muy baja";"Muy baja";"Baja";"Media";"Alta";"Muy alta"}),"")</f>
        <v/>
      </c>
      <c r="AF531" s="30">
        <f>T531*AD531</f>
        <v/>
      </c>
      <c r="AG531" s="28">
        <f>IFERROR(LOOKUP(AF531,{0;0.5;5;25},{"Bajo";"Medio";"Alto";"Crítico"}),"")</f>
        <v/>
      </c>
      <c r="AH531" s="28">
        <f>IF(AG531="","",IF(OR(AG531="Crítico",AG531="Alto"),"Mitigar",IF(AG531="Medio","Mitigar","Aceptar y monitorear")))</f>
        <v/>
      </c>
      <c r="AI531" s="21" t="n"/>
      <c r="AJ531" s="21" t="n"/>
      <c r="AK531" s="20" t="n"/>
      <c r="AL531" s="77">
        <f>IFERROR(INDEX(MgAmenEfic,MATCH(SUBSTITUTE($H531,"*","-"),MgAmenClave,0)),0)</f>
        <v/>
      </c>
    </row>
    <row r="532" hidden="1" ht="105" customHeight="1" s="54">
      <c r="B532" s="59" t="inlineStr">
        <is>
          <t>R-0527</t>
        </is>
      </c>
      <c r="C532" s="59" t="inlineStr">
        <is>
          <t>FIN-06</t>
        </is>
      </c>
      <c r="D532" s="64">
        <f>IFERROR(INDEX(MgNombre,MATCH($C532,MgActId,0)),"")</f>
        <v/>
      </c>
      <c r="E532" s="64">
        <f>IFERROR(INDEX(MgProceso,MATCH($C532,MgActId,0)),"")</f>
        <v/>
      </c>
      <c r="F532" s="64">
        <f>IFERROR(INDEX(MgTipo,MATCH($C532,MgActId,0)),"")</f>
        <v/>
      </c>
      <c r="G532" s="64">
        <f>IFERROR(INDEX(MgSubtipo,MATCH($C532,MgActId,0)),"")</f>
        <v/>
      </c>
      <c r="H532" s="59" t="inlineStr">
        <is>
          <t>A.6</t>
        </is>
      </c>
      <c r="I532" s="64">
        <f>IFERROR(INDEX(MgAmenNombre,MATCH(SUBSTITUTE($H532,"*","-"),MgAmenClave,0)),"")</f>
        <v/>
      </c>
      <c r="J532" s="28">
        <f>IFERROR(INDEX(MgAmenGrupo,MATCH(SUBSTITUTE($H532,"*","-"),MgAmenClave,0)),"")</f>
        <v/>
      </c>
      <c r="K532" s="64">
        <f>IFERROR(INDEX('1. Matriz de Activos'!$Q$6:$Q$239,MATCH($C532,MgActId,0)),"")</f>
        <v/>
      </c>
      <c r="L532" s="64">
        <f>IFERROR(INDEX('1. Matriz de Activos'!$R$6:$R$239,MATCH($C532,MgActId,0)),"")</f>
        <v/>
      </c>
      <c r="M532" s="64">
        <f>IFERROR(INDEX('1. Matriz de Activos'!$S$6:$S$239,MATCH($C532,MgActId,0)),"")</f>
        <v/>
      </c>
      <c r="N532" s="28">
        <f>IFERROR(INDEX(MgAmenDegD,MATCH(SUBSTITUTE($H532,"*","-"),MgAmenClave,0)),"No aplica")</f>
        <v/>
      </c>
      <c r="O532" s="28">
        <f>IFERROR(INDEX(MgAmenDegI,MATCH(SUBSTITUTE($H532,"*","-"),MgAmenClave,0)),"No aplica")</f>
        <v/>
      </c>
      <c r="P532" s="28">
        <f>IFERROR(INDEX(MgAmenDegC,MATCH(SUBSTITUTE($H532,"*","-"),MgAmenClave,0)),"No aplica")</f>
        <v/>
      </c>
      <c r="Q532" s="29">
        <f>IFERROR(VLOOKUP(K532,MgValor,2,0)*VLOOKUP(N532,MgDeg,2,0),0)</f>
        <v/>
      </c>
      <c r="R532" s="29">
        <f>IFERROR(VLOOKUP(L532,MgValor,2,0)*VLOOKUP(O532,MgDeg,2,0),0)</f>
        <v/>
      </c>
      <c r="S532" s="29">
        <f>IFERROR(VLOOKUP(M532,MgValor,2,0)*VLOOKUP(P532,MgDeg,2,0),0)</f>
        <v/>
      </c>
      <c r="T532" s="30">
        <f>MAX(Q532:S532)</f>
        <v/>
      </c>
      <c r="U532" s="28">
        <f>IFERROR(LOOKUP(T532,{0;0.5;1.5;3;4.5},{"Despreciable";"Bajo";"Medio";"Alto";"Muy alto"}),"")</f>
        <v/>
      </c>
      <c r="V532" s="13">
        <f>IFERROR(INDEX(MgAmenFrec,MATCH(SUBSTITUTE($H532,"*","-"),MgAmenClave,0)),"")</f>
        <v/>
      </c>
      <c r="W532" s="28">
        <f>IFERROR(LOOKUP(X532,{0;0.01;0.1;1;10;100},{"Muy baja";"Muy baja";"Baja";"Media";"Alta";"Muy alta"}),"")</f>
        <v/>
      </c>
      <c r="X532" s="31">
        <f>IFERROR(VLOOKUP(V532,MgFrec,2,0),0)</f>
        <v/>
      </c>
      <c r="Y532" s="30">
        <f>T532*X532</f>
        <v/>
      </c>
      <c r="Z532" s="28">
        <f>IFERROR(LOOKUP(Y532,{0;0.5;5;25},{"Bajo";"Medio";"Alto";"Crítico"}),"")</f>
        <v/>
      </c>
      <c r="AA532" s="64">
        <f>IF(T532&gt;=3,IF(X532&gt;=1,"Zona 1 — Crítica: impacto alto y ocurre al menos una vez al año","Zona 4 — Catastrófica poco probable: impacto alto pero excepcional"),IF(AND(T532&lt;1.5,X532&lt;1),"Zona 3 — Asumible: impacto bajo y muy poco frecuente","Zona 2 — Atención: riesgo intermedio"))</f>
        <v/>
      </c>
      <c r="AB532" s="64">
        <f>IFERROR(INDEX(MgAmenCtrl,MATCH(SUBSTITUTE($H532,"*","-"),MgAmenClave,0)),"")</f>
        <v/>
      </c>
      <c r="AC532" s="20" t="n"/>
      <c r="AD532" s="31">
        <f>IFERROR($X532*(1-IF($AC532="",$AL532,VLOOKUP($AC532,MgMad,2,0))),"")</f>
        <v/>
      </c>
      <c r="AE532" s="28">
        <f>IFERROR(LOOKUP(AD532,{0;0.01;0.1;1;10;100},{"Muy baja";"Muy baja";"Baja";"Media";"Alta";"Muy alta"}),"")</f>
        <v/>
      </c>
      <c r="AF532" s="30">
        <f>T532*AD532</f>
        <v/>
      </c>
      <c r="AG532" s="28">
        <f>IFERROR(LOOKUP(AF532,{0;0.5;5;25},{"Bajo";"Medio";"Alto";"Crítico"}),"")</f>
        <v/>
      </c>
      <c r="AH532" s="28">
        <f>IF(AG532="","",IF(OR(AG532="Crítico",AG532="Alto"),"Mitigar",IF(AG532="Medio","Mitigar","Aceptar y monitorear")))</f>
        <v/>
      </c>
      <c r="AI532" s="21" t="n"/>
      <c r="AJ532" s="21" t="n"/>
      <c r="AK532" s="20" t="n"/>
      <c r="AL532" s="77">
        <f>IFERROR(INDEX(MgAmenEfic,MATCH(SUBSTITUTE($H532,"*","-"),MgAmenClave,0)),0)</f>
        <v/>
      </c>
    </row>
    <row r="533" hidden="1" ht="120" customHeight="1" s="54">
      <c r="B533" s="59" t="inlineStr">
        <is>
          <t>R-0528</t>
        </is>
      </c>
      <c r="C533" s="59" t="inlineStr">
        <is>
          <t>FIN-06</t>
        </is>
      </c>
      <c r="D533" s="64">
        <f>IFERROR(INDEX(MgNombre,MATCH($C533,MgActId,0)),"")</f>
        <v/>
      </c>
      <c r="E533" s="64">
        <f>IFERROR(INDEX(MgProceso,MATCH($C533,MgActId,0)),"")</f>
        <v/>
      </c>
      <c r="F533" s="64">
        <f>IFERROR(INDEX(MgTipo,MATCH($C533,MgActId,0)),"")</f>
        <v/>
      </c>
      <c r="G533" s="64">
        <f>IFERROR(INDEX(MgSubtipo,MATCH($C533,MgActId,0)),"")</f>
        <v/>
      </c>
      <c r="H533" s="59" t="inlineStr">
        <is>
          <t>A.11</t>
        </is>
      </c>
      <c r="I533" s="64">
        <f>IFERROR(INDEX(MgAmenNombre,MATCH(SUBSTITUTE($H533,"*","-"),MgAmenClave,0)),"")</f>
        <v/>
      </c>
      <c r="J533" s="28">
        <f>IFERROR(INDEX(MgAmenGrupo,MATCH(SUBSTITUTE($H533,"*","-"),MgAmenClave,0)),"")</f>
        <v/>
      </c>
      <c r="K533" s="64">
        <f>IFERROR(INDEX('1. Matriz de Activos'!$Q$6:$Q$239,MATCH($C533,MgActId,0)),"")</f>
        <v/>
      </c>
      <c r="L533" s="64">
        <f>IFERROR(INDEX('1. Matriz de Activos'!$R$6:$R$239,MATCH($C533,MgActId,0)),"")</f>
        <v/>
      </c>
      <c r="M533" s="64">
        <f>IFERROR(INDEX('1. Matriz de Activos'!$S$6:$S$239,MATCH($C533,MgActId,0)),"")</f>
        <v/>
      </c>
      <c r="N533" s="28">
        <f>IFERROR(INDEX(MgAmenDegD,MATCH(SUBSTITUTE($H533,"*","-"),MgAmenClave,0)),"No aplica")</f>
        <v/>
      </c>
      <c r="O533" s="28">
        <f>IFERROR(INDEX(MgAmenDegI,MATCH(SUBSTITUTE($H533,"*","-"),MgAmenClave,0)),"No aplica")</f>
        <v/>
      </c>
      <c r="P533" s="28">
        <f>IFERROR(INDEX(MgAmenDegC,MATCH(SUBSTITUTE($H533,"*","-"),MgAmenClave,0)),"No aplica")</f>
        <v/>
      </c>
      <c r="Q533" s="29">
        <f>IFERROR(VLOOKUP(K533,MgValor,2,0)*VLOOKUP(N533,MgDeg,2,0),0)</f>
        <v/>
      </c>
      <c r="R533" s="29">
        <f>IFERROR(VLOOKUP(L533,MgValor,2,0)*VLOOKUP(O533,MgDeg,2,0),0)</f>
        <v/>
      </c>
      <c r="S533" s="29">
        <f>IFERROR(VLOOKUP(M533,MgValor,2,0)*VLOOKUP(P533,MgDeg,2,0),0)</f>
        <v/>
      </c>
      <c r="T533" s="30">
        <f>MAX(Q533:S533)</f>
        <v/>
      </c>
      <c r="U533" s="28">
        <f>IFERROR(LOOKUP(T533,{0;0.5;1.5;3;4.5},{"Despreciable";"Bajo";"Medio";"Alto";"Muy alto"}),"")</f>
        <v/>
      </c>
      <c r="V533" s="13">
        <f>IFERROR(INDEX(MgAmenFrec,MATCH(SUBSTITUTE($H533,"*","-"),MgAmenClave,0)),"")</f>
        <v/>
      </c>
      <c r="W533" s="28">
        <f>IFERROR(LOOKUP(X533,{0;0.01;0.1;1;10;100},{"Muy baja";"Muy baja";"Baja";"Media";"Alta";"Muy alta"}),"")</f>
        <v/>
      </c>
      <c r="X533" s="31">
        <f>IFERROR(VLOOKUP(V533,MgFrec,2,0),0)</f>
        <v/>
      </c>
      <c r="Y533" s="30">
        <f>T533*X533</f>
        <v/>
      </c>
      <c r="Z533" s="28">
        <f>IFERROR(LOOKUP(Y533,{0;0.5;5;25},{"Bajo";"Medio";"Alto";"Crítico"}),"")</f>
        <v/>
      </c>
      <c r="AA533" s="64">
        <f>IF(T533&gt;=3,IF(X533&gt;=1,"Zona 1 — Crítica: impacto alto y ocurre al menos una vez al año","Zona 4 — Catastrófica poco probable: impacto alto pero excepcional"),IF(AND(T533&lt;1.5,X533&lt;1),"Zona 3 — Asumible: impacto bajo y muy poco frecuente","Zona 2 — Atención: riesgo intermedio"))</f>
        <v/>
      </c>
      <c r="AB533" s="64">
        <f>IFERROR(INDEX(MgAmenCtrl,MATCH(SUBSTITUTE($H533,"*","-"),MgAmenClave,0)),"")</f>
        <v/>
      </c>
      <c r="AC533" s="20" t="n"/>
      <c r="AD533" s="31">
        <f>IFERROR($X533*(1-IF($AC533="",$AL533,VLOOKUP($AC533,MgMad,2,0))),"")</f>
        <v/>
      </c>
      <c r="AE533" s="28">
        <f>IFERROR(LOOKUP(AD533,{0;0.01;0.1;1;10;100},{"Muy baja";"Muy baja";"Baja";"Media";"Alta";"Muy alta"}),"")</f>
        <v/>
      </c>
      <c r="AF533" s="30">
        <f>T533*AD533</f>
        <v/>
      </c>
      <c r="AG533" s="28">
        <f>IFERROR(LOOKUP(AF533,{0;0.5;5;25},{"Bajo";"Medio";"Alto";"Crítico"}),"")</f>
        <v/>
      </c>
      <c r="AH533" s="28">
        <f>IF(AG533="","",IF(OR(AG533="Crítico",AG533="Alto"),"Mitigar",IF(AG533="Medio","Mitigar","Aceptar y monitorear")))</f>
        <v/>
      </c>
      <c r="AI533" s="21" t="n"/>
      <c r="AJ533" s="21" t="n"/>
      <c r="AK533" s="20" t="n"/>
      <c r="AL533" s="77">
        <f>IFERROR(INDEX(MgAmenEfic,MATCH(SUBSTITUTE($H533,"*","-"),MgAmenClave,0)),0)</f>
        <v/>
      </c>
    </row>
    <row r="534" hidden="1" ht="90" customHeight="1" s="54">
      <c r="B534" s="59" t="inlineStr">
        <is>
          <t>R-0529</t>
        </is>
      </c>
      <c r="C534" s="59" t="inlineStr">
        <is>
          <t>FIN-06</t>
        </is>
      </c>
      <c r="D534" s="64">
        <f>IFERROR(INDEX(MgNombre,MATCH($C534,MgActId,0)),"")</f>
        <v/>
      </c>
      <c r="E534" s="64">
        <f>IFERROR(INDEX(MgProceso,MATCH($C534,MgActId,0)),"")</f>
        <v/>
      </c>
      <c r="F534" s="64">
        <f>IFERROR(INDEX(MgTipo,MATCH($C534,MgActId,0)),"")</f>
        <v/>
      </c>
      <c r="G534" s="64">
        <f>IFERROR(INDEX(MgSubtipo,MATCH($C534,MgActId,0)),"")</f>
        <v/>
      </c>
      <c r="H534" s="59" t="inlineStr">
        <is>
          <t>A.13</t>
        </is>
      </c>
      <c r="I534" s="64">
        <f>IFERROR(INDEX(MgAmenNombre,MATCH(SUBSTITUTE($H534,"*","-"),MgAmenClave,0)),"")</f>
        <v/>
      </c>
      <c r="J534" s="28">
        <f>IFERROR(INDEX(MgAmenGrupo,MATCH(SUBSTITUTE($H534,"*","-"),MgAmenClave,0)),"")</f>
        <v/>
      </c>
      <c r="K534" s="64">
        <f>IFERROR(INDEX('1. Matriz de Activos'!$Q$6:$Q$239,MATCH($C534,MgActId,0)),"")</f>
        <v/>
      </c>
      <c r="L534" s="64">
        <f>IFERROR(INDEX('1. Matriz de Activos'!$R$6:$R$239,MATCH($C534,MgActId,0)),"")</f>
        <v/>
      </c>
      <c r="M534" s="64">
        <f>IFERROR(INDEX('1. Matriz de Activos'!$S$6:$S$239,MATCH($C534,MgActId,0)),"")</f>
        <v/>
      </c>
      <c r="N534" s="28">
        <f>IFERROR(INDEX(MgAmenDegD,MATCH(SUBSTITUTE($H534,"*","-"),MgAmenClave,0)),"No aplica")</f>
        <v/>
      </c>
      <c r="O534" s="28">
        <f>IFERROR(INDEX(MgAmenDegI,MATCH(SUBSTITUTE($H534,"*","-"),MgAmenClave,0)),"No aplica")</f>
        <v/>
      </c>
      <c r="P534" s="28">
        <f>IFERROR(INDEX(MgAmenDegC,MATCH(SUBSTITUTE($H534,"*","-"),MgAmenClave,0)),"No aplica")</f>
        <v/>
      </c>
      <c r="Q534" s="29">
        <f>IFERROR(VLOOKUP(K534,MgValor,2,0)*VLOOKUP(N534,MgDeg,2,0),0)</f>
        <v/>
      </c>
      <c r="R534" s="29">
        <f>IFERROR(VLOOKUP(L534,MgValor,2,0)*VLOOKUP(O534,MgDeg,2,0),0)</f>
        <v/>
      </c>
      <c r="S534" s="29">
        <f>IFERROR(VLOOKUP(M534,MgValor,2,0)*VLOOKUP(P534,MgDeg,2,0),0)</f>
        <v/>
      </c>
      <c r="T534" s="30">
        <f>MAX(Q534:S534)</f>
        <v/>
      </c>
      <c r="U534" s="28">
        <f>IFERROR(LOOKUP(T534,{0;0.5;1.5;3;4.5},{"Despreciable";"Bajo";"Medio";"Alto";"Muy alto"}),"")</f>
        <v/>
      </c>
      <c r="V534" s="13">
        <f>IFERROR(INDEX(MgAmenFrec,MATCH(SUBSTITUTE($H534,"*","-"),MgAmenClave,0)),"")</f>
        <v/>
      </c>
      <c r="W534" s="28">
        <f>IFERROR(LOOKUP(X534,{0;0.01;0.1;1;10;100},{"Muy baja";"Muy baja";"Baja";"Media";"Alta";"Muy alta"}),"")</f>
        <v/>
      </c>
      <c r="X534" s="31">
        <f>IFERROR(VLOOKUP(V534,MgFrec,2,0),0)</f>
        <v/>
      </c>
      <c r="Y534" s="30">
        <f>T534*X534</f>
        <v/>
      </c>
      <c r="Z534" s="28">
        <f>IFERROR(LOOKUP(Y534,{0;0.5;5;25},{"Bajo";"Medio";"Alto";"Crítico"}),"")</f>
        <v/>
      </c>
      <c r="AA534" s="64">
        <f>IF(T534&gt;=3,IF(X534&gt;=1,"Zona 1 — Crítica: impacto alto y ocurre al menos una vez al año","Zona 4 — Catastrófica poco probable: impacto alto pero excepcional"),IF(AND(T534&lt;1.5,X534&lt;1),"Zona 3 — Asumible: impacto bajo y muy poco frecuente","Zona 2 — Atención: riesgo intermedio"))</f>
        <v/>
      </c>
      <c r="AB534" s="64">
        <f>IFERROR(INDEX(MgAmenCtrl,MATCH(SUBSTITUTE($H534,"*","-"),MgAmenClave,0)),"")</f>
        <v/>
      </c>
      <c r="AC534" s="20" t="n"/>
      <c r="AD534" s="31">
        <f>IFERROR($X534*(1-IF($AC534="",$AL534,VLOOKUP($AC534,MgMad,2,0))),"")</f>
        <v/>
      </c>
      <c r="AE534" s="28">
        <f>IFERROR(LOOKUP(AD534,{0;0.01;0.1;1;10;100},{"Muy baja";"Muy baja";"Baja";"Media";"Alta";"Muy alta"}),"")</f>
        <v/>
      </c>
      <c r="AF534" s="30">
        <f>T534*AD534</f>
        <v/>
      </c>
      <c r="AG534" s="28">
        <f>IFERROR(LOOKUP(AF534,{0;0.5;5;25},{"Bajo";"Medio";"Alto";"Crítico"}),"")</f>
        <v/>
      </c>
      <c r="AH534" s="28">
        <f>IF(AG534="","",IF(OR(AG534="Crítico",AG534="Alto"),"Mitigar",IF(AG534="Medio","Mitigar","Aceptar y monitorear")))</f>
        <v/>
      </c>
      <c r="AI534" s="21" t="n"/>
      <c r="AJ534" s="21" t="n"/>
      <c r="AK534" s="20" t="n"/>
      <c r="AL534" s="77">
        <f>IFERROR(INDEX(MgAmenEfic,MATCH(SUBSTITUTE($H534,"*","-"),MgAmenClave,0)),0)</f>
        <v/>
      </c>
    </row>
    <row r="535" hidden="1" ht="60" customHeight="1" s="54">
      <c r="B535" s="59" t="inlineStr">
        <is>
          <t>R-0530</t>
        </is>
      </c>
      <c r="C535" s="59" t="inlineStr">
        <is>
          <t>FIN-06</t>
        </is>
      </c>
      <c r="D535" s="64">
        <f>IFERROR(INDEX(MgNombre,MATCH($C535,MgActId,0)),"")</f>
        <v/>
      </c>
      <c r="E535" s="64">
        <f>IFERROR(INDEX(MgProceso,MATCH($C535,MgActId,0)),"")</f>
        <v/>
      </c>
      <c r="F535" s="64">
        <f>IFERROR(INDEX(MgTipo,MATCH($C535,MgActId,0)),"")</f>
        <v/>
      </c>
      <c r="G535" s="64">
        <f>IFERROR(INDEX(MgSubtipo,MATCH($C535,MgActId,0)),"")</f>
        <v/>
      </c>
      <c r="H535" s="59" t="inlineStr">
        <is>
          <t>A.15</t>
        </is>
      </c>
      <c r="I535" s="64">
        <f>IFERROR(INDEX(MgAmenNombre,MATCH(SUBSTITUTE($H535,"*","-"),MgAmenClave,0)),"")</f>
        <v/>
      </c>
      <c r="J535" s="28">
        <f>IFERROR(INDEX(MgAmenGrupo,MATCH(SUBSTITUTE($H535,"*","-"),MgAmenClave,0)),"")</f>
        <v/>
      </c>
      <c r="K535" s="64">
        <f>IFERROR(INDEX('1. Matriz de Activos'!$Q$6:$Q$239,MATCH($C535,MgActId,0)),"")</f>
        <v/>
      </c>
      <c r="L535" s="64">
        <f>IFERROR(INDEX('1. Matriz de Activos'!$R$6:$R$239,MATCH($C535,MgActId,0)),"")</f>
        <v/>
      </c>
      <c r="M535" s="64">
        <f>IFERROR(INDEX('1. Matriz de Activos'!$S$6:$S$239,MATCH($C535,MgActId,0)),"")</f>
        <v/>
      </c>
      <c r="N535" s="28">
        <f>IFERROR(INDEX(MgAmenDegD,MATCH(SUBSTITUTE($H535,"*","-"),MgAmenClave,0)),"No aplica")</f>
        <v/>
      </c>
      <c r="O535" s="28">
        <f>IFERROR(INDEX(MgAmenDegI,MATCH(SUBSTITUTE($H535,"*","-"),MgAmenClave,0)),"No aplica")</f>
        <v/>
      </c>
      <c r="P535" s="28">
        <f>IFERROR(INDEX(MgAmenDegC,MATCH(SUBSTITUTE($H535,"*","-"),MgAmenClave,0)),"No aplica")</f>
        <v/>
      </c>
      <c r="Q535" s="29">
        <f>IFERROR(VLOOKUP(K535,MgValor,2,0)*VLOOKUP(N535,MgDeg,2,0),0)</f>
        <v/>
      </c>
      <c r="R535" s="29">
        <f>IFERROR(VLOOKUP(L535,MgValor,2,0)*VLOOKUP(O535,MgDeg,2,0),0)</f>
        <v/>
      </c>
      <c r="S535" s="29">
        <f>IFERROR(VLOOKUP(M535,MgValor,2,0)*VLOOKUP(P535,MgDeg,2,0),0)</f>
        <v/>
      </c>
      <c r="T535" s="30">
        <f>MAX(Q535:S535)</f>
        <v/>
      </c>
      <c r="U535" s="28">
        <f>IFERROR(LOOKUP(T535,{0;0.5;1.5;3;4.5},{"Despreciable";"Bajo";"Medio";"Alto";"Muy alto"}),"")</f>
        <v/>
      </c>
      <c r="V535" s="13">
        <f>IFERROR(INDEX(MgAmenFrec,MATCH(SUBSTITUTE($H535,"*","-"),MgAmenClave,0)),"")</f>
        <v/>
      </c>
      <c r="W535" s="28">
        <f>IFERROR(LOOKUP(X535,{0;0.01;0.1;1;10;100},{"Muy baja";"Muy baja";"Baja";"Media";"Alta";"Muy alta"}),"")</f>
        <v/>
      </c>
      <c r="X535" s="31">
        <f>IFERROR(VLOOKUP(V535,MgFrec,2,0),0)</f>
        <v/>
      </c>
      <c r="Y535" s="30">
        <f>T535*X535</f>
        <v/>
      </c>
      <c r="Z535" s="28">
        <f>IFERROR(LOOKUP(Y535,{0;0.5;5;25},{"Bajo";"Medio";"Alto";"Crítico"}),"")</f>
        <v/>
      </c>
      <c r="AA535" s="64">
        <f>IF(T535&gt;=3,IF(X535&gt;=1,"Zona 1 — Crítica: impacto alto y ocurre al menos una vez al año","Zona 4 — Catastrófica poco probable: impacto alto pero excepcional"),IF(AND(T535&lt;1.5,X535&lt;1),"Zona 3 — Asumible: impacto bajo y muy poco frecuente","Zona 2 — Atención: riesgo intermedio"))</f>
        <v/>
      </c>
      <c r="AB535" s="64">
        <f>IFERROR(INDEX(MgAmenCtrl,MATCH(SUBSTITUTE($H535,"*","-"),MgAmenClave,0)),"")</f>
        <v/>
      </c>
      <c r="AC535" s="20" t="n"/>
      <c r="AD535" s="31">
        <f>IFERROR($X535*(1-IF($AC535="",$AL535,VLOOKUP($AC535,MgMad,2,0))),"")</f>
        <v/>
      </c>
      <c r="AE535" s="28">
        <f>IFERROR(LOOKUP(AD535,{0;0.01;0.1;1;10;100},{"Muy baja";"Muy baja";"Baja";"Media";"Alta";"Muy alta"}),"")</f>
        <v/>
      </c>
      <c r="AF535" s="30">
        <f>T535*AD535</f>
        <v/>
      </c>
      <c r="AG535" s="28">
        <f>IFERROR(LOOKUP(AF535,{0;0.5;5;25},{"Bajo";"Medio";"Alto";"Crítico"}),"")</f>
        <v/>
      </c>
      <c r="AH535" s="28">
        <f>IF(AG535="","",IF(OR(AG535="Crítico",AG535="Alto"),"Mitigar",IF(AG535="Medio","Mitigar","Aceptar y monitorear")))</f>
        <v/>
      </c>
      <c r="AI535" s="21" t="n"/>
      <c r="AJ535" s="21" t="n"/>
      <c r="AK535" s="20" t="n"/>
      <c r="AL535" s="77">
        <f>IFERROR(INDEX(MgAmenEfic,MATCH(SUBSTITUTE($H535,"*","-"),MgAmenClave,0)),0)</f>
        <v/>
      </c>
    </row>
    <row r="536" hidden="1" ht="60" customHeight="1" s="54">
      <c r="B536" s="59" t="inlineStr">
        <is>
          <t>R-0531</t>
        </is>
      </c>
      <c r="C536" s="59" t="inlineStr">
        <is>
          <t>FIN-06</t>
        </is>
      </c>
      <c r="D536" s="64">
        <f>IFERROR(INDEX(MgNombre,MATCH($C536,MgActId,0)),"")</f>
        <v/>
      </c>
      <c r="E536" s="64">
        <f>IFERROR(INDEX(MgProceso,MATCH($C536,MgActId,0)),"")</f>
        <v/>
      </c>
      <c r="F536" s="64">
        <f>IFERROR(INDEX(MgTipo,MATCH($C536,MgActId,0)),"")</f>
        <v/>
      </c>
      <c r="G536" s="64">
        <f>IFERROR(INDEX(MgSubtipo,MATCH($C536,MgActId,0)),"")</f>
        <v/>
      </c>
      <c r="H536" s="59" t="inlineStr">
        <is>
          <t>A.18</t>
        </is>
      </c>
      <c r="I536" s="64">
        <f>IFERROR(INDEX(MgAmenNombre,MATCH(SUBSTITUTE($H536,"*","-"),MgAmenClave,0)),"")</f>
        <v/>
      </c>
      <c r="J536" s="28">
        <f>IFERROR(INDEX(MgAmenGrupo,MATCH(SUBSTITUTE($H536,"*","-"),MgAmenClave,0)),"")</f>
        <v/>
      </c>
      <c r="K536" s="64">
        <f>IFERROR(INDEX('1. Matriz de Activos'!$Q$6:$Q$239,MATCH($C536,MgActId,0)),"")</f>
        <v/>
      </c>
      <c r="L536" s="64">
        <f>IFERROR(INDEX('1. Matriz de Activos'!$R$6:$R$239,MATCH($C536,MgActId,0)),"")</f>
        <v/>
      </c>
      <c r="M536" s="64">
        <f>IFERROR(INDEX('1. Matriz de Activos'!$S$6:$S$239,MATCH($C536,MgActId,0)),"")</f>
        <v/>
      </c>
      <c r="N536" s="28">
        <f>IFERROR(INDEX(MgAmenDegD,MATCH(SUBSTITUTE($H536,"*","-"),MgAmenClave,0)),"No aplica")</f>
        <v/>
      </c>
      <c r="O536" s="28">
        <f>IFERROR(INDEX(MgAmenDegI,MATCH(SUBSTITUTE($H536,"*","-"),MgAmenClave,0)),"No aplica")</f>
        <v/>
      </c>
      <c r="P536" s="28">
        <f>IFERROR(INDEX(MgAmenDegC,MATCH(SUBSTITUTE($H536,"*","-"),MgAmenClave,0)),"No aplica")</f>
        <v/>
      </c>
      <c r="Q536" s="29">
        <f>IFERROR(VLOOKUP(K536,MgValor,2,0)*VLOOKUP(N536,MgDeg,2,0),0)</f>
        <v/>
      </c>
      <c r="R536" s="29">
        <f>IFERROR(VLOOKUP(L536,MgValor,2,0)*VLOOKUP(O536,MgDeg,2,0),0)</f>
        <v/>
      </c>
      <c r="S536" s="29">
        <f>IFERROR(VLOOKUP(M536,MgValor,2,0)*VLOOKUP(P536,MgDeg,2,0),0)</f>
        <v/>
      </c>
      <c r="T536" s="30">
        <f>MAX(Q536:S536)</f>
        <v/>
      </c>
      <c r="U536" s="28">
        <f>IFERROR(LOOKUP(T536,{0;0.5;1.5;3;4.5},{"Despreciable";"Bajo";"Medio";"Alto";"Muy alto"}),"")</f>
        <v/>
      </c>
      <c r="V536" s="13">
        <f>IFERROR(INDEX(MgAmenFrec,MATCH(SUBSTITUTE($H536,"*","-"),MgAmenClave,0)),"")</f>
        <v/>
      </c>
      <c r="W536" s="28">
        <f>IFERROR(LOOKUP(X536,{0;0.01;0.1;1;10;100},{"Muy baja";"Muy baja";"Baja";"Media";"Alta";"Muy alta"}),"")</f>
        <v/>
      </c>
      <c r="X536" s="31">
        <f>IFERROR(VLOOKUP(V536,MgFrec,2,0),0)</f>
        <v/>
      </c>
      <c r="Y536" s="30">
        <f>T536*X536</f>
        <v/>
      </c>
      <c r="Z536" s="28">
        <f>IFERROR(LOOKUP(Y536,{0;0.5;5;25},{"Bajo";"Medio";"Alto";"Crítico"}),"")</f>
        <v/>
      </c>
      <c r="AA536" s="64">
        <f>IF(T536&gt;=3,IF(X536&gt;=1,"Zona 1 — Crítica: impacto alto y ocurre al menos una vez al año","Zona 4 — Catastrófica poco probable: impacto alto pero excepcional"),IF(AND(T536&lt;1.5,X536&lt;1),"Zona 3 — Asumible: impacto bajo y muy poco frecuente","Zona 2 — Atención: riesgo intermedio"))</f>
        <v/>
      </c>
      <c r="AB536" s="64">
        <f>IFERROR(INDEX(MgAmenCtrl,MATCH(SUBSTITUTE($H536,"*","-"),MgAmenClave,0)),"")</f>
        <v/>
      </c>
      <c r="AC536" s="20" t="n"/>
      <c r="AD536" s="31">
        <f>IFERROR($X536*(1-IF($AC536="",$AL536,VLOOKUP($AC536,MgMad,2,0))),"")</f>
        <v/>
      </c>
      <c r="AE536" s="28">
        <f>IFERROR(LOOKUP(AD536,{0;0.01;0.1;1;10;100},{"Muy baja";"Muy baja";"Baja";"Media";"Alta";"Muy alta"}),"")</f>
        <v/>
      </c>
      <c r="AF536" s="30">
        <f>T536*AD536</f>
        <v/>
      </c>
      <c r="AG536" s="28">
        <f>IFERROR(LOOKUP(AF536,{0;0.5;5;25},{"Bajo";"Medio";"Alto";"Crítico"}),"")</f>
        <v/>
      </c>
      <c r="AH536" s="28">
        <f>IF(AG536="","",IF(OR(AG536="Crítico",AG536="Alto"),"Mitigar",IF(AG536="Medio","Mitigar","Aceptar y monitorear")))</f>
        <v/>
      </c>
      <c r="AI536" s="21" t="n"/>
      <c r="AJ536" s="21" t="n"/>
      <c r="AK536" s="20" t="n"/>
      <c r="AL536" s="77">
        <f>IFERROR(INDEX(MgAmenEfic,MATCH(SUBSTITUTE($H536,"*","-"),MgAmenClave,0)),0)</f>
        <v/>
      </c>
    </row>
    <row r="537" hidden="1" ht="120" customHeight="1" s="54">
      <c r="B537" s="59" t="inlineStr">
        <is>
          <t>R-0532</t>
        </is>
      </c>
      <c r="C537" s="59" t="inlineStr">
        <is>
          <t>FIN-06</t>
        </is>
      </c>
      <c r="D537" s="64">
        <f>IFERROR(INDEX(MgNombre,MATCH($C537,MgActId,0)),"")</f>
        <v/>
      </c>
      <c r="E537" s="64">
        <f>IFERROR(INDEX(MgProceso,MATCH($C537,MgActId,0)),"")</f>
        <v/>
      </c>
      <c r="F537" s="64">
        <f>IFERROR(INDEX(MgTipo,MATCH($C537,MgActId,0)),"")</f>
        <v/>
      </c>
      <c r="G537" s="64">
        <f>IFERROR(INDEX(MgSubtipo,MATCH($C537,MgActId,0)),"")</f>
        <v/>
      </c>
      <c r="H537" s="59" t="inlineStr">
        <is>
          <t>A.19</t>
        </is>
      </c>
      <c r="I537" s="64">
        <f>IFERROR(INDEX(MgAmenNombre,MATCH(SUBSTITUTE($H537,"*","-"),MgAmenClave,0)),"")</f>
        <v/>
      </c>
      <c r="J537" s="28">
        <f>IFERROR(INDEX(MgAmenGrupo,MATCH(SUBSTITUTE($H537,"*","-"),MgAmenClave,0)),"")</f>
        <v/>
      </c>
      <c r="K537" s="64">
        <f>IFERROR(INDEX('1. Matriz de Activos'!$Q$6:$Q$239,MATCH($C537,MgActId,0)),"")</f>
        <v/>
      </c>
      <c r="L537" s="64">
        <f>IFERROR(INDEX('1. Matriz de Activos'!$R$6:$R$239,MATCH($C537,MgActId,0)),"")</f>
        <v/>
      </c>
      <c r="M537" s="64">
        <f>IFERROR(INDEX('1. Matriz de Activos'!$S$6:$S$239,MATCH($C537,MgActId,0)),"")</f>
        <v/>
      </c>
      <c r="N537" s="28">
        <f>IFERROR(INDEX(MgAmenDegD,MATCH(SUBSTITUTE($H537,"*","-"),MgAmenClave,0)),"No aplica")</f>
        <v/>
      </c>
      <c r="O537" s="28">
        <f>IFERROR(INDEX(MgAmenDegI,MATCH(SUBSTITUTE($H537,"*","-"),MgAmenClave,0)),"No aplica")</f>
        <v/>
      </c>
      <c r="P537" s="28">
        <f>IFERROR(INDEX(MgAmenDegC,MATCH(SUBSTITUTE($H537,"*","-"),MgAmenClave,0)),"No aplica")</f>
        <v/>
      </c>
      <c r="Q537" s="29">
        <f>IFERROR(VLOOKUP(K537,MgValor,2,0)*VLOOKUP(N537,MgDeg,2,0),0)</f>
        <v/>
      </c>
      <c r="R537" s="29">
        <f>IFERROR(VLOOKUP(L537,MgValor,2,0)*VLOOKUP(O537,MgDeg,2,0),0)</f>
        <v/>
      </c>
      <c r="S537" s="29">
        <f>IFERROR(VLOOKUP(M537,MgValor,2,0)*VLOOKUP(P537,MgDeg,2,0),0)</f>
        <v/>
      </c>
      <c r="T537" s="30">
        <f>MAX(Q537:S537)</f>
        <v/>
      </c>
      <c r="U537" s="28">
        <f>IFERROR(LOOKUP(T537,{0;0.5;1.5;3;4.5},{"Despreciable";"Bajo";"Medio";"Alto";"Muy alto"}),"")</f>
        <v/>
      </c>
      <c r="V537" s="13">
        <f>IFERROR(INDEX(MgAmenFrec,MATCH(SUBSTITUTE($H537,"*","-"),MgAmenClave,0)),"")</f>
        <v/>
      </c>
      <c r="W537" s="28">
        <f>IFERROR(LOOKUP(X537,{0;0.01;0.1;1;10;100},{"Muy baja";"Muy baja";"Baja";"Media";"Alta";"Muy alta"}),"")</f>
        <v/>
      </c>
      <c r="X537" s="31">
        <f>IFERROR(VLOOKUP(V537,MgFrec,2,0),0)</f>
        <v/>
      </c>
      <c r="Y537" s="30">
        <f>T537*X537</f>
        <v/>
      </c>
      <c r="Z537" s="28">
        <f>IFERROR(LOOKUP(Y537,{0;0.5;5;25},{"Bajo";"Medio";"Alto";"Crítico"}),"")</f>
        <v/>
      </c>
      <c r="AA537" s="64">
        <f>IF(T537&gt;=3,IF(X537&gt;=1,"Zona 1 — Crítica: impacto alto y ocurre al menos una vez al año","Zona 4 — Catastrófica poco probable: impacto alto pero excepcional"),IF(AND(T537&lt;1.5,X537&lt;1),"Zona 3 — Asumible: impacto bajo y muy poco frecuente","Zona 2 — Atención: riesgo intermedio"))</f>
        <v/>
      </c>
      <c r="AB537" s="64">
        <f>IFERROR(INDEX(MgAmenCtrl,MATCH(SUBSTITUTE($H537,"*","-"),MgAmenClave,0)),"")</f>
        <v/>
      </c>
      <c r="AC537" s="20" t="n"/>
      <c r="AD537" s="31">
        <f>IFERROR($X537*(1-IF($AC537="",$AL537,VLOOKUP($AC537,MgMad,2,0))),"")</f>
        <v/>
      </c>
      <c r="AE537" s="28">
        <f>IFERROR(LOOKUP(AD537,{0;0.01;0.1;1;10;100},{"Muy baja";"Muy baja";"Baja";"Media";"Alta";"Muy alta"}),"")</f>
        <v/>
      </c>
      <c r="AF537" s="30">
        <f>T537*AD537</f>
        <v/>
      </c>
      <c r="AG537" s="28">
        <f>IFERROR(LOOKUP(AF537,{0;0.5;5;25},{"Bajo";"Medio";"Alto";"Crítico"}),"")</f>
        <v/>
      </c>
      <c r="AH537" s="28">
        <f>IF(AG537="","",IF(OR(AG537="Crítico",AG537="Alto"),"Mitigar",IF(AG537="Medio","Mitigar","Aceptar y monitorear")))</f>
        <v/>
      </c>
      <c r="AI537" s="21" t="n"/>
      <c r="AJ537" s="21" t="n"/>
      <c r="AK537" s="20" t="n"/>
      <c r="AL537" s="77">
        <f>IFERROR(INDEX(MgAmenEfic,MATCH(SUBSTITUTE($H537,"*","-"),MgAmenClave,0)),0)</f>
        <v/>
      </c>
    </row>
    <row r="538" hidden="1" ht="105" customHeight="1" s="54">
      <c r="B538" s="59" t="inlineStr">
        <is>
          <t>R-0533</t>
        </is>
      </c>
      <c r="C538" s="59" t="inlineStr">
        <is>
          <t>FIN-07</t>
        </is>
      </c>
      <c r="D538" s="64">
        <f>IFERROR(INDEX(MgNombre,MATCH($C538,MgActId,0)),"")</f>
        <v/>
      </c>
      <c r="E538" s="64">
        <f>IFERROR(INDEX(MgProceso,MATCH($C538,MgActId,0)),"")</f>
        <v/>
      </c>
      <c r="F538" s="64">
        <f>IFERROR(INDEX(MgTipo,MATCH($C538,MgActId,0)),"")</f>
        <v/>
      </c>
      <c r="G538" s="64">
        <f>IFERROR(INDEX(MgSubtipo,MATCH($C538,MgActId,0)),"")</f>
        <v/>
      </c>
      <c r="H538" s="59" t="inlineStr">
        <is>
          <t>E.1</t>
        </is>
      </c>
      <c r="I538" s="64">
        <f>IFERROR(INDEX(MgAmenNombre,MATCH(SUBSTITUTE($H538,"*","-"),MgAmenClave,0)),"")</f>
        <v/>
      </c>
      <c r="J538" s="28">
        <f>IFERROR(INDEX(MgAmenGrupo,MATCH(SUBSTITUTE($H538,"*","-"),MgAmenClave,0)),"")</f>
        <v/>
      </c>
      <c r="K538" s="64">
        <f>IFERROR(INDEX('1. Matriz de Activos'!$Q$6:$Q$239,MATCH($C538,MgActId,0)),"")</f>
        <v/>
      </c>
      <c r="L538" s="64">
        <f>IFERROR(INDEX('1. Matriz de Activos'!$R$6:$R$239,MATCH($C538,MgActId,0)),"")</f>
        <v/>
      </c>
      <c r="M538" s="64">
        <f>IFERROR(INDEX('1. Matriz de Activos'!$S$6:$S$239,MATCH($C538,MgActId,0)),"")</f>
        <v/>
      </c>
      <c r="N538" s="28">
        <f>IFERROR(INDEX(MgAmenDegD,MATCH(SUBSTITUTE($H538,"*","-"),MgAmenClave,0)),"No aplica")</f>
        <v/>
      </c>
      <c r="O538" s="28">
        <f>IFERROR(INDEX(MgAmenDegI,MATCH(SUBSTITUTE($H538,"*","-"),MgAmenClave,0)),"No aplica")</f>
        <v/>
      </c>
      <c r="P538" s="28">
        <f>IFERROR(INDEX(MgAmenDegC,MATCH(SUBSTITUTE($H538,"*","-"),MgAmenClave,0)),"No aplica")</f>
        <v/>
      </c>
      <c r="Q538" s="29">
        <f>IFERROR(VLOOKUP(K538,MgValor,2,0)*VLOOKUP(N538,MgDeg,2,0),0)</f>
        <v/>
      </c>
      <c r="R538" s="29">
        <f>IFERROR(VLOOKUP(L538,MgValor,2,0)*VLOOKUP(O538,MgDeg,2,0),0)</f>
        <v/>
      </c>
      <c r="S538" s="29">
        <f>IFERROR(VLOOKUP(M538,MgValor,2,0)*VLOOKUP(P538,MgDeg,2,0),0)</f>
        <v/>
      </c>
      <c r="T538" s="30">
        <f>MAX(Q538:S538)</f>
        <v/>
      </c>
      <c r="U538" s="28">
        <f>IFERROR(LOOKUP(T538,{0;0.5;1.5;3;4.5},{"Despreciable";"Bajo";"Medio";"Alto";"Muy alto"}),"")</f>
        <v/>
      </c>
      <c r="V538" s="13">
        <f>IFERROR(INDEX(MgAmenFrec,MATCH(SUBSTITUTE($H538,"*","-"),MgAmenClave,0)),"")</f>
        <v/>
      </c>
      <c r="W538" s="28">
        <f>IFERROR(LOOKUP(X538,{0;0.01;0.1;1;10;100},{"Muy baja";"Muy baja";"Baja";"Media";"Alta";"Muy alta"}),"")</f>
        <v/>
      </c>
      <c r="X538" s="31">
        <f>IFERROR(VLOOKUP(V538,MgFrec,2,0),0)</f>
        <v/>
      </c>
      <c r="Y538" s="30">
        <f>T538*X538</f>
        <v/>
      </c>
      <c r="Z538" s="28">
        <f>IFERROR(LOOKUP(Y538,{0;0.5;5;25},{"Bajo";"Medio";"Alto";"Crítico"}),"")</f>
        <v/>
      </c>
      <c r="AA538" s="64">
        <f>IF(T538&gt;=3,IF(X538&gt;=1,"Zona 1 — Crítica: impacto alto y ocurre al menos una vez al año","Zona 4 — Catastrófica poco probable: impacto alto pero excepcional"),IF(AND(T538&lt;1.5,X538&lt;1),"Zona 3 — Asumible: impacto bajo y muy poco frecuente","Zona 2 — Atención: riesgo intermedio"))</f>
        <v/>
      </c>
      <c r="AB538" s="64">
        <f>IFERROR(INDEX(MgAmenCtrl,MATCH(SUBSTITUTE($H538,"*","-"),MgAmenClave,0)),"")</f>
        <v/>
      </c>
      <c r="AC538" s="20" t="n"/>
      <c r="AD538" s="31">
        <f>IFERROR($X538*(1-IF($AC538="",$AL538,VLOOKUP($AC538,MgMad,2,0))),"")</f>
        <v/>
      </c>
      <c r="AE538" s="28">
        <f>IFERROR(LOOKUP(AD538,{0;0.01;0.1;1;10;100},{"Muy baja";"Muy baja";"Baja";"Media";"Alta";"Muy alta"}),"")</f>
        <v/>
      </c>
      <c r="AF538" s="30">
        <f>T538*AD538</f>
        <v/>
      </c>
      <c r="AG538" s="28">
        <f>IFERROR(LOOKUP(AF538,{0;0.5;5;25},{"Bajo";"Medio";"Alto";"Crítico"}),"")</f>
        <v/>
      </c>
      <c r="AH538" s="28">
        <f>IF(AG538="","",IF(OR(AG538="Crítico",AG538="Alto"),"Mitigar",IF(AG538="Medio","Mitigar","Aceptar y monitorear")))</f>
        <v/>
      </c>
      <c r="AI538" s="21" t="n"/>
      <c r="AJ538" s="21" t="n"/>
      <c r="AK538" s="20" t="n"/>
      <c r="AL538" s="77">
        <f>IFERROR(INDEX(MgAmenEfic,MATCH(SUBSTITUTE($H538,"*","-"),MgAmenClave,0)),0)</f>
        <v/>
      </c>
    </row>
    <row r="539" hidden="1" ht="120" customHeight="1" s="54">
      <c r="B539" s="59" t="inlineStr">
        <is>
          <t>R-0534</t>
        </is>
      </c>
      <c r="C539" s="59" t="inlineStr">
        <is>
          <t>FIN-07</t>
        </is>
      </c>
      <c r="D539" s="64">
        <f>IFERROR(INDEX(MgNombre,MATCH($C539,MgActId,0)),"")</f>
        <v/>
      </c>
      <c r="E539" s="64">
        <f>IFERROR(INDEX(MgProceso,MATCH($C539,MgActId,0)),"")</f>
        <v/>
      </c>
      <c r="F539" s="64">
        <f>IFERROR(INDEX(MgTipo,MATCH($C539,MgActId,0)),"")</f>
        <v/>
      </c>
      <c r="G539" s="64">
        <f>IFERROR(INDEX(MgSubtipo,MATCH($C539,MgActId,0)),"")</f>
        <v/>
      </c>
      <c r="H539" s="59" t="inlineStr">
        <is>
          <t>E.2</t>
        </is>
      </c>
      <c r="I539" s="64">
        <f>IFERROR(INDEX(MgAmenNombre,MATCH(SUBSTITUTE($H539,"*","-"),MgAmenClave,0)),"")</f>
        <v/>
      </c>
      <c r="J539" s="28">
        <f>IFERROR(INDEX(MgAmenGrupo,MATCH(SUBSTITUTE($H539,"*","-"),MgAmenClave,0)),"")</f>
        <v/>
      </c>
      <c r="K539" s="64">
        <f>IFERROR(INDEX('1. Matriz de Activos'!$Q$6:$Q$239,MATCH($C539,MgActId,0)),"")</f>
        <v/>
      </c>
      <c r="L539" s="64">
        <f>IFERROR(INDEX('1. Matriz de Activos'!$R$6:$R$239,MATCH($C539,MgActId,0)),"")</f>
        <v/>
      </c>
      <c r="M539" s="64">
        <f>IFERROR(INDEX('1. Matriz de Activos'!$S$6:$S$239,MATCH($C539,MgActId,0)),"")</f>
        <v/>
      </c>
      <c r="N539" s="28">
        <f>IFERROR(INDEX(MgAmenDegD,MATCH(SUBSTITUTE($H539,"*","-"),MgAmenClave,0)),"No aplica")</f>
        <v/>
      </c>
      <c r="O539" s="28">
        <f>IFERROR(INDEX(MgAmenDegI,MATCH(SUBSTITUTE($H539,"*","-"),MgAmenClave,0)),"No aplica")</f>
        <v/>
      </c>
      <c r="P539" s="28">
        <f>IFERROR(INDEX(MgAmenDegC,MATCH(SUBSTITUTE($H539,"*","-"),MgAmenClave,0)),"No aplica")</f>
        <v/>
      </c>
      <c r="Q539" s="29">
        <f>IFERROR(VLOOKUP(K539,MgValor,2,0)*VLOOKUP(N539,MgDeg,2,0),0)</f>
        <v/>
      </c>
      <c r="R539" s="29">
        <f>IFERROR(VLOOKUP(L539,MgValor,2,0)*VLOOKUP(O539,MgDeg,2,0),0)</f>
        <v/>
      </c>
      <c r="S539" s="29">
        <f>IFERROR(VLOOKUP(M539,MgValor,2,0)*VLOOKUP(P539,MgDeg,2,0),0)</f>
        <v/>
      </c>
      <c r="T539" s="30">
        <f>MAX(Q539:S539)</f>
        <v/>
      </c>
      <c r="U539" s="28">
        <f>IFERROR(LOOKUP(T539,{0;0.5;1.5;3;4.5},{"Despreciable";"Bajo";"Medio";"Alto";"Muy alto"}),"")</f>
        <v/>
      </c>
      <c r="V539" s="13">
        <f>IFERROR(INDEX(MgAmenFrec,MATCH(SUBSTITUTE($H539,"*","-"),MgAmenClave,0)),"")</f>
        <v/>
      </c>
      <c r="W539" s="28">
        <f>IFERROR(LOOKUP(X539,{0;0.01;0.1;1;10;100},{"Muy baja";"Muy baja";"Baja";"Media";"Alta";"Muy alta"}),"")</f>
        <v/>
      </c>
      <c r="X539" s="31">
        <f>IFERROR(VLOOKUP(V539,MgFrec,2,0),0)</f>
        <v/>
      </c>
      <c r="Y539" s="30">
        <f>T539*X539</f>
        <v/>
      </c>
      <c r="Z539" s="28">
        <f>IFERROR(LOOKUP(Y539,{0;0.5;5;25},{"Bajo";"Medio";"Alto";"Crítico"}),"")</f>
        <v/>
      </c>
      <c r="AA539" s="64">
        <f>IF(T539&gt;=3,IF(X539&gt;=1,"Zona 1 — Crítica: impacto alto y ocurre al menos una vez al año","Zona 4 — Catastrófica poco probable: impacto alto pero excepcional"),IF(AND(T539&lt;1.5,X539&lt;1),"Zona 3 — Asumible: impacto bajo y muy poco frecuente","Zona 2 — Atención: riesgo intermedio"))</f>
        <v/>
      </c>
      <c r="AB539" s="64">
        <f>IFERROR(INDEX(MgAmenCtrl,MATCH(SUBSTITUTE($H539,"*","-"),MgAmenClave,0)),"")</f>
        <v/>
      </c>
      <c r="AC539" s="20" t="n"/>
      <c r="AD539" s="31">
        <f>IFERROR($X539*(1-IF($AC539="",$AL539,VLOOKUP($AC539,MgMad,2,0))),"")</f>
        <v/>
      </c>
      <c r="AE539" s="28">
        <f>IFERROR(LOOKUP(AD539,{0;0.01;0.1;1;10;100},{"Muy baja";"Muy baja";"Baja";"Media";"Alta";"Muy alta"}),"")</f>
        <v/>
      </c>
      <c r="AF539" s="30">
        <f>T539*AD539</f>
        <v/>
      </c>
      <c r="AG539" s="28">
        <f>IFERROR(LOOKUP(AF539,{0;0.5;5;25},{"Bajo";"Medio";"Alto";"Crítico"}),"")</f>
        <v/>
      </c>
      <c r="AH539" s="28">
        <f>IF(AG539="","",IF(OR(AG539="Crítico",AG539="Alto"),"Mitigar",IF(AG539="Medio","Mitigar","Aceptar y monitorear")))</f>
        <v/>
      </c>
      <c r="AI539" s="21" t="n"/>
      <c r="AJ539" s="21" t="n"/>
      <c r="AK539" s="20" t="n"/>
      <c r="AL539" s="77">
        <f>IFERROR(INDEX(MgAmenEfic,MATCH(SUBSTITUTE($H539,"*","-"),MgAmenClave,0)),0)</f>
        <v/>
      </c>
    </row>
    <row r="540" hidden="1" ht="75" customHeight="1" s="54">
      <c r="B540" s="59" t="inlineStr">
        <is>
          <t>R-0535</t>
        </is>
      </c>
      <c r="C540" s="59" t="inlineStr">
        <is>
          <t>FIN-07</t>
        </is>
      </c>
      <c r="D540" s="64">
        <f>IFERROR(INDEX(MgNombre,MATCH($C540,MgActId,0)),"")</f>
        <v/>
      </c>
      <c r="E540" s="64">
        <f>IFERROR(INDEX(MgProceso,MATCH($C540,MgActId,0)),"")</f>
        <v/>
      </c>
      <c r="F540" s="64">
        <f>IFERROR(INDEX(MgTipo,MATCH($C540,MgActId,0)),"")</f>
        <v/>
      </c>
      <c r="G540" s="64">
        <f>IFERROR(INDEX(MgSubtipo,MATCH($C540,MgActId,0)),"")</f>
        <v/>
      </c>
      <c r="H540" s="59" t="inlineStr">
        <is>
          <t>E.3</t>
        </is>
      </c>
      <c r="I540" s="64">
        <f>IFERROR(INDEX(MgAmenNombre,MATCH(SUBSTITUTE($H540,"*","-"),MgAmenClave,0)),"")</f>
        <v/>
      </c>
      <c r="J540" s="28">
        <f>IFERROR(INDEX(MgAmenGrupo,MATCH(SUBSTITUTE($H540,"*","-"),MgAmenClave,0)),"")</f>
        <v/>
      </c>
      <c r="K540" s="64">
        <f>IFERROR(INDEX('1. Matriz de Activos'!$Q$6:$Q$239,MATCH($C540,MgActId,0)),"")</f>
        <v/>
      </c>
      <c r="L540" s="64">
        <f>IFERROR(INDEX('1. Matriz de Activos'!$R$6:$R$239,MATCH($C540,MgActId,0)),"")</f>
        <v/>
      </c>
      <c r="M540" s="64">
        <f>IFERROR(INDEX('1. Matriz de Activos'!$S$6:$S$239,MATCH($C540,MgActId,0)),"")</f>
        <v/>
      </c>
      <c r="N540" s="28">
        <f>IFERROR(INDEX(MgAmenDegD,MATCH(SUBSTITUTE($H540,"*","-"),MgAmenClave,0)),"No aplica")</f>
        <v/>
      </c>
      <c r="O540" s="28">
        <f>IFERROR(INDEX(MgAmenDegI,MATCH(SUBSTITUTE($H540,"*","-"),MgAmenClave,0)),"No aplica")</f>
        <v/>
      </c>
      <c r="P540" s="28">
        <f>IFERROR(INDEX(MgAmenDegC,MATCH(SUBSTITUTE($H540,"*","-"),MgAmenClave,0)),"No aplica")</f>
        <v/>
      </c>
      <c r="Q540" s="29">
        <f>IFERROR(VLOOKUP(K540,MgValor,2,0)*VLOOKUP(N540,MgDeg,2,0),0)</f>
        <v/>
      </c>
      <c r="R540" s="29">
        <f>IFERROR(VLOOKUP(L540,MgValor,2,0)*VLOOKUP(O540,MgDeg,2,0),0)</f>
        <v/>
      </c>
      <c r="S540" s="29">
        <f>IFERROR(VLOOKUP(M540,MgValor,2,0)*VLOOKUP(P540,MgDeg,2,0),0)</f>
        <v/>
      </c>
      <c r="T540" s="30">
        <f>MAX(Q540:S540)</f>
        <v/>
      </c>
      <c r="U540" s="28">
        <f>IFERROR(LOOKUP(T540,{0;0.5;1.5;3;4.5},{"Despreciable";"Bajo";"Medio";"Alto";"Muy alto"}),"")</f>
        <v/>
      </c>
      <c r="V540" s="13">
        <f>IFERROR(INDEX(MgAmenFrec,MATCH(SUBSTITUTE($H540,"*","-"),MgAmenClave,0)),"")</f>
        <v/>
      </c>
      <c r="W540" s="28">
        <f>IFERROR(LOOKUP(X540,{0;0.01;0.1;1;10;100},{"Muy baja";"Muy baja";"Baja";"Media";"Alta";"Muy alta"}),"")</f>
        <v/>
      </c>
      <c r="X540" s="31">
        <f>IFERROR(VLOOKUP(V540,MgFrec,2,0),0)</f>
        <v/>
      </c>
      <c r="Y540" s="30">
        <f>T540*X540</f>
        <v/>
      </c>
      <c r="Z540" s="28">
        <f>IFERROR(LOOKUP(Y540,{0;0.5;5;25},{"Bajo";"Medio";"Alto";"Crítico"}),"")</f>
        <v/>
      </c>
      <c r="AA540" s="64">
        <f>IF(T540&gt;=3,IF(X540&gt;=1,"Zona 1 — Crítica: impacto alto y ocurre al menos una vez al año","Zona 4 — Catastrófica poco probable: impacto alto pero excepcional"),IF(AND(T540&lt;1.5,X540&lt;1),"Zona 3 — Asumible: impacto bajo y muy poco frecuente","Zona 2 — Atención: riesgo intermedio"))</f>
        <v/>
      </c>
      <c r="AB540" s="64">
        <f>IFERROR(INDEX(MgAmenCtrl,MATCH(SUBSTITUTE($H540,"*","-"),MgAmenClave,0)),"")</f>
        <v/>
      </c>
      <c r="AC540" s="20" t="n"/>
      <c r="AD540" s="31">
        <f>IFERROR($X540*(1-IF($AC540="",$AL540,VLOOKUP($AC540,MgMad,2,0))),"")</f>
        <v/>
      </c>
      <c r="AE540" s="28">
        <f>IFERROR(LOOKUP(AD540,{0;0.01;0.1;1;10;100},{"Muy baja";"Muy baja";"Baja";"Media";"Alta";"Muy alta"}),"")</f>
        <v/>
      </c>
      <c r="AF540" s="30">
        <f>T540*AD540</f>
        <v/>
      </c>
      <c r="AG540" s="28">
        <f>IFERROR(LOOKUP(AF540,{0;0.5;5;25},{"Bajo";"Medio";"Alto";"Crítico"}),"")</f>
        <v/>
      </c>
      <c r="AH540" s="28">
        <f>IF(AG540="","",IF(OR(AG540="Crítico",AG540="Alto"),"Mitigar",IF(AG540="Medio","Mitigar","Aceptar y monitorear")))</f>
        <v/>
      </c>
      <c r="AI540" s="21" t="n"/>
      <c r="AJ540" s="21" t="n"/>
      <c r="AK540" s="20" t="n"/>
      <c r="AL540" s="77">
        <f>IFERROR(INDEX(MgAmenEfic,MATCH(SUBSTITUTE($H540,"*","-"),MgAmenClave,0)),0)</f>
        <v/>
      </c>
    </row>
    <row r="541" hidden="1" ht="75" customHeight="1" s="54">
      <c r="B541" s="59" t="inlineStr">
        <is>
          <t>R-0536</t>
        </is>
      </c>
      <c r="C541" s="59" t="inlineStr">
        <is>
          <t>FIN-07</t>
        </is>
      </c>
      <c r="D541" s="64">
        <f>IFERROR(INDEX(MgNombre,MATCH($C541,MgActId,0)),"")</f>
        <v/>
      </c>
      <c r="E541" s="64">
        <f>IFERROR(INDEX(MgProceso,MATCH($C541,MgActId,0)),"")</f>
        <v/>
      </c>
      <c r="F541" s="64">
        <f>IFERROR(INDEX(MgTipo,MATCH($C541,MgActId,0)),"")</f>
        <v/>
      </c>
      <c r="G541" s="64">
        <f>IFERROR(INDEX(MgSubtipo,MATCH($C541,MgActId,0)),"")</f>
        <v/>
      </c>
      <c r="H541" s="59" t="inlineStr">
        <is>
          <t>E.4</t>
        </is>
      </c>
      <c r="I541" s="64">
        <f>IFERROR(INDEX(MgAmenNombre,MATCH(SUBSTITUTE($H541,"*","-"),MgAmenClave,0)),"")</f>
        <v/>
      </c>
      <c r="J541" s="28">
        <f>IFERROR(INDEX(MgAmenGrupo,MATCH(SUBSTITUTE($H541,"*","-"),MgAmenClave,0)),"")</f>
        <v/>
      </c>
      <c r="K541" s="64">
        <f>IFERROR(INDEX('1. Matriz de Activos'!$Q$6:$Q$239,MATCH($C541,MgActId,0)),"")</f>
        <v/>
      </c>
      <c r="L541" s="64">
        <f>IFERROR(INDEX('1. Matriz de Activos'!$R$6:$R$239,MATCH($C541,MgActId,0)),"")</f>
        <v/>
      </c>
      <c r="M541" s="64">
        <f>IFERROR(INDEX('1. Matriz de Activos'!$S$6:$S$239,MATCH($C541,MgActId,0)),"")</f>
        <v/>
      </c>
      <c r="N541" s="28">
        <f>IFERROR(INDEX(MgAmenDegD,MATCH(SUBSTITUTE($H541,"*","-"),MgAmenClave,0)),"No aplica")</f>
        <v/>
      </c>
      <c r="O541" s="28">
        <f>IFERROR(INDEX(MgAmenDegI,MATCH(SUBSTITUTE($H541,"*","-"),MgAmenClave,0)),"No aplica")</f>
        <v/>
      </c>
      <c r="P541" s="28">
        <f>IFERROR(INDEX(MgAmenDegC,MATCH(SUBSTITUTE($H541,"*","-"),MgAmenClave,0)),"No aplica")</f>
        <v/>
      </c>
      <c r="Q541" s="29">
        <f>IFERROR(VLOOKUP(K541,MgValor,2,0)*VLOOKUP(N541,MgDeg,2,0),0)</f>
        <v/>
      </c>
      <c r="R541" s="29">
        <f>IFERROR(VLOOKUP(L541,MgValor,2,0)*VLOOKUP(O541,MgDeg,2,0),0)</f>
        <v/>
      </c>
      <c r="S541" s="29">
        <f>IFERROR(VLOOKUP(M541,MgValor,2,0)*VLOOKUP(P541,MgDeg,2,0),0)</f>
        <v/>
      </c>
      <c r="T541" s="30">
        <f>MAX(Q541:S541)</f>
        <v/>
      </c>
      <c r="U541" s="28">
        <f>IFERROR(LOOKUP(T541,{0;0.5;1.5;3;4.5},{"Despreciable";"Bajo";"Medio";"Alto";"Muy alto"}),"")</f>
        <v/>
      </c>
      <c r="V541" s="13">
        <f>IFERROR(INDEX(MgAmenFrec,MATCH(SUBSTITUTE($H541,"*","-"),MgAmenClave,0)),"")</f>
        <v/>
      </c>
      <c r="W541" s="28">
        <f>IFERROR(LOOKUP(X541,{0;0.01;0.1;1;10;100},{"Muy baja";"Muy baja";"Baja";"Media";"Alta";"Muy alta"}),"")</f>
        <v/>
      </c>
      <c r="X541" s="31">
        <f>IFERROR(VLOOKUP(V541,MgFrec,2,0),0)</f>
        <v/>
      </c>
      <c r="Y541" s="30">
        <f>T541*X541</f>
        <v/>
      </c>
      <c r="Z541" s="28">
        <f>IFERROR(LOOKUP(Y541,{0;0.5;5;25},{"Bajo";"Medio";"Alto";"Crítico"}),"")</f>
        <v/>
      </c>
      <c r="AA541" s="64">
        <f>IF(T541&gt;=3,IF(X541&gt;=1,"Zona 1 — Crítica: impacto alto y ocurre al menos una vez al año","Zona 4 — Catastrófica poco probable: impacto alto pero excepcional"),IF(AND(T541&lt;1.5,X541&lt;1),"Zona 3 — Asumible: impacto bajo y muy poco frecuente","Zona 2 — Atención: riesgo intermedio"))</f>
        <v/>
      </c>
      <c r="AB541" s="64">
        <f>IFERROR(INDEX(MgAmenCtrl,MATCH(SUBSTITUTE($H541,"*","-"),MgAmenClave,0)),"")</f>
        <v/>
      </c>
      <c r="AC541" s="20" t="n"/>
      <c r="AD541" s="31">
        <f>IFERROR($X541*(1-IF($AC541="",$AL541,VLOOKUP($AC541,MgMad,2,0))),"")</f>
        <v/>
      </c>
      <c r="AE541" s="28">
        <f>IFERROR(LOOKUP(AD541,{0;0.01;0.1;1;10;100},{"Muy baja";"Muy baja";"Baja";"Media";"Alta";"Muy alta"}),"")</f>
        <v/>
      </c>
      <c r="AF541" s="30">
        <f>T541*AD541</f>
        <v/>
      </c>
      <c r="AG541" s="28">
        <f>IFERROR(LOOKUP(AF541,{0;0.5;5;25},{"Bajo";"Medio";"Alto";"Crítico"}),"")</f>
        <v/>
      </c>
      <c r="AH541" s="28">
        <f>IF(AG541="","",IF(OR(AG541="Crítico",AG541="Alto"),"Mitigar",IF(AG541="Medio","Mitigar","Aceptar y monitorear")))</f>
        <v/>
      </c>
      <c r="AI541" s="21" t="n"/>
      <c r="AJ541" s="21" t="n"/>
      <c r="AK541" s="20" t="n"/>
      <c r="AL541" s="77">
        <f>IFERROR(INDEX(MgAmenEfic,MATCH(SUBSTITUTE($H541,"*","-"),MgAmenClave,0)),0)</f>
        <v/>
      </c>
    </row>
    <row r="542" hidden="1" ht="90" customHeight="1" s="54">
      <c r="B542" s="59" t="inlineStr">
        <is>
          <t>R-0537</t>
        </is>
      </c>
      <c r="C542" s="59" t="inlineStr">
        <is>
          <t>FIN-07</t>
        </is>
      </c>
      <c r="D542" s="64">
        <f>IFERROR(INDEX(MgNombre,MATCH($C542,MgActId,0)),"")</f>
        <v/>
      </c>
      <c r="E542" s="64">
        <f>IFERROR(INDEX(MgProceso,MATCH($C542,MgActId,0)),"")</f>
        <v/>
      </c>
      <c r="F542" s="64">
        <f>IFERROR(INDEX(MgTipo,MATCH($C542,MgActId,0)),"")</f>
        <v/>
      </c>
      <c r="G542" s="64">
        <f>IFERROR(INDEX(MgSubtipo,MATCH($C542,MgActId,0)),"")</f>
        <v/>
      </c>
      <c r="H542" s="59" t="inlineStr">
        <is>
          <t>E.14</t>
        </is>
      </c>
      <c r="I542" s="64">
        <f>IFERROR(INDEX(MgAmenNombre,MATCH(SUBSTITUTE($H542,"*","-"),MgAmenClave,0)),"")</f>
        <v/>
      </c>
      <c r="J542" s="28">
        <f>IFERROR(INDEX(MgAmenGrupo,MATCH(SUBSTITUTE($H542,"*","-"),MgAmenClave,0)),"")</f>
        <v/>
      </c>
      <c r="K542" s="64">
        <f>IFERROR(INDEX('1. Matriz de Activos'!$Q$6:$Q$239,MATCH($C542,MgActId,0)),"")</f>
        <v/>
      </c>
      <c r="L542" s="64">
        <f>IFERROR(INDEX('1. Matriz de Activos'!$R$6:$R$239,MATCH($C542,MgActId,0)),"")</f>
        <v/>
      </c>
      <c r="M542" s="64">
        <f>IFERROR(INDEX('1. Matriz de Activos'!$S$6:$S$239,MATCH($C542,MgActId,0)),"")</f>
        <v/>
      </c>
      <c r="N542" s="28">
        <f>IFERROR(INDEX(MgAmenDegD,MATCH(SUBSTITUTE($H542,"*","-"),MgAmenClave,0)),"No aplica")</f>
        <v/>
      </c>
      <c r="O542" s="28">
        <f>IFERROR(INDEX(MgAmenDegI,MATCH(SUBSTITUTE($H542,"*","-"),MgAmenClave,0)),"No aplica")</f>
        <v/>
      </c>
      <c r="P542" s="28">
        <f>IFERROR(INDEX(MgAmenDegC,MATCH(SUBSTITUTE($H542,"*","-"),MgAmenClave,0)),"No aplica")</f>
        <v/>
      </c>
      <c r="Q542" s="29">
        <f>IFERROR(VLOOKUP(K542,MgValor,2,0)*VLOOKUP(N542,MgDeg,2,0),0)</f>
        <v/>
      </c>
      <c r="R542" s="29">
        <f>IFERROR(VLOOKUP(L542,MgValor,2,0)*VLOOKUP(O542,MgDeg,2,0),0)</f>
        <v/>
      </c>
      <c r="S542" s="29">
        <f>IFERROR(VLOOKUP(M542,MgValor,2,0)*VLOOKUP(P542,MgDeg,2,0),0)</f>
        <v/>
      </c>
      <c r="T542" s="30">
        <f>MAX(Q542:S542)</f>
        <v/>
      </c>
      <c r="U542" s="28">
        <f>IFERROR(LOOKUP(T542,{0;0.5;1.5;3;4.5},{"Despreciable";"Bajo";"Medio";"Alto";"Muy alto"}),"")</f>
        <v/>
      </c>
      <c r="V542" s="13">
        <f>IFERROR(INDEX(MgAmenFrec,MATCH(SUBSTITUTE($H542,"*","-"),MgAmenClave,0)),"")</f>
        <v/>
      </c>
      <c r="W542" s="28">
        <f>IFERROR(LOOKUP(X542,{0;0.01;0.1;1;10;100},{"Muy baja";"Muy baja";"Baja";"Media";"Alta";"Muy alta"}),"")</f>
        <v/>
      </c>
      <c r="X542" s="31">
        <f>IFERROR(VLOOKUP(V542,MgFrec,2,0),0)</f>
        <v/>
      </c>
      <c r="Y542" s="30">
        <f>T542*X542</f>
        <v/>
      </c>
      <c r="Z542" s="28">
        <f>IFERROR(LOOKUP(Y542,{0;0.5;5;25},{"Bajo";"Medio";"Alto";"Crítico"}),"")</f>
        <v/>
      </c>
      <c r="AA542" s="64">
        <f>IF(T542&gt;=3,IF(X542&gt;=1,"Zona 1 — Crítica: impacto alto y ocurre al menos una vez al año","Zona 4 — Catastrófica poco probable: impacto alto pero excepcional"),IF(AND(T542&lt;1.5,X542&lt;1),"Zona 3 — Asumible: impacto bajo y muy poco frecuente","Zona 2 — Atención: riesgo intermedio"))</f>
        <v/>
      </c>
      <c r="AB542" s="64">
        <f>IFERROR(INDEX(MgAmenCtrl,MATCH(SUBSTITUTE($H542,"*","-"),MgAmenClave,0)),"")</f>
        <v/>
      </c>
      <c r="AC542" s="20" t="n"/>
      <c r="AD542" s="31">
        <f>IFERROR($X542*(1-IF($AC542="",$AL542,VLOOKUP($AC542,MgMad,2,0))),"")</f>
        <v/>
      </c>
      <c r="AE542" s="28">
        <f>IFERROR(LOOKUP(AD542,{0;0.01;0.1;1;10;100},{"Muy baja";"Muy baja";"Baja";"Media";"Alta";"Muy alta"}),"")</f>
        <v/>
      </c>
      <c r="AF542" s="30">
        <f>T542*AD542</f>
        <v/>
      </c>
      <c r="AG542" s="28">
        <f>IFERROR(LOOKUP(AF542,{0;0.5;5;25},{"Bajo";"Medio";"Alto";"Crítico"}),"")</f>
        <v/>
      </c>
      <c r="AH542" s="28">
        <f>IF(AG542="","",IF(OR(AG542="Crítico",AG542="Alto"),"Mitigar",IF(AG542="Medio","Mitigar","Aceptar y monitorear")))</f>
        <v/>
      </c>
      <c r="AI542" s="21" t="n"/>
      <c r="AJ542" s="21" t="n"/>
      <c r="AK542" s="20" t="n"/>
      <c r="AL542" s="77">
        <f>IFERROR(INDEX(MgAmenEfic,MATCH(SUBSTITUTE($H542,"*","-"),MgAmenClave,0)),0)</f>
        <v/>
      </c>
    </row>
    <row r="543" hidden="1" ht="90" customHeight="1" s="54">
      <c r="B543" s="59" t="inlineStr">
        <is>
          <t>R-0538</t>
        </is>
      </c>
      <c r="C543" s="59" t="inlineStr">
        <is>
          <t>FIN-07</t>
        </is>
      </c>
      <c r="D543" s="64">
        <f>IFERROR(INDEX(MgNombre,MATCH($C543,MgActId,0)),"")</f>
        <v/>
      </c>
      <c r="E543" s="64">
        <f>IFERROR(INDEX(MgProceso,MATCH($C543,MgActId,0)),"")</f>
        <v/>
      </c>
      <c r="F543" s="64">
        <f>IFERROR(INDEX(MgTipo,MATCH($C543,MgActId,0)),"")</f>
        <v/>
      </c>
      <c r="G543" s="64">
        <f>IFERROR(INDEX(MgSubtipo,MATCH($C543,MgActId,0)),"")</f>
        <v/>
      </c>
      <c r="H543" s="59" t="inlineStr">
        <is>
          <t>E.15</t>
        </is>
      </c>
      <c r="I543" s="64">
        <f>IFERROR(INDEX(MgAmenNombre,MATCH(SUBSTITUTE($H543,"*","-"),MgAmenClave,0)),"")</f>
        <v/>
      </c>
      <c r="J543" s="28">
        <f>IFERROR(INDEX(MgAmenGrupo,MATCH(SUBSTITUTE($H543,"*","-"),MgAmenClave,0)),"")</f>
        <v/>
      </c>
      <c r="K543" s="64">
        <f>IFERROR(INDEX('1. Matriz de Activos'!$Q$6:$Q$239,MATCH($C543,MgActId,0)),"")</f>
        <v/>
      </c>
      <c r="L543" s="64">
        <f>IFERROR(INDEX('1. Matriz de Activos'!$R$6:$R$239,MATCH($C543,MgActId,0)),"")</f>
        <v/>
      </c>
      <c r="M543" s="64">
        <f>IFERROR(INDEX('1. Matriz de Activos'!$S$6:$S$239,MATCH($C543,MgActId,0)),"")</f>
        <v/>
      </c>
      <c r="N543" s="28">
        <f>IFERROR(INDEX(MgAmenDegD,MATCH(SUBSTITUTE($H543,"*","-"),MgAmenClave,0)),"No aplica")</f>
        <v/>
      </c>
      <c r="O543" s="28">
        <f>IFERROR(INDEX(MgAmenDegI,MATCH(SUBSTITUTE($H543,"*","-"),MgAmenClave,0)),"No aplica")</f>
        <v/>
      </c>
      <c r="P543" s="28">
        <f>IFERROR(INDEX(MgAmenDegC,MATCH(SUBSTITUTE($H543,"*","-"),MgAmenClave,0)),"No aplica")</f>
        <v/>
      </c>
      <c r="Q543" s="29">
        <f>IFERROR(VLOOKUP(K543,MgValor,2,0)*VLOOKUP(N543,MgDeg,2,0),0)</f>
        <v/>
      </c>
      <c r="R543" s="29">
        <f>IFERROR(VLOOKUP(L543,MgValor,2,0)*VLOOKUP(O543,MgDeg,2,0),0)</f>
        <v/>
      </c>
      <c r="S543" s="29">
        <f>IFERROR(VLOOKUP(M543,MgValor,2,0)*VLOOKUP(P543,MgDeg,2,0),0)</f>
        <v/>
      </c>
      <c r="T543" s="30">
        <f>MAX(Q543:S543)</f>
        <v/>
      </c>
      <c r="U543" s="28">
        <f>IFERROR(LOOKUP(T543,{0;0.5;1.5;3;4.5},{"Despreciable";"Bajo";"Medio";"Alto";"Muy alto"}),"")</f>
        <v/>
      </c>
      <c r="V543" s="13">
        <f>IFERROR(INDEX(MgAmenFrec,MATCH(SUBSTITUTE($H543,"*","-"),MgAmenClave,0)),"")</f>
        <v/>
      </c>
      <c r="W543" s="28">
        <f>IFERROR(LOOKUP(X543,{0;0.01;0.1;1;10;100},{"Muy baja";"Muy baja";"Baja";"Media";"Alta";"Muy alta"}),"")</f>
        <v/>
      </c>
      <c r="X543" s="31">
        <f>IFERROR(VLOOKUP(V543,MgFrec,2,0),0)</f>
        <v/>
      </c>
      <c r="Y543" s="30">
        <f>T543*X543</f>
        <v/>
      </c>
      <c r="Z543" s="28">
        <f>IFERROR(LOOKUP(Y543,{0;0.5;5;25},{"Bajo";"Medio";"Alto";"Crítico"}),"")</f>
        <v/>
      </c>
      <c r="AA543" s="64">
        <f>IF(T543&gt;=3,IF(X543&gt;=1,"Zona 1 — Crítica: impacto alto y ocurre al menos una vez al año","Zona 4 — Catastrófica poco probable: impacto alto pero excepcional"),IF(AND(T543&lt;1.5,X543&lt;1),"Zona 3 — Asumible: impacto bajo y muy poco frecuente","Zona 2 — Atención: riesgo intermedio"))</f>
        <v/>
      </c>
      <c r="AB543" s="64">
        <f>IFERROR(INDEX(MgAmenCtrl,MATCH(SUBSTITUTE($H543,"*","-"),MgAmenClave,0)),"")</f>
        <v/>
      </c>
      <c r="AC543" s="20" t="n"/>
      <c r="AD543" s="31">
        <f>IFERROR($X543*(1-IF($AC543="",$AL543,VLOOKUP($AC543,MgMad,2,0))),"")</f>
        <v/>
      </c>
      <c r="AE543" s="28">
        <f>IFERROR(LOOKUP(AD543,{0;0.01;0.1;1;10;100},{"Muy baja";"Muy baja";"Baja";"Media";"Alta";"Muy alta"}),"")</f>
        <v/>
      </c>
      <c r="AF543" s="30">
        <f>T543*AD543</f>
        <v/>
      </c>
      <c r="AG543" s="28">
        <f>IFERROR(LOOKUP(AF543,{0;0.5;5;25},{"Bajo";"Medio";"Alto";"Crítico"}),"")</f>
        <v/>
      </c>
      <c r="AH543" s="28">
        <f>IF(AG543="","",IF(OR(AG543="Crítico",AG543="Alto"),"Mitigar",IF(AG543="Medio","Mitigar","Aceptar y monitorear")))</f>
        <v/>
      </c>
      <c r="AI543" s="21" t="n"/>
      <c r="AJ543" s="21" t="n"/>
      <c r="AK543" s="20" t="n"/>
      <c r="AL543" s="77">
        <f>IFERROR(INDEX(MgAmenEfic,MATCH(SUBSTITUTE($H543,"*","-"),MgAmenClave,0)),0)</f>
        <v/>
      </c>
    </row>
    <row r="544" hidden="1" ht="60" customHeight="1" s="54">
      <c r="B544" s="59" t="inlineStr">
        <is>
          <t>R-0539</t>
        </is>
      </c>
      <c r="C544" s="59" t="inlineStr">
        <is>
          <t>FIN-07</t>
        </is>
      </c>
      <c r="D544" s="64">
        <f>IFERROR(INDEX(MgNombre,MATCH($C544,MgActId,0)),"")</f>
        <v/>
      </c>
      <c r="E544" s="64">
        <f>IFERROR(INDEX(MgProceso,MATCH($C544,MgActId,0)),"")</f>
        <v/>
      </c>
      <c r="F544" s="64">
        <f>IFERROR(INDEX(MgTipo,MATCH($C544,MgActId,0)),"")</f>
        <v/>
      </c>
      <c r="G544" s="64">
        <f>IFERROR(INDEX(MgSubtipo,MATCH($C544,MgActId,0)),"")</f>
        <v/>
      </c>
      <c r="H544" s="59" t="inlineStr">
        <is>
          <t>E.18</t>
        </is>
      </c>
      <c r="I544" s="64">
        <f>IFERROR(INDEX(MgAmenNombre,MATCH(SUBSTITUTE($H544,"*","-"),MgAmenClave,0)),"")</f>
        <v/>
      </c>
      <c r="J544" s="28">
        <f>IFERROR(INDEX(MgAmenGrupo,MATCH(SUBSTITUTE($H544,"*","-"),MgAmenClave,0)),"")</f>
        <v/>
      </c>
      <c r="K544" s="64">
        <f>IFERROR(INDEX('1. Matriz de Activos'!$Q$6:$Q$239,MATCH($C544,MgActId,0)),"")</f>
        <v/>
      </c>
      <c r="L544" s="64">
        <f>IFERROR(INDEX('1. Matriz de Activos'!$R$6:$R$239,MATCH($C544,MgActId,0)),"")</f>
        <v/>
      </c>
      <c r="M544" s="64">
        <f>IFERROR(INDEX('1. Matriz de Activos'!$S$6:$S$239,MATCH($C544,MgActId,0)),"")</f>
        <v/>
      </c>
      <c r="N544" s="28">
        <f>IFERROR(INDEX(MgAmenDegD,MATCH(SUBSTITUTE($H544,"*","-"),MgAmenClave,0)),"No aplica")</f>
        <v/>
      </c>
      <c r="O544" s="28">
        <f>IFERROR(INDEX(MgAmenDegI,MATCH(SUBSTITUTE($H544,"*","-"),MgAmenClave,0)),"No aplica")</f>
        <v/>
      </c>
      <c r="P544" s="28">
        <f>IFERROR(INDEX(MgAmenDegC,MATCH(SUBSTITUTE($H544,"*","-"),MgAmenClave,0)),"No aplica")</f>
        <v/>
      </c>
      <c r="Q544" s="29">
        <f>IFERROR(VLOOKUP(K544,MgValor,2,0)*VLOOKUP(N544,MgDeg,2,0),0)</f>
        <v/>
      </c>
      <c r="R544" s="29">
        <f>IFERROR(VLOOKUP(L544,MgValor,2,0)*VLOOKUP(O544,MgDeg,2,0),0)</f>
        <v/>
      </c>
      <c r="S544" s="29">
        <f>IFERROR(VLOOKUP(M544,MgValor,2,0)*VLOOKUP(P544,MgDeg,2,0),0)</f>
        <v/>
      </c>
      <c r="T544" s="30">
        <f>MAX(Q544:S544)</f>
        <v/>
      </c>
      <c r="U544" s="28">
        <f>IFERROR(LOOKUP(T544,{0;0.5;1.5;3;4.5},{"Despreciable";"Bajo";"Medio";"Alto";"Muy alto"}),"")</f>
        <v/>
      </c>
      <c r="V544" s="13">
        <f>IFERROR(INDEX(MgAmenFrec,MATCH(SUBSTITUTE($H544,"*","-"),MgAmenClave,0)),"")</f>
        <v/>
      </c>
      <c r="W544" s="28">
        <f>IFERROR(LOOKUP(X544,{0;0.01;0.1;1;10;100},{"Muy baja";"Muy baja";"Baja";"Media";"Alta";"Muy alta"}),"")</f>
        <v/>
      </c>
      <c r="X544" s="31">
        <f>IFERROR(VLOOKUP(V544,MgFrec,2,0),0)</f>
        <v/>
      </c>
      <c r="Y544" s="30">
        <f>T544*X544</f>
        <v/>
      </c>
      <c r="Z544" s="28">
        <f>IFERROR(LOOKUP(Y544,{0;0.5;5;25},{"Bajo";"Medio";"Alto";"Crítico"}),"")</f>
        <v/>
      </c>
      <c r="AA544" s="64">
        <f>IF(T544&gt;=3,IF(X544&gt;=1,"Zona 1 — Crítica: impacto alto y ocurre al menos una vez al año","Zona 4 — Catastrófica poco probable: impacto alto pero excepcional"),IF(AND(T544&lt;1.5,X544&lt;1),"Zona 3 — Asumible: impacto bajo y muy poco frecuente","Zona 2 — Atención: riesgo intermedio"))</f>
        <v/>
      </c>
      <c r="AB544" s="64">
        <f>IFERROR(INDEX(MgAmenCtrl,MATCH(SUBSTITUTE($H544,"*","-"),MgAmenClave,0)),"")</f>
        <v/>
      </c>
      <c r="AC544" s="20" t="n"/>
      <c r="AD544" s="31">
        <f>IFERROR($X544*(1-IF($AC544="",$AL544,VLOOKUP($AC544,MgMad,2,0))),"")</f>
        <v/>
      </c>
      <c r="AE544" s="28">
        <f>IFERROR(LOOKUP(AD544,{0;0.01;0.1;1;10;100},{"Muy baja";"Muy baja";"Baja";"Media";"Alta";"Muy alta"}),"")</f>
        <v/>
      </c>
      <c r="AF544" s="30">
        <f>T544*AD544</f>
        <v/>
      </c>
      <c r="AG544" s="28">
        <f>IFERROR(LOOKUP(AF544,{0;0.5;5;25},{"Bajo";"Medio";"Alto";"Crítico"}),"")</f>
        <v/>
      </c>
      <c r="AH544" s="28">
        <f>IF(AG544="","",IF(OR(AG544="Crítico",AG544="Alto"),"Mitigar",IF(AG544="Medio","Mitigar","Aceptar y monitorear")))</f>
        <v/>
      </c>
      <c r="AI544" s="21" t="n"/>
      <c r="AJ544" s="21" t="n"/>
      <c r="AK544" s="20" t="n"/>
      <c r="AL544" s="77">
        <f>IFERROR(INDEX(MgAmenEfic,MATCH(SUBSTITUTE($H544,"*","-"),MgAmenClave,0)),0)</f>
        <v/>
      </c>
    </row>
    <row r="545" hidden="1" ht="105" customHeight="1" s="54">
      <c r="B545" s="59" t="inlineStr">
        <is>
          <t>R-0540</t>
        </is>
      </c>
      <c r="C545" s="59" t="inlineStr">
        <is>
          <t>FIN-07</t>
        </is>
      </c>
      <c r="D545" s="64">
        <f>IFERROR(INDEX(MgNombre,MATCH($C545,MgActId,0)),"")</f>
        <v/>
      </c>
      <c r="E545" s="64">
        <f>IFERROR(INDEX(MgProceso,MATCH($C545,MgActId,0)),"")</f>
        <v/>
      </c>
      <c r="F545" s="64">
        <f>IFERROR(INDEX(MgTipo,MATCH($C545,MgActId,0)),"")</f>
        <v/>
      </c>
      <c r="G545" s="64">
        <f>IFERROR(INDEX(MgSubtipo,MATCH($C545,MgActId,0)),"")</f>
        <v/>
      </c>
      <c r="H545" s="59" t="inlineStr">
        <is>
          <t>E.19</t>
        </is>
      </c>
      <c r="I545" s="64">
        <f>IFERROR(INDEX(MgAmenNombre,MATCH(SUBSTITUTE($H545,"*","-"),MgAmenClave,0)),"")</f>
        <v/>
      </c>
      <c r="J545" s="28">
        <f>IFERROR(INDEX(MgAmenGrupo,MATCH(SUBSTITUTE($H545,"*","-"),MgAmenClave,0)),"")</f>
        <v/>
      </c>
      <c r="K545" s="64">
        <f>IFERROR(INDEX('1. Matriz de Activos'!$Q$6:$Q$239,MATCH($C545,MgActId,0)),"")</f>
        <v/>
      </c>
      <c r="L545" s="64">
        <f>IFERROR(INDEX('1. Matriz de Activos'!$R$6:$R$239,MATCH($C545,MgActId,0)),"")</f>
        <v/>
      </c>
      <c r="M545" s="64">
        <f>IFERROR(INDEX('1. Matriz de Activos'!$S$6:$S$239,MATCH($C545,MgActId,0)),"")</f>
        <v/>
      </c>
      <c r="N545" s="28">
        <f>IFERROR(INDEX(MgAmenDegD,MATCH(SUBSTITUTE($H545,"*","-"),MgAmenClave,0)),"No aplica")</f>
        <v/>
      </c>
      <c r="O545" s="28">
        <f>IFERROR(INDEX(MgAmenDegI,MATCH(SUBSTITUTE($H545,"*","-"),MgAmenClave,0)),"No aplica")</f>
        <v/>
      </c>
      <c r="P545" s="28">
        <f>IFERROR(INDEX(MgAmenDegC,MATCH(SUBSTITUTE($H545,"*","-"),MgAmenClave,0)),"No aplica")</f>
        <v/>
      </c>
      <c r="Q545" s="29">
        <f>IFERROR(VLOOKUP(K545,MgValor,2,0)*VLOOKUP(N545,MgDeg,2,0),0)</f>
        <v/>
      </c>
      <c r="R545" s="29">
        <f>IFERROR(VLOOKUP(L545,MgValor,2,0)*VLOOKUP(O545,MgDeg,2,0),0)</f>
        <v/>
      </c>
      <c r="S545" s="29">
        <f>IFERROR(VLOOKUP(M545,MgValor,2,0)*VLOOKUP(P545,MgDeg,2,0),0)</f>
        <v/>
      </c>
      <c r="T545" s="30">
        <f>MAX(Q545:S545)</f>
        <v/>
      </c>
      <c r="U545" s="28">
        <f>IFERROR(LOOKUP(T545,{0;0.5;1.5;3;4.5},{"Despreciable";"Bajo";"Medio";"Alto";"Muy alto"}),"")</f>
        <v/>
      </c>
      <c r="V545" s="13">
        <f>IFERROR(INDEX(MgAmenFrec,MATCH(SUBSTITUTE($H545,"*","-"),MgAmenClave,0)),"")</f>
        <v/>
      </c>
      <c r="W545" s="28">
        <f>IFERROR(LOOKUP(X545,{0;0.01;0.1;1;10;100},{"Muy baja";"Muy baja";"Baja";"Media";"Alta";"Muy alta"}),"")</f>
        <v/>
      </c>
      <c r="X545" s="31">
        <f>IFERROR(VLOOKUP(V545,MgFrec,2,0),0)</f>
        <v/>
      </c>
      <c r="Y545" s="30">
        <f>T545*X545</f>
        <v/>
      </c>
      <c r="Z545" s="28">
        <f>IFERROR(LOOKUP(Y545,{0;0.5;5;25},{"Bajo";"Medio";"Alto";"Crítico"}),"")</f>
        <v/>
      </c>
      <c r="AA545" s="64">
        <f>IF(T545&gt;=3,IF(X545&gt;=1,"Zona 1 — Crítica: impacto alto y ocurre al menos una vez al año","Zona 4 — Catastrófica poco probable: impacto alto pero excepcional"),IF(AND(T545&lt;1.5,X545&lt;1),"Zona 3 — Asumible: impacto bajo y muy poco frecuente","Zona 2 — Atención: riesgo intermedio"))</f>
        <v/>
      </c>
      <c r="AB545" s="64">
        <f>IFERROR(INDEX(MgAmenCtrl,MATCH(SUBSTITUTE($H545,"*","-"),MgAmenClave,0)),"")</f>
        <v/>
      </c>
      <c r="AC545" s="20" t="n"/>
      <c r="AD545" s="31">
        <f>IFERROR($X545*(1-IF($AC545="",$AL545,VLOOKUP($AC545,MgMad,2,0))),"")</f>
        <v/>
      </c>
      <c r="AE545" s="28">
        <f>IFERROR(LOOKUP(AD545,{0;0.01;0.1;1;10;100},{"Muy baja";"Muy baja";"Baja";"Media";"Alta";"Muy alta"}),"")</f>
        <v/>
      </c>
      <c r="AF545" s="30">
        <f>T545*AD545</f>
        <v/>
      </c>
      <c r="AG545" s="28">
        <f>IFERROR(LOOKUP(AF545,{0;0.5;5;25},{"Bajo";"Medio";"Alto";"Crítico"}),"")</f>
        <v/>
      </c>
      <c r="AH545" s="28">
        <f>IF(AG545="","",IF(OR(AG545="Crítico",AG545="Alto"),"Mitigar",IF(AG545="Medio","Mitigar","Aceptar y monitorear")))</f>
        <v/>
      </c>
      <c r="AI545" s="21" t="n"/>
      <c r="AJ545" s="21" t="n"/>
      <c r="AK545" s="20" t="n"/>
      <c r="AL545" s="77">
        <f>IFERROR(INDEX(MgAmenEfic,MATCH(SUBSTITUTE($H545,"*","-"),MgAmenClave,0)),0)</f>
        <v/>
      </c>
    </row>
    <row r="546" hidden="1" ht="60" customHeight="1" s="54">
      <c r="B546" s="59" t="inlineStr">
        <is>
          <t>R-0541</t>
        </is>
      </c>
      <c r="C546" s="59" t="inlineStr">
        <is>
          <t>FIN-07</t>
        </is>
      </c>
      <c r="D546" s="64">
        <f>IFERROR(INDEX(MgNombre,MATCH($C546,MgActId,0)),"")</f>
        <v/>
      </c>
      <c r="E546" s="64">
        <f>IFERROR(INDEX(MgProceso,MATCH($C546,MgActId,0)),"")</f>
        <v/>
      </c>
      <c r="F546" s="64">
        <f>IFERROR(INDEX(MgTipo,MATCH($C546,MgActId,0)),"")</f>
        <v/>
      </c>
      <c r="G546" s="64">
        <f>IFERROR(INDEX(MgSubtipo,MATCH($C546,MgActId,0)),"")</f>
        <v/>
      </c>
      <c r="H546" s="59" t="inlineStr">
        <is>
          <t>A.3</t>
        </is>
      </c>
      <c r="I546" s="64">
        <f>IFERROR(INDEX(MgAmenNombre,MATCH(SUBSTITUTE($H546,"*","-"),MgAmenClave,0)),"")</f>
        <v/>
      </c>
      <c r="J546" s="28">
        <f>IFERROR(INDEX(MgAmenGrupo,MATCH(SUBSTITUTE($H546,"*","-"),MgAmenClave,0)),"")</f>
        <v/>
      </c>
      <c r="K546" s="64">
        <f>IFERROR(INDEX('1. Matriz de Activos'!$Q$6:$Q$239,MATCH($C546,MgActId,0)),"")</f>
        <v/>
      </c>
      <c r="L546" s="64">
        <f>IFERROR(INDEX('1. Matriz de Activos'!$R$6:$R$239,MATCH($C546,MgActId,0)),"")</f>
        <v/>
      </c>
      <c r="M546" s="64">
        <f>IFERROR(INDEX('1. Matriz de Activos'!$S$6:$S$239,MATCH($C546,MgActId,0)),"")</f>
        <v/>
      </c>
      <c r="N546" s="28">
        <f>IFERROR(INDEX(MgAmenDegD,MATCH(SUBSTITUTE($H546,"*","-"),MgAmenClave,0)),"No aplica")</f>
        <v/>
      </c>
      <c r="O546" s="28">
        <f>IFERROR(INDEX(MgAmenDegI,MATCH(SUBSTITUTE($H546,"*","-"),MgAmenClave,0)),"No aplica")</f>
        <v/>
      </c>
      <c r="P546" s="28">
        <f>IFERROR(INDEX(MgAmenDegC,MATCH(SUBSTITUTE($H546,"*","-"),MgAmenClave,0)),"No aplica")</f>
        <v/>
      </c>
      <c r="Q546" s="29">
        <f>IFERROR(VLOOKUP(K546,MgValor,2,0)*VLOOKUP(N546,MgDeg,2,0),0)</f>
        <v/>
      </c>
      <c r="R546" s="29">
        <f>IFERROR(VLOOKUP(L546,MgValor,2,0)*VLOOKUP(O546,MgDeg,2,0),0)</f>
        <v/>
      </c>
      <c r="S546" s="29">
        <f>IFERROR(VLOOKUP(M546,MgValor,2,0)*VLOOKUP(P546,MgDeg,2,0),0)</f>
        <v/>
      </c>
      <c r="T546" s="30">
        <f>MAX(Q546:S546)</f>
        <v/>
      </c>
      <c r="U546" s="28">
        <f>IFERROR(LOOKUP(T546,{0;0.5;1.5;3;4.5},{"Despreciable";"Bajo";"Medio";"Alto";"Muy alto"}),"")</f>
        <v/>
      </c>
      <c r="V546" s="13">
        <f>IFERROR(INDEX(MgAmenFrec,MATCH(SUBSTITUTE($H546,"*","-"),MgAmenClave,0)),"")</f>
        <v/>
      </c>
      <c r="W546" s="28">
        <f>IFERROR(LOOKUP(X546,{0;0.01;0.1;1;10;100},{"Muy baja";"Muy baja";"Baja";"Media";"Alta";"Muy alta"}),"")</f>
        <v/>
      </c>
      <c r="X546" s="31">
        <f>IFERROR(VLOOKUP(V546,MgFrec,2,0),0)</f>
        <v/>
      </c>
      <c r="Y546" s="30">
        <f>T546*X546</f>
        <v/>
      </c>
      <c r="Z546" s="28">
        <f>IFERROR(LOOKUP(Y546,{0;0.5;5;25},{"Bajo";"Medio";"Alto";"Crítico"}),"")</f>
        <v/>
      </c>
      <c r="AA546" s="64">
        <f>IF(T546&gt;=3,IF(X546&gt;=1,"Zona 1 — Crítica: impacto alto y ocurre al menos una vez al año","Zona 4 — Catastrófica poco probable: impacto alto pero excepcional"),IF(AND(T546&lt;1.5,X546&lt;1),"Zona 3 — Asumible: impacto bajo y muy poco frecuente","Zona 2 — Atención: riesgo intermedio"))</f>
        <v/>
      </c>
      <c r="AB546" s="64">
        <f>IFERROR(INDEX(MgAmenCtrl,MATCH(SUBSTITUTE($H546,"*","-"),MgAmenClave,0)),"")</f>
        <v/>
      </c>
      <c r="AC546" s="20" t="n"/>
      <c r="AD546" s="31">
        <f>IFERROR($X546*(1-IF($AC546="",$AL546,VLOOKUP($AC546,MgMad,2,0))),"")</f>
        <v/>
      </c>
      <c r="AE546" s="28">
        <f>IFERROR(LOOKUP(AD546,{0;0.01;0.1;1;10;100},{"Muy baja";"Muy baja";"Baja";"Media";"Alta";"Muy alta"}),"")</f>
        <v/>
      </c>
      <c r="AF546" s="30">
        <f>T546*AD546</f>
        <v/>
      </c>
      <c r="AG546" s="28">
        <f>IFERROR(LOOKUP(AF546,{0;0.5;5;25},{"Bajo";"Medio";"Alto";"Crítico"}),"")</f>
        <v/>
      </c>
      <c r="AH546" s="28">
        <f>IF(AG546="","",IF(OR(AG546="Crítico",AG546="Alto"),"Mitigar",IF(AG546="Medio","Mitigar","Aceptar y monitorear")))</f>
        <v/>
      </c>
      <c r="AI546" s="21" t="n"/>
      <c r="AJ546" s="21" t="n"/>
      <c r="AK546" s="20" t="n"/>
      <c r="AL546" s="77">
        <f>IFERROR(INDEX(MgAmenEfic,MATCH(SUBSTITUTE($H546,"*","-"),MgAmenClave,0)),0)</f>
        <v/>
      </c>
    </row>
    <row r="547" hidden="1" ht="60" customHeight="1" s="54">
      <c r="B547" s="59" t="inlineStr">
        <is>
          <t>R-0542</t>
        </is>
      </c>
      <c r="C547" s="59" t="inlineStr">
        <is>
          <t>FIN-07</t>
        </is>
      </c>
      <c r="D547" s="64">
        <f>IFERROR(INDEX(MgNombre,MATCH($C547,MgActId,0)),"")</f>
        <v/>
      </c>
      <c r="E547" s="64">
        <f>IFERROR(INDEX(MgProceso,MATCH($C547,MgActId,0)),"")</f>
        <v/>
      </c>
      <c r="F547" s="64">
        <f>IFERROR(INDEX(MgTipo,MATCH($C547,MgActId,0)),"")</f>
        <v/>
      </c>
      <c r="G547" s="64">
        <f>IFERROR(INDEX(MgSubtipo,MATCH($C547,MgActId,0)),"")</f>
        <v/>
      </c>
      <c r="H547" s="59" t="inlineStr">
        <is>
          <t>A.4</t>
        </is>
      </c>
      <c r="I547" s="64">
        <f>IFERROR(INDEX(MgAmenNombre,MATCH(SUBSTITUTE($H547,"*","-"),MgAmenClave,0)),"")</f>
        <v/>
      </c>
      <c r="J547" s="28">
        <f>IFERROR(INDEX(MgAmenGrupo,MATCH(SUBSTITUTE($H547,"*","-"),MgAmenClave,0)),"")</f>
        <v/>
      </c>
      <c r="K547" s="64">
        <f>IFERROR(INDEX('1. Matriz de Activos'!$Q$6:$Q$239,MATCH($C547,MgActId,0)),"")</f>
        <v/>
      </c>
      <c r="L547" s="64">
        <f>IFERROR(INDEX('1. Matriz de Activos'!$R$6:$R$239,MATCH($C547,MgActId,0)),"")</f>
        <v/>
      </c>
      <c r="M547" s="64">
        <f>IFERROR(INDEX('1. Matriz de Activos'!$S$6:$S$239,MATCH($C547,MgActId,0)),"")</f>
        <v/>
      </c>
      <c r="N547" s="28">
        <f>IFERROR(INDEX(MgAmenDegD,MATCH(SUBSTITUTE($H547,"*","-"),MgAmenClave,0)),"No aplica")</f>
        <v/>
      </c>
      <c r="O547" s="28">
        <f>IFERROR(INDEX(MgAmenDegI,MATCH(SUBSTITUTE($H547,"*","-"),MgAmenClave,0)),"No aplica")</f>
        <v/>
      </c>
      <c r="P547" s="28">
        <f>IFERROR(INDEX(MgAmenDegC,MATCH(SUBSTITUTE($H547,"*","-"),MgAmenClave,0)),"No aplica")</f>
        <v/>
      </c>
      <c r="Q547" s="29">
        <f>IFERROR(VLOOKUP(K547,MgValor,2,0)*VLOOKUP(N547,MgDeg,2,0),0)</f>
        <v/>
      </c>
      <c r="R547" s="29">
        <f>IFERROR(VLOOKUP(L547,MgValor,2,0)*VLOOKUP(O547,MgDeg,2,0),0)</f>
        <v/>
      </c>
      <c r="S547" s="29">
        <f>IFERROR(VLOOKUP(M547,MgValor,2,0)*VLOOKUP(P547,MgDeg,2,0),0)</f>
        <v/>
      </c>
      <c r="T547" s="30">
        <f>MAX(Q547:S547)</f>
        <v/>
      </c>
      <c r="U547" s="28">
        <f>IFERROR(LOOKUP(T547,{0;0.5;1.5;3;4.5},{"Despreciable";"Bajo";"Medio";"Alto";"Muy alto"}),"")</f>
        <v/>
      </c>
      <c r="V547" s="13">
        <f>IFERROR(INDEX(MgAmenFrec,MATCH(SUBSTITUTE($H547,"*","-"),MgAmenClave,0)),"")</f>
        <v/>
      </c>
      <c r="W547" s="28">
        <f>IFERROR(LOOKUP(X547,{0;0.01;0.1;1;10;100},{"Muy baja";"Muy baja";"Baja";"Media";"Alta";"Muy alta"}),"")</f>
        <v/>
      </c>
      <c r="X547" s="31">
        <f>IFERROR(VLOOKUP(V547,MgFrec,2,0),0)</f>
        <v/>
      </c>
      <c r="Y547" s="30">
        <f>T547*X547</f>
        <v/>
      </c>
      <c r="Z547" s="28">
        <f>IFERROR(LOOKUP(Y547,{0;0.5;5;25},{"Bajo";"Medio";"Alto";"Crítico"}),"")</f>
        <v/>
      </c>
      <c r="AA547" s="64">
        <f>IF(T547&gt;=3,IF(X547&gt;=1,"Zona 1 — Crítica: impacto alto y ocurre al menos una vez al año","Zona 4 — Catastrófica poco probable: impacto alto pero excepcional"),IF(AND(T547&lt;1.5,X547&lt;1),"Zona 3 — Asumible: impacto bajo y muy poco frecuente","Zona 2 — Atención: riesgo intermedio"))</f>
        <v/>
      </c>
      <c r="AB547" s="64">
        <f>IFERROR(INDEX(MgAmenCtrl,MATCH(SUBSTITUTE($H547,"*","-"),MgAmenClave,0)),"")</f>
        <v/>
      </c>
      <c r="AC547" s="20" t="n"/>
      <c r="AD547" s="31">
        <f>IFERROR($X547*(1-IF($AC547="",$AL547,VLOOKUP($AC547,MgMad,2,0))),"")</f>
        <v/>
      </c>
      <c r="AE547" s="28">
        <f>IFERROR(LOOKUP(AD547,{0;0.01;0.1;1;10;100},{"Muy baja";"Muy baja";"Baja";"Media";"Alta";"Muy alta"}),"")</f>
        <v/>
      </c>
      <c r="AF547" s="30">
        <f>T547*AD547</f>
        <v/>
      </c>
      <c r="AG547" s="28">
        <f>IFERROR(LOOKUP(AF547,{0;0.5;5;25},{"Bajo";"Medio";"Alto";"Crítico"}),"")</f>
        <v/>
      </c>
      <c r="AH547" s="28">
        <f>IF(AG547="","",IF(OR(AG547="Crítico",AG547="Alto"),"Mitigar",IF(AG547="Medio","Mitigar","Aceptar y monitorear")))</f>
        <v/>
      </c>
      <c r="AI547" s="21" t="n"/>
      <c r="AJ547" s="21" t="n"/>
      <c r="AK547" s="20" t="n"/>
      <c r="AL547" s="77">
        <f>IFERROR(INDEX(MgAmenEfic,MATCH(SUBSTITUTE($H547,"*","-"),MgAmenClave,0)),0)</f>
        <v/>
      </c>
    </row>
    <row r="548" hidden="1" ht="75" customHeight="1" s="54">
      <c r="B548" s="59" t="inlineStr">
        <is>
          <t>R-0543</t>
        </is>
      </c>
      <c r="C548" s="59" t="inlineStr">
        <is>
          <t>FIN-07</t>
        </is>
      </c>
      <c r="D548" s="64">
        <f>IFERROR(INDEX(MgNombre,MATCH($C548,MgActId,0)),"")</f>
        <v/>
      </c>
      <c r="E548" s="64">
        <f>IFERROR(INDEX(MgProceso,MATCH($C548,MgActId,0)),"")</f>
        <v/>
      </c>
      <c r="F548" s="64">
        <f>IFERROR(INDEX(MgTipo,MATCH($C548,MgActId,0)),"")</f>
        <v/>
      </c>
      <c r="G548" s="64">
        <f>IFERROR(INDEX(MgSubtipo,MATCH($C548,MgActId,0)),"")</f>
        <v/>
      </c>
      <c r="H548" s="59" t="inlineStr">
        <is>
          <t>A.5</t>
        </is>
      </c>
      <c r="I548" s="64">
        <f>IFERROR(INDEX(MgAmenNombre,MATCH(SUBSTITUTE($H548,"*","-"),MgAmenClave,0)),"")</f>
        <v/>
      </c>
      <c r="J548" s="28">
        <f>IFERROR(INDEX(MgAmenGrupo,MATCH(SUBSTITUTE($H548,"*","-"),MgAmenClave,0)),"")</f>
        <v/>
      </c>
      <c r="K548" s="64">
        <f>IFERROR(INDEX('1. Matriz de Activos'!$Q$6:$Q$239,MATCH($C548,MgActId,0)),"")</f>
        <v/>
      </c>
      <c r="L548" s="64">
        <f>IFERROR(INDEX('1. Matriz de Activos'!$R$6:$R$239,MATCH($C548,MgActId,0)),"")</f>
        <v/>
      </c>
      <c r="M548" s="64">
        <f>IFERROR(INDEX('1. Matriz de Activos'!$S$6:$S$239,MATCH($C548,MgActId,0)),"")</f>
        <v/>
      </c>
      <c r="N548" s="28">
        <f>IFERROR(INDEX(MgAmenDegD,MATCH(SUBSTITUTE($H548,"*","-"),MgAmenClave,0)),"No aplica")</f>
        <v/>
      </c>
      <c r="O548" s="28">
        <f>IFERROR(INDEX(MgAmenDegI,MATCH(SUBSTITUTE($H548,"*","-"),MgAmenClave,0)),"No aplica")</f>
        <v/>
      </c>
      <c r="P548" s="28">
        <f>IFERROR(INDEX(MgAmenDegC,MATCH(SUBSTITUTE($H548,"*","-"),MgAmenClave,0)),"No aplica")</f>
        <v/>
      </c>
      <c r="Q548" s="29">
        <f>IFERROR(VLOOKUP(K548,MgValor,2,0)*VLOOKUP(N548,MgDeg,2,0),0)</f>
        <v/>
      </c>
      <c r="R548" s="29">
        <f>IFERROR(VLOOKUP(L548,MgValor,2,0)*VLOOKUP(O548,MgDeg,2,0),0)</f>
        <v/>
      </c>
      <c r="S548" s="29">
        <f>IFERROR(VLOOKUP(M548,MgValor,2,0)*VLOOKUP(P548,MgDeg,2,0),0)</f>
        <v/>
      </c>
      <c r="T548" s="30">
        <f>MAX(Q548:S548)</f>
        <v/>
      </c>
      <c r="U548" s="28">
        <f>IFERROR(LOOKUP(T548,{0;0.5;1.5;3;4.5},{"Despreciable";"Bajo";"Medio";"Alto";"Muy alto"}),"")</f>
        <v/>
      </c>
      <c r="V548" s="13">
        <f>IFERROR(INDEX(MgAmenFrec,MATCH(SUBSTITUTE($H548,"*","-"),MgAmenClave,0)),"")</f>
        <v/>
      </c>
      <c r="W548" s="28">
        <f>IFERROR(LOOKUP(X548,{0;0.01;0.1;1;10;100},{"Muy baja";"Muy baja";"Baja";"Media";"Alta";"Muy alta"}),"")</f>
        <v/>
      </c>
      <c r="X548" s="31">
        <f>IFERROR(VLOOKUP(V548,MgFrec,2,0),0)</f>
        <v/>
      </c>
      <c r="Y548" s="30">
        <f>T548*X548</f>
        <v/>
      </c>
      <c r="Z548" s="28">
        <f>IFERROR(LOOKUP(Y548,{0;0.5;5;25},{"Bajo";"Medio";"Alto";"Crítico"}),"")</f>
        <v/>
      </c>
      <c r="AA548" s="64">
        <f>IF(T548&gt;=3,IF(X548&gt;=1,"Zona 1 — Crítica: impacto alto y ocurre al menos una vez al año","Zona 4 — Catastrófica poco probable: impacto alto pero excepcional"),IF(AND(T548&lt;1.5,X548&lt;1),"Zona 3 — Asumible: impacto bajo y muy poco frecuente","Zona 2 — Atención: riesgo intermedio"))</f>
        <v/>
      </c>
      <c r="AB548" s="64">
        <f>IFERROR(INDEX(MgAmenCtrl,MATCH(SUBSTITUTE($H548,"*","-"),MgAmenClave,0)),"")</f>
        <v/>
      </c>
      <c r="AC548" s="20" t="n"/>
      <c r="AD548" s="31">
        <f>IFERROR($X548*(1-IF($AC548="",$AL548,VLOOKUP($AC548,MgMad,2,0))),"")</f>
        <v/>
      </c>
      <c r="AE548" s="28">
        <f>IFERROR(LOOKUP(AD548,{0;0.01;0.1;1;10;100},{"Muy baja";"Muy baja";"Baja";"Media";"Alta";"Muy alta"}),"")</f>
        <v/>
      </c>
      <c r="AF548" s="30">
        <f>T548*AD548</f>
        <v/>
      </c>
      <c r="AG548" s="28">
        <f>IFERROR(LOOKUP(AF548,{0;0.5;5;25},{"Bajo";"Medio";"Alto";"Crítico"}),"")</f>
        <v/>
      </c>
      <c r="AH548" s="28">
        <f>IF(AG548="","",IF(OR(AG548="Crítico",AG548="Alto"),"Mitigar",IF(AG548="Medio","Mitigar","Aceptar y monitorear")))</f>
        <v/>
      </c>
      <c r="AI548" s="21" t="n"/>
      <c r="AJ548" s="21" t="n"/>
      <c r="AK548" s="20" t="n"/>
      <c r="AL548" s="77">
        <f>IFERROR(INDEX(MgAmenEfic,MATCH(SUBSTITUTE($H548,"*","-"),MgAmenClave,0)),0)</f>
        <v/>
      </c>
    </row>
    <row r="549" hidden="1" ht="105" customHeight="1" s="54">
      <c r="B549" s="59" t="inlineStr">
        <is>
          <t>R-0544</t>
        </is>
      </c>
      <c r="C549" s="59" t="inlineStr">
        <is>
          <t>FIN-07</t>
        </is>
      </c>
      <c r="D549" s="64">
        <f>IFERROR(INDEX(MgNombre,MATCH($C549,MgActId,0)),"")</f>
        <v/>
      </c>
      <c r="E549" s="64">
        <f>IFERROR(INDEX(MgProceso,MATCH($C549,MgActId,0)),"")</f>
        <v/>
      </c>
      <c r="F549" s="64">
        <f>IFERROR(INDEX(MgTipo,MATCH($C549,MgActId,0)),"")</f>
        <v/>
      </c>
      <c r="G549" s="64">
        <f>IFERROR(INDEX(MgSubtipo,MATCH($C549,MgActId,0)),"")</f>
        <v/>
      </c>
      <c r="H549" s="59" t="inlineStr">
        <is>
          <t>A.6</t>
        </is>
      </c>
      <c r="I549" s="64">
        <f>IFERROR(INDEX(MgAmenNombre,MATCH(SUBSTITUTE($H549,"*","-"),MgAmenClave,0)),"")</f>
        <v/>
      </c>
      <c r="J549" s="28">
        <f>IFERROR(INDEX(MgAmenGrupo,MATCH(SUBSTITUTE($H549,"*","-"),MgAmenClave,0)),"")</f>
        <v/>
      </c>
      <c r="K549" s="64">
        <f>IFERROR(INDEX('1. Matriz de Activos'!$Q$6:$Q$239,MATCH($C549,MgActId,0)),"")</f>
        <v/>
      </c>
      <c r="L549" s="64">
        <f>IFERROR(INDEX('1. Matriz de Activos'!$R$6:$R$239,MATCH($C549,MgActId,0)),"")</f>
        <v/>
      </c>
      <c r="M549" s="64">
        <f>IFERROR(INDEX('1. Matriz de Activos'!$S$6:$S$239,MATCH($C549,MgActId,0)),"")</f>
        <v/>
      </c>
      <c r="N549" s="28">
        <f>IFERROR(INDEX(MgAmenDegD,MATCH(SUBSTITUTE($H549,"*","-"),MgAmenClave,0)),"No aplica")</f>
        <v/>
      </c>
      <c r="O549" s="28">
        <f>IFERROR(INDEX(MgAmenDegI,MATCH(SUBSTITUTE($H549,"*","-"),MgAmenClave,0)),"No aplica")</f>
        <v/>
      </c>
      <c r="P549" s="28">
        <f>IFERROR(INDEX(MgAmenDegC,MATCH(SUBSTITUTE($H549,"*","-"),MgAmenClave,0)),"No aplica")</f>
        <v/>
      </c>
      <c r="Q549" s="29">
        <f>IFERROR(VLOOKUP(K549,MgValor,2,0)*VLOOKUP(N549,MgDeg,2,0),0)</f>
        <v/>
      </c>
      <c r="R549" s="29">
        <f>IFERROR(VLOOKUP(L549,MgValor,2,0)*VLOOKUP(O549,MgDeg,2,0),0)</f>
        <v/>
      </c>
      <c r="S549" s="29">
        <f>IFERROR(VLOOKUP(M549,MgValor,2,0)*VLOOKUP(P549,MgDeg,2,0),0)</f>
        <v/>
      </c>
      <c r="T549" s="30">
        <f>MAX(Q549:S549)</f>
        <v/>
      </c>
      <c r="U549" s="28">
        <f>IFERROR(LOOKUP(T549,{0;0.5;1.5;3;4.5},{"Despreciable";"Bajo";"Medio";"Alto";"Muy alto"}),"")</f>
        <v/>
      </c>
      <c r="V549" s="13">
        <f>IFERROR(INDEX(MgAmenFrec,MATCH(SUBSTITUTE($H549,"*","-"),MgAmenClave,0)),"")</f>
        <v/>
      </c>
      <c r="W549" s="28">
        <f>IFERROR(LOOKUP(X549,{0;0.01;0.1;1;10;100},{"Muy baja";"Muy baja";"Baja";"Media";"Alta";"Muy alta"}),"")</f>
        <v/>
      </c>
      <c r="X549" s="31">
        <f>IFERROR(VLOOKUP(V549,MgFrec,2,0),0)</f>
        <v/>
      </c>
      <c r="Y549" s="30">
        <f>T549*X549</f>
        <v/>
      </c>
      <c r="Z549" s="28">
        <f>IFERROR(LOOKUP(Y549,{0;0.5;5;25},{"Bajo";"Medio";"Alto";"Crítico"}),"")</f>
        <v/>
      </c>
      <c r="AA549" s="64">
        <f>IF(T549&gt;=3,IF(X549&gt;=1,"Zona 1 — Crítica: impacto alto y ocurre al menos una vez al año","Zona 4 — Catastrófica poco probable: impacto alto pero excepcional"),IF(AND(T549&lt;1.5,X549&lt;1),"Zona 3 — Asumible: impacto bajo y muy poco frecuente","Zona 2 — Atención: riesgo intermedio"))</f>
        <v/>
      </c>
      <c r="AB549" s="64">
        <f>IFERROR(INDEX(MgAmenCtrl,MATCH(SUBSTITUTE($H549,"*","-"),MgAmenClave,0)),"")</f>
        <v/>
      </c>
      <c r="AC549" s="20" t="n"/>
      <c r="AD549" s="31">
        <f>IFERROR($X549*(1-IF($AC549="",$AL549,VLOOKUP($AC549,MgMad,2,0))),"")</f>
        <v/>
      </c>
      <c r="AE549" s="28">
        <f>IFERROR(LOOKUP(AD549,{0;0.01;0.1;1;10;100},{"Muy baja";"Muy baja";"Baja";"Media";"Alta";"Muy alta"}),"")</f>
        <v/>
      </c>
      <c r="AF549" s="30">
        <f>T549*AD549</f>
        <v/>
      </c>
      <c r="AG549" s="28">
        <f>IFERROR(LOOKUP(AF549,{0;0.5;5;25},{"Bajo";"Medio";"Alto";"Crítico"}),"")</f>
        <v/>
      </c>
      <c r="AH549" s="28">
        <f>IF(AG549="","",IF(OR(AG549="Crítico",AG549="Alto"),"Mitigar",IF(AG549="Medio","Mitigar","Aceptar y monitorear")))</f>
        <v/>
      </c>
      <c r="AI549" s="21" t="n"/>
      <c r="AJ549" s="21" t="n"/>
      <c r="AK549" s="20" t="n"/>
      <c r="AL549" s="77">
        <f>IFERROR(INDEX(MgAmenEfic,MATCH(SUBSTITUTE($H549,"*","-"),MgAmenClave,0)),0)</f>
        <v/>
      </c>
    </row>
    <row r="550" hidden="1" ht="120" customHeight="1" s="54">
      <c r="B550" s="59" t="inlineStr">
        <is>
          <t>R-0545</t>
        </is>
      </c>
      <c r="C550" s="59" t="inlineStr">
        <is>
          <t>FIN-07</t>
        </is>
      </c>
      <c r="D550" s="64">
        <f>IFERROR(INDEX(MgNombre,MATCH($C550,MgActId,0)),"")</f>
        <v/>
      </c>
      <c r="E550" s="64">
        <f>IFERROR(INDEX(MgProceso,MATCH($C550,MgActId,0)),"")</f>
        <v/>
      </c>
      <c r="F550" s="64">
        <f>IFERROR(INDEX(MgTipo,MATCH($C550,MgActId,0)),"")</f>
        <v/>
      </c>
      <c r="G550" s="64">
        <f>IFERROR(INDEX(MgSubtipo,MATCH($C550,MgActId,0)),"")</f>
        <v/>
      </c>
      <c r="H550" s="59" t="inlineStr">
        <is>
          <t>A.11</t>
        </is>
      </c>
      <c r="I550" s="64">
        <f>IFERROR(INDEX(MgAmenNombre,MATCH(SUBSTITUTE($H550,"*","-"),MgAmenClave,0)),"")</f>
        <v/>
      </c>
      <c r="J550" s="28">
        <f>IFERROR(INDEX(MgAmenGrupo,MATCH(SUBSTITUTE($H550,"*","-"),MgAmenClave,0)),"")</f>
        <v/>
      </c>
      <c r="K550" s="64">
        <f>IFERROR(INDEX('1. Matriz de Activos'!$Q$6:$Q$239,MATCH($C550,MgActId,0)),"")</f>
        <v/>
      </c>
      <c r="L550" s="64">
        <f>IFERROR(INDEX('1. Matriz de Activos'!$R$6:$R$239,MATCH($C550,MgActId,0)),"")</f>
        <v/>
      </c>
      <c r="M550" s="64">
        <f>IFERROR(INDEX('1. Matriz de Activos'!$S$6:$S$239,MATCH($C550,MgActId,0)),"")</f>
        <v/>
      </c>
      <c r="N550" s="28">
        <f>IFERROR(INDEX(MgAmenDegD,MATCH(SUBSTITUTE($H550,"*","-"),MgAmenClave,0)),"No aplica")</f>
        <v/>
      </c>
      <c r="O550" s="28">
        <f>IFERROR(INDEX(MgAmenDegI,MATCH(SUBSTITUTE($H550,"*","-"),MgAmenClave,0)),"No aplica")</f>
        <v/>
      </c>
      <c r="P550" s="28">
        <f>IFERROR(INDEX(MgAmenDegC,MATCH(SUBSTITUTE($H550,"*","-"),MgAmenClave,0)),"No aplica")</f>
        <v/>
      </c>
      <c r="Q550" s="29">
        <f>IFERROR(VLOOKUP(K550,MgValor,2,0)*VLOOKUP(N550,MgDeg,2,0),0)</f>
        <v/>
      </c>
      <c r="R550" s="29">
        <f>IFERROR(VLOOKUP(L550,MgValor,2,0)*VLOOKUP(O550,MgDeg,2,0),0)</f>
        <v/>
      </c>
      <c r="S550" s="29">
        <f>IFERROR(VLOOKUP(M550,MgValor,2,0)*VLOOKUP(P550,MgDeg,2,0),0)</f>
        <v/>
      </c>
      <c r="T550" s="30">
        <f>MAX(Q550:S550)</f>
        <v/>
      </c>
      <c r="U550" s="28">
        <f>IFERROR(LOOKUP(T550,{0;0.5;1.5;3;4.5},{"Despreciable";"Bajo";"Medio";"Alto";"Muy alto"}),"")</f>
        <v/>
      </c>
      <c r="V550" s="13">
        <f>IFERROR(INDEX(MgAmenFrec,MATCH(SUBSTITUTE($H550,"*","-"),MgAmenClave,0)),"")</f>
        <v/>
      </c>
      <c r="W550" s="28">
        <f>IFERROR(LOOKUP(X550,{0;0.01;0.1;1;10;100},{"Muy baja";"Muy baja";"Baja";"Media";"Alta";"Muy alta"}),"")</f>
        <v/>
      </c>
      <c r="X550" s="31">
        <f>IFERROR(VLOOKUP(V550,MgFrec,2,0),0)</f>
        <v/>
      </c>
      <c r="Y550" s="30">
        <f>T550*X550</f>
        <v/>
      </c>
      <c r="Z550" s="28">
        <f>IFERROR(LOOKUP(Y550,{0;0.5;5;25},{"Bajo";"Medio";"Alto";"Crítico"}),"")</f>
        <v/>
      </c>
      <c r="AA550" s="64">
        <f>IF(T550&gt;=3,IF(X550&gt;=1,"Zona 1 — Crítica: impacto alto y ocurre al menos una vez al año","Zona 4 — Catastrófica poco probable: impacto alto pero excepcional"),IF(AND(T550&lt;1.5,X550&lt;1),"Zona 3 — Asumible: impacto bajo y muy poco frecuente","Zona 2 — Atención: riesgo intermedio"))</f>
        <v/>
      </c>
      <c r="AB550" s="64">
        <f>IFERROR(INDEX(MgAmenCtrl,MATCH(SUBSTITUTE($H550,"*","-"),MgAmenClave,0)),"")</f>
        <v/>
      </c>
      <c r="AC550" s="20" t="n"/>
      <c r="AD550" s="31">
        <f>IFERROR($X550*(1-IF($AC550="",$AL550,VLOOKUP($AC550,MgMad,2,0))),"")</f>
        <v/>
      </c>
      <c r="AE550" s="28">
        <f>IFERROR(LOOKUP(AD550,{0;0.01;0.1;1;10;100},{"Muy baja";"Muy baja";"Baja";"Media";"Alta";"Muy alta"}),"")</f>
        <v/>
      </c>
      <c r="AF550" s="30">
        <f>T550*AD550</f>
        <v/>
      </c>
      <c r="AG550" s="28">
        <f>IFERROR(LOOKUP(AF550,{0;0.5;5;25},{"Bajo";"Medio";"Alto";"Crítico"}),"")</f>
        <v/>
      </c>
      <c r="AH550" s="28">
        <f>IF(AG550="","",IF(OR(AG550="Crítico",AG550="Alto"),"Mitigar",IF(AG550="Medio","Mitigar","Aceptar y monitorear")))</f>
        <v/>
      </c>
      <c r="AI550" s="21" t="n"/>
      <c r="AJ550" s="21" t="n"/>
      <c r="AK550" s="20" t="n"/>
      <c r="AL550" s="77">
        <f>IFERROR(INDEX(MgAmenEfic,MATCH(SUBSTITUTE($H550,"*","-"),MgAmenClave,0)),0)</f>
        <v/>
      </c>
    </row>
    <row r="551" hidden="1" ht="90" customHeight="1" s="54">
      <c r="B551" s="59" t="inlineStr">
        <is>
          <t>R-0546</t>
        </is>
      </c>
      <c r="C551" s="59" t="inlineStr">
        <is>
          <t>FIN-07</t>
        </is>
      </c>
      <c r="D551" s="64">
        <f>IFERROR(INDEX(MgNombre,MATCH($C551,MgActId,0)),"")</f>
        <v/>
      </c>
      <c r="E551" s="64">
        <f>IFERROR(INDEX(MgProceso,MATCH($C551,MgActId,0)),"")</f>
        <v/>
      </c>
      <c r="F551" s="64">
        <f>IFERROR(INDEX(MgTipo,MATCH($C551,MgActId,0)),"")</f>
        <v/>
      </c>
      <c r="G551" s="64">
        <f>IFERROR(INDEX(MgSubtipo,MATCH($C551,MgActId,0)),"")</f>
        <v/>
      </c>
      <c r="H551" s="59" t="inlineStr">
        <is>
          <t>A.13</t>
        </is>
      </c>
      <c r="I551" s="64">
        <f>IFERROR(INDEX(MgAmenNombre,MATCH(SUBSTITUTE($H551,"*","-"),MgAmenClave,0)),"")</f>
        <v/>
      </c>
      <c r="J551" s="28">
        <f>IFERROR(INDEX(MgAmenGrupo,MATCH(SUBSTITUTE($H551,"*","-"),MgAmenClave,0)),"")</f>
        <v/>
      </c>
      <c r="K551" s="64">
        <f>IFERROR(INDEX('1. Matriz de Activos'!$Q$6:$Q$239,MATCH($C551,MgActId,0)),"")</f>
        <v/>
      </c>
      <c r="L551" s="64">
        <f>IFERROR(INDEX('1. Matriz de Activos'!$R$6:$R$239,MATCH($C551,MgActId,0)),"")</f>
        <v/>
      </c>
      <c r="M551" s="64">
        <f>IFERROR(INDEX('1. Matriz de Activos'!$S$6:$S$239,MATCH($C551,MgActId,0)),"")</f>
        <v/>
      </c>
      <c r="N551" s="28">
        <f>IFERROR(INDEX(MgAmenDegD,MATCH(SUBSTITUTE($H551,"*","-"),MgAmenClave,0)),"No aplica")</f>
        <v/>
      </c>
      <c r="O551" s="28">
        <f>IFERROR(INDEX(MgAmenDegI,MATCH(SUBSTITUTE($H551,"*","-"),MgAmenClave,0)),"No aplica")</f>
        <v/>
      </c>
      <c r="P551" s="28">
        <f>IFERROR(INDEX(MgAmenDegC,MATCH(SUBSTITUTE($H551,"*","-"),MgAmenClave,0)),"No aplica")</f>
        <v/>
      </c>
      <c r="Q551" s="29">
        <f>IFERROR(VLOOKUP(K551,MgValor,2,0)*VLOOKUP(N551,MgDeg,2,0),0)</f>
        <v/>
      </c>
      <c r="R551" s="29">
        <f>IFERROR(VLOOKUP(L551,MgValor,2,0)*VLOOKUP(O551,MgDeg,2,0),0)</f>
        <v/>
      </c>
      <c r="S551" s="29">
        <f>IFERROR(VLOOKUP(M551,MgValor,2,0)*VLOOKUP(P551,MgDeg,2,0),0)</f>
        <v/>
      </c>
      <c r="T551" s="30">
        <f>MAX(Q551:S551)</f>
        <v/>
      </c>
      <c r="U551" s="28">
        <f>IFERROR(LOOKUP(T551,{0;0.5;1.5;3;4.5},{"Despreciable";"Bajo";"Medio";"Alto";"Muy alto"}),"")</f>
        <v/>
      </c>
      <c r="V551" s="13">
        <f>IFERROR(INDEX(MgAmenFrec,MATCH(SUBSTITUTE($H551,"*","-"),MgAmenClave,0)),"")</f>
        <v/>
      </c>
      <c r="W551" s="28">
        <f>IFERROR(LOOKUP(X551,{0;0.01;0.1;1;10;100},{"Muy baja";"Muy baja";"Baja";"Media";"Alta";"Muy alta"}),"")</f>
        <v/>
      </c>
      <c r="X551" s="31">
        <f>IFERROR(VLOOKUP(V551,MgFrec,2,0),0)</f>
        <v/>
      </c>
      <c r="Y551" s="30">
        <f>T551*X551</f>
        <v/>
      </c>
      <c r="Z551" s="28">
        <f>IFERROR(LOOKUP(Y551,{0;0.5;5;25},{"Bajo";"Medio";"Alto";"Crítico"}),"")</f>
        <v/>
      </c>
      <c r="AA551" s="64">
        <f>IF(T551&gt;=3,IF(X551&gt;=1,"Zona 1 — Crítica: impacto alto y ocurre al menos una vez al año","Zona 4 — Catastrófica poco probable: impacto alto pero excepcional"),IF(AND(T551&lt;1.5,X551&lt;1),"Zona 3 — Asumible: impacto bajo y muy poco frecuente","Zona 2 — Atención: riesgo intermedio"))</f>
        <v/>
      </c>
      <c r="AB551" s="64">
        <f>IFERROR(INDEX(MgAmenCtrl,MATCH(SUBSTITUTE($H551,"*","-"),MgAmenClave,0)),"")</f>
        <v/>
      </c>
      <c r="AC551" s="20" t="n"/>
      <c r="AD551" s="31">
        <f>IFERROR($X551*(1-IF($AC551="",$AL551,VLOOKUP($AC551,MgMad,2,0))),"")</f>
        <v/>
      </c>
      <c r="AE551" s="28">
        <f>IFERROR(LOOKUP(AD551,{0;0.01;0.1;1;10;100},{"Muy baja";"Muy baja";"Baja";"Media";"Alta";"Muy alta"}),"")</f>
        <v/>
      </c>
      <c r="AF551" s="30">
        <f>T551*AD551</f>
        <v/>
      </c>
      <c r="AG551" s="28">
        <f>IFERROR(LOOKUP(AF551,{0;0.5;5;25},{"Bajo";"Medio";"Alto";"Crítico"}),"")</f>
        <v/>
      </c>
      <c r="AH551" s="28">
        <f>IF(AG551="","",IF(OR(AG551="Crítico",AG551="Alto"),"Mitigar",IF(AG551="Medio","Mitigar","Aceptar y monitorear")))</f>
        <v/>
      </c>
      <c r="AI551" s="21" t="n"/>
      <c r="AJ551" s="21" t="n"/>
      <c r="AK551" s="20" t="n"/>
      <c r="AL551" s="77">
        <f>IFERROR(INDEX(MgAmenEfic,MATCH(SUBSTITUTE($H551,"*","-"),MgAmenClave,0)),0)</f>
        <v/>
      </c>
    </row>
    <row r="552" hidden="1" ht="60" customHeight="1" s="54">
      <c r="B552" s="59" t="inlineStr">
        <is>
          <t>R-0547</t>
        </is>
      </c>
      <c r="C552" s="59" t="inlineStr">
        <is>
          <t>FIN-07</t>
        </is>
      </c>
      <c r="D552" s="64">
        <f>IFERROR(INDEX(MgNombre,MATCH($C552,MgActId,0)),"")</f>
        <v/>
      </c>
      <c r="E552" s="64">
        <f>IFERROR(INDEX(MgProceso,MATCH($C552,MgActId,0)),"")</f>
        <v/>
      </c>
      <c r="F552" s="64">
        <f>IFERROR(INDEX(MgTipo,MATCH($C552,MgActId,0)),"")</f>
        <v/>
      </c>
      <c r="G552" s="64">
        <f>IFERROR(INDEX(MgSubtipo,MATCH($C552,MgActId,0)),"")</f>
        <v/>
      </c>
      <c r="H552" s="59" t="inlineStr">
        <is>
          <t>A.15</t>
        </is>
      </c>
      <c r="I552" s="64">
        <f>IFERROR(INDEX(MgAmenNombre,MATCH(SUBSTITUTE($H552,"*","-"),MgAmenClave,0)),"")</f>
        <v/>
      </c>
      <c r="J552" s="28">
        <f>IFERROR(INDEX(MgAmenGrupo,MATCH(SUBSTITUTE($H552,"*","-"),MgAmenClave,0)),"")</f>
        <v/>
      </c>
      <c r="K552" s="64">
        <f>IFERROR(INDEX('1. Matriz de Activos'!$Q$6:$Q$239,MATCH($C552,MgActId,0)),"")</f>
        <v/>
      </c>
      <c r="L552" s="64">
        <f>IFERROR(INDEX('1. Matriz de Activos'!$R$6:$R$239,MATCH($C552,MgActId,0)),"")</f>
        <v/>
      </c>
      <c r="M552" s="64">
        <f>IFERROR(INDEX('1. Matriz de Activos'!$S$6:$S$239,MATCH($C552,MgActId,0)),"")</f>
        <v/>
      </c>
      <c r="N552" s="28">
        <f>IFERROR(INDEX(MgAmenDegD,MATCH(SUBSTITUTE($H552,"*","-"),MgAmenClave,0)),"No aplica")</f>
        <v/>
      </c>
      <c r="O552" s="28">
        <f>IFERROR(INDEX(MgAmenDegI,MATCH(SUBSTITUTE($H552,"*","-"),MgAmenClave,0)),"No aplica")</f>
        <v/>
      </c>
      <c r="P552" s="28">
        <f>IFERROR(INDEX(MgAmenDegC,MATCH(SUBSTITUTE($H552,"*","-"),MgAmenClave,0)),"No aplica")</f>
        <v/>
      </c>
      <c r="Q552" s="29">
        <f>IFERROR(VLOOKUP(K552,MgValor,2,0)*VLOOKUP(N552,MgDeg,2,0),0)</f>
        <v/>
      </c>
      <c r="R552" s="29">
        <f>IFERROR(VLOOKUP(L552,MgValor,2,0)*VLOOKUP(O552,MgDeg,2,0),0)</f>
        <v/>
      </c>
      <c r="S552" s="29">
        <f>IFERROR(VLOOKUP(M552,MgValor,2,0)*VLOOKUP(P552,MgDeg,2,0),0)</f>
        <v/>
      </c>
      <c r="T552" s="30">
        <f>MAX(Q552:S552)</f>
        <v/>
      </c>
      <c r="U552" s="28">
        <f>IFERROR(LOOKUP(T552,{0;0.5;1.5;3;4.5},{"Despreciable";"Bajo";"Medio";"Alto";"Muy alto"}),"")</f>
        <v/>
      </c>
      <c r="V552" s="13">
        <f>IFERROR(INDEX(MgAmenFrec,MATCH(SUBSTITUTE($H552,"*","-"),MgAmenClave,0)),"")</f>
        <v/>
      </c>
      <c r="W552" s="28">
        <f>IFERROR(LOOKUP(X552,{0;0.01;0.1;1;10;100},{"Muy baja";"Muy baja";"Baja";"Media";"Alta";"Muy alta"}),"")</f>
        <v/>
      </c>
      <c r="X552" s="31">
        <f>IFERROR(VLOOKUP(V552,MgFrec,2,0),0)</f>
        <v/>
      </c>
      <c r="Y552" s="30">
        <f>T552*X552</f>
        <v/>
      </c>
      <c r="Z552" s="28">
        <f>IFERROR(LOOKUP(Y552,{0;0.5;5;25},{"Bajo";"Medio";"Alto";"Crítico"}),"")</f>
        <v/>
      </c>
      <c r="AA552" s="64">
        <f>IF(T552&gt;=3,IF(X552&gt;=1,"Zona 1 — Crítica: impacto alto y ocurre al menos una vez al año","Zona 4 — Catastrófica poco probable: impacto alto pero excepcional"),IF(AND(T552&lt;1.5,X552&lt;1),"Zona 3 — Asumible: impacto bajo y muy poco frecuente","Zona 2 — Atención: riesgo intermedio"))</f>
        <v/>
      </c>
      <c r="AB552" s="64">
        <f>IFERROR(INDEX(MgAmenCtrl,MATCH(SUBSTITUTE($H552,"*","-"),MgAmenClave,0)),"")</f>
        <v/>
      </c>
      <c r="AC552" s="20" t="n"/>
      <c r="AD552" s="31">
        <f>IFERROR($X552*(1-IF($AC552="",$AL552,VLOOKUP($AC552,MgMad,2,0))),"")</f>
        <v/>
      </c>
      <c r="AE552" s="28">
        <f>IFERROR(LOOKUP(AD552,{0;0.01;0.1;1;10;100},{"Muy baja";"Muy baja";"Baja";"Media";"Alta";"Muy alta"}),"")</f>
        <v/>
      </c>
      <c r="AF552" s="30">
        <f>T552*AD552</f>
        <v/>
      </c>
      <c r="AG552" s="28">
        <f>IFERROR(LOOKUP(AF552,{0;0.5;5;25},{"Bajo";"Medio";"Alto";"Crítico"}),"")</f>
        <v/>
      </c>
      <c r="AH552" s="28">
        <f>IF(AG552="","",IF(OR(AG552="Crítico",AG552="Alto"),"Mitigar",IF(AG552="Medio","Mitigar","Aceptar y monitorear")))</f>
        <v/>
      </c>
      <c r="AI552" s="21" t="n"/>
      <c r="AJ552" s="21" t="n"/>
      <c r="AK552" s="20" t="n"/>
      <c r="AL552" s="77">
        <f>IFERROR(INDEX(MgAmenEfic,MATCH(SUBSTITUTE($H552,"*","-"),MgAmenClave,0)),0)</f>
        <v/>
      </c>
    </row>
    <row r="553" hidden="1" ht="60" customHeight="1" s="54">
      <c r="B553" s="59" t="inlineStr">
        <is>
          <t>R-0548</t>
        </is>
      </c>
      <c r="C553" s="59" t="inlineStr">
        <is>
          <t>FIN-07</t>
        </is>
      </c>
      <c r="D553" s="64">
        <f>IFERROR(INDEX(MgNombre,MATCH($C553,MgActId,0)),"")</f>
        <v/>
      </c>
      <c r="E553" s="64">
        <f>IFERROR(INDEX(MgProceso,MATCH($C553,MgActId,0)),"")</f>
        <v/>
      </c>
      <c r="F553" s="64">
        <f>IFERROR(INDEX(MgTipo,MATCH($C553,MgActId,0)),"")</f>
        <v/>
      </c>
      <c r="G553" s="64">
        <f>IFERROR(INDEX(MgSubtipo,MATCH($C553,MgActId,0)),"")</f>
        <v/>
      </c>
      <c r="H553" s="59" t="inlineStr">
        <is>
          <t>A.18</t>
        </is>
      </c>
      <c r="I553" s="64">
        <f>IFERROR(INDEX(MgAmenNombre,MATCH(SUBSTITUTE($H553,"*","-"),MgAmenClave,0)),"")</f>
        <v/>
      </c>
      <c r="J553" s="28">
        <f>IFERROR(INDEX(MgAmenGrupo,MATCH(SUBSTITUTE($H553,"*","-"),MgAmenClave,0)),"")</f>
        <v/>
      </c>
      <c r="K553" s="64">
        <f>IFERROR(INDEX('1. Matriz de Activos'!$Q$6:$Q$239,MATCH($C553,MgActId,0)),"")</f>
        <v/>
      </c>
      <c r="L553" s="64">
        <f>IFERROR(INDEX('1. Matriz de Activos'!$R$6:$R$239,MATCH($C553,MgActId,0)),"")</f>
        <v/>
      </c>
      <c r="M553" s="64">
        <f>IFERROR(INDEX('1. Matriz de Activos'!$S$6:$S$239,MATCH($C553,MgActId,0)),"")</f>
        <v/>
      </c>
      <c r="N553" s="28">
        <f>IFERROR(INDEX(MgAmenDegD,MATCH(SUBSTITUTE($H553,"*","-"),MgAmenClave,0)),"No aplica")</f>
        <v/>
      </c>
      <c r="O553" s="28">
        <f>IFERROR(INDEX(MgAmenDegI,MATCH(SUBSTITUTE($H553,"*","-"),MgAmenClave,0)),"No aplica")</f>
        <v/>
      </c>
      <c r="P553" s="28">
        <f>IFERROR(INDEX(MgAmenDegC,MATCH(SUBSTITUTE($H553,"*","-"),MgAmenClave,0)),"No aplica")</f>
        <v/>
      </c>
      <c r="Q553" s="29">
        <f>IFERROR(VLOOKUP(K553,MgValor,2,0)*VLOOKUP(N553,MgDeg,2,0),0)</f>
        <v/>
      </c>
      <c r="R553" s="29">
        <f>IFERROR(VLOOKUP(L553,MgValor,2,0)*VLOOKUP(O553,MgDeg,2,0),0)</f>
        <v/>
      </c>
      <c r="S553" s="29">
        <f>IFERROR(VLOOKUP(M553,MgValor,2,0)*VLOOKUP(P553,MgDeg,2,0),0)</f>
        <v/>
      </c>
      <c r="T553" s="30">
        <f>MAX(Q553:S553)</f>
        <v/>
      </c>
      <c r="U553" s="28">
        <f>IFERROR(LOOKUP(T553,{0;0.5;1.5;3;4.5},{"Despreciable";"Bajo";"Medio";"Alto";"Muy alto"}),"")</f>
        <v/>
      </c>
      <c r="V553" s="13">
        <f>IFERROR(INDEX(MgAmenFrec,MATCH(SUBSTITUTE($H553,"*","-"),MgAmenClave,0)),"")</f>
        <v/>
      </c>
      <c r="W553" s="28">
        <f>IFERROR(LOOKUP(X553,{0;0.01;0.1;1;10;100},{"Muy baja";"Muy baja";"Baja";"Media";"Alta";"Muy alta"}),"")</f>
        <v/>
      </c>
      <c r="X553" s="31">
        <f>IFERROR(VLOOKUP(V553,MgFrec,2,0),0)</f>
        <v/>
      </c>
      <c r="Y553" s="30">
        <f>T553*X553</f>
        <v/>
      </c>
      <c r="Z553" s="28">
        <f>IFERROR(LOOKUP(Y553,{0;0.5;5;25},{"Bajo";"Medio";"Alto";"Crítico"}),"")</f>
        <v/>
      </c>
      <c r="AA553" s="64">
        <f>IF(T553&gt;=3,IF(X553&gt;=1,"Zona 1 — Crítica: impacto alto y ocurre al menos una vez al año","Zona 4 — Catastrófica poco probable: impacto alto pero excepcional"),IF(AND(T553&lt;1.5,X553&lt;1),"Zona 3 — Asumible: impacto bajo y muy poco frecuente","Zona 2 — Atención: riesgo intermedio"))</f>
        <v/>
      </c>
      <c r="AB553" s="64">
        <f>IFERROR(INDEX(MgAmenCtrl,MATCH(SUBSTITUTE($H553,"*","-"),MgAmenClave,0)),"")</f>
        <v/>
      </c>
      <c r="AC553" s="20" t="n"/>
      <c r="AD553" s="31">
        <f>IFERROR($X553*(1-IF($AC553="",$AL553,VLOOKUP($AC553,MgMad,2,0))),"")</f>
        <v/>
      </c>
      <c r="AE553" s="28">
        <f>IFERROR(LOOKUP(AD553,{0;0.01;0.1;1;10;100},{"Muy baja";"Muy baja";"Baja";"Media";"Alta";"Muy alta"}),"")</f>
        <v/>
      </c>
      <c r="AF553" s="30">
        <f>T553*AD553</f>
        <v/>
      </c>
      <c r="AG553" s="28">
        <f>IFERROR(LOOKUP(AF553,{0;0.5;5;25},{"Bajo";"Medio";"Alto";"Crítico"}),"")</f>
        <v/>
      </c>
      <c r="AH553" s="28">
        <f>IF(AG553="","",IF(OR(AG553="Crítico",AG553="Alto"),"Mitigar",IF(AG553="Medio","Mitigar","Aceptar y monitorear")))</f>
        <v/>
      </c>
      <c r="AI553" s="21" t="n"/>
      <c r="AJ553" s="21" t="n"/>
      <c r="AK553" s="20" t="n"/>
      <c r="AL553" s="77">
        <f>IFERROR(INDEX(MgAmenEfic,MATCH(SUBSTITUTE($H553,"*","-"),MgAmenClave,0)),0)</f>
        <v/>
      </c>
    </row>
    <row r="554" hidden="1" ht="120" customHeight="1" s="54">
      <c r="B554" s="59" t="inlineStr">
        <is>
          <t>R-0549</t>
        </is>
      </c>
      <c r="C554" s="59" t="inlineStr">
        <is>
          <t>FIN-07</t>
        </is>
      </c>
      <c r="D554" s="64">
        <f>IFERROR(INDEX(MgNombre,MATCH($C554,MgActId,0)),"")</f>
        <v/>
      </c>
      <c r="E554" s="64">
        <f>IFERROR(INDEX(MgProceso,MATCH($C554,MgActId,0)),"")</f>
        <v/>
      </c>
      <c r="F554" s="64">
        <f>IFERROR(INDEX(MgTipo,MATCH($C554,MgActId,0)),"")</f>
        <v/>
      </c>
      <c r="G554" s="64">
        <f>IFERROR(INDEX(MgSubtipo,MATCH($C554,MgActId,0)),"")</f>
        <v/>
      </c>
      <c r="H554" s="59" t="inlineStr">
        <is>
          <t>A.19</t>
        </is>
      </c>
      <c r="I554" s="64">
        <f>IFERROR(INDEX(MgAmenNombre,MATCH(SUBSTITUTE($H554,"*","-"),MgAmenClave,0)),"")</f>
        <v/>
      </c>
      <c r="J554" s="28">
        <f>IFERROR(INDEX(MgAmenGrupo,MATCH(SUBSTITUTE($H554,"*","-"),MgAmenClave,0)),"")</f>
        <v/>
      </c>
      <c r="K554" s="64">
        <f>IFERROR(INDEX('1. Matriz de Activos'!$Q$6:$Q$239,MATCH($C554,MgActId,0)),"")</f>
        <v/>
      </c>
      <c r="L554" s="64">
        <f>IFERROR(INDEX('1. Matriz de Activos'!$R$6:$R$239,MATCH($C554,MgActId,0)),"")</f>
        <v/>
      </c>
      <c r="M554" s="64">
        <f>IFERROR(INDEX('1. Matriz de Activos'!$S$6:$S$239,MATCH($C554,MgActId,0)),"")</f>
        <v/>
      </c>
      <c r="N554" s="28">
        <f>IFERROR(INDEX(MgAmenDegD,MATCH(SUBSTITUTE($H554,"*","-"),MgAmenClave,0)),"No aplica")</f>
        <v/>
      </c>
      <c r="O554" s="28">
        <f>IFERROR(INDEX(MgAmenDegI,MATCH(SUBSTITUTE($H554,"*","-"),MgAmenClave,0)),"No aplica")</f>
        <v/>
      </c>
      <c r="P554" s="28">
        <f>IFERROR(INDEX(MgAmenDegC,MATCH(SUBSTITUTE($H554,"*","-"),MgAmenClave,0)),"No aplica")</f>
        <v/>
      </c>
      <c r="Q554" s="29">
        <f>IFERROR(VLOOKUP(K554,MgValor,2,0)*VLOOKUP(N554,MgDeg,2,0),0)</f>
        <v/>
      </c>
      <c r="R554" s="29">
        <f>IFERROR(VLOOKUP(L554,MgValor,2,0)*VLOOKUP(O554,MgDeg,2,0),0)</f>
        <v/>
      </c>
      <c r="S554" s="29">
        <f>IFERROR(VLOOKUP(M554,MgValor,2,0)*VLOOKUP(P554,MgDeg,2,0),0)</f>
        <v/>
      </c>
      <c r="T554" s="30">
        <f>MAX(Q554:S554)</f>
        <v/>
      </c>
      <c r="U554" s="28">
        <f>IFERROR(LOOKUP(T554,{0;0.5;1.5;3;4.5},{"Despreciable";"Bajo";"Medio";"Alto";"Muy alto"}),"")</f>
        <v/>
      </c>
      <c r="V554" s="13">
        <f>IFERROR(INDEX(MgAmenFrec,MATCH(SUBSTITUTE($H554,"*","-"),MgAmenClave,0)),"")</f>
        <v/>
      </c>
      <c r="W554" s="28">
        <f>IFERROR(LOOKUP(X554,{0;0.01;0.1;1;10;100},{"Muy baja";"Muy baja";"Baja";"Media";"Alta";"Muy alta"}),"")</f>
        <v/>
      </c>
      <c r="X554" s="31">
        <f>IFERROR(VLOOKUP(V554,MgFrec,2,0),0)</f>
        <v/>
      </c>
      <c r="Y554" s="30">
        <f>T554*X554</f>
        <v/>
      </c>
      <c r="Z554" s="28">
        <f>IFERROR(LOOKUP(Y554,{0;0.5;5;25},{"Bajo";"Medio";"Alto";"Crítico"}),"")</f>
        <v/>
      </c>
      <c r="AA554" s="64">
        <f>IF(T554&gt;=3,IF(X554&gt;=1,"Zona 1 — Crítica: impacto alto y ocurre al menos una vez al año","Zona 4 — Catastrófica poco probable: impacto alto pero excepcional"),IF(AND(T554&lt;1.5,X554&lt;1),"Zona 3 — Asumible: impacto bajo y muy poco frecuente","Zona 2 — Atención: riesgo intermedio"))</f>
        <v/>
      </c>
      <c r="AB554" s="64">
        <f>IFERROR(INDEX(MgAmenCtrl,MATCH(SUBSTITUTE($H554,"*","-"),MgAmenClave,0)),"")</f>
        <v/>
      </c>
      <c r="AC554" s="20" t="n"/>
      <c r="AD554" s="31">
        <f>IFERROR($X554*(1-IF($AC554="",$AL554,VLOOKUP($AC554,MgMad,2,0))),"")</f>
        <v/>
      </c>
      <c r="AE554" s="28">
        <f>IFERROR(LOOKUP(AD554,{0;0.01;0.1;1;10;100},{"Muy baja";"Muy baja";"Baja";"Media";"Alta";"Muy alta"}),"")</f>
        <v/>
      </c>
      <c r="AF554" s="30">
        <f>T554*AD554</f>
        <v/>
      </c>
      <c r="AG554" s="28">
        <f>IFERROR(LOOKUP(AF554,{0;0.5;5;25},{"Bajo";"Medio";"Alto";"Crítico"}),"")</f>
        <v/>
      </c>
      <c r="AH554" s="28">
        <f>IF(AG554="","",IF(OR(AG554="Crítico",AG554="Alto"),"Mitigar",IF(AG554="Medio","Mitigar","Aceptar y monitorear")))</f>
        <v/>
      </c>
      <c r="AI554" s="21" t="n"/>
      <c r="AJ554" s="21" t="n"/>
      <c r="AK554" s="20" t="n"/>
      <c r="AL554" s="77">
        <f>IFERROR(INDEX(MgAmenEfic,MATCH(SUBSTITUTE($H554,"*","-"),MgAmenClave,0)),0)</f>
        <v/>
      </c>
    </row>
    <row r="555" hidden="1" ht="105" customHeight="1" s="54">
      <c r="B555" s="59" t="inlineStr">
        <is>
          <t>R-0550</t>
        </is>
      </c>
      <c r="C555" s="59" t="inlineStr">
        <is>
          <t>LCO-08</t>
        </is>
      </c>
      <c r="D555" s="64">
        <f>IFERROR(INDEX(MgNombre,MATCH($C555,MgActId,0)),"")</f>
        <v/>
      </c>
      <c r="E555" s="64">
        <f>IFERROR(INDEX(MgProceso,MATCH($C555,MgActId,0)),"")</f>
        <v/>
      </c>
      <c r="F555" s="64">
        <f>IFERROR(INDEX(MgTipo,MATCH($C555,MgActId,0)),"")</f>
        <v/>
      </c>
      <c r="G555" s="64">
        <f>IFERROR(INDEX(MgSubtipo,MATCH($C555,MgActId,0)),"")</f>
        <v/>
      </c>
      <c r="H555" s="59" t="inlineStr">
        <is>
          <t>E.1</t>
        </is>
      </c>
      <c r="I555" s="64">
        <f>IFERROR(INDEX(MgAmenNombre,MATCH(SUBSTITUTE($H555,"*","-"),MgAmenClave,0)),"")</f>
        <v/>
      </c>
      <c r="J555" s="28">
        <f>IFERROR(INDEX(MgAmenGrupo,MATCH(SUBSTITUTE($H555,"*","-"),MgAmenClave,0)),"")</f>
        <v/>
      </c>
      <c r="K555" s="64">
        <f>IFERROR(INDEX('1. Matriz de Activos'!$Q$6:$Q$239,MATCH($C555,MgActId,0)),"")</f>
        <v/>
      </c>
      <c r="L555" s="64">
        <f>IFERROR(INDEX('1. Matriz de Activos'!$R$6:$R$239,MATCH($C555,MgActId,0)),"")</f>
        <v/>
      </c>
      <c r="M555" s="64">
        <f>IFERROR(INDEX('1. Matriz de Activos'!$S$6:$S$239,MATCH($C555,MgActId,0)),"")</f>
        <v/>
      </c>
      <c r="N555" s="28">
        <f>IFERROR(INDEX(MgAmenDegD,MATCH(SUBSTITUTE($H555,"*","-"),MgAmenClave,0)),"No aplica")</f>
        <v/>
      </c>
      <c r="O555" s="28">
        <f>IFERROR(INDEX(MgAmenDegI,MATCH(SUBSTITUTE($H555,"*","-"),MgAmenClave,0)),"No aplica")</f>
        <v/>
      </c>
      <c r="P555" s="28">
        <f>IFERROR(INDEX(MgAmenDegC,MATCH(SUBSTITUTE($H555,"*","-"),MgAmenClave,0)),"No aplica")</f>
        <v/>
      </c>
      <c r="Q555" s="29">
        <f>IFERROR(VLOOKUP(K555,MgValor,2,0)*VLOOKUP(N555,MgDeg,2,0),0)</f>
        <v/>
      </c>
      <c r="R555" s="29">
        <f>IFERROR(VLOOKUP(L555,MgValor,2,0)*VLOOKUP(O555,MgDeg,2,0),0)</f>
        <v/>
      </c>
      <c r="S555" s="29">
        <f>IFERROR(VLOOKUP(M555,MgValor,2,0)*VLOOKUP(P555,MgDeg,2,0),0)</f>
        <v/>
      </c>
      <c r="T555" s="30">
        <f>MAX(Q555:S555)</f>
        <v/>
      </c>
      <c r="U555" s="28">
        <f>IFERROR(LOOKUP(T555,{0;0.5;1.5;3;4.5},{"Despreciable";"Bajo";"Medio";"Alto";"Muy alto"}),"")</f>
        <v/>
      </c>
      <c r="V555" s="13">
        <f>IFERROR(INDEX(MgAmenFrec,MATCH(SUBSTITUTE($H555,"*","-"),MgAmenClave,0)),"")</f>
        <v/>
      </c>
      <c r="W555" s="28">
        <f>IFERROR(LOOKUP(X555,{0;0.01;0.1;1;10;100},{"Muy baja";"Muy baja";"Baja";"Media";"Alta";"Muy alta"}),"")</f>
        <v/>
      </c>
      <c r="X555" s="31">
        <f>IFERROR(VLOOKUP(V555,MgFrec,2,0),0)</f>
        <v/>
      </c>
      <c r="Y555" s="30">
        <f>T555*X555</f>
        <v/>
      </c>
      <c r="Z555" s="28">
        <f>IFERROR(LOOKUP(Y555,{0;0.5;5;25},{"Bajo";"Medio";"Alto";"Crítico"}),"")</f>
        <v/>
      </c>
      <c r="AA555" s="64">
        <f>IF(T555&gt;=3,IF(X555&gt;=1,"Zona 1 — Crítica: impacto alto y ocurre al menos una vez al año","Zona 4 — Catastrófica poco probable: impacto alto pero excepcional"),IF(AND(T555&lt;1.5,X555&lt;1),"Zona 3 — Asumible: impacto bajo y muy poco frecuente","Zona 2 — Atención: riesgo intermedio"))</f>
        <v/>
      </c>
      <c r="AB555" s="64">
        <f>IFERROR(INDEX(MgAmenCtrl,MATCH(SUBSTITUTE($H555,"*","-"),MgAmenClave,0)),"")</f>
        <v/>
      </c>
      <c r="AC555" s="20" t="n"/>
      <c r="AD555" s="31">
        <f>IFERROR($X555*(1-IF($AC555="",$AL555,VLOOKUP($AC555,MgMad,2,0))),"")</f>
        <v/>
      </c>
      <c r="AE555" s="28">
        <f>IFERROR(LOOKUP(AD555,{0;0.01;0.1;1;10;100},{"Muy baja";"Muy baja";"Baja";"Media";"Alta";"Muy alta"}),"")</f>
        <v/>
      </c>
      <c r="AF555" s="30">
        <f>T555*AD555</f>
        <v/>
      </c>
      <c r="AG555" s="28">
        <f>IFERROR(LOOKUP(AF555,{0;0.5;5;25},{"Bajo";"Medio";"Alto";"Crítico"}),"")</f>
        <v/>
      </c>
      <c r="AH555" s="28">
        <f>IF(AG555="","",IF(OR(AG555="Crítico",AG555="Alto"),"Mitigar",IF(AG555="Medio","Mitigar","Aceptar y monitorear")))</f>
        <v/>
      </c>
      <c r="AI555" s="21" t="n"/>
      <c r="AJ555" s="21" t="n"/>
      <c r="AK555" s="20" t="n"/>
      <c r="AL555" s="77">
        <f>IFERROR(INDEX(MgAmenEfic,MATCH(SUBSTITUTE($H555,"*","-"),MgAmenClave,0)),0)</f>
        <v/>
      </c>
    </row>
    <row r="556" hidden="1" ht="120" customHeight="1" s="54">
      <c r="B556" s="59" t="inlineStr">
        <is>
          <t>R-0551</t>
        </is>
      </c>
      <c r="C556" s="59" t="inlineStr">
        <is>
          <t>LCO-08</t>
        </is>
      </c>
      <c r="D556" s="64">
        <f>IFERROR(INDEX(MgNombre,MATCH($C556,MgActId,0)),"")</f>
        <v/>
      </c>
      <c r="E556" s="64">
        <f>IFERROR(INDEX(MgProceso,MATCH($C556,MgActId,0)),"")</f>
        <v/>
      </c>
      <c r="F556" s="64">
        <f>IFERROR(INDEX(MgTipo,MATCH($C556,MgActId,0)),"")</f>
        <v/>
      </c>
      <c r="G556" s="64">
        <f>IFERROR(INDEX(MgSubtipo,MATCH($C556,MgActId,0)),"")</f>
        <v/>
      </c>
      <c r="H556" s="59" t="inlineStr">
        <is>
          <t>E.2</t>
        </is>
      </c>
      <c r="I556" s="64">
        <f>IFERROR(INDEX(MgAmenNombre,MATCH(SUBSTITUTE($H556,"*","-"),MgAmenClave,0)),"")</f>
        <v/>
      </c>
      <c r="J556" s="28">
        <f>IFERROR(INDEX(MgAmenGrupo,MATCH(SUBSTITUTE($H556,"*","-"),MgAmenClave,0)),"")</f>
        <v/>
      </c>
      <c r="K556" s="64">
        <f>IFERROR(INDEX('1. Matriz de Activos'!$Q$6:$Q$239,MATCH($C556,MgActId,0)),"")</f>
        <v/>
      </c>
      <c r="L556" s="64">
        <f>IFERROR(INDEX('1. Matriz de Activos'!$R$6:$R$239,MATCH($C556,MgActId,0)),"")</f>
        <v/>
      </c>
      <c r="M556" s="64">
        <f>IFERROR(INDEX('1. Matriz de Activos'!$S$6:$S$239,MATCH($C556,MgActId,0)),"")</f>
        <v/>
      </c>
      <c r="N556" s="28">
        <f>IFERROR(INDEX(MgAmenDegD,MATCH(SUBSTITUTE($H556,"*","-"),MgAmenClave,0)),"No aplica")</f>
        <v/>
      </c>
      <c r="O556" s="28">
        <f>IFERROR(INDEX(MgAmenDegI,MATCH(SUBSTITUTE($H556,"*","-"),MgAmenClave,0)),"No aplica")</f>
        <v/>
      </c>
      <c r="P556" s="28">
        <f>IFERROR(INDEX(MgAmenDegC,MATCH(SUBSTITUTE($H556,"*","-"),MgAmenClave,0)),"No aplica")</f>
        <v/>
      </c>
      <c r="Q556" s="29">
        <f>IFERROR(VLOOKUP(K556,MgValor,2,0)*VLOOKUP(N556,MgDeg,2,0),0)</f>
        <v/>
      </c>
      <c r="R556" s="29">
        <f>IFERROR(VLOOKUP(L556,MgValor,2,0)*VLOOKUP(O556,MgDeg,2,0),0)</f>
        <v/>
      </c>
      <c r="S556" s="29">
        <f>IFERROR(VLOOKUP(M556,MgValor,2,0)*VLOOKUP(P556,MgDeg,2,0),0)</f>
        <v/>
      </c>
      <c r="T556" s="30">
        <f>MAX(Q556:S556)</f>
        <v/>
      </c>
      <c r="U556" s="28">
        <f>IFERROR(LOOKUP(T556,{0;0.5;1.5;3;4.5},{"Despreciable";"Bajo";"Medio";"Alto";"Muy alto"}),"")</f>
        <v/>
      </c>
      <c r="V556" s="13">
        <f>IFERROR(INDEX(MgAmenFrec,MATCH(SUBSTITUTE($H556,"*","-"),MgAmenClave,0)),"")</f>
        <v/>
      </c>
      <c r="W556" s="28">
        <f>IFERROR(LOOKUP(X556,{0;0.01;0.1;1;10;100},{"Muy baja";"Muy baja";"Baja";"Media";"Alta";"Muy alta"}),"")</f>
        <v/>
      </c>
      <c r="X556" s="31">
        <f>IFERROR(VLOOKUP(V556,MgFrec,2,0),0)</f>
        <v/>
      </c>
      <c r="Y556" s="30">
        <f>T556*X556</f>
        <v/>
      </c>
      <c r="Z556" s="28">
        <f>IFERROR(LOOKUP(Y556,{0;0.5;5;25},{"Bajo";"Medio";"Alto";"Crítico"}),"")</f>
        <v/>
      </c>
      <c r="AA556" s="64">
        <f>IF(T556&gt;=3,IF(X556&gt;=1,"Zona 1 — Crítica: impacto alto y ocurre al menos una vez al año","Zona 4 — Catastrófica poco probable: impacto alto pero excepcional"),IF(AND(T556&lt;1.5,X556&lt;1),"Zona 3 — Asumible: impacto bajo y muy poco frecuente","Zona 2 — Atención: riesgo intermedio"))</f>
        <v/>
      </c>
      <c r="AB556" s="64">
        <f>IFERROR(INDEX(MgAmenCtrl,MATCH(SUBSTITUTE($H556,"*","-"),MgAmenClave,0)),"")</f>
        <v/>
      </c>
      <c r="AC556" s="20" t="n"/>
      <c r="AD556" s="31">
        <f>IFERROR($X556*(1-IF($AC556="",$AL556,VLOOKUP($AC556,MgMad,2,0))),"")</f>
        <v/>
      </c>
      <c r="AE556" s="28">
        <f>IFERROR(LOOKUP(AD556,{0;0.01;0.1;1;10;100},{"Muy baja";"Muy baja";"Baja";"Media";"Alta";"Muy alta"}),"")</f>
        <v/>
      </c>
      <c r="AF556" s="30">
        <f>T556*AD556</f>
        <v/>
      </c>
      <c r="AG556" s="28">
        <f>IFERROR(LOOKUP(AF556,{0;0.5;5;25},{"Bajo";"Medio";"Alto";"Crítico"}),"")</f>
        <v/>
      </c>
      <c r="AH556" s="28">
        <f>IF(AG556="","",IF(OR(AG556="Crítico",AG556="Alto"),"Mitigar",IF(AG556="Medio","Mitigar","Aceptar y monitorear")))</f>
        <v/>
      </c>
      <c r="AI556" s="21" t="n"/>
      <c r="AJ556" s="21" t="n"/>
      <c r="AK556" s="20" t="n"/>
      <c r="AL556" s="77">
        <f>IFERROR(INDEX(MgAmenEfic,MATCH(SUBSTITUTE($H556,"*","-"),MgAmenClave,0)),0)</f>
        <v/>
      </c>
    </row>
    <row r="557" hidden="1" ht="75" customHeight="1" s="54">
      <c r="B557" s="59" t="inlineStr">
        <is>
          <t>R-0552</t>
        </is>
      </c>
      <c r="C557" s="59" t="inlineStr">
        <is>
          <t>LCO-08</t>
        </is>
      </c>
      <c r="D557" s="64">
        <f>IFERROR(INDEX(MgNombre,MATCH($C557,MgActId,0)),"")</f>
        <v/>
      </c>
      <c r="E557" s="64">
        <f>IFERROR(INDEX(MgProceso,MATCH($C557,MgActId,0)),"")</f>
        <v/>
      </c>
      <c r="F557" s="64">
        <f>IFERROR(INDEX(MgTipo,MATCH($C557,MgActId,0)),"")</f>
        <v/>
      </c>
      <c r="G557" s="64">
        <f>IFERROR(INDEX(MgSubtipo,MATCH($C557,MgActId,0)),"")</f>
        <v/>
      </c>
      <c r="H557" s="59" t="inlineStr">
        <is>
          <t>E.3</t>
        </is>
      </c>
      <c r="I557" s="64">
        <f>IFERROR(INDEX(MgAmenNombre,MATCH(SUBSTITUTE($H557,"*","-"),MgAmenClave,0)),"")</f>
        <v/>
      </c>
      <c r="J557" s="28">
        <f>IFERROR(INDEX(MgAmenGrupo,MATCH(SUBSTITUTE($H557,"*","-"),MgAmenClave,0)),"")</f>
        <v/>
      </c>
      <c r="K557" s="64">
        <f>IFERROR(INDEX('1. Matriz de Activos'!$Q$6:$Q$239,MATCH($C557,MgActId,0)),"")</f>
        <v/>
      </c>
      <c r="L557" s="64">
        <f>IFERROR(INDEX('1. Matriz de Activos'!$R$6:$R$239,MATCH($C557,MgActId,0)),"")</f>
        <v/>
      </c>
      <c r="M557" s="64">
        <f>IFERROR(INDEX('1. Matriz de Activos'!$S$6:$S$239,MATCH($C557,MgActId,0)),"")</f>
        <v/>
      </c>
      <c r="N557" s="28">
        <f>IFERROR(INDEX(MgAmenDegD,MATCH(SUBSTITUTE($H557,"*","-"),MgAmenClave,0)),"No aplica")</f>
        <v/>
      </c>
      <c r="O557" s="28">
        <f>IFERROR(INDEX(MgAmenDegI,MATCH(SUBSTITUTE($H557,"*","-"),MgAmenClave,0)),"No aplica")</f>
        <v/>
      </c>
      <c r="P557" s="28">
        <f>IFERROR(INDEX(MgAmenDegC,MATCH(SUBSTITUTE($H557,"*","-"),MgAmenClave,0)),"No aplica")</f>
        <v/>
      </c>
      <c r="Q557" s="29">
        <f>IFERROR(VLOOKUP(K557,MgValor,2,0)*VLOOKUP(N557,MgDeg,2,0),0)</f>
        <v/>
      </c>
      <c r="R557" s="29">
        <f>IFERROR(VLOOKUP(L557,MgValor,2,0)*VLOOKUP(O557,MgDeg,2,0),0)</f>
        <v/>
      </c>
      <c r="S557" s="29">
        <f>IFERROR(VLOOKUP(M557,MgValor,2,0)*VLOOKUP(P557,MgDeg,2,0),0)</f>
        <v/>
      </c>
      <c r="T557" s="30">
        <f>MAX(Q557:S557)</f>
        <v/>
      </c>
      <c r="U557" s="28">
        <f>IFERROR(LOOKUP(T557,{0;0.5;1.5;3;4.5},{"Despreciable";"Bajo";"Medio";"Alto";"Muy alto"}),"")</f>
        <v/>
      </c>
      <c r="V557" s="13">
        <f>IFERROR(INDEX(MgAmenFrec,MATCH(SUBSTITUTE($H557,"*","-"),MgAmenClave,0)),"")</f>
        <v/>
      </c>
      <c r="W557" s="28">
        <f>IFERROR(LOOKUP(X557,{0;0.01;0.1;1;10;100},{"Muy baja";"Muy baja";"Baja";"Media";"Alta";"Muy alta"}),"")</f>
        <v/>
      </c>
      <c r="X557" s="31">
        <f>IFERROR(VLOOKUP(V557,MgFrec,2,0),0)</f>
        <v/>
      </c>
      <c r="Y557" s="30">
        <f>T557*X557</f>
        <v/>
      </c>
      <c r="Z557" s="28">
        <f>IFERROR(LOOKUP(Y557,{0;0.5;5;25},{"Bajo";"Medio";"Alto";"Crítico"}),"")</f>
        <v/>
      </c>
      <c r="AA557" s="64">
        <f>IF(T557&gt;=3,IF(X557&gt;=1,"Zona 1 — Crítica: impacto alto y ocurre al menos una vez al año","Zona 4 — Catastrófica poco probable: impacto alto pero excepcional"),IF(AND(T557&lt;1.5,X557&lt;1),"Zona 3 — Asumible: impacto bajo y muy poco frecuente","Zona 2 — Atención: riesgo intermedio"))</f>
        <v/>
      </c>
      <c r="AB557" s="64">
        <f>IFERROR(INDEX(MgAmenCtrl,MATCH(SUBSTITUTE($H557,"*","-"),MgAmenClave,0)),"")</f>
        <v/>
      </c>
      <c r="AC557" s="20" t="n"/>
      <c r="AD557" s="31">
        <f>IFERROR($X557*(1-IF($AC557="",$AL557,VLOOKUP($AC557,MgMad,2,0))),"")</f>
        <v/>
      </c>
      <c r="AE557" s="28">
        <f>IFERROR(LOOKUP(AD557,{0;0.01;0.1;1;10;100},{"Muy baja";"Muy baja";"Baja";"Media";"Alta";"Muy alta"}),"")</f>
        <v/>
      </c>
      <c r="AF557" s="30">
        <f>T557*AD557</f>
        <v/>
      </c>
      <c r="AG557" s="28">
        <f>IFERROR(LOOKUP(AF557,{0;0.5;5;25},{"Bajo";"Medio";"Alto";"Crítico"}),"")</f>
        <v/>
      </c>
      <c r="AH557" s="28">
        <f>IF(AG557="","",IF(OR(AG557="Crítico",AG557="Alto"),"Mitigar",IF(AG557="Medio","Mitigar","Aceptar y monitorear")))</f>
        <v/>
      </c>
      <c r="AI557" s="21" t="n"/>
      <c r="AJ557" s="21" t="n"/>
      <c r="AK557" s="20" t="n"/>
      <c r="AL557" s="77">
        <f>IFERROR(INDEX(MgAmenEfic,MATCH(SUBSTITUTE($H557,"*","-"),MgAmenClave,0)),0)</f>
        <v/>
      </c>
    </row>
    <row r="558" hidden="1" ht="75" customHeight="1" s="54">
      <c r="B558" s="59" t="inlineStr">
        <is>
          <t>R-0553</t>
        </is>
      </c>
      <c r="C558" s="59" t="inlineStr">
        <is>
          <t>LCO-08</t>
        </is>
      </c>
      <c r="D558" s="64">
        <f>IFERROR(INDEX(MgNombre,MATCH($C558,MgActId,0)),"")</f>
        <v/>
      </c>
      <c r="E558" s="64">
        <f>IFERROR(INDEX(MgProceso,MATCH($C558,MgActId,0)),"")</f>
        <v/>
      </c>
      <c r="F558" s="64">
        <f>IFERROR(INDEX(MgTipo,MATCH($C558,MgActId,0)),"")</f>
        <v/>
      </c>
      <c r="G558" s="64">
        <f>IFERROR(INDEX(MgSubtipo,MATCH($C558,MgActId,0)),"")</f>
        <v/>
      </c>
      <c r="H558" s="59" t="inlineStr">
        <is>
          <t>E.4</t>
        </is>
      </c>
      <c r="I558" s="64">
        <f>IFERROR(INDEX(MgAmenNombre,MATCH(SUBSTITUTE($H558,"*","-"),MgAmenClave,0)),"")</f>
        <v/>
      </c>
      <c r="J558" s="28">
        <f>IFERROR(INDEX(MgAmenGrupo,MATCH(SUBSTITUTE($H558,"*","-"),MgAmenClave,0)),"")</f>
        <v/>
      </c>
      <c r="K558" s="64">
        <f>IFERROR(INDEX('1. Matriz de Activos'!$Q$6:$Q$239,MATCH($C558,MgActId,0)),"")</f>
        <v/>
      </c>
      <c r="L558" s="64">
        <f>IFERROR(INDEX('1. Matriz de Activos'!$R$6:$R$239,MATCH($C558,MgActId,0)),"")</f>
        <v/>
      </c>
      <c r="M558" s="64">
        <f>IFERROR(INDEX('1. Matriz de Activos'!$S$6:$S$239,MATCH($C558,MgActId,0)),"")</f>
        <v/>
      </c>
      <c r="N558" s="28">
        <f>IFERROR(INDEX(MgAmenDegD,MATCH(SUBSTITUTE($H558,"*","-"),MgAmenClave,0)),"No aplica")</f>
        <v/>
      </c>
      <c r="O558" s="28">
        <f>IFERROR(INDEX(MgAmenDegI,MATCH(SUBSTITUTE($H558,"*","-"),MgAmenClave,0)),"No aplica")</f>
        <v/>
      </c>
      <c r="P558" s="28">
        <f>IFERROR(INDEX(MgAmenDegC,MATCH(SUBSTITUTE($H558,"*","-"),MgAmenClave,0)),"No aplica")</f>
        <v/>
      </c>
      <c r="Q558" s="29">
        <f>IFERROR(VLOOKUP(K558,MgValor,2,0)*VLOOKUP(N558,MgDeg,2,0),0)</f>
        <v/>
      </c>
      <c r="R558" s="29">
        <f>IFERROR(VLOOKUP(L558,MgValor,2,0)*VLOOKUP(O558,MgDeg,2,0),0)</f>
        <v/>
      </c>
      <c r="S558" s="29">
        <f>IFERROR(VLOOKUP(M558,MgValor,2,0)*VLOOKUP(P558,MgDeg,2,0),0)</f>
        <v/>
      </c>
      <c r="T558" s="30">
        <f>MAX(Q558:S558)</f>
        <v/>
      </c>
      <c r="U558" s="28">
        <f>IFERROR(LOOKUP(T558,{0;0.5;1.5;3;4.5},{"Despreciable";"Bajo";"Medio";"Alto";"Muy alto"}),"")</f>
        <v/>
      </c>
      <c r="V558" s="13">
        <f>IFERROR(INDEX(MgAmenFrec,MATCH(SUBSTITUTE($H558,"*","-"),MgAmenClave,0)),"")</f>
        <v/>
      </c>
      <c r="W558" s="28">
        <f>IFERROR(LOOKUP(X558,{0;0.01;0.1;1;10;100},{"Muy baja";"Muy baja";"Baja";"Media";"Alta";"Muy alta"}),"")</f>
        <v/>
      </c>
      <c r="X558" s="31">
        <f>IFERROR(VLOOKUP(V558,MgFrec,2,0),0)</f>
        <v/>
      </c>
      <c r="Y558" s="30">
        <f>T558*X558</f>
        <v/>
      </c>
      <c r="Z558" s="28">
        <f>IFERROR(LOOKUP(Y558,{0;0.5;5;25},{"Bajo";"Medio";"Alto";"Crítico"}),"")</f>
        <v/>
      </c>
      <c r="AA558" s="64">
        <f>IF(T558&gt;=3,IF(X558&gt;=1,"Zona 1 — Crítica: impacto alto y ocurre al menos una vez al año","Zona 4 — Catastrófica poco probable: impacto alto pero excepcional"),IF(AND(T558&lt;1.5,X558&lt;1),"Zona 3 — Asumible: impacto bajo y muy poco frecuente","Zona 2 — Atención: riesgo intermedio"))</f>
        <v/>
      </c>
      <c r="AB558" s="64">
        <f>IFERROR(INDEX(MgAmenCtrl,MATCH(SUBSTITUTE($H558,"*","-"),MgAmenClave,0)),"")</f>
        <v/>
      </c>
      <c r="AC558" s="20" t="n"/>
      <c r="AD558" s="31">
        <f>IFERROR($X558*(1-IF($AC558="",$AL558,VLOOKUP($AC558,MgMad,2,0))),"")</f>
        <v/>
      </c>
      <c r="AE558" s="28">
        <f>IFERROR(LOOKUP(AD558,{0;0.01;0.1;1;10;100},{"Muy baja";"Muy baja";"Baja";"Media";"Alta";"Muy alta"}),"")</f>
        <v/>
      </c>
      <c r="AF558" s="30">
        <f>T558*AD558</f>
        <v/>
      </c>
      <c r="AG558" s="28">
        <f>IFERROR(LOOKUP(AF558,{0;0.5;5;25},{"Bajo";"Medio";"Alto";"Crítico"}),"")</f>
        <v/>
      </c>
      <c r="AH558" s="28">
        <f>IF(AG558="","",IF(OR(AG558="Crítico",AG558="Alto"),"Mitigar",IF(AG558="Medio","Mitigar","Aceptar y monitorear")))</f>
        <v/>
      </c>
      <c r="AI558" s="21" t="n"/>
      <c r="AJ558" s="21" t="n"/>
      <c r="AK558" s="20" t="n"/>
      <c r="AL558" s="77">
        <f>IFERROR(INDEX(MgAmenEfic,MATCH(SUBSTITUTE($H558,"*","-"),MgAmenClave,0)),0)</f>
        <v/>
      </c>
    </row>
    <row r="559" hidden="1" ht="90" customHeight="1" s="54">
      <c r="B559" s="59" t="inlineStr">
        <is>
          <t>R-0554</t>
        </is>
      </c>
      <c r="C559" s="59" t="inlineStr">
        <is>
          <t>LCO-08</t>
        </is>
      </c>
      <c r="D559" s="64">
        <f>IFERROR(INDEX(MgNombre,MATCH($C559,MgActId,0)),"")</f>
        <v/>
      </c>
      <c r="E559" s="64">
        <f>IFERROR(INDEX(MgProceso,MATCH($C559,MgActId,0)),"")</f>
        <v/>
      </c>
      <c r="F559" s="64">
        <f>IFERROR(INDEX(MgTipo,MATCH($C559,MgActId,0)),"")</f>
        <v/>
      </c>
      <c r="G559" s="64">
        <f>IFERROR(INDEX(MgSubtipo,MATCH($C559,MgActId,0)),"")</f>
        <v/>
      </c>
      <c r="H559" s="59" t="inlineStr">
        <is>
          <t>E.14</t>
        </is>
      </c>
      <c r="I559" s="64">
        <f>IFERROR(INDEX(MgAmenNombre,MATCH(SUBSTITUTE($H559,"*","-"),MgAmenClave,0)),"")</f>
        <v/>
      </c>
      <c r="J559" s="28">
        <f>IFERROR(INDEX(MgAmenGrupo,MATCH(SUBSTITUTE($H559,"*","-"),MgAmenClave,0)),"")</f>
        <v/>
      </c>
      <c r="K559" s="64">
        <f>IFERROR(INDEX('1. Matriz de Activos'!$Q$6:$Q$239,MATCH($C559,MgActId,0)),"")</f>
        <v/>
      </c>
      <c r="L559" s="64">
        <f>IFERROR(INDEX('1. Matriz de Activos'!$R$6:$R$239,MATCH($C559,MgActId,0)),"")</f>
        <v/>
      </c>
      <c r="M559" s="64">
        <f>IFERROR(INDEX('1. Matriz de Activos'!$S$6:$S$239,MATCH($C559,MgActId,0)),"")</f>
        <v/>
      </c>
      <c r="N559" s="28">
        <f>IFERROR(INDEX(MgAmenDegD,MATCH(SUBSTITUTE($H559,"*","-"),MgAmenClave,0)),"No aplica")</f>
        <v/>
      </c>
      <c r="O559" s="28">
        <f>IFERROR(INDEX(MgAmenDegI,MATCH(SUBSTITUTE($H559,"*","-"),MgAmenClave,0)),"No aplica")</f>
        <v/>
      </c>
      <c r="P559" s="28">
        <f>IFERROR(INDEX(MgAmenDegC,MATCH(SUBSTITUTE($H559,"*","-"),MgAmenClave,0)),"No aplica")</f>
        <v/>
      </c>
      <c r="Q559" s="29">
        <f>IFERROR(VLOOKUP(K559,MgValor,2,0)*VLOOKUP(N559,MgDeg,2,0),0)</f>
        <v/>
      </c>
      <c r="R559" s="29">
        <f>IFERROR(VLOOKUP(L559,MgValor,2,0)*VLOOKUP(O559,MgDeg,2,0),0)</f>
        <v/>
      </c>
      <c r="S559" s="29">
        <f>IFERROR(VLOOKUP(M559,MgValor,2,0)*VLOOKUP(P559,MgDeg,2,0),0)</f>
        <v/>
      </c>
      <c r="T559" s="30">
        <f>MAX(Q559:S559)</f>
        <v/>
      </c>
      <c r="U559" s="28">
        <f>IFERROR(LOOKUP(T559,{0;0.5;1.5;3;4.5},{"Despreciable";"Bajo";"Medio";"Alto";"Muy alto"}),"")</f>
        <v/>
      </c>
      <c r="V559" s="13">
        <f>IFERROR(INDEX(MgAmenFrec,MATCH(SUBSTITUTE($H559,"*","-"),MgAmenClave,0)),"")</f>
        <v/>
      </c>
      <c r="W559" s="28">
        <f>IFERROR(LOOKUP(X559,{0;0.01;0.1;1;10;100},{"Muy baja";"Muy baja";"Baja";"Media";"Alta";"Muy alta"}),"")</f>
        <v/>
      </c>
      <c r="X559" s="31">
        <f>IFERROR(VLOOKUP(V559,MgFrec,2,0),0)</f>
        <v/>
      </c>
      <c r="Y559" s="30">
        <f>T559*X559</f>
        <v/>
      </c>
      <c r="Z559" s="28">
        <f>IFERROR(LOOKUP(Y559,{0;0.5;5;25},{"Bajo";"Medio";"Alto";"Crítico"}),"")</f>
        <v/>
      </c>
      <c r="AA559" s="64">
        <f>IF(T559&gt;=3,IF(X559&gt;=1,"Zona 1 — Crítica: impacto alto y ocurre al menos una vez al año","Zona 4 — Catastrófica poco probable: impacto alto pero excepcional"),IF(AND(T559&lt;1.5,X559&lt;1),"Zona 3 — Asumible: impacto bajo y muy poco frecuente","Zona 2 — Atención: riesgo intermedio"))</f>
        <v/>
      </c>
      <c r="AB559" s="64">
        <f>IFERROR(INDEX(MgAmenCtrl,MATCH(SUBSTITUTE($H559,"*","-"),MgAmenClave,0)),"")</f>
        <v/>
      </c>
      <c r="AC559" s="20" t="n"/>
      <c r="AD559" s="31">
        <f>IFERROR($X559*(1-IF($AC559="",$AL559,VLOOKUP($AC559,MgMad,2,0))),"")</f>
        <v/>
      </c>
      <c r="AE559" s="28">
        <f>IFERROR(LOOKUP(AD559,{0;0.01;0.1;1;10;100},{"Muy baja";"Muy baja";"Baja";"Media";"Alta";"Muy alta"}),"")</f>
        <v/>
      </c>
      <c r="AF559" s="30">
        <f>T559*AD559</f>
        <v/>
      </c>
      <c r="AG559" s="28">
        <f>IFERROR(LOOKUP(AF559,{0;0.5;5;25},{"Bajo";"Medio";"Alto";"Crítico"}),"")</f>
        <v/>
      </c>
      <c r="AH559" s="28">
        <f>IF(AG559="","",IF(OR(AG559="Crítico",AG559="Alto"),"Mitigar",IF(AG559="Medio","Mitigar","Aceptar y monitorear")))</f>
        <v/>
      </c>
      <c r="AI559" s="21" t="n"/>
      <c r="AJ559" s="21" t="n"/>
      <c r="AK559" s="20" t="n"/>
      <c r="AL559" s="77">
        <f>IFERROR(INDEX(MgAmenEfic,MATCH(SUBSTITUTE($H559,"*","-"),MgAmenClave,0)),0)</f>
        <v/>
      </c>
    </row>
    <row r="560" hidden="1" ht="90" customHeight="1" s="54">
      <c r="B560" s="59" t="inlineStr">
        <is>
          <t>R-0555</t>
        </is>
      </c>
      <c r="C560" s="59" t="inlineStr">
        <is>
          <t>LCO-08</t>
        </is>
      </c>
      <c r="D560" s="64">
        <f>IFERROR(INDEX(MgNombre,MATCH($C560,MgActId,0)),"")</f>
        <v/>
      </c>
      <c r="E560" s="64">
        <f>IFERROR(INDEX(MgProceso,MATCH($C560,MgActId,0)),"")</f>
        <v/>
      </c>
      <c r="F560" s="64">
        <f>IFERROR(INDEX(MgTipo,MATCH($C560,MgActId,0)),"")</f>
        <v/>
      </c>
      <c r="G560" s="64">
        <f>IFERROR(INDEX(MgSubtipo,MATCH($C560,MgActId,0)),"")</f>
        <v/>
      </c>
      <c r="H560" s="59" t="inlineStr">
        <is>
          <t>E.15</t>
        </is>
      </c>
      <c r="I560" s="64">
        <f>IFERROR(INDEX(MgAmenNombre,MATCH(SUBSTITUTE($H560,"*","-"),MgAmenClave,0)),"")</f>
        <v/>
      </c>
      <c r="J560" s="28">
        <f>IFERROR(INDEX(MgAmenGrupo,MATCH(SUBSTITUTE($H560,"*","-"),MgAmenClave,0)),"")</f>
        <v/>
      </c>
      <c r="K560" s="64">
        <f>IFERROR(INDEX('1. Matriz de Activos'!$Q$6:$Q$239,MATCH($C560,MgActId,0)),"")</f>
        <v/>
      </c>
      <c r="L560" s="64">
        <f>IFERROR(INDEX('1. Matriz de Activos'!$R$6:$R$239,MATCH($C560,MgActId,0)),"")</f>
        <v/>
      </c>
      <c r="M560" s="64">
        <f>IFERROR(INDEX('1. Matriz de Activos'!$S$6:$S$239,MATCH($C560,MgActId,0)),"")</f>
        <v/>
      </c>
      <c r="N560" s="28">
        <f>IFERROR(INDEX(MgAmenDegD,MATCH(SUBSTITUTE($H560,"*","-"),MgAmenClave,0)),"No aplica")</f>
        <v/>
      </c>
      <c r="O560" s="28">
        <f>IFERROR(INDEX(MgAmenDegI,MATCH(SUBSTITUTE($H560,"*","-"),MgAmenClave,0)),"No aplica")</f>
        <v/>
      </c>
      <c r="P560" s="28">
        <f>IFERROR(INDEX(MgAmenDegC,MATCH(SUBSTITUTE($H560,"*","-"),MgAmenClave,0)),"No aplica")</f>
        <v/>
      </c>
      <c r="Q560" s="29">
        <f>IFERROR(VLOOKUP(K560,MgValor,2,0)*VLOOKUP(N560,MgDeg,2,0),0)</f>
        <v/>
      </c>
      <c r="R560" s="29">
        <f>IFERROR(VLOOKUP(L560,MgValor,2,0)*VLOOKUP(O560,MgDeg,2,0),0)</f>
        <v/>
      </c>
      <c r="S560" s="29">
        <f>IFERROR(VLOOKUP(M560,MgValor,2,0)*VLOOKUP(P560,MgDeg,2,0),0)</f>
        <v/>
      </c>
      <c r="T560" s="30">
        <f>MAX(Q560:S560)</f>
        <v/>
      </c>
      <c r="U560" s="28">
        <f>IFERROR(LOOKUP(T560,{0;0.5;1.5;3;4.5},{"Despreciable";"Bajo";"Medio";"Alto";"Muy alto"}),"")</f>
        <v/>
      </c>
      <c r="V560" s="13">
        <f>IFERROR(INDEX(MgAmenFrec,MATCH(SUBSTITUTE($H560,"*","-"),MgAmenClave,0)),"")</f>
        <v/>
      </c>
      <c r="W560" s="28">
        <f>IFERROR(LOOKUP(X560,{0;0.01;0.1;1;10;100},{"Muy baja";"Muy baja";"Baja";"Media";"Alta";"Muy alta"}),"")</f>
        <v/>
      </c>
      <c r="X560" s="31">
        <f>IFERROR(VLOOKUP(V560,MgFrec,2,0),0)</f>
        <v/>
      </c>
      <c r="Y560" s="30">
        <f>T560*X560</f>
        <v/>
      </c>
      <c r="Z560" s="28">
        <f>IFERROR(LOOKUP(Y560,{0;0.5;5;25},{"Bajo";"Medio";"Alto";"Crítico"}),"")</f>
        <v/>
      </c>
      <c r="AA560" s="64">
        <f>IF(T560&gt;=3,IF(X560&gt;=1,"Zona 1 — Crítica: impacto alto y ocurre al menos una vez al año","Zona 4 — Catastrófica poco probable: impacto alto pero excepcional"),IF(AND(T560&lt;1.5,X560&lt;1),"Zona 3 — Asumible: impacto bajo y muy poco frecuente","Zona 2 — Atención: riesgo intermedio"))</f>
        <v/>
      </c>
      <c r="AB560" s="64">
        <f>IFERROR(INDEX(MgAmenCtrl,MATCH(SUBSTITUTE($H560,"*","-"),MgAmenClave,0)),"")</f>
        <v/>
      </c>
      <c r="AC560" s="20" t="n"/>
      <c r="AD560" s="31">
        <f>IFERROR($X560*(1-IF($AC560="",$AL560,VLOOKUP($AC560,MgMad,2,0))),"")</f>
        <v/>
      </c>
      <c r="AE560" s="28">
        <f>IFERROR(LOOKUP(AD560,{0;0.01;0.1;1;10;100},{"Muy baja";"Muy baja";"Baja";"Media";"Alta";"Muy alta"}),"")</f>
        <v/>
      </c>
      <c r="AF560" s="30">
        <f>T560*AD560</f>
        <v/>
      </c>
      <c r="AG560" s="28">
        <f>IFERROR(LOOKUP(AF560,{0;0.5;5;25},{"Bajo";"Medio";"Alto";"Crítico"}),"")</f>
        <v/>
      </c>
      <c r="AH560" s="28">
        <f>IF(AG560="","",IF(OR(AG560="Crítico",AG560="Alto"),"Mitigar",IF(AG560="Medio","Mitigar","Aceptar y monitorear")))</f>
        <v/>
      </c>
      <c r="AI560" s="21" t="n"/>
      <c r="AJ560" s="21" t="n"/>
      <c r="AK560" s="20" t="n"/>
      <c r="AL560" s="77">
        <f>IFERROR(INDEX(MgAmenEfic,MATCH(SUBSTITUTE($H560,"*","-"),MgAmenClave,0)),0)</f>
        <v/>
      </c>
    </row>
    <row r="561" hidden="1" ht="60" customHeight="1" s="54">
      <c r="B561" s="59" t="inlineStr">
        <is>
          <t>R-0556</t>
        </is>
      </c>
      <c r="C561" s="59" t="inlineStr">
        <is>
          <t>LCO-08</t>
        </is>
      </c>
      <c r="D561" s="64">
        <f>IFERROR(INDEX(MgNombre,MATCH($C561,MgActId,0)),"")</f>
        <v/>
      </c>
      <c r="E561" s="64">
        <f>IFERROR(INDEX(MgProceso,MATCH($C561,MgActId,0)),"")</f>
        <v/>
      </c>
      <c r="F561" s="64">
        <f>IFERROR(INDEX(MgTipo,MATCH($C561,MgActId,0)),"")</f>
        <v/>
      </c>
      <c r="G561" s="64">
        <f>IFERROR(INDEX(MgSubtipo,MATCH($C561,MgActId,0)),"")</f>
        <v/>
      </c>
      <c r="H561" s="59" t="inlineStr">
        <is>
          <t>E.18</t>
        </is>
      </c>
      <c r="I561" s="64">
        <f>IFERROR(INDEX(MgAmenNombre,MATCH(SUBSTITUTE($H561,"*","-"),MgAmenClave,0)),"")</f>
        <v/>
      </c>
      <c r="J561" s="28">
        <f>IFERROR(INDEX(MgAmenGrupo,MATCH(SUBSTITUTE($H561,"*","-"),MgAmenClave,0)),"")</f>
        <v/>
      </c>
      <c r="K561" s="64">
        <f>IFERROR(INDEX('1. Matriz de Activos'!$Q$6:$Q$239,MATCH($C561,MgActId,0)),"")</f>
        <v/>
      </c>
      <c r="L561" s="64">
        <f>IFERROR(INDEX('1. Matriz de Activos'!$R$6:$R$239,MATCH($C561,MgActId,0)),"")</f>
        <v/>
      </c>
      <c r="M561" s="64">
        <f>IFERROR(INDEX('1. Matriz de Activos'!$S$6:$S$239,MATCH($C561,MgActId,0)),"")</f>
        <v/>
      </c>
      <c r="N561" s="28">
        <f>IFERROR(INDEX(MgAmenDegD,MATCH(SUBSTITUTE($H561,"*","-"),MgAmenClave,0)),"No aplica")</f>
        <v/>
      </c>
      <c r="O561" s="28">
        <f>IFERROR(INDEX(MgAmenDegI,MATCH(SUBSTITUTE($H561,"*","-"),MgAmenClave,0)),"No aplica")</f>
        <v/>
      </c>
      <c r="P561" s="28">
        <f>IFERROR(INDEX(MgAmenDegC,MATCH(SUBSTITUTE($H561,"*","-"),MgAmenClave,0)),"No aplica")</f>
        <v/>
      </c>
      <c r="Q561" s="29">
        <f>IFERROR(VLOOKUP(K561,MgValor,2,0)*VLOOKUP(N561,MgDeg,2,0),0)</f>
        <v/>
      </c>
      <c r="R561" s="29">
        <f>IFERROR(VLOOKUP(L561,MgValor,2,0)*VLOOKUP(O561,MgDeg,2,0),0)</f>
        <v/>
      </c>
      <c r="S561" s="29">
        <f>IFERROR(VLOOKUP(M561,MgValor,2,0)*VLOOKUP(P561,MgDeg,2,0),0)</f>
        <v/>
      </c>
      <c r="T561" s="30">
        <f>MAX(Q561:S561)</f>
        <v/>
      </c>
      <c r="U561" s="28">
        <f>IFERROR(LOOKUP(T561,{0;0.5;1.5;3;4.5},{"Despreciable";"Bajo";"Medio";"Alto";"Muy alto"}),"")</f>
        <v/>
      </c>
      <c r="V561" s="13">
        <f>IFERROR(INDEX(MgAmenFrec,MATCH(SUBSTITUTE($H561,"*","-"),MgAmenClave,0)),"")</f>
        <v/>
      </c>
      <c r="W561" s="28">
        <f>IFERROR(LOOKUP(X561,{0;0.01;0.1;1;10;100},{"Muy baja";"Muy baja";"Baja";"Media";"Alta";"Muy alta"}),"")</f>
        <v/>
      </c>
      <c r="X561" s="31">
        <f>IFERROR(VLOOKUP(V561,MgFrec,2,0),0)</f>
        <v/>
      </c>
      <c r="Y561" s="30">
        <f>T561*X561</f>
        <v/>
      </c>
      <c r="Z561" s="28">
        <f>IFERROR(LOOKUP(Y561,{0;0.5;5;25},{"Bajo";"Medio";"Alto";"Crítico"}),"")</f>
        <v/>
      </c>
      <c r="AA561" s="64">
        <f>IF(T561&gt;=3,IF(X561&gt;=1,"Zona 1 — Crítica: impacto alto y ocurre al menos una vez al año","Zona 4 — Catastrófica poco probable: impacto alto pero excepcional"),IF(AND(T561&lt;1.5,X561&lt;1),"Zona 3 — Asumible: impacto bajo y muy poco frecuente","Zona 2 — Atención: riesgo intermedio"))</f>
        <v/>
      </c>
      <c r="AB561" s="64">
        <f>IFERROR(INDEX(MgAmenCtrl,MATCH(SUBSTITUTE($H561,"*","-"),MgAmenClave,0)),"")</f>
        <v/>
      </c>
      <c r="AC561" s="20" t="n"/>
      <c r="AD561" s="31">
        <f>IFERROR($X561*(1-IF($AC561="",$AL561,VLOOKUP($AC561,MgMad,2,0))),"")</f>
        <v/>
      </c>
      <c r="AE561" s="28">
        <f>IFERROR(LOOKUP(AD561,{0;0.01;0.1;1;10;100},{"Muy baja";"Muy baja";"Baja";"Media";"Alta";"Muy alta"}),"")</f>
        <v/>
      </c>
      <c r="AF561" s="30">
        <f>T561*AD561</f>
        <v/>
      </c>
      <c r="AG561" s="28">
        <f>IFERROR(LOOKUP(AF561,{0;0.5;5;25},{"Bajo";"Medio";"Alto";"Crítico"}),"")</f>
        <v/>
      </c>
      <c r="AH561" s="28">
        <f>IF(AG561="","",IF(OR(AG561="Crítico",AG561="Alto"),"Mitigar",IF(AG561="Medio","Mitigar","Aceptar y monitorear")))</f>
        <v/>
      </c>
      <c r="AI561" s="21" t="n"/>
      <c r="AJ561" s="21" t="n"/>
      <c r="AK561" s="20" t="n"/>
      <c r="AL561" s="77">
        <f>IFERROR(INDEX(MgAmenEfic,MATCH(SUBSTITUTE($H561,"*","-"),MgAmenClave,0)),0)</f>
        <v/>
      </c>
    </row>
    <row r="562" hidden="1" ht="105" customHeight="1" s="54">
      <c r="B562" s="59" t="inlineStr">
        <is>
          <t>R-0557</t>
        </is>
      </c>
      <c r="C562" s="59" t="inlineStr">
        <is>
          <t>LCO-08</t>
        </is>
      </c>
      <c r="D562" s="64">
        <f>IFERROR(INDEX(MgNombre,MATCH($C562,MgActId,0)),"")</f>
        <v/>
      </c>
      <c r="E562" s="64">
        <f>IFERROR(INDEX(MgProceso,MATCH($C562,MgActId,0)),"")</f>
        <v/>
      </c>
      <c r="F562" s="64">
        <f>IFERROR(INDEX(MgTipo,MATCH($C562,MgActId,0)),"")</f>
        <v/>
      </c>
      <c r="G562" s="64">
        <f>IFERROR(INDEX(MgSubtipo,MATCH($C562,MgActId,0)),"")</f>
        <v/>
      </c>
      <c r="H562" s="59" t="inlineStr">
        <is>
          <t>E.19</t>
        </is>
      </c>
      <c r="I562" s="64">
        <f>IFERROR(INDEX(MgAmenNombre,MATCH(SUBSTITUTE($H562,"*","-"),MgAmenClave,0)),"")</f>
        <v/>
      </c>
      <c r="J562" s="28">
        <f>IFERROR(INDEX(MgAmenGrupo,MATCH(SUBSTITUTE($H562,"*","-"),MgAmenClave,0)),"")</f>
        <v/>
      </c>
      <c r="K562" s="64">
        <f>IFERROR(INDEX('1. Matriz de Activos'!$Q$6:$Q$239,MATCH($C562,MgActId,0)),"")</f>
        <v/>
      </c>
      <c r="L562" s="64">
        <f>IFERROR(INDEX('1. Matriz de Activos'!$R$6:$R$239,MATCH($C562,MgActId,0)),"")</f>
        <v/>
      </c>
      <c r="M562" s="64">
        <f>IFERROR(INDEX('1. Matriz de Activos'!$S$6:$S$239,MATCH($C562,MgActId,0)),"")</f>
        <v/>
      </c>
      <c r="N562" s="28">
        <f>IFERROR(INDEX(MgAmenDegD,MATCH(SUBSTITUTE($H562,"*","-"),MgAmenClave,0)),"No aplica")</f>
        <v/>
      </c>
      <c r="O562" s="28">
        <f>IFERROR(INDEX(MgAmenDegI,MATCH(SUBSTITUTE($H562,"*","-"),MgAmenClave,0)),"No aplica")</f>
        <v/>
      </c>
      <c r="P562" s="28">
        <f>IFERROR(INDEX(MgAmenDegC,MATCH(SUBSTITUTE($H562,"*","-"),MgAmenClave,0)),"No aplica")</f>
        <v/>
      </c>
      <c r="Q562" s="29">
        <f>IFERROR(VLOOKUP(K562,MgValor,2,0)*VLOOKUP(N562,MgDeg,2,0),0)</f>
        <v/>
      </c>
      <c r="R562" s="29">
        <f>IFERROR(VLOOKUP(L562,MgValor,2,0)*VLOOKUP(O562,MgDeg,2,0),0)</f>
        <v/>
      </c>
      <c r="S562" s="29">
        <f>IFERROR(VLOOKUP(M562,MgValor,2,0)*VLOOKUP(P562,MgDeg,2,0),0)</f>
        <v/>
      </c>
      <c r="T562" s="30">
        <f>MAX(Q562:S562)</f>
        <v/>
      </c>
      <c r="U562" s="28">
        <f>IFERROR(LOOKUP(T562,{0;0.5;1.5;3;4.5},{"Despreciable";"Bajo";"Medio";"Alto";"Muy alto"}),"")</f>
        <v/>
      </c>
      <c r="V562" s="13">
        <f>IFERROR(INDEX(MgAmenFrec,MATCH(SUBSTITUTE($H562,"*","-"),MgAmenClave,0)),"")</f>
        <v/>
      </c>
      <c r="W562" s="28">
        <f>IFERROR(LOOKUP(X562,{0;0.01;0.1;1;10;100},{"Muy baja";"Muy baja";"Baja";"Media";"Alta";"Muy alta"}),"")</f>
        <v/>
      </c>
      <c r="X562" s="31">
        <f>IFERROR(VLOOKUP(V562,MgFrec,2,0),0)</f>
        <v/>
      </c>
      <c r="Y562" s="30">
        <f>T562*X562</f>
        <v/>
      </c>
      <c r="Z562" s="28">
        <f>IFERROR(LOOKUP(Y562,{0;0.5;5;25},{"Bajo";"Medio";"Alto";"Crítico"}),"")</f>
        <v/>
      </c>
      <c r="AA562" s="64">
        <f>IF(T562&gt;=3,IF(X562&gt;=1,"Zona 1 — Crítica: impacto alto y ocurre al menos una vez al año","Zona 4 — Catastrófica poco probable: impacto alto pero excepcional"),IF(AND(T562&lt;1.5,X562&lt;1),"Zona 3 — Asumible: impacto bajo y muy poco frecuente","Zona 2 — Atención: riesgo intermedio"))</f>
        <v/>
      </c>
      <c r="AB562" s="64">
        <f>IFERROR(INDEX(MgAmenCtrl,MATCH(SUBSTITUTE($H562,"*","-"),MgAmenClave,0)),"")</f>
        <v/>
      </c>
      <c r="AC562" s="20" t="n"/>
      <c r="AD562" s="31">
        <f>IFERROR($X562*(1-IF($AC562="",$AL562,VLOOKUP($AC562,MgMad,2,0))),"")</f>
        <v/>
      </c>
      <c r="AE562" s="28">
        <f>IFERROR(LOOKUP(AD562,{0;0.01;0.1;1;10;100},{"Muy baja";"Muy baja";"Baja";"Media";"Alta";"Muy alta"}),"")</f>
        <v/>
      </c>
      <c r="AF562" s="30">
        <f>T562*AD562</f>
        <v/>
      </c>
      <c r="AG562" s="28">
        <f>IFERROR(LOOKUP(AF562,{0;0.5;5;25},{"Bajo";"Medio";"Alto";"Crítico"}),"")</f>
        <v/>
      </c>
      <c r="AH562" s="28">
        <f>IF(AG562="","",IF(OR(AG562="Crítico",AG562="Alto"),"Mitigar",IF(AG562="Medio","Mitigar","Aceptar y monitorear")))</f>
        <v/>
      </c>
      <c r="AI562" s="21" t="n"/>
      <c r="AJ562" s="21" t="n"/>
      <c r="AK562" s="20" t="n"/>
      <c r="AL562" s="77">
        <f>IFERROR(INDEX(MgAmenEfic,MATCH(SUBSTITUTE($H562,"*","-"),MgAmenClave,0)),0)</f>
        <v/>
      </c>
    </row>
    <row r="563" hidden="1" ht="60" customHeight="1" s="54">
      <c r="B563" s="59" t="inlineStr">
        <is>
          <t>R-0558</t>
        </is>
      </c>
      <c r="C563" s="59" t="inlineStr">
        <is>
          <t>LCO-08</t>
        </is>
      </c>
      <c r="D563" s="64">
        <f>IFERROR(INDEX(MgNombre,MATCH($C563,MgActId,0)),"")</f>
        <v/>
      </c>
      <c r="E563" s="64">
        <f>IFERROR(INDEX(MgProceso,MATCH($C563,MgActId,0)),"")</f>
        <v/>
      </c>
      <c r="F563" s="64">
        <f>IFERROR(INDEX(MgTipo,MATCH($C563,MgActId,0)),"")</f>
        <v/>
      </c>
      <c r="G563" s="64">
        <f>IFERROR(INDEX(MgSubtipo,MATCH($C563,MgActId,0)),"")</f>
        <v/>
      </c>
      <c r="H563" s="59" t="inlineStr">
        <is>
          <t>A.3</t>
        </is>
      </c>
      <c r="I563" s="64">
        <f>IFERROR(INDEX(MgAmenNombre,MATCH(SUBSTITUTE($H563,"*","-"),MgAmenClave,0)),"")</f>
        <v/>
      </c>
      <c r="J563" s="28">
        <f>IFERROR(INDEX(MgAmenGrupo,MATCH(SUBSTITUTE($H563,"*","-"),MgAmenClave,0)),"")</f>
        <v/>
      </c>
      <c r="K563" s="64">
        <f>IFERROR(INDEX('1. Matriz de Activos'!$Q$6:$Q$239,MATCH($C563,MgActId,0)),"")</f>
        <v/>
      </c>
      <c r="L563" s="64">
        <f>IFERROR(INDEX('1. Matriz de Activos'!$R$6:$R$239,MATCH($C563,MgActId,0)),"")</f>
        <v/>
      </c>
      <c r="M563" s="64">
        <f>IFERROR(INDEX('1. Matriz de Activos'!$S$6:$S$239,MATCH($C563,MgActId,0)),"")</f>
        <v/>
      </c>
      <c r="N563" s="28">
        <f>IFERROR(INDEX(MgAmenDegD,MATCH(SUBSTITUTE($H563,"*","-"),MgAmenClave,0)),"No aplica")</f>
        <v/>
      </c>
      <c r="O563" s="28">
        <f>IFERROR(INDEX(MgAmenDegI,MATCH(SUBSTITUTE($H563,"*","-"),MgAmenClave,0)),"No aplica")</f>
        <v/>
      </c>
      <c r="P563" s="28">
        <f>IFERROR(INDEX(MgAmenDegC,MATCH(SUBSTITUTE($H563,"*","-"),MgAmenClave,0)),"No aplica")</f>
        <v/>
      </c>
      <c r="Q563" s="29">
        <f>IFERROR(VLOOKUP(K563,MgValor,2,0)*VLOOKUP(N563,MgDeg,2,0),0)</f>
        <v/>
      </c>
      <c r="R563" s="29">
        <f>IFERROR(VLOOKUP(L563,MgValor,2,0)*VLOOKUP(O563,MgDeg,2,0),0)</f>
        <v/>
      </c>
      <c r="S563" s="29">
        <f>IFERROR(VLOOKUP(M563,MgValor,2,0)*VLOOKUP(P563,MgDeg,2,0),0)</f>
        <v/>
      </c>
      <c r="T563" s="30">
        <f>MAX(Q563:S563)</f>
        <v/>
      </c>
      <c r="U563" s="28">
        <f>IFERROR(LOOKUP(T563,{0;0.5;1.5;3;4.5},{"Despreciable";"Bajo";"Medio";"Alto";"Muy alto"}),"")</f>
        <v/>
      </c>
      <c r="V563" s="13">
        <f>IFERROR(INDEX(MgAmenFrec,MATCH(SUBSTITUTE($H563,"*","-"),MgAmenClave,0)),"")</f>
        <v/>
      </c>
      <c r="W563" s="28">
        <f>IFERROR(LOOKUP(X563,{0;0.01;0.1;1;10;100},{"Muy baja";"Muy baja";"Baja";"Media";"Alta";"Muy alta"}),"")</f>
        <v/>
      </c>
      <c r="X563" s="31">
        <f>IFERROR(VLOOKUP(V563,MgFrec,2,0),0)</f>
        <v/>
      </c>
      <c r="Y563" s="30">
        <f>T563*X563</f>
        <v/>
      </c>
      <c r="Z563" s="28">
        <f>IFERROR(LOOKUP(Y563,{0;0.5;5;25},{"Bajo";"Medio";"Alto";"Crítico"}),"")</f>
        <v/>
      </c>
      <c r="AA563" s="64">
        <f>IF(T563&gt;=3,IF(X563&gt;=1,"Zona 1 — Crítica: impacto alto y ocurre al menos una vez al año","Zona 4 — Catastrófica poco probable: impacto alto pero excepcional"),IF(AND(T563&lt;1.5,X563&lt;1),"Zona 3 — Asumible: impacto bajo y muy poco frecuente","Zona 2 — Atención: riesgo intermedio"))</f>
        <v/>
      </c>
      <c r="AB563" s="64">
        <f>IFERROR(INDEX(MgAmenCtrl,MATCH(SUBSTITUTE($H563,"*","-"),MgAmenClave,0)),"")</f>
        <v/>
      </c>
      <c r="AC563" s="20" t="n"/>
      <c r="AD563" s="31">
        <f>IFERROR($X563*(1-IF($AC563="",$AL563,VLOOKUP($AC563,MgMad,2,0))),"")</f>
        <v/>
      </c>
      <c r="AE563" s="28">
        <f>IFERROR(LOOKUP(AD563,{0;0.01;0.1;1;10;100},{"Muy baja";"Muy baja";"Baja";"Media";"Alta";"Muy alta"}),"")</f>
        <v/>
      </c>
      <c r="AF563" s="30">
        <f>T563*AD563</f>
        <v/>
      </c>
      <c r="AG563" s="28">
        <f>IFERROR(LOOKUP(AF563,{0;0.5;5;25},{"Bajo";"Medio";"Alto";"Crítico"}),"")</f>
        <v/>
      </c>
      <c r="AH563" s="28">
        <f>IF(AG563="","",IF(OR(AG563="Crítico",AG563="Alto"),"Mitigar",IF(AG563="Medio","Mitigar","Aceptar y monitorear")))</f>
        <v/>
      </c>
      <c r="AI563" s="21" t="n"/>
      <c r="AJ563" s="21" t="n"/>
      <c r="AK563" s="20" t="n"/>
      <c r="AL563" s="77">
        <f>IFERROR(INDEX(MgAmenEfic,MATCH(SUBSTITUTE($H563,"*","-"),MgAmenClave,0)),0)</f>
        <v/>
      </c>
    </row>
    <row r="564" hidden="1" ht="60" customHeight="1" s="54">
      <c r="B564" s="59" t="inlineStr">
        <is>
          <t>R-0559</t>
        </is>
      </c>
      <c r="C564" s="59" t="inlineStr">
        <is>
          <t>LCO-08</t>
        </is>
      </c>
      <c r="D564" s="64">
        <f>IFERROR(INDEX(MgNombre,MATCH($C564,MgActId,0)),"")</f>
        <v/>
      </c>
      <c r="E564" s="64">
        <f>IFERROR(INDEX(MgProceso,MATCH($C564,MgActId,0)),"")</f>
        <v/>
      </c>
      <c r="F564" s="64">
        <f>IFERROR(INDEX(MgTipo,MATCH($C564,MgActId,0)),"")</f>
        <v/>
      </c>
      <c r="G564" s="64">
        <f>IFERROR(INDEX(MgSubtipo,MATCH($C564,MgActId,0)),"")</f>
        <v/>
      </c>
      <c r="H564" s="59" t="inlineStr">
        <is>
          <t>A.4</t>
        </is>
      </c>
      <c r="I564" s="64">
        <f>IFERROR(INDEX(MgAmenNombre,MATCH(SUBSTITUTE($H564,"*","-"),MgAmenClave,0)),"")</f>
        <v/>
      </c>
      <c r="J564" s="28">
        <f>IFERROR(INDEX(MgAmenGrupo,MATCH(SUBSTITUTE($H564,"*","-"),MgAmenClave,0)),"")</f>
        <v/>
      </c>
      <c r="K564" s="64">
        <f>IFERROR(INDEX('1. Matriz de Activos'!$Q$6:$Q$239,MATCH($C564,MgActId,0)),"")</f>
        <v/>
      </c>
      <c r="L564" s="64">
        <f>IFERROR(INDEX('1. Matriz de Activos'!$R$6:$R$239,MATCH($C564,MgActId,0)),"")</f>
        <v/>
      </c>
      <c r="M564" s="64">
        <f>IFERROR(INDEX('1. Matriz de Activos'!$S$6:$S$239,MATCH($C564,MgActId,0)),"")</f>
        <v/>
      </c>
      <c r="N564" s="28">
        <f>IFERROR(INDEX(MgAmenDegD,MATCH(SUBSTITUTE($H564,"*","-"),MgAmenClave,0)),"No aplica")</f>
        <v/>
      </c>
      <c r="O564" s="28">
        <f>IFERROR(INDEX(MgAmenDegI,MATCH(SUBSTITUTE($H564,"*","-"),MgAmenClave,0)),"No aplica")</f>
        <v/>
      </c>
      <c r="P564" s="28">
        <f>IFERROR(INDEX(MgAmenDegC,MATCH(SUBSTITUTE($H564,"*","-"),MgAmenClave,0)),"No aplica")</f>
        <v/>
      </c>
      <c r="Q564" s="29">
        <f>IFERROR(VLOOKUP(K564,MgValor,2,0)*VLOOKUP(N564,MgDeg,2,0),0)</f>
        <v/>
      </c>
      <c r="R564" s="29">
        <f>IFERROR(VLOOKUP(L564,MgValor,2,0)*VLOOKUP(O564,MgDeg,2,0),0)</f>
        <v/>
      </c>
      <c r="S564" s="29">
        <f>IFERROR(VLOOKUP(M564,MgValor,2,0)*VLOOKUP(P564,MgDeg,2,0),0)</f>
        <v/>
      </c>
      <c r="T564" s="30">
        <f>MAX(Q564:S564)</f>
        <v/>
      </c>
      <c r="U564" s="28">
        <f>IFERROR(LOOKUP(T564,{0;0.5;1.5;3;4.5},{"Despreciable";"Bajo";"Medio";"Alto";"Muy alto"}),"")</f>
        <v/>
      </c>
      <c r="V564" s="13">
        <f>IFERROR(INDEX(MgAmenFrec,MATCH(SUBSTITUTE($H564,"*","-"),MgAmenClave,0)),"")</f>
        <v/>
      </c>
      <c r="W564" s="28">
        <f>IFERROR(LOOKUP(X564,{0;0.01;0.1;1;10;100},{"Muy baja";"Muy baja";"Baja";"Media";"Alta";"Muy alta"}),"")</f>
        <v/>
      </c>
      <c r="X564" s="31">
        <f>IFERROR(VLOOKUP(V564,MgFrec,2,0),0)</f>
        <v/>
      </c>
      <c r="Y564" s="30">
        <f>T564*X564</f>
        <v/>
      </c>
      <c r="Z564" s="28">
        <f>IFERROR(LOOKUP(Y564,{0;0.5;5;25},{"Bajo";"Medio";"Alto";"Crítico"}),"")</f>
        <v/>
      </c>
      <c r="AA564" s="64">
        <f>IF(T564&gt;=3,IF(X564&gt;=1,"Zona 1 — Crítica: impacto alto y ocurre al menos una vez al año","Zona 4 — Catastrófica poco probable: impacto alto pero excepcional"),IF(AND(T564&lt;1.5,X564&lt;1),"Zona 3 — Asumible: impacto bajo y muy poco frecuente","Zona 2 — Atención: riesgo intermedio"))</f>
        <v/>
      </c>
      <c r="AB564" s="64">
        <f>IFERROR(INDEX(MgAmenCtrl,MATCH(SUBSTITUTE($H564,"*","-"),MgAmenClave,0)),"")</f>
        <v/>
      </c>
      <c r="AC564" s="20" t="n"/>
      <c r="AD564" s="31">
        <f>IFERROR($X564*(1-IF($AC564="",$AL564,VLOOKUP($AC564,MgMad,2,0))),"")</f>
        <v/>
      </c>
      <c r="AE564" s="28">
        <f>IFERROR(LOOKUP(AD564,{0;0.01;0.1;1;10;100},{"Muy baja";"Muy baja";"Baja";"Media";"Alta";"Muy alta"}),"")</f>
        <v/>
      </c>
      <c r="AF564" s="30">
        <f>T564*AD564</f>
        <v/>
      </c>
      <c r="AG564" s="28">
        <f>IFERROR(LOOKUP(AF564,{0;0.5;5;25},{"Bajo";"Medio";"Alto";"Crítico"}),"")</f>
        <v/>
      </c>
      <c r="AH564" s="28">
        <f>IF(AG564="","",IF(OR(AG564="Crítico",AG564="Alto"),"Mitigar",IF(AG564="Medio","Mitigar","Aceptar y monitorear")))</f>
        <v/>
      </c>
      <c r="AI564" s="21" t="n"/>
      <c r="AJ564" s="21" t="n"/>
      <c r="AK564" s="20" t="n"/>
      <c r="AL564" s="77">
        <f>IFERROR(INDEX(MgAmenEfic,MATCH(SUBSTITUTE($H564,"*","-"),MgAmenClave,0)),0)</f>
        <v/>
      </c>
    </row>
    <row r="565" hidden="1" ht="75" customHeight="1" s="54">
      <c r="B565" s="59" t="inlineStr">
        <is>
          <t>R-0560</t>
        </is>
      </c>
      <c r="C565" s="59" t="inlineStr">
        <is>
          <t>LCO-08</t>
        </is>
      </c>
      <c r="D565" s="64">
        <f>IFERROR(INDEX(MgNombre,MATCH($C565,MgActId,0)),"")</f>
        <v/>
      </c>
      <c r="E565" s="64">
        <f>IFERROR(INDEX(MgProceso,MATCH($C565,MgActId,0)),"")</f>
        <v/>
      </c>
      <c r="F565" s="64">
        <f>IFERROR(INDEX(MgTipo,MATCH($C565,MgActId,0)),"")</f>
        <v/>
      </c>
      <c r="G565" s="64">
        <f>IFERROR(INDEX(MgSubtipo,MATCH($C565,MgActId,0)),"")</f>
        <v/>
      </c>
      <c r="H565" s="59" t="inlineStr">
        <is>
          <t>A.5</t>
        </is>
      </c>
      <c r="I565" s="64">
        <f>IFERROR(INDEX(MgAmenNombre,MATCH(SUBSTITUTE($H565,"*","-"),MgAmenClave,0)),"")</f>
        <v/>
      </c>
      <c r="J565" s="28">
        <f>IFERROR(INDEX(MgAmenGrupo,MATCH(SUBSTITUTE($H565,"*","-"),MgAmenClave,0)),"")</f>
        <v/>
      </c>
      <c r="K565" s="64">
        <f>IFERROR(INDEX('1. Matriz de Activos'!$Q$6:$Q$239,MATCH($C565,MgActId,0)),"")</f>
        <v/>
      </c>
      <c r="L565" s="64">
        <f>IFERROR(INDEX('1. Matriz de Activos'!$R$6:$R$239,MATCH($C565,MgActId,0)),"")</f>
        <v/>
      </c>
      <c r="M565" s="64">
        <f>IFERROR(INDEX('1. Matriz de Activos'!$S$6:$S$239,MATCH($C565,MgActId,0)),"")</f>
        <v/>
      </c>
      <c r="N565" s="28">
        <f>IFERROR(INDEX(MgAmenDegD,MATCH(SUBSTITUTE($H565,"*","-"),MgAmenClave,0)),"No aplica")</f>
        <v/>
      </c>
      <c r="O565" s="28">
        <f>IFERROR(INDEX(MgAmenDegI,MATCH(SUBSTITUTE($H565,"*","-"),MgAmenClave,0)),"No aplica")</f>
        <v/>
      </c>
      <c r="P565" s="28">
        <f>IFERROR(INDEX(MgAmenDegC,MATCH(SUBSTITUTE($H565,"*","-"),MgAmenClave,0)),"No aplica")</f>
        <v/>
      </c>
      <c r="Q565" s="29">
        <f>IFERROR(VLOOKUP(K565,MgValor,2,0)*VLOOKUP(N565,MgDeg,2,0),0)</f>
        <v/>
      </c>
      <c r="R565" s="29">
        <f>IFERROR(VLOOKUP(L565,MgValor,2,0)*VLOOKUP(O565,MgDeg,2,0),0)</f>
        <v/>
      </c>
      <c r="S565" s="29">
        <f>IFERROR(VLOOKUP(M565,MgValor,2,0)*VLOOKUP(P565,MgDeg,2,0),0)</f>
        <v/>
      </c>
      <c r="T565" s="30">
        <f>MAX(Q565:S565)</f>
        <v/>
      </c>
      <c r="U565" s="28">
        <f>IFERROR(LOOKUP(T565,{0;0.5;1.5;3;4.5},{"Despreciable";"Bajo";"Medio";"Alto";"Muy alto"}),"")</f>
        <v/>
      </c>
      <c r="V565" s="13">
        <f>IFERROR(INDEX(MgAmenFrec,MATCH(SUBSTITUTE($H565,"*","-"),MgAmenClave,0)),"")</f>
        <v/>
      </c>
      <c r="W565" s="28">
        <f>IFERROR(LOOKUP(X565,{0;0.01;0.1;1;10;100},{"Muy baja";"Muy baja";"Baja";"Media";"Alta";"Muy alta"}),"")</f>
        <v/>
      </c>
      <c r="X565" s="31">
        <f>IFERROR(VLOOKUP(V565,MgFrec,2,0),0)</f>
        <v/>
      </c>
      <c r="Y565" s="30">
        <f>T565*X565</f>
        <v/>
      </c>
      <c r="Z565" s="28">
        <f>IFERROR(LOOKUP(Y565,{0;0.5;5;25},{"Bajo";"Medio";"Alto";"Crítico"}),"")</f>
        <v/>
      </c>
      <c r="AA565" s="64">
        <f>IF(T565&gt;=3,IF(X565&gt;=1,"Zona 1 — Crítica: impacto alto y ocurre al menos una vez al año","Zona 4 — Catastrófica poco probable: impacto alto pero excepcional"),IF(AND(T565&lt;1.5,X565&lt;1),"Zona 3 — Asumible: impacto bajo y muy poco frecuente","Zona 2 — Atención: riesgo intermedio"))</f>
        <v/>
      </c>
      <c r="AB565" s="64">
        <f>IFERROR(INDEX(MgAmenCtrl,MATCH(SUBSTITUTE($H565,"*","-"),MgAmenClave,0)),"")</f>
        <v/>
      </c>
      <c r="AC565" s="20" t="n"/>
      <c r="AD565" s="31">
        <f>IFERROR($X565*(1-IF($AC565="",$AL565,VLOOKUP($AC565,MgMad,2,0))),"")</f>
        <v/>
      </c>
      <c r="AE565" s="28">
        <f>IFERROR(LOOKUP(AD565,{0;0.01;0.1;1;10;100},{"Muy baja";"Muy baja";"Baja";"Media";"Alta";"Muy alta"}),"")</f>
        <v/>
      </c>
      <c r="AF565" s="30">
        <f>T565*AD565</f>
        <v/>
      </c>
      <c r="AG565" s="28">
        <f>IFERROR(LOOKUP(AF565,{0;0.5;5;25},{"Bajo";"Medio";"Alto";"Crítico"}),"")</f>
        <v/>
      </c>
      <c r="AH565" s="28">
        <f>IF(AG565="","",IF(OR(AG565="Crítico",AG565="Alto"),"Mitigar",IF(AG565="Medio","Mitigar","Aceptar y monitorear")))</f>
        <v/>
      </c>
      <c r="AI565" s="21" t="n"/>
      <c r="AJ565" s="21" t="n"/>
      <c r="AK565" s="20" t="n"/>
      <c r="AL565" s="77">
        <f>IFERROR(INDEX(MgAmenEfic,MATCH(SUBSTITUTE($H565,"*","-"),MgAmenClave,0)),0)</f>
        <v/>
      </c>
    </row>
    <row r="566" hidden="1" ht="105" customHeight="1" s="54">
      <c r="B566" s="59" t="inlineStr">
        <is>
          <t>R-0561</t>
        </is>
      </c>
      <c r="C566" s="59" t="inlineStr">
        <is>
          <t>LCO-08</t>
        </is>
      </c>
      <c r="D566" s="64">
        <f>IFERROR(INDEX(MgNombre,MATCH($C566,MgActId,0)),"")</f>
        <v/>
      </c>
      <c r="E566" s="64">
        <f>IFERROR(INDEX(MgProceso,MATCH($C566,MgActId,0)),"")</f>
        <v/>
      </c>
      <c r="F566" s="64">
        <f>IFERROR(INDEX(MgTipo,MATCH($C566,MgActId,0)),"")</f>
        <v/>
      </c>
      <c r="G566" s="64">
        <f>IFERROR(INDEX(MgSubtipo,MATCH($C566,MgActId,0)),"")</f>
        <v/>
      </c>
      <c r="H566" s="59" t="inlineStr">
        <is>
          <t>A.6</t>
        </is>
      </c>
      <c r="I566" s="64">
        <f>IFERROR(INDEX(MgAmenNombre,MATCH(SUBSTITUTE($H566,"*","-"),MgAmenClave,0)),"")</f>
        <v/>
      </c>
      <c r="J566" s="28">
        <f>IFERROR(INDEX(MgAmenGrupo,MATCH(SUBSTITUTE($H566,"*","-"),MgAmenClave,0)),"")</f>
        <v/>
      </c>
      <c r="K566" s="64">
        <f>IFERROR(INDEX('1. Matriz de Activos'!$Q$6:$Q$239,MATCH($C566,MgActId,0)),"")</f>
        <v/>
      </c>
      <c r="L566" s="64">
        <f>IFERROR(INDEX('1. Matriz de Activos'!$R$6:$R$239,MATCH($C566,MgActId,0)),"")</f>
        <v/>
      </c>
      <c r="M566" s="64">
        <f>IFERROR(INDEX('1. Matriz de Activos'!$S$6:$S$239,MATCH($C566,MgActId,0)),"")</f>
        <v/>
      </c>
      <c r="N566" s="28">
        <f>IFERROR(INDEX(MgAmenDegD,MATCH(SUBSTITUTE($H566,"*","-"),MgAmenClave,0)),"No aplica")</f>
        <v/>
      </c>
      <c r="O566" s="28">
        <f>IFERROR(INDEX(MgAmenDegI,MATCH(SUBSTITUTE($H566,"*","-"),MgAmenClave,0)),"No aplica")</f>
        <v/>
      </c>
      <c r="P566" s="28">
        <f>IFERROR(INDEX(MgAmenDegC,MATCH(SUBSTITUTE($H566,"*","-"),MgAmenClave,0)),"No aplica")</f>
        <v/>
      </c>
      <c r="Q566" s="29">
        <f>IFERROR(VLOOKUP(K566,MgValor,2,0)*VLOOKUP(N566,MgDeg,2,0),0)</f>
        <v/>
      </c>
      <c r="R566" s="29">
        <f>IFERROR(VLOOKUP(L566,MgValor,2,0)*VLOOKUP(O566,MgDeg,2,0),0)</f>
        <v/>
      </c>
      <c r="S566" s="29">
        <f>IFERROR(VLOOKUP(M566,MgValor,2,0)*VLOOKUP(P566,MgDeg,2,0),0)</f>
        <v/>
      </c>
      <c r="T566" s="30">
        <f>MAX(Q566:S566)</f>
        <v/>
      </c>
      <c r="U566" s="28">
        <f>IFERROR(LOOKUP(T566,{0;0.5;1.5;3;4.5},{"Despreciable";"Bajo";"Medio";"Alto";"Muy alto"}),"")</f>
        <v/>
      </c>
      <c r="V566" s="13">
        <f>IFERROR(INDEX(MgAmenFrec,MATCH(SUBSTITUTE($H566,"*","-"),MgAmenClave,0)),"")</f>
        <v/>
      </c>
      <c r="W566" s="28">
        <f>IFERROR(LOOKUP(X566,{0;0.01;0.1;1;10;100},{"Muy baja";"Muy baja";"Baja";"Media";"Alta";"Muy alta"}),"")</f>
        <v/>
      </c>
      <c r="X566" s="31">
        <f>IFERROR(VLOOKUP(V566,MgFrec,2,0),0)</f>
        <v/>
      </c>
      <c r="Y566" s="30">
        <f>T566*X566</f>
        <v/>
      </c>
      <c r="Z566" s="28">
        <f>IFERROR(LOOKUP(Y566,{0;0.5;5;25},{"Bajo";"Medio";"Alto";"Crítico"}),"")</f>
        <v/>
      </c>
      <c r="AA566" s="64">
        <f>IF(T566&gt;=3,IF(X566&gt;=1,"Zona 1 — Crítica: impacto alto y ocurre al menos una vez al año","Zona 4 — Catastrófica poco probable: impacto alto pero excepcional"),IF(AND(T566&lt;1.5,X566&lt;1),"Zona 3 — Asumible: impacto bajo y muy poco frecuente","Zona 2 — Atención: riesgo intermedio"))</f>
        <v/>
      </c>
      <c r="AB566" s="64">
        <f>IFERROR(INDEX(MgAmenCtrl,MATCH(SUBSTITUTE($H566,"*","-"),MgAmenClave,0)),"")</f>
        <v/>
      </c>
      <c r="AC566" s="20" t="n"/>
      <c r="AD566" s="31">
        <f>IFERROR($X566*(1-IF($AC566="",$AL566,VLOOKUP($AC566,MgMad,2,0))),"")</f>
        <v/>
      </c>
      <c r="AE566" s="28">
        <f>IFERROR(LOOKUP(AD566,{0;0.01;0.1;1;10;100},{"Muy baja";"Muy baja";"Baja";"Media";"Alta";"Muy alta"}),"")</f>
        <v/>
      </c>
      <c r="AF566" s="30">
        <f>T566*AD566</f>
        <v/>
      </c>
      <c r="AG566" s="28">
        <f>IFERROR(LOOKUP(AF566,{0;0.5;5;25},{"Bajo";"Medio";"Alto";"Crítico"}),"")</f>
        <v/>
      </c>
      <c r="AH566" s="28">
        <f>IF(AG566="","",IF(OR(AG566="Crítico",AG566="Alto"),"Mitigar",IF(AG566="Medio","Mitigar","Aceptar y monitorear")))</f>
        <v/>
      </c>
      <c r="AI566" s="21" t="n"/>
      <c r="AJ566" s="21" t="n"/>
      <c r="AK566" s="20" t="n"/>
      <c r="AL566" s="77">
        <f>IFERROR(INDEX(MgAmenEfic,MATCH(SUBSTITUTE($H566,"*","-"),MgAmenClave,0)),0)</f>
        <v/>
      </c>
    </row>
    <row r="567" hidden="1" ht="120" customHeight="1" s="54">
      <c r="B567" s="59" t="inlineStr">
        <is>
          <t>R-0562</t>
        </is>
      </c>
      <c r="C567" s="59" t="inlineStr">
        <is>
          <t>LCO-08</t>
        </is>
      </c>
      <c r="D567" s="64">
        <f>IFERROR(INDEX(MgNombre,MATCH($C567,MgActId,0)),"")</f>
        <v/>
      </c>
      <c r="E567" s="64">
        <f>IFERROR(INDEX(MgProceso,MATCH($C567,MgActId,0)),"")</f>
        <v/>
      </c>
      <c r="F567" s="64">
        <f>IFERROR(INDEX(MgTipo,MATCH($C567,MgActId,0)),"")</f>
        <v/>
      </c>
      <c r="G567" s="64">
        <f>IFERROR(INDEX(MgSubtipo,MATCH($C567,MgActId,0)),"")</f>
        <v/>
      </c>
      <c r="H567" s="59" t="inlineStr">
        <is>
          <t>A.11</t>
        </is>
      </c>
      <c r="I567" s="64">
        <f>IFERROR(INDEX(MgAmenNombre,MATCH(SUBSTITUTE($H567,"*","-"),MgAmenClave,0)),"")</f>
        <v/>
      </c>
      <c r="J567" s="28">
        <f>IFERROR(INDEX(MgAmenGrupo,MATCH(SUBSTITUTE($H567,"*","-"),MgAmenClave,0)),"")</f>
        <v/>
      </c>
      <c r="K567" s="64">
        <f>IFERROR(INDEX('1. Matriz de Activos'!$Q$6:$Q$239,MATCH($C567,MgActId,0)),"")</f>
        <v/>
      </c>
      <c r="L567" s="64">
        <f>IFERROR(INDEX('1. Matriz de Activos'!$R$6:$R$239,MATCH($C567,MgActId,0)),"")</f>
        <v/>
      </c>
      <c r="M567" s="64">
        <f>IFERROR(INDEX('1. Matriz de Activos'!$S$6:$S$239,MATCH($C567,MgActId,0)),"")</f>
        <v/>
      </c>
      <c r="N567" s="28">
        <f>IFERROR(INDEX(MgAmenDegD,MATCH(SUBSTITUTE($H567,"*","-"),MgAmenClave,0)),"No aplica")</f>
        <v/>
      </c>
      <c r="O567" s="28">
        <f>IFERROR(INDEX(MgAmenDegI,MATCH(SUBSTITUTE($H567,"*","-"),MgAmenClave,0)),"No aplica")</f>
        <v/>
      </c>
      <c r="P567" s="28">
        <f>IFERROR(INDEX(MgAmenDegC,MATCH(SUBSTITUTE($H567,"*","-"),MgAmenClave,0)),"No aplica")</f>
        <v/>
      </c>
      <c r="Q567" s="29">
        <f>IFERROR(VLOOKUP(K567,MgValor,2,0)*VLOOKUP(N567,MgDeg,2,0),0)</f>
        <v/>
      </c>
      <c r="R567" s="29">
        <f>IFERROR(VLOOKUP(L567,MgValor,2,0)*VLOOKUP(O567,MgDeg,2,0),0)</f>
        <v/>
      </c>
      <c r="S567" s="29">
        <f>IFERROR(VLOOKUP(M567,MgValor,2,0)*VLOOKUP(P567,MgDeg,2,0),0)</f>
        <v/>
      </c>
      <c r="T567" s="30">
        <f>MAX(Q567:S567)</f>
        <v/>
      </c>
      <c r="U567" s="28">
        <f>IFERROR(LOOKUP(T567,{0;0.5;1.5;3;4.5},{"Despreciable";"Bajo";"Medio";"Alto";"Muy alto"}),"")</f>
        <v/>
      </c>
      <c r="V567" s="13">
        <f>IFERROR(INDEX(MgAmenFrec,MATCH(SUBSTITUTE($H567,"*","-"),MgAmenClave,0)),"")</f>
        <v/>
      </c>
      <c r="W567" s="28">
        <f>IFERROR(LOOKUP(X567,{0;0.01;0.1;1;10;100},{"Muy baja";"Muy baja";"Baja";"Media";"Alta";"Muy alta"}),"")</f>
        <v/>
      </c>
      <c r="X567" s="31">
        <f>IFERROR(VLOOKUP(V567,MgFrec,2,0),0)</f>
        <v/>
      </c>
      <c r="Y567" s="30">
        <f>T567*X567</f>
        <v/>
      </c>
      <c r="Z567" s="28">
        <f>IFERROR(LOOKUP(Y567,{0;0.5;5;25},{"Bajo";"Medio";"Alto";"Crítico"}),"")</f>
        <v/>
      </c>
      <c r="AA567" s="64">
        <f>IF(T567&gt;=3,IF(X567&gt;=1,"Zona 1 — Crítica: impacto alto y ocurre al menos una vez al año","Zona 4 — Catastrófica poco probable: impacto alto pero excepcional"),IF(AND(T567&lt;1.5,X567&lt;1),"Zona 3 — Asumible: impacto bajo y muy poco frecuente","Zona 2 — Atención: riesgo intermedio"))</f>
        <v/>
      </c>
      <c r="AB567" s="64">
        <f>IFERROR(INDEX(MgAmenCtrl,MATCH(SUBSTITUTE($H567,"*","-"),MgAmenClave,0)),"")</f>
        <v/>
      </c>
      <c r="AC567" s="20" t="n"/>
      <c r="AD567" s="31">
        <f>IFERROR($X567*(1-IF($AC567="",$AL567,VLOOKUP($AC567,MgMad,2,0))),"")</f>
        <v/>
      </c>
      <c r="AE567" s="28">
        <f>IFERROR(LOOKUP(AD567,{0;0.01;0.1;1;10;100},{"Muy baja";"Muy baja";"Baja";"Media";"Alta";"Muy alta"}),"")</f>
        <v/>
      </c>
      <c r="AF567" s="30">
        <f>T567*AD567</f>
        <v/>
      </c>
      <c r="AG567" s="28">
        <f>IFERROR(LOOKUP(AF567,{0;0.5;5;25},{"Bajo";"Medio";"Alto";"Crítico"}),"")</f>
        <v/>
      </c>
      <c r="AH567" s="28">
        <f>IF(AG567="","",IF(OR(AG567="Crítico",AG567="Alto"),"Mitigar",IF(AG567="Medio","Mitigar","Aceptar y monitorear")))</f>
        <v/>
      </c>
      <c r="AI567" s="21" t="n"/>
      <c r="AJ567" s="21" t="n"/>
      <c r="AK567" s="20" t="n"/>
      <c r="AL567" s="77">
        <f>IFERROR(INDEX(MgAmenEfic,MATCH(SUBSTITUTE($H567,"*","-"),MgAmenClave,0)),0)</f>
        <v/>
      </c>
    </row>
    <row r="568" hidden="1" ht="90" customHeight="1" s="54">
      <c r="B568" s="59" t="inlineStr">
        <is>
          <t>R-0563</t>
        </is>
      </c>
      <c r="C568" s="59" t="inlineStr">
        <is>
          <t>LCO-08</t>
        </is>
      </c>
      <c r="D568" s="64">
        <f>IFERROR(INDEX(MgNombre,MATCH($C568,MgActId,0)),"")</f>
        <v/>
      </c>
      <c r="E568" s="64">
        <f>IFERROR(INDEX(MgProceso,MATCH($C568,MgActId,0)),"")</f>
        <v/>
      </c>
      <c r="F568" s="64">
        <f>IFERROR(INDEX(MgTipo,MATCH($C568,MgActId,0)),"")</f>
        <v/>
      </c>
      <c r="G568" s="64">
        <f>IFERROR(INDEX(MgSubtipo,MATCH($C568,MgActId,0)),"")</f>
        <v/>
      </c>
      <c r="H568" s="59" t="inlineStr">
        <is>
          <t>A.13</t>
        </is>
      </c>
      <c r="I568" s="64">
        <f>IFERROR(INDEX(MgAmenNombre,MATCH(SUBSTITUTE($H568,"*","-"),MgAmenClave,0)),"")</f>
        <v/>
      </c>
      <c r="J568" s="28">
        <f>IFERROR(INDEX(MgAmenGrupo,MATCH(SUBSTITUTE($H568,"*","-"),MgAmenClave,0)),"")</f>
        <v/>
      </c>
      <c r="K568" s="64">
        <f>IFERROR(INDEX('1. Matriz de Activos'!$Q$6:$Q$239,MATCH($C568,MgActId,0)),"")</f>
        <v/>
      </c>
      <c r="L568" s="64">
        <f>IFERROR(INDEX('1. Matriz de Activos'!$R$6:$R$239,MATCH($C568,MgActId,0)),"")</f>
        <v/>
      </c>
      <c r="M568" s="64">
        <f>IFERROR(INDEX('1. Matriz de Activos'!$S$6:$S$239,MATCH($C568,MgActId,0)),"")</f>
        <v/>
      </c>
      <c r="N568" s="28">
        <f>IFERROR(INDEX(MgAmenDegD,MATCH(SUBSTITUTE($H568,"*","-"),MgAmenClave,0)),"No aplica")</f>
        <v/>
      </c>
      <c r="O568" s="28">
        <f>IFERROR(INDEX(MgAmenDegI,MATCH(SUBSTITUTE($H568,"*","-"),MgAmenClave,0)),"No aplica")</f>
        <v/>
      </c>
      <c r="P568" s="28">
        <f>IFERROR(INDEX(MgAmenDegC,MATCH(SUBSTITUTE($H568,"*","-"),MgAmenClave,0)),"No aplica")</f>
        <v/>
      </c>
      <c r="Q568" s="29">
        <f>IFERROR(VLOOKUP(K568,MgValor,2,0)*VLOOKUP(N568,MgDeg,2,0),0)</f>
        <v/>
      </c>
      <c r="R568" s="29">
        <f>IFERROR(VLOOKUP(L568,MgValor,2,0)*VLOOKUP(O568,MgDeg,2,0),0)</f>
        <v/>
      </c>
      <c r="S568" s="29">
        <f>IFERROR(VLOOKUP(M568,MgValor,2,0)*VLOOKUP(P568,MgDeg,2,0),0)</f>
        <v/>
      </c>
      <c r="T568" s="30">
        <f>MAX(Q568:S568)</f>
        <v/>
      </c>
      <c r="U568" s="28">
        <f>IFERROR(LOOKUP(T568,{0;0.5;1.5;3;4.5},{"Despreciable";"Bajo";"Medio";"Alto";"Muy alto"}),"")</f>
        <v/>
      </c>
      <c r="V568" s="13">
        <f>IFERROR(INDEX(MgAmenFrec,MATCH(SUBSTITUTE($H568,"*","-"),MgAmenClave,0)),"")</f>
        <v/>
      </c>
      <c r="W568" s="28">
        <f>IFERROR(LOOKUP(X568,{0;0.01;0.1;1;10;100},{"Muy baja";"Muy baja";"Baja";"Media";"Alta";"Muy alta"}),"")</f>
        <v/>
      </c>
      <c r="X568" s="31">
        <f>IFERROR(VLOOKUP(V568,MgFrec,2,0),0)</f>
        <v/>
      </c>
      <c r="Y568" s="30">
        <f>T568*X568</f>
        <v/>
      </c>
      <c r="Z568" s="28">
        <f>IFERROR(LOOKUP(Y568,{0;0.5;5;25},{"Bajo";"Medio";"Alto";"Crítico"}),"")</f>
        <v/>
      </c>
      <c r="AA568" s="64">
        <f>IF(T568&gt;=3,IF(X568&gt;=1,"Zona 1 — Crítica: impacto alto y ocurre al menos una vez al año","Zona 4 — Catastrófica poco probable: impacto alto pero excepcional"),IF(AND(T568&lt;1.5,X568&lt;1),"Zona 3 — Asumible: impacto bajo y muy poco frecuente","Zona 2 — Atención: riesgo intermedio"))</f>
        <v/>
      </c>
      <c r="AB568" s="64">
        <f>IFERROR(INDEX(MgAmenCtrl,MATCH(SUBSTITUTE($H568,"*","-"),MgAmenClave,0)),"")</f>
        <v/>
      </c>
      <c r="AC568" s="20" t="n"/>
      <c r="AD568" s="31">
        <f>IFERROR($X568*(1-IF($AC568="",$AL568,VLOOKUP($AC568,MgMad,2,0))),"")</f>
        <v/>
      </c>
      <c r="AE568" s="28">
        <f>IFERROR(LOOKUP(AD568,{0;0.01;0.1;1;10;100},{"Muy baja";"Muy baja";"Baja";"Media";"Alta";"Muy alta"}),"")</f>
        <v/>
      </c>
      <c r="AF568" s="30">
        <f>T568*AD568</f>
        <v/>
      </c>
      <c r="AG568" s="28">
        <f>IFERROR(LOOKUP(AF568,{0;0.5;5;25},{"Bajo";"Medio";"Alto";"Crítico"}),"")</f>
        <v/>
      </c>
      <c r="AH568" s="28">
        <f>IF(AG568="","",IF(OR(AG568="Crítico",AG568="Alto"),"Mitigar",IF(AG568="Medio","Mitigar","Aceptar y monitorear")))</f>
        <v/>
      </c>
      <c r="AI568" s="21" t="n"/>
      <c r="AJ568" s="21" t="n"/>
      <c r="AK568" s="20" t="n"/>
      <c r="AL568" s="77">
        <f>IFERROR(INDEX(MgAmenEfic,MATCH(SUBSTITUTE($H568,"*","-"),MgAmenClave,0)),0)</f>
        <v/>
      </c>
    </row>
    <row r="569" hidden="1" ht="60" customHeight="1" s="54">
      <c r="B569" s="59" t="inlineStr">
        <is>
          <t>R-0564</t>
        </is>
      </c>
      <c r="C569" s="59" t="inlineStr">
        <is>
          <t>LCO-08</t>
        </is>
      </c>
      <c r="D569" s="64">
        <f>IFERROR(INDEX(MgNombre,MATCH($C569,MgActId,0)),"")</f>
        <v/>
      </c>
      <c r="E569" s="64">
        <f>IFERROR(INDEX(MgProceso,MATCH($C569,MgActId,0)),"")</f>
        <v/>
      </c>
      <c r="F569" s="64">
        <f>IFERROR(INDEX(MgTipo,MATCH($C569,MgActId,0)),"")</f>
        <v/>
      </c>
      <c r="G569" s="64">
        <f>IFERROR(INDEX(MgSubtipo,MATCH($C569,MgActId,0)),"")</f>
        <v/>
      </c>
      <c r="H569" s="59" t="inlineStr">
        <is>
          <t>A.15</t>
        </is>
      </c>
      <c r="I569" s="64">
        <f>IFERROR(INDEX(MgAmenNombre,MATCH(SUBSTITUTE($H569,"*","-"),MgAmenClave,0)),"")</f>
        <v/>
      </c>
      <c r="J569" s="28">
        <f>IFERROR(INDEX(MgAmenGrupo,MATCH(SUBSTITUTE($H569,"*","-"),MgAmenClave,0)),"")</f>
        <v/>
      </c>
      <c r="K569" s="64">
        <f>IFERROR(INDEX('1. Matriz de Activos'!$Q$6:$Q$239,MATCH($C569,MgActId,0)),"")</f>
        <v/>
      </c>
      <c r="L569" s="64">
        <f>IFERROR(INDEX('1. Matriz de Activos'!$R$6:$R$239,MATCH($C569,MgActId,0)),"")</f>
        <v/>
      </c>
      <c r="M569" s="64">
        <f>IFERROR(INDEX('1. Matriz de Activos'!$S$6:$S$239,MATCH($C569,MgActId,0)),"")</f>
        <v/>
      </c>
      <c r="N569" s="28">
        <f>IFERROR(INDEX(MgAmenDegD,MATCH(SUBSTITUTE($H569,"*","-"),MgAmenClave,0)),"No aplica")</f>
        <v/>
      </c>
      <c r="O569" s="28">
        <f>IFERROR(INDEX(MgAmenDegI,MATCH(SUBSTITUTE($H569,"*","-"),MgAmenClave,0)),"No aplica")</f>
        <v/>
      </c>
      <c r="P569" s="28">
        <f>IFERROR(INDEX(MgAmenDegC,MATCH(SUBSTITUTE($H569,"*","-"),MgAmenClave,0)),"No aplica")</f>
        <v/>
      </c>
      <c r="Q569" s="29">
        <f>IFERROR(VLOOKUP(K569,MgValor,2,0)*VLOOKUP(N569,MgDeg,2,0),0)</f>
        <v/>
      </c>
      <c r="R569" s="29">
        <f>IFERROR(VLOOKUP(L569,MgValor,2,0)*VLOOKUP(O569,MgDeg,2,0),0)</f>
        <v/>
      </c>
      <c r="S569" s="29">
        <f>IFERROR(VLOOKUP(M569,MgValor,2,0)*VLOOKUP(P569,MgDeg,2,0),0)</f>
        <v/>
      </c>
      <c r="T569" s="30">
        <f>MAX(Q569:S569)</f>
        <v/>
      </c>
      <c r="U569" s="28">
        <f>IFERROR(LOOKUP(T569,{0;0.5;1.5;3;4.5},{"Despreciable";"Bajo";"Medio";"Alto";"Muy alto"}),"")</f>
        <v/>
      </c>
      <c r="V569" s="13">
        <f>IFERROR(INDEX(MgAmenFrec,MATCH(SUBSTITUTE($H569,"*","-"),MgAmenClave,0)),"")</f>
        <v/>
      </c>
      <c r="W569" s="28">
        <f>IFERROR(LOOKUP(X569,{0;0.01;0.1;1;10;100},{"Muy baja";"Muy baja";"Baja";"Media";"Alta";"Muy alta"}),"")</f>
        <v/>
      </c>
      <c r="X569" s="31">
        <f>IFERROR(VLOOKUP(V569,MgFrec,2,0),0)</f>
        <v/>
      </c>
      <c r="Y569" s="30">
        <f>T569*X569</f>
        <v/>
      </c>
      <c r="Z569" s="28">
        <f>IFERROR(LOOKUP(Y569,{0;0.5;5;25},{"Bajo";"Medio";"Alto";"Crítico"}),"")</f>
        <v/>
      </c>
      <c r="AA569" s="64">
        <f>IF(T569&gt;=3,IF(X569&gt;=1,"Zona 1 — Crítica: impacto alto y ocurre al menos una vez al año","Zona 4 — Catastrófica poco probable: impacto alto pero excepcional"),IF(AND(T569&lt;1.5,X569&lt;1),"Zona 3 — Asumible: impacto bajo y muy poco frecuente","Zona 2 — Atención: riesgo intermedio"))</f>
        <v/>
      </c>
      <c r="AB569" s="64">
        <f>IFERROR(INDEX(MgAmenCtrl,MATCH(SUBSTITUTE($H569,"*","-"),MgAmenClave,0)),"")</f>
        <v/>
      </c>
      <c r="AC569" s="20" t="n"/>
      <c r="AD569" s="31">
        <f>IFERROR($X569*(1-IF($AC569="",$AL569,VLOOKUP($AC569,MgMad,2,0))),"")</f>
        <v/>
      </c>
      <c r="AE569" s="28">
        <f>IFERROR(LOOKUP(AD569,{0;0.01;0.1;1;10;100},{"Muy baja";"Muy baja";"Baja";"Media";"Alta";"Muy alta"}),"")</f>
        <v/>
      </c>
      <c r="AF569" s="30">
        <f>T569*AD569</f>
        <v/>
      </c>
      <c r="AG569" s="28">
        <f>IFERROR(LOOKUP(AF569,{0;0.5;5;25},{"Bajo";"Medio";"Alto";"Crítico"}),"")</f>
        <v/>
      </c>
      <c r="AH569" s="28">
        <f>IF(AG569="","",IF(OR(AG569="Crítico",AG569="Alto"),"Mitigar",IF(AG569="Medio","Mitigar","Aceptar y monitorear")))</f>
        <v/>
      </c>
      <c r="AI569" s="21" t="n"/>
      <c r="AJ569" s="21" t="n"/>
      <c r="AK569" s="20" t="n"/>
      <c r="AL569" s="77">
        <f>IFERROR(INDEX(MgAmenEfic,MATCH(SUBSTITUTE($H569,"*","-"),MgAmenClave,0)),0)</f>
        <v/>
      </c>
    </row>
    <row r="570" hidden="1" ht="60" customHeight="1" s="54">
      <c r="B570" s="59" t="inlineStr">
        <is>
          <t>R-0565</t>
        </is>
      </c>
      <c r="C570" s="59" t="inlineStr">
        <is>
          <t>LCO-08</t>
        </is>
      </c>
      <c r="D570" s="64">
        <f>IFERROR(INDEX(MgNombre,MATCH($C570,MgActId,0)),"")</f>
        <v/>
      </c>
      <c r="E570" s="64">
        <f>IFERROR(INDEX(MgProceso,MATCH($C570,MgActId,0)),"")</f>
        <v/>
      </c>
      <c r="F570" s="64">
        <f>IFERROR(INDEX(MgTipo,MATCH($C570,MgActId,0)),"")</f>
        <v/>
      </c>
      <c r="G570" s="64">
        <f>IFERROR(INDEX(MgSubtipo,MATCH($C570,MgActId,0)),"")</f>
        <v/>
      </c>
      <c r="H570" s="59" t="inlineStr">
        <is>
          <t>A.18</t>
        </is>
      </c>
      <c r="I570" s="64">
        <f>IFERROR(INDEX(MgAmenNombre,MATCH(SUBSTITUTE($H570,"*","-"),MgAmenClave,0)),"")</f>
        <v/>
      </c>
      <c r="J570" s="28">
        <f>IFERROR(INDEX(MgAmenGrupo,MATCH(SUBSTITUTE($H570,"*","-"),MgAmenClave,0)),"")</f>
        <v/>
      </c>
      <c r="K570" s="64">
        <f>IFERROR(INDEX('1. Matriz de Activos'!$Q$6:$Q$239,MATCH($C570,MgActId,0)),"")</f>
        <v/>
      </c>
      <c r="L570" s="64">
        <f>IFERROR(INDEX('1. Matriz de Activos'!$R$6:$R$239,MATCH($C570,MgActId,0)),"")</f>
        <v/>
      </c>
      <c r="M570" s="64">
        <f>IFERROR(INDEX('1. Matriz de Activos'!$S$6:$S$239,MATCH($C570,MgActId,0)),"")</f>
        <v/>
      </c>
      <c r="N570" s="28">
        <f>IFERROR(INDEX(MgAmenDegD,MATCH(SUBSTITUTE($H570,"*","-"),MgAmenClave,0)),"No aplica")</f>
        <v/>
      </c>
      <c r="O570" s="28">
        <f>IFERROR(INDEX(MgAmenDegI,MATCH(SUBSTITUTE($H570,"*","-"),MgAmenClave,0)),"No aplica")</f>
        <v/>
      </c>
      <c r="P570" s="28">
        <f>IFERROR(INDEX(MgAmenDegC,MATCH(SUBSTITUTE($H570,"*","-"),MgAmenClave,0)),"No aplica")</f>
        <v/>
      </c>
      <c r="Q570" s="29">
        <f>IFERROR(VLOOKUP(K570,MgValor,2,0)*VLOOKUP(N570,MgDeg,2,0),0)</f>
        <v/>
      </c>
      <c r="R570" s="29">
        <f>IFERROR(VLOOKUP(L570,MgValor,2,0)*VLOOKUP(O570,MgDeg,2,0),0)</f>
        <v/>
      </c>
      <c r="S570" s="29">
        <f>IFERROR(VLOOKUP(M570,MgValor,2,0)*VLOOKUP(P570,MgDeg,2,0),0)</f>
        <v/>
      </c>
      <c r="T570" s="30">
        <f>MAX(Q570:S570)</f>
        <v/>
      </c>
      <c r="U570" s="28">
        <f>IFERROR(LOOKUP(T570,{0;0.5;1.5;3;4.5},{"Despreciable";"Bajo";"Medio";"Alto";"Muy alto"}),"")</f>
        <v/>
      </c>
      <c r="V570" s="13">
        <f>IFERROR(INDEX(MgAmenFrec,MATCH(SUBSTITUTE($H570,"*","-"),MgAmenClave,0)),"")</f>
        <v/>
      </c>
      <c r="W570" s="28">
        <f>IFERROR(LOOKUP(X570,{0;0.01;0.1;1;10;100},{"Muy baja";"Muy baja";"Baja";"Media";"Alta";"Muy alta"}),"")</f>
        <v/>
      </c>
      <c r="X570" s="31">
        <f>IFERROR(VLOOKUP(V570,MgFrec,2,0),0)</f>
        <v/>
      </c>
      <c r="Y570" s="30">
        <f>T570*X570</f>
        <v/>
      </c>
      <c r="Z570" s="28">
        <f>IFERROR(LOOKUP(Y570,{0;0.5;5;25},{"Bajo";"Medio";"Alto";"Crítico"}),"")</f>
        <v/>
      </c>
      <c r="AA570" s="64">
        <f>IF(T570&gt;=3,IF(X570&gt;=1,"Zona 1 — Crítica: impacto alto y ocurre al menos una vez al año","Zona 4 — Catastrófica poco probable: impacto alto pero excepcional"),IF(AND(T570&lt;1.5,X570&lt;1),"Zona 3 — Asumible: impacto bajo y muy poco frecuente","Zona 2 — Atención: riesgo intermedio"))</f>
        <v/>
      </c>
      <c r="AB570" s="64">
        <f>IFERROR(INDEX(MgAmenCtrl,MATCH(SUBSTITUTE($H570,"*","-"),MgAmenClave,0)),"")</f>
        <v/>
      </c>
      <c r="AC570" s="20" t="n"/>
      <c r="AD570" s="31">
        <f>IFERROR($X570*(1-IF($AC570="",$AL570,VLOOKUP($AC570,MgMad,2,0))),"")</f>
        <v/>
      </c>
      <c r="AE570" s="28">
        <f>IFERROR(LOOKUP(AD570,{0;0.01;0.1;1;10;100},{"Muy baja";"Muy baja";"Baja";"Media";"Alta";"Muy alta"}),"")</f>
        <v/>
      </c>
      <c r="AF570" s="30">
        <f>T570*AD570</f>
        <v/>
      </c>
      <c r="AG570" s="28">
        <f>IFERROR(LOOKUP(AF570,{0;0.5;5;25},{"Bajo";"Medio";"Alto";"Crítico"}),"")</f>
        <v/>
      </c>
      <c r="AH570" s="28">
        <f>IF(AG570="","",IF(OR(AG570="Crítico",AG570="Alto"),"Mitigar",IF(AG570="Medio","Mitigar","Aceptar y monitorear")))</f>
        <v/>
      </c>
      <c r="AI570" s="21" t="n"/>
      <c r="AJ570" s="21" t="n"/>
      <c r="AK570" s="20" t="n"/>
      <c r="AL570" s="77">
        <f>IFERROR(INDEX(MgAmenEfic,MATCH(SUBSTITUTE($H570,"*","-"),MgAmenClave,0)),0)</f>
        <v/>
      </c>
    </row>
    <row r="571" hidden="1" ht="120" customHeight="1" s="54">
      <c r="B571" s="59" t="inlineStr">
        <is>
          <t>R-0566</t>
        </is>
      </c>
      <c r="C571" s="59" t="inlineStr">
        <is>
          <t>LCO-08</t>
        </is>
      </c>
      <c r="D571" s="64">
        <f>IFERROR(INDEX(MgNombre,MATCH($C571,MgActId,0)),"")</f>
        <v/>
      </c>
      <c r="E571" s="64">
        <f>IFERROR(INDEX(MgProceso,MATCH($C571,MgActId,0)),"")</f>
        <v/>
      </c>
      <c r="F571" s="64">
        <f>IFERROR(INDEX(MgTipo,MATCH($C571,MgActId,0)),"")</f>
        <v/>
      </c>
      <c r="G571" s="64">
        <f>IFERROR(INDEX(MgSubtipo,MATCH($C571,MgActId,0)),"")</f>
        <v/>
      </c>
      <c r="H571" s="59" t="inlineStr">
        <is>
          <t>A.19</t>
        </is>
      </c>
      <c r="I571" s="64">
        <f>IFERROR(INDEX(MgAmenNombre,MATCH(SUBSTITUTE($H571,"*","-"),MgAmenClave,0)),"")</f>
        <v/>
      </c>
      <c r="J571" s="28">
        <f>IFERROR(INDEX(MgAmenGrupo,MATCH(SUBSTITUTE($H571,"*","-"),MgAmenClave,0)),"")</f>
        <v/>
      </c>
      <c r="K571" s="64">
        <f>IFERROR(INDEX('1. Matriz de Activos'!$Q$6:$Q$239,MATCH($C571,MgActId,0)),"")</f>
        <v/>
      </c>
      <c r="L571" s="64">
        <f>IFERROR(INDEX('1. Matriz de Activos'!$R$6:$R$239,MATCH($C571,MgActId,0)),"")</f>
        <v/>
      </c>
      <c r="M571" s="64">
        <f>IFERROR(INDEX('1. Matriz de Activos'!$S$6:$S$239,MATCH($C571,MgActId,0)),"")</f>
        <v/>
      </c>
      <c r="N571" s="28">
        <f>IFERROR(INDEX(MgAmenDegD,MATCH(SUBSTITUTE($H571,"*","-"),MgAmenClave,0)),"No aplica")</f>
        <v/>
      </c>
      <c r="O571" s="28">
        <f>IFERROR(INDEX(MgAmenDegI,MATCH(SUBSTITUTE($H571,"*","-"),MgAmenClave,0)),"No aplica")</f>
        <v/>
      </c>
      <c r="P571" s="28">
        <f>IFERROR(INDEX(MgAmenDegC,MATCH(SUBSTITUTE($H571,"*","-"),MgAmenClave,0)),"No aplica")</f>
        <v/>
      </c>
      <c r="Q571" s="29">
        <f>IFERROR(VLOOKUP(K571,MgValor,2,0)*VLOOKUP(N571,MgDeg,2,0),0)</f>
        <v/>
      </c>
      <c r="R571" s="29">
        <f>IFERROR(VLOOKUP(L571,MgValor,2,0)*VLOOKUP(O571,MgDeg,2,0),0)</f>
        <v/>
      </c>
      <c r="S571" s="29">
        <f>IFERROR(VLOOKUP(M571,MgValor,2,0)*VLOOKUP(P571,MgDeg,2,0),0)</f>
        <v/>
      </c>
      <c r="T571" s="30">
        <f>MAX(Q571:S571)</f>
        <v/>
      </c>
      <c r="U571" s="28">
        <f>IFERROR(LOOKUP(T571,{0;0.5;1.5;3;4.5},{"Despreciable";"Bajo";"Medio";"Alto";"Muy alto"}),"")</f>
        <v/>
      </c>
      <c r="V571" s="13">
        <f>IFERROR(INDEX(MgAmenFrec,MATCH(SUBSTITUTE($H571,"*","-"),MgAmenClave,0)),"")</f>
        <v/>
      </c>
      <c r="W571" s="28">
        <f>IFERROR(LOOKUP(X571,{0;0.01;0.1;1;10;100},{"Muy baja";"Muy baja";"Baja";"Media";"Alta";"Muy alta"}),"")</f>
        <v/>
      </c>
      <c r="X571" s="31">
        <f>IFERROR(VLOOKUP(V571,MgFrec,2,0),0)</f>
        <v/>
      </c>
      <c r="Y571" s="30">
        <f>T571*X571</f>
        <v/>
      </c>
      <c r="Z571" s="28">
        <f>IFERROR(LOOKUP(Y571,{0;0.5;5;25},{"Bajo";"Medio";"Alto";"Crítico"}),"")</f>
        <v/>
      </c>
      <c r="AA571" s="64">
        <f>IF(T571&gt;=3,IF(X571&gt;=1,"Zona 1 — Crítica: impacto alto y ocurre al menos una vez al año","Zona 4 — Catastrófica poco probable: impacto alto pero excepcional"),IF(AND(T571&lt;1.5,X571&lt;1),"Zona 3 — Asumible: impacto bajo y muy poco frecuente","Zona 2 — Atención: riesgo intermedio"))</f>
        <v/>
      </c>
      <c r="AB571" s="64">
        <f>IFERROR(INDEX(MgAmenCtrl,MATCH(SUBSTITUTE($H571,"*","-"),MgAmenClave,0)),"")</f>
        <v/>
      </c>
      <c r="AC571" s="20" t="n"/>
      <c r="AD571" s="31">
        <f>IFERROR($X571*(1-IF($AC571="",$AL571,VLOOKUP($AC571,MgMad,2,0))),"")</f>
        <v/>
      </c>
      <c r="AE571" s="28">
        <f>IFERROR(LOOKUP(AD571,{0;0.01;0.1;1;10;100},{"Muy baja";"Muy baja";"Baja";"Media";"Alta";"Muy alta"}),"")</f>
        <v/>
      </c>
      <c r="AF571" s="30">
        <f>T571*AD571</f>
        <v/>
      </c>
      <c r="AG571" s="28">
        <f>IFERROR(LOOKUP(AF571,{0;0.5;5;25},{"Bajo";"Medio";"Alto";"Crítico"}),"")</f>
        <v/>
      </c>
      <c r="AH571" s="28">
        <f>IF(AG571="","",IF(OR(AG571="Crítico",AG571="Alto"),"Mitigar",IF(AG571="Medio","Mitigar","Aceptar y monitorear")))</f>
        <v/>
      </c>
      <c r="AI571" s="21" t="n"/>
      <c r="AJ571" s="21" t="n"/>
      <c r="AK571" s="20" t="n"/>
      <c r="AL571" s="77">
        <f>IFERROR(INDEX(MgAmenEfic,MATCH(SUBSTITUTE($H571,"*","-"),MgAmenClave,0)),0)</f>
        <v/>
      </c>
    </row>
    <row r="572" hidden="1" ht="105" customHeight="1" s="54">
      <c r="B572" s="59" t="inlineStr">
        <is>
          <t>R-0567</t>
        </is>
      </c>
      <c r="C572" s="59" t="inlineStr">
        <is>
          <t>COM-18</t>
        </is>
      </c>
      <c r="D572" s="64">
        <f>IFERROR(INDEX(MgNombre,MATCH($C572,MgActId,0)),"")</f>
        <v/>
      </c>
      <c r="E572" s="64">
        <f>IFERROR(INDEX(MgProceso,MATCH($C572,MgActId,0)),"")</f>
        <v/>
      </c>
      <c r="F572" s="64">
        <f>IFERROR(INDEX(MgTipo,MATCH($C572,MgActId,0)),"")</f>
        <v/>
      </c>
      <c r="G572" s="64">
        <f>IFERROR(INDEX(MgSubtipo,MATCH($C572,MgActId,0)),"")</f>
        <v/>
      </c>
      <c r="H572" s="59" t="inlineStr">
        <is>
          <t>E.1</t>
        </is>
      </c>
      <c r="I572" s="64">
        <f>IFERROR(INDEX(MgAmenNombre,MATCH(SUBSTITUTE($H572,"*","-"),MgAmenClave,0)),"")</f>
        <v/>
      </c>
      <c r="J572" s="28">
        <f>IFERROR(INDEX(MgAmenGrupo,MATCH(SUBSTITUTE($H572,"*","-"),MgAmenClave,0)),"")</f>
        <v/>
      </c>
      <c r="K572" s="64">
        <f>IFERROR(INDEX('1. Matriz de Activos'!$Q$6:$Q$239,MATCH($C572,MgActId,0)),"")</f>
        <v/>
      </c>
      <c r="L572" s="64">
        <f>IFERROR(INDEX('1. Matriz de Activos'!$R$6:$R$239,MATCH($C572,MgActId,0)),"")</f>
        <v/>
      </c>
      <c r="M572" s="64">
        <f>IFERROR(INDEX('1. Matriz de Activos'!$S$6:$S$239,MATCH($C572,MgActId,0)),"")</f>
        <v/>
      </c>
      <c r="N572" s="28">
        <f>IFERROR(INDEX(MgAmenDegD,MATCH(SUBSTITUTE($H572,"*","-"),MgAmenClave,0)),"No aplica")</f>
        <v/>
      </c>
      <c r="O572" s="28">
        <f>IFERROR(INDEX(MgAmenDegI,MATCH(SUBSTITUTE($H572,"*","-"),MgAmenClave,0)),"No aplica")</f>
        <v/>
      </c>
      <c r="P572" s="28">
        <f>IFERROR(INDEX(MgAmenDegC,MATCH(SUBSTITUTE($H572,"*","-"),MgAmenClave,0)),"No aplica")</f>
        <v/>
      </c>
      <c r="Q572" s="29">
        <f>IFERROR(VLOOKUP(K572,MgValor,2,0)*VLOOKUP(N572,MgDeg,2,0),0)</f>
        <v/>
      </c>
      <c r="R572" s="29">
        <f>IFERROR(VLOOKUP(L572,MgValor,2,0)*VLOOKUP(O572,MgDeg,2,0),0)</f>
        <v/>
      </c>
      <c r="S572" s="29">
        <f>IFERROR(VLOOKUP(M572,MgValor,2,0)*VLOOKUP(P572,MgDeg,2,0),0)</f>
        <v/>
      </c>
      <c r="T572" s="30">
        <f>MAX(Q572:S572)</f>
        <v/>
      </c>
      <c r="U572" s="28">
        <f>IFERROR(LOOKUP(T572,{0;0.5;1.5;3;4.5},{"Despreciable";"Bajo";"Medio";"Alto";"Muy alto"}),"")</f>
        <v/>
      </c>
      <c r="V572" s="13">
        <f>IFERROR(INDEX(MgAmenFrec,MATCH(SUBSTITUTE($H572,"*","-"),MgAmenClave,0)),"")</f>
        <v/>
      </c>
      <c r="W572" s="28">
        <f>IFERROR(LOOKUP(X572,{0;0.01;0.1;1;10;100},{"Muy baja";"Muy baja";"Baja";"Media";"Alta";"Muy alta"}),"")</f>
        <v/>
      </c>
      <c r="X572" s="31">
        <f>IFERROR(VLOOKUP(V572,MgFrec,2,0),0)</f>
        <v/>
      </c>
      <c r="Y572" s="30">
        <f>T572*X572</f>
        <v/>
      </c>
      <c r="Z572" s="28">
        <f>IFERROR(LOOKUP(Y572,{0;0.5;5;25},{"Bajo";"Medio";"Alto";"Crítico"}),"")</f>
        <v/>
      </c>
      <c r="AA572" s="64">
        <f>IF(T572&gt;=3,IF(X572&gt;=1,"Zona 1 — Crítica: impacto alto y ocurre al menos una vez al año","Zona 4 — Catastrófica poco probable: impacto alto pero excepcional"),IF(AND(T572&lt;1.5,X572&lt;1),"Zona 3 — Asumible: impacto bajo y muy poco frecuente","Zona 2 — Atención: riesgo intermedio"))</f>
        <v/>
      </c>
      <c r="AB572" s="64">
        <f>IFERROR(INDEX(MgAmenCtrl,MATCH(SUBSTITUTE($H572,"*","-"),MgAmenClave,0)),"")</f>
        <v/>
      </c>
      <c r="AC572" s="20" t="n"/>
      <c r="AD572" s="31">
        <f>IFERROR($X572*(1-IF($AC572="",$AL572,VLOOKUP($AC572,MgMad,2,0))),"")</f>
        <v/>
      </c>
      <c r="AE572" s="28">
        <f>IFERROR(LOOKUP(AD572,{0;0.01;0.1;1;10;100},{"Muy baja";"Muy baja";"Baja";"Media";"Alta";"Muy alta"}),"")</f>
        <v/>
      </c>
      <c r="AF572" s="30">
        <f>T572*AD572</f>
        <v/>
      </c>
      <c r="AG572" s="28">
        <f>IFERROR(LOOKUP(AF572,{0;0.5;5;25},{"Bajo";"Medio";"Alto";"Crítico"}),"")</f>
        <v/>
      </c>
      <c r="AH572" s="28">
        <f>IF(AG572="","",IF(OR(AG572="Crítico",AG572="Alto"),"Mitigar",IF(AG572="Medio","Mitigar","Aceptar y monitorear")))</f>
        <v/>
      </c>
      <c r="AI572" s="21" t="n"/>
      <c r="AJ572" s="21" t="n"/>
      <c r="AK572" s="20" t="n"/>
      <c r="AL572" s="77">
        <f>IFERROR(INDEX(MgAmenEfic,MATCH(SUBSTITUTE($H572,"*","-"),MgAmenClave,0)),0)</f>
        <v/>
      </c>
    </row>
    <row r="573" hidden="1" ht="120" customHeight="1" s="54">
      <c r="B573" s="59" t="inlineStr">
        <is>
          <t>R-0568</t>
        </is>
      </c>
      <c r="C573" s="59" t="inlineStr">
        <is>
          <t>COM-18</t>
        </is>
      </c>
      <c r="D573" s="64">
        <f>IFERROR(INDEX(MgNombre,MATCH($C573,MgActId,0)),"")</f>
        <v/>
      </c>
      <c r="E573" s="64">
        <f>IFERROR(INDEX(MgProceso,MATCH($C573,MgActId,0)),"")</f>
        <v/>
      </c>
      <c r="F573" s="64">
        <f>IFERROR(INDEX(MgTipo,MATCH($C573,MgActId,0)),"")</f>
        <v/>
      </c>
      <c r="G573" s="64">
        <f>IFERROR(INDEX(MgSubtipo,MATCH($C573,MgActId,0)),"")</f>
        <v/>
      </c>
      <c r="H573" s="59" t="inlineStr">
        <is>
          <t>E.2</t>
        </is>
      </c>
      <c r="I573" s="64">
        <f>IFERROR(INDEX(MgAmenNombre,MATCH(SUBSTITUTE($H573,"*","-"),MgAmenClave,0)),"")</f>
        <v/>
      </c>
      <c r="J573" s="28">
        <f>IFERROR(INDEX(MgAmenGrupo,MATCH(SUBSTITUTE($H573,"*","-"),MgAmenClave,0)),"")</f>
        <v/>
      </c>
      <c r="K573" s="64">
        <f>IFERROR(INDEX('1. Matriz de Activos'!$Q$6:$Q$239,MATCH($C573,MgActId,0)),"")</f>
        <v/>
      </c>
      <c r="L573" s="64">
        <f>IFERROR(INDEX('1. Matriz de Activos'!$R$6:$R$239,MATCH($C573,MgActId,0)),"")</f>
        <v/>
      </c>
      <c r="M573" s="64">
        <f>IFERROR(INDEX('1. Matriz de Activos'!$S$6:$S$239,MATCH($C573,MgActId,0)),"")</f>
        <v/>
      </c>
      <c r="N573" s="28">
        <f>IFERROR(INDEX(MgAmenDegD,MATCH(SUBSTITUTE($H573,"*","-"),MgAmenClave,0)),"No aplica")</f>
        <v/>
      </c>
      <c r="O573" s="28">
        <f>IFERROR(INDEX(MgAmenDegI,MATCH(SUBSTITUTE($H573,"*","-"),MgAmenClave,0)),"No aplica")</f>
        <v/>
      </c>
      <c r="P573" s="28">
        <f>IFERROR(INDEX(MgAmenDegC,MATCH(SUBSTITUTE($H573,"*","-"),MgAmenClave,0)),"No aplica")</f>
        <v/>
      </c>
      <c r="Q573" s="29">
        <f>IFERROR(VLOOKUP(K573,MgValor,2,0)*VLOOKUP(N573,MgDeg,2,0),0)</f>
        <v/>
      </c>
      <c r="R573" s="29">
        <f>IFERROR(VLOOKUP(L573,MgValor,2,0)*VLOOKUP(O573,MgDeg,2,0),0)</f>
        <v/>
      </c>
      <c r="S573" s="29">
        <f>IFERROR(VLOOKUP(M573,MgValor,2,0)*VLOOKUP(P573,MgDeg,2,0),0)</f>
        <v/>
      </c>
      <c r="T573" s="30">
        <f>MAX(Q573:S573)</f>
        <v/>
      </c>
      <c r="U573" s="28">
        <f>IFERROR(LOOKUP(T573,{0;0.5;1.5;3;4.5},{"Despreciable";"Bajo";"Medio";"Alto";"Muy alto"}),"")</f>
        <v/>
      </c>
      <c r="V573" s="13">
        <f>IFERROR(INDEX(MgAmenFrec,MATCH(SUBSTITUTE($H573,"*","-"),MgAmenClave,0)),"")</f>
        <v/>
      </c>
      <c r="W573" s="28">
        <f>IFERROR(LOOKUP(X573,{0;0.01;0.1;1;10;100},{"Muy baja";"Muy baja";"Baja";"Media";"Alta";"Muy alta"}),"")</f>
        <v/>
      </c>
      <c r="X573" s="31">
        <f>IFERROR(VLOOKUP(V573,MgFrec,2,0),0)</f>
        <v/>
      </c>
      <c r="Y573" s="30">
        <f>T573*X573</f>
        <v/>
      </c>
      <c r="Z573" s="28">
        <f>IFERROR(LOOKUP(Y573,{0;0.5;5;25},{"Bajo";"Medio";"Alto";"Crítico"}),"")</f>
        <v/>
      </c>
      <c r="AA573" s="64">
        <f>IF(T573&gt;=3,IF(X573&gt;=1,"Zona 1 — Crítica: impacto alto y ocurre al menos una vez al año","Zona 4 — Catastrófica poco probable: impacto alto pero excepcional"),IF(AND(T573&lt;1.5,X573&lt;1),"Zona 3 — Asumible: impacto bajo y muy poco frecuente","Zona 2 — Atención: riesgo intermedio"))</f>
        <v/>
      </c>
      <c r="AB573" s="64">
        <f>IFERROR(INDEX(MgAmenCtrl,MATCH(SUBSTITUTE($H573,"*","-"),MgAmenClave,0)),"")</f>
        <v/>
      </c>
      <c r="AC573" s="20" t="n"/>
      <c r="AD573" s="31">
        <f>IFERROR($X573*(1-IF($AC573="",$AL573,VLOOKUP($AC573,MgMad,2,0))),"")</f>
        <v/>
      </c>
      <c r="AE573" s="28">
        <f>IFERROR(LOOKUP(AD573,{0;0.01;0.1;1;10;100},{"Muy baja";"Muy baja";"Baja";"Media";"Alta";"Muy alta"}),"")</f>
        <v/>
      </c>
      <c r="AF573" s="30">
        <f>T573*AD573</f>
        <v/>
      </c>
      <c r="AG573" s="28">
        <f>IFERROR(LOOKUP(AF573,{0;0.5;5;25},{"Bajo";"Medio";"Alto";"Crítico"}),"")</f>
        <v/>
      </c>
      <c r="AH573" s="28">
        <f>IF(AG573="","",IF(OR(AG573="Crítico",AG573="Alto"),"Mitigar",IF(AG573="Medio","Mitigar","Aceptar y monitorear")))</f>
        <v/>
      </c>
      <c r="AI573" s="21" t="n"/>
      <c r="AJ573" s="21" t="n"/>
      <c r="AK573" s="20" t="n"/>
      <c r="AL573" s="77">
        <f>IFERROR(INDEX(MgAmenEfic,MATCH(SUBSTITUTE($H573,"*","-"),MgAmenClave,0)),0)</f>
        <v/>
      </c>
    </row>
    <row r="574" hidden="1" ht="75" customHeight="1" s="54">
      <c r="B574" s="59" t="inlineStr">
        <is>
          <t>R-0569</t>
        </is>
      </c>
      <c r="C574" s="59" t="inlineStr">
        <is>
          <t>COM-18</t>
        </is>
      </c>
      <c r="D574" s="64">
        <f>IFERROR(INDEX(MgNombre,MATCH($C574,MgActId,0)),"")</f>
        <v/>
      </c>
      <c r="E574" s="64">
        <f>IFERROR(INDEX(MgProceso,MATCH($C574,MgActId,0)),"")</f>
        <v/>
      </c>
      <c r="F574" s="64">
        <f>IFERROR(INDEX(MgTipo,MATCH($C574,MgActId,0)),"")</f>
        <v/>
      </c>
      <c r="G574" s="64">
        <f>IFERROR(INDEX(MgSubtipo,MATCH($C574,MgActId,0)),"")</f>
        <v/>
      </c>
      <c r="H574" s="59" t="inlineStr">
        <is>
          <t>E.3</t>
        </is>
      </c>
      <c r="I574" s="64">
        <f>IFERROR(INDEX(MgAmenNombre,MATCH(SUBSTITUTE($H574,"*","-"),MgAmenClave,0)),"")</f>
        <v/>
      </c>
      <c r="J574" s="28">
        <f>IFERROR(INDEX(MgAmenGrupo,MATCH(SUBSTITUTE($H574,"*","-"),MgAmenClave,0)),"")</f>
        <v/>
      </c>
      <c r="K574" s="64">
        <f>IFERROR(INDEX('1. Matriz de Activos'!$Q$6:$Q$239,MATCH($C574,MgActId,0)),"")</f>
        <v/>
      </c>
      <c r="L574" s="64">
        <f>IFERROR(INDEX('1. Matriz de Activos'!$R$6:$R$239,MATCH($C574,MgActId,0)),"")</f>
        <v/>
      </c>
      <c r="M574" s="64">
        <f>IFERROR(INDEX('1. Matriz de Activos'!$S$6:$S$239,MATCH($C574,MgActId,0)),"")</f>
        <v/>
      </c>
      <c r="N574" s="28">
        <f>IFERROR(INDEX(MgAmenDegD,MATCH(SUBSTITUTE($H574,"*","-"),MgAmenClave,0)),"No aplica")</f>
        <v/>
      </c>
      <c r="O574" s="28">
        <f>IFERROR(INDEX(MgAmenDegI,MATCH(SUBSTITUTE($H574,"*","-"),MgAmenClave,0)),"No aplica")</f>
        <v/>
      </c>
      <c r="P574" s="28">
        <f>IFERROR(INDEX(MgAmenDegC,MATCH(SUBSTITUTE($H574,"*","-"),MgAmenClave,0)),"No aplica")</f>
        <v/>
      </c>
      <c r="Q574" s="29">
        <f>IFERROR(VLOOKUP(K574,MgValor,2,0)*VLOOKUP(N574,MgDeg,2,0),0)</f>
        <v/>
      </c>
      <c r="R574" s="29">
        <f>IFERROR(VLOOKUP(L574,MgValor,2,0)*VLOOKUP(O574,MgDeg,2,0),0)</f>
        <v/>
      </c>
      <c r="S574" s="29">
        <f>IFERROR(VLOOKUP(M574,MgValor,2,0)*VLOOKUP(P574,MgDeg,2,0),0)</f>
        <v/>
      </c>
      <c r="T574" s="30">
        <f>MAX(Q574:S574)</f>
        <v/>
      </c>
      <c r="U574" s="28">
        <f>IFERROR(LOOKUP(T574,{0;0.5;1.5;3;4.5},{"Despreciable";"Bajo";"Medio";"Alto";"Muy alto"}),"")</f>
        <v/>
      </c>
      <c r="V574" s="13">
        <f>IFERROR(INDEX(MgAmenFrec,MATCH(SUBSTITUTE($H574,"*","-"),MgAmenClave,0)),"")</f>
        <v/>
      </c>
      <c r="W574" s="28">
        <f>IFERROR(LOOKUP(X574,{0;0.01;0.1;1;10;100},{"Muy baja";"Muy baja";"Baja";"Media";"Alta";"Muy alta"}),"")</f>
        <v/>
      </c>
      <c r="X574" s="31">
        <f>IFERROR(VLOOKUP(V574,MgFrec,2,0),0)</f>
        <v/>
      </c>
      <c r="Y574" s="30">
        <f>T574*X574</f>
        <v/>
      </c>
      <c r="Z574" s="28">
        <f>IFERROR(LOOKUP(Y574,{0;0.5;5;25},{"Bajo";"Medio";"Alto";"Crítico"}),"")</f>
        <v/>
      </c>
      <c r="AA574" s="64">
        <f>IF(T574&gt;=3,IF(X574&gt;=1,"Zona 1 — Crítica: impacto alto y ocurre al menos una vez al año","Zona 4 — Catastrófica poco probable: impacto alto pero excepcional"),IF(AND(T574&lt;1.5,X574&lt;1),"Zona 3 — Asumible: impacto bajo y muy poco frecuente","Zona 2 — Atención: riesgo intermedio"))</f>
        <v/>
      </c>
      <c r="AB574" s="64">
        <f>IFERROR(INDEX(MgAmenCtrl,MATCH(SUBSTITUTE($H574,"*","-"),MgAmenClave,0)),"")</f>
        <v/>
      </c>
      <c r="AC574" s="20" t="n"/>
      <c r="AD574" s="31">
        <f>IFERROR($X574*(1-IF($AC574="",$AL574,VLOOKUP($AC574,MgMad,2,0))),"")</f>
        <v/>
      </c>
      <c r="AE574" s="28">
        <f>IFERROR(LOOKUP(AD574,{0;0.01;0.1;1;10;100},{"Muy baja";"Muy baja";"Baja";"Media";"Alta";"Muy alta"}),"")</f>
        <v/>
      </c>
      <c r="AF574" s="30">
        <f>T574*AD574</f>
        <v/>
      </c>
      <c r="AG574" s="28">
        <f>IFERROR(LOOKUP(AF574,{0;0.5;5;25},{"Bajo";"Medio";"Alto";"Crítico"}),"")</f>
        <v/>
      </c>
      <c r="AH574" s="28">
        <f>IF(AG574="","",IF(OR(AG574="Crítico",AG574="Alto"),"Mitigar",IF(AG574="Medio","Mitigar","Aceptar y monitorear")))</f>
        <v/>
      </c>
      <c r="AI574" s="21" t="n"/>
      <c r="AJ574" s="21" t="n"/>
      <c r="AK574" s="20" t="n"/>
      <c r="AL574" s="77">
        <f>IFERROR(INDEX(MgAmenEfic,MATCH(SUBSTITUTE($H574,"*","-"),MgAmenClave,0)),0)</f>
        <v/>
      </c>
    </row>
    <row r="575" hidden="1" ht="75" customHeight="1" s="54">
      <c r="B575" s="59" t="inlineStr">
        <is>
          <t>R-0570</t>
        </is>
      </c>
      <c r="C575" s="59" t="inlineStr">
        <is>
          <t>COM-18</t>
        </is>
      </c>
      <c r="D575" s="64">
        <f>IFERROR(INDEX(MgNombre,MATCH($C575,MgActId,0)),"")</f>
        <v/>
      </c>
      <c r="E575" s="64">
        <f>IFERROR(INDEX(MgProceso,MATCH($C575,MgActId,0)),"")</f>
        <v/>
      </c>
      <c r="F575" s="64">
        <f>IFERROR(INDEX(MgTipo,MATCH($C575,MgActId,0)),"")</f>
        <v/>
      </c>
      <c r="G575" s="64">
        <f>IFERROR(INDEX(MgSubtipo,MATCH($C575,MgActId,0)),"")</f>
        <v/>
      </c>
      <c r="H575" s="59" t="inlineStr">
        <is>
          <t>E.4</t>
        </is>
      </c>
      <c r="I575" s="64">
        <f>IFERROR(INDEX(MgAmenNombre,MATCH(SUBSTITUTE($H575,"*","-"),MgAmenClave,0)),"")</f>
        <v/>
      </c>
      <c r="J575" s="28">
        <f>IFERROR(INDEX(MgAmenGrupo,MATCH(SUBSTITUTE($H575,"*","-"),MgAmenClave,0)),"")</f>
        <v/>
      </c>
      <c r="K575" s="64">
        <f>IFERROR(INDEX('1. Matriz de Activos'!$Q$6:$Q$239,MATCH($C575,MgActId,0)),"")</f>
        <v/>
      </c>
      <c r="L575" s="64">
        <f>IFERROR(INDEX('1. Matriz de Activos'!$R$6:$R$239,MATCH($C575,MgActId,0)),"")</f>
        <v/>
      </c>
      <c r="M575" s="64">
        <f>IFERROR(INDEX('1. Matriz de Activos'!$S$6:$S$239,MATCH($C575,MgActId,0)),"")</f>
        <v/>
      </c>
      <c r="N575" s="28">
        <f>IFERROR(INDEX(MgAmenDegD,MATCH(SUBSTITUTE($H575,"*","-"),MgAmenClave,0)),"No aplica")</f>
        <v/>
      </c>
      <c r="O575" s="28">
        <f>IFERROR(INDEX(MgAmenDegI,MATCH(SUBSTITUTE($H575,"*","-"),MgAmenClave,0)),"No aplica")</f>
        <v/>
      </c>
      <c r="P575" s="28">
        <f>IFERROR(INDEX(MgAmenDegC,MATCH(SUBSTITUTE($H575,"*","-"),MgAmenClave,0)),"No aplica")</f>
        <v/>
      </c>
      <c r="Q575" s="29">
        <f>IFERROR(VLOOKUP(K575,MgValor,2,0)*VLOOKUP(N575,MgDeg,2,0),0)</f>
        <v/>
      </c>
      <c r="R575" s="29">
        <f>IFERROR(VLOOKUP(L575,MgValor,2,0)*VLOOKUP(O575,MgDeg,2,0),0)</f>
        <v/>
      </c>
      <c r="S575" s="29">
        <f>IFERROR(VLOOKUP(M575,MgValor,2,0)*VLOOKUP(P575,MgDeg,2,0),0)</f>
        <v/>
      </c>
      <c r="T575" s="30">
        <f>MAX(Q575:S575)</f>
        <v/>
      </c>
      <c r="U575" s="28">
        <f>IFERROR(LOOKUP(T575,{0;0.5;1.5;3;4.5},{"Despreciable";"Bajo";"Medio";"Alto";"Muy alto"}),"")</f>
        <v/>
      </c>
      <c r="V575" s="13">
        <f>IFERROR(INDEX(MgAmenFrec,MATCH(SUBSTITUTE($H575,"*","-"),MgAmenClave,0)),"")</f>
        <v/>
      </c>
      <c r="W575" s="28">
        <f>IFERROR(LOOKUP(X575,{0;0.01;0.1;1;10;100},{"Muy baja";"Muy baja";"Baja";"Media";"Alta";"Muy alta"}),"")</f>
        <v/>
      </c>
      <c r="X575" s="31">
        <f>IFERROR(VLOOKUP(V575,MgFrec,2,0),0)</f>
        <v/>
      </c>
      <c r="Y575" s="30">
        <f>T575*X575</f>
        <v/>
      </c>
      <c r="Z575" s="28">
        <f>IFERROR(LOOKUP(Y575,{0;0.5;5;25},{"Bajo";"Medio";"Alto";"Crítico"}),"")</f>
        <v/>
      </c>
      <c r="AA575" s="64">
        <f>IF(T575&gt;=3,IF(X575&gt;=1,"Zona 1 — Crítica: impacto alto y ocurre al menos una vez al año","Zona 4 — Catastrófica poco probable: impacto alto pero excepcional"),IF(AND(T575&lt;1.5,X575&lt;1),"Zona 3 — Asumible: impacto bajo y muy poco frecuente","Zona 2 — Atención: riesgo intermedio"))</f>
        <v/>
      </c>
      <c r="AB575" s="64">
        <f>IFERROR(INDEX(MgAmenCtrl,MATCH(SUBSTITUTE($H575,"*","-"),MgAmenClave,0)),"")</f>
        <v/>
      </c>
      <c r="AC575" s="20" t="n"/>
      <c r="AD575" s="31">
        <f>IFERROR($X575*(1-IF($AC575="",$AL575,VLOOKUP($AC575,MgMad,2,0))),"")</f>
        <v/>
      </c>
      <c r="AE575" s="28">
        <f>IFERROR(LOOKUP(AD575,{0;0.01;0.1;1;10;100},{"Muy baja";"Muy baja";"Baja";"Media";"Alta";"Muy alta"}),"")</f>
        <v/>
      </c>
      <c r="AF575" s="30">
        <f>T575*AD575</f>
        <v/>
      </c>
      <c r="AG575" s="28">
        <f>IFERROR(LOOKUP(AF575,{0;0.5;5;25},{"Bajo";"Medio";"Alto";"Crítico"}),"")</f>
        <v/>
      </c>
      <c r="AH575" s="28">
        <f>IF(AG575="","",IF(OR(AG575="Crítico",AG575="Alto"),"Mitigar",IF(AG575="Medio","Mitigar","Aceptar y monitorear")))</f>
        <v/>
      </c>
      <c r="AI575" s="21" t="n"/>
      <c r="AJ575" s="21" t="n"/>
      <c r="AK575" s="20" t="n"/>
      <c r="AL575" s="77">
        <f>IFERROR(INDEX(MgAmenEfic,MATCH(SUBSTITUTE($H575,"*","-"),MgAmenClave,0)),0)</f>
        <v/>
      </c>
    </row>
    <row r="576" hidden="1" ht="90" customHeight="1" s="54">
      <c r="B576" s="59" t="inlineStr">
        <is>
          <t>R-0571</t>
        </is>
      </c>
      <c r="C576" s="59" t="inlineStr">
        <is>
          <t>COM-18</t>
        </is>
      </c>
      <c r="D576" s="64">
        <f>IFERROR(INDEX(MgNombre,MATCH($C576,MgActId,0)),"")</f>
        <v/>
      </c>
      <c r="E576" s="64">
        <f>IFERROR(INDEX(MgProceso,MATCH($C576,MgActId,0)),"")</f>
        <v/>
      </c>
      <c r="F576" s="64">
        <f>IFERROR(INDEX(MgTipo,MATCH($C576,MgActId,0)),"")</f>
        <v/>
      </c>
      <c r="G576" s="64">
        <f>IFERROR(INDEX(MgSubtipo,MATCH($C576,MgActId,0)),"")</f>
        <v/>
      </c>
      <c r="H576" s="59" t="inlineStr">
        <is>
          <t>E.14</t>
        </is>
      </c>
      <c r="I576" s="64">
        <f>IFERROR(INDEX(MgAmenNombre,MATCH(SUBSTITUTE($H576,"*","-"),MgAmenClave,0)),"")</f>
        <v/>
      </c>
      <c r="J576" s="28">
        <f>IFERROR(INDEX(MgAmenGrupo,MATCH(SUBSTITUTE($H576,"*","-"),MgAmenClave,0)),"")</f>
        <v/>
      </c>
      <c r="K576" s="64">
        <f>IFERROR(INDEX('1. Matriz de Activos'!$Q$6:$Q$239,MATCH($C576,MgActId,0)),"")</f>
        <v/>
      </c>
      <c r="L576" s="64">
        <f>IFERROR(INDEX('1. Matriz de Activos'!$R$6:$R$239,MATCH($C576,MgActId,0)),"")</f>
        <v/>
      </c>
      <c r="M576" s="64">
        <f>IFERROR(INDEX('1. Matriz de Activos'!$S$6:$S$239,MATCH($C576,MgActId,0)),"")</f>
        <v/>
      </c>
      <c r="N576" s="28">
        <f>IFERROR(INDEX(MgAmenDegD,MATCH(SUBSTITUTE($H576,"*","-"),MgAmenClave,0)),"No aplica")</f>
        <v/>
      </c>
      <c r="O576" s="28">
        <f>IFERROR(INDEX(MgAmenDegI,MATCH(SUBSTITUTE($H576,"*","-"),MgAmenClave,0)),"No aplica")</f>
        <v/>
      </c>
      <c r="P576" s="28">
        <f>IFERROR(INDEX(MgAmenDegC,MATCH(SUBSTITUTE($H576,"*","-"),MgAmenClave,0)),"No aplica")</f>
        <v/>
      </c>
      <c r="Q576" s="29">
        <f>IFERROR(VLOOKUP(K576,MgValor,2,0)*VLOOKUP(N576,MgDeg,2,0),0)</f>
        <v/>
      </c>
      <c r="R576" s="29">
        <f>IFERROR(VLOOKUP(L576,MgValor,2,0)*VLOOKUP(O576,MgDeg,2,0),0)</f>
        <v/>
      </c>
      <c r="S576" s="29">
        <f>IFERROR(VLOOKUP(M576,MgValor,2,0)*VLOOKUP(P576,MgDeg,2,0),0)</f>
        <v/>
      </c>
      <c r="T576" s="30">
        <f>MAX(Q576:S576)</f>
        <v/>
      </c>
      <c r="U576" s="28">
        <f>IFERROR(LOOKUP(T576,{0;0.5;1.5;3;4.5},{"Despreciable";"Bajo";"Medio";"Alto";"Muy alto"}),"")</f>
        <v/>
      </c>
      <c r="V576" s="13">
        <f>IFERROR(INDEX(MgAmenFrec,MATCH(SUBSTITUTE($H576,"*","-"),MgAmenClave,0)),"")</f>
        <v/>
      </c>
      <c r="W576" s="28">
        <f>IFERROR(LOOKUP(X576,{0;0.01;0.1;1;10;100},{"Muy baja";"Muy baja";"Baja";"Media";"Alta";"Muy alta"}),"")</f>
        <v/>
      </c>
      <c r="X576" s="31">
        <f>IFERROR(VLOOKUP(V576,MgFrec,2,0),0)</f>
        <v/>
      </c>
      <c r="Y576" s="30">
        <f>T576*X576</f>
        <v/>
      </c>
      <c r="Z576" s="28">
        <f>IFERROR(LOOKUP(Y576,{0;0.5;5;25},{"Bajo";"Medio";"Alto";"Crítico"}),"")</f>
        <v/>
      </c>
      <c r="AA576" s="64">
        <f>IF(T576&gt;=3,IF(X576&gt;=1,"Zona 1 — Crítica: impacto alto y ocurre al menos una vez al año","Zona 4 — Catastrófica poco probable: impacto alto pero excepcional"),IF(AND(T576&lt;1.5,X576&lt;1),"Zona 3 — Asumible: impacto bajo y muy poco frecuente","Zona 2 — Atención: riesgo intermedio"))</f>
        <v/>
      </c>
      <c r="AB576" s="64">
        <f>IFERROR(INDEX(MgAmenCtrl,MATCH(SUBSTITUTE($H576,"*","-"),MgAmenClave,0)),"")</f>
        <v/>
      </c>
      <c r="AC576" s="20" t="n"/>
      <c r="AD576" s="31">
        <f>IFERROR($X576*(1-IF($AC576="",$AL576,VLOOKUP($AC576,MgMad,2,0))),"")</f>
        <v/>
      </c>
      <c r="AE576" s="28">
        <f>IFERROR(LOOKUP(AD576,{0;0.01;0.1;1;10;100},{"Muy baja";"Muy baja";"Baja";"Media";"Alta";"Muy alta"}),"")</f>
        <v/>
      </c>
      <c r="AF576" s="30">
        <f>T576*AD576</f>
        <v/>
      </c>
      <c r="AG576" s="28">
        <f>IFERROR(LOOKUP(AF576,{0;0.5;5;25},{"Bajo";"Medio";"Alto";"Crítico"}),"")</f>
        <v/>
      </c>
      <c r="AH576" s="28">
        <f>IF(AG576="","",IF(OR(AG576="Crítico",AG576="Alto"),"Mitigar",IF(AG576="Medio","Mitigar","Aceptar y monitorear")))</f>
        <v/>
      </c>
      <c r="AI576" s="21" t="n"/>
      <c r="AJ576" s="21" t="n"/>
      <c r="AK576" s="20" t="n"/>
      <c r="AL576" s="77">
        <f>IFERROR(INDEX(MgAmenEfic,MATCH(SUBSTITUTE($H576,"*","-"),MgAmenClave,0)),0)</f>
        <v/>
      </c>
    </row>
    <row r="577" hidden="1" ht="90" customHeight="1" s="54">
      <c r="B577" s="59" t="inlineStr">
        <is>
          <t>R-0572</t>
        </is>
      </c>
      <c r="C577" s="59" t="inlineStr">
        <is>
          <t>COM-18</t>
        </is>
      </c>
      <c r="D577" s="64">
        <f>IFERROR(INDEX(MgNombre,MATCH($C577,MgActId,0)),"")</f>
        <v/>
      </c>
      <c r="E577" s="64">
        <f>IFERROR(INDEX(MgProceso,MATCH($C577,MgActId,0)),"")</f>
        <v/>
      </c>
      <c r="F577" s="64">
        <f>IFERROR(INDEX(MgTipo,MATCH($C577,MgActId,0)),"")</f>
        <v/>
      </c>
      <c r="G577" s="64">
        <f>IFERROR(INDEX(MgSubtipo,MATCH($C577,MgActId,0)),"")</f>
        <v/>
      </c>
      <c r="H577" s="59" t="inlineStr">
        <is>
          <t>E.15</t>
        </is>
      </c>
      <c r="I577" s="64">
        <f>IFERROR(INDEX(MgAmenNombre,MATCH(SUBSTITUTE($H577,"*","-"),MgAmenClave,0)),"")</f>
        <v/>
      </c>
      <c r="J577" s="28">
        <f>IFERROR(INDEX(MgAmenGrupo,MATCH(SUBSTITUTE($H577,"*","-"),MgAmenClave,0)),"")</f>
        <v/>
      </c>
      <c r="K577" s="64">
        <f>IFERROR(INDEX('1. Matriz de Activos'!$Q$6:$Q$239,MATCH($C577,MgActId,0)),"")</f>
        <v/>
      </c>
      <c r="L577" s="64">
        <f>IFERROR(INDEX('1. Matriz de Activos'!$R$6:$R$239,MATCH($C577,MgActId,0)),"")</f>
        <v/>
      </c>
      <c r="M577" s="64">
        <f>IFERROR(INDEX('1. Matriz de Activos'!$S$6:$S$239,MATCH($C577,MgActId,0)),"")</f>
        <v/>
      </c>
      <c r="N577" s="28">
        <f>IFERROR(INDEX(MgAmenDegD,MATCH(SUBSTITUTE($H577,"*","-"),MgAmenClave,0)),"No aplica")</f>
        <v/>
      </c>
      <c r="O577" s="28">
        <f>IFERROR(INDEX(MgAmenDegI,MATCH(SUBSTITUTE($H577,"*","-"),MgAmenClave,0)),"No aplica")</f>
        <v/>
      </c>
      <c r="P577" s="28">
        <f>IFERROR(INDEX(MgAmenDegC,MATCH(SUBSTITUTE($H577,"*","-"),MgAmenClave,0)),"No aplica")</f>
        <v/>
      </c>
      <c r="Q577" s="29">
        <f>IFERROR(VLOOKUP(K577,MgValor,2,0)*VLOOKUP(N577,MgDeg,2,0),0)</f>
        <v/>
      </c>
      <c r="R577" s="29">
        <f>IFERROR(VLOOKUP(L577,MgValor,2,0)*VLOOKUP(O577,MgDeg,2,0),0)</f>
        <v/>
      </c>
      <c r="S577" s="29">
        <f>IFERROR(VLOOKUP(M577,MgValor,2,0)*VLOOKUP(P577,MgDeg,2,0),0)</f>
        <v/>
      </c>
      <c r="T577" s="30">
        <f>MAX(Q577:S577)</f>
        <v/>
      </c>
      <c r="U577" s="28">
        <f>IFERROR(LOOKUP(T577,{0;0.5;1.5;3;4.5},{"Despreciable";"Bajo";"Medio";"Alto";"Muy alto"}),"")</f>
        <v/>
      </c>
      <c r="V577" s="13">
        <f>IFERROR(INDEX(MgAmenFrec,MATCH(SUBSTITUTE($H577,"*","-"),MgAmenClave,0)),"")</f>
        <v/>
      </c>
      <c r="W577" s="28">
        <f>IFERROR(LOOKUP(X577,{0;0.01;0.1;1;10;100},{"Muy baja";"Muy baja";"Baja";"Media";"Alta";"Muy alta"}),"")</f>
        <v/>
      </c>
      <c r="X577" s="31">
        <f>IFERROR(VLOOKUP(V577,MgFrec,2,0),0)</f>
        <v/>
      </c>
      <c r="Y577" s="30">
        <f>T577*X577</f>
        <v/>
      </c>
      <c r="Z577" s="28">
        <f>IFERROR(LOOKUP(Y577,{0;0.5;5;25},{"Bajo";"Medio";"Alto";"Crítico"}),"")</f>
        <v/>
      </c>
      <c r="AA577" s="64">
        <f>IF(T577&gt;=3,IF(X577&gt;=1,"Zona 1 — Crítica: impacto alto y ocurre al menos una vez al año","Zona 4 — Catastrófica poco probable: impacto alto pero excepcional"),IF(AND(T577&lt;1.5,X577&lt;1),"Zona 3 — Asumible: impacto bajo y muy poco frecuente","Zona 2 — Atención: riesgo intermedio"))</f>
        <v/>
      </c>
      <c r="AB577" s="64">
        <f>IFERROR(INDEX(MgAmenCtrl,MATCH(SUBSTITUTE($H577,"*","-"),MgAmenClave,0)),"")</f>
        <v/>
      </c>
      <c r="AC577" s="20" t="n"/>
      <c r="AD577" s="31">
        <f>IFERROR($X577*(1-IF($AC577="",$AL577,VLOOKUP($AC577,MgMad,2,0))),"")</f>
        <v/>
      </c>
      <c r="AE577" s="28">
        <f>IFERROR(LOOKUP(AD577,{0;0.01;0.1;1;10;100},{"Muy baja";"Muy baja";"Baja";"Media";"Alta";"Muy alta"}),"")</f>
        <v/>
      </c>
      <c r="AF577" s="30">
        <f>T577*AD577</f>
        <v/>
      </c>
      <c r="AG577" s="28">
        <f>IFERROR(LOOKUP(AF577,{0;0.5;5;25},{"Bajo";"Medio";"Alto";"Crítico"}),"")</f>
        <v/>
      </c>
      <c r="AH577" s="28">
        <f>IF(AG577="","",IF(OR(AG577="Crítico",AG577="Alto"),"Mitigar",IF(AG577="Medio","Mitigar","Aceptar y monitorear")))</f>
        <v/>
      </c>
      <c r="AI577" s="21" t="n"/>
      <c r="AJ577" s="21" t="n"/>
      <c r="AK577" s="20" t="n"/>
      <c r="AL577" s="77">
        <f>IFERROR(INDEX(MgAmenEfic,MATCH(SUBSTITUTE($H577,"*","-"),MgAmenClave,0)),0)</f>
        <v/>
      </c>
    </row>
    <row r="578" hidden="1" ht="60" customHeight="1" s="54">
      <c r="B578" s="59" t="inlineStr">
        <is>
          <t>R-0573</t>
        </is>
      </c>
      <c r="C578" s="59" t="inlineStr">
        <is>
          <t>COM-18</t>
        </is>
      </c>
      <c r="D578" s="64">
        <f>IFERROR(INDEX(MgNombre,MATCH($C578,MgActId,0)),"")</f>
        <v/>
      </c>
      <c r="E578" s="64">
        <f>IFERROR(INDEX(MgProceso,MATCH($C578,MgActId,0)),"")</f>
        <v/>
      </c>
      <c r="F578" s="64">
        <f>IFERROR(INDEX(MgTipo,MATCH($C578,MgActId,0)),"")</f>
        <v/>
      </c>
      <c r="G578" s="64">
        <f>IFERROR(INDEX(MgSubtipo,MATCH($C578,MgActId,0)),"")</f>
        <v/>
      </c>
      <c r="H578" s="59" t="inlineStr">
        <is>
          <t>E.18</t>
        </is>
      </c>
      <c r="I578" s="64">
        <f>IFERROR(INDEX(MgAmenNombre,MATCH(SUBSTITUTE($H578,"*","-"),MgAmenClave,0)),"")</f>
        <v/>
      </c>
      <c r="J578" s="28">
        <f>IFERROR(INDEX(MgAmenGrupo,MATCH(SUBSTITUTE($H578,"*","-"),MgAmenClave,0)),"")</f>
        <v/>
      </c>
      <c r="K578" s="64">
        <f>IFERROR(INDEX('1. Matriz de Activos'!$Q$6:$Q$239,MATCH($C578,MgActId,0)),"")</f>
        <v/>
      </c>
      <c r="L578" s="64">
        <f>IFERROR(INDEX('1. Matriz de Activos'!$R$6:$R$239,MATCH($C578,MgActId,0)),"")</f>
        <v/>
      </c>
      <c r="M578" s="64">
        <f>IFERROR(INDEX('1. Matriz de Activos'!$S$6:$S$239,MATCH($C578,MgActId,0)),"")</f>
        <v/>
      </c>
      <c r="N578" s="28">
        <f>IFERROR(INDEX(MgAmenDegD,MATCH(SUBSTITUTE($H578,"*","-"),MgAmenClave,0)),"No aplica")</f>
        <v/>
      </c>
      <c r="O578" s="28">
        <f>IFERROR(INDEX(MgAmenDegI,MATCH(SUBSTITUTE($H578,"*","-"),MgAmenClave,0)),"No aplica")</f>
        <v/>
      </c>
      <c r="P578" s="28">
        <f>IFERROR(INDEX(MgAmenDegC,MATCH(SUBSTITUTE($H578,"*","-"),MgAmenClave,0)),"No aplica")</f>
        <v/>
      </c>
      <c r="Q578" s="29">
        <f>IFERROR(VLOOKUP(K578,MgValor,2,0)*VLOOKUP(N578,MgDeg,2,0),0)</f>
        <v/>
      </c>
      <c r="R578" s="29">
        <f>IFERROR(VLOOKUP(L578,MgValor,2,0)*VLOOKUP(O578,MgDeg,2,0),0)</f>
        <v/>
      </c>
      <c r="S578" s="29">
        <f>IFERROR(VLOOKUP(M578,MgValor,2,0)*VLOOKUP(P578,MgDeg,2,0),0)</f>
        <v/>
      </c>
      <c r="T578" s="30">
        <f>MAX(Q578:S578)</f>
        <v/>
      </c>
      <c r="U578" s="28">
        <f>IFERROR(LOOKUP(T578,{0;0.5;1.5;3;4.5},{"Despreciable";"Bajo";"Medio";"Alto";"Muy alto"}),"")</f>
        <v/>
      </c>
      <c r="V578" s="13">
        <f>IFERROR(INDEX(MgAmenFrec,MATCH(SUBSTITUTE($H578,"*","-"),MgAmenClave,0)),"")</f>
        <v/>
      </c>
      <c r="W578" s="28">
        <f>IFERROR(LOOKUP(X578,{0;0.01;0.1;1;10;100},{"Muy baja";"Muy baja";"Baja";"Media";"Alta";"Muy alta"}),"")</f>
        <v/>
      </c>
      <c r="X578" s="31">
        <f>IFERROR(VLOOKUP(V578,MgFrec,2,0),0)</f>
        <v/>
      </c>
      <c r="Y578" s="30">
        <f>T578*X578</f>
        <v/>
      </c>
      <c r="Z578" s="28">
        <f>IFERROR(LOOKUP(Y578,{0;0.5;5;25},{"Bajo";"Medio";"Alto";"Crítico"}),"")</f>
        <v/>
      </c>
      <c r="AA578" s="64">
        <f>IF(T578&gt;=3,IF(X578&gt;=1,"Zona 1 — Crítica: impacto alto y ocurre al menos una vez al año","Zona 4 — Catastrófica poco probable: impacto alto pero excepcional"),IF(AND(T578&lt;1.5,X578&lt;1),"Zona 3 — Asumible: impacto bajo y muy poco frecuente","Zona 2 — Atención: riesgo intermedio"))</f>
        <v/>
      </c>
      <c r="AB578" s="64">
        <f>IFERROR(INDEX(MgAmenCtrl,MATCH(SUBSTITUTE($H578,"*","-"),MgAmenClave,0)),"")</f>
        <v/>
      </c>
      <c r="AC578" s="20" t="n"/>
      <c r="AD578" s="31">
        <f>IFERROR($X578*(1-IF($AC578="",$AL578,VLOOKUP($AC578,MgMad,2,0))),"")</f>
        <v/>
      </c>
      <c r="AE578" s="28">
        <f>IFERROR(LOOKUP(AD578,{0;0.01;0.1;1;10;100},{"Muy baja";"Muy baja";"Baja";"Media";"Alta";"Muy alta"}),"")</f>
        <v/>
      </c>
      <c r="AF578" s="30">
        <f>T578*AD578</f>
        <v/>
      </c>
      <c r="AG578" s="28">
        <f>IFERROR(LOOKUP(AF578,{0;0.5;5;25},{"Bajo";"Medio";"Alto";"Crítico"}),"")</f>
        <v/>
      </c>
      <c r="AH578" s="28">
        <f>IF(AG578="","",IF(OR(AG578="Crítico",AG578="Alto"),"Mitigar",IF(AG578="Medio","Mitigar","Aceptar y monitorear")))</f>
        <v/>
      </c>
      <c r="AI578" s="21" t="n"/>
      <c r="AJ578" s="21" t="n"/>
      <c r="AK578" s="20" t="n"/>
      <c r="AL578" s="77">
        <f>IFERROR(INDEX(MgAmenEfic,MATCH(SUBSTITUTE($H578,"*","-"),MgAmenClave,0)),0)</f>
        <v/>
      </c>
    </row>
    <row r="579" hidden="1" ht="105" customHeight="1" s="54">
      <c r="B579" s="59" t="inlineStr">
        <is>
          <t>R-0574</t>
        </is>
      </c>
      <c r="C579" s="59" t="inlineStr">
        <is>
          <t>COM-18</t>
        </is>
      </c>
      <c r="D579" s="64">
        <f>IFERROR(INDEX(MgNombre,MATCH($C579,MgActId,0)),"")</f>
        <v/>
      </c>
      <c r="E579" s="64">
        <f>IFERROR(INDEX(MgProceso,MATCH($C579,MgActId,0)),"")</f>
        <v/>
      </c>
      <c r="F579" s="64">
        <f>IFERROR(INDEX(MgTipo,MATCH($C579,MgActId,0)),"")</f>
        <v/>
      </c>
      <c r="G579" s="64">
        <f>IFERROR(INDEX(MgSubtipo,MATCH($C579,MgActId,0)),"")</f>
        <v/>
      </c>
      <c r="H579" s="59" t="inlineStr">
        <is>
          <t>E.19</t>
        </is>
      </c>
      <c r="I579" s="64">
        <f>IFERROR(INDEX(MgAmenNombre,MATCH(SUBSTITUTE($H579,"*","-"),MgAmenClave,0)),"")</f>
        <v/>
      </c>
      <c r="J579" s="28">
        <f>IFERROR(INDEX(MgAmenGrupo,MATCH(SUBSTITUTE($H579,"*","-"),MgAmenClave,0)),"")</f>
        <v/>
      </c>
      <c r="K579" s="64">
        <f>IFERROR(INDEX('1. Matriz de Activos'!$Q$6:$Q$239,MATCH($C579,MgActId,0)),"")</f>
        <v/>
      </c>
      <c r="L579" s="64">
        <f>IFERROR(INDEX('1. Matriz de Activos'!$R$6:$R$239,MATCH($C579,MgActId,0)),"")</f>
        <v/>
      </c>
      <c r="M579" s="64">
        <f>IFERROR(INDEX('1. Matriz de Activos'!$S$6:$S$239,MATCH($C579,MgActId,0)),"")</f>
        <v/>
      </c>
      <c r="N579" s="28">
        <f>IFERROR(INDEX(MgAmenDegD,MATCH(SUBSTITUTE($H579,"*","-"),MgAmenClave,0)),"No aplica")</f>
        <v/>
      </c>
      <c r="O579" s="28">
        <f>IFERROR(INDEX(MgAmenDegI,MATCH(SUBSTITUTE($H579,"*","-"),MgAmenClave,0)),"No aplica")</f>
        <v/>
      </c>
      <c r="P579" s="28">
        <f>IFERROR(INDEX(MgAmenDegC,MATCH(SUBSTITUTE($H579,"*","-"),MgAmenClave,0)),"No aplica")</f>
        <v/>
      </c>
      <c r="Q579" s="29">
        <f>IFERROR(VLOOKUP(K579,MgValor,2,0)*VLOOKUP(N579,MgDeg,2,0),0)</f>
        <v/>
      </c>
      <c r="R579" s="29">
        <f>IFERROR(VLOOKUP(L579,MgValor,2,0)*VLOOKUP(O579,MgDeg,2,0),0)</f>
        <v/>
      </c>
      <c r="S579" s="29">
        <f>IFERROR(VLOOKUP(M579,MgValor,2,0)*VLOOKUP(P579,MgDeg,2,0),0)</f>
        <v/>
      </c>
      <c r="T579" s="30">
        <f>MAX(Q579:S579)</f>
        <v/>
      </c>
      <c r="U579" s="28">
        <f>IFERROR(LOOKUP(T579,{0;0.5;1.5;3;4.5},{"Despreciable";"Bajo";"Medio";"Alto";"Muy alto"}),"")</f>
        <v/>
      </c>
      <c r="V579" s="13">
        <f>IFERROR(INDEX(MgAmenFrec,MATCH(SUBSTITUTE($H579,"*","-"),MgAmenClave,0)),"")</f>
        <v/>
      </c>
      <c r="W579" s="28">
        <f>IFERROR(LOOKUP(X579,{0;0.01;0.1;1;10;100},{"Muy baja";"Muy baja";"Baja";"Media";"Alta";"Muy alta"}),"")</f>
        <v/>
      </c>
      <c r="X579" s="31">
        <f>IFERROR(VLOOKUP(V579,MgFrec,2,0),0)</f>
        <v/>
      </c>
      <c r="Y579" s="30">
        <f>T579*X579</f>
        <v/>
      </c>
      <c r="Z579" s="28">
        <f>IFERROR(LOOKUP(Y579,{0;0.5;5;25},{"Bajo";"Medio";"Alto";"Crítico"}),"")</f>
        <v/>
      </c>
      <c r="AA579" s="64">
        <f>IF(T579&gt;=3,IF(X579&gt;=1,"Zona 1 — Crítica: impacto alto y ocurre al menos una vez al año","Zona 4 — Catastrófica poco probable: impacto alto pero excepcional"),IF(AND(T579&lt;1.5,X579&lt;1),"Zona 3 — Asumible: impacto bajo y muy poco frecuente","Zona 2 — Atención: riesgo intermedio"))</f>
        <v/>
      </c>
      <c r="AB579" s="64">
        <f>IFERROR(INDEX(MgAmenCtrl,MATCH(SUBSTITUTE($H579,"*","-"),MgAmenClave,0)),"")</f>
        <v/>
      </c>
      <c r="AC579" s="20" t="n"/>
      <c r="AD579" s="31">
        <f>IFERROR($X579*(1-IF($AC579="",$AL579,VLOOKUP($AC579,MgMad,2,0))),"")</f>
        <v/>
      </c>
      <c r="AE579" s="28">
        <f>IFERROR(LOOKUP(AD579,{0;0.01;0.1;1;10;100},{"Muy baja";"Muy baja";"Baja";"Media";"Alta";"Muy alta"}),"")</f>
        <v/>
      </c>
      <c r="AF579" s="30">
        <f>T579*AD579</f>
        <v/>
      </c>
      <c r="AG579" s="28">
        <f>IFERROR(LOOKUP(AF579,{0;0.5;5;25},{"Bajo";"Medio";"Alto";"Crítico"}),"")</f>
        <v/>
      </c>
      <c r="AH579" s="28">
        <f>IF(AG579="","",IF(OR(AG579="Crítico",AG579="Alto"),"Mitigar",IF(AG579="Medio","Mitigar","Aceptar y monitorear")))</f>
        <v/>
      </c>
      <c r="AI579" s="21" t="n"/>
      <c r="AJ579" s="21" t="n"/>
      <c r="AK579" s="20" t="n"/>
      <c r="AL579" s="77">
        <f>IFERROR(INDEX(MgAmenEfic,MATCH(SUBSTITUTE($H579,"*","-"),MgAmenClave,0)),0)</f>
        <v/>
      </c>
    </row>
    <row r="580" hidden="1" ht="60" customHeight="1" s="54">
      <c r="B580" s="59" t="inlineStr">
        <is>
          <t>R-0575</t>
        </is>
      </c>
      <c r="C580" s="59" t="inlineStr">
        <is>
          <t>COM-18</t>
        </is>
      </c>
      <c r="D580" s="64">
        <f>IFERROR(INDEX(MgNombre,MATCH($C580,MgActId,0)),"")</f>
        <v/>
      </c>
      <c r="E580" s="64">
        <f>IFERROR(INDEX(MgProceso,MATCH($C580,MgActId,0)),"")</f>
        <v/>
      </c>
      <c r="F580" s="64">
        <f>IFERROR(INDEX(MgTipo,MATCH($C580,MgActId,0)),"")</f>
        <v/>
      </c>
      <c r="G580" s="64">
        <f>IFERROR(INDEX(MgSubtipo,MATCH($C580,MgActId,0)),"")</f>
        <v/>
      </c>
      <c r="H580" s="59" t="inlineStr">
        <is>
          <t>A.3</t>
        </is>
      </c>
      <c r="I580" s="64">
        <f>IFERROR(INDEX(MgAmenNombre,MATCH(SUBSTITUTE($H580,"*","-"),MgAmenClave,0)),"")</f>
        <v/>
      </c>
      <c r="J580" s="28">
        <f>IFERROR(INDEX(MgAmenGrupo,MATCH(SUBSTITUTE($H580,"*","-"),MgAmenClave,0)),"")</f>
        <v/>
      </c>
      <c r="K580" s="64">
        <f>IFERROR(INDEX('1. Matriz de Activos'!$Q$6:$Q$239,MATCH($C580,MgActId,0)),"")</f>
        <v/>
      </c>
      <c r="L580" s="64">
        <f>IFERROR(INDEX('1. Matriz de Activos'!$R$6:$R$239,MATCH($C580,MgActId,0)),"")</f>
        <v/>
      </c>
      <c r="M580" s="64">
        <f>IFERROR(INDEX('1. Matriz de Activos'!$S$6:$S$239,MATCH($C580,MgActId,0)),"")</f>
        <v/>
      </c>
      <c r="N580" s="28">
        <f>IFERROR(INDEX(MgAmenDegD,MATCH(SUBSTITUTE($H580,"*","-"),MgAmenClave,0)),"No aplica")</f>
        <v/>
      </c>
      <c r="O580" s="28">
        <f>IFERROR(INDEX(MgAmenDegI,MATCH(SUBSTITUTE($H580,"*","-"),MgAmenClave,0)),"No aplica")</f>
        <v/>
      </c>
      <c r="P580" s="28">
        <f>IFERROR(INDEX(MgAmenDegC,MATCH(SUBSTITUTE($H580,"*","-"),MgAmenClave,0)),"No aplica")</f>
        <v/>
      </c>
      <c r="Q580" s="29">
        <f>IFERROR(VLOOKUP(K580,MgValor,2,0)*VLOOKUP(N580,MgDeg,2,0),0)</f>
        <v/>
      </c>
      <c r="R580" s="29">
        <f>IFERROR(VLOOKUP(L580,MgValor,2,0)*VLOOKUP(O580,MgDeg,2,0),0)</f>
        <v/>
      </c>
      <c r="S580" s="29">
        <f>IFERROR(VLOOKUP(M580,MgValor,2,0)*VLOOKUP(P580,MgDeg,2,0),0)</f>
        <v/>
      </c>
      <c r="T580" s="30">
        <f>MAX(Q580:S580)</f>
        <v/>
      </c>
      <c r="U580" s="28">
        <f>IFERROR(LOOKUP(T580,{0;0.5;1.5;3;4.5},{"Despreciable";"Bajo";"Medio";"Alto";"Muy alto"}),"")</f>
        <v/>
      </c>
      <c r="V580" s="13">
        <f>IFERROR(INDEX(MgAmenFrec,MATCH(SUBSTITUTE($H580,"*","-"),MgAmenClave,0)),"")</f>
        <v/>
      </c>
      <c r="W580" s="28">
        <f>IFERROR(LOOKUP(X580,{0;0.01;0.1;1;10;100},{"Muy baja";"Muy baja";"Baja";"Media";"Alta";"Muy alta"}),"")</f>
        <v/>
      </c>
      <c r="X580" s="31">
        <f>IFERROR(VLOOKUP(V580,MgFrec,2,0),0)</f>
        <v/>
      </c>
      <c r="Y580" s="30">
        <f>T580*X580</f>
        <v/>
      </c>
      <c r="Z580" s="28">
        <f>IFERROR(LOOKUP(Y580,{0;0.5;5;25},{"Bajo";"Medio";"Alto";"Crítico"}),"")</f>
        <v/>
      </c>
      <c r="AA580" s="64">
        <f>IF(T580&gt;=3,IF(X580&gt;=1,"Zona 1 — Crítica: impacto alto y ocurre al menos una vez al año","Zona 4 — Catastrófica poco probable: impacto alto pero excepcional"),IF(AND(T580&lt;1.5,X580&lt;1),"Zona 3 — Asumible: impacto bajo y muy poco frecuente","Zona 2 — Atención: riesgo intermedio"))</f>
        <v/>
      </c>
      <c r="AB580" s="64">
        <f>IFERROR(INDEX(MgAmenCtrl,MATCH(SUBSTITUTE($H580,"*","-"),MgAmenClave,0)),"")</f>
        <v/>
      </c>
      <c r="AC580" s="20" t="n"/>
      <c r="AD580" s="31">
        <f>IFERROR($X580*(1-IF($AC580="",$AL580,VLOOKUP($AC580,MgMad,2,0))),"")</f>
        <v/>
      </c>
      <c r="AE580" s="28">
        <f>IFERROR(LOOKUP(AD580,{0;0.01;0.1;1;10;100},{"Muy baja";"Muy baja";"Baja";"Media";"Alta";"Muy alta"}),"")</f>
        <v/>
      </c>
      <c r="AF580" s="30">
        <f>T580*AD580</f>
        <v/>
      </c>
      <c r="AG580" s="28">
        <f>IFERROR(LOOKUP(AF580,{0;0.5;5;25},{"Bajo";"Medio";"Alto";"Crítico"}),"")</f>
        <v/>
      </c>
      <c r="AH580" s="28">
        <f>IF(AG580="","",IF(OR(AG580="Crítico",AG580="Alto"),"Mitigar",IF(AG580="Medio","Mitigar","Aceptar y monitorear")))</f>
        <v/>
      </c>
      <c r="AI580" s="21" t="n"/>
      <c r="AJ580" s="21" t="n"/>
      <c r="AK580" s="20" t="n"/>
      <c r="AL580" s="77">
        <f>IFERROR(INDEX(MgAmenEfic,MATCH(SUBSTITUTE($H580,"*","-"),MgAmenClave,0)),0)</f>
        <v/>
      </c>
    </row>
    <row r="581" hidden="1" ht="60" customHeight="1" s="54">
      <c r="B581" s="59" t="inlineStr">
        <is>
          <t>R-0576</t>
        </is>
      </c>
      <c r="C581" s="59" t="inlineStr">
        <is>
          <t>COM-18</t>
        </is>
      </c>
      <c r="D581" s="64">
        <f>IFERROR(INDEX(MgNombre,MATCH($C581,MgActId,0)),"")</f>
        <v/>
      </c>
      <c r="E581" s="64">
        <f>IFERROR(INDEX(MgProceso,MATCH($C581,MgActId,0)),"")</f>
        <v/>
      </c>
      <c r="F581" s="64">
        <f>IFERROR(INDEX(MgTipo,MATCH($C581,MgActId,0)),"")</f>
        <v/>
      </c>
      <c r="G581" s="64">
        <f>IFERROR(INDEX(MgSubtipo,MATCH($C581,MgActId,0)),"")</f>
        <v/>
      </c>
      <c r="H581" s="59" t="inlineStr">
        <is>
          <t>A.4</t>
        </is>
      </c>
      <c r="I581" s="64">
        <f>IFERROR(INDEX(MgAmenNombre,MATCH(SUBSTITUTE($H581,"*","-"),MgAmenClave,0)),"")</f>
        <v/>
      </c>
      <c r="J581" s="28">
        <f>IFERROR(INDEX(MgAmenGrupo,MATCH(SUBSTITUTE($H581,"*","-"),MgAmenClave,0)),"")</f>
        <v/>
      </c>
      <c r="K581" s="64">
        <f>IFERROR(INDEX('1. Matriz de Activos'!$Q$6:$Q$239,MATCH($C581,MgActId,0)),"")</f>
        <v/>
      </c>
      <c r="L581" s="64">
        <f>IFERROR(INDEX('1. Matriz de Activos'!$R$6:$R$239,MATCH($C581,MgActId,0)),"")</f>
        <v/>
      </c>
      <c r="M581" s="64">
        <f>IFERROR(INDEX('1. Matriz de Activos'!$S$6:$S$239,MATCH($C581,MgActId,0)),"")</f>
        <v/>
      </c>
      <c r="N581" s="28">
        <f>IFERROR(INDEX(MgAmenDegD,MATCH(SUBSTITUTE($H581,"*","-"),MgAmenClave,0)),"No aplica")</f>
        <v/>
      </c>
      <c r="O581" s="28">
        <f>IFERROR(INDEX(MgAmenDegI,MATCH(SUBSTITUTE($H581,"*","-"),MgAmenClave,0)),"No aplica")</f>
        <v/>
      </c>
      <c r="P581" s="28">
        <f>IFERROR(INDEX(MgAmenDegC,MATCH(SUBSTITUTE($H581,"*","-"),MgAmenClave,0)),"No aplica")</f>
        <v/>
      </c>
      <c r="Q581" s="29">
        <f>IFERROR(VLOOKUP(K581,MgValor,2,0)*VLOOKUP(N581,MgDeg,2,0),0)</f>
        <v/>
      </c>
      <c r="R581" s="29">
        <f>IFERROR(VLOOKUP(L581,MgValor,2,0)*VLOOKUP(O581,MgDeg,2,0),0)</f>
        <v/>
      </c>
      <c r="S581" s="29">
        <f>IFERROR(VLOOKUP(M581,MgValor,2,0)*VLOOKUP(P581,MgDeg,2,0),0)</f>
        <v/>
      </c>
      <c r="T581" s="30">
        <f>MAX(Q581:S581)</f>
        <v/>
      </c>
      <c r="U581" s="28">
        <f>IFERROR(LOOKUP(T581,{0;0.5;1.5;3;4.5},{"Despreciable";"Bajo";"Medio";"Alto";"Muy alto"}),"")</f>
        <v/>
      </c>
      <c r="V581" s="13">
        <f>IFERROR(INDEX(MgAmenFrec,MATCH(SUBSTITUTE($H581,"*","-"),MgAmenClave,0)),"")</f>
        <v/>
      </c>
      <c r="W581" s="28">
        <f>IFERROR(LOOKUP(X581,{0;0.01;0.1;1;10;100},{"Muy baja";"Muy baja";"Baja";"Media";"Alta";"Muy alta"}),"")</f>
        <v/>
      </c>
      <c r="X581" s="31">
        <f>IFERROR(VLOOKUP(V581,MgFrec,2,0),0)</f>
        <v/>
      </c>
      <c r="Y581" s="30">
        <f>T581*X581</f>
        <v/>
      </c>
      <c r="Z581" s="28">
        <f>IFERROR(LOOKUP(Y581,{0;0.5;5;25},{"Bajo";"Medio";"Alto";"Crítico"}),"")</f>
        <v/>
      </c>
      <c r="AA581" s="64">
        <f>IF(T581&gt;=3,IF(X581&gt;=1,"Zona 1 — Crítica: impacto alto y ocurre al menos una vez al año","Zona 4 — Catastrófica poco probable: impacto alto pero excepcional"),IF(AND(T581&lt;1.5,X581&lt;1),"Zona 3 — Asumible: impacto bajo y muy poco frecuente","Zona 2 — Atención: riesgo intermedio"))</f>
        <v/>
      </c>
      <c r="AB581" s="64">
        <f>IFERROR(INDEX(MgAmenCtrl,MATCH(SUBSTITUTE($H581,"*","-"),MgAmenClave,0)),"")</f>
        <v/>
      </c>
      <c r="AC581" s="20" t="n"/>
      <c r="AD581" s="31">
        <f>IFERROR($X581*(1-IF($AC581="",$AL581,VLOOKUP($AC581,MgMad,2,0))),"")</f>
        <v/>
      </c>
      <c r="AE581" s="28">
        <f>IFERROR(LOOKUP(AD581,{0;0.01;0.1;1;10;100},{"Muy baja";"Muy baja";"Baja";"Media";"Alta";"Muy alta"}),"")</f>
        <v/>
      </c>
      <c r="AF581" s="30">
        <f>T581*AD581</f>
        <v/>
      </c>
      <c r="AG581" s="28">
        <f>IFERROR(LOOKUP(AF581,{0;0.5;5;25},{"Bajo";"Medio";"Alto";"Crítico"}),"")</f>
        <v/>
      </c>
      <c r="AH581" s="28">
        <f>IF(AG581="","",IF(OR(AG581="Crítico",AG581="Alto"),"Mitigar",IF(AG581="Medio","Mitigar","Aceptar y monitorear")))</f>
        <v/>
      </c>
      <c r="AI581" s="21" t="n"/>
      <c r="AJ581" s="21" t="n"/>
      <c r="AK581" s="20" t="n"/>
      <c r="AL581" s="77">
        <f>IFERROR(INDEX(MgAmenEfic,MATCH(SUBSTITUTE($H581,"*","-"),MgAmenClave,0)),0)</f>
        <v/>
      </c>
    </row>
    <row r="582" hidden="1" ht="75" customHeight="1" s="54">
      <c r="B582" s="59" t="inlineStr">
        <is>
          <t>R-0577</t>
        </is>
      </c>
      <c r="C582" s="59" t="inlineStr">
        <is>
          <t>COM-18</t>
        </is>
      </c>
      <c r="D582" s="64">
        <f>IFERROR(INDEX(MgNombre,MATCH($C582,MgActId,0)),"")</f>
        <v/>
      </c>
      <c r="E582" s="64">
        <f>IFERROR(INDEX(MgProceso,MATCH($C582,MgActId,0)),"")</f>
        <v/>
      </c>
      <c r="F582" s="64">
        <f>IFERROR(INDEX(MgTipo,MATCH($C582,MgActId,0)),"")</f>
        <v/>
      </c>
      <c r="G582" s="64">
        <f>IFERROR(INDEX(MgSubtipo,MATCH($C582,MgActId,0)),"")</f>
        <v/>
      </c>
      <c r="H582" s="59" t="inlineStr">
        <is>
          <t>A.5</t>
        </is>
      </c>
      <c r="I582" s="64">
        <f>IFERROR(INDEX(MgAmenNombre,MATCH(SUBSTITUTE($H582,"*","-"),MgAmenClave,0)),"")</f>
        <v/>
      </c>
      <c r="J582" s="28">
        <f>IFERROR(INDEX(MgAmenGrupo,MATCH(SUBSTITUTE($H582,"*","-"),MgAmenClave,0)),"")</f>
        <v/>
      </c>
      <c r="K582" s="64">
        <f>IFERROR(INDEX('1. Matriz de Activos'!$Q$6:$Q$239,MATCH($C582,MgActId,0)),"")</f>
        <v/>
      </c>
      <c r="L582" s="64">
        <f>IFERROR(INDEX('1. Matriz de Activos'!$R$6:$R$239,MATCH($C582,MgActId,0)),"")</f>
        <v/>
      </c>
      <c r="M582" s="64">
        <f>IFERROR(INDEX('1. Matriz de Activos'!$S$6:$S$239,MATCH($C582,MgActId,0)),"")</f>
        <v/>
      </c>
      <c r="N582" s="28">
        <f>IFERROR(INDEX(MgAmenDegD,MATCH(SUBSTITUTE($H582,"*","-"),MgAmenClave,0)),"No aplica")</f>
        <v/>
      </c>
      <c r="O582" s="28">
        <f>IFERROR(INDEX(MgAmenDegI,MATCH(SUBSTITUTE($H582,"*","-"),MgAmenClave,0)),"No aplica")</f>
        <v/>
      </c>
      <c r="P582" s="28">
        <f>IFERROR(INDEX(MgAmenDegC,MATCH(SUBSTITUTE($H582,"*","-"),MgAmenClave,0)),"No aplica")</f>
        <v/>
      </c>
      <c r="Q582" s="29">
        <f>IFERROR(VLOOKUP(K582,MgValor,2,0)*VLOOKUP(N582,MgDeg,2,0),0)</f>
        <v/>
      </c>
      <c r="R582" s="29">
        <f>IFERROR(VLOOKUP(L582,MgValor,2,0)*VLOOKUP(O582,MgDeg,2,0),0)</f>
        <v/>
      </c>
      <c r="S582" s="29">
        <f>IFERROR(VLOOKUP(M582,MgValor,2,0)*VLOOKUP(P582,MgDeg,2,0),0)</f>
        <v/>
      </c>
      <c r="T582" s="30">
        <f>MAX(Q582:S582)</f>
        <v/>
      </c>
      <c r="U582" s="28">
        <f>IFERROR(LOOKUP(T582,{0;0.5;1.5;3;4.5},{"Despreciable";"Bajo";"Medio";"Alto";"Muy alto"}),"")</f>
        <v/>
      </c>
      <c r="V582" s="13">
        <f>IFERROR(INDEX(MgAmenFrec,MATCH(SUBSTITUTE($H582,"*","-"),MgAmenClave,0)),"")</f>
        <v/>
      </c>
      <c r="W582" s="28">
        <f>IFERROR(LOOKUP(X582,{0;0.01;0.1;1;10;100},{"Muy baja";"Muy baja";"Baja";"Media";"Alta";"Muy alta"}),"")</f>
        <v/>
      </c>
      <c r="X582" s="31">
        <f>IFERROR(VLOOKUP(V582,MgFrec,2,0),0)</f>
        <v/>
      </c>
      <c r="Y582" s="30">
        <f>T582*X582</f>
        <v/>
      </c>
      <c r="Z582" s="28">
        <f>IFERROR(LOOKUP(Y582,{0;0.5;5;25},{"Bajo";"Medio";"Alto";"Crítico"}),"")</f>
        <v/>
      </c>
      <c r="AA582" s="64">
        <f>IF(T582&gt;=3,IF(X582&gt;=1,"Zona 1 — Crítica: impacto alto y ocurre al menos una vez al año","Zona 4 — Catastrófica poco probable: impacto alto pero excepcional"),IF(AND(T582&lt;1.5,X582&lt;1),"Zona 3 — Asumible: impacto bajo y muy poco frecuente","Zona 2 — Atención: riesgo intermedio"))</f>
        <v/>
      </c>
      <c r="AB582" s="64">
        <f>IFERROR(INDEX(MgAmenCtrl,MATCH(SUBSTITUTE($H582,"*","-"),MgAmenClave,0)),"")</f>
        <v/>
      </c>
      <c r="AC582" s="20" t="n"/>
      <c r="AD582" s="31">
        <f>IFERROR($X582*(1-IF($AC582="",$AL582,VLOOKUP($AC582,MgMad,2,0))),"")</f>
        <v/>
      </c>
      <c r="AE582" s="28">
        <f>IFERROR(LOOKUP(AD582,{0;0.01;0.1;1;10;100},{"Muy baja";"Muy baja";"Baja";"Media";"Alta";"Muy alta"}),"")</f>
        <v/>
      </c>
      <c r="AF582" s="30">
        <f>T582*AD582</f>
        <v/>
      </c>
      <c r="AG582" s="28">
        <f>IFERROR(LOOKUP(AF582,{0;0.5;5;25},{"Bajo";"Medio";"Alto";"Crítico"}),"")</f>
        <v/>
      </c>
      <c r="AH582" s="28">
        <f>IF(AG582="","",IF(OR(AG582="Crítico",AG582="Alto"),"Mitigar",IF(AG582="Medio","Mitigar","Aceptar y monitorear")))</f>
        <v/>
      </c>
      <c r="AI582" s="21" t="n"/>
      <c r="AJ582" s="21" t="n"/>
      <c r="AK582" s="20" t="n"/>
      <c r="AL582" s="77">
        <f>IFERROR(INDEX(MgAmenEfic,MATCH(SUBSTITUTE($H582,"*","-"),MgAmenClave,0)),0)</f>
        <v/>
      </c>
    </row>
    <row r="583" hidden="1" ht="105" customHeight="1" s="54">
      <c r="B583" s="59" t="inlineStr">
        <is>
          <t>R-0578</t>
        </is>
      </c>
      <c r="C583" s="59" t="inlineStr">
        <is>
          <t>COM-18</t>
        </is>
      </c>
      <c r="D583" s="64">
        <f>IFERROR(INDEX(MgNombre,MATCH($C583,MgActId,0)),"")</f>
        <v/>
      </c>
      <c r="E583" s="64">
        <f>IFERROR(INDEX(MgProceso,MATCH($C583,MgActId,0)),"")</f>
        <v/>
      </c>
      <c r="F583" s="64">
        <f>IFERROR(INDEX(MgTipo,MATCH($C583,MgActId,0)),"")</f>
        <v/>
      </c>
      <c r="G583" s="64">
        <f>IFERROR(INDEX(MgSubtipo,MATCH($C583,MgActId,0)),"")</f>
        <v/>
      </c>
      <c r="H583" s="59" t="inlineStr">
        <is>
          <t>A.6</t>
        </is>
      </c>
      <c r="I583" s="64">
        <f>IFERROR(INDEX(MgAmenNombre,MATCH(SUBSTITUTE($H583,"*","-"),MgAmenClave,0)),"")</f>
        <v/>
      </c>
      <c r="J583" s="28">
        <f>IFERROR(INDEX(MgAmenGrupo,MATCH(SUBSTITUTE($H583,"*","-"),MgAmenClave,0)),"")</f>
        <v/>
      </c>
      <c r="K583" s="64">
        <f>IFERROR(INDEX('1. Matriz de Activos'!$Q$6:$Q$239,MATCH($C583,MgActId,0)),"")</f>
        <v/>
      </c>
      <c r="L583" s="64">
        <f>IFERROR(INDEX('1. Matriz de Activos'!$R$6:$R$239,MATCH($C583,MgActId,0)),"")</f>
        <v/>
      </c>
      <c r="M583" s="64">
        <f>IFERROR(INDEX('1. Matriz de Activos'!$S$6:$S$239,MATCH($C583,MgActId,0)),"")</f>
        <v/>
      </c>
      <c r="N583" s="28">
        <f>IFERROR(INDEX(MgAmenDegD,MATCH(SUBSTITUTE($H583,"*","-"),MgAmenClave,0)),"No aplica")</f>
        <v/>
      </c>
      <c r="O583" s="28">
        <f>IFERROR(INDEX(MgAmenDegI,MATCH(SUBSTITUTE($H583,"*","-"),MgAmenClave,0)),"No aplica")</f>
        <v/>
      </c>
      <c r="P583" s="28">
        <f>IFERROR(INDEX(MgAmenDegC,MATCH(SUBSTITUTE($H583,"*","-"),MgAmenClave,0)),"No aplica")</f>
        <v/>
      </c>
      <c r="Q583" s="29">
        <f>IFERROR(VLOOKUP(K583,MgValor,2,0)*VLOOKUP(N583,MgDeg,2,0),0)</f>
        <v/>
      </c>
      <c r="R583" s="29">
        <f>IFERROR(VLOOKUP(L583,MgValor,2,0)*VLOOKUP(O583,MgDeg,2,0),0)</f>
        <v/>
      </c>
      <c r="S583" s="29">
        <f>IFERROR(VLOOKUP(M583,MgValor,2,0)*VLOOKUP(P583,MgDeg,2,0),0)</f>
        <v/>
      </c>
      <c r="T583" s="30">
        <f>MAX(Q583:S583)</f>
        <v/>
      </c>
      <c r="U583" s="28">
        <f>IFERROR(LOOKUP(T583,{0;0.5;1.5;3;4.5},{"Despreciable";"Bajo";"Medio";"Alto";"Muy alto"}),"")</f>
        <v/>
      </c>
      <c r="V583" s="13">
        <f>IFERROR(INDEX(MgAmenFrec,MATCH(SUBSTITUTE($H583,"*","-"),MgAmenClave,0)),"")</f>
        <v/>
      </c>
      <c r="W583" s="28">
        <f>IFERROR(LOOKUP(X583,{0;0.01;0.1;1;10;100},{"Muy baja";"Muy baja";"Baja";"Media";"Alta";"Muy alta"}),"")</f>
        <v/>
      </c>
      <c r="X583" s="31">
        <f>IFERROR(VLOOKUP(V583,MgFrec,2,0),0)</f>
        <v/>
      </c>
      <c r="Y583" s="30">
        <f>T583*X583</f>
        <v/>
      </c>
      <c r="Z583" s="28">
        <f>IFERROR(LOOKUP(Y583,{0;0.5;5;25},{"Bajo";"Medio";"Alto";"Crítico"}),"")</f>
        <v/>
      </c>
      <c r="AA583" s="64">
        <f>IF(T583&gt;=3,IF(X583&gt;=1,"Zona 1 — Crítica: impacto alto y ocurre al menos una vez al año","Zona 4 — Catastrófica poco probable: impacto alto pero excepcional"),IF(AND(T583&lt;1.5,X583&lt;1),"Zona 3 — Asumible: impacto bajo y muy poco frecuente","Zona 2 — Atención: riesgo intermedio"))</f>
        <v/>
      </c>
      <c r="AB583" s="64">
        <f>IFERROR(INDEX(MgAmenCtrl,MATCH(SUBSTITUTE($H583,"*","-"),MgAmenClave,0)),"")</f>
        <v/>
      </c>
      <c r="AC583" s="20" t="n"/>
      <c r="AD583" s="31">
        <f>IFERROR($X583*(1-IF($AC583="",$AL583,VLOOKUP($AC583,MgMad,2,0))),"")</f>
        <v/>
      </c>
      <c r="AE583" s="28">
        <f>IFERROR(LOOKUP(AD583,{0;0.01;0.1;1;10;100},{"Muy baja";"Muy baja";"Baja";"Media";"Alta";"Muy alta"}),"")</f>
        <v/>
      </c>
      <c r="AF583" s="30">
        <f>T583*AD583</f>
        <v/>
      </c>
      <c r="AG583" s="28">
        <f>IFERROR(LOOKUP(AF583,{0;0.5;5;25},{"Bajo";"Medio";"Alto";"Crítico"}),"")</f>
        <v/>
      </c>
      <c r="AH583" s="28">
        <f>IF(AG583="","",IF(OR(AG583="Crítico",AG583="Alto"),"Mitigar",IF(AG583="Medio","Mitigar","Aceptar y monitorear")))</f>
        <v/>
      </c>
      <c r="AI583" s="21" t="n"/>
      <c r="AJ583" s="21" t="n"/>
      <c r="AK583" s="20" t="n"/>
      <c r="AL583" s="77">
        <f>IFERROR(INDEX(MgAmenEfic,MATCH(SUBSTITUTE($H583,"*","-"),MgAmenClave,0)),0)</f>
        <v/>
      </c>
    </row>
    <row r="584" hidden="1" ht="120" customHeight="1" s="54">
      <c r="B584" s="59" t="inlineStr">
        <is>
          <t>R-0579</t>
        </is>
      </c>
      <c r="C584" s="59" t="inlineStr">
        <is>
          <t>COM-18</t>
        </is>
      </c>
      <c r="D584" s="64">
        <f>IFERROR(INDEX(MgNombre,MATCH($C584,MgActId,0)),"")</f>
        <v/>
      </c>
      <c r="E584" s="64">
        <f>IFERROR(INDEX(MgProceso,MATCH($C584,MgActId,0)),"")</f>
        <v/>
      </c>
      <c r="F584" s="64">
        <f>IFERROR(INDEX(MgTipo,MATCH($C584,MgActId,0)),"")</f>
        <v/>
      </c>
      <c r="G584" s="64">
        <f>IFERROR(INDEX(MgSubtipo,MATCH($C584,MgActId,0)),"")</f>
        <v/>
      </c>
      <c r="H584" s="59" t="inlineStr">
        <is>
          <t>A.11</t>
        </is>
      </c>
      <c r="I584" s="64">
        <f>IFERROR(INDEX(MgAmenNombre,MATCH(SUBSTITUTE($H584,"*","-"),MgAmenClave,0)),"")</f>
        <v/>
      </c>
      <c r="J584" s="28">
        <f>IFERROR(INDEX(MgAmenGrupo,MATCH(SUBSTITUTE($H584,"*","-"),MgAmenClave,0)),"")</f>
        <v/>
      </c>
      <c r="K584" s="64">
        <f>IFERROR(INDEX('1. Matriz de Activos'!$Q$6:$Q$239,MATCH($C584,MgActId,0)),"")</f>
        <v/>
      </c>
      <c r="L584" s="64">
        <f>IFERROR(INDEX('1. Matriz de Activos'!$R$6:$R$239,MATCH($C584,MgActId,0)),"")</f>
        <v/>
      </c>
      <c r="M584" s="64">
        <f>IFERROR(INDEX('1. Matriz de Activos'!$S$6:$S$239,MATCH($C584,MgActId,0)),"")</f>
        <v/>
      </c>
      <c r="N584" s="28">
        <f>IFERROR(INDEX(MgAmenDegD,MATCH(SUBSTITUTE($H584,"*","-"),MgAmenClave,0)),"No aplica")</f>
        <v/>
      </c>
      <c r="O584" s="28">
        <f>IFERROR(INDEX(MgAmenDegI,MATCH(SUBSTITUTE($H584,"*","-"),MgAmenClave,0)),"No aplica")</f>
        <v/>
      </c>
      <c r="P584" s="28">
        <f>IFERROR(INDEX(MgAmenDegC,MATCH(SUBSTITUTE($H584,"*","-"),MgAmenClave,0)),"No aplica")</f>
        <v/>
      </c>
      <c r="Q584" s="29">
        <f>IFERROR(VLOOKUP(K584,MgValor,2,0)*VLOOKUP(N584,MgDeg,2,0),0)</f>
        <v/>
      </c>
      <c r="R584" s="29">
        <f>IFERROR(VLOOKUP(L584,MgValor,2,0)*VLOOKUP(O584,MgDeg,2,0),0)</f>
        <v/>
      </c>
      <c r="S584" s="29">
        <f>IFERROR(VLOOKUP(M584,MgValor,2,0)*VLOOKUP(P584,MgDeg,2,0),0)</f>
        <v/>
      </c>
      <c r="T584" s="30">
        <f>MAX(Q584:S584)</f>
        <v/>
      </c>
      <c r="U584" s="28">
        <f>IFERROR(LOOKUP(T584,{0;0.5;1.5;3;4.5},{"Despreciable";"Bajo";"Medio";"Alto";"Muy alto"}),"")</f>
        <v/>
      </c>
      <c r="V584" s="13">
        <f>IFERROR(INDEX(MgAmenFrec,MATCH(SUBSTITUTE($H584,"*","-"),MgAmenClave,0)),"")</f>
        <v/>
      </c>
      <c r="W584" s="28">
        <f>IFERROR(LOOKUP(X584,{0;0.01;0.1;1;10;100},{"Muy baja";"Muy baja";"Baja";"Media";"Alta";"Muy alta"}),"")</f>
        <v/>
      </c>
      <c r="X584" s="31">
        <f>IFERROR(VLOOKUP(V584,MgFrec,2,0),0)</f>
        <v/>
      </c>
      <c r="Y584" s="30">
        <f>T584*X584</f>
        <v/>
      </c>
      <c r="Z584" s="28">
        <f>IFERROR(LOOKUP(Y584,{0;0.5;5;25},{"Bajo";"Medio";"Alto";"Crítico"}),"")</f>
        <v/>
      </c>
      <c r="AA584" s="64">
        <f>IF(T584&gt;=3,IF(X584&gt;=1,"Zona 1 — Crítica: impacto alto y ocurre al menos una vez al año","Zona 4 — Catastrófica poco probable: impacto alto pero excepcional"),IF(AND(T584&lt;1.5,X584&lt;1),"Zona 3 — Asumible: impacto bajo y muy poco frecuente","Zona 2 — Atención: riesgo intermedio"))</f>
        <v/>
      </c>
      <c r="AB584" s="64">
        <f>IFERROR(INDEX(MgAmenCtrl,MATCH(SUBSTITUTE($H584,"*","-"),MgAmenClave,0)),"")</f>
        <v/>
      </c>
      <c r="AC584" s="20" t="n"/>
      <c r="AD584" s="31">
        <f>IFERROR($X584*(1-IF($AC584="",$AL584,VLOOKUP($AC584,MgMad,2,0))),"")</f>
        <v/>
      </c>
      <c r="AE584" s="28">
        <f>IFERROR(LOOKUP(AD584,{0;0.01;0.1;1;10;100},{"Muy baja";"Muy baja";"Baja";"Media";"Alta";"Muy alta"}),"")</f>
        <v/>
      </c>
      <c r="AF584" s="30">
        <f>T584*AD584</f>
        <v/>
      </c>
      <c r="AG584" s="28">
        <f>IFERROR(LOOKUP(AF584,{0;0.5;5;25},{"Bajo";"Medio";"Alto";"Crítico"}),"")</f>
        <v/>
      </c>
      <c r="AH584" s="28">
        <f>IF(AG584="","",IF(OR(AG584="Crítico",AG584="Alto"),"Mitigar",IF(AG584="Medio","Mitigar","Aceptar y monitorear")))</f>
        <v/>
      </c>
      <c r="AI584" s="21" t="n"/>
      <c r="AJ584" s="21" t="n"/>
      <c r="AK584" s="20" t="n"/>
      <c r="AL584" s="77">
        <f>IFERROR(INDEX(MgAmenEfic,MATCH(SUBSTITUTE($H584,"*","-"),MgAmenClave,0)),0)</f>
        <v/>
      </c>
    </row>
    <row r="585" hidden="1" ht="90" customHeight="1" s="54">
      <c r="B585" s="59" t="inlineStr">
        <is>
          <t>R-0580</t>
        </is>
      </c>
      <c r="C585" s="59" t="inlineStr">
        <is>
          <t>COM-18</t>
        </is>
      </c>
      <c r="D585" s="64">
        <f>IFERROR(INDEX(MgNombre,MATCH($C585,MgActId,0)),"")</f>
        <v/>
      </c>
      <c r="E585" s="64">
        <f>IFERROR(INDEX(MgProceso,MATCH($C585,MgActId,0)),"")</f>
        <v/>
      </c>
      <c r="F585" s="64">
        <f>IFERROR(INDEX(MgTipo,MATCH($C585,MgActId,0)),"")</f>
        <v/>
      </c>
      <c r="G585" s="64">
        <f>IFERROR(INDEX(MgSubtipo,MATCH($C585,MgActId,0)),"")</f>
        <v/>
      </c>
      <c r="H585" s="59" t="inlineStr">
        <is>
          <t>A.13</t>
        </is>
      </c>
      <c r="I585" s="64">
        <f>IFERROR(INDEX(MgAmenNombre,MATCH(SUBSTITUTE($H585,"*","-"),MgAmenClave,0)),"")</f>
        <v/>
      </c>
      <c r="J585" s="28">
        <f>IFERROR(INDEX(MgAmenGrupo,MATCH(SUBSTITUTE($H585,"*","-"),MgAmenClave,0)),"")</f>
        <v/>
      </c>
      <c r="K585" s="64">
        <f>IFERROR(INDEX('1. Matriz de Activos'!$Q$6:$Q$239,MATCH($C585,MgActId,0)),"")</f>
        <v/>
      </c>
      <c r="L585" s="64">
        <f>IFERROR(INDEX('1. Matriz de Activos'!$R$6:$R$239,MATCH($C585,MgActId,0)),"")</f>
        <v/>
      </c>
      <c r="M585" s="64">
        <f>IFERROR(INDEX('1. Matriz de Activos'!$S$6:$S$239,MATCH($C585,MgActId,0)),"")</f>
        <v/>
      </c>
      <c r="N585" s="28">
        <f>IFERROR(INDEX(MgAmenDegD,MATCH(SUBSTITUTE($H585,"*","-"),MgAmenClave,0)),"No aplica")</f>
        <v/>
      </c>
      <c r="O585" s="28">
        <f>IFERROR(INDEX(MgAmenDegI,MATCH(SUBSTITUTE($H585,"*","-"),MgAmenClave,0)),"No aplica")</f>
        <v/>
      </c>
      <c r="P585" s="28">
        <f>IFERROR(INDEX(MgAmenDegC,MATCH(SUBSTITUTE($H585,"*","-"),MgAmenClave,0)),"No aplica")</f>
        <v/>
      </c>
      <c r="Q585" s="29">
        <f>IFERROR(VLOOKUP(K585,MgValor,2,0)*VLOOKUP(N585,MgDeg,2,0),0)</f>
        <v/>
      </c>
      <c r="R585" s="29">
        <f>IFERROR(VLOOKUP(L585,MgValor,2,0)*VLOOKUP(O585,MgDeg,2,0),0)</f>
        <v/>
      </c>
      <c r="S585" s="29">
        <f>IFERROR(VLOOKUP(M585,MgValor,2,0)*VLOOKUP(P585,MgDeg,2,0),0)</f>
        <v/>
      </c>
      <c r="T585" s="30">
        <f>MAX(Q585:S585)</f>
        <v/>
      </c>
      <c r="U585" s="28">
        <f>IFERROR(LOOKUP(T585,{0;0.5;1.5;3;4.5},{"Despreciable";"Bajo";"Medio";"Alto";"Muy alto"}),"")</f>
        <v/>
      </c>
      <c r="V585" s="13">
        <f>IFERROR(INDEX(MgAmenFrec,MATCH(SUBSTITUTE($H585,"*","-"),MgAmenClave,0)),"")</f>
        <v/>
      </c>
      <c r="W585" s="28">
        <f>IFERROR(LOOKUP(X585,{0;0.01;0.1;1;10;100},{"Muy baja";"Muy baja";"Baja";"Media";"Alta";"Muy alta"}),"")</f>
        <v/>
      </c>
      <c r="X585" s="31">
        <f>IFERROR(VLOOKUP(V585,MgFrec,2,0),0)</f>
        <v/>
      </c>
      <c r="Y585" s="30">
        <f>T585*X585</f>
        <v/>
      </c>
      <c r="Z585" s="28">
        <f>IFERROR(LOOKUP(Y585,{0;0.5;5;25},{"Bajo";"Medio";"Alto";"Crítico"}),"")</f>
        <v/>
      </c>
      <c r="AA585" s="64">
        <f>IF(T585&gt;=3,IF(X585&gt;=1,"Zona 1 — Crítica: impacto alto y ocurre al menos una vez al año","Zona 4 — Catastrófica poco probable: impacto alto pero excepcional"),IF(AND(T585&lt;1.5,X585&lt;1),"Zona 3 — Asumible: impacto bajo y muy poco frecuente","Zona 2 — Atención: riesgo intermedio"))</f>
        <v/>
      </c>
      <c r="AB585" s="64">
        <f>IFERROR(INDEX(MgAmenCtrl,MATCH(SUBSTITUTE($H585,"*","-"),MgAmenClave,0)),"")</f>
        <v/>
      </c>
      <c r="AC585" s="20" t="n"/>
      <c r="AD585" s="31">
        <f>IFERROR($X585*(1-IF($AC585="",$AL585,VLOOKUP($AC585,MgMad,2,0))),"")</f>
        <v/>
      </c>
      <c r="AE585" s="28">
        <f>IFERROR(LOOKUP(AD585,{0;0.01;0.1;1;10;100},{"Muy baja";"Muy baja";"Baja";"Media";"Alta";"Muy alta"}),"")</f>
        <v/>
      </c>
      <c r="AF585" s="30">
        <f>T585*AD585</f>
        <v/>
      </c>
      <c r="AG585" s="28">
        <f>IFERROR(LOOKUP(AF585,{0;0.5;5;25},{"Bajo";"Medio";"Alto";"Crítico"}),"")</f>
        <v/>
      </c>
      <c r="AH585" s="28">
        <f>IF(AG585="","",IF(OR(AG585="Crítico",AG585="Alto"),"Mitigar",IF(AG585="Medio","Mitigar","Aceptar y monitorear")))</f>
        <v/>
      </c>
      <c r="AI585" s="21" t="n"/>
      <c r="AJ585" s="21" t="n"/>
      <c r="AK585" s="20" t="n"/>
      <c r="AL585" s="77">
        <f>IFERROR(INDEX(MgAmenEfic,MATCH(SUBSTITUTE($H585,"*","-"),MgAmenClave,0)),0)</f>
        <v/>
      </c>
    </row>
    <row r="586" hidden="1" ht="60" customHeight="1" s="54">
      <c r="B586" s="59" t="inlineStr">
        <is>
          <t>R-0581</t>
        </is>
      </c>
      <c r="C586" s="59" t="inlineStr">
        <is>
          <t>COM-18</t>
        </is>
      </c>
      <c r="D586" s="64">
        <f>IFERROR(INDEX(MgNombre,MATCH($C586,MgActId,0)),"")</f>
        <v/>
      </c>
      <c r="E586" s="64">
        <f>IFERROR(INDEX(MgProceso,MATCH($C586,MgActId,0)),"")</f>
        <v/>
      </c>
      <c r="F586" s="64">
        <f>IFERROR(INDEX(MgTipo,MATCH($C586,MgActId,0)),"")</f>
        <v/>
      </c>
      <c r="G586" s="64">
        <f>IFERROR(INDEX(MgSubtipo,MATCH($C586,MgActId,0)),"")</f>
        <v/>
      </c>
      <c r="H586" s="59" t="inlineStr">
        <is>
          <t>A.15</t>
        </is>
      </c>
      <c r="I586" s="64">
        <f>IFERROR(INDEX(MgAmenNombre,MATCH(SUBSTITUTE($H586,"*","-"),MgAmenClave,0)),"")</f>
        <v/>
      </c>
      <c r="J586" s="28">
        <f>IFERROR(INDEX(MgAmenGrupo,MATCH(SUBSTITUTE($H586,"*","-"),MgAmenClave,0)),"")</f>
        <v/>
      </c>
      <c r="K586" s="64">
        <f>IFERROR(INDEX('1. Matriz de Activos'!$Q$6:$Q$239,MATCH($C586,MgActId,0)),"")</f>
        <v/>
      </c>
      <c r="L586" s="64">
        <f>IFERROR(INDEX('1. Matriz de Activos'!$R$6:$R$239,MATCH($C586,MgActId,0)),"")</f>
        <v/>
      </c>
      <c r="M586" s="64">
        <f>IFERROR(INDEX('1. Matriz de Activos'!$S$6:$S$239,MATCH($C586,MgActId,0)),"")</f>
        <v/>
      </c>
      <c r="N586" s="28">
        <f>IFERROR(INDEX(MgAmenDegD,MATCH(SUBSTITUTE($H586,"*","-"),MgAmenClave,0)),"No aplica")</f>
        <v/>
      </c>
      <c r="O586" s="28">
        <f>IFERROR(INDEX(MgAmenDegI,MATCH(SUBSTITUTE($H586,"*","-"),MgAmenClave,0)),"No aplica")</f>
        <v/>
      </c>
      <c r="P586" s="28">
        <f>IFERROR(INDEX(MgAmenDegC,MATCH(SUBSTITUTE($H586,"*","-"),MgAmenClave,0)),"No aplica")</f>
        <v/>
      </c>
      <c r="Q586" s="29">
        <f>IFERROR(VLOOKUP(K586,MgValor,2,0)*VLOOKUP(N586,MgDeg,2,0),0)</f>
        <v/>
      </c>
      <c r="R586" s="29">
        <f>IFERROR(VLOOKUP(L586,MgValor,2,0)*VLOOKUP(O586,MgDeg,2,0),0)</f>
        <v/>
      </c>
      <c r="S586" s="29">
        <f>IFERROR(VLOOKUP(M586,MgValor,2,0)*VLOOKUP(P586,MgDeg,2,0),0)</f>
        <v/>
      </c>
      <c r="T586" s="30">
        <f>MAX(Q586:S586)</f>
        <v/>
      </c>
      <c r="U586" s="28">
        <f>IFERROR(LOOKUP(T586,{0;0.5;1.5;3;4.5},{"Despreciable";"Bajo";"Medio";"Alto";"Muy alto"}),"")</f>
        <v/>
      </c>
      <c r="V586" s="13">
        <f>IFERROR(INDEX(MgAmenFrec,MATCH(SUBSTITUTE($H586,"*","-"),MgAmenClave,0)),"")</f>
        <v/>
      </c>
      <c r="W586" s="28">
        <f>IFERROR(LOOKUP(X586,{0;0.01;0.1;1;10;100},{"Muy baja";"Muy baja";"Baja";"Media";"Alta";"Muy alta"}),"")</f>
        <v/>
      </c>
      <c r="X586" s="31">
        <f>IFERROR(VLOOKUP(V586,MgFrec,2,0),0)</f>
        <v/>
      </c>
      <c r="Y586" s="30">
        <f>T586*X586</f>
        <v/>
      </c>
      <c r="Z586" s="28">
        <f>IFERROR(LOOKUP(Y586,{0;0.5;5;25},{"Bajo";"Medio";"Alto";"Crítico"}),"")</f>
        <v/>
      </c>
      <c r="AA586" s="64">
        <f>IF(T586&gt;=3,IF(X586&gt;=1,"Zona 1 — Crítica: impacto alto y ocurre al menos una vez al año","Zona 4 — Catastrófica poco probable: impacto alto pero excepcional"),IF(AND(T586&lt;1.5,X586&lt;1),"Zona 3 — Asumible: impacto bajo y muy poco frecuente","Zona 2 — Atención: riesgo intermedio"))</f>
        <v/>
      </c>
      <c r="AB586" s="64">
        <f>IFERROR(INDEX(MgAmenCtrl,MATCH(SUBSTITUTE($H586,"*","-"),MgAmenClave,0)),"")</f>
        <v/>
      </c>
      <c r="AC586" s="20" t="n"/>
      <c r="AD586" s="31">
        <f>IFERROR($X586*(1-IF($AC586="",$AL586,VLOOKUP($AC586,MgMad,2,0))),"")</f>
        <v/>
      </c>
      <c r="AE586" s="28">
        <f>IFERROR(LOOKUP(AD586,{0;0.01;0.1;1;10;100},{"Muy baja";"Muy baja";"Baja";"Media";"Alta";"Muy alta"}),"")</f>
        <v/>
      </c>
      <c r="AF586" s="30">
        <f>T586*AD586</f>
        <v/>
      </c>
      <c r="AG586" s="28">
        <f>IFERROR(LOOKUP(AF586,{0;0.5;5;25},{"Bajo";"Medio";"Alto";"Crítico"}),"")</f>
        <v/>
      </c>
      <c r="AH586" s="28">
        <f>IF(AG586="","",IF(OR(AG586="Crítico",AG586="Alto"),"Mitigar",IF(AG586="Medio","Mitigar","Aceptar y monitorear")))</f>
        <v/>
      </c>
      <c r="AI586" s="21" t="n"/>
      <c r="AJ586" s="21" t="n"/>
      <c r="AK586" s="20" t="n"/>
      <c r="AL586" s="77">
        <f>IFERROR(INDEX(MgAmenEfic,MATCH(SUBSTITUTE($H586,"*","-"),MgAmenClave,0)),0)</f>
        <v/>
      </c>
    </row>
    <row r="587" hidden="1" ht="60" customHeight="1" s="54">
      <c r="B587" s="59" t="inlineStr">
        <is>
          <t>R-0582</t>
        </is>
      </c>
      <c r="C587" s="59" t="inlineStr">
        <is>
          <t>COM-18</t>
        </is>
      </c>
      <c r="D587" s="64">
        <f>IFERROR(INDEX(MgNombre,MATCH($C587,MgActId,0)),"")</f>
        <v/>
      </c>
      <c r="E587" s="64">
        <f>IFERROR(INDEX(MgProceso,MATCH($C587,MgActId,0)),"")</f>
        <v/>
      </c>
      <c r="F587" s="64">
        <f>IFERROR(INDEX(MgTipo,MATCH($C587,MgActId,0)),"")</f>
        <v/>
      </c>
      <c r="G587" s="64">
        <f>IFERROR(INDEX(MgSubtipo,MATCH($C587,MgActId,0)),"")</f>
        <v/>
      </c>
      <c r="H587" s="59" t="inlineStr">
        <is>
          <t>A.18</t>
        </is>
      </c>
      <c r="I587" s="64">
        <f>IFERROR(INDEX(MgAmenNombre,MATCH(SUBSTITUTE($H587,"*","-"),MgAmenClave,0)),"")</f>
        <v/>
      </c>
      <c r="J587" s="28">
        <f>IFERROR(INDEX(MgAmenGrupo,MATCH(SUBSTITUTE($H587,"*","-"),MgAmenClave,0)),"")</f>
        <v/>
      </c>
      <c r="K587" s="64">
        <f>IFERROR(INDEX('1. Matriz de Activos'!$Q$6:$Q$239,MATCH($C587,MgActId,0)),"")</f>
        <v/>
      </c>
      <c r="L587" s="64">
        <f>IFERROR(INDEX('1. Matriz de Activos'!$R$6:$R$239,MATCH($C587,MgActId,0)),"")</f>
        <v/>
      </c>
      <c r="M587" s="64">
        <f>IFERROR(INDEX('1. Matriz de Activos'!$S$6:$S$239,MATCH($C587,MgActId,0)),"")</f>
        <v/>
      </c>
      <c r="N587" s="28">
        <f>IFERROR(INDEX(MgAmenDegD,MATCH(SUBSTITUTE($H587,"*","-"),MgAmenClave,0)),"No aplica")</f>
        <v/>
      </c>
      <c r="O587" s="28">
        <f>IFERROR(INDEX(MgAmenDegI,MATCH(SUBSTITUTE($H587,"*","-"),MgAmenClave,0)),"No aplica")</f>
        <v/>
      </c>
      <c r="P587" s="28">
        <f>IFERROR(INDEX(MgAmenDegC,MATCH(SUBSTITUTE($H587,"*","-"),MgAmenClave,0)),"No aplica")</f>
        <v/>
      </c>
      <c r="Q587" s="29">
        <f>IFERROR(VLOOKUP(K587,MgValor,2,0)*VLOOKUP(N587,MgDeg,2,0),0)</f>
        <v/>
      </c>
      <c r="R587" s="29">
        <f>IFERROR(VLOOKUP(L587,MgValor,2,0)*VLOOKUP(O587,MgDeg,2,0),0)</f>
        <v/>
      </c>
      <c r="S587" s="29">
        <f>IFERROR(VLOOKUP(M587,MgValor,2,0)*VLOOKUP(P587,MgDeg,2,0),0)</f>
        <v/>
      </c>
      <c r="T587" s="30">
        <f>MAX(Q587:S587)</f>
        <v/>
      </c>
      <c r="U587" s="28">
        <f>IFERROR(LOOKUP(T587,{0;0.5;1.5;3;4.5},{"Despreciable";"Bajo";"Medio";"Alto";"Muy alto"}),"")</f>
        <v/>
      </c>
      <c r="V587" s="13">
        <f>IFERROR(INDEX(MgAmenFrec,MATCH(SUBSTITUTE($H587,"*","-"),MgAmenClave,0)),"")</f>
        <v/>
      </c>
      <c r="W587" s="28">
        <f>IFERROR(LOOKUP(X587,{0;0.01;0.1;1;10;100},{"Muy baja";"Muy baja";"Baja";"Media";"Alta";"Muy alta"}),"")</f>
        <v/>
      </c>
      <c r="X587" s="31">
        <f>IFERROR(VLOOKUP(V587,MgFrec,2,0),0)</f>
        <v/>
      </c>
      <c r="Y587" s="30">
        <f>T587*X587</f>
        <v/>
      </c>
      <c r="Z587" s="28">
        <f>IFERROR(LOOKUP(Y587,{0;0.5;5;25},{"Bajo";"Medio";"Alto";"Crítico"}),"")</f>
        <v/>
      </c>
      <c r="AA587" s="64">
        <f>IF(T587&gt;=3,IF(X587&gt;=1,"Zona 1 — Crítica: impacto alto y ocurre al menos una vez al año","Zona 4 — Catastrófica poco probable: impacto alto pero excepcional"),IF(AND(T587&lt;1.5,X587&lt;1),"Zona 3 — Asumible: impacto bajo y muy poco frecuente","Zona 2 — Atención: riesgo intermedio"))</f>
        <v/>
      </c>
      <c r="AB587" s="64">
        <f>IFERROR(INDEX(MgAmenCtrl,MATCH(SUBSTITUTE($H587,"*","-"),MgAmenClave,0)),"")</f>
        <v/>
      </c>
      <c r="AC587" s="20" t="n"/>
      <c r="AD587" s="31">
        <f>IFERROR($X587*(1-IF($AC587="",$AL587,VLOOKUP($AC587,MgMad,2,0))),"")</f>
        <v/>
      </c>
      <c r="AE587" s="28">
        <f>IFERROR(LOOKUP(AD587,{0;0.01;0.1;1;10;100},{"Muy baja";"Muy baja";"Baja";"Media";"Alta";"Muy alta"}),"")</f>
        <v/>
      </c>
      <c r="AF587" s="30">
        <f>T587*AD587</f>
        <v/>
      </c>
      <c r="AG587" s="28">
        <f>IFERROR(LOOKUP(AF587,{0;0.5;5;25},{"Bajo";"Medio";"Alto";"Crítico"}),"")</f>
        <v/>
      </c>
      <c r="AH587" s="28">
        <f>IF(AG587="","",IF(OR(AG587="Crítico",AG587="Alto"),"Mitigar",IF(AG587="Medio","Mitigar","Aceptar y monitorear")))</f>
        <v/>
      </c>
      <c r="AI587" s="21" t="n"/>
      <c r="AJ587" s="21" t="n"/>
      <c r="AK587" s="20" t="n"/>
      <c r="AL587" s="77">
        <f>IFERROR(INDEX(MgAmenEfic,MATCH(SUBSTITUTE($H587,"*","-"),MgAmenClave,0)),0)</f>
        <v/>
      </c>
    </row>
    <row r="588" hidden="1" ht="120" customHeight="1" s="54">
      <c r="B588" s="59" t="inlineStr">
        <is>
          <t>R-0583</t>
        </is>
      </c>
      <c r="C588" s="59" t="inlineStr">
        <is>
          <t>COM-18</t>
        </is>
      </c>
      <c r="D588" s="64">
        <f>IFERROR(INDEX(MgNombre,MATCH($C588,MgActId,0)),"")</f>
        <v/>
      </c>
      <c r="E588" s="64">
        <f>IFERROR(INDEX(MgProceso,MATCH($C588,MgActId,0)),"")</f>
        <v/>
      </c>
      <c r="F588" s="64">
        <f>IFERROR(INDEX(MgTipo,MATCH($C588,MgActId,0)),"")</f>
        <v/>
      </c>
      <c r="G588" s="64">
        <f>IFERROR(INDEX(MgSubtipo,MATCH($C588,MgActId,0)),"")</f>
        <v/>
      </c>
      <c r="H588" s="59" t="inlineStr">
        <is>
          <t>A.19</t>
        </is>
      </c>
      <c r="I588" s="64">
        <f>IFERROR(INDEX(MgAmenNombre,MATCH(SUBSTITUTE($H588,"*","-"),MgAmenClave,0)),"")</f>
        <v/>
      </c>
      <c r="J588" s="28">
        <f>IFERROR(INDEX(MgAmenGrupo,MATCH(SUBSTITUTE($H588,"*","-"),MgAmenClave,0)),"")</f>
        <v/>
      </c>
      <c r="K588" s="64">
        <f>IFERROR(INDEX('1. Matriz de Activos'!$Q$6:$Q$239,MATCH($C588,MgActId,0)),"")</f>
        <v/>
      </c>
      <c r="L588" s="64">
        <f>IFERROR(INDEX('1. Matriz de Activos'!$R$6:$R$239,MATCH($C588,MgActId,0)),"")</f>
        <v/>
      </c>
      <c r="M588" s="64">
        <f>IFERROR(INDEX('1. Matriz de Activos'!$S$6:$S$239,MATCH($C588,MgActId,0)),"")</f>
        <v/>
      </c>
      <c r="N588" s="28">
        <f>IFERROR(INDEX(MgAmenDegD,MATCH(SUBSTITUTE($H588,"*","-"),MgAmenClave,0)),"No aplica")</f>
        <v/>
      </c>
      <c r="O588" s="28">
        <f>IFERROR(INDEX(MgAmenDegI,MATCH(SUBSTITUTE($H588,"*","-"),MgAmenClave,0)),"No aplica")</f>
        <v/>
      </c>
      <c r="P588" s="28">
        <f>IFERROR(INDEX(MgAmenDegC,MATCH(SUBSTITUTE($H588,"*","-"),MgAmenClave,0)),"No aplica")</f>
        <v/>
      </c>
      <c r="Q588" s="29">
        <f>IFERROR(VLOOKUP(K588,MgValor,2,0)*VLOOKUP(N588,MgDeg,2,0),0)</f>
        <v/>
      </c>
      <c r="R588" s="29">
        <f>IFERROR(VLOOKUP(L588,MgValor,2,0)*VLOOKUP(O588,MgDeg,2,0),0)</f>
        <v/>
      </c>
      <c r="S588" s="29">
        <f>IFERROR(VLOOKUP(M588,MgValor,2,0)*VLOOKUP(P588,MgDeg,2,0),0)</f>
        <v/>
      </c>
      <c r="T588" s="30">
        <f>MAX(Q588:S588)</f>
        <v/>
      </c>
      <c r="U588" s="28">
        <f>IFERROR(LOOKUP(T588,{0;0.5;1.5;3;4.5},{"Despreciable";"Bajo";"Medio";"Alto";"Muy alto"}),"")</f>
        <v/>
      </c>
      <c r="V588" s="13">
        <f>IFERROR(INDEX(MgAmenFrec,MATCH(SUBSTITUTE($H588,"*","-"),MgAmenClave,0)),"")</f>
        <v/>
      </c>
      <c r="W588" s="28">
        <f>IFERROR(LOOKUP(X588,{0;0.01;0.1;1;10;100},{"Muy baja";"Muy baja";"Baja";"Media";"Alta";"Muy alta"}),"")</f>
        <v/>
      </c>
      <c r="X588" s="31">
        <f>IFERROR(VLOOKUP(V588,MgFrec,2,0),0)</f>
        <v/>
      </c>
      <c r="Y588" s="30">
        <f>T588*X588</f>
        <v/>
      </c>
      <c r="Z588" s="28">
        <f>IFERROR(LOOKUP(Y588,{0;0.5;5;25},{"Bajo";"Medio";"Alto";"Crítico"}),"")</f>
        <v/>
      </c>
      <c r="AA588" s="64">
        <f>IF(T588&gt;=3,IF(X588&gt;=1,"Zona 1 — Crítica: impacto alto y ocurre al menos una vez al año","Zona 4 — Catastrófica poco probable: impacto alto pero excepcional"),IF(AND(T588&lt;1.5,X588&lt;1),"Zona 3 — Asumible: impacto bajo y muy poco frecuente","Zona 2 — Atención: riesgo intermedio"))</f>
        <v/>
      </c>
      <c r="AB588" s="64">
        <f>IFERROR(INDEX(MgAmenCtrl,MATCH(SUBSTITUTE($H588,"*","-"),MgAmenClave,0)),"")</f>
        <v/>
      </c>
      <c r="AC588" s="20" t="n"/>
      <c r="AD588" s="31">
        <f>IFERROR($X588*(1-IF($AC588="",$AL588,VLOOKUP($AC588,MgMad,2,0))),"")</f>
        <v/>
      </c>
      <c r="AE588" s="28">
        <f>IFERROR(LOOKUP(AD588,{0;0.01;0.1;1;10;100},{"Muy baja";"Muy baja";"Baja";"Media";"Alta";"Muy alta"}),"")</f>
        <v/>
      </c>
      <c r="AF588" s="30">
        <f>T588*AD588</f>
        <v/>
      </c>
      <c r="AG588" s="28">
        <f>IFERROR(LOOKUP(AF588,{0;0.5;5;25},{"Bajo";"Medio";"Alto";"Crítico"}),"")</f>
        <v/>
      </c>
      <c r="AH588" s="28">
        <f>IF(AG588="","",IF(OR(AG588="Crítico",AG588="Alto"),"Mitigar",IF(AG588="Medio","Mitigar","Aceptar y monitorear")))</f>
        <v/>
      </c>
      <c r="AI588" s="21" t="n"/>
      <c r="AJ588" s="21" t="n"/>
      <c r="AK588" s="20" t="n"/>
      <c r="AL588" s="77">
        <f>IFERROR(INDEX(MgAmenEfic,MATCH(SUBSTITUTE($H588,"*","-"),MgAmenClave,0)),0)</f>
        <v/>
      </c>
    </row>
    <row r="589" hidden="1" ht="105" customHeight="1" s="54">
      <c r="B589" s="59" t="inlineStr">
        <is>
          <t>R-0584</t>
        </is>
      </c>
      <c r="C589" s="59" t="inlineStr">
        <is>
          <t>COM-19</t>
        </is>
      </c>
      <c r="D589" s="64">
        <f>IFERROR(INDEX(MgNombre,MATCH($C589,MgActId,0)),"")</f>
        <v/>
      </c>
      <c r="E589" s="64">
        <f>IFERROR(INDEX(MgProceso,MATCH($C589,MgActId,0)),"")</f>
        <v/>
      </c>
      <c r="F589" s="64">
        <f>IFERROR(INDEX(MgTipo,MATCH($C589,MgActId,0)),"")</f>
        <v/>
      </c>
      <c r="G589" s="64">
        <f>IFERROR(INDEX(MgSubtipo,MATCH($C589,MgActId,0)),"")</f>
        <v/>
      </c>
      <c r="H589" s="59" t="inlineStr">
        <is>
          <t>E.1</t>
        </is>
      </c>
      <c r="I589" s="64">
        <f>IFERROR(INDEX(MgAmenNombre,MATCH(SUBSTITUTE($H589,"*","-"),MgAmenClave,0)),"")</f>
        <v/>
      </c>
      <c r="J589" s="28">
        <f>IFERROR(INDEX(MgAmenGrupo,MATCH(SUBSTITUTE($H589,"*","-"),MgAmenClave,0)),"")</f>
        <v/>
      </c>
      <c r="K589" s="64">
        <f>IFERROR(INDEX('1. Matriz de Activos'!$Q$6:$Q$239,MATCH($C589,MgActId,0)),"")</f>
        <v/>
      </c>
      <c r="L589" s="64">
        <f>IFERROR(INDEX('1. Matriz de Activos'!$R$6:$R$239,MATCH($C589,MgActId,0)),"")</f>
        <v/>
      </c>
      <c r="M589" s="64">
        <f>IFERROR(INDEX('1. Matriz de Activos'!$S$6:$S$239,MATCH($C589,MgActId,0)),"")</f>
        <v/>
      </c>
      <c r="N589" s="28">
        <f>IFERROR(INDEX(MgAmenDegD,MATCH(SUBSTITUTE($H589,"*","-"),MgAmenClave,0)),"No aplica")</f>
        <v/>
      </c>
      <c r="O589" s="28">
        <f>IFERROR(INDEX(MgAmenDegI,MATCH(SUBSTITUTE($H589,"*","-"),MgAmenClave,0)),"No aplica")</f>
        <v/>
      </c>
      <c r="P589" s="28">
        <f>IFERROR(INDEX(MgAmenDegC,MATCH(SUBSTITUTE($H589,"*","-"),MgAmenClave,0)),"No aplica")</f>
        <v/>
      </c>
      <c r="Q589" s="29">
        <f>IFERROR(VLOOKUP(K589,MgValor,2,0)*VLOOKUP(N589,MgDeg,2,0),0)</f>
        <v/>
      </c>
      <c r="R589" s="29">
        <f>IFERROR(VLOOKUP(L589,MgValor,2,0)*VLOOKUP(O589,MgDeg,2,0),0)</f>
        <v/>
      </c>
      <c r="S589" s="29">
        <f>IFERROR(VLOOKUP(M589,MgValor,2,0)*VLOOKUP(P589,MgDeg,2,0),0)</f>
        <v/>
      </c>
      <c r="T589" s="30">
        <f>MAX(Q589:S589)</f>
        <v/>
      </c>
      <c r="U589" s="28">
        <f>IFERROR(LOOKUP(T589,{0;0.5;1.5;3;4.5},{"Despreciable";"Bajo";"Medio";"Alto";"Muy alto"}),"")</f>
        <v/>
      </c>
      <c r="V589" s="13">
        <f>IFERROR(INDEX(MgAmenFrec,MATCH(SUBSTITUTE($H589,"*","-"),MgAmenClave,0)),"")</f>
        <v/>
      </c>
      <c r="W589" s="28">
        <f>IFERROR(LOOKUP(X589,{0;0.01;0.1;1;10;100},{"Muy baja";"Muy baja";"Baja";"Media";"Alta";"Muy alta"}),"")</f>
        <v/>
      </c>
      <c r="X589" s="31">
        <f>IFERROR(VLOOKUP(V589,MgFrec,2,0),0)</f>
        <v/>
      </c>
      <c r="Y589" s="30">
        <f>T589*X589</f>
        <v/>
      </c>
      <c r="Z589" s="28">
        <f>IFERROR(LOOKUP(Y589,{0;0.5;5;25},{"Bajo";"Medio";"Alto";"Crítico"}),"")</f>
        <v/>
      </c>
      <c r="AA589" s="64">
        <f>IF(T589&gt;=3,IF(X589&gt;=1,"Zona 1 — Crítica: impacto alto y ocurre al menos una vez al año","Zona 4 — Catastrófica poco probable: impacto alto pero excepcional"),IF(AND(T589&lt;1.5,X589&lt;1),"Zona 3 — Asumible: impacto bajo y muy poco frecuente","Zona 2 — Atención: riesgo intermedio"))</f>
        <v/>
      </c>
      <c r="AB589" s="64">
        <f>IFERROR(INDEX(MgAmenCtrl,MATCH(SUBSTITUTE($H589,"*","-"),MgAmenClave,0)),"")</f>
        <v/>
      </c>
      <c r="AC589" s="20" t="n"/>
      <c r="AD589" s="31">
        <f>IFERROR($X589*(1-IF($AC589="",$AL589,VLOOKUP($AC589,MgMad,2,0))),"")</f>
        <v/>
      </c>
      <c r="AE589" s="28">
        <f>IFERROR(LOOKUP(AD589,{0;0.01;0.1;1;10;100},{"Muy baja";"Muy baja";"Baja";"Media";"Alta";"Muy alta"}),"")</f>
        <v/>
      </c>
      <c r="AF589" s="30">
        <f>T589*AD589</f>
        <v/>
      </c>
      <c r="AG589" s="28">
        <f>IFERROR(LOOKUP(AF589,{0;0.5;5;25},{"Bajo";"Medio";"Alto";"Crítico"}),"")</f>
        <v/>
      </c>
      <c r="AH589" s="28">
        <f>IF(AG589="","",IF(OR(AG589="Crítico",AG589="Alto"),"Mitigar",IF(AG589="Medio","Mitigar","Aceptar y monitorear")))</f>
        <v/>
      </c>
      <c r="AI589" s="21" t="n"/>
      <c r="AJ589" s="21" t="n"/>
      <c r="AK589" s="20" t="n"/>
      <c r="AL589" s="77">
        <f>IFERROR(INDEX(MgAmenEfic,MATCH(SUBSTITUTE($H589,"*","-"),MgAmenClave,0)),0)</f>
        <v/>
      </c>
    </row>
    <row r="590" hidden="1" ht="120" customHeight="1" s="54">
      <c r="B590" s="59" t="inlineStr">
        <is>
          <t>R-0585</t>
        </is>
      </c>
      <c r="C590" s="59" t="inlineStr">
        <is>
          <t>COM-19</t>
        </is>
      </c>
      <c r="D590" s="64">
        <f>IFERROR(INDEX(MgNombre,MATCH($C590,MgActId,0)),"")</f>
        <v/>
      </c>
      <c r="E590" s="64">
        <f>IFERROR(INDEX(MgProceso,MATCH($C590,MgActId,0)),"")</f>
        <v/>
      </c>
      <c r="F590" s="64">
        <f>IFERROR(INDEX(MgTipo,MATCH($C590,MgActId,0)),"")</f>
        <v/>
      </c>
      <c r="G590" s="64">
        <f>IFERROR(INDEX(MgSubtipo,MATCH($C590,MgActId,0)),"")</f>
        <v/>
      </c>
      <c r="H590" s="59" t="inlineStr">
        <is>
          <t>E.2</t>
        </is>
      </c>
      <c r="I590" s="64">
        <f>IFERROR(INDEX(MgAmenNombre,MATCH(SUBSTITUTE($H590,"*","-"),MgAmenClave,0)),"")</f>
        <v/>
      </c>
      <c r="J590" s="28">
        <f>IFERROR(INDEX(MgAmenGrupo,MATCH(SUBSTITUTE($H590,"*","-"),MgAmenClave,0)),"")</f>
        <v/>
      </c>
      <c r="K590" s="64">
        <f>IFERROR(INDEX('1. Matriz de Activos'!$Q$6:$Q$239,MATCH($C590,MgActId,0)),"")</f>
        <v/>
      </c>
      <c r="L590" s="64">
        <f>IFERROR(INDEX('1. Matriz de Activos'!$R$6:$R$239,MATCH($C590,MgActId,0)),"")</f>
        <v/>
      </c>
      <c r="M590" s="64">
        <f>IFERROR(INDEX('1. Matriz de Activos'!$S$6:$S$239,MATCH($C590,MgActId,0)),"")</f>
        <v/>
      </c>
      <c r="N590" s="28">
        <f>IFERROR(INDEX(MgAmenDegD,MATCH(SUBSTITUTE($H590,"*","-"),MgAmenClave,0)),"No aplica")</f>
        <v/>
      </c>
      <c r="O590" s="28">
        <f>IFERROR(INDEX(MgAmenDegI,MATCH(SUBSTITUTE($H590,"*","-"),MgAmenClave,0)),"No aplica")</f>
        <v/>
      </c>
      <c r="P590" s="28">
        <f>IFERROR(INDEX(MgAmenDegC,MATCH(SUBSTITUTE($H590,"*","-"),MgAmenClave,0)),"No aplica")</f>
        <v/>
      </c>
      <c r="Q590" s="29">
        <f>IFERROR(VLOOKUP(K590,MgValor,2,0)*VLOOKUP(N590,MgDeg,2,0),0)</f>
        <v/>
      </c>
      <c r="R590" s="29">
        <f>IFERROR(VLOOKUP(L590,MgValor,2,0)*VLOOKUP(O590,MgDeg,2,0),0)</f>
        <v/>
      </c>
      <c r="S590" s="29">
        <f>IFERROR(VLOOKUP(M590,MgValor,2,0)*VLOOKUP(P590,MgDeg,2,0),0)</f>
        <v/>
      </c>
      <c r="T590" s="30">
        <f>MAX(Q590:S590)</f>
        <v/>
      </c>
      <c r="U590" s="28">
        <f>IFERROR(LOOKUP(T590,{0;0.5;1.5;3;4.5},{"Despreciable";"Bajo";"Medio";"Alto";"Muy alto"}),"")</f>
        <v/>
      </c>
      <c r="V590" s="13">
        <f>IFERROR(INDEX(MgAmenFrec,MATCH(SUBSTITUTE($H590,"*","-"),MgAmenClave,0)),"")</f>
        <v/>
      </c>
      <c r="W590" s="28">
        <f>IFERROR(LOOKUP(X590,{0;0.01;0.1;1;10;100},{"Muy baja";"Muy baja";"Baja";"Media";"Alta";"Muy alta"}),"")</f>
        <v/>
      </c>
      <c r="X590" s="31">
        <f>IFERROR(VLOOKUP(V590,MgFrec,2,0),0)</f>
        <v/>
      </c>
      <c r="Y590" s="30">
        <f>T590*X590</f>
        <v/>
      </c>
      <c r="Z590" s="28">
        <f>IFERROR(LOOKUP(Y590,{0;0.5;5;25},{"Bajo";"Medio";"Alto";"Crítico"}),"")</f>
        <v/>
      </c>
      <c r="AA590" s="64">
        <f>IF(T590&gt;=3,IF(X590&gt;=1,"Zona 1 — Crítica: impacto alto y ocurre al menos una vez al año","Zona 4 — Catastrófica poco probable: impacto alto pero excepcional"),IF(AND(T590&lt;1.5,X590&lt;1),"Zona 3 — Asumible: impacto bajo y muy poco frecuente","Zona 2 — Atención: riesgo intermedio"))</f>
        <v/>
      </c>
      <c r="AB590" s="64">
        <f>IFERROR(INDEX(MgAmenCtrl,MATCH(SUBSTITUTE($H590,"*","-"),MgAmenClave,0)),"")</f>
        <v/>
      </c>
      <c r="AC590" s="20" t="n"/>
      <c r="AD590" s="31">
        <f>IFERROR($X590*(1-IF($AC590="",$AL590,VLOOKUP($AC590,MgMad,2,0))),"")</f>
        <v/>
      </c>
      <c r="AE590" s="28">
        <f>IFERROR(LOOKUP(AD590,{0;0.01;0.1;1;10;100},{"Muy baja";"Muy baja";"Baja";"Media";"Alta";"Muy alta"}),"")</f>
        <v/>
      </c>
      <c r="AF590" s="30">
        <f>T590*AD590</f>
        <v/>
      </c>
      <c r="AG590" s="28">
        <f>IFERROR(LOOKUP(AF590,{0;0.5;5;25},{"Bajo";"Medio";"Alto";"Crítico"}),"")</f>
        <v/>
      </c>
      <c r="AH590" s="28">
        <f>IF(AG590="","",IF(OR(AG590="Crítico",AG590="Alto"),"Mitigar",IF(AG590="Medio","Mitigar","Aceptar y monitorear")))</f>
        <v/>
      </c>
      <c r="AI590" s="21" t="n"/>
      <c r="AJ590" s="21" t="n"/>
      <c r="AK590" s="20" t="n"/>
      <c r="AL590" s="77">
        <f>IFERROR(INDEX(MgAmenEfic,MATCH(SUBSTITUTE($H590,"*","-"),MgAmenClave,0)),0)</f>
        <v/>
      </c>
    </row>
    <row r="591" hidden="1" ht="75" customHeight="1" s="54">
      <c r="B591" s="59" t="inlineStr">
        <is>
          <t>R-0586</t>
        </is>
      </c>
      <c r="C591" s="59" t="inlineStr">
        <is>
          <t>COM-19</t>
        </is>
      </c>
      <c r="D591" s="64">
        <f>IFERROR(INDEX(MgNombre,MATCH($C591,MgActId,0)),"")</f>
        <v/>
      </c>
      <c r="E591" s="64">
        <f>IFERROR(INDEX(MgProceso,MATCH($C591,MgActId,0)),"")</f>
        <v/>
      </c>
      <c r="F591" s="64">
        <f>IFERROR(INDEX(MgTipo,MATCH($C591,MgActId,0)),"")</f>
        <v/>
      </c>
      <c r="G591" s="64">
        <f>IFERROR(INDEX(MgSubtipo,MATCH($C591,MgActId,0)),"")</f>
        <v/>
      </c>
      <c r="H591" s="59" t="inlineStr">
        <is>
          <t>E.3</t>
        </is>
      </c>
      <c r="I591" s="64">
        <f>IFERROR(INDEX(MgAmenNombre,MATCH(SUBSTITUTE($H591,"*","-"),MgAmenClave,0)),"")</f>
        <v/>
      </c>
      <c r="J591" s="28">
        <f>IFERROR(INDEX(MgAmenGrupo,MATCH(SUBSTITUTE($H591,"*","-"),MgAmenClave,0)),"")</f>
        <v/>
      </c>
      <c r="K591" s="64">
        <f>IFERROR(INDEX('1. Matriz de Activos'!$Q$6:$Q$239,MATCH($C591,MgActId,0)),"")</f>
        <v/>
      </c>
      <c r="L591" s="64">
        <f>IFERROR(INDEX('1. Matriz de Activos'!$R$6:$R$239,MATCH($C591,MgActId,0)),"")</f>
        <v/>
      </c>
      <c r="M591" s="64">
        <f>IFERROR(INDEX('1. Matriz de Activos'!$S$6:$S$239,MATCH($C591,MgActId,0)),"")</f>
        <v/>
      </c>
      <c r="N591" s="28">
        <f>IFERROR(INDEX(MgAmenDegD,MATCH(SUBSTITUTE($H591,"*","-"),MgAmenClave,0)),"No aplica")</f>
        <v/>
      </c>
      <c r="O591" s="28">
        <f>IFERROR(INDEX(MgAmenDegI,MATCH(SUBSTITUTE($H591,"*","-"),MgAmenClave,0)),"No aplica")</f>
        <v/>
      </c>
      <c r="P591" s="28">
        <f>IFERROR(INDEX(MgAmenDegC,MATCH(SUBSTITUTE($H591,"*","-"),MgAmenClave,0)),"No aplica")</f>
        <v/>
      </c>
      <c r="Q591" s="29">
        <f>IFERROR(VLOOKUP(K591,MgValor,2,0)*VLOOKUP(N591,MgDeg,2,0),0)</f>
        <v/>
      </c>
      <c r="R591" s="29">
        <f>IFERROR(VLOOKUP(L591,MgValor,2,0)*VLOOKUP(O591,MgDeg,2,0),0)</f>
        <v/>
      </c>
      <c r="S591" s="29">
        <f>IFERROR(VLOOKUP(M591,MgValor,2,0)*VLOOKUP(P591,MgDeg,2,0),0)</f>
        <v/>
      </c>
      <c r="T591" s="30">
        <f>MAX(Q591:S591)</f>
        <v/>
      </c>
      <c r="U591" s="28">
        <f>IFERROR(LOOKUP(T591,{0;0.5;1.5;3;4.5},{"Despreciable";"Bajo";"Medio";"Alto";"Muy alto"}),"")</f>
        <v/>
      </c>
      <c r="V591" s="13">
        <f>IFERROR(INDEX(MgAmenFrec,MATCH(SUBSTITUTE($H591,"*","-"),MgAmenClave,0)),"")</f>
        <v/>
      </c>
      <c r="W591" s="28">
        <f>IFERROR(LOOKUP(X591,{0;0.01;0.1;1;10;100},{"Muy baja";"Muy baja";"Baja";"Media";"Alta";"Muy alta"}),"")</f>
        <v/>
      </c>
      <c r="X591" s="31">
        <f>IFERROR(VLOOKUP(V591,MgFrec,2,0),0)</f>
        <v/>
      </c>
      <c r="Y591" s="30">
        <f>T591*X591</f>
        <v/>
      </c>
      <c r="Z591" s="28">
        <f>IFERROR(LOOKUP(Y591,{0;0.5;5;25},{"Bajo";"Medio";"Alto";"Crítico"}),"")</f>
        <v/>
      </c>
      <c r="AA591" s="64">
        <f>IF(T591&gt;=3,IF(X591&gt;=1,"Zona 1 — Crítica: impacto alto y ocurre al menos una vez al año","Zona 4 — Catastrófica poco probable: impacto alto pero excepcional"),IF(AND(T591&lt;1.5,X591&lt;1),"Zona 3 — Asumible: impacto bajo y muy poco frecuente","Zona 2 — Atención: riesgo intermedio"))</f>
        <v/>
      </c>
      <c r="AB591" s="64">
        <f>IFERROR(INDEX(MgAmenCtrl,MATCH(SUBSTITUTE($H591,"*","-"),MgAmenClave,0)),"")</f>
        <v/>
      </c>
      <c r="AC591" s="20" t="n"/>
      <c r="AD591" s="31">
        <f>IFERROR($X591*(1-IF($AC591="",$AL591,VLOOKUP($AC591,MgMad,2,0))),"")</f>
        <v/>
      </c>
      <c r="AE591" s="28">
        <f>IFERROR(LOOKUP(AD591,{0;0.01;0.1;1;10;100},{"Muy baja";"Muy baja";"Baja";"Media";"Alta";"Muy alta"}),"")</f>
        <v/>
      </c>
      <c r="AF591" s="30">
        <f>T591*AD591</f>
        <v/>
      </c>
      <c r="AG591" s="28">
        <f>IFERROR(LOOKUP(AF591,{0;0.5;5;25},{"Bajo";"Medio";"Alto";"Crítico"}),"")</f>
        <v/>
      </c>
      <c r="AH591" s="28">
        <f>IF(AG591="","",IF(OR(AG591="Crítico",AG591="Alto"),"Mitigar",IF(AG591="Medio","Mitigar","Aceptar y monitorear")))</f>
        <v/>
      </c>
      <c r="AI591" s="21" t="n"/>
      <c r="AJ591" s="21" t="n"/>
      <c r="AK591" s="20" t="n"/>
      <c r="AL591" s="77">
        <f>IFERROR(INDEX(MgAmenEfic,MATCH(SUBSTITUTE($H591,"*","-"),MgAmenClave,0)),0)</f>
        <v/>
      </c>
    </row>
    <row r="592" hidden="1" ht="75" customHeight="1" s="54">
      <c r="B592" s="59" t="inlineStr">
        <is>
          <t>R-0587</t>
        </is>
      </c>
      <c r="C592" s="59" t="inlineStr">
        <is>
          <t>COM-19</t>
        </is>
      </c>
      <c r="D592" s="64">
        <f>IFERROR(INDEX(MgNombre,MATCH($C592,MgActId,0)),"")</f>
        <v/>
      </c>
      <c r="E592" s="64">
        <f>IFERROR(INDEX(MgProceso,MATCH($C592,MgActId,0)),"")</f>
        <v/>
      </c>
      <c r="F592" s="64">
        <f>IFERROR(INDEX(MgTipo,MATCH($C592,MgActId,0)),"")</f>
        <v/>
      </c>
      <c r="G592" s="64">
        <f>IFERROR(INDEX(MgSubtipo,MATCH($C592,MgActId,0)),"")</f>
        <v/>
      </c>
      <c r="H592" s="59" t="inlineStr">
        <is>
          <t>E.4</t>
        </is>
      </c>
      <c r="I592" s="64">
        <f>IFERROR(INDEX(MgAmenNombre,MATCH(SUBSTITUTE($H592,"*","-"),MgAmenClave,0)),"")</f>
        <v/>
      </c>
      <c r="J592" s="28">
        <f>IFERROR(INDEX(MgAmenGrupo,MATCH(SUBSTITUTE($H592,"*","-"),MgAmenClave,0)),"")</f>
        <v/>
      </c>
      <c r="K592" s="64">
        <f>IFERROR(INDEX('1. Matriz de Activos'!$Q$6:$Q$239,MATCH($C592,MgActId,0)),"")</f>
        <v/>
      </c>
      <c r="L592" s="64">
        <f>IFERROR(INDEX('1. Matriz de Activos'!$R$6:$R$239,MATCH($C592,MgActId,0)),"")</f>
        <v/>
      </c>
      <c r="M592" s="64">
        <f>IFERROR(INDEX('1. Matriz de Activos'!$S$6:$S$239,MATCH($C592,MgActId,0)),"")</f>
        <v/>
      </c>
      <c r="N592" s="28">
        <f>IFERROR(INDEX(MgAmenDegD,MATCH(SUBSTITUTE($H592,"*","-"),MgAmenClave,0)),"No aplica")</f>
        <v/>
      </c>
      <c r="O592" s="28">
        <f>IFERROR(INDEX(MgAmenDegI,MATCH(SUBSTITUTE($H592,"*","-"),MgAmenClave,0)),"No aplica")</f>
        <v/>
      </c>
      <c r="P592" s="28">
        <f>IFERROR(INDEX(MgAmenDegC,MATCH(SUBSTITUTE($H592,"*","-"),MgAmenClave,0)),"No aplica")</f>
        <v/>
      </c>
      <c r="Q592" s="29">
        <f>IFERROR(VLOOKUP(K592,MgValor,2,0)*VLOOKUP(N592,MgDeg,2,0),0)</f>
        <v/>
      </c>
      <c r="R592" s="29">
        <f>IFERROR(VLOOKUP(L592,MgValor,2,0)*VLOOKUP(O592,MgDeg,2,0),0)</f>
        <v/>
      </c>
      <c r="S592" s="29">
        <f>IFERROR(VLOOKUP(M592,MgValor,2,0)*VLOOKUP(P592,MgDeg,2,0),0)</f>
        <v/>
      </c>
      <c r="T592" s="30">
        <f>MAX(Q592:S592)</f>
        <v/>
      </c>
      <c r="U592" s="28">
        <f>IFERROR(LOOKUP(T592,{0;0.5;1.5;3;4.5},{"Despreciable";"Bajo";"Medio";"Alto";"Muy alto"}),"")</f>
        <v/>
      </c>
      <c r="V592" s="13">
        <f>IFERROR(INDEX(MgAmenFrec,MATCH(SUBSTITUTE($H592,"*","-"),MgAmenClave,0)),"")</f>
        <v/>
      </c>
      <c r="W592" s="28">
        <f>IFERROR(LOOKUP(X592,{0;0.01;0.1;1;10;100},{"Muy baja";"Muy baja";"Baja";"Media";"Alta";"Muy alta"}),"")</f>
        <v/>
      </c>
      <c r="X592" s="31">
        <f>IFERROR(VLOOKUP(V592,MgFrec,2,0),0)</f>
        <v/>
      </c>
      <c r="Y592" s="30">
        <f>T592*X592</f>
        <v/>
      </c>
      <c r="Z592" s="28">
        <f>IFERROR(LOOKUP(Y592,{0;0.5;5;25},{"Bajo";"Medio";"Alto";"Crítico"}),"")</f>
        <v/>
      </c>
      <c r="AA592" s="64">
        <f>IF(T592&gt;=3,IF(X592&gt;=1,"Zona 1 — Crítica: impacto alto y ocurre al menos una vez al año","Zona 4 — Catastrófica poco probable: impacto alto pero excepcional"),IF(AND(T592&lt;1.5,X592&lt;1),"Zona 3 — Asumible: impacto bajo y muy poco frecuente","Zona 2 — Atención: riesgo intermedio"))</f>
        <v/>
      </c>
      <c r="AB592" s="64">
        <f>IFERROR(INDEX(MgAmenCtrl,MATCH(SUBSTITUTE($H592,"*","-"),MgAmenClave,0)),"")</f>
        <v/>
      </c>
      <c r="AC592" s="20" t="n"/>
      <c r="AD592" s="31">
        <f>IFERROR($X592*(1-IF($AC592="",$AL592,VLOOKUP($AC592,MgMad,2,0))),"")</f>
        <v/>
      </c>
      <c r="AE592" s="28">
        <f>IFERROR(LOOKUP(AD592,{0;0.01;0.1;1;10;100},{"Muy baja";"Muy baja";"Baja";"Media";"Alta";"Muy alta"}),"")</f>
        <v/>
      </c>
      <c r="AF592" s="30">
        <f>T592*AD592</f>
        <v/>
      </c>
      <c r="AG592" s="28">
        <f>IFERROR(LOOKUP(AF592,{0;0.5;5;25},{"Bajo";"Medio";"Alto";"Crítico"}),"")</f>
        <v/>
      </c>
      <c r="AH592" s="28">
        <f>IF(AG592="","",IF(OR(AG592="Crítico",AG592="Alto"),"Mitigar",IF(AG592="Medio","Mitigar","Aceptar y monitorear")))</f>
        <v/>
      </c>
      <c r="AI592" s="21" t="n"/>
      <c r="AJ592" s="21" t="n"/>
      <c r="AK592" s="20" t="n"/>
      <c r="AL592" s="77">
        <f>IFERROR(INDEX(MgAmenEfic,MATCH(SUBSTITUTE($H592,"*","-"),MgAmenClave,0)),0)</f>
        <v/>
      </c>
    </row>
    <row r="593" hidden="1" ht="90" customHeight="1" s="54">
      <c r="B593" s="59" t="inlineStr">
        <is>
          <t>R-0588</t>
        </is>
      </c>
      <c r="C593" s="59" t="inlineStr">
        <is>
          <t>COM-19</t>
        </is>
      </c>
      <c r="D593" s="64">
        <f>IFERROR(INDEX(MgNombre,MATCH($C593,MgActId,0)),"")</f>
        <v/>
      </c>
      <c r="E593" s="64">
        <f>IFERROR(INDEX(MgProceso,MATCH($C593,MgActId,0)),"")</f>
        <v/>
      </c>
      <c r="F593" s="64">
        <f>IFERROR(INDEX(MgTipo,MATCH($C593,MgActId,0)),"")</f>
        <v/>
      </c>
      <c r="G593" s="64">
        <f>IFERROR(INDEX(MgSubtipo,MATCH($C593,MgActId,0)),"")</f>
        <v/>
      </c>
      <c r="H593" s="59" t="inlineStr">
        <is>
          <t>E.14</t>
        </is>
      </c>
      <c r="I593" s="64">
        <f>IFERROR(INDEX(MgAmenNombre,MATCH(SUBSTITUTE($H593,"*","-"),MgAmenClave,0)),"")</f>
        <v/>
      </c>
      <c r="J593" s="28">
        <f>IFERROR(INDEX(MgAmenGrupo,MATCH(SUBSTITUTE($H593,"*","-"),MgAmenClave,0)),"")</f>
        <v/>
      </c>
      <c r="K593" s="64">
        <f>IFERROR(INDEX('1. Matriz de Activos'!$Q$6:$Q$239,MATCH($C593,MgActId,0)),"")</f>
        <v/>
      </c>
      <c r="L593" s="64">
        <f>IFERROR(INDEX('1. Matriz de Activos'!$R$6:$R$239,MATCH($C593,MgActId,0)),"")</f>
        <v/>
      </c>
      <c r="M593" s="64">
        <f>IFERROR(INDEX('1. Matriz de Activos'!$S$6:$S$239,MATCH($C593,MgActId,0)),"")</f>
        <v/>
      </c>
      <c r="N593" s="28">
        <f>IFERROR(INDEX(MgAmenDegD,MATCH(SUBSTITUTE($H593,"*","-"),MgAmenClave,0)),"No aplica")</f>
        <v/>
      </c>
      <c r="O593" s="28">
        <f>IFERROR(INDEX(MgAmenDegI,MATCH(SUBSTITUTE($H593,"*","-"),MgAmenClave,0)),"No aplica")</f>
        <v/>
      </c>
      <c r="P593" s="28">
        <f>IFERROR(INDEX(MgAmenDegC,MATCH(SUBSTITUTE($H593,"*","-"),MgAmenClave,0)),"No aplica")</f>
        <v/>
      </c>
      <c r="Q593" s="29">
        <f>IFERROR(VLOOKUP(K593,MgValor,2,0)*VLOOKUP(N593,MgDeg,2,0),0)</f>
        <v/>
      </c>
      <c r="R593" s="29">
        <f>IFERROR(VLOOKUP(L593,MgValor,2,0)*VLOOKUP(O593,MgDeg,2,0),0)</f>
        <v/>
      </c>
      <c r="S593" s="29">
        <f>IFERROR(VLOOKUP(M593,MgValor,2,0)*VLOOKUP(P593,MgDeg,2,0),0)</f>
        <v/>
      </c>
      <c r="T593" s="30">
        <f>MAX(Q593:S593)</f>
        <v/>
      </c>
      <c r="U593" s="28">
        <f>IFERROR(LOOKUP(T593,{0;0.5;1.5;3;4.5},{"Despreciable";"Bajo";"Medio";"Alto";"Muy alto"}),"")</f>
        <v/>
      </c>
      <c r="V593" s="13">
        <f>IFERROR(INDEX(MgAmenFrec,MATCH(SUBSTITUTE($H593,"*","-"),MgAmenClave,0)),"")</f>
        <v/>
      </c>
      <c r="W593" s="28">
        <f>IFERROR(LOOKUP(X593,{0;0.01;0.1;1;10;100},{"Muy baja";"Muy baja";"Baja";"Media";"Alta";"Muy alta"}),"")</f>
        <v/>
      </c>
      <c r="X593" s="31">
        <f>IFERROR(VLOOKUP(V593,MgFrec,2,0),0)</f>
        <v/>
      </c>
      <c r="Y593" s="30">
        <f>T593*X593</f>
        <v/>
      </c>
      <c r="Z593" s="28">
        <f>IFERROR(LOOKUP(Y593,{0;0.5;5;25},{"Bajo";"Medio";"Alto";"Crítico"}),"")</f>
        <v/>
      </c>
      <c r="AA593" s="64">
        <f>IF(T593&gt;=3,IF(X593&gt;=1,"Zona 1 — Crítica: impacto alto y ocurre al menos una vez al año","Zona 4 — Catastrófica poco probable: impacto alto pero excepcional"),IF(AND(T593&lt;1.5,X593&lt;1),"Zona 3 — Asumible: impacto bajo y muy poco frecuente","Zona 2 — Atención: riesgo intermedio"))</f>
        <v/>
      </c>
      <c r="AB593" s="64">
        <f>IFERROR(INDEX(MgAmenCtrl,MATCH(SUBSTITUTE($H593,"*","-"),MgAmenClave,0)),"")</f>
        <v/>
      </c>
      <c r="AC593" s="20" t="n"/>
      <c r="AD593" s="31">
        <f>IFERROR($X593*(1-IF($AC593="",$AL593,VLOOKUP($AC593,MgMad,2,0))),"")</f>
        <v/>
      </c>
      <c r="AE593" s="28">
        <f>IFERROR(LOOKUP(AD593,{0;0.01;0.1;1;10;100},{"Muy baja";"Muy baja";"Baja";"Media";"Alta";"Muy alta"}),"")</f>
        <v/>
      </c>
      <c r="AF593" s="30">
        <f>T593*AD593</f>
        <v/>
      </c>
      <c r="AG593" s="28">
        <f>IFERROR(LOOKUP(AF593,{0;0.5;5;25},{"Bajo";"Medio";"Alto";"Crítico"}),"")</f>
        <v/>
      </c>
      <c r="AH593" s="28">
        <f>IF(AG593="","",IF(OR(AG593="Crítico",AG593="Alto"),"Mitigar",IF(AG593="Medio","Mitigar","Aceptar y monitorear")))</f>
        <v/>
      </c>
      <c r="AI593" s="21" t="n"/>
      <c r="AJ593" s="21" t="n"/>
      <c r="AK593" s="20" t="n"/>
      <c r="AL593" s="77">
        <f>IFERROR(INDEX(MgAmenEfic,MATCH(SUBSTITUTE($H593,"*","-"),MgAmenClave,0)),0)</f>
        <v/>
      </c>
    </row>
    <row r="594" hidden="1" ht="90" customHeight="1" s="54">
      <c r="B594" s="59" t="inlineStr">
        <is>
          <t>R-0589</t>
        </is>
      </c>
      <c r="C594" s="59" t="inlineStr">
        <is>
          <t>COM-19</t>
        </is>
      </c>
      <c r="D594" s="64">
        <f>IFERROR(INDEX(MgNombre,MATCH($C594,MgActId,0)),"")</f>
        <v/>
      </c>
      <c r="E594" s="64">
        <f>IFERROR(INDEX(MgProceso,MATCH($C594,MgActId,0)),"")</f>
        <v/>
      </c>
      <c r="F594" s="64">
        <f>IFERROR(INDEX(MgTipo,MATCH($C594,MgActId,0)),"")</f>
        <v/>
      </c>
      <c r="G594" s="64">
        <f>IFERROR(INDEX(MgSubtipo,MATCH($C594,MgActId,0)),"")</f>
        <v/>
      </c>
      <c r="H594" s="59" t="inlineStr">
        <is>
          <t>E.15</t>
        </is>
      </c>
      <c r="I594" s="64">
        <f>IFERROR(INDEX(MgAmenNombre,MATCH(SUBSTITUTE($H594,"*","-"),MgAmenClave,0)),"")</f>
        <v/>
      </c>
      <c r="J594" s="28">
        <f>IFERROR(INDEX(MgAmenGrupo,MATCH(SUBSTITUTE($H594,"*","-"),MgAmenClave,0)),"")</f>
        <v/>
      </c>
      <c r="K594" s="64">
        <f>IFERROR(INDEX('1. Matriz de Activos'!$Q$6:$Q$239,MATCH($C594,MgActId,0)),"")</f>
        <v/>
      </c>
      <c r="L594" s="64">
        <f>IFERROR(INDEX('1. Matriz de Activos'!$R$6:$R$239,MATCH($C594,MgActId,0)),"")</f>
        <v/>
      </c>
      <c r="M594" s="64">
        <f>IFERROR(INDEX('1. Matriz de Activos'!$S$6:$S$239,MATCH($C594,MgActId,0)),"")</f>
        <v/>
      </c>
      <c r="N594" s="28">
        <f>IFERROR(INDEX(MgAmenDegD,MATCH(SUBSTITUTE($H594,"*","-"),MgAmenClave,0)),"No aplica")</f>
        <v/>
      </c>
      <c r="O594" s="28">
        <f>IFERROR(INDEX(MgAmenDegI,MATCH(SUBSTITUTE($H594,"*","-"),MgAmenClave,0)),"No aplica")</f>
        <v/>
      </c>
      <c r="P594" s="28">
        <f>IFERROR(INDEX(MgAmenDegC,MATCH(SUBSTITUTE($H594,"*","-"),MgAmenClave,0)),"No aplica")</f>
        <v/>
      </c>
      <c r="Q594" s="29">
        <f>IFERROR(VLOOKUP(K594,MgValor,2,0)*VLOOKUP(N594,MgDeg,2,0),0)</f>
        <v/>
      </c>
      <c r="R594" s="29">
        <f>IFERROR(VLOOKUP(L594,MgValor,2,0)*VLOOKUP(O594,MgDeg,2,0),0)</f>
        <v/>
      </c>
      <c r="S594" s="29">
        <f>IFERROR(VLOOKUP(M594,MgValor,2,0)*VLOOKUP(P594,MgDeg,2,0),0)</f>
        <v/>
      </c>
      <c r="T594" s="30">
        <f>MAX(Q594:S594)</f>
        <v/>
      </c>
      <c r="U594" s="28">
        <f>IFERROR(LOOKUP(T594,{0;0.5;1.5;3;4.5},{"Despreciable";"Bajo";"Medio";"Alto";"Muy alto"}),"")</f>
        <v/>
      </c>
      <c r="V594" s="13">
        <f>IFERROR(INDEX(MgAmenFrec,MATCH(SUBSTITUTE($H594,"*","-"),MgAmenClave,0)),"")</f>
        <v/>
      </c>
      <c r="W594" s="28">
        <f>IFERROR(LOOKUP(X594,{0;0.01;0.1;1;10;100},{"Muy baja";"Muy baja";"Baja";"Media";"Alta";"Muy alta"}),"")</f>
        <v/>
      </c>
      <c r="X594" s="31">
        <f>IFERROR(VLOOKUP(V594,MgFrec,2,0),0)</f>
        <v/>
      </c>
      <c r="Y594" s="30">
        <f>T594*X594</f>
        <v/>
      </c>
      <c r="Z594" s="28">
        <f>IFERROR(LOOKUP(Y594,{0;0.5;5;25},{"Bajo";"Medio";"Alto";"Crítico"}),"")</f>
        <v/>
      </c>
      <c r="AA594" s="64">
        <f>IF(T594&gt;=3,IF(X594&gt;=1,"Zona 1 — Crítica: impacto alto y ocurre al menos una vez al año","Zona 4 — Catastrófica poco probable: impacto alto pero excepcional"),IF(AND(T594&lt;1.5,X594&lt;1),"Zona 3 — Asumible: impacto bajo y muy poco frecuente","Zona 2 — Atención: riesgo intermedio"))</f>
        <v/>
      </c>
      <c r="AB594" s="64">
        <f>IFERROR(INDEX(MgAmenCtrl,MATCH(SUBSTITUTE($H594,"*","-"),MgAmenClave,0)),"")</f>
        <v/>
      </c>
      <c r="AC594" s="20" t="n"/>
      <c r="AD594" s="31">
        <f>IFERROR($X594*(1-IF($AC594="",$AL594,VLOOKUP($AC594,MgMad,2,0))),"")</f>
        <v/>
      </c>
      <c r="AE594" s="28">
        <f>IFERROR(LOOKUP(AD594,{0;0.01;0.1;1;10;100},{"Muy baja";"Muy baja";"Baja";"Media";"Alta";"Muy alta"}),"")</f>
        <v/>
      </c>
      <c r="AF594" s="30">
        <f>T594*AD594</f>
        <v/>
      </c>
      <c r="AG594" s="28">
        <f>IFERROR(LOOKUP(AF594,{0;0.5;5;25},{"Bajo";"Medio";"Alto";"Crítico"}),"")</f>
        <v/>
      </c>
      <c r="AH594" s="28">
        <f>IF(AG594="","",IF(OR(AG594="Crítico",AG594="Alto"),"Mitigar",IF(AG594="Medio","Mitigar","Aceptar y monitorear")))</f>
        <v/>
      </c>
      <c r="AI594" s="21" t="n"/>
      <c r="AJ594" s="21" t="n"/>
      <c r="AK594" s="20" t="n"/>
      <c r="AL594" s="77">
        <f>IFERROR(INDEX(MgAmenEfic,MATCH(SUBSTITUTE($H594,"*","-"),MgAmenClave,0)),0)</f>
        <v/>
      </c>
    </row>
    <row r="595" hidden="1" ht="60" customHeight="1" s="54">
      <c r="B595" s="59" t="inlineStr">
        <is>
          <t>R-0590</t>
        </is>
      </c>
      <c r="C595" s="59" t="inlineStr">
        <is>
          <t>COM-19</t>
        </is>
      </c>
      <c r="D595" s="64">
        <f>IFERROR(INDEX(MgNombre,MATCH($C595,MgActId,0)),"")</f>
        <v/>
      </c>
      <c r="E595" s="64">
        <f>IFERROR(INDEX(MgProceso,MATCH($C595,MgActId,0)),"")</f>
        <v/>
      </c>
      <c r="F595" s="64">
        <f>IFERROR(INDEX(MgTipo,MATCH($C595,MgActId,0)),"")</f>
        <v/>
      </c>
      <c r="G595" s="64">
        <f>IFERROR(INDEX(MgSubtipo,MATCH($C595,MgActId,0)),"")</f>
        <v/>
      </c>
      <c r="H595" s="59" t="inlineStr">
        <is>
          <t>E.18</t>
        </is>
      </c>
      <c r="I595" s="64">
        <f>IFERROR(INDEX(MgAmenNombre,MATCH(SUBSTITUTE($H595,"*","-"),MgAmenClave,0)),"")</f>
        <v/>
      </c>
      <c r="J595" s="28">
        <f>IFERROR(INDEX(MgAmenGrupo,MATCH(SUBSTITUTE($H595,"*","-"),MgAmenClave,0)),"")</f>
        <v/>
      </c>
      <c r="K595" s="64">
        <f>IFERROR(INDEX('1. Matriz de Activos'!$Q$6:$Q$239,MATCH($C595,MgActId,0)),"")</f>
        <v/>
      </c>
      <c r="L595" s="64">
        <f>IFERROR(INDEX('1. Matriz de Activos'!$R$6:$R$239,MATCH($C595,MgActId,0)),"")</f>
        <v/>
      </c>
      <c r="M595" s="64">
        <f>IFERROR(INDEX('1. Matriz de Activos'!$S$6:$S$239,MATCH($C595,MgActId,0)),"")</f>
        <v/>
      </c>
      <c r="N595" s="28">
        <f>IFERROR(INDEX(MgAmenDegD,MATCH(SUBSTITUTE($H595,"*","-"),MgAmenClave,0)),"No aplica")</f>
        <v/>
      </c>
      <c r="O595" s="28">
        <f>IFERROR(INDEX(MgAmenDegI,MATCH(SUBSTITUTE($H595,"*","-"),MgAmenClave,0)),"No aplica")</f>
        <v/>
      </c>
      <c r="P595" s="28">
        <f>IFERROR(INDEX(MgAmenDegC,MATCH(SUBSTITUTE($H595,"*","-"),MgAmenClave,0)),"No aplica")</f>
        <v/>
      </c>
      <c r="Q595" s="29">
        <f>IFERROR(VLOOKUP(K595,MgValor,2,0)*VLOOKUP(N595,MgDeg,2,0),0)</f>
        <v/>
      </c>
      <c r="R595" s="29">
        <f>IFERROR(VLOOKUP(L595,MgValor,2,0)*VLOOKUP(O595,MgDeg,2,0),0)</f>
        <v/>
      </c>
      <c r="S595" s="29">
        <f>IFERROR(VLOOKUP(M595,MgValor,2,0)*VLOOKUP(P595,MgDeg,2,0),0)</f>
        <v/>
      </c>
      <c r="T595" s="30">
        <f>MAX(Q595:S595)</f>
        <v/>
      </c>
      <c r="U595" s="28">
        <f>IFERROR(LOOKUP(T595,{0;0.5;1.5;3;4.5},{"Despreciable";"Bajo";"Medio";"Alto";"Muy alto"}),"")</f>
        <v/>
      </c>
      <c r="V595" s="13">
        <f>IFERROR(INDEX(MgAmenFrec,MATCH(SUBSTITUTE($H595,"*","-"),MgAmenClave,0)),"")</f>
        <v/>
      </c>
      <c r="W595" s="28">
        <f>IFERROR(LOOKUP(X595,{0;0.01;0.1;1;10;100},{"Muy baja";"Muy baja";"Baja";"Media";"Alta";"Muy alta"}),"")</f>
        <v/>
      </c>
      <c r="X595" s="31">
        <f>IFERROR(VLOOKUP(V595,MgFrec,2,0),0)</f>
        <v/>
      </c>
      <c r="Y595" s="30">
        <f>T595*X595</f>
        <v/>
      </c>
      <c r="Z595" s="28">
        <f>IFERROR(LOOKUP(Y595,{0;0.5;5;25},{"Bajo";"Medio";"Alto";"Crítico"}),"")</f>
        <v/>
      </c>
      <c r="AA595" s="64">
        <f>IF(T595&gt;=3,IF(X595&gt;=1,"Zona 1 — Crítica: impacto alto y ocurre al menos una vez al año","Zona 4 — Catastrófica poco probable: impacto alto pero excepcional"),IF(AND(T595&lt;1.5,X595&lt;1),"Zona 3 — Asumible: impacto bajo y muy poco frecuente","Zona 2 — Atención: riesgo intermedio"))</f>
        <v/>
      </c>
      <c r="AB595" s="64">
        <f>IFERROR(INDEX(MgAmenCtrl,MATCH(SUBSTITUTE($H595,"*","-"),MgAmenClave,0)),"")</f>
        <v/>
      </c>
      <c r="AC595" s="20" t="n"/>
      <c r="AD595" s="31">
        <f>IFERROR($X595*(1-IF($AC595="",$AL595,VLOOKUP($AC595,MgMad,2,0))),"")</f>
        <v/>
      </c>
      <c r="AE595" s="28">
        <f>IFERROR(LOOKUP(AD595,{0;0.01;0.1;1;10;100},{"Muy baja";"Muy baja";"Baja";"Media";"Alta";"Muy alta"}),"")</f>
        <v/>
      </c>
      <c r="AF595" s="30">
        <f>T595*AD595</f>
        <v/>
      </c>
      <c r="AG595" s="28">
        <f>IFERROR(LOOKUP(AF595,{0;0.5;5;25},{"Bajo";"Medio";"Alto";"Crítico"}),"")</f>
        <v/>
      </c>
      <c r="AH595" s="28">
        <f>IF(AG595="","",IF(OR(AG595="Crítico",AG595="Alto"),"Mitigar",IF(AG595="Medio","Mitigar","Aceptar y monitorear")))</f>
        <v/>
      </c>
      <c r="AI595" s="21" t="n"/>
      <c r="AJ595" s="21" t="n"/>
      <c r="AK595" s="20" t="n"/>
      <c r="AL595" s="77">
        <f>IFERROR(INDEX(MgAmenEfic,MATCH(SUBSTITUTE($H595,"*","-"),MgAmenClave,0)),0)</f>
        <v/>
      </c>
    </row>
    <row r="596" hidden="1" ht="105" customHeight="1" s="54">
      <c r="B596" s="59" t="inlineStr">
        <is>
          <t>R-0591</t>
        </is>
      </c>
      <c r="C596" s="59" t="inlineStr">
        <is>
          <t>COM-19</t>
        </is>
      </c>
      <c r="D596" s="64">
        <f>IFERROR(INDEX(MgNombre,MATCH($C596,MgActId,0)),"")</f>
        <v/>
      </c>
      <c r="E596" s="64">
        <f>IFERROR(INDEX(MgProceso,MATCH($C596,MgActId,0)),"")</f>
        <v/>
      </c>
      <c r="F596" s="64">
        <f>IFERROR(INDEX(MgTipo,MATCH($C596,MgActId,0)),"")</f>
        <v/>
      </c>
      <c r="G596" s="64">
        <f>IFERROR(INDEX(MgSubtipo,MATCH($C596,MgActId,0)),"")</f>
        <v/>
      </c>
      <c r="H596" s="59" t="inlineStr">
        <is>
          <t>E.19</t>
        </is>
      </c>
      <c r="I596" s="64">
        <f>IFERROR(INDEX(MgAmenNombre,MATCH(SUBSTITUTE($H596,"*","-"),MgAmenClave,0)),"")</f>
        <v/>
      </c>
      <c r="J596" s="28">
        <f>IFERROR(INDEX(MgAmenGrupo,MATCH(SUBSTITUTE($H596,"*","-"),MgAmenClave,0)),"")</f>
        <v/>
      </c>
      <c r="K596" s="64">
        <f>IFERROR(INDEX('1. Matriz de Activos'!$Q$6:$Q$239,MATCH($C596,MgActId,0)),"")</f>
        <v/>
      </c>
      <c r="L596" s="64">
        <f>IFERROR(INDEX('1. Matriz de Activos'!$R$6:$R$239,MATCH($C596,MgActId,0)),"")</f>
        <v/>
      </c>
      <c r="M596" s="64">
        <f>IFERROR(INDEX('1. Matriz de Activos'!$S$6:$S$239,MATCH($C596,MgActId,0)),"")</f>
        <v/>
      </c>
      <c r="N596" s="28">
        <f>IFERROR(INDEX(MgAmenDegD,MATCH(SUBSTITUTE($H596,"*","-"),MgAmenClave,0)),"No aplica")</f>
        <v/>
      </c>
      <c r="O596" s="28">
        <f>IFERROR(INDEX(MgAmenDegI,MATCH(SUBSTITUTE($H596,"*","-"),MgAmenClave,0)),"No aplica")</f>
        <v/>
      </c>
      <c r="P596" s="28">
        <f>IFERROR(INDEX(MgAmenDegC,MATCH(SUBSTITUTE($H596,"*","-"),MgAmenClave,0)),"No aplica")</f>
        <v/>
      </c>
      <c r="Q596" s="29">
        <f>IFERROR(VLOOKUP(K596,MgValor,2,0)*VLOOKUP(N596,MgDeg,2,0),0)</f>
        <v/>
      </c>
      <c r="R596" s="29">
        <f>IFERROR(VLOOKUP(L596,MgValor,2,0)*VLOOKUP(O596,MgDeg,2,0),0)</f>
        <v/>
      </c>
      <c r="S596" s="29">
        <f>IFERROR(VLOOKUP(M596,MgValor,2,0)*VLOOKUP(P596,MgDeg,2,0),0)</f>
        <v/>
      </c>
      <c r="T596" s="30">
        <f>MAX(Q596:S596)</f>
        <v/>
      </c>
      <c r="U596" s="28">
        <f>IFERROR(LOOKUP(T596,{0;0.5;1.5;3;4.5},{"Despreciable";"Bajo";"Medio";"Alto";"Muy alto"}),"")</f>
        <v/>
      </c>
      <c r="V596" s="13">
        <f>IFERROR(INDEX(MgAmenFrec,MATCH(SUBSTITUTE($H596,"*","-"),MgAmenClave,0)),"")</f>
        <v/>
      </c>
      <c r="W596" s="28">
        <f>IFERROR(LOOKUP(X596,{0;0.01;0.1;1;10;100},{"Muy baja";"Muy baja";"Baja";"Media";"Alta";"Muy alta"}),"")</f>
        <v/>
      </c>
      <c r="X596" s="31">
        <f>IFERROR(VLOOKUP(V596,MgFrec,2,0),0)</f>
        <v/>
      </c>
      <c r="Y596" s="30">
        <f>T596*X596</f>
        <v/>
      </c>
      <c r="Z596" s="28">
        <f>IFERROR(LOOKUP(Y596,{0;0.5;5;25},{"Bajo";"Medio";"Alto";"Crítico"}),"")</f>
        <v/>
      </c>
      <c r="AA596" s="64">
        <f>IF(T596&gt;=3,IF(X596&gt;=1,"Zona 1 — Crítica: impacto alto y ocurre al menos una vez al año","Zona 4 — Catastrófica poco probable: impacto alto pero excepcional"),IF(AND(T596&lt;1.5,X596&lt;1),"Zona 3 — Asumible: impacto bajo y muy poco frecuente","Zona 2 — Atención: riesgo intermedio"))</f>
        <v/>
      </c>
      <c r="AB596" s="64">
        <f>IFERROR(INDEX(MgAmenCtrl,MATCH(SUBSTITUTE($H596,"*","-"),MgAmenClave,0)),"")</f>
        <v/>
      </c>
      <c r="AC596" s="20" t="n"/>
      <c r="AD596" s="31">
        <f>IFERROR($X596*(1-IF($AC596="",$AL596,VLOOKUP($AC596,MgMad,2,0))),"")</f>
        <v/>
      </c>
      <c r="AE596" s="28">
        <f>IFERROR(LOOKUP(AD596,{0;0.01;0.1;1;10;100},{"Muy baja";"Muy baja";"Baja";"Media";"Alta";"Muy alta"}),"")</f>
        <v/>
      </c>
      <c r="AF596" s="30">
        <f>T596*AD596</f>
        <v/>
      </c>
      <c r="AG596" s="28">
        <f>IFERROR(LOOKUP(AF596,{0;0.5;5;25},{"Bajo";"Medio";"Alto";"Crítico"}),"")</f>
        <v/>
      </c>
      <c r="AH596" s="28">
        <f>IF(AG596="","",IF(OR(AG596="Crítico",AG596="Alto"),"Mitigar",IF(AG596="Medio","Mitigar","Aceptar y monitorear")))</f>
        <v/>
      </c>
      <c r="AI596" s="21" t="n"/>
      <c r="AJ596" s="21" t="n"/>
      <c r="AK596" s="20" t="n"/>
      <c r="AL596" s="77">
        <f>IFERROR(INDEX(MgAmenEfic,MATCH(SUBSTITUTE($H596,"*","-"),MgAmenClave,0)),0)</f>
        <v/>
      </c>
    </row>
    <row r="597" hidden="1" ht="60" customHeight="1" s="54">
      <c r="B597" s="59" t="inlineStr">
        <is>
          <t>R-0592</t>
        </is>
      </c>
      <c r="C597" s="59" t="inlineStr">
        <is>
          <t>COM-19</t>
        </is>
      </c>
      <c r="D597" s="64">
        <f>IFERROR(INDEX(MgNombre,MATCH($C597,MgActId,0)),"")</f>
        <v/>
      </c>
      <c r="E597" s="64">
        <f>IFERROR(INDEX(MgProceso,MATCH($C597,MgActId,0)),"")</f>
        <v/>
      </c>
      <c r="F597" s="64">
        <f>IFERROR(INDEX(MgTipo,MATCH($C597,MgActId,0)),"")</f>
        <v/>
      </c>
      <c r="G597" s="64">
        <f>IFERROR(INDEX(MgSubtipo,MATCH($C597,MgActId,0)),"")</f>
        <v/>
      </c>
      <c r="H597" s="59" t="inlineStr">
        <is>
          <t>A.3</t>
        </is>
      </c>
      <c r="I597" s="64">
        <f>IFERROR(INDEX(MgAmenNombre,MATCH(SUBSTITUTE($H597,"*","-"),MgAmenClave,0)),"")</f>
        <v/>
      </c>
      <c r="J597" s="28">
        <f>IFERROR(INDEX(MgAmenGrupo,MATCH(SUBSTITUTE($H597,"*","-"),MgAmenClave,0)),"")</f>
        <v/>
      </c>
      <c r="K597" s="64">
        <f>IFERROR(INDEX('1. Matriz de Activos'!$Q$6:$Q$239,MATCH($C597,MgActId,0)),"")</f>
        <v/>
      </c>
      <c r="L597" s="64">
        <f>IFERROR(INDEX('1. Matriz de Activos'!$R$6:$R$239,MATCH($C597,MgActId,0)),"")</f>
        <v/>
      </c>
      <c r="M597" s="64">
        <f>IFERROR(INDEX('1. Matriz de Activos'!$S$6:$S$239,MATCH($C597,MgActId,0)),"")</f>
        <v/>
      </c>
      <c r="N597" s="28">
        <f>IFERROR(INDEX(MgAmenDegD,MATCH(SUBSTITUTE($H597,"*","-"),MgAmenClave,0)),"No aplica")</f>
        <v/>
      </c>
      <c r="O597" s="28">
        <f>IFERROR(INDEX(MgAmenDegI,MATCH(SUBSTITUTE($H597,"*","-"),MgAmenClave,0)),"No aplica")</f>
        <v/>
      </c>
      <c r="P597" s="28">
        <f>IFERROR(INDEX(MgAmenDegC,MATCH(SUBSTITUTE($H597,"*","-"),MgAmenClave,0)),"No aplica")</f>
        <v/>
      </c>
      <c r="Q597" s="29">
        <f>IFERROR(VLOOKUP(K597,MgValor,2,0)*VLOOKUP(N597,MgDeg,2,0),0)</f>
        <v/>
      </c>
      <c r="R597" s="29">
        <f>IFERROR(VLOOKUP(L597,MgValor,2,0)*VLOOKUP(O597,MgDeg,2,0),0)</f>
        <v/>
      </c>
      <c r="S597" s="29">
        <f>IFERROR(VLOOKUP(M597,MgValor,2,0)*VLOOKUP(P597,MgDeg,2,0),0)</f>
        <v/>
      </c>
      <c r="T597" s="30">
        <f>MAX(Q597:S597)</f>
        <v/>
      </c>
      <c r="U597" s="28">
        <f>IFERROR(LOOKUP(T597,{0;0.5;1.5;3;4.5},{"Despreciable";"Bajo";"Medio";"Alto";"Muy alto"}),"")</f>
        <v/>
      </c>
      <c r="V597" s="13">
        <f>IFERROR(INDEX(MgAmenFrec,MATCH(SUBSTITUTE($H597,"*","-"),MgAmenClave,0)),"")</f>
        <v/>
      </c>
      <c r="W597" s="28">
        <f>IFERROR(LOOKUP(X597,{0;0.01;0.1;1;10;100},{"Muy baja";"Muy baja";"Baja";"Media";"Alta";"Muy alta"}),"")</f>
        <v/>
      </c>
      <c r="X597" s="31">
        <f>IFERROR(VLOOKUP(V597,MgFrec,2,0),0)</f>
        <v/>
      </c>
      <c r="Y597" s="30">
        <f>T597*X597</f>
        <v/>
      </c>
      <c r="Z597" s="28">
        <f>IFERROR(LOOKUP(Y597,{0;0.5;5;25},{"Bajo";"Medio";"Alto";"Crítico"}),"")</f>
        <v/>
      </c>
      <c r="AA597" s="64">
        <f>IF(T597&gt;=3,IF(X597&gt;=1,"Zona 1 — Crítica: impacto alto y ocurre al menos una vez al año","Zona 4 — Catastrófica poco probable: impacto alto pero excepcional"),IF(AND(T597&lt;1.5,X597&lt;1),"Zona 3 — Asumible: impacto bajo y muy poco frecuente","Zona 2 — Atención: riesgo intermedio"))</f>
        <v/>
      </c>
      <c r="AB597" s="64">
        <f>IFERROR(INDEX(MgAmenCtrl,MATCH(SUBSTITUTE($H597,"*","-"),MgAmenClave,0)),"")</f>
        <v/>
      </c>
      <c r="AC597" s="20" t="n"/>
      <c r="AD597" s="31">
        <f>IFERROR($X597*(1-IF($AC597="",$AL597,VLOOKUP($AC597,MgMad,2,0))),"")</f>
        <v/>
      </c>
      <c r="AE597" s="28">
        <f>IFERROR(LOOKUP(AD597,{0;0.01;0.1;1;10;100},{"Muy baja";"Muy baja";"Baja";"Media";"Alta";"Muy alta"}),"")</f>
        <v/>
      </c>
      <c r="AF597" s="30">
        <f>T597*AD597</f>
        <v/>
      </c>
      <c r="AG597" s="28">
        <f>IFERROR(LOOKUP(AF597,{0;0.5;5;25},{"Bajo";"Medio";"Alto";"Crítico"}),"")</f>
        <v/>
      </c>
      <c r="AH597" s="28">
        <f>IF(AG597="","",IF(OR(AG597="Crítico",AG597="Alto"),"Mitigar",IF(AG597="Medio","Mitigar","Aceptar y monitorear")))</f>
        <v/>
      </c>
      <c r="AI597" s="21" t="n"/>
      <c r="AJ597" s="21" t="n"/>
      <c r="AK597" s="20" t="n"/>
      <c r="AL597" s="77">
        <f>IFERROR(INDEX(MgAmenEfic,MATCH(SUBSTITUTE($H597,"*","-"),MgAmenClave,0)),0)</f>
        <v/>
      </c>
    </row>
    <row r="598" hidden="1" ht="60" customHeight="1" s="54">
      <c r="B598" s="59" t="inlineStr">
        <is>
          <t>R-0593</t>
        </is>
      </c>
      <c r="C598" s="59" t="inlineStr">
        <is>
          <t>COM-19</t>
        </is>
      </c>
      <c r="D598" s="64">
        <f>IFERROR(INDEX(MgNombre,MATCH($C598,MgActId,0)),"")</f>
        <v/>
      </c>
      <c r="E598" s="64">
        <f>IFERROR(INDEX(MgProceso,MATCH($C598,MgActId,0)),"")</f>
        <v/>
      </c>
      <c r="F598" s="64">
        <f>IFERROR(INDEX(MgTipo,MATCH($C598,MgActId,0)),"")</f>
        <v/>
      </c>
      <c r="G598" s="64">
        <f>IFERROR(INDEX(MgSubtipo,MATCH($C598,MgActId,0)),"")</f>
        <v/>
      </c>
      <c r="H598" s="59" t="inlineStr">
        <is>
          <t>A.4</t>
        </is>
      </c>
      <c r="I598" s="64">
        <f>IFERROR(INDEX(MgAmenNombre,MATCH(SUBSTITUTE($H598,"*","-"),MgAmenClave,0)),"")</f>
        <v/>
      </c>
      <c r="J598" s="28">
        <f>IFERROR(INDEX(MgAmenGrupo,MATCH(SUBSTITUTE($H598,"*","-"),MgAmenClave,0)),"")</f>
        <v/>
      </c>
      <c r="K598" s="64">
        <f>IFERROR(INDEX('1. Matriz de Activos'!$Q$6:$Q$239,MATCH($C598,MgActId,0)),"")</f>
        <v/>
      </c>
      <c r="L598" s="64">
        <f>IFERROR(INDEX('1. Matriz de Activos'!$R$6:$R$239,MATCH($C598,MgActId,0)),"")</f>
        <v/>
      </c>
      <c r="M598" s="64">
        <f>IFERROR(INDEX('1. Matriz de Activos'!$S$6:$S$239,MATCH($C598,MgActId,0)),"")</f>
        <v/>
      </c>
      <c r="N598" s="28">
        <f>IFERROR(INDEX(MgAmenDegD,MATCH(SUBSTITUTE($H598,"*","-"),MgAmenClave,0)),"No aplica")</f>
        <v/>
      </c>
      <c r="O598" s="28">
        <f>IFERROR(INDEX(MgAmenDegI,MATCH(SUBSTITUTE($H598,"*","-"),MgAmenClave,0)),"No aplica")</f>
        <v/>
      </c>
      <c r="P598" s="28">
        <f>IFERROR(INDEX(MgAmenDegC,MATCH(SUBSTITUTE($H598,"*","-"),MgAmenClave,0)),"No aplica")</f>
        <v/>
      </c>
      <c r="Q598" s="29">
        <f>IFERROR(VLOOKUP(K598,MgValor,2,0)*VLOOKUP(N598,MgDeg,2,0),0)</f>
        <v/>
      </c>
      <c r="R598" s="29">
        <f>IFERROR(VLOOKUP(L598,MgValor,2,0)*VLOOKUP(O598,MgDeg,2,0),0)</f>
        <v/>
      </c>
      <c r="S598" s="29">
        <f>IFERROR(VLOOKUP(M598,MgValor,2,0)*VLOOKUP(P598,MgDeg,2,0),0)</f>
        <v/>
      </c>
      <c r="T598" s="30">
        <f>MAX(Q598:S598)</f>
        <v/>
      </c>
      <c r="U598" s="28">
        <f>IFERROR(LOOKUP(T598,{0;0.5;1.5;3;4.5},{"Despreciable";"Bajo";"Medio";"Alto";"Muy alto"}),"")</f>
        <v/>
      </c>
      <c r="V598" s="13">
        <f>IFERROR(INDEX(MgAmenFrec,MATCH(SUBSTITUTE($H598,"*","-"),MgAmenClave,0)),"")</f>
        <v/>
      </c>
      <c r="W598" s="28">
        <f>IFERROR(LOOKUP(X598,{0;0.01;0.1;1;10;100},{"Muy baja";"Muy baja";"Baja";"Media";"Alta";"Muy alta"}),"")</f>
        <v/>
      </c>
      <c r="X598" s="31">
        <f>IFERROR(VLOOKUP(V598,MgFrec,2,0),0)</f>
        <v/>
      </c>
      <c r="Y598" s="30">
        <f>T598*X598</f>
        <v/>
      </c>
      <c r="Z598" s="28">
        <f>IFERROR(LOOKUP(Y598,{0;0.5;5;25},{"Bajo";"Medio";"Alto";"Crítico"}),"")</f>
        <v/>
      </c>
      <c r="AA598" s="64">
        <f>IF(T598&gt;=3,IF(X598&gt;=1,"Zona 1 — Crítica: impacto alto y ocurre al menos una vez al año","Zona 4 — Catastrófica poco probable: impacto alto pero excepcional"),IF(AND(T598&lt;1.5,X598&lt;1),"Zona 3 — Asumible: impacto bajo y muy poco frecuente","Zona 2 — Atención: riesgo intermedio"))</f>
        <v/>
      </c>
      <c r="AB598" s="64">
        <f>IFERROR(INDEX(MgAmenCtrl,MATCH(SUBSTITUTE($H598,"*","-"),MgAmenClave,0)),"")</f>
        <v/>
      </c>
      <c r="AC598" s="20" t="n"/>
      <c r="AD598" s="31">
        <f>IFERROR($X598*(1-IF($AC598="",$AL598,VLOOKUP($AC598,MgMad,2,0))),"")</f>
        <v/>
      </c>
      <c r="AE598" s="28">
        <f>IFERROR(LOOKUP(AD598,{0;0.01;0.1;1;10;100},{"Muy baja";"Muy baja";"Baja";"Media";"Alta";"Muy alta"}),"")</f>
        <v/>
      </c>
      <c r="AF598" s="30">
        <f>T598*AD598</f>
        <v/>
      </c>
      <c r="AG598" s="28">
        <f>IFERROR(LOOKUP(AF598,{0;0.5;5;25},{"Bajo";"Medio";"Alto";"Crítico"}),"")</f>
        <v/>
      </c>
      <c r="AH598" s="28">
        <f>IF(AG598="","",IF(OR(AG598="Crítico",AG598="Alto"),"Mitigar",IF(AG598="Medio","Mitigar","Aceptar y monitorear")))</f>
        <v/>
      </c>
      <c r="AI598" s="21" t="n"/>
      <c r="AJ598" s="21" t="n"/>
      <c r="AK598" s="20" t="n"/>
      <c r="AL598" s="77">
        <f>IFERROR(INDEX(MgAmenEfic,MATCH(SUBSTITUTE($H598,"*","-"),MgAmenClave,0)),0)</f>
        <v/>
      </c>
    </row>
    <row r="599" hidden="1" ht="75" customHeight="1" s="54">
      <c r="B599" s="59" t="inlineStr">
        <is>
          <t>R-0594</t>
        </is>
      </c>
      <c r="C599" s="59" t="inlineStr">
        <is>
          <t>COM-19</t>
        </is>
      </c>
      <c r="D599" s="64">
        <f>IFERROR(INDEX(MgNombre,MATCH($C599,MgActId,0)),"")</f>
        <v/>
      </c>
      <c r="E599" s="64">
        <f>IFERROR(INDEX(MgProceso,MATCH($C599,MgActId,0)),"")</f>
        <v/>
      </c>
      <c r="F599" s="64">
        <f>IFERROR(INDEX(MgTipo,MATCH($C599,MgActId,0)),"")</f>
        <v/>
      </c>
      <c r="G599" s="64">
        <f>IFERROR(INDEX(MgSubtipo,MATCH($C599,MgActId,0)),"")</f>
        <v/>
      </c>
      <c r="H599" s="59" t="inlineStr">
        <is>
          <t>A.5</t>
        </is>
      </c>
      <c r="I599" s="64">
        <f>IFERROR(INDEX(MgAmenNombre,MATCH(SUBSTITUTE($H599,"*","-"),MgAmenClave,0)),"")</f>
        <v/>
      </c>
      <c r="J599" s="28">
        <f>IFERROR(INDEX(MgAmenGrupo,MATCH(SUBSTITUTE($H599,"*","-"),MgAmenClave,0)),"")</f>
        <v/>
      </c>
      <c r="K599" s="64">
        <f>IFERROR(INDEX('1. Matriz de Activos'!$Q$6:$Q$239,MATCH($C599,MgActId,0)),"")</f>
        <v/>
      </c>
      <c r="L599" s="64">
        <f>IFERROR(INDEX('1. Matriz de Activos'!$R$6:$R$239,MATCH($C599,MgActId,0)),"")</f>
        <v/>
      </c>
      <c r="M599" s="64">
        <f>IFERROR(INDEX('1. Matriz de Activos'!$S$6:$S$239,MATCH($C599,MgActId,0)),"")</f>
        <v/>
      </c>
      <c r="N599" s="28">
        <f>IFERROR(INDEX(MgAmenDegD,MATCH(SUBSTITUTE($H599,"*","-"),MgAmenClave,0)),"No aplica")</f>
        <v/>
      </c>
      <c r="O599" s="28">
        <f>IFERROR(INDEX(MgAmenDegI,MATCH(SUBSTITUTE($H599,"*","-"),MgAmenClave,0)),"No aplica")</f>
        <v/>
      </c>
      <c r="P599" s="28">
        <f>IFERROR(INDEX(MgAmenDegC,MATCH(SUBSTITUTE($H599,"*","-"),MgAmenClave,0)),"No aplica")</f>
        <v/>
      </c>
      <c r="Q599" s="29">
        <f>IFERROR(VLOOKUP(K599,MgValor,2,0)*VLOOKUP(N599,MgDeg,2,0),0)</f>
        <v/>
      </c>
      <c r="R599" s="29">
        <f>IFERROR(VLOOKUP(L599,MgValor,2,0)*VLOOKUP(O599,MgDeg,2,0),0)</f>
        <v/>
      </c>
      <c r="S599" s="29">
        <f>IFERROR(VLOOKUP(M599,MgValor,2,0)*VLOOKUP(P599,MgDeg,2,0),0)</f>
        <v/>
      </c>
      <c r="T599" s="30">
        <f>MAX(Q599:S599)</f>
        <v/>
      </c>
      <c r="U599" s="28">
        <f>IFERROR(LOOKUP(T599,{0;0.5;1.5;3;4.5},{"Despreciable";"Bajo";"Medio";"Alto";"Muy alto"}),"")</f>
        <v/>
      </c>
      <c r="V599" s="13">
        <f>IFERROR(INDEX(MgAmenFrec,MATCH(SUBSTITUTE($H599,"*","-"),MgAmenClave,0)),"")</f>
        <v/>
      </c>
      <c r="W599" s="28">
        <f>IFERROR(LOOKUP(X599,{0;0.01;0.1;1;10;100},{"Muy baja";"Muy baja";"Baja";"Media";"Alta";"Muy alta"}),"")</f>
        <v/>
      </c>
      <c r="X599" s="31">
        <f>IFERROR(VLOOKUP(V599,MgFrec,2,0),0)</f>
        <v/>
      </c>
      <c r="Y599" s="30">
        <f>T599*X599</f>
        <v/>
      </c>
      <c r="Z599" s="28">
        <f>IFERROR(LOOKUP(Y599,{0;0.5;5;25},{"Bajo";"Medio";"Alto";"Crítico"}),"")</f>
        <v/>
      </c>
      <c r="AA599" s="64">
        <f>IF(T599&gt;=3,IF(X599&gt;=1,"Zona 1 — Crítica: impacto alto y ocurre al menos una vez al año","Zona 4 — Catastrófica poco probable: impacto alto pero excepcional"),IF(AND(T599&lt;1.5,X599&lt;1),"Zona 3 — Asumible: impacto bajo y muy poco frecuente","Zona 2 — Atención: riesgo intermedio"))</f>
        <v/>
      </c>
      <c r="AB599" s="64">
        <f>IFERROR(INDEX(MgAmenCtrl,MATCH(SUBSTITUTE($H599,"*","-"),MgAmenClave,0)),"")</f>
        <v/>
      </c>
      <c r="AC599" s="20" t="n"/>
      <c r="AD599" s="31">
        <f>IFERROR($X599*(1-IF($AC599="",$AL599,VLOOKUP($AC599,MgMad,2,0))),"")</f>
        <v/>
      </c>
      <c r="AE599" s="28">
        <f>IFERROR(LOOKUP(AD599,{0;0.01;0.1;1;10;100},{"Muy baja";"Muy baja";"Baja";"Media";"Alta";"Muy alta"}),"")</f>
        <v/>
      </c>
      <c r="AF599" s="30">
        <f>T599*AD599</f>
        <v/>
      </c>
      <c r="AG599" s="28">
        <f>IFERROR(LOOKUP(AF599,{0;0.5;5;25},{"Bajo";"Medio";"Alto";"Crítico"}),"")</f>
        <v/>
      </c>
      <c r="AH599" s="28">
        <f>IF(AG599="","",IF(OR(AG599="Crítico",AG599="Alto"),"Mitigar",IF(AG599="Medio","Mitigar","Aceptar y monitorear")))</f>
        <v/>
      </c>
      <c r="AI599" s="21" t="n"/>
      <c r="AJ599" s="21" t="n"/>
      <c r="AK599" s="20" t="n"/>
      <c r="AL599" s="77">
        <f>IFERROR(INDEX(MgAmenEfic,MATCH(SUBSTITUTE($H599,"*","-"),MgAmenClave,0)),0)</f>
        <v/>
      </c>
    </row>
    <row r="600" hidden="1" ht="105" customHeight="1" s="54">
      <c r="B600" s="59" t="inlineStr">
        <is>
          <t>R-0595</t>
        </is>
      </c>
      <c r="C600" s="59" t="inlineStr">
        <is>
          <t>COM-19</t>
        </is>
      </c>
      <c r="D600" s="64">
        <f>IFERROR(INDEX(MgNombre,MATCH($C600,MgActId,0)),"")</f>
        <v/>
      </c>
      <c r="E600" s="64">
        <f>IFERROR(INDEX(MgProceso,MATCH($C600,MgActId,0)),"")</f>
        <v/>
      </c>
      <c r="F600" s="64">
        <f>IFERROR(INDEX(MgTipo,MATCH($C600,MgActId,0)),"")</f>
        <v/>
      </c>
      <c r="G600" s="64">
        <f>IFERROR(INDEX(MgSubtipo,MATCH($C600,MgActId,0)),"")</f>
        <v/>
      </c>
      <c r="H600" s="59" t="inlineStr">
        <is>
          <t>A.6</t>
        </is>
      </c>
      <c r="I600" s="64">
        <f>IFERROR(INDEX(MgAmenNombre,MATCH(SUBSTITUTE($H600,"*","-"),MgAmenClave,0)),"")</f>
        <v/>
      </c>
      <c r="J600" s="28">
        <f>IFERROR(INDEX(MgAmenGrupo,MATCH(SUBSTITUTE($H600,"*","-"),MgAmenClave,0)),"")</f>
        <v/>
      </c>
      <c r="K600" s="64">
        <f>IFERROR(INDEX('1. Matriz de Activos'!$Q$6:$Q$239,MATCH($C600,MgActId,0)),"")</f>
        <v/>
      </c>
      <c r="L600" s="64">
        <f>IFERROR(INDEX('1. Matriz de Activos'!$R$6:$R$239,MATCH($C600,MgActId,0)),"")</f>
        <v/>
      </c>
      <c r="M600" s="64">
        <f>IFERROR(INDEX('1. Matriz de Activos'!$S$6:$S$239,MATCH($C600,MgActId,0)),"")</f>
        <v/>
      </c>
      <c r="N600" s="28">
        <f>IFERROR(INDEX(MgAmenDegD,MATCH(SUBSTITUTE($H600,"*","-"),MgAmenClave,0)),"No aplica")</f>
        <v/>
      </c>
      <c r="O600" s="28">
        <f>IFERROR(INDEX(MgAmenDegI,MATCH(SUBSTITUTE($H600,"*","-"),MgAmenClave,0)),"No aplica")</f>
        <v/>
      </c>
      <c r="P600" s="28">
        <f>IFERROR(INDEX(MgAmenDegC,MATCH(SUBSTITUTE($H600,"*","-"),MgAmenClave,0)),"No aplica")</f>
        <v/>
      </c>
      <c r="Q600" s="29">
        <f>IFERROR(VLOOKUP(K600,MgValor,2,0)*VLOOKUP(N600,MgDeg,2,0),0)</f>
        <v/>
      </c>
      <c r="R600" s="29">
        <f>IFERROR(VLOOKUP(L600,MgValor,2,0)*VLOOKUP(O600,MgDeg,2,0),0)</f>
        <v/>
      </c>
      <c r="S600" s="29">
        <f>IFERROR(VLOOKUP(M600,MgValor,2,0)*VLOOKUP(P600,MgDeg,2,0),0)</f>
        <v/>
      </c>
      <c r="T600" s="30">
        <f>MAX(Q600:S600)</f>
        <v/>
      </c>
      <c r="U600" s="28">
        <f>IFERROR(LOOKUP(T600,{0;0.5;1.5;3;4.5},{"Despreciable";"Bajo";"Medio";"Alto";"Muy alto"}),"")</f>
        <v/>
      </c>
      <c r="V600" s="13">
        <f>IFERROR(INDEX(MgAmenFrec,MATCH(SUBSTITUTE($H600,"*","-"),MgAmenClave,0)),"")</f>
        <v/>
      </c>
      <c r="W600" s="28">
        <f>IFERROR(LOOKUP(X600,{0;0.01;0.1;1;10;100},{"Muy baja";"Muy baja";"Baja";"Media";"Alta";"Muy alta"}),"")</f>
        <v/>
      </c>
      <c r="X600" s="31">
        <f>IFERROR(VLOOKUP(V600,MgFrec,2,0),0)</f>
        <v/>
      </c>
      <c r="Y600" s="30">
        <f>T600*X600</f>
        <v/>
      </c>
      <c r="Z600" s="28">
        <f>IFERROR(LOOKUP(Y600,{0;0.5;5;25},{"Bajo";"Medio";"Alto";"Crítico"}),"")</f>
        <v/>
      </c>
      <c r="AA600" s="64">
        <f>IF(T600&gt;=3,IF(X600&gt;=1,"Zona 1 — Crítica: impacto alto y ocurre al menos una vez al año","Zona 4 — Catastrófica poco probable: impacto alto pero excepcional"),IF(AND(T600&lt;1.5,X600&lt;1),"Zona 3 — Asumible: impacto bajo y muy poco frecuente","Zona 2 — Atención: riesgo intermedio"))</f>
        <v/>
      </c>
      <c r="AB600" s="64">
        <f>IFERROR(INDEX(MgAmenCtrl,MATCH(SUBSTITUTE($H600,"*","-"),MgAmenClave,0)),"")</f>
        <v/>
      </c>
      <c r="AC600" s="20" t="n"/>
      <c r="AD600" s="31">
        <f>IFERROR($X600*(1-IF($AC600="",$AL600,VLOOKUP($AC600,MgMad,2,0))),"")</f>
        <v/>
      </c>
      <c r="AE600" s="28">
        <f>IFERROR(LOOKUP(AD600,{0;0.01;0.1;1;10;100},{"Muy baja";"Muy baja";"Baja";"Media";"Alta";"Muy alta"}),"")</f>
        <v/>
      </c>
      <c r="AF600" s="30">
        <f>T600*AD600</f>
        <v/>
      </c>
      <c r="AG600" s="28">
        <f>IFERROR(LOOKUP(AF600,{0;0.5;5;25},{"Bajo";"Medio";"Alto";"Crítico"}),"")</f>
        <v/>
      </c>
      <c r="AH600" s="28">
        <f>IF(AG600="","",IF(OR(AG600="Crítico",AG600="Alto"),"Mitigar",IF(AG600="Medio","Mitigar","Aceptar y monitorear")))</f>
        <v/>
      </c>
      <c r="AI600" s="21" t="n"/>
      <c r="AJ600" s="21" t="n"/>
      <c r="AK600" s="20" t="n"/>
      <c r="AL600" s="77">
        <f>IFERROR(INDEX(MgAmenEfic,MATCH(SUBSTITUTE($H600,"*","-"),MgAmenClave,0)),0)</f>
        <v/>
      </c>
    </row>
    <row r="601" hidden="1" ht="120" customHeight="1" s="54">
      <c r="B601" s="59" t="inlineStr">
        <is>
          <t>R-0596</t>
        </is>
      </c>
      <c r="C601" s="59" t="inlineStr">
        <is>
          <t>COM-19</t>
        </is>
      </c>
      <c r="D601" s="64">
        <f>IFERROR(INDEX(MgNombre,MATCH($C601,MgActId,0)),"")</f>
        <v/>
      </c>
      <c r="E601" s="64">
        <f>IFERROR(INDEX(MgProceso,MATCH($C601,MgActId,0)),"")</f>
        <v/>
      </c>
      <c r="F601" s="64">
        <f>IFERROR(INDEX(MgTipo,MATCH($C601,MgActId,0)),"")</f>
        <v/>
      </c>
      <c r="G601" s="64">
        <f>IFERROR(INDEX(MgSubtipo,MATCH($C601,MgActId,0)),"")</f>
        <v/>
      </c>
      <c r="H601" s="59" t="inlineStr">
        <is>
          <t>A.11</t>
        </is>
      </c>
      <c r="I601" s="64">
        <f>IFERROR(INDEX(MgAmenNombre,MATCH(SUBSTITUTE($H601,"*","-"),MgAmenClave,0)),"")</f>
        <v/>
      </c>
      <c r="J601" s="28">
        <f>IFERROR(INDEX(MgAmenGrupo,MATCH(SUBSTITUTE($H601,"*","-"),MgAmenClave,0)),"")</f>
        <v/>
      </c>
      <c r="K601" s="64">
        <f>IFERROR(INDEX('1. Matriz de Activos'!$Q$6:$Q$239,MATCH($C601,MgActId,0)),"")</f>
        <v/>
      </c>
      <c r="L601" s="64">
        <f>IFERROR(INDEX('1. Matriz de Activos'!$R$6:$R$239,MATCH($C601,MgActId,0)),"")</f>
        <v/>
      </c>
      <c r="M601" s="64">
        <f>IFERROR(INDEX('1. Matriz de Activos'!$S$6:$S$239,MATCH($C601,MgActId,0)),"")</f>
        <v/>
      </c>
      <c r="N601" s="28">
        <f>IFERROR(INDEX(MgAmenDegD,MATCH(SUBSTITUTE($H601,"*","-"),MgAmenClave,0)),"No aplica")</f>
        <v/>
      </c>
      <c r="O601" s="28">
        <f>IFERROR(INDEX(MgAmenDegI,MATCH(SUBSTITUTE($H601,"*","-"),MgAmenClave,0)),"No aplica")</f>
        <v/>
      </c>
      <c r="P601" s="28">
        <f>IFERROR(INDEX(MgAmenDegC,MATCH(SUBSTITUTE($H601,"*","-"),MgAmenClave,0)),"No aplica")</f>
        <v/>
      </c>
      <c r="Q601" s="29">
        <f>IFERROR(VLOOKUP(K601,MgValor,2,0)*VLOOKUP(N601,MgDeg,2,0),0)</f>
        <v/>
      </c>
      <c r="R601" s="29">
        <f>IFERROR(VLOOKUP(L601,MgValor,2,0)*VLOOKUP(O601,MgDeg,2,0),0)</f>
        <v/>
      </c>
      <c r="S601" s="29">
        <f>IFERROR(VLOOKUP(M601,MgValor,2,0)*VLOOKUP(P601,MgDeg,2,0),0)</f>
        <v/>
      </c>
      <c r="T601" s="30">
        <f>MAX(Q601:S601)</f>
        <v/>
      </c>
      <c r="U601" s="28">
        <f>IFERROR(LOOKUP(T601,{0;0.5;1.5;3;4.5},{"Despreciable";"Bajo";"Medio";"Alto";"Muy alto"}),"")</f>
        <v/>
      </c>
      <c r="V601" s="13">
        <f>IFERROR(INDEX(MgAmenFrec,MATCH(SUBSTITUTE($H601,"*","-"),MgAmenClave,0)),"")</f>
        <v/>
      </c>
      <c r="W601" s="28">
        <f>IFERROR(LOOKUP(X601,{0;0.01;0.1;1;10;100},{"Muy baja";"Muy baja";"Baja";"Media";"Alta";"Muy alta"}),"")</f>
        <v/>
      </c>
      <c r="X601" s="31">
        <f>IFERROR(VLOOKUP(V601,MgFrec,2,0),0)</f>
        <v/>
      </c>
      <c r="Y601" s="30">
        <f>T601*X601</f>
        <v/>
      </c>
      <c r="Z601" s="28">
        <f>IFERROR(LOOKUP(Y601,{0;0.5;5;25},{"Bajo";"Medio";"Alto";"Crítico"}),"")</f>
        <v/>
      </c>
      <c r="AA601" s="64">
        <f>IF(T601&gt;=3,IF(X601&gt;=1,"Zona 1 — Crítica: impacto alto y ocurre al menos una vez al año","Zona 4 — Catastrófica poco probable: impacto alto pero excepcional"),IF(AND(T601&lt;1.5,X601&lt;1),"Zona 3 — Asumible: impacto bajo y muy poco frecuente","Zona 2 — Atención: riesgo intermedio"))</f>
        <v/>
      </c>
      <c r="AB601" s="64">
        <f>IFERROR(INDEX(MgAmenCtrl,MATCH(SUBSTITUTE($H601,"*","-"),MgAmenClave,0)),"")</f>
        <v/>
      </c>
      <c r="AC601" s="20" t="n"/>
      <c r="AD601" s="31">
        <f>IFERROR($X601*(1-IF($AC601="",$AL601,VLOOKUP($AC601,MgMad,2,0))),"")</f>
        <v/>
      </c>
      <c r="AE601" s="28">
        <f>IFERROR(LOOKUP(AD601,{0;0.01;0.1;1;10;100},{"Muy baja";"Muy baja";"Baja";"Media";"Alta";"Muy alta"}),"")</f>
        <v/>
      </c>
      <c r="AF601" s="30">
        <f>T601*AD601</f>
        <v/>
      </c>
      <c r="AG601" s="28">
        <f>IFERROR(LOOKUP(AF601,{0;0.5;5;25},{"Bajo";"Medio";"Alto";"Crítico"}),"")</f>
        <v/>
      </c>
      <c r="AH601" s="28">
        <f>IF(AG601="","",IF(OR(AG601="Crítico",AG601="Alto"),"Mitigar",IF(AG601="Medio","Mitigar","Aceptar y monitorear")))</f>
        <v/>
      </c>
      <c r="AI601" s="21" t="n"/>
      <c r="AJ601" s="21" t="n"/>
      <c r="AK601" s="20" t="n"/>
      <c r="AL601" s="77">
        <f>IFERROR(INDEX(MgAmenEfic,MATCH(SUBSTITUTE($H601,"*","-"),MgAmenClave,0)),0)</f>
        <v/>
      </c>
    </row>
    <row r="602" hidden="1" ht="90" customHeight="1" s="54">
      <c r="B602" s="59" t="inlineStr">
        <is>
          <t>R-0597</t>
        </is>
      </c>
      <c r="C602" s="59" t="inlineStr">
        <is>
          <t>COM-19</t>
        </is>
      </c>
      <c r="D602" s="64">
        <f>IFERROR(INDEX(MgNombre,MATCH($C602,MgActId,0)),"")</f>
        <v/>
      </c>
      <c r="E602" s="64">
        <f>IFERROR(INDEX(MgProceso,MATCH($C602,MgActId,0)),"")</f>
        <v/>
      </c>
      <c r="F602" s="64">
        <f>IFERROR(INDEX(MgTipo,MATCH($C602,MgActId,0)),"")</f>
        <v/>
      </c>
      <c r="G602" s="64">
        <f>IFERROR(INDEX(MgSubtipo,MATCH($C602,MgActId,0)),"")</f>
        <v/>
      </c>
      <c r="H602" s="59" t="inlineStr">
        <is>
          <t>A.13</t>
        </is>
      </c>
      <c r="I602" s="64">
        <f>IFERROR(INDEX(MgAmenNombre,MATCH(SUBSTITUTE($H602,"*","-"),MgAmenClave,0)),"")</f>
        <v/>
      </c>
      <c r="J602" s="28">
        <f>IFERROR(INDEX(MgAmenGrupo,MATCH(SUBSTITUTE($H602,"*","-"),MgAmenClave,0)),"")</f>
        <v/>
      </c>
      <c r="K602" s="64">
        <f>IFERROR(INDEX('1. Matriz de Activos'!$Q$6:$Q$239,MATCH($C602,MgActId,0)),"")</f>
        <v/>
      </c>
      <c r="L602" s="64">
        <f>IFERROR(INDEX('1. Matriz de Activos'!$R$6:$R$239,MATCH($C602,MgActId,0)),"")</f>
        <v/>
      </c>
      <c r="M602" s="64">
        <f>IFERROR(INDEX('1. Matriz de Activos'!$S$6:$S$239,MATCH($C602,MgActId,0)),"")</f>
        <v/>
      </c>
      <c r="N602" s="28">
        <f>IFERROR(INDEX(MgAmenDegD,MATCH(SUBSTITUTE($H602,"*","-"),MgAmenClave,0)),"No aplica")</f>
        <v/>
      </c>
      <c r="O602" s="28">
        <f>IFERROR(INDEX(MgAmenDegI,MATCH(SUBSTITUTE($H602,"*","-"),MgAmenClave,0)),"No aplica")</f>
        <v/>
      </c>
      <c r="P602" s="28">
        <f>IFERROR(INDEX(MgAmenDegC,MATCH(SUBSTITUTE($H602,"*","-"),MgAmenClave,0)),"No aplica")</f>
        <v/>
      </c>
      <c r="Q602" s="29">
        <f>IFERROR(VLOOKUP(K602,MgValor,2,0)*VLOOKUP(N602,MgDeg,2,0),0)</f>
        <v/>
      </c>
      <c r="R602" s="29">
        <f>IFERROR(VLOOKUP(L602,MgValor,2,0)*VLOOKUP(O602,MgDeg,2,0),0)</f>
        <v/>
      </c>
      <c r="S602" s="29">
        <f>IFERROR(VLOOKUP(M602,MgValor,2,0)*VLOOKUP(P602,MgDeg,2,0),0)</f>
        <v/>
      </c>
      <c r="T602" s="30">
        <f>MAX(Q602:S602)</f>
        <v/>
      </c>
      <c r="U602" s="28">
        <f>IFERROR(LOOKUP(T602,{0;0.5;1.5;3;4.5},{"Despreciable";"Bajo";"Medio";"Alto";"Muy alto"}),"")</f>
        <v/>
      </c>
      <c r="V602" s="13">
        <f>IFERROR(INDEX(MgAmenFrec,MATCH(SUBSTITUTE($H602,"*","-"),MgAmenClave,0)),"")</f>
        <v/>
      </c>
      <c r="W602" s="28">
        <f>IFERROR(LOOKUP(X602,{0;0.01;0.1;1;10;100},{"Muy baja";"Muy baja";"Baja";"Media";"Alta";"Muy alta"}),"")</f>
        <v/>
      </c>
      <c r="X602" s="31">
        <f>IFERROR(VLOOKUP(V602,MgFrec,2,0),0)</f>
        <v/>
      </c>
      <c r="Y602" s="30">
        <f>T602*X602</f>
        <v/>
      </c>
      <c r="Z602" s="28">
        <f>IFERROR(LOOKUP(Y602,{0;0.5;5;25},{"Bajo";"Medio";"Alto";"Crítico"}),"")</f>
        <v/>
      </c>
      <c r="AA602" s="64">
        <f>IF(T602&gt;=3,IF(X602&gt;=1,"Zona 1 — Crítica: impacto alto y ocurre al menos una vez al año","Zona 4 — Catastrófica poco probable: impacto alto pero excepcional"),IF(AND(T602&lt;1.5,X602&lt;1),"Zona 3 — Asumible: impacto bajo y muy poco frecuente","Zona 2 — Atención: riesgo intermedio"))</f>
        <v/>
      </c>
      <c r="AB602" s="64">
        <f>IFERROR(INDEX(MgAmenCtrl,MATCH(SUBSTITUTE($H602,"*","-"),MgAmenClave,0)),"")</f>
        <v/>
      </c>
      <c r="AC602" s="20" t="n"/>
      <c r="AD602" s="31">
        <f>IFERROR($X602*(1-IF($AC602="",$AL602,VLOOKUP($AC602,MgMad,2,0))),"")</f>
        <v/>
      </c>
      <c r="AE602" s="28">
        <f>IFERROR(LOOKUP(AD602,{0;0.01;0.1;1;10;100},{"Muy baja";"Muy baja";"Baja";"Media";"Alta";"Muy alta"}),"")</f>
        <v/>
      </c>
      <c r="AF602" s="30">
        <f>T602*AD602</f>
        <v/>
      </c>
      <c r="AG602" s="28">
        <f>IFERROR(LOOKUP(AF602,{0;0.5;5;25},{"Bajo";"Medio";"Alto";"Crítico"}),"")</f>
        <v/>
      </c>
      <c r="AH602" s="28">
        <f>IF(AG602="","",IF(OR(AG602="Crítico",AG602="Alto"),"Mitigar",IF(AG602="Medio","Mitigar","Aceptar y monitorear")))</f>
        <v/>
      </c>
      <c r="AI602" s="21" t="n"/>
      <c r="AJ602" s="21" t="n"/>
      <c r="AK602" s="20" t="n"/>
      <c r="AL602" s="77">
        <f>IFERROR(INDEX(MgAmenEfic,MATCH(SUBSTITUTE($H602,"*","-"),MgAmenClave,0)),0)</f>
        <v/>
      </c>
    </row>
    <row r="603" hidden="1" ht="60" customHeight="1" s="54">
      <c r="B603" s="59" t="inlineStr">
        <is>
          <t>R-0598</t>
        </is>
      </c>
      <c r="C603" s="59" t="inlineStr">
        <is>
          <t>COM-19</t>
        </is>
      </c>
      <c r="D603" s="64">
        <f>IFERROR(INDEX(MgNombre,MATCH($C603,MgActId,0)),"")</f>
        <v/>
      </c>
      <c r="E603" s="64">
        <f>IFERROR(INDEX(MgProceso,MATCH($C603,MgActId,0)),"")</f>
        <v/>
      </c>
      <c r="F603" s="64">
        <f>IFERROR(INDEX(MgTipo,MATCH($C603,MgActId,0)),"")</f>
        <v/>
      </c>
      <c r="G603" s="64">
        <f>IFERROR(INDEX(MgSubtipo,MATCH($C603,MgActId,0)),"")</f>
        <v/>
      </c>
      <c r="H603" s="59" t="inlineStr">
        <is>
          <t>A.15</t>
        </is>
      </c>
      <c r="I603" s="64">
        <f>IFERROR(INDEX(MgAmenNombre,MATCH(SUBSTITUTE($H603,"*","-"),MgAmenClave,0)),"")</f>
        <v/>
      </c>
      <c r="J603" s="28">
        <f>IFERROR(INDEX(MgAmenGrupo,MATCH(SUBSTITUTE($H603,"*","-"),MgAmenClave,0)),"")</f>
        <v/>
      </c>
      <c r="K603" s="64">
        <f>IFERROR(INDEX('1. Matriz de Activos'!$Q$6:$Q$239,MATCH($C603,MgActId,0)),"")</f>
        <v/>
      </c>
      <c r="L603" s="64">
        <f>IFERROR(INDEX('1. Matriz de Activos'!$R$6:$R$239,MATCH($C603,MgActId,0)),"")</f>
        <v/>
      </c>
      <c r="M603" s="64">
        <f>IFERROR(INDEX('1. Matriz de Activos'!$S$6:$S$239,MATCH($C603,MgActId,0)),"")</f>
        <v/>
      </c>
      <c r="N603" s="28">
        <f>IFERROR(INDEX(MgAmenDegD,MATCH(SUBSTITUTE($H603,"*","-"),MgAmenClave,0)),"No aplica")</f>
        <v/>
      </c>
      <c r="O603" s="28">
        <f>IFERROR(INDEX(MgAmenDegI,MATCH(SUBSTITUTE($H603,"*","-"),MgAmenClave,0)),"No aplica")</f>
        <v/>
      </c>
      <c r="P603" s="28">
        <f>IFERROR(INDEX(MgAmenDegC,MATCH(SUBSTITUTE($H603,"*","-"),MgAmenClave,0)),"No aplica")</f>
        <v/>
      </c>
      <c r="Q603" s="29">
        <f>IFERROR(VLOOKUP(K603,MgValor,2,0)*VLOOKUP(N603,MgDeg,2,0),0)</f>
        <v/>
      </c>
      <c r="R603" s="29">
        <f>IFERROR(VLOOKUP(L603,MgValor,2,0)*VLOOKUP(O603,MgDeg,2,0),0)</f>
        <v/>
      </c>
      <c r="S603" s="29">
        <f>IFERROR(VLOOKUP(M603,MgValor,2,0)*VLOOKUP(P603,MgDeg,2,0),0)</f>
        <v/>
      </c>
      <c r="T603" s="30">
        <f>MAX(Q603:S603)</f>
        <v/>
      </c>
      <c r="U603" s="28">
        <f>IFERROR(LOOKUP(T603,{0;0.5;1.5;3;4.5},{"Despreciable";"Bajo";"Medio";"Alto";"Muy alto"}),"")</f>
        <v/>
      </c>
      <c r="V603" s="13">
        <f>IFERROR(INDEX(MgAmenFrec,MATCH(SUBSTITUTE($H603,"*","-"),MgAmenClave,0)),"")</f>
        <v/>
      </c>
      <c r="W603" s="28">
        <f>IFERROR(LOOKUP(X603,{0;0.01;0.1;1;10;100},{"Muy baja";"Muy baja";"Baja";"Media";"Alta";"Muy alta"}),"")</f>
        <v/>
      </c>
      <c r="X603" s="31">
        <f>IFERROR(VLOOKUP(V603,MgFrec,2,0),0)</f>
        <v/>
      </c>
      <c r="Y603" s="30">
        <f>T603*X603</f>
        <v/>
      </c>
      <c r="Z603" s="28">
        <f>IFERROR(LOOKUP(Y603,{0;0.5;5;25},{"Bajo";"Medio";"Alto";"Crítico"}),"")</f>
        <v/>
      </c>
      <c r="AA603" s="64">
        <f>IF(T603&gt;=3,IF(X603&gt;=1,"Zona 1 — Crítica: impacto alto y ocurre al menos una vez al año","Zona 4 — Catastrófica poco probable: impacto alto pero excepcional"),IF(AND(T603&lt;1.5,X603&lt;1),"Zona 3 — Asumible: impacto bajo y muy poco frecuente","Zona 2 — Atención: riesgo intermedio"))</f>
        <v/>
      </c>
      <c r="AB603" s="64">
        <f>IFERROR(INDEX(MgAmenCtrl,MATCH(SUBSTITUTE($H603,"*","-"),MgAmenClave,0)),"")</f>
        <v/>
      </c>
      <c r="AC603" s="20" t="n"/>
      <c r="AD603" s="31">
        <f>IFERROR($X603*(1-IF($AC603="",$AL603,VLOOKUP($AC603,MgMad,2,0))),"")</f>
        <v/>
      </c>
      <c r="AE603" s="28">
        <f>IFERROR(LOOKUP(AD603,{0;0.01;0.1;1;10;100},{"Muy baja";"Muy baja";"Baja";"Media";"Alta";"Muy alta"}),"")</f>
        <v/>
      </c>
      <c r="AF603" s="30">
        <f>T603*AD603</f>
        <v/>
      </c>
      <c r="AG603" s="28">
        <f>IFERROR(LOOKUP(AF603,{0;0.5;5;25},{"Bajo";"Medio";"Alto";"Crítico"}),"")</f>
        <v/>
      </c>
      <c r="AH603" s="28">
        <f>IF(AG603="","",IF(OR(AG603="Crítico",AG603="Alto"),"Mitigar",IF(AG603="Medio","Mitigar","Aceptar y monitorear")))</f>
        <v/>
      </c>
      <c r="AI603" s="21" t="n"/>
      <c r="AJ603" s="21" t="n"/>
      <c r="AK603" s="20" t="n"/>
      <c r="AL603" s="77">
        <f>IFERROR(INDEX(MgAmenEfic,MATCH(SUBSTITUTE($H603,"*","-"),MgAmenClave,0)),0)</f>
        <v/>
      </c>
    </row>
    <row r="604" hidden="1" ht="60" customHeight="1" s="54">
      <c r="B604" s="59" t="inlineStr">
        <is>
          <t>R-0599</t>
        </is>
      </c>
      <c r="C604" s="59" t="inlineStr">
        <is>
          <t>COM-19</t>
        </is>
      </c>
      <c r="D604" s="64">
        <f>IFERROR(INDEX(MgNombre,MATCH($C604,MgActId,0)),"")</f>
        <v/>
      </c>
      <c r="E604" s="64">
        <f>IFERROR(INDEX(MgProceso,MATCH($C604,MgActId,0)),"")</f>
        <v/>
      </c>
      <c r="F604" s="64">
        <f>IFERROR(INDEX(MgTipo,MATCH($C604,MgActId,0)),"")</f>
        <v/>
      </c>
      <c r="G604" s="64">
        <f>IFERROR(INDEX(MgSubtipo,MATCH($C604,MgActId,0)),"")</f>
        <v/>
      </c>
      <c r="H604" s="59" t="inlineStr">
        <is>
          <t>A.18</t>
        </is>
      </c>
      <c r="I604" s="64">
        <f>IFERROR(INDEX(MgAmenNombre,MATCH(SUBSTITUTE($H604,"*","-"),MgAmenClave,0)),"")</f>
        <v/>
      </c>
      <c r="J604" s="28">
        <f>IFERROR(INDEX(MgAmenGrupo,MATCH(SUBSTITUTE($H604,"*","-"),MgAmenClave,0)),"")</f>
        <v/>
      </c>
      <c r="K604" s="64">
        <f>IFERROR(INDEX('1. Matriz de Activos'!$Q$6:$Q$239,MATCH($C604,MgActId,0)),"")</f>
        <v/>
      </c>
      <c r="L604" s="64">
        <f>IFERROR(INDEX('1. Matriz de Activos'!$R$6:$R$239,MATCH($C604,MgActId,0)),"")</f>
        <v/>
      </c>
      <c r="M604" s="64">
        <f>IFERROR(INDEX('1. Matriz de Activos'!$S$6:$S$239,MATCH($C604,MgActId,0)),"")</f>
        <v/>
      </c>
      <c r="N604" s="28">
        <f>IFERROR(INDEX(MgAmenDegD,MATCH(SUBSTITUTE($H604,"*","-"),MgAmenClave,0)),"No aplica")</f>
        <v/>
      </c>
      <c r="O604" s="28">
        <f>IFERROR(INDEX(MgAmenDegI,MATCH(SUBSTITUTE($H604,"*","-"),MgAmenClave,0)),"No aplica")</f>
        <v/>
      </c>
      <c r="P604" s="28">
        <f>IFERROR(INDEX(MgAmenDegC,MATCH(SUBSTITUTE($H604,"*","-"),MgAmenClave,0)),"No aplica")</f>
        <v/>
      </c>
      <c r="Q604" s="29">
        <f>IFERROR(VLOOKUP(K604,MgValor,2,0)*VLOOKUP(N604,MgDeg,2,0),0)</f>
        <v/>
      </c>
      <c r="R604" s="29">
        <f>IFERROR(VLOOKUP(L604,MgValor,2,0)*VLOOKUP(O604,MgDeg,2,0),0)</f>
        <v/>
      </c>
      <c r="S604" s="29">
        <f>IFERROR(VLOOKUP(M604,MgValor,2,0)*VLOOKUP(P604,MgDeg,2,0),0)</f>
        <v/>
      </c>
      <c r="T604" s="30">
        <f>MAX(Q604:S604)</f>
        <v/>
      </c>
      <c r="U604" s="28">
        <f>IFERROR(LOOKUP(T604,{0;0.5;1.5;3;4.5},{"Despreciable";"Bajo";"Medio";"Alto";"Muy alto"}),"")</f>
        <v/>
      </c>
      <c r="V604" s="13">
        <f>IFERROR(INDEX(MgAmenFrec,MATCH(SUBSTITUTE($H604,"*","-"),MgAmenClave,0)),"")</f>
        <v/>
      </c>
      <c r="W604" s="28">
        <f>IFERROR(LOOKUP(X604,{0;0.01;0.1;1;10;100},{"Muy baja";"Muy baja";"Baja";"Media";"Alta";"Muy alta"}),"")</f>
        <v/>
      </c>
      <c r="X604" s="31">
        <f>IFERROR(VLOOKUP(V604,MgFrec,2,0),0)</f>
        <v/>
      </c>
      <c r="Y604" s="30">
        <f>T604*X604</f>
        <v/>
      </c>
      <c r="Z604" s="28">
        <f>IFERROR(LOOKUP(Y604,{0;0.5;5;25},{"Bajo";"Medio";"Alto";"Crítico"}),"")</f>
        <v/>
      </c>
      <c r="AA604" s="64">
        <f>IF(T604&gt;=3,IF(X604&gt;=1,"Zona 1 — Crítica: impacto alto y ocurre al menos una vez al año","Zona 4 — Catastrófica poco probable: impacto alto pero excepcional"),IF(AND(T604&lt;1.5,X604&lt;1),"Zona 3 — Asumible: impacto bajo y muy poco frecuente","Zona 2 — Atención: riesgo intermedio"))</f>
        <v/>
      </c>
      <c r="AB604" s="64">
        <f>IFERROR(INDEX(MgAmenCtrl,MATCH(SUBSTITUTE($H604,"*","-"),MgAmenClave,0)),"")</f>
        <v/>
      </c>
      <c r="AC604" s="20" t="n"/>
      <c r="AD604" s="31">
        <f>IFERROR($X604*(1-IF($AC604="",$AL604,VLOOKUP($AC604,MgMad,2,0))),"")</f>
        <v/>
      </c>
      <c r="AE604" s="28">
        <f>IFERROR(LOOKUP(AD604,{0;0.01;0.1;1;10;100},{"Muy baja";"Muy baja";"Baja";"Media";"Alta";"Muy alta"}),"")</f>
        <v/>
      </c>
      <c r="AF604" s="30">
        <f>T604*AD604</f>
        <v/>
      </c>
      <c r="AG604" s="28">
        <f>IFERROR(LOOKUP(AF604,{0;0.5;5;25},{"Bajo";"Medio";"Alto";"Crítico"}),"")</f>
        <v/>
      </c>
      <c r="AH604" s="28">
        <f>IF(AG604="","",IF(OR(AG604="Crítico",AG604="Alto"),"Mitigar",IF(AG604="Medio","Mitigar","Aceptar y monitorear")))</f>
        <v/>
      </c>
      <c r="AI604" s="21" t="n"/>
      <c r="AJ604" s="21" t="n"/>
      <c r="AK604" s="20" t="n"/>
      <c r="AL604" s="77">
        <f>IFERROR(INDEX(MgAmenEfic,MATCH(SUBSTITUTE($H604,"*","-"),MgAmenClave,0)),0)</f>
        <v/>
      </c>
    </row>
    <row r="605" hidden="1" ht="120" customHeight="1" s="54">
      <c r="B605" s="59" t="inlineStr">
        <is>
          <t>R-0600</t>
        </is>
      </c>
      <c r="C605" s="59" t="inlineStr">
        <is>
          <t>COM-19</t>
        </is>
      </c>
      <c r="D605" s="64">
        <f>IFERROR(INDEX(MgNombre,MATCH($C605,MgActId,0)),"")</f>
        <v/>
      </c>
      <c r="E605" s="64">
        <f>IFERROR(INDEX(MgProceso,MATCH($C605,MgActId,0)),"")</f>
        <v/>
      </c>
      <c r="F605" s="64">
        <f>IFERROR(INDEX(MgTipo,MATCH($C605,MgActId,0)),"")</f>
        <v/>
      </c>
      <c r="G605" s="64">
        <f>IFERROR(INDEX(MgSubtipo,MATCH($C605,MgActId,0)),"")</f>
        <v/>
      </c>
      <c r="H605" s="59" t="inlineStr">
        <is>
          <t>A.19</t>
        </is>
      </c>
      <c r="I605" s="64">
        <f>IFERROR(INDEX(MgAmenNombre,MATCH(SUBSTITUTE($H605,"*","-"),MgAmenClave,0)),"")</f>
        <v/>
      </c>
      <c r="J605" s="28">
        <f>IFERROR(INDEX(MgAmenGrupo,MATCH(SUBSTITUTE($H605,"*","-"),MgAmenClave,0)),"")</f>
        <v/>
      </c>
      <c r="K605" s="64">
        <f>IFERROR(INDEX('1. Matriz de Activos'!$Q$6:$Q$239,MATCH($C605,MgActId,0)),"")</f>
        <v/>
      </c>
      <c r="L605" s="64">
        <f>IFERROR(INDEX('1. Matriz de Activos'!$R$6:$R$239,MATCH($C605,MgActId,0)),"")</f>
        <v/>
      </c>
      <c r="M605" s="64">
        <f>IFERROR(INDEX('1. Matriz de Activos'!$S$6:$S$239,MATCH($C605,MgActId,0)),"")</f>
        <v/>
      </c>
      <c r="N605" s="28">
        <f>IFERROR(INDEX(MgAmenDegD,MATCH(SUBSTITUTE($H605,"*","-"),MgAmenClave,0)),"No aplica")</f>
        <v/>
      </c>
      <c r="O605" s="28">
        <f>IFERROR(INDEX(MgAmenDegI,MATCH(SUBSTITUTE($H605,"*","-"),MgAmenClave,0)),"No aplica")</f>
        <v/>
      </c>
      <c r="P605" s="28">
        <f>IFERROR(INDEX(MgAmenDegC,MATCH(SUBSTITUTE($H605,"*","-"),MgAmenClave,0)),"No aplica")</f>
        <v/>
      </c>
      <c r="Q605" s="29">
        <f>IFERROR(VLOOKUP(K605,MgValor,2,0)*VLOOKUP(N605,MgDeg,2,0),0)</f>
        <v/>
      </c>
      <c r="R605" s="29">
        <f>IFERROR(VLOOKUP(L605,MgValor,2,0)*VLOOKUP(O605,MgDeg,2,0),0)</f>
        <v/>
      </c>
      <c r="S605" s="29">
        <f>IFERROR(VLOOKUP(M605,MgValor,2,0)*VLOOKUP(P605,MgDeg,2,0),0)</f>
        <v/>
      </c>
      <c r="T605" s="30">
        <f>MAX(Q605:S605)</f>
        <v/>
      </c>
      <c r="U605" s="28">
        <f>IFERROR(LOOKUP(T605,{0;0.5;1.5;3;4.5},{"Despreciable";"Bajo";"Medio";"Alto";"Muy alto"}),"")</f>
        <v/>
      </c>
      <c r="V605" s="13">
        <f>IFERROR(INDEX(MgAmenFrec,MATCH(SUBSTITUTE($H605,"*","-"),MgAmenClave,0)),"")</f>
        <v/>
      </c>
      <c r="W605" s="28">
        <f>IFERROR(LOOKUP(X605,{0;0.01;0.1;1;10;100},{"Muy baja";"Muy baja";"Baja";"Media";"Alta";"Muy alta"}),"")</f>
        <v/>
      </c>
      <c r="X605" s="31">
        <f>IFERROR(VLOOKUP(V605,MgFrec,2,0),0)</f>
        <v/>
      </c>
      <c r="Y605" s="30">
        <f>T605*X605</f>
        <v/>
      </c>
      <c r="Z605" s="28">
        <f>IFERROR(LOOKUP(Y605,{0;0.5;5;25},{"Bajo";"Medio";"Alto";"Crítico"}),"")</f>
        <v/>
      </c>
      <c r="AA605" s="64">
        <f>IF(T605&gt;=3,IF(X605&gt;=1,"Zona 1 — Crítica: impacto alto y ocurre al menos una vez al año","Zona 4 — Catastrófica poco probable: impacto alto pero excepcional"),IF(AND(T605&lt;1.5,X605&lt;1),"Zona 3 — Asumible: impacto bajo y muy poco frecuente","Zona 2 — Atención: riesgo intermedio"))</f>
        <v/>
      </c>
      <c r="AB605" s="64">
        <f>IFERROR(INDEX(MgAmenCtrl,MATCH(SUBSTITUTE($H605,"*","-"),MgAmenClave,0)),"")</f>
        <v/>
      </c>
      <c r="AC605" s="20" t="n"/>
      <c r="AD605" s="31">
        <f>IFERROR($X605*(1-IF($AC605="",$AL605,VLOOKUP($AC605,MgMad,2,0))),"")</f>
        <v/>
      </c>
      <c r="AE605" s="28">
        <f>IFERROR(LOOKUP(AD605,{0;0.01;0.1;1;10;100},{"Muy baja";"Muy baja";"Baja";"Media";"Alta";"Muy alta"}),"")</f>
        <v/>
      </c>
      <c r="AF605" s="30">
        <f>T605*AD605</f>
        <v/>
      </c>
      <c r="AG605" s="28">
        <f>IFERROR(LOOKUP(AF605,{0;0.5;5;25},{"Bajo";"Medio";"Alto";"Crítico"}),"")</f>
        <v/>
      </c>
      <c r="AH605" s="28">
        <f>IF(AG605="","",IF(OR(AG605="Crítico",AG605="Alto"),"Mitigar",IF(AG605="Medio","Mitigar","Aceptar y monitorear")))</f>
        <v/>
      </c>
      <c r="AI605" s="21" t="n"/>
      <c r="AJ605" s="21" t="n"/>
      <c r="AK605" s="20" t="n"/>
      <c r="AL605" s="77">
        <f>IFERROR(INDEX(MgAmenEfic,MATCH(SUBSTITUTE($H605,"*","-"),MgAmenClave,0)),0)</f>
        <v/>
      </c>
    </row>
    <row r="606" hidden="1" ht="105" customHeight="1" s="54">
      <c r="B606" s="59" t="inlineStr">
        <is>
          <t>R-0601</t>
        </is>
      </c>
      <c r="C606" s="59" t="inlineStr">
        <is>
          <t>COM-05</t>
        </is>
      </c>
      <c r="D606" s="64">
        <f>IFERROR(INDEX(MgNombre,MATCH($C606,MgActId,0)),"")</f>
        <v/>
      </c>
      <c r="E606" s="64">
        <f>IFERROR(INDEX(MgProceso,MATCH($C606,MgActId,0)),"")</f>
        <v/>
      </c>
      <c r="F606" s="64">
        <f>IFERROR(INDEX(MgTipo,MATCH($C606,MgActId,0)),"")</f>
        <v/>
      </c>
      <c r="G606" s="64">
        <f>IFERROR(INDEX(MgSubtipo,MATCH($C606,MgActId,0)),"")</f>
        <v/>
      </c>
      <c r="H606" s="59" t="inlineStr">
        <is>
          <t>E.1</t>
        </is>
      </c>
      <c r="I606" s="64">
        <f>IFERROR(INDEX(MgAmenNombre,MATCH(SUBSTITUTE($H606,"*","-"),MgAmenClave,0)),"")</f>
        <v/>
      </c>
      <c r="J606" s="28">
        <f>IFERROR(INDEX(MgAmenGrupo,MATCH(SUBSTITUTE($H606,"*","-"),MgAmenClave,0)),"")</f>
        <v/>
      </c>
      <c r="K606" s="64">
        <f>IFERROR(INDEX('1. Matriz de Activos'!$Q$6:$Q$239,MATCH($C606,MgActId,0)),"")</f>
        <v/>
      </c>
      <c r="L606" s="64">
        <f>IFERROR(INDEX('1. Matriz de Activos'!$R$6:$R$239,MATCH($C606,MgActId,0)),"")</f>
        <v/>
      </c>
      <c r="M606" s="64">
        <f>IFERROR(INDEX('1. Matriz de Activos'!$S$6:$S$239,MATCH($C606,MgActId,0)),"")</f>
        <v/>
      </c>
      <c r="N606" s="28">
        <f>IFERROR(INDEX(MgAmenDegD,MATCH(SUBSTITUTE($H606,"*","-"),MgAmenClave,0)),"No aplica")</f>
        <v/>
      </c>
      <c r="O606" s="28">
        <f>IFERROR(INDEX(MgAmenDegI,MATCH(SUBSTITUTE($H606,"*","-"),MgAmenClave,0)),"No aplica")</f>
        <v/>
      </c>
      <c r="P606" s="28">
        <f>IFERROR(INDEX(MgAmenDegC,MATCH(SUBSTITUTE($H606,"*","-"),MgAmenClave,0)),"No aplica")</f>
        <v/>
      </c>
      <c r="Q606" s="29">
        <f>IFERROR(VLOOKUP(K606,MgValor,2,0)*VLOOKUP(N606,MgDeg,2,0),0)</f>
        <v/>
      </c>
      <c r="R606" s="29">
        <f>IFERROR(VLOOKUP(L606,MgValor,2,0)*VLOOKUP(O606,MgDeg,2,0),0)</f>
        <v/>
      </c>
      <c r="S606" s="29">
        <f>IFERROR(VLOOKUP(M606,MgValor,2,0)*VLOOKUP(P606,MgDeg,2,0),0)</f>
        <v/>
      </c>
      <c r="T606" s="30">
        <f>MAX(Q606:S606)</f>
        <v/>
      </c>
      <c r="U606" s="28">
        <f>IFERROR(LOOKUP(T606,{0;0.5;1.5;3;4.5},{"Despreciable";"Bajo";"Medio";"Alto";"Muy alto"}),"")</f>
        <v/>
      </c>
      <c r="V606" s="13">
        <f>IFERROR(INDEX(MgAmenFrec,MATCH(SUBSTITUTE($H606,"*","-"),MgAmenClave,0)),"")</f>
        <v/>
      </c>
      <c r="W606" s="28">
        <f>IFERROR(LOOKUP(X606,{0;0.01;0.1;1;10;100},{"Muy baja";"Muy baja";"Baja";"Media";"Alta";"Muy alta"}),"")</f>
        <v/>
      </c>
      <c r="X606" s="31">
        <f>IFERROR(VLOOKUP(V606,MgFrec,2,0),0)</f>
        <v/>
      </c>
      <c r="Y606" s="30">
        <f>T606*X606</f>
        <v/>
      </c>
      <c r="Z606" s="28">
        <f>IFERROR(LOOKUP(Y606,{0;0.5;5;25},{"Bajo";"Medio";"Alto";"Crítico"}),"")</f>
        <v/>
      </c>
      <c r="AA606" s="64">
        <f>IF(T606&gt;=3,IF(X606&gt;=1,"Zona 1 — Crítica: impacto alto y ocurre al menos una vez al año","Zona 4 — Catastrófica poco probable: impacto alto pero excepcional"),IF(AND(T606&lt;1.5,X606&lt;1),"Zona 3 — Asumible: impacto bajo y muy poco frecuente","Zona 2 — Atención: riesgo intermedio"))</f>
        <v/>
      </c>
      <c r="AB606" s="64">
        <f>IFERROR(INDEX(MgAmenCtrl,MATCH(SUBSTITUTE($H606,"*","-"),MgAmenClave,0)),"")</f>
        <v/>
      </c>
      <c r="AC606" s="20" t="n"/>
      <c r="AD606" s="31">
        <f>IFERROR($X606*(1-IF($AC606="",$AL606,VLOOKUP($AC606,MgMad,2,0))),"")</f>
        <v/>
      </c>
      <c r="AE606" s="28">
        <f>IFERROR(LOOKUP(AD606,{0;0.01;0.1;1;10;100},{"Muy baja";"Muy baja";"Baja";"Media";"Alta";"Muy alta"}),"")</f>
        <v/>
      </c>
      <c r="AF606" s="30">
        <f>T606*AD606</f>
        <v/>
      </c>
      <c r="AG606" s="28">
        <f>IFERROR(LOOKUP(AF606,{0;0.5;5;25},{"Bajo";"Medio";"Alto";"Crítico"}),"")</f>
        <v/>
      </c>
      <c r="AH606" s="28">
        <f>IF(AG606="","",IF(OR(AG606="Crítico",AG606="Alto"),"Mitigar",IF(AG606="Medio","Mitigar","Aceptar y monitorear")))</f>
        <v/>
      </c>
      <c r="AI606" s="21" t="n"/>
      <c r="AJ606" s="21" t="n"/>
      <c r="AK606" s="20" t="n"/>
      <c r="AL606" s="77">
        <f>IFERROR(INDEX(MgAmenEfic,MATCH(SUBSTITUTE($H606,"*","-"),MgAmenClave,0)),0)</f>
        <v/>
      </c>
    </row>
    <row r="607" hidden="1" ht="120" customHeight="1" s="54">
      <c r="B607" s="59" t="inlineStr">
        <is>
          <t>R-0602</t>
        </is>
      </c>
      <c r="C607" s="59" t="inlineStr">
        <is>
          <t>COM-05</t>
        </is>
      </c>
      <c r="D607" s="64">
        <f>IFERROR(INDEX(MgNombre,MATCH($C607,MgActId,0)),"")</f>
        <v/>
      </c>
      <c r="E607" s="64">
        <f>IFERROR(INDEX(MgProceso,MATCH($C607,MgActId,0)),"")</f>
        <v/>
      </c>
      <c r="F607" s="64">
        <f>IFERROR(INDEX(MgTipo,MATCH($C607,MgActId,0)),"")</f>
        <v/>
      </c>
      <c r="G607" s="64">
        <f>IFERROR(INDEX(MgSubtipo,MATCH($C607,MgActId,0)),"")</f>
        <v/>
      </c>
      <c r="H607" s="59" t="inlineStr">
        <is>
          <t>E.2</t>
        </is>
      </c>
      <c r="I607" s="64">
        <f>IFERROR(INDEX(MgAmenNombre,MATCH(SUBSTITUTE($H607,"*","-"),MgAmenClave,0)),"")</f>
        <v/>
      </c>
      <c r="J607" s="28">
        <f>IFERROR(INDEX(MgAmenGrupo,MATCH(SUBSTITUTE($H607,"*","-"),MgAmenClave,0)),"")</f>
        <v/>
      </c>
      <c r="K607" s="64">
        <f>IFERROR(INDEX('1. Matriz de Activos'!$Q$6:$Q$239,MATCH($C607,MgActId,0)),"")</f>
        <v/>
      </c>
      <c r="L607" s="64">
        <f>IFERROR(INDEX('1. Matriz de Activos'!$R$6:$R$239,MATCH($C607,MgActId,0)),"")</f>
        <v/>
      </c>
      <c r="M607" s="64">
        <f>IFERROR(INDEX('1. Matriz de Activos'!$S$6:$S$239,MATCH($C607,MgActId,0)),"")</f>
        <v/>
      </c>
      <c r="N607" s="28">
        <f>IFERROR(INDEX(MgAmenDegD,MATCH(SUBSTITUTE($H607,"*","-"),MgAmenClave,0)),"No aplica")</f>
        <v/>
      </c>
      <c r="O607" s="28">
        <f>IFERROR(INDEX(MgAmenDegI,MATCH(SUBSTITUTE($H607,"*","-"),MgAmenClave,0)),"No aplica")</f>
        <v/>
      </c>
      <c r="P607" s="28">
        <f>IFERROR(INDEX(MgAmenDegC,MATCH(SUBSTITUTE($H607,"*","-"),MgAmenClave,0)),"No aplica")</f>
        <v/>
      </c>
      <c r="Q607" s="29">
        <f>IFERROR(VLOOKUP(K607,MgValor,2,0)*VLOOKUP(N607,MgDeg,2,0),0)</f>
        <v/>
      </c>
      <c r="R607" s="29">
        <f>IFERROR(VLOOKUP(L607,MgValor,2,0)*VLOOKUP(O607,MgDeg,2,0),0)</f>
        <v/>
      </c>
      <c r="S607" s="29">
        <f>IFERROR(VLOOKUP(M607,MgValor,2,0)*VLOOKUP(P607,MgDeg,2,0),0)</f>
        <v/>
      </c>
      <c r="T607" s="30">
        <f>MAX(Q607:S607)</f>
        <v/>
      </c>
      <c r="U607" s="28">
        <f>IFERROR(LOOKUP(T607,{0;0.5;1.5;3;4.5},{"Despreciable";"Bajo";"Medio";"Alto";"Muy alto"}),"")</f>
        <v/>
      </c>
      <c r="V607" s="13">
        <f>IFERROR(INDEX(MgAmenFrec,MATCH(SUBSTITUTE($H607,"*","-"),MgAmenClave,0)),"")</f>
        <v/>
      </c>
      <c r="W607" s="28">
        <f>IFERROR(LOOKUP(X607,{0;0.01;0.1;1;10;100},{"Muy baja";"Muy baja";"Baja";"Media";"Alta";"Muy alta"}),"")</f>
        <v/>
      </c>
      <c r="X607" s="31">
        <f>IFERROR(VLOOKUP(V607,MgFrec,2,0),0)</f>
        <v/>
      </c>
      <c r="Y607" s="30">
        <f>T607*X607</f>
        <v/>
      </c>
      <c r="Z607" s="28">
        <f>IFERROR(LOOKUP(Y607,{0;0.5;5;25},{"Bajo";"Medio";"Alto";"Crítico"}),"")</f>
        <v/>
      </c>
      <c r="AA607" s="64">
        <f>IF(T607&gt;=3,IF(X607&gt;=1,"Zona 1 — Crítica: impacto alto y ocurre al menos una vez al año","Zona 4 — Catastrófica poco probable: impacto alto pero excepcional"),IF(AND(T607&lt;1.5,X607&lt;1),"Zona 3 — Asumible: impacto bajo y muy poco frecuente","Zona 2 — Atención: riesgo intermedio"))</f>
        <v/>
      </c>
      <c r="AB607" s="64">
        <f>IFERROR(INDEX(MgAmenCtrl,MATCH(SUBSTITUTE($H607,"*","-"),MgAmenClave,0)),"")</f>
        <v/>
      </c>
      <c r="AC607" s="20" t="n"/>
      <c r="AD607" s="31">
        <f>IFERROR($X607*(1-IF($AC607="",$AL607,VLOOKUP($AC607,MgMad,2,0))),"")</f>
        <v/>
      </c>
      <c r="AE607" s="28">
        <f>IFERROR(LOOKUP(AD607,{0;0.01;0.1;1;10;100},{"Muy baja";"Muy baja";"Baja";"Media";"Alta";"Muy alta"}),"")</f>
        <v/>
      </c>
      <c r="AF607" s="30">
        <f>T607*AD607</f>
        <v/>
      </c>
      <c r="AG607" s="28">
        <f>IFERROR(LOOKUP(AF607,{0;0.5;5;25},{"Bajo";"Medio";"Alto";"Crítico"}),"")</f>
        <v/>
      </c>
      <c r="AH607" s="28">
        <f>IF(AG607="","",IF(OR(AG607="Crítico",AG607="Alto"),"Mitigar",IF(AG607="Medio","Mitigar","Aceptar y monitorear")))</f>
        <v/>
      </c>
      <c r="AI607" s="21" t="n"/>
      <c r="AJ607" s="21" t="n"/>
      <c r="AK607" s="20" t="n"/>
      <c r="AL607" s="77">
        <f>IFERROR(INDEX(MgAmenEfic,MATCH(SUBSTITUTE($H607,"*","-"),MgAmenClave,0)),0)</f>
        <v/>
      </c>
    </row>
    <row r="608" hidden="1" ht="75" customHeight="1" s="54">
      <c r="B608" s="59" t="inlineStr">
        <is>
          <t>R-0603</t>
        </is>
      </c>
      <c r="C608" s="59" t="inlineStr">
        <is>
          <t>COM-05</t>
        </is>
      </c>
      <c r="D608" s="64">
        <f>IFERROR(INDEX(MgNombre,MATCH($C608,MgActId,0)),"")</f>
        <v/>
      </c>
      <c r="E608" s="64">
        <f>IFERROR(INDEX(MgProceso,MATCH($C608,MgActId,0)),"")</f>
        <v/>
      </c>
      <c r="F608" s="64">
        <f>IFERROR(INDEX(MgTipo,MATCH($C608,MgActId,0)),"")</f>
        <v/>
      </c>
      <c r="G608" s="64">
        <f>IFERROR(INDEX(MgSubtipo,MATCH($C608,MgActId,0)),"")</f>
        <v/>
      </c>
      <c r="H608" s="59" t="inlineStr">
        <is>
          <t>E.3</t>
        </is>
      </c>
      <c r="I608" s="64">
        <f>IFERROR(INDEX(MgAmenNombre,MATCH(SUBSTITUTE($H608,"*","-"),MgAmenClave,0)),"")</f>
        <v/>
      </c>
      <c r="J608" s="28">
        <f>IFERROR(INDEX(MgAmenGrupo,MATCH(SUBSTITUTE($H608,"*","-"),MgAmenClave,0)),"")</f>
        <v/>
      </c>
      <c r="K608" s="64">
        <f>IFERROR(INDEX('1. Matriz de Activos'!$Q$6:$Q$239,MATCH($C608,MgActId,0)),"")</f>
        <v/>
      </c>
      <c r="L608" s="64">
        <f>IFERROR(INDEX('1. Matriz de Activos'!$R$6:$R$239,MATCH($C608,MgActId,0)),"")</f>
        <v/>
      </c>
      <c r="M608" s="64">
        <f>IFERROR(INDEX('1. Matriz de Activos'!$S$6:$S$239,MATCH($C608,MgActId,0)),"")</f>
        <v/>
      </c>
      <c r="N608" s="28">
        <f>IFERROR(INDEX(MgAmenDegD,MATCH(SUBSTITUTE($H608,"*","-"),MgAmenClave,0)),"No aplica")</f>
        <v/>
      </c>
      <c r="O608" s="28">
        <f>IFERROR(INDEX(MgAmenDegI,MATCH(SUBSTITUTE($H608,"*","-"),MgAmenClave,0)),"No aplica")</f>
        <v/>
      </c>
      <c r="P608" s="28">
        <f>IFERROR(INDEX(MgAmenDegC,MATCH(SUBSTITUTE($H608,"*","-"),MgAmenClave,0)),"No aplica")</f>
        <v/>
      </c>
      <c r="Q608" s="29">
        <f>IFERROR(VLOOKUP(K608,MgValor,2,0)*VLOOKUP(N608,MgDeg,2,0),0)</f>
        <v/>
      </c>
      <c r="R608" s="29">
        <f>IFERROR(VLOOKUP(L608,MgValor,2,0)*VLOOKUP(O608,MgDeg,2,0),0)</f>
        <v/>
      </c>
      <c r="S608" s="29">
        <f>IFERROR(VLOOKUP(M608,MgValor,2,0)*VLOOKUP(P608,MgDeg,2,0),0)</f>
        <v/>
      </c>
      <c r="T608" s="30">
        <f>MAX(Q608:S608)</f>
        <v/>
      </c>
      <c r="U608" s="28">
        <f>IFERROR(LOOKUP(T608,{0;0.5;1.5;3;4.5},{"Despreciable";"Bajo";"Medio";"Alto";"Muy alto"}),"")</f>
        <v/>
      </c>
      <c r="V608" s="13">
        <f>IFERROR(INDEX(MgAmenFrec,MATCH(SUBSTITUTE($H608,"*","-"),MgAmenClave,0)),"")</f>
        <v/>
      </c>
      <c r="W608" s="28">
        <f>IFERROR(LOOKUP(X608,{0;0.01;0.1;1;10;100},{"Muy baja";"Muy baja";"Baja";"Media";"Alta";"Muy alta"}),"")</f>
        <v/>
      </c>
      <c r="X608" s="31">
        <f>IFERROR(VLOOKUP(V608,MgFrec,2,0),0)</f>
        <v/>
      </c>
      <c r="Y608" s="30">
        <f>T608*X608</f>
        <v/>
      </c>
      <c r="Z608" s="28">
        <f>IFERROR(LOOKUP(Y608,{0;0.5;5;25},{"Bajo";"Medio";"Alto";"Crítico"}),"")</f>
        <v/>
      </c>
      <c r="AA608" s="64">
        <f>IF(T608&gt;=3,IF(X608&gt;=1,"Zona 1 — Crítica: impacto alto y ocurre al menos una vez al año","Zona 4 — Catastrófica poco probable: impacto alto pero excepcional"),IF(AND(T608&lt;1.5,X608&lt;1),"Zona 3 — Asumible: impacto bajo y muy poco frecuente","Zona 2 — Atención: riesgo intermedio"))</f>
        <v/>
      </c>
      <c r="AB608" s="64">
        <f>IFERROR(INDEX(MgAmenCtrl,MATCH(SUBSTITUTE($H608,"*","-"),MgAmenClave,0)),"")</f>
        <v/>
      </c>
      <c r="AC608" s="20" t="n"/>
      <c r="AD608" s="31">
        <f>IFERROR($X608*(1-IF($AC608="",$AL608,VLOOKUP($AC608,MgMad,2,0))),"")</f>
        <v/>
      </c>
      <c r="AE608" s="28">
        <f>IFERROR(LOOKUP(AD608,{0;0.01;0.1;1;10;100},{"Muy baja";"Muy baja";"Baja";"Media";"Alta";"Muy alta"}),"")</f>
        <v/>
      </c>
      <c r="AF608" s="30">
        <f>T608*AD608</f>
        <v/>
      </c>
      <c r="AG608" s="28">
        <f>IFERROR(LOOKUP(AF608,{0;0.5;5;25},{"Bajo";"Medio";"Alto";"Crítico"}),"")</f>
        <v/>
      </c>
      <c r="AH608" s="28">
        <f>IF(AG608="","",IF(OR(AG608="Crítico",AG608="Alto"),"Mitigar",IF(AG608="Medio","Mitigar","Aceptar y monitorear")))</f>
        <v/>
      </c>
      <c r="AI608" s="21" t="n"/>
      <c r="AJ608" s="21" t="n"/>
      <c r="AK608" s="20" t="n"/>
      <c r="AL608" s="77">
        <f>IFERROR(INDEX(MgAmenEfic,MATCH(SUBSTITUTE($H608,"*","-"),MgAmenClave,0)),0)</f>
        <v/>
      </c>
    </row>
    <row r="609" hidden="1" ht="75" customHeight="1" s="54">
      <c r="B609" s="59" t="inlineStr">
        <is>
          <t>R-0604</t>
        </is>
      </c>
      <c r="C609" s="59" t="inlineStr">
        <is>
          <t>COM-05</t>
        </is>
      </c>
      <c r="D609" s="64">
        <f>IFERROR(INDEX(MgNombre,MATCH($C609,MgActId,0)),"")</f>
        <v/>
      </c>
      <c r="E609" s="64">
        <f>IFERROR(INDEX(MgProceso,MATCH($C609,MgActId,0)),"")</f>
        <v/>
      </c>
      <c r="F609" s="64">
        <f>IFERROR(INDEX(MgTipo,MATCH($C609,MgActId,0)),"")</f>
        <v/>
      </c>
      <c r="G609" s="64">
        <f>IFERROR(INDEX(MgSubtipo,MATCH($C609,MgActId,0)),"")</f>
        <v/>
      </c>
      <c r="H609" s="59" t="inlineStr">
        <is>
          <t>E.4</t>
        </is>
      </c>
      <c r="I609" s="64">
        <f>IFERROR(INDEX(MgAmenNombre,MATCH(SUBSTITUTE($H609,"*","-"),MgAmenClave,0)),"")</f>
        <v/>
      </c>
      <c r="J609" s="28">
        <f>IFERROR(INDEX(MgAmenGrupo,MATCH(SUBSTITUTE($H609,"*","-"),MgAmenClave,0)),"")</f>
        <v/>
      </c>
      <c r="K609" s="64">
        <f>IFERROR(INDEX('1. Matriz de Activos'!$Q$6:$Q$239,MATCH($C609,MgActId,0)),"")</f>
        <v/>
      </c>
      <c r="L609" s="64">
        <f>IFERROR(INDEX('1. Matriz de Activos'!$R$6:$R$239,MATCH($C609,MgActId,0)),"")</f>
        <v/>
      </c>
      <c r="M609" s="64">
        <f>IFERROR(INDEX('1. Matriz de Activos'!$S$6:$S$239,MATCH($C609,MgActId,0)),"")</f>
        <v/>
      </c>
      <c r="N609" s="28">
        <f>IFERROR(INDEX(MgAmenDegD,MATCH(SUBSTITUTE($H609,"*","-"),MgAmenClave,0)),"No aplica")</f>
        <v/>
      </c>
      <c r="O609" s="28">
        <f>IFERROR(INDEX(MgAmenDegI,MATCH(SUBSTITUTE($H609,"*","-"),MgAmenClave,0)),"No aplica")</f>
        <v/>
      </c>
      <c r="P609" s="28">
        <f>IFERROR(INDEX(MgAmenDegC,MATCH(SUBSTITUTE($H609,"*","-"),MgAmenClave,0)),"No aplica")</f>
        <v/>
      </c>
      <c r="Q609" s="29">
        <f>IFERROR(VLOOKUP(K609,MgValor,2,0)*VLOOKUP(N609,MgDeg,2,0),0)</f>
        <v/>
      </c>
      <c r="R609" s="29">
        <f>IFERROR(VLOOKUP(L609,MgValor,2,0)*VLOOKUP(O609,MgDeg,2,0),0)</f>
        <v/>
      </c>
      <c r="S609" s="29">
        <f>IFERROR(VLOOKUP(M609,MgValor,2,0)*VLOOKUP(P609,MgDeg,2,0),0)</f>
        <v/>
      </c>
      <c r="T609" s="30">
        <f>MAX(Q609:S609)</f>
        <v/>
      </c>
      <c r="U609" s="28">
        <f>IFERROR(LOOKUP(T609,{0;0.5;1.5;3;4.5},{"Despreciable";"Bajo";"Medio";"Alto";"Muy alto"}),"")</f>
        <v/>
      </c>
      <c r="V609" s="13">
        <f>IFERROR(INDEX(MgAmenFrec,MATCH(SUBSTITUTE($H609,"*","-"),MgAmenClave,0)),"")</f>
        <v/>
      </c>
      <c r="W609" s="28">
        <f>IFERROR(LOOKUP(X609,{0;0.01;0.1;1;10;100},{"Muy baja";"Muy baja";"Baja";"Media";"Alta";"Muy alta"}),"")</f>
        <v/>
      </c>
      <c r="X609" s="31">
        <f>IFERROR(VLOOKUP(V609,MgFrec,2,0),0)</f>
        <v/>
      </c>
      <c r="Y609" s="30">
        <f>T609*X609</f>
        <v/>
      </c>
      <c r="Z609" s="28">
        <f>IFERROR(LOOKUP(Y609,{0;0.5;5;25},{"Bajo";"Medio";"Alto";"Crítico"}),"")</f>
        <v/>
      </c>
      <c r="AA609" s="64">
        <f>IF(T609&gt;=3,IF(X609&gt;=1,"Zona 1 — Crítica: impacto alto y ocurre al menos una vez al año","Zona 4 — Catastrófica poco probable: impacto alto pero excepcional"),IF(AND(T609&lt;1.5,X609&lt;1),"Zona 3 — Asumible: impacto bajo y muy poco frecuente","Zona 2 — Atención: riesgo intermedio"))</f>
        <v/>
      </c>
      <c r="AB609" s="64">
        <f>IFERROR(INDEX(MgAmenCtrl,MATCH(SUBSTITUTE($H609,"*","-"),MgAmenClave,0)),"")</f>
        <v/>
      </c>
      <c r="AC609" s="20" t="n"/>
      <c r="AD609" s="31">
        <f>IFERROR($X609*(1-IF($AC609="",$AL609,VLOOKUP($AC609,MgMad,2,0))),"")</f>
        <v/>
      </c>
      <c r="AE609" s="28">
        <f>IFERROR(LOOKUP(AD609,{0;0.01;0.1;1;10;100},{"Muy baja";"Muy baja";"Baja";"Media";"Alta";"Muy alta"}),"")</f>
        <v/>
      </c>
      <c r="AF609" s="30">
        <f>T609*AD609</f>
        <v/>
      </c>
      <c r="AG609" s="28">
        <f>IFERROR(LOOKUP(AF609,{0;0.5;5;25},{"Bajo";"Medio";"Alto";"Crítico"}),"")</f>
        <v/>
      </c>
      <c r="AH609" s="28">
        <f>IF(AG609="","",IF(OR(AG609="Crítico",AG609="Alto"),"Mitigar",IF(AG609="Medio","Mitigar","Aceptar y monitorear")))</f>
        <v/>
      </c>
      <c r="AI609" s="21" t="n"/>
      <c r="AJ609" s="21" t="n"/>
      <c r="AK609" s="20" t="n"/>
      <c r="AL609" s="77">
        <f>IFERROR(INDEX(MgAmenEfic,MATCH(SUBSTITUTE($H609,"*","-"),MgAmenClave,0)),0)</f>
        <v/>
      </c>
    </row>
    <row r="610" hidden="1" ht="90" customHeight="1" s="54">
      <c r="B610" s="59" t="inlineStr">
        <is>
          <t>R-0605</t>
        </is>
      </c>
      <c r="C610" s="59" t="inlineStr">
        <is>
          <t>COM-05</t>
        </is>
      </c>
      <c r="D610" s="64">
        <f>IFERROR(INDEX(MgNombre,MATCH($C610,MgActId,0)),"")</f>
        <v/>
      </c>
      <c r="E610" s="64">
        <f>IFERROR(INDEX(MgProceso,MATCH($C610,MgActId,0)),"")</f>
        <v/>
      </c>
      <c r="F610" s="64">
        <f>IFERROR(INDEX(MgTipo,MATCH($C610,MgActId,0)),"")</f>
        <v/>
      </c>
      <c r="G610" s="64">
        <f>IFERROR(INDEX(MgSubtipo,MATCH($C610,MgActId,0)),"")</f>
        <v/>
      </c>
      <c r="H610" s="59" t="inlineStr">
        <is>
          <t>E.14</t>
        </is>
      </c>
      <c r="I610" s="64">
        <f>IFERROR(INDEX(MgAmenNombre,MATCH(SUBSTITUTE($H610,"*","-"),MgAmenClave,0)),"")</f>
        <v/>
      </c>
      <c r="J610" s="28">
        <f>IFERROR(INDEX(MgAmenGrupo,MATCH(SUBSTITUTE($H610,"*","-"),MgAmenClave,0)),"")</f>
        <v/>
      </c>
      <c r="K610" s="64">
        <f>IFERROR(INDEX('1. Matriz de Activos'!$Q$6:$Q$239,MATCH($C610,MgActId,0)),"")</f>
        <v/>
      </c>
      <c r="L610" s="64">
        <f>IFERROR(INDEX('1. Matriz de Activos'!$R$6:$R$239,MATCH($C610,MgActId,0)),"")</f>
        <v/>
      </c>
      <c r="M610" s="64">
        <f>IFERROR(INDEX('1. Matriz de Activos'!$S$6:$S$239,MATCH($C610,MgActId,0)),"")</f>
        <v/>
      </c>
      <c r="N610" s="28">
        <f>IFERROR(INDEX(MgAmenDegD,MATCH(SUBSTITUTE($H610,"*","-"),MgAmenClave,0)),"No aplica")</f>
        <v/>
      </c>
      <c r="O610" s="28">
        <f>IFERROR(INDEX(MgAmenDegI,MATCH(SUBSTITUTE($H610,"*","-"),MgAmenClave,0)),"No aplica")</f>
        <v/>
      </c>
      <c r="P610" s="28">
        <f>IFERROR(INDEX(MgAmenDegC,MATCH(SUBSTITUTE($H610,"*","-"),MgAmenClave,0)),"No aplica")</f>
        <v/>
      </c>
      <c r="Q610" s="29">
        <f>IFERROR(VLOOKUP(K610,MgValor,2,0)*VLOOKUP(N610,MgDeg,2,0),0)</f>
        <v/>
      </c>
      <c r="R610" s="29">
        <f>IFERROR(VLOOKUP(L610,MgValor,2,0)*VLOOKUP(O610,MgDeg,2,0),0)</f>
        <v/>
      </c>
      <c r="S610" s="29">
        <f>IFERROR(VLOOKUP(M610,MgValor,2,0)*VLOOKUP(P610,MgDeg,2,0),0)</f>
        <v/>
      </c>
      <c r="T610" s="30">
        <f>MAX(Q610:S610)</f>
        <v/>
      </c>
      <c r="U610" s="28">
        <f>IFERROR(LOOKUP(T610,{0;0.5;1.5;3;4.5},{"Despreciable";"Bajo";"Medio";"Alto";"Muy alto"}),"")</f>
        <v/>
      </c>
      <c r="V610" s="13">
        <f>IFERROR(INDEX(MgAmenFrec,MATCH(SUBSTITUTE($H610,"*","-"),MgAmenClave,0)),"")</f>
        <v/>
      </c>
      <c r="W610" s="28">
        <f>IFERROR(LOOKUP(X610,{0;0.01;0.1;1;10;100},{"Muy baja";"Muy baja";"Baja";"Media";"Alta";"Muy alta"}),"")</f>
        <v/>
      </c>
      <c r="X610" s="31">
        <f>IFERROR(VLOOKUP(V610,MgFrec,2,0),0)</f>
        <v/>
      </c>
      <c r="Y610" s="30">
        <f>T610*X610</f>
        <v/>
      </c>
      <c r="Z610" s="28">
        <f>IFERROR(LOOKUP(Y610,{0;0.5;5;25},{"Bajo";"Medio";"Alto";"Crítico"}),"")</f>
        <v/>
      </c>
      <c r="AA610" s="64">
        <f>IF(T610&gt;=3,IF(X610&gt;=1,"Zona 1 — Crítica: impacto alto y ocurre al menos una vez al año","Zona 4 — Catastrófica poco probable: impacto alto pero excepcional"),IF(AND(T610&lt;1.5,X610&lt;1),"Zona 3 — Asumible: impacto bajo y muy poco frecuente","Zona 2 — Atención: riesgo intermedio"))</f>
        <v/>
      </c>
      <c r="AB610" s="64">
        <f>IFERROR(INDEX(MgAmenCtrl,MATCH(SUBSTITUTE($H610,"*","-"),MgAmenClave,0)),"")</f>
        <v/>
      </c>
      <c r="AC610" s="20" t="n"/>
      <c r="AD610" s="31">
        <f>IFERROR($X610*(1-IF($AC610="",$AL610,VLOOKUP($AC610,MgMad,2,0))),"")</f>
        <v/>
      </c>
      <c r="AE610" s="28">
        <f>IFERROR(LOOKUP(AD610,{0;0.01;0.1;1;10;100},{"Muy baja";"Muy baja";"Baja";"Media";"Alta";"Muy alta"}),"")</f>
        <v/>
      </c>
      <c r="AF610" s="30">
        <f>T610*AD610</f>
        <v/>
      </c>
      <c r="AG610" s="28">
        <f>IFERROR(LOOKUP(AF610,{0;0.5;5;25},{"Bajo";"Medio";"Alto";"Crítico"}),"")</f>
        <v/>
      </c>
      <c r="AH610" s="28">
        <f>IF(AG610="","",IF(OR(AG610="Crítico",AG610="Alto"),"Mitigar",IF(AG610="Medio","Mitigar","Aceptar y monitorear")))</f>
        <v/>
      </c>
      <c r="AI610" s="21" t="n"/>
      <c r="AJ610" s="21" t="n"/>
      <c r="AK610" s="20" t="n"/>
      <c r="AL610" s="77">
        <f>IFERROR(INDEX(MgAmenEfic,MATCH(SUBSTITUTE($H610,"*","-"),MgAmenClave,0)),0)</f>
        <v/>
      </c>
    </row>
    <row r="611" hidden="1" ht="90" customHeight="1" s="54">
      <c r="B611" s="59" t="inlineStr">
        <is>
          <t>R-0606</t>
        </is>
      </c>
      <c r="C611" s="59" t="inlineStr">
        <is>
          <t>COM-05</t>
        </is>
      </c>
      <c r="D611" s="64">
        <f>IFERROR(INDEX(MgNombre,MATCH($C611,MgActId,0)),"")</f>
        <v/>
      </c>
      <c r="E611" s="64">
        <f>IFERROR(INDEX(MgProceso,MATCH($C611,MgActId,0)),"")</f>
        <v/>
      </c>
      <c r="F611" s="64">
        <f>IFERROR(INDEX(MgTipo,MATCH($C611,MgActId,0)),"")</f>
        <v/>
      </c>
      <c r="G611" s="64">
        <f>IFERROR(INDEX(MgSubtipo,MATCH($C611,MgActId,0)),"")</f>
        <v/>
      </c>
      <c r="H611" s="59" t="inlineStr">
        <is>
          <t>E.15</t>
        </is>
      </c>
      <c r="I611" s="64">
        <f>IFERROR(INDEX(MgAmenNombre,MATCH(SUBSTITUTE($H611,"*","-"),MgAmenClave,0)),"")</f>
        <v/>
      </c>
      <c r="J611" s="28">
        <f>IFERROR(INDEX(MgAmenGrupo,MATCH(SUBSTITUTE($H611,"*","-"),MgAmenClave,0)),"")</f>
        <v/>
      </c>
      <c r="K611" s="64">
        <f>IFERROR(INDEX('1. Matriz de Activos'!$Q$6:$Q$239,MATCH($C611,MgActId,0)),"")</f>
        <v/>
      </c>
      <c r="L611" s="64">
        <f>IFERROR(INDEX('1. Matriz de Activos'!$R$6:$R$239,MATCH($C611,MgActId,0)),"")</f>
        <v/>
      </c>
      <c r="M611" s="64">
        <f>IFERROR(INDEX('1. Matriz de Activos'!$S$6:$S$239,MATCH($C611,MgActId,0)),"")</f>
        <v/>
      </c>
      <c r="N611" s="28">
        <f>IFERROR(INDEX(MgAmenDegD,MATCH(SUBSTITUTE($H611,"*","-"),MgAmenClave,0)),"No aplica")</f>
        <v/>
      </c>
      <c r="O611" s="28">
        <f>IFERROR(INDEX(MgAmenDegI,MATCH(SUBSTITUTE($H611,"*","-"),MgAmenClave,0)),"No aplica")</f>
        <v/>
      </c>
      <c r="P611" s="28">
        <f>IFERROR(INDEX(MgAmenDegC,MATCH(SUBSTITUTE($H611,"*","-"),MgAmenClave,0)),"No aplica")</f>
        <v/>
      </c>
      <c r="Q611" s="29">
        <f>IFERROR(VLOOKUP(K611,MgValor,2,0)*VLOOKUP(N611,MgDeg,2,0),0)</f>
        <v/>
      </c>
      <c r="R611" s="29">
        <f>IFERROR(VLOOKUP(L611,MgValor,2,0)*VLOOKUP(O611,MgDeg,2,0),0)</f>
        <v/>
      </c>
      <c r="S611" s="29">
        <f>IFERROR(VLOOKUP(M611,MgValor,2,0)*VLOOKUP(P611,MgDeg,2,0),0)</f>
        <v/>
      </c>
      <c r="T611" s="30">
        <f>MAX(Q611:S611)</f>
        <v/>
      </c>
      <c r="U611" s="28">
        <f>IFERROR(LOOKUP(T611,{0;0.5;1.5;3;4.5},{"Despreciable";"Bajo";"Medio";"Alto";"Muy alto"}),"")</f>
        <v/>
      </c>
      <c r="V611" s="13">
        <f>IFERROR(INDEX(MgAmenFrec,MATCH(SUBSTITUTE($H611,"*","-"),MgAmenClave,0)),"")</f>
        <v/>
      </c>
      <c r="W611" s="28">
        <f>IFERROR(LOOKUP(X611,{0;0.01;0.1;1;10;100},{"Muy baja";"Muy baja";"Baja";"Media";"Alta";"Muy alta"}),"")</f>
        <v/>
      </c>
      <c r="X611" s="31">
        <f>IFERROR(VLOOKUP(V611,MgFrec,2,0),0)</f>
        <v/>
      </c>
      <c r="Y611" s="30">
        <f>T611*X611</f>
        <v/>
      </c>
      <c r="Z611" s="28">
        <f>IFERROR(LOOKUP(Y611,{0;0.5;5;25},{"Bajo";"Medio";"Alto";"Crítico"}),"")</f>
        <v/>
      </c>
      <c r="AA611" s="64">
        <f>IF(T611&gt;=3,IF(X611&gt;=1,"Zona 1 — Crítica: impacto alto y ocurre al menos una vez al año","Zona 4 — Catastrófica poco probable: impacto alto pero excepcional"),IF(AND(T611&lt;1.5,X611&lt;1),"Zona 3 — Asumible: impacto bajo y muy poco frecuente","Zona 2 — Atención: riesgo intermedio"))</f>
        <v/>
      </c>
      <c r="AB611" s="64">
        <f>IFERROR(INDEX(MgAmenCtrl,MATCH(SUBSTITUTE($H611,"*","-"),MgAmenClave,0)),"")</f>
        <v/>
      </c>
      <c r="AC611" s="20" t="n"/>
      <c r="AD611" s="31">
        <f>IFERROR($X611*(1-IF($AC611="",$AL611,VLOOKUP($AC611,MgMad,2,0))),"")</f>
        <v/>
      </c>
      <c r="AE611" s="28">
        <f>IFERROR(LOOKUP(AD611,{0;0.01;0.1;1;10;100},{"Muy baja";"Muy baja";"Baja";"Media";"Alta";"Muy alta"}),"")</f>
        <v/>
      </c>
      <c r="AF611" s="30">
        <f>T611*AD611</f>
        <v/>
      </c>
      <c r="AG611" s="28">
        <f>IFERROR(LOOKUP(AF611,{0;0.5;5;25},{"Bajo";"Medio";"Alto";"Crítico"}),"")</f>
        <v/>
      </c>
      <c r="AH611" s="28">
        <f>IF(AG611="","",IF(OR(AG611="Crítico",AG611="Alto"),"Mitigar",IF(AG611="Medio","Mitigar","Aceptar y monitorear")))</f>
        <v/>
      </c>
      <c r="AI611" s="21" t="n"/>
      <c r="AJ611" s="21" t="n"/>
      <c r="AK611" s="20" t="n"/>
      <c r="AL611" s="77">
        <f>IFERROR(INDEX(MgAmenEfic,MATCH(SUBSTITUTE($H611,"*","-"),MgAmenClave,0)),0)</f>
        <v/>
      </c>
    </row>
    <row r="612" hidden="1" ht="60" customHeight="1" s="54">
      <c r="B612" s="59" t="inlineStr">
        <is>
          <t>R-0607</t>
        </is>
      </c>
      <c r="C612" s="59" t="inlineStr">
        <is>
          <t>COM-05</t>
        </is>
      </c>
      <c r="D612" s="64">
        <f>IFERROR(INDEX(MgNombre,MATCH($C612,MgActId,0)),"")</f>
        <v/>
      </c>
      <c r="E612" s="64">
        <f>IFERROR(INDEX(MgProceso,MATCH($C612,MgActId,0)),"")</f>
        <v/>
      </c>
      <c r="F612" s="64">
        <f>IFERROR(INDEX(MgTipo,MATCH($C612,MgActId,0)),"")</f>
        <v/>
      </c>
      <c r="G612" s="64">
        <f>IFERROR(INDEX(MgSubtipo,MATCH($C612,MgActId,0)),"")</f>
        <v/>
      </c>
      <c r="H612" s="59" t="inlineStr">
        <is>
          <t>E.18</t>
        </is>
      </c>
      <c r="I612" s="64">
        <f>IFERROR(INDEX(MgAmenNombre,MATCH(SUBSTITUTE($H612,"*","-"),MgAmenClave,0)),"")</f>
        <v/>
      </c>
      <c r="J612" s="28">
        <f>IFERROR(INDEX(MgAmenGrupo,MATCH(SUBSTITUTE($H612,"*","-"),MgAmenClave,0)),"")</f>
        <v/>
      </c>
      <c r="K612" s="64">
        <f>IFERROR(INDEX('1. Matriz de Activos'!$Q$6:$Q$239,MATCH($C612,MgActId,0)),"")</f>
        <v/>
      </c>
      <c r="L612" s="64">
        <f>IFERROR(INDEX('1. Matriz de Activos'!$R$6:$R$239,MATCH($C612,MgActId,0)),"")</f>
        <v/>
      </c>
      <c r="M612" s="64">
        <f>IFERROR(INDEX('1. Matriz de Activos'!$S$6:$S$239,MATCH($C612,MgActId,0)),"")</f>
        <v/>
      </c>
      <c r="N612" s="28">
        <f>IFERROR(INDEX(MgAmenDegD,MATCH(SUBSTITUTE($H612,"*","-"),MgAmenClave,0)),"No aplica")</f>
        <v/>
      </c>
      <c r="O612" s="28">
        <f>IFERROR(INDEX(MgAmenDegI,MATCH(SUBSTITUTE($H612,"*","-"),MgAmenClave,0)),"No aplica")</f>
        <v/>
      </c>
      <c r="P612" s="28">
        <f>IFERROR(INDEX(MgAmenDegC,MATCH(SUBSTITUTE($H612,"*","-"),MgAmenClave,0)),"No aplica")</f>
        <v/>
      </c>
      <c r="Q612" s="29">
        <f>IFERROR(VLOOKUP(K612,MgValor,2,0)*VLOOKUP(N612,MgDeg,2,0),0)</f>
        <v/>
      </c>
      <c r="R612" s="29">
        <f>IFERROR(VLOOKUP(L612,MgValor,2,0)*VLOOKUP(O612,MgDeg,2,0),0)</f>
        <v/>
      </c>
      <c r="S612" s="29">
        <f>IFERROR(VLOOKUP(M612,MgValor,2,0)*VLOOKUP(P612,MgDeg,2,0),0)</f>
        <v/>
      </c>
      <c r="T612" s="30">
        <f>MAX(Q612:S612)</f>
        <v/>
      </c>
      <c r="U612" s="28">
        <f>IFERROR(LOOKUP(T612,{0;0.5;1.5;3;4.5},{"Despreciable";"Bajo";"Medio";"Alto";"Muy alto"}),"")</f>
        <v/>
      </c>
      <c r="V612" s="13">
        <f>IFERROR(INDEX(MgAmenFrec,MATCH(SUBSTITUTE($H612,"*","-"),MgAmenClave,0)),"")</f>
        <v/>
      </c>
      <c r="W612" s="28">
        <f>IFERROR(LOOKUP(X612,{0;0.01;0.1;1;10;100},{"Muy baja";"Muy baja";"Baja";"Media";"Alta";"Muy alta"}),"")</f>
        <v/>
      </c>
      <c r="X612" s="31">
        <f>IFERROR(VLOOKUP(V612,MgFrec,2,0),0)</f>
        <v/>
      </c>
      <c r="Y612" s="30">
        <f>T612*X612</f>
        <v/>
      </c>
      <c r="Z612" s="28">
        <f>IFERROR(LOOKUP(Y612,{0;0.5;5;25},{"Bajo";"Medio";"Alto";"Crítico"}),"")</f>
        <v/>
      </c>
      <c r="AA612" s="64">
        <f>IF(T612&gt;=3,IF(X612&gt;=1,"Zona 1 — Crítica: impacto alto y ocurre al menos una vez al año","Zona 4 — Catastrófica poco probable: impacto alto pero excepcional"),IF(AND(T612&lt;1.5,X612&lt;1),"Zona 3 — Asumible: impacto bajo y muy poco frecuente","Zona 2 — Atención: riesgo intermedio"))</f>
        <v/>
      </c>
      <c r="AB612" s="64">
        <f>IFERROR(INDEX(MgAmenCtrl,MATCH(SUBSTITUTE($H612,"*","-"),MgAmenClave,0)),"")</f>
        <v/>
      </c>
      <c r="AC612" s="20" t="n"/>
      <c r="AD612" s="31">
        <f>IFERROR($X612*(1-IF($AC612="",$AL612,VLOOKUP($AC612,MgMad,2,0))),"")</f>
        <v/>
      </c>
      <c r="AE612" s="28">
        <f>IFERROR(LOOKUP(AD612,{0;0.01;0.1;1;10;100},{"Muy baja";"Muy baja";"Baja";"Media";"Alta";"Muy alta"}),"")</f>
        <v/>
      </c>
      <c r="AF612" s="30">
        <f>T612*AD612</f>
        <v/>
      </c>
      <c r="AG612" s="28">
        <f>IFERROR(LOOKUP(AF612,{0;0.5;5;25},{"Bajo";"Medio";"Alto";"Crítico"}),"")</f>
        <v/>
      </c>
      <c r="AH612" s="28">
        <f>IF(AG612="","",IF(OR(AG612="Crítico",AG612="Alto"),"Mitigar",IF(AG612="Medio","Mitigar","Aceptar y monitorear")))</f>
        <v/>
      </c>
      <c r="AI612" s="21" t="n"/>
      <c r="AJ612" s="21" t="n"/>
      <c r="AK612" s="20" t="n"/>
      <c r="AL612" s="77">
        <f>IFERROR(INDEX(MgAmenEfic,MATCH(SUBSTITUTE($H612,"*","-"),MgAmenClave,0)),0)</f>
        <v/>
      </c>
    </row>
    <row r="613" hidden="1" ht="105" customHeight="1" s="54">
      <c r="B613" s="59" t="inlineStr">
        <is>
          <t>R-0608</t>
        </is>
      </c>
      <c r="C613" s="59" t="inlineStr">
        <is>
          <t>COM-05</t>
        </is>
      </c>
      <c r="D613" s="64">
        <f>IFERROR(INDEX(MgNombre,MATCH($C613,MgActId,0)),"")</f>
        <v/>
      </c>
      <c r="E613" s="64">
        <f>IFERROR(INDEX(MgProceso,MATCH($C613,MgActId,0)),"")</f>
        <v/>
      </c>
      <c r="F613" s="64">
        <f>IFERROR(INDEX(MgTipo,MATCH($C613,MgActId,0)),"")</f>
        <v/>
      </c>
      <c r="G613" s="64">
        <f>IFERROR(INDEX(MgSubtipo,MATCH($C613,MgActId,0)),"")</f>
        <v/>
      </c>
      <c r="H613" s="59" t="inlineStr">
        <is>
          <t>E.19</t>
        </is>
      </c>
      <c r="I613" s="64">
        <f>IFERROR(INDEX(MgAmenNombre,MATCH(SUBSTITUTE($H613,"*","-"),MgAmenClave,0)),"")</f>
        <v/>
      </c>
      <c r="J613" s="28">
        <f>IFERROR(INDEX(MgAmenGrupo,MATCH(SUBSTITUTE($H613,"*","-"),MgAmenClave,0)),"")</f>
        <v/>
      </c>
      <c r="K613" s="64">
        <f>IFERROR(INDEX('1. Matriz de Activos'!$Q$6:$Q$239,MATCH($C613,MgActId,0)),"")</f>
        <v/>
      </c>
      <c r="L613" s="64">
        <f>IFERROR(INDEX('1. Matriz de Activos'!$R$6:$R$239,MATCH($C613,MgActId,0)),"")</f>
        <v/>
      </c>
      <c r="M613" s="64">
        <f>IFERROR(INDEX('1. Matriz de Activos'!$S$6:$S$239,MATCH($C613,MgActId,0)),"")</f>
        <v/>
      </c>
      <c r="N613" s="28">
        <f>IFERROR(INDEX(MgAmenDegD,MATCH(SUBSTITUTE($H613,"*","-"),MgAmenClave,0)),"No aplica")</f>
        <v/>
      </c>
      <c r="O613" s="28">
        <f>IFERROR(INDEX(MgAmenDegI,MATCH(SUBSTITUTE($H613,"*","-"),MgAmenClave,0)),"No aplica")</f>
        <v/>
      </c>
      <c r="P613" s="28">
        <f>IFERROR(INDEX(MgAmenDegC,MATCH(SUBSTITUTE($H613,"*","-"),MgAmenClave,0)),"No aplica")</f>
        <v/>
      </c>
      <c r="Q613" s="29">
        <f>IFERROR(VLOOKUP(K613,MgValor,2,0)*VLOOKUP(N613,MgDeg,2,0),0)</f>
        <v/>
      </c>
      <c r="R613" s="29">
        <f>IFERROR(VLOOKUP(L613,MgValor,2,0)*VLOOKUP(O613,MgDeg,2,0),0)</f>
        <v/>
      </c>
      <c r="S613" s="29">
        <f>IFERROR(VLOOKUP(M613,MgValor,2,0)*VLOOKUP(P613,MgDeg,2,0),0)</f>
        <v/>
      </c>
      <c r="T613" s="30">
        <f>MAX(Q613:S613)</f>
        <v/>
      </c>
      <c r="U613" s="28">
        <f>IFERROR(LOOKUP(T613,{0;0.5;1.5;3;4.5},{"Despreciable";"Bajo";"Medio";"Alto";"Muy alto"}),"")</f>
        <v/>
      </c>
      <c r="V613" s="13">
        <f>IFERROR(INDEX(MgAmenFrec,MATCH(SUBSTITUTE($H613,"*","-"),MgAmenClave,0)),"")</f>
        <v/>
      </c>
      <c r="W613" s="28">
        <f>IFERROR(LOOKUP(X613,{0;0.01;0.1;1;10;100},{"Muy baja";"Muy baja";"Baja";"Media";"Alta";"Muy alta"}),"")</f>
        <v/>
      </c>
      <c r="X613" s="31">
        <f>IFERROR(VLOOKUP(V613,MgFrec,2,0),0)</f>
        <v/>
      </c>
      <c r="Y613" s="30">
        <f>T613*X613</f>
        <v/>
      </c>
      <c r="Z613" s="28">
        <f>IFERROR(LOOKUP(Y613,{0;0.5;5;25},{"Bajo";"Medio";"Alto";"Crítico"}),"")</f>
        <v/>
      </c>
      <c r="AA613" s="64">
        <f>IF(T613&gt;=3,IF(X613&gt;=1,"Zona 1 — Crítica: impacto alto y ocurre al menos una vez al año","Zona 4 — Catastrófica poco probable: impacto alto pero excepcional"),IF(AND(T613&lt;1.5,X613&lt;1),"Zona 3 — Asumible: impacto bajo y muy poco frecuente","Zona 2 — Atención: riesgo intermedio"))</f>
        <v/>
      </c>
      <c r="AB613" s="64">
        <f>IFERROR(INDEX(MgAmenCtrl,MATCH(SUBSTITUTE($H613,"*","-"),MgAmenClave,0)),"")</f>
        <v/>
      </c>
      <c r="AC613" s="20" t="n"/>
      <c r="AD613" s="31">
        <f>IFERROR($X613*(1-IF($AC613="",$AL613,VLOOKUP($AC613,MgMad,2,0))),"")</f>
        <v/>
      </c>
      <c r="AE613" s="28">
        <f>IFERROR(LOOKUP(AD613,{0;0.01;0.1;1;10;100},{"Muy baja";"Muy baja";"Baja";"Media";"Alta";"Muy alta"}),"")</f>
        <v/>
      </c>
      <c r="AF613" s="30">
        <f>T613*AD613</f>
        <v/>
      </c>
      <c r="AG613" s="28">
        <f>IFERROR(LOOKUP(AF613,{0;0.5;5;25},{"Bajo";"Medio";"Alto";"Crítico"}),"")</f>
        <v/>
      </c>
      <c r="AH613" s="28">
        <f>IF(AG613="","",IF(OR(AG613="Crítico",AG613="Alto"),"Mitigar",IF(AG613="Medio","Mitigar","Aceptar y monitorear")))</f>
        <v/>
      </c>
      <c r="AI613" s="21" t="n"/>
      <c r="AJ613" s="21" t="n"/>
      <c r="AK613" s="20" t="n"/>
      <c r="AL613" s="77">
        <f>IFERROR(INDEX(MgAmenEfic,MATCH(SUBSTITUTE($H613,"*","-"),MgAmenClave,0)),0)</f>
        <v/>
      </c>
    </row>
    <row r="614" hidden="1" ht="60" customHeight="1" s="54">
      <c r="B614" s="59" t="inlineStr">
        <is>
          <t>R-0609</t>
        </is>
      </c>
      <c r="C614" s="59" t="inlineStr">
        <is>
          <t>COM-05</t>
        </is>
      </c>
      <c r="D614" s="64">
        <f>IFERROR(INDEX(MgNombre,MATCH($C614,MgActId,0)),"")</f>
        <v/>
      </c>
      <c r="E614" s="64">
        <f>IFERROR(INDEX(MgProceso,MATCH($C614,MgActId,0)),"")</f>
        <v/>
      </c>
      <c r="F614" s="64">
        <f>IFERROR(INDEX(MgTipo,MATCH($C614,MgActId,0)),"")</f>
        <v/>
      </c>
      <c r="G614" s="64">
        <f>IFERROR(INDEX(MgSubtipo,MATCH($C614,MgActId,0)),"")</f>
        <v/>
      </c>
      <c r="H614" s="59" t="inlineStr">
        <is>
          <t>A.3</t>
        </is>
      </c>
      <c r="I614" s="64">
        <f>IFERROR(INDEX(MgAmenNombre,MATCH(SUBSTITUTE($H614,"*","-"),MgAmenClave,0)),"")</f>
        <v/>
      </c>
      <c r="J614" s="28">
        <f>IFERROR(INDEX(MgAmenGrupo,MATCH(SUBSTITUTE($H614,"*","-"),MgAmenClave,0)),"")</f>
        <v/>
      </c>
      <c r="K614" s="64">
        <f>IFERROR(INDEX('1. Matriz de Activos'!$Q$6:$Q$239,MATCH($C614,MgActId,0)),"")</f>
        <v/>
      </c>
      <c r="L614" s="64">
        <f>IFERROR(INDEX('1. Matriz de Activos'!$R$6:$R$239,MATCH($C614,MgActId,0)),"")</f>
        <v/>
      </c>
      <c r="M614" s="64">
        <f>IFERROR(INDEX('1. Matriz de Activos'!$S$6:$S$239,MATCH($C614,MgActId,0)),"")</f>
        <v/>
      </c>
      <c r="N614" s="28">
        <f>IFERROR(INDEX(MgAmenDegD,MATCH(SUBSTITUTE($H614,"*","-"),MgAmenClave,0)),"No aplica")</f>
        <v/>
      </c>
      <c r="O614" s="28">
        <f>IFERROR(INDEX(MgAmenDegI,MATCH(SUBSTITUTE($H614,"*","-"),MgAmenClave,0)),"No aplica")</f>
        <v/>
      </c>
      <c r="P614" s="28">
        <f>IFERROR(INDEX(MgAmenDegC,MATCH(SUBSTITUTE($H614,"*","-"),MgAmenClave,0)),"No aplica")</f>
        <v/>
      </c>
      <c r="Q614" s="29">
        <f>IFERROR(VLOOKUP(K614,MgValor,2,0)*VLOOKUP(N614,MgDeg,2,0),0)</f>
        <v/>
      </c>
      <c r="R614" s="29">
        <f>IFERROR(VLOOKUP(L614,MgValor,2,0)*VLOOKUP(O614,MgDeg,2,0),0)</f>
        <v/>
      </c>
      <c r="S614" s="29">
        <f>IFERROR(VLOOKUP(M614,MgValor,2,0)*VLOOKUP(P614,MgDeg,2,0),0)</f>
        <v/>
      </c>
      <c r="T614" s="30">
        <f>MAX(Q614:S614)</f>
        <v/>
      </c>
      <c r="U614" s="28">
        <f>IFERROR(LOOKUP(T614,{0;0.5;1.5;3;4.5},{"Despreciable";"Bajo";"Medio";"Alto";"Muy alto"}),"")</f>
        <v/>
      </c>
      <c r="V614" s="13">
        <f>IFERROR(INDEX(MgAmenFrec,MATCH(SUBSTITUTE($H614,"*","-"),MgAmenClave,0)),"")</f>
        <v/>
      </c>
      <c r="W614" s="28">
        <f>IFERROR(LOOKUP(X614,{0;0.01;0.1;1;10;100},{"Muy baja";"Muy baja";"Baja";"Media";"Alta";"Muy alta"}),"")</f>
        <v/>
      </c>
      <c r="X614" s="31">
        <f>IFERROR(VLOOKUP(V614,MgFrec,2,0),0)</f>
        <v/>
      </c>
      <c r="Y614" s="30">
        <f>T614*X614</f>
        <v/>
      </c>
      <c r="Z614" s="28">
        <f>IFERROR(LOOKUP(Y614,{0;0.5;5;25},{"Bajo";"Medio";"Alto";"Crítico"}),"")</f>
        <v/>
      </c>
      <c r="AA614" s="64">
        <f>IF(T614&gt;=3,IF(X614&gt;=1,"Zona 1 — Crítica: impacto alto y ocurre al menos una vez al año","Zona 4 — Catastrófica poco probable: impacto alto pero excepcional"),IF(AND(T614&lt;1.5,X614&lt;1),"Zona 3 — Asumible: impacto bajo y muy poco frecuente","Zona 2 — Atención: riesgo intermedio"))</f>
        <v/>
      </c>
      <c r="AB614" s="64">
        <f>IFERROR(INDEX(MgAmenCtrl,MATCH(SUBSTITUTE($H614,"*","-"),MgAmenClave,0)),"")</f>
        <v/>
      </c>
      <c r="AC614" s="20" t="n"/>
      <c r="AD614" s="31">
        <f>IFERROR($X614*(1-IF($AC614="",$AL614,VLOOKUP($AC614,MgMad,2,0))),"")</f>
        <v/>
      </c>
      <c r="AE614" s="28">
        <f>IFERROR(LOOKUP(AD614,{0;0.01;0.1;1;10;100},{"Muy baja";"Muy baja";"Baja";"Media";"Alta";"Muy alta"}),"")</f>
        <v/>
      </c>
      <c r="AF614" s="30">
        <f>T614*AD614</f>
        <v/>
      </c>
      <c r="AG614" s="28">
        <f>IFERROR(LOOKUP(AF614,{0;0.5;5;25},{"Bajo";"Medio";"Alto";"Crítico"}),"")</f>
        <v/>
      </c>
      <c r="AH614" s="28">
        <f>IF(AG614="","",IF(OR(AG614="Crítico",AG614="Alto"),"Mitigar",IF(AG614="Medio","Mitigar","Aceptar y monitorear")))</f>
        <v/>
      </c>
      <c r="AI614" s="21" t="n"/>
      <c r="AJ614" s="21" t="n"/>
      <c r="AK614" s="20" t="n"/>
      <c r="AL614" s="77">
        <f>IFERROR(INDEX(MgAmenEfic,MATCH(SUBSTITUTE($H614,"*","-"),MgAmenClave,0)),0)</f>
        <v/>
      </c>
    </row>
    <row r="615" hidden="1" ht="60" customHeight="1" s="54">
      <c r="B615" s="59" t="inlineStr">
        <is>
          <t>R-0610</t>
        </is>
      </c>
      <c r="C615" s="59" t="inlineStr">
        <is>
          <t>COM-05</t>
        </is>
      </c>
      <c r="D615" s="64">
        <f>IFERROR(INDEX(MgNombre,MATCH($C615,MgActId,0)),"")</f>
        <v/>
      </c>
      <c r="E615" s="64">
        <f>IFERROR(INDEX(MgProceso,MATCH($C615,MgActId,0)),"")</f>
        <v/>
      </c>
      <c r="F615" s="64">
        <f>IFERROR(INDEX(MgTipo,MATCH($C615,MgActId,0)),"")</f>
        <v/>
      </c>
      <c r="G615" s="64">
        <f>IFERROR(INDEX(MgSubtipo,MATCH($C615,MgActId,0)),"")</f>
        <v/>
      </c>
      <c r="H615" s="59" t="inlineStr">
        <is>
          <t>A.4</t>
        </is>
      </c>
      <c r="I615" s="64">
        <f>IFERROR(INDEX(MgAmenNombre,MATCH(SUBSTITUTE($H615,"*","-"),MgAmenClave,0)),"")</f>
        <v/>
      </c>
      <c r="J615" s="28">
        <f>IFERROR(INDEX(MgAmenGrupo,MATCH(SUBSTITUTE($H615,"*","-"),MgAmenClave,0)),"")</f>
        <v/>
      </c>
      <c r="K615" s="64">
        <f>IFERROR(INDEX('1. Matriz de Activos'!$Q$6:$Q$239,MATCH($C615,MgActId,0)),"")</f>
        <v/>
      </c>
      <c r="L615" s="64">
        <f>IFERROR(INDEX('1. Matriz de Activos'!$R$6:$R$239,MATCH($C615,MgActId,0)),"")</f>
        <v/>
      </c>
      <c r="M615" s="64">
        <f>IFERROR(INDEX('1. Matriz de Activos'!$S$6:$S$239,MATCH($C615,MgActId,0)),"")</f>
        <v/>
      </c>
      <c r="N615" s="28">
        <f>IFERROR(INDEX(MgAmenDegD,MATCH(SUBSTITUTE($H615,"*","-"),MgAmenClave,0)),"No aplica")</f>
        <v/>
      </c>
      <c r="O615" s="28">
        <f>IFERROR(INDEX(MgAmenDegI,MATCH(SUBSTITUTE($H615,"*","-"),MgAmenClave,0)),"No aplica")</f>
        <v/>
      </c>
      <c r="P615" s="28">
        <f>IFERROR(INDEX(MgAmenDegC,MATCH(SUBSTITUTE($H615,"*","-"),MgAmenClave,0)),"No aplica")</f>
        <v/>
      </c>
      <c r="Q615" s="29">
        <f>IFERROR(VLOOKUP(K615,MgValor,2,0)*VLOOKUP(N615,MgDeg,2,0),0)</f>
        <v/>
      </c>
      <c r="R615" s="29">
        <f>IFERROR(VLOOKUP(L615,MgValor,2,0)*VLOOKUP(O615,MgDeg,2,0),0)</f>
        <v/>
      </c>
      <c r="S615" s="29">
        <f>IFERROR(VLOOKUP(M615,MgValor,2,0)*VLOOKUP(P615,MgDeg,2,0),0)</f>
        <v/>
      </c>
      <c r="T615" s="30">
        <f>MAX(Q615:S615)</f>
        <v/>
      </c>
      <c r="U615" s="28">
        <f>IFERROR(LOOKUP(T615,{0;0.5;1.5;3;4.5},{"Despreciable";"Bajo";"Medio";"Alto";"Muy alto"}),"")</f>
        <v/>
      </c>
      <c r="V615" s="13">
        <f>IFERROR(INDEX(MgAmenFrec,MATCH(SUBSTITUTE($H615,"*","-"),MgAmenClave,0)),"")</f>
        <v/>
      </c>
      <c r="W615" s="28">
        <f>IFERROR(LOOKUP(X615,{0;0.01;0.1;1;10;100},{"Muy baja";"Muy baja";"Baja";"Media";"Alta";"Muy alta"}),"")</f>
        <v/>
      </c>
      <c r="X615" s="31">
        <f>IFERROR(VLOOKUP(V615,MgFrec,2,0),0)</f>
        <v/>
      </c>
      <c r="Y615" s="30">
        <f>T615*X615</f>
        <v/>
      </c>
      <c r="Z615" s="28">
        <f>IFERROR(LOOKUP(Y615,{0;0.5;5;25},{"Bajo";"Medio";"Alto";"Crítico"}),"")</f>
        <v/>
      </c>
      <c r="AA615" s="64">
        <f>IF(T615&gt;=3,IF(X615&gt;=1,"Zona 1 — Crítica: impacto alto y ocurre al menos una vez al año","Zona 4 — Catastrófica poco probable: impacto alto pero excepcional"),IF(AND(T615&lt;1.5,X615&lt;1),"Zona 3 — Asumible: impacto bajo y muy poco frecuente","Zona 2 — Atención: riesgo intermedio"))</f>
        <v/>
      </c>
      <c r="AB615" s="64">
        <f>IFERROR(INDEX(MgAmenCtrl,MATCH(SUBSTITUTE($H615,"*","-"),MgAmenClave,0)),"")</f>
        <v/>
      </c>
      <c r="AC615" s="20" t="n"/>
      <c r="AD615" s="31">
        <f>IFERROR($X615*(1-IF($AC615="",$AL615,VLOOKUP($AC615,MgMad,2,0))),"")</f>
        <v/>
      </c>
      <c r="AE615" s="28">
        <f>IFERROR(LOOKUP(AD615,{0;0.01;0.1;1;10;100},{"Muy baja";"Muy baja";"Baja";"Media";"Alta";"Muy alta"}),"")</f>
        <v/>
      </c>
      <c r="AF615" s="30">
        <f>T615*AD615</f>
        <v/>
      </c>
      <c r="AG615" s="28">
        <f>IFERROR(LOOKUP(AF615,{0;0.5;5;25},{"Bajo";"Medio";"Alto";"Crítico"}),"")</f>
        <v/>
      </c>
      <c r="AH615" s="28">
        <f>IF(AG615="","",IF(OR(AG615="Crítico",AG615="Alto"),"Mitigar",IF(AG615="Medio","Mitigar","Aceptar y monitorear")))</f>
        <v/>
      </c>
      <c r="AI615" s="21" t="n"/>
      <c r="AJ615" s="21" t="n"/>
      <c r="AK615" s="20" t="n"/>
      <c r="AL615" s="77">
        <f>IFERROR(INDEX(MgAmenEfic,MATCH(SUBSTITUTE($H615,"*","-"),MgAmenClave,0)),0)</f>
        <v/>
      </c>
    </row>
    <row r="616" hidden="1" ht="75" customHeight="1" s="54">
      <c r="B616" s="59" t="inlineStr">
        <is>
          <t>R-0611</t>
        </is>
      </c>
      <c r="C616" s="59" t="inlineStr">
        <is>
          <t>COM-05</t>
        </is>
      </c>
      <c r="D616" s="64">
        <f>IFERROR(INDEX(MgNombre,MATCH($C616,MgActId,0)),"")</f>
        <v/>
      </c>
      <c r="E616" s="64">
        <f>IFERROR(INDEX(MgProceso,MATCH($C616,MgActId,0)),"")</f>
        <v/>
      </c>
      <c r="F616" s="64">
        <f>IFERROR(INDEX(MgTipo,MATCH($C616,MgActId,0)),"")</f>
        <v/>
      </c>
      <c r="G616" s="64">
        <f>IFERROR(INDEX(MgSubtipo,MATCH($C616,MgActId,0)),"")</f>
        <v/>
      </c>
      <c r="H616" s="59" t="inlineStr">
        <is>
          <t>A.5</t>
        </is>
      </c>
      <c r="I616" s="64">
        <f>IFERROR(INDEX(MgAmenNombre,MATCH(SUBSTITUTE($H616,"*","-"),MgAmenClave,0)),"")</f>
        <v/>
      </c>
      <c r="J616" s="28">
        <f>IFERROR(INDEX(MgAmenGrupo,MATCH(SUBSTITUTE($H616,"*","-"),MgAmenClave,0)),"")</f>
        <v/>
      </c>
      <c r="K616" s="64">
        <f>IFERROR(INDEX('1. Matriz de Activos'!$Q$6:$Q$239,MATCH($C616,MgActId,0)),"")</f>
        <v/>
      </c>
      <c r="L616" s="64">
        <f>IFERROR(INDEX('1. Matriz de Activos'!$R$6:$R$239,MATCH($C616,MgActId,0)),"")</f>
        <v/>
      </c>
      <c r="M616" s="64">
        <f>IFERROR(INDEX('1. Matriz de Activos'!$S$6:$S$239,MATCH($C616,MgActId,0)),"")</f>
        <v/>
      </c>
      <c r="N616" s="28">
        <f>IFERROR(INDEX(MgAmenDegD,MATCH(SUBSTITUTE($H616,"*","-"),MgAmenClave,0)),"No aplica")</f>
        <v/>
      </c>
      <c r="O616" s="28">
        <f>IFERROR(INDEX(MgAmenDegI,MATCH(SUBSTITUTE($H616,"*","-"),MgAmenClave,0)),"No aplica")</f>
        <v/>
      </c>
      <c r="P616" s="28">
        <f>IFERROR(INDEX(MgAmenDegC,MATCH(SUBSTITUTE($H616,"*","-"),MgAmenClave,0)),"No aplica")</f>
        <v/>
      </c>
      <c r="Q616" s="29">
        <f>IFERROR(VLOOKUP(K616,MgValor,2,0)*VLOOKUP(N616,MgDeg,2,0),0)</f>
        <v/>
      </c>
      <c r="R616" s="29">
        <f>IFERROR(VLOOKUP(L616,MgValor,2,0)*VLOOKUP(O616,MgDeg,2,0),0)</f>
        <v/>
      </c>
      <c r="S616" s="29">
        <f>IFERROR(VLOOKUP(M616,MgValor,2,0)*VLOOKUP(P616,MgDeg,2,0),0)</f>
        <v/>
      </c>
      <c r="T616" s="30">
        <f>MAX(Q616:S616)</f>
        <v/>
      </c>
      <c r="U616" s="28">
        <f>IFERROR(LOOKUP(T616,{0;0.5;1.5;3;4.5},{"Despreciable";"Bajo";"Medio";"Alto";"Muy alto"}),"")</f>
        <v/>
      </c>
      <c r="V616" s="13">
        <f>IFERROR(INDEX(MgAmenFrec,MATCH(SUBSTITUTE($H616,"*","-"),MgAmenClave,0)),"")</f>
        <v/>
      </c>
      <c r="W616" s="28">
        <f>IFERROR(LOOKUP(X616,{0;0.01;0.1;1;10;100},{"Muy baja";"Muy baja";"Baja";"Media";"Alta";"Muy alta"}),"")</f>
        <v/>
      </c>
      <c r="X616" s="31">
        <f>IFERROR(VLOOKUP(V616,MgFrec,2,0),0)</f>
        <v/>
      </c>
      <c r="Y616" s="30">
        <f>T616*X616</f>
        <v/>
      </c>
      <c r="Z616" s="28">
        <f>IFERROR(LOOKUP(Y616,{0;0.5;5;25},{"Bajo";"Medio";"Alto";"Crítico"}),"")</f>
        <v/>
      </c>
      <c r="AA616" s="64">
        <f>IF(T616&gt;=3,IF(X616&gt;=1,"Zona 1 — Crítica: impacto alto y ocurre al menos una vez al año","Zona 4 — Catastrófica poco probable: impacto alto pero excepcional"),IF(AND(T616&lt;1.5,X616&lt;1),"Zona 3 — Asumible: impacto bajo y muy poco frecuente","Zona 2 — Atención: riesgo intermedio"))</f>
        <v/>
      </c>
      <c r="AB616" s="64">
        <f>IFERROR(INDEX(MgAmenCtrl,MATCH(SUBSTITUTE($H616,"*","-"),MgAmenClave,0)),"")</f>
        <v/>
      </c>
      <c r="AC616" s="20" t="n"/>
      <c r="AD616" s="31">
        <f>IFERROR($X616*(1-IF($AC616="",$AL616,VLOOKUP($AC616,MgMad,2,0))),"")</f>
        <v/>
      </c>
      <c r="AE616" s="28">
        <f>IFERROR(LOOKUP(AD616,{0;0.01;0.1;1;10;100},{"Muy baja";"Muy baja";"Baja";"Media";"Alta";"Muy alta"}),"")</f>
        <v/>
      </c>
      <c r="AF616" s="30">
        <f>T616*AD616</f>
        <v/>
      </c>
      <c r="AG616" s="28">
        <f>IFERROR(LOOKUP(AF616,{0;0.5;5;25},{"Bajo";"Medio";"Alto";"Crítico"}),"")</f>
        <v/>
      </c>
      <c r="AH616" s="28">
        <f>IF(AG616="","",IF(OR(AG616="Crítico",AG616="Alto"),"Mitigar",IF(AG616="Medio","Mitigar","Aceptar y monitorear")))</f>
        <v/>
      </c>
      <c r="AI616" s="21" t="n"/>
      <c r="AJ616" s="21" t="n"/>
      <c r="AK616" s="20" t="n"/>
      <c r="AL616" s="77">
        <f>IFERROR(INDEX(MgAmenEfic,MATCH(SUBSTITUTE($H616,"*","-"),MgAmenClave,0)),0)</f>
        <v/>
      </c>
    </row>
    <row r="617" hidden="1" ht="105" customHeight="1" s="54">
      <c r="B617" s="59" t="inlineStr">
        <is>
          <t>R-0612</t>
        </is>
      </c>
      <c r="C617" s="59" t="inlineStr">
        <is>
          <t>COM-05</t>
        </is>
      </c>
      <c r="D617" s="64">
        <f>IFERROR(INDEX(MgNombre,MATCH($C617,MgActId,0)),"")</f>
        <v/>
      </c>
      <c r="E617" s="64">
        <f>IFERROR(INDEX(MgProceso,MATCH($C617,MgActId,0)),"")</f>
        <v/>
      </c>
      <c r="F617" s="64">
        <f>IFERROR(INDEX(MgTipo,MATCH($C617,MgActId,0)),"")</f>
        <v/>
      </c>
      <c r="G617" s="64">
        <f>IFERROR(INDEX(MgSubtipo,MATCH($C617,MgActId,0)),"")</f>
        <v/>
      </c>
      <c r="H617" s="59" t="inlineStr">
        <is>
          <t>A.6</t>
        </is>
      </c>
      <c r="I617" s="64">
        <f>IFERROR(INDEX(MgAmenNombre,MATCH(SUBSTITUTE($H617,"*","-"),MgAmenClave,0)),"")</f>
        <v/>
      </c>
      <c r="J617" s="28">
        <f>IFERROR(INDEX(MgAmenGrupo,MATCH(SUBSTITUTE($H617,"*","-"),MgAmenClave,0)),"")</f>
        <v/>
      </c>
      <c r="K617" s="64">
        <f>IFERROR(INDEX('1. Matriz de Activos'!$Q$6:$Q$239,MATCH($C617,MgActId,0)),"")</f>
        <v/>
      </c>
      <c r="L617" s="64">
        <f>IFERROR(INDEX('1. Matriz de Activos'!$R$6:$R$239,MATCH($C617,MgActId,0)),"")</f>
        <v/>
      </c>
      <c r="M617" s="64">
        <f>IFERROR(INDEX('1. Matriz de Activos'!$S$6:$S$239,MATCH($C617,MgActId,0)),"")</f>
        <v/>
      </c>
      <c r="N617" s="28">
        <f>IFERROR(INDEX(MgAmenDegD,MATCH(SUBSTITUTE($H617,"*","-"),MgAmenClave,0)),"No aplica")</f>
        <v/>
      </c>
      <c r="O617" s="28">
        <f>IFERROR(INDEX(MgAmenDegI,MATCH(SUBSTITUTE($H617,"*","-"),MgAmenClave,0)),"No aplica")</f>
        <v/>
      </c>
      <c r="P617" s="28">
        <f>IFERROR(INDEX(MgAmenDegC,MATCH(SUBSTITUTE($H617,"*","-"),MgAmenClave,0)),"No aplica")</f>
        <v/>
      </c>
      <c r="Q617" s="29">
        <f>IFERROR(VLOOKUP(K617,MgValor,2,0)*VLOOKUP(N617,MgDeg,2,0),0)</f>
        <v/>
      </c>
      <c r="R617" s="29">
        <f>IFERROR(VLOOKUP(L617,MgValor,2,0)*VLOOKUP(O617,MgDeg,2,0),0)</f>
        <v/>
      </c>
      <c r="S617" s="29">
        <f>IFERROR(VLOOKUP(M617,MgValor,2,0)*VLOOKUP(P617,MgDeg,2,0),0)</f>
        <v/>
      </c>
      <c r="T617" s="30">
        <f>MAX(Q617:S617)</f>
        <v/>
      </c>
      <c r="U617" s="28">
        <f>IFERROR(LOOKUP(T617,{0;0.5;1.5;3;4.5},{"Despreciable";"Bajo";"Medio";"Alto";"Muy alto"}),"")</f>
        <v/>
      </c>
      <c r="V617" s="13">
        <f>IFERROR(INDEX(MgAmenFrec,MATCH(SUBSTITUTE($H617,"*","-"),MgAmenClave,0)),"")</f>
        <v/>
      </c>
      <c r="W617" s="28">
        <f>IFERROR(LOOKUP(X617,{0;0.01;0.1;1;10;100},{"Muy baja";"Muy baja";"Baja";"Media";"Alta";"Muy alta"}),"")</f>
        <v/>
      </c>
      <c r="X617" s="31">
        <f>IFERROR(VLOOKUP(V617,MgFrec,2,0),0)</f>
        <v/>
      </c>
      <c r="Y617" s="30">
        <f>T617*X617</f>
        <v/>
      </c>
      <c r="Z617" s="28">
        <f>IFERROR(LOOKUP(Y617,{0;0.5;5;25},{"Bajo";"Medio";"Alto";"Crítico"}),"")</f>
        <v/>
      </c>
      <c r="AA617" s="64">
        <f>IF(T617&gt;=3,IF(X617&gt;=1,"Zona 1 — Crítica: impacto alto y ocurre al menos una vez al año","Zona 4 — Catastrófica poco probable: impacto alto pero excepcional"),IF(AND(T617&lt;1.5,X617&lt;1),"Zona 3 — Asumible: impacto bajo y muy poco frecuente","Zona 2 — Atención: riesgo intermedio"))</f>
        <v/>
      </c>
      <c r="AB617" s="64">
        <f>IFERROR(INDEX(MgAmenCtrl,MATCH(SUBSTITUTE($H617,"*","-"),MgAmenClave,0)),"")</f>
        <v/>
      </c>
      <c r="AC617" s="20" t="n"/>
      <c r="AD617" s="31">
        <f>IFERROR($X617*(1-IF($AC617="",$AL617,VLOOKUP($AC617,MgMad,2,0))),"")</f>
        <v/>
      </c>
      <c r="AE617" s="28">
        <f>IFERROR(LOOKUP(AD617,{0;0.01;0.1;1;10;100},{"Muy baja";"Muy baja";"Baja";"Media";"Alta";"Muy alta"}),"")</f>
        <v/>
      </c>
      <c r="AF617" s="30">
        <f>T617*AD617</f>
        <v/>
      </c>
      <c r="AG617" s="28">
        <f>IFERROR(LOOKUP(AF617,{0;0.5;5;25},{"Bajo";"Medio";"Alto";"Crítico"}),"")</f>
        <v/>
      </c>
      <c r="AH617" s="28">
        <f>IF(AG617="","",IF(OR(AG617="Crítico",AG617="Alto"),"Mitigar",IF(AG617="Medio","Mitigar","Aceptar y monitorear")))</f>
        <v/>
      </c>
      <c r="AI617" s="21" t="n"/>
      <c r="AJ617" s="21" t="n"/>
      <c r="AK617" s="20" t="n"/>
      <c r="AL617" s="77">
        <f>IFERROR(INDEX(MgAmenEfic,MATCH(SUBSTITUTE($H617,"*","-"),MgAmenClave,0)),0)</f>
        <v/>
      </c>
    </row>
    <row r="618" hidden="1" ht="120" customHeight="1" s="54">
      <c r="B618" s="59" t="inlineStr">
        <is>
          <t>R-0613</t>
        </is>
      </c>
      <c r="C618" s="59" t="inlineStr">
        <is>
          <t>COM-05</t>
        </is>
      </c>
      <c r="D618" s="64">
        <f>IFERROR(INDEX(MgNombre,MATCH($C618,MgActId,0)),"")</f>
        <v/>
      </c>
      <c r="E618" s="64">
        <f>IFERROR(INDEX(MgProceso,MATCH($C618,MgActId,0)),"")</f>
        <v/>
      </c>
      <c r="F618" s="64">
        <f>IFERROR(INDEX(MgTipo,MATCH($C618,MgActId,0)),"")</f>
        <v/>
      </c>
      <c r="G618" s="64">
        <f>IFERROR(INDEX(MgSubtipo,MATCH($C618,MgActId,0)),"")</f>
        <v/>
      </c>
      <c r="H618" s="59" t="inlineStr">
        <is>
          <t>A.11</t>
        </is>
      </c>
      <c r="I618" s="64">
        <f>IFERROR(INDEX(MgAmenNombre,MATCH(SUBSTITUTE($H618,"*","-"),MgAmenClave,0)),"")</f>
        <v/>
      </c>
      <c r="J618" s="28">
        <f>IFERROR(INDEX(MgAmenGrupo,MATCH(SUBSTITUTE($H618,"*","-"),MgAmenClave,0)),"")</f>
        <v/>
      </c>
      <c r="K618" s="64">
        <f>IFERROR(INDEX('1. Matriz de Activos'!$Q$6:$Q$239,MATCH($C618,MgActId,0)),"")</f>
        <v/>
      </c>
      <c r="L618" s="64">
        <f>IFERROR(INDEX('1. Matriz de Activos'!$R$6:$R$239,MATCH($C618,MgActId,0)),"")</f>
        <v/>
      </c>
      <c r="M618" s="64">
        <f>IFERROR(INDEX('1. Matriz de Activos'!$S$6:$S$239,MATCH($C618,MgActId,0)),"")</f>
        <v/>
      </c>
      <c r="N618" s="28">
        <f>IFERROR(INDEX(MgAmenDegD,MATCH(SUBSTITUTE($H618,"*","-"),MgAmenClave,0)),"No aplica")</f>
        <v/>
      </c>
      <c r="O618" s="28">
        <f>IFERROR(INDEX(MgAmenDegI,MATCH(SUBSTITUTE($H618,"*","-"),MgAmenClave,0)),"No aplica")</f>
        <v/>
      </c>
      <c r="P618" s="28">
        <f>IFERROR(INDEX(MgAmenDegC,MATCH(SUBSTITUTE($H618,"*","-"),MgAmenClave,0)),"No aplica")</f>
        <v/>
      </c>
      <c r="Q618" s="29">
        <f>IFERROR(VLOOKUP(K618,MgValor,2,0)*VLOOKUP(N618,MgDeg,2,0),0)</f>
        <v/>
      </c>
      <c r="R618" s="29">
        <f>IFERROR(VLOOKUP(L618,MgValor,2,0)*VLOOKUP(O618,MgDeg,2,0),0)</f>
        <v/>
      </c>
      <c r="S618" s="29">
        <f>IFERROR(VLOOKUP(M618,MgValor,2,0)*VLOOKUP(P618,MgDeg,2,0),0)</f>
        <v/>
      </c>
      <c r="T618" s="30">
        <f>MAX(Q618:S618)</f>
        <v/>
      </c>
      <c r="U618" s="28">
        <f>IFERROR(LOOKUP(T618,{0;0.5;1.5;3;4.5},{"Despreciable";"Bajo";"Medio";"Alto";"Muy alto"}),"")</f>
        <v/>
      </c>
      <c r="V618" s="13">
        <f>IFERROR(INDEX(MgAmenFrec,MATCH(SUBSTITUTE($H618,"*","-"),MgAmenClave,0)),"")</f>
        <v/>
      </c>
      <c r="W618" s="28">
        <f>IFERROR(LOOKUP(X618,{0;0.01;0.1;1;10;100},{"Muy baja";"Muy baja";"Baja";"Media";"Alta";"Muy alta"}),"")</f>
        <v/>
      </c>
      <c r="X618" s="31">
        <f>IFERROR(VLOOKUP(V618,MgFrec,2,0),0)</f>
        <v/>
      </c>
      <c r="Y618" s="30">
        <f>T618*X618</f>
        <v/>
      </c>
      <c r="Z618" s="28">
        <f>IFERROR(LOOKUP(Y618,{0;0.5;5;25},{"Bajo";"Medio";"Alto";"Crítico"}),"")</f>
        <v/>
      </c>
      <c r="AA618" s="64">
        <f>IF(T618&gt;=3,IF(X618&gt;=1,"Zona 1 — Crítica: impacto alto y ocurre al menos una vez al año","Zona 4 — Catastrófica poco probable: impacto alto pero excepcional"),IF(AND(T618&lt;1.5,X618&lt;1),"Zona 3 — Asumible: impacto bajo y muy poco frecuente","Zona 2 — Atención: riesgo intermedio"))</f>
        <v/>
      </c>
      <c r="AB618" s="64">
        <f>IFERROR(INDEX(MgAmenCtrl,MATCH(SUBSTITUTE($H618,"*","-"),MgAmenClave,0)),"")</f>
        <v/>
      </c>
      <c r="AC618" s="20" t="n"/>
      <c r="AD618" s="31">
        <f>IFERROR($X618*(1-IF($AC618="",$AL618,VLOOKUP($AC618,MgMad,2,0))),"")</f>
        <v/>
      </c>
      <c r="AE618" s="28">
        <f>IFERROR(LOOKUP(AD618,{0;0.01;0.1;1;10;100},{"Muy baja";"Muy baja";"Baja";"Media";"Alta";"Muy alta"}),"")</f>
        <v/>
      </c>
      <c r="AF618" s="30">
        <f>T618*AD618</f>
        <v/>
      </c>
      <c r="AG618" s="28">
        <f>IFERROR(LOOKUP(AF618,{0;0.5;5;25},{"Bajo";"Medio";"Alto";"Crítico"}),"")</f>
        <v/>
      </c>
      <c r="AH618" s="28">
        <f>IF(AG618="","",IF(OR(AG618="Crítico",AG618="Alto"),"Mitigar",IF(AG618="Medio","Mitigar","Aceptar y monitorear")))</f>
        <v/>
      </c>
      <c r="AI618" s="21" t="n"/>
      <c r="AJ618" s="21" t="n"/>
      <c r="AK618" s="20" t="n"/>
      <c r="AL618" s="77">
        <f>IFERROR(INDEX(MgAmenEfic,MATCH(SUBSTITUTE($H618,"*","-"),MgAmenClave,0)),0)</f>
        <v/>
      </c>
    </row>
    <row r="619" hidden="1" ht="90" customHeight="1" s="54">
      <c r="B619" s="59" t="inlineStr">
        <is>
          <t>R-0614</t>
        </is>
      </c>
      <c r="C619" s="59" t="inlineStr">
        <is>
          <t>COM-05</t>
        </is>
      </c>
      <c r="D619" s="64">
        <f>IFERROR(INDEX(MgNombre,MATCH($C619,MgActId,0)),"")</f>
        <v/>
      </c>
      <c r="E619" s="64">
        <f>IFERROR(INDEX(MgProceso,MATCH($C619,MgActId,0)),"")</f>
        <v/>
      </c>
      <c r="F619" s="64">
        <f>IFERROR(INDEX(MgTipo,MATCH($C619,MgActId,0)),"")</f>
        <v/>
      </c>
      <c r="G619" s="64">
        <f>IFERROR(INDEX(MgSubtipo,MATCH($C619,MgActId,0)),"")</f>
        <v/>
      </c>
      <c r="H619" s="59" t="inlineStr">
        <is>
          <t>A.13</t>
        </is>
      </c>
      <c r="I619" s="64">
        <f>IFERROR(INDEX(MgAmenNombre,MATCH(SUBSTITUTE($H619,"*","-"),MgAmenClave,0)),"")</f>
        <v/>
      </c>
      <c r="J619" s="28">
        <f>IFERROR(INDEX(MgAmenGrupo,MATCH(SUBSTITUTE($H619,"*","-"),MgAmenClave,0)),"")</f>
        <v/>
      </c>
      <c r="K619" s="64">
        <f>IFERROR(INDEX('1. Matriz de Activos'!$Q$6:$Q$239,MATCH($C619,MgActId,0)),"")</f>
        <v/>
      </c>
      <c r="L619" s="64">
        <f>IFERROR(INDEX('1. Matriz de Activos'!$R$6:$R$239,MATCH($C619,MgActId,0)),"")</f>
        <v/>
      </c>
      <c r="M619" s="64">
        <f>IFERROR(INDEX('1. Matriz de Activos'!$S$6:$S$239,MATCH($C619,MgActId,0)),"")</f>
        <v/>
      </c>
      <c r="N619" s="28">
        <f>IFERROR(INDEX(MgAmenDegD,MATCH(SUBSTITUTE($H619,"*","-"),MgAmenClave,0)),"No aplica")</f>
        <v/>
      </c>
      <c r="O619" s="28">
        <f>IFERROR(INDEX(MgAmenDegI,MATCH(SUBSTITUTE($H619,"*","-"),MgAmenClave,0)),"No aplica")</f>
        <v/>
      </c>
      <c r="P619" s="28">
        <f>IFERROR(INDEX(MgAmenDegC,MATCH(SUBSTITUTE($H619,"*","-"),MgAmenClave,0)),"No aplica")</f>
        <v/>
      </c>
      <c r="Q619" s="29">
        <f>IFERROR(VLOOKUP(K619,MgValor,2,0)*VLOOKUP(N619,MgDeg,2,0),0)</f>
        <v/>
      </c>
      <c r="R619" s="29">
        <f>IFERROR(VLOOKUP(L619,MgValor,2,0)*VLOOKUP(O619,MgDeg,2,0),0)</f>
        <v/>
      </c>
      <c r="S619" s="29">
        <f>IFERROR(VLOOKUP(M619,MgValor,2,0)*VLOOKUP(P619,MgDeg,2,0),0)</f>
        <v/>
      </c>
      <c r="T619" s="30">
        <f>MAX(Q619:S619)</f>
        <v/>
      </c>
      <c r="U619" s="28">
        <f>IFERROR(LOOKUP(T619,{0;0.5;1.5;3;4.5},{"Despreciable";"Bajo";"Medio";"Alto";"Muy alto"}),"")</f>
        <v/>
      </c>
      <c r="V619" s="13">
        <f>IFERROR(INDEX(MgAmenFrec,MATCH(SUBSTITUTE($H619,"*","-"),MgAmenClave,0)),"")</f>
        <v/>
      </c>
      <c r="W619" s="28">
        <f>IFERROR(LOOKUP(X619,{0;0.01;0.1;1;10;100},{"Muy baja";"Muy baja";"Baja";"Media";"Alta";"Muy alta"}),"")</f>
        <v/>
      </c>
      <c r="X619" s="31">
        <f>IFERROR(VLOOKUP(V619,MgFrec,2,0),0)</f>
        <v/>
      </c>
      <c r="Y619" s="30">
        <f>T619*X619</f>
        <v/>
      </c>
      <c r="Z619" s="28">
        <f>IFERROR(LOOKUP(Y619,{0;0.5;5;25},{"Bajo";"Medio";"Alto";"Crítico"}),"")</f>
        <v/>
      </c>
      <c r="AA619" s="64">
        <f>IF(T619&gt;=3,IF(X619&gt;=1,"Zona 1 — Crítica: impacto alto y ocurre al menos una vez al año","Zona 4 — Catastrófica poco probable: impacto alto pero excepcional"),IF(AND(T619&lt;1.5,X619&lt;1),"Zona 3 — Asumible: impacto bajo y muy poco frecuente","Zona 2 — Atención: riesgo intermedio"))</f>
        <v/>
      </c>
      <c r="AB619" s="64">
        <f>IFERROR(INDEX(MgAmenCtrl,MATCH(SUBSTITUTE($H619,"*","-"),MgAmenClave,0)),"")</f>
        <v/>
      </c>
      <c r="AC619" s="20" t="n"/>
      <c r="AD619" s="31">
        <f>IFERROR($X619*(1-IF($AC619="",$AL619,VLOOKUP($AC619,MgMad,2,0))),"")</f>
        <v/>
      </c>
      <c r="AE619" s="28">
        <f>IFERROR(LOOKUP(AD619,{0;0.01;0.1;1;10;100},{"Muy baja";"Muy baja";"Baja";"Media";"Alta";"Muy alta"}),"")</f>
        <v/>
      </c>
      <c r="AF619" s="30">
        <f>T619*AD619</f>
        <v/>
      </c>
      <c r="AG619" s="28">
        <f>IFERROR(LOOKUP(AF619,{0;0.5;5;25},{"Bajo";"Medio";"Alto";"Crítico"}),"")</f>
        <v/>
      </c>
      <c r="AH619" s="28">
        <f>IF(AG619="","",IF(OR(AG619="Crítico",AG619="Alto"),"Mitigar",IF(AG619="Medio","Mitigar","Aceptar y monitorear")))</f>
        <v/>
      </c>
      <c r="AI619" s="21" t="n"/>
      <c r="AJ619" s="21" t="n"/>
      <c r="AK619" s="20" t="n"/>
      <c r="AL619" s="77">
        <f>IFERROR(INDEX(MgAmenEfic,MATCH(SUBSTITUTE($H619,"*","-"),MgAmenClave,0)),0)</f>
        <v/>
      </c>
    </row>
    <row r="620" hidden="1" ht="60" customHeight="1" s="54">
      <c r="B620" s="59" t="inlineStr">
        <is>
          <t>R-0615</t>
        </is>
      </c>
      <c r="C620" s="59" t="inlineStr">
        <is>
          <t>COM-05</t>
        </is>
      </c>
      <c r="D620" s="64">
        <f>IFERROR(INDEX(MgNombre,MATCH($C620,MgActId,0)),"")</f>
        <v/>
      </c>
      <c r="E620" s="64">
        <f>IFERROR(INDEX(MgProceso,MATCH($C620,MgActId,0)),"")</f>
        <v/>
      </c>
      <c r="F620" s="64">
        <f>IFERROR(INDEX(MgTipo,MATCH($C620,MgActId,0)),"")</f>
        <v/>
      </c>
      <c r="G620" s="64">
        <f>IFERROR(INDEX(MgSubtipo,MATCH($C620,MgActId,0)),"")</f>
        <v/>
      </c>
      <c r="H620" s="59" t="inlineStr">
        <is>
          <t>A.15</t>
        </is>
      </c>
      <c r="I620" s="64">
        <f>IFERROR(INDEX(MgAmenNombre,MATCH(SUBSTITUTE($H620,"*","-"),MgAmenClave,0)),"")</f>
        <v/>
      </c>
      <c r="J620" s="28">
        <f>IFERROR(INDEX(MgAmenGrupo,MATCH(SUBSTITUTE($H620,"*","-"),MgAmenClave,0)),"")</f>
        <v/>
      </c>
      <c r="K620" s="64">
        <f>IFERROR(INDEX('1. Matriz de Activos'!$Q$6:$Q$239,MATCH($C620,MgActId,0)),"")</f>
        <v/>
      </c>
      <c r="L620" s="64">
        <f>IFERROR(INDEX('1. Matriz de Activos'!$R$6:$R$239,MATCH($C620,MgActId,0)),"")</f>
        <v/>
      </c>
      <c r="M620" s="64">
        <f>IFERROR(INDEX('1. Matriz de Activos'!$S$6:$S$239,MATCH($C620,MgActId,0)),"")</f>
        <v/>
      </c>
      <c r="N620" s="28">
        <f>IFERROR(INDEX(MgAmenDegD,MATCH(SUBSTITUTE($H620,"*","-"),MgAmenClave,0)),"No aplica")</f>
        <v/>
      </c>
      <c r="O620" s="28">
        <f>IFERROR(INDEX(MgAmenDegI,MATCH(SUBSTITUTE($H620,"*","-"),MgAmenClave,0)),"No aplica")</f>
        <v/>
      </c>
      <c r="P620" s="28">
        <f>IFERROR(INDEX(MgAmenDegC,MATCH(SUBSTITUTE($H620,"*","-"),MgAmenClave,0)),"No aplica")</f>
        <v/>
      </c>
      <c r="Q620" s="29">
        <f>IFERROR(VLOOKUP(K620,MgValor,2,0)*VLOOKUP(N620,MgDeg,2,0),0)</f>
        <v/>
      </c>
      <c r="R620" s="29">
        <f>IFERROR(VLOOKUP(L620,MgValor,2,0)*VLOOKUP(O620,MgDeg,2,0),0)</f>
        <v/>
      </c>
      <c r="S620" s="29">
        <f>IFERROR(VLOOKUP(M620,MgValor,2,0)*VLOOKUP(P620,MgDeg,2,0),0)</f>
        <v/>
      </c>
      <c r="T620" s="30">
        <f>MAX(Q620:S620)</f>
        <v/>
      </c>
      <c r="U620" s="28">
        <f>IFERROR(LOOKUP(T620,{0;0.5;1.5;3;4.5},{"Despreciable";"Bajo";"Medio";"Alto";"Muy alto"}),"")</f>
        <v/>
      </c>
      <c r="V620" s="13">
        <f>IFERROR(INDEX(MgAmenFrec,MATCH(SUBSTITUTE($H620,"*","-"),MgAmenClave,0)),"")</f>
        <v/>
      </c>
      <c r="W620" s="28">
        <f>IFERROR(LOOKUP(X620,{0;0.01;0.1;1;10;100},{"Muy baja";"Muy baja";"Baja";"Media";"Alta";"Muy alta"}),"")</f>
        <v/>
      </c>
      <c r="X620" s="31">
        <f>IFERROR(VLOOKUP(V620,MgFrec,2,0),0)</f>
        <v/>
      </c>
      <c r="Y620" s="30">
        <f>T620*X620</f>
        <v/>
      </c>
      <c r="Z620" s="28">
        <f>IFERROR(LOOKUP(Y620,{0;0.5;5;25},{"Bajo";"Medio";"Alto";"Crítico"}),"")</f>
        <v/>
      </c>
      <c r="AA620" s="64">
        <f>IF(T620&gt;=3,IF(X620&gt;=1,"Zona 1 — Crítica: impacto alto y ocurre al menos una vez al año","Zona 4 — Catastrófica poco probable: impacto alto pero excepcional"),IF(AND(T620&lt;1.5,X620&lt;1),"Zona 3 — Asumible: impacto bajo y muy poco frecuente","Zona 2 — Atención: riesgo intermedio"))</f>
        <v/>
      </c>
      <c r="AB620" s="64">
        <f>IFERROR(INDEX(MgAmenCtrl,MATCH(SUBSTITUTE($H620,"*","-"),MgAmenClave,0)),"")</f>
        <v/>
      </c>
      <c r="AC620" s="20" t="n"/>
      <c r="AD620" s="31">
        <f>IFERROR($X620*(1-IF($AC620="",$AL620,VLOOKUP($AC620,MgMad,2,0))),"")</f>
        <v/>
      </c>
      <c r="AE620" s="28">
        <f>IFERROR(LOOKUP(AD620,{0;0.01;0.1;1;10;100},{"Muy baja";"Muy baja";"Baja";"Media";"Alta";"Muy alta"}),"")</f>
        <v/>
      </c>
      <c r="AF620" s="30">
        <f>T620*AD620</f>
        <v/>
      </c>
      <c r="AG620" s="28">
        <f>IFERROR(LOOKUP(AF620,{0;0.5;5;25},{"Bajo";"Medio";"Alto";"Crítico"}),"")</f>
        <v/>
      </c>
      <c r="AH620" s="28">
        <f>IF(AG620="","",IF(OR(AG620="Crítico",AG620="Alto"),"Mitigar",IF(AG620="Medio","Mitigar","Aceptar y monitorear")))</f>
        <v/>
      </c>
      <c r="AI620" s="21" t="n"/>
      <c r="AJ620" s="21" t="n"/>
      <c r="AK620" s="20" t="n"/>
      <c r="AL620" s="77">
        <f>IFERROR(INDEX(MgAmenEfic,MATCH(SUBSTITUTE($H620,"*","-"),MgAmenClave,0)),0)</f>
        <v/>
      </c>
    </row>
    <row r="621" hidden="1" ht="60" customHeight="1" s="54">
      <c r="B621" s="59" t="inlineStr">
        <is>
          <t>R-0616</t>
        </is>
      </c>
      <c r="C621" s="59" t="inlineStr">
        <is>
          <t>COM-05</t>
        </is>
      </c>
      <c r="D621" s="64">
        <f>IFERROR(INDEX(MgNombre,MATCH($C621,MgActId,0)),"")</f>
        <v/>
      </c>
      <c r="E621" s="64">
        <f>IFERROR(INDEX(MgProceso,MATCH($C621,MgActId,0)),"")</f>
        <v/>
      </c>
      <c r="F621" s="64">
        <f>IFERROR(INDEX(MgTipo,MATCH($C621,MgActId,0)),"")</f>
        <v/>
      </c>
      <c r="G621" s="64">
        <f>IFERROR(INDEX(MgSubtipo,MATCH($C621,MgActId,0)),"")</f>
        <v/>
      </c>
      <c r="H621" s="59" t="inlineStr">
        <is>
          <t>A.18</t>
        </is>
      </c>
      <c r="I621" s="64">
        <f>IFERROR(INDEX(MgAmenNombre,MATCH(SUBSTITUTE($H621,"*","-"),MgAmenClave,0)),"")</f>
        <v/>
      </c>
      <c r="J621" s="28">
        <f>IFERROR(INDEX(MgAmenGrupo,MATCH(SUBSTITUTE($H621,"*","-"),MgAmenClave,0)),"")</f>
        <v/>
      </c>
      <c r="K621" s="64">
        <f>IFERROR(INDEX('1. Matriz de Activos'!$Q$6:$Q$239,MATCH($C621,MgActId,0)),"")</f>
        <v/>
      </c>
      <c r="L621" s="64">
        <f>IFERROR(INDEX('1. Matriz de Activos'!$R$6:$R$239,MATCH($C621,MgActId,0)),"")</f>
        <v/>
      </c>
      <c r="M621" s="64">
        <f>IFERROR(INDEX('1. Matriz de Activos'!$S$6:$S$239,MATCH($C621,MgActId,0)),"")</f>
        <v/>
      </c>
      <c r="N621" s="28">
        <f>IFERROR(INDEX(MgAmenDegD,MATCH(SUBSTITUTE($H621,"*","-"),MgAmenClave,0)),"No aplica")</f>
        <v/>
      </c>
      <c r="O621" s="28">
        <f>IFERROR(INDEX(MgAmenDegI,MATCH(SUBSTITUTE($H621,"*","-"),MgAmenClave,0)),"No aplica")</f>
        <v/>
      </c>
      <c r="P621" s="28">
        <f>IFERROR(INDEX(MgAmenDegC,MATCH(SUBSTITUTE($H621,"*","-"),MgAmenClave,0)),"No aplica")</f>
        <v/>
      </c>
      <c r="Q621" s="29">
        <f>IFERROR(VLOOKUP(K621,MgValor,2,0)*VLOOKUP(N621,MgDeg,2,0),0)</f>
        <v/>
      </c>
      <c r="R621" s="29">
        <f>IFERROR(VLOOKUP(L621,MgValor,2,0)*VLOOKUP(O621,MgDeg,2,0),0)</f>
        <v/>
      </c>
      <c r="S621" s="29">
        <f>IFERROR(VLOOKUP(M621,MgValor,2,0)*VLOOKUP(P621,MgDeg,2,0),0)</f>
        <v/>
      </c>
      <c r="T621" s="30">
        <f>MAX(Q621:S621)</f>
        <v/>
      </c>
      <c r="U621" s="28">
        <f>IFERROR(LOOKUP(T621,{0;0.5;1.5;3;4.5},{"Despreciable";"Bajo";"Medio";"Alto";"Muy alto"}),"")</f>
        <v/>
      </c>
      <c r="V621" s="13">
        <f>IFERROR(INDEX(MgAmenFrec,MATCH(SUBSTITUTE($H621,"*","-"),MgAmenClave,0)),"")</f>
        <v/>
      </c>
      <c r="W621" s="28">
        <f>IFERROR(LOOKUP(X621,{0;0.01;0.1;1;10;100},{"Muy baja";"Muy baja";"Baja";"Media";"Alta";"Muy alta"}),"")</f>
        <v/>
      </c>
      <c r="X621" s="31">
        <f>IFERROR(VLOOKUP(V621,MgFrec,2,0),0)</f>
        <v/>
      </c>
      <c r="Y621" s="30">
        <f>T621*X621</f>
        <v/>
      </c>
      <c r="Z621" s="28">
        <f>IFERROR(LOOKUP(Y621,{0;0.5;5;25},{"Bajo";"Medio";"Alto";"Crítico"}),"")</f>
        <v/>
      </c>
      <c r="AA621" s="64">
        <f>IF(T621&gt;=3,IF(X621&gt;=1,"Zona 1 — Crítica: impacto alto y ocurre al menos una vez al año","Zona 4 — Catastrófica poco probable: impacto alto pero excepcional"),IF(AND(T621&lt;1.5,X621&lt;1),"Zona 3 — Asumible: impacto bajo y muy poco frecuente","Zona 2 — Atención: riesgo intermedio"))</f>
        <v/>
      </c>
      <c r="AB621" s="64">
        <f>IFERROR(INDEX(MgAmenCtrl,MATCH(SUBSTITUTE($H621,"*","-"),MgAmenClave,0)),"")</f>
        <v/>
      </c>
      <c r="AC621" s="20" t="n"/>
      <c r="AD621" s="31">
        <f>IFERROR($X621*(1-IF($AC621="",$AL621,VLOOKUP($AC621,MgMad,2,0))),"")</f>
        <v/>
      </c>
      <c r="AE621" s="28">
        <f>IFERROR(LOOKUP(AD621,{0;0.01;0.1;1;10;100},{"Muy baja";"Muy baja";"Baja";"Media";"Alta";"Muy alta"}),"")</f>
        <v/>
      </c>
      <c r="AF621" s="30">
        <f>T621*AD621</f>
        <v/>
      </c>
      <c r="AG621" s="28">
        <f>IFERROR(LOOKUP(AF621,{0;0.5;5;25},{"Bajo";"Medio";"Alto";"Crítico"}),"")</f>
        <v/>
      </c>
      <c r="AH621" s="28">
        <f>IF(AG621="","",IF(OR(AG621="Crítico",AG621="Alto"),"Mitigar",IF(AG621="Medio","Mitigar","Aceptar y monitorear")))</f>
        <v/>
      </c>
      <c r="AI621" s="21" t="n"/>
      <c r="AJ621" s="21" t="n"/>
      <c r="AK621" s="20" t="n"/>
      <c r="AL621" s="77">
        <f>IFERROR(INDEX(MgAmenEfic,MATCH(SUBSTITUTE($H621,"*","-"),MgAmenClave,0)),0)</f>
        <v/>
      </c>
    </row>
    <row r="622" hidden="1" ht="120" customHeight="1" s="54">
      <c r="B622" s="59" t="inlineStr">
        <is>
          <t>R-0617</t>
        </is>
      </c>
      <c r="C622" s="59" t="inlineStr">
        <is>
          <t>COM-05</t>
        </is>
      </c>
      <c r="D622" s="64">
        <f>IFERROR(INDEX(MgNombre,MATCH($C622,MgActId,0)),"")</f>
        <v/>
      </c>
      <c r="E622" s="64">
        <f>IFERROR(INDEX(MgProceso,MATCH($C622,MgActId,0)),"")</f>
        <v/>
      </c>
      <c r="F622" s="64">
        <f>IFERROR(INDEX(MgTipo,MATCH($C622,MgActId,0)),"")</f>
        <v/>
      </c>
      <c r="G622" s="64">
        <f>IFERROR(INDEX(MgSubtipo,MATCH($C622,MgActId,0)),"")</f>
        <v/>
      </c>
      <c r="H622" s="59" t="inlineStr">
        <is>
          <t>A.19</t>
        </is>
      </c>
      <c r="I622" s="64">
        <f>IFERROR(INDEX(MgAmenNombre,MATCH(SUBSTITUTE($H622,"*","-"),MgAmenClave,0)),"")</f>
        <v/>
      </c>
      <c r="J622" s="28">
        <f>IFERROR(INDEX(MgAmenGrupo,MATCH(SUBSTITUTE($H622,"*","-"),MgAmenClave,0)),"")</f>
        <v/>
      </c>
      <c r="K622" s="64">
        <f>IFERROR(INDEX('1. Matriz de Activos'!$Q$6:$Q$239,MATCH($C622,MgActId,0)),"")</f>
        <v/>
      </c>
      <c r="L622" s="64">
        <f>IFERROR(INDEX('1. Matriz de Activos'!$R$6:$R$239,MATCH($C622,MgActId,0)),"")</f>
        <v/>
      </c>
      <c r="M622" s="64">
        <f>IFERROR(INDEX('1. Matriz de Activos'!$S$6:$S$239,MATCH($C622,MgActId,0)),"")</f>
        <v/>
      </c>
      <c r="N622" s="28">
        <f>IFERROR(INDEX(MgAmenDegD,MATCH(SUBSTITUTE($H622,"*","-"),MgAmenClave,0)),"No aplica")</f>
        <v/>
      </c>
      <c r="O622" s="28">
        <f>IFERROR(INDEX(MgAmenDegI,MATCH(SUBSTITUTE($H622,"*","-"),MgAmenClave,0)),"No aplica")</f>
        <v/>
      </c>
      <c r="P622" s="28">
        <f>IFERROR(INDEX(MgAmenDegC,MATCH(SUBSTITUTE($H622,"*","-"),MgAmenClave,0)),"No aplica")</f>
        <v/>
      </c>
      <c r="Q622" s="29">
        <f>IFERROR(VLOOKUP(K622,MgValor,2,0)*VLOOKUP(N622,MgDeg,2,0),0)</f>
        <v/>
      </c>
      <c r="R622" s="29">
        <f>IFERROR(VLOOKUP(L622,MgValor,2,0)*VLOOKUP(O622,MgDeg,2,0),0)</f>
        <v/>
      </c>
      <c r="S622" s="29">
        <f>IFERROR(VLOOKUP(M622,MgValor,2,0)*VLOOKUP(P622,MgDeg,2,0),0)</f>
        <v/>
      </c>
      <c r="T622" s="30">
        <f>MAX(Q622:S622)</f>
        <v/>
      </c>
      <c r="U622" s="28">
        <f>IFERROR(LOOKUP(T622,{0;0.5;1.5;3;4.5},{"Despreciable";"Bajo";"Medio";"Alto";"Muy alto"}),"")</f>
        <v/>
      </c>
      <c r="V622" s="13">
        <f>IFERROR(INDEX(MgAmenFrec,MATCH(SUBSTITUTE($H622,"*","-"),MgAmenClave,0)),"")</f>
        <v/>
      </c>
      <c r="W622" s="28">
        <f>IFERROR(LOOKUP(X622,{0;0.01;0.1;1;10;100},{"Muy baja";"Muy baja";"Baja";"Media";"Alta";"Muy alta"}),"")</f>
        <v/>
      </c>
      <c r="X622" s="31">
        <f>IFERROR(VLOOKUP(V622,MgFrec,2,0),0)</f>
        <v/>
      </c>
      <c r="Y622" s="30">
        <f>T622*X622</f>
        <v/>
      </c>
      <c r="Z622" s="28">
        <f>IFERROR(LOOKUP(Y622,{0;0.5;5;25},{"Bajo";"Medio";"Alto";"Crítico"}),"")</f>
        <v/>
      </c>
      <c r="AA622" s="64">
        <f>IF(T622&gt;=3,IF(X622&gt;=1,"Zona 1 — Crítica: impacto alto y ocurre al menos una vez al año","Zona 4 — Catastrófica poco probable: impacto alto pero excepcional"),IF(AND(T622&lt;1.5,X622&lt;1),"Zona 3 — Asumible: impacto bajo y muy poco frecuente","Zona 2 — Atención: riesgo intermedio"))</f>
        <v/>
      </c>
      <c r="AB622" s="64">
        <f>IFERROR(INDEX(MgAmenCtrl,MATCH(SUBSTITUTE($H622,"*","-"),MgAmenClave,0)),"")</f>
        <v/>
      </c>
      <c r="AC622" s="20" t="n"/>
      <c r="AD622" s="31">
        <f>IFERROR($X622*(1-IF($AC622="",$AL622,VLOOKUP($AC622,MgMad,2,0))),"")</f>
        <v/>
      </c>
      <c r="AE622" s="28">
        <f>IFERROR(LOOKUP(AD622,{0;0.01;0.1;1;10;100},{"Muy baja";"Muy baja";"Baja";"Media";"Alta";"Muy alta"}),"")</f>
        <v/>
      </c>
      <c r="AF622" s="30">
        <f>T622*AD622</f>
        <v/>
      </c>
      <c r="AG622" s="28">
        <f>IFERROR(LOOKUP(AF622,{0;0.5;5;25},{"Bajo";"Medio";"Alto";"Crítico"}),"")</f>
        <v/>
      </c>
      <c r="AH622" s="28">
        <f>IF(AG622="","",IF(OR(AG622="Crítico",AG622="Alto"),"Mitigar",IF(AG622="Medio","Mitigar","Aceptar y monitorear")))</f>
        <v/>
      </c>
      <c r="AI622" s="21" t="n"/>
      <c r="AJ622" s="21" t="n"/>
      <c r="AK622" s="20" t="n"/>
      <c r="AL622" s="77">
        <f>IFERROR(INDEX(MgAmenEfic,MATCH(SUBSTITUTE($H622,"*","-"),MgAmenClave,0)),0)</f>
        <v/>
      </c>
    </row>
    <row r="623" hidden="1" ht="105" customHeight="1" s="54">
      <c r="B623" s="59" t="inlineStr">
        <is>
          <t>R-0618</t>
        </is>
      </c>
      <c r="C623" s="59" t="inlineStr">
        <is>
          <t>LCO-06</t>
        </is>
      </c>
      <c r="D623" s="64">
        <f>IFERROR(INDEX(MgNombre,MATCH($C623,MgActId,0)),"")</f>
        <v/>
      </c>
      <c r="E623" s="64">
        <f>IFERROR(INDEX(MgProceso,MATCH($C623,MgActId,0)),"")</f>
        <v/>
      </c>
      <c r="F623" s="64">
        <f>IFERROR(INDEX(MgTipo,MATCH($C623,MgActId,0)),"")</f>
        <v/>
      </c>
      <c r="G623" s="64">
        <f>IFERROR(INDEX(MgSubtipo,MATCH($C623,MgActId,0)),"")</f>
        <v/>
      </c>
      <c r="H623" s="59" t="inlineStr">
        <is>
          <t>E.1</t>
        </is>
      </c>
      <c r="I623" s="64">
        <f>IFERROR(INDEX(MgAmenNombre,MATCH(SUBSTITUTE($H623,"*","-"),MgAmenClave,0)),"")</f>
        <v/>
      </c>
      <c r="J623" s="28">
        <f>IFERROR(INDEX(MgAmenGrupo,MATCH(SUBSTITUTE($H623,"*","-"),MgAmenClave,0)),"")</f>
        <v/>
      </c>
      <c r="K623" s="64">
        <f>IFERROR(INDEX('1. Matriz de Activos'!$Q$6:$Q$239,MATCH($C623,MgActId,0)),"")</f>
        <v/>
      </c>
      <c r="L623" s="64">
        <f>IFERROR(INDEX('1. Matriz de Activos'!$R$6:$R$239,MATCH($C623,MgActId,0)),"")</f>
        <v/>
      </c>
      <c r="M623" s="64">
        <f>IFERROR(INDEX('1. Matriz de Activos'!$S$6:$S$239,MATCH($C623,MgActId,0)),"")</f>
        <v/>
      </c>
      <c r="N623" s="28">
        <f>IFERROR(INDEX(MgAmenDegD,MATCH(SUBSTITUTE($H623,"*","-"),MgAmenClave,0)),"No aplica")</f>
        <v/>
      </c>
      <c r="O623" s="28">
        <f>IFERROR(INDEX(MgAmenDegI,MATCH(SUBSTITUTE($H623,"*","-"),MgAmenClave,0)),"No aplica")</f>
        <v/>
      </c>
      <c r="P623" s="28">
        <f>IFERROR(INDEX(MgAmenDegC,MATCH(SUBSTITUTE($H623,"*","-"),MgAmenClave,0)),"No aplica")</f>
        <v/>
      </c>
      <c r="Q623" s="29">
        <f>IFERROR(VLOOKUP(K623,MgValor,2,0)*VLOOKUP(N623,MgDeg,2,0),0)</f>
        <v/>
      </c>
      <c r="R623" s="29">
        <f>IFERROR(VLOOKUP(L623,MgValor,2,0)*VLOOKUP(O623,MgDeg,2,0),0)</f>
        <v/>
      </c>
      <c r="S623" s="29">
        <f>IFERROR(VLOOKUP(M623,MgValor,2,0)*VLOOKUP(P623,MgDeg,2,0),0)</f>
        <v/>
      </c>
      <c r="T623" s="30">
        <f>MAX(Q623:S623)</f>
        <v/>
      </c>
      <c r="U623" s="28">
        <f>IFERROR(LOOKUP(T623,{0;0.5;1.5;3;4.5},{"Despreciable";"Bajo";"Medio";"Alto";"Muy alto"}),"")</f>
        <v/>
      </c>
      <c r="V623" s="13">
        <f>IFERROR(INDEX(MgAmenFrec,MATCH(SUBSTITUTE($H623,"*","-"),MgAmenClave,0)),"")</f>
        <v/>
      </c>
      <c r="W623" s="28">
        <f>IFERROR(LOOKUP(X623,{0;0.01;0.1;1;10;100},{"Muy baja";"Muy baja";"Baja";"Media";"Alta";"Muy alta"}),"")</f>
        <v/>
      </c>
      <c r="X623" s="31">
        <f>IFERROR(VLOOKUP(V623,MgFrec,2,0),0)</f>
        <v/>
      </c>
      <c r="Y623" s="30">
        <f>T623*X623</f>
        <v/>
      </c>
      <c r="Z623" s="28">
        <f>IFERROR(LOOKUP(Y623,{0;0.5;5;25},{"Bajo";"Medio";"Alto";"Crítico"}),"")</f>
        <v/>
      </c>
      <c r="AA623" s="64">
        <f>IF(T623&gt;=3,IF(X623&gt;=1,"Zona 1 — Crítica: impacto alto y ocurre al menos una vez al año","Zona 4 — Catastrófica poco probable: impacto alto pero excepcional"),IF(AND(T623&lt;1.5,X623&lt;1),"Zona 3 — Asumible: impacto bajo y muy poco frecuente","Zona 2 — Atención: riesgo intermedio"))</f>
        <v/>
      </c>
      <c r="AB623" s="64">
        <f>IFERROR(INDEX(MgAmenCtrl,MATCH(SUBSTITUTE($H623,"*","-"),MgAmenClave,0)),"")</f>
        <v/>
      </c>
      <c r="AC623" s="20" t="n"/>
      <c r="AD623" s="31">
        <f>IFERROR($X623*(1-IF($AC623="",$AL623,VLOOKUP($AC623,MgMad,2,0))),"")</f>
        <v/>
      </c>
      <c r="AE623" s="28">
        <f>IFERROR(LOOKUP(AD623,{0;0.01;0.1;1;10;100},{"Muy baja";"Muy baja";"Baja";"Media";"Alta";"Muy alta"}),"")</f>
        <v/>
      </c>
      <c r="AF623" s="30">
        <f>T623*AD623</f>
        <v/>
      </c>
      <c r="AG623" s="28">
        <f>IFERROR(LOOKUP(AF623,{0;0.5;5;25},{"Bajo";"Medio";"Alto";"Crítico"}),"")</f>
        <v/>
      </c>
      <c r="AH623" s="28">
        <f>IF(AG623="","",IF(OR(AG623="Crítico",AG623="Alto"),"Mitigar",IF(AG623="Medio","Mitigar","Aceptar y monitorear")))</f>
        <v/>
      </c>
      <c r="AI623" s="21" t="n"/>
      <c r="AJ623" s="21" t="n"/>
      <c r="AK623" s="20" t="n"/>
      <c r="AL623" s="77">
        <f>IFERROR(INDEX(MgAmenEfic,MATCH(SUBSTITUTE($H623,"*","-"),MgAmenClave,0)),0)</f>
        <v/>
      </c>
    </row>
    <row r="624" hidden="1" ht="120" customHeight="1" s="54">
      <c r="B624" s="59" t="inlineStr">
        <is>
          <t>R-0619</t>
        </is>
      </c>
      <c r="C624" s="59" t="inlineStr">
        <is>
          <t>LCO-06</t>
        </is>
      </c>
      <c r="D624" s="64">
        <f>IFERROR(INDEX(MgNombre,MATCH($C624,MgActId,0)),"")</f>
        <v/>
      </c>
      <c r="E624" s="64">
        <f>IFERROR(INDEX(MgProceso,MATCH($C624,MgActId,0)),"")</f>
        <v/>
      </c>
      <c r="F624" s="64">
        <f>IFERROR(INDEX(MgTipo,MATCH($C624,MgActId,0)),"")</f>
        <v/>
      </c>
      <c r="G624" s="64">
        <f>IFERROR(INDEX(MgSubtipo,MATCH($C624,MgActId,0)),"")</f>
        <v/>
      </c>
      <c r="H624" s="59" t="inlineStr">
        <is>
          <t>E.2</t>
        </is>
      </c>
      <c r="I624" s="64">
        <f>IFERROR(INDEX(MgAmenNombre,MATCH(SUBSTITUTE($H624,"*","-"),MgAmenClave,0)),"")</f>
        <v/>
      </c>
      <c r="J624" s="28">
        <f>IFERROR(INDEX(MgAmenGrupo,MATCH(SUBSTITUTE($H624,"*","-"),MgAmenClave,0)),"")</f>
        <v/>
      </c>
      <c r="K624" s="64">
        <f>IFERROR(INDEX('1. Matriz de Activos'!$Q$6:$Q$239,MATCH($C624,MgActId,0)),"")</f>
        <v/>
      </c>
      <c r="L624" s="64">
        <f>IFERROR(INDEX('1. Matriz de Activos'!$R$6:$R$239,MATCH($C624,MgActId,0)),"")</f>
        <v/>
      </c>
      <c r="M624" s="64">
        <f>IFERROR(INDEX('1. Matriz de Activos'!$S$6:$S$239,MATCH($C624,MgActId,0)),"")</f>
        <v/>
      </c>
      <c r="N624" s="28">
        <f>IFERROR(INDEX(MgAmenDegD,MATCH(SUBSTITUTE($H624,"*","-"),MgAmenClave,0)),"No aplica")</f>
        <v/>
      </c>
      <c r="O624" s="28">
        <f>IFERROR(INDEX(MgAmenDegI,MATCH(SUBSTITUTE($H624,"*","-"),MgAmenClave,0)),"No aplica")</f>
        <v/>
      </c>
      <c r="P624" s="28">
        <f>IFERROR(INDEX(MgAmenDegC,MATCH(SUBSTITUTE($H624,"*","-"),MgAmenClave,0)),"No aplica")</f>
        <v/>
      </c>
      <c r="Q624" s="29">
        <f>IFERROR(VLOOKUP(K624,MgValor,2,0)*VLOOKUP(N624,MgDeg,2,0),0)</f>
        <v/>
      </c>
      <c r="R624" s="29">
        <f>IFERROR(VLOOKUP(L624,MgValor,2,0)*VLOOKUP(O624,MgDeg,2,0),0)</f>
        <v/>
      </c>
      <c r="S624" s="29">
        <f>IFERROR(VLOOKUP(M624,MgValor,2,0)*VLOOKUP(P624,MgDeg,2,0),0)</f>
        <v/>
      </c>
      <c r="T624" s="30">
        <f>MAX(Q624:S624)</f>
        <v/>
      </c>
      <c r="U624" s="28">
        <f>IFERROR(LOOKUP(T624,{0;0.5;1.5;3;4.5},{"Despreciable";"Bajo";"Medio";"Alto";"Muy alto"}),"")</f>
        <v/>
      </c>
      <c r="V624" s="13">
        <f>IFERROR(INDEX(MgAmenFrec,MATCH(SUBSTITUTE($H624,"*","-"),MgAmenClave,0)),"")</f>
        <v/>
      </c>
      <c r="W624" s="28">
        <f>IFERROR(LOOKUP(X624,{0;0.01;0.1;1;10;100},{"Muy baja";"Muy baja";"Baja";"Media";"Alta";"Muy alta"}),"")</f>
        <v/>
      </c>
      <c r="X624" s="31">
        <f>IFERROR(VLOOKUP(V624,MgFrec,2,0),0)</f>
        <v/>
      </c>
      <c r="Y624" s="30">
        <f>T624*X624</f>
        <v/>
      </c>
      <c r="Z624" s="28">
        <f>IFERROR(LOOKUP(Y624,{0;0.5;5;25},{"Bajo";"Medio";"Alto";"Crítico"}),"")</f>
        <v/>
      </c>
      <c r="AA624" s="64">
        <f>IF(T624&gt;=3,IF(X624&gt;=1,"Zona 1 — Crítica: impacto alto y ocurre al menos una vez al año","Zona 4 — Catastrófica poco probable: impacto alto pero excepcional"),IF(AND(T624&lt;1.5,X624&lt;1),"Zona 3 — Asumible: impacto bajo y muy poco frecuente","Zona 2 — Atención: riesgo intermedio"))</f>
        <v/>
      </c>
      <c r="AB624" s="64">
        <f>IFERROR(INDEX(MgAmenCtrl,MATCH(SUBSTITUTE($H624,"*","-"),MgAmenClave,0)),"")</f>
        <v/>
      </c>
      <c r="AC624" s="20" t="n"/>
      <c r="AD624" s="31">
        <f>IFERROR($X624*(1-IF($AC624="",$AL624,VLOOKUP($AC624,MgMad,2,0))),"")</f>
        <v/>
      </c>
      <c r="AE624" s="28">
        <f>IFERROR(LOOKUP(AD624,{0;0.01;0.1;1;10;100},{"Muy baja";"Muy baja";"Baja";"Media";"Alta";"Muy alta"}),"")</f>
        <v/>
      </c>
      <c r="AF624" s="30">
        <f>T624*AD624</f>
        <v/>
      </c>
      <c r="AG624" s="28">
        <f>IFERROR(LOOKUP(AF624,{0;0.5;5;25},{"Bajo";"Medio";"Alto";"Crítico"}),"")</f>
        <v/>
      </c>
      <c r="AH624" s="28">
        <f>IF(AG624="","",IF(OR(AG624="Crítico",AG624="Alto"),"Mitigar",IF(AG624="Medio","Mitigar","Aceptar y monitorear")))</f>
        <v/>
      </c>
      <c r="AI624" s="21" t="n"/>
      <c r="AJ624" s="21" t="n"/>
      <c r="AK624" s="20" t="n"/>
      <c r="AL624" s="77">
        <f>IFERROR(INDEX(MgAmenEfic,MATCH(SUBSTITUTE($H624,"*","-"),MgAmenClave,0)),0)</f>
        <v/>
      </c>
    </row>
    <row r="625" hidden="1" ht="75" customHeight="1" s="54">
      <c r="B625" s="59" t="inlineStr">
        <is>
          <t>R-0620</t>
        </is>
      </c>
      <c r="C625" s="59" t="inlineStr">
        <is>
          <t>LCO-06</t>
        </is>
      </c>
      <c r="D625" s="64">
        <f>IFERROR(INDEX(MgNombre,MATCH($C625,MgActId,0)),"")</f>
        <v/>
      </c>
      <c r="E625" s="64">
        <f>IFERROR(INDEX(MgProceso,MATCH($C625,MgActId,0)),"")</f>
        <v/>
      </c>
      <c r="F625" s="64">
        <f>IFERROR(INDEX(MgTipo,MATCH($C625,MgActId,0)),"")</f>
        <v/>
      </c>
      <c r="G625" s="64">
        <f>IFERROR(INDEX(MgSubtipo,MATCH($C625,MgActId,0)),"")</f>
        <v/>
      </c>
      <c r="H625" s="59" t="inlineStr">
        <is>
          <t>E.3</t>
        </is>
      </c>
      <c r="I625" s="64">
        <f>IFERROR(INDEX(MgAmenNombre,MATCH(SUBSTITUTE($H625,"*","-"),MgAmenClave,0)),"")</f>
        <v/>
      </c>
      <c r="J625" s="28">
        <f>IFERROR(INDEX(MgAmenGrupo,MATCH(SUBSTITUTE($H625,"*","-"),MgAmenClave,0)),"")</f>
        <v/>
      </c>
      <c r="K625" s="64">
        <f>IFERROR(INDEX('1. Matriz de Activos'!$Q$6:$Q$239,MATCH($C625,MgActId,0)),"")</f>
        <v/>
      </c>
      <c r="L625" s="64">
        <f>IFERROR(INDEX('1. Matriz de Activos'!$R$6:$R$239,MATCH($C625,MgActId,0)),"")</f>
        <v/>
      </c>
      <c r="M625" s="64">
        <f>IFERROR(INDEX('1. Matriz de Activos'!$S$6:$S$239,MATCH($C625,MgActId,0)),"")</f>
        <v/>
      </c>
      <c r="N625" s="28">
        <f>IFERROR(INDEX(MgAmenDegD,MATCH(SUBSTITUTE($H625,"*","-"),MgAmenClave,0)),"No aplica")</f>
        <v/>
      </c>
      <c r="O625" s="28">
        <f>IFERROR(INDEX(MgAmenDegI,MATCH(SUBSTITUTE($H625,"*","-"),MgAmenClave,0)),"No aplica")</f>
        <v/>
      </c>
      <c r="P625" s="28">
        <f>IFERROR(INDEX(MgAmenDegC,MATCH(SUBSTITUTE($H625,"*","-"),MgAmenClave,0)),"No aplica")</f>
        <v/>
      </c>
      <c r="Q625" s="29">
        <f>IFERROR(VLOOKUP(K625,MgValor,2,0)*VLOOKUP(N625,MgDeg,2,0),0)</f>
        <v/>
      </c>
      <c r="R625" s="29">
        <f>IFERROR(VLOOKUP(L625,MgValor,2,0)*VLOOKUP(O625,MgDeg,2,0),0)</f>
        <v/>
      </c>
      <c r="S625" s="29">
        <f>IFERROR(VLOOKUP(M625,MgValor,2,0)*VLOOKUP(P625,MgDeg,2,0),0)</f>
        <v/>
      </c>
      <c r="T625" s="30">
        <f>MAX(Q625:S625)</f>
        <v/>
      </c>
      <c r="U625" s="28">
        <f>IFERROR(LOOKUP(T625,{0;0.5;1.5;3;4.5},{"Despreciable";"Bajo";"Medio";"Alto";"Muy alto"}),"")</f>
        <v/>
      </c>
      <c r="V625" s="13">
        <f>IFERROR(INDEX(MgAmenFrec,MATCH(SUBSTITUTE($H625,"*","-"),MgAmenClave,0)),"")</f>
        <v/>
      </c>
      <c r="W625" s="28">
        <f>IFERROR(LOOKUP(X625,{0;0.01;0.1;1;10;100},{"Muy baja";"Muy baja";"Baja";"Media";"Alta";"Muy alta"}),"")</f>
        <v/>
      </c>
      <c r="X625" s="31">
        <f>IFERROR(VLOOKUP(V625,MgFrec,2,0),0)</f>
        <v/>
      </c>
      <c r="Y625" s="30">
        <f>T625*X625</f>
        <v/>
      </c>
      <c r="Z625" s="28">
        <f>IFERROR(LOOKUP(Y625,{0;0.5;5;25},{"Bajo";"Medio";"Alto";"Crítico"}),"")</f>
        <v/>
      </c>
      <c r="AA625" s="64">
        <f>IF(T625&gt;=3,IF(X625&gt;=1,"Zona 1 — Crítica: impacto alto y ocurre al menos una vez al año","Zona 4 — Catastrófica poco probable: impacto alto pero excepcional"),IF(AND(T625&lt;1.5,X625&lt;1),"Zona 3 — Asumible: impacto bajo y muy poco frecuente","Zona 2 — Atención: riesgo intermedio"))</f>
        <v/>
      </c>
      <c r="AB625" s="64">
        <f>IFERROR(INDEX(MgAmenCtrl,MATCH(SUBSTITUTE($H625,"*","-"),MgAmenClave,0)),"")</f>
        <v/>
      </c>
      <c r="AC625" s="20" t="n"/>
      <c r="AD625" s="31">
        <f>IFERROR($X625*(1-IF($AC625="",$AL625,VLOOKUP($AC625,MgMad,2,0))),"")</f>
        <v/>
      </c>
      <c r="AE625" s="28">
        <f>IFERROR(LOOKUP(AD625,{0;0.01;0.1;1;10;100},{"Muy baja";"Muy baja";"Baja";"Media";"Alta";"Muy alta"}),"")</f>
        <v/>
      </c>
      <c r="AF625" s="30">
        <f>T625*AD625</f>
        <v/>
      </c>
      <c r="AG625" s="28">
        <f>IFERROR(LOOKUP(AF625,{0;0.5;5;25},{"Bajo";"Medio";"Alto";"Crítico"}),"")</f>
        <v/>
      </c>
      <c r="AH625" s="28">
        <f>IF(AG625="","",IF(OR(AG625="Crítico",AG625="Alto"),"Mitigar",IF(AG625="Medio","Mitigar","Aceptar y monitorear")))</f>
        <v/>
      </c>
      <c r="AI625" s="21" t="n"/>
      <c r="AJ625" s="21" t="n"/>
      <c r="AK625" s="20" t="n"/>
      <c r="AL625" s="77">
        <f>IFERROR(INDEX(MgAmenEfic,MATCH(SUBSTITUTE($H625,"*","-"),MgAmenClave,0)),0)</f>
        <v/>
      </c>
    </row>
    <row r="626" hidden="1" ht="75" customHeight="1" s="54">
      <c r="B626" s="59" t="inlineStr">
        <is>
          <t>R-0621</t>
        </is>
      </c>
      <c r="C626" s="59" t="inlineStr">
        <is>
          <t>LCO-06</t>
        </is>
      </c>
      <c r="D626" s="64">
        <f>IFERROR(INDEX(MgNombre,MATCH($C626,MgActId,0)),"")</f>
        <v/>
      </c>
      <c r="E626" s="64">
        <f>IFERROR(INDEX(MgProceso,MATCH($C626,MgActId,0)),"")</f>
        <v/>
      </c>
      <c r="F626" s="64">
        <f>IFERROR(INDEX(MgTipo,MATCH($C626,MgActId,0)),"")</f>
        <v/>
      </c>
      <c r="G626" s="64">
        <f>IFERROR(INDEX(MgSubtipo,MATCH($C626,MgActId,0)),"")</f>
        <v/>
      </c>
      <c r="H626" s="59" t="inlineStr">
        <is>
          <t>E.4</t>
        </is>
      </c>
      <c r="I626" s="64">
        <f>IFERROR(INDEX(MgAmenNombre,MATCH(SUBSTITUTE($H626,"*","-"),MgAmenClave,0)),"")</f>
        <v/>
      </c>
      <c r="J626" s="28">
        <f>IFERROR(INDEX(MgAmenGrupo,MATCH(SUBSTITUTE($H626,"*","-"),MgAmenClave,0)),"")</f>
        <v/>
      </c>
      <c r="K626" s="64">
        <f>IFERROR(INDEX('1. Matriz de Activos'!$Q$6:$Q$239,MATCH($C626,MgActId,0)),"")</f>
        <v/>
      </c>
      <c r="L626" s="64">
        <f>IFERROR(INDEX('1. Matriz de Activos'!$R$6:$R$239,MATCH($C626,MgActId,0)),"")</f>
        <v/>
      </c>
      <c r="M626" s="64">
        <f>IFERROR(INDEX('1. Matriz de Activos'!$S$6:$S$239,MATCH($C626,MgActId,0)),"")</f>
        <v/>
      </c>
      <c r="N626" s="28">
        <f>IFERROR(INDEX(MgAmenDegD,MATCH(SUBSTITUTE($H626,"*","-"),MgAmenClave,0)),"No aplica")</f>
        <v/>
      </c>
      <c r="O626" s="28">
        <f>IFERROR(INDEX(MgAmenDegI,MATCH(SUBSTITUTE($H626,"*","-"),MgAmenClave,0)),"No aplica")</f>
        <v/>
      </c>
      <c r="P626" s="28">
        <f>IFERROR(INDEX(MgAmenDegC,MATCH(SUBSTITUTE($H626,"*","-"),MgAmenClave,0)),"No aplica")</f>
        <v/>
      </c>
      <c r="Q626" s="29">
        <f>IFERROR(VLOOKUP(K626,MgValor,2,0)*VLOOKUP(N626,MgDeg,2,0),0)</f>
        <v/>
      </c>
      <c r="R626" s="29">
        <f>IFERROR(VLOOKUP(L626,MgValor,2,0)*VLOOKUP(O626,MgDeg,2,0),0)</f>
        <v/>
      </c>
      <c r="S626" s="29">
        <f>IFERROR(VLOOKUP(M626,MgValor,2,0)*VLOOKUP(P626,MgDeg,2,0),0)</f>
        <v/>
      </c>
      <c r="T626" s="30">
        <f>MAX(Q626:S626)</f>
        <v/>
      </c>
      <c r="U626" s="28">
        <f>IFERROR(LOOKUP(T626,{0;0.5;1.5;3;4.5},{"Despreciable";"Bajo";"Medio";"Alto";"Muy alto"}),"")</f>
        <v/>
      </c>
      <c r="V626" s="13">
        <f>IFERROR(INDEX(MgAmenFrec,MATCH(SUBSTITUTE($H626,"*","-"),MgAmenClave,0)),"")</f>
        <v/>
      </c>
      <c r="W626" s="28">
        <f>IFERROR(LOOKUP(X626,{0;0.01;0.1;1;10;100},{"Muy baja";"Muy baja";"Baja";"Media";"Alta";"Muy alta"}),"")</f>
        <v/>
      </c>
      <c r="X626" s="31">
        <f>IFERROR(VLOOKUP(V626,MgFrec,2,0),0)</f>
        <v/>
      </c>
      <c r="Y626" s="30">
        <f>T626*X626</f>
        <v/>
      </c>
      <c r="Z626" s="28">
        <f>IFERROR(LOOKUP(Y626,{0;0.5;5;25},{"Bajo";"Medio";"Alto";"Crítico"}),"")</f>
        <v/>
      </c>
      <c r="AA626" s="64">
        <f>IF(T626&gt;=3,IF(X626&gt;=1,"Zona 1 — Crítica: impacto alto y ocurre al menos una vez al año","Zona 4 — Catastrófica poco probable: impacto alto pero excepcional"),IF(AND(T626&lt;1.5,X626&lt;1),"Zona 3 — Asumible: impacto bajo y muy poco frecuente","Zona 2 — Atención: riesgo intermedio"))</f>
        <v/>
      </c>
      <c r="AB626" s="64">
        <f>IFERROR(INDEX(MgAmenCtrl,MATCH(SUBSTITUTE($H626,"*","-"),MgAmenClave,0)),"")</f>
        <v/>
      </c>
      <c r="AC626" s="20" t="n"/>
      <c r="AD626" s="31">
        <f>IFERROR($X626*(1-IF($AC626="",$AL626,VLOOKUP($AC626,MgMad,2,0))),"")</f>
        <v/>
      </c>
      <c r="AE626" s="28">
        <f>IFERROR(LOOKUP(AD626,{0;0.01;0.1;1;10;100},{"Muy baja";"Muy baja";"Baja";"Media";"Alta";"Muy alta"}),"")</f>
        <v/>
      </c>
      <c r="AF626" s="30">
        <f>T626*AD626</f>
        <v/>
      </c>
      <c r="AG626" s="28">
        <f>IFERROR(LOOKUP(AF626,{0;0.5;5;25},{"Bajo";"Medio";"Alto";"Crítico"}),"")</f>
        <v/>
      </c>
      <c r="AH626" s="28">
        <f>IF(AG626="","",IF(OR(AG626="Crítico",AG626="Alto"),"Mitigar",IF(AG626="Medio","Mitigar","Aceptar y monitorear")))</f>
        <v/>
      </c>
      <c r="AI626" s="21" t="n"/>
      <c r="AJ626" s="21" t="n"/>
      <c r="AK626" s="20" t="n"/>
      <c r="AL626" s="77">
        <f>IFERROR(INDEX(MgAmenEfic,MATCH(SUBSTITUTE($H626,"*","-"),MgAmenClave,0)),0)</f>
        <v/>
      </c>
    </row>
    <row r="627" hidden="1" ht="90" customHeight="1" s="54">
      <c r="B627" s="59" t="inlineStr">
        <is>
          <t>R-0622</t>
        </is>
      </c>
      <c r="C627" s="59" t="inlineStr">
        <is>
          <t>LCO-06</t>
        </is>
      </c>
      <c r="D627" s="64">
        <f>IFERROR(INDEX(MgNombre,MATCH($C627,MgActId,0)),"")</f>
        <v/>
      </c>
      <c r="E627" s="64">
        <f>IFERROR(INDEX(MgProceso,MATCH($C627,MgActId,0)),"")</f>
        <v/>
      </c>
      <c r="F627" s="64">
        <f>IFERROR(INDEX(MgTipo,MATCH($C627,MgActId,0)),"")</f>
        <v/>
      </c>
      <c r="G627" s="64">
        <f>IFERROR(INDEX(MgSubtipo,MATCH($C627,MgActId,0)),"")</f>
        <v/>
      </c>
      <c r="H627" s="59" t="inlineStr">
        <is>
          <t>E.14</t>
        </is>
      </c>
      <c r="I627" s="64">
        <f>IFERROR(INDEX(MgAmenNombre,MATCH(SUBSTITUTE($H627,"*","-"),MgAmenClave,0)),"")</f>
        <v/>
      </c>
      <c r="J627" s="28">
        <f>IFERROR(INDEX(MgAmenGrupo,MATCH(SUBSTITUTE($H627,"*","-"),MgAmenClave,0)),"")</f>
        <v/>
      </c>
      <c r="K627" s="64">
        <f>IFERROR(INDEX('1. Matriz de Activos'!$Q$6:$Q$239,MATCH($C627,MgActId,0)),"")</f>
        <v/>
      </c>
      <c r="L627" s="64">
        <f>IFERROR(INDEX('1. Matriz de Activos'!$R$6:$R$239,MATCH($C627,MgActId,0)),"")</f>
        <v/>
      </c>
      <c r="M627" s="64">
        <f>IFERROR(INDEX('1. Matriz de Activos'!$S$6:$S$239,MATCH($C627,MgActId,0)),"")</f>
        <v/>
      </c>
      <c r="N627" s="28">
        <f>IFERROR(INDEX(MgAmenDegD,MATCH(SUBSTITUTE($H627,"*","-"),MgAmenClave,0)),"No aplica")</f>
        <v/>
      </c>
      <c r="O627" s="28">
        <f>IFERROR(INDEX(MgAmenDegI,MATCH(SUBSTITUTE($H627,"*","-"),MgAmenClave,0)),"No aplica")</f>
        <v/>
      </c>
      <c r="P627" s="28">
        <f>IFERROR(INDEX(MgAmenDegC,MATCH(SUBSTITUTE($H627,"*","-"),MgAmenClave,0)),"No aplica")</f>
        <v/>
      </c>
      <c r="Q627" s="29">
        <f>IFERROR(VLOOKUP(K627,MgValor,2,0)*VLOOKUP(N627,MgDeg,2,0),0)</f>
        <v/>
      </c>
      <c r="R627" s="29">
        <f>IFERROR(VLOOKUP(L627,MgValor,2,0)*VLOOKUP(O627,MgDeg,2,0),0)</f>
        <v/>
      </c>
      <c r="S627" s="29">
        <f>IFERROR(VLOOKUP(M627,MgValor,2,0)*VLOOKUP(P627,MgDeg,2,0),0)</f>
        <v/>
      </c>
      <c r="T627" s="30">
        <f>MAX(Q627:S627)</f>
        <v/>
      </c>
      <c r="U627" s="28">
        <f>IFERROR(LOOKUP(T627,{0;0.5;1.5;3;4.5},{"Despreciable";"Bajo";"Medio";"Alto";"Muy alto"}),"")</f>
        <v/>
      </c>
      <c r="V627" s="13">
        <f>IFERROR(INDEX(MgAmenFrec,MATCH(SUBSTITUTE($H627,"*","-"),MgAmenClave,0)),"")</f>
        <v/>
      </c>
      <c r="W627" s="28">
        <f>IFERROR(LOOKUP(X627,{0;0.01;0.1;1;10;100},{"Muy baja";"Muy baja";"Baja";"Media";"Alta";"Muy alta"}),"")</f>
        <v/>
      </c>
      <c r="X627" s="31">
        <f>IFERROR(VLOOKUP(V627,MgFrec,2,0),0)</f>
        <v/>
      </c>
      <c r="Y627" s="30">
        <f>T627*X627</f>
        <v/>
      </c>
      <c r="Z627" s="28">
        <f>IFERROR(LOOKUP(Y627,{0;0.5;5;25},{"Bajo";"Medio";"Alto";"Crítico"}),"")</f>
        <v/>
      </c>
      <c r="AA627" s="64">
        <f>IF(T627&gt;=3,IF(X627&gt;=1,"Zona 1 — Crítica: impacto alto y ocurre al menos una vez al año","Zona 4 — Catastrófica poco probable: impacto alto pero excepcional"),IF(AND(T627&lt;1.5,X627&lt;1),"Zona 3 — Asumible: impacto bajo y muy poco frecuente","Zona 2 — Atención: riesgo intermedio"))</f>
        <v/>
      </c>
      <c r="AB627" s="64">
        <f>IFERROR(INDEX(MgAmenCtrl,MATCH(SUBSTITUTE($H627,"*","-"),MgAmenClave,0)),"")</f>
        <v/>
      </c>
      <c r="AC627" s="20" t="n"/>
      <c r="AD627" s="31">
        <f>IFERROR($X627*(1-IF($AC627="",$AL627,VLOOKUP($AC627,MgMad,2,0))),"")</f>
        <v/>
      </c>
      <c r="AE627" s="28">
        <f>IFERROR(LOOKUP(AD627,{0;0.01;0.1;1;10;100},{"Muy baja";"Muy baja";"Baja";"Media";"Alta";"Muy alta"}),"")</f>
        <v/>
      </c>
      <c r="AF627" s="30">
        <f>T627*AD627</f>
        <v/>
      </c>
      <c r="AG627" s="28">
        <f>IFERROR(LOOKUP(AF627,{0;0.5;5;25},{"Bajo";"Medio";"Alto";"Crítico"}),"")</f>
        <v/>
      </c>
      <c r="AH627" s="28">
        <f>IF(AG627="","",IF(OR(AG627="Crítico",AG627="Alto"),"Mitigar",IF(AG627="Medio","Mitigar","Aceptar y monitorear")))</f>
        <v/>
      </c>
      <c r="AI627" s="21" t="n"/>
      <c r="AJ627" s="21" t="n"/>
      <c r="AK627" s="20" t="n"/>
      <c r="AL627" s="77">
        <f>IFERROR(INDEX(MgAmenEfic,MATCH(SUBSTITUTE($H627,"*","-"),MgAmenClave,0)),0)</f>
        <v/>
      </c>
    </row>
    <row r="628" hidden="1" ht="90" customHeight="1" s="54">
      <c r="B628" s="59" t="inlineStr">
        <is>
          <t>R-0623</t>
        </is>
      </c>
      <c r="C628" s="59" t="inlineStr">
        <is>
          <t>LCO-06</t>
        </is>
      </c>
      <c r="D628" s="64">
        <f>IFERROR(INDEX(MgNombre,MATCH($C628,MgActId,0)),"")</f>
        <v/>
      </c>
      <c r="E628" s="64">
        <f>IFERROR(INDEX(MgProceso,MATCH($C628,MgActId,0)),"")</f>
        <v/>
      </c>
      <c r="F628" s="64">
        <f>IFERROR(INDEX(MgTipo,MATCH($C628,MgActId,0)),"")</f>
        <v/>
      </c>
      <c r="G628" s="64">
        <f>IFERROR(INDEX(MgSubtipo,MATCH($C628,MgActId,0)),"")</f>
        <v/>
      </c>
      <c r="H628" s="59" t="inlineStr">
        <is>
          <t>E.15</t>
        </is>
      </c>
      <c r="I628" s="64">
        <f>IFERROR(INDEX(MgAmenNombre,MATCH(SUBSTITUTE($H628,"*","-"),MgAmenClave,0)),"")</f>
        <v/>
      </c>
      <c r="J628" s="28">
        <f>IFERROR(INDEX(MgAmenGrupo,MATCH(SUBSTITUTE($H628,"*","-"),MgAmenClave,0)),"")</f>
        <v/>
      </c>
      <c r="K628" s="64">
        <f>IFERROR(INDEX('1. Matriz de Activos'!$Q$6:$Q$239,MATCH($C628,MgActId,0)),"")</f>
        <v/>
      </c>
      <c r="L628" s="64">
        <f>IFERROR(INDEX('1. Matriz de Activos'!$R$6:$R$239,MATCH($C628,MgActId,0)),"")</f>
        <v/>
      </c>
      <c r="M628" s="64">
        <f>IFERROR(INDEX('1. Matriz de Activos'!$S$6:$S$239,MATCH($C628,MgActId,0)),"")</f>
        <v/>
      </c>
      <c r="N628" s="28">
        <f>IFERROR(INDEX(MgAmenDegD,MATCH(SUBSTITUTE($H628,"*","-"),MgAmenClave,0)),"No aplica")</f>
        <v/>
      </c>
      <c r="O628" s="28">
        <f>IFERROR(INDEX(MgAmenDegI,MATCH(SUBSTITUTE($H628,"*","-"),MgAmenClave,0)),"No aplica")</f>
        <v/>
      </c>
      <c r="P628" s="28">
        <f>IFERROR(INDEX(MgAmenDegC,MATCH(SUBSTITUTE($H628,"*","-"),MgAmenClave,0)),"No aplica")</f>
        <v/>
      </c>
      <c r="Q628" s="29">
        <f>IFERROR(VLOOKUP(K628,MgValor,2,0)*VLOOKUP(N628,MgDeg,2,0),0)</f>
        <v/>
      </c>
      <c r="R628" s="29">
        <f>IFERROR(VLOOKUP(L628,MgValor,2,0)*VLOOKUP(O628,MgDeg,2,0),0)</f>
        <v/>
      </c>
      <c r="S628" s="29">
        <f>IFERROR(VLOOKUP(M628,MgValor,2,0)*VLOOKUP(P628,MgDeg,2,0),0)</f>
        <v/>
      </c>
      <c r="T628" s="30">
        <f>MAX(Q628:S628)</f>
        <v/>
      </c>
      <c r="U628" s="28">
        <f>IFERROR(LOOKUP(T628,{0;0.5;1.5;3;4.5},{"Despreciable";"Bajo";"Medio";"Alto";"Muy alto"}),"")</f>
        <v/>
      </c>
      <c r="V628" s="13">
        <f>IFERROR(INDEX(MgAmenFrec,MATCH(SUBSTITUTE($H628,"*","-"),MgAmenClave,0)),"")</f>
        <v/>
      </c>
      <c r="W628" s="28">
        <f>IFERROR(LOOKUP(X628,{0;0.01;0.1;1;10;100},{"Muy baja";"Muy baja";"Baja";"Media";"Alta";"Muy alta"}),"")</f>
        <v/>
      </c>
      <c r="X628" s="31">
        <f>IFERROR(VLOOKUP(V628,MgFrec,2,0),0)</f>
        <v/>
      </c>
      <c r="Y628" s="30">
        <f>T628*X628</f>
        <v/>
      </c>
      <c r="Z628" s="28">
        <f>IFERROR(LOOKUP(Y628,{0;0.5;5;25},{"Bajo";"Medio";"Alto";"Crítico"}),"")</f>
        <v/>
      </c>
      <c r="AA628" s="64">
        <f>IF(T628&gt;=3,IF(X628&gt;=1,"Zona 1 — Crítica: impacto alto y ocurre al menos una vez al año","Zona 4 — Catastrófica poco probable: impacto alto pero excepcional"),IF(AND(T628&lt;1.5,X628&lt;1),"Zona 3 — Asumible: impacto bajo y muy poco frecuente","Zona 2 — Atención: riesgo intermedio"))</f>
        <v/>
      </c>
      <c r="AB628" s="64">
        <f>IFERROR(INDEX(MgAmenCtrl,MATCH(SUBSTITUTE($H628,"*","-"),MgAmenClave,0)),"")</f>
        <v/>
      </c>
      <c r="AC628" s="20" t="n"/>
      <c r="AD628" s="31">
        <f>IFERROR($X628*(1-IF($AC628="",$AL628,VLOOKUP($AC628,MgMad,2,0))),"")</f>
        <v/>
      </c>
      <c r="AE628" s="28">
        <f>IFERROR(LOOKUP(AD628,{0;0.01;0.1;1;10;100},{"Muy baja";"Muy baja";"Baja";"Media";"Alta";"Muy alta"}),"")</f>
        <v/>
      </c>
      <c r="AF628" s="30">
        <f>T628*AD628</f>
        <v/>
      </c>
      <c r="AG628" s="28">
        <f>IFERROR(LOOKUP(AF628,{0;0.5;5;25},{"Bajo";"Medio";"Alto";"Crítico"}),"")</f>
        <v/>
      </c>
      <c r="AH628" s="28">
        <f>IF(AG628="","",IF(OR(AG628="Crítico",AG628="Alto"),"Mitigar",IF(AG628="Medio","Mitigar","Aceptar y monitorear")))</f>
        <v/>
      </c>
      <c r="AI628" s="21" t="n"/>
      <c r="AJ628" s="21" t="n"/>
      <c r="AK628" s="20" t="n"/>
      <c r="AL628" s="77">
        <f>IFERROR(INDEX(MgAmenEfic,MATCH(SUBSTITUTE($H628,"*","-"),MgAmenClave,0)),0)</f>
        <v/>
      </c>
    </row>
    <row r="629" hidden="1" ht="60" customHeight="1" s="54">
      <c r="B629" s="59" t="inlineStr">
        <is>
          <t>R-0624</t>
        </is>
      </c>
      <c r="C629" s="59" t="inlineStr">
        <is>
          <t>LCO-06</t>
        </is>
      </c>
      <c r="D629" s="64">
        <f>IFERROR(INDEX(MgNombre,MATCH($C629,MgActId,0)),"")</f>
        <v/>
      </c>
      <c r="E629" s="64">
        <f>IFERROR(INDEX(MgProceso,MATCH($C629,MgActId,0)),"")</f>
        <v/>
      </c>
      <c r="F629" s="64">
        <f>IFERROR(INDEX(MgTipo,MATCH($C629,MgActId,0)),"")</f>
        <v/>
      </c>
      <c r="G629" s="64">
        <f>IFERROR(INDEX(MgSubtipo,MATCH($C629,MgActId,0)),"")</f>
        <v/>
      </c>
      <c r="H629" s="59" t="inlineStr">
        <is>
          <t>E.18</t>
        </is>
      </c>
      <c r="I629" s="64">
        <f>IFERROR(INDEX(MgAmenNombre,MATCH(SUBSTITUTE($H629,"*","-"),MgAmenClave,0)),"")</f>
        <v/>
      </c>
      <c r="J629" s="28">
        <f>IFERROR(INDEX(MgAmenGrupo,MATCH(SUBSTITUTE($H629,"*","-"),MgAmenClave,0)),"")</f>
        <v/>
      </c>
      <c r="K629" s="64">
        <f>IFERROR(INDEX('1. Matriz de Activos'!$Q$6:$Q$239,MATCH($C629,MgActId,0)),"")</f>
        <v/>
      </c>
      <c r="L629" s="64">
        <f>IFERROR(INDEX('1. Matriz de Activos'!$R$6:$R$239,MATCH($C629,MgActId,0)),"")</f>
        <v/>
      </c>
      <c r="M629" s="64">
        <f>IFERROR(INDEX('1. Matriz de Activos'!$S$6:$S$239,MATCH($C629,MgActId,0)),"")</f>
        <v/>
      </c>
      <c r="N629" s="28">
        <f>IFERROR(INDEX(MgAmenDegD,MATCH(SUBSTITUTE($H629,"*","-"),MgAmenClave,0)),"No aplica")</f>
        <v/>
      </c>
      <c r="O629" s="28">
        <f>IFERROR(INDEX(MgAmenDegI,MATCH(SUBSTITUTE($H629,"*","-"),MgAmenClave,0)),"No aplica")</f>
        <v/>
      </c>
      <c r="P629" s="28">
        <f>IFERROR(INDEX(MgAmenDegC,MATCH(SUBSTITUTE($H629,"*","-"),MgAmenClave,0)),"No aplica")</f>
        <v/>
      </c>
      <c r="Q629" s="29">
        <f>IFERROR(VLOOKUP(K629,MgValor,2,0)*VLOOKUP(N629,MgDeg,2,0),0)</f>
        <v/>
      </c>
      <c r="R629" s="29">
        <f>IFERROR(VLOOKUP(L629,MgValor,2,0)*VLOOKUP(O629,MgDeg,2,0),0)</f>
        <v/>
      </c>
      <c r="S629" s="29">
        <f>IFERROR(VLOOKUP(M629,MgValor,2,0)*VLOOKUP(P629,MgDeg,2,0),0)</f>
        <v/>
      </c>
      <c r="T629" s="30">
        <f>MAX(Q629:S629)</f>
        <v/>
      </c>
      <c r="U629" s="28">
        <f>IFERROR(LOOKUP(T629,{0;0.5;1.5;3;4.5},{"Despreciable";"Bajo";"Medio";"Alto";"Muy alto"}),"")</f>
        <v/>
      </c>
      <c r="V629" s="13">
        <f>IFERROR(INDEX(MgAmenFrec,MATCH(SUBSTITUTE($H629,"*","-"),MgAmenClave,0)),"")</f>
        <v/>
      </c>
      <c r="W629" s="28">
        <f>IFERROR(LOOKUP(X629,{0;0.01;0.1;1;10;100},{"Muy baja";"Muy baja";"Baja";"Media";"Alta";"Muy alta"}),"")</f>
        <v/>
      </c>
      <c r="X629" s="31">
        <f>IFERROR(VLOOKUP(V629,MgFrec,2,0),0)</f>
        <v/>
      </c>
      <c r="Y629" s="30">
        <f>T629*X629</f>
        <v/>
      </c>
      <c r="Z629" s="28">
        <f>IFERROR(LOOKUP(Y629,{0;0.5;5;25},{"Bajo";"Medio";"Alto";"Crítico"}),"")</f>
        <v/>
      </c>
      <c r="AA629" s="64">
        <f>IF(T629&gt;=3,IF(X629&gt;=1,"Zona 1 — Crítica: impacto alto y ocurre al menos una vez al año","Zona 4 — Catastrófica poco probable: impacto alto pero excepcional"),IF(AND(T629&lt;1.5,X629&lt;1),"Zona 3 — Asumible: impacto bajo y muy poco frecuente","Zona 2 — Atención: riesgo intermedio"))</f>
        <v/>
      </c>
      <c r="AB629" s="64">
        <f>IFERROR(INDEX(MgAmenCtrl,MATCH(SUBSTITUTE($H629,"*","-"),MgAmenClave,0)),"")</f>
        <v/>
      </c>
      <c r="AC629" s="20" t="n"/>
      <c r="AD629" s="31">
        <f>IFERROR($X629*(1-IF($AC629="",$AL629,VLOOKUP($AC629,MgMad,2,0))),"")</f>
        <v/>
      </c>
      <c r="AE629" s="28">
        <f>IFERROR(LOOKUP(AD629,{0;0.01;0.1;1;10;100},{"Muy baja";"Muy baja";"Baja";"Media";"Alta";"Muy alta"}),"")</f>
        <v/>
      </c>
      <c r="AF629" s="30">
        <f>T629*AD629</f>
        <v/>
      </c>
      <c r="AG629" s="28">
        <f>IFERROR(LOOKUP(AF629,{0;0.5;5;25},{"Bajo";"Medio";"Alto";"Crítico"}),"")</f>
        <v/>
      </c>
      <c r="AH629" s="28">
        <f>IF(AG629="","",IF(OR(AG629="Crítico",AG629="Alto"),"Mitigar",IF(AG629="Medio","Mitigar","Aceptar y monitorear")))</f>
        <v/>
      </c>
      <c r="AI629" s="21" t="n"/>
      <c r="AJ629" s="21" t="n"/>
      <c r="AK629" s="20" t="n"/>
      <c r="AL629" s="77">
        <f>IFERROR(INDEX(MgAmenEfic,MATCH(SUBSTITUTE($H629,"*","-"),MgAmenClave,0)),0)</f>
        <v/>
      </c>
    </row>
    <row r="630" hidden="1" ht="105" customHeight="1" s="54">
      <c r="B630" s="59" t="inlineStr">
        <is>
          <t>R-0625</t>
        </is>
      </c>
      <c r="C630" s="59" t="inlineStr">
        <is>
          <t>LCO-06</t>
        </is>
      </c>
      <c r="D630" s="64">
        <f>IFERROR(INDEX(MgNombre,MATCH($C630,MgActId,0)),"")</f>
        <v/>
      </c>
      <c r="E630" s="64">
        <f>IFERROR(INDEX(MgProceso,MATCH($C630,MgActId,0)),"")</f>
        <v/>
      </c>
      <c r="F630" s="64">
        <f>IFERROR(INDEX(MgTipo,MATCH($C630,MgActId,0)),"")</f>
        <v/>
      </c>
      <c r="G630" s="64">
        <f>IFERROR(INDEX(MgSubtipo,MATCH($C630,MgActId,0)),"")</f>
        <v/>
      </c>
      <c r="H630" s="59" t="inlineStr">
        <is>
          <t>E.19</t>
        </is>
      </c>
      <c r="I630" s="64">
        <f>IFERROR(INDEX(MgAmenNombre,MATCH(SUBSTITUTE($H630,"*","-"),MgAmenClave,0)),"")</f>
        <v/>
      </c>
      <c r="J630" s="28">
        <f>IFERROR(INDEX(MgAmenGrupo,MATCH(SUBSTITUTE($H630,"*","-"),MgAmenClave,0)),"")</f>
        <v/>
      </c>
      <c r="K630" s="64">
        <f>IFERROR(INDEX('1. Matriz de Activos'!$Q$6:$Q$239,MATCH($C630,MgActId,0)),"")</f>
        <v/>
      </c>
      <c r="L630" s="64">
        <f>IFERROR(INDEX('1. Matriz de Activos'!$R$6:$R$239,MATCH($C630,MgActId,0)),"")</f>
        <v/>
      </c>
      <c r="M630" s="64">
        <f>IFERROR(INDEX('1. Matriz de Activos'!$S$6:$S$239,MATCH($C630,MgActId,0)),"")</f>
        <v/>
      </c>
      <c r="N630" s="28">
        <f>IFERROR(INDEX(MgAmenDegD,MATCH(SUBSTITUTE($H630,"*","-"),MgAmenClave,0)),"No aplica")</f>
        <v/>
      </c>
      <c r="O630" s="28">
        <f>IFERROR(INDEX(MgAmenDegI,MATCH(SUBSTITUTE($H630,"*","-"),MgAmenClave,0)),"No aplica")</f>
        <v/>
      </c>
      <c r="P630" s="28">
        <f>IFERROR(INDEX(MgAmenDegC,MATCH(SUBSTITUTE($H630,"*","-"),MgAmenClave,0)),"No aplica")</f>
        <v/>
      </c>
      <c r="Q630" s="29">
        <f>IFERROR(VLOOKUP(K630,MgValor,2,0)*VLOOKUP(N630,MgDeg,2,0),0)</f>
        <v/>
      </c>
      <c r="R630" s="29">
        <f>IFERROR(VLOOKUP(L630,MgValor,2,0)*VLOOKUP(O630,MgDeg,2,0),0)</f>
        <v/>
      </c>
      <c r="S630" s="29">
        <f>IFERROR(VLOOKUP(M630,MgValor,2,0)*VLOOKUP(P630,MgDeg,2,0),0)</f>
        <v/>
      </c>
      <c r="T630" s="30">
        <f>MAX(Q630:S630)</f>
        <v/>
      </c>
      <c r="U630" s="28">
        <f>IFERROR(LOOKUP(T630,{0;0.5;1.5;3;4.5},{"Despreciable";"Bajo";"Medio";"Alto";"Muy alto"}),"")</f>
        <v/>
      </c>
      <c r="V630" s="13">
        <f>IFERROR(INDEX(MgAmenFrec,MATCH(SUBSTITUTE($H630,"*","-"),MgAmenClave,0)),"")</f>
        <v/>
      </c>
      <c r="W630" s="28">
        <f>IFERROR(LOOKUP(X630,{0;0.01;0.1;1;10;100},{"Muy baja";"Muy baja";"Baja";"Media";"Alta";"Muy alta"}),"")</f>
        <v/>
      </c>
      <c r="X630" s="31">
        <f>IFERROR(VLOOKUP(V630,MgFrec,2,0),0)</f>
        <v/>
      </c>
      <c r="Y630" s="30">
        <f>T630*X630</f>
        <v/>
      </c>
      <c r="Z630" s="28">
        <f>IFERROR(LOOKUP(Y630,{0;0.5;5;25},{"Bajo";"Medio";"Alto";"Crítico"}),"")</f>
        <v/>
      </c>
      <c r="AA630" s="64">
        <f>IF(T630&gt;=3,IF(X630&gt;=1,"Zona 1 — Crítica: impacto alto y ocurre al menos una vez al año","Zona 4 — Catastrófica poco probable: impacto alto pero excepcional"),IF(AND(T630&lt;1.5,X630&lt;1),"Zona 3 — Asumible: impacto bajo y muy poco frecuente","Zona 2 — Atención: riesgo intermedio"))</f>
        <v/>
      </c>
      <c r="AB630" s="64">
        <f>IFERROR(INDEX(MgAmenCtrl,MATCH(SUBSTITUTE($H630,"*","-"),MgAmenClave,0)),"")</f>
        <v/>
      </c>
      <c r="AC630" s="20" t="n"/>
      <c r="AD630" s="31">
        <f>IFERROR($X630*(1-IF($AC630="",$AL630,VLOOKUP($AC630,MgMad,2,0))),"")</f>
        <v/>
      </c>
      <c r="AE630" s="28">
        <f>IFERROR(LOOKUP(AD630,{0;0.01;0.1;1;10;100},{"Muy baja";"Muy baja";"Baja";"Media";"Alta";"Muy alta"}),"")</f>
        <v/>
      </c>
      <c r="AF630" s="30">
        <f>T630*AD630</f>
        <v/>
      </c>
      <c r="AG630" s="28">
        <f>IFERROR(LOOKUP(AF630,{0;0.5;5;25},{"Bajo";"Medio";"Alto";"Crítico"}),"")</f>
        <v/>
      </c>
      <c r="AH630" s="28">
        <f>IF(AG630="","",IF(OR(AG630="Crítico",AG630="Alto"),"Mitigar",IF(AG630="Medio","Mitigar","Aceptar y monitorear")))</f>
        <v/>
      </c>
      <c r="AI630" s="21" t="n"/>
      <c r="AJ630" s="21" t="n"/>
      <c r="AK630" s="20" t="n"/>
      <c r="AL630" s="77">
        <f>IFERROR(INDEX(MgAmenEfic,MATCH(SUBSTITUTE($H630,"*","-"),MgAmenClave,0)),0)</f>
        <v/>
      </c>
    </row>
    <row r="631" hidden="1" ht="60" customHeight="1" s="54">
      <c r="B631" s="59" t="inlineStr">
        <is>
          <t>R-0626</t>
        </is>
      </c>
      <c r="C631" s="59" t="inlineStr">
        <is>
          <t>LCO-06</t>
        </is>
      </c>
      <c r="D631" s="64">
        <f>IFERROR(INDEX(MgNombre,MATCH($C631,MgActId,0)),"")</f>
        <v/>
      </c>
      <c r="E631" s="64">
        <f>IFERROR(INDEX(MgProceso,MATCH($C631,MgActId,0)),"")</f>
        <v/>
      </c>
      <c r="F631" s="64">
        <f>IFERROR(INDEX(MgTipo,MATCH($C631,MgActId,0)),"")</f>
        <v/>
      </c>
      <c r="G631" s="64">
        <f>IFERROR(INDEX(MgSubtipo,MATCH($C631,MgActId,0)),"")</f>
        <v/>
      </c>
      <c r="H631" s="59" t="inlineStr">
        <is>
          <t>A.3</t>
        </is>
      </c>
      <c r="I631" s="64">
        <f>IFERROR(INDEX(MgAmenNombre,MATCH(SUBSTITUTE($H631,"*","-"),MgAmenClave,0)),"")</f>
        <v/>
      </c>
      <c r="J631" s="28">
        <f>IFERROR(INDEX(MgAmenGrupo,MATCH(SUBSTITUTE($H631,"*","-"),MgAmenClave,0)),"")</f>
        <v/>
      </c>
      <c r="K631" s="64">
        <f>IFERROR(INDEX('1. Matriz de Activos'!$Q$6:$Q$239,MATCH($C631,MgActId,0)),"")</f>
        <v/>
      </c>
      <c r="L631" s="64">
        <f>IFERROR(INDEX('1. Matriz de Activos'!$R$6:$R$239,MATCH($C631,MgActId,0)),"")</f>
        <v/>
      </c>
      <c r="M631" s="64">
        <f>IFERROR(INDEX('1. Matriz de Activos'!$S$6:$S$239,MATCH($C631,MgActId,0)),"")</f>
        <v/>
      </c>
      <c r="N631" s="28">
        <f>IFERROR(INDEX(MgAmenDegD,MATCH(SUBSTITUTE($H631,"*","-"),MgAmenClave,0)),"No aplica")</f>
        <v/>
      </c>
      <c r="O631" s="28">
        <f>IFERROR(INDEX(MgAmenDegI,MATCH(SUBSTITUTE($H631,"*","-"),MgAmenClave,0)),"No aplica")</f>
        <v/>
      </c>
      <c r="P631" s="28">
        <f>IFERROR(INDEX(MgAmenDegC,MATCH(SUBSTITUTE($H631,"*","-"),MgAmenClave,0)),"No aplica")</f>
        <v/>
      </c>
      <c r="Q631" s="29">
        <f>IFERROR(VLOOKUP(K631,MgValor,2,0)*VLOOKUP(N631,MgDeg,2,0),0)</f>
        <v/>
      </c>
      <c r="R631" s="29">
        <f>IFERROR(VLOOKUP(L631,MgValor,2,0)*VLOOKUP(O631,MgDeg,2,0),0)</f>
        <v/>
      </c>
      <c r="S631" s="29">
        <f>IFERROR(VLOOKUP(M631,MgValor,2,0)*VLOOKUP(P631,MgDeg,2,0),0)</f>
        <v/>
      </c>
      <c r="T631" s="30">
        <f>MAX(Q631:S631)</f>
        <v/>
      </c>
      <c r="U631" s="28">
        <f>IFERROR(LOOKUP(T631,{0;0.5;1.5;3;4.5},{"Despreciable";"Bajo";"Medio";"Alto";"Muy alto"}),"")</f>
        <v/>
      </c>
      <c r="V631" s="13">
        <f>IFERROR(INDEX(MgAmenFrec,MATCH(SUBSTITUTE($H631,"*","-"),MgAmenClave,0)),"")</f>
        <v/>
      </c>
      <c r="W631" s="28">
        <f>IFERROR(LOOKUP(X631,{0;0.01;0.1;1;10;100},{"Muy baja";"Muy baja";"Baja";"Media";"Alta";"Muy alta"}),"")</f>
        <v/>
      </c>
      <c r="X631" s="31">
        <f>IFERROR(VLOOKUP(V631,MgFrec,2,0),0)</f>
        <v/>
      </c>
      <c r="Y631" s="30">
        <f>T631*X631</f>
        <v/>
      </c>
      <c r="Z631" s="28">
        <f>IFERROR(LOOKUP(Y631,{0;0.5;5;25},{"Bajo";"Medio";"Alto";"Crítico"}),"")</f>
        <v/>
      </c>
      <c r="AA631" s="64">
        <f>IF(T631&gt;=3,IF(X631&gt;=1,"Zona 1 — Crítica: impacto alto y ocurre al menos una vez al año","Zona 4 — Catastrófica poco probable: impacto alto pero excepcional"),IF(AND(T631&lt;1.5,X631&lt;1),"Zona 3 — Asumible: impacto bajo y muy poco frecuente","Zona 2 — Atención: riesgo intermedio"))</f>
        <v/>
      </c>
      <c r="AB631" s="64">
        <f>IFERROR(INDEX(MgAmenCtrl,MATCH(SUBSTITUTE($H631,"*","-"),MgAmenClave,0)),"")</f>
        <v/>
      </c>
      <c r="AC631" s="20" t="n"/>
      <c r="AD631" s="31">
        <f>IFERROR($X631*(1-IF($AC631="",$AL631,VLOOKUP($AC631,MgMad,2,0))),"")</f>
        <v/>
      </c>
      <c r="AE631" s="28">
        <f>IFERROR(LOOKUP(AD631,{0;0.01;0.1;1;10;100},{"Muy baja";"Muy baja";"Baja";"Media";"Alta";"Muy alta"}),"")</f>
        <v/>
      </c>
      <c r="AF631" s="30">
        <f>T631*AD631</f>
        <v/>
      </c>
      <c r="AG631" s="28">
        <f>IFERROR(LOOKUP(AF631,{0;0.5;5;25},{"Bajo";"Medio";"Alto";"Crítico"}),"")</f>
        <v/>
      </c>
      <c r="AH631" s="28">
        <f>IF(AG631="","",IF(OR(AG631="Crítico",AG631="Alto"),"Mitigar",IF(AG631="Medio","Mitigar","Aceptar y monitorear")))</f>
        <v/>
      </c>
      <c r="AI631" s="21" t="n"/>
      <c r="AJ631" s="21" t="n"/>
      <c r="AK631" s="20" t="n"/>
      <c r="AL631" s="77">
        <f>IFERROR(INDEX(MgAmenEfic,MATCH(SUBSTITUTE($H631,"*","-"),MgAmenClave,0)),0)</f>
        <v/>
      </c>
    </row>
    <row r="632" hidden="1" ht="60" customHeight="1" s="54">
      <c r="B632" s="59" t="inlineStr">
        <is>
          <t>R-0627</t>
        </is>
      </c>
      <c r="C632" s="59" t="inlineStr">
        <is>
          <t>LCO-06</t>
        </is>
      </c>
      <c r="D632" s="64">
        <f>IFERROR(INDEX(MgNombre,MATCH($C632,MgActId,0)),"")</f>
        <v/>
      </c>
      <c r="E632" s="64">
        <f>IFERROR(INDEX(MgProceso,MATCH($C632,MgActId,0)),"")</f>
        <v/>
      </c>
      <c r="F632" s="64">
        <f>IFERROR(INDEX(MgTipo,MATCH($C632,MgActId,0)),"")</f>
        <v/>
      </c>
      <c r="G632" s="64">
        <f>IFERROR(INDEX(MgSubtipo,MATCH($C632,MgActId,0)),"")</f>
        <v/>
      </c>
      <c r="H632" s="59" t="inlineStr">
        <is>
          <t>A.4</t>
        </is>
      </c>
      <c r="I632" s="64">
        <f>IFERROR(INDEX(MgAmenNombre,MATCH(SUBSTITUTE($H632,"*","-"),MgAmenClave,0)),"")</f>
        <v/>
      </c>
      <c r="J632" s="28">
        <f>IFERROR(INDEX(MgAmenGrupo,MATCH(SUBSTITUTE($H632,"*","-"),MgAmenClave,0)),"")</f>
        <v/>
      </c>
      <c r="K632" s="64">
        <f>IFERROR(INDEX('1. Matriz de Activos'!$Q$6:$Q$239,MATCH($C632,MgActId,0)),"")</f>
        <v/>
      </c>
      <c r="L632" s="64">
        <f>IFERROR(INDEX('1. Matriz de Activos'!$R$6:$R$239,MATCH($C632,MgActId,0)),"")</f>
        <v/>
      </c>
      <c r="M632" s="64">
        <f>IFERROR(INDEX('1. Matriz de Activos'!$S$6:$S$239,MATCH($C632,MgActId,0)),"")</f>
        <v/>
      </c>
      <c r="N632" s="28">
        <f>IFERROR(INDEX(MgAmenDegD,MATCH(SUBSTITUTE($H632,"*","-"),MgAmenClave,0)),"No aplica")</f>
        <v/>
      </c>
      <c r="O632" s="28">
        <f>IFERROR(INDEX(MgAmenDegI,MATCH(SUBSTITUTE($H632,"*","-"),MgAmenClave,0)),"No aplica")</f>
        <v/>
      </c>
      <c r="P632" s="28">
        <f>IFERROR(INDEX(MgAmenDegC,MATCH(SUBSTITUTE($H632,"*","-"),MgAmenClave,0)),"No aplica")</f>
        <v/>
      </c>
      <c r="Q632" s="29">
        <f>IFERROR(VLOOKUP(K632,MgValor,2,0)*VLOOKUP(N632,MgDeg,2,0),0)</f>
        <v/>
      </c>
      <c r="R632" s="29">
        <f>IFERROR(VLOOKUP(L632,MgValor,2,0)*VLOOKUP(O632,MgDeg,2,0),0)</f>
        <v/>
      </c>
      <c r="S632" s="29">
        <f>IFERROR(VLOOKUP(M632,MgValor,2,0)*VLOOKUP(P632,MgDeg,2,0),0)</f>
        <v/>
      </c>
      <c r="T632" s="30">
        <f>MAX(Q632:S632)</f>
        <v/>
      </c>
      <c r="U632" s="28">
        <f>IFERROR(LOOKUP(T632,{0;0.5;1.5;3;4.5},{"Despreciable";"Bajo";"Medio";"Alto";"Muy alto"}),"")</f>
        <v/>
      </c>
      <c r="V632" s="13">
        <f>IFERROR(INDEX(MgAmenFrec,MATCH(SUBSTITUTE($H632,"*","-"),MgAmenClave,0)),"")</f>
        <v/>
      </c>
      <c r="W632" s="28">
        <f>IFERROR(LOOKUP(X632,{0;0.01;0.1;1;10;100},{"Muy baja";"Muy baja";"Baja";"Media";"Alta";"Muy alta"}),"")</f>
        <v/>
      </c>
      <c r="X632" s="31">
        <f>IFERROR(VLOOKUP(V632,MgFrec,2,0),0)</f>
        <v/>
      </c>
      <c r="Y632" s="30">
        <f>T632*X632</f>
        <v/>
      </c>
      <c r="Z632" s="28">
        <f>IFERROR(LOOKUP(Y632,{0;0.5;5;25},{"Bajo";"Medio";"Alto";"Crítico"}),"")</f>
        <v/>
      </c>
      <c r="AA632" s="64">
        <f>IF(T632&gt;=3,IF(X632&gt;=1,"Zona 1 — Crítica: impacto alto y ocurre al menos una vez al año","Zona 4 — Catastrófica poco probable: impacto alto pero excepcional"),IF(AND(T632&lt;1.5,X632&lt;1),"Zona 3 — Asumible: impacto bajo y muy poco frecuente","Zona 2 — Atención: riesgo intermedio"))</f>
        <v/>
      </c>
      <c r="AB632" s="64">
        <f>IFERROR(INDEX(MgAmenCtrl,MATCH(SUBSTITUTE($H632,"*","-"),MgAmenClave,0)),"")</f>
        <v/>
      </c>
      <c r="AC632" s="20" t="n"/>
      <c r="AD632" s="31">
        <f>IFERROR($X632*(1-IF($AC632="",$AL632,VLOOKUP($AC632,MgMad,2,0))),"")</f>
        <v/>
      </c>
      <c r="AE632" s="28">
        <f>IFERROR(LOOKUP(AD632,{0;0.01;0.1;1;10;100},{"Muy baja";"Muy baja";"Baja";"Media";"Alta";"Muy alta"}),"")</f>
        <v/>
      </c>
      <c r="AF632" s="30">
        <f>T632*AD632</f>
        <v/>
      </c>
      <c r="AG632" s="28">
        <f>IFERROR(LOOKUP(AF632,{0;0.5;5;25},{"Bajo";"Medio";"Alto";"Crítico"}),"")</f>
        <v/>
      </c>
      <c r="AH632" s="28">
        <f>IF(AG632="","",IF(OR(AG632="Crítico",AG632="Alto"),"Mitigar",IF(AG632="Medio","Mitigar","Aceptar y monitorear")))</f>
        <v/>
      </c>
      <c r="AI632" s="21" t="n"/>
      <c r="AJ632" s="21" t="n"/>
      <c r="AK632" s="20" t="n"/>
      <c r="AL632" s="77">
        <f>IFERROR(INDEX(MgAmenEfic,MATCH(SUBSTITUTE($H632,"*","-"),MgAmenClave,0)),0)</f>
        <v/>
      </c>
    </row>
    <row r="633" hidden="1" ht="75" customHeight="1" s="54">
      <c r="B633" s="59" t="inlineStr">
        <is>
          <t>R-0628</t>
        </is>
      </c>
      <c r="C633" s="59" t="inlineStr">
        <is>
          <t>LCO-06</t>
        </is>
      </c>
      <c r="D633" s="64">
        <f>IFERROR(INDEX(MgNombre,MATCH($C633,MgActId,0)),"")</f>
        <v/>
      </c>
      <c r="E633" s="64">
        <f>IFERROR(INDEX(MgProceso,MATCH($C633,MgActId,0)),"")</f>
        <v/>
      </c>
      <c r="F633" s="64">
        <f>IFERROR(INDEX(MgTipo,MATCH($C633,MgActId,0)),"")</f>
        <v/>
      </c>
      <c r="G633" s="64">
        <f>IFERROR(INDEX(MgSubtipo,MATCH($C633,MgActId,0)),"")</f>
        <v/>
      </c>
      <c r="H633" s="59" t="inlineStr">
        <is>
          <t>A.5</t>
        </is>
      </c>
      <c r="I633" s="64">
        <f>IFERROR(INDEX(MgAmenNombre,MATCH(SUBSTITUTE($H633,"*","-"),MgAmenClave,0)),"")</f>
        <v/>
      </c>
      <c r="J633" s="28">
        <f>IFERROR(INDEX(MgAmenGrupo,MATCH(SUBSTITUTE($H633,"*","-"),MgAmenClave,0)),"")</f>
        <v/>
      </c>
      <c r="K633" s="64">
        <f>IFERROR(INDEX('1. Matriz de Activos'!$Q$6:$Q$239,MATCH($C633,MgActId,0)),"")</f>
        <v/>
      </c>
      <c r="L633" s="64">
        <f>IFERROR(INDEX('1. Matriz de Activos'!$R$6:$R$239,MATCH($C633,MgActId,0)),"")</f>
        <v/>
      </c>
      <c r="M633" s="64">
        <f>IFERROR(INDEX('1. Matriz de Activos'!$S$6:$S$239,MATCH($C633,MgActId,0)),"")</f>
        <v/>
      </c>
      <c r="N633" s="28">
        <f>IFERROR(INDEX(MgAmenDegD,MATCH(SUBSTITUTE($H633,"*","-"),MgAmenClave,0)),"No aplica")</f>
        <v/>
      </c>
      <c r="O633" s="28">
        <f>IFERROR(INDEX(MgAmenDegI,MATCH(SUBSTITUTE($H633,"*","-"),MgAmenClave,0)),"No aplica")</f>
        <v/>
      </c>
      <c r="P633" s="28">
        <f>IFERROR(INDEX(MgAmenDegC,MATCH(SUBSTITUTE($H633,"*","-"),MgAmenClave,0)),"No aplica")</f>
        <v/>
      </c>
      <c r="Q633" s="29">
        <f>IFERROR(VLOOKUP(K633,MgValor,2,0)*VLOOKUP(N633,MgDeg,2,0),0)</f>
        <v/>
      </c>
      <c r="R633" s="29">
        <f>IFERROR(VLOOKUP(L633,MgValor,2,0)*VLOOKUP(O633,MgDeg,2,0),0)</f>
        <v/>
      </c>
      <c r="S633" s="29">
        <f>IFERROR(VLOOKUP(M633,MgValor,2,0)*VLOOKUP(P633,MgDeg,2,0),0)</f>
        <v/>
      </c>
      <c r="T633" s="30">
        <f>MAX(Q633:S633)</f>
        <v/>
      </c>
      <c r="U633" s="28">
        <f>IFERROR(LOOKUP(T633,{0;0.5;1.5;3;4.5},{"Despreciable";"Bajo";"Medio";"Alto";"Muy alto"}),"")</f>
        <v/>
      </c>
      <c r="V633" s="13">
        <f>IFERROR(INDEX(MgAmenFrec,MATCH(SUBSTITUTE($H633,"*","-"),MgAmenClave,0)),"")</f>
        <v/>
      </c>
      <c r="W633" s="28">
        <f>IFERROR(LOOKUP(X633,{0;0.01;0.1;1;10;100},{"Muy baja";"Muy baja";"Baja";"Media";"Alta";"Muy alta"}),"")</f>
        <v/>
      </c>
      <c r="X633" s="31">
        <f>IFERROR(VLOOKUP(V633,MgFrec,2,0),0)</f>
        <v/>
      </c>
      <c r="Y633" s="30">
        <f>T633*X633</f>
        <v/>
      </c>
      <c r="Z633" s="28">
        <f>IFERROR(LOOKUP(Y633,{0;0.5;5;25},{"Bajo";"Medio";"Alto";"Crítico"}),"")</f>
        <v/>
      </c>
      <c r="AA633" s="64">
        <f>IF(T633&gt;=3,IF(X633&gt;=1,"Zona 1 — Crítica: impacto alto y ocurre al menos una vez al año","Zona 4 — Catastrófica poco probable: impacto alto pero excepcional"),IF(AND(T633&lt;1.5,X633&lt;1),"Zona 3 — Asumible: impacto bajo y muy poco frecuente","Zona 2 — Atención: riesgo intermedio"))</f>
        <v/>
      </c>
      <c r="AB633" s="64">
        <f>IFERROR(INDEX(MgAmenCtrl,MATCH(SUBSTITUTE($H633,"*","-"),MgAmenClave,0)),"")</f>
        <v/>
      </c>
      <c r="AC633" s="20" t="n"/>
      <c r="AD633" s="31">
        <f>IFERROR($X633*(1-IF($AC633="",$AL633,VLOOKUP($AC633,MgMad,2,0))),"")</f>
        <v/>
      </c>
      <c r="AE633" s="28">
        <f>IFERROR(LOOKUP(AD633,{0;0.01;0.1;1;10;100},{"Muy baja";"Muy baja";"Baja";"Media";"Alta";"Muy alta"}),"")</f>
        <v/>
      </c>
      <c r="AF633" s="30">
        <f>T633*AD633</f>
        <v/>
      </c>
      <c r="AG633" s="28">
        <f>IFERROR(LOOKUP(AF633,{0;0.5;5;25},{"Bajo";"Medio";"Alto";"Crítico"}),"")</f>
        <v/>
      </c>
      <c r="AH633" s="28">
        <f>IF(AG633="","",IF(OR(AG633="Crítico",AG633="Alto"),"Mitigar",IF(AG633="Medio","Mitigar","Aceptar y monitorear")))</f>
        <v/>
      </c>
      <c r="AI633" s="21" t="n"/>
      <c r="AJ633" s="21" t="n"/>
      <c r="AK633" s="20" t="n"/>
      <c r="AL633" s="77">
        <f>IFERROR(INDEX(MgAmenEfic,MATCH(SUBSTITUTE($H633,"*","-"),MgAmenClave,0)),0)</f>
        <v/>
      </c>
    </row>
    <row r="634" hidden="1" ht="105" customHeight="1" s="54">
      <c r="B634" s="59" t="inlineStr">
        <is>
          <t>R-0629</t>
        </is>
      </c>
      <c r="C634" s="59" t="inlineStr">
        <is>
          <t>LCO-06</t>
        </is>
      </c>
      <c r="D634" s="64">
        <f>IFERROR(INDEX(MgNombre,MATCH($C634,MgActId,0)),"")</f>
        <v/>
      </c>
      <c r="E634" s="64">
        <f>IFERROR(INDEX(MgProceso,MATCH($C634,MgActId,0)),"")</f>
        <v/>
      </c>
      <c r="F634" s="64">
        <f>IFERROR(INDEX(MgTipo,MATCH($C634,MgActId,0)),"")</f>
        <v/>
      </c>
      <c r="G634" s="64">
        <f>IFERROR(INDEX(MgSubtipo,MATCH($C634,MgActId,0)),"")</f>
        <v/>
      </c>
      <c r="H634" s="59" t="inlineStr">
        <is>
          <t>A.6</t>
        </is>
      </c>
      <c r="I634" s="64">
        <f>IFERROR(INDEX(MgAmenNombre,MATCH(SUBSTITUTE($H634,"*","-"),MgAmenClave,0)),"")</f>
        <v/>
      </c>
      <c r="J634" s="28">
        <f>IFERROR(INDEX(MgAmenGrupo,MATCH(SUBSTITUTE($H634,"*","-"),MgAmenClave,0)),"")</f>
        <v/>
      </c>
      <c r="K634" s="64">
        <f>IFERROR(INDEX('1. Matriz de Activos'!$Q$6:$Q$239,MATCH($C634,MgActId,0)),"")</f>
        <v/>
      </c>
      <c r="L634" s="64">
        <f>IFERROR(INDEX('1. Matriz de Activos'!$R$6:$R$239,MATCH($C634,MgActId,0)),"")</f>
        <v/>
      </c>
      <c r="M634" s="64">
        <f>IFERROR(INDEX('1. Matriz de Activos'!$S$6:$S$239,MATCH($C634,MgActId,0)),"")</f>
        <v/>
      </c>
      <c r="N634" s="28">
        <f>IFERROR(INDEX(MgAmenDegD,MATCH(SUBSTITUTE($H634,"*","-"),MgAmenClave,0)),"No aplica")</f>
        <v/>
      </c>
      <c r="O634" s="28">
        <f>IFERROR(INDEX(MgAmenDegI,MATCH(SUBSTITUTE($H634,"*","-"),MgAmenClave,0)),"No aplica")</f>
        <v/>
      </c>
      <c r="P634" s="28">
        <f>IFERROR(INDEX(MgAmenDegC,MATCH(SUBSTITUTE($H634,"*","-"),MgAmenClave,0)),"No aplica")</f>
        <v/>
      </c>
      <c r="Q634" s="29">
        <f>IFERROR(VLOOKUP(K634,MgValor,2,0)*VLOOKUP(N634,MgDeg,2,0),0)</f>
        <v/>
      </c>
      <c r="R634" s="29">
        <f>IFERROR(VLOOKUP(L634,MgValor,2,0)*VLOOKUP(O634,MgDeg,2,0),0)</f>
        <v/>
      </c>
      <c r="S634" s="29">
        <f>IFERROR(VLOOKUP(M634,MgValor,2,0)*VLOOKUP(P634,MgDeg,2,0),0)</f>
        <v/>
      </c>
      <c r="T634" s="30">
        <f>MAX(Q634:S634)</f>
        <v/>
      </c>
      <c r="U634" s="28">
        <f>IFERROR(LOOKUP(T634,{0;0.5;1.5;3;4.5},{"Despreciable";"Bajo";"Medio";"Alto";"Muy alto"}),"")</f>
        <v/>
      </c>
      <c r="V634" s="13">
        <f>IFERROR(INDEX(MgAmenFrec,MATCH(SUBSTITUTE($H634,"*","-"),MgAmenClave,0)),"")</f>
        <v/>
      </c>
      <c r="W634" s="28">
        <f>IFERROR(LOOKUP(X634,{0;0.01;0.1;1;10;100},{"Muy baja";"Muy baja";"Baja";"Media";"Alta";"Muy alta"}),"")</f>
        <v/>
      </c>
      <c r="X634" s="31">
        <f>IFERROR(VLOOKUP(V634,MgFrec,2,0),0)</f>
        <v/>
      </c>
      <c r="Y634" s="30">
        <f>T634*X634</f>
        <v/>
      </c>
      <c r="Z634" s="28">
        <f>IFERROR(LOOKUP(Y634,{0;0.5;5;25},{"Bajo";"Medio";"Alto";"Crítico"}),"")</f>
        <v/>
      </c>
      <c r="AA634" s="64">
        <f>IF(T634&gt;=3,IF(X634&gt;=1,"Zona 1 — Crítica: impacto alto y ocurre al menos una vez al año","Zona 4 — Catastrófica poco probable: impacto alto pero excepcional"),IF(AND(T634&lt;1.5,X634&lt;1),"Zona 3 — Asumible: impacto bajo y muy poco frecuente","Zona 2 — Atención: riesgo intermedio"))</f>
        <v/>
      </c>
      <c r="AB634" s="64">
        <f>IFERROR(INDEX(MgAmenCtrl,MATCH(SUBSTITUTE($H634,"*","-"),MgAmenClave,0)),"")</f>
        <v/>
      </c>
      <c r="AC634" s="20" t="n"/>
      <c r="AD634" s="31">
        <f>IFERROR($X634*(1-IF($AC634="",$AL634,VLOOKUP($AC634,MgMad,2,0))),"")</f>
        <v/>
      </c>
      <c r="AE634" s="28">
        <f>IFERROR(LOOKUP(AD634,{0;0.01;0.1;1;10;100},{"Muy baja";"Muy baja";"Baja";"Media";"Alta";"Muy alta"}),"")</f>
        <v/>
      </c>
      <c r="AF634" s="30">
        <f>T634*AD634</f>
        <v/>
      </c>
      <c r="AG634" s="28">
        <f>IFERROR(LOOKUP(AF634,{0;0.5;5;25},{"Bajo";"Medio";"Alto";"Crítico"}),"")</f>
        <v/>
      </c>
      <c r="AH634" s="28">
        <f>IF(AG634="","",IF(OR(AG634="Crítico",AG634="Alto"),"Mitigar",IF(AG634="Medio","Mitigar","Aceptar y monitorear")))</f>
        <v/>
      </c>
      <c r="AI634" s="21" t="n"/>
      <c r="AJ634" s="21" t="n"/>
      <c r="AK634" s="20" t="n"/>
      <c r="AL634" s="77">
        <f>IFERROR(INDEX(MgAmenEfic,MATCH(SUBSTITUTE($H634,"*","-"),MgAmenClave,0)),0)</f>
        <v/>
      </c>
    </row>
    <row r="635" hidden="1" ht="120" customHeight="1" s="54">
      <c r="B635" s="59" t="inlineStr">
        <is>
          <t>R-0630</t>
        </is>
      </c>
      <c r="C635" s="59" t="inlineStr">
        <is>
          <t>LCO-06</t>
        </is>
      </c>
      <c r="D635" s="64">
        <f>IFERROR(INDEX(MgNombre,MATCH($C635,MgActId,0)),"")</f>
        <v/>
      </c>
      <c r="E635" s="64">
        <f>IFERROR(INDEX(MgProceso,MATCH($C635,MgActId,0)),"")</f>
        <v/>
      </c>
      <c r="F635" s="64">
        <f>IFERROR(INDEX(MgTipo,MATCH($C635,MgActId,0)),"")</f>
        <v/>
      </c>
      <c r="G635" s="64">
        <f>IFERROR(INDEX(MgSubtipo,MATCH($C635,MgActId,0)),"")</f>
        <v/>
      </c>
      <c r="H635" s="59" t="inlineStr">
        <is>
          <t>A.11</t>
        </is>
      </c>
      <c r="I635" s="64">
        <f>IFERROR(INDEX(MgAmenNombre,MATCH(SUBSTITUTE($H635,"*","-"),MgAmenClave,0)),"")</f>
        <v/>
      </c>
      <c r="J635" s="28">
        <f>IFERROR(INDEX(MgAmenGrupo,MATCH(SUBSTITUTE($H635,"*","-"),MgAmenClave,0)),"")</f>
        <v/>
      </c>
      <c r="K635" s="64">
        <f>IFERROR(INDEX('1. Matriz de Activos'!$Q$6:$Q$239,MATCH($C635,MgActId,0)),"")</f>
        <v/>
      </c>
      <c r="L635" s="64">
        <f>IFERROR(INDEX('1. Matriz de Activos'!$R$6:$R$239,MATCH($C635,MgActId,0)),"")</f>
        <v/>
      </c>
      <c r="M635" s="64">
        <f>IFERROR(INDEX('1. Matriz de Activos'!$S$6:$S$239,MATCH($C635,MgActId,0)),"")</f>
        <v/>
      </c>
      <c r="N635" s="28">
        <f>IFERROR(INDEX(MgAmenDegD,MATCH(SUBSTITUTE($H635,"*","-"),MgAmenClave,0)),"No aplica")</f>
        <v/>
      </c>
      <c r="O635" s="28">
        <f>IFERROR(INDEX(MgAmenDegI,MATCH(SUBSTITUTE($H635,"*","-"),MgAmenClave,0)),"No aplica")</f>
        <v/>
      </c>
      <c r="P635" s="28">
        <f>IFERROR(INDEX(MgAmenDegC,MATCH(SUBSTITUTE($H635,"*","-"),MgAmenClave,0)),"No aplica")</f>
        <v/>
      </c>
      <c r="Q635" s="29">
        <f>IFERROR(VLOOKUP(K635,MgValor,2,0)*VLOOKUP(N635,MgDeg,2,0),0)</f>
        <v/>
      </c>
      <c r="R635" s="29">
        <f>IFERROR(VLOOKUP(L635,MgValor,2,0)*VLOOKUP(O635,MgDeg,2,0),0)</f>
        <v/>
      </c>
      <c r="S635" s="29">
        <f>IFERROR(VLOOKUP(M635,MgValor,2,0)*VLOOKUP(P635,MgDeg,2,0),0)</f>
        <v/>
      </c>
      <c r="T635" s="30">
        <f>MAX(Q635:S635)</f>
        <v/>
      </c>
      <c r="U635" s="28">
        <f>IFERROR(LOOKUP(T635,{0;0.5;1.5;3;4.5},{"Despreciable";"Bajo";"Medio";"Alto";"Muy alto"}),"")</f>
        <v/>
      </c>
      <c r="V635" s="13">
        <f>IFERROR(INDEX(MgAmenFrec,MATCH(SUBSTITUTE($H635,"*","-"),MgAmenClave,0)),"")</f>
        <v/>
      </c>
      <c r="W635" s="28">
        <f>IFERROR(LOOKUP(X635,{0;0.01;0.1;1;10;100},{"Muy baja";"Muy baja";"Baja";"Media";"Alta";"Muy alta"}),"")</f>
        <v/>
      </c>
      <c r="X635" s="31">
        <f>IFERROR(VLOOKUP(V635,MgFrec,2,0),0)</f>
        <v/>
      </c>
      <c r="Y635" s="30">
        <f>T635*X635</f>
        <v/>
      </c>
      <c r="Z635" s="28">
        <f>IFERROR(LOOKUP(Y635,{0;0.5;5;25},{"Bajo";"Medio";"Alto";"Crítico"}),"")</f>
        <v/>
      </c>
      <c r="AA635" s="64">
        <f>IF(T635&gt;=3,IF(X635&gt;=1,"Zona 1 — Crítica: impacto alto y ocurre al menos una vez al año","Zona 4 — Catastrófica poco probable: impacto alto pero excepcional"),IF(AND(T635&lt;1.5,X635&lt;1),"Zona 3 — Asumible: impacto bajo y muy poco frecuente","Zona 2 — Atención: riesgo intermedio"))</f>
        <v/>
      </c>
      <c r="AB635" s="64">
        <f>IFERROR(INDEX(MgAmenCtrl,MATCH(SUBSTITUTE($H635,"*","-"),MgAmenClave,0)),"")</f>
        <v/>
      </c>
      <c r="AC635" s="20" t="n"/>
      <c r="AD635" s="31">
        <f>IFERROR($X635*(1-IF($AC635="",$AL635,VLOOKUP($AC635,MgMad,2,0))),"")</f>
        <v/>
      </c>
      <c r="AE635" s="28">
        <f>IFERROR(LOOKUP(AD635,{0;0.01;0.1;1;10;100},{"Muy baja";"Muy baja";"Baja";"Media";"Alta";"Muy alta"}),"")</f>
        <v/>
      </c>
      <c r="AF635" s="30">
        <f>T635*AD635</f>
        <v/>
      </c>
      <c r="AG635" s="28">
        <f>IFERROR(LOOKUP(AF635,{0;0.5;5;25},{"Bajo";"Medio";"Alto";"Crítico"}),"")</f>
        <v/>
      </c>
      <c r="AH635" s="28">
        <f>IF(AG635="","",IF(OR(AG635="Crítico",AG635="Alto"),"Mitigar",IF(AG635="Medio","Mitigar","Aceptar y monitorear")))</f>
        <v/>
      </c>
      <c r="AI635" s="21" t="n"/>
      <c r="AJ635" s="21" t="n"/>
      <c r="AK635" s="20" t="n"/>
      <c r="AL635" s="77">
        <f>IFERROR(INDEX(MgAmenEfic,MATCH(SUBSTITUTE($H635,"*","-"),MgAmenClave,0)),0)</f>
        <v/>
      </c>
    </row>
    <row r="636" hidden="1" ht="90" customHeight="1" s="54">
      <c r="B636" s="59" t="inlineStr">
        <is>
          <t>R-0631</t>
        </is>
      </c>
      <c r="C636" s="59" t="inlineStr">
        <is>
          <t>LCO-06</t>
        </is>
      </c>
      <c r="D636" s="64">
        <f>IFERROR(INDEX(MgNombre,MATCH($C636,MgActId,0)),"")</f>
        <v/>
      </c>
      <c r="E636" s="64">
        <f>IFERROR(INDEX(MgProceso,MATCH($C636,MgActId,0)),"")</f>
        <v/>
      </c>
      <c r="F636" s="64">
        <f>IFERROR(INDEX(MgTipo,MATCH($C636,MgActId,0)),"")</f>
        <v/>
      </c>
      <c r="G636" s="64">
        <f>IFERROR(INDEX(MgSubtipo,MATCH($C636,MgActId,0)),"")</f>
        <v/>
      </c>
      <c r="H636" s="59" t="inlineStr">
        <is>
          <t>A.13</t>
        </is>
      </c>
      <c r="I636" s="64">
        <f>IFERROR(INDEX(MgAmenNombre,MATCH(SUBSTITUTE($H636,"*","-"),MgAmenClave,0)),"")</f>
        <v/>
      </c>
      <c r="J636" s="28">
        <f>IFERROR(INDEX(MgAmenGrupo,MATCH(SUBSTITUTE($H636,"*","-"),MgAmenClave,0)),"")</f>
        <v/>
      </c>
      <c r="K636" s="64">
        <f>IFERROR(INDEX('1. Matriz de Activos'!$Q$6:$Q$239,MATCH($C636,MgActId,0)),"")</f>
        <v/>
      </c>
      <c r="L636" s="64">
        <f>IFERROR(INDEX('1. Matriz de Activos'!$R$6:$R$239,MATCH($C636,MgActId,0)),"")</f>
        <v/>
      </c>
      <c r="M636" s="64">
        <f>IFERROR(INDEX('1. Matriz de Activos'!$S$6:$S$239,MATCH($C636,MgActId,0)),"")</f>
        <v/>
      </c>
      <c r="N636" s="28">
        <f>IFERROR(INDEX(MgAmenDegD,MATCH(SUBSTITUTE($H636,"*","-"),MgAmenClave,0)),"No aplica")</f>
        <v/>
      </c>
      <c r="O636" s="28">
        <f>IFERROR(INDEX(MgAmenDegI,MATCH(SUBSTITUTE($H636,"*","-"),MgAmenClave,0)),"No aplica")</f>
        <v/>
      </c>
      <c r="P636" s="28">
        <f>IFERROR(INDEX(MgAmenDegC,MATCH(SUBSTITUTE($H636,"*","-"),MgAmenClave,0)),"No aplica")</f>
        <v/>
      </c>
      <c r="Q636" s="29">
        <f>IFERROR(VLOOKUP(K636,MgValor,2,0)*VLOOKUP(N636,MgDeg,2,0),0)</f>
        <v/>
      </c>
      <c r="R636" s="29">
        <f>IFERROR(VLOOKUP(L636,MgValor,2,0)*VLOOKUP(O636,MgDeg,2,0),0)</f>
        <v/>
      </c>
      <c r="S636" s="29">
        <f>IFERROR(VLOOKUP(M636,MgValor,2,0)*VLOOKUP(P636,MgDeg,2,0),0)</f>
        <v/>
      </c>
      <c r="T636" s="30">
        <f>MAX(Q636:S636)</f>
        <v/>
      </c>
      <c r="U636" s="28">
        <f>IFERROR(LOOKUP(T636,{0;0.5;1.5;3;4.5},{"Despreciable";"Bajo";"Medio";"Alto";"Muy alto"}),"")</f>
        <v/>
      </c>
      <c r="V636" s="13">
        <f>IFERROR(INDEX(MgAmenFrec,MATCH(SUBSTITUTE($H636,"*","-"),MgAmenClave,0)),"")</f>
        <v/>
      </c>
      <c r="W636" s="28">
        <f>IFERROR(LOOKUP(X636,{0;0.01;0.1;1;10;100},{"Muy baja";"Muy baja";"Baja";"Media";"Alta";"Muy alta"}),"")</f>
        <v/>
      </c>
      <c r="X636" s="31">
        <f>IFERROR(VLOOKUP(V636,MgFrec,2,0),0)</f>
        <v/>
      </c>
      <c r="Y636" s="30">
        <f>T636*X636</f>
        <v/>
      </c>
      <c r="Z636" s="28">
        <f>IFERROR(LOOKUP(Y636,{0;0.5;5;25},{"Bajo";"Medio";"Alto";"Crítico"}),"")</f>
        <v/>
      </c>
      <c r="AA636" s="64">
        <f>IF(T636&gt;=3,IF(X636&gt;=1,"Zona 1 — Crítica: impacto alto y ocurre al menos una vez al año","Zona 4 — Catastrófica poco probable: impacto alto pero excepcional"),IF(AND(T636&lt;1.5,X636&lt;1),"Zona 3 — Asumible: impacto bajo y muy poco frecuente","Zona 2 — Atención: riesgo intermedio"))</f>
        <v/>
      </c>
      <c r="AB636" s="64">
        <f>IFERROR(INDEX(MgAmenCtrl,MATCH(SUBSTITUTE($H636,"*","-"),MgAmenClave,0)),"")</f>
        <v/>
      </c>
      <c r="AC636" s="20" t="n"/>
      <c r="AD636" s="31">
        <f>IFERROR($X636*(1-IF($AC636="",$AL636,VLOOKUP($AC636,MgMad,2,0))),"")</f>
        <v/>
      </c>
      <c r="AE636" s="28">
        <f>IFERROR(LOOKUP(AD636,{0;0.01;0.1;1;10;100},{"Muy baja";"Muy baja";"Baja";"Media";"Alta";"Muy alta"}),"")</f>
        <v/>
      </c>
      <c r="AF636" s="30">
        <f>T636*AD636</f>
        <v/>
      </c>
      <c r="AG636" s="28">
        <f>IFERROR(LOOKUP(AF636,{0;0.5;5;25},{"Bajo";"Medio";"Alto";"Crítico"}),"")</f>
        <v/>
      </c>
      <c r="AH636" s="28">
        <f>IF(AG636="","",IF(OR(AG636="Crítico",AG636="Alto"),"Mitigar",IF(AG636="Medio","Mitigar","Aceptar y monitorear")))</f>
        <v/>
      </c>
      <c r="AI636" s="21" t="n"/>
      <c r="AJ636" s="21" t="n"/>
      <c r="AK636" s="20" t="n"/>
      <c r="AL636" s="77">
        <f>IFERROR(INDEX(MgAmenEfic,MATCH(SUBSTITUTE($H636,"*","-"),MgAmenClave,0)),0)</f>
        <v/>
      </c>
    </row>
    <row r="637" hidden="1" ht="60" customHeight="1" s="54">
      <c r="B637" s="59" t="inlineStr">
        <is>
          <t>R-0632</t>
        </is>
      </c>
      <c r="C637" s="59" t="inlineStr">
        <is>
          <t>LCO-06</t>
        </is>
      </c>
      <c r="D637" s="64">
        <f>IFERROR(INDEX(MgNombre,MATCH($C637,MgActId,0)),"")</f>
        <v/>
      </c>
      <c r="E637" s="64">
        <f>IFERROR(INDEX(MgProceso,MATCH($C637,MgActId,0)),"")</f>
        <v/>
      </c>
      <c r="F637" s="64">
        <f>IFERROR(INDEX(MgTipo,MATCH($C637,MgActId,0)),"")</f>
        <v/>
      </c>
      <c r="G637" s="64">
        <f>IFERROR(INDEX(MgSubtipo,MATCH($C637,MgActId,0)),"")</f>
        <v/>
      </c>
      <c r="H637" s="59" t="inlineStr">
        <is>
          <t>A.15</t>
        </is>
      </c>
      <c r="I637" s="64">
        <f>IFERROR(INDEX(MgAmenNombre,MATCH(SUBSTITUTE($H637,"*","-"),MgAmenClave,0)),"")</f>
        <v/>
      </c>
      <c r="J637" s="28">
        <f>IFERROR(INDEX(MgAmenGrupo,MATCH(SUBSTITUTE($H637,"*","-"),MgAmenClave,0)),"")</f>
        <v/>
      </c>
      <c r="K637" s="64">
        <f>IFERROR(INDEX('1. Matriz de Activos'!$Q$6:$Q$239,MATCH($C637,MgActId,0)),"")</f>
        <v/>
      </c>
      <c r="L637" s="64">
        <f>IFERROR(INDEX('1. Matriz de Activos'!$R$6:$R$239,MATCH($C637,MgActId,0)),"")</f>
        <v/>
      </c>
      <c r="M637" s="64">
        <f>IFERROR(INDEX('1. Matriz de Activos'!$S$6:$S$239,MATCH($C637,MgActId,0)),"")</f>
        <v/>
      </c>
      <c r="N637" s="28">
        <f>IFERROR(INDEX(MgAmenDegD,MATCH(SUBSTITUTE($H637,"*","-"),MgAmenClave,0)),"No aplica")</f>
        <v/>
      </c>
      <c r="O637" s="28">
        <f>IFERROR(INDEX(MgAmenDegI,MATCH(SUBSTITUTE($H637,"*","-"),MgAmenClave,0)),"No aplica")</f>
        <v/>
      </c>
      <c r="P637" s="28">
        <f>IFERROR(INDEX(MgAmenDegC,MATCH(SUBSTITUTE($H637,"*","-"),MgAmenClave,0)),"No aplica")</f>
        <v/>
      </c>
      <c r="Q637" s="29">
        <f>IFERROR(VLOOKUP(K637,MgValor,2,0)*VLOOKUP(N637,MgDeg,2,0),0)</f>
        <v/>
      </c>
      <c r="R637" s="29">
        <f>IFERROR(VLOOKUP(L637,MgValor,2,0)*VLOOKUP(O637,MgDeg,2,0),0)</f>
        <v/>
      </c>
      <c r="S637" s="29">
        <f>IFERROR(VLOOKUP(M637,MgValor,2,0)*VLOOKUP(P637,MgDeg,2,0),0)</f>
        <v/>
      </c>
      <c r="T637" s="30">
        <f>MAX(Q637:S637)</f>
        <v/>
      </c>
      <c r="U637" s="28">
        <f>IFERROR(LOOKUP(T637,{0;0.5;1.5;3;4.5},{"Despreciable";"Bajo";"Medio";"Alto";"Muy alto"}),"")</f>
        <v/>
      </c>
      <c r="V637" s="13">
        <f>IFERROR(INDEX(MgAmenFrec,MATCH(SUBSTITUTE($H637,"*","-"),MgAmenClave,0)),"")</f>
        <v/>
      </c>
      <c r="W637" s="28">
        <f>IFERROR(LOOKUP(X637,{0;0.01;0.1;1;10;100},{"Muy baja";"Muy baja";"Baja";"Media";"Alta";"Muy alta"}),"")</f>
        <v/>
      </c>
      <c r="X637" s="31">
        <f>IFERROR(VLOOKUP(V637,MgFrec,2,0),0)</f>
        <v/>
      </c>
      <c r="Y637" s="30">
        <f>T637*X637</f>
        <v/>
      </c>
      <c r="Z637" s="28">
        <f>IFERROR(LOOKUP(Y637,{0;0.5;5;25},{"Bajo";"Medio";"Alto";"Crítico"}),"")</f>
        <v/>
      </c>
      <c r="AA637" s="64">
        <f>IF(T637&gt;=3,IF(X637&gt;=1,"Zona 1 — Crítica: impacto alto y ocurre al menos una vez al año","Zona 4 — Catastrófica poco probable: impacto alto pero excepcional"),IF(AND(T637&lt;1.5,X637&lt;1),"Zona 3 — Asumible: impacto bajo y muy poco frecuente","Zona 2 — Atención: riesgo intermedio"))</f>
        <v/>
      </c>
      <c r="AB637" s="64">
        <f>IFERROR(INDEX(MgAmenCtrl,MATCH(SUBSTITUTE($H637,"*","-"),MgAmenClave,0)),"")</f>
        <v/>
      </c>
      <c r="AC637" s="20" t="n"/>
      <c r="AD637" s="31">
        <f>IFERROR($X637*(1-IF($AC637="",$AL637,VLOOKUP($AC637,MgMad,2,0))),"")</f>
        <v/>
      </c>
      <c r="AE637" s="28">
        <f>IFERROR(LOOKUP(AD637,{0;0.01;0.1;1;10;100},{"Muy baja";"Muy baja";"Baja";"Media";"Alta";"Muy alta"}),"")</f>
        <v/>
      </c>
      <c r="AF637" s="30">
        <f>T637*AD637</f>
        <v/>
      </c>
      <c r="AG637" s="28">
        <f>IFERROR(LOOKUP(AF637,{0;0.5;5;25},{"Bajo";"Medio";"Alto";"Crítico"}),"")</f>
        <v/>
      </c>
      <c r="AH637" s="28">
        <f>IF(AG637="","",IF(OR(AG637="Crítico",AG637="Alto"),"Mitigar",IF(AG637="Medio","Mitigar","Aceptar y monitorear")))</f>
        <v/>
      </c>
      <c r="AI637" s="21" t="n"/>
      <c r="AJ637" s="21" t="n"/>
      <c r="AK637" s="20" t="n"/>
      <c r="AL637" s="77">
        <f>IFERROR(INDEX(MgAmenEfic,MATCH(SUBSTITUTE($H637,"*","-"),MgAmenClave,0)),0)</f>
        <v/>
      </c>
    </row>
    <row r="638" hidden="1" ht="60" customHeight="1" s="54">
      <c r="B638" s="59" t="inlineStr">
        <is>
          <t>R-0633</t>
        </is>
      </c>
      <c r="C638" s="59" t="inlineStr">
        <is>
          <t>LCO-06</t>
        </is>
      </c>
      <c r="D638" s="64">
        <f>IFERROR(INDEX(MgNombre,MATCH($C638,MgActId,0)),"")</f>
        <v/>
      </c>
      <c r="E638" s="64">
        <f>IFERROR(INDEX(MgProceso,MATCH($C638,MgActId,0)),"")</f>
        <v/>
      </c>
      <c r="F638" s="64">
        <f>IFERROR(INDEX(MgTipo,MATCH($C638,MgActId,0)),"")</f>
        <v/>
      </c>
      <c r="G638" s="64">
        <f>IFERROR(INDEX(MgSubtipo,MATCH($C638,MgActId,0)),"")</f>
        <v/>
      </c>
      <c r="H638" s="59" t="inlineStr">
        <is>
          <t>A.18</t>
        </is>
      </c>
      <c r="I638" s="64">
        <f>IFERROR(INDEX(MgAmenNombre,MATCH(SUBSTITUTE($H638,"*","-"),MgAmenClave,0)),"")</f>
        <v/>
      </c>
      <c r="J638" s="28">
        <f>IFERROR(INDEX(MgAmenGrupo,MATCH(SUBSTITUTE($H638,"*","-"),MgAmenClave,0)),"")</f>
        <v/>
      </c>
      <c r="K638" s="64">
        <f>IFERROR(INDEX('1. Matriz de Activos'!$Q$6:$Q$239,MATCH($C638,MgActId,0)),"")</f>
        <v/>
      </c>
      <c r="L638" s="64">
        <f>IFERROR(INDEX('1. Matriz de Activos'!$R$6:$R$239,MATCH($C638,MgActId,0)),"")</f>
        <v/>
      </c>
      <c r="M638" s="64">
        <f>IFERROR(INDEX('1. Matriz de Activos'!$S$6:$S$239,MATCH($C638,MgActId,0)),"")</f>
        <v/>
      </c>
      <c r="N638" s="28">
        <f>IFERROR(INDEX(MgAmenDegD,MATCH(SUBSTITUTE($H638,"*","-"),MgAmenClave,0)),"No aplica")</f>
        <v/>
      </c>
      <c r="O638" s="28">
        <f>IFERROR(INDEX(MgAmenDegI,MATCH(SUBSTITUTE($H638,"*","-"),MgAmenClave,0)),"No aplica")</f>
        <v/>
      </c>
      <c r="P638" s="28">
        <f>IFERROR(INDEX(MgAmenDegC,MATCH(SUBSTITUTE($H638,"*","-"),MgAmenClave,0)),"No aplica")</f>
        <v/>
      </c>
      <c r="Q638" s="29">
        <f>IFERROR(VLOOKUP(K638,MgValor,2,0)*VLOOKUP(N638,MgDeg,2,0),0)</f>
        <v/>
      </c>
      <c r="R638" s="29">
        <f>IFERROR(VLOOKUP(L638,MgValor,2,0)*VLOOKUP(O638,MgDeg,2,0),0)</f>
        <v/>
      </c>
      <c r="S638" s="29">
        <f>IFERROR(VLOOKUP(M638,MgValor,2,0)*VLOOKUP(P638,MgDeg,2,0),0)</f>
        <v/>
      </c>
      <c r="T638" s="30">
        <f>MAX(Q638:S638)</f>
        <v/>
      </c>
      <c r="U638" s="28">
        <f>IFERROR(LOOKUP(T638,{0;0.5;1.5;3;4.5},{"Despreciable";"Bajo";"Medio";"Alto";"Muy alto"}),"")</f>
        <v/>
      </c>
      <c r="V638" s="13">
        <f>IFERROR(INDEX(MgAmenFrec,MATCH(SUBSTITUTE($H638,"*","-"),MgAmenClave,0)),"")</f>
        <v/>
      </c>
      <c r="W638" s="28">
        <f>IFERROR(LOOKUP(X638,{0;0.01;0.1;1;10;100},{"Muy baja";"Muy baja";"Baja";"Media";"Alta";"Muy alta"}),"")</f>
        <v/>
      </c>
      <c r="X638" s="31">
        <f>IFERROR(VLOOKUP(V638,MgFrec,2,0),0)</f>
        <v/>
      </c>
      <c r="Y638" s="30">
        <f>T638*X638</f>
        <v/>
      </c>
      <c r="Z638" s="28">
        <f>IFERROR(LOOKUP(Y638,{0;0.5;5;25},{"Bajo";"Medio";"Alto";"Crítico"}),"")</f>
        <v/>
      </c>
      <c r="AA638" s="64">
        <f>IF(T638&gt;=3,IF(X638&gt;=1,"Zona 1 — Crítica: impacto alto y ocurre al menos una vez al año","Zona 4 — Catastrófica poco probable: impacto alto pero excepcional"),IF(AND(T638&lt;1.5,X638&lt;1),"Zona 3 — Asumible: impacto bajo y muy poco frecuente","Zona 2 — Atención: riesgo intermedio"))</f>
        <v/>
      </c>
      <c r="AB638" s="64">
        <f>IFERROR(INDEX(MgAmenCtrl,MATCH(SUBSTITUTE($H638,"*","-"),MgAmenClave,0)),"")</f>
        <v/>
      </c>
      <c r="AC638" s="20" t="n"/>
      <c r="AD638" s="31">
        <f>IFERROR($X638*(1-IF($AC638="",$AL638,VLOOKUP($AC638,MgMad,2,0))),"")</f>
        <v/>
      </c>
      <c r="AE638" s="28">
        <f>IFERROR(LOOKUP(AD638,{0;0.01;0.1;1;10;100},{"Muy baja";"Muy baja";"Baja";"Media";"Alta";"Muy alta"}),"")</f>
        <v/>
      </c>
      <c r="AF638" s="30">
        <f>T638*AD638</f>
        <v/>
      </c>
      <c r="AG638" s="28">
        <f>IFERROR(LOOKUP(AF638,{0;0.5;5;25},{"Bajo";"Medio";"Alto";"Crítico"}),"")</f>
        <v/>
      </c>
      <c r="AH638" s="28">
        <f>IF(AG638="","",IF(OR(AG638="Crítico",AG638="Alto"),"Mitigar",IF(AG638="Medio","Mitigar","Aceptar y monitorear")))</f>
        <v/>
      </c>
      <c r="AI638" s="21" t="n"/>
      <c r="AJ638" s="21" t="n"/>
      <c r="AK638" s="20" t="n"/>
      <c r="AL638" s="77">
        <f>IFERROR(INDEX(MgAmenEfic,MATCH(SUBSTITUTE($H638,"*","-"),MgAmenClave,0)),0)</f>
        <v/>
      </c>
    </row>
    <row r="639" hidden="1" ht="120" customHeight="1" s="54">
      <c r="B639" s="59" t="inlineStr">
        <is>
          <t>R-0634</t>
        </is>
      </c>
      <c r="C639" s="59" t="inlineStr">
        <is>
          <t>LCO-06</t>
        </is>
      </c>
      <c r="D639" s="64">
        <f>IFERROR(INDEX(MgNombre,MATCH($C639,MgActId,0)),"")</f>
        <v/>
      </c>
      <c r="E639" s="64">
        <f>IFERROR(INDEX(MgProceso,MATCH($C639,MgActId,0)),"")</f>
        <v/>
      </c>
      <c r="F639" s="64">
        <f>IFERROR(INDEX(MgTipo,MATCH($C639,MgActId,0)),"")</f>
        <v/>
      </c>
      <c r="G639" s="64">
        <f>IFERROR(INDEX(MgSubtipo,MATCH($C639,MgActId,0)),"")</f>
        <v/>
      </c>
      <c r="H639" s="59" t="inlineStr">
        <is>
          <t>A.19</t>
        </is>
      </c>
      <c r="I639" s="64">
        <f>IFERROR(INDEX(MgAmenNombre,MATCH(SUBSTITUTE($H639,"*","-"),MgAmenClave,0)),"")</f>
        <v/>
      </c>
      <c r="J639" s="28">
        <f>IFERROR(INDEX(MgAmenGrupo,MATCH(SUBSTITUTE($H639,"*","-"),MgAmenClave,0)),"")</f>
        <v/>
      </c>
      <c r="K639" s="64">
        <f>IFERROR(INDEX('1. Matriz de Activos'!$Q$6:$Q$239,MATCH($C639,MgActId,0)),"")</f>
        <v/>
      </c>
      <c r="L639" s="64">
        <f>IFERROR(INDEX('1. Matriz de Activos'!$R$6:$R$239,MATCH($C639,MgActId,0)),"")</f>
        <v/>
      </c>
      <c r="M639" s="64">
        <f>IFERROR(INDEX('1. Matriz de Activos'!$S$6:$S$239,MATCH($C639,MgActId,0)),"")</f>
        <v/>
      </c>
      <c r="N639" s="28">
        <f>IFERROR(INDEX(MgAmenDegD,MATCH(SUBSTITUTE($H639,"*","-"),MgAmenClave,0)),"No aplica")</f>
        <v/>
      </c>
      <c r="O639" s="28">
        <f>IFERROR(INDEX(MgAmenDegI,MATCH(SUBSTITUTE($H639,"*","-"),MgAmenClave,0)),"No aplica")</f>
        <v/>
      </c>
      <c r="P639" s="28">
        <f>IFERROR(INDEX(MgAmenDegC,MATCH(SUBSTITUTE($H639,"*","-"),MgAmenClave,0)),"No aplica")</f>
        <v/>
      </c>
      <c r="Q639" s="29">
        <f>IFERROR(VLOOKUP(K639,MgValor,2,0)*VLOOKUP(N639,MgDeg,2,0),0)</f>
        <v/>
      </c>
      <c r="R639" s="29">
        <f>IFERROR(VLOOKUP(L639,MgValor,2,0)*VLOOKUP(O639,MgDeg,2,0),0)</f>
        <v/>
      </c>
      <c r="S639" s="29">
        <f>IFERROR(VLOOKUP(M639,MgValor,2,0)*VLOOKUP(P639,MgDeg,2,0),0)</f>
        <v/>
      </c>
      <c r="T639" s="30">
        <f>MAX(Q639:S639)</f>
        <v/>
      </c>
      <c r="U639" s="28">
        <f>IFERROR(LOOKUP(T639,{0;0.5;1.5;3;4.5},{"Despreciable";"Bajo";"Medio";"Alto";"Muy alto"}),"")</f>
        <v/>
      </c>
      <c r="V639" s="13">
        <f>IFERROR(INDEX(MgAmenFrec,MATCH(SUBSTITUTE($H639,"*","-"),MgAmenClave,0)),"")</f>
        <v/>
      </c>
      <c r="W639" s="28">
        <f>IFERROR(LOOKUP(X639,{0;0.01;0.1;1;10;100},{"Muy baja";"Muy baja";"Baja";"Media";"Alta";"Muy alta"}),"")</f>
        <v/>
      </c>
      <c r="X639" s="31">
        <f>IFERROR(VLOOKUP(V639,MgFrec,2,0),0)</f>
        <v/>
      </c>
      <c r="Y639" s="30">
        <f>T639*X639</f>
        <v/>
      </c>
      <c r="Z639" s="28">
        <f>IFERROR(LOOKUP(Y639,{0;0.5;5;25},{"Bajo";"Medio";"Alto";"Crítico"}),"")</f>
        <v/>
      </c>
      <c r="AA639" s="64">
        <f>IF(T639&gt;=3,IF(X639&gt;=1,"Zona 1 — Crítica: impacto alto y ocurre al menos una vez al año","Zona 4 — Catastrófica poco probable: impacto alto pero excepcional"),IF(AND(T639&lt;1.5,X639&lt;1),"Zona 3 — Asumible: impacto bajo y muy poco frecuente","Zona 2 — Atención: riesgo intermedio"))</f>
        <v/>
      </c>
      <c r="AB639" s="64">
        <f>IFERROR(INDEX(MgAmenCtrl,MATCH(SUBSTITUTE($H639,"*","-"),MgAmenClave,0)),"")</f>
        <v/>
      </c>
      <c r="AC639" s="20" t="n"/>
      <c r="AD639" s="31">
        <f>IFERROR($X639*(1-IF($AC639="",$AL639,VLOOKUP($AC639,MgMad,2,0))),"")</f>
        <v/>
      </c>
      <c r="AE639" s="28">
        <f>IFERROR(LOOKUP(AD639,{0;0.01;0.1;1;10;100},{"Muy baja";"Muy baja";"Baja";"Media";"Alta";"Muy alta"}),"")</f>
        <v/>
      </c>
      <c r="AF639" s="30">
        <f>T639*AD639</f>
        <v/>
      </c>
      <c r="AG639" s="28">
        <f>IFERROR(LOOKUP(AF639,{0;0.5;5;25},{"Bajo";"Medio";"Alto";"Crítico"}),"")</f>
        <v/>
      </c>
      <c r="AH639" s="28">
        <f>IF(AG639="","",IF(OR(AG639="Crítico",AG639="Alto"),"Mitigar",IF(AG639="Medio","Mitigar","Aceptar y monitorear")))</f>
        <v/>
      </c>
      <c r="AI639" s="21" t="n"/>
      <c r="AJ639" s="21" t="n"/>
      <c r="AK639" s="20" t="n"/>
      <c r="AL639" s="77">
        <f>IFERROR(INDEX(MgAmenEfic,MATCH(SUBSTITUTE($H639,"*","-"),MgAmenClave,0)),0)</f>
        <v/>
      </c>
    </row>
    <row r="640" hidden="1" ht="105" customHeight="1" s="54">
      <c r="B640" s="59" t="inlineStr">
        <is>
          <t>R-0635</t>
        </is>
      </c>
      <c r="C640" s="59" t="inlineStr">
        <is>
          <t>FIN-09</t>
        </is>
      </c>
      <c r="D640" s="64">
        <f>IFERROR(INDEX(MgNombre,MATCH($C640,MgActId,0)),"")</f>
        <v/>
      </c>
      <c r="E640" s="64">
        <f>IFERROR(INDEX(MgProceso,MATCH($C640,MgActId,0)),"")</f>
        <v/>
      </c>
      <c r="F640" s="64">
        <f>IFERROR(INDEX(MgTipo,MATCH($C640,MgActId,0)),"")</f>
        <v/>
      </c>
      <c r="G640" s="64">
        <f>IFERROR(INDEX(MgSubtipo,MATCH($C640,MgActId,0)),"")</f>
        <v/>
      </c>
      <c r="H640" s="59" t="inlineStr">
        <is>
          <t>E.1</t>
        </is>
      </c>
      <c r="I640" s="64">
        <f>IFERROR(INDEX(MgAmenNombre,MATCH(SUBSTITUTE($H640,"*","-"),MgAmenClave,0)),"")</f>
        <v/>
      </c>
      <c r="J640" s="28">
        <f>IFERROR(INDEX(MgAmenGrupo,MATCH(SUBSTITUTE($H640,"*","-"),MgAmenClave,0)),"")</f>
        <v/>
      </c>
      <c r="K640" s="64">
        <f>IFERROR(INDEX('1. Matriz de Activos'!$Q$6:$Q$239,MATCH($C640,MgActId,0)),"")</f>
        <v/>
      </c>
      <c r="L640" s="64">
        <f>IFERROR(INDEX('1. Matriz de Activos'!$R$6:$R$239,MATCH($C640,MgActId,0)),"")</f>
        <v/>
      </c>
      <c r="M640" s="64">
        <f>IFERROR(INDEX('1. Matriz de Activos'!$S$6:$S$239,MATCH($C640,MgActId,0)),"")</f>
        <v/>
      </c>
      <c r="N640" s="28">
        <f>IFERROR(INDEX(MgAmenDegD,MATCH(SUBSTITUTE($H640,"*","-"),MgAmenClave,0)),"No aplica")</f>
        <v/>
      </c>
      <c r="O640" s="28">
        <f>IFERROR(INDEX(MgAmenDegI,MATCH(SUBSTITUTE($H640,"*","-"),MgAmenClave,0)),"No aplica")</f>
        <v/>
      </c>
      <c r="P640" s="28">
        <f>IFERROR(INDEX(MgAmenDegC,MATCH(SUBSTITUTE($H640,"*","-"),MgAmenClave,0)),"No aplica")</f>
        <v/>
      </c>
      <c r="Q640" s="29">
        <f>IFERROR(VLOOKUP(K640,MgValor,2,0)*VLOOKUP(N640,MgDeg,2,0),0)</f>
        <v/>
      </c>
      <c r="R640" s="29">
        <f>IFERROR(VLOOKUP(L640,MgValor,2,0)*VLOOKUP(O640,MgDeg,2,0),0)</f>
        <v/>
      </c>
      <c r="S640" s="29">
        <f>IFERROR(VLOOKUP(M640,MgValor,2,0)*VLOOKUP(P640,MgDeg,2,0),0)</f>
        <v/>
      </c>
      <c r="T640" s="30">
        <f>MAX(Q640:S640)</f>
        <v/>
      </c>
      <c r="U640" s="28">
        <f>IFERROR(LOOKUP(T640,{0;0.5;1.5;3;4.5},{"Despreciable";"Bajo";"Medio";"Alto";"Muy alto"}),"")</f>
        <v/>
      </c>
      <c r="V640" s="13">
        <f>IFERROR(INDEX(MgAmenFrec,MATCH(SUBSTITUTE($H640,"*","-"),MgAmenClave,0)),"")</f>
        <v/>
      </c>
      <c r="W640" s="28">
        <f>IFERROR(LOOKUP(X640,{0;0.01;0.1;1;10;100},{"Muy baja";"Muy baja";"Baja";"Media";"Alta";"Muy alta"}),"")</f>
        <v/>
      </c>
      <c r="X640" s="31">
        <f>IFERROR(VLOOKUP(V640,MgFrec,2,0),0)</f>
        <v/>
      </c>
      <c r="Y640" s="30">
        <f>T640*X640</f>
        <v/>
      </c>
      <c r="Z640" s="28">
        <f>IFERROR(LOOKUP(Y640,{0;0.5;5;25},{"Bajo";"Medio";"Alto";"Crítico"}),"")</f>
        <v/>
      </c>
      <c r="AA640" s="64">
        <f>IF(T640&gt;=3,IF(X640&gt;=1,"Zona 1 — Crítica: impacto alto y ocurre al menos una vez al año","Zona 4 — Catastrófica poco probable: impacto alto pero excepcional"),IF(AND(T640&lt;1.5,X640&lt;1),"Zona 3 — Asumible: impacto bajo y muy poco frecuente","Zona 2 — Atención: riesgo intermedio"))</f>
        <v/>
      </c>
      <c r="AB640" s="64">
        <f>IFERROR(INDEX(MgAmenCtrl,MATCH(SUBSTITUTE($H640,"*","-"),MgAmenClave,0)),"")</f>
        <v/>
      </c>
      <c r="AC640" s="20" t="n"/>
      <c r="AD640" s="31">
        <f>IFERROR($X640*(1-IF($AC640="",$AL640,VLOOKUP($AC640,MgMad,2,0))),"")</f>
        <v/>
      </c>
      <c r="AE640" s="28">
        <f>IFERROR(LOOKUP(AD640,{0;0.01;0.1;1;10;100},{"Muy baja";"Muy baja";"Baja";"Media";"Alta";"Muy alta"}),"")</f>
        <v/>
      </c>
      <c r="AF640" s="30">
        <f>T640*AD640</f>
        <v/>
      </c>
      <c r="AG640" s="28">
        <f>IFERROR(LOOKUP(AF640,{0;0.5;5;25},{"Bajo";"Medio";"Alto";"Crítico"}),"")</f>
        <v/>
      </c>
      <c r="AH640" s="28">
        <f>IF(AG640="","",IF(OR(AG640="Crítico",AG640="Alto"),"Mitigar",IF(AG640="Medio","Mitigar","Aceptar y monitorear")))</f>
        <v/>
      </c>
      <c r="AI640" s="21" t="n"/>
      <c r="AJ640" s="21" t="n"/>
      <c r="AK640" s="20" t="n"/>
      <c r="AL640" s="77">
        <f>IFERROR(INDEX(MgAmenEfic,MATCH(SUBSTITUTE($H640,"*","-"),MgAmenClave,0)),0)</f>
        <v/>
      </c>
    </row>
    <row r="641" hidden="1" ht="120" customHeight="1" s="54">
      <c r="B641" s="59" t="inlineStr">
        <is>
          <t>R-0636</t>
        </is>
      </c>
      <c r="C641" s="59" t="inlineStr">
        <is>
          <t>FIN-09</t>
        </is>
      </c>
      <c r="D641" s="64">
        <f>IFERROR(INDEX(MgNombre,MATCH($C641,MgActId,0)),"")</f>
        <v/>
      </c>
      <c r="E641" s="64">
        <f>IFERROR(INDEX(MgProceso,MATCH($C641,MgActId,0)),"")</f>
        <v/>
      </c>
      <c r="F641" s="64">
        <f>IFERROR(INDEX(MgTipo,MATCH($C641,MgActId,0)),"")</f>
        <v/>
      </c>
      <c r="G641" s="64">
        <f>IFERROR(INDEX(MgSubtipo,MATCH($C641,MgActId,0)),"")</f>
        <v/>
      </c>
      <c r="H641" s="59" t="inlineStr">
        <is>
          <t>E.2</t>
        </is>
      </c>
      <c r="I641" s="64">
        <f>IFERROR(INDEX(MgAmenNombre,MATCH(SUBSTITUTE($H641,"*","-"),MgAmenClave,0)),"")</f>
        <v/>
      </c>
      <c r="J641" s="28">
        <f>IFERROR(INDEX(MgAmenGrupo,MATCH(SUBSTITUTE($H641,"*","-"),MgAmenClave,0)),"")</f>
        <v/>
      </c>
      <c r="K641" s="64">
        <f>IFERROR(INDEX('1. Matriz de Activos'!$Q$6:$Q$239,MATCH($C641,MgActId,0)),"")</f>
        <v/>
      </c>
      <c r="L641" s="64">
        <f>IFERROR(INDEX('1. Matriz de Activos'!$R$6:$R$239,MATCH($C641,MgActId,0)),"")</f>
        <v/>
      </c>
      <c r="M641" s="64">
        <f>IFERROR(INDEX('1. Matriz de Activos'!$S$6:$S$239,MATCH($C641,MgActId,0)),"")</f>
        <v/>
      </c>
      <c r="N641" s="28">
        <f>IFERROR(INDEX(MgAmenDegD,MATCH(SUBSTITUTE($H641,"*","-"),MgAmenClave,0)),"No aplica")</f>
        <v/>
      </c>
      <c r="O641" s="28">
        <f>IFERROR(INDEX(MgAmenDegI,MATCH(SUBSTITUTE($H641,"*","-"),MgAmenClave,0)),"No aplica")</f>
        <v/>
      </c>
      <c r="P641" s="28">
        <f>IFERROR(INDEX(MgAmenDegC,MATCH(SUBSTITUTE($H641,"*","-"),MgAmenClave,0)),"No aplica")</f>
        <v/>
      </c>
      <c r="Q641" s="29">
        <f>IFERROR(VLOOKUP(K641,MgValor,2,0)*VLOOKUP(N641,MgDeg,2,0),0)</f>
        <v/>
      </c>
      <c r="R641" s="29">
        <f>IFERROR(VLOOKUP(L641,MgValor,2,0)*VLOOKUP(O641,MgDeg,2,0),0)</f>
        <v/>
      </c>
      <c r="S641" s="29">
        <f>IFERROR(VLOOKUP(M641,MgValor,2,0)*VLOOKUP(P641,MgDeg,2,0),0)</f>
        <v/>
      </c>
      <c r="T641" s="30">
        <f>MAX(Q641:S641)</f>
        <v/>
      </c>
      <c r="U641" s="28">
        <f>IFERROR(LOOKUP(T641,{0;0.5;1.5;3;4.5},{"Despreciable";"Bajo";"Medio";"Alto";"Muy alto"}),"")</f>
        <v/>
      </c>
      <c r="V641" s="13">
        <f>IFERROR(INDEX(MgAmenFrec,MATCH(SUBSTITUTE($H641,"*","-"),MgAmenClave,0)),"")</f>
        <v/>
      </c>
      <c r="W641" s="28">
        <f>IFERROR(LOOKUP(X641,{0;0.01;0.1;1;10;100},{"Muy baja";"Muy baja";"Baja";"Media";"Alta";"Muy alta"}),"")</f>
        <v/>
      </c>
      <c r="X641" s="31">
        <f>IFERROR(VLOOKUP(V641,MgFrec,2,0),0)</f>
        <v/>
      </c>
      <c r="Y641" s="30">
        <f>T641*X641</f>
        <v/>
      </c>
      <c r="Z641" s="28">
        <f>IFERROR(LOOKUP(Y641,{0;0.5;5;25},{"Bajo";"Medio";"Alto";"Crítico"}),"")</f>
        <v/>
      </c>
      <c r="AA641" s="64">
        <f>IF(T641&gt;=3,IF(X641&gt;=1,"Zona 1 — Crítica: impacto alto y ocurre al menos una vez al año","Zona 4 — Catastrófica poco probable: impacto alto pero excepcional"),IF(AND(T641&lt;1.5,X641&lt;1),"Zona 3 — Asumible: impacto bajo y muy poco frecuente","Zona 2 — Atención: riesgo intermedio"))</f>
        <v/>
      </c>
      <c r="AB641" s="64">
        <f>IFERROR(INDEX(MgAmenCtrl,MATCH(SUBSTITUTE($H641,"*","-"),MgAmenClave,0)),"")</f>
        <v/>
      </c>
      <c r="AC641" s="20" t="n"/>
      <c r="AD641" s="31">
        <f>IFERROR($X641*(1-IF($AC641="",$AL641,VLOOKUP($AC641,MgMad,2,0))),"")</f>
        <v/>
      </c>
      <c r="AE641" s="28">
        <f>IFERROR(LOOKUP(AD641,{0;0.01;0.1;1;10;100},{"Muy baja";"Muy baja";"Baja";"Media";"Alta";"Muy alta"}),"")</f>
        <v/>
      </c>
      <c r="AF641" s="30">
        <f>T641*AD641</f>
        <v/>
      </c>
      <c r="AG641" s="28">
        <f>IFERROR(LOOKUP(AF641,{0;0.5;5;25},{"Bajo";"Medio";"Alto";"Crítico"}),"")</f>
        <v/>
      </c>
      <c r="AH641" s="28">
        <f>IF(AG641="","",IF(OR(AG641="Crítico",AG641="Alto"),"Mitigar",IF(AG641="Medio","Mitigar","Aceptar y monitorear")))</f>
        <v/>
      </c>
      <c r="AI641" s="21" t="n"/>
      <c r="AJ641" s="21" t="n"/>
      <c r="AK641" s="20" t="n"/>
      <c r="AL641" s="77">
        <f>IFERROR(INDEX(MgAmenEfic,MATCH(SUBSTITUTE($H641,"*","-"),MgAmenClave,0)),0)</f>
        <v/>
      </c>
    </row>
    <row r="642" hidden="1" ht="75" customHeight="1" s="54">
      <c r="B642" s="59" t="inlineStr">
        <is>
          <t>R-0637</t>
        </is>
      </c>
      <c r="C642" s="59" t="inlineStr">
        <is>
          <t>FIN-09</t>
        </is>
      </c>
      <c r="D642" s="64">
        <f>IFERROR(INDEX(MgNombre,MATCH($C642,MgActId,0)),"")</f>
        <v/>
      </c>
      <c r="E642" s="64">
        <f>IFERROR(INDEX(MgProceso,MATCH($C642,MgActId,0)),"")</f>
        <v/>
      </c>
      <c r="F642" s="64">
        <f>IFERROR(INDEX(MgTipo,MATCH($C642,MgActId,0)),"")</f>
        <v/>
      </c>
      <c r="G642" s="64">
        <f>IFERROR(INDEX(MgSubtipo,MATCH($C642,MgActId,0)),"")</f>
        <v/>
      </c>
      <c r="H642" s="59" t="inlineStr">
        <is>
          <t>E.3</t>
        </is>
      </c>
      <c r="I642" s="64">
        <f>IFERROR(INDEX(MgAmenNombre,MATCH(SUBSTITUTE($H642,"*","-"),MgAmenClave,0)),"")</f>
        <v/>
      </c>
      <c r="J642" s="28">
        <f>IFERROR(INDEX(MgAmenGrupo,MATCH(SUBSTITUTE($H642,"*","-"),MgAmenClave,0)),"")</f>
        <v/>
      </c>
      <c r="K642" s="64">
        <f>IFERROR(INDEX('1. Matriz de Activos'!$Q$6:$Q$239,MATCH($C642,MgActId,0)),"")</f>
        <v/>
      </c>
      <c r="L642" s="64">
        <f>IFERROR(INDEX('1. Matriz de Activos'!$R$6:$R$239,MATCH($C642,MgActId,0)),"")</f>
        <v/>
      </c>
      <c r="M642" s="64">
        <f>IFERROR(INDEX('1. Matriz de Activos'!$S$6:$S$239,MATCH($C642,MgActId,0)),"")</f>
        <v/>
      </c>
      <c r="N642" s="28">
        <f>IFERROR(INDEX(MgAmenDegD,MATCH(SUBSTITUTE($H642,"*","-"),MgAmenClave,0)),"No aplica")</f>
        <v/>
      </c>
      <c r="O642" s="28">
        <f>IFERROR(INDEX(MgAmenDegI,MATCH(SUBSTITUTE($H642,"*","-"),MgAmenClave,0)),"No aplica")</f>
        <v/>
      </c>
      <c r="P642" s="28">
        <f>IFERROR(INDEX(MgAmenDegC,MATCH(SUBSTITUTE($H642,"*","-"),MgAmenClave,0)),"No aplica")</f>
        <v/>
      </c>
      <c r="Q642" s="29">
        <f>IFERROR(VLOOKUP(K642,MgValor,2,0)*VLOOKUP(N642,MgDeg,2,0),0)</f>
        <v/>
      </c>
      <c r="R642" s="29">
        <f>IFERROR(VLOOKUP(L642,MgValor,2,0)*VLOOKUP(O642,MgDeg,2,0),0)</f>
        <v/>
      </c>
      <c r="S642" s="29">
        <f>IFERROR(VLOOKUP(M642,MgValor,2,0)*VLOOKUP(P642,MgDeg,2,0),0)</f>
        <v/>
      </c>
      <c r="T642" s="30">
        <f>MAX(Q642:S642)</f>
        <v/>
      </c>
      <c r="U642" s="28">
        <f>IFERROR(LOOKUP(T642,{0;0.5;1.5;3;4.5},{"Despreciable";"Bajo";"Medio";"Alto";"Muy alto"}),"")</f>
        <v/>
      </c>
      <c r="V642" s="13">
        <f>IFERROR(INDEX(MgAmenFrec,MATCH(SUBSTITUTE($H642,"*","-"),MgAmenClave,0)),"")</f>
        <v/>
      </c>
      <c r="W642" s="28">
        <f>IFERROR(LOOKUP(X642,{0;0.01;0.1;1;10;100},{"Muy baja";"Muy baja";"Baja";"Media";"Alta";"Muy alta"}),"")</f>
        <v/>
      </c>
      <c r="X642" s="31">
        <f>IFERROR(VLOOKUP(V642,MgFrec,2,0),0)</f>
        <v/>
      </c>
      <c r="Y642" s="30">
        <f>T642*X642</f>
        <v/>
      </c>
      <c r="Z642" s="28">
        <f>IFERROR(LOOKUP(Y642,{0;0.5;5;25},{"Bajo";"Medio";"Alto";"Crítico"}),"")</f>
        <v/>
      </c>
      <c r="AA642" s="64">
        <f>IF(T642&gt;=3,IF(X642&gt;=1,"Zona 1 — Crítica: impacto alto y ocurre al menos una vez al año","Zona 4 — Catastrófica poco probable: impacto alto pero excepcional"),IF(AND(T642&lt;1.5,X642&lt;1),"Zona 3 — Asumible: impacto bajo y muy poco frecuente","Zona 2 — Atención: riesgo intermedio"))</f>
        <v/>
      </c>
      <c r="AB642" s="64">
        <f>IFERROR(INDEX(MgAmenCtrl,MATCH(SUBSTITUTE($H642,"*","-"),MgAmenClave,0)),"")</f>
        <v/>
      </c>
      <c r="AC642" s="20" t="n"/>
      <c r="AD642" s="31">
        <f>IFERROR($X642*(1-IF($AC642="",$AL642,VLOOKUP($AC642,MgMad,2,0))),"")</f>
        <v/>
      </c>
      <c r="AE642" s="28">
        <f>IFERROR(LOOKUP(AD642,{0;0.01;0.1;1;10;100},{"Muy baja";"Muy baja";"Baja";"Media";"Alta";"Muy alta"}),"")</f>
        <v/>
      </c>
      <c r="AF642" s="30">
        <f>T642*AD642</f>
        <v/>
      </c>
      <c r="AG642" s="28">
        <f>IFERROR(LOOKUP(AF642,{0;0.5;5;25},{"Bajo";"Medio";"Alto";"Crítico"}),"")</f>
        <v/>
      </c>
      <c r="AH642" s="28">
        <f>IF(AG642="","",IF(OR(AG642="Crítico",AG642="Alto"),"Mitigar",IF(AG642="Medio","Mitigar","Aceptar y monitorear")))</f>
        <v/>
      </c>
      <c r="AI642" s="21" t="n"/>
      <c r="AJ642" s="21" t="n"/>
      <c r="AK642" s="20" t="n"/>
      <c r="AL642" s="77">
        <f>IFERROR(INDEX(MgAmenEfic,MATCH(SUBSTITUTE($H642,"*","-"),MgAmenClave,0)),0)</f>
        <v/>
      </c>
    </row>
    <row r="643" hidden="1" ht="75" customHeight="1" s="54">
      <c r="B643" s="59" t="inlineStr">
        <is>
          <t>R-0638</t>
        </is>
      </c>
      <c r="C643" s="59" t="inlineStr">
        <is>
          <t>FIN-09</t>
        </is>
      </c>
      <c r="D643" s="64">
        <f>IFERROR(INDEX(MgNombre,MATCH($C643,MgActId,0)),"")</f>
        <v/>
      </c>
      <c r="E643" s="64">
        <f>IFERROR(INDEX(MgProceso,MATCH($C643,MgActId,0)),"")</f>
        <v/>
      </c>
      <c r="F643" s="64">
        <f>IFERROR(INDEX(MgTipo,MATCH($C643,MgActId,0)),"")</f>
        <v/>
      </c>
      <c r="G643" s="64">
        <f>IFERROR(INDEX(MgSubtipo,MATCH($C643,MgActId,0)),"")</f>
        <v/>
      </c>
      <c r="H643" s="59" t="inlineStr">
        <is>
          <t>E.4</t>
        </is>
      </c>
      <c r="I643" s="64">
        <f>IFERROR(INDEX(MgAmenNombre,MATCH(SUBSTITUTE($H643,"*","-"),MgAmenClave,0)),"")</f>
        <v/>
      </c>
      <c r="J643" s="28">
        <f>IFERROR(INDEX(MgAmenGrupo,MATCH(SUBSTITUTE($H643,"*","-"),MgAmenClave,0)),"")</f>
        <v/>
      </c>
      <c r="K643" s="64">
        <f>IFERROR(INDEX('1. Matriz de Activos'!$Q$6:$Q$239,MATCH($C643,MgActId,0)),"")</f>
        <v/>
      </c>
      <c r="L643" s="64">
        <f>IFERROR(INDEX('1. Matriz de Activos'!$R$6:$R$239,MATCH($C643,MgActId,0)),"")</f>
        <v/>
      </c>
      <c r="M643" s="64">
        <f>IFERROR(INDEX('1. Matriz de Activos'!$S$6:$S$239,MATCH($C643,MgActId,0)),"")</f>
        <v/>
      </c>
      <c r="N643" s="28">
        <f>IFERROR(INDEX(MgAmenDegD,MATCH(SUBSTITUTE($H643,"*","-"),MgAmenClave,0)),"No aplica")</f>
        <v/>
      </c>
      <c r="O643" s="28">
        <f>IFERROR(INDEX(MgAmenDegI,MATCH(SUBSTITUTE($H643,"*","-"),MgAmenClave,0)),"No aplica")</f>
        <v/>
      </c>
      <c r="P643" s="28">
        <f>IFERROR(INDEX(MgAmenDegC,MATCH(SUBSTITUTE($H643,"*","-"),MgAmenClave,0)),"No aplica")</f>
        <v/>
      </c>
      <c r="Q643" s="29">
        <f>IFERROR(VLOOKUP(K643,MgValor,2,0)*VLOOKUP(N643,MgDeg,2,0),0)</f>
        <v/>
      </c>
      <c r="R643" s="29">
        <f>IFERROR(VLOOKUP(L643,MgValor,2,0)*VLOOKUP(O643,MgDeg,2,0),0)</f>
        <v/>
      </c>
      <c r="S643" s="29">
        <f>IFERROR(VLOOKUP(M643,MgValor,2,0)*VLOOKUP(P643,MgDeg,2,0),0)</f>
        <v/>
      </c>
      <c r="T643" s="30">
        <f>MAX(Q643:S643)</f>
        <v/>
      </c>
      <c r="U643" s="28">
        <f>IFERROR(LOOKUP(T643,{0;0.5;1.5;3;4.5},{"Despreciable";"Bajo";"Medio";"Alto";"Muy alto"}),"")</f>
        <v/>
      </c>
      <c r="V643" s="13">
        <f>IFERROR(INDEX(MgAmenFrec,MATCH(SUBSTITUTE($H643,"*","-"),MgAmenClave,0)),"")</f>
        <v/>
      </c>
      <c r="W643" s="28">
        <f>IFERROR(LOOKUP(X643,{0;0.01;0.1;1;10;100},{"Muy baja";"Muy baja";"Baja";"Media";"Alta";"Muy alta"}),"")</f>
        <v/>
      </c>
      <c r="X643" s="31">
        <f>IFERROR(VLOOKUP(V643,MgFrec,2,0),0)</f>
        <v/>
      </c>
      <c r="Y643" s="30">
        <f>T643*X643</f>
        <v/>
      </c>
      <c r="Z643" s="28">
        <f>IFERROR(LOOKUP(Y643,{0;0.5;5;25},{"Bajo";"Medio";"Alto";"Crítico"}),"")</f>
        <v/>
      </c>
      <c r="AA643" s="64">
        <f>IF(T643&gt;=3,IF(X643&gt;=1,"Zona 1 — Crítica: impacto alto y ocurre al menos una vez al año","Zona 4 — Catastrófica poco probable: impacto alto pero excepcional"),IF(AND(T643&lt;1.5,X643&lt;1),"Zona 3 — Asumible: impacto bajo y muy poco frecuente","Zona 2 — Atención: riesgo intermedio"))</f>
        <v/>
      </c>
      <c r="AB643" s="64">
        <f>IFERROR(INDEX(MgAmenCtrl,MATCH(SUBSTITUTE($H643,"*","-"),MgAmenClave,0)),"")</f>
        <v/>
      </c>
      <c r="AC643" s="20" t="n"/>
      <c r="AD643" s="31">
        <f>IFERROR($X643*(1-IF($AC643="",$AL643,VLOOKUP($AC643,MgMad,2,0))),"")</f>
        <v/>
      </c>
      <c r="AE643" s="28">
        <f>IFERROR(LOOKUP(AD643,{0;0.01;0.1;1;10;100},{"Muy baja";"Muy baja";"Baja";"Media";"Alta";"Muy alta"}),"")</f>
        <v/>
      </c>
      <c r="AF643" s="30">
        <f>T643*AD643</f>
        <v/>
      </c>
      <c r="AG643" s="28">
        <f>IFERROR(LOOKUP(AF643,{0;0.5;5;25},{"Bajo";"Medio";"Alto";"Crítico"}),"")</f>
        <v/>
      </c>
      <c r="AH643" s="28">
        <f>IF(AG643="","",IF(OR(AG643="Crítico",AG643="Alto"),"Mitigar",IF(AG643="Medio","Mitigar","Aceptar y monitorear")))</f>
        <v/>
      </c>
      <c r="AI643" s="21" t="n"/>
      <c r="AJ643" s="21" t="n"/>
      <c r="AK643" s="20" t="n"/>
      <c r="AL643" s="77">
        <f>IFERROR(INDEX(MgAmenEfic,MATCH(SUBSTITUTE($H643,"*","-"),MgAmenClave,0)),0)</f>
        <v/>
      </c>
    </row>
    <row r="644" hidden="1" ht="90" customHeight="1" s="54">
      <c r="B644" s="59" t="inlineStr">
        <is>
          <t>R-0639</t>
        </is>
      </c>
      <c r="C644" s="59" t="inlineStr">
        <is>
          <t>FIN-09</t>
        </is>
      </c>
      <c r="D644" s="64">
        <f>IFERROR(INDEX(MgNombre,MATCH($C644,MgActId,0)),"")</f>
        <v/>
      </c>
      <c r="E644" s="64">
        <f>IFERROR(INDEX(MgProceso,MATCH($C644,MgActId,0)),"")</f>
        <v/>
      </c>
      <c r="F644" s="64">
        <f>IFERROR(INDEX(MgTipo,MATCH($C644,MgActId,0)),"")</f>
        <v/>
      </c>
      <c r="G644" s="64">
        <f>IFERROR(INDEX(MgSubtipo,MATCH($C644,MgActId,0)),"")</f>
        <v/>
      </c>
      <c r="H644" s="59" t="inlineStr">
        <is>
          <t>E.14</t>
        </is>
      </c>
      <c r="I644" s="64">
        <f>IFERROR(INDEX(MgAmenNombre,MATCH(SUBSTITUTE($H644,"*","-"),MgAmenClave,0)),"")</f>
        <v/>
      </c>
      <c r="J644" s="28">
        <f>IFERROR(INDEX(MgAmenGrupo,MATCH(SUBSTITUTE($H644,"*","-"),MgAmenClave,0)),"")</f>
        <v/>
      </c>
      <c r="K644" s="64">
        <f>IFERROR(INDEX('1. Matriz de Activos'!$Q$6:$Q$239,MATCH($C644,MgActId,0)),"")</f>
        <v/>
      </c>
      <c r="L644" s="64">
        <f>IFERROR(INDEX('1. Matriz de Activos'!$R$6:$R$239,MATCH($C644,MgActId,0)),"")</f>
        <v/>
      </c>
      <c r="M644" s="64">
        <f>IFERROR(INDEX('1. Matriz de Activos'!$S$6:$S$239,MATCH($C644,MgActId,0)),"")</f>
        <v/>
      </c>
      <c r="N644" s="28">
        <f>IFERROR(INDEX(MgAmenDegD,MATCH(SUBSTITUTE($H644,"*","-"),MgAmenClave,0)),"No aplica")</f>
        <v/>
      </c>
      <c r="O644" s="28">
        <f>IFERROR(INDEX(MgAmenDegI,MATCH(SUBSTITUTE($H644,"*","-"),MgAmenClave,0)),"No aplica")</f>
        <v/>
      </c>
      <c r="P644" s="28">
        <f>IFERROR(INDEX(MgAmenDegC,MATCH(SUBSTITUTE($H644,"*","-"),MgAmenClave,0)),"No aplica")</f>
        <v/>
      </c>
      <c r="Q644" s="29">
        <f>IFERROR(VLOOKUP(K644,MgValor,2,0)*VLOOKUP(N644,MgDeg,2,0),0)</f>
        <v/>
      </c>
      <c r="R644" s="29">
        <f>IFERROR(VLOOKUP(L644,MgValor,2,0)*VLOOKUP(O644,MgDeg,2,0),0)</f>
        <v/>
      </c>
      <c r="S644" s="29">
        <f>IFERROR(VLOOKUP(M644,MgValor,2,0)*VLOOKUP(P644,MgDeg,2,0),0)</f>
        <v/>
      </c>
      <c r="T644" s="30">
        <f>MAX(Q644:S644)</f>
        <v/>
      </c>
      <c r="U644" s="28">
        <f>IFERROR(LOOKUP(T644,{0;0.5;1.5;3;4.5},{"Despreciable";"Bajo";"Medio";"Alto";"Muy alto"}),"")</f>
        <v/>
      </c>
      <c r="V644" s="13">
        <f>IFERROR(INDEX(MgAmenFrec,MATCH(SUBSTITUTE($H644,"*","-"),MgAmenClave,0)),"")</f>
        <v/>
      </c>
      <c r="W644" s="28">
        <f>IFERROR(LOOKUP(X644,{0;0.01;0.1;1;10;100},{"Muy baja";"Muy baja";"Baja";"Media";"Alta";"Muy alta"}),"")</f>
        <v/>
      </c>
      <c r="X644" s="31">
        <f>IFERROR(VLOOKUP(V644,MgFrec,2,0),0)</f>
        <v/>
      </c>
      <c r="Y644" s="30">
        <f>T644*X644</f>
        <v/>
      </c>
      <c r="Z644" s="28">
        <f>IFERROR(LOOKUP(Y644,{0;0.5;5;25},{"Bajo";"Medio";"Alto";"Crítico"}),"")</f>
        <v/>
      </c>
      <c r="AA644" s="64">
        <f>IF(T644&gt;=3,IF(X644&gt;=1,"Zona 1 — Crítica: impacto alto y ocurre al menos una vez al año","Zona 4 — Catastrófica poco probable: impacto alto pero excepcional"),IF(AND(T644&lt;1.5,X644&lt;1),"Zona 3 — Asumible: impacto bajo y muy poco frecuente","Zona 2 — Atención: riesgo intermedio"))</f>
        <v/>
      </c>
      <c r="AB644" s="64">
        <f>IFERROR(INDEX(MgAmenCtrl,MATCH(SUBSTITUTE($H644,"*","-"),MgAmenClave,0)),"")</f>
        <v/>
      </c>
      <c r="AC644" s="20" t="n"/>
      <c r="AD644" s="31">
        <f>IFERROR($X644*(1-IF($AC644="",$AL644,VLOOKUP($AC644,MgMad,2,0))),"")</f>
        <v/>
      </c>
      <c r="AE644" s="28">
        <f>IFERROR(LOOKUP(AD644,{0;0.01;0.1;1;10;100},{"Muy baja";"Muy baja";"Baja";"Media";"Alta";"Muy alta"}),"")</f>
        <v/>
      </c>
      <c r="AF644" s="30">
        <f>T644*AD644</f>
        <v/>
      </c>
      <c r="AG644" s="28">
        <f>IFERROR(LOOKUP(AF644,{0;0.5;5;25},{"Bajo";"Medio";"Alto";"Crítico"}),"")</f>
        <v/>
      </c>
      <c r="AH644" s="28">
        <f>IF(AG644="","",IF(OR(AG644="Crítico",AG644="Alto"),"Mitigar",IF(AG644="Medio","Mitigar","Aceptar y monitorear")))</f>
        <v/>
      </c>
      <c r="AI644" s="21" t="n"/>
      <c r="AJ644" s="21" t="n"/>
      <c r="AK644" s="20" t="n"/>
      <c r="AL644" s="77">
        <f>IFERROR(INDEX(MgAmenEfic,MATCH(SUBSTITUTE($H644,"*","-"),MgAmenClave,0)),0)</f>
        <v/>
      </c>
    </row>
    <row r="645" hidden="1" ht="90" customHeight="1" s="54">
      <c r="B645" s="59" t="inlineStr">
        <is>
          <t>R-0640</t>
        </is>
      </c>
      <c r="C645" s="59" t="inlineStr">
        <is>
          <t>FIN-09</t>
        </is>
      </c>
      <c r="D645" s="64">
        <f>IFERROR(INDEX(MgNombre,MATCH($C645,MgActId,0)),"")</f>
        <v/>
      </c>
      <c r="E645" s="64">
        <f>IFERROR(INDEX(MgProceso,MATCH($C645,MgActId,0)),"")</f>
        <v/>
      </c>
      <c r="F645" s="64">
        <f>IFERROR(INDEX(MgTipo,MATCH($C645,MgActId,0)),"")</f>
        <v/>
      </c>
      <c r="G645" s="64">
        <f>IFERROR(INDEX(MgSubtipo,MATCH($C645,MgActId,0)),"")</f>
        <v/>
      </c>
      <c r="H645" s="59" t="inlineStr">
        <is>
          <t>E.15</t>
        </is>
      </c>
      <c r="I645" s="64">
        <f>IFERROR(INDEX(MgAmenNombre,MATCH(SUBSTITUTE($H645,"*","-"),MgAmenClave,0)),"")</f>
        <v/>
      </c>
      <c r="J645" s="28">
        <f>IFERROR(INDEX(MgAmenGrupo,MATCH(SUBSTITUTE($H645,"*","-"),MgAmenClave,0)),"")</f>
        <v/>
      </c>
      <c r="K645" s="64">
        <f>IFERROR(INDEX('1. Matriz de Activos'!$Q$6:$Q$239,MATCH($C645,MgActId,0)),"")</f>
        <v/>
      </c>
      <c r="L645" s="64">
        <f>IFERROR(INDEX('1. Matriz de Activos'!$R$6:$R$239,MATCH($C645,MgActId,0)),"")</f>
        <v/>
      </c>
      <c r="M645" s="64">
        <f>IFERROR(INDEX('1. Matriz de Activos'!$S$6:$S$239,MATCH($C645,MgActId,0)),"")</f>
        <v/>
      </c>
      <c r="N645" s="28">
        <f>IFERROR(INDEX(MgAmenDegD,MATCH(SUBSTITUTE($H645,"*","-"),MgAmenClave,0)),"No aplica")</f>
        <v/>
      </c>
      <c r="O645" s="28">
        <f>IFERROR(INDEX(MgAmenDegI,MATCH(SUBSTITUTE($H645,"*","-"),MgAmenClave,0)),"No aplica")</f>
        <v/>
      </c>
      <c r="P645" s="28">
        <f>IFERROR(INDEX(MgAmenDegC,MATCH(SUBSTITUTE($H645,"*","-"),MgAmenClave,0)),"No aplica")</f>
        <v/>
      </c>
      <c r="Q645" s="29">
        <f>IFERROR(VLOOKUP(K645,MgValor,2,0)*VLOOKUP(N645,MgDeg,2,0),0)</f>
        <v/>
      </c>
      <c r="R645" s="29">
        <f>IFERROR(VLOOKUP(L645,MgValor,2,0)*VLOOKUP(O645,MgDeg,2,0),0)</f>
        <v/>
      </c>
      <c r="S645" s="29">
        <f>IFERROR(VLOOKUP(M645,MgValor,2,0)*VLOOKUP(P645,MgDeg,2,0),0)</f>
        <v/>
      </c>
      <c r="T645" s="30">
        <f>MAX(Q645:S645)</f>
        <v/>
      </c>
      <c r="U645" s="28">
        <f>IFERROR(LOOKUP(T645,{0;0.5;1.5;3;4.5},{"Despreciable";"Bajo";"Medio";"Alto";"Muy alto"}),"")</f>
        <v/>
      </c>
      <c r="V645" s="13">
        <f>IFERROR(INDEX(MgAmenFrec,MATCH(SUBSTITUTE($H645,"*","-"),MgAmenClave,0)),"")</f>
        <v/>
      </c>
      <c r="W645" s="28">
        <f>IFERROR(LOOKUP(X645,{0;0.01;0.1;1;10;100},{"Muy baja";"Muy baja";"Baja";"Media";"Alta";"Muy alta"}),"")</f>
        <v/>
      </c>
      <c r="X645" s="31">
        <f>IFERROR(VLOOKUP(V645,MgFrec,2,0),0)</f>
        <v/>
      </c>
      <c r="Y645" s="30">
        <f>T645*X645</f>
        <v/>
      </c>
      <c r="Z645" s="28">
        <f>IFERROR(LOOKUP(Y645,{0;0.5;5;25},{"Bajo";"Medio";"Alto";"Crítico"}),"")</f>
        <v/>
      </c>
      <c r="AA645" s="64">
        <f>IF(T645&gt;=3,IF(X645&gt;=1,"Zona 1 — Crítica: impacto alto y ocurre al menos una vez al año","Zona 4 — Catastrófica poco probable: impacto alto pero excepcional"),IF(AND(T645&lt;1.5,X645&lt;1),"Zona 3 — Asumible: impacto bajo y muy poco frecuente","Zona 2 — Atención: riesgo intermedio"))</f>
        <v/>
      </c>
      <c r="AB645" s="64">
        <f>IFERROR(INDEX(MgAmenCtrl,MATCH(SUBSTITUTE($H645,"*","-"),MgAmenClave,0)),"")</f>
        <v/>
      </c>
      <c r="AC645" s="20" t="n"/>
      <c r="AD645" s="31">
        <f>IFERROR($X645*(1-IF($AC645="",$AL645,VLOOKUP($AC645,MgMad,2,0))),"")</f>
        <v/>
      </c>
      <c r="AE645" s="28">
        <f>IFERROR(LOOKUP(AD645,{0;0.01;0.1;1;10;100},{"Muy baja";"Muy baja";"Baja";"Media";"Alta";"Muy alta"}),"")</f>
        <v/>
      </c>
      <c r="AF645" s="30">
        <f>T645*AD645</f>
        <v/>
      </c>
      <c r="AG645" s="28">
        <f>IFERROR(LOOKUP(AF645,{0;0.5;5;25},{"Bajo";"Medio";"Alto";"Crítico"}),"")</f>
        <v/>
      </c>
      <c r="AH645" s="28">
        <f>IF(AG645="","",IF(OR(AG645="Crítico",AG645="Alto"),"Mitigar",IF(AG645="Medio","Mitigar","Aceptar y monitorear")))</f>
        <v/>
      </c>
      <c r="AI645" s="21" t="n"/>
      <c r="AJ645" s="21" t="n"/>
      <c r="AK645" s="20" t="n"/>
      <c r="AL645" s="77">
        <f>IFERROR(INDEX(MgAmenEfic,MATCH(SUBSTITUTE($H645,"*","-"),MgAmenClave,0)),0)</f>
        <v/>
      </c>
    </row>
    <row r="646" hidden="1" ht="60" customHeight="1" s="54">
      <c r="B646" s="59" t="inlineStr">
        <is>
          <t>R-0641</t>
        </is>
      </c>
      <c r="C646" s="59" t="inlineStr">
        <is>
          <t>FIN-09</t>
        </is>
      </c>
      <c r="D646" s="64">
        <f>IFERROR(INDEX(MgNombre,MATCH($C646,MgActId,0)),"")</f>
        <v/>
      </c>
      <c r="E646" s="64">
        <f>IFERROR(INDEX(MgProceso,MATCH($C646,MgActId,0)),"")</f>
        <v/>
      </c>
      <c r="F646" s="64">
        <f>IFERROR(INDEX(MgTipo,MATCH($C646,MgActId,0)),"")</f>
        <v/>
      </c>
      <c r="G646" s="64">
        <f>IFERROR(INDEX(MgSubtipo,MATCH($C646,MgActId,0)),"")</f>
        <v/>
      </c>
      <c r="H646" s="59" t="inlineStr">
        <is>
          <t>E.18</t>
        </is>
      </c>
      <c r="I646" s="64">
        <f>IFERROR(INDEX(MgAmenNombre,MATCH(SUBSTITUTE($H646,"*","-"),MgAmenClave,0)),"")</f>
        <v/>
      </c>
      <c r="J646" s="28">
        <f>IFERROR(INDEX(MgAmenGrupo,MATCH(SUBSTITUTE($H646,"*","-"),MgAmenClave,0)),"")</f>
        <v/>
      </c>
      <c r="K646" s="64">
        <f>IFERROR(INDEX('1. Matriz de Activos'!$Q$6:$Q$239,MATCH($C646,MgActId,0)),"")</f>
        <v/>
      </c>
      <c r="L646" s="64">
        <f>IFERROR(INDEX('1. Matriz de Activos'!$R$6:$R$239,MATCH($C646,MgActId,0)),"")</f>
        <v/>
      </c>
      <c r="M646" s="64">
        <f>IFERROR(INDEX('1. Matriz de Activos'!$S$6:$S$239,MATCH($C646,MgActId,0)),"")</f>
        <v/>
      </c>
      <c r="N646" s="28">
        <f>IFERROR(INDEX(MgAmenDegD,MATCH(SUBSTITUTE($H646,"*","-"),MgAmenClave,0)),"No aplica")</f>
        <v/>
      </c>
      <c r="O646" s="28">
        <f>IFERROR(INDEX(MgAmenDegI,MATCH(SUBSTITUTE($H646,"*","-"),MgAmenClave,0)),"No aplica")</f>
        <v/>
      </c>
      <c r="P646" s="28">
        <f>IFERROR(INDEX(MgAmenDegC,MATCH(SUBSTITUTE($H646,"*","-"),MgAmenClave,0)),"No aplica")</f>
        <v/>
      </c>
      <c r="Q646" s="29">
        <f>IFERROR(VLOOKUP(K646,MgValor,2,0)*VLOOKUP(N646,MgDeg,2,0),0)</f>
        <v/>
      </c>
      <c r="R646" s="29">
        <f>IFERROR(VLOOKUP(L646,MgValor,2,0)*VLOOKUP(O646,MgDeg,2,0),0)</f>
        <v/>
      </c>
      <c r="S646" s="29">
        <f>IFERROR(VLOOKUP(M646,MgValor,2,0)*VLOOKUP(P646,MgDeg,2,0),0)</f>
        <v/>
      </c>
      <c r="T646" s="30">
        <f>MAX(Q646:S646)</f>
        <v/>
      </c>
      <c r="U646" s="28">
        <f>IFERROR(LOOKUP(T646,{0;0.5;1.5;3;4.5},{"Despreciable";"Bajo";"Medio";"Alto";"Muy alto"}),"")</f>
        <v/>
      </c>
      <c r="V646" s="13">
        <f>IFERROR(INDEX(MgAmenFrec,MATCH(SUBSTITUTE($H646,"*","-"),MgAmenClave,0)),"")</f>
        <v/>
      </c>
      <c r="W646" s="28">
        <f>IFERROR(LOOKUP(X646,{0;0.01;0.1;1;10;100},{"Muy baja";"Muy baja";"Baja";"Media";"Alta";"Muy alta"}),"")</f>
        <v/>
      </c>
      <c r="X646" s="31">
        <f>IFERROR(VLOOKUP(V646,MgFrec,2,0),0)</f>
        <v/>
      </c>
      <c r="Y646" s="30">
        <f>T646*X646</f>
        <v/>
      </c>
      <c r="Z646" s="28">
        <f>IFERROR(LOOKUP(Y646,{0;0.5;5;25},{"Bajo";"Medio";"Alto";"Crítico"}),"")</f>
        <v/>
      </c>
      <c r="AA646" s="64">
        <f>IF(T646&gt;=3,IF(X646&gt;=1,"Zona 1 — Crítica: impacto alto y ocurre al menos una vez al año","Zona 4 — Catastrófica poco probable: impacto alto pero excepcional"),IF(AND(T646&lt;1.5,X646&lt;1),"Zona 3 — Asumible: impacto bajo y muy poco frecuente","Zona 2 — Atención: riesgo intermedio"))</f>
        <v/>
      </c>
      <c r="AB646" s="64">
        <f>IFERROR(INDEX(MgAmenCtrl,MATCH(SUBSTITUTE($H646,"*","-"),MgAmenClave,0)),"")</f>
        <v/>
      </c>
      <c r="AC646" s="20" t="n"/>
      <c r="AD646" s="31">
        <f>IFERROR($X646*(1-IF($AC646="",$AL646,VLOOKUP($AC646,MgMad,2,0))),"")</f>
        <v/>
      </c>
      <c r="AE646" s="28">
        <f>IFERROR(LOOKUP(AD646,{0;0.01;0.1;1;10;100},{"Muy baja";"Muy baja";"Baja";"Media";"Alta";"Muy alta"}),"")</f>
        <v/>
      </c>
      <c r="AF646" s="30">
        <f>T646*AD646</f>
        <v/>
      </c>
      <c r="AG646" s="28">
        <f>IFERROR(LOOKUP(AF646,{0;0.5;5;25},{"Bajo";"Medio";"Alto";"Crítico"}),"")</f>
        <v/>
      </c>
      <c r="AH646" s="28">
        <f>IF(AG646="","",IF(OR(AG646="Crítico",AG646="Alto"),"Mitigar",IF(AG646="Medio","Mitigar","Aceptar y monitorear")))</f>
        <v/>
      </c>
      <c r="AI646" s="21" t="n"/>
      <c r="AJ646" s="21" t="n"/>
      <c r="AK646" s="20" t="n"/>
      <c r="AL646" s="77">
        <f>IFERROR(INDEX(MgAmenEfic,MATCH(SUBSTITUTE($H646,"*","-"),MgAmenClave,0)),0)</f>
        <v/>
      </c>
    </row>
    <row r="647" hidden="1" ht="105" customHeight="1" s="54">
      <c r="B647" s="59" t="inlineStr">
        <is>
          <t>R-0642</t>
        </is>
      </c>
      <c r="C647" s="59" t="inlineStr">
        <is>
          <t>FIN-09</t>
        </is>
      </c>
      <c r="D647" s="64">
        <f>IFERROR(INDEX(MgNombre,MATCH($C647,MgActId,0)),"")</f>
        <v/>
      </c>
      <c r="E647" s="64">
        <f>IFERROR(INDEX(MgProceso,MATCH($C647,MgActId,0)),"")</f>
        <v/>
      </c>
      <c r="F647" s="64">
        <f>IFERROR(INDEX(MgTipo,MATCH($C647,MgActId,0)),"")</f>
        <v/>
      </c>
      <c r="G647" s="64">
        <f>IFERROR(INDEX(MgSubtipo,MATCH($C647,MgActId,0)),"")</f>
        <v/>
      </c>
      <c r="H647" s="59" t="inlineStr">
        <is>
          <t>E.19</t>
        </is>
      </c>
      <c r="I647" s="64">
        <f>IFERROR(INDEX(MgAmenNombre,MATCH(SUBSTITUTE($H647,"*","-"),MgAmenClave,0)),"")</f>
        <v/>
      </c>
      <c r="J647" s="28">
        <f>IFERROR(INDEX(MgAmenGrupo,MATCH(SUBSTITUTE($H647,"*","-"),MgAmenClave,0)),"")</f>
        <v/>
      </c>
      <c r="K647" s="64">
        <f>IFERROR(INDEX('1. Matriz de Activos'!$Q$6:$Q$239,MATCH($C647,MgActId,0)),"")</f>
        <v/>
      </c>
      <c r="L647" s="64">
        <f>IFERROR(INDEX('1. Matriz de Activos'!$R$6:$R$239,MATCH($C647,MgActId,0)),"")</f>
        <v/>
      </c>
      <c r="M647" s="64">
        <f>IFERROR(INDEX('1. Matriz de Activos'!$S$6:$S$239,MATCH($C647,MgActId,0)),"")</f>
        <v/>
      </c>
      <c r="N647" s="28">
        <f>IFERROR(INDEX(MgAmenDegD,MATCH(SUBSTITUTE($H647,"*","-"),MgAmenClave,0)),"No aplica")</f>
        <v/>
      </c>
      <c r="O647" s="28">
        <f>IFERROR(INDEX(MgAmenDegI,MATCH(SUBSTITUTE($H647,"*","-"),MgAmenClave,0)),"No aplica")</f>
        <v/>
      </c>
      <c r="P647" s="28">
        <f>IFERROR(INDEX(MgAmenDegC,MATCH(SUBSTITUTE($H647,"*","-"),MgAmenClave,0)),"No aplica")</f>
        <v/>
      </c>
      <c r="Q647" s="29">
        <f>IFERROR(VLOOKUP(K647,MgValor,2,0)*VLOOKUP(N647,MgDeg,2,0),0)</f>
        <v/>
      </c>
      <c r="R647" s="29">
        <f>IFERROR(VLOOKUP(L647,MgValor,2,0)*VLOOKUP(O647,MgDeg,2,0),0)</f>
        <v/>
      </c>
      <c r="S647" s="29">
        <f>IFERROR(VLOOKUP(M647,MgValor,2,0)*VLOOKUP(P647,MgDeg,2,0),0)</f>
        <v/>
      </c>
      <c r="T647" s="30">
        <f>MAX(Q647:S647)</f>
        <v/>
      </c>
      <c r="U647" s="28">
        <f>IFERROR(LOOKUP(T647,{0;0.5;1.5;3;4.5},{"Despreciable";"Bajo";"Medio";"Alto";"Muy alto"}),"")</f>
        <v/>
      </c>
      <c r="V647" s="13">
        <f>IFERROR(INDEX(MgAmenFrec,MATCH(SUBSTITUTE($H647,"*","-"),MgAmenClave,0)),"")</f>
        <v/>
      </c>
      <c r="W647" s="28">
        <f>IFERROR(LOOKUP(X647,{0;0.01;0.1;1;10;100},{"Muy baja";"Muy baja";"Baja";"Media";"Alta";"Muy alta"}),"")</f>
        <v/>
      </c>
      <c r="X647" s="31">
        <f>IFERROR(VLOOKUP(V647,MgFrec,2,0),0)</f>
        <v/>
      </c>
      <c r="Y647" s="30">
        <f>T647*X647</f>
        <v/>
      </c>
      <c r="Z647" s="28">
        <f>IFERROR(LOOKUP(Y647,{0;0.5;5;25},{"Bajo";"Medio";"Alto";"Crítico"}),"")</f>
        <v/>
      </c>
      <c r="AA647" s="64">
        <f>IF(T647&gt;=3,IF(X647&gt;=1,"Zona 1 — Crítica: impacto alto y ocurre al menos una vez al año","Zona 4 — Catastrófica poco probable: impacto alto pero excepcional"),IF(AND(T647&lt;1.5,X647&lt;1),"Zona 3 — Asumible: impacto bajo y muy poco frecuente","Zona 2 — Atención: riesgo intermedio"))</f>
        <v/>
      </c>
      <c r="AB647" s="64">
        <f>IFERROR(INDEX(MgAmenCtrl,MATCH(SUBSTITUTE($H647,"*","-"),MgAmenClave,0)),"")</f>
        <v/>
      </c>
      <c r="AC647" s="20" t="n"/>
      <c r="AD647" s="31">
        <f>IFERROR($X647*(1-IF($AC647="",$AL647,VLOOKUP($AC647,MgMad,2,0))),"")</f>
        <v/>
      </c>
      <c r="AE647" s="28">
        <f>IFERROR(LOOKUP(AD647,{0;0.01;0.1;1;10;100},{"Muy baja";"Muy baja";"Baja";"Media";"Alta";"Muy alta"}),"")</f>
        <v/>
      </c>
      <c r="AF647" s="30">
        <f>T647*AD647</f>
        <v/>
      </c>
      <c r="AG647" s="28">
        <f>IFERROR(LOOKUP(AF647,{0;0.5;5;25},{"Bajo";"Medio";"Alto";"Crítico"}),"")</f>
        <v/>
      </c>
      <c r="AH647" s="28">
        <f>IF(AG647="","",IF(OR(AG647="Crítico",AG647="Alto"),"Mitigar",IF(AG647="Medio","Mitigar","Aceptar y monitorear")))</f>
        <v/>
      </c>
      <c r="AI647" s="21" t="n"/>
      <c r="AJ647" s="21" t="n"/>
      <c r="AK647" s="20" t="n"/>
      <c r="AL647" s="77">
        <f>IFERROR(INDEX(MgAmenEfic,MATCH(SUBSTITUTE($H647,"*","-"),MgAmenClave,0)),0)</f>
        <v/>
      </c>
    </row>
    <row r="648" hidden="1" ht="60" customHeight="1" s="54">
      <c r="B648" s="59" t="inlineStr">
        <is>
          <t>R-0643</t>
        </is>
      </c>
      <c r="C648" s="59" t="inlineStr">
        <is>
          <t>FIN-09</t>
        </is>
      </c>
      <c r="D648" s="64">
        <f>IFERROR(INDEX(MgNombre,MATCH($C648,MgActId,0)),"")</f>
        <v/>
      </c>
      <c r="E648" s="64">
        <f>IFERROR(INDEX(MgProceso,MATCH($C648,MgActId,0)),"")</f>
        <v/>
      </c>
      <c r="F648" s="64">
        <f>IFERROR(INDEX(MgTipo,MATCH($C648,MgActId,0)),"")</f>
        <v/>
      </c>
      <c r="G648" s="64">
        <f>IFERROR(INDEX(MgSubtipo,MATCH($C648,MgActId,0)),"")</f>
        <v/>
      </c>
      <c r="H648" s="59" t="inlineStr">
        <is>
          <t>A.3</t>
        </is>
      </c>
      <c r="I648" s="64">
        <f>IFERROR(INDEX(MgAmenNombre,MATCH(SUBSTITUTE($H648,"*","-"),MgAmenClave,0)),"")</f>
        <v/>
      </c>
      <c r="J648" s="28">
        <f>IFERROR(INDEX(MgAmenGrupo,MATCH(SUBSTITUTE($H648,"*","-"),MgAmenClave,0)),"")</f>
        <v/>
      </c>
      <c r="K648" s="64">
        <f>IFERROR(INDEX('1. Matriz de Activos'!$Q$6:$Q$239,MATCH($C648,MgActId,0)),"")</f>
        <v/>
      </c>
      <c r="L648" s="64">
        <f>IFERROR(INDEX('1. Matriz de Activos'!$R$6:$R$239,MATCH($C648,MgActId,0)),"")</f>
        <v/>
      </c>
      <c r="M648" s="64">
        <f>IFERROR(INDEX('1. Matriz de Activos'!$S$6:$S$239,MATCH($C648,MgActId,0)),"")</f>
        <v/>
      </c>
      <c r="N648" s="28">
        <f>IFERROR(INDEX(MgAmenDegD,MATCH(SUBSTITUTE($H648,"*","-"),MgAmenClave,0)),"No aplica")</f>
        <v/>
      </c>
      <c r="O648" s="28">
        <f>IFERROR(INDEX(MgAmenDegI,MATCH(SUBSTITUTE($H648,"*","-"),MgAmenClave,0)),"No aplica")</f>
        <v/>
      </c>
      <c r="P648" s="28">
        <f>IFERROR(INDEX(MgAmenDegC,MATCH(SUBSTITUTE($H648,"*","-"),MgAmenClave,0)),"No aplica")</f>
        <v/>
      </c>
      <c r="Q648" s="29">
        <f>IFERROR(VLOOKUP(K648,MgValor,2,0)*VLOOKUP(N648,MgDeg,2,0),0)</f>
        <v/>
      </c>
      <c r="R648" s="29">
        <f>IFERROR(VLOOKUP(L648,MgValor,2,0)*VLOOKUP(O648,MgDeg,2,0),0)</f>
        <v/>
      </c>
      <c r="S648" s="29">
        <f>IFERROR(VLOOKUP(M648,MgValor,2,0)*VLOOKUP(P648,MgDeg,2,0),0)</f>
        <v/>
      </c>
      <c r="T648" s="30">
        <f>MAX(Q648:S648)</f>
        <v/>
      </c>
      <c r="U648" s="28">
        <f>IFERROR(LOOKUP(T648,{0;0.5;1.5;3;4.5},{"Despreciable";"Bajo";"Medio";"Alto";"Muy alto"}),"")</f>
        <v/>
      </c>
      <c r="V648" s="13">
        <f>IFERROR(INDEX(MgAmenFrec,MATCH(SUBSTITUTE($H648,"*","-"),MgAmenClave,0)),"")</f>
        <v/>
      </c>
      <c r="W648" s="28">
        <f>IFERROR(LOOKUP(X648,{0;0.01;0.1;1;10;100},{"Muy baja";"Muy baja";"Baja";"Media";"Alta";"Muy alta"}),"")</f>
        <v/>
      </c>
      <c r="X648" s="31">
        <f>IFERROR(VLOOKUP(V648,MgFrec,2,0),0)</f>
        <v/>
      </c>
      <c r="Y648" s="30">
        <f>T648*X648</f>
        <v/>
      </c>
      <c r="Z648" s="28">
        <f>IFERROR(LOOKUP(Y648,{0;0.5;5;25},{"Bajo";"Medio";"Alto";"Crítico"}),"")</f>
        <v/>
      </c>
      <c r="AA648" s="64">
        <f>IF(T648&gt;=3,IF(X648&gt;=1,"Zona 1 — Crítica: impacto alto y ocurre al menos una vez al año","Zona 4 — Catastrófica poco probable: impacto alto pero excepcional"),IF(AND(T648&lt;1.5,X648&lt;1),"Zona 3 — Asumible: impacto bajo y muy poco frecuente","Zona 2 — Atención: riesgo intermedio"))</f>
        <v/>
      </c>
      <c r="AB648" s="64">
        <f>IFERROR(INDEX(MgAmenCtrl,MATCH(SUBSTITUTE($H648,"*","-"),MgAmenClave,0)),"")</f>
        <v/>
      </c>
      <c r="AC648" s="20" t="n"/>
      <c r="AD648" s="31">
        <f>IFERROR($X648*(1-IF($AC648="",$AL648,VLOOKUP($AC648,MgMad,2,0))),"")</f>
        <v/>
      </c>
      <c r="AE648" s="28">
        <f>IFERROR(LOOKUP(AD648,{0;0.01;0.1;1;10;100},{"Muy baja";"Muy baja";"Baja";"Media";"Alta";"Muy alta"}),"")</f>
        <v/>
      </c>
      <c r="AF648" s="30">
        <f>T648*AD648</f>
        <v/>
      </c>
      <c r="AG648" s="28">
        <f>IFERROR(LOOKUP(AF648,{0;0.5;5;25},{"Bajo";"Medio";"Alto";"Crítico"}),"")</f>
        <v/>
      </c>
      <c r="AH648" s="28">
        <f>IF(AG648="","",IF(OR(AG648="Crítico",AG648="Alto"),"Mitigar",IF(AG648="Medio","Mitigar","Aceptar y monitorear")))</f>
        <v/>
      </c>
      <c r="AI648" s="21" t="n"/>
      <c r="AJ648" s="21" t="n"/>
      <c r="AK648" s="20" t="n"/>
      <c r="AL648" s="77">
        <f>IFERROR(INDEX(MgAmenEfic,MATCH(SUBSTITUTE($H648,"*","-"),MgAmenClave,0)),0)</f>
        <v/>
      </c>
    </row>
    <row r="649" hidden="1" ht="60" customHeight="1" s="54">
      <c r="B649" s="59" t="inlineStr">
        <is>
          <t>R-0644</t>
        </is>
      </c>
      <c r="C649" s="59" t="inlineStr">
        <is>
          <t>FIN-09</t>
        </is>
      </c>
      <c r="D649" s="64">
        <f>IFERROR(INDEX(MgNombre,MATCH($C649,MgActId,0)),"")</f>
        <v/>
      </c>
      <c r="E649" s="64">
        <f>IFERROR(INDEX(MgProceso,MATCH($C649,MgActId,0)),"")</f>
        <v/>
      </c>
      <c r="F649" s="64">
        <f>IFERROR(INDEX(MgTipo,MATCH($C649,MgActId,0)),"")</f>
        <v/>
      </c>
      <c r="G649" s="64">
        <f>IFERROR(INDEX(MgSubtipo,MATCH($C649,MgActId,0)),"")</f>
        <v/>
      </c>
      <c r="H649" s="59" t="inlineStr">
        <is>
          <t>A.4</t>
        </is>
      </c>
      <c r="I649" s="64">
        <f>IFERROR(INDEX(MgAmenNombre,MATCH(SUBSTITUTE($H649,"*","-"),MgAmenClave,0)),"")</f>
        <v/>
      </c>
      <c r="J649" s="28">
        <f>IFERROR(INDEX(MgAmenGrupo,MATCH(SUBSTITUTE($H649,"*","-"),MgAmenClave,0)),"")</f>
        <v/>
      </c>
      <c r="K649" s="64">
        <f>IFERROR(INDEX('1. Matriz de Activos'!$Q$6:$Q$239,MATCH($C649,MgActId,0)),"")</f>
        <v/>
      </c>
      <c r="L649" s="64">
        <f>IFERROR(INDEX('1. Matriz de Activos'!$R$6:$R$239,MATCH($C649,MgActId,0)),"")</f>
        <v/>
      </c>
      <c r="M649" s="64">
        <f>IFERROR(INDEX('1. Matriz de Activos'!$S$6:$S$239,MATCH($C649,MgActId,0)),"")</f>
        <v/>
      </c>
      <c r="N649" s="28">
        <f>IFERROR(INDEX(MgAmenDegD,MATCH(SUBSTITUTE($H649,"*","-"),MgAmenClave,0)),"No aplica")</f>
        <v/>
      </c>
      <c r="O649" s="28">
        <f>IFERROR(INDEX(MgAmenDegI,MATCH(SUBSTITUTE($H649,"*","-"),MgAmenClave,0)),"No aplica")</f>
        <v/>
      </c>
      <c r="P649" s="28">
        <f>IFERROR(INDEX(MgAmenDegC,MATCH(SUBSTITUTE($H649,"*","-"),MgAmenClave,0)),"No aplica")</f>
        <v/>
      </c>
      <c r="Q649" s="29">
        <f>IFERROR(VLOOKUP(K649,MgValor,2,0)*VLOOKUP(N649,MgDeg,2,0),0)</f>
        <v/>
      </c>
      <c r="R649" s="29">
        <f>IFERROR(VLOOKUP(L649,MgValor,2,0)*VLOOKUP(O649,MgDeg,2,0),0)</f>
        <v/>
      </c>
      <c r="S649" s="29">
        <f>IFERROR(VLOOKUP(M649,MgValor,2,0)*VLOOKUP(P649,MgDeg,2,0),0)</f>
        <v/>
      </c>
      <c r="T649" s="30">
        <f>MAX(Q649:S649)</f>
        <v/>
      </c>
      <c r="U649" s="28">
        <f>IFERROR(LOOKUP(T649,{0;0.5;1.5;3;4.5},{"Despreciable";"Bajo";"Medio";"Alto";"Muy alto"}),"")</f>
        <v/>
      </c>
      <c r="V649" s="13">
        <f>IFERROR(INDEX(MgAmenFrec,MATCH(SUBSTITUTE($H649,"*","-"),MgAmenClave,0)),"")</f>
        <v/>
      </c>
      <c r="W649" s="28">
        <f>IFERROR(LOOKUP(X649,{0;0.01;0.1;1;10;100},{"Muy baja";"Muy baja";"Baja";"Media";"Alta";"Muy alta"}),"")</f>
        <v/>
      </c>
      <c r="X649" s="31">
        <f>IFERROR(VLOOKUP(V649,MgFrec,2,0),0)</f>
        <v/>
      </c>
      <c r="Y649" s="30">
        <f>T649*X649</f>
        <v/>
      </c>
      <c r="Z649" s="28">
        <f>IFERROR(LOOKUP(Y649,{0;0.5;5;25},{"Bajo";"Medio";"Alto";"Crítico"}),"")</f>
        <v/>
      </c>
      <c r="AA649" s="64">
        <f>IF(T649&gt;=3,IF(X649&gt;=1,"Zona 1 — Crítica: impacto alto y ocurre al menos una vez al año","Zona 4 — Catastrófica poco probable: impacto alto pero excepcional"),IF(AND(T649&lt;1.5,X649&lt;1),"Zona 3 — Asumible: impacto bajo y muy poco frecuente","Zona 2 — Atención: riesgo intermedio"))</f>
        <v/>
      </c>
      <c r="AB649" s="64">
        <f>IFERROR(INDEX(MgAmenCtrl,MATCH(SUBSTITUTE($H649,"*","-"),MgAmenClave,0)),"")</f>
        <v/>
      </c>
      <c r="AC649" s="20" t="n"/>
      <c r="AD649" s="31">
        <f>IFERROR($X649*(1-IF($AC649="",$AL649,VLOOKUP($AC649,MgMad,2,0))),"")</f>
        <v/>
      </c>
      <c r="AE649" s="28">
        <f>IFERROR(LOOKUP(AD649,{0;0.01;0.1;1;10;100},{"Muy baja";"Muy baja";"Baja";"Media";"Alta";"Muy alta"}),"")</f>
        <v/>
      </c>
      <c r="AF649" s="30">
        <f>T649*AD649</f>
        <v/>
      </c>
      <c r="AG649" s="28">
        <f>IFERROR(LOOKUP(AF649,{0;0.5;5;25},{"Bajo";"Medio";"Alto";"Crítico"}),"")</f>
        <v/>
      </c>
      <c r="AH649" s="28">
        <f>IF(AG649="","",IF(OR(AG649="Crítico",AG649="Alto"),"Mitigar",IF(AG649="Medio","Mitigar","Aceptar y monitorear")))</f>
        <v/>
      </c>
      <c r="AI649" s="21" t="n"/>
      <c r="AJ649" s="21" t="n"/>
      <c r="AK649" s="20" t="n"/>
      <c r="AL649" s="77">
        <f>IFERROR(INDEX(MgAmenEfic,MATCH(SUBSTITUTE($H649,"*","-"),MgAmenClave,0)),0)</f>
        <v/>
      </c>
    </row>
    <row r="650" hidden="1" ht="75" customHeight="1" s="54">
      <c r="B650" s="59" t="inlineStr">
        <is>
          <t>R-0645</t>
        </is>
      </c>
      <c r="C650" s="59" t="inlineStr">
        <is>
          <t>FIN-09</t>
        </is>
      </c>
      <c r="D650" s="64">
        <f>IFERROR(INDEX(MgNombre,MATCH($C650,MgActId,0)),"")</f>
        <v/>
      </c>
      <c r="E650" s="64">
        <f>IFERROR(INDEX(MgProceso,MATCH($C650,MgActId,0)),"")</f>
        <v/>
      </c>
      <c r="F650" s="64">
        <f>IFERROR(INDEX(MgTipo,MATCH($C650,MgActId,0)),"")</f>
        <v/>
      </c>
      <c r="G650" s="64">
        <f>IFERROR(INDEX(MgSubtipo,MATCH($C650,MgActId,0)),"")</f>
        <v/>
      </c>
      <c r="H650" s="59" t="inlineStr">
        <is>
          <t>A.5</t>
        </is>
      </c>
      <c r="I650" s="64">
        <f>IFERROR(INDEX(MgAmenNombre,MATCH(SUBSTITUTE($H650,"*","-"),MgAmenClave,0)),"")</f>
        <v/>
      </c>
      <c r="J650" s="28">
        <f>IFERROR(INDEX(MgAmenGrupo,MATCH(SUBSTITUTE($H650,"*","-"),MgAmenClave,0)),"")</f>
        <v/>
      </c>
      <c r="K650" s="64">
        <f>IFERROR(INDEX('1. Matriz de Activos'!$Q$6:$Q$239,MATCH($C650,MgActId,0)),"")</f>
        <v/>
      </c>
      <c r="L650" s="64">
        <f>IFERROR(INDEX('1. Matriz de Activos'!$R$6:$R$239,MATCH($C650,MgActId,0)),"")</f>
        <v/>
      </c>
      <c r="M650" s="64">
        <f>IFERROR(INDEX('1. Matriz de Activos'!$S$6:$S$239,MATCH($C650,MgActId,0)),"")</f>
        <v/>
      </c>
      <c r="N650" s="28">
        <f>IFERROR(INDEX(MgAmenDegD,MATCH(SUBSTITUTE($H650,"*","-"),MgAmenClave,0)),"No aplica")</f>
        <v/>
      </c>
      <c r="O650" s="28">
        <f>IFERROR(INDEX(MgAmenDegI,MATCH(SUBSTITUTE($H650,"*","-"),MgAmenClave,0)),"No aplica")</f>
        <v/>
      </c>
      <c r="P650" s="28">
        <f>IFERROR(INDEX(MgAmenDegC,MATCH(SUBSTITUTE($H650,"*","-"),MgAmenClave,0)),"No aplica")</f>
        <v/>
      </c>
      <c r="Q650" s="29">
        <f>IFERROR(VLOOKUP(K650,MgValor,2,0)*VLOOKUP(N650,MgDeg,2,0),0)</f>
        <v/>
      </c>
      <c r="R650" s="29">
        <f>IFERROR(VLOOKUP(L650,MgValor,2,0)*VLOOKUP(O650,MgDeg,2,0),0)</f>
        <v/>
      </c>
      <c r="S650" s="29">
        <f>IFERROR(VLOOKUP(M650,MgValor,2,0)*VLOOKUP(P650,MgDeg,2,0),0)</f>
        <v/>
      </c>
      <c r="T650" s="30">
        <f>MAX(Q650:S650)</f>
        <v/>
      </c>
      <c r="U650" s="28">
        <f>IFERROR(LOOKUP(T650,{0;0.5;1.5;3;4.5},{"Despreciable";"Bajo";"Medio";"Alto";"Muy alto"}),"")</f>
        <v/>
      </c>
      <c r="V650" s="13">
        <f>IFERROR(INDEX(MgAmenFrec,MATCH(SUBSTITUTE($H650,"*","-"),MgAmenClave,0)),"")</f>
        <v/>
      </c>
      <c r="W650" s="28">
        <f>IFERROR(LOOKUP(X650,{0;0.01;0.1;1;10;100},{"Muy baja";"Muy baja";"Baja";"Media";"Alta";"Muy alta"}),"")</f>
        <v/>
      </c>
      <c r="X650" s="31">
        <f>IFERROR(VLOOKUP(V650,MgFrec,2,0),0)</f>
        <v/>
      </c>
      <c r="Y650" s="30">
        <f>T650*X650</f>
        <v/>
      </c>
      <c r="Z650" s="28">
        <f>IFERROR(LOOKUP(Y650,{0;0.5;5;25},{"Bajo";"Medio";"Alto";"Crítico"}),"")</f>
        <v/>
      </c>
      <c r="AA650" s="64">
        <f>IF(T650&gt;=3,IF(X650&gt;=1,"Zona 1 — Crítica: impacto alto y ocurre al menos una vez al año","Zona 4 — Catastrófica poco probable: impacto alto pero excepcional"),IF(AND(T650&lt;1.5,X650&lt;1),"Zona 3 — Asumible: impacto bajo y muy poco frecuente","Zona 2 — Atención: riesgo intermedio"))</f>
        <v/>
      </c>
      <c r="AB650" s="64">
        <f>IFERROR(INDEX(MgAmenCtrl,MATCH(SUBSTITUTE($H650,"*","-"),MgAmenClave,0)),"")</f>
        <v/>
      </c>
      <c r="AC650" s="20" t="n"/>
      <c r="AD650" s="31">
        <f>IFERROR($X650*(1-IF($AC650="",$AL650,VLOOKUP($AC650,MgMad,2,0))),"")</f>
        <v/>
      </c>
      <c r="AE650" s="28">
        <f>IFERROR(LOOKUP(AD650,{0;0.01;0.1;1;10;100},{"Muy baja";"Muy baja";"Baja";"Media";"Alta";"Muy alta"}),"")</f>
        <v/>
      </c>
      <c r="AF650" s="30">
        <f>T650*AD650</f>
        <v/>
      </c>
      <c r="AG650" s="28">
        <f>IFERROR(LOOKUP(AF650,{0;0.5;5;25},{"Bajo";"Medio";"Alto";"Crítico"}),"")</f>
        <v/>
      </c>
      <c r="AH650" s="28">
        <f>IF(AG650="","",IF(OR(AG650="Crítico",AG650="Alto"),"Mitigar",IF(AG650="Medio","Mitigar","Aceptar y monitorear")))</f>
        <v/>
      </c>
      <c r="AI650" s="21" t="n"/>
      <c r="AJ650" s="21" t="n"/>
      <c r="AK650" s="20" t="n"/>
      <c r="AL650" s="77">
        <f>IFERROR(INDEX(MgAmenEfic,MATCH(SUBSTITUTE($H650,"*","-"),MgAmenClave,0)),0)</f>
        <v/>
      </c>
    </row>
    <row r="651" hidden="1" ht="105" customHeight="1" s="54">
      <c r="B651" s="59" t="inlineStr">
        <is>
          <t>R-0646</t>
        </is>
      </c>
      <c r="C651" s="59" t="inlineStr">
        <is>
          <t>FIN-09</t>
        </is>
      </c>
      <c r="D651" s="64">
        <f>IFERROR(INDEX(MgNombre,MATCH($C651,MgActId,0)),"")</f>
        <v/>
      </c>
      <c r="E651" s="64">
        <f>IFERROR(INDEX(MgProceso,MATCH($C651,MgActId,0)),"")</f>
        <v/>
      </c>
      <c r="F651" s="64">
        <f>IFERROR(INDEX(MgTipo,MATCH($C651,MgActId,0)),"")</f>
        <v/>
      </c>
      <c r="G651" s="64">
        <f>IFERROR(INDEX(MgSubtipo,MATCH($C651,MgActId,0)),"")</f>
        <v/>
      </c>
      <c r="H651" s="59" t="inlineStr">
        <is>
          <t>A.6</t>
        </is>
      </c>
      <c r="I651" s="64">
        <f>IFERROR(INDEX(MgAmenNombre,MATCH(SUBSTITUTE($H651,"*","-"),MgAmenClave,0)),"")</f>
        <v/>
      </c>
      <c r="J651" s="28">
        <f>IFERROR(INDEX(MgAmenGrupo,MATCH(SUBSTITUTE($H651,"*","-"),MgAmenClave,0)),"")</f>
        <v/>
      </c>
      <c r="K651" s="64">
        <f>IFERROR(INDEX('1. Matriz de Activos'!$Q$6:$Q$239,MATCH($C651,MgActId,0)),"")</f>
        <v/>
      </c>
      <c r="L651" s="64">
        <f>IFERROR(INDEX('1. Matriz de Activos'!$R$6:$R$239,MATCH($C651,MgActId,0)),"")</f>
        <v/>
      </c>
      <c r="M651" s="64">
        <f>IFERROR(INDEX('1. Matriz de Activos'!$S$6:$S$239,MATCH($C651,MgActId,0)),"")</f>
        <v/>
      </c>
      <c r="N651" s="28">
        <f>IFERROR(INDEX(MgAmenDegD,MATCH(SUBSTITUTE($H651,"*","-"),MgAmenClave,0)),"No aplica")</f>
        <v/>
      </c>
      <c r="O651" s="28">
        <f>IFERROR(INDEX(MgAmenDegI,MATCH(SUBSTITUTE($H651,"*","-"),MgAmenClave,0)),"No aplica")</f>
        <v/>
      </c>
      <c r="P651" s="28">
        <f>IFERROR(INDEX(MgAmenDegC,MATCH(SUBSTITUTE($H651,"*","-"),MgAmenClave,0)),"No aplica")</f>
        <v/>
      </c>
      <c r="Q651" s="29">
        <f>IFERROR(VLOOKUP(K651,MgValor,2,0)*VLOOKUP(N651,MgDeg,2,0),0)</f>
        <v/>
      </c>
      <c r="R651" s="29">
        <f>IFERROR(VLOOKUP(L651,MgValor,2,0)*VLOOKUP(O651,MgDeg,2,0),0)</f>
        <v/>
      </c>
      <c r="S651" s="29">
        <f>IFERROR(VLOOKUP(M651,MgValor,2,0)*VLOOKUP(P651,MgDeg,2,0),0)</f>
        <v/>
      </c>
      <c r="T651" s="30">
        <f>MAX(Q651:S651)</f>
        <v/>
      </c>
      <c r="U651" s="28">
        <f>IFERROR(LOOKUP(T651,{0;0.5;1.5;3;4.5},{"Despreciable";"Bajo";"Medio";"Alto";"Muy alto"}),"")</f>
        <v/>
      </c>
      <c r="V651" s="13">
        <f>IFERROR(INDEX(MgAmenFrec,MATCH(SUBSTITUTE($H651,"*","-"),MgAmenClave,0)),"")</f>
        <v/>
      </c>
      <c r="W651" s="28">
        <f>IFERROR(LOOKUP(X651,{0;0.01;0.1;1;10;100},{"Muy baja";"Muy baja";"Baja";"Media";"Alta";"Muy alta"}),"")</f>
        <v/>
      </c>
      <c r="X651" s="31">
        <f>IFERROR(VLOOKUP(V651,MgFrec,2,0),0)</f>
        <v/>
      </c>
      <c r="Y651" s="30">
        <f>T651*X651</f>
        <v/>
      </c>
      <c r="Z651" s="28">
        <f>IFERROR(LOOKUP(Y651,{0;0.5;5;25},{"Bajo";"Medio";"Alto";"Crítico"}),"")</f>
        <v/>
      </c>
      <c r="AA651" s="64">
        <f>IF(T651&gt;=3,IF(X651&gt;=1,"Zona 1 — Crítica: impacto alto y ocurre al menos una vez al año","Zona 4 — Catastrófica poco probable: impacto alto pero excepcional"),IF(AND(T651&lt;1.5,X651&lt;1),"Zona 3 — Asumible: impacto bajo y muy poco frecuente","Zona 2 — Atención: riesgo intermedio"))</f>
        <v/>
      </c>
      <c r="AB651" s="64">
        <f>IFERROR(INDEX(MgAmenCtrl,MATCH(SUBSTITUTE($H651,"*","-"),MgAmenClave,0)),"")</f>
        <v/>
      </c>
      <c r="AC651" s="20" t="n"/>
      <c r="AD651" s="31">
        <f>IFERROR($X651*(1-IF($AC651="",$AL651,VLOOKUP($AC651,MgMad,2,0))),"")</f>
        <v/>
      </c>
      <c r="AE651" s="28">
        <f>IFERROR(LOOKUP(AD651,{0;0.01;0.1;1;10;100},{"Muy baja";"Muy baja";"Baja";"Media";"Alta";"Muy alta"}),"")</f>
        <v/>
      </c>
      <c r="AF651" s="30">
        <f>T651*AD651</f>
        <v/>
      </c>
      <c r="AG651" s="28">
        <f>IFERROR(LOOKUP(AF651,{0;0.5;5;25},{"Bajo";"Medio";"Alto";"Crítico"}),"")</f>
        <v/>
      </c>
      <c r="AH651" s="28">
        <f>IF(AG651="","",IF(OR(AG651="Crítico",AG651="Alto"),"Mitigar",IF(AG651="Medio","Mitigar","Aceptar y monitorear")))</f>
        <v/>
      </c>
      <c r="AI651" s="21" t="n"/>
      <c r="AJ651" s="21" t="n"/>
      <c r="AK651" s="20" t="n"/>
      <c r="AL651" s="77">
        <f>IFERROR(INDEX(MgAmenEfic,MATCH(SUBSTITUTE($H651,"*","-"),MgAmenClave,0)),0)</f>
        <v/>
      </c>
    </row>
    <row r="652" hidden="1" ht="120" customHeight="1" s="54">
      <c r="B652" s="59" t="inlineStr">
        <is>
          <t>R-0647</t>
        </is>
      </c>
      <c r="C652" s="59" t="inlineStr">
        <is>
          <t>FIN-09</t>
        </is>
      </c>
      <c r="D652" s="64">
        <f>IFERROR(INDEX(MgNombre,MATCH($C652,MgActId,0)),"")</f>
        <v/>
      </c>
      <c r="E652" s="64">
        <f>IFERROR(INDEX(MgProceso,MATCH($C652,MgActId,0)),"")</f>
        <v/>
      </c>
      <c r="F652" s="64">
        <f>IFERROR(INDEX(MgTipo,MATCH($C652,MgActId,0)),"")</f>
        <v/>
      </c>
      <c r="G652" s="64">
        <f>IFERROR(INDEX(MgSubtipo,MATCH($C652,MgActId,0)),"")</f>
        <v/>
      </c>
      <c r="H652" s="59" t="inlineStr">
        <is>
          <t>A.11</t>
        </is>
      </c>
      <c r="I652" s="64">
        <f>IFERROR(INDEX(MgAmenNombre,MATCH(SUBSTITUTE($H652,"*","-"),MgAmenClave,0)),"")</f>
        <v/>
      </c>
      <c r="J652" s="28">
        <f>IFERROR(INDEX(MgAmenGrupo,MATCH(SUBSTITUTE($H652,"*","-"),MgAmenClave,0)),"")</f>
        <v/>
      </c>
      <c r="K652" s="64">
        <f>IFERROR(INDEX('1. Matriz de Activos'!$Q$6:$Q$239,MATCH($C652,MgActId,0)),"")</f>
        <v/>
      </c>
      <c r="L652" s="64">
        <f>IFERROR(INDEX('1. Matriz de Activos'!$R$6:$R$239,MATCH($C652,MgActId,0)),"")</f>
        <v/>
      </c>
      <c r="M652" s="64">
        <f>IFERROR(INDEX('1. Matriz de Activos'!$S$6:$S$239,MATCH($C652,MgActId,0)),"")</f>
        <v/>
      </c>
      <c r="N652" s="28">
        <f>IFERROR(INDEX(MgAmenDegD,MATCH(SUBSTITUTE($H652,"*","-"),MgAmenClave,0)),"No aplica")</f>
        <v/>
      </c>
      <c r="O652" s="28">
        <f>IFERROR(INDEX(MgAmenDegI,MATCH(SUBSTITUTE($H652,"*","-"),MgAmenClave,0)),"No aplica")</f>
        <v/>
      </c>
      <c r="P652" s="28">
        <f>IFERROR(INDEX(MgAmenDegC,MATCH(SUBSTITUTE($H652,"*","-"),MgAmenClave,0)),"No aplica")</f>
        <v/>
      </c>
      <c r="Q652" s="29">
        <f>IFERROR(VLOOKUP(K652,MgValor,2,0)*VLOOKUP(N652,MgDeg,2,0),0)</f>
        <v/>
      </c>
      <c r="R652" s="29">
        <f>IFERROR(VLOOKUP(L652,MgValor,2,0)*VLOOKUP(O652,MgDeg,2,0),0)</f>
        <v/>
      </c>
      <c r="S652" s="29">
        <f>IFERROR(VLOOKUP(M652,MgValor,2,0)*VLOOKUP(P652,MgDeg,2,0),0)</f>
        <v/>
      </c>
      <c r="T652" s="30">
        <f>MAX(Q652:S652)</f>
        <v/>
      </c>
      <c r="U652" s="28">
        <f>IFERROR(LOOKUP(T652,{0;0.5;1.5;3;4.5},{"Despreciable";"Bajo";"Medio";"Alto";"Muy alto"}),"")</f>
        <v/>
      </c>
      <c r="V652" s="13">
        <f>IFERROR(INDEX(MgAmenFrec,MATCH(SUBSTITUTE($H652,"*","-"),MgAmenClave,0)),"")</f>
        <v/>
      </c>
      <c r="W652" s="28">
        <f>IFERROR(LOOKUP(X652,{0;0.01;0.1;1;10;100},{"Muy baja";"Muy baja";"Baja";"Media";"Alta";"Muy alta"}),"")</f>
        <v/>
      </c>
      <c r="X652" s="31">
        <f>IFERROR(VLOOKUP(V652,MgFrec,2,0),0)</f>
        <v/>
      </c>
      <c r="Y652" s="30">
        <f>T652*X652</f>
        <v/>
      </c>
      <c r="Z652" s="28">
        <f>IFERROR(LOOKUP(Y652,{0;0.5;5;25},{"Bajo";"Medio";"Alto";"Crítico"}),"")</f>
        <v/>
      </c>
      <c r="AA652" s="64">
        <f>IF(T652&gt;=3,IF(X652&gt;=1,"Zona 1 — Crítica: impacto alto y ocurre al menos una vez al año","Zona 4 — Catastrófica poco probable: impacto alto pero excepcional"),IF(AND(T652&lt;1.5,X652&lt;1),"Zona 3 — Asumible: impacto bajo y muy poco frecuente","Zona 2 — Atención: riesgo intermedio"))</f>
        <v/>
      </c>
      <c r="AB652" s="64">
        <f>IFERROR(INDEX(MgAmenCtrl,MATCH(SUBSTITUTE($H652,"*","-"),MgAmenClave,0)),"")</f>
        <v/>
      </c>
      <c r="AC652" s="20" t="n"/>
      <c r="AD652" s="31">
        <f>IFERROR($X652*(1-IF($AC652="",$AL652,VLOOKUP($AC652,MgMad,2,0))),"")</f>
        <v/>
      </c>
      <c r="AE652" s="28">
        <f>IFERROR(LOOKUP(AD652,{0;0.01;0.1;1;10;100},{"Muy baja";"Muy baja";"Baja";"Media";"Alta";"Muy alta"}),"")</f>
        <v/>
      </c>
      <c r="AF652" s="30">
        <f>T652*AD652</f>
        <v/>
      </c>
      <c r="AG652" s="28">
        <f>IFERROR(LOOKUP(AF652,{0;0.5;5;25},{"Bajo";"Medio";"Alto";"Crítico"}),"")</f>
        <v/>
      </c>
      <c r="AH652" s="28">
        <f>IF(AG652="","",IF(OR(AG652="Crítico",AG652="Alto"),"Mitigar",IF(AG652="Medio","Mitigar","Aceptar y monitorear")))</f>
        <v/>
      </c>
      <c r="AI652" s="21" t="n"/>
      <c r="AJ652" s="21" t="n"/>
      <c r="AK652" s="20" t="n"/>
      <c r="AL652" s="77">
        <f>IFERROR(INDEX(MgAmenEfic,MATCH(SUBSTITUTE($H652,"*","-"),MgAmenClave,0)),0)</f>
        <v/>
      </c>
    </row>
    <row r="653" hidden="1" ht="90" customHeight="1" s="54">
      <c r="B653" s="59" t="inlineStr">
        <is>
          <t>R-0648</t>
        </is>
      </c>
      <c r="C653" s="59" t="inlineStr">
        <is>
          <t>FIN-09</t>
        </is>
      </c>
      <c r="D653" s="64">
        <f>IFERROR(INDEX(MgNombre,MATCH($C653,MgActId,0)),"")</f>
        <v/>
      </c>
      <c r="E653" s="64">
        <f>IFERROR(INDEX(MgProceso,MATCH($C653,MgActId,0)),"")</f>
        <v/>
      </c>
      <c r="F653" s="64">
        <f>IFERROR(INDEX(MgTipo,MATCH($C653,MgActId,0)),"")</f>
        <v/>
      </c>
      <c r="G653" s="64">
        <f>IFERROR(INDEX(MgSubtipo,MATCH($C653,MgActId,0)),"")</f>
        <v/>
      </c>
      <c r="H653" s="59" t="inlineStr">
        <is>
          <t>A.13</t>
        </is>
      </c>
      <c r="I653" s="64">
        <f>IFERROR(INDEX(MgAmenNombre,MATCH(SUBSTITUTE($H653,"*","-"),MgAmenClave,0)),"")</f>
        <v/>
      </c>
      <c r="J653" s="28">
        <f>IFERROR(INDEX(MgAmenGrupo,MATCH(SUBSTITUTE($H653,"*","-"),MgAmenClave,0)),"")</f>
        <v/>
      </c>
      <c r="K653" s="64">
        <f>IFERROR(INDEX('1. Matriz de Activos'!$Q$6:$Q$239,MATCH($C653,MgActId,0)),"")</f>
        <v/>
      </c>
      <c r="L653" s="64">
        <f>IFERROR(INDEX('1. Matriz de Activos'!$R$6:$R$239,MATCH($C653,MgActId,0)),"")</f>
        <v/>
      </c>
      <c r="M653" s="64">
        <f>IFERROR(INDEX('1. Matriz de Activos'!$S$6:$S$239,MATCH($C653,MgActId,0)),"")</f>
        <v/>
      </c>
      <c r="N653" s="28">
        <f>IFERROR(INDEX(MgAmenDegD,MATCH(SUBSTITUTE($H653,"*","-"),MgAmenClave,0)),"No aplica")</f>
        <v/>
      </c>
      <c r="O653" s="28">
        <f>IFERROR(INDEX(MgAmenDegI,MATCH(SUBSTITUTE($H653,"*","-"),MgAmenClave,0)),"No aplica")</f>
        <v/>
      </c>
      <c r="P653" s="28">
        <f>IFERROR(INDEX(MgAmenDegC,MATCH(SUBSTITUTE($H653,"*","-"),MgAmenClave,0)),"No aplica")</f>
        <v/>
      </c>
      <c r="Q653" s="29">
        <f>IFERROR(VLOOKUP(K653,MgValor,2,0)*VLOOKUP(N653,MgDeg,2,0),0)</f>
        <v/>
      </c>
      <c r="R653" s="29">
        <f>IFERROR(VLOOKUP(L653,MgValor,2,0)*VLOOKUP(O653,MgDeg,2,0),0)</f>
        <v/>
      </c>
      <c r="S653" s="29">
        <f>IFERROR(VLOOKUP(M653,MgValor,2,0)*VLOOKUP(P653,MgDeg,2,0),0)</f>
        <v/>
      </c>
      <c r="T653" s="30">
        <f>MAX(Q653:S653)</f>
        <v/>
      </c>
      <c r="U653" s="28">
        <f>IFERROR(LOOKUP(T653,{0;0.5;1.5;3;4.5},{"Despreciable";"Bajo";"Medio";"Alto";"Muy alto"}),"")</f>
        <v/>
      </c>
      <c r="V653" s="13">
        <f>IFERROR(INDEX(MgAmenFrec,MATCH(SUBSTITUTE($H653,"*","-"),MgAmenClave,0)),"")</f>
        <v/>
      </c>
      <c r="W653" s="28">
        <f>IFERROR(LOOKUP(X653,{0;0.01;0.1;1;10;100},{"Muy baja";"Muy baja";"Baja";"Media";"Alta";"Muy alta"}),"")</f>
        <v/>
      </c>
      <c r="X653" s="31">
        <f>IFERROR(VLOOKUP(V653,MgFrec,2,0),0)</f>
        <v/>
      </c>
      <c r="Y653" s="30">
        <f>T653*X653</f>
        <v/>
      </c>
      <c r="Z653" s="28">
        <f>IFERROR(LOOKUP(Y653,{0;0.5;5;25},{"Bajo";"Medio";"Alto";"Crítico"}),"")</f>
        <v/>
      </c>
      <c r="AA653" s="64">
        <f>IF(T653&gt;=3,IF(X653&gt;=1,"Zona 1 — Crítica: impacto alto y ocurre al menos una vez al año","Zona 4 — Catastrófica poco probable: impacto alto pero excepcional"),IF(AND(T653&lt;1.5,X653&lt;1),"Zona 3 — Asumible: impacto bajo y muy poco frecuente","Zona 2 — Atención: riesgo intermedio"))</f>
        <v/>
      </c>
      <c r="AB653" s="64">
        <f>IFERROR(INDEX(MgAmenCtrl,MATCH(SUBSTITUTE($H653,"*","-"),MgAmenClave,0)),"")</f>
        <v/>
      </c>
      <c r="AC653" s="20" t="n"/>
      <c r="AD653" s="31">
        <f>IFERROR($X653*(1-IF($AC653="",$AL653,VLOOKUP($AC653,MgMad,2,0))),"")</f>
        <v/>
      </c>
      <c r="AE653" s="28">
        <f>IFERROR(LOOKUP(AD653,{0;0.01;0.1;1;10;100},{"Muy baja";"Muy baja";"Baja";"Media";"Alta";"Muy alta"}),"")</f>
        <v/>
      </c>
      <c r="AF653" s="30">
        <f>T653*AD653</f>
        <v/>
      </c>
      <c r="AG653" s="28">
        <f>IFERROR(LOOKUP(AF653,{0;0.5;5;25},{"Bajo";"Medio";"Alto";"Crítico"}),"")</f>
        <v/>
      </c>
      <c r="AH653" s="28">
        <f>IF(AG653="","",IF(OR(AG653="Crítico",AG653="Alto"),"Mitigar",IF(AG653="Medio","Mitigar","Aceptar y monitorear")))</f>
        <v/>
      </c>
      <c r="AI653" s="21" t="n"/>
      <c r="AJ653" s="21" t="n"/>
      <c r="AK653" s="20" t="n"/>
      <c r="AL653" s="77">
        <f>IFERROR(INDEX(MgAmenEfic,MATCH(SUBSTITUTE($H653,"*","-"),MgAmenClave,0)),0)</f>
        <v/>
      </c>
    </row>
    <row r="654" hidden="1" ht="60" customHeight="1" s="54">
      <c r="B654" s="59" t="inlineStr">
        <is>
          <t>R-0649</t>
        </is>
      </c>
      <c r="C654" s="59" t="inlineStr">
        <is>
          <t>FIN-09</t>
        </is>
      </c>
      <c r="D654" s="64">
        <f>IFERROR(INDEX(MgNombre,MATCH($C654,MgActId,0)),"")</f>
        <v/>
      </c>
      <c r="E654" s="64">
        <f>IFERROR(INDEX(MgProceso,MATCH($C654,MgActId,0)),"")</f>
        <v/>
      </c>
      <c r="F654" s="64">
        <f>IFERROR(INDEX(MgTipo,MATCH($C654,MgActId,0)),"")</f>
        <v/>
      </c>
      <c r="G654" s="64">
        <f>IFERROR(INDEX(MgSubtipo,MATCH($C654,MgActId,0)),"")</f>
        <v/>
      </c>
      <c r="H654" s="59" t="inlineStr">
        <is>
          <t>A.15</t>
        </is>
      </c>
      <c r="I654" s="64">
        <f>IFERROR(INDEX(MgAmenNombre,MATCH(SUBSTITUTE($H654,"*","-"),MgAmenClave,0)),"")</f>
        <v/>
      </c>
      <c r="J654" s="28">
        <f>IFERROR(INDEX(MgAmenGrupo,MATCH(SUBSTITUTE($H654,"*","-"),MgAmenClave,0)),"")</f>
        <v/>
      </c>
      <c r="K654" s="64">
        <f>IFERROR(INDEX('1. Matriz de Activos'!$Q$6:$Q$239,MATCH($C654,MgActId,0)),"")</f>
        <v/>
      </c>
      <c r="L654" s="64">
        <f>IFERROR(INDEX('1. Matriz de Activos'!$R$6:$R$239,MATCH($C654,MgActId,0)),"")</f>
        <v/>
      </c>
      <c r="M654" s="64">
        <f>IFERROR(INDEX('1. Matriz de Activos'!$S$6:$S$239,MATCH($C654,MgActId,0)),"")</f>
        <v/>
      </c>
      <c r="N654" s="28">
        <f>IFERROR(INDEX(MgAmenDegD,MATCH(SUBSTITUTE($H654,"*","-"),MgAmenClave,0)),"No aplica")</f>
        <v/>
      </c>
      <c r="O654" s="28">
        <f>IFERROR(INDEX(MgAmenDegI,MATCH(SUBSTITUTE($H654,"*","-"),MgAmenClave,0)),"No aplica")</f>
        <v/>
      </c>
      <c r="P654" s="28">
        <f>IFERROR(INDEX(MgAmenDegC,MATCH(SUBSTITUTE($H654,"*","-"),MgAmenClave,0)),"No aplica")</f>
        <v/>
      </c>
      <c r="Q654" s="29">
        <f>IFERROR(VLOOKUP(K654,MgValor,2,0)*VLOOKUP(N654,MgDeg,2,0),0)</f>
        <v/>
      </c>
      <c r="R654" s="29">
        <f>IFERROR(VLOOKUP(L654,MgValor,2,0)*VLOOKUP(O654,MgDeg,2,0),0)</f>
        <v/>
      </c>
      <c r="S654" s="29">
        <f>IFERROR(VLOOKUP(M654,MgValor,2,0)*VLOOKUP(P654,MgDeg,2,0),0)</f>
        <v/>
      </c>
      <c r="T654" s="30">
        <f>MAX(Q654:S654)</f>
        <v/>
      </c>
      <c r="U654" s="28">
        <f>IFERROR(LOOKUP(T654,{0;0.5;1.5;3;4.5},{"Despreciable";"Bajo";"Medio";"Alto";"Muy alto"}),"")</f>
        <v/>
      </c>
      <c r="V654" s="13">
        <f>IFERROR(INDEX(MgAmenFrec,MATCH(SUBSTITUTE($H654,"*","-"),MgAmenClave,0)),"")</f>
        <v/>
      </c>
      <c r="W654" s="28">
        <f>IFERROR(LOOKUP(X654,{0;0.01;0.1;1;10;100},{"Muy baja";"Muy baja";"Baja";"Media";"Alta";"Muy alta"}),"")</f>
        <v/>
      </c>
      <c r="X654" s="31">
        <f>IFERROR(VLOOKUP(V654,MgFrec,2,0),0)</f>
        <v/>
      </c>
      <c r="Y654" s="30">
        <f>T654*X654</f>
        <v/>
      </c>
      <c r="Z654" s="28">
        <f>IFERROR(LOOKUP(Y654,{0;0.5;5;25},{"Bajo";"Medio";"Alto";"Crítico"}),"")</f>
        <v/>
      </c>
      <c r="AA654" s="64">
        <f>IF(T654&gt;=3,IF(X654&gt;=1,"Zona 1 — Crítica: impacto alto y ocurre al menos una vez al año","Zona 4 — Catastrófica poco probable: impacto alto pero excepcional"),IF(AND(T654&lt;1.5,X654&lt;1),"Zona 3 — Asumible: impacto bajo y muy poco frecuente","Zona 2 — Atención: riesgo intermedio"))</f>
        <v/>
      </c>
      <c r="AB654" s="64">
        <f>IFERROR(INDEX(MgAmenCtrl,MATCH(SUBSTITUTE($H654,"*","-"),MgAmenClave,0)),"")</f>
        <v/>
      </c>
      <c r="AC654" s="20" t="n"/>
      <c r="AD654" s="31">
        <f>IFERROR($X654*(1-IF($AC654="",$AL654,VLOOKUP($AC654,MgMad,2,0))),"")</f>
        <v/>
      </c>
      <c r="AE654" s="28">
        <f>IFERROR(LOOKUP(AD654,{0;0.01;0.1;1;10;100},{"Muy baja";"Muy baja";"Baja";"Media";"Alta";"Muy alta"}),"")</f>
        <v/>
      </c>
      <c r="AF654" s="30">
        <f>T654*AD654</f>
        <v/>
      </c>
      <c r="AG654" s="28">
        <f>IFERROR(LOOKUP(AF654,{0;0.5;5;25},{"Bajo";"Medio";"Alto";"Crítico"}),"")</f>
        <v/>
      </c>
      <c r="AH654" s="28">
        <f>IF(AG654="","",IF(OR(AG654="Crítico",AG654="Alto"),"Mitigar",IF(AG654="Medio","Mitigar","Aceptar y monitorear")))</f>
        <v/>
      </c>
      <c r="AI654" s="21" t="n"/>
      <c r="AJ654" s="21" t="n"/>
      <c r="AK654" s="20" t="n"/>
      <c r="AL654" s="77">
        <f>IFERROR(INDEX(MgAmenEfic,MATCH(SUBSTITUTE($H654,"*","-"),MgAmenClave,0)),0)</f>
        <v/>
      </c>
    </row>
    <row r="655" hidden="1" ht="60" customHeight="1" s="54">
      <c r="B655" s="59" t="inlineStr">
        <is>
          <t>R-0650</t>
        </is>
      </c>
      <c r="C655" s="59" t="inlineStr">
        <is>
          <t>FIN-09</t>
        </is>
      </c>
      <c r="D655" s="64">
        <f>IFERROR(INDEX(MgNombre,MATCH($C655,MgActId,0)),"")</f>
        <v/>
      </c>
      <c r="E655" s="64">
        <f>IFERROR(INDEX(MgProceso,MATCH($C655,MgActId,0)),"")</f>
        <v/>
      </c>
      <c r="F655" s="64">
        <f>IFERROR(INDEX(MgTipo,MATCH($C655,MgActId,0)),"")</f>
        <v/>
      </c>
      <c r="G655" s="64">
        <f>IFERROR(INDEX(MgSubtipo,MATCH($C655,MgActId,0)),"")</f>
        <v/>
      </c>
      <c r="H655" s="59" t="inlineStr">
        <is>
          <t>A.18</t>
        </is>
      </c>
      <c r="I655" s="64">
        <f>IFERROR(INDEX(MgAmenNombre,MATCH(SUBSTITUTE($H655,"*","-"),MgAmenClave,0)),"")</f>
        <v/>
      </c>
      <c r="J655" s="28">
        <f>IFERROR(INDEX(MgAmenGrupo,MATCH(SUBSTITUTE($H655,"*","-"),MgAmenClave,0)),"")</f>
        <v/>
      </c>
      <c r="K655" s="64">
        <f>IFERROR(INDEX('1. Matriz de Activos'!$Q$6:$Q$239,MATCH($C655,MgActId,0)),"")</f>
        <v/>
      </c>
      <c r="L655" s="64">
        <f>IFERROR(INDEX('1. Matriz de Activos'!$R$6:$R$239,MATCH($C655,MgActId,0)),"")</f>
        <v/>
      </c>
      <c r="M655" s="64">
        <f>IFERROR(INDEX('1. Matriz de Activos'!$S$6:$S$239,MATCH($C655,MgActId,0)),"")</f>
        <v/>
      </c>
      <c r="N655" s="28">
        <f>IFERROR(INDEX(MgAmenDegD,MATCH(SUBSTITUTE($H655,"*","-"),MgAmenClave,0)),"No aplica")</f>
        <v/>
      </c>
      <c r="O655" s="28">
        <f>IFERROR(INDEX(MgAmenDegI,MATCH(SUBSTITUTE($H655,"*","-"),MgAmenClave,0)),"No aplica")</f>
        <v/>
      </c>
      <c r="P655" s="28">
        <f>IFERROR(INDEX(MgAmenDegC,MATCH(SUBSTITUTE($H655,"*","-"),MgAmenClave,0)),"No aplica")</f>
        <v/>
      </c>
      <c r="Q655" s="29">
        <f>IFERROR(VLOOKUP(K655,MgValor,2,0)*VLOOKUP(N655,MgDeg,2,0),0)</f>
        <v/>
      </c>
      <c r="R655" s="29">
        <f>IFERROR(VLOOKUP(L655,MgValor,2,0)*VLOOKUP(O655,MgDeg,2,0),0)</f>
        <v/>
      </c>
      <c r="S655" s="29">
        <f>IFERROR(VLOOKUP(M655,MgValor,2,0)*VLOOKUP(P655,MgDeg,2,0),0)</f>
        <v/>
      </c>
      <c r="T655" s="30">
        <f>MAX(Q655:S655)</f>
        <v/>
      </c>
      <c r="U655" s="28">
        <f>IFERROR(LOOKUP(T655,{0;0.5;1.5;3;4.5},{"Despreciable";"Bajo";"Medio";"Alto";"Muy alto"}),"")</f>
        <v/>
      </c>
      <c r="V655" s="13">
        <f>IFERROR(INDEX(MgAmenFrec,MATCH(SUBSTITUTE($H655,"*","-"),MgAmenClave,0)),"")</f>
        <v/>
      </c>
      <c r="W655" s="28">
        <f>IFERROR(LOOKUP(X655,{0;0.01;0.1;1;10;100},{"Muy baja";"Muy baja";"Baja";"Media";"Alta";"Muy alta"}),"")</f>
        <v/>
      </c>
      <c r="X655" s="31">
        <f>IFERROR(VLOOKUP(V655,MgFrec,2,0),0)</f>
        <v/>
      </c>
      <c r="Y655" s="30">
        <f>T655*X655</f>
        <v/>
      </c>
      <c r="Z655" s="28">
        <f>IFERROR(LOOKUP(Y655,{0;0.5;5;25},{"Bajo";"Medio";"Alto";"Crítico"}),"")</f>
        <v/>
      </c>
      <c r="AA655" s="64">
        <f>IF(T655&gt;=3,IF(X655&gt;=1,"Zona 1 — Crítica: impacto alto y ocurre al menos una vez al año","Zona 4 — Catastrófica poco probable: impacto alto pero excepcional"),IF(AND(T655&lt;1.5,X655&lt;1),"Zona 3 — Asumible: impacto bajo y muy poco frecuente","Zona 2 — Atención: riesgo intermedio"))</f>
        <v/>
      </c>
      <c r="AB655" s="64">
        <f>IFERROR(INDEX(MgAmenCtrl,MATCH(SUBSTITUTE($H655,"*","-"),MgAmenClave,0)),"")</f>
        <v/>
      </c>
      <c r="AC655" s="20" t="n"/>
      <c r="AD655" s="31">
        <f>IFERROR($X655*(1-IF($AC655="",$AL655,VLOOKUP($AC655,MgMad,2,0))),"")</f>
        <v/>
      </c>
      <c r="AE655" s="28">
        <f>IFERROR(LOOKUP(AD655,{0;0.01;0.1;1;10;100},{"Muy baja";"Muy baja";"Baja";"Media";"Alta";"Muy alta"}),"")</f>
        <v/>
      </c>
      <c r="AF655" s="30">
        <f>T655*AD655</f>
        <v/>
      </c>
      <c r="AG655" s="28">
        <f>IFERROR(LOOKUP(AF655,{0;0.5;5;25},{"Bajo";"Medio";"Alto";"Crítico"}),"")</f>
        <v/>
      </c>
      <c r="AH655" s="28">
        <f>IF(AG655="","",IF(OR(AG655="Crítico",AG655="Alto"),"Mitigar",IF(AG655="Medio","Mitigar","Aceptar y monitorear")))</f>
        <v/>
      </c>
      <c r="AI655" s="21" t="n"/>
      <c r="AJ655" s="21" t="n"/>
      <c r="AK655" s="20" t="n"/>
      <c r="AL655" s="77">
        <f>IFERROR(INDEX(MgAmenEfic,MATCH(SUBSTITUTE($H655,"*","-"),MgAmenClave,0)),0)</f>
        <v/>
      </c>
    </row>
    <row r="656" hidden="1" ht="120" customHeight="1" s="54">
      <c r="B656" s="59" t="inlineStr">
        <is>
          <t>R-0651</t>
        </is>
      </c>
      <c r="C656" s="59" t="inlineStr">
        <is>
          <t>FIN-09</t>
        </is>
      </c>
      <c r="D656" s="64">
        <f>IFERROR(INDEX(MgNombre,MATCH($C656,MgActId,0)),"")</f>
        <v/>
      </c>
      <c r="E656" s="64">
        <f>IFERROR(INDEX(MgProceso,MATCH($C656,MgActId,0)),"")</f>
        <v/>
      </c>
      <c r="F656" s="64">
        <f>IFERROR(INDEX(MgTipo,MATCH($C656,MgActId,0)),"")</f>
        <v/>
      </c>
      <c r="G656" s="64">
        <f>IFERROR(INDEX(MgSubtipo,MATCH($C656,MgActId,0)),"")</f>
        <v/>
      </c>
      <c r="H656" s="59" t="inlineStr">
        <is>
          <t>A.19</t>
        </is>
      </c>
      <c r="I656" s="64">
        <f>IFERROR(INDEX(MgAmenNombre,MATCH(SUBSTITUTE($H656,"*","-"),MgAmenClave,0)),"")</f>
        <v/>
      </c>
      <c r="J656" s="28">
        <f>IFERROR(INDEX(MgAmenGrupo,MATCH(SUBSTITUTE($H656,"*","-"),MgAmenClave,0)),"")</f>
        <v/>
      </c>
      <c r="K656" s="64">
        <f>IFERROR(INDEX('1. Matriz de Activos'!$Q$6:$Q$239,MATCH($C656,MgActId,0)),"")</f>
        <v/>
      </c>
      <c r="L656" s="64">
        <f>IFERROR(INDEX('1. Matriz de Activos'!$R$6:$R$239,MATCH($C656,MgActId,0)),"")</f>
        <v/>
      </c>
      <c r="M656" s="64">
        <f>IFERROR(INDEX('1. Matriz de Activos'!$S$6:$S$239,MATCH($C656,MgActId,0)),"")</f>
        <v/>
      </c>
      <c r="N656" s="28">
        <f>IFERROR(INDEX(MgAmenDegD,MATCH(SUBSTITUTE($H656,"*","-"),MgAmenClave,0)),"No aplica")</f>
        <v/>
      </c>
      <c r="O656" s="28">
        <f>IFERROR(INDEX(MgAmenDegI,MATCH(SUBSTITUTE($H656,"*","-"),MgAmenClave,0)),"No aplica")</f>
        <v/>
      </c>
      <c r="P656" s="28">
        <f>IFERROR(INDEX(MgAmenDegC,MATCH(SUBSTITUTE($H656,"*","-"),MgAmenClave,0)),"No aplica")</f>
        <v/>
      </c>
      <c r="Q656" s="29">
        <f>IFERROR(VLOOKUP(K656,MgValor,2,0)*VLOOKUP(N656,MgDeg,2,0),0)</f>
        <v/>
      </c>
      <c r="R656" s="29">
        <f>IFERROR(VLOOKUP(L656,MgValor,2,0)*VLOOKUP(O656,MgDeg,2,0),0)</f>
        <v/>
      </c>
      <c r="S656" s="29">
        <f>IFERROR(VLOOKUP(M656,MgValor,2,0)*VLOOKUP(P656,MgDeg,2,0),0)</f>
        <v/>
      </c>
      <c r="T656" s="30">
        <f>MAX(Q656:S656)</f>
        <v/>
      </c>
      <c r="U656" s="28">
        <f>IFERROR(LOOKUP(T656,{0;0.5;1.5;3;4.5},{"Despreciable";"Bajo";"Medio";"Alto";"Muy alto"}),"")</f>
        <v/>
      </c>
      <c r="V656" s="13">
        <f>IFERROR(INDEX(MgAmenFrec,MATCH(SUBSTITUTE($H656,"*","-"),MgAmenClave,0)),"")</f>
        <v/>
      </c>
      <c r="W656" s="28">
        <f>IFERROR(LOOKUP(X656,{0;0.01;0.1;1;10;100},{"Muy baja";"Muy baja";"Baja";"Media";"Alta";"Muy alta"}),"")</f>
        <v/>
      </c>
      <c r="X656" s="31">
        <f>IFERROR(VLOOKUP(V656,MgFrec,2,0),0)</f>
        <v/>
      </c>
      <c r="Y656" s="30">
        <f>T656*X656</f>
        <v/>
      </c>
      <c r="Z656" s="28">
        <f>IFERROR(LOOKUP(Y656,{0;0.5;5;25},{"Bajo";"Medio";"Alto";"Crítico"}),"")</f>
        <v/>
      </c>
      <c r="AA656" s="64">
        <f>IF(T656&gt;=3,IF(X656&gt;=1,"Zona 1 — Crítica: impacto alto y ocurre al menos una vez al año","Zona 4 — Catastrófica poco probable: impacto alto pero excepcional"),IF(AND(T656&lt;1.5,X656&lt;1),"Zona 3 — Asumible: impacto bajo y muy poco frecuente","Zona 2 — Atención: riesgo intermedio"))</f>
        <v/>
      </c>
      <c r="AB656" s="64">
        <f>IFERROR(INDEX(MgAmenCtrl,MATCH(SUBSTITUTE($H656,"*","-"),MgAmenClave,0)),"")</f>
        <v/>
      </c>
      <c r="AC656" s="20" t="n"/>
      <c r="AD656" s="31">
        <f>IFERROR($X656*(1-IF($AC656="",$AL656,VLOOKUP($AC656,MgMad,2,0))),"")</f>
        <v/>
      </c>
      <c r="AE656" s="28">
        <f>IFERROR(LOOKUP(AD656,{0;0.01;0.1;1;10;100},{"Muy baja";"Muy baja";"Baja";"Media";"Alta";"Muy alta"}),"")</f>
        <v/>
      </c>
      <c r="AF656" s="30">
        <f>T656*AD656</f>
        <v/>
      </c>
      <c r="AG656" s="28">
        <f>IFERROR(LOOKUP(AF656,{0;0.5;5;25},{"Bajo";"Medio";"Alto";"Crítico"}),"")</f>
        <v/>
      </c>
      <c r="AH656" s="28">
        <f>IF(AG656="","",IF(OR(AG656="Crítico",AG656="Alto"),"Mitigar",IF(AG656="Medio","Mitigar","Aceptar y monitorear")))</f>
        <v/>
      </c>
      <c r="AI656" s="21" t="n"/>
      <c r="AJ656" s="21" t="n"/>
      <c r="AK656" s="20" t="n"/>
      <c r="AL656" s="77">
        <f>IFERROR(INDEX(MgAmenEfic,MATCH(SUBSTITUTE($H656,"*","-"),MgAmenClave,0)),0)</f>
        <v/>
      </c>
    </row>
    <row r="657" hidden="1" ht="105" customHeight="1" s="54">
      <c r="B657" s="59" t="inlineStr">
        <is>
          <t>R-0652</t>
        </is>
      </c>
      <c r="C657" s="59" t="inlineStr">
        <is>
          <t>LCO-07</t>
        </is>
      </c>
      <c r="D657" s="64">
        <f>IFERROR(INDEX(MgNombre,MATCH($C657,MgActId,0)),"")</f>
        <v/>
      </c>
      <c r="E657" s="64">
        <f>IFERROR(INDEX(MgProceso,MATCH($C657,MgActId,0)),"")</f>
        <v/>
      </c>
      <c r="F657" s="64">
        <f>IFERROR(INDEX(MgTipo,MATCH($C657,MgActId,0)),"")</f>
        <v/>
      </c>
      <c r="G657" s="64">
        <f>IFERROR(INDEX(MgSubtipo,MATCH($C657,MgActId,0)),"")</f>
        <v/>
      </c>
      <c r="H657" s="59" t="inlineStr">
        <is>
          <t>E.1</t>
        </is>
      </c>
      <c r="I657" s="64">
        <f>IFERROR(INDEX(MgAmenNombre,MATCH(SUBSTITUTE($H657,"*","-"),MgAmenClave,0)),"")</f>
        <v/>
      </c>
      <c r="J657" s="28">
        <f>IFERROR(INDEX(MgAmenGrupo,MATCH(SUBSTITUTE($H657,"*","-"),MgAmenClave,0)),"")</f>
        <v/>
      </c>
      <c r="K657" s="64">
        <f>IFERROR(INDEX('1. Matriz de Activos'!$Q$6:$Q$239,MATCH($C657,MgActId,0)),"")</f>
        <v/>
      </c>
      <c r="L657" s="64">
        <f>IFERROR(INDEX('1. Matriz de Activos'!$R$6:$R$239,MATCH($C657,MgActId,0)),"")</f>
        <v/>
      </c>
      <c r="M657" s="64">
        <f>IFERROR(INDEX('1. Matriz de Activos'!$S$6:$S$239,MATCH($C657,MgActId,0)),"")</f>
        <v/>
      </c>
      <c r="N657" s="28">
        <f>IFERROR(INDEX(MgAmenDegD,MATCH(SUBSTITUTE($H657,"*","-"),MgAmenClave,0)),"No aplica")</f>
        <v/>
      </c>
      <c r="O657" s="28">
        <f>IFERROR(INDEX(MgAmenDegI,MATCH(SUBSTITUTE($H657,"*","-"),MgAmenClave,0)),"No aplica")</f>
        <v/>
      </c>
      <c r="P657" s="28">
        <f>IFERROR(INDEX(MgAmenDegC,MATCH(SUBSTITUTE($H657,"*","-"),MgAmenClave,0)),"No aplica")</f>
        <v/>
      </c>
      <c r="Q657" s="29">
        <f>IFERROR(VLOOKUP(K657,MgValor,2,0)*VLOOKUP(N657,MgDeg,2,0),0)</f>
        <v/>
      </c>
      <c r="R657" s="29">
        <f>IFERROR(VLOOKUP(L657,MgValor,2,0)*VLOOKUP(O657,MgDeg,2,0),0)</f>
        <v/>
      </c>
      <c r="S657" s="29">
        <f>IFERROR(VLOOKUP(M657,MgValor,2,0)*VLOOKUP(P657,MgDeg,2,0),0)</f>
        <v/>
      </c>
      <c r="T657" s="30">
        <f>MAX(Q657:S657)</f>
        <v/>
      </c>
      <c r="U657" s="28">
        <f>IFERROR(LOOKUP(T657,{0;0.5;1.5;3;4.5},{"Despreciable";"Bajo";"Medio";"Alto";"Muy alto"}),"")</f>
        <v/>
      </c>
      <c r="V657" s="13">
        <f>IFERROR(INDEX(MgAmenFrec,MATCH(SUBSTITUTE($H657,"*","-"),MgAmenClave,0)),"")</f>
        <v/>
      </c>
      <c r="W657" s="28">
        <f>IFERROR(LOOKUP(X657,{0;0.01;0.1;1;10;100},{"Muy baja";"Muy baja";"Baja";"Media";"Alta";"Muy alta"}),"")</f>
        <v/>
      </c>
      <c r="X657" s="31">
        <f>IFERROR(VLOOKUP(V657,MgFrec,2,0),0)</f>
        <v/>
      </c>
      <c r="Y657" s="30">
        <f>T657*X657</f>
        <v/>
      </c>
      <c r="Z657" s="28">
        <f>IFERROR(LOOKUP(Y657,{0;0.5;5;25},{"Bajo";"Medio";"Alto";"Crítico"}),"")</f>
        <v/>
      </c>
      <c r="AA657" s="64">
        <f>IF(T657&gt;=3,IF(X657&gt;=1,"Zona 1 — Crítica: impacto alto y ocurre al menos una vez al año","Zona 4 — Catastrófica poco probable: impacto alto pero excepcional"),IF(AND(T657&lt;1.5,X657&lt;1),"Zona 3 — Asumible: impacto bajo y muy poco frecuente","Zona 2 — Atención: riesgo intermedio"))</f>
        <v/>
      </c>
      <c r="AB657" s="64">
        <f>IFERROR(INDEX(MgAmenCtrl,MATCH(SUBSTITUTE($H657,"*","-"),MgAmenClave,0)),"")</f>
        <v/>
      </c>
      <c r="AC657" s="20" t="n"/>
      <c r="AD657" s="31">
        <f>IFERROR($X657*(1-IF($AC657="",$AL657,VLOOKUP($AC657,MgMad,2,0))),"")</f>
        <v/>
      </c>
      <c r="AE657" s="28">
        <f>IFERROR(LOOKUP(AD657,{0;0.01;0.1;1;10;100},{"Muy baja";"Muy baja";"Baja";"Media";"Alta";"Muy alta"}),"")</f>
        <v/>
      </c>
      <c r="AF657" s="30">
        <f>T657*AD657</f>
        <v/>
      </c>
      <c r="AG657" s="28">
        <f>IFERROR(LOOKUP(AF657,{0;0.5;5;25},{"Bajo";"Medio";"Alto";"Crítico"}),"")</f>
        <v/>
      </c>
      <c r="AH657" s="28">
        <f>IF(AG657="","",IF(OR(AG657="Crítico",AG657="Alto"),"Mitigar",IF(AG657="Medio","Mitigar","Aceptar y monitorear")))</f>
        <v/>
      </c>
      <c r="AI657" s="21" t="n"/>
      <c r="AJ657" s="21" t="n"/>
      <c r="AK657" s="20" t="n"/>
      <c r="AL657" s="77">
        <f>IFERROR(INDEX(MgAmenEfic,MATCH(SUBSTITUTE($H657,"*","-"),MgAmenClave,0)),0)</f>
        <v/>
      </c>
    </row>
    <row r="658" hidden="1" ht="120" customHeight="1" s="54">
      <c r="B658" s="59" t="inlineStr">
        <is>
          <t>R-0653</t>
        </is>
      </c>
      <c r="C658" s="59" t="inlineStr">
        <is>
          <t>LCO-07</t>
        </is>
      </c>
      <c r="D658" s="64">
        <f>IFERROR(INDEX(MgNombre,MATCH($C658,MgActId,0)),"")</f>
        <v/>
      </c>
      <c r="E658" s="64">
        <f>IFERROR(INDEX(MgProceso,MATCH($C658,MgActId,0)),"")</f>
        <v/>
      </c>
      <c r="F658" s="64">
        <f>IFERROR(INDEX(MgTipo,MATCH($C658,MgActId,0)),"")</f>
        <v/>
      </c>
      <c r="G658" s="64">
        <f>IFERROR(INDEX(MgSubtipo,MATCH($C658,MgActId,0)),"")</f>
        <v/>
      </c>
      <c r="H658" s="59" t="inlineStr">
        <is>
          <t>E.2</t>
        </is>
      </c>
      <c r="I658" s="64">
        <f>IFERROR(INDEX(MgAmenNombre,MATCH(SUBSTITUTE($H658,"*","-"),MgAmenClave,0)),"")</f>
        <v/>
      </c>
      <c r="J658" s="28">
        <f>IFERROR(INDEX(MgAmenGrupo,MATCH(SUBSTITUTE($H658,"*","-"),MgAmenClave,0)),"")</f>
        <v/>
      </c>
      <c r="K658" s="64">
        <f>IFERROR(INDEX('1. Matriz de Activos'!$Q$6:$Q$239,MATCH($C658,MgActId,0)),"")</f>
        <v/>
      </c>
      <c r="L658" s="64">
        <f>IFERROR(INDEX('1. Matriz de Activos'!$R$6:$R$239,MATCH($C658,MgActId,0)),"")</f>
        <v/>
      </c>
      <c r="M658" s="64">
        <f>IFERROR(INDEX('1. Matriz de Activos'!$S$6:$S$239,MATCH($C658,MgActId,0)),"")</f>
        <v/>
      </c>
      <c r="N658" s="28">
        <f>IFERROR(INDEX(MgAmenDegD,MATCH(SUBSTITUTE($H658,"*","-"),MgAmenClave,0)),"No aplica")</f>
        <v/>
      </c>
      <c r="O658" s="28">
        <f>IFERROR(INDEX(MgAmenDegI,MATCH(SUBSTITUTE($H658,"*","-"),MgAmenClave,0)),"No aplica")</f>
        <v/>
      </c>
      <c r="P658" s="28">
        <f>IFERROR(INDEX(MgAmenDegC,MATCH(SUBSTITUTE($H658,"*","-"),MgAmenClave,0)),"No aplica")</f>
        <v/>
      </c>
      <c r="Q658" s="29">
        <f>IFERROR(VLOOKUP(K658,MgValor,2,0)*VLOOKUP(N658,MgDeg,2,0),0)</f>
        <v/>
      </c>
      <c r="R658" s="29">
        <f>IFERROR(VLOOKUP(L658,MgValor,2,0)*VLOOKUP(O658,MgDeg,2,0),0)</f>
        <v/>
      </c>
      <c r="S658" s="29">
        <f>IFERROR(VLOOKUP(M658,MgValor,2,0)*VLOOKUP(P658,MgDeg,2,0),0)</f>
        <v/>
      </c>
      <c r="T658" s="30">
        <f>MAX(Q658:S658)</f>
        <v/>
      </c>
      <c r="U658" s="28">
        <f>IFERROR(LOOKUP(T658,{0;0.5;1.5;3;4.5},{"Despreciable";"Bajo";"Medio";"Alto";"Muy alto"}),"")</f>
        <v/>
      </c>
      <c r="V658" s="13">
        <f>IFERROR(INDEX(MgAmenFrec,MATCH(SUBSTITUTE($H658,"*","-"),MgAmenClave,0)),"")</f>
        <v/>
      </c>
      <c r="W658" s="28">
        <f>IFERROR(LOOKUP(X658,{0;0.01;0.1;1;10;100},{"Muy baja";"Muy baja";"Baja";"Media";"Alta";"Muy alta"}),"")</f>
        <v/>
      </c>
      <c r="X658" s="31">
        <f>IFERROR(VLOOKUP(V658,MgFrec,2,0),0)</f>
        <v/>
      </c>
      <c r="Y658" s="30">
        <f>T658*X658</f>
        <v/>
      </c>
      <c r="Z658" s="28">
        <f>IFERROR(LOOKUP(Y658,{0;0.5;5;25},{"Bajo";"Medio";"Alto";"Crítico"}),"")</f>
        <v/>
      </c>
      <c r="AA658" s="64">
        <f>IF(T658&gt;=3,IF(X658&gt;=1,"Zona 1 — Crítica: impacto alto y ocurre al menos una vez al año","Zona 4 — Catastrófica poco probable: impacto alto pero excepcional"),IF(AND(T658&lt;1.5,X658&lt;1),"Zona 3 — Asumible: impacto bajo y muy poco frecuente","Zona 2 — Atención: riesgo intermedio"))</f>
        <v/>
      </c>
      <c r="AB658" s="64">
        <f>IFERROR(INDEX(MgAmenCtrl,MATCH(SUBSTITUTE($H658,"*","-"),MgAmenClave,0)),"")</f>
        <v/>
      </c>
      <c r="AC658" s="20" t="n"/>
      <c r="AD658" s="31">
        <f>IFERROR($X658*(1-IF($AC658="",$AL658,VLOOKUP($AC658,MgMad,2,0))),"")</f>
        <v/>
      </c>
      <c r="AE658" s="28">
        <f>IFERROR(LOOKUP(AD658,{0;0.01;0.1;1;10;100},{"Muy baja";"Muy baja";"Baja";"Media";"Alta";"Muy alta"}),"")</f>
        <v/>
      </c>
      <c r="AF658" s="30">
        <f>T658*AD658</f>
        <v/>
      </c>
      <c r="AG658" s="28">
        <f>IFERROR(LOOKUP(AF658,{0;0.5;5;25},{"Bajo";"Medio";"Alto";"Crítico"}),"")</f>
        <v/>
      </c>
      <c r="AH658" s="28">
        <f>IF(AG658="","",IF(OR(AG658="Crítico",AG658="Alto"),"Mitigar",IF(AG658="Medio","Mitigar","Aceptar y monitorear")))</f>
        <v/>
      </c>
      <c r="AI658" s="21" t="n"/>
      <c r="AJ658" s="21" t="n"/>
      <c r="AK658" s="20" t="n"/>
      <c r="AL658" s="77">
        <f>IFERROR(INDEX(MgAmenEfic,MATCH(SUBSTITUTE($H658,"*","-"),MgAmenClave,0)),0)</f>
        <v/>
      </c>
    </row>
    <row r="659" hidden="1" ht="75" customHeight="1" s="54">
      <c r="B659" s="59" t="inlineStr">
        <is>
          <t>R-0654</t>
        </is>
      </c>
      <c r="C659" s="59" t="inlineStr">
        <is>
          <t>LCO-07</t>
        </is>
      </c>
      <c r="D659" s="64">
        <f>IFERROR(INDEX(MgNombre,MATCH($C659,MgActId,0)),"")</f>
        <v/>
      </c>
      <c r="E659" s="64">
        <f>IFERROR(INDEX(MgProceso,MATCH($C659,MgActId,0)),"")</f>
        <v/>
      </c>
      <c r="F659" s="64">
        <f>IFERROR(INDEX(MgTipo,MATCH($C659,MgActId,0)),"")</f>
        <v/>
      </c>
      <c r="G659" s="64">
        <f>IFERROR(INDEX(MgSubtipo,MATCH($C659,MgActId,0)),"")</f>
        <v/>
      </c>
      <c r="H659" s="59" t="inlineStr">
        <is>
          <t>E.3</t>
        </is>
      </c>
      <c r="I659" s="64">
        <f>IFERROR(INDEX(MgAmenNombre,MATCH(SUBSTITUTE($H659,"*","-"),MgAmenClave,0)),"")</f>
        <v/>
      </c>
      <c r="J659" s="28">
        <f>IFERROR(INDEX(MgAmenGrupo,MATCH(SUBSTITUTE($H659,"*","-"),MgAmenClave,0)),"")</f>
        <v/>
      </c>
      <c r="K659" s="64">
        <f>IFERROR(INDEX('1. Matriz de Activos'!$Q$6:$Q$239,MATCH($C659,MgActId,0)),"")</f>
        <v/>
      </c>
      <c r="L659" s="64">
        <f>IFERROR(INDEX('1. Matriz de Activos'!$R$6:$R$239,MATCH($C659,MgActId,0)),"")</f>
        <v/>
      </c>
      <c r="M659" s="64">
        <f>IFERROR(INDEX('1. Matriz de Activos'!$S$6:$S$239,MATCH($C659,MgActId,0)),"")</f>
        <v/>
      </c>
      <c r="N659" s="28">
        <f>IFERROR(INDEX(MgAmenDegD,MATCH(SUBSTITUTE($H659,"*","-"),MgAmenClave,0)),"No aplica")</f>
        <v/>
      </c>
      <c r="O659" s="28">
        <f>IFERROR(INDEX(MgAmenDegI,MATCH(SUBSTITUTE($H659,"*","-"),MgAmenClave,0)),"No aplica")</f>
        <v/>
      </c>
      <c r="P659" s="28">
        <f>IFERROR(INDEX(MgAmenDegC,MATCH(SUBSTITUTE($H659,"*","-"),MgAmenClave,0)),"No aplica")</f>
        <v/>
      </c>
      <c r="Q659" s="29">
        <f>IFERROR(VLOOKUP(K659,MgValor,2,0)*VLOOKUP(N659,MgDeg,2,0),0)</f>
        <v/>
      </c>
      <c r="R659" s="29">
        <f>IFERROR(VLOOKUP(L659,MgValor,2,0)*VLOOKUP(O659,MgDeg,2,0),0)</f>
        <v/>
      </c>
      <c r="S659" s="29">
        <f>IFERROR(VLOOKUP(M659,MgValor,2,0)*VLOOKUP(P659,MgDeg,2,0),0)</f>
        <v/>
      </c>
      <c r="T659" s="30">
        <f>MAX(Q659:S659)</f>
        <v/>
      </c>
      <c r="U659" s="28">
        <f>IFERROR(LOOKUP(T659,{0;0.5;1.5;3;4.5},{"Despreciable";"Bajo";"Medio";"Alto";"Muy alto"}),"")</f>
        <v/>
      </c>
      <c r="V659" s="13">
        <f>IFERROR(INDEX(MgAmenFrec,MATCH(SUBSTITUTE($H659,"*","-"),MgAmenClave,0)),"")</f>
        <v/>
      </c>
      <c r="W659" s="28">
        <f>IFERROR(LOOKUP(X659,{0;0.01;0.1;1;10;100},{"Muy baja";"Muy baja";"Baja";"Media";"Alta";"Muy alta"}),"")</f>
        <v/>
      </c>
      <c r="X659" s="31">
        <f>IFERROR(VLOOKUP(V659,MgFrec,2,0),0)</f>
        <v/>
      </c>
      <c r="Y659" s="30">
        <f>T659*X659</f>
        <v/>
      </c>
      <c r="Z659" s="28">
        <f>IFERROR(LOOKUP(Y659,{0;0.5;5;25},{"Bajo";"Medio";"Alto";"Crítico"}),"")</f>
        <v/>
      </c>
      <c r="AA659" s="64">
        <f>IF(T659&gt;=3,IF(X659&gt;=1,"Zona 1 — Crítica: impacto alto y ocurre al menos una vez al año","Zona 4 — Catastrófica poco probable: impacto alto pero excepcional"),IF(AND(T659&lt;1.5,X659&lt;1),"Zona 3 — Asumible: impacto bajo y muy poco frecuente","Zona 2 — Atención: riesgo intermedio"))</f>
        <v/>
      </c>
      <c r="AB659" s="64">
        <f>IFERROR(INDEX(MgAmenCtrl,MATCH(SUBSTITUTE($H659,"*","-"),MgAmenClave,0)),"")</f>
        <v/>
      </c>
      <c r="AC659" s="20" t="n"/>
      <c r="AD659" s="31">
        <f>IFERROR($X659*(1-IF($AC659="",$AL659,VLOOKUP($AC659,MgMad,2,0))),"")</f>
        <v/>
      </c>
      <c r="AE659" s="28">
        <f>IFERROR(LOOKUP(AD659,{0;0.01;0.1;1;10;100},{"Muy baja";"Muy baja";"Baja";"Media";"Alta";"Muy alta"}),"")</f>
        <v/>
      </c>
      <c r="AF659" s="30">
        <f>T659*AD659</f>
        <v/>
      </c>
      <c r="AG659" s="28">
        <f>IFERROR(LOOKUP(AF659,{0;0.5;5;25},{"Bajo";"Medio";"Alto";"Crítico"}),"")</f>
        <v/>
      </c>
      <c r="AH659" s="28">
        <f>IF(AG659="","",IF(OR(AG659="Crítico",AG659="Alto"),"Mitigar",IF(AG659="Medio","Mitigar","Aceptar y monitorear")))</f>
        <v/>
      </c>
      <c r="AI659" s="21" t="n"/>
      <c r="AJ659" s="21" t="n"/>
      <c r="AK659" s="20" t="n"/>
      <c r="AL659" s="77">
        <f>IFERROR(INDEX(MgAmenEfic,MATCH(SUBSTITUTE($H659,"*","-"),MgAmenClave,0)),0)</f>
        <v/>
      </c>
    </row>
    <row r="660" hidden="1" ht="75" customHeight="1" s="54">
      <c r="B660" s="59" t="inlineStr">
        <is>
          <t>R-0655</t>
        </is>
      </c>
      <c r="C660" s="59" t="inlineStr">
        <is>
          <t>LCO-07</t>
        </is>
      </c>
      <c r="D660" s="64">
        <f>IFERROR(INDEX(MgNombre,MATCH($C660,MgActId,0)),"")</f>
        <v/>
      </c>
      <c r="E660" s="64">
        <f>IFERROR(INDEX(MgProceso,MATCH($C660,MgActId,0)),"")</f>
        <v/>
      </c>
      <c r="F660" s="64">
        <f>IFERROR(INDEX(MgTipo,MATCH($C660,MgActId,0)),"")</f>
        <v/>
      </c>
      <c r="G660" s="64">
        <f>IFERROR(INDEX(MgSubtipo,MATCH($C660,MgActId,0)),"")</f>
        <v/>
      </c>
      <c r="H660" s="59" t="inlineStr">
        <is>
          <t>E.4</t>
        </is>
      </c>
      <c r="I660" s="64">
        <f>IFERROR(INDEX(MgAmenNombre,MATCH(SUBSTITUTE($H660,"*","-"),MgAmenClave,0)),"")</f>
        <v/>
      </c>
      <c r="J660" s="28">
        <f>IFERROR(INDEX(MgAmenGrupo,MATCH(SUBSTITUTE($H660,"*","-"),MgAmenClave,0)),"")</f>
        <v/>
      </c>
      <c r="K660" s="64">
        <f>IFERROR(INDEX('1. Matriz de Activos'!$Q$6:$Q$239,MATCH($C660,MgActId,0)),"")</f>
        <v/>
      </c>
      <c r="L660" s="64">
        <f>IFERROR(INDEX('1. Matriz de Activos'!$R$6:$R$239,MATCH($C660,MgActId,0)),"")</f>
        <v/>
      </c>
      <c r="M660" s="64">
        <f>IFERROR(INDEX('1. Matriz de Activos'!$S$6:$S$239,MATCH($C660,MgActId,0)),"")</f>
        <v/>
      </c>
      <c r="N660" s="28">
        <f>IFERROR(INDEX(MgAmenDegD,MATCH(SUBSTITUTE($H660,"*","-"),MgAmenClave,0)),"No aplica")</f>
        <v/>
      </c>
      <c r="O660" s="28">
        <f>IFERROR(INDEX(MgAmenDegI,MATCH(SUBSTITUTE($H660,"*","-"),MgAmenClave,0)),"No aplica")</f>
        <v/>
      </c>
      <c r="P660" s="28">
        <f>IFERROR(INDEX(MgAmenDegC,MATCH(SUBSTITUTE($H660,"*","-"),MgAmenClave,0)),"No aplica")</f>
        <v/>
      </c>
      <c r="Q660" s="29">
        <f>IFERROR(VLOOKUP(K660,MgValor,2,0)*VLOOKUP(N660,MgDeg,2,0),0)</f>
        <v/>
      </c>
      <c r="R660" s="29">
        <f>IFERROR(VLOOKUP(L660,MgValor,2,0)*VLOOKUP(O660,MgDeg,2,0),0)</f>
        <v/>
      </c>
      <c r="S660" s="29">
        <f>IFERROR(VLOOKUP(M660,MgValor,2,0)*VLOOKUP(P660,MgDeg,2,0),0)</f>
        <v/>
      </c>
      <c r="T660" s="30">
        <f>MAX(Q660:S660)</f>
        <v/>
      </c>
      <c r="U660" s="28">
        <f>IFERROR(LOOKUP(T660,{0;0.5;1.5;3;4.5},{"Despreciable";"Bajo";"Medio";"Alto";"Muy alto"}),"")</f>
        <v/>
      </c>
      <c r="V660" s="13">
        <f>IFERROR(INDEX(MgAmenFrec,MATCH(SUBSTITUTE($H660,"*","-"),MgAmenClave,0)),"")</f>
        <v/>
      </c>
      <c r="W660" s="28">
        <f>IFERROR(LOOKUP(X660,{0;0.01;0.1;1;10;100},{"Muy baja";"Muy baja";"Baja";"Media";"Alta";"Muy alta"}),"")</f>
        <v/>
      </c>
      <c r="X660" s="31">
        <f>IFERROR(VLOOKUP(V660,MgFrec,2,0),0)</f>
        <v/>
      </c>
      <c r="Y660" s="30">
        <f>T660*X660</f>
        <v/>
      </c>
      <c r="Z660" s="28">
        <f>IFERROR(LOOKUP(Y660,{0;0.5;5;25},{"Bajo";"Medio";"Alto";"Crítico"}),"")</f>
        <v/>
      </c>
      <c r="AA660" s="64">
        <f>IF(T660&gt;=3,IF(X660&gt;=1,"Zona 1 — Crítica: impacto alto y ocurre al menos una vez al año","Zona 4 — Catastrófica poco probable: impacto alto pero excepcional"),IF(AND(T660&lt;1.5,X660&lt;1),"Zona 3 — Asumible: impacto bajo y muy poco frecuente","Zona 2 — Atención: riesgo intermedio"))</f>
        <v/>
      </c>
      <c r="AB660" s="64">
        <f>IFERROR(INDEX(MgAmenCtrl,MATCH(SUBSTITUTE($H660,"*","-"),MgAmenClave,0)),"")</f>
        <v/>
      </c>
      <c r="AC660" s="20" t="n"/>
      <c r="AD660" s="31">
        <f>IFERROR($X660*(1-IF($AC660="",$AL660,VLOOKUP($AC660,MgMad,2,0))),"")</f>
        <v/>
      </c>
      <c r="AE660" s="28">
        <f>IFERROR(LOOKUP(AD660,{0;0.01;0.1;1;10;100},{"Muy baja";"Muy baja";"Baja";"Media";"Alta";"Muy alta"}),"")</f>
        <v/>
      </c>
      <c r="AF660" s="30">
        <f>T660*AD660</f>
        <v/>
      </c>
      <c r="AG660" s="28">
        <f>IFERROR(LOOKUP(AF660,{0;0.5;5;25},{"Bajo";"Medio";"Alto";"Crítico"}),"")</f>
        <v/>
      </c>
      <c r="AH660" s="28">
        <f>IF(AG660="","",IF(OR(AG660="Crítico",AG660="Alto"),"Mitigar",IF(AG660="Medio","Mitigar","Aceptar y monitorear")))</f>
        <v/>
      </c>
      <c r="AI660" s="21" t="n"/>
      <c r="AJ660" s="21" t="n"/>
      <c r="AK660" s="20" t="n"/>
      <c r="AL660" s="77">
        <f>IFERROR(INDEX(MgAmenEfic,MATCH(SUBSTITUTE($H660,"*","-"),MgAmenClave,0)),0)</f>
        <v/>
      </c>
    </row>
    <row r="661" hidden="1" ht="90" customHeight="1" s="54">
      <c r="B661" s="59" t="inlineStr">
        <is>
          <t>R-0656</t>
        </is>
      </c>
      <c r="C661" s="59" t="inlineStr">
        <is>
          <t>LCO-07</t>
        </is>
      </c>
      <c r="D661" s="64">
        <f>IFERROR(INDEX(MgNombre,MATCH($C661,MgActId,0)),"")</f>
        <v/>
      </c>
      <c r="E661" s="64">
        <f>IFERROR(INDEX(MgProceso,MATCH($C661,MgActId,0)),"")</f>
        <v/>
      </c>
      <c r="F661" s="64">
        <f>IFERROR(INDEX(MgTipo,MATCH($C661,MgActId,0)),"")</f>
        <v/>
      </c>
      <c r="G661" s="64">
        <f>IFERROR(INDEX(MgSubtipo,MATCH($C661,MgActId,0)),"")</f>
        <v/>
      </c>
      <c r="H661" s="59" t="inlineStr">
        <is>
          <t>E.14</t>
        </is>
      </c>
      <c r="I661" s="64">
        <f>IFERROR(INDEX(MgAmenNombre,MATCH(SUBSTITUTE($H661,"*","-"),MgAmenClave,0)),"")</f>
        <v/>
      </c>
      <c r="J661" s="28">
        <f>IFERROR(INDEX(MgAmenGrupo,MATCH(SUBSTITUTE($H661,"*","-"),MgAmenClave,0)),"")</f>
        <v/>
      </c>
      <c r="K661" s="64">
        <f>IFERROR(INDEX('1. Matriz de Activos'!$Q$6:$Q$239,MATCH($C661,MgActId,0)),"")</f>
        <v/>
      </c>
      <c r="L661" s="64">
        <f>IFERROR(INDEX('1. Matriz de Activos'!$R$6:$R$239,MATCH($C661,MgActId,0)),"")</f>
        <v/>
      </c>
      <c r="M661" s="64">
        <f>IFERROR(INDEX('1. Matriz de Activos'!$S$6:$S$239,MATCH($C661,MgActId,0)),"")</f>
        <v/>
      </c>
      <c r="N661" s="28">
        <f>IFERROR(INDEX(MgAmenDegD,MATCH(SUBSTITUTE($H661,"*","-"),MgAmenClave,0)),"No aplica")</f>
        <v/>
      </c>
      <c r="O661" s="28">
        <f>IFERROR(INDEX(MgAmenDegI,MATCH(SUBSTITUTE($H661,"*","-"),MgAmenClave,0)),"No aplica")</f>
        <v/>
      </c>
      <c r="P661" s="28">
        <f>IFERROR(INDEX(MgAmenDegC,MATCH(SUBSTITUTE($H661,"*","-"),MgAmenClave,0)),"No aplica")</f>
        <v/>
      </c>
      <c r="Q661" s="29">
        <f>IFERROR(VLOOKUP(K661,MgValor,2,0)*VLOOKUP(N661,MgDeg,2,0),0)</f>
        <v/>
      </c>
      <c r="R661" s="29">
        <f>IFERROR(VLOOKUP(L661,MgValor,2,0)*VLOOKUP(O661,MgDeg,2,0),0)</f>
        <v/>
      </c>
      <c r="S661" s="29">
        <f>IFERROR(VLOOKUP(M661,MgValor,2,0)*VLOOKUP(P661,MgDeg,2,0),0)</f>
        <v/>
      </c>
      <c r="T661" s="30">
        <f>MAX(Q661:S661)</f>
        <v/>
      </c>
      <c r="U661" s="28">
        <f>IFERROR(LOOKUP(T661,{0;0.5;1.5;3;4.5},{"Despreciable";"Bajo";"Medio";"Alto";"Muy alto"}),"")</f>
        <v/>
      </c>
      <c r="V661" s="13">
        <f>IFERROR(INDEX(MgAmenFrec,MATCH(SUBSTITUTE($H661,"*","-"),MgAmenClave,0)),"")</f>
        <v/>
      </c>
      <c r="W661" s="28">
        <f>IFERROR(LOOKUP(X661,{0;0.01;0.1;1;10;100},{"Muy baja";"Muy baja";"Baja";"Media";"Alta";"Muy alta"}),"")</f>
        <v/>
      </c>
      <c r="X661" s="31">
        <f>IFERROR(VLOOKUP(V661,MgFrec,2,0),0)</f>
        <v/>
      </c>
      <c r="Y661" s="30">
        <f>T661*X661</f>
        <v/>
      </c>
      <c r="Z661" s="28">
        <f>IFERROR(LOOKUP(Y661,{0;0.5;5;25},{"Bajo";"Medio";"Alto";"Crítico"}),"")</f>
        <v/>
      </c>
      <c r="AA661" s="64">
        <f>IF(T661&gt;=3,IF(X661&gt;=1,"Zona 1 — Crítica: impacto alto y ocurre al menos una vez al año","Zona 4 — Catastrófica poco probable: impacto alto pero excepcional"),IF(AND(T661&lt;1.5,X661&lt;1),"Zona 3 — Asumible: impacto bajo y muy poco frecuente","Zona 2 — Atención: riesgo intermedio"))</f>
        <v/>
      </c>
      <c r="AB661" s="64">
        <f>IFERROR(INDEX(MgAmenCtrl,MATCH(SUBSTITUTE($H661,"*","-"),MgAmenClave,0)),"")</f>
        <v/>
      </c>
      <c r="AC661" s="20" t="n"/>
      <c r="AD661" s="31">
        <f>IFERROR($X661*(1-IF($AC661="",$AL661,VLOOKUP($AC661,MgMad,2,0))),"")</f>
        <v/>
      </c>
      <c r="AE661" s="28">
        <f>IFERROR(LOOKUP(AD661,{0;0.01;0.1;1;10;100},{"Muy baja";"Muy baja";"Baja";"Media";"Alta";"Muy alta"}),"")</f>
        <v/>
      </c>
      <c r="AF661" s="30">
        <f>T661*AD661</f>
        <v/>
      </c>
      <c r="AG661" s="28">
        <f>IFERROR(LOOKUP(AF661,{0;0.5;5;25},{"Bajo";"Medio";"Alto";"Crítico"}),"")</f>
        <v/>
      </c>
      <c r="AH661" s="28">
        <f>IF(AG661="","",IF(OR(AG661="Crítico",AG661="Alto"),"Mitigar",IF(AG661="Medio","Mitigar","Aceptar y monitorear")))</f>
        <v/>
      </c>
      <c r="AI661" s="21" t="n"/>
      <c r="AJ661" s="21" t="n"/>
      <c r="AK661" s="20" t="n"/>
      <c r="AL661" s="77">
        <f>IFERROR(INDEX(MgAmenEfic,MATCH(SUBSTITUTE($H661,"*","-"),MgAmenClave,0)),0)</f>
        <v/>
      </c>
    </row>
    <row r="662" hidden="1" ht="90" customHeight="1" s="54">
      <c r="B662" s="59" t="inlineStr">
        <is>
          <t>R-0657</t>
        </is>
      </c>
      <c r="C662" s="59" t="inlineStr">
        <is>
          <t>LCO-07</t>
        </is>
      </c>
      <c r="D662" s="64">
        <f>IFERROR(INDEX(MgNombre,MATCH($C662,MgActId,0)),"")</f>
        <v/>
      </c>
      <c r="E662" s="64">
        <f>IFERROR(INDEX(MgProceso,MATCH($C662,MgActId,0)),"")</f>
        <v/>
      </c>
      <c r="F662" s="64">
        <f>IFERROR(INDEX(MgTipo,MATCH($C662,MgActId,0)),"")</f>
        <v/>
      </c>
      <c r="G662" s="64">
        <f>IFERROR(INDEX(MgSubtipo,MATCH($C662,MgActId,0)),"")</f>
        <v/>
      </c>
      <c r="H662" s="59" t="inlineStr">
        <is>
          <t>E.15</t>
        </is>
      </c>
      <c r="I662" s="64">
        <f>IFERROR(INDEX(MgAmenNombre,MATCH(SUBSTITUTE($H662,"*","-"),MgAmenClave,0)),"")</f>
        <v/>
      </c>
      <c r="J662" s="28">
        <f>IFERROR(INDEX(MgAmenGrupo,MATCH(SUBSTITUTE($H662,"*","-"),MgAmenClave,0)),"")</f>
        <v/>
      </c>
      <c r="K662" s="64">
        <f>IFERROR(INDEX('1. Matriz de Activos'!$Q$6:$Q$239,MATCH($C662,MgActId,0)),"")</f>
        <v/>
      </c>
      <c r="L662" s="64">
        <f>IFERROR(INDEX('1. Matriz de Activos'!$R$6:$R$239,MATCH($C662,MgActId,0)),"")</f>
        <v/>
      </c>
      <c r="M662" s="64">
        <f>IFERROR(INDEX('1. Matriz de Activos'!$S$6:$S$239,MATCH($C662,MgActId,0)),"")</f>
        <v/>
      </c>
      <c r="N662" s="28">
        <f>IFERROR(INDEX(MgAmenDegD,MATCH(SUBSTITUTE($H662,"*","-"),MgAmenClave,0)),"No aplica")</f>
        <v/>
      </c>
      <c r="O662" s="28">
        <f>IFERROR(INDEX(MgAmenDegI,MATCH(SUBSTITUTE($H662,"*","-"),MgAmenClave,0)),"No aplica")</f>
        <v/>
      </c>
      <c r="P662" s="28">
        <f>IFERROR(INDEX(MgAmenDegC,MATCH(SUBSTITUTE($H662,"*","-"),MgAmenClave,0)),"No aplica")</f>
        <v/>
      </c>
      <c r="Q662" s="29">
        <f>IFERROR(VLOOKUP(K662,MgValor,2,0)*VLOOKUP(N662,MgDeg,2,0),0)</f>
        <v/>
      </c>
      <c r="R662" s="29">
        <f>IFERROR(VLOOKUP(L662,MgValor,2,0)*VLOOKUP(O662,MgDeg,2,0),0)</f>
        <v/>
      </c>
      <c r="S662" s="29">
        <f>IFERROR(VLOOKUP(M662,MgValor,2,0)*VLOOKUP(P662,MgDeg,2,0),0)</f>
        <v/>
      </c>
      <c r="T662" s="30">
        <f>MAX(Q662:S662)</f>
        <v/>
      </c>
      <c r="U662" s="28">
        <f>IFERROR(LOOKUP(T662,{0;0.5;1.5;3;4.5},{"Despreciable";"Bajo";"Medio";"Alto";"Muy alto"}),"")</f>
        <v/>
      </c>
      <c r="V662" s="13">
        <f>IFERROR(INDEX(MgAmenFrec,MATCH(SUBSTITUTE($H662,"*","-"),MgAmenClave,0)),"")</f>
        <v/>
      </c>
      <c r="W662" s="28">
        <f>IFERROR(LOOKUP(X662,{0;0.01;0.1;1;10;100},{"Muy baja";"Muy baja";"Baja";"Media";"Alta";"Muy alta"}),"")</f>
        <v/>
      </c>
      <c r="X662" s="31">
        <f>IFERROR(VLOOKUP(V662,MgFrec,2,0),0)</f>
        <v/>
      </c>
      <c r="Y662" s="30">
        <f>T662*X662</f>
        <v/>
      </c>
      <c r="Z662" s="28">
        <f>IFERROR(LOOKUP(Y662,{0;0.5;5;25},{"Bajo";"Medio";"Alto";"Crítico"}),"")</f>
        <v/>
      </c>
      <c r="AA662" s="64">
        <f>IF(T662&gt;=3,IF(X662&gt;=1,"Zona 1 — Crítica: impacto alto y ocurre al menos una vez al año","Zona 4 — Catastrófica poco probable: impacto alto pero excepcional"),IF(AND(T662&lt;1.5,X662&lt;1),"Zona 3 — Asumible: impacto bajo y muy poco frecuente","Zona 2 — Atención: riesgo intermedio"))</f>
        <v/>
      </c>
      <c r="AB662" s="64">
        <f>IFERROR(INDEX(MgAmenCtrl,MATCH(SUBSTITUTE($H662,"*","-"),MgAmenClave,0)),"")</f>
        <v/>
      </c>
      <c r="AC662" s="20" t="n"/>
      <c r="AD662" s="31">
        <f>IFERROR($X662*(1-IF($AC662="",$AL662,VLOOKUP($AC662,MgMad,2,0))),"")</f>
        <v/>
      </c>
      <c r="AE662" s="28">
        <f>IFERROR(LOOKUP(AD662,{0;0.01;0.1;1;10;100},{"Muy baja";"Muy baja";"Baja";"Media";"Alta";"Muy alta"}),"")</f>
        <v/>
      </c>
      <c r="AF662" s="30">
        <f>T662*AD662</f>
        <v/>
      </c>
      <c r="AG662" s="28">
        <f>IFERROR(LOOKUP(AF662,{0;0.5;5;25},{"Bajo";"Medio";"Alto";"Crítico"}),"")</f>
        <v/>
      </c>
      <c r="AH662" s="28">
        <f>IF(AG662="","",IF(OR(AG662="Crítico",AG662="Alto"),"Mitigar",IF(AG662="Medio","Mitigar","Aceptar y monitorear")))</f>
        <v/>
      </c>
      <c r="AI662" s="21" t="n"/>
      <c r="AJ662" s="21" t="n"/>
      <c r="AK662" s="20" t="n"/>
      <c r="AL662" s="77">
        <f>IFERROR(INDEX(MgAmenEfic,MATCH(SUBSTITUTE($H662,"*","-"),MgAmenClave,0)),0)</f>
        <v/>
      </c>
    </row>
    <row r="663" hidden="1" ht="60" customHeight="1" s="54">
      <c r="B663" s="59" t="inlineStr">
        <is>
          <t>R-0658</t>
        </is>
      </c>
      <c r="C663" s="59" t="inlineStr">
        <is>
          <t>LCO-07</t>
        </is>
      </c>
      <c r="D663" s="64">
        <f>IFERROR(INDEX(MgNombre,MATCH($C663,MgActId,0)),"")</f>
        <v/>
      </c>
      <c r="E663" s="64">
        <f>IFERROR(INDEX(MgProceso,MATCH($C663,MgActId,0)),"")</f>
        <v/>
      </c>
      <c r="F663" s="64">
        <f>IFERROR(INDEX(MgTipo,MATCH($C663,MgActId,0)),"")</f>
        <v/>
      </c>
      <c r="G663" s="64">
        <f>IFERROR(INDEX(MgSubtipo,MATCH($C663,MgActId,0)),"")</f>
        <v/>
      </c>
      <c r="H663" s="59" t="inlineStr">
        <is>
          <t>E.18</t>
        </is>
      </c>
      <c r="I663" s="64">
        <f>IFERROR(INDEX(MgAmenNombre,MATCH(SUBSTITUTE($H663,"*","-"),MgAmenClave,0)),"")</f>
        <v/>
      </c>
      <c r="J663" s="28">
        <f>IFERROR(INDEX(MgAmenGrupo,MATCH(SUBSTITUTE($H663,"*","-"),MgAmenClave,0)),"")</f>
        <v/>
      </c>
      <c r="K663" s="64">
        <f>IFERROR(INDEX('1. Matriz de Activos'!$Q$6:$Q$239,MATCH($C663,MgActId,0)),"")</f>
        <v/>
      </c>
      <c r="L663" s="64">
        <f>IFERROR(INDEX('1. Matriz de Activos'!$R$6:$R$239,MATCH($C663,MgActId,0)),"")</f>
        <v/>
      </c>
      <c r="M663" s="64">
        <f>IFERROR(INDEX('1. Matriz de Activos'!$S$6:$S$239,MATCH($C663,MgActId,0)),"")</f>
        <v/>
      </c>
      <c r="N663" s="28">
        <f>IFERROR(INDEX(MgAmenDegD,MATCH(SUBSTITUTE($H663,"*","-"),MgAmenClave,0)),"No aplica")</f>
        <v/>
      </c>
      <c r="O663" s="28">
        <f>IFERROR(INDEX(MgAmenDegI,MATCH(SUBSTITUTE($H663,"*","-"),MgAmenClave,0)),"No aplica")</f>
        <v/>
      </c>
      <c r="P663" s="28">
        <f>IFERROR(INDEX(MgAmenDegC,MATCH(SUBSTITUTE($H663,"*","-"),MgAmenClave,0)),"No aplica")</f>
        <v/>
      </c>
      <c r="Q663" s="29">
        <f>IFERROR(VLOOKUP(K663,MgValor,2,0)*VLOOKUP(N663,MgDeg,2,0),0)</f>
        <v/>
      </c>
      <c r="R663" s="29">
        <f>IFERROR(VLOOKUP(L663,MgValor,2,0)*VLOOKUP(O663,MgDeg,2,0),0)</f>
        <v/>
      </c>
      <c r="S663" s="29">
        <f>IFERROR(VLOOKUP(M663,MgValor,2,0)*VLOOKUP(P663,MgDeg,2,0),0)</f>
        <v/>
      </c>
      <c r="T663" s="30">
        <f>MAX(Q663:S663)</f>
        <v/>
      </c>
      <c r="U663" s="28">
        <f>IFERROR(LOOKUP(T663,{0;0.5;1.5;3;4.5},{"Despreciable";"Bajo";"Medio";"Alto";"Muy alto"}),"")</f>
        <v/>
      </c>
      <c r="V663" s="13">
        <f>IFERROR(INDEX(MgAmenFrec,MATCH(SUBSTITUTE($H663,"*","-"),MgAmenClave,0)),"")</f>
        <v/>
      </c>
      <c r="W663" s="28">
        <f>IFERROR(LOOKUP(X663,{0;0.01;0.1;1;10;100},{"Muy baja";"Muy baja";"Baja";"Media";"Alta";"Muy alta"}),"")</f>
        <v/>
      </c>
      <c r="X663" s="31">
        <f>IFERROR(VLOOKUP(V663,MgFrec,2,0),0)</f>
        <v/>
      </c>
      <c r="Y663" s="30">
        <f>T663*X663</f>
        <v/>
      </c>
      <c r="Z663" s="28">
        <f>IFERROR(LOOKUP(Y663,{0;0.5;5;25},{"Bajo";"Medio";"Alto";"Crítico"}),"")</f>
        <v/>
      </c>
      <c r="AA663" s="64">
        <f>IF(T663&gt;=3,IF(X663&gt;=1,"Zona 1 — Crítica: impacto alto y ocurre al menos una vez al año","Zona 4 — Catastrófica poco probable: impacto alto pero excepcional"),IF(AND(T663&lt;1.5,X663&lt;1),"Zona 3 — Asumible: impacto bajo y muy poco frecuente","Zona 2 — Atención: riesgo intermedio"))</f>
        <v/>
      </c>
      <c r="AB663" s="64">
        <f>IFERROR(INDEX(MgAmenCtrl,MATCH(SUBSTITUTE($H663,"*","-"),MgAmenClave,0)),"")</f>
        <v/>
      </c>
      <c r="AC663" s="20" t="n"/>
      <c r="AD663" s="31">
        <f>IFERROR($X663*(1-IF($AC663="",$AL663,VLOOKUP($AC663,MgMad,2,0))),"")</f>
        <v/>
      </c>
      <c r="AE663" s="28">
        <f>IFERROR(LOOKUP(AD663,{0;0.01;0.1;1;10;100},{"Muy baja";"Muy baja";"Baja";"Media";"Alta";"Muy alta"}),"")</f>
        <v/>
      </c>
      <c r="AF663" s="30">
        <f>T663*AD663</f>
        <v/>
      </c>
      <c r="AG663" s="28">
        <f>IFERROR(LOOKUP(AF663,{0;0.5;5;25},{"Bajo";"Medio";"Alto";"Crítico"}),"")</f>
        <v/>
      </c>
      <c r="AH663" s="28">
        <f>IF(AG663="","",IF(OR(AG663="Crítico",AG663="Alto"),"Mitigar",IF(AG663="Medio","Mitigar","Aceptar y monitorear")))</f>
        <v/>
      </c>
      <c r="AI663" s="21" t="n"/>
      <c r="AJ663" s="21" t="n"/>
      <c r="AK663" s="20" t="n"/>
      <c r="AL663" s="77">
        <f>IFERROR(INDEX(MgAmenEfic,MATCH(SUBSTITUTE($H663,"*","-"),MgAmenClave,0)),0)</f>
        <v/>
      </c>
    </row>
    <row r="664" hidden="1" ht="105" customHeight="1" s="54">
      <c r="B664" s="59" t="inlineStr">
        <is>
          <t>R-0659</t>
        </is>
      </c>
      <c r="C664" s="59" t="inlineStr">
        <is>
          <t>LCO-07</t>
        </is>
      </c>
      <c r="D664" s="64">
        <f>IFERROR(INDEX(MgNombre,MATCH($C664,MgActId,0)),"")</f>
        <v/>
      </c>
      <c r="E664" s="64">
        <f>IFERROR(INDEX(MgProceso,MATCH($C664,MgActId,0)),"")</f>
        <v/>
      </c>
      <c r="F664" s="64">
        <f>IFERROR(INDEX(MgTipo,MATCH($C664,MgActId,0)),"")</f>
        <v/>
      </c>
      <c r="G664" s="64">
        <f>IFERROR(INDEX(MgSubtipo,MATCH($C664,MgActId,0)),"")</f>
        <v/>
      </c>
      <c r="H664" s="59" t="inlineStr">
        <is>
          <t>E.19</t>
        </is>
      </c>
      <c r="I664" s="64">
        <f>IFERROR(INDEX(MgAmenNombre,MATCH(SUBSTITUTE($H664,"*","-"),MgAmenClave,0)),"")</f>
        <v/>
      </c>
      <c r="J664" s="28">
        <f>IFERROR(INDEX(MgAmenGrupo,MATCH(SUBSTITUTE($H664,"*","-"),MgAmenClave,0)),"")</f>
        <v/>
      </c>
      <c r="K664" s="64">
        <f>IFERROR(INDEX('1. Matriz de Activos'!$Q$6:$Q$239,MATCH($C664,MgActId,0)),"")</f>
        <v/>
      </c>
      <c r="L664" s="64">
        <f>IFERROR(INDEX('1. Matriz de Activos'!$R$6:$R$239,MATCH($C664,MgActId,0)),"")</f>
        <v/>
      </c>
      <c r="M664" s="64">
        <f>IFERROR(INDEX('1. Matriz de Activos'!$S$6:$S$239,MATCH($C664,MgActId,0)),"")</f>
        <v/>
      </c>
      <c r="N664" s="28">
        <f>IFERROR(INDEX(MgAmenDegD,MATCH(SUBSTITUTE($H664,"*","-"),MgAmenClave,0)),"No aplica")</f>
        <v/>
      </c>
      <c r="O664" s="28">
        <f>IFERROR(INDEX(MgAmenDegI,MATCH(SUBSTITUTE($H664,"*","-"),MgAmenClave,0)),"No aplica")</f>
        <v/>
      </c>
      <c r="P664" s="28">
        <f>IFERROR(INDEX(MgAmenDegC,MATCH(SUBSTITUTE($H664,"*","-"),MgAmenClave,0)),"No aplica")</f>
        <v/>
      </c>
      <c r="Q664" s="29">
        <f>IFERROR(VLOOKUP(K664,MgValor,2,0)*VLOOKUP(N664,MgDeg,2,0),0)</f>
        <v/>
      </c>
      <c r="R664" s="29">
        <f>IFERROR(VLOOKUP(L664,MgValor,2,0)*VLOOKUP(O664,MgDeg,2,0),0)</f>
        <v/>
      </c>
      <c r="S664" s="29">
        <f>IFERROR(VLOOKUP(M664,MgValor,2,0)*VLOOKUP(P664,MgDeg,2,0),0)</f>
        <v/>
      </c>
      <c r="T664" s="30">
        <f>MAX(Q664:S664)</f>
        <v/>
      </c>
      <c r="U664" s="28">
        <f>IFERROR(LOOKUP(T664,{0;0.5;1.5;3;4.5},{"Despreciable";"Bajo";"Medio";"Alto";"Muy alto"}),"")</f>
        <v/>
      </c>
      <c r="V664" s="13">
        <f>IFERROR(INDEX(MgAmenFrec,MATCH(SUBSTITUTE($H664,"*","-"),MgAmenClave,0)),"")</f>
        <v/>
      </c>
      <c r="W664" s="28">
        <f>IFERROR(LOOKUP(X664,{0;0.01;0.1;1;10;100},{"Muy baja";"Muy baja";"Baja";"Media";"Alta";"Muy alta"}),"")</f>
        <v/>
      </c>
      <c r="X664" s="31">
        <f>IFERROR(VLOOKUP(V664,MgFrec,2,0),0)</f>
        <v/>
      </c>
      <c r="Y664" s="30">
        <f>T664*X664</f>
        <v/>
      </c>
      <c r="Z664" s="28">
        <f>IFERROR(LOOKUP(Y664,{0;0.5;5;25},{"Bajo";"Medio";"Alto";"Crítico"}),"")</f>
        <v/>
      </c>
      <c r="AA664" s="64">
        <f>IF(T664&gt;=3,IF(X664&gt;=1,"Zona 1 — Crítica: impacto alto y ocurre al menos una vez al año","Zona 4 — Catastrófica poco probable: impacto alto pero excepcional"),IF(AND(T664&lt;1.5,X664&lt;1),"Zona 3 — Asumible: impacto bajo y muy poco frecuente","Zona 2 — Atención: riesgo intermedio"))</f>
        <v/>
      </c>
      <c r="AB664" s="64">
        <f>IFERROR(INDEX(MgAmenCtrl,MATCH(SUBSTITUTE($H664,"*","-"),MgAmenClave,0)),"")</f>
        <v/>
      </c>
      <c r="AC664" s="20" t="n"/>
      <c r="AD664" s="31">
        <f>IFERROR($X664*(1-IF($AC664="",$AL664,VLOOKUP($AC664,MgMad,2,0))),"")</f>
        <v/>
      </c>
      <c r="AE664" s="28">
        <f>IFERROR(LOOKUP(AD664,{0;0.01;0.1;1;10;100},{"Muy baja";"Muy baja";"Baja";"Media";"Alta";"Muy alta"}),"")</f>
        <v/>
      </c>
      <c r="AF664" s="30">
        <f>T664*AD664</f>
        <v/>
      </c>
      <c r="AG664" s="28">
        <f>IFERROR(LOOKUP(AF664,{0;0.5;5;25},{"Bajo";"Medio";"Alto";"Crítico"}),"")</f>
        <v/>
      </c>
      <c r="AH664" s="28">
        <f>IF(AG664="","",IF(OR(AG664="Crítico",AG664="Alto"),"Mitigar",IF(AG664="Medio","Mitigar","Aceptar y monitorear")))</f>
        <v/>
      </c>
      <c r="AI664" s="21" t="n"/>
      <c r="AJ664" s="21" t="n"/>
      <c r="AK664" s="20" t="n"/>
      <c r="AL664" s="77">
        <f>IFERROR(INDEX(MgAmenEfic,MATCH(SUBSTITUTE($H664,"*","-"),MgAmenClave,0)),0)</f>
        <v/>
      </c>
    </row>
    <row r="665" hidden="1" ht="60" customHeight="1" s="54">
      <c r="B665" s="59" t="inlineStr">
        <is>
          <t>R-0660</t>
        </is>
      </c>
      <c r="C665" s="59" t="inlineStr">
        <is>
          <t>LCO-07</t>
        </is>
      </c>
      <c r="D665" s="64">
        <f>IFERROR(INDEX(MgNombre,MATCH($C665,MgActId,0)),"")</f>
        <v/>
      </c>
      <c r="E665" s="64">
        <f>IFERROR(INDEX(MgProceso,MATCH($C665,MgActId,0)),"")</f>
        <v/>
      </c>
      <c r="F665" s="64">
        <f>IFERROR(INDEX(MgTipo,MATCH($C665,MgActId,0)),"")</f>
        <v/>
      </c>
      <c r="G665" s="64">
        <f>IFERROR(INDEX(MgSubtipo,MATCH($C665,MgActId,0)),"")</f>
        <v/>
      </c>
      <c r="H665" s="59" t="inlineStr">
        <is>
          <t>A.3</t>
        </is>
      </c>
      <c r="I665" s="64">
        <f>IFERROR(INDEX(MgAmenNombre,MATCH(SUBSTITUTE($H665,"*","-"),MgAmenClave,0)),"")</f>
        <v/>
      </c>
      <c r="J665" s="28">
        <f>IFERROR(INDEX(MgAmenGrupo,MATCH(SUBSTITUTE($H665,"*","-"),MgAmenClave,0)),"")</f>
        <v/>
      </c>
      <c r="K665" s="64">
        <f>IFERROR(INDEX('1. Matriz de Activos'!$Q$6:$Q$239,MATCH($C665,MgActId,0)),"")</f>
        <v/>
      </c>
      <c r="L665" s="64">
        <f>IFERROR(INDEX('1. Matriz de Activos'!$R$6:$R$239,MATCH($C665,MgActId,0)),"")</f>
        <v/>
      </c>
      <c r="M665" s="64">
        <f>IFERROR(INDEX('1. Matriz de Activos'!$S$6:$S$239,MATCH($C665,MgActId,0)),"")</f>
        <v/>
      </c>
      <c r="N665" s="28">
        <f>IFERROR(INDEX(MgAmenDegD,MATCH(SUBSTITUTE($H665,"*","-"),MgAmenClave,0)),"No aplica")</f>
        <v/>
      </c>
      <c r="O665" s="28">
        <f>IFERROR(INDEX(MgAmenDegI,MATCH(SUBSTITUTE($H665,"*","-"),MgAmenClave,0)),"No aplica")</f>
        <v/>
      </c>
      <c r="P665" s="28">
        <f>IFERROR(INDEX(MgAmenDegC,MATCH(SUBSTITUTE($H665,"*","-"),MgAmenClave,0)),"No aplica")</f>
        <v/>
      </c>
      <c r="Q665" s="29">
        <f>IFERROR(VLOOKUP(K665,MgValor,2,0)*VLOOKUP(N665,MgDeg,2,0),0)</f>
        <v/>
      </c>
      <c r="R665" s="29">
        <f>IFERROR(VLOOKUP(L665,MgValor,2,0)*VLOOKUP(O665,MgDeg,2,0),0)</f>
        <v/>
      </c>
      <c r="S665" s="29">
        <f>IFERROR(VLOOKUP(M665,MgValor,2,0)*VLOOKUP(P665,MgDeg,2,0),0)</f>
        <v/>
      </c>
      <c r="T665" s="30">
        <f>MAX(Q665:S665)</f>
        <v/>
      </c>
      <c r="U665" s="28">
        <f>IFERROR(LOOKUP(T665,{0;0.5;1.5;3;4.5},{"Despreciable";"Bajo";"Medio";"Alto";"Muy alto"}),"")</f>
        <v/>
      </c>
      <c r="V665" s="13">
        <f>IFERROR(INDEX(MgAmenFrec,MATCH(SUBSTITUTE($H665,"*","-"),MgAmenClave,0)),"")</f>
        <v/>
      </c>
      <c r="W665" s="28">
        <f>IFERROR(LOOKUP(X665,{0;0.01;0.1;1;10;100},{"Muy baja";"Muy baja";"Baja";"Media";"Alta";"Muy alta"}),"")</f>
        <v/>
      </c>
      <c r="X665" s="31">
        <f>IFERROR(VLOOKUP(V665,MgFrec,2,0),0)</f>
        <v/>
      </c>
      <c r="Y665" s="30">
        <f>T665*X665</f>
        <v/>
      </c>
      <c r="Z665" s="28">
        <f>IFERROR(LOOKUP(Y665,{0;0.5;5;25},{"Bajo";"Medio";"Alto";"Crítico"}),"")</f>
        <v/>
      </c>
      <c r="AA665" s="64">
        <f>IF(T665&gt;=3,IF(X665&gt;=1,"Zona 1 — Crítica: impacto alto y ocurre al menos una vez al año","Zona 4 — Catastrófica poco probable: impacto alto pero excepcional"),IF(AND(T665&lt;1.5,X665&lt;1),"Zona 3 — Asumible: impacto bajo y muy poco frecuente","Zona 2 — Atención: riesgo intermedio"))</f>
        <v/>
      </c>
      <c r="AB665" s="64">
        <f>IFERROR(INDEX(MgAmenCtrl,MATCH(SUBSTITUTE($H665,"*","-"),MgAmenClave,0)),"")</f>
        <v/>
      </c>
      <c r="AC665" s="20" t="n"/>
      <c r="AD665" s="31">
        <f>IFERROR($X665*(1-IF($AC665="",$AL665,VLOOKUP($AC665,MgMad,2,0))),"")</f>
        <v/>
      </c>
      <c r="AE665" s="28">
        <f>IFERROR(LOOKUP(AD665,{0;0.01;0.1;1;10;100},{"Muy baja";"Muy baja";"Baja";"Media";"Alta";"Muy alta"}),"")</f>
        <v/>
      </c>
      <c r="AF665" s="30">
        <f>T665*AD665</f>
        <v/>
      </c>
      <c r="AG665" s="28">
        <f>IFERROR(LOOKUP(AF665,{0;0.5;5;25},{"Bajo";"Medio";"Alto";"Crítico"}),"")</f>
        <v/>
      </c>
      <c r="AH665" s="28">
        <f>IF(AG665="","",IF(OR(AG665="Crítico",AG665="Alto"),"Mitigar",IF(AG665="Medio","Mitigar","Aceptar y monitorear")))</f>
        <v/>
      </c>
      <c r="AI665" s="21" t="n"/>
      <c r="AJ665" s="21" t="n"/>
      <c r="AK665" s="20" t="n"/>
      <c r="AL665" s="77">
        <f>IFERROR(INDEX(MgAmenEfic,MATCH(SUBSTITUTE($H665,"*","-"),MgAmenClave,0)),0)</f>
        <v/>
      </c>
    </row>
    <row r="666" hidden="1" ht="60" customHeight="1" s="54">
      <c r="B666" s="59" t="inlineStr">
        <is>
          <t>R-0661</t>
        </is>
      </c>
      <c r="C666" s="59" t="inlineStr">
        <is>
          <t>LCO-07</t>
        </is>
      </c>
      <c r="D666" s="64">
        <f>IFERROR(INDEX(MgNombre,MATCH($C666,MgActId,0)),"")</f>
        <v/>
      </c>
      <c r="E666" s="64">
        <f>IFERROR(INDEX(MgProceso,MATCH($C666,MgActId,0)),"")</f>
        <v/>
      </c>
      <c r="F666" s="64">
        <f>IFERROR(INDEX(MgTipo,MATCH($C666,MgActId,0)),"")</f>
        <v/>
      </c>
      <c r="G666" s="64">
        <f>IFERROR(INDEX(MgSubtipo,MATCH($C666,MgActId,0)),"")</f>
        <v/>
      </c>
      <c r="H666" s="59" t="inlineStr">
        <is>
          <t>A.4</t>
        </is>
      </c>
      <c r="I666" s="64">
        <f>IFERROR(INDEX(MgAmenNombre,MATCH(SUBSTITUTE($H666,"*","-"),MgAmenClave,0)),"")</f>
        <v/>
      </c>
      <c r="J666" s="28">
        <f>IFERROR(INDEX(MgAmenGrupo,MATCH(SUBSTITUTE($H666,"*","-"),MgAmenClave,0)),"")</f>
        <v/>
      </c>
      <c r="K666" s="64">
        <f>IFERROR(INDEX('1. Matriz de Activos'!$Q$6:$Q$239,MATCH($C666,MgActId,0)),"")</f>
        <v/>
      </c>
      <c r="L666" s="64">
        <f>IFERROR(INDEX('1. Matriz de Activos'!$R$6:$R$239,MATCH($C666,MgActId,0)),"")</f>
        <v/>
      </c>
      <c r="M666" s="64">
        <f>IFERROR(INDEX('1. Matriz de Activos'!$S$6:$S$239,MATCH($C666,MgActId,0)),"")</f>
        <v/>
      </c>
      <c r="N666" s="28">
        <f>IFERROR(INDEX(MgAmenDegD,MATCH(SUBSTITUTE($H666,"*","-"),MgAmenClave,0)),"No aplica")</f>
        <v/>
      </c>
      <c r="O666" s="28">
        <f>IFERROR(INDEX(MgAmenDegI,MATCH(SUBSTITUTE($H666,"*","-"),MgAmenClave,0)),"No aplica")</f>
        <v/>
      </c>
      <c r="P666" s="28">
        <f>IFERROR(INDEX(MgAmenDegC,MATCH(SUBSTITUTE($H666,"*","-"),MgAmenClave,0)),"No aplica")</f>
        <v/>
      </c>
      <c r="Q666" s="29">
        <f>IFERROR(VLOOKUP(K666,MgValor,2,0)*VLOOKUP(N666,MgDeg,2,0),0)</f>
        <v/>
      </c>
      <c r="R666" s="29">
        <f>IFERROR(VLOOKUP(L666,MgValor,2,0)*VLOOKUP(O666,MgDeg,2,0),0)</f>
        <v/>
      </c>
      <c r="S666" s="29">
        <f>IFERROR(VLOOKUP(M666,MgValor,2,0)*VLOOKUP(P666,MgDeg,2,0),0)</f>
        <v/>
      </c>
      <c r="T666" s="30">
        <f>MAX(Q666:S666)</f>
        <v/>
      </c>
      <c r="U666" s="28">
        <f>IFERROR(LOOKUP(T666,{0;0.5;1.5;3;4.5},{"Despreciable";"Bajo";"Medio";"Alto";"Muy alto"}),"")</f>
        <v/>
      </c>
      <c r="V666" s="13">
        <f>IFERROR(INDEX(MgAmenFrec,MATCH(SUBSTITUTE($H666,"*","-"),MgAmenClave,0)),"")</f>
        <v/>
      </c>
      <c r="W666" s="28">
        <f>IFERROR(LOOKUP(X666,{0;0.01;0.1;1;10;100},{"Muy baja";"Muy baja";"Baja";"Media";"Alta";"Muy alta"}),"")</f>
        <v/>
      </c>
      <c r="X666" s="31">
        <f>IFERROR(VLOOKUP(V666,MgFrec,2,0),0)</f>
        <v/>
      </c>
      <c r="Y666" s="30">
        <f>T666*X666</f>
        <v/>
      </c>
      <c r="Z666" s="28">
        <f>IFERROR(LOOKUP(Y666,{0;0.5;5;25},{"Bajo";"Medio";"Alto";"Crítico"}),"")</f>
        <v/>
      </c>
      <c r="AA666" s="64">
        <f>IF(T666&gt;=3,IF(X666&gt;=1,"Zona 1 — Crítica: impacto alto y ocurre al menos una vez al año","Zona 4 — Catastrófica poco probable: impacto alto pero excepcional"),IF(AND(T666&lt;1.5,X666&lt;1),"Zona 3 — Asumible: impacto bajo y muy poco frecuente","Zona 2 — Atención: riesgo intermedio"))</f>
        <v/>
      </c>
      <c r="AB666" s="64">
        <f>IFERROR(INDEX(MgAmenCtrl,MATCH(SUBSTITUTE($H666,"*","-"),MgAmenClave,0)),"")</f>
        <v/>
      </c>
      <c r="AC666" s="20" t="n"/>
      <c r="AD666" s="31">
        <f>IFERROR($X666*(1-IF($AC666="",$AL666,VLOOKUP($AC666,MgMad,2,0))),"")</f>
        <v/>
      </c>
      <c r="AE666" s="28">
        <f>IFERROR(LOOKUP(AD666,{0;0.01;0.1;1;10;100},{"Muy baja";"Muy baja";"Baja";"Media";"Alta";"Muy alta"}),"")</f>
        <v/>
      </c>
      <c r="AF666" s="30">
        <f>T666*AD666</f>
        <v/>
      </c>
      <c r="AG666" s="28">
        <f>IFERROR(LOOKUP(AF666,{0;0.5;5;25},{"Bajo";"Medio";"Alto";"Crítico"}),"")</f>
        <v/>
      </c>
      <c r="AH666" s="28">
        <f>IF(AG666="","",IF(OR(AG666="Crítico",AG666="Alto"),"Mitigar",IF(AG666="Medio","Mitigar","Aceptar y monitorear")))</f>
        <v/>
      </c>
      <c r="AI666" s="21" t="n"/>
      <c r="AJ666" s="21" t="n"/>
      <c r="AK666" s="20" t="n"/>
      <c r="AL666" s="77">
        <f>IFERROR(INDEX(MgAmenEfic,MATCH(SUBSTITUTE($H666,"*","-"),MgAmenClave,0)),0)</f>
        <v/>
      </c>
    </row>
    <row r="667" hidden="1" ht="75" customHeight="1" s="54">
      <c r="B667" s="59" t="inlineStr">
        <is>
          <t>R-0662</t>
        </is>
      </c>
      <c r="C667" s="59" t="inlineStr">
        <is>
          <t>LCO-07</t>
        </is>
      </c>
      <c r="D667" s="64">
        <f>IFERROR(INDEX(MgNombre,MATCH($C667,MgActId,0)),"")</f>
        <v/>
      </c>
      <c r="E667" s="64">
        <f>IFERROR(INDEX(MgProceso,MATCH($C667,MgActId,0)),"")</f>
        <v/>
      </c>
      <c r="F667" s="64">
        <f>IFERROR(INDEX(MgTipo,MATCH($C667,MgActId,0)),"")</f>
        <v/>
      </c>
      <c r="G667" s="64">
        <f>IFERROR(INDEX(MgSubtipo,MATCH($C667,MgActId,0)),"")</f>
        <v/>
      </c>
      <c r="H667" s="59" t="inlineStr">
        <is>
          <t>A.5</t>
        </is>
      </c>
      <c r="I667" s="64">
        <f>IFERROR(INDEX(MgAmenNombre,MATCH(SUBSTITUTE($H667,"*","-"),MgAmenClave,0)),"")</f>
        <v/>
      </c>
      <c r="J667" s="28">
        <f>IFERROR(INDEX(MgAmenGrupo,MATCH(SUBSTITUTE($H667,"*","-"),MgAmenClave,0)),"")</f>
        <v/>
      </c>
      <c r="K667" s="64">
        <f>IFERROR(INDEX('1. Matriz de Activos'!$Q$6:$Q$239,MATCH($C667,MgActId,0)),"")</f>
        <v/>
      </c>
      <c r="L667" s="64">
        <f>IFERROR(INDEX('1. Matriz de Activos'!$R$6:$R$239,MATCH($C667,MgActId,0)),"")</f>
        <v/>
      </c>
      <c r="M667" s="64">
        <f>IFERROR(INDEX('1. Matriz de Activos'!$S$6:$S$239,MATCH($C667,MgActId,0)),"")</f>
        <v/>
      </c>
      <c r="N667" s="28">
        <f>IFERROR(INDEX(MgAmenDegD,MATCH(SUBSTITUTE($H667,"*","-"),MgAmenClave,0)),"No aplica")</f>
        <v/>
      </c>
      <c r="O667" s="28">
        <f>IFERROR(INDEX(MgAmenDegI,MATCH(SUBSTITUTE($H667,"*","-"),MgAmenClave,0)),"No aplica")</f>
        <v/>
      </c>
      <c r="P667" s="28">
        <f>IFERROR(INDEX(MgAmenDegC,MATCH(SUBSTITUTE($H667,"*","-"),MgAmenClave,0)),"No aplica")</f>
        <v/>
      </c>
      <c r="Q667" s="29">
        <f>IFERROR(VLOOKUP(K667,MgValor,2,0)*VLOOKUP(N667,MgDeg,2,0),0)</f>
        <v/>
      </c>
      <c r="R667" s="29">
        <f>IFERROR(VLOOKUP(L667,MgValor,2,0)*VLOOKUP(O667,MgDeg,2,0),0)</f>
        <v/>
      </c>
      <c r="S667" s="29">
        <f>IFERROR(VLOOKUP(M667,MgValor,2,0)*VLOOKUP(P667,MgDeg,2,0),0)</f>
        <v/>
      </c>
      <c r="T667" s="30">
        <f>MAX(Q667:S667)</f>
        <v/>
      </c>
      <c r="U667" s="28">
        <f>IFERROR(LOOKUP(T667,{0;0.5;1.5;3;4.5},{"Despreciable";"Bajo";"Medio";"Alto";"Muy alto"}),"")</f>
        <v/>
      </c>
      <c r="V667" s="13">
        <f>IFERROR(INDEX(MgAmenFrec,MATCH(SUBSTITUTE($H667,"*","-"),MgAmenClave,0)),"")</f>
        <v/>
      </c>
      <c r="W667" s="28">
        <f>IFERROR(LOOKUP(X667,{0;0.01;0.1;1;10;100},{"Muy baja";"Muy baja";"Baja";"Media";"Alta";"Muy alta"}),"")</f>
        <v/>
      </c>
      <c r="X667" s="31">
        <f>IFERROR(VLOOKUP(V667,MgFrec,2,0),0)</f>
        <v/>
      </c>
      <c r="Y667" s="30">
        <f>T667*X667</f>
        <v/>
      </c>
      <c r="Z667" s="28">
        <f>IFERROR(LOOKUP(Y667,{0;0.5;5;25},{"Bajo";"Medio";"Alto";"Crítico"}),"")</f>
        <v/>
      </c>
      <c r="AA667" s="64">
        <f>IF(T667&gt;=3,IF(X667&gt;=1,"Zona 1 — Crítica: impacto alto y ocurre al menos una vez al año","Zona 4 — Catastrófica poco probable: impacto alto pero excepcional"),IF(AND(T667&lt;1.5,X667&lt;1),"Zona 3 — Asumible: impacto bajo y muy poco frecuente","Zona 2 — Atención: riesgo intermedio"))</f>
        <v/>
      </c>
      <c r="AB667" s="64">
        <f>IFERROR(INDEX(MgAmenCtrl,MATCH(SUBSTITUTE($H667,"*","-"),MgAmenClave,0)),"")</f>
        <v/>
      </c>
      <c r="AC667" s="20" t="n"/>
      <c r="AD667" s="31">
        <f>IFERROR($X667*(1-IF($AC667="",$AL667,VLOOKUP($AC667,MgMad,2,0))),"")</f>
        <v/>
      </c>
      <c r="AE667" s="28">
        <f>IFERROR(LOOKUP(AD667,{0;0.01;0.1;1;10;100},{"Muy baja";"Muy baja";"Baja";"Media";"Alta";"Muy alta"}),"")</f>
        <v/>
      </c>
      <c r="AF667" s="30">
        <f>T667*AD667</f>
        <v/>
      </c>
      <c r="AG667" s="28">
        <f>IFERROR(LOOKUP(AF667,{0;0.5;5;25},{"Bajo";"Medio";"Alto";"Crítico"}),"")</f>
        <v/>
      </c>
      <c r="AH667" s="28">
        <f>IF(AG667="","",IF(OR(AG667="Crítico",AG667="Alto"),"Mitigar",IF(AG667="Medio","Mitigar","Aceptar y monitorear")))</f>
        <v/>
      </c>
      <c r="AI667" s="21" t="n"/>
      <c r="AJ667" s="21" t="n"/>
      <c r="AK667" s="20" t="n"/>
      <c r="AL667" s="77">
        <f>IFERROR(INDEX(MgAmenEfic,MATCH(SUBSTITUTE($H667,"*","-"),MgAmenClave,0)),0)</f>
        <v/>
      </c>
    </row>
    <row r="668" hidden="1" ht="105" customHeight="1" s="54">
      <c r="B668" s="59" t="inlineStr">
        <is>
          <t>R-0663</t>
        </is>
      </c>
      <c r="C668" s="59" t="inlineStr">
        <is>
          <t>LCO-07</t>
        </is>
      </c>
      <c r="D668" s="64">
        <f>IFERROR(INDEX(MgNombre,MATCH($C668,MgActId,0)),"")</f>
        <v/>
      </c>
      <c r="E668" s="64">
        <f>IFERROR(INDEX(MgProceso,MATCH($C668,MgActId,0)),"")</f>
        <v/>
      </c>
      <c r="F668" s="64">
        <f>IFERROR(INDEX(MgTipo,MATCH($C668,MgActId,0)),"")</f>
        <v/>
      </c>
      <c r="G668" s="64">
        <f>IFERROR(INDEX(MgSubtipo,MATCH($C668,MgActId,0)),"")</f>
        <v/>
      </c>
      <c r="H668" s="59" t="inlineStr">
        <is>
          <t>A.6</t>
        </is>
      </c>
      <c r="I668" s="64">
        <f>IFERROR(INDEX(MgAmenNombre,MATCH(SUBSTITUTE($H668,"*","-"),MgAmenClave,0)),"")</f>
        <v/>
      </c>
      <c r="J668" s="28">
        <f>IFERROR(INDEX(MgAmenGrupo,MATCH(SUBSTITUTE($H668,"*","-"),MgAmenClave,0)),"")</f>
        <v/>
      </c>
      <c r="K668" s="64">
        <f>IFERROR(INDEX('1. Matriz de Activos'!$Q$6:$Q$239,MATCH($C668,MgActId,0)),"")</f>
        <v/>
      </c>
      <c r="L668" s="64">
        <f>IFERROR(INDEX('1. Matriz de Activos'!$R$6:$R$239,MATCH($C668,MgActId,0)),"")</f>
        <v/>
      </c>
      <c r="M668" s="64">
        <f>IFERROR(INDEX('1. Matriz de Activos'!$S$6:$S$239,MATCH($C668,MgActId,0)),"")</f>
        <v/>
      </c>
      <c r="N668" s="28">
        <f>IFERROR(INDEX(MgAmenDegD,MATCH(SUBSTITUTE($H668,"*","-"),MgAmenClave,0)),"No aplica")</f>
        <v/>
      </c>
      <c r="O668" s="28">
        <f>IFERROR(INDEX(MgAmenDegI,MATCH(SUBSTITUTE($H668,"*","-"),MgAmenClave,0)),"No aplica")</f>
        <v/>
      </c>
      <c r="P668" s="28">
        <f>IFERROR(INDEX(MgAmenDegC,MATCH(SUBSTITUTE($H668,"*","-"),MgAmenClave,0)),"No aplica")</f>
        <v/>
      </c>
      <c r="Q668" s="29">
        <f>IFERROR(VLOOKUP(K668,MgValor,2,0)*VLOOKUP(N668,MgDeg,2,0),0)</f>
        <v/>
      </c>
      <c r="R668" s="29">
        <f>IFERROR(VLOOKUP(L668,MgValor,2,0)*VLOOKUP(O668,MgDeg,2,0),0)</f>
        <v/>
      </c>
      <c r="S668" s="29">
        <f>IFERROR(VLOOKUP(M668,MgValor,2,0)*VLOOKUP(P668,MgDeg,2,0),0)</f>
        <v/>
      </c>
      <c r="T668" s="30">
        <f>MAX(Q668:S668)</f>
        <v/>
      </c>
      <c r="U668" s="28">
        <f>IFERROR(LOOKUP(T668,{0;0.5;1.5;3;4.5},{"Despreciable";"Bajo";"Medio";"Alto";"Muy alto"}),"")</f>
        <v/>
      </c>
      <c r="V668" s="13">
        <f>IFERROR(INDEX(MgAmenFrec,MATCH(SUBSTITUTE($H668,"*","-"),MgAmenClave,0)),"")</f>
        <v/>
      </c>
      <c r="W668" s="28">
        <f>IFERROR(LOOKUP(X668,{0;0.01;0.1;1;10;100},{"Muy baja";"Muy baja";"Baja";"Media";"Alta";"Muy alta"}),"")</f>
        <v/>
      </c>
      <c r="X668" s="31">
        <f>IFERROR(VLOOKUP(V668,MgFrec,2,0),0)</f>
        <v/>
      </c>
      <c r="Y668" s="30">
        <f>T668*X668</f>
        <v/>
      </c>
      <c r="Z668" s="28">
        <f>IFERROR(LOOKUP(Y668,{0;0.5;5;25},{"Bajo";"Medio";"Alto";"Crítico"}),"")</f>
        <v/>
      </c>
      <c r="AA668" s="64">
        <f>IF(T668&gt;=3,IF(X668&gt;=1,"Zona 1 — Crítica: impacto alto y ocurre al menos una vez al año","Zona 4 — Catastrófica poco probable: impacto alto pero excepcional"),IF(AND(T668&lt;1.5,X668&lt;1),"Zona 3 — Asumible: impacto bajo y muy poco frecuente","Zona 2 — Atención: riesgo intermedio"))</f>
        <v/>
      </c>
      <c r="AB668" s="64">
        <f>IFERROR(INDEX(MgAmenCtrl,MATCH(SUBSTITUTE($H668,"*","-"),MgAmenClave,0)),"")</f>
        <v/>
      </c>
      <c r="AC668" s="20" t="n"/>
      <c r="AD668" s="31">
        <f>IFERROR($X668*(1-IF($AC668="",$AL668,VLOOKUP($AC668,MgMad,2,0))),"")</f>
        <v/>
      </c>
      <c r="AE668" s="28">
        <f>IFERROR(LOOKUP(AD668,{0;0.01;0.1;1;10;100},{"Muy baja";"Muy baja";"Baja";"Media";"Alta";"Muy alta"}),"")</f>
        <v/>
      </c>
      <c r="AF668" s="30">
        <f>T668*AD668</f>
        <v/>
      </c>
      <c r="AG668" s="28">
        <f>IFERROR(LOOKUP(AF668,{0;0.5;5;25},{"Bajo";"Medio";"Alto";"Crítico"}),"")</f>
        <v/>
      </c>
      <c r="AH668" s="28">
        <f>IF(AG668="","",IF(OR(AG668="Crítico",AG668="Alto"),"Mitigar",IF(AG668="Medio","Mitigar","Aceptar y monitorear")))</f>
        <v/>
      </c>
      <c r="AI668" s="21" t="n"/>
      <c r="AJ668" s="21" t="n"/>
      <c r="AK668" s="20" t="n"/>
      <c r="AL668" s="77">
        <f>IFERROR(INDEX(MgAmenEfic,MATCH(SUBSTITUTE($H668,"*","-"),MgAmenClave,0)),0)</f>
        <v/>
      </c>
    </row>
    <row r="669" hidden="1" ht="120" customHeight="1" s="54">
      <c r="B669" s="59" t="inlineStr">
        <is>
          <t>R-0664</t>
        </is>
      </c>
      <c r="C669" s="59" t="inlineStr">
        <is>
          <t>LCO-07</t>
        </is>
      </c>
      <c r="D669" s="64">
        <f>IFERROR(INDEX(MgNombre,MATCH($C669,MgActId,0)),"")</f>
        <v/>
      </c>
      <c r="E669" s="64">
        <f>IFERROR(INDEX(MgProceso,MATCH($C669,MgActId,0)),"")</f>
        <v/>
      </c>
      <c r="F669" s="64">
        <f>IFERROR(INDEX(MgTipo,MATCH($C669,MgActId,0)),"")</f>
        <v/>
      </c>
      <c r="G669" s="64">
        <f>IFERROR(INDEX(MgSubtipo,MATCH($C669,MgActId,0)),"")</f>
        <v/>
      </c>
      <c r="H669" s="59" t="inlineStr">
        <is>
          <t>A.11</t>
        </is>
      </c>
      <c r="I669" s="64">
        <f>IFERROR(INDEX(MgAmenNombre,MATCH(SUBSTITUTE($H669,"*","-"),MgAmenClave,0)),"")</f>
        <v/>
      </c>
      <c r="J669" s="28">
        <f>IFERROR(INDEX(MgAmenGrupo,MATCH(SUBSTITUTE($H669,"*","-"),MgAmenClave,0)),"")</f>
        <v/>
      </c>
      <c r="K669" s="64">
        <f>IFERROR(INDEX('1. Matriz de Activos'!$Q$6:$Q$239,MATCH($C669,MgActId,0)),"")</f>
        <v/>
      </c>
      <c r="L669" s="64">
        <f>IFERROR(INDEX('1. Matriz de Activos'!$R$6:$R$239,MATCH($C669,MgActId,0)),"")</f>
        <v/>
      </c>
      <c r="M669" s="64">
        <f>IFERROR(INDEX('1. Matriz de Activos'!$S$6:$S$239,MATCH($C669,MgActId,0)),"")</f>
        <v/>
      </c>
      <c r="N669" s="28">
        <f>IFERROR(INDEX(MgAmenDegD,MATCH(SUBSTITUTE($H669,"*","-"),MgAmenClave,0)),"No aplica")</f>
        <v/>
      </c>
      <c r="O669" s="28">
        <f>IFERROR(INDEX(MgAmenDegI,MATCH(SUBSTITUTE($H669,"*","-"),MgAmenClave,0)),"No aplica")</f>
        <v/>
      </c>
      <c r="P669" s="28">
        <f>IFERROR(INDEX(MgAmenDegC,MATCH(SUBSTITUTE($H669,"*","-"),MgAmenClave,0)),"No aplica")</f>
        <v/>
      </c>
      <c r="Q669" s="29">
        <f>IFERROR(VLOOKUP(K669,MgValor,2,0)*VLOOKUP(N669,MgDeg,2,0),0)</f>
        <v/>
      </c>
      <c r="R669" s="29">
        <f>IFERROR(VLOOKUP(L669,MgValor,2,0)*VLOOKUP(O669,MgDeg,2,0),0)</f>
        <v/>
      </c>
      <c r="S669" s="29">
        <f>IFERROR(VLOOKUP(M669,MgValor,2,0)*VLOOKUP(P669,MgDeg,2,0),0)</f>
        <v/>
      </c>
      <c r="T669" s="30">
        <f>MAX(Q669:S669)</f>
        <v/>
      </c>
      <c r="U669" s="28">
        <f>IFERROR(LOOKUP(T669,{0;0.5;1.5;3;4.5},{"Despreciable";"Bajo";"Medio";"Alto";"Muy alto"}),"")</f>
        <v/>
      </c>
      <c r="V669" s="13">
        <f>IFERROR(INDEX(MgAmenFrec,MATCH(SUBSTITUTE($H669,"*","-"),MgAmenClave,0)),"")</f>
        <v/>
      </c>
      <c r="W669" s="28">
        <f>IFERROR(LOOKUP(X669,{0;0.01;0.1;1;10;100},{"Muy baja";"Muy baja";"Baja";"Media";"Alta";"Muy alta"}),"")</f>
        <v/>
      </c>
      <c r="X669" s="31">
        <f>IFERROR(VLOOKUP(V669,MgFrec,2,0),0)</f>
        <v/>
      </c>
      <c r="Y669" s="30">
        <f>T669*X669</f>
        <v/>
      </c>
      <c r="Z669" s="28">
        <f>IFERROR(LOOKUP(Y669,{0;0.5;5;25},{"Bajo";"Medio";"Alto";"Crítico"}),"")</f>
        <v/>
      </c>
      <c r="AA669" s="64">
        <f>IF(T669&gt;=3,IF(X669&gt;=1,"Zona 1 — Crítica: impacto alto y ocurre al menos una vez al año","Zona 4 — Catastrófica poco probable: impacto alto pero excepcional"),IF(AND(T669&lt;1.5,X669&lt;1),"Zona 3 — Asumible: impacto bajo y muy poco frecuente","Zona 2 — Atención: riesgo intermedio"))</f>
        <v/>
      </c>
      <c r="AB669" s="64">
        <f>IFERROR(INDEX(MgAmenCtrl,MATCH(SUBSTITUTE($H669,"*","-"),MgAmenClave,0)),"")</f>
        <v/>
      </c>
      <c r="AC669" s="20" t="n"/>
      <c r="AD669" s="31">
        <f>IFERROR($X669*(1-IF($AC669="",$AL669,VLOOKUP($AC669,MgMad,2,0))),"")</f>
        <v/>
      </c>
      <c r="AE669" s="28">
        <f>IFERROR(LOOKUP(AD669,{0;0.01;0.1;1;10;100},{"Muy baja";"Muy baja";"Baja";"Media";"Alta";"Muy alta"}),"")</f>
        <v/>
      </c>
      <c r="AF669" s="30">
        <f>T669*AD669</f>
        <v/>
      </c>
      <c r="AG669" s="28">
        <f>IFERROR(LOOKUP(AF669,{0;0.5;5;25},{"Bajo";"Medio";"Alto";"Crítico"}),"")</f>
        <v/>
      </c>
      <c r="AH669" s="28">
        <f>IF(AG669="","",IF(OR(AG669="Crítico",AG669="Alto"),"Mitigar",IF(AG669="Medio","Mitigar","Aceptar y monitorear")))</f>
        <v/>
      </c>
      <c r="AI669" s="21" t="n"/>
      <c r="AJ669" s="21" t="n"/>
      <c r="AK669" s="20" t="n"/>
      <c r="AL669" s="77">
        <f>IFERROR(INDEX(MgAmenEfic,MATCH(SUBSTITUTE($H669,"*","-"),MgAmenClave,0)),0)</f>
        <v/>
      </c>
    </row>
    <row r="670" hidden="1" ht="90" customHeight="1" s="54">
      <c r="B670" s="59" t="inlineStr">
        <is>
          <t>R-0665</t>
        </is>
      </c>
      <c r="C670" s="59" t="inlineStr">
        <is>
          <t>LCO-07</t>
        </is>
      </c>
      <c r="D670" s="64">
        <f>IFERROR(INDEX(MgNombre,MATCH($C670,MgActId,0)),"")</f>
        <v/>
      </c>
      <c r="E670" s="64">
        <f>IFERROR(INDEX(MgProceso,MATCH($C670,MgActId,0)),"")</f>
        <v/>
      </c>
      <c r="F670" s="64">
        <f>IFERROR(INDEX(MgTipo,MATCH($C670,MgActId,0)),"")</f>
        <v/>
      </c>
      <c r="G670" s="64">
        <f>IFERROR(INDEX(MgSubtipo,MATCH($C670,MgActId,0)),"")</f>
        <v/>
      </c>
      <c r="H670" s="59" t="inlineStr">
        <is>
          <t>A.13</t>
        </is>
      </c>
      <c r="I670" s="64">
        <f>IFERROR(INDEX(MgAmenNombre,MATCH(SUBSTITUTE($H670,"*","-"),MgAmenClave,0)),"")</f>
        <v/>
      </c>
      <c r="J670" s="28">
        <f>IFERROR(INDEX(MgAmenGrupo,MATCH(SUBSTITUTE($H670,"*","-"),MgAmenClave,0)),"")</f>
        <v/>
      </c>
      <c r="K670" s="64">
        <f>IFERROR(INDEX('1. Matriz de Activos'!$Q$6:$Q$239,MATCH($C670,MgActId,0)),"")</f>
        <v/>
      </c>
      <c r="L670" s="64">
        <f>IFERROR(INDEX('1. Matriz de Activos'!$R$6:$R$239,MATCH($C670,MgActId,0)),"")</f>
        <v/>
      </c>
      <c r="M670" s="64">
        <f>IFERROR(INDEX('1. Matriz de Activos'!$S$6:$S$239,MATCH($C670,MgActId,0)),"")</f>
        <v/>
      </c>
      <c r="N670" s="28">
        <f>IFERROR(INDEX(MgAmenDegD,MATCH(SUBSTITUTE($H670,"*","-"),MgAmenClave,0)),"No aplica")</f>
        <v/>
      </c>
      <c r="O670" s="28">
        <f>IFERROR(INDEX(MgAmenDegI,MATCH(SUBSTITUTE($H670,"*","-"),MgAmenClave,0)),"No aplica")</f>
        <v/>
      </c>
      <c r="P670" s="28">
        <f>IFERROR(INDEX(MgAmenDegC,MATCH(SUBSTITUTE($H670,"*","-"),MgAmenClave,0)),"No aplica")</f>
        <v/>
      </c>
      <c r="Q670" s="29">
        <f>IFERROR(VLOOKUP(K670,MgValor,2,0)*VLOOKUP(N670,MgDeg,2,0),0)</f>
        <v/>
      </c>
      <c r="R670" s="29">
        <f>IFERROR(VLOOKUP(L670,MgValor,2,0)*VLOOKUP(O670,MgDeg,2,0),0)</f>
        <v/>
      </c>
      <c r="S670" s="29">
        <f>IFERROR(VLOOKUP(M670,MgValor,2,0)*VLOOKUP(P670,MgDeg,2,0),0)</f>
        <v/>
      </c>
      <c r="T670" s="30">
        <f>MAX(Q670:S670)</f>
        <v/>
      </c>
      <c r="U670" s="28">
        <f>IFERROR(LOOKUP(T670,{0;0.5;1.5;3;4.5},{"Despreciable";"Bajo";"Medio";"Alto";"Muy alto"}),"")</f>
        <v/>
      </c>
      <c r="V670" s="13">
        <f>IFERROR(INDEX(MgAmenFrec,MATCH(SUBSTITUTE($H670,"*","-"),MgAmenClave,0)),"")</f>
        <v/>
      </c>
      <c r="W670" s="28">
        <f>IFERROR(LOOKUP(X670,{0;0.01;0.1;1;10;100},{"Muy baja";"Muy baja";"Baja";"Media";"Alta";"Muy alta"}),"")</f>
        <v/>
      </c>
      <c r="X670" s="31">
        <f>IFERROR(VLOOKUP(V670,MgFrec,2,0),0)</f>
        <v/>
      </c>
      <c r="Y670" s="30">
        <f>T670*X670</f>
        <v/>
      </c>
      <c r="Z670" s="28">
        <f>IFERROR(LOOKUP(Y670,{0;0.5;5;25},{"Bajo";"Medio";"Alto";"Crítico"}),"")</f>
        <v/>
      </c>
      <c r="AA670" s="64">
        <f>IF(T670&gt;=3,IF(X670&gt;=1,"Zona 1 — Crítica: impacto alto y ocurre al menos una vez al año","Zona 4 — Catastrófica poco probable: impacto alto pero excepcional"),IF(AND(T670&lt;1.5,X670&lt;1),"Zona 3 — Asumible: impacto bajo y muy poco frecuente","Zona 2 — Atención: riesgo intermedio"))</f>
        <v/>
      </c>
      <c r="AB670" s="64">
        <f>IFERROR(INDEX(MgAmenCtrl,MATCH(SUBSTITUTE($H670,"*","-"),MgAmenClave,0)),"")</f>
        <v/>
      </c>
      <c r="AC670" s="20" t="n"/>
      <c r="AD670" s="31">
        <f>IFERROR($X670*(1-IF($AC670="",$AL670,VLOOKUP($AC670,MgMad,2,0))),"")</f>
        <v/>
      </c>
      <c r="AE670" s="28">
        <f>IFERROR(LOOKUP(AD670,{0;0.01;0.1;1;10;100},{"Muy baja";"Muy baja";"Baja";"Media";"Alta";"Muy alta"}),"")</f>
        <v/>
      </c>
      <c r="AF670" s="30">
        <f>T670*AD670</f>
        <v/>
      </c>
      <c r="AG670" s="28">
        <f>IFERROR(LOOKUP(AF670,{0;0.5;5;25},{"Bajo";"Medio";"Alto";"Crítico"}),"")</f>
        <v/>
      </c>
      <c r="AH670" s="28">
        <f>IF(AG670="","",IF(OR(AG670="Crítico",AG670="Alto"),"Mitigar",IF(AG670="Medio","Mitigar","Aceptar y monitorear")))</f>
        <v/>
      </c>
      <c r="AI670" s="21" t="n"/>
      <c r="AJ670" s="21" t="n"/>
      <c r="AK670" s="20" t="n"/>
      <c r="AL670" s="77">
        <f>IFERROR(INDEX(MgAmenEfic,MATCH(SUBSTITUTE($H670,"*","-"),MgAmenClave,0)),0)</f>
        <v/>
      </c>
    </row>
    <row r="671" hidden="1" ht="60" customHeight="1" s="54">
      <c r="B671" s="59" t="inlineStr">
        <is>
          <t>R-0666</t>
        </is>
      </c>
      <c r="C671" s="59" t="inlineStr">
        <is>
          <t>LCO-07</t>
        </is>
      </c>
      <c r="D671" s="64">
        <f>IFERROR(INDEX(MgNombre,MATCH($C671,MgActId,0)),"")</f>
        <v/>
      </c>
      <c r="E671" s="64">
        <f>IFERROR(INDEX(MgProceso,MATCH($C671,MgActId,0)),"")</f>
        <v/>
      </c>
      <c r="F671" s="64">
        <f>IFERROR(INDEX(MgTipo,MATCH($C671,MgActId,0)),"")</f>
        <v/>
      </c>
      <c r="G671" s="64">
        <f>IFERROR(INDEX(MgSubtipo,MATCH($C671,MgActId,0)),"")</f>
        <v/>
      </c>
      <c r="H671" s="59" t="inlineStr">
        <is>
          <t>A.15</t>
        </is>
      </c>
      <c r="I671" s="64">
        <f>IFERROR(INDEX(MgAmenNombre,MATCH(SUBSTITUTE($H671,"*","-"),MgAmenClave,0)),"")</f>
        <v/>
      </c>
      <c r="J671" s="28">
        <f>IFERROR(INDEX(MgAmenGrupo,MATCH(SUBSTITUTE($H671,"*","-"),MgAmenClave,0)),"")</f>
        <v/>
      </c>
      <c r="K671" s="64">
        <f>IFERROR(INDEX('1. Matriz de Activos'!$Q$6:$Q$239,MATCH($C671,MgActId,0)),"")</f>
        <v/>
      </c>
      <c r="L671" s="64">
        <f>IFERROR(INDEX('1. Matriz de Activos'!$R$6:$R$239,MATCH($C671,MgActId,0)),"")</f>
        <v/>
      </c>
      <c r="M671" s="64">
        <f>IFERROR(INDEX('1. Matriz de Activos'!$S$6:$S$239,MATCH($C671,MgActId,0)),"")</f>
        <v/>
      </c>
      <c r="N671" s="28">
        <f>IFERROR(INDEX(MgAmenDegD,MATCH(SUBSTITUTE($H671,"*","-"),MgAmenClave,0)),"No aplica")</f>
        <v/>
      </c>
      <c r="O671" s="28">
        <f>IFERROR(INDEX(MgAmenDegI,MATCH(SUBSTITUTE($H671,"*","-"),MgAmenClave,0)),"No aplica")</f>
        <v/>
      </c>
      <c r="P671" s="28">
        <f>IFERROR(INDEX(MgAmenDegC,MATCH(SUBSTITUTE($H671,"*","-"),MgAmenClave,0)),"No aplica")</f>
        <v/>
      </c>
      <c r="Q671" s="29">
        <f>IFERROR(VLOOKUP(K671,MgValor,2,0)*VLOOKUP(N671,MgDeg,2,0),0)</f>
        <v/>
      </c>
      <c r="R671" s="29">
        <f>IFERROR(VLOOKUP(L671,MgValor,2,0)*VLOOKUP(O671,MgDeg,2,0),0)</f>
        <v/>
      </c>
      <c r="S671" s="29">
        <f>IFERROR(VLOOKUP(M671,MgValor,2,0)*VLOOKUP(P671,MgDeg,2,0),0)</f>
        <v/>
      </c>
      <c r="T671" s="30">
        <f>MAX(Q671:S671)</f>
        <v/>
      </c>
      <c r="U671" s="28">
        <f>IFERROR(LOOKUP(T671,{0;0.5;1.5;3;4.5},{"Despreciable";"Bajo";"Medio";"Alto";"Muy alto"}),"")</f>
        <v/>
      </c>
      <c r="V671" s="13">
        <f>IFERROR(INDEX(MgAmenFrec,MATCH(SUBSTITUTE($H671,"*","-"),MgAmenClave,0)),"")</f>
        <v/>
      </c>
      <c r="W671" s="28">
        <f>IFERROR(LOOKUP(X671,{0;0.01;0.1;1;10;100},{"Muy baja";"Muy baja";"Baja";"Media";"Alta";"Muy alta"}),"")</f>
        <v/>
      </c>
      <c r="X671" s="31">
        <f>IFERROR(VLOOKUP(V671,MgFrec,2,0),0)</f>
        <v/>
      </c>
      <c r="Y671" s="30">
        <f>T671*X671</f>
        <v/>
      </c>
      <c r="Z671" s="28">
        <f>IFERROR(LOOKUP(Y671,{0;0.5;5;25},{"Bajo";"Medio";"Alto";"Crítico"}),"")</f>
        <v/>
      </c>
      <c r="AA671" s="64">
        <f>IF(T671&gt;=3,IF(X671&gt;=1,"Zona 1 — Crítica: impacto alto y ocurre al menos una vez al año","Zona 4 — Catastrófica poco probable: impacto alto pero excepcional"),IF(AND(T671&lt;1.5,X671&lt;1),"Zona 3 — Asumible: impacto bajo y muy poco frecuente","Zona 2 — Atención: riesgo intermedio"))</f>
        <v/>
      </c>
      <c r="AB671" s="64">
        <f>IFERROR(INDEX(MgAmenCtrl,MATCH(SUBSTITUTE($H671,"*","-"),MgAmenClave,0)),"")</f>
        <v/>
      </c>
      <c r="AC671" s="20" t="n"/>
      <c r="AD671" s="31">
        <f>IFERROR($X671*(1-IF($AC671="",$AL671,VLOOKUP($AC671,MgMad,2,0))),"")</f>
        <v/>
      </c>
      <c r="AE671" s="28">
        <f>IFERROR(LOOKUP(AD671,{0;0.01;0.1;1;10;100},{"Muy baja";"Muy baja";"Baja";"Media";"Alta";"Muy alta"}),"")</f>
        <v/>
      </c>
      <c r="AF671" s="30">
        <f>T671*AD671</f>
        <v/>
      </c>
      <c r="AG671" s="28">
        <f>IFERROR(LOOKUP(AF671,{0;0.5;5;25},{"Bajo";"Medio";"Alto";"Crítico"}),"")</f>
        <v/>
      </c>
      <c r="AH671" s="28">
        <f>IF(AG671="","",IF(OR(AG671="Crítico",AG671="Alto"),"Mitigar",IF(AG671="Medio","Mitigar","Aceptar y monitorear")))</f>
        <v/>
      </c>
      <c r="AI671" s="21" t="n"/>
      <c r="AJ671" s="21" t="n"/>
      <c r="AK671" s="20" t="n"/>
      <c r="AL671" s="77">
        <f>IFERROR(INDEX(MgAmenEfic,MATCH(SUBSTITUTE($H671,"*","-"),MgAmenClave,0)),0)</f>
        <v/>
      </c>
    </row>
    <row r="672" hidden="1" ht="60" customHeight="1" s="54">
      <c r="B672" s="59" t="inlineStr">
        <is>
          <t>R-0667</t>
        </is>
      </c>
      <c r="C672" s="59" t="inlineStr">
        <is>
          <t>LCO-07</t>
        </is>
      </c>
      <c r="D672" s="64">
        <f>IFERROR(INDEX(MgNombre,MATCH($C672,MgActId,0)),"")</f>
        <v/>
      </c>
      <c r="E672" s="64">
        <f>IFERROR(INDEX(MgProceso,MATCH($C672,MgActId,0)),"")</f>
        <v/>
      </c>
      <c r="F672" s="64">
        <f>IFERROR(INDEX(MgTipo,MATCH($C672,MgActId,0)),"")</f>
        <v/>
      </c>
      <c r="G672" s="64">
        <f>IFERROR(INDEX(MgSubtipo,MATCH($C672,MgActId,0)),"")</f>
        <v/>
      </c>
      <c r="H672" s="59" t="inlineStr">
        <is>
          <t>A.18</t>
        </is>
      </c>
      <c r="I672" s="64">
        <f>IFERROR(INDEX(MgAmenNombre,MATCH(SUBSTITUTE($H672,"*","-"),MgAmenClave,0)),"")</f>
        <v/>
      </c>
      <c r="J672" s="28">
        <f>IFERROR(INDEX(MgAmenGrupo,MATCH(SUBSTITUTE($H672,"*","-"),MgAmenClave,0)),"")</f>
        <v/>
      </c>
      <c r="K672" s="64">
        <f>IFERROR(INDEX('1. Matriz de Activos'!$Q$6:$Q$239,MATCH($C672,MgActId,0)),"")</f>
        <v/>
      </c>
      <c r="L672" s="64">
        <f>IFERROR(INDEX('1. Matriz de Activos'!$R$6:$R$239,MATCH($C672,MgActId,0)),"")</f>
        <v/>
      </c>
      <c r="M672" s="64">
        <f>IFERROR(INDEX('1. Matriz de Activos'!$S$6:$S$239,MATCH($C672,MgActId,0)),"")</f>
        <v/>
      </c>
      <c r="N672" s="28">
        <f>IFERROR(INDEX(MgAmenDegD,MATCH(SUBSTITUTE($H672,"*","-"),MgAmenClave,0)),"No aplica")</f>
        <v/>
      </c>
      <c r="O672" s="28">
        <f>IFERROR(INDEX(MgAmenDegI,MATCH(SUBSTITUTE($H672,"*","-"),MgAmenClave,0)),"No aplica")</f>
        <v/>
      </c>
      <c r="P672" s="28">
        <f>IFERROR(INDEX(MgAmenDegC,MATCH(SUBSTITUTE($H672,"*","-"),MgAmenClave,0)),"No aplica")</f>
        <v/>
      </c>
      <c r="Q672" s="29">
        <f>IFERROR(VLOOKUP(K672,MgValor,2,0)*VLOOKUP(N672,MgDeg,2,0),0)</f>
        <v/>
      </c>
      <c r="R672" s="29">
        <f>IFERROR(VLOOKUP(L672,MgValor,2,0)*VLOOKUP(O672,MgDeg,2,0),0)</f>
        <v/>
      </c>
      <c r="S672" s="29">
        <f>IFERROR(VLOOKUP(M672,MgValor,2,0)*VLOOKUP(P672,MgDeg,2,0),0)</f>
        <v/>
      </c>
      <c r="T672" s="30">
        <f>MAX(Q672:S672)</f>
        <v/>
      </c>
      <c r="U672" s="28">
        <f>IFERROR(LOOKUP(T672,{0;0.5;1.5;3;4.5},{"Despreciable";"Bajo";"Medio";"Alto";"Muy alto"}),"")</f>
        <v/>
      </c>
      <c r="V672" s="13">
        <f>IFERROR(INDEX(MgAmenFrec,MATCH(SUBSTITUTE($H672,"*","-"),MgAmenClave,0)),"")</f>
        <v/>
      </c>
      <c r="W672" s="28">
        <f>IFERROR(LOOKUP(X672,{0;0.01;0.1;1;10;100},{"Muy baja";"Muy baja";"Baja";"Media";"Alta";"Muy alta"}),"")</f>
        <v/>
      </c>
      <c r="X672" s="31">
        <f>IFERROR(VLOOKUP(V672,MgFrec,2,0),0)</f>
        <v/>
      </c>
      <c r="Y672" s="30">
        <f>T672*X672</f>
        <v/>
      </c>
      <c r="Z672" s="28">
        <f>IFERROR(LOOKUP(Y672,{0;0.5;5;25},{"Bajo";"Medio";"Alto";"Crítico"}),"")</f>
        <v/>
      </c>
      <c r="AA672" s="64">
        <f>IF(T672&gt;=3,IF(X672&gt;=1,"Zona 1 — Crítica: impacto alto y ocurre al menos una vez al año","Zona 4 — Catastrófica poco probable: impacto alto pero excepcional"),IF(AND(T672&lt;1.5,X672&lt;1),"Zona 3 — Asumible: impacto bajo y muy poco frecuente","Zona 2 — Atención: riesgo intermedio"))</f>
        <v/>
      </c>
      <c r="AB672" s="64">
        <f>IFERROR(INDEX(MgAmenCtrl,MATCH(SUBSTITUTE($H672,"*","-"),MgAmenClave,0)),"")</f>
        <v/>
      </c>
      <c r="AC672" s="20" t="n"/>
      <c r="AD672" s="31">
        <f>IFERROR($X672*(1-IF($AC672="",$AL672,VLOOKUP($AC672,MgMad,2,0))),"")</f>
        <v/>
      </c>
      <c r="AE672" s="28">
        <f>IFERROR(LOOKUP(AD672,{0;0.01;0.1;1;10;100},{"Muy baja";"Muy baja";"Baja";"Media";"Alta";"Muy alta"}),"")</f>
        <v/>
      </c>
      <c r="AF672" s="30">
        <f>T672*AD672</f>
        <v/>
      </c>
      <c r="AG672" s="28">
        <f>IFERROR(LOOKUP(AF672,{0;0.5;5;25},{"Bajo";"Medio";"Alto";"Crítico"}),"")</f>
        <v/>
      </c>
      <c r="AH672" s="28">
        <f>IF(AG672="","",IF(OR(AG672="Crítico",AG672="Alto"),"Mitigar",IF(AG672="Medio","Mitigar","Aceptar y monitorear")))</f>
        <v/>
      </c>
      <c r="AI672" s="21" t="n"/>
      <c r="AJ672" s="21" t="n"/>
      <c r="AK672" s="20" t="n"/>
      <c r="AL672" s="77">
        <f>IFERROR(INDEX(MgAmenEfic,MATCH(SUBSTITUTE($H672,"*","-"),MgAmenClave,0)),0)</f>
        <v/>
      </c>
    </row>
    <row r="673" hidden="1" ht="120" customHeight="1" s="54">
      <c r="B673" s="59" t="inlineStr">
        <is>
          <t>R-0668</t>
        </is>
      </c>
      <c r="C673" s="59" t="inlineStr">
        <is>
          <t>LCO-07</t>
        </is>
      </c>
      <c r="D673" s="64">
        <f>IFERROR(INDEX(MgNombre,MATCH($C673,MgActId,0)),"")</f>
        <v/>
      </c>
      <c r="E673" s="64">
        <f>IFERROR(INDEX(MgProceso,MATCH($C673,MgActId,0)),"")</f>
        <v/>
      </c>
      <c r="F673" s="64">
        <f>IFERROR(INDEX(MgTipo,MATCH($C673,MgActId,0)),"")</f>
        <v/>
      </c>
      <c r="G673" s="64">
        <f>IFERROR(INDEX(MgSubtipo,MATCH($C673,MgActId,0)),"")</f>
        <v/>
      </c>
      <c r="H673" s="59" t="inlineStr">
        <is>
          <t>A.19</t>
        </is>
      </c>
      <c r="I673" s="64">
        <f>IFERROR(INDEX(MgAmenNombre,MATCH(SUBSTITUTE($H673,"*","-"),MgAmenClave,0)),"")</f>
        <v/>
      </c>
      <c r="J673" s="28">
        <f>IFERROR(INDEX(MgAmenGrupo,MATCH(SUBSTITUTE($H673,"*","-"),MgAmenClave,0)),"")</f>
        <v/>
      </c>
      <c r="K673" s="64">
        <f>IFERROR(INDEX('1. Matriz de Activos'!$Q$6:$Q$239,MATCH($C673,MgActId,0)),"")</f>
        <v/>
      </c>
      <c r="L673" s="64">
        <f>IFERROR(INDEX('1. Matriz de Activos'!$R$6:$R$239,MATCH($C673,MgActId,0)),"")</f>
        <v/>
      </c>
      <c r="M673" s="64">
        <f>IFERROR(INDEX('1. Matriz de Activos'!$S$6:$S$239,MATCH($C673,MgActId,0)),"")</f>
        <v/>
      </c>
      <c r="N673" s="28">
        <f>IFERROR(INDEX(MgAmenDegD,MATCH(SUBSTITUTE($H673,"*","-"),MgAmenClave,0)),"No aplica")</f>
        <v/>
      </c>
      <c r="O673" s="28">
        <f>IFERROR(INDEX(MgAmenDegI,MATCH(SUBSTITUTE($H673,"*","-"),MgAmenClave,0)),"No aplica")</f>
        <v/>
      </c>
      <c r="P673" s="28">
        <f>IFERROR(INDEX(MgAmenDegC,MATCH(SUBSTITUTE($H673,"*","-"),MgAmenClave,0)),"No aplica")</f>
        <v/>
      </c>
      <c r="Q673" s="29">
        <f>IFERROR(VLOOKUP(K673,MgValor,2,0)*VLOOKUP(N673,MgDeg,2,0),0)</f>
        <v/>
      </c>
      <c r="R673" s="29">
        <f>IFERROR(VLOOKUP(L673,MgValor,2,0)*VLOOKUP(O673,MgDeg,2,0),0)</f>
        <v/>
      </c>
      <c r="S673" s="29">
        <f>IFERROR(VLOOKUP(M673,MgValor,2,0)*VLOOKUP(P673,MgDeg,2,0),0)</f>
        <v/>
      </c>
      <c r="T673" s="30">
        <f>MAX(Q673:S673)</f>
        <v/>
      </c>
      <c r="U673" s="28">
        <f>IFERROR(LOOKUP(T673,{0;0.5;1.5;3;4.5},{"Despreciable";"Bajo";"Medio";"Alto";"Muy alto"}),"")</f>
        <v/>
      </c>
      <c r="V673" s="13">
        <f>IFERROR(INDEX(MgAmenFrec,MATCH(SUBSTITUTE($H673,"*","-"),MgAmenClave,0)),"")</f>
        <v/>
      </c>
      <c r="W673" s="28">
        <f>IFERROR(LOOKUP(X673,{0;0.01;0.1;1;10;100},{"Muy baja";"Muy baja";"Baja";"Media";"Alta";"Muy alta"}),"")</f>
        <v/>
      </c>
      <c r="X673" s="31">
        <f>IFERROR(VLOOKUP(V673,MgFrec,2,0),0)</f>
        <v/>
      </c>
      <c r="Y673" s="30">
        <f>T673*X673</f>
        <v/>
      </c>
      <c r="Z673" s="28">
        <f>IFERROR(LOOKUP(Y673,{0;0.5;5;25},{"Bajo";"Medio";"Alto";"Crítico"}),"")</f>
        <v/>
      </c>
      <c r="AA673" s="64">
        <f>IF(T673&gt;=3,IF(X673&gt;=1,"Zona 1 — Crítica: impacto alto y ocurre al menos una vez al año","Zona 4 — Catastrófica poco probable: impacto alto pero excepcional"),IF(AND(T673&lt;1.5,X673&lt;1),"Zona 3 — Asumible: impacto bajo y muy poco frecuente","Zona 2 — Atención: riesgo intermedio"))</f>
        <v/>
      </c>
      <c r="AB673" s="64">
        <f>IFERROR(INDEX(MgAmenCtrl,MATCH(SUBSTITUTE($H673,"*","-"),MgAmenClave,0)),"")</f>
        <v/>
      </c>
      <c r="AC673" s="20" t="n"/>
      <c r="AD673" s="31">
        <f>IFERROR($X673*(1-IF($AC673="",$AL673,VLOOKUP($AC673,MgMad,2,0))),"")</f>
        <v/>
      </c>
      <c r="AE673" s="28">
        <f>IFERROR(LOOKUP(AD673,{0;0.01;0.1;1;10;100},{"Muy baja";"Muy baja";"Baja";"Media";"Alta";"Muy alta"}),"")</f>
        <v/>
      </c>
      <c r="AF673" s="30">
        <f>T673*AD673</f>
        <v/>
      </c>
      <c r="AG673" s="28">
        <f>IFERROR(LOOKUP(AF673,{0;0.5;5;25},{"Bajo";"Medio";"Alto";"Crítico"}),"")</f>
        <v/>
      </c>
      <c r="AH673" s="28">
        <f>IF(AG673="","",IF(OR(AG673="Crítico",AG673="Alto"),"Mitigar",IF(AG673="Medio","Mitigar","Aceptar y monitorear")))</f>
        <v/>
      </c>
      <c r="AI673" s="21" t="n"/>
      <c r="AJ673" s="21" t="n"/>
      <c r="AK673" s="20" t="n"/>
      <c r="AL673" s="77">
        <f>IFERROR(INDEX(MgAmenEfic,MATCH(SUBSTITUTE($H673,"*","-"),MgAmenClave,0)),0)</f>
        <v/>
      </c>
    </row>
    <row r="674" hidden="1" ht="105" customHeight="1" s="54">
      <c r="B674" s="59" t="inlineStr">
        <is>
          <t>R-0669</t>
        </is>
      </c>
      <c r="C674" s="59" t="inlineStr">
        <is>
          <t>TAL-08</t>
        </is>
      </c>
      <c r="D674" s="64">
        <f>IFERROR(INDEX(MgNombre,MATCH($C674,MgActId,0)),"")</f>
        <v/>
      </c>
      <c r="E674" s="64">
        <f>IFERROR(INDEX(MgProceso,MATCH($C674,MgActId,0)),"")</f>
        <v/>
      </c>
      <c r="F674" s="64">
        <f>IFERROR(INDEX(MgTipo,MATCH($C674,MgActId,0)),"")</f>
        <v/>
      </c>
      <c r="G674" s="64">
        <f>IFERROR(INDEX(MgSubtipo,MATCH($C674,MgActId,0)),"")</f>
        <v/>
      </c>
      <c r="H674" s="59" t="inlineStr">
        <is>
          <t>E.1</t>
        </is>
      </c>
      <c r="I674" s="64">
        <f>IFERROR(INDEX(MgAmenNombre,MATCH(SUBSTITUTE($H674,"*","-"),MgAmenClave,0)),"")</f>
        <v/>
      </c>
      <c r="J674" s="28">
        <f>IFERROR(INDEX(MgAmenGrupo,MATCH(SUBSTITUTE($H674,"*","-"),MgAmenClave,0)),"")</f>
        <v/>
      </c>
      <c r="K674" s="64">
        <f>IFERROR(INDEX('1. Matriz de Activos'!$Q$6:$Q$239,MATCH($C674,MgActId,0)),"")</f>
        <v/>
      </c>
      <c r="L674" s="64">
        <f>IFERROR(INDEX('1. Matriz de Activos'!$R$6:$R$239,MATCH($C674,MgActId,0)),"")</f>
        <v/>
      </c>
      <c r="M674" s="64">
        <f>IFERROR(INDEX('1. Matriz de Activos'!$S$6:$S$239,MATCH($C674,MgActId,0)),"")</f>
        <v/>
      </c>
      <c r="N674" s="28">
        <f>IFERROR(INDEX(MgAmenDegD,MATCH(SUBSTITUTE($H674,"*","-"),MgAmenClave,0)),"No aplica")</f>
        <v/>
      </c>
      <c r="O674" s="28">
        <f>IFERROR(INDEX(MgAmenDegI,MATCH(SUBSTITUTE($H674,"*","-"),MgAmenClave,0)),"No aplica")</f>
        <v/>
      </c>
      <c r="P674" s="28">
        <f>IFERROR(INDEX(MgAmenDegC,MATCH(SUBSTITUTE($H674,"*","-"),MgAmenClave,0)),"No aplica")</f>
        <v/>
      </c>
      <c r="Q674" s="29">
        <f>IFERROR(VLOOKUP(K674,MgValor,2,0)*VLOOKUP(N674,MgDeg,2,0),0)</f>
        <v/>
      </c>
      <c r="R674" s="29">
        <f>IFERROR(VLOOKUP(L674,MgValor,2,0)*VLOOKUP(O674,MgDeg,2,0),0)</f>
        <v/>
      </c>
      <c r="S674" s="29">
        <f>IFERROR(VLOOKUP(M674,MgValor,2,0)*VLOOKUP(P674,MgDeg,2,0),0)</f>
        <v/>
      </c>
      <c r="T674" s="30">
        <f>MAX(Q674:S674)</f>
        <v/>
      </c>
      <c r="U674" s="28">
        <f>IFERROR(LOOKUP(T674,{0;0.5;1.5;3;4.5},{"Despreciable";"Bajo";"Medio";"Alto";"Muy alto"}),"")</f>
        <v/>
      </c>
      <c r="V674" s="13">
        <f>IFERROR(INDEX(MgAmenFrec,MATCH(SUBSTITUTE($H674,"*","-"),MgAmenClave,0)),"")</f>
        <v/>
      </c>
      <c r="W674" s="28">
        <f>IFERROR(LOOKUP(X674,{0;0.01;0.1;1;10;100},{"Muy baja";"Muy baja";"Baja";"Media";"Alta";"Muy alta"}),"")</f>
        <v/>
      </c>
      <c r="X674" s="31">
        <f>IFERROR(VLOOKUP(V674,MgFrec,2,0),0)</f>
        <v/>
      </c>
      <c r="Y674" s="30">
        <f>T674*X674</f>
        <v/>
      </c>
      <c r="Z674" s="28">
        <f>IFERROR(LOOKUP(Y674,{0;0.5;5;25},{"Bajo";"Medio";"Alto";"Crítico"}),"")</f>
        <v/>
      </c>
      <c r="AA674" s="64">
        <f>IF(T674&gt;=3,IF(X674&gt;=1,"Zona 1 — Crítica: impacto alto y ocurre al menos una vez al año","Zona 4 — Catastrófica poco probable: impacto alto pero excepcional"),IF(AND(T674&lt;1.5,X674&lt;1),"Zona 3 — Asumible: impacto bajo y muy poco frecuente","Zona 2 — Atención: riesgo intermedio"))</f>
        <v/>
      </c>
      <c r="AB674" s="64">
        <f>IFERROR(INDEX(MgAmenCtrl,MATCH(SUBSTITUTE($H674,"*","-"),MgAmenClave,0)),"")</f>
        <v/>
      </c>
      <c r="AC674" s="20" t="n"/>
      <c r="AD674" s="31">
        <f>IFERROR($X674*(1-IF($AC674="",$AL674,VLOOKUP($AC674,MgMad,2,0))),"")</f>
        <v/>
      </c>
      <c r="AE674" s="28">
        <f>IFERROR(LOOKUP(AD674,{0;0.01;0.1;1;10;100},{"Muy baja";"Muy baja";"Baja";"Media";"Alta";"Muy alta"}),"")</f>
        <v/>
      </c>
      <c r="AF674" s="30">
        <f>T674*AD674</f>
        <v/>
      </c>
      <c r="AG674" s="28">
        <f>IFERROR(LOOKUP(AF674,{0;0.5;5;25},{"Bajo";"Medio";"Alto";"Crítico"}),"")</f>
        <v/>
      </c>
      <c r="AH674" s="28">
        <f>IF(AG674="","",IF(OR(AG674="Crítico",AG674="Alto"),"Mitigar",IF(AG674="Medio","Mitigar","Aceptar y monitorear")))</f>
        <v/>
      </c>
      <c r="AI674" s="21" t="n"/>
      <c r="AJ674" s="21" t="n"/>
      <c r="AK674" s="20" t="n"/>
      <c r="AL674" s="77">
        <f>IFERROR(INDEX(MgAmenEfic,MATCH(SUBSTITUTE($H674,"*","-"),MgAmenClave,0)),0)</f>
        <v/>
      </c>
    </row>
    <row r="675" hidden="1" ht="120" customHeight="1" s="54">
      <c r="B675" s="59" t="inlineStr">
        <is>
          <t>R-0670</t>
        </is>
      </c>
      <c r="C675" s="59" t="inlineStr">
        <is>
          <t>TAL-08</t>
        </is>
      </c>
      <c r="D675" s="64">
        <f>IFERROR(INDEX(MgNombre,MATCH($C675,MgActId,0)),"")</f>
        <v/>
      </c>
      <c r="E675" s="64">
        <f>IFERROR(INDEX(MgProceso,MATCH($C675,MgActId,0)),"")</f>
        <v/>
      </c>
      <c r="F675" s="64">
        <f>IFERROR(INDEX(MgTipo,MATCH($C675,MgActId,0)),"")</f>
        <v/>
      </c>
      <c r="G675" s="64">
        <f>IFERROR(INDEX(MgSubtipo,MATCH($C675,MgActId,0)),"")</f>
        <v/>
      </c>
      <c r="H675" s="59" t="inlineStr">
        <is>
          <t>E.2</t>
        </is>
      </c>
      <c r="I675" s="64">
        <f>IFERROR(INDEX(MgAmenNombre,MATCH(SUBSTITUTE($H675,"*","-"),MgAmenClave,0)),"")</f>
        <v/>
      </c>
      <c r="J675" s="28">
        <f>IFERROR(INDEX(MgAmenGrupo,MATCH(SUBSTITUTE($H675,"*","-"),MgAmenClave,0)),"")</f>
        <v/>
      </c>
      <c r="K675" s="64">
        <f>IFERROR(INDEX('1. Matriz de Activos'!$Q$6:$Q$239,MATCH($C675,MgActId,0)),"")</f>
        <v/>
      </c>
      <c r="L675" s="64">
        <f>IFERROR(INDEX('1. Matriz de Activos'!$R$6:$R$239,MATCH($C675,MgActId,0)),"")</f>
        <v/>
      </c>
      <c r="M675" s="64">
        <f>IFERROR(INDEX('1. Matriz de Activos'!$S$6:$S$239,MATCH($C675,MgActId,0)),"")</f>
        <v/>
      </c>
      <c r="N675" s="28">
        <f>IFERROR(INDEX(MgAmenDegD,MATCH(SUBSTITUTE($H675,"*","-"),MgAmenClave,0)),"No aplica")</f>
        <v/>
      </c>
      <c r="O675" s="28">
        <f>IFERROR(INDEX(MgAmenDegI,MATCH(SUBSTITUTE($H675,"*","-"),MgAmenClave,0)),"No aplica")</f>
        <v/>
      </c>
      <c r="P675" s="28">
        <f>IFERROR(INDEX(MgAmenDegC,MATCH(SUBSTITUTE($H675,"*","-"),MgAmenClave,0)),"No aplica")</f>
        <v/>
      </c>
      <c r="Q675" s="29">
        <f>IFERROR(VLOOKUP(K675,MgValor,2,0)*VLOOKUP(N675,MgDeg,2,0),0)</f>
        <v/>
      </c>
      <c r="R675" s="29">
        <f>IFERROR(VLOOKUP(L675,MgValor,2,0)*VLOOKUP(O675,MgDeg,2,0),0)</f>
        <v/>
      </c>
      <c r="S675" s="29">
        <f>IFERROR(VLOOKUP(M675,MgValor,2,0)*VLOOKUP(P675,MgDeg,2,0),0)</f>
        <v/>
      </c>
      <c r="T675" s="30">
        <f>MAX(Q675:S675)</f>
        <v/>
      </c>
      <c r="U675" s="28">
        <f>IFERROR(LOOKUP(T675,{0;0.5;1.5;3;4.5},{"Despreciable";"Bajo";"Medio";"Alto";"Muy alto"}),"")</f>
        <v/>
      </c>
      <c r="V675" s="13">
        <f>IFERROR(INDEX(MgAmenFrec,MATCH(SUBSTITUTE($H675,"*","-"),MgAmenClave,0)),"")</f>
        <v/>
      </c>
      <c r="W675" s="28">
        <f>IFERROR(LOOKUP(X675,{0;0.01;0.1;1;10;100},{"Muy baja";"Muy baja";"Baja";"Media";"Alta";"Muy alta"}),"")</f>
        <v/>
      </c>
      <c r="X675" s="31">
        <f>IFERROR(VLOOKUP(V675,MgFrec,2,0),0)</f>
        <v/>
      </c>
      <c r="Y675" s="30">
        <f>T675*X675</f>
        <v/>
      </c>
      <c r="Z675" s="28">
        <f>IFERROR(LOOKUP(Y675,{0;0.5;5;25},{"Bajo";"Medio";"Alto";"Crítico"}),"")</f>
        <v/>
      </c>
      <c r="AA675" s="64">
        <f>IF(T675&gt;=3,IF(X675&gt;=1,"Zona 1 — Crítica: impacto alto y ocurre al menos una vez al año","Zona 4 — Catastrófica poco probable: impacto alto pero excepcional"),IF(AND(T675&lt;1.5,X675&lt;1),"Zona 3 — Asumible: impacto bajo y muy poco frecuente","Zona 2 — Atención: riesgo intermedio"))</f>
        <v/>
      </c>
      <c r="AB675" s="64">
        <f>IFERROR(INDEX(MgAmenCtrl,MATCH(SUBSTITUTE($H675,"*","-"),MgAmenClave,0)),"")</f>
        <v/>
      </c>
      <c r="AC675" s="20" t="n"/>
      <c r="AD675" s="31">
        <f>IFERROR($X675*(1-IF($AC675="",$AL675,VLOOKUP($AC675,MgMad,2,0))),"")</f>
        <v/>
      </c>
      <c r="AE675" s="28">
        <f>IFERROR(LOOKUP(AD675,{0;0.01;0.1;1;10;100},{"Muy baja";"Muy baja";"Baja";"Media";"Alta";"Muy alta"}),"")</f>
        <v/>
      </c>
      <c r="AF675" s="30">
        <f>T675*AD675</f>
        <v/>
      </c>
      <c r="AG675" s="28">
        <f>IFERROR(LOOKUP(AF675,{0;0.5;5;25},{"Bajo";"Medio";"Alto";"Crítico"}),"")</f>
        <v/>
      </c>
      <c r="AH675" s="28">
        <f>IF(AG675="","",IF(OR(AG675="Crítico",AG675="Alto"),"Mitigar",IF(AG675="Medio","Mitigar","Aceptar y monitorear")))</f>
        <v/>
      </c>
      <c r="AI675" s="21" t="n"/>
      <c r="AJ675" s="21" t="n"/>
      <c r="AK675" s="20" t="n"/>
      <c r="AL675" s="77">
        <f>IFERROR(INDEX(MgAmenEfic,MATCH(SUBSTITUTE($H675,"*","-"),MgAmenClave,0)),0)</f>
        <v/>
      </c>
    </row>
    <row r="676" hidden="1" ht="75" customHeight="1" s="54">
      <c r="B676" s="59" t="inlineStr">
        <is>
          <t>R-0671</t>
        </is>
      </c>
      <c r="C676" s="59" t="inlineStr">
        <is>
          <t>TAL-08</t>
        </is>
      </c>
      <c r="D676" s="64">
        <f>IFERROR(INDEX(MgNombre,MATCH($C676,MgActId,0)),"")</f>
        <v/>
      </c>
      <c r="E676" s="64">
        <f>IFERROR(INDEX(MgProceso,MATCH($C676,MgActId,0)),"")</f>
        <v/>
      </c>
      <c r="F676" s="64">
        <f>IFERROR(INDEX(MgTipo,MATCH($C676,MgActId,0)),"")</f>
        <v/>
      </c>
      <c r="G676" s="64">
        <f>IFERROR(INDEX(MgSubtipo,MATCH($C676,MgActId,0)),"")</f>
        <v/>
      </c>
      <c r="H676" s="59" t="inlineStr">
        <is>
          <t>E.3</t>
        </is>
      </c>
      <c r="I676" s="64">
        <f>IFERROR(INDEX(MgAmenNombre,MATCH(SUBSTITUTE($H676,"*","-"),MgAmenClave,0)),"")</f>
        <v/>
      </c>
      <c r="J676" s="28">
        <f>IFERROR(INDEX(MgAmenGrupo,MATCH(SUBSTITUTE($H676,"*","-"),MgAmenClave,0)),"")</f>
        <v/>
      </c>
      <c r="K676" s="64">
        <f>IFERROR(INDEX('1. Matriz de Activos'!$Q$6:$Q$239,MATCH($C676,MgActId,0)),"")</f>
        <v/>
      </c>
      <c r="L676" s="64">
        <f>IFERROR(INDEX('1. Matriz de Activos'!$R$6:$R$239,MATCH($C676,MgActId,0)),"")</f>
        <v/>
      </c>
      <c r="M676" s="64">
        <f>IFERROR(INDEX('1. Matriz de Activos'!$S$6:$S$239,MATCH($C676,MgActId,0)),"")</f>
        <v/>
      </c>
      <c r="N676" s="28">
        <f>IFERROR(INDEX(MgAmenDegD,MATCH(SUBSTITUTE($H676,"*","-"),MgAmenClave,0)),"No aplica")</f>
        <v/>
      </c>
      <c r="O676" s="28">
        <f>IFERROR(INDEX(MgAmenDegI,MATCH(SUBSTITUTE($H676,"*","-"),MgAmenClave,0)),"No aplica")</f>
        <v/>
      </c>
      <c r="P676" s="28">
        <f>IFERROR(INDEX(MgAmenDegC,MATCH(SUBSTITUTE($H676,"*","-"),MgAmenClave,0)),"No aplica")</f>
        <v/>
      </c>
      <c r="Q676" s="29">
        <f>IFERROR(VLOOKUP(K676,MgValor,2,0)*VLOOKUP(N676,MgDeg,2,0),0)</f>
        <v/>
      </c>
      <c r="R676" s="29">
        <f>IFERROR(VLOOKUP(L676,MgValor,2,0)*VLOOKUP(O676,MgDeg,2,0),0)</f>
        <v/>
      </c>
      <c r="S676" s="29">
        <f>IFERROR(VLOOKUP(M676,MgValor,2,0)*VLOOKUP(P676,MgDeg,2,0),0)</f>
        <v/>
      </c>
      <c r="T676" s="30">
        <f>MAX(Q676:S676)</f>
        <v/>
      </c>
      <c r="U676" s="28">
        <f>IFERROR(LOOKUP(T676,{0;0.5;1.5;3;4.5},{"Despreciable";"Bajo";"Medio";"Alto";"Muy alto"}),"")</f>
        <v/>
      </c>
      <c r="V676" s="13">
        <f>IFERROR(INDEX(MgAmenFrec,MATCH(SUBSTITUTE($H676,"*","-"),MgAmenClave,0)),"")</f>
        <v/>
      </c>
      <c r="W676" s="28">
        <f>IFERROR(LOOKUP(X676,{0;0.01;0.1;1;10;100},{"Muy baja";"Muy baja";"Baja";"Media";"Alta";"Muy alta"}),"")</f>
        <v/>
      </c>
      <c r="X676" s="31">
        <f>IFERROR(VLOOKUP(V676,MgFrec,2,0),0)</f>
        <v/>
      </c>
      <c r="Y676" s="30">
        <f>T676*X676</f>
        <v/>
      </c>
      <c r="Z676" s="28">
        <f>IFERROR(LOOKUP(Y676,{0;0.5;5;25},{"Bajo";"Medio";"Alto";"Crítico"}),"")</f>
        <v/>
      </c>
      <c r="AA676" s="64">
        <f>IF(T676&gt;=3,IF(X676&gt;=1,"Zona 1 — Crítica: impacto alto y ocurre al menos una vez al año","Zona 4 — Catastrófica poco probable: impacto alto pero excepcional"),IF(AND(T676&lt;1.5,X676&lt;1),"Zona 3 — Asumible: impacto bajo y muy poco frecuente","Zona 2 — Atención: riesgo intermedio"))</f>
        <v/>
      </c>
      <c r="AB676" s="64">
        <f>IFERROR(INDEX(MgAmenCtrl,MATCH(SUBSTITUTE($H676,"*","-"),MgAmenClave,0)),"")</f>
        <v/>
      </c>
      <c r="AC676" s="20" t="n"/>
      <c r="AD676" s="31">
        <f>IFERROR($X676*(1-IF($AC676="",$AL676,VLOOKUP($AC676,MgMad,2,0))),"")</f>
        <v/>
      </c>
      <c r="AE676" s="28">
        <f>IFERROR(LOOKUP(AD676,{0;0.01;0.1;1;10;100},{"Muy baja";"Muy baja";"Baja";"Media";"Alta";"Muy alta"}),"")</f>
        <v/>
      </c>
      <c r="AF676" s="30">
        <f>T676*AD676</f>
        <v/>
      </c>
      <c r="AG676" s="28">
        <f>IFERROR(LOOKUP(AF676,{0;0.5;5;25},{"Bajo";"Medio";"Alto";"Crítico"}),"")</f>
        <v/>
      </c>
      <c r="AH676" s="28">
        <f>IF(AG676="","",IF(OR(AG676="Crítico",AG676="Alto"),"Mitigar",IF(AG676="Medio","Mitigar","Aceptar y monitorear")))</f>
        <v/>
      </c>
      <c r="AI676" s="21" t="n"/>
      <c r="AJ676" s="21" t="n"/>
      <c r="AK676" s="20" t="n"/>
      <c r="AL676" s="77">
        <f>IFERROR(INDEX(MgAmenEfic,MATCH(SUBSTITUTE($H676,"*","-"),MgAmenClave,0)),0)</f>
        <v/>
      </c>
    </row>
    <row r="677" hidden="1" ht="75" customHeight="1" s="54">
      <c r="B677" s="59" t="inlineStr">
        <is>
          <t>R-0672</t>
        </is>
      </c>
      <c r="C677" s="59" t="inlineStr">
        <is>
          <t>TAL-08</t>
        </is>
      </c>
      <c r="D677" s="64">
        <f>IFERROR(INDEX(MgNombre,MATCH($C677,MgActId,0)),"")</f>
        <v/>
      </c>
      <c r="E677" s="64">
        <f>IFERROR(INDEX(MgProceso,MATCH($C677,MgActId,0)),"")</f>
        <v/>
      </c>
      <c r="F677" s="64">
        <f>IFERROR(INDEX(MgTipo,MATCH($C677,MgActId,0)),"")</f>
        <v/>
      </c>
      <c r="G677" s="64">
        <f>IFERROR(INDEX(MgSubtipo,MATCH($C677,MgActId,0)),"")</f>
        <v/>
      </c>
      <c r="H677" s="59" t="inlineStr">
        <is>
          <t>E.4</t>
        </is>
      </c>
      <c r="I677" s="64">
        <f>IFERROR(INDEX(MgAmenNombre,MATCH(SUBSTITUTE($H677,"*","-"),MgAmenClave,0)),"")</f>
        <v/>
      </c>
      <c r="J677" s="28">
        <f>IFERROR(INDEX(MgAmenGrupo,MATCH(SUBSTITUTE($H677,"*","-"),MgAmenClave,0)),"")</f>
        <v/>
      </c>
      <c r="K677" s="64">
        <f>IFERROR(INDEX('1. Matriz de Activos'!$Q$6:$Q$239,MATCH($C677,MgActId,0)),"")</f>
        <v/>
      </c>
      <c r="L677" s="64">
        <f>IFERROR(INDEX('1. Matriz de Activos'!$R$6:$R$239,MATCH($C677,MgActId,0)),"")</f>
        <v/>
      </c>
      <c r="M677" s="64">
        <f>IFERROR(INDEX('1. Matriz de Activos'!$S$6:$S$239,MATCH($C677,MgActId,0)),"")</f>
        <v/>
      </c>
      <c r="N677" s="28">
        <f>IFERROR(INDEX(MgAmenDegD,MATCH(SUBSTITUTE($H677,"*","-"),MgAmenClave,0)),"No aplica")</f>
        <v/>
      </c>
      <c r="O677" s="28">
        <f>IFERROR(INDEX(MgAmenDegI,MATCH(SUBSTITUTE($H677,"*","-"),MgAmenClave,0)),"No aplica")</f>
        <v/>
      </c>
      <c r="P677" s="28">
        <f>IFERROR(INDEX(MgAmenDegC,MATCH(SUBSTITUTE($H677,"*","-"),MgAmenClave,0)),"No aplica")</f>
        <v/>
      </c>
      <c r="Q677" s="29">
        <f>IFERROR(VLOOKUP(K677,MgValor,2,0)*VLOOKUP(N677,MgDeg,2,0),0)</f>
        <v/>
      </c>
      <c r="R677" s="29">
        <f>IFERROR(VLOOKUP(L677,MgValor,2,0)*VLOOKUP(O677,MgDeg,2,0),0)</f>
        <v/>
      </c>
      <c r="S677" s="29">
        <f>IFERROR(VLOOKUP(M677,MgValor,2,0)*VLOOKUP(P677,MgDeg,2,0),0)</f>
        <v/>
      </c>
      <c r="T677" s="30">
        <f>MAX(Q677:S677)</f>
        <v/>
      </c>
      <c r="U677" s="28">
        <f>IFERROR(LOOKUP(T677,{0;0.5;1.5;3;4.5},{"Despreciable";"Bajo";"Medio";"Alto";"Muy alto"}),"")</f>
        <v/>
      </c>
      <c r="V677" s="13">
        <f>IFERROR(INDEX(MgAmenFrec,MATCH(SUBSTITUTE($H677,"*","-"),MgAmenClave,0)),"")</f>
        <v/>
      </c>
      <c r="W677" s="28">
        <f>IFERROR(LOOKUP(X677,{0;0.01;0.1;1;10;100},{"Muy baja";"Muy baja";"Baja";"Media";"Alta";"Muy alta"}),"")</f>
        <v/>
      </c>
      <c r="X677" s="31">
        <f>IFERROR(VLOOKUP(V677,MgFrec,2,0),0)</f>
        <v/>
      </c>
      <c r="Y677" s="30">
        <f>T677*X677</f>
        <v/>
      </c>
      <c r="Z677" s="28">
        <f>IFERROR(LOOKUP(Y677,{0;0.5;5;25},{"Bajo";"Medio";"Alto";"Crítico"}),"")</f>
        <v/>
      </c>
      <c r="AA677" s="64">
        <f>IF(T677&gt;=3,IF(X677&gt;=1,"Zona 1 — Crítica: impacto alto y ocurre al menos una vez al año","Zona 4 — Catastrófica poco probable: impacto alto pero excepcional"),IF(AND(T677&lt;1.5,X677&lt;1),"Zona 3 — Asumible: impacto bajo y muy poco frecuente","Zona 2 — Atención: riesgo intermedio"))</f>
        <v/>
      </c>
      <c r="AB677" s="64">
        <f>IFERROR(INDEX(MgAmenCtrl,MATCH(SUBSTITUTE($H677,"*","-"),MgAmenClave,0)),"")</f>
        <v/>
      </c>
      <c r="AC677" s="20" t="n"/>
      <c r="AD677" s="31">
        <f>IFERROR($X677*(1-IF($AC677="",$AL677,VLOOKUP($AC677,MgMad,2,0))),"")</f>
        <v/>
      </c>
      <c r="AE677" s="28">
        <f>IFERROR(LOOKUP(AD677,{0;0.01;0.1;1;10;100},{"Muy baja";"Muy baja";"Baja";"Media";"Alta";"Muy alta"}),"")</f>
        <v/>
      </c>
      <c r="AF677" s="30">
        <f>T677*AD677</f>
        <v/>
      </c>
      <c r="AG677" s="28">
        <f>IFERROR(LOOKUP(AF677,{0;0.5;5;25},{"Bajo";"Medio";"Alto";"Crítico"}),"")</f>
        <v/>
      </c>
      <c r="AH677" s="28">
        <f>IF(AG677="","",IF(OR(AG677="Crítico",AG677="Alto"),"Mitigar",IF(AG677="Medio","Mitigar","Aceptar y monitorear")))</f>
        <v/>
      </c>
      <c r="AI677" s="21" t="n"/>
      <c r="AJ677" s="21" t="n"/>
      <c r="AK677" s="20" t="n"/>
      <c r="AL677" s="77">
        <f>IFERROR(INDEX(MgAmenEfic,MATCH(SUBSTITUTE($H677,"*","-"),MgAmenClave,0)),0)</f>
        <v/>
      </c>
    </row>
    <row r="678" hidden="1" ht="90" customHeight="1" s="54">
      <c r="B678" s="59" t="inlineStr">
        <is>
          <t>R-0673</t>
        </is>
      </c>
      <c r="C678" s="59" t="inlineStr">
        <is>
          <t>TAL-08</t>
        </is>
      </c>
      <c r="D678" s="64">
        <f>IFERROR(INDEX(MgNombre,MATCH($C678,MgActId,0)),"")</f>
        <v/>
      </c>
      <c r="E678" s="64">
        <f>IFERROR(INDEX(MgProceso,MATCH($C678,MgActId,0)),"")</f>
        <v/>
      </c>
      <c r="F678" s="64">
        <f>IFERROR(INDEX(MgTipo,MATCH($C678,MgActId,0)),"")</f>
        <v/>
      </c>
      <c r="G678" s="64">
        <f>IFERROR(INDEX(MgSubtipo,MATCH($C678,MgActId,0)),"")</f>
        <v/>
      </c>
      <c r="H678" s="59" t="inlineStr">
        <is>
          <t>E.14</t>
        </is>
      </c>
      <c r="I678" s="64">
        <f>IFERROR(INDEX(MgAmenNombre,MATCH(SUBSTITUTE($H678,"*","-"),MgAmenClave,0)),"")</f>
        <v/>
      </c>
      <c r="J678" s="28">
        <f>IFERROR(INDEX(MgAmenGrupo,MATCH(SUBSTITUTE($H678,"*","-"),MgAmenClave,0)),"")</f>
        <v/>
      </c>
      <c r="K678" s="64">
        <f>IFERROR(INDEX('1. Matriz de Activos'!$Q$6:$Q$239,MATCH($C678,MgActId,0)),"")</f>
        <v/>
      </c>
      <c r="L678" s="64">
        <f>IFERROR(INDEX('1. Matriz de Activos'!$R$6:$R$239,MATCH($C678,MgActId,0)),"")</f>
        <v/>
      </c>
      <c r="M678" s="64">
        <f>IFERROR(INDEX('1. Matriz de Activos'!$S$6:$S$239,MATCH($C678,MgActId,0)),"")</f>
        <v/>
      </c>
      <c r="N678" s="28">
        <f>IFERROR(INDEX(MgAmenDegD,MATCH(SUBSTITUTE($H678,"*","-"),MgAmenClave,0)),"No aplica")</f>
        <v/>
      </c>
      <c r="O678" s="28">
        <f>IFERROR(INDEX(MgAmenDegI,MATCH(SUBSTITUTE($H678,"*","-"),MgAmenClave,0)),"No aplica")</f>
        <v/>
      </c>
      <c r="P678" s="28">
        <f>IFERROR(INDEX(MgAmenDegC,MATCH(SUBSTITUTE($H678,"*","-"),MgAmenClave,0)),"No aplica")</f>
        <v/>
      </c>
      <c r="Q678" s="29">
        <f>IFERROR(VLOOKUP(K678,MgValor,2,0)*VLOOKUP(N678,MgDeg,2,0),0)</f>
        <v/>
      </c>
      <c r="R678" s="29">
        <f>IFERROR(VLOOKUP(L678,MgValor,2,0)*VLOOKUP(O678,MgDeg,2,0),0)</f>
        <v/>
      </c>
      <c r="S678" s="29">
        <f>IFERROR(VLOOKUP(M678,MgValor,2,0)*VLOOKUP(P678,MgDeg,2,0),0)</f>
        <v/>
      </c>
      <c r="T678" s="30">
        <f>MAX(Q678:S678)</f>
        <v/>
      </c>
      <c r="U678" s="28">
        <f>IFERROR(LOOKUP(T678,{0;0.5;1.5;3;4.5},{"Despreciable";"Bajo";"Medio";"Alto";"Muy alto"}),"")</f>
        <v/>
      </c>
      <c r="V678" s="13">
        <f>IFERROR(INDEX(MgAmenFrec,MATCH(SUBSTITUTE($H678,"*","-"),MgAmenClave,0)),"")</f>
        <v/>
      </c>
      <c r="W678" s="28">
        <f>IFERROR(LOOKUP(X678,{0;0.01;0.1;1;10;100},{"Muy baja";"Muy baja";"Baja";"Media";"Alta";"Muy alta"}),"")</f>
        <v/>
      </c>
      <c r="X678" s="31">
        <f>IFERROR(VLOOKUP(V678,MgFrec,2,0),0)</f>
        <v/>
      </c>
      <c r="Y678" s="30">
        <f>T678*X678</f>
        <v/>
      </c>
      <c r="Z678" s="28">
        <f>IFERROR(LOOKUP(Y678,{0;0.5;5;25},{"Bajo";"Medio";"Alto";"Crítico"}),"")</f>
        <v/>
      </c>
      <c r="AA678" s="64">
        <f>IF(T678&gt;=3,IF(X678&gt;=1,"Zona 1 — Crítica: impacto alto y ocurre al menos una vez al año","Zona 4 — Catastrófica poco probable: impacto alto pero excepcional"),IF(AND(T678&lt;1.5,X678&lt;1),"Zona 3 — Asumible: impacto bajo y muy poco frecuente","Zona 2 — Atención: riesgo intermedio"))</f>
        <v/>
      </c>
      <c r="AB678" s="64">
        <f>IFERROR(INDEX(MgAmenCtrl,MATCH(SUBSTITUTE($H678,"*","-"),MgAmenClave,0)),"")</f>
        <v/>
      </c>
      <c r="AC678" s="20" t="n"/>
      <c r="AD678" s="31">
        <f>IFERROR($X678*(1-IF($AC678="",$AL678,VLOOKUP($AC678,MgMad,2,0))),"")</f>
        <v/>
      </c>
      <c r="AE678" s="28">
        <f>IFERROR(LOOKUP(AD678,{0;0.01;0.1;1;10;100},{"Muy baja";"Muy baja";"Baja";"Media";"Alta";"Muy alta"}),"")</f>
        <v/>
      </c>
      <c r="AF678" s="30">
        <f>T678*AD678</f>
        <v/>
      </c>
      <c r="AG678" s="28">
        <f>IFERROR(LOOKUP(AF678,{0;0.5;5;25},{"Bajo";"Medio";"Alto";"Crítico"}),"")</f>
        <v/>
      </c>
      <c r="AH678" s="28">
        <f>IF(AG678="","",IF(OR(AG678="Crítico",AG678="Alto"),"Mitigar",IF(AG678="Medio","Mitigar","Aceptar y monitorear")))</f>
        <v/>
      </c>
      <c r="AI678" s="21" t="n"/>
      <c r="AJ678" s="21" t="n"/>
      <c r="AK678" s="20" t="n"/>
      <c r="AL678" s="77">
        <f>IFERROR(INDEX(MgAmenEfic,MATCH(SUBSTITUTE($H678,"*","-"),MgAmenClave,0)),0)</f>
        <v/>
      </c>
    </row>
    <row r="679" hidden="1" ht="90" customHeight="1" s="54">
      <c r="B679" s="59" t="inlineStr">
        <is>
          <t>R-0674</t>
        </is>
      </c>
      <c r="C679" s="59" t="inlineStr">
        <is>
          <t>TAL-08</t>
        </is>
      </c>
      <c r="D679" s="64">
        <f>IFERROR(INDEX(MgNombre,MATCH($C679,MgActId,0)),"")</f>
        <v/>
      </c>
      <c r="E679" s="64">
        <f>IFERROR(INDEX(MgProceso,MATCH($C679,MgActId,0)),"")</f>
        <v/>
      </c>
      <c r="F679" s="64">
        <f>IFERROR(INDEX(MgTipo,MATCH($C679,MgActId,0)),"")</f>
        <v/>
      </c>
      <c r="G679" s="64">
        <f>IFERROR(INDEX(MgSubtipo,MATCH($C679,MgActId,0)),"")</f>
        <v/>
      </c>
      <c r="H679" s="59" t="inlineStr">
        <is>
          <t>E.15</t>
        </is>
      </c>
      <c r="I679" s="64">
        <f>IFERROR(INDEX(MgAmenNombre,MATCH(SUBSTITUTE($H679,"*","-"),MgAmenClave,0)),"")</f>
        <v/>
      </c>
      <c r="J679" s="28">
        <f>IFERROR(INDEX(MgAmenGrupo,MATCH(SUBSTITUTE($H679,"*","-"),MgAmenClave,0)),"")</f>
        <v/>
      </c>
      <c r="K679" s="64">
        <f>IFERROR(INDEX('1. Matriz de Activos'!$Q$6:$Q$239,MATCH($C679,MgActId,0)),"")</f>
        <v/>
      </c>
      <c r="L679" s="64">
        <f>IFERROR(INDEX('1. Matriz de Activos'!$R$6:$R$239,MATCH($C679,MgActId,0)),"")</f>
        <v/>
      </c>
      <c r="M679" s="64">
        <f>IFERROR(INDEX('1. Matriz de Activos'!$S$6:$S$239,MATCH($C679,MgActId,0)),"")</f>
        <v/>
      </c>
      <c r="N679" s="28">
        <f>IFERROR(INDEX(MgAmenDegD,MATCH(SUBSTITUTE($H679,"*","-"),MgAmenClave,0)),"No aplica")</f>
        <v/>
      </c>
      <c r="O679" s="28">
        <f>IFERROR(INDEX(MgAmenDegI,MATCH(SUBSTITUTE($H679,"*","-"),MgAmenClave,0)),"No aplica")</f>
        <v/>
      </c>
      <c r="P679" s="28">
        <f>IFERROR(INDEX(MgAmenDegC,MATCH(SUBSTITUTE($H679,"*","-"),MgAmenClave,0)),"No aplica")</f>
        <v/>
      </c>
      <c r="Q679" s="29">
        <f>IFERROR(VLOOKUP(K679,MgValor,2,0)*VLOOKUP(N679,MgDeg,2,0),0)</f>
        <v/>
      </c>
      <c r="R679" s="29">
        <f>IFERROR(VLOOKUP(L679,MgValor,2,0)*VLOOKUP(O679,MgDeg,2,0),0)</f>
        <v/>
      </c>
      <c r="S679" s="29">
        <f>IFERROR(VLOOKUP(M679,MgValor,2,0)*VLOOKUP(P679,MgDeg,2,0),0)</f>
        <v/>
      </c>
      <c r="T679" s="30">
        <f>MAX(Q679:S679)</f>
        <v/>
      </c>
      <c r="U679" s="28">
        <f>IFERROR(LOOKUP(T679,{0;0.5;1.5;3;4.5},{"Despreciable";"Bajo";"Medio";"Alto";"Muy alto"}),"")</f>
        <v/>
      </c>
      <c r="V679" s="13">
        <f>IFERROR(INDEX(MgAmenFrec,MATCH(SUBSTITUTE($H679,"*","-"),MgAmenClave,0)),"")</f>
        <v/>
      </c>
      <c r="W679" s="28">
        <f>IFERROR(LOOKUP(X679,{0;0.01;0.1;1;10;100},{"Muy baja";"Muy baja";"Baja";"Media";"Alta";"Muy alta"}),"")</f>
        <v/>
      </c>
      <c r="X679" s="31">
        <f>IFERROR(VLOOKUP(V679,MgFrec,2,0),0)</f>
        <v/>
      </c>
      <c r="Y679" s="30">
        <f>T679*X679</f>
        <v/>
      </c>
      <c r="Z679" s="28">
        <f>IFERROR(LOOKUP(Y679,{0;0.5;5;25},{"Bajo";"Medio";"Alto";"Crítico"}),"")</f>
        <v/>
      </c>
      <c r="AA679" s="64">
        <f>IF(T679&gt;=3,IF(X679&gt;=1,"Zona 1 — Crítica: impacto alto y ocurre al menos una vez al año","Zona 4 — Catastrófica poco probable: impacto alto pero excepcional"),IF(AND(T679&lt;1.5,X679&lt;1),"Zona 3 — Asumible: impacto bajo y muy poco frecuente","Zona 2 — Atención: riesgo intermedio"))</f>
        <v/>
      </c>
      <c r="AB679" s="64">
        <f>IFERROR(INDEX(MgAmenCtrl,MATCH(SUBSTITUTE($H679,"*","-"),MgAmenClave,0)),"")</f>
        <v/>
      </c>
      <c r="AC679" s="20" t="n"/>
      <c r="AD679" s="31">
        <f>IFERROR($X679*(1-IF($AC679="",$AL679,VLOOKUP($AC679,MgMad,2,0))),"")</f>
        <v/>
      </c>
      <c r="AE679" s="28">
        <f>IFERROR(LOOKUP(AD679,{0;0.01;0.1;1;10;100},{"Muy baja";"Muy baja";"Baja";"Media";"Alta";"Muy alta"}),"")</f>
        <v/>
      </c>
      <c r="AF679" s="30">
        <f>T679*AD679</f>
        <v/>
      </c>
      <c r="AG679" s="28">
        <f>IFERROR(LOOKUP(AF679,{0;0.5;5;25},{"Bajo";"Medio";"Alto";"Crítico"}),"")</f>
        <v/>
      </c>
      <c r="AH679" s="28">
        <f>IF(AG679="","",IF(OR(AG679="Crítico",AG679="Alto"),"Mitigar",IF(AG679="Medio","Mitigar","Aceptar y monitorear")))</f>
        <v/>
      </c>
      <c r="AI679" s="21" t="n"/>
      <c r="AJ679" s="21" t="n"/>
      <c r="AK679" s="20" t="n"/>
      <c r="AL679" s="77">
        <f>IFERROR(INDEX(MgAmenEfic,MATCH(SUBSTITUTE($H679,"*","-"),MgAmenClave,0)),0)</f>
        <v/>
      </c>
    </row>
    <row r="680" hidden="1" ht="60" customHeight="1" s="54">
      <c r="B680" s="59" t="inlineStr">
        <is>
          <t>R-0675</t>
        </is>
      </c>
      <c r="C680" s="59" t="inlineStr">
        <is>
          <t>TAL-08</t>
        </is>
      </c>
      <c r="D680" s="64">
        <f>IFERROR(INDEX(MgNombre,MATCH($C680,MgActId,0)),"")</f>
        <v/>
      </c>
      <c r="E680" s="64">
        <f>IFERROR(INDEX(MgProceso,MATCH($C680,MgActId,0)),"")</f>
        <v/>
      </c>
      <c r="F680" s="64">
        <f>IFERROR(INDEX(MgTipo,MATCH($C680,MgActId,0)),"")</f>
        <v/>
      </c>
      <c r="G680" s="64">
        <f>IFERROR(INDEX(MgSubtipo,MATCH($C680,MgActId,0)),"")</f>
        <v/>
      </c>
      <c r="H680" s="59" t="inlineStr">
        <is>
          <t>E.18</t>
        </is>
      </c>
      <c r="I680" s="64">
        <f>IFERROR(INDEX(MgAmenNombre,MATCH(SUBSTITUTE($H680,"*","-"),MgAmenClave,0)),"")</f>
        <v/>
      </c>
      <c r="J680" s="28">
        <f>IFERROR(INDEX(MgAmenGrupo,MATCH(SUBSTITUTE($H680,"*","-"),MgAmenClave,0)),"")</f>
        <v/>
      </c>
      <c r="K680" s="64">
        <f>IFERROR(INDEX('1. Matriz de Activos'!$Q$6:$Q$239,MATCH($C680,MgActId,0)),"")</f>
        <v/>
      </c>
      <c r="L680" s="64">
        <f>IFERROR(INDEX('1. Matriz de Activos'!$R$6:$R$239,MATCH($C680,MgActId,0)),"")</f>
        <v/>
      </c>
      <c r="M680" s="64">
        <f>IFERROR(INDEX('1. Matriz de Activos'!$S$6:$S$239,MATCH($C680,MgActId,0)),"")</f>
        <v/>
      </c>
      <c r="N680" s="28">
        <f>IFERROR(INDEX(MgAmenDegD,MATCH(SUBSTITUTE($H680,"*","-"),MgAmenClave,0)),"No aplica")</f>
        <v/>
      </c>
      <c r="O680" s="28">
        <f>IFERROR(INDEX(MgAmenDegI,MATCH(SUBSTITUTE($H680,"*","-"),MgAmenClave,0)),"No aplica")</f>
        <v/>
      </c>
      <c r="P680" s="28">
        <f>IFERROR(INDEX(MgAmenDegC,MATCH(SUBSTITUTE($H680,"*","-"),MgAmenClave,0)),"No aplica")</f>
        <v/>
      </c>
      <c r="Q680" s="29">
        <f>IFERROR(VLOOKUP(K680,MgValor,2,0)*VLOOKUP(N680,MgDeg,2,0),0)</f>
        <v/>
      </c>
      <c r="R680" s="29">
        <f>IFERROR(VLOOKUP(L680,MgValor,2,0)*VLOOKUP(O680,MgDeg,2,0),0)</f>
        <v/>
      </c>
      <c r="S680" s="29">
        <f>IFERROR(VLOOKUP(M680,MgValor,2,0)*VLOOKUP(P680,MgDeg,2,0),0)</f>
        <v/>
      </c>
      <c r="T680" s="30">
        <f>MAX(Q680:S680)</f>
        <v/>
      </c>
      <c r="U680" s="28">
        <f>IFERROR(LOOKUP(T680,{0;0.5;1.5;3;4.5},{"Despreciable";"Bajo";"Medio";"Alto";"Muy alto"}),"")</f>
        <v/>
      </c>
      <c r="V680" s="13">
        <f>IFERROR(INDEX(MgAmenFrec,MATCH(SUBSTITUTE($H680,"*","-"),MgAmenClave,0)),"")</f>
        <v/>
      </c>
      <c r="W680" s="28">
        <f>IFERROR(LOOKUP(X680,{0;0.01;0.1;1;10;100},{"Muy baja";"Muy baja";"Baja";"Media";"Alta";"Muy alta"}),"")</f>
        <v/>
      </c>
      <c r="X680" s="31">
        <f>IFERROR(VLOOKUP(V680,MgFrec,2,0),0)</f>
        <v/>
      </c>
      <c r="Y680" s="30">
        <f>T680*X680</f>
        <v/>
      </c>
      <c r="Z680" s="28">
        <f>IFERROR(LOOKUP(Y680,{0;0.5;5;25},{"Bajo";"Medio";"Alto";"Crítico"}),"")</f>
        <v/>
      </c>
      <c r="AA680" s="64">
        <f>IF(T680&gt;=3,IF(X680&gt;=1,"Zona 1 — Crítica: impacto alto y ocurre al menos una vez al año","Zona 4 — Catastrófica poco probable: impacto alto pero excepcional"),IF(AND(T680&lt;1.5,X680&lt;1),"Zona 3 — Asumible: impacto bajo y muy poco frecuente","Zona 2 — Atención: riesgo intermedio"))</f>
        <v/>
      </c>
      <c r="AB680" s="64">
        <f>IFERROR(INDEX(MgAmenCtrl,MATCH(SUBSTITUTE($H680,"*","-"),MgAmenClave,0)),"")</f>
        <v/>
      </c>
      <c r="AC680" s="20" t="n"/>
      <c r="AD680" s="31">
        <f>IFERROR($X680*(1-IF($AC680="",$AL680,VLOOKUP($AC680,MgMad,2,0))),"")</f>
        <v/>
      </c>
      <c r="AE680" s="28">
        <f>IFERROR(LOOKUP(AD680,{0;0.01;0.1;1;10;100},{"Muy baja";"Muy baja";"Baja";"Media";"Alta";"Muy alta"}),"")</f>
        <v/>
      </c>
      <c r="AF680" s="30">
        <f>T680*AD680</f>
        <v/>
      </c>
      <c r="AG680" s="28">
        <f>IFERROR(LOOKUP(AF680,{0;0.5;5;25},{"Bajo";"Medio";"Alto";"Crítico"}),"")</f>
        <v/>
      </c>
      <c r="AH680" s="28">
        <f>IF(AG680="","",IF(OR(AG680="Crítico",AG680="Alto"),"Mitigar",IF(AG680="Medio","Mitigar","Aceptar y monitorear")))</f>
        <v/>
      </c>
      <c r="AI680" s="21" t="n"/>
      <c r="AJ680" s="21" t="n"/>
      <c r="AK680" s="20" t="n"/>
      <c r="AL680" s="77">
        <f>IFERROR(INDEX(MgAmenEfic,MATCH(SUBSTITUTE($H680,"*","-"),MgAmenClave,0)),0)</f>
        <v/>
      </c>
    </row>
    <row r="681" hidden="1" ht="105" customHeight="1" s="54">
      <c r="B681" s="59" t="inlineStr">
        <is>
          <t>R-0676</t>
        </is>
      </c>
      <c r="C681" s="59" t="inlineStr">
        <is>
          <t>TAL-08</t>
        </is>
      </c>
      <c r="D681" s="64">
        <f>IFERROR(INDEX(MgNombre,MATCH($C681,MgActId,0)),"")</f>
        <v/>
      </c>
      <c r="E681" s="64">
        <f>IFERROR(INDEX(MgProceso,MATCH($C681,MgActId,0)),"")</f>
        <v/>
      </c>
      <c r="F681" s="64">
        <f>IFERROR(INDEX(MgTipo,MATCH($C681,MgActId,0)),"")</f>
        <v/>
      </c>
      <c r="G681" s="64">
        <f>IFERROR(INDEX(MgSubtipo,MATCH($C681,MgActId,0)),"")</f>
        <v/>
      </c>
      <c r="H681" s="59" t="inlineStr">
        <is>
          <t>E.19</t>
        </is>
      </c>
      <c r="I681" s="64">
        <f>IFERROR(INDEX(MgAmenNombre,MATCH(SUBSTITUTE($H681,"*","-"),MgAmenClave,0)),"")</f>
        <v/>
      </c>
      <c r="J681" s="28">
        <f>IFERROR(INDEX(MgAmenGrupo,MATCH(SUBSTITUTE($H681,"*","-"),MgAmenClave,0)),"")</f>
        <v/>
      </c>
      <c r="K681" s="64">
        <f>IFERROR(INDEX('1. Matriz de Activos'!$Q$6:$Q$239,MATCH($C681,MgActId,0)),"")</f>
        <v/>
      </c>
      <c r="L681" s="64">
        <f>IFERROR(INDEX('1. Matriz de Activos'!$R$6:$R$239,MATCH($C681,MgActId,0)),"")</f>
        <v/>
      </c>
      <c r="M681" s="64">
        <f>IFERROR(INDEX('1. Matriz de Activos'!$S$6:$S$239,MATCH($C681,MgActId,0)),"")</f>
        <v/>
      </c>
      <c r="N681" s="28">
        <f>IFERROR(INDEX(MgAmenDegD,MATCH(SUBSTITUTE($H681,"*","-"),MgAmenClave,0)),"No aplica")</f>
        <v/>
      </c>
      <c r="O681" s="28">
        <f>IFERROR(INDEX(MgAmenDegI,MATCH(SUBSTITUTE($H681,"*","-"),MgAmenClave,0)),"No aplica")</f>
        <v/>
      </c>
      <c r="P681" s="28">
        <f>IFERROR(INDEX(MgAmenDegC,MATCH(SUBSTITUTE($H681,"*","-"),MgAmenClave,0)),"No aplica")</f>
        <v/>
      </c>
      <c r="Q681" s="29">
        <f>IFERROR(VLOOKUP(K681,MgValor,2,0)*VLOOKUP(N681,MgDeg,2,0),0)</f>
        <v/>
      </c>
      <c r="R681" s="29">
        <f>IFERROR(VLOOKUP(L681,MgValor,2,0)*VLOOKUP(O681,MgDeg,2,0),0)</f>
        <v/>
      </c>
      <c r="S681" s="29">
        <f>IFERROR(VLOOKUP(M681,MgValor,2,0)*VLOOKUP(P681,MgDeg,2,0),0)</f>
        <v/>
      </c>
      <c r="T681" s="30">
        <f>MAX(Q681:S681)</f>
        <v/>
      </c>
      <c r="U681" s="28">
        <f>IFERROR(LOOKUP(T681,{0;0.5;1.5;3;4.5},{"Despreciable";"Bajo";"Medio";"Alto";"Muy alto"}),"")</f>
        <v/>
      </c>
      <c r="V681" s="13">
        <f>IFERROR(INDEX(MgAmenFrec,MATCH(SUBSTITUTE($H681,"*","-"),MgAmenClave,0)),"")</f>
        <v/>
      </c>
      <c r="W681" s="28">
        <f>IFERROR(LOOKUP(X681,{0;0.01;0.1;1;10;100},{"Muy baja";"Muy baja";"Baja";"Media";"Alta";"Muy alta"}),"")</f>
        <v/>
      </c>
      <c r="X681" s="31">
        <f>IFERROR(VLOOKUP(V681,MgFrec,2,0),0)</f>
        <v/>
      </c>
      <c r="Y681" s="30">
        <f>T681*X681</f>
        <v/>
      </c>
      <c r="Z681" s="28">
        <f>IFERROR(LOOKUP(Y681,{0;0.5;5;25},{"Bajo";"Medio";"Alto";"Crítico"}),"")</f>
        <v/>
      </c>
      <c r="AA681" s="64">
        <f>IF(T681&gt;=3,IF(X681&gt;=1,"Zona 1 — Crítica: impacto alto y ocurre al menos una vez al año","Zona 4 — Catastrófica poco probable: impacto alto pero excepcional"),IF(AND(T681&lt;1.5,X681&lt;1),"Zona 3 — Asumible: impacto bajo y muy poco frecuente","Zona 2 — Atención: riesgo intermedio"))</f>
        <v/>
      </c>
      <c r="AB681" s="64">
        <f>IFERROR(INDEX(MgAmenCtrl,MATCH(SUBSTITUTE($H681,"*","-"),MgAmenClave,0)),"")</f>
        <v/>
      </c>
      <c r="AC681" s="20" t="n"/>
      <c r="AD681" s="31">
        <f>IFERROR($X681*(1-IF($AC681="",$AL681,VLOOKUP($AC681,MgMad,2,0))),"")</f>
        <v/>
      </c>
      <c r="AE681" s="28">
        <f>IFERROR(LOOKUP(AD681,{0;0.01;0.1;1;10;100},{"Muy baja";"Muy baja";"Baja";"Media";"Alta";"Muy alta"}),"")</f>
        <v/>
      </c>
      <c r="AF681" s="30">
        <f>T681*AD681</f>
        <v/>
      </c>
      <c r="AG681" s="28">
        <f>IFERROR(LOOKUP(AF681,{0;0.5;5;25},{"Bajo";"Medio";"Alto";"Crítico"}),"")</f>
        <v/>
      </c>
      <c r="AH681" s="28">
        <f>IF(AG681="","",IF(OR(AG681="Crítico",AG681="Alto"),"Mitigar",IF(AG681="Medio","Mitigar","Aceptar y monitorear")))</f>
        <v/>
      </c>
      <c r="AI681" s="21" t="n"/>
      <c r="AJ681" s="21" t="n"/>
      <c r="AK681" s="20" t="n"/>
      <c r="AL681" s="77">
        <f>IFERROR(INDEX(MgAmenEfic,MATCH(SUBSTITUTE($H681,"*","-"),MgAmenClave,0)),0)</f>
        <v/>
      </c>
    </row>
    <row r="682" hidden="1" ht="60" customHeight="1" s="54">
      <c r="B682" s="59" t="inlineStr">
        <is>
          <t>R-0677</t>
        </is>
      </c>
      <c r="C682" s="59" t="inlineStr">
        <is>
          <t>TAL-08</t>
        </is>
      </c>
      <c r="D682" s="64">
        <f>IFERROR(INDEX(MgNombre,MATCH($C682,MgActId,0)),"")</f>
        <v/>
      </c>
      <c r="E682" s="64">
        <f>IFERROR(INDEX(MgProceso,MATCH($C682,MgActId,0)),"")</f>
        <v/>
      </c>
      <c r="F682" s="64">
        <f>IFERROR(INDEX(MgTipo,MATCH($C682,MgActId,0)),"")</f>
        <v/>
      </c>
      <c r="G682" s="64">
        <f>IFERROR(INDEX(MgSubtipo,MATCH($C682,MgActId,0)),"")</f>
        <v/>
      </c>
      <c r="H682" s="59" t="inlineStr">
        <is>
          <t>A.3</t>
        </is>
      </c>
      <c r="I682" s="64">
        <f>IFERROR(INDEX(MgAmenNombre,MATCH(SUBSTITUTE($H682,"*","-"),MgAmenClave,0)),"")</f>
        <v/>
      </c>
      <c r="J682" s="28">
        <f>IFERROR(INDEX(MgAmenGrupo,MATCH(SUBSTITUTE($H682,"*","-"),MgAmenClave,0)),"")</f>
        <v/>
      </c>
      <c r="K682" s="64">
        <f>IFERROR(INDEX('1. Matriz de Activos'!$Q$6:$Q$239,MATCH($C682,MgActId,0)),"")</f>
        <v/>
      </c>
      <c r="L682" s="64">
        <f>IFERROR(INDEX('1. Matriz de Activos'!$R$6:$R$239,MATCH($C682,MgActId,0)),"")</f>
        <v/>
      </c>
      <c r="M682" s="64">
        <f>IFERROR(INDEX('1. Matriz de Activos'!$S$6:$S$239,MATCH($C682,MgActId,0)),"")</f>
        <v/>
      </c>
      <c r="N682" s="28">
        <f>IFERROR(INDEX(MgAmenDegD,MATCH(SUBSTITUTE($H682,"*","-"),MgAmenClave,0)),"No aplica")</f>
        <v/>
      </c>
      <c r="O682" s="28">
        <f>IFERROR(INDEX(MgAmenDegI,MATCH(SUBSTITUTE($H682,"*","-"),MgAmenClave,0)),"No aplica")</f>
        <v/>
      </c>
      <c r="P682" s="28">
        <f>IFERROR(INDEX(MgAmenDegC,MATCH(SUBSTITUTE($H682,"*","-"),MgAmenClave,0)),"No aplica")</f>
        <v/>
      </c>
      <c r="Q682" s="29">
        <f>IFERROR(VLOOKUP(K682,MgValor,2,0)*VLOOKUP(N682,MgDeg,2,0),0)</f>
        <v/>
      </c>
      <c r="R682" s="29">
        <f>IFERROR(VLOOKUP(L682,MgValor,2,0)*VLOOKUP(O682,MgDeg,2,0),0)</f>
        <v/>
      </c>
      <c r="S682" s="29">
        <f>IFERROR(VLOOKUP(M682,MgValor,2,0)*VLOOKUP(P682,MgDeg,2,0),0)</f>
        <v/>
      </c>
      <c r="T682" s="30">
        <f>MAX(Q682:S682)</f>
        <v/>
      </c>
      <c r="U682" s="28">
        <f>IFERROR(LOOKUP(T682,{0;0.5;1.5;3;4.5},{"Despreciable";"Bajo";"Medio";"Alto";"Muy alto"}),"")</f>
        <v/>
      </c>
      <c r="V682" s="13">
        <f>IFERROR(INDEX(MgAmenFrec,MATCH(SUBSTITUTE($H682,"*","-"),MgAmenClave,0)),"")</f>
        <v/>
      </c>
      <c r="W682" s="28">
        <f>IFERROR(LOOKUP(X682,{0;0.01;0.1;1;10;100},{"Muy baja";"Muy baja";"Baja";"Media";"Alta";"Muy alta"}),"")</f>
        <v/>
      </c>
      <c r="X682" s="31">
        <f>IFERROR(VLOOKUP(V682,MgFrec,2,0),0)</f>
        <v/>
      </c>
      <c r="Y682" s="30">
        <f>T682*X682</f>
        <v/>
      </c>
      <c r="Z682" s="28">
        <f>IFERROR(LOOKUP(Y682,{0;0.5;5;25},{"Bajo";"Medio";"Alto";"Crítico"}),"")</f>
        <v/>
      </c>
      <c r="AA682" s="64">
        <f>IF(T682&gt;=3,IF(X682&gt;=1,"Zona 1 — Crítica: impacto alto y ocurre al menos una vez al año","Zona 4 — Catastrófica poco probable: impacto alto pero excepcional"),IF(AND(T682&lt;1.5,X682&lt;1),"Zona 3 — Asumible: impacto bajo y muy poco frecuente","Zona 2 — Atención: riesgo intermedio"))</f>
        <v/>
      </c>
      <c r="AB682" s="64">
        <f>IFERROR(INDEX(MgAmenCtrl,MATCH(SUBSTITUTE($H682,"*","-"),MgAmenClave,0)),"")</f>
        <v/>
      </c>
      <c r="AC682" s="20" t="n"/>
      <c r="AD682" s="31">
        <f>IFERROR($X682*(1-IF($AC682="",$AL682,VLOOKUP($AC682,MgMad,2,0))),"")</f>
        <v/>
      </c>
      <c r="AE682" s="28">
        <f>IFERROR(LOOKUP(AD682,{0;0.01;0.1;1;10;100},{"Muy baja";"Muy baja";"Baja";"Media";"Alta";"Muy alta"}),"")</f>
        <v/>
      </c>
      <c r="AF682" s="30">
        <f>T682*AD682</f>
        <v/>
      </c>
      <c r="AG682" s="28">
        <f>IFERROR(LOOKUP(AF682,{0;0.5;5;25},{"Bajo";"Medio";"Alto";"Crítico"}),"")</f>
        <v/>
      </c>
      <c r="AH682" s="28">
        <f>IF(AG682="","",IF(OR(AG682="Crítico",AG682="Alto"),"Mitigar",IF(AG682="Medio","Mitigar","Aceptar y monitorear")))</f>
        <v/>
      </c>
      <c r="AI682" s="21" t="n"/>
      <c r="AJ682" s="21" t="n"/>
      <c r="AK682" s="20" t="n"/>
      <c r="AL682" s="77">
        <f>IFERROR(INDEX(MgAmenEfic,MATCH(SUBSTITUTE($H682,"*","-"),MgAmenClave,0)),0)</f>
        <v/>
      </c>
    </row>
    <row r="683" hidden="1" ht="60" customHeight="1" s="54">
      <c r="B683" s="59" t="inlineStr">
        <is>
          <t>R-0678</t>
        </is>
      </c>
      <c r="C683" s="59" t="inlineStr">
        <is>
          <t>TAL-08</t>
        </is>
      </c>
      <c r="D683" s="64">
        <f>IFERROR(INDEX(MgNombre,MATCH($C683,MgActId,0)),"")</f>
        <v/>
      </c>
      <c r="E683" s="64">
        <f>IFERROR(INDEX(MgProceso,MATCH($C683,MgActId,0)),"")</f>
        <v/>
      </c>
      <c r="F683" s="64">
        <f>IFERROR(INDEX(MgTipo,MATCH($C683,MgActId,0)),"")</f>
        <v/>
      </c>
      <c r="G683" s="64">
        <f>IFERROR(INDEX(MgSubtipo,MATCH($C683,MgActId,0)),"")</f>
        <v/>
      </c>
      <c r="H683" s="59" t="inlineStr">
        <is>
          <t>A.4</t>
        </is>
      </c>
      <c r="I683" s="64">
        <f>IFERROR(INDEX(MgAmenNombre,MATCH(SUBSTITUTE($H683,"*","-"),MgAmenClave,0)),"")</f>
        <v/>
      </c>
      <c r="J683" s="28">
        <f>IFERROR(INDEX(MgAmenGrupo,MATCH(SUBSTITUTE($H683,"*","-"),MgAmenClave,0)),"")</f>
        <v/>
      </c>
      <c r="K683" s="64">
        <f>IFERROR(INDEX('1. Matriz de Activos'!$Q$6:$Q$239,MATCH($C683,MgActId,0)),"")</f>
        <v/>
      </c>
      <c r="L683" s="64">
        <f>IFERROR(INDEX('1. Matriz de Activos'!$R$6:$R$239,MATCH($C683,MgActId,0)),"")</f>
        <v/>
      </c>
      <c r="M683" s="64">
        <f>IFERROR(INDEX('1. Matriz de Activos'!$S$6:$S$239,MATCH($C683,MgActId,0)),"")</f>
        <v/>
      </c>
      <c r="N683" s="28">
        <f>IFERROR(INDEX(MgAmenDegD,MATCH(SUBSTITUTE($H683,"*","-"),MgAmenClave,0)),"No aplica")</f>
        <v/>
      </c>
      <c r="O683" s="28">
        <f>IFERROR(INDEX(MgAmenDegI,MATCH(SUBSTITUTE($H683,"*","-"),MgAmenClave,0)),"No aplica")</f>
        <v/>
      </c>
      <c r="P683" s="28">
        <f>IFERROR(INDEX(MgAmenDegC,MATCH(SUBSTITUTE($H683,"*","-"),MgAmenClave,0)),"No aplica")</f>
        <v/>
      </c>
      <c r="Q683" s="29">
        <f>IFERROR(VLOOKUP(K683,MgValor,2,0)*VLOOKUP(N683,MgDeg,2,0),0)</f>
        <v/>
      </c>
      <c r="R683" s="29">
        <f>IFERROR(VLOOKUP(L683,MgValor,2,0)*VLOOKUP(O683,MgDeg,2,0),0)</f>
        <v/>
      </c>
      <c r="S683" s="29">
        <f>IFERROR(VLOOKUP(M683,MgValor,2,0)*VLOOKUP(P683,MgDeg,2,0),0)</f>
        <v/>
      </c>
      <c r="T683" s="30">
        <f>MAX(Q683:S683)</f>
        <v/>
      </c>
      <c r="U683" s="28">
        <f>IFERROR(LOOKUP(T683,{0;0.5;1.5;3;4.5},{"Despreciable";"Bajo";"Medio";"Alto";"Muy alto"}),"")</f>
        <v/>
      </c>
      <c r="V683" s="13">
        <f>IFERROR(INDEX(MgAmenFrec,MATCH(SUBSTITUTE($H683,"*","-"),MgAmenClave,0)),"")</f>
        <v/>
      </c>
      <c r="W683" s="28">
        <f>IFERROR(LOOKUP(X683,{0;0.01;0.1;1;10;100},{"Muy baja";"Muy baja";"Baja";"Media";"Alta";"Muy alta"}),"")</f>
        <v/>
      </c>
      <c r="X683" s="31">
        <f>IFERROR(VLOOKUP(V683,MgFrec,2,0),0)</f>
        <v/>
      </c>
      <c r="Y683" s="30">
        <f>T683*X683</f>
        <v/>
      </c>
      <c r="Z683" s="28">
        <f>IFERROR(LOOKUP(Y683,{0;0.5;5;25},{"Bajo";"Medio";"Alto";"Crítico"}),"")</f>
        <v/>
      </c>
      <c r="AA683" s="64">
        <f>IF(T683&gt;=3,IF(X683&gt;=1,"Zona 1 — Crítica: impacto alto y ocurre al menos una vez al año","Zona 4 — Catastrófica poco probable: impacto alto pero excepcional"),IF(AND(T683&lt;1.5,X683&lt;1),"Zona 3 — Asumible: impacto bajo y muy poco frecuente","Zona 2 — Atención: riesgo intermedio"))</f>
        <v/>
      </c>
      <c r="AB683" s="64">
        <f>IFERROR(INDEX(MgAmenCtrl,MATCH(SUBSTITUTE($H683,"*","-"),MgAmenClave,0)),"")</f>
        <v/>
      </c>
      <c r="AC683" s="20" t="n"/>
      <c r="AD683" s="31">
        <f>IFERROR($X683*(1-IF($AC683="",$AL683,VLOOKUP($AC683,MgMad,2,0))),"")</f>
        <v/>
      </c>
      <c r="AE683" s="28">
        <f>IFERROR(LOOKUP(AD683,{0;0.01;0.1;1;10;100},{"Muy baja";"Muy baja";"Baja";"Media";"Alta";"Muy alta"}),"")</f>
        <v/>
      </c>
      <c r="AF683" s="30">
        <f>T683*AD683</f>
        <v/>
      </c>
      <c r="AG683" s="28">
        <f>IFERROR(LOOKUP(AF683,{0;0.5;5;25},{"Bajo";"Medio";"Alto";"Crítico"}),"")</f>
        <v/>
      </c>
      <c r="AH683" s="28">
        <f>IF(AG683="","",IF(OR(AG683="Crítico",AG683="Alto"),"Mitigar",IF(AG683="Medio","Mitigar","Aceptar y monitorear")))</f>
        <v/>
      </c>
      <c r="AI683" s="21" t="n"/>
      <c r="AJ683" s="21" t="n"/>
      <c r="AK683" s="20" t="n"/>
      <c r="AL683" s="77">
        <f>IFERROR(INDEX(MgAmenEfic,MATCH(SUBSTITUTE($H683,"*","-"),MgAmenClave,0)),0)</f>
        <v/>
      </c>
    </row>
    <row r="684" hidden="1" ht="75" customHeight="1" s="54">
      <c r="B684" s="59" t="inlineStr">
        <is>
          <t>R-0679</t>
        </is>
      </c>
      <c r="C684" s="59" t="inlineStr">
        <is>
          <t>TAL-08</t>
        </is>
      </c>
      <c r="D684" s="64">
        <f>IFERROR(INDEX(MgNombre,MATCH($C684,MgActId,0)),"")</f>
        <v/>
      </c>
      <c r="E684" s="64">
        <f>IFERROR(INDEX(MgProceso,MATCH($C684,MgActId,0)),"")</f>
        <v/>
      </c>
      <c r="F684" s="64">
        <f>IFERROR(INDEX(MgTipo,MATCH($C684,MgActId,0)),"")</f>
        <v/>
      </c>
      <c r="G684" s="64">
        <f>IFERROR(INDEX(MgSubtipo,MATCH($C684,MgActId,0)),"")</f>
        <v/>
      </c>
      <c r="H684" s="59" t="inlineStr">
        <is>
          <t>A.5</t>
        </is>
      </c>
      <c r="I684" s="64">
        <f>IFERROR(INDEX(MgAmenNombre,MATCH(SUBSTITUTE($H684,"*","-"),MgAmenClave,0)),"")</f>
        <v/>
      </c>
      <c r="J684" s="28">
        <f>IFERROR(INDEX(MgAmenGrupo,MATCH(SUBSTITUTE($H684,"*","-"),MgAmenClave,0)),"")</f>
        <v/>
      </c>
      <c r="K684" s="64">
        <f>IFERROR(INDEX('1. Matriz de Activos'!$Q$6:$Q$239,MATCH($C684,MgActId,0)),"")</f>
        <v/>
      </c>
      <c r="L684" s="64">
        <f>IFERROR(INDEX('1. Matriz de Activos'!$R$6:$R$239,MATCH($C684,MgActId,0)),"")</f>
        <v/>
      </c>
      <c r="M684" s="64">
        <f>IFERROR(INDEX('1. Matriz de Activos'!$S$6:$S$239,MATCH($C684,MgActId,0)),"")</f>
        <v/>
      </c>
      <c r="N684" s="28">
        <f>IFERROR(INDEX(MgAmenDegD,MATCH(SUBSTITUTE($H684,"*","-"),MgAmenClave,0)),"No aplica")</f>
        <v/>
      </c>
      <c r="O684" s="28">
        <f>IFERROR(INDEX(MgAmenDegI,MATCH(SUBSTITUTE($H684,"*","-"),MgAmenClave,0)),"No aplica")</f>
        <v/>
      </c>
      <c r="P684" s="28">
        <f>IFERROR(INDEX(MgAmenDegC,MATCH(SUBSTITUTE($H684,"*","-"),MgAmenClave,0)),"No aplica")</f>
        <v/>
      </c>
      <c r="Q684" s="29">
        <f>IFERROR(VLOOKUP(K684,MgValor,2,0)*VLOOKUP(N684,MgDeg,2,0),0)</f>
        <v/>
      </c>
      <c r="R684" s="29">
        <f>IFERROR(VLOOKUP(L684,MgValor,2,0)*VLOOKUP(O684,MgDeg,2,0),0)</f>
        <v/>
      </c>
      <c r="S684" s="29">
        <f>IFERROR(VLOOKUP(M684,MgValor,2,0)*VLOOKUP(P684,MgDeg,2,0),0)</f>
        <v/>
      </c>
      <c r="T684" s="30">
        <f>MAX(Q684:S684)</f>
        <v/>
      </c>
      <c r="U684" s="28">
        <f>IFERROR(LOOKUP(T684,{0;0.5;1.5;3;4.5},{"Despreciable";"Bajo";"Medio";"Alto";"Muy alto"}),"")</f>
        <v/>
      </c>
      <c r="V684" s="13">
        <f>IFERROR(INDEX(MgAmenFrec,MATCH(SUBSTITUTE($H684,"*","-"),MgAmenClave,0)),"")</f>
        <v/>
      </c>
      <c r="W684" s="28">
        <f>IFERROR(LOOKUP(X684,{0;0.01;0.1;1;10;100},{"Muy baja";"Muy baja";"Baja";"Media";"Alta";"Muy alta"}),"")</f>
        <v/>
      </c>
      <c r="X684" s="31">
        <f>IFERROR(VLOOKUP(V684,MgFrec,2,0),0)</f>
        <v/>
      </c>
      <c r="Y684" s="30">
        <f>T684*X684</f>
        <v/>
      </c>
      <c r="Z684" s="28">
        <f>IFERROR(LOOKUP(Y684,{0;0.5;5;25},{"Bajo";"Medio";"Alto";"Crítico"}),"")</f>
        <v/>
      </c>
      <c r="AA684" s="64">
        <f>IF(T684&gt;=3,IF(X684&gt;=1,"Zona 1 — Crítica: impacto alto y ocurre al menos una vez al año","Zona 4 — Catastrófica poco probable: impacto alto pero excepcional"),IF(AND(T684&lt;1.5,X684&lt;1),"Zona 3 — Asumible: impacto bajo y muy poco frecuente","Zona 2 — Atención: riesgo intermedio"))</f>
        <v/>
      </c>
      <c r="AB684" s="64">
        <f>IFERROR(INDEX(MgAmenCtrl,MATCH(SUBSTITUTE($H684,"*","-"),MgAmenClave,0)),"")</f>
        <v/>
      </c>
      <c r="AC684" s="20" t="n"/>
      <c r="AD684" s="31">
        <f>IFERROR($X684*(1-IF($AC684="",$AL684,VLOOKUP($AC684,MgMad,2,0))),"")</f>
        <v/>
      </c>
      <c r="AE684" s="28">
        <f>IFERROR(LOOKUP(AD684,{0;0.01;0.1;1;10;100},{"Muy baja";"Muy baja";"Baja";"Media";"Alta";"Muy alta"}),"")</f>
        <v/>
      </c>
      <c r="AF684" s="30">
        <f>T684*AD684</f>
        <v/>
      </c>
      <c r="AG684" s="28">
        <f>IFERROR(LOOKUP(AF684,{0;0.5;5;25},{"Bajo";"Medio";"Alto";"Crítico"}),"")</f>
        <v/>
      </c>
      <c r="AH684" s="28">
        <f>IF(AG684="","",IF(OR(AG684="Crítico",AG684="Alto"),"Mitigar",IF(AG684="Medio","Mitigar","Aceptar y monitorear")))</f>
        <v/>
      </c>
      <c r="AI684" s="21" t="n"/>
      <c r="AJ684" s="21" t="n"/>
      <c r="AK684" s="20" t="n"/>
      <c r="AL684" s="77">
        <f>IFERROR(INDEX(MgAmenEfic,MATCH(SUBSTITUTE($H684,"*","-"),MgAmenClave,0)),0)</f>
        <v/>
      </c>
    </row>
    <row r="685" hidden="1" ht="105" customHeight="1" s="54">
      <c r="B685" s="59" t="inlineStr">
        <is>
          <t>R-0680</t>
        </is>
      </c>
      <c r="C685" s="59" t="inlineStr">
        <is>
          <t>TAL-08</t>
        </is>
      </c>
      <c r="D685" s="64">
        <f>IFERROR(INDEX(MgNombre,MATCH($C685,MgActId,0)),"")</f>
        <v/>
      </c>
      <c r="E685" s="64">
        <f>IFERROR(INDEX(MgProceso,MATCH($C685,MgActId,0)),"")</f>
        <v/>
      </c>
      <c r="F685" s="64">
        <f>IFERROR(INDEX(MgTipo,MATCH($C685,MgActId,0)),"")</f>
        <v/>
      </c>
      <c r="G685" s="64">
        <f>IFERROR(INDEX(MgSubtipo,MATCH($C685,MgActId,0)),"")</f>
        <v/>
      </c>
      <c r="H685" s="59" t="inlineStr">
        <is>
          <t>A.6</t>
        </is>
      </c>
      <c r="I685" s="64">
        <f>IFERROR(INDEX(MgAmenNombre,MATCH(SUBSTITUTE($H685,"*","-"),MgAmenClave,0)),"")</f>
        <v/>
      </c>
      <c r="J685" s="28">
        <f>IFERROR(INDEX(MgAmenGrupo,MATCH(SUBSTITUTE($H685,"*","-"),MgAmenClave,0)),"")</f>
        <v/>
      </c>
      <c r="K685" s="64">
        <f>IFERROR(INDEX('1. Matriz de Activos'!$Q$6:$Q$239,MATCH($C685,MgActId,0)),"")</f>
        <v/>
      </c>
      <c r="L685" s="64">
        <f>IFERROR(INDEX('1. Matriz de Activos'!$R$6:$R$239,MATCH($C685,MgActId,0)),"")</f>
        <v/>
      </c>
      <c r="M685" s="64">
        <f>IFERROR(INDEX('1. Matriz de Activos'!$S$6:$S$239,MATCH($C685,MgActId,0)),"")</f>
        <v/>
      </c>
      <c r="N685" s="28">
        <f>IFERROR(INDEX(MgAmenDegD,MATCH(SUBSTITUTE($H685,"*","-"),MgAmenClave,0)),"No aplica")</f>
        <v/>
      </c>
      <c r="O685" s="28">
        <f>IFERROR(INDEX(MgAmenDegI,MATCH(SUBSTITUTE($H685,"*","-"),MgAmenClave,0)),"No aplica")</f>
        <v/>
      </c>
      <c r="P685" s="28">
        <f>IFERROR(INDEX(MgAmenDegC,MATCH(SUBSTITUTE($H685,"*","-"),MgAmenClave,0)),"No aplica")</f>
        <v/>
      </c>
      <c r="Q685" s="29">
        <f>IFERROR(VLOOKUP(K685,MgValor,2,0)*VLOOKUP(N685,MgDeg,2,0),0)</f>
        <v/>
      </c>
      <c r="R685" s="29">
        <f>IFERROR(VLOOKUP(L685,MgValor,2,0)*VLOOKUP(O685,MgDeg,2,0),0)</f>
        <v/>
      </c>
      <c r="S685" s="29">
        <f>IFERROR(VLOOKUP(M685,MgValor,2,0)*VLOOKUP(P685,MgDeg,2,0),0)</f>
        <v/>
      </c>
      <c r="T685" s="30">
        <f>MAX(Q685:S685)</f>
        <v/>
      </c>
      <c r="U685" s="28">
        <f>IFERROR(LOOKUP(T685,{0;0.5;1.5;3;4.5},{"Despreciable";"Bajo";"Medio";"Alto";"Muy alto"}),"")</f>
        <v/>
      </c>
      <c r="V685" s="13">
        <f>IFERROR(INDEX(MgAmenFrec,MATCH(SUBSTITUTE($H685,"*","-"),MgAmenClave,0)),"")</f>
        <v/>
      </c>
      <c r="W685" s="28">
        <f>IFERROR(LOOKUP(X685,{0;0.01;0.1;1;10;100},{"Muy baja";"Muy baja";"Baja";"Media";"Alta";"Muy alta"}),"")</f>
        <v/>
      </c>
      <c r="X685" s="31">
        <f>IFERROR(VLOOKUP(V685,MgFrec,2,0),0)</f>
        <v/>
      </c>
      <c r="Y685" s="30">
        <f>T685*X685</f>
        <v/>
      </c>
      <c r="Z685" s="28">
        <f>IFERROR(LOOKUP(Y685,{0;0.5;5;25},{"Bajo";"Medio";"Alto";"Crítico"}),"")</f>
        <v/>
      </c>
      <c r="AA685" s="64">
        <f>IF(T685&gt;=3,IF(X685&gt;=1,"Zona 1 — Crítica: impacto alto y ocurre al menos una vez al año","Zona 4 — Catastrófica poco probable: impacto alto pero excepcional"),IF(AND(T685&lt;1.5,X685&lt;1),"Zona 3 — Asumible: impacto bajo y muy poco frecuente","Zona 2 — Atención: riesgo intermedio"))</f>
        <v/>
      </c>
      <c r="AB685" s="64">
        <f>IFERROR(INDEX(MgAmenCtrl,MATCH(SUBSTITUTE($H685,"*","-"),MgAmenClave,0)),"")</f>
        <v/>
      </c>
      <c r="AC685" s="20" t="n"/>
      <c r="AD685" s="31">
        <f>IFERROR($X685*(1-IF($AC685="",$AL685,VLOOKUP($AC685,MgMad,2,0))),"")</f>
        <v/>
      </c>
      <c r="AE685" s="28">
        <f>IFERROR(LOOKUP(AD685,{0;0.01;0.1;1;10;100},{"Muy baja";"Muy baja";"Baja";"Media";"Alta";"Muy alta"}),"")</f>
        <v/>
      </c>
      <c r="AF685" s="30">
        <f>T685*AD685</f>
        <v/>
      </c>
      <c r="AG685" s="28">
        <f>IFERROR(LOOKUP(AF685,{0;0.5;5;25},{"Bajo";"Medio";"Alto";"Crítico"}),"")</f>
        <v/>
      </c>
      <c r="AH685" s="28">
        <f>IF(AG685="","",IF(OR(AG685="Crítico",AG685="Alto"),"Mitigar",IF(AG685="Medio","Mitigar","Aceptar y monitorear")))</f>
        <v/>
      </c>
      <c r="AI685" s="21" t="n"/>
      <c r="AJ685" s="21" t="n"/>
      <c r="AK685" s="20" t="n"/>
      <c r="AL685" s="77">
        <f>IFERROR(INDEX(MgAmenEfic,MATCH(SUBSTITUTE($H685,"*","-"),MgAmenClave,0)),0)</f>
        <v/>
      </c>
    </row>
    <row r="686" hidden="1" ht="120" customHeight="1" s="54">
      <c r="B686" s="59" t="inlineStr">
        <is>
          <t>R-0681</t>
        </is>
      </c>
      <c r="C686" s="59" t="inlineStr">
        <is>
          <t>TAL-08</t>
        </is>
      </c>
      <c r="D686" s="64">
        <f>IFERROR(INDEX(MgNombre,MATCH($C686,MgActId,0)),"")</f>
        <v/>
      </c>
      <c r="E686" s="64">
        <f>IFERROR(INDEX(MgProceso,MATCH($C686,MgActId,0)),"")</f>
        <v/>
      </c>
      <c r="F686" s="64">
        <f>IFERROR(INDEX(MgTipo,MATCH($C686,MgActId,0)),"")</f>
        <v/>
      </c>
      <c r="G686" s="64">
        <f>IFERROR(INDEX(MgSubtipo,MATCH($C686,MgActId,0)),"")</f>
        <v/>
      </c>
      <c r="H686" s="59" t="inlineStr">
        <is>
          <t>A.11</t>
        </is>
      </c>
      <c r="I686" s="64">
        <f>IFERROR(INDEX(MgAmenNombre,MATCH(SUBSTITUTE($H686,"*","-"),MgAmenClave,0)),"")</f>
        <v/>
      </c>
      <c r="J686" s="28">
        <f>IFERROR(INDEX(MgAmenGrupo,MATCH(SUBSTITUTE($H686,"*","-"),MgAmenClave,0)),"")</f>
        <v/>
      </c>
      <c r="K686" s="64">
        <f>IFERROR(INDEX('1. Matriz de Activos'!$Q$6:$Q$239,MATCH($C686,MgActId,0)),"")</f>
        <v/>
      </c>
      <c r="L686" s="64">
        <f>IFERROR(INDEX('1. Matriz de Activos'!$R$6:$R$239,MATCH($C686,MgActId,0)),"")</f>
        <v/>
      </c>
      <c r="M686" s="64">
        <f>IFERROR(INDEX('1. Matriz de Activos'!$S$6:$S$239,MATCH($C686,MgActId,0)),"")</f>
        <v/>
      </c>
      <c r="N686" s="28">
        <f>IFERROR(INDEX(MgAmenDegD,MATCH(SUBSTITUTE($H686,"*","-"),MgAmenClave,0)),"No aplica")</f>
        <v/>
      </c>
      <c r="O686" s="28">
        <f>IFERROR(INDEX(MgAmenDegI,MATCH(SUBSTITUTE($H686,"*","-"),MgAmenClave,0)),"No aplica")</f>
        <v/>
      </c>
      <c r="P686" s="28">
        <f>IFERROR(INDEX(MgAmenDegC,MATCH(SUBSTITUTE($H686,"*","-"),MgAmenClave,0)),"No aplica")</f>
        <v/>
      </c>
      <c r="Q686" s="29">
        <f>IFERROR(VLOOKUP(K686,MgValor,2,0)*VLOOKUP(N686,MgDeg,2,0),0)</f>
        <v/>
      </c>
      <c r="R686" s="29">
        <f>IFERROR(VLOOKUP(L686,MgValor,2,0)*VLOOKUP(O686,MgDeg,2,0),0)</f>
        <v/>
      </c>
      <c r="S686" s="29">
        <f>IFERROR(VLOOKUP(M686,MgValor,2,0)*VLOOKUP(P686,MgDeg,2,0),0)</f>
        <v/>
      </c>
      <c r="T686" s="30">
        <f>MAX(Q686:S686)</f>
        <v/>
      </c>
      <c r="U686" s="28">
        <f>IFERROR(LOOKUP(T686,{0;0.5;1.5;3;4.5},{"Despreciable";"Bajo";"Medio";"Alto";"Muy alto"}),"")</f>
        <v/>
      </c>
      <c r="V686" s="13">
        <f>IFERROR(INDEX(MgAmenFrec,MATCH(SUBSTITUTE($H686,"*","-"),MgAmenClave,0)),"")</f>
        <v/>
      </c>
      <c r="W686" s="28">
        <f>IFERROR(LOOKUP(X686,{0;0.01;0.1;1;10;100},{"Muy baja";"Muy baja";"Baja";"Media";"Alta";"Muy alta"}),"")</f>
        <v/>
      </c>
      <c r="X686" s="31">
        <f>IFERROR(VLOOKUP(V686,MgFrec,2,0),0)</f>
        <v/>
      </c>
      <c r="Y686" s="30">
        <f>T686*X686</f>
        <v/>
      </c>
      <c r="Z686" s="28">
        <f>IFERROR(LOOKUP(Y686,{0;0.5;5;25},{"Bajo";"Medio";"Alto";"Crítico"}),"")</f>
        <v/>
      </c>
      <c r="AA686" s="64">
        <f>IF(T686&gt;=3,IF(X686&gt;=1,"Zona 1 — Crítica: impacto alto y ocurre al menos una vez al año","Zona 4 — Catastrófica poco probable: impacto alto pero excepcional"),IF(AND(T686&lt;1.5,X686&lt;1),"Zona 3 — Asumible: impacto bajo y muy poco frecuente","Zona 2 — Atención: riesgo intermedio"))</f>
        <v/>
      </c>
      <c r="AB686" s="64">
        <f>IFERROR(INDEX(MgAmenCtrl,MATCH(SUBSTITUTE($H686,"*","-"),MgAmenClave,0)),"")</f>
        <v/>
      </c>
      <c r="AC686" s="20" t="n"/>
      <c r="AD686" s="31">
        <f>IFERROR($X686*(1-IF($AC686="",$AL686,VLOOKUP($AC686,MgMad,2,0))),"")</f>
        <v/>
      </c>
      <c r="AE686" s="28">
        <f>IFERROR(LOOKUP(AD686,{0;0.01;0.1;1;10;100},{"Muy baja";"Muy baja";"Baja";"Media";"Alta";"Muy alta"}),"")</f>
        <v/>
      </c>
      <c r="AF686" s="30">
        <f>T686*AD686</f>
        <v/>
      </c>
      <c r="AG686" s="28">
        <f>IFERROR(LOOKUP(AF686,{0;0.5;5;25},{"Bajo";"Medio";"Alto";"Crítico"}),"")</f>
        <v/>
      </c>
      <c r="AH686" s="28">
        <f>IF(AG686="","",IF(OR(AG686="Crítico",AG686="Alto"),"Mitigar",IF(AG686="Medio","Mitigar","Aceptar y monitorear")))</f>
        <v/>
      </c>
      <c r="AI686" s="21" t="n"/>
      <c r="AJ686" s="21" t="n"/>
      <c r="AK686" s="20" t="n"/>
      <c r="AL686" s="77">
        <f>IFERROR(INDEX(MgAmenEfic,MATCH(SUBSTITUTE($H686,"*","-"),MgAmenClave,0)),0)</f>
        <v/>
      </c>
    </row>
    <row r="687" hidden="1" ht="90" customHeight="1" s="54">
      <c r="B687" s="59" t="inlineStr">
        <is>
          <t>R-0682</t>
        </is>
      </c>
      <c r="C687" s="59" t="inlineStr">
        <is>
          <t>TAL-08</t>
        </is>
      </c>
      <c r="D687" s="64">
        <f>IFERROR(INDEX(MgNombre,MATCH($C687,MgActId,0)),"")</f>
        <v/>
      </c>
      <c r="E687" s="64">
        <f>IFERROR(INDEX(MgProceso,MATCH($C687,MgActId,0)),"")</f>
        <v/>
      </c>
      <c r="F687" s="64">
        <f>IFERROR(INDEX(MgTipo,MATCH($C687,MgActId,0)),"")</f>
        <v/>
      </c>
      <c r="G687" s="64">
        <f>IFERROR(INDEX(MgSubtipo,MATCH($C687,MgActId,0)),"")</f>
        <v/>
      </c>
      <c r="H687" s="59" t="inlineStr">
        <is>
          <t>A.13</t>
        </is>
      </c>
      <c r="I687" s="64">
        <f>IFERROR(INDEX(MgAmenNombre,MATCH(SUBSTITUTE($H687,"*","-"),MgAmenClave,0)),"")</f>
        <v/>
      </c>
      <c r="J687" s="28">
        <f>IFERROR(INDEX(MgAmenGrupo,MATCH(SUBSTITUTE($H687,"*","-"),MgAmenClave,0)),"")</f>
        <v/>
      </c>
      <c r="K687" s="64">
        <f>IFERROR(INDEX('1. Matriz de Activos'!$Q$6:$Q$239,MATCH($C687,MgActId,0)),"")</f>
        <v/>
      </c>
      <c r="L687" s="64">
        <f>IFERROR(INDEX('1. Matriz de Activos'!$R$6:$R$239,MATCH($C687,MgActId,0)),"")</f>
        <v/>
      </c>
      <c r="M687" s="64">
        <f>IFERROR(INDEX('1. Matriz de Activos'!$S$6:$S$239,MATCH($C687,MgActId,0)),"")</f>
        <v/>
      </c>
      <c r="N687" s="28">
        <f>IFERROR(INDEX(MgAmenDegD,MATCH(SUBSTITUTE($H687,"*","-"),MgAmenClave,0)),"No aplica")</f>
        <v/>
      </c>
      <c r="O687" s="28">
        <f>IFERROR(INDEX(MgAmenDegI,MATCH(SUBSTITUTE($H687,"*","-"),MgAmenClave,0)),"No aplica")</f>
        <v/>
      </c>
      <c r="P687" s="28">
        <f>IFERROR(INDEX(MgAmenDegC,MATCH(SUBSTITUTE($H687,"*","-"),MgAmenClave,0)),"No aplica")</f>
        <v/>
      </c>
      <c r="Q687" s="29">
        <f>IFERROR(VLOOKUP(K687,MgValor,2,0)*VLOOKUP(N687,MgDeg,2,0),0)</f>
        <v/>
      </c>
      <c r="R687" s="29">
        <f>IFERROR(VLOOKUP(L687,MgValor,2,0)*VLOOKUP(O687,MgDeg,2,0),0)</f>
        <v/>
      </c>
      <c r="S687" s="29">
        <f>IFERROR(VLOOKUP(M687,MgValor,2,0)*VLOOKUP(P687,MgDeg,2,0),0)</f>
        <v/>
      </c>
      <c r="T687" s="30">
        <f>MAX(Q687:S687)</f>
        <v/>
      </c>
      <c r="U687" s="28">
        <f>IFERROR(LOOKUP(T687,{0;0.5;1.5;3;4.5},{"Despreciable";"Bajo";"Medio";"Alto";"Muy alto"}),"")</f>
        <v/>
      </c>
      <c r="V687" s="13">
        <f>IFERROR(INDEX(MgAmenFrec,MATCH(SUBSTITUTE($H687,"*","-"),MgAmenClave,0)),"")</f>
        <v/>
      </c>
      <c r="W687" s="28">
        <f>IFERROR(LOOKUP(X687,{0;0.01;0.1;1;10;100},{"Muy baja";"Muy baja";"Baja";"Media";"Alta";"Muy alta"}),"")</f>
        <v/>
      </c>
      <c r="X687" s="31">
        <f>IFERROR(VLOOKUP(V687,MgFrec,2,0),0)</f>
        <v/>
      </c>
      <c r="Y687" s="30">
        <f>T687*X687</f>
        <v/>
      </c>
      <c r="Z687" s="28">
        <f>IFERROR(LOOKUP(Y687,{0;0.5;5;25},{"Bajo";"Medio";"Alto";"Crítico"}),"")</f>
        <v/>
      </c>
      <c r="AA687" s="64">
        <f>IF(T687&gt;=3,IF(X687&gt;=1,"Zona 1 — Crítica: impacto alto y ocurre al menos una vez al año","Zona 4 — Catastrófica poco probable: impacto alto pero excepcional"),IF(AND(T687&lt;1.5,X687&lt;1),"Zona 3 — Asumible: impacto bajo y muy poco frecuente","Zona 2 — Atención: riesgo intermedio"))</f>
        <v/>
      </c>
      <c r="AB687" s="64">
        <f>IFERROR(INDEX(MgAmenCtrl,MATCH(SUBSTITUTE($H687,"*","-"),MgAmenClave,0)),"")</f>
        <v/>
      </c>
      <c r="AC687" s="20" t="n"/>
      <c r="AD687" s="31">
        <f>IFERROR($X687*(1-IF($AC687="",$AL687,VLOOKUP($AC687,MgMad,2,0))),"")</f>
        <v/>
      </c>
      <c r="AE687" s="28">
        <f>IFERROR(LOOKUP(AD687,{0;0.01;0.1;1;10;100},{"Muy baja";"Muy baja";"Baja";"Media";"Alta";"Muy alta"}),"")</f>
        <v/>
      </c>
      <c r="AF687" s="30">
        <f>T687*AD687</f>
        <v/>
      </c>
      <c r="AG687" s="28">
        <f>IFERROR(LOOKUP(AF687,{0;0.5;5;25},{"Bajo";"Medio";"Alto";"Crítico"}),"")</f>
        <v/>
      </c>
      <c r="AH687" s="28">
        <f>IF(AG687="","",IF(OR(AG687="Crítico",AG687="Alto"),"Mitigar",IF(AG687="Medio","Mitigar","Aceptar y monitorear")))</f>
        <v/>
      </c>
      <c r="AI687" s="21" t="n"/>
      <c r="AJ687" s="21" t="n"/>
      <c r="AK687" s="20" t="n"/>
      <c r="AL687" s="77">
        <f>IFERROR(INDEX(MgAmenEfic,MATCH(SUBSTITUTE($H687,"*","-"),MgAmenClave,0)),0)</f>
        <v/>
      </c>
    </row>
    <row r="688" hidden="1" ht="60" customHeight="1" s="54">
      <c r="B688" s="59" t="inlineStr">
        <is>
          <t>R-0683</t>
        </is>
      </c>
      <c r="C688" s="59" t="inlineStr">
        <is>
          <t>TAL-08</t>
        </is>
      </c>
      <c r="D688" s="64">
        <f>IFERROR(INDEX(MgNombre,MATCH($C688,MgActId,0)),"")</f>
        <v/>
      </c>
      <c r="E688" s="64">
        <f>IFERROR(INDEX(MgProceso,MATCH($C688,MgActId,0)),"")</f>
        <v/>
      </c>
      <c r="F688" s="64">
        <f>IFERROR(INDEX(MgTipo,MATCH($C688,MgActId,0)),"")</f>
        <v/>
      </c>
      <c r="G688" s="64">
        <f>IFERROR(INDEX(MgSubtipo,MATCH($C688,MgActId,0)),"")</f>
        <v/>
      </c>
      <c r="H688" s="59" t="inlineStr">
        <is>
          <t>A.15</t>
        </is>
      </c>
      <c r="I688" s="64">
        <f>IFERROR(INDEX(MgAmenNombre,MATCH(SUBSTITUTE($H688,"*","-"),MgAmenClave,0)),"")</f>
        <v/>
      </c>
      <c r="J688" s="28">
        <f>IFERROR(INDEX(MgAmenGrupo,MATCH(SUBSTITUTE($H688,"*","-"),MgAmenClave,0)),"")</f>
        <v/>
      </c>
      <c r="K688" s="64">
        <f>IFERROR(INDEX('1. Matriz de Activos'!$Q$6:$Q$239,MATCH($C688,MgActId,0)),"")</f>
        <v/>
      </c>
      <c r="L688" s="64">
        <f>IFERROR(INDEX('1. Matriz de Activos'!$R$6:$R$239,MATCH($C688,MgActId,0)),"")</f>
        <v/>
      </c>
      <c r="M688" s="64">
        <f>IFERROR(INDEX('1. Matriz de Activos'!$S$6:$S$239,MATCH($C688,MgActId,0)),"")</f>
        <v/>
      </c>
      <c r="N688" s="28">
        <f>IFERROR(INDEX(MgAmenDegD,MATCH(SUBSTITUTE($H688,"*","-"),MgAmenClave,0)),"No aplica")</f>
        <v/>
      </c>
      <c r="O688" s="28">
        <f>IFERROR(INDEX(MgAmenDegI,MATCH(SUBSTITUTE($H688,"*","-"),MgAmenClave,0)),"No aplica")</f>
        <v/>
      </c>
      <c r="P688" s="28">
        <f>IFERROR(INDEX(MgAmenDegC,MATCH(SUBSTITUTE($H688,"*","-"),MgAmenClave,0)),"No aplica")</f>
        <v/>
      </c>
      <c r="Q688" s="29">
        <f>IFERROR(VLOOKUP(K688,MgValor,2,0)*VLOOKUP(N688,MgDeg,2,0),0)</f>
        <v/>
      </c>
      <c r="R688" s="29">
        <f>IFERROR(VLOOKUP(L688,MgValor,2,0)*VLOOKUP(O688,MgDeg,2,0),0)</f>
        <v/>
      </c>
      <c r="S688" s="29">
        <f>IFERROR(VLOOKUP(M688,MgValor,2,0)*VLOOKUP(P688,MgDeg,2,0),0)</f>
        <v/>
      </c>
      <c r="T688" s="30">
        <f>MAX(Q688:S688)</f>
        <v/>
      </c>
      <c r="U688" s="28">
        <f>IFERROR(LOOKUP(T688,{0;0.5;1.5;3;4.5},{"Despreciable";"Bajo";"Medio";"Alto";"Muy alto"}),"")</f>
        <v/>
      </c>
      <c r="V688" s="13">
        <f>IFERROR(INDEX(MgAmenFrec,MATCH(SUBSTITUTE($H688,"*","-"),MgAmenClave,0)),"")</f>
        <v/>
      </c>
      <c r="W688" s="28">
        <f>IFERROR(LOOKUP(X688,{0;0.01;0.1;1;10;100},{"Muy baja";"Muy baja";"Baja";"Media";"Alta";"Muy alta"}),"")</f>
        <v/>
      </c>
      <c r="X688" s="31">
        <f>IFERROR(VLOOKUP(V688,MgFrec,2,0),0)</f>
        <v/>
      </c>
      <c r="Y688" s="30">
        <f>T688*X688</f>
        <v/>
      </c>
      <c r="Z688" s="28">
        <f>IFERROR(LOOKUP(Y688,{0;0.5;5;25},{"Bajo";"Medio";"Alto";"Crítico"}),"")</f>
        <v/>
      </c>
      <c r="AA688" s="64">
        <f>IF(T688&gt;=3,IF(X688&gt;=1,"Zona 1 — Crítica: impacto alto y ocurre al menos una vez al año","Zona 4 — Catastrófica poco probable: impacto alto pero excepcional"),IF(AND(T688&lt;1.5,X688&lt;1),"Zona 3 — Asumible: impacto bajo y muy poco frecuente","Zona 2 — Atención: riesgo intermedio"))</f>
        <v/>
      </c>
      <c r="AB688" s="64">
        <f>IFERROR(INDEX(MgAmenCtrl,MATCH(SUBSTITUTE($H688,"*","-"),MgAmenClave,0)),"")</f>
        <v/>
      </c>
      <c r="AC688" s="20" t="n"/>
      <c r="AD688" s="31">
        <f>IFERROR($X688*(1-IF($AC688="",$AL688,VLOOKUP($AC688,MgMad,2,0))),"")</f>
        <v/>
      </c>
      <c r="AE688" s="28">
        <f>IFERROR(LOOKUP(AD688,{0;0.01;0.1;1;10;100},{"Muy baja";"Muy baja";"Baja";"Media";"Alta";"Muy alta"}),"")</f>
        <v/>
      </c>
      <c r="AF688" s="30">
        <f>T688*AD688</f>
        <v/>
      </c>
      <c r="AG688" s="28">
        <f>IFERROR(LOOKUP(AF688,{0;0.5;5;25},{"Bajo";"Medio";"Alto";"Crítico"}),"")</f>
        <v/>
      </c>
      <c r="AH688" s="28">
        <f>IF(AG688="","",IF(OR(AG688="Crítico",AG688="Alto"),"Mitigar",IF(AG688="Medio","Mitigar","Aceptar y monitorear")))</f>
        <v/>
      </c>
      <c r="AI688" s="21" t="n"/>
      <c r="AJ688" s="21" t="n"/>
      <c r="AK688" s="20" t="n"/>
      <c r="AL688" s="77">
        <f>IFERROR(INDEX(MgAmenEfic,MATCH(SUBSTITUTE($H688,"*","-"),MgAmenClave,0)),0)</f>
        <v/>
      </c>
    </row>
    <row r="689" hidden="1" ht="60" customHeight="1" s="54">
      <c r="B689" s="59" t="inlineStr">
        <is>
          <t>R-0684</t>
        </is>
      </c>
      <c r="C689" s="59" t="inlineStr">
        <is>
          <t>TAL-08</t>
        </is>
      </c>
      <c r="D689" s="64">
        <f>IFERROR(INDEX(MgNombre,MATCH($C689,MgActId,0)),"")</f>
        <v/>
      </c>
      <c r="E689" s="64">
        <f>IFERROR(INDEX(MgProceso,MATCH($C689,MgActId,0)),"")</f>
        <v/>
      </c>
      <c r="F689" s="64">
        <f>IFERROR(INDEX(MgTipo,MATCH($C689,MgActId,0)),"")</f>
        <v/>
      </c>
      <c r="G689" s="64">
        <f>IFERROR(INDEX(MgSubtipo,MATCH($C689,MgActId,0)),"")</f>
        <v/>
      </c>
      <c r="H689" s="59" t="inlineStr">
        <is>
          <t>A.18</t>
        </is>
      </c>
      <c r="I689" s="64">
        <f>IFERROR(INDEX(MgAmenNombre,MATCH(SUBSTITUTE($H689,"*","-"),MgAmenClave,0)),"")</f>
        <v/>
      </c>
      <c r="J689" s="28">
        <f>IFERROR(INDEX(MgAmenGrupo,MATCH(SUBSTITUTE($H689,"*","-"),MgAmenClave,0)),"")</f>
        <v/>
      </c>
      <c r="K689" s="64">
        <f>IFERROR(INDEX('1. Matriz de Activos'!$Q$6:$Q$239,MATCH($C689,MgActId,0)),"")</f>
        <v/>
      </c>
      <c r="L689" s="64">
        <f>IFERROR(INDEX('1. Matriz de Activos'!$R$6:$R$239,MATCH($C689,MgActId,0)),"")</f>
        <v/>
      </c>
      <c r="M689" s="64">
        <f>IFERROR(INDEX('1. Matriz de Activos'!$S$6:$S$239,MATCH($C689,MgActId,0)),"")</f>
        <v/>
      </c>
      <c r="N689" s="28">
        <f>IFERROR(INDEX(MgAmenDegD,MATCH(SUBSTITUTE($H689,"*","-"),MgAmenClave,0)),"No aplica")</f>
        <v/>
      </c>
      <c r="O689" s="28">
        <f>IFERROR(INDEX(MgAmenDegI,MATCH(SUBSTITUTE($H689,"*","-"),MgAmenClave,0)),"No aplica")</f>
        <v/>
      </c>
      <c r="P689" s="28">
        <f>IFERROR(INDEX(MgAmenDegC,MATCH(SUBSTITUTE($H689,"*","-"),MgAmenClave,0)),"No aplica")</f>
        <v/>
      </c>
      <c r="Q689" s="29">
        <f>IFERROR(VLOOKUP(K689,MgValor,2,0)*VLOOKUP(N689,MgDeg,2,0),0)</f>
        <v/>
      </c>
      <c r="R689" s="29">
        <f>IFERROR(VLOOKUP(L689,MgValor,2,0)*VLOOKUP(O689,MgDeg,2,0),0)</f>
        <v/>
      </c>
      <c r="S689" s="29">
        <f>IFERROR(VLOOKUP(M689,MgValor,2,0)*VLOOKUP(P689,MgDeg,2,0),0)</f>
        <v/>
      </c>
      <c r="T689" s="30">
        <f>MAX(Q689:S689)</f>
        <v/>
      </c>
      <c r="U689" s="28">
        <f>IFERROR(LOOKUP(T689,{0;0.5;1.5;3;4.5},{"Despreciable";"Bajo";"Medio";"Alto";"Muy alto"}),"")</f>
        <v/>
      </c>
      <c r="V689" s="13">
        <f>IFERROR(INDEX(MgAmenFrec,MATCH(SUBSTITUTE($H689,"*","-"),MgAmenClave,0)),"")</f>
        <v/>
      </c>
      <c r="W689" s="28">
        <f>IFERROR(LOOKUP(X689,{0;0.01;0.1;1;10;100},{"Muy baja";"Muy baja";"Baja";"Media";"Alta";"Muy alta"}),"")</f>
        <v/>
      </c>
      <c r="X689" s="31">
        <f>IFERROR(VLOOKUP(V689,MgFrec,2,0),0)</f>
        <v/>
      </c>
      <c r="Y689" s="30">
        <f>T689*X689</f>
        <v/>
      </c>
      <c r="Z689" s="28">
        <f>IFERROR(LOOKUP(Y689,{0;0.5;5;25},{"Bajo";"Medio";"Alto";"Crítico"}),"")</f>
        <v/>
      </c>
      <c r="AA689" s="64">
        <f>IF(T689&gt;=3,IF(X689&gt;=1,"Zona 1 — Crítica: impacto alto y ocurre al menos una vez al año","Zona 4 — Catastrófica poco probable: impacto alto pero excepcional"),IF(AND(T689&lt;1.5,X689&lt;1),"Zona 3 — Asumible: impacto bajo y muy poco frecuente","Zona 2 — Atención: riesgo intermedio"))</f>
        <v/>
      </c>
      <c r="AB689" s="64">
        <f>IFERROR(INDEX(MgAmenCtrl,MATCH(SUBSTITUTE($H689,"*","-"),MgAmenClave,0)),"")</f>
        <v/>
      </c>
      <c r="AC689" s="20" t="n"/>
      <c r="AD689" s="31">
        <f>IFERROR($X689*(1-IF($AC689="",$AL689,VLOOKUP($AC689,MgMad,2,0))),"")</f>
        <v/>
      </c>
      <c r="AE689" s="28">
        <f>IFERROR(LOOKUP(AD689,{0;0.01;0.1;1;10;100},{"Muy baja";"Muy baja";"Baja";"Media";"Alta";"Muy alta"}),"")</f>
        <v/>
      </c>
      <c r="AF689" s="30">
        <f>T689*AD689</f>
        <v/>
      </c>
      <c r="AG689" s="28">
        <f>IFERROR(LOOKUP(AF689,{0;0.5;5;25},{"Bajo";"Medio";"Alto";"Crítico"}),"")</f>
        <v/>
      </c>
      <c r="AH689" s="28">
        <f>IF(AG689="","",IF(OR(AG689="Crítico",AG689="Alto"),"Mitigar",IF(AG689="Medio","Mitigar","Aceptar y monitorear")))</f>
        <v/>
      </c>
      <c r="AI689" s="21" t="n"/>
      <c r="AJ689" s="21" t="n"/>
      <c r="AK689" s="20" t="n"/>
      <c r="AL689" s="77">
        <f>IFERROR(INDEX(MgAmenEfic,MATCH(SUBSTITUTE($H689,"*","-"),MgAmenClave,0)),0)</f>
        <v/>
      </c>
    </row>
    <row r="690" hidden="1" ht="120" customHeight="1" s="54">
      <c r="B690" s="59" t="inlineStr">
        <is>
          <t>R-0685</t>
        </is>
      </c>
      <c r="C690" s="59" t="inlineStr">
        <is>
          <t>TAL-08</t>
        </is>
      </c>
      <c r="D690" s="64">
        <f>IFERROR(INDEX(MgNombre,MATCH($C690,MgActId,0)),"")</f>
        <v/>
      </c>
      <c r="E690" s="64">
        <f>IFERROR(INDEX(MgProceso,MATCH($C690,MgActId,0)),"")</f>
        <v/>
      </c>
      <c r="F690" s="64">
        <f>IFERROR(INDEX(MgTipo,MATCH($C690,MgActId,0)),"")</f>
        <v/>
      </c>
      <c r="G690" s="64">
        <f>IFERROR(INDEX(MgSubtipo,MATCH($C690,MgActId,0)),"")</f>
        <v/>
      </c>
      <c r="H690" s="59" t="inlineStr">
        <is>
          <t>A.19</t>
        </is>
      </c>
      <c r="I690" s="64">
        <f>IFERROR(INDEX(MgAmenNombre,MATCH(SUBSTITUTE($H690,"*","-"),MgAmenClave,0)),"")</f>
        <v/>
      </c>
      <c r="J690" s="28">
        <f>IFERROR(INDEX(MgAmenGrupo,MATCH(SUBSTITUTE($H690,"*","-"),MgAmenClave,0)),"")</f>
        <v/>
      </c>
      <c r="K690" s="64">
        <f>IFERROR(INDEX('1. Matriz de Activos'!$Q$6:$Q$239,MATCH($C690,MgActId,0)),"")</f>
        <v/>
      </c>
      <c r="L690" s="64">
        <f>IFERROR(INDEX('1. Matriz de Activos'!$R$6:$R$239,MATCH($C690,MgActId,0)),"")</f>
        <v/>
      </c>
      <c r="M690" s="64">
        <f>IFERROR(INDEX('1. Matriz de Activos'!$S$6:$S$239,MATCH($C690,MgActId,0)),"")</f>
        <v/>
      </c>
      <c r="N690" s="28">
        <f>IFERROR(INDEX(MgAmenDegD,MATCH(SUBSTITUTE($H690,"*","-"),MgAmenClave,0)),"No aplica")</f>
        <v/>
      </c>
      <c r="O690" s="28">
        <f>IFERROR(INDEX(MgAmenDegI,MATCH(SUBSTITUTE($H690,"*","-"),MgAmenClave,0)),"No aplica")</f>
        <v/>
      </c>
      <c r="P690" s="28">
        <f>IFERROR(INDEX(MgAmenDegC,MATCH(SUBSTITUTE($H690,"*","-"),MgAmenClave,0)),"No aplica")</f>
        <v/>
      </c>
      <c r="Q690" s="29">
        <f>IFERROR(VLOOKUP(K690,MgValor,2,0)*VLOOKUP(N690,MgDeg,2,0),0)</f>
        <v/>
      </c>
      <c r="R690" s="29">
        <f>IFERROR(VLOOKUP(L690,MgValor,2,0)*VLOOKUP(O690,MgDeg,2,0),0)</f>
        <v/>
      </c>
      <c r="S690" s="29">
        <f>IFERROR(VLOOKUP(M690,MgValor,2,0)*VLOOKUP(P690,MgDeg,2,0),0)</f>
        <v/>
      </c>
      <c r="T690" s="30">
        <f>MAX(Q690:S690)</f>
        <v/>
      </c>
      <c r="U690" s="28">
        <f>IFERROR(LOOKUP(T690,{0;0.5;1.5;3;4.5},{"Despreciable";"Bajo";"Medio";"Alto";"Muy alto"}),"")</f>
        <v/>
      </c>
      <c r="V690" s="13">
        <f>IFERROR(INDEX(MgAmenFrec,MATCH(SUBSTITUTE($H690,"*","-"),MgAmenClave,0)),"")</f>
        <v/>
      </c>
      <c r="W690" s="28">
        <f>IFERROR(LOOKUP(X690,{0;0.01;0.1;1;10;100},{"Muy baja";"Muy baja";"Baja";"Media";"Alta";"Muy alta"}),"")</f>
        <v/>
      </c>
      <c r="X690" s="31">
        <f>IFERROR(VLOOKUP(V690,MgFrec,2,0),0)</f>
        <v/>
      </c>
      <c r="Y690" s="30">
        <f>T690*X690</f>
        <v/>
      </c>
      <c r="Z690" s="28">
        <f>IFERROR(LOOKUP(Y690,{0;0.5;5;25},{"Bajo";"Medio";"Alto";"Crítico"}),"")</f>
        <v/>
      </c>
      <c r="AA690" s="64">
        <f>IF(T690&gt;=3,IF(X690&gt;=1,"Zona 1 — Crítica: impacto alto y ocurre al menos una vez al año","Zona 4 — Catastrófica poco probable: impacto alto pero excepcional"),IF(AND(T690&lt;1.5,X690&lt;1),"Zona 3 — Asumible: impacto bajo y muy poco frecuente","Zona 2 — Atención: riesgo intermedio"))</f>
        <v/>
      </c>
      <c r="AB690" s="64">
        <f>IFERROR(INDEX(MgAmenCtrl,MATCH(SUBSTITUTE($H690,"*","-"),MgAmenClave,0)),"")</f>
        <v/>
      </c>
      <c r="AC690" s="20" t="n"/>
      <c r="AD690" s="31">
        <f>IFERROR($X690*(1-IF($AC690="",$AL690,VLOOKUP($AC690,MgMad,2,0))),"")</f>
        <v/>
      </c>
      <c r="AE690" s="28">
        <f>IFERROR(LOOKUP(AD690,{0;0.01;0.1;1;10;100},{"Muy baja";"Muy baja";"Baja";"Media";"Alta";"Muy alta"}),"")</f>
        <v/>
      </c>
      <c r="AF690" s="30">
        <f>T690*AD690</f>
        <v/>
      </c>
      <c r="AG690" s="28">
        <f>IFERROR(LOOKUP(AF690,{0;0.5;5;25},{"Bajo";"Medio";"Alto";"Crítico"}),"")</f>
        <v/>
      </c>
      <c r="AH690" s="28">
        <f>IF(AG690="","",IF(OR(AG690="Crítico",AG690="Alto"),"Mitigar",IF(AG690="Medio","Mitigar","Aceptar y monitorear")))</f>
        <v/>
      </c>
      <c r="AI690" s="21" t="n"/>
      <c r="AJ690" s="21" t="n"/>
      <c r="AK690" s="20" t="n"/>
      <c r="AL690" s="77">
        <f>IFERROR(INDEX(MgAmenEfic,MATCH(SUBSTITUTE($H690,"*","-"),MgAmenClave,0)),0)</f>
        <v/>
      </c>
    </row>
    <row r="691" hidden="1" ht="105" customHeight="1" s="54">
      <c r="B691" s="59" t="inlineStr">
        <is>
          <t>R-0686</t>
        </is>
      </c>
      <c r="C691" s="59" t="inlineStr">
        <is>
          <t>FIN-08</t>
        </is>
      </c>
      <c r="D691" s="64">
        <f>IFERROR(INDEX(MgNombre,MATCH($C691,MgActId,0)),"")</f>
        <v/>
      </c>
      <c r="E691" s="64">
        <f>IFERROR(INDEX(MgProceso,MATCH($C691,MgActId,0)),"")</f>
        <v/>
      </c>
      <c r="F691" s="64">
        <f>IFERROR(INDEX(MgTipo,MATCH($C691,MgActId,0)),"")</f>
        <v/>
      </c>
      <c r="G691" s="64">
        <f>IFERROR(INDEX(MgSubtipo,MATCH($C691,MgActId,0)),"")</f>
        <v/>
      </c>
      <c r="H691" s="59" t="inlineStr">
        <is>
          <t>E.1</t>
        </is>
      </c>
      <c r="I691" s="64">
        <f>IFERROR(INDEX(MgAmenNombre,MATCH(SUBSTITUTE($H691,"*","-"),MgAmenClave,0)),"")</f>
        <v/>
      </c>
      <c r="J691" s="28">
        <f>IFERROR(INDEX(MgAmenGrupo,MATCH(SUBSTITUTE($H691,"*","-"),MgAmenClave,0)),"")</f>
        <v/>
      </c>
      <c r="K691" s="64">
        <f>IFERROR(INDEX('1. Matriz de Activos'!$Q$6:$Q$239,MATCH($C691,MgActId,0)),"")</f>
        <v/>
      </c>
      <c r="L691" s="64">
        <f>IFERROR(INDEX('1. Matriz de Activos'!$R$6:$R$239,MATCH($C691,MgActId,0)),"")</f>
        <v/>
      </c>
      <c r="M691" s="64">
        <f>IFERROR(INDEX('1. Matriz de Activos'!$S$6:$S$239,MATCH($C691,MgActId,0)),"")</f>
        <v/>
      </c>
      <c r="N691" s="28">
        <f>IFERROR(INDEX(MgAmenDegD,MATCH(SUBSTITUTE($H691,"*","-"),MgAmenClave,0)),"No aplica")</f>
        <v/>
      </c>
      <c r="O691" s="28">
        <f>IFERROR(INDEX(MgAmenDegI,MATCH(SUBSTITUTE($H691,"*","-"),MgAmenClave,0)),"No aplica")</f>
        <v/>
      </c>
      <c r="P691" s="28">
        <f>IFERROR(INDEX(MgAmenDegC,MATCH(SUBSTITUTE($H691,"*","-"),MgAmenClave,0)),"No aplica")</f>
        <v/>
      </c>
      <c r="Q691" s="29">
        <f>IFERROR(VLOOKUP(K691,MgValor,2,0)*VLOOKUP(N691,MgDeg,2,0),0)</f>
        <v/>
      </c>
      <c r="R691" s="29">
        <f>IFERROR(VLOOKUP(L691,MgValor,2,0)*VLOOKUP(O691,MgDeg,2,0),0)</f>
        <v/>
      </c>
      <c r="S691" s="29">
        <f>IFERROR(VLOOKUP(M691,MgValor,2,0)*VLOOKUP(P691,MgDeg,2,0),0)</f>
        <v/>
      </c>
      <c r="T691" s="30">
        <f>MAX(Q691:S691)</f>
        <v/>
      </c>
      <c r="U691" s="28">
        <f>IFERROR(LOOKUP(T691,{0;0.5;1.5;3;4.5},{"Despreciable";"Bajo";"Medio";"Alto";"Muy alto"}),"")</f>
        <v/>
      </c>
      <c r="V691" s="13">
        <f>IFERROR(INDEX(MgAmenFrec,MATCH(SUBSTITUTE($H691,"*","-"),MgAmenClave,0)),"")</f>
        <v/>
      </c>
      <c r="W691" s="28">
        <f>IFERROR(LOOKUP(X691,{0;0.01;0.1;1;10;100},{"Muy baja";"Muy baja";"Baja";"Media";"Alta";"Muy alta"}),"")</f>
        <v/>
      </c>
      <c r="X691" s="31">
        <f>IFERROR(VLOOKUP(V691,MgFrec,2,0),0)</f>
        <v/>
      </c>
      <c r="Y691" s="30">
        <f>T691*X691</f>
        <v/>
      </c>
      <c r="Z691" s="28">
        <f>IFERROR(LOOKUP(Y691,{0;0.5;5;25},{"Bajo";"Medio";"Alto";"Crítico"}),"")</f>
        <v/>
      </c>
      <c r="AA691" s="64">
        <f>IF(T691&gt;=3,IF(X691&gt;=1,"Zona 1 — Crítica: impacto alto y ocurre al menos una vez al año","Zona 4 — Catastrófica poco probable: impacto alto pero excepcional"),IF(AND(T691&lt;1.5,X691&lt;1),"Zona 3 — Asumible: impacto bajo y muy poco frecuente","Zona 2 — Atención: riesgo intermedio"))</f>
        <v/>
      </c>
      <c r="AB691" s="64">
        <f>IFERROR(INDEX(MgAmenCtrl,MATCH(SUBSTITUTE($H691,"*","-"),MgAmenClave,0)),"")</f>
        <v/>
      </c>
      <c r="AC691" s="20" t="n"/>
      <c r="AD691" s="31">
        <f>IFERROR($X691*(1-IF($AC691="",$AL691,VLOOKUP($AC691,MgMad,2,0))),"")</f>
        <v/>
      </c>
      <c r="AE691" s="28">
        <f>IFERROR(LOOKUP(AD691,{0;0.01;0.1;1;10;100},{"Muy baja";"Muy baja";"Baja";"Media";"Alta";"Muy alta"}),"")</f>
        <v/>
      </c>
      <c r="AF691" s="30">
        <f>T691*AD691</f>
        <v/>
      </c>
      <c r="AG691" s="28">
        <f>IFERROR(LOOKUP(AF691,{0;0.5;5;25},{"Bajo";"Medio";"Alto";"Crítico"}),"")</f>
        <v/>
      </c>
      <c r="AH691" s="28">
        <f>IF(AG691="","",IF(OR(AG691="Crítico",AG691="Alto"),"Mitigar",IF(AG691="Medio","Mitigar","Aceptar y monitorear")))</f>
        <v/>
      </c>
      <c r="AI691" s="21" t="n"/>
      <c r="AJ691" s="21" t="n"/>
      <c r="AK691" s="20" t="n"/>
      <c r="AL691" s="77">
        <f>IFERROR(INDEX(MgAmenEfic,MATCH(SUBSTITUTE($H691,"*","-"),MgAmenClave,0)),0)</f>
        <v/>
      </c>
    </row>
    <row r="692" hidden="1" ht="120" customHeight="1" s="54">
      <c r="B692" s="59" t="inlineStr">
        <is>
          <t>R-0687</t>
        </is>
      </c>
      <c r="C692" s="59" t="inlineStr">
        <is>
          <t>FIN-08</t>
        </is>
      </c>
      <c r="D692" s="64">
        <f>IFERROR(INDEX(MgNombre,MATCH($C692,MgActId,0)),"")</f>
        <v/>
      </c>
      <c r="E692" s="64">
        <f>IFERROR(INDEX(MgProceso,MATCH($C692,MgActId,0)),"")</f>
        <v/>
      </c>
      <c r="F692" s="64">
        <f>IFERROR(INDEX(MgTipo,MATCH($C692,MgActId,0)),"")</f>
        <v/>
      </c>
      <c r="G692" s="64">
        <f>IFERROR(INDEX(MgSubtipo,MATCH($C692,MgActId,0)),"")</f>
        <v/>
      </c>
      <c r="H692" s="59" t="inlineStr">
        <is>
          <t>E.2</t>
        </is>
      </c>
      <c r="I692" s="64">
        <f>IFERROR(INDEX(MgAmenNombre,MATCH(SUBSTITUTE($H692,"*","-"),MgAmenClave,0)),"")</f>
        <v/>
      </c>
      <c r="J692" s="28">
        <f>IFERROR(INDEX(MgAmenGrupo,MATCH(SUBSTITUTE($H692,"*","-"),MgAmenClave,0)),"")</f>
        <v/>
      </c>
      <c r="K692" s="64">
        <f>IFERROR(INDEX('1. Matriz de Activos'!$Q$6:$Q$239,MATCH($C692,MgActId,0)),"")</f>
        <v/>
      </c>
      <c r="L692" s="64">
        <f>IFERROR(INDEX('1. Matriz de Activos'!$R$6:$R$239,MATCH($C692,MgActId,0)),"")</f>
        <v/>
      </c>
      <c r="M692" s="64">
        <f>IFERROR(INDEX('1. Matriz de Activos'!$S$6:$S$239,MATCH($C692,MgActId,0)),"")</f>
        <v/>
      </c>
      <c r="N692" s="28">
        <f>IFERROR(INDEX(MgAmenDegD,MATCH(SUBSTITUTE($H692,"*","-"),MgAmenClave,0)),"No aplica")</f>
        <v/>
      </c>
      <c r="O692" s="28">
        <f>IFERROR(INDEX(MgAmenDegI,MATCH(SUBSTITUTE($H692,"*","-"),MgAmenClave,0)),"No aplica")</f>
        <v/>
      </c>
      <c r="P692" s="28">
        <f>IFERROR(INDEX(MgAmenDegC,MATCH(SUBSTITUTE($H692,"*","-"),MgAmenClave,0)),"No aplica")</f>
        <v/>
      </c>
      <c r="Q692" s="29">
        <f>IFERROR(VLOOKUP(K692,MgValor,2,0)*VLOOKUP(N692,MgDeg,2,0),0)</f>
        <v/>
      </c>
      <c r="R692" s="29">
        <f>IFERROR(VLOOKUP(L692,MgValor,2,0)*VLOOKUP(O692,MgDeg,2,0),0)</f>
        <v/>
      </c>
      <c r="S692" s="29">
        <f>IFERROR(VLOOKUP(M692,MgValor,2,0)*VLOOKUP(P692,MgDeg,2,0),0)</f>
        <v/>
      </c>
      <c r="T692" s="30">
        <f>MAX(Q692:S692)</f>
        <v/>
      </c>
      <c r="U692" s="28">
        <f>IFERROR(LOOKUP(T692,{0;0.5;1.5;3;4.5},{"Despreciable";"Bajo";"Medio";"Alto";"Muy alto"}),"")</f>
        <v/>
      </c>
      <c r="V692" s="13">
        <f>IFERROR(INDEX(MgAmenFrec,MATCH(SUBSTITUTE($H692,"*","-"),MgAmenClave,0)),"")</f>
        <v/>
      </c>
      <c r="W692" s="28">
        <f>IFERROR(LOOKUP(X692,{0;0.01;0.1;1;10;100},{"Muy baja";"Muy baja";"Baja";"Media";"Alta";"Muy alta"}),"")</f>
        <v/>
      </c>
      <c r="X692" s="31">
        <f>IFERROR(VLOOKUP(V692,MgFrec,2,0),0)</f>
        <v/>
      </c>
      <c r="Y692" s="30">
        <f>T692*X692</f>
        <v/>
      </c>
      <c r="Z692" s="28">
        <f>IFERROR(LOOKUP(Y692,{0;0.5;5;25},{"Bajo";"Medio";"Alto";"Crítico"}),"")</f>
        <v/>
      </c>
      <c r="AA692" s="64">
        <f>IF(T692&gt;=3,IF(X692&gt;=1,"Zona 1 — Crítica: impacto alto y ocurre al menos una vez al año","Zona 4 — Catastrófica poco probable: impacto alto pero excepcional"),IF(AND(T692&lt;1.5,X692&lt;1),"Zona 3 — Asumible: impacto bajo y muy poco frecuente","Zona 2 — Atención: riesgo intermedio"))</f>
        <v/>
      </c>
      <c r="AB692" s="64">
        <f>IFERROR(INDEX(MgAmenCtrl,MATCH(SUBSTITUTE($H692,"*","-"),MgAmenClave,0)),"")</f>
        <v/>
      </c>
      <c r="AC692" s="20" t="n"/>
      <c r="AD692" s="31">
        <f>IFERROR($X692*(1-IF($AC692="",$AL692,VLOOKUP($AC692,MgMad,2,0))),"")</f>
        <v/>
      </c>
      <c r="AE692" s="28">
        <f>IFERROR(LOOKUP(AD692,{0;0.01;0.1;1;10;100},{"Muy baja";"Muy baja";"Baja";"Media";"Alta";"Muy alta"}),"")</f>
        <v/>
      </c>
      <c r="AF692" s="30">
        <f>T692*AD692</f>
        <v/>
      </c>
      <c r="AG692" s="28">
        <f>IFERROR(LOOKUP(AF692,{0;0.5;5;25},{"Bajo";"Medio";"Alto";"Crítico"}),"")</f>
        <v/>
      </c>
      <c r="AH692" s="28">
        <f>IF(AG692="","",IF(OR(AG692="Crítico",AG692="Alto"),"Mitigar",IF(AG692="Medio","Mitigar","Aceptar y monitorear")))</f>
        <v/>
      </c>
      <c r="AI692" s="21" t="n"/>
      <c r="AJ692" s="21" t="n"/>
      <c r="AK692" s="20" t="n"/>
      <c r="AL692" s="77">
        <f>IFERROR(INDEX(MgAmenEfic,MATCH(SUBSTITUTE($H692,"*","-"),MgAmenClave,0)),0)</f>
        <v/>
      </c>
    </row>
    <row r="693" hidden="1" ht="75" customHeight="1" s="54">
      <c r="B693" s="59" t="inlineStr">
        <is>
          <t>R-0688</t>
        </is>
      </c>
      <c r="C693" s="59" t="inlineStr">
        <is>
          <t>FIN-08</t>
        </is>
      </c>
      <c r="D693" s="64">
        <f>IFERROR(INDEX(MgNombre,MATCH($C693,MgActId,0)),"")</f>
        <v/>
      </c>
      <c r="E693" s="64">
        <f>IFERROR(INDEX(MgProceso,MATCH($C693,MgActId,0)),"")</f>
        <v/>
      </c>
      <c r="F693" s="64">
        <f>IFERROR(INDEX(MgTipo,MATCH($C693,MgActId,0)),"")</f>
        <v/>
      </c>
      <c r="G693" s="64">
        <f>IFERROR(INDEX(MgSubtipo,MATCH($C693,MgActId,0)),"")</f>
        <v/>
      </c>
      <c r="H693" s="59" t="inlineStr">
        <is>
          <t>E.3</t>
        </is>
      </c>
      <c r="I693" s="64">
        <f>IFERROR(INDEX(MgAmenNombre,MATCH(SUBSTITUTE($H693,"*","-"),MgAmenClave,0)),"")</f>
        <v/>
      </c>
      <c r="J693" s="28">
        <f>IFERROR(INDEX(MgAmenGrupo,MATCH(SUBSTITUTE($H693,"*","-"),MgAmenClave,0)),"")</f>
        <v/>
      </c>
      <c r="K693" s="64">
        <f>IFERROR(INDEX('1. Matriz de Activos'!$Q$6:$Q$239,MATCH($C693,MgActId,0)),"")</f>
        <v/>
      </c>
      <c r="L693" s="64">
        <f>IFERROR(INDEX('1. Matriz de Activos'!$R$6:$R$239,MATCH($C693,MgActId,0)),"")</f>
        <v/>
      </c>
      <c r="M693" s="64">
        <f>IFERROR(INDEX('1. Matriz de Activos'!$S$6:$S$239,MATCH($C693,MgActId,0)),"")</f>
        <v/>
      </c>
      <c r="N693" s="28">
        <f>IFERROR(INDEX(MgAmenDegD,MATCH(SUBSTITUTE($H693,"*","-"),MgAmenClave,0)),"No aplica")</f>
        <v/>
      </c>
      <c r="O693" s="28">
        <f>IFERROR(INDEX(MgAmenDegI,MATCH(SUBSTITUTE($H693,"*","-"),MgAmenClave,0)),"No aplica")</f>
        <v/>
      </c>
      <c r="P693" s="28">
        <f>IFERROR(INDEX(MgAmenDegC,MATCH(SUBSTITUTE($H693,"*","-"),MgAmenClave,0)),"No aplica")</f>
        <v/>
      </c>
      <c r="Q693" s="29">
        <f>IFERROR(VLOOKUP(K693,MgValor,2,0)*VLOOKUP(N693,MgDeg,2,0),0)</f>
        <v/>
      </c>
      <c r="R693" s="29">
        <f>IFERROR(VLOOKUP(L693,MgValor,2,0)*VLOOKUP(O693,MgDeg,2,0),0)</f>
        <v/>
      </c>
      <c r="S693" s="29">
        <f>IFERROR(VLOOKUP(M693,MgValor,2,0)*VLOOKUP(P693,MgDeg,2,0),0)</f>
        <v/>
      </c>
      <c r="T693" s="30">
        <f>MAX(Q693:S693)</f>
        <v/>
      </c>
      <c r="U693" s="28">
        <f>IFERROR(LOOKUP(T693,{0;0.5;1.5;3;4.5},{"Despreciable";"Bajo";"Medio";"Alto";"Muy alto"}),"")</f>
        <v/>
      </c>
      <c r="V693" s="13">
        <f>IFERROR(INDEX(MgAmenFrec,MATCH(SUBSTITUTE($H693,"*","-"),MgAmenClave,0)),"")</f>
        <v/>
      </c>
      <c r="W693" s="28">
        <f>IFERROR(LOOKUP(X693,{0;0.01;0.1;1;10;100},{"Muy baja";"Muy baja";"Baja";"Media";"Alta";"Muy alta"}),"")</f>
        <v/>
      </c>
      <c r="X693" s="31">
        <f>IFERROR(VLOOKUP(V693,MgFrec,2,0),0)</f>
        <v/>
      </c>
      <c r="Y693" s="30">
        <f>T693*X693</f>
        <v/>
      </c>
      <c r="Z693" s="28">
        <f>IFERROR(LOOKUP(Y693,{0;0.5;5;25},{"Bajo";"Medio";"Alto";"Crítico"}),"")</f>
        <v/>
      </c>
      <c r="AA693" s="64">
        <f>IF(T693&gt;=3,IF(X693&gt;=1,"Zona 1 — Crítica: impacto alto y ocurre al menos una vez al año","Zona 4 — Catastrófica poco probable: impacto alto pero excepcional"),IF(AND(T693&lt;1.5,X693&lt;1),"Zona 3 — Asumible: impacto bajo y muy poco frecuente","Zona 2 — Atención: riesgo intermedio"))</f>
        <v/>
      </c>
      <c r="AB693" s="64">
        <f>IFERROR(INDEX(MgAmenCtrl,MATCH(SUBSTITUTE($H693,"*","-"),MgAmenClave,0)),"")</f>
        <v/>
      </c>
      <c r="AC693" s="20" t="n"/>
      <c r="AD693" s="31">
        <f>IFERROR($X693*(1-IF($AC693="",$AL693,VLOOKUP($AC693,MgMad,2,0))),"")</f>
        <v/>
      </c>
      <c r="AE693" s="28">
        <f>IFERROR(LOOKUP(AD693,{0;0.01;0.1;1;10;100},{"Muy baja";"Muy baja";"Baja";"Media";"Alta";"Muy alta"}),"")</f>
        <v/>
      </c>
      <c r="AF693" s="30">
        <f>T693*AD693</f>
        <v/>
      </c>
      <c r="AG693" s="28">
        <f>IFERROR(LOOKUP(AF693,{0;0.5;5;25},{"Bajo";"Medio";"Alto";"Crítico"}),"")</f>
        <v/>
      </c>
      <c r="AH693" s="28">
        <f>IF(AG693="","",IF(OR(AG693="Crítico",AG693="Alto"),"Mitigar",IF(AG693="Medio","Mitigar","Aceptar y monitorear")))</f>
        <v/>
      </c>
      <c r="AI693" s="21" t="n"/>
      <c r="AJ693" s="21" t="n"/>
      <c r="AK693" s="20" t="n"/>
      <c r="AL693" s="77">
        <f>IFERROR(INDEX(MgAmenEfic,MATCH(SUBSTITUTE($H693,"*","-"),MgAmenClave,0)),0)</f>
        <v/>
      </c>
    </row>
    <row r="694" hidden="1" ht="75" customHeight="1" s="54">
      <c r="B694" s="59" t="inlineStr">
        <is>
          <t>R-0689</t>
        </is>
      </c>
      <c r="C694" s="59" t="inlineStr">
        <is>
          <t>FIN-08</t>
        </is>
      </c>
      <c r="D694" s="64">
        <f>IFERROR(INDEX(MgNombre,MATCH($C694,MgActId,0)),"")</f>
        <v/>
      </c>
      <c r="E694" s="64">
        <f>IFERROR(INDEX(MgProceso,MATCH($C694,MgActId,0)),"")</f>
        <v/>
      </c>
      <c r="F694" s="64">
        <f>IFERROR(INDEX(MgTipo,MATCH($C694,MgActId,0)),"")</f>
        <v/>
      </c>
      <c r="G694" s="64">
        <f>IFERROR(INDEX(MgSubtipo,MATCH($C694,MgActId,0)),"")</f>
        <v/>
      </c>
      <c r="H694" s="59" t="inlineStr">
        <is>
          <t>E.4</t>
        </is>
      </c>
      <c r="I694" s="64">
        <f>IFERROR(INDEX(MgAmenNombre,MATCH(SUBSTITUTE($H694,"*","-"),MgAmenClave,0)),"")</f>
        <v/>
      </c>
      <c r="J694" s="28">
        <f>IFERROR(INDEX(MgAmenGrupo,MATCH(SUBSTITUTE($H694,"*","-"),MgAmenClave,0)),"")</f>
        <v/>
      </c>
      <c r="K694" s="64">
        <f>IFERROR(INDEX('1. Matriz de Activos'!$Q$6:$Q$239,MATCH($C694,MgActId,0)),"")</f>
        <v/>
      </c>
      <c r="L694" s="64">
        <f>IFERROR(INDEX('1. Matriz de Activos'!$R$6:$R$239,MATCH($C694,MgActId,0)),"")</f>
        <v/>
      </c>
      <c r="M694" s="64">
        <f>IFERROR(INDEX('1. Matriz de Activos'!$S$6:$S$239,MATCH($C694,MgActId,0)),"")</f>
        <v/>
      </c>
      <c r="N694" s="28">
        <f>IFERROR(INDEX(MgAmenDegD,MATCH(SUBSTITUTE($H694,"*","-"),MgAmenClave,0)),"No aplica")</f>
        <v/>
      </c>
      <c r="O694" s="28">
        <f>IFERROR(INDEX(MgAmenDegI,MATCH(SUBSTITUTE($H694,"*","-"),MgAmenClave,0)),"No aplica")</f>
        <v/>
      </c>
      <c r="P694" s="28">
        <f>IFERROR(INDEX(MgAmenDegC,MATCH(SUBSTITUTE($H694,"*","-"),MgAmenClave,0)),"No aplica")</f>
        <v/>
      </c>
      <c r="Q694" s="29">
        <f>IFERROR(VLOOKUP(K694,MgValor,2,0)*VLOOKUP(N694,MgDeg,2,0),0)</f>
        <v/>
      </c>
      <c r="R694" s="29">
        <f>IFERROR(VLOOKUP(L694,MgValor,2,0)*VLOOKUP(O694,MgDeg,2,0),0)</f>
        <v/>
      </c>
      <c r="S694" s="29">
        <f>IFERROR(VLOOKUP(M694,MgValor,2,0)*VLOOKUP(P694,MgDeg,2,0),0)</f>
        <v/>
      </c>
      <c r="T694" s="30">
        <f>MAX(Q694:S694)</f>
        <v/>
      </c>
      <c r="U694" s="28">
        <f>IFERROR(LOOKUP(T694,{0;0.5;1.5;3;4.5},{"Despreciable";"Bajo";"Medio";"Alto";"Muy alto"}),"")</f>
        <v/>
      </c>
      <c r="V694" s="13">
        <f>IFERROR(INDEX(MgAmenFrec,MATCH(SUBSTITUTE($H694,"*","-"),MgAmenClave,0)),"")</f>
        <v/>
      </c>
      <c r="W694" s="28">
        <f>IFERROR(LOOKUP(X694,{0;0.01;0.1;1;10;100},{"Muy baja";"Muy baja";"Baja";"Media";"Alta";"Muy alta"}),"")</f>
        <v/>
      </c>
      <c r="X694" s="31">
        <f>IFERROR(VLOOKUP(V694,MgFrec,2,0),0)</f>
        <v/>
      </c>
      <c r="Y694" s="30">
        <f>T694*X694</f>
        <v/>
      </c>
      <c r="Z694" s="28">
        <f>IFERROR(LOOKUP(Y694,{0;0.5;5;25},{"Bajo";"Medio";"Alto";"Crítico"}),"")</f>
        <v/>
      </c>
      <c r="AA694" s="64">
        <f>IF(T694&gt;=3,IF(X694&gt;=1,"Zona 1 — Crítica: impacto alto y ocurre al menos una vez al año","Zona 4 — Catastrófica poco probable: impacto alto pero excepcional"),IF(AND(T694&lt;1.5,X694&lt;1),"Zona 3 — Asumible: impacto bajo y muy poco frecuente","Zona 2 — Atención: riesgo intermedio"))</f>
        <v/>
      </c>
      <c r="AB694" s="64">
        <f>IFERROR(INDEX(MgAmenCtrl,MATCH(SUBSTITUTE($H694,"*","-"),MgAmenClave,0)),"")</f>
        <v/>
      </c>
      <c r="AC694" s="20" t="n"/>
      <c r="AD694" s="31">
        <f>IFERROR($X694*(1-IF($AC694="",$AL694,VLOOKUP($AC694,MgMad,2,0))),"")</f>
        <v/>
      </c>
      <c r="AE694" s="28">
        <f>IFERROR(LOOKUP(AD694,{0;0.01;0.1;1;10;100},{"Muy baja";"Muy baja";"Baja";"Media";"Alta";"Muy alta"}),"")</f>
        <v/>
      </c>
      <c r="AF694" s="30">
        <f>T694*AD694</f>
        <v/>
      </c>
      <c r="AG694" s="28">
        <f>IFERROR(LOOKUP(AF694,{0;0.5;5;25},{"Bajo";"Medio";"Alto";"Crítico"}),"")</f>
        <v/>
      </c>
      <c r="AH694" s="28">
        <f>IF(AG694="","",IF(OR(AG694="Crítico",AG694="Alto"),"Mitigar",IF(AG694="Medio","Mitigar","Aceptar y monitorear")))</f>
        <v/>
      </c>
      <c r="AI694" s="21" t="n"/>
      <c r="AJ694" s="21" t="n"/>
      <c r="AK694" s="20" t="n"/>
      <c r="AL694" s="77">
        <f>IFERROR(INDEX(MgAmenEfic,MATCH(SUBSTITUTE($H694,"*","-"),MgAmenClave,0)),0)</f>
        <v/>
      </c>
    </row>
    <row r="695" hidden="1" ht="90" customHeight="1" s="54">
      <c r="B695" s="59" t="inlineStr">
        <is>
          <t>R-0690</t>
        </is>
      </c>
      <c r="C695" s="59" t="inlineStr">
        <is>
          <t>FIN-08</t>
        </is>
      </c>
      <c r="D695" s="64">
        <f>IFERROR(INDEX(MgNombre,MATCH($C695,MgActId,0)),"")</f>
        <v/>
      </c>
      <c r="E695" s="64">
        <f>IFERROR(INDEX(MgProceso,MATCH($C695,MgActId,0)),"")</f>
        <v/>
      </c>
      <c r="F695" s="64">
        <f>IFERROR(INDEX(MgTipo,MATCH($C695,MgActId,0)),"")</f>
        <v/>
      </c>
      <c r="G695" s="64">
        <f>IFERROR(INDEX(MgSubtipo,MATCH($C695,MgActId,0)),"")</f>
        <v/>
      </c>
      <c r="H695" s="59" t="inlineStr">
        <is>
          <t>E.14</t>
        </is>
      </c>
      <c r="I695" s="64">
        <f>IFERROR(INDEX(MgAmenNombre,MATCH(SUBSTITUTE($H695,"*","-"),MgAmenClave,0)),"")</f>
        <v/>
      </c>
      <c r="J695" s="28">
        <f>IFERROR(INDEX(MgAmenGrupo,MATCH(SUBSTITUTE($H695,"*","-"),MgAmenClave,0)),"")</f>
        <v/>
      </c>
      <c r="K695" s="64">
        <f>IFERROR(INDEX('1. Matriz de Activos'!$Q$6:$Q$239,MATCH($C695,MgActId,0)),"")</f>
        <v/>
      </c>
      <c r="L695" s="64">
        <f>IFERROR(INDEX('1. Matriz de Activos'!$R$6:$R$239,MATCH($C695,MgActId,0)),"")</f>
        <v/>
      </c>
      <c r="M695" s="64">
        <f>IFERROR(INDEX('1. Matriz de Activos'!$S$6:$S$239,MATCH($C695,MgActId,0)),"")</f>
        <v/>
      </c>
      <c r="N695" s="28">
        <f>IFERROR(INDEX(MgAmenDegD,MATCH(SUBSTITUTE($H695,"*","-"),MgAmenClave,0)),"No aplica")</f>
        <v/>
      </c>
      <c r="O695" s="28">
        <f>IFERROR(INDEX(MgAmenDegI,MATCH(SUBSTITUTE($H695,"*","-"),MgAmenClave,0)),"No aplica")</f>
        <v/>
      </c>
      <c r="P695" s="28">
        <f>IFERROR(INDEX(MgAmenDegC,MATCH(SUBSTITUTE($H695,"*","-"),MgAmenClave,0)),"No aplica")</f>
        <v/>
      </c>
      <c r="Q695" s="29">
        <f>IFERROR(VLOOKUP(K695,MgValor,2,0)*VLOOKUP(N695,MgDeg,2,0),0)</f>
        <v/>
      </c>
      <c r="R695" s="29">
        <f>IFERROR(VLOOKUP(L695,MgValor,2,0)*VLOOKUP(O695,MgDeg,2,0),0)</f>
        <v/>
      </c>
      <c r="S695" s="29">
        <f>IFERROR(VLOOKUP(M695,MgValor,2,0)*VLOOKUP(P695,MgDeg,2,0),0)</f>
        <v/>
      </c>
      <c r="T695" s="30">
        <f>MAX(Q695:S695)</f>
        <v/>
      </c>
      <c r="U695" s="28">
        <f>IFERROR(LOOKUP(T695,{0;0.5;1.5;3;4.5},{"Despreciable";"Bajo";"Medio";"Alto";"Muy alto"}),"")</f>
        <v/>
      </c>
      <c r="V695" s="13">
        <f>IFERROR(INDEX(MgAmenFrec,MATCH(SUBSTITUTE($H695,"*","-"),MgAmenClave,0)),"")</f>
        <v/>
      </c>
      <c r="W695" s="28">
        <f>IFERROR(LOOKUP(X695,{0;0.01;0.1;1;10;100},{"Muy baja";"Muy baja";"Baja";"Media";"Alta";"Muy alta"}),"")</f>
        <v/>
      </c>
      <c r="X695" s="31">
        <f>IFERROR(VLOOKUP(V695,MgFrec,2,0),0)</f>
        <v/>
      </c>
      <c r="Y695" s="30">
        <f>T695*X695</f>
        <v/>
      </c>
      <c r="Z695" s="28">
        <f>IFERROR(LOOKUP(Y695,{0;0.5;5;25},{"Bajo";"Medio";"Alto";"Crítico"}),"")</f>
        <v/>
      </c>
      <c r="AA695" s="64">
        <f>IF(T695&gt;=3,IF(X695&gt;=1,"Zona 1 — Crítica: impacto alto y ocurre al menos una vez al año","Zona 4 — Catastrófica poco probable: impacto alto pero excepcional"),IF(AND(T695&lt;1.5,X695&lt;1),"Zona 3 — Asumible: impacto bajo y muy poco frecuente","Zona 2 — Atención: riesgo intermedio"))</f>
        <v/>
      </c>
      <c r="AB695" s="64">
        <f>IFERROR(INDEX(MgAmenCtrl,MATCH(SUBSTITUTE($H695,"*","-"),MgAmenClave,0)),"")</f>
        <v/>
      </c>
      <c r="AC695" s="20" t="n"/>
      <c r="AD695" s="31">
        <f>IFERROR($X695*(1-IF($AC695="",$AL695,VLOOKUP($AC695,MgMad,2,0))),"")</f>
        <v/>
      </c>
      <c r="AE695" s="28">
        <f>IFERROR(LOOKUP(AD695,{0;0.01;0.1;1;10;100},{"Muy baja";"Muy baja";"Baja";"Media";"Alta";"Muy alta"}),"")</f>
        <v/>
      </c>
      <c r="AF695" s="30">
        <f>T695*AD695</f>
        <v/>
      </c>
      <c r="AG695" s="28">
        <f>IFERROR(LOOKUP(AF695,{0;0.5;5;25},{"Bajo";"Medio";"Alto";"Crítico"}),"")</f>
        <v/>
      </c>
      <c r="AH695" s="28">
        <f>IF(AG695="","",IF(OR(AG695="Crítico",AG695="Alto"),"Mitigar",IF(AG695="Medio","Mitigar","Aceptar y monitorear")))</f>
        <v/>
      </c>
      <c r="AI695" s="21" t="n"/>
      <c r="AJ695" s="21" t="n"/>
      <c r="AK695" s="20" t="n"/>
      <c r="AL695" s="77">
        <f>IFERROR(INDEX(MgAmenEfic,MATCH(SUBSTITUTE($H695,"*","-"),MgAmenClave,0)),0)</f>
        <v/>
      </c>
    </row>
    <row r="696" hidden="1" ht="90" customHeight="1" s="54">
      <c r="B696" s="59" t="inlineStr">
        <is>
          <t>R-0691</t>
        </is>
      </c>
      <c r="C696" s="59" t="inlineStr">
        <is>
          <t>FIN-08</t>
        </is>
      </c>
      <c r="D696" s="64">
        <f>IFERROR(INDEX(MgNombre,MATCH($C696,MgActId,0)),"")</f>
        <v/>
      </c>
      <c r="E696" s="64">
        <f>IFERROR(INDEX(MgProceso,MATCH($C696,MgActId,0)),"")</f>
        <v/>
      </c>
      <c r="F696" s="64">
        <f>IFERROR(INDEX(MgTipo,MATCH($C696,MgActId,0)),"")</f>
        <v/>
      </c>
      <c r="G696" s="64">
        <f>IFERROR(INDEX(MgSubtipo,MATCH($C696,MgActId,0)),"")</f>
        <v/>
      </c>
      <c r="H696" s="59" t="inlineStr">
        <is>
          <t>E.15</t>
        </is>
      </c>
      <c r="I696" s="64">
        <f>IFERROR(INDEX(MgAmenNombre,MATCH(SUBSTITUTE($H696,"*","-"),MgAmenClave,0)),"")</f>
        <v/>
      </c>
      <c r="J696" s="28">
        <f>IFERROR(INDEX(MgAmenGrupo,MATCH(SUBSTITUTE($H696,"*","-"),MgAmenClave,0)),"")</f>
        <v/>
      </c>
      <c r="K696" s="64">
        <f>IFERROR(INDEX('1. Matriz de Activos'!$Q$6:$Q$239,MATCH($C696,MgActId,0)),"")</f>
        <v/>
      </c>
      <c r="L696" s="64">
        <f>IFERROR(INDEX('1. Matriz de Activos'!$R$6:$R$239,MATCH($C696,MgActId,0)),"")</f>
        <v/>
      </c>
      <c r="M696" s="64">
        <f>IFERROR(INDEX('1. Matriz de Activos'!$S$6:$S$239,MATCH($C696,MgActId,0)),"")</f>
        <v/>
      </c>
      <c r="N696" s="28">
        <f>IFERROR(INDEX(MgAmenDegD,MATCH(SUBSTITUTE($H696,"*","-"),MgAmenClave,0)),"No aplica")</f>
        <v/>
      </c>
      <c r="O696" s="28">
        <f>IFERROR(INDEX(MgAmenDegI,MATCH(SUBSTITUTE($H696,"*","-"),MgAmenClave,0)),"No aplica")</f>
        <v/>
      </c>
      <c r="P696" s="28">
        <f>IFERROR(INDEX(MgAmenDegC,MATCH(SUBSTITUTE($H696,"*","-"),MgAmenClave,0)),"No aplica")</f>
        <v/>
      </c>
      <c r="Q696" s="29">
        <f>IFERROR(VLOOKUP(K696,MgValor,2,0)*VLOOKUP(N696,MgDeg,2,0),0)</f>
        <v/>
      </c>
      <c r="R696" s="29">
        <f>IFERROR(VLOOKUP(L696,MgValor,2,0)*VLOOKUP(O696,MgDeg,2,0),0)</f>
        <v/>
      </c>
      <c r="S696" s="29">
        <f>IFERROR(VLOOKUP(M696,MgValor,2,0)*VLOOKUP(P696,MgDeg,2,0),0)</f>
        <v/>
      </c>
      <c r="T696" s="30">
        <f>MAX(Q696:S696)</f>
        <v/>
      </c>
      <c r="U696" s="28">
        <f>IFERROR(LOOKUP(T696,{0;0.5;1.5;3;4.5},{"Despreciable";"Bajo";"Medio";"Alto";"Muy alto"}),"")</f>
        <v/>
      </c>
      <c r="V696" s="13">
        <f>IFERROR(INDEX(MgAmenFrec,MATCH(SUBSTITUTE($H696,"*","-"),MgAmenClave,0)),"")</f>
        <v/>
      </c>
      <c r="W696" s="28">
        <f>IFERROR(LOOKUP(X696,{0;0.01;0.1;1;10;100},{"Muy baja";"Muy baja";"Baja";"Media";"Alta";"Muy alta"}),"")</f>
        <v/>
      </c>
      <c r="X696" s="31">
        <f>IFERROR(VLOOKUP(V696,MgFrec,2,0),0)</f>
        <v/>
      </c>
      <c r="Y696" s="30">
        <f>T696*X696</f>
        <v/>
      </c>
      <c r="Z696" s="28">
        <f>IFERROR(LOOKUP(Y696,{0;0.5;5;25},{"Bajo";"Medio";"Alto";"Crítico"}),"")</f>
        <v/>
      </c>
      <c r="AA696" s="64">
        <f>IF(T696&gt;=3,IF(X696&gt;=1,"Zona 1 — Crítica: impacto alto y ocurre al menos una vez al año","Zona 4 — Catastrófica poco probable: impacto alto pero excepcional"),IF(AND(T696&lt;1.5,X696&lt;1),"Zona 3 — Asumible: impacto bajo y muy poco frecuente","Zona 2 — Atención: riesgo intermedio"))</f>
        <v/>
      </c>
      <c r="AB696" s="64">
        <f>IFERROR(INDEX(MgAmenCtrl,MATCH(SUBSTITUTE($H696,"*","-"),MgAmenClave,0)),"")</f>
        <v/>
      </c>
      <c r="AC696" s="20" t="n"/>
      <c r="AD696" s="31">
        <f>IFERROR($X696*(1-IF($AC696="",$AL696,VLOOKUP($AC696,MgMad,2,0))),"")</f>
        <v/>
      </c>
      <c r="AE696" s="28">
        <f>IFERROR(LOOKUP(AD696,{0;0.01;0.1;1;10;100},{"Muy baja";"Muy baja";"Baja";"Media";"Alta";"Muy alta"}),"")</f>
        <v/>
      </c>
      <c r="AF696" s="30">
        <f>T696*AD696</f>
        <v/>
      </c>
      <c r="AG696" s="28">
        <f>IFERROR(LOOKUP(AF696,{0;0.5;5;25},{"Bajo";"Medio";"Alto";"Crítico"}),"")</f>
        <v/>
      </c>
      <c r="AH696" s="28">
        <f>IF(AG696="","",IF(OR(AG696="Crítico",AG696="Alto"),"Mitigar",IF(AG696="Medio","Mitigar","Aceptar y monitorear")))</f>
        <v/>
      </c>
      <c r="AI696" s="21" t="n"/>
      <c r="AJ696" s="21" t="n"/>
      <c r="AK696" s="20" t="n"/>
      <c r="AL696" s="77">
        <f>IFERROR(INDEX(MgAmenEfic,MATCH(SUBSTITUTE($H696,"*","-"),MgAmenClave,0)),0)</f>
        <v/>
      </c>
    </row>
    <row r="697" hidden="1" ht="60" customHeight="1" s="54">
      <c r="B697" s="59" t="inlineStr">
        <is>
          <t>R-0692</t>
        </is>
      </c>
      <c r="C697" s="59" t="inlineStr">
        <is>
          <t>FIN-08</t>
        </is>
      </c>
      <c r="D697" s="64">
        <f>IFERROR(INDEX(MgNombre,MATCH($C697,MgActId,0)),"")</f>
        <v/>
      </c>
      <c r="E697" s="64">
        <f>IFERROR(INDEX(MgProceso,MATCH($C697,MgActId,0)),"")</f>
        <v/>
      </c>
      <c r="F697" s="64">
        <f>IFERROR(INDEX(MgTipo,MATCH($C697,MgActId,0)),"")</f>
        <v/>
      </c>
      <c r="G697" s="64">
        <f>IFERROR(INDEX(MgSubtipo,MATCH($C697,MgActId,0)),"")</f>
        <v/>
      </c>
      <c r="H697" s="59" t="inlineStr">
        <is>
          <t>E.18</t>
        </is>
      </c>
      <c r="I697" s="64">
        <f>IFERROR(INDEX(MgAmenNombre,MATCH(SUBSTITUTE($H697,"*","-"),MgAmenClave,0)),"")</f>
        <v/>
      </c>
      <c r="J697" s="28">
        <f>IFERROR(INDEX(MgAmenGrupo,MATCH(SUBSTITUTE($H697,"*","-"),MgAmenClave,0)),"")</f>
        <v/>
      </c>
      <c r="K697" s="64">
        <f>IFERROR(INDEX('1. Matriz de Activos'!$Q$6:$Q$239,MATCH($C697,MgActId,0)),"")</f>
        <v/>
      </c>
      <c r="L697" s="64">
        <f>IFERROR(INDEX('1. Matriz de Activos'!$R$6:$R$239,MATCH($C697,MgActId,0)),"")</f>
        <v/>
      </c>
      <c r="M697" s="64">
        <f>IFERROR(INDEX('1. Matriz de Activos'!$S$6:$S$239,MATCH($C697,MgActId,0)),"")</f>
        <v/>
      </c>
      <c r="N697" s="28">
        <f>IFERROR(INDEX(MgAmenDegD,MATCH(SUBSTITUTE($H697,"*","-"),MgAmenClave,0)),"No aplica")</f>
        <v/>
      </c>
      <c r="O697" s="28">
        <f>IFERROR(INDEX(MgAmenDegI,MATCH(SUBSTITUTE($H697,"*","-"),MgAmenClave,0)),"No aplica")</f>
        <v/>
      </c>
      <c r="P697" s="28">
        <f>IFERROR(INDEX(MgAmenDegC,MATCH(SUBSTITUTE($H697,"*","-"),MgAmenClave,0)),"No aplica")</f>
        <v/>
      </c>
      <c r="Q697" s="29">
        <f>IFERROR(VLOOKUP(K697,MgValor,2,0)*VLOOKUP(N697,MgDeg,2,0),0)</f>
        <v/>
      </c>
      <c r="R697" s="29">
        <f>IFERROR(VLOOKUP(L697,MgValor,2,0)*VLOOKUP(O697,MgDeg,2,0),0)</f>
        <v/>
      </c>
      <c r="S697" s="29">
        <f>IFERROR(VLOOKUP(M697,MgValor,2,0)*VLOOKUP(P697,MgDeg,2,0),0)</f>
        <v/>
      </c>
      <c r="T697" s="30">
        <f>MAX(Q697:S697)</f>
        <v/>
      </c>
      <c r="U697" s="28">
        <f>IFERROR(LOOKUP(T697,{0;0.5;1.5;3;4.5},{"Despreciable";"Bajo";"Medio";"Alto";"Muy alto"}),"")</f>
        <v/>
      </c>
      <c r="V697" s="13">
        <f>IFERROR(INDEX(MgAmenFrec,MATCH(SUBSTITUTE($H697,"*","-"),MgAmenClave,0)),"")</f>
        <v/>
      </c>
      <c r="W697" s="28">
        <f>IFERROR(LOOKUP(X697,{0;0.01;0.1;1;10;100},{"Muy baja";"Muy baja";"Baja";"Media";"Alta";"Muy alta"}),"")</f>
        <v/>
      </c>
      <c r="X697" s="31">
        <f>IFERROR(VLOOKUP(V697,MgFrec,2,0),0)</f>
        <v/>
      </c>
      <c r="Y697" s="30">
        <f>T697*X697</f>
        <v/>
      </c>
      <c r="Z697" s="28">
        <f>IFERROR(LOOKUP(Y697,{0;0.5;5;25},{"Bajo";"Medio";"Alto";"Crítico"}),"")</f>
        <v/>
      </c>
      <c r="AA697" s="64">
        <f>IF(T697&gt;=3,IF(X697&gt;=1,"Zona 1 — Crítica: impacto alto y ocurre al menos una vez al año","Zona 4 — Catastrófica poco probable: impacto alto pero excepcional"),IF(AND(T697&lt;1.5,X697&lt;1),"Zona 3 — Asumible: impacto bajo y muy poco frecuente","Zona 2 — Atención: riesgo intermedio"))</f>
        <v/>
      </c>
      <c r="AB697" s="64">
        <f>IFERROR(INDEX(MgAmenCtrl,MATCH(SUBSTITUTE($H697,"*","-"),MgAmenClave,0)),"")</f>
        <v/>
      </c>
      <c r="AC697" s="20" t="n"/>
      <c r="AD697" s="31">
        <f>IFERROR($X697*(1-IF($AC697="",$AL697,VLOOKUP($AC697,MgMad,2,0))),"")</f>
        <v/>
      </c>
      <c r="AE697" s="28">
        <f>IFERROR(LOOKUP(AD697,{0;0.01;0.1;1;10;100},{"Muy baja";"Muy baja";"Baja";"Media";"Alta";"Muy alta"}),"")</f>
        <v/>
      </c>
      <c r="AF697" s="30">
        <f>T697*AD697</f>
        <v/>
      </c>
      <c r="AG697" s="28">
        <f>IFERROR(LOOKUP(AF697,{0;0.5;5;25},{"Bajo";"Medio";"Alto";"Crítico"}),"")</f>
        <v/>
      </c>
      <c r="AH697" s="28">
        <f>IF(AG697="","",IF(OR(AG697="Crítico",AG697="Alto"),"Mitigar",IF(AG697="Medio","Mitigar","Aceptar y monitorear")))</f>
        <v/>
      </c>
      <c r="AI697" s="21" t="n"/>
      <c r="AJ697" s="21" t="n"/>
      <c r="AK697" s="20" t="n"/>
      <c r="AL697" s="77">
        <f>IFERROR(INDEX(MgAmenEfic,MATCH(SUBSTITUTE($H697,"*","-"),MgAmenClave,0)),0)</f>
        <v/>
      </c>
    </row>
    <row r="698" hidden="1" ht="105" customHeight="1" s="54">
      <c r="B698" s="59" t="inlineStr">
        <is>
          <t>R-0693</t>
        </is>
      </c>
      <c r="C698" s="59" t="inlineStr">
        <is>
          <t>FIN-08</t>
        </is>
      </c>
      <c r="D698" s="64">
        <f>IFERROR(INDEX(MgNombre,MATCH($C698,MgActId,0)),"")</f>
        <v/>
      </c>
      <c r="E698" s="64">
        <f>IFERROR(INDEX(MgProceso,MATCH($C698,MgActId,0)),"")</f>
        <v/>
      </c>
      <c r="F698" s="64">
        <f>IFERROR(INDEX(MgTipo,MATCH($C698,MgActId,0)),"")</f>
        <v/>
      </c>
      <c r="G698" s="64">
        <f>IFERROR(INDEX(MgSubtipo,MATCH($C698,MgActId,0)),"")</f>
        <v/>
      </c>
      <c r="H698" s="59" t="inlineStr">
        <is>
          <t>E.19</t>
        </is>
      </c>
      <c r="I698" s="64">
        <f>IFERROR(INDEX(MgAmenNombre,MATCH(SUBSTITUTE($H698,"*","-"),MgAmenClave,0)),"")</f>
        <v/>
      </c>
      <c r="J698" s="28">
        <f>IFERROR(INDEX(MgAmenGrupo,MATCH(SUBSTITUTE($H698,"*","-"),MgAmenClave,0)),"")</f>
        <v/>
      </c>
      <c r="K698" s="64">
        <f>IFERROR(INDEX('1. Matriz de Activos'!$Q$6:$Q$239,MATCH($C698,MgActId,0)),"")</f>
        <v/>
      </c>
      <c r="L698" s="64">
        <f>IFERROR(INDEX('1. Matriz de Activos'!$R$6:$R$239,MATCH($C698,MgActId,0)),"")</f>
        <v/>
      </c>
      <c r="M698" s="64">
        <f>IFERROR(INDEX('1. Matriz de Activos'!$S$6:$S$239,MATCH($C698,MgActId,0)),"")</f>
        <v/>
      </c>
      <c r="N698" s="28">
        <f>IFERROR(INDEX(MgAmenDegD,MATCH(SUBSTITUTE($H698,"*","-"),MgAmenClave,0)),"No aplica")</f>
        <v/>
      </c>
      <c r="O698" s="28">
        <f>IFERROR(INDEX(MgAmenDegI,MATCH(SUBSTITUTE($H698,"*","-"),MgAmenClave,0)),"No aplica")</f>
        <v/>
      </c>
      <c r="P698" s="28">
        <f>IFERROR(INDEX(MgAmenDegC,MATCH(SUBSTITUTE($H698,"*","-"),MgAmenClave,0)),"No aplica")</f>
        <v/>
      </c>
      <c r="Q698" s="29">
        <f>IFERROR(VLOOKUP(K698,MgValor,2,0)*VLOOKUP(N698,MgDeg,2,0),0)</f>
        <v/>
      </c>
      <c r="R698" s="29">
        <f>IFERROR(VLOOKUP(L698,MgValor,2,0)*VLOOKUP(O698,MgDeg,2,0),0)</f>
        <v/>
      </c>
      <c r="S698" s="29">
        <f>IFERROR(VLOOKUP(M698,MgValor,2,0)*VLOOKUP(P698,MgDeg,2,0),0)</f>
        <v/>
      </c>
      <c r="T698" s="30">
        <f>MAX(Q698:S698)</f>
        <v/>
      </c>
      <c r="U698" s="28">
        <f>IFERROR(LOOKUP(T698,{0;0.5;1.5;3;4.5},{"Despreciable";"Bajo";"Medio";"Alto";"Muy alto"}),"")</f>
        <v/>
      </c>
      <c r="V698" s="13">
        <f>IFERROR(INDEX(MgAmenFrec,MATCH(SUBSTITUTE($H698,"*","-"),MgAmenClave,0)),"")</f>
        <v/>
      </c>
      <c r="W698" s="28">
        <f>IFERROR(LOOKUP(X698,{0;0.01;0.1;1;10;100},{"Muy baja";"Muy baja";"Baja";"Media";"Alta";"Muy alta"}),"")</f>
        <v/>
      </c>
      <c r="X698" s="31">
        <f>IFERROR(VLOOKUP(V698,MgFrec,2,0),0)</f>
        <v/>
      </c>
      <c r="Y698" s="30">
        <f>T698*X698</f>
        <v/>
      </c>
      <c r="Z698" s="28">
        <f>IFERROR(LOOKUP(Y698,{0;0.5;5;25},{"Bajo";"Medio";"Alto";"Crítico"}),"")</f>
        <v/>
      </c>
      <c r="AA698" s="64">
        <f>IF(T698&gt;=3,IF(X698&gt;=1,"Zona 1 — Crítica: impacto alto y ocurre al menos una vez al año","Zona 4 — Catastrófica poco probable: impacto alto pero excepcional"),IF(AND(T698&lt;1.5,X698&lt;1),"Zona 3 — Asumible: impacto bajo y muy poco frecuente","Zona 2 — Atención: riesgo intermedio"))</f>
        <v/>
      </c>
      <c r="AB698" s="64">
        <f>IFERROR(INDEX(MgAmenCtrl,MATCH(SUBSTITUTE($H698,"*","-"),MgAmenClave,0)),"")</f>
        <v/>
      </c>
      <c r="AC698" s="20" t="n"/>
      <c r="AD698" s="31">
        <f>IFERROR($X698*(1-IF($AC698="",$AL698,VLOOKUP($AC698,MgMad,2,0))),"")</f>
        <v/>
      </c>
      <c r="AE698" s="28">
        <f>IFERROR(LOOKUP(AD698,{0;0.01;0.1;1;10;100},{"Muy baja";"Muy baja";"Baja";"Media";"Alta";"Muy alta"}),"")</f>
        <v/>
      </c>
      <c r="AF698" s="30">
        <f>T698*AD698</f>
        <v/>
      </c>
      <c r="AG698" s="28">
        <f>IFERROR(LOOKUP(AF698,{0;0.5;5;25},{"Bajo";"Medio";"Alto";"Crítico"}),"")</f>
        <v/>
      </c>
      <c r="AH698" s="28">
        <f>IF(AG698="","",IF(OR(AG698="Crítico",AG698="Alto"),"Mitigar",IF(AG698="Medio","Mitigar","Aceptar y monitorear")))</f>
        <v/>
      </c>
      <c r="AI698" s="21" t="n"/>
      <c r="AJ698" s="21" t="n"/>
      <c r="AK698" s="20" t="n"/>
      <c r="AL698" s="77">
        <f>IFERROR(INDEX(MgAmenEfic,MATCH(SUBSTITUTE($H698,"*","-"),MgAmenClave,0)),0)</f>
        <v/>
      </c>
    </row>
    <row r="699" hidden="1" ht="60" customHeight="1" s="54">
      <c r="B699" s="59" t="inlineStr">
        <is>
          <t>R-0694</t>
        </is>
      </c>
      <c r="C699" s="59" t="inlineStr">
        <is>
          <t>FIN-08</t>
        </is>
      </c>
      <c r="D699" s="64">
        <f>IFERROR(INDEX(MgNombre,MATCH($C699,MgActId,0)),"")</f>
        <v/>
      </c>
      <c r="E699" s="64">
        <f>IFERROR(INDEX(MgProceso,MATCH($C699,MgActId,0)),"")</f>
        <v/>
      </c>
      <c r="F699" s="64">
        <f>IFERROR(INDEX(MgTipo,MATCH($C699,MgActId,0)),"")</f>
        <v/>
      </c>
      <c r="G699" s="64">
        <f>IFERROR(INDEX(MgSubtipo,MATCH($C699,MgActId,0)),"")</f>
        <v/>
      </c>
      <c r="H699" s="59" t="inlineStr">
        <is>
          <t>A.3</t>
        </is>
      </c>
      <c r="I699" s="64">
        <f>IFERROR(INDEX(MgAmenNombre,MATCH(SUBSTITUTE($H699,"*","-"),MgAmenClave,0)),"")</f>
        <v/>
      </c>
      <c r="J699" s="28">
        <f>IFERROR(INDEX(MgAmenGrupo,MATCH(SUBSTITUTE($H699,"*","-"),MgAmenClave,0)),"")</f>
        <v/>
      </c>
      <c r="K699" s="64">
        <f>IFERROR(INDEX('1. Matriz de Activos'!$Q$6:$Q$239,MATCH($C699,MgActId,0)),"")</f>
        <v/>
      </c>
      <c r="L699" s="64">
        <f>IFERROR(INDEX('1. Matriz de Activos'!$R$6:$R$239,MATCH($C699,MgActId,0)),"")</f>
        <v/>
      </c>
      <c r="M699" s="64">
        <f>IFERROR(INDEX('1. Matriz de Activos'!$S$6:$S$239,MATCH($C699,MgActId,0)),"")</f>
        <v/>
      </c>
      <c r="N699" s="28">
        <f>IFERROR(INDEX(MgAmenDegD,MATCH(SUBSTITUTE($H699,"*","-"),MgAmenClave,0)),"No aplica")</f>
        <v/>
      </c>
      <c r="O699" s="28">
        <f>IFERROR(INDEX(MgAmenDegI,MATCH(SUBSTITUTE($H699,"*","-"),MgAmenClave,0)),"No aplica")</f>
        <v/>
      </c>
      <c r="P699" s="28">
        <f>IFERROR(INDEX(MgAmenDegC,MATCH(SUBSTITUTE($H699,"*","-"),MgAmenClave,0)),"No aplica")</f>
        <v/>
      </c>
      <c r="Q699" s="29">
        <f>IFERROR(VLOOKUP(K699,MgValor,2,0)*VLOOKUP(N699,MgDeg,2,0),0)</f>
        <v/>
      </c>
      <c r="R699" s="29">
        <f>IFERROR(VLOOKUP(L699,MgValor,2,0)*VLOOKUP(O699,MgDeg,2,0),0)</f>
        <v/>
      </c>
      <c r="S699" s="29">
        <f>IFERROR(VLOOKUP(M699,MgValor,2,0)*VLOOKUP(P699,MgDeg,2,0),0)</f>
        <v/>
      </c>
      <c r="T699" s="30">
        <f>MAX(Q699:S699)</f>
        <v/>
      </c>
      <c r="U699" s="28">
        <f>IFERROR(LOOKUP(T699,{0;0.5;1.5;3;4.5},{"Despreciable";"Bajo";"Medio";"Alto";"Muy alto"}),"")</f>
        <v/>
      </c>
      <c r="V699" s="13">
        <f>IFERROR(INDEX(MgAmenFrec,MATCH(SUBSTITUTE($H699,"*","-"),MgAmenClave,0)),"")</f>
        <v/>
      </c>
      <c r="W699" s="28">
        <f>IFERROR(LOOKUP(X699,{0;0.01;0.1;1;10;100},{"Muy baja";"Muy baja";"Baja";"Media";"Alta";"Muy alta"}),"")</f>
        <v/>
      </c>
      <c r="X699" s="31">
        <f>IFERROR(VLOOKUP(V699,MgFrec,2,0),0)</f>
        <v/>
      </c>
      <c r="Y699" s="30">
        <f>T699*X699</f>
        <v/>
      </c>
      <c r="Z699" s="28">
        <f>IFERROR(LOOKUP(Y699,{0;0.5;5;25},{"Bajo";"Medio";"Alto";"Crítico"}),"")</f>
        <v/>
      </c>
      <c r="AA699" s="64">
        <f>IF(T699&gt;=3,IF(X699&gt;=1,"Zona 1 — Crítica: impacto alto y ocurre al menos una vez al año","Zona 4 — Catastrófica poco probable: impacto alto pero excepcional"),IF(AND(T699&lt;1.5,X699&lt;1),"Zona 3 — Asumible: impacto bajo y muy poco frecuente","Zona 2 — Atención: riesgo intermedio"))</f>
        <v/>
      </c>
      <c r="AB699" s="64">
        <f>IFERROR(INDEX(MgAmenCtrl,MATCH(SUBSTITUTE($H699,"*","-"),MgAmenClave,0)),"")</f>
        <v/>
      </c>
      <c r="AC699" s="20" t="n"/>
      <c r="AD699" s="31">
        <f>IFERROR($X699*(1-IF($AC699="",$AL699,VLOOKUP($AC699,MgMad,2,0))),"")</f>
        <v/>
      </c>
      <c r="AE699" s="28">
        <f>IFERROR(LOOKUP(AD699,{0;0.01;0.1;1;10;100},{"Muy baja";"Muy baja";"Baja";"Media";"Alta";"Muy alta"}),"")</f>
        <v/>
      </c>
      <c r="AF699" s="30">
        <f>T699*AD699</f>
        <v/>
      </c>
      <c r="AG699" s="28">
        <f>IFERROR(LOOKUP(AF699,{0;0.5;5;25},{"Bajo";"Medio";"Alto";"Crítico"}),"")</f>
        <v/>
      </c>
      <c r="AH699" s="28">
        <f>IF(AG699="","",IF(OR(AG699="Crítico",AG699="Alto"),"Mitigar",IF(AG699="Medio","Mitigar","Aceptar y monitorear")))</f>
        <v/>
      </c>
      <c r="AI699" s="21" t="n"/>
      <c r="AJ699" s="21" t="n"/>
      <c r="AK699" s="20" t="n"/>
      <c r="AL699" s="77">
        <f>IFERROR(INDEX(MgAmenEfic,MATCH(SUBSTITUTE($H699,"*","-"),MgAmenClave,0)),0)</f>
        <v/>
      </c>
    </row>
    <row r="700" hidden="1" ht="60" customHeight="1" s="54">
      <c r="B700" s="59" t="inlineStr">
        <is>
          <t>R-0695</t>
        </is>
      </c>
      <c r="C700" s="59" t="inlineStr">
        <is>
          <t>FIN-08</t>
        </is>
      </c>
      <c r="D700" s="64">
        <f>IFERROR(INDEX(MgNombre,MATCH($C700,MgActId,0)),"")</f>
        <v/>
      </c>
      <c r="E700" s="64">
        <f>IFERROR(INDEX(MgProceso,MATCH($C700,MgActId,0)),"")</f>
        <v/>
      </c>
      <c r="F700" s="64">
        <f>IFERROR(INDEX(MgTipo,MATCH($C700,MgActId,0)),"")</f>
        <v/>
      </c>
      <c r="G700" s="64">
        <f>IFERROR(INDEX(MgSubtipo,MATCH($C700,MgActId,0)),"")</f>
        <v/>
      </c>
      <c r="H700" s="59" t="inlineStr">
        <is>
          <t>A.4</t>
        </is>
      </c>
      <c r="I700" s="64">
        <f>IFERROR(INDEX(MgAmenNombre,MATCH(SUBSTITUTE($H700,"*","-"),MgAmenClave,0)),"")</f>
        <v/>
      </c>
      <c r="J700" s="28">
        <f>IFERROR(INDEX(MgAmenGrupo,MATCH(SUBSTITUTE($H700,"*","-"),MgAmenClave,0)),"")</f>
        <v/>
      </c>
      <c r="K700" s="64">
        <f>IFERROR(INDEX('1. Matriz de Activos'!$Q$6:$Q$239,MATCH($C700,MgActId,0)),"")</f>
        <v/>
      </c>
      <c r="L700" s="64">
        <f>IFERROR(INDEX('1. Matriz de Activos'!$R$6:$R$239,MATCH($C700,MgActId,0)),"")</f>
        <v/>
      </c>
      <c r="M700" s="64">
        <f>IFERROR(INDEX('1. Matriz de Activos'!$S$6:$S$239,MATCH($C700,MgActId,0)),"")</f>
        <v/>
      </c>
      <c r="N700" s="28">
        <f>IFERROR(INDEX(MgAmenDegD,MATCH(SUBSTITUTE($H700,"*","-"),MgAmenClave,0)),"No aplica")</f>
        <v/>
      </c>
      <c r="O700" s="28">
        <f>IFERROR(INDEX(MgAmenDegI,MATCH(SUBSTITUTE($H700,"*","-"),MgAmenClave,0)),"No aplica")</f>
        <v/>
      </c>
      <c r="P700" s="28">
        <f>IFERROR(INDEX(MgAmenDegC,MATCH(SUBSTITUTE($H700,"*","-"),MgAmenClave,0)),"No aplica")</f>
        <v/>
      </c>
      <c r="Q700" s="29">
        <f>IFERROR(VLOOKUP(K700,MgValor,2,0)*VLOOKUP(N700,MgDeg,2,0),0)</f>
        <v/>
      </c>
      <c r="R700" s="29">
        <f>IFERROR(VLOOKUP(L700,MgValor,2,0)*VLOOKUP(O700,MgDeg,2,0),0)</f>
        <v/>
      </c>
      <c r="S700" s="29">
        <f>IFERROR(VLOOKUP(M700,MgValor,2,0)*VLOOKUP(P700,MgDeg,2,0),0)</f>
        <v/>
      </c>
      <c r="T700" s="30">
        <f>MAX(Q700:S700)</f>
        <v/>
      </c>
      <c r="U700" s="28">
        <f>IFERROR(LOOKUP(T700,{0;0.5;1.5;3;4.5},{"Despreciable";"Bajo";"Medio";"Alto";"Muy alto"}),"")</f>
        <v/>
      </c>
      <c r="V700" s="13">
        <f>IFERROR(INDEX(MgAmenFrec,MATCH(SUBSTITUTE($H700,"*","-"),MgAmenClave,0)),"")</f>
        <v/>
      </c>
      <c r="W700" s="28">
        <f>IFERROR(LOOKUP(X700,{0;0.01;0.1;1;10;100},{"Muy baja";"Muy baja";"Baja";"Media";"Alta";"Muy alta"}),"")</f>
        <v/>
      </c>
      <c r="X700" s="31">
        <f>IFERROR(VLOOKUP(V700,MgFrec,2,0),0)</f>
        <v/>
      </c>
      <c r="Y700" s="30">
        <f>T700*X700</f>
        <v/>
      </c>
      <c r="Z700" s="28">
        <f>IFERROR(LOOKUP(Y700,{0;0.5;5;25},{"Bajo";"Medio";"Alto";"Crítico"}),"")</f>
        <v/>
      </c>
      <c r="AA700" s="64">
        <f>IF(T700&gt;=3,IF(X700&gt;=1,"Zona 1 — Crítica: impacto alto y ocurre al menos una vez al año","Zona 4 — Catastrófica poco probable: impacto alto pero excepcional"),IF(AND(T700&lt;1.5,X700&lt;1),"Zona 3 — Asumible: impacto bajo y muy poco frecuente","Zona 2 — Atención: riesgo intermedio"))</f>
        <v/>
      </c>
      <c r="AB700" s="64">
        <f>IFERROR(INDEX(MgAmenCtrl,MATCH(SUBSTITUTE($H700,"*","-"),MgAmenClave,0)),"")</f>
        <v/>
      </c>
      <c r="AC700" s="20" t="n"/>
      <c r="AD700" s="31">
        <f>IFERROR($X700*(1-IF($AC700="",$AL700,VLOOKUP($AC700,MgMad,2,0))),"")</f>
        <v/>
      </c>
      <c r="AE700" s="28">
        <f>IFERROR(LOOKUP(AD700,{0;0.01;0.1;1;10;100},{"Muy baja";"Muy baja";"Baja";"Media";"Alta";"Muy alta"}),"")</f>
        <v/>
      </c>
      <c r="AF700" s="30">
        <f>T700*AD700</f>
        <v/>
      </c>
      <c r="AG700" s="28">
        <f>IFERROR(LOOKUP(AF700,{0;0.5;5;25},{"Bajo";"Medio";"Alto";"Crítico"}),"")</f>
        <v/>
      </c>
      <c r="AH700" s="28">
        <f>IF(AG700="","",IF(OR(AG700="Crítico",AG700="Alto"),"Mitigar",IF(AG700="Medio","Mitigar","Aceptar y monitorear")))</f>
        <v/>
      </c>
      <c r="AI700" s="21" t="n"/>
      <c r="AJ700" s="21" t="n"/>
      <c r="AK700" s="20" t="n"/>
      <c r="AL700" s="77">
        <f>IFERROR(INDEX(MgAmenEfic,MATCH(SUBSTITUTE($H700,"*","-"),MgAmenClave,0)),0)</f>
        <v/>
      </c>
    </row>
    <row r="701" hidden="1" ht="75" customHeight="1" s="54">
      <c r="B701" s="59" t="inlineStr">
        <is>
          <t>R-0696</t>
        </is>
      </c>
      <c r="C701" s="59" t="inlineStr">
        <is>
          <t>FIN-08</t>
        </is>
      </c>
      <c r="D701" s="64">
        <f>IFERROR(INDEX(MgNombre,MATCH($C701,MgActId,0)),"")</f>
        <v/>
      </c>
      <c r="E701" s="64">
        <f>IFERROR(INDEX(MgProceso,MATCH($C701,MgActId,0)),"")</f>
        <v/>
      </c>
      <c r="F701" s="64">
        <f>IFERROR(INDEX(MgTipo,MATCH($C701,MgActId,0)),"")</f>
        <v/>
      </c>
      <c r="G701" s="64">
        <f>IFERROR(INDEX(MgSubtipo,MATCH($C701,MgActId,0)),"")</f>
        <v/>
      </c>
      <c r="H701" s="59" t="inlineStr">
        <is>
          <t>A.5</t>
        </is>
      </c>
      <c r="I701" s="64">
        <f>IFERROR(INDEX(MgAmenNombre,MATCH(SUBSTITUTE($H701,"*","-"),MgAmenClave,0)),"")</f>
        <v/>
      </c>
      <c r="J701" s="28">
        <f>IFERROR(INDEX(MgAmenGrupo,MATCH(SUBSTITUTE($H701,"*","-"),MgAmenClave,0)),"")</f>
        <v/>
      </c>
      <c r="K701" s="64">
        <f>IFERROR(INDEX('1. Matriz de Activos'!$Q$6:$Q$239,MATCH($C701,MgActId,0)),"")</f>
        <v/>
      </c>
      <c r="L701" s="64">
        <f>IFERROR(INDEX('1. Matriz de Activos'!$R$6:$R$239,MATCH($C701,MgActId,0)),"")</f>
        <v/>
      </c>
      <c r="M701" s="64">
        <f>IFERROR(INDEX('1. Matriz de Activos'!$S$6:$S$239,MATCH($C701,MgActId,0)),"")</f>
        <v/>
      </c>
      <c r="N701" s="28">
        <f>IFERROR(INDEX(MgAmenDegD,MATCH(SUBSTITUTE($H701,"*","-"),MgAmenClave,0)),"No aplica")</f>
        <v/>
      </c>
      <c r="O701" s="28">
        <f>IFERROR(INDEX(MgAmenDegI,MATCH(SUBSTITUTE($H701,"*","-"),MgAmenClave,0)),"No aplica")</f>
        <v/>
      </c>
      <c r="P701" s="28">
        <f>IFERROR(INDEX(MgAmenDegC,MATCH(SUBSTITUTE($H701,"*","-"),MgAmenClave,0)),"No aplica")</f>
        <v/>
      </c>
      <c r="Q701" s="29">
        <f>IFERROR(VLOOKUP(K701,MgValor,2,0)*VLOOKUP(N701,MgDeg,2,0),0)</f>
        <v/>
      </c>
      <c r="R701" s="29">
        <f>IFERROR(VLOOKUP(L701,MgValor,2,0)*VLOOKUP(O701,MgDeg,2,0),0)</f>
        <v/>
      </c>
      <c r="S701" s="29">
        <f>IFERROR(VLOOKUP(M701,MgValor,2,0)*VLOOKUP(P701,MgDeg,2,0),0)</f>
        <v/>
      </c>
      <c r="T701" s="30">
        <f>MAX(Q701:S701)</f>
        <v/>
      </c>
      <c r="U701" s="28">
        <f>IFERROR(LOOKUP(T701,{0;0.5;1.5;3;4.5},{"Despreciable";"Bajo";"Medio";"Alto";"Muy alto"}),"")</f>
        <v/>
      </c>
      <c r="V701" s="13">
        <f>IFERROR(INDEX(MgAmenFrec,MATCH(SUBSTITUTE($H701,"*","-"),MgAmenClave,0)),"")</f>
        <v/>
      </c>
      <c r="W701" s="28">
        <f>IFERROR(LOOKUP(X701,{0;0.01;0.1;1;10;100},{"Muy baja";"Muy baja";"Baja";"Media";"Alta";"Muy alta"}),"")</f>
        <v/>
      </c>
      <c r="X701" s="31">
        <f>IFERROR(VLOOKUP(V701,MgFrec,2,0),0)</f>
        <v/>
      </c>
      <c r="Y701" s="30">
        <f>T701*X701</f>
        <v/>
      </c>
      <c r="Z701" s="28">
        <f>IFERROR(LOOKUP(Y701,{0;0.5;5;25},{"Bajo";"Medio";"Alto";"Crítico"}),"")</f>
        <v/>
      </c>
      <c r="AA701" s="64">
        <f>IF(T701&gt;=3,IF(X701&gt;=1,"Zona 1 — Crítica: impacto alto y ocurre al menos una vez al año","Zona 4 — Catastrófica poco probable: impacto alto pero excepcional"),IF(AND(T701&lt;1.5,X701&lt;1),"Zona 3 — Asumible: impacto bajo y muy poco frecuente","Zona 2 — Atención: riesgo intermedio"))</f>
        <v/>
      </c>
      <c r="AB701" s="64">
        <f>IFERROR(INDEX(MgAmenCtrl,MATCH(SUBSTITUTE($H701,"*","-"),MgAmenClave,0)),"")</f>
        <v/>
      </c>
      <c r="AC701" s="20" t="n"/>
      <c r="AD701" s="31">
        <f>IFERROR($X701*(1-IF($AC701="",$AL701,VLOOKUP($AC701,MgMad,2,0))),"")</f>
        <v/>
      </c>
      <c r="AE701" s="28">
        <f>IFERROR(LOOKUP(AD701,{0;0.01;0.1;1;10;100},{"Muy baja";"Muy baja";"Baja";"Media";"Alta";"Muy alta"}),"")</f>
        <v/>
      </c>
      <c r="AF701" s="30">
        <f>T701*AD701</f>
        <v/>
      </c>
      <c r="AG701" s="28">
        <f>IFERROR(LOOKUP(AF701,{0;0.5;5;25},{"Bajo";"Medio";"Alto";"Crítico"}),"")</f>
        <v/>
      </c>
      <c r="AH701" s="28">
        <f>IF(AG701="","",IF(OR(AG701="Crítico",AG701="Alto"),"Mitigar",IF(AG701="Medio","Mitigar","Aceptar y monitorear")))</f>
        <v/>
      </c>
      <c r="AI701" s="21" t="n"/>
      <c r="AJ701" s="21" t="n"/>
      <c r="AK701" s="20" t="n"/>
      <c r="AL701" s="77">
        <f>IFERROR(INDEX(MgAmenEfic,MATCH(SUBSTITUTE($H701,"*","-"),MgAmenClave,0)),0)</f>
        <v/>
      </c>
    </row>
    <row r="702" hidden="1" ht="105" customHeight="1" s="54">
      <c r="B702" s="59" t="inlineStr">
        <is>
          <t>R-0697</t>
        </is>
      </c>
      <c r="C702" s="59" t="inlineStr">
        <is>
          <t>FIN-08</t>
        </is>
      </c>
      <c r="D702" s="64">
        <f>IFERROR(INDEX(MgNombre,MATCH($C702,MgActId,0)),"")</f>
        <v/>
      </c>
      <c r="E702" s="64">
        <f>IFERROR(INDEX(MgProceso,MATCH($C702,MgActId,0)),"")</f>
        <v/>
      </c>
      <c r="F702" s="64">
        <f>IFERROR(INDEX(MgTipo,MATCH($C702,MgActId,0)),"")</f>
        <v/>
      </c>
      <c r="G702" s="64">
        <f>IFERROR(INDEX(MgSubtipo,MATCH($C702,MgActId,0)),"")</f>
        <v/>
      </c>
      <c r="H702" s="59" t="inlineStr">
        <is>
          <t>A.6</t>
        </is>
      </c>
      <c r="I702" s="64">
        <f>IFERROR(INDEX(MgAmenNombre,MATCH(SUBSTITUTE($H702,"*","-"),MgAmenClave,0)),"")</f>
        <v/>
      </c>
      <c r="J702" s="28">
        <f>IFERROR(INDEX(MgAmenGrupo,MATCH(SUBSTITUTE($H702,"*","-"),MgAmenClave,0)),"")</f>
        <v/>
      </c>
      <c r="K702" s="64">
        <f>IFERROR(INDEX('1. Matriz de Activos'!$Q$6:$Q$239,MATCH($C702,MgActId,0)),"")</f>
        <v/>
      </c>
      <c r="L702" s="64">
        <f>IFERROR(INDEX('1. Matriz de Activos'!$R$6:$R$239,MATCH($C702,MgActId,0)),"")</f>
        <v/>
      </c>
      <c r="M702" s="64">
        <f>IFERROR(INDEX('1. Matriz de Activos'!$S$6:$S$239,MATCH($C702,MgActId,0)),"")</f>
        <v/>
      </c>
      <c r="N702" s="28">
        <f>IFERROR(INDEX(MgAmenDegD,MATCH(SUBSTITUTE($H702,"*","-"),MgAmenClave,0)),"No aplica")</f>
        <v/>
      </c>
      <c r="O702" s="28">
        <f>IFERROR(INDEX(MgAmenDegI,MATCH(SUBSTITUTE($H702,"*","-"),MgAmenClave,0)),"No aplica")</f>
        <v/>
      </c>
      <c r="P702" s="28">
        <f>IFERROR(INDEX(MgAmenDegC,MATCH(SUBSTITUTE($H702,"*","-"),MgAmenClave,0)),"No aplica")</f>
        <v/>
      </c>
      <c r="Q702" s="29">
        <f>IFERROR(VLOOKUP(K702,MgValor,2,0)*VLOOKUP(N702,MgDeg,2,0),0)</f>
        <v/>
      </c>
      <c r="R702" s="29">
        <f>IFERROR(VLOOKUP(L702,MgValor,2,0)*VLOOKUP(O702,MgDeg,2,0),0)</f>
        <v/>
      </c>
      <c r="S702" s="29">
        <f>IFERROR(VLOOKUP(M702,MgValor,2,0)*VLOOKUP(P702,MgDeg,2,0),0)</f>
        <v/>
      </c>
      <c r="T702" s="30">
        <f>MAX(Q702:S702)</f>
        <v/>
      </c>
      <c r="U702" s="28">
        <f>IFERROR(LOOKUP(T702,{0;0.5;1.5;3;4.5},{"Despreciable";"Bajo";"Medio";"Alto";"Muy alto"}),"")</f>
        <v/>
      </c>
      <c r="V702" s="13">
        <f>IFERROR(INDEX(MgAmenFrec,MATCH(SUBSTITUTE($H702,"*","-"),MgAmenClave,0)),"")</f>
        <v/>
      </c>
      <c r="W702" s="28">
        <f>IFERROR(LOOKUP(X702,{0;0.01;0.1;1;10;100},{"Muy baja";"Muy baja";"Baja";"Media";"Alta";"Muy alta"}),"")</f>
        <v/>
      </c>
      <c r="X702" s="31">
        <f>IFERROR(VLOOKUP(V702,MgFrec,2,0),0)</f>
        <v/>
      </c>
      <c r="Y702" s="30">
        <f>T702*X702</f>
        <v/>
      </c>
      <c r="Z702" s="28">
        <f>IFERROR(LOOKUP(Y702,{0;0.5;5;25},{"Bajo";"Medio";"Alto";"Crítico"}),"")</f>
        <v/>
      </c>
      <c r="AA702" s="64">
        <f>IF(T702&gt;=3,IF(X702&gt;=1,"Zona 1 — Crítica: impacto alto y ocurre al menos una vez al año","Zona 4 — Catastrófica poco probable: impacto alto pero excepcional"),IF(AND(T702&lt;1.5,X702&lt;1),"Zona 3 — Asumible: impacto bajo y muy poco frecuente","Zona 2 — Atención: riesgo intermedio"))</f>
        <v/>
      </c>
      <c r="AB702" s="64">
        <f>IFERROR(INDEX(MgAmenCtrl,MATCH(SUBSTITUTE($H702,"*","-"),MgAmenClave,0)),"")</f>
        <v/>
      </c>
      <c r="AC702" s="20" t="n"/>
      <c r="AD702" s="31">
        <f>IFERROR($X702*(1-IF($AC702="",$AL702,VLOOKUP($AC702,MgMad,2,0))),"")</f>
        <v/>
      </c>
      <c r="AE702" s="28">
        <f>IFERROR(LOOKUP(AD702,{0;0.01;0.1;1;10;100},{"Muy baja";"Muy baja";"Baja";"Media";"Alta";"Muy alta"}),"")</f>
        <v/>
      </c>
      <c r="AF702" s="30">
        <f>T702*AD702</f>
        <v/>
      </c>
      <c r="AG702" s="28">
        <f>IFERROR(LOOKUP(AF702,{0;0.5;5;25},{"Bajo";"Medio";"Alto";"Crítico"}),"")</f>
        <v/>
      </c>
      <c r="AH702" s="28">
        <f>IF(AG702="","",IF(OR(AG702="Crítico",AG702="Alto"),"Mitigar",IF(AG702="Medio","Mitigar","Aceptar y monitorear")))</f>
        <v/>
      </c>
      <c r="AI702" s="21" t="n"/>
      <c r="AJ702" s="21" t="n"/>
      <c r="AK702" s="20" t="n"/>
      <c r="AL702" s="77">
        <f>IFERROR(INDEX(MgAmenEfic,MATCH(SUBSTITUTE($H702,"*","-"),MgAmenClave,0)),0)</f>
        <v/>
      </c>
    </row>
    <row r="703" hidden="1" ht="120" customHeight="1" s="54">
      <c r="B703" s="59" t="inlineStr">
        <is>
          <t>R-0698</t>
        </is>
      </c>
      <c r="C703" s="59" t="inlineStr">
        <is>
          <t>FIN-08</t>
        </is>
      </c>
      <c r="D703" s="64">
        <f>IFERROR(INDEX(MgNombre,MATCH($C703,MgActId,0)),"")</f>
        <v/>
      </c>
      <c r="E703" s="64">
        <f>IFERROR(INDEX(MgProceso,MATCH($C703,MgActId,0)),"")</f>
        <v/>
      </c>
      <c r="F703" s="64">
        <f>IFERROR(INDEX(MgTipo,MATCH($C703,MgActId,0)),"")</f>
        <v/>
      </c>
      <c r="G703" s="64">
        <f>IFERROR(INDEX(MgSubtipo,MATCH($C703,MgActId,0)),"")</f>
        <v/>
      </c>
      <c r="H703" s="59" t="inlineStr">
        <is>
          <t>A.11</t>
        </is>
      </c>
      <c r="I703" s="64">
        <f>IFERROR(INDEX(MgAmenNombre,MATCH(SUBSTITUTE($H703,"*","-"),MgAmenClave,0)),"")</f>
        <v/>
      </c>
      <c r="J703" s="28">
        <f>IFERROR(INDEX(MgAmenGrupo,MATCH(SUBSTITUTE($H703,"*","-"),MgAmenClave,0)),"")</f>
        <v/>
      </c>
      <c r="K703" s="64">
        <f>IFERROR(INDEX('1. Matriz de Activos'!$Q$6:$Q$239,MATCH($C703,MgActId,0)),"")</f>
        <v/>
      </c>
      <c r="L703" s="64">
        <f>IFERROR(INDEX('1. Matriz de Activos'!$R$6:$R$239,MATCH($C703,MgActId,0)),"")</f>
        <v/>
      </c>
      <c r="M703" s="64">
        <f>IFERROR(INDEX('1. Matriz de Activos'!$S$6:$S$239,MATCH($C703,MgActId,0)),"")</f>
        <v/>
      </c>
      <c r="N703" s="28">
        <f>IFERROR(INDEX(MgAmenDegD,MATCH(SUBSTITUTE($H703,"*","-"),MgAmenClave,0)),"No aplica")</f>
        <v/>
      </c>
      <c r="O703" s="28">
        <f>IFERROR(INDEX(MgAmenDegI,MATCH(SUBSTITUTE($H703,"*","-"),MgAmenClave,0)),"No aplica")</f>
        <v/>
      </c>
      <c r="P703" s="28">
        <f>IFERROR(INDEX(MgAmenDegC,MATCH(SUBSTITUTE($H703,"*","-"),MgAmenClave,0)),"No aplica")</f>
        <v/>
      </c>
      <c r="Q703" s="29">
        <f>IFERROR(VLOOKUP(K703,MgValor,2,0)*VLOOKUP(N703,MgDeg,2,0),0)</f>
        <v/>
      </c>
      <c r="R703" s="29">
        <f>IFERROR(VLOOKUP(L703,MgValor,2,0)*VLOOKUP(O703,MgDeg,2,0),0)</f>
        <v/>
      </c>
      <c r="S703" s="29">
        <f>IFERROR(VLOOKUP(M703,MgValor,2,0)*VLOOKUP(P703,MgDeg,2,0),0)</f>
        <v/>
      </c>
      <c r="T703" s="30">
        <f>MAX(Q703:S703)</f>
        <v/>
      </c>
      <c r="U703" s="28">
        <f>IFERROR(LOOKUP(T703,{0;0.5;1.5;3;4.5},{"Despreciable";"Bajo";"Medio";"Alto";"Muy alto"}),"")</f>
        <v/>
      </c>
      <c r="V703" s="13">
        <f>IFERROR(INDEX(MgAmenFrec,MATCH(SUBSTITUTE($H703,"*","-"),MgAmenClave,0)),"")</f>
        <v/>
      </c>
      <c r="W703" s="28">
        <f>IFERROR(LOOKUP(X703,{0;0.01;0.1;1;10;100},{"Muy baja";"Muy baja";"Baja";"Media";"Alta";"Muy alta"}),"")</f>
        <v/>
      </c>
      <c r="X703" s="31">
        <f>IFERROR(VLOOKUP(V703,MgFrec,2,0),0)</f>
        <v/>
      </c>
      <c r="Y703" s="30">
        <f>T703*X703</f>
        <v/>
      </c>
      <c r="Z703" s="28">
        <f>IFERROR(LOOKUP(Y703,{0;0.5;5;25},{"Bajo";"Medio";"Alto";"Crítico"}),"")</f>
        <v/>
      </c>
      <c r="AA703" s="64">
        <f>IF(T703&gt;=3,IF(X703&gt;=1,"Zona 1 — Crítica: impacto alto y ocurre al menos una vez al año","Zona 4 — Catastrófica poco probable: impacto alto pero excepcional"),IF(AND(T703&lt;1.5,X703&lt;1),"Zona 3 — Asumible: impacto bajo y muy poco frecuente","Zona 2 — Atención: riesgo intermedio"))</f>
        <v/>
      </c>
      <c r="AB703" s="64">
        <f>IFERROR(INDEX(MgAmenCtrl,MATCH(SUBSTITUTE($H703,"*","-"),MgAmenClave,0)),"")</f>
        <v/>
      </c>
      <c r="AC703" s="20" t="n"/>
      <c r="AD703" s="31">
        <f>IFERROR($X703*(1-IF($AC703="",$AL703,VLOOKUP($AC703,MgMad,2,0))),"")</f>
        <v/>
      </c>
      <c r="AE703" s="28">
        <f>IFERROR(LOOKUP(AD703,{0;0.01;0.1;1;10;100},{"Muy baja";"Muy baja";"Baja";"Media";"Alta";"Muy alta"}),"")</f>
        <v/>
      </c>
      <c r="AF703" s="30">
        <f>T703*AD703</f>
        <v/>
      </c>
      <c r="AG703" s="28">
        <f>IFERROR(LOOKUP(AF703,{0;0.5;5;25},{"Bajo";"Medio";"Alto";"Crítico"}),"")</f>
        <v/>
      </c>
      <c r="AH703" s="28">
        <f>IF(AG703="","",IF(OR(AG703="Crítico",AG703="Alto"),"Mitigar",IF(AG703="Medio","Mitigar","Aceptar y monitorear")))</f>
        <v/>
      </c>
      <c r="AI703" s="21" t="n"/>
      <c r="AJ703" s="21" t="n"/>
      <c r="AK703" s="20" t="n"/>
      <c r="AL703" s="77">
        <f>IFERROR(INDEX(MgAmenEfic,MATCH(SUBSTITUTE($H703,"*","-"),MgAmenClave,0)),0)</f>
        <v/>
      </c>
    </row>
    <row r="704" hidden="1" ht="90" customHeight="1" s="54">
      <c r="B704" s="59" t="inlineStr">
        <is>
          <t>R-0699</t>
        </is>
      </c>
      <c r="C704" s="59" t="inlineStr">
        <is>
          <t>FIN-08</t>
        </is>
      </c>
      <c r="D704" s="64">
        <f>IFERROR(INDEX(MgNombre,MATCH($C704,MgActId,0)),"")</f>
        <v/>
      </c>
      <c r="E704" s="64">
        <f>IFERROR(INDEX(MgProceso,MATCH($C704,MgActId,0)),"")</f>
        <v/>
      </c>
      <c r="F704" s="64">
        <f>IFERROR(INDEX(MgTipo,MATCH($C704,MgActId,0)),"")</f>
        <v/>
      </c>
      <c r="G704" s="64">
        <f>IFERROR(INDEX(MgSubtipo,MATCH($C704,MgActId,0)),"")</f>
        <v/>
      </c>
      <c r="H704" s="59" t="inlineStr">
        <is>
          <t>A.13</t>
        </is>
      </c>
      <c r="I704" s="64">
        <f>IFERROR(INDEX(MgAmenNombre,MATCH(SUBSTITUTE($H704,"*","-"),MgAmenClave,0)),"")</f>
        <v/>
      </c>
      <c r="J704" s="28">
        <f>IFERROR(INDEX(MgAmenGrupo,MATCH(SUBSTITUTE($H704,"*","-"),MgAmenClave,0)),"")</f>
        <v/>
      </c>
      <c r="K704" s="64">
        <f>IFERROR(INDEX('1. Matriz de Activos'!$Q$6:$Q$239,MATCH($C704,MgActId,0)),"")</f>
        <v/>
      </c>
      <c r="L704" s="64">
        <f>IFERROR(INDEX('1. Matriz de Activos'!$R$6:$R$239,MATCH($C704,MgActId,0)),"")</f>
        <v/>
      </c>
      <c r="M704" s="64">
        <f>IFERROR(INDEX('1. Matriz de Activos'!$S$6:$S$239,MATCH($C704,MgActId,0)),"")</f>
        <v/>
      </c>
      <c r="N704" s="28">
        <f>IFERROR(INDEX(MgAmenDegD,MATCH(SUBSTITUTE($H704,"*","-"),MgAmenClave,0)),"No aplica")</f>
        <v/>
      </c>
      <c r="O704" s="28">
        <f>IFERROR(INDEX(MgAmenDegI,MATCH(SUBSTITUTE($H704,"*","-"),MgAmenClave,0)),"No aplica")</f>
        <v/>
      </c>
      <c r="P704" s="28">
        <f>IFERROR(INDEX(MgAmenDegC,MATCH(SUBSTITUTE($H704,"*","-"),MgAmenClave,0)),"No aplica")</f>
        <v/>
      </c>
      <c r="Q704" s="29">
        <f>IFERROR(VLOOKUP(K704,MgValor,2,0)*VLOOKUP(N704,MgDeg,2,0),0)</f>
        <v/>
      </c>
      <c r="R704" s="29">
        <f>IFERROR(VLOOKUP(L704,MgValor,2,0)*VLOOKUP(O704,MgDeg,2,0),0)</f>
        <v/>
      </c>
      <c r="S704" s="29">
        <f>IFERROR(VLOOKUP(M704,MgValor,2,0)*VLOOKUP(P704,MgDeg,2,0),0)</f>
        <v/>
      </c>
      <c r="T704" s="30">
        <f>MAX(Q704:S704)</f>
        <v/>
      </c>
      <c r="U704" s="28">
        <f>IFERROR(LOOKUP(T704,{0;0.5;1.5;3;4.5},{"Despreciable";"Bajo";"Medio";"Alto";"Muy alto"}),"")</f>
        <v/>
      </c>
      <c r="V704" s="13">
        <f>IFERROR(INDEX(MgAmenFrec,MATCH(SUBSTITUTE($H704,"*","-"),MgAmenClave,0)),"")</f>
        <v/>
      </c>
      <c r="W704" s="28">
        <f>IFERROR(LOOKUP(X704,{0;0.01;0.1;1;10;100},{"Muy baja";"Muy baja";"Baja";"Media";"Alta";"Muy alta"}),"")</f>
        <v/>
      </c>
      <c r="X704" s="31">
        <f>IFERROR(VLOOKUP(V704,MgFrec,2,0),0)</f>
        <v/>
      </c>
      <c r="Y704" s="30">
        <f>T704*X704</f>
        <v/>
      </c>
      <c r="Z704" s="28">
        <f>IFERROR(LOOKUP(Y704,{0;0.5;5;25},{"Bajo";"Medio";"Alto";"Crítico"}),"")</f>
        <v/>
      </c>
      <c r="AA704" s="64">
        <f>IF(T704&gt;=3,IF(X704&gt;=1,"Zona 1 — Crítica: impacto alto y ocurre al menos una vez al año","Zona 4 — Catastrófica poco probable: impacto alto pero excepcional"),IF(AND(T704&lt;1.5,X704&lt;1),"Zona 3 — Asumible: impacto bajo y muy poco frecuente","Zona 2 — Atención: riesgo intermedio"))</f>
        <v/>
      </c>
      <c r="AB704" s="64">
        <f>IFERROR(INDEX(MgAmenCtrl,MATCH(SUBSTITUTE($H704,"*","-"),MgAmenClave,0)),"")</f>
        <v/>
      </c>
      <c r="AC704" s="20" t="n"/>
      <c r="AD704" s="31">
        <f>IFERROR($X704*(1-IF($AC704="",$AL704,VLOOKUP($AC704,MgMad,2,0))),"")</f>
        <v/>
      </c>
      <c r="AE704" s="28">
        <f>IFERROR(LOOKUP(AD704,{0;0.01;0.1;1;10;100},{"Muy baja";"Muy baja";"Baja";"Media";"Alta";"Muy alta"}),"")</f>
        <v/>
      </c>
      <c r="AF704" s="30">
        <f>T704*AD704</f>
        <v/>
      </c>
      <c r="AG704" s="28">
        <f>IFERROR(LOOKUP(AF704,{0;0.5;5;25},{"Bajo";"Medio";"Alto";"Crítico"}),"")</f>
        <v/>
      </c>
      <c r="AH704" s="28">
        <f>IF(AG704="","",IF(OR(AG704="Crítico",AG704="Alto"),"Mitigar",IF(AG704="Medio","Mitigar","Aceptar y monitorear")))</f>
        <v/>
      </c>
      <c r="AI704" s="21" t="n"/>
      <c r="AJ704" s="21" t="n"/>
      <c r="AK704" s="20" t="n"/>
      <c r="AL704" s="77">
        <f>IFERROR(INDEX(MgAmenEfic,MATCH(SUBSTITUTE($H704,"*","-"),MgAmenClave,0)),0)</f>
        <v/>
      </c>
    </row>
    <row r="705" hidden="1" ht="60" customHeight="1" s="54">
      <c r="B705" s="59" t="inlineStr">
        <is>
          <t>R-0700</t>
        </is>
      </c>
      <c r="C705" s="59" t="inlineStr">
        <is>
          <t>FIN-08</t>
        </is>
      </c>
      <c r="D705" s="64">
        <f>IFERROR(INDEX(MgNombre,MATCH($C705,MgActId,0)),"")</f>
        <v/>
      </c>
      <c r="E705" s="64">
        <f>IFERROR(INDEX(MgProceso,MATCH($C705,MgActId,0)),"")</f>
        <v/>
      </c>
      <c r="F705" s="64">
        <f>IFERROR(INDEX(MgTipo,MATCH($C705,MgActId,0)),"")</f>
        <v/>
      </c>
      <c r="G705" s="64">
        <f>IFERROR(INDEX(MgSubtipo,MATCH($C705,MgActId,0)),"")</f>
        <v/>
      </c>
      <c r="H705" s="59" t="inlineStr">
        <is>
          <t>A.15</t>
        </is>
      </c>
      <c r="I705" s="64">
        <f>IFERROR(INDEX(MgAmenNombre,MATCH(SUBSTITUTE($H705,"*","-"),MgAmenClave,0)),"")</f>
        <v/>
      </c>
      <c r="J705" s="28">
        <f>IFERROR(INDEX(MgAmenGrupo,MATCH(SUBSTITUTE($H705,"*","-"),MgAmenClave,0)),"")</f>
        <v/>
      </c>
      <c r="K705" s="64">
        <f>IFERROR(INDEX('1. Matriz de Activos'!$Q$6:$Q$239,MATCH($C705,MgActId,0)),"")</f>
        <v/>
      </c>
      <c r="L705" s="64">
        <f>IFERROR(INDEX('1. Matriz de Activos'!$R$6:$R$239,MATCH($C705,MgActId,0)),"")</f>
        <v/>
      </c>
      <c r="M705" s="64">
        <f>IFERROR(INDEX('1. Matriz de Activos'!$S$6:$S$239,MATCH($C705,MgActId,0)),"")</f>
        <v/>
      </c>
      <c r="N705" s="28">
        <f>IFERROR(INDEX(MgAmenDegD,MATCH(SUBSTITUTE($H705,"*","-"),MgAmenClave,0)),"No aplica")</f>
        <v/>
      </c>
      <c r="O705" s="28">
        <f>IFERROR(INDEX(MgAmenDegI,MATCH(SUBSTITUTE($H705,"*","-"),MgAmenClave,0)),"No aplica")</f>
        <v/>
      </c>
      <c r="P705" s="28">
        <f>IFERROR(INDEX(MgAmenDegC,MATCH(SUBSTITUTE($H705,"*","-"),MgAmenClave,0)),"No aplica")</f>
        <v/>
      </c>
      <c r="Q705" s="29">
        <f>IFERROR(VLOOKUP(K705,MgValor,2,0)*VLOOKUP(N705,MgDeg,2,0),0)</f>
        <v/>
      </c>
      <c r="R705" s="29">
        <f>IFERROR(VLOOKUP(L705,MgValor,2,0)*VLOOKUP(O705,MgDeg,2,0),0)</f>
        <v/>
      </c>
      <c r="S705" s="29">
        <f>IFERROR(VLOOKUP(M705,MgValor,2,0)*VLOOKUP(P705,MgDeg,2,0),0)</f>
        <v/>
      </c>
      <c r="T705" s="30">
        <f>MAX(Q705:S705)</f>
        <v/>
      </c>
      <c r="U705" s="28">
        <f>IFERROR(LOOKUP(T705,{0;0.5;1.5;3;4.5},{"Despreciable";"Bajo";"Medio";"Alto";"Muy alto"}),"")</f>
        <v/>
      </c>
      <c r="V705" s="13">
        <f>IFERROR(INDEX(MgAmenFrec,MATCH(SUBSTITUTE($H705,"*","-"),MgAmenClave,0)),"")</f>
        <v/>
      </c>
      <c r="W705" s="28">
        <f>IFERROR(LOOKUP(X705,{0;0.01;0.1;1;10;100},{"Muy baja";"Muy baja";"Baja";"Media";"Alta";"Muy alta"}),"")</f>
        <v/>
      </c>
      <c r="X705" s="31">
        <f>IFERROR(VLOOKUP(V705,MgFrec,2,0),0)</f>
        <v/>
      </c>
      <c r="Y705" s="30">
        <f>T705*X705</f>
        <v/>
      </c>
      <c r="Z705" s="28">
        <f>IFERROR(LOOKUP(Y705,{0;0.5;5;25},{"Bajo";"Medio";"Alto";"Crítico"}),"")</f>
        <v/>
      </c>
      <c r="AA705" s="64">
        <f>IF(T705&gt;=3,IF(X705&gt;=1,"Zona 1 — Crítica: impacto alto y ocurre al menos una vez al año","Zona 4 — Catastrófica poco probable: impacto alto pero excepcional"),IF(AND(T705&lt;1.5,X705&lt;1),"Zona 3 — Asumible: impacto bajo y muy poco frecuente","Zona 2 — Atención: riesgo intermedio"))</f>
        <v/>
      </c>
      <c r="AB705" s="64">
        <f>IFERROR(INDEX(MgAmenCtrl,MATCH(SUBSTITUTE($H705,"*","-"),MgAmenClave,0)),"")</f>
        <v/>
      </c>
      <c r="AC705" s="20" t="n"/>
      <c r="AD705" s="31">
        <f>IFERROR($X705*(1-IF($AC705="",$AL705,VLOOKUP($AC705,MgMad,2,0))),"")</f>
        <v/>
      </c>
      <c r="AE705" s="28">
        <f>IFERROR(LOOKUP(AD705,{0;0.01;0.1;1;10;100},{"Muy baja";"Muy baja";"Baja";"Media";"Alta";"Muy alta"}),"")</f>
        <v/>
      </c>
      <c r="AF705" s="30">
        <f>T705*AD705</f>
        <v/>
      </c>
      <c r="AG705" s="28">
        <f>IFERROR(LOOKUP(AF705,{0;0.5;5;25},{"Bajo";"Medio";"Alto";"Crítico"}),"")</f>
        <v/>
      </c>
      <c r="AH705" s="28">
        <f>IF(AG705="","",IF(OR(AG705="Crítico",AG705="Alto"),"Mitigar",IF(AG705="Medio","Mitigar","Aceptar y monitorear")))</f>
        <v/>
      </c>
      <c r="AI705" s="21" t="n"/>
      <c r="AJ705" s="21" t="n"/>
      <c r="AK705" s="20" t="n"/>
      <c r="AL705" s="77">
        <f>IFERROR(INDEX(MgAmenEfic,MATCH(SUBSTITUTE($H705,"*","-"),MgAmenClave,0)),0)</f>
        <v/>
      </c>
    </row>
    <row r="706" hidden="1" ht="60" customHeight="1" s="54">
      <c r="B706" s="59" t="inlineStr">
        <is>
          <t>R-0701</t>
        </is>
      </c>
      <c r="C706" s="59" t="inlineStr">
        <is>
          <t>FIN-08</t>
        </is>
      </c>
      <c r="D706" s="64">
        <f>IFERROR(INDEX(MgNombre,MATCH($C706,MgActId,0)),"")</f>
        <v/>
      </c>
      <c r="E706" s="64">
        <f>IFERROR(INDEX(MgProceso,MATCH($C706,MgActId,0)),"")</f>
        <v/>
      </c>
      <c r="F706" s="64">
        <f>IFERROR(INDEX(MgTipo,MATCH($C706,MgActId,0)),"")</f>
        <v/>
      </c>
      <c r="G706" s="64">
        <f>IFERROR(INDEX(MgSubtipo,MATCH($C706,MgActId,0)),"")</f>
        <v/>
      </c>
      <c r="H706" s="59" t="inlineStr">
        <is>
          <t>A.18</t>
        </is>
      </c>
      <c r="I706" s="64">
        <f>IFERROR(INDEX(MgAmenNombre,MATCH(SUBSTITUTE($H706,"*","-"),MgAmenClave,0)),"")</f>
        <v/>
      </c>
      <c r="J706" s="28">
        <f>IFERROR(INDEX(MgAmenGrupo,MATCH(SUBSTITUTE($H706,"*","-"),MgAmenClave,0)),"")</f>
        <v/>
      </c>
      <c r="K706" s="64">
        <f>IFERROR(INDEX('1. Matriz de Activos'!$Q$6:$Q$239,MATCH($C706,MgActId,0)),"")</f>
        <v/>
      </c>
      <c r="L706" s="64">
        <f>IFERROR(INDEX('1. Matriz de Activos'!$R$6:$R$239,MATCH($C706,MgActId,0)),"")</f>
        <v/>
      </c>
      <c r="M706" s="64">
        <f>IFERROR(INDEX('1. Matriz de Activos'!$S$6:$S$239,MATCH($C706,MgActId,0)),"")</f>
        <v/>
      </c>
      <c r="N706" s="28">
        <f>IFERROR(INDEX(MgAmenDegD,MATCH(SUBSTITUTE($H706,"*","-"),MgAmenClave,0)),"No aplica")</f>
        <v/>
      </c>
      <c r="O706" s="28">
        <f>IFERROR(INDEX(MgAmenDegI,MATCH(SUBSTITUTE($H706,"*","-"),MgAmenClave,0)),"No aplica")</f>
        <v/>
      </c>
      <c r="P706" s="28">
        <f>IFERROR(INDEX(MgAmenDegC,MATCH(SUBSTITUTE($H706,"*","-"),MgAmenClave,0)),"No aplica")</f>
        <v/>
      </c>
      <c r="Q706" s="29">
        <f>IFERROR(VLOOKUP(K706,MgValor,2,0)*VLOOKUP(N706,MgDeg,2,0),0)</f>
        <v/>
      </c>
      <c r="R706" s="29">
        <f>IFERROR(VLOOKUP(L706,MgValor,2,0)*VLOOKUP(O706,MgDeg,2,0),0)</f>
        <v/>
      </c>
      <c r="S706" s="29">
        <f>IFERROR(VLOOKUP(M706,MgValor,2,0)*VLOOKUP(P706,MgDeg,2,0),0)</f>
        <v/>
      </c>
      <c r="T706" s="30">
        <f>MAX(Q706:S706)</f>
        <v/>
      </c>
      <c r="U706" s="28">
        <f>IFERROR(LOOKUP(T706,{0;0.5;1.5;3;4.5},{"Despreciable";"Bajo";"Medio";"Alto";"Muy alto"}),"")</f>
        <v/>
      </c>
      <c r="V706" s="13">
        <f>IFERROR(INDEX(MgAmenFrec,MATCH(SUBSTITUTE($H706,"*","-"),MgAmenClave,0)),"")</f>
        <v/>
      </c>
      <c r="W706" s="28">
        <f>IFERROR(LOOKUP(X706,{0;0.01;0.1;1;10;100},{"Muy baja";"Muy baja";"Baja";"Media";"Alta";"Muy alta"}),"")</f>
        <v/>
      </c>
      <c r="X706" s="31">
        <f>IFERROR(VLOOKUP(V706,MgFrec,2,0),0)</f>
        <v/>
      </c>
      <c r="Y706" s="30">
        <f>T706*X706</f>
        <v/>
      </c>
      <c r="Z706" s="28">
        <f>IFERROR(LOOKUP(Y706,{0;0.5;5;25},{"Bajo";"Medio";"Alto";"Crítico"}),"")</f>
        <v/>
      </c>
      <c r="AA706" s="64">
        <f>IF(T706&gt;=3,IF(X706&gt;=1,"Zona 1 — Crítica: impacto alto y ocurre al menos una vez al año","Zona 4 — Catastrófica poco probable: impacto alto pero excepcional"),IF(AND(T706&lt;1.5,X706&lt;1),"Zona 3 — Asumible: impacto bajo y muy poco frecuente","Zona 2 — Atención: riesgo intermedio"))</f>
        <v/>
      </c>
      <c r="AB706" s="64">
        <f>IFERROR(INDEX(MgAmenCtrl,MATCH(SUBSTITUTE($H706,"*","-"),MgAmenClave,0)),"")</f>
        <v/>
      </c>
      <c r="AC706" s="20" t="n"/>
      <c r="AD706" s="31">
        <f>IFERROR($X706*(1-IF($AC706="",$AL706,VLOOKUP($AC706,MgMad,2,0))),"")</f>
        <v/>
      </c>
      <c r="AE706" s="28">
        <f>IFERROR(LOOKUP(AD706,{0;0.01;0.1;1;10;100},{"Muy baja";"Muy baja";"Baja";"Media";"Alta";"Muy alta"}),"")</f>
        <v/>
      </c>
      <c r="AF706" s="30">
        <f>T706*AD706</f>
        <v/>
      </c>
      <c r="AG706" s="28">
        <f>IFERROR(LOOKUP(AF706,{0;0.5;5;25},{"Bajo";"Medio";"Alto";"Crítico"}),"")</f>
        <v/>
      </c>
      <c r="AH706" s="28">
        <f>IF(AG706="","",IF(OR(AG706="Crítico",AG706="Alto"),"Mitigar",IF(AG706="Medio","Mitigar","Aceptar y monitorear")))</f>
        <v/>
      </c>
      <c r="AI706" s="21" t="n"/>
      <c r="AJ706" s="21" t="n"/>
      <c r="AK706" s="20" t="n"/>
      <c r="AL706" s="77">
        <f>IFERROR(INDEX(MgAmenEfic,MATCH(SUBSTITUTE($H706,"*","-"),MgAmenClave,0)),0)</f>
        <v/>
      </c>
    </row>
    <row r="707" hidden="1" ht="120" customHeight="1" s="54">
      <c r="B707" s="59" t="inlineStr">
        <is>
          <t>R-0702</t>
        </is>
      </c>
      <c r="C707" s="59" t="inlineStr">
        <is>
          <t>FIN-08</t>
        </is>
      </c>
      <c r="D707" s="64">
        <f>IFERROR(INDEX(MgNombre,MATCH($C707,MgActId,0)),"")</f>
        <v/>
      </c>
      <c r="E707" s="64">
        <f>IFERROR(INDEX(MgProceso,MATCH($C707,MgActId,0)),"")</f>
        <v/>
      </c>
      <c r="F707" s="64">
        <f>IFERROR(INDEX(MgTipo,MATCH($C707,MgActId,0)),"")</f>
        <v/>
      </c>
      <c r="G707" s="64">
        <f>IFERROR(INDEX(MgSubtipo,MATCH($C707,MgActId,0)),"")</f>
        <v/>
      </c>
      <c r="H707" s="59" t="inlineStr">
        <is>
          <t>A.19</t>
        </is>
      </c>
      <c r="I707" s="64">
        <f>IFERROR(INDEX(MgAmenNombre,MATCH(SUBSTITUTE($H707,"*","-"),MgAmenClave,0)),"")</f>
        <v/>
      </c>
      <c r="J707" s="28">
        <f>IFERROR(INDEX(MgAmenGrupo,MATCH(SUBSTITUTE($H707,"*","-"),MgAmenClave,0)),"")</f>
        <v/>
      </c>
      <c r="K707" s="64">
        <f>IFERROR(INDEX('1. Matriz de Activos'!$Q$6:$Q$239,MATCH($C707,MgActId,0)),"")</f>
        <v/>
      </c>
      <c r="L707" s="64">
        <f>IFERROR(INDEX('1. Matriz de Activos'!$R$6:$R$239,MATCH($C707,MgActId,0)),"")</f>
        <v/>
      </c>
      <c r="M707" s="64">
        <f>IFERROR(INDEX('1. Matriz de Activos'!$S$6:$S$239,MATCH($C707,MgActId,0)),"")</f>
        <v/>
      </c>
      <c r="N707" s="28">
        <f>IFERROR(INDEX(MgAmenDegD,MATCH(SUBSTITUTE($H707,"*","-"),MgAmenClave,0)),"No aplica")</f>
        <v/>
      </c>
      <c r="O707" s="28">
        <f>IFERROR(INDEX(MgAmenDegI,MATCH(SUBSTITUTE($H707,"*","-"),MgAmenClave,0)),"No aplica")</f>
        <v/>
      </c>
      <c r="P707" s="28">
        <f>IFERROR(INDEX(MgAmenDegC,MATCH(SUBSTITUTE($H707,"*","-"),MgAmenClave,0)),"No aplica")</f>
        <v/>
      </c>
      <c r="Q707" s="29">
        <f>IFERROR(VLOOKUP(K707,MgValor,2,0)*VLOOKUP(N707,MgDeg,2,0),0)</f>
        <v/>
      </c>
      <c r="R707" s="29">
        <f>IFERROR(VLOOKUP(L707,MgValor,2,0)*VLOOKUP(O707,MgDeg,2,0),0)</f>
        <v/>
      </c>
      <c r="S707" s="29">
        <f>IFERROR(VLOOKUP(M707,MgValor,2,0)*VLOOKUP(P707,MgDeg,2,0),0)</f>
        <v/>
      </c>
      <c r="T707" s="30">
        <f>MAX(Q707:S707)</f>
        <v/>
      </c>
      <c r="U707" s="28">
        <f>IFERROR(LOOKUP(T707,{0;0.5;1.5;3;4.5},{"Despreciable";"Bajo";"Medio";"Alto";"Muy alto"}),"")</f>
        <v/>
      </c>
      <c r="V707" s="13">
        <f>IFERROR(INDEX(MgAmenFrec,MATCH(SUBSTITUTE($H707,"*","-"),MgAmenClave,0)),"")</f>
        <v/>
      </c>
      <c r="W707" s="28">
        <f>IFERROR(LOOKUP(X707,{0;0.01;0.1;1;10;100},{"Muy baja";"Muy baja";"Baja";"Media";"Alta";"Muy alta"}),"")</f>
        <v/>
      </c>
      <c r="X707" s="31">
        <f>IFERROR(VLOOKUP(V707,MgFrec,2,0),0)</f>
        <v/>
      </c>
      <c r="Y707" s="30">
        <f>T707*X707</f>
        <v/>
      </c>
      <c r="Z707" s="28">
        <f>IFERROR(LOOKUP(Y707,{0;0.5;5;25},{"Bajo";"Medio";"Alto";"Crítico"}),"")</f>
        <v/>
      </c>
      <c r="AA707" s="64">
        <f>IF(T707&gt;=3,IF(X707&gt;=1,"Zona 1 — Crítica: impacto alto y ocurre al menos una vez al año","Zona 4 — Catastrófica poco probable: impacto alto pero excepcional"),IF(AND(T707&lt;1.5,X707&lt;1),"Zona 3 — Asumible: impacto bajo y muy poco frecuente","Zona 2 — Atención: riesgo intermedio"))</f>
        <v/>
      </c>
      <c r="AB707" s="64">
        <f>IFERROR(INDEX(MgAmenCtrl,MATCH(SUBSTITUTE($H707,"*","-"),MgAmenClave,0)),"")</f>
        <v/>
      </c>
      <c r="AC707" s="20" t="n"/>
      <c r="AD707" s="31">
        <f>IFERROR($X707*(1-IF($AC707="",$AL707,VLOOKUP($AC707,MgMad,2,0))),"")</f>
        <v/>
      </c>
      <c r="AE707" s="28">
        <f>IFERROR(LOOKUP(AD707,{0;0.01;0.1;1;10;100},{"Muy baja";"Muy baja";"Baja";"Media";"Alta";"Muy alta"}),"")</f>
        <v/>
      </c>
      <c r="AF707" s="30">
        <f>T707*AD707</f>
        <v/>
      </c>
      <c r="AG707" s="28">
        <f>IFERROR(LOOKUP(AF707,{0;0.5;5;25},{"Bajo";"Medio";"Alto";"Crítico"}),"")</f>
        <v/>
      </c>
      <c r="AH707" s="28">
        <f>IF(AG707="","",IF(OR(AG707="Crítico",AG707="Alto"),"Mitigar",IF(AG707="Medio","Mitigar","Aceptar y monitorear")))</f>
        <v/>
      </c>
      <c r="AI707" s="21" t="n"/>
      <c r="AJ707" s="21" t="n"/>
      <c r="AK707" s="20" t="n"/>
      <c r="AL707" s="77">
        <f>IFERROR(INDEX(MgAmenEfic,MATCH(SUBSTITUTE($H707,"*","-"),MgAmenClave,0)),0)</f>
        <v/>
      </c>
    </row>
    <row r="708" hidden="1" ht="105" customHeight="1" s="54">
      <c r="B708" s="59" t="inlineStr">
        <is>
          <t>R-0703</t>
        </is>
      </c>
      <c r="C708" s="59" t="inlineStr">
        <is>
          <t>LCO-04</t>
        </is>
      </c>
      <c r="D708" s="64">
        <f>IFERROR(INDEX(MgNombre,MATCH($C708,MgActId,0)),"")</f>
        <v/>
      </c>
      <c r="E708" s="64">
        <f>IFERROR(INDEX(MgProceso,MATCH($C708,MgActId,0)),"")</f>
        <v/>
      </c>
      <c r="F708" s="64">
        <f>IFERROR(INDEX(MgTipo,MATCH($C708,MgActId,0)),"")</f>
        <v/>
      </c>
      <c r="G708" s="64">
        <f>IFERROR(INDEX(MgSubtipo,MATCH($C708,MgActId,0)),"")</f>
        <v/>
      </c>
      <c r="H708" s="59" t="inlineStr">
        <is>
          <t>E.1</t>
        </is>
      </c>
      <c r="I708" s="64">
        <f>IFERROR(INDEX(MgAmenNombre,MATCH(SUBSTITUTE($H708,"*","-"),MgAmenClave,0)),"")</f>
        <v/>
      </c>
      <c r="J708" s="28">
        <f>IFERROR(INDEX(MgAmenGrupo,MATCH(SUBSTITUTE($H708,"*","-"),MgAmenClave,0)),"")</f>
        <v/>
      </c>
      <c r="K708" s="64">
        <f>IFERROR(INDEX('1. Matriz de Activos'!$Q$6:$Q$239,MATCH($C708,MgActId,0)),"")</f>
        <v/>
      </c>
      <c r="L708" s="64">
        <f>IFERROR(INDEX('1. Matriz de Activos'!$R$6:$R$239,MATCH($C708,MgActId,0)),"")</f>
        <v/>
      </c>
      <c r="M708" s="64">
        <f>IFERROR(INDEX('1. Matriz de Activos'!$S$6:$S$239,MATCH($C708,MgActId,0)),"")</f>
        <v/>
      </c>
      <c r="N708" s="28">
        <f>IFERROR(INDEX(MgAmenDegD,MATCH(SUBSTITUTE($H708,"*","-"),MgAmenClave,0)),"No aplica")</f>
        <v/>
      </c>
      <c r="O708" s="28">
        <f>IFERROR(INDEX(MgAmenDegI,MATCH(SUBSTITUTE($H708,"*","-"),MgAmenClave,0)),"No aplica")</f>
        <v/>
      </c>
      <c r="P708" s="28">
        <f>IFERROR(INDEX(MgAmenDegC,MATCH(SUBSTITUTE($H708,"*","-"),MgAmenClave,0)),"No aplica")</f>
        <v/>
      </c>
      <c r="Q708" s="29">
        <f>IFERROR(VLOOKUP(K708,MgValor,2,0)*VLOOKUP(N708,MgDeg,2,0),0)</f>
        <v/>
      </c>
      <c r="R708" s="29">
        <f>IFERROR(VLOOKUP(L708,MgValor,2,0)*VLOOKUP(O708,MgDeg,2,0),0)</f>
        <v/>
      </c>
      <c r="S708" s="29">
        <f>IFERROR(VLOOKUP(M708,MgValor,2,0)*VLOOKUP(P708,MgDeg,2,0),0)</f>
        <v/>
      </c>
      <c r="T708" s="30">
        <f>MAX(Q708:S708)</f>
        <v/>
      </c>
      <c r="U708" s="28">
        <f>IFERROR(LOOKUP(T708,{0;0.5;1.5;3;4.5},{"Despreciable";"Bajo";"Medio";"Alto";"Muy alto"}),"")</f>
        <v/>
      </c>
      <c r="V708" s="13">
        <f>IFERROR(INDEX(MgAmenFrec,MATCH(SUBSTITUTE($H708,"*","-"),MgAmenClave,0)),"")</f>
        <v/>
      </c>
      <c r="W708" s="28">
        <f>IFERROR(LOOKUP(X708,{0;0.01;0.1;1;10;100},{"Muy baja";"Muy baja";"Baja";"Media";"Alta";"Muy alta"}),"")</f>
        <v/>
      </c>
      <c r="X708" s="31">
        <f>IFERROR(VLOOKUP(V708,MgFrec,2,0),0)</f>
        <v/>
      </c>
      <c r="Y708" s="30">
        <f>T708*X708</f>
        <v/>
      </c>
      <c r="Z708" s="28">
        <f>IFERROR(LOOKUP(Y708,{0;0.5;5;25},{"Bajo";"Medio";"Alto";"Crítico"}),"")</f>
        <v/>
      </c>
      <c r="AA708" s="64">
        <f>IF(T708&gt;=3,IF(X708&gt;=1,"Zona 1 — Crítica: impacto alto y ocurre al menos una vez al año","Zona 4 — Catastrófica poco probable: impacto alto pero excepcional"),IF(AND(T708&lt;1.5,X708&lt;1),"Zona 3 — Asumible: impacto bajo y muy poco frecuente","Zona 2 — Atención: riesgo intermedio"))</f>
        <v/>
      </c>
      <c r="AB708" s="64">
        <f>IFERROR(INDEX(MgAmenCtrl,MATCH(SUBSTITUTE($H708,"*","-"),MgAmenClave,0)),"")</f>
        <v/>
      </c>
      <c r="AC708" s="20" t="n"/>
      <c r="AD708" s="31">
        <f>IFERROR($X708*(1-IF($AC708="",$AL708,VLOOKUP($AC708,MgMad,2,0))),"")</f>
        <v/>
      </c>
      <c r="AE708" s="28">
        <f>IFERROR(LOOKUP(AD708,{0;0.01;0.1;1;10;100},{"Muy baja";"Muy baja";"Baja";"Media";"Alta";"Muy alta"}),"")</f>
        <v/>
      </c>
      <c r="AF708" s="30">
        <f>T708*AD708</f>
        <v/>
      </c>
      <c r="AG708" s="28">
        <f>IFERROR(LOOKUP(AF708,{0;0.5;5;25},{"Bajo";"Medio";"Alto";"Crítico"}),"")</f>
        <v/>
      </c>
      <c r="AH708" s="28">
        <f>IF(AG708="","",IF(OR(AG708="Crítico",AG708="Alto"),"Mitigar",IF(AG708="Medio","Mitigar","Aceptar y monitorear")))</f>
        <v/>
      </c>
      <c r="AI708" s="21" t="n"/>
      <c r="AJ708" s="21" t="n"/>
      <c r="AK708" s="20" t="n"/>
      <c r="AL708" s="77">
        <f>IFERROR(INDEX(MgAmenEfic,MATCH(SUBSTITUTE($H708,"*","-"),MgAmenClave,0)),0)</f>
        <v/>
      </c>
    </row>
    <row r="709" hidden="1" ht="120" customHeight="1" s="54">
      <c r="B709" s="59" t="inlineStr">
        <is>
          <t>R-0704</t>
        </is>
      </c>
      <c r="C709" s="59" t="inlineStr">
        <is>
          <t>LCO-04</t>
        </is>
      </c>
      <c r="D709" s="64">
        <f>IFERROR(INDEX(MgNombre,MATCH($C709,MgActId,0)),"")</f>
        <v/>
      </c>
      <c r="E709" s="64">
        <f>IFERROR(INDEX(MgProceso,MATCH($C709,MgActId,0)),"")</f>
        <v/>
      </c>
      <c r="F709" s="64">
        <f>IFERROR(INDEX(MgTipo,MATCH($C709,MgActId,0)),"")</f>
        <v/>
      </c>
      <c r="G709" s="64">
        <f>IFERROR(INDEX(MgSubtipo,MATCH($C709,MgActId,0)),"")</f>
        <v/>
      </c>
      <c r="H709" s="59" t="inlineStr">
        <is>
          <t>E.2</t>
        </is>
      </c>
      <c r="I709" s="64">
        <f>IFERROR(INDEX(MgAmenNombre,MATCH(SUBSTITUTE($H709,"*","-"),MgAmenClave,0)),"")</f>
        <v/>
      </c>
      <c r="J709" s="28">
        <f>IFERROR(INDEX(MgAmenGrupo,MATCH(SUBSTITUTE($H709,"*","-"),MgAmenClave,0)),"")</f>
        <v/>
      </c>
      <c r="K709" s="64">
        <f>IFERROR(INDEX('1. Matriz de Activos'!$Q$6:$Q$239,MATCH($C709,MgActId,0)),"")</f>
        <v/>
      </c>
      <c r="L709" s="64">
        <f>IFERROR(INDEX('1. Matriz de Activos'!$R$6:$R$239,MATCH($C709,MgActId,0)),"")</f>
        <v/>
      </c>
      <c r="M709" s="64">
        <f>IFERROR(INDEX('1. Matriz de Activos'!$S$6:$S$239,MATCH($C709,MgActId,0)),"")</f>
        <v/>
      </c>
      <c r="N709" s="28">
        <f>IFERROR(INDEX(MgAmenDegD,MATCH(SUBSTITUTE($H709,"*","-"),MgAmenClave,0)),"No aplica")</f>
        <v/>
      </c>
      <c r="O709" s="28">
        <f>IFERROR(INDEX(MgAmenDegI,MATCH(SUBSTITUTE($H709,"*","-"),MgAmenClave,0)),"No aplica")</f>
        <v/>
      </c>
      <c r="P709" s="28">
        <f>IFERROR(INDEX(MgAmenDegC,MATCH(SUBSTITUTE($H709,"*","-"),MgAmenClave,0)),"No aplica")</f>
        <v/>
      </c>
      <c r="Q709" s="29">
        <f>IFERROR(VLOOKUP(K709,MgValor,2,0)*VLOOKUP(N709,MgDeg,2,0),0)</f>
        <v/>
      </c>
      <c r="R709" s="29">
        <f>IFERROR(VLOOKUP(L709,MgValor,2,0)*VLOOKUP(O709,MgDeg,2,0),0)</f>
        <v/>
      </c>
      <c r="S709" s="29">
        <f>IFERROR(VLOOKUP(M709,MgValor,2,0)*VLOOKUP(P709,MgDeg,2,0),0)</f>
        <v/>
      </c>
      <c r="T709" s="30">
        <f>MAX(Q709:S709)</f>
        <v/>
      </c>
      <c r="U709" s="28">
        <f>IFERROR(LOOKUP(T709,{0;0.5;1.5;3;4.5},{"Despreciable";"Bajo";"Medio";"Alto";"Muy alto"}),"")</f>
        <v/>
      </c>
      <c r="V709" s="13">
        <f>IFERROR(INDEX(MgAmenFrec,MATCH(SUBSTITUTE($H709,"*","-"),MgAmenClave,0)),"")</f>
        <v/>
      </c>
      <c r="W709" s="28">
        <f>IFERROR(LOOKUP(X709,{0;0.01;0.1;1;10;100},{"Muy baja";"Muy baja";"Baja";"Media";"Alta";"Muy alta"}),"")</f>
        <v/>
      </c>
      <c r="X709" s="31">
        <f>IFERROR(VLOOKUP(V709,MgFrec,2,0),0)</f>
        <v/>
      </c>
      <c r="Y709" s="30">
        <f>T709*X709</f>
        <v/>
      </c>
      <c r="Z709" s="28">
        <f>IFERROR(LOOKUP(Y709,{0;0.5;5;25},{"Bajo";"Medio";"Alto";"Crítico"}),"")</f>
        <v/>
      </c>
      <c r="AA709" s="64">
        <f>IF(T709&gt;=3,IF(X709&gt;=1,"Zona 1 — Crítica: impacto alto y ocurre al menos una vez al año","Zona 4 — Catastrófica poco probable: impacto alto pero excepcional"),IF(AND(T709&lt;1.5,X709&lt;1),"Zona 3 — Asumible: impacto bajo y muy poco frecuente","Zona 2 — Atención: riesgo intermedio"))</f>
        <v/>
      </c>
      <c r="AB709" s="64">
        <f>IFERROR(INDEX(MgAmenCtrl,MATCH(SUBSTITUTE($H709,"*","-"),MgAmenClave,0)),"")</f>
        <v/>
      </c>
      <c r="AC709" s="20" t="n"/>
      <c r="AD709" s="31">
        <f>IFERROR($X709*(1-IF($AC709="",$AL709,VLOOKUP($AC709,MgMad,2,0))),"")</f>
        <v/>
      </c>
      <c r="AE709" s="28">
        <f>IFERROR(LOOKUP(AD709,{0;0.01;0.1;1;10;100},{"Muy baja";"Muy baja";"Baja";"Media";"Alta";"Muy alta"}),"")</f>
        <v/>
      </c>
      <c r="AF709" s="30">
        <f>T709*AD709</f>
        <v/>
      </c>
      <c r="AG709" s="28">
        <f>IFERROR(LOOKUP(AF709,{0;0.5;5;25},{"Bajo";"Medio";"Alto";"Crítico"}),"")</f>
        <v/>
      </c>
      <c r="AH709" s="28">
        <f>IF(AG709="","",IF(OR(AG709="Crítico",AG709="Alto"),"Mitigar",IF(AG709="Medio","Mitigar","Aceptar y monitorear")))</f>
        <v/>
      </c>
      <c r="AI709" s="21" t="n"/>
      <c r="AJ709" s="21" t="n"/>
      <c r="AK709" s="20" t="n"/>
      <c r="AL709" s="77">
        <f>IFERROR(INDEX(MgAmenEfic,MATCH(SUBSTITUTE($H709,"*","-"),MgAmenClave,0)),0)</f>
        <v/>
      </c>
    </row>
    <row r="710" hidden="1" ht="75" customHeight="1" s="54">
      <c r="B710" s="59" t="inlineStr">
        <is>
          <t>R-0705</t>
        </is>
      </c>
      <c r="C710" s="59" t="inlineStr">
        <is>
          <t>LCO-04</t>
        </is>
      </c>
      <c r="D710" s="64">
        <f>IFERROR(INDEX(MgNombre,MATCH($C710,MgActId,0)),"")</f>
        <v/>
      </c>
      <c r="E710" s="64">
        <f>IFERROR(INDEX(MgProceso,MATCH($C710,MgActId,0)),"")</f>
        <v/>
      </c>
      <c r="F710" s="64">
        <f>IFERROR(INDEX(MgTipo,MATCH($C710,MgActId,0)),"")</f>
        <v/>
      </c>
      <c r="G710" s="64">
        <f>IFERROR(INDEX(MgSubtipo,MATCH($C710,MgActId,0)),"")</f>
        <v/>
      </c>
      <c r="H710" s="59" t="inlineStr">
        <is>
          <t>E.3</t>
        </is>
      </c>
      <c r="I710" s="64">
        <f>IFERROR(INDEX(MgAmenNombre,MATCH(SUBSTITUTE($H710,"*","-"),MgAmenClave,0)),"")</f>
        <v/>
      </c>
      <c r="J710" s="28">
        <f>IFERROR(INDEX(MgAmenGrupo,MATCH(SUBSTITUTE($H710,"*","-"),MgAmenClave,0)),"")</f>
        <v/>
      </c>
      <c r="K710" s="64">
        <f>IFERROR(INDEX('1. Matriz de Activos'!$Q$6:$Q$239,MATCH($C710,MgActId,0)),"")</f>
        <v/>
      </c>
      <c r="L710" s="64">
        <f>IFERROR(INDEX('1. Matriz de Activos'!$R$6:$R$239,MATCH($C710,MgActId,0)),"")</f>
        <v/>
      </c>
      <c r="M710" s="64">
        <f>IFERROR(INDEX('1. Matriz de Activos'!$S$6:$S$239,MATCH($C710,MgActId,0)),"")</f>
        <v/>
      </c>
      <c r="N710" s="28">
        <f>IFERROR(INDEX(MgAmenDegD,MATCH(SUBSTITUTE($H710,"*","-"),MgAmenClave,0)),"No aplica")</f>
        <v/>
      </c>
      <c r="O710" s="28">
        <f>IFERROR(INDEX(MgAmenDegI,MATCH(SUBSTITUTE($H710,"*","-"),MgAmenClave,0)),"No aplica")</f>
        <v/>
      </c>
      <c r="P710" s="28">
        <f>IFERROR(INDEX(MgAmenDegC,MATCH(SUBSTITUTE($H710,"*","-"),MgAmenClave,0)),"No aplica")</f>
        <v/>
      </c>
      <c r="Q710" s="29">
        <f>IFERROR(VLOOKUP(K710,MgValor,2,0)*VLOOKUP(N710,MgDeg,2,0),0)</f>
        <v/>
      </c>
      <c r="R710" s="29">
        <f>IFERROR(VLOOKUP(L710,MgValor,2,0)*VLOOKUP(O710,MgDeg,2,0),0)</f>
        <v/>
      </c>
      <c r="S710" s="29">
        <f>IFERROR(VLOOKUP(M710,MgValor,2,0)*VLOOKUP(P710,MgDeg,2,0),0)</f>
        <v/>
      </c>
      <c r="T710" s="30">
        <f>MAX(Q710:S710)</f>
        <v/>
      </c>
      <c r="U710" s="28">
        <f>IFERROR(LOOKUP(T710,{0;0.5;1.5;3;4.5},{"Despreciable";"Bajo";"Medio";"Alto";"Muy alto"}),"")</f>
        <v/>
      </c>
      <c r="V710" s="13">
        <f>IFERROR(INDEX(MgAmenFrec,MATCH(SUBSTITUTE($H710,"*","-"),MgAmenClave,0)),"")</f>
        <v/>
      </c>
      <c r="W710" s="28">
        <f>IFERROR(LOOKUP(X710,{0;0.01;0.1;1;10;100},{"Muy baja";"Muy baja";"Baja";"Media";"Alta";"Muy alta"}),"")</f>
        <v/>
      </c>
      <c r="X710" s="31">
        <f>IFERROR(VLOOKUP(V710,MgFrec,2,0),0)</f>
        <v/>
      </c>
      <c r="Y710" s="30">
        <f>T710*X710</f>
        <v/>
      </c>
      <c r="Z710" s="28">
        <f>IFERROR(LOOKUP(Y710,{0;0.5;5;25},{"Bajo";"Medio";"Alto";"Crítico"}),"")</f>
        <v/>
      </c>
      <c r="AA710" s="64">
        <f>IF(T710&gt;=3,IF(X710&gt;=1,"Zona 1 — Crítica: impacto alto y ocurre al menos una vez al año","Zona 4 — Catastrófica poco probable: impacto alto pero excepcional"),IF(AND(T710&lt;1.5,X710&lt;1),"Zona 3 — Asumible: impacto bajo y muy poco frecuente","Zona 2 — Atención: riesgo intermedio"))</f>
        <v/>
      </c>
      <c r="AB710" s="64">
        <f>IFERROR(INDEX(MgAmenCtrl,MATCH(SUBSTITUTE($H710,"*","-"),MgAmenClave,0)),"")</f>
        <v/>
      </c>
      <c r="AC710" s="20" t="n"/>
      <c r="AD710" s="31">
        <f>IFERROR($X710*(1-IF($AC710="",$AL710,VLOOKUP($AC710,MgMad,2,0))),"")</f>
        <v/>
      </c>
      <c r="AE710" s="28">
        <f>IFERROR(LOOKUP(AD710,{0;0.01;0.1;1;10;100},{"Muy baja";"Muy baja";"Baja";"Media";"Alta";"Muy alta"}),"")</f>
        <v/>
      </c>
      <c r="AF710" s="30">
        <f>T710*AD710</f>
        <v/>
      </c>
      <c r="AG710" s="28">
        <f>IFERROR(LOOKUP(AF710,{0;0.5;5;25},{"Bajo";"Medio";"Alto";"Crítico"}),"")</f>
        <v/>
      </c>
      <c r="AH710" s="28">
        <f>IF(AG710="","",IF(OR(AG710="Crítico",AG710="Alto"),"Mitigar",IF(AG710="Medio","Mitigar","Aceptar y monitorear")))</f>
        <v/>
      </c>
      <c r="AI710" s="21" t="n"/>
      <c r="AJ710" s="21" t="n"/>
      <c r="AK710" s="20" t="n"/>
      <c r="AL710" s="77">
        <f>IFERROR(INDEX(MgAmenEfic,MATCH(SUBSTITUTE($H710,"*","-"),MgAmenClave,0)),0)</f>
        <v/>
      </c>
    </row>
    <row r="711" hidden="1" ht="75" customHeight="1" s="54">
      <c r="B711" s="59" t="inlineStr">
        <is>
          <t>R-0706</t>
        </is>
      </c>
      <c r="C711" s="59" t="inlineStr">
        <is>
          <t>LCO-04</t>
        </is>
      </c>
      <c r="D711" s="64">
        <f>IFERROR(INDEX(MgNombre,MATCH($C711,MgActId,0)),"")</f>
        <v/>
      </c>
      <c r="E711" s="64">
        <f>IFERROR(INDEX(MgProceso,MATCH($C711,MgActId,0)),"")</f>
        <v/>
      </c>
      <c r="F711" s="64">
        <f>IFERROR(INDEX(MgTipo,MATCH($C711,MgActId,0)),"")</f>
        <v/>
      </c>
      <c r="G711" s="64">
        <f>IFERROR(INDEX(MgSubtipo,MATCH($C711,MgActId,0)),"")</f>
        <v/>
      </c>
      <c r="H711" s="59" t="inlineStr">
        <is>
          <t>E.4</t>
        </is>
      </c>
      <c r="I711" s="64">
        <f>IFERROR(INDEX(MgAmenNombre,MATCH(SUBSTITUTE($H711,"*","-"),MgAmenClave,0)),"")</f>
        <v/>
      </c>
      <c r="J711" s="28">
        <f>IFERROR(INDEX(MgAmenGrupo,MATCH(SUBSTITUTE($H711,"*","-"),MgAmenClave,0)),"")</f>
        <v/>
      </c>
      <c r="K711" s="64">
        <f>IFERROR(INDEX('1. Matriz de Activos'!$Q$6:$Q$239,MATCH($C711,MgActId,0)),"")</f>
        <v/>
      </c>
      <c r="L711" s="64">
        <f>IFERROR(INDEX('1. Matriz de Activos'!$R$6:$R$239,MATCH($C711,MgActId,0)),"")</f>
        <v/>
      </c>
      <c r="M711" s="64">
        <f>IFERROR(INDEX('1. Matriz de Activos'!$S$6:$S$239,MATCH($C711,MgActId,0)),"")</f>
        <v/>
      </c>
      <c r="N711" s="28">
        <f>IFERROR(INDEX(MgAmenDegD,MATCH(SUBSTITUTE($H711,"*","-"),MgAmenClave,0)),"No aplica")</f>
        <v/>
      </c>
      <c r="O711" s="28">
        <f>IFERROR(INDEX(MgAmenDegI,MATCH(SUBSTITUTE($H711,"*","-"),MgAmenClave,0)),"No aplica")</f>
        <v/>
      </c>
      <c r="P711" s="28">
        <f>IFERROR(INDEX(MgAmenDegC,MATCH(SUBSTITUTE($H711,"*","-"),MgAmenClave,0)),"No aplica")</f>
        <v/>
      </c>
      <c r="Q711" s="29">
        <f>IFERROR(VLOOKUP(K711,MgValor,2,0)*VLOOKUP(N711,MgDeg,2,0),0)</f>
        <v/>
      </c>
      <c r="R711" s="29">
        <f>IFERROR(VLOOKUP(L711,MgValor,2,0)*VLOOKUP(O711,MgDeg,2,0),0)</f>
        <v/>
      </c>
      <c r="S711" s="29">
        <f>IFERROR(VLOOKUP(M711,MgValor,2,0)*VLOOKUP(P711,MgDeg,2,0),0)</f>
        <v/>
      </c>
      <c r="T711" s="30">
        <f>MAX(Q711:S711)</f>
        <v/>
      </c>
      <c r="U711" s="28">
        <f>IFERROR(LOOKUP(T711,{0;0.5;1.5;3;4.5},{"Despreciable";"Bajo";"Medio";"Alto";"Muy alto"}),"")</f>
        <v/>
      </c>
      <c r="V711" s="13">
        <f>IFERROR(INDEX(MgAmenFrec,MATCH(SUBSTITUTE($H711,"*","-"),MgAmenClave,0)),"")</f>
        <v/>
      </c>
      <c r="W711" s="28">
        <f>IFERROR(LOOKUP(X711,{0;0.01;0.1;1;10;100},{"Muy baja";"Muy baja";"Baja";"Media";"Alta";"Muy alta"}),"")</f>
        <v/>
      </c>
      <c r="X711" s="31">
        <f>IFERROR(VLOOKUP(V711,MgFrec,2,0),0)</f>
        <v/>
      </c>
      <c r="Y711" s="30">
        <f>T711*X711</f>
        <v/>
      </c>
      <c r="Z711" s="28">
        <f>IFERROR(LOOKUP(Y711,{0;0.5;5;25},{"Bajo";"Medio";"Alto";"Crítico"}),"")</f>
        <v/>
      </c>
      <c r="AA711" s="64">
        <f>IF(T711&gt;=3,IF(X711&gt;=1,"Zona 1 — Crítica: impacto alto y ocurre al menos una vez al año","Zona 4 — Catastrófica poco probable: impacto alto pero excepcional"),IF(AND(T711&lt;1.5,X711&lt;1),"Zona 3 — Asumible: impacto bajo y muy poco frecuente","Zona 2 — Atención: riesgo intermedio"))</f>
        <v/>
      </c>
      <c r="AB711" s="64">
        <f>IFERROR(INDEX(MgAmenCtrl,MATCH(SUBSTITUTE($H711,"*","-"),MgAmenClave,0)),"")</f>
        <v/>
      </c>
      <c r="AC711" s="20" t="n"/>
      <c r="AD711" s="31">
        <f>IFERROR($X711*(1-IF($AC711="",$AL711,VLOOKUP($AC711,MgMad,2,0))),"")</f>
        <v/>
      </c>
      <c r="AE711" s="28">
        <f>IFERROR(LOOKUP(AD711,{0;0.01;0.1;1;10;100},{"Muy baja";"Muy baja";"Baja";"Media";"Alta";"Muy alta"}),"")</f>
        <v/>
      </c>
      <c r="AF711" s="30">
        <f>T711*AD711</f>
        <v/>
      </c>
      <c r="AG711" s="28">
        <f>IFERROR(LOOKUP(AF711,{0;0.5;5;25},{"Bajo";"Medio";"Alto";"Crítico"}),"")</f>
        <v/>
      </c>
      <c r="AH711" s="28">
        <f>IF(AG711="","",IF(OR(AG711="Crítico",AG711="Alto"),"Mitigar",IF(AG711="Medio","Mitigar","Aceptar y monitorear")))</f>
        <v/>
      </c>
      <c r="AI711" s="21" t="n"/>
      <c r="AJ711" s="21" t="n"/>
      <c r="AK711" s="20" t="n"/>
      <c r="AL711" s="77">
        <f>IFERROR(INDEX(MgAmenEfic,MATCH(SUBSTITUTE($H711,"*","-"),MgAmenClave,0)),0)</f>
        <v/>
      </c>
    </row>
    <row r="712" hidden="1" ht="90" customHeight="1" s="54">
      <c r="B712" s="59" t="inlineStr">
        <is>
          <t>R-0707</t>
        </is>
      </c>
      <c r="C712" s="59" t="inlineStr">
        <is>
          <t>LCO-04</t>
        </is>
      </c>
      <c r="D712" s="64">
        <f>IFERROR(INDEX(MgNombre,MATCH($C712,MgActId,0)),"")</f>
        <v/>
      </c>
      <c r="E712" s="64">
        <f>IFERROR(INDEX(MgProceso,MATCH($C712,MgActId,0)),"")</f>
        <v/>
      </c>
      <c r="F712" s="64">
        <f>IFERROR(INDEX(MgTipo,MATCH($C712,MgActId,0)),"")</f>
        <v/>
      </c>
      <c r="G712" s="64">
        <f>IFERROR(INDEX(MgSubtipo,MATCH($C712,MgActId,0)),"")</f>
        <v/>
      </c>
      <c r="H712" s="59" t="inlineStr">
        <is>
          <t>E.14</t>
        </is>
      </c>
      <c r="I712" s="64">
        <f>IFERROR(INDEX(MgAmenNombre,MATCH(SUBSTITUTE($H712,"*","-"),MgAmenClave,0)),"")</f>
        <v/>
      </c>
      <c r="J712" s="28">
        <f>IFERROR(INDEX(MgAmenGrupo,MATCH(SUBSTITUTE($H712,"*","-"),MgAmenClave,0)),"")</f>
        <v/>
      </c>
      <c r="K712" s="64">
        <f>IFERROR(INDEX('1. Matriz de Activos'!$Q$6:$Q$239,MATCH($C712,MgActId,0)),"")</f>
        <v/>
      </c>
      <c r="L712" s="64">
        <f>IFERROR(INDEX('1. Matriz de Activos'!$R$6:$R$239,MATCH($C712,MgActId,0)),"")</f>
        <v/>
      </c>
      <c r="M712" s="64">
        <f>IFERROR(INDEX('1. Matriz de Activos'!$S$6:$S$239,MATCH($C712,MgActId,0)),"")</f>
        <v/>
      </c>
      <c r="N712" s="28">
        <f>IFERROR(INDEX(MgAmenDegD,MATCH(SUBSTITUTE($H712,"*","-"),MgAmenClave,0)),"No aplica")</f>
        <v/>
      </c>
      <c r="O712" s="28">
        <f>IFERROR(INDEX(MgAmenDegI,MATCH(SUBSTITUTE($H712,"*","-"),MgAmenClave,0)),"No aplica")</f>
        <v/>
      </c>
      <c r="P712" s="28">
        <f>IFERROR(INDEX(MgAmenDegC,MATCH(SUBSTITUTE($H712,"*","-"),MgAmenClave,0)),"No aplica")</f>
        <v/>
      </c>
      <c r="Q712" s="29">
        <f>IFERROR(VLOOKUP(K712,MgValor,2,0)*VLOOKUP(N712,MgDeg,2,0),0)</f>
        <v/>
      </c>
      <c r="R712" s="29">
        <f>IFERROR(VLOOKUP(L712,MgValor,2,0)*VLOOKUP(O712,MgDeg,2,0),0)</f>
        <v/>
      </c>
      <c r="S712" s="29">
        <f>IFERROR(VLOOKUP(M712,MgValor,2,0)*VLOOKUP(P712,MgDeg,2,0),0)</f>
        <v/>
      </c>
      <c r="T712" s="30">
        <f>MAX(Q712:S712)</f>
        <v/>
      </c>
      <c r="U712" s="28">
        <f>IFERROR(LOOKUP(T712,{0;0.5;1.5;3;4.5},{"Despreciable";"Bajo";"Medio";"Alto";"Muy alto"}),"")</f>
        <v/>
      </c>
      <c r="V712" s="13">
        <f>IFERROR(INDEX(MgAmenFrec,MATCH(SUBSTITUTE($H712,"*","-"),MgAmenClave,0)),"")</f>
        <v/>
      </c>
      <c r="W712" s="28">
        <f>IFERROR(LOOKUP(X712,{0;0.01;0.1;1;10;100},{"Muy baja";"Muy baja";"Baja";"Media";"Alta";"Muy alta"}),"")</f>
        <v/>
      </c>
      <c r="X712" s="31">
        <f>IFERROR(VLOOKUP(V712,MgFrec,2,0),0)</f>
        <v/>
      </c>
      <c r="Y712" s="30">
        <f>T712*X712</f>
        <v/>
      </c>
      <c r="Z712" s="28">
        <f>IFERROR(LOOKUP(Y712,{0;0.5;5;25},{"Bajo";"Medio";"Alto";"Crítico"}),"")</f>
        <v/>
      </c>
      <c r="AA712" s="64">
        <f>IF(T712&gt;=3,IF(X712&gt;=1,"Zona 1 — Crítica: impacto alto y ocurre al menos una vez al año","Zona 4 — Catastrófica poco probable: impacto alto pero excepcional"),IF(AND(T712&lt;1.5,X712&lt;1),"Zona 3 — Asumible: impacto bajo y muy poco frecuente","Zona 2 — Atención: riesgo intermedio"))</f>
        <v/>
      </c>
      <c r="AB712" s="64">
        <f>IFERROR(INDEX(MgAmenCtrl,MATCH(SUBSTITUTE($H712,"*","-"),MgAmenClave,0)),"")</f>
        <v/>
      </c>
      <c r="AC712" s="20" t="n"/>
      <c r="AD712" s="31">
        <f>IFERROR($X712*(1-IF($AC712="",$AL712,VLOOKUP($AC712,MgMad,2,0))),"")</f>
        <v/>
      </c>
      <c r="AE712" s="28">
        <f>IFERROR(LOOKUP(AD712,{0;0.01;0.1;1;10;100},{"Muy baja";"Muy baja";"Baja";"Media";"Alta";"Muy alta"}),"")</f>
        <v/>
      </c>
      <c r="AF712" s="30">
        <f>T712*AD712</f>
        <v/>
      </c>
      <c r="AG712" s="28">
        <f>IFERROR(LOOKUP(AF712,{0;0.5;5;25},{"Bajo";"Medio";"Alto";"Crítico"}),"")</f>
        <v/>
      </c>
      <c r="AH712" s="28">
        <f>IF(AG712="","",IF(OR(AG712="Crítico",AG712="Alto"),"Mitigar",IF(AG712="Medio","Mitigar","Aceptar y monitorear")))</f>
        <v/>
      </c>
      <c r="AI712" s="21" t="n"/>
      <c r="AJ712" s="21" t="n"/>
      <c r="AK712" s="20" t="n"/>
      <c r="AL712" s="77">
        <f>IFERROR(INDEX(MgAmenEfic,MATCH(SUBSTITUTE($H712,"*","-"),MgAmenClave,0)),0)</f>
        <v/>
      </c>
    </row>
    <row r="713" hidden="1" ht="90" customHeight="1" s="54">
      <c r="B713" s="59" t="inlineStr">
        <is>
          <t>R-0708</t>
        </is>
      </c>
      <c r="C713" s="59" t="inlineStr">
        <is>
          <t>LCO-04</t>
        </is>
      </c>
      <c r="D713" s="64">
        <f>IFERROR(INDEX(MgNombre,MATCH($C713,MgActId,0)),"")</f>
        <v/>
      </c>
      <c r="E713" s="64">
        <f>IFERROR(INDEX(MgProceso,MATCH($C713,MgActId,0)),"")</f>
        <v/>
      </c>
      <c r="F713" s="64">
        <f>IFERROR(INDEX(MgTipo,MATCH($C713,MgActId,0)),"")</f>
        <v/>
      </c>
      <c r="G713" s="64">
        <f>IFERROR(INDEX(MgSubtipo,MATCH($C713,MgActId,0)),"")</f>
        <v/>
      </c>
      <c r="H713" s="59" t="inlineStr">
        <is>
          <t>E.15</t>
        </is>
      </c>
      <c r="I713" s="64">
        <f>IFERROR(INDEX(MgAmenNombre,MATCH(SUBSTITUTE($H713,"*","-"),MgAmenClave,0)),"")</f>
        <v/>
      </c>
      <c r="J713" s="28">
        <f>IFERROR(INDEX(MgAmenGrupo,MATCH(SUBSTITUTE($H713,"*","-"),MgAmenClave,0)),"")</f>
        <v/>
      </c>
      <c r="K713" s="64">
        <f>IFERROR(INDEX('1. Matriz de Activos'!$Q$6:$Q$239,MATCH($C713,MgActId,0)),"")</f>
        <v/>
      </c>
      <c r="L713" s="64">
        <f>IFERROR(INDEX('1. Matriz de Activos'!$R$6:$R$239,MATCH($C713,MgActId,0)),"")</f>
        <v/>
      </c>
      <c r="M713" s="64">
        <f>IFERROR(INDEX('1. Matriz de Activos'!$S$6:$S$239,MATCH($C713,MgActId,0)),"")</f>
        <v/>
      </c>
      <c r="N713" s="28">
        <f>IFERROR(INDEX(MgAmenDegD,MATCH(SUBSTITUTE($H713,"*","-"),MgAmenClave,0)),"No aplica")</f>
        <v/>
      </c>
      <c r="O713" s="28">
        <f>IFERROR(INDEX(MgAmenDegI,MATCH(SUBSTITUTE($H713,"*","-"),MgAmenClave,0)),"No aplica")</f>
        <v/>
      </c>
      <c r="P713" s="28">
        <f>IFERROR(INDEX(MgAmenDegC,MATCH(SUBSTITUTE($H713,"*","-"),MgAmenClave,0)),"No aplica")</f>
        <v/>
      </c>
      <c r="Q713" s="29">
        <f>IFERROR(VLOOKUP(K713,MgValor,2,0)*VLOOKUP(N713,MgDeg,2,0),0)</f>
        <v/>
      </c>
      <c r="R713" s="29">
        <f>IFERROR(VLOOKUP(L713,MgValor,2,0)*VLOOKUP(O713,MgDeg,2,0),0)</f>
        <v/>
      </c>
      <c r="S713" s="29">
        <f>IFERROR(VLOOKUP(M713,MgValor,2,0)*VLOOKUP(P713,MgDeg,2,0),0)</f>
        <v/>
      </c>
      <c r="T713" s="30">
        <f>MAX(Q713:S713)</f>
        <v/>
      </c>
      <c r="U713" s="28">
        <f>IFERROR(LOOKUP(T713,{0;0.5;1.5;3;4.5},{"Despreciable";"Bajo";"Medio";"Alto";"Muy alto"}),"")</f>
        <v/>
      </c>
      <c r="V713" s="13">
        <f>IFERROR(INDEX(MgAmenFrec,MATCH(SUBSTITUTE($H713,"*","-"),MgAmenClave,0)),"")</f>
        <v/>
      </c>
      <c r="W713" s="28">
        <f>IFERROR(LOOKUP(X713,{0;0.01;0.1;1;10;100},{"Muy baja";"Muy baja";"Baja";"Media";"Alta";"Muy alta"}),"")</f>
        <v/>
      </c>
      <c r="X713" s="31">
        <f>IFERROR(VLOOKUP(V713,MgFrec,2,0),0)</f>
        <v/>
      </c>
      <c r="Y713" s="30">
        <f>T713*X713</f>
        <v/>
      </c>
      <c r="Z713" s="28">
        <f>IFERROR(LOOKUP(Y713,{0;0.5;5;25},{"Bajo";"Medio";"Alto";"Crítico"}),"")</f>
        <v/>
      </c>
      <c r="AA713" s="64">
        <f>IF(T713&gt;=3,IF(X713&gt;=1,"Zona 1 — Crítica: impacto alto y ocurre al menos una vez al año","Zona 4 — Catastrófica poco probable: impacto alto pero excepcional"),IF(AND(T713&lt;1.5,X713&lt;1),"Zona 3 — Asumible: impacto bajo y muy poco frecuente","Zona 2 — Atención: riesgo intermedio"))</f>
        <v/>
      </c>
      <c r="AB713" s="64">
        <f>IFERROR(INDEX(MgAmenCtrl,MATCH(SUBSTITUTE($H713,"*","-"),MgAmenClave,0)),"")</f>
        <v/>
      </c>
      <c r="AC713" s="20" t="n"/>
      <c r="AD713" s="31">
        <f>IFERROR($X713*(1-IF($AC713="",$AL713,VLOOKUP($AC713,MgMad,2,0))),"")</f>
        <v/>
      </c>
      <c r="AE713" s="28">
        <f>IFERROR(LOOKUP(AD713,{0;0.01;0.1;1;10;100},{"Muy baja";"Muy baja";"Baja";"Media";"Alta";"Muy alta"}),"")</f>
        <v/>
      </c>
      <c r="AF713" s="30">
        <f>T713*AD713</f>
        <v/>
      </c>
      <c r="AG713" s="28">
        <f>IFERROR(LOOKUP(AF713,{0;0.5;5;25},{"Bajo";"Medio";"Alto";"Crítico"}),"")</f>
        <v/>
      </c>
      <c r="AH713" s="28">
        <f>IF(AG713="","",IF(OR(AG713="Crítico",AG713="Alto"),"Mitigar",IF(AG713="Medio","Mitigar","Aceptar y monitorear")))</f>
        <v/>
      </c>
      <c r="AI713" s="21" t="n"/>
      <c r="AJ713" s="21" t="n"/>
      <c r="AK713" s="20" t="n"/>
      <c r="AL713" s="77">
        <f>IFERROR(INDEX(MgAmenEfic,MATCH(SUBSTITUTE($H713,"*","-"),MgAmenClave,0)),0)</f>
        <v/>
      </c>
    </row>
    <row r="714" hidden="1" ht="60" customHeight="1" s="54">
      <c r="B714" s="59" t="inlineStr">
        <is>
          <t>R-0709</t>
        </is>
      </c>
      <c r="C714" s="59" t="inlineStr">
        <is>
          <t>LCO-04</t>
        </is>
      </c>
      <c r="D714" s="64">
        <f>IFERROR(INDEX(MgNombre,MATCH($C714,MgActId,0)),"")</f>
        <v/>
      </c>
      <c r="E714" s="64">
        <f>IFERROR(INDEX(MgProceso,MATCH($C714,MgActId,0)),"")</f>
        <v/>
      </c>
      <c r="F714" s="64">
        <f>IFERROR(INDEX(MgTipo,MATCH($C714,MgActId,0)),"")</f>
        <v/>
      </c>
      <c r="G714" s="64">
        <f>IFERROR(INDEX(MgSubtipo,MATCH($C714,MgActId,0)),"")</f>
        <v/>
      </c>
      <c r="H714" s="59" t="inlineStr">
        <is>
          <t>E.18</t>
        </is>
      </c>
      <c r="I714" s="64">
        <f>IFERROR(INDEX(MgAmenNombre,MATCH(SUBSTITUTE($H714,"*","-"),MgAmenClave,0)),"")</f>
        <v/>
      </c>
      <c r="J714" s="28">
        <f>IFERROR(INDEX(MgAmenGrupo,MATCH(SUBSTITUTE($H714,"*","-"),MgAmenClave,0)),"")</f>
        <v/>
      </c>
      <c r="K714" s="64">
        <f>IFERROR(INDEX('1. Matriz de Activos'!$Q$6:$Q$239,MATCH($C714,MgActId,0)),"")</f>
        <v/>
      </c>
      <c r="L714" s="64">
        <f>IFERROR(INDEX('1. Matriz de Activos'!$R$6:$R$239,MATCH($C714,MgActId,0)),"")</f>
        <v/>
      </c>
      <c r="M714" s="64">
        <f>IFERROR(INDEX('1. Matriz de Activos'!$S$6:$S$239,MATCH($C714,MgActId,0)),"")</f>
        <v/>
      </c>
      <c r="N714" s="28">
        <f>IFERROR(INDEX(MgAmenDegD,MATCH(SUBSTITUTE($H714,"*","-"),MgAmenClave,0)),"No aplica")</f>
        <v/>
      </c>
      <c r="O714" s="28">
        <f>IFERROR(INDEX(MgAmenDegI,MATCH(SUBSTITUTE($H714,"*","-"),MgAmenClave,0)),"No aplica")</f>
        <v/>
      </c>
      <c r="P714" s="28">
        <f>IFERROR(INDEX(MgAmenDegC,MATCH(SUBSTITUTE($H714,"*","-"),MgAmenClave,0)),"No aplica")</f>
        <v/>
      </c>
      <c r="Q714" s="29">
        <f>IFERROR(VLOOKUP(K714,MgValor,2,0)*VLOOKUP(N714,MgDeg,2,0),0)</f>
        <v/>
      </c>
      <c r="R714" s="29">
        <f>IFERROR(VLOOKUP(L714,MgValor,2,0)*VLOOKUP(O714,MgDeg,2,0),0)</f>
        <v/>
      </c>
      <c r="S714" s="29">
        <f>IFERROR(VLOOKUP(M714,MgValor,2,0)*VLOOKUP(P714,MgDeg,2,0),0)</f>
        <v/>
      </c>
      <c r="T714" s="30">
        <f>MAX(Q714:S714)</f>
        <v/>
      </c>
      <c r="U714" s="28">
        <f>IFERROR(LOOKUP(T714,{0;0.5;1.5;3;4.5},{"Despreciable";"Bajo";"Medio";"Alto";"Muy alto"}),"")</f>
        <v/>
      </c>
      <c r="V714" s="13">
        <f>IFERROR(INDEX(MgAmenFrec,MATCH(SUBSTITUTE($H714,"*","-"),MgAmenClave,0)),"")</f>
        <v/>
      </c>
      <c r="W714" s="28">
        <f>IFERROR(LOOKUP(X714,{0;0.01;0.1;1;10;100},{"Muy baja";"Muy baja";"Baja";"Media";"Alta";"Muy alta"}),"")</f>
        <v/>
      </c>
      <c r="X714" s="31">
        <f>IFERROR(VLOOKUP(V714,MgFrec,2,0),0)</f>
        <v/>
      </c>
      <c r="Y714" s="30">
        <f>T714*X714</f>
        <v/>
      </c>
      <c r="Z714" s="28">
        <f>IFERROR(LOOKUP(Y714,{0;0.5;5;25},{"Bajo";"Medio";"Alto";"Crítico"}),"")</f>
        <v/>
      </c>
      <c r="AA714" s="64">
        <f>IF(T714&gt;=3,IF(X714&gt;=1,"Zona 1 — Crítica: impacto alto y ocurre al menos una vez al año","Zona 4 — Catastrófica poco probable: impacto alto pero excepcional"),IF(AND(T714&lt;1.5,X714&lt;1),"Zona 3 — Asumible: impacto bajo y muy poco frecuente","Zona 2 — Atención: riesgo intermedio"))</f>
        <v/>
      </c>
      <c r="AB714" s="64">
        <f>IFERROR(INDEX(MgAmenCtrl,MATCH(SUBSTITUTE($H714,"*","-"),MgAmenClave,0)),"")</f>
        <v/>
      </c>
      <c r="AC714" s="20" t="n"/>
      <c r="AD714" s="31">
        <f>IFERROR($X714*(1-IF($AC714="",$AL714,VLOOKUP($AC714,MgMad,2,0))),"")</f>
        <v/>
      </c>
      <c r="AE714" s="28">
        <f>IFERROR(LOOKUP(AD714,{0;0.01;0.1;1;10;100},{"Muy baja";"Muy baja";"Baja";"Media";"Alta";"Muy alta"}),"")</f>
        <v/>
      </c>
      <c r="AF714" s="30">
        <f>T714*AD714</f>
        <v/>
      </c>
      <c r="AG714" s="28">
        <f>IFERROR(LOOKUP(AF714,{0;0.5;5;25},{"Bajo";"Medio";"Alto";"Crítico"}),"")</f>
        <v/>
      </c>
      <c r="AH714" s="28">
        <f>IF(AG714="","",IF(OR(AG714="Crítico",AG714="Alto"),"Mitigar",IF(AG714="Medio","Mitigar","Aceptar y monitorear")))</f>
        <v/>
      </c>
      <c r="AI714" s="21" t="n"/>
      <c r="AJ714" s="21" t="n"/>
      <c r="AK714" s="20" t="n"/>
      <c r="AL714" s="77">
        <f>IFERROR(INDEX(MgAmenEfic,MATCH(SUBSTITUTE($H714,"*","-"),MgAmenClave,0)),0)</f>
        <v/>
      </c>
    </row>
    <row r="715" hidden="1" ht="105" customHeight="1" s="54">
      <c r="B715" s="59" t="inlineStr">
        <is>
          <t>R-0710</t>
        </is>
      </c>
      <c r="C715" s="59" t="inlineStr">
        <is>
          <t>LCO-04</t>
        </is>
      </c>
      <c r="D715" s="64">
        <f>IFERROR(INDEX(MgNombre,MATCH($C715,MgActId,0)),"")</f>
        <v/>
      </c>
      <c r="E715" s="64">
        <f>IFERROR(INDEX(MgProceso,MATCH($C715,MgActId,0)),"")</f>
        <v/>
      </c>
      <c r="F715" s="64">
        <f>IFERROR(INDEX(MgTipo,MATCH($C715,MgActId,0)),"")</f>
        <v/>
      </c>
      <c r="G715" s="64">
        <f>IFERROR(INDEX(MgSubtipo,MATCH($C715,MgActId,0)),"")</f>
        <v/>
      </c>
      <c r="H715" s="59" t="inlineStr">
        <is>
          <t>E.19</t>
        </is>
      </c>
      <c r="I715" s="64">
        <f>IFERROR(INDEX(MgAmenNombre,MATCH(SUBSTITUTE($H715,"*","-"),MgAmenClave,0)),"")</f>
        <v/>
      </c>
      <c r="J715" s="28">
        <f>IFERROR(INDEX(MgAmenGrupo,MATCH(SUBSTITUTE($H715,"*","-"),MgAmenClave,0)),"")</f>
        <v/>
      </c>
      <c r="K715" s="64">
        <f>IFERROR(INDEX('1. Matriz de Activos'!$Q$6:$Q$239,MATCH($C715,MgActId,0)),"")</f>
        <v/>
      </c>
      <c r="L715" s="64">
        <f>IFERROR(INDEX('1. Matriz de Activos'!$R$6:$R$239,MATCH($C715,MgActId,0)),"")</f>
        <v/>
      </c>
      <c r="M715" s="64">
        <f>IFERROR(INDEX('1. Matriz de Activos'!$S$6:$S$239,MATCH($C715,MgActId,0)),"")</f>
        <v/>
      </c>
      <c r="N715" s="28">
        <f>IFERROR(INDEX(MgAmenDegD,MATCH(SUBSTITUTE($H715,"*","-"),MgAmenClave,0)),"No aplica")</f>
        <v/>
      </c>
      <c r="O715" s="28">
        <f>IFERROR(INDEX(MgAmenDegI,MATCH(SUBSTITUTE($H715,"*","-"),MgAmenClave,0)),"No aplica")</f>
        <v/>
      </c>
      <c r="P715" s="28">
        <f>IFERROR(INDEX(MgAmenDegC,MATCH(SUBSTITUTE($H715,"*","-"),MgAmenClave,0)),"No aplica")</f>
        <v/>
      </c>
      <c r="Q715" s="29">
        <f>IFERROR(VLOOKUP(K715,MgValor,2,0)*VLOOKUP(N715,MgDeg,2,0),0)</f>
        <v/>
      </c>
      <c r="R715" s="29">
        <f>IFERROR(VLOOKUP(L715,MgValor,2,0)*VLOOKUP(O715,MgDeg,2,0),0)</f>
        <v/>
      </c>
      <c r="S715" s="29">
        <f>IFERROR(VLOOKUP(M715,MgValor,2,0)*VLOOKUP(P715,MgDeg,2,0),0)</f>
        <v/>
      </c>
      <c r="T715" s="30">
        <f>MAX(Q715:S715)</f>
        <v/>
      </c>
      <c r="U715" s="28">
        <f>IFERROR(LOOKUP(T715,{0;0.5;1.5;3;4.5},{"Despreciable";"Bajo";"Medio";"Alto";"Muy alto"}),"")</f>
        <v/>
      </c>
      <c r="V715" s="13">
        <f>IFERROR(INDEX(MgAmenFrec,MATCH(SUBSTITUTE($H715,"*","-"),MgAmenClave,0)),"")</f>
        <v/>
      </c>
      <c r="W715" s="28">
        <f>IFERROR(LOOKUP(X715,{0;0.01;0.1;1;10;100},{"Muy baja";"Muy baja";"Baja";"Media";"Alta";"Muy alta"}),"")</f>
        <v/>
      </c>
      <c r="X715" s="31">
        <f>IFERROR(VLOOKUP(V715,MgFrec,2,0),0)</f>
        <v/>
      </c>
      <c r="Y715" s="30">
        <f>T715*X715</f>
        <v/>
      </c>
      <c r="Z715" s="28">
        <f>IFERROR(LOOKUP(Y715,{0;0.5;5;25},{"Bajo";"Medio";"Alto";"Crítico"}),"")</f>
        <v/>
      </c>
      <c r="AA715" s="64">
        <f>IF(T715&gt;=3,IF(X715&gt;=1,"Zona 1 — Crítica: impacto alto y ocurre al menos una vez al año","Zona 4 — Catastrófica poco probable: impacto alto pero excepcional"),IF(AND(T715&lt;1.5,X715&lt;1),"Zona 3 — Asumible: impacto bajo y muy poco frecuente","Zona 2 — Atención: riesgo intermedio"))</f>
        <v/>
      </c>
      <c r="AB715" s="64">
        <f>IFERROR(INDEX(MgAmenCtrl,MATCH(SUBSTITUTE($H715,"*","-"),MgAmenClave,0)),"")</f>
        <v/>
      </c>
      <c r="AC715" s="20" t="n"/>
      <c r="AD715" s="31">
        <f>IFERROR($X715*(1-IF($AC715="",$AL715,VLOOKUP($AC715,MgMad,2,0))),"")</f>
        <v/>
      </c>
      <c r="AE715" s="28">
        <f>IFERROR(LOOKUP(AD715,{0;0.01;0.1;1;10;100},{"Muy baja";"Muy baja";"Baja";"Media";"Alta";"Muy alta"}),"")</f>
        <v/>
      </c>
      <c r="AF715" s="30">
        <f>T715*AD715</f>
        <v/>
      </c>
      <c r="AG715" s="28">
        <f>IFERROR(LOOKUP(AF715,{0;0.5;5;25},{"Bajo";"Medio";"Alto";"Crítico"}),"")</f>
        <v/>
      </c>
      <c r="AH715" s="28">
        <f>IF(AG715="","",IF(OR(AG715="Crítico",AG715="Alto"),"Mitigar",IF(AG715="Medio","Mitigar","Aceptar y monitorear")))</f>
        <v/>
      </c>
      <c r="AI715" s="21" t="n"/>
      <c r="AJ715" s="21" t="n"/>
      <c r="AK715" s="20" t="n"/>
      <c r="AL715" s="77">
        <f>IFERROR(INDEX(MgAmenEfic,MATCH(SUBSTITUTE($H715,"*","-"),MgAmenClave,0)),0)</f>
        <v/>
      </c>
    </row>
    <row r="716" hidden="1" ht="60" customHeight="1" s="54">
      <c r="B716" s="59" t="inlineStr">
        <is>
          <t>R-0711</t>
        </is>
      </c>
      <c r="C716" s="59" t="inlineStr">
        <is>
          <t>LCO-04</t>
        </is>
      </c>
      <c r="D716" s="64">
        <f>IFERROR(INDEX(MgNombre,MATCH($C716,MgActId,0)),"")</f>
        <v/>
      </c>
      <c r="E716" s="64">
        <f>IFERROR(INDEX(MgProceso,MATCH($C716,MgActId,0)),"")</f>
        <v/>
      </c>
      <c r="F716" s="64">
        <f>IFERROR(INDEX(MgTipo,MATCH($C716,MgActId,0)),"")</f>
        <v/>
      </c>
      <c r="G716" s="64">
        <f>IFERROR(INDEX(MgSubtipo,MATCH($C716,MgActId,0)),"")</f>
        <v/>
      </c>
      <c r="H716" s="59" t="inlineStr">
        <is>
          <t>A.3</t>
        </is>
      </c>
      <c r="I716" s="64">
        <f>IFERROR(INDEX(MgAmenNombre,MATCH(SUBSTITUTE($H716,"*","-"),MgAmenClave,0)),"")</f>
        <v/>
      </c>
      <c r="J716" s="28">
        <f>IFERROR(INDEX(MgAmenGrupo,MATCH(SUBSTITUTE($H716,"*","-"),MgAmenClave,0)),"")</f>
        <v/>
      </c>
      <c r="K716" s="64">
        <f>IFERROR(INDEX('1. Matriz de Activos'!$Q$6:$Q$239,MATCH($C716,MgActId,0)),"")</f>
        <v/>
      </c>
      <c r="L716" s="64">
        <f>IFERROR(INDEX('1. Matriz de Activos'!$R$6:$R$239,MATCH($C716,MgActId,0)),"")</f>
        <v/>
      </c>
      <c r="M716" s="64">
        <f>IFERROR(INDEX('1. Matriz de Activos'!$S$6:$S$239,MATCH($C716,MgActId,0)),"")</f>
        <v/>
      </c>
      <c r="N716" s="28">
        <f>IFERROR(INDEX(MgAmenDegD,MATCH(SUBSTITUTE($H716,"*","-"),MgAmenClave,0)),"No aplica")</f>
        <v/>
      </c>
      <c r="O716" s="28">
        <f>IFERROR(INDEX(MgAmenDegI,MATCH(SUBSTITUTE($H716,"*","-"),MgAmenClave,0)),"No aplica")</f>
        <v/>
      </c>
      <c r="P716" s="28">
        <f>IFERROR(INDEX(MgAmenDegC,MATCH(SUBSTITUTE($H716,"*","-"),MgAmenClave,0)),"No aplica")</f>
        <v/>
      </c>
      <c r="Q716" s="29">
        <f>IFERROR(VLOOKUP(K716,MgValor,2,0)*VLOOKUP(N716,MgDeg,2,0),0)</f>
        <v/>
      </c>
      <c r="R716" s="29">
        <f>IFERROR(VLOOKUP(L716,MgValor,2,0)*VLOOKUP(O716,MgDeg,2,0),0)</f>
        <v/>
      </c>
      <c r="S716" s="29">
        <f>IFERROR(VLOOKUP(M716,MgValor,2,0)*VLOOKUP(P716,MgDeg,2,0),0)</f>
        <v/>
      </c>
      <c r="T716" s="30">
        <f>MAX(Q716:S716)</f>
        <v/>
      </c>
      <c r="U716" s="28">
        <f>IFERROR(LOOKUP(T716,{0;0.5;1.5;3;4.5},{"Despreciable";"Bajo";"Medio";"Alto";"Muy alto"}),"")</f>
        <v/>
      </c>
      <c r="V716" s="13">
        <f>IFERROR(INDEX(MgAmenFrec,MATCH(SUBSTITUTE($H716,"*","-"),MgAmenClave,0)),"")</f>
        <v/>
      </c>
      <c r="W716" s="28">
        <f>IFERROR(LOOKUP(X716,{0;0.01;0.1;1;10;100},{"Muy baja";"Muy baja";"Baja";"Media";"Alta";"Muy alta"}),"")</f>
        <v/>
      </c>
      <c r="X716" s="31">
        <f>IFERROR(VLOOKUP(V716,MgFrec,2,0),0)</f>
        <v/>
      </c>
      <c r="Y716" s="30">
        <f>T716*X716</f>
        <v/>
      </c>
      <c r="Z716" s="28">
        <f>IFERROR(LOOKUP(Y716,{0;0.5;5;25},{"Bajo";"Medio";"Alto";"Crítico"}),"")</f>
        <v/>
      </c>
      <c r="AA716" s="64">
        <f>IF(T716&gt;=3,IF(X716&gt;=1,"Zona 1 — Crítica: impacto alto y ocurre al menos una vez al año","Zona 4 — Catastrófica poco probable: impacto alto pero excepcional"),IF(AND(T716&lt;1.5,X716&lt;1),"Zona 3 — Asumible: impacto bajo y muy poco frecuente","Zona 2 — Atención: riesgo intermedio"))</f>
        <v/>
      </c>
      <c r="AB716" s="64">
        <f>IFERROR(INDEX(MgAmenCtrl,MATCH(SUBSTITUTE($H716,"*","-"),MgAmenClave,0)),"")</f>
        <v/>
      </c>
      <c r="AC716" s="20" t="n"/>
      <c r="AD716" s="31">
        <f>IFERROR($X716*(1-IF($AC716="",$AL716,VLOOKUP($AC716,MgMad,2,0))),"")</f>
        <v/>
      </c>
      <c r="AE716" s="28">
        <f>IFERROR(LOOKUP(AD716,{0;0.01;0.1;1;10;100},{"Muy baja";"Muy baja";"Baja";"Media";"Alta";"Muy alta"}),"")</f>
        <v/>
      </c>
      <c r="AF716" s="30">
        <f>T716*AD716</f>
        <v/>
      </c>
      <c r="AG716" s="28">
        <f>IFERROR(LOOKUP(AF716,{0;0.5;5;25},{"Bajo";"Medio";"Alto";"Crítico"}),"")</f>
        <v/>
      </c>
      <c r="AH716" s="28">
        <f>IF(AG716="","",IF(OR(AG716="Crítico",AG716="Alto"),"Mitigar",IF(AG716="Medio","Mitigar","Aceptar y monitorear")))</f>
        <v/>
      </c>
      <c r="AI716" s="21" t="n"/>
      <c r="AJ716" s="21" t="n"/>
      <c r="AK716" s="20" t="n"/>
      <c r="AL716" s="77">
        <f>IFERROR(INDEX(MgAmenEfic,MATCH(SUBSTITUTE($H716,"*","-"),MgAmenClave,0)),0)</f>
        <v/>
      </c>
    </row>
    <row r="717" hidden="1" ht="60" customHeight="1" s="54">
      <c r="B717" s="59" t="inlineStr">
        <is>
          <t>R-0712</t>
        </is>
      </c>
      <c r="C717" s="59" t="inlineStr">
        <is>
          <t>LCO-04</t>
        </is>
      </c>
      <c r="D717" s="64">
        <f>IFERROR(INDEX(MgNombre,MATCH($C717,MgActId,0)),"")</f>
        <v/>
      </c>
      <c r="E717" s="64">
        <f>IFERROR(INDEX(MgProceso,MATCH($C717,MgActId,0)),"")</f>
        <v/>
      </c>
      <c r="F717" s="64">
        <f>IFERROR(INDEX(MgTipo,MATCH($C717,MgActId,0)),"")</f>
        <v/>
      </c>
      <c r="G717" s="64">
        <f>IFERROR(INDEX(MgSubtipo,MATCH($C717,MgActId,0)),"")</f>
        <v/>
      </c>
      <c r="H717" s="59" t="inlineStr">
        <is>
          <t>A.4</t>
        </is>
      </c>
      <c r="I717" s="64">
        <f>IFERROR(INDEX(MgAmenNombre,MATCH(SUBSTITUTE($H717,"*","-"),MgAmenClave,0)),"")</f>
        <v/>
      </c>
      <c r="J717" s="28">
        <f>IFERROR(INDEX(MgAmenGrupo,MATCH(SUBSTITUTE($H717,"*","-"),MgAmenClave,0)),"")</f>
        <v/>
      </c>
      <c r="K717" s="64">
        <f>IFERROR(INDEX('1. Matriz de Activos'!$Q$6:$Q$239,MATCH($C717,MgActId,0)),"")</f>
        <v/>
      </c>
      <c r="L717" s="64">
        <f>IFERROR(INDEX('1. Matriz de Activos'!$R$6:$R$239,MATCH($C717,MgActId,0)),"")</f>
        <v/>
      </c>
      <c r="M717" s="64">
        <f>IFERROR(INDEX('1. Matriz de Activos'!$S$6:$S$239,MATCH($C717,MgActId,0)),"")</f>
        <v/>
      </c>
      <c r="N717" s="28">
        <f>IFERROR(INDEX(MgAmenDegD,MATCH(SUBSTITUTE($H717,"*","-"),MgAmenClave,0)),"No aplica")</f>
        <v/>
      </c>
      <c r="O717" s="28">
        <f>IFERROR(INDEX(MgAmenDegI,MATCH(SUBSTITUTE($H717,"*","-"),MgAmenClave,0)),"No aplica")</f>
        <v/>
      </c>
      <c r="P717" s="28">
        <f>IFERROR(INDEX(MgAmenDegC,MATCH(SUBSTITUTE($H717,"*","-"),MgAmenClave,0)),"No aplica")</f>
        <v/>
      </c>
      <c r="Q717" s="29">
        <f>IFERROR(VLOOKUP(K717,MgValor,2,0)*VLOOKUP(N717,MgDeg,2,0),0)</f>
        <v/>
      </c>
      <c r="R717" s="29">
        <f>IFERROR(VLOOKUP(L717,MgValor,2,0)*VLOOKUP(O717,MgDeg,2,0),0)</f>
        <v/>
      </c>
      <c r="S717" s="29">
        <f>IFERROR(VLOOKUP(M717,MgValor,2,0)*VLOOKUP(P717,MgDeg,2,0),0)</f>
        <v/>
      </c>
      <c r="T717" s="30">
        <f>MAX(Q717:S717)</f>
        <v/>
      </c>
      <c r="U717" s="28">
        <f>IFERROR(LOOKUP(T717,{0;0.5;1.5;3;4.5},{"Despreciable";"Bajo";"Medio";"Alto";"Muy alto"}),"")</f>
        <v/>
      </c>
      <c r="V717" s="13">
        <f>IFERROR(INDEX(MgAmenFrec,MATCH(SUBSTITUTE($H717,"*","-"),MgAmenClave,0)),"")</f>
        <v/>
      </c>
      <c r="W717" s="28">
        <f>IFERROR(LOOKUP(X717,{0;0.01;0.1;1;10;100},{"Muy baja";"Muy baja";"Baja";"Media";"Alta";"Muy alta"}),"")</f>
        <v/>
      </c>
      <c r="X717" s="31">
        <f>IFERROR(VLOOKUP(V717,MgFrec,2,0),0)</f>
        <v/>
      </c>
      <c r="Y717" s="30">
        <f>T717*X717</f>
        <v/>
      </c>
      <c r="Z717" s="28">
        <f>IFERROR(LOOKUP(Y717,{0;0.5;5;25},{"Bajo";"Medio";"Alto";"Crítico"}),"")</f>
        <v/>
      </c>
      <c r="AA717" s="64">
        <f>IF(T717&gt;=3,IF(X717&gt;=1,"Zona 1 — Crítica: impacto alto y ocurre al menos una vez al año","Zona 4 — Catastrófica poco probable: impacto alto pero excepcional"),IF(AND(T717&lt;1.5,X717&lt;1),"Zona 3 — Asumible: impacto bajo y muy poco frecuente","Zona 2 — Atención: riesgo intermedio"))</f>
        <v/>
      </c>
      <c r="AB717" s="64">
        <f>IFERROR(INDEX(MgAmenCtrl,MATCH(SUBSTITUTE($H717,"*","-"),MgAmenClave,0)),"")</f>
        <v/>
      </c>
      <c r="AC717" s="20" t="n"/>
      <c r="AD717" s="31">
        <f>IFERROR($X717*(1-IF($AC717="",$AL717,VLOOKUP($AC717,MgMad,2,0))),"")</f>
        <v/>
      </c>
      <c r="AE717" s="28">
        <f>IFERROR(LOOKUP(AD717,{0;0.01;0.1;1;10;100},{"Muy baja";"Muy baja";"Baja";"Media";"Alta";"Muy alta"}),"")</f>
        <v/>
      </c>
      <c r="AF717" s="30">
        <f>T717*AD717</f>
        <v/>
      </c>
      <c r="AG717" s="28">
        <f>IFERROR(LOOKUP(AF717,{0;0.5;5;25},{"Bajo";"Medio";"Alto";"Crítico"}),"")</f>
        <v/>
      </c>
      <c r="AH717" s="28">
        <f>IF(AG717="","",IF(OR(AG717="Crítico",AG717="Alto"),"Mitigar",IF(AG717="Medio","Mitigar","Aceptar y monitorear")))</f>
        <v/>
      </c>
      <c r="AI717" s="21" t="n"/>
      <c r="AJ717" s="21" t="n"/>
      <c r="AK717" s="20" t="n"/>
      <c r="AL717" s="77">
        <f>IFERROR(INDEX(MgAmenEfic,MATCH(SUBSTITUTE($H717,"*","-"),MgAmenClave,0)),0)</f>
        <v/>
      </c>
    </row>
    <row r="718" hidden="1" ht="75" customHeight="1" s="54">
      <c r="B718" s="59" t="inlineStr">
        <is>
          <t>R-0713</t>
        </is>
      </c>
      <c r="C718" s="59" t="inlineStr">
        <is>
          <t>LCO-04</t>
        </is>
      </c>
      <c r="D718" s="64">
        <f>IFERROR(INDEX(MgNombre,MATCH($C718,MgActId,0)),"")</f>
        <v/>
      </c>
      <c r="E718" s="64">
        <f>IFERROR(INDEX(MgProceso,MATCH($C718,MgActId,0)),"")</f>
        <v/>
      </c>
      <c r="F718" s="64">
        <f>IFERROR(INDEX(MgTipo,MATCH($C718,MgActId,0)),"")</f>
        <v/>
      </c>
      <c r="G718" s="64">
        <f>IFERROR(INDEX(MgSubtipo,MATCH($C718,MgActId,0)),"")</f>
        <v/>
      </c>
      <c r="H718" s="59" t="inlineStr">
        <is>
          <t>A.5</t>
        </is>
      </c>
      <c r="I718" s="64">
        <f>IFERROR(INDEX(MgAmenNombre,MATCH(SUBSTITUTE($H718,"*","-"),MgAmenClave,0)),"")</f>
        <v/>
      </c>
      <c r="J718" s="28">
        <f>IFERROR(INDEX(MgAmenGrupo,MATCH(SUBSTITUTE($H718,"*","-"),MgAmenClave,0)),"")</f>
        <v/>
      </c>
      <c r="K718" s="64">
        <f>IFERROR(INDEX('1. Matriz de Activos'!$Q$6:$Q$239,MATCH($C718,MgActId,0)),"")</f>
        <v/>
      </c>
      <c r="L718" s="64">
        <f>IFERROR(INDEX('1. Matriz de Activos'!$R$6:$R$239,MATCH($C718,MgActId,0)),"")</f>
        <v/>
      </c>
      <c r="M718" s="64">
        <f>IFERROR(INDEX('1. Matriz de Activos'!$S$6:$S$239,MATCH($C718,MgActId,0)),"")</f>
        <v/>
      </c>
      <c r="N718" s="28">
        <f>IFERROR(INDEX(MgAmenDegD,MATCH(SUBSTITUTE($H718,"*","-"),MgAmenClave,0)),"No aplica")</f>
        <v/>
      </c>
      <c r="O718" s="28">
        <f>IFERROR(INDEX(MgAmenDegI,MATCH(SUBSTITUTE($H718,"*","-"),MgAmenClave,0)),"No aplica")</f>
        <v/>
      </c>
      <c r="P718" s="28">
        <f>IFERROR(INDEX(MgAmenDegC,MATCH(SUBSTITUTE($H718,"*","-"),MgAmenClave,0)),"No aplica")</f>
        <v/>
      </c>
      <c r="Q718" s="29">
        <f>IFERROR(VLOOKUP(K718,MgValor,2,0)*VLOOKUP(N718,MgDeg,2,0),0)</f>
        <v/>
      </c>
      <c r="R718" s="29">
        <f>IFERROR(VLOOKUP(L718,MgValor,2,0)*VLOOKUP(O718,MgDeg,2,0),0)</f>
        <v/>
      </c>
      <c r="S718" s="29">
        <f>IFERROR(VLOOKUP(M718,MgValor,2,0)*VLOOKUP(P718,MgDeg,2,0),0)</f>
        <v/>
      </c>
      <c r="T718" s="30">
        <f>MAX(Q718:S718)</f>
        <v/>
      </c>
      <c r="U718" s="28">
        <f>IFERROR(LOOKUP(T718,{0;0.5;1.5;3;4.5},{"Despreciable";"Bajo";"Medio";"Alto";"Muy alto"}),"")</f>
        <v/>
      </c>
      <c r="V718" s="13">
        <f>IFERROR(INDEX(MgAmenFrec,MATCH(SUBSTITUTE($H718,"*","-"),MgAmenClave,0)),"")</f>
        <v/>
      </c>
      <c r="W718" s="28">
        <f>IFERROR(LOOKUP(X718,{0;0.01;0.1;1;10;100},{"Muy baja";"Muy baja";"Baja";"Media";"Alta";"Muy alta"}),"")</f>
        <v/>
      </c>
      <c r="X718" s="31">
        <f>IFERROR(VLOOKUP(V718,MgFrec,2,0),0)</f>
        <v/>
      </c>
      <c r="Y718" s="30">
        <f>T718*X718</f>
        <v/>
      </c>
      <c r="Z718" s="28">
        <f>IFERROR(LOOKUP(Y718,{0;0.5;5;25},{"Bajo";"Medio";"Alto";"Crítico"}),"")</f>
        <v/>
      </c>
      <c r="AA718" s="64">
        <f>IF(T718&gt;=3,IF(X718&gt;=1,"Zona 1 — Crítica: impacto alto y ocurre al menos una vez al año","Zona 4 — Catastrófica poco probable: impacto alto pero excepcional"),IF(AND(T718&lt;1.5,X718&lt;1),"Zona 3 — Asumible: impacto bajo y muy poco frecuente","Zona 2 — Atención: riesgo intermedio"))</f>
        <v/>
      </c>
      <c r="AB718" s="64">
        <f>IFERROR(INDEX(MgAmenCtrl,MATCH(SUBSTITUTE($H718,"*","-"),MgAmenClave,0)),"")</f>
        <v/>
      </c>
      <c r="AC718" s="20" t="n"/>
      <c r="AD718" s="31">
        <f>IFERROR($X718*(1-IF($AC718="",$AL718,VLOOKUP($AC718,MgMad,2,0))),"")</f>
        <v/>
      </c>
      <c r="AE718" s="28">
        <f>IFERROR(LOOKUP(AD718,{0;0.01;0.1;1;10;100},{"Muy baja";"Muy baja";"Baja";"Media";"Alta";"Muy alta"}),"")</f>
        <v/>
      </c>
      <c r="AF718" s="30">
        <f>T718*AD718</f>
        <v/>
      </c>
      <c r="AG718" s="28">
        <f>IFERROR(LOOKUP(AF718,{0;0.5;5;25},{"Bajo";"Medio";"Alto";"Crítico"}),"")</f>
        <v/>
      </c>
      <c r="AH718" s="28">
        <f>IF(AG718="","",IF(OR(AG718="Crítico",AG718="Alto"),"Mitigar",IF(AG718="Medio","Mitigar","Aceptar y monitorear")))</f>
        <v/>
      </c>
      <c r="AI718" s="21" t="n"/>
      <c r="AJ718" s="21" t="n"/>
      <c r="AK718" s="20" t="n"/>
      <c r="AL718" s="77">
        <f>IFERROR(INDEX(MgAmenEfic,MATCH(SUBSTITUTE($H718,"*","-"),MgAmenClave,0)),0)</f>
        <v/>
      </c>
    </row>
    <row r="719" hidden="1" ht="105" customHeight="1" s="54">
      <c r="B719" s="59" t="inlineStr">
        <is>
          <t>R-0714</t>
        </is>
      </c>
      <c r="C719" s="59" t="inlineStr">
        <is>
          <t>LCO-04</t>
        </is>
      </c>
      <c r="D719" s="64">
        <f>IFERROR(INDEX(MgNombre,MATCH($C719,MgActId,0)),"")</f>
        <v/>
      </c>
      <c r="E719" s="64">
        <f>IFERROR(INDEX(MgProceso,MATCH($C719,MgActId,0)),"")</f>
        <v/>
      </c>
      <c r="F719" s="64">
        <f>IFERROR(INDEX(MgTipo,MATCH($C719,MgActId,0)),"")</f>
        <v/>
      </c>
      <c r="G719" s="64">
        <f>IFERROR(INDEX(MgSubtipo,MATCH($C719,MgActId,0)),"")</f>
        <v/>
      </c>
      <c r="H719" s="59" t="inlineStr">
        <is>
          <t>A.6</t>
        </is>
      </c>
      <c r="I719" s="64">
        <f>IFERROR(INDEX(MgAmenNombre,MATCH(SUBSTITUTE($H719,"*","-"),MgAmenClave,0)),"")</f>
        <v/>
      </c>
      <c r="J719" s="28">
        <f>IFERROR(INDEX(MgAmenGrupo,MATCH(SUBSTITUTE($H719,"*","-"),MgAmenClave,0)),"")</f>
        <v/>
      </c>
      <c r="K719" s="64">
        <f>IFERROR(INDEX('1. Matriz de Activos'!$Q$6:$Q$239,MATCH($C719,MgActId,0)),"")</f>
        <v/>
      </c>
      <c r="L719" s="64">
        <f>IFERROR(INDEX('1. Matriz de Activos'!$R$6:$R$239,MATCH($C719,MgActId,0)),"")</f>
        <v/>
      </c>
      <c r="M719" s="64">
        <f>IFERROR(INDEX('1. Matriz de Activos'!$S$6:$S$239,MATCH($C719,MgActId,0)),"")</f>
        <v/>
      </c>
      <c r="N719" s="28">
        <f>IFERROR(INDEX(MgAmenDegD,MATCH(SUBSTITUTE($H719,"*","-"),MgAmenClave,0)),"No aplica")</f>
        <v/>
      </c>
      <c r="O719" s="28">
        <f>IFERROR(INDEX(MgAmenDegI,MATCH(SUBSTITUTE($H719,"*","-"),MgAmenClave,0)),"No aplica")</f>
        <v/>
      </c>
      <c r="P719" s="28">
        <f>IFERROR(INDEX(MgAmenDegC,MATCH(SUBSTITUTE($H719,"*","-"),MgAmenClave,0)),"No aplica")</f>
        <v/>
      </c>
      <c r="Q719" s="29">
        <f>IFERROR(VLOOKUP(K719,MgValor,2,0)*VLOOKUP(N719,MgDeg,2,0),0)</f>
        <v/>
      </c>
      <c r="R719" s="29">
        <f>IFERROR(VLOOKUP(L719,MgValor,2,0)*VLOOKUP(O719,MgDeg,2,0),0)</f>
        <v/>
      </c>
      <c r="S719" s="29">
        <f>IFERROR(VLOOKUP(M719,MgValor,2,0)*VLOOKUP(P719,MgDeg,2,0),0)</f>
        <v/>
      </c>
      <c r="T719" s="30">
        <f>MAX(Q719:S719)</f>
        <v/>
      </c>
      <c r="U719" s="28">
        <f>IFERROR(LOOKUP(T719,{0;0.5;1.5;3;4.5},{"Despreciable";"Bajo";"Medio";"Alto";"Muy alto"}),"")</f>
        <v/>
      </c>
      <c r="V719" s="13">
        <f>IFERROR(INDEX(MgAmenFrec,MATCH(SUBSTITUTE($H719,"*","-"),MgAmenClave,0)),"")</f>
        <v/>
      </c>
      <c r="W719" s="28">
        <f>IFERROR(LOOKUP(X719,{0;0.01;0.1;1;10;100},{"Muy baja";"Muy baja";"Baja";"Media";"Alta";"Muy alta"}),"")</f>
        <v/>
      </c>
      <c r="X719" s="31">
        <f>IFERROR(VLOOKUP(V719,MgFrec,2,0),0)</f>
        <v/>
      </c>
      <c r="Y719" s="30">
        <f>T719*X719</f>
        <v/>
      </c>
      <c r="Z719" s="28">
        <f>IFERROR(LOOKUP(Y719,{0;0.5;5;25},{"Bajo";"Medio";"Alto";"Crítico"}),"")</f>
        <v/>
      </c>
      <c r="AA719" s="64">
        <f>IF(T719&gt;=3,IF(X719&gt;=1,"Zona 1 — Crítica: impacto alto y ocurre al menos una vez al año","Zona 4 — Catastrófica poco probable: impacto alto pero excepcional"),IF(AND(T719&lt;1.5,X719&lt;1),"Zona 3 — Asumible: impacto bajo y muy poco frecuente","Zona 2 — Atención: riesgo intermedio"))</f>
        <v/>
      </c>
      <c r="AB719" s="64">
        <f>IFERROR(INDEX(MgAmenCtrl,MATCH(SUBSTITUTE($H719,"*","-"),MgAmenClave,0)),"")</f>
        <v/>
      </c>
      <c r="AC719" s="20" t="n"/>
      <c r="AD719" s="31">
        <f>IFERROR($X719*(1-IF($AC719="",$AL719,VLOOKUP($AC719,MgMad,2,0))),"")</f>
        <v/>
      </c>
      <c r="AE719" s="28">
        <f>IFERROR(LOOKUP(AD719,{0;0.01;0.1;1;10;100},{"Muy baja";"Muy baja";"Baja";"Media";"Alta";"Muy alta"}),"")</f>
        <v/>
      </c>
      <c r="AF719" s="30">
        <f>T719*AD719</f>
        <v/>
      </c>
      <c r="AG719" s="28">
        <f>IFERROR(LOOKUP(AF719,{0;0.5;5;25},{"Bajo";"Medio";"Alto";"Crítico"}),"")</f>
        <v/>
      </c>
      <c r="AH719" s="28">
        <f>IF(AG719="","",IF(OR(AG719="Crítico",AG719="Alto"),"Mitigar",IF(AG719="Medio","Mitigar","Aceptar y monitorear")))</f>
        <v/>
      </c>
      <c r="AI719" s="21" t="n"/>
      <c r="AJ719" s="21" t="n"/>
      <c r="AK719" s="20" t="n"/>
      <c r="AL719" s="77">
        <f>IFERROR(INDEX(MgAmenEfic,MATCH(SUBSTITUTE($H719,"*","-"),MgAmenClave,0)),0)</f>
        <v/>
      </c>
    </row>
    <row r="720" hidden="1" ht="120" customHeight="1" s="54">
      <c r="B720" s="59" t="inlineStr">
        <is>
          <t>R-0715</t>
        </is>
      </c>
      <c r="C720" s="59" t="inlineStr">
        <is>
          <t>LCO-04</t>
        </is>
      </c>
      <c r="D720" s="64">
        <f>IFERROR(INDEX(MgNombre,MATCH($C720,MgActId,0)),"")</f>
        <v/>
      </c>
      <c r="E720" s="64">
        <f>IFERROR(INDEX(MgProceso,MATCH($C720,MgActId,0)),"")</f>
        <v/>
      </c>
      <c r="F720" s="64">
        <f>IFERROR(INDEX(MgTipo,MATCH($C720,MgActId,0)),"")</f>
        <v/>
      </c>
      <c r="G720" s="64">
        <f>IFERROR(INDEX(MgSubtipo,MATCH($C720,MgActId,0)),"")</f>
        <v/>
      </c>
      <c r="H720" s="59" t="inlineStr">
        <is>
          <t>A.11</t>
        </is>
      </c>
      <c r="I720" s="64">
        <f>IFERROR(INDEX(MgAmenNombre,MATCH(SUBSTITUTE($H720,"*","-"),MgAmenClave,0)),"")</f>
        <v/>
      </c>
      <c r="J720" s="28">
        <f>IFERROR(INDEX(MgAmenGrupo,MATCH(SUBSTITUTE($H720,"*","-"),MgAmenClave,0)),"")</f>
        <v/>
      </c>
      <c r="K720" s="64">
        <f>IFERROR(INDEX('1. Matriz de Activos'!$Q$6:$Q$239,MATCH($C720,MgActId,0)),"")</f>
        <v/>
      </c>
      <c r="L720" s="64">
        <f>IFERROR(INDEX('1. Matriz de Activos'!$R$6:$R$239,MATCH($C720,MgActId,0)),"")</f>
        <v/>
      </c>
      <c r="M720" s="64">
        <f>IFERROR(INDEX('1. Matriz de Activos'!$S$6:$S$239,MATCH($C720,MgActId,0)),"")</f>
        <v/>
      </c>
      <c r="N720" s="28">
        <f>IFERROR(INDEX(MgAmenDegD,MATCH(SUBSTITUTE($H720,"*","-"),MgAmenClave,0)),"No aplica")</f>
        <v/>
      </c>
      <c r="O720" s="28">
        <f>IFERROR(INDEX(MgAmenDegI,MATCH(SUBSTITUTE($H720,"*","-"),MgAmenClave,0)),"No aplica")</f>
        <v/>
      </c>
      <c r="P720" s="28">
        <f>IFERROR(INDEX(MgAmenDegC,MATCH(SUBSTITUTE($H720,"*","-"),MgAmenClave,0)),"No aplica")</f>
        <v/>
      </c>
      <c r="Q720" s="29">
        <f>IFERROR(VLOOKUP(K720,MgValor,2,0)*VLOOKUP(N720,MgDeg,2,0),0)</f>
        <v/>
      </c>
      <c r="R720" s="29">
        <f>IFERROR(VLOOKUP(L720,MgValor,2,0)*VLOOKUP(O720,MgDeg,2,0),0)</f>
        <v/>
      </c>
      <c r="S720" s="29">
        <f>IFERROR(VLOOKUP(M720,MgValor,2,0)*VLOOKUP(P720,MgDeg,2,0),0)</f>
        <v/>
      </c>
      <c r="T720" s="30">
        <f>MAX(Q720:S720)</f>
        <v/>
      </c>
      <c r="U720" s="28">
        <f>IFERROR(LOOKUP(T720,{0;0.5;1.5;3;4.5},{"Despreciable";"Bajo";"Medio";"Alto";"Muy alto"}),"")</f>
        <v/>
      </c>
      <c r="V720" s="13">
        <f>IFERROR(INDEX(MgAmenFrec,MATCH(SUBSTITUTE($H720,"*","-"),MgAmenClave,0)),"")</f>
        <v/>
      </c>
      <c r="W720" s="28">
        <f>IFERROR(LOOKUP(X720,{0;0.01;0.1;1;10;100},{"Muy baja";"Muy baja";"Baja";"Media";"Alta";"Muy alta"}),"")</f>
        <v/>
      </c>
      <c r="X720" s="31">
        <f>IFERROR(VLOOKUP(V720,MgFrec,2,0),0)</f>
        <v/>
      </c>
      <c r="Y720" s="30">
        <f>T720*X720</f>
        <v/>
      </c>
      <c r="Z720" s="28">
        <f>IFERROR(LOOKUP(Y720,{0;0.5;5;25},{"Bajo";"Medio";"Alto";"Crítico"}),"")</f>
        <v/>
      </c>
      <c r="AA720" s="64">
        <f>IF(T720&gt;=3,IF(X720&gt;=1,"Zona 1 — Crítica: impacto alto y ocurre al menos una vez al año","Zona 4 — Catastrófica poco probable: impacto alto pero excepcional"),IF(AND(T720&lt;1.5,X720&lt;1),"Zona 3 — Asumible: impacto bajo y muy poco frecuente","Zona 2 — Atención: riesgo intermedio"))</f>
        <v/>
      </c>
      <c r="AB720" s="64">
        <f>IFERROR(INDEX(MgAmenCtrl,MATCH(SUBSTITUTE($H720,"*","-"),MgAmenClave,0)),"")</f>
        <v/>
      </c>
      <c r="AC720" s="20" t="n"/>
      <c r="AD720" s="31">
        <f>IFERROR($X720*(1-IF($AC720="",$AL720,VLOOKUP($AC720,MgMad,2,0))),"")</f>
        <v/>
      </c>
      <c r="AE720" s="28">
        <f>IFERROR(LOOKUP(AD720,{0;0.01;0.1;1;10;100},{"Muy baja";"Muy baja";"Baja";"Media";"Alta";"Muy alta"}),"")</f>
        <v/>
      </c>
      <c r="AF720" s="30">
        <f>T720*AD720</f>
        <v/>
      </c>
      <c r="AG720" s="28">
        <f>IFERROR(LOOKUP(AF720,{0;0.5;5;25},{"Bajo";"Medio";"Alto";"Crítico"}),"")</f>
        <v/>
      </c>
      <c r="AH720" s="28">
        <f>IF(AG720="","",IF(OR(AG720="Crítico",AG720="Alto"),"Mitigar",IF(AG720="Medio","Mitigar","Aceptar y monitorear")))</f>
        <v/>
      </c>
      <c r="AI720" s="21" t="n"/>
      <c r="AJ720" s="21" t="n"/>
      <c r="AK720" s="20" t="n"/>
      <c r="AL720" s="77">
        <f>IFERROR(INDEX(MgAmenEfic,MATCH(SUBSTITUTE($H720,"*","-"),MgAmenClave,0)),0)</f>
        <v/>
      </c>
    </row>
    <row r="721" hidden="1" ht="90" customHeight="1" s="54">
      <c r="B721" s="59" t="inlineStr">
        <is>
          <t>R-0716</t>
        </is>
      </c>
      <c r="C721" s="59" t="inlineStr">
        <is>
          <t>LCO-04</t>
        </is>
      </c>
      <c r="D721" s="64">
        <f>IFERROR(INDEX(MgNombre,MATCH($C721,MgActId,0)),"")</f>
        <v/>
      </c>
      <c r="E721" s="64">
        <f>IFERROR(INDEX(MgProceso,MATCH($C721,MgActId,0)),"")</f>
        <v/>
      </c>
      <c r="F721" s="64">
        <f>IFERROR(INDEX(MgTipo,MATCH($C721,MgActId,0)),"")</f>
        <v/>
      </c>
      <c r="G721" s="64">
        <f>IFERROR(INDEX(MgSubtipo,MATCH($C721,MgActId,0)),"")</f>
        <v/>
      </c>
      <c r="H721" s="59" t="inlineStr">
        <is>
          <t>A.13</t>
        </is>
      </c>
      <c r="I721" s="64">
        <f>IFERROR(INDEX(MgAmenNombre,MATCH(SUBSTITUTE($H721,"*","-"),MgAmenClave,0)),"")</f>
        <v/>
      </c>
      <c r="J721" s="28">
        <f>IFERROR(INDEX(MgAmenGrupo,MATCH(SUBSTITUTE($H721,"*","-"),MgAmenClave,0)),"")</f>
        <v/>
      </c>
      <c r="K721" s="64">
        <f>IFERROR(INDEX('1. Matriz de Activos'!$Q$6:$Q$239,MATCH($C721,MgActId,0)),"")</f>
        <v/>
      </c>
      <c r="L721" s="64">
        <f>IFERROR(INDEX('1. Matriz de Activos'!$R$6:$R$239,MATCH($C721,MgActId,0)),"")</f>
        <v/>
      </c>
      <c r="M721" s="64">
        <f>IFERROR(INDEX('1. Matriz de Activos'!$S$6:$S$239,MATCH($C721,MgActId,0)),"")</f>
        <v/>
      </c>
      <c r="N721" s="28">
        <f>IFERROR(INDEX(MgAmenDegD,MATCH(SUBSTITUTE($H721,"*","-"),MgAmenClave,0)),"No aplica")</f>
        <v/>
      </c>
      <c r="O721" s="28">
        <f>IFERROR(INDEX(MgAmenDegI,MATCH(SUBSTITUTE($H721,"*","-"),MgAmenClave,0)),"No aplica")</f>
        <v/>
      </c>
      <c r="P721" s="28">
        <f>IFERROR(INDEX(MgAmenDegC,MATCH(SUBSTITUTE($H721,"*","-"),MgAmenClave,0)),"No aplica")</f>
        <v/>
      </c>
      <c r="Q721" s="29">
        <f>IFERROR(VLOOKUP(K721,MgValor,2,0)*VLOOKUP(N721,MgDeg,2,0),0)</f>
        <v/>
      </c>
      <c r="R721" s="29">
        <f>IFERROR(VLOOKUP(L721,MgValor,2,0)*VLOOKUP(O721,MgDeg,2,0),0)</f>
        <v/>
      </c>
      <c r="S721" s="29">
        <f>IFERROR(VLOOKUP(M721,MgValor,2,0)*VLOOKUP(P721,MgDeg,2,0),0)</f>
        <v/>
      </c>
      <c r="T721" s="30">
        <f>MAX(Q721:S721)</f>
        <v/>
      </c>
      <c r="U721" s="28">
        <f>IFERROR(LOOKUP(T721,{0;0.5;1.5;3;4.5},{"Despreciable";"Bajo";"Medio";"Alto";"Muy alto"}),"")</f>
        <v/>
      </c>
      <c r="V721" s="13">
        <f>IFERROR(INDEX(MgAmenFrec,MATCH(SUBSTITUTE($H721,"*","-"),MgAmenClave,0)),"")</f>
        <v/>
      </c>
      <c r="W721" s="28">
        <f>IFERROR(LOOKUP(X721,{0;0.01;0.1;1;10;100},{"Muy baja";"Muy baja";"Baja";"Media";"Alta";"Muy alta"}),"")</f>
        <v/>
      </c>
      <c r="X721" s="31">
        <f>IFERROR(VLOOKUP(V721,MgFrec,2,0),0)</f>
        <v/>
      </c>
      <c r="Y721" s="30">
        <f>T721*X721</f>
        <v/>
      </c>
      <c r="Z721" s="28">
        <f>IFERROR(LOOKUP(Y721,{0;0.5;5;25},{"Bajo";"Medio";"Alto";"Crítico"}),"")</f>
        <v/>
      </c>
      <c r="AA721" s="64">
        <f>IF(T721&gt;=3,IF(X721&gt;=1,"Zona 1 — Crítica: impacto alto y ocurre al menos una vez al año","Zona 4 — Catastrófica poco probable: impacto alto pero excepcional"),IF(AND(T721&lt;1.5,X721&lt;1),"Zona 3 — Asumible: impacto bajo y muy poco frecuente","Zona 2 — Atención: riesgo intermedio"))</f>
        <v/>
      </c>
      <c r="AB721" s="64">
        <f>IFERROR(INDEX(MgAmenCtrl,MATCH(SUBSTITUTE($H721,"*","-"),MgAmenClave,0)),"")</f>
        <v/>
      </c>
      <c r="AC721" s="20" t="n"/>
      <c r="AD721" s="31">
        <f>IFERROR($X721*(1-IF($AC721="",$AL721,VLOOKUP($AC721,MgMad,2,0))),"")</f>
        <v/>
      </c>
      <c r="AE721" s="28">
        <f>IFERROR(LOOKUP(AD721,{0;0.01;0.1;1;10;100},{"Muy baja";"Muy baja";"Baja";"Media";"Alta";"Muy alta"}),"")</f>
        <v/>
      </c>
      <c r="AF721" s="30">
        <f>T721*AD721</f>
        <v/>
      </c>
      <c r="AG721" s="28">
        <f>IFERROR(LOOKUP(AF721,{0;0.5;5;25},{"Bajo";"Medio";"Alto";"Crítico"}),"")</f>
        <v/>
      </c>
      <c r="AH721" s="28">
        <f>IF(AG721="","",IF(OR(AG721="Crítico",AG721="Alto"),"Mitigar",IF(AG721="Medio","Mitigar","Aceptar y monitorear")))</f>
        <v/>
      </c>
      <c r="AI721" s="21" t="n"/>
      <c r="AJ721" s="21" t="n"/>
      <c r="AK721" s="20" t="n"/>
      <c r="AL721" s="77">
        <f>IFERROR(INDEX(MgAmenEfic,MATCH(SUBSTITUTE($H721,"*","-"),MgAmenClave,0)),0)</f>
        <v/>
      </c>
    </row>
    <row r="722" hidden="1" ht="60" customHeight="1" s="54">
      <c r="B722" s="59" t="inlineStr">
        <is>
          <t>R-0717</t>
        </is>
      </c>
      <c r="C722" s="59" t="inlineStr">
        <is>
          <t>LCO-04</t>
        </is>
      </c>
      <c r="D722" s="64">
        <f>IFERROR(INDEX(MgNombre,MATCH($C722,MgActId,0)),"")</f>
        <v/>
      </c>
      <c r="E722" s="64">
        <f>IFERROR(INDEX(MgProceso,MATCH($C722,MgActId,0)),"")</f>
        <v/>
      </c>
      <c r="F722" s="64">
        <f>IFERROR(INDEX(MgTipo,MATCH($C722,MgActId,0)),"")</f>
        <v/>
      </c>
      <c r="G722" s="64">
        <f>IFERROR(INDEX(MgSubtipo,MATCH($C722,MgActId,0)),"")</f>
        <v/>
      </c>
      <c r="H722" s="59" t="inlineStr">
        <is>
          <t>A.15</t>
        </is>
      </c>
      <c r="I722" s="64">
        <f>IFERROR(INDEX(MgAmenNombre,MATCH(SUBSTITUTE($H722,"*","-"),MgAmenClave,0)),"")</f>
        <v/>
      </c>
      <c r="J722" s="28">
        <f>IFERROR(INDEX(MgAmenGrupo,MATCH(SUBSTITUTE($H722,"*","-"),MgAmenClave,0)),"")</f>
        <v/>
      </c>
      <c r="K722" s="64">
        <f>IFERROR(INDEX('1. Matriz de Activos'!$Q$6:$Q$239,MATCH($C722,MgActId,0)),"")</f>
        <v/>
      </c>
      <c r="L722" s="64">
        <f>IFERROR(INDEX('1. Matriz de Activos'!$R$6:$R$239,MATCH($C722,MgActId,0)),"")</f>
        <v/>
      </c>
      <c r="M722" s="64">
        <f>IFERROR(INDEX('1. Matriz de Activos'!$S$6:$S$239,MATCH($C722,MgActId,0)),"")</f>
        <v/>
      </c>
      <c r="N722" s="28">
        <f>IFERROR(INDEX(MgAmenDegD,MATCH(SUBSTITUTE($H722,"*","-"),MgAmenClave,0)),"No aplica")</f>
        <v/>
      </c>
      <c r="O722" s="28">
        <f>IFERROR(INDEX(MgAmenDegI,MATCH(SUBSTITUTE($H722,"*","-"),MgAmenClave,0)),"No aplica")</f>
        <v/>
      </c>
      <c r="P722" s="28">
        <f>IFERROR(INDEX(MgAmenDegC,MATCH(SUBSTITUTE($H722,"*","-"),MgAmenClave,0)),"No aplica")</f>
        <v/>
      </c>
      <c r="Q722" s="29">
        <f>IFERROR(VLOOKUP(K722,MgValor,2,0)*VLOOKUP(N722,MgDeg,2,0),0)</f>
        <v/>
      </c>
      <c r="R722" s="29">
        <f>IFERROR(VLOOKUP(L722,MgValor,2,0)*VLOOKUP(O722,MgDeg,2,0),0)</f>
        <v/>
      </c>
      <c r="S722" s="29">
        <f>IFERROR(VLOOKUP(M722,MgValor,2,0)*VLOOKUP(P722,MgDeg,2,0),0)</f>
        <v/>
      </c>
      <c r="T722" s="30">
        <f>MAX(Q722:S722)</f>
        <v/>
      </c>
      <c r="U722" s="28">
        <f>IFERROR(LOOKUP(T722,{0;0.5;1.5;3;4.5},{"Despreciable";"Bajo";"Medio";"Alto";"Muy alto"}),"")</f>
        <v/>
      </c>
      <c r="V722" s="13">
        <f>IFERROR(INDEX(MgAmenFrec,MATCH(SUBSTITUTE($H722,"*","-"),MgAmenClave,0)),"")</f>
        <v/>
      </c>
      <c r="W722" s="28">
        <f>IFERROR(LOOKUP(X722,{0;0.01;0.1;1;10;100},{"Muy baja";"Muy baja";"Baja";"Media";"Alta";"Muy alta"}),"")</f>
        <v/>
      </c>
      <c r="X722" s="31">
        <f>IFERROR(VLOOKUP(V722,MgFrec,2,0),0)</f>
        <v/>
      </c>
      <c r="Y722" s="30">
        <f>T722*X722</f>
        <v/>
      </c>
      <c r="Z722" s="28">
        <f>IFERROR(LOOKUP(Y722,{0;0.5;5;25},{"Bajo";"Medio";"Alto";"Crítico"}),"")</f>
        <v/>
      </c>
      <c r="AA722" s="64">
        <f>IF(T722&gt;=3,IF(X722&gt;=1,"Zona 1 — Crítica: impacto alto y ocurre al menos una vez al año","Zona 4 — Catastrófica poco probable: impacto alto pero excepcional"),IF(AND(T722&lt;1.5,X722&lt;1),"Zona 3 — Asumible: impacto bajo y muy poco frecuente","Zona 2 — Atención: riesgo intermedio"))</f>
        <v/>
      </c>
      <c r="AB722" s="64">
        <f>IFERROR(INDEX(MgAmenCtrl,MATCH(SUBSTITUTE($H722,"*","-"),MgAmenClave,0)),"")</f>
        <v/>
      </c>
      <c r="AC722" s="20" t="n"/>
      <c r="AD722" s="31">
        <f>IFERROR($X722*(1-IF($AC722="",$AL722,VLOOKUP($AC722,MgMad,2,0))),"")</f>
        <v/>
      </c>
      <c r="AE722" s="28">
        <f>IFERROR(LOOKUP(AD722,{0;0.01;0.1;1;10;100},{"Muy baja";"Muy baja";"Baja";"Media";"Alta";"Muy alta"}),"")</f>
        <v/>
      </c>
      <c r="AF722" s="30">
        <f>T722*AD722</f>
        <v/>
      </c>
      <c r="AG722" s="28">
        <f>IFERROR(LOOKUP(AF722,{0;0.5;5;25},{"Bajo";"Medio";"Alto";"Crítico"}),"")</f>
        <v/>
      </c>
      <c r="AH722" s="28">
        <f>IF(AG722="","",IF(OR(AG722="Crítico",AG722="Alto"),"Mitigar",IF(AG722="Medio","Mitigar","Aceptar y monitorear")))</f>
        <v/>
      </c>
      <c r="AI722" s="21" t="n"/>
      <c r="AJ722" s="21" t="n"/>
      <c r="AK722" s="20" t="n"/>
      <c r="AL722" s="77">
        <f>IFERROR(INDEX(MgAmenEfic,MATCH(SUBSTITUTE($H722,"*","-"),MgAmenClave,0)),0)</f>
        <v/>
      </c>
    </row>
    <row r="723" hidden="1" ht="60" customHeight="1" s="54">
      <c r="B723" s="59" t="inlineStr">
        <is>
          <t>R-0718</t>
        </is>
      </c>
      <c r="C723" s="59" t="inlineStr">
        <is>
          <t>LCO-04</t>
        </is>
      </c>
      <c r="D723" s="64">
        <f>IFERROR(INDEX(MgNombre,MATCH($C723,MgActId,0)),"")</f>
        <v/>
      </c>
      <c r="E723" s="64">
        <f>IFERROR(INDEX(MgProceso,MATCH($C723,MgActId,0)),"")</f>
        <v/>
      </c>
      <c r="F723" s="64">
        <f>IFERROR(INDEX(MgTipo,MATCH($C723,MgActId,0)),"")</f>
        <v/>
      </c>
      <c r="G723" s="64">
        <f>IFERROR(INDEX(MgSubtipo,MATCH($C723,MgActId,0)),"")</f>
        <v/>
      </c>
      <c r="H723" s="59" t="inlineStr">
        <is>
          <t>A.18</t>
        </is>
      </c>
      <c r="I723" s="64">
        <f>IFERROR(INDEX(MgAmenNombre,MATCH(SUBSTITUTE($H723,"*","-"),MgAmenClave,0)),"")</f>
        <v/>
      </c>
      <c r="J723" s="28">
        <f>IFERROR(INDEX(MgAmenGrupo,MATCH(SUBSTITUTE($H723,"*","-"),MgAmenClave,0)),"")</f>
        <v/>
      </c>
      <c r="K723" s="64">
        <f>IFERROR(INDEX('1. Matriz de Activos'!$Q$6:$Q$239,MATCH($C723,MgActId,0)),"")</f>
        <v/>
      </c>
      <c r="L723" s="64">
        <f>IFERROR(INDEX('1. Matriz de Activos'!$R$6:$R$239,MATCH($C723,MgActId,0)),"")</f>
        <v/>
      </c>
      <c r="M723" s="64">
        <f>IFERROR(INDEX('1. Matriz de Activos'!$S$6:$S$239,MATCH($C723,MgActId,0)),"")</f>
        <v/>
      </c>
      <c r="N723" s="28">
        <f>IFERROR(INDEX(MgAmenDegD,MATCH(SUBSTITUTE($H723,"*","-"),MgAmenClave,0)),"No aplica")</f>
        <v/>
      </c>
      <c r="O723" s="28">
        <f>IFERROR(INDEX(MgAmenDegI,MATCH(SUBSTITUTE($H723,"*","-"),MgAmenClave,0)),"No aplica")</f>
        <v/>
      </c>
      <c r="P723" s="28">
        <f>IFERROR(INDEX(MgAmenDegC,MATCH(SUBSTITUTE($H723,"*","-"),MgAmenClave,0)),"No aplica")</f>
        <v/>
      </c>
      <c r="Q723" s="29">
        <f>IFERROR(VLOOKUP(K723,MgValor,2,0)*VLOOKUP(N723,MgDeg,2,0),0)</f>
        <v/>
      </c>
      <c r="R723" s="29">
        <f>IFERROR(VLOOKUP(L723,MgValor,2,0)*VLOOKUP(O723,MgDeg,2,0),0)</f>
        <v/>
      </c>
      <c r="S723" s="29">
        <f>IFERROR(VLOOKUP(M723,MgValor,2,0)*VLOOKUP(P723,MgDeg,2,0),0)</f>
        <v/>
      </c>
      <c r="T723" s="30">
        <f>MAX(Q723:S723)</f>
        <v/>
      </c>
      <c r="U723" s="28">
        <f>IFERROR(LOOKUP(T723,{0;0.5;1.5;3;4.5},{"Despreciable";"Bajo";"Medio";"Alto";"Muy alto"}),"")</f>
        <v/>
      </c>
      <c r="V723" s="13">
        <f>IFERROR(INDEX(MgAmenFrec,MATCH(SUBSTITUTE($H723,"*","-"),MgAmenClave,0)),"")</f>
        <v/>
      </c>
      <c r="W723" s="28">
        <f>IFERROR(LOOKUP(X723,{0;0.01;0.1;1;10;100},{"Muy baja";"Muy baja";"Baja";"Media";"Alta";"Muy alta"}),"")</f>
        <v/>
      </c>
      <c r="X723" s="31">
        <f>IFERROR(VLOOKUP(V723,MgFrec,2,0),0)</f>
        <v/>
      </c>
      <c r="Y723" s="30">
        <f>T723*X723</f>
        <v/>
      </c>
      <c r="Z723" s="28">
        <f>IFERROR(LOOKUP(Y723,{0;0.5;5;25},{"Bajo";"Medio";"Alto";"Crítico"}),"")</f>
        <v/>
      </c>
      <c r="AA723" s="64">
        <f>IF(T723&gt;=3,IF(X723&gt;=1,"Zona 1 — Crítica: impacto alto y ocurre al menos una vez al año","Zona 4 — Catastrófica poco probable: impacto alto pero excepcional"),IF(AND(T723&lt;1.5,X723&lt;1),"Zona 3 — Asumible: impacto bajo y muy poco frecuente","Zona 2 — Atención: riesgo intermedio"))</f>
        <v/>
      </c>
      <c r="AB723" s="64">
        <f>IFERROR(INDEX(MgAmenCtrl,MATCH(SUBSTITUTE($H723,"*","-"),MgAmenClave,0)),"")</f>
        <v/>
      </c>
      <c r="AC723" s="20" t="n"/>
      <c r="AD723" s="31">
        <f>IFERROR($X723*(1-IF($AC723="",$AL723,VLOOKUP($AC723,MgMad,2,0))),"")</f>
        <v/>
      </c>
      <c r="AE723" s="28">
        <f>IFERROR(LOOKUP(AD723,{0;0.01;0.1;1;10;100},{"Muy baja";"Muy baja";"Baja";"Media";"Alta";"Muy alta"}),"")</f>
        <v/>
      </c>
      <c r="AF723" s="30">
        <f>T723*AD723</f>
        <v/>
      </c>
      <c r="AG723" s="28">
        <f>IFERROR(LOOKUP(AF723,{0;0.5;5;25},{"Bajo";"Medio";"Alto";"Crítico"}),"")</f>
        <v/>
      </c>
      <c r="AH723" s="28">
        <f>IF(AG723="","",IF(OR(AG723="Crítico",AG723="Alto"),"Mitigar",IF(AG723="Medio","Mitigar","Aceptar y monitorear")))</f>
        <v/>
      </c>
      <c r="AI723" s="21" t="n"/>
      <c r="AJ723" s="21" t="n"/>
      <c r="AK723" s="20" t="n"/>
      <c r="AL723" s="77">
        <f>IFERROR(INDEX(MgAmenEfic,MATCH(SUBSTITUTE($H723,"*","-"),MgAmenClave,0)),0)</f>
        <v/>
      </c>
    </row>
    <row r="724" hidden="1" ht="120" customHeight="1" s="54">
      <c r="B724" s="59" t="inlineStr">
        <is>
          <t>R-0719</t>
        </is>
      </c>
      <c r="C724" s="59" t="inlineStr">
        <is>
          <t>LCO-04</t>
        </is>
      </c>
      <c r="D724" s="64">
        <f>IFERROR(INDEX(MgNombre,MATCH($C724,MgActId,0)),"")</f>
        <v/>
      </c>
      <c r="E724" s="64">
        <f>IFERROR(INDEX(MgProceso,MATCH($C724,MgActId,0)),"")</f>
        <v/>
      </c>
      <c r="F724" s="64">
        <f>IFERROR(INDEX(MgTipo,MATCH($C724,MgActId,0)),"")</f>
        <v/>
      </c>
      <c r="G724" s="64">
        <f>IFERROR(INDEX(MgSubtipo,MATCH($C724,MgActId,0)),"")</f>
        <v/>
      </c>
      <c r="H724" s="59" t="inlineStr">
        <is>
          <t>A.19</t>
        </is>
      </c>
      <c r="I724" s="64">
        <f>IFERROR(INDEX(MgAmenNombre,MATCH(SUBSTITUTE($H724,"*","-"),MgAmenClave,0)),"")</f>
        <v/>
      </c>
      <c r="J724" s="28">
        <f>IFERROR(INDEX(MgAmenGrupo,MATCH(SUBSTITUTE($H724,"*","-"),MgAmenClave,0)),"")</f>
        <v/>
      </c>
      <c r="K724" s="64">
        <f>IFERROR(INDEX('1. Matriz de Activos'!$Q$6:$Q$239,MATCH($C724,MgActId,0)),"")</f>
        <v/>
      </c>
      <c r="L724" s="64">
        <f>IFERROR(INDEX('1. Matriz de Activos'!$R$6:$R$239,MATCH($C724,MgActId,0)),"")</f>
        <v/>
      </c>
      <c r="M724" s="64">
        <f>IFERROR(INDEX('1. Matriz de Activos'!$S$6:$S$239,MATCH($C724,MgActId,0)),"")</f>
        <v/>
      </c>
      <c r="N724" s="28">
        <f>IFERROR(INDEX(MgAmenDegD,MATCH(SUBSTITUTE($H724,"*","-"),MgAmenClave,0)),"No aplica")</f>
        <v/>
      </c>
      <c r="O724" s="28">
        <f>IFERROR(INDEX(MgAmenDegI,MATCH(SUBSTITUTE($H724,"*","-"),MgAmenClave,0)),"No aplica")</f>
        <v/>
      </c>
      <c r="P724" s="28">
        <f>IFERROR(INDEX(MgAmenDegC,MATCH(SUBSTITUTE($H724,"*","-"),MgAmenClave,0)),"No aplica")</f>
        <v/>
      </c>
      <c r="Q724" s="29">
        <f>IFERROR(VLOOKUP(K724,MgValor,2,0)*VLOOKUP(N724,MgDeg,2,0),0)</f>
        <v/>
      </c>
      <c r="R724" s="29">
        <f>IFERROR(VLOOKUP(L724,MgValor,2,0)*VLOOKUP(O724,MgDeg,2,0),0)</f>
        <v/>
      </c>
      <c r="S724" s="29">
        <f>IFERROR(VLOOKUP(M724,MgValor,2,0)*VLOOKUP(P724,MgDeg,2,0),0)</f>
        <v/>
      </c>
      <c r="T724" s="30">
        <f>MAX(Q724:S724)</f>
        <v/>
      </c>
      <c r="U724" s="28">
        <f>IFERROR(LOOKUP(T724,{0;0.5;1.5;3;4.5},{"Despreciable";"Bajo";"Medio";"Alto";"Muy alto"}),"")</f>
        <v/>
      </c>
      <c r="V724" s="13">
        <f>IFERROR(INDEX(MgAmenFrec,MATCH(SUBSTITUTE($H724,"*","-"),MgAmenClave,0)),"")</f>
        <v/>
      </c>
      <c r="W724" s="28">
        <f>IFERROR(LOOKUP(X724,{0;0.01;0.1;1;10;100},{"Muy baja";"Muy baja";"Baja";"Media";"Alta";"Muy alta"}),"")</f>
        <v/>
      </c>
      <c r="X724" s="31">
        <f>IFERROR(VLOOKUP(V724,MgFrec,2,0),0)</f>
        <v/>
      </c>
      <c r="Y724" s="30">
        <f>T724*X724</f>
        <v/>
      </c>
      <c r="Z724" s="28">
        <f>IFERROR(LOOKUP(Y724,{0;0.5;5;25},{"Bajo";"Medio";"Alto";"Crítico"}),"")</f>
        <v/>
      </c>
      <c r="AA724" s="64">
        <f>IF(T724&gt;=3,IF(X724&gt;=1,"Zona 1 — Crítica: impacto alto y ocurre al menos una vez al año","Zona 4 — Catastrófica poco probable: impacto alto pero excepcional"),IF(AND(T724&lt;1.5,X724&lt;1),"Zona 3 — Asumible: impacto bajo y muy poco frecuente","Zona 2 — Atención: riesgo intermedio"))</f>
        <v/>
      </c>
      <c r="AB724" s="64">
        <f>IFERROR(INDEX(MgAmenCtrl,MATCH(SUBSTITUTE($H724,"*","-"),MgAmenClave,0)),"")</f>
        <v/>
      </c>
      <c r="AC724" s="20" t="n"/>
      <c r="AD724" s="31">
        <f>IFERROR($X724*(1-IF($AC724="",$AL724,VLOOKUP($AC724,MgMad,2,0))),"")</f>
        <v/>
      </c>
      <c r="AE724" s="28">
        <f>IFERROR(LOOKUP(AD724,{0;0.01;0.1;1;10;100},{"Muy baja";"Muy baja";"Baja";"Media";"Alta";"Muy alta"}),"")</f>
        <v/>
      </c>
      <c r="AF724" s="30">
        <f>T724*AD724</f>
        <v/>
      </c>
      <c r="AG724" s="28">
        <f>IFERROR(LOOKUP(AF724,{0;0.5;5;25},{"Bajo";"Medio";"Alto";"Crítico"}),"")</f>
        <v/>
      </c>
      <c r="AH724" s="28">
        <f>IF(AG724="","",IF(OR(AG724="Crítico",AG724="Alto"),"Mitigar",IF(AG724="Medio","Mitigar","Aceptar y monitorear")))</f>
        <v/>
      </c>
      <c r="AI724" s="21" t="n"/>
      <c r="AJ724" s="21" t="n"/>
      <c r="AK724" s="20" t="n"/>
      <c r="AL724" s="77">
        <f>IFERROR(INDEX(MgAmenEfic,MATCH(SUBSTITUTE($H724,"*","-"),MgAmenClave,0)),0)</f>
        <v/>
      </c>
    </row>
    <row r="725" hidden="1" ht="105" customHeight="1" s="54">
      <c r="B725" s="59" t="inlineStr">
        <is>
          <t>R-0720</t>
        </is>
      </c>
      <c r="C725" s="59" t="inlineStr">
        <is>
          <t>LCO-05</t>
        </is>
      </c>
      <c r="D725" s="64">
        <f>IFERROR(INDEX(MgNombre,MATCH($C725,MgActId,0)),"")</f>
        <v/>
      </c>
      <c r="E725" s="64">
        <f>IFERROR(INDEX(MgProceso,MATCH($C725,MgActId,0)),"")</f>
        <v/>
      </c>
      <c r="F725" s="64">
        <f>IFERROR(INDEX(MgTipo,MATCH($C725,MgActId,0)),"")</f>
        <v/>
      </c>
      <c r="G725" s="64">
        <f>IFERROR(INDEX(MgSubtipo,MATCH($C725,MgActId,0)),"")</f>
        <v/>
      </c>
      <c r="H725" s="59" t="inlineStr">
        <is>
          <t>E.1</t>
        </is>
      </c>
      <c r="I725" s="64">
        <f>IFERROR(INDEX(MgAmenNombre,MATCH(SUBSTITUTE($H725,"*","-"),MgAmenClave,0)),"")</f>
        <v/>
      </c>
      <c r="J725" s="28">
        <f>IFERROR(INDEX(MgAmenGrupo,MATCH(SUBSTITUTE($H725,"*","-"),MgAmenClave,0)),"")</f>
        <v/>
      </c>
      <c r="K725" s="64">
        <f>IFERROR(INDEX('1. Matriz de Activos'!$Q$6:$Q$239,MATCH($C725,MgActId,0)),"")</f>
        <v/>
      </c>
      <c r="L725" s="64">
        <f>IFERROR(INDEX('1. Matriz de Activos'!$R$6:$R$239,MATCH($C725,MgActId,0)),"")</f>
        <v/>
      </c>
      <c r="M725" s="64">
        <f>IFERROR(INDEX('1. Matriz de Activos'!$S$6:$S$239,MATCH($C725,MgActId,0)),"")</f>
        <v/>
      </c>
      <c r="N725" s="28">
        <f>IFERROR(INDEX(MgAmenDegD,MATCH(SUBSTITUTE($H725,"*","-"),MgAmenClave,0)),"No aplica")</f>
        <v/>
      </c>
      <c r="O725" s="28">
        <f>IFERROR(INDEX(MgAmenDegI,MATCH(SUBSTITUTE($H725,"*","-"),MgAmenClave,0)),"No aplica")</f>
        <v/>
      </c>
      <c r="P725" s="28">
        <f>IFERROR(INDEX(MgAmenDegC,MATCH(SUBSTITUTE($H725,"*","-"),MgAmenClave,0)),"No aplica")</f>
        <v/>
      </c>
      <c r="Q725" s="29">
        <f>IFERROR(VLOOKUP(K725,MgValor,2,0)*VLOOKUP(N725,MgDeg,2,0),0)</f>
        <v/>
      </c>
      <c r="R725" s="29">
        <f>IFERROR(VLOOKUP(L725,MgValor,2,0)*VLOOKUP(O725,MgDeg,2,0),0)</f>
        <v/>
      </c>
      <c r="S725" s="29">
        <f>IFERROR(VLOOKUP(M725,MgValor,2,0)*VLOOKUP(P725,MgDeg,2,0),0)</f>
        <v/>
      </c>
      <c r="T725" s="30">
        <f>MAX(Q725:S725)</f>
        <v/>
      </c>
      <c r="U725" s="28">
        <f>IFERROR(LOOKUP(T725,{0;0.5;1.5;3;4.5},{"Despreciable";"Bajo";"Medio";"Alto";"Muy alto"}),"")</f>
        <v/>
      </c>
      <c r="V725" s="13">
        <f>IFERROR(INDEX(MgAmenFrec,MATCH(SUBSTITUTE($H725,"*","-"),MgAmenClave,0)),"")</f>
        <v/>
      </c>
      <c r="W725" s="28">
        <f>IFERROR(LOOKUP(X725,{0;0.01;0.1;1;10;100},{"Muy baja";"Muy baja";"Baja";"Media";"Alta";"Muy alta"}),"")</f>
        <v/>
      </c>
      <c r="X725" s="31">
        <f>IFERROR(VLOOKUP(V725,MgFrec,2,0),0)</f>
        <v/>
      </c>
      <c r="Y725" s="30">
        <f>T725*X725</f>
        <v/>
      </c>
      <c r="Z725" s="28">
        <f>IFERROR(LOOKUP(Y725,{0;0.5;5;25},{"Bajo";"Medio";"Alto";"Crítico"}),"")</f>
        <v/>
      </c>
      <c r="AA725" s="64">
        <f>IF(T725&gt;=3,IF(X725&gt;=1,"Zona 1 — Crítica: impacto alto y ocurre al menos una vez al año","Zona 4 — Catastrófica poco probable: impacto alto pero excepcional"),IF(AND(T725&lt;1.5,X725&lt;1),"Zona 3 — Asumible: impacto bajo y muy poco frecuente","Zona 2 — Atención: riesgo intermedio"))</f>
        <v/>
      </c>
      <c r="AB725" s="64">
        <f>IFERROR(INDEX(MgAmenCtrl,MATCH(SUBSTITUTE($H725,"*","-"),MgAmenClave,0)),"")</f>
        <v/>
      </c>
      <c r="AC725" s="20" t="n"/>
      <c r="AD725" s="31">
        <f>IFERROR($X725*(1-IF($AC725="",$AL725,VLOOKUP($AC725,MgMad,2,0))),"")</f>
        <v/>
      </c>
      <c r="AE725" s="28">
        <f>IFERROR(LOOKUP(AD725,{0;0.01;0.1;1;10;100},{"Muy baja";"Muy baja";"Baja";"Media";"Alta";"Muy alta"}),"")</f>
        <v/>
      </c>
      <c r="AF725" s="30">
        <f>T725*AD725</f>
        <v/>
      </c>
      <c r="AG725" s="28">
        <f>IFERROR(LOOKUP(AF725,{0;0.5;5;25},{"Bajo";"Medio";"Alto";"Crítico"}),"")</f>
        <v/>
      </c>
      <c r="AH725" s="28">
        <f>IF(AG725="","",IF(OR(AG725="Crítico",AG725="Alto"),"Mitigar",IF(AG725="Medio","Mitigar","Aceptar y monitorear")))</f>
        <v/>
      </c>
      <c r="AI725" s="21" t="n"/>
      <c r="AJ725" s="21" t="n"/>
      <c r="AK725" s="20" t="n"/>
      <c r="AL725" s="77">
        <f>IFERROR(INDEX(MgAmenEfic,MATCH(SUBSTITUTE($H725,"*","-"),MgAmenClave,0)),0)</f>
        <v/>
      </c>
    </row>
    <row r="726" hidden="1" ht="120" customHeight="1" s="54">
      <c r="B726" s="59" t="inlineStr">
        <is>
          <t>R-0721</t>
        </is>
      </c>
      <c r="C726" s="59" t="inlineStr">
        <is>
          <t>LCO-05</t>
        </is>
      </c>
      <c r="D726" s="64">
        <f>IFERROR(INDEX(MgNombre,MATCH($C726,MgActId,0)),"")</f>
        <v/>
      </c>
      <c r="E726" s="64">
        <f>IFERROR(INDEX(MgProceso,MATCH($C726,MgActId,0)),"")</f>
        <v/>
      </c>
      <c r="F726" s="64">
        <f>IFERROR(INDEX(MgTipo,MATCH($C726,MgActId,0)),"")</f>
        <v/>
      </c>
      <c r="G726" s="64">
        <f>IFERROR(INDEX(MgSubtipo,MATCH($C726,MgActId,0)),"")</f>
        <v/>
      </c>
      <c r="H726" s="59" t="inlineStr">
        <is>
          <t>E.2</t>
        </is>
      </c>
      <c r="I726" s="64">
        <f>IFERROR(INDEX(MgAmenNombre,MATCH(SUBSTITUTE($H726,"*","-"),MgAmenClave,0)),"")</f>
        <v/>
      </c>
      <c r="J726" s="28">
        <f>IFERROR(INDEX(MgAmenGrupo,MATCH(SUBSTITUTE($H726,"*","-"),MgAmenClave,0)),"")</f>
        <v/>
      </c>
      <c r="K726" s="64">
        <f>IFERROR(INDEX('1. Matriz de Activos'!$Q$6:$Q$239,MATCH($C726,MgActId,0)),"")</f>
        <v/>
      </c>
      <c r="L726" s="64">
        <f>IFERROR(INDEX('1. Matriz de Activos'!$R$6:$R$239,MATCH($C726,MgActId,0)),"")</f>
        <v/>
      </c>
      <c r="M726" s="64">
        <f>IFERROR(INDEX('1. Matriz de Activos'!$S$6:$S$239,MATCH($C726,MgActId,0)),"")</f>
        <v/>
      </c>
      <c r="N726" s="28">
        <f>IFERROR(INDEX(MgAmenDegD,MATCH(SUBSTITUTE($H726,"*","-"),MgAmenClave,0)),"No aplica")</f>
        <v/>
      </c>
      <c r="O726" s="28">
        <f>IFERROR(INDEX(MgAmenDegI,MATCH(SUBSTITUTE($H726,"*","-"),MgAmenClave,0)),"No aplica")</f>
        <v/>
      </c>
      <c r="P726" s="28">
        <f>IFERROR(INDEX(MgAmenDegC,MATCH(SUBSTITUTE($H726,"*","-"),MgAmenClave,0)),"No aplica")</f>
        <v/>
      </c>
      <c r="Q726" s="29">
        <f>IFERROR(VLOOKUP(K726,MgValor,2,0)*VLOOKUP(N726,MgDeg,2,0),0)</f>
        <v/>
      </c>
      <c r="R726" s="29">
        <f>IFERROR(VLOOKUP(L726,MgValor,2,0)*VLOOKUP(O726,MgDeg,2,0),0)</f>
        <v/>
      </c>
      <c r="S726" s="29">
        <f>IFERROR(VLOOKUP(M726,MgValor,2,0)*VLOOKUP(P726,MgDeg,2,0),0)</f>
        <v/>
      </c>
      <c r="T726" s="30">
        <f>MAX(Q726:S726)</f>
        <v/>
      </c>
      <c r="U726" s="28">
        <f>IFERROR(LOOKUP(T726,{0;0.5;1.5;3;4.5},{"Despreciable";"Bajo";"Medio";"Alto";"Muy alto"}),"")</f>
        <v/>
      </c>
      <c r="V726" s="13">
        <f>IFERROR(INDEX(MgAmenFrec,MATCH(SUBSTITUTE($H726,"*","-"),MgAmenClave,0)),"")</f>
        <v/>
      </c>
      <c r="W726" s="28">
        <f>IFERROR(LOOKUP(X726,{0;0.01;0.1;1;10;100},{"Muy baja";"Muy baja";"Baja";"Media";"Alta";"Muy alta"}),"")</f>
        <v/>
      </c>
      <c r="X726" s="31">
        <f>IFERROR(VLOOKUP(V726,MgFrec,2,0),0)</f>
        <v/>
      </c>
      <c r="Y726" s="30">
        <f>T726*X726</f>
        <v/>
      </c>
      <c r="Z726" s="28">
        <f>IFERROR(LOOKUP(Y726,{0;0.5;5;25},{"Bajo";"Medio";"Alto";"Crítico"}),"")</f>
        <v/>
      </c>
      <c r="AA726" s="64">
        <f>IF(T726&gt;=3,IF(X726&gt;=1,"Zona 1 — Crítica: impacto alto y ocurre al menos una vez al año","Zona 4 — Catastrófica poco probable: impacto alto pero excepcional"),IF(AND(T726&lt;1.5,X726&lt;1),"Zona 3 — Asumible: impacto bajo y muy poco frecuente","Zona 2 — Atención: riesgo intermedio"))</f>
        <v/>
      </c>
      <c r="AB726" s="64">
        <f>IFERROR(INDEX(MgAmenCtrl,MATCH(SUBSTITUTE($H726,"*","-"),MgAmenClave,0)),"")</f>
        <v/>
      </c>
      <c r="AC726" s="20" t="n"/>
      <c r="AD726" s="31">
        <f>IFERROR($X726*(1-IF($AC726="",$AL726,VLOOKUP($AC726,MgMad,2,0))),"")</f>
        <v/>
      </c>
      <c r="AE726" s="28">
        <f>IFERROR(LOOKUP(AD726,{0;0.01;0.1;1;10;100},{"Muy baja";"Muy baja";"Baja";"Media";"Alta";"Muy alta"}),"")</f>
        <v/>
      </c>
      <c r="AF726" s="30">
        <f>T726*AD726</f>
        <v/>
      </c>
      <c r="AG726" s="28">
        <f>IFERROR(LOOKUP(AF726,{0;0.5;5;25},{"Bajo";"Medio";"Alto";"Crítico"}),"")</f>
        <v/>
      </c>
      <c r="AH726" s="28">
        <f>IF(AG726="","",IF(OR(AG726="Crítico",AG726="Alto"),"Mitigar",IF(AG726="Medio","Mitigar","Aceptar y monitorear")))</f>
        <v/>
      </c>
      <c r="AI726" s="21" t="n"/>
      <c r="AJ726" s="21" t="n"/>
      <c r="AK726" s="20" t="n"/>
      <c r="AL726" s="77">
        <f>IFERROR(INDEX(MgAmenEfic,MATCH(SUBSTITUTE($H726,"*","-"),MgAmenClave,0)),0)</f>
        <v/>
      </c>
    </row>
    <row r="727" hidden="1" ht="75" customHeight="1" s="54">
      <c r="B727" s="59" t="inlineStr">
        <is>
          <t>R-0722</t>
        </is>
      </c>
      <c r="C727" s="59" t="inlineStr">
        <is>
          <t>LCO-05</t>
        </is>
      </c>
      <c r="D727" s="64">
        <f>IFERROR(INDEX(MgNombre,MATCH($C727,MgActId,0)),"")</f>
        <v/>
      </c>
      <c r="E727" s="64">
        <f>IFERROR(INDEX(MgProceso,MATCH($C727,MgActId,0)),"")</f>
        <v/>
      </c>
      <c r="F727" s="64">
        <f>IFERROR(INDEX(MgTipo,MATCH($C727,MgActId,0)),"")</f>
        <v/>
      </c>
      <c r="G727" s="64">
        <f>IFERROR(INDEX(MgSubtipo,MATCH($C727,MgActId,0)),"")</f>
        <v/>
      </c>
      <c r="H727" s="59" t="inlineStr">
        <is>
          <t>E.3</t>
        </is>
      </c>
      <c r="I727" s="64">
        <f>IFERROR(INDEX(MgAmenNombre,MATCH(SUBSTITUTE($H727,"*","-"),MgAmenClave,0)),"")</f>
        <v/>
      </c>
      <c r="J727" s="28">
        <f>IFERROR(INDEX(MgAmenGrupo,MATCH(SUBSTITUTE($H727,"*","-"),MgAmenClave,0)),"")</f>
        <v/>
      </c>
      <c r="K727" s="64">
        <f>IFERROR(INDEX('1. Matriz de Activos'!$Q$6:$Q$239,MATCH($C727,MgActId,0)),"")</f>
        <v/>
      </c>
      <c r="L727" s="64">
        <f>IFERROR(INDEX('1. Matriz de Activos'!$R$6:$R$239,MATCH($C727,MgActId,0)),"")</f>
        <v/>
      </c>
      <c r="M727" s="64">
        <f>IFERROR(INDEX('1. Matriz de Activos'!$S$6:$S$239,MATCH($C727,MgActId,0)),"")</f>
        <v/>
      </c>
      <c r="N727" s="28">
        <f>IFERROR(INDEX(MgAmenDegD,MATCH(SUBSTITUTE($H727,"*","-"),MgAmenClave,0)),"No aplica")</f>
        <v/>
      </c>
      <c r="O727" s="28">
        <f>IFERROR(INDEX(MgAmenDegI,MATCH(SUBSTITUTE($H727,"*","-"),MgAmenClave,0)),"No aplica")</f>
        <v/>
      </c>
      <c r="P727" s="28">
        <f>IFERROR(INDEX(MgAmenDegC,MATCH(SUBSTITUTE($H727,"*","-"),MgAmenClave,0)),"No aplica")</f>
        <v/>
      </c>
      <c r="Q727" s="29">
        <f>IFERROR(VLOOKUP(K727,MgValor,2,0)*VLOOKUP(N727,MgDeg,2,0),0)</f>
        <v/>
      </c>
      <c r="R727" s="29">
        <f>IFERROR(VLOOKUP(L727,MgValor,2,0)*VLOOKUP(O727,MgDeg,2,0),0)</f>
        <v/>
      </c>
      <c r="S727" s="29">
        <f>IFERROR(VLOOKUP(M727,MgValor,2,0)*VLOOKUP(P727,MgDeg,2,0),0)</f>
        <v/>
      </c>
      <c r="T727" s="30">
        <f>MAX(Q727:S727)</f>
        <v/>
      </c>
      <c r="U727" s="28">
        <f>IFERROR(LOOKUP(T727,{0;0.5;1.5;3;4.5},{"Despreciable";"Bajo";"Medio";"Alto";"Muy alto"}),"")</f>
        <v/>
      </c>
      <c r="V727" s="13">
        <f>IFERROR(INDEX(MgAmenFrec,MATCH(SUBSTITUTE($H727,"*","-"),MgAmenClave,0)),"")</f>
        <v/>
      </c>
      <c r="W727" s="28">
        <f>IFERROR(LOOKUP(X727,{0;0.01;0.1;1;10;100},{"Muy baja";"Muy baja";"Baja";"Media";"Alta";"Muy alta"}),"")</f>
        <v/>
      </c>
      <c r="X727" s="31">
        <f>IFERROR(VLOOKUP(V727,MgFrec,2,0),0)</f>
        <v/>
      </c>
      <c r="Y727" s="30">
        <f>T727*X727</f>
        <v/>
      </c>
      <c r="Z727" s="28">
        <f>IFERROR(LOOKUP(Y727,{0;0.5;5;25},{"Bajo";"Medio";"Alto";"Crítico"}),"")</f>
        <v/>
      </c>
      <c r="AA727" s="64">
        <f>IF(T727&gt;=3,IF(X727&gt;=1,"Zona 1 — Crítica: impacto alto y ocurre al menos una vez al año","Zona 4 — Catastrófica poco probable: impacto alto pero excepcional"),IF(AND(T727&lt;1.5,X727&lt;1),"Zona 3 — Asumible: impacto bajo y muy poco frecuente","Zona 2 — Atención: riesgo intermedio"))</f>
        <v/>
      </c>
      <c r="AB727" s="64">
        <f>IFERROR(INDEX(MgAmenCtrl,MATCH(SUBSTITUTE($H727,"*","-"),MgAmenClave,0)),"")</f>
        <v/>
      </c>
      <c r="AC727" s="20" t="n"/>
      <c r="AD727" s="31">
        <f>IFERROR($X727*(1-IF($AC727="",$AL727,VLOOKUP($AC727,MgMad,2,0))),"")</f>
        <v/>
      </c>
      <c r="AE727" s="28">
        <f>IFERROR(LOOKUP(AD727,{0;0.01;0.1;1;10;100},{"Muy baja";"Muy baja";"Baja";"Media";"Alta";"Muy alta"}),"")</f>
        <v/>
      </c>
      <c r="AF727" s="30">
        <f>T727*AD727</f>
        <v/>
      </c>
      <c r="AG727" s="28">
        <f>IFERROR(LOOKUP(AF727,{0;0.5;5;25},{"Bajo";"Medio";"Alto";"Crítico"}),"")</f>
        <v/>
      </c>
      <c r="AH727" s="28">
        <f>IF(AG727="","",IF(OR(AG727="Crítico",AG727="Alto"),"Mitigar",IF(AG727="Medio","Mitigar","Aceptar y monitorear")))</f>
        <v/>
      </c>
      <c r="AI727" s="21" t="n"/>
      <c r="AJ727" s="21" t="n"/>
      <c r="AK727" s="20" t="n"/>
      <c r="AL727" s="77">
        <f>IFERROR(INDEX(MgAmenEfic,MATCH(SUBSTITUTE($H727,"*","-"),MgAmenClave,0)),0)</f>
        <v/>
      </c>
    </row>
    <row r="728" hidden="1" ht="75" customHeight="1" s="54">
      <c r="B728" s="59" t="inlineStr">
        <is>
          <t>R-0723</t>
        </is>
      </c>
      <c r="C728" s="59" t="inlineStr">
        <is>
          <t>LCO-05</t>
        </is>
      </c>
      <c r="D728" s="64">
        <f>IFERROR(INDEX(MgNombre,MATCH($C728,MgActId,0)),"")</f>
        <v/>
      </c>
      <c r="E728" s="64">
        <f>IFERROR(INDEX(MgProceso,MATCH($C728,MgActId,0)),"")</f>
        <v/>
      </c>
      <c r="F728" s="64">
        <f>IFERROR(INDEX(MgTipo,MATCH($C728,MgActId,0)),"")</f>
        <v/>
      </c>
      <c r="G728" s="64">
        <f>IFERROR(INDEX(MgSubtipo,MATCH($C728,MgActId,0)),"")</f>
        <v/>
      </c>
      <c r="H728" s="59" t="inlineStr">
        <is>
          <t>E.4</t>
        </is>
      </c>
      <c r="I728" s="64">
        <f>IFERROR(INDEX(MgAmenNombre,MATCH(SUBSTITUTE($H728,"*","-"),MgAmenClave,0)),"")</f>
        <v/>
      </c>
      <c r="J728" s="28">
        <f>IFERROR(INDEX(MgAmenGrupo,MATCH(SUBSTITUTE($H728,"*","-"),MgAmenClave,0)),"")</f>
        <v/>
      </c>
      <c r="K728" s="64">
        <f>IFERROR(INDEX('1. Matriz de Activos'!$Q$6:$Q$239,MATCH($C728,MgActId,0)),"")</f>
        <v/>
      </c>
      <c r="L728" s="64">
        <f>IFERROR(INDEX('1. Matriz de Activos'!$R$6:$R$239,MATCH($C728,MgActId,0)),"")</f>
        <v/>
      </c>
      <c r="M728" s="64">
        <f>IFERROR(INDEX('1. Matriz de Activos'!$S$6:$S$239,MATCH($C728,MgActId,0)),"")</f>
        <v/>
      </c>
      <c r="N728" s="28">
        <f>IFERROR(INDEX(MgAmenDegD,MATCH(SUBSTITUTE($H728,"*","-"),MgAmenClave,0)),"No aplica")</f>
        <v/>
      </c>
      <c r="O728" s="28">
        <f>IFERROR(INDEX(MgAmenDegI,MATCH(SUBSTITUTE($H728,"*","-"),MgAmenClave,0)),"No aplica")</f>
        <v/>
      </c>
      <c r="P728" s="28">
        <f>IFERROR(INDEX(MgAmenDegC,MATCH(SUBSTITUTE($H728,"*","-"),MgAmenClave,0)),"No aplica")</f>
        <v/>
      </c>
      <c r="Q728" s="29">
        <f>IFERROR(VLOOKUP(K728,MgValor,2,0)*VLOOKUP(N728,MgDeg,2,0),0)</f>
        <v/>
      </c>
      <c r="R728" s="29">
        <f>IFERROR(VLOOKUP(L728,MgValor,2,0)*VLOOKUP(O728,MgDeg,2,0),0)</f>
        <v/>
      </c>
      <c r="S728" s="29">
        <f>IFERROR(VLOOKUP(M728,MgValor,2,0)*VLOOKUP(P728,MgDeg,2,0),0)</f>
        <v/>
      </c>
      <c r="T728" s="30">
        <f>MAX(Q728:S728)</f>
        <v/>
      </c>
      <c r="U728" s="28">
        <f>IFERROR(LOOKUP(T728,{0;0.5;1.5;3;4.5},{"Despreciable";"Bajo";"Medio";"Alto";"Muy alto"}),"")</f>
        <v/>
      </c>
      <c r="V728" s="13">
        <f>IFERROR(INDEX(MgAmenFrec,MATCH(SUBSTITUTE($H728,"*","-"),MgAmenClave,0)),"")</f>
        <v/>
      </c>
      <c r="W728" s="28">
        <f>IFERROR(LOOKUP(X728,{0;0.01;0.1;1;10;100},{"Muy baja";"Muy baja";"Baja";"Media";"Alta";"Muy alta"}),"")</f>
        <v/>
      </c>
      <c r="X728" s="31">
        <f>IFERROR(VLOOKUP(V728,MgFrec,2,0),0)</f>
        <v/>
      </c>
      <c r="Y728" s="30">
        <f>T728*X728</f>
        <v/>
      </c>
      <c r="Z728" s="28">
        <f>IFERROR(LOOKUP(Y728,{0;0.5;5;25},{"Bajo";"Medio";"Alto";"Crítico"}),"")</f>
        <v/>
      </c>
      <c r="AA728" s="64">
        <f>IF(T728&gt;=3,IF(X728&gt;=1,"Zona 1 — Crítica: impacto alto y ocurre al menos una vez al año","Zona 4 — Catastrófica poco probable: impacto alto pero excepcional"),IF(AND(T728&lt;1.5,X728&lt;1),"Zona 3 — Asumible: impacto bajo y muy poco frecuente","Zona 2 — Atención: riesgo intermedio"))</f>
        <v/>
      </c>
      <c r="AB728" s="64">
        <f>IFERROR(INDEX(MgAmenCtrl,MATCH(SUBSTITUTE($H728,"*","-"),MgAmenClave,0)),"")</f>
        <v/>
      </c>
      <c r="AC728" s="20" t="n"/>
      <c r="AD728" s="31">
        <f>IFERROR($X728*(1-IF($AC728="",$AL728,VLOOKUP($AC728,MgMad,2,0))),"")</f>
        <v/>
      </c>
      <c r="AE728" s="28">
        <f>IFERROR(LOOKUP(AD728,{0;0.01;0.1;1;10;100},{"Muy baja";"Muy baja";"Baja";"Media";"Alta";"Muy alta"}),"")</f>
        <v/>
      </c>
      <c r="AF728" s="30">
        <f>T728*AD728</f>
        <v/>
      </c>
      <c r="AG728" s="28">
        <f>IFERROR(LOOKUP(AF728,{0;0.5;5;25},{"Bajo";"Medio";"Alto";"Crítico"}),"")</f>
        <v/>
      </c>
      <c r="AH728" s="28">
        <f>IF(AG728="","",IF(OR(AG728="Crítico",AG728="Alto"),"Mitigar",IF(AG728="Medio","Mitigar","Aceptar y monitorear")))</f>
        <v/>
      </c>
      <c r="AI728" s="21" t="n"/>
      <c r="AJ728" s="21" t="n"/>
      <c r="AK728" s="20" t="n"/>
      <c r="AL728" s="77">
        <f>IFERROR(INDEX(MgAmenEfic,MATCH(SUBSTITUTE($H728,"*","-"),MgAmenClave,0)),0)</f>
        <v/>
      </c>
    </row>
    <row r="729" hidden="1" ht="90" customHeight="1" s="54">
      <c r="B729" s="59" t="inlineStr">
        <is>
          <t>R-0724</t>
        </is>
      </c>
      <c r="C729" s="59" t="inlineStr">
        <is>
          <t>LCO-05</t>
        </is>
      </c>
      <c r="D729" s="64">
        <f>IFERROR(INDEX(MgNombre,MATCH($C729,MgActId,0)),"")</f>
        <v/>
      </c>
      <c r="E729" s="64">
        <f>IFERROR(INDEX(MgProceso,MATCH($C729,MgActId,0)),"")</f>
        <v/>
      </c>
      <c r="F729" s="64">
        <f>IFERROR(INDEX(MgTipo,MATCH($C729,MgActId,0)),"")</f>
        <v/>
      </c>
      <c r="G729" s="64">
        <f>IFERROR(INDEX(MgSubtipo,MATCH($C729,MgActId,0)),"")</f>
        <v/>
      </c>
      <c r="H729" s="59" t="inlineStr">
        <is>
          <t>E.14</t>
        </is>
      </c>
      <c r="I729" s="64">
        <f>IFERROR(INDEX(MgAmenNombre,MATCH(SUBSTITUTE($H729,"*","-"),MgAmenClave,0)),"")</f>
        <v/>
      </c>
      <c r="J729" s="28">
        <f>IFERROR(INDEX(MgAmenGrupo,MATCH(SUBSTITUTE($H729,"*","-"),MgAmenClave,0)),"")</f>
        <v/>
      </c>
      <c r="K729" s="64">
        <f>IFERROR(INDEX('1. Matriz de Activos'!$Q$6:$Q$239,MATCH($C729,MgActId,0)),"")</f>
        <v/>
      </c>
      <c r="L729" s="64">
        <f>IFERROR(INDEX('1. Matriz de Activos'!$R$6:$R$239,MATCH($C729,MgActId,0)),"")</f>
        <v/>
      </c>
      <c r="M729" s="64">
        <f>IFERROR(INDEX('1. Matriz de Activos'!$S$6:$S$239,MATCH($C729,MgActId,0)),"")</f>
        <v/>
      </c>
      <c r="N729" s="28">
        <f>IFERROR(INDEX(MgAmenDegD,MATCH(SUBSTITUTE($H729,"*","-"),MgAmenClave,0)),"No aplica")</f>
        <v/>
      </c>
      <c r="O729" s="28">
        <f>IFERROR(INDEX(MgAmenDegI,MATCH(SUBSTITUTE($H729,"*","-"),MgAmenClave,0)),"No aplica")</f>
        <v/>
      </c>
      <c r="P729" s="28">
        <f>IFERROR(INDEX(MgAmenDegC,MATCH(SUBSTITUTE($H729,"*","-"),MgAmenClave,0)),"No aplica")</f>
        <v/>
      </c>
      <c r="Q729" s="29">
        <f>IFERROR(VLOOKUP(K729,MgValor,2,0)*VLOOKUP(N729,MgDeg,2,0),0)</f>
        <v/>
      </c>
      <c r="R729" s="29">
        <f>IFERROR(VLOOKUP(L729,MgValor,2,0)*VLOOKUP(O729,MgDeg,2,0),0)</f>
        <v/>
      </c>
      <c r="S729" s="29">
        <f>IFERROR(VLOOKUP(M729,MgValor,2,0)*VLOOKUP(P729,MgDeg,2,0),0)</f>
        <v/>
      </c>
      <c r="T729" s="30">
        <f>MAX(Q729:S729)</f>
        <v/>
      </c>
      <c r="U729" s="28">
        <f>IFERROR(LOOKUP(T729,{0;0.5;1.5;3;4.5},{"Despreciable";"Bajo";"Medio";"Alto";"Muy alto"}),"")</f>
        <v/>
      </c>
      <c r="V729" s="13">
        <f>IFERROR(INDEX(MgAmenFrec,MATCH(SUBSTITUTE($H729,"*","-"),MgAmenClave,0)),"")</f>
        <v/>
      </c>
      <c r="W729" s="28">
        <f>IFERROR(LOOKUP(X729,{0;0.01;0.1;1;10;100},{"Muy baja";"Muy baja";"Baja";"Media";"Alta";"Muy alta"}),"")</f>
        <v/>
      </c>
      <c r="X729" s="31">
        <f>IFERROR(VLOOKUP(V729,MgFrec,2,0),0)</f>
        <v/>
      </c>
      <c r="Y729" s="30">
        <f>T729*X729</f>
        <v/>
      </c>
      <c r="Z729" s="28">
        <f>IFERROR(LOOKUP(Y729,{0;0.5;5;25},{"Bajo";"Medio";"Alto";"Crítico"}),"")</f>
        <v/>
      </c>
      <c r="AA729" s="64">
        <f>IF(T729&gt;=3,IF(X729&gt;=1,"Zona 1 — Crítica: impacto alto y ocurre al menos una vez al año","Zona 4 — Catastrófica poco probable: impacto alto pero excepcional"),IF(AND(T729&lt;1.5,X729&lt;1),"Zona 3 — Asumible: impacto bajo y muy poco frecuente","Zona 2 — Atención: riesgo intermedio"))</f>
        <v/>
      </c>
      <c r="AB729" s="64">
        <f>IFERROR(INDEX(MgAmenCtrl,MATCH(SUBSTITUTE($H729,"*","-"),MgAmenClave,0)),"")</f>
        <v/>
      </c>
      <c r="AC729" s="20" t="n"/>
      <c r="AD729" s="31">
        <f>IFERROR($X729*(1-IF($AC729="",$AL729,VLOOKUP($AC729,MgMad,2,0))),"")</f>
        <v/>
      </c>
      <c r="AE729" s="28">
        <f>IFERROR(LOOKUP(AD729,{0;0.01;0.1;1;10;100},{"Muy baja";"Muy baja";"Baja";"Media";"Alta";"Muy alta"}),"")</f>
        <v/>
      </c>
      <c r="AF729" s="30">
        <f>T729*AD729</f>
        <v/>
      </c>
      <c r="AG729" s="28">
        <f>IFERROR(LOOKUP(AF729,{0;0.5;5;25},{"Bajo";"Medio";"Alto";"Crítico"}),"")</f>
        <v/>
      </c>
      <c r="AH729" s="28">
        <f>IF(AG729="","",IF(OR(AG729="Crítico",AG729="Alto"),"Mitigar",IF(AG729="Medio","Mitigar","Aceptar y monitorear")))</f>
        <v/>
      </c>
      <c r="AI729" s="21" t="n"/>
      <c r="AJ729" s="21" t="n"/>
      <c r="AK729" s="20" t="n"/>
      <c r="AL729" s="77">
        <f>IFERROR(INDEX(MgAmenEfic,MATCH(SUBSTITUTE($H729,"*","-"),MgAmenClave,0)),0)</f>
        <v/>
      </c>
    </row>
    <row r="730" hidden="1" ht="90" customHeight="1" s="54">
      <c r="B730" s="59" t="inlineStr">
        <is>
          <t>R-0725</t>
        </is>
      </c>
      <c r="C730" s="59" t="inlineStr">
        <is>
          <t>LCO-05</t>
        </is>
      </c>
      <c r="D730" s="64">
        <f>IFERROR(INDEX(MgNombre,MATCH($C730,MgActId,0)),"")</f>
        <v/>
      </c>
      <c r="E730" s="64">
        <f>IFERROR(INDEX(MgProceso,MATCH($C730,MgActId,0)),"")</f>
        <v/>
      </c>
      <c r="F730" s="64">
        <f>IFERROR(INDEX(MgTipo,MATCH($C730,MgActId,0)),"")</f>
        <v/>
      </c>
      <c r="G730" s="64">
        <f>IFERROR(INDEX(MgSubtipo,MATCH($C730,MgActId,0)),"")</f>
        <v/>
      </c>
      <c r="H730" s="59" t="inlineStr">
        <is>
          <t>E.15</t>
        </is>
      </c>
      <c r="I730" s="64">
        <f>IFERROR(INDEX(MgAmenNombre,MATCH(SUBSTITUTE($H730,"*","-"),MgAmenClave,0)),"")</f>
        <v/>
      </c>
      <c r="J730" s="28">
        <f>IFERROR(INDEX(MgAmenGrupo,MATCH(SUBSTITUTE($H730,"*","-"),MgAmenClave,0)),"")</f>
        <v/>
      </c>
      <c r="K730" s="64">
        <f>IFERROR(INDEX('1. Matriz de Activos'!$Q$6:$Q$239,MATCH($C730,MgActId,0)),"")</f>
        <v/>
      </c>
      <c r="L730" s="64">
        <f>IFERROR(INDEX('1. Matriz de Activos'!$R$6:$R$239,MATCH($C730,MgActId,0)),"")</f>
        <v/>
      </c>
      <c r="M730" s="64">
        <f>IFERROR(INDEX('1. Matriz de Activos'!$S$6:$S$239,MATCH($C730,MgActId,0)),"")</f>
        <v/>
      </c>
      <c r="N730" s="28">
        <f>IFERROR(INDEX(MgAmenDegD,MATCH(SUBSTITUTE($H730,"*","-"),MgAmenClave,0)),"No aplica")</f>
        <v/>
      </c>
      <c r="O730" s="28">
        <f>IFERROR(INDEX(MgAmenDegI,MATCH(SUBSTITUTE($H730,"*","-"),MgAmenClave,0)),"No aplica")</f>
        <v/>
      </c>
      <c r="P730" s="28">
        <f>IFERROR(INDEX(MgAmenDegC,MATCH(SUBSTITUTE($H730,"*","-"),MgAmenClave,0)),"No aplica")</f>
        <v/>
      </c>
      <c r="Q730" s="29">
        <f>IFERROR(VLOOKUP(K730,MgValor,2,0)*VLOOKUP(N730,MgDeg,2,0),0)</f>
        <v/>
      </c>
      <c r="R730" s="29">
        <f>IFERROR(VLOOKUP(L730,MgValor,2,0)*VLOOKUP(O730,MgDeg,2,0),0)</f>
        <v/>
      </c>
      <c r="S730" s="29">
        <f>IFERROR(VLOOKUP(M730,MgValor,2,0)*VLOOKUP(P730,MgDeg,2,0),0)</f>
        <v/>
      </c>
      <c r="T730" s="30">
        <f>MAX(Q730:S730)</f>
        <v/>
      </c>
      <c r="U730" s="28">
        <f>IFERROR(LOOKUP(T730,{0;0.5;1.5;3;4.5},{"Despreciable";"Bajo";"Medio";"Alto";"Muy alto"}),"")</f>
        <v/>
      </c>
      <c r="V730" s="13">
        <f>IFERROR(INDEX(MgAmenFrec,MATCH(SUBSTITUTE($H730,"*","-"),MgAmenClave,0)),"")</f>
        <v/>
      </c>
      <c r="W730" s="28">
        <f>IFERROR(LOOKUP(X730,{0;0.01;0.1;1;10;100},{"Muy baja";"Muy baja";"Baja";"Media";"Alta";"Muy alta"}),"")</f>
        <v/>
      </c>
      <c r="X730" s="31">
        <f>IFERROR(VLOOKUP(V730,MgFrec,2,0),0)</f>
        <v/>
      </c>
      <c r="Y730" s="30">
        <f>T730*X730</f>
        <v/>
      </c>
      <c r="Z730" s="28">
        <f>IFERROR(LOOKUP(Y730,{0;0.5;5;25},{"Bajo";"Medio";"Alto";"Crítico"}),"")</f>
        <v/>
      </c>
      <c r="AA730" s="64">
        <f>IF(T730&gt;=3,IF(X730&gt;=1,"Zona 1 — Crítica: impacto alto y ocurre al menos una vez al año","Zona 4 — Catastrófica poco probable: impacto alto pero excepcional"),IF(AND(T730&lt;1.5,X730&lt;1),"Zona 3 — Asumible: impacto bajo y muy poco frecuente","Zona 2 — Atención: riesgo intermedio"))</f>
        <v/>
      </c>
      <c r="AB730" s="64">
        <f>IFERROR(INDEX(MgAmenCtrl,MATCH(SUBSTITUTE($H730,"*","-"),MgAmenClave,0)),"")</f>
        <v/>
      </c>
      <c r="AC730" s="20" t="n"/>
      <c r="AD730" s="31">
        <f>IFERROR($X730*(1-IF($AC730="",$AL730,VLOOKUP($AC730,MgMad,2,0))),"")</f>
        <v/>
      </c>
      <c r="AE730" s="28">
        <f>IFERROR(LOOKUP(AD730,{0;0.01;0.1;1;10;100},{"Muy baja";"Muy baja";"Baja";"Media";"Alta";"Muy alta"}),"")</f>
        <v/>
      </c>
      <c r="AF730" s="30">
        <f>T730*AD730</f>
        <v/>
      </c>
      <c r="AG730" s="28">
        <f>IFERROR(LOOKUP(AF730,{0;0.5;5;25},{"Bajo";"Medio";"Alto";"Crítico"}),"")</f>
        <v/>
      </c>
      <c r="AH730" s="28">
        <f>IF(AG730="","",IF(OR(AG730="Crítico",AG730="Alto"),"Mitigar",IF(AG730="Medio","Mitigar","Aceptar y monitorear")))</f>
        <v/>
      </c>
      <c r="AI730" s="21" t="n"/>
      <c r="AJ730" s="21" t="n"/>
      <c r="AK730" s="20" t="n"/>
      <c r="AL730" s="77">
        <f>IFERROR(INDEX(MgAmenEfic,MATCH(SUBSTITUTE($H730,"*","-"),MgAmenClave,0)),0)</f>
        <v/>
      </c>
    </row>
    <row r="731" hidden="1" ht="60" customHeight="1" s="54">
      <c r="B731" s="59" t="inlineStr">
        <is>
          <t>R-0726</t>
        </is>
      </c>
      <c r="C731" s="59" t="inlineStr">
        <is>
          <t>LCO-05</t>
        </is>
      </c>
      <c r="D731" s="64">
        <f>IFERROR(INDEX(MgNombre,MATCH($C731,MgActId,0)),"")</f>
        <v/>
      </c>
      <c r="E731" s="64">
        <f>IFERROR(INDEX(MgProceso,MATCH($C731,MgActId,0)),"")</f>
        <v/>
      </c>
      <c r="F731" s="64">
        <f>IFERROR(INDEX(MgTipo,MATCH($C731,MgActId,0)),"")</f>
        <v/>
      </c>
      <c r="G731" s="64">
        <f>IFERROR(INDEX(MgSubtipo,MATCH($C731,MgActId,0)),"")</f>
        <v/>
      </c>
      <c r="H731" s="59" t="inlineStr">
        <is>
          <t>E.18</t>
        </is>
      </c>
      <c r="I731" s="64">
        <f>IFERROR(INDEX(MgAmenNombre,MATCH(SUBSTITUTE($H731,"*","-"),MgAmenClave,0)),"")</f>
        <v/>
      </c>
      <c r="J731" s="28">
        <f>IFERROR(INDEX(MgAmenGrupo,MATCH(SUBSTITUTE($H731,"*","-"),MgAmenClave,0)),"")</f>
        <v/>
      </c>
      <c r="K731" s="64">
        <f>IFERROR(INDEX('1. Matriz de Activos'!$Q$6:$Q$239,MATCH($C731,MgActId,0)),"")</f>
        <v/>
      </c>
      <c r="L731" s="64">
        <f>IFERROR(INDEX('1. Matriz de Activos'!$R$6:$R$239,MATCH($C731,MgActId,0)),"")</f>
        <v/>
      </c>
      <c r="M731" s="64">
        <f>IFERROR(INDEX('1. Matriz de Activos'!$S$6:$S$239,MATCH($C731,MgActId,0)),"")</f>
        <v/>
      </c>
      <c r="N731" s="28">
        <f>IFERROR(INDEX(MgAmenDegD,MATCH(SUBSTITUTE($H731,"*","-"),MgAmenClave,0)),"No aplica")</f>
        <v/>
      </c>
      <c r="O731" s="28">
        <f>IFERROR(INDEX(MgAmenDegI,MATCH(SUBSTITUTE($H731,"*","-"),MgAmenClave,0)),"No aplica")</f>
        <v/>
      </c>
      <c r="P731" s="28">
        <f>IFERROR(INDEX(MgAmenDegC,MATCH(SUBSTITUTE($H731,"*","-"),MgAmenClave,0)),"No aplica")</f>
        <v/>
      </c>
      <c r="Q731" s="29">
        <f>IFERROR(VLOOKUP(K731,MgValor,2,0)*VLOOKUP(N731,MgDeg,2,0),0)</f>
        <v/>
      </c>
      <c r="R731" s="29">
        <f>IFERROR(VLOOKUP(L731,MgValor,2,0)*VLOOKUP(O731,MgDeg,2,0),0)</f>
        <v/>
      </c>
      <c r="S731" s="29">
        <f>IFERROR(VLOOKUP(M731,MgValor,2,0)*VLOOKUP(P731,MgDeg,2,0),0)</f>
        <v/>
      </c>
      <c r="T731" s="30">
        <f>MAX(Q731:S731)</f>
        <v/>
      </c>
      <c r="U731" s="28">
        <f>IFERROR(LOOKUP(T731,{0;0.5;1.5;3;4.5},{"Despreciable";"Bajo";"Medio";"Alto";"Muy alto"}),"")</f>
        <v/>
      </c>
      <c r="V731" s="13">
        <f>IFERROR(INDEX(MgAmenFrec,MATCH(SUBSTITUTE($H731,"*","-"),MgAmenClave,0)),"")</f>
        <v/>
      </c>
      <c r="W731" s="28">
        <f>IFERROR(LOOKUP(X731,{0;0.01;0.1;1;10;100},{"Muy baja";"Muy baja";"Baja";"Media";"Alta";"Muy alta"}),"")</f>
        <v/>
      </c>
      <c r="X731" s="31">
        <f>IFERROR(VLOOKUP(V731,MgFrec,2,0),0)</f>
        <v/>
      </c>
      <c r="Y731" s="30">
        <f>T731*X731</f>
        <v/>
      </c>
      <c r="Z731" s="28">
        <f>IFERROR(LOOKUP(Y731,{0;0.5;5;25},{"Bajo";"Medio";"Alto";"Crítico"}),"")</f>
        <v/>
      </c>
      <c r="AA731" s="64">
        <f>IF(T731&gt;=3,IF(X731&gt;=1,"Zona 1 — Crítica: impacto alto y ocurre al menos una vez al año","Zona 4 — Catastrófica poco probable: impacto alto pero excepcional"),IF(AND(T731&lt;1.5,X731&lt;1),"Zona 3 — Asumible: impacto bajo y muy poco frecuente","Zona 2 — Atención: riesgo intermedio"))</f>
        <v/>
      </c>
      <c r="AB731" s="64">
        <f>IFERROR(INDEX(MgAmenCtrl,MATCH(SUBSTITUTE($H731,"*","-"),MgAmenClave,0)),"")</f>
        <v/>
      </c>
      <c r="AC731" s="20" t="n"/>
      <c r="AD731" s="31">
        <f>IFERROR($X731*(1-IF($AC731="",$AL731,VLOOKUP($AC731,MgMad,2,0))),"")</f>
        <v/>
      </c>
      <c r="AE731" s="28">
        <f>IFERROR(LOOKUP(AD731,{0;0.01;0.1;1;10;100},{"Muy baja";"Muy baja";"Baja";"Media";"Alta";"Muy alta"}),"")</f>
        <v/>
      </c>
      <c r="AF731" s="30">
        <f>T731*AD731</f>
        <v/>
      </c>
      <c r="AG731" s="28">
        <f>IFERROR(LOOKUP(AF731,{0;0.5;5;25},{"Bajo";"Medio";"Alto";"Crítico"}),"")</f>
        <v/>
      </c>
      <c r="AH731" s="28">
        <f>IF(AG731="","",IF(OR(AG731="Crítico",AG731="Alto"),"Mitigar",IF(AG731="Medio","Mitigar","Aceptar y monitorear")))</f>
        <v/>
      </c>
      <c r="AI731" s="21" t="n"/>
      <c r="AJ731" s="21" t="n"/>
      <c r="AK731" s="20" t="n"/>
      <c r="AL731" s="77">
        <f>IFERROR(INDEX(MgAmenEfic,MATCH(SUBSTITUTE($H731,"*","-"),MgAmenClave,0)),0)</f>
        <v/>
      </c>
    </row>
    <row r="732" hidden="1" ht="105" customHeight="1" s="54">
      <c r="B732" s="59" t="inlineStr">
        <is>
          <t>R-0727</t>
        </is>
      </c>
      <c r="C732" s="59" t="inlineStr">
        <is>
          <t>LCO-05</t>
        </is>
      </c>
      <c r="D732" s="64">
        <f>IFERROR(INDEX(MgNombre,MATCH($C732,MgActId,0)),"")</f>
        <v/>
      </c>
      <c r="E732" s="64">
        <f>IFERROR(INDEX(MgProceso,MATCH($C732,MgActId,0)),"")</f>
        <v/>
      </c>
      <c r="F732" s="64">
        <f>IFERROR(INDEX(MgTipo,MATCH($C732,MgActId,0)),"")</f>
        <v/>
      </c>
      <c r="G732" s="64">
        <f>IFERROR(INDEX(MgSubtipo,MATCH($C732,MgActId,0)),"")</f>
        <v/>
      </c>
      <c r="H732" s="59" t="inlineStr">
        <is>
          <t>E.19</t>
        </is>
      </c>
      <c r="I732" s="64">
        <f>IFERROR(INDEX(MgAmenNombre,MATCH(SUBSTITUTE($H732,"*","-"),MgAmenClave,0)),"")</f>
        <v/>
      </c>
      <c r="J732" s="28">
        <f>IFERROR(INDEX(MgAmenGrupo,MATCH(SUBSTITUTE($H732,"*","-"),MgAmenClave,0)),"")</f>
        <v/>
      </c>
      <c r="K732" s="64">
        <f>IFERROR(INDEX('1. Matriz de Activos'!$Q$6:$Q$239,MATCH($C732,MgActId,0)),"")</f>
        <v/>
      </c>
      <c r="L732" s="64">
        <f>IFERROR(INDEX('1. Matriz de Activos'!$R$6:$R$239,MATCH($C732,MgActId,0)),"")</f>
        <v/>
      </c>
      <c r="M732" s="64">
        <f>IFERROR(INDEX('1. Matriz de Activos'!$S$6:$S$239,MATCH($C732,MgActId,0)),"")</f>
        <v/>
      </c>
      <c r="N732" s="28">
        <f>IFERROR(INDEX(MgAmenDegD,MATCH(SUBSTITUTE($H732,"*","-"),MgAmenClave,0)),"No aplica")</f>
        <v/>
      </c>
      <c r="O732" s="28">
        <f>IFERROR(INDEX(MgAmenDegI,MATCH(SUBSTITUTE($H732,"*","-"),MgAmenClave,0)),"No aplica")</f>
        <v/>
      </c>
      <c r="P732" s="28">
        <f>IFERROR(INDEX(MgAmenDegC,MATCH(SUBSTITUTE($H732,"*","-"),MgAmenClave,0)),"No aplica")</f>
        <v/>
      </c>
      <c r="Q732" s="29">
        <f>IFERROR(VLOOKUP(K732,MgValor,2,0)*VLOOKUP(N732,MgDeg,2,0),0)</f>
        <v/>
      </c>
      <c r="R732" s="29">
        <f>IFERROR(VLOOKUP(L732,MgValor,2,0)*VLOOKUP(O732,MgDeg,2,0),0)</f>
        <v/>
      </c>
      <c r="S732" s="29">
        <f>IFERROR(VLOOKUP(M732,MgValor,2,0)*VLOOKUP(P732,MgDeg,2,0),0)</f>
        <v/>
      </c>
      <c r="T732" s="30">
        <f>MAX(Q732:S732)</f>
        <v/>
      </c>
      <c r="U732" s="28">
        <f>IFERROR(LOOKUP(T732,{0;0.5;1.5;3;4.5},{"Despreciable";"Bajo";"Medio";"Alto";"Muy alto"}),"")</f>
        <v/>
      </c>
      <c r="V732" s="13">
        <f>IFERROR(INDEX(MgAmenFrec,MATCH(SUBSTITUTE($H732,"*","-"),MgAmenClave,0)),"")</f>
        <v/>
      </c>
      <c r="W732" s="28">
        <f>IFERROR(LOOKUP(X732,{0;0.01;0.1;1;10;100},{"Muy baja";"Muy baja";"Baja";"Media";"Alta";"Muy alta"}),"")</f>
        <v/>
      </c>
      <c r="X732" s="31">
        <f>IFERROR(VLOOKUP(V732,MgFrec,2,0),0)</f>
        <v/>
      </c>
      <c r="Y732" s="30">
        <f>T732*X732</f>
        <v/>
      </c>
      <c r="Z732" s="28">
        <f>IFERROR(LOOKUP(Y732,{0;0.5;5;25},{"Bajo";"Medio";"Alto";"Crítico"}),"")</f>
        <v/>
      </c>
      <c r="AA732" s="64">
        <f>IF(T732&gt;=3,IF(X732&gt;=1,"Zona 1 — Crítica: impacto alto y ocurre al menos una vez al año","Zona 4 — Catastrófica poco probable: impacto alto pero excepcional"),IF(AND(T732&lt;1.5,X732&lt;1),"Zona 3 — Asumible: impacto bajo y muy poco frecuente","Zona 2 — Atención: riesgo intermedio"))</f>
        <v/>
      </c>
      <c r="AB732" s="64">
        <f>IFERROR(INDEX(MgAmenCtrl,MATCH(SUBSTITUTE($H732,"*","-"),MgAmenClave,0)),"")</f>
        <v/>
      </c>
      <c r="AC732" s="20" t="n"/>
      <c r="AD732" s="31">
        <f>IFERROR($X732*(1-IF($AC732="",$AL732,VLOOKUP($AC732,MgMad,2,0))),"")</f>
        <v/>
      </c>
      <c r="AE732" s="28">
        <f>IFERROR(LOOKUP(AD732,{0;0.01;0.1;1;10;100},{"Muy baja";"Muy baja";"Baja";"Media";"Alta";"Muy alta"}),"")</f>
        <v/>
      </c>
      <c r="AF732" s="30">
        <f>T732*AD732</f>
        <v/>
      </c>
      <c r="AG732" s="28">
        <f>IFERROR(LOOKUP(AF732,{0;0.5;5;25},{"Bajo";"Medio";"Alto";"Crítico"}),"")</f>
        <v/>
      </c>
      <c r="AH732" s="28">
        <f>IF(AG732="","",IF(OR(AG732="Crítico",AG732="Alto"),"Mitigar",IF(AG732="Medio","Mitigar","Aceptar y monitorear")))</f>
        <v/>
      </c>
      <c r="AI732" s="21" t="n"/>
      <c r="AJ732" s="21" t="n"/>
      <c r="AK732" s="20" t="n"/>
      <c r="AL732" s="77">
        <f>IFERROR(INDEX(MgAmenEfic,MATCH(SUBSTITUTE($H732,"*","-"),MgAmenClave,0)),0)</f>
        <v/>
      </c>
    </row>
    <row r="733" hidden="1" ht="60" customHeight="1" s="54">
      <c r="B733" s="59" t="inlineStr">
        <is>
          <t>R-0728</t>
        </is>
      </c>
      <c r="C733" s="59" t="inlineStr">
        <is>
          <t>LCO-05</t>
        </is>
      </c>
      <c r="D733" s="64">
        <f>IFERROR(INDEX(MgNombre,MATCH($C733,MgActId,0)),"")</f>
        <v/>
      </c>
      <c r="E733" s="64">
        <f>IFERROR(INDEX(MgProceso,MATCH($C733,MgActId,0)),"")</f>
        <v/>
      </c>
      <c r="F733" s="64">
        <f>IFERROR(INDEX(MgTipo,MATCH($C733,MgActId,0)),"")</f>
        <v/>
      </c>
      <c r="G733" s="64">
        <f>IFERROR(INDEX(MgSubtipo,MATCH($C733,MgActId,0)),"")</f>
        <v/>
      </c>
      <c r="H733" s="59" t="inlineStr">
        <is>
          <t>A.3</t>
        </is>
      </c>
      <c r="I733" s="64">
        <f>IFERROR(INDEX(MgAmenNombre,MATCH(SUBSTITUTE($H733,"*","-"),MgAmenClave,0)),"")</f>
        <v/>
      </c>
      <c r="J733" s="28">
        <f>IFERROR(INDEX(MgAmenGrupo,MATCH(SUBSTITUTE($H733,"*","-"),MgAmenClave,0)),"")</f>
        <v/>
      </c>
      <c r="K733" s="64">
        <f>IFERROR(INDEX('1. Matriz de Activos'!$Q$6:$Q$239,MATCH($C733,MgActId,0)),"")</f>
        <v/>
      </c>
      <c r="L733" s="64">
        <f>IFERROR(INDEX('1. Matriz de Activos'!$R$6:$R$239,MATCH($C733,MgActId,0)),"")</f>
        <v/>
      </c>
      <c r="M733" s="64">
        <f>IFERROR(INDEX('1. Matriz de Activos'!$S$6:$S$239,MATCH($C733,MgActId,0)),"")</f>
        <v/>
      </c>
      <c r="N733" s="28">
        <f>IFERROR(INDEX(MgAmenDegD,MATCH(SUBSTITUTE($H733,"*","-"),MgAmenClave,0)),"No aplica")</f>
        <v/>
      </c>
      <c r="O733" s="28">
        <f>IFERROR(INDEX(MgAmenDegI,MATCH(SUBSTITUTE($H733,"*","-"),MgAmenClave,0)),"No aplica")</f>
        <v/>
      </c>
      <c r="P733" s="28">
        <f>IFERROR(INDEX(MgAmenDegC,MATCH(SUBSTITUTE($H733,"*","-"),MgAmenClave,0)),"No aplica")</f>
        <v/>
      </c>
      <c r="Q733" s="29">
        <f>IFERROR(VLOOKUP(K733,MgValor,2,0)*VLOOKUP(N733,MgDeg,2,0),0)</f>
        <v/>
      </c>
      <c r="R733" s="29">
        <f>IFERROR(VLOOKUP(L733,MgValor,2,0)*VLOOKUP(O733,MgDeg,2,0),0)</f>
        <v/>
      </c>
      <c r="S733" s="29">
        <f>IFERROR(VLOOKUP(M733,MgValor,2,0)*VLOOKUP(P733,MgDeg,2,0),0)</f>
        <v/>
      </c>
      <c r="T733" s="30">
        <f>MAX(Q733:S733)</f>
        <v/>
      </c>
      <c r="U733" s="28">
        <f>IFERROR(LOOKUP(T733,{0;0.5;1.5;3;4.5},{"Despreciable";"Bajo";"Medio";"Alto";"Muy alto"}),"")</f>
        <v/>
      </c>
      <c r="V733" s="13">
        <f>IFERROR(INDEX(MgAmenFrec,MATCH(SUBSTITUTE($H733,"*","-"),MgAmenClave,0)),"")</f>
        <v/>
      </c>
      <c r="W733" s="28">
        <f>IFERROR(LOOKUP(X733,{0;0.01;0.1;1;10;100},{"Muy baja";"Muy baja";"Baja";"Media";"Alta";"Muy alta"}),"")</f>
        <v/>
      </c>
      <c r="X733" s="31">
        <f>IFERROR(VLOOKUP(V733,MgFrec,2,0),0)</f>
        <v/>
      </c>
      <c r="Y733" s="30">
        <f>T733*X733</f>
        <v/>
      </c>
      <c r="Z733" s="28">
        <f>IFERROR(LOOKUP(Y733,{0;0.5;5;25},{"Bajo";"Medio";"Alto";"Crítico"}),"")</f>
        <v/>
      </c>
      <c r="AA733" s="64">
        <f>IF(T733&gt;=3,IF(X733&gt;=1,"Zona 1 — Crítica: impacto alto y ocurre al menos una vez al año","Zona 4 — Catastrófica poco probable: impacto alto pero excepcional"),IF(AND(T733&lt;1.5,X733&lt;1),"Zona 3 — Asumible: impacto bajo y muy poco frecuente","Zona 2 — Atención: riesgo intermedio"))</f>
        <v/>
      </c>
      <c r="AB733" s="64">
        <f>IFERROR(INDEX(MgAmenCtrl,MATCH(SUBSTITUTE($H733,"*","-"),MgAmenClave,0)),"")</f>
        <v/>
      </c>
      <c r="AC733" s="20" t="n"/>
      <c r="AD733" s="31">
        <f>IFERROR($X733*(1-IF($AC733="",$AL733,VLOOKUP($AC733,MgMad,2,0))),"")</f>
        <v/>
      </c>
      <c r="AE733" s="28">
        <f>IFERROR(LOOKUP(AD733,{0;0.01;0.1;1;10;100},{"Muy baja";"Muy baja";"Baja";"Media";"Alta";"Muy alta"}),"")</f>
        <v/>
      </c>
      <c r="AF733" s="30">
        <f>T733*AD733</f>
        <v/>
      </c>
      <c r="AG733" s="28">
        <f>IFERROR(LOOKUP(AF733,{0;0.5;5;25},{"Bajo";"Medio";"Alto";"Crítico"}),"")</f>
        <v/>
      </c>
      <c r="AH733" s="28">
        <f>IF(AG733="","",IF(OR(AG733="Crítico",AG733="Alto"),"Mitigar",IF(AG733="Medio","Mitigar","Aceptar y monitorear")))</f>
        <v/>
      </c>
      <c r="AI733" s="21" t="n"/>
      <c r="AJ733" s="21" t="n"/>
      <c r="AK733" s="20" t="n"/>
      <c r="AL733" s="77">
        <f>IFERROR(INDEX(MgAmenEfic,MATCH(SUBSTITUTE($H733,"*","-"),MgAmenClave,0)),0)</f>
        <v/>
      </c>
    </row>
    <row r="734" hidden="1" ht="60" customHeight="1" s="54">
      <c r="B734" s="59" t="inlineStr">
        <is>
          <t>R-0729</t>
        </is>
      </c>
      <c r="C734" s="59" t="inlineStr">
        <is>
          <t>LCO-05</t>
        </is>
      </c>
      <c r="D734" s="64">
        <f>IFERROR(INDEX(MgNombre,MATCH($C734,MgActId,0)),"")</f>
        <v/>
      </c>
      <c r="E734" s="64">
        <f>IFERROR(INDEX(MgProceso,MATCH($C734,MgActId,0)),"")</f>
        <v/>
      </c>
      <c r="F734" s="64">
        <f>IFERROR(INDEX(MgTipo,MATCH($C734,MgActId,0)),"")</f>
        <v/>
      </c>
      <c r="G734" s="64">
        <f>IFERROR(INDEX(MgSubtipo,MATCH($C734,MgActId,0)),"")</f>
        <v/>
      </c>
      <c r="H734" s="59" t="inlineStr">
        <is>
          <t>A.4</t>
        </is>
      </c>
      <c r="I734" s="64">
        <f>IFERROR(INDEX(MgAmenNombre,MATCH(SUBSTITUTE($H734,"*","-"),MgAmenClave,0)),"")</f>
        <v/>
      </c>
      <c r="J734" s="28">
        <f>IFERROR(INDEX(MgAmenGrupo,MATCH(SUBSTITUTE($H734,"*","-"),MgAmenClave,0)),"")</f>
        <v/>
      </c>
      <c r="K734" s="64">
        <f>IFERROR(INDEX('1. Matriz de Activos'!$Q$6:$Q$239,MATCH($C734,MgActId,0)),"")</f>
        <v/>
      </c>
      <c r="L734" s="64">
        <f>IFERROR(INDEX('1. Matriz de Activos'!$R$6:$R$239,MATCH($C734,MgActId,0)),"")</f>
        <v/>
      </c>
      <c r="M734" s="64">
        <f>IFERROR(INDEX('1. Matriz de Activos'!$S$6:$S$239,MATCH($C734,MgActId,0)),"")</f>
        <v/>
      </c>
      <c r="N734" s="28">
        <f>IFERROR(INDEX(MgAmenDegD,MATCH(SUBSTITUTE($H734,"*","-"),MgAmenClave,0)),"No aplica")</f>
        <v/>
      </c>
      <c r="O734" s="28">
        <f>IFERROR(INDEX(MgAmenDegI,MATCH(SUBSTITUTE($H734,"*","-"),MgAmenClave,0)),"No aplica")</f>
        <v/>
      </c>
      <c r="P734" s="28">
        <f>IFERROR(INDEX(MgAmenDegC,MATCH(SUBSTITUTE($H734,"*","-"),MgAmenClave,0)),"No aplica")</f>
        <v/>
      </c>
      <c r="Q734" s="29">
        <f>IFERROR(VLOOKUP(K734,MgValor,2,0)*VLOOKUP(N734,MgDeg,2,0),0)</f>
        <v/>
      </c>
      <c r="R734" s="29">
        <f>IFERROR(VLOOKUP(L734,MgValor,2,0)*VLOOKUP(O734,MgDeg,2,0),0)</f>
        <v/>
      </c>
      <c r="S734" s="29">
        <f>IFERROR(VLOOKUP(M734,MgValor,2,0)*VLOOKUP(P734,MgDeg,2,0),0)</f>
        <v/>
      </c>
      <c r="T734" s="30">
        <f>MAX(Q734:S734)</f>
        <v/>
      </c>
      <c r="U734" s="28">
        <f>IFERROR(LOOKUP(T734,{0;0.5;1.5;3;4.5},{"Despreciable";"Bajo";"Medio";"Alto";"Muy alto"}),"")</f>
        <v/>
      </c>
      <c r="V734" s="13">
        <f>IFERROR(INDEX(MgAmenFrec,MATCH(SUBSTITUTE($H734,"*","-"),MgAmenClave,0)),"")</f>
        <v/>
      </c>
      <c r="W734" s="28">
        <f>IFERROR(LOOKUP(X734,{0;0.01;0.1;1;10;100},{"Muy baja";"Muy baja";"Baja";"Media";"Alta";"Muy alta"}),"")</f>
        <v/>
      </c>
      <c r="X734" s="31">
        <f>IFERROR(VLOOKUP(V734,MgFrec,2,0),0)</f>
        <v/>
      </c>
      <c r="Y734" s="30">
        <f>T734*X734</f>
        <v/>
      </c>
      <c r="Z734" s="28">
        <f>IFERROR(LOOKUP(Y734,{0;0.5;5;25},{"Bajo";"Medio";"Alto";"Crítico"}),"")</f>
        <v/>
      </c>
      <c r="AA734" s="64">
        <f>IF(T734&gt;=3,IF(X734&gt;=1,"Zona 1 — Crítica: impacto alto y ocurre al menos una vez al año","Zona 4 — Catastrófica poco probable: impacto alto pero excepcional"),IF(AND(T734&lt;1.5,X734&lt;1),"Zona 3 — Asumible: impacto bajo y muy poco frecuente","Zona 2 — Atención: riesgo intermedio"))</f>
        <v/>
      </c>
      <c r="AB734" s="64">
        <f>IFERROR(INDEX(MgAmenCtrl,MATCH(SUBSTITUTE($H734,"*","-"),MgAmenClave,0)),"")</f>
        <v/>
      </c>
      <c r="AC734" s="20" t="n"/>
      <c r="AD734" s="31">
        <f>IFERROR($X734*(1-IF($AC734="",$AL734,VLOOKUP($AC734,MgMad,2,0))),"")</f>
        <v/>
      </c>
      <c r="AE734" s="28">
        <f>IFERROR(LOOKUP(AD734,{0;0.01;0.1;1;10;100},{"Muy baja";"Muy baja";"Baja";"Media";"Alta";"Muy alta"}),"")</f>
        <v/>
      </c>
      <c r="AF734" s="30">
        <f>T734*AD734</f>
        <v/>
      </c>
      <c r="AG734" s="28">
        <f>IFERROR(LOOKUP(AF734,{0;0.5;5;25},{"Bajo";"Medio";"Alto";"Crítico"}),"")</f>
        <v/>
      </c>
      <c r="AH734" s="28">
        <f>IF(AG734="","",IF(OR(AG734="Crítico",AG734="Alto"),"Mitigar",IF(AG734="Medio","Mitigar","Aceptar y monitorear")))</f>
        <v/>
      </c>
      <c r="AI734" s="21" t="n"/>
      <c r="AJ734" s="21" t="n"/>
      <c r="AK734" s="20" t="n"/>
      <c r="AL734" s="77">
        <f>IFERROR(INDEX(MgAmenEfic,MATCH(SUBSTITUTE($H734,"*","-"),MgAmenClave,0)),0)</f>
        <v/>
      </c>
    </row>
    <row r="735" hidden="1" ht="75" customHeight="1" s="54">
      <c r="B735" s="59" t="inlineStr">
        <is>
          <t>R-0730</t>
        </is>
      </c>
      <c r="C735" s="59" t="inlineStr">
        <is>
          <t>LCO-05</t>
        </is>
      </c>
      <c r="D735" s="64">
        <f>IFERROR(INDEX(MgNombre,MATCH($C735,MgActId,0)),"")</f>
        <v/>
      </c>
      <c r="E735" s="64">
        <f>IFERROR(INDEX(MgProceso,MATCH($C735,MgActId,0)),"")</f>
        <v/>
      </c>
      <c r="F735" s="64">
        <f>IFERROR(INDEX(MgTipo,MATCH($C735,MgActId,0)),"")</f>
        <v/>
      </c>
      <c r="G735" s="64">
        <f>IFERROR(INDEX(MgSubtipo,MATCH($C735,MgActId,0)),"")</f>
        <v/>
      </c>
      <c r="H735" s="59" t="inlineStr">
        <is>
          <t>A.5</t>
        </is>
      </c>
      <c r="I735" s="64">
        <f>IFERROR(INDEX(MgAmenNombre,MATCH(SUBSTITUTE($H735,"*","-"),MgAmenClave,0)),"")</f>
        <v/>
      </c>
      <c r="J735" s="28">
        <f>IFERROR(INDEX(MgAmenGrupo,MATCH(SUBSTITUTE($H735,"*","-"),MgAmenClave,0)),"")</f>
        <v/>
      </c>
      <c r="K735" s="64">
        <f>IFERROR(INDEX('1. Matriz de Activos'!$Q$6:$Q$239,MATCH($C735,MgActId,0)),"")</f>
        <v/>
      </c>
      <c r="L735" s="64">
        <f>IFERROR(INDEX('1. Matriz de Activos'!$R$6:$R$239,MATCH($C735,MgActId,0)),"")</f>
        <v/>
      </c>
      <c r="M735" s="64">
        <f>IFERROR(INDEX('1. Matriz de Activos'!$S$6:$S$239,MATCH($C735,MgActId,0)),"")</f>
        <v/>
      </c>
      <c r="N735" s="28">
        <f>IFERROR(INDEX(MgAmenDegD,MATCH(SUBSTITUTE($H735,"*","-"),MgAmenClave,0)),"No aplica")</f>
        <v/>
      </c>
      <c r="O735" s="28">
        <f>IFERROR(INDEX(MgAmenDegI,MATCH(SUBSTITUTE($H735,"*","-"),MgAmenClave,0)),"No aplica")</f>
        <v/>
      </c>
      <c r="P735" s="28">
        <f>IFERROR(INDEX(MgAmenDegC,MATCH(SUBSTITUTE($H735,"*","-"),MgAmenClave,0)),"No aplica")</f>
        <v/>
      </c>
      <c r="Q735" s="29">
        <f>IFERROR(VLOOKUP(K735,MgValor,2,0)*VLOOKUP(N735,MgDeg,2,0),0)</f>
        <v/>
      </c>
      <c r="R735" s="29">
        <f>IFERROR(VLOOKUP(L735,MgValor,2,0)*VLOOKUP(O735,MgDeg,2,0),0)</f>
        <v/>
      </c>
      <c r="S735" s="29">
        <f>IFERROR(VLOOKUP(M735,MgValor,2,0)*VLOOKUP(P735,MgDeg,2,0),0)</f>
        <v/>
      </c>
      <c r="T735" s="30">
        <f>MAX(Q735:S735)</f>
        <v/>
      </c>
      <c r="U735" s="28">
        <f>IFERROR(LOOKUP(T735,{0;0.5;1.5;3;4.5},{"Despreciable";"Bajo";"Medio";"Alto";"Muy alto"}),"")</f>
        <v/>
      </c>
      <c r="V735" s="13">
        <f>IFERROR(INDEX(MgAmenFrec,MATCH(SUBSTITUTE($H735,"*","-"),MgAmenClave,0)),"")</f>
        <v/>
      </c>
      <c r="W735" s="28">
        <f>IFERROR(LOOKUP(X735,{0;0.01;0.1;1;10;100},{"Muy baja";"Muy baja";"Baja";"Media";"Alta";"Muy alta"}),"")</f>
        <v/>
      </c>
      <c r="X735" s="31">
        <f>IFERROR(VLOOKUP(V735,MgFrec,2,0),0)</f>
        <v/>
      </c>
      <c r="Y735" s="30">
        <f>T735*X735</f>
        <v/>
      </c>
      <c r="Z735" s="28">
        <f>IFERROR(LOOKUP(Y735,{0;0.5;5;25},{"Bajo";"Medio";"Alto";"Crítico"}),"")</f>
        <v/>
      </c>
      <c r="AA735" s="64">
        <f>IF(T735&gt;=3,IF(X735&gt;=1,"Zona 1 — Crítica: impacto alto y ocurre al menos una vez al año","Zona 4 — Catastrófica poco probable: impacto alto pero excepcional"),IF(AND(T735&lt;1.5,X735&lt;1),"Zona 3 — Asumible: impacto bajo y muy poco frecuente","Zona 2 — Atención: riesgo intermedio"))</f>
        <v/>
      </c>
      <c r="AB735" s="64">
        <f>IFERROR(INDEX(MgAmenCtrl,MATCH(SUBSTITUTE($H735,"*","-"),MgAmenClave,0)),"")</f>
        <v/>
      </c>
      <c r="AC735" s="20" t="n"/>
      <c r="AD735" s="31">
        <f>IFERROR($X735*(1-IF($AC735="",$AL735,VLOOKUP($AC735,MgMad,2,0))),"")</f>
        <v/>
      </c>
      <c r="AE735" s="28">
        <f>IFERROR(LOOKUP(AD735,{0;0.01;0.1;1;10;100},{"Muy baja";"Muy baja";"Baja";"Media";"Alta";"Muy alta"}),"")</f>
        <v/>
      </c>
      <c r="AF735" s="30">
        <f>T735*AD735</f>
        <v/>
      </c>
      <c r="AG735" s="28">
        <f>IFERROR(LOOKUP(AF735,{0;0.5;5;25},{"Bajo";"Medio";"Alto";"Crítico"}),"")</f>
        <v/>
      </c>
      <c r="AH735" s="28">
        <f>IF(AG735="","",IF(OR(AG735="Crítico",AG735="Alto"),"Mitigar",IF(AG735="Medio","Mitigar","Aceptar y monitorear")))</f>
        <v/>
      </c>
      <c r="AI735" s="21" t="n"/>
      <c r="AJ735" s="21" t="n"/>
      <c r="AK735" s="20" t="n"/>
      <c r="AL735" s="77">
        <f>IFERROR(INDEX(MgAmenEfic,MATCH(SUBSTITUTE($H735,"*","-"),MgAmenClave,0)),0)</f>
        <v/>
      </c>
    </row>
    <row r="736" hidden="1" ht="105" customHeight="1" s="54">
      <c r="B736" s="59" t="inlineStr">
        <is>
          <t>R-0731</t>
        </is>
      </c>
      <c r="C736" s="59" t="inlineStr">
        <is>
          <t>LCO-05</t>
        </is>
      </c>
      <c r="D736" s="64">
        <f>IFERROR(INDEX(MgNombre,MATCH($C736,MgActId,0)),"")</f>
        <v/>
      </c>
      <c r="E736" s="64">
        <f>IFERROR(INDEX(MgProceso,MATCH($C736,MgActId,0)),"")</f>
        <v/>
      </c>
      <c r="F736" s="64">
        <f>IFERROR(INDEX(MgTipo,MATCH($C736,MgActId,0)),"")</f>
        <v/>
      </c>
      <c r="G736" s="64">
        <f>IFERROR(INDEX(MgSubtipo,MATCH($C736,MgActId,0)),"")</f>
        <v/>
      </c>
      <c r="H736" s="59" t="inlineStr">
        <is>
          <t>A.6</t>
        </is>
      </c>
      <c r="I736" s="64">
        <f>IFERROR(INDEX(MgAmenNombre,MATCH(SUBSTITUTE($H736,"*","-"),MgAmenClave,0)),"")</f>
        <v/>
      </c>
      <c r="J736" s="28">
        <f>IFERROR(INDEX(MgAmenGrupo,MATCH(SUBSTITUTE($H736,"*","-"),MgAmenClave,0)),"")</f>
        <v/>
      </c>
      <c r="K736" s="64">
        <f>IFERROR(INDEX('1. Matriz de Activos'!$Q$6:$Q$239,MATCH($C736,MgActId,0)),"")</f>
        <v/>
      </c>
      <c r="L736" s="64">
        <f>IFERROR(INDEX('1. Matriz de Activos'!$R$6:$R$239,MATCH($C736,MgActId,0)),"")</f>
        <v/>
      </c>
      <c r="M736" s="64">
        <f>IFERROR(INDEX('1. Matriz de Activos'!$S$6:$S$239,MATCH($C736,MgActId,0)),"")</f>
        <v/>
      </c>
      <c r="N736" s="28">
        <f>IFERROR(INDEX(MgAmenDegD,MATCH(SUBSTITUTE($H736,"*","-"),MgAmenClave,0)),"No aplica")</f>
        <v/>
      </c>
      <c r="O736" s="28">
        <f>IFERROR(INDEX(MgAmenDegI,MATCH(SUBSTITUTE($H736,"*","-"),MgAmenClave,0)),"No aplica")</f>
        <v/>
      </c>
      <c r="P736" s="28">
        <f>IFERROR(INDEX(MgAmenDegC,MATCH(SUBSTITUTE($H736,"*","-"),MgAmenClave,0)),"No aplica")</f>
        <v/>
      </c>
      <c r="Q736" s="29">
        <f>IFERROR(VLOOKUP(K736,MgValor,2,0)*VLOOKUP(N736,MgDeg,2,0),0)</f>
        <v/>
      </c>
      <c r="R736" s="29">
        <f>IFERROR(VLOOKUP(L736,MgValor,2,0)*VLOOKUP(O736,MgDeg,2,0),0)</f>
        <v/>
      </c>
      <c r="S736" s="29">
        <f>IFERROR(VLOOKUP(M736,MgValor,2,0)*VLOOKUP(P736,MgDeg,2,0),0)</f>
        <v/>
      </c>
      <c r="T736" s="30">
        <f>MAX(Q736:S736)</f>
        <v/>
      </c>
      <c r="U736" s="28">
        <f>IFERROR(LOOKUP(T736,{0;0.5;1.5;3;4.5},{"Despreciable";"Bajo";"Medio";"Alto";"Muy alto"}),"")</f>
        <v/>
      </c>
      <c r="V736" s="13">
        <f>IFERROR(INDEX(MgAmenFrec,MATCH(SUBSTITUTE($H736,"*","-"),MgAmenClave,0)),"")</f>
        <v/>
      </c>
      <c r="W736" s="28">
        <f>IFERROR(LOOKUP(X736,{0;0.01;0.1;1;10;100},{"Muy baja";"Muy baja";"Baja";"Media";"Alta";"Muy alta"}),"")</f>
        <v/>
      </c>
      <c r="X736" s="31">
        <f>IFERROR(VLOOKUP(V736,MgFrec,2,0),0)</f>
        <v/>
      </c>
      <c r="Y736" s="30">
        <f>T736*X736</f>
        <v/>
      </c>
      <c r="Z736" s="28">
        <f>IFERROR(LOOKUP(Y736,{0;0.5;5;25},{"Bajo";"Medio";"Alto";"Crítico"}),"")</f>
        <v/>
      </c>
      <c r="AA736" s="64">
        <f>IF(T736&gt;=3,IF(X736&gt;=1,"Zona 1 — Crítica: impacto alto y ocurre al menos una vez al año","Zona 4 — Catastrófica poco probable: impacto alto pero excepcional"),IF(AND(T736&lt;1.5,X736&lt;1),"Zona 3 — Asumible: impacto bajo y muy poco frecuente","Zona 2 — Atención: riesgo intermedio"))</f>
        <v/>
      </c>
      <c r="AB736" s="64">
        <f>IFERROR(INDEX(MgAmenCtrl,MATCH(SUBSTITUTE($H736,"*","-"),MgAmenClave,0)),"")</f>
        <v/>
      </c>
      <c r="AC736" s="20" t="n"/>
      <c r="AD736" s="31">
        <f>IFERROR($X736*(1-IF($AC736="",$AL736,VLOOKUP($AC736,MgMad,2,0))),"")</f>
        <v/>
      </c>
      <c r="AE736" s="28">
        <f>IFERROR(LOOKUP(AD736,{0;0.01;0.1;1;10;100},{"Muy baja";"Muy baja";"Baja";"Media";"Alta";"Muy alta"}),"")</f>
        <v/>
      </c>
      <c r="AF736" s="30">
        <f>T736*AD736</f>
        <v/>
      </c>
      <c r="AG736" s="28">
        <f>IFERROR(LOOKUP(AF736,{0;0.5;5;25},{"Bajo";"Medio";"Alto";"Crítico"}),"")</f>
        <v/>
      </c>
      <c r="AH736" s="28">
        <f>IF(AG736="","",IF(OR(AG736="Crítico",AG736="Alto"),"Mitigar",IF(AG736="Medio","Mitigar","Aceptar y monitorear")))</f>
        <v/>
      </c>
      <c r="AI736" s="21" t="n"/>
      <c r="AJ736" s="21" t="n"/>
      <c r="AK736" s="20" t="n"/>
      <c r="AL736" s="77">
        <f>IFERROR(INDEX(MgAmenEfic,MATCH(SUBSTITUTE($H736,"*","-"),MgAmenClave,0)),0)</f>
        <v/>
      </c>
    </row>
    <row r="737" hidden="1" ht="120" customHeight="1" s="54">
      <c r="B737" s="59" t="inlineStr">
        <is>
          <t>R-0732</t>
        </is>
      </c>
      <c r="C737" s="59" t="inlineStr">
        <is>
          <t>LCO-05</t>
        </is>
      </c>
      <c r="D737" s="64">
        <f>IFERROR(INDEX(MgNombre,MATCH($C737,MgActId,0)),"")</f>
        <v/>
      </c>
      <c r="E737" s="64">
        <f>IFERROR(INDEX(MgProceso,MATCH($C737,MgActId,0)),"")</f>
        <v/>
      </c>
      <c r="F737" s="64">
        <f>IFERROR(INDEX(MgTipo,MATCH($C737,MgActId,0)),"")</f>
        <v/>
      </c>
      <c r="G737" s="64">
        <f>IFERROR(INDEX(MgSubtipo,MATCH($C737,MgActId,0)),"")</f>
        <v/>
      </c>
      <c r="H737" s="59" t="inlineStr">
        <is>
          <t>A.11</t>
        </is>
      </c>
      <c r="I737" s="64">
        <f>IFERROR(INDEX(MgAmenNombre,MATCH(SUBSTITUTE($H737,"*","-"),MgAmenClave,0)),"")</f>
        <v/>
      </c>
      <c r="J737" s="28">
        <f>IFERROR(INDEX(MgAmenGrupo,MATCH(SUBSTITUTE($H737,"*","-"),MgAmenClave,0)),"")</f>
        <v/>
      </c>
      <c r="K737" s="64">
        <f>IFERROR(INDEX('1. Matriz de Activos'!$Q$6:$Q$239,MATCH($C737,MgActId,0)),"")</f>
        <v/>
      </c>
      <c r="L737" s="64">
        <f>IFERROR(INDEX('1. Matriz de Activos'!$R$6:$R$239,MATCH($C737,MgActId,0)),"")</f>
        <v/>
      </c>
      <c r="M737" s="64">
        <f>IFERROR(INDEX('1. Matriz de Activos'!$S$6:$S$239,MATCH($C737,MgActId,0)),"")</f>
        <v/>
      </c>
      <c r="N737" s="28">
        <f>IFERROR(INDEX(MgAmenDegD,MATCH(SUBSTITUTE($H737,"*","-"),MgAmenClave,0)),"No aplica")</f>
        <v/>
      </c>
      <c r="O737" s="28">
        <f>IFERROR(INDEX(MgAmenDegI,MATCH(SUBSTITUTE($H737,"*","-"),MgAmenClave,0)),"No aplica")</f>
        <v/>
      </c>
      <c r="P737" s="28">
        <f>IFERROR(INDEX(MgAmenDegC,MATCH(SUBSTITUTE($H737,"*","-"),MgAmenClave,0)),"No aplica")</f>
        <v/>
      </c>
      <c r="Q737" s="29">
        <f>IFERROR(VLOOKUP(K737,MgValor,2,0)*VLOOKUP(N737,MgDeg,2,0),0)</f>
        <v/>
      </c>
      <c r="R737" s="29">
        <f>IFERROR(VLOOKUP(L737,MgValor,2,0)*VLOOKUP(O737,MgDeg,2,0),0)</f>
        <v/>
      </c>
      <c r="S737" s="29">
        <f>IFERROR(VLOOKUP(M737,MgValor,2,0)*VLOOKUP(P737,MgDeg,2,0),0)</f>
        <v/>
      </c>
      <c r="T737" s="30">
        <f>MAX(Q737:S737)</f>
        <v/>
      </c>
      <c r="U737" s="28">
        <f>IFERROR(LOOKUP(T737,{0;0.5;1.5;3;4.5},{"Despreciable";"Bajo";"Medio";"Alto";"Muy alto"}),"")</f>
        <v/>
      </c>
      <c r="V737" s="13">
        <f>IFERROR(INDEX(MgAmenFrec,MATCH(SUBSTITUTE($H737,"*","-"),MgAmenClave,0)),"")</f>
        <v/>
      </c>
      <c r="W737" s="28">
        <f>IFERROR(LOOKUP(X737,{0;0.01;0.1;1;10;100},{"Muy baja";"Muy baja";"Baja";"Media";"Alta";"Muy alta"}),"")</f>
        <v/>
      </c>
      <c r="X737" s="31">
        <f>IFERROR(VLOOKUP(V737,MgFrec,2,0),0)</f>
        <v/>
      </c>
      <c r="Y737" s="30">
        <f>T737*X737</f>
        <v/>
      </c>
      <c r="Z737" s="28">
        <f>IFERROR(LOOKUP(Y737,{0;0.5;5;25},{"Bajo";"Medio";"Alto";"Crítico"}),"")</f>
        <v/>
      </c>
      <c r="AA737" s="64">
        <f>IF(T737&gt;=3,IF(X737&gt;=1,"Zona 1 — Crítica: impacto alto y ocurre al menos una vez al año","Zona 4 — Catastrófica poco probable: impacto alto pero excepcional"),IF(AND(T737&lt;1.5,X737&lt;1),"Zona 3 — Asumible: impacto bajo y muy poco frecuente","Zona 2 — Atención: riesgo intermedio"))</f>
        <v/>
      </c>
      <c r="AB737" s="64">
        <f>IFERROR(INDEX(MgAmenCtrl,MATCH(SUBSTITUTE($H737,"*","-"),MgAmenClave,0)),"")</f>
        <v/>
      </c>
      <c r="AC737" s="20" t="n"/>
      <c r="AD737" s="31">
        <f>IFERROR($X737*(1-IF($AC737="",$AL737,VLOOKUP($AC737,MgMad,2,0))),"")</f>
        <v/>
      </c>
      <c r="AE737" s="28">
        <f>IFERROR(LOOKUP(AD737,{0;0.01;0.1;1;10;100},{"Muy baja";"Muy baja";"Baja";"Media";"Alta";"Muy alta"}),"")</f>
        <v/>
      </c>
      <c r="AF737" s="30">
        <f>T737*AD737</f>
        <v/>
      </c>
      <c r="AG737" s="28">
        <f>IFERROR(LOOKUP(AF737,{0;0.5;5;25},{"Bajo";"Medio";"Alto";"Crítico"}),"")</f>
        <v/>
      </c>
      <c r="AH737" s="28">
        <f>IF(AG737="","",IF(OR(AG737="Crítico",AG737="Alto"),"Mitigar",IF(AG737="Medio","Mitigar","Aceptar y monitorear")))</f>
        <v/>
      </c>
      <c r="AI737" s="21" t="n"/>
      <c r="AJ737" s="21" t="n"/>
      <c r="AK737" s="20" t="n"/>
      <c r="AL737" s="77">
        <f>IFERROR(INDEX(MgAmenEfic,MATCH(SUBSTITUTE($H737,"*","-"),MgAmenClave,0)),0)</f>
        <v/>
      </c>
    </row>
    <row r="738" hidden="1" ht="90" customHeight="1" s="54">
      <c r="B738" s="59" t="inlineStr">
        <is>
          <t>R-0733</t>
        </is>
      </c>
      <c r="C738" s="59" t="inlineStr">
        <is>
          <t>LCO-05</t>
        </is>
      </c>
      <c r="D738" s="64">
        <f>IFERROR(INDEX(MgNombre,MATCH($C738,MgActId,0)),"")</f>
        <v/>
      </c>
      <c r="E738" s="64">
        <f>IFERROR(INDEX(MgProceso,MATCH($C738,MgActId,0)),"")</f>
        <v/>
      </c>
      <c r="F738" s="64">
        <f>IFERROR(INDEX(MgTipo,MATCH($C738,MgActId,0)),"")</f>
        <v/>
      </c>
      <c r="G738" s="64">
        <f>IFERROR(INDEX(MgSubtipo,MATCH($C738,MgActId,0)),"")</f>
        <v/>
      </c>
      <c r="H738" s="59" t="inlineStr">
        <is>
          <t>A.13</t>
        </is>
      </c>
      <c r="I738" s="64">
        <f>IFERROR(INDEX(MgAmenNombre,MATCH(SUBSTITUTE($H738,"*","-"),MgAmenClave,0)),"")</f>
        <v/>
      </c>
      <c r="J738" s="28">
        <f>IFERROR(INDEX(MgAmenGrupo,MATCH(SUBSTITUTE($H738,"*","-"),MgAmenClave,0)),"")</f>
        <v/>
      </c>
      <c r="K738" s="64">
        <f>IFERROR(INDEX('1. Matriz de Activos'!$Q$6:$Q$239,MATCH($C738,MgActId,0)),"")</f>
        <v/>
      </c>
      <c r="L738" s="64">
        <f>IFERROR(INDEX('1. Matriz de Activos'!$R$6:$R$239,MATCH($C738,MgActId,0)),"")</f>
        <v/>
      </c>
      <c r="M738" s="64">
        <f>IFERROR(INDEX('1. Matriz de Activos'!$S$6:$S$239,MATCH($C738,MgActId,0)),"")</f>
        <v/>
      </c>
      <c r="N738" s="28">
        <f>IFERROR(INDEX(MgAmenDegD,MATCH(SUBSTITUTE($H738,"*","-"),MgAmenClave,0)),"No aplica")</f>
        <v/>
      </c>
      <c r="O738" s="28">
        <f>IFERROR(INDEX(MgAmenDegI,MATCH(SUBSTITUTE($H738,"*","-"),MgAmenClave,0)),"No aplica")</f>
        <v/>
      </c>
      <c r="P738" s="28">
        <f>IFERROR(INDEX(MgAmenDegC,MATCH(SUBSTITUTE($H738,"*","-"),MgAmenClave,0)),"No aplica")</f>
        <v/>
      </c>
      <c r="Q738" s="29">
        <f>IFERROR(VLOOKUP(K738,MgValor,2,0)*VLOOKUP(N738,MgDeg,2,0),0)</f>
        <v/>
      </c>
      <c r="R738" s="29">
        <f>IFERROR(VLOOKUP(L738,MgValor,2,0)*VLOOKUP(O738,MgDeg,2,0),0)</f>
        <v/>
      </c>
      <c r="S738" s="29">
        <f>IFERROR(VLOOKUP(M738,MgValor,2,0)*VLOOKUP(P738,MgDeg,2,0),0)</f>
        <v/>
      </c>
      <c r="T738" s="30">
        <f>MAX(Q738:S738)</f>
        <v/>
      </c>
      <c r="U738" s="28">
        <f>IFERROR(LOOKUP(T738,{0;0.5;1.5;3;4.5},{"Despreciable";"Bajo";"Medio";"Alto";"Muy alto"}),"")</f>
        <v/>
      </c>
      <c r="V738" s="13">
        <f>IFERROR(INDEX(MgAmenFrec,MATCH(SUBSTITUTE($H738,"*","-"),MgAmenClave,0)),"")</f>
        <v/>
      </c>
      <c r="W738" s="28">
        <f>IFERROR(LOOKUP(X738,{0;0.01;0.1;1;10;100},{"Muy baja";"Muy baja";"Baja";"Media";"Alta";"Muy alta"}),"")</f>
        <v/>
      </c>
      <c r="X738" s="31">
        <f>IFERROR(VLOOKUP(V738,MgFrec,2,0),0)</f>
        <v/>
      </c>
      <c r="Y738" s="30">
        <f>T738*X738</f>
        <v/>
      </c>
      <c r="Z738" s="28">
        <f>IFERROR(LOOKUP(Y738,{0;0.5;5;25},{"Bajo";"Medio";"Alto";"Crítico"}),"")</f>
        <v/>
      </c>
      <c r="AA738" s="64">
        <f>IF(T738&gt;=3,IF(X738&gt;=1,"Zona 1 — Crítica: impacto alto y ocurre al menos una vez al año","Zona 4 — Catastrófica poco probable: impacto alto pero excepcional"),IF(AND(T738&lt;1.5,X738&lt;1),"Zona 3 — Asumible: impacto bajo y muy poco frecuente","Zona 2 — Atención: riesgo intermedio"))</f>
        <v/>
      </c>
      <c r="AB738" s="64">
        <f>IFERROR(INDEX(MgAmenCtrl,MATCH(SUBSTITUTE($H738,"*","-"),MgAmenClave,0)),"")</f>
        <v/>
      </c>
      <c r="AC738" s="20" t="n"/>
      <c r="AD738" s="31">
        <f>IFERROR($X738*(1-IF($AC738="",$AL738,VLOOKUP($AC738,MgMad,2,0))),"")</f>
        <v/>
      </c>
      <c r="AE738" s="28">
        <f>IFERROR(LOOKUP(AD738,{0;0.01;0.1;1;10;100},{"Muy baja";"Muy baja";"Baja";"Media";"Alta";"Muy alta"}),"")</f>
        <v/>
      </c>
      <c r="AF738" s="30">
        <f>T738*AD738</f>
        <v/>
      </c>
      <c r="AG738" s="28">
        <f>IFERROR(LOOKUP(AF738,{0;0.5;5;25},{"Bajo";"Medio";"Alto";"Crítico"}),"")</f>
        <v/>
      </c>
      <c r="AH738" s="28">
        <f>IF(AG738="","",IF(OR(AG738="Crítico",AG738="Alto"),"Mitigar",IF(AG738="Medio","Mitigar","Aceptar y monitorear")))</f>
        <v/>
      </c>
      <c r="AI738" s="21" t="n"/>
      <c r="AJ738" s="21" t="n"/>
      <c r="AK738" s="20" t="n"/>
      <c r="AL738" s="77">
        <f>IFERROR(INDEX(MgAmenEfic,MATCH(SUBSTITUTE($H738,"*","-"),MgAmenClave,0)),0)</f>
        <v/>
      </c>
    </row>
    <row r="739" hidden="1" ht="60" customHeight="1" s="54">
      <c r="B739" s="59" t="inlineStr">
        <is>
          <t>R-0734</t>
        </is>
      </c>
      <c r="C739" s="59" t="inlineStr">
        <is>
          <t>LCO-05</t>
        </is>
      </c>
      <c r="D739" s="64">
        <f>IFERROR(INDEX(MgNombre,MATCH($C739,MgActId,0)),"")</f>
        <v/>
      </c>
      <c r="E739" s="64">
        <f>IFERROR(INDEX(MgProceso,MATCH($C739,MgActId,0)),"")</f>
        <v/>
      </c>
      <c r="F739" s="64">
        <f>IFERROR(INDEX(MgTipo,MATCH($C739,MgActId,0)),"")</f>
        <v/>
      </c>
      <c r="G739" s="64">
        <f>IFERROR(INDEX(MgSubtipo,MATCH($C739,MgActId,0)),"")</f>
        <v/>
      </c>
      <c r="H739" s="59" t="inlineStr">
        <is>
          <t>A.15</t>
        </is>
      </c>
      <c r="I739" s="64">
        <f>IFERROR(INDEX(MgAmenNombre,MATCH(SUBSTITUTE($H739,"*","-"),MgAmenClave,0)),"")</f>
        <v/>
      </c>
      <c r="J739" s="28">
        <f>IFERROR(INDEX(MgAmenGrupo,MATCH(SUBSTITUTE($H739,"*","-"),MgAmenClave,0)),"")</f>
        <v/>
      </c>
      <c r="K739" s="64">
        <f>IFERROR(INDEX('1. Matriz de Activos'!$Q$6:$Q$239,MATCH($C739,MgActId,0)),"")</f>
        <v/>
      </c>
      <c r="L739" s="64">
        <f>IFERROR(INDEX('1. Matriz de Activos'!$R$6:$R$239,MATCH($C739,MgActId,0)),"")</f>
        <v/>
      </c>
      <c r="M739" s="64">
        <f>IFERROR(INDEX('1. Matriz de Activos'!$S$6:$S$239,MATCH($C739,MgActId,0)),"")</f>
        <v/>
      </c>
      <c r="N739" s="28">
        <f>IFERROR(INDEX(MgAmenDegD,MATCH(SUBSTITUTE($H739,"*","-"),MgAmenClave,0)),"No aplica")</f>
        <v/>
      </c>
      <c r="O739" s="28">
        <f>IFERROR(INDEX(MgAmenDegI,MATCH(SUBSTITUTE($H739,"*","-"),MgAmenClave,0)),"No aplica")</f>
        <v/>
      </c>
      <c r="P739" s="28">
        <f>IFERROR(INDEX(MgAmenDegC,MATCH(SUBSTITUTE($H739,"*","-"),MgAmenClave,0)),"No aplica")</f>
        <v/>
      </c>
      <c r="Q739" s="29">
        <f>IFERROR(VLOOKUP(K739,MgValor,2,0)*VLOOKUP(N739,MgDeg,2,0),0)</f>
        <v/>
      </c>
      <c r="R739" s="29">
        <f>IFERROR(VLOOKUP(L739,MgValor,2,0)*VLOOKUP(O739,MgDeg,2,0),0)</f>
        <v/>
      </c>
      <c r="S739" s="29">
        <f>IFERROR(VLOOKUP(M739,MgValor,2,0)*VLOOKUP(P739,MgDeg,2,0),0)</f>
        <v/>
      </c>
      <c r="T739" s="30">
        <f>MAX(Q739:S739)</f>
        <v/>
      </c>
      <c r="U739" s="28">
        <f>IFERROR(LOOKUP(T739,{0;0.5;1.5;3;4.5},{"Despreciable";"Bajo";"Medio";"Alto";"Muy alto"}),"")</f>
        <v/>
      </c>
      <c r="V739" s="13">
        <f>IFERROR(INDEX(MgAmenFrec,MATCH(SUBSTITUTE($H739,"*","-"),MgAmenClave,0)),"")</f>
        <v/>
      </c>
      <c r="W739" s="28">
        <f>IFERROR(LOOKUP(X739,{0;0.01;0.1;1;10;100},{"Muy baja";"Muy baja";"Baja";"Media";"Alta";"Muy alta"}),"")</f>
        <v/>
      </c>
      <c r="X739" s="31">
        <f>IFERROR(VLOOKUP(V739,MgFrec,2,0),0)</f>
        <v/>
      </c>
      <c r="Y739" s="30">
        <f>T739*X739</f>
        <v/>
      </c>
      <c r="Z739" s="28">
        <f>IFERROR(LOOKUP(Y739,{0;0.5;5;25},{"Bajo";"Medio";"Alto";"Crítico"}),"")</f>
        <v/>
      </c>
      <c r="AA739" s="64">
        <f>IF(T739&gt;=3,IF(X739&gt;=1,"Zona 1 — Crítica: impacto alto y ocurre al menos una vez al año","Zona 4 — Catastrófica poco probable: impacto alto pero excepcional"),IF(AND(T739&lt;1.5,X739&lt;1),"Zona 3 — Asumible: impacto bajo y muy poco frecuente","Zona 2 — Atención: riesgo intermedio"))</f>
        <v/>
      </c>
      <c r="AB739" s="64">
        <f>IFERROR(INDEX(MgAmenCtrl,MATCH(SUBSTITUTE($H739,"*","-"),MgAmenClave,0)),"")</f>
        <v/>
      </c>
      <c r="AC739" s="20" t="n"/>
      <c r="AD739" s="31">
        <f>IFERROR($X739*(1-IF($AC739="",$AL739,VLOOKUP($AC739,MgMad,2,0))),"")</f>
        <v/>
      </c>
      <c r="AE739" s="28">
        <f>IFERROR(LOOKUP(AD739,{0;0.01;0.1;1;10;100},{"Muy baja";"Muy baja";"Baja";"Media";"Alta";"Muy alta"}),"")</f>
        <v/>
      </c>
      <c r="AF739" s="30">
        <f>T739*AD739</f>
        <v/>
      </c>
      <c r="AG739" s="28">
        <f>IFERROR(LOOKUP(AF739,{0;0.5;5;25},{"Bajo";"Medio";"Alto";"Crítico"}),"")</f>
        <v/>
      </c>
      <c r="AH739" s="28">
        <f>IF(AG739="","",IF(OR(AG739="Crítico",AG739="Alto"),"Mitigar",IF(AG739="Medio","Mitigar","Aceptar y monitorear")))</f>
        <v/>
      </c>
      <c r="AI739" s="21" t="n"/>
      <c r="AJ739" s="21" t="n"/>
      <c r="AK739" s="20" t="n"/>
      <c r="AL739" s="77">
        <f>IFERROR(INDEX(MgAmenEfic,MATCH(SUBSTITUTE($H739,"*","-"),MgAmenClave,0)),0)</f>
        <v/>
      </c>
    </row>
    <row r="740" hidden="1" ht="60" customHeight="1" s="54">
      <c r="B740" s="59" t="inlineStr">
        <is>
          <t>R-0735</t>
        </is>
      </c>
      <c r="C740" s="59" t="inlineStr">
        <is>
          <t>LCO-05</t>
        </is>
      </c>
      <c r="D740" s="64">
        <f>IFERROR(INDEX(MgNombre,MATCH($C740,MgActId,0)),"")</f>
        <v/>
      </c>
      <c r="E740" s="64">
        <f>IFERROR(INDEX(MgProceso,MATCH($C740,MgActId,0)),"")</f>
        <v/>
      </c>
      <c r="F740" s="64">
        <f>IFERROR(INDEX(MgTipo,MATCH($C740,MgActId,0)),"")</f>
        <v/>
      </c>
      <c r="G740" s="64">
        <f>IFERROR(INDEX(MgSubtipo,MATCH($C740,MgActId,0)),"")</f>
        <v/>
      </c>
      <c r="H740" s="59" t="inlineStr">
        <is>
          <t>A.18</t>
        </is>
      </c>
      <c r="I740" s="64">
        <f>IFERROR(INDEX(MgAmenNombre,MATCH(SUBSTITUTE($H740,"*","-"),MgAmenClave,0)),"")</f>
        <v/>
      </c>
      <c r="J740" s="28">
        <f>IFERROR(INDEX(MgAmenGrupo,MATCH(SUBSTITUTE($H740,"*","-"),MgAmenClave,0)),"")</f>
        <v/>
      </c>
      <c r="K740" s="64">
        <f>IFERROR(INDEX('1. Matriz de Activos'!$Q$6:$Q$239,MATCH($C740,MgActId,0)),"")</f>
        <v/>
      </c>
      <c r="L740" s="64">
        <f>IFERROR(INDEX('1. Matriz de Activos'!$R$6:$R$239,MATCH($C740,MgActId,0)),"")</f>
        <v/>
      </c>
      <c r="M740" s="64">
        <f>IFERROR(INDEX('1. Matriz de Activos'!$S$6:$S$239,MATCH($C740,MgActId,0)),"")</f>
        <v/>
      </c>
      <c r="N740" s="28">
        <f>IFERROR(INDEX(MgAmenDegD,MATCH(SUBSTITUTE($H740,"*","-"),MgAmenClave,0)),"No aplica")</f>
        <v/>
      </c>
      <c r="O740" s="28">
        <f>IFERROR(INDEX(MgAmenDegI,MATCH(SUBSTITUTE($H740,"*","-"),MgAmenClave,0)),"No aplica")</f>
        <v/>
      </c>
      <c r="P740" s="28">
        <f>IFERROR(INDEX(MgAmenDegC,MATCH(SUBSTITUTE($H740,"*","-"),MgAmenClave,0)),"No aplica")</f>
        <v/>
      </c>
      <c r="Q740" s="29">
        <f>IFERROR(VLOOKUP(K740,MgValor,2,0)*VLOOKUP(N740,MgDeg,2,0),0)</f>
        <v/>
      </c>
      <c r="R740" s="29">
        <f>IFERROR(VLOOKUP(L740,MgValor,2,0)*VLOOKUP(O740,MgDeg,2,0),0)</f>
        <v/>
      </c>
      <c r="S740" s="29">
        <f>IFERROR(VLOOKUP(M740,MgValor,2,0)*VLOOKUP(P740,MgDeg,2,0),0)</f>
        <v/>
      </c>
      <c r="T740" s="30">
        <f>MAX(Q740:S740)</f>
        <v/>
      </c>
      <c r="U740" s="28">
        <f>IFERROR(LOOKUP(T740,{0;0.5;1.5;3;4.5},{"Despreciable";"Bajo";"Medio";"Alto";"Muy alto"}),"")</f>
        <v/>
      </c>
      <c r="V740" s="13">
        <f>IFERROR(INDEX(MgAmenFrec,MATCH(SUBSTITUTE($H740,"*","-"),MgAmenClave,0)),"")</f>
        <v/>
      </c>
      <c r="W740" s="28">
        <f>IFERROR(LOOKUP(X740,{0;0.01;0.1;1;10;100},{"Muy baja";"Muy baja";"Baja";"Media";"Alta";"Muy alta"}),"")</f>
        <v/>
      </c>
      <c r="X740" s="31">
        <f>IFERROR(VLOOKUP(V740,MgFrec,2,0),0)</f>
        <v/>
      </c>
      <c r="Y740" s="30">
        <f>T740*X740</f>
        <v/>
      </c>
      <c r="Z740" s="28">
        <f>IFERROR(LOOKUP(Y740,{0;0.5;5;25},{"Bajo";"Medio";"Alto";"Crítico"}),"")</f>
        <v/>
      </c>
      <c r="AA740" s="64">
        <f>IF(T740&gt;=3,IF(X740&gt;=1,"Zona 1 — Crítica: impacto alto y ocurre al menos una vez al año","Zona 4 — Catastrófica poco probable: impacto alto pero excepcional"),IF(AND(T740&lt;1.5,X740&lt;1),"Zona 3 — Asumible: impacto bajo y muy poco frecuente","Zona 2 — Atención: riesgo intermedio"))</f>
        <v/>
      </c>
      <c r="AB740" s="64">
        <f>IFERROR(INDEX(MgAmenCtrl,MATCH(SUBSTITUTE($H740,"*","-"),MgAmenClave,0)),"")</f>
        <v/>
      </c>
      <c r="AC740" s="20" t="n"/>
      <c r="AD740" s="31">
        <f>IFERROR($X740*(1-IF($AC740="",$AL740,VLOOKUP($AC740,MgMad,2,0))),"")</f>
        <v/>
      </c>
      <c r="AE740" s="28">
        <f>IFERROR(LOOKUP(AD740,{0;0.01;0.1;1;10;100},{"Muy baja";"Muy baja";"Baja";"Media";"Alta";"Muy alta"}),"")</f>
        <v/>
      </c>
      <c r="AF740" s="30">
        <f>T740*AD740</f>
        <v/>
      </c>
      <c r="AG740" s="28">
        <f>IFERROR(LOOKUP(AF740,{0;0.5;5;25},{"Bajo";"Medio";"Alto";"Crítico"}),"")</f>
        <v/>
      </c>
      <c r="AH740" s="28">
        <f>IF(AG740="","",IF(OR(AG740="Crítico",AG740="Alto"),"Mitigar",IF(AG740="Medio","Mitigar","Aceptar y monitorear")))</f>
        <v/>
      </c>
      <c r="AI740" s="21" t="n"/>
      <c r="AJ740" s="21" t="n"/>
      <c r="AK740" s="20" t="n"/>
      <c r="AL740" s="77">
        <f>IFERROR(INDEX(MgAmenEfic,MATCH(SUBSTITUTE($H740,"*","-"),MgAmenClave,0)),0)</f>
        <v/>
      </c>
    </row>
    <row r="741" hidden="1" ht="120" customHeight="1" s="54">
      <c r="B741" s="59" t="inlineStr">
        <is>
          <t>R-0736</t>
        </is>
      </c>
      <c r="C741" s="59" t="inlineStr">
        <is>
          <t>LCO-05</t>
        </is>
      </c>
      <c r="D741" s="64">
        <f>IFERROR(INDEX(MgNombre,MATCH($C741,MgActId,0)),"")</f>
        <v/>
      </c>
      <c r="E741" s="64">
        <f>IFERROR(INDEX(MgProceso,MATCH($C741,MgActId,0)),"")</f>
        <v/>
      </c>
      <c r="F741" s="64">
        <f>IFERROR(INDEX(MgTipo,MATCH($C741,MgActId,0)),"")</f>
        <v/>
      </c>
      <c r="G741" s="64">
        <f>IFERROR(INDEX(MgSubtipo,MATCH($C741,MgActId,0)),"")</f>
        <v/>
      </c>
      <c r="H741" s="59" t="inlineStr">
        <is>
          <t>A.19</t>
        </is>
      </c>
      <c r="I741" s="64">
        <f>IFERROR(INDEX(MgAmenNombre,MATCH(SUBSTITUTE($H741,"*","-"),MgAmenClave,0)),"")</f>
        <v/>
      </c>
      <c r="J741" s="28">
        <f>IFERROR(INDEX(MgAmenGrupo,MATCH(SUBSTITUTE($H741,"*","-"),MgAmenClave,0)),"")</f>
        <v/>
      </c>
      <c r="K741" s="64">
        <f>IFERROR(INDEX('1. Matriz de Activos'!$Q$6:$Q$239,MATCH($C741,MgActId,0)),"")</f>
        <v/>
      </c>
      <c r="L741" s="64">
        <f>IFERROR(INDEX('1. Matriz de Activos'!$R$6:$R$239,MATCH($C741,MgActId,0)),"")</f>
        <v/>
      </c>
      <c r="M741" s="64">
        <f>IFERROR(INDEX('1. Matriz de Activos'!$S$6:$S$239,MATCH($C741,MgActId,0)),"")</f>
        <v/>
      </c>
      <c r="N741" s="28">
        <f>IFERROR(INDEX(MgAmenDegD,MATCH(SUBSTITUTE($H741,"*","-"),MgAmenClave,0)),"No aplica")</f>
        <v/>
      </c>
      <c r="O741" s="28">
        <f>IFERROR(INDEX(MgAmenDegI,MATCH(SUBSTITUTE($H741,"*","-"),MgAmenClave,0)),"No aplica")</f>
        <v/>
      </c>
      <c r="P741" s="28">
        <f>IFERROR(INDEX(MgAmenDegC,MATCH(SUBSTITUTE($H741,"*","-"),MgAmenClave,0)),"No aplica")</f>
        <v/>
      </c>
      <c r="Q741" s="29">
        <f>IFERROR(VLOOKUP(K741,MgValor,2,0)*VLOOKUP(N741,MgDeg,2,0),0)</f>
        <v/>
      </c>
      <c r="R741" s="29">
        <f>IFERROR(VLOOKUP(L741,MgValor,2,0)*VLOOKUP(O741,MgDeg,2,0),0)</f>
        <v/>
      </c>
      <c r="S741" s="29">
        <f>IFERROR(VLOOKUP(M741,MgValor,2,0)*VLOOKUP(P741,MgDeg,2,0),0)</f>
        <v/>
      </c>
      <c r="T741" s="30">
        <f>MAX(Q741:S741)</f>
        <v/>
      </c>
      <c r="U741" s="28">
        <f>IFERROR(LOOKUP(T741,{0;0.5;1.5;3;4.5},{"Despreciable";"Bajo";"Medio";"Alto";"Muy alto"}),"")</f>
        <v/>
      </c>
      <c r="V741" s="13">
        <f>IFERROR(INDEX(MgAmenFrec,MATCH(SUBSTITUTE($H741,"*","-"),MgAmenClave,0)),"")</f>
        <v/>
      </c>
      <c r="W741" s="28">
        <f>IFERROR(LOOKUP(X741,{0;0.01;0.1;1;10;100},{"Muy baja";"Muy baja";"Baja";"Media";"Alta";"Muy alta"}),"")</f>
        <v/>
      </c>
      <c r="X741" s="31">
        <f>IFERROR(VLOOKUP(V741,MgFrec,2,0),0)</f>
        <v/>
      </c>
      <c r="Y741" s="30">
        <f>T741*X741</f>
        <v/>
      </c>
      <c r="Z741" s="28">
        <f>IFERROR(LOOKUP(Y741,{0;0.5;5;25},{"Bajo";"Medio";"Alto";"Crítico"}),"")</f>
        <v/>
      </c>
      <c r="AA741" s="64">
        <f>IF(T741&gt;=3,IF(X741&gt;=1,"Zona 1 — Crítica: impacto alto y ocurre al menos una vez al año","Zona 4 — Catastrófica poco probable: impacto alto pero excepcional"),IF(AND(T741&lt;1.5,X741&lt;1),"Zona 3 — Asumible: impacto bajo y muy poco frecuente","Zona 2 — Atención: riesgo intermedio"))</f>
        <v/>
      </c>
      <c r="AB741" s="64">
        <f>IFERROR(INDEX(MgAmenCtrl,MATCH(SUBSTITUTE($H741,"*","-"),MgAmenClave,0)),"")</f>
        <v/>
      </c>
      <c r="AC741" s="20" t="n"/>
      <c r="AD741" s="31">
        <f>IFERROR($X741*(1-IF($AC741="",$AL741,VLOOKUP($AC741,MgMad,2,0))),"")</f>
        <v/>
      </c>
      <c r="AE741" s="28">
        <f>IFERROR(LOOKUP(AD741,{0;0.01;0.1;1;10;100},{"Muy baja";"Muy baja";"Baja";"Media";"Alta";"Muy alta"}),"")</f>
        <v/>
      </c>
      <c r="AF741" s="30">
        <f>T741*AD741</f>
        <v/>
      </c>
      <c r="AG741" s="28">
        <f>IFERROR(LOOKUP(AF741,{0;0.5;5;25},{"Bajo";"Medio";"Alto";"Crítico"}),"")</f>
        <v/>
      </c>
      <c r="AH741" s="28">
        <f>IF(AG741="","",IF(OR(AG741="Crítico",AG741="Alto"),"Mitigar",IF(AG741="Medio","Mitigar","Aceptar y monitorear")))</f>
        <v/>
      </c>
      <c r="AI741" s="21" t="n"/>
      <c r="AJ741" s="21" t="n"/>
      <c r="AK741" s="20" t="n"/>
      <c r="AL741" s="77">
        <f>IFERROR(INDEX(MgAmenEfic,MATCH(SUBSTITUTE($H741,"*","-"),MgAmenClave,0)),0)</f>
        <v/>
      </c>
    </row>
    <row r="742" hidden="1" ht="105" customHeight="1" s="54">
      <c r="B742" s="59" t="inlineStr">
        <is>
          <t>R-0737</t>
        </is>
      </c>
      <c r="C742" s="59" t="inlineStr">
        <is>
          <t>FIN-10</t>
        </is>
      </c>
      <c r="D742" s="64">
        <f>IFERROR(INDEX(MgNombre,MATCH($C742,MgActId,0)),"")</f>
        <v/>
      </c>
      <c r="E742" s="64">
        <f>IFERROR(INDEX(MgProceso,MATCH($C742,MgActId,0)),"")</f>
        <v/>
      </c>
      <c r="F742" s="64">
        <f>IFERROR(INDEX(MgTipo,MATCH($C742,MgActId,0)),"")</f>
        <v/>
      </c>
      <c r="G742" s="64">
        <f>IFERROR(INDEX(MgSubtipo,MATCH($C742,MgActId,0)),"")</f>
        <v/>
      </c>
      <c r="H742" s="59" t="inlineStr">
        <is>
          <t>E.1</t>
        </is>
      </c>
      <c r="I742" s="64">
        <f>IFERROR(INDEX(MgAmenNombre,MATCH(SUBSTITUTE($H742,"*","-"),MgAmenClave,0)),"")</f>
        <v/>
      </c>
      <c r="J742" s="28">
        <f>IFERROR(INDEX(MgAmenGrupo,MATCH(SUBSTITUTE($H742,"*","-"),MgAmenClave,0)),"")</f>
        <v/>
      </c>
      <c r="K742" s="64">
        <f>IFERROR(INDEX('1. Matriz de Activos'!$Q$6:$Q$239,MATCH($C742,MgActId,0)),"")</f>
        <v/>
      </c>
      <c r="L742" s="64">
        <f>IFERROR(INDEX('1. Matriz de Activos'!$R$6:$R$239,MATCH($C742,MgActId,0)),"")</f>
        <v/>
      </c>
      <c r="M742" s="64">
        <f>IFERROR(INDEX('1. Matriz de Activos'!$S$6:$S$239,MATCH($C742,MgActId,0)),"")</f>
        <v/>
      </c>
      <c r="N742" s="28">
        <f>IFERROR(INDEX(MgAmenDegD,MATCH(SUBSTITUTE($H742,"*","-"),MgAmenClave,0)),"No aplica")</f>
        <v/>
      </c>
      <c r="O742" s="28">
        <f>IFERROR(INDEX(MgAmenDegI,MATCH(SUBSTITUTE($H742,"*","-"),MgAmenClave,0)),"No aplica")</f>
        <v/>
      </c>
      <c r="P742" s="28">
        <f>IFERROR(INDEX(MgAmenDegC,MATCH(SUBSTITUTE($H742,"*","-"),MgAmenClave,0)),"No aplica")</f>
        <v/>
      </c>
      <c r="Q742" s="29">
        <f>IFERROR(VLOOKUP(K742,MgValor,2,0)*VLOOKUP(N742,MgDeg,2,0),0)</f>
        <v/>
      </c>
      <c r="R742" s="29">
        <f>IFERROR(VLOOKUP(L742,MgValor,2,0)*VLOOKUP(O742,MgDeg,2,0),0)</f>
        <v/>
      </c>
      <c r="S742" s="29">
        <f>IFERROR(VLOOKUP(M742,MgValor,2,0)*VLOOKUP(P742,MgDeg,2,0),0)</f>
        <v/>
      </c>
      <c r="T742" s="30">
        <f>MAX(Q742:S742)</f>
        <v/>
      </c>
      <c r="U742" s="28">
        <f>IFERROR(LOOKUP(T742,{0;0.5;1.5;3;4.5},{"Despreciable";"Bajo";"Medio";"Alto";"Muy alto"}),"")</f>
        <v/>
      </c>
      <c r="V742" s="13">
        <f>IFERROR(INDEX(MgAmenFrec,MATCH(SUBSTITUTE($H742,"*","-"),MgAmenClave,0)),"")</f>
        <v/>
      </c>
      <c r="W742" s="28">
        <f>IFERROR(LOOKUP(X742,{0;0.01;0.1;1;10;100},{"Muy baja";"Muy baja";"Baja";"Media";"Alta";"Muy alta"}),"")</f>
        <v/>
      </c>
      <c r="X742" s="31">
        <f>IFERROR(VLOOKUP(V742,MgFrec,2,0),0)</f>
        <v/>
      </c>
      <c r="Y742" s="30">
        <f>T742*X742</f>
        <v/>
      </c>
      <c r="Z742" s="28">
        <f>IFERROR(LOOKUP(Y742,{0;0.5;5;25},{"Bajo";"Medio";"Alto";"Crítico"}),"")</f>
        <v/>
      </c>
      <c r="AA742" s="64">
        <f>IF(T742&gt;=3,IF(X742&gt;=1,"Zona 1 — Crítica: impacto alto y ocurre al menos una vez al año","Zona 4 — Catastrófica poco probable: impacto alto pero excepcional"),IF(AND(T742&lt;1.5,X742&lt;1),"Zona 3 — Asumible: impacto bajo y muy poco frecuente","Zona 2 — Atención: riesgo intermedio"))</f>
        <v/>
      </c>
      <c r="AB742" s="64">
        <f>IFERROR(INDEX(MgAmenCtrl,MATCH(SUBSTITUTE($H742,"*","-"),MgAmenClave,0)),"")</f>
        <v/>
      </c>
      <c r="AC742" s="20" t="n"/>
      <c r="AD742" s="31">
        <f>IFERROR($X742*(1-IF($AC742="",$AL742,VLOOKUP($AC742,MgMad,2,0))),"")</f>
        <v/>
      </c>
      <c r="AE742" s="28">
        <f>IFERROR(LOOKUP(AD742,{0;0.01;0.1;1;10;100},{"Muy baja";"Muy baja";"Baja";"Media";"Alta";"Muy alta"}),"")</f>
        <v/>
      </c>
      <c r="AF742" s="30">
        <f>T742*AD742</f>
        <v/>
      </c>
      <c r="AG742" s="28">
        <f>IFERROR(LOOKUP(AF742,{0;0.5;5;25},{"Bajo";"Medio";"Alto";"Crítico"}),"")</f>
        <v/>
      </c>
      <c r="AH742" s="28">
        <f>IF(AG742="","",IF(OR(AG742="Crítico",AG742="Alto"),"Mitigar",IF(AG742="Medio","Mitigar","Aceptar y monitorear")))</f>
        <v/>
      </c>
      <c r="AI742" s="21" t="n"/>
      <c r="AJ742" s="21" t="n"/>
      <c r="AK742" s="20" t="n"/>
      <c r="AL742" s="77">
        <f>IFERROR(INDEX(MgAmenEfic,MATCH(SUBSTITUTE($H742,"*","-"),MgAmenClave,0)),0)</f>
        <v/>
      </c>
    </row>
    <row r="743" hidden="1" ht="120" customHeight="1" s="54">
      <c r="B743" s="59" t="inlineStr">
        <is>
          <t>R-0738</t>
        </is>
      </c>
      <c r="C743" s="59" t="inlineStr">
        <is>
          <t>FIN-10</t>
        </is>
      </c>
      <c r="D743" s="64">
        <f>IFERROR(INDEX(MgNombre,MATCH($C743,MgActId,0)),"")</f>
        <v/>
      </c>
      <c r="E743" s="64">
        <f>IFERROR(INDEX(MgProceso,MATCH($C743,MgActId,0)),"")</f>
        <v/>
      </c>
      <c r="F743" s="64">
        <f>IFERROR(INDEX(MgTipo,MATCH($C743,MgActId,0)),"")</f>
        <v/>
      </c>
      <c r="G743" s="64">
        <f>IFERROR(INDEX(MgSubtipo,MATCH($C743,MgActId,0)),"")</f>
        <v/>
      </c>
      <c r="H743" s="59" t="inlineStr">
        <is>
          <t>E.2</t>
        </is>
      </c>
      <c r="I743" s="64">
        <f>IFERROR(INDEX(MgAmenNombre,MATCH(SUBSTITUTE($H743,"*","-"),MgAmenClave,0)),"")</f>
        <v/>
      </c>
      <c r="J743" s="28">
        <f>IFERROR(INDEX(MgAmenGrupo,MATCH(SUBSTITUTE($H743,"*","-"),MgAmenClave,0)),"")</f>
        <v/>
      </c>
      <c r="K743" s="64">
        <f>IFERROR(INDEX('1. Matriz de Activos'!$Q$6:$Q$239,MATCH($C743,MgActId,0)),"")</f>
        <v/>
      </c>
      <c r="L743" s="64">
        <f>IFERROR(INDEX('1. Matriz de Activos'!$R$6:$R$239,MATCH($C743,MgActId,0)),"")</f>
        <v/>
      </c>
      <c r="M743" s="64">
        <f>IFERROR(INDEX('1. Matriz de Activos'!$S$6:$S$239,MATCH($C743,MgActId,0)),"")</f>
        <v/>
      </c>
      <c r="N743" s="28">
        <f>IFERROR(INDEX(MgAmenDegD,MATCH(SUBSTITUTE($H743,"*","-"),MgAmenClave,0)),"No aplica")</f>
        <v/>
      </c>
      <c r="O743" s="28">
        <f>IFERROR(INDEX(MgAmenDegI,MATCH(SUBSTITUTE($H743,"*","-"),MgAmenClave,0)),"No aplica")</f>
        <v/>
      </c>
      <c r="P743" s="28">
        <f>IFERROR(INDEX(MgAmenDegC,MATCH(SUBSTITUTE($H743,"*","-"),MgAmenClave,0)),"No aplica")</f>
        <v/>
      </c>
      <c r="Q743" s="29">
        <f>IFERROR(VLOOKUP(K743,MgValor,2,0)*VLOOKUP(N743,MgDeg,2,0),0)</f>
        <v/>
      </c>
      <c r="R743" s="29">
        <f>IFERROR(VLOOKUP(L743,MgValor,2,0)*VLOOKUP(O743,MgDeg,2,0),0)</f>
        <v/>
      </c>
      <c r="S743" s="29">
        <f>IFERROR(VLOOKUP(M743,MgValor,2,0)*VLOOKUP(P743,MgDeg,2,0),0)</f>
        <v/>
      </c>
      <c r="T743" s="30">
        <f>MAX(Q743:S743)</f>
        <v/>
      </c>
      <c r="U743" s="28">
        <f>IFERROR(LOOKUP(T743,{0;0.5;1.5;3;4.5},{"Despreciable";"Bajo";"Medio";"Alto";"Muy alto"}),"")</f>
        <v/>
      </c>
      <c r="V743" s="13">
        <f>IFERROR(INDEX(MgAmenFrec,MATCH(SUBSTITUTE($H743,"*","-"),MgAmenClave,0)),"")</f>
        <v/>
      </c>
      <c r="W743" s="28">
        <f>IFERROR(LOOKUP(X743,{0;0.01;0.1;1;10;100},{"Muy baja";"Muy baja";"Baja";"Media";"Alta";"Muy alta"}),"")</f>
        <v/>
      </c>
      <c r="X743" s="31">
        <f>IFERROR(VLOOKUP(V743,MgFrec,2,0),0)</f>
        <v/>
      </c>
      <c r="Y743" s="30">
        <f>T743*X743</f>
        <v/>
      </c>
      <c r="Z743" s="28">
        <f>IFERROR(LOOKUP(Y743,{0;0.5;5;25},{"Bajo";"Medio";"Alto";"Crítico"}),"")</f>
        <v/>
      </c>
      <c r="AA743" s="64">
        <f>IF(T743&gt;=3,IF(X743&gt;=1,"Zona 1 — Crítica: impacto alto y ocurre al menos una vez al año","Zona 4 — Catastrófica poco probable: impacto alto pero excepcional"),IF(AND(T743&lt;1.5,X743&lt;1),"Zona 3 — Asumible: impacto bajo y muy poco frecuente","Zona 2 — Atención: riesgo intermedio"))</f>
        <v/>
      </c>
      <c r="AB743" s="64">
        <f>IFERROR(INDEX(MgAmenCtrl,MATCH(SUBSTITUTE($H743,"*","-"),MgAmenClave,0)),"")</f>
        <v/>
      </c>
      <c r="AC743" s="20" t="n"/>
      <c r="AD743" s="31">
        <f>IFERROR($X743*(1-IF($AC743="",$AL743,VLOOKUP($AC743,MgMad,2,0))),"")</f>
        <v/>
      </c>
      <c r="AE743" s="28">
        <f>IFERROR(LOOKUP(AD743,{0;0.01;0.1;1;10;100},{"Muy baja";"Muy baja";"Baja";"Media";"Alta";"Muy alta"}),"")</f>
        <v/>
      </c>
      <c r="AF743" s="30">
        <f>T743*AD743</f>
        <v/>
      </c>
      <c r="AG743" s="28">
        <f>IFERROR(LOOKUP(AF743,{0;0.5;5;25},{"Bajo";"Medio";"Alto";"Crítico"}),"")</f>
        <v/>
      </c>
      <c r="AH743" s="28">
        <f>IF(AG743="","",IF(OR(AG743="Crítico",AG743="Alto"),"Mitigar",IF(AG743="Medio","Mitigar","Aceptar y monitorear")))</f>
        <v/>
      </c>
      <c r="AI743" s="21" t="n"/>
      <c r="AJ743" s="21" t="n"/>
      <c r="AK743" s="20" t="n"/>
      <c r="AL743" s="77">
        <f>IFERROR(INDEX(MgAmenEfic,MATCH(SUBSTITUTE($H743,"*","-"),MgAmenClave,0)),0)</f>
        <v/>
      </c>
    </row>
    <row r="744" hidden="1" ht="75" customHeight="1" s="54">
      <c r="B744" s="59" t="inlineStr">
        <is>
          <t>R-0739</t>
        </is>
      </c>
      <c r="C744" s="59" t="inlineStr">
        <is>
          <t>FIN-10</t>
        </is>
      </c>
      <c r="D744" s="64">
        <f>IFERROR(INDEX(MgNombre,MATCH($C744,MgActId,0)),"")</f>
        <v/>
      </c>
      <c r="E744" s="64">
        <f>IFERROR(INDEX(MgProceso,MATCH($C744,MgActId,0)),"")</f>
        <v/>
      </c>
      <c r="F744" s="64">
        <f>IFERROR(INDEX(MgTipo,MATCH($C744,MgActId,0)),"")</f>
        <v/>
      </c>
      <c r="G744" s="64">
        <f>IFERROR(INDEX(MgSubtipo,MATCH($C744,MgActId,0)),"")</f>
        <v/>
      </c>
      <c r="H744" s="59" t="inlineStr">
        <is>
          <t>E.3</t>
        </is>
      </c>
      <c r="I744" s="64">
        <f>IFERROR(INDEX(MgAmenNombre,MATCH(SUBSTITUTE($H744,"*","-"),MgAmenClave,0)),"")</f>
        <v/>
      </c>
      <c r="J744" s="28">
        <f>IFERROR(INDEX(MgAmenGrupo,MATCH(SUBSTITUTE($H744,"*","-"),MgAmenClave,0)),"")</f>
        <v/>
      </c>
      <c r="K744" s="64">
        <f>IFERROR(INDEX('1. Matriz de Activos'!$Q$6:$Q$239,MATCH($C744,MgActId,0)),"")</f>
        <v/>
      </c>
      <c r="L744" s="64">
        <f>IFERROR(INDEX('1. Matriz de Activos'!$R$6:$R$239,MATCH($C744,MgActId,0)),"")</f>
        <v/>
      </c>
      <c r="M744" s="64">
        <f>IFERROR(INDEX('1. Matriz de Activos'!$S$6:$S$239,MATCH($C744,MgActId,0)),"")</f>
        <v/>
      </c>
      <c r="N744" s="28">
        <f>IFERROR(INDEX(MgAmenDegD,MATCH(SUBSTITUTE($H744,"*","-"),MgAmenClave,0)),"No aplica")</f>
        <v/>
      </c>
      <c r="O744" s="28">
        <f>IFERROR(INDEX(MgAmenDegI,MATCH(SUBSTITUTE($H744,"*","-"),MgAmenClave,0)),"No aplica")</f>
        <v/>
      </c>
      <c r="P744" s="28">
        <f>IFERROR(INDEX(MgAmenDegC,MATCH(SUBSTITUTE($H744,"*","-"),MgAmenClave,0)),"No aplica")</f>
        <v/>
      </c>
      <c r="Q744" s="29">
        <f>IFERROR(VLOOKUP(K744,MgValor,2,0)*VLOOKUP(N744,MgDeg,2,0),0)</f>
        <v/>
      </c>
      <c r="R744" s="29">
        <f>IFERROR(VLOOKUP(L744,MgValor,2,0)*VLOOKUP(O744,MgDeg,2,0),0)</f>
        <v/>
      </c>
      <c r="S744" s="29">
        <f>IFERROR(VLOOKUP(M744,MgValor,2,0)*VLOOKUP(P744,MgDeg,2,0),0)</f>
        <v/>
      </c>
      <c r="T744" s="30">
        <f>MAX(Q744:S744)</f>
        <v/>
      </c>
      <c r="U744" s="28">
        <f>IFERROR(LOOKUP(T744,{0;0.5;1.5;3;4.5},{"Despreciable";"Bajo";"Medio";"Alto";"Muy alto"}),"")</f>
        <v/>
      </c>
      <c r="V744" s="13">
        <f>IFERROR(INDEX(MgAmenFrec,MATCH(SUBSTITUTE($H744,"*","-"),MgAmenClave,0)),"")</f>
        <v/>
      </c>
      <c r="W744" s="28">
        <f>IFERROR(LOOKUP(X744,{0;0.01;0.1;1;10;100},{"Muy baja";"Muy baja";"Baja";"Media";"Alta";"Muy alta"}),"")</f>
        <v/>
      </c>
      <c r="X744" s="31">
        <f>IFERROR(VLOOKUP(V744,MgFrec,2,0),0)</f>
        <v/>
      </c>
      <c r="Y744" s="30">
        <f>T744*X744</f>
        <v/>
      </c>
      <c r="Z744" s="28">
        <f>IFERROR(LOOKUP(Y744,{0;0.5;5;25},{"Bajo";"Medio";"Alto";"Crítico"}),"")</f>
        <v/>
      </c>
      <c r="AA744" s="64">
        <f>IF(T744&gt;=3,IF(X744&gt;=1,"Zona 1 — Crítica: impacto alto y ocurre al menos una vez al año","Zona 4 — Catastrófica poco probable: impacto alto pero excepcional"),IF(AND(T744&lt;1.5,X744&lt;1),"Zona 3 — Asumible: impacto bajo y muy poco frecuente","Zona 2 — Atención: riesgo intermedio"))</f>
        <v/>
      </c>
      <c r="AB744" s="64">
        <f>IFERROR(INDEX(MgAmenCtrl,MATCH(SUBSTITUTE($H744,"*","-"),MgAmenClave,0)),"")</f>
        <v/>
      </c>
      <c r="AC744" s="20" t="n"/>
      <c r="AD744" s="31">
        <f>IFERROR($X744*(1-IF($AC744="",$AL744,VLOOKUP($AC744,MgMad,2,0))),"")</f>
        <v/>
      </c>
      <c r="AE744" s="28">
        <f>IFERROR(LOOKUP(AD744,{0;0.01;0.1;1;10;100},{"Muy baja";"Muy baja";"Baja";"Media";"Alta";"Muy alta"}),"")</f>
        <v/>
      </c>
      <c r="AF744" s="30">
        <f>T744*AD744</f>
        <v/>
      </c>
      <c r="AG744" s="28">
        <f>IFERROR(LOOKUP(AF744,{0;0.5;5;25},{"Bajo";"Medio";"Alto";"Crítico"}),"")</f>
        <v/>
      </c>
      <c r="AH744" s="28">
        <f>IF(AG744="","",IF(OR(AG744="Crítico",AG744="Alto"),"Mitigar",IF(AG744="Medio","Mitigar","Aceptar y monitorear")))</f>
        <v/>
      </c>
      <c r="AI744" s="21" t="n"/>
      <c r="AJ744" s="21" t="n"/>
      <c r="AK744" s="20" t="n"/>
      <c r="AL744" s="77">
        <f>IFERROR(INDEX(MgAmenEfic,MATCH(SUBSTITUTE($H744,"*","-"),MgAmenClave,0)),0)</f>
        <v/>
      </c>
    </row>
    <row r="745" hidden="1" ht="75" customHeight="1" s="54">
      <c r="B745" s="59" t="inlineStr">
        <is>
          <t>R-0740</t>
        </is>
      </c>
      <c r="C745" s="59" t="inlineStr">
        <is>
          <t>FIN-10</t>
        </is>
      </c>
      <c r="D745" s="64">
        <f>IFERROR(INDEX(MgNombre,MATCH($C745,MgActId,0)),"")</f>
        <v/>
      </c>
      <c r="E745" s="64">
        <f>IFERROR(INDEX(MgProceso,MATCH($C745,MgActId,0)),"")</f>
        <v/>
      </c>
      <c r="F745" s="64">
        <f>IFERROR(INDEX(MgTipo,MATCH($C745,MgActId,0)),"")</f>
        <v/>
      </c>
      <c r="G745" s="64">
        <f>IFERROR(INDEX(MgSubtipo,MATCH($C745,MgActId,0)),"")</f>
        <v/>
      </c>
      <c r="H745" s="59" t="inlineStr">
        <is>
          <t>E.4</t>
        </is>
      </c>
      <c r="I745" s="64">
        <f>IFERROR(INDEX(MgAmenNombre,MATCH(SUBSTITUTE($H745,"*","-"),MgAmenClave,0)),"")</f>
        <v/>
      </c>
      <c r="J745" s="28">
        <f>IFERROR(INDEX(MgAmenGrupo,MATCH(SUBSTITUTE($H745,"*","-"),MgAmenClave,0)),"")</f>
        <v/>
      </c>
      <c r="K745" s="64">
        <f>IFERROR(INDEX('1. Matriz de Activos'!$Q$6:$Q$239,MATCH($C745,MgActId,0)),"")</f>
        <v/>
      </c>
      <c r="L745" s="64">
        <f>IFERROR(INDEX('1. Matriz de Activos'!$R$6:$R$239,MATCH($C745,MgActId,0)),"")</f>
        <v/>
      </c>
      <c r="M745" s="64">
        <f>IFERROR(INDEX('1. Matriz de Activos'!$S$6:$S$239,MATCH($C745,MgActId,0)),"")</f>
        <v/>
      </c>
      <c r="N745" s="28">
        <f>IFERROR(INDEX(MgAmenDegD,MATCH(SUBSTITUTE($H745,"*","-"),MgAmenClave,0)),"No aplica")</f>
        <v/>
      </c>
      <c r="O745" s="28">
        <f>IFERROR(INDEX(MgAmenDegI,MATCH(SUBSTITUTE($H745,"*","-"),MgAmenClave,0)),"No aplica")</f>
        <v/>
      </c>
      <c r="P745" s="28">
        <f>IFERROR(INDEX(MgAmenDegC,MATCH(SUBSTITUTE($H745,"*","-"),MgAmenClave,0)),"No aplica")</f>
        <v/>
      </c>
      <c r="Q745" s="29">
        <f>IFERROR(VLOOKUP(K745,MgValor,2,0)*VLOOKUP(N745,MgDeg,2,0),0)</f>
        <v/>
      </c>
      <c r="R745" s="29">
        <f>IFERROR(VLOOKUP(L745,MgValor,2,0)*VLOOKUP(O745,MgDeg,2,0),0)</f>
        <v/>
      </c>
      <c r="S745" s="29">
        <f>IFERROR(VLOOKUP(M745,MgValor,2,0)*VLOOKUP(P745,MgDeg,2,0),0)</f>
        <v/>
      </c>
      <c r="T745" s="30">
        <f>MAX(Q745:S745)</f>
        <v/>
      </c>
      <c r="U745" s="28">
        <f>IFERROR(LOOKUP(T745,{0;0.5;1.5;3;4.5},{"Despreciable";"Bajo";"Medio";"Alto";"Muy alto"}),"")</f>
        <v/>
      </c>
      <c r="V745" s="13">
        <f>IFERROR(INDEX(MgAmenFrec,MATCH(SUBSTITUTE($H745,"*","-"),MgAmenClave,0)),"")</f>
        <v/>
      </c>
      <c r="W745" s="28">
        <f>IFERROR(LOOKUP(X745,{0;0.01;0.1;1;10;100},{"Muy baja";"Muy baja";"Baja";"Media";"Alta";"Muy alta"}),"")</f>
        <v/>
      </c>
      <c r="X745" s="31">
        <f>IFERROR(VLOOKUP(V745,MgFrec,2,0),0)</f>
        <v/>
      </c>
      <c r="Y745" s="30">
        <f>T745*X745</f>
        <v/>
      </c>
      <c r="Z745" s="28">
        <f>IFERROR(LOOKUP(Y745,{0;0.5;5;25},{"Bajo";"Medio";"Alto";"Crítico"}),"")</f>
        <v/>
      </c>
      <c r="AA745" s="64">
        <f>IF(T745&gt;=3,IF(X745&gt;=1,"Zona 1 — Crítica: impacto alto y ocurre al menos una vez al año","Zona 4 — Catastrófica poco probable: impacto alto pero excepcional"),IF(AND(T745&lt;1.5,X745&lt;1),"Zona 3 — Asumible: impacto bajo y muy poco frecuente","Zona 2 — Atención: riesgo intermedio"))</f>
        <v/>
      </c>
      <c r="AB745" s="64">
        <f>IFERROR(INDEX(MgAmenCtrl,MATCH(SUBSTITUTE($H745,"*","-"),MgAmenClave,0)),"")</f>
        <v/>
      </c>
      <c r="AC745" s="20" t="n"/>
      <c r="AD745" s="31">
        <f>IFERROR($X745*(1-IF($AC745="",$AL745,VLOOKUP($AC745,MgMad,2,0))),"")</f>
        <v/>
      </c>
      <c r="AE745" s="28">
        <f>IFERROR(LOOKUP(AD745,{0;0.01;0.1;1;10;100},{"Muy baja";"Muy baja";"Baja";"Media";"Alta";"Muy alta"}),"")</f>
        <v/>
      </c>
      <c r="AF745" s="30">
        <f>T745*AD745</f>
        <v/>
      </c>
      <c r="AG745" s="28">
        <f>IFERROR(LOOKUP(AF745,{0;0.5;5;25},{"Bajo";"Medio";"Alto";"Crítico"}),"")</f>
        <v/>
      </c>
      <c r="AH745" s="28">
        <f>IF(AG745="","",IF(OR(AG745="Crítico",AG745="Alto"),"Mitigar",IF(AG745="Medio","Mitigar","Aceptar y monitorear")))</f>
        <v/>
      </c>
      <c r="AI745" s="21" t="n"/>
      <c r="AJ745" s="21" t="n"/>
      <c r="AK745" s="20" t="n"/>
      <c r="AL745" s="77">
        <f>IFERROR(INDEX(MgAmenEfic,MATCH(SUBSTITUTE($H745,"*","-"),MgAmenClave,0)),0)</f>
        <v/>
      </c>
    </row>
    <row r="746" hidden="1" ht="90" customHeight="1" s="54">
      <c r="B746" s="59" t="inlineStr">
        <is>
          <t>R-0741</t>
        </is>
      </c>
      <c r="C746" s="59" t="inlineStr">
        <is>
          <t>FIN-10</t>
        </is>
      </c>
      <c r="D746" s="64">
        <f>IFERROR(INDEX(MgNombre,MATCH($C746,MgActId,0)),"")</f>
        <v/>
      </c>
      <c r="E746" s="64">
        <f>IFERROR(INDEX(MgProceso,MATCH($C746,MgActId,0)),"")</f>
        <v/>
      </c>
      <c r="F746" s="64">
        <f>IFERROR(INDEX(MgTipo,MATCH($C746,MgActId,0)),"")</f>
        <v/>
      </c>
      <c r="G746" s="64">
        <f>IFERROR(INDEX(MgSubtipo,MATCH($C746,MgActId,0)),"")</f>
        <v/>
      </c>
      <c r="H746" s="59" t="inlineStr">
        <is>
          <t>E.14</t>
        </is>
      </c>
      <c r="I746" s="64">
        <f>IFERROR(INDEX(MgAmenNombre,MATCH(SUBSTITUTE($H746,"*","-"),MgAmenClave,0)),"")</f>
        <v/>
      </c>
      <c r="J746" s="28">
        <f>IFERROR(INDEX(MgAmenGrupo,MATCH(SUBSTITUTE($H746,"*","-"),MgAmenClave,0)),"")</f>
        <v/>
      </c>
      <c r="K746" s="64">
        <f>IFERROR(INDEX('1. Matriz de Activos'!$Q$6:$Q$239,MATCH($C746,MgActId,0)),"")</f>
        <v/>
      </c>
      <c r="L746" s="64">
        <f>IFERROR(INDEX('1. Matriz de Activos'!$R$6:$R$239,MATCH($C746,MgActId,0)),"")</f>
        <v/>
      </c>
      <c r="M746" s="64">
        <f>IFERROR(INDEX('1. Matriz de Activos'!$S$6:$S$239,MATCH($C746,MgActId,0)),"")</f>
        <v/>
      </c>
      <c r="N746" s="28">
        <f>IFERROR(INDEX(MgAmenDegD,MATCH(SUBSTITUTE($H746,"*","-"),MgAmenClave,0)),"No aplica")</f>
        <v/>
      </c>
      <c r="O746" s="28">
        <f>IFERROR(INDEX(MgAmenDegI,MATCH(SUBSTITUTE($H746,"*","-"),MgAmenClave,0)),"No aplica")</f>
        <v/>
      </c>
      <c r="P746" s="28">
        <f>IFERROR(INDEX(MgAmenDegC,MATCH(SUBSTITUTE($H746,"*","-"),MgAmenClave,0)),"No aplica")</f>
        <v/>
      </c>
      <c r="Q746" s="29">
        <f>IFERROR(VLOOKUP(K746,MgValor,2,0)*VLOOKUP(N746,MgDeg,2,0),0)</f>
        <v/>
      </c>
      <c r="R746" s="29">
        <f>IFERROR(VLOOKUP(L746,MgValor,2,0)*VLOOKUP(O746,MgDeg,2,0),0)</f>
        <v/>
      </c>
      <c r="S746" s="29">
        <f>IFERROR(VLOOKUP(M746,MgValor,2,0)*VLOOKUP(P746,MgDeg,2,0),0)</f>
        <v/>
      </c>
      <c r="T746" s="30">
        <f>MAX(Q746:S746)</f>
        <v/>
      </c>
      <c r="U746" s="28">
        <f>IFERROR(LOOKUP(T746,{0;0.5;1.5;3;4.5},{"Despreciable";"Bajo";"Medio";"Alto";"Muy alto"}),"")</f>
        <v/>
      </c>
      <c r="V746" s="13">
        <f>IFERROR(INDEX(MgAmenFrec,MATCH(SUBSTITUTE($H746,"*","-"),MgAmenClave,0)),"")</f>
        <v/>
      </c>
      <c r="W746" s="28">
        <f>IFERROR(LOOKUP(X746,{0;0.01;0.1;1;10;100},{"Muy baja";"Muy baja";"Baja";"Media";"Alta";"Muy alta"}),"")</f>
        <v/>
      </c>
      <c r="X746" s="31">
        <f>IFERROR(VLOOKUP(V746,MgFrec,2,0),0)</f>
        <v/>
      </c>
      <c r="Y746" s="30">
        <f>T746*X746</f>
        <v/>
      </c>
      <c r="Z746" s="28">
        <f>IFERROR(LOOKUP(Y746,{0;0.5;5;25},{"Bajo";"Medio";"Alto";"Crítico"}),"")</f>
        <v/>
      </c>
      <c r="AA746" s="64">
        <f>IF(T746&gt;=3,IF(X746&gt;=1,"Zona 1 — Crítica: impacto alto y ocurre al menos una vez al año","Zona 4 — Catastrófica poco probable: impacto alto pero excepcional"),IF(AND(T746&lt;1.5,X746&lt;1),"Zona 3 — Asumible: impacto bajo y muy poco frecuente","Zona 2 — Atención: riesgo intermedio"))</f>
        <v/>
      </c>
      <c r="AB746" s="64">
        <f>IFERROR(INDEX(MgAmenCtrl,MATCH(SUBSTITUTE($H746,"*","-"),MgAmenClave,0)),"")</f>
        <v/>
      </c>
      <c r="AC746" s="20" t="n"/>
      <c r="AD746" s="31">
        <f>IFERROR($X746*(1-IF($AC746="",$AL746,VLOOKUP($AC746,MgMad,2,0))),"")</f>
        <v/>
      </c>
      <c r="AE746" s="28">
        <f>IFERROR(LOOKUP(AD746,{0;0.01;0.1;1;10;100},{"Muy baja";"Muy baja";"Baja";"Media";"Alta";"Muy alta"}),"")</f>
        <v/>
      </c>
      <c r="AF746" s="30">
        <f>T746*AD746</f>
        <v/>
      </c>
      <c r="AG746" s="28">
        <f>IFERROR(LOOKUP(AF746,{0;0.5;5;25},{"Bajo";"Medio";"Alto";"Crítico"}),"")</f>
        <v/>
      </c>
      <c r="AH746" s="28">
        <f>IF(AG746="","",IF(OR(AG746="Crítico",AG746="Alto"),"Mitigar",IF(AG746="Medio","Mitigar","Aceptar y monitorear")))</f>
        <v/>
      </c>
      <c r="AI746" s="21" t="n"/>
      <c r="AJ746" s="21" t="n"/>
      <c r="AK746" s="20" t="n"/>
      <c r="AL746" s="77">
        <f>IFERROR(INDEX(MgAmenEfic,MATCH(SUBSTITUTE($H746,"*","-"),MgAmenClave,0)),0)</f>
        <v/>
      </c>
    </row>
    <row r="747" hidden="1" ht="90" customHeight="1" s="54">
      <c r="B747" s="59" t="inlineStr">
        <is>
          <t>R-0742</t>
        </is>
      </c>
      <c r="C747" s="59" t="inlineStr">
        <is>
          <t>FIN-10</t>
        </is>
      </c>
      <c r="D747" s="64">
        <f>IFERROR(INDEX(MgNombre,MATCH($C747,MgActId,0)),"")</f>
        <v/>
      </c>
      <c r="E747" s="64">
        <f>IFERROR(INDEX(MgProceso,MATCH($C747,MgActId,0)),"")</f>
        <v/>
      </c>
      <c r="F747" s="64">
        <f>IFERROR(INDEX(MgTipo,MATCH($C747,MgActId,0)),"")</f>
        <v/>
      </c>
      <c r="G747" s="64">
        <f>IFERROR(INDEX(MgSubtipo,MATCH($C747,MgActId,0)),"")</f>
        <v/>
      </c>
      <c r="H747" s="59" t="inlineStr">
        <is>
          <t>E.15</t>
        </is>
      </c>
      <c r="I747" s="64">
        <f>IFERROR(INDEX(MgAmenNombre,MATCH(SUBSTITUTE($H747,"*","-"),MgAmenClave,0)),"")</f>
        <v/>
      </c>
      <c r="J747" s="28">
        <f>IFERROR(INDEX(MgAmenGrupo,MATCH(SUBSTITUTE($H747,"*","-"),MgAmenClave,0)),"")</f>
        <v/>
      </c>
      <c r="K747" s="64">
        <f>IFERROR(INDEX('1. Matriz de Activos'!$Q$6:$Q$239,MATCH($C747,MgActId,0)),"")</f>
        <v/>
      </c>
      <c r="L747" s="64">
        <f>IFERROR(INDEX('1. Matriz de Activos'!$R$6:$R$239,MATCH($C747,MgActId,0)),"")</f>
        <v/>
      </c>
      <c r="M747" s="64">
        <f>IFERROR(INDEX('1. Matriz de Activos'!$S$6:$S$239,MATCH($C747,MgActId,0)),"")</f>
        <v/>
      </c>
      <c r="N747" s="28">
        <f>IFERROR(INDEX(MgAmenDegD,MATCH(SUBSTITUTE($H747,"*","-"),MgAmenClave,0)),"No aplica")</f>
        <v/>
      </c>
      <c r="O747" s="28">
        <f>IFERROR(INDEX(MgAmenDegI,MATCH(SUBSTITUTE($H747,"*","-"),MgAmenClave,0)),"No aplica")</f>
        <v/>
      </c>
      <c r="P747" s="28">
        <f>IFERROR(INDEX(MgAmenDegC,MATCH(SUBSTITUTE($H747,"*","-"),MgAmenClave,0)),"No aplica")</f>
        <v/>
      </c>
      <c r="Q747" s="29">
        <f>IFERROR(VLOOKUP(K747,MgValor,2,0)*VLOOKUP(N747,MgDeg,2,0),0)</f>
        <v/>
      </c>
      <c r="R747" s="29">
        <f>IFERROR(VLOOKUP(L747,MgValor,2,0)*VLOOKUP(O747,MgDeg,2,0),0)</f>
        <v/>
      </c>
      <c r="S747" s="29">
        <f>IFERROR(VLOOKUP(M747,MgValor,2,0)*VLOOKUP(P747,MgDeg,2,0),0)</f>
        <v/>
      </c>
      <c r="T747" s="30">
        <f>MAX(Q747:S747)</f>
        <v/>
      </c>
      <c r="U747" s="28">
        <f>IFERROR(LOOKUP(T747,{0;0.5;1.5;3;4.5},{"Despreciable";"Bajo";"Medio";"Alto";"Muy alto"}),"")</f>
        <v/>
      </c>
      <c r="V747" s="13">
        <f>IFERROR(INDEX(MgAmenFrec,MATCH(SUBSTITUTE($H747,"*","-"),MgAmenClave,0)),"")</f>
        <v/>
      </c>
      <c r="W747" s="28">
        <f>IFERROR(LOOKUP(X747,{0;0.01;0.1;1;10;100},{"Muy baja";"Muy baja";"Baja";"Media";"Alta";"Muy alta"}),"")</f>
        <v/>
      </c>
      <c r="X747" s="31">
        <f>IFERROR(VLOOKUP(V747,MgFrec,2,0),0)</f>
        <v/>
      </c>
      <c r="Y747" s="30">
        <f>T747*X747</f>
        <v/>
      </c>
      <c r="Z747" s="28">
        <f>IFERROR(LOOKUP(Y747,{0;0.5;5;25},{"Bajo";"Medio";"Alto";"Crítico"}),"")</f>
        <v/>
      </c>
      <c r="AA747" s="64">
        <f>IF(T747&gt;=3,IF(X747&gt;=1,"Zona 1 — Crítica: impacto alto y ocurre al menos una vez al año","Zona 4 — Catastrófica poco probable: impacto alto pero excepcional"),IF(AND(T747&lt;1.5,X747&lt;1),"Zona 3 — Asumible: impacto bajo y muy poco frecuente","Zona 2 — Atención: riesgo intermedio"))</f>
        <v/>
      </c>
      <c r="AB747" s="64">
        <f>IFERROR(INDEX(MgAmenCtrl,MATCH(SUBSTITUTE($H747,"*","-"),MgAmenClave,0)),"")</f>
        <v/>
      </c>
      <c r="AC747" s="20" t="n"/>
      <c r="AD747" s="31">
        <f>IFERROR($X747*(1-IF($AC747="",$AL747,VLOOKUP($AC747,MgMad,2,0))),"")</f>
        <v/>
      </c>
      <c r="AE747" s="28">
        <f>IFERROR(LOOKUP(AD747,{0;0.01;0.1;1;10;100},{"Muy baja";"Muy baja";"Baja";"Media";"Alta";"Muy alta"}),"")</f>
        <v/>
      </c>
      <c r="AF747" s="30">
        <f>T747*AD747</f>
        <v/>
      </c>
      <c r="AG747" s="28">
        <f>IFERROR(LOOKUP(AF747,{0;0.5;5;25},{"Bajo";"Medio";"Alto";"Crítico"}),"")</f>
        <v/>
      </c>
      <c r="AH747" s="28">
        <f>IF(AG747="","",IF(OR(AG747="Crítico",AG747="Alto"),"Mitigar",IF(AG747="Medio","Mitigar","Aceptar y monitorear")))</f>
        <v/>
      </c>
      <c r="AI747" s="21" t="n"/>
      <c r="AJ747" s="21" t="n"/>
      <c r="AK747" s="20" t="n"/>
      <c r="AL747" s="77">
        <f>IFERROR(INDEX(MgAmenEfic,MATCH(SUBSTITUTE($H747,"*","-"),MgAmenClave,0)),0)</f>
        <v/>
      </c>
    </row>
    <row r="748" hidden="1" ht="60" customHeight="1" s="54">
      <c r="B748" s="59" t="inlineStr">
        <is>
          <t>R-0743</t>
        </is>
      </c>
      <c r="C748" s="59" t="inlineStr">
        <is>
          <t>FIN-10</t>
        </is>
      </c>
      <c r="D748" s="64">
        <f>IFERROR(INDEX(MgNombre,MATCH($C748,MgActId,0)),"")</f>
        <v/>
      </c>
      <c r="E748" s="64">
        <f>IFERROR(INDEX(MgProceso,MATCH($C748,MgActId,0)),"")</f>
        <v/>
      </c>
      <c r="F748" s="64">
        <f>IFERROR(INDEX(MgTipo,MATCH($C748,MgActId,0)),"")</f>
        <v/>
      </c>
      <c r="G748" s="64">
        <f>IFERROR(INDEX(MgSubtipo,MATCH($C748,MgActId,0)),"")</f>
        <v/>
      </c>
      <c r="H748" s="59" t="inlineStr">
        <is>
          <t>E.18</t>
        </is>
      </c>
      <c r="I748" s="64">
        <f>IFERROR(INDEX(MgAmenNombre,MATCH(SUBSTITUTE($H748,"*","-"),MgAmenClave,0)),"")</f>
        <v/>
      </c>
      <c r="J748" s="28">
        <f>IFERROR(INDEX(MgAmenGrupo,MATCH(SUBSTITUTE($H748,"*","-"),MgAmenClave,0)),"")</f>
        <v/>
      </c>
      <c r="K748" s="64">
        <f>IFERROR(INDEX('1. Matriz de Activos'!$Q$6:$Q$239,MATCH($C748,MgActId,0)),"")</f>
        <v/>
      </c>
      <c r="L748" s="64">
        <f>IFERROR(INDEX('1. Matriz de Activos'!$R$6:$R$239,MATCH($C748,MgActId,0)),"")</f>
        <v/>
      </c>
      <c r="M748" s="64">
        <f>IFERROR(INDEX('1. Matriz de Activos'!$S$6:$S$239,MATCH($C748,MgActId,0)),"")</f>
        <v/>
      </c>
      <c r="N748" s="28">
        <f>IFERROR(INDEX(MgAmenDegD,MATCH(SUBSTITUTE($H748,"*","-"),MgAmenClave,0)),"No aplica")</f>
        <v/>
      </c>
      <c r="O748" s="28">
        <f>IFERROR(INDEX(MgAmenDegI,MATCH(SUBSTITUTE($H748,"*","-"),MgAmenClave,0)),"No aplica")</f>
        <v/>
      </c>
      <c r="P748" s="28">
        <f>IFERROR(INDEX(MgAmenDegC,MATCH(SUBSTITUTE($H748,"*","-"),MgAmenClave,0)),"No aplica")</f>
        <v/>
      </c>
      <c r="Q748" s="29">
        <f>IFERROR(VLOOKUP(K748,MgValor,2,0)*VLOOKUP(N748,MgDeg,2,0),0)</f>
        <v/>
      </c>
      <c r="R748" s="29">
        <f>IFERROR(VLOOKUP(L748,MgValor,2,0)*VLOOKUP(O748,MgDeg,2,0),0)</f>
        <v/>
      </c>
      <c r="S748" s="29">
        <f>IFERROR(VLOOKUP(M748,MgValor,2,0)*VLOOKUP(P748,MgDeg,2,0),0)</f>
        <v/>
      </c>
      <c r="T748" s="30">
        <f>MAX(Q748:S748)</f>
        <v/>
      </c>
      <c r="U748" s="28">
        <f>IFERROR(LOOKUP(T748,{0;0.5;1.5;3;4.5},{"Despreciable";"Bajo";"Medio";"Alto";"Muy alto"}),"")</f>
        <v/>
      </c>
      <c r="V748" s="13">
        <f>IFERROR(INDEX(MgAmenFrec,MATCH(SUBSTITUTE($H748,"*","-"),MgAmenClave,0)),"")</f>
        <v/>
      </c>
      <c r="W748" s="28">
        <f>IFERROR(LOOKUP(X748,{0;0.01;0.1;1;10;100},{"Muy baja";"Muy baja";"Baja";"Media";"Alta";"Muy alta"}),"")</f>
        <v/>
      </c>
      <c r="X748" s="31">
        <f>IFERROR(VLOOKUP(V748,MgFrec,2,0),0)</f>
        <v/>
      </c>
      <c r="Y748" s="30">
        <f>T748*X748</f>
        <v/>
      </c>
      <c r="Z748" s="28">
        <f>IFERROR(LOOKUP(Y748,{0;0.5;5;25},{"Bajo";"Medio";"Alto";"Crítico"}),"")</f>
        <v/>
      </c>
      <c r="AA748" s="64">
        <f>IF(T748&gt;=3,IF(X748&gt;=1,"Zona 1 — Crítica: impacto alto y ocurre al menos una vez al año","Zona 4 — Catastrófica poco probable: impacto alto pero excepcional"),IF(AND(T748&lt;1.5,X748&lt;1),"Zona 3 — Asumible: impacto bajo y muy poco frecuente","Zona 2 — Atención: riesgo intermedio"))</f>
        <v/>
      </c>
      <c r="AB748" s="64">
        <f>IFERROR(INDEX(MgAmenCtrl,MATCH(SUBSTITUTE($H748,"*","-"),MgAmenClave,0)),"")</f>
        <v/>
      </c>
      <c r="AC748" s="20" t="n"/>
      <c r="AD748" s="31">
        <f>IFERROR($X748*(1-IF($AC748="",$AL748,VLOOKUP($AC748,MgMad,2,0))),"")</f>
        <v/>
      </c>
      <c r="AE748" s="28">
        <f>IFERROR(LOOKUP(AD748,{0;0.01;0.1;1;10;100},{"Muy baja";"Muy baja";"Baja";"Media";"Alta";"Muy alta"}),"")</f>
        <v/>
      </c>
      <c r="AF748" s="30">
        <f>T748*AD748</f>
        <v/>
      </c>
      <c r="AG748" s="28">
        <f>IFERROR(LOOKUP(AF748,{0;0.5;5;25},{"Bajo";"Medio";"Alto";"Crítico"}),"")</f>
        <v/>
      </c>
      <c r="AH748" s="28">
        <f>IF(AG748="","",IF(OR(AG748="Crítico",AG748="Alto"),"Mitigar",IF(AG748="Medio","Mitigar","Aceptar y monitorear")))</f>
        <v/>
      </c>
      <c r="AI748" s="21" t="n"/>
      <c r="AJ748" s="21" t="n"/>
      <c r="AK748" s="20" t="n"/>
      <c r="AL748" s="77">
        <f>IFERROR(INDEX(MgAmenEfic,MATCH(SUBSTITUTE($H748,"*","-"),MgAmenClave,0)),0)</f>
        <v/>
      </c>
    </row>
    <row r="749" hidden="1" ht="105" customHeight="1" s="54">
      <c r="B749" s="59" t="inlineStr">
        <is>
          <t>R-0744</t>
        </is>
      </c>
      <c r="C749" s="59" t="inlineStr">
        <is>
          <t>FIN-10</t>
        </is>
      </c>
      <c r="D749" s="64">
        <f>IFERROR(INDEX(MgNombre,MATCH($C749,MgActId,0)),"")</f>
        <v/>
      </c>
      <c r="E749" s="64">
        <f>IFERROR(INDEX(MgProceso,MATCH($C749,MgActId,0)),"")</f>
        <v/>
      </c>
      <c r="F749" s="64">
        <f>IFERROR(INDEX(MgTipo,MATCH($C749,MgActId,0)),"")</f>
        <v/>
      </c>
      <c r="G749" s="64">
        <f>IFERROR(INDEX(MgSubtipo,MATCH($C749,MgActId,0)),"")</f>
        <v/>
      </c>
      <c r="H749" s="59" t="inlineStr">
        <is>
          <t>E.19</t>
        </is>
      </c>
      <c r="I749" s="64">
        <f>IFERROR(INDEX(MgAmenNombre,MATCH(SUBSTITUTE($H749,"*","-"),MgAmenClave,0)),"")</f>
        <v/>
      </c>
      <c r="J749" s="28">
        <f>IFERROR(INDEX(MgAmenGrupo,MATCH(SUBSTITUTE($H749,"*","-"),MgAmenClave,0)),"")</f>
        <v/>
      </c>
      <c r="K749" s="64">
        <f>IFERROR(INDEX('1. Matriz de Activos'!$Q$6:$Q$239,MATCH($C749,MgActId,0)),"")</f>
        <v/>
      </c>
      <c r="L749" s="64">
        <f>IFERROR(INDEX('1. Matriz de Activos'!$R$6:$R$239,MATCH($C749,MgActId,0)),"")</f>
        <v/>
      </c>
      <c r="M749" s="64">
        <f>IFERROR(INDEX('1. Matriz de Activos'!$S$6:$S$239,MATCH($C749,MgActId,0)),"")</f>
        <v/>
      </c>
      <c r="N749" s="28">
        <f>IFERROR(INDEX(MgAmenDegD,MATCH(SUBSTITUTE($H749,"*","-"),MgAmenClave,0)),"No aplica")</f>
        <v/>
      </c>
      <c r="O749" s="28">
        <f>IFERROR(INDEX(MgAmenDegI,MATCH(SUBSTITUTE($H749,"*","-"),MgAmenClave,0)),"No aplica")</f>
        <v/>
      </c>
      <c r="P749" s="28">
        <f>IFERROR(INDEX(MgAmenDegC,MATCH(SUBSTITUTE($H749,"*","-"),MgAmenClave,0)),"No aplica")</f>
        <v/>
      </c>
      <c r="Q749" s="29">
        <f>IFERROR(VLOOKUP(K749,MgValor,2,0)*VLOOKUP(N749,MgDeg,2,0),0)</f>
        <v/>
      </c>
      <c r="R749" s="29">
        <f>IFERROR(VLOOKUP(L749,MgValor,2,0)*VLOOKUP(O749,MgDeg,2,0),0)</f>
        <v/>
      </c>
      <c r="S749" s="29">
        <f>IFERROR(VLOOKUP(M749,MgValor,2,0)*VLOOKUP(P749,MgDeg,2,0),0)</f>
        <v/>
      </c>
      <c r="T749" s="30">
        <f>MAX(Q749:S749)</f>
        <v/>
      </c>
      <c r="U749" s="28">
        <f>IFERROR(LOOKUP(T749,{0;0.5;1.5;3;4.5},{"Despreciable";"Bajo";"Medio";"Alto";"Muy alto"}),"")</f>
        <v/>
      </c>
      <c r="V749" s="13">
        <f>IFERROR(INDEX(MgAmenFrec,MATCH(SUBSTITUTE($H749,"*","-"),MgAmenClave,0)),"")</f>
        <v/>
      </c>
      <c r="W749" s="28">
        <f>IFERROR(LOOKUP(X749,{0;0.01;0.1;1;10;100},{"Muy baja";"Muy baja";"Baja";"Media";"Alta";"Muy alta"}),"")</f>
        <v/>
      </c>
      <c r="X749" s="31">
        <f>IFERROR(VLOOKUP(V749,MgFrec,2,0),0)</f>
        <v/>
      </c>
      <c r="Y749" s="30">
        <f>T749*X749</f>
        <v/>
      </c>
      <c r="Z749" s="28">
        <f>IFERROR(LOOKUP(Y749,{0;0.5;5;25},{"Bajo";"Medio";"Alto";"Crítico"}),"")</f>
        <v/>
      </c>
      <c r="AA749" s="64">
        <f>IF(T749&gt;=3,IF(X749&gt;=1,"Zona 1 — Crítica: impacto alto y ocurre al menos una vez al año","Zona 4 — Catastrófica poco probable: impacto alto pero excepcional"),IF(AND(T749&lt;1.5,X749&lt;1),"Zona 3 — Asumible: impacto bajo y muy poco frecuente","Zona 2 — Atención: riesgo intermedio"))</f>
        <v/>
      </c>
      <c r="AB749" s="64">
        <f>IFERROR(INDEX(MgAmenCtrl,MATCH(SUBSTITUTE($H749,"*","-"),MgAmenClave,0)),"")</f>
        <v/>
      </c>
      <c r="AC749" s="20" t="n"/>
      <c r="AD749" s="31">
        <f>IFERROR($X749*(1-IF($AC749="",$AL749,VLOOKUP($AC749,MgMad,2,0))),"")</f>
        <v/>
      </c>
      <c r="AE749" s="28">
        <f>IFERROR(LOOKUP(AD749,{0;0.01;0.1;1;10;100},{"Muy baja";"Muy baja";"Baja";"Media";"Alta";"Muy alta"}),"")</f>
        <v/>
      </c>
      <c r="AF749" s="30">
        <f>T749*AD749</f>
        <v/>
      </c>
      <c r="AG749" s="28">
        <f>IFERROR(LOOKUP(AF749,{0;0.5;5;25},{"Bajo";"Medio";"Alto";"Crítico"}),"")</f>
        <v/>
      </c>
      <c r="AH749" s="28">
        <f>IF(AG749="","",IF(OR(AG749="Crítico",AG749="Alto"),"Mitigar",IF(AG749="Medio","Mitigar","Aceptar y monitorear")))</f>
        <v/>
      </c>
      <c r="AI749" s="21" t="n"/>
      <c r="AJ749" s="21" t="n"/>
      <c r="AK749" s="20" t="n"/>
      <c r="AL749" s="77">
        <f>IFERROR(INDEX(MgAmenEfic,MATCH(SUBSTITUTE($H749,"*","-"),MgAmenClave,0)),0)</f>
        <v/>
      </c>
    </row>
    <row r="750" hidden="1" ht="60" customHeight="1" s="54">
      <c r="B750" s="59" t="inlineStr">
        <is>
          <t>R-0745</t>
        </is>
      </c>
      <c r="C750" s="59" t="inlineStr">
        <is>
          <t>FIN-10</t>
        </is>
      </c>
      <c r="D750" s="64">
        <f>IFERROR(INDEX(MgNombre,MATCH($C750,MgActId,0)),"")</f>
        <v/>
      </c>
      <c r="E750" s="64">
        <f>IFERROR(INDEX(MgProceso,MATCH($C750,MgActId,0)),"")</f>
        <v/>
      </c>
      <c r="F750" s="64">
        <f>IFERROR(INDEX(MgTipo,MATCH($C750,MgActId,0)),"")</f>
        <v/>
      </c>
      <c r="G750" s="64">
        <f>IFERROR(INDEX(MgSubtipo,MATCH($C750,MgActId,0)),"")</f>
        <v/>
      </c>
      <c r="H750" s="59" t="inlineStr">
        <is>
          <t>A.3</t>
        </is>
      </c>
      <c r="I750" s="64">
        <f>IFERROR(INDEX(MgAmenNombre,MATCH(SUBSTITUTE($H750,"*","-"),MgAmenClave,0)),"")</f>
        <v/>
      </c>
      <c r="J750" s="28">
        <f>IFERROR(INDEX(MgAmenGrupo,MATCH(SUBSTITUTE($H750,"*","-"),MgAmenClave,0)),"")</f>
        <v/>
      </c>
      <c r="K750" s="64">
        <f>IFERROR(INDEX('1. Matriz de Activos'!$Q$6:$Q$239,MATCH($C750,MgActId,0)),"")</f>
        <v/>
      </c>
      <c r="L750" s="64">
        <f>IFERROR(INDEX('1. Matriz de Activos'!$R$6:$R$239,MATCH($C750,MgActId,0)),"")</f>
        <v/>
      </c>
      <c r="M750" s="64">
        <f>IFERROR(INDEX('1. Matriz de Activos'!$S$6:$S$239,MATCH($C750,MgActId,0)),"")</f>
        <v/>
      </c>
      <c r="N750" s="28">
        <f>IFERROR(INDEX(MgAmenDegD,MATCH(SUBSTITUTE($H750,"*","-"),MgAmenClave,0)),"No aplica")</f>
        <v/>
      </c>
      <c r="O750" s="28">
        <f>IFERROR(INDEX(MgAmenDegI,MATCH(SUBSTITUTE($H750,"*","-"),MgAmenClave,0)),"No aplica")</f>
        <v/>
      </c>
      <c r="P750" s="28">
        <f>IFERROR(INDEX(MgAmenDegC,MATCH(SUBSTITUTE($H750,"*","-"),MgAmenClave,0)),"No aplica")</f>
        <v/>
      </c>
      <c r="Q750" s="29">
        <f>IFERROR(VLOOKUP(K750,MgValor,2,0)*VLOOKUP(N750,MgDeg,2,0),0)</f>
        <v/>
      </c>
      <c r="R750" s="29">
        <f>IFERROR(VLOOKUP(L750,MgValor,2,0)*VLOOKUP(O750,MgDeg,2,0),0)</f>
        <v/>
      </c>
      <c r="S750" s="29">
        <f>IFERROR(VLOOKUP(M750,MgValor,2,0)*VLOOKUP(P750,MgDeg,2,0),0)</f>
        <v/>
      </c>
      <c r="T750" s="30">
        <f>MAX(Q750:S750)</f>
        <v/>
      </c>
      <c r="U750" s="28">
        <f>IFERROR(LOOKUP(T750,{0;0.5;1.5;3;4.5},{"Despreciable";"Bajo";"Medio";"Alto";"Muy alto"}),"")</f>
        <v/>
      </c>
      <c r="V750" s="13">
        <f>IFERROR(INDEX(MgAmenFrec,MATCH(SUBSTITUTE($H750,"*","-"),MgAmenClave,0)),"")</f>
        <v/>
      </c>
      <c r="W750" s="28">
        <f>IFERROR(LOOKUP(X750,{0;0.01;0.1;1;10;100},{"Muy baja";"Muy baja";"Baja";"Media";"Alta";"Muy alta"}),"")</f>
        <v/>
      </c>
      <c r="X750" s="31">
        <f>IFERROR(VLOOKUP(V750,MgFrec,2,0),0)</f>
        <v/>
      </c>
      <c r="Y750" s="30">
        <f>T750*X750</f>
        <v/>
      </c>
      <c r="Z750" s="28">
        <f>IFERROR(LOOKUP(Y750,{0;0.5;5;25},{"Bajo";"Medio";"Alto";"Crítico"}),"")</f>
        <v/>
      </c>
      <c r="AA750" s="64">
        <f>IF(T750&gt;=3,IF(X750&gt;=1,"Zona 1 — Crítica: impacto alto y ocurre al menos una vez al año","Zona 4 — Catastrófica poco probable: impacto alto pero excepcional"),IF(AND(T750&lt;1.5,X750&lt;1),"Zona 3 — Asumible: impacto bajo y muy poco frecuente","Zona 2 — Atención: riesgo intermedio"))</f>
        <v/>
      </c>
      <c r="AB750" s="64">
        <f>IFERROR(INDEX(MgAmenCtrl,MATCH(SUBSTITUTE($H750,"*","-"),MgAmenClave,0)),"")</f>
        <v/>
      </c>
      <c r="AC750" s="20" t="n"/>
      <c r="AD750" s="31">
        <f>IFERROR($X750*(1-IF($AC750="",$AL750,VLOOKUP($AC750,MgMad,2,0))),"")</f>
        <v/>
      </c>
      <c r="AE750" s="28">
        <f>IFERROR(LOOKUP(AD750,{0;0.01;0.1;1;10;100},{"Muy baja";"Muy baja";"Baja";"Media";"Alta";"Muy alta"}),"")</f>
        <v/>
      </c>
      <c r="AF750" s="30">
        <f>T750*AD750</f>
        <v/>
      </c>
      <c r="AG750" s="28">
        <f>IFERROR(LOOKUP(AF750,{0;0.5;5;25},{"Bajo";"Medio";"Alto";"Crítico"}),"")</f>
        <v/>
      </c>
      <c r="AH750" s="28">
        <f>IF(AG750="","",IF(OR(AG750="Crítico",AG750="Alto"),"Mitigar",IF(AG750="Medio","Mitigar","Aceptar y monitorear")))</f>
        <v/>
      </c>
      <c r="AI750" s="21" t="n"/>
      <c r="AJ750" s="21" t="n"/>
      <c r="AK750" s="20" t="n"/>
      <c r="AL750" s="77">
        <f>IFERROR(INDEX(MgAmenEfic,MATCH(SUBSTITUTE($H750,"*","-"),MgAmenClave,0)),0)</f>
        <v/>
      </c>
    </row>
    <row r="751" hidden="1" ht="60" customHeight="1" s="54">
      <c r="B751" s="59" t="inlineStr">
        <is>
          <t>R-0746</t>
        </is>
      </c>
      <c r="C751" s="59" t="inlineStr">
        <is>
          <t>FIN-10</t>
        </is>
      </c>
      <c r="D751" s="64">
        <f>IFERROR(INDEX(MgNombre,MATCH($C751,MgActId,0)),"")</f>
        <v/>
      </c>
      <c r="E751" s="64">
        <f>IFERROR(INDEX(MgProceso,MATCH($C751,MgActId,0)),"")</f>
        <v/>
      </c>
      <c r="F751" s="64">
        <f>IFERROR(INDEX(MgTipo,MATCH($C751,MgActId,0)),"")</f>
        <v/>
      </c>
      <c r="G751" s="64">
        <f>IFERROR(INDEX(MgSubtipo,MATCH($C751,MgActId,0)),"")</f>
        <v/>
      </c>
      <c r="H751" s="59" t="inlineStr">
        <is>
          <t>A.4</t>
        </is>
      </c>
      <c r="I751" s="64">
        <f>IFERROR(INDEX(MgAmenNombre,MATCH(SUBSTITUTE($H751,"*","-"),MgAmenClave,0)),"")</f>
        <v/>
      </c>
      <c r="J751" s="28">
        <f>IFERROR(INDEX(MgAmenGrupo,MATCH(SUBSTITUTE($H751,"*","-"),MgAmenClave,0)),"")</f>
        <v/>
      </c>
      <c r="K751" s="64">
        <f>IFERROR(INDEX('1. Matriz de Activos'!$Q$6:$Q$239,MATCH($C751,MgActId,0)),"")</f>
        <v/>
      </c>
      <c r="L751" s="64">
        <f>IFERROR(INDEX('1. Matriz de Activos'!$R$6:$R$239,MATCH($C751,MgActId,0)),"")</f>
        <v/>
      </c>
      <c r="M751" s="64">
        <f>IFERROR(INDEX('1. Matriz de Activos'!$S$6:$S$239,MATCH($C751,MgActId,0)),"")</f>
        <v/>
      </c>
      <c r="N751" s="28">
        <f>IFERROR(INDEX(MgAmenDegD,MATCH(SUBSTITUTE($H751,"*","-"),MgAmenClave,0)),"No aplica")</f>
        <v/>
      </c>
      <c r="O751" s="28">
        <f>IFERROR(INDEX(MgAmenDegI,MATCH(SUBSTITUTE($H751,"*","-"),MgAmenClave,0)),"No aplica")</f>
        <v/>
      </c>
      <c r="P751" s="28">
        <f>IFERROR(INDEX(MgAmenDegC,MATCH(SUBSTITUTE($H751,"*","-"),MgAmenClave,0)),"No aplica")</f>
        <v/>
      </c>
      <c r="Q751" s="29">
        <f>IFERROR(VLOOKUP(K751,MgValor,2,0)*VLOOKUP(N751,MgDeg,2,0),0)</f>
        <v/>
      </c>
      <c r="R751" s="29">
        <f>IFERROR(VLOOKUP(L751,MgValor,2,0)*VLOOKUP(O751,MgDeg,2,0),0)</f>
        <v/>
      </c>
      <c r="S751" s="29">
        <f>IFERROR(VLOOKUP(M751,MgValor,2,0)*VLOOKUP(P751,MgDeg,2,0),0)</f>
        <v/>
      </c>
      <c r="T751" s="30">
        <f>MAX(Q751:S751)</f>
        <v/>
      </c>
      <c r="U751" s="28">
        <f>IFERROR(LOOKUP(T751,{0;0.5;1.5;3;4.5},{"Despreciable";"Bajo";"Medio";"Alto";"Muy alto"}),"")</f>
        <v/>
      </c>
      <c r="V751" s="13">
        <f>IFERROR(INDEX(MgAmenFrec,MATCH(SUBSTITUTE($H751,"*","-"),MgAmenClave,0)),"")</f>
        <v/>
      </c>
      <c r="W751" s="28">
        <f>IFERROR(LOOKUP(X751,{0;0.01;0.1;1;10;100},{"Muy baja";"Muy baja";"Baja";"Media";"Alta";"Muy alta"}),"")</f>
        <v/>
      </c>
      <c r="X751" s="31">
        <f>IFERROR(VLOOKUP(V751,MgFrec,2,0),0)</f>
        <v/>
      </c>
      <c r="Y751" s="30">
        <f>T751*X751</f>
        <v/>
      </c>
      <c r="Z751" s="28">
        <f>IFERROR(LOOKUP(Y751,{0;0.5;5;25},{"Bajo";"Medio";"Alto";"Crítico"}),"")</f>
        <v/>
      </c>
      <c r="AA751" s="64">
        <f>IF(T751&gt;=3,IF(X751&gt;=1,"Zona 1 — Crítica: impacto alto y ocurre al menos una vez al año","Zona 4 — Catastrófica poco probable: impacto alto pero excepcional"),IF(AND(T751&lt;1.5,X751&lt;1),"Zona 3 — Asumible: impacto bajo y muy poco frecuente","Zona 2 — Atención: riesgo intermedio"))</f>
        <v/>
      </c>
      <c r="AB751" s="64">
        <f>IFERROR(INDEX(MgAmenCtrl,MATCH(SUBSTITUTE($H751,"*","-"),MgAmenClave,0)),"")</f>
        <v/>
      </c>
      <c r="AC751" s="20" t="n"/>
      <c r="AD751" s="31">
        <f>IFERROR($X751*(1-IF($AC751="",$AL751,VLOOKUP($AC751,MgMad,2,0))),"")</f>
        <v/>
      </c>
      <c r="AE751" s="28">
        <f>IFERROR(LOOKUP(AD751,{0;0.01;0.1;1;10;100},{"Muy baja";"Muy baja";"Baja";"Media";"Alta";"Muy alta"}),"")</f>
        <v/>
      </c>
      <c r="AF751" s="30">
        <f>T751*AD751</f>
        <v/>
      </c>
      <c r="AG751" s="28">
        <f>IFERROR(LOOKUP(AF751,{0;0.5;5;25},{"Bajo";"Medio";"Alto";"Crítico"}),"")</f>
        <v/>
      </c>
      <c r="AH751" s="28">
        <f>IF(AG751="","",IF(OR(AG751="Crítico",AG751="Alto"),"Mitigar",IF(AG751="Medio","Mitigar","Aceptar y monitorear")))</f>
        <v/>
      </c>
      <c r="AI751" s="21" t="n"/>
      <c r="AJ751" s="21" t="n"/>
      <c r="AK751" s="20" t="n"/>
      <c r="AL751" s="77">
        <f>IFERROR(INDEX(MgAmenEfic,MATCH(SUBSTITUTE($H751,"*","-"),MgAmenClave,0)),0)</f>
        <v/>
      </c>
    </row>
    <row r="752" hidden="1" ht="75" customHeight="1" s="54">
      <c r="B752" s="59" t="inlineStr">
        <is>
          <t>R-0747</t>
        </is>
      </c>
      <c r="C752" s="59" t="inlineStr">
        <is>
          <t>FIN-10</t>
        </is>
      </c>
      <c r="D752" s="64">
        <f>IFERROR(INDEX(MgNombre,MATCH($C752,MgActId,0)),"")</f>
        <v/>
      </c>
      <c r="E752" s="64">
        <f>IFERROR(INDEX(MgProceso,MATCH($C752,MgActId,0)),"")</f>
        <v/>
      </c>
      <c r="F752" s="64">
        <f>IFERROR(INDEX(MgTipo,MATCH($C752,MgActId,0)),"")</f>
        <v/>
      </c>
      <c r="G752" s="64">
        <f>IFERROR(INDEX(MgSubtipo,MATCH($C752,MgActId,0)),"")</f>
        <v/>
      </c>
      <c r="H752" s="59" t="inlineStr">
        <is>
          <t>A.5</t>
        </is>
      </c>
      <c r="I752" s="64">
        <f>IFERROR(INDEX(MgAmenNombre,MATCH(SUBSTITUTE($H752,"*","-"),MgAmenClave,0)),"")</f>
        <v/>
      </c>
      <c r="J752" s="28">
        <f>IFERROR(INDEX(MgAmenGrupo,MATCH(SUBSTITUTE($H752,"*","-"),MgAmenClave,0)),"")</f>
        <v/>
      </c>
      <c r="K752" s="64">
        <f>IFERROR(INDEX('1. Matriz de Activos'!$Q$6:$Q$239,MATCH($C752,MgActId,0)),"")</f>
        <v/>
      </c>
      <c r="L752" s="64">
        <f>IFERROR(INDEX('1. Matriz de Activos'!$R$6:$R$239,MATCH($C752,MgActId,0)),"")</f>
        <v/>
      </c>
      <c r="M752" s="64">
        <f>IFERROR(INDEX('1. Matriz de Activos'!$S$6:$S$239,MATCH($C752,MgActId,0)),"")</f>
        <v/>
      </c>
      <c r="N752" s="28">
        <f>IFERROR(INDEX(MgAmenDegD,MATCH(SUBSTITUTE($H752,"*","-"),MgAmenClave,0)),"No aplica")</f>
        <v/>
      </c>
      <c r="O752" s="28">
        <f>IFERROR(INDEX(MgAmenDegI,MATCH(SUBSTITUTE($H752,"*","-"),MgAmenClave,0)),"No aplica")</f>
        <v/>
      </c>
      <c r="P752" s="28">
        <f>IFERROR(INDEX(MgAmenDegC,MATCH(SUBSTITUTE($H752,"*","-"),MgAmenClave,0)),"No aplica")</f>
        <v/>
      </c>
      <c r="Q752" s="29">
        <f>IFERROR(VLOOKUP(K752,MgValor,2,0)*VLOOKUP(N752,MgDeg,2,0),0)</f>
        <v/>
      </c>
      <c r="R752" s="29">
        <f>IFERROR(VLOOKUP(L752,MgValor,2,0)*VLOOKUP(O752,MgDeg,2,0),0)</f>
        <v/>
      </c>
      <c r="S752" s="29">
        <f>IFERROR(VLOOKUP(M752,MgValor,2,0)*VLOOKUP(P752,MgDeg,2,0),0)</f>
        <v/>
      </c>
      <c r="T752" s="30">
        <f>MAX(Q752:S752)</f>
        <v/>
      </c>
      <c r="U752" s="28">
        <f>IFERROR(LOOKUP(T752,{0;0.5;1.5;3;4.5},{"Despreciable";"Bajo";"Medio";"Alto";"Muy alto"}),"")</f>
        <v/>
      </c>
      <c r="V752" s="13">
        <f>IFERROR(INDEX(MgAmenFrec,MATCH(SUBSTITUTE($H752,"*","-"),MgAmenClave,0)),"")</f>
        <v/>
      </c>
      <c r="W752" s="28">
        <f>IFERROR(LOOKUP(X752,{0;0.01;0.1;1;10;100},{"Muy baja";"Muy baja";"Baja";"Media";"Alta";"Muy alta"}),"")</f>
        <v/>
      </c>
      <c r="X752" s="31">
        <f>IFERROR(VLOOKUP(V752,MgFrec,2,0),0)</f>
        <v/>
      </c>
      <c r="Y752" s="30">
        <f>T752*X752</f>
        <v/>
      </c>
      <c r="Z752" s="28">
        <f>IFERROR(LOOKUP(Y752,{0;0.5;5;25},{"Bajo";"Medio";"Alto";"Crítico"}),"")</f>
        <v/>
      </c>
      <c r="AA752" s="64">
        <f>IF(T752&gt;=3,IF(X752&gt;=1,"Zona 1 — Crítica: impacto alto y ocurre al menos una vez al año","Zona 4 — Catastrófica poco probable: impacto alto pero excepcional"),IF(AND(T752&lt;1.5,X752&lt;1),"Zona 3 — Asumible: impacto bajo y muy poco frecuente","Zona 2 — Atención: riesgo intermedio"))</f>
        <v/>
      </c>
      <c r="AB752" s="64">
        <f>IFERROR(INDEX(MgAmenCtrl,MATCH(SUBSTITUTE($H752,"*","-"),MgAmenClave,0)),"")</f>
        <v/>
      </c>
      <c r="AC752" s="20" t="n"/>
      <c r="AD752" s="31">
        <f>IFERROR($X752*(1-IF($AC752="",$AL752,VLOOKUP($AC752,MgMad,2,0))),"")</f>
        <v/>
      </c>
      <c r="AE752" s="28">
        <f>IFERROR(LOOKUP(AD752,{0;0.01;0.1;1;10;100},{"Muy baja";"Muy baja";"Baja";"Media";"Alta";"Muy alta"}),"")</f>
        <v/>
      </c>
      <c r="AF752" s="30">
        <f>T752*AD752</f>
        <v/>
      </c>
      <c r="AG752" s="28">
        <f>IFERROR(LOOKUP(AF752,{0;0.5;5;25},{"Bajo";"Medio";"Alto";"Crítico"}),"")</f>
        <v/>
      </c>
      <c r="AH752" s="28">
        <f>IF(AG752="","",IF(OR(AG752="Crítico",AG752="Alto"),"Mitigar",IF(AG752="Medio","Mitigar","Aceptar y monitorear")))</f>
        <v/>
      </c>
      <c r="AI752" s="21" t="n"/>
      <c r="AJ752" s="21" t="n"/>
      <c r="AK752" s="20" t="n"/>
      <c r="AL752" s="77">
        <f>IFERROR(INDEX(MgAmenEfic,MATCH(SUBSTITUTE($H752,"*","-"),MgAmenClave,0)),0)</f>
        <v/>
      </c>
    </row>
    <row r="753" hidden="1" ht="105" customHeight="1" s="54">
      <c r="B753" s="59" t="inlineStr">
        <is>
          <t>R-0748</t>
        </is>
      </c>
      <c r="C753" s="59" t="inlineStr">
        <is>
          <t>FIN-10</t>
        </is>
      </c>
      <c r="D753" s="64">
        <f>IFERROR(INDEX(MgNombre,MATCH($C753,MgActId,0)),"")</f>
        <v/>
      </c>
      <c r="E753" s="64">
        <f>IFERROR(INDEX(MgProceso,MATCH($C753,MgActId,0)),"")</f>
        <v/>
      </c>
      <c r="F753" s="64">
        <f>IFERROR(INDEX(MgTipo,MATCH($C753,MgActId,0)),"")</f>
        <v/>
      </c>
      <c r="G753" s="64">
        <f>IFERROR(INDEX(MgSubtipo,MATCH($C753,MgActId,0)),"")</f>
        <v/>
      </c>
      <c r="H753" s="59" t="inlineStr">
        <is>
          <t>A.6</t>
        </is>
      </c>
      <c r="I753" s="64">
        <f>IFERROR(INDEX(MgAmenNombre,MATCH(SUBSTITUTE($H753,"*","-"),MgAmenClave,0)),"")</f>
        <v/>
      </c>
      <c r="J753" s="28">
        <f>IFERROR(INDEX(MgAmenGrupo,MATCH(SUBSTITUTE($H753,"*","-"),MgAmenClave,0)),"")</f>
        <v/>
      </c>
      <c r="K753" s="64">
        <f>IFERROR(INDEX('1. Matriz de Activos'!$Q$6:$Q$239,MATCH($C753,MgActId,0)),"")</f>
        <v/>
      </c>
      <c r="L753" s="64">
        <f>IFERROR(INDEX('1. Matriz de Activos'!$R$6:$R$239,MATCH($C753,MgActId,0)),"")</f>
        <v/>
      </c>
      <c r="M753" s="64">
        <f>IFERROR(INDEX('1. Matriz de Activos'!$S$6:$S$239,MATCH($C753,MgActId,0)),"")</f>
        <v/>
      </c>
      <c r="N753" s="28">
        <f>IFERROR(INDEX(MgAmenDegD,MATCH(SUBSTITUTE($H753,"*","-"),MgAmenClave,0)),"No aplica")</f>
        <v/>
      </c>
      <c r="O753" s="28">
        <f>IFERROR(INDEX(MgAmenDegI,MATCH(SUBSTITUTE($H753,"*","-"),MgAmenClave,0)),"No aplica")</f>
        <v/>
      </c>
      <c r="P753" s="28">
        <f>IFERROR(INDEX(MgAmenDegC,MATCH(SUBSTITUTE($H753,"*","-"),MgAmenClave,0)),"No aplica")</f>
        <v/>
      </c>
      <c r="Q753" s="29">
        <f>IFERROR(VLOOKUP(K753,MgValor,2,0)*VLOOKUP(N753,MgDeg,2,0),0)</f>
        <v/>
      </c>
      <c r="R753" s="29">
        <f>IFERROR(VLOOKUP(L753,MgValor,2,0)*VLOOKUP(O753,MgDeg,2,0),0)</f>
        <v/>
      </c>
      <c r="S753" s="29">
        <f>IFERROR(VLOOKUP(M753,MgValor,2,0)*VLOOKUP(P753,MgDeg,2,0),0)</f>
        <v/>
      </c>
      <c r="T753" s="30">
        <f>MAX(Q753:S753)</f>
        <v/>
      </c>
      <c r="U753" s="28">
        <f>IFERROR(LOOKUP(T753,{0;0.5;1.5;3;4.5},{"Despreciable";"Bajo";"Medio";"Alto";"Muy alto"}),"")</f>
        <v/>
      </c>
      <c r="V753" s="13">
        <f>IFERROR(INDEX(MgAmenFrec,MATCH(SUBSTITUTE($H753,"*","-"),MgAmenClave,0)),"")</f>
        <v/>
      </c>
      <c r="W753" s="28">
        <f>IFERROR(LOOKUP(X753,{0;0.01;0.1;1;10;100},{"Muy baja";"Muy baja";"Baja";"Media";"Alta";"Muy alta"}),"")</f>
        <v/>
      </c>
      <c r="X753" s="31">
        <f>IFERROR(VLOOKUP(V753,MgFrec,2,0),0)</f>
        <v/>
      </c>
      <c r="Y753" s="30">
        <f>T753*X753</f>
        <v/>
      </c>
      <c r="Z753" s="28">
        <f>IFERROR(LOOKUP(Y753,{0;0.5;5;25},{"Bajo";"Medio";"Alto";"Crítico"}),"")</f>
        <v/>
      </c>
      <c r="AA753" s="64">
        <f>IF(T753&gt;=3,IF(X753&gt;=1,"Zona 1 — Crítica: impacto alto y ocurre al menos una vez al año","Zona 4 — Catastrófica poco probable: impacto alto pero excepcional"),IF(AND(T753&lt;1.5,X753&lt;1),"Zona 3 — Asumible: impacto bajo y muy poco frecuente","Zona 2 — Atención: riesgo intermedio"))</f>
        <v/>
      </c>
      <c r="AB753" s="64">
        <f>IFERROR(INDEX(MgAmenCtrl,MATCH(SUBSTITUTE($H753,"*","-"),MgAmenClave,0)),"")</f>
        <v/>
      </c>
      <c r="AC753" s="20" t="n"/>
      <c r="AD753" s="31">
        <f>IFERROR($X753*(1-IF($AC753="",$AL753,VLOOKUP($AC753,MgMad,2,0))),"")</f>
        <v/>
      </c>
      <c r="AE753" s="28">
        <f>IFERROR(LOOKUP(AD753,{0;0.01;0.1;1;10;100},{"Muy baja";"Muy baja";"Baja";"Media";"Alta";"Muy alta"}),"")</f>
        <v/>
      </c>
      <c r="AF753" s="30">
        <f>T753*AD753</f>
        <v/>
      </c>
      <c r="AG753" s="28">
        <f>IFERROR(LOOKUP(AF753,{0;0.5;5;25},{"Bajo";"Medio";"Alto";"Crítico"}),"")</f>
        <v/>
      </c>
      <c r="AH753" s="28">
        <f>IF(AG753="","",IF(OR(AG753="Crítico",AG753="Alto"),"Mitigar",IF(AG753="Medio","Mitigar","Aceptar y monitorear")))</f>
        <v/>
      </c>
      <c r="AI753" s="21" t="n"/>
      <c r="AJ753" s="21" t="n"/>
      <c r="AK753" s="20" t="n"/>
      <c r="AL753" s="77">
        <f>IFERROR(INDEX(MgAmenEfic,MATCH(SUBSTITUTE($H753,"*","-"),MgAmenClave,0)),0)</f>
        <v/>
      </c>
    </row>
    <row r="754" hidden="1" ht="120" customHeight="1" s="54">
      <c r="B754" s="59" t="inlineStr">
        <is>
          <t>R-0749</t>
        </is>
      </c>
      <c r="C754" s="59" t="inlineStr">
        <is>
          <t>FIN-10</t>
        </is>
      </c>
      <c r="D754" s="64">
        <f>IFERROR(INDEX(MgNombre,MATCH($C754,MgActId,0)),"")</f>
        <v/>
      </c>
      <c r="E754" s="64">
        <f>IFERROR(INDEX(MgProceso,MATCH($C754,MgActId,0)),"")</f>
        <v/>
      </c>
      <c r="F754" s="64">
        <f>IFERROR(INDEX(MgTipo,MATCH($C754,MgActId,0)),"")</f>
        <v/>
      </c>
      <c r="G754" s="64">
        <f>IFERROR(INDEX(MgSubtipo,MATCH($C754,MgActId,0)),"")</f>
        <v/>
      </c>
      <c r="H754" s="59" t="inlineStr">
        <is>
          <t>A.11</t>
        </is>
      </c>
      <c r="I754" s="64">
        <f>IFERROR(INDEX(MgAmenNombre,MATCH(SUBSTITUTE($H754,"*","-"),MgAmenClave,0)),"")</f>
        <v/>
      </c>
      <c r="J754" s="28">
        <f>IFERROR(INDEX(MgAmenGrupo,MATCH(SUBSTITUTE($H754,"*","-"),MgAmenClave,0)),"")</f>
        <v/>
      </c>
      <c r="K754" s="64">
        <f>IFERROR(INDEX('1. Matriz de Activos'!$Q$6:$Q$239,MATCH($C754,MgActId,0)),"")</f>
        <v/>
      </c>
      <c r="L754" s="64">
        <f>IFERROR(INDEX('1. Matriz de Activos'!$R$6:$R$239,MATCH($C754,MgActId,0)),"")</f>
        <v/>
      </c>
      <c r="M754" s="64">
        <f>IFERROR(INDEX('1. Matriz de Activos'!$S$6:$S$239,MATCH($C754,MgActId,0)),"")</f>
        <v/>
      </c>
      <c r="N754" s="28">
        <f>IFERROR(INDEX(MgAmenDegD,MATCH(SUBSTITUTE($H754,"*","-"),MgAmenClave,0)),"No aplica")</f>
        <v/>
      </c>
      <c r="O754" s="28">
        <f>IFERROR(INDEX(MgAmenDegI,MATCH(SUBSTITUTE($H754,"*","-"),MgAmenClave,0)),"No aplica")</f>
        <v/>
      </c>
      <c r="P754" s="28">
        <f>IFERROR(INDEX(MgAmenDegC,MATCH(SUBSTITUTE($H754,"*","-"),MgAmenClave,0)),"No aplica")</f>
        <v/>
      </c>
      <c r="Q754" s="29">
        <f>IFERROR(VLOOKUP(K754,MgValor,2,0)*VLOOKUP(N754,MgDeg,2,0),0)</f>
        <v/>
      </c>
      <c r="R754" s="29">
        <f>IFERROR(VLOOKUP(L754,MgValor,2,0)*VLOOKUP(O754,MgDeg,2,0),0)</f>
        <v/>
      </c>
      <c r="S754" s="29">
        <f>IFERROR(VLOOKUP(M754,MgValor,2,0)*VLOOKUP(P754,MgDeg,2,0),0)</f>
        <v/>
      </c>
      <c r="T754" s="30">
        <f>MAX(Q754:S754)</f>
        <v/>
      </c>
      <c r="U754" s="28">
        <f>IFERROR(LOOKUP(T754,{0;0.5;1.5;3;4.5},{"Despreciable";"Bajo";"Medio";"Alto";"Muy alto"}),"")</f>
        <v/>
      </c>
      <c r="V754" s="13">
        <f>IFERROR(INDEX(MgAmenFrec,MATCH(SUBSTITUTE($H754,"*","-"),MgAmenClave,0)),"")</f>
        <v/>
      </c>
      <c r="W754" s="28">
        <f>IFERROR(LOOKUP(X754,{0;0.01;0.1;1;10;100},{"Muy baja";"Muy baja";"Baja";"Media";"Alta";"Muy alta"}),"")</f>
        <v/>
      </c>
      <c r="X754" s="31">
        <f>IFERROR(VLOOKUP(V754,MgFrec,2,0),0)</f>
        <v/>
      </c>
      <c r="Y754" s="30">
        <f>T754*X754</f>
        <v/>
      </c>
      <c r="Z754" s="28">
        <f>IFERROR(LOOKUP(Y754,{0;0.5;5;25},{"Bajo";"Medio";"Alto";"Crítico"}),"")</f>
        <v/>
      </c>
      <c r="AA754" s="64">
        <f>IF(T754&gt;=3,IF(X754&gt;=1,"Zona 1 — Crítica: impacto alto y ocurre al menos una vez al año","Zona 4 — Catastrófica poco probable: impacto alto pero excepcional"),IF(AND(T754&lt;1.5,X754&lt;1),"Zona 3 — Asumible: impacto bajo y muy poco frecuente","Zona 2 — Atención: riesgo intermedio"))</f>
        <v/>
      </c>
      <c r="AB754" s="64">
        <f>IFERROR(INDEX(MgAmenCtrl,MATCH(SUBSTITUTE($H754,"*","-"),MgAmenClave,0)),"")</f>
        <v/>
      </c>
      <c r="AC754" s="20" t="n"/>
      <c r="AD754" s="31">
        <f>IFERROR($X754*(1-IF($AC754="",$AL754,VLOOKUP($AC754,MgMad,2,0))),"")</f>
        <v/>
      </c>
      <c r="AE754" s="28">
        <f>IFERROR(LOOKUP(AD754,{0;0.01;0.1;1;10;100},{"Muy baja";"Muy baja";"Baja";"Media";"Alta";"Muy alta"}),"")</f>
        <v/>
      </c>
      <c r="AF754" s="30">
        <f>T754*AD754</f>
        <v/>
      </c>
      <c r="AG754" s="28">
        <f>IFERROR(LOOKUP(AF754,{0;0.5;5;25},{"Bajo";"Medio";"Alto";"Crítico"}),"")</f>
        <v/>
      </c>
      <c r="AH754" s="28">
        <f>IF(AG754="","",IF(OR(AG754="Crítico",AG754="Alto"),"Mitigar",IF(AG754="Medio","Mitigar","Aceptar y monitorear")))</f>
        <v/>
      </c>
      <c r="AI754" s="21" t="n"/>
      <c r="AJ754" s="21" t="n"/>
      <c r="AK754" s="20" t="n"/>
      <c r="AL754" s="77">
        <f>IFERROR(INDEX(MgAmenEfic,MATCH(SUBSTITUTE($H754,"*","-"),MgAmenClave,0)),0)</f>
        <v/>
      </c>
    </row>
    <row r="755" hidden="1" ht="90" customHeight="1" s="54">
      <c r="B755" s="59" t="inlineStr">
        <is>
          <t>R-0750</t>
        </is>
      </c>
      <c r="C755" s="59" t="inlineStr">
        <is>
          <t>FIN-10</t>
        </is>
      </c>
      <c r="D755" s="64">
        <f>IFERROR(INDEX(MgNombre,MATCH($C755,MgActId,0)),"")</f>
        <v/>
      </c>
      <c r="E755" s="64">
        <f>IFERROR(INDEX(MgProceso,MATCH($C755,MgActId,0)),"")</f>
        <v/>
      </c>
      <c r="F755" s="64">
        <f>IFERROR(INDEX(MgTipo,MATCH($C755,MgActId,0)),"")</f>
        <v/>
      </c>
      <c r="G755" s="64">
        <f>IFERROR(INDEX(MgSubtipo,MATCH($C755,MgActId,0)),"")</f>
        <v/>
      </c>
      <c r="H755" s="59" t="inlineStr">
        <is>
          <t>A.13</t>
        </is>
      </c>
      <c r="I755" s="64">
        <f>IFERROR(INDEX(MgAmenNombre,MATCH(SUBSTITUTE($H755,"*","-"),MgAmenClave,0)),"")</f>
        <v/>
      </c>
      <c r="J755" s="28">
        <f>IFERROR(INDEX(MgAmenGrupo,MATCH(SUBSTITUTE($H755,"*","-"),MgAmenClave,0)),"")</f>
        <v/>
      </c>
      <c r="K755" s="64">
        <f>IFERROR(INDEX('1. Matriz de Activos'!$Q$6:$Q$239,MATCH($C755,MgActId,0)),"")</f>
        <v/>
      </c>
      <c r="L755" s="64">
        <f>IFERROR(INDEX('1. Matriz de Activos'!$R$6:$R$239,MATCH($C755,MgActId,0)),"")</f>
        <v/>
      </c>
      <c r="M755" s="64">
        <f>IFERROR(INDEX('1. Matriz de Activos'!$S$6:$S$239,MATCH($C755,MgActId,0)),"")</f>
        <v/>
      </c>
      <c r="N755" s="28">
        <f>IFERROR(INDEX(MgAmenDegD,MATCH(SUBSTITUTE($H755,"*","-"),MgAmenClave,0)),"No aplica")</f>
        <v/>
      </c>
      <c r="O755" s="28">
        <f>IFERROR(INDEX(MgAmenDegI,MATCH(SUBSTITUTE($H755,"*","-"),MgAmenClave,0)),"No aplica")</f>
        <v/>
      </c>
      <c r="P755" s="28">
        <f>IFERROR(INDEX(MgAmenDegC,MATCH(SUBSTITUTE($H755,"*","-"),MgAmenClave,0)),"No aplica")</f>
        <v/>
      </c>
      <c r="Q755" s="29">
        <f>IFERROR(VLOOKUP(K755,MgValor,2,0)*VLOOKUP(N755,MgDeg,2,0),0)</f>
        <v/>
      </c>
      <c r="R755" s="29">
        <f>IFERROR(VLOOKUP(L755,MgValor,2,0)*VLOOKUP(O755,MgDeg,2,0),0)</f>
        <v/>
      </c>
      <c r="S755" s="29">
        <f>IFERROR(VLOOKUP(M755,MgValor,2,0)*VLOOKUP(P755,MgDeg,2,0),0)</f>
        <v/>
      </c>
      <c r="T755" s="30">
        <f>MAX(Q755:S755)</f>
        <v/>
      </c>
      <c r="U755" s="28">
        <f>IFERROR(LOOKUP(T755,{0;0.5;1.5;3;4.5},{"Despreciable";"Bajo";"Medio";"Alto";"Muy alto"}),"")</f>
        <v/>
      </c>
      <c r="V755" s="13">
        <f>IFERROR(INDEX(MgAmenFrec,MATCH(SUBSTITUTE($H755,"*","-"),MgAmenClave,0)),"")</f>
        <v/>
      </c>
      <c r="W755" s="28">
        <f>IFERROR(LOOKUP(X755,{0;0.01;0.1;1;10;100},{"Muy baja";"Muy baja";"Baja";"Media";"Alta";"Muy alta"}),"")</f>
        <v/>
      </c>
      <c r="X755" s="31">
        <f>IFERROR(VLOOKUP(V755,MgFrec,2,0),0)</f>
        <v/>
      </c>
      <c r="Y755" s="30">
        <f>T755*X755</f>
        <v/>
      </c>
      <c r="Z755" s="28">
        <f>IFERROR(LOOKUP(Y755,{0;0.5;5;25},{"Bajo";"Medio";"Alto";"Crítico"}),"")</f>
        <v/>
      </c>
      <c r="AA755" s="64">
        <f>IF(T755&gt;=3,IF(X755&gt;=1,"Zona 1 — Crítica: impacto alto y ocurre al menos una vez al año","Zona 4 — Catastrófica poco probable: impacto alto pero excepcional"),IF(AND(T755&lt;1.5,X755&lt;1),"Zona 3 — Asumible: impacto bajo y muy poco frecuente","Zona 2 — Atención: riesgo intermedio"))</f>
        <v/>
      </c>
      <c r="AB755" s="64">
        <f>IFERROR(INDEX(MgAmenCtrl,MATCH(SUBSTITUTE($H755,"*","-"),MgAmenClave,0)),"")</f>
        <v/>
      </c>
      <c r="AC755" s="20" t="n"/>
      <c r="AD755" s="31">
        <f>IFERROR($X755*(1-IF($AC755="",$AL755,VLOOKUP($AC755,MgMad,2,0))),"")</f>
        <v/>
      </c>
      <c r="AE755" s="28">
        <f>IFERROR(LOOKUP(AD755,{0;0.01;0.1;1;10;100},{"Muy baja";"Muy baja";"Baja";"Media";"Alta";"Muy alta"}),"")</f>
        <v/>
      </c>
      <c r="AF755" s="30">
        <f>T755*AD755</f>
        <v/>
      </c>
      <c r="AG755" s="28">
        <f>IFERROR(LOOKUP(AF755,{0;0.5;5;25},{"Bajo";"Medio";"Alto";"Crítico"}),"")</f>
        <v/>
      </c>
      <c r="AH755" s="28">
        <f>IF(AG755="","",IF(OR(AG755="Crítico",AG755="Alto"),"Mitigar",IF(AG755="Medio","Mitigar","Aceptar y monitorear")))</f>
        <v/>
      </c>
      <c r="AI755" s="21" t="n"/>
      <c r="AJ755" s="21" t="n"/>
      <c r="AK755" s="20" t="n"/>
      <c r="AL755" s="77">
        <f>IFERROR(INDEX(MgAmenEfic,MATCH(SUBSTITUTE($H755,"*","-"),MgAmenClave,0)),0)</f>
        <v/>
      </c>
    </row>
    <row r="756" hidden="1" ht="60" customHeight="1" s="54">
      <c r="B756" s="59" t="inlineStr">
        <is>
          <t>R-0751</t>
        </is>
      </c>
      <c r="C756" s="59" t="inlineStr">
        <is>
          <t>FIN-10</t>
        </is>
      </c>
      <c r="D756" s="64">
        <f>IFERROR(INDEX(MgNombre,MATCH($C756,MgActId,0)),"")</f>
        <v/>
      </c>
      <c r="E756" s="64">
        <f>IFERROR(INDEX(MgProceso,MATCH($C756,MgActId,0)),"")</f>
        <v/>
      </c>
      <c r="F756" s="64">
        <f>IFERROR(INDEX(MgTipo,MATCH($C756,MgActId,0)),"")</f>
        <v/>
      </c>
      <c r="G756" s="64">
        <f>IFERROR(INDEX(MgSubtipo,MATCH($C756,MgActId,0)),"")</f>
        <v/>
      </c>
      <c r="H756" s="59" t="inlineStr">
        <is>
          <t>A.15</t>
        </is>
      </c>
      <c r="I756" s="64">
        <f>IFERROR(INDEX(MgAmenNombre,MATCH(SUBSTITUTE($H756,"*","-"),MgAmenClave,0)),"")</f>
        <v/>
      </c>
      <c r="J756" s="28">
        <f>IFERROR(INDEX(MgAmenGrupo,MATCH(SUBSTITUTE($H756,"*","-"),MgAmenClave,0)),"")</f>
        <v/>
      </c>
      <c r="K756" s="64">
        <f>IFERROR(INDEX('1. Matriz de Activos'!$Q$6:$Q$239,MATCH($C756,MgActId,0)),"")</f>
        <v/>
      </c>
      <c r="L756" s="64">
        <f>IFERROR(INDEX('1. Matriz de Activos'!$R$6:$R$239,MATCH($C756,MgActId,0)),"")</f>
        <v/>
      </c>
      <c r="M756" s="64">
        <f>IFERROR(INDEX('1. Matriz de Activos'!$S$6:$S$239,MATCH($C756,MgActId,0)),"")</f>
        <v/>
      </c>
      <c r="N756" s="28">
        <f>IFERROR(INDEX(MgAmenDegD,MATCH(SUBSTITUTE($H756,"*","-"),MgAmenClave,0)),"No aplica")</f>
        <v/>
      </c>
      <c r="O756" s="28">
        <f>IFERROR(INDEX(MgAmenDegI,MATCH(SUBSTITUTE($H756,"*","-"),MgAmenClave,0)),"No aplica")</f>
        <v/>
      </c>
      <c r="P756" s="28">
        <f>IFERROR(INDEX(MgAmenDegC,MATCH(SUBSTITUTE($H756,"*","-"),MgAmenClave,0)),"No aplica")</f>
        <v/>
      </c>
      <c r="Q756" s="29">
        <f>IFERROR(VLOOKUP(K756,MgValor,2,0)*VLOOKUP(N756,MgDeg,2,0),0)</f>
        <v/>
      </c>
      <c r="R756" s="29">
        <f>IFERROR(VLOOKUP(L756,MgValor,2,0)*VLOOKUP(O756,MgDeg,2,0),0)</f>
        <v/>
      </c>
      <c r="S756" s="29">
        <f>IFERROR(VLOOKUP(M756,MgValor,2,0)*VLOOKUP(P756,MgDeg,2,0),0)</f>
        <v/>
      </c>
      <c r="T756" s="30">
        <f>MAX(Q756:S756)</f>
        <v/>
      </c>
      <c r="U756" s="28">
        <f>IFERROR(LOOKUP(T756,{0;0.5;1.5;3;4.5},{"Despreciable";"Bajo";"Medio";"Alto";"Muy alto"}),"")</f>
        <v/>
      </c>
      <c r="V756" s="13">
        <f>IFERROR(INDEX(MgAmenFrec,MATCH(SUBSTITUTE($H756,"*","-"),MgAmenClave,0)),"")</f>
        <v/>
      </c>
      <c r="W756" s="28">
        <f>IFERROR(LOOKUP(X756,{0;0.01;0.1;1;10;100},{"Muy baja";"Muy baja";"Baja";"Media";"Alta";"Muy alta"}),"")</f>
        <v/>
      </c>
      <c r="X756" s="31">
        <f>IFERROR(VLOOKUP(V756,MgFrec,2,0),0)</f>
        <v/>
      </c>
      <c r="Y756" s="30">
        <f>T756*X756</f>
        <v/>
      </c>
      <c r="Z756" s="28">
        <f>IFERROR(LOOKUP(Y756,{0;0.5;5;25},{"Bajo";"Medio";"Alto";"Crítico"}),"")</f>
        <v/>
      </c>
      <c r="AA756" s="64">
        <f>IF(T756&gt;=3,IF(X756&gt;=1,"Zona 1 — Crítica: impacto alto y ocurre al menos una vez al año","Zona 4 — Catastrófica poco probable: impacto alto pero excepcional"),IF(AND(T756&lt;1.5,X756&lt;1),"Zona 3 — Asumible: impacto bajo y muy poco frecuente","Zona 2 — Atención: riesgo intermedio"))</f>
        <v/>
      </c>
      <c r="AB756" s="64">
        <f>IFERROR(INDEX(MgAmenCtrl,MATCH(SUBSTITUTE($H756,"*","-"),MgAmenClave,0)),"")</f>
        <v/>
      </c>
      <c r="AC756" s="20" t="n"/>
      <c r="AD756" s="31">
        <f>IFERROR($X756*(1-IF($AC756="",$AL756,VLOOKUP($AC756,MgMad,2,0))),"")</f>
        <v/>
      </c>
      <c r="AE756" s="28">
        <f>IFERROR(LOOKUP(AD756,{0;0.01;0.1;1;10;100},{"Muy baja";"Muy baja";"Baja";"Media";"Alta";"Muy alta"}),"")</f>
        <v/>
      </c>
      <c r="AF756" s="30">
        <f>T756*AD756</f>
        <v/>
      </c>
      <c r="AG756" s="28">
        <f>IFERROR(LOOKUP(AF756,{0;0.5;5;25},{"Bajo";"Medio";"Alto";"Crítico"}),"")</f>
        <v/>
      </c>
      <c r="AH756" s="28">
        <f>IF(AG756="","",IF(OR(AG756="Crítico",AG756="Alto"),"Mitigar",IF(AG756="Medio","Mitigar","Aceptar y monitorear")))</f>
        <v/>
      </c>
      <c r="AI756" s="21" t="n"/>
      <c r="AJ756" s="21" t="n"/>
      <c r="AK756" s="20" t="n"/>
      <c r="AL756" s="77">
        <f>IFERROR(INDEX(MgAmenEfic,MATCH(SUBSTITUTE($H756,"*","-"),MgAmenClave,0)),0)</f>
        <v/>
      </c>
    </row>
    <row r="757" hidden="1" ht="60" customHeight="1" s="54">
      <c r="B757" s="59" t="inlineStr">
        <is>
          <t>R-0752</t>
        </is>
      </c>
      <c r="C757" s="59" t="inlineStr">
        <is>
          <t>FIN-10</t>
        </is>
      </c>
      <c r="D757" s="64">
        <f>IFERROR(INDEX(MgNombre,MATCH($C757,MgActId,0)),"")</f>
        <v/>
      </c>
      <c r="E757" s="64">
        <f>IFERROR(INDEX(MgProceso,MATCH($C757,MgActId,0)),"")</f>
        <v/>
      </c>
      <c r="F757" s="64">
        <f>IFERROR(INDEX(MgTipo,MATCH($C757,MgActId,0)),"")</f>
        <v/>
      </c>
      <c r="G757" s="64">
        <f>IFERROR(INDEX(MgSubtipo,MATCH($C757,MgActId,0)),"")</f>
        <v/>
      </c>
      <c r="H757" s="59" t="inlineStr">
        <is>
          <t>A.18</t>
        </is>
      </c>
      <c r="I757" s="64">
        <f>IFERROR(INDEX(MgAmenNombre,MATCH(SUBSTITUTE($H757,"*","-"),MgAmenClave,0)),"")</f>
        <v/>
      </c>
      <c r="J757" s="28">
        <f>IFERROR(INDEX(MgAmenGrupo,MATCH(SUBSTITUTE($H757,"*","-"),MgAmenClave,0)),"")</f>
        <v/>
      </c>
      <c r="K757" s="64">
        <f>IFERROR(INDEX('1. Matriz de Activos'!$Q$6:$Q$239,MATCH($C757,MgActId,0)),"")</f>
        <v/>
      </c>
      <c r="L757" s="64">
        <f>IFERROR(INDEX('1. Matriz de Activos'!$R$6:$R$239,MATCH($C757,MgActId,0)),"")</f>
        <v/>
      </c>
      <c r="M757" s="64">
        <f>IFERROR(INDEX('1. Matriz de Activos'!$S$6:$S$239,MATCH($C757,MgActId,0)),"")</f>
        <v/>
      </c>
      <c r="N757" s="28">
        <f>IFERROR(INDEX(MgAmenDegD,MATCH(SUBSTITUTE($H757,"*","-"),MgAmenClave,0)),"No aplica")</f>
        <v/>
      </c>
      <c r="O757" s="28">
        <f>IFERROR(INDEX(MgAmenDegI,MATCH(SUBSTITUTE($H757,"*","-"),MgAmenClave,0)),"No aplica")</f>
        <v/>
      </c>
      <c r="P757" s="28">
        <f>IFERROR(INDEX(MgAmenDegC,MATCH(SUBSTITUTE($H757,"*","-"),MgAmenClave,0)),"No aplica")</f>
        <v/>
      </c>
      <c r="Q757" s="29">
        <f>IFERROR(VLOOKUP(K757,MgValor,2,0)*VLOOKUP(N757,MgDeg,2,0),0)</f>
        <v/>
      </c>
      <c r="R757" s="29">
        <f>IFERROR(VLOOKUP(L757,MgValor,2,0)*VLOOKUP(O757,MgDeg,2,0),0)</f>
        <v/>
      </c>
      <c r="S757" s="29">
        <f>IFERROR(VLOOKUP(M757,MgValor,2,0)*VLOOKUP(P757,MgDeg,2,0),0)</f>
        <v/>
      </c>
      <c r="T757" s="30">
        <f>MAX(Q757:S757)</f>
        <v/>
      </c>
      <c r="U757" s="28">
        <f>IFERROR(LOOKUP(T757,{0;0.5;1.5;3;4.5},{"Despreciable";"Bajo";"Medio";"Alto";"Muy alto"}),"")</f>
        <v/>
      </c>
      <c r="V757" s="13">
        <f>IFERROR(INDEX(MgAmenFrec,MATCH(SUBSTITUTE($H757,"*","-"),MgAmenClave,0)),"")</f>
        <v/>
      </c>
      <c r="W757" s="28">
        <f>IFERROR(LOOKUP(X757,{0;0.01;0.1;1;10;100},{"Muy baja";"Muy baja";"Baja";"Media";"Alta";"Muy alta"}),"")</f>
        <v/>
      </c>
      <c r="X757" s="31">
        <f>IFERROR(VLOOKUP(V757,MgFrec,2,0),0)</f>
        <v/>
      </c>
      <c r="Y757" s="30">
        <f>T757*X757</f>
        <v/>
      </c>
      <c r="Z757" s="28">
        <f>IFERROR(LOOKUP(Y757,{0;0.5;5;25},{"Bajo";"Medio";"Alto";"Crítico"}),"")</f>
        <v/>
      </c>
      <c r="AA757" s="64">
        <f>IF(T757&gt;=3,IF(X757&gt;=1,"Zona 1 — Crítica: impacto alto y ocurre al menos una vez al año","Zona 4 — Catastrófica poco probable: impacto alto pero excepcional"),IF(AND(T757&lt;1.5,X757&lt;1),"Zona 3 — Asumible: impacto bajo y muy poco frecuente","Zona 2 — Atención: riesgo intermedio"))</f>
        <v/>
      </c>
      <c r="AB757" s="64">
        <f>IFERROR(INDEX(MgAmenCtrl,MATCH(SUBSTITUTE($H757,"*","-"),MgAmenClave,0)),"")</f>
        <v/>
      </c>
      <c r="AC757" s="20" t="n"/>
      <c r="AD757" s="31">
        <f>IFERROR($X757*(1-IF($AC757="",$AL757,VLOOKUP($AC757,MgMad,2,0))),"")</f>
        <v/>
      </c>
      <c r="AE757" s="28">
        <f>IFERROR(LOOKUP(AD757,{0;0.01;0.1;1;10;100},{"Muy baja";"Muy baja";"Baja";"Media";"Alta";"Muy alta"}),"")</f>
        <v/>
      </c>
      <c r="AF757" s="30">
        <f>T757*AD757</f>
        <v/>
      </c>
      <c r="AG757" s="28">
        <f>IFERROR(LOOKUP(AF757,{0;0.5;5;25},{"Bajo";"Medio";"Alto";"Crítico"}),"")</f>
        <v/>
      </c>
      <c r="AH757" s="28">
        <f>IF(AG757="","",IF(OR(AG757="Crítico",AG757="Alto"),"Mitigar",IF(AG757="Medio","Mitigar","Aceptar y monitorear")))</f>
        <v/>
      </c>
      <c r="AI757" s="21" t="n"/>
      <c r="AJ757" s="21" t="n"/>
      <c r="AK757" s="20" t="n"/>
      <c r="AL757" s="77">
        <f>IFERROR(INDEX(MgAmenEfic,MATCH(SUBSTITUTE($H757,"*","-"),MgAmenClave,0)),0)</f>
        <v/>
      </c>
    </row>
    <row r="758" hidden="1" ht="120" customHeight="1" s="54">
      <c r="B758" s="59" t="inlineStr">
        <is>
          <t>R-0753</t>
        </is>
      </c>
      <c r="C758" s="59" t="inlineStr">
        <is>
          <t>FIN-10</t>
        </is>
      </c>
      <c r="D758" s="64">
        <f>IFERROR(INDEX(MgNombre,MATCH($C758,MgActId,0)),"")</f>
        <v/>
      </c>
      <c r="E758" s="64">
        <f>IFERROR(INDEX(MgProceso,MATCH($C758,MgActId,0)),"")</f>
        <v/>
      </c>
      <c r="F758" s="64">
        <f>IFERROR(INDEX(MgTipo,MATCH($C758,MgActId,0)),"")</f>
        <v/>
      </c>
      <c r="G758" s="64">
        <f>IFERROR(INDEX(MgSubtipo,MATCH($C758,MgActId,0)),"")</f>
        <v/>
      </c>
      <c r="H758" s="59" t="inlineStr">
        <is>
          <t>A.19</t>
        </is>
      </c>
      <c r="I758" s="64">
        <f>IFERROR(INDEX(MgAmenNombre,MATCH(SUBSTITUTE($H758,"*","-"),MgAmenClave,0)),"")</f>
        <v/>
      </c>
      <c r="J758" s="28">
        <f>IFERROR(INDEX(MgAmenGrupo,MATCH(SUBSTITUTE($H758,"*","-"),MgAmenClave,0)),"")</f>
        <v/>
      </c>
      <c r="K758" s="64">
        <f>IFERROR(INDEX('1. Matriz de Activos'!$Q$6:$Q$239,MATCH($C758,MgActId,0)),"")</f>
        <v/>
      </c>
      <c r="L758" s="64">
        <f>IFERROR(INDEX('1. Matriz de Activos'!$R$6:$R$239,MATCH($C758,MgActId,0)),"")</f>
        <v/>
      </c>
      <c r="M758" s="64">
        <f>IFERROR(INDEX('1. Matriz de Activos'!$S$6:$S$239,MATCH($C758,MgActId,0)),"")</f>
        <v/>
      </c>
      <c r="N758" s="28">
        <f>IFERROR(INDEX(MgAmenDegD,MATCH(SUBSTITUTE($H758,"*","-"),MgAmenClave,0)),"No aplica")</f>
        <v/>
      </c>
      <c r="O758" s="28">
        <f>IFERROR(INDEX(MgAmenDegI,MATCH(SUBSTITUTE($H758,"*","-"),MgAmenClave,0)),"No aplica")</f>
        <v/>
      </c>
      <c r="P758" s="28">
        <f>IFERROR(INDEX(MgAmenDegC,MATCH(SUBSTITUTE($H758,"*","-"),MgAmenClave,0)),"No aplica")</f>
        <v/>
      </c>
      <c r="Q758" s="29">
        <f>IFERROR(VLOOKUP(K758,MgValor,2,0)*VLOOKUP(N758,MgDeg,2,0),0)</f>
        <v/>
      </c>
      <c r="R758" s="29">
        <f>IFERROR(VLOOKUP(L758,MgValor,2,0)*VLOOKUP(O758,MgDeg,2,0),0)</f>
        <v/>
      </c>
      <c r="S758" s="29">
        <f>IFERROR(VLOOKUP(M758,MgValor,2,0)*VLOOKUP(P758,MgDeg,2,0),0)</f>
        <v/>
      </c>
      <c r="T758" s="30">
        <f>MAX(Q758:S758)</f>
        <v/>
      </c>
      <c r="U758" s="28">
        <f>IFERROR(LOOKUP(T758,{0;0.5;1.5;3;4.5},{"Despreciable";"Bajo";"Medio";"Alto";"Muy alto"}),"")</f>
        <v/>
      </c>
      <c r="V758" s="13">
        <f>IFERROR(INDEX(MgAmenFrec,MATCH(SUBSTITUTE($H758,"*","-"),MgAmenClave,0)),"")</f>
        <v/>
      </c>
      <c r="W758" s="28">
        <f>IFERROR(LOOKUP(X758,{0;0.01;0.1;1;10;100},{"Muy baja";"Muy baja";"Baja";"Media";"Alta";"Muy alta"}),"")</f>
        <v/>
      </c>
      <c r="X758" s="31">
        <f>IFERROR(VLOOKUP(V758,MgFrec,2,0),0)</f>
        <v/>
      </c>
      <c r="Y758" s="30">
        <f>T758*X758</f>
        <v/>
      </c>
      <c r="Z758" s="28">
        <f>IFERROR(LOOKUP(Y758,{0;0.5;5;25},{"Bajo";"Medio";"Alto";"Crítico"}),"")</f>
        <v/>
      </c>
      <c r="AA758" s="64">
        <f>IF(T758&gt;=3,IF(X758&gt;=1,"Zona 1 — Crítica: impacto alto y ocurre al menos una vez al año","Zona 4 — Catastrófica poco probable: impacto alto pero excepcional"),IF(AND(T758&lt;1.5,X758&lt;1),"Zona 3 — Asumible: impacto bajo y muy poco frecuente","Zona 2 — Atención: riesgo intermedio"))</f>
        <v/>
      </c>
      <c r="AB758" s="64">
        <f>IFERROR(INDEX(MgAmenCtrl,MATCH(SUBSTITUTE($H758,"*","-"),MgAmenClave,0)),"")</f>
        <v/>
      </c>
      <c r="AC758" s="20" t="n"/>
      <c r="AD758" s="31">
        <f>IFERROR($X758*(1-IF($AC758="",$AL758,VLOOKUP($AC758,MgMad,2,0))),"")</f>
        <v/>
      </c>
      <c r="AE758" s="28">
        <f>IFERROR(LOOKUP(AD758,{0;0.01;0.1;1;10;100},{"Muy baja";"Muy baja";"Baja";"Media";"Alta";"Muy alta"}),"")</f>
        <v/>
      </c>
      <c r="AF758" s="30">
        <f>T758*AD758</f>
        <v/>
      </c>
      <c r="AG758" s="28">
        <f>IFERROR(LOOKUP(AF758,{0;0.5;5;25},{"Bajo";"Medio";"Alto";"Crítico"}),"")</f>
        <v/>
      </c>
      <c r="AH758" s="28">
        <f>IF(AG758="","",IF(OR(AG758="Crítico",AG758="Alto"),"Mitigar",IF(AG758="Medio","Mitigar","Aceptar y monitorear")))</f>
        <v/>
      </c>
      <c r="AI758" s="21" t="n"/>
      <c r="AJ758" s="21" t="n"/>
      <c r="AK758" s="20" t="n"/>
      <c r="AL758" s="77">
        <f>IFERROR(INDEX(MgAmenEfic,MATCH(SUBSTITUTE($H758,"*","-"),MgAmenClave,0)),0)</f>
        <v/>
      </c>
    </row>
    <row r="759" hidden="1" ht="105" customHeight="1" s="54">
      <c r="B759" s="59" t="inlineStr">
        <is>
          <t>R-0754</t>
        </is>
      </c>
      <c r="C759" s="59" t="inlineStr">
        <is>
          <t>COM-09</t>
        </is>
      </c>
      <c r="D759" s="64">
        <f>IFERROR(INDEX(MgNombre,MATCH($C759,MgActId,0)),"")</f>
        <v/>
      </c>
      <c r="E759" s="64">
        <f>IFERROR(INDEX(MgProceso,MATCH($C759,MgActId,0)),"")</f>
        <v/>
      </c>
      <c r="F759" s="64">
        <f>IFERROR(INDEX(MgTipo,MATCH($C759,MgActId,0)),"")</f>
        <v/>
      </c>
      <c r="G759" s="64">
        <f>IFERROR(INDEX(MgSubtipo,MATCH($C759,MgActId,0)),"")</f>
        <v/>
      </c>
      <c r="H759" s="59" t="inlineStr">
        <is>
          <t>E.1</t>
        </is>
      </c>
      <c r="I759" s="64">
        <f>IFERROR(INDEX(MgAmenNombre,MATCH(SUBSTITUTE($H759,"*","-"),MgAmenClave,0)),"")</f>
        <v/>
      </c>
      <c r="J759" s="28">
        <f>IFERROR(INDEX(MgAmenGrupo,MATCH(SUBSTITUTE($H759,"*","-"),MgAmenClave,0)),"")</f>
        <v/>
      </c>
      <c r="K759" s="64">
        <f>IFERROR(INDEX('1. Matriz de Activos'!$Q$6:$Q$239,MATCH($C759,MgActId,0)),"")</f>
        <v/>
      </c>
      <c r="L759" s="64">
        <f>IFERROR(INDEX('1. Matriz de Activos'!$R$6:$R$239,MATCH($C759,MgActId,0)),"")</f>
        <v/>
      </c>
      <c r="M759" s="64">
        <f>IFERROR(INDEX('1. Matriz de Activos'!$S$6:$S$239,MATCH($C759,MgActId,0)),"")</f>
        <v/>
      </c>
      <c r="N759" s="28">
        <f>IFERROR(INDEX(MgAmenDegD,MATCH(SUBSTITUTE($H759,"*","-"),MgAmenClave,0)),"No aplica")</f>
        <v/>
      </c>
      <c r="O759" s="28">
        <f>IFERROR(INDEX(MgAmenDegI,MATCH(SUBSTITUTE($H759,"*","-"),MgAmenClave,0)),"No aplica")</f>
        <v/>
      </c>
      <c r="P759" s="28">
        <f>IFERROR(INDEX(MgAmenDegC,MATCH(SUBSTITUTE($H759,"*","-"),MgAmenClave,0)),"No aplica")</f>
        <v/>
      </c>
      <c r="Q759" s="29">
        <f>IFERROR(VLOOKUP(K759,MgValor,2,0)*VLOOKUP(N759,MgDeg,2,0),0)</f>
        <v/>
      </c>
      <c r="R759" s="29">
        <f>IFERROR(VLOOKUP(L759,MgValor,2,0)*VLOOKUP(O759,MgDeg,2,0),0)</f>
        <v/>
      </c>
      <c r="S759" s="29">
        <f>IFERROR(VLOOKUP(M759,MgValor,2,0)*VLOOKUP(P759,MgDeg,2,0),0)</f>
        <v/>
      </c>
      <c r="T759" s="30">
        <f>MAX(Q759:S759)</f>
        <v/>
      </c>
      <c r="U759" s="28">
        <f>IFERROR(LOOKUP(T759,{0;0.5;1.5;3;4.5},{"Despreciable";"Bajo";"Medio";"Alto";"Muy alto"}),"")</f>
        <v/>
      </c>
      <c r="V759" s="13">
        <f>IFERROR(INDEX(MgAmenFrec,MATCH(SUBSTITUTE($H759,"*","-"),MgAmenClave,0)),"")</f>
        <v/>
      </c>
      <c r="W759" s="28">
        <f>IFERROR(LOOKUP(X759,{0;0.01;0.1;1;10;100},{"Muy baja";"Muy baja";"Baja";"Media";"Alta";"Muy alta"}),"")</f>
        <v/>
      </c>
      <c r="X759" s="31">
        <f>IFERROR(VLOOKUP(V759,MgFrec,2,0),0)</f>
        <v/>
      </c>
      <c r="Y759" s="30">
        <f>T759*X759</f>
        <v/>
      </c>
      <c r="Z759" s="28">
        <f>IFERROR(LOOKUP(Y759,{0;0.5;5;25},{"Bajo";"Medio";"Alto";"Crítico"}),"")</f>
        <v/>
      </c>
      <c r="AA759" s="64">
        <f>IF(T759&gt;=3,IF(X759&gt;=1,"Zona 1 — Crítica: impacto alto y ocurre al menos una vez al año","Zona 4 — Catastrófica poco probable: impacto alto pero excepcional"),IF(AND(T759&lt;1.5,X759&lt;1),"Zona 3 — Asumible: impacto bajo y muy poco frecuente","Zona 2 — Atención: riesgo intermedio"))</f>
        <v/>
      </c>
      <c r="AB759" s="64">
        <f>IFERROR(INDEX(MgAmenCtrl,MATCH(SUBSTITUTE($H759,"*","-"),MgAmenClave,0)),"")</f>
        <v/>
      </c>
      <c r="AC759" s="20" t="n"/>
      <c r="AD759" s="31">
        <f>IFERROR($X759*(1-IF($AC759="",$AL759,VLOOKUP($AC759,MgMad,2,0))),"")</f>
        <v/>
      </c>
      <c r="AE759" s="28">
        <f>IFERROR(LOOKUP(AD759,{0;0.01;0.1;1;10;100},{"Muy baja";"Muy baja";"Baja";"Media";"Alta";"Muy alta"}),"")</f>
        <v/>
      </c>
      <c r="AF759" s="30">
        <f>T759*AD759</f>
        <v/>
      </c>
      <c r="AG759" s="28">
        <f>IFERROR(LOOKUP(AF759,{0;0.5;5;25},{"Bajo";"Medio";"Alto";"Crítico"}),"")</f>
        <v/>
      </c>
      <c r="AH759" s="28">
        <f>IF(AG759="","",IF(OR(AG759="Crítico",AG759="Alto"),"Mitigar",IF(AG759="Medio","Mitigar","Aceptar y monitorear")))</f>
        <v/>
      </c>
      <c r="AI759" s="21" t="n"/>
      <c r="AJ759" s="21" t="n"/>
      <c r="AK759" s="20" t="n"/>
      <c r="AL759" s="77">
        <f>IFERROR(INDEX(MgAmenEfic,MATCH(SUBSTITUTE($H759,"*","-"),MgAmenClave,0)),0)</f>
        <v/>
      </c>
    </row>
    <row r="760" hidden="1" ht="120" customHeight="1" s="54">
      <c r="B760" s="59" t="inlineStr">
        <is>
          <t>R-0755</t>
        </is>
      </c>
      <c r="C760" s="59" t="inlineStr">
        <is>
          <t>COM-09</t>
        </is>
      </c>
      <c r="D760" s="64">
        <f>IFERROR(INDEX(MgNombre,MATCH($C760,MgActId,0)),"")</f>
        <v/>
      </c>
      <c r="E760" s="64">
        <f>IFERROR(INDEX(MgProceso,MATCH($C760,MgActId,0)),"")</f>
        <v/>
      </c>
      <c r="F760" s="64">
        <f>IFERROR(INDEX(MgTipo,MATCH($C760,MgActId,0)),"")</f>
        <v/>
      </c>
      <c r="G760" s="64">
        <f>IFERROR(INDEX(MgSubtipo,MATCH($C760,MgActId,0)),"")</f>
        <v/>
      </c>
      <c r="H760" s="59" t="inlineStr">
        <is>
          <t>E.2</t>
        </is>
      </c>
      <c r="I760" s="64">
        <f>IFERROR(INDEX(MgAmenNombre,MATCH(SUBSTITUTE($H760,"*","-"),MgAmenClave,0)),"")</f>
        <v/>
      </c>
      <c r="J760" s="28">
        <f>IFERROR(INDEX(MgAmenGrupo,MATCH(SUBSTITUTE($H760,"*","-"),MgAmenClave,0)),"")</f>
        <v/>
      </c>
      <c r="K760" s="64">
        <f>IFERROR(INDEX('1. Matriz de Activos'!$Q$6:$Q$239,MATCH($C760,MgActId,0)),"")</f>
        <v/>
      </c>
      <c r="L760" s="64">
        <f>IFERROR(INDEX('1. Matriz de Activos'!$R$6:$R$239,MATCH($C760,MgActId,0)),"")</f>
        <v/>
      </c>
      <c r="M760" s="64">
        <f>IFERROR(INDEX('1. Matriz de Activos'!$S$6:$S$239,MATCH($C760,MgActId,0)),"")</f>
        <v/>
      </c>
      <c r="N760" s="28">
        <f>IFERROR(INDEX(MgAmenDegD,MATCH(SUBSTITUTE($H760,"*","-"),MgAmenClave,0)),"No aplica")</f>
        <v/>
      </c>
      <c r="O760" s="28">
        <f>IFERROR(INDEX(MgAmenDegI,MATCH(SUBSTITUTE($H760,"*","-"),MgAmenClave,0)),"No aplica")</f>
        <v/>
      </c>
      <c r="P760" s="28">
        <f>IFERROR(INDEX(MgAmenDegC,MATCH(SUBSTITUTE($H760,"*","-"),MgAmenClave,0)),"No aplica")</f>
        <v/>
      </c>
      <c r="Q760" s="29">
        <f>IFERROR(VLOOKUP(K760,MgValor,2,0)*VLOOKUP(N760,MgDeg,2,0),0)</f>
        <v/>
      </c>
      <c r="R760" s="29">
        <f>IFERROR(VLOOKUP(L760,MgValor,2,0)*VLOOKUP(O760,MgDeg,2,0),0)</f>
        <v/>
      </c>
      <c r="S760" s="29">
        <f>IFERROR(VLOOKUP(M760,MgValor,2,0)*VLOOKUP(P760,MgDeg,2,0),0)</f>
        <v/>
      </c>
      <c r="T760" s="30">
        <f>MAX(Q760:S760)</f>
        <v/>
      </c>
      <c r="U760" s="28">
        <f>IFERROR(LOOKUP(T760,{0;0.5;1.5;3;4.5},{"Despreciable";"Bajo";"Medio";"Alto";"Muy alto"}),"")</f>
        <v/>
      </c>
      <c r="V760" s="13">
        <f>IFERROR(INDEX(MgAmenFrec,MATCH(SUBSTITUTE($H760,"*","-"),MgAmenClave,0)),"")</f>
        <v/>
      </c>
      <c r="W760" s="28">
        <f>IFERROR(LOOKUP(X760,{0;0.01;0.1;1;10;100},{"Muy baja";"Muy baja";"Baja";"Media";"Alta";"Muy alta"}),"")</f>
        <v/>
      </c>
      <c r="X760" s="31">
        <f>IFERROR(VLOOKUP(V760,MgFrec,2,0),0)</f>
        <v/>
      </c>
      <c r="Y760" s="30">
        <f>T760*X760</f>
        <v/>
      </c>
      <c r="Z760" s="28">
        <f>IFERROR(LOOKUP(Y760,{0;0.5;5;25},{"Bajo";"Medio";"Alto";"Crítico"}),"")</f>
        <v/>
      </c>
      <c r="AA760" s="64">
        <f>IF(T760&gt;=3,IF(X760&gt;=1,"Zona 1 — Crítica: impacto alto y ocurre al menos una vez al año","Zona 4 — Catastrófica poco probable: impacto alto pero excepcional"),IF(AND(T760&lt;1.5,X760&lt;1),"Zona 3 — Asumible: impacto bajo y muy poco frecuente","Zona 2 — Atención: riesgo intermedio"))</f>
        <v/>
      </c>
      <c r="AB760" s="64">
        <f>IFERROR(INDEX(MgAmenCtrl,MATCH(SUBSTITUTE($H760,"*","-"),MgAmenClave,0)),"")</f>
        <v/>
      </c>
      <c r="AC760" s="20" t="n"/>
      <c r="AD760" s="31">
        <f>IFERROR($X760*(1-IF($AC760="",$AL760,VLOOKUP($AC760,MgMad,2,0))),"")</f>
        <v/>
      </c>
      <c r="AE760" s="28">
        <f>IFERROR(LOOKUP(AD760,{0;0.01;0.1;1;10;100},{"Muy baja";"Muy baja";"Baja";"Media";"Alta";"Muy alta"}),"")</f>
        <v/>
      </c>
      <c r="AF760" s="30">
        <f>T760*AD760</f>
        <v/>
      </c>
      <c r="AG760" s="28">
        <f>IFERROR(LOOKUP(AF760,{0;0.5;5;25},{"Bajo";"Medio";"Alto";"Crítico"}),"")</f>
        <v/>
      </c>
      <c r="AH760" s="28">
        <f>IF(AG760="","",IF(OR(AG760="Crítico",AG760="Alto"),"Mitigar",IF(AG760="Medio","Mitigar","Aceptar y monitorear")))</f>
        <v/>
      </c>
      <c r="AI760" s="21" t="n"/>
      <c r="AJ760" s="21" t="n"/>
      <c r="AK760" s="20" t="n"/>
      <c r="AL760" s="77">
        <f>IFERROR(INDEX(MgAmenEfic,MATCH(SUBSTITUTE($H760,"*","-"),MgAmenClave,0)),0)</f>
        <v/>
      </c>
    </row>
    <row r="761" hidden="1" ht="75" customHeight="1" s="54">
      <c r="B761" s="59" t="inlineStr">
        <is>
          <t>R-0756</t>
        </is>
      </c>
      <c r="C761" s="59" t="inlineStr">
        <is>
          <t>COM-09</t>
        </is>
      </c>
      <c r="D761" s="64">
        <f>IFERROR(INDEX(MgNombre,MATCH($C761,MgActId,0)),"")</f>
        <v/>
      </c>
      <c r="E761" s="64">
        <f>IFERROR(INDEX(MgProceso,MATCH($C761,MgActId,0)),"")</f>
        <v/>
      </c>
      <c r="F761" s="64">
        <f>IFERROR(INDEX(MgTipo,MATCH($C761,MgActId,0)),"")</f>
        <v/>
      </c>
      <c r="G761" s="64">
        <f>IFERROR(INDEX(MgSubtipo,MATCH($C761,MgActId,0)),"")</f>
        <v/>
      </c>
      <c r="H761" s="59" t="inlineStr">
        <is>
          <t>E.3</t>
        </is>
      </c>
      <c r="I761" s="64">
        <f>IFERROR(INDEX(MgAmenNombre,MATCH(SUBSTITUTE($H761,"*","-"),MgAmenClave,0)),"")</f>
        <v/>
      </c>
      <c r="J761" s="28">
        <f>IFERROR(INDEX(MgAmenGrupo,MATCH(SUBSTITUTE($H761,"*","-"),MgAmenClave,0)),"")</f>
        <v/>
      </c>
      <c r="K761" s="64">
        <f>IFERROR(INDEX('1. Matriz de Activos'!$Q$6:$Q$239,MATCH($C761,MgActId,0)),"")</f>
        <v/>
      </c>
      <c r="L761" s="64">
        <f>IFERROR(INDEX('1. Matriz de Activos'!$R$6:$R$239,MATCH($C761,MgActId,0)),"")</f>
        <v/>
      </c>
      <c r="M761" s="64">
        <f>IFERROR(INDEX('1. Matriz de Activos'!$S$6:$S$239,MATCH($C761,MgActId,0)),"")</f>
        <v/>
      </c>
      <c r="N761" s="28">
        <f>IFERROR(INDEX(MgAmenDegD,MATCH(SUBSTITUTE($H761,"*","-"),MgAmenClave,0)),"No aplica")</f>
        <v/>
      </c>
      <c r="O761" s="28">
        <f>IFERROR(INDEX(MgAmenDegI,MATCH(SUBSTITUTE($H761,"*","-"),MgAmenClave,0)),"No aplica")</f>
        <v/>
      </c>
      <c r="P761" s="28">
        <f>IFERROR(INDEX(MgAmenDegC,MATCH(SUBSTITUTE($H761,"*","-"),MgAmenClave,0)),"No aplica")</f>
        <v/>
      </c>
      <c r="Q761" s="29">
        <f>IFERROR(VLOOKUP(K761,MgValor,2,0)*VLOOKUP(N761,MgDeg,2,0),0)</f>
        <v/>
      </c>
      <c r="R761" s="29">
        <f>IFERROR(VLOOKUP(L761,MgValor,2,0)*VLOOKUP(O761,MgDeg,2,0),0)</f>
        <v/>
      </c>
      <c r="S761" s="29">
        <f>IFERROR(VLOOKUP(M761,MgValor,2,0)*VLOOKUP(P761,MgDeg,2,0),0)</f>
        <v/>
      </c>
      <c r="T761" s="30">
        <f>MAX(Q761:S761)</f>
        <v/>
      </c>
      <c r="U761" s="28">
        <f>IFERROR(LOOKUP(T761,{0;0.5;1.5;3;4.5},{"Despreciable";"Bajo";"Medio";"Alto";"Muy alto"}),"")</f>
        <v/>
      </c>
      <c r="V761" s="13">
        <f>IFERROR(INDEX(MgAmenFrec,MATCH(SUBSTITUTE($H761,"*","-"),MgAmenClave,0)),"")</f>
        <v/>
      </c>
      <c r="W761" s="28">
        <f>IFERROR(LOOKUP(X761,{0;0.01;0.1;1;10;100},{"Muy baja";"Muy baja";"Baja";"Media";"Alta";"Muy alta"}),"")</f>
        <v/>
      </c>
      <c r="X761" s="31">
        <f>IFERROR(VLOOKUP(V761,MgFrec,2,0),0)</f>
        <v/>
      </c>
      <c r="Y761" s="30">
        <f>T761*X761</f>
        <v/>
      </c>
      <c r="Z761" s="28">
        <f>IFERROR(LOOKUP(Y761,{0;0.5;5;25},{"Bajo";"Medio";"Alto";"Crítico"}),"")</f>
        <v/>
      </c>
      <c r="AA761" s="64">
        <f>IF(T761&gt;=3,IF(X761&gt;=1,"Zona 1 — Crítica: impacto alto y ocurre al menos una vez al año","Zona 4 — Catastrófica poco probable: impacto alto pero excepcional"),IF(AND(T761&lt;1.5,X761&lt;1),"Zona 3 — Asumible: impacto bajo y muy poco frecuente","Zona 2 — Atención: riesgo intermedio"))</f>
        <v/>
      </c>
      <c r="AB761" s="64">
        <f>IFERROR(INDEX(MgAmenCtrl,MATCH(SUBSTITUTE($H761,"*","-"),MgAmenClave,0)),"")</f>
        <v/>
      </c>
      <c r="AC761" s="20" t="n"/>
      <c r="AD761" s="31">
        <f>IFERROR($X761*(1-IF($AC761="",$AL761,VLOOKUP($AC761,MgMad,2,0))),"")</f>
        <v/>
      </c>
      <c r="AE761" s="28">
        <f>IFERROR(LOOKUP(AD761,{0;0.01;0.1;1;10;100},{"Muy baja";"Muy baja";"Baja";"Media";"Alta";"Muy alta"}),"")</f>
        <v/>
      </c>
      <c r="AF761" s="30">
        <f>T761*AD761</f>
        <v/>
      </c>
      <c r="AG761" s="28">
        <f>IFERROR(LOOKUP(AF761,{0;0.5;5;25},{"Bajo";"Medio";"Alto";"Crítico"}),"")</f>
        <v/>
      </c>
      <c r="AH761" s="28">
        <f>IF(AG761="","",IF(OR(AG761="Crítico",AG761="Alto"),"Mitigar",IF(AG761="Medio","Mitigar","Aceptar y monitorear")))</f>
        <v/>
      </c>
      <c r="AI761" s="21" t="n"/>
      <c r="AJ761" s="21" t="n"/>
      <c r="AK761" s="20" t="n"/>
      <c r="AL761" s="77">
        <f>IFERROR(INDEX(MgAmenEfic,MATCH(SUBSTITUTE($H761,"*","-"),MgAmenClave,0)),0)</f>
        <v/>
      </c>
    </row>
    <row r="762" hidden="1" ht="75" customHeight="1" s="54">
      <c r="B762" s="59" t="inlineStr">
        <is>
          <t>R-0757</t>
        </is>
      </c>
      <c r="C762" s="59" t="inlineStr">
        <is>
          <t>COM-09</t>
        </is>
      </c>
      <c r="D762" s="64">
        <f>IFERROR(INDEX(MgNombre,MATCH($C762,MgActId,0)),"")</f>
        <v/>
      </c>
      <c r="E762" s="64">
        <f>IFERROR(INDEX(MgProceso,MATCH($C762,MgActId,0)),"")</f>
        <v/>
      </c>
      <c r="F762" s="64">
        <f>IFERROR(INDEX(MgTipo,MATCH($C762,MgActId,0)),"")</f>
        <v/>
      </c>
      <c r="G762" s="64">
        <f>IFERROR(INDEX(MgSubtipo,MATCH($C762,MgActId,0)),"")</f>
        <v/>
      </c>
      <c r="H762" s="59" t="inlineStr">
        <is>
          <t>E.4</t>
        </is>
      </c>
      <c r="I762" s="64">
        <f>IFERROR(INDEX(MgAmenNombre,MATCH(SUBSTITUTE($H762,"*","-"),MgAmenClave,0)),"")</f>
        <v/>
      </c>
      <c r="J762" s="28">
        <f>IFERROR(INDEX(MgAmenGrupo,MATCH(SUBSTITUTE($H762,"*","-"),MgAmenClave,0)),"")</f>
        <v/>
      </c>
      <c r="K762" s="64">
        <f>IFERROR(INDEX('1. Matriz de Activos'!$Q$6:$Q$239,MATCH($C762,MgActId,0)),"")</f>
        <v/>
      </c>
      <c r="L762" s="64">
        <f>IFERROR(INDEX('1. Matriz de Activos'!$R$6:$R$239,MATCH($C762,MgActId,0)),"")</f>
        <v/>
      </c>
      <c r="M762" s="64">
        <f>IFERROR(INDEX('1. Matriz de Activos'!$S$6:$S$239,MATCH($C762,MgActId,0)),"")</f>
        <v/>
      </c>
      <c r="N762" s="28">
        <f>IFERROR(INDEX(MgAmenDegD,MATCH(SUBSTITUTE($H762,"*","-"),MgAmenClave,0)),"No aplica")</f>
        <v/>
      </c>
      <c r="O762" s="28">
        <f>IFERROR(INDEX(MgAmenDegI,MATCH(SUBSTITUTE($H762,"*","-"),MgAmenClave,0)),"No aplica")</f>
        <v/>
      </c>
      <c r="P762" s="28">
        <f>IFERROR(INDEX(MgAmenDegC,MATCH(SUBSTITUTE($H762,"*","-"),MgAmenClave,0)),"No aplica")</f>
        <v/>
      </c>
      <c r="Q762" s="29">
        <f>IFERROR(VLOOKUP(K762,MgValor,2,0)*VLOOKUP(N762,MgDeg,2,0),0)</f>
        <v/>
      </c>
      <c r="R762" s="29">
        <f>IFERROR(VLOOKUP(L762,MgValor,2,0)*VLOOKUP(O762,MgDeg,2,0),0)</f>
        <v/>
      </c>
      <c r="S762" s="29">
        <f>IFERROR(VLOOKUP(M762,MgValor,2,0)*VLOOKUP(P762,MgDeg,2,0),0)</f>
        <v/>
      </c>
      <c r="T762" s="30">
        <f>MAX(Q762:S762)</f>
        <v/>
      </c>
      <c r="U762" s="28">
        <f>IFERROR(LOOKUP(T762,{0;0.5;1.5;3;4.5},{"Despreciable";"Bajo";"Medio";"Alto";"Muy alto"}),"")</f>
        <v/>
      </c>
      <c r="V762" s="13">
        <f>IFERROR(INDEX(MgAmenFrec,MATCH(SUBSTITUTE($H762,"*","-"),MgAmenClave,0)),"")</f>
        <v/>
      </c>
      <c r="W762" s="28">
        <f>IFERROR(LOOKUP(X762,{0;0.01;0.1;1;10;100},{"Muy baja";"Muy baja";"Baja";"Media";"Alta";"Muy alta"}),"")</f>
        <v/>
      </c>
      <c r="X762" s="31">
        <f>IFERROR(VLOOKUP(V762,MgFrec,2,0),0)</f>
        <v/>
      </c>
      <c r="Y762" s="30">
        <f>T762*X762</f>
        <v/>
      </c>
      <c r="Z762" s="28">
        <f>IFERROR(LOOKUP(Y762,{0;0.5;5;25},{"Bajo";"Medio";"Alto";"Crítico"}),"")</f>
        <v/>
      </c>
      <c r="AA762" s="64">
        <f>IF(T762&gt;=3,IF(X762&gt;=1,"Zona 1 — Crítica: impacto alto y ocurre al menos una vez al año","Zona 4 — Catastrófica poco probable: impacto alto pero excepcional"),IF(AND(T762&lt;1.5,X762&lt;1),"Zona 3 — Asumible: impacto bajo y muy poco frecuente","Zona 2 — Atención: riesgo intermedio"))</f>
        <v/>
      </c>
      <c r="AB762" s="64">
        <f>IFERROR(INDEX(MgAmenCtrl,MATCH(SUBSTITUTE($H762,"*","-"),MgAmenClave,0)),"")</f>
        <v/>
      </c>
      <c r="AC762" s="20" t="n"/>
      <c r="AD762" s="31">
        <f>IFERROR($X762*(1-IF($AC762="",$AL762,VLOOKUP($AC762,MgMad,2,0))),"")</f>
        <v/>
      </c>
      <c r="AE762" s="28">
        <f>IFERROR(LOOKUP(AD762,{0;0.01;0.1;1;10;100},{"Muy baja";"Muy baja";"Baja";"Media";"Alta";"Muy alta"}),"")</f>
        <v/>
      </c>
      <c r="AF762" s="30">
        <f>T762*AD762</f>
        <v/>
      </c>
      <c r="AG762" s="28">
        <f>IFERROR(LOOKUP(AF762,{0;0.5;5;25},{"Bajo";"Medio";"Alto";"Crítico"}),"")</f>
        <v/>
      </c>
      <c r="AH762" s="28">
        <f>IF(AG762="","",IF(OR(AG762="Crítico",AG762="Alto"),"Mitigar",IF(AG762="Medio","Mitigar","Aceptar y monitorear")))</f>
        <v/>
      </c>
      <c r="AI762" s="21" t="n"/>
      <c r="AJ762" s="21" t="n"/>
      <c r="AK762" s="20" t="n"/>
      <c r="AL762" s="77">
        <f>IFERROR(INDEX(MgAmenEfic,MATCH(SUBSTITUTE($H762,"*","-"),MgAmenClave,0)),0)</f>
        <v/>
      </c>
    </row>
    <row r="763" hidden="1" ht="90" customHeight="1" s="54">
      <c r="B763" s="59" t="inlineStr">
        <is>
          <t>R-0758</t>
        </is>
      </c>
      <c r="C763" s="59" t="inlineStr">
        <is>
          <t>COM-09</t>
        </is>
      </c>
      <c r="D763" s="64">
        <f>IFERROR(INDEX(MgNombre,MATCH($C763,MgActId,0)),"")</f>
        <v/>
      </c>
      <c r="E763" s="64">
        <f>IFERROR(INDEX(MgProceso,MATCH($C763,MgActId,0)),"")</f>
        <v/>
      </c>
      <c r="F763" s="64">
        <f>IFERROR(INDEX(MgTipo,MATCH($C763,MgActId,0)),"")</f>
        <v/>
      </c>
      <c r="G763" s="64">
        <f>IFERROR(INDEX(MgSubtipo,MATCH($C763,MgActId,0)),"")</f>
        <v/>
      </c>
      <c r="H763" s="59" t="inlineStr">
        <is>
          <t>E.14</t>
        </is>
      </c>
      <c r="I763" s="64">
        <f>IFERROR(INDEX(MgAmenNombre,MATCH(SUBSTITUTE($H763,"*","-"),MgAmenClave,0)),"")</f>
        <v/>
      </c>
      <c r="J763" s="28">
        <f>IFERROR(INDEX(MgAmenGrupo,MATCH(SUBSTITUTE($H763,"*","-"),MgAmenClave,0)),"")</f>
        <v/>
      </c>
      <c r="K763" s="64">
        <f>IFERROR(INDEX('1. Matriz de Activos'!$Q$6:$Q$239,MATCH($C763,MgActId,0)),"")</f>
        <v/>
      </c>
      <c r="L763" s="64">
        <f>IFERROR(INDEX('1. Matriz de Activos'!$R$6:$R$239,MATCH($C763,MgActId,0)),"")</f>
        <v/>
      </c>
      <c r="M763" s="64">
        <f>IFERROR(INDEX('1. Matriz de Activos'!$S$6:$S$239,MATCH($C763,MgActId,0)),"")</f>
        <v/>
      </c>
      <c r="N763" s="28">
        <f>IFERROR(INDEX(MgAmenDegD,MATCH(SUBSTITUTE($H763,"*","-"),MgAmenClave,0)),"No aplica")</f>
        <v/>
      </c>
      <c r="O763" s="28">
        <f>IFERROR(INDEX(MgAmenDegI,MATCH(SUBSTITUTE($H763,"*","-"),MgAmenClave,0)),"No aplica")</f>
        <v/>
      </c>
      <c r="P763" s="28">
        <f>IFERROR(INDEX(MgAmenDegC,MATCH(SUBSTITUTE($H763,"*","-"),MgAmenClave,0)),"No aplica")</f>
        <v/>
      </c>
      <c r="Q763" s="29">
        <f>IFERROR(VLOOKUP(K763,MgValor,2,0)*VLOOKUP(N763,MgDeg,2,0),0)</f>
        <v/>
      </c>
      <c r="R763" s="29">
        <f>IFERROR(VLOOKUP(L763,MgValor,2,0)*VLOOKUP(O763,MgDeg,2,0),0)</f>
        <v/>
      </c>
      <c r="S763" s="29">
        <f>IFERROR(VLOOKUP(M763,MgValor,2,0)*VLOOKUP(P763,MgDeg,2,0),0)</f>
        <v/>
      </c>
      <c r="T763" s="30">
        <f>MAX(Q763:S763)</f>
        <v/>
      </c>
      <c r="U763" s="28">
        <f>IFERROR(LOOKUP(T763,{0;0.5;1.5;3;4.5},{"Despreciable";"Bajo";"Medio";"Alto";"Muy alto"}),"")</f>
        <v/>
      </c>
      <c r="V763" s="13">
        <f>IFERROR(INDEX(MgAmenFrec,MATCH(SUBSTITUTE($H763,"*","-"),MgAmenClave,0)),"")</f>
        <v/>
      </c>
      <c r="W763" s="28">
        <f>IFERROR(LOOKUP(X763,{0;0.01;0.1;1;10;100},{"Muy baja";"Muy baja";"Baja";"Media";"Alta";"Muy alta"}),"")</f>
        <v/>
      </c>
      <c r="X763" s="31">
        <f>IFERROR(VLOOKUP(V763,MgFrec,2,0),0)</f>
        <v/>
      </c>
      <c r="Y763" s="30">
        <f>T763*X763</f>
        <v/>
      </c>
      <c r="Z763" s="28">
        <f>IFERROR(LOOKUP(Y763,{0;0.5;5;25},{"Bajo";"Medio";"Alto";"Crítico"}),"")</f>
        <v/>
      </c>
      <c r="AA763" s="64">
        <f>IF(T763&gt;=3,IF(X763&gt;=1,"Zona 1 — Crítica: impacto alto y ocurre al menos una vez al año","Zona 4 — Catastrófica poco probable: impacto alto pero excepcional"),IF(AND(T763&lt;1.5,X763&lt;1),"Zona 3 — Asumible: impacto bajo y muy poco frecuente","Zona 2 — Atención: riesgo intermedio"))</f>
        <v/>
      </c>
      <c r="AB763" s="64">
        <f>IFERROR(INDEX(MgAmenCtrl,MATCH(SUBSTITUTE($H763,"*","-"),MgAmenClave,0)),"")</f>
        <v/>
      </c>
      <c r="AC763" s="20" t="n"/>
      <c r="AD763" s="31">
        <f>IFERROR($X763*(1-IF($AC763="",$AL763,VLOOKUP($AC763,MgMad,2,0))),"")</f>
        <v/>
      </c>
      <c r="AE763" s="28">
        <f>IFERROR(LOOKUP(AD763,{0;0.01;0.1;1;10;100},{"Muy baja";"Muy baja";"Baja";"Media";"Alta";"Muy alta"}),"")</f>
        <v/>
      </c>
      <c r="AF763" s="30">
        <f>T763*AD763</f>
        <v/>
      </c>
      <c r="AG763" s="28">
        <f>IFERROR(LOOKUP(AF763,{0;0.5;5;25},{"Bajo";"Medio";"Alto";"Crítico"}),"")</f>
        <v/>
      </c>
      <c r="AH763" s="28">
        <f>IF(AG763="","",IF(OR(AG763="Crítico",AG763="Alto"),"Mitigar",IF(AG763="Medio","Mitigar","Aceptar y monitorear")))</f>
        <v/>
      </c>
      <c r="AI763" s="21" t="n"/>
      <c r="AJ763" s="21" t="n"/>
      <c r="AK763" s="20" t="n"/>
      <c r="AL763" s="77">
        <f>IFERROR(INDEX(MgAmenEfic,MATCH(SUBSTITUTE($H763,"*","-"),MgAmenClave,0)),0)</f>
        <v/>
      </c>
    </row>
    <row r="764" hidden="1" ht="90" customHeight="1" s="54">
      <c r="B764" s="59" t="inlineStr">
        <is>
          <t>R-0759</t>
        </is>
      </c>
      <c r="C764" s="59" t="inlineStr">
        <is>
          <t>COM-09</t>
        </is>
      </c>
      <c r="D764" s="64">
        <f>IFERROR(INDEX(MgNombre,MATCH($C764,MgActId,0)),"")</f>
        <v/>
      </c>
      <c r="E764" s="64">
        <f>IFERROR(INDEX(MgProceso,MATCH($C764,MgActId,0)),"")</f>
        <v/>
      </c>
      <c r="F764" s="64">
        <f>IFERROR(INDEX(MgTipo,MATCH($C764,MgActId,0)),"")</f>
        <v/>
      </c>
      <c r="G764" s="64">
        <f>IFERROR(INDEX(MgSubtipo,MATCH($C764,MgActId,0)),"")</f>
        <v/>
      </c>
      <c r="H764" s="59" t="inlineStr">
        <is>
          <t>E.15</t>
        </is>
      </c>
      <c r="I764" s="64">
        <f>IFERROR(INDEX(MgAmenNombre,MATCH(SUBSTITUTE($H764,"*","-"),MgAmenClave,0)),"")</f>
        <v/>
      </c>
      <c r="J764" s="28">
        <f>IFERROR(INDEX(MgAmenGrupo,MATCH(SUBSTITUTE($H764,"*","-"),MgAmenClave,0)),"")</f>
        <v/>
      </c>
      <c r="K764" s="64">
        <f>IFERROR(INDEX('1. Matriz de Activos'!$Q$6:$Q$239,MATCH($C764,MgActId,0)),"")</f>
        <v/>
      </c>
      <c r="L764" s="64">
        <f>IFERROR(INDEX('1. Matriz de Activos'!$R$6:$R$239,MATCH($C764,MgActId,0)),"")</f>
        <v/>
      </c>
      <c r="M764" s="64">
        <f>IFERROR(INDEX('1. Matriz de Activos'!$S$6:$S$239,MATCH($C764,MgActId,0)),"")</f>
        <v/>
      </c>
      <c r="N764" s="28">
        <f>IFERROR(INDEX(MgAmenDegD,MATCH(SUBSTITUTE($H764,"*","-"),MgAmenClave,0)),"No aplica")</f>
        <v/>
      </c>
      <c r="O764" s="28">
        <f>IFERROR(INDEX(MgAmenDegI,MATCH(SUBSTITUTE($H764,"*","-"),MgAmenClave,0)),"No aplica")</f>
        <v/>
      </c>
      <c r="P764" s="28">
        <f>IFERROR(INDEX(MgAmenDegC,MATCH(SUBSTITUTE($H764,"*","-"),MgAmenClave,0)),"No aplica")</f>
        <v/>
      </c>
      <c r="Q764" s="29">
        <f>IFERROR(VLOOKUP(K764,MgValor,2,0)*VLOOKUP(N764,MgDeg,2,0),0)</f>
        <v/>
      </c>
      <c r="R764" s="29">
        <f>IFERROR(VLOOKUP(L764,MgValor,2,0)*VLOOKUP(O764,MgDeg,2,0),0)</f>
        <v/>
      </c>
      <c r="S764" s="29">
        <f>IFERROR(VLOOKUP(M764,MgValor,2,0)*VLOOKUP(P764,MgDeg,2,0),0)</f>
        <v/>
      </c>
      <c r="T764" s="30">
        <f>MAX(Q764:S764)</f>
        <v/>
      </c>
      <c r="U764" s="28">
        <f>IFERROR(LOOKUP(T764,{0;0.5;1.5;3;4.5},{"Despreciable";"Bajo";"Medio";"Alto";"Muy alto"}),"")</f>
        <v/>
      </c>
      <c r="V764" s="13">
        <f>IFERROR(INDEX(MgAmenFrec,MATCH(SUBSTITUTE($H764,"*","-"),MgAmenClave,0)),"")</f>
        <v/>
      </c>
      <c r="W764" s="28">
        <f>IFERROR(LOOKUP(X764,{0;0.01;0.1;1;10;100},{"Muy baja";"Muy baja";"Baja";"Media";"Alta";"Muy alta"}),"")</f>
        <v/>
      </c>
      <c r="X764" s="31">
        <f>IFERROR(VLOOKUP(V764,MgFrec,2,0),0)</f>
        <v/>
      </c>
      <c r="Y764" s="30">
        <f>T764*X764</f>
        <v/>
      </c>
      <c r="Z764" s="28">
        <f>IFERROR(LOOKUP(Y764,{0;0.5;5;25},{"Bajo";"Medio";"Alto";"Crítico"}),"")</f>
        <v/>
      </c>
      <c r="AA764" s="64">
        <f>IF(T764&gt;=3,IF(X764&gt;=1,"Zona 1 — Crítica: impacto alto y ocurre al menos una vez al año","Zona 4 — Catastrófica poco probable: impacto alto pero excepcional"),IF(AND(T764&lt;1.5,X764&lt;1),"Zona 3 — Asumible: impacto bajo y muy poco frecuente","Zona 2 — Atención: riesgo intermedio"))</f>
        <v/>
      </c>
      <c r="AB764" s="64">
        <f>IFERROR(INDEX(MgAmenCtrl,MATCH(SUBSTITUTE($H764,"*","-"),MgAmenClave,0)),"")</f>
        <v/>
      </c>
      <c r="AC764" s="20" t="n"/>
      <c r="AD764" s="31">
        <f>IFERROR($X764*(1-IF($AC764="",$AL764,VLOOKUP($AC764,MgMad,2,0))),"")</f>
        <v/>
      </c>
      <c r="AE764" s="28">
        <f>IFERROR(LOOKUP(AD764,{0;0.01;0.1;1;10;100},{"Muy baja";"Muy baja";"Baja";"Media";"Alta";"Muy alta"}),"")</f>
        <v/>
      </c>
      <c r="AF764" s="30">
        <f>T764*AD764</f>
        <v/>
      </c>
      <c r="AG764" s="28">
        <f>IFERROR(LOOKUP(AF764,{0;0.5;5;25},{"Bajo";"Medio";"Alto";"Crítico"}),"")</f>
        <v/>
      </c>
      <c r="AH764" s="28">
        <f>IF(AG764="","",IF(OR(AG764="Crítico",AG764="Alto"),"Mitigar",IF(AG764="Medio","Mitigar","Aceptar y monitorear")))</f>
        <v/>
      </c>
      <c r="AI764" s="21" t="n"/>
      <c r="AJ764" s="21" t="n"/>
      <c r="AK764" s="20" t="n"/>
      <c r="AL764" s="77">
        <f>IFERROR(INDEX(MgAmenEfic,MATCH(SUBSTITUTE($H764,"*","-"),MgAmenClave,0)),0)</f>
        <v/>
      </c>
    </row>
    <row r="765" hidden="1" ht="60" customHeight="1" s="54">
      <c r="B765" s="59" t="inlineStr">
        <is>
          <t>R-0760</t>
        </is>
      </c>
      <c r="C765" s="59" t="inlineStr">
        <is>
          <t>COM-09</t>
        </is>
      </c>
      <c r="D765" s="64">
        <f>IFERROR(INDEX(MgNombre,MATCH($C765,MgActId,0)),"")</f>
        <v/>
      </c>
      <c r="E765" s="64">
        <f>IFERROR(INDEX(MgProceso,MATCH($C765,MgActId,0)),"")</f>
        <v/>
      </c>
      <c r="F765" s="64">
        <f>IFERROR(INDEX(MgTipo,MATCH($C765,MgActId,0)),"")</f>
        <v/>
      </c>
      <c r="G765" s="64">
        <f>IFERROR(INDEX(MgSubtipo,MATCH($C765,MgActId,0)),"")</f>
        <v/>
      </c>
      <c r="H765" s="59" t="inlineStr">
        <is>
          <t>E.18</t>
        </is>
      </c>
      <c r="I765" s="64">
        <f>IFERROR(INDEX(MgAmenNombre,MATCH(SUBSTITUTE($H765,"*","-"),MgAmenClave,0)),"")</f>
        <v/>
      </c>
      <c r="J765" s="28">
        <f>IFERROR(INDEX(MgAmenGrupo,MATCH(SUBSTITUTE($H765,"*","-"),MgAmenClave,0)),"")</f>
        <v/>
      </c>
      <c r="K765" s="64">
        <f>IFERROR(INDEX('1. Matriz de Activos'!$Q$6:$Q$239,MATCH($C765,MgActId,0)),"")</f>
        <v/>
      </c>
      <c r="L765" s="64">
        <f>IFERROR(INDEX('1. Matriz de Activos'!$R$6:$R$239,MATCH($C765,MgActId,0)),"")</f>
        <v/>
      </c>
      <c r="M765" s="64">
        <f>IFERROR(INDEX('1. Matriz de Activos'!$S$6:$S$239,MATCH($C765,MgActId,0)),"")</f>
        <v/>
      </c>
      <c r="N765" s="28">
        <f>IFERROR(INDEX(MgAmenDegD,MATCH(SUBSTITUTE($H765,"*","-"),MgAmenClave,0)),"No aplica")</f>
        <v/>
      </c>
      <c r="O765" s="28">
        <f>IFERROR(INDEX(MgAmenDegI,MATCH(SUBSTITUTE($H765,"*","-"),MgAmenClave,0)),"No aplica")</f>
        <v/>
      </c>
      <c r="P765" s="28">
        <f>IFERROR(INDEX(MgAmenDegC,MATCH(SUBSTITUTE($H765,"*","-"),MgAmenClave,0)),"No aplica")</f>
        <v/>
      </c>
      <c r="Q765" s="29">
        <f>IFERROR(VLOOKUP(K765,MgValor,2,0)*VLOOKUP(N765,MgDeg,2,0),0)</f>
        <v/>
      </c>
      <c r="R765" s="29">
        <f>IFERROR(VLOOKUP(L765,MgValor,2,0)*VLOOKUP(O765,MgDeg,2,0),0)</f>
        <v/>
      </c>
      <c r="S765" s="29">
        <f>IFERROR(VLOOKUP(M765,MgValor,2,0)*VLOOKUP(P765,MgDeg,2,0),0)</f>
        <v/>
      </c>
      <c r="T765" s="30">
        <f>MAX(Q765:S765)</f>
        <v/>
      </c>
      <c r="U765" s="28">
        <f>IFERROR(LOOKUP(T765,{0;0.5;1.5;3;4.5},{"Despreciable";"Bajo";"Medio";"Alto";"Muy alto"}),"")</f>
        <v/>
      </c>
      <c r="V765" s="13">
        <f>IFERROR(INDEX(MgAmenFrec,MATCH(SUBSTITUTE($H765,"*","-"),MgAmenClave,0)),"")</f>
        <v/>
      </c>
      <c r="W765" s="28">
        <f>IFERROR(LOOKUP(X765,{0;0.01;0.1;1;10;100},{"Muy baja";"Muy baja";"Baja";"Media";"Alta";"Muy alta"}),"")</f>
        <v/>
      </c>
      <c r="X765" s="31">
        <f>IFERROR(VLOOKUP(V765,MgFrec,2,0),0)</f>
        <v/>
      </c>
      <c r="Y765" s="30">
        <f>T765*X765</f>
        <v/>
      </c>
      <c r="Z765" s="28">
        <f>IFERROR(LOOKUP(Y765,{0;0.5;5;25},{"Bajo";"Medio";"Alto";"Crítico"}),"")</f>
        <v/>
      </c>
      <c r="AA765" s="64">
        <f>IF(T765&gt;=3,IF(X765&gt;=1,"Zona 1 — Crítica: impacto alto y ocurre al menos una vez al año","Zona 4 — Catastrófica poco probable: impacto alto pero excepcional"),IF(AND(T765&lt;1.5,X765&lt;1),"Zona 3 — Asumible: impacto bajo y muy poco frecuente","Zona 2 — Atención: riesgo intermedio"))</f>
        <v/>
      </c>
      <c r="AB765" s="64">
        <f>IFERROR(INDEX(MgAmenCtrl,MATCH(SUBSTITUTE($H765,"*","-"),MgAmenClave,0)),"")</f>
        <v/>
      </c>
      <c r="AC765" s="20" t="n"/>
      <c r="AD765" s="31">
        <f>IFERROR($X765*(1-IF($AC765="",$AL765,VLOOKUP($AC765,MgMad,2,0))),"")</f>
        <v/>
      </c>
      <c r="AE765" s="28">
        <f>IFERROR(LOOKUP(AD765,{0;0.01;0.1;1;10;100},{"Muy baja";"Muy baja";"Baja";"Media";"Alta";"Muy alta"}),"")</f>
        <v/>
      </c>
      <c r="AF765" s="30">
        <f>T765*AD765</f>
        <v/>
      </c>
      <c r="AG765" s="28">
        <f>IFERROR(LOOKUP(AF765,{0;0.5;5;25},{"Bajo";"Medio";"Alto";"Crítico"}),"")</f>
        <v/>
      </c>
      <c r="AH765" s="28">
        <f>IF(AG765="","",IF(OR(AG765="Crítico",AG765="Alto"),"Mitigar",IF(AG765="Medio","Mitigar","Aceptar y monitorear")))</f>
        <v/>
      </c>
      <c r="AI765" s="21" t="n"/>
      <c r="AJ765" s="21" t="n"/>
      <c r="AK765" s="20" t="n"/>
      <c r="AL765" s="77">
        <f>IFERROR(INDEX(MgAmenEfic,MATCH(SUBSTITUTE($H765,"*","-"),MgAmenClave,0)),0)</f>
        <v/>
      </c>
    </row>
    <row r="766" hidden="1" ht="105" customHeight="1" s="54">
      <c r="B766" s="59" t="inlineStr">
        <is>
          <t>R-0761</t>
        </is>
      </c>
      <c r="C766" s="59" t="inlineStr">
        <is>
          <t>COM-09</t>
        </is>
      </c>
      <c r="D766" s="64">
        <f>IFERROR(INDEX(MgNombre,MATCH($C766,MgActId,0)),"")</f>
        <v/>
      </c>
      <c r="E766" s="64">
        <f>IFERROR(INDEX(MgProceso,MATCH($C766,MgActId,0)),"")</f>
        <v/>
      </c>
      <c r="F766" s="64">
        <f>IFERROR(INDEX(MgTipo,MATCH($C766,MgActId,0)),"")</f>
        <v/>
      </c>
      <c r="G766" s="64">
        <f>IFERROR(INDEX(MgSubtipo,MATCH($C766,MgActId,0)),"")</f>
        <v/>
      </c>
      <c r="H766" s="59" t="inlineStr">
        <is>
          <t>E.19</t>
        </is>
      </c>
      <c r="I766" s="64">
        <f>IFERROR(INDEX(MgAmenNombre,MATCH(SUBSTITUTE($H766,"*","-"),MgAmenClave,0)),"")</f>
        <v/>
      </c>
      <c r="J766" s="28">
        <f>IFERROR(INDEX(MgAmenGrupo,MATCH(SUBSTITUTE($H766,"*","-"),MgAmenClave,0)),"")</f>
        <v/>
      </c>
      <c r="K766" s="64">
        <f>IFERROR(INDEX('1. Matriz de Activos'!$Q$6:$Q$239,MATCH($C766,MgActId,0)),"")</f>
        <v/>
      </c>
      <c r="L766" s="64">
        <f>IFERROR(INDEX('1. Matriz de Activos'!$R$6:$R$239,MATCH($C766,MgActId,0)),"")</f>
        <v/>
      </c>
      <c r="M766" s="64">
        <f>IFERROR(INDEX('1. Matriz de Activos'!$S$6:$S$239,MATCH($C766,MgActId,0)),"")</f>
        <v/>
      </c>
      <c r="N766" s="28">
        <f>IFERROR(INDEX(MgAmenDegD,MATCH(SUBSTITUTE($H766,"*","-"),MgAmenClave,0)),"No aplica")</f>
        <v/>
      </c>
      <c r="O766" s="28">
        <f>IFERROR(INDEX(MgAmenDegI,MATCH(SUBSTITUTE($H766,"*","-"),MgAmenClave,0)),"No aplica")</f>
        <v/>
      </c>
      <c r="P766" s="28">
        <f>IFERROR(INDEX(MgAmenDegC,MATCH(SUBSTITUTE($H766,"*","-"),MgAmenClave,0)),"No aplica")</f>
        <v/>
      </c>
      <c r="Q766" s="29">
        <f>IFERROR(VLOOKUP(K766,MgValor,2,0)*VLOOKUP(N766,MgDeg,2,0),0)</f>
        <v/>
      </c>
      <c r="R766" s="29">
        <f>IFERROR(VLOOKUP(L766,MgValor,2,0)*VLOOKUP(O766,MgDeg,2,0),0)</f>
        <v/>
      </c>
      <c r="S766" s="29">
        <f>IFERROR(VLOOKUP(M766,MgValor,2,0)*VLOOKUP(P766,MgDeg,2,0),0)</f>
        <v/>
      </c>
      <c r="T766" s="30">
        <f>MAX(Q766:S766)</f>
        <v/>
      </c>
      <c r="U766" s="28">
        <f>IFERROR(LOOKUP(T766,{0;0.5;1.5;3;4.5},{"Despreciable";"Bajo";"Medio";"Alto";"Muy alto"}),"")</f>
        <v/>
      </c>
      <c r="V766" s="13">
        <f>IFERROR(INDEX(MgAmenFrec,MATCH(SUBSTITUTE($H766,"*","-"),MgAmenClave,0)),"")</f>
        <v/>
      </c>
      <c r="W766" s="28">
        <f>IFERROR(LOOKUP(X766,{0;0.01;0.1;1;10;100},{"Muy baja";"Muy baja";"Baja";"Media";"Alta";"Muy alta"}),"")</f>
        <v/>
      </c>
      <c r="X766" s="31">
        <f>IFERROR(VLOOKUP(V766,MgFrec,2,0),0)</f>
        <v/>
      </c>
      <c r="Y766" s="30">
        <f>T766*X766</f>
        <v/>
      </c>
      <c r="Z766" s="28">
        <f>IFERROR(LOOKUP(Y766,{0;0.5;5;25},{"Bajo";"Medio";"Alto";"Crítico"}),"")</f>
        <v/>
      </c>
      <c r="AA766" s="64">
        <f>IF(T766&gt;=3,IF(X766&gt;=1,"Zona 1 — Crítica: impacto alto y ocurre al menos una vez al año","Zona 4 — Catastrófica poco probable: impacto alto pero excepcional"),IF(AND(T766&lt;1.5,X766&lt;1),"Zona 3 — Asumible: impacto bajo y muy poco frecuente","Zona 2 — Atención: riesgo intermedio"))</f>
        <v/>
      </c>
      <c r="AB766" s="64">
        <f>IFERROR(INDEX(MgAmenCtrl,MATCH(SUBSTITUTE($H766,"*","-"),MgAmenClave,0)),"")</f>
        <v/>
      </c>
      <c r="AC766" s="20" t="n"/>
      <c r="AD766" s="31">
        <f>IFERROR($X766*(1-IF($AC766="",$AL766,VLOOKUP($AC766,MgMad,2,0))),"")</f>
        <v/>
      </c>
      <c r="AE766" s="28">
        <f>IFERROR(LOOKUP(AD766,{0;0.01;0.1;1;10;100},{"Muy baja";"Muy baja";"Baja";"Media";"Alta";"Muy alta"}),"")</f>
        <v/>
      </c>
      <c r="AF766" s="30">
        <f>T766*AD766</f>
        <v/>
      </c>
      <c r="AG766" s="28">
        <f>IFERROR(LOOKUP(AF766,{0;0.5;5;25},{"Bajo";"Medio";"Alto";"Crítico"}),"")</f>
        <v/>
      </c>
      <c r="AH766" s="28">
        <f>IF(AG766="","",IF(OR(AG766="Crítico",AG766="Alto"),"Mitigar",IF(AG766="Medio","Mitigar","Aceptar y monitorear")))</f>
        <v/>
      </c>
      <c r="AI766" s="21" t="n"/>
      <c r="AJ766" s="21" t="n"/>
      <c r="AK766" s="20" t="n"/>
      <c r="AL766" s="77">
        <f>IFERROR(INDEX(MgAmenEfic,MATCH(SUBSTITUTE($H766,"*","-"),MgAmenClave,0)),0)</f>
        <v/>
      </c>
    </row>
    <row r="767" hidden="1" ht="60" customHeight="1" s="54">
      <c r="B767" s="59" t="inlineStr">
        <is>
          <t>R-0762</t>
        </is>
      </c>
      <c r="C767" s="59" t="inlineStr">
        <is>
          <t>COM-09</t>
        </is>
      </c>
      <c r="D767" s="64">
        <f>IFERROR(INDEX(MgNombre,MATCH($C767,MgActId,0)),"")</f>
        <v/>
      </c>
      <c r="E767" s="64">
        <f>IFERROR(INDEX(MgProceso,MATCH($C767,MgActId,0)),"")</f>
        <v/>
      </c>
      <c r="F767" s="64">
        <f>IFERROR(INDEX(MgTipo,MATCH($C767,MgActId,0)),"")</f>
        <v/>
      </c>
      <c r="G767" s="64">
        <f>IFERROR(INDEX(MgSubtipo,MATCH($C767,MgActId,0)),"")</f>
        <v/>
      </c>
      <c r="H767" s="59" t="inlineStr">
        <is>
          <t>A.3</t>
        </is>
      </c>
      <c r="I767" s="64">
        <f>IFERROR(INDEX(MgAmenNombre,MATCH(SUBSTITUTE($H767,"*","-"),MgAmenClave,0)),"")</f>
        <v/>
      </c>
      <c r="J767" s="28">
        <f>IFERROR(INDEX(MgAmenGrupo,MATCH(SUBSTITUTE($H767,"*","-"),MgAmenClave,0)),"")</f>
        <v/>
      </c>
      <c r="K767" s="64">
        <f>IFERROR(INDEX('1. Matriz de Activos'!$Q$6:$Q$239,MATCH($C767,MgActId,0)),"")</f>
        <v/>
      </c>
      <c r="L767" s="64">
        <f>IFERROR(INDEX('1. Matriz de Activos'!$R$6:$R$239,MATCH($C767,MgActId,0)),"")</f>
        <v/>
      </c>
      <c r="M767" s="64">
        <f>IFERROR(INDEX('1. Matriz de Activos'!$S$6:$S$239,MATCH($C767,MgActId,0)),"")</f>
        <v/>
      </c>
      <c r="N767" s="28">
        <f>IFERROR(INDEX(MgAmenDegD,MATCH(SUBSTITUTE($H767,"*","-"),MgAmenClave,0)),"No aplica")</f>
        <v/>
      </c>
      <c r="O767" s="28">
        <f>IFERROR(INDEX(MgAmenDegI,MATCH(SUBSTITUTE($H767,"*","-"),MgAmenClave,0)),"No aplica")</f>
        <v/>
      </c>
      <c r="P767" s="28">
        <f>IFERROR(INDEX(MgAmenDegC,MATCH(SUBSTITUTE($H767,"*","-"),MgAmenClave,0)),"No aplica")</f>
        <v/>
      </c>
      <c r="Q767" s="29">
        <f>IFERROR(VLOOKUP(K767,MgValor,2,0)*VLOOKUP(N767,MgDeg,2,0),0)</f>
        <v/>
      </c>
      <c r="R767" s="29">
        <f>IFERROR(VLOOKUP(L767,MgValor,2,0)*VLOOKUP(O767,MgDeg,2,0),0)</f>
        <v/>
      </c>
      <c r="S767" s="29">
        <f>IFERROR(VLOOKUP(M767,MgValor,2,0)*VLOOKUP(P767,MgDeg,2,0),0)</f>
        <v/>
      </c>
      <c r="T767" s="30">
        <f>MAX(Q767:S767)</f>
        <v/>
      </c>
      <c r="U767" s="28">
        <f>IFERROR(LOOKUP(T767,{0;0.5;1.5;3;4.5},{"Despreciable";"Bajo";"Medio";"Alto";"Muy alto"}),"")</f>
        <v/>
      </c>
      <c r="V767" s="13">
        <f>IFERROR(INDEX(MgAmenFrec,MATCH(SUBSTITUTE($H767,"*","-"),MgAmenClave,0)),"")</f>
        <v/>
      </c>
      <c r="W767" s="28">
        <f>IFERROR(LOOKUP(X767,{0;0.01;0.1;1;10;100},{"Muy baja";"Muy baja";"Baja";"Media";"Alta";"Muy alta"}),"")</f>
        <v/>
      </c>
      <c r="X767" s="31">
        <f>IFERROR(VLOOKUP(V767,MgFrec,2,0),0)</f>
        <v/>
      </c>
      <c r="Y767" s="30">
        <f>T767*X767</f>
        <v/>
      </c>
      <c r="Z767" s="28">
        <f>IFERROR(LOOKUP(Y767,{0;0.5;5;25},{"Bajo";"Medio";"Alto";"Crítico"}),"")</f>
        <v/>
      </c>
      <c r="AA767" s="64">
        <f>IF(T767&gt;=3,IF(X767&gt;=1,"Zona 1 — Crítica: impacto alto y ocurre al menos una vez al año","Zona 4 — Catastrófica poco probable: impacto alto pero excepcional"),IF(AND(T767&lt;1.5,X767&lt;1),"Zona 3 — Asumible: impacto bajo y muy poco frecuente","Zona 2 — Atención: riesgo intermedio"))</f>
        <v/>
      </c>
      <c r="AB767" s="64">
        <f>IFERROR(INDEX(MgAmenCtrl,MATCH(SUBSTITUTE($H767,"*","-"),MgAmenClave,0)),"")</f>
        <v/>
      </c>
      <c r="AC767" s="20" t="n"/>
      <c r="AD767" s="31">
        <f>IFERROR($X767*(1-IF($AC767="",$AL767,VLOOKUP($AC767,MgMad,2,0))),"")</f>
        <v/>
      </c>
      <c r="AE767" s="28">
        <f>IFERROR(LOOKUP(AD767,{0;0.01;0.1;1;10;100},{"Muy baja";"Muy baja";"Baja";"Media";"Alta";"Muy alta"}),"")</f>
        <v/>
      </c>
      <c r="AF767" s="30">
        <f>T767*AD767</f>
        <v/>
      </c>
      <c r="AG767" s="28">
        <f>IFERROR(LOOKUP(AF767,{0;0.5;5;25},{"Bajo";"Medio";"Alto";"Crítico"}),"")</f>
        <v/>
      </c>
      <c r="AH767" s="28">
        <f>IF(AG767="","",IF(OR(AG767="Crítico",AG767="Alto"),"Mitigar",IF(AG767="Medio","Mitigar","Aceptar y monitorear")))</f>
        <v/>
      </c>
      <c r="AI767" s="21" t="n"/>
      <c r="AJ767" s="21" t="n"/>
      <c r="AK767" s="20" t="n"/>
      <c r="AL767" s="77">
        <f>IFERROR(INDEX(MgAmenEfic,MATCH(SUBSTITUTE($H767,"*","-"),MgAmenClave,0)),0)</f>
        <v/>
      </c>
    </row>
    <row r="768" hidden="1" ht="60" customHeight="1" s="54">
      <c r="B768" s="59" t="inlineStr">
        <is>
          <t>R-0763</t>
        </is>
      </c>
      <c r="C768" s="59" t="inlineStr">
        <is>
          <t>COM-09</t>
        </is>
      </c>
      <c r="D768" s="64">
        <f>IFERROR(INDEX(MgNombre,MATCH($C768,MgActId,0)),"")</f>
        <v/>
      </c>
      <c r="E768" s="64">
        <f>IFERROR(INDEX(MgProceso,MATCH($C768,MgActId,0)),"")</f>
        <v/>
      </c>
      <c r="F768" s="64">
        <f>IFERROR(INDEX(MgTipo,MATCH($C768,MgActId,0)),"")</f>
        <v/>
      </c>
      <c r="G768" s="64">
        <f>IFERROR(INDEX(MgSubtipo,MATCH($C768,MgActId,0)),"")</f>
        <v/>
      </c>
      <c r="H768" s="59" t="inlineStr">
        <is>
          <t>A.4</t>
        </is>
      </c>
      <c r="I768" s="64">
        <f>IFERROR(INDEX(MgAmenNombre,MATCH(SUBSTITUTE($H768,"*","-"),MgAmenClave,0)),"")</f>
        <v/>
      </c>
      <c r="J768" s="28">
        <f>IFERROR(INDEX(MgAmenGrupo,MATCH(SUBSTITUTE($H768,"*","-"),MgAmenClave,0)),"")</f>
        <v/>
      </c>
      <c r="K768" s="64">
        <f>IFERROR(INDEX('1. Matriz de Activos'!$Q$6:$Q$239,MATCH($C768,MgActId,0)),"")</f>
        <v/>
      </c>
      <c r="L768" s="64">
        <f>IFERROR(INDEX('1. Matriz de Activos'!$R$6:$R$239,MATCH($C768,MgActId,0)),"")</f>
        <v/>
      </c>
      <c r="M768" s="64">
        <f>IFERROR(INDEX('1. Matriz de Activos'!$S$6:$S$239,MATCH($C768,MgActId,0)),"")</f>
        <v/>
      </c>
      <c r="N768" s="28">
        <f>IFERROR(INDEX(MgAmenDegD,MATCH(SUBSTITUTE($H768,"*","-"),MgAmenClave,0)),"No aplica")</f>
        <v/>
      </c>
      <c r="O768" s="28">
        <f>IFERROR(INDEX(MgAmenDegI,MATCH(SUBSTITUTE($H768,"*","-"),MgAmenClave,0)),"No aplica")</f>
        <v/>
      </c>
      <c r="P768" s="28">
        <f>IFERROR(INDEX(MgAmenDegC,MATCH(SUBSTITUTE($H768,"*","-"),MgAmenClave,0)),"No aplica")</f>
        <v/>
      </c>
      <c r="Q768" s="29">
        <f>IFERROR(VLOOKUP(K768,MgValor,2,0)*VLOOKUP(N768,MgDeg,2,0),0)</f>
        <v/>
      </c>
      <c r="R768" s="29">
        <f>IFERROR(VLOOKUP(L768,MgValor,2,0)*VLOOKUP(O768,MgDeg,2,0),0)</f>
        <v/>
      </c>
      <c r="S768" s="29">
        <f>IFERROR(VLOOKUP(M768,MgValor,2,0)*VLOOKUP(P768,MgDeg,2,0),0)</f>
        <v/>
      </c>
      <c r="T768" s="30">
        <f>MAX(Q768:S768)</f>
        <v/>
      </c>
      <c r="U768" s="28">
        <f>IFERROR(LOOKUP(T768,{0;0.5;1.5;3;4.5},{"Despreciable";"Bajo";"Medio";"Alto";"Muy alto"}),"")</f>
        <v/>
      </c>
      <c r="V768" s="13">
        <f>IFERROR(INDEX(MgAmenFrec,MATCH(SUBSTITUTE($H768,"*","-"),MgAmenClave,0)),"")</f>
        <v/>
      </c>
      <c r="W768" s="28">
        <f>IFERROR(LOOKUP(X768,{0;0.01;0.1;1;10;100},{"Muy baja";"Muy baja";"Baja";"Media";"Alta";"Muy alta"}),"")</f>
        <v/>
      </c>
      <c r="X768" s="31">
        <f>IFERROR(VLOOKUP(V768,MgFrec,2,0),0)</f>
        <v/>
      </c>
      <c r="Y768" s="30">
        <f>T768*X768</f>
        <v/>
      </c>
      <c r="Z768" s="28">
        <f>IFERROR(LOOKUP(Y768,{0;0.5;5;25},{"Bajo";"Medio";"Alto";"Crítico"}),"")</f>
        <v/>
      </c>
      <c r="AA768" s="64">
        <f>IF(T768&gt;=3,IF(X768&gt;=1,"Zona 1 — Crítica: impacto alto y ocurre al menos una vez al año","Zona 4 — Catastrófica poco probable: impacto alto pero excepcional"),IF(AND(T768&lt;1.5,X768&lt;1),"Zona 3 — Asumible: impacto bajo y muy poco frecuente","Zona 2 — Atención: riesgo intermedio"))</f>
        <v/>
      </c>
      <c r="AB768" s="64">
        <f>IFERROR(INDEX(MgAmenCtrl,MATCH(SUBSTITUTE($H768,"*","-"),MgAmenClave,0)),"")</f>
        <v/>
      </c>
      <c r="AC768" s="20" t="n"/>
      <c r="AD768" s="31">
        <f>IFERROR($X768*(1-IF($AC768="",$AL768,VLOOKUP($AC768,MgMad,2,0))),"")</f>
        <v/>
      </c>
      <c r="AE768" s="28">
        <f>IFERROR(LOOKUP(AD768,{0;0.01;0.1;1;10;100},{"Muy baja";"Muy baja";"Baja";"Media";"Alta";"Muy alta"}),"")</f>
        <v/>
      </c>
      <c r="AF768" s="30">
        <f>T768*AD768</f>
        <v/>
      </c>
      <c r="AG768" s="28">
        <f>IFERROR(LOOKUP(AF768,{0;0.5;5;25},{"Bajo";"Medio";"Alto";"Crítico"}),"")</f>
        <v/>
      </c>
      <c r="AH768" s="28">
        <f>IF(AG768="","",IF(OR(AG768="Crítico",AG768="Alto"),"Mitigar",IF(AG768="Medio","Mitigar","Aceptar y monitorear")))</f>
        <v/>
      </c>
      <c r="AI768" s="21" t="n"/>
      <c r="AJ768" s="21" t="n"/>
      <c r="AK768" s="20" t="n"/>
      <c r="AL768" s="77">
        <f>IFERROR(INDEX(MgAmenEfic,MATCH(SUBSTITUTE($H768,"*","-"),MgAmenClave,0)),0)</f>
        <v/>
      </c>
    </row>
    <row r="769" hidden="1" ht="75" customHeight="1" s="54">
      <c r="B769" s="59" t="inlineStr">
        <is>
          <t>R-0764</t>
        </is>
      </c>
      <c r="C769" s="59" t="inlineStr">
        <is>
          <t>COM-09</t>
        </is>
      </c>
      <c r="D769" s="64">
        <f>IFERROR(INDEX(MgNombre,MATCH($C769,MgActId,0)),"")</f>
        <v/>
      </c>
      <c r="E769" s="64">
        <f>IFERROR(INDEX(MgProceso,MATCH($C769,MgActId,0)),"")</f>
        <v/>
      </c>
      <c r="F769" s="64">
        <f>IFERROR(INDEX(MgTipo,MATCH($C769,MgActId,0)),"")</f>
        <v/>
      </c>
      <c r="G769" s="64">
        <f>IFERROR(INDEX(MgSubtipo,MATCH($C769,MgActId,0)),"")</f>
        <v/>
      </c>
      <c r="H769" s="59" t="inlineStr">
        <is>
          <t>A.5</t>
        </is>
      </c>
      <c r="I769" s="64">
        <f>IFERROR(INDEX(MgAmenNombre,MATCH(SUBSTITUTE($H769,"*","-"),MgAmenClave,0)),"")</f>
        <v/>
      </c>
      <c r="J769" s="28">
        <f>IFERROR(INDEX(MgAmenGrupo,MATCH(SUBSTITUTE($H769,"*","-"),MgAmenClave,0)),"")</f>
        <v/>
      </c>
      <c r="K769" s="64">
        <f>IFERROR(INDEX('1. Matriz de Activos'!$Q$6:$Q$239,MATCH($C769,MgActId,0)),"")</f>
        <v/>
      </c>
      <c r="L769" s="64">
        <f>IFERROR(INDEX('1. Matriz de Activos'!$R$6:$R$239,MATCH($C769,MgActId,0)),"")</f>
        <v/>
      </c>
      <c r="M769" s="64">
        <f>IFERROR(INDEX('1. Matriz de Activos'!$S$6:$S$239,MATCH($C769,MgActId,0)),"")</f>
        <v/>
      </c>
      <c r="N769" s="28">
        <f>IFERROR(INDEX(MgAmenDegD,MATCH(SUBSTITUTE($H769,"*","-"),MgAmenClave,0)),"No aplica")</f>
        <v/>
      </c>
      <c r="O769" s="28">
        <f>IFERROR(INDEX(MgAmenDegI,MATCH(SUBSTITUTE($H769,"*","-"),MgAmenClave,0)),"No aplica")</f>
        <v/>
      </c>
      <c r="P769" s="28">
        <f>IFERROR(INDEX(MgAmenDegC,MATCH(SUBSTITUTE($H769,"*","-"),MgAmenClave,0)),"No aplica")</f>
        <v/>
      </c>
      <c r="Q769" s="29">
        <f>IFERROR(VLOOKUP(K769,MgValor,2,0)*VLOOKUP(N769,MgDeg,2,0),0)</f>
        <v/>
      </c>
      <c r="R769" s="29">
        <f>IFERROR(VLOOKUP(L769,MgValor,2,0)*VLOOKUP(O769,MgDeg,2,0),0)</f>
        <v/>
      </c>
      <c r="S769" s="29">
        <f>IFERROR(VLOOKUP(M769,MgValor,2,0)*VLOOKUP(P769,MgDeg,2,0),0)</f>
        <v/>
      </c>
      <c r="T769" s="30">
        <f>MAX(Q769:S769)</f>
        <v/>
      </c>
      <c r="U769" s="28">
        <f>IFERROR(LOOKUP(T769,{0;0.5;1.5;3;4.5},{"Despreciable";"Bajo";"Medio";"Alto";"Muy alto"}),"")</f>
        <v/>
      </c>
      <c r="V769" s="13">
        <f>IFERROR(INDEX(MgAmenFrec,MATCH(SUBSTITUTE($H769,"*","-"),MgAmenClave,0)),"")</f>
        <v/>
      </c>
      <c r="W769" s="28">
        <f>IFERROR(LOOKUP(X769,{0;0.01;0.1;1;10;100},{"Muy baja";"Muy baja";"Baja";"Media";"Alta";"Muy alta"}),"")</f>
        <v/>
      </c>
      <c r="X769" s="31">
        <f>IFERROR(VLOOKUP(V769,MgFrec,2,0),0)</f>
        <v/>
      </c>
      <c r="Y769" s="30">
        <f>T769*X769</f>
        <v/>
      </c>
      <c r="Z769" s="28">
        <f>IFERROR(LOOKUP(Y769,{0;0.5;5;25},{"Bajo";"Medio";"Alto";"Crítico"}),"")</f>
        <v/>
      </c>
      <c r="AA769" s="64">
        <f>IF(T769&gt;=3,IF(X769&gt;=1,"Zona 1 — Crítica: impacto alto y ocurre al menos una vez al año","Zona 4 — Catastrófica poco probable: impacto alto pero excepcional"),IF(AND(T769&lt;1.5,X769&lt;1),"Zona 3 — Asumible: impacto bajo y muy poco frecuente","Zona 2 — Atención: riesgo intermedio"))</f>
        <v/>
      </c>
      <c r="AB769" s="64">
        <f>IFERROR(INDEX(MgAmenCtrl,MATCH(SUBSTITUTE($H769,"*","-"),MgAmenClave,0)),"")</f>
        <v/>
      </c>
      <c r="AC769" s="20" t="n"/>
      <c r="AD769" s="31">
        <f>IFERROR($X769*(1-IF($AC769="",$AL769,VLOOKUP($AC769,MgMad,2,0))),"")</f>
        <v/>
      </c>
      <c r="AE769" s="28">
        <f>IFERROR(LOOKUP(AD769,{0;0.01;0.1;1;10;100},{"Muy baja";"Muy baja";"Baja";"Media";"Alta";"Muy alta"}),"")</f>
        <v/>
      </c>
      <c r="AF769" s="30">
        <f>T769*AD769</f>
        <v/>
      </c>
      <c r="AG769" s="28">
        <f>IFERROR(LOOKUP(AF769,{0;0.5;5;25},{"Bajo";"Medio";"Alto";"Crítico"}),"")</f>
        <v/>
      </c>
      <c r="AH769" s="28">
        <f>IF(AG769="","",IF(OR(AG769="Crítico",AG769="Alto"),"Mitigar",IF(AG769="Medio","Mitigar","Aceptar y monitorear")))</f>
        <v/>
      </c>
      <c r="AI769" s="21" t="n"/>
      <c r="AJ769" s="21" t="n"/>
      <c r="AK769" s="20" t="n"/>
      <c r="AL769" s="77">
        <f>IFERROR(INDEX(MgAmenEfic,MATCH(SUBSTITUTE($H769,"*","-"),MgAmenClave,0)),0)</f>
        <v/>
      </c>
    </row>
    <row r="770" hidden="1" ht="105" customHeight="1" s="54">
      <c r="B770" s="59" t="inlineStr">
        <is>
          <t>R-0765</t>
        </is>
      </c>
      <c r="C770" s="59" t="inlineStr">
        <is>
          <t>COM-09</t>
        </is>
      </c>
      <c r="D770" s="64">
        <f>IFERROR(INDEX(MgNombre,MATCH($C770,MgActId,0)),"")</f>
        <v/>
      </c>
      <c r="E770" s="64">
        <f>IFERROR(INDEX(MgProceso,MATCH($C770,MgActId,0)),"")</f>
        <v/>
      </c>
      <c r="F770" s="64">
        <f>IFERROR(INDEX(MgTipo,MATCH($C770,MgActId,0)),"")</f>
        <v/>
      </c>
      <c r="G770" s="64">
        <f>IFERROR(INDEX(MgSubtipo,MATCH($C770,MgActId,0)),"")</f>
        <v/>
      </c>
      <c r="H770" s="59" t="inlineStr">
        <is>
          <t>A.6</t>
        </is>
      </c>
      <c r="I770" s="64">
        <f>IFERROR(INDEX(MgAmenNombre,MATCH(SUBSTITUTE($H770,"*","-"),MgAmenClave,0)),"")</f>
        <v/>
      </c>
      <c r="J770" s="28">
        <f>IFERROR(INDEX(MgAmenGrupo,MATCH(SUBSTITUTE($H770,"*","-"),MgAmenClave,0)),"")</f>
        <v/>
      </c>
      <c r="K770" s="64">
        <f>IFERROR(INDEX('1. Matriz de Activos'!$Q$6:$Q$239,MATCH($C770,MgActId,0)),"")</f>
        <v/>
      </c>
      <c r="L770" s="64">
        <f>IFERROR(INDEX('1. Matriz de Activos'!$R$6:$R$239,MATCH($C770,MgActId,0)),"")</f>
        <v/>
      </c>
      <c r="M770" s="64">
        <f>IFERROR(INDEX('1. Matriz de Activos'!$S$6:$S$239,MATCH($C770,MgActId,0)),"")</f>
        <v/>
      </c>
      <c r="N770" s="28">
        <f>IFERROR(INDEX(MgAmenDegD,MATCH(SUBSTITUTE($H770,"*","-"),MgAmenClave,0)),"No aplica")</f>
        <v/>
      </c>
      <c r="O770" s="28">
        <f>IFERROR(INDEX(MgAmenDegI,MATCH(SUBSTITUTE($H770,"*","-"),MgAmenClave,0)),"No aplica")</f>
        <v/>
      </c>
      <c r="P770" s="28">
        <f>IFERROR(INDEX(MgAmenDegC,MATCH(SUBSTITUTE($H770,"*","-"),MgAmenClave,0)),"No aplica")</f>
        <v/>
      </c>
      <c r="Q770" s="29">
        <f>IFERROR(VLOOKUP(K770,MgValor,2,0)*VLOOKUP(N770,MgDeg,2,0),0)</f>
        <v/>
      </c>
      <c r="R770" s="29">
        <f>IFERROR(VLOOKUP(L770,MgValor,2,0)*VLOOKUP(O770,MgDeg,2,0),0)</f>
        <v/>
      </c>
      <c r="S770" s="29">
        <f>IFERROR(VLOOKUP(M770,MgValor,2,0)*VLOOKUP(P770,MgDeg,2,0),0)</f>
        <v/>
      </c>
      <c r="T770" s="30">
        <f>MAX(Q770:S770)</f>
        <v/>
      </c>
      <c r="U770" s="28">
        <f>IFERROR(LOOKUP(T770,{0;0.5;1.5;3;4.5},{"Despreciable";"Bajo";"Medio";"Alto";"Muy alto"}),"")</f>
        <v/>
      </c>
      <c r="V770" s="13">
        <f>IFERROR(INDEX(MgAmenFrec,MATCH(SUBSTITUTE($H770,"*","-"),MgAmenClave,0)),"")</f>
        <v/>
      </c>
      <c r="W770" s="28">
        <f>IFERROR(LOOKUP(X770,{0;0.01;0.1;1;10;100},{"Muy baja";"Muy baja";"Baja";"Media";"Alta";"Muy alta"}),"")</f>
        <v/>
      </c>
      <c r="X770" s="31">
        <f>IFERROR(VLOOKUP(V770,MgFrec,2,0),0)</f>
        <v/>
      </c>
      <c r="Y770" s="30">
        <f>T770*X770</f>
        <v/>
      </c>
      <c r="Z770" s="28">
        <f>IFERROR(LOOKUP(Y770,{0;0.5;5;25},{"Bajo";"Medio";"Alto";"Crítico"}),"")</f>
        <v/>
      </c>
      <c r="AA770" s="64">
        <f>IF(T770&gt;=3,IF(X770&gt;=1,"Zona 1 — Crítica: impacto alto y ocurre al menos una vez al año","Zona 4 — Catastrófica poco probable: impacto alto pero excepcional"),IF(AND(T770&lt;1.5,X770&lt;1),"Zona 3 — Asumible: impacto bajo y muy poco frecuente","Zona 2 — Atención: riesgo intermedio"))</f>
        <v/>
      </c>
      <c r="AB770" s="64">
        <f>IFERROR(INDEX(MgAmenCtrl,MATCH(SUBSTITUTE($H770,"*","-"),MgAmenClave,0)),"")</f>
        <v/>
      </c>
      <c r="AC770" s="20" t="n"/>
      <c r="AD770" s="31">
        <f>IFERROR($X770*(1-IF($AC770="",$AL770,VLOOKUP($AC770,MgMad,2,0))),"")</f>
        <v/>
      </c>
      <c r="AE770" s="28">
        <f>IFERROR(LOOKUP(AD770,{0;0.01;0.1;1;10;100},{"Muy baja";"Muy baja";"Baja";"Media";"Alta";"Muy alta"}),"")</f>
        <v/>
      </c>
      <c r="AF770" s="30">
        <f>T770*AD770</f>
        <v/>
      </c>
      <c r="AG770" s="28">
        <f>IFERROR(LOOKUP(AF770,{0;0.5;5;25},{"Bajo";"Medio";"Alto";"Crítico"}),"")</f>
        <v/>
      </c>
      <c r="AH770" s="28">
        <f>IF(AG770="","",IF(OR(AG770="Crítico",AG770="Alto"),"Mitigar",IF(AG770="Medio","Mitigar","Aceptar y monitorear")))</f>
        <v/>
      </c>
      <c r="AI770" s="21" t="n"/>
      <c r="AJ770" s="21" t="n"/>
      <c r="AK770" s="20" t="n"/>
      <c r="AL770" s="77">
        <f>IFERROR(INDEX(MgAmenEfic,MATCH(SUBSTITUTE($H770,"*","-"),MgAmenClave,0)),0)</f>
        <v/>
      </c>
    </row>
    <row r="771" hidden="1" ht="120" customHeight="1" s="54">
      <c r="B771" s="59" t="inlineStr">
        <is>
          <t>R-0766</t>
        </is>
      </c>
      <c r="C771" s="59" t="inlineStr">
        <is>
          <t>COM-09</t>
        </is>
      </c>
      <c r="D771" s="64">
        <f>IFERROR(INDEX(MgNombre,MATCH($C771,MgActId,0)),"")</f>
        <v/>
      </c>
      <c r="E771" s="64">
        <f>IFERROR(INDEX(MgProceso,MATCH($C771,MgActId,0)),"")</f>
        <v/>
      </c>
      <c r="F771" s="64">
        <f>IFERROR(INDEX(MgTipo,MATCH($C771,MgActId,0)),"")</f>
        <v/>
      </c>
      <c r="G771" s="64">
        <f>IFERROR(INDEX(MgSubtipo,MATCH($C771,MgActId,0)),"")</f>
        <v/>
      </c>
      <c r="H771" s="59" t="inlineStr">
        <is>
          <t>A.11</t>
        </is>
      </c>
      <c r="I771" s="64">
        <f>IFERROR(INDEX(MgAmenNombre,MATCH(SUBSTITUTE($H771,"*","-"),MgAmenClave,0)),"")</f>
        <v/>
      </c>
      <c r="J771" s="28">
        <f>IFERROR(INDEX(MgAmenGrupo,MATCH(SUBSTITUTE($H771,"*","-"),MgAmenClave,0)),"")</f>
        <v/>
      </c>
      <c r="K771" s="64">
        <f>IFERROR(INDEX('1. Matriz de Activos'!$Q$6:$Q$239,MATCH($C771,MgActId,0)),"")</f>
        <v/>
      </c>
      <c r="L771" s="64">
        <f>IFERROR(INDEX('1. Matriz de Activos'!$R$6:$R$239,MATCH($C771,MgActId,0)),"")</f>
        <v/>
      </c>
      <c r="M771" s="64">
        <f>IFERROR(INDEX('1. Matriz de Activos'!$S$6:$S$239,MATCH($C771,MgActId,0)),"")</f>
        <v/>
      </c>
      <c r="N771" s="28">
        <f>IFERROR(INDEX(MgAmenDegD,MATCH(SUBSTITUTE($H771,"*","-"),MgAmenClave,0)),"No aplica")</f>
        <v/>
      </c>
      <c r="O771" s="28">
        <f>IFERROR(INDEX(MgAmenDegI,MATCH(SUBSTITUTE($H771,"*","-"),MgAmenClave,0)),"No aplica")</f>
        <v/>
      </c>
      <c r="P771" s="28">
        <f>IFERROR(INDEX(MgAmenDegC,MATCH(SUBSTITUTE($H771,"*","-"),MgAmenClave,0)),"No aplica")</f>
        <v/>
      </c>
      <c r="Q771" s="29">
        <f>IFERROR(VLOOKUP(K771,MgValor,2,0)*VLOOKUP(N771,MgDeg,2,0),0)</f>
        <v/>
      </c>
      <c r="R771" s="29">
        <f>IFERROR(VLOOKUP(L771,MgValor,2,0)*VLOOKUP(O771,MgDeg,2,0),0)</f>
        <v/>
      </c>
      <c r="S771" s="29">
        <f>IFERROR(VLOOKUP(M771,MgValor,2,0)*VLOOKUP(P771,MgDeg,2,0),0)</f>
        <v/>
      </c>
      <c r="T771" s="30">
        <f>MAX(Q771:S771)</f>
        <v/>
      </c>
      <c r="U771" s="28">
        <f>IFERROR(LOOKUP(T771,{0;0.5;1.5;3;4.5},{"Despreciable";"Bajo";"Medio";"Alto";"Muy alto"}),"")</f>
        <v/>
      </c>
      <c r="V771" s="13">
        <f>IFERROR(INDEX(MgAmenFrec,MATCH(SUBSTITUTE($H771,"*","-"),MgAmenClave,0)),"")</f>
        <v/>
      </c>
      <c r="W771" s="28">
        <f>IFERROR(LOOKUP(X771,{0;0.01;0.1;1;10;100},{"Muy baja";"Muy baja";"Baja";"Media";"Alta";"Muy alta"}),"")</f>
        <v/>
      </c>
      <c r="X771" s="31">
        <f>IFERROR(VLOOKUP(V771,MgFrec,2,0),0)</f>
        <v/>
      </c>
      <c r="Y771" s="30">
        <f>T771*X771</f>
        <v/>
      </c>
      <c r="Z771" s="28">
        <f>IFERROR(LOOKUP(Y771,{0;0.5;5;25},{"Bajo";"Medio";"Alto";"Crítico"}),"")</f>
        <v/>
      </c>
      <c r="AA771" s="64">
        <f>IF(T771&gt;=3,IF(X771&gt;=1,"Zona 1 — Crítica: impacto alto y ocurre al menos una vez al año","Zona 4 — Catastrófica poco probable: impacto alto pero excepcional"),IF(AND(T771&lt;1.5,X771&lt;1),"Zona 3 — Asumible: impacto bajo y muy poco frecuente","Zona 2 — Atención: riesgo intermedio"))</f>
        <v/>
      </c>
      <c r="AB771" s="64">
        <f>IFERROR(INDEX(MgAmenCtrl,MATCH(SUBSTITUTE($H771,"*","-"),MgAmenClave,0)),"")</f>
        <v/>
      </c>
      <c r="AC771" s="20" t="n"/>
      <c r="AD771" s="31">
        <f>IFERROR($X771*(1-IF($AC771="",$AL771,VLOOKUP($AC771,MgMad,2,0))),"")</f>
        <v/>
      </c>
      <c r="AE771" s="28">
        <f>IFERROR(LOOKUP(AD771,{0;0.01;0.1;1;10;100},{"Muy baja";"Muy baja";"Baja";"Media";"Alta";"Muy alta"}),"")</f>
        <v/>
      </c>
      <c r="AF771" s="30">
        <f>T771*AD771</f>
        <v/>
      </c>
      <c r="AG771" s="28">
        <f>IFERROR(LOOKUP(AF771,{0;0.5;5;25},{"Bajo";"Medio";"Alto";"Crítico"}),"")</f>
        <v/>
      </c>
      <c r="AH771" s="28">
        <f>IF(AG771="","",IF(OR(AG771="Crítico",AG771="Alto"),"Mitigar",IF(AG771="Medio","Mitigar","Aceptar y monitorear")))</f>
        <v/>
      </c>
      <c r="AI771" s="21" t="n"/>
      <c r="AJ771" s="21" t="n"/>
      <c r="AK771" s="20" t="n"/>
      <c r="AL771" s="77">
        <f>IFERROR(INDEX(MgAmenEfic,MATCH(SUBSTITUTE($H771,"*","-"),MgAmenClave,0)),0)</f>
        <v/>
      </c>
    </row>
    <row r="772" hidden="1" ht="90" customHeight="1" s="54">
      <c r="B772" s="59" t="inlineStr">
        <is>
          <t>R-0767</t>
        </is>
      </c>
      <c r="C772" s="59" t="inlineStr">
        <is>
          <t>COM-09</t>
        </is>
      </c>
      <c r="D772" s="64">
        <f>IFERROR(INDEX(MgNombre,MATCH($C772,MgActId,0)),"")</f>
        <v/>
      </c>
      <c r="E772" s="64">
        <f>IFERROR(INDEX(MgProceso,MATCH($C772,MgActId,0)),"")</f>
        <v/>
      </c>
      <c r="F772" s="64">
        <f>IFERROR(INDEX(MgTipo,MATCH($C772,MgActId,0)),"")</f>
        <v/>
      </c>
      <c r="G772" s="64">
        <f>IFERROR(INDEX(MgSubtipo,MATCH($C772,MgActId,0)),"")</f>
        <v/>
      </c>
      <c r="H772" s="59" t="inlineStr">
        <is>
          <t>A.13</t>
        </is>
      </c>
      <c r="I772" s="64">
        <f>IFERROR(INDEX(MgAmenNombre,MATCH(SUBSTITUTE($H772,"*","-"),MgAmenClave,0)),"")</f>
        <v/>
      </c>
      <c r="J772" s="28">
        <f>IFERROR(INDEX(MgAmenGrupo,MATCH(SUBSTITUTE($H772,"*","-"),MgAmenClave,0)),"")</f>
        <v/>
      </c>
      <c r="K772" s="64">
        <f>IFERROR(INDEX('1. Matriz de Activos'!$Q$6:$Q$239,MATCH($C772,MgActId,0)),"")</f>
        <v/>
      </c>
      <c r="L772" s="64">
        <f>IFERROR(INDEX('1. Matriz de Activos'!$R$6:$R$239,MATCH($C772,MgActId,0)),"")</f>
        <v/>
      </c>
      <c r="M772" s="64">
        <f>IFERROR(INDEX('1. Matriz de Activos'!$S$6:$S$239,MATCH($C772,MgActId,0)),"")</f>
        <v/>
      </c>
      <c r="N772" s="28">
        <f>IFERROR(INDEX(MgAmenDegD,MATCH(SUBSTITUTE($H772,"*","-"),MgAmenClave,0)),"No aplica")</f>
        <v/>
      </c>
      <c r="O772" s="28">
        <f>IFERROR(INDEX(MgAmenDegI,MATCH(SUBSTITUTE($H772,"*","-"),MgAmenClave,0)),"No aplica")</f>
        <v/>
      </c>
      <c r="P772" s="28">
        <f>IFERROR(INDEX(MgAmenDegC,MATCH(SUBSTITUTE($H772,"*","-"),MgAmenClave,0)),"No aplica")</f>
        <v/>
      </c>
      <c r="Q772" s="29">
        <f>IFERROR(VLOOKUP(K772,MgValor,2,0)*VLOOKUP(N772,MgDeg,2,0),0)</f>
        <v/>
      </c>
      <c r="R772" s="29">
        <f>IFERROR(VLOOKUP(L772,MgValor,2,0)*VLOOKUP(O772,MgDeg,2,0),0)</f>
        <v/>
      </c>
      <c r="S772" s="29">
        <f>IFERROR(VLOOKUP(M772,MgValor,2,0)*VLOOKUP(P772,MgDeg,2,0),0)</f>
        <v/>
      </c>
      <c r="T772" s="30">
        <f>MAX(Q772:S772)</f>
        <v/>
      </c>
      <c r="U772" s="28">
        <f>IFERROR(LOOKUP(T772,{0;0.5;1.5;3;4.5},{"Despreciable";"Bajo";"Medio";"Alto";"Muy alto"}),"")</f>
        <v/>
      </c>
      <c r="V772" s="13">
        <f>IFERROR(INDEX(MgAmenFrec,MATCH(SUBSTITUTE($H772,"*","-"),MgAmenClave,0)),"")</f>
        <v/>
      </c>
      <c r="W772" s="28">
        <f>IFERROR(LOOKUP(X772,{0;0.01;0.1;1;10;100},{"Muy baja";"Muy baja";"Baja";"Media";"Alta";"Muy alta"}),"")</f>
        <v/>
      </c>
      <c r="X772" s="31">
        <f>IFERROR(VLOOKUP(V772,MgFrec,2,0),0)</f>
        <v/>
      </c>
      <c r="Y772" s="30">
        <f>T772*X772</f>
        <v/>
      </c>
      <c r="Z772" s="28">
        <f>IFERROR(LOOKUP(Y772,{0;0.5;5;25},{"Bajo";"Medio";"Alto";"Crítico"}),"")</f>
        <v/>
      </c>
      <c r="AA772" s="64">
        <f>IF(T772&gt;=3,IF(X772&gt;=1,"Zona 1 — Crítica: impacto alto y ocurre al menos una vez al año","Zona 4 — Catastrófica poco probable: impacto alto pero excepcional"),IF(AND(T772&lt;1.5,X772&lt;1),"Zona 3 — Asumible: impacto bajo y muy poco frecuente","Zona 2 — Atención: riesgo intermedio"))</f>
        <v/>
      </c>
      <c r="AB772" s="64">
        <f>IFERROR(INDEX(MgAmenCtrl,MATCH(SUBSTITUTE($H772,"*","-"),MgAmenClave,0)),"")</f>
        <v/>
      </c>
      <c r="AC772" s="20" t="n"/>
      <c r="AD772" s="31">
        <f>IFERROR($X772*(1-IF($AC772="",$AL772,VLOOKUP($AC772,MgMad,2,0))),"")</f>
        <v/>
      </c>
      <c r="AE772" s="28">
        <f>IFERROR(LOOKUP(AD772,{0;0.01;0.1;1;10;100},{"Muy baja";"Muy baja";"Baja";"Media";"Alta";"Muy alta"}),"")</f>
        <v/>
      </c>
      <c r="AF772" s="30">
        <f>T772*AD772</f>
        <v/>
      </c>
      <c r="AG772" s="28">
        <f>IFERROR(LOOKUP(AF772,{0;0.5;5;25},{"Bajo";"Medio";"Alto";"Crítico"}),"")</f>
        <v/>
      </c>
      <c r="AH772" s="28">
        <f>IF(AG772="","",IF(OR(AG772="Crítico",AG772="Alto"),"Mitigar",IF(AG772="Medio","Mitigar","Aceptar y monitorear")))</f>
        <v/>
      </c>
      <c r="AI772" s="21" t="n"/>
      <c r="AJ772" s="21" t="n"/>
      <c r="AK772" s="20" t="n"/>
      <c r="AL772" s="77">
        <f>IFERROR(INDEX(MgAmenEfic,MATCH(SUBSTITUTE($H772,"*","-"),MgAmenClave,0)),0)</f>
        <v/>
      </c>
    </row>
    <row r="773" hidden="1" ht="60" customHeight="1" s="54">
      <c r="B773" s="59" t="inlineStr">
        <is>
          <t>R-0768</t>
        </is>
      </c>
      <c r="C773" s="59" t="inlineStr">
        <is>
          <t>COM-09</t>
        </is>
      </c>
      <c r="D773" s="64">
        <f>IFERROR(INDEX(MgNombre,MATCH($C773,MgActId,0)),"")</f>
        <v/>
      </c>
      <c r="E773" s="64">
        <f>IFERROR(INDEX(MgProceso,MATCH($C773,MgActId,0)),"")</f>
        <v/>
      </c>
      <c r="F773" s="64">
        <f>IFERROR(INDEX(MgTipo,MATCH($C773,MgActId,0)),"")</f>
        <v/>
      </c>
      <c r="G773" s="64">
        <f>IFERROR(INDEX(MgSubtipo,MATCH($C773,MgActId,0)),"")</f>
        <v/>
      </c>
      <c r="H773" s="59" t="inlineStr">
        <is>
          <t>A.15</t>
        </is>
      </c>
      <c r="I773" s="64">
        <f>IFERROR(INDEX(MgAmenNombre,MATCH(SUBSTITUTE($H773,"*","-"),MgAmenClave,0)),"")</f>
        <v/>
      </c>
      <c r="J773" s="28">
        <f>IFERROR(INDEX(MgAmenGrupo,MATCH(SUBSTITUTE($H773,"*","-"),MgAmenClave,0)),"")</f>
        <v/>
      </c>
      <c r="K773" s="64">
        <f>IFERROR(INDEX('1. Matriz de Activos'!$Q$6:$Q$239,MATCH($C773,MgActId,0)),"")</f>
        <v/>
      </c>
      <c r="L773" s="64">
        <f>IFERROR(INDEX('1. Matriz de Activos'!$R$6:$R$239,MATCH($C773,MgActId,0)),"")</f>
        <v/>
      </c>
      <c r="M773" s="64">
        <f>IFERROR(INDEX('1. Matriz de Activos'!$S$6:$S$239,MATCH($C773,MgActId,0)),"")</f>
        <v/>
      </c>
      <c r="N773" s="28">
        <f>IFERROR(INDEX(MgAmenDegD,MATCH(SUBSTITUTE($H773,"*","-"),MgAmenClave,0)),"No aplica")</f>
        <v/>
      </c>
      <c r="O773" s="28">
        <f>IFERROR(INDEX(MgAmenDegI,MATCH(SUBSTITUTE($H773,"*","-"),MgAmenClave,0)),"No aplica")</f>
        <v/>
      </c>
      <c r="P773" s="28">
        <f>IFERROR(INDEX(MgAmenDegC,MATCH(SUBSTITUTE($H773,"*","-"),MgAmenClave,0)),"No aplica")</f>
        <v/>
      </c>
      <c r="Q773" s="29">
        <f>IFERROR(VLOOKUP(K773,MgValor,2,0)*VLOOKUP(N773,MgDeg,2,0),0)</f>
        <v/>
      </c>
      <c r="R773" s="29">
        <f>IFERROR(VLOOKUP(L773,MgValor,2,0)*VLOOKUP(O773,MgDeg,2,0),0)</f>
        <v/>
      </c>
      <c r="S773" s="29">
        <f>IFERROR(VLOOKUP(M773,MgValor,2,0)*VLOOKUP(P773,MgDeg,2,0),0)</f>
        <v/>
      </c>
      <c r="T773" s="30">
        <f>MAX(Q773:S773)</f>
        <v/>
      </c>
      <c r="U773" s="28">
        <f>IFERROR(LOOKUP(T773,{0;0.5;1.5;3;4.5},{"Despreciable";"Bajo";"Medio";"Alto";"Muy alto"}),"")</f>
        <v/>
      </c>
      <c r="V773" s="13">
        <f>IFERROR(INDEX(MgAmenFrec,MATCH(SUBSTITUTE($H773,"*","-"),MgAmenClave,0)),"")</f>
        <v/>
      </c>
      <c r="W773" s="28">
        <f>IFERROR(LOOKUP(X773,{0;0.01;0.1;1;10;100},{"Muy baja";"Muy baja";"Baja";"Media";"Alta";"Muy alta"}),"")</f>
        <v/>
      </c>
      <c r="X773" s="31">
        <f>IFERROR(VLOOKUP(V773,MgFrec,2,0),0)</f>
        <v/>
      </c>
      <c r="Y773" s="30">
        <f>T773*X773</f>
        <v/>
      </c>
      <c r="Z773" s="28">
        <f>IFERROR(LOOKUP(Y773,{0;0.5;5;25},{"Bajo";"Medio";"Alto";"Crítico"}),"")</f>
        <v/>
      </c>
      <c r="AA773" s="64">
        <f>IF(T773&gt;=3,IF(X773&gt;=1,"Zona 1 — Crítica: impacto alto y ocurre al menos una vez al año","Zona 4 — Catastrófica poco probable: impacto alto pero excepcional"),IF(AND(T773&lt;1.5,X773&lt;1),"Zona 3 — Asumible: impacto bajo y muy poco frecuente","Zona 2 — Atención: riesgo intermedio"))</f>
        <v/>
      </c>
      <c r="AB773" s="64">
        <f>IFERROR(INDEX(MgAmenCtrl,MATCH(SUBSTITUTE($H773,"*","-"),MgAmenClave,0)),"")</f>
        <v/>
      </c>
      <c r="AC773" s="20" t="n"/>
      <c r="AD773" s="31">
        <f>IFERROR($X773*(1-IF($AC773="",$AL773,VLOOKUP($AC773,MgMad,2,0))),"")</f>
        <v/>
      </c>
      <c r="AE773" s="28">
        <f>IFERROR(LOOKUP(AD773,{0;0.01;0.1;1;10;100},{"Muy baja";"Muy baja";"Baja";"Media";"Alta";"Muy alta"}),"")</f>
        <v/>
      </c>
      <c r="AF773" s="30">
        <f>T773*AD773</f>
        <v/>
      </c>
      <c r="AG773" s="28">
        <f>IFERROR(LOOKUP(AF773,{0;0.5;5;25},{"Bajo";"Medio";"Alto";"Crítico"}),"")</f>
        <v/>
      </c>
      <c r="AH773" s="28">
        <f>IF(AG773="","",IF(OR(AG773="Crítico",AG773="Alto"),"Mitigar",IF(AG773="Medio","Mitigar","Aceptar y monitorear")))</f>
        <v/>
      </c>
      <c r="AI773" s="21" t="n"/>
      <c r="AJ773" s="21" t="n"/>
      <c r="AK773" s="20" t="n"/>
      <c r="AL773" s="77">
        <f>IFERROR(INDEX(MgAmenEfic,MATCH(SUBSTITUTE($H773,"*","-"),MgAmenClave,0)),0)</f>
        <v/>
      </c>
    </row>
    <row r="774" hidden="1" ht="60" customHeight="1" s="54">
      <c r="B774" s="59" t="inlineStr">
        <is>
          <t>R-0769</t>
        </is>
      </c>
      <c r="C774" s="59" t="inlineStr">
        <is>
          <t>COM-09</t>
        </is>
      </c>
      <c r="D774" s="64">
        <f>IFERROR(INDEX(MgNombre,MATCH($C774,MgActId,0)),"")</f>
        <v/>
      </c>
      <c r="E774" s="64">
        <f>IFERROR(INDEX(MgProceso,MATCH($C774,MgActId,0)),"")</f>
        <v/>
      </c>
      <c r="F774" s="64">
        <f>IFERROR(INDEX(MgTipo,MATCH($C774,MgActId,0)),"")</f>
        <v/>
      </c>
      <c r="G774" s="64">
        <f>IFERROR(INDEX(MgSubtipo,MATCH($C774,MgActId,0)),"")</f>
        <v/>
      </c>
      <c r="H774" s="59" t="inlineStr">
        <is>
          <t>A.18</t>
        </is>
      </c>
      <c r="I774" s="64">
        <f>IFERROR(INDEX(MgAmenNombre,MATCH(SUBSTITUTE($H774,"*","-"),MgAmenClave,0)),"")</f>
        <v/>
      </c>
      <c r="J774" s="28">
        <f>IFERROR(INDEX(MgAmenGrupo,MATCH(SUBSTITUTE($H774,"*","-"),MgAmenClave,0)),"")</f>
        <v/>
      </c>
      <c r="K774" s="64">
        <f>IFERROR(INDEX('1. Matriz de Activos'!$Q$6:$Q$239,MATCH($C774,MgActId,0)),"")</f>
        <v/>
      </c>
      <c r="L774" s="64">
        <f>IFERROR(INDEX('1. Matriz de Activos'!$R$6:$R$239,MATCH($C774,MgActId,0)),"")</f>
        <v/>
      </c>
      <c r="M774" s="64">
        <f>IFERROR(INDEX('1. Matriz de Activos'!$S$6:$S$239,MATCH($C774,MgActId,0)),"")</f>
        <v/>
      </c>
      <c r="N774" s="28">
        <f>IFERROR(INDEX(MgAmenDegD,MATCH(SUBSTITUTE($H774,"*","-"),MgAmenClave,0)),"No aplica")</f>
        <v/>
      </c>
      <c r="O774" s="28">
        <f>IFERROR(INDEX(MgAmenDegI,MATCH(SUBSTITUTE($H774,"*","-"),MgAmenClave,0)),"No aplica")</f>
        <v/>
      </c>
      <c r="P774" s="28">
        <f>IFERROR(INDEX(MgAmenDegC,MATCH(SUBSTITUTE($H774,"*","-"),MgAmenClave,0)),"No aplica")</f>
        <v/>
      </c>
      <c r="Q774" s="29">
        <f>IFERROR(VLOOKUP(K774,MgValor,2,0)*VLOOKUP(N774,MgDeg,2,0),0)</f>
        <v/>
      </c>
      <c r="R774" s="29">
        <f>IFERROR(VLOOKUP(L774,MgValor,2,0)*VLOOKUP(O774,MgDeg,2,0),0)</f>
        <v/>
      </c>
      <c r="S774" s="29">
        <f>IFERROR(VLOOKUP(M774,MgValor,2,0)*VLOOKUP(P774,MgDeg,2,0),0)</f>
        <v/>
      </c>
      <c r="T774" s="30">
        <f>MAX(Q774:S774)</f>
        <v/>
      </c>
      <c r="U774" s="28">
        <f>IFERROR(LOOKUP(T774,{0;0.5;1.5;3;4.5},{"Despreciable";"Bajo";"Medio";"Alto";"Muy alto"}),"")</f>
        <v/>
      </c>
      <c r="V774" s="13">
        <f>IFERROR(INDEX(MgAmenFrec,MATCH(SUBSTITUTE($H774,"*","-"),MgAmenClave,0)),"")</f>
        <v/>
      </c>
      <c r="W774" s="28">
        <f>IFERROR(LOOKUP(X774,{0;0.01;0.1;1;10;100},{"Muy baja";"Muy baja";"Baja";"Media";"Alta";"Muy alta"}),"")</f>
        <v/>
      </c>
      <c r="X774" s="31">
        <f>IFERROR(VLOOKUP(V774,MgFrec,2,0),0)</f>
        <v/>
      </c>
      <c r="Y774" s="30">
        <f>T774*X774</f>
        <v/>
      </c>
      <c r="Z774" s="28">
        <f>IFERROR(LOOKUP(Y774,{0;0.5;5;25},{"Bajo";"Medio";"Alto";"Crítico"}),"")</f>
        <v/>
      </c>
      <c r="AA774" s="64">
        <f>IF(T774&gt;=3,IF(X774&gt;=1,"Zona 1 — Crítica: impacto alto y ocurre al menos una vez al año","Zona 4 — Catastrófica poco probable: impacto alto pero excepcional"),IF(AND(T774&lt;1.5,X774&lt;1),"Zona 3 — Asumible: impacto bajo y muy poco frecuente","Zona 2 — Atención: riesgo intermedio"))</f>
        <v/>
      </c>
      <c r="AB774" s="64">
        <f>IFERROR(INDEX(MgAmenCtrl,MATCH(SUBSTITUTE($H774,"*","-"),MgAmenClave,0)),"")</f>
        <v/>
      </c>
      <c r="AC774" s="20" t="n"/>
      <c r="AD774" s="31">
        <f>IFERROR($X774*(1-IF($AC774="",$AL774,VLOOKUP($AC774,MgMad,2,0))),"")</f>
        <v/>
      </c>
      <c r="AE774" s="28">
        <f>IFERROR(LOOKUP(AD774,{0;0.01;0.1;1;10;100},{"Muy baja";"Muy baja";"Baja";"Media";"Alta";"Muy alta"}),"")</f>
        <v/>
      </c>
      <c r="AF774" s="30">
        <f>T774*AD774</f>
        <v/>
      </c>
      <c r="AG774" s="28">
        <f>IFERROR(LOOKUP(AF774,{0;0.5;5;25},{"Bajo";"Medio";"Alto";"Crítico"}),"")</f>
        <v/>
      </c>
      <c r="AH774" s="28">
        <f>IF(AG774="","",IF(OR(AG774="Crítico",AG774="Alto"),"Mitigar",IF(AG774="Medio","Mitigar","Aceptar y monitorear")))</f>
        <v/>
      </c>
      <c r="AI774" s="21" t="n"/>
      <c r="AJ774" s="21" t="n"/>
      <c r="AK774" s="20" t="n"/>
      <c r="AL774" s="77">
        <f>IFERROR(INDEX(MgAmenEfic,MATCH(SUBSTITUTE($H774,"*","-"),MgAmenClave,0)),0)</f>
        <v/>
      </c>
    </row>
    <row r="775" hidden="1" ht="120" customHeight="1" s="54">
      <c r="B775" s="59" t="inlineStr">
        <is>
          <t>R-0770</t>
        </is>
      </c>
      <c r="C775" s="59" t="inlineStr">
        <is>
          <t>COM-09</t>
        </is>
      </c>
      <c r="D775" s="64">
        <f>IFERROR(INDEX(MgNombre,MATCH($C775,MgActId,0)),"")</f>
        <v/>
      </c>
      <c r="E775" s="64">
        <f>IFERROR(INDEX(MgProceso,MATCH($C775,MgActId,0)),"")</f>
        <v/>
      </c>
      <c r="F775" s="64">
        <f>IFERROR(INDEX(MgTipo,MATCH($C775,MgActId,0)),"")</f>
        <v/>
      </c>
      <c r="G775" s="64">
        <f>IFERROR(INDEX(MgSubtipo,MATCH($C775,MgActId,0)),"")</f>
        <v/>
      </c>
      <c r="H775" s="59" t="inlineStr">
        <is>
          <t>A.19</t>
        </is>
      </c>
      <c r="I775" s="64">
        <f>IFERROR(INDEX(MgAmenNombre,MATCH(SUBSTITUTE($H775,"*","-"),MgAmenClave,0)),"")</f>
        <v/>
      </c>
      <c r="J775" s="28">
        <f>IFERROR(INDEX(MgAmenGrupo,MATCH(SUBSTITUTE($H775,"*","-"),MgAmenClave,0)),"")</f>
        <v/>
      </c>
      <c r="K775" s="64">
        <f>IFERROR(INDEX('1. Matriz de Activos'!$Q$6:$Q$239,MATCH($C775,MgActId,0)),"")</f>
        <v/>
      </c>
      <c r="L775" s="64">
        <f>IFERROR(INDEX('1. Matriz de Activos'!$R$6:$R$239,MATCH($C775,MgActId,0)),"")</f>
        <v/>
      </c>
      <c r="M775" s="64">
        <f>IFERROR(INDEX('1. Matriz de Activos'!$S$6:$S$239,MATCH($C775,MgActId,0)),"")</f>
        <v/>
      </c>
      <c r="N775" s="28">
        <f>IFERROR(INDEX(MgAmenDegD,MATCH(SUBSTITUTE($H775,"*","-"),MgAmenClave,0)),"No aplica")</f>
        <v/>
      </c>
      <c r="O775" s="28">
        <f>IFERROR(INDEX(MgAmenDegI,MATCH(SUBSTITUTE($H775,"*","-"),MgAmenClave,0)),"No aplica")</f>
        <v/>
      </c>
      <c r="P775" s="28">
        <f>IFERROR(INDEX(MgAmenDegC,MATCH(SUBSTITUTE($H775,"*","-"),MgAmenClave,0)),"No aplica")</f>
        <v/>
      </c>
      <c r="Q775" s="29">
        <f>IFERROR(VLOOKUP(K775,MgValor,2,0)*VLOOKUP(N775,MgDeg,2,0),0)</f>
        <v/>
      </c>
      <c r="R775" s="29">
        <f>IFERROR(VLOOKUP(L775,MgValor,2,0)*VLOOKUP(O775,MgDeg,2,0),0)</f>
        <v/>
      </c>
      <c r="S775" s="29">
        <f>IFERROR(VLOOKUP(M775,MgValor,2,0)*VLOOKUP(P775,MgDeg,2,0),0)</f>
        <v/>
      </c>
      <c r="T775" s="30">
        <f>MAX(Q775:S775)</f>
        <v/>
      </c>
      <c r="U775" s="28">
        <f>IFERROR(LOOKUP(T775,{0;0.5;1.5;3;4.5},{"Despreciable";"Bajo";"Medio";"Alto";"Muy alto"}),"")</f>
        <v/>
      </c>
      <c r="V775" s="13">
        <f>IFERROR(INDEX(MgAmenFrec,MATCH(SUBSTITUTE($H775,"*","-"),MgAmenClave,0)),"")</f>
        <v/>
      </c>
      <c r="W775" s="28">
        <f>IFERROR(LOOKUP(X775,{0;0.01;0.1;1;10;100},{"Muy baja";"Muy baja";"Baja";"Media";"Alta";"Muy alta"}),"")</f>
        <v/>
      </c>
      <c r="X775" s="31">
        <f>IFERROR(VLOOKUP(V775,MgFrec,2,0),0)</f>
        <v/>
      </c>
      <c r="Y775" s="30">
        <f>T775*X775</f>
        <v/>
      </c>
      <c r="Z775" s="28">
        <f>IFERROR(LOOKUP(Y775,{0;0.5;5;25},{"Bajo";"Medio";"Alto";"Crítico"}),"")</f>
        <v/>
      </c>
      <c r="AA775" s="64">
        <f>IF(T775&gt;=3,IF(X775&gt;=1,"Zona 1 — Crítica: impacto alto y ocurre al menos una vez al año","Zona 4 — Catastrófica poco probable: impacto alto pero excepcional"),IF(AND(T775&lt;1.5,X775&lt;1),"Zona 3 — Asumible: impacto bajo y muy poco frecuente","Zona 2 — Atención: riesgo intermedio"))</f>
        <v/>
      </c>
      <c r="AB775" s="64">
        <f>IFERROR(INDEX(MgAmenCtrl,MATCH(SUBSTITUTE($H775,"*","-"),MgAmenClave,0)),"")</f>
        <v/>
      </c>
      <c r="AC775" s="20" t="n"/>
      <c r="AD775" s="31">
        <f>IFERROR($X775*(1-IF($AC775="",$AL775,VLOOKUP($AC775,MgMad,2,0))),"")</f>
        <v/>
      </c>
      <c r="AE775" s="28">
        <f>IFERROR(LOOKUP(AD775,{0;0.01;0.1;1;10;100},{"Muy baja";"Muy baja";"Baja";"Media";"Alta";"Muy alta"}),"")</f>
        <v/>
      </c>
      <c r="AF775" s="30">
        <f>T775*AD775</f>
        <v/>
      </c>
      <c r="AG775" s="28">
        <f>IFERROR(LOOKUP(AF775,{0;0.5;5;25},{"Bajo";"Medio";"Alto";"Crítico"}),"")</f>
        <v/>
      </c>
      <c r="AH775" s="28">
        <f>IF(AG775="","",IF(OR(AG775="Crítico",AG775="Alto"),"Mitigar",IF(AG775="Medio","Mitigar","Aceptar y monitorear")))</f>
        <v/>
      </c>
      <c r="AI775" s="21" t="n"/>
      <c r="AJ775" s="21" t="n"/>
      <c r="AK775" s="20" t="n"/>
      <c r="AL775" s="77">
        <f>IFERROR(INDEX(MgAmenEfic,MATCH(SUBSTITUTE($H775,"*","-"),MgAmenClave,0)),0)</f>
        <v/>
      </c>
    </row>
    <row r="776" hidden="1" ht="105" customHeight="1" s="54">
      <c r="B776" s="59" t="inlineStr">
        <is>
          <t>R-0771</t>
        </is>
      </c>
      <c r="C776" s="59" t="inlineStr">
        <is>
          <t>COM-20</t>
        </is>
      </c>
      <c r="D776" s="64">
        <f>IFERROR(INDEX(MgNombre,MATCH($C776,MgActId,0)),"")</f>
        <v/>
      </c>
      <c r="E776" s="64">
        <f>IFERROR(INDEX(MgProceso,MATCH($C776,MgActId,0)),"")</f>
        <v/>
      </c>
      <c r="F776" s="64">
        <f>IFERROR(INDEX(MgTipo,MATCH($C776,MgActId,0)),"")</f>
        <v/>
      </c>
      <c r="G776" s="64">
        <f>IFERROR(INDEX(MgSubtipo,MATCH($C776,MgActId,0)),"")</f>
        <v/>
      </c>
      <c r="H776" s="59" t="inlineStr">
        <is>
          <t>E.1</t>
        </is>
      </c>
      <c r="I776" s="64">
        <f>IFERROR(INDEX(MgAmenNombre,MATCH(SUBSTITUTE($H776,"*","-"),MgAmenClave,0)),"")</f>
        <v/>
      </c>
      <c r="J776" s="28">
        <f>IFERROR(INDEX(MgAmenGrupo,MATCH(SUBSTITUTE($H776,"*","-"),MgAmenClave,0)),"")</f>
        <v/>
      </c>
      <c r="K776" s="64">
        <f>IFERROR(INDEX('1. Matriz de Activos'!$Q$6:$Q$239,MATCH($C776,MgActId,0)),"")</f>
        <v/>
      </c>
      <c r="L776" s="64">
        <f>IFERROR(INDEX('1. Matriz de Activos'!$R$6:$R$239,MATCH($C776,MgActId,0)),"")</f>
        <v/>
      </c>
      <c r="M776" s="64">
        <f>IFERROR(INDEX('1. Matriz de Activos'!$S$6:$S$239,MATCH($C776,MgActId,0)),"")</f>
        <v/>
      </c>
      <c r="N776" s="28">
        <f>IFERROR(INDEX(MgAmenDegD,MATCH(SUBSTITUTE($H776,"*","-"),MgAmenClave,0)),"No aplica")</f>
        <v/>
      </c>
      <c r="O776" s="28">
        <f>IFERROR(INDEX(MgAmenDegI,MATCH(SUBSTITUTE($H776,"*","-"),MgAmenClave,0)),"No aplica")</f>
        <v/>
      </c>
      <c r="P776" s="28">
        <f>IFERROR(INDEX(MgAmenDegC,MATCH(SUBSTITUTE($H776,"*","-"),MgAmenClave,0)),"No aplica")</f>
        <v/>
      </c>
      <c r="Q776" s="29">
        <f>IFERROR(VLOOKUP(K776,MgValor,2,0)*VLOOKUP(N776,MgDeg,2,0),0)</f>
        <v/>
      </c>
      <c r="R776" s="29">
        <f>IFERROR(VLOOKUP(L776,MgValor,2,0)*VLOOKUP(O776,MgDeg,2,0),0)</f>
        <v/>
      </c>
      <c r="S776" s="29">
        <f>IFERROR(VLOOKUP(M776,MgValor,2,0)*VLOOKUP(P776,MgDeg,2,0),0)</f>
        <v/>
      </c>
      <c r="T776" s="30">
        <f>MAX(Q776:S776)</f>
        <v/>
      </c>
      <c r="U776" s="28">
        <f>IFERROR(LOOKUP(T776,{0;0.5;1.5;3;4.5},{"Despreciable";"Bajo";"Medio";"Alto";"Muy alto"}),"")</f>
        <v/>
      </c>
      <c r="V776" s="13">
        <f>IFERROR(INDEX(MgAmenFrec,MATCH(SUBSTITUTE($H776,"*","-"),MgAmenClave,0)),"")</f>
        <v/>
      </c>
      <c r="W776" s="28">
        <f>IFERROR(LOOKUP(X776,{0;0.01;0.1;1;10;100},{"Muy baja";"Muy baja";"Baja";"Media";"Alta";"Muy alta"}),"")</f>
        <v/>
      </c>
      <c r="X776" s="31">
        <f>IFERROR(VLOOKUP(V776,MgFrec,2,0),0)</f>
        <v/>
      </c>
      <c r="Y776" s="30">
        <f>T776*X776</f>
        <v/>
      </c>
      <c r="Z776" s="28">
        <f>IFERROR(LOOKUP(Y776,{0;0.5;5;25},{"Bajo";"Medio";"Alto";"Crítico"}),"")</f>
        <v/>
      </c>
      <c r="AA776" s="64">
        <f>IF(T776&gt;=3,IF(X776&gt;=1,"Zona 1 — Crítica: impacto alto y ocurre al menos una vez al año","Zona 4 — Catastrófica poco probable: impacto alto pero excepcional"),IF(AND(T776&lt;1.5,X776&lt;1),"Zona 3 — Asumible: impacto bajo y muy poco frecuente","Zona 2 — Atención: riesgo intermedio"))</f>
        <v/>
      </c>
      <c r="AB776" s="64">
        <f>IFERROR(INDEX(MgAmenCtrl,MATCH(SUBSTITUTE($H776,"*","-"),MgAmenClave,0)),"")</f>
        <v/>
      </c>
      <c r="AC776" s="20" t="n"/>
      <c r="AD776" s="31">
        <f>IFERROR($X776*(1-IF($AC776="",$AL776,VLOOKUP($AC776,MgMad,2,0))),"")</f>
        <v/>
      </c>
      <c r="AE776" s="28">
        <f>IFERROR(LOOKUP(AD776,{0;0.01;0.1;1;10;100},{"Muy baja";"Muy baja";"Baja";"Media";"Alta";"Muy alta"}),"")</f>
        <v/>
      </c>
      <c r="AF776" s="30">
        <f>T776*AD776</f>
        <v/>
      </c>
      <c r="AG776" s="28">
        <f>IFERROR(LOOKUP(AF776,{0;0.5;5;25},{"Bajo";"Medio";"Alto";"Crítico"}),"")</f>
        <v/>
      </c>
      <c r="AH776" s="28">
        <f>IF(AG776="","",IF(OR(AG776="Crítico",AG776="Alto"),"Mitigar",IF(AG776="Medio","Mitigar","Aceptar y monitorear")))</f>
        <v/>
      </c>
      <c r="AI776" s="21" t="n"/>
      <c r="AJ776" s="21" t="n"/>
      <c r="AK776" s="20" t="n"/>
      <c r="AL776" s="77">
        <f>IFERROR(INDEX(MgAmenEfic,MATCH(SUBSTITUTE($H776,"*","-"),MgAmenClave,0)),0)</f>
        <v/>
      </c>
    </row>
    <row r="777" hidden="1" ht="120" customHeight="1" s="54">
      <c r="B777" s="59" t="inlineStr">
        <is>
          <t>R-0772</t>
        </is>
      </c>
      <c r="C777" s="59" t="inlineStr">
        <is>
          <t>COM-20</t>
        </is>
      </c>
      <c r="D777" s="64">
        <f>IFERROR(INDEX(MgNombre,MATCH($C777,MgActId,0)),"")</f>
        <v/>
      </c>
      <c r="E777" s="64">
        <f>IFERROR(INDEX(MgProceso,MATCH($C777,MgActId,0)),"")</f>
        <v/>
      </c>
      <c r="F777" s="64">
        <f>IFERROR(INDEX(MgTipo,MATCH($C777,MgActId,0)),"")</f>
        <v/>
      </c>
      <c r="G777" s="64">
        <f>IFERROR(INDEX(MgSubtipo,MATCH($C777,MgActId,0)),"")</f>
        <v/>
      </c>
      <c r="H777" s="59" t="inlineStr">
        <is>
          <t>E.2</t>
        </is>
      </c>
      <c r="I777" s="64">
        <f>IFERROR(INDEX(MgAmenNombre,MATCH(SUBSTITUTE($H777,"*","-"),MgAmenClave,0)),"")</f>
        <v/>
      </c>
      <c r="J777" s="28">
        <f>IFERROR(INDEX(MgAmenGrupo,MATCH(SUBSTITUTE($H777,"*","-"),MgAmenClave,0)),"")</f>
        <v/>
      </c>
      <c r="K777" s="64">
        <f>IFERROR(INDEX('1. Matriz de Activos'!$Q$6:$Q$239,MATCH($C777,MgActId,0)),"")</f>
        <v/>
      </c>
      <c r="L777" s="64">
        <f>IFERROR(INDEX('1. Matriz de Activos'!$R$6:$R$239,MATCH($C777,MgActId,0)),"")</f>
        <v/>
      </c>
      <c r="M777" s="64">
        <f>IFERROR(INDEX('1. Matriz de Activos'!$S$6:$S$239,MATCH($C777,MgActId,0)),"")</f>
        <v/>
      </c>
      <c r="N777" s="28">
        <f>IFERROR(INDEX(MgAmenDegD,MATCH(SUBSTITUTE($H777,"*","-"),MgAmenClave,0)),"No aplica")</f>
        <v/>
      </c>
      <c r="O777" s="28">
        <f>IFERROR(INDEX(MgAmenDegI,MATCH(SUBSTITUTE($H777,"*","-"),MgAmenClave,0)),"No aplica")</f>
        <v/>
      </c>
      <c r="P777" s="28">
        <f>IFERROR(INDEX(MgAmenDegC,MATCH(SUBSTITUTE($H777,"*","-"),MgAmenClave,0)),"No aplica")</f>
        <v/>
      </c>
      <c r="Q777" s="29">
        <f>IFERROR(VLOOKUP(K777,MgValor,2,0)*VLOOKUP(N777,MgDeg,2,0),0)</f>
        <v/>
      </c>
      <c r="R777" s="29">
        <f>IFERROR(VLOOKUP(L777,MgValor,2,0)*VLOOKUP(O777,MgDeg,2,0),0)</f>
        <v/>
      </c>
      <c r="S777" s="29">
        <f>IFERROR(VLOOKUP(M777,MgValor,2,0)*VLOOKUP(P777,MgDeg,2,0),0)</f>
        <v/>
      </c>
      <c r="T777" s="30">
        <f>MAX(Q777:S777)</f>
        <v/>
      </c>
      <c r="U777" s="28">
        <f>IFERROR(LOOKUP(T777,{0;0.5;1.5;3;4.5},{"Despreciable";"Bajo";"Medio";"Alto";"Muy alto"}),"")</f>
        <v/>
      </c>
      <c r="V777" s="13">
        <f>IFERROR(INDEX(MgAmenFrec,MATCH(SUBSTITUTE($H777,"*","-"),MgAmenClave,0)),"")</f>
        <v/>
      </c>
      <c r="W777" s="28">
        <f>IFERROR(LOOKUP(X777,{0;0.01;0.1;1;10;100},{"Muy baja";"Muy baja";"Baja";"Media";"Alta";"Muy alta"}),"")</f>
        <v/>
      </c>
      <c r="X777" s="31">
        <f>IFERROR(VLOOKUP(V777,MgFrec,2,0),0)</f>
        <v/>
      </c>
      <c r="Y777" s="30">
        <f>T777*X777</f>
        <v/>
      </c>
      <c r="Z777" s="28">
        <f>IFERROR(LOOKUP(Y777,{0;0.5;5;25},{"Bajo";"Medio";"Alto";"Crítico"}),"")</f>
        <v/>
      </c>
      <c r="AA777" s="64">
        <f>IF(T777&gt;=3,IF(X777&gt;=1,"Zona 1 — Crítica: impacto alto y ocurre al menos una vez al año","Zona 4 — Catastrófica poco probable: impacto alto pero excepcional"),IF(AND(T777&lt;1.5,X777&lt;1),"Zona 3 — Asumible: impacto bajo y muy poco frecuente","Zona 2 — Atención: riesgo intermedio"))</f>
        <v/>
      </c>
      <c r="AB777" s="64">
        <f>IFERROR(INDEX(MgAmenCtrl,MATCH(SUBSTITUTE($H777,"*","-"),MgAmenClave,0)),"")</f>
        <v/>
      </c>
      <c r="AC777" s="20" t="n"/>
      <c r="AD777" s="31">
        <f>IFERROR($X777*(1-IF($AC777="",$AL777,VLOOKUP($AC777,MgMad,2,0))),"")</f>
        <v/>
      </c>
      <c r="AE777" s="28">
        <f>IFERROR(LOOKUP(AD777,{0;0.01;0.1;1;10;100},{"Muy baja";"Muy baja";"Baja";"Media";"Alta";"Muy alta"}),"")</f>
        <v/>
      </c>
      <c r="AF777" s="30">
        <f>T777*AD777</f>
        <v/>
      </c>
      <c r="AG777" s="28">
        <f>IFERROR(LOOKUP(AF777,{0;0.5;5;25},{"Bajo";"Medio";"Alto";"Crítico"}),"")</f>
        <v/>
      </c>
      <c r="AH777" s="28">
        <f>IF(AG777="","",IF(OR(AG777="Crítico",AG777="Alto"),"Mitigar",IF(AG777="Medio","Mitigar","Aceptar y monitorear")))</f>
        <v/>
      </c>
      <c r="AI777" s="21" t="n"/>
      <c r="AJ777" s="21" t="n"/>
      <c r="AK777" s="20" t="n"/>
      <c r="AL777" s="77">
        <f>IFERROR(INDEX(MgAmenEfic,MATCH(SUBSTITUTE($H777,"*","-"),MgAmenClave,0)),0)</f>
        <v/>
      </c>
    </row>
    <row r="778" hidden="1" ht="75" customHeight="1" s="54">
      <c r="B778" s="59" t="inlineStr">
        <is>
          <t>R-0773</t>
        </is>
      </c>
      <c r="C778" s="59" t="inlineStr">
        <is>
          <t>COM-20</t>
        </is>
      </c>
      <c r="D778" s="64">
        <f>IFERROR(INDEX(MgNombre,MATCH($C778,MgActId,0)),"")</f>
        <v/>
      </c>
      <c r="E778" s="64">
        <f>IFERROR(INDEX(MgProceso,MATCH($C778,MgActId,0)),"")</f>
        <v/>
      </c>
      <c r="F778" s="64">
        <f>IFERROR(INDEX(MgTipo,MATCH($C778,MgActId,0)),"")</f>
        <v/>
      </c>
      <c r="G778" s="64">
        <f>IFERROR(INDEX(MgSubtipo,MATCH($C778,MgActId,0)),"")</f>
        <v/>
      </c>
      <c r="H778" s="59" t="inlineStr">
        <is>
          <t>E.3</t>
        </is>
      </c>
      <c r="I778" s="64">
        <f>IFERROR(INDEX(MgAmenNombre,MATCH(SUBSTITUTE($H778,"*","-"),MgAmenClave,0)),"")</f>
        <v/>
      </c>
      <c r="J778" s="28">
        <f>IFERROR(INDEX(MgAmenGrupo,MATCH(SUBSTITUTE($H778,"*","-"),MgAmenClave,0)),"")</f>
        <v/>
      </c>
      <c r="K778" s="64">
        <f>IFERROR(INDEX('1. Matriz de Activos'!$Q$6:$Q$239,MATCH($C778,MgActId,0)),"")</f>
        <v/>
      </c>
      <c r="L778" s="64">
        <f>IFERROR(INDEX('1. Matriz de Activos'!$R$6:$R$239,MATCH($C778,MgActId,0)),"")</f>
        <v/>
      </c>
      <c r="M778" s="64">
        <f>IFERROR(INDEX('1. Matriz de Activos'!$S$6:$S$239,MATCH($C778,MgActId,0)),"")</f>
        <v/>
      </c>
      <c r="N778" s="28">
        <f>IFERROR(INDEX(MgAmenDegD,MATCH(SUBSTITUTE($H778,"*","-"),MgAmenClave,0)),"No aplica")</f>
        <v/>
      </c>
      <c r="O778" s="28">
        <f>IFERROR(INDEX(MgAmenDegI,MATCH(SUBSTITUTE($H778,"*","-"),MgAmenClave,0)),"No aplica")</f>
        <v/>
      </c>
      <c r="P778" s="28">
        <f>IFERROR(INDEX(MgAmenDegC,MATCH(SUBSTITUTE($H778,"*","-"),MgAmenClave,0)),"No aplica")</f>
        <v/>
      </c>
      <c r="Q778" s="29">
        <f>IFERROR(VLOOKUP(K778,MgValor,2,0)*VLOOKUP(N778,MgDeg,2,0),0)</f>
        <v/>
      </c>
      <c r="R778" s="29">
        <f>IFERROR(VLOOKUP(L778,MgValor,2,0)*VLOOKUP(O778,MgDeg,2,0),0)</f>
        <v/>
      </c>
      <c r="S778" s="29">
        <f>IFERROR(VLOOKUP(M778,MgValor,2,0)*VLOOKUP(P778,MgDeg,2,0),0)</f>
        <v/>
      </c>
      <c r="T778" s="30">
        <f>MAX(Q778:S778)</f>
        <v/>
      </c>
      <c r="U778" s="28">
        <f>IFERROR(LOOKUP(T778,{0;0.5;1.5;3;4.5},{"Despreciable";"Bajo";"Medio";"Alto";"Muy alto"}),"")</f>
        <v/>
      </c>
      <c r="V778" s="13">
        <f>IFERROR(INDEX(MgAmenFrec,MATCH(SUBSTITUTE($H778,"*","-"),MgAmenClave,0)),"")</f>
        <v/>
      </c>
      <c r="W778" s="28">
        <f>IFERROR(LOOKUP(X778,{0;0.01;0.1;1;10;100},{"Muy baja";"Muy baja";"Baja";"Media";"Alta";"Muy alta"}),"")</f>
        <v/>
      </c>
      <c r="X778" s="31">
        <f>IFERROR(VLOOKUP(V778,MgFrec,2,0),0)</f>
        <v/>
      </c>
      <c r="Y778" s="30">
        <f>T778*X778</f>
        <v/>
      </c>
      <c r="Z778" s="28">
        <f>IFERROR(LOOKUP(Y778,{0;0.5;5;25},{"Bajo";"Medio";"Alto";"Crítico"}),"")</f>
        <v/>
      </c>
      <c r="AA778" s="64">
        <f>IF(T778&gt;=3,IF(X778&gt;=1,"Zona 1 — Crítica: impacto alto y ocurre al menos una vez al año","Zona 4 — Catastrófica poco probable: impacto alto pero excepcional"),IF(AND(T778&lt;1.5,X778&lt;1),"Zona 3 — Asumible: impacto bajo y muy poco frecuente","Zona 2 — Atención: riesgo intermedio"))</f>
        <v/>
      </c>
      <c r="AB778" s="64">
        <f>IFERROR(INDEX(MgAmenCtrl,MATCH(SUBSTITUTE($H778,"*","-"),MgAmenClave,0)),"")</f>
        <v/>
      </c>
      <c r="AC778" s="20" t="n"/>
      <c r="AD778" s="31">
        <f>IFERROR($X778*(1-IF($AC778="",$AL778,VLOOKUP($AC778,MgMad,2,0))),"")</f>
        <v/>
      </c>
      <c r="AE778" s="28">
        <f>IFERROR(LOOKUP(AD778,{0;0.01;0.1;1;10;100},{"Muy baja";"Muy baja";"Baja";"Media";"Alta";"Muy alta"}),"")</f>
        <v/>
      </c>
      <c r="AF778" s="30">
        <f>T778*AD778</f>
        <v/>
      </c>
      <c r="AG778" s="28">
        <f>IFERROR(LOOKUP(AF778,{0;0.5;5;25},{"Bajo";"Medio";"Alto";"Crítico"}),"")</f>
        <v/>
      </c>
      <c r="AH778" s="28">
        <f>IF(AG778="","",IF(OR(AG778="Crítico",AG778="Alto"),"Mitigar",IF(AG778="Medio","Mitigar","Aceptar y monitorear")))</f>
        <v/>
      </c>
      <c r="AI778" s="21" t="n"/>
      <c r="AJ778" s="21" t="n"/>
      <c r="AK778" s="20" t="n"/>
      <c r="AL778" s="77">
        <f>IFERROR(INDEX(MgAmenEfic,MATCH(SUBSTITUTE($H778,"*","-"),MgAmenClave,0)),0)</f>
        <v/>
      </c>
    </row>
    <row r="779" hidden="1" ht="75" customHeight="1" s="54">
      <c r="B779" s="59" t="inlineStr">
        <is>
          <t>R-0774</t>
        </is>
      </c>
      <c r="C779" s="59" t="inlineStr">
        <is>
          <t>COM-20</t>
        </is>
      </c>
      <c r="D779" s="64">
        <f>IFERROR(INDEX(MgNombre,MATCH($C779,MgActId,0)),"")</f>
        <v/>
      </c>
      <c r="E779" s="64">
        <f>IFERROR(INDEX(MgProceso,MATCH($C779,MgActId,0)),"")</f>
        <v/>
      </c>
      <c r="F779" s="64">
        <f>IFERROR(INDEX(MgTipo,MATCH($C779,MgActId,0)),"")</f>
        <v/>
      </c>
      <c r="G779" s="64">
        <f>IFERROR(INDEX(MgSubtipo,MATCH($C779,MgActId,0)),"")</f>
        <v/>
      </c>
      <c r="H779" s="59" t="inlineStr">
        <is>
          <t>E.4</t>
        </is>
      </c>
      <c r="I779" s="64">
        <f>IFERROR(INDEX(MgAmenNombre,MATCH(SUBSTITUTE($H779,"*","-"),MgAmenClave,0)),"")</f>
        <v/>
      </c>
      <c r="J779" s="28">
        <f>IFERROR(INDEX(MgAmenGrupo,MATCH(SUBSTITUTE($H779,"*","-"),MgAmenClave,0)),"")</f>
        <v/>
      </c>
      <c r="K779" s="64">
        <f>IFERROR(INDEX('1. Matriz de Activos'!$Q$6:$Q$239,MATCH($C779,MgActId,0)),"")</f>
        <v/>
      </c>
      <c r="L779" s="64">
        <f>IFERROR(INDEX('1. Matriz de Activos'!$R$6:$R$239,MATCH($C779,MgActId,0)),"")</f>
        <v/>
      </c>
      <c r="M779" s="64">
        <f>IFERROR(INDEX('1. Matriz de Activos'!$S$6:$S$239,MATCH($C779,MgActId,0)),"")</f>
        <v/>
      </c>
      <c r="N779" s="28">
        <f>IFERROR(INDEX(MgAmenDegD,MATCH(SUBSTITUTE($H779,"*","-"),MgAmenClave,0)),"No aplica")</f>
        <v/>
      </c>
      <c r="O779" s="28">
        <f>IFERROR(INDEX(MgAmenDegI,MATCH(SUBSTITUTE($H779,"*","-"),MgAmenClave,0)),"No aplica")</f>
        <v/>
      </c>
      <c r="P779" s="28">
        <f>IFERROR(INDEX(MgAmenDegC,MATCH(SUBSTITUTE($H779,"*","-"),MgAmenClave,0)),"No aplica")</f>
        <v/>
      </c>
      <c r="Q779" s="29">
        <f>IFERROR(VLOOKUP(K779,MgValor,2,0)*VLOOKUP(N779,MgDeg,2,0),0)</f>
        <v/>
      </c>
      <c r="R779" s="29">
        <f>IFERROR(VLOOKUP(L779,MgValor,2,0)*VLOOKUP(O779,MgDeg,2,0),0)</f>
        <v/>
      </c>
      <c r="S779" s="29">
        <f>IFERROR(VLOOKUP(M779,MgValor,2,0)*VLOOKUP(P779,MgDeg,2,0),0)</f>
        <v/>
      </c>
      <c r="T779" s="30">
        <f>MAX(Q779:S779)</f>
        <v/>
      </c>
      <c r="U779" s="28">
        <f>IFERROR(LOOKUP(T779,{0;0.5;1.5;3;4.5},{"Despreciable";"Bajo";"Medio";"Alto";"Muy alto"}),"")</f>
        <v/>
      </c>
      <c r="V779" s="13">
        <f>IFERROR(INDEX(MgAmenFrec,MATCH(SUBSTITUTE($H779,"*","-"),MgAmenClave,0)),"")</f>
        <v/>
      </c>
      <c r="W779" s="28">
        <f>IFERROR(LOOKUP(X779,{0;0.01;0.1;1;10;100},{"Muy baja";"Muy baja";"Baja";"Media";"Alta";"Muy alta"}),"")</f>
        <v/>
      </c>
      <c r="X779" s="31">
        <f>IFERROR(VLOOKUP(V779,MgFrec,2,0),0)</f>
        <v/>
      </c>
      <c r="Y779" s="30">
        <f>T779*X779</f>
        <v/>
      </c>
      <c r="Z779" s="28">
        <f>IFERROR(LOOKUP(Y779,{0;0.5;5;25},{"Bajo";"Medio";"Alto";"Crítico"}),"")</f>
        <v/>
      </c>
      <c r="AA779" s="64">
        <f>IF(T779&gt;=3,IF(X779&gt;=1,"Zona 1 — Crítica: impacto alto y ocurre al menos una vez al año","Zona 4 — Catastrófica poco probable: impacto alto pero excepcional"),IF(AND(T779&lt;1.5,X779&lt;1),"Zona 3 — Asumible: impacto bajo y muy poco frecuente","Zona 2 — Atención: riesgo intermedio"))</f>
        <v/>
      </c>
      <c r="AB779" s="64">
        <f>IFERROR(INDEX(MgAmenCtrl,MATCH(SUBSTITUTE($H779,"*","-"),MgAmenClave,0)),"")</f>
        <v/>
      </c>
      <c r="AC779" s="20" t="n"/>
      <c r="AD779" s="31">
        <f>IFERROR($X779*(1-IF($AC779="",$AL779,VLOOKUP($AC779,MgMad,2,0))),"")</f>
        <v/>
      </c>
      <c r="AE779" s="28">
        <f>IFERROR(LOOKUP(AD779,{0;0.01;0.1;1;10;100},{"Muy baja";"Muy baja";"Baja";"Media";"Alta";"Muy alta"}),"")</f>
        <v/>
      </c>
      <c r="AF779" s="30">
        <f>T779*AD779</f>
        <v/>
      </c>
      <c r="AG779" s="28">
        <f>IFERROR(LOOKUP(AF779,{0;0.5;5;25},{"Bajo";"Medio";"Alto";"Crítico"}),"")</f>
        <v/>
      </c>
      <c r="AH779" s="28">
        <f>IF(AG779="","",IF(OR(AG779="Crítico",AG779="Alto"),"Mitigar",IF(AG779="Medio","Mitigar","Aceptar y monitorear")))</f>
        <v/>
      </c>
      <c r="AI779" s="21" t="n"/>
      <c r="AJ779" s="21" t="n"/>
      <c r="AK779" s="20" t="n"/>
      <c r="AL779" s="77">
        <f>IFERROR(INDEX(MgAmenEfic,MATCH(SUBSTITUTE($H779,"*","-"),MgAmenClave,0)),0)</f>
        <v/>
      </c>
    </row>
    <row r="780" hidden="1" ht="90" customHeight="1" s="54">
      <c r="B780" s="59" t="inlineStr">
        <is>
          <t>R-0775</t>
        </is>
      </c>
      <c r="C780" s="59" t="inlineStr">
        <is>
          <t>COM-20</t>
        </is>
      </c>
      <c r="D780" s="64">
        <f>IFERROR(INDEX(MgNombre,MATCH($C780,MgActId,0)),"")</f>
        <v/>
      </c>
      <c r="E780" s="64">
        <f>IFERROR(INDEX(MgProceso,MATCH($C780,MgActId,0)),"")</f>
        <v/>
      </c>
      <c r="F780" s="64">
        <f>IFERROR(INDEX(MgTipo,MATCH($C780,MgActId,0)),"")</f>
        <v/>
      </c>
      <c r="G780" s="64">
        <f>IFERROR(INDEX(MgSubtipo,MATCH($C780,MgActId,0)),"")</f>
        <v/>
      </c>
      <c r="H780" s="59" t="inlineStr">
        <is>
          <t>E.14</t>
        </is>
      </c>
      <c r="I780" s="64">
        <f>IFERROR(INDEX(MgAmenNombre,MATCH(SUBSTITUTE($H780,"*","-"),MgAmenClave,0)),"")</f>
        <v/>
      </c>
      <c r="J780" s="28">
        <f>IFERROR(INDEX(MgAmenGrupo,MATCH(SUBSTITUTE($H780,"*","-"),MgAmenClave,0)),"")</f>
        <v/>
      </c>
      <c r="K780" s="64">
        <f>IFERROR(INDEX('1. Matriz de Activos'!$Q$6:$Q$239,MATCH($C780,MgActId,0)),"")</f>
        <v/>
      </c>
      <c r="L780" s="64">
        <f>IFERROR(INDEX('1. Matriz de Activos'!$R$6:$R$239,MATCH($C780,MgActId,0)),"")</f>
        <v/>
      </c>
      <c r="M780" s="64">
        <f>IFERROR(INDEX('1. Matriz de Activos'!$S$6:$S$239,MATCH($C780,MgActId,0)),"")</f>
        <v/>
      </c>
      <c r="N780" s="28">
        <f>IFERROR(INDEX(MgAmenDegD,MATCH(SUBSTITUTE($H780,"*","-"),MgAmenClave,0)),"No aplica")</f>
        <v/>
      </c>
      <c r="O780" s="28">
        <f>IFERROR(INDEX(MgAmenDegI,MATCH(SUBSTITUTE($H780,"*","-"),MgAmenClave,0)),"No aplica")</f>
        <v/>
      </c>
      <c r="P780" s="28">
        <f>IFERROR(INDEX(MgAmenDegC,MATCH(SUBSTITUTE($H780,"*","-"),MgAmenClave,0)),"No aplica")</f>
        <v/>
      </c>
      <c r="Q780" s="29">
        <f>IFERROR(VLOOKUP(K780,MgValor,2,0)*VLOOKUP(N780,MgDeg,2,0),0)</f>
        <v/>
      </c>
      <c r="R780" s="29">
        <f>IFERROR(VLOOKUP(L780,MgValor,2,0)*VLOOKUP(O780,MgDeg,2,0),0)</f>
        <v/>
      </c>
      <c r="S780" s="29">
        <f>IFERROR(VLOOKUP(M780,MgValor,2,0)*VLOOKUP(P780,MgDeg,2,0),0)</f>
        <v/>
      </c>
      <c r="T780" s="30">
        <f>MAX(Q780:S780)</f>
        <v/>
      </c>
      <c r="U780" s="28">
        <f>IFERROR(LOOKUP(T780,{0;0.5;1.5;3;4.5},{"Despreciable";"Bajo";"Medio";"Alto";"Muy alto"}),"")</f>
        <v/>
      </c>
      <c r="V780" s="13">
        <f>IFERROR(INDEX(MgAmenFrec,MATCH(SUBSTITUTE($H780,"*","-"),MgAmenClave,0)),"")</f>
        <v/>
      </c>
      <c r="W780" s="28">
        <f>IFERROR(LOOKUP(X780,{0;0.01;0.1;1;10;100},{"Muy baja";"Muy baja";"Baja";"Media";"Alta";"Muy alta"}),"")</f>
        <v/>
      </c>
      <c r="X780" s="31">
        <f>IFERROR(VLOOKUP(V780,MgFrec,2,0),0)</f>
        <v/>
      </c>
      <c r="Y780" s="30">
        <f>T780*X780</f>
        <v/>
      </c>
      <c r="Z780" s="28">
        <f>IFERROR(LOOKUP(Y780,{0;0.5;5;25},{"Bajo";"Medio";"Alto";"Crítico"}),"")</f>
        <v/>
      </c>
      <c r="AA780" s="64">
        <f>IF(T780&gt;=3,IF(X780&gt;=1,"Zona 1 — Crítica: impacto alto y ocurre al menos una vez al año","Zona 4 — Catastrófica poco probable: impacto alto pero excepcional"),IF(AND(T780&lt;1.5,X780&lt;1),"Zona 3 — Asumible: impacto bajo y muy poco frecuente","Zona 2 — Atención: riesgo intermedio"))</f>
        <v/>
      </c>
      <c r="AB780" s="64">
        <f>IFERROR(INDEX(MgAmenCtrl,MATCH(SUBSTITUTE($H780,"*","-"),MgAmenClave,0)),"")</f>
        <v/>
      </c>
      <c r="AC780" s="20" t="n"/>
      <c r="AD780" s="31">
        <f>IFERROR($X780*(1-IF($AC780="",$AL780,VLOOKUP($AC780,MgMad,2,0))),"")</f>
        <v/>
      </c>
      <c r="AE780" s="28">
        <f>IFERROR(LOOKUP(AD780,{0;0.01;0.1;1;10;100},{"Muy baja";"Muy baja";"Baja";"Media";"Alta";"Muy alta"}),"")</f>
        <v/>
      </c>
      <c r="AF780" s="30">
        <f>T780*AD780</f>
        <v/>
      </c>
      <c r="AG780" s="28">
        <f>IFERROR(LOOKUP(AF780,{0;0.5;5;25},{"Bajo";"Medio";"Alto";"Crítico"}),"")</f>
        <v/>
      </c>
      <c r="AH780" s="28">
        <f>IF(AG780="","",IF(OR(AG780="Crítico",AG780="Alto"),"Mitigar",IF(AG780="Medio","Mitigar","Aceptar y monitorear")))</f>
        <v/>
      </c>
      <c r="AI780" s="21" t="n"/>
      <c r="AJ780" s="21" t="n"/>
      <c r="AK780" s="20" t="n"/>
      <c r="AL780" s="77">
        <f>IFERROR(INDEX(MgAmenEfic,MATCH(SUBSTITUTE($H780,"*","-"),MgAmenClave,0)),0)</f>
        <v/>
      </c>
    </row>
    <row r="781" hidden="1" ht="90" customHeight="1" s="54">
      <c r="B781" s="59" t="inlineStr">
        <is>
          <t>R-0776</t>
        </is>
      </c>
      <c r="C781" s="59" t="inlineStr">
        <is>
          <t>COM-20</t>
        </is>
      </c>
      <c r="D781" s="64">
        <f>IFERROR(INDEX(MgNombre,MATCH($C781,MgActId,0)),"")</f>
        <v/>
      </c>
      <c r="E781" s="64">
        <f>IFERROR(INDEX(MgProceso,MATCH($C781,MgActId,0)),"")</f>
        <v/>
      </c>
      <c r="F781" s="64">
        <f>IFERROR(INDEX(MgTipo,MATCH($C781,MgActId,0)),"")</f>
        <v/>
      </c>
      <c r="G781" s="64">
        <f>IFERROR(INDEX(MgSubtipo,MATCH($C781,MgActId,0)),"")</f>
        <v/>
      </c>
      <c r="H781" s="59" t="inlineStr">
        <is>
          <t>E.15</t>
        </is>
      </c>
      <c r="I781" s="64">
        <f>IFERROR(INDEX(MgAmenNombre,MATCH(SUBSTITUTE($H781,"*","-"),MgAmenClave,0)),"")</f>
        <v/>
      </c>
      <c r="J781" s="28">
        <f>IFERROR(INDEX(MgAmenGrupo,MATCH(SUBSTITUTE($H781,"*","-"),MgAmenClave,0)),"")</f>
        <v/>
      </c>
      <c r="K781" s="64">
        <f>IFERROR(INDEX('1. Matriz de Activos'!$Q$6:$Q$239,MATCH($C781,MgActId,0)),"")</f>
        <v/>
      </c>
      <c r="L781" s="64">
        <f>IFERROR(INDEX('1. Matriz de Activos'!$R$6:$R$239,MATCH($C781,MgActId,0)),"")</f>
        <v/>
      </c>
      <c r="M781" s="64">
        <f>IFERROR(INDEX('1. Matriz de Activos'!$S$6:$S$239,MATCH($C781,MgActId,0)),"")</f>
        <v/>
      </c>
      <c r="N781" s="28">
        <f>IFERROR(INDEX(MgAmenDegD,MATCH(SUBSTITUTE($H781,"*","-"),MgAmenClave,0)),"No aplica")</f>
        <v/>
      </c>
      <c r="O781" s="28">
        <f>IFERROR(INDEX(MgAmenDegI,MATCH(SUBSTITUTE($H781,"*","-"),MgAmenClave,0)),"No aplica")</f>
        <v/>
      </c>
      <c r="P781" s="28">
        <f>IFERROR(INDEX(MgAmenDegC,MATCH(SUBSTITUTE($H781,"*","-"),MgAmenClave,0)),"No aplica")</f>
        <v/>
      </c>
      <c r="Q781" s="29">
        <f>IFERROR(VLOOKUP(K781,MgValor,2,0)*VLOOKUP(N781,MgDeg,2,0),0)</f>
        <v/>
      </c>
      <c r="R781" s="29">
        <f>IFERROR(VLOOKUP(L781,MgValor,2,0)*VLOOKUP(O781,MgDeg,2,0),0)</f>
        <v/>
      </c>
      <c r="S781" s="29">
        <f>IFERROR(VLOOKUP(M781,MgValor,2,0)*VLOOKUP(P781,MgDeg,2,0),0)</f>
        <v/>
      </c>
      <c r="T781" s="30">
        <f>MAX(Q781:S781)</f>
        <v/>
      </c>
      <c r="U781" s="28">
        <f>IFERROR(LOOKUP(T781,{0;0.5;1.5;3;4.5},{"Despreciable";"Bajo";"Medio";"Alto";"Muy alto"}),"")</f>
        <v/>
      </c>
      <c r="V781" s="13">
        <f>IFERROR(INDEX(MgAmenFrec,MATCH(SUBSTITUTE($H781,"*","-"),MgAmenClave,0)),"")</f>
        <v/>
      </c>
      <c r="W781" s="28">
        <f>IFERROR(LOOKUP(X781,{0;0.01;0.1;1;10;100},{"Muy baja";"Muy baja";"Baja";"Media";"Alta";"Muy alta"}),"")</f>
        <v/>
      </c>
      <c r="X781" s="31">
        <f>IFERROR(VLOOKUP(V781,MgFrec,2,0),0)</f>
        <v/>
      </c>
      <c r="Y781" s="30">
        <f>T781*X781</f>
        <v/>
      </c>
      <c r="Z781" s="28">
        <f>IFERROR(LOOKUP(Y781,{0;0.5;5;25},{"Bajo";"Medio";"Alto";"Crítico"}),"")</f>
        <v/>
      </c>
      <c r="AA781" s="64">
        <f>IF(T781&gt;=3,IF(X781&gt;=1,"Zona 1 — Crítica: impacto alto y ocurre al menos una vez al año","Zona 4 — Catastrófica poco probable: impacto alto pero excepcional"),IF(AND(T781&lt;1.5,X781&lt;1),"Zona 3 — Asumible: impacto bajo y muy poco frecuente","Zona 2 — Atención: riesgo intermedio"))</f>
        <v/>
      </c>
      <c r="AB781" s="64">
        <f>IFERROR(INDEX(MgAmenCtrl,MATCH(SUBSTITUTE($H781,"*","-"),MgAmenClave,0)),"")</f>
        <v/>
      </c>
      <c r="AC781" s="20" t="n"/>
      <c r="AD781" s="31">
        <f>IFERROR($X781*(1-IF($AC781="",$AL781,VLOOKUP($AC781,MgMad,2,0))),"")</f>
        <v/>
      </c>
      <c r="AE781" s="28">
        <f>IFERROR(LOOKUP(AD781,{0;0.01;0.1;1;10;100},{"Muy baja";"Muy baja";"Baja";"Media";"Alta";"Muy alta"}),"")</f>
        <v/>
      </c>
      <c r="AF781" s="30">
        <f>T781*AD781</f>
        <v/>
      </c>
      <c r="AG781" s="28">
        <f>IFERROR(LOOKUP(AF781,{0;0.5;5;25},{"Bajo";"Medio";"Alto";"Crítico"}),"")</f>
        <v/>
      </c>
      <c r="AH781" s="28">
        <f>IF(AG781="","",IF(OR(AG781="Crítico",AG781="Alto"),"Mitigar",IF(AG781="Medio","Mitigar","Aceptar y monitorear")))</f>
        <v/>
      </c>
      <c r="AI781" s="21" t="n"/>
      <c r="AJ781" s="21" t="n"/>
      <c r="AK781" s="20" t="n"/>
      <c r="AL781" s="77">
        <f>IFERROR(INDEX(MgAmenEfic,MATCH(SUBSTITUTE($H781,"*","-"),MgAmenClave,0)),0)</f>
        <v/>
      </c>
    </row>
    <row r="782" hidden="1" ht="60" customHeight="1" s="54">
      <c r="B782" s="59" t="inlineStr">
        <is>
          <t>R-0777</t>
        </is>
      </c>
      <c r="C782" s="59" t="inlineStr">
        <is>
          <t>COM-20</t>
        </is>
      </c>
      <c r="D782" s="64">
        <f>IFERROR(INDEX(MgNombre,MATCH($C782,MgActId,0)),"")</f>
        <v/>
      </c>
      <c r="E782" s="64">
        <f>IFERROR(INDEX(MgProceso,MATCH($C782,MgActId,0)),"")</f>
        <v/>
      </c>
      <c r="F782" s="64">
        <f>IFERROR(INDEX(MgTipo,MATCH($C782,MgActId,0)),"")</f>
        <v/>
      </c>
      <c r="G782" s="64">
        <f>IFERROR(INDEX(MgSubtipo,MATCH($C782,MgActId,0)),"")</f>
        <v/>
      </c>
      <c r="H782" s="59" t="inlineStr">
        <is>
          <t>E.18</t>
        </is>
      </c>
      <c r="I782" s="64">
        <f>IFERROR(INDEX(MgAmenNombre,MATCH(SUBSTITUTE($H782,"*","-"),MgAmenClave,0)),"")</f>
        <v/>
      </c>
      <c r="J782" s="28">
        <f>IFERROR(INDEX(MgAmenGrupo,MATCH(SUBSTITUTE($H782,"*","-"),MgAmenClave,0)),"")</f>
        <v/>
      </c>
      <c r="K782" s="64">
        <f>IFERROR(INDEX('1. Matriz de Activos'!$Q$6:$Q$239,MATCH($C782,MgActId,0)),"")</f>
        <v/>
      </c>
      <c r="L782" s="64">
        <f>IFERROR(INDEX('1. Matriz de Activos'!$R$6:$R$239,MATCH($C782,MgActId,0)),"")</f>
        <v/>
      </c>
      <c r="M782" s="64">
        <f>IFERROR(INDEX('1. Matriz de Activos'!$S$6:$S$239,MATCH($C782,MgActId,0)),"")</f>
        <v/>
      </c>
      <c r="N782" s="28">
        <f>IFERROR(INDEX(MgAmenDegD,MATCH(SUBSTITUTE($H782,"*","-"),MgAmenClave,0)),"No aplica")</f>
        <v/>
      </c>
      <c r="O782" s="28">
        <f>IFERROR(INDEX(MgAmenDegI,MATCH(SUBSTITUTE($H782,"*","-"),MgAmenClave,0)),"No aplica")</f>
        <v/>
      </c>
      <c r="P782" s="28">
        <f>IFERROR(INDEX(MgAmenDegC,MATCH(SUBSTITUTE($H782,"*","-"),MgAmenClave,0)),"No aplica")</f>
        <v/>
      </c>
      <c r="Q782" s="29">
        <f>IFERROR(VLOOKUP(K782,MgValor,2,0)*VLOOKUP(N782,MgDeg,2,0),0)</f>
        <v/>
      </c>
      <c r="R782" s="29">
        <f>IFERROR(VLOOKUP(L782,MgValor,2,0)*VLOOKUP(O782,MgDeg,2,0),0)</f>
        <v/>
      </c>
      <c r="S782" s="29">
        <f>IFERROR(VLOOKUP(M782,MgValor,2,0)*VLOOKUP(P782,MgDeg,2,0),0)</f>
        <v/>
      </c>
      <c r="T782" s="30">
        <f>MAX(Q782:S782)</f>
        <v/>
      </c>
      <c r="U782" s="28">
        <f>IFERROR(LOOKUP(T782,{0;0.5;1.5;3;4.5},{"Despreciable";"Bajo";"Medio";"Alto";"Muy alto"}),"")</f>
        <v/>
      </c>
      <c r="V782" s="13">
        <f>IFERROR(INDEX(MgAmenFrec,MATCH(SUBSTITUTE($H782,"*","-"),MgAmenClave,0)),"")</f>
        <v/>
      </c>
      <c r="W782" s="28">
        <f>IFERROR(LOOKUP(X782,{0;0.01;0.1;1;10;100},{"Muy baja";"Muy baja";"Baja";"Media";"Alta";"Muy alta"}),"")</f>
        <v/>
      </c>
      <c r="X782" s="31">
        <f>IFERROR(VLOOKUP(V782,MgFrec,2,0),0)</f>
        <v/>
      </c>
      <c r="Y782" s="30">
        <f>T782*X782</f>
        <v/>
      </c>
      <c r="Z782" s="28">
        <f>IFERROR(LOOKUP(Y782,{0;0.5;5;25},{"Bajo";"Medio";"Alto";"Crítico"}),"")</f>
        <v/>
      </c>
      <c r="AA782" s="64">
        <f>IF(T782&gt;=3,IF(X782&gt;=1,"Zona 1 — Crítica: impacto alto y ocurre al menos una vez al año","Zona 4 — Catastrófica poco probable: impacto alto pero excepcional"),IF(AND(T782&lt;1.5,X782&lt;1),"Zona 3 — Asumible: impacto bajo y muy poco frecuente","Zona 2 — Atención: riesgo intermedio"))</f>
        <v/>
      </c>
      <c r="AB782" s="64">
        <f>IFERROR(INDEX(MgAmenCtrl,MATCH(SUBSTITUTE($H782,"*","-"),MgAmenClave,0)),"")</f>
        <v/>
      </c>
      <c r="AC782" s="20" t="n"/>
      <c r="AD782" s="31">
        <f>IFERROR($X782*(1-IF($AC782="",$AL782,VLOOKUP($AC782,MgMad,2,0))),"")</f>
        <v/>
      </c>
      <c r="AE782" s="28">
        <f>IFERROR(LOOKUP(AD782,{0;0.01;0.1;1;10;100},{"Muy baja";"Muy baja";"Baja";"Media";"Alta";"Muy alta"}),"")</f>
        <v/>
      </c>
      <c r="AF782" s="30">
        <f>T782*AD782</f>
        <v/>
      </c>
      <c r="AG782" s="28">
        <f>IFERROR(LOOKUP(AF782,{0;0.5;5;25},{"Bajo";"Medio";"Alto";"Crítico"}),"")</f>
        <v/>
      </c>
      <c r="AH782" s="28">
        <f>IF(AG782="","",IF(OR(AG782="Crítico",AG782="Alto"),"Mitigar",IF(AG782="Medio","Mitigar","Aceptar y monitorear")))</f>
        <v/>
      </c>
      <c r="AI782" s="21" t="n"/>
      <c r="AJ782" s="21" t="n"/>
      <c r="AK782" s="20" t="n"/>
      <c r="AL782" s="77">
        <f>IFERROR(INDEX(MgAmenEfic,MATCH(SUBSTITUTE($H782,"*","-"),MgAmenClave,0)),0)</f>
        <v/>
      </c>
    </row>
    <row r="783" hidden="1" ht="105" customHeight="1" s="54">
      <c r="B783" s="59" t="inlineStr">
        <is>
          <t>R-0778</t>
        </is>
      </c>
      <c r="C783" s="59" t="inlineStr">
        <is>
          <t>COM-20</t>
        </is>
      </c>
      <c r="D783" s="64">
        <f>IFERROR(INDEX(MgNombre,MATCH($C783,MgActId,0)),"")</f>
        <v/>
      </c>
      <c r="E783" s="64">
        <f>IFERROR(INDEX(MgProceso,MATCH($C783,MgActId,0)),"")</f>
        <v/>
      </c>
      <c r="F783" s="64">
        <f>IFERROR(INDEX(MgTipo,MATCH($C783,MgActId,0)),"")</f>
        <v/>
      </c>
      <c r="G783" s="64">
        <f>IFERROR(INDEX(MgSubtipo,MATCH($C783,MgActId,0)),"")</f>
        <v/>
      </c>
      <c r="H783" s="59" t="inlineStr">
        <is>
          <t>E.19</t>
        </is>
      </c>
      <c r="I783" s="64">
        <f>IFERROR(INDEX(MgAmenNombre,MATCH(SUBSTITUTE($H783,"*","-"),MgAmenClave,0)),"")</f>
        <v/>
      </c>
      <c r="J783" s="28">
        <f>IFERROR(INDEX(MgAmenGrupo,MATCH(SUBSTITUTE($H783,"*","-"),MgAmenClave,0)),"")</f>
        <v/>
      </c>
      <c r="K783" s="64">
        <f>IFERROR(INDEX('1. Matriz de Activos'!$Q$6:$Q$239,MATCH($C783,MgActId,0)),"")</f>
        <v/>
      </c>
      <c r="L783" s="64">
        <f>IFERROR(INDEX('1. Matriz de Activos'!$R$6:$R$239,MATCH($C783,MgActId,0)),"")</f>
        <v/>
      </c>
      <c r="M783" s="64">
        <f>IFERROR(INDEX('1. Matriz de Activos'!$S$6:$S$239,MATCH($C783,MgActId,0)),"")</f>
        <v/>
      </c>
      <c r="N783" s="28">
        <f>IFERROR(INDEX(MgAmenDegD,MATCH(SUBSTITUTE($H783,"*","-"),MgAmenClave,0)),"No aplica")</f>
        <v/>
      </c>
      <c r="O783" s="28">
        <f>IFERROR(INDEX(MgAmenDegI,MATCH(SUBSTITUTE($H783,"*","-"),MgAmenClave,0)),"No aplica")</f>
        <v/>
      </c>
      <c r="P783" s="28">
        <f>IFERROR(INDEX(MgAmenDegC,MATCH(SUBSTITUTE($H783,"*","-"),MgAmenClave,0)),"No aplica")</f>
        <v/>
      </c>
      <c r="Q783" s="29">
        <f>IFERROR(VLOOKUP(K783,MgValor,2,0)*VLOOKUP(N783,MgDeg,2,0),0)</f>
        <v/>
      </c>
      <c r="R783" s="29">
        <f>IFERROR(VLOOKUP(L783,MgValor,2,0)*VLOOKUP(O783,MgDeg,2,0),0)</f>
        <v/>
      </c>
      <c r="S783" s="29">
        <f>IFERROR(VLOOKUP(M783,MgValor,2,0)*VLOOKUP(P783,MgDeg,2,0),0)</f>
        <v/>
      </c>
      <c r="T783" s="30">
        <f>MAX(Q783:S783)</f>
        <v/>
      </c>
      <c r="U783" s="28">
        <f>IFERROR(LOOKUP(T783,{0;0.5;1.5;3;4.5},{"Despreciable";"Bajo";"Medio";"Alto";"Muy alto"}),"")</f>
        <v/>
      </c>
      <c r="V783" s="13">
        <f>IFERROR(INDEX(MgAmenFrec,MATCH(SUBSTITUTE($H783,"*","-"),MgAmenClave,0)),"")</f>
        <v/>
      </c>
      <c r="W783" s="28">
        <f>IFERROR(LOOKUP(X783,{0;0.01;0.1;1;10;100},{"Muy baja";"Muy baja";"Baja";"Media";"Alta";"Muy alta"}),"")</f>
        <v/>
      </c>
      <c r="X783" s="31">
        <f>IFERROR(VLOOKUP(V783,MgFrec,2,0),0)</f>
        <v/>
      </c>
      <c r="Y783" s="30">
        <f>T783*X783</f>
        <v/>
      </c>
      <c r="Z783" s="28">
        <f>IFERROR(LOOKUP(Y783,{0;0.5;5;25},{"Bajo";"Medio";"Alto";"Crítico"}),"")</f>
        <v/>
      </c>
      <c r="AA783" s="64">
        <f>IF(T783&gt;=3,IF(X783&gt;=1,"Zona 1 — Crítica: impacto alto y ocurre al menos una vez al año","Zona 4 — Catastrófica poco probable: impacto alto pero excepcional"),IF(AND(T783&lt;1.5,X783&lt;1),"Zona 3 — Asumible: impacto bajo y muy poco frecuente","Zona 2 — Atención: riesgo intermedio"))</f>
        <v/>
      </c>
      <c r="AB783" s="64">
        <f>IFERROR(INDEX(MgAmenCtrl,MATCH(SUBSTITUTE($H783,"*","-"),MgAmenClave,0)),"")</f>
        <v/>
      </c>
      <c r="AC783" s="20" t="n"/>
      <c r="AD783" s="31">
        <f>IFERROR($X783*(1-IF($AC783="",$AL783,VLOOKUP($AC783,MgMad,2,0))),"")</f>
        <v/>
      </c>
      <c r="AE783" s="28">
        <f>IFERROR(LOOKUP(AD783,{0;0.01;0.1;1;10;100},{"Muy baja";"Muy baja";"Baja";"Media";"Alta";"Muy alta"}),"")</f>
        <v/>
      </c>
      <c r="AF783" s="30">
        <f>T783*AD783</f>
        <v/>
      </c>
      <c r="AG783" s="28">
        <f>IFERROR(LOOKUP(AF783,{0;0.5;5;25},{"Bajo";"Medio";"Alto";"Crítico"}),"")</f>
        <v/>
      </c>
      <c r="AH783" s="28">
        <f>IF(AG783="","",IF(OR(AG783="Crítico",AG783="Alto"),"Mitigar",IF(AG783="Medio","Mitigar","Aceptar y monitorear")))</f>
        <v/>
      </c>
      <c r="AI783" s="21" t="n"/>
      <c r="AJ783" s="21" t="n"/>
      <c r="AK783" s="20" t="n"/>
      <c r="AL783" s="77">
        <f>IFERROR(INDEX(MgAmenEfic,MATCH(SUBSTITUTE($H783,"*","-"),MgAmenClave,0)),0)</f>
        <v/>
      </c>
    </row>
    <row r="784" hidden="1" ht="60" customHeight="1" s="54">
      <c r="B784" s="59" t="inlineStr">
        <is>
          <t>R-0779</t>
        </is>
      </c>
      <c r="C784" s="59" t="inlineStr">
        <is>
          <t>COM-20</t>
        </is>
      </c>
      <c r="D784" s="64">
        <f>IFERROR(INDEX(MgNombre,MATCH($C784,MgActId,0)),"")</f>
        <v/>
      </c>
      <c r="E784" s="64">
        <f>IFERROR(INDEX(MgProceso,MATCH($C784,MgActId,0)),"")</f>
        <v/>
      </c>
      <c r="F784" s="64">
        <f>IFERROR(INDEX(MgTipo,MATCH($C784,MgActId,0)),"")</f>
        <v/>
      </c>
      <c r="G784" s="64">
        <f>IFERROR(INDEX(MgSubtipo,MATCH($C784,MgActId,0)),"")</f>
        <v/>
      </c>
      <c r="H784" s="59" t="inlineStr">
        <is>
          <t>A.3</t>
        </is>
      </c>
      <c r="I784" s="64">
        <f>IFERROR(INDEX(MgAmenNombre,MATCH(SUBSTITUTE($H784,"*","-"),MgAmenClave,0)),"")</f>
        <v/>
      </c>
      <c r="J784" s="28">
        <f>IFERROR(INDEX(MgAmenGrupo,MATCH(SUBSTITUTE($H784,"*","-"),MgAmenClave,0)),"")</f>
        <v/>
      </c>
      <c r="K784" s="64">
        <f>IFERROR(INDEX('1. Matriz de Activos'!$Q$6:$Q$239,MATCH($C784,MgActId,0)),"")</f>
        <v/>
      </c>
      <c r="L784" s="64">
        <f>IFERROR(INDEX('1. Matriz de Activos'!$R$6:$R$239,MATCH($C784,MgActId,0)),"")</f>
        <v/>
      </c>
      <c r="M784" s="64">
        <f>IFERROR(INDEX('1. Matriz de Activos'!$S$6:$S$239,MATCH($C784,MgActId,0)),"")</f>
        <v/>
      </c>
      <c r="N784" s="28">
        <f>IFERROR(INDEX(MgAmenDegD,MATCH(SUBSTITUTE($H784,"*","-"),MgAmenClave,0)),"No aplica")</f>
        <v/>
      </c>
      <c r="O784" s="28">
        <f>IFERROR(INDEX(MgAmenDegI,MATCH(SUBSTITUTE($H784,"*","-"),MgAmenClave,0)),"No aplica")</f>
        <v/>
      </c>
      <c r="P784" s="28">
        <f>IFERROR(INDEX(MgAmenDegC,MATCH(SUBSTITUTE($H784,"*","-"),MgAmenClave,0)),"No aplica")</f>
        <v/>
      </c>
      <c r="Q784" s="29">
        <f>IFERROR(VLOOKUP(K784,MgValor,2,0)*VLOOKUP(N784,MgDeg,2,0),0)</f>
        <v/>
      </c>
      <c r="R784" s="29">
        <f>IFERROR(VLOOKUP(L784,MgValor,2,0)*VLOOKUP(O784,MgDeg,2,0),0)</f>
        <v/>
      </c>
      <c r="S784" s="29">
        <f>IFERROR(VLOOKUP(M784,MgValor,2,0)*VLOOKUP(P784,MgDeg,2,0),0)</f>
        <v/>
      </c>
      <c r="T784" s="30">
        <f>MAX(Q784:S784)</f>
        <v/>
      </c>
      <c r="U784" s="28">
        <f>IFERROR(LOOKUP(T784,{0;0.5;1.5;3;4.5},{"Despreciable";"Bajo";"Medio";"Alto";"Muy alto"}),"")</f>
        <v/>
      </c>
      <c r="V784" s="13">
        <f>IFERROR(INDEX(MgAmenFrec,MATCH(SUBSTITUTE($H784,"*","-"),MgAmenClave,0)),"")</f>
        <v/>
      </c>
      <c r="W784" s="28">
        <f>IFERROR(LOOKUP(X784,{0;0.01;0.1;1;10;100},{"Muy baja";"Muy baja";"Baja";"Media";"Alta";"Muy alta"}),"")</f>
        <v/>
      </c>
      <c r="X784" s="31">
        <f>IFERROR(VLOOKUP(V784,MgFrec,2,0),0)</f>
        <v/>
      </c>
      <c r="Y784" s="30">
        <f>T784*X784</f>
        <v/>
      </c>
      <c r="Z784" s="28">
        <f>IFERROR(LOOKUP(Y784,{0;0.5;5;25},{"Bajo";"Medio";"Alto";"Crítico"}),"")</f>
        <v/>
      </c>
      <c r="AA784" s="64">
        <f>IF(T784&gt;=3,IF(X784&gt;=1,"Zona 1 — Crítica: impacto alto y ocurre al menos una vez al año","Zona 4 — Catastrófica poco probable: impacto alto pero excepcional"),IF(AND(T784&lt;1.5,X784&lt;1),"Zona 3 — Asumible: impacto bajo y muy poco frecuente","Zona 2 — Atención: riesgo intermedio"))</f>
        <v/>
      </c>
      <c r="AB784" s="64">
        <f>IFERROR(INDEX(MgAmenCtrl,MATCH(SUBSTITUTE($H784,"*","-"),MgAmenClave,0)),"")</f>
        <v/>
      </c>
      <c r="AC784" s="20" t="n"/>
      <c r="AD784" s="31">
        <f>IFERROR($X784*(1-IF($AC784="",$AL784,VLOOKUP($AC784,MgMad,2,0))),"")</f>
        <v/>
      </c>
      <c r="AE784" s="28">
        <f>IFERROR(LOOKUP(AD784,{0;0.01;0.1;1;10;100},{"Muy baja";"Muy baja";"Baja";"Media";"Alta";"Muy alta"}),"")</f>
        <v/>
      </c>
      <c r="AF784" s="30">
        <f>T784*AD784</f>
        <v/>
      </c>
      <c r="AG784" s="28">
        <f>IFERROR(LOOKUP(AF784,{0;0.5;5;25},{"Bajo";"Medio";"Alto";"Crítico"}),"")</f>
        <v/>
      </c>
      <c r="AH784" s="28">
        <f>IF(AG784="","",IF(OR(AG784="Crítico",AG784="Alto"),"Mitigar",IF(AG784="Medio","Mitigar","Aceptar y monitorear")))</f>
        <v/>
      </c>
      <c r="AI784" s="21" t="n"/>
      <c r="AJ784" s="21" t="n"/>
      <c r="AK784" s="20" t="n"/>
      <c r="AL784" s="77">
        <f>IFERROR(INDEX(MgAmenEfic,MATCH(SUBSTITUTE($H784,"*","-"),MgAmenClave,0)),0)</f>
        <v/>
      </c>
    </row>
    <row r="785" hidden="1" ht="60" customHeight="1" s="54">
      <c r="B785" s="59" t="inlineStr">
        <is>
          <t>R-0780</t>
        </is>
      </c>
      <c r="C785" s="59" t="inlineStr">
        <is>
          <t>COM-20</t>
        </is>
      </c>
      <c r="D785" s="64">
        <f>IFERROR(INDEX(MgNombre,MATCH($C785,MgActId,0)),"")</f>
        <v/>
      </c>
      <c r="E785" s="64">
        <f>IFERROR(INDEX(MgProceso,MATCH($C785,MgActId,0)),"")</f>
        <v/>
      </c>
      <c r="F785" s="64">
        <f>IFERROR(INDEX(MgTipo,MATCH($C785,MgActId,0)),"")</f>
        <v/>
      </c>
      <c r="G785" s="64">
        <f>IFERROR(INDEX(MgSubtipo,MATCH($C785,MgActId,0)),"")</f>
        <v/>
      </c>
      <c r="H785" s="59" t="inlineStr">
        <is>
          <t>A.4</t>
        </is>
      </c>
      <c r="I785" s="64">
        <f>IFERROR(INDEX(MgAmenNombre,MATCH(SUBSTITUTE($H785,"*","-"),MgAmenClave,0)),"")</f>
        <v/>
      </c>
      <c r="J785" s="28">
        <f>IFERROR(INDEX(MgAmenGrupo,MATCH(SUBSTITUTE($H785,"*","-"),MgAmenClave,0)),"")</f>
        <v/>
      </c>
      <c r="K785" s="64">
        <f>IFERROR(INDEX('1. Matriz de Activos'!$Q$6:$Q$239,MATCH($C785,MgActId,0)),"")</f>
        <v/>
      </c>
      <c r="L785" s="64">
        <f>IFERROR(INDEX('1. Matriz de Activos'!$R$6:$R$239,MATCH($C785,MgActId,0)),"")</f>
        <v/>
      </c>
      <c r="M785" s="64">
        <f>IFERROR(INDEX('1. Matriz de Activos'!$S$6:$S$239,MATCH($C785,MgActId,0)),"")</f>
        <v/>
      </c>
      <c r="N785" s="28">
        <f>IFERROR(INDEX(MgAmenDegD,MATCH(SUBSTITUTE($H785,"*","-"),MgAmenClave,0)),"No aplica")</f>
        <v/>
      </c>
      <c r="O785" s="28">
        <f>IFERROR(INDEX(MgAmenDegI,MATCH(SUBSTITUTE($H785,"*","-"),MgAmenClave,0)),"No aplica")</f>
        <v/>
      </c>
      <c r="P785" s="28">
        <f>IFERROR(INDEX(MgAmenDegC,MATCH(SUBSTITUTE($H785,"*","-"),MgAmenClave,0)),"No aplica")</f>
        <v/>
      </c>
      <c r="Q785" s="29">
        <f>IFERROR(VLOOKUP(K785,MgValor,2,0)*VLOOKUP(N785,MgDeg,2,0),0)</f>
        <v/>
      </c>
      <c r="R785" s="29">
        <f>IFERROR(VLOOKUP(L785,MgValor,2,0)*VLOOKUP(O785,MgDeg,2,0),0)</f>
        <v/>
      </c>
      <c r="S785" s="29">
        <f>IFERROR(VLOOKUP(M785,MgValor,2,0)*VLOOKUP(P785,MgDeg,2,0),0)</f>
        <v/>
      </c>
      <c r="T785" s="30">
        <f>MAX(Q785:S785)</f>
        <v/>
      </c>
      <c r="U785" s="28">
        <f>IFERROR(LOOKUP(T785,{0;0.5;1.5;3;4.5},{"Despreciable";"Bajo";"Medio";"Alto";"Muy alto"}),"")</f>
        <v/>
      </c>
      <c r="V785" s="13">
        <f>IFERROR(INDEX(MgAmenFrec,MATCH(SUBSTITUTE($H785,"*","-"),MgAmenClave,0)),"")</f>
        <v/>
      </c>
      <c r="W785" s="28">
        <f>IFERROR(LOOKUP(X785,{0;0.01;0.1;1;10;100},{"Muy baja";"Muy baja";"Baja";"Media";"Alta";"Muy alta"}),"")</f>
        <v/>
      </c>
      <c r="X785" s="31">
        <f>IFERROR(VLOOKUP(V785,MgFrec,2,0),0)</f>
        <v/>
      </c>
      <c r="Y785" s="30">
        <f>T785*X785</f>
        <v/>
      </c>
      <c r="Z785" s="28">
        <f>IFERROR(LOOKUP(Y785,{0;0.5;5;25},{"Bajo";"Medio";"Alto";"Crítico"}),"")</f>
        <v/>
      </c>
      <c r="AA785" s="64">
        <f>IF(T785&gt;=3,IF(X785&gt;=1,"Zona 1 — Crítica: impacto alto y ocurre al menos una vez al año","Zona 4 — Catastrófica poco probable: impacto alto pero excepcional"),IF(AND(T785&lt;1.5,X785&lt;1),"Zona 3 — Asumible: impacto bajo y muy poco frecuente","Zona 2 — Atención: riesgo intermedio"))</f>
        <v/>
      </c>
      <c r="AB785" s="64">
        <f>IFERROR(INDEX(MgAmenCtrl,MATCH(SUBSTITUTE($H785,"*","-"),MgAmenClave,0)),"")</f>
        <v/>
      </c>
      <c r="AC785" s="20" t="n"/>
      <c r="AD785" s="31">
        <f>IFERROR($X785*(1-IF($AC785="",$AL785,VLOOKUP($AC785,MgMad,2,0))),"")</f>
        <v/>
      </c>
      <c r="AE785" s="28">
        <f>IFERROR(LOOKUP(AD785,{0;0.01;0.1;1;10;100},{"Muy baja";"Muy baja";"Baja";"Media";"Alta";"Muy alta"}),"")</f>
        <v/>
      </c>
      <c r="AF785" s="30">
        <f>T785*AD785</f>
        <v/>
      </c>
      <c r="AG785" s="28">
        <f>IFERROR(LOOKUP(AF785,{0;0.5;5;25},{"Bajo";"Medio";"Alto";"Crítico"}),"")</f>
        <v/>
      </c>
      <c r="AH785" s="28">
        <f>IF(AG785="","",IF(OR(AG785="Crítico",AG785="Alto"),"Mitigar",IF(AG785="Medio","Mitigar","Aceptar y monitorear")))</f>
        <v/>
      </c>
      <c r="AI785" s="21" t="n"/>
      <c r="AJ785" s="21" t="n"/>
      <c r="AK785" s="20" t="n"/>
      <c r="AL785" s="77">
        <f>IFERROR(INDEX(MgAmenEfic,MATCH(SUBSTITUTE($H785,"*","-"),MgAmenClave,0)),0)</f>
        <v/>
      </c>
    </row>
    <row r="786" hidden="1" ht="75" customHeight="1" s="54">
      <c r="B786" s="59" t="inlineStr">
        <is>
          <t>R-0781</t>
        </is>
      </c>
      <c r="C786" s="59" t="inlineStr">
        <is>
          <t>COM-20</t>
        </is>
      </c>
      <c r="D786" s="64">
        <f>IFERROR(INDEX(MgNombre,MATCH($C786,MgActId,0)),"")</f>
        <v/>
      </c>
      <c r="E786" s="64">
        <f>IFERROR(INDEX(MgProceso,MATCH($C786,MgActId,0)),"")</f>
        <v/>
      </c>
      <c r="F786" s="64">
        <f>IFERROR(INDEX(MgTipo,MATCH($C786,MgActId,0)),"")</f>
        <v/>
      </c>
      <c r="G786" s="64">
        <f>IFERROR(INDEX(MgSubtipo,MATCH($C786,MgActId,0)),"")</f>
        <v/>
      </c>
      <c r="H786" s="59" t="inlineStr">
        <is>
          <t>A.5</t>
        </is>
      </c>
      <c r="I786" s="64">
        <f>IFERROR(INDEX(MgAmenNombre,MATCH(SUBSTITUTE($H786,"*","-"),MgAmenClave,0)),"")</f>
        <v/>
      </c>
      <c r="J786" s="28">
        <f>IFERROR(INDEX(MgAmenGrupo,MATCH(SUBSTITUTE($H786,"*","-"),MgAmenClave,0)),"")</f>
        <v/>
      </c>
      <c r="K786" s="64">
        <f>IFERROR(INDEX('1. Matriz de Activos'!$Q$6:$Q$239,MATCH($C786,MgActId,0)),"")</f>
        <v/>
      </c>
      <c r="L786" s="64">
        <f>IFERROR(INDEX('1. Matriz de Activos'!$R$6:$R$239,MATCH($C786,MgActId,0)),"")</f>
        <v/>
      </c>
      <c r="M786" s="64">
        <f>IFERROR(INDEX('1. Matriz de Activos'!$S$6:$S$239,MATCH($C786,MgActId,0)),"")</f>
        <v/>
      </c>
      <c r="N786" s="28">
        <f>IFERROR(INDEX(MgAmenDegD,MATCH(SUBSTITUTE($H786,"*","-"),MgAmenClave,0)),"No aplica")</f>
        <v/>
      </c>
      <c r="O786" s="28">
        <f>IFERROR(INDEX(MgAmenDegI,MATCH(SUBSTITUTE($H786,"*","-"),MgAmenClave,0)),"No aplica")</f>
        <v/>
      </c>
      <c r="P786" s="28">
        <f>IFERROR(INDEX(MgAmenDegC,MATCH(SUBSTITUTE($H786,"*","-"),MgAmenClave,0)),"No aplica")</f>
        <v/>
      </c>
      <c r="Q786" s="29">
        <f>IFERROR(VLOOKUP(K786,MgValor,2,0)*VLOOKUP(N786,MgDeg,2,0),0)</f>
        <v/>
      </c>
      <c r="R786" s="29">
        <f>IFERROR(VLOOKUP(L786,MgValor,2,0)*VLOOKUP(O786,MgDeg,2,0),0)</f>
        <v/>
      </c>
      <c r="S786" s="29">
        <f>IFERROR(VLOOKUP(M786,MgValor,2,0)*VLOOKUP(P786,MgDeg,2,0),0)</f>
        <v/>
      </c>
      <c r="T786" s="30">
        <f>MAX(Q786:S786)</f>
        <v/>
      </c>
      <c r="U786" s="28">
        <f>IFERROR(LOOKUP(T786,{0;0.5;1.5;3;4.5},{"Despreciable";"Bajo";"Medio";"Alto";"Muy alto"}),"")</f>
        <v/>
      </c>
      <c r="V786" s="13">
        <f>IFERROR(INDEX(MgAmenFrec,MATCH(SUBSTITUTE($H786,"*","-"),MgAmenClave,0)),"")</f>
        <v/>
      </c>
      <c r="W786" s="28">
        <f>IFERROR(LOOKUP(X786,{0;0.01;0.1;1;10;100},{"Muy baja";"Muy baja";"Baja";"Media";"Alta";"Muy alta"}),"")</f>
        <v/>
      </c>
      <c r="X786" s="31">
        <f>IFERROR(VLOOKUP(V786,MgFrec,2,0),0)</f>
        <v/>
      </c>
      <c r="Y786" s="30">
        <f>T786*X786</f>
        <v/>
      </c>
      <c r="Z786" s="28">
        <f>IFERROR(LOOKUP(Y786,{0;0.5;5;25},{"Bajo";"Medio";"Alto";"Crítico"}),"")</f>
        <v/>
      </c>
      <c r="AA786" s="64">
        <f>IF(T786&gt;=3,IF(X786&gt;=1,"Zona 1 — Crítica: impacto alto y ocurre al menos una vez al año","Zona 4 — Catastrófica poco probable: impacto alto pero excepcional"),IF(AND(T786&lt;1.5,X786&lt;1),"Zona 3 — Asumible: impacto bajo y muy poco frecuente","Zona 2 — Atención: riesgo intermedio"))</f>
        <v/>
      </c>
      <c r="AB786" s="64">
        <f>IFERROR(INDEX(MgAmenCtrl,MATCH(SUBSTITUTE($H786,"*","-"),MgAmenClave,0)),"")</f>
        <v/>
      </c>
      <c r="AC786" s="20" t="n"/>
      <c r="AD786" s="31">
        <f>IFERROR($X786*(1-IF($AC786="",$AL786,VLOOKUP($AC786,MgMad,2,0))),"")</f>
        <v/>
      </c>
      <c r="AE786" s="28">
        <f>IFERROR(LOOKUP(AD786,{0;0.01;0.1;1;10;100},{"Muy baja";"Muy baja";"Baja";"Media";"Alta";"Muy alta"}),"")</f>
        <v/>
      </c>
      <c r="AF786" s="30">
        <f>T786*AD786</f>
        <v/>
      </c>
      <c r="AG786" s="28">
        <f>IFERROR(LOOKUP(AF786,{0;0.5;5;25},{"Bajo";"Medio";"Alto";"Crítico"}),"")</f>
        <v/>
      </c>
      <c r="AH786" s="28">
        <f>IF(AG786="","",IF(OR(AG786="Crítico",AG786="Alto"),"Mitigar",IF(AG786="Medio","Mitigar","Aceptar y monitorear")))</f>
        <v/>
      </c>
      <c r="AI786" s="21" t="n"/>
      <c r="AJ786" s="21" t="n"/>
      <c r="AK786" s="20" t="n"/>
      <c r="AL786" s="77">
        <f>IFERROR(INDEX(MgAmenEfic,MATCH(SUBSTITUTE($H786,"*","-"),MgAmenClave,0)),0)</f>
        <v/>
      </c>
    </row>
    <row r="787" hidden="1" ht="105" customHeight="1" s="54">
      <c r="B787" s="59" t="inlineStr">
        <is>
          <t>R-0782</t>
        </is>
      </c>
      <c r="C787" s="59" t="inlineStr">
        <is>
          <t>COM-20</t>
        </is>
      </c>
      <c r="D787" s="64">
        <f>IFERROR(INDEX(MgNombre,MATCH($C787,MgActId,0)),"")</f>
        <v/>
      </c>
      <c r="E787" s="64">
        <f>IFERROR(INDEX(MgProceso,MATCH($C787,MgActId,0)),"")</f>
        <v/>
      </c>
      <c r="F787" s="64">
        <f>IFERROR(INDEX(MgTipo,MATCH($C787,MgActId,0)),"")</f>
        <v/>
      </c>
      <c r="G787" s="64">
        <f>IFERROR(INDEX(MgSubtipo,MATCH($C787,MgActId,0)),"")</f>
        <v/>
      </c>
      <c r="H787" s="59" t="inlineStr">
        <is>
          <t>A.6</t>
        </is>
      </c>
      <c r="I787" s="64">
        <f>IFERROR(INDEX(MgAmenNombre,MATCH(SUBSTITUTE($H787,"*","-"),MgAmenClave,0)),"")</f>
        <v/>
      </c>
      <c r="J787" s="28">
        <f>IFERROR(INDEX(MgAmenGrupo,MATCH(SUBSTITUTE($H787,"*","-"),MgAmenClave,0)),"")</f>
        <v/>
      </c>
      <c r="K787" s="64">
        <f>IFERROR(INDEX('1. Matriz de Activos'!$Q$6:$Q$239,MATCH($C787,MgActId,0)),"")</f>
        <v/>
      </c>
      <c r="L787" s="64">
        <f>IFERROR(INDEX('1. Matriz de Activos'!$R$6:$R$239,MATCH($C787,MgActId,0)),"")</f>
        <v/>
      </c>
      <c r="M787" s="64">
        <f>IFERROR(INDEX('1. Matriz de Activos'!$S$6:$S$239,MATCH($C787,MgActId,0)),"")</f>
        <v/>
      </c>
      <c r="N787" s="28">
        <f>IFERROR(INDEX(MgAmenDegD,MATCH(SUBSTITUTE($H787,"*","-"),MgAmenClave,0)),"No aplica")</f>
        <v/>
      </c>
      <c r="O787" s="28">
        <f>IFERROR(INDEX(MgAmenDegI,MATCH(SUBSTITUTE($H787,"*","-"),MgAmenClave,0)),"No aplica")</f>
        <v/>
      </c>
      <c r="P787" s="28">
        <f>IFERROR(INDEX(MgAmenDegC,MATCH(SUBSTITUTE($H787,"*","-"),MgAmenClave,0)),"No aplica")</f>
        <v/>
      </c>
      <c r="Q787" s="29">
        <f>IFERROR(VLOOKUP(K787,MgValor,2,0)*VLOOKUP(N787,MgDeg,2,0),0)</f>
        <v/>
      </c>
      <c r="R787" s="29">
        <f>IFERROR(VLOOKUP(L787,MgValor,2,0)*VLOOKUP(O787,MgDeg,2,0),0)</f>
        <v/>
      </c>
      <c r="S787" s="29">
        <f>IFERROR(VLOOKUP(M787,MgValor,2,0)*VLOOKUP(P787,MgDeg,2,0),0)</f>
        <v/>
      </c>
      <c r="T787" s="30">
        <f>MAX(Q787:S787)</f>
        <v/>
      </c>
      <c r="U787" s="28">
        <f>IFERROR(LOOKUP(T787,{0;0.5;1.5;3;4.5},{"Despreciable";"Bajo";"Medio";"Alto";"Muy alto"}),"")</f>
        <v/>
      </c>
      <c r="V787" s="13">
        <f>IFERROR(INDEX(MgAmenFrec,MATCH(SUBSTITUTE($H787,"*","-"),MgAmenClave,0)),"")</f>
        <v/>
      </c>
      <c r="W787" s="28">
        <f>IFERROR(LOOKUP(X787,{0;0.01;0.1;1;10;100},{"Muy baja";"Muy baja";"Baja";"Media";"Alta";"Muy alta"}),"")</f>
        <v/>
      </c>
      <c r="X787" s="31">
        <f>IFERROR(VLOOKUP(V787,MgFrec,2,0),0)</f>
        <v/>
      </c>
      <c r="Y787" s="30">
        <f>T787*X787</f>
        <v/>
      </c>
      <c r="Z787" s="28">
        <f>IFERROR(LOOKUP(Y787,{0;0.5;5;25},{"Bajo";"Medio";"Alto";"Crítico"}),"")</f>
        <v/>
      </c>
      <c r="AA787" s="64">
        <f>IF(T787&gt;=3,IF(X787&gt;=1,"Zona 1 — Crítica: impacto alto y ocurre al menos una vez al año","Zona 4 — Catastrófica poco probable: impacto alto pero excepcional"),IF(AND(T787&lt;1.5,X787&lt;1),"Zona 3 — Asumible: impacto bajo y muy poco frecuente","Zona 2 — Atención: riesgo intermedio"))</f>
        <v/>
      </c>
      <c r="AB787" s="64">
        <f>IFERROR(INDEX(MgAmenCtrl,MATCH(SUBSTITUTE($H787,"*","-"),MgAmenClave,0)),"")</f>
        <v/>
      </c>
      <c r="AC787" s="20" t="n"/>
      <c r="AD787" s="31">
        <f>IFERROR($X787*(1-IF($AC787="",$AL787,VLOOKUP($AC787,MgMad,2,0))),"")</f>
        <v/>
      </c>
      <c r="AE787" s="28">
        <f>IFERROR(LOOKUP(AD787,{0;0.01;0.1;1;10;100},{"Muy baja";"Muy baja";"Baja";"Media";"Alta";"Muy alta"}),"")</f>
        <v/>
      </c>
      <c r="AF787" s="30">
        <f>T787*AD787</f>
        <v/>
      </c>
      <c r="AG787" s="28">
        <f>IFERROR(LOOKUP(AF787,{0;0.5;5;25},{"Bajo";"Medio";"Alto";"Crítico"}),"")</f>
        <v/>
      </c>
      <c r="AH787" s="28">
        <f>IF(AG787="","",IF(OR(AG787="Crítico",AG787="Alto"),"Mitigar",IF(AG787="Medio","Mitigar","Aceptar y monitorear")))</f>
        <v/>
      </c>
      <c r="AI787" s="21" t="n"/>
      <c r="AJ787" s="21" t="n"/>
      <c r="AK787" s="20" t="n"/>
      <c r="AL787" s="77">
        <f>IFERROR(INDEX(MgAmenEfic,MATCH(SUBSTITUTE($H787,"*","-"),MgAmenClave,0)),0)</f>
        <v/>
      </c>
    </row>
    <row r="788" hidden="1" ht="120" customHeight="1" s="54">
      <c r="B788" s="59" t="inlineStr">
        <is>
          <t>R-0783</t>
        </is>
      </c>
      <c r="C788" s="59" t="inlineStr">
        <is>
          <t>COM-20</t>
        </is>
      </c>
      <c r="D788" s="64">
        <f>IFERROR(INDEX(MgNombre,MATCH($C788,MgActId,0)),"")</f>
        <v/>
      </c>
      <c r="E788" s="64">
        <f>IFERROR(INDEX(MgProceso,MATCH($C788,MgActId,0)),"")</f>
        <v/>
      </c>
      <c r="F788" s="64">
        <f>IFERROR(INDEX(MgTipo,MATCH($C788,MgActId,0)),"")</f>
        <v/>
      </c>
      <c r="G788" s="64">
        <f>IFERROR(INDEX(MgSubtipo,MATCH($C788,MgActId,0)),"")</f>
        <v/>
      </c>
      <c r="H788" s="59" t="inlineStr">
        <is>
          <t>A.11</t>
        </is>
      </c>
      <c r="I788" s="64">
        <f>IFERROR(INDEX(MgAmenNombre,MATCH(SUBSTITUTE($H788,"*","-"),MgAmenClave,0)),"")</f>
        <v/>
      </c>
      <c r="J788" s="28">
        <f>IFERROR(INDEX(MgAmenGrupo,MATCH(SUBSTITUTE($H788,"*","-"),MgAmenClave,0)),"")</f>
        <v/>
      </c>
      <c r="K788" s="64">
        <f>IFERROR(INDEX('1. Matriz de Activos'!$Q$6:$Q$239,MATCH($C788,MgActId,0)),"")</f>
        <v/>
      </c>
      <c r="L788" s="64">
        <f>IFERROR(INDEX('1. Matriz de Activos'!$R$6:$R$239,MATCH($C788,MgActId,0)),"")</f>
        <v/>
      </c>
      <c r="M788" s="64">
        <f>IFERROR(INDEX('1. Matriz de Activos'!$S$6:$S$239,MATCH($C788,MgActId,0)),"")</f>
        <v/>
      </c>
      <c r="N788" s="28">
        <f>IFERROR(INDEX(MgAmenDegD,MATCH(SUBSTITUTE($H788,"*","-"),MgAmenClave,0)),"No aplica")</f>
        <v/>
      </c>
      <c r="O788" s="28">
        <f>IFERROR(INDEX(MgAmenDegI,MATCH(SUBSTITUTE($H788,"*","-"),MgAmenClave,0)),"No aplica")</f>
        <v/>
      </c>
      <c r="P788" s="28">
        <f>IFERROR(INDEX(MgAmenDegC,MATCH(SUBSTITUTE($H788,"*","-"),MgAmenClave,0)),"No aplica")</f>
        <v/>
      </c>
      <c r="Q788" s="29">
        <f>IFERROR(VLOOKUP(K788,MgValor,2,0)*VLOOKUP(N788,MgDeg,2,0),0)</f>
        <v/>
      </c>
      <c r="R788" s="29">
        <f>IFERROR(VLOOKUP(L788,MgValor,2,0)*VLOOKUP(O788,MgDeg,2,0),0)</f>
        <v/>
      </c>
      <c r="S788" s="29">
        <f>IFERROR(VLOOKUP(M788,MgValor,2,0)*VLOOKUP(P788,MgDeg,2,0),0)</f>
        <v/>
      </c>
      <c r="T788" s="30">
        <f>MAX(Q788:S788)</f>
        <v/>
      </c>
      <c r="U788" s="28">
        <f>IFERROR(LOOKUP(T788,{0;0.5;1.5;3;4.5},{"Despreciable";"Bajo";"Medio";"Alto";"Muy alto"}),"")</f>
        <v/>
      </c>
      <c r="V788" s="13">
        <f>IFERROR(INDEX(MgAmenFrec,MATCH(SUBSTITUTE($H788,"*","-"),MgAmenClave,0)),"")</f>
        <v/>
      </c>
      <c r="W788" s="28">
        <f>IFERROR(LOOKUP(X788,{0;0.01;0.1;1;10;100},{"Muy baja";"Muy baja";"Baja";"Media";"Alta";"Muy alta"}),"")</f>
        <v/>
      </c>
      <c r="X788" s="31">
        <f>IFERROR(VLOOKUP(V788,MgFrec,2,0),0)</f>
        <v/>
      </c>
      <c r="Y788" s="30">
        <f>T788*X788</f>
        <v/>
      </c>
      <c r="Z788" s="28">
        <f>IFERROR(LOOKUP(Y788,{0;0.5;5;25},{"Bajo";"Medio";"Alto";"Crítico"}),"")</f>
        <v/>
      </c>
      <c r="AA788" s="64">
        <f>IF(T788&gt;=3,IF(X788&gt;=1,"Zona 1 — Crítica: impacto alto y ocurre al menos una vez al año","Zona 4 — Catastrófica poco probable: impacto alto pero excepcional"),IF(AND(T788&lt;1.5,X788&lt;1),"Zona 3 — Asumible: impacto bajo y muy poco frecuente","Zona 2 — Atención: riesgo intermedio"))</f>
        <v/>
      </c>
      <c r="AB788" s="64">
        <f>IFERROR(INDEX(MgAmenCtrl,MATCH(SUBSTITUTE($H788,"*","-"),MgAmenClave,0)),"")</f>
        <v/>
      </c>
      <c r="AC788" s="20" t="n"/>
      <c r="AD788" s="31">
        <f>IFERROR($X788*(1-IF($AC788="",$AL788,VLOOKUP($AC788,MgMad,2,0))),"")</f>
        <v/>
      </c>
      <c r="AE788" s="28">
        <f>IFERROR(LOOKUP(AD788,{0;0.01;0.1;1;10;100},{"Muy baja";"Muy baja";"Baja";"Media";"Alta";"Muy alta"}),"")</f>
        <v/>
      </c>
      <c r="AF788" s="30">
        <f>T788*AD788</f>
        <v/>
      </c>
      <c r="AG788" s="28">
        <f>IFERROR(LOOKUP(AF788,{0;0.5;5;25},{"Bajo";"Medio";"Alto";"Crítico"}),"")</f>
        <v/>
      </c>
      <c r="AH788" s="28">
        <f>IF(AG788="","",IF(OR(AG788="Crítico",AG788="Alto"),"Mitigar",IF(AG788="Medio","Mitigar","Aceptar y monitorear")))</f>
        <v/>
      </c>
      <c r="AI788" s="21" t="n"/>
      <c r="AJ788" s="21" t="n"/>
      <c r="AK788" s="20" t="n"/>
      <c r="AL788" s="77">
        <f>IFERROR(INDEX(MgAmenEfic,MATCH(SUBSTITUTE($H788,"*","-"),MgAmenClave,0)),0)</f>
        <v/>
      </c>
    </row>
    <row r="789" hidden="1" ht="90" customHeight="1" s="54">
      <c r="B789" s="59" t="inlineStr">
        <is>
          <t>R-0784</t>
        </is>
      </c>
      <c r="C789" s="59" t="inlineStr">
        <is>
          <t>COM-20</t>
        </is>
      </c>
      <c r="D789" s="64">
        <f>IFERROR(INDEX(MgNombre,MATCH($C789,MgActId,0)),"")</f>
        <v/>
      </c>
      <c r="E789" s="64">
        <f>IFERROR(INDEX(MgProceso,MATCH($C789,MgActId,0)),"")</f>
        <v/>
      </c>
      <c r="F789" s="64">
        <f>IFERROR(INDEX(MgTipo,MATCH($C789,MgActId,0)),"")</f>
        <v/>
      </c>
      <c r="G789" s="64">
        <f>IFERROR(INDEX(MgSubtipo,MATCH($C789,MgActId,0)),"")</f>
        <v/>
      </c>
      <c r="H789" s="59" t="inlineStr">
        <is>
          <t>A.13</t>
        </is>
      </c>
      <c r="I789" s="64">
        <f>IFERROR(INDEX(MgAmenNombre,MATCH(SUBSTITUTE($H789,"*","-"),MgAmenClave,0)),"")</f>
        <v/>
      </c>
      <c r="J789" s="28">
        <f>IFERROR(INDEX(MgAmenGrupo,MATCH(SUBSTITUTE($H789,"*","-"),MgAmenClave,0)),"")</f>
        <v/>
      </c>
      <c r="K789" s="64">
        <f>IFERROR(INDEX('1. Matriz de Activos'!$Q$6:$Q$239,MATCH($C789,MgActId,0)),"")</f>
        <v/>
      </c>
      <c r="L789" s="64">
        <f>IFERROR(INDEX('1. Matriz de Activos'!$R$6:$R$239,MATCH($C789,MgActId,0)),"")</f>
        <v/>
      </c>
      <c r="M789" s="64">
        <f>IFERROR(INDEX('1. Matriz de Activos'!$S$6:$S$239,MATCH($C789,MgActId,0)),"")</f>
        <v/>
      </c>
      <c r="N789" s="28">
        <f>IFERROR(INDEX(MgAmenDegD,MATCH(SUBSTITUTE($H789,"*","-"),MgAmenClave,0)),"No aplica")</f>
        <v/>
      </c>
      <c r="O789" s="28">
        <f>IFERROR(INDEX(MgAmenDegI,MATCH(SUBSTITUTE($H789,"*","-"),MgAmenClave,0)),"No aplica")</f>
        <v/>
      </c>
      <c r="P789" s="28">
        <f>IFERROR(INDEX(MgAmenDegC,MATCH(SUBSTITUTE($H789,"*","-"),MgAmenClave,0)),"No aplica")</f>
        <v/>
      </c>
      <c r="Q789" s="29">
        <f>IFERROR(VLOOKUP(K789,MgValor,2,0)*VLOOKUP(N789,MgDeg,2,0),0)</f>
        <v/>
      </c>
      <c r="R789" s="29">
        <f>IFERROR(VLOOKUP(L789,MgValor,2,0)*VLOOKUP(O789,MgDeg,2,0),0)</f>
        <v/>
      </c>
      <c r="S789" s="29">
        <f>IFERROR(VLOOKUP(M789,MgValor,2,0)*VLOOKUP(P789,MgDeg,2,0),0)</f>
        <v/>
      </c>
      <c r="T789" s="30">
        <f>MAX(Q789:S789)</f>
        <v/>
      </c>
      <c r="U789" s="28">
        <f>IFERROR(LOOKUP(T789,{0;0.5;1.5;3;4.5},{"Despreciable";"Bajo";"Medio";"Alto";"Muy alto"}),"")</f>
        <v/>
      </c>
      <c r="V789" s="13">
        <f>IFERROR(INDEX(MgAmenFrec,MATCH(SUBSTITUTE($H789,"*","-"),MgAmenClave,0)),"")</f>
        <v/>
      </c>
      <c r="W789" s="28">
        <f>IFERROR(LOOKUP(X789,{0;0.01;0.1;1;10;100},{"Muy baja";"Muy baja";"Baja";"Media";"Alta";"Muy alta"}),"")</f>
        <v/>
      </c>
      <c r="X789" s="31">
        <f>IFERROR(VLOOKUP(V789,MgFrec,2,0),0)</f>
        <v/>
      </c>
      <c r="Y789" s="30">
        <f>T789*X789</f>
        <v/>
      </c>
      <c r="Z789" s="28">
        <f>IFERROR(LOOKUP(Y789,{0;0.5;5;25},{"Bajo";"Medio";"Alto";"Crítico"}),"")</f>
        <v/>
      </c>
      <c r="AA789" s="64">
        <f>IF(T789&gt;=3,IF(X789&gt;=1,"Zona 1 — Crítica: impacto alto y ocurre al menos una vez al año","Zona 4 — Catastrófica poco probable: impacto alto pero excepcional"),IF(AND(T789&lt;1.5,X789&lt;1),"Zona 3 — Asumible: impacto bajo y muy poco frecuente","Zona 2 — Atención: riesgo intermedio"))</f>
        <v/>
      </c>
      <c r="AB789" s="64">
        <f>IFERROR(INDEX(MgAmenCtrl,MATCH(SUBSTITUTE($H789,"*","-"),MgAmenClave,0)),"")</f>
        <v/>
      </c>
      <c r="AC789" s="20" t="n"/>
      <c r="AD789" s="31">
        <f>IFERROR($X789*(1-IF($AC789="",$AL789,VLOOKUP($AC789,MgMad,2,0))),"")</f>
        <v/>
      </c>
      <c r="AE789" s="28">
        <f>IFERROR(LOOKUP(AD789,{0;0.01;0.1;1;10;100},{"Muy baja";"Muy baja";"Baja";"Media";"Alta";"Muy alta"}),"")</f>
        <v/>
      </c>
      <c r="AF789" s="30">
        <f>T789*AD789</f>
        <v/>
      </c>
      <c r="AG789" s="28">
        <f>IFERROR(LOOKUP(AF789,{0;0.5;5;25},{"Bajo";"Medio";"Alto";"Crítico"}),"")</f>
        <v/>
      </c>
      <c r="AH789" s="28">
        <f>IF(AG789="","",IF(OR(AG789="Crítico",AG789="Alto"),"Mitigar",IF(AG789="Medio","Mitigar","Aceptar y monitorear")))</f>
        <v/>
      </c>
      <c r="AI789" s="21" t="n"/>
      <c r="AJ789" s="21" t="n"/>
      <c r="AK789" s="20" t="n"/>
      <c r="AL789" s="77">
        <f>IFERROR(INDEX(MgAmenEfic,MATCH(SUBSTITUTE($H789,"*","-"),MgAmenClave,0)),0)</f>
        <v/>
      </c>
    </row>
    <row r="790" hidden="1" ht="60" customHeight="1" s="54">
      <c r="B790" s="59" t="inlineStr">
        <is>
          <t>R-0785</t>
        </is>
      </c>
      <c r="C790" s="59" t="inlineStr">
        <is>
          <t>COM-20</t>
        </is>
      </c>
      <c r="D790" s="64">
        <f>IFERROR(INDEX(MgNombre,MATCH($C790,MgActId,0)),"")</f>
        <v/>
      </c>
      <c r="E790" s="64">
        <f>IFERROR(INDEX(MgProceso,MATCH($C790,MgActId,0)),"")</f>
        <v/>
      </c>
      <c r="F790" s="64">
        <f>IFERROR(INDEX(MgTipo,MATCH($C790,MgActId,0)),"")</f>
        <v/>
      </c>
      <c r="G790" s="64">
        <f>IFERROR(INDEX(MgSubtipo,MATCH($C790,MgActId,0)),"")</f>
        <v/>
      </c>
      <c r="H790" s="59" t="inlineStr">
        <is>
          <t>A.15</t>
        </is>
      </c>
      <c r="I790" s="64">
        <f>IFERROR(INDEX(MgAmenNombre,MATCH(SUBSTITUTE($H790,"*","-"),MgAmenClave,0)),"")</f>
        <v/>
      </c>
      <c r="J790" s="28">
        <f>IFERROR(INDEX(MgAmenGrupo,MATCH(SUBSTITUTE($H790,"*","-"),MgAmenClave,0)),"")</f>
        <v/>
      </c>
      <c r="K790" s="64">
        <f>IFERROR(INDEX('1. Matriz de Activos'!$Q$6:$Q$239,MATCH($C790,MgActId,0)),"")</f>
        <v/>
      </c>
      <c r="L790" s="64">
        <f>IFERROR(INDEX('1. Matriz de Activos'!$R$6:$R$239,MATCH($C790,MgActId,0)),"")</f>
        <v/>
      </c>
      <c r="M790" s="64">
        <f>IFERROR(INDEX('1. Matriz de Activos'!$S$6:$S$239,MATCH($C790,MgActId,0)),"")</f>
        <v/>
      </c>
      <c r="N790" s="28">
        <f>IFERROR(INDEX(MgAmenDegD,MATCH(SUBSTITUTE($H790,"*","-"),MgAmenClave,0)),"No aplica")</f>
        <v/>
      </c>
      <c r="O790" s="28">
        <f>IFERROR(INDEX(MgAmenDegI,MATCH(SUBSTITUTE($H790,"*","-"),MgAmenClave,0)),"No aplica")</f>
        <v/>
      </c>
      <c r="P790" s="28">
        <f>IFERROR(INDEX(MgAmenDegC,MATCH(SUBSTITUTE($H790,"*","-"),MgAmenClave,0)),"No aplica")</f>
        <v/>
      </c>
      <c r="Q790" s="29">
        <f>IFERROR(VLOOKUP(K790,MgValor,2,0)*VLOOKUP(N790,MgDeg,2,0),0)</f>
        <v/>
      </c>
      <c r="R790" s="29">
        <f>IFERROR(VLOOKUP(L790,MgValor,2,0)*VLOOKUP(O790,MgDeg,2,0),0)</f>
        <v/>
      </c>
      <c r="S790" s="29">
        <f>IFERROR(VLOOKUP(M790,MgValor,2,0)*VLOOKUP(P790,MgDeg,2,0),0)</f>
        <v/>
      </c>
      <c r="T790" s="30">
        <f>MAX(Q790:S790)</f>
        <v/>
      </c>
      <c r="U790" s="28">
        <f>IFERROR(LOOKUP(T790,{0;0.5;1.5;3;4.5},{"Despreciable";"Bajo";"Medio";"Alto";"Muy alto"}),"")</f>
        <v/>
      </c>
      <c r="V790" s="13">
        <f>IFERROR(INDEX(MgAmenFrec,MATCH(SUBSTITUTE($H790,"*","-"),MgAmenClave,0)),"")</f>
        <v/>
      </c>
      <c r="W790" s="28">
        <f>IFERROR(LOOKUP(X790,{0;0.01;0.1;1;10;100},{"Muy baja";"Muy baja";"Baja";"Media";"Alta";"Muy alta"}),"")</f>
        <v/>
      </c>
      <c r="X790" s="31">
        <f>IFERROR(VLOOKUP(V790,MgFrec,2,0),0)</f>
        <v/>
      </c>
      <c r="Y790" s="30">
        <f>T790*X790</f>
        <v/>
      </c>
      <c r="Z790" s="28">
        <f>IFERROR(LOOKUP(Y790,{0;0.5;5;25},{"Bajo";"Medio";"Alto";"Crítico"}),"")</f>
        <v/>
      </c>
      <c r="AA790" s="64">
        <f>IF(T790&gt;=3,IF(X790&gt;=1,"Zona 1 — Crítica: impacto alto y ocurre al menos una vez al año","Zona 4 — Catastrófica poco probable: impacto alto pero excepcional"),IF(AND(T790&lt;1.5,X790&lt;1),"Zona 3 — Asumible: impacto bajo y muy poco frecuente","Zona 2 — Atención: riesgo intermedio"))</f>
        <v/>
      </c>
      <c r="AB790" s="64">
        <f>IFERROR(INDEX(MgAmenCtrl,MATCH(SUBSTITUTE($H790,"*","-"),MgAmenClave,0)),"")</f>
        <v/>
      </c>
      <c r="AC790" s="20" t="n"/>
      <c r="AD790" s="31">
        <f>IFERROR($X790*(1-IF($AC790="",$AL790,VLOOKUP($AC790,MgMad,2,0))),"")</f>
        <v/>
      </c>
      <c r="AE790" s="28">
        <f>IFERROR(LOOKUP(AD790,{0;0.01;0.1;1;10;100},{"Muy baja";"Muy baja";"Baja";"Media";"Alta";"Muy alta"}),"")</f>
        <v/>
      </c>
      <c r="AF790" s="30">
        <f>T790*AD790</f>
        <v/>
      </c>
      <c r="AG790" s="28">
        <f>IFERROR(LOOKUP(AF790,{0;0.5;5;25},{"Bajo";"Medio";"Alto";"Crítico"}),"")</f>
        <v/>
      </c>
      <c r="AH790" s="28">
        <f>IF(AG790="","",IF(OR(AG790="Crítico",AG790="Alto"),"Mitigar",IF(AG790="Medio","Mitigar","Aceptar y monitorear")))</f>
        <v/>
      </c>
      <c r="AI790" s="21" t="n"/>
      <c r="AJ790" s="21" t="n"/>
      <c r="AK790" s="20" t="n"/>
      <c r="AL790" s="77">
        <f>IFERROR(INDEX(MgAmenEfic,MATCH(SUBSTITUTE($H790,"*","-"),MgAmenClave,0)),0)</f>
        <v/>
      </c>
    </row>
    <row r="791" hidden="1" ht="60" customHeight="1" s="54">
      <c r="B791" s="59" t="inlineStr">
        <is>
          <t>R-0786</t>
        </is>
      </c>
      <c r="C791" s="59" t="inlineStr">
        <is>
          <t>COM-20</t>
        </is>
      </c>
      <c r="D791" s="64">
        <f>IFERROR(INDEX(MgNombre,MATCH($C791,MgActId,0)),"")</f>
        <v/>
      </c>
      <c r="E791" s="64">
        <f>IFERROR(INDEX(MgProceso,MATCH($C791,MgActId,0)),"")</f>
        <v/>
      </c>
      <c r="F791" s="64">
        <f>IFERROR(INDEX(MgTipo,MATCH($C791,MgActId,0)),"")</f>
        <v/>
      </c>
      <c r="G791" s="64">
        <f>IFERROR(INDEX(MgSubtipo,MATCH($C791,MgActId,0)),"")</f>
        <v/>
      </c>
      <c r="H791" s="59" t="inlineStr">
        <is>
          <t>A.18</t>
        </is>
      </c>
      <c r="I791" s="64">
        <f>IFERROR(INDEX(MgAmenNombre,MATCH(SUBSTITUTE($H791,"*","-"),MgAmenClave,0)),"")</f>
        <v/>
      </c>
      <c r="J791" s="28">
        <f>IFERROR(INDEX(MgAmenGrupo,MATCH(SUBSTITUTE($H791,"*","-"),MgAmenClave,0)),"")</f>
        <v/>
      </c>
      <c r="K791" s="64">
        <f>IFERROR(INDEX('1. Matriz de Activos'!$Q$6:$Q$239,MATCH($C791,MgActId,0)),"")</f>
        <v/>
      </c>
      <c r="L791" s="64">
        <f>IFERROR(INDEX('1. Matriz de Activos'!$R$6:$R$239,MATCH($C791,MgActId,0)),"")</f>
        <v/>
      </c>
      <c r="M791" s="64">
        <f>IFERROR(INDEX('1. Matriz de Activos'!$S$6:$S$239,MATCH($C791,MgActId,0)),"")</f>
        <v/>
      </c>
      <c r="N791" s="28">
        <f>IFERROR(INDEX(MgAmenDegD,MATCH(SUBSTITUTE($H791,"*","-"),MgAmenClave,0)),"No aplica")</f>
        <v/>
      </c>
      <c r="O791" s="28">
        <f>IFERROR(INDEX(MgAmenDegI,MATCH(SUBSTITUTE($H791,"*","-"),MgAmenClave,0)),"No aplica")</f>
        <v/>
      </c>
      <c r="P791" s="28">
        <f>IFERROR(INDEX(MgAmenDegC,MATCH(SUBSTITUTE($H791,"*","-"),MgAmenClave,0)),"No aplica")</f>
        <v/>
      </c>
      <c r="Q791" s="29">
        <f>IFERROR(VLOOKUP(K791,MgValor,2,0)*VLOOKUP(N791,MgDeg,2,0),0)</f>
        <v/>
      </c>
      <c r="R791" s="29">
        <f>IFERROR(VLOOKUP(L791,MgValor,2,0)*VLOOKUP(O791,MgDeg,2,0),0)</f>
        <v/>
      </c>
      <c r="S791" s="29">
        <f>IFERROR(VLOOKUP(M791,MgValor,2,0)*VLOOKUP(P791,MgDeg,2,0),0)</f>
        <v/>
      </c>
      <c r="T791" s="30">
        <f>MAX(Q791:S791)</f>
        <v/>
      </c>
      <c r="U791" s="28">
        <f>IFERROR(LOOKUP(T791,{0;0.5;1.5;3;4.5},{"Despreciable";"Bajo";"Medio";"Alto";"Muy alto"}),"")</f>
        <v/>
      </c>
      <c r="V791" s="13">
        <f>IFERROR(INDEX(MgAmenFrec,MATCH(SUBSTITUTE($H791,"*","-"),MgAmenClave,0)),"")</f>
        <v/>
      </c>
      <c r="W791" s="28">
        <f>IFERROR(LOOKUP(X791,{0;0.01;0.1;1;10;100},{"Muy baja";"Muy baja";"Baja";"Media";"Alta";"Muy alta"}),"")</f>
        <v/>
      </c>
      <c r="X791" s="31">
        <f>IFERROR(VLOOKUP(V791,MgFrec,2,0),0)</f>
        <v/>
      </c>
      <c r="Y791" s="30">
        <f>T791*X791</f>
        <v/>
      </c>
      <c r="Z791" s="28">
        <f>IFERROR(LOOKUP(Y791,{0;0.5;5;25},{"Bajo";"Medio";"Alto";"Crítico"}),"")</f>
        <v/>
      </c>
      <c r="AA791" s="64">
        <f>IF(T791&gt;=3,IF(X791&gt;=1,"Zona 1 — Crítica: impacto alto y ocurre al menos una vez al año","Zona 4 — Catastrófica poco probable: impacto alto pero excepcional"),IF(AND(T791&lt;1.5,X791&lt;1),"Zona 3 — Asumible: impacto bajo y muy poco frecuente","Zona 2 — Atención: riesgo intermedio"))</f>
        <v/>
      </c>
      <c r="AB791" s="64">
        <f>IFERROR(INDEX(MgAmenCtrl,MATCH(SUBSTITUTE($H791,"*","-"),MgAmenClave,0)),"")</f>
        <v/>
      </c>
      <c r="AC791" s="20" t="n"/>
      <c r="AD791" s="31">
        <f>IFERROR($X791*(1-IF($AC791="",$AL791,VLOOKUP($AC791,MgMad,2,0))),"")</f>
        <v/>
      </c>
      <c r="AE791" s="28">
        <f>IFERROR(LOOKUP(AD791,{0;0.01;0.1;1;10;100},{"Muy baja";"Muy baja";"Baja";"Media";"Alta";"Muy alta"}),"")</f>
        <v/>
      </c>
      <c r="AF791" s="30">
        <f>T791*AD791</f>
        <v/>
      </c>
      <c r="AG791" s="28">
        <f>IFERROR(LOOKUP(AF791,{0;0.5;5;25},{"Bajo";"Medio";"Alto";"Crítico"}),"")</f>
        <v/>
      </c>
      <c r="AH791" s="28">
        <f>IF(AG791="","",IF(OR(AG791="Crítico",AG791="Alto"),"Mitigar",IF(AG791="Medio","Mitigar","Aceptar y monitorear")))</f>
        <v/>
      </c>
      <c r="AI791" s="21" t="n"/>
      <c r="AJ791" s="21" t="n"/>
      <c r="AK791" s="20" t="n"/>
      <c r="AL791" s="77">
        <f>IFERROR(INDEX(MgAmenEfic,MATCH(SUBSTITUTE($H791,"*","-"),MgAmenClave,0)),0)</f>
        <v/>
      </c>
    </row>
    <row r="792" hidden="1" ht="120" customHeight="1" s="54">
      <c r="B792" s="59" t="inlineStr">
        <is>
          <t>R-0787</t>
        </is>
      </c>
      <c r="C792" s="59" t="inlineStr">
        <is>
          <t>COM-20</t>
        </is>
      </c>
      <c r="D792" s="64">
        <f>IFERROR(INDEX(MgNombre,MATCH($C792,MgActId,0)),"")</f>
        <v/>
      </c>
      <c r="E792" s="64">
        <f>IFERROR(INDEX(MgProceso,MATCH($C792,MgActId,0)),"")</f>
        <v/>
      </c>
      <c r="F792" s="64">
        <f>IFERROR(INDEX(MgTipo,MATCH($C792,MgActId,0)),"")</f>
        <v/>
      </c>
      <c r="G792" s="64">
        <f>IFERROR(INDEX(MgSubtipo,MATCH($C792,MgActId,0)),"")</f>
        <v/>
      </c>
      <c r="H792" s="59" t="inlineStr">
        <is>
          <t>A.19</t>
        </is>
      </c>
      <c r="I792" s="64">
        <f>IFERROR(INDEX(MgAmenNombre,MATCH(SUBSTITUTE($H792,"*","-"),MgAmenClave,0)),"")</f>
        <v/>
      </c>
      <c r="J792" s="28">
        <f>IFERROR(INDEX(MgAmenGrupo,MATCH(SUBSTITUTE($H792,"*","-"),MgAmenClave,0)),"")</f>
        <v/>
      </c>
      <c r="K792" s="64">
        <f>IFERROR(INDEX('1. Matriz de Activos'!$Q$6:$Q$239,MATCH($C792,MgActId,0)),"")</f>
        <v/>
      </c>
      <c r="L792" s="64">
        <f>IFERROR(INDEX('1. Matriz de Activos'!$R$6:$R$239,MATCH($C792,MgActId,0)),"")</f>
        <v/>
      </c>
      <c r="M792" s="64">
        <f>IFERROR(INDEX('1. Matriz de Activos'!$S$6:$S$239,MATCH($C792,MgActId,0)),"")</f>
        <v/>
      </c>
      <c r="N792" s="28">
        <f>IFERROR(INDEX(MgAmenDegD,MATCH(SUBSTITUTE($H792,"*","-"),MgAmenClave,0)),"No aplica")</f>
        <v/>
      </c>
      <c r="O792" s="28">
        <f>IFERROR(INDEX(MgAmenDegI,MATCH(SUBSTITUTE($H792,"*","-"),MgAmenClave,0)),"No aplica")</f>
        <v/>
      </c>
      <c r="P792" s="28">
        <f>IFERROR(INDEX(MgAmenDegC,MATCH(SUBSTITUTE($H792,"*","-"),MgAmenClave,0)),"No aplica")</f>
        <v/>
      </c>
      <c r="Q792" s="29">
        <f>IFERROR(VLOOKUP(K792,MgValor,2,0)*VLOOKUP(N792,MgDeg,2,0),0)</f>
        <v/>
      </c>
      <c r="R792" s="29">
        <f>IFERROR(VLOOKUP(L792,MgValor,2,0)*VLOOKUP(O792,MgDeg,2,0),0)</f>
        <v/>
      </c>
      <c r="S792" s="29">
        <f>IFERROR(VLOOKUP(M792,MgValor,2,0)*VLOOKUP(P792,MgDeg,2,0),0)</f>
        <v/>
      </c>
      <c r="T792" s="30">
        <f>MAX(Q792:S792)</f>
        <v/>
      </c>
      <c r="U792" s="28">
        <f>IFERROR(LOOKUP(T792,{0;0.5;1.5;3;4.5},{"Despreciable";"Bajo";"Medio";"Alto";"Muy alto"}),"")</f>
        <v/>
      </c>
      <c r="V792" s="13">
        <f>IFERROR(INDEX(MgAmenFrec,MATCH(SUBSTITUTE($H792,"*","-"),MgAmenClave,0)),"")</f>
        <v/>
      </c>
      <c r="W792" s="28">
        <f>IFERROR(LOOKUP(X792,{0;0.01;0.1;1;10;100},{"Muy baja";"Muy baja";"Baja";"Media";"Alta";"Muy alta"}),"")</f>
        <v/>
      </c>
      <c r="X792" s="31">
        <f>IFERROR(VLOOKUP(V792,MgFrec,2,0),0)</f>
        <v/>
      </c>
      <c r="Y792" s="30">
        <f>T792*X792</f>
        <v/>
      </c>
      <c r="Z792" s="28">
        <f>IFERROR(LOOKUP(Y792,{0;0.5;5;25},{"Bajo";"Medio";"Alto";"Crítico"}),"")</f>
        <v/>
      </c>
      <c r="AA792" s="64">
        <f>IF(T792&gt;=3,IF(X792&gt;=1,"Zona 1 — Crítica: impacto alto y ocurre al menos una vez al año","Zona 4 — Catastrófica poco probable: impacto alto pero excepcional"),IF(AND(T792&lt;1.5,X792&lt;1),"Zona 3 — Asumible: impacto bajo y muy poco frecuente","Zona 2 — Atención: riesgo intermedio"))</f>
        <v/>
      </c>
      <c r="AB792" s="64">
        <f>IFERROR(INDEX(MgAmenCtrl,MATCH(SUBSTITUTE($H792,"*","-"),MgAmenClave,0)),"")</f>
        <v/>
      </c>
      <c r="AC792" s="20" t="n"/>
      <c r="AD792" s="31">
        <f>IFERROR($X792*(1-IF($AC792="",$AL792,VLOOKUP($AC792,MgMad,2,0))),"")</f>
        <v/>
      </c>
      <c r="AE792" s="28">
        <f>IFERROR(LOOKUP(AD792,{0;0.01;0.1;1;10;100},{"Muy baja";"Muy baja";"Baja";"Media";"Alta";"Muy alta"}),"")</f>
        <v/>
      </c>
      <c r="AF792" s="30">
        <f>T792*AD792</f>
        <v/>
      </c>
      <c r="AG792" s="28">
        <f>IFERROR(LOOKUP(AF792,{0;0.5;5;25},{"Bajo";"Medio";"Alto";"Crítico"}),"")</f>
        <v/>
      </c>
      <c r="AH792" s="28">
        <f>IF(AG792="","",IF(OR(AG792="Crítico",AG792="Alto"),"Mitigar",IF(AG792="Medio","Mitigar","Aceptar y monitorear")))</f>
        <v/>
      </c>
      <c r="AI792" s="21" t="n"/>
      <c r="AJ792" s="21" t="n"/>
      <c r="AK792" s="20" t="n"/>
      <c r="AL792" s="77">
        <f>IFERROR(INDEX(MgAmenEfic,MATCH(SUBSTITUTE($H792,"*","-"),MgAmenClave,0)),0)</f>
        <v/>
      </c>
    </row>
    <row r="793" hidden="1" ht="105" customHeight="1" s="54">
      <c r="B793" s="59" t="inlineStr">
        <is>
          <t>R-0788</t>
        </is>
      </c>
      <c r="C793" s="59" t="inlineStr">
        <is>
          <t>COM-17</t>
        </is>
      </c>
      <c r="D793" s="64">
        <f>IFERROR(INDEX(MgNombre,MATCH($C793,MgActId,0)),"")</f>
        <v/>
      </c>
      <c r="E793" s="64">
        <f>IFERROR(INDEX(MgProceso,MATCH($C793,MgActId,0)),"")</f>
        <v/>
      </c>
      <c r="F793" s="64">
        <f>IFERROR(INDEX(MgTipo,MATCH($C793,MgActId,0)),"")</f>
        <v/>
      </c>
      <c r="G793" s="64">
        <f>IFERROR(INDEX(MgSubtipo,MATCH($C793,MgActId,0)),"")</f>
        <v/>
      </c>
      <c r="H793" s="59" t="inlineStr">
        <is>
          <t>E.1</t>
        </is>
      </c>
      <c r="I793" s="64">
        <f>IFERROR(INDEX(MgAmenNombre,MATCH(SUBSTITUTE($H793,"*","-"),MgAmenClave,0)),"")</f>
        <v/>
      </c>
      <c r="J793" s="28">
        <f>IFERROR(INDEX(MgAmenGrupo,MATCH(SUBSTITUTE($H793,"*","-"),MgAmenClave,0)),"")</f>
        <v/>
      </c>
      <c r="K793" s="64">
        <f>IFERROR(INDEX('1. Matriz de Activos'!$Q$6:$Q$239,MATCH($C793,MgActId,0)),"")</f>
        <v/>
      </c>
      <c r="L793" s="64">
        <f>IFERROR(INDEX('1. Matriz de Activos'!$R$6:$R$239,MATCH($C793,MgActId,0)),"")</f>
        <v/>
      </c>
      <c r="M793" s="64">
        <f>IFERROR(INDEX('1. Matriz de Activos'!$S$6:$S$239,MATCH($C793,MgActId,0)),"")</f>
        <v/>
      </c>
      <c r="N793" s="28">
        <f>IFERROR(INDEX(MgAmenDegD,MATCH(SUBSTITUTE($H793,"*","-"),MgAmenClave,0)),"No aplica")</f>
        <v/>
      </c>
      <c r="O793" s="28">
        <f>IFERROR(INDEX(MgAmenDegI,MATCH(SUBSTITUTE($H793,"*","-"),MgAmenClave,0)),"No aplica")</f>
        <v/>
      </c>
      <c r="P793" s="28">
        <f>IFERROR(INDEX(MgAmenDegC,MATCH(SUBSTITUTE($H793,"*","-"),MgAmenClave,0)),"No aplica")</f>
        <v/>
      </c>
      <c r="Q793" s="29">
        <f>IFERROR(VLOOKUP(K793,MgValor,2,0)*VLOOKUP(N793,MgDeg,2,0),0)</f>
        <v/>
      </c>
      <c r="R793" s="29">
        <f>IFERROR(VLOOKUP(L793,MgValor,2,0)*VLOOKUP(O793,MgDeg,2,0),0)</f>
        <v/>
      </c>
      <c r="S793" s="29">
        <f>IFERROR(VLOOKUP(M793,MgValor,2,0)*VLOOKUP(P793,MgDeg,2,0),0)</f>
        <v/>
      </c>
      <c r="T793" s="30">
        <f>MAX(Q793:S793)</f>
        <v/>
      </c>
      <c r="U793" s="28">
        <f>IFERROR(LOOKUP(T793,{0;0.5;1.5;3;4.5},{"Despreciable";"Bajo";"Medio";"Alto";"Muy alto"}),"")</f>
        <v/>
      </c>
      <c r="V793" s="13">
        <f>IFERROR(INDEX(MgAmenFrec,MATCH(SUBSTITUTE($H793,"*","-"),MgAmenClave,0)),"")</f>
        <v/>
      </c>
      <c r="W793" s="28">
        <f>IFERROR(LOOKUP(X793,{0;0.01;0.1;1;10;100},{"Muy baja";"Muy baja";"Baja";"Media";"Alta";"Muy alta"}),"")</f>
        <v/>
      </c>
      <c r="X793" s="31">
        <f>IFERROR(VLOOKUP(V793,MgFrec,2,0),0)</f>
        <v/>
      </c>
      <c r="Y793" s="30">
        <f>T793*X793</f>
        <v/>
      </c>
      <c r="Z793" s="28">
        <f>IFERROR(LOOKUP(Y793,{0;0.5;5;25},{"Bajo";"Medio";"Alto";"Crítico"}),"")</f>
        <v/>
      </c>
      <c r="AA793" s="64">
        <f>IF(T793&gt;=3,IF(X793&gt;=1,"Zona 1 — Crítica: impacto alto y ocurre al menos una vez al año","Zona 4 — Catastrófica poco probable: impacto alto pero excepcional"),IF(AND(T793&lt;1.5,X793&lt;1),"Zona 3 — Asumible: impacto bajo y muy poco frecuente","Zona 2 — Atención: riesgo intermedio"))</f>
        <v/>
      </c>
      <c r="AB793" s="64">
        <f>IFERROR(INDEX(MgAmenCtrl,MATCH(SUBSTITUTE($H793,"*","-"),MgAmenClave,0)),"")</f>
        <v/>
      </c>
      <c r="AC793" s="20" t="n"/>
      <c r="AD793" s="31">
        <f>IFERROR($X793*(1-IF($AC793="",$AL793,VLOOKUP($AC793,MgMad,2,0))),"")</f>
        <v/>
      </c>
      <c r="AE793" s="28">
        <f>IFERROR(LOOKUP(AD793,{0;0.01;0.1;1;10;100},{"Muy baja";"Muy baja";"Baja";"Media";"Alta";"Muy alta"}),"")</f>
        <v/>
      </c>
      <c r="AF793" s="30">
        <f>T793*AD793</f>
        <v/>
      </c>
      <c r="AG793" s="28">
        <f>IFERROR(LOOKUP(AF793,{0;0.5;5;25},{"Bajo";"Medio";"Alto";"Crítico"}),"")</f>
        <v/>
      </c>
      <c r="AH793" s="28">
        <f>IF(AG793="","",IF(OR(AG793="Crítico",AG793="Alto"),"Mitigar",IF(AG793="Medio","Mitigar","Aceptar y monitorear")))</f>
        <v/>
      </c>
      <c r="AI793" s="21" t="n"/>
      <c r="AJ793" s="21" t="n"/>
      <c r="AK793" s="20" t="n"/>
      <c r="AL793" s="77">
        <f>IFERROR(INDEX(MgAmenEfic,MATCH(SUBSTITUTE($H793,"*","-"),MgAmenClave,0)),0)</f>
        <v/>
      </c>
    </row>
    <row r="794" hidden="1" ht="120" customHeight="1" s="54">
      <c r="B794" s="59" t="inlineStr">
        <is>
          <t>R-0789</t>
        </is>
      </c>
      <c r="C794" s="59" t="inlineStr">
        <is>
          <t>COM-17</t>
        </is>
      </c>
      <c r="D794" s="64">
        <f>IFERROR(INDEX(MgNombre,MATCH($C794,MgActId,0)),"")</f>
        <v/>
      </c>
      <c r="E794" s="64">
        <f>IFERROR(INDEX(MgProceso,MATCH($C794,MgActId,0)),"")</f>
        <v/>
      </c>
      <c r="F794" s="64">
        <f>IFERROR(INDEX(MgTipo,MATCH($C794,MgActId,0)),"")</f>
        <v/>
      </c>
      <c r="G794" s="64">
        <f>IFERROR(INDEX(MgSubtipo,MATCH($C794,MgActId,0)),"")</f>
        <v/>
      </c>
      <c r="H794" s="59" t="inlineStr">
        <is>
          <t>E.2</t>
        </is>
      </c>
      <c r="I794" s="64">
        <f>IFERROR(INDEX(MgAmenNombre,MATCH(SUBSTITUTE($H794,"*","-"),MgAmenClave,0)),"")</f>
        <v/>
      </c>
      <c r="J794" s="28">
        <f>IFERROR(INDEX(MgAmenGrupo,MATCH(SUBSTITUTE($H794,"*","-"),MgAmenClave,0)),"")</f>
        <v/>
      </c>
      <c r="K794" s="64">
        <f>IFERROR(INDEX('1. Matriz de Activos'!$Q$6:$Q$239,MATCH($C794,MgActId,0)),"")</f>
        <v/>
      </c>
      <c r="L794" s="64">
        <f>IFERROR(INDEX('1. Matriz de Activos'!$R$6:$R$239,MATCH($C794,MgActId,0)),"")</f>
        <v/>
      </c>
      <c r="M794" s="64">
        <f>IFERROR(INDEX('1. Matriz de Activos'!$S$6:$S$239,MATCH($C794,MgActId,0)),"")</f>
        <v/>
      </c>
      <c r="N794" s="28">
        <f>IFERROR(INDEX(MgAmenDegD,MATCH(SUBSTITUTE($H794,"*","-"),MgAmenClave,0)),"No aplica")</f>
        <v/>
      </c>
      <c r="O794" s="28">
        <f>IFERROR(INDEX(MgAmenDegI,MATCH(SUBSTITUTE($H794,"*","-"),MgAmenClave,0)),"No aplica")</f>
        <v/>
      </c>
      <c r="P794" s="28">
        <f>IFERROR(INDEX(MgAmenDegC,MATCH(SUBSTITUTE($H794,"*","-"),MgAmenClave,0)),"No aplica")</f>
        <v/>
      </c>
      <c r="Q794" s="29">
        <f>IFERROR(VLOOKUP(K794,MgValor,2,0)*VLOOKUP(N794,MgDeg,2,0),0)</f>
        <v/>
      </c>
      <c r="R794" s="29">
        <f>IFERROR(VLOOKUP(L794,MgValor,2,0)*VLOOKUP(O794,MgDeg,2,0),0)</f>
        <v/>
      </c>
      <c r="S794" s="29">
        <f>IFERROR(VLOOKUP(M794,MgValor,2,0)*VLOOKUP(P794,MgDeg,2,0),0)</f>
        <v/>
      </c>
      <c r="T794" s="30">
        <f>MAX(Q794:S794)</f>
        <v/>
      </c>
      <c r="U794" s="28">
        <f>IFERROR(LOOKUP(T794,{0;0.5;1.5;3;4.5},{"Despreciable";"Bajo";"Medio";"Alto";"Muy alto"}),"")</f>
        <v/>
      </c>
      <c r="V794" s="13">
        <f>IFERROR(INDEX(MgAmenFrec,MATCH(SUBSTITUTE($H794,"*","-"),MgAmenClave,0)),"")</f>
        <v/>
      </c>
      <c r="W794" s="28">
        <f>IFERROR(LOOKUP(X794,{0;0.01;0.1;1;10;100},{"Muy baja";"Muy baja";"Baja";"Media";"Alta";"Muy alta"}),"")</f>
        <v/>
      </c>
      <c r="X794" s="31">
        <f>IFERROR(VLOOKUP(V794,MgFrec,2,0),0)</f>
        <v/>
      </c>
      <c r="Y794" s="30">
        <f>T794*X794</f>
        <v/>
      </c>
      <c r="Z794" s="28">
        <f>IFERROR(LOOKUP(Y794,{0;0.5;5;25},{"Bajo";"Medio";"Alto";"Crítico"}),"")</f>
        <v/>
      </c>
      <c r="AA794" s="64">
        <f>IF(T794&gt;=3,IF(X794&gt;=1,"Zona 1 — Crítica: impacto alto y ocurre al menos una vez al año","Zona 4 — Catastrófica poco probable: impacto alto pero excepcional"),IF(AND(T794&lt;1.5,X794&lt;1),"Zona 3 — Asumible: impacto bajo y muy poco frecuente","Zona 2 — Atención: riesgo intermedio"))</f>
        <v/>
      </c>
      <c r="AB794" s="64">
        <f>IFERROR(INDEX(MgAmenCtrl,MATCH(SUBSTITUTE($H794,"*","-"),MgAmenClave,0)),"")</f>
        <v/>
      </c>
      <c r="AC794" s="20" t="n"/>
      <c r="AD794" s="31">
        <f>IFERROR($X794*(1-IF($AC794="",$AL794,VLOOKUP($AC794,MgMad,2,0))),"")</f>
        <v/>
      </c>
      <c r="AE794" s="28">
        <f>IFERROR(LOOKUP(AD794,{0;0.01;0.1;1;10;100},{"Muy baja";"Muy baja";"Baja";"Media";"Alta";"Muy alta"}),"")</f>
        <v/>
      </c>
      <c r="AF794" s="30">
        <f>T794*AD794</f>
        <v/>
      </c>
      <c r="AG794" s="28">
        <f>IFERROR(LOOKUP(AF794,{0;0.5;5;25},{"Bajo";"Medio";"Alto";"Crítico"}),"")</f>
        <v/>
      </c>
      <c r="AH794" s="28">
        <f>IF(AG794="","",IF(OR(AG794="Crítico",AG794="Alto"),"Mitigar",IF(AG794="Medio","Mitigar","Aceptar y monitorear")))</f>
        <v/>
      </c>
      <c r="AI794" s="21" t="n"/>
      <c r="AJ794" s="21" t="n"/>
      <c r="AK794" s="20" t="n"/>
      <c r="AL794" s="77">
        <f>IFERROR(INDEX(MgAmenEfic,MATCH(SUBSTITUTE($H794,"*","-"),MgAmenClave,0)),0)</f>
        <v/>
      </c>
    </row>
    <row r="795" hidden="1" ht="75" customHeight="1" s="54">
      <c r="B795" s="59" t="inlineStr">
        <is>
          <t>R-0790</t>
        </is>
      </c>
      <c r="C795" s="59" t="inlineStr">
        <is>
          <t>COM-17</t>
        </is>
      </c>
      <c r="D795" s="64">
        <f>IFERROR(INDEX(MgNombre,MATCH($C795,MgActId,0)),"")</f>
        <v/>
      </c>
      <c r="E795" s="64">
        <f>IFERROR(INDEX(MgProceso,MATCH($C795,MgActId,0)),"")</f>
        <v/>
      </c>
      <c r="F795" s="64">
        <f>IFERROR(INDEX(MgTipo,MATCH($C795,MgActId,0)),"")</f>
        <v/>
      </c>
      <c r="G795" s="64">
        <f>IFERROR(INDEX(MgSubtipo,MATCH($C795,MgActId,0)),"")</f>
        <v/>
      </c>
      <c r="H795" s="59" t="inlineStr">
        <is>
          <t>E.3</t>
        </is>
      </c>
      <c r="I795" s="64">
        <f>IFERROR(INDEX(MgAmenNombre,MATCH(SUBSTITUTE($H795,"*","-"),MgAmenClave,0)),"")</f>
        <v/>
      </c>
      <c r="J795" s="28">
        <f>IFERROR(INDEX(MgAmenGrupo,MATCH(SUBSTITUTE($H795,"*","-"),MgAmenClave,0)),"")</f>
        <v/>
      </c>
      <c r="K795" s="64">
        <f>IFERROR(INDEX('1. Matriz de Activos'!$Q$6:$Q$239,MATCH($C795,MgActId,0)),"")</f>
        <v/>
      </c>
      <c r="L795" s="64">
        <f>IFERROR(INDEX('1. Matriz de Activos'!$R$6:$R$239,MATCH($C795,MgActId,0)),"")</f>
        <v/>
      </c>
      <c r="M795" s="64">
        <f>IFERROR(INDEX('1. Matriz de Activos'!$S$6:$S$239,MATCH($C795,MgActId,0)),"")</f>
        <v/>
      </c>
      <c r="N795" s="28">
        <f>IFERROR(INDEX(MgAmenDegD,MATCH(SUBSTITUTE($H795,"*","-"),MgAmenClave,0)),"No aplica")</f>
        <v/>
      </c>
      <c r="O795" s="28">
        <f>IFERROR(INDEX(MgAmenDegI,MATCH(SUBSTITUTE($H795,"*","-"),MgAmenClave,0)),"No aplica")</f>
        <v/>
      </c>
      <c r="P795" s="28">
        <f>IFERROR(INDEX(MgAmenDegC,MATCH(SUBSTITUTE($H795,"*","-"),MgAmenClave,0)),"No aplica")</f>
        <v/>
      </c>
      <c r="Q795" s="29">
        <f>IFERROR(VLOOKUP(K795,MgValor,2,0)*VLOOKUP(N795,MgDeg,2,0),0)</f>
        <v/>
      </c>
      <c r="R795" s="29">
        <f>IFERROR(VLOOKUP(L795,MgValor,2,0)*VLOOKUP(O795,MgDeg,2,0),0)</f>
        <v/>
      </c>
      <c r="S795" s="29">
        <f>IFERROR(VLOOKUP(M795,MgValor,2,0)*VLOOKUP(P795,MgDeg,2,0),0)</f>
        <v/>
      </c>
      <c r="T795" s="30">
        <f>MAX(Q795:S795)</f>
        <v/>
      </c>
      <c r="U795" s="28">
        <f>IFERROR(LOOKUP(T795,{0;0.5;1.5;3;4.5},{"Despreciable";"Bajo";"Medio";"Alto";"Muy alto"}),"")</f>
        <v/>
      </c>
      <c r="V795" s="13">
        <f>IFERROR(INDEX(MgAmenFrec,MATCH(SUBSTITUTE($H795,"*","-"),MgAmenClave,0)),"")</f>
        <v/>
      </c>
      <c r="W795" s="28">
        <f>IFERROR(LOOKUP(X795,{0;0.01;0.1;1;10;100},{"Muy baja";"Muy baja";"Baja";"Media";"Alta";"Muy alta"}),"")</f>
        <v/>
      </c>
      <c r="X795" s="31">
        <f>IFERROR(VLOOKUP(V795,MgFrec,2,0),0)</f>
        <v/>
      </c>
      <c r="Y795" s="30">
        <f>T795*X795</f>
        <v/>
      </c>
      <c r="Z795" s="28">
        <f>IFERROR(LOOKUP(Y795,{0;0.5;5;25},{"Bajo";"Medio";"Alto";"Crítico"}),"")</f>
        <v/>
      </c>
      <c r="AA795" s="64">
        <f>IF(T795&gt;=3,IF(X795&gt;=1,"Zona 1 — Crítica: impacto alto y ocurre al menos una vez al año","Zona 4 — Catastrófica poco probable: impacto alto pero excepcional"),IF(AND(T795&lt;1.5,X795&lt;1),"Zona 3 — Asumible: impacto bajo y muy poco frecuente","Zona 2 — Atención: riesgo intermedio"))</f>
        <v/>
      </c>
      <c r="AB795" s="64">
        <f>IFERROR(INDEX(MgAmenCtrl,MATCH(SUBSTITUTE($H795,"*","-"),MgAmenClave,0)),"")</f>
        <v/>
      </c>
      <c r="AC795" s="20" t="n"/>
      <c r="AD795" s="31">
        <f>IFERROR($X795*(1-IF($AC795="",$AL795,VLOOKUP($AC795,MgMad,2,0))),"")</f>
        <v/>
      </c>
      <c r="AE795" s="28">
        <f>IFERROR(LOOKUP(AD795,{0;0.01;0.1;1;10;100},{"Muy baja";"Muy baja";"Baja";"Media";"Alta";"Muy alta"}),"")</f>
        <v/>
      </c>
      <c r="AF795" s="30">
        <f>T795*AD795</f>
        <v/>
      </c>
      <c r="AG795" s="28">
        <f>IFERROR(LOOKUP(AF795,{0;0.5;5;25},{"Bajo";"Medio";"Alto";"Crítico"}),"")</f>
        <v/>
      </c>
      <c r="AH795" s="28">
        <f>IF(AG795="","",IF(OR(AG795="Crítico",AG795="Alto"),"Mitigar",IF(AG795="Medio","Mitigar","Aceptar y monitorear")))</f>
        <v/>
      </c>
      <c r="AI795" s="21" t="n"/>
      <c r="AJ795" s="21" t="n"/>
      <c r="AK795" s="20" t="n"/>
      <c r="AL795" s="77">
        <f>IFERROR(INDEX(MgAmenEfic,MATCH(SUBSTITUTE($H795,"*","-"),MgAmenClave,0)),0)</f>
        <v/>
      </c>
    </row>
    <row r="796" hidden="1" ht="75" customHeight="1" s="54">
      <c r="B796" s="59" t="inlineStr">
        <is>
          <t>R-0791</t>
        </is>
      </c>
      <c r="C796" s="59" t="inlineStr">
        <is>
          <t>COM-17</t>
        </is>
      </c>
      <c r="D796" s="64">
        <f>IFERROR(INDEX(MgNombre,MATCH($C796,MgActId,0)),"")</f>
        <v/>
      </c>
      <c r="E796" s="64">
        <f>IFERROR(INDEX(MgProceso,MATCH($C796,MgActId,0)),"")</f>
        <v/>
      </c>
      <c r="F796" s="64">
        <f>IFERROR(INDEX(MgTipo,MATCH($C796,MgActId,0)),"")</f>
        <v/>
      </c>
      <c r="G796" s="64">
        <f>IFERROR(INDEX(MgSubtipo,MATCH($C796,MgActId,0)),"")</f>
        <v/>
      </c>
      <c r="H796" s="59" t="inlineStr">
        <is>
          <t>E.4</t>
        </is>
      </c>
      <c r="I796" s="64">
        <f>IFERROR(INDEX(MgAmenNombre,MATCH(SUBSTITUTE($H796,"*","-"),MgAmenClave,0)),"")</f>
        <v/>
      </c>
      <c r="J796" s="28">
        <f>IFERROR(INDEX(MgAmenGrupo,MATCH(SUBSTITUTE($H796,"*","-"),MgAmenClave,0)),"")</f>
        <v/>
      </c>
      <c r="K796" s="64">
        <f>IFERROR(INDEX('1. Matriz de Activos'!$Q$6:$Q$239,MATCH($C796,MgActId,0)),"")</f>
        <v/>
      </c>
      <c r="L796" s="64">
        <f>IFERROR(INDEX('1. Matriz de Activos'!$R$6:$R$239,MATCH($C796,MgActId,0)),"")</f>
        <v/>
      </c>
      <c r="M796" s="64">
        <f>IFERROR(INDEX('1. Matriz de Activos'!$S$6:$S$239,MATCH($C796,MgActId,0)),"")</f>
        <v/>
      </c>
      <c r="N796" s="28">
        <f>IFERROR(INDEX(MgAmenDegD,MATCH(SUBSTITUTE($H796,"*","-"),MgAmenClave,0)),"No aplica")</f>
        <v/>
      </c>
      <c r="O796" s="28">
        <f>IFERROR(INDEX(MgAmenDegI,MATCH(SUBSTITUTE($H796,"*","-"),MgAmenClave,0)),"No aplica")</f>
        <v/>
      </c>
      <c r="P796" s="28">
        <f>IFERROR(INDEX(MgAmenDegC,MATCH(SUBSTITUTE($H796,"*","-"),MgAmenClave,0)),"No aplica")</f>
        <v/>
      </c>
      <c r="Q796" s="29">
        <f>IFERROR(VLOOKUP(K796,MgValor,2,0)*VLOOKUP(N796,MgDeg,2,0),0)</f>
        <v/>
      </c>
      <c r="R796" s="29">
        <f>IFERROR(VLOOKUP(L796,MgValor,2,0)*VLOOKUP(O796,MgDeg,2,0),0)</f>
        <v/>
      </c>
      <c r="S796" s="29">
        <f>IFERROR(VLOOKUP(M796,MgValor,2,0)*VLOOKUP(P796,MgDeg,2,0),0)</f>
        <v/>
      </c>
      <c r="T796" s="30">
        <f>MAX(Q796:S796)</f>
        <v/>
      </c>
      <c r="U796" s="28">
        <f>IFERROR(LOOKUP(T796,{0;0.5;1.5;3;4.5},{"Despreciable";"Bajo";"Medio";"Alto";"Muy alto"}),"")</f>
        <v/>
      </c>
      <c r="V796" s="13">
        <f>IFERROR(INDEX(MgAmenFrec,MATCH(SUBSTITUTE($H796,"*","-"),MgAmenClave,0)),"")</f>
        <v/>
      </c>
      <c r="W796" s="28">
        <f>IFERROR(LOOKUP(X796,{0;0.01;0.1;1;10;100},{"Muy baja";"Muy baja";"Baja";"Media";"Alta";"Muy alta"}),"")</f>
        <v/>
      </c>
      <c r="X796" s="31">
        <f>IFERROR(VLOOKUP(V796,MgFrec,2,0),0)</f>
        <v/>
      </c>
      <c r="Y796" s="30">
        <f>T796*X796</f>
        <v/>
      </c>
      <c r="Z796" s="28">
        <f>IFERROR(LOOKUP(Y796,{0;0.5;5;25},{"Bajo";"Medio";"Alto";"Crítico"}),"")</f>
        <v/>
      </c>
      <c r="AA796" s="64">
        <f>IF(T796&gt;=3,IF(X796&gt;=1,"Zona 1 — Crítica: impacto alto y ocurre al menos una vez al año","Zona 4 — Catastrófica poco probable: impacto alto pero excepcional"),IF(AND(T796&lt;1.5,X796&lt;1),"Zona 3 — Asumible: impacto bajo y muy poco frecuente","Zona 2 — Atención: riesgo intermedio"))</f>
        <v/>
      </c>
      <c r="AB796" s="64">
        <f>IFERROR(INDEX(MgAmenCtrl,MATCH(SUBSTITUTE($H796,"*","-"),MgAmenClave,0)),"")</f>
        <v/>
      </c>
      <c r="AC796" s="20" t="n"/>
      <c r="AD796" s="31">
        <f>IFERROR($X796*(1-IF($AC796="",$AL796,VLOOKUP($AC796,MgMad,2,0))),"")</f>
        <v/>
      </c>
      <c r="AE796" s="28">
        <f>IFERROR(LOOKUP(AD796,{0;0.01;0.1;1;10;100},{"Muy baja";"Muy baja";"Baja";"Media";"Alta";"Muy alta"}),"")</f>
        <v/>
      </c>
      <c r="AF796" s="30">
        <f>T796*AD796</f>
        <v/>
      </c>
      <c r="AG796" s="28">
        <f>IFERROR(LOOKUP(AF796,{0;0.5;5;25},{"Bajo";"Medio";"Alto";"Crítico"}),"")</f>
        <v/>
      </c>
      <c r="AH796" s="28">
        <f>IF(AG796="","",IF(OR(AG796="Crítico",AG796="Alto"),"Mitigar",IF(AG796="Medio","Mitigar","Aceptar y monitorear")))</f>
        <v/>
      </c>
      <c r="AI796" s="21" t="n"/>
      <c r="AJ796" s="21" t="n"/>
      <c r="AK796" s="20" t="n"/>
      <c r="AL796" s="77">
        <f>IFERROR(INDEX(MgAmenEfic,MATCH(SUBSTITUTE($H796,"*","-"),MgAmenClave,0)),0)</f>
        <v/>
      </c>
    </row>
    <row r="797" hidden="1" ht="90" customHeight="1" s="54">
      <c r="B797" s="59" t="inlineStr">
        <is>
          <t>R-0792</t>
        </is>
      </c>
      <c r="C797" s="59" t="inlineStr">
        <is>
          <t>COM-17</t>
        </is>
      </c>
      <c r="D797" s="64">
        <f>IFERROR(INDEX(MgNombre,MATCH($C797,MgActId,0)),"")</f>
        <v/>
      </c>
      <c r="E797" s="64">
        <f>IFERROR(INDEX(MgProceso,MATCH($C797,MgActId,0)),"")</f>
        <v/>
      </c>
      <c r="F797" s="64">
        <f>IFERROR(INDEX(MgTipo,MATCH($C797,MgActId,0)),"")</f>
        <v/>
      </c>
      <c r="G797" s="64">
        <f>IFERROR(INDEX(MgSubtipo,MATCH($C797,MgActId,0)),"")</f>
        <v/>
      </c>
      <c r="H797" s="59" t="inlineStr">
        <is>
          <t>E.14</t>
        </is>
      </c>
      <c r="I797" s="64">
        <f>IFERROR(INDEX(MgAmenNombre,MATCH(SUBSTITUTE($H797,"*","-"),MgAmenClave,0)),"")</f>
        <v/>
      </c>
      <c r="J797" s="28">
        <f>IFERROR(INDEX(MgAmenGrupo,MATCH(SUBSTITUTE($H797,"*","-"),MgAmenClave,0)),"")</f>
        <v/>
      </c>
      <c r="K797" s="64">
        <f>IFERROR(INDEX('1. Matriz de Activos'!$Q$6:$Q$239,MATCH($C797,MgActId,0)),"")</f>
        <v/>
      </c>
      <c r="L797" s="64">
        <f>IFERROR(INDEX('1. Matriz de Activos'!$R$6:$R$239,MATCH($C797,MgActId,0)),"")</f>
        <v/>
      </c>
      <c r="M797" s="64">
        <f>IFERROR(INDEX('1. Matriz de Activos'!$S$6:$S$239,MATCH($C797,MgActId,0)),"")</f>
        <v/>
      </c>
      <c r="N797" s="28">
        <f>IFERROR(INDEX(MgAmenDegD,MATCH(SUBSTITUTE($H797,"*","-"),MgAmenClave,0)),"No aplica")</f>
        <v/>
      </c>
      <c r="O797" s="28">
        <f>IFERROR(INDEX(MgAmenDegI,MATCH(SUBSTITUTE($H797,"*","-"),MgAmenClave,0)),"No aplica")</f>
        <v/>
      </c>
      <c r="P797" s="28">
        <f>IFERROR(INDEX(MgAmenDegC,MATCH(SUBSTITUTE($H797,"*","-"),MgAmenClave,0)),"No aplica")</f>
        <v/>
      </c>
      <c r="Q797" s="29">
        <f>IFERROR(VLOOKUP(K797,MgValor,2,0)*VLOOKUP(N797,MgDeg,2,0),0)</f>
        <v/>
      </c>
      <c r="R797" s="29">
        <f>IFERROR(VLOOKUP(L797,MgValor,2,0)*VLOOKUP(O797,MgDeg,2,0),0)</f>
        <v/>
      </c>
      <c r="S797" s="29">
        <f>IFERROR(VLOOKUP(M797,MgValor,2,0)*VLOOKUP(P797,MgDeg,2,0),0)</f>
        <v/>
      </c>
      <c r="T797" s="30">
        <f>MAX(Q797:S797)</f>
        <v/>
      </c>
      <c r="U797" s="28">
        <f>IFERROR(LOOKUP(T797,{0;0.5;1.5;3;4.5},{"Despreciable";"Bajo";"Medio";"Alto";"Muy alto"}),"")</f>
        <v/>
      </c>
      <c r="V797" s="13">
        <f>IFERROR(INDEX(MgAmenFrec,MATCH(SUBSTITUTE($H797,"*","-"),MgAmenClave,0)),"")</f>
        <v/>
      </c>
      <c r="W797" s="28">
        <f>IFERROR(LOOKUP(X797,{0;0.01;0.1;1;10;100},{"Muy baja";"Muy baja";"Baja";"Media";"Alta";"Muy alta"}),"")</f>
        <v/>
      </c>
      <c r="X797" s="31">
        <f>IFERROR(VLOOKUP(V797,MgFrec,2,0),0)</f>
        <v/>
      </c>
      <c r="Y797" s="30">
        <f>T797*X797</f>
        <v/>
      </c>
      <c r="Z797" s="28">
        <f>IFERROR(LOOKUP(Y797,{0;0.5;5;25},{"Bajo";"Medio";"Alto";"Crítico"}),"")</f>
        <v/>
      </c>
      <c r="AA797" s="64">
        <f>IF(T797&gt;=3,IF(X797&gt;=1,"Zona 1 — Crítica: impacto alto y ocurre al menos una vez al año","Zona 4 — Catastrófica poco probable: impacto alto pero excepcional"),IF(AND(T797&lt;1.5,X797&lt;1),"Zona 3 — Asumible: impacto bajo y muy poco frecuente","Zona 2 — Atención: riesgo intermedio"))</f>
        <v/>
      </c>
      <c r="AB797" s="64">
        <f>IFERROR(INDEX(MgAmenCtrl,MATCH(SUBSTITUTE($H797,"*","-"),MgAmenClave,0)),"")</f>
        <v/>
      </c>
      <c r="AC797" s="20" t="n"/>
      <c r="AD797" s="31">
        <f>IFERROR($X797*(1-IF($AC797="",$AL797,VLOOKUP($AC797,MgMad,2,0))),"")</f>
        <v/>
      </c>
      <c r="AE797" s="28">
        <f>IFERROR(LOOKUP(AD797,{0;0.01;0.1;1;10;100},{"Muy baja";"Muy baja";"Baja";"Media";"Alta";"Muy alta"}),"")</f>
        <v/>
      </c>
      <c r="AF797" s="30">
        <f>T797*AD797</f>
        <v/>
      </c>
      <c r="AG797" s="28">
        <f>IFERROR(LOOKUP(AF797,{0;0.5;5;25},{"Bajo";"Medio";"Alto";"Crítico"}),"")</f>
        <v/>
      </c>
      <c r="AH797" s="28">
        <f>IF(AG797="","",IF(OR(AG797="Crítico",AG797="Alto"),"Mitigar",IF(AG797="Medio","Mitigar","Aceptar y monitorear")))</f>
        <v/>
      </c>
      <c r="AI797" s="21" t="n"/>
      <c r="AJ797" s="21" t="n"/>
      <c r="AK797" s="20" t="n"/>
      <c r="AL797" s="77">
        <f>IFERROR(INDEX(MgAmenEfic,MATCH(SUBSTITUTE($H797,"*","-"),MgAmenClave,0)),0)</f>
        <v/>
      </c>
    </row>
    <row r="798" hidden="1" ht="90" customHeight="1" s="54">
      <c r="B798" s="59" t="inlineStr">
        <is>
          <t>R-0793</t>
        </is>
      </c>
      <c r="C798" s="59" t="inlineStr">
        <is>
          <t>COM-17</t>
        </is>
      </c>
      <c r="D798" s="64">
        <f>IFERROR(INDEX(MgNombre,MATCH($C798,MgActId,0)),"")</f>
        <v/>
      </c>
      <c r="E798" s="64">
        <f>IFERROR(INDEX(MgProceso,MATCH($C798,MgActId,0)),"")</f>
        <v/>
      </c>
      <c r="F798" s="64">
        <f>IFERROR(INDEX(MgTipo,MATCH($C798,MgActId,0)),"")</f>
        <v/>
      </c>
      <c r="G798" s="64">
        <f>IFERROR(INDEX(MgSubtipo,MATCH($C798,MgActId,0)),"")</f>
        <v/>
      </c>
      <c r="H798" s="59" t="inlineStr">
        <is>
          <t>E.15</t>
        </is>
      </c>
      <c r="I798" s="64">
        <f>IFERROR(INDEX(MgAmenNombre,MATCH(SUBSTITUTE($H798,"*","-"),MgAmenClave,0)),"")</f>
        <v/>
      </c>
      <c r="J798" s="28">
        <f>IFERROR(INDEX(MgAmenGrupo,MATCH(SUBSTITUTE($H798,"*","-"),MgAmenClave,0)),"")</f>
        <v/>
      </c>
      <c r="K798" s="64">
        <f>IFERROR(INDEX('1. Matriz de Activos'!$Q$6:$Q$239,MATCH($C798,MgActId,0)),"")</f>
        <v/>
      </c>
      <c r="L798" s="64">
        <f>IFERROR(INDEX('1. Matriz de Activos'!$R$6:$R$239,MATCH($C798,MgActId,0)),"")</f>
        <v/>
      </c>
      <c r="M798" s="64">
        <f>IFERROR(INDEX('1. Matriz de Activos'!$S$6:$S$239,MATCH($C798,MgActId,0)),"")</f>
        <v/>
      </c>
      <c r="N798" s="28">
        <f>IFERROR(INDEX(MgAmenDegD,MATCH(SUBSTITUTE($H798,"*","-"),MgAmenClave,0)),"No aplica")</f>
        <v/>
      </c>
      <c r="O798" s="28">
        <f>IFERROR(INDEX(MgAmenDegI,MATCH(SUBSTITUTE($H798,"*","-"),MgAmenClave,0)),"No aplica")</f>
        <v/>
      </c>
      <c r="P798" s="28">
        <f>IFERROR(INDEX(MgAmenDegC,MATCH(SUBSTITUTE($H798,"*","-"),MgAmenClave,0)),"No aplica")</f>
        <v/>
      </c>
      <c r="Q798" s="29">
        <f>IFERROR(VLOOKUP(K798,MgValor,2,0)*VLOOKUP(N798,MgDeg,2,0),0)</f>
        <v/>
      </c>
      <c r="R798" s="29">
        <f>IFERROR(VLOOKUP(L798,MgValor,2,0)*VLOOKUP(O798,MgDeg,2,0),0)</f>
        <v/>
      </c>
      <c r="S798" s="29">
        <f>IFERROR(VLOOKUP(M798,MgValor,2,0)*VLOOKUP(P798,MgDeg,2,0),0)</f>
        <v/>
      </c>
      <c r="T798" s="30">
        <f>MAX(Q798:S798)</f>
        <v/>
      </c>
      <c r="U798" s="28">
        <f>IFERROR(LOOKUP(T798,{0;0.5;1.5;3;4.5},{"Despreciable";"Bajo";"Medio";"Alto";"Muy alto"}),"")</f>
        <v/>
      </c>
      <c r="V798" s="13">
        <f>IFERROR(INDEX(MgAmenFrec,MATCH(SUBSTITUTE($H798,"*","-"),MgAmenClave,0)),"")</f>
        <v/>
      </c>
      <c r="W798" s="28">
        <f>IFERROR(LOOKUP(X798,{0;0.01;0.1;1;10;100},{"Muy baja";"Muy baja";"Baja";"Media";"Alta";"Muy alta"}),"")</f>
        <v/>
      </c>
      <c r="X798" s="31">
        <f>IFERROR(VLOOKUP(V798,MgFrec,2,0),0)</f>
        <v/>
      </c>
      <c r="Y798" s="30">
        <f>T798*X798</f>
        <v/>
      </c>
      <c r="Z798" s="28">
        <f>IFERROR(LOOKUP(Y798,{0;0.5;5;25},{"Bajo";"Medio";"Alto";"Crítico"}),"")</f>
        <v/>
      </c>
      <c r="AA798" s="64">
        <f>IF(T798&gt;=3,IF(X798&gt;=1,"Zona 1 — Crítica: impacto alto y ocurre al menos una vez al año","Zona 4 — Catastrófica poco probable: impacto alto pero excepcional"),IF(AND(T798&lt;1.5,X798&lt;1),"Zona 3 — Asumible: impacto bajo y muy poco frecuente","Zona 2 — Atención: riesgo intermedio"))</f>
        <v/>
      </c>
      <c r="AB798" s="64">
        <f>IFERROR(INDEX(MgAmenCtrl,MATCH(SUBSTITUTE($H798,"*","-"),MgAmenClave,0)),"")</f>
        <v/>
      </c>
      <c r="AC798" s="20" t="n"/>
      <c r="AD798" s="31">
        <f>IFERROR($X798*(1-IF($AC798="",$AL798,VLOOKUP($AC798,MgMad,2,0))),"")</f>
        <v/>
      </c>
      <c r="AE798" s="28">
        <f>IFERROR(LOOKUP(AD798,{0;0.01;0.1;1;10;100},{"Muy baja";"Muy baja";"Baja";"Media";"Alta";"Muy alta"}),"")</f>
        <v/>
      </c>
      <c r="AF798" s="30">
        <f>T798*AD798</f>
        <v/>
      </c>
      <c r="AG798" s="28">
        <f>IFERROR(LOOKUP(AF798,{0;0.5;5;25},{"Bajo";"Medio";"Alto";"Crítico"}),"")</f>
        <v/>
      </c>
      <c r="AH798" s="28">
        <f>IF(AG798="","",IF(OR(AG798="Crítico",AG798="Alto"),"Mitigar",IF(AG798="Medio","Mitigar","Aceptar y monitorear")))</f>
        <v/>
      </c>
      <c r="AI798" s="21" t="n"/>
      <c r="AJ798" s="21" t="n"/>
      <c r="AK798" s="20" t="n"/>
      <c r="AL798" s="77">
        <f>IFERROR(INDEX(MgAmenEfic,MATCH(SUBSTITUTE($H798,"*","-"),MgAmenClave,0)),0)</f>
        <v/>
      </c>
    </row>
    <row r="799" hidden="1" ht="60" customHeight="1" s="54">
      <c r="B799" s="59" t="inlineStr">
        <is>
          <t>R-0794</t>
        </is>
      </c>
      <c r="C799" s="59" t="inlineStr">
        <is>
          <t>COM-17</t>
        </is>
      </c>
      <c r="D799" s="64">
        <f>IFERROR(INDEX(MgNombre,MATCH($C799,MgActId,0)),"")</f>
        <v/>
      </c>
      <c r="E799" s="64">
        <f>IFERROR(INDEX(MgProceso,MATCH($C799,MgActId,0)),"")</f>
        <v/>
      </c>
      <c r="F799" s="64">
        <f>IFERROR(INDEX(MgTipo,MATCH($C799,MgActId,0)),"")</f>
        <v/>
      </c>
      <c r="G799" s="64">
        <f>IFERROR(INDEX(MgSubtipo,MATCH($C799,MgActId,0)),"")</f>
        <v/>
      </c>
      <c r="H799" s="59" t="inlineStr">
        <is>
          <t>E.18</t>
        </is>
      </c>
      <c r="I799" s="64">
        <f>IFERROR(INDEX(MgAmenNombre,MATCH(SUBSTITUTE($H799,"*","-"),MgAmenClave,0)),"")</f>
        <v/>
      </c>
      <c r="J799" s="28">
        <f>IFERROR(INDEX(MgAmenGrupo,MATCH(SUBSTITUTE($H799,"*","-"),MgAmenClave,0)),"")</f>
        <v/>
      </c>
      <c r="K799" s="64">
        <f>IFERROR(INDEX('1. Matriz de Activos'!$Q$6:$Q$239,MATCH($C799,MgActId,0)),"")</f>
        <v/>
      </c>
      <c r="L799" s="64">
        <f>IFERROR(INDEX('1. Matriz de Activos'!$R$6:$R$239,MATCH($C799,MgActId,0)),"")</f>
        <v/>
      </c>
      <c r="M799" s="64">
        <f>IFERROR(INDEX('1. Matriz de Activos'!$S$6:$S$239,MATCH($C799,MgActId,0)),"")</f>
        <v/>
      </c>
      <c r="N799" s="28">
        <f>IFERROR(INDEX(MgAmenDegD,MATCH(SUBSTITUTE($H799,"*","-"),MgAmenClave,0)),"No aplica")</f>
        <v/>
      </c>
      <c r="O799" s="28">
        <f>IFERROR(INDEX(MgAmenDegI,MATCH(SUBSTITUTE($H799,"*","-"),MgAmenClave,0)),"No aplica")</f>
        <v/>
      </c>
      <c r="P799" s="28">
        <f>IFERROR(INDEX(MgAmenDegC,MATCH(SUBSTITUTE($H799,"*","-"),MgAmenClave,0)),"No aplica")</f>
        <v/>
      </c>
      <c r="Q799" s="29">
        <f>IFERROR(VLOOKUP(K799,MgValor,2,0)*VLOOKUP(N799,MgDeg,2,0),0)</f>
        <v/>
      </c>
      <c r="R799" s="29">
        <f>IFERROR(VLOOKUP(L799,MgValor,2,0)*VLOOKUP(O799,MgDeg,2,0),0)</f>
        <v/>
      </c>
      <c r="S799" s="29">
        <f>IFERROR(VLOOKUP(M799,MgValor,2,0)*VLOOKUP(P799,MgDeg,2,0),0)</f>
        <v/>
      </c>
      <c r="T799" s="30">
        <f>MAX(Q799:S799)</f>
        <v/>
      </c>
      <c r="U799" s="28">
        <f>IFERROR(LOOKUP(T799,{0;0.5;1.5;3;4.5},{"Despreciable";"Bajo";"Medio";"Alto";"Muy alto"}),"")</f>
        <v/>
      </c>
      <c r="V799" s="13">
        <f>IFERROR(INDEX(MgAmenFrec,MATCH(SUBSTITUTE($H799,"*","-"),MgAmenClave,0)),"")</f>
        <v/>
      </c>
      <c r="W799" s="28">
        <f>IFERROR(LOOKUP(X799,{0;0.01;0.1;1;10;100},{"Muy baja";"Muy baja";"Baja";"Media";"Alta";"Muy alta"}),"")</f>
        <v/>
      </c>
      <c r="X799" s="31">
        <f>IFERROR(VLOOKUP(V799,MgFrec,2,0),0)</f>
        <v/>
      </c>
      <c r="Y799" s="30">
        <f>T799*X799</f>
        <v/>
      </c>
      <c r="Z799" s="28">
        <f>IFERROR(LOOKUP(Y799,{0;0.5;5;25},{"Bajo";"Medio";"Alto";"Crítico"}),"")</f>
        <v/>
      </c>
      <c r="AA799" s="64">
        <f>IF(T799&gt;=3,IF(X799&gt;=1,"Zona 1 — Crítica: impacto alto y ocurre al menos una vez al año","Zona 4 — Catastrófica poco probable: impacto alto pero excepcional"),IF(AND(T799&lt;1.5,X799&lt;1),"Zona 3 — Asumible: impacto bajo y muy poco frecuente","Zona 2 — Atención: riesgo intermedio"))</f>
        <v/>
      </c>
      <c r="AB799" s="64">
        <f>IFERROR(INDEX(MgAmenCtrl,MATCH(SUBSTITUTE($H799,"*","-"),MgAmenClave,0)),"")</f>
        <v/>
      </c>
      <c r="AC799" s="20" t="n"/>
      <c r="AD799" s="31">
        <f>IFERROR($X799*(1-IF($AC799="",$AL799,VLOOKUP($AC799,MgMad,2,0))),"")</f>
        <v/>
      </c>
      <c r="AE799" s="28">
        <f>IFERROR(LOOKUP(AD799,{0;0.01;0.1;1;10;100},{"Muy baja";"Muy baja";"Baja";"Media";"Alta";"Muy alta"}),"")</f>
        <v/>
      </c>
      <c r="AF799" s="30">
        <f>T799*AD799</f>
        <v/>
      </c>
      <c r="AG799" s="28">
        <f>IFERROR(LOOKUP(AF799,{0;0.5;5;25},{"Bajo";"Medio";"Alto";"Crítico"}),"")</f>
        <v/>
      </c>
      <c r="AH799" s="28">
        <f>IF(AG799="","",IF(OR(AG799="Crítico",AG799="Alto"),"Mitigar",IF(AG799="Medio","Mitigar","Aceptar y monitorear")))</f>
        <v/>
      </c>
      <c r="AI799" s="21" t="n"/>
      <c r="AJ799" s="21" t="n"/>
      <c r="AK799" s="20" t="n"/>
      <c r="AL799" s="77">
        <f>IFERROR(INDEX(MgAmenEfic,MATCH(SUBSTITUTE($H799,"*","-"),MgAmenClave,0)),0)</f>
        <v/>
      </c>
    </row>
    <row r="800" hidden="1" ht="105" customHeight="1" s="54">
      <c r="B800" s="59" t="inlineStr">
        <is>
          <t>R-0795</t>
        </is>
      </c>
      <c r="C800" s="59" t="inlineStr">
        <is>
          <t>COM-17</t>
        </is>
      </c>
      <c r="D800" s="64">
        <f>IFERROR(INDEX(MgNombre,MATCH($C800,MgActId,0)),"")</f>
        <v/>
      </c>
      <c r="E800" s="64">
        <f>IFERROR(INDEX(MgProceso,MATCH($C800,MgActId,0)),"")</f>
        <v/>
      </c>
      <c r="F800" s="64">
        <f>IFERROR(INDEX(MgTipo,MATCH($C800,MgActId,0)),"")</f>
        <v/>
      </c>
      <c r="G800" s="64">
        <f>IFERROR(INDEX(MgSubtipo,MATCH($C800,MgActId,0)),"")</f>
        <v/>
      </c>
      <c r="H800" s="59" t="inlineStr">
        <is>
          <t>E.19</t>
        </is>
      </c>
      <c r="I800" s="64">
        <f>IFERROR(INDEX(MgAmenNombre,MATCH(SUBSTITUTE($H800,"*","-"),MgAmenClave,0)),"")</f>
        <v/>
      </c>
      <c r="J800" s="28">
        <f>IFERROR(INDEX(MgAmenGrupo,MATCH(SUBSTITUTE($H800,"*","-"),MgAmenClave,0)),"")</f>
        <v/>
      </c>
      <c r="K800" s="64">
        <f>IFERROR(INDEX('1. Matriz de Activos'!$Q$6:$Q$239,MATCH($C800,MgActId,0)),"")</f>
        <v/>
      </c>
      <c r="L800" s="64">
        <f>IFERROR(INDEX('1. Matriz de Activos'!$R$6:$R$239,MATCH($C800,MgActId,0)),"")</f>
        <v/>
      </c>
      <c r="M800" s="64">
        <f>IFERROR(INDEX('1. Matriz de Activos'!$S$6:$S$239,MATCH($C800,MgActId,0)),"")</f>
        <v/>
      </c>
      <c r="N800" s="28">
        <f>IFERROR(INDEX(MgAmenDegD,MATCH(SUBSTITUTE($H800,"*","-"),MgAmenClave,0)),"No aplica")</f>
        <v/>
      </c>
      <c r="O800" s="28">
        <f>IFERROR(INDEX(MgAmenDegI,MATCH(SUBSTITUTE($H800,"*","-"),MgAmenClave,0)),"No aplica")</f>
        <v/>
      </c>
      <c r="P800" s="28">
        <f>IFERROR(INDEX(MgAmenDegC,MATCH(SUBSTITUTE($H800,"*","-"),MgAmenClave,0)),"No aplica")</f>
        <v/>
      </c>
      <c r="Q800" s="29">
        <f>IFERROR(VLOOKUP(K800,MgValor,2,0)*VLOOKUP(N800,MgDeg,2,0),0)</f>
        <v/>
      </c>
      <c r="R800" s="29">
        <f>IFERROR(VLOOKUP(L800,MgValor,2,0)*VLOOKUP(O800,MgDeg,2,0),0)</f>
        <v/>
      </c>
      <c r="S800" s="29">
        <f>IFERROR(VLOOKUP(M800,MgValor,2,0)*VLOOKUP(P800,MgDeg,2,0),0)</f>
        <v/>
      </c>
      <c r="T800" s="30">
        <f>MAX(Q800:S800)</f>
        <v/>
      </c>
      <c r="U800" s="28">
        <f>IFERROR(LOOKUP(T800,{0;0.5;1.5;3;4.5},{"Despreciable";"Bajo";"Medio";"Alto";"Muy alto"}),"")</f>
        <v/>
      </c>
      <c r="V800" s="13">
        <f>IFERROR(INDEX(MgAmenFrec,MATCH(SUBSTITUTE($H800,"*","-"),MgAmenClave,0)),"")</f>
        <v/>
      </c>
      <c r="W800" s="28">
        <f>IFERROR(LOOKUP(X800,{0;0.01;0.1;1;10;100},{"Muy baja";"Muy baja";"Baja";"Media";"Alta";"Muy alta"}),"")</f>
        <v/>
      </c>
      <c r="X800" s="31">
        <f>IFERROR(VLOOKUP(V800,MgFrec,2,0),0)</f>
        <v/>
      </c>
      <c r="Y800" s="30">
        <f>T800*X800</f>
        <v/>
      </c>
      <c r="Z800" s="28">
        <f>IFERROR(LOOKUP(Y800,{0;0.5;5;25},{"Bajo";"Medio";"Alto";"Crítico"}),"")</f>
        <v/>
      </c>
      <c r="AA800" s="64">
        <f>IF(T800&gt;=3,IF(X800&gt;=1,"Zona 1 — Crítica: impacto alto y ocurre al menos una vez al año","Zona 4 — Catastrófica poco probable: impacto alto pero excepcional"),IF(AND(T800&lt;1.5,X800&lt;1),"Zona 3 — Asumible: impacto bajo y muy poco frecuente","Zona 2 — Atención: riesgo intermedio"))</f>
        <v/>
      </c>
      <c r="AB800" s="64">
        <f>IFERROR(INDEX(MgAmenCtrl,MATCH(SUBSTITUTE($H800,"*","-"),MgAmenClave,0)),"")</f>
        <v/>
      </c>
      <c r="AC800" s="20" t="n"/>
      <c r="AD800" s="31">
        <f>IFERROR($X800*(1-IF($AC800="",$AL800,VLOOKUP($AC800,MgMad,2,0))),"")</f>
        <v/>
      </c>
      <c r="AE800" s="28">
        <f>IFERROR(LOOKUP(AD800,{0;0.01;0.1;1;10;100},{"Muy baja";"Muy baja";"Baja";"Media";"Alta";"Muy alta"}),"")</f>
        <v/>
      </c>
      <c r="AF800" s="30">
        <f>T800*AD800</f>
        <v/>
      </c>
      <c r="AG800" s="28">
        <f>IFERROR(LOOKUP(AF800,{0;0.5;5;25},{"Bajo";"Medio";"Alto";"Crítico"}),"")</f>
        <v/>
      </c>
      <c r="AH800" s="28">
        <f>IF(AG800="","",IF(OR(AG800="Crítico",AG800="Alto"),"Mitigar",IF(AG800="Medio","Mitigar","Aceptar y monitorear")))</f>
        <v/>
      </c>
      <c r="AI800" s="21" t="n"/>
      <c r="AJ800" s="21" t="n"/>
      <c r="AK800" s="20" t="n"/>
      <c r="AL800" s="77">
        <f>IFERROR(INDEX(MgAmenEfic,MATCH(SUBSTITUTE($H800,"*","-"),MgAmenClave,0)),0)</f>
        <v/>
      </c>
    </row>
    <row r="801" hidden="1" ht="60" customHeight="1" s="54">
      <c r="B801" s="59" t="inlineStr">
        <is>
          <t>R-0796</t>
        </is>
      </c>
      <c r="C801" s="59" t="inlineStr">
        <is>
          <t>COM-17</t>
        </is>
      </c>
      <c r="D801" s="64">
        <f>IFERROR(INDEX(MgNombre,MATCH($C801,MgActId,0)),"")</f>
        <v/>
      </c>
      <c r="E801" s="64">
        <f>IFERROR(INDEX(MgProceso,MATCH($C801,MgActId,0)),"")</f>
        <v/>
      </c>
      <c r="F801" s="64">
        <f>IFERROR(INDEX(MgTipo,MATCH($C801,MgActId,0)),"")</f>
        <v/>
      </c>
      <c r="G801" s="64">
        <f>IFERROR(INDEX(MgSubtipo,MATCH($C801,MgActId,0)),"")</f>
        <v/>
      </c>
      <c r="H801" s="59" t="inlineStr">
        <is>
          <t>A.3</t>
        </is>
      </c>
      <c r="I801" s="64">
        <f>IFERROR(INDEX(MgAmenNombre,MATCH(SUBSTITUTE($H801,"*","-"),MgAmenClave,0)),"")</f>
        <v/>
      </c>
      <c r="J801" s="28">
        <f>IFERROR(INDEX(MgAmenGrupo,MATCH(SUBSTITUTE($H801,"*","-"),MgAmenClave,0)),"")</f>
        <v/>
      </c>
      <c r="K801" s="64">
        <f>IFERROR(INDEX('1. Matriz de Activos'!$Q$6:$Q$239,MATCH($C801,MgActId,0)),"")</f>
        <v/>
      </c>
      <c r="L801" s="64">
        <f>IFERROR(INDEX('1. Matriz de Activos'!$R$6:$R$239,MATCH($C801,MgActId,0)),"")</f>
        <v/>
      </c>
      <c r="M801" s="64">
        <f>IFERROR(INDEX('1. Matriz de Activos'!$S$6:$S$239,MATCH($C801,MgActId,0)),"")</f>
        <v/>
      </c>
      <c r="N801" s="28">
        <f>IFERROR(INDEX(MgAmenDegD,MATCH(SUBSTITUTE($H801,"*","-"),MgAmenClave,0)),"No aplica")</f>
        <v/>
      </c>
      <c r="O801" s="28">
        <f>IFERROR(INDEX(MgAmenDegI,MATCH(SUBSTITUTE($H801,"*","-"),MgAmenClave,0)),"No aplica")</f>
        <v/>
      </c>
      <c r="P801" s="28">
        <f>IFERROR(INDEX(MgAmenDegC,MATCH(SUBSTITUTE($H801,"*","-"),MgAmenClave,0)),"No aplica")</f>
        <v/>
      </c>
      <c r="Q801" s="29">
        <f>IFERROR(VLOOKUP(K801,MgValor,2,0)*VLOOKUP(N801,MgDeg,2,0),0)</f>
        <v/>
      </c>
      <c r="R801" s="29">
        <f>IFERROR(VLOOKUP(L801,MgValor,2,0)*VLOOKUP(O801,MgDeg,2,0),0)</f>
        <v/>
      </c>
      <c r="S801" s="29">
        <f>IFERROR(VLOOKUP(M801,MgValor,2,0)*VLOOKUP(P801,MgDeg,2,0),0)</f>
        <v/>
      </c>
      <c r="T801" s="30">
        <f>MAX(Q801:S801)</f>
        <v/>
      </c>
      <c r="U801" s="28">
        <f>IFERROR(LOOKUP(T801,{0;0.5;1.5;3;4.5},{"Despreciable";"Bajo";"Medio";"Alto";"Muy alto"}),"")</f>
        <v/>
      </c>
      <c r="V801" s="13">
        <f>IFERROR(INDEX(MgAmenFrec,MATCH(SUBSTITUTE($H801,"*","-"),MgAmenClave,0)),"")</f>
        <v/>
      </c>
      <c r="W801" s="28">
        <f>IFERROR(LOOKUP(X801,{0;0.01;0.1;1;10;100},{"Muy baja";"Muy baja";"Baja";"Media";"Alta";"Muy alta"}),"")</f>
        <v/>
      </c>
      <c r="X801" s="31">
        <f>IFERROR(VLOOKUP(V801,MgFrec,2,0),0)</f>
        <v/>
      </c>
      <c r="Y801" s="30">
        <f>T801*X801</f>
        <v/>
      </c>
      <c r="Z801" s="28">
        <f>IFERROR(LOOKUP(Y801,{0;0.5;5;25},{"Bajo";"Medio";"Alto";"Crítico"}),"")</f>
        <v/>
      </c>
      <c r="AA801" s="64">
        <f>IF(T801&gt;=3,IF(X801&gt;=1,"Zona 1 — Crítica: impacto alto y ocurre al menos una vez al año","Zona 4 — Catastrófica poco probable: impacto alto pero excepcional"),IF(AND(T801&lt;1.5,X801&lt;1),"Zona 3 — Asumible: impacto bajo y muy poco frecuente","Zona 2 — Atención: riesgo intermedio"))</f>
        <v/>
      </c>
      <c r="AB801" s="64">
        <f>IFERROR(INDEX(MgAmenCtrl,MATCH(SUBSTITUTE($H801,"*","-"),MgAmenClave,0)),"")</f>
        <v/>
      </c>
      <c r="AC801" s="20" t="n"/>
      <c r="AD801" s="31">
        <f>IFERROR($X801*(1-IF($AC801="",$AL801,VLOOKUP($AC801,MgMad,2,0))),"")</f>
        <v/>
      </c>
      <c r="AE801" s="28">
        <f>IFERROR(LOOKUP(AD801,{0;0.01;0.1;1;10;100},{"Muy baja";"Muy baja";"Baja";"Media";"Alta";"Muy alta"}),"")</f>
        <v/>
      </c>
      <c r="AF801" s="30">
        <f>T801*AD801</f>
        <v/>
      </c>
      <c r="AG801" s="28">
        <f>IFERROR(LOOKUP(AF801,{0;0.5;5;25},{"Bajo";"Medio";"Alto";"Crítico"}),"")</f>
        <v/>
      </c>
      <c r="AH801" s="28">
        <f>IF(AG801="","",IF(OR(AG801="Crítico",AG801="Alto"),"Mitigar",IF(AG801="Medio","Mitigar","Aceptar y monitorear")))</f>
        <v/>
      </c>
      <c r="AI801" s="21" t="n"/>
      <c r="AJ801" s="21" t="n"/>
      <c r="AK801" s="20" t="n"/>
      <c r="AL801" s="77">
        <f>IFERROR(INDEX(MgAmenEfic,MATCH(SUBSTITUTE($H801,"*","-"),MgAmenClave,0)),0)</f>
        <v/>
      </c>
    </row>
    <row r="802" hidden="1" ht="60" customHeight="1" s="54">
      <c r="B802" s="59" t="inlineStr">
        <is>
          <t>R-0797</t>
        </is>
      </c>
      <c r="C802" s="59" t="inlineStr">
        <is>
          <t>COM-17</t>
        </is>
      </c>
      <c r="D802" s="64">
        <f>IFERROR(INDEX(MgNombre,MATCH($C802,MgActId,0)),"")</f>
        <v/>
      </c>
      <c r="E802" s="64">
        <f>IFERROR(INDEX(MgProceso,MATCH($C802,MgActId,0)),"")</f>
        <v/>
      </c>
      <c r="F802" s="64">
        <f>IFERROR(INDEX(MgTipo,MATCH($C802,MgActId,0)),"")</f>
        <v/>
      </c>
      <c r="G802" s="64">
        <f>IFERROR(INDEX(MgSubtipo,MATCH($C802,MgActId,0)),"")</f>
        <v/>
      </c>
      <c r="H802" s="59" t="inlineStr">
        <is>
          <t>A.4</t>
        </is>
      </c>
      <c r="I802" s="64">
        <f>IFERROR(INDEX(MgAmenNombre,MATCH(SUBSTITUTE($H802,"*","-"),MgAmenClave,0)),"")</f>
        <v/>
      </c>
      <c r="J802" s="28">
        <f>IFERROR(INDEX(MgAmenGrupo,MATCH(SUBSTITUTE($H802,"*","-"),MgAmenClave,0)),"")</f>
        <v/>
      </c>
      <c r="K802" s="64">
        <f>IFERROR(INDEX('1. Matriz de Activos'!$Q$6:$Q$239,MATCH($C802,MgActId,0)),"")</f>
        <v/>
      </c>
      <c r="L802" s="64">
        <f>IFERROR(INDEX('1. Matriz de Activos'!$R$6:$R$239,MATCH($C802,MgActId,0)),"")</f>
        <v/>
      </c>
      <c r="M802" s="64">
        <f>IFERROR(INDEX('1. Matriz de Activos'!$S$6:$S$239,MATCH($C802,MgActId,0)),"")</f>
        <v/>
      </c>
      <c r="N802" s="28">
        <f>IFERROR(INDEX(MgAmenDegD,MATCH(SUBSTITUTE($H802,"*","-"),MgAmenClave,0)),"No aplica")</f>
        <v/>
      </c>
      <c r="O802" s="28">
        <f>IFERROR(INDEX(MgAmenDegI,MATCH(SUBSTITUTE($H802,"*","-"),MgAmenClave,0)),"No aplica")</f>
        <v/>
      </c>
      <c r="P802" s="28">
        <f>IFERROR(INDEX(MgAmenDegC,MATCH(SUBSTITUTE($H802,"*","-"),MgAmenClave,0)),"No aplica")</f>
        <v/>
      </c>
      <c r="Q802" s="29">
        <f>IFERROR(VLOOKUP(K802,MgValor,2,0)*VLOOKUP(N802,MgDeg,2,0),0)</f>
        <v/>
      </c>
      <c r="R802" s="29">
        <f>IFERROR(VLOOKUP(L802,MgValor,2,0)*VLOOKUP(O802,MgDeg,2,0),0)</f>
        <v/>
      </c>
      <c r="S802" s="29">
        <f>IFERROR(VLOOKUP(M802,MgValor,2,0)*VLOOKUP(P802,MgDeg,2,0),0)</f>
        <v/>
      </c>
      <c r="T802" s="30">
        <f>MAX(Q802:S802)</f>
        <v/>
      </c>
      <c r="U802" s="28">
        <f>IFERROR(LOOKUP(T802,{0;0.5;1.5;3;4.5},{"Despreciable";"Bajo";"Medio";"Alto";"Muy alto"}),"")</f>
        <v/>
      </c>
      <c r="V802" s="13">
        <f>IFERROR(INDEX(MgAmenFrec,MATCH(SUBSTITUTE($H802,"*","-"),MgAmenClave,0)),"")</f>
        <v/>
      </c>
      <c r="W802" s="28">
        <f>IFERROR(LOOKUP(X802,{0;0.01;0.1;1;10;100},{"Muy baja";"Muy baja";"Baja";"Media";"Alta";"Muy alta"}),"")</f>
        <v/>
      </c>
      <c r="X802" s="31">
        <f>IFERROR(VLOOKUP(V802,MgFrec,2,0),0)</f>
        <v/>
      </c>
      <c r="Y802" s="30">
        <f>T802*X802</f>
        <v/>
      </c>
      <c r="Z802" s="28">
        <f>IFERROR(LOOKUP(Y802,{0;0.5;5;25},{"Bajo";"Medio";"Alto";"Crítico"}),"")</f>
        <v/>
      </c>
      <c r="AA802" s="64">
        <f>IF(T802&gt;=3,IF(X802&gt;=1,"Zona 1 — Crítica: impacto alto y ocurre al menos una vez al año","Zona 4 — Catastrófica poco probable: impacto alto pero excepcional"),IF(AND(T802&lt;1.5,X802&lt;1),"Zona 3 — Asumible: impacto bajo y muy poco frecuente","Zona 2 — Atención: riesgo intermedio"))</f>
        <v/>
      </c>
      <c r="AB802" s="64">
        <f>IFERROR(INDEX(MgAmenCtrl,MATCH(SUBSTITUTE($H802,"*","-"),MgAmenClave,0)),"")</f>
        <v/>
      </c>
      <c r="AC802" s="20" t="n"/>
      <c r="AD802" s="31">
        <f>IFERROR($X802*(1-IF($AC802="",$AL802,VLOOKUP($AC802,MgMad,2,0))),"")</f>
        <v/>
      </c>
      <c r="AE802" s="28">
        <f>IFERROR(LOOKUP(AD802,{0;0.01;0.1;1;10;100},{"Muy baja";"Muy baja";"Baja";"Media";"Alta";"Muy alta"}),"")</f>
        <v/>
      </c>
      <c r="AF802" s="30">
        <f>T802*AD802</f>
        <v/>
      </c>
      <c r="AG802" s="28">
        <f>IFERROR(LOOKUP(AF802,{0;0.5;5;25},{"Bajo";"Medio";"Alto";"Crítico"}),"")</f>
        <v/>
      </c>
      <c r="AH802" s="28">
        <f>IF(AG802="","",IF(OR(AG802="Crítico",AG802="Alto"),"Mitigar",IF(AG802="Medio","Mitigar","Aceptar y monitorear")))</f>
        <v/>
      </c>
      <c r="AI802" s="21" t="n"/>
      <c r="AJ802" s="21" t="n"/>
      <c r="AK802" s="20" t="n"/>
      <c r="AL802" s="77">
        <f>IFERROR(INDEX(MgAmenEfic,MATCH(SUBSTITUTE($H802,"*","-"),MgAmenClave,0)),0)</f>
        <v/>
      </c>
    </row>
    <row r="803" hidden="1" ht="75" customHeight="1" s="54">
      <c r="B803" s="59" t="inlineStr">
        <is>
          <t>R-0798</t>
        </is>
      </c>
      <c r="C803" s="59" t="inlineStr">
        <is>
          <t>COM-17</t>
        </is>
      </c>
      <c r="D803" s="64">
        <f>IFERROR(INDEX(MgNombre,MATCH($C803,MgActId,0)),"")</f>
        <v/>
      </c>
      <c r="E803" s="64">
        <f>IFERROR(INDEX(MgProceso,MATCH($C803,MgActId,0)),"")</f>
        <v/>
      </c>
      <c r="F803" s="64">
        <f>IFERROR(INDEX(MgTipo,MATCH($C803,MgActId,0)),"")</f>
        <v/>
      </c>
      <c r="G803" s="64">
        <f>IFERROR(INDEX(MgSubtipo,MATCH($C803,MgActId,0)),"")</f>
        <v/>
      </c>
      <c r="H803" s="59" t="inlineStr">
        <is>
          <t>A.5</t>
        </is>
      </c>
      <c r="I803" s="64">
        <f>IFERROR(INDEX(MgAmenNombre,MATCH(SUBSTITUTE($H803,"*","-"),MgAmenClave,0)),"")</f>
        <v/>
      </c>
      <c r="J803" s="28">
        <f>IFERROR(INDEX(MgAmenGrupo,MATCH(SUBSTITUTE($H803,"*","-"),MgAmenClave,0)),"")</f>
        <v/>
      </c>
      <c r="K803" s="64">
        <f>IFERROR(INDEX('1. Matriz de Activos'!$Q$6:$Q$239,MATCH($C803,MgActId,0)),"")</f>
        <v/>
      </c>
      <c r="L803" s="64">
        <f>IFERROR(INDEX('1. Matriz de Activos'!$R$6:$R$239,MATCH($C803,MgActId,0)),"")</f>
        <v/>
      </c>
      <c r="M803" s="64">
        <f>IFERROR(INDEX('1. Matriz de Activos'!$S$6:$S$239,MATCH($C803,MgActId,0)),"")</f>
        <v/>
      </c>
      <c r="N803" s="28">
        <f>IFERROR(INDEX(MgAmenDegD,MATCH(SUBSTITUTE($H803,"*","-"),MgAmenClave,0)),"No aplica")</f>
        <v/>
      </c>
      <c r="O803" s="28">
        <f>IFERROR(INDEX(MgAmenDegI,MATCH(SUBSTITUTE($H803,"*","-"),MgAmenClave,0)),"No aplica")</f>
        <v/>
      </c>
      <c r="P803" s="28">
        <f>IFERROR(INDEX(MgAmenDegC,MATCH(SUBSTITUTE($H803,"*","-"),MgAmenClave,0)),"No aplica")</f>
        <v/>
      </c>
      <c r="Q803" s="29">
        <f>IFERROR(VLOOKUP(K803,MgValor,2,0)*VLOOKUP(N803,MgDeg,2,0),0)</f>
        <v/>
      </c>
      <c r="R803" s="29">
        <f>IFERROR(VLOOKUP(L803,MgValor,2,0)*VLOOKUP(O803,MgDeg,2,0),0)</f>
        <v/>
      </c>
      <c r="S803" s="29">
        <f>IFERROR(VLOOKUP(M803,MgValor,2,0)*VLOOKUP(P803,MgDeg,2,0),0)</f>
        <v/>
      </c>
      <c r="T803" s="30">
        <f>MAX(Q803:S803)</f>
        <v/>
      </c>
      <c r="U803" s="28">
        <f>IFERROR(LOOKUP(T803,{0;0.5;1.5;3;4.5},{"Despreciable";"Bajo";"Medio";"Alto";"Muy alto"}),"")</f>
        <v/>
      </c>
      <c r="V803" s="13">
        <f>IFERROR(INDEX(MgAmenFrec,MATCH(SUBSTITUTE($H803,"*","-"),MgAmenClave,0)),"")</f>
        <v/>
      </c>
      <c r="W803" s="28">
        <f>IFERROR(LOOKUP(X803,{0;0.01;0.1;1;10;100},{"Muy baja";"Muy baja";"Baja";"Media";"Alta";"Muy alta"}),"")</f>
        <v/>
      </c>
      <c r="X803" s="31">
        <f>IFERROR(VLOOKUP(V803,MgFrec,2,0),0)</f>
        <v/>
      </c>
      <c r="Y803" s="30">
        <f>T803*X803</f>
        <v/>
      </c>
      <c r="Z803" s="28">
        <f>IFERROR(LOOKUP(Y803,{0;0.5;5;25},{"Bajo";"Medio";"Alto";"Crítico"}),"")</f>
        <v/>
      </c>
      <c r="AA803" s="64">
        <f>IF(T803&gt;=3,IF(X803&gt;=1,"Zona 1 — Crítica: impacto alto y ocurre al menos una vez al año","Zona 4 — Catastrófica poco probable: impacto alto pero excepcional"),IF(AND(T803&lt;1.5,X803&lt;1),"Zona 3 — Asumible: impacto bajo y muy poco frecuente","Zona 2 — Atención: riesgo intermedio"))</f>
        <v/>
      </c>
      <c r="AB803" s="64">
        <f>IFERROR(INDEX(MgAmenCtrl,MATCH(SUBSTITUTE($H803,"*","-"),MgAmenClave,0)),"")</f>
        <v/>
      </c>
      <c r="AC803" s="20" t="n"/>
      <c r="AD803" s="31">
        <f>IFERROR($X803*(1-IF($AC803="",$AL803,VLOOKUP($AC803,MgMad,2,0))),"")</f>
        <v/>
      </c>
      <c r="AE803" s="28">
        <f>IFERROR(LOOKUP(AD803,{0;0.01;0.1;1;10;100},{"Muy baja";"Muy baja";"Baja";"Media";"Alta";"Muy alta"}),"")</f>
        <v/>
      </c>
      <c r="AF803" s="30">
        <f>T803*AD803</f>
        <v/>
      </c>
      <c r="AG803" s="28">
        <f>IFERROR(LOOKUP(AF803,{0;0.5;5;25},{"Bajo";"Medio";"Alto";"Crítico"}),"")</f>
        <v/>
      </c>
      <c r="AH803" s="28">
        <f>IF(AG803="","",IF(OR(AG803="Crítico",AG803="Alto"),"Mitigar",IF(AG803="Medio","Mitigar","Aceptar y monitorear")))</f>
        <v/>
      </c>
      <c r="AI803" s="21" t="n"/>
      <c r="AJ803" s="21" t="n"/>
      <c r="AK803" s="20" t="n"/>
      <c r="AL803" s="77">
        <f>IFERROR(INDEX(MgAmenEfic,MATCH(SUBSTITUTE($H803,"*","-"),MgAmenClave,0)),0)</f>
        <v/>
      </c>
    </row>
    <row r="804" hidden="1" ht="105" customHeight="1" s="54">
      <c r="B804" s="59" t="inlineStr">
        <is>
          <t>R-0799</t>
        </is>
      </c>
      <c r="C804" s="59" t="inlineStr">
        <is>
          <t>COM-17</t>
        </is>
      </c>
      <c r="D804" s="64">
        <f>IFERROR(INDEX(MgNombre,MATCH($C804,MgActId,0)),"")</f>
        <v/>
      </c>
      <c r="E804" s="64">
        <f>IFERROR(INDEX(MgProceso,MATCH($C804,MgActId,0)),"")</f>
        <v/>
      </c>
      <c r="F804" s="64">
        <f>IFERROR(INDEX(MgTipo,MATCH($C804,MgActId,0)),"")</f>
        <v/>
      </c>
      <c r="G804" s="64">
        <f>IFERROR(INDEX(MgSubtipo,MATCH($C804,MgActId,0)),"")</f>
        <v/>
      </c>
      <c r="H804" s="59" t="inlineStr">
        <is>
          <t>A.6</t>
        </is>
      </c>
      <c r="I804" s="64">
        <f>IFERROR(INDEX(MgAmenNombre,MATCH(SUBSTITUTE($H804,"*","-"),MgAmenClave,0)),"")</f>
        <v/>
      </c>
      <c r="J804" s="28">
        <f>IFERROR(INDEX(MgAmenGrupo,MATCH(SUBSTITUTE($H804,"*","-"),MgAmenClave,0)),"")</f>
        <v/>
      </c>
      <c r="K804" s="64">
        <f>IFERROR(INDEX('1. Matriz de Activos'!$Q$6:$Q$239,MATCH($C804,MgActId,0)),"")</f>
        <v/>
      </c>
      <c r="L804" s="64">
        <f>IFERROR(INDEX('1. Matriz de Activos'!$R$6:$R$239,MATCH($C804,MgActId,0)),"")</f>
        <v/>
      </c>
      <c r="M804" s="64">
        <f>IFERROR(INDEX('1. Matriz de Activos'!$S$6:$S$239,MATCH($C804,MgActId,0)),"")</f>
        <v/>
      </c>
      <c r="N804" s="28">
        <f>IFERROR(INDEX(MgAmenDegD,MATCH(SUBSTITUTE($H804,"*","-"),MgAmenClave,0)),"No aplica")</f>
        <v/>
      </c>
      <c r="O804" s="28">
        <f>IFERROR(INDEX(MgAmenDegI,MATCH(SUBSTITUTE($H804,"*","-"),MgAmenClave,0)),"No aplica")</f>
        <v/>
      </c>
      <c r="P804" s="28">
        <f>IFERROR(INDEX(MgAmenDegC,MATCH(SUBSTITUTE($H804,"*","-"),MgAmenClave,0)),"No aplica")</f>
        <v/>
      </c>
      <c r="Q804" s="29">
        <f>IFERROR(VLOOKUP(K804,MgValor,2,0)*VLOOKUP(N804,MgDeg,2,0),0)</f>
        <v/>
      </c>
      <c r="R804" s="29">
        <f>IFERROR(VLOOKUP(L804,MgValor,2,0)*VLOOKUP(O804,MgDeg,2,0),0)</f>
        <v/>
      </c>
      <c r="S804" s="29">
        <f>IFERROR(VLOOKUP(M804,MgValor,2,0)*VLOOKUP(P804,MgDeg,2,0),0)</f>
        <v/>
      </c>
      <c r="T804" s="30">
        <f>MAX(Q804:S804)</f>
        <v/>
      </c>
      <c r="U804" s="28">
        <f>IFERROR(LOOKUP(T804,{0;0.5;1.5;3;4.5},{"Despreciable";"Bajo";"Medio";"Alto";"Muy alto"}),"")</f>
        <v/>
      </c>
      <c r="V804" s="13">
        <f>IFERROR(INDEX(MgAmenFrec,MATCH(SUBSTITUTE($H804,"*","-"),MgAmenClave,0)),"")</f>
        <v/>
      </c>
      <c r="W804" s="28">
        <f>IFERROR(LOOKUP(X804,{0;0.01;0.1;1;10;100},{"Muy baja";"Muy baja";"Baja";"Media";"Alta";"Muy alta"}),"")</f>
        <v/>
      </c>
      <c r="X804" s="31">
        <f>IFERROR(VLOOKUP(V804,MgFrec,2,0),0)</f>
        <v/>
      </c>
      <c r="Y804" s="30">
        <f>T804*X804</f>
        <v/>
      </c>
      <c r="Z804" s="28">
        <f>IFERROR(LOOKUP(Y804,{0;0.5;5;25},{"Bajo";"Medio";"Alto";"Crítico"}),"")</f>
        <v/>
      </c>
      <c r="AA804" s="64">
        <f>IF(T804&gt;=3,IF(X804&gt;=1,"Zona 1 — Crítica: impacto alto y ocurre al menos una vez al año","Zona 4 — Catastrófica poco probable: impacto alto pero excepcional"),IF(AND(T804&lt;1.5,X804&lt;1),"Zona 3 — Asumible: impacto bajo y muy poco frecuente","Zona 2 — Atención: riesgo intermedio"))</f>
        <v/>
      </c>
      <c r="AB804" s="64">
        <f>IFERROR(INDEX(MgAmenCtrl,MATCH(SUBSTITUTE($H804,"*","-"),MgAmenClave,0)),"")</f>
        <v/>
      </c>
      <c r="AC804" s="20" t="n"/>
      <c r="AD804" s="31">
        <f>IFERROR($X804*(1-IF($AC804="",$AL804,VLOOKUP($AC804,MgMad,2,0))),"")</f>
        <v/>
      </c>
      <c r="AE804" s="28">
        <f>IFERROR(LOOKUP(AD804,{0;0.01;0.1;1;10;100},{"Muy baja";"Muy baja";"Baja";"Media";"Alta";"Muy alta"}),"")</f>
        <v/>
      </c>
      <c r="AF804" s="30">
        <f>T804*AD804</f>
        <v/>
      </c>
      <c r="AG804" s="28">
        <f>IFERROR(LOOKUP(AF804,{0;0.5;5;25},{"Bajo";"Medio";"Alto";"Crítico"}),"")</f>
        <v/>
      </c>
      <c r="AH804" s="28">
        <f>IF(AG804="","",IF(OR(AG804="Crítico",AG804="Alto"),"Mitigar",IF(AG804="Medio","Mitigar","Aceptar y monitorear")))</f>
        <v/>
      </c>
      <c r="AI804" s="21" t="n"/>
      <c r="AJ804" s="21" t="n"/>
      <c r="AK804" s="20" t="n"/>
      <c r="AL804" s="77">
        <f>IFERROR(INDEX(MgAmenEfic,MATCH(SUBSTITUTE($H804,"*","-"),MgAmenClave,0)),0)</f>
        <v/>
      </c>
    </row>
    <row r="805" hidden="1" ht="120" customHeight="1" s="54">
      <c r="B805" s="59" t="inlineStr">
        <is>
          <t>R-0800</t>
        </is>
      </c>
      <c r="C805" s="59" t="inlineStr">
        <is>
          <t>COM-17</t>
        </is>
      </c>
      <c r="D805" s="64">
        <f>IFERROR(INDEX(MgNombre,MATCH($C805,MgActId,0)),"")</f>
        <v/>
      </c>
      <c r="E805" s="64">
        <f>IFERROR(INDEX(MgProceso,MATCH($C805,MgActId,0)),"")</f>
        <v/>
      </c>
      <c r="F805" s="64">
        <f>IFERROR(INDEX(MgTipo,MATCH($C805,MgActId,0)),"")</f>
        <v/>
      </c>
      <c r="G805" s="64">
        <f>IFERROR(INDEX(MgSubtipo,MATCH($C805,MgActId,0)),"")</f>
        <v/>
      </c>
      <c r="H805" s="59" t="inlineStr">
        <is>
          <t>A.11</t>
        </is>
      </c>
      <c r="I805" s="64">
        <f>IFERROR(INDEX(MgAmenNombre,MATCH(SUBSTITUTE($H805,"*","-"),MgAmenClave,0)),"")</f>
        <v/>
      </c>
      <c r="J805" s="28">
        <f>IFERROR(INDEX(MgAmenGrupo,MATCH(SUBSTITUTE($H805,"*","-"),MgAmenClave,0)),"")</f>
        <v/>
      </c>
      <c r="K805" s="64">
        <f>IFERROR(INDEX('1. Matriz de Activos'!$Q$6:$Q$239,MATCH($C805,MgActId,0)),"")</f>
        <v/>
      </c>
      <c r="L805" s="64">
        <f>IFERROR(INDEX('1. Matriz de Activos'!$R$6:$R$239,MATCH($C805,MgActId,0)),"")</f>
        <v/>
      </c>
      <c r="M805" s="64">
        <f>IFERROR(INDEX('1. Matriz de Activos'!$S$6:$S$239,MATCH($C805,MgActId,0)),"")</f>
        <v/>
      </c>
      <c r="N805" s="28">
        <f>IFERROR(INDEX(MgAmenDegD,MATCH(SUBSTITUTE($H805,"*","-"),MgAmenClave,0)),"No aplica")</f>
        <v/>
      </c>
      <c r="O805" s="28">
        <f>IFERROR(INDEX(MgAmenDegI,MATCH(SUBSTITUTE($H805,"*","-"),MgAmenClave,0)),"No aplica")</f>
        <v/>
      </c>
      <c r="P805" s="28">
        <f>IFERROR(INDEX(MgAmenDegC,MATCH(SUBSTITUTE($H805,"*","-"),MgAmenClave,0)),"No aplica")</f>
        <v/>
      </c>
      <c r="Q805" s="29">
        <f>IFERROR(VLOOKUP(K805,MgValor,2,0)*VLOOKUP(N805,MgDeg,2,0),0)</f>
        <v/>
      </c>
      <c r="R805" s="29">
        <f>IFERROR(VLOOKUP(L805,MgValor,2,0)*VLOOKUP(O805,MgDeg,2,0),0)</f>
        <v/>
      </c>
      <c r="S805" s="29">
        <f>IFERROR(VLOOKUP(M805,MgValor,2,0)*VLOOKUP(P805,MgDeg,2,0),0)</f>
        <v/>
      </c>
      <c r="T805" s="30">
        <f>MAX(Q805:S805)</f>
        <v/>
      </c>
      <c r="U805" s="28">
        <f>IFERROR(LOOKUP(T805,{0;0.5;1.5;3;4.5},{"Despreciable";"Bajo";"Medio";"Alto";"Muy alto"}),"")</f>
        <v/>
      </c>
      <c r="V805" s="13">
        <f>IFERROR(INDEX(MgAmenFrec,MATCH(SUBSTITUTE($H805,"*","-"),MgAmenClave,0)),"")</f>
        <v/>
      </c>
      <c r="W805" s="28">
        <f>IFERROR(LOOKUP(X805,{0;0.01;0.1;1;10;100},{"Muy baja";"Muy baja";"Baja";"Media";"Alta";"Muy alta"}),"")</f>
        <v/>
      </c>
      <c r="X805" s="31">
        <f>IFERROR(VLOOKUP(V805,MgFrec,2,0),0)</f>
        <v/>
      </c>
      <c r="Y805" s="30">
        <f>T805*X805</f>
        <v/>
      </c>
      <c r="Z805" s="28">
        <f>IFERROR(LOOKUP(Y805,{0;0.5;5;25},{"Bajo";"Medio";"Alto";"Crítico"}),"")</f>
        <v/>
      </c>
      <c r="AA805" s="64">
        <f>IF(T805&gt;=3,IF(X805&gt;=1,"Zona 1 — Crítica: impacto alto y ocurre al menos una vez al año","Zona 4 — Catastrófica poco probable: impacto alto pero excepcional"),IF(AND(T805&lt;1.5,X805&lt;1),"Zona 3 — Asumible: impacto bajo y muy poco frecuente","Zona 2 — Atención: riesgo intermedio"))</f>
        <v/>
      </c>
      <c r="AB805" s="64">
        <f>IFERROR(INDEX(MgAmenCtrl,MATCH(SUBSTITUTE($H805,"*","-"),MgAmenClave,0)),"")</f>
        <v/>
      </c>
      <c r="AC805" s="20" t="n"/>
      <c r="AD805" s="31">
        <f>IFERROR($X805*(1-IF($AC805="",$AL805,VLOOKUP($AC805,MgMad,2,0))),"")</f>
        <v/>
      </c>
      <c r="AE805" s="28">
        <f>IFERROR(LOOKUP(AD805,{0;0.01;0.1;1;10;100},{"Muy baja";"Muy baja";"Baja";"Media";"Alta";"Muy alta"}),"")</f>
        <v/>
      </c>
      <c r="AF805" s="30">
        <f>T805*AD805</f>
        <v/>
      </c>
      <c r="AG805" s="28">
        <f>IFERROR(LOOKUP(AF805,{0;0.5;5;25},{"Bajo";"Medio";"Alto";"Crítico"}),"")</f>
        <v/>
      </c>
      <c r="AH805" s="28">
        <f>IF(AG805="","",IF(OR(AG805="Crítico",AG805="Alto"),"Mitigar",IF(AG805="Medio","Mitigar","Aceptar y monitorear")))</f>
        <v/>
      </c>
      <c r="AI805" s="21" t="n"/>
      <c r="AJ805" s="21" t="n"/>
      <c r="AK805" s="20" t="n"/>
      <c r="AL805" s="77">
        <f>IFERROR(INDEX(MgAmenEfic,MATCH(SUBSTITUTE($H805,"*","-"),MgAmenClave,0)),0)</f>
        <v/>
      </c>
    </row>
    <row r="806" hidden="1" ht="90" customHeight="1" s="54">
      <c r="B806" s="59" t="inlineStr">
        <is>
          <t>R-0801</t>
        </is>
      </c>
      <c r="C806" s="59" t="inlineStr">
        <is>
          <t>COM-17</t>
        </is>
      </c>
      <c r="D806" s="64">
        <f>IFERROR(INDEX(MgNombre,MATCH($C806,MgActId,0)),"")</f>
        <v/>
      </c>
      <c r="E806" s="64">
        <f>IFERROR(INDEX(MgProceso,MATCH($C806,MgActId,0)),"")</f>
        <v/>
      </c>
      <c r="F806" s="64">
        <f>IFERROR(INDEX(MgTipo,MATCH($C806,MgActId,0)),"")</f>
        <v/>
      </c>
      <c r="G806" s="64">
        <f>IFERROR(INDEX(MgSubtipo,MATCH($C806,MgActId,0)),"")</f>
        <v/>
      </c>
      <c r="H806" s="59" t="inlineStr">
        <is>
          <t>A.13</t>
        </is>
      </c>
      <c r="I806" s="64">
        <f>IFERROR(INDEX(MgAmenNombre,MATCH(SUBSTITUTE($H806,"*","-"),MgAmenClave,0)),"")</f>
        <v/>
      </c>
      <c r="J806" s="28">
        <f>IFERROR(INDEX(MgAmenGrupo,MATCH(SUBSTITUTE($H806,"*","-"),MgAmenClave,0)),"")</f>
        <v/>
      </c>
      <c r="K806" s="64">
        <f>IFERROR(INDEX('1. Matriz de Activos'!$Q$6:$Q$239,MATCH($C806,MgActId,0)),"")</f>
        <v/>
      </c>
      <c r="L806" s="64">
        <f>IFERROR(INDEX('1. Matriz de Activos'!$R$6:$R$239,MATCH($C806,MgActId,0)),"")</f>
        <v/>
      </c>
      <c r="M806" s="64">
        <f>IFERROR(INDEX('1. Matriz de Activos'!$S$6:$S$239,MATCH($C806,MgActId,0)),"")</f>
        <v/>
      </c>
      <c r="N806" s="28">
        <f>IFERROR(INDEX(MgAmenDegD,MATCH(SUBSTITUTE($H806,"*","-"),MgAmenClave,0)),"No aplica")</f>
        <v/>
      </c>
      <c r="O806" s="28">
        <f>IFERROR(INDEX(MgAmenDegI,MATCH(SUBSTITUTE($H806,"*","-"),MgAmenClave,0)),"No aplica")</f>
        <v/>
      </c>
      <c r="P806" s="28">
        <f>IFERROR(INDEX(MgAmenDegC,MATCH(SUBSTITUTE($H806,"*","-"),MgAmenClave,0)),"No aplica")</f>
        <v/>
      </c>
      <c r="Q806" s="29">
        <f>IFERROR(VLOOKUP(K806,MgValor,2,0)*VLOOKUP(N806,MgDeg,2,0),0)</f>
        <v/>
      </c>
      <c r="R806" s="29">
        <f>IFERROR(VLOOKUP(L806,MgValor,2,0)*VLOOKUP(O806,MgDeg,2,0),0)</f>
        <v/>
      </c>
      <c r="S806" s="29">
        <f>IFERROR(VLOOKUP(M806,MgValor,2,0)*VLOOKUP(P806,MgDeg,2,0),0)</f>
        <v/>
      </c>
      <c r="T806" s="30">
        <f>MAX(Q806:S806)</f>
        <v/>
      </c>
      <c r="U806" s="28">
        <f>IFERROR(LOOKUP(T806,{0;0.5;1.5;3;4.5},{"Despreciable";"Bajo";"Medio";"Alto";"Muy alto"}),"")</f>
        <v/>
      </c>
      <c r="V806" s="13">
        <f>IFERROR(INDEX(MgAmenFrec,MATCH(SUBSTITUTE($H806,"*","-"),MgAmenClave,0)),"")</f>
        <v/>
      </c>
      <c r="W806" s="28">
        <f>IFERROR(LOOKUP(X806,{0;0.01;0.1;1;10;100},{"Muy baja";"Muy baja";"Baja";"Media";"Alta";"Muy alta"}),"")</f>
        <v/>
      </c>
      <c r="X806" s="31">
        <f>IFERROR(VLOOKUP(V806,MgFrec,2,0),0)</f>
        <v/>
      </c>
      <c r="Y806" s="30">
        <f>T806*X806</f>
        <v/>
      </c>
      <c r="Z806" s="28">
        <f>IFERROR(LOOKUP(Y806,{0;0.5;5;25},{"Bajo";"Medio";"Alto";"Crítico"}),"")</f>
        <v/>
      </c>
      <c r="AA806" s="64">
        <f>IF(T806&gt;=3,IF(X806&gt;=1,"Zona 1 — Crítica: impacto alto y ocurre al menos una vez al año","Zona 4 — Catastrófica poco probable: impacto alto pero excepcional"),IF(AND(T806&lt;1.5,X806&lt;1),"Zona 3 — Asumible: impacto bajo y muy poco frecuente","Zona 2 — Atención: riesgo intermedio"))</f>
        <v/>
      </c>
      <c r="AB806" s="64">
        <f>IFERROR(INDEX(MgAmenCtrl,MATCH(SUBSTITUTE($H806,"*","-"),MgAmenClave,0)),"")</f>
        <v/>
      </c>
      <c r="AC806" s="20" t="n"/>
      <c r="AD806" s="31">
        <f>IFERROR($X806*(1-IF($AC806="",$AL806,VLOOKUP($AC806,MgMad,2,0))),"")</f>
        <v/>
      </c>
      <c r="AE806" s="28">
        <f>IFERROR(LOOKUP(AD806,{0;0.01;0.1;1;10;100},{"Muy baja";"Muy baja";"Baja";"Media";"Alta";"Muy alta"}),"")</f>
        <v/>
      </c>
      <c r="AF806" s="30">
        <f>T806*AD806</f>
        <v/>
      </c>
      <c r="AG806" s="28">
        <f>IFERROR(LOOKUP(AF806,{0;0.5;5;25},{"Bajo";"Medio";"Alto";"Crítico"}),"")</f>
        <v/>
      </c>
      <c r="AH806" s="28">
        <f>IF(AG806="","",IF(OR(AG806="Crítico",AG806="Alto"),"Mitigar",IF(AG806="Medio","Mitigar","Aceptar y monitorear")))</f>
        <v/>
      </c>
      <c r="AI806" s="21" t="n"/>
      <c r="AJ806" s="21" t="n"/>
      <c r="AK806" s="20" t="n"/>
      <c r="AL806" s="77">
        <f>IFERROR(INDEX(MgAmenEfic,MATCH(SUBSTITUTE($H806,"*","-"),MgAmenClave,0)),0)</f>
        <v/>
      </c>
    </row>
    <row r="807" hidden="1" ht="60" customHeight="1" s="54">
      <c r="B807" s="59" t="inlineStr">
        <is>
          <t>R-0802</t>
        </is>
      </c>
      <c r="C807" s="59" t="inlineStr">
        <is>
          <t>COM-17</t>
        </is>
      </c>
      <c r="D807" s="64">
        <f>IFERROR(INDEX(MgNombre,MATCH($C807,MgActId,0)),"")</f>
        <v/>
      </c>
      <c r="E807" s="64">
        <f>IFERROR(INDEX(MgProceso,MATCH($C807,MgActId,0)),"")</f>
        <v/>
      </c>
      <c r="F807" s="64">
        <f>IFERROR(INDEX(MgTipo,MATCH($C807,MgActId,0)),"")</f>
        <v/>
      </c>
      <c r="G807" s="64">
        <f>IFERROR(INDEX(MgSubtipo,MATCH($C807,MgActId,0)),"")</f>
        <v/>
      </c>
      <c r="H807" s="59" t="inlineStr">
        <is>
          <t>A.15</t>
        </is>
      </c>
      <c r="I807" s="64">
        <f>IFERROR(INDEX(MgAmenNombre,MATCH(SUBSTITUTE($H807,"*","-"),MgAmenClave,0)),"")</f>
        <v/>
      </c>
      <c r="J807" s="28">
        <f>IFERROR(INDEX(MgAmenGrupo,MATCH(SUBSTITUTE($H807,"*","-"),MgAmenClave,0)),"")</f>
        <v/>
      </c>
      <c r="K807" s="64">
        <f>IFERROR(INDEX('1. Matriz de Activos'!$Q$6:$Q$239,MATCH($C807,MgActId,0)),"")</f>
        <v/>
      </c>
      <c r="L807" s="64">
        <f>IFERROR(INDEX('1. Matriz de Activos'!$R$6:$R$239,MATCH($C807,MgActId,0)),"")</f>
        <v/>
      </c>
      <c r="M807" s="64">
        <f>IFERROR(INDEX('1. Matriz de Activos'!$S$6:$S$239,MATCH($C807,MgActId,0)),"")</f>
        <v/>
      </c>
      <c r="N807" s="28">
        <f>IFERROR(INDEX(MgAmenDegD,MATCH(SUBSTITUTE($H807,"*","-"),MgAmenClave,0)),"No aplica")</f>
        <v/>
      </c>
      <c r="O807" s="28">
        <f>IFERROR(INDEX(MgAmenDegI,MATCH(SUBSTITUTE($H807,"*","-"),MgAmenClave,0)),"No aplica")</f>
        <v/>
      </c>
      <c r="P807" s="28">
        <f>IFERROR(INDEX(MgAmenDegC,MATCH(SUBSTITUTE($H807,"*","-"),MgAmenClave,0)),"No aplica")</f>
        <v/>
      </c>
      <c r="Q807" s="29">
        <f>IFERROR(VLOOKUP(K807,MgValor,2,0)*VLOOKUP(N807,MgDeg,2,0),0)</f>
        <v/>
      </c>
      <c r="R807" s="29">
        <f>IFERROR(VLOOKUP(L807,MgValor,2,0)*VLOOKUP(O807,MgDeg,2,0),0)</f>
        <v/>
      </c>
      <c r="S807" s="29">
        <f>IFERROR(VLOOKUP(M807,MgValor,2,0)*VLOOKUP(P807,MgDeg,2,0),0)</f>
        <v/>
      </c>
      <c r="T807" s="30">
        <f>MAX(Q807:S807)</f>
        <v/>
      </c>
      <c r="U807" s="28">
        <f>IFERROR(LOOKUP(T807,{0;0.5;1.5;3;4.5},{"Despreciable";"Bajo";"Medio";"Alto";"Muy alto"}),"")</f>
        <v/>
      </c>
      <c r="V807" s="13">
        <f>IFERROR(INDEX(MgAmenFrec,MATCH(SUBSTITUTE($H807,"*","-"),MgAmenClave,0)),"")</f>
        <v/>
      </c>
      <c r="W807" s="28">
        <f>IFERROR(LOOKUP(X807,{0;0.01;0.1;1;10;100},{"Muy baja";"Muy baja";"Baja";"Media";"Alta";"Muy alta"}),"")</f>
        <v/>
      </c>
      <c r="X807" s="31">
        <f>IFERROR(VLOOKUP(V807,MgFrec,2,0),0)</f>
        <v/>
      </c>
      <c r="Y807" s="30">
        <f>T807*X807</f>
        <v/>
      </c>
      <c r="Z807" s="28">
        <f>IFERROR(LOOKUP(Y807,{0;0.5;5;25},{"Bajo";"Medio";"Alto";"Crítico"}),"")</f>
        <v/>
      </c>
      <c r="AA807" s="64">
        <f>IF(T807&gt;=3,IF(X807&gt;=1,"Zona 1 — Crítica: impacto alto y ocurre al menos una vez al año","Zona 4 — Catastrófica poco probable: impacto alto pero excepcional"),IF(AND(T807&lt;1.5,X807&lt;1),"Zona 3 — Asumible: impacto bajo y muy poco frecuente","Zona 2 — Atención: riesgo intermedio"))</f>
        <v/>
      </c>
      <c r="AB807" s="64">
        <f>IFERROR(INDEX(MgAmenCtrl,MATCH(SUBSTITUTE($H807,"*","-"),MgAmenClave,0)),"")</f>
        <v/>
      </c>
      <c r="AC807" s="20" t="n"/>
      <c r="AD807" s="31">
        <f>IFERROR($X807*(1-IF($AC807="",$AL807,VLOOKUP($AC807,MgMad,2,0))),"")</f>
        <v/>
      </c>
      <c r="AE807" s="28">
        <f>IFERROR(LOOKUP(AD807,{0;0.01;0.1;1;10;100},{"Muy baja";"Muy baja";"Baja";"Media";"Alta";"Muy alta"}),"")</f>
        <v/>
      </c>
      <c r="AF807" s="30">
        <f>T807*AD807</f>
        <v/>
      </c>
      <c r="AG807" s="28">
        <f>IFERROR(LOOKUP(AF807,{0;0.5;5;25},{"Bajo";"Medio";"Alto";"Crítico"}),"")</f>
        <v/>
      </c>
      <c r="AH807" s="28">
        <f>IF(AG807="","",IF(OR(AG807="Crítico",AG807="Alto"),"Mitigar",IF(AG807="Medio","Mitigar","Aceptar y monitorear")))</f>
        <v/>
      </c>
      <c r="AI807" s="21" t="n"/>
      <c r="AJ807" s="21" t="n"/>
      <c r="AK807" s="20" t="n"/>
      <c r="AL807" s="77">
        <f>IFERROR(INDEX(MgAmenEfic,MATCH(SUBSTITUTE($H807,"*","-"),MgAmenClave,0)),0)</f>
        <v/>
      </c>
    </row>
    <row r="808" hidden="1" ht="60" customHeight="1" s="54">
      <c r="B808" s="59" t="inlineStr">
        <is>
          <t>R-0803</t>
        </is>
      </c>
      <c r="C808" s="59" t="inlineStr">
        <is>
          <t>COM-17</t>
        </is>
      </c>
      <c r="D808" s="64">
        <f>IFERROR(INDEX(MgNombre,MATCH($C808,MgActId,0)),"")</f>
        <v/>
      </c>
      <c r="E808" s="64">
        <f>IFERROR(INDEX(MgProceso,MATCH($C808,MgActId,0)),"")</f>
        <v/>
      </c>
      <c r="F808" s="64">
        <f>IFERROR(INDEX(MgTipo,MATCH($C808,MgActId,0)),"")</f>
        <v/>
      </c>
      <c r="G808" s="64">
        <f>IFERROR(INDEX(MgSubtipo,MATCH($C808,MgActId,0)),"")</f>
        <v/>
      </c>
      <c r="H808" s="59" t="inlineStr">
        <is>
          <t>A.18</t>
        </is>
      </c>
      <c r="I808" s="64">
        <f>IFERROR(INDEX(MgAmenNombre,MATCH(SUBSTITUTE($H808,"*","-"),MgAmenClave,0)),"")</f>
        <v/>
      </c>
      <c r="J808" s="28">
        <f>IFERROR(INDEX(MgAmenGrupo,MATCH(SUBSTITUTE($H808,"*","-"),MgAmenClave,0)),"")</f>
        <v/>
      </c>
      <c r="K808" s="64">
        <f>IFERROR(INDEX('1. Matriz de Activos'!$Q$6:$Q$239,MATCH($C808,MgActId,0)),"")</f>
        <v/>
      </c>
      <c r="L808" s="64">
        <f>IFERROR(INDEX('1. Matriz de Activos'!$R$6:$R$239,MATCH($C808,MgActId,0)),"")</f>
        <v/>
      </c>
      <c r="M808" s="64">
        <f>IFERROR(INDEX('1. Matriz de Activos'!$S$6:$S$239,MATCH($C808,MgActId,0)),"")</f>
        <v/>
      </c>
      <c r="N808" s="28">
        <f>IFERROR(INDEX(MgAmenDegD,MATCH(SUBSTITUTE($H808,"*","-"),MgAmenClave,0)),"No aplica")</f>
        <v/>
      </c>
      <c r="O808" s="28">
        <f>IFERROR(INDEX(MgAmenDegI,MATCH(SUBSTITUTE($H808,"*","-"),MgAmenClave,0)),"No aplica")</f>
        <v/>
      </c>
      <c r="P808" s="28">
        <f>IFERROR(INDEX(MgAmenDegC,MATCH(SUBSTITUTE($H808,"*","-"),MgAmenClave,0)),"No aplica")</f>
        <v/>
      </c>
      <c r="Q808" s="29">
        <f>IFERROR(VLOOKUP(K808,MgValor,2,0)*VLOOKUP(N808,MgDeg,2,0),0)</f>
        <v/>
      </c>
      <c r="R808" s="29">
        <f>IFERROR(VLOOKUP(L808,MgValor,2,0)*VLOOKUP(O808,MgDeg,2,0),0)</f>
        <v/>
      </c>
      <c r="S808" s="29">
        <f>IFERROR(VLOOKUP(M808,MgValor,2,0)*VLOOKUP(P808,MgDeg,2,0),0)</f>
        <v/>
      </c>
      <c r="T808" s="30">
        <f>MAX(Q808:S808)</f>
        <v/>
      </c>
      <c r="U808" s="28">
        <f>IFERROR(LOOKUP(T808,{0;0.5;1.5;3;4.5},{"Despreciable";"Bajo";"Medio";"Alto";"Muy alto"}),"")</f>
        <v/>
      </c>
      <c r="V808" s="13">
        <f>IFERROR(INDEX(MgAmenFrec,MATCH(SUBSTITUTE($H808,"*","-"),MgAmenClave,0)),"")</f>
        <v/>
      </c>
      <c r="W808" s="28">
        <f>IFERROR(LOOKUP(X808,{0;0.01;0.1;1;10;100},{"Muy baja";"Muy baja";"Baja";"Media";"Alta";"Muy alta"}),"")</f>
        <v/>
      </c>
      <c r="X808" s="31">
        <f>IFERROR(VLOOKUP(V808,MgFrec,2,0),0)</f>
        <v/>
      </c>
      <c r="Y808" s="30">
        <f>T808*X808</f>
        <v/>
      </c>
      <c r="Z808" s="28">
        <f>IFERROR(LOOKUP(Y808,{0;0.5;5;25},{"Bajo";"Medio";"Alto";"Crítico"}),"")</f>
        <v/>
      </c>
      <c r="AA808" s="64">
        <f>IF(T808&gt;=3,IF(X808&gt;=1,"Zona 1 — Crítica: impacto alto y ocurre al menos una vez al año","Zona 4 — Catastrófica poco probable: impacto alto pero excepcional"),IF(AND(T808&lt;1.5,X808&lt;1),"Zona 3 — Asumible: impacto bajo y muy poco frecuente","Zona 2 — Atención: riesgo intermedio"))</f>
        <v/>
      </c>
      <c r="AB808" s="64">
        <f>IFERROR(INDEX(MgAmenCtrl,MATCH(SUBSTITUTE($H808,"*","-"),MgAmenClave,0)),"")</f>
        <v/>
      </c>
      <c r="AC808" s="20" t="n"/>
      <c r="AD808" s="31">
        <f>IFERROR($X808*(1-IF($AC808="",$AL808,VLOOKUP($AC808,MgMad,2,0))),"")</f>
        <v/>
      </c>
      <c r="AE808" s="28">
        <f>IFERROR(LOOKUP(AD808,{0;0.01;0.1;1;10;100},{"Muy baja";"Muy baja";"Baja";"Media";"Alta";"Muy alta"}),"")</f>
        <v/>
      </c>
      <c r="AF808" s="30">
        <f>T808*AD808</f>
        <v/>
      </c>
      <c r="AG808" s="28">
        <f>IFERROR(LOOKUP(AF808,{0;0.5;5;25},{"Bajo";"Medio";"Alto";"Crítico"}),"")</f>
        <v/>
      </c>
      <c r="AH808" s="28">
        <f>IF(AG808="","",IF(OR(AG808="Crítico",AG808="Alto"),"Mitigar",IF(AG808="Medio","Mitigar","Aceptar y monitorear")))</f>
        <v/>
      </c>
      <c r="AI808" s="21" t="n"/>
      <c r="AJ808" s="21" t="n"/>
      <c r="AK808" s="20" t="n"/>
      <c r="AL808" s="77">
        <f>IFERROR(INDEX(MgAmenEfic,MATCH(SUBSTITUTE($H808,"*","-"),MgAmenClave,0)),0)</f>
        <v/>
      </c>
    </row>
    <row r="809" hidden="1" ht="120" customHeight="1" s="54">
      <c r="B809" s="59" t="inlineStr">
        <is>
          <t>R-0804</t>
        </is>
      </c>
      <c r="C809" s="59" t="inlineStr">
        <is>
          <t>COM-17</t>
        </is>
      </c>
      <c r="D809" s="64">
        <f>IFERROR(INDEX(MgNombre,MATCH($C809,MgActId,0)),"")</f>
        <v/>
      </c>
      <c r="E809" s="64">
        <f>IFERROR(INDEX(MgProceso,MATCH($C809,MgActId,0)),"")</f>
        <v/>
      </c>
      <c r="F809" s="64">
        <f>IFERROR(INDEX(MgTipo,MATCH($C809,MgActId,0)),"")</f>
        <v/>
      </c>
      <c r="G809" s="64">
        <f>IFERROR(INDEX(MgSubtipo,MATCH($C809,MgActId,0)),"")</f>
        <v/>
      </c>
      <c r="H809" s="59" t="inlineStr">
        <is>
          <t>A.19</t>
        </is>
      </c>
      <c r="I809" s="64">
        <f>IFERROR(INDEX(MgAmenNombre,MATCH(SUBSTITUTE($H809,"*","-"),MgAmenClave,0)),"")</f>
        <v/>
      </c>
      <c r="J809" s="28">
        <f>IFERROR(INDEX(MgAmenGrupo,MATCH(SUBSTITUTE($H809,"*","-"),MgAmenClave,0)),"")</f>
        <v/>
      </c>
      <c r="K809" s="64">
        <f>IFERROR(INDEX('1. Matriz de Activos'!$Q$6:$Q$239,MATCH($C809,MgActId,0)),"")</f>
        <v/>
      </c>
      <c r="L809" s="64">
        <f>IFERROR(INDEX('1. Matriz de Activos'!$R$6:$R$239,MATCH($C809,MgActId,0)),"")</f>
        <v/>
      </c>
      <c r="M809" s="64">
        <f>IFERROR(INDEX('1. Matriz de Activos'!$S$6:$S$239,MATCH($C809,MgActId,0)),"")</f>
        <v/>
      </c>
      <c r="N809" s="28">
        <f>IFERROR(INDEX(MgAmenDegD,MATCH(SUBSTITUTE($H809,"*","-"),MgAmenClave,0)),"No aplica")</f>
        <v/>
      </c>
      <c r="O809" s="28">
        <f>IFERROR(INDEX(MgAmenDegI,MATCH(SUBSTITUTE($H809,"*","-"),MgAmenClave,0)),"No aplica")</f>
        <v/>
      </c>
      <c r="P809" s="28">
        <f>IFERROR(INDEX(MgAmenDegC,MATCH(SUBSTITUTE($H809,"*","-"),MgAmenClave,0)),"No aplica")</f>
        <v/>
      </c>
      <c r="Q809" s="29">
        <f>IFERROR(VLOOKUP(K809,MgValor,2,0)*VLOOKUP(N809,MgDeg,2,0),0)</f>
        <v/>
      </c>
      <c r="R809" s="29">
        <f>IFERROR(VLOOKUP(L809,MgValor,2,0)*VLOOKUP(O809,MgDeg,2,0),0)</f>
        <v/>
      </c>
      <c r="S809" s="29">
        <f>IFERROR(VLOOKUP(M809,MgValor,2,0)*VLOOKUP(P809,MgDeg,2,0),0)</f>
        <v/>
      </c>
      <c r="T809" s="30">
        <f>MAX(Q809:S809)</f>
        <v/>
      </c>
      <c r="U809" s="28">
        <f>IFERROR(LOOKUP(T809,{0;0.5;1.5;3;4.5},{"Despreciable";"Bajo";"Medio";"Alto";"Muy alto"}),"")</f>
        <v/>
      </c>
      <c r="V809" s="13">
        <f>IFERROR(INDEX(MgAmenFrec,MATCH(SUBSTITUTE($H809,"*","-"),MgAmenClave,0)),"")</f>
        <v/>
      </c>
      <c r="W809" s="28">
        <f>IFERROR(LOOKUP(X809,{0;0.01;0.1;1;10;100},{"Muy baja";"Muy baja";"Baja";"Media";"Alta";"Muy alta"}),"")</f>
        <v/>
      </c>
      <c r="X809" s="31">
        <f>IFERROR(VLOOKUP(V809,MgFrec,2,0),0)</f>
        <v/>
      </c>
      <c r="Y809" s="30">
        <f>T809*X809</f>
        <v/>
      </c>
      <c r="Z809" s="28">
        <f>IFERROR(LOOKUP(Y809,{0;0.5;5;25},{"Bajo";"Medio";"Alto";"Crítico"}),"")</f>
        <v/>
      </c>
      <c r="AA809" s="64">
        <f>IF(T809&gt;=3,IF(X809&gt;=1,"Zona 1 — Crítica: impacto alto y ocurre al menos una vez al año","Zona 4 — Catastrófica poco probable: impacto alto pero excepcional"),IF(AND(T809&lt;1.5,X809&lt;1),"Zona 3 — Asumible: impacto bajo y muy poco frecuente","Zona 2 — Atención: riesgo intermedio"))</f>
        <v/>
      </c>
      <c r="AB809" s="64">
        <f>IFERROR(INDEX(MgAmenCtrl,MATCH(SUBSTITUTE($H809,"*","-"),MgAmenClave,0)),"")</f>
        <v/>
      </c>
      <c r="AC809" s="20" t="n"/>
      <c r="AD809" s="31">
        <f>IFERROR($X809*(1-IF($AC809="",$AL809,VLOOKUP($AC809,MgMad,2,0))),"")</f>
        <v/>
      </c>
      <c r="AE809" s="28">
        <f>IFERROR(LOOKUP(AD809,{0;0.01;0.1;1;10;100},{"Muy baja";"Muy baja";"Baja";"Media";"Alta";"Muy alta"}),"")</f>
        <v/>
      </c>
      <c r="AF809" s="30">
        <f>T809*AD809</f>
        <v/>
      </c>
      <c r="AG809" s="28">
        <f>IFERROR(LOOKUP(AF809,{0;0.5;5;25},{"Bajo";"Medio";"Alto";"Crítico"}),"")</f>
        <v/>
      </c>
      <c r="AH809" s="28">
        <f>IF(AG809="","",IF(OR(AG809="Crítico",AG809="Alto"),"Mitigar",IF(AG809="Medio","Mitigar","Aceptar y monitorear")))</f>
        <v/>
      </c>
      <c r="AI809" s="21" t="n"/>
      <c r="AJ809" s="21" t="n"/>
      <c r="AK809" s="20" t="n"/>
      <c r="AL809" s="77">
        <f>IFERROR(INDEX(MgAmenEfic,MATCH(SUBSTITUTE($H809,"*","-"),MgAmenClave,0)),0)</f>
        <v/>
      </c>
    </row>
    <row r="810" hidden="1" ht="105" customHeight="1" s="54">
      <c r="B810" s="59" t="inlineStr">
        <is>
          <t>R-0805</t>
        </is>
      </c>
      <c r="C810" s="59" t="inlineStr">
        <is>
          <t>FIN-29</t>
        </is>
      </c>
      <c r="D810" s="64">
        <f>IFERROR(INDEX(MgNombre,MATCH($C810,MgActId,0)),"")</f>
        <v/>
      </c>
      <c r="E810" s="64">
        <f>IFERROR(INDEX(MgProceso,MATCH($C810,MgActId,0)),"")</f>
        <v/>
      </c>
      <c r="F810" s="64">
        <f>IFERROR(INDEX(MgTipo,MATCH($C810,MgActId,0)),"")</f>
        <v/>
      </c>
      <c r="G810" s="64">
        <f>IFERROR(INDEX(MgSubtipo,MATCH($C810,MgActId,0)),"")</f>
        <v/>
      </c>
      <c r="H810" s="59" t="inlineStr">
        <is>
          <t>E.1</t>
        </is>
      </c>
      <c r="I810" s="64">
        <f>IFERROR(INDEX(MgAmenNombre,MATCH(SUBSTITUTE($H810,"*","-"),MgAmenClave,0)),"")</f>
        <v/>
      </c>
      <c r="J810" s="28">
        <f>IFERROR(INDEX(MgAmenGrupo,MATCH(SUBSTITUTE($H810,"*","-"),MgAmenClave,0)),"")</f>
        <v/>
      </c>
      <c r="K810" s="64">
        <f>IFERROR(INDEX('1. Matriz de Activos'!$Q$6:$Q$239,MATCH($C810,MgActId,0)),"")</f>
        <v/>
      </c>
      <c r="L810" s="64">
        <f>IFERROR(INDEX('1. Matriz de Activos'!$R$6:$R$239,MATCH($C810,MgActId,0)),"")</f>
        <v/>
      </c>
      <c r="M810" s="64">
        <f>IFERROR(INDEX('1. Matriz de Activos'!$S$6:$S$239,MATCH($C810,MgActId,0)),"")</f>
        <v/>
      </c>
      <c r="N810" s="28">
        <f>IFERROR(INDEX(MgAmenDegD,MATCH(SUBSTITUTE($H810,"*","-"),MgAmenClave,0)),"No aplica")</f>
        <v/>
      </c>
      <c r="O810" s="28">
        <f>IFERROR(INDEX(MgAmenDegI,MATCH(SUBSTITUTE($H810,"*","-"),MgAmenClave,0)),"No aplica")</f>
        <v/>
      </c>
      <c r="P810" s="28">
        <f>IFERROR(INDEX(MgAmenDegC,MATCH(SUBSTITUTE($H810,"*","-"),MgAmenClave,0)),"No aplica")</f>
        <v/>
      </c>
      <c r="Q810" s="29">
        <f>IFERROR(VLOOKUP(K810,MgValor,2,0)*VLOOKUP(N810,MgDeg,2,0),0)</f>
        <v/>
      </c>
      <c r="R810" s="29">
        <f>IFERROR(VLOOKUP(L810,MgValor,2,0)*VLOOKUP(O810,MgDeg,2,0),0)</f>
        <v/>
      </c>
      <c r="S810" s="29">
        <f>IFERROR(VLOOKUP(M810,MgValor,2,0)*VLOOKUP(P810,MgDeg,2,0),0)</f>
        <v/>
      </c>
      <c r="T810" s="30">
        <f>MAX(Q810:S810)</f>
        <v/>
      </c>
      <c r="U810" s="28">
        <f>IFERROR(LOOKUP(T810,{0;0.5;1.5;3;4.5},{"Despreciable";"Bajo";"Medio";"Alto";"Muy alto"}),"")</f>
        <v/>
      </c>
      <c r="V810" s="13">
        <f>IFERROR(INDEX(MgAmenFrec,MATCH(SUBSTITUTE($H810,"*","-"),MgAmenClave,0)),"")</f>
        <v/>
      </c>
      <c r="W810" s="28">
        <f>IFERROR(LOOKUP(X810,{0;0.01;0.1;1;10;100},{"Muy baja";"Muy baja";"Baja";"Media";"Alta";"Muy alta"}),"")</f>
        <v/>
      </c>
      <c r="X810" s="31">
        <f>IFERROR(VLOOKUP(V810,MgFrec,2,0),0)</f>
        <v/>
      </c>
      <c r="Y810" s="30">
        <f>T810*X810</f>
        <v/>
      </c>
      <c r="Z810" s="28">
        <f>IFERROR(LOOKUP(Y810,{0;0.5;5;25},{"Bajo";"Medio";"Alto";"Crítico"}),"")</f>
        <v/>
      </c>
      <c r="AA810" s="64">
        <f>IF(T810&gt;=3,IF(X810&gt;=1,"Zona 1 — Crítica: impacto alto y ocurre al menos una vez al año","Zona 4 — Catastrófica poco probable: impacto alto pero excepcional"),IF(AND(T810&lt;1.5,X810&lt;1),"Zona 3 — Asumible: impacto bajo y muy poco frecuente","Zona 2 — Atención: riesgo intermedio"))</f>
        <v/>
      </c>
      <c r="AB810" s="64">
        <f>IFERROR(INDEX(MgAmenCtrl,MATCH(SUBSTITUTE($H810,"*","-"),MgAmenClave,0)),"")</f>
        <v/>
      </c>
      <c r="AC810" s="20" t="n"/>
      <c r="AD810" s="31">
        <f>IFERROR($X810*(1-IF($AC810="",$AL810,VLOOKUP($AC810,MgMad,2,0))),"")</f>
        <v/>
      </c>
      <c r="AE810" s="28">
        <f>IFERROR(LOOKUP(AD810,{0;0.01;0.1;1;10;100},{"Muy baja";"Muy baja";"Baja";"Media";"Alta";"Muy alta"}),"")</f>
        <v/>
      </c>
      <c r="AF810" s="30">
        <f>T810*AD810</f>
        <v/>
      </c>
      <c r="AG810" s="28">
        <f>IFERROR(LOOKUP(AF810,{0;0.5;5;25},{"Bajo";"Medio";"Alto";"Crítico"}),"")</f>
        <v/>
      </c>
      <c r="AH810" s="28">
        <f>IF(AG810="","",IF(OR(AG810="Crítico",AG810="Alto"),"Mitigar",IF(AG810="Medio","Mitigar","Aceptar y monitorear")))</f>
        <v/>
      </c>
      <c r="AI810" s="21" t="n"/>
      <c r="AJ810" s="21" t="n"/>
      <c r="AK810" s="20" t="n"/>
      <c r="AL810" s="77">
        <f>IFERROR(INDEX(MgAmenEfic,MATCH(SUBSTITUTE($H810,"*","-"),MgAmenClave,0)),0)</f>
        <v/>
      </c>
    </row>
    <row r="811" hidden="1" ht="120" customHeight="1" s="54">
      <c r="B811" s="59" t="inlineStr">
        <is>
          <t>R-0806</t>
        </is>
      </c>
      <c r="C811" s="59" t="inlineStr">
        <is>
          <t>FIN-29</t>
        </is>
      </c>
      <c r="D811" s="64">
        <f>IFERROR(INDEX(MgNombre,MATCH($C811,MgActId,0)),"")</f>
        <v/>
      </c>
      <c r="E811" s="64">
        <f>IFERROR(INDEX(MgProceso,MATCH($C811,MgActId,0)),"")</f>
        <v/>
      </c>
      <c r="F811" s="64">
        <f>IFERROR(INDEX(MgTipo,MATCH($C811,MgActId,0)),"")</f>
        <v/>
      </c>
      <c r="G811" s="64">
        <f>IFERROR(INDEX(MgSubtipo,MATCH($C811,MgActId,0)),"")</f>
        <v/>
      </c>
      <c r="H811" s="59" t="inlineStr">
        <is>
          <t>E.2</t>
        </is>
      </c>
      <c r="I811" s="64">
        <f>IFERROR(INDEX(MgAmenNombre,MATCH(SUBSTITUTE($H811,"*","-"),MgAmenClave,0)),"")</f>
        <v/>
      </c>
      <c r="J811" s="28">
        <f>IFERROR(INDEX(MgAmenGrupo,MATCH(SUBSTITUTE($H811,"*","-"),MgAmenClave,0)),"")</f>
        <v/>
      </c>
      <c r="K811" s="64">
        <f>IFERROR(INDEX('1. Matriz de Activos'!$Q$6:$Q$239,MATCH($C811,MgActId,0)),"")</f>
        <v/>
      </c>
      <c r="L811" s="64">
        <f>IFERROR(INDEX('1. Matriz de Activos'!$R$6:$R$239,MATCH($C811,MgActId,0)),"")</f>
        <v/>
      </c>
      <c r="M811" s="64">
        <f>IFERROR(INDEX('1. Matriz de Activos'!$S$6:$S$239,MATCH($C811,MgActId,0)),"")</f>
        <v/>
      </c>
      <c r="N811" s="28">
        <f>IFERROR(INDEX(MgAmenDegD,MATCH(SUBSTITUTE($H811,"*","-"),MgAmenClave,0)),"No aplica")</f>
        <v/>
      </c>
      <c r="O811" s="28">
        <f>IFERROR(INDEX(MgAmenDegI,MATCH(SUBSTITUTE($H811,"*","-"),MgAmenClave,0)),"No aplica")</f>
        <v/>
      </c>
      <c r="P811" s="28">
        <f>IFERROR(INDEX(MgAmenDegC,MATCH(SUBSTITUTE($H811,"*","-"),MgAmenClave,0)),"No aplica")</f>
        <v/>
      </c>
      <c r="Q811" s="29">
        <f>IFERROR(VLOOKUP(K811,MgValor,2,0)*VLOOKUP(N811,MgDeg,2,0),0)</f>
        <v/>
      </c>
      <c r="R811" s="29">
        <f>IFERROR(VLOOKUP(L811,MgValor,2,0)*VLOOKUP(O811,MgDeg,2,0),0)</f>
        <v/>
      </c>
      <c r="S811" s="29">
        <f>IFERROR(VLOOKUP(M811,MgValor,2,0)*VLOOKUP(P811,MgDeg,2,0),0)</f>
        <v/>
      </c>
      <c r="T811" s="30">
        <f>MAX(Q811:S811)</f>
        <v/>
      </c>
      <c r="U811" s="28">
        <f>IFERROR(LOOKUP(T811,{0;0.5;1.5;3;4.5},{"Despreciable";"Bajo";"Medio";"Alto";"Muy alto"}),"")</f>
        <v/>
      </c>
      <c r="V811" s="13">
        <f>IFERROR(INDEX(MgAmenFrec,MATCH(SUBSTITUTE($H811,"*","-"),MgAmenClave,0)),"")</f>
        <v/>
      </c>
      <c r="W811" s="28">
        <f>IFERROR(LOOKUP(X811,{0;0.01;0.1;1;10;100},{"Muy baja";"Muy baja";"Baja";"Media";"Alta";"Muy alta"}),"")</f>
        <v/>
      </c>
      <c r="X811" s="31">
        <f>IFERROR(VLOOKUP(V811,MgFrec,2,0),0)</f>
        <v/>
      </c>
      <c r="Y811" s="30">
        <f>T811*X811</f>
        <v/>
      </c>
      <c r="Z811" s="28">
        <f>IFERROR(LOOKUP(Y811,{0;0.5;5;25},{"Bajo";"Medio";"Alto";"Crítico"}),"")</f>
        <v/>
      </c>
      <c r="AA811" s="64">
        <f>IF(T811&gt;=3,IF(X811&gt;=1,"Zona 1 — Crítica: impacto alto y ocurre al menos una vez al año","Zona 4 — Catastrófica poco probable: impacto alto pero excepcional"),IF(AND(T811&lt;1.5,X811&lt;1),"Zona 3 — Asumible: impacto bajo y muy poco frecuente","Zona 2 — Atención: riesgo intermedio"))</f>
        <v/>
      </c>
      <c r="AB811" s="64">
        <f>IFERROR(INDEX(MgAmenCtrl,MATCH(SUBSTITUTE($H811,"*","-"),MgAmenClave,0)),"")</f>
        <v/>
      </c>
      <c r="AC811" s="20" t="n"/>
      <c r="AD811" s="31">
        <f>IFERROR($X811*(1-IF($AC811="",$AL811,VLOOKUP($AC811,MgMad,2,0))),"")</f>
        <v/>
      </c>
      <c r="AE811" s="28">
        <f>IFERROR(LOOKUP(AD811,{0;0.01;0.1;1;10;100},{"Muy baja";"Muy baja";"Baja";"Media";"Alta";"Muy alta"}),"")</f>
        <v/>
      </c>
      <c r="AF811" s="30">
        <f>T811*AD811</f>
        <v/>
      </c>
      <c r="AG811" s="28">
        <f>IFERROR(LOOKUP(AF811,{0;0.5;5;25},{"Bajo";"Medio";"Alto";"Crítico"}),"")</f>
        <v/>
      </c>
      <c r="AH811" s="28">
        <f>IF(AG811="","",IF(OR(AG811="Crítico",AG811="Alto"),"Mitigar",IF(AG811="Medio","Mitigar","Aceptar y monitorear")))</f>
        <v/>
      </c>
      <c r="AI811" s="21" t="n"/>
      <c r="AJ811" s="21" t="n"/>
      <c r="AK811" s="20" t="n"/>
      <c r="AL811" s="77">
        <f>IFERROR(INDEX(MgAmenEfic,MATCH(SUBSTITUTE($H811,"*","-"),MgAmenClave,0)),0)</f>
        <v/>
      </c>
    </row>
    <row r="812" hidden="1" ht="75" customHeight="1" s="54">
      <c r="B812" s="59" t="inlineStr">
        <is>
          <t>R-0807</t>
        </is>
      </c>
      <c r="C812" s="59" t="inlineStr">
        <is>
          <t>FIN-29</t>
        </is>
      </c>
      <c r="D812" s="64">
        <f>IFERROR(INDEX(MgNombre,MATCH($C812,MgActId,0)),"")</f>
        <v/>
      </c>
      <c r="E812" s="64">
        <f>IFERROR(INDEX(MgProceso,MATCH($C812,MgActId,0)),"")</f>
        <v/>
      </c>
      <c r="F812" s="64">
        <f>IFERROR(INDEX(MgTipo,MATCH($C812,MgActId,0)),"")</f>
        <v/>
      </c>
      <c r="G812" s="64">
        <f>IFERROR(INDEX(MgSubtipo,MATCH($C812,MgActId,0)),"")</f>
        <v/>
      </c>
      <c r="H812" s="59" t="inlineStr">
        <is>
          <t>E.3</t>
        </is>
      </c>
      <c r="I812" s="64">
        <f>IFERROR(INDEX(MgAmenNombre,MATCH(SUBSTITUTE($H812,"*","-"),MgAmenClave,0)),"")</f>
        <v/>
      </c>
      <c r="J812" s="28">
        <f>IFERROR(INDEX(MgAmenGrupo,MATCH(SUBSTITUTE($H812,"*","-"),MgAmenClave,0)),"")</f>
        <v/>
      </c>
      <c r="K812" s="64">
        <f>IFERROR(INDEX('1. Matriz de Activos'!$Q$6:$Q$239,MATCH($C812,MgActId,0)),"")</f>
        <v/>
      </c>
      <c r="L812" s="64">
        <f>IFERROR(INDEX('1. Matriz de Activos'!$R$6:$R$239,MATCH($C812,MgActId,0)),"")</f>
        <v/>
      </c>
      <c r="M812" s="64">
        <f>IFERROR(INDEX('1. Matriz de Activos'!$S$6:$S$239,MATCH($C812,MgActId,0)),"")</f>
        <v/>
      </c>
      <c r="N812" s="28">
        <f>IFERROR(INDEX(MgAmenDegD,MATCH(SUBSTITUTE($H812,"*","-"),MgAmenClave,0)),"No aplica")</f>
        <v/>
      </c>
      <c r="O812" s="28">
        <f>IFERROR(INDEX(MgAmenDegI,MATCH(SUBSTITUTE($H812,"*","-"),MgAmenClave,0)),"No aplica")</f>
        <v/>
      </c>
      <c r="P812" s="28">
        <f>IFERROR(INDEX(MgAmenDegC,MATCH(SUBSTITUTE($H812,"*","-"),MgAmenClave,0)),"No aplica")</f>
        <v/>
      </c>
      <c r="Q812" s="29">
        <f>IFERROR(VLOOKUP(K812,MgValor,2,0)*VLOOKUP(N812,MgDeg,2,0),0)</f>
        <v/>
      </c>
      <c r="R812" s="29">
        <f>IFERROR(VLOOKUP(L812,MgValor,2,0)*VLOOKUP(O812,MgDeg,2,0),0)</f>
        <v/>
      </c>
      <c r="S812" s="29">
        <f>IFERROR(VLOOKUP(M812,MgValor,2,0)*VLOOKUP(P812,MgDeg,2,0),0)</f>
        <v/>
      </c>
      <c r="T812" s="30">
        <f>MAX(Q812:S812)</f>
        <v/>
      </c>
      <c r="U812" s="28">
        <f>IFERROR(LOOKUP(T812,{0;0.5;1.5;3;4.5},{"Despreciable";"Bajo";"Medio";"Alto";"Muy alto"}),"")</f>
        <v/>
      </c>
      <c r="V812" s="13">
        <f>IFERROR(INDEX(MgAmenFrec,MATCH(SUBSTITUTE($H812,"*","-"),MgAmenClave,0)),"")</f>
        <v/>
      </c>
      <c r="W812" s="28">
        <f>IFERROR(LOOKUP(X812,{0;0.01;0.1;1;10;100},{"Muy baja";"Muy baja";"Baja";"Media";"Alta";"Muy alta"}),"")</f>
        <v/>
      </c>
      <c r="X812" s="31">
        <f>IFERROR(VLOOKUP(V812,MgFrec,2,0),0)</f>
        <v/>
      </c>
      <c r="Y812" s="30">
        <f>T812*X812</f>
        <v/>
      </c>
      <c r="Z812" s="28">
        <f>IFERROR(LOOKUP(Y812,{0;0.5;5;25},{"Bajo";"Medio";"Alto";"Crítico"}),"")</f>
        <v/>
      </c>
      <c r="AA812" s="64">
        <f>IF(T812&gt;=3,IF(X812&gt;=1,"Zona 1 — Crítica: impacto alto y ocurre al menos una vez al año","Zona 4 — Catastrófica poco probable: impacto alto pero excepcional"),IF(AND(T812&lt;1.5,X812&lt;1),"Zona 3 — Asumible: impacto bajo y muy poco frecuente","Zona 2 — Atención: riesgo intermedio"))</f>
        <v/>
      </c>
      <c r="AB812" s="64">
        <f>IFERROR(INDEX(MgAmenCtrl,MATCH(SUBSTITUTE($H812,"*","-"),MgAmenClave,0)),"")</f>
        <v/>
      </c>
      <c r="AC812" s="20" t="n"/>
      <c r="AD812" s="31">
        <f>IFERROR($X812*(1-IF($AC812="",$AL812,VLOOKUP($AC812,MgMad,2,0))),"")</f>
        <v/>
      </c>
      <c r="AE812" s="28">
        <f>IFERROR(LOOKUP(AD812,{0;0.01;0.1;1;10;100},{"Muy baja";"Muy baja";"Baja";"Media";"Alta";"Muy alta"}),"")</f>
        <v/>
      </c>
      <c r="AF812" s="30">
        <f>T812*AD812</f>
        <v/>
      </c>
      <c r="AG812" s="28">
        <f>IFERROR(LOOKUP(AF812,{0;0.5;5;25},{"Bajo";"Medio";"Alto";"Crítico"}),"")</f>
        <v/>
      </c>
      <c r="AH812" s="28">
        <f>IF(AG812="","",IF(OR(AG812="Crítico",AG812="Alto"),"Mitigar",IF(AG812="Medio","Mitigar","Aceptar y monitorear")))</f>
        <v/>
      </c>
      <c r="AI812" s="21" t="n"/>
      <c r="AJ812" s="21" t="n"/>
      <c r="AK812" s="20" t="n"/>
      <c r="AL812" s="77">
        <f>IFERROR(INDEX(MgAmenEfic,MATCH(SUBSTITUTE($H812,"*","-"),MgAmenClave,0)),0)</f>
        <v/>
      </c>
    </row>
    <row r="813" hidden="1" ht="75" customHeight="1" s="54">
      <c r="B813" s="59" t="inlineStr">
        <is>
          <t>R-0808</t>
        </is>
      </c>
      <c r="C813" s="59" t="inlineStr">
        <is>
          <t>FIN-29</t>
        </is>
      </c>
      <c r="D813" s="64">
        <f>IFERROR(INDEX(MgNombre,MATCH($C813,MgActId,0)),"")</f>
        <v/>
      </c>
      <c r="E813" s="64">
        <f>IFERROR(INDEX(MgProceso,MATCH($C813,MgActId,0)),"")</f>
        <v/>
      </c>
      <c r="F813" s="64">
        <f>IFERROR(INDEX(MgTipo,MATCH($C813,MgActId,0)),"")</f>
        <v/>
      </c>
      <c r="G813" s="64">
        <f>IFERROR(INDEX(MgSubtipo,MATCH($C813,MgActId,0)),"")</f>
        <v/>
      </c>
      <c r="H813" s="59" t="inlineStr">
        <is>
          <t>E.4</t>
        </is>
      </c>
      <c r="I813" s="64">
        <f>IFERROR(INDEX(MgAmenNombre,MATCH(SUBSTITUTE($H813,"*","-"),MgAmenClave,0)),"")</f>
        <v/>
      </c>
      <c r="J813" s="28">
        <f>IFERROR(INDEX(MgAmenGrupo,MATCH(SUBSTITUTE($H813,"*","-"),MgAmenClave,0)),"")</f>
        <v/>
      </c>
      <c r="K813" s="64">
        <f>IFERROR(INDEX('1. Matriz de Activos'!$Q$6:$Q$239,MATCH($C813,MgActId,0)),"")</f>
        <v/>
      </c>
      <c r="L813" s="64">
        <f>IFERROR(INDEX('1. Matriz de Activos'!$R$6:$R$239,MATCH($C813,MgActId,0)),"")</f>
        <v/>
      </c>
      <c r="M813" s="64">
        <f>IFERROR(INDEX('1. Matriz de Activos'!$S$6:$S$239,MATCH($C813,MgActId,0)),"")</f>
        <v/>
      </c>
      <c r="N813" s="28">
        <f>IFERROR(INDEX(MgAmenDegD,MATCH(SUBSTITUTE($H813,"*","-"),MgAmenClave,0)),"No aplica")</f>
        <v/>
      </c>
      <c r="O813" s="28">
        <f>IFERROR(INDEX(MgAmenDegI,MATCH(SUBSTITUTE($H813,"*","-"),MgAmenClave,0)),"No aplica")</f>
        <v/>
      </c>
      <c r="P813" s="28">
        <f>IFERROR(INDEX(MgAmenDegC,MATCH(SUBSTITUTE($H813,"*","-"),MgAmenClave,0)),"No aplica")</f>
        <v/>
      </c>
      <c r="Q813" s="29">
        <f>IFERROR(VLOOKUP(K813,MgValor,2,0)*VLOOKUP(N813,MgDeg,2,0),0)</f>
        <v/>
      </c>
      <c r="R813" s="29">
        <f>IFERROR(VLOOKUP(L813,MgValor,2,0)*VLOOKUP(O813,MgDeg,2,0),0)</f>
        <v/>
      </c>
      <c r="S813" s="29">
        <f>IFERROR(VLOOKUP(M813,MgValor,2,0)*VLOOKUP(P813,MgDeg,2,0),0)</f>
        <v/>
      </c>
      <c r="T813" s="30">
        <f>MAX(Q813:S813)</f>
        <v/>
      </c>
      <c r="U813" s="28">
        <f>IFERROR(LOOKUP(T813,{0;0.5;1.5;3;4.5},{"Despreciable";"Bajo";"Medio";"Alto";"Muy alto"}),"")</f>
        <v/>
      </c>
      <c r="V813" s="13">
        <f>IFERROR(INDEX(MgAmenFrec,MATCH(SUBSTITUTE($H813,"*","-"),MgAmenClave,0)),"")</f>
        <v/>
      </c>
      <c r="W813" s="28">
        <f>IFERROR(LOOKUP(X813,{0;0.01;0.1;1;10;100},{"Muy baja";"Muy baja";"Baja";"Media";"Alta";"Muy alta"}),"")</f>
        <v/>
      </c>
      <c r="X813" s="31">
        <f>IFERROR(VLOOKUP(V813,MgFrec,2,0),0)</f>
        <v/>
      </c>
      <c r="Y813" s="30">
        <f>T813*X813</f>
        <v/>
      </c>
      <c r="Z813" s="28">
        <f>IFERROR(LOOKUP(Y813,{0;0.5;5;25},{"Bajo";"Medio";"Alto";"Crítico"}),"")</f>
        <v/>
      </c>
      <c r="AA813" s="64">
        <f>IF(T813&gt;=3,IF(X813&gt;=1,"Zona 1 — Crítica: impacto alto y ocurre al menos una vez al año","Zona 4 — Catastrófica poco probable: impacto alto pero excepcional"),IF(AND(T813&lt;1.5,X813&lt;1),"Zona 3 — Asumible: impacto bajo y muy poco frecuente","Zona 2 — Atención: riesgo intermedio"))</f>
        <v/>
      </c>
      <c r="AB813" s="64">
        <f>IFERROR(INDEX(MgAmenCtrl,MATCH(SUBSTITUTE($H813,"*","-"),MgAmenClave,0)),"")</f>
        <v/>
      </c>
      <c r="AC813" s="20" t="n"/>
      <c r="AD813" s="31">
        <f>IFERROR($X813*(1-IF($AC813="",$AL813,VLOOKUP($AC813,MgMad,2,0))),"")</f>
        <v/>
      </c>
      <c r="AE813" s="28">
        <f>IFERROR(LOOKUP(AD813,{0;0.01;0.1;1;10;100},{"Muy baja";"Muy baja";"Baja";"Media";"Alta";"Muy alta"}),"")</f>
        <v/>
      </c>
      <c r="AF813" s="30">
        <f>T813*AD813</f>
        <v/>
      </c>
      <c r="AG813" s="28">
        <f>IFERROR(LOOKUP(AF813,{0;0.5;5;25},{"Bajo";"Medio";"Alto";"Crítico"}),"")</f>
        <v/>
      </c>
      <c r="AH813" s="28">
        <f>IF(AG813="","",IF(OR(AG813="Crítico",AG813="Alto"),"Mitigar",IF(AG813="Medio","Mitigar","Aceptar y monitorear")))</f>
        <v/>
      </c>
      <c r="AI813" s="21" t="n"/>
      <c r="AJ813" s="21" t="n"/>
      <c r="AK813" s="20" t="n"/>
      <c r="AL813" s="77">
        <f>IFERROR(INDEX(MgAmenEfic,MATCH(SUBSTITUTE($H813,"*","-"),MgAmenClave,0)),0)</f>
        <v/>
      </c>
    </row>
    <row r="814" hidden="1" ht="90" customHeight="1" s="54">
      <c r="B814" s="59" t="inlineStr">
        <is>
          <t>R-0809</t>
        </is>
      </c>
      <c r="C814" s="59" t="inlineStr">
        <is>
          <t>FIN-29</t>
        </is>
      </c>
      <c r="D814" s="64">
        <f>IFERROR(INDEX(MgNombre,MATCH($C814,MgActId,0)),"")</f>
        <v/>
      </c>
      <c r="E814" s="64">
        <f>IFERROR(INDEX(MgProceso,MATCH($C814,MgActId,0)),"")</f>
        <v/>
      </c>
      <c r="F814" s="64">
        <f>IFERROR(INDEX(MgTipo,MATCH($C814,MgActId,0)),"")</f>
        <v/>
      </c>
      <c r="G814" s="64">
        <f>IFERROR(INDEX(MgSubtipo,MATCH($C814,MgActId,0)),"")</f>
        <v/>
      </c>
      <c r="H814" s="59" t="inlineStr">
        <is>
          <t>E.14</t>
        </is>
      </c>
      <c r="I814" s="64">
        <f>IFERROR(INDEX(MgAmenNombre,MATCH(SUBSTITUTE($H814,"*","-"),MgAmenClave,0)),"")</f>
        <v/>
      </c>
      <c r="J814" s="28">
        <f>IFERROR(INDEX(MgAmenGrupo,MATCH(SUBSTITUTE($H814,"*","-"),MgAmenClave,0)),"")</f>
        <v/>
      </c>
      <c r="K814" s="64">
        <f>IFERROR(INDEX('1. Matriz de Activos'!$Q$6:$Q$239,MATCH($C814,MgActId,0)),"")</f>
        <v/>
      </c>
      <c r="L814" s="64">
        <f>IFERROR(INDEX('1. Matriz de Activos'!$R$6:$R$239,MATCH($C814,MgActId,0)),"")</f>
        <v/>
      </c>
      <c r="M814" s="64">
        <f>IFERROR(INDEX('1. Matriz de Activos'!$S$6:$S$239,MATCH($C814,MgActId,0)),"")</f>
        <v/>
      </c>
      <c r="N814" s="28">
        <f>IFERROR(INDEX(MgAmenDegD,MATCH(SUBSTITUTE($H814,"*","-"),MgAmenClave,0)),"No aplica")</f>
        <v/>
      </c>
      <c r="O814" s="28">
        <f>IFERROR(INDEX(MgAmenDegI,MATCH(SUBSTITUTE($H814,"*","-"),MgAmenClave,0)),"No aplica")</f>
        <v/>
      </c>
      <c r="P814" s="28">
        <f>IFERROR(INDEX(MgAmenDegC,MATCH(SUBSTITUTE($H814,"*","-"),MgAmenClave,0)),"No aplica")</f>
        <v/>
      </c>
      <c r="Q814" s="29">
        <f>IFERROR(VLOOKUP(K814,MgValor,2,0)*VLOOKUP(N814,MgDeg,2,0),0)</f>
        <v/>
      </c>
      <c r="R814" s="29">
        <f>IFERROR(VLOOKUP(L814,MgValor,2,0)*VLOOKUP(O814,MgDeg,2,0),0)</f>
        <v/>
      </c>
      <c r="S814" s="29">
        <f>IFERROR(VLOOKUP(M814,MgValor,2,0)*VLOOKUP(P814,MgDeg,2,0),0)</f>
        <v/>
      </c>
      <c r="T814" s="30">
        <f>MAX(Q814:S814)</f>
        <v/>
      </c>
      <c r="U814" s="28">
        <f>IFERROR(LOOKUP(T814,{0;0.5;1.5;3;4.5},{"Despreciable";"Bajo";"Medio";"Alto";"Muy alto"}),"")</f>
        <v/>
      </c>
      <c r="V814" s="13">
        <f>IFERROR(INDEX(MgAmenFrec,MATCH(SUBSTITUTE($H814,"*","-"),MgAmenClave,0)),"")</f>
        <v/>
      </c>
      <c r="W814" s="28">
        <f>IFERROR(LOOKUP(X814,{0;0.01;0.1;1;10;100},{"Muy baja";"Muy baja";"Baja";"Media";"Alta";"Muy alta"}),"")</f>
        <v/>
      </c>
      <c r="X814" s="31">
        <f>IFERROR(VLOOKUP(V814,MgFrec,2,0),0)</f>
        <v/>
      </c>
      <c r="Y814" s="30">
        <f>T814*X814</f>
        <v/>
      </c>
      <c r="Z814" s="28">
        <f>IFERROR(LOOKUP(Y814,{0;0.5;5;25},{"Bajo";"Medio";"Alto";"Crítico"}),"")</f>
        <v/>
      </c>
      <c r="AA814" s="64">
        <f>IF(T814&gt;=3,IF(X814&gt;=1,"Zona 1 — Crítica: impacto alto y ocurre al menos una vez al año","Zona 4 — Catastrófica poco probable: impacto alto pero excepcional"),IF(AND(T814&lt;1.5,X814&lt;1),"Zona 3 — Asumible: impacto bajo y muy poco frecuente","Zona 2 — Atención: riesgo intermedio"))</f>
        <v/>
      </c>
      <c r="AB814" s="64">
        <f>IFERROR(INDEX(MgAmenCtrl,MATCH(SUBSTITUTE($H814,"*","-"),MgAmenClave,0)),"")</f>
        <v/>
      </c>
      <c r="AC814" s="20" t="n"/>
      <c r="AD814" s="31">
        <f>IFERROR($X814*(1-IF($AC814="",$AL814,VLOOKUP($AC814,MgMad,2,0))),"")</f>
        <v/>
      </c>
      <c r="AE814" s="28">
        <f>IFERROR(LOOKUP(AD814,{0;0.01;0.1;1;10;100},{"Muy baja";"Muy baja";"Baja";"Media";"Alta";"Muy alta"}),"")</f>
        <v/>
      </c>
      <c r="AF814" s="30">
        <f>T814*AD814</f>
        <v/>
      </c>
      <c r="AG814" s="28">
        <f>IFERROR(LOOKUP(AF814,{0;0.5;5;25},{"Bajo";"Medio";"Alto";"Crítico"}),"")</f>
        <v/>
      </c>
      <c r="AH814" s="28">
        <f>IF(AG814="","",IF(OR(AG814="Crítico",AG814="Alto"),"Mitigar",IF(AG814="Medio","Mitigar","Aceptar y monitorear")))</f>
        <v/>
      </c>
      <c r="AI814" s="21" t="n"/>
      <c r="AJ814" s="21" t="n"/>
      <c r="AK814" s="20" t="n"/>
      <c r="AL814" s="77">
        <f>IFERROR(INDEX(MgAmenEfic,MATCH(SUBSTITUTE($H814,"*","-"),MgAmenClave,0)),0)</f>
        <v/>
      </c>
    </row>
    <row r="815" hidden="1" ht="90" customHeight="1" s="54">
      <c r="B815" s="59" t="inlineStr">
        <is>
          <t>R-0810</t>
        </is>
      </c>
      <c r="C815" s="59" t="inlineStr">
        <is>
          <t>FIN-29</t>
        </is>
      </c>
      <c r="D815" s="64">
        <f>IFERROR(INDEX(MgNombre,MATCH($C815,MgActId,0)),"")</f>
        <v/>
      </c>
      <c r="E815" s="64">
        <f>IFERROR(INDEX(MgProceso,MATCH($C815,MgActId,0)),"")</f>
        <v/>
      </c>
      <c r="F815" s="64">
        <f>IFERROR(INDEX(MgTipo,MATCH($C815,MgActId,0)),"")</f>
        <v/>
      </c>
      <c r="G815" s="64">
        <f>IFERROR(INDEX(MgSubtipo,MATCH($C815,MgActId,0)),"")</f>
        <v/>
      </c>
      <c r="H815" s="59" t="inlineStr">
        <is>
          <t>E.15</t>
        </is>
      </c>
      <c r="I815" s="64">
        <f>IFERROR(INDEX(MgAmenNombre,MATCH(SUBSTITUTE($H815,"*","-"),MgAmenClave,0)),"")</f>
        <v/>
      </c>
      <c r="J815" s="28">
        <f>IFERROR(INDEX(MgAmenGrupo,MATCH(SUBSTITUTE($H815,"*","-"),MgAmenClave,0)),"")</f>
        <v/>
      </c>
      <c r="K815" s="64">
        <f>IFERROR(INDEX('1. Matriz de Activos'!$Q$6:$Q$239,MATCH($C815,MgActId,0)),"")</f>
        <v/>
      </c>
      <c r="L815" s="64">
        <f>IFERROR(INDEX('1. Matriz de Activos'!$R$6:$R$239,MATCH($C815,MgActId,0)),"")</f>
        <v/>
      </c>
      <c r="M815" s="64">
        <f>IFERROR(INDEX('1. Matriz de Activos'!$S$6:$S$239,MATCH($C815,MgActId,0)),"")</f>
        <v/>
      </c>
      <c r="N815" s="28">
        <f>IFERROR(INDEX(MgAmenDegD,MATCH(SUBSTITUTE($H815,"*","-"),MgAmenClave,0)),"No aplica")</f>
        <v/>
      </c>
      <c r="O815" s="28">
        <f>IFERROR(INDEX(MgAmenDegI,MATCH(SUBSTITUTE($H815,"*","-"),MgAmenClave,0)),"No aplica")</f>
        <v/>
      </c>
      <c r="P815" s="28">
        <f>IFERROR(INDEX(MgAmenDegC,MATCH(SUBSTITUTE($H815,"*","-"),MgAmenClave,0)),"No aplica")</f>
        <v/>
      </c>
      <c r="Q815" s="29">
        <f>IFERROR(VLOOKUP(K815,MgValor,2,0)*VLOOKUP(N815,MgDeg,2,0),0)</f>
        <v/>
      </c>
      <c r="R815" s="29">
        <f>IFERROR(VLOOKUP(L815,MgValor,2,0)*VLOOKUP(O815,MgDeg,2,0),0)</f>
        <v/>
      </c>
      <c r="S815" s="29">
        <f>IFERROR(VLOOKUP(M815,MgValor,2,0)*VLOOKUP(P815,MgDeg,2,0),0)</f>
        <v/>
      </c>
      <c r="T815" s="30">
        <f>MAX(Q815:S815)</f>
        <v/>
      </c>
      <c r="U815" s="28">
        <f>IFERROR(LOOKUP(T815,{0;0.5;1.5;3;4.5},{"Despreciable";"Bajo";"Medio";"Alto";"Muy alto"}),"")</f>
        <v/>
      </c>
      <c r="V815" s="13">
        <f>IFERROR(INDEX(MgAmenFrec,MATCH(SUBSTITUTE($H815,"*","-"),MgAmenClave,0)),"")</f>
        <v/>
      </c>
      <c r="W815" s="28">
        <f>IFERROR(LOOKUP(X815,{0;0.01;0.1;1;10;100},{"Muy baja";"Muy baja";"Baja";"Media";"Alta";"Muy alta"}),"")</f>
        <v/>
      </c>
      <c r="X815" s="31">
        <f>IFERROR(VLOOKUP(V815,MgFrec,2,0),0)</f>
        <v/>
      </c>
      <c r="Y815" s="30">
        <f>T815*X815</f>
        <v/>
      </c>
      <c r="Z815" s="28">
        <f>IFERROR(LOOKUP(Y815,{0;0.5;5;25},{"Bajo";"Medio";"Alto";"Crítico"}),"")</f>
        <v/>
      </c>
      <c r="AA815" s="64">
        <f>IF(T815&gt;=3,IF(X815&gt;=1,"Zona 1 — Crítica: impacto alto y ocurre al menos una vez al año","Zona 4 — Catastrófica poco probable: impacto alto pero excepcional"),IF(AND(T815&lt;1.5,X815&lt;1),"Zona 3 — Asumible: impacto bajo y muy poco frecuente","Zona 2 — Atención: riesgo intermedio"))</f>
        <v/>
      </c>
      <c r="AB815" s="64">
        <f>IFERROR(INDEX(MgAmenCtrl,MATCH(SUBSTITUTE($H815,"*","-"),MgAmenClave,0)),"")</f>
        <v/>
      </c>
      <c r="AC815" s="20" t="n"/>
      <c r="AD815" s="31">
        <f>IFERROR($X815*(1-IF($AC815="",$AL815,VLOOKUP($AC815,MgMad,2,0))),"")</f>
        <v/>
      </c>
      <c r="AE815" s="28">
        <f>IFERROR(LOOKUP(AD815,{0;0.01;0.1;1;10;100},{"Muy baja";"Muy baja";"Baja";"Media";"Alta";"Muy alta"}),"")</f>
        <v/>
      </c>
      <c r="AF815" s="30">
        <f>T815*AD815</f>
        <v/>
      </c>
      <c r="AG815" s="28">
        <f>IFERROR(LOOKUP(AF815,{0;0.5;5;25},{"Bajo";"Medio";"Alto";"Crítico"}),"")</f>
        <v/>
      </c>
      <c r="AH815" s="28">
        <f>IF(AG815="","",IF(OR(AG815="Crítico",AG815="Alto"),"Mitigar",IF(AG815="Medio","Mitigar","Aceptar y monitorear")))</f>
        <v/>
      </c>
      <c r="AI815" s="21" t="n"/>
      <c r="AJ815" s="21" t="n"/>
      <c r="AK815" s="20" t="n"/>
      <c r="AL815" s="77">
        <f>IFERROR(INDEX(MgAmenEfic,MATCH(SUBSTITUTE($H815,"*","-"),MgAmenClave,0)),0)</f>
        <v/>
      </c>
    </row>
    <row r="816" hidden="1" ht="60" customHeight="1" s="54">
      <c r="B816" s="59" t="inlineStr">
        <is>
          <t>R-0811</t>
        </is>
      </c>
      <c r="C816" s="59" t="inlineStr">
        <is>
          <t>FIN-29</t>
        </is>
      </c>
      <c r="D816" s="64">
        <f>IFERROR(INDEX(MgNombre,MATCH($C816,MgActId,0)),"")</f>
        <v/>
      </c>
      <c r="E816" s="64">
        <f>IFERROR(INDEX(MgProceso,MATCH($C816,MgActId,0)),"")</f>
        <v/>
      </c>
      <c r="F816" s="64">
        <f>IFERROR(INDEX(MgTipo,MATCH($C816,MgActId,0)),"")</f>
        <v/>
      </c>
      <c r="G816" s="64">
        <f>IFERROR(INDEX(MgSubtipo,MATCH($C816,MgActId,0)),"")</f>
        <v/>
      </c>
      <c r="H816" s="59" t="inlineStr">
        <is>
          <t>E.18</t>
        </is>
      </c>
      <c r="I816" s="64">
        <f>IFERROR(INDEX(MgAmenNombre,MATCH(SUBSTITUTE($H816,"*","-"),MgAmenClave,0)),"")</f>
        <v/>
      </c>
      <c r="J816" s="28">
        <f>IFERROR(INDEX(MgAmenGrupo,MATCH(SUBSTITUTE($H816,"*","-"),MgAmenClave,0)),"")</f>
        <v/>
      </c>
      <c r="K816" s="64">
        <f>IFERROR(INDEX('1. Matriz de Activos'!$Q$6:$Q$239,MATCH($C816,MgActId,0)),"")</f>
        <v/>
      </c>
      <c r="L816" s="64">
        <f>IFERROR(INDEX('1. Matriz de Activos'!$R$6:$R$239,MATCH($C816,MgActId,0)),"")</f>
        <v/>
      </c>
      <c r="M816" s="64">
        <f>IFERROR(INDEX('1. Matriz de Activos'!$S$6:$S$239,MATCH($C816,MgActId,0)),"")</f>
        <v/>
      </c>
      <c r="N816" s="28">
        <f>IFERROR(INDEX(MgAmenDegD,MATCH(SUBSTITUTE($H816,"*","-"),MgAmenClave,0)),"No aplica")</f>
        <v/>
      </c>
      <c r="O816" s="28">
        <f>IFERROR(INDEX(MgAmenDegI,MATCH(SUBSTITUTE($H816,"*","-"),MgAmenClave,0)),"No aplica")</f>
        <v/>
      </c>
      <c r="P816" s="28">
        <f>IFERROR(INDEX(MgAmenDegC,MATCH(SUBSTITUTE($H816,"*","-"),MgAmenClave,0)),"No aplica")</f>
        <v/>
      </c>
      <c r="Q816" s="29">
        <f>IFERROR(VLOOKUP(K816,MgValor,2,0)*VLOOKUP(N816,MgDeg,2,0),0)</f>
        <v/>
      </c>
      <c r="R816" s="29">
        <f>IFERROR(VLOOKUP(L816,MgValor,2,0)*VLOOKUP(O816,MgDeg,2,0),0)</f>
        <v/>
      </c>
      <c r="S816" s="29">
        <f>IFERROR(VLOOKUP(M816,MgValor,2,0)*VLOOKUP(P816,MgDeg,2,0),0)</f>
        <v/>
      </c>
      <c r="T816" s="30">
        <f>MAX(Q816:S816)</f>
        <v/>
      </c>
      <c r="U816" s="28">
        <f>IFERROR(LOOKUP(T816,{0;0.5;1.5;3;4.5},{"Despreciable";"Bajo";"Medio";"Alto";"Muy alto"}),"")</f>
        <v/>
      </c>
      <c r="V816" s="13">
        <f>IFERROR(INDEX(MgAmenFrec,MATCH(SUBSTITUTE($H816,"*","-"),MgAmenClave,0)),"")</f>
        <v/>
      </c>
      <c r="W816" s="28">
        <f>IFERROR(LOOKUP(X816,{0;0.01;0.1;1;10;100},{"Muy baja";"Muy baja";"Baja";"Media";"Alta";"Muy alta"}),"")</f>
        <v/>
      </c>
      <c r="X816" s="31">
        <f>IFERROR(VLOOKUP(V816,MgFrec,2,0),0)</f>
        <v/>
      </c>
      <c r="Y816" s="30">
        <f>T816*X816</f>
        <v/>
      </c>
      <c r="Z816" s="28">
        <f>IFERROR(LOOKUP(Y816,{0;0.5;5;25},{"Bajo";"Medio";"Alto";"Crítico"}),"")</f>
        <v/>
      </c>
      <c r="AA816" s="64">
        <f>IF(T816&gt;=3,IF(X816&gt;=1,"Zona 1 — Crítica: impacto alto y ocurre al menos una vez al año","Zona 4 — Catastrófica poco probable: impacto alto pero excepcional"),IF(AND(T816&lt;1.5,X816&lt;1),"Zona 3 — Asumible: impacto bajo y muy poco frecuente","Zona 2 — Atención: riesgo intermedio"))</f>
        <v/>
      </c>
      <c r="AB816" s="64">
        <f>IFERROR(INDEX(MgAmenCtrl,MATCH(SUBSTITUTE($H816,"*","-"),MgAmenClave,0)),"")</f>
        <v/>
      </c>
      <c r="AC816" s="20" t="n"/>
      <c r="AD816" s="31">
        <f>IFERROR($X816*(1-IF($AC816="",$AL816,VLOOKUP($AC816,MgMad,2,0))),"")</f>
        <v/>
      </c>
      <c r="AE816" s="28">
        <f>IFERROR(LOOKUP(AD816,{0;0.01;0.1;1;10;100},{"Muy baja";"Muy baja";"Baja";"Media";"Alta";"Muy alta"}),"")</f>
        <v/>
      </c>
      <c r="AF816" s="30">
        <f>T816*AD816</f>
        <v/>
      </c>
      <c r="AG816" s="28">
        <f>IFERROR(LOOKUP(AF816,{0;0.5;5;25},{"Bajo";"Medio";"Alto";"Crítico"}),"")</f>
        <v/>
      </c>
      <c r="AH816" s="28">
        <f>IF(AG816="","",IF(OR(AG816="Crítico",AG816="Alto"),"Mitigar",IF(AG816="Medio","Mitigar","Aceptar y monitorear")))</f>
        <v/>
      </c>
      <c r="AI816" s="21" t="n"/>
      <c r="AJ816" s="21" t="n"/>
      <c r="AK816" s="20" t="n"/>
      <c r="AL816" s="77">
        <f>IFERROR(INDEX(MgAmenEfic,MATCH(SUBSTITUTE($H816,"*","-"),MgAmenClave,0)),0)</f>
        <v/>
      </c>
    </row>
    <row r="817" hidden="1" ht="105" customHeight="1" s="54">
      <c r="B817" s="59" t="inlineStr">
        <is>
          <t>R-0812</t>
        </is>
      </c>
      <c r="C817" s="59" t="inlineStr">
        <is>
          <t>FIN-29</t>
        </is>
      </c>
      <c r="D817" s="64">
        <f>IFERROR(INDEX(MgNombre,MATCH($C817,MgActId,0)),"")</f>
        <v/>
      </c>
      <c r="E817" s="64">
        <f>IFERROR(INDEX(MgProceso,MATCH($C817,MgActId,0)),"")</f>
        <v/>
      </c>
      <c r="F817" s="64">
        <f>IFERROR(INDEX(MgTipo,MATCH($C817,MgActId,0)),"")</f>
        <v/>
      </c>
      <c r="G817" s="64">
        <f>IFERROR(INDEX(MgSubtipo,MATCH($C817,MgActId,0)),"")</f>
        <v/>
      </c>
      <c r="H817" s="59" t="inlineStr">
        <is>
          <t>E.19</t>
        </is>
      </c>
      <c r="I817" s="64">
        <f>IFERROR(INDEX(MgAmenNombre,MATCH(SUBSTITUTE($H817,"*","-"),MgAmenClave,0)),"")</f>
        <v/>
      </c>
      <c r="J817" s="28">
        <f>IFERROR(INDEX(MgAmenGrupo,MATCH(SUBSTITUTE($H817,"*","-"),MgAmenClave,0)),"")</f>
        <v/>
      </c>
      <c r="K817" s="64">
        <f>IFERROR(INDEX('1. Matriz de Activos'!$Q$6:$Q$239,MATCH($C817,MgActId,0)),"")</f>
        <v/>
      </c>
      <c r="L817" s="64">
        <f>IFERROR(INDEX('1. Matriz de Activos'!$R$6:$R$239,MATCH($C817,MgActId,0)),"")</f>
        <v/>
      </c>
      <c r="M817" s="64">
        <f>IFERROR(INDEX('1. Matriz de Activos'!$S$6:$S$239,MATCH($C817,MgActId,0)),"")</f>
        <v/>
      </c>
      <c r="N817" s="28">
        <f>IFERROR(INDEX(MgAmenDegD,MATCH(SUBSTITUTE($H817,"*","-"),MgAmenClave,0)),"No aplica")</f>
        <v/>
      </c>
      <c r="O817" s="28">
        <f>IFERROR(INDEX(MgAmenDegI,MATCH(SUBSTITUTE($H817,"*","-"),MgAmenClave,0)),"No aplica")</f>
        <v/>
      </c>
      <c r="P817" s="28">
        <f>IFERROR(INDEX(MgAmenDegC,MATCH(SUBSTITUTE($H817,"*","-"),MgAmenClave,0)),"No aplica")</f>
        <v/>
      </c>
      <c r="Q817" s="29">
        <f>IFERROR(VLOOKUP(K817,MgValor,2,0)*VLOOKUP(N817,MgDeg,2,0),0)</f>
        <v/>
      </c>
      <c r="R817" s="29">
        <f>IFERROR(VLOOKUP(L817,MgValor,2,0)*VLOOKUP(O817,MgDeg,2,0),0)</f>
        <v/>
      </c>
      <c r="S817" s="29">
        <f>IFERROR(VLOOKUP(M817,MgValor,2,0)*VLOOKUP(P817,MgDeg,2,0),0)</f>
        <v/>
      </c>
      <c r="T817" s="30">
        <f>MAX(Q817:S817)</f>
        <v/>
      </c>
      <c r="U817" s="28">
        <f>IFERROR(LOOKUP(T817,{0;0.5;1.5;3;4.5},{"Despreciable";"Bajo";"Medio";"Alto";"Muy alto"}),"")</f>
        <v/>
      </c>
      <c r="V817" s="13">
        <f>IFERROR(INDEX(MgAmenFrec,MATCH(SUBSTITUTE($H817,"*","-"),MgAmenClave,0)),"")</f>
        <v/>
      </c>
      <c r="W817" s="28">
        <f>IFERROR(LOOKUP(X817,{0;0.01;0.1;1;10;100},{"Muy baja";"Muy baja";"Baja";"Media";"Alta";"Muy alta"}),"")</f>
        <v/>
      </c>
      <c r="X817" s="31">
        <f>IFERROR(VLOOKUP(V817,MgFrec,2,0),0)</f>
        <v/>
      </c>
      <c r="Y817" s="30">
        <f>T817*X817</f>
        <v/>
      </c>
      <c r="Z817" s="28">
        <f>IFERROR(LOOKUP(Y817,{0;0.5;5;25},{"Bajo";"Medio";"Alto";"Crítico"}),"")</f>
        <v/>
      </c>
      <c r="AA817" s="64">
        <f>IF(T817&gt;=3,IF(X817&gt;=1,"Zona 1 — Crítica: impacto alto y ocurre al menos una vez al año","Zona 4 — Catastrófica poco probable: impacto alto pero excepcional"),IF(AND(T817&lt;1.5,X817&lt;1),"Zona 3 — Asumible: impacto bajo y muy poco frecuente","Zona 2 — Atención: riesgo intermedio"))</f>
        <v/>
      </c>
      <c r="AB817" s="64">
        <f>IFERROR(INDEX(MgAmenCtrl,MATCH(SUBSTITUTE($H817,"*","-"),MgAmenClave,0)),"")</f>
        <v/>
      </c>
      <c r="AC817" s="20" t="n"/>
      <c r="AD817" s="31">
        <f>IFERROR($X817*(1-IF($AC817="",$AL817,VLOOKUP($AC817,MgMad,2,0))),"")</f>
        <v/>
      </c>
      <c r="AE817" s="28">
        <f>IFERROR(LOOKUP(AD817,{0;0.01;0.1;1;10;100},{"Muy baja";"Muy baja";"Baja";"Media";"Alta";"Muy alta"}),"")</f>
        <v/>
      </c>
      <c r="AF817" s="30">
        <f>T817*AD817</f>
        <v/>
      </c>
      <c r="AG817" s="28">
        <f>IFERROR(LOOKUP(AF817,{0;0.5;5;25},{"Bajo";"Medio";"Alto";"Crítico"}),"")</f>
        <v/>
      </c>
      <c r="AH817" s="28">
        <f>IF(AG817="","",IF(OR(AG817="Crítico",AG817="Alto"),"Mitigar",IF(AG817="Medio","Mitigar","Aceptar y monitorear")))</f>
        <v/>
      </c>
      <c r="AI817" s="21" t="n"/>
      <c r="AJ817" s="21" t="n"/>
      <c r="AK817" s="20" t="n"/>
      <c r="AL817" s="77">
        <f>IFERROR(INDEX(MgAmenEfic,MATCH(SUBSTITUTE($H817,"*","-"),MgAmenClave,0)),0)</f>
        <v/>
      </c>
    </row>
    <row r="818" hidden="1" ht="60" customHeight="1" s="54">
      <c r="B818" s="59" t="inlineStr">
        <is>
          <t>R-0813</t>
        </is>
      </c>
      <c r="C818" s="59" t="inlineStr">
        <is>
          <t>FIN-29</t>
        </is>
      </c>
      <c r="D818" s="64">
        <f>IFERROR(INDEX(MgNombre,MATCH($C818,MgActId,0)),"")</f>
        <v/>
      </c>
      <c r="E818" s="64">
        <f>IFERROR(INDEX(MgProceso,MATCH($C818,MgActId,0)),"")</f>
        <v/>
      </c>
      <c r="F818" s="64">
        <f>IFERROR(INDEX(MgTipo,MATCH($C818,MgActId,0)),"")</f>
        <v/>
      </c>
      <c r="G818" s="64">
        <f>IFERROR(INDEX(MgSubtipo,MATCH($C818,MgActId,0)),"")</f>
        <v/>
      </c>
      <c r="H818" s="59" t="inlineStr">
        <is>
          <t>A.3</t>
        </is>
      </c>
      <c r="I818" s="64">
        <f>IFERROR(INDEX(MgAmenNombre,MATCH(SUBSTITUTE($H818,"*","-"),MgAmenClave,0)),"")</f>
        <v/>
      </c>
      <c r="J818" s="28">
        <f>IFERROR(INDEX(MgAmenGrupo,MATCH(SUBSTITUTE($H818,"*","-"),MgAmenClave,0)),"")</f>
        <v/>
      </c>
      <c r="K818" s="64">
        <f>IFERROR(INDEX('1. Matriz de Activos'!$Q$6:$Q$239,MATCH($C818,MgActId,0)),"")</f>
        <v/>
      </c>
      <c r="L818" s="64">
        <f>IFERROR(INDEX('1. Matriz de Activos'!$R$6:$R$239,MATCH($C818,MgActId,0)),"")</f>
        <v/>
      </c>
      <c r="M818" s="64">
        <f>IFERROR(INDEX('1. Matriz de Activos'!$S$6:$S$239,MATCH($C818,MgActId,0)),"")</f>
        <v/>
      </c>
      <c r="N818" s="28">
        <f>IFERROR(INDEX(MgAmenDegD,MATCH(SUBSTITUTE($H818,"*","-"),MgAmenClave,0)),"No aplica")</f>
        <v/>
      </c>
      <c r="O818" s="28">
        <f>IFERROR(INDEX(MgAmenDegI,MATCH(SUBSTITUTE($H818,"*","-"),MgAmenClave,0)),"No aplica")</f>
        <v/>
      </c>
      <c r="P818" s="28">
        <f>IFERROR(INDEX(MgAmenDegC,MATCH(SUBSTITUTE($H818,"*","-"),MgAmenClave,0)),"No aplica")</f>
        <v/>
      </c>
      <c r="Q818" s="29">
        <f>IFERROR(VLOOKUP(K818,MgValor,2,0)*VLOOKUP(N818,MgDeg,2,0),0)</f>
        <v/>
      </c>
      <c r="R818" s="29">
        <f>IFERROR(VLOOKUP(L818,MgValor,2,0)*VLOOKUP(O818,MgDeg,2,0),0)</f>
        <v/>
      </c>
      <c r="S818" s="29">
        <f>IFERROR(VLOOKUP(M818,MgValor,2,0)*VLOOKUP(P818,MgDeg,2,0),0)</f>
        <v/>
      </c>
      <c r="T818" s="30">
        <f>MAX(Q818:S818)</f>
        <v/>
      </c>
      <c r="U818" s="28">
        <f>IFERROR(LOOKUP(T818,{0;0.5;1.5;3;4.5},{"Despreciable";"Bajo";"Medio";"Alto";"Muy alto"}),"")</f>
        <v/>
      </c>
      <c r="V818" s="13">
        <f>IFERROR(INDEX(MgAmenFrec,MATCH(SUBSTITUTE($H818,"*","-"),MgAmenClave,0)),"")</f>
        <v/>
      </c>
      <c r="W818" s="28">
        <f>IFERROR(LOOKUP(X818,{0;0.01;0.1;1;10;100},{"Muy baja";"Muy baja";"Baja";"Media";"Alta";"Muy alta"}),"")</f>
        <v/>
      </c>
      <c r="X818" s="31">
        <f>IFERROR(VLOOKUP(V818,MgFrec,2,0),0)</f>
        <v/>
      </c>
      <c r="Y818" s="30">
        <f>T818*X818</f>
        <v/>
      </c>
      <c r="Z818" s="28">
        <f>IFERROR(LOOKUP(Y818,{0;0.5;5;25},{"Bajo";"Medio";"Alto";"Crítico"}),"")</f>
        <v/>
      </c>
      <c r="AA818" s="64">
        <f>IF(T818&gt;=3,IF(X818&gt;=1,"Zona 1 — Crítica: impacto alto y ocurre al menos una vez al año","Zona 4 — Catastrófica poco probable: impacto alto pero excepcional"),IF(AND(T818&lt;1.5,X818&lt;1),"Zona 3 — Asumible: impacto bajo y muy poco frecuente","Zona 2 — Atención: riesgo intermedio"))</f>
        <v/>
      </c>
      <c r="AB818" s="64">
        <f>IFERROR(INDEX(MgAmenCtrl,MATCH(SUBSTITUTE($H818,"*","-"),MgAmenClave,0)),"")</f>
        <v/>
      </c>
      <c r="AC818" s="20" t="n"/>
      <c r="AD818" s="31">
        <f>IFERROR($X818*(1-IF($AC818="",$AL818,VLOOKUP($AC818,MgMad,2,0))),"")</f>
        <v/>
      </c>
      <c r="AE818" s="28">
        <f>IFERROR(LOOKUP(AD818,{0;0.01;0.1;1;10;100},{"Muy baja";"Muy baja";"Baja";"Media";"Alta";"Muy alta"}),"")</f>
        <v/>
      </c>
      <c r="AF818" s="30">
        <f>T818*AD818</f>
        <v/>
      </c>
      <c r="AG818" s="28">
        <f>IFERROR(LOOKUP(AF818,{0;0.5;5;25},{"Bajo";"Medio";"Alto";"Crítico"}),"")</f>
        <v/>
      </c>
      <c r="AH818" s="28">
        <f>IF(AG818="","",IF(OR(AG818="Crítico",AG818="Alto"),"Mitigar",IF(AG818="Medio","Mitigar","Aceptar y monitorear")))</f>
        <v/>
      </c>
      <c r="AI818" s="21" t="n"/>
      <c r="AJ818" s="21" t="n"/>
      <c r="AK818" s="20" t="n"/>
      <c r="AL818" s="77">
        <f>IFERROR(INDEX(MgAmenEfic,MATCH(SUBSTITUTE($H818,"*","-"),MgAmenClave,0)),0)</f>
        <v/>
      </c>
    </row>
    <row r="819" hidden="1" ht="60" customHeight="1" s="54">
      <c r="B819" s="59" t="inlineStr">
        <is>
          <t>R-0814</t>
        </is>
      </c>
      <c r="C819" s="59" t="inlineStr">
        <is>
          <t>FIN-29</t>
        </is>
      </c>
      <c r="D819" s="64">
        <f>IFERROR(INDEX(MgNombre,MATCH($C819,MgActId,0)),"")</f>
        <v/>
      </c>
      <c r="E819" s="64">
        <f>IFERROR(INDEX(MgProceso,MATCH($C819,MgActId,0)),"")</f>
        <v/>
      </c>
      <c r="F819" s="64">
        <f>IFERROR(INDEX(MgTipo,MATCH($C819,MgActId,0)),"")</f>
        <v/>
      </c>
      <c r="G819" s="64">
        <f>IFERROR(INDEX(MgSubtipo,MATCH($C819,MgActId,0)),"")</f>
        <v/>
      </c>
      <c r="H819" s="59" t="inlineStr">
        <is>
          <t>A.4</t>
        </is>
      </c>
      <c r="I819" s="64">
        <f>IFERROR(INDEX(MgAmenNombre,MATCH(SUBSTITUTE($H819,"*","-"),MgAmenClave,0)),"")</f>
        <v/>
      </c>
      <c r="J819" s="28">
        <f>IFERROR(INDEX(MgAmenGrupo,MATCH(SUBSTITUTE($H819,"*","-"),MgAmenClave,0)),"")</f>
        <v/>
      </c>
      <c r="K819" s="64">
        <f>IFERROR(INDEX('1. Matriz de Activos'!$Q$6:$Q$239,MATCH($C819,MgActId,0)),"")</f>
        <v/>
      </c>
      <c r="L819" s="64">
        <f>IFERROR(INDEX('1. Matriz de Activos'!$R$6:$R$239,MATCH($C819,MgActId,0)),"")</f>
        <v/>
      </c>
      <c r="M819" s="64">
        <f>IFERROR(INDEX('1. Matriz de Activos'!$S$6:$S$239,MATCH($C819,MgActId,0)),"")</f>
        <v/>
      </c>
      <c r="N819" s="28">
        <f>IFERROR(INDEX(MgAmenDegD,MATCH(SUBSTITUTE($H819,"*","-"),MgAmenClave,0)),"No aplica")</f>
        <v/>
      </c>
      <c r="O819" s="28">
        <f>IFERROR(INDEX(MgAmenDegI,MATCH(SUBSTITUTE($H819,"*","-"),MgAmenClave,0)),"No aplica")</f>
        <v/>
      </c>
      <c r="P819" s="28">
        <f>IFERROR(INDEX(MgAmenDegC,MATCH(SUBSTITUTE($H819,"*","-"),MgAmenClave,0)),"No aplica")</f>
        <v/>
      </c>
      <c r="Q819" s="29">
        <f>IFERROR(VLOOKUP(K819,MgValor,2,0)*VLOOKUP(N819,MgDeg,2,0),0)</f>
        <v/>
      </c>
      <c r="R819" s="29">
        <f>IFERROR(VLOOKUP(L819,MgValor,2,0)*VLOOKUP(O819,MgDeg,2,0),0)</f>
        <v/>
      </c>
      <c r="S819" s="29">
        <f>IFERROR(VLOOKUP(M819,MgValor,2,0)*VLOOKUP(P819,MgDeg,2,0),0)</f>
        <v/>
      </c>
      <c r="T819" s="30">
        <f>MAX(Q819:S819)</f>
        <v/>
      </c>
      <c r="U819" s="28">
        <f>IFERROR(LOOKUP(T819,{0;0.5;1.5;3;4.5},{"Despreciable";"Bajo";"Medio";"Alto";"Muy alto"}),"")</f>
        <v/>
      </c>
      <c r="V819" s="13">
        <f>IFERROR(INDEX(MgAmenFrec,MATCH(SUBSTITUTE($H819,"*","-"),MgAmenClave,0)),"")</f>
        <v/>
      </c>
      <c r="W819" s="28">
        <f>IFERROR(LOOKUP(X819,{0;0.01;0.1;1;10;100},{"Muy baja";"Muy baja";"Baja";"Media";"Alta";"Muy alta"}),"")</f>
        <v/>
      </c>
      <c r="X819" s="31">
        <f>IFERROR(VLOOKUP(V819,MgFrec,2,0),0)</f>
        <v/>
      </c>
      <c r="Y819" s="30">
        <f>T819*X819</f>
        <v/>
      </c>
      <c r="Z819" s="28">
        <f>IFERROR(LOOKUP(Y819,{0;0.5;5;25},{"Bajo";"Medio";"Alto";"Crítico"}),"")</f>
        <v/>
      </c>
      <c r="AA819" s="64">
        <f>IF(T819&gt;=3,IF(X819&gt;=1,"Zona 1 — Crítica: impacto alto y ocurre al menos una vez al año","Zona 4 — Catastrófica poco probable: impacto alto pero excepcional"),IF(AND(T819&lt;1.5,X819&lt;1),"Zona 3 — Asumible: impacto bajo y muy poco frecuente","Zona 2 — Atención: riesgo intermedio"))</f>
        <v/>
      </c>
      <c r="AB819" s="64">
        <f>IFERROR(INDEX(MgAmenCtrl,MATCH(SUBSTITUTE($H819,"*","-"),MgAmenClave,0)),"")</f>
        <v/>
      </c>
      <c r="AC819" s="20" t="n"/>
      <c r="AD819" s="31">
        <f>IFERROR($X819*(1-IF($AC819="",$AL819,VLOOKUP($AC819,MgMad,2,0))),"")</f>
        <v/>
      </c>
      <c r="AE819" s="28">
        <f>IFERROR(LOOKUP(AD819,{0;0.01;0.1;1;10;100},{"Muy baja";"Muy baja";"Baja";"Media";"Alta";"Muy alta"}),"")</f>
        <v/>
      </c>
      <c r="AF819" s="30">
        <f>T819*AD819</f>
        <v/>
      </c>
      <c r="AG819" s="28">
        <f>IFERROR(LOOKUP(AF819,{0;0.5;5;25},{"Bajo";"Medio";"Alto";"Crítico"}),"")</f>
        <v/>
      </c>
      <c r="AH819" s="28">
        <f>IF(AG819="","",IF(OR(AG819="Crítico",AG819="Alto"),"Mitigar",IF(AG819="Medio","Mitigar","Aceptar y monitorear")))</f>
        <v/>
      </c>
      <c r="AI819" s="21" t="n"/>
      <c r="AJ819" s="21" t="n"/>
      <c r="AK819" s="20" t="n"/>
      <c r="AL819" s="77">
        <f>IFERROR(INDEX(MgAmenEfic,MATCH(SUBSTITUTE($H819,"*","-"),MgAmenClave,0)),0)</f>
        <v/>
      </c>
    </row>
    <row r="820" hidden="1" ht="75" customHeight="1" s="54">
      <c r="B820" s="59" t="inlineStr">
        <is>
          <t>R-0815</t>
        </is>
      </c>
      <c r="C820" s="59" t="inlineStr">
        <is>
          <t>FIN-29</t>
        </is>
      </c>
      <c r="D820" s="64">
        <f>IFERROR(INDEX(MgNombre,MATCH($C820,MgActId,0)),"")</f>
        <v/>
      </c>
      <c r="E820" s="64">
        <f>IFERROR(INDEX(MgProceso,MATCH($C820,MgActId,0)),"")</f>
        <v/>
      </c>
      <c r="F820" s="64">
        <f>IFERROR(INDEX(MgTipo,MATCH($C820,MgActId,0)),"")</f>
        <v/>
      </c>
      <c r="G820" s="64">
        <f>IFERROR(INDEX(MgSubtipo,MATCH($C820,MgActId,0)),"")</f>
        <v/>
      </c>
      <c r="H820" s="59" t="inlineStr">
        <is>
          <t>A.5</t>
        </is>
      </c>
      <c r="I820" s="64">
        <f>IFERROR(INDEX(MgAmenNombre,MATCH(SUBSTITUTE($H820,"*","-"),MgAmenClave,0)),"")</f>
        <v/>
      </c>
      <c r="J820" s="28">
        <f>IFERROR(INDEX(MgAmenGrupo,MATCH(SUBSTITUTE($H820,"*","-"),MgAmenClave,0)),"")</f>
        <v/>
      </c>
      <c r="K820" s="64">
        <f>IFERROR(INDEX('1. Matriz de Activos'!$Q$6:$Q$239,MATCH($C820,MgActId,0)),"")</f>
        <v/>
      </c>
      <c r="L820" s="64">
        <f>IFERROR(INDEX('1. Matriz de Activos'!$R$6:$R$239,MATCH($C820,MgActId,0)),"")</f>
        <v/>
      </c>
      <c r="M820" s="64">
        <f>IFERROR(INDEX('1. Matriz de Activos'!$S$6:$S$239,MATCH($C820,MgActId,0)),"")</f>
        <v/>
      </c>
      <c r="N820" s="28">
        <f>IFERROR(INDEX(MgAmenDegD,MATCH(SUBSTITUTE($H820,"*","-"),MgAmenClave,0)),"No aplica")</f>
        <v/>
      </c>
      <c r="O820" s="28">
        <f>IFERROR(INDEX(MgAmenDegI,MATCH(SUBSTITUTE($H820,"*","-"),MgAmenClave,0)),"No aplica")</f>
        <v/>
      </c>
      <c r="P820" s="28">
        <f>IFERROR(INDEX(MgAmenDegC,MATCH(SUBSTITUTE($H820,"*","-"),MgAmenClave,0)),"No aplica")</f>
        <v/>
      </c>
      <c r="Q820" s="29">
        <f>IFERROR(VLOOKUP(K820,MgValor,2,0)*VLOOKUP(N820,MgDeg,2,0),0)</f>
        <v/>
      </c>
      <c r="R820" s="29">
        <f>IFERROR(VLOOKUP(L820,MgValor,2,0)*VLOOKUP(O820,MgDeg,2,0),0)</f>
        <v/>
      </c>
      <c r="S820" s="29">
        <f>IFERROR(VLOOKUP(M820,MgValor,2,0)*VLOOKUP(P820,MgDeg,2,0),0)</f>
        <v/>
      </c>
      <c r="T820" s="30">
        <f>MAX(Q820:S820)</f>
        <v/>
      </c>
      <c r="U820" s="28">
        <f>IFERROR(LOOKUP(T820,{0;0.5;1.5;3;4.5},{"Despreciable";"Bajo";"Medio";"Alto";"Muy alto"}),"")</f>
        <v/>
      </c>
      <c r="V820" s="13">
        <f>IFERROR(INDEX(MgAmenFrec,MATCH(SUBSTITUTE($H820,"*","-"),MgAmenClave,0)),"")</f>
        <v/>
      </c>
      <c r="W820" s="28">
        <f>IFERROR(LOOKUP(X820,{0;0.01;0.1;1;10;100},{"Muy baja";"Muy baja";"Baja";"Media";"Alta";"Muy alta"}),"")</f>
        <v/>
      </c>
      <c r="X820" s="31">
        <f>IFERROR(VLOOKUP(V820,MgFrec,2,0),0)</f>
        <v/>
      </c>
      <c r="Y820" s="30">
        <f>T820*X820</f>
        <v/>
      </c>
      <c r="Z820" s="28">
        <f>IFERROR(LOOKUP(Y820,{0;0.5;5;25},{"Bajo";"Medio";"Alto";"Crítico"}),"")</f>
        <v/>
      </c>
      <c r="AA820" s="64">
        <f>IF(T820&gt;=3,IF(X820&gt;=1,"Zona 1 — Crítica: impacto alto y ocurre al menos una vez al año","Zona 4 — Catastrófica poco probable: impacto alto pero excepcional"),IF(AND(T820&lt;1.5,X820&lt;1),"Zona 3 — Asumible: impacto bajo y muy poco frecuente","Zona 2 — Atención: riesgo intermedio"))</f>
        <v/>
      </c>
      <c r="AB820" s="64">
        <f>IFERROR(INDEX(MgAmenCtrl,MATCH(SUBSTITUTE($H820,"*","-"),MgAmenClave,0)),"")</f>
        <v/>
      </c>
      <c r="AC820" s="20" t="n"/>
      <c r="AD820" s="31">
        <f>IFERROR($X820*(1-IF($AC820="",$AL820,VLOOKUP($AC820,MgMad,2,0))),"")</f>
        <v/>
      </c>
      <c r="AE820" s="28">
        <f>IFERROR(LOOKUP(AD820,{0;0.01;0.1;1;10;100},{"Muy baja";"Muy baja";"Baja";"Media";"Alta";"Muy alta"}),"")</f>
        <v/>
      </c>
      <c r="AF820" s="30">
        <f>T820*AD820</f>
        <v/>
      </c>
      <c r="AG820" s="28">
        <f>IFERROR(LOOKUP(AF820,{0;0.5;5;25},{"Bajo";"Medio";"Alto";"Crítico"}),"")</f>
        <v/>
      </c>
      <c r="AH820" s="28">
        <f>IF(AG820="","",IF(OR(AG820="Crítico",AG820="Alto"),"Mitigar",IF(AG820="Medio","Mitigar","Aceptar y monitorear")))</f>
        <v/>
      </c>
      <c r="AI820" s="21" t="n"/>
      <c r="AJ820" s="21" t="n"/>
      <c r="AK820" s="20" t="n"/>
      <c r="AL820" s="77">
        <f>IFERROR(INDEX(MgAmenEfic,MATCH(SUBSTITUTE($H820,"*","-"),MgAmenClave,0)),0)</f>
        <v/>
      </c>
    </row>
    <row r="821" hidden="1" ht="105" customHeight="1" s="54">
      <c r="B821" s="59" t="inlineStr">
        <is>
          <t>R-0816</t>
        </is>
      </c>
      <c r="C821" s="59" t="inlineStr">
        <is>
          <t>FIN-29</t>
        </is>
      </c>
      <c r="D821" s="64">
        <f>IFERROR(INDEX(MgNombre,MATCH($C821,MgActId,0)),"")</f>
        <v/>
      </c>
      <c r="E821" s="64">
        <f>IFERROR(INDEX(MgProceso,MATCH($C821,MgActId,0)),"")</f>
        <v/>
      </c>
      <c r="F821" s="64">
        <f>IFERROR(INDEX(MgTipo,MATCH($C821,MgActId,0)),"")</f>
        <v/>
      </c>
      <c r="G821" s="64">
        <f>IFERROR(INDEX(MgSubtipo,MATCH($C821,MgActId,0)),"")</f>
        <v/>
      </c>
      <c r="H821" s="59" t="inlineStr">
        <is>
          <t>A.6</t>
        </is>
      </c>
      <c r="I821" s="64">
        <f>IFERROR(INDEX(MgAmenNombre,MATCH(SUBSTITUTE($H821,"*","-"),MgAmenClave,0)),"")</f>
        <v/>
      </c>
      <c r="J821" s="28">
        <f>IFERROR(INDEX(MgAmenGrupo,MATCH(SUBSTITUTE($H821,"*","-"),MgAmenClave,0)),"")</f>
        <v/>
      </c>
      <c r="K821" s="64">
        <f>IFERROR(INDEX('1. Matriz de Activos'!$Q$6:$Q$239,MATCH($C821,MgActId,0)),"")</f>
        <v/>
      </c>
      <c r="L821" s="64">
        <f>IFERROR(INDEX('1. Matriz de Activos'!$R$6:$R$239,MATCH($C821,MgActId,0)),"")</f>
        <v/>
      </c>
      <c r="M821" s="64">
        <f>IFERROR(INDEX('1. Matriz de Activos'!$S$6:$S$239,MATCH($C821,MgActId,0)),"")</f>
        <v/>
      </c>
      <c r="N821" s="28">
        <f>IFERROR(INDEX(MgAmenDegD,MATCH(SUBSTITUTE($H821,"*","-"),MgAmenClave,0)),"No aplica")</f>
        <v/>
      </c>
      <c r="O821" s="28">
        <f>IFERROR(INDEX(MgAmenDegI,MATCH(SUBSTITUTE($H821,"*","-"),MgAmenClave,0)),"No aplica")</f>
        <v/>
      </c>
      <c r="P821" s="28">
        <f>IFERROR(INDEX(MgAmenDegC,MATCH(SUBSTITUTE($H821,"*","-"),MgAmenClave,0)),"No aplica")</f>
        <v/>
      </c>
      <c r="Q821" s="29">
        <f>IFERROR(VLOOKUP(K821,MgValor,2,0)*VLOOKUP(N821,MgDeg,2,0),0)</f>
        <v/>
      </c>
      <c r="R821" s="29">
        <f>IFERROR(VLOOKUP(L821,MgValor,2,0)*VLOOKUP(O821,MgDeg,2,0),0)</f>
        <v/>
      </c>
      <c r="S821" s="29">
        <f>IFERROR(VLOOKUP(M821,MgValor,2,0)*VLOOKUP(P821,MgDeg,2,0),0)</f>
        <v/>
      </c>
      <c r="T821" s="30">
        <f>MAX(Q821:S821)</f>
        <v/>
      </c>
      <c r="U821" s="28">
        <f>IFERROR(LOOKUP(T821,{0;0.5;1.5;3;4.5},{"Despreciable";"Bajo";"Medio";"Alto";"Muy alto"}),"")</f>
        <v/>
      </c>
      <c r="V821" s="13">
        <f>IFERROR(INDEX(MgAmenFrec,MATCH(SUBSTITUTE($H821,"*","-"),MgAmenClave,0)),"")</f>
        <v/>
      </c>
      <c r="W821" s="28">
        <f>IFERROR(LOOKUP(X821,{0;0.01;0.1;1;10;100},{"Muy baja";"Muy baja";"Baja";"Media";"Alta";"Muy alta"}),"")</f>
        <v/>
      </c>
      <c r="X821" s="31">
        <f>IFERROR(VLOOKUP(V821,MgFrec,2,0),0)</f>
        <v/>
      </c>
      <c r="Y821" s="30">
        <f>T821*X821</f>
        <v/>
      </c>
      <c r="Z821" s="28">
        <f>IFERROR(LOOKUP(Y821,{0;0.5;5;25},{"Bajo";"Medio";"Alto";"Crítico"}),"")</f>
        <v/>
      </c>
      <c r="AA821" s="64">
        <f>IF(T821&gt;=3,IF(X821&gt;=1,"Zona 1 — Crítica: impacto alto y ocurre al menos una vez al año","Zona 4 — Catastrófica poco probable: impacto alto pero excepcional"),IF(AND(T821&lt;1.5,X821&lt;1),"Zona 3 — Asumible: impacto bajo y muy poco frecuente","Zona 2 — Atención: riesgo intermedio"))</f>
        <v/>
      </c>
      <c r="AB821" s="64">
        <f>IFERROR(INDEX(MgAmenCtrl,MATCH(SUBSTITUTE($H821,"*","-"),MgAmenClave,0)),"")</f>
        <v/>
      </c>
      <c r="AC821" s="20" t="n"/>
      <c r="AD821" s="31">
        <f>IFERROR($X821*(1-IF($AC821="",$AL821,VLOOKUP($AC821,MgMad,2,0))),"")</f>
        <v/>
      </c>
      <c r="AE821" s="28">
        <f>IFERROR(LOOKUP(AD821,{0;0.01;0.1;1;10;100},{"Muy baja";"Muy baja";"Baja";"Media";"Alta";"Muy alta"}),"")</f>
        <v/>
      </c>
      <c r="AF821" s="30">
        <f>T821*AD821</f>
        <v/>
      </c>
      <c r="AG821" s="28">
        <f>IFERROR(LOOKUP(AF821,{0;0.5;5;25},{"Bajo";"Medio";"Alto";"Crítico"}),"")</f>
        <v/>
      </c>
      <c r="AH821" s="28">
        <f>IF(AG821="","",IF(OR(AG821="Crítico",AG821="Alto"),"Mitigar",IF(AG821="Medio","Mitigar","Aceptar y monitorear")))</f>
        <v/>
      </c>
      <c r="AI821" s="21" t="n"/>
      <c r="AJ821" s="21" t="n"/>
      <c r="AK821" s="20" t="n"/>
      <c r="AL821" s="77">
        <f>IFERROR(INDEX(MgAmenEfic,MATCH(SUBSTITUTE($H821,"*","-"),MgAmenClave,0)),0)</f>
        <v/>
      </c>
    </row>
    <row r="822" hidden="1" ht="120" customHeight="1" s="54">
      <c r="B822" s="59" t="inlineStr">
        <is>
          <t>R-0817</t>
        </is>
      </c>
      <c r="C822" s="59" t="inlineStr">
        <is>
          <t>FIN-29</t>
        </is>
      </c>
      <c r="D822" s="64">
        <f>IFERROR(INDEX(MgNombre,MATCH($C822,MgActId,0)),"")</f>
        <v/>
      </c>
      <c r="E822" s="64">
        <f>IFERROR(INDEX(MgProceso,MATCH($C822,MgActId,0)),"")</f>
        <v/>
      </c>
      <c r="F822" s="64">
        <f>IFERROR(INDEX(MgTipo,MATCH($C822,MgActId,0)),"")</f>
        <v/>
      </c>
      <c r="G822" s="64">
        <f>IFERROR(INDEX(MgSubtipo,MATCH($C822,MgActId,0)),"")</f>
        <v/>
      </c>
      <c r="H822" s="59" t="inlineStr">
        <is>
          <t>A.11</t>
        </is>
      </c>
      <c r="I822" s="64">
        <f>IFERROR(INDEX(MgAmenNombre,MATCH(SUBSTITUTE($H822,"*","-"),MgAmenClave,0)),"")</f>
        <v/>
      </c>
      <c r="J822" s="28">
        <f>IFERROR(INDEX(MgAmenGrupo,MATCH(SUBSTITUTE($H822,"*","-"),MgAmenClave,0)),"")</f>
        <v/>
      </c>
      <c r="K822" s="64">
        <f>IFERROR(INDEX('1. Matriz de Activos'!$Q$6:$Q$239,MATCH($C822,MgActId,0)),"")</f>
        <v/>
      </c>
      <c r="L822" s="64">
        <f>IFERROR(INDEX('1. Matriz de Activos'!$R$6:$R$239,MATCH($C822,MgActId,0)),"")</f>
        <v/>
      </c>
      <c r="M822" s="64">
        <f>IFERROR(INDEX('1. Matriz de Activos'!$S$6:$S$239,MATCH($C822,MgActId,0)),"")</f>
        <v/>
      </c>
      <c r="N822" s="28">
        <f>IFERROR(INDEX(MgAmenDegD,MATCH(SUBSTITUTE($H822,"*","-"),MgAmenClave,0)),"No aplica")</f>
        <v/>
      </c>
      <c r="O822" s="28">
        <f>IFERROR(INDEX(MgAmenDegI,MATCH(SUBSTITUTE($H822,"*","-"),MgAmenClave,0)),"No aplica")</f>
        <v/>
      </c>
      <c r="P822" s="28">
        <f>IFERROR(INDEX(MgAmenDegC,MATCH(SUBSTITUTE($H822,"*","-"),MgAmenClave,0)),"No aplica")</f>
        <v/>
      </c>
      <c r="Q822" s="29">
        <f>IFERROR(VLOOKUP(K822,MgValor,2,0)*VLOOKUP(N822,MgDeg,2,0),0)</f>
        <v/>
      </c>
      <c r="R822" s="29">
        <f>IFERROR(VLOOKUP(L822,MgValor,2,0)*VLOOKUP(O822,MgDeg,2,0),0)</f>
        <v/>
      </c>
      <c r="S822" s="29">
        <f>IFERROR(VLOOKUP(M822,MgValor,2,0)*VLOOKUP(P822,MgDeg,2,0),0)</f>
        <v/>
      </c>
      <c r="T822" s="30">
        <f>MAX(Q822:S822)</f>
        <v/>
      </c>
      <c r="U822" s="28">
        <f>IFERROR(LOOKUP(T822,{0;0.5;1.5;3;4.5},{"Despreciable";"Bajo";"Medio";"Alto";"Muy alto"}),"")</f>
        <v/>
      </c>
      <c r="V822" s="13">
        <f>IFERROR(INDEX(MgAmenFrec,MATCH(SUBSTITUTE($H822,"*","-"),MgAmenClave,0)),"")</f>
        <v/>
      </c>
      <c r="W822" s="28">
        <f>IFERROR(LOOKUP(X822,{0;0.01;0.1;1;10;100},{"Muy baja";"Muy baja";"Baja";"Media";"Alta";"Muy alta"}),"")</f>
        <v/>
      </c>
      <c r="X822" s="31">
        <f>IFERROR(VLOOKUP(V822,MgFrec,2,0),0)</f>
        <v/>
      </c>
      <c r="Y822" s="30">
        <f>T822*X822</f>
        <v/>
      </c>
      <c r="Z822" s="28">
        <f>IFERROR(LOOKUP(Y822,{0;0.5;5;25},{"Bajo";"Medio";"Alto";"Crítico"}),"")</f>
        <v/>
      </c>
      <c r="AA822" s="64">
        <f>IF(T822&gt;=3,IF(X822&gt;=1,"Zona 1 — Crítica: impacto alto y ocurre al menos una vez al año","Zona 4 — Catastrófica poco probable: impacto alto pero excepcional"),IF(AND(T822&lt;1.5,X822&lt;1),"Zona 3 — Asumible: impacto bajo y muy poco frecuente","Zona 2 — Atención: riesgo intermedio"))</f>
        <v/>
      </c>
      <c r="AB822" s="64">
        <f>IFERROR(INDEX(MgAmenCtrl,MATCH(SUBSTITUTE($H822,"*","-"),MgAmenClave,0)),"")</f>
        <v/>
      </c>
      <c r="AC822" s="20" t="n"/>
      <c r="AD822" s="31">
        <f>IFERROR($X822*(1-IF($AC822="",$AL822,VLOOKUP($AC822,MgMad,2,0))),"")</f>
        <v/>
      </c>
      <c r="AE822" s="28">
        <f>IFERROR(LOOKUP(AD822,{0;0.01;0.1;1;10;100},{"Muy baja";"Muy baja";"Baja";"Media";"Alta";"Muy alta"}),"")</f>
        <v/>
      </c>
      <c r="AF822" s="30">
        <f>T822*AD822</f>
        <v/>
      </c>
      <c r="AG822" s="28">
        <f>IFERROR(LOOKUP(AF822,{0;0.5;5;25},{"Bajo";"Medio";"Alto";"Crítico"}),"")</f>
        <v/>
      </c>
      <c r="AH822" s="28">
        <f>IF(AG822="","",IF(OR(AG822="Crítico",AG822="Alto"),"Mitigar",IF(AG822="Medio","Mitigar","Aceptar y monitorear")))</f>
        <v/>
      </c>
      <c r="AI822" s="21" t="n"/>
      <c r="AJ822" s="21" t="n"/>
      <c r="AK822" s="20" t="n"/>
      <c r="AL822" s="77">
        <f>IFERROR(INDEX(MgAmenEfic,MATCH(SUBSTITUTE($H822,"*","-"),MgAmenClave,0)),0)</f>
        <v/>
      </c>
    </row>
    <row r="823" hidden="1" ht="90" customHeight="1" s="54">
      <c r="B823" s="59" t="inlineStr">
        <is>
          <t>R-0818</t>
        </is>
      </c>
      <c r="C823" s="59" t="inlineStr">
        <is>
          <t>FIN-29</t>
        </is>
      </c>
      <c r="D823" s="64">
        <f>IFERROR(INDEX(MgNombre,MATCH($C823,MgActId,0)),"")</f>
        <v/>
      </c>
      <c r="E823" s="64">
        <f>IFERROR(INDEX(MgProceso,MATCH($C823,MgActId,0)),"")</f>
        <v/>
      </c>
      <c r="F823" s="64">
        <f>IFERROR(INDEX(MgTipo,MATCH($C823,MgActId,0)),"")</f>
        <v/>
      </c>
      <c r="G823" s="64">
        <f>IFERROR(INDEX(MgSubtipo,MATCH($C823,MgActId,0)),"")</f>
        <v/>
      </c>
      <c r="H823" s="59" t="inlineStr">
        <is>
          <t>A.13</t>
        </is>
      </c>
      <c r="I823" s="64">
        <f>IFERROR(INDEX(MgAmenNombre,MATCH(SUBSTITUTE($H823,"*","-"),MgAmenClave,0)),"")</f>
        <v/>
      </c>
      <c r="J823" s="28">
        <f>IFERROR(INDEX(MgAmenGrupo,MATCH(SUBSTITUTE($H823,"*","-"),MgAmenClave,0)),"")</f>
        <v/>
      </c>
      <c r="K823" s="64">
        <f>IFERROR(INDEX('1. Matriz de Activos'!$Q$6:$Q$239,MATCH($C823,MgActId,0)),"")</f>
        <v/>
      </c>
      <c r="L823" s="64">
        <f>IFERROR(INDEX('1. Matriz de Activos'!$R$6:$R$239,MATCH($C823,MgActId,0)),"")</f>
        <v/>
      </c>
      <c r="M823" s="64">
        <f>IFERROR(INDEX('1. Matriz de Activos'!$S$6:$S$239,MATCH($C823,MgActId,0)),"")</f>
        <v/>
      </c>
      <c r="N823" s="28">
        <f>IFERROR(INDEX(MgAmenDegD,MATCH(SUBSTITUTE($H823,"*","-"),MgAmenClave,0)),"No aplica")</f>
        <v/>
      </c>
      <c r="O823" s="28">
        <f>IFERROR(INDEX(MgAmenDegI,MATCH(SUBSTITUTE($H823,"*","-"),MgAmenClave,0)),"No aplica")</f>
        <v/>
      </c>
      <c r="P823" s="28">
        <f>IFERROR(INDEX(MgAmenDegC,MATCH(SUBSTITUTE($H823,"*","-"),MgAmenClave,0)),"No aplica")</f>
        <v/>
      </c>
      <c r="Q823" s="29">
        <f>IFERROR(VLOOKUP(K823,MgValor,2,0)*VLOOKUP(N823,MgDeg,2,0),0)</f>
        <v/>
      </c>
      <c r="R823" s="29">
        <f>IFERROR(VLOOKUP(L823,MgValor,2,0)*VLOOKUP(O823,MgDeg,2,0),0)</f>
        <v/>
      </c>
      <c r="S823" s="29">
        <f>IFERROR(VLOOKUP(M823,MgValor,2,0)*VLOOKUP(P823,MgDeg,2,0),0)</f>
        <v/>
      </c>
      <c r="T823" s="30">
        <f>MAX(Q823:S823)</f>
        <v/>
      </c>
      <c r="U823" s="28">
        <f>IFERROR(LOOKUP(T823,{0;0.5;1.5;3;4.5},{"Despreciable";"Bajo";"Medio";"Alto";"Muy alto"}),"")</f>
        <v/>
      </c>
      <c r="V823" s="13">
        <f>IFERROR(INDEX(MgAmenFrec,MATCH(SUBSTITUTE($H823,"*","-"),MgAmenClave,0)),"")</f>
        <v/>
      </c>
      <c r="W823" s="28">
        <f>IFERROR(LOOKUP(X823,{0;0.01;0.1;1;10;100},{"Muy baja";"Muy baja";"Baja";"Media";"Alta";"Muy alta"}),"")</f>
        <v/>
      </c>
      <c r="X823" s="31">
        <f>IFERROR(VLOOKUP(V823,MgFrec,2,0),0)</f>
        <v/>
      </c>
      <c r="Y823" s="30">
        <f>T823*X823</f>
        <v/>
      </c>
      <c r="Z823" s="28">
        <f>IFERROR(LOOKUP(Y823,{0;0.5;5;25},{"Bajo";"Medio";"Alto";"Crítico"}),"")</f>
        <v/>
      </c>
      <c r="AA823" s="64">
        <f>IF(T823&gt;=3,IF(X823&gt;=1,"Zona 1 — Crítica: impacto alto y ocurre al menos una vez al año","Zona 4 — Catastrófica poco probable: impacto alto pero excepcional"),IF(AND(T823&lt;1.5,X823&lt;1),"Zona 3 — Asumible: impacto bajo y muy poco frecuente","Zona 2 — Atención: riesgo intermedio"))</f>
        <v/>
      </c>
      <c r="AB823" s="64">
        <f>IFERROR(INDEX(MgAmenCtrl,MATCH(SUBSTITUTE($H823,"*","-"),MgAmenClave,0)),"")</f>
        <v/>
      </c>
      <c r="AC823" s="20" t="n"/>
      <c r="AD823" s="31">
        <f>IFERROR($X823*(1-IF($AC823="",$AL823,VLOOKUP($AC823,MgMad,2,0))),"")</f>
        <v/>
      </c>
      <c r="AE823" s="28">
        <f>IFERROR(LOOKUP(AD823,{0;0.01;0.1;1;10;100},{"Muy baja";"Muy baja";"Baja";"Media";"Alta";"Muy alta"}),"")</f>
        <v/>
      </c>
      <c r="AF823" s="30">
        <f>T823*AD823</f>
        <v/>
      </c>
      <c r="AG823" s="28">
        <f>IFERROR(LOOKUP(AF823,{0;0.5;5;25},{"Bajo";"Medio";"Alto";"Crítico"}),"")</f>
        <v/>
      </c>
      <c r="AH823" s="28">
        <f>IF(AG823="","",IF(OR(AG823="Crítico",AG823="Alto"),"Mitigar",IF(AG823="Medio","Mitigar","Aceptar y monitorear")))</f>
        <v/>
      </c>
      <c r="AI823" s="21" t="n"/>
      <c r="AJ823" s="21" t="n"/>
      <c r="AK823" s="20" t="n"/>
      <c r="AL823" s="77">
        <f>IFERROR(INDEX(MgAmenEfic,MATCH(SUBSTITUTE($H823,"*","-"),MgAmenClave,0)),0)</f>
        <v/>
      </c>
    </row>
    <row r="824" hidden="1" ht="60" customHeight="1" s="54">
      <c r="B824" s="59" t="inlineStr">
        <is>
          <t>R-0819</t>
        </is>
      </c>
      <c r="C824" s="59" t="inlineStr">
        <is>
          <t>FIN-29</t>
        </is>
      </c>
      <c r="D824" s="64">
        <f>IFERROR(INDEX(MgNombre,MATCH($C824,MgActId,0)),"")</f>
        <v/>
      </c>
      <c r="E824" s="64">
        <f>IFERROR(INDEX(MgProceso,MATCH($C824,MgActId,0)),"")</f>
        <v/>
      </c>
      <c r="F824" s="64">
        <f>IFERROR(INDEX(MgTipo,MATCH($C824,MgActId,0)),"")</f>
        <v/>
      </c>
      <c r="G824" s="64">
        <f>IFERROR(INDEX(MgSubtipo,MATCH($C824,MgActId,0)),"")</f>
        <v/>
      </c>
      <c r="H824" s="59" t="inlineStr">
        <is>
          <t>A.15</t>
        </is>
      </c>
      <c r="I824" s="64">
        <f>IFERROR(INDEX(MgAmenNombre,MATCH(SUBSTITUTE($H824,"*","-"),MgAmenClave,0)),"")</f>
        <v/>
      </c>
      <c r="J824" s="28">
        <f>IFERROR(INDEX(MgAmenGrupo,MATCH(SUBSTITUTE($H824,"*","-"),MgAmenClave,0)),"")</f>
        <v/>
      </c>
      <c r="K824" s="64">
        <f>IFERROR(INDEX('1. Matriz de Activos'!$Q$6:$Q$239,MATCH($C824,MgActId,0)),"")</f>
        <v/>
      </c>
      <c r="L824" s="64">
        <f>IFERROR(INDEX('1. Matriz de Activos'!$R$6:$R$239,MATCH($C824,MgActId,0)),"")</f>
        <v/>
      </c>
      <c r="M824" s="64">
        <f>IFERROR(INDEX('1. Matriz de Activos'!$S$6:$S$239,MATCH($C824,MgActId,0)),"")</f>
        <v/>
      </c>
      <c r="N824" s="28">
        <f>IFERROR(INDEX(MgAmenDegD,MATCH(SUBSTITUTE($H824,"*","-"),MgAmenClave,0)),"No aplica")</f>
        <v/>
      </c>
      <c r="O824" s="28">
        <f>IFERROR(INDEX(MgAmenDegI,MATCH(SUBSTITUTE($H824,"*","-"),MgAmenClave,0)),"No aplica")</f>
        <v/>
      </c>
      <c r="P824" s="28">
        <f>IFERROR(INDEX(MgAmenDegC,MATCH(SUBSTITUTE($H824,"*","-"),MgAmenClave,0)),"No aplica")</f>
        <v/>
      </c>
      <c r="Q824" s="29">
        <f>IFERROR(VLOOKUP(K824,MgValor,2,0)*VLOOKUP(N824,MgDeg,2,0),0)</f>
        <v/>
      </c>
      <c r="R824" s="29">
        <f>IFERROR(VLOOKUP(L824,MgValor,2,0)*VLOOKUP(O824,MgDeg,2,0),0)</f>
        <v/>
      </c>
      <c r="S824" s="29">
        <f>IFERROR(VLOOKUP(M824,MgValor,2,0)*VLOOKUP(P824,MgDeg,2,0),0)</f>
        <v/>
      </c>
      <c r="T824" s="30">
        <f>MAX(Q824:S824)</f>
        <v/>
      </c>
      <c r="U824" s="28">
        <f>IFERROR(LOOKUP(T824,{0;0.5;1.5;3;4.5},{"Despreciable";"Bajo";"Medio";"Alto";"Muy alto"}),"")</f>
        <v/>
      </c>
      <c r="V824" s="13">
        <f>IFERROR(INDEX(MgAmenFrec,MATCH(SUBSTITUTE($H824,"*","-"),MgAmenClave,0)),"")</f>
        <v/>
      </c>
      <c r="W824" s="28">
        <f>IFERROR(LOOKUP(X824,{0;0.01;0.1;1;10;100},{"Muy baja";"Muy baja";"Baja";"Media";"Alta";"Muy alta"}),"")</f>
        <v/>
      </c>
      <c r="X824" s="31">
        <f>IFERROR(VLOOKUP(V824,MgFrec,2,0),0)</f>
        <v/>
      </c>
      <c r="Y824" s="30">
        <f>T824*X824</f>
        <v/>
      </c>
      <c r="Z824" s="28">
        <f>IFERROR(LOOKUP(Y824,{0;0.5;5;25},{"Bajo";"Medio";"Alto";"Crítico"}),"")</f>
        <v/>
      </c>
      <c r="AA824" s="64">
        <f>IF(T824&gt;=3,IF(X824&gt;=1,"Zona 1 — Crítica: impacto alto y ocurre al menos una vez al año","Zona 4 — Catastrófica poco probable: impacto alto pero excepcional"),IF(AND(T824&lt;1.5,X824&lt;1),"Zona 3 — Asumible: impacto bajo y muy poco frecuente","Zona 2 — Atención: riesgo intermedio"))</f>
        <v/>
      </c>
      <c r="AB824" s="64">
        <f>IFERROR(INDEX(MgAmenCtrl,MATCH(SUBSTITUTE($H824,"*","-"),MgAmenClave,0)),"")</f>
        <v/>
      </c>
      <c r="AC824" s="20" t="n"/>
      <c r="AD824" s="31">
        <f>IFERROR($X824*(1-IF($AC824="",$AL824,VLOOKUP($AC824,MgMad,2,0))),"")</f>
        <v/>
      </c>
      <c r="AE824" s="28">
        <f>IFERROR(LOOKUP(AD824,{0;0.01;0.1;1;10;100},{"Muy baja";"Muy baja";"Baja";"Media";"Alta";"Muy alta"}),"")</f>
        <v/>
      </c>
      <c r="AF824" s="30">
        <f>T824*AD824</f>
        <v/>
      </c>
      <c r="AG824" s="28">
        <f>IFERROR(LOOKUP(AF824,{0;0.5;5;25},{"Bajo";"Medio";"Alto";"Crítico"}),"")</f>
        <v/>
      </c>
      <c r="AH824" s="28">
        <f>IF(AG824="","",IF(OR(AG824="Crítico",AG824="Alto"),"Mitigar",IF(AG824="Medio","Mitigar","Aceptar y monitorear")))</f>
        <v/>
      </c>
      <c r="AI824" s="21" t="n"/>
      <c r="AJ824" s="21" t="n"/>
      <c r="AK824" s="20" t="n"/>
      <c r="AL824" s="77">
        <f>IFERROR(INDEX(MgAmenEfic,MATCH(SUBSTITUTE($H824,"*","-"),MgAmenClave,0)),0)</f>
        <v/>
      </c>
    </row>
    <row r="825" hidden="1" ht="60" customHeight="1" s="54">
      <c r="B825" s="59" t="inlineStr">
        <is>
          <t>R-0820</t>
        </is>
      </c>
      <c r="C825" s="59" t="inlineStr">
        <is>
          <t>FIN-29</t>
        </is>
      </c>
      <c r="D825" s="64">
        <f>IFERROR(INDEX(MgNombre,MATCH($C825,MgActId,0)),"")</f>
        <v/>
      </c>
      <c r="E825" s="64">
        <f>IFERROR(INDEX(MgProceso,MATCH($C825,MgActId,0)),"")</f>
        <v/>
      </c>
      <c r="F825" s="64">
        <f>IFERROR(INDEX(MgTipo,MATCH($C825,MgActId,0)),"")</f>
        <v/>
      </c>
      <c r="G825" s="64">
        <f>IFERROR(INDEX(MgSubtipo,MATCH($C825,MgActId,0)),"")</f>
        <v/>
      </c>
      <c r="H825" s="59" t="inlineStr">
        <is>
          <t>A.18</t>
        </is>
      </c>
      <c r="I825" s="64">
        <f>IFERROR(INDEX(MgAmenNombre,MATCH(SUBSTITUTE($H825,"*","-"),MgAmenClave,0)),"")</f>
        <v/>
      </c>
      <c r="J825" s="28">
        <f>IFERROR(INDEX(MgAmenGrupo,MATCH(SUBSTITUTE($H825,"*","-"),MgAmenClave,0)),"")</f>
        <v/>
      </c>
      <c r="K825" s="64">
        <f>IFERROR(INDEX('1. Matriz de Activos'!$Q$6:$Q$239,MATCH($C825,MgActId,0)),"")</f>
        <v/>
      </c>
      <c r="L825" s="64">
        <f>IFERROR(INDEX('1. Matriz de Activos'!$R$6:$R$239,MATCH($C825,MgActId,0)),"")</f>
        <v/>
      </c>
      <c r="M825" s="64">
        <f>IFERROR(INDEX('1. Matriz de Activos'!$S$6:$S$239,MATCH($C825,MgActId,0)),"")</f>
        <v/>
      </c>
      <c r="N825" s="28">
        <f>IFERROR(INDEX(MgAmenDegD,MATCH(SUBSTITUTE($H825,"*","-"),MgAmenClave,0)),"No aplica")</f>
        <v/>
      </c>
      <c r="O825" s="28">
        <f>IFERROR(INDEX(MgAmenDegI,MATCH(SUBSTITUTE($H825,"*","-"),MgAmenClave,0)),"No aplica")</f>
        <v/>
      </c>
      <c r="P825" s="28">
        <f>IFERROR(INDEX(MgAmenDegC,MATCH(SUBSTITUTE($H825,"*","-"),MgAmenClave,0)),"No aplica")</f>
        <v/>
      </c>
      <c r="Q825" s="29">
        <f>IFERROR(VLOOKUP(K825,MgValor,2,0)*VLOOKUP(N825,MgDeg,2,0),0)</f>
        <v/>
      </c>
      <c r="R825" s="29">
        <f>IFERROR(VLOOKUP(L825,MgValor,2,0)*VLOOKUP(O825,MgDeg,2,0),0)</f>
        <v/>
      </c>
      <c r="S825" s="29">
        <f>IFERROR(VLOOKUP(M825,MgValor,2,0)*VLOOKUP(P825,MgDeg,2,0),0)</f>
        <v/>
      </c>
      <c r="T825" s="30">
        <f>MAX(Q825:S825)</f>
        <v/>
      </c>
      <c r="U825" s="28">
        <f>IFERROR(LOOKUP(T825,{0;0.5;1.5;3;4.5},{"Despreciable";"Bajo";"Medio";"Alto";"Muy alto"}),"")</f>
        <v/>
      </c>
      <c r="V825" s="13">
        <f>IFERROR(INDEX(MgAmenFrec,MATCH(SUBSTITUTE($H825,"*","-"),MgAmenClave,0)),"")</f>
        <v/>
      </c>
      <c r="W825" s="28">
        <f>IFERROR(LOOKUP(X825,{0;0.01;0.1;1;10;100},{"Muy baja";"Muy baja";"Baja";"Media";"Alta";"Muy alta"}),"")</f>
        <v/>
      </c>
      <c r="X825" s="31">
        <f>IFERROR(VLOOKUP(V825,MgFrec,2,0),0)</f>
        <v/>
      </c>
      <c r="Y825" s="30">
        <f>T825*X825</f>
        <v/>
      </c>
      <c r="Z825" s="28">
        <f>IFERROR(LOOKUP(Y825,{0;0.5;5;25},{"Bajo";"Medio";"Alto";"Crítico"}),"")</f>
        <v/>
      </c>
      <c r="AA825" s="64">
        <f>IF(T825&gt;=3,IF(X825&gt;=1,"Zona 1 — Crítica: impacto alto y ocurre al menos una vez al año","Zona 4 — Catastrófica poco probable: impacto alto pero excepcional"),IF(AND(T825&lt;1.5,X825&lt;1),"Zona 3 — Asumible: impacto bajo y muy poco frecuente","Zona 2 — Atención: riesgo intermedio"))</f>
        <v/>
      </c>
      <c r="AB825" s="64">
        <f>IFERROR(INDEX(MgAmenCtrl,MATCH(SUBSTITUTE($H825,"*","-"),MgAmenClave,0)),"")</f>
        <v/>
      </c>
      <c r="AC825" s="20" t="n"/>
      <c r="AD825" s="31">
        <f>IFERROR($X825*(1-IF($AC825="",$AL825,VLOOKUP($AC825,MgMad,2,0))),"")</f>
        <v/>
      </c>
      <c r="AE825" s="28">
        <f>IFERROR(LOOKUP(AD825,{0;0.01;0.1;1;10;100},{"Muy baja";"Muy baja";"Baja";"Media";"Alta";"Muy alta"}),"")</f>
        <v/>
      </c>
      <c r="AF825" s="30">
        <f>T825*AD825</f>
        <v/>
      </c>
      <c r="AG825" s="28">
        <f>IFERROR(LOOKUP(AF825,{0;0.5;5;25},{"Bajo";"Medio";"Alto";"Crítico"}),"")</f>
        <v/>
      </c>
      <c r="AH825" s="28">
        <f>IF(AG825="","",IF(OR(AG825="Crítico",AG825="Alto"),"Mitigar",IF(AG825="Medio","Mitigar","Aceptar y monitorear")))</f>
        <v/>
      </c>
      <c r="AI825" s="21" t="n"/>
      <c r="AJ825" s="21" t="n"/>
      <c r="AK825" s="20" t="n"/>
      <c r="AL825" s="77">
        <f>IFERROR(INDEX(MgAmenEfic,MATCH(SUBSTITUTE($H825,"*","-"),MgAmenClave,0)),0)</f>
        <v/>
      </c>
    </row>
    <row r="826" hidden="1" ht="120" customHeight="1" s="54">
      <c r="B826" s="59" t="inlineStr">
        <is>
          <t>R-0821</t>
        </is>
      </c>
      <c r="C826" s="59" t="inlineStr">
        <is>
          <t>FIN-29</t>
        </is>
      </c>
      <c r="D826" s="64">
        <f>IFERROR(INDEX(MgNombre,MATCH($C826,MgActId,0)),"")</f>
        <v/>
      </c>
      <c r="E826" s="64">
        <f>IFERROR(INDEX(MgProceso,MATCH($C826,MgActId,0)),"")</f>
        <v/>
      </c>
      <c r="F826" s="64">
        <f>IFERROR(INDEX(MgTipo,MATCH($C826,MgActId,0)),"")</f>
        <v/>
      </c>
      <c r="G826" s="64">
        <f>IFERROR(INDEX(MgSubtipo,MATCH($C826,MgActId,0)),"")</f>
        <v/>
      </c>
      <c r="H826" s="59" t="inlineStr">
        <is>
          <t>A.19</t>
        </is>
      </c>
      <c r="I826" s="64">
        <f>IFERROR(INDEX(MgAmenNombre,MATCH(SUBSTITUTE($H826,"*","-"),MgAmenClave,0)),"")</f>
        <v/>
      </c>
      <c r="J826" s="28">
        <f>IFERROR(INDEX(MgAmenGrupo,MATCH(SUBSTITUTE($H826,"*","-"),MgAmenClave,0)),"")</f>
        <v/>
      </c>
      <c r="K826" s="64">
        <f>IFERROR(INDEX('1. Matriz de Activos'!$Q$6:$Q$239,MATCH($C826,MgActId,0)),"")</f>
        <v/>
      </c>
      <c r="L826" s="64">
        <f>IFERROR(INDEX('1. Matriz de Activos'!$R$6:$R$239,MATCH($C826,MgActId,0)),"")</f>
        <v/>
      </c>
      <c r="M826" s="64">
        <f>IFERROR(INDEX('1. Matriz de Activos'!$S$6:$S$239,MATCH($C826,MgActId,0)),"")</f>
        <v/>
      </c>
      <c r="N826" s="28">
        <f>IFERROR(INDEX(MgAmenDegD,MATCH(SUBSTITUTE($H826,"*","-"),MgAmenClave,0)),"No aplica")</f>
        <v/>
      </c>
      <c r="O826" s="28">
        <f>IFERROR(INDEX(MgAmenDegI,MATCH(SUBSTITUTE($H826,"*","-"),MgAmenClave,0)),"No aplica")</f>
        <v/>
      </c>
      <c r="P826" s="28">
        <f>IFERROR(INDEX(MgAmenDegC,MATCH(SUBSTITUTE($H826,"*","-"),MgAmenClave,0)),"No aplica")</f>
        <v/>
      </c>
      <c r="Q826" s="29">
        <f>IFERROR(VLOOKUP(K826,MgValor,2,0)*VLOOKUP(N826,MgDeg,2,0),0)</f>
        <v/>
      </c>
      <c r="R826" s="29">
        <f>IFERROR(VLOOKUP(L826,MgValor,2,0)*VLOOKUP(O826,MgDeg,2,0),0)</f>
        <v/>
      </c>
      <c r="S826" s="29">
        <f>IFERROR(VLOOKUP(M826,MgValor,2,0)*VLOOKUP(P826,MgDeg,2,0),0)</f>
        <v/>
      </c>
      <c r="T826" s="30">
        <f>MAX(Q826:S826)</f>
        <v/>
      </c>
      <c r="U826" s="28">
        <f>IFERROR(LOOKUP(T826,{0;0.5;1.5;3;4.5},{"Despreciable";"Bajo";"Medio";"Alto";"Muy alto"}),"")</f>
        <v/>
      </c>
      <c r="V826" s="13">
        <f>IFERROR(INDEX(MgAmenFrec,MATCH(SUBSTITUTE($H826,"*","-"),MgAmenClave,0)),"")</f>
        <v/>
      </c>
      <c r="W826" s="28">
        <f>IFERROR(LOOKUP(X826,{0;0.01;0.1;1;10;100},{"Muy baja";"Muy baja";"Baja";"Media";"Alta";"Muy alta"}),"")</f>
        <v/>
      </c>
      <c r="X826" s="31">
        <f>IFERROR(VLOOKUP(V826,MgFrec,2,0),0)</f>
        <v/>
      </c>
      <c r="Y826" s="30">
        <f>T826*X826</f>
        <v/>
      </c>
      <c r="Z826" s="28">
        <f>IFERROR(LOOKUP(Y826,{0;0.5;5;25},{"Bajo";"Medio";"Alto";"Crítico"}),"")</f>
        <v/>
      </c>
      <c r="AA826" s="64">
        <f>IF(T826&gt;=3,IF(X826&gt;=1,"Zona 1 — Crítica: impacto alto y ocurre al menos una vez al año","Zona 4 — Catastrófica poco probable: impacto alto pero excepcional"),IF(AND(T826&lt;1.5,X826&lt;1),"Zona 3 — Asumible: impacto bajo y muy poco frecuente","Zona 2 — Atención: riesgo intermedio"))</f>
        <v/>
      </c>
      <c r="AB826" s="64">
        <f>IFERROR(INDEX(MgAmenCtrl,MATCH(SUBSTITUTE($H826,"*","-"),MgAmenClave,0)),"")</f>
        <v/>
      </c>
      <c r="AC826" s="20" t="n"/>
      <c r="AD826" s="31">
        <f>IFERROR($X826*(1-IF($AC826="",$AL826,VLOOKUP($AC826,MgMad,2,0))),"")</f>
        <v/>
      </c>
      <c r="AE826" s="28">
        <f>IFERROR(LOOKUP(AD826,{0;0.01;0.1;1;10;100},{"Muy baja";"Muy baja";"Baja";"Media";"Alta";"Muy alta"}),"")</f>
        <v/>
      </c>
      <c r="AF826" s="30">
        <f>T826*AD826</f>
        <v/>
      </c>
      <c r="AG826" s="28">
        <f>IFERROR(LOOKUP(AF826,{0;0.5;5;25},{"Bajo";"Medio";"Alto";"Crítico"}),"")</f>
        <v/>
      </c>
      <c r="AH826" s="28">
        <f>IF(AG826="","",IF(OR(AG826="Crítico",AG826="Alto"),"Mitigar",IF(AG826="Medio","Mitigar","Aceptar y monitorear")))</f>
        <v/>
      </c>
      <c r="AI826" s="21" t="n"/>
      <c r="AJ826" s="21" t="n"/>
      <c r="AK826" s="20" t="n"/>
      <c r="AL826" s="77">
        <f>IFERROR(INDEX(MgAmenEfic,MATCH(SUBSTITUTE($H826,"*","-"),MgAmenClave,0)),0)</f>
        <v/>
      </c>
    </row>
    <row r="827" hidden="1" ht="105" customHeight="1" s="54">
      <c r="B827" s="59" t="inlineStr">
        <is>
          <t>R-0822</t>
        </is>
      </c>
      <c r="C827" s="59" t="inlineStr">
        <is>
          <t>FIN-12</t>
        </is>
      </c>
      <c r="D827" s="64">
        <f>IFERROR(INDEX(MgNombre,MATCH($C827,MgActId,0)),"")</f>
        <v/>
      </c>
      <c r="E827" s="64">
        <f>IFERROR(INDEX(MgProceso,MATCH($C827,MgActId,0)),"")</f>
        <v/>
      </c>
      <c r="F827" s="64">
        <f>IFERROR(INDEX(MgTipo,MATCH($C827,MgActId,0)),"")</f>
        <v/>
      </c>
      <c r="G827" s="64">
        <f>IFERROR(INDEX(MgSubtipo,MATCH($C827,MgActId,0)),"")</f>
        <v/>
      </c>
      <c r="H827" s="59" t="inlineStr">
        <is>
          <t>E.1</t>
        </is>
      </c>
      <c r="I827" s="64">
        <f>IFERROR(INDEX(MgAmenNombre,MATCH(SUBSTITUTE($H827,"*","-"),MgAmenClave,0)),"")</f>
        <v/>
      </c>
      <c r="J827" s="28">
        <f>IFERROR(INDEX(MgAmenGrupo,MATCH(SUBSTITUTE($H827,"*","-"),MgAmenClave,0)),"")</f>
        <v/>
      </c>
      <c r="K827" s="64">
        <f>IFERROR(INDEX('1. Matriz de Activos'!$Q$6:$Q$239,MATCH($C827,MgActId,0)),"")</f>
        <v/>
      </c>
      <c r="L827" s="64">
        <f>IFERROR(INDEX('1. Matriz de Activos'!$R$6:$R$239,MATCH($C827,MgActId,0)),"")</f>
        <v/>
      </c>
      <c r="M827" s="64">
        <f>IFERROR(INDEX('1. Matriz de Activos'!$S$6:$S$239,MATCH($C827,MgActId,0)),"")</f>
        <v/>
      </c>
      <c r="N827" s="28">
        <f>IFERROR(INDEX(MgAmenDegD,MATCH(SUBSTITUTE($H827,"*","-"),MgAmenClave,0)),"No aplica")</f>
        <v/>
      </c>
      <c r="O827" s="28">
        <f>IFERROR(INDEX(MgAmenDegI,MATCH(SUBSTITUTE($H827,"*","-"),MgAmenClave,0)),"No aplica")</f>
        <v/>
      </c>
      <c r="P827" s="28">
        <f>IFERROR(INDEX(MgAmenDegC,MATCH(SUBSTITUTE($H827,"*","-"),MgAmenClave,0)),"No aplica")</f>
        <v/>
      </c>
      <c r="Q827" s="29">
        <f>IFERROR(VLOOKUP(K827,MgValor,2,0)*VLOOKUP(N827,MgDeg,2,0),0)</f>
        <v/>
      </c>
      <c r="R827" s="29">
        <f>IFERROR(VLOOKUP(L827,MgValor,2,0)*VLOOKUP(O827,MgDeg,2,0),0)</f>
        <v/>
      </c>
      <c r="S827" s="29">
        <f>IFERROR(VLOOKUP(M827,MgValor,2,0)*VLOOKUP(P827,MgDeg,2,0),0)</f>
        <v/>
      </c>
      <c r="T827" s="30">
        <f>MAX(Q827:S827)</f>
        <v/>
      </c>
      <c r="U827" s="28">
        <f>IFERROR(LOOKUP(T827,{0;0.5;1.5;3;4.5},{"Despreciable";"Bajo";"Medio";"Alto";"Muy alto"}),"")</f>
        <v/>
      </c>
      <c r="V827" s="13">
        <f>IFERROR(INDEX(MgAmenFrec,MATCH(SUBSTITUTE($H827,"*","-"),MgAmenClave,0)),"")</f>
        <v/>
      </c>
      <c r="W827" s="28">
        <f>IFERROR(LOOKUP(X827,{0;0.01;0.1;1;10;100},{"Muy baja";"Muy baja";"Baja";"Media";"Alta";"Muy alta"}),"")</f>
        <v/>
      </c>
      <c r="X827" s="31">
        <f>IFERROR(VLOOKUP(V827,MgFrec,2,0),0)</f>
        <v/>
      </c>
      <c r="Y827" s="30">
        <f>T827*X827</f>
        <v/>
      </c>
      <c r="Z827" s="28">
        <f>IFERROR(LOOKUP(Y827,{0;0.5;5;25},{"Bajo";"Medio";"Alto";"Crítico"}),"")</f>
        <v/>
      </c>
      <c r="AA827" s="64">
        <f>IF(T827&gt;=3,IF(X827&gt;=1,"Zona 1 — Crítica: impacto alto y ocurre al menos una vez al año","Zona 4 — Catastrófica poco probable: impacto alto pero excepcional"),IF(AND(T827&lt;1.5,X827&lt;1),"Zona 3 — Asumible: impacto bajo y muy poco frecuente","Zona 2 — Atención: riesgo intermedio"))</f>
        <v/>
      </c>
      <c r="AB827" s="64">
        <f>IFERROR(INDEX(MgAmenCtrl,MATCH(SUBSTITUTE($H827,"*","-"),MgAmenClave,0)),"")</f>
        <v/>
      </c>
      <c r="AC827" s="20" t="n"/>
      <c r="AD827" s="31">
        <f>IFERROR($X827*(1-IF($AC827="",$AL827,VLOOKUP($AC827,MgMad,2,0))),"")</f>
        <v/>
      </c>
      <c r="AE827" s="28">
        <f>IFERROR(LOOKUP(AD827,{0;0.01;0.1;1;10;100},{"Muy baja";"Muy baja";"Baja";"Media";"Alta";"Muy alta"}),"")</f>
        <v/>
      </c>
      <c r="AF827" s="30">
        <f>T827*AD827</f>
        <v/>
      </c>
      <c r="AG827" s="28">
        <f>IFERROR(LOOKUP(AF827,{0;0.5;5;25},{"Bajo";"Medio";"Alto";"Crítico"}),"")</f>
        <v/>
      </c>
      <c r="AH827" s="28">
        <f>IF(AG827="","",IF(OR(AG827="Crítico",AG827="Alto"),"Mitigar",IF(AG827="Medio","Mitigar","Aceptar y monitorear")))</f>
        <v/>
      </c>
      <c r="AI827" s="21" t="n"/>
      <c r="AJ827" s="21" t="n"/>
      <c r="AK827" s="20" t="n"/>
      <c r="AL827" s="77">
        <f>IFERROR(INDEX(MgAmenEfic,MATCH(SUBSTITUTE($H827,"*","-"),MgAmenClave,0)),0)</f>
        <v/>
      </c>
    </row>
    <row r="828" hidden="1" ht="120" customHeight="1" s="54">
      <c r="B828" s="59" t="inlineStr">
        <is>
          <t>R-0823</t>
        </is>
      </c>
      <c r="C828" s="59" t="inlineStr">
        <is>
          <t>FIN-12</t>
        </is>
      </c>
      <c r="D828" s="64">
        <f>IFERROR(INDEX(MgNombre,MATCH($C828,MgActId,0)),"")</f>
        <v/>
      </c>
      <c r="E828" s="64">
        <f>IFERROR(INDEX(MgProceso,MATCH($C828,MgActId,0)),"")</f>
        <v/>
      </c>
      <c r="F828" s="64">
        <f>IFERROR(INDEX(MgTipo,MATCH($C828,MgActId,0)),"")</f>
        <v/>
      </c>
      <c r="G828" s="64">
        <f>IFERROR(INDEX(MgSubtipo,MATCH($C828,MgActId,0)),"")</f>
        <v/>
      </c>
      <c r="H828" s="59" t="inlineStr">
        <is>
          <t>E.2</t>
        </is>
      </c>
      <c r="I828" s="64">
        <f>IFERROR(INDEX(MgAmenNombre,MATCH(SUBSTITUTE($H828,"*","-"),MgAmenClave,0)),"")</f>
        <v/>
      </c>
      <c r="J828" s="28">
        <f>IFERROR(INDEX(MgAmenGrupo,MATCH(SUBSTITUTE($H828,"*","-"),MgAmenClave,0)),"")</f>
        <v/>
      </c>
      <c r="K828" s="64">
        <f>IFERROR(INDEX('1. Matriz de Activos'!$Q$6:$Q$239,MATCH($C828,MgActId,0)),"")</f>
        <v/>
      </c>
      <c r="L828" s="64">
        <f>IFERROR(INDEX('1. Matriz de Activos'!$R$6:$R$239,MATCH($C828,MgActId,0)),"")</f>
        <v/>
      </c>
      <c r="M828" s="64">
        <f>IFERROR(INDEX('1. Matriz de Activos'!$S$6:$S$239,MATCH($C828,MgActId,0)),"")</f>
        <v/>
      </c>
      <c r="N828" s="28">
        <f>IFERROR(INDEX(MgAmenDegD,MATCH(SUBSTITUTE($H828,"*","-"),MgAmenClave,0)),"No aplica")</f>
        <v/>
      </c>
      <c r="O828" s="28">
        <f>IFERROR(INDEX(MgAmenDegI,MATCH(SUBSTITUTE($H828,"*","-"),MgAmenClave,0)),"No aplica")</f>
        <v/>
      </c>
      <c r="P828" s="28">
        <f>IFERROR(INDEX(MgAmenDegC,MATCH(SUBSTITUTE($H828,"*","-"),MgAmenClave,0)),"No aplica")</f>
        <v/>
      </c>
      <c r="Q828" s="29">
        <f>IFERROR(VLOOKUP(K828,MgValor,2,0)*VLOOKUP(N828,MgDeg,2,0),0)</f>
        <v/>
      </c>
      <c r="R828" s="29">
        <f>IFERROR(VLOOKUP(L828,MgValor,2,0)*VLOOKUP(O828,MgDeg,2,0),0)</f>
        <v/>
      </c>
      <c r="S828" s="29">
        <f>IFERROR(VLOOKUP(M828,MgValor,2,0)*VLOOKUP(P828,MgDeg,2,0),0)</f>
        <v/>
      </c>
      <c r="T828" s="30">
        <f>MAX(Q828:S828)</f>
        <v/>
      </c>
      <c r="U828" s="28">
        <f>IFERROR(LOOKUP(T828,{0;0.5;1.5;3;4.5},{"Despreciable";"Bajo";"Medio";"Alto";"Muy alto"}),"")</f>
        <v/>
      </c>
      <c r="V828" s="13">
        <f>IFERROR(INDEX(MgAmenFrec,MATCH(SUBSTITUTE($H828,"*","-"),MgAmenClave,0)),"")</f>
        <v/>
      </c>
      <c r="W828" s="28">
        <f>IFERROR(LOOKUP(X828,{0;0.01;0.1;1;10;100},{"Muy baja";"Muy baja";"Baja";"Media";"Alta";"Muy alta"}),"")</f>
        <v/>
      </c>
      <c r="X828" s="31">
        <f>IFERROR(VLOOKUP(V828,MgFrec,2,0),0)</f>
        <v/>
      </c>
      <c r="Y828" s="30">
        <f>T828*X828</f>
        <v/>
      </c>
      <c r="Z828" s="28">
        <f>IFERROR(LOOKUP(Y828,{0;0.5;5;25},{"Bajo";"Medio";"Alto";"Crítico"}),"")</f>
        <v/>
      </c>
      <c r="AA828" s="64">
        <f>IF(T828&gt;=3,IF(X828&gt;=1,"Zona 1 — Crítica: impacto alto y ocurre al menos una vez al año","Zona 4 — Catastrófica poco probable: impacto alto pero excepcional"),IF(AND(T828&lt;1.5,X828&lt;1),"Zona 3 — Asumible: impacto bajo y muy poco frecuente","Zona 2 — Atención: riesgo intermedio"))</f>
        <v/>
      </c>
      <c r="AB828" s="64">
        <f>IFERROR(INDEX(MgAmenCtrl,MATCH(SUBSTITUTE($H828,"*","-"),MgAmenClave,0)),"")</f>
        <v/>
      </c>
      <c r="AC828" s="20" t="n"/>
      <c r="AD828" s="31">
        <f>IFERROR($X828*(1-IF($AC828="",$AL828,VLOOKUP($AC828,MgMad,2,0))),"")</f>
        <v/>
      </c>
      <c r="AE828" s="28">
        <f>IFERROR(LOOKUP(AD828,{0;0.01;0.1;1;10;100},{"Muy baja";"Muy baja";"Baja";"Media";"Alta";"Muy alta"}),"")</f>
        <v/>
      </c>
      <c r="AF828" s="30">
        <f>T828*AD828</f>
        <v/>
      </c>
      <c r="AG828" s="28">
        <f>IFERROR(LOOKUP(AF828,{0;0.5;5;25},{"Bajo";"Medio";"Alto";"Crítico"}),"")</f>
        <v/>
      </c>
      <c r="AH828" s="28">
        <f>IF(AG828="","",IF(OR(AG828="Crítico",AG828="Alto"),"Mitigar",IF(AG828="Medio","Mitigar","Aceptar y monitorear")))</f>
        <v/>
      </c>
      <c r="AI828" s="21" t="n"/>
      <c r="AJ828" s="21" t="n"/>
      <c r="AK828" s="20" t="n"/>
      <c r="AL828" s="77">
        <f>IFERROR(INDEX(MgAmenEfic,MATCH(SUBSTITUTE($H828,"*","-"),MgAmenClave,0)),0)</f>
        <v/>
      </c>
    </row>
    <row r="829" hidden="1" ht="75" customHeight="1" s="54">
      <c r="B829" s="59" t="inlineStr">
        <is>
          <t>R-0824</t>
        </is>
      </c>
      <c r="C829" s="59" t="inlineStr">
        <is>
          <t>FIN-12</t>
        </is>
      </c>
      <c r="D829" s="64">
        <f>IFERROR(INDEX(MgNombre,MATCH($C829,MgActId,0)),"")</f>
        <v/>
      </c>
      <c r="E829" s="64">
        <f>IFERROR(INDEX(MgProceso,MATCH($C829,MgActId,0)),"")</f>
        <v/>
      </c>
      <c r="F829" s="64">
        <f>IFERROR(INDEX(MgTipo,MATCH($C829,MgActId,0)),"")</f>
        <v/>
      </c>
      <c r="G829" s="64">
        <f>IFERROR(INDEX(MgSubtipo,MATCH($C829,MgActId,0)),"")</f>
        <v/>
      </c>
      <c r="H829" s="59" t="inlineStr">
        <is>
          <t>E.3</t>
        </is>
      </c>
      <c r="I829" s="64">
        <f>IFERROR(INDEX(MgAmenNombre,MATCH(SUBSTITUTE($H829,"*","-"),MgAmenClave,0)),"")</f>
        <v/>
      </c>
      <c r="J829" s="28">
        <f>IFERROR(INDEX(MgAmenGrupo,MATCH(SUBSTITUTE($H829,"*","-"),MgAmenClave,0)),"")</f>
        <v/>
      </c>
      <c r="K829" s="64">
        <f>IFERROR(INDEX('1. Matriz de Activos'!$Q$6:$Q$239,MATCH($C829,MgActId,0)),"")</f>
        <v/>
      </c>
      <c r="L829" s="64">
        <f>IFERROR(INDEX('1. Matriz de Activos'!$R$6:$R$239,MATCH($C829,MgActId,0)),"")</f>
        <v/>
      </c>
      <c r="M829" s="64">
        <f>IFERROR(INDEX('1. Matriz de Activos'!$S$6:$S$239,MATCH($C829,MgActId,0)),"")</f>
        <v/>
      </c>
      <c r="N829" s="28">
        <f>IFERROR(INDEX(MgAmenDegD,MATCH(SUBSTITUTE($H829,"*","-"),MgAmenClave,0)),"No aplica")</f>
        <v/>
      </c>
      <c r="O829" s="28">
        <f>IFERROR(INDEX(MgAmenDegI,MATCH(SUBSTITUTE($H829,"*","-"),MgAmenClave,0)),"No aplica")</f>
        <v/>
      </c>
      <c r="P829" s="28">
        <f>IFERROR(INDEX(MgAmenDegC,MATCH(SUBSTITUTE($H829,"*","-"),MgAmenClave,0)),"No aplica")</f>
        <v/>
      </c>
      <c r="Q829" s="29">
        <f>IFERROR(VLOOKUP(K829,MgValor,2,0)*VLOOKUP(N829,MgDeg,2,0),0)</f>
        <v/>
      </c>
      <c r="R829" s="29">
        <f>IFERROR(VLOOKUP(L829,MgValor,2,0)*VLOOKUP(O829,MgDeg,2,0),0)</f>
        <v/>
      </c>
      <c r="S829" s="29">
        <f>IFERROR(VLOOKUP(M829,MgValor,2,0)*VLOOKUP(P829,MgDeg,2,0),0)</f>
        <v/>
      </c>
      <c r="T829" s="30">
        <f>MAX(Q829:S829)</f>
        <v/>
      </c>
      <c r="U829" s="28">
        <f>IFERROR(LOOKUP(T829,{0;0.5;1.5;3;4.5},{"Despreciable";"Bajo";"Medio";"Alto";"Muy alto"}),"")</f>
        <v/>
      </c>
      <c r="V829" s="13">
        <f>IFERROR(INDEX(MgAmenFrec,MATCH(SUBSTITUTE($H829,"*","-"),MgAmenClave,0)),"")</f>
        <v/>
      </c>
      <c r="W829" s="28">
        <f>IFERROR(LOOKUP(X829,{0;0.01;0.1;1;10;100},{"Muy baja";"Muy baja";"Baja";"Media";"Alta";"Muy alta"}),"")</f>
        <v/>
      </c>
      <c r="X829" s="31">
        <f>IFERROR(VLOOKUP(V829,MgFrec,2,0),0)</f>
        <v/>
      </c>
      <c r="Y829" s="30">
        <f>T829*X829</f>
        <v/>
      </c>
      <c r="Z829" s="28">
        <f>IFERROR(LOOKUP(Y829,{0;0.5;5;25},{"Bajo";"Medio";"Alto";"Crítico"}),"")</f>
        <v/>
      </c>
      <c r="AA829" s="64">
        <f>IF(T829&gt;=3,IF(X829&gt;=1,"Zona 1 — Crítica: impacto alto y ocurre al menos una vez al año","Zona 4 — Catastrófica poco probable: impacto alto pero excepcional"),IF(AND(T829&lt;1.5,X829&lt;1),"Zona 3 — Asumible: impacto bajo y muy poco frecuente","Zona 2 — Atención: riesgo intermedio"))</f>
        <v/>
      </c>
      <c r="AB829" s="64">
        <f>IFERROR(INDEX(MgAmenCtrl,MATCH(SUBSTITUTE($H829,"*","-"),MgAmenClave,0)),"")</f>
        <v/>
      </c>
      <c r="AC829" s="20" t="n"/>
      <c r="AD829" s="31">
        <f>IFERROR($X829*(1-IF($AC829="",$AL829,VLOOKUP($AC829,MgMad,2,0))),"")</f>
        <v/>
      </c>
      <c r="AE829" s="28">
        <f>IFERROR(LOOKUP(AD829,{0;0.01;0.1;1;10;100},{"Muy baja";"Muy baja";"Baja";"Media";"Alta";"Muy alta"}),"")</f>
        <v/>
      </c>
      <c r="AF829" s="30">
        <f>T829*AD829</f>
        <v/>
      </c>
      <c r="AG829" s="28">
        <f>IFERROR(LOOKUP(AF829,{0;0.5;5;25},{"Bajo";"Medio";"Alto";"Crítico"}),"")</f>
        <v/>
      </c>
      <c r="AH829" s="28">
        <f>IF(AG829="","",IF(OR(AG829="Crítico",AG829="Alto"),"Mitigar",IF(AG829="Medio","Mitigar","Aceptar y monitorear")))</f>
        <v/>
      </c>
      <c r="AI829" s="21" t="n"/>
      <c r="AJ829" s="21" t="n"/>
      <c r="AK829" s="20" t="n"/>
      <c r="AL829" s="77">
        <f>IFERROR(INDEX(MgAmenEfic,MATCH(SUBSTITUTE($H829,"*","-"),MgAmenClave,0)),0)</f>
        <v/>
      </c>
    </row>
    <row r="830" hidden="1" ht="75" customHeight="1" s="54">
      <c r="B830" s="59" t="inlineStr">
        <is>
          <t>R-0825</t>
        </is>
      </c>
      <c r="C830" s="59" t="inlineStr">
        <is>
          <t>FIN-12</t>
        </is>
      </c>
      <c r="D830" s="64">
        <f>IFERROR(INDEX(MgNombre,MATCH($C830,MgActId,0)),"")</f>
        <v/>
      </c>
      <c r="E830" s="64">
        <f>IFERROR(INDEX(MgProceso,MATCH($C830,MgActId,0)),"")</f>
        <v/>
      </c>
      <c r="F830" s="64">
        <f>IFERROR(INDEX(MgTipo,MATCH($C830,MgActId,0)),"")</f>
        <v/>
      </c>
      <c r="G830" s="64">
        <f>IFERROR(INDEX(MgSubtipo,MATCH($C830,MgActId,0)),"")</f>
        <v/>
      </c>
      <c r="H830" s="59" t="inlineStr">
        <is>
          <t>E.4</t>
        </is>
      </c>
      <c r="I830" s="64">
        <f>IFERROR(INDEX(MgAmenNombre,MATCH(SUBSTITUTE($H830,"*","-"),MgAmenClave,0)),"")</f>
        <v/>
      </c>
      <c r="J830" s="28">
        <f>IFERROR(INDEX(MgAmenGrupo,MATCH(SUBSTITUTE($H830,"*","-"),MgAmenClave,0)),"")</f>
        <v/>
      </c>
      <c r="K830" s="64">
        <f>IFERROR(INDEX('1. Matriz de Activos'!$Q$6:$Q$239,MATCH($C830,MgActId,0)),"")</f>
        <v/>
      </c>
      <c r="L830" s="64">
        <f>IFERROR(INDEX('1. Matriz de Activos'!$R$6:$R$239,MATCH($C830,MgActId,0)),"")</f>
        <v/>
      </c>
      <c r="M830" s="64">
        <f>IFERROR(INDEX('1. Matriz de Activos'!$S$6:$S$239,MATCH($C830,MgActId,0)),"")</f>
        <v/>
      </c>
      <c r="N830" s="28">
        <f>IFERROR(INDEX(MgAmenDegD,MATCH(SUBSTITUTE($H830,"*","-"),MgAmenClave,0)),"No aplica")</f>
        <v/>
      </c>
      <c r="O830" s="28">
        <f>IFERROR(INDEX(MgAmenDegI,MATCH(SUBSTITUTE($H830,"*","-"),MgAmenClave,0)),"No aplica")</f>
        <v/>
      </c>
      <c r="P830" s="28">
        <f>IFERROR(INDEX(MgAmenDegC,MATCH(SUBSTITUTE($H830,"*","-"),MgAmenClave,0)),"No aplica")</f>
        <v/>
      </c>
      <c r="Q830" s="29">
        <f>IFERROR(VLOOKUP(K830,MgValor,2,0)*VLOOKUP(N830,MgDeg,2,0),0)</f>
        <v/>
      </c>
      <c r="R830" s="29">
        <f>IFERROR(VLOOKUP(L830,MgValor,2,0)*VLOOKUP(O830,MgDeg,2,0),0)</f>
        <v/>
      </c>
      <c r="S830" s="29">
        <f>IFERROR(VLOOKUP(M830,MgValor,2,0)*VLOOKUP(P830,MgDeg,2,0),0)</f>
        <v/>
      </c>
      <c r="T830" s="30">
        <f>MAX(Q830:S830)</f>
        <v/>
      </c>
      <c r="U830" s="28">
        <f>IFERROR(LOOKUP(T830,{0;0.5;1.5;3;4.5},{"Despreciable";"Bajo";"Medio";"Alto";"Muy alto"}),"")</f>
        <v/>
      </c>
      <c r="V830" s="13">
        <f>IFERROR(INDEX(MgAmenFrec,MATCH(SUBSTITUTE($H830,"*","-"),MgAmenClave,0)),"")</f>
        <v/>
      </c>
      <c r="W830" s="28">
        <f>IFERROR(LOOKUP(X830,{0;0.01;0.1;1;10;100},{"Muy baja";"Muy baja";"Baja";"Media";"Alta";"Muy alta"}),"")</f>
        <v/>
      </c>
      <c r="X830" s="31">
        <f>IFERROR(VLOOKUP(V830,MgFrec,2,0),0)</f>
        <v/>
      </c>
      <c r="Y830" s="30">
        <f>T830*X830</f>
        <v/>
      </c>
      <c r="Z830" s="28">
        <f>IFERROR(LOOKUP(Y830,{0;0.5;5;25},{"Bajo";"Medio";"Alto";"Crítico"}),"")</f>
        <v/>
      </c>
      <c r="AA830" s="64">
        <f>IF(T830&gt;=3,IF(X830&gt;=1,"Zona 1 — Crítica: impacto alto y ocurre al menos una vez al año","Zona 4 — Catastrófica poco probable: impacto alto pero excepcional"),IF(AND(T830&lt;1.5,X830&lt;1),"Zona 3 — Asumible: impacto bajo y muy poco frecuente","Zona 2 — Atención: riesgo intermedio"))</f>
        <v/>
      </c>
      <c r="AB830" s="64">
        <f>IFERROR(INDEX(MgAmenCtrl,MATCH(SUBSTITUTE($H830,"*","-"),MgAmenClave,0)),"")</f>
        <v/>
      </c>
      <c r="AC830" s="20" t="n"/>
      <c r="AD830" s="31">
        <f>IFERROR($X830*(1-IF($AC830="",$AL830,VLOOKUP($AC830,MgMad,2,0))),"")</f>
        <v/>
      </c>
      <c r="AE830" s="28">
        <f>IFERROR(LOOKUP(AD830,{0;0.01;0.1;1;10;100},{"Muy baja";"Muy baja";"Baja";"Media";"Alta";"Muy alta"}),"")</f>
        <v/>
      </c>
      <c r="AF830" s="30">
        <f>T830*AD830</f>
        <v/>
      </c>
      <c r="AG830" s="28">
        <f>IFERROR(LOOKUP(AF830,{0;0.5;5;25},{"Bajo";"Medio";"Alto";"Crítico"}),"")</f>
        <v/>
      </c>
      <c r="AH830" s="28">
        <f>IF(AG830="","",IF(OR(AG830="Crítico",AG830="Alto"),"Mitigar",IF(AG830="Medio","Mitigar","Aceptar y monitorear")))</f>
        <v/>
      </c>
      <c r="AI830" s="21" t="n"/>
      <c r="AJ830" s="21" t="n"/>
      <c r="AK830" s="20" t="n"/>
      <c r="AL830" s="77">
        <f>IFERROR(INDEX(MgAmenEfic,MATCH(SUBSTITUTE($H830,"*","-"),MgAmenClave,0)),0)</f>
        <v/>
      </c>
    </row>
    <row r="831" hidden="1" ht="90" customHeight="1" s="54">
      <c r="B831" s="59" t="inlineStr">
        <is>
          <t>R-0826</t>
        </is>
      </c>
      <c r="C831" s="59" t="inlineStr">
        <is>
          <t>FIN-12</t>
        </is>
      </c>
      <c r="D831" s="64">
        <f>IFERROR(INDEX(MgNombre,MATCH($C831,MgActId,0)),"")</f>
        <v/>
      </c>
      <c r="E831" s="64">
        <f>IFERROR(INDEX(MgProceso,MATCH($C831,MgActId,0)),"")</f>
        <v/>
      </c>
      <c r="F831" s="64">
        <f>IFERROR(INDEX(MgTipo,MATCH($C831,MgActId,0)),"")</f>
        <v/>
      </c>
      <c r="G831" s="64">
        <f>IFERROR(INDEX(MgSubtipo,MATCH($C831,MgActId,0)),"")</f>
        <v/>
      </c>
      <c r="H831" s="59" t="inlineStr">
        <is>
          <t>E.14</t>
        </is>
      </c>
      <c r="I831" s="64">
        <f>IFERROR(INDEX(MgAmenNombre,MATCH(SUBSTITUTE($H831,"*","-"),MgAmenClave,0)),"")</f>
        <v/>
      </c>
      <c r="J831" s="28">
        <f>IFERROR(INDEX(MgAmenGrupo,MATCH(SUBSTITUTE($H831,"*","-"),MgAmenClave,0)),"")</f>
        <v/>
      </c>
      <c r="K831" s="64">
        <f>IFERROR(INDEX('1. Matriz de Activos'!$Q$6:$Q$239,MATCH($C831,MgActId,0)),"")</f>
        <v/>
      </c>
      <c r="L831" s="64">
        <f>IFERROR(INDEX('1. Matriz de Activos'!$R$6:$R$239,MATCH($C831,MgActId,0)),"")</f>
        <v/>
      </c>
      <c r="M831" s="64">
        <f>IFERROR(INDEX('1. Matriz de Activos'!$S$6:$S$239,MATCH($C831,MgActId,0)),"")</f>
        <v/>
      </c>
      <c r="N831" s="28">
        <f>IFERROR(INDEX(MgAmenDegD,MATCH(SUBSTITUTE($H831,"*","-"),MgAmenClave,0)),"No aplica")</f>
        <v/>
      </c>
      <c r="O831" s="28">
        <f>IFERROR(INDEX(MgAmenDegI,MATCH(SUBSTITUTE($H831,"*","-"),MgAmenClave,0)),"No aplica")</f>
        <v/>
      </c>
      <c r="P831" s="28">
        <f>IFERROR(INDEX(MgAmenDegC,MATCH(SUBSTITUTE($H831,"*","-"),MgAmenClave,0)),"No aplica")</f>
        <v/>
      </c>
      <c r="Q831" s="29">
        <f>IFERROR(VLOOKUP(K831,MgValor,2,0)*VLOOKUP(N831,MgDeg,2,0),0)</f>
        <v/>
      </c>
      <c r="R831" s="29">
        <f>IFERROR(VLOOKUP(L831,MgValor,2,0)*VLOOKUP(O831,MgDeg,2,0),0)</f>
        <v/>
      </c>
      <c r="S831" s="29">
        <f>IFERROR(VLOOKUP(M831,MgValor,2,0)*VLOOKUP(P831,MgDeg,2,0),0)</f>
        <v/>
      </c>
      <c r="T831" s="30">
        <f>MAX(Q831:S831)</f>
        <v/>
      </c>
      <c r="U831" s="28">
        <f>IFERROR(LOOKUP(T831,{0;0.5;1.5;3;4.5},{"Despreciable";"Bajo";"Medio";"Alto";"Muy alto"}),"")</f>
        <v/>
      </c>
      <c r="V831" s="13">
        <f>IFERROR(INDEX(MgAmenFrec,MATCH(SUBSTITUTE($H831,"*","-"),MgAmenClave,0)),"")</f>
        <v/>
      </c>
      <c r="W831" s="28">
        <f>IFERROR(LOOKUP(X831,{0;0.01;0.1;1;10;100},{"Muy baja";"Muy baja";"Baja";"Media";"Alta";"Muy alta"}),"")</f>
        <v/>
      </c>
      <c r="X831" s="31">
        <f>IFERROR(VLOOKUP(V831,MgFrec,2,0),0)</f>
        <v/>
      </c>
      <c r="Y831" s="30">
        <f>T831*X831</f>
        <v/>
      </c>
      <c r="Z831" s="28">
        <f>IFERROR(LOOKUP(Y831,{0;0.5;5;25},{"Bajo";"Medio";"Alto";"Crítico"}),"")</f>
        <v/>
      </c>
      <c r="AA831" s="64">
        <f>IF(T831&gt;=3,IF(X831&gt;=1,"Zona 1 — Crítica: impacto alto y ocurre al menos una vez al año","Zona 4 — Catastrófica poco probable: impacto alto pero excepcional"),IF(AND(T831&lt;1.5,X831&lt;1),"Zona 3 — Asumible: impacto bajo y muy poco frecuente","Zona 2 — Atención: riesgo intermedio"))</f>
        <v/>
      </c>
      <c r="AB831" s="64">
        <f>IFERROR(INDEX(MgAmenCtrl,MATCH(SUBSTITUTE($H831,"*","-"),MgAmenClave,0)),"")</f>
        <v/>
      </c>
      <c r="AC831" s="20" t="n"/>
      <c r="AD831" s="31">
        <f>IFERROR($X831*(1-IF($AC831="",$AL831,VLOOKUP($AC831,MgMad,2,0))),"")</f>
        <v/>
      </c>
      <c r="AE831" s="28">
        <f>IFERROR(LOOKUP(AD831,{0;0.01;0.1;1;10;100},{"Muy baja";"Muy baja";"Baja";"Media";"Alta";"Muy alta"}),"")</f>
        <v/>
      </c>
      <c r="AF831" s="30">
        <f>T831*AD831</f>
        <v/>
      </c>
      <c r="AG831" s="28">
        <f>IFERROR(LOOKUP(AF831,{0;0.5;5;25},{"Bajo";"Medio";"Alto";"Crítico"}),"")</f>
        <v/>
      </c>
      <c r="AH831" s="28">
        <f>IF(AG831="","",IF(OR(AG831="Crítico",AG831="Alto"),"Mitigar",IF(AG831="Medio","Mitigar","Aceptar y monitorear")))</f>
        <v/>
      </c>
      <c r="AI831" s="21" t="n"/>
      <c r="AJ831" s="21" t="n"/>
      <c r="AK831" s="20" t="n"/>
      <c r="AL831" s="77">
        <f>IFERROR(INDEX(MgAmenEfic,MATCH(SUBSTITUTE($H831,"*","-"),MgAmenClave,0)),0)</f>
        <v/>
      </c>
    </row>
    <row r="832" hidden="1" ht="90" customHeight="1" s="54">
      <c r="B832" s="59" t="inlineStr">
        <is>
          <t>R-0827</t>
        </is>
      </c>
      <c r="C832" s="59" t="inlineStr">
        <is>
          <t>FIN-12</t>
        </is>
      </c>
      <c r="D832" s="64">
        <f>IFERROR(INDEX(MgNombre,MATCH($C832,MgActId,0)),"")</f>
        <v/>
      </c>
      <c r="E832" s="64">
        <f>IFERROR(INDEX(MgProceso,MATCH($C832,MgActId,0)),"")</f>
        <v/>
      </c>
      <c r="F832" s="64">
        <f>IFERROR(INDEX(MgTipo,MATCH($C832,MgActId,0)),"")</f>
        <v/>
      </c>
      <c r="G832" s="64">
        <f>IFERROR(INDEX(MgSubtipo,MATCH($C832,MgActId,0)),"")</f>
        <v/>
      </c>
      <c r="H832" s="59" t="inlineStr">
        <is>
          <t>E.15</t>
        </is>
      </c>
      <c r="I832" s="64">
        <f>IFERROR(INDEX(MgAmenNombre,MATCH(SUBSTITUTE($H832,"*","-"),MgAmenClave,0)),"")</f>
        <v/>
      </c>
      <c r="J832" s="28">
        <f>IFERROR(INDEX(MgAmenGrupo,MATCH(SUBSTITUTE($H832,"*","-"),MgAmenClave,0)),"")</f>
        <v/>
      </c>
      <c r="K832" s="64">
        <f>IFERROR(INDEX('1. Matriz de Activos'!$Q$6:$Q$239,MATCH($C832,MgActId,0)),"")</f>
        <v/>
      </c>
      <c r="L832" s="64">
        <f>IFERROR(INDEX('1. Matriz de Activos'!$R$6:$R$239,MATCH($C832,MgActId,0)),"")</f>
        <v/>
      </c>
      <c r="M832" s="64">
        <f>IFERROR(INDEX('1. Matriz de Activos'!$S$6:$S$239,MATCH($C832,MgActId,0)),"")</f>
        <v/>
      </c>
      <c r="N832" s="28">
        <f>IFERROR(INDEX(MgAmenDegD,MATCH(SUBSTITUTE($H832,"*","-"),MgAmenClave,0)),"No aplica")</f>
        <v/>
      </c>
      <c r="O832" s="28">
        <f>IFERROR(INDEX(MgAmenDegI,MATCH(SUBSTITUTE($H832,"*","-"),MgAmenClave,0)),"No aplica")</f>
        <v/>
      </c>
      <c r="P832" s="28">
        <f>IFERROR(INDEX(MgAmenDegC,MATCH(SUBSTITUTE($H832,"*","-"),MgAmenClave,0)),"No aplica")</f>
        <v/>
      </c>
      <c r="Q832" s="29">
        <f>IFERROR(VLOOKUP(K832,MgValor,2,0)*VLOOKUP(N832,MgDeg,2,0),0)</f>
        <v/>
      </c>
      <c r="R832" s="29">
        <f>IFERROR(VLOOKUP(L832,MgValor,2,0)*VLOOKUP(O832,MgDeg,2,0),0)</f>
        <v/>
      </c>
      <c r="S832" s="29">
        <f>IFERROR(VLOOKUP(M832,MgValor,2,0)*VLOOKUP(P832,MgDeg,2,0),0)</f>
        <v/>
      </c>
      <c r="T832" s="30">
        <f>MAX(Q832:S832)</f>
        <v/>
      </c>
      <c r="U832" s="28">
        <f>IFERROR(LOOKUP(T832,{0;0.5;1.5;3;4.5},{"Despreciable";"Bajo";"Medio";"Alto";"Muy alto"}),"")</f>
        <v/>
      </c>
      <c r="V832" s="13">
        <f>IFERROR(INDEX(MgAmenFrec,MATCH(SUBSTITUTE($H832,"*","-"),MgAmenClave,0)),"")</f>
        <v/>
      </c>
      <c r="W832" s="28">
        <f>IFERROR(LOOKUP(X832,{0;0.01;0.1;1;10;100},{"Muy baja";"Muy baja";"Baja";"Media";"Alta";"Muy alta"}),"")</f>
        <v/>
      </c>
      <c r="X832" s="31">
        <f>IFERROR(VLOOKUP(V832,MgFrec,2,0),0)</f>
        <v/>
      </c>
      <c r="Y832" s="30">
        <f>T832*X832</f>
        <v/>
      </c>
      <c r="Z832" s="28">
        <f>IFERROR(LOOKUP(Y832,{0;0.5;5;25},{"Bajo";"Medio";"Alto";"Crítico"}),"")</f>
        <v/>
      </c>
      <c r="AA832" s="64">
        <f>IF(T832&gt;=3,IF(X832&gt;=1,"Zona 1 — Crítica: impacto alto y ocurre al menos una vez al año","Zona 4 — Catastrófica poco probable: impacto alto pero excepcional"),IF(AND(T832&lt;1.5,X832&lt;1),"Zona 3 — Asumible: impacto bajo y muy poco frecuente","Zona 2 — Atención: riesgo intermedio"))</f>
        <v/>
      </c>
      <c r="AB832" s="64">
        <f>IFERROR(INDEX(MgAmenCtrl,MATCH(SUBSTITUTE($H832,"*","-"),MgAmenClave,0)),"")</f>
        <v/>
      </c>
      <c r="AC832" s="20" t="n"/>
      <c r="AD832" s="31">
        <f>IFERROR($X832*(1-IF($AC832="",$AL832,VLOOKUP($AC832,MgMad,2,0))),"")</f>
        <v/>
      </c>
      <c r="AE832" s="28">
        <f>IFERROR(LOOKUP(AD832,{0;0.01;0.1;1;10;100},{"Muy baja";"Muy baja";"Baja";"Media";"Alta";"Muy alta"}),"")</f>
        <v/>
      </c>
      <c r="AF832" s="30">
        <f>T832*AD832</f>
        <v/>
      </c>
      <c r="AG832" s="28">
        <f>IFERROR(LOOKUP(AF832,{0;0.5;5;25},{"Bajo";"Medio";"Alto";"Crítico"}),"")</f>
        <v/>
      </c>
      <c r="AH832" s="28">
        <f>IF(AG832="","",IF(OR(AG832="Crítico",AG832="Alto"),"Mitigar",IF(AG832="Medio","Mitigar","Aceptar y monitorear")))</f>
        <v/>
      </c>
      <c r="AI832" s="21" t="n"/>
      <c r="AJ832" s="21" t="n"/>
      <c r="AK832" s="20" t="n"/>
      <c r="AL832" s="77">
        <f>IFERROR(INDEX(MgAmenEfic,MATCH(SUBSTITUTE($H832,"*","-"),MgAmenClave,0)),0)</f>
        <v/>
      </c>
    </row>
    <row r="833" hidden="1" ht="60" customHeight="1" s="54">
      <c r="B833" s="59" t="inlineStr">
        <is>
          <t>R-0828</t>
        </is>
      </c>
      <c r="C833" s="59" t="inlineStr">
        <is>
          <t>FIN-12</t>
        </is>
      </c>
      <c r="D833" s="64">
        <f>IFERROR(INDEX(MgNombre,MATCH($C833,MgActId,0)),"")</f>
        <v/>
      </c>
      <c r="E833" s="64">
        <f>IFERROR(INDEX(MgProceso,MATCH($C833,MgActId,0)),"")</f>
        <v/>
      </c>
      <c r="F833" s="64">
        <f>IFERROR(INDEX(MgTipo,MATCH($C833,MgActId,0)),"")</f>
        <v/>
      </c>
      <c r="G833" s="64">
        <f>IFERROR(INDEX(MgSubtipo,MATCH($C833,MgActId,0)),"")</f>
        <v/>
      </c>
      <c r="H833" s="59" t="inlineStr">
        <is>
          <t>E.18</t>
        </is>
      </c>
      <c r="I833" s="64">
        <f>IFERROR(INDEX(MgAmenNombre,MATCH(SUBSTITUTE($H833,"*","-"),MgAmenClave,0)),"")</f>
        <v/>
      </c>
      <c r="J833" s="28">
        <f>IFERROR(INDEX(MgAmenGrupo,MATCH(SUBSTITUTE($H833,"*","-"),MgAmenClave,0)),"")</f>
        <v/>
      </c>
      <c r="K833" s="64">
        <f>IFERROR(INDEX('1. Matriz de Activos'!$Q$6:$Q$239,MATCH($C833,MgActId,0)),"")</f>
        <v/>
      </c>
      <c r="L833" s="64">
        <f>IFERROR(INDEX('1. Matriz de Activos'!$R$6:$R$239,MATCH($C833,MgActId,0)),"")</f>
        <v/>
      </c>
      <c r="M833" s="64">
        <f>IFERROR(INDEX('1. Matriz de Activos'!$S$6:$S$239,MATCH($C833,MgActId,0)),"")</f>
        <v/>
      </c>
      <c r="N833" s="28">
        <f>IFERROR(INDEX(MgAmenDegD,MATCH(SUBSTITUTE($H833,"*","-"),MgAmenClave,0)),"No aplica")</f>
        <v/>
      </c>
      <c r="O833" s="28">
        <f>IFERROR(INDEX(MgAmenDegI,MATCH(SUBSTITUTE($H833,"*","-"),MgAmenClave,0)),"No aplica")</f>
        <v/>
      </c>
      <c r="P833" s="28">
        <f>IFERROR(INDEX(MgAmenDegC,MATCH(SUBSTITUTE($H833,"*","-"),MgAmenClave,0)),"No aplica")</f>
        <v/>
      </c>
      <c r="Q833" s="29">
        <f>IFERROR(VLOOKUP(K833,MgValor,2,0)*VLOOKUP(N833,MgDeg,2,0),0)</f>
        <v/>
      </c>
      <c r="R833" s="29">
        <f>IFERROR(VLOOKUP(L833,MgValor,2,0)*VLOOKUP(O833,MgDeg,2,0),0)</f>
        <v/>
      </c>
      <c r="S833" s="29">
        <f>IFERROR(VLOOKUP(M833,MgValor,2,0)*VLOOKUP(P833,MgDeg,2,0),0)</f>
        <v/>
      </c>
      <c r="T833" s="30">
        <f>MAX(Q833:S833)</f>
        <v/>
      </c>
      <c r="U833" s="28">
        <f>IFERROR(LOOKUP(T833,{0;0.5;1.5;3;4.5},{"Despreciable";"Bajo";"Medio";"Alto";"Muy alto"}),"")</f>
        <v/>
      </c>
      <c r="V833" s="13">
        <f>IFERROR(INDEX(MgAmenFrec,MATCH(SUBSTITUTE($H833,"*","-"),MgAmenClave,0)),"")</f>
        <v/>
      </c>
      <c r="W833" s="28">
        <f>IFERROR(LOOKUP(X833,{0;0.01;0.1;1;10;100},{"Muy baja";"Muy baja";"Baja";"Media";"Alta";"Muy alta"}),"")</f>
        <v/>
      </c>
      <c r="X833" s="31">
        <f>IFERROR(VLOOKUP(V833,MgFrec,2,0),0)</f>
        <v/>
      </c>
      <c r="Y833" s="30">
        <f>T833*X833</f>
        <v/>
      </c>
      <c r="Z833" s="28">
        <f>IFERROR(LOOKUP(Y833,{0;0.5;5;25},{"Bajo";"Medio";"Alto";"Crítico"}),"")</f>
        <v/>
      </c>
      <c r="AA833" s="64">
        <f>IF(T833&gt;=3,IF(X833&gt;=1,"Zona 1 — Crítica: impacto alto y ocurre al menos una vez al año","Zona 4 — Catastrófica poco probable: impacto alto pero excepcional"),IF(AND(T833&lt;1.5,X833&lt;1),"Zona 3 — Asumible: impacto bajo y muy poco frecuente","Zona 2 — Atención: riesgo intermedio"))</f>
        <v/>
      </c>
      <c r="AB833" s="64">
        <f>IFERROR(INDEX(MgAmenCtrl,MATCH(SUBSTITUTE($H833,"*","-"),MgAmenClave,0)),"")</f>
        <v/>
      </c>
      <c r="AC833" s="20" t="n"/>
      <c r="AD833" s="31">
        <f>IFERROR($X833*(1-IF($AC833="",$AL833,VLOOKUP($AC833,MgMad,2,0))),"")</f>
        <v/>
      </c>
      <c r="AE833" s="28">
        <f>IFERROR(LOOKUP(AD833,{0;0.01;0.1;1;10;100},{"Muy baja";"Muy baja";"Baja";"Media";"Alta";"Muy alta"}),"")</f>
        <v/>
      </c>
      <c r="AF833" s="30">
        <f>T833*AD833</f>
        <v/>
      </c>
      <c r="AG833" s="28">
        <f>IFERROR(LOOKUP(AF833,{0;0.5;5;25},{"Bajo";"Medio";"Alto";"Crítico"}),"")</f>
        <v/>
      </c>
      <c r="AH833" s="28">
        <f>IF(AG833="","",IF(OR(AG833="Crítico",AG833="Alto"),"Mitigar",IF(AG833="Medio","Mitigar","Aceptar y monitorear")))</f>
        <v/>
      </c>
      <c r="AI833" s="21" t="n"/>
      <c r="AJ833" s="21" t="n"/>
      <c r="AK833" s="20" t="n"/>
      <c r="AL833" s="77">
        <f>IFERROR(INDEX(MgAmenEfic,MATCH(SUBSTITUTE($H833,"*","-"),MgAmenClave,0)),0)</f>
        <v/>
      </c>
    </row>
    <row r="834" hidden="1" ht="105" customHeight="1" s="54">
      <c r="B834" s="59" t="inlineStr">
        <is>
          <t>R-0829</t>
        </is>
      </c>
      <c r="C834" s="59" t="inlineStr">
        <is>
          <t>FIN-12</t>
        </is>
      </c>
      <c r="D834" s="64">
        <f>IFERROR(INDEX(MgNombre,MATCH($C834,MgActId,0)),"")</f>
        <v/>
      </c>
      <c r="E834" s="64">
        <f>IFERROR(INDEX(MgProceso,MATCH($C834,MgActId,0)),"")</f>
        <v/>
      </c>
      <c r="F834" s="64">
        <f>IFERROR(INDEX(MgTipo,MATCH($C834,MgActId,0)),"")</f>
        <v/>
      </c>
      <c r="G834" s="64">
        <f>IFERROR(INDEX(MgSubtipo,MATCH($C834,MgActId,0)),"")</f>
        <v/>
      </c>
      <c r="H834" s="59" t="inlineStr">
        <is>
          <t>E.19</t>
        </is>
      </c>
      <c r="I834" s="64">
        <f>IFERROR(INDEX(MgAmenNombre,MATCH(SUBSTITUTE($H834,"*","-"),MgAmenClave,0)),"")</f>
        <v/>
      </c>
      <c r="J834" s="28">
        <f>IFERROR(INDEX(MgAmenGrupo,MATCH(SUBSTITUTE($H834,"*","-"),MgAmenClave,0)),"")</f>
        <v/>
      </c>
      <c r="K834" s="64">
        <f>IFERROR(INDEX('1. Matriz de Activos'!$Q$6:$Q$239,MATCH($C834,MgActId,0)),"")</f>
        <v/>
      </c>
      <c r="L834" s="64">
        <f>IFERROR(INDEX('1. Matriz de Activos'!$R$6:$R$239,MATCH($C834,MgActId,0)),"")</f>
        <v/>
      </c>
      <c r="M834" s="64">
        <f>IFERROR(INDEX('1. Matriz de Activos'!$S$6:$S$239,MATCH($C834,MgActId,0)),"")</f>
        <v/>
      </c>
      <c r="N834" s="28">
        <f>IFERROR(INDEX(MgAmenDegD,MATCH(SUBSTITUTE($H834,"*","-"),MgAmenClave,0)),"No aplica")</f>
        <v/>
      </c>
      <c r="O834" s="28">
        <f>IFERROR(INDEX(MgAmenDegI,MATCH(SUBSTITUTE($H834,"*","-"),MgAmenClave,0)),"No aplica")</f>
        <v/>
      </c>
      <c r="P834" s="28">
        <f>IFERROR(INDEX(MgAmenDegC,MATCH(SUBSTITUTE($H834,"*","-"),MgAmenClave,0)),"No aplica")</f>
        <v/>
      </c>
      <c r="Q834" s="29">
        <f>IFERROR(VLOOKUP(K834,MgValor,2,0)*VLOOKUP(N834,MgDeg,2,0),0)</f>
        <v/>
      </c>
      <c r="R834" s="29">
        <f>IFERROR(VLOOKUP(L834,MgValor,2,0)*VLOOKUP(O834,MgDeg,2,0),0)</f>
        <v/>
      </c>
      <c r="S834" s="29">
        <f>IFERROR(VLOOKUP(M834,MgValor,2,0)*VLOOKUP(P834,MgDeg,2,0),0)</f>
        <v/>
      </c>
      <c r="T834" s="30">
        <f>MAX(Q834:S834)</f>
        <v/>
      </c>
      <c r="U834" s="28">
        <f>IFERROR(LOOKUP(T834,{0;0.5;1.5;3;4.5},{"Despreciable";"Bajo";"Medio";"Alto";"Muy alto"}),"")</f>
        <v/>
      </c>
      <c r="V834" s="13">
        <f>IFERROR(INDEX(MgAmenFrec,MATCH(SUBSTITUTE($H834,"*","-"),MgAmenClave,0)),"")</f>
        <v/>
      </c>
      <c r="W834" s="28">
        <f>IFERROR(LOOKUP(X834,{0;0.01;0.1;1;10;100},{"Muy baja";"Muy baja";"Baja";"Media";"Alta";"Muy alta"}),"")</f>
        <v/>
      </c>
      <c r="X834" s="31">
        <f>IFERROR(VLOOKUP(V834,MgFrec,2,0),0)</f>
        <v/>
      </c>
      <c r="Y834" s="30">
        <f>T834*X834</f>
        <v/>
      </c>
      <c r="Z834" s="28">
        <f>IFERROR(LOOKUP(Y834,{0;0.5;5;25},{"Bajo";"Medio";"Alto";"Crítico"}),"")</f>
        <v/>
      </c>
      <c r="AA834" s="64">
        <f>IF(T834&gt;=3,IF(X834&gt;=1,"Zona 1 — Crítica: impacto alto y ocurre al menos una vez al año","Zona 4 — Catastrófica poco probable: impacto alto pero excepcional"),IF(AND(T834&lt;1.5,X834&lt;1),"Zona 3 — Asumible: impacto bajo y muy poco frecuente","Zona 2 — Atención: riesgo intermedio"))</f>
        <v/>
      </c>
      <c r="AB834" s="64">
        <f>IFERROR(INDEX(MgAmenCtrl,MATCH(SUBSTITUTE($H834,"*","-"),MgAmenClave,0)),"")</f>
        <v/>
      </c>
      <c r="AC834" s="20" t="n"/>
      <c r="AD834" s="31">
        <f>IFERROR($X834*(1-IF($AC834="",$AL834,VLOOKUP($AC834,MgMad,2,0))),"")</f>
        <v/>
      </c>
      <c r="AE834" s="28">
        <f>IFERROR(LOOKUP(AD834,{0;0.01;0.1;1;10;100},{"Muy baja";"Muy baja";"Baja";"Media";"Alta";"Muy alta"}),"")</f>
        <v/>
      </c>
      <c r="AF834" s="30">
        <f>T834*AD834</f>
        <v/>
      </c>
      <c r="AG834" s="28">
        <f>IFERROR(LOOKUP(AF834,{0;0.5;5;25},{"Bajo";"Medio";"Alto";"Crítico"}),"")</f>
        <v/>
      </c>
      <c r="AH834" s="28">
        <f>IF(AG834="","",IF(OR(AG834="Crítico",AG834="Alto"),"Mitigar",IF(AG834="Medio","Mitigar","Aceptar y monitorear")))</f>
        <v/>
      </c>
      <c r="AI834" s="21" t="n"/>
      <c r="AJ834" s="21" t="n"/>
      <c r="AK834" s="20" t="n"/>
      <c r="AL834" s="77">
        <f>IFERROR(INDEX(MgAmenEfic,MATCH(SUBSTITUTE($H834,"*","-"),MgAmenClave,0)),0)</f>
        <v/>
      </c>
    </row>
    <row r="835" hidden="1" ht="60" customHeight="1" s="54">
      <c r="B835" s="59" t="inlineStr">
        <is>
          <t>R-0830</t>
        </is>
      </c>
      <c r="C835" s="59" t="inlineStr">
        <is>
          <t>FIN-12</t>
        </is>
      </c>
      <c r="D835" s="64">
        <f>IFERROR(INDEX(MgNombre,MATCH($C835,MgActId,0)),"")</f>
        <v/>
      </c>
      <c r="E835" s="64">
        <f>IFERROR(INDEX(MgProceso,MATCH($C835,MgActId,0)),"")</f>
        <v/>
      </c>
      <c r="F835" s="64">
        <f>IFERROR(INDEX(MgTipo,MATCH($C835,MgActId,0)),"")</f>
        <v/>
      </c>
      <c r="G835" s="64">
        <f>IFERROR(INDEX(MgSubtipo,MATCH($C835,MgActId,0)),"")</f>
        <v/>
      </c>
      <c r="H835" s="59" t="inlineStr">
        <is>
          <t>A.3</t>
        </is>
      </c>
      <c r="I835" s="64">
        <f>IFERROR(INDEX(MgAmenNombre,MATCH(SUBSTITUTE($H835,"*","-"),MgAmenClave,0)),"")</f>
        <v/>
      </c>
      <c r="J835" s="28">
        <f>IFERROR(INDEX(MgAmenGrupo,MATCH(SUBSTITUTE($H835,"*","-"),MgAmenClave,0)),"")</f>
        <v/>
      </c>
      <c r="K835" s="64">
        <f>IFERROR(INDEX('1. Matriz de Activos'!$Q$6:$Q$239,MATCH($C835,MgActId,0)),"")</f>
        <v/>
      </c>
      <c r="L835" s="64">
        <f>IFERROR(INDEX('1. Matriz de Activos'!$R$6:$R$239,MATCH($C835,MgActId,0)),"")</f>
        <v/>
      </c>
      <c r="M835" s="64">
        <f>IFERROR(INDEX('1. Matriz de Activos'!$S$6:$S$239,MATCH($C835,MgActId,0)),"")</f>
        <v/>
      </c>
      <c r="N835" s="28">
        <f>IFERROR(INDEX(MgAmenDegD,MATCH(SUBSTITUTE($H835,"*","-"),MgAmenClave,0)),"No aplica")</f>
        <v/>
      </c>
      <c r="O835" s="28">
        <f>IFERROR(INDEX(MgAmenDegI,MATCH(SUBSTITUTE($H835,"*","-"),MgAmenClave,0)),"No aplica")</f>
        <v/>
      </c>
      <c r="P835" s="28">
        <f>IFERROR(INDEX(MgAmenDegC,MATCH(SUBSTITUTE($H835,"*","-"),MgAmenClave,0)),"No aplica")</f>
        <v/>
      </c>
      <c r="Q835" s="29">
        <f>IFERROR(VLOOKUP(K835,MgValor,2,0)*VLOOKUP(N835,MgDeg,2,0),0)</f>
        <v/>
      </c>
      <c r="R835" s="29">
        <f>IFERROR(VLOOKUP(L835,MgValor,2,0)*VLOOKUP(O835,MgDeg,2,0),0)</f>
        <v/>
      </c>
      <c r="S835" s="29">
        <f>IFERROR(VLOOKUP(M835,MgValor,2,0)*VLOOKUP(P835,MgDeg,2,0),0)</f>
        <v/>
      </c>
      <c r="T835" s="30">
        <f>MAX(Q835:S835)</f>
        <v/>
      </c>
      <c r="U835" s="28">
        <f>IFERROR(LOOKUP(T835,{0;0.5;1.5;3;4.5},{"Despreciable";"Bajo";"Medio";"Alto";"Muy alto"}),"")</f>
        <v/>
      </c>
      <c r="V835" s="13">
        <f>IFERROR(INDEX(MgAmenFrec,MATCH(SUBSTITUTE($H835,"*","-"),MgAmenClave,0)),"")</f>
        <v/>
      </c>
      <c r="W835" s="28">
        <f>IFERROR(LOOKUP(X835,{0;0.01;0.1;1;10;100},{"Muy baja";"Muy baja";"Baja";"Media";"Alta";"Muy alta"}),"")</f>
        <v/>
      </c>
      <c r="X835" s="31">
        <f>IFERROR(VLOOKUP(V835,MgFrec,2,0),0)</f>
        <v/>
      </c>
      <c r="Y835" s="30">
        <f>T835*X835</f>
        <v/>
      </c>
      <c r="Z835" s="28">
        <f>IFERROR(LOOKUP(Y835,{0;0.5;5;25},{"Bajo";"Medio";"Alto";"Crítico"}),"")</f>
        <v/>
      </c>
      <c r="AA835" s="64">
        <f>IF(T835&gt;=3,IF(X835&gt;=1,"Zona 1 — Crítica: impacto alto y ocurre al menos una vez al año","Zona 4 — Catastrófica poco probable: impacto alto pero excepcional"),IF(AND(T835&lt;1.5,X835&lt;1),"Zona 3 — Asumible: impacto bajo y muy poco frecuente","Zona 2 — Atención: riesgo intermedio"))</f>
        <v/>
      </c>
      <c r="AB835" s="64">
        <f>IFERROR(INDEX(MgAmenCtrl,MATCH(SUBSTITUTE($H835,"*","-"),MgAmenClave,0)),"")</f>
        <v/>
      </c>
      <c r="AC835" s="20" t="n"/>
      <c r="AD835" s="31">
        <f>IFERROR($X835*(1-IF($AC835="",$AL835,VLOOKUP($AC835,MgMad,2,0))),"")</f>
        <v/>
      </c>
      <c r="AE835" s="28">
        <f>IFERROR(LOOKUP(AD835,{0;0.01;0.1;1;10;100},{"Muy baja";"Muy baja";"Baja";"Media";"Alta";"Muy alta"}),"")</f>
        <v/>
      </c>
      <c r="AF835" s="30">
        <f>T835*AD835</f>
        <v/>
      </c>
      <c r="AG835" s="28">
        <f>IFERROR(LOOKUP(AF835,{0;0.5;5;25},{"Bajo";"Medio";"Alto";"Crítico"}),"")</f>
        <v/>
      </c>
      <c r="AH835" s="28">
        <f>IF(AG835="","",IF(OR(AG835="Crítico",AG835="Alto"),"Mitigar",IF(AG835="Medio","Mitigar","Aceptar y monitorear")))</f>
        <v/>
      </c>
      <c r="AI835" s="21" t="n"/>
      <c r="AJ835" s="21" t="n"/>
      <c r="AK835" s="20" t="n"/>
      <c r="AL835" s="77">
        <f>IFERROR(INDEX(MgAmenEfic,MATCH(SUBSTITUTE($H835,"*","-"),MgAmenClave,0)),0)</f>
        <v/>
      </c>
    </row>
    <row r="836" hidden="1" ht="60" customHeight="1" s="54">
      <c r="B836" s="59" t="inlineStr">
        <is>
          <t>R-0831</t>
        </is>
      </c>
      <c r="C836" s="59" t="inlineStr">
        <is>
          <t>FIN-12</t>
        </is>
      </c>
      <c r="D836" s="64">
        <f>IFERROR(INDEX(MgNombre,MATCH($C836,MgActId,0)),"")</f>
        <v/>
      </c>
      <c r="E836" s="64">
        <f>IFERROR(INDEX(MgProceso,MATCH($C836,MgActId,0)),"")</f>
        <v/>
      </c>
      <c r="F836" s="64">
        <f>IFERROR(INDEX(MgTipo,MATCH($C836,MgActId,0)),"")</f>
        <v/>
      </c>
      <c r="G836" s="64">
        <f>IFERROR(INDEX(MgSubtipo,MATCH($C836,MgActId,0)),"")</f>
        <v/>
      </c>
      <c r="H836" s="59" t="inlineStr">
        <is>
          <t>A.4</t>
        </is>
      </c>
      <c r="I836" s="64">
        <f>IFERROR(INDEX(MgAmenNombre,MATCH(SUBSTITUTE($H836,"*","-"),MgAmenClave,0)),"")</f>
        <v/>
      </c>
      <c r="J836" s="28">
        <f>IFERROR(INDEX(MgAmenGrupo,MATCH(SUBSTITUTE($H836,"*","-"),MgAmenClave,0)),"")</f>
        <v/>
      </c>
      <c r="K836" s="64">
        <f>IFERROR(INDEX('1. Matriz de Activos'!$Q$6:$Q$239,MATCH($C836,MgActId,0)),"")</f>
        <v/>
      </c>
      <c r="L836" s="64">
        <f>IFERROR(INDEX('1. Matriz de Activos'!$R$6:$R$239,MATCH($C836,MgActId,0)),"")</f>
        <v/>
      </c>
      <c r="M836" s="64">
        <f>IFERROR(INDEX('1. Matriz de Activos'!$S$6:$S$239,MATCH($C836,MgActId,0)),"")</f>
        <v/>
      </c>
      <c r="N836" s="28">
        <f>IFERROR(INDEX(MgAmenDegD,MATCH(SUBSTITUTE($H836,"*","-"),MgAmenClave,0)),"No aplica")</f>
        <v/>
      </c>
      <c r="O836" s="28">
        <f>IFERROR(INDEX(MgAmenDegI,MATCH(SUBSTITUTE($H836,"*","-"),MgAmenClave,0)),"No aplica")</f>
        <v/>
      </c>
      <c r="P836" s="28">
        <f>IFERROR(INDEX(MgAmenDegC,MATCH(SUBSTITUTE($H836,"*","-"),MgAmenClave,0)),"No aplica")</f>
        <v/>
      </c>
      <c r="Q836" s="29">
        <f>IFERROR(VLOOKUP(K836,MgValor,2,0)*VLOOKUP(N836,MgDeg,2,0),0)</f>
        <v/>
      </c>
      <c r="R836" s="29">
        <f>IFERROR(VLOOKUP(L836,MgValor,2,0)*VLOOKUP(O836,MgDeg,2,0),0)</f>
        <v/>
      </c>
      <c r="S836" s="29">
        <f>IFERROR(VLOOKUP(M836,MgValor,2,0)*VLOOKUP(P836,MgDeg,2,0),0)</f>
        <v/>
      </c>
      <c r="T836" s="30">
        <f>MAX(Q836:S836)</f>
        <v/>
      </c>
      <c r="U836" s="28">
        <f>IFERROR(LOOKUP(T836,{0;0.5;1.5;3;4.5},{"Despreciable";"Bajo";"Medio";"Alto";"Muy alto"}),"")</f>
        <v/>
      </c>
      <c r="V836" s="13">
        <f>IFERROR(INDEX(MgAmenFrec,MATCH(SUBSTITUTE($H836,"*","-"),MgAmenClave,0)),"")</f>
        <v/>
      </c>
      <c r="W836" s="28">
        <f>IFERROR(LOOKUP(X836,{0;0.01;0.1;1;10;100},{"Muy baja";"Muy baja";"Baja";"Media";"Alta";"Muy alta"}),"")</f>
        <v/>
      </c>
      <c r="X836" s="31">
        <f>IFERROR(VLOOKUP(V836,MgFrec,2,0),0)</f>
        <v/>
      </c>
      <c r="Y836" s="30">
        <f>T836*X836</f>
        <v/>
      </c>
      <c r="Z836" s="28">
        <f>IFERROR(LOOKUP(Y836,{0;0.5;5;25},{"Bajo";"Medio";"Alto";"Crítico"}),"")</f>
        <v/>
      </c>
      <c r="AA836" s="64">
        <f>IF(T836&gt;=3,IF(X836&gt;=1,"Zona 1 — Crítica: impacto alto y ocurre al menos una vez al año","Zona 4 — Catastrófica poco probable: impacto alto pero excepcional"),IF(AND(T836&lt;1.5,X836&lt;1),"Zona 3 — Asumible: impacto bajo y muy poco frecuente","Zona 2 — Atención: riesgo intermedio"))</f>
        <v/>
      </c>
      <c r="AB836" s="64">
        <f>IFERROR(INDEX(MgAmenCtrl,MATCH(SUBSTITUTE($H836,"*","-"),MgAmenClave,0)),"")</f>
        <v/>
      </c>
      <c r="AC836" s="20" t="n"/>
      <c r="AD836" s="31">
        <f>IFERROR($X836*(1-IF($AC836="",$AL836,VLOOKUP($AC836,MgMad,2,0))),"")</f>
        <v/>
      </c>
      <c r="AE836" s="28">
        <f>IFERROR(LOOKUP(AD836,{0;0.01;0.1;1;10;100},{"Muy baja";"Muy baja";"Baja";"Media";"Alta";"Muy alta"}),"")</f>
        <v/>
      </c>
      <c r="AF836" s="30">
        <f>T836*AD836</f>
        <v/>
      </c>
      <c r="AG836" s="28">
        <f>IFERROR(LOOKUP(AF836,{0;0.5;5;25},{"Bajo";"Medio";"Alto";"Crítico"}),"")</f>
        <v/>
      </c>
      <c r="AH836" s="28">
        <f>IF(AG836="","",IF(OR(AG836="Crítico",AG836="Alto"),"Mitigar",IF(AG836="Medio","Mitigar","Aceptar y monitorear")))</f>
        <v/>
      </c>
      <c r="AI836" s="21" t="n"/>
      <c r="AJ836" s="21" t="n"/>
      <c r="AK836" s="20" t="n"/>
      <c r="AL836" s="77">
        <f>IFERROR(INDEX(MgAmenEfic,MATCH(SUBSTITUTE($H836,"*","-"),MgAmenClave,0)),0)</f>
        <v/>
      </c>
    </row>
    <row r="837" hidden="1" ht="75" customHeight="1" s="54">
      <c r="B837" s="59" t="inlineStr">
        <is>
          <t>R-0832</t>
        </is>
      </c>
      <c r="C837" s="59" t="inlineStr">
        <is>
          <t>FIN-12</t>
        </is>
      </c>
      <c r="D837" s="64">
        <f>IFERROR(INDEX(MgNombre,MATCH($C837,MgActId,0)),"")</f>
        <v/>
      </c>
      <c r="E837" s="64">
        <f>IFERROR(INDEX(MgProceso,MATCH($C837,MgActId,0)),"")</f>
        <v/>
      </c>
      <c r="F837" s="64">
        <f>IFERROR(INDEX(MgTipo,MATCH($C837,MgActId,0)),"")</f>
        <v/>
      </c>
      <c r="G837" s="64">
        <f>IFERROR(INDEX(MgSubtipo,MATCH($C837,MgActId,0)),"")</f>
        <v/>
      </c>
      <c r="H837" s="59" t="inlineStr">
        <is>
          <t>A.5</t>
        </is>
      </c>
      <c r="I837" s="64">
        <f>IFERROR(INDEX(MgAmenNombre,MATCH(SUBSTITUTE($H837,"*","-"),MgAmenClave,0)),"")</f>
        <v/>
      </c>
      <c r="J837" s="28">
        <f>IFERROR(INDEX(MgAmenGrupo,MATCH(SUBSTITUTE($H837,"*","-"),MgAmenClave,0)),"")</f>
        <v/>
      </c>
      <c r="K837" s="64">
        <f>IFERROR(INDEX('1. Matriz de Activos'!$Q$6:$Q$239,MATCH($C837,MgActId,0)),"")</f>
        <v/>
      </c>
      <c r="L837" s="64">
        <f>IFERROR(INDEX('1. Matriz de Activos'!$R$6:$R$239,MATCH($C837,MgActId,0)),"")</f>
        <v/>
      </c>
      <c r="M837" s="64">
        <f>IFERROR(INDEX('1. Matriz de Activos'!$S$6:$S$239,MATCH($C837,MgActId,0)),"")</f>
        <v/>
      </c>
      <c r="N837" s="28">
        <f>IFERROR(INDEX(MgAmenDegD,MATCH(SUBSTITUTE($H837,"*","-"),MgAmenClave,0)),"No aplica")</f>
        <v/>
      </c>
      <c r="O837" s="28">
        <f>IFERROR(INDEX(MgAmenDegI,MATCH(SUBSTITUTE($H837,"*","-"),MgAmenClave,0)),"No aplica")</f>
        <v/>
      </c>
      <c r="P837" s="28">
        <f>IFERROR(INDEX(MgAmenDegC,MATCH(SUBSTITUTE($H837,"*","-"),MgAmenClave,0)),"No aplica")</f>
        <v/>
      </c>
      <c r="Q837" s="29">
        <f>IFERROR(VLOOKUP(K837,MgValor,2,0)*VLOOKUP(N837,MgDeg,2,0),0)</f>
        <v/>
      </c>
      <c r="R837" s="29">
        <f>IFERROR(VLOOKUP(L837,MgValor,2,0)*VLOOKUP(O837,MgDeg,2,0),0)</f>
        <v/>
      </c>
      <c r="S837" s="29">
        <f>IFERROR(VLOOKUP(M837,MgValor,2,0)*VLOOKUP(P837,MgDeg,2,0),0)</f>
        <v/>
      </c>
      <c r="T837" s="30">
        <f>MAX(Q837:S837)</f>
        <v/>
      </c>
      <c r="U837" s="28">
        <f>IFERROR(LOOKUP(T837,{0;0.5;1.5;3;4.5},{"Despreciable";"Bajo";"Medio";"Alto";"Muy alto"}),"")</f>
        <v/>
      </c>
      <c r="V837" s="13">
        <f>IFERROR(INDEX(MgAmenFrec,MATCH(SUBSTITUTE($H837,"*","-"),MgAmenClave,0)),"")</f>
        <v/>
      </c>
      <c r="W837" s="28">
        <f>IFERROR(LOOKUP(X837,{0;0.01;0.1;1;10;100},{"Muy baja";"Muy baja";"Baja";"Media";"Alta";"Muy alta"}),"")</f>
        <v/>
      </c>
      <c r="X837" s="31">
        <f>IFERROR(VLOOKUP(V837,MgFrec,2,0),0)</f>
        <v/>
      </c>
      <c r="Y837" s="30">
        <f>T837*X837</f>
        <v/>
      </c>
      <c r="Z837" s="28">
        <f>IFERROR(LOOKUP(Y837,{0;0.5;5;25},{"Bajo";"Medio";"Alto";"Crítico"}),"")</f>
        <v/>
      </c>
      <c r="AA837" s="64">
        <f>IF(T837&gt;=3,IF(X837&gt;=1,"Zona 1 — Crítica: impacto alto y ocurre al menos una vez al año","Zona 4 — Catastrófica poco probable: impacto alto pero excepcional"),IF(AND(T837&lt;1.5,X837&lt;1),"Zona 3 — Asumible: impacto bajo y muy poco frecuente","Zona 2 — Atención: riesgo intermedio"))</f>
        <v/>
      </c>
      <c r="AB837" s="64">
        <f>IFERROR(INDEX(MgAmenCtrl,MATCH(SUBSTITUTE($H837,"*","-"),MgAmenClave,0)),"")</f>
        <v/>
      </c>
      <c r="AC837" s="20" t="n"/>
      <c r="AD837" s="31">
        <f>IFERROR($X837*(1-IF($AC837="",$AL837,VLOOKUP($AC837,MgMad,2,0))),"")</f>
        <v/>
      </c>
      <c r="AE837" s="28">
        <f>IFERROR(LOOKUP(AD837,{0;0.01;0.1;1;10;100},{"Muy baja";"Muy baja";"Baja";"Media";"Alta";"Muy alta"}),"")</f>
        <v/>
      </c>
      <c r="AF837" s="30">
        <f>T837*AD837</f>
        <v/>
      </c>
      <c r="AG837" s="28">
        <f>IFERROR(LOOKUP(AF837,{0;0.5;5;25},{"Bajo";"Medio";"Alto";"Crítico"}),"")</f>
        <v/>
      </c>
      <c r="AH837" s="28">
        <f>IF(AG837="","",IF(OR(AG837="Crítico",AG837="Alto"),"Mitigar",IF(AG837="Medio","Mitigar","Aceptar y monitorear")))</f>
        <v/>
      </c>
      <c r="AI837" s="21" t="n"/>
      <c r="AJ837" s="21" t="n"/>
      <c r="AK837" s="20" t="n"/>
      <c r="AL837" s="77">
        <f>IFERROR(INDEX(MgAmenEfic,MATCH(SUBSTITUTE($H837,"*","-"),MgAmenClave,0)),0)</f>
        <v/>
      </c>
    </row>
    <row r="838" hidden="1" ht="105" customHeight="1" s="54">
      <c r="B838" s="59" t="inlineStr">
        <is>
          <t>R-0833</t>
        </is>
      </c>
      <c r="C838" s="59" t="inlineStr">
        <is>
          <t>FIN-12</t>
        </is>
      </c>
      <c r="D838" s="64">
        <f>IFERROR(INDEX(MgNombre,MATCH($C838,MgActId,0)),"")</f>
        <v/>
      </c>
      <c r="E838" s="64">
        <f>IFERROR(INDEX(MgProceso,MATCH($C838,MgActId,0)),"")</f>
        <v/>
      </c>
      <c r="F838" s="64">
        <f>IFERROR(INDEX(MgTipo,MATCH($C838,MgActId,0)),"")</f>
        <v/>
      </c>
      <c r="G838" s="64">
        <f>IFERROR(INDEX(MgSubtipo,MATCH($C838,MgActId,0)),"")</f>
        <v/>
      </c>
      <c r="H838" s="59" t="inlineStr">
        <is>
          <t>A.6</t>
        </is>
      </c>
      <c r="I838" s="64">
        <f>IFERROR(INDEX(MgAmenNombre,MATCH(SUBSTITUTE($H838,"*","-"),MgAmenClave,0)),"")</f>
        <v/>
      </c>
      <c r="J838" s="28">
        <f>IFERROR(INDEX(MgAmenGrupo,MATCH(SUBSTITUTE($H838,"*","-"),MgAmenClave,0)),"")</f>
        <v/>
      </c>
      <c r="K838" s="64">
        <f>IFERROR(INDEX('1. Matriz de Activos'!$Q$6:$Q$239,MATCH($C838,MgActId,0)),"")</f>
        <v/>
      </c>
      <c r="L838" s="64">
        <f>IFERROR(INDEX('1. Matriz de Activos'!$R$6:$R$239,MATCH($C838,MgActId,0)),"")</f>
        <v/>
      </c>
      <c r="M838" s="64">
        <f>IFERROR(INDEX('1. Matriz de Activos'!$S$6:$S$239,MATCH($C838,MgActId,0)),"")</f>
        <v/>
      </c>
      <c r="N838" s="28">
        <f>IFERROR(INDEX(MgAmenDegD,MATCH(SUBSTITUTE($H838,"*","-"),MgAmenClave,0)),"No aplica")</f>
        <v/>
      </c>
      <c r="O838" s="28">
        <f>IFERROR(INDEX(MgAmenDegI,MATCH(SUBSTITUTE($H838,"*","-"),MgAmenClave,0)),"No aplica")</f>
        <v/>
      </c>
      <c r="P838" s="28">
        <f>IFERROR(INDEX(MgAmenDegC,MATCH(SUBSTITUTE($H838,"*","-"),MgAmenClave,0)),"No aplica")</f>
        <v/>
      </c>
      <c r="Q838" s="29">
        <f>IFERROR(VLOOKUP(K838,MgValor,2,0)*VLOOKUP(N838,MgDeg,2,0),0)</f>
        <v/>
      </c>
      <c r="R838" s="29">
        <f>IFERROR(VLOOKUP(L838,MgValor,2,0)*VLOOKUP(O838,MgDeg,2,0),0)</f>
        <v/>
      </c>
      <c r="S838" s="29">
        <f>IFERROR(VLOOKUP(M838,MgValor,2,0)*VLOOKUP(P838,MgDeg,2,0),0)</f>
        <v/>
      </c>
      <c r="T838" s="30">
        <f>MAX(Q838:S838)</f>
        <v/>
      </c>
      <c r="U838" s="28">
        <f>IFERROR(LOOKUP(T838,{0;0.5;1.5;3;4.5},{"Despreciable";"Bajo";"Medio";"Alto";"Muy alto"}),"")</f>
        <v/>
      </c>
      <c r="V838" s="13">
        <f>IFERROR(INDEX(MgAmenFrec,MATCH(SUBSTITUTE($H838,"*","-"),MgAmenClave,0)),"")</f>
        <v/>
      </c>
      <c r="W838" s="28">
        <f>IFERROR(LOOKUP(X838,{0;0.01;0.1;1;10;100},{"Muy baja";"Muy baja";"Baja";"Media";"Alta";"Muy alta"}),"")</f>
        <v/>
      </c>
      <c r="X838" s="31">
        <f>IFERROR(VLOOKUP(V838,MgFrec,2,0),0)</f>
        <v/>
      </c>
      <c r="Y838" s="30">
        <f>T838*X838</f>
        <v/>
      </c>
      <c r="Z838" s="28">
        <f>IFERROR(LOOKUP(Y838,{0;0.5;5;25},{"Bajo";"Medio";"Alto";"Crítico"}),"")</f>
        <v/>
      </c>
      <c r="AA838" s="64">
        <f>IF(T838&gt;=3,IF(X838&gt;=1,"Zona 1 — Crítica: impacto alto y ocurre al menos una vez al año","Zona 4 — Catastrófica poco probable: impacto alto pero excepcional"),IF(AND(T838&lt;1.5,X838&lt;1),"Zona 3 — Asumible: impacto bajo y muy poco frecuente","Zona 2 — Atención: riesgo intermedio"))</f>
        <v/>
      </c>
      <c r="AB838" s="64">
        <f>IFERROR(INDEX(MgAmenCtrl,MATCH(SUBSTITUTE($H838,"*","-"),MgAmenClave,0)),"")</f>
        <v/>
      </c>
      <c r="AC838" s="20" t="n"/>
      <c r="AD838" s="31">
        <f>IFERROR($X838*(1-IF($AC838="",$AL838,VLOOKUP($AC838,MgMad,2,0))),"")</f>
        <v/>
      </c>
      <c r="AE838" s="28">
        <f>IFERROR(LOOKUP(AD838,{0;0.01;0.1;1;10;100},{"Muy baja";"Muy baja";"Baja";"Media";"Alta";"Muy alta"}),"")</f>
        <v/>
      </c>
      <c r="AF838" s="30">
        <f>T838*AD838</f>
        <v/>
      </c>
      <c r="AG838" s="28">
        <f>IFERROR(LOOKUP(AF838,{0;0.5;5;25},{"Bajo";"Medio";"Alto";"Crítico"}),"")</f>
        <v/>
      </c>
      <c r="AH838" s="28">
        <f>IF(AG838="","",IF(OR(AG838="Crítico",AG838="Alto"),"Mitigar",IF(AG838="Medio","Mitigar","Aceptar y monitorear")))</f>
        <v/>
      </c>
      <c r="AI838" s="21" t="n"/>
      <c r="AJ838" s="21" t="n"/>
      <c r="AK838" s="20" t="n"/>
      <c r="AL838" s="77">
        <f>IFERROR(INDEX(MgAmenEfic,MATCH(SUBSTITUTE($H838,"*","-"),MgAmenClave,0)),0)</f>
        <v/>
      </c>
    </row>
    <row r="839" hidden="1" ht="120" customHeight="1" s="54">
      <c r="B839" s="59" t="inlineStr">
        <is>
          <t>R-0834</t>
        </is>
      </c>
      <c r="C839" s="59" t="inlineStr">
        <is>
          <t>FIN-12</t>
        </is>
      </c>
      <c r="D839" s="64">
        <f>IFERROR(INDEX(MgNombre,MATCH($C839,MgActId,0)),"")</f>
        <v/>
      </c>
      <c r="E839" s="64">
        <f>IFERROR(INDEX(MgProceso,MATCH($C839,MgActId,0)),"")</f>
        <v/>
      </c>
      <c r="F839" s="64">
        <f>IFERROR(INDEX(MgTipo,MATCH($C839,MgActId,0)),"")</f>
        <v/>
      </c>
      <c r="G839" s="64">
        <f>IFERROR(INDEX(MgSubtipo,MATCH($C839,MgActId,0)),"")</f>
        <v/>
      </c>
      <c r="H839" s="59" t="inlineStr">
        <is>
          <t>A.11</t>
        </is>
      </c>
      <c r="I839" s="64">
        <f>IFERROR(INDEX(MgAmenNombre,MATCH(SUBSTITUTE($H839,"*","-"),MgAmenClave,0)),"")</f>
        <v/>
      </c>
      <c r="J839" s="28">
        <f>IFERROR(INDEX(MgAmenGrupo,MATCH(SUBSTITUTE($H839,"*","-"),MgAmenClave,0)),"")</f>
        <v/>
      </c>
      <c r="K839" s="64">
        <f>IFERROR(INDEX('1. Matriz de Activos'!$Q$6:$Q$239,MATCH($C839,MgActId,0)),"")</f>
        <v/>
      </c>
      <c r="L839" s="64">
        <f>IFERROR(INDEX('1. Matriz de Activos'!$R$6:$R$239,MATCH($C839,MgActId,0)),"")</f>
        <v/>
      </c>
      <c r="M839" s="64">
        <f>IFERROR(INDEX('1. Matriz de Activos'!$S$6:$S$239,MATCH($C839,MgActId,0)),"")</f>
        <v/>
      </c>
      <c r="N839" s="28">
        <f>IFERROR(INDEX(MgAmenDegD,MATCH(SUBSTITUTE($H839,"*","-"),MgAmenClave,0)),"No aplica")</f>
        <v/>
      </c>
      <c r="O839" s="28">
        <f>IFERROR(INDEX(MgAmenDegI,MATCH(SUBSTITUTE($H839,"*","-"),MgAmenClave,0)),"No aplica")</f>
        <v/>
      </c>
      <c r="P839" s="28">
        <f>IFERROR(INDEX(MgAmenDegC,MATCH(SUBSTITUTE($H839,"*","-"),MgAmenClave,0)),"No aplica")</f>
        <v/>
      </c>
      <c r="Q839" s="29">
        <f>IFERROR(VLOOKUP(K839,MgValor,2,0)*VLOOKUP(N839,MgDeg,2,0),0)</f>
        <v/>
      </c>
      <c r="R839" s="29">
        <f>IFERROR(VLOOKUP(L839,MgValor,2,0)*VLOOKUP(O839,MgDeg,2,0),0)</f>
        <v/>
      </c>
      <c r="S839" s="29">
        <f>IFERROR(VLOOKUP(M839,MgValor,2,0)*VLOOKUP(P839,MgDeg,2,0),0)</f>
        <v/>
      </c>
      <c r="T839" s="30">
        <f>MAX(Q839:S839)</f>
        <v/>
      </c>
      <c r="U839" s="28">
        <f>IFERROR(LOOKUP(T839,{0;0.5;1.5;3;4.5},{"Despreciable";"Bajo";"Medio";"Alto";"Muy alto"}),"")</f>
        <v/>
      </c>
      <c r="V839" s="13">
        <f>IFERROR(INDEX(MgAmenFrec,MATCH(SUBSTITUTE($H839,"*","-"),MgAmenClave,0)),"")</f>
        <v/>
      </c>
      <c r="W839" s="28">
        <f>IFERROR(LOOKUP(X839,{0;0.01;0.1;1;10;100},{"Muy baja";"Muy baja";"Baja";"Media";"Alta";"Muy alta"}),"")</f>
        <v/>
      </c>
      <c r="X839" s="31">
        <f>IFERROR(VLOOKUP(V839,MgFrec,2,0),0)</f>
        <v/>
      </c>
      <c r="Y839" s="30">
        <f>T839*X839</f>
        <v/>
      </c>
      <c r="Z839" s="28">
        <f>IFERROR(LOOKUP(Y839,{0;0.5;5;25},{"Bajo";"Medio";"Alto";"Crítico"}),"")</f>
        <v/>
      </c>
      <c r="AA839" s="64">
        <f>IF(T839&gt;=3,IF(X839&gt;=1,"Zona 1 — Crítica: impacto alto y ocurre al menos una vez al año","Zona 4 — Catastrófica poco probable: impacto alto pero excepcional"),IF(AND(T839&lt;1.5,X839&lt;1),"Zona 3 — Asumible: impacto bajo y muy poco frecuente","Zona 2 — Atención: riesgo intermedio"))</f>
        <v/>
      </c>
      <c r="AB839" s="64">
        <f>IFERROR(INDEX(MgAmenCtrl,MATCH(SUBSTITUTE($H839,"*","-"),MgAmenClave,0)),"")</f>
        <v/>
      </c>
      <c r="AC839" s="20" t="n"/>
      <c r="AD839" s="31">
        <f>IFERROR($X839*(1-IF($AC839="",$AL839,VLOOKUP($AC839,MgMad,2,0))),"")</f>
        <v/>
      </c>
      <c r="AE839" s="28">
        <f>IFERROR(LOOKUP(AD839,{0;0.01;0.1;1;10;100},{"Muy baja";"Muy baja";"Baja";"Media";"Alta";"Muy alta"}),"")</f>
        <v/>
      </c>
      <c r="AF839" s="30">
        <f>T839*AD839</f>
        <v/>
      </c>
      <c r="AG839" s="28">
        <f>IFERROR(LOOKUP(AF839,{0;0.5;5;25},{"Bajo";"Medio";"Alto";"Crítico"}),"")</f>
        <v/>
      </c>
      <c r="AH839" s="28">
        <f>IF(AG839="","",IF(OR(AG839="Crítico",AG839="Alto"),"Mitigar",IF(AG839="Medio","Mitigar","Aceptar y monitorear")))</f>
        <v/>
      </c>
      <c r="AI839" s="21" t="n"/>
      <c r="AJ839" s="21" t="n"/>
      <c r="AK839" s="20" t="n"/>
      <c r="AL839" s="77">
        <f>IFERROR(INDEX(MgAmenEfic,MATCH(SUBSTITUTE($H839,"*","-"),MgAmenClave,0)),0)</f>
        <v/>
      </c>
    </row>
    <row r="840" hidden="1" ht="90" customHeight="1" s="54">
      <c r="B840" s="59" t="inlineStr">
        <is>
          <t>R-0835</t>
        </is>
      </c>
      <c r="C840" s="59" t="inlineStr">
        <is>
          <t>FIN-12</t>
        </is>
      </c>
      <c r="D840" s="64">
        <f>IFERROR(INDEX(MgNombre,MATCH($C840,MgActId,0)),"")</f>
        <v/>
      </c>
      <c r="E840" s="64">
        <f>IFERROR(INDEX(MgProceso,MATCH($C840,MgActId,0)),"")</f>
        <v/>
      </c>
      <c r="F840" s="64">
        <f>IFERROR(INDEX(MgTipo,MATCH($C840,MgActId,0)),"")</f>
        <v/>
      </c>
      <c r="G840" s="64">
        <f>IFERROR(INDEX(MgSubtipo,MATCH($C840,MgActId,0)),"")</f>
        <v/>
      </c>
      <c r="H840" s="59" t="inlineStr">
        <is>
          <t>A.13</t>
        </is>
      </c>
      <c r="I840" s="64">
        <f>IFERROR(INDEX(MgAmenNombre,MATCH(SUBSTITUTE($H840,"*","-"),MgAmenClave,0)),"")</f>
        <v/>
      </c>
      <c r="J840" s="28">
        <f>IFERROR(INDEX(MgAmenGrupo,MATCH(SUBSTITUTE($H840,"*","-"),MgAmenClave,0)),"")</f>
        <v/>
      </c>
      <c r="K840" s="64">
        <f>IFERROR(INDEX('1. Matriz de Activos'!$Q$6:$Q$239,MATCH($C840,MgActId,0)),"")</f>
        <v/>
      </c>
      <c r="L840" s="64">
        <f>IFERROR(INDEX('1. Matriz de Activos'!$R$6:$R$239,MATCH($C840,MgActId,0)),"")</f>
        <v/>
      </c>
      <c r="M840" s="64">
        <f>IFERROR(INDEX('1. Matriz de Activos'!$S$6:$S$239,MATCH($C840,MgActId,0)),"")</f>
        <v/>
      </c>
      <c r="N840" s="28">
        <f>IFERROR(INDEX(MgAmenDegD,MATCH(SUBSTITUTE($H840,"*","-"),MgAmenClave,0)),"No aplica")</f>
        <v/>
      </c>
      <c r="O840" s="28">
        <f>IFERROR(INDEX(MgAmenDegI,MATCH(SUBSTITUTE($H840,"*","-"),MgAmenClave,0)),"No aplica")</f>
        <v/>
      </c>
      <c r="P840" s="28">
        <f>IFERROR(INDEX(MgAmenDegC,MATCH(SUBSTITUTE($H840,"*","-"),MgAmenClave,0)),"No aplica")</f>
        <v/>
      </c>
      <c r="Q840" s="29">
        <f>IFERROR(VLOOKUP(K840,MgValor,2,0)*VLOOKUP(N840,MgDeg,2,0),0)</f>
        <v/>
      </c>
      <c r="R840" s="29">
        <f>IFERROR(VLOOKUP(L840,MgValor,2,0)*VLOOKUP(O840,MgDeg,2,0),0)</f>
        <v/>
      </c>
      <c r="S840" s="29">
        <f>IFERROR(VLOOKUP(M840,MgValor,2,0)*VLOOKUP(P840,MgDeg,2,0),0)</f>
        <v/>
      </c>
      <c r="T840" s="30">
        <f>MAX(Q840:S840)</f>
        <v/>
      </c>
      <c r="U840" s="28">
        <f>IFERROR(LOOKUP(T840,{0;0.5;1.5;3;4.5},{"Despreciable";"Bajo";"Medio";"Alto";"Muy alto"}),"")</f>
        <v/>
      </c>
      <c r="V840" s="13">
        <f>IFERROR(INDEX(MgAmenFrec,MATCH(SUBSTITUTE($H840,"*","-"),MgAmenClave,0)),"")</f>
        <v/>
      </c>
      <c r="W840" s="28">
        <f>IFERROR(LOOKUP(X840,{0;0.01;0.1;1;10;100},{"Muy baja";"Muy baja";"Baja";"Media";"Alta";"Muy alta"}),"")</f>
        <v/>
      </c>
      <c r="X840" s="31">
        <f>IFERROR(VLOOKUP(V840,MgFrec,2,0),0)</f>
        <v/>
      </c>
      <c r="Y840" s="30">
        <f>T840*X840</f>
        <v/>
      </c>
      <c r="Z840" s="28">
        <f>IFERROR(LOOKUP(Y840,{0;0.5;5;25},{"Bajo";"Medio";"Alto";"Crítico"}),"")</f>
        <v/>
      </c>
      <c r="AA840" s="64">
        <f>IF(T840&gt;=3,IF(X840&gt;=1,"Zona 1 — Crítica: impacto alto y ocurre al menos una vez al año","Zona 4 — Catastrófica poco probable: impacto alto pero excepcional"),IF(AND(T840&lt;1.5,X840&lt;1),"Zona 3 — Asumible: impacto bajo y muy poco frecuente","Zona 2 — Atención: riesgo intermedio"))</f>
        <v/>
      </c>
      <c r="AB840" s="64">
        <f>IFERROR(INDEX(MgAmenCtrl,MATCH(SUBSTITUTE($H840,"*","-"),MgAmenClave,0)),"")</f>
        <v/>
      </c>
      <c r="AC840" s="20" t="n"/>
      <c r="AD840" s="31">
        <f>IFERROR($X840*(1-IF($AC840="",$AL840,VLOOKUP($AC840,MgMad,2,0))),"")</f>
        <v/>
      </c>
      <c r="AE840" s="28">
        <f>IFERROR(LOOKUP(AD840,{0;0.01;0.1;1;10;100},{"Muy baja";"Muy baja";"Baja";"Media";"Alta";"Muy alta"}),"")</f>
        <v/>
      </c>
      <c r="AF840" s="30">
        <f>T840*AD840</f>
        <v/>
      </c>
      <c r="AG840" s="28">
        <f>IFERROR(LOOKUP(AF840,{0;0.5;5;25},{"Bajo";"Medio";"Alto";"Crítico"}),"")</f>
        <v/>
      </c>
      <c r="AH840" s="28">
        <f>IF(AG840="","",IF(OR(AG840="Crítico",AG840="Alto"),"Mitigar",IF(AG840="Medio","Mitigar","Aceptar y monitorear")))</f>
        <v/>
      </c>
      <c r="AI840" s="21" t="n"/>
      <c r="AJ840" s="21" t="n"/>
      <c r="AK840" s="20" t="n"/>
      <c r="AL840" s="77">
        <f>IFERROR(INDEX(MgAmenEfic,MATCH(SUBSTITUTE($H840,"*","-"),MgAmenClave,0)),0)</f>
        <v/>
      </c>
    </row>
    <row r="841" hidden="1" ht="60" customHeight="1" s="54">
      <c r="B841" s="59" t="inlineStr">
        <is>
          <t>R-0836</t>
        </is>
      </c>
      <c r="C841" s="59" t="inlineStr">
        <is>
          <t>FIN-12</t>
        </is>
      </c>
      <c r="D841" s="64">
        <f>IFERROR(INDEX(MgNombre,MATCH($C841,MgActId,0)),"")</f>
        <v/>
      </c>
      <c r="E841" s="64">
        <f>IFERROR(INDEX(MgProceso,MATCH($C841,MgActId,0)),"")</f>
        <v/>
      </c>
      <c r="F841" s="64">
        <f>IFERROR(INDEX(MgTipo,MATCH($C841,MgActId,0)),"")</f>
        <v/>
      </c>
      <c r="G841" s="64">
        <f>IFERROR(INDEX(MgSubtipo,MATCH($C841,MgActId,0)),"")</f>
        <v/>
      </c>
      <c r="H841" s="59" t="inlineStr">
        <is>
          <t>A.15</t>
        </is>
      </c>
      <c r="I841" s="64">
        <f>IFERROR(INDEX(MgAmenNombre,MATCH(SUBSTITUTE($H841,"*","-"),MgAmenClave,0)),"")</f>
        <v/>
      </c>
      <c r="J841" s="28">
        <f>IFERROR(INDEX(MgAmenGrupo,MATCH(SUBSTITUTE($H841,"*","-"),MgAmenClave,0)),"")</f>
        <v/>
      </c>
      <c r="K841" s="64">
        <f>IFERROR(INDEX('1. Matriz de Activos'!$Q$6:$Q$239,MATCH($C841,MgActId,0)),"")</f>
        <v/>
      </c>
      <c r="L841" s="64">
        <f>IFERROR(INDEX('1. Matriz de Activos'!$R$6:$R$239,MATCH($C841,MgActId,0)),"")</f>
        <v/>
      </c>
      <c r="M841" s="64">
        <f>IFERROR(INDEX('1. Matriz de Activos'!$S$6:$S$239,MATCH($C841,MgActId,0)),"")</f>
        <v/>
      </c>
      <c r="N841" s="28">
        <f>IFERROR(INDEX(MgAmenDegD,MATCH(SUBSTITUTE($H841,"*","-"),MgAmenClave,0)),"No aplica")</f>
        <v/>
      </c>
      <c r="O841" s="28">
        <f>IFERROR(INDEX(MgAmenDegI,MATCH(SUBSTITUTE($H841,"*","-"),MgAmenClave,0)),"No aplica")</f>
        <v/>
      </c>
      <c r="P841" s="28">
        <f>IFERROR(INDEX(MgAmenDegC,MATCH(SUBSTITUTE($H841,"*","-"),MgAmenClave,0)),"No aplica")</f>
        <v/>
      </c>
      <c r="Q841" s="29">
        <f>IFERROR(VLOOKUP(K841,MgValor,2,0)*VLOOKUP(N841,MgDeg,2,0),0)</f>
        <v/>
      </c>
      <c r="R841" s="29">
        <f>IFERROR(VLOOKUP(L841,MgValor,2,0)*VLOOKUP(O841,MgDeg,2,0),0)</f>
        <v/>
      </c>
      <c r="S841" s="29">
        <f>IFERROR(VLOOKUP(M841,MgValor,2,0)*VLOOKUP(P841,MgDeg,2,0),0)</f>
        <v/>
      </c>
      <c r="T841" s="30">
        <f>MAX(Q841:S841)</f>
        <v/>
      </c>
      <c r="U841" s="28">
        <f>IFERROR(LOOKUP(T841,{0;0.5;1.5;3;4.5},{"Despreciable";"Bajo";"Medio";"Alto";"Muy alto"}),"")</f>
        <v/>
      </c>
      <c r="V841" s="13">
        <f>IFERROR(INDEX(MgAmenFrec,MATCH(SUBSTITUTE($H841,"*","-"),MgAmenClave,0)),"")</f>
        <v/>
      </c>
      <c r="W841" s="28">
        <f>IFERROR(LOOKUP(X841,{0;0.01;0.1;1;10;100},{"Muy baja";"Muy baja";"Baja";"Media";"Alta";"Muy alta"}),"")</f>
        <v/>
      </c>
      <c r="X841" s="31">
        <f>IFERROR(VLOOKUP(V841,MgFrec,2,0),0)</f>
        <v/>
      </c>
      <c r="Y841" s="30">
        <f>T841*X841</f>
        <v/>
      </c>
      <c r="Z841" s="28">
        <f>IFERROR(LOOKUP(Y841,{0;0.5;5;25},{"Bajo";"Medio";"Alto";"Crítico"}),"")</f>
        <v/>
      </c>
      <c r="AA841" s="64">
        <f>IF(T841&gt;=3,IF(X841&gt;=1,"Zona 1 — Crítica: impacto alto y ocurre al menos una vez al año","Zona 4 — Catastrófica poco probable: impacto alto pero excepcional"),IF(AND(T841&lt;1.5,X841&lt;1),"Zona 3 — Asumible: impacto bajo y muy poco frecuente","Zona 2 — Atención: riesgo intermedio"))</f>
        <v/>
      </c>
      <c r="AB841" s="64">
        <f>IFERROR(INDEX(MgAmenCtrl,MATCH(SUBSTITUTE($H841,"*","-"),MgAmenClave,0)),"")</f>
        <v/>
      </c>
      <c r="AC841" s="20" t="n"/>
      <c r="AD841" s="31">
        <f>IFERROR($X841*(1-IF($AC841="",$AL841,VLOOKUP($AC841,MgMad,2,0))),"")</f>
        <v/>
      </c>
      <c r="AE841" s="28">
        <f>IFERROR(LOOKUP(AD841,{0;0.01;0.1;1;10;100},{"Muy baja";"Muy baja";"Baja";"Media";"Alta";"Muy alta"}),"")</f>
        <v/>
      </c>
      <c r="AF841" s="30">
        <f>T841*AD841</f>
        <v/>
      </c>
      <c r="AG841" s="28">
        <f>IFERROR(LOOKUP(AF841,{0;0.5;5;25},{"Bajo";"Medio";"Alto";"Crítico"}),"")</f>
        <v/>
      </c>
      <c r="AH841" s="28">
        <f>IF(AG841="","",IF(OR(AG841="Crítico",AG841="Alto"),"Mitigar",IF(AG841="Medio","Mitigar","Aceptar y monitorear")))</f>
        <v/>
      </c>
      <c r="AI841" s="21" t="n"/>
      <c r="AJ841" s="21" t="n"/>
      <c r="AK841" s="20" t="n"/>
      <c r="AL841" s="77">
        <f>IFERROR(INDEX(MgAmenEfic,MATCH(SUBSTITUTE($H841,"*","-"),MgAmenClave,0)),0)</f>
        <v/>
      </c>
    </row>
    <row r="842" hidden="1" ht="60" customHeight="1" s="54">
      <c r="B842" s="59" t="inlineStr">
        <is>
          <t>R-0837</t>
        </is>
      </c>
      <c r="C842" s="59" t="inlineStr">
        <is>
          <t>FIN-12</t>
        </is>
      </c>
      <c r="D842" s="64">
        <f>IFERROR(INDEX(MgNombre,MATCH($C842,MgActId,0)),"")</f>
        <v/>
      </c>
      <c r="E842" s="64">
        <f>IFERROR(INDEX(MgProceso,MATCH($C842,MgActId,0)),"")</f>
        <v/>
      </c>
      <c r="F842" s="64">
        <f>IFERROR(INDEX(MgTipo,MATCH($C842,MgActId,0)),"")</f>
        <v/>
      </c>
      <c r="G842" s="64">
        <f>IFERROR(INDEX(MgSubtipo,MATCH($C842,MgActId,0)),"")</f>
        <v/>
      </c>
      <c r="H842" s="59" t="inlineStr">
        <is>
          <t>A.18</t>
        </is>
      </c>
      <c r="I842" s="64">
        <f>IFERROR(INDEX(MgAmenNombre,MATCH(SUBSTITUTE($H842,"*","-"),MgAmenClave,0)),"")</f>
        <v/>
      </c>
      <c r="J842" s="28">
        <f>IFERROR(INDEX(MgAmenGrupo,MATCH(SUBSTITUTE($H842,"*","-"),MgAmenClave,0)),"")</f>
        <v/>
      </c>
      <c r="K842" s="64">
        <f>IFERROR(INDEX('1. Matriz de Activos'!$Q$6:$Q$239,MATCH($C842,MgActId,0)),"")</f>
        <v/>
      </c>
      <c r="L842" s="64">
        <f>IFERROR(INDEX('1. Matriz de Activos'!$R$6:$R$239,MATCH($C842,MgActId,0)),"")</f>
        <v/>
      </c>
      <c r="M842" s="64">
        <f>IFERROR(INDEX('1. Matriz de Activos'!$S$6:$S$239,MATCH($C842,MgActId,0)),"")</f>
        <v/>
      </c>
      <c r="N842" s="28">
        <f>IFERROR(INDEX(MgAmenDegD,MATCH(SUBSTITUTE($H842,"*","-"),MgAmenClave,0)),"No aplica")</f>
        <v/>
      </c>
      <c r="O842" s="28">
        <f>IFERROR(INDEX(MgAmenDegI,MATCH(SUBSTITUTE($H842,"*","-"),MgAmenClave,0)),"No aplica")</f>
        <v/>
      </c>
      <c r="P842" s="28">
        <f>IFERROR(INDEX(MgAmenDegC,MATCH(SUBSTITUTE($H842,"*","-"),MgAmenClave,0)),"No aplica")</f>
        <v/>
      </c>
      <c r="Q842" s="29">
        <f>IFERROR(VLOOKUP(K842,MgValor,2,0)*VLOOKUP(N842,MgDeg,2,0),0)</f>
        <v/>
      </c>
      <c r="R842" s="29">
        <f>IFERROR(VLOOKUP(L842,MgValor,2,0)*VLOOKUP(O842,MgDeg,2,0),0)</f>
        <v/>
      </c>
      <c r="S842" s="29">
        <f>IFERROR(VLOOKUP(M842,MgValor,2,0)*VLOOKUP(P842,MgDeg,2,0),0)</f>
        <v/>
      </c>
      <c r="T842" s="30">
        <f>MAX(Q842:S842)</f>
        <v/>
      </c>
      <c r="U842" s="28">
        <f>IFERROR(LOOKUP(T842,{0;0.5;1.5;3;4.5},{"Despreciable";"Bajo";"Medio";"Alto";"Muy alto"}),"")</f>
        <v/>
      </c>
      <c r="V842" s="13">
        <f>IFERROR(INDEX(MgAmenFrec,MATCH(SUBSTITUTE($H842,"*","-"),MgAmenClave,0)),"")</f>
        <v/>
      </c>
      <c r="W842" s="28">
        <f>IFERROR(LOOKUP(X842,{0;0.01;0.1;1;10;100},{"Muy baja";"Muy baja";"Baja";"Media";"Alta";"Muy alta"}),"")</f>
        <v/>
      </c>
      <c r="X842" s="31">
        <f>IFERROR(VLOOKUP(V842,MgFrec,2,0),0)</f>
        <v/>
      </c>
      <c r="Y842" s="30">
        <f>T842*X842</f>
        <v/>
      </c>
      <c r="Z842" s="28">
        <f>IFERROR(LOOKUP(Y842,{0;0.5;5;25},{"Bajo";"Medio";"Alto";"Crítico"}),"")</f>
        <v/>
      </c>
      <c r="AA842" s="64">
        <f>IF(T842&gt;=3,IF(X842&gt;=1,"Zona 1 — Crítica: impacto alto y ocurre al menos una vez al año","Zona 4 — Catastrófica poco probable: impacto alto pero excepcional"),IF(AND(T842&lt;1.5,X842&lt;1),"Zona 3 — Asumible: impacto bajo y muy poco frecuente","Zona 2 — Atención: riesgo intermedio"))</f>
        <v/>
      </c>
      <c r="AB842" s="64">
        <f>IFERROR(INDEX(MgAmenCtrl,MATCH(SUBSTITUTE($H842,"*","-"),MgAmenClave,0)),"")</f>
        <v/>
      </c>
      <c r="AC842" s="20" t="n"/>
      <c r="AD842" s="31">
        <f>IFERROR($X842*(1-IF($AC842="",$AL842,VLOOKUP($AC842,MgMad,2,0))),"")</f>
        <v/>
      </c>
      <c r="AE842" s="28">
        <f>IFERROR(LOOKUP(AD842,{0;0.01;0.1;1;10;100},{"Muy baja";"Muy baja";"Baja";"Media";"Alta";"Muy alta"}),"")</f>
        <v/>
      </c>
      <c r="AF842" s="30">
        <f>T842*AD842</f>
        <v/>
      </c>
      <c r="AG842" s="28">
        <f>IFERROR(LOOKUP(AF842,{0;0.5;5;25},{"Bajo";"Medio";"Alto";"Crítico"}),"")</f>
        <v/>
      </c>
      <c r="AH842" s="28">
        <f>IF(AG842="","",IF(OR(AG842="Crítico",AG842="Alto"),"Mitigar",IF(AG842="Medio","Mitigar","Aceptar y monitorear")))</f>
        <v/>
      </c>
      <c r="AI842" s="21" t="n"/>
      <c r="AJ842" s="21" t="n"/>
      <c r="AK842" s="20" t="n"/>
      <c r="AL842" s="77">
        <f>IFERROR(INDEX(MgAmenEfic,MATCH(SUBSTITUTE($H842,"*","-"),MgAmenClave,0)),0)</f>
        <v/>
      </c>
    </row>
    <row r="843" hidden="1" ht="120" customHeight="1" s="54">
      <c r="B843" s="59" t="inlineStr">
        <is>
          <t>R-0838</t>
        </is>
      </c>
      <c r="C843" s="59" t="inlineStr">
        <is>
          <t>FIN-12</t>
        </is>
      </c>
      <c r="D843" s="64">
        <f>IFERROR(INDEX(MgNombre,MATCH($C843,MgActId,0)),"")</f>
        <v/>
      </c>
      <c r="E843" s="64">
        <f>IFERROR(INDEX(MgProceso,MATCH($C843,MgActId,0)),"")</f>
        <v/>
      </c>
      <c r="F843" s="64">
        <f>IFERROR(INDEX(MgTipo,MATCH($C843,MgActId,0)),"")</f>
        <v/>
      </c>
      <c r="G843" s="64">
        <f>IFERROR(INDEX(MgSubtipo,MATCH($C843,MgActId,0)),"")</f>
        <v/>
      </c>
      <c r="H843" s="59" t="inlineStr">
        <is>
          <t>A.19</t>
        </is>
      </c>
      <c r="I843" s="64">
        <f>IFERROR(INDEX(MgAmenNombre,MATCH(SUBSTITUTE($H843,"*","-"),MgAmenClave,0)),"")</f>
        <v/>
      </c>
      <c r="J843" s="28">
        <f>IFERROR(INDEX(MgAmenGrupo,MATCH(SUBSTITUTE($H843,"*","-"),MgAmenClave,0)),"")</f>
        <v/>
      </c>
      <c r="K843" s="64">
        <f>IFERROR(INDEX('1. Matriz de Activos'!$Q$6:$Q$239,MATCH($C843,MgActId,0)),"")</f>
        <v/>
      </c>
      <c r="L843" s="64">
        <f>IFERROR(INDEX('1. Matriz de Activos'!$R$6:$R$239,MATCH($C843,MgActId,0)),"")</f>
        <v/>
      </c>
      <c r="M843" s="64">
        <f>IFERROR(INDEX('1. Matriz de Activos'!$S$6:$S$239,MATCH($C843,MgActId,0)),"")</f>
        <v/>
      </c>
      <c r="N843" s="28">
        <f>IFERROR(INDEX(MgAmenDegD,MATCH(SUBSTITUTE($H843,"*","-"),MgAmenClave,0)),"No aplica")</f>
        <v/>
      </c>
      <c r="O843" s="28">
        <f>IFERROR(INDEX(MgAmenDegI,MATCH(SUBSTITUTE($H843,"*","-"),MgAmenClave,0)),"No aplica")</f>
        <v/>
      </c>
      <c r="P843" s="28">
        <f>IFERROR(INDEX(MgAmenDegC,MATCH(SUBSTITUTE($H843,"*","-"),MgAmenClave,0)),"No aplica")</f>
        <v/>
      </c>
      <c r="Q843" s="29">
        <f>IFERROR(VLOOKUP(K843,MgValor,2,0)*VLOOKUP(N843,MgDeg,2,0),0)</f>
        <v/>
      </c>
      <c r="R843" s="29">
        <f>IFERROR(VLOOKUP(L843,MgValor,2,0)*VLOOKUP(O843,MgDeg,2,0),0)</f>
        <v/>
      </c>
      <c r="S843" s="29">
        <f>IFERROR(VLOOKUP(M843,MgValor,2,0)*VLOOKUP(P843,MgDeg,2,0),0)</f>
        <v/>
      </c>
      <c r="T843" s="30">
        <f>MAX(Q843:S843)</f>
        <v/>
      </c>
      <c r="U843" s="28">
        <f>IFERROR(LOOKUP(T843,{0;0.5;1.5;3;4.5},{"Despreciable";"Bajo";"Medio";"Alto";"Muy alto"}),"")</f>
        <v/>
      </c>
      <c r="V843" s="13">
        <f>IFERROR(INDEX(MgAmenFrec,MATCH(SUBSTITUTE($H843,"*","-"),MgAmenClave,0)),"")</f>
        <v/>
      </c>
      <c r="W843" s="28">
        <f>IFERROR(LOOKUP(X843,{0;0.01;0.1;1;10;100},{"Muy baja";"Muy baja";"Baja";"Media";"Alta";"Muy alta"}),"")</f>
        <v/>
      </c>
      <c r="X843" s="31">
        <f>IFERROR(VLOOKUP(V843,MgFrec,2,0),0)</f>
        <v/>
      </c>
      <c r="Y843" s="30">
        <f>T843*X843</f>
        <v/>
      </c>
      <c r="Z843" s="28">
        <f>IFERROR(LOOKUP(Y843,{0;0.5;5;25},{"Bajo";"Medio";"Alto";"Crítico"}),"")</f>
        <v/>
      </c>
      <c r="AA843" s="64">
        <f>IF(T843&gt;=3,IF(X843&gt;=1,"Zona 1 — Crítica: impacto alto y ocurre al menos una vez al año","Zona 4 — Catastrófica poco probable: impacto alto pero excepcional"),IF(AND(T843&lt;1.5,X843&lt;1),"Zona 3 — Asumible: impacto bajo y muy poco frecuente","Zona 2 — Atención: riesgo intermedio"))</f>
        <v/>
      </c>
      <c r="AB843" s="64">
        <f>IFERROR(INDEX(MgAmenCtrl,MATCH(SUBSTITUTE($H843,"*","-"),MgAmenClave,0)),"")</f>
        <v/>
      </c>
      <c r="AC843" s="20" t="n"/>
      <c r="AD843" s="31">
        <f>IFERROR($X843*(1-IF($AC843="",$AL843,VLOOKUP($AC843,MgMad,2,0))),"")</f>
        <v/>
      </c>
      <c r="AE843" s="28">
        <f>IFERROR(LOOKUP(AD843,{0;0.01;0.1;1;10;100},{"Muy baja";"Muy baja";"Baja";"Media";"Alta";"Muy alta"}),"")</f>
        <v/>
      </c>
      <c r="AF843" s="30">
        <f>T843*AD843</f>
        <v/>
      </c>
      <c r="AG843" s="28">
        <f>IFERROR(LOOKUP(AF843,{0;0.5;5;25},{"Bajo";"Medio";"Alto";"Crítico"}),"")</f>
        <v/>
      </c>
      <c r="AH843" s="28">
        <f>IF(AG843="","",IF(OR(AG843="Crítico",AG843="Alto"),"Mitigar",IF(AG843="Medio","Mitigar","Aceptar y monitorear")))</f>
        <v/>
      </c>
      <c r="AI843" s="21" t="n"/>
      <c r="AJ843" s="21" t="n"/>
      <c r="AK843" s="20" t="n"/>
      <c r="AL843" s="77">
        <f>IFERROR(INDEX(MgAmenEfic,MATCH(SUBSTITUTE($H843,"*","-"),MgAmenClave,0)),0)</f>
        <v/>
      </c>
    </row>
    <row r="844" hidden="1" ht="105" customHeight="1" s="54">
      <c r="B844" s="59" t="inlineStr">
        <is>
          <t>R-0839</t>
        </is>
      </c>
      <c r="C844" s="59" t="inlineStr">
        <is>
          <t>FIN-11</t>
        </is>
      </c>
      <c r="D844" s="64">
        <f>IFERROR(INDEX(MgNombre,MATCH($C844,MgActId,0)),"")</f>
        <v/>
      </c>
      <c r="E844" s="64">
        <f>IFERROR(INDEX(MgProceso,MATCH($C844,MgActId,0)),"")</f>
        <v/>
      </c>
      <c r="F844" s="64">
        <f>IFERROR(INDEX(MgTipo,MATCH($C844,MgActId,0)),"")</f>
        <v/>
      </c>
      <c r="G844" s="64">
        <f>IFERROR(INDEX(MgSubtipo,MATCH($C844,MgActId,0)),"")</f>
        <v/>
      </c>
      <c r="H844" s="59" t="inlineStr">
        <is>
          <t>E.1</t>
        </is>
      </c>
      <c r="I844" s="64">
        <f>IFERROR(INDEX(MgAmenNombre,MATCH(SUBSTITUTE($H844,"*","-"),MgAmenClave,0)),"")</f>
        <v/>
      </c>
      <c r="J844" s="28">
        <f>IFERROR(INDEX(MgAmenGrupo,MATCH(SUBSTITUTE($H844,"*","-"),MgAmenClave,0)),"")</f>
        <v/>
      </c>
      <c r="K844" s="64">
        <f>IFERROR(INDEX('1. Matriz de Activos'!$Q$6:$Q$239,MATCH($C844,MgActId,0)),"")</f>
        <v/>
      </c>
      <c r="L844" s="64">
        <f>IFERROR(INDEX('1. Matriz de Activos'!$R$6:$R$239,MATCH($C844,MgActId,0)),"")</f>
        <v/>
      </c>
      <c r="M844" s="64">
        <f>IFERROR(INDEX('1. Matriz de Activos'!$S$6:$S$239,MATCH($C844,MgActId,0)),"")</f>
        <v/>
      </c>
      <c r="N844" s="28">
        <f>IFERROR(INDEX(MgAmenDegD,MATCH(SUBSTITUTE($H844,"*","-"),MgAmenClave,0)),"No aplica")</f>
        <v/>
      </c>
      <c r="O844" s="28">
        <f>IFERROR(INDEX(MgAmenDegI,MATCH(SUBSTITUTE($H844,"*","-"),MgAmenClave,0)),"No aplica")</f>
        <v/>
      </c>
      <c r="P844" s="28">
        <f>IFERROR(INDEX(MgAmenDegC,MATCH(SUBSTITUTE($H844,"*","-"),MgAmenClave,0)),"No aplica")</f>
        <v/>
      </c>
      <c r="Q844" s="29">
        <f>IFERROR(VLOOKUP(K844,MgValor,2,0)*VLOOKUP(N844,MgDeg,2,0),0)</f>
        <v/>
      </c>
      <c r="R844" s="29">
        <f>IFERROR(VLOOKUP(L844,MgValor,2,0)*VLOOKUP(O844,MgDeg,2,0),0)</f>
        <v/>
      </c>
      <c r="S844" s="29">
        <f>IFERROR(VLOOKUP(M844,MgValor,2,0)*VLOOKUP(P844,MgDeg,2,0),0)</f>
        <v/>
      </c>
      <c r="T844" s="30">
        <f>MAX(Q844:S844)</f>
        <v/>
      </c>
      <c r="U844" s="28">
        <f>IFERROR(LOOKUP(T844,{0;0.5;1.5;3;4.5},{"Despreciable";"Bajo";"Medio";"Alto";"Muy alto"}),"")</f>
        <v/>
      </c>
      <c r="V844" s="13">
        <f>IFERROR(INDEX(MgAmenFrec,MATCH(SUBSTITUTE($H844,"*","-"),MgAmenClave,0)),"")</f>
        <v/>
      </c>
      <c r="W844" s="28">
        <f>IFERROR(LOOKUP(X844,{0;0.01;0.1;1;10;100},{"Muy baja";"Muy baja";"Baja";"Media";"Alta";"Muy alta"}),"")</f>
        <v/>
      </c>
      <c r="X844" s="31">
        <f>IFERROR(VLOOKUP(V844,MgFrec,2,0),0)</f>
        <v/>
      </c>
      <c r="Y844" s="30">
        <f>T844*X844</f>
        <v/>
      </c>
      <c r="Z844" s="28">
        <f>IFERROR(LOOKUP(Y844,{0;0.5;5;25},{"Bajo";"Medio";"Alto";"Crítico"}),"")</f>
        <v/>
      </c>
      <c r="AA844" s="64">
        <f>IF(T844&gt;=3,IF(X844&gt;=1,"Zona 1 — Crítica: impacto alto y ocurre al menos una vez al año","Zona 4 — Catastrófica poco probable: impacto alto pero excepcional"),IF(AND(T844&lt;1.5,X844&lt;1),"Zona 3 — Asumible: impacto bajo y muy poco frecuente","Zona 2 — Atención: riesgo intermedio"))</f>
        <v/>
      </c>
      <c r="AB844" s="64">
        <f>IFERROR(INDEX(MgAmenCtrl,MATCH(SUBSTITUTE($H844,"*","-"),MgAmenClave,0)),"")</f>
        <v/>
      </c>
      <c r="AC844" s="20" t="n"/>
      <c r="AD844" s="31">
        <f>IFERROR($X844*(1-IF($AC844="",$AL844,VLOOKUP($AC844,MgMad,2,0))),"")</f>
        <v/>
      </c>
      <c r="AE844" s="28">
        <f>IFERROR(LOOKUP(AD844,{0;0.01;0.1;1;10;100},{"Muy baja";"Muy baja";"Baja";"Media";"Alta";"Muy alta"}),"")</f>
        <v/>
      </c>
      <c r="AF844" s="30">
        <f>T844*AD844</f>
        <v/>
      </c>
      <c r="AG844" s="28">
        <f>IFERROR(LOOKUP(AF844,{0;0.5;5;25},{"Bajo";"Medio";"Alto";"Crítico"}),"")</f>
        <v/>
      </c>
      <c r="AH844" s="28">
        <f>IF(AG844="","",IF(OR(AG844="Crítico",AG844="Alto"),"Mitigar",IF(AG844="Medio","Mitigar","Aceptar y monitorear")))</f>
        <v/>
      </c>
      <c r="AI844" s="21" t="n"/>
      <c r="AJ844" s="21" t="n"/>
      <c r="AK844" s="20" t="n"/>
      <c r="AL844" s="77">
        <f>IFERROR(INDEX(MgAmenEfic,MATCH(SUBSTITUTE($H844,"*","-"),MgAmenClave,0)),0)</f>
        <v/>
      </c>
    </row>
    <row r="845" hidden="1" ht="120" customHeight="1" s="54">
      <c r="B845" s="59" t="inlineStr">
        <is>
          <t>R-0840</t>
        </is>
      </c>
      <c r="C845" s="59" t="inlineStr">
        <is>
          <t>FIN-11</t>
        </is>
      </c>
      <c r="D845" s="64">
        <f>IFERROR(INDEX(MgNombre,MATCH($C845,MgActId,0)),"")</f>
        <v/>
      </c>
      <c r="E845" s="64">
        <f>IFERROR(INDEX(MgProceso,MATCH($C845,MgActId,0)),"")</f>
        <v/>
      </c>
      <c r="F845" s="64">
        <f>IFERROR(INDEX(MgTipo,MATCH($C845,MgActId,0)),"")</f>
        <v/>
      </c>
      <c r="G845" s="64">
        <f>IFERROR(INDEX(MgSubtipo,MATCH($C845,MgActId,0)),"")</f>
        <v/>
      </c>
      <c r="H845" s="59" t="inlineStr">
        <is>
          <t>E.2</t>
        </is>
      </c>
      <c r="I845" s="64">
        <f>IFERROR(INDEX(MgAmenNombre,MATCH(SUBSTITUTE($H845,"*","-"),MgAmenClave,0)),"")</f>
        <v/>
      </c>
      <c r="J845" s="28">
        <f>IFERROR(INDEX(MgAmenGrupo,MATCH(SUBSTITUTE($H845,"*","-"),MgAmenClave,0)),"")</f>
        <v/>
      </c>
      <c r="K845" s="64">
        <f>IFERROR(INDEX('1. Matriz de Activos'!$Q$6:$Q$239,MATCH($C845,MgActId,0)),"")</f>
        <v/>
      </c>
      <c r="L845" s="64">
        <f>IFERROR(INDEX('1. Matriz de Activos'!$R$6:$R$239,MATCH($C845,MgActId,0)),"")</f>
        <v/>
      </c>
      <c r="M845" s="64">
        <f>IFERROR(INDEX('1. Matriz de Activos'!$S$6:$S$239,MATCH($C845,MgActId,0)),"")</f>
        <v/>
      </c>
      <c r="N845" s="28">
        <f>IFERROR(INDEX(MgAmenDegD,MATCH(SUBSTITUTE($H845,"*","-"),MgAmenClave,0)),"No aplica")</f>
        <v/>
      </c>
      <c r="O845" s="28">
        <f>IFERROR(INDEX(MgAmenDegI,MATCH(SUBSTITUTE($H845,"*","-"),MgAmenClave,0)),"No aplica")</f>
        <v/>
      </c>
      <c r="P845" s="28">
        <f>IFERROR(INDEX(MgAmenDegC,MATCH(SUBSTITUTE($H845,"*","-"),MgAmenClave,0)),"No aplica")</f>
        <v/>
      </c>
      <c r="Q845" s="29">
        <f>IFERROR(VLOOKUP(K845,MgValor,2,0)*VLOOKUP(N845,MgDeg,2,0),0)</f>
        <v/>
      </c>
      <c r="R845" s="29">
        <f>IFERROR(VLOOKUP(L845,MgValor,2,0)*VLOOKUP(O845,MgDeg,2,0),0)</f>
        <v/>
      </c>
      <c r="S845" s="29">
        <f>IFERROR(VLOOKUP(M845,MgValor,2,0)*VLOOKUP(P845,MgDeg,2,0),0)</f>
        <v/>
      </c>
      <c r="T845" s="30">
        <f>MAX(Q845:S845)</f>
        <v/>
      </c>
      <c r="U845" s="28">
        <f>IFERROR(LOOKUP(T845,{0;0.5;1.5;3;4.5},{"Despreciable";"Bajo";"Medio";"Alto";"Muy alto"}),"")</f>
        <v/>
      </c>
      <c r="V845" s="13">
        <f>IFERROR(INDEX(MgAmenFrec,MATCH(SUBSTITUTE($H845,"*","-"),MgAmenClave,0)),"")</f>
        <v/>
      </c>
      <c r="W845" s="28">
        <f>IFERROR(LOOKUP(X845,{0;0.01;0.1;1;10;100},{"Muy baja";"Muy baja";"Baja";"Media";"Alta";"Muy alta"}),"")</f>
        <v/>
      </c>
      <c r="X845" s="31">
        <f>IFERROR(VLOOKUP(V845,MgFrec,2,0),0)</f>
        <v/>
      </c>
      <c r="Y845" s="30">
        <f>T845*X845</f>
        <v/>
      </c>
      <c r="Z845" s="28">
        <f>IFERROR(LOOKUP(Y845,{0;0.5;5;25},{"Bajo";"Medio";"Alto";"Crítico"}),"")</f>
        <v/>
      </c>
      <c r="AA845" s="64">
        <f>IF(T845&gt;=3,IF(X845&gt;=1,"Zona 1 — Crítica: impacto alto y ocurre al menos una vez al año","Zona 4 — Catastrófica poco probable: impacto alto pero excepcional"),IF(AND(T845&lt;1.5,X845&lt;1),"Zona 3 — Asumible: impacto bajo y muy poco frecuente","Zona 2 — Atención: riesgo intermedio"))</f>
        <v/>
      </c>
      <c r="AB845" s="64">
        <f>IFERROR(INDEX(MgAmenCtrl,MATCH(SUBSTITUTE($H845,"*","-"),MgAmenClave,0)),"")</f>
        <v/>
      </c>
      <c r="AC845" s="20" t="n"/>
      <c r="AD845" s="31">
        <f>IFERROR($X845*(1-IF($AC845="",$AL845,VLOOKUP($AC845,MgMad,2,0))),"")</f>
        <v/>
      </c>
      <c r="AE845" s="28">
        <f>IFERROR(LOOKUP(AD845,{0;0.01;0.1;1;10;100},{"Muy baja";"Muy baja";"Baja";"Media";"Alta";"Muy alta"}),"")</f>
        <v/>
      </c>
      <c r="AF845" s="30">
        <f>T845*AD845</f>
        <v/>
      </c>
      <c r="AG845" s="28">
        <f>IFERROR(LOOKUP(AF845,{0;0.5;5;25},{"Bajo";"Medio";"Alto";"Crítico"}),"")</f>
        <v/>
      </c>
      <c r="AH845" s="28">
        <f>IF(AG845="","",IF(OR(AG845="Crítico",AG845="Alto"),"Mitigar",IF(AG845="Medio","Mitigar","Aceptar y monitorear")))</f>
        <v/>
      </c>
      <c r="AI845" s="21" t="n"/>
      <c r="AJ845" s="21" t="n"/>
      <c r="AK845" s="20" t="n"/>
      <c r="AL845" s="77">
        <f>IFERROR(INDEX(MgAmenEfic,MATCH(SUBSTITUTE($H845,"*","-"),MgAmenClave,0)),0)</f>
        <v/>
      </c>
    </row>
    <row r="846" hidden="1" ht="75" customHeight="1" s="54">
      <c r="B846" s="59" t="inlineStr">
        <is>
          <t>R-0841</t>
        </is>
      </c>
      <c r="C846" s="59" t="inlineStr">
        <is>
          <t>FIN-11</t>
        </is>
      </c>
      <c r="D846" s="64">
        <f>IFERROR(INDEX(MgNombre,MATCH($C846,MgActId,0)),"")</f>
        <v/>
      </c>
      <c r="E846" s="64">
        <f>IFERROR(INDEX(MgProceso,MATCH($C846,MgActId,0)),"")</f>
        <v/>
      </c>
      <c r="F846" s="64">
        <f>IFERROR(INDEX(MgTipo,MATCH($C846,MgActId,0)),"")</f>
        <v/>
      </c>
      <c r="G846" s="64">
        <f>IFERROR(INDEX(MgSubtipo,MATCH($C846,MgActId,0)),"")</f>
        <v/>
      </c>
      <c r="H846" s="59" t="inlineStr">
        <is>
          <t>E.3</t>
        </is>
      </c>
      <c r="I846" s="64">
        <f>IFERROR(INDEX(MgAmenNombre,MATCH(SUBSTITUTE($H846,"*","-"),MgAmenClave,0)),"")</f>
        <v/>
      </c>
      <c r="J846" s="28">
        <f>IFERROR(INDEX(MgAmenGrupo,MATCH(SUBSTITUTE($H846,"*","-"),MgAmenClave,0)),"")</f>
        <v/>
      </c>
      <c r="K846" s="64">
        <f>IFERROR(INDEX('1. Matriz de Activos'!$Q$6:$Q$239,MATCH($C846,MgActId,0)),"")</f>
        <v/>
      </c>
      <c r="L846" s="64">
        <f>IFERROR(INDEX('1. Matriz de Activos'!$R$6:$R$239,MATCH($C846,MgActId,0)),"")</f>
        <v/>
      </c>
      <c r="M846" s="64">
        <f>IFERROR(INDEX('1. Matriz de Activos'!$S$6:$S$239,MATCH($C846,MgActId,0)),"")</f>
        <v/>
      </c>
      <c r="N846" s="28">
        <f>IFERROR(INDEX(MgAmenDegD,MATCH(SUBSTITUTE($H846,"*","-"),MgAmenClave,0)),"No aplica")</f>
        <v/>
      </c>
      <c r="O846" s="28">
        <f>IFERROR(INDEX(MgAmenDegI,MATCH(SUBSTITUTE($H846,"*","-"),MgAmenClave,0)),"No aplica")</f>
        <v/>
      </c>
      <c r="P846" s="28">
        <f>IFERROR(INDEX(MgAmenDegC,MATCH(SUBSTITUTE($H846,"*","-"),MgAmenClave,0)),"No aplica")</f>
        <v/>
      </c>
      <c r="Q846" s="29">
        <f>IFERROR(VLOOKUP(K846,MgValor,2,0)*VLOOKUP(N846,MgDeg,2,0),0)</f>
        <v/>
      </c>
      <c r="R846" s="29">
        <f>IFERROR(VLOOKUP(L846,MgValor,2,0)*VLOOKUP(O846,MgDeg,2,0),0)</f>
        <v/>
      </c>
      <c r="S846" s="29">
        <f>IFERROR(VLOOKUP(M846,MgValor,2,0)*VLOOKUP(P846,MgDeg,2,0),0)</f>
        <v/>
      </c>
      <c r="T846" s="30">
        <f>MAX(Q846:S846)</f>
        <v/>
      </c>
      <c r="U846" s="28">
        <f>IFERROR(LOOKUP(T846,{0;0.5;1.5;3;4.5},{"Despreciable";"Bajo";"Medio";"Alto";"Muy alto"}),"")</f>
        <v/>
      </c>
      <c r="V846" s="13">
        <f>IFERROR(INDEX(MgAmenFrec,MATCH(SUBSTITUTE($H846,"*","-"),MgAmenClave,0)),"")</f>
        <v/>
      </c>
      <c r="W846" s="28">
        <f>IFERROR(LOOKUP(X846,{0;0.01;0.1;1;10;100},{"Muy baja";"Muy baja";"Baja";"Media";"Alta";"Muy alta"}),"")</f>
        <v/>
      </c>
      <c r="X846" s="31">
        <f>IFERROR(VLOOKUP(V846,MgFrec,2,0),0)</f>
        <v/>
      </c>
      <c r="Y846" s="30">
        <f>T846*X846</f>
        <v/>
      </c>
      <c r="Z846" s="28">
        <f>IFERROR(LOOKUP(Y846,{0;0.5;5;25},{"Bajo";"Medio";"Alto";"Crítico"}),"")</f>
        <v/>
      </c>
      <c r="AA846" s="64">
        <f>IF(T846&gt;=3,IF(X846&gt;=1,"Zona 1 — Crítica: impacto alto y ocurre al menos una vez al año","Zona 4 — Catastrófica poco probable: impacto alto pero excepcional"),IF(AND(T846&lt;1.5,X846&lt;1),"Zona 3 — Asumible: impacto bajo y muy poco frecuente","Zona 2 — Atención: riesgo intermedio"))</f>
        <v/>
      </c>
      <c r="AB846" s="64">
        <f>IFERROR(INDEX(MgAmenCtrl,MATCH(SUBSTITUTE($H846,"*","-"),MgAmenClave,0)),"")</f>
        <v/>
      </c>
      <c r="AC846" s="20" t="n"/>
      <c r="AD846" s="31">
        <f>IFERROR($X846*(1-IF($AC846="",$AL846,VLOOKUP($AC846,MgMad,2,0))),"")</f>
        <v/>
      </c>
      <c r="AE846" s="28">
        <f>IFERROR(LOOKUP(AD846,{0;0.01;0.1;1;10;100},{"Muy baja";"Muy baja";"Baja";"Media";"Alta";"Muy alta"}),"")</f>
        <v/>
      </c>
      <c r="AF846" s="30">
        <f>T846*AD846</f>
        <v/>
      </c>
      <c r="AG846" s="28">
        <f>IFERROR(LOOKUP(AF846,{0;0.5;5;25},{"Bajo";"Medio";"Alto";"Crítico"}),"")</f>
        <v/>
      </c>
      <c r="AH846" s="28">
        <f>IF(AG846="","",IF(OR(AG846="Crítico",AG846="Alto"),"Mitigar",IF(AG846="Medio","Mitigar","Aceptar y monitorear")))</f>
        <v/>
      </c>
      <c r="AI846" s="21" t="n"/>
      <c r="AJ846" s="21" t="n"/>
      <c r="AK846" s="20" t="n"/>
      <c r="AL846" s="77">
        <f>IFERROR(INDEX(MgAmenEfic,MATCH(SUBSTITUTE($H846,"*","-"),MgAmenClave,0)),0)</f>
        <v/>
      </c>
    </row>
    <row r="847" hidden="1" ht="75" customHeight="1" s="54">
      <c r="B847" s="59" t="inlineStr">
        <is>
          <t>R-0842</t>
        </is>
      </c>
      <c r="C847" s="59" t="inlineStr">
        <is>
          <t>FIN-11</t>
        </is>
      </c>
      <c r="D847" s="64">
        <f>IFERROR(INDEX(MgNombre,MATCH($C847,MgActId,0)),"")</f>
        <v/>
      </c>
      <c r="E847" s="64">
        <f>IFERROR(INDEX(MgProceso,MATCH($C847,MgActId,0)),"")</f>
        <v/>
      </c>
      <c r="F847" s="64">
        <f>IFERROR(INDEX(MgTipo,MATCH($C847,MgActId,0)),"")</f>
        <v/>
      </c>
      <c r="G847" s="64">
        <f>IFERROR(INDEX(MgSubtipo,MATCH($C847,MgActId,0)),"")</f>
        <v/>
      </c>
      <c r="H847" s="59" t="inlineStr">
        <is>
          <t>E.4</t>
        </is>
      </c>
      <c r="I847" s="64">
        <f>IFERROR(INDEX(MgAmenNombre,MATCH(SUBSTITUTE($H847,"*","-"),MgAmenClave,0)),"")</f>
        <v/>
      </c>
      <c r="J847" s="28">
        <f>IFERROR(INDEX(MgAmenGrupo,MATCH(SUBSTITUTE($H847,"*","-"),MgAmenClave,0)),"")</f>
        <v/>
      </c>
      <c r="K847" s="64">
        <f>IFERROR(INDEX('1. Matriz de Activos'!$Q$6:$Q$239,MATCH($C847,MgActId,0)),"")</f>
        <v/>
      </c>
      <c r="L847" s="64">
        <f>IFERROR(INDEX('1. Matriz de Activos'!$R$6:$R$239,MATCH($C847,MgActId,0)),"")</f>
        <v/>
      </c>
      <c r="M847" s="64">
        <f>IFERROR(INDEX('1. Matriz de Activos'!$S$6:$S$239,MATCH($C847,MgActId,0)),"")</f>
        <v/>
      </c>
      <c r="N847" s="28">
        <f>IFERROR(INDEX(MgAmenDegD,MATCH(SUBSTITUTE($H847,"*","-"),MgAmenClave,0)),"No aplica")</f>
        <v/>
      </c>
      <c r="O847" s="28">
        <f>IFERROR(INDEX(MgAmenDegI,MATCH(SUBSTITUTE($H847,"*","-"),MgAmenClave,0)),"No aplica")</f>
        <v/>
      </c>
      <c r="P847" s="28">
        <f>IFERROR(INDEX(MgAmenDegC,MATCH(SUBSTITUTE($H847,"*","-"),MgAmenClave,0)),"No aplica")</f>
        <v/>
      </c>
      <c r="Q847" s="29">
        <f>IFERROR(VLOOKUP(K847,MgValor,2,0)*VLOOKUP(N847,MgDeg,2,0),0)</f>
        <v/>
      </c>
      <c r="R847" s="29">
        <f>IFERROR(VLOOKUP(L847,MgValor,2,0)*VLOOKUP(O847,MgDeg,2,0),0)</f>
        <v/>
      </c>
      <c r="S847" s="29">
        <f>IFERROR(VLOOKUP(M847,MgValor,2,0)*VLOOKUP(P847,MgDeg,2,0),0)</f>
        <v/>
      </c>
      <c r="T847" s="30">
        <f>MAX(Q847:S847)</f>
        <v/>
      </c>
      <c r="U847" s="28">
        <f>IFERROR(LOOKUP(T847,{0;0.5;1.5;3;4.5},{"Despreciable";"Bajo";"Medio";"Alto";"Muy alto"}),"")</f>
        <v/>
      </c>
      <c r="V847" s="13">
        <f>IFERROR(INDEX(MgAmenFrec,MATCH(SUBSTITUTE($H847,"*","-"),MgAmenClave,0)),"")</f>
        <v/>
      </c>
      <c r="W847" s="28">
        <f>IFERROR(LOOKUP(X847,{0;0.01;0.1;1;10;100},{"Muy baja";"Muy baja";"Baja";"Media";"Alta";"Muy alta"}),"")</f>
        <v/>
      </c>
      <c r="X847" s="31">
        <f>IFERROR(VLOOKUP(V847,MgFrec,2,0),0)</f>
        <v/>
      </c>
      <c r="Y847" s="30">
        <f>T847*X847</f>
        <v/>
      </c>
      <c r="Z847" s="28">
        <f>IFERROR(LOOKUP(Y847,{0;0.5;5;25},{"Bajo";"Medio";"Alto";"Crítico"}),"")</f>
        <v/>
      </c>
      <c r="AA847" s="64">
        <f>IF(T847&gt;=3,IF(X847&gt;=1,"Zona 1 — Crítica: impacto alto y ocurre al menos una vez al año","Zona 4 — Catastrófica poco probable: impacto alto pero excepcional"),IF(AND(T847&lt;1.5,X847&lt;1),"Zona 3 — Asumible: impacto bajo y muy poco frecuente","Zona 2 — Atención: riesgo intermedio"))</f>
        <v/>
      </c>
      <c r="AB847" s="64">
        <f>IFERROR(INDEX(MgAmenCtrl,MATCH(SUBSTITUTE($H847,"*","-"),MgAmenClave,0)),"")</f>
        <v/>
      </c>
      <c r="AC847" s="20" t="n"/>
      <c r="AD847" s="31">
        <f>IFERROR($X847*(1-IF($AC847="",$AL847,VLOOKUP($AC847,MgMad,2,0))),"")</f>
        <v/>
      </c>
      <c r="AE847" s="28">
        <f>IFERROR(LOOKUP(AD847,{0;0.01;0.1;1;10;100},{"Muy baja";"Muy baja";"Baja";"Media";"Alta";"Muy alta"}),"")</f>
        <v/>
      </c>
      <c r="AF847" s="30">
        <f>T847*AD847</f>
        <v/>
      </c>
      <c r="AG847" s="28">
        <f>IFERROR(LOOKUP(AF847,{0;0.5;5;25},{"Bajo";"Medio";"Alto";"Crítico"}),"")</f>
        <v/>
      </c>
      <c r="AH847" s="28">
        <f>IF(AG847="","",IF(OR(AG847="Crítico",AG847="Alto"),"Mitigar",IF(AG847="Medio","Mitigar","Aceptar y monitorear")))</f>
        <v/>
      </c>
      <c r="AI847" s="21" t="n"/>
      <c r="AJ847" s="21" t="n"/>
      <c r="AK847" s="20" t="n"/>
      <c r="AL847" s="77">
        <f>IFERROR(INDEX(MgAmenEfic,MATCH(SUBSTITUTE($H847,"*","-"),MgAmenClave,0)),0)</f>
        <v/>
      </c>
    </row>
    <row r="848" hidden="1" ht="90" customHeight="1" s="54">
      <c r="B848" s="59" t="inlineStr">
        <is>
          <t>R-0843</t>
        </is>
      </c>
      <c r="C848" s="59" t="inlineStr">
        <is>
          <t>FIN-11</t>
        </is>
      </c>
      <c r="D848" s="64">
        <f>IFERROR(INDEX(MgNombre,MATCH($C848,MgActId,0)),"")</f>
        <v/>
      </c>
      <c r="E848" s="64">
        <f>IFERROR(INDEX(MgProceso,MATCH($C848,MgActId,0)),"")</f>
        <v/>
      </c>
      <c r="F848" s="64">
        <f>IFERROR(INDEX(MgTipo,MATCH($C848,MgActId,0)),"")</f>
        <v/>
      </c>
      <c r="G848" s="64">
        <f>IFERROR(INDEX(MgSubtipo,MATCH($C848,MgActId,0)),"")</f>
        <v/>
      </c>
      <c r="H848" s="59" t="inlineStr">
        <is>
          <t>E.14</t>
        </is>
      </c>
      <c r="I848" s="64">
        <f>IFERROR(INDEX(MgAmenNombre,MATCH(SUBSTITUTE($H848,"*","-"),MgAmenClave,0)),"")</f>
        <v/>
      </c>
      <c r="J848" s="28">
        <f>IFERROR(INDEX(MgAmenGrupo,MATCH(SUBSTITUTE($H848,"*","-"),MgAmenClave,0)),"")</f>
        <v/>
      </c>
      <c r="K848" s="64">
        <f>IFERROR(INDEX('1. Matriz de Activos'!$Q$6:$Q$239,MATCH($C848,MgActId,0)),"")</f>
        <v/>
      </c>
      <c r="L848" s="64">
        <f>IFERROR(INDEX('1. Matriz de Activos'!$R$6:$R$239,MATCH($C848,MgActId,0)),"")</f>
        <v/>
      </c>
      <c r="M848" s="64">
        <f>IFERROR(INDEX('1. Matriz de Activos'!$S$6:$S$239,MATCH($C848,MgActId,0)),"")</f>
        <v/>
      </c>
      <c r="N848" s="28">
        <f>IFERROR(INDEX(MgAmenDegD,MATCH(SUBSTITUTE($H848,"*","-"),MgAmenClave,0)),"No aplica")</f>
        <v/>
      </c>
      <c r="O848" s="28">
        <f>IFERROR(INDEX(MgAmenDegI,MATCH(SUBSTITUTE($H848,"*","-"),MgAmenClave,0)),"No aplica")</f>
        <v/>
      </c>
      <c r="P848" s="28">
        <f>IFERROR(INDEX(MgAmenDegC,MATCH(SUBSTITUTE($H848,"*","-"),MgAmenClave,0)),"No aplica")</f>
        <v/>
      </c>
      <c r="Q848" s="29">
        <f>IFERROR(VLOOKUP(K848,MgValor,2,0)*VLOOKUP(N848,MgDeg,2,0),0)</f>
        <v/>
      </c>
      <c r="R848" s="29">
        <f>IFERROR(VLOOKUP(L848,MgValor,2,0)*VLOOKUP(O848,MgDeg,2,0),0)</f>
        <v/>
      </c>
      <c r="S848" s="29">
        <f>IFERROR(VLOOKUP(M848,MgValor,2,0)*VLOOKUP(P848,MgDeg,2,0),0)</f>
        <v/>
      </c>
      <c r="T848" s="30">
        <f>MAX(Q848:S848)</f>
        <v/>
      </c>
      <c r="U848" s="28">
        <f>IFERROR(LOOKUP(T848,{0;0.5;1.5;3;4.5},{"Despreciable";"Bajo";"Medio";"Alto";"Muy alto"}),"")</f>
        <v/>
      </c>
      <c r="V848" s="13">
        <f>IFERROR(INDEX(MgAmenFrec,MATCH(SUBSTITUTE($H848,"*","-"),MgAmenClave,0)),"")</f>
        <v/>
      </c>
      <c r="W848" s="28">
        <f>IFERROR(LOOKUP(X848,{0;0.01;0.1;1;10;100},{"Muy baja";"Muy baja";"Baja";"Media";"Alta";"Muy alta"}),"")</f>
        <v/>
      </c>
      <c r="X848" s="31">
        <f>IFERROR(VLOOKUP(V848,MgFrec,2,0),0)</f>
        <v/>
      </c>
      <c r="Y848" s="30">
        <f>T848*X848</f>
        <v/>
      </c>
      <c r="Z848" s="28">
        <f>IFERROR(LOOKUP(Y848,{0;0.5;5;25},{"Bajo";"Medio";"Alto";"Crítico"}),"")</f>
        <v/>
      </c>
      <c r="AA848" s="64">
        <f>IF(T848&gt;=3,IF(X848&gt;=1,"Zona 1 — Crítica: impacto alto y ocurre al menos una vez al año","Zona 4 — Catastrófica poco probable: impacto alto pero excepcional"),IF(AND(T848&lt;1.5,X848&lt;1),"Zona 3 — Asumible: impacto bajo y muy poco frecuente","Zona 2 — Atención: riesgo intermedio"))</f>
        <v/>
      </c>
      <c r="AB848" s="64">
        <f>IFERROR(INDEX(MgAmenCtrl,MATCH(SUBSTITUTE($H848,"*","-"),MgAmenClave,0)),"")</f>
        <v/>
      </c>
      <c r="AC848" s="20" t="n"/>
      <c r="AD848" s="31">
        <f>IFERROR($X848*(1-IF($AC848="",$AL848,VLOOKUP($AC848,MgMad,2,0))),"")</f>
        <v/>
      </c>
      <c r="AE848" s="28">
        <f>IFERROR(LOOKUP(AD848,{0;0.01;0.1;1;10;100},{"Muy baja";"Muy baja";"Baja";"Media";"Alta";"Muy alta"}),"")</f>
        <v/>
      </c>
      <c r="AF848" s="30">
        <f>T848*AD848</f>
        <v/>
      </c>
      <c r="AG848" s="28">
        <f>IFERROR(LOOKUP(AF848,{0;0.5;5;25},{"Bajo";"Medio";"Alto";"Crítico"}),"")</f>
        <v/>
      </c>
      <c r="AH848" s="28">
        <f>IF(AG848="","",IF(OR(AG848="Crítico",AG848="Alto"),"Mitigar",IF(AG848="Medio","Mitigar","Aceptar y monitorear")))</f>
        <v/>
      </c>
      <c r="AI848" s="21" t="n"/>
      <c r="AJ848" s="21" t="n"/>
      <c r="AK848" s="20" t="n"/>
      <c r="AL848" s="77">
        <f>IFERROR(INDEX(MgAmenEfic,MATCH(SUBSTITUTE($H848,"*","-"),MgAmenClave,0)),0)</f>
        <v/>
      </c>
    </row>
    <row r="849" hidden="1" ht="90" customHeight="1" s="54">
      <c r="B849" s="59" t="inlineStr">
        <is>
          <t>R-0844</t>
        </is>
      </c>
      <c r="C849" s="59" t="inlineStr">
        <is>
          <t>FIN-11</t>
        </is>
      </c>
      <c r="D849" s="64">
        <f>IFERROR(INDEX(MgNombre,MATCH($C849,MgActId,0)),"")</f>
        <v/>
      </c>
      <c r="E849" s="64">
        <f>IFERROR(INDEX(MgProceso,MATCH($C849,MgActId,0)),"")</f>
        <v/>
      </c>
      <c r="F849" s="64">
        <f>IFERROR(INDEX(MgTipo,MATCH($C849,MgActId,0)),"")</f>
        <v/>
      </c>
      <c r="G849" s="64">
        <f>IFERROR(INDEX(MgSubtipo,MATCH($C849,MgActId,0)),"")</f>
        <v/>
      </c>
      <c r="H849" s="59" t="inlineStr">
        <is>
          <t>E.15</t>
        </is>
      </c>
      <c r="I849" s="64">
        <f>IFERROR(INDEX(MgAmenNombre,MATCH(SUBSTITUTE($H849,"*","-"),MgAmenClave,0)),"")</f>
        <v/>
      </c>
      <c r="J849" s="28">
        <f>IFERROR(INDEX(MgAmenGrupo,MATCH(SUBSTITUTE($H849,"*","-"),MgAmenClave,0)),"")</f>
        <v/>
      </c>
      <c r="K849" s="64">
        <f>IFERROR(INDEX('1. Matriz de Activos'!$Q$6:$Q$239,MATCH($C849,MgActId,0)),"")</f>
        <v/>
      </c>
      <c r="L849" s="64">
        <f>IFERROR(INDEX('1. Matriz de Activos'!$R$6:$R$239,MATCH($C849,MgActId,0)),"")</f>
        <v/>
      </c>
      <c r="M849" s="64">
        <f>IFERROR(INDEX('1. Matriz de Activos'!$S$6:$S$239,MATCH($C849,MgActId,0)),"")</f>
        <v/>
      </c>
      <c r="N849" s="28">
        <f>IFERROR(INDEX(MgAmenDegD,MATCH(SUBSTITUTE($H849,"*","-"),MgAmenClave,0)),"No aplica")</f>
        <v/>
      </c>
      <c r="O849" s="28">
        <f>IFERROR(INDEX(MgAmenDegI,MATCH(SUBSTITUTE($H849,"*","-"),MgAmenClave,0)),"No aplica")</f>
        <v/>
      </c>
      <c r="P849" s="28">
        <f>IFERROR(INDEX(MgAmenDegC,MATCH(SUBSTITUTE($H849,"*","-"),MgAmenClave,0)),"No aplica")</f>
        <v/>
      </c>
      <c r="Q849" s="29">
        <f>IFERROR(VLOOKUP(K849,MgValor,2,0)*VLOOKUP(N849,MgDeg,2,0),0)</f>
        <v/>
      </c>
      <c r="R849" s="29">
        <f>IFERROR(VLOOKUP(L849,MgValor,2,0)*VLOOKUP(O849,MgDeg,2,0),0)</f>
        <v/>
      </c>
      <c r="S849" s="29">
        <f>IFERROR(VLOOKUP(M849,MgValor,2,0)*VLOOKUP(P849,MgDeg,2,0),0)</f>
        <v/>
      </c>
      <c r="T849" s="30">
        <f>MAX(Q849:S849)</f>
        <v/>
      </c>
      <c r="U849" s="28">
        <f>IFERROR(LOOKUP(T849,{0;0.5;1.5;3;4.5},{"Despreciable";"Bajo";"Medio";"Alto";"Muy alto"}),"")</f>
        <v/>
      </c>
      <c r="V849" s="13">
        <f>IFERROR(INDEX(MgAmenFrec,MATCH(SUBSTITUTE($H849,"*","-"),MgAmenClave,0)),"")</f>
        <v/>
      </c>
      <c r="W849" s="28">
        <f>IFERROR(LOOKUP(X849,{0;0.01;0.1;1;10;100},{"Muy baja";"Muy baja";"Baja";"Media";"Alta";"Muy alta"}),"")</f>
        <v/>
      </c>
      <c r="X849" s="31">
        <f>IFERROR(VLOOKUP(V849,MgFrec,2,0),0)</f>
        <v/>
      </c>
      <c r="Y849" s="30">
        <f>T849*X849</f>
        <v/>
      </c>
      <c r="Z849" s="28">
        <f>IFERROR(LOOKUP(Y849,{0;0.5;5;25},{"Bajo";"Medio";"Alto";"Crítico"}),"")</f>
        <v/>
      </c>
      <c r="AA849" s="64">
        <f>IF(T849&gt;=3,IF(X849&gt;=1,"Zona 1 — Crítica: impacto alto y ocurre al menos una vez al año","Zona 4 — Catastrófica poco probable: impacto alto pero excepcional"),IF(AND(T849&lt;1.5,X849&lt;1),"Zona 3 — Asumible: impacto bajo y muy poco frecuente","Zona 2 — Atención: riesgo intermedio"))</f>
        <v/>
      </c>
      <c r="AB849" s="64">
        <f>IFERROR(INDEX(MgAmenCtrl,MATCH(SUBSTITUTE($H849,"*","-"),MgAmenClave,0)),"")</f>
        <v/>
      </c>
      <c r="AC849" s="20" t="n"/>
      <c r="AD849" s="31">
        <f>IFERROR($X849*(1-IF($AC849="",$AL849,VLOOKUP($AC849,MgMad,2,0))),"")</f>
        <v/>
      </c>
      <c r="AE849" s="28">
        <f>IFERROR(LOOKUP(AD849,{0;0.01;0.1;1;10;100},{"Muy baja";"Muy baja";"Baja";"Media";"Alta";"Muy alta"}),"")</f>
        <v/>
      </c>
      <c r="AF849" s="30">
        <f>T849*AD849</f>
        <v/>
      </c>
      <c r="AG849" s="28">
        <f>IFERROR(LOOKUP(AF849,{0;0.5;5;25},{"Bajo";"Medio";"Alto";"Crítico"}),"")</f>
        <v/>
      </c>
      <c r="AH849" s="28">
        <f>IF(AG849="","",IF(OR(AG849="Crítico",AG849="Alto"),"Mitigar",IF(AG849="Medio","Mitigar","Aceptar y monitorear")))</f>
        <v/>
      </c>
      <c r="AI849" s="21" t="n"/>
      <c r="AJ849" s="21" t="n"/>
      <c r="AK849" s="20" t="n"/>
      <c r="AL849" s="77">
        <f>IFERROR(INDEX(MgAmenEfic,MATCH(SUBSTITUTE($H849,"*","-"),MgAmenClave,0)),0)</f>
        <v/>
      </c>
    </row>
    <row r="850" hidden="1" ht="60" customHeight="1" s="54">
      <c r="B850" s="59" t="inlineStr">
        <is>
          <t>R-0845</t>
        </is>
      </c>
      <c r="C850" s="59" t="inlineStr">
        <is>
          <t>FIN-11</t>
        </is>
      </c>
      <c r="D850" s="64">
        <f>IFERROR(INDEX(MgNombre,MATCH($C850,MgActId,0)),"")</f>
        <v/>
      </c>
      <c r="E850" s="64">
        <f>IFERROR(INDEX(MgProceso,MATCH($C850,MgActId,0)),"")</f>
        <v/>
      </c>
      <c r="F850" s="64">
        <f>IFERROR(INDEX(MgTipo,MATCH($C850,MgActId,0)),"")</f>
        <v/>
      </c>
      <c r="G850" s="64">
        <f>IFERROR(INDEX(MgSubtipo,MATCH($C850,MgActId,0)),"")</f>
        <v/>
      </c>
      <c r="H850" s="59" t="inlineStr">
        <is>
          <t>E.18</t>
        </is>
      </c>
      <c r="I850" s="64">
        <f>IFERROR(INDEX(MgAmenNombre,MATCH(SUBSTITUTE($H850,"*","-"),MgAmenClave,0)),"")</f>
        <v/>
      </c>
      <c r="J850" s="28">
        <f>IFERROR(INDEX(MgAmenGrupo,MATCH(SUBSTITUTE($H850,"*","-"),MgAmenClave,0)),"")</f>
        <v/>
      </c>
      <c r="K850" s="64">
        <f>IFERROR(INDEX('1. Matriz de Activos'!$Q$6:$Q$239,MATCH($C850,MgActId,0)),"")</f>
        <v/>
      </c>
      <c r="L850" s="64">
        <f>IFERROR(INDEX('1. Matriz de Activos'!$R$6:$R$239,MATCH($C850,MgActId,0)),"")</f>
        <v/>
      </c>
      <c r="M850" s="64">
        <f>IFERROR(INDEX('1. Matriz de Activos'!$S$6:$S$239,MATCH($C850,MgActId,0)),"")</f>
        <v/>
      </c>
      <c r="N850" s="28">
        <f>IFERROR(INDEX(MgAmenDegD,MATCH(SUBSTITUTE($H850,"*","-"),MgAmenClave,0)),"No aplica")</f>
        <v/>
      </c>
      <c r="O850" s="28">
        <f>IFERROR(INDEX(MgAmenDegI,MATCH(SUBSTITUTE($H850,"*","-"),MgAmenClave,0)),"No aplica")</f>
        <v/>
      </c>
      <c r="P850" s="28">
        <f>IFERROR(INDEX(MgAmenDegC,MATCH(SUBSTITUTE($H850,"*","-"),MgAmenClave,0)),"No aplica")</f>
        <v/>
      </c>
      <c r="Q850" s="29">
        <f>IFERROR(VLOOKUP(K850,MgValor,2,0)*VLOOKUP(N850,MgDeg,2,0),0)</f>
        <v/>
      </c>
      <c r="R850" s="29">
        <f>IFERROR(VLOOKUP(L850,MgValor,2,0)*VLOOKUP(O850,MgDeg,2,0),0)</f>
        <v/>
      </c>
      <c r="S850" s="29">
        <f>IFERROR(VLOOKUP(M850,MgValor,2,0)*VLOOKUP(P850,MgDeg,2,0),0)</f>
        <v/>
      </c>
      <c r="T850" s="30">
        <f>MAX(Q850:S850)</f>
        <v/>
      </c>
      <c r="U850" s="28">
        <f>IFERROR(LOOKUP(T850,{0;0.5;1.5;3;4.5},{"Despreciable";"Bajo";"Medio";"Alto";"Muy alto"}),"")</f>
        <v/>
      </c>
      <c r="V850" s="13">
        <f>IFERROR(INDEX(MgAmenFrec,MATCH(SUBSTITUTE($H850,"*","-"),MgAmenClave,0)),"")</f>
        <v/>
      </c>
      <c r="W850" s="28">
        <f>IFERROR(LOOKUP(X850,{0;0.01;0.1;1;10;100},{"Muy baja";"Muy baja";"Baja";"Media";"Alta";"Muy alta"}),"")</f>
        <v/>
      </c>
      <c r="X850" s="31">
        <f>IFERROR(VLOOKUP(V850,MgFrec,2,0),0)</f>
        <v/>
      </c>
      <c r="Y850" s="30">
        <f>T850*X850</f>
        <v/>
      </c>
      <c r="Z850" s="28">
        <f>IFERROR(LOOKUP(Y850,{0;0.5;5;25},{"Bajo";"Medio";"Alto";"Crítico"}),"")</f>
        <v/>
      </c>
      <c r="AA850" s="64">
        <f>IF(T850&gt;=3,IF(X850&gt;=1,"Zona 1 — Crítica: impacto alto y ocurre al menos una vez al año","Zona 4 — Catastrófica poco probable: impacto alto pero excepcional"),IF(AND(T850&lt;1.5,X850&lt;1),"Zona 3 — Asumible: impacto bajo y muy poco frecuente","Zona 2 — Atención: riesgo intermedio"))</f>
        <v/>
      </c>
      <c r="AB850" s="64">
        <f>IFERROR(INDEX(MgAmenCtrl,MATCH(SUBSTITUTE($H850,"*","-"),MgAmenClave,0)),"")</f>
        <v/>
      </c>
      <c r="AC850" s="20" t="n"/>
      <c r="AD850" s="31">
        <f>IFERROR($X850*(1-IF($AC850="",$AL850,VLOOKUP($AC850,MgMad,2,0))),"")</f>
        <v/>
      </c>
      <c r="AE850" s="28">
        <f>IFERROR(LOOKUP(AD850,{0;0.01;0.1;1;10;100},{"Muy baja";"Muy baja";"Baja";"Media";"Alta";"Muy alta"}),"")</f>
        <v/>
      </c>
      <c r="AF850" s="30">
        <f>T850*AD850</f>
        <v/>
      </c>
      <c r="AG850" s="28">
        <f>IFERROR(LOOKUP(AF850,{0;0.5;5;25},{"Bajo";"Medio";"Alto";"Crítico"}),"")</f>
        <v/>
      </c>
      <c r="AH850" s="28">
        <f>IF(AG850="","",IF(OR(AG850="Crítico",AG850="Alto"),"Mitigar",IF(AG850="Medio","Mitigar","Aceptar y monitorear")))</f>
        <v/>
      </c>
      <c r="AI850" s="21" t="n"/>
      <c r="AJ850" s="21" t="n"/>
      <c r="AK850" s="20" t="n"/>
      <c r="AL850" s="77">
        <f>IFERROR(INDEX(MgAmenEfic,MATCH(SUBSTITUTE($H850,"*","-"),MgAmenClave,0)),0)</f>
        <v/>
      </c>
    </row>
    <row r="851" hidden="1" ht="105" customHeight="1" s="54">
      <c r="B851" s="59" t="inlineStr">
        <is>
          <t>R-0846</t>
        </is>
      </c>
      <c r="C851" s="59" t="inlineStr">
        <is>
          <t>FIN-11</t>
        </is>
      </c>
      <c r="D851" s="64">
        <f>IFERROR(INDEX(MgNombre,MATCH($C851,MgActId,0)),"")</f>
        <v/>
      </c>
      <c r="E851" s="64">
        <f>IFERROR(INDEX(MgProceso,MATCH($C851,MgActId,0)),"")</f>
        <v/>
      </c>
      <c r="F851" s="64">
        <f>IFERROR(INDEX(MgTipo,MATCH($C851,MgActId,0)),"")</f>
        <v/>
      </c>
      <c r="G851" s="64">
        <f>IFERROR(INDEX(MgSubtipo,MATCH($C851,MgActId,0)),"")</f>
        <v/>
      </c>
      <c r="H851" s="59" t="inlineStr">
        <is>
          <t>E.19</t>
        </is>
      </c>
      <c r="I851" s="64">
        <f>IFERROR(INDEX(MgAmenNombre,MATCH(SUBSTITUTE($H851,"*","-"),MgAmenClave,0)),"")</f>
        <v/>
      </c>
      <c r="J851" s="28">
        <f>IFERROR(INDEX(MgAmenGrupo,MATCH(SUBSTITUTE($H851,"*","-"),MgAmenClave,0)),"")</f>
        <v/>
      </c>
      <c r="K851" s="64">
        <f>IFERROR(INDEX('1. Matriz de Activos'!$Q$6:$Q$239,MATCH($C851,MgActId,0)),"")</f>
        <v/>
      </c>
      <c r="L851" s="64">
        <f>IFERROR(INDEX('1. Matriz de Activos'!$R$6:$R$239,MATCH($C851,MgActId,0)),"")</f>
        <v/>
      </c>
      <c r="M851" s="64">
        <f>IFERROR(INDEX('1. Matriz de Activos'!$S$6:$S$239,MATCH($C851,MgActId,0)),"")</f>
        <v/>
      </c>
      <c r="N851" s="28">
        <f>IFERROR(INDEX(MgAmenDegD,MATCH(SUBSTITUTE($H851,"*","-"),MgAmenClave,0)),"No aplica")</f>
        <v/>
      </c>
      <c r="O851" s="28">
        <f>IFERROR(INDEX(MgAmenDegI,MATCH(SUBSTITUTE($H851,"*","-"),MgAmenClave,0)),"No aplica")</f>
        <v/>
      </c>
      <c r="P851" s="28">
        <f>IFERROR(INDEX(MgAmenDegC,MATCH(SUBSTITUTE($H851,"*","-"),MgAmenClave,0)),"No aplica")</f>
        <v/>
      </c>
      <c r="Q851" s="29">
        <f>IFERROR(VLOOKUP(K851,MgValor,2,0)*VLOOKUP(N851,MgDeg,2,0),0)</f>
        <v/>
      </c>
      <c r="R851" s="29">
        <f>IFERROR(VLOOKUP(L851,MgValor,2,0)*VLOOKUP(O851,MgDeg,2,0),0)</f>
        <v/>
      </c>
      <c r="S851" s="29">
        <f>IFERROR(VLOOKUP(M851,MgValor,2,0)*VLOOKUP(P851,MgDeg,2,0),0)</f>
        <v/>
      </c>
      <c r="T851" s="30">
        <f>MAX(Q851:S851)</f>
        <v/>
      </c>
      <c r="U851" s="28">
        <f>IFERROR(LOOKUP(T851,{0;0.5;1.5;3;4.5},{"Despreciable";"Bajo";"Medio";"Alto";"Muy alto"}),"")</f>
        <v/>
      </c>
      <c r="V851" s="13">
        <f>IFERROR(INDEX(MgAmenFrec,MATCH(SUBSTITUTE($H851,"*","-"),MgAmenClave,0)),"")</f>
        <v/>
      </c>
      <c r="W851" s="28">
        <f>IFERROR(LOOKUP(X851,{0;0.01;0.1;1;10;100},{"Muy baja";"Muy baja";"Baja";"Media";"Alta";"Muy alta"}),"")</f>
        <v/>
      </c>
      <c r="X851" s="31">
        <f>IFERROR(VLOOKUP(V851,MgFrec,2,0),0)</f>
        <v/>
      </c>
      <c r="Y851" s="30">
        <f>T851*X851</f>
        <v/>
      </c>
      <c r="Z851" s="28">
        <f>IFERROR(LOOKUP(Y851,{0;0.5;5;25},{"Bajo";"Medio";"Alto";"Crítico"}),"")</f>
        <v/>
      </c>
      <c r="AA851" s="64">
        <f>IF(T851&gt;=3,IF(X851&gt;=1,"Zona 1 — Crítica: impacto alto y ocurre al menos una vez al año","Zona 4 — Catastrófica poco probable: impacto alto pero excepcional"),IF(AND(T851&lt;1.5,X851&lt;1),"Zona 3 — Asumible: impacto bajo y muy poco frecuente","Zona 2 — Atención: riesgo intermedio"))</f>
        <v/>
      </c>
      <c r="AB851" s="64">
        <f>IFERROR(INDEX(MgAmenCtrl,MATCH(SUBSTITUTE($H851,"*","-"),MgAmenClave,0)),"")</f>
        <v/>
      </c>
      <c r="AC851" s="20" t="n"/>
      <c r="AD851" s="31">
        <f>IFERROR($X851*(1-IF($AC851="",$AL851,VLOOKUP($AC851,MgMad,2,0))),"")</f>
        <v/>
      </c>
      <c r="AE851" s="28">
        <f>IFERROR(LOOKUP(AD851,{0;0.01;0.1;1;10;100},{"Muy baja";"Muy baja";"Baja";"Media";"Alta";"Muy alta"}),"")</f>
        <v/>
      </c>
      <c r="AF851" s="30">
        <f>T851*AD851</f>
        <v/>
      </c>
      <c r="AG851" s="28">
        <f>IFERROR(LOOKUP(AF851,{0;0.5;5;25},{"Bajo";"Medio";"Alto";"Crítico"}),"")</f>
        <v/>
      </c>
      <c r="AH851" s="28">
        <f>IF(AG851="","",IF(OR(AG851="Crítico",AG851="Alto"),"Mitigar",IF(AG851="Medio","Mitigar","Aceptar y monitorear")))</f>
        <v/>
      </c>
      <c r="AI851" s="21" t="n"/>
      <c r="AJ851" s="21" t="n"/>
      <c r="AK851" s="20" t="n"/>
      <c r="AL851" s="77">
        <f>IFERROR(INDEX(MgAmenEfic,MATCH(SUBSTITUTE($H851,"*","-"),MgAmenClave,0)),0)</f>
        <v/>
      </c>
    </row>
    <row r="852" hidden="1" ht="60" customHeight="1" s="54">
      <c r="B852" s="59" t="inlineStr">
        <is>
          <t>R-0847</t>
        </is>
      </c>
      <c r="C852" s="59" t="inlineStr">
        <is>
          <t>FIN-11</t>
        </is>
      </c>
      <c r="D852" s="64">
        <f>IFERROR(INDEX(MgNombre,MATCH($C852,MgActId,0)),"")</f>
        <v/>
      </c>
      <c r="E852" s="64">
        <f>IFERROR(INDEX(MgProceso,MATCH($C852,MgActId,0)),"")</f>
        <v/>
      </c>
      <c r="F852" s="64">
        <f>IFERROR(INDEX(MgTipo,MATCH($C852,MgActId,0)),"")</f>
        <v/>
      </c>
      <c r="G852" s="64">
        <f>IFERROR(INDEX(MgSubtipo,MATCH($C852,MgActId,0)),"")</f>
        <v/>
      </c>
      <c r="H852" s="59" t="inlineStr">
        <is>
          <t>A.3</t>
        </is>
      </c>
      <c r="I852" s="64">
        <f>IFERROR(INDEX(MgAmenNombre,MATCH(SUBSTITUTE($H852,"*","-"),MgAmenClave,0)),"")</f>
        <v/>
      </c>
      <c r="J852" s="28">
        <f>IFERROR(INDEX(MgAmenGrupo,MATCH(SUBSTITUTE($H852,"*","-"),MgAmenClave,0)),"")</f>
        <v/>
      </c>
      <c r="K852" s="64">
        <f>IFERROR(INDEX('1. Matriz de Activos'!$Q$6:$Q$239,MATCH($C852,MgActId,0)),"")</f>
        <v/>
      </c>
      <c r="L852" s="64">
        <f>IFERROR(INDEX('1. Matriz de Activos'!$R$6:$R$239,MATCH($C852,MgActId,0)),"")</f>
        <v/>
      </c>
      <c r="M852" s="64">
        <f>IFERROR(INDEX('1. Matriz de Activos'!$S$6:$S$239,MATCH($C852,MgActId,0)),"")</f>
        <v/>
      </c>
      <c r="N852" s="28">
        <f>IFERROR(INDEX(MgAmenDegD,MATCH(SUBSTITUTE($H852,"*","-"),MgAmenClave,0)),"No aplica")</f>
        <v/>
      </c>
      <c r="O852" s="28">
        <f>IFERROR(INDEX(MgAmenDegI,MATCH(SUBSTITUTE($H852,"*","-"),MgAmenClave,0)),"No aplica")</f>
        <v/>
      </c>
      <c r="P852" s="28">
        <f>IFERROR(INDEX(MgAmenDegC,MATCH(SUBSTITUTE($H852,"*","-"),MgAmenClave,0)),"No aplica")</f>
        <v/>
      </c>
      <c r="Q852" s="29">
        <f>IFERROR(VLOOKUP(K852,MgValor,2,0)*VLOOKUP(N852,MgDeg,2,0),0)</f>
        <v/>
      </c>
      <c r="R852" s="29">
        <f>IFERROR(VLOOKUP(L852,MgValor,2,0)*VLOOKUP(O852,MgDeg,2,0),0)</f>
        <v/>
      </c>
      <c r="S852" s="29">
        <f>IFERROR(VLOOKUP(M852,MgValor,2,0)*VLOOKUP(P852,MgDeg,2,0),0)</f>
        <v/>
      </c>
      <c r="T852" s="30">
        <f>MAX(Q852:S852)</f>
        <v/>
      </c>
      <c r="U852" s="28">
        <f>IFERROR(LOOKUP(T852,{0;0.5;1.5;3;4.5},{"Despreciable";"Bajo";"Medio";"Alto";"Muy alto"}),"")</f>
        <v/>
      </c>
      <c r="V852" s="13">
        <f>IFERROR(INDEX(MgAmenFrec,MATCH(SUBSTITUTE($H852,"*","-"),MgAmenClave,0)),"")</f>
        <v/>
      </c>
      <c r="W852" s="28">
        <f>IFERROR(LOOKUP(X852,{0;0.01;0.1;1;10;100},{"Muy baja";"Muy baja";"Baja";"Media";"Alta";"Muy alta"}),"")</f>
        <v/>
      </c>
      <c r="X852" s="31">
        <f>IFERROR(VLOOKUP(V852,MgFrec,2,0),0)</f>
        <v/>
      </c>
      <c r="Y852" s="30">
        <f>T852*X852</f>
        <v/>
      </c>
      <c r="Z852" s="28">
        <f>IFERROR(LOOKUP(Y852,{0;0.5;5;25},{"Bajo";"Medio";"Alto";"Crítico"}),"")</f>
        <v/>
      </c>
      <c r="AA852" s="64">
        <f>IF(T852&gt;=3,IF(X852&gt;=1,"Zona 1 — Crítica: impacto alto y ocurre al menos una vez al año","Zona 4 — Catastrófica poco probable: impacto alto pero excepcional"),IF(AND(T852&lt;1.5,X852&lt;1),"Zona 3 — Asumible: impacto bajo y muy poco frecuente","Zona 2 — Atención: riesgo intermedio"))</f>
        <v/>
      </c>
      <c r="AB852" s="64">
        <f>IFERROR(INDEX(MgAmenCtrl,MATCH(SUBSTITUTE($H852,"*","-"),MgAmenClave,0)),"")</f>
        <v/>
      </c>
      <c r="AC852" s="20" t="n"/>
      <c r="AD852" s="31">
        <f>IFERROR($X852*(1-IF($AC852="",$AL852,VLOOKUP($AC852,MgMad,2,0))),"")</f>
        <v/>
      </c>
      <c r="AE852" s="28">
        <f>IFERROR(LOOKUP(AD852,{0;0.01;0.1;1;10;100},{"Muy baja";"Muy baja";"Baja";"Media";"Alta";"Muy alta"}),"")</f>
        <v/>
      </c>
      <c r="AF852" s="30">
        <f>T852*AD852</f>
        <v/>
      </c>
      <c r="AG852" s="28">
        <f>IFERROR(LOOKUP(AF852,{0;0.5;5;25},{"Bajo";"Medio";"Alto";"Crítico"}),"")</f>
        <v/>
      </c>
      <c r="AH852" s="28">
        <f>IF(AG852="","",IF(OR(AG852="Crítico",AG852="Alto"),"Mitigar",IF(AG852="Medio","Mitigar","Aceptar y monitorear")))</f>
        <v/>
      </c>
      <c r="AI852" s="21" t="n"/>
      <c r="AJ852" s="21" t="n"/>
      <c r="AK852" s="20" t="n"/>
      <c r="AL852" s="77">
        <f>IFERROR(INDEX(MgAmenEfic,MATCH(SUBSTITUTE($H852,"*","-"),MgAmenClave,0)),0)</f>
        <v/>
      </c>
    </row>
    <row r="853" hidden="1" ht="60" customHeight="1" s="54">
      <c r="B853" s="59" t="inlineStr">
        <is>
          <t>R-0848</t>
        </is>
      </c>
      <c r="C853" s="59" t="inlineStr">
        <is>
          <t>FIN-11</t>
        </is>
      </c>
      <c r="D853" s="64">
        <f>IFERROR(INDEX(MgNombre,MATCH($C853,MgActId,0)),"")</f>
        <v/>
      </c>
      <c r="E853" s="64">
        <f>IFERROR(INDEX(MgProceso,MATCH($C853,MgActId,0)),"")</f>
        <v/>
      </c>
      <c r="F853" s="64">
        <f>IFERROR(INDEX(MgTipo,MATCH($C853,MgActId,0)),"")</f>
        <v/>
      </c>
      <c r="G853" s="64">
        <f>IFERROR(INDEX(MgSubtipo,MATCH($C853,MgActId,0)),"")</f>
        <v/>
      </c>
      <c r="H853" s="59" t="inlineStr">
        <is>
          <t>A.4</t>
        </is>
      </c>
      <c r="I853" s="64">
        <f>IFERROR(INDEX(MgAmenNombre,MATCH(SUBSTITUTE($H853,"*","-"),MgAmenClave,0)),"")</f>
        <v/>
      </c>
      <c r="J853" s="28">
        <f>IFERROR(INDEX(MgAmenGrupo,MATCH(SUBSTITUTE($H853,"*","-"),MgAmenClave,0)),"")</f>
        <v/>
      </c>
      <c r="K853" s="64">
        <f>IFERROR(INDEX('1. Matriz de Activos'!$Q$6:$Q$239,MATCH($C853,MgActId,0)),"")</f>
        <v/>
      </c>
      <c r="L853" s="64">
        <f>IFERROR(INDEX('1. Matriz de Activos'!$R$6:$R$239,MATCH($C853,MgActId,0)),"")</f>
        <v/>
      </c>
      <c r="M853" s="64">
        <f>IFERROR(INDEX('1. Matriz de Activos'!$S$6:$S$239,MATCH($C853,MgActId,0)),"")</f>
        <v/>
      </c>
      <c r="N853" s="28">
        <f>IFERROR(INDEX(MgAmenDegD,MATCH(SUBSTITUTE($H853,"*","-"),MgAmenClave,0)),"No aplica")</f>
        <v/>
      </c>
      <c r="O853" s="28">
        <f>IFERROR(INDEX(MgAmenDegI,MATCH(SUBSTITUTE($H853,"*","-"),MgAmenClave,0)),"No aplica")</f>
        <v/>
      </c>
      <c r="P853" s="28">
        <f>IFERROR(INDEX(MgAmenDegC,MATCH(SUBSTITUTE($H853,"*","-"),MgAmenClave,0)),"No aplica")</f>
        <v/>
      </c>
      <c r="Q853" s="29">
        <f>IFERROR(VLOOKUP(K853,MgValor,2,0)*VLOOKUP(N853,MgDeg,2,0),0)</f>
        <v/>
      </c>
      <c r="R853" s="29">
        <f>IFERROR(VLOOKUP(L853,MgValor,2,0)*VLOOKUP(O853,MgDeg,2,0),0)</f>
        <v/>
      </c>
      <c r="S853" s="29">
        <f>IFERROR(VLOOKUP(M853,MgValor,2,0)*VLOOKUP(P853,MgDeg,2,0),0)</f>
        <v/>
      </c>
      <c r="T853" s="30">
        <f>MAX(Q853:S853)</f>
        <v/>
      </c>
      <c r="U853" s="28">
        <f>IFERROR(LOOKUP(T853,{0;0.5;1.5;3;4.5},{"Despreciable";"Bajo";"Medio";"Alto";"Muy alto"}),"")</f>
        <v/>
      </c>
      <c r="V853" s="13">
        <f>IFERROR(INDEX(MgAmenFrec,MATCH(SUBSTITUTE($H853,"*","-"),MgAmenClave,0)),"")</f>
        <v/>
      </c>
      <c r="W853" s="28">
        <f>IFERROR(LOOKUP(X853,{0;0.01;0.1;1;10;100},{"Muy baja";"Muy baja";"Baja";"Media";"Alta";"Muy alta"}),"")</f>
        <v/>
      </c>
      <c r="X853" s="31">
        <f>IFERROR(VLOOKUP(V853,MgFrec,2,0),0)</f>
        <v/>
      </c>
      <c r="Y853" s="30">
        <f>T853*X853</f>
        <v/>
      </c>
      <c r="Z853" s="28">
        <f>IFERROR(LOOKUP(Y853,{0;0.5;5;25},{"Bajo";"Medio";"Alto";"Crítico"}),"")</f>
        <v/>
      </c>
      <c r="AA853" s="64">
        <f>IF(T853&gt;=3,IF(X853&gt;=1,"Zona 1 — Crítica: impacto alto y ocurre al menos una vez al año","Zona 4 — Catastrófica poco probable: impacto alto pero excepcional"),IF(AND(T853&lt;1.5,X853&lt;1),"Zona 3 — Asumible: impacto bajo y muy poco frecuente","Zona 2 — Atención: riesgo intermedio"))</f>
        <v/>
      </c>
      <c r="AB853" s="64">
        <f>IFERROR(INDEX(MgAmenCtrl,MATCH(SUBSTITUTE($H853,"*","-"),MgAmenClave,0)),"")</f>
        <v/>
      </c>
      <c r="AC853" s="20" t="n"/>
      <c r="AD853" s="31">
        <f>IFERROR($X853*(1-IF($AC853="",$AL853,VLOOKUP($AC853,MgMad,2,0))),"")</f>
        <v/>
      </c>
      <c r="AE853" s="28">
        <f>IFERROR(LOOKUP(AD853,{0;0.01;0.1;1;10;100},{"Muy baja";"Muy baja";"Baja";"Media";"Alta";"Muy alta"}),"")</f>
        <v/>
      </c>
      <c r="AF853" s="30">
        <f>T853*AD853</f>
        <v/>
      </c>
      <c r="AG853" s="28">
        <f>IFERROR(LOOKUP(AF853,{0;0.5;5;25},{"Bajo";"Medio";"Alto";"Crítico"}),"")</f>
        <v/>
      </c>
      <c r="AH853" s="28">
        <f>IF(AG853="","",IF(OR(AG853="Crítico",AG853="Alto"),"Mitigar",IF(AG853="Medio","Mitigar","Aceptar y monitorear")))</f>
        <v/>
      </c>
      <c r="AI853" s="21" t="n"/>
      <c r="AJ853" s="21" t="n"/>
      <c r="AK853" s="20" t="n"/>
      <c r="AL853" s="77">
        <f>IFERROR(INDEX(MgAmenEfic,MATCH(SUBSTITUTE($H853,"*","-"),MgAmenClave,0)),0)</f>
        <v/>
      </c>
    </row>
    <row r="854" hidden="1" ht="75" customHeight="1" s="54">
      <c r="B854" s="59" t="inlineStr">
        <is>
          <t>R-0849</t>
        </is>
      </c>
      <c r="C854" s="59" t="inlineStr">
        <is>
          <t>FIN-11</t>
        </is>
      </c>
      <c r="D854" s="64">
        <f>IFERROR(INDEX(MgNombre,MATCH($C854,MgActId,0)),"")</f>
        <v/>
      </c>
      <c r="E854" s="64">
        <f>IFERROR(INDEX(MgProceso,MATCH($C854,MgActId,0)),"")</f>
        <v/>
      </c>
      <c r="F854" s="64">
        <f>IFERROR(INDEX(MgTipo,MATCH($C854,MgActId,0)),"")</f>
        <v/>
      </c>
      <c r="G854" s="64">
        <f>IFERROR(INDEX(MgSubtipo,MATCH($C854,MgActId,0)),"")</f>
        <v/>
      </c>
      <c r="H854" s="59" t="inlineStr">
        <is>
          <t>A.5</t>
        </is>
      </c>
      <c r="I854" s="64">
        <f>IFERROR(INDEX(MgAmenNombre,MATCH(SUBSTITUTE($H854,"*","-"),MgAmenClave,0)),"")</f>
        <v/>
      </c>
      <c r="J854" s="28">
        <f>IFERROR(INDEX(MgAmenGrupo,MATCH(SUBSTITUTE($H854,"*","-"),MgAmenClave,0)),"")</f>
        <v/>
      </c>
      <c r="K854" s="64">
        <f>IFERROR(INDEX('1. Matriz de Activos'!$Q$6:$Q$239,MATCH($C854,MgActId,0)),"")</f>
        <v/>
      </c>
      <c r="L854" s="64">
        <f>IFERROR(INDEX('1. Matriz de Activos'!$R$6:$R$239,MATCH($C854,MgActId,0)),"")</f>
        <v/>
      </c>
      <c r="M854" s="64">
        <f>IFERROR(INDEX('1. Matriz de Activos'!$S$6:$S$239,MATCH($C854,MgActId,0)),"")</f>
        <v/>
      </c>
      <c r="N854" s="28">
        <f>IFERROR(INDEX(MgAmenDegD,MATCH(SUBSTITUTE($H854,"*","-"),MgAmenClave,0)),"No aplica")</f>
        <v/>
      </c>
      <c r="O854" s="28">
        <f>IFERROR(INDEX(MgAmenDegI,MATCH(SUBSTITUTE($H854,"*","-"),MgAmenClave,0)),"No aplica")</f>
        <v/>
      </c>
      <c r="P854" s="28">
        <f>IFERROR(INDEX(MgAmenDegC,MATCH(SUBSTITUTE($H854,"*","-"),MgAmenClave,0)),"No aplica")</f>
        <v/>
      </c>
      <c r="Q854" s="29">
        <f>IFERROR(VLOOKUP(K854,MgValor,2,0)*VLOOKUP(N854,MgDeg,2,0),0)</f>
        <v/>
      </c>
      <c r="R854" s="29">
        <f>IFERROR(VLOOKUP(L854,MgValor,2,0)*VLOOKUP(O854,MgDeg,2,0),0)</f>
        <v/>
      </c>
      <c r="S854" s="29">
        <f>IFERROR(VLOOKUP(M854,MgValor,2,0)*VLOOKUP(P854,MgDeg,2,0),0)</f>
        <v/>
      </c>
      <c r="T854" s="30">
        <f>MAX(Q854:S854)</f>
        <v/>
      </c>
      <c r="U854" s="28">
        <f>IFERROR(LOOKUP(T854,{0;0.5;1.5;3;4.5},{"Despreciable";"Bajo";"Medio";"Alto";"Muy alto"}),"")</f>
        <v/>
      </c>
      <c r="V854" s="13">
        <f>IFERROR(INDEX(MgAmenFrec,MATCH(SUBSTITUTE($H854,"*","-"),MgAmenClave,0)),"")</f>
        <v/>
      </c>
      <c r="W854" s="28">
        <f>IFERROR(LOOKUP(X854,{0;0.01;0.1;1;10;100},{"Muy baja";"Muy baja";"Baja";"Media";"Alta";"Muy alta"}),"")</f>
        <v/>
      </c>
      <c r="X854" s="31">
        <f>IFERROR(VLOOKUP(V854,MgFrec,2,0),0)</f>
        <v/>
      </c>
      <c r="Y854" s="30">
        <f>T854*X854</f>
        <v/>
      </c>
      <c r="Z854" s="28">
        <f>IFERROR(LOOKUP(Y854,{0;0.5;5;25},{"Bajo";"Medio";"Alto";"Crítico"}),"")</f>
        <v/>
      </c>
      <c r="AA854" s="64">
        <f>IF(T854&gt;=3,IF(X854&gt;=1,"Zona 1 — Crítica: impacto alto y ocurre al menos una vez al año","Zona 4 — Catastrófica poco probable: impacto alto pero excepcional"),IF(AND(T854&lt;1.5,X854&lt;1),"Zona 3 — Asumible: impacto bajo y muy poco frecuente","Zona 2 — Atención: riesgo intermedio"))</f>
        <v/>
      </c>
      <c r="AB854" s="64">
        <f>IFERROR(INDEX(MgAmenCtrl,MATCH(SUBSTITUTE($H854,"*","-"),MgAmenClave,0)),"")</f>
        <v/>
      </c>
      <c r="AC854" s="20" t="n"/>
      <c r="AD854" s="31">
        <f>IFERROR($X854*(1-IF($AC854="",$AL854,VLOOKUP($AC854,MgMad,2,0))),"")</f>
        <v/>
      </c>
      <c r="AE854" s="28">
        <f>IFERROR(LOOKUP(AD854,{0;0.01;0.1;1;10;100},{"Muy baja";"Muy baja";"Baja";"Media";"Alta";"Muy alta"}),"")</f>
        <v/>
      </c>
      <c r="AF854" s="30">
        <f>T854*AD854</f>
        <v/>
      </c>
      <c r="AG854" s="28">
        <f>IFERROR(LOOKUP(AF854,{0;0.5;5;25},{"Bajo";"Medio";"Alto";"Crítico"}),"")</f>
        <v/>
      </c>
      <c r="AH854" s="28">
        <f>IF(AG854="","",IF(OR(AG854="Crítico",AG854="Alto"),"Mitigar",IF(AG854="Medio","Mitigar","Aceptar y monitorear")))</f>
        <v/>
      </c>
      <c r="AI854" s="21" t="n"/>
      <c r="AJ854" s="21" t="n"/>
      <c r="AK854" s="20" t="n"/>
      <c r="AL854" s="77">
        <f>IFERROR(INDEX(MgAmenEfic,MATCH(SUBSTITUTE($H854,"*","-"),MgAmenClave,0)),0)</f>
        <v/>
      </c>
    </row>
    <row r="855" hidden="1" ht="105" customHeight="1" s="54">
      <c r="B855" s="59" t="inlineStr">
        <is>
          <t>R-0850</t>
        </is>
      </c>
      <c r="C855" s="59" t="inlineStr">
        <is>
          <t>FIN-11</t>
        </is>
      </c>
      <c r="D855" s="64">
        <f>IFERROR(INDEX(MgNombre,MATCH($C855,MgActId,0)),"")</f>
        <v/>
      </c>
      <c r="E855" s="64">
        <f>IFERROR(INDEX(MgProceso,MATCH($C855,MgActId,0)),"")</f>
        <v/>
      </c>
      <c r="F855" s="64">
        <f>IFERROR(INDEX(MgTipo,MATCH($C855,MgActId,0)),"")</f>
        <v/>
      </c>
      <c r="G855" s="64">
        <f>IFERROR(INDEX(MgSubtipo,MATCH($C855,MgActId,0)),"")</f>
        <v/>
      </c>
      <c r="H855" s="59" t="inlineStr">
        <is>
          <t>A.6</t>
        </is>
      </c>
      <c r="I855" s="64">
        <f>IFERROR(INDEX(MgAmenNombre,MATCH(SUBSTITUTE($H855,"*","-"),MgAmenClave,0)),"")</f>
        <v/>
      </c>
      <c r="J855" s="28">
        <f>IFERROR(INDEX(MgAmenGrupo,MATCH(SUBSTITUTE($H855,"*","-"),MgAmenClave,0)),"")</f>
        <v/>
      </c>
      <c r="K855" s="64">
        <f>IFERROR(INDEX('1. Matriz de Activos'!$Q$6:$Q$239,MATCH($C855,MgActId,0)),"")</f>
        <v/>
      </c>
      <c r="L855" s="64">
        <f>IFERROR(INDEX('1. Matriz de Activos'!$R$6:$R$239,MATCH($C855,MgActId,0)),"")</f>
        <v/>
      </c>
      <c r="M855" s="64">
        <f>IFERROR(INDEX('1. Matriz de Activos'!$S$6:$S$239,MATCH($C855,MgActId,0)),"")</f>
        <v/>
      </c>
      <c r="N855" s="28">
        <f>IFERROR(INDEX(MgAmenDegD,MATCH(SUBSTITUTE($H855,"*","-"),MgAmenClave,0)),"No aplica")</f>
        <v/>
      </c>
      <c r="O855" s="28">
        <f>IFERROR(INDEX(MgAmenDegI,MATCH(SUBSTITUTE($H855,"*","-"),MgAmenClave,0)),"No aplica")</f>
        <v/>
      </c>
      <c r="P855" s="28">
        <f>IFERROR(INDEX(MgAmenDegC,MATCH(SUBSTITUTE($H855,"*","-"),MgAmenClave,0)),"No aplica")</f>
        <v/>
      </c>
      <c r="Q855" s="29">
        <f>IFERROR(VLOOKUP(K855,MgValor,2,0)*VLOOKUP(N855,MgDeg,2,0),0)</f>
        <v/>
      </c>
      <c r="R855" s="29">
        <f>IFERROR(VLOOKUP(L855,MgValor,2,0)*VLOOKUP(O855,MgDeg,2,0),0)</f>
        <v/>
      </c>
      <c r="S855" s="29">
        <f>IFERROR(VLOOKUP(M855,MgValor,2,0)*VLOOKUP(P855,MgDeg,2,0),0)</f>
        <v/>
      </c>
      <c r="T855" s="30">
        <f>MAX(Q855:S855)</f>
        <v/>
      </c>
      <c r="U855" s="28">
        <f>IFERROR(LOOKUP(T855,{0;0.5;1.5;3;4.5},{"Despreciable";"Bajo";"Medio";"Alto";"Muy alto"}),"")</f>
        <v/>
      </c>
      <c r="V855" s="13">
        <f>IFERROR(INDEX(MgAmenFrec,MATCH(SUBSTITUTE($H855,"*","-"),MgAmenClave,0)),"")</f>
        <v/>
      </c>
      <c r="W855" s="28">
        <f>IFERROR(LOOKUP(X855,{0;0.01;0.1;1;10;100},{"Muy baja";"Muy baja";"Baja";"Media";"Alta";"Muy alta"}),"")</f>
        <v/>
      </c>
      <c r="X855" s="31">
        <f>IFERROR(VLOOKUP(V855,MgFrec,2,0),0)</f>
        <v/>
      </c>
      <c r="Y855" s="30">
        <f>T855*X855</f>
        <v/>
      </c>
      <c r="Z855" s="28">
        <f>IFERROR(LOOKUP(Y855,{0;0.5;5;25},{"Bajo";"Medio";"Alto";"Crítico"}),"")</f>
        <v/>
      </c>
      <c r="AA855" s="64">
        <f>IF(T855&gt;=3,IF(X855&gt;=1,"Zona 1 — Crítica: impacto alto y ocurre al menos una vez al año","Zona 4 — Catastrófica poco probable: impacto alto pero excepcional"),IF(AND(T855&lt;1.5,X855&lt;1),"Zona 3 — Asumible: impacto bajo y muy poco frecuente","Zona 2 — Atención: riesgo intermedio"))</f>
        <v/>
      </c>
      <c r="AB855" s="64">
        <f>IFERROR(INDEX(MgAmenCtrl,MATCH(SUBSTITUTE($H855,"*","-"),MgAmenClave,0)),"")</f>
        <v/>
      </c>
      <c r="AC855" s="20" t="n"/>
      <c r="AD855" s="31">
        <f>IFERROR($X855*(1-IF($AC855="",$AL855,VLOOKUP($AC855,MgMad,2,0))),"")</f>
        <v/>
      </c>
      <c r="AE855" s="28">
        <f>IFERROR(LOOKUP(AD855,{0;0.01;0.1;1;10;100},{"Muy baja";"Muy baja";"Baja";"Media";"Alta";"Muy alta"}),"")</f>
        <v/>
      </c>
      <c r="AF855" s="30">
        <f>T855*AD855</f>
        <v/>
      </c>
      <c r="AG855" s="28">
        <f>IFERROR(LOOKUP(AF855,{0;0.5;5;25},{"Bajo";"Medio";"Alto";"Crítico"}),"")</f>
        <v/>
      </c>
      <c r="AH855" s="28">
        <f>IF(AG855="","",IF(OR(AG855="Crítico",AG855="Alto"),"Mitigar",IF(AG855="Medio","Mitigar","Aceptar y monitorear")))</f>
        <v/>
      </c>
      <c r="AI855" s="21" t="n"/>
      <c r="AJ855" s="21" t="n"/>
      <c r="AK855" s="20" t="n"/>
      <c r="AL855" s="77">
        <f>IFERROR(INDEX(MgAmenEfic,MATCH(SUBSTITUTE($H855,"*","-"),MgAmenClave,0)),0)</f>
        <v/>
      </c>
    </row>
    <row r="856" hidden="1" ht="120" customHeight="1" s="54">
      <c r="B856" s="59" t="inlineStr">
        <is>
          <t>R-0851</t>
        </is>
      </c>
      <c r="C856" s="59" t="inlineStr">
        <is>
          <t>FIN-11</t>
        </is>
      </c>
      <c r="D856" s="64">
        <f>IFERROR(INDEX(MgNombre,MATCH($C856,MgActId,0)),"")</f>
        <v/>
      </c>
      <c r="E856" s="64">
        <f>IFERROR(INDEX(MgProceso,MATCH($C856,MgActId,0)),"")</f>
        <v/>
      </c>
      <c r="F856" s="64">
        <f>IFERROR(INDEX(MgTipo,MATCH($C856,MgActId,0)),"")</f>
        <v/>
      </c>
      <c r="G856" s="64">
        <f>IFERROR(INDEX(MgSubtipo,MATCH($C856,MgActId,0)),"")</f>
        <v/>
      </c>
      <c r="H856" s="59" t="inlineStr">
        <is>
          <t>A.11</t>
        </is>
      </c>
      <c r="I856" s="64">
        <f>IFERROR(INDEX(MgAmenNombre,MATCH(SUBSTITUTE($H856,"*","-"),MgAmenClave,0)),"")</f>
        <v/>
      </c>
      <c r="J856" s="28">
        <f>IFERROR(INDEX(MgAmenGrupo,MATCH(SUBSTITUTE($H856,"*","-"),MgAmenClave,0)),"")</f>
        <v/>
      </c>
      <c r="K856" s="64">
        <f>IFERROR(INDEX('1. Matriz de Activos'!$Q$6:$Q$239,MATCH($C856,MgActId,0)),"")</f>
        <v/>
      </c>
      <c r="L856" s="64">
        <f>IFERROR(INDEX('1. Matriz de Activos'!$R$6:$R$239,MATCH($C856,MgActId,0)),"")</f>
        <v/>
      </c>
      <c r="M856" s="64">
        <f>IFERROR(INDEX('1. Matriz de Activos'!$S$6:$S$239,MATCH($C856,MgActId,0)),"")</f>
        <v/>
      </c>
      <c r="N856" s="28">
        <f>IFERROR(INDEX(MgAmenDegD,MATCH(SUBSTITUTE($H856,"*","-"),MgAmenClave,0)),"No aplica")</f>
        <v/>
      </c>
      <c r="O856" s="28">
        <f>IFERROR(INDEX(MgAmenDegI,MATCH(SUBSTITUTE($H856,"*","-"),MgAmenClave,0)),"No aplica")</f>
        <v/>
      </c>
      <c r="P856" s="28">
        <f>IFERROR(INDEX(MgAmenDegC,MATCH(SUBSTITUTE($H856,"*","-"),MgAmenClave,0)),"No aplica")</f>
        <v/>
      </c>
      <c r="Q856" s="29">
        <f>IFERROR(VLOOKUP(K856,MgValor,2,0)*VLOOKUP(N856,MgDeg,2,0),0)</f>
        <v/>
      </c>
      <c r="R856" s="29">
        <f>IFERROR(VLOOKUP(L856,MgValor,2,0)*VLOOKUP(O856,MgDeg,2,0),0)</f>
        <v/>
      </c>
      <c r="S856" s="29">
        <f>IFERROR(VLOOKUP(M856,MgValor,2,0)*VLOOKUP(P856,MgDeg,2,0),0)</f>
        <v/>
      </c>
      <c r="T856" s="30">
        <f>MAX(Q856:S856)</f>
        <v/>
      </c>
      <c r="U856" s="28">
        <f>IFERROR(LOOKUP(T856,{0;0.5;1.5;3;4.5},{"Despreciable";"Bajo";"Medio";"Alto";"Muy alto"}),"")</f>
        <v/>
      </c>
      <c r="V856" s="13">
        <f>IFERROR(INDEX(MgAmenFrec,MATCH(SUBSTITUTE($H856,"*","-"),MgAmenClave,0)),"")</f>
        <v/>
      </c>
      <c r="W856" s="28">
        <f>IFERROR(LOOKUP(X856,{0;0.01;0.1;1;10;100},{"Muy baja";"Muy baja";"Baja";"Media";"Alta";"Muy alta"}),"")</f>
        <v/>
      </c>
      <c r="X856" s="31">
        <f>IFERROR(VLOOKUP(V856,MgFrec,2,0),0)</f>
        <v/>
      </c>
      <c r="Y856" s="30">
        <f>T856*X856</f>
        <v/>
      </c>
      <c r="Z856" s="28">
        <f>IFERROR(LOOKUP(Y856,{0;0.5;5;25},{"Bajo";"Medio";"Alto";"Crítico"}),"")</f>
        <v/>
      </c>
      <c r="AA856" s="64">
        <f>IF(T856&gt;=3,IF(X856&gt;=1,"Zona 1 — Crítica: impacto alto y ocurre al menos una vez al año","Zona 4 — Catastrófica poco probable: impacto alto pero excepcional"),IF(AND(T856&lt;1.5,X856&lt;1),"Zona 3 — Asumible: impacto bajo y muy poco frecuente","Zona 2 — Atención: riesgo intermedio"))</f>
        <v/>
      </c>
      <c r="AB856" s="64">
        <f>IFERROR(INDEX(MgAmenCtrl,MATCH(SUBSTITUTE($H856,"*","-"),MgAmenClave,0)),"")</f>
        <v/>
      </c>
      <c r="AC856" s="20" t="n"/>
      <c r="AD856" s="31">
        <f>IFERROR($X856*(1-IF($AC856="",$AL856,VLOOKUP($AC856,MgMad,2,0))),"")</f>
        <v/>
      </c>
      <c r="AE856" s="28">
        <f>IFERROR(LOOKUP(AD856,{0;0.01;0.1;1;10;100},{"Muy baja";"Muy baja";"Baja";"Media";"Alta";"Muy alta"}),"")</f>
        <v/>
      </c>
      <c r="AF856" s="30">
        <f>T856*AD856</f>
        <v/>
      </c>
      <c r="AG856" s="28">
        <f>IFERROR(LOOKUP(AF856,{0;0.5;5;25},{"Bajo";"Medio";"Alto";"Crítico"}),"")</f>
        <v/>
      </c>
      <c r="AH856" s="28">
        <f>IF(AG856="","",IF(OR(AG856="Crítico",AG856="Alto"),"Mitigar",IF(AG856="Medio","Mitigar","Aceptar y monitorear")))</f>
        <v/>
      </c>
      <c r="AI856" s="21" t="n"/>
      <c r="AJ856" s="21" t="n"/>
      <c r="AK856" s="20" t="n"/>
      <c r="AL856" s="77">
        <f>IFERROR(INDEX(MgAmenEfic,MATCH(SUBSTITUTE($H856,"*","-"),MgAmenClave,0)),0)</f>
        <v/>
      </c>
    </row>
    <row r="857" hidden="1" ht="90" customHeight="1" s="54">
      <c r="B857" s="59" t="inlineStr">
        <is>
          <t>R-0852</t>
        </is>
      </c>
      <c r="C857" s="59" t="inlineStr">
        <is>
          <t>FIN-11</t>
        </is>
      </c>
      <c r="D857" s="64">
        <f>IFERROR(INDEX(MgNombre,MATCH($C857,MgActId,0)),"")</f>
        <v/>
      </c>
      <c r="E857" s="64">
        <f>IFERROR(INDEX(MgProceso,MATCH($C857,MgActId,0)),"")</f>
        <v/>
      </c>
      <c r="F857" s="64">
        <f>IFERROR(INDEX(MgTipo,MATCH($C857,MgActId,0)),"")</f>
        <v/>
      </c>
      <c r="G857" s="64">
        <f>IFERROR(INDEX(MgSubtipo,MATCH($C857,MgActId,0)),"")</f>
        <v/>
      </c>
      <c r="H857" s="59" t="inlineStr">
        <is>
          <t>A.13</t>
        </is>
      </c>
      <c r="I857" s="64">
        <f>IFERROR(INDEX(MgAmenNombre,MATCH(SUBSTITUTE($H857,"*","-"),MgAmenClave,0)),"")</f>
        <v/>
      </c>
      <c r="J857" s="28">
        <f>IFERROR(INDEX(MgAmenGrupo,MATCH(SUBSTITUTE($H857,"*","-"),MgAmenClave,0)),"")</f>
        <v/>
      </c>
      <c r="K857" s="64">
        <f>IFERROR(INDEX('1. Matriz de Activos'!$Q$6:$Q$239,MATCH($C857,MgActId,0)),"")</f>
        <v/>
      </c>
      <c r="L857" s="64">
        <f>IFERROR(INDEX('1. Matriz de Activos'!$R$6:$R$239,MATCH($C857,MgActId,0)),"")</f>
        <v/>
      </c>
      <c r="M857" s="64">
        <f>IFERROR(INDEX('1. Matriz de Activos'!$S$6:$S$239,MATCH($C857,MgActId,0)),"")</f>
        <v/>
      </c>
      <c r="N857" s="28">
        <f>IFERROR(INDEX(MgAmenDegD,MATCH(SUBSTITUTE($H857,"*","-"),MgAmenClave,0)),"No aplica")</f>
        <v/>
      </c>
      <c r="O857" s="28">
        <f>IFERROR(INDEX(MgAmenDegI,MATCH(SUBSTITUTE($H857,"*","-"),MgAmenClave,0)),"No aplica")</f>
        <v/>
      </c>
      <c r="P857" s="28">
        <f>IFERROR(INDEX(MgAmenDegC,MATCH(SUBSTITUTE($H857,"*","-"),MgAmenClave,0)),"No aplica")</f>
        <v/>
      </c>
      <c r="Q857" s="29">
        <f>IFERROR(VLOOKUP(K857,MgValor,2,0)*VLOOKUP(N857,MgDeg,2,0),0)</f>
        <v/>
      </c>
      <c r="R857" s="29">
        <f>IFERROR(VLOOKUP(L857,MgValor,2,0)*VLOOKUP(O857,MgDeg,2,0),0)</f>
        <v/>
      </c>
      <c r="S857" s="29">
        <f>IFERROR(VLOOKUP(M857,MgValor,2,0)*VLOOKUP(P857,MgDeg,2,0),0)</f>
        <v/>
      </c>
      <c r="T857" s="30">
        <f>MAX(Q857:S857)</f>
        <v/>
      </c>
      <c r="U857" s="28">
        <f>IFERROR(LOOKUP(T857,{0;0.5;1.5;3;4.5},{"Despreciable";"Bajo";"Medio";"Alto";"Muy alto"}),"")</f>
        <v/>
      </c>
      <c r="V857" s="13">
        <f>IFERROR(INDEX(MgAmenFrec,MATCH(SUBSTITUTE($H857,"*","-"),MgAmenClave,0)),"")</f>
        <v/>
      </c>
      <c r="W857" s="28">
        <f>IFERROR(LOOKUP(X857,{0;0.01;0.1;1;10;100},{"Muy baja";"Muy baja";"Baja";"Media";"Alta";"Muy alta"}),"")</f>
        <v/>
      </c>
      <c r="X857" s="31">
        <f>IFERROR(VLOOKUP(V857,MgFrec,2,0),0)</f>
        <v/>
      </c>
      <c r="Y857" s="30">
        <f>T857*X857</f>
        <v/>
      </c>
      <c r="Z857" s="28">
        <f>IFERROR(LOOKUP(Y857,{0;0.5;5;25},{"Bajo";"Medio";"Alto";"Crítico"}),"")</f>
        <v/>
      </c>
      <c r="AA857" s="64">
        <f>IF(T857&gt;=3,IF(X857&gt;=1,"Zona 1 — Crítica: impacto alto y ocurre al menos una vez al año","Zona 4 — Catastrófica poco probable: impacto alto pero excepcional"),IF(AND(T857&lt;1.5,X857&lt;1),"Zona 3 — Asumible: impacto bajo y muy poco frecuente","Zona 2 — Atención: riesgo intermedio"))</f>
        <v/>
      </c>
      <c r="AB857" s="64">
        <f>IFERROR(INDEX(MgAmenCtrl,MATCH(SUBSTITUTE($H857,"*","-"),MgAmenClave,0)),"")</f>
        <v/>
      </c>
      <c r="AC857" s="20" t="n"/>
      <c r="AD857" s="31">
        <f>IFERROR($X857*(1-IF($AC857="",$AL857,VLOOKUP($AC857,MgMad,2,0))),"")</f>
        <v/>
      </c>
      <c r="AE857" s="28">
        <f>IFERROR(LOOKUP(AD857,{0;0.01;0.1;1;10;100},{"Muy baja";"Muy baja";"Baja";"Media";"Alta";"Muy alta"}),"")</f>
        <v/>
      </c>
      <c r="AF857" s="30">
        <f>T857*AD857</f>
        <v/>
      </c>
      <c r="AG857" s="28">
        <f>IFERROR(LOOKUP(AF857,{0;0.5;5;25},{"Bajo";"Medio";"Alto";"Crítico"}),"")</f>
        <v/>
      </c>
      <c r="AH857" s="28">
        <f>IF(AG857="","",IF(OR(AG857="Crítico",AG857="Alto"),"Mitigar",IF(AG857="Medio","Mitigar","Aceptar y monitorear")))</f>
        <v/>
      </c>
      <c r="AI857" s="21" t="n"/>
      <c r="AJ857" s="21" t="n"/>
      <c r="AK857" s="20" t="n"/>
      <c r="AL857" s="77">
        <f>IFERROR(INDEX(MgAmenEfic,MATCH(SUBSTITUTE($H857,"*","-"),MgAmenClave,0)),0)</f>
        <v/>
      </c>
    </row>
    <row r="858" hidden="1" ht="60" customHeight="1" s="54">
      <c r="B858" s="59" t="inlineStr">
        <is>
          <t>R-0853</t>
        </is>
      </c>
      <c r="C858" s="59" t="inlineStr">
        <is>
          <t>FIN-11</t>
        </is>
      </c>
      <c r="D858" s="64">
        <f>IFERROR(INDEX(MgNombre,MATCH($C858,MgActId,0)),"")</f>
        <v/>
      </c>
      <c r="E858" s="64">
        <f>IFERROR(INDEX(MgProceso,MATCH($C858,MgActId,0)),"")</f>
        <v/>
      </c>
      <c r="F858" s="64">
        <f>IFERROR(INDEX(MgTipo,MATCH($C858,MgActId,0)),"")</f>
        <v/>
      </c>
      <c r="G858" s="64">
        <f>IFERROR(INDEX(MgSubtipo,MATCH($C858,MgActId,0)),"")</f>
        <v/>
      </c>
      <c r="H858" s="59" t="inlineStr">
        <is>
          <t>A.15</t>
        </is>
      </c>
      <c r="I858" s="64">
        <f>IFERROR(INDEX(MgAmenNombre,MATCH(SUBSTITUTE($H858,"*","-"),MgAmenClave,0)),"")</f>
        <v/>
      </c>
      <c r="J858" s="28">
        <f>IFERROR(INDEX(MgAmenGrupo,MATCH(SUBSTITUTE($H858,"*","-"),MgAmenClave,0)),"")</f>
        <v/>
      </c>
      <c r="K858" s="64">
        <f>IFERROR(INDEX('1. Matriz de Activos'!$Q$6:$Q$239,MATCH($C858,MgActId,0)),"")</f>
        <v/>
      </c>
      <c r="L858" s="64">
        <f>IFERROR(INDEX('1. Matriz de Activos'!$R$6:$R$239,MATCH($C858,MgActId,0)),"")</f>
        <v/>
      </c>
      <c r="M858" s="64">
        <f>IFERROR(INDEX('1. Matriz de Activos'!$S$6:$S$239,MATCH($C858,MgActId,0)),"")</f>
        <v/>
      </c>
      <c r="N858" s="28">
        <f>IFERROR(INDEX(MgAmenDegD,MATCH(SUBSTITUTE($H858,"*","-"),MgAmenClave,0)),"No aplica")</f>
        <v/>
      </c>
      <c r="O858" s="28">
        <f>IFERROR(INDEX(MgAmenDegI,MATCH(SUBSTITUTE($H858,"*","-"),MgAmenClave,0)),"No aplica")</f>
        <v/>
      </c>
      <c r="P858" s="28">
        <f>IFERROR(INDEX(MgAmenDegC,MATCH(SUBSTITUTE($H858,"*","-"),MgAmenClave,0)),"No aplica")</f>
        <v/>
      </c>
      <c r="Q858" s="29">
        <f>IFERROR(VLOOKUP(K858,MgValor,2,0)*VLOOKUP(N858,MgDeg,2,0),0)</f>
        <v/>
      </c>
      <c r="R858" s="29">
        <f>IFERROR(VLOOKUP(L858,MgValor,2,0)*VLOOKUP(O858,MgDeg,2,0),0)</f>
        <v/>
      </c>
      <c r="S858" s="29">
        <f>IFERROR(VLOOKUP(M858,MgValor,2,0)*VLOOKUP(P858,MgDeg,2,0),0)</f>
        <v/>
      </c>
      <c r="T858" s="30">
        <f>MAX(Q858:S858)</f>
        <v/>
      </c>
      <c r="U858" s="28">
        <f>IFERROR(LOOKUP(T858,{0;0.5;1.5;3;4.5},{"Despreciable";"Bajo";"Medio";"Alto";"Muy alto"}),"")</f>
        <v/>
      </c>
      <c r="V858" s="13">
        <f>IFERROR(INDEX(MgAmenFrec,MATCH(SUBSTITUTE($H858,"*","-"),MgAmenClave,0)),"")</f>
        <v/>
      </c>
      <c r="W858" s="28">
        <f>IFERROR(LOOKUP(X858,{0;0.01;0.1;1;10;100},{"Muy baja";"Muy baja";"Baja";"Media";"Alta";"Muy alta"}),"")</f>
        <v/>
      </c>
      <c r="X858" s="31">
        <f>IFERROR(VLOOKUP(V858,MgFrec,2,0),0)</f>
        <v/>
      </c>
      <c r="Y858" s="30">
        <f>T858*X858</f>
        <v/>
      </c>
      <c r="Z858" s="28">
        <f>IFERROR(LOOKUP(Y858,{0;0.5;5;25},{"Bajo";"Medio";"Alto";"Crítico"}),"")</f>
        <v/>
      </c>
      <c r="AA858" s="64">
        <f>IF(T858&gt;=3,IF(X858&gt;=1,"Zona 1 — Crítica: impacto alto y ocurre al menos una vez al año","Zona 4 — Catastrófica poco probable: impacto alto pero excepcional"),IF(AND(T858&lt;1.5,X858&lt;1),"Zona 3 — Asumible: impacto bajo y muy poco frecuente","Zona 2 — Atención: riesgo intermedio"))</f>
        <v/>
      </c>
      <c r="AB858" s="64">
        <f>IFERROR(INDEX(MgAmenCtrl,MATCH(SUBSTITUTE($H858,"*","-"),MgAmenClave,0)),"")</f>
        <v/>
      </c>
      <c r="AC858" s="20" t="n"/>
      <c r="AD858" s="31">
        <f>IFERROR($X858*(1-IF($AC858="",$AL858,VLOOKUP($AC858,MgMad,2,0))),"")</f>
        <v/>
      </c>
      <c r="AE858" s="28">
        <f>IFERROR(LOOKUP(AD858,{0;0.01;0.1;1;10;100},{"Muy baja";"Muy baja";"Baja";"Media";"Alta";"Muy alta"}),"")</f>
        <v/>
      </c>
      <c r="AF858" s="30">
        <f>T858*AD858</f>
        <v/>
      </c>
      <c r="AG858" s="28">
        <f>IFERROR(LOOKUP(AF858,{0;0.5;5;25},{"Bajo";"Medio";"Alto";"Crítico"}),"")</f>
        <v/>
      </c>
      <c r="AH858" s="28">
        <f>IF(AG858="","",IF(OR(AG858="Crítico",AG858="Alto"),"Mitigar",IF(AG858="Medio","Mitigar","Aceptar y monitorear")))</f>
        <v/>
      </c>
      <c r="AI858" s="21" t="n"/>
      <c r="AJ858" s="21" t="n"/>
      <c r="AK858" s="20" t="n"/>
      <c r="AL858" s="77">
        <f>IFERROR(INDEX(MgAmenEfic,MATCH(SUBSTITUTE($H858,"*","-"),MgAmenClave,0)),0)</f>
        <v/>
      </c>
    </row>
    <row r="859" hidden="1" ht="60" customHeight="1" s="54">
      <c r="B859" s="59" t="inlineStr">
        <is>
          <t>R-0854</t>
        </is>
      </c>
      <c r="C859" s="59" t="inlineStr">
        <is>
          <t>FIN-11</t>
        </is>
      </c>
      <c r="D859" s="64">
        <f>IFERROR(INDEX(MgNombre,MATCH($C859,MgActId,0)),"")</f>
        <v/>
      </c>
      <c r="E859" s="64">
        <f>IFERROR(INDEX(MgProceso,MATCH($C859,MgActId,0)),"")</f>
        <v/>
      </c>
      <c r="F859" s="64">
        <f>IFERROR(INDEX(MgTipo,MATCH($C859,MgActId,0)),"")</f>
        <v/>
      </c>
      <c r="G859" s="64">
        <f>IFERROR(INDEX(MgSubtipo,MATCH($C859,MgActId,0)),"")</f>
        <v/>
      </c>
      <c r="H859" s="59" t="inlineStr">
        <is>
          <t>A.18</t>
        </is>
      </c>
      <c r="I859" s="64">
        <f>IFERROR(INDEX(MgAmenNombre,MATCH(SUBSTITUTE($H859,"*","-"),MgAmenClave,0)),"")</f>
        <v/>
      </c>
      <c r="J859" s="28">
        <f>IFERROR(INDEX(MgAmenGrupo,MATCH(SUBSTITUTE($H859,"*","-"),MgAmenClave,0)),"")</f>
        <v/>
      </c>
      <c r="K859" s="64">
        <f>IFERROR(INDEX('1. Matriz de Activos'!$Q$6:$Q$239,MATCH($C859,MgActId,0)),"")</f>
        <v/>
      </c>
      <c r="L859" s="64">
        <f>IFERROR(INDEX('1. Matriz de Activos'!$R$6:$R$239,MATCH($C859,MgActId,0)),"")</f>
        <v/>
      </c>
      <c r="M859" s="64">
        <f>IFERROR(INDEX('1. Matriz de Activos'!$S$6:$S$239,MATCH($C859,MgActId,0)),"")</f>
        <v/>
      </c>
      <c r="N859" s="28">
        <f>IFERROR(INDEX(MgAmenDegD,MATCH(SUBSTITUTE($H859,"*","-"),MgAmenClave,0)),"No aplica")</f>
        <v/>
      </c>
      <c r="O859" s="28">
        <f>IFERROR(INDEX(MgAmenDegI,MATCH(SUBSTITUTE($H859,"*","-"),MgAmenClave,0)),"No aplica")</f>
        <v/>
      </c>
      <c r="P859" s="28">
        <f>IFERROR(INDEX(MgAmenDegC,MATCH(SUBSTITUTE($H859,"*","-"),MgAmenClave,0)),"No aplica")</f>
        <v/>
      </c>
      <c r="Q859" s="29">
        <f>IFERROR(VLOOKUP(K859,MgValor,2,0)*VLOOKUP(N859,MgDeg,2,0),0)</f>
        <v/>
      </c>
      <c r="R859" s="29">
        <f>IFERROR(VLOOKUP(L859,MgValor,2,0)*VLOOKUP(O859,MgDeg,2,0),0)</f>
        <v/>
      </c>
      <c r="S859" s="29">
        <f>IFERROR(VLOOKUP(M859,MgValor,2,0)*VLOOKUP(P859,MgDeg,2,0),0)</f>
        <v/>
      </c>
      <c r="T859" s="30">
        <f>MAX(Q859:S859)</f>
        <v/>
      </c>
      <c r="U859" s="28">
        <f>IFERROR(LOOKUP(T859,{0;0.5;1.5;3;4.5},{"Despreciable";"Bajo";"Medio";"Alto";"Muy alto"}),"")</f>
        <v/>
      </c>
      <c r="V859" s="13">
        <f>IFERROR(INDEX(MgAmenFrec,MATCH(SUBSTITUTE($H859,"*","-"),MgAmenClave,0)),"")</f>
        <v/>
      </c>
      <c r="W859" s="28">
        <f>IFERROR(LOOKUP(X859,{0;0.01;0.1;1;10;100},{"Muy baja";"Muy baja";"Baja";"Media";"Alta";"Muy alta"}),"")</f>
        <v/>
      </c>
      <c r="X859" s="31">
        <f>IFERROR(VLOOKUP(V859,MgFrec,2,0),0)</f>
        <v/>
      </c>
      <c r="Y859" s="30">
        <f>T859*X859</f>
        <v/>
      </c>
      <c r="Z859" s="28">
        <f>IFERROR(LOOKUP(Y859,{0;0.5;5;25},{"Bajo";"Medio";"Alto";"Crítico"}),"")</f>
        <v/>
      </c>
      <c r="AA859" s="64">
        <f>IF(T859&gt;=3,IF(X859&gt;=1,"Zona 1 — Crítica: impacto alto y ocurre al menos una vez al año","Zona 4 — Catastrófica poco probable: impacto alto pero excepcional"),IF(AND(T859&lt;1.5,X859&lt;1),"Zona 3 — Asumible: impacto bajo y muy poco frecuente","Zona 2 — Atención: riesgo intermedio"))</f>
        <v/>
      </c>
      <c r="AB859" s="64">
        <f>IFERROR(INDEX(MgAmenCtrl,MATCH(SUBSTITUTE($H859,"*","-"),MgAmenClave,0)),"")</f>
        <v/>
      </c>
      <c r="AC859" s="20" t="n"/>
      <c r="AD859" s="31">
        <f>IFERROR($X859*(1-IF($AC859="",$AL859,VLOOKUP($AC859,MgMad,2,0))),"")</f>
        <v/>
      </c>
      <c r="AE859" s="28">
        <f>IFERROR(LOOKUP(AD859,{0;0.01;0.1;1;10;100},{"Muy baja";"Muy baja";"Baja";"Media";"Alta";"Muy alta"}),"")</f>
        <v/>
      </c>
      <c r="AF859" s="30">
        <f>T859*AD859</f>
        <v/>
      </c>
      <c r="AG859" s="28">
        <f>IFERROR(LOOKUP(AF859,{0;0.5;5;25},{"Bajo";"Medio";"Alto";"Crítico"}),"")</f>
        <v/>
      </c>
      <c r="AH859" s="28">
        <f>IF(AG859="","",IF(OR(AG859="Crítico",AG859="Alto"),"Mitigar",IF(AG859="Medio","Mitigar","Aceptar y monitorear")))</f>
        <v/>
      </c>
      <c r="AI859" s="21" t="n"/>
      <c r="AJ859" s="21" t="n"/>
      <c r="AK859" s="20" t="n"/>
      <c r="AL859" s="77">
        <f>IFERROR(INDEX(MgAmenEfic,MATCH(SUBSTITUTE($H859,"*","-"),MgAmenClave,0)),0)</f>
        <v/>
      </c>
    </row>
    <row r="860" hidden="1" ht="120" customHeight="1" s="54">
      <c r="B860" s="59" t="inlineStr">
        <is>
          <t>R-0855</t>
        </is>
      </c>
      <c r="C860" s="59" t="inlineStr">
        <is>
          <t>FIN-11</t>
        </is>
      </c>
      <c r="D860" s="64">
        <f>IFERROR(INDEX(MgNombre,MATCH($C860,MgActId,0)),"")</f>
        <v/>
      </c>
      <c r="E860" s="64">
        <f>IFERROR(INDEX(MgProceso,MATCH($C860,MgActId,0)),"")</f>
        <v/>
      </c>
      <c r="F860" s="64">
        <f>IFERROR(INDEX(MgTipo,MATCH($C860,MgActId,0)),"")</f>
        <v/>
      </c>
      <c r="G860" s="64">
        <f>IFERROR(INDEX(MgSubtipo,MATCH($C860,MgActId,0)),"")</f>
        <v/>
      </c>
      <c r="H860" s="59" t="inlineStr">
        <is>
          <t>A.19</t>
        </is>
      </c>
      <c r="I860" s="64">
        <f>IFERROR(INDEX(MgAmenNombre,MATCH(SUBSTITUTE($H860,"*","-"),MgAmenClave,0)),"")</f>
        <v/>
      </c>
      <c r="J860" s="28">
        <f>IFERROR(INDEX(MgAmenGrupo,MATCH(SUBSTITUTE($H860,"*","-"),MgAmenClave,0)),"")</f>
        <v/>
      </c>
      <c r="K860" s="64">
        <f>IFERROR(INDEX('1. Matriz de Activos'!$Q$6:$Q$239,MATCH($C860,MgActId,0)),"")</f>
        <v/>
      </c>
      <c r="L860" s="64">
        <f>IFERROR(INDEX('1. Matriz de Activos'!$R$6:$R$239,MATCH($C860,MgActId,0)),"")</f>
        <v/>
      </c>
      <c r="M860" s="64">
        <f>IFERROR(INDEX('1. Matriz de Activos'!$S$6:$S$239,MATCH($C860,MgActId,0)),"")</f>
        <v/>
      </c>
      <c r="N860" s="28">
        <f>IFERROR(INDEX(MgAmenDegD,MATCH(SUBSTITUTE($H860,"*","-"),MgAmenClave,0)),"No aplica")</f>
        <v/>
      </c>
      <c r="O860" s="28">
        <f>IFERROR(INDEX(MgAmenDegI,MATCH(SUBSTITUTE($H860,"*","-"),MgAmenClave,0)),"No aplica")</f>
        <v/>
      </c>
      <c r="P860" s="28">
        <f>IFERROR(INDEX(MgAmenDegC,MATCH(SUBSTITUTE($H860,"*","-"),MgAmenClave,0)),"No aplica")</f>
        <v/>
      </c>
      <c r="Q860" s="29">
        <f>IFERROR(VLOOKUP(K860,MgValor,2,0)*VLOOKUP(N860,MgDeg,2,0),0)</f>
        <v/>
      </c>
      <c r="R860" s="29">
        <f>IFERROR(VLOOKUP(L860,MgValor,2,0)*VLOOKUP(O860,MgDeg,2,0),0)</f>
        <v/>
      </c>
      <c r="S860" s="29">
        <f>IFERROR(VLOOKUP(M860,MgValor,2,0)*VLOOKUP(P860,MgDeg,2,0),0)</f>
        <v/>
      </c>
      <c r="T860" s="30">
        <f>MAX(Q860:S860)</f>
        <v/>
      </c>
      <c r="U860" s="28">
        <f>IFERROR(LOOKUP(T860,{0;0.5;1.5;3;4.5},{"Despreciable";"Bajo";"Medio";"Alto";"Muy alto"}),"")</f>
        <v/>
      </c>
      <c r="V860" s="13">
        <f>IFERROR(INDEX(MgAmenFrec,MATCH(SUBSTITUTE($H860,"*","-"),MgAmenClave,0)),"")</f>
        <v/>
      </c>
      <c r="W860" s="28">
        <f>IFERROR(LOOKUP(X860,{0;0.01;0.1;1;10;100},{"Muy baja";"Muy baja";"Baja";"Media";"Alta";"Muy alta"}),"")</f>
        <v/>
      </c>
      <c r="X860" s="31">
        <f>IFERROR(VLOOKUP(V860,MgFrec,2,0),0)</f>
        <v/>
      </c>
      <c r="Y860" s="30">
        <f>T860*X860</f>
        <v/>
      </c>
      <c r="Z860" s="28">
        <f>IFERROR(LOOKUP(Y860,{0;0.5;5;25},{"Bajo";"Medio";"Alto";"Crítico"}),"")</f>
        <v/>
      </c>
      <c r="AA860" s="64">
        <f>IF(T860&gt;=3,IF(X860&gt;=1,"Zona 1 — Crítica: impacto alto y ocurre al menos una vez al año","Zona 4 — Catastrófica poco probable: impacto alto pero excepcional"),IF(AND(T860&lt;1.5,X860&lt;1),"Zona 3 — Asumible: impacto bajo y muy poco frecuente","Zona 2 — Atención: riesgo intermedio"))</f>
        <v/>
      </c>
      <c r="AB860" s="64">
        <f>IFERROR(INDEX(MgAmenCtrl,MATCH(SUBSTITUTE($H860,"*","-"),MgAmenClave,0)),"")</f>
        <v/>
      </c>
      <c r="AC860" s="20" t="n"/>
      <c r="AD860" s="31">
        <f>IFERROR($X860*(1-IF($AC860="",$AL860,VLOOKUP($AC860,MgMad,2,0))),"")</f>
        <v/>
      </c>
      <c r="AE860" s="28">
        <f>IFERROR(LOOKUP(AD860,{0;0.01;0.1;1;10;100},{"Muy baja";"Muy baja";"Baja";"Media";"Alta";"Muy alta"}),"")</f>
        <v/>
      </c>
      <c r="AF860" s="30">
        <f>T860*AD860</f>
        <v/>
      </c>
      <c r="AG860" s="28">
        <f>IFERROR(LOOKUP(AF860,{0;0.5;5;25},{"Bajo";"Medio";"Alto";"Crítico"}),"")</f>
        <v/>
      </c>
      <c r="AH860" s="28">
        <f>IF(AG860="","",IF(OR(AG860="Crítico",AG860="Alto"),"Mitigar",IF(AG860="Medio","Mitigar","Aceptar y monitorear")))</f>
        <v/>
      </c>
      <c r="AI860" s="21" t="n"/>
      <c r="AJ860" s="21" t="n"/>
      <c r="AK860" s="20" t="n"/>
      <c r="AL860" s="77">
        <f>IFERROR(INDEX(MgAmenEfic,MATCH(SUBSTITUTE($H860,"*","-"),MgAmenClave,0)),0)</f>
        <v/>
      </c>
    </row>
    <row r="861" ht="105" customHeight="1" s="54">
      <c r="B861" s="59" t="inlineStr">
        <is>
          <t>R-0856</t>
        </is>
      </c>
      <c r="C861" s="59" t="inlineStr">
        <is>
          <t>COM-04</t>
        </is>
      </c>
      <c r="D861" s="64">
        <f>IFERROR(INDEX(MgNombre,MATCH($C861,MgActId,0)),"")</f>
        <v/>
      </c>
      <c r="E861" s="64">
        <f>IFERROR(INDEX(MgProceso,MATCH($C861,MgActId,0)),"")</f>
        <v/>
      </c>
      <c r="F861" s="64">
        <f>IFERROR(INDEX(MgTipo,MATCH($C861,MgActId,0)),"")</f>
        <v/>
      </c>
      <c r="G861" s="64">
        <f>IFERROR(INDEX(MgSubtipo,MATCH($C861,MgActId,0)),"")</f>
        <v/>
      </c>
      <c r="H861" s="59" t="inlineStr">
        <is>
          <t>E.1</t>
        </is>
      </c>
      <c r="I861" s="64">
        <f>IFERROR(INDEX(MgAmenNombre,MATCH(SUBSTITUTE($H861,"*","-"),MgAmenClave,0)),"")</f>
        <v/>
      </c>
      <c r="J861" s="28">
        <f>IFERROR(INDEX(MgAmenGrupo,MATCH(SUBSTITUTE($H861,"*","-"),MgAmenClave,0)),"")</f>
        <v/>
      </c>
      <c r="K861" s="64">
        <f>IFERROR(INDEX('1. Matriz de Activos'!$Q$6:$Q$239,MATCH($C861,MgActId,0)),"")</f>
        <v/>
      </c>
      <c r="L861" s="64">
        <f>IFERROR(INDEX('1. Matriz de Activos'!$R$6:$R$239,MATCH($C861,MgActId,0)),"")</f>
        <v/>
      </c>
      <c r="M861" s="64">
        <f>IFERROR(INDEX('1. Matriz de Activos'!$S$6:$S$239,MATCH($C861,MgActId,0)),"")</f>
        <v/>
      </c>
      <c r="N861" s="28">
        <f>IFERROR(INDEX(MgAmenDegD,MATCH(SUBSTITUTE($H861,"*","-"),MgAmenClave,0)),"No aplica")</f>
        <v/>
      </c>
      <c r="O861" s="28">
        <f>IFERROR(INDEX(MgAmenDegI,MATCH(SUBSTITUTE($H861,"*","-"),MgAmenClave,0)),"No aplica")</f>
        <v/>
      </c>
      <c r="P861" s="28">
        <f>IFERROR(INDEX(MgAmenDegC,MATCH(SUBSTITUTE($H861,"*","-"),MgAmenClave,0)),"No aplica")</f>
        <v/>
      </c>
      <c r="Q861" s="29">
        <f>IFERROR(VLOOKUP(K861,MgValor,2,0)*VLOOKUP(N861,MgDeg,2,0),0)</f>
        <v/>
      </c>
      <c r="R861" s="29">
        <f>IFERROR(VLOOKUP(L861,MgValor,2,0)*VLOOKUP(O861,MgDeg,2,0),0)</f>
        <v/>
      </c>
      <c r="S861" s="29">
        <f>IFERROR(VLOOKUP(M861,MgValor,2,0)*VLOOKUP(P861,MgDeg,2,0),0)</f>
        <v/>
      </c>
      <c r="T861" s="30">
        <f>MAX(Q861:S861)</f>
        <v/>
      </c>
      <c r="U861" s="28">
        <f>IFERROR(LOOKUP(T861,{0;0.5;1.5;3;4.5},{"Despreciable";"Bajo";"Medio";"Alto";"Muy alto"}),"")</f>
        <v/>
      </c>
      <c r="V861" s="13">
        <f>IFERROR(INDEX(MgAmenFrec,MATCH(SUBSTITUTE($H861,"*","-"),MgAmenClave,0)),"")</f>
        <v/>
      </c>
      <c r="W861" s="28">
        <f>IFERROR(LOOKUP(X861,{0;0.01;0.1;1;10;100},{"Muy baja";"Muy baja";"Baja";"Media";"Alta";"Muy alta"}),"")</f>
        <v/>
      </c>
      <c r="X861" s="31">
        <f>IFERROR(VLOOKUP(V861,MgFrec,2,0),0)</f>
        <v/>
      </c>
      <c r="Y861" s="30">
        <f>T861*X861</f>
        <v/>
      </c>
      <c r="Z861" s="28">
        <f>IFERROR(LOOKUP(Y861,{0;0.5;5;25},{"Bajo";"Medio";"Alto";"Crítico"}),"")</f>
        <v/>
      </c>
      <c r="AA861" s="64">
        <f>IF(T861&gt;=3,IF(X861&gt;=1,"Zona 1 — Crítica: impacto alto y ocurre al menos una vez al año","Zona 4 — Catastrófica poco probable: impacto alto pero excepcional"),IF(AND(T861&lt;1.5,X861&lt;1),"Zona 3 — Asumible: impacto bajo y muy poco frecuente","Zona 2 — Atención: riesgo intermedio"))</f>
        <v/>
      </c>
      <c r="AB861" s="64">
        <f>IFERROR(INDEX(MgAmenCtrl,MATCH(SUBSTITUTE($H861,"*","-"),MgAmenClave,0)),"")</f>
        <v/>
      </c>
      <c r="AC861" s="20" t="n"/>
      <c r="AD861" s="31">
        <f>IFERROR($X861*(1-IF($AC861="",$AL861,VLOOKUP($AC861,MgMad,2,0))),"")</f>
        <v/>
      </c>
      <c r="AE861" s="28">
        <f>IFERROR(LOOKUP(AD861,{0;0.01;0.1;1;10;100},{"Muy baja";"Muy baja";"Baja";"Media";"Alta";"Muy alta"}),"")</f>
        <v/>
      </c>
      <c r="AF861" s="30">
        <f>T861*AD861</f>
        <v/>
      </c>
      <c r="AG861" s="28">
        <f>IFERROR(LOOKUP(AF861,{0;0.5;5;25},{"Bajo";"Medio";"Alto";"Crítico"}),"")</f>
        <v/>
      </c>
      <c r="AH861" s="28">
        <f>IF(AG861="","",IF(OR(AG861="Crítico",AG861="Alto"),"Mitigar",IF(AG861="Medio","Mitigar","Aceptar y monitorear")))</f>
        <v/>
      </c>
      <c r="AI861" s="21" t="n"/>
      <c r="AJ861" s="21" t="n"/>
      <c r="AK861" s="20" t="n"/>
      <c r="AL861" s="77">
        <f>IFERROR(INDEX(MgAmenEfic,MATCH(SUBSTITUTE($H861,"*","-"),MgAmenClave,0)),0)</f>
        <v/>
      </c>
    </row>
    <row r="862" ht="120" customHeight="1" s="54">
      <c r="B862" s="59" t="inlineStr">
        <is>
          <t>R-0857</t>
        </is>
      </c>
      <c r="C862" s="59" t="inlineStr">
        <is>
          <t>COM-04</t>
        </is>
      </c>
      <c r="D862" s="64">
        <f>IFERROR(INDEX(MgNombre,MATCH($C862,MgActId,0)),"")</f>
        <v/>
      </c>
      <c r="E862" s="64">
        <f>IFERROR(INDEX(MgProceso,MATCH($C862,MgActId,0)),"")</f>
        <v/>
      </c>
      <c r="F862" s="64">
        <f>IFERROR(INDEX(MgTipo,MATCH($C862,MgActId,0)),"")</f>
        <v/>
      </c>
      <c r="G862" s="64">
        <f>IFERROR(INDEX(MgSubtipo,MATCH($C862,MgActId,0)),"")</f>
        <v/>
      </c>
      <c r="H862" s="59" t="inlineStr">
        <is>
          <t>E.2</t>
        </is>
      </c>
      <c r="I862" s="64">
        <f>IFERROR(INDEX(MgAmenNombre,MATCH(SUBSTITUTE($H862,"*","-"),MgAmenClave,0)),"")</f>
        <v/>
      </c>
      <c r="J862" s="28">
        <f>IFERROR(INDEX(MgAmenGrupo,MATCH(SUBSTITUTE($H862,"*","-"),MgAmenClave,0)),"")</f>
        <v/>
      </c>
      <c r="K862" s="64">
        <f>IFERROR(INDEX('1. Matriz de Activos'!$Q$6:$Q$239,MATCH($C862,MgActId,0)),"")</f>
        <v/>
      </c>
      <c r="L862" s="64">
        <f>IFERROR(INDEX('1. Matriz de Activos'!$R$6:$R$239,MATCH($C862,MgActId,0)),"")</f>
        <v/>
      </c>
      <c r="M862" s="64">
        <f>IFERROR(INDEX('1. Matriz de Activos'!$S$6:$S$239,MATCH($C862,MgActId,0)),"")</f>
        <v/>
      </c>
      <c r="N862" s="28">
        <f>IFERROR(INDEX(MgAmenDegD,MATCH(SUBSTITUTE($H862,"*","-"),MgAmenClave,0)),"No aplica")</f>
        <v/>
      </c>
      <c r="O862" s="28">
        <f>IFERROR(INDEX(MgAmenDegI,MATCH(SUBSTITUTE($H862,"*","-"),MgAmenClave,0)),"No aplica")</f>
        <v/>
      </c>
      <c r="P862" s="28">
        <f>IFERROR(INDEX(MgAmenDegC,MATCH(SUBSTITUTE($H862,"*","-"),MgAmenClave,0)),"No aplica")</f>
        <v/>
      </c>
      <c r="Q862" s="29">
        <f>IFERROR(VLOOKUP(K862,MgValor,2,0)*VLOOKUP(N862,MgDeg,2,0),0)</f>
        <v/>
      </c>
      <c r="R862" s="29">
        <f>IFERROR(VLOOKUP(L862,MgValor,2,0)*VLOOKUP(O862,MgDeg,2,0),0)</f>
        <v/>
      </c>
      <c r="S862" s="29">
        <f>IFERROR(VLOOKUP(M862,MgValor,2,0)*VLOOKUP(P862,MgDeg,2,0),0)</f>
        <v/>
      </c>
      <c r="T862" s="30">
        <f>MAX(Q862:S862)</f>
        <v/>
      </c>
      <c r="U862" s="28">
        <f>IFERROR(LOOKUP(T862,{0;0.5;1.5;3;4.5},{"Despreciable";"Bajo";"Medio";"Alto";"Muy alto"}),"")</f>
        <v/>
      </c>
      <c r="V862" s="13">
        <f>IFERROR(INDEX(MgAmenFrec,MATCH(SUBSTITUTE($H862,"*","-"),MgAmenClave,0)),"")</f>
        <v/>
      </c>
      <c r="W862" s="28">
        <f>IFERROR(LOOKUP(X862,{0;0.01;0.1;1;10;100},{"Muy baja";"Muy baja";"Baja";"Media";"Alta";"Muy alta"}),"")</f>
        <v/>
      </c>
      <c r="X862" s="31">
        <f>IFERROR(VLOOKUP(V862,MgFrec,2,0),0)</f>
        <v/>
      </c>
      <c r="Y862" s="30">
        <f>T862*X862</f>
        <v/>
      </c>
      <c r="Z862" s="28">
        <f>IFERROR(LOOKUP(Y862,{0;0.5;5;25},{"Bajo";"Medio";"Alto";"Crítico"}),"")</f>
        <v/>
      </c>
      <c r="AA862" s="64">
        <f>IF(T862&gt;=3,IF(X862&gt;=1,"Zona 1 — Crítica: impacto alto y ocurre al menos una vez al año","Zona 4 — Catastrófica poco probable: impacto alto pero excepcional"),IF(AND(T862&lt;1.5,X862&lt;1),"Zona 3 — Asumible: impacto bajo y muy poco frecuente","Zona 2 — Atención: riesgo intermedio"))</f>
        <v/>
      </c>
      <c r="AB862" s="64">
        <f>IFERROR(INDEX(MgAmenCtrl,MATCH(SUBSTITUTE($H862,"*","-"),MgAmenClave,0)),"")</f>
        <v/>
      </c>
      <c r="AC862" s="20" t="n"/>
      <c r="AD862" s="31">
        <f>IFERROR($X862*(1-IF($AC862="",$AL862,VLOOKUP($AC862,MgMad,2,0))),"")</f>
        <v/>
      </c>
      <c r="AE862" s="28">
        <f>IFERROR(LOOKUP(AD862,{0;0.01;0.1;1;10;100},{"Muy baja";"Muy baja";"Baja";"Media";"Alta";"Muy alta"}),"")</f>
        <v/>
      </c>
      <c r="AF862" s="30">
        <f>T862*AD862</f>
        <v/>
      </c>
      <c r="AG862" s="28">
        <f>IFERROR(LOOKUP(AF862,{0;0.5;5;25},{"Bajo";"Medio";"Alto";"Crítico"}),"")</f>
        <v/>
      </c>
      <c r="AH862" s="28">
        <f>IF(AG862="","",IF(OR(AG862="Crítico",AG862="Alto"),"Mitigar",IF(AG862="Medio","Mitigar","Aceptar y monitorear")))</f>
        <v/>
      </c>
      <c r="AI862" s="21" t="n"/>
      <c r="AJ862" s="21" t="n"/>
      <c r="AK862" s="20" t="n"/>
      <c r="AL862" s="77">
        <f>IFERROR(INDEX(MgAmenEfic,MATCH(SUBSTITUTE($H862,"*","-"),MgAmenClave,0)),0)</f>
        <v/>
      </c>
    </row>
    <row r="863" ht="75" customHeight="1" s="54">
      <c r="B863" s="59" t="inlineStr">
        <is>
          <t>R-0858</t>
        </is>
      </c>
      <c r="C863" s="59" t="inlineStr">
        <is>
          <t>COM-04</t>
        </is>
      </c>
      <c r="D863" s="64">
        <f>IFERROR(INDEX(MgNombre,MATCH($C863,MgActId,0)),"")</f>
        <v/>
      </c>
      <c r="E863" s="64">
        <f>IFERROR(INDEX(MgProceso,MATCH($C863,MgActId,0)),"")</f>
        <v/>
      </c>
      <c r="F863" s="64">
        <f>IFERROR(INDEX(MgTipo,MATCH($C863,MgActId,0)),"")</f>
        <v/>
      </c>
      <c r="G863" s="64">
        <f>IFERROR(INDEX(MgSubtipo,MATCH($C863,MgActId,0)),"")</f>
        <v/>
      </c>
      <c r="H863" s="59" t="inlineStr">
        <is>
          <t>E.3</t>
        </is>
      </c>
      <c r="I863" s="64">
        <f>IFERROR(INDEX(MgAmenNombre,MATCH(SUBSTITUTE($H863,"*","-"),MgAmenClave,0)),"")</f>
        <v/>
      </c>
      <c r="J863" s="28">
        <f>IFERROR(INDEX(MgAmenGrupo,MATCH(SUBSTITUTE($H863,"*","-"),MgAmenClave,0)),"")</f>
        <v/>
      </c>
      <c r="K863" s="64">
        <f>IFERROR(INDEX('1. Matriz de Activos'!$Q$6:$Q$239,MATCH($C863,MgActId,0)),"")</f>
        <v/>
      </c>
      <c r="L863" s="64">
        <f>IFERROR(INDEX('1. Matriz de Activos'!$R$6:$R$239,MATCH($C863,MgActId,0)),"")</f>
        <v/>
      </c>
      <c r="M863" s="64">
        <f>IFERROR(INDEX('1. Matriz de Activos'!$S$6:$S$239,MATCH($C863,MgActId,0)),"")</f>
        <v/>
      </c>
      <c r="N863" s="28">
        <f>IFERROR(INDEX(MgAmenDegD,MATCH(SUBSTITUTE($H863,"*","-"),MgAmenClave,0)),"No aplica")</f>
        <v/>
      </c>
      <c r="O863" s="28">
        <f>IFERROR(INDEX(MgAmenDegI,MATCH(SUBSTITUTE($H863,"*","-"),MgAmenClave,0)),"No aplica")</f>
        <v/>
      </c>
      <c r="P863" s="28">
        <f>IFERROR(INDEX(MgAmenDegC,MATCH(SUBSTITUTE($H863,"*","-"),MgAmenClave,0)),"No aplica")</f>
        <v/>
      </c>
      <c r="Q863" s="29">
        <f>IFERROR(VLOOKUP(K863,MgValor,2,0)*VLOOKUP(N863,MgDeg,2,0),0)</f>
        <v/>
      </c>
      <c r="R863" s="29">
        <f>IFERROR(VLOOKUP(L863,MgValor,2,0)*VLOOKUP(O863,MgDeg,2,0),0)</f>
        <v/>
      </c>
      <c r="S863" s="29">
        <f>IFERROR(VLOOKUP(M863,MgValor,2,0)*VLOOKUP(P863,MgDeg,2,0),0)</f>
        <v/>
      </c>
      <c r="T863" s="30">
        <f>MAX(Q863:S863)</f>
        <v/>
      </c>
      <c r="U863" s="28">
        <f>IFERROR(LOOKUP(T863,{0;0.5;1.5;3;4.5},{"Despreciable";"Bajo";"Medio";"Alto";"Muy alto"}),"")</f>
        <v/>
      </c>
      <c r="V863" s="13">
        <f>IFERROR(INDEX(MgAmenFrec,MATCH(SUBSTITUTE($H863,"*","-"),MgAmenClave,0)),"")</f>
        <v/>
      </c>
      <c r="W863" s="28">
        <f>IFERROR(LOOKUP(X863,{0;0.01;0.1;1;10;100},{"Muy baja";"Muy baja";"Baja";"Media";"Alta";"Muy alta"}),"")</f>
        <v/>
      </c>
      <c r="X863" s="31">
        <f>IFERROR(VLOOKUP(V863,MgFrec,2,0),0)</f>
        <v/>
      </c>
      <c r="Y863" s="30">
        <f>T863*X863</f>
        <v/>
      </c>
      <c r="Z863" s="28">
        <f>IFERROR(LOOKUP(Y863,{0;0.5;5;25},{"Bajo";"Medio";"Alto";"Crítico"}),"")</f>
        <v/>
      </c>
      <c r="AA863" s="64">
        <f>IF(T863&gt;=3,IF(X863&gt;=1,"Zona 1 — Crítica: impacto alto y ocurre al menos una vez al año","Zona 4 — Catastrófica poco probable: impacto alto pero excepcional"),IF(AND(T863&lt;1.5,X863&lt;1),"Zona 3 — Asumible: impacto bajo y muy poco frecuente","Zona 2 — Atención: riesgo intermedio"))</f>
        <v/>
      </c>
      <c r="AB863" s="64">
        <f>IFERROR(INDEX(MgAmenCtrl,MATCH(SUBSTITUTE($H863,"*","-"),MgAmenClave,0)),"")</f>
        <v/>
      </c>
      <c r="AC863" s="20" t="n"/>
      <c r="AD863" s="31">
        <f>IFERROR($X863*(1-IF($AC863="",$AL863,VLOOKUP($AC863,MgMad,2,0))),"")</f>
        <v/>
      </c>
      <c r="AE863" s="28">
        <f>IFERROR(LOOKUP(AD863,{0;0.01;0.1;1;10;100},{"Muy baja";"Muy baja";"Baja";"Media";"Alta";"Muy alta"}),"")</f>
        <v/>
      </c>
      <c r="AF863" s="30">
        <f>T863*AD863</f>
        <v/>
      </c>
      <c r="AG863" s="28">
        <f>IFERROR(LOOKUP(AF863,{0;0.5;5;25},{"Bajo";"Medio";"Alto";"Crítico"}),"")</f>
        <v/>
      </c>
      <c r="AH863" s="28">
        <f>IF(AG863="","",IF(OR(AG863="Crítico",AG863="Alto"),"Mitigar",IF(AG863="Medio","Mitigar","Aceptar y monitorear")))</f>
        <v/>
      </c>
      <c r="AI863" s="21" t="n"/>
      <c r="AJ863" s="21" t="n"/>
      <c r="AK863" s="20" t="n"/>
      <c r="AL863" s="77">
        <f>IFERROR(INDEX(MgAmenEfic,MATCH(SUBSTITUTE($H863,"*","-"),MgAmenClave,0)),0)</f>
        <v/>
      </c>
    </row>
    <row r="864" ht="75" customHeight="1" s="54">
      <c r="B864" s="59" t="inlineStr">
        <is>
          <t>R-0859</t>
        </is>
      </c>
      <c r="C864" s="59" t="inlineStr">
        <is>
          <t>COM-04</t>
        </is>
      </c>
      <c r="D864" s="64">
        <f>IFERROR(INDEX(MgNombre,MATCH($C864,MgActId,0)),"")</f>
        <v/>
      </c>
      <c r="E864" s="64">
        <f>IFERROR(INDEX(MgProceso,MATCH($C864,MgActId,0)),"")</f>
        <v/>
      </c>
      <c r="F864" s="64">
        <f>IFERROR(INDEX(MgTipo,MATCH($C864,MgActId,0)),"")</f>
        <v/>
      </c>
      <c r="G864" s="64">
        <f>IFERROR(INDEX(MgSubtipo,MATCH($C864,MgActId,0)),"")</f>
        <v/>
      </c>
      <c r="H864" s="59" t="inlineStr">
        <is>
          <t>E.4</t>
        </is>
      </c>
      <c r="I864" s="64">
        <f>IFERROR(INDEX(MgAmenNombre,MATCH(SUBSTITUTE($H864,"*","-"),MgAmenClave,0)),"")</f>
        <v/>
      </c>
      <c r="J864" s="28">
        <f>IFERROR(INDEX(MgAmenGrupo,MATCH(SUBSTITUTE($H864,"*","-"),MgAmenClave,0)),"")</f>
        <v/>
      </c>
      <c r="K864" s="64">
        <f>IFERROR(INDEX('1. Matriz de Activos'!$Q$6:$Q$239,MATCH($C864,MgActId,0)),"")</f>
        <v/>
      </c>
      <c r="L864" s="64">
        <f>IFERROR(INDEX('1. Matriz de Activos'!$R$6:$R$239,MATCH($C864,MgActId,0)),"")</f>
        <v/>
      </c>
      <c r="M864" s="64">
        <f>IFERROR(INDEX('1. Matriz de Activos'!$S$6:$S$239,MATCH($C864,MgActId,0)),"")</f>
        <v/>
      </c>
      <c r="N864" s="28">
        <f>IFERROR(INDEX(MgAmenDegD,MATCH(SUBSTITUTE($H864,"*","-"),MgAmenClave,0)),"No aplica")</f>
        <v/>
      </c>
      <c r="O864" s="28">
        <f>IFERROR(INDEX(MgAmenDegI,MATCH(SUBSTITUTE($H864,"*","-"),MgAmenClave,0)),"No aplica")</f>
        <v/>
      </c>
      <c r="P864" s="28">
        <f>IFERROR(INDEX(MgAmenDegC,MATCH(SUBSTITUTE($H864,"*","-"),MgAmenClave,0)),"No aplica")</f>
        <v/>
      </c>
      <c r="Q864" s="29">
        <f>IFERROR(VLOOKUP(K864,MgValor,2,0)*VLOOKUP(N864,MgDeg,2,0),0)</f>
        <v/>
      </c>
      <c r="R864" s="29">
        <f>IFERROR(VLOOKUP(L864,MgValor,2,0)*VLOOKUP(O864,MgDeg,2,0),0)</f>
        <v/>
      </c>
      <c r="S864" s="29">
        <f>IFERROR(VLOOKUP(M864,MgValor,2,0)*VLOOKUP(P864,MgDeg,2,0),0)</f>
        <v/>
      </c>
      <c r="T864" s="30">
        <f>MAX(Q864:S864)</f>
        <v/>
      </c>
      <c r="U864" s="28">
        <f>IFERROR(LOOKUP(T864,{0;0.5;1.5;3;4.5},{"Despreciable";"Bajo";"Medio";"Alto";"Muy alto"}),"")</f>
        <v/>
      </c>
      <c r="V864" s="13">
        <f>IFERROR(INDEX(MgAmenFrec,MATCH(SUBSTITUTE($H864,"*","-"),MgAmenClave,0)),"")</f>
        <v/>
      </c>
      <c r="W864" s="28">
        <f>IFERROR(LOOKUP(X864,{0;0.01;0.1;1;10;100},{"Muy baja";"Muy baja";"Baja";"Media";"Alta";"Muy alta"}),"")</f>
        <v/>
      </c>
      <c r="X864" s="31">
        <f>IFERROR(VLOOKUP(V864,MgFrec,2,0),0)</f>
        <v/>
      </c>
      <c r="Y864" s="30">
        <f>T864*X864</f>
        <v/>
      </c>
      <c r="Z864" s="28">
        <f>IFERROR(LOOKUP(Y864,{0;0.5;5;25},{"Bajo";"Medio";"Alto";"Crítico"}),"")</f>
        <v/>
      </c>
      <c r="AA864" s="64">
        <f>IF(T864&gt;=3,IF(X864&gt;=1,"Zona 1 — Crítica: impacto alto y ocurre al menos una vez al año","Zona 4 — Catastrófica poco probable: impacto alto pero excepcional"),IF(AND(T864&lt;1.5,X864&lt;1),"Zona 3 — Asumible: impacto bajo y muy poco frecuente","Zona 2 — Atención: riesgo intermedio"))</f>
        <v/>
      </c>
      <c r="AB864" s="64">
        <f>IFERROR(INDEX(MgAmenCtrl,MATCH(SUBSTITUTE($H864,"*","-"),MgAmenClave,0)),"")</f>
        <v/>
      </c>
      <c r="AC864" s="20" t="n"/>
      <c r="AD864" s="31">
        <f>IFERROR($X864*(1-IF($AC864="",$AL864,VLOOKUP($AC864,MgMad,2,0))),"")</f>
        <v/>
      </c>
      <c r="AE864" s="28">
        <f>IFERROR(LOOKUP(AD864,{0;0.01;0.1;1;10;100},{"Muy baja";"Muy baja";"Baja";"Media";"Alta";"Muy alta"}),"")</f>
        <v/>
      </c>
      <c r="AF864" s="30">
        <f>T864*AD864</f>
        <v/>
      </c>
      <c r="AG864" s="28">
        <f>IFERROR(LOOKUP(AF864,{0;0.5;5;25},{"Bajo";"Medio";"Alto";"Crítico"}),"")</f>
        <v/>
      </c>
      <c r="AH864" s="28">
        <f>IF(AG864="","",IF(OR(AG864="Crítico",AG864="Alto"),"Mitigar",IF(AG864="Medio","Mitigar","Aceptar y monitorear")))</f>
        <v/>
      </c>
      <c r="AI864" s="21" t="n"/>
      <c r="AJ864" s="21" t="n"/>
      <c r="AK864" s="20" t="n"/>
      <c r="AL864" s="77">
        <f>IFERROR(INDEX(MgAmenEfic,MATCH(SUBSTITUTE($H864,"*","-"),MgAmenClave,0)),0)</f>
        <v/>
      </c>
    </row>
    <row r="865" ht="90" customHeight="1" s="54">
      <c r="B865" s="59" t="inlineStr">
        <is>
          <t>R-0860</t>
        </is>
      </c>
      <c r="C865" s="59" t="inlineStr">
        <is>
          <t>COM-04</t>
        </is>
      </c>
      <c r="D865" s="64">
        <f>IFERROR(INDEX(MgNombre,MATCH($C865,MgActId,0)),"")</f>
        <v/>
      </c>
      <c r="E865" s="64">
        <f>IFERROR(INDEX(MgProceso,MATCH($C865,MgActId,0)),"")</f>
        <v/>
      </c>
      <c r="F865" s="64">
        <f>IFERROR(INDEX(MgTipo,MATCH($C865,MgActId,0)),"")</f>
        <v/>
      </c>
      <c r="G865" s="64">
        <f>IFERROR(INDEX(MgSubtipo,MATCH($C865,MgActId,0)),"")</f>
        <v/>
      </c>
      <c r="H865" s="59" t="inlineStr">
        <is>
          <t>E.14</t>
        </is>
      </c>
      <c r="I865" s="64">
        <f>IFERROR(INDEX(MgAmenNombre,MATCH(SUBSTITUTE($H865,"*","-"),MgAmenClave,0)),"")</f>
        <v/>
      </c>
      <c r="J865" s="28">
        <f>IFERROR(INDEX(MgAmenGrupo,MATCH(SUBSTITUTE($H865,"*","-"),MgAmenClave,0)),"")</f>
        <v/>
      </c>
      <c r="K865" s="64">
        <f>IFERROR(INDEX('1. Matriz de Activos'!$Q$6:$Q$239,MATCH($C865,MgActId,0)),"")</f>
        <v/>
      </c>
      <c r="L865" s="64">
        <f>IFERROR(INDEX('1. Matriz de Activos'!$R$6:$R$239,MATCH($C865,MgActId,0)),"")</f>
        <v/>
      </c>
      <c r="M865" s="64">
        <f>IFERROR(INDEX('1. Matriz de Activos'!$S$6:$S$239,MATCH($C865,MgActId,0)),"")</f>
        <v/>
      </c>
      <c r="N865" s="28">
        <f>IFERROR(INDEX(MgAmenDegD,MATCH(SUBSTITUTE($H865,"*","-"),MgAmenClave,0)),"No aplica")</f>
        <v/>
      </c>
      <c r="O865" s="28">
        <f>IFERROR(INDEX(MgAmenDegI,MATCH(SUBSTITUTE($H865,"*","-"),MgAmenClave,0)),"No aplica")</f>
        <v/>
      </c>
      <c r="P865" s="28">
        <f>IFERROR(INDEX(MgAmenDegC,MATCH(SUBSTITUTE($H865,"*","-"),MgAmenClave,0)),"No aplica")</f>
        <v/>
      </c>
      <c r="Q865" s="29">
        <f>IFERROR(VLOOKUP(K865,MgValor,2,0)*VLOOKUP(N865,MgDeg,2,0),0)</f>
        <v/>
      </c>
      <c r="R865" s="29">
        <f>IFERROR(VLOOKUP(L865,MgValor,2,0)*VLOOKUP(O865,MgDeg,2,0),0)</f>
        <v/>
      </c>
      <c r="S865" s="29">
        <f>IFERROR(VLOOKUP(M865,MgValor,2,0)*VLOOKUP(P865,MgDeg,2,0),0)</f>
        <v/>
      </c>
      <c r="T865" s="30">
        <f>MAX(Q865:S865)</f>
        <v/>
      </c>
      <c r="U865" s="28">
        <f>IFERROR(LOOKUP(T865,{0;0.5;1.5;3;4.5},{"Despreciable";"Bajo";"Medio";"Alto";"Muy alto"}),"")</f>
        <v/>
      </c>
      <c r="V865" s="13">
        <f>IFERROR(INDEX(MgAmenFrec,MATCH(SUBSTITUTE($H865,"*","-"),MgAmenClave,0)),"")</f>
        <v/>
      </c>
      <c r="W865" s="28">
        <f>IFERROR(LOOKUP(X865,{0;0.01;0.1;1;10;100},{"Muy baja";"Muy baja";"Baja";"Media";"Alta";"Muy alta"}),"")</f>
        <v/>
      </c>
      <c r="X865" s="31">
        <f>IFERROR(VLOOKUP(V865,MgFrec,2,0),0)</f>
        <v/>
      </c>
      <c r="Y865" s="30">
        <f>T865*X865</f>
        <v/>
      </c>
      <c r="Z865" s="28">
        <f>IFERROR(LOOKUP(Y865,{0;0.5;5;25},{"Bajo";"Medio";"Alto";"Crítico"}),"")</f>
        <v/>
      </c>
      <c r="AA865" s="64">
        <f>IF(T865&gt;=3,IF(X865&gt;=1,"Zona 1 — Crítica: impacto alto y ocurre al menos una vez al año","Zona 4 — Catastrófica poco probable: impacto alto pero excepcional"),IF(AND(T865&lt;1.5,X865&lt;1),"Zona 3 — Asumible: impacto bajo y muy poco frecuente","Zona 2 — Atención: riesgo intermedio"))</f>
        <v/>
      </c>
      <c r="AB865" s="64">
        <f>IFERROR(INDEX(MgAmenCtrl,MATCH(SUBSTITUTE($H865,"*","-"),MgAmenClave,0)),"")</f>
        <v/>
      </c>
      <c r="AC865" s="20" t="n"/>
      <c r="AD865" s="31">
        <f>IFERROR($X865*(1-IF($AC865="",$AL865,VLOOKUP($AC865,MgMad,2,0))),"")</f>
        <v/>
      </c>
      <c r="AE865" s="28">
        <f>IFERROR(LOOKUP(AD865,{0;0.01;0.1;1;10;100},{"Muy baja";"Muy baja";"Baja";"Media";"Alta";"Muy alta"}),"")</f>
        <v/>
      </c>
      <c r="AF865" s="30">
        <f>T865*AD865</f>
        <v/>
      </c>
      <c r="AG865" s="28">
        <f>IFERROR(LOOKUP(AF865,{0;0.5;5;25},{"Bajo";"Medio";"Alto";"Crítico"}),"")</f>
        <v/>
      </c>
      <c r="AH865" s="28">
        <f>IF(AG865="","",IF(OR(AG865="Crítico",AG865="Alto"),"Mitigar",IF(AG865="Medio","Mitigar","Aceptar y monitorear")))</f>
        <v/>
      </c>
      <c r="AI865" s="21" t="n"/>
      <c r="AJ865" s="21" t="n"/>
      <c r="AK865" s="20" t="n"/>
      <c r="AL865" s="77">
        <f>IFERROR(INDEX(MgAmenEfic,MATCH(SUBSTITUTE($H865,"*","-"),MgAmenClave,0)),0)</f>
        <v/>
      </c>
    </row>
    <row r="866" ht="90" customHeight="1" s="54">
      <c r="B866" s="59" t="inlineStr">
        <is>
          <t>R-0861</t>
        </is>
      </c>
      <c r="C866" s="59" t="inlineStr">
        <is>
          <t>COM-04</t>
        </is>
      </c>
      <c r="D866" s="64">
        <f>IFERROR(INDEX(MgNombre,MATCH($C866,MgActId,0)),"")</f>
        <v/>
      </c>
      <c r="E866" s="64">
        <f>IFERROR(INDEX(MgProceso,MATCH($C866,MgActId,0)),"")</f>
        <v/>
      </c>
      <c r="F866" s="64">
        <f>IFERROR(INDEX(MgTipo,MATCH($C866,MgActId,0)),"")</f>
        <v/>
      </c>
      <c r="G866" s="64">
        <f>IFERROR(INDEX(MgSubtipo,MATCH($C866,MgActId,0)),"")</f>
        <v/>
      </c>
      <c r="H866" s="59" t="inlineStr">
        <is>
          <t>E.15</t>
        </is>
      </c>
      <c r="I866" s="64">
        <f>IFERROR(INDEX(MgAmenNombre,MATCH(SUBSTITUTE($H866,"*","-"),MgAmenClave,0)),"")</f>
        <v/>
      </c>
      <c r="J866" s="28">
        <f>IFERROR(INDEX(MgAmenGrupo,MATCH(SUBSTITUTE($H866,"*","-"),MgAmenClave,0)),"")</f>
        <v/>
      </c>
      <c r="K866" s="64">
        <f>IFERROR(INDEX('1. Matriz de Activos'!$Q$6:$Q$239,MATCH($C866,MgActId,0)),"")</f>
        <v/>
      </c>
      <c r="L866" s="64">
        <f>IFERROR(INDEX('1. Matriz de Activos'!$R$6:$R$239,MATCH($C866,MgActId,0)),"")</f>
        <v/>
      </c>
      <c r="M866" s="64">
        <f>IFERROR(INDEX('1. Matriz de Activos'!$S$6:$S$239,MATCH($C866,MgActId,0)),"")</f>
        <v/>
      </c>
      <c r="N866" s="28">
        <f>IFERROR(INDEX(MgAmenDegD,MATCH(SUBSTITUTE($H866,"*","-"),MgAmenClave,0)),"No aplica")</f>
        <v/>
      </c>
      <c r="O866" s="28">
        <f>IFERROR(INDEX(MgAmenDegI,MATCH(SUBSTITUTE($H866,"*","-"),MgAmenClave,0)),"No aplica")</f>
        <v/>
      </c>
      <c r="P866" s="28">
        <f>IFERROR(INDEX(MgAmenDegC,MATCH(SUBSTITUTE($H866,"*","-"),MgAmenClave,0)),"No aplica")</f>
        <v/>
      </c>
      <c r="Q866" s="29">
        <f>IFERROR(VLOOKUP(K866,MgValor,2,0)*VLOOKUP(N866,MgDeg,2,0),0)</f>
        <v/>
      </c>
      <c r="R866" s="29">
        <f>IFERROR(VLOOKUP(L866,MgValor,2,0)*VLOOKUP(O866,MgDeg,2,0),0)</f>
        <v/>
      </c>
      <c r="S866" s="29">
        <f>IFERROR(VLOOKUP(M866,MgValor,2,0)*VLOOKUP(P866,MgDeg,2,0),0)</f>
        <v/>
      </c>
      <c r="T866" s="30">
        <f>MAX(Q866:S866)</f>
        <v/>
      </c>
      <c r="U866" s="28">
        <f>IFERROR(LOOKUP(T866,{0;0.5;1.5;3;4.5},{"Despreciable";"Bajo";"Medio";"Alto";"Muy alto"}),"")</f>
        <v/>
      </c>
      <c r="V866" s="13">
        <f>IFERROR(INDEX(MgAmenFrec,MATCH(SUBSTITUTE($H866,"*","-"),MgAmenClave,0)),"")</f>
        <v/>
      </c>
      <c r="W866" s="28">
        <f>IFERROR(LOOKUP(X866,{0;0.01;0.1;1;10;100},{"Muy baja";"Muy baja";"Baja";"Media";"Alta";"Muy alta"}),"")</f>
        <v/>
      </c>
      <c r="X866" s="31">
        <f>IFERROR(VLOOKUP(V866,MgFrec,2,0),0)</f>
        <v/>
      </c>
      <c r="Y866" s="30">
        <f>T866*X866</f>
        <v/>
      </c>
      <c r="Z866" s="28">
        <f>IFERROR(LOOKUP(Y866,{0;0.5;5;25},{"Bajo";"Medio";"Alto";"Crítico"}),"")</f>
        <v/>
      </c>
      <c r="AA866" s="64">
        <f>IF(T866&gt;=3,IF(X866&gt;=1,"Zona 1 — Crítica: impacto alto y ocurre al menos una vez al año","Zona 4 — Catastrófica poco probable: impacto alto pero excepcional"),IF(AND(T866&lt;1.5,X866&lt;1),"Zona 3 — Asumible: impacto bajo y muy poco frecuente","Zona 2 — Atención: riesgo intermedio"))</f>
        <v/>
      </c>
      <c r="AB866" s="64">
        <f>IFERROR(INDEX(MgAmenCtrl,MATCH(SUBSTITUTE($H866,"*","-"),MgAmenClave,0)),"")</f>
        <v/>
      </c>
      <c r="AC866" s="20" t="n"/>
      <c r="AD866" s="31">
        <f>IFERROR($X866*(1-IF($AC866="",$AL866,VLOOKUP($AC866,MgMad,2,0))),"")</f>
        <v/>
      </c>
      <c r="AE866" s="28">
        <f>IFERROR(LOOKUP(AD866,{0;0.01;0.1;1;10;100},{"Muy baja";"Muy baja";"Baja";"Media";"Alta";"Muy alta"}),"")</f>
        <v/>
      </c>
      <c r="AF866" s="30">
        <f>T866*AD866</f>
        <v/>
      </c>
      <c r="AG866" s="28">
        <f>IFERROR(LOOKUP(AF866,{0;0.5;5;25},{"Bajo";"Medio";"Alto";"Crítico"}),"")</f>
        <v/>
      </c>
      <c r="AH866" s="28">
        <f>IF(AG866="","",IF(OR(AG866="Crítico",AG866="Alto"),"Mitigar",IF(AG866="Medio","Mitigar","Aceptar y monitorear")))</f>
        <v/>
      </c>
      <c r="AI866" s="21" t="n"/>
      <c r="AJ866" s="21" t="n"/>
      <c r="AK866" s="20" t="n"/>
      <c r="AL866" s="77">
        <f>IFERROR(INDEX(MgAmenEfic,MATCH(SUBSTITUTE($H866,"*","-"),MgAmenClave,0)),0)</f>
        <v/>
      </c>
    </row>
    <row r="867" ht="60" customHeight="1" s="54">
      <c r="B867" s="59" t="inlineStr">
        <is>
          <t>R-0862</t>
        </is>
      </c>
      <c r="C867" s="59" t="inlineStr">
        <is>
          <t>COM-04</t>
        </is>
      </c>
      <c r="D867" s="64">
        <f>IFERROR(INDEX(MgNombre,MATCH($C867,MgActId,0)),"")</f>
        <v/>
      </c>
      <c r="E867" s="64">
        <f>IFERROR(INDEX(MgProceso,MATCH($C867,MgActId,0)),"")</f>
        <v/>
      </c>
      <c r="F867" s="64">
        <f>IFERROR(INDEX(MgTipo,MATCH($C867,MgActId,0)),"")</f>
        <v/>
      </c>
      <c r="G867" s="64">
        <f>IFERROR(INDEX(MgSubtipo,MATCH($C867,MgActId,0)),"")</f>
        <v/>
      </c>
      <c r="H867" s="59" t="inlineStr">
        <is>
          <t>E.18</t>
        </is>
      </c>
      <c r="I867" s="64">
        <f>IFERROR(INDEX(MgAmenNombre,MATCH(SUBSTITUTE($H867,"*","-"),MgAmenClave,0)),"")</f>
        <v/>
      </c>
      <c r="J867" s="28">
        <f>IFERROR(INDEX(MgAmenGrupo,MATCH(SUBSTITUTE($H867,"*","-"),MgAmenClave,0)),"")</f>
        <v/>
      </c>
      <c r="K867" s="64">
        <f>IFERROR(INDEX('1. Matriz de Activos'!$Q$6:$Q$239,MATCH($C867,MgActId,0)),"")</f>
        <v/>
      </c>
      <c r="L867" s="64">
        <f>IFERROR(INDEX('1. Matriz de Activos'!$R$6:$R$239,MATCH($C867,MgActId,0)),"")</f>
        <v/>
      </c>
      <c r="M867" s="64">
        <f>IFERROR(INDEX('1. Matriz de Activos'!$S$6:$S$239,MATCH($C867,MgActId,0)),"")</f>
        <v/>
      </c>
      <c r="N867" s="28">
        <f>IFERROR(INDEX(MgAmenDegD,MATCH(SUBSTITUTE($H867,"*","-"),MgAmenClave,0)),"No aplica")</f>
        <v/>
      </c>
      <c r="O867" s="28">
        <f>IFERROR(INDEX(MgAmenDegI,MATCH(SUBSTITUTE($H867,"*","-"),MgAmenClave,0)),"No aplica")</f>
        <v/>
      </c>
      <c r="P867" s="28">
        <f>IFERROR(INDEX(MgAmenDegC,MATCH(SUBSTITUTE($H867,"*","-"),MgAmenClave,0)),"No aplica")</f>
        <v/>
      </c>
      <c r="Q867" s="29">
        <f>IFERROR(VLOOKUP(K867,MgValor,2,0)*VLOOKUP(N867,MgDeg,2,0),0)</f>
        <v/>
      </c>
      <c r="R867" s="29">
        <f>IFERROR(VLOOKUP(L867,MgValor,2,0)*VLOOKUP(O867,MgDeg,2,0),0)</f>
        <v/>
      </c>
      <c r="S867" s="29">
        <f>IFERROR(VLOOKUP(M867,MgValor,2,0)*VLOOKUP(P867,MgDeg,2,0),0)</f>
        <v/>
      </c>
      <c r="T867" s="30">
        <f>MAX(Q867:S867)</f>
        <v/>
      </c>
      <c r="U867" s="28">
        <f>IFERROR(LOOKUP(T867,{0;0.5;1.5;3;4.5},{"Despreciable";"Bajo";"Medio";"Alto";"Muy alto"}),"")</f>
        <v/>
      </c>
      <c r="V867" s="13">
        <f>IFERROR(INDEX(MgAmenFrec,MATCH(SUBSTITUTE($H867,"*","-"),MgAmenClave,0)),"")</f>
        <v/>
      </c>
      <c r="W867" s="28">
        <f>IFERROR(LOOKUP(X867,{0;0.01;0.1;1;10;100},{"Muy baja";"Muy baja";"Baja";"Media";"Alta";"Muy alta"}),"")</f>
        <v/>
      </c>
      <c r="X867" s="31">
        <f>IFERROR(VLOOKUP(V867,MgFrec,2,0),0)</f>
        <v/>
      </c>
      <c r="Y867" s="30">
        <f>T867*X867</f>
        <v/>
      </c>
      <c r="Z867" s="28">
        <f>IFERROR(LOOKUP(Y867,{0;0.5;5;25},{"Bajo";"Medio";"Alto";"Crítico"}),"")</f>
        <v/>
      </c>
      <c r="AA867" s="64">
        <f>IF(T867&gt;=3,IF(X867&gt;=1,"Zona 1 — Crítica: impacto alto y ocurre al menos una vez al año","Zona 4 — Catastrófica poco probable: impacto alto pero excepcional"),IF(AND(T867&lt;1.5,X867&lt;1),"Zona 3 — Asumible: impacto bajo y muy poco frecuente","Zona 2 — Atención: riesgo intermedio"))</f>
        <v/>
      </c>
      <c r="AB867" s="64">
        <f>IFERROR(INDEX(MgAmenCtrl,MATCH(SUBSTITUTE($H867,"*","-"),MgAmenClave,0)),"")</f>
        <v/>
      </c>
      <c r="AC867" s="20" t="n"/>
      <c r="AD867" s="31">
        <f>IFERROR($X867*(1-IF($AC867="",$AL867,VLOOKUP($AC867,MgMad,2,0))),"")</f>
        <v/>
      </c>
      <c r="AE867" s="28">
        <f>IFERROR(LOOKUP(AD867,{0;0.01;0.1;1;10;100},{"Muy baja";"Muy baja";"Baja";"Media";"Alta";"Muy alta"}),"")</f>
        <v/>
      </c>
      <c r="AF867" s="30">
        <f>T867*AD867</f>
        <v/>
      </c>
      <c r="AG867" s="28">
        <f>IFERROR(LOOKUP(AF867,{0;0.5;5;25},{"Bajo";"Medio";"Alto";"Crítico"}),"")</f>
        <v/>
      </c>
      <c r="AH867" s="28">
        <f>IF(AG867="","",IF(OR(AG867="Crítico",AG867="Alto"),"Mitigar",IF(AG867="Medio","Mitigar","Aceptar y monitorear")))</f>
        <v/>
      </c>
      <c r="AI867" s="21" t="n"/>
      <c r="AJ867" s="21" t="n"/>
      <c r="AK867" s="20" t="n"/>
      <c r="AL867" s="77">
        <f>IFERROR(INDEX(MgAmenEfic,MATCH(SUBSTITUTE($H867,"*","-"),MgAmenClave,0)),0)</f>
        <v/>
      </c>
    </row>
    <row r="868" ht="105" customHeight="1" s="54">
      <c r="B868" s="59" t="inlineStr">
        <is>
          <t>R-0863</t>
        </is>
      </c>
      <c r="C868" s="59" t="inlineStr">
        <is>
          <t>COM-04</t>
        </is>
      </c>
      <c r="D868" s="64">
        <f>IFERROR(INDEX(MgNombre,MATCH($C868,MgActId,0)),"")</f>
        <v/>
      </c>
      <c r="E868" s="64">
        <f>IFERROR(INDEX(MgProceso,MATCH($C868,MgActId,0)),"")</f>
        <v/>
      </c>
      <c r="F868" s="64">
        <f>IFERROR(INDEX(MgTipo,MATCH($C868,MgActId,0)),"")</f>
        <v/>
      </c>
      <c r="G868" s="64">
        <f>IFERROR(INDEX(MgSubtipo,MATCH($C868,MgActId,0)),"")</f>
        <v/>
      </c>
      <c r="H868" s="59" t="inlineStr">
        <is>
          <t>E.19</t>
        </is>
      </c>
      <c r="I868" s="64">
        <f>IFERROR(INDEX(MgAmenNombre,MATCH(SUBSTITUTE($H868,"*","-"),MgAmenClave,0)),"")</f>
        <v/>
      </c>
      <c r="J868" s="28">
        <f>IFERROR(INDEX(MgAmenGrupo,MATCH(SUBSTITUTE($H868,"*","-"),MgAmenClave,0)),"")</f>
        <v/>
      </c>
      <c r="K868" s="64">
        <f>IFERROR(INDEX('1. Matriz de Activos'!$Q$6:$Q$239,MATCH($C868,MgActId,0)),"")</f>
        <v/>
      </c>
      <c r="L868" s="64">
        <f>IFERROR(INDEX('1. Matriz de Activos'!$R$6:$R$239,MATCH($C868,MgActId,0)),"")</f>
        <v/>
      </c>
      <c r="M868" s="64">
        <f>IFERROR(INDEX('1. Matriz de Activos'!$S$6:$S$239,MATCH($C868,MgActId,0)),"")</f>
        <v/>
      </c>
      <c r="N868" s="28">
        <f>IFERROR(INDEX(MgAmenDegD,MATCH(SUBSTITUTE($H868,"*","-"),MgAmenClave,0)),"No aplica")</f>
        <v/>
      </c>
      <c r="O868" s="28">
        <f>IFERROR(INDEX(MgAmenDegI,MATCH(SUBSTITUTE($H868,"*","-"),MgAmenClave,0)),"No aplica")</f>
        <v/>
      </c>
      <c r="P868" s="28">
        <f>IFERROR(INDEX(MgAmenDegC,MATCH(SUBSTITUTE($H868,"*","-"),MgAmenClave,0)),"No aplica")</f>
        <v/>
      </c>
      <c r="Q868" s="29">
        <f>IFERROR(VLOOKUP(K868,MgValor,2,0)*VLOOKUP(N868,MgDeg,2,0),0)</f>
        <v/>
      </c>
      <c r="R868" s="29">
        <f>IFERROR(VLOOKUP(L868,MgValor,2,0)*VLOOKUP(O868,MgDeg,2,0),0)</f>
        <v/>
      </c>
      <c r="S868" s="29">
        <f>IFERROR(VLOOKUP(M868,MgValor,2,0)*VLOOKUP(P868,MgDeg,2,0),0)</f>
        <v/>
      </c>
      <c r="T868" s="30">
        <f>MAX(Q868:S868)</f>
        <v/>
      </c>
      <c r="U868" s="28">
        <f>IFERROR(LOOKUP(T868,{0;0.5;1.5;3;4.5},{"Despreciable";"Bajo";"Medio";"Alto";"Muy alto"}),"")</f>
        <v/>
      </c>
      <c r="V868" s="13">
        <f>IFERROR(INDEX(MgAmenFrec,MATCH(SUBSTITUTE($H868,"*","-"),MgAmenClave,0)),"")</f>
        <v/>
      </c>
      <c r="W868" s="28">
        <f>IFERROR(LOOKUP(X868,{0;0.01;0.1;1;10;100},{"Muy baja";"Muy baja";"Baja";"Media";"Alta";"Muy alta"}),"")</f>
        <v/>
      </c>
      <c r="X868" s="31">
        <f>IFERROR(VLOOKUP(V868,MgFrec,2,0),0)</f>
        <v/>
      </c>
      <c r="Y868" s="30">
        <f>T868*X868</f>
        <v/>
      </c>
      <c r="Z868" s="28">
        <f>IFERROR(LOOKUP(Y868,{0;0.5;5;25},{"Bajo";"Medio";"Alto";"Crítico"}),"")</f>
        <v/>
      </c>
      <c r="AA868" s="64">
        <f>IF(T868&gt;=3,IF(X868&gt;=1,"Zona 1 — Crítica: impacto alto y ocurre al menos una vez al año","Zona 4 — Catastrófica poco probable: impacto alto pero excepcional"),IF(AND(T868&lt;1.5,X868&lt;1),"Zona 3 — Asumible: impacto bajo y muy poco frecuente","Zona 2 — Atención: riesgo intermedio"))</f>
        <v/>
      </c>
      <c r="AB868" s="64">
        <f>IFERROR(INDEX(MgAmenCtrl,MATCH(SUBSTITUTE($H868,"*","-"),MgAmenClave,0)),"")</f>
        <v/>
      </c>
      <c r="AC868" s="20" t="n"/>
      <c r="AD868" s="31">
        <f>IFERROR($X868*(1-IF($AC868="",$AL868,VLOOKUP($AC868,MgMad,2,0))),"")</f>
        <v/>
      </c>
      <c r="AE868" s="28">
        <f>IFERROR(LOOKUP(AD868,{0;0.01;0.1;1;10;100},{"Muy baja";"Muy baja";"Baja";"Media";"Alta";"Muy alta"}),"")</f>
        <v/>
      </c>
      <c r="AF868" s="30">
        <f>T868*AD868</f>
        <v/>
      </c>
      <c r="AG868" s="28">
        <f>IFERROR(LOOKUP(AF868,{0;0.5;5;25},{"Bajo";"Medio";"Alto";"Crítico"}),"")</f>
        <v/>
      </c>
      <c r="AH868" s="28">
        <f>IF(AG868="","",IF(OR(AG868="Crítico",AG868="Alto"),"Mitigar",IF(AG868="Medio","Mitigar","Aceptar y monitorear")))</f>
        <v/>
      </c>
      <c r="AI868" s="21" t="n"/>
      <c r="AJ868" s="21" t="n"/>
      <c r="AK868" s="20" t="n"/>
      <c r="AL868" s="77">
        <f>IFERROR(INDEX(MgAmenEfic,MATCH(SUBSTITUTE($H868,"*","-"),MgAmenClave,0)),0)</f>
        <v/>
      </c>
    </row>
    <row r="869" ht="60" customHeight="1" s="54">
      <c r="B869" s="59" t="inlineStr">
        <is>
          <t>R-0864</t>
        </is>
      </c>
      <c r="C869" s="59" t="inlineStr">
        <is>
          <t>COM-04</t>
        </is>
      </c>
      <c r="D869" s="64">
        <f>IFERROR(INDEX(MgNombre,MATCH($C869,MgActId,0)),"")</f>
        <v/>
      </c>
      <c r="E869" s="64">
        <f>IFERROR(INDEX(MgProceso,MATCH($C869,MgActId,0)),"")</f>
        <v/>
      </c>
      <c r="F869" s="64">
        <f>IFERROR(INDEX(MgTipo,MATCH($C869,MgActId,0)),"")</f>
        <v/>
      </c>
      <c r="G869" s="64">
        <f>IFERROR(INDEX(MgSubtipo,MATCH($C869,MgActId,0)),"")</f>
        <v/>
      </c>
      <c r="H869" s="59" t="inlineStr">
        <is>
          <t>A.3</t>
        </is>
      </c>
      <c r="I869" s="64">
        <f>IFERROR(INDEX(MgAmenNombre,MATCH(SUBSTITUTE($H869,"*","-"),MgAmenClave,0)),"")</f>
        <v/>
      </c>
      <c r="J869" s="28">
        <f>IFERROR(INDEX(MgAmenGrupo,MATCH(SUBSTITUTE($H869,"*","-"),MgAmenClave,0)),"")</f>
        <v/>
      </c>
      <c r="K869" s="64">
        <f>IFERROR(INDEX('1. Matriz de Activos'!$Q$6:$Q$239,MATCH($C869,MgActId,0)),"")</f>
        <v/>
      </c>
      <c r="L869" s="64">
        <f>IFERROR(INDEX('1. Matriz de Activos'!$R$6:$R$239,MATCH($C869,MgActId,0)),"")</f>
        <v/>
      </c>
      <c r="M869" s="64">
        <f>IFERROR(INDEX('1. Matriz de Activos'!$S$6:$S$239,MATCH($C869,MgActId,0)),"")</f>
        <v/>
      </c>
      <c r="N869" s="28">
        <f>IFERROR(INDEX(MgAmenDegD,MATCH(SUBSTITUTE($H869,"*","-"),MgAmenClave,0)),"No aplica")</f>
        <v/>
      </c>
      <c r="O869" s="28">
        <f>IFERROR(INDEX(MgAmenDegI,MATCH(SUBSTITUTE($H869,"*","-"),MgAmenClave,0)),"No aplica")</f>
        <v/>
      </c>
      <c r="P869" s="28">
        <f>IFERROR(INDEX(MgAmenDegC,MATCH(SUBSTITUTE($H869,"*","-"),MgAmenClave,0)),"No aplica")</f>
        <v/>
      </c>
      <c r="Q869" s="29">
        <f>IFERROR(VLOOKUP(K869,MgValor,2,0)*VLOOKUP(N869,MgDeg,2,0),0)</f>
        <v/>
      </c>
      <c r="R869" s="29">
        <f>IFERROR(VLOOKUP(L869,MgValor,2,0)*VLOOKUP(O869,MgDeg,2,0),0)</f>
        <v/>
      </c>
      <c r="S869" s="29">
        <f>IFERROR(VLOOKUP(M869,MgValor,2,0)*VLOOKUP(P869,MgDeg,2,0),0)</f>
        <v/>
      </c>
      <c r="T869" s="30">
        <f>MAX(Q869:S869)</f>
        <v/>
      </c>
      <c r="U869" s="28">
        <f>IFERROR(LOOKUP(T869,{0;0.5;1.5;3;4.5},{"Despreciable";"Bajo";"Medio";"Alto";"Muy alto"}),"")</f>
        <v/>
      </c>
      <c r="V869" s="13">
        <f>IFERROR(INDEX(MgAmenFrec,MATCH(SUBSTITUTE($H869,"*","-"),MgAmenClave,0)),"")</f>
        <v/>
      </c>
      <c r="W869" s="28">
        <f>IFERROR(LOOKUP(X869,{0;0.01;0.1;1;10;100},{"Muy baja";"Muy baja";"Baja";"Media";"Alta";"Muy alta"}),"")</f>
        <v/>
      </c>
      <c r="X869" s="31">
        <f>IFERROR(VLOOKUP(V869,MgFrec,2,0),0)</f>
        <v/>
      </c>
      <c r="Y869" s="30">
        <f>T869*X869</f>
        <v/>
      </c>
      <c r="Z869" s="28">
        <f>IFERROR(LOOKUP(Y869,{0;0.5;5;25},{"Bajo";"Medio";"Alto";"Crítico"}),"")</f>
        <v/>
      </c>
      <c r="AA869" s="64">
        <f>IF(T869&gt;=3,IF(X869&gt;=1,"Zona 1 — Crítica: impacto alto y ocurre al menos una vez al año","Zona 4 — Catastrófica poco probable: impacto alto pero excepcional"),IF(AND(T869&lt;1.5,X869&lt;1),"Zona 3 — Asumible: impacto bajo y muy poco frecuente","Zona 2 — Atención: riesgo intermedio"))</f>
        <v/>
      </c>
      <c r="AB869" s="64">
        <f>IFERROR(INDEX(MgAmenCtrl,MATCH(SUBSTITUTE($H869,"*","-"),MgAmenClave,0)),"")</f>
        <v/>
      </c>
      <c r="AC869" s="20" t="n"/>
      <c r="AD869" s="31">
        <f>IFERROR($X869*(1-IF($AC869="",$AL869,VLOOKUP($AC869,MgMad,2,0))),"")</f>
        <v/>
      </c>
      <c r="AE869" s="28">
        <f>IFERROR(LOOKUP(AD869,{0;0.01;0.1;1;10;100},{"Muy baja";"Muy baja";"Baja";"Media";"Alta";"Muy alta"}),"")</f>
        <v/>
      </c>
      <c r="AF869" s="30">
        <f>T869*AD869</f>
        <v/>
      </c>
      <c r="AG869" s="28">
        <f>IFERROR(LOOKUP(AF869,{0;0.5;5;25},{"Bajo";"Medio";"Alto";"Crítico"}),"")</f>
        <v/>
      </c>
      <c r="AH869" s="28">
        <f>IF(AG869="","",IF(OR(AG869="Crítico",AG869="Alto"),"Mitigar",IF(AG869="Medio","Mitigar","Aceptar y monitorear")))</f>
        <v/>
      </c>
      <c r="AI869" s="21" t="n"/>
      <c r="AJ869" s="21" t="n"/>
      <c r="AK869" s="20" t="n"/>
      <c r="AL869" s="77">
        <f>IFERROR(INDEX(MgAmenEfic,MATCH(SUBSTITUTE($H869,"*","-"),MgAmenClave,0)),0)</f>
        <v/>
      </c>
    </row>
    <row r="870" ht="60" customHeight="1" s="54">
      <c r="B870" s="59" t="inlineStr">
        <is>
          <t>R-0865</t>
        </is>
      </c>
      <c r="C870" s="59" t="inlineStr">
        <is>
          <t>COM-04</t>
        </is>
      </c>
      <c r="D870" s="64">
        <f>IFERROR(INDEX(MgNombre,MATCH($C870,MgActId,0)),"")</f>
        <v/>
      </c>
      <c r="E870" s="64">
        <f>IFERROR(INDEX(MgProceso,MATCH($C870,MgActId,0)),"")</f>
        <v/>
      </c>
      <c r="F870" s="64">
        <f>IFERROR(INDEX(MgTipo,MATCH($C870,MgActId,0)),"")</f>
        <v/>
      </c>
      <c r="G870" s="64">
        <f>IFERROR(INDEX(MgSubtipo,MATCH($C870,MgActId,0)),"")</f>
        <v/>
      </c>
      <c r="H870" s="59" t="inlineStr">
        <is>
          <t>A.4</t>
        </is>
      </c>
      <c r="I870" s="64">
        <f>IFERROR(INDEX(MgAmenNombre,MATCH(SUBSTITUTE($H870,"*","-"),MgAmenClave,0)),"")</f>
        <v/>
      </c>
      <c r="J870" s="28">
        <f>IFERROR(INDEX(MgAmenGrupo,MATCH(SUBSTITUTE($H870,"*","-"),MgAmenClave,0)),"")</f>
        <v/>
      </c>
      <c r="K870" s="64">
        <f>IFERROR(INDEX('1. Matriz de Activos'!$Q$6:$Q$239,MATCH($C870,MgActId,0)),"")</f>
        <v/>
      </c>
      <c r="L870" s="64">
        <f>IFERROR(INDEX('1. Matriz de Activos'!$R$6:$R$239,MATCH($C870,MgActId,0)),"")</f>
        <v/>
      </c>
      <c r="M870" s="64">
        <f>IFERROR(INDEX('1. Matriz de Activos'!$S$6:$S$239,MATCH($C870,MgActId,0)),"")</f>
        <v/>
      </c>
      <c r="N870" s="28">
        <f>IFERROR(INDEX(MgAmenDegD,MATCH(SUBSTITUTE($H870,"*","-"),MgAmenClave,0)),"No aplica")</f>
        <v/>
      </c>
      <c r="O870" s="28">
        <f>IFERROR(INDEX(MgAmenDegI,MATCH(SUBSTITUTE($H870,"*","-"),MgAmenClave,0)),"No aplica")</f>
        <v/>
      </c>
      <c r="P870" s="28">
        <f>IFERROR(INDEX(MgAmenDegC,MATCH(SUBSTITUTE($H870,"*","-"),MgAmenClave,0)),"No aplica")</f>
        <v/>
      </c>
      <c r="Q870" s="29">
        <f>IFERROR(VLOOKUP(K870,MgValor,2,0)*VLOOKUP(N870,MgDeg,2,0),0)</f>
        <v/>
      </c>
      <c r="R870" s="29">
        <f>IFERROR(VLOOKUP(L870,MgValor,2,0)*VLOOKUP(O870,MgDeg,2,0),0)</f>
        <v/>
      </c>
      <c r="S870" s="29">
        <f>IFERROR(VLOOKUP(M870,MgValor,2,0)*VLOOKUP(P870,MgDeg,2,0),0)</f>
        <v/>
      </c>
      <c r="T870" s="30">
        <f>MAX(Q870:S870)</f>
        <v/>
      </c>
      <c r="U870" s="28">
        <f>IFERROR(LOOKUP(T870,{0;0.5;1.5;3;4.5},{"Despreciable";"Bajo";"Medio";"Alto";"Muy alto"}),"")</f>
        <v/>
      </c>
      <c r="V870" s="13">
        <f>IFERROR(INDEX(MgAmenFrec,MATCH(SUBSTITUTE($H870,"*","-"),MgAmenClave,0)),"")</f>
        <v/>
      </c>
      <c r="W870" s="28">
        <f>IFERROR(LOOKUP(X870,{0;0.01;0.1;1;10;100},{"Muy baja";"Muy baja";"Baja";"Media";"Alta";"Muy alta"}),"")</f>
        <v/>
      </c>
      <c r="X870" s="31">
        <f>IFERROR(VLOOKUP(V870,MgFrec,2,0),0)</f>
        <v/>
      </c>
      <c r="Y870" s="30">
        <f>T870*X870</f>
        <v/>
      </c>
      <c r="Z870" s="28">
        <f>IFERROR(LOOKUP(Y870,{0;0.5;5;25},{"Bajo";"Medio";"Alto";"Crítico"}),"")</f>
        <v/>
      </c>
      <c r="AA870" s="64">
        <f>IF(T870&gt;=3,IF(X870&gt;=1,"Zona 1 — Crítica: impacto alto y ocurre al menos una vez al año","Zona 4 — Catastrófica poco probable: impacto alto pero excepcional"),IF(AND(T870&lt;1.5,X870&lt;1),"Zona 3 — Asumible: impacto bajo y muy poco frecuente","Zona 2 — Atención: riesgo intermedio"))</f>
        <v/>
      </c>
      <c r="AB870" s="64">
        <f>IFERROR(INDEX(MgAmenCtrl,MATCH(SUBSTITUTE($H870,"*","-"),MgAmenClave,0)),"")</f>
        <v/>
      </c>
      <c r="AC870" s="20" t="n"/>
      <c r="AD870" s="31">
        <f>IFERROR($X870*(1-IF($AC870="",$AL870,VLOOKUP($AC870,MgMad,2,0))),"")</f>
        <v/>
      </c>
      <c r="AE870" s="28">
        <f>IFERROR(LOOKUP(AD870,{0;0.01;0.1;1;10;100},{"Muy baja";"Muy baja";"Baja";"Media";"Alta";"Muy alta"}),"")</f>
        <v/>
      </c>
      <c r="AF870" s="30">
        <f>T870*AD870</f>
        <v/>
      </c>
      <c r="AG870" s="28">
        <f>IFERROR(LOOKUP(AF870,{0;0.5;5;25},{"Bajo";"Medio";"Alto";"Crítico"}),"")</f>
        <v/>
      </c>
      <c r="AH870" s="28">
        <f>IF(AG870="","",IF(OR(AG870="Crítico",AG870="Alto"),"Mitigar",IF(AG870="Medio","Mitigar","Aceptar y monitorear")))</f>
        <v/>
      </c>
      <c r="AI870" s="21" t="n"/>
      <c r="AJ870" s="21" t="n"/>
      <c r="AK870" s="20" t="n"/>
      <c r="AL870" s="77">
        <f>IFERROR(INDEX(MgAmenEfic,MATCH(SUBSTITUTE($H870,"*","-"),MgAmenClave,0)),0)</f>
        <v/>
      </c>
    </row>
    <row r="871" ht="75" customHeight="1" s="54">
      <c r="B871" s="59" t="inlineStr">
        <is>
          <t>R-0866</t>
        </is>
      </c>
      <c r="C871" s="59" t="inlineStr">
        <is>
          <t>COM-04</t>
        </is>
      </c>
      <c r="D871" s="64">
        <f>IFERROR(INDEX(MgNombre,MATCH($C871,MgActId,0)),"")</f>
        <v/>
      </c>
      <c r="E871" s="64">
        <f>IFERROR(INDEX(MgProceso,MATCH($C871,MgActId,0)),"")</f>
        <v/>
      </c>
      <c r="F871" s="64">
        <f>IFERROR(INDEX(MgTipo,MATCH($C871,MgActId,0)),"")</f>
        <v/>
      </c>
      <c r="G871" s="64">
        <f>IFERROR(INDEX(MgSubtipo,MATCH($C871,MgActId,0)),"")</f>
        <v/>
      </c>
      <c r="H871" s="59" t="inlineStr">
        <is>
          <t>A.5</t>
        </is>
      </c>
      <c r="I871" s="64">
        <f>IFERROR(INDEX(MgAmenNombre,MATCH(SUBSTITUTE($H871,"*","-"),MgAmenClave,0)),"")</f>
        <v/>
      </c>
      <c r="J871" s="28">
        <f>IFERROR(INDEX(MgAmenGrupo,MATCH(SUBSTITUTE($H871,"*","-"),MgAmenClave,0)),"")</f>
        <v/>
      </c>
      <c r="K871" s="64">
        <f>IFERROR(INDEX('1. Matriz de Activos'!$Q$6:$Q$239,MATCH($C871,MgActId,0)),"")</f>
        <v/>
      </c>
      <c r="L871" s="64">
        <f>IFERROR(INDEX('1. Matriz de Activos'!$R$6:$R$239,MATCH($C871,MgActId,0)),"")</f>
        <v/>
      </c>
      <c r="M871" s="64">
        <f>IFERROR(INDEX('1. Matriz de Activos'!$S$6:$S$239,MATCH($C871,MgActId,0)),"")</f>
        <v/>
      </c>
      <c r="N871" s="28">
        <f>IFERROR(INDEX(MgAmenDegD,MATCH(SUBSTITUTE($H871,"*","-"),MgAmenClave,0)),"No aplica")</f>
        <v/>
      </c>
      <c r="O871" s="28">
        <f>IFERROR(INDEX(MgAmenDegI,MATCH(SUBSTITUTE($H871,"*","-"),MgAmenClave,0)),"No aplica")</f>
        <v/>
      </c>
      <c r="P871" s="28">
        <f>IFERROR(INDEX(MgAmenDegC,MATCH(SUBSTITUTE($H871,"*","-"),MgAmenClave,0)),"No aplica")</f>
        <v/>
      </c>
      <c r="Q871" s="29">
        <f>IFERROR(VLOOKUP(K871,MgValor,2,0)*VLOOKUP(N871,MgDeg,2,0),0)</f>
        <v/>
      </c>
      <c r="R871" s="29">
        <f>IFERROR(VLOOKUP(L871,MgValor,2,0)*VLOOKUP(O871,MgDeg,2,0),0)</f>
        <v/>
      </c>
      <c r="S871" s="29">
        <f>IFERROR(VLOOKUP(M871,MgValor,2,0)*VLOOKUP(P871,MgDeg,2,0),0)</f>
        <v/>
      </c>
      <c r="T871" s="30">
        <f>MAX(Q871:S871)</f>
        <v/>
      </c>
      <c r="U871" s="28">
        <f>IFERROR(LOOKUP(T871,{0;0.5;1.5;3;4.5},{"Despreciable";"Bajo";"Medio";"Alto";"Muy alto"}),"")</f>
        <v/>
      </c>
      <c r="V871" s="13">
        <f>IFERROR(INDEX(MgAmenFrec,MATCH(SUBSTITUTE($H871,"*","-"),MgAmenClave,0)),"")</f>
        <v/>
      </c>
      <c r="W871" s="28">
        <f>IFERROR(LOOKUP(X871,{0;0.01;0.1;1;10;100},{"Muy baja";"Muy baja";"Baja";"Media";"Alta";"Muy alta"}),"")</f>
        <v/>
      </c>
      <c r="X871" s="31">
        <f>IFERROR(VLOOKUP(V871,MgFrec,2,0),0)</f>
        <v/>
      </c>
      <c r="Y871" s="30">
        <f>T871*X871</f>
        <v/>
      </c>
      <c r="Z871" s="28">
        <f>IFERROR(LOOKUP(Y871,{0;0.5;5;25},{"Bajo";"Medio";"Alto";"Crítico"}),"")</f>
        <v/>
      </c>
      <c r="AA871" s="64">
        <f>IF(T871&gt;=3,IF(X871&gt;=1,"Zona 1 — Crítica: impacto alto y ocurre al menos una vez al año","Zona 4 — Catastrófica poco probable: impacto alto pero excepcional"),IF(AND(T871&lt;1.5,X871&lt;1),"Zona 3 — Asumible: impacto bajo y muy poco frecuente","Zona 2 — Atención: riesgo intermedio"))</f>
        <v/>
      </c>
      <c r="AB871" s="64">
        <f>IFERROR(INDEX(MgAmenCtrl,MATCH(SUBSTITUTE($H871,"*","-"),MgAmenClave,0)),"")</f>
        <v/>
      </c>
      <c r="AC871" s="20" t="n"/>
      <c r="AD871" s="31">
        <f>IFERROR($X871*(1-IF($AC871="",$AL871,VLOOKUP($AC871,MgMad,2,0))),"")</f>
        <v/>
      </c>
      <c r="AE871" s="28">
        <f>IFERROR(LOOKUP(AD871,{0;0.01;0.1;1;10;100},{"Muy baja";"Muy baja";"Baja";"Media";"Alta";"Muy alta"}),"")</f>
        <v/>
      </c>
      <c r="AF871" s="30">
        <f>T871*AD871</f>
        <v/>
      </c>
      <c r="AG871" s="28">
        <f>IFERROR(LOOKUP(AF871,{0;0.5;5;25},{"Bajo";"Medio";"Alto";"Crítico"}),"")</f>
        <v/>
      </c>
      <c r="AH871" s="28">
        <f>IF(AG871="","",IF(OR(AG871="Crítico",AG871="Alto"),"Mitigar",IF(AG871="Medio","Mitigar","Aceptar y monitorear")))</f>
        <v/>
      </c>
      <c r="AI871" s="21" t="n"/>
      <c r="AJ871" s="21" t="n"/>
      <c r="AK871" s="20" t="n"/>
      <c r="AL871" s="77">
        <f>IFERROR(INDEX(MgAmenEfic,MATCH(SUBSTITUTE($H871,"*","-"),MgAmenClave,0)),0)</f>
        <v/>
      </c>
    </row>
    <row r="872" ht="105" customHeight="1" s="54">
      <c r="B872" s="59" t="inlineStr">
        <is>
          <t>R-0867</t>
        </is>
      </c>
      <c r="C872" s="59" t="inlineStr">
        <is>
          <t>COM-04</t>
        </is>
      </c>
      <c r="D872" s="64">
        <f>IFERROR(INDEX(MgNombre,MATCH($C872,MgActId,0)),"")</f>
        <v/>
      </c>
      <c r="E872" s="64">
        <f>IFERROR(INDEX(MgProceso,MATCH($C872,MgActId,0)),"")</f>
        <v/>
      </c>
      <c r="F872" s="64">
        <f>IFERROR(INDEX(MgTipo,MATCH($C872,MgActId,0)),"")</f>
        <v/>
      </c>
      <c r="G872" s="64">
        <f>IFERROR(INDEX(MgSubtipo,MATCH($C872,MgActId,0)),"")</f>
        <v/>
      </c>
      <c r="H872" s="59" t="inlineStr">
        <is>
          <t>A.6</t>
        </is>
      </c>
      <c r="I872" s="64">
        <f>IFERROR(INDEX(MgAmenNombre,MATCH(SUBSTITUTE($H872,"*","-"),MgAmenClave,0)),"")</f>
        <v/>
      </c>
      <c r="J872" s="28">
        <f>IFERROR(INDEX(MgAmenGrupo,MATCH(SUBSTITUTE($H872,"*","-"),MgAmenClave,0)),"")</f>
        <v/>
      </c>
      <c r="K872" s="64">
        <f>IFERROR(INDEX('1. Matriz de Activos'!$Q$6:$Q$239,MATCH($C872,MgActId,0)),"")</f>
        <v/>
      </c>
      <c r="L872" s="64">
        <f>IFERROR(INDEX('1. Matriz de Activos'!$R$6:$R$239,MATCH($C872,MgActId,0)),"")</f>
        <v/>
      </c>
      <c r="M872" s="64">
        <f>IFERROR(INDEX('1. Matriz de Activos'!$S$6:$S$239,MATCH($C872,MgActId,0)),"")</f>
        <v/>
      </c>
      <c r="N872" s="28">
        <f>IFERROR(INDEX(MgAmenDegD,MATCH(SUBSTITUTE($H872,"*","-"),MgAmenClave,0)),"No aplica")</f>
        <v/>
      </c>
      <c r="O872" s="28">
        <f>IFERROR(INDEX(MgAmenDegI,MATCH(SUBSTITUTE($H872,"*","-"),MgAmenClave,0)),"No aplica")</f>
        <v/>
      </c>
      <c r="P872" s="28">
        <f>IFERROR(INDEX(MgAmenDegC,MATCH(SUBSTITUTE($H872,"*","-"),MgAmenClave,0)),"No aplica")</f>
        <v/>
      </c>
      <c r="Q872" s="29">
        <f>IFERROR(VLOOKUP(K872,MgValor,2,0)*VLOOKUP(N872,MgDeg,2,0),0)</f>
        <v/>
      </c>
      <c r="R872" s="29">
        <f>IFERROR(VLOOKUP(L872,MgValor,2,0)*VLOOKUP(O872,MgDeg,2,0),0)</f>
        <v/>
      </c>
      <c r="S872" s="29">
        <f>IFERROR(VLOOKUP(M872,MgValor,2,0)*VLOOKUP(P872,MgDeg,2,0),0)</f>
        <v/>
      </c>
      <c r="T872" s="30">
        <f>MAX(Q872:S872)</f>
        <v/>
      </c>
      <c r="U872" s="28">
        <f>IFERROR(LOOKUP(T872,{0;0.5;1.5;3;4.5},{"Despreciable";"Bajo";"Medio";"Alto";"Muy alto"}),"")</f>
        <v/>
      </c>
      <c r="V872" s="13">
        <f>IFERROR(INDEX(MgAmenFrec,MATCH(SUBSTITUTE($H872,"*","-"),MgAmenClave,0)),"")</f>
        <v/>
      </c>
      <c r="W872" s="28">
        <f>IFERROR(LOOKUP(X872,{0;0.01;0.1;1;10;100},{"Muy baja";"Muy baja";"Baja";"Media";"Alta";"Muy alta"}),"")</f>
        <v/>
      </c>
      <c r="X872" s="31">
        <f>IFERROR(VLOOKUP(V872,MgFrec,2,0),0)</f>
        <v/>
      </c>
      <c r="Y872" s="30">
        <f>T872*X872</f>
        <v/>
      </c>
      <c r="Z872" s="28">
        <f>IFERROR(LOOKUP(Y872,{0;0.5;5;25},{"Bajo";"Medio";"Alto";"Crítico"}),"")</f>
        <v/>
      </c>
      <c r="AA872" s="64">
        <f>IF(T872&gt;=3,IF(X872&gt;=1,"Zona 1 — Crítica: impacto alto y ocurre al menos una vez al año","Zona 4 — Catastrófica poco probable: impacto alto pero excepcional"),IF(AND(T872&lt;1.5,X872&lt;1),"Zona 3 — Asumible: impacto bajo y muy poco frecuente","Zona 2 — Atención: riesgo intermedio"))</f>
        <v/>
      </c>
      <c r="AB872" s="64">
        <f>IFERROR(INDEX(MgAmenCtrl,MATCH(SUBSTITUTE($H872,"*","-"),MgAmenClave,0)),"")</f>
        <v/>
      </c>
      <c r="AC872" s="20" t="n"/>
      <c r="AD872" s="31">
        <f>IFERROR($X872*(1-IF($AC872="",$AL872,VLOOKUP($AC872,MgMad,2,0))),"")</f>
        <v/>
      </c>
      <c r="AE872" s="28">
        <f>IFERROR(LOOKUP(AD872,{0;0.01;0.1;1;10;100},{"Muy baja";"Muy baja";"Baja";"Media";"Alta";"Muy alta"}),"")</f>
        <v/>
      </c>
      <c r="AF872" s="30">
        <f>T872*AD872</f>
        <v/>
      </c>
      <c r="AG872" s="28">
        <f>IFERROR(LOOKUP(AF872,{0;0.5;5;25},{"Bajo";"Medio";"Alto";"Crítico"}),"")</f>
        <v/>
      </c>
      <c r="AH872" s="28">
        <f>IF(AG872="","",IF(OR(AG872="Crítico",AG872="Alto"),"Mitigar",IF(AG872="Medio","Mitigar","Aceptar y monitorear")))</f>
        <v/>
      </c>
      <c r="AI872" s="21" t="n"/>
      <c r="AJ872" s="21" t="n"/>
      <c r="AK872" s="20" t="n"/>
      <c r="AL872" s="77">
        <f>IFERROR(INDEX(MgAmenEfic,MATCH(SUBSTITUTE($H872,"*","-"),MgAmenClave,0)),0)</f>
        <v/>
      </c>
    </row>
    <row r="873" ht="120" customHeight="1" s="54">
      <c r="B873" s="59" t="inlineStr">
        <is>
          <t>R-0868</t>
        </is>
      </c>
      <c r="C873" s="59" t="inlineStr">
        <is>
          <t>COM-04</t>
        </is>
      </c>
      <c r="D873" s="64">
        <f>IFERROR(INDEX(MgNombre,MATCH($C873,MgActId,0)),"")</f>
        <v/>
      </c>
      <c r="E873" s="64">
        <f>IFERROR(INDEX(MgProceso,MATCH($C873,MgActId,0)),"")</f>
        <v/>
      </c>
      <c r="F873" s="64">
        <f>IFERROR(INDEX(MgTipo,MATCH($C873,MgActId,0)),"")</f>
        <v/>
      </c>
      <c r="G873" s="64">
        <f>IFERROR(INDEX(MgSubtipo,MATCH($C873,MgActId,0)),"")</f>
        <v/>
      </c>
      <c r="H873" s="59" t="inlineStr">
        <is>
          <t>A.11</t>
        </is>
      </c>
      <c r="I873" s="64">
        <f>IFERROR(INDEX(MgAmenNombre,MATCH(SUBSTITUTE($H873,"*","-"),MgAmenClave,0)),"")</f>
        <v/>
      </c>
      <c r="J873" s="28">
        <f>IFERROR(INDEX(MgAmenGrupo,MATCH(SUBSTITUTE($H873,"*","-"),MgAmenClave,0)),"")</f>
        <v/>
      </c>
      <c r="K873" s="64">
        <f>IFERROR(INDEX('1. Matriz de Activos'!$Q$6:$Q$239,MATCH($C873,MgActId,0)),"")</f>
        <v/>
      </c>
      <c r="L873" s="64">
        <f>IFERROR(INDEX('1. Matriz de Activos'!$R$6:$R$239,MATCH($C873,MgActId,0)),"")</f>
        <v/>
      </c>
      <c r="M873" s="64">
        <f>IFERROR(INDEX('1. Matriz de Activos'!$S$6:$S$239,MATCH($C873,MgActId,0)),"")</f>
        <v/>
      </c>
      <c r="N873" s="28">
        <f>IFERROR(INDEX(MgAmenDegD,MATCH(SUBSTITUTE($H873,"*","-"),MgAmenClave,0)),"No aplica")</f>
        <v/>
      </c>
      <c r="O873" s="28">
        <f>IFERROR(INDEX(MgAmenDegI,MATCH(SUBSTITUTE($H873,"*","-"),MgAmenClave,0)),"No aplica")</f>
        <v/>
      </c>
      <c r="P873" s="28">
        <f>IFERROR(INDEX(MgAmenDegC,MATCH(SUBSTITUTE($H873,"*","-"),MgAmenClave,0)),"No aplica")</f>
        <v/>
      </c>
      <c r="Q873" s="29">
        <f>IFERROR(VLOOKUP(K873,MgValor,2,0)*VLOOKUP(N873,MgDeg,2,0),0)</f>
        <v/>
      </c>
      <c r="R873" s="29">
        <f>IFERROR(VLOOKUP(L873,MgValor,2,0)*VLOOKUP(O873,MgDeg,2,0),0)</f>
        <v/>
      </c>
      <c r="S873" s="29">
        <f>IFERROR(VLOOKUP(M873,MgValor,2,0)*VLOOKUP(P873,MgDeg,2,0),0)</f>
        <v/>
      </c>
      <c r="T873" s="30">
        <f>MAX(Q873:S873)</f>
        <v/>
      </c>
      <c r="U873" s="28">
        <f>IFERROR(LOOKUP(T873,{0;0.5;1.5;3;4.5},{"Despreciable";"Bajo";"Medio";"Alto";"Muy alto"}),"")</f>
        <v/>
      </c>
      <c r="V873" s="13">
        <f>IFERROR(INDEX(MgAmenFrec,MATCH(SUBSTITUTE($H873,"*","-"),MgAmenClave,0)),"")</f>
        <v/>
      </c>
      <c r="W873" s="28">
        <f>IFERROR(LOOKUP(X873,{0;0.01;0.1;1;10;100},{"Muy baja";"Muy baja";"Baja";"Media";"Alta";"Muy alta"}),"")</f>
        <v/>
      </c>
      <c r="X873" s="31">
        <f>IFERROR(VLOOKUP(V873,MgFrec,2,0),0)</f>
        <v/>
      </c>
      <c r="Y873" s="30">
        <f>T873*X873</f>
        <v/>
      </c>
      <c r="Z873" s="28">
        <f>IFERROR(LOOKUP(Y873,{0;0.5;5;25},{"Bajo";"Medio";"Alto";"Crítico"}),"")</f>
        <v/>
      </c>
      <c r="AA873" s="64">
        <f>IF(T873&gt;=3,IF(X873&gt;=1,"Zona 1 — Crítica: impacto alto y ocurre al menos una vez al año","Zona 4 — Catastrófica poco probable: impacto alto pero excepcional"),IF(AND(T873&lt;1.5,X873&lt;1),"Zona 3 — Asumible: impacto bajo y muy poco frecuente","Zona 2 — Atención: riesgo intermedio"))</f>
        <v/>
      </c>
      <c r="AB873" s="64">
        <f>IFERROR(INDEX(MgAmenCtrl,MATCH(SUBSTITUTE($H873,"*","-"),MgAmenClave,0)),"")</f>
        <v/>
      </c>
      <c r="AC873" s="20" t="n"/>
      <c r="AD873" s="31">
        <f>IFERROR($X873*(1-IF($AC873="",$AL873,VLOOKUP($AC873,MgMad,2,0))),"")</f>
        <v/>
      </c>
      <c r="AE873" s="28">
        <f>IFERROR(LOOKUP(AD873,{0;0.01;0.1;1;10;100},{"Muy baja";"Muy baja";"Baja";"Media";"Alta";"Muy alta"}),"")</f>
        <v/>
      </c>
      <c r="AF873" s="30">
        <f>T873*AD873</f>
        <v/>
      </c>
      <c r="AG873" s="28">
        <f>IFERROR(LOOKUP(AF873,{0;0.5;5;25},{"Bajo";"Medio";"Alto";"Crítico"}),"")</f>
        <v/>
      </c>
      <c r="AH873" s="28">
        <f>IF(AG873="","",IF(OR(AG873="Crítico",AG873="Alto"),"Mitigar",IF(AG873="Medio","Mitigar","Aceptar y monitorear")))</f>
        <v/>
      </c>
      <c r="AI873" s="21" t="n"/>
      <c r="AJ873" s="21" t="n"/>
      <c r="AK873" s="20" t="n"/>
      <c r="AL873" s="77">
        <f>IFERROR(INDEX(MgAmenEfic,MATCH(SUBSTITUTE($H873,"*","-"),MgAmenClave,0)),0)</f>
        <v/>
      </c>
    </row>
    <row r="874" ht="90" customHeight="1" s="54">
      <c r="B874" s="59" t="inlineStr">
        <is>
          <t>R-0869</t>
        </is>
      </c>
      <c r="C874" s="59" t="inlineStr">
        <is>
          <t>COM-04</t>
        </is>
      </c>
      <c r="D874" s="64">
        <f>IFERROR(INDEX(MgNombre,MATCH($C874,MgActId,0)),"")</f>
        <v/>
      </c>
      <c r="E874" s="64">
        <f>IFERROR(INDEX(MgProceso,MATCH($C874,MgActId,0)),"")</f>
        <v/>
      </c>
      <c r="F874" s="64">
        <f>IFERROR(INDEX(MgTipo,MATCH($C874,MgActId,0)),"")</f>
        <v/>
      </c>
      <c r="G874" s="64">
        <f>IFERROR(INDEX(MgSubtipo,MATCH($C874,MgActId,0)),"")</f>
        <v/>
      </c>
      <c r="H874" s="59" t="inlineStr">
        <is>
          <t>A.13</t>
        </is>
      </c>
      <c r="I874" s="64">
        <f>IFERROR(INDEX(MgAmenNombre,MATCH(SUBSTITUTE($H874,"*","-"),MgAmenClave,0)),"")</f>
        <v/>
      </c>
      <c r="J874" s="28">
        <f>IFERROR(INDEX(MgAmenGrupo,MATCH(SUBSTITUTE($H874,"*","-"),MgAmenClave,0)),"")</f>
        <v/>
      </c>
      <c r="K874" s="64">
        <f>IFERROR(INDEX('1. Matriz de Activos'!$Q$6:$Q$239,MATCH($C874,MgActId,0)),"")</f>
        <v/>
      </c>
      <c r="L874" s="64">
        <f>IFERROR(INDEX('1. Matriz de Activos'!$R$6:$R$239,MATCH($C874,MgActId,0)),"")</f>
        <v/>
      </c>
      <c r="M874" s="64">
        <f>IFERROR(INDEX('1. Matriz de Activos'!$S$6:$S$239,MATCH($C874,MgActId,0)),"")</f>
        <v/>
      </c>
      <c r="N874" s="28">
        <f>IFERROR(INDEX(MgAmenDegD,MATCH(SUBSTITUTE($H874,"*","-"),MgAmenClave,0)),"No aplica")</f>
        <v/>
      </c>
      <c r="O874" s="28">
        <f>IFERROR(INDEX(MgAmenDegI,MATCH(SUBSTITUTE($H874,"*","-"),MgAmenClave,0)),"No aplica")</f>
        <v/>
      </c>
      <c r="P874" s="28">
        <f>IFERROR(INDEX(MgAmenDegC,MATCH(SUBSTITUTE($H874,"*","-"),MgAmenClave,0)),"No aplica")</f>
        <v/>
      </c>
      <c r="Q874" s="29">
        <f>IFERROR(VLOOKUP(K874,MgValor,2,0)*VLOOKUP(N874,MgDeg,2,0),0)</f>
        <v/>
      </c>
      <c r="R874" s="29">
        <f>IFERROR(VLOOKUP(L874,MgValor,2,0)*VLOOKUP(O874,MgDeg,2,0),0)</f>
        <v/>
      </c>
      <c r="S874" s="29">
        <f>IFERROR(VLOOKUP(M874,MgValor,2,0)*VLOOKUP(P874,MgDeg,2,0),0)</f>
        <v/>
      </c>
      <c r="T874" s="30">
        <f>MAX(Q874:S874)</f>
        <v/>
      </c>
      <c r="U874" s="28">
        <f>IFERROR(LOOKUP(T874,{0;0.5;1.5;3;4.5},{"Despreciable";"Bajo";"Medio";"Alto";"Muy alto"}),"")</f>
        <v/>
      </c>
      <c r="V874" s="13">
        <f>IFERROR(INDEX(MgAmenFrec,MATCH(SUBSTITUTE($H874,"*","-"),MgAmenClave,0)),"")</f>
        <v/>
      </c>
      <c r="W874" s="28">
        <f>IFERROR(LOOKUP(X874,{0;0.01;0.1;1;10;100},{"Muy baja";"Muy baja";"Baja";"Media";"Alta";"Muy alta"}),"")</f>
        <v/>
      </c>
      <c r="X874" s="31">
        <f>IFERROR(VLOOKUP(V874,MgFrec,2,0),0)</f>
        <v/>
      </c>
      <c r="Y874" s="30">
        <f>T874*X874</f>
        <v/>
      </c>
      <c r="Z874" s="28">
        <f>IFERROR(LOOKUP(Y874,{0;0.5;5;25},{"Bajo";"Medio";"Alto";"Crítico"}),"")</f>
        <v/>
      </c>
      <c r="AA874" s="64">
        <f>IF(T874&gt;=3,IF(X874&gt;=1,"Zona 1 — Crítica: impacto alto y ocurre al menos una vez al año","Zona 4 — Catastrófica poco probable: impacto alto pero excepcional"),IF(AND(T874&lt;1.5,X874&lt;1),"Zona 3 — Asumible: impacto bajo y muy poco frecuente","Zona 2 — Atención: riesgo intermedio"))</f>
        <v/>
      </c>
      <c r="AB874" s="64">
        <f>IFERROR(INDEX(MgAmenCtrl,MATCH(SUBSTITUTE($H874,"*","-"),MgAmenClave,0)),"")</f>
        <v/>
      </c>
      <c r="AC874" s="20" t="n"/>
      <c r="AD874" s="31">
        <f>IFERROR($X874*(1-IF($AC874="",$AL874,VLOOKUP($AC874,MgMad,2,0))),"")</f>
        <v/>
      </c>
      <c r="AE874" s="28">
        <f>IFERROR(LOOKUP(AD874,{0;0.01;0.1;1;10;100},{"Muy baja";"Muy baja";"Baja";"Media";"Alta";"Muy alta"}),"")</f>
        <v/>
      </c>
      <c r="AF874" s="30">
        <f>T874*AD874</f>
        <v/>
      </c>
      <c r="AG874" s="28">
        <f>IFERROR(LOOKUP(AF874,{0;0.5;5;25},{"Bajo";"Medio";"Alto";"Crítico"}),"")</f>
        <v/>
      </c>
      <c r="AH874" s="28">
        <f>IF(AG874="","",IF(OR(AG874="Crítico",AG874="Alto"),"Mitigar",IF(AG874="Medio","Mitigar","Aceptar y monitorear")))</f>
        <v/>
      </c>
      <c r="AI874" s="21" t="n"/>
      <c r="AJ874" s="21" t="n"/>
      <c r="AK874" s="20" t="n"/>
      <c r="AL874" s="77">
        <f>IFERROR(INDEX(MgAmenEfic,MATCH(SUBSTITUTE($H874,"*","-"),MgAmenClave,0)),0)</f>
        <v/>
      </c>
    </row>
    <row r="875" ht="60" customHeight="1" s="54">
      <c r="B875" s="59" t="inlineStr">
        <is>
          <t>R-0870</t>
        </is>
      </c>
      <c r="C875" s="59" t="inlineStr">
        <is>
          <t>COM-04</t>
        </is>
      </c>
      <c r="D875" s="64">
        <f>IFERROR(INDEX(MgNombre,MATCH($C875,MgActId,0)),"")</f>
        <v/>
      </c>
      <c r="E875" s="64">
        <f>IFERROR(INDEX(MgProceso,MATCH($C875,MgActId,0)),"")</f>
        <v/>
      </c>
      <c r="F875" s="64">
        <f>IFERROR(INDEX(MgTipo,MATCH($C875,MgActId,0)),"")</f>
        <v/>
      </c>
      <c r="G875" s="64">
        <f>IFERROR(INDEX(MgSubtipo,MATCH($C875,MgActId,0)),"")</f>
        <v/>
      </c>
      <c r="H875" s="59" t="inlineStr">
        <is>
          <t>A.15</t>
        </is>
      </c>
      <c r="I875" s="64">
        <f>IFERROR(INDEX(MgAmenNombre,MATCH(SUBSTITUTE($H875,"*","-"),MgAmenClave,0)),"")</f>
        <v/>
      </c>
      <c r="J875" s="28">
        <f>IFERROR(INDEX(MgAmenGrupo,MATCH(SUBSTITUTE($H875,"*","-"),MgAmenClave,0)),"")</f>
        <v/>
      </c>
      <c r="K875" s="64">
        <f>IFERROR(INDEX('1. Matriz de Activos'!$Q$6:$Q$239,MATCH($C875,MgActId,0)),"")</f>
        <v/>
      </c>
      <c r="L875" s="64">
        <f>IFERROR(INDEX('1. Matriz de Activos'!$R$6:$R$239,MATCH($C875,MgActId,0)),"")</f>
        <v/>
      </c>
      <c r="M875" s="64">
        <f>IFERROR(INDEX('1. Matriz de Activos'!$S$6:$S$239,MATCH($C875,MgActId,0)),"")</f>
        <v/>
      </c>
      <c r="N875" s="28">
        <f>IFERROR(INDEX(MgAmenDegD,MATCH(SUBSTITUTE($H875,"*","-"),MgAmenClave,0)),"No aplica")</f>
        <v/>
      </c>
      <c r="O875" s="28">
        <f>IFERROR(INDEX(MgAmenDegI,MATCH(SUBSTITUTE($H875,"*","-"),MgAmenClave,0)),"No aplica")</f>
        <v/>
      </c>
      <c r="P875" s="28">
        <f>IFERROR(INDEX(MgAmenDegC,MATCH(SUBSTITUTE($H875,"*","-"),MgAmenClave,0)),"No aplica")</f>
        <v/>
      </c>
      <c r="Q875" s="29">
        <f>IFERROR(VLOOKUP(K875,MgValor,2,0)*VLOOKUP(N875,MgDeg,2,0),0)</f>
        <v/>
      </c>
      <c r="R875" s="29">
        <f>IFERROR(VLOOKUP(L875,MgValor,2,0)*VLOOKUP(O875,MgDeg,2,0),0)</f>
        <v/>
      </c>
      <c r="S875" s="29">
        <f>IFERROR(VLOOKUP(M875,MgValor,2,0)*VLOOKUP(P875,MgDeg,2,0),0)</f>
        <v/>
      </c>
      <c r="T875" s="30">
        <f>MAX(Q875:S875)</f>
        <v/>
      </c>
      <c r="U875" s="28">
        <f>IFERROR(LOOKUP(T875,{0;0.5;1.5;3;4.5},{"Despreciable";"Bajo";"Medio";"Alto";"Muy alto"}),"")</f>
        <v/>
      </c>
      <c r="V875" s="13">
        <f>IFERROR(INDEX(MgAmenFrec,MATCH(SUBSTITUTE($H875,"*","-"),MgAmenClave,0)),"")</f>
        <v/>
      </c>
      <c r="W875" s="28">
        <f>IFERROR(LOOKUP(X875,{0;0.01;0.1;1;10;100},{"Muy baja";"Muy baja";"Baja";"Media";"Alta";"Muy alta"}),"")</f>
        <v/>
      </c>
      <c r="X875" s="31">
        <f>IFERROR(VLOOKUP(V875,MgFrec,2,0),0)</f>
        <v/>
      </c>
      <c r="Y875" s="30">
        <f>T875*X875</f>
        <v/>
      </c>
      <c r="Z875" s="28">
        <f>IFERROR(LOOKUP(Y875,{0;0.5;5;25},{"Bajo";"Medio";"Alto";"Crítico"}),"")</f>
        <v/>
      </c>
      <c r="AA875" s="64">
        <f>IF(T875&gt;=3,IF(X875&gt;=1,"Zona 1 — Crítica: impacto alto y ocurre al menos una vez al año","Zona 4 — Catastrófica poco probable: impacto alto pero excepcional"),IF(AND(T875&lt;1.5,X875&lt;1),"Zona 3 — Asumible: impacto bajo y muy poco frecuente","Zona 2 — Atención: riesgo intermedio"))</f>
        <v/>
      </c>
      <c r="AB875" s="64">
        <f>IFERROR(INDEX(MgAmenCtrl,MATCH(SUBSTITUTE($H875,"*","-"),MgAmenClave,0)),"")</f>
        <v/>
      </c>
      <c r="AC875" s="20" t="n"/>
      <c r="AD875" s="31">
        <f>IFERROR($X875*(1-IF($AC875="",$AL875,VLOOKUP($AC875,MgMad,2,0))),"")</f>
        <v/>
      </c>
      <c r="AE875" s="28">
        <f>IFERROR(LOOKUP(AD875,{0;0.01;0.1;1;10;100},{"Muy baja";"Muy baja";"Baja";"Media";"Alta";"Muy alta"}),"")</f>
        <v/>
      </c>
      <c r="AF875" s="30">
        <f>T875*AD875</f>
        <v/>
      </c>
      <c r="AG875" s="28">
        <f>IFERROR(LOOKUP(AF875,{0;0.5;5;25},{"Bajo";"Medio";"Alto";"Crítico"}),"")</f>
        <v/>
      </c>
      <c r="AH875" s="28">
        <f>IF(AG875="","",IF(OR(AG875="Crítico",AG875="Alto"),"Mitigar",IF(AG875="Medio","Mitigar","Aceptar y monitorear")))</f>
        <v/>
      </c>
      <c r="AI875" s="21" t="n"/>
      <c r="AJ875" s="21" t="n"/>
      <c r="AK875" s="20" t="n"/>
      <c r="AL875" s="77">
        <f>IFERROR(INDEX(MgAmenEfic,MATCH(SUBSTITUTE($H875,"*","-"),MgAmenClave,0)),0)</f>
        <v/>
      </c>
    </row>
    <row r="876" ht="60" customHeight="1" s="54">
      <c r="B876" s="59" t="inlineStr">
        <is>
          <t>R-0871</t>
        </is>
      </c>
      <c r="C876" s="59" t="inlineStr">
        <is>
          <t>COM-04</t>
        </is>
      </c>
      <c r="D876" s="64">
        <f>IFERROR(INDEX(MgNombre,MATCH($C876,MgActId,0)),"")</f>
        <v/>
      </c>
      <c r="E876" s="64">
        <f>IFERROR(INDEX(MgProceso,MATCH($C876,MgActId,0)),"")</f>
        <v/>
      </c>
      <c r="F876" s="64">
        <f>IFERROR(INDEX(MgTipo,MATCH($C876,MgActId,0)),"")</f>
        <v/>
      </c>
      <c r="G876" s="64">
        <f>IFERROR(INDEX(MgSubtipo,MATCH($C876,MgActId,0)),"")</f>
        <v/>
      </c>
      <c r="H876" s="59" t="inlineStr">
        <is>
          <t>A.18</t>
        </is>
      </c>
      <c r="I876" s="64">
        <f>IFERROR(INDEX(MgAmenNombre,MATCH(SUBSTITUTE($H876,"*","-"),MgAmenClave,0)),"")</f>
        <v/>
      </c>
      <c r="J876" s="28">
        <f>IFERROR(INDEX(MgAmenGrupo,MATCH(SUBSTITUTE($H876,"*","-"),MgAmenClave,0)),"")</f>
        <v/>
      </c>
      <c r="K876" s="64">
        <f>IFERROR(INDEX('1. Matriz de Activos'!$Q$6:$Q$239,MATCH($C876,MgActId,0)),"")</f>
        <v/>
      </c>
      <c r="L876" s="64">
        <f>IFERROR(INDEX('1. Matriz de Activos'!$R$6:$R$239,MATCH($C876,MgActId,0)),"")</f>
        <v/>
      </c>
      <c r="M876" s="64">
        <f>IFERROR(INDEX('1. Matriz de Activos'!$S$6:$S$239,MATCH($C876,MgActId,0)),"")</f>
        <v/>
      </c>
      <c r="N876" s="28">
        <f>IFERROR(INDEX(MgAmenDegD,MATCH(SUBSTITUTE($H876,"*","-"),MgAmenClave,0)),"No aplica")</f>
        <v/>
      </c>
      <c r="O876" s="28">
        <f>IFERROR(INDEX(MgAmenDegI,MATCH(SUBSTITUTE($H876,"*","-"),MgAmenClave,0)),"No aplica")</f>
        <v/>
      </c>
      <c r="P876" s="28">
        <f>IFERROR(INDEX(MgAmenDegC,MATCH(SUBSTITUTE($H876,"*","-"),MgAmenClave,0)),"No aplica")</f>
        <v/>
      </c>
      <c r="Q876" s="29">
        <f>IFERROR(VLOOKUP(K876,MgValor,2,0)*VLOOKUP(N876,MgDeg,2,0),0)</f>
        <v/>
      </c>
      <c r="R876" s="29">
        <f>IFERROR(VLOOKUP(L876,MgValor,2,0)*VLOOKUP(O876,MgDeg,2,0),0)</f>
        <v/>
      </c>
      <c r="S876" s="29">
        <f>IFERROR(VLOOKUP(M876,MgValor,2,0)*VLOOKUP(P876,MgDeg,2,0),0)</f>
        <v/>
      </c>
      <c r="T876" s="30">
        <f>MAX(Q876:S876)</f>
        <v/>
      </c>
      <c r="U876" s="28">
        <f>IFERROR(LOOKUP(T876,{0;0.5;1.5;3;4.5},{"Despreciable";"Bajo";"Medio";"Alto";"Muy alto"}),"")</f>
        <v/>
      </c>
      <c r="V876" s="13">
        <f>IFERROR(INDEX(MgAmenFrec,MATCH(SUBSTITUTE($H876,"*","-"),MgAmenClave,0)),"")</f>
        <v/>
      </c>
      <c r="W876" s="28">
        <f>IFERROR(LOOKUP(X876,{0;0.01;0.1;1;10;100},{"Muy baja";"Muy baja";"Baja";"Media";"Alta";"Muy alta"}),"")</f>
        <v/>
      </c>
      <c r="X876" s="31">
        <f>IFERROR(VLOOKUP(V876,MgFrec,2,0),0)</f>
        <v/>
      </c>
      <c r="Y876" s="30">
        <f>T876*X876</f>
        <v/>
      </c>
      <c r="Z876" s="28">
        <f>IFERROR(LOOKUP(Y876,{0;0.5;5;25},{"Bajo";"Medio";"Alto";"Crítico"}),"")</f>
        <v/>
      </c>
      <c r="AA876" s="64">
        <f>IF(T876&gt;=3,IF(X876&gt;=1,"Zona 1 — Crítica: impacto alto y ocurre al menos una vez al año","Zona 4 — Catastrófica poco probable: impacto alto pero excepcional"),IF(AND(T876&lt;1.5,X876&lt;1),"Zona 3 — Asumible: impacto bajo y muy poco frecuente","Zona 2 — Atención: riesgo intermedio"))</f>
        <v/>
      </c>
      <c r="AB876" s="64">
        <f>IFERROR(INDEX(MgAmenCtrl,MATCH(SUBSTITUTE($H876,"*","-"),MgAmenClave,0)),"")</f>
        <v/>
      </c>
      <c r="AC876" s="20" t="n"/>
      <c r="AD876" s="31">
        <f>IFERROR($X876*(1-IF($AC876="",$AL876,VLOOKUP($AC876,MgMad,2,0))),"")</f>
        <v/>
      </c>
      <c r="AE876" s="28">
        <f>IFERROR(LOOKUP(AD876,{0;0.01;0.1;1;10;100},{"Muy baja";"Muy baja";"Baja";"Media";"Alta";"Muy alta"}),"")</f>
        <v/>
      </c>
      <c r="AF876" s="30">
        <f>T876*AD876</f>
        <v/>
      </c>
      <c r="AG876" s="28">
        <f>IFERROR(LOOKUP(AF876,{0;0.5;5;25},{"Bajo";"Medio";"Alto";"Crítico"}),"")</f>
        <v/>
      </c>
      <c r="AH876" s="28">
        <f>IF(AG876="","",IF(OR(AG876="Crítico",AG876="Alto"),"Mitigar",IF(AG876="Medio","Mitigar","Aceptar y monitorear")))</f>
        <v/>
      </c>
      <c r="AI876" s="21" t="n"/>
      <c r="AJ876" s="21" t="n"/>
      <c r="AK876" s="20" t="n"/>
      <c r="AL876" s="77">
        <f>IFERROR(INDEX(MgAmenEfic,MATCH(SUBSTITUTE($H876,"*","-"),MgAmenClave,0)),0)</f>
        <v/>
      </c>
    </row>
    <row r="877" ht="120" customHeight="1" s="54">
      <c r="B877" s="59" t="inlineStr">
        <is>
          <t>R-0872</t>
        </is>
      </c>
      <c r="C877" s="59" t="inlineStr">
        <is>
          <t>COM-04</t>
        </is>
      </c>
      <c r="D877" s="64">
        <f>IFERROR(INDEX(MgNombre,MATCH($C877,MgActId,0)),"")</f>
        <v/>
      </c>
      <c r="E877" s="64">
        <f>IFERROR(INDEX(MgProceso,MATCH($C877,MgActId,0)),"")</f>
        <v/>
      </c>
      <c r="F877" s="64">
        <f>IFERROR(INDEX(MgTipo,MATCH($C877,MgActId,0)),"")</f>
        <v/>
      </c>
      <c r="G877" s="64">
        <f>IFERROR(INDEX(MgSubtipo,MATCH($C877,MgActId,0)),"")</f>
        <v/>
      </c>
      <c r="H877" s="59" t="inlineStr">
        <is>
          <t>A.19</t>
        </is>
      </c>
      <c r="I877" s="64">
        <f>IFERROR(INDEX(MgAmenNombre,MATCH(SUBSTITUTE($H877,"*","-"),MgAmenClave,0)),"")</f>
        <v/>
      </c>
      <c r="J877" s="28">
        <f>IFERROR(INDEX(MgAmenGrupo,MATCH(SUBSTITUTE($H877,"*","-"),MgAmenClave,0)),"")</f>
        <v/>
      </c>
      <c r="K877" s="64">
        <f>IFERROR(INDEX('1. Matriz de Activos'!$Q$6:$Q$239,MATCH($C877,MgActId,0)),"")</f>
        <v/>
      </c>
      <c r="L877" s="64">
        <f>IFERROR(INDEX('1. Matriz de Activos'!$R$6:$R$239,MATCH($C877,MgActId,0)),"")</f>
        <v/>
      </c>
      <c r="M877" s="64">
        <f>IFERROR(INDEX('1. Matriz de Activos'!$S$6:$S$239,MATCH($C877,MgActId,0)),"")</f>
        <v/>
      </c>
      <c r="N877" s="28">
        <f>IFERROR(INDEX(MgAmenDegD,MATCH(SUBSTITUTE($H877,"*","-"),MgAmenClave,0)),"No aplica")</f>
        <v/>
      </c>
      <c r="O877" s="28">
        <f>IFERROR(INDEX(MgAmenDegI,MATCH(SUBSTITUTE($H877,"*","-"),MgAmenClave,0)),"No aplica")</f>
        <v/>
      </c>
      <c r="P877" s="28">
        <f>IFERROR(INDEX(MgAmenDegC,MATCH(SUBSTITUTE($H877,"*","-"),MgAmenClave,0)),"No aplica")</f>
        <v/>
      </c>
      <c r="Q877" s="29">
        <f>IFERROR(VLOOKUP(K877,MgValor,2,0)*VLOOKUP(N877,MgDeg,2,0),0)</f>
        <v/>
      </c>
      <c r="R877" s="29">
        <f>IFERROR(VLOOKUP(L877,MgValor,2,0)*VLOOKUP(O877,MgDeg,2,0),0)</f>
        <v/>
      </c>
      <c r="S877" s="29">
        <f>IFERROR(VLOOKUP(M877,MgValor,2,0)*VLOOKUP(P877,MgDeg,2,0),0)</f>
        <v/>
      </c>
      <c r="T877" s="30">
        <f>MAX(Q877:S877)</f>
        <v/>
      </c>
      <c r="U877" s="28">
        <f>IFERROR(LOOKUP(T877,{0;0.5;1.5;3;4.5},{"Despreciable";"Bajo";"Medio";"Alto";"Muy alto"}),"")</f>
        <v/>
      </c>
      <c r="V877" s="13">
        <f>IFERROR(INDEX(MgAmenFrec,MATCH(SUBSTITUTE($H877,"*","-"),MgAmenClave,0)),"")</f>
        <v/>
      </c>
      <c r="W877" s="28">
        <f>IFERROR(LOOKUP(X877,{0;0.01;0.1;1;10;100},{"Muy baja";"Muy baja";"Baja";"Media";"Alta";"Muy alta"}),"")</f>
        <v/>
      </c>
      <c r="X877" s="31">
        <f>IFERROR(VLOOKUP(V877,MgFrec,2,0),0)</f>
        <v/>
      </c>
      <c r="Y877" s="30">
        <f>T877*X877</f>
        <v/>
      </c>
      <c r="Z877" s="28">
        <f>IFERROR(LOOKUP(Y877,{0;0.5;5;25},{"Bajo";"Medio";"Alto";"Crítico"}),"")</f>
        <v/>
      </c>
      <c r="AA877" s="64">
        <f>IF(T877&gt;=3,IF(X877&gt;=1,"Zona 1 — Crítica: impacto alto y ocurre al menos una vez al año","Zona 4 — Catastrófica poco probable: impacto alto pero excepcional"),IF(AND(T877&lt;1.5,X877&lt;1),"Zona 3 — Asumible: impacto bajo y muy poco frecuente","Zona 2 — Atención: riesgo intermedio"))</f>
        <v/>
      </c>
      <c r="AB877" s="64">
        <f>IFERROR(INDEX(MgAmenCtrl,MATCH(SUBSTITUTE($H877,"*","-"),MgAmenClave,0)),"")</f>
        <v/>
      </c>
      <c r="AC877" s="20" t="n"/>
      <c r="AD877" s="31">
        <f>IFERROR($X877*(1-IF($AC877="",$AL877,VLOOKUP($AC877,MgMad,2,0))),"")</f>
        <v/>
      </c>
      <c r="AE877" s="28">
        <f>IFERROR(LOOKUP(AD877,{0;0.01;0.1;1;10;100},{"Muy baja";"Muy baja";"Baja";"Media";"Alta";"Muy alta"}),"")</f>
        <v/>
      </c>
      <c r="AF877" s="30">
        <f>T877*AD877</f>
        <v/>
      </c>
      <c r="AG877" s="28">
        <f>IFERROR(LOOKUP(AF877,{0;0.5;5;25},{"Bajo";"Medio";"Alto";"Crítico"}),"")</f>
        <v/>
      </c>
      <c r="AH877" s="28">
        <f>IF(AG877="","",IF(OR(AG877="Crítico",AG877="Alto"),"Mitigar",IF(AG877="Medio","Mitigar","Aceptar y monitorear")))</f>
        <v/>
      </c>
      <c r="AI877" s="21" t="n"/>
      <c r="AJ877" s="21" t="n"/>
      <c r="AK877" s="20" t="n"/>
      <c r="AL877" s="77">
        <f>IFERROR(INDEX(MgAmenEfic,MATCH(SUBSTITUTE($H877,"*","-"),MgAmenClave,0)),0)</f>
        <v/>
      </c>
    </row>
    <row r="878" hidden="1" ht="105" customHeight="1" s="54">
      <c r="B878" s="59" t="inlineStr">
        <is>
          <t>R-0873</t>
        </is>
      </c>
      <c r="C878" s="59" t="inlineStr">
        <is>
          <t>TAL-06</t>
        </is>
      </c>
      <c r="D878" s="64">
        <f>IFERROR(INDEX(MgNombre,MATCH($C878,MgActId,0)),"")</f>
        <v/>
      </c>
      <c r="E878" s="64">
        <f>IFERROR(INDEX(MgProceso,MATCH($C878,MgActId,0)),"")</f>
        <v/>
      </c>
      <c r="F878" s="64">
        <f>IFERROR(INDEX(MgTipo,MATCH($C878,MgActId,0)),"")</f>
        <v/>
      </c>
      <c r="G878" s="64">
        <f>IFERROR(INDEX(MgSubtipo,MATCH($C878,MgActId,0)),"")</f>
        <v/>
      </c>
      <c r="H878" s="59" t="inlineStr">
        <is>
          <t>E.1</t>
        </is>
      </c>
      <c r="I878" s="64">
        <f>IFERROR(INDEX(MgAmenNombre,MATCH(SUBSTITUTE($H878,"*","-"),MgAmenClave,0)),"")</f>
        <v/>
      </c>
      <c r="J878" s="28">
        <f>IFERROR(INDEX(MgAmenGrupo,MATCH(SUBSTITUTE($H878,"*","-"),MgAmenClave,0)),"")</f>
        <v/>
      </c>
      <c r="K878" s="64">
        <f>IFERROR(INDEX('1. Matriz de Activos'!$Q$6:$Q$239,MATCH($C878,MgActId,0)),"")</f>
        <v/>
      </c>
      <c r="L878" s="64">
        <f>IFERROR(INDEX('1. Matriz de Activos'!$R$6:$R$239,MATCH($C878,MgActId,0)),"")</f>
        <v/>
      </c>
      <c r="M878" s="64">
        <f>IFERROR(INDEX('1. Matriz de Activos'!$S$6:$S$239,MATCH($C878,MgActId,0)),"")</f>
        <v/>
      </c>
      <c r="N878" s="28">
        <f>IFERROR(INDEX(MgAmenDegD,MATCH(SUBSTITUTE($H878,"*","-"),MgAmenClave,0)),"No aplica")</f>
        <v/>
      </c>
      <c r="O878" s="28">
        <f>IFERROR(INDEX(MgAmenDegI,MATCH(SUBSTITUTE($H878,"*","-"),MgAmenClave,0)),"No aplica")</f>
        <v/>
      </c>
      <c r="P878" s="28">
        <f>IFERROR(INDEX(MgAmenDegC,MATCH(SUBSTITUTE($H878,"*","-"),MgAmenClave,0)),"No aplica")</f>
        <v/>
      </c>
      <c r="Q878" s="29">
        <f>IFERROR(VLOOKUP(K878,MgValor,2,0)*VLOOKUP(N878,MgDeg,2,0),0)</f>
        <v/>
      </c>
      <c r="R878" s="29">
        <f>IFERROR(VLOOKUP(L878,MgValor,2,0)*VLOOKUP(O878,MgDeg,2,0),0)</f>
        <v/>
      </c>
      <c r="S878" s="29">
        <f>IFERROR(VLOOKUP(M878,MgValor,2,0)*VLOOKUP(P878,MgDeg,2,0),0)</f>
        <v/>
      </c>
      <c r="T878" s="30">
        <f>MAX(Q878:S878)</f>
        <v/>
      </c>
      <c r="U878" s="28">
        <f>IFERROR(LOOKUP(T878,{0;0.5;1.5;3;4.5},{"Despreciable";"Bajo";"Medio";"Alto";"Muy alto"}),"")</f>
        <v/>
      </c>
      <c r="V878" s="13">
        <f>IFERROR(INDEX(MgAmenFrec,MATCH(SUBSTITUTE($H878,"*","-"),MgAmenClave,0)),"")</f>
        <v/>
      </c>
      <c r="W878" s="28">
        <f>IFERROR(LOOKUP(X878,{0;0.01;0.1;1;10;100},{"Muy baja";"Muy baja";"Baja";"Media";"Alta";"Muy alta"}),"")</f>
        <v/>
      </c>
      <c r="X878" s="31">
        <f>IFERROR(VLOOKUP(V878,MgFrec,2,0),0)</f>
        <v/>
      </c>
      <c r="Y878" s="30">
        <f>T878*X878</f>
        <v/>
      </c>
      <c r="Z878" s="28">
        <f>IFERROR(LOOKUP(Y878,{0;0.5;5;25},{"Bajo";"Medio";"Alto";"Crítico"}),"")</f>
        <v/>
      </c>
      <c r="AA878" s="64">
        <f>IF(T878&gt;=3,IF(X878&gt;=1,"Zona 1 — Crítica: impacto alto y ocurre al menos una vez al año","Zona 4 — Catastrófica poco probable: impacto alto pero excepcional"),IF(AND(T878&lt;1.5,X878&lt;1),"Zona 3 — Asumible: impacto bajo y muy poco frecuente","Zona 2 — Atención: riesgo intermedio"))</f>
        <v/>
      </c>
      <c r="AB878" s="64">
        <f>IFERROR(INDEX(MgAmenCtrl,MATCH(SUBSTITUTE($H878,"*","-"),MgAmenClave,0)),"")</f>
        <v/>
      </c>
      <c r="AC878" s="20" t="n"/>
      <c r="AD878" s="31">
        <f>IFERROR($X878*(1-IF($AC878="",$AL878,VLOOKUP($AC878,MgMad,2,0))),"")</f>
        <v/>
      </c>
      <c r="AE878" s="28">
        <f>IFERROR(LOOKUP(AD878,{0;0.01;0.1;1;10;100},{"Muy baja";"Muy baja";"Baja";"Media";"Alta";"Muy alta"}),"")</f>
        <v/>
      </c>
      <c r="AF878" s="30">
        <f>T878*AD878</f>
        <v/>
      </c>
      <c r="AG878" s="28">
        <f>IFERROR(LOOKUP(AF878,{0;0.5;5;25},{"Bajo";"Medio";"Alto";"Crítico"}),"")</f>
        <v/>
      </c>
      <c r="AH878" s="28">
        <f>IF(AG878="","",IF(OR(AG878="Crítico",AG878="Alto"),"Mitigar",IF(AG878="Medio","Mitigar","Aceptar y monitorear")))</f>
        <v/>
      </c>
      <c r="AI878" s="21" t="n"/>
      <c r="AJ878" s="21" t="n"/>
      <c r="AK878" s="20" t="n"/>
      <c r="AL878" s="77">
        <f>IFERROR(INDEX(MgAmenEfic,MATCH(SUBSTITUTE($H878,"*","-"),MgAmenClave,0)),0)</f>
        <v/>
      </c>
    </row>
    <row r="879" hidden="1" ht="120" customHeight="1" s="54">
      <c r="B879" s="59" t="inlineStr">
        <is>
          <t>R-0874</t>
        </is>
      </c>
      <c r="C879" s="59" t="inlineStr">
        <is>
          <t>TAL-06</t>
        </is>
      </c>
      <c r="D879" s="64">
        <f>IFERROR(INDEX(MgNombre,MATCH($C879,MgActId,0)),"")</f>
        <v/>
      </c>
      <c r="E879" s="64">
        <f>IFERROR(INDEX(MgProceso,MATCH($C879,MgActId,0)),"")</f>
        <v/>
      </c>
      <c r="F879" s="64">
        <f>IFERROR(INDEX(MgTipo,MATCH($C879,MgActId,0)),"")</f>
        <v/>
      </c>
      <c r="G879" s="64">
        <f>IFERROR(INDEX(MgSubtipo,MATCH($C879,MgActId,0)),"")</f>
        <v/>
      </c>
      <c r="H879" s="59" t="inlineStr">
        <is>
          <t>E.2</t>
        </is>
      </c>
      <c r="I879" s="64">
        <f>IFERROR(INDEX(MgAmenNombre,MATCH(SUBSTITUTE($H879,"*","-"),MgAmenClave,0)),"")</f>
        <v/>
      </c>
      <c r="J879" s="28">
        <f>IFERROR(INDEX(MgAmenGrupo,MATCH(SUBSTITUTE($H879,"*","-"),MgAmenClave,0)),"")</f>
        <v/>
      </c>
      <c r="K879" s="64">
        <f>IFERROR(INDEX('1. Matriz de Activos'!$Q$6:$Q$239,MATCH($C879,MgActId,0)),"")</f>
        <v/>
      </c>
      <c r="L879" s="64">
        <f>IFERROR(INDEX('1. Matriz de Activos'!$R$6:$R$239,MATCH($C879,MgActId,0)),"")</f>
        <v/>
      </c>
      <c r="M879" s="64">
        <f>IFERROR(INDEX('1. Matriz de Activos'!$S$6:$S$239,MATCH($C879,MgActId,0)),"")</f>
        <v/>
      </c>
      <c r="N879" s="28">
        <f>IFERROR(INDEX(MgAmenDegD,MATCH(SUBSTITUTE($H879,"*","-"),MgAmenClave,0)),"No aplica")</f>
        <v/>
      </c>
      <c r="O879" s="28">
        <f>IFERROR(INDEX(MgAmenDegI,MATCH(SUBSTITUTE($H879,"*","-"),MgAmenClave,0)),"No aplica")</f>
        <v/>
      </c>
      <c r="P879" s="28">
        <f>IFERROR(INDEX(MgAmenDegC,MATCH(SUBSTITUTE($H879,"*","-"),MgAmenClave,0)),"No aplica")</f>
        <v/>
      </c>
      <c r="Q879" s="29">
        <f>IFERROR(VLOOKUP(K879,MgValor,2,0)*VLOOKUP(N879,MgDeg,2,0),0)</f>
        <v/>
      </c>
      <c r="R879" s="29">
        <f>IFERROR(VLOOKUP(L879,MgValor,2,0)*VLOOKUP(O879,MgDeg,2,0),0)</f>
        <v/>
      </c>
      <c r="S879" s="29">
        <f>IFERROR(VLOOKUP(M879,MgValor,2,0)*VLOOKUP(P879,MgDeg,2,0),0)</f>
        <v/>
      </c>
      <c r="T879" s="30">
        <f>MAX(Q879:S879)</f>
        <v/>
      </c>
      <c r="U879" s="28">
        <f>IFERROR(LOOKUP(T879,{0;0.5;1.5;3;4.5},{"Despreciable";"Bajo";"Medio";"Alto";"Muy alto"}),"")</f>
        <v/>
      </c>
      <c r="V879" s="13">
        <f>IFERROR(INDEX(MgAmenFrec,MATCH(SUBSTITUTE($H879,"*","-"),MgAmenClave,0)),"")</f>
        <v/>
      </c>
      <c r="W879" s="28">
        <f>IFERROR(LOOKUP(X879,{0;0.01;0.1;1;10;100},{"Muy baja";"Muy baja";"Baja";"Media";"Alta";"Muy alta"}),"")</f>
        <v/>
      </c>
      <c r="X879" s="31">
        <f>IFERROR(VLOOKUP(V879,MgFrec,2,0),0)</f>
        <v/>
      </c>
      <c r="Y879" s="30">
        <f>T879*X879</f>
        <v/>
      </c>
      <c r="Z879" s="28">
        <f>IFERROR(LOOKUP(Y879,{0;0.5;5;25},{"Bajo";"Medio";"Alto";"Crítico"}),"")</f>
        <v/>
      </c>
      <c r="AA879" s="64">
        <f>IF(T879&gt;=3,IF(X879&gt;=1,"Zona 1 — Crítica: impacto alto y ocurre al menos una vez al año","Zona 4 — Catastrófica poco probable: impacto alto pero excepcional"),IF(AND(T879&lt;1.5,X879&lt;1),"Zona 3 — Asumible: impacto bajo y muy poco frecuente","Zona 2 — Atención: riesgo intermedio"))</f>
        <v/>
      </c>
      <c r="AB879" s="64">
        <f>IFERROR(INDEX(MgAmenCtrl,MATCH(SUBSTITUTE($H879,"*","-"),MgAmenClave,0)),"")</f>
        <v/>
      </c>
      <c r="AC879" s="20" t="n"/>
      <c r="AD879" s="31">
        <f>IFERROR($X879*(1-IF($AC879="",$AL879,VLOOKUP($AC879,MgMad,2,0))),"")</f>
        <v/>
      </c>
      <c r="AE879" s="28">
        <f>IFERROR(LOOKUP(AD879,{0;0.01;0.1;1;10;100},{"Muy baja";"Muy baja";"Baja";"Media";"Alta";"Muy alta"}),"")</f>
        <v/>
      </c>
      <c r="AF879" s="30">
        <f>T879*AD879</f>
        <v/>
      </c>
      <c r="AG879" s="28">
        <f>IFERROR(LOOKUP(AF879,{0;0.5;5;25},{"Bajo";"Medio";"Alto";"Crítico"}),"")</f>
        <v/>
      </c>
      <c r="AH879" s="28">
        <f>IF(AG879="","",IF(OR(AG879="Crítico",AG879="Alto"),"Mitigar",IF(AG879="Medio","Mitigar","Aceptar y monitorear")))</f>
        <v/>
      </c>
      <c r="AI879" s="21" t="n"/>
      <c r="AJ879" s="21" t="n"/>
      <c r="AK879" s="20" t="n"/>
      <c r="AL879" s="77">
        <f>IFERROR(INDEX(MgAmenEfic,MATCH(SUBSTITUTE($H879,"*","-"),MgAmenClave,0)),0)</f>
        <v/>
      </c>
    </row>
    <row r="880" hidden="1" ht="75" customHeight="1" s="54">
      <c r="B880" s="59" t="inlineStr">
        <is>
          <t>R-0875</t>
        </is>
      </c>
      <c r="C880" s="59" t="inlineStr">
        <is>
          <t>TAL-06</t>
        </is>
      </c>
      <c r="D880" s="64">
        <f>IFERROR(INDEX(MgNombre,MATCH($C880,MgActId,0)),"")</f>
        <v/>
      </c>
      <c r="E880" s="64">
        <f>IFERROR(INDEX(MgProceso,MATCH($C880,MgActId,0)),"")</f>
        <v/>
      </c>
      <c r="F880" s="64">
        <f>IFERROR(INDEX(MgTipo,MATCH($C880,MgActId,0)),"")</f>
        <v/>
      </c>
      <c r="G880" s="64">
        <f>IFERROR(INDEX(MgSubtipo,MATCH($C880,MgActId,0)),"")</f>
        <v/>
      </c>
      <c r="H880" s="59" t="inlineStr">
        <is>
          <t>E.3</t>
        </is>
      </c>
      <c r="I880" s="64">
        <f>IFERROR(INDEX(MgAmenNombre,MATCH(SUBSTITUTE($H880,"*","-"),MgAmenClave,0)),"")</f>
        <v/>
      </c>
      <c r="J880" s="28">
        <f>IFERROR(INDEX(MgAmenGrupo,MATCH(SUBSTITUTE($H880,"*","-"),MgAmenClave,0)),"")</f>
        <v/>
      </c>
      <c r="K880" s="64">
        <f>IFERROR(INDEX('1. Matriz de Activos'!$Q$6:$Q$239,MATCH($C880,MgActId,0)),"")</f>
        <v/>
      </c>
      <c r="L880" s="64">
        <f>IFERROR(INDEX('1. Matriz de Activos'!$R$6:$R$239,MATCH($C880,MgActId,0)),"")</f>
        <v/>
      </c>
      <c r="M880" s="64">
        <f>IFERROR(INDEX('1. Matriz de Activos'!$S$6:$S$239,MATCH($C880,MgActId,0)),"")</f>
        <v/>
      </c>
      <c r="N880" s="28">
        <f>IFERROR(INDEX(MgAmenDegD,MATCH(SUBSTITUTE($H880,"*","-"),MgAmenClave,0)),"No aplica")</f>
        <v/>
      </c>
      <c r="O880" s="28">
        <f>IFERROR(INDEX(MgAmenDegI,MATCH(SUBSTITUTE($H880,"*","-"),MgAmenClave,0)),"No aplica")</f>
        <v/>
      </c>
      <c r="P880" s="28">
        <f>IFERROR(INDEX(MgAmenDegC,MATCH(SUBSTITUTE($H880,"*","-"),MgAmenClave,0)),"No aplica")</f>
        <v/>
      </c>
      <c r="Q880" s="29">
        <f>IFERROR(VLOOKUP(K880,MgValor,2,0)*VLOOKUP(N880,MgDeg,2,0),0)</f>
        <v/>
      </c>
      <c r="R880" s="29">
        <f>IFERROR(VLOOKUP(L880,MgValor,2,0)*VLOOKUP(O880,MgDeg,2,0),0)</f>
        <v/>
      </c>
      <c r="S880" s="29">
        <f>IFERROR(VLOOKUP(M880,MgValor,2,0)*VLOOKUP(P880,MgDeg,2,0),0)</f>
        <v/>
      </c>
      <c r="T880" s="30">
        <f>MAX(Q880:S880)</f>
        <v/>
      </c>
      <c r="U880" s="28">
        <f>IFERROR(LOOKUP(T880,{0;0.5;1.5;3;4.5},{"Despreciable";"Bajo";"Medio";"Alto";"Muy alto"}),"")</f>
        <v/>
      </c>
      <c r="V880" s="13">
        <f>IFERROR(INDEX(MgAmenFrec,MATCH(SUBSTITUTE($H880,"*","-"),MgAmenClave,0)),"")</f>
        <v/>
      </c>
      <c r="W880" s="28">
        <f>IFERROR(LOOKUP(X880,{0;0.01;0.1;1;10;100},{"Muy baja";"Muy baja";"Baja";"Media";"Alta";"Muy alta"}),"")</f>
        <v/>
      </c>
      <c r="X880" s="31">
        <f>IFERROR(VLOOKUP(V880,MgFrec,2,0),0)</f>
        <v/>
      </c>
      <c r="Y880" s="30">
        <f>T880*X880</f>
        <v/>
      </c>
      <c r="Z880" s="28">
        <f>IFERROR(LOOKUP(Y880,{0;0.5;5;25},{"Bajo";"Medio";"Alto";"Crítico"}),"")</f>
        <v/>
      </c>
      <c r="AA880" s="64">
        <f>IF(T880&gt;=3,IF(X880&gt;=1,"Zona 1 — Crítica: impacto alto y ocurre al menos una vez al año","Zona 4 — Catastrófica poco probable: impacto alto pero excepcional"),IF(AND(T880&lt;1.5,X880&lt;1),"Zona 3 — Asumible: impacto bajo y muy poco frecuente","Zona 2 — Atención: riesgo intermedio"))</f>
        <v/>
      </c>
      <c r="AB880" s="64">
        <f>IFERROR(INDEX(MgAmenCtrl,MATCH(SUBSTITUTE($H880,"*","-"),MgAmenClave,0)),"")</f>
        <v/>
      </c>
      <c r="AC880" s="20" t="n"/>
      <c r="AD880" s="31">
        <f>IFERROR($X880*(1-IF($AC880="",$AL880,VLOOKUP($AC880,MgMad,2,0))),"")</f>
        <v/>
      </c>
      <c r="AE880" s="28">
        <f>IFERROR(LOOKUP(AD880,{0;0.01;0.1;1;10;100},{"Muy baja";"Muy baja";"Baja";"Media";"Alta";"Muy alta"}),"")</f>
        <v/>
      </c>
      <c r="AF880" s="30">
        <f>T880*AD880</f>
        <v/>
      </c>
      <c r="AG880" s="28">
        <f>IFERROR(LOOKUP(AF880,{0;0.5;5;25},{"Bajo";"Medio";"Alto";"Crítico"}),"")</f>
        <v/>
      </c>
      <c r="AH880" s="28">
        <f>IF(AG880="","",IF(OR(AG880="Crítico",AG880="Alto"),"Mitigar",IF(AG880="Medio","Mitigar","Aceptar y monitorear")))</f>
        <v/>
      </c>
      <c r="AI880" s="21" t="n"/>
      <c r="AJ880" s="21" t="n"/>
      <c r="AK880" s="20" t="n"/>
      <c r="AL880" s="77">
        <f>IFERROR(INDEX(MgAmenEfic,MATCH(SUBSTITUTE($H880,"*","-"),MgAmenClave,0)),0)</f>
        <v/>
      </c>
    </row>
    <row r="881" hidden="1" ht="75" customHeight="1" s="54">
      <c r="B881" s="59" t="inlineStr">
        <is>
          <t>R-0876</t>
        </is>
      </c>
      <c r="C881" s="59" t="inlineStr">
        <is>
          <t>TAL-06</t>
        </is>
      </c>
      <c r="D881" s="64">
        <f>IFERROR(INDEX(MgNombre,MATCH($C881,MgActId,0)),"")</f>
        <v/>
      </c>
      <c r="E881" s="64">
        <f>IFERROR(INDEX(MgProceso,MATCH($C881,MgActId,0)),"")</f>
        <v/>
      </c>
      <c r="F881" s="64">
        <f>IFERROR(INDEX(MgTipo,MATCH($C881,MgActId,0)),"")</f>
        <v/>
      </c>
      <c r="G881" s="64">
        <f>IFERROR(INDEX(MgSubtipo,MATCH($C881,MgActId,0)),"")</f>
        <v/>
      </c>
      <c r="H881" s="59" t="inlineStr">
        <is>
          <t>E.4</t>
        </is>
      </c>
      <c r="I881" s="64">
        <f>IFERROR(INDEX(MgAmenNombre,MATCH(SUBSTITUTE($H881,"*","-"),MgAmenClave,0)),"")</f>
        <v/>
      </c>
      <c r="J881" s="28">
        <f>IFERROR(INDEX(MgAmenGrupo,MATCH(SUBSTITUTE($H881,"*","-"),MgAmenClave,0)),"")</f>
        <v/>
      </c>
      <c r="K881" s="64">
        <f>IFERROR(INDEX('1. Matriz de Activos'!$Q$6:$Q$239,MATCH($C881,MgActId,0)),"")</f>
        <v/>
      </c>
      <c r="L881" s="64">
        <f>IFERROR(INDEX('1. Matriz de Activos'!$R$6:$R$239,MATCH($C881,MgActId,0)),"")</f>
        <v/>
      </c>
      <c r="M881" s="64">
        <f>IFERROR(INDEX('1. Matriz de Activos'!$S$6:$S$239,MATCH($C881,MgActId,0)),"")</f>
        <v/>
      </c>
      <c r="N881" s="28">
        <f>IFERROR(INDEX(MgAmenDegD,MATCH(SUBSTITUTE($H881,"*","-"),MgAmenClave,0)),"No aplica")</f>
        <v/>
      </c>
      <c r="O881" s="28">
        <f>IFERROR(INDEX(MgAmenDegI,MATCH(SUBSTITUTE($H881,"*","-"),MgAmenClave,0)),"No aplica")</f>
        <v/>
      </c>
      <c r="P881" s="28">
        <f>IFERROR(INDEX(MgAmenDegC,MATCH(SUBSTITUTE($H881,"*","-"),MgAmenClave,0)),"No aplica")</f>
        <v/>
      </c>
      <c r="Q881" s="29">
        <f>IFERROR(VLOOKUP(K881,MgValor,2,0)*VLOOKUP(N881,MgDeg,2,0),0)</f>
        <v/>
      </c>
      <c r="R881" s="29">
        <f>IFERROR(VLOOKUP(L881,MgValor,2,0)*VLOOKUP(O881,MgDeg,2,0),0)</f>
        <v/>
      </c>
      <c r="S881" s="29">
        <f>IFERROR(VLOOKUP(M881,MgValor,2,0)*VLOOKUP(P881,MgDeg,2,0),0)</f>
        <v/>
      </c>
      <c r="T881" s="30">
        <f>MAX(Q881:S881)</f>
        <v/>
      </c>
      <c r="U881" s="28">
        <f>IFERROR(LOOKUP(T881,{0;0.5;1.5;3;4.5},{"Despreciable";"Bajo";"Medio";"Alto";"Muy alto"}),"")</f>
        <v/>
      </c>
      <c r="V881" s="13">
        <f>IFERROR(INDEX(MgAmenFrec,MATCH(SUBSTITUTE($H881,"*","-"),MgAmenClave,0)),"")</f>
        <v/>
      </c>
      <c r="W881" s="28">
        <f>IFERROR(LOOKUP(X881,{0;0.01;0.1;1;10;100},{"Muy baja";"Muy baja";"Baja";"Media";"Alta";"Muy alta"}),"")</f>
        <v/>
      </c>
      <c r="X881" s="31">
        <f>IFERROR(VLOOKUP(V881,MgFrec,2,0),0)</f>
        <v/>
      </c>
      <c r="Y881" s="30">
        <f>T881*X881</f>
        <v/>
      </c>
      <c r="Z881" s="28">
        <f>IFERROR(LOOKUP(Y881,{0;0.5;5;25},{"Bajo";"Medio";"Alto";"Crítico"}),"")</f>
        <v/>
      </c>
      <c r="AA881" s="64">
        <f>IF(T881&gt;=3,IF(X881&gt;=1,"Zona 1 — Crítica: impacto alto y ocurre al menos una vez al año","Zona 4 — Catastrófica poco probable: impacto alto pero excepcional"),IF(AND(T881&lt;1.5,X881&lt;1),"Zona 3 — Asumible: impacto bajo y muy poco frecuente","Zona 2 — Atención: riesgo intermedio"))</f>
        <v/>
      </c>
      <c r="AB881" s="64">
        <f>IFERROR(INDEX(MgAmenCtrl,MATCH(SUBSTITUTE($H881,"*","-"),MgAmenClave,0)),"")</f>
        <v/>
      </c>
      <c r="AC881" s="20" t="n"/>
      <c r="AD881" s="31">
        <f>IFERROR($X881*(1-IF($AC881="",$AL881,VLOOKUP($AC881,MgMad,2,0))),"")</f>
        <v/>
      </c>
      <c r="AE881" s="28">
        <f>IFERROR(LOOKUP(AD881,{0;0.01;0.1;1;10;100},{"Muy baja";"Muy baja";"Baja";"Media";"Alta";"Muy alta"}),"")</f>
        <v/>
      </c>
      <c r="AF881" s="30">
        <f>T881*AD881</f>
        <v/>
      </c>
      <c r="AG881" s="28">
        <f>IFERROR(LOOKUP(AF881,{0;0.5;5;25},{"Bajo";"Medio";"Alto";"Crítico"}),"")</f>
        <v/>
      </c>
      <c r="AH881" s="28">
        <f>IF(AG881="","",IF(OR(AG881="Crítico",AG881="Alto"),"Mitigar",IF(AG881="Medio","Mitigar","Aceptar y monitorear")))</f>
        <v/>
      </c>
      <c r="AI881" s="21" t="n"/>
      <c r="AJ881" s="21" t="n"/>
      <c r="AK881" s="20" t="n"/>
      <c r="AL881" s="77">
        <f>IFERROR(INDEX(MgAmenEfic,MATCH(SUBSTITUTE($H881,"*","-"),MgAmenClave,0)),0)</f>
        <v/>
      </c>
    </row>
    <row r="882" hidden="1" ht="90" customHeight="1" s="54">
      <c r="B882" s="59" t="inlineStr">
        <is>
          <t>R-0877</t>
        </is>
      </c>
      <c r="C882" s="59" t="inlineStr">
        <is>
          <t>TAL-06</t>
        </is>
      </c>
      <c r="D882" s="64">
        <f>IFERROR(INDEX(MgNombre,MATCH($C882,MgActId,0)),"")</f>
        <v/>
      </c>
      <c r="E882" s="64">
        <f>IFERROR(INDEX(MgProceso,MATCH($C882,MgActId,0)),"")</f>
        <v/>
      </c>
      <c r="F882" s="64">
        <f>IFERROR(INDEX(MgTipo,MATCH($C882,MgActId,0)),"")</f>
        <v/>
      </c>
      <c r="G882" s="64">
        <f>IFERROR(INDEX(MgSubtipo,MATCH($C882,MgActId,0)),"")</f>
        <v/>
      </c>
      <c r="H882" s="59" t="inlineStr">
        <is>
          <t>E.14</t>
        </is>
      </c>
      <c r="I882" s="64">
        <f>IFERROR(INDEX(MgAmenNombre,MATCH(SUBSTITUTE($H882,"*","-"),MgAmenClave,0)),"")</f>
        <v/>
      </c>
      <c r="J882" s="28">
        <f>IFERROR(INDEX(MgAmenGrupo,MATCH(SUBSTITUTE($H882,"*","-"),MgAmenClave,0)),"")</f>
        <v/>
      </c>
      <c r="K882" s="64">
        <f>IFERROR(INDEX('1. Matriz de Activos'!$Q$6:$Q$239,MATCH($C882,MgActId,0)),"")</f>
        <v/>
      </c>
      <c r="L882" s="64">
        <f>IFERROR(INDEX('1. Matriz de Activos'!$R$6:$R$239,MATCH($C882,MgActId,0)),"")</f>
        <v/>
      </c>
      <c r="M882" s="64">
        <f>IFERROR(INDEX('1. Matriz de Activos'!$S$6:$S$239,MATCH($C882,MgActId,0)),"")</f>
        <v/>
      </c>
      <c r="N882" s="28">
        <f>IFERROR(INDEX(MgAmenDegD,MATCH(SUBSTITUTE($H882,"*","-"),MgAmenClave,0)),"No aplica")</f>
        <v/>
      </c>
      <c r="O882" s="28">
        <f>IFERROR(INDEX(MgAmenDegI,MATCH(SUBSTITUTE($H882,"*","-"),MgAmenClave,0)),"No aplica")</f>
        <v/>
      </c>
      <c r="P882" s="28">
        <f>IFERROR(INDEX(MgAmenDegC,MATCH(SUBSTITUTE($H882,"*","-"),MgAmenClave,0)),"No aplica")</f>
        <v/>
      </c>
      <c r="Q882" s="29">
        <f>IFERROR(VLOOKUP(K882,MgValor,2,0)*VLOOKUP(N882,MgDeg,2,0),0)</f>
        <v/>
      </c>
      <c r="R882" s="29">
        <f>IFERROR(VLOOKUP(L882,MgValor,2,0)*VLOOKUP(O882,MgDeg,2,0),0)</f>
        <v/>
      </c>
      <c r="S882" s="29">
        <f>IFERROR(VLOOKUP(M882,MgValor,2,0)*VLOOKUP(P882,MgDeg,2,0),0)</f>
        <v/>
      </c>
      <c r="T882" s="30">
        <f>MAX(Q882:S882)</f>
        <v/>
      </c>
      <c r="U882" s="28">
        <f>IFERROR(LOOKUP(T882,{0;0.5;1.5;3;4.5},{"Despreciable";"Bajo";"Medio";"Alto";"Muy alto"}),"")</f>
        <v/>
      </c>
      <c r="V882" s="13">
        <f>IFERROR(INDEX(MgAmenFrec,MATCH(SUBSTITUTE($H882,"*","-"),MgAmenClave,0)),"")</f>
        <v/>
      </c>
      <c r="W882" s="28">
        <f>IFERROR(LOOKUP(X882,{0;0.01;0.1;1;10;100},{"Muy baja";"Muy baja";"Baja";"Media";"Alta";"Muy alta"}),"")</f>
        <v/>
      </c>
      <c r="X882" s="31">
        <f>IFERROR(VLOOKUP(V882,MgFrec,2,0),0)</f>
        <v/>
      </c>
      <c r="Y882" s="30">
        <f>T882*X882</f>
        <v/>
      </c>
      <c r="Z882" s="28">
        <f>IFERROR(LOOKUP(Y882,{0;0.5;5;25},{"Bajo";"Medio";"Alto";"Crítico"}),"")</f>
        <v/>
      </c>
      <c r="AA882" s="64">
        <f>IF(T882&gt;=3,IF(X882&gt;=1,"Zona 1 — Crítica: impacto alto y ocurre al menos una vez al año","Zona 4 — Catastrófica poco probable: impacto alto pero excepcional"),IF(AND(T882&lt;1.5,X882&lt;1),"Zona 3 — Asumible: impacto bajo y muy poco frecuente","Zona 2 — Atención: riesgo intermedio"))</f>
        <v/>
      </c>
      <c r="AB882" s="64">
        <f>IFERROR(INDEX(MgAmenCtrl,MATCH(SUBSTITUTE($H882,"*","-"),MgAmenClave,0)),"")</f>
        <v/>
      </c>
      <c r="AC882" s="20" t="n"/>
      <c r="AD882" s="31">
        <f>IFERROR($X882*(1-IF($AC882="",$AL882,VLOOKUP($AC882,MgMad,2,0))),"")</f>
        <v/>
      </c>
      <c r="AE882" s="28">
        <f>IFERROR(LOOKUP(AD882,{0;0.01;0.1;1;10;100},{"Muy baja";"Muy baja";"Baja";"Media";"Alta";"Muy alta"}),"")</f>
        <v/>
      </c>
      <c r="AF882" s="30">
        <f>T882*AD882</f>
        <v/>
      </c>
      <c r="AG882" s="28">
        <f>IFERROR(LOOKUP(AF882,{0;0.5;5;25},{"Bajo";"Medio";"Alto";"Crítico"}),"")</f>
        <v/>
      </c>
      <c r="AH882" s="28">
        <f>IF(AG882="","",IF(OR(AG882="Crítico",AG882="Alto"),"Mitigar",IF(AG882="Medio","Mitigar","Aceptar y monitorear")))</f>
        <v/>
      </c>
      <c r="AI882" s="21" t="n"/>
      <c r="AJ882" s="21" t="n"/>
      <c r="AK882" s="20" t="n"/>
      <c r="AL882" s="77">
        <f>IFERROR(INDEX(MgAmenEfic,MATCH(SUBSTITUTE($H882,"*","-"),MgAmenClave,0)),0)</f>
        <v/>
      </c>
    </row>
    <row r="883" hidden="1" ht="90" customHeight="1" s="54">
      <c r="B883" s="59" t="inlineStr">
        <is>
          <t>R-0878</t>
        </is>
      </c>
      <c r="C883" s="59" t="inlineStr">
        <is>
          <t>TAL-06</t>
        </is>
      </c>
      <c r="D883" s="64">
        <f>IFERROR(INDEX(MgNombre,MATCH($C883,MgActId,0)),"")</f>
        <v/>
      </c>
      <c r="E883" s="64">
        <f>IFERROR(INDEX(MgProceso,MATCH($C883,MgActId,0)),"")</f>
        <v/>
      </c>
      <c r="F883" s="64">
        <f>IFERROR(INDEX(MgTipo,MATCH($C883,MgActId,0)),"")</f>
        <v/>
      </c>
      <c r="G883" s="64">
        <f>IFERROR(INDEX(MgSubtipo,MATCH($C883,MgActId,0)),"")</f>
        <v/>
      </c>
      <c r="H883" s="59" t="inlineStr">
        <is>
          <t>E.15</t>
        </is>
      </c>
      <c r="I883" s="64">
        <f>IFERROR(INDEX(MgAmenNombre,MATCH(SUBSTITUTE($H883,"*","-"),MgAmenClave,0)),"")</f>
        <v/>
      </c>
      <c r="J883" s="28">
        <f>IFERROR(INDEX(MgAmenGrupo,MATCH(SUBSTITUTE($H883,"*","-"),MgAmenClave,0)),"")</f>
        <v/>
      </c>
      <c r="K883" s="64">
        <f>IFERROR(INDEX('1. Matriz de Activos'!$Q$6:$Q$239,MATCH($C883,MgActId,0)),"")</f>
        <v/>
      </c>
      <c r="L883" s="64">
        <f>IFERROR(INDEX('1. Matriz de Activos'!$R$6:$R$239,MATCH($C883,MgActId,0)),"")</f>
        <v/>
      </c>
      <c r="M883" s="64">
        <f>IFERROR(INDEX('1. Matriz de Activos'!$S$6:$S$239,MATCH($C883,MgActId,0)),"")</f>
        <v/>
      </c>
      <c r="N883" s="28">
        <f>IFERROR(INDEX(MgAmenDegD,MATCH(SUBSTITUTE($H883,"*","-"),MgAmenClave,0)),"No aplica")</f>
        <v/>
      </c>
      <c r="O883" s="28">
        <f>IFERROR(INDEX(MgAmenDegI,MATCH(SUBSTITUTE($H883,"*","-"),MgAmenClave,0)),"No aplica")</f>
        <v/>
      </c>
      <c r="P883" s="28">
        <f>IFERROR(INDEX(MgAmenDegC,MATCH(SUBSTITUTE($H883,"*","-"),MgAmenClave,0)),"No aplica")</f>
        <v/>
      </c>
      <c r="Q883" s="29">
        <f>IFERROR(VLOOKUP(K883,MgValor,2,0)*VLOOKUP(N883,MgDeg,2,0),0)</f>
        <v/>
      </c>
      <c r="R883" s="29">
        <f>IFERROR(VLOOKUP(L883,MgValor,2,0)*VLOOKUP(O883,MgDeg,2,0),0)</f>
        <v/>
      </c>
      <c r="S883" s="29">
        <f>IFERROR(VLOOKUP(M883,MgValor,2,0)*VLOOKUP(P883,MgDeg,2,0),0)</f>
        <v/>
      </c>
      <c r="T883" s="30">
        <f>MAX(Q883:S883)</f>
        <v/>
      </c>
      <c r="U883" s="28">
        <f>IFERROR(LOOKUP(T883,{0;0.5;1.5;3;4.5},{"Despreciable";"Bajo";"Medio";"Alto";"Muy alto"}),"")</f>
        <v/>
      </c>
      <c r="V883" s="13">
        <f>IFERROR(INDEX(MgAmenFrec,MATCH(SUBSTITUTE($H883,"*","-"),MgAmenClave,0)),"")</f>
        <v/>
      </c>
      <c r="W883" s="28">
        <f>IFERROR(LOOKUP(X883,{0;0.01;0.1;1;10;100},{"Muy baja";"Muy baja";"Baja";"Media";"Alta";"Muy alta"}),"")</f>
        <v/>
      </c>
      <c r="X883" s="31">
        <f>IFERROR(VLOOKUP(V883,MgFrec,2,0),0)</f>
        <v/>
      </c>
      <c r="Y883" s="30">
        <f>T883*X883</f>
        <v/>
      </c>
      <c r="Z883" s="28">
        <f>IFERROR(LOOKUP(Y883,{0;0.5;5;25},{"Bajo";"Medio";"Alto";"Crítico"}),"")</f>
        <v/>
      </c>
      <c r="AA883" s="64">
        <f>IF(T883&gt;=3,IF(X883&gt;=1,"Zona 1 — Crítica: impacto alto y ocurre al menos una vez al año","Zona 4 — Catastrófica poco probable: impacto alto pero excepcional"),IF(AND(T883&lt;1.5,X883&lt;1),"Zona 3 — Asumible: impacto bajo y muy poco frecuente","Zona 2 — Atención: riesgo intermedio"))</f>
        <v/>
      </c>
      <c r="AB883" s="64">
        <f>IFERROR(INDEX(MgAmenCtrl,MATCH(SUBSTITUTE($H883,"*","-"),MgAmenClave,0)),"")</f>
        <v/>
      </c>
      <c r="AC883" s="20" t="n"/>
      <c r="AD883" s="31">
        <f>IFERROR($X883*(1-IF($AC883="",$AL883,VLOOKUP($AC883,MgMad,2,0))),"")</f>
        <v/>
      </c>
      <c r="AE883" s="28">
        <f>IFERROR(LOOKUP(AD883,{0;0.01;0.1;1;10;100},{"Muy baja";"Muy baja";"Baja";"Media";"Alta";"Muy alta"}),"")</f>
        <v/>
      </c>
      <c r="AF883" s="30">
        <f>T883*AD883</f>
        <v/>
      </c>
      <c r="AG883" s="28">
        <f>IFERROR(LOOKUP(AF883,{0;0.5;5;25},{"Bajo";"Medio";"Alto";"Crítico"}),"")</f>
        <v/>
      </c>
      <c r="AH883" s="28">
        <f>IF(AG883="","",IF(OR(AG883="Crítico",AG883="Alto"),"Mitigar",IF(AG883="Medio","Mitigar","Aceptar y monitorear")))</f>
        <v/>
      </c>
      <c r="AI883" s="21" t="n"/>
      <c r="AJ883" s="21" t="n"/>
      <c r="AK883" s="20" t="n"/>
      <c r="AL883" s="77">
        <f>IFERROR(INDEX(MgAmenEfic,MATCH(SUBSTITUTE($H883,"*","-"),MgAmenClave,0)),0)</f>
        <v/>
      </c>
    </row>
    <row r="884" hidden="1" ht="60" customHeight="1" s="54">
      <c r="B884" s="59" t="inlineStr">
        <is>
          <t>R-0879</t>
        </is>
      </c>
      <c r="C884" s="59" t="inlineStr">
        <is>
          <t>TAL-06</t>
        </is>
      </c>
      <c r="D884" s="64">
        <f>IFERROR(INDEX(MgNombre,MATCH($C884,MgActId,0)),"")</f>
        <v/>
      </c>
      <c r="E884" s="64">
        <f>IFERROR(INDEX(MgProceso,MATCH($C884,MgActId,0)),"")</f>
        <v/>
      </c>
      <c r="F884" s="64">
        <f>IFERROR(INDEX(MgTipo,MATCH($C884,MgActId,0)),"")</f>
        <v/>
      </c>
      <c r="G884" s="64">
        <f>IFERROR(INDEX(MgSubtipo,MATCH($C884,MgActId,0)),"")</f>
        <v/>
      </c>
      <c r="H884" s="59" t="inlineStr">
        <is>
          <t>E.18</t>
        </is>
      </c>
      <c r="I884" s="64">
        <f>IFERROR(INDEX(MgAmenNombre,MATCH(SUBSTITUTE($H884,"*","-"),MgAmenClave,0)),"")</f>
        <v/>
      </c>
      <c r="J884" s="28">
        <f>IFERROR(INDEX(MgAmenGrupo,MATCH(SUBSTITUTE($H884,"*","-"),MgAmenClave,0)),"")</f>
        <v/>
      </c>
      <c r="K884" s="64">
        <f>IFERROR(INDEX('1. Matriz de Activos'!$Q$6:$Q$239,MATCH($C884,MgActId,0)),"")</f>
        <v/>
      </c>
      <c r="L884" s="64">
        <f>IFERROR(INDEX('1. Matriz de Activos'!$R$6:$R$239,MATCH($C884,MgActId,0)),"")</f>
        <v/>
      </c>
      <c r="M884" s="64">
        <f>IFERROR(INDEX('1. Matriz de Activos'!$S$6:$S$239,MATCH($C884,MgActId,0)),"")</f>
        <v/>
      </c>
      <c r="N884" s="28">
        <f>IFERROR(INDEX(MgAmenDegD,MATCH(SUBSTITUTE($H884,"*","-"),MgAmenClave,0)),"No aplica")</f>
        <v/>
      </c>
      <c r="O884" s="28">
        <f>IFERROR(INDEX(MgAmenDegI,MATCH(SUBSTITUTE($H884,"*","-"),MgAmenClave,0)),"No aplica")</f>
        <v/>
      </c>
      <c r="P884" s="28">
        <f>IFERROR(INDEX(MgAmenDegC,MATCH(SUBSTITUTE($H884,"*","-"),MgAmenClave,0)),"No aplica")</f>
        <v/>
      </c>
      <c r="Q884" s="29">
        <f>IFERROR(VLOOKUP(K884,MgValor,2,0)*VLOOKUP(N884,MgDeg,2,0),0)</f>
        <v/>
      </c>
      <c r="R884" s="29">
        <f>IFERROR(VLOOKUP(L884,MgValor,2,0)*VLOOKUP(O884,MgDeg,2,0),0)</f>
        <v/>
      </c>
      <c r="S884" s="29">
        <f>IFERROR(VLOOKUP(M884,MgValor,2,0)*VLOOKUP(P884,MgDeg,2,0),0)</f>
        <v/>
      </c>
      <c r="T884" s="30">
        <f>MAX(Q884:S884)</f>
        <v/>
      </c>
      <c r="U884" s="28">
        <f>IFERROR(LOOKUP(T884,{0;0.5;1.5;3;4.5},{"Despreciable";"Bajo";"Medio";"Alto";"Muy alto"}),"")</f>
        <v/>
      </c>
      <c r="V884" s="13">
        <f>IFERROR(INDEX(MgAmenFrec,MATCH(SUBSTITUTE($H884,"*","-"),MgAmenClave,0)),"")</f>
        <v/>
      </c>
      <c r="W884" s="28">
        <f>IFERROR(LOOKUP(X884,{0;0.01;0.1;1;10;100},{"Muy baja";"Muy baja";"Baja";"Media";"Alta";"Muy alta"}),"")</f>
        <v/>
      </c>
      <c r="X884" s="31">
        <f>IFERROR(VLOOKUP(V884,MgFrec,2,0),0)</f>
        <v/>
      </c>
      <c r="Y884" s="30">
        <f>T884*X884</f>
        <v/>
      </c>
      <c r="Z884" s="28">
        <f>IFERROR(LOOKUP(Y884,{0;0.5;5;25},{"Bajo";"Medio";"Alto";"Crítico"}),"")</f>
        <v/>
      </c>
      <c r="AA884" s="64">
        <f>IF(T884&gt;=3,IF(X884&gt;=1,"Zona 1 — Crítica: impacto alto y ocurre al menos una vez al año","Zona 4 — Catastrófica poco probable: impacto alto pero excepcional"),IF(AND(T884&lt;1.5,X884&lt;1),"Zona 3 — Asumible: impacto bajo y muy poco frecuente","Zona 2 — Atención: riesgo intermedio"))</f>
        <v/>
      </c>
      <c r="AB884" s="64">
        <f>IFERROR(INDEX(MgAmenCtrl,MATCH(SUBSTITUTE($H884,"*","-"),MgAmenClave,0)),"")</f>
        <v/>
      </c>
      <c r="AC884" s="20" t="n"/>
      <c r="AD884" s="31">
        <f>IFERROR($X884*(1-IF($AC884="",$AL884,VLOOKUP($AC884,MgMad,2,0))),"")</f>
        <v/>
      </c>
      <c r="AE884" s="28">
        <f>IFERROR(LOOKUP(AD884,{0;0.01;0.1;1;10;100},{"Muy baja";"Muy baja";"Baja";"Media";"Alta";"Muy alta"}),"")</f>
        <v/>
      </c>
      <c r="AF884" s="30">
        <f>T884*AD884</f>
        <v/>
      </c>
      <c r="AG884" s="28">
        <f>IFERROR(LOOKUP(AF884,{0;0.5;5;25},{"Bajo";"Medio";"Alto";"Crítico"}),"")</f>
        <v/>
      </c>
      <c r="AH884" s="28">
        <f>IF(AG884="","",IF(OR(AG884="Crítico",AG884="Alto"),"Mitigar",IF(AG884="Medio","Mitigar","Aceptar y monitorear")))</f>
        <v/>
      </c>
      <c r="AI884" s="21" t="n"/>
      <c r="AJ884" s="21" t="n"/>
      <c r="AK884" s="20" t="n"/>
      <c r="AL884" s="77">
        <f>IFERROR(INDEX(MgAmenEfic,MATCH(SUBSTITUTE($H884,"*","-"),MgAmenClave,0)),0)</f>
        <v/>
      </c>
    </row>
    <row r="885" hidden="1" ht="105" customHeight="1" s="54">
      <c r="B885" s="59" t="inlineStr">
        <is>
          <t>R-0880</t>
        </is>
      </c>
      <c r="C885" s="59" t="inlineStr">
        <is>
          <t>TAL-06</t>
        </is>
      </c>
      <c r="D885" s="64">
        <f>IFERROR(INDEX(MgNombre,MATCH($C885,MgActId,0)),"")</f>
        <v/>
      </c>
      <c r="E885" s="64">
        <f>IFERROR(INDEX(MgProceso,MATCH($C885,MgActId,0)),"")</f>
        <v/>
      </c>
      <c r="F885" s="64">
        <f>IFERROR(INDEX(MgTipo,MATCH($C885,MgActId,0)),"")</f>
        <v/>
      </c>
      <c r="G885" s="64">
        <f>IFERROR(INDEX(MgSubtipo,MATCH($C885,MgActId,0)),"")</f>
        <v/>
      </c>
      <c r="H885" s="59" t="inlineStr">
        <is>
          <t>E.19</t>
        </is>
      </c>
      <c r="I885" s="64">
        <f>IFERROR(INDEX(MgAmenNombre,MATCH(SUBSTITUTE($H885,"*","-"),MgAmenClave,0)),"")</f>
        <v/>
      </c>
      <c r="J885" s="28">
        <f>IFERROR(INDEX(MgAmenGrupo,MATCH(SUBSTITUTE($H885,"*","-"),MgAmenClave,0)),"")</f>
        <v/>
      </c>
      <c r="K885" s="64">
        <f>IFERROR(INDEX('1. Matriz de Activos'!$Q$6:$Q$239,MATCH($C885,MgActId,0)),"")</f>
        <v/>
      </c>
      <c r="L885" s="64">
        <f>IFERROR(INDEX('1. Matriz de Activos'!$R$6:$R$239,MATCH($C885,MgActId,0)),"")</f>
        <v/>
      </c>
      <c r="M885" s="64">
        <f>IFERROR(INDEX('1. Matriz de Activos'!$S$6:$S$239,MATCH($C885,MgActId,0)),"")</f>
        <v/>
      </c>
      <c r="N885" s="28">
        <f>IFERROR(INDEX(MgAmenDegD,MATCH(SUBSTITUTE($H885,"*","-"),MgAmenClave,0)),"No aplica")</f>
        <v/>
      </c>
      <c r="O885" s="28">
        <f>IFERROR(INDEX(MgAmenDegI,MATCH(SUBSTITUTE($H885,"*","-"),MgAmenClave,0)),"No aplica")</f>
        <v/>
      </c>
      <c r="P885" s="28">
        <f>IFERROR(INDEX(MgAmenDegC,MATCH(SUBSTITUTE($H885,"*","-"),MgAmenClave,0)),"No aplica")</f>
        <v/>
      </c>
      <c r="Q885" s="29">
        <f>IFERROR(VLOOKUP(K885,MgValor,2,0)*VLOOKUP(N885,MgDeg,2,0),0)</f>
        <v/>
      </c>
      <c r="R885" s="29">
        <f>IFERROR(VLOOKUP(L885,MgValor,2,0)*VLOOKUP(O885,MgDeg,2,0),0)</f>
        <v/>
      </c>
      <c r="S885" s="29">
        <f>IFERROR(VLOOKUP(M885,MgValor,2,0)*VLOOKUP(P885,MgDeg,2,0),0)</f>
        <v/>
      </c>
      <c r="T885" s="30">
        <f>MAX(Q885:S885)</f>
        <v/>
      </c>
      <c r="U885" s="28">
        <f>IFERROR(LOOKUP(T885,{0;0.5;1.5;3;4.5},{"Despreciable";"Bajo";"Medio";"Alto";"Muy alto"}),"")</f>
        <v/>
      </c>
      <c r="V885" s="13">
        <f>IFERROR(INDEX(MgAmenFrec,MATCH(SUBSTITUTE($H885,"*","-"),MgAmenClave,0)),"")</f>
        <v/>
      </c>
      <c r="W885" s="28">
        <f>IFERROR(LOOKUP(X885,{0;0.01;0.1;1;10;100},{"Muy baja";"Muy baja";"Baja";"Media";"Alta";"Muy alta"}),"")</f>
        <v/>
      </c>
      <c r="X885" s="31">
        <f>IFERROR(VLOOKUP(V885,MgFrec,2,0),0)</f>
        <v/>
      </c>
      <c r="Y885" s="30">
        <f>T885*X885</f>
        <v/>
      </c>
      <c r="Z885" s="28">
        <f>IFERROR(LOOKUP(Y885,{0;0.5;5;25},{"Bajo";"Medio";"Alto";"Crítico"}),"")</f>
        <v/>
      </c>
      <c r="AA885" s="64">
        <f>IF(T885&gt;=3,IF(X885&gt;=1,"Zona 1 — Crítica: impacto alto y ocurre al menos una vez al año","Zona 4 — Catastrófica poco probable: impacto alto pero excepcional"),IF(AND(T885&lt;1.5,X885&lt;1),"Zona 3 — Asumible: impacto bajo y muy poco frecuente","Zona 2 — Atención: riesgo intermedio"))</f>
        <v/>
      </c>
      <c r="AB885" s="64">
        <f>IFERROR(INDEX(MgAmenCtrl,MATCH(SUBSTITUTE($H885,"*","-"),MgAmenClave,0)),"")</f>
        <v/>
      </c>
      <c r="AC885" s="20" t="n"/>
      <c r="AD885" s="31">
        <f>IFERROR($X885*(1-IF($AC885="",$AL885,VLOOKUP($AC885,MgMad,2,0))),"")</f>
        <v/>
      </c>
      <c r="AE885" s="28">
        <f>IFERROR(LOOKUP(AD885,{0;0.01;0.1;1;10;100},{"Muy baja";"Muy baja";"Baja";"Media";"Alta";"Muy alta"}),"")</f>
        <v/>
      </c>
      <c r="AF885" s="30">
        <f>T885*AD885</f>
        <v/>
      </c>
      <c r="AG885" s="28">
        <f>IFERROR(LOOKUP(AF885,{0;0.5;5;25},{"Bajo";"Medio";"Alto";"Crítico"}),"")</f>
        <v/>
      </c>
      <c r="AH885" s="28">
        <f>IF(AG885="","",IF(OR(AG885="Crítico",AG885="Alto"),"Mitigar",IF(AG885="Medio","Mitigar","Aceptar y monitorear")))</f>
        <v/>
      </c>
      <c r="AI885" s="21" t="n"/>
      <c r="AJ885" s="21" t="n"/>
      <c r="AK885" s="20" t="n"/>
      <c r="AL885" s="77">
        <f>IFERROR(INDEX(MgAmenEfic,MATCH(SUBSTITUTE($H885,"*","-"),MgAmenClave,0)),0)</f>
        <v/>
      </c>
    </row>
    <row r="886" hidden="1" ht="60" customHeight="1" s="54">
      <c r="B886" s="59" t="inlineStr">
        <is>
          <t>R-0881</t>
        </is>
      </c>
      <c r="C886" s="59" t="inlineStr">
        <is>
          <t>TAL-06</t>
        </is>
      </c>
      <c r="D886" s="64">
        <f>IFERROR(INDEX(MgNombre,MATCH($C886,MgActId,0)),"")</f>
        <v/>
      </c>
      <c r="E886" s="64">
        <f>IFERROR(INDEX(MgProceso,MATCH($C886,MgActId,0)),"")</f>
        <v/>
      </c>
      <c r="F886" s="64">
        <f>IFERROR(INDEX(MgTipo,MATCH($C886,MgActId,0)),"")</f>
        <v/>
      </c>
      <c r="G886" s="64">
        <f>IFERROR(INDEX(MgSubtipo,MATCH($C886,MgActId,0)),"")</f>
        <v/>
      </c>
      <c r="H886" s="59" t="inlineStr">
        <is>
          <t>A.3</t>
        </is>
      </c>
      <c r="I886" s="64">
        <f>IFERROR(INDEX(MgAmenNombre,MATCH(SUBSTITUTE($H886,"*","-"),MgAmenClave,0)),"")</f>
        <v/>
      </c>
      <c r="J886" s="28">
        <f>IFERROR(INDEX(MgAmenGrupo,MATCH(SUBSTITUTE($H886,"*","-"),MgAmenClave,0)),"")</f>
        <v/>
      </c>
      <c r="K886" s="64">
        <f>IFERROR(INDEX('1. Matriz de Activos'!$Q$6:$Q$239,MATCH($C886,MgActId,0)),"")</f>
        <v/>
      </c>
      <c r="L886" s="64">
        <f>IFERROR(INDEX('1. Matriz de Activos'!$R$6:$R$239,MATCH($C886,MgActId,0)),"")</f>
        <v/>
      </c>
      <c r="M886" s="64">
        <f>IFERROR(INDEX('1. Matriz de Activos'!$S$6:$S$239,MATCH($C886,MgActId,0)),"")</f>
        <v/>
      </c>
      <c r="N886" s="28">
        <f>IFERROR(INDEX(MgAmenDegD,MATCH(SUBSTITUTE($H886,"*","-"),MgAmenClave,0)),"No aplica")</f>
        <v/>
      </c>
      <c r="O886" s="28">
        <f>IFERROR(INDEX(MgAmenDegI,MATCH(SUBSTITUTE($H886,"*","-"),MgAmenClave,0)),"No aplica")</f>
        <v/>
      </c>
      <c r="P886" s="28">
        <f>IFERROR(INDEX(MgAmenDegC,MATCH(SUBSTITUTE($H886,"*","-"),MgAmenClave,0)),"No aplica")</f>
        <v/>
      </c>
      <c r="Q886" s="29">
        <f>IFERROR(VLOOKUP(K886,MgValor,2,0)*VLOOKUP(N886,MgDeg,2,0),0)</f>
        <v/>
      </c>
      <c r="R886" s="29">
        <f>IFERROR(VLOOKUP(L886,MgValor,2,0)*VLOOKUP(O886,MgDeg,2,0),0)</f>
        <v/>
      </c>
      <c r="S886" s="29">
        <f>IFERROR(VLOOKUP(M886,MgValor,2,0)*VLOOKUP(P886,MgDeg,2,0),0)</f>
        <v/>
      </c>
      <c r="T886" s="30">
        <f>MAX(Q886:S886)</f>
        <v/>
      </c>
      <c r="U886" s="28">
        <f>IFERROR(LOOKUP(T886,{0;0.5;1.5;3;4.5},{"Despreciable";"Bajo";"Medio";"Alto";"Muy alto"}),"")</f>
        <v/>
      </c>
      <c r="V886" s="13">
        <f>IFERROR(INDEX(MgAmenFrec,MATCH(SUBSTITUTE($H886,"*","-"),MgAmenClave,0)),"")</f>
        <v/>
      </c>
      <c r="W886" s="28">
        <f>IFERROR(LOOKUP(X886,{0;0.01;0.1;1;10;100},{"Muy baja";"Muy baja";"Baja";"Media";"Alta";"Muy alta"}),"")</f>
        <v/>
      </c>
      <c r="X886" s="31">
        <f>IFERROR(VLOOKUP(V886,MgFrec,2,0),0)</f>
        <v/>
      </c>
      <c r="Y886" s="30">
        <f>T886*X886</f>
        <v/>
      </c>
      <c r="Z886" s="28">
        <f>IFERROR(LOOKUP(Y886,{0;0.5;5;25},{"Bajo";"Medio";"Alto";"Crítico"}),"")</f>
        <v/>
      </c>
      <c r="AA886" s="64">
        <f>IF(T886&gt;=3,IF(X886&gt;=1,"Zona 1 — Crítica: impacto alto y ocurre al menos una vez al año","Zona 4 — Catastrófica poco probable: impacto alto pero excepcional"),IF(AND(T886&lt;1.5,X886&lt;1),"Zona 3 — Asumible: impacto bajo y muy poco frecuente","Zona 2 — Atención: riesgo intermedio"))</f>
        <v/>
      </c>
      <c r="AB886" s="64">
        <f>IFERROR(INDEX(MgAmenCtrl,MATCH(SUBSTITUTE($H886,"*","-"),MgAmenClave,0)),"")</f>
        <v/>
      </c>
      <c r="AC886" s="20" t="n"/>
      <c r="AD886" s="31">
        <f>IFERROR($X886*(1-IF($AC886="",$AL886,VLOOKUP($AC886,MgMad,2,0))),"")</f>
        <v/>
      </c>
      <c r="AE886" s="28">
        <f>IFERROR(LOOKUP(AD886,{0;0.01;0.1;1;10;100},{"Muy baja";"Muy baja";"Baja";"Media";"Alta";"Muy alta"}),"")</f>
        <v/>
      </c>
      <c r="AF886" s="30">
        <f>T886*AD886</f>
        <v/>
      </c>
      <c r="AG886" s="28">
        <f>IFERROR(LOOKUP(AF886,{0;0.5;5;25},{"Bajo";"Medio";"Alto";"Crítico"}),"")</f>
        <v/>
      </c>
      <c r="AH886" s="28">
        <f>IF(AG886="","",IF(OR(AG886="Crítico",AG886="Alto"),"Mitigar",IF(AG886="Medio","Mitigar","Aceptar y monitorear")))</f>
        <v/>
      </c>
      <c r="AI886" s="21" t="n"/>
      <c r="AJ886" s="21" t="n"/>
      <c r="AK886" s="20" t="n"/>
      <c r="AL886" s="77">
        <f>IFERROR(INDEX(MgAmenEfic,MATCH(SUBSTITUTE($H886,"*","-"),MgAmenClave,0)),0)</f>
        <v/>
      </c>
    </row>
    <row r="887" hidden="1" ht="60" customHeight="1" s="54">
      <c r="B887" s="59" t="inlineStr">
        <is>
          <t>R-0882</t>
        </is>
      </c>
      <c r="C887" s="59" t="inlineStr">
        <is>
          <t>TAL-06</t>
        </is>
      </c>
      <c r="D887" s="64">
        <f>IFERROR(INDEX(MgNombre,MATCH($C887,MgActId,0)),"")</f>
        <v/>
      </c>
      <c r="E887" s="64">
        <f>IFERROR(INDEX(MgProceso,MATCH($C887,MgActId,0)),"")</f>
        <v/>
      </c>
      <c r="F887" s="64">
        <f>IFERROR(INDEX(MgTipo,MATCH($C887,MgActId,0)),"")</f>
        <v/>
      </c>
      <c r="G887" s="64">
        <f>IFERROR(INDEX(MgSubtipo,MATCH($C887,MgActId,0)),"")</f>
        <v/>
      </c>
      <c r="H887" s="59" t="inlineStr">
        <is>
          <t>A.4</t>
        </is>
      </c>
      <c r="I887" s="64">
        <f>IFERROR(INDEX(MgAmenNombre,MATCH(SUBSTITUTE($H887,"*","-"),MgAmenClave,0)),"")</f>
        <v/>
      </c>
      <c r="J887" s="28">
        <f>IFERROR(INDEX(MgAmenGrupo,MATCH(SUBSTITUTE($H887,"*","-"),MgAmenClave,0)),"")</f>
        <v/>
      </c>
      <c r="K887" s="64">
        <f>IFERROR(INDEX('1. Matriz de Activos'!$Q$6:$Q$239,MATCH($C887,MgActId,0)),"")</f>
        <v/>
      </c>
      <c r="L887" s="64">
        <f>IFERROR(INDEX('1. Matriz de Activos'!$R$6:$R$239,MATCH($C887,MgActId,0)),"")</f>
        <v/>
      </c>
      <c r="M887" s="64">
        <f>IFERROR(INDEX('1. Matriz de Activos'!$S$6:$S$239,MATCH($C887,MgActId,0)),"")</f>
        <v/>
      </c>
      <c r="N887" s="28">
        <f>IFERROR(INDEX(MgAmenDegD,MATCH(SUBSTITUTE($H887,"*","-"),MgAmenClave,0)),"No aplica")</f>
        <v/>
      </c>
      <c r="O887" s="28">
        <f>IFERROR(INDEX(MgAmenDegI,MATCH(SUBSTITUTE($H887,"*","-"),MgAmenClave,0)),"No aplica")</f>
        <v/>
      </c>
      <c r="P887" s="28">
        <f>IFERROR(INDEX(MgAmenDegC,MATCH(SUBSTITUTE($H887,"*","-"),MgAmenClave,0)),"No aplica")</f>
        <v/>
      </c>
      <c r="Q887" s="29">
        <f>IFERROR(VLOOKUP(K887,MgValor,2,0)*VLOOKUP(N887,MgDeg,2,0),0)</f>
        <v/>
      </c>
      <c r="R887" s="29">
        <f>IFERROR(VLOOKUP(L887,MgValor,2,0)*VLOOKUP(O887,MgDeg,2,0),0)</f>
        <v/>
      </c>
      <c r="S887" s="29">
        <f>IFERROR(VLOOKUP(M887,MgValor,2,0)*VLOOKUP(P887,MgDeg,2,0),0)</f>
        <v/>
      </c>
      <c r="T887" s="30">
        <f>MAX(Q887:S887)</f>
        <v/>
      </c>
      <c r="U887" s="28">
        <f>IFERROR(LOOKUP(T887,{0;0.5;1.5;3;4.5},{"Despreciable";"Bajo";"Medio";"Alto";"Muy alto"}),"")</f>
        <v/>
      </c>
      <c r="V887" s="13">
        <f>IFERROR(INDEX(MgAmenFrec,MATCH(SUBSTITUTE($H887,"*","-"),MgAmenClave,0)),"")</f>
        <v/>
      </c>
      <c r="W887" s="28">
        <f>IFERROR(LOOKUP(X887,{0;0.01;0.1;1;10;100},{"Muy baja";"Muy baja";"Baja";"Media";"Alta";"Muy alta"}),"")</f>
        <v/>
      </c>
      <c r="X887" s="31">
        <f>IFERROR(VLOOKUP(V887,MgFrec,2,0),0)</f>
        <v/>
      </c>
      <c r="Y887" s="30">
        <f>T887*X887</f>
        <v/>
      </c>
      <c r="Z887" s="28">
        <f>IFERROR(LOOKUP(Y887,{0;0.5;5;25},{"Bajo";"Medio";"Alto";"Crítico"}),"")</f>
        <v/>
      </c>
      <c r="AA887" s="64">
        <f>IF(T887&gt;=3,IF(X887&gt;=1,"Zona 1 — Crítica: impacto alto y ocurre al menos una vez al año","Zona 4 — Catastrófica poco probable: impacto alto pero excepcional"),IF(AND(T887&lt;1.5,X887&lt;1),"Zona 3 — Asumible: impacto bajo y muy poco frecuente","Zona 2 — Atención: riesgo intermedio"))</f>
        <v/>
      </c>
      <c r="AB887" s="64">
        <f>IFERROR(INDEX(MgAmenCtrl,MATCH(SUBSTITUTE($H887,"*","-"),MgAmenClave,0)),"")</f>
        <v/>
      </c>
      <c r="AC887" s="20" t="n"/>
      <c r="AD887" s="31">
        <f>IFERROR($X887*(1-IF($AC887="",$AL887,VLOOKUP($AC887,MgMad,2,0))),"")</f>
        <v/>
      </c>
      <c r="AE887" s="28">
        <f>IFERROR(LOOKUP(AD887,{0;0.01;0.1;1;10;100},{"Muy baja";"Muy baja";"Baja";"Media";"Alta";"Muy alta"}),"")</f>
        <v/>
      </c>
      <c r="AF887" s="30">
        <f>T887*AD887</f>
        <v/>
      </c>
      <c r="AG887" s="28">
        <f>IFERROR(LOOKUP(AF887,{0;0.5;5;25},{"Bajo";"Medio";"Alto";"Crítico"}),"")</f>
        <v/>
      </c>
      <c r="AH887" s="28">
        <f>IF(AG887="","",IF(OR(AG887="Crítico",AG887="Alto"),"Mitigar",IF(AG887="Medio","Mitigar","Aceptar y monitorear")))</f>
        <v/>
      </c>
      <c r="AI887" s="21" t="n"/>
      <c r="AJ887" s="21" t="n"/>
      <c r="AK887" s="20" t="n"/>
      <c r="AL887" s="77">
        <f>IFERROR(INDEX(MgAmenEfic,MATCH(SUBSTITUTE($H887,"*","-"),MgAmenClave,0)),0)</f>
        <v/>
      </c>
    </row>
    <row r="888" hidden="1" ht="75" customHeight="1" s="54">
      <c r="B888" s="59" t="inlineStr">
        <is>
          <t>R-0883</t>
        </is>
      </c>
      <c r="C888" s="59" t="inlineStr">
        <is>
          <t>TAL-06</t>
        </is>
      </c>
      <c r="D888" s="64">
        <f>IFERROR(INDEX(MgNombre,MATCH($C888,MgActId,0)),"")</f>
        <v/>
      </c>
      <c r="E888" s="64">
        <f>IFERROR(INDEX(MgProceso,MATCH($C888,MgActId,0)),"")</f>
        <v/>
      </c>
      <c r="F888" s="64">
        <f>IFERROR(INDEX(MgTipo,MATCH($C888,MgActId,0)),"")</f>
        <v/>
      </c>
      <c r="G888" s="64">
        <f>IFERROR(INDEX(MgSubtipo,MATCH($C888,MgActId,0)),"")</f>
        <v/>
      </c>
      <c r="H888" s="59" t="inlineStr">
        <is>
          <t>A.5</t>
        </is>
      </c>
      <c r="I888" s="64">
        <f>IFERROR(INDEX(MgAmenNombre,MATCH(SUBSTITUTE($H888,"*","-"),MgAmenClave,0)),"")</f>
        <v/>
      </c>
      <c r="J888" s="28">
        <f>IFERROR(INDEX(MgAmenGrupo,MATCH(SUBSTITUTE($H888,"*","-"),MgAmenClave,0)),"")</f>
        <v/>
      </c>
      <c r="K888" s="64">
        <f>IFERROR(INDEX('1. Matriz de Activos'!$Q$6:$Q$239,MATCH($C888,MgActId,0)),"")</f>
        <v/>
      </c>
      <c r="L888" s="64">
        <f>IFERROR(INDEX('1. Matriz de Activos'!$R$6:$R$239,MATCH($C888,MgActId,0)),"")</f>
        <v/>
      </c>
      <c r="M888" s="64">
        <f>IFERROR(INDEX('1. Matriz de Activos'!$S$6:$S$239,MATCH($C888,MgActId,0)),"")</f>
        <v/>
      </c>
      <c r="N888" s="28">
        <f>IFERROR(INDEX(MgAmenDegD,MATCH(SUBSTITUTE($H888,"*","-"),MgAmenClave,0)),"No aplica")</f>
        <v/>
      </c>
      <c r="O888" s="28">
        <f>IFERROR(INDEX(MgAmenDegI,MATCH(SUBSTITUTE($H888,"*","-"),MgAmenClave,0)),"No aplica")</f>
        <v/>
      </c>
      <c r="P888" s="28">
        <f>IFERROR(INDEX(MgAmenDegC,MATCH(SUBSTITUTE($H888,"*","-"),MgAmenClave,0)),"No aplica")</f>
        <v/>
      </c>
      <c r="Q888" s="29">
        <f>IFERROR(VLOOKUP(K888,MgValor,2,0)*VLOOKUP(N888,MgDeg,2,0),0)</f>
        <v/>
      </c>
      <c r="R888" s="29">
        <f>IFERROR(VLOOKUP(L888,MgValor,2,0)*VLOOKUP(O888,MgDeg,2,0),0)</f>
        <v/>
      </c>
      <c r="S888" s="29">
        <f>IFERROR(VLOOKUP(M888,MgValor,2,0)*VLOOKUP(P888,MgDeg,2,0),0)</f>
        <v/>
      </c>
      <c r="T888" s="30">
        <f>MAX(Q888:S888)</f>
        <v/>
      </c>
      <c r="U888" s="28">
        <f>IFERROR(LOOKUP(T888,{0;0.5;1.5;3;4.5},{"Despreciable";"Bajo";"Medio";"Alto";"Muy alto"}),"")</f>
        <v/>
      </c>
      <c r="V888" s="13">
        <f>IFERROR(INDEX(MgAmenFrec,MATCH(SUBSTITUTE($H888,"*","-"),MgAmenClave,0)),"")</f>
        <v/>
      </c>
      <c r="W888" s="28">
        <f>IFERROR(LOOKUP(X888,{0;0.01;0.1;1;10;100},{"Muy baja";"Muy baja";"Baja";"Media";"Alta";"Muy alta"}),"")</f>
        <v/>
      </c>
      <c r="X888" s="31">
        <f>IFERROR(VLOOKUP(V888,MgFrec,2,0),0)</f>
        <v/>
      </c>
      <c r="Y888" s="30">
        <f>T888*X888</f>
        <v/>
      </c>
      <c r="Z888" s="28">
        <f>IFERROR(LOOKUP(Y888,{0;0.5;5;25},{"Bajo";"Medio";"Alto";"Crítico"}),"")</f>
        <v/>
      </c>
      <c r="AA888" s="64">
        <f>IF(T888&gt;=3,IF(X888&gt;=1,"Zona 1 — Crítica: impacto alto y ocurre al menos una vez al año","Zona 4 — Catastrófica poco probable: impacto alto pero excepcional"),IF(AND(T888&lt;1.5,X888&lt;1),"Zona 3 — Asumible: impacto bajo y muy poco frecuente","Zona 2 — Atención: riesgo intermedio"))</f>
        <v/>
      </c>
      <c r="AB888" s="64">
        <f>IFERROR(INDEX(MgAmenCtrl,MATCH(SUBSTITUTE($H888,"*","-"),MgAmenClave,0)),"")</f>
        <v/>
      </c>
      <c r="AC888" s="20" t="n"/>
      <c r="AD888" s="31">
        <f>IFERROR($X888*(1-IF($AC888="",$AL888,VLOOKUP($AC888,MgMad,2,0))),"")</f>
        <v/>
      </c>
      <c r="AE888" s="28">
        <f>IFERROR(LOOKUP(AD888,{0;0.01;0.1;1;10;100},{"Muy baja";"Muy baja";"Baja";"Media";"Alta";"Muy alta"}),"")</f>
        <v/>
      </c>
      <c r="AF888" s="30">
        <f>T888*AD888</f>
        <v/>
      </c>
      <c r="AG888" s="28">
        <f>IFERROR(LOOKUP(AF888,{0;0.5;5;25},{"Bajo";"Medio";"Alto";"Crítico"}),"")</f>
        <v/>
      </c>
      <c r="AH888" s="28">
        <f>IF(AG888="","",IF(OR(AG888="Crítico",AG888="Alto"),"Mitigar",IF(AG888="Medio","Mitigar","Aceptar y monitorear")))</f>
        <v/>
      </c>
      <c r="AI888" s="21" t="n"/>
      <c r="AJ888" s="21" t="n"/>
      <c r="AK888" s="20" t="n"/>
      <c r="AL888" s="77">
        <f>IFERROR(INDEX(MgAmenEfic,MATCH(SUBSTITUTE($H888,"*","-"),MgAmenClave,0)),0)</f>
        <v/>
      </c>
    </row>
    <row r="889" hidden="1" ht="105" customHeight="1" s="54">
      <c r="B889" s="59" t="inlineStr">
        <is>
          <t>R-0884</t>
        </is>
      </c>
      <c r="C889" s="59" t="inlineStr">
        <is>
          <t>TAL-06</t>
        </is>
      </c>
      <c r="D889" s="64">
        <f>IFERROR(INDEX(MgNombre,MATCH($C889,MgActId,0)),"")</f>
        <v/>
      </c>
      <c r="E889" s="64">
        <f>IFERROR(INDEX(MgProceso,MATCH($C889,MgActId,0)),"")</f>
        <v/>
      </c>
      <c r="F889" s="64">
        <f>IFERROR(INDEX(MgTipo,MATCH($C889,MgActId,0)),"")</f>
        <v/>
      </c>
      <c r="G889" s="64">
        <f>IFERROR(INDEX(MgSubtipo,MATCH($C889,MgActId,0)),"")</f>
        <v/>
      </c>
      <c r="H889" s="59" t="inlineStr">
        <is>
          <t>A.6</t>
        </is>
      </c>
      <c r="I889" s="64">
        <f>IFERROR(INDEX(MgAmenNombre,MATCH(SUBSTITUTE($H889,"*","-"),MgAmenClave,0)),"")</f>
        <v/>
      </c>
      <c r="J889" s="28">
        <f>IFERROR(INDEX(MgAmenGrupo,MATCH(SUBSTITUTE($H889,"*","-"),MgAmenClave,0)),"")</f>
        <v/>
      </c>
      <c r="K889" s="64">
        <f>IFERROR(INDEX('1. Matriz de Activos'!$Q$6:$Q$239,MATCH($C889,MgActId,0)),"")</f>
        <v/>
      </c>
      <c r="L889" s="64">
        <f>IFERROR(INDEX('1. Matriz de Activos'!$R$6:$R$239,MATCH($C889,MgActId,0)),"")</f>
        <v/>
      </c>
      <c r="M889" s="64">
        <f>IFERROR(INDEX('1. Matriz de Activos'!$S$6:$S$239,MATCH($C889,MgActId,0)),"")</f>
        <v/>
      </c>
      <c r="N889" s="28">
        <f>IFERROR(INDEX(MgAmenDegD,MATCH(SUBSTITUTE($H889,"*","-"),MgAmenClave,0)),"No aplica")</f>
        <v/>
      </c>
      <c r="O889" s="28">
        <f>IFERROR(INDEX(MgAmenDegI,MATCH(SUBSTITUTE($H889,"*","-"),MgAmenClave,0)),"No aplica")</f>
        <v/>
      </c>
      <c r="P889" s="28">
        <f>IFERROR(INDEX(MgAmenDegC,MATCH(SUBSTITUTE($H889,"*","-"),MgAmenClave,0)),"No aplica")</f>
        <v/>
      </c>
      <c r="Q889" s="29">
        <f>IFERROR(VLOOKUP(K889,MgValor,2,0)*VLOOKUP(N889,MgDeg,2,0),0)</f>
        <v/>
      </c>
      <c r="R889" s="29">
        <f>IFERROR(VLOOKUP(L889,MgValor,2,0)*VLOOKUP(O889,MgDeg,2,0),0)</f>
        <v/>
      </c>
      <c r="S889" s="29">
        <f>IFERROR(VLOOKUP(M889,MgValor,2,0)*VLOOKUP(P889,MgDeg,2,0),0)</f>
        <v/>
      </c>
      <c r="T889" s="30">
        <f>MAX(Q889:S889)</f>
        <v/>
      </c>
      <c r="U889" s="28">
        <f>IFERROR(LOOKUP(T889,{0;0.5;1.5;3;4.5},{"Despreciable";"Bajo";"Medio";"Alto";"Muy alto"}),"")</f>
        <v/>
      </c>
      <c r="V889" s="13">
        <f>IFERROR(INDEX(MgAmenFrec,MATCH(SUBSTITUTE($H889,"*","-"),MgAmenClave,0)),"")</f>
        <v/>
      </c>
      <c r="W889" s="28">
        <f>IFERROR(LOOKUP(X889,{0;0.01;0.1;1;10;100},{"Muy baja";"Muy baja";"Baja";"Media";"Alta";"Muy alta"}),"")</f>
        <v/>
      </c>
      <c r="X889" s="31">
        <f>IFERROR(VLOOKUP(V889,MgFrec,2,0),0)</f>
        <v/>
      </c>
      <c r="Y889" s="30">
        <f>T889*X889</f>
        <v/>
      </c>
      <c r="Z889" s="28">
        <f>IFERROR(LOOKUP(Y889,{0;0.5;5;25},{"Bajo";"Medio";"Alto";"Crítico"}),"")</f>
        <v/>
      </c>
      <c r="AA889" s="64">
        <f>IF(T889&gt;=3,IF(X889&gt;=1,"Zona 1 — Crítica: impacto alto y ocurre al menos una vez al año","Zona 4 — Catastrófica poco probable: impacto alto pero excepcional"),IF(AND(T889&lt;1.5,X889&lt;1),"Zona 3 — Asumible: impacto bajo y muy poco frecuente","Zona 2 — Atención: riesgo intermedio"))</f>
        <v/>
      </c>
      <c r="AB889" s="64">
        <f>IFERROR(INDEX(MgAmenCtrl,MATCH(SUBSTITUTE($H889,"*","-"),MgAmenClave,0)),"")</f>
        <v/>
      </c>
      <c r="AC889" s="20" t="n"/>
      <c r="AD889" s="31">
        <f>IFERROR($X889*(1-IF($AC889="",$AL889,VLOOKUP($AC889,MgMad,2,0))),"")</f>
        <v/>
      </c>
      <c r="AE889" s="28">
        <f>IFERROR(LOOKUP(AD889,{0;0.01;0.1;1;10;100},{"Muy baja";"Muy baja";"Baja";"Media";"Alta";"Muy alta"}),"")</f>
        <v/>
      </c>
      <c r="AF889" s="30">
        <f>T889*AD889</f>
        <v/>
      </c>
      <c r="AG889" s="28">
        <f>IFERROR(LOOKUP(AF889,{0;0.5;5;25},{"Bajo";"Medio";"Alto";"Crítico"}),"")</f>
        <v/>
      </c>
      <c r="AH889" s="28">
        <f>IF(AG889="","",IF(OR(AG889="Crítico",AG889="Alto"),"Mitigar",IF(AG889="Medio","Mitigar","Aceptar y monitorear")))</f>
        <v/>
      </c>
      <c r="AI889" s="21" t="n"/>
      <c r="AJ889" s="21" t="n"/>
      <c r="AK889" s="20" t="n"/>
      <c r="AL889" s="77">
        <f>IFERROR(INDEX(MgAmenEfic,MATCH(SUBSTITUTE($H889,"*","-"),MgAmenClave,0)),0)</f>
        <v/>
      </c>
    </row>
    <row r="890" hidden="1" ht="120" customHeight="1" s="54">
      <c r="B890" s="59" t="inlineStr">
        <is>
          <t>R-0885</t>
        </is>
      </c>
      <c r="C890" s="59" t="inlineStr">
        <is>
          <t>TAL-06</t>
        </is>
      </c>
      <c r="D890" s="64">
        <f>IFERROR(INDEX(MgNombre,MATCH($C890,MgActId,0)),"")</f>
        <v/>
      </c>
      <c r="E890" s="64">
        <f>IFERROR(INDEX(MgProceso,MATCH($C890,MgActId,0)),"")</f>
        <v/>
      </c>
      <c r="F890" s="64">
        <f>IFERROR(INDEX(MgTipo,MATCH($C890,MgActId,0)),"")</f>
        <v/>
      </c>
      <c r="G890" s="64">
        <f>IFERROR(INDEX(MgSubtipo,MATCH($C890,MgActId,0)),"")</f>
        <v/>
      </c>
      <c r="H890" s="59" t="inlineStr">
        <is>
          <t>A.11</t>
        </is>
      </c>
      <c r="I890" s="64">
        <f>IFERROR(INDEX(MgAmenNombre,MATCH(SUBSTITUTE($H890,"*","-"),MgAmenClave,0)),"")</f>
        <v/>
      </c>
      <c r="J890" s="28">
        <f>IFERROR(INDEX(MgAmenGrupo,MATCH(SUBSTITUTE($H890,"*","-"),MgAmenClave,0)),"")</f>
        <v/>
      </c>
      <c r="K890" s="64">
        <f>IFERROR(INDEX('1. Matriz de Activos'!$Q$6:$Q$239,MATCH($C890,MgActId,0)),"")</f>
        <v/>
      </c>
      <c r="L890" s="64">
        <f>IFERROR(INDEX('1. Matriz de Activos'!$R$6:$R$239,MATCH($C890,MgActId,0)),"")</f>
        <v/>
      </c>
      <c r="M890" s="64">
        <f>IFERROR(INDEX('1. Matriz de Activos'!$S$6:$S$239,MATCH($C890,MgActId,0)),"")</f>
        <v/>
      </c>
      <c r="N890" s="28">
        <f>IFERROR(INDEX(MgAmenDegD,MATCH(SUBSTITUTE($H890,"*","-"),MgAmenClave,0)),"No aplica")</f>
        <v/>
      </c>
      <c r="O890" s="28">
        <f>IFERROR(INDEX(MgAmenDegI,MATCH(SUBSTITUTE($H890,"*","-"),MgAmenClave,0)),"No aplica")</f>
        <v/>
      </c>
      <c r="P890" s="28">
        <f>IFERROR(INDEX(MgAmenDegC,MATCH(SUBSTITUTE($H890,"*","-"),MgAmenClave,0)),"No aplica")</f>
        <v/>
      </c>
      <c r="Q890" s="29">
        <f>IFERROR(VLOOKUP(K890,MgValor,2,0)*VLOOKUP(N890,MgDeg,2,0),0)</f>
        <v/>
      </c>
      <c r="R890" s="29">
        <f>IFERROR(VLOOKUP(L890,MgValor,2,0)*VLOOKUP(O890,MgDeg,2,0),0)</f>
        <v/>
      </c>
      <c r="S890" s="29">
        <f>IFERROR(VLOOKUP(M890,MgValor,2,0)*VLOOKUP(P890,MgDeg,2,0),0)</f>
        <v/>
      </c>
      <c r="T890" s="30">
        <f>MAX(Q890:S890)</f>
        <v/>
      </c>
      <c r="U890" s="28">
        <f>IFERROR(LOOKUP(T890,{0;0.5;1.5;3;4.5},{"Despreciable";"Bajo";"Medio";"Alto";"Muy alto"}),"")</f>
        <v/>
      </c>
      <c r="V890" s="13">
        <f>IFERROR(INDEX(MgAmenFrec,MATCH(SUBSTITUTE($H890,"*","-"),MgAmenClave,0)),"")</f>
        <v/>
      </c>
      <c r="W890" s="28">
        <f>IFERROR(LOOKUP(X890,{0;0.01;0.1;1;10;100},{"Muy baja";"Muy baja";"Baja";"Media";"Alta";"Muy alta"}),"")</f>
        <v/>
      </c>
      <c r="X890" s="31">
        <f>IFERROR(VLOOKUP(V890,MgFrec,2,0),0)</f>
        <v/>
      </c>
      <c r="Y890" s="30">
        <f>T890*X890</f>
        <v/>
      </c>
      <c r="Z890" s="28">
        <f>IFERROR(LOOKUP(Y890,{0;0.5;5;25},{"Bajo";"Medio";"Alto";"Crítico"}),"")</f>
        <v/>
      </c>
      <c r="AA890" s="64">
        <f>IF(T890&gt;=3,IF(X890&gt;=1,"Zona 1 — Crítica: impacto alto y ocurre al menos una vez al año","Zona 4 — Catastrófica poco probable: impacto alto pero excepcional"),IF(AND(T890&lt;1.5,X890&lt;1),"Zona 3 — Asumible: impacto bajo y muy poco frecuente","Zona 2 — Atención: riesgo intermedio"))</f>
        <v/>
      </c>
      <c r="AB890" s="64">
        <f>IFERROR(INDEX(MgAmenCtrl,MATCH(SUBSTITUTE($H890,"*","-"),MgAmenClave,0)),"")</f>
        <v/>
      </c>
      <c r="AC890" s="20" t="n"/>
      <c r="AD890" s="31">
        <f>IFERROR($X890*(1-IF($AC890="",$AL890,VLOOKUP($AC890,MgMad,2,0))),"")</f>
        <v/>
      </c>
      <c r="AE890" s="28">
        <f>IFERROR(LOOKUP(AD890,{0;0.01;0.1;1;10;100},{"Muy baja";"Muy baja";"Baja";"Media";"Alta";"Muy alta"}),"")</f>
        <v/>
      </c>
      <c r="AF890" s="30">
        <f>T890*AD890</f>
        <v/>
      </c>
      <c r="AG890" s="28">
        <f>IFERROR(LOOKUP(AF890,{0;0.5;5;25},{"Bajo";"Medio";"Alto";"Crítico"}),"")</f>
        <v/>
      </c>
      <c r="AH890" s="28">
        <f>IF(AG890="","",IF(OR(AG890="Crítico",AG890="Alto"),"Mitigar",IF(AG890="Medio","Mitigar","Aceptar y monitorear")))</f>
        <v/>
      </c>
      <c r="AI890" s="21" t="n"/>
      <c r="AJ890" s="21" t="n"/>
      <c r="AK890" s="20" t="n"/>
      <c r="AL890" s="77">
        <f>IFERROR(INDEX(MgAmenEfic,MATCH(SUBSTITUTE($H890,"*","-"),MgAmenClave,0)),0)</f>
        <v/>
      </c>
    </row>
    <row r="891" hidden="1" ht="90" customHeight="1" s="54">
      <c r="B891" s="59" t="inlineStr">
        <is>
          <t>R-0886</t>
        </is>
      </c>
      <c r="C891" s="59" t="inlineStr">
        <is>
          <t>TAL-06</t>
        </is>
      </c>
      <c r="D891" s="64">
        <f>IFERROR(INDEX(MgNombre,MATCH($C891,MgActId,0)),"")</f>
        <v/>
      </c>
      <c r="E891" s="64">
        <f>IFERROR(INDEX(MgProceso,MATCH($C891,MgActId,0)),"")</f>
        <v/>
      </c>
      <c r="F891" s="64">
        <f>IFERROR(INDEX(MgTipo,MATCH($C891,MgActId,0)),"")</f>
        <v/>
      </c>
      <c r="G891" s="64">
        <f>IFERROR(INDEX(MgSubtipo,MATCH($C891,MgActId,0)),"")</f>
        <v/>
      </c>
      <c r="H891" s="59" t="inlineStr">
        <is>
          <t>A.13</t>
        </is>
      </c>
      <c r="I891" s="64">
        <f>IFERROR(INDEX(MgAmenNombre,MATCH(SUBSTITUTE($H891,"*","-"),MgAmenClave,0)),"")</f>
        <v/>
      </c>
      <c r="J891" s="28">
        <f>IFERROR(INDEX(MgAmenGrupo,MATCH(SUBSTITUTE($H891,"*","-"),MgAmenClave,0)),"")</f>
        <v/>
      </c>
      <c r="K891" s="64">
        <f>IFERROR(INDEX('1. Matriz de Activos'!$Q$6:$Q$239,MATCH($C891,MgActId,0)),"")</f>
        <v/>
      </c>
      <c r="L891" s="64">
        <f>IFERROR(INDEX('1. Matriz de Activos'!$R$6:$R$239,MATCH($C891,MgActId,0)),"")</f>
        <v/>
      </c>
      <c r="M891" s="64">
        <f>IFERROR(INDEX('1. Matriz de Activos'!$S$6:$S$239,MATCH($C891,MgActId,0)),"")</f>
        <v/>
      </c>
      <c r="N891" s="28">
        <f>IFERROR(INDEX(MgAmenDegD,MATCH(SUBSTITUTE($H891,"*","-"),MgAmenClave,0)),"No aplica")</f>
        <v/>
      </c>
      <c r="O891" s="28">
        <f>IFERROR(INDEX(MgAmenDegI,MATCH(SUBSTITUTE($H891,"*","-"),MgAmenClave,0)),"No aplica")</f>
        <v/>
      </c>
      <c r="P891" s="28">
        <f>IFERROR(INDEX(MgAmenDegC,MATCH(SUBSTITUTE($H891,"*","-"),MgAmenClave,0)),"No aplica")</f>
        <v/>
      </c>
      <c r="Q891" s="29">
        <f>IFERROR(VLOOKUP(K891,MgValor,2,0)*VLOOKUP(N891,MgDeg,2,0),0)</f>
        <v/>
      </c>
      <c r="R891" s="29">
        <f>IFERROR(VLOOKUP(L891,MgValor,2,0)*VLOOKUP(O891,MgDeg,2,0),0)</f>
        <v/>
      </c>
      <c r="S891" s="29">
        <f>IFERROR(VLOOKUP(M891,MgValor,2,0)*VLOOKUP(P891,MgDeg,2,0),0)</f>
        <v/>
      </c>
      <c r="T891" s="30">
        <f>MAX(Q891:S891)</f>
        <v/>
      </c>
      <c r="U891" s="28">
        <f>IFERROR(LOOKUP(T891,{0;0.5;1.5;3;4.5},{"Despreciable";"Bajo";"Medio";"Alto";"Muy alto"}),"")</f>
        <v/>
      </c>
      <c r="V891" s="13">
        <f>IFERROR(INDEX(MgAmenFrec,MATCH(SUBSTITUTE($H891,"*","-"),MgAmenClave,0)),"")</f>
        <v/>
      </c>
      <c r="W891" s="28">
        <f>IFERROR(LOOKUP(X891,{0;0.01;0.1;1;10;100},{"Muy baja";"Muy baja";"Baja";"Media";"Alta";"Muy alta"}),"")</f>
        <v/>
      </c>
      <c r="X891" s="31">
        <f>IFERROR(VLOOKUP(V891,MgFrec,2,0),0)</f>
        <v/>
      </c>
      <c r="Y891" s="30">
        <f>T891*X891</f>
        <v/>
      </c>
      <c r="Z891" s="28">
        <f>IFERROR(LOOKUP(Y891,{0;0.5;5;25},{"Bajo";"Medio";"Alto";"Crítico"}),"")</f>
        <v/>
      </c>
      <c r="AA891" s="64">
        <f>IF(T891&gt;=3,IF(X891&gt;=1,"Zona 1 — Crítica: impacto alto y ocurre al menos una vez al año","Zona 4 — Catastrófica poco probable: impacto alto pero excepcional"),IF(AND(T891&lt;1.5,X891&lt;1),"Zona 3 — Asumible: impacto bajo y muy poco frecuente","Zona 2 — Atención: riesgo intermedio"))</f>
        <v/>
      </c>
      <c r="AB891" s="64">
        <f>IFERROR(INDEX(MgAmenCtrl,MATCH(SUBSTITUTE($H891,"*","-"),MgAmenClave,0)),"")</f>
        <v/>
      </c>
      <c r="AC891" s="20" t="n"/>
      <c r="AD891" s="31">
        <f>IFERROR($X891*(1-IF($AC891="",$AL891,VLOOKUP($AC891,MgMad,2,0))),"")</f>
        <v/>
      </c>
      <c r="AE891" s="28">
        <f>IFERROR(LOOKUP(AD891,{0;0.01;0.1;1;10;100},{"Muy baja";"Muy baja";"Baja";"Media";"Alta";"Muy alta"}),"")</f>
        <v/>
      </c>
      <c r="AF891" s="30">
        <f>T891*AD891</f>
        <v/>
      </c>
      <c r="AG891" s="28">
        <f>IFERROR(LOOKUP(AF891,{0;0.5;5;25},{"Bajo";"Medio";"Alto";"Crítico"}),"")</f>
        <v/>
      </c>
      <c r="AH891" s="28">
        <f>IF(AG891="","",IF(OR(AG891="Crítico",AG891="Alto"),"Mitigar",IF(AG891="Medio","Mitigar","Aceptar y monitorear")))</f>
        <v/>
      </c>
      <c r="AI891" s="21" t="n"/>
      <c r="AJ891" s="21" t="n"/>
      <c r="AK891" s="20" t="n"/>
      <c r="AL891" s="77">
        <f>IFERROR(INDEX(MgAmenEfic,MATCH(SUBSTITUTE($H891,"*","-"),MgAmenClave,0)),0)</f>
        <v/>
      </c>
    </row>
    <row r="892" hidden="1" ht="60" customHeight="1" s="54">
      <c r="B892" s="59" t="inlineStr">
        <is>
          <t>R-0887</t>
        </is>
      </c>
      <c r="C892" s="59" t="inlineStr">
        <is>
          <t>TAL-06</t>
        </is>
      </c>
      <c r="D892" s="64">
        <f>IFERROR(INDEX(MgNombre,MATCH($C892,MgActId,0)),"")</f>
        <v/>
      </c>
      <c r="E892" s="64">
        <f>IFERROR(INDEX(MgProceso,MATCH($C892,MgActId,0)),"")</f>
        <v/>
      </c>
      <c r="F892" s="64">
        <f>IFERROR(INDEX(MgTipo,MATCH($C892,MgActId,0)),"")</f>
        <v/>
      </c>
      <c r="G892" s="64">
        <f>IFERROR(INDEX(MgSubtipo,MATCH($C892,MgActId,0)),"")</f>
        <v/>
      </c>
      <c r="H892" s="59" t="inlineStr">
        <is>
          <t>A.15</t>
        </is>
      </c>
      <c r="I892" s="64">
        <f>IFERROR(INDEX(MgAmenNombre,MATCH(SUBSTITUTE($H892,"*","-"),MgAmenClave,0)),"")</f>
        <v/>
      </c>
      <c r="J892" s="28">
        <f>IFERROR(INDEX(MgAmenGrupo,MATCH(SUBSTITUTE($H892,"*","-"),MgAmenClave,0)),"")</f>
        <v/>
      </c>
      <c r="K892" s="64">
        <f>IFERROR(INDEX('1. Matriz de Activos'!$Q$6:$Q$239,MATCH($C892,MgActId,0)),"")</f>
        <v/>
      </c>
      <c r="L892" s="64">
        <f>IFERROR(INDEX('1. Matriz de Activos'!$R$6:$R$239,MATCH($C892,MgActId,0)),"")</f>
        <v/>
      </c>
      <c r="M892" s="64">
        <f>IFERROR(INDEX('1. Matriz de Activos'!$S$6:$S$239,MATCH($C892,MgActId,0)),"")</f>
        <v/>
      </c>
      <c r="N892" s="28">
        <f>IFERROR(INDEX(MgAmenDegD,MATCH(SUBSTITUTE($H892,"*","-"),MgAmenClave,0)),"No aplica")</f>
        <v/>
      </c>
      <c r="O892" s="28">
        <f>IFERROR(INDEX(MgAmenDegI,MATCH(SUBSTITUTE($H892,"*","-"),MgAmenClave,0)),"No aplica")</f>
        <v/>
      </c>
      <c r="P892" s="28">
        <f>IFERROR(INDEX(MgAmenDegC,MATCH(SUBSTITUTE($H892,"*","-"),MgAmenClave,0)),"No aplica")</f>
        <v/>
      </c>
      <c r="Q892" s="29">
        <f>IFERROR(VLOOKUP(K892,MgValor,2,0)*VLOOKUP(N892,MgDeg,2,0),0)</f>
        <v/>
      </c>
      <c r="R892" s="29">
        <f>IFERROR(VLOOKUP(L892,MgValor,2,0)*VLOOKUP(O892,MgDeg,2,0),0)</f>
        <v/>
      </c>
      <c r="S892" s="29">
        <f>IFERROR(VLOOKUP(M892,MgValor,2,0)*VLOOKUP(P892,MgDeg,2,0),0)</f>
        <v/>
      </c>
      <c r="T892" s="30">
        <f>MAX(Q892:S892)</f>
        <v/>
      </c>
      <c r="U892" s="28">
        <f>IFERROR(LOOKUP(T892,{0;0.5;1.5;3;4.5},{"Despreciable";"Bajo";"Medio";"Alto";"Muy alto"}),"")</f>
        <v/>
      </c>
      <c r="V892" s="13">
        <f>IFERROR(INDEX(MgAmenFrec,MATCH(SUBSTITUTE($H892,"*","-"),MgAmenClave,0)),"")</f>
        <v/>
      </c>
      <c r="W892" s="28">
        <f>IFERROR(LOOKUP(X892,{0;0.01;0.1;1;10;100},{"Muy baja";"Muy baja";"Baja";"Media";"Alta";"Muy alta"}),"")</f>
        <v/>
      </c>
      <c r="X892" s="31">
        <f>IFERROR(VLOOKUP(V892,MgFrec,2,0),0)</f>
        <v/>
      </c>
      <c r="Y892" s="30">
        <f>T892*X892</f>
        <v/>
      </c>
      <c r="Z892" s="28">
        <f>IFERROR(LOOKUP(Y892,{0;0.5;5;25},{"Bajo";"Medio";"Alto";"Crítico"}),"")</f>
        <v/>
      </c>
      <c r="AA892" s="64">
        <f>IF(T892&gt;=3,IF(X892&gt;=1,"Zona 1 — Crítica: impacto alto y ocurre al menos una vez al año","Zona 4 — Catastrófica poco probable: impacto alto pero excepcional"),IF(AND(T892&lt;1.5,X892&lt;1),"Zona 3 — Asumible: impacto bajo y muy poco frecuente","Zona 2 — Atención: riesgo intermedio"))</f>
        <v/>
      </c>
      <c r="AB892" s="64">
        <f>IFERROR(INDEX(MgAmenCtrl,MATCH(SUBSTITUTE($H892,"*","-"),MgAmenClave,0)),"")</f>
        <v/>
      </c>
      <c r="AC892" s="20" t="n"/>
      <c r="AD892" s="31">
        <f>IFERROR($X892*(1-IF($AC892="",$AL892,VLOOKUP($AC892,MgMad,2,0))),"")</f>
        <v/>
      </c>
      <c r="AE892" s="28">
        <f>IFERROR(LOOKUP(AD892,{0;0.01;0.1;1;10;100},{"Muy baja";"Muy baja";"Baja";"Media";"Alta";"Muy alta"}),"")</f>
        <v/>
      </c>
      <c r="AF892" s="30">
        <f>T892*AD892</f>
        <v/>
      </c>
      <c r="AG892" s="28">
        <f>IFERROR(LOOKUP(AF892,{0;0.5;5;25},{"Bajo";"Medio";"Alto";"Crítico"}),"")</f>
        <v/>
      </c>
      <c r="AH892" s="28">
        <f>IF(AG892="","",IF(OR(AG892="Crítico",AG892="Alto"),"Mitigar",IF(AG892="Medio","Mitigar","Aceptar y monitorear")))</f>
        <v/>
      </c>
      <c r="AI892" s="21" t="n"/>
      <c r="AJ892" s="21" t="n"/>
      <c r="AK892" s="20" t="n"/>
      <c r="AL892" s="77">
        <f>IFERROR(INDEX(MgAmenEfic,MATCH(SUBSTITUTE($H892,"*","-"),MgAmenClave,0)),0)</f>
        <v/>
      </c>
    </row>
    <row r="893" hidden="1" ht="60" customHeight="1" s="54">
      <c r="B893" s="59" t="inlineStr">
        <is>
          <t>R-0888</t>
        </is>
      </c>
      <c r="C893" s="59" t="inlineStr">
        <is>
          <t>TAL-06</t>
        </is>
      </c>
      <c r="D893" s="64">
        <f>IFERROR(INDEX(MgNombre,MATCH($C893,MgActId,0)),"")</f>
        <v/>
      </c>
      <c r="E893" s="64">
        <f>IFERROR(INDEX(MgProceso,MATCH($C893,MgActId,0)),"")</f>
        <v/>
      </c>
      <c r="F893" s="64">
        <f>IFERROR(INDEX(MgTipo,MATCH($C893,MgActId,0)),"")</f>
        <v/>
      </c>
      <c r="G893" s="64">
        <f>IFERROR(INDEX(MgSubtipo,MATCH($C893,MgActId,0)),"")</f>
        <v/>
      </c>
      <c r="H893" s="59" t="inlineStr">
        <is>
          <t>A.18</t>
        </is>
      </c>
      <c r="I893" s="64">
        <f>IFERROR(INDEX(MgAmenNombre,MATCH(SUBSTITUTE($H893,"*","-"),MgAmenClave,0)),"")</f>
        <v/>
      </c>
      <c r="J893" s="28">
        <f>IFERROR(INDEX(MgAmenGrupo,MATCH(SUBSTITUTE($H893,"*","-"),MgAmenClave,0)),"")</f>
        <v/>
      </c>
      <c r="K893" s="64">
        <f>IFERROR(INDEX('1. Matriz de Activos'!$Q$6:$Q$239,MATCH($C893,MgActId,0)),"")</f>
        <v/>
      </c>
      <c r="L893" s="64">
        <f>IFERROR(INDEX('1. Matriz de Activos'!$R$6:$R$239,MATCH($C893,MgActId,0)),"")</f>
        <v/>
      </c>
      <c r="M893" s="64">
        <f>IFERROR(INDEX('1. Matriz de Activos'!$S$6:$S$239,MATCH($C893,MgActId,0)),"")</f>
        <v/>
      </c>
      <c r="N893" s="28">
        <f>IFERROR(INDEX(MgAmenDegD,MATCH(SUBSTITUTE($H893,"*","-"),MgAmenClave,0)),"No aplica")</f>
        <v/>
      </c>
      <c r="O893" s="28">
        <f>IFERROR(INDEX(MgAmenDegI,MATCH(SUBSTITUTE($H893,"*","-"),MgAmenClave,0)),"No aplica")</f>
        <v/>
      </c>
      <c r="P893" s="28">
        <f>IFERROR(INDEX(MgAmenDegC,MATCH(SUBSTITUTE($H893,"*","-"),MgAmenClave,0)),"No aplica")</f>
        <v/>
      </c>
      <c r="Q893" s="29">
        <f>IFERROR(VLOOKUP(K893,MgValor,2,0)*VLOOKUP(N893,MgDeg,2,0),0)</f>
        <v/>
      </c>
      <c r="R893" s="29">
        <f>IFERROR(VLOOKUP(L893,MgValor,2,0)*VLOOKUP(O893,MgDeg,2,0),0)</f>
        <v/>
      </c>
      <c r="S893" s="29">
        <f>IFERROR(VLOOKUP(M893,MgValor,2,0)*VLOOKUP(P893,MgDeg,2,0),0)</f>
        <v/>
      </c>
      <c r="T893" s="30">
        <f>MAX(Q893:S893)</f>
        <v/>
      </c>
      <c r="U893" s="28">
        <f>IFERROR(LOOKUP(T893,{0;0.5;1.5;3;4.5},{"Despreciable";"Bajo";"Medio";"Alto";"Muy alto"}),"")</f>
        <v/>
      </c>
      <c r="V893" s="13">
        <f>IFERROR(INDEX(MgAmenFrec,MATCH(SUBSTITUTE($H893,"*","-"),MgAmenClave,0)),"")</f>
        <v/>
      </c>
      <c r="W893" s="28">
        <f>IFERROR(LOOKUP(X893,{0;0.01;0.1;1;10;100},{"Muy baja";"Muy baja";"Baja";"Media";"Alta";"Muy alta"}),"")</f>
        <v/>
      </c>
      <c r="X893" s="31">
        <f>IFERROR(VLOOKUP(V893,MgFrec,2,0),0)</f>
        <v/>
      </c>
      <c r="Y893" s="30">
        <f>T893*X893</f>
        <v/>
      </c>
      <c r="Z893" s="28">
        <f>IFERROR(LOOKUP(Y893,{0;0.5;5;25},{"Bajo";"Medio";"Alto";"Crítico"}),"")</f>
        <v/>
      </c>
      <c r="AA893" s="64">
        <f>IF(T893&gt;=3,IF(X893&gt;=1,"Zona 1 — Crítica: impacto alto y ocurre al menos una vez al año","Zona 4 — Catastrófica poco probable: impacto alto pero excepcional"),IF(AND(T893&lt;1.5,X893&lt;1),"Zona 3 — Asumible: impacto bajo y muy poco frecuente","Zona 2 — Atención: riesgo intermedio"))</f>
        <v/>
      </c>
      <c r="AB893" s="64">
        <f>IFERROR(INDEX(MgAmenCtrl,MATCH(SUBSTITUTE($H893,"*","-"),MgAmenClave,0)),"")</f>
        <v/>
      </c>
      <c r="AC893" s="20" t="n"/>
      <c r="AD893" s="31">
        <f>IFERROR($X893*(1-IF($AC893="",$AL893,VLOOKUP($AC893,MgMad,2,0))),"")</f>
        <v/>
      </c>
      <c r="AE893" s="28">
        <f>IFERROR(LOOKUP(AD893,{0;0.01;0.1;1;10;100},{"Muy baja";"Muy baja";"Baja";"Media";"Alta";"Muy alta"}),"")</f>
        <v/>
      </c>
      <c r="AF893" s="30">
        <f>T893*AD893</f>
        <v/>
      </c>
      <c r="AG893" s="28">
        <f>IFERROR(LOOKUP(AF893,{0;0.5;5;25},{"Bajo";"Medio";"Alto";"Crítico"}),"")</f>
        <v/>
      </c>
      <c r="AH893" s="28">
        <f>IF(AG893="","",IF(OR(AG893="Crítico",AG893="Alto"),"Mitigar",IF(AG893="Medio","Mitigar","Aceptar y monitorear")))</f>
        <v/>
      </c>
      <c r="AI893" s="21" t="n"/>
      <c r="AJ893" s="21" t="n"/>
      <c r="AK893" s="20" t="n"/>
      <c r="AL893" s="77">
        <f>IFERROR(INDEX(MgAmenEfic,MATCH(SUBSTITUTE($H893,"*","-"),MgAmenClave,0)),0)</f>
        <v/>
      </c>
    </row>
    <row r="894" hidden="1" ht="120" customHeight="1" s="54">
      <c r="B894" s="59" t="inlineStr">
        <is>
          <t>R-0889</t>
        </is>
      </c>
      <c r="C894" s="59" t="inlineStr">
        <is>
          <t>TAL-06</t>
        </is>
      </c>
      <c r="D894" s="64">
        <f>IFERROR(INDEX(MgNombre,MATCH($C894,MgActId,0)),"")</f>
        <v/>
      </c>
      <c r="E894" s="64">
        <f>IFERROR(INDEX(MgProceso,MATCH($C894,MgActId,0)),"")</f>
        <v/>
      </c>
      <c r="F894" s="64">
        <f>IFERROR(INDEX(MgTipo,MATCH($C894,MgActId,0)),"")</f>
        <v/>
      </c>
      <c r="G894" s="64">
        <f>IFERROR(INDEX(MgSubtipo,MATCH($C894,MgActId,0)),"")</f>
        <v/>
      </c>
      <c r="H894" s="59" t="inlineStr">
        <is>
          <t>A.19</t>
        </is>
      </c>
      <c r="I894" s="64">
        <f>IFERROR(INDEX(MgAmenNombre,MATCH(SUBSTITUTE($H894,"*","-"),MgAmenClave,0)),"")</f>
        <v/>
      </c>
      <c r="J894" s="28">
        <f>IFERROR(INDEX(MgAmenGrupo,MATCH(SUBSTITUTE($H894,"*","-"),MgAmenClave,0)),"")</f>
        <v/>
      </c>
      <c r="K894" s="64">
        <f>IFERROR(INDEX('1. Matriz de Activos'!$Q$6:$Q$239,MATCH($C894,MgActId,0)),"")</f>
        <v/>
      </c>
      <c r="L894" s="64">
        <f>IFERROR(INDEX('1. Matriz de Activos'!$R$6:$R$239,MATCH($C894,MgActId,0)),"")</f>
        <v/>
      </c>
      <c r="M894" s="64">
        <f>IFERROR(INDEX('1. Matriz de Activos'!$S$6:$S$239,MATCH($C894,MgActId,0)),"")</f>
        <v/>
      </c>
      <c r="N894" s="28">
        <f>IFERROR(INDEX(MgAmenDegD,MATCH(SUBSTITUTE($H894,"*","-"),MgAmenClave,0)),"No aplica")</f>
        <v/>
      </c>
      <c r="O894" s="28">
        <f>IFERROR(INDEX(MgAmenDegI,MATCH(SUBSTITUTE($H894,"*","-"),MgAmenClave,0)),"No aplica")</f>
        <v/>
      </c>
      <c r="P894" s="28">
        <f>IFERROR(INDEX(MgAmenDegC,MATCH(SUBSTITUTE($H894,"*","-"),MgAmenClave,0)),"No aplica")</f>
        <v/>
      </c>
      <c r="Q894" s="29">
        <f>IFERROR(VLOOKUP(K894,MgValor,2,0)*VLOOKUP(N894,MgDeg,2,0),0)</f>
        <v/>
      </c>
      <c r="R894" s="29">
        <f>IFERROR(VLOOKUP(L894,MgValor,2,0)*VLOOKUP(O894,MgDeg,2,0),0)</f>
        <v/>
      </c>
      <c r="S894" s="29">
        <f>IFERROR(VLOOKUP(M894,MgValor,2,0)*VLOOKUP(P894,MgDeg,2,0),0)</f>
        <v/>
      </c>
      <c r="T894" s="30">
        <f>MAX(Q894:S894)</f>
        <v/>
      </c>
      <c r="U894" s="28">
        <f>IFERROR(LOOKUP(T894,{0;0.5;1.5;3;4.5},{"Despreciable";"Bajo";"Medio";"Alto";"Muy alto"}),"")</f>
        <v/>
      </c>
      <c r="V894" s="13">
        <f>IFERROR(INDEX(MgAmenFrec,MATCH(SUBSTITUTE($H894,"*","-"),MgAmenClave,0)),"")</f>
        <v/>
      </c>
      <c r="W894" s="28">
        <f>IFERROR(LOOKUP(X894,{0;0.01;0.1;1;10;100},{"Muy baja";"Muy baja";"Baja";"Media";"Alta";"Muy alta"}),"")</f>
        <v/>
      </c>
      <c r="X894" s="31">
        <f>IFERROR(VLOOKUP(V894,MgFrec,2,0),0)</f>
        <v/>
      </c>
      <c r="Y894" s="30">
        <f>T894*X894</f>
        <v/>
      </c>
      <c r="Z894" s="28">
        <f>IFERROR(LOOKUP(Y894,{0;0.5;5;25},{"Bajo";"Medio";"Alto";"Crítico"}),"")</f>
        <v/>
      </c>
      <c r="AA894" s="64">
        <f>IF(T894&gt;=3,IF(X894&gt;=1,"Zona 1 — Crítica: impacto alto y ocurre al menos una vez al año","Zona 4 — Catastrófica poco probable: impacto alto pero excepcional"),IF(AND(T894&lt;1.5,X894&lt;1),"Zona 3 — Asumible: impacto bajo y muy poco frecuente","Zona 2 — Atención: riesgo intermedio"))</f>
        <v/>
      </c>
      <c r="AB894" s="64">
        <f>IFERROR(INDEX(MgAmenCtrl,MATCH(SUBSTITUTE($H894,"*","-"),MgAmenClave,0)),"")</f>
        <v/>
      </c>
      <c r="AC894" s="20" t="n"/>
      <c r="AD894" s="31">
        <f>IFERROR($X894*(1-IF($AC894="",$AL894,VLOOKUP($AC894,MgMad,2,0))),"")</f>
        <v/>
      </c>
      <c r="AE894" s="28">
        <f>IFERROR(LOOKUP(AD894,{0;0.01;0.1;1;10;100},{"Muy baja";"Muy baja";"Baja";"Media";"Alta";"Muy alta"}),"")</f>
        <v/>
      </c>
      <c r="AF894" s="30">
        <f>T894*AD894</f>
        <v/>
      </c>
      <c r="AG894" s="28">
        <f>IFERROR(LOOKUP(AF894,{0;0.5;5;25},{"Bajo";"Medio";"Alto";"Crítico"}),"")</f>
        <v/>
      </c>
      <c r="AH894" s="28">
        <f>IF(AG894="","",IF(OR(AG894="Crítico",AG894="Alto"),"Mitigar",IF(AG894="Medio","Mitigar","Aceptar y monitorear")))</f>
        <v/>
      </c>
      <c r="AI894" s="21" t="n"/>
      <c r="AJ894" s="21" t="n"/>
      <c r="AK894" s="20" t="n"/>
      <c r="AL894" s="77">
        <f>IFERROR(INDEX(MgAmenEfic,MATCH(SUBSTITUTE($H894,"*","-"),MgAmenClave,0)),0)</f>
        <v/>
      </c>
    </row>
    <row r="895" hidden="1" ht="105" customHeight="1" s="54">
      <c r="B895" s="59" t="inlineStr">
        <is>
          <t>R-0890</t>
        </is>
      </c>
      <c r="C895" s="59" t="inlineStr">
        <is>
          <t>TAL-14</t>
        </is>
      </c>
      <c r="D895" s="64">
        <f>IFERROR(INDEX(MgNombre,MATCH($C895,MgActId,0)),"")</f>
        <v/>
      </c>
      <c r="E895" s="64">
        <f>IFERROR(INDEX(MgProceso,MATCH($C895,MgActId,0)),"")</f>
        <v/>
      </c>
      <c r="F895" s="64">
        <f>IFERROR(INDEX(MgTipo,MATCH($C895,MgActId,0)),"")</f>
        <v/>
      </c>
      <c r="G895" s="64">
        <f>IFERROR(INDEX(MgSubtipo,MATCH($C895,MgActId,0)),"")</f>
        <v/>
      </c>
      <c r="H895" s="59" t="inlineStr">
        <is>
          <t>E.1</t>
        </is>
      </c>
      <c r="I895" s="64">
        <f>IFERROR(INDEX(MgAmenNombre,MATCH(SUBSTITUTE($H895,"*","-"),MgAmenClave,0)),"")</f>
        <v/>
      </c>
      <c r="J895" s="28">
        <f>IFERROR(INDEX(MgAmenGrupo,MATCH(SUBSTITUTE($H895,"*","-"),MgAmenClave,0)),"")</f>
        <v/>
      </c>
      <c r="K895" s="64">
        <f>IFERROR(INDEX('1. Matriz de Activos'!$Q$6:$Q$239,MATCH($C895,MgActId,0)),"")</f>
        <v/>
      </c>
      <c r="L895" s="64">
        <f>IFERROR(INDEX('1. Matriz de Activos'!$R$6:$R$239,MATCH($C895,MgActId,0)),"")</f>
        <v/>
      </c>
      <c r="M895" s="64">
        <f>IFERROR(INDEX('1. Matriz de Activos'!$S$6:$S$239,MATCH($C895,MgActId,0)),"")</f>
        <v/>
      </c>
      <c r="N895" s="28">
        <f>IFERROR(INDEX(MgAmenDegD,MATCH(SUBSTITUTE($H895,"*","-"),MgAmenClave,0)),"No aplica")</f>
        <v/>
      </c>
      <c r="O895" s="28">
        <f>IFERROR(INDEX(MgAmenDegI,MATCH(SUBSTITUTE($H895,"*","-"),MgAmenClave,0)),"No aplica")</f>
        <v/>
      </c>
      <c r="P895" s="28">
        <f>IFERROR(INDEX(MgAmenDegC,MATCH(SUBSTITUTE($H895,"*","-"),MgAmenClave,0)),"No aplica")</f>
        <v/>
      </c>
      <c r="Q895" s="29">
        <f>IFERROR(VLOOKUP(K895,MgValor,2,0)*VLOOKUP(N895,MgDeg,2,0),0)</f>
        <v/>
      </c>
      <c r="R895" s="29">
        <f>IFERROR(VLOOKUP(L895,MgValor,2,0)*VLOOKUP(O895,MgDeg,2,0),0)</f>
        <v/>
      </c>
      <c r="S895" s="29">
        <f>IFERROR(VLOOKUP(M895,MgValor,2,0)*VLOOKUP(P895,MgDeg,2,0),0)</f>
        <v/>
      </c>
      <c r="T895" s="30">
        <f>MAX(Q895:S895)</f>
        <v/>
      </c>
      <c r="U895" s="28">
        <f>IFERROR(LOOKUP(T895,{0;0.5;1.5;3;4.5},{"Despreciable";"Bajo";"Medio";"Alto";"Muy alto"}),"")</f>
        <v/>
      </c>
      <c r="V895" s="13">
        <f>IFERROR(INDEX(MgAmenFrec,MATCH(SUBSTITUTE($H895,"*","-"),MgAmenClave,0)),"")</f>
        <v/>
      </c>
      <c r="W895" s="28">
        <f>IFERROR(LOOKUP(X895,{0;0.01;0.1;1;10;100},{"Muy baja";"Muy baja";"Baja";"Media";"Alta";"Muy alta"}),"")</f>
        <v/>
      </c>
      <c r="X895" s="31">
        <f>IFERROR(VLOOKUP(V895,MgFrec,2,0),0)</f>
        <v/>
      </c>
      <c r="Y895" s="30">
        <f>T895*X895</f>
        <v/>
      </c>
      <c r="Z895" s="28">
        <f>IFERROR(LOOKUP(Y895,{0;0.5;5;25},{"Bajo";"Medio";"Alto";"Crítico"}),"")</f>
        <v/>
      </c>
      <c r="AA895" s="64">
        <f>IF(T895&gt;=3,IF(X895&gt;=1,"Zona 1 — Crítica: impacto alto y ocurre al menos una vez al año","Zona 4 — Catastrófica poco probable: impacto alto pero excepcional"),IF(AND(T895&lt;1.5,X895&lt;1),"Zona 3 — Asumible: impacto bajo y muy poco frecuente","Zona 2 — Atención: riesgo intermedio"))</f>
        <v/>
      </c>
      <c r="AB895" s="64">
        <f>IFERROR(INDEX(MgAmenCtrl,MATCH(SUBSTITUTE($H895,"*","-"),MgAmenClave,0)),"")</f>
        <v/>
      </c>
      <c r="AC895" s="20" t="n"/>
      <c r="AD895" s="31">
        <f>IFERROR($X895*(1-IF($AC895="",$AL895,VLOOKUP($AC895,MgMad,2,0))),"")</f>
        <v/>
      </c>
      <c r="AE895" s="28">
        <f>IFERROR(LOOKUP(AD895,{0;0.01;0.1;1;10;100},{"Muy baja";"Muy baja";"Baja";"Media";"Alta";"Muy alta"}),"")</f>
        <v/>
      </c>
      <c r="AF895" s="30">
        <f>T895*AD895</f>
        <v/>
      </c>
      <c r="AG895" s="28">
        <f>IFERROR(LOOKUP(AF895,{0;0.5;5;25},{"Bajo";"Medio";"Alto";"Crítico"}),"")</f>
        <v/>
      </c>
      <c r="AH895" s="28">
        <f>IF(AG895="","",IF(OR(AG895="Crítico",AG895="Alto"),"Mitigar",IF(AG895="Medio","Mitigar","Aceptar y monitorear")))</f>
        <v/>
      </c>
      <c r="AI895" s="21" t="n"/>
      <c r="AJ895" s="21" t="n"/>
      <c r="AK895" s="20" t="n"/>
      <c r="AL895" s="77">
        <f>IFERROR(INDEX(MgAmenEfic,MATCH(SUBSTITUTE($H895,"*","-"),MgAmenClave,0)),0)</f>
        <v/>
      </c>
    </row>
    <row r="896" hidden="1" ht="120" customHeight="1" s="54">
      <c r="B896" s="59" t="inlineStr">
        <is>
          <t>R-0891</t>
        </is>
      </c>
      <c r="C896" s="59" t="inlineStr">
        <is>
          <t>TAL-14</t>
        </is>
      </c>
      <c r="D896" s="64">
        <f>IFERROR(INDEX(MgNombre,MATCH($C896,MgActId,0)),"")</f>
        <v/>
      </c>
      <c r="E896" s="64">
        <f>IFERROR(INDEX(MgProceso,MATCH($C896,MgActId,0)),"")</f>
        <v/>
      </c>
      <c r="F896" s="64">
        <f>IFERROR(INDEX(MgTipo,MATCH($C896,MgActId,0)),"")</f>
        <v/>
      </c>
      <c r="G896" s="64">
        <f>IFERROR(INDEX(MgSubtipo,MATCH($C896,MgActId,0)),"")</f>
        <v/>
      </c>
      <c r="H896" s="59" t="inlineStr">
        <is>
          <t>E.2</t>
        </is>
      </c>
      <c r="I896" s="64">
        <f>IFERROR(INDEX(MgAmenNombre,MATCH(SUBSTITUTE($H896,"*","-"),MgAmenClave,0)),"")</f>
        <v/>
      </c>
      <c r="J896" s="28">
        <f>IFERROR(INDEX(MgAmenGrupo,MATCH(SUBSTITUTE($H896,"*","-"),MgAmenClave,0)),"")</f>
        <v/>
      </c>
      <c r="K896" s="64">
        <f>IFERROR(INDEX('1. Matriz de Activos'!$Q$6:$Q$239,MATCH($C896,MgActId,0)),"")</f>
        <v/>
      </c>
      <c r="L896" s="64">
        <f>IFERROR(INDEX('1. Matriz de Activos'!$R$6:$R$239,MATCH($C896,MgActId,0)),"")</f>
        <v/>
      </c>
      <c r="M896" s="64">
        <f>IFERROR(INDEX('1. Matriz de Activos'!$S$6:$S$239,MATCH($C896,MgActId,0)),"")</f>
        <v/>
      </c>
      <c r="N896" s="28">
        <f>IFERROR(INDEX(MgAmenDegD,MATCH(SUBSTITUTE($H896,"*","-"),MgAmenClave,0)),"No aplica")</f>
        <v/>
      </c>
      <c r="O896" s="28">
        <f>IFERROR(INDEX(MgAmenDegI,MATCH(SUBSTITUTE($H896,"*","-"),MgAmenClave,0)),"No aplica")</f>
        <v/>
      </c>
      <c r="P896" s="28">
        <f>IFERROR(INDEX(MgAmenDegC,MATCH(SUBSTITUTE($H896,"*","-"),MgAmenClave,0)),"No aplica")</f>
        <v/>
      </c>
      <c r="Q896" s="29">
        <f>IFERROR(VLOOKUP(K896,MgValor,2,0)*VLOOKUP(N896,MgDeg,2,0),0)</f>
        <v/>
      </c>
      <c r="R896" s="29">
        <f>IFERROR(VLOOKUP(L896,MgValor,2,0)*VLOOKUP(O896,MgDeg,2,0),0)</f>
        <v/>
      </c>
      <c r="S896" s="29">
        <f>IFERROR(VLOOKUP(M896,MgValor,2,0)*VLOOKUP(P896,MgDeg,2,0),0)</f>
        <v/>
      </c>
      <c r="T896" s="30">
        <f>MAX(Q896:S896)</f>
        <v/>
      </c>
      <c r="U896" s="28">
        <f>IFERROR(LOOKUP(T896,{0;0.5;1.5;3;4.5},{"Despreciable";"Bajo";"Medio";"Alto";"Muy alto"}),"")</f>
        <v/>
      </c>
      <c r="V896" s="13">
        <f>IFERROR(INDEX(MgAmenFrec,MATCH(SUBSTITUTE($H896,"*","-"),MgAmenClave,0)),"")</f>
        <v/>
      </c>
      <c r="W896" s="28">
        <f>IFERROR(LOOKUP(X896,{0;0.01;0.1;1;10;100},{"Muy baja";"Muy baja";"Baja";"Media";"Alta";"Muy alta"}),"")</f>
        <v/>
      </c>
      <c r="X896" s="31">
        <f>IFERROR(VLOOKUP(V896,MgFrec,2,0),0)</f>
        <v/>
      </c>
      <c r="Y896" s="30">
        <f>T896*X896</f>
        <v/>
      </c>
      <c r="Z896" s="28">
        <f>IFERROR(LOOKUP(Y896,{0;0.5;5;25},{"Bajo";"Medio";"Alto";"Crítico"}),"")</f>
        <v/>
      </c>
      <c r="AA896" s="64">
        <f>IF(T896&gt;=3,IF(X896&gt;=1,"Zona 1 — Crítica: impacto alto y ocurre al menos una vez al año","Zona 4 — Catastrófica poco probable: impacto alto pero excepcional"),IF(AND(T896&lt;1.5,X896&lt;1),"Zona 3 — Asumible: impacto bajo y muy poco frecuente","Zona 2 — Atención: riesgo intermedio"))</f>
        <v/>
      </c>
      <c r="AB896" s="64">
        <f>IFERROR(INDEX(MgAmenCtrl,MATCH(SUBSTITUTE($H896,"*","-"),MgAmenClave,0)),"")</f>
        <v/>
      </c>
      <c r="AC896" s="20" t="n"/>
      <c r="AD896" s="31">
        <f>IFERROR($X896*(1-IF($AC896="",$AL896,VLOOKUP($AC896,MgMad,2,0))),"")</f>
        <v/>
      </c>
      <c r="AE896" s="28">
        <f>IFERROR(LOOKUP(AD896,{0;0.01;0.1;1;10;100},{"Muy baja";"Muy baja";"Baja";"Media";"Alta";"Muy alta"}),"")</f>
        <v/>
      </c>
      <c r="AF896" s="30">
        <f>T896*AD896</f>
        <v/>
      </c>
      <c r="AG896" s="28">
        <f>IFERROR(LOOKUP(AF896,{0;0.5;5;25},{"Bajo";"Medio";"Alto";"Crítico"}),"")</f>
        <v/>
      </c>
      <c r="AH896" s="28">
        <f>IF(AG896="","",IF(OR(AG896="Crítico",AG896="Alto"),"Mitigar",IF(AG896="Medio","Mitigar","Aceptar y monitorear")))</f>
        <v/>
      </c>
      <c r="AI896" s="21" t="n"/>
      <c r="AJ896" s="21" t="n"/>
      <c r="AK896" s="20" t="n"/>
      <c r="AL896" s="77">
        <f>IFERROR(INDEX(MgAmenEfic,MATCH(SUBSTITUTE($H896,"*","-"),MgAmenClave,0)),0)</f>
        <v/>
      </c>
    </row>
    <row r="897" hidden="1" ht="75" customHeight="1" s="54">
      <c r="B897" s="59" t="inlineStr">
        <is>
          <t>R-0892</t>
        </is>
      </c>
      <c r="C897" s="59" t="inlineStr">
        <is>
          <t>TAL-14</t>
        </is>
      </c>
      <c r="D897" s="64">
        <f>IFERROR(INDEX(MgNombre,MATCH($C897,MgActId,0)),"")</f>
        <v/>
      </c>
      <c r="E897" s="64">
        <f>IFERROR(INDEX(MgProceso,MATCH($C897,MgActId,0)),"")</f>
        <v/>
      </c>
      <c r="F897" s="64">
        <f>IFERROR(INDEX(MgTipo,MATCH($C897,MgActId,0)),"")</f>
        <v/>
      </c>
      <c r="G897" s="64">
        <f>IFERROR(INDEX(MgSubtipo,MATCH($C897,MgActId,0)),"")</f>
        <v/>
      </c>
      <c r="H897" s="59" t="inlineStr">
        <is>
          <t>E.3</t>
        </is>
      </c>
      <c r="I897" s="64">
        <f>IFERROR(INDEX(MgAmenNombre,MATCH(SUBSTITUTE($H897,"*","-"),MgAmenClave,0)),"")</f>
        <v/>
      </c>
      <c r="J897" s="28">
        <f>IFERROR(INDEX(MgAmenGrupo,MATCH(SUBSTITUTE($H897,"*","-"),MgAmenClave,0)),"")</f>
        <v/>
      </c>
      <c r="K897" s="64">
        <f>IFERROR(INDEX('1. Matriz de Activos'!$Q$6:$Q$239,MATCH($C897,MgActId,0)),"")</f>
        <v/>
      </c>
      <c r="L897" s="64">
        <f>IFERROR(INDEX('1. Matriz de Activos'!$R$6:$R$239,MATCH($C897,MgActId,0)),"")</f>
        <v/>
      </c>
      <c r="M897" s="64">
        <f>IFERROR(INDEX('1. Matriz de Activos'!$S$6:$S$239,MATCH($C897,MgActId,0)),"")</f>
        <v/>
      </c>
      <c r="N897" s="28">
        <f>IFERROR(INDEX(MgAmenDegD,MATCH(SUBSTITUTE($H897,"*","-"),MgAmenClave,0)),"No aplica")</f>
        <v/>
      </c>
      <c r="O897" s="28">
        <f>IFERROR(INDEX(MgAmenDegI,MATCH(SUBSTITUTE($H897,"*","-"),MgAmenClave,0)),"No aplica")</f>
        <v/>
      </c>
      <c r="P897" s="28">
        <f>IFERROR(INDEX(MgAmenDegC,MATCH(SUBSTITUTE($H897,"*","-"),MgAmenClave,0)),"No aplica")</f>
        <v/>
      </c>
      <c r="Q897" s="29">
        <f>IFERROR(VLOOKUP(K897,MgValor,2,0)*VLOOKUP(N897,MgDeg,2,0),0)</f>
        <v/>
      </c>
      <c r="R897" s="29">
        <f>IFERROR(VLOOKUP(L897,MgValor,2,0)*VLOOKUP(O897,MgDeg,2,0),0)</f>
        <v/>
      </c>
      <c r="S897" s="29">
        <f>IFERROR(VLOOKUP(M897,MgValor,2,0)*VLOOKUP(P897,MgDeg,2,0),0)</f>
        <v/>
      </c>
      <c r="T897" s="30">
        <f>MAX(Q897:S897)</f>
        <v/>
      </c>
      <c r="U897" s="28">
        <f>IFERROR(LOOKUP(T897,{0;0.5;1.5;3;4.5},{"Despreciable";"Bajo";"Medio";"Alto";"Muy alto"}),"")</f>
        <v/>
      </c>
      <c r="V897" s="13">
        <f>IFERROR(INDEX(MgAmenFrec,MATCH(SUBSTITUTE($H897,"*","-"),MgAmenClave,0)),"")</f>
        <v/>
      </c>
      <c r="W897" s="28">
        <f>IFERROR(LOOKUP(X897,{0;0.01;0.1;1;10;100},{"Muy baja";"Muy baja";"Baja";"Media";"Alta";"Muy alta"}),"")</f>
        <v/>
      </c>
      <c r="X897" s="31">
        <f>IFERROR(VLOOKUP(V897,MgFrec,2,0),0)</f>
        <v/>
      </c>
      <c r="Y897" s="30">
        <f>T897*X897</f>
        <v/>
      </c>
      <c r="Z897" s="28">
        <f>IFERROR(LOOKUP(Y897,{0;0.5;5;25},{"Bajo";"Medio";"Alto";"Crítico"}),"")</f>
        <v/>
      </c>
      <c r="AA897" s="64">
        <f>IF(T897&gt;=3,IF(X897&gt;=1,"Zona 1 — Crítica: impacto alto y ocurre al menos una vez al año","Zona 4 — Catastrófica poco probable: impacto alto pero excepcional"),IF(AND(T897&lt;1.5,X897&lt;1),"Zona 3 — Asumible: impacto bajo y muy poco frecuente","Zona 2 — Atención: riesgo intermedio"))</f>
        <v/>
      </c>
      <c r="AB897" s="64">
        <f>IFERROR(INDEX(MgAmenCtrl,MATCH(SUBSTITUTE($H897,"*","-"),MgAmenClave,0)),"")</f>
        <v/>
      </c>
      <c r="AC897" s="20" t="n"/>
      <c r="AD897" s="31">
        <f>IFERROR($X897*(1-IF($AC897="",$AL897,VLOOKUP($AC897,MgMad,2,0))),"")</f>
        <v/>
      </c>
      <c r="AE897" s="28">
        <f>IFERROR(LOOKUP(AD897,{0;0.01;0.1;1;10;100},{"Muy baja";"Muy baja";"Baja";"Media";"Alta";"Muy alta"}),"")</f>
        <v/>
      </c>
      <c r="AF897" s="30">
        <f>T897*AD897</f>
        <v/>
      </c>
      <c r="AG897" s="28">
        <f>IFERROR(LOOKUP(AF897,{0;0.5;5;25},{"Bajo";"Medio";"Alto";"Crítico"}),"")</f>
        <v/>
      </c>
      <c r="AH897" s="28">
        <f>IF(AG897="","",IF(OR(AG897="Crítico",AG897="Alto"),"Mitigar",IF(AG897="Medio","Mitigar","Aceptar y monitorear")))</f>
        <v/>
      </c>
      <c r="AI897" s="21" t="n"/>
      <c r="AJ897" s="21" t="n"/>
      <c r="AK897" s="20" t="n"/>
      <c r="AL897" s="77">
        <f>IFERROR(INDEX(MgAmenEfic,MATCH(SUBSTITUTE($H897,"*","-"),MgAmenClave,0)),0)</f>
        <v/>
      </c>
    </row>
    <row r="898" hidden="1" ht="75" customHeight="1" s="54">
      <c r="B898" s="59" t="inlineStr">
        <is>
          <t>R-0893</t>
        </is>
      </c>
      <c r="C898" s="59" t="inlineStr">
        <is>
          <t>TAL-14</t>
        </is>
      </c>
      <c r="D898" s="64">
        <f>IFERROR(INDEX(MgNombre,MATCH($C898,MgActId,0)),"")</f>
        <v/>
      </c>
      <c r="E898" s="64">
        <f>IFERROR(INDEX(MgProceso,MATCH($C898,MgActId,0)),"")</f>
        <v/>
      </c>
      <c r="F898" s="64">
        <f>IFERROR(INDEX(MgTipo,MATCH($C898,MgActId,0)),"")</f>
        <v/>
      </c>
      <c r="G898" s="64">
        <f>IFERROR(INDEX(MgSubtipo,MATCH($C898,MgActId,0)),"")</f>
        <v/>
      </c>
      <c r="H898" s="59" t="inlineStr">
        <is>
          <t>E.4</t>
        </is>
      </c>
      <c r="I898" s="64">
        <f>IFERROR(INDEX(MgAmenNombre,MATCH(SUBSTITUTE($H898,"*","-"),MgAmenClave,0)),"")</f>
        <v/>
      </c>
      <c r="J898" s="28">
        <f>IFERROR(INDEX(MgAmenGrupo,MATCH(SUBSTITUTE($H898,"*","-"),MgAmenClave,0)),"")</f>
        <v/>
      </c>
      <c r="K898" s="64">
        <f>IFERROR(INDEX('1. Matriz de Activos'!$Q$6:$Q$239,MATCH($C898,MgActId,0)),"")</f>
        <v/>
      </c>
      <c r="L898" s="64">
        <f>IFERROR(INDEX('1. Matriz de Activos'!$R$6:$R$239,MATCH($C898,MgActId,0)),"")</f>
        <v/>
      </c>
      <c r="M898" s="64">
        <f>IFERROR(INDEX('1. Matriz de Activos'!$S$6:$S$239,MATCH($C898,MgActId,0)),"")</f>
        <v/>
      </c>
      <c r="N898" s="28">
        <f>IFERROR(INDEX(MgAmenDegD,MATCH(SUBSTITUTE($H898,"*","-"),MgAmenClave,0)),"No aplica")</f>
        <v/>
      </c>
      <c r="O898" s="28">
        <f>IFERROR(INDEX(MgAmenDegI,MATCH(SUBSTITUTE($H898,"*","-"),MgAmenClave,0)),"No aplica")</f>
        <v/>
      </c>
      <c r="P898" s="28">
        <f>IFERROR(INDEX(MgAmenDegC,MATCH(SUBSTITUTE($H898,"*","-"),MgAmenClave,0)),"No aplica")</f>
        <v/>
      </c>
      <c r="Q898" s="29">
        <f>IFERROR(VLOOKUP(K898,MgValor,2,0)*VLOOKUP(N898,MgDeg,2,0),0)</f>
        <v/>
      </c>
      <c r="R898" s="29">
        <f>IFERROR(VLOOKUP(L898,MgValor,2,0)*VLOOKUP(O898,MgDeg,2,0),0)</f>
        <v/>
      </c>
      <c r="S898" s="29">
        <f>IFERROR(VLOOKUP(M898,MgValor,2,0)*VLOOKUP(P898,MgDeg,2,0),0)</f>
        <v/>
      </c>
      <c r="T898" s="30">
        <f>MAX(Q898:S898)</f>
        <v/>
      </c>
      <c r="U898" s="28">
        <f>IFERROR(LOOKUP(T898,{0;0.5;1.5;3;4.5},{"Despreciable";"Bajo";"Medio";"Alto";"Muy alto"}),"")</f>
        <v/>
      </c>
      <c r="V898" s="13">
        <f>IFERROR(INDEX(MgAmenFrec,MATCH(SUBSTITUTE($H898,"*","-"),MgAmenClave,0)),"")</f>
        <v/>
      </c>
      <c r="W898" s="28">
        <f>IFERROR(LOOKUP(X898,{0;0.01;0.1;1;10;100},{"Muy baja";"Muy baja";"Baja";"Media";"Alta";"Muy alta"}),"")</f>
        <v/>
      </c>
      <c r="X898" s="31">
        <f>IFERROR(VLOOKUP(V898,MgFrec,2,0),0)</f>
        <v/>
      </c>
      <c r="Y898" s="30">
        <f>T898*X898</f>
        <v/>
      </c>
      <c r="Z898" s="28">
        <f>IFERROR(LOOKUP(Y898,{0;0.5;5;25},{"Bajo";"Medio";"Alto";"Crítico"}),"")</f>
        <v/>
      </c>
      <c r="AA898" s="64">
        <f>IF(T898&gt;=3,IF(X898&gt;=1,"Zona 1 — Crítica: impacto alto y ocurre al menos una vez al año","Zona 4 — Catastrófica poco probable: impacto alto pero excepcional"),IF(AND(T898&lt;1.5,X898&lt;1),"Zona 3 — Asumible: impacto bajo y muy poco frecuente","Zona 2 — Atención: riesgo intermedio"))</f>
        <v/>
      </c>
      <c r="AB898" s="64">
        <f>IFERROR(INDEX(MgAmenCtrl,MATCH(SUBSTITUTE($H898,"*","-"),MgAmenClave,0)),"")</f>
        <v/>
      </c>
      <c r="AC898" s="20" t="n"/>
      <c r="AD898" s="31">
        <f>IFERROR($X898*(1-IF($AC898="",$AL898,VLOOKUP($AC898,MgMad,2,0))),"")</f>
        <v/>
      </c>
      <c r="AE898" s="28">
        <f>IFERROR(LOOKUP(AD898,{0;0.01;0.1;1;10;100},{"Muy baja";"Muy baja";"Baja";"Media";"Alta";"Muy alta"}),"")</f>
        <v/>
      </c>
      <c r="AF898" s="30">
        <f>T898*AD898</f>
        <v/>
      </c>
      <c r="AG898" s="28">
        <f>IFERROR(LOOKUP(AF898,{0;0.5;5;25},{"Bajo";"Medio";"Alto";"Crítico"}),"")</f>
        <v/>
      </c>
      <c r="AH898" s="28">
        <f>IF(AG898="","",IF(OR(AG898="Crítico",AG898="Alto"),"Mitigar",IF(AG898="Medio","Mitigar","Aceptar y monitorear")))</f>
        <v/>
      </c>
      <c r="AI898" s="21" t="n"/>
      <c r="AJ898" s="21" t="n"/>
      <c r="AK898" s="20" t="n"/>
      <c r="AL898" s="77">
        <f>IFERROR(INDEX(MgAmenEfic,MATCH(SUBSTITUTE($H898,"*","-"),MgAmenClave,0)),0)</f>
        <v/>
      </c>
    </row>
    <row r="899" hidden="1" ht="90" customHeight="1" s="54">
      <c r="B899" s="59" t="inlineStr">
        <is>
          <t>R-0894</t>
        </is>
      </c>
      <c r="C899" s="59" t="inlineStr">
        <is>
          <t>TAL-14</t>
        </is>
      </c>
      <c r="D899" s="64">
        <f>IFERROR(INDEX(MgNombre,MATCH($C899,MgActId,0)),"")</f>
        <v/>
      </c>
      <c r="E899" s="64">
        <f>IFERROR(INDEX(MgProceso,MATCH($C899,MgActId,0)),"")</f>
        <v/>
      </c>
      <c r="F899" s="64">
        <f>IFERROR(INDEX(MgTipo,MATCH($C899,MgActId,0)),"")</f>
        <v/>
      </c>
      <c r="G899" s="64">
        <f>IFERROR(INDEX(MgSubtipo,MATCH($C899,MgActId,0)),"")</f>
        <v/>
      </c>
      <c r="H899" s="59" t="inlineStr">
        <is>
          <t>E.14</t>
        </is>
      </c>
      <c r="I899" s="64">
        <f>IFERROR(INDEX(MgAmenNombre,MATCH(SUBSTITUTE($H899,"*","-"),MgAmenClave,0)),"")</f>
        <v/>
      </c>
      <c r="J899" s="28">
        <f>IFERROR(INDEX(MgAmenGrupo,MATCH(SUBSTITUTE($H899,"*","-"),MgAmenClave,0)),"")</f>
        <v/>
      </c>
      <c r="K899" s="64">
        <f>IFERROR(INDEX('1. Matriz de Activos'!$Q$6:$Q$239,MATCH($C899,MgActId,0)),"")</f>
        <v/>
      </c>
      <c r="L899" s="64">
        <f>IFERROR(INDEX('1. Matriz de Activos'!$R$6:$R$239,MATCH($C899,MgActId,0)),"")</f>
        <v/>
      </c>
      <c r="M899" s="64">
        <f>IFERROR(INDEX('1. Matriz de Activos'!$S$6:$S$239,MATCH($C899,MgActId,0)),"")</f>
        <v/>
      </c>
      <c r="N899" s="28">
        <f>IFERROR(INDEX(MgAmenDegD,MATCH(SUBSTITUTE($H899,"*","-"),MgAmenClave,0)),"No aplica")</f>
        <v/>
      </c>
      <c r="O899" s="28">
        <f>IFERROR(INDEX(MgAmenDegI,MATCH(SUBSTITUTE($H899,"*","-"),MgAmenClave,0)),"No aplica")</f>
        <v/>
      </c>
      <c r="P899" s="28">
        <f>IFERROR(INDEX(MgAmenDegC,MATCH(SUBSTITUTE($H899,"*","-"),MgAmenClave,0)),"No aplica")</f>
        <v/>
      </c>
      <c r="Q899" s="29">
        <f>IFERROR(VLOOKUP(K899,MgValor,2,0)*VLOOKUP(N899,MgDeg,2,0),0)</f>
        <v/>
      </c>
      <c r="R899" s="29">
        <f>IFERROR(VLOOKUP(L899,MgValor,2,0)*VLOOKUP(O899,MgDeg,2,0),0)</f>
        <v/>
      </c>
      <c r="S899" s="29">
        <f>IFERROR(VLOOKUP(M899,MgValor,2,0)*VLOOKUP(P899,MgDeg,2,0),0)</f>
        <v/>
      </c>
      <c r="T899" s="30">
        <f>MAX(Q899:S899)</f>
        <v/>
      </c>
      <c r="U899" s="28">
        <f>IFERROR(LOOKUP(T899,{0;0.5;1.5;3;4.5},{"Despreciable";"Bajo";"Medio";"Alto";"Muy alto"}),"")</f>
        <v/>
      </c>
      <c r="V899" s="13">
        <f>IFERROR(INDEX(MgAmenFrec,MATCH(SUBSTITUTE($H899,"*","-"),MgAmenClave,0)),"")</f>
        <v/>
      </c>
      <c r="W899" s="28">
        <f>IFERROR(LOOKUP(X899,{0;0.01;0.1;1;10;100},{"Muy baja";"Muy baja";"Baja";"Media";"Alta";"Muy alta"}),"")</f>
        <v/>
      </c>
      <c r="X899" s="31">
        <f>IFERROR(VLOOKUP(V899,MgFrec,2,0),0)</f>
        <v/>
      </c>
      <c r="Y899" s="30">
        <f>T899*X899</f>
        <v/>
      </c>
      <c r="Z899" s="28">
        <f>IFERROR(LOOKUP(Y899,{0;0.5;5;25},{"Bajo";"Medio";"Alto";"Crítico"}),"")</f>
        <v/>
      </c>
      <c r="AA899" s="64">
        <f>IF(T899&gt;=3,IF(X899&gt;=1,"Zona 1 — Crítica: impacto alto y ocurre al menos una vez al año","Zona 4 — Catastrófica poco probable: impacto alto pero excepcional"),IF(AND(T899&lt;1.5,X899&lt;1),"Zona 3 — Asumible: impacto bajo y muy poco frecuente","Zona 2 — Atención: riesgo intermedio"))</f>
        <v/>
      </c>
      <c r="AB899" s="64">
        <f>IFERROR(INDEX(MgAmenCtrl,MATCH(SUBSTITUTE($H899,"*","-"),MgAmenClave,0)),"")</f>
        <v/>
      </c>
      <c r="AC899" s="20" t="n"/>
      <c r="AD899" s="31">
        <f>IFERROR($X899*(1-IF($AC899="",$AL899,VLOOKUP($AC899,MgMad,2,0))),"")</f>
        <v/>
      </c>
      <c r="AE899" s="28">
        <f>IFERROR(LOOKUP(AD899,{0;0.01;0.1;1;10;100},{"Muy baja";"Muy baja";"Baja";"Media";"Alta";"Muy alta"}),"")</f>
        <v/>
      </c>
      <c r="AF899" s="30">
        <f>T899*AD899</f>
        <v/>
      </c>
      <c r="AG899" s="28">
        <f>IFERROR(LOOKUP(AF899,{0;0.5;5;25},{"Bajo";"Medio";"Alto";"Crítico"}),"")</f>
        <v/>
      </c>
      <c r="AH899" s="28">
        <f>IF(AG899="","",IF(OR(AG899="Crítico",AG899="Alto"),"Mitigar",IF(AG899="Medio","Mitigar","Aceptar y monitorear")))</f>
        <v/>
      </c>
      <c r="AI899" s="21" t="n"/>
      <c r="AJ899" s="21" t="n"/>
      <c r="AK899" s="20" t="n"/>
      <c r="AL899" s="77">
        <f>IFERROR(INDEX(MgAmenEfic,MATCH(SUBSTITUTE($H899,"*","-"),MgAmenClave,0)),0)</f>
        <v/>
      </c>
    </row>
    <row r="900" hidden="1" ht="90" customHeight="1" s="54">
      <c r="B900" s="59" t="inlineStr">
        <is>
          <t>R-0895</t>
        </is>
      </c>
      <c r="C900" s="59" t="inlineStr">
        <is>
          <t>TAL-14</t>
        </is>
      </c>
      <c r="D900" s="64">
        <f>IFERROR(INDEX(MgNombre,MATCH($C900,MgActId,0)),"")</f>
        <v/>
      </c>
      <c r="E900" s="64">
        <f>IFERROR(INDEX(MgProceso,MATCH($C900,MgActId,0)),"")</f>
        <v/>
      </c>
      <c r="F900" s="64">
        <f>IFERROR(INDEX(MgTipo,MATCH($C900,MgActId,0)),"")</f>
        <v/>
      </c>
      <c r="G900" s="64">
        <f>IFERROR(INDEX(MgSubtipo,MATCH($C900,MgActId,0)),"")</f>
        <v/>
      </c>
      <c r="H900" s="59" t="inlineStr">
        <is>
          <t>E.15</t>
        </is>
      </c>
      <c r="I900" s="64">
        <f>IFERROR(INDEX(MgAmenNombre,MATCH(SUBSTITUTE($H900,"*","-"),MgAmenClave,0)),"")</f>
        <v/>
      </c>
      <c r="J900" s="28">
        <f>IFERROR(INDEX(MgAmenGrupo,MATCH(SUBSTITUTE($H900,"*","-"),MgAmenClave,0)),"")</f>
        <v/>
      </c>
      <c r="K900" s="64">
        <f>IFERROR(INDEX('1. Matriz de Activos'!$Q$6:$Q$239,MATCH($C900,MgActId,0)),"")</f>
        <v/>
      </c>
      <c r="L900" s="64">
        <f>IFERROR(INDEX('1. Matriz de Activos'!$R$6:$R$239,MATCH($C900,MgActId,0)),"")</f>
        <v/>
      </c>
      <c r="M900" s="64">
        <f>IFERROR(INDEX('1. Matriz de Activos'!$S$6:$S$239,MATCH($C900,MgActId,0)),"")</f>
        <v/>
      </c>
      <c r="N900" s="28">
        <f>IFERROR(INDEX(MgAmenDegD,MATCH(SUBSTITUTE($H900,"*","-"),MgAmenClave,0)),"No aplica")</f>
        <v/>
      </c>
      <c r="O900" s="28">
        <f>IFERROR(INDEX(MgAmenDegI,MATCH(SUBSTITUTE($H900,"*","-"),MgAmenClave,0)),"No aplica")</f>
        <v/>
      </c>
      <c r="P900" s="28">
        <f>IFERROR(INDEX(MgAmenDegC,MATCH(SUBSTITUTE($H900,"*","-"),MgAmenClave,0)),"No aplica")</f>
        <v/>
      </c>
      <c r="Q900" s="29">
        <f>IFERROR(VLOOKUP(K900,MgValor,2,0)*VLOOKUP(N900,MgDeg,2,0),0)</f>
        <v/>
      </c>
      <c r="R900" s="29">
        <f>IFERROR(VLOOKUP(L900,MgValor,2,0)*VLOOKUP(O900,MgDeg,2,0),0)</f>
        <v/>
      </c>
      <c r="S900" s="29">
        <f>IFERROR(VLOOKUP(M900,MgValor,2,0)*VLOOKUP(P900,MgDeg,2,0),0)</f>
        <v/>
      </c>
      <c r="T900" s="30">
        <f>MAX(Q900:S900)</f>
        <v/>
      </c>
      <c r="U900" s="28">
        <f>IFERROR(LOOKUP(T900,{0;0.5;1.5;3;4.5},{"Despreciable";"Bajo";"Medio";"Alto";"Muy alto"}),"")</f>
        <v/>
      </c>
      <c r="V900" s="13">
        <f>IFERROR(INDEX(MgAmenFrec,MATCH(SUBSTITUTE($H900,"*","-"),MgAmenClave,0)),"")</f>
        <v/>
      </c>
      <c r="W900" s="28">
        <f>IFERROR(LOOKUP(X900,{0;0.01;0.1;1;10;100},{"Muy baja";"Muy baja";"Baja";"Media";"Alta";"Muy alta"}),"")</f>
        <v/>
      </c>
      <c r="X900" s="31">
        <f>IFERROR(VLOOKUP(V900,MgFrec,2,0),0)</f>
        <v/>
      </c>
      <c r="Y900" s="30">
        <f>T900*X900</f>
        <v/>
      </c>
      <c r="Z900" s="28">
        <f>IFERROR(LOOKUP(Y900,{0;0.5;5;25},{"Bajo";"Medio";"Alto";"Crítico"}),"")</f>
        <v/>
      </c>
      <c r="AA900" s="64">
        <f>IF(T900&gt;=3,IF(X900&gt;=1,"Zona 1 — Crítica: impacto alto y ocurre al menos una vez al año","Zona 4 — Catastrófica poco probable: impacto alto pero excepcional"),IF(AND(T900&lt;1.5,X900&lt;1),"Zona 3 — Asumible: impacto bajo y muy poco frecuente","Zona 2 — Atención: riesgo intermedio"))</f>
        <v/>
      </c>
      <c r="AB900" s="64">
        <f>IFERROR(INDEX(MgAmenCtrl,MATCH(SUBSTITUTE($H900,"*","-"),MgAmenClave,0)),"")</f>
        <v/>
      </c>
      <c r="AC900" s="20" t="n"/>
      <c r="AD900" s="31">
        <f>IFERROR($X900*(1-IF($AC900="",$AL900,VLOOKUP($AC900,MgMad,2,0))),"")</f>
        <v/>
      </c>
      <c r="AE900" s="28">
        <f>IFERROR(LOOKUP(AD900,{0;0.01;0.1;1;10;100},{"Muy baja";"Muy baja";"Baja";"Media";"Alta";"Muy alta"}),"")</f>
        <v/>
      </c>
      <c r="AF900" s="30">
        <f>T900*AD900</f>
        <v/>
      </c>
      <c r="AG900" s="28">
        <f>IFERROR(LOOKUP(AF900,{0;0.5;5;25},{"Bajo";"Medio";"Alto";"Crítico"}),"")</f>
        <v/>
      </c>
      <c r="AH900" s="28">
        <f>IF(AG900="","",IF(OR(AG900="Crítico",AG900="Alto"),"Mitigar",IF(AG900="Medio","Mitigar","Aceptar y monitorear")))</f>
        <v/>
      </c>
      <c r="AI900" s="21" t="n"/>
      <c r="AJ900" s="21" t="n"/>
      <c r="AK900" s="20" t="n"/>
      <c r="AL900" s="77">
        <f>IFERROR(INDEX(MgAmenEfic,MATCH(SUBSTITUTE($H900,"*","-"),MgAmenClave,0)),0)</f>
        <v/>
      </c>
    </row>
    <row r="901" hidden="1" ht="60" customHeight="1" s="54">
      <c r="B901" s="59" t="inlineStr">
        <is>
          <t>R-0896</t>
        </is>
      </c>
      <c r="C901" s="59" t="inlineStr">
        <is>
          <t>TAL-14</t>
        </is>
      </c>
      <c r="D901" s="64">
        <f>IFERROR(INDEX(MgNombre,MATCH($C901,MgActId,0)),"")</f>
        <v/>
      </c>
      <c r="E901" s="64">
        <f>IFERROR(INDEX(MgProceso,MATCH($C901,MgActId,0)),"")</f>
        <v/>
      </c>
      <c r="F901" s="64">
        <f>IFERROR(INDEX(MgTipo,MATCH($C901,MgActId,0)),"")</f>
        <v/>
      </c>
      <c r="G901" s="64">
        <f>IFERROR(INDEX(MgSubtipo,MATCH($C901,MgActId,0)),"")</f>
        <v/>
      </c>
      <c r="H901" s="59" t="inlineStr">
        <is>
          <t>E.18</t>
        </is>
      </c>
      <c r="I901" s="64">
        <f>IFERROR(INDEX(MgAmenNombre,MATCH(SUBSTITUTE($H901,"*","-"),MgAmenClave,0)),"")</f>
        <v/>
      </c>
      <c r="J901" s="28">
        <f>IFERROR(INDEX(MgAmenGrupo,MATCH(SUBSTITUTE($H901,"*","-"),MgAmenClave,0)),"")</f>
        <v/>
      </c>
      <c r="K901" s="64">
        <f>IFERROR(INDEX('1. Matriz de Activos'!$Q$6:$Q$239,MATCH($C901,MgActId,0)),"")</f>
        <v/>
      </c>
      <c r="L901" s="64">
        <f>IFERROR(INDEX('1. Matriz de Activos'!$R$6:$R$239,MATCH($C901,MgActId,0)),"")</f>
        <v/>
      </c>
      <c r="M901" s="64">
        <f>IFERROR(INDEX('1. Matriz de Activos'!$S$6:$S$239,MATCH($C901,MgActId,0)),"")</f>
        <v/>
      </c>
      <c r="N901" s="28">
        <f>IFERROR(INDEX(MgAmenDegD,MATCH(SUBSTITUTE($H901,"*","-"),MgAmenClave,0)),"No aplica")</f>
        <v/>
      </c>
      <c r="O901" s="28">
        <f>IFERROR(INDEX(MgAmenDegI,MATCH(SUBSTITUTE($H901,"*","-"),MgAmenClave,0)),"No aplica")</f>
        <v/>
      </c>
      <c r="P901" s="28">
        <f>IFERROR(INDEX(MgAmenDegC,MATCH(SUBSTITUTE($H901,"*","-"),MgAmenClave,0)),"No aplica")</f>
        <v/>
      </c>
      <c r="Q901" s="29">
        <f>IFERROR(VLOOKUP(K901,MgValor,2,0)*VLOOKUP(N901,MgDeg,2,0),0)</f>
        <v/>
      </c>
      <c r="R901" s="29">
        <f>IFERROR(VLOOKUP(L901,MgValor,2,0)*VLOOKUP(O901,MgDeg,2,0),0)</f>
        <v/>
      </c>
      <c r="S901" s="29">
        <f>IFERROR(VLOOKUP(M901,MgValor,2,0)*VLOOKUP(P901,MgDeg,2,0),0)</f>
        <v/>
      </c>
      <c r="T901" s="30">
        <f>MAX(Q901:S901)</f>
        <v/>
      </c>
      <c r="U901" s="28">
        <f>IFERROR(LOOKUP(T901,{0;0.5;1.5;3;4.5},{"Despreciable";"Bajo";"Medio";"Alto";"Muy alto"}),"")</f>
        <v/>
      </c>
      <c r="V901" s="13">
        <f>IFERROR(INDEX(MgAmenFrec,MATCH(SUBSTITUTE($H901,"*","-"),MgAmenClave,0)),"")</f>
        <v/>
      </c>
      <c r="W901" s="28">
        <f>IFERROR(LOOKUP(X901,{0;0.01;0.1;1;10;100},{"Muy baja";"Muy baja";"Baja";"Media";"Alta";"Muy alta"}),"")</f>
        <v/>
      </c>
      <c r="X901" s="31">
        <f>IFERROR(VLOOKUP(V901,MgFrec,2,0),0)</f>
        <v/>
      </c>
      <c r="Y901" s="30">
        <f>T901*X901</f>
        <v/>
      </c>
      <c r="Z901" s="28">
        <f>IFERROR(LOOKUP(Y901,{0;0.5;5;25},{"Bajo";"Medio";"Alto";"Crítico"}),"")</f>
        <v/>
      </c>
      <c r="AA901" s="64">
        <f>IF(T901&gt;=3,IF(X901&gt;=1,"Zona 1 — Crítica: impacto alto y ocurre al menos una vez al año","Zona 4 — Catastrófica poco probable: impacto alto pero excepcional"),IF(AND(T901&lt;1.5,X901&lt;1),"Zona 3 — Asumible: impacto bajo y muy poco frecuente","Zona 2 — Atención: riesgo intermedio"))</f>
        <v/>
      </c>
      <c r="AB901" s="64">
        <f>IFERROR(INDEX(MgAmenCtrl,MATCH(SUBSTITUTE($H901,"*","-"),MgAmenClave,0)),"")</f>
        <v/>
      </c>
      <c r="AC901" s="20" t="n"/>
      <c r="AD901" s="31">
        <f>IFERROR($X901*(1-IF($AC901="",$AL901,VLOOKUP($AC901,MgMad,2,0))),"")</f>
        <v/>
      </c>
      <c r="AE901" s="28">
        <f>IFERROR(LOOKUP(AD901,{0;0.01;0.1;1;10;100},{"Muy baja";"Muy baja";"Baja";"Media";"Alta";"Muy alta"}),"")</f>
        <v/>
      </c>
      <c r="AF901" s="30">
        <f>T901*AD901</f>
        <v/>
      </c>
      <c r="AG901" s="28">
        <f>IFERROR(LOOKUP(AF901,{0;0.5;5;25},{"Bajo";"Medio";"Alto";"Crítico"}),"")</f>
        <v/>
      </c>
      <c r="AH901" s="28">
        <f>IF(AG901="","",IF(OR(AG901="Crítico",AG901="Alto"),"Mitigar",IF(AG901="Medio","Mitigar","Aceptar y monitorear")))</f>
        <v/>
      </c>
      <c r="AI901" s="21" t="n"/>
      <c r="AJ901" s="21" t="n"/>
      <c r="AK901" s="20" t="n"/>
      <c r="AL901" s="77">
        <f>IFERROR(INDEX(MgAmenEfic,MATCH(SUBSTITUTE($H901,"*","-"),MgAmenClave,0)),0)</f>
        <v/>
      </c>
    </row>
    <row r="902" hidden="1" ht="105" customHeight="1" s="54">
      <c r="B902" s="59" t="inlineStr">
        <is>
          <t>R-0897</t>
        </is>
      </c>
      <c r="C902" s="59" t="inlineStr">
        <is>
          <t>TAL-14</t>
        </is>
      </c>
      <c r="D902" s="64">
        <f>IFERROR(INDEX(MgNombre,MATCH($C902,MgActId,0)),"")</f>
        <v/>
      </c>
      <c r="E902" s="64">
        <f>IFERROR(INDEX(MgProceso,MATCH($C902,MgActId,0)),"")</f>
        <v/>
      </c>
      <c r="F902" s="64">
        <f>IFERROR(INDEX(MgTipo,MATCH($C902,MgActId,0)),"")</f>
        <v/>
      </c>
      <c r="G902" s="64">
        <f>IFERROR(INDEX(MgSubtipo,MATCH($C902,MgActId,0)),"")</f>
        <v/>
      </c>
      <c r="H902" s="59" t="inlineStr">
        <is>
          <t>E.19</t>
        </is>
      </c>
      <c r="I902" s="64">
        <f>IFERROR(INDEX(MgAmenNombre,MATCH(SUBSTITUTE($H902,"*","-"),MgAmenClave,0)),"")</f>
        <v/>
      </c>
      <c r="J902" s="28">
        <f>IFERROR(INDEX(MgAmenGrupo,MATCH(SUBSTITUTE($H902,"*","-"),MgAmenClave,0)),"")</f>
        <v/>
      </c>
      <c r="K902" s="64">
        <f>IFERROR(INDEX('1. Matriz de Activos'!$Q$6:$Q$239,MATCH($C902,MgActId,0)),"")</f>
        <v/>
      </c>
      <c r="L902" s="64">
        <f>IFERROR(INDEX('1. Matriz de Activos'!$R$6:$R$239,MATCH($C902,MgActId,0)),"")</f>
        <v/>
      </c>
      <c r="M902" s="64">
        <f>IFERROR(INDEX('1. Matriz de Activos'!$S$6:$S$239,MATCH($C902,MgActId,0)),"")</f>
        <v/>
      </c>
      <c r="N902" s="28">
        <f>IFERROR(INDEX(MgAmenDegD,MATCH(SUBSTITUTE($H902,"*","-"),MgAmenClave,0)),"No aplica")</f>
        <v/>
      </c>
      <c r="O902" s="28">
        <f>IFERROR(INDEX(MgAmenDegI,MATCH(SUBSTITUTE($H902,"*","-"),MgAmenClave,0)),"No aplica")</f>
        <v/>
      </c>
      <c r="P902" s="28">
        <f>IFERROR(INDEX(MgAmenDegC,MATCH(SUBSTITUTE($H902,"*","-"),MgAmenClave,0)),"No aplica")</f>
        <v/>
      </c>
      <c r="Q902" s="29">
        <f>IFERROR(VLOOKUP(K902,MgValor,2,0)*VLOOKUP(N902,MgDeg,2,0),0)</f>
        <v/>
      </c>
      <c r="R902" s="29">
        <f>IFERROR(VLOOKUP(L902,MgValor,2,0)*VLOOKUP(O902,MgDeg,2,0),0)</f>
        <v/>
      </c>
      <c r="S902" s="29">
        <f>IFERROR(VLOOKUP(M902,MgValor,2,0)*VLOOKUP(P902,MgDeg,2,0),0)</f>
        <v/>
      </c>
      <c r="T902" s="30">
        <f>MAX(Q902:S902)</f>
        <v/>
      </c>
      <c r="U902" s="28">
        <f>IFERROR(LOOKUP(T902,{0;0.5;1.5;3;4.5},{"Despreciable";"Bajo";"Medio";"Alto";"Muy alto"}),"")</f>
        <v/>
      </c>
      <c r="V902" s="13">
        <f>IFERROR(INDEX(MgAmenFrec,MATCH(SUBSTITUTE($H902,"*","-"),MgAmenClave,0)),"")</f>
        <v/>
      </c>
      <c r="W902" s="28">
        <f>IFERROR(LOOKUP(X902,{0;0.01;0.1;1;10;100},{"Muy baja";"Muy baja";"Baja";"Media";"Alta";"Muy alta"}),"")</f>
        <v/>
      </c>
      <c r="X902" s="31">
        <f>IFERROR(VLOOKUP(V902,MgFrec,2,0),0)</f>
        <v/>
      </c>
      <c r="Y902" s="30">
        <f>T902*X902</f>
        <v/>
      </c>
      <c r="Z902" s="28">
        <f>IFERROR(LOOKUP(Y902,{0;0.5;5;25},{"Bajo";"Medio";"Alto";"Crítico"}),"")</f>
        <v/>
      </c>
      <c r="AA902" s="64">
        <f>IF(T902&gt;=3,IF(X902&gt;=1,"Zona 1 — Crítica: impacto alto y ocurre al menos una vez al año","Zona 4 — Catastrófica poco probable: impacto alto pero excepcional"),IF(AND(T902&lt;1.5,X902&lt;1),"Zona 3 — Asumible: impacto bajo y muy poco frecuente","Zona 2 — Atención: riesgo intermedio"))</f>
        <v/>
      </c>
      <c r="AB902" s="64">
        <f>IFERROR(INDEX(MgAmenCtrl,MATCH(SUBSTITUTE($H902,"*","-"),MgAmenClave,0)),"")</f>
        <v/>
      </c>
      <c r="AC902" s="20" t="n"/>
      <c r="AD902" s="31">
        <f>IFERROR($X902*(1-IF($AC902="",$AL902,VLOOKUP($AC902,MgMad,2,0))),"")</f>
        <v/>
      </c>
      <c r="AE902" s="28">
        <f>IFERROR(LOOKUP(AD902,{0;0.01;0.1;1;10;100},{"Muy baja";"Muy baja";"Baja";"Media";"Alta";"Muy alta"}),"")</f>
        <v/>
      </c>
      <c r="AF902" s="30">
        <f>T902*AD902</f>
        <v/>
      </c>
      <c r="AG902" s="28">
        <f>IFERROR(LOOKUP(AF902,{0;0.5;5;25},{"Bajo";"Medio";"Alto";"Crítico"}),"")</f>
        <v/>
      </c>
      <c r="AH902" s="28">
        <f>IF(AG902="","",IF(OR(AG902="Crítico",AG902="Alto"),"Mitigar",IF(AG902="Medio","Mitigar","Aceptar y monitorear")))</f>
        <v/>
      </c>
      <c r="AI902" s="21" t="n"/>
      <c r="AJ902" s="21" t="n"/>
      <c r="AK902" s="20" t="n"/>
      <c r="AL902" s="77">
        <f>IFERROR(INDEX(MgAmenEfic,MATCH(SUBSTITUTE($H902,"*","-"),MgAmenClave,0)),0)</f>
        <v/>
      </c>
    </row>
    <row r="903" hidden="1" ht="60" customHeight="1" s="54">
      <c r="B903" s="59" t="inlineStr">
        <is>
          <t>R-0898</t>
        </is>
      </c>
      <c r="C903" s="59" t="inlineStr">
        <is>
          <t>TAL-14</t>
        </is>
      </c>
      <c r="D903" s="64">
        <f>IFERROR(INDEX(MgNombre,MATCH($C903,MgActId,0)),"")</f>
        <v/>
      </c>
      <c r="E903" s="64">
        <f>IFERROR(INDEX(MgProceso,MATCH($C903,MgActId,0)),"")</f>
        <v/>
      </c>
      <c r="F903" s="64">
        <f>IFERROR(INDEX(MgTipo,MATCH($C903,MgActId,0)),"")</f>
        <v/>
      </c>
      <c r="G903" s="64">
        <f>IFERROR(INDEX(MgSubtipo,MATCH($C903,MgActId,0)),"")</f>
        <v/>
      </c>
      <c r="H903" s="59" t="inlineStr">
        <is>
          <t>A.3</t>
        </is>
      </c>
      <c r="I903" s="64">
        <f>IFERROR(INDEX(MgAmenNombre,MATCH(SUBSTITUTE($H903,"*","-"),MgAmenClave,0)),"")</f>
        <v/>
      </c>
      <c r="J903" s="28">
        <f>IFERROR(INDEX(MgAmenGrupo,MATCH(SUBSTITUTE($H903,"*","-"),MgAmenClave,0)),"")</f>
        <v/>
      </c>
      <c r="K903" s="64">
        <f>IFERROR(INDEX('1. Matriz de Activos'!$Q$6:$Q$239,MATCH($C903,MgActId,0)),"")</f>
        <v/>
      </c>
      <c r="L903" s="64">
        <f>IFERROR(INDEX('1. Matriz de Activos'!$R$6:$R$239,MATCH($C903,MgActId,0)),"")</f>
        <v/>
      </c>
      <c r="M903" s="64">
        <f>IFERROR(INDEX('1. Matriz de Activos'!$S$6:$S$239,MATCH($C903,MgActId,0)),"")</f>
        <v/>
      </c>
      <c r="N903" s="28">
        <f>IFERROR(INDEX(MgAmenDegD,MATCH(SUBSTITUTE($H903,"*","-"),MgAmenClave,0)),"No aplica")</f>
        <v/>
      </c>
      <c r="O903" s="28">
        <f>IFERROR(INDEX(MgAmenDegI,MATCH(SUBSTITUTE($H903,"*","-"),MgAmenClave,0)),"No aplica")</f>
        <v/>
      </c>
      <c r="P903" s="28">
        <f>IFERROR(INDEX(MgAmenDegC,MATCH(SUBSTITUTE($H903,"*","-"),MgAmenClave,0)),"No aplica")</f>
        <v/>
      </c>
      <c r="Q903" s="29">
        <f>IFERROR(VLOOKUP(K903,MgValor,2,0)*VLOOKUP(N903,MgDeg,2,0),0)</f>
        <v/>
      </c>
      <c r="R903" s="29">
        <f>IFERROR(VLOOKUP(L903,MgValor,2,0)*VLOOKUP(O903,MgDeg,2,0),0)</f>
        <v/>
      </c>
      <c r="S903" s="29">
        <f>IFERROR(VLOOKUP(M903,MgValor,2,0)*VLOOKUP(P903,MgDeg,2,0),0)</f>
        <v/>
      </c>
      <c r="T903" s="30">
        <f>MAX(Q903:S903)</f>
        <v/>
      </c>
      <c r="U903" s="28">
        <f>IFERROR(LOOKUP(T903,{0;0.5;1.5;3;4.5},{"Despreciable";"Bajo";"Medio";"Alto";"Muy alto"}),"")</f>
        <v/>
      </c>
      <c r="V903" s="13">
        <f>IFERROR(INDEX(MgAmenFrec,MATCH(SUBSTITUTE($H903,"*","-"),MgAmenClave,0)),"")</f>
        <v/>
      </c>
      <c r="W903" s="28">
        <f>IFERROR(LOOKUP(X903,{0;0.01;0.1;1;10;100},{"Muy baja";"Muy baja";"Baja";"Media";"Alta";"Muy alta"}),"")</f>
        <v/>
      </c>
      <c r="X903" s="31">
        <f>IFERROR(VLOOKUP(V903,MgFrec,2,0),0)</f>
        <v/>
      </c>
      <c r="Y903" s="30">
        <f>T903*X903</f>
        <v/>
      </c>
      <c r="Z903" s="28">
        <f>IFERROR(LOOKUP(Y903,{0;0.5;5;25},{"Bajo";"Medio";"Alto";"Crítico"}),"")</f>
        <v/>
      </c>
      <c r="AA903" s="64">
        <f>IF(T903&gt;=3,IF(X903&gt;=1,"Zona 1 — Crítica: impacto alto y ocurre al menos una vez al año","Zona 4 — Catastrófica poco probable: impacto alto pero excepcional"),IF(AND(T903&lt;1.5,X903&lt;1),"Zona 3 — Asumible: impacto bajo y muy poco frecuente","Zona 2 — Atención: riesgo intermedio"))</f>
        <v/>
      </c>
      <c r="AB903" s="64">
        <f>IFERROR(INDEX(MgAmenCtrl,MATCH(SUBSTITUTE($H903,"*","-"),MgAmenClave,0)),"")</f>
        <v/>
      </c>
      <c r="AC903" s="20" t="n"/>
      <c r="AD903" s="31">
        <f>IFERROR($X903*(1-IF($AC903="",$AL903,VLOOKUP($AC903,MgMad,2,0))),"")</f>
        <v/>
      </c>
      <c r="AE903" s="28">
        <f>IFERROR(LOOKUP(AD903,{0;0.01;0.1;1;10;100},{"Muy baja";"Muy baja";"Baja";"Media";"Alta";"Muy alta"}),"")</f>
        <v/>
      </c>
      <c r="AF903" s="30">
        <f>T903*AD903</f>
        <v/>
      </c>
      <c r="AG903" s="28">
        <f>IFERROR(LOOKUP(AF903,{0;0.5;5;25},{"Bajo";"Medio";"Alto";"Crítico"}),"")</f>
        <v/>
      </c>
      <c r="AH903" s="28">
        <f>IF(AG903="","",IF(OR(AG903="Crítico",AG903="Alto"),"Mitigar",IF(AG903="Medio","Mitigar","Aceptar y monitorear")))</f>
        <v/>
      </c>
      <c r="AI903" s="21" t="n"/>
      <c r="AJ903" s="21" t="n"/>
      <c r="AK903" s="20" t="n"/>
      <c r="AL903" s="77">
        <f>IFERROR(INDEX(MgAmenEfic,MATCH(SUBSTITUTE($H903,"*","-"),MgAmenClave,0)),0)</f>
        <v/>
      </c>
    </row>
    <row r="904" hidden="1" ht="60" customHeight="1" s="54">
      <c r="B904" s="59" t="inlineStr">
        <is>
          <t>R-0899</t>
        </is>
      </c>
      <c r="C904" s="59" t="inlineStr">
        <is>
          <t>TAL-14</t>
        </is>
      </c>
      <c r="D904" s="64">
        <f>IFERROR(INDEX(MgNombre,MATCH($C904,MgActId,0)),"")</f>
        <v/>
      </c>
      <c r="E904" s="64">
        <f>IFERROR(INDEX(MgProceso,MATCH($C904,MgActId,0)),"")</f>
        <v/>
      </c>
      <c r="F904" s="64">
        <f>IFERROR(INDEX(MgTipo,MATCH($C904,MgActId,0)),"")</f>
        <v/>
      </c>
      <c r="G904" s="64">
        <f>IFERROR(INDEX(MgSubtipo,MATCH($C904,MgActId,0)),"")</f>
        <v/>
      </c>
      <c r="H904" s="59" t="inlineStr">
        <is>
          <t>A.4</t>
        </is>
      </c>
      <c r="I904" s="64">
        <f>IFERROR(INDEX(MgAmenNombre,MATCH(SUBSTITUTE($H904,"*","-"),MgAmenClave,0)),"")</f>
        <v/>
      </c>
      <c r="J904" s="28">
        <f>IFERROR(INDEX(MgAmenGrupo,MATCH(SUBSTITUTE($H904,"*","-"),MgAmenClave,0)),"")</f>
        <v/>
      </c>
      <c r="K904" s="64">
        <f>IFERROR(INDEX('1. Matriz de Activos'!$Q$6:$Q$239,MATCH($C904,MgActId,0)),"")</f>
        <v/>
      </c>
      <c r="L904" s="64">
        <f>IFERROR(INDEX('1. Matriz de Activos'!$R$6:$R$239,MATCH($C904,MgActId,0)),"")</f>
        <v/>
      </c>
      <c r="M904" s="64">
        <f>IFERROR(INDEX('1. Matriz de Activos'!$S$6:$S$239,MATCH($C904,MgActId,0)),"")</f>
        <v/>
      </c>
      <c r="N904" s="28">
        <f>IFERROR(INDEX(MgAmenDegD,MATCH(SUBSTITUTE($H904,"*","-"),MgAmenClave,0)),"No aplica")</f>
        <v/>
      </c>
      <c r="O904" s="28">
        <f>IFERROR(INDEX(MgAmenDegI,MATCH(SUBSTITUTE($H904,"*","-"),MgAmenClave,0)),"No aplica")</f>
        <v/>
      </c>
      <c r="P904" s="28">
        <f>IFERROR(INDEX(MgAmenDegC,MATCH(SUBSTITUTE($H904,"*","-"),MgAmenClave,0)),"No aplica")</f>
        <v/>
      </c>
      <c r="Q904" s="29">
        <f>IFERROR(VLOOKUP(K904,MgValor,2,0)*VLOOKUP(N904,MgDeg,2,0),0)</f>
        <v/>
      </c>
      <c r="R904" s="29">
        <f>IFERROR(VLOOKUP(L904,MgValor,2,0)*VLOOKUP(O904,MgDeg,2,0),0)</f>
        <v/>
      </c>
      <c r="S904" s="29">
        <f>IFERROR(VLOOKUP(M904,MgValor,2,0)*VLOOKUP(P904,MgDeg,2,0),0)</f>
        <v/>
      </c>
      <c r="T904" s="30">
        <f>MAX(Q904:S904)</f>
        <v/>
      </c>
      <c r="U904" s="28">
        <f>IFERROR(LOOKUP(T904,{0;0.5;1.5;3;4.5},{"Despreciable";"Bajo";"Medio";"Alto";"Muy alto"}),"")</f>
        <v/>
      </c>
      <c r="V904" s="13">
        <f>IFERROR(INDEX(MgAmenFrec,MATCH(SUBSTITUTE($H904,"*","-"),MgAmenClave,0)),"")</f>
        <v/>
      </c>
      <c r="W904" s="28">
        <f>IFERROR(LOOKUP(X904,{0;0.01;0.1;1;10;100},{"Muy baja";"Muy baja";"Baja";"Media";"Alta";"Muy alta"}),"")</f>
        <v/>
      </c>
      <c r="X904" s="31">
        <f>IFERROR(VLOOKUP(V904,MgFrec,2,0),0)</f>
        <v/>
      </c>
      <c r="Y904" s="30">
        <f>T904*X904</f>
        <v/>
      </c>
      <c r="Z904" s="28">
        <f>IFERROR(LOOKUP(Y904,{0;0.5;5;25},{"Bajo";"Medio";"Alto";"Crítico"}),"")</f>
        <v/>
      </c>
      <c r="AA904" s="64">
        <f>IF(T904&gt;=3,IF(X904&gt;=1,"Zona 1 — Crítica: impacto alto y ocurre al menos una vez al año","Zona 4 — Catastrófica poco probable: impacto alto pero excepcional"),IF(AND(T904&lt;1.5,X904&lt;1),"Zona 3 — Asumible: impacto bajo y muy poco frecuente","Zona 2 — Atención: riesgo intermedio"))</f>
        <v/>
      </c>
      <c r="AB904" s="64">
        <f>IFERROR(INDEX(MgAmenCtrl,MATCH(SUBSTITUTE($H904,"*","-"),MgAmenClave,0)),"")</f>
        <v/>
      </c>
      <c r="AC904" s="20" t="n"/>
      <c r="AD904" s="31">
        <f>IFERROR($X904*(1-IF($AC904="",$AL904,VLOOKUP($AC904,MgMad,2,0))),"")</f>
        <v/>
      </c>
      <c r="AE904" s="28">
        <f>IFERROR(LOOKUP(AD904,{0;0.01;0.1;1;10;100},{"Muy baja";"Muy baja";"Baja";"Media";"Alta";"Muy alta"}),"")</f>
        <v/>
      </c>
      <c r="AF904" s="30">
        <f>T904*AD904</f>
        <v/>
      </c>
      <c r="AG904" s="28">
        <f>IFERROR(LOOKUP(AF904,{0;0.5;5;25},{"Bajo";"Medio";"Alto";"Crítico"}),"")</f>
        <v/>
      </c>
      <c r="AH904" s="28">
        <f>IF(AG904="","",IF(OR(AG904="Crítico",AG904="Alto"),"Mitigar",IF(AG904="Medio","Mitigar","Aceptar y monitorear")))</f>
        <v/>
      </c>
      <c r="AI904" s="21" t="n"/>
      <c r="AJ904" s="21" t="n"/>
      <c r="AK904" s="20" t="n"/>
      <c r="AL904" s="77">
        <f>IFERROR(INDEX(MgAmenEfic,MATCH(SUBSTITUTE($H904,"*","-"),MgAmenClave,0)),0)</f>
        <v/>
      </c>
    </row>
    <row r="905" hidden="1" ht="75" customHeight="1" s="54">
      <c r="B905" s="59" t="inlineStr">
        <is>
          <t>R-0900</t>
        </is>
      </c>
      <c r="C905" s="59" t="inlineStr">
        <is>
          <t>TAL-14</t>
        </is>
      </c>
      <c r="D905" s="64">
        <f>IFERROR(INDEX(MgNombre,MATCH($C905,MgActId,0)),"")</f>
        <v/>
      </c>
      <c r="E905" s="64">
        <f>IFERROR(INDEX(MgProceso,MATCH($C905,MgActId,0)),"")</f>
        <v/>
      </c>
      <c r="F905" s="64">
        <f>IFERROR(INDEX(MgTipo,MATCH($C905,MgActId,0)),"")</f>
        <v/>
      </c>
      <c r="G905" s="64">
        <f>IFERROR(INDEX(MgSubtipo,MATCH($C905,MgActId,0)),"")</f>
        <v/>
      </c>
      <c r="H905" s="59" t="inlineStr">
        <is>
          <t>A.5</t>
        </is>
      </c>
      <c r="I905" s="64">
        <f>IFERROR(INDEX(MgAmenNombre,MATCH(SUBSTITUTE($H905,"*","-"),MgAmenClave,0)),"")</f>
        <v/>
      </c>
      <c r="J905" s="28">
        <f>IFERROR(INDEX(MgAmenGrupo,MATCH(SUBSTITUTE($H905,"*","-"),MgAmenClave,0)),"")</f>
        <v/>
      </c>
      <c r="K905" s="64">
        <f>IFERROR(INDEX('1. Matriz de Activos'!$Q$6:$Q$239,MATCH($C905,MgActId,0)),"")</f>
        <v/>
      </c>
      <c r="L905" s="64">
        <f>IFERROR(INDEX('1. Matriz de Activos'!$R$6:$R$239,MATCH($C905,MgActId,0)),"")</f>
        <v/>
      </c>
      <c r="M905" s="64">
        <f>IFERROR(INDEX('1. Matriz de Activos'!$S$6:$S$239,MATCH($C905,MgActId,0)),"")</f>
        <v/>
      </c>
      <c r="N905" s="28">
        <f>IFERROR(INDEX(MgAmenDegD,MATCH(SUBSTITUTE($H905,"*","-"),MgAmenClave,0)),"No aplica")</f>
        <v/>
      </c>
      <c r="O905" s="28">
        <f>IFERROR(INDEX(MgAmenDegI,MATCH(SUBSTITUTE($H905,"*","-"),MgAmenClave,0)),"No aplica")</f>
        <v/>
      </c>
      <c r="P905" s="28">
        <f>IFERROR(INDEX(MgAmenDegC,MATCH(SUBSTITUTE($H905,"*","-"),MgAmenClave,0)),"No aplica")</f>
        <v/>
      </c>
      <c r="Q905" s="29">
        <f>IFERROR(VLOOKUP(K905,MgValor,2,0)*VLOOKUP(N905,MgDeg,2,0),0)</f>
        <v/>
      </c>
      <c r="R905" s="29">
        <f>IFERROR(VLOOKUP(L905,MgValor,2,0)*VLOOKUP(O905,MgDeg,2,0),0)</f>
        <v/>
      </c>
      <c r="S905" s="29">
        <f>IFERROR(VLOOKUP(M905,MgValor,2,0)*VLOOKUP(P905,MgDeg,2,0),0)</f>
        <v/>
      </c>
      <c r="T905" s="30">
        <f>MAX(Q905:S905)</f>
        <v/>
      </c>
      <c r="U905" s="28">
        <f>IFERROR(LOOKUP(T905,{0;0.5;1.5;3;4.5},{"Despreciable";"Bajo";"Medio";"Alto";"Muy alto"}),"")</f>
        <v/>
      </c>
      <c r="V905" s="13">
        <f>IFERROR(INDEX(MgAmenFrec,MATCH(SUBSTITUTE($H905,"*","-"),MgAmenClave,0)),"")</f>
        <v/>
      </c>
      <c r="W905" s="28">
        <f>IFERROR(LOOKUP(X905,{0;0.01;0.1;1;10;100},{"Muy baja";"Muy baja";"Baja";"Media";"Alta";"Muy alta"}),"")</f>
        <v/>
      </c>
      <c r="X905" s="31">
        <f>IFERROR(VLOOKUP(V905,MgFrec,2,0),0)</f>
        <v/>
      </c>
      <c r="Y905" s="30">
        <f>T905*X905</f>
        <v/>
      </c>
      <c r="Z905" s="28">
        <f>IFERROR(LOOKUP(Y905,{0;0.5;5;25},{"Bajo";"Medio";"Alto";"Crítico"}),"")</f>
        <v/>
      </c>
      <c r="AA905" s="64">
        <f>IF(T905&gt;=3,IF(X905&gt;=1,"Zona 1 — Crítica: impacto alto y ocurre al menos una vez al año","Zona 4 — Catastrófica poco probable: impacto alto pero excepcional"),IF(AND(T905&lt;1.5,X905&lt;1),"Zona 3 — Asumible: impacto bajo y muy poco frecuente","Zona 2 — Atención: riesgo intermedio"))</f>
        <v/>
      </c>
      <c r="AB905" s="64">
        <f>IFERROR(INDEX(MgAmenCtrl,MATCH(SUBSTITUTE($H905,"*","-"),MgAmenClave,0)),"")</f>
        <v/>
      </c>
      <c r="AC905" s="20" t="n"/>
      <c r="AD905" s="31">
        <f>IFERROR($X905*(1-IF($AC905="",$AL905,VLOOKUP($AC905,MgMad,2,0))),"")</f>
        <v/>
      </c>
      <c r="AE905" s="28">
        <f>IFERROR(LOOKUP(AD905,{0;0.01;0.1;1;10;100},{"Muy baja";"Muy baja";"Baja";"Media";"Alta";"Muy alta"}),"")</f>
        <v/>
      </c>
      <c r="AF905" s="30">
        <f>T905*AD905</f>
        <v/>
      </c>
      <c r="AG905" s="28">
        <f>IFERROR(LOOKUP(AF905,{0;0.5;5;25},{"Bajo";"Medio";"Alto";"Crítico"}),"")</f>
        <v/>
      </c>
      <c r="AH905" s="28">
        <f>IF(AG905="","",IF(OR(AG905="Crítico",AG905="Alto"),"Mitigar",IF(AG905="Medio","Mitigar","Aceptar y monitorear")))</f>
        <v/>
      </c>
      <c r="AI905" s="21" t="n"/>
      <c r="AJ905" s="21" t="n"/>
      <c r="AK905" s="20" t="n"/>
      <c r="AL905" s="77">
        <f>IFERROR(INDEX(MgAmenEfic,MATCH(SUBSTITUTE($H905,"*","-"),MgAmenClave,0)),0)</f>
        <v/>
      </c>
    </row>
    <row r="906" hidden="1" ht="105" customHeight="1" s="54">
      <c r="B906" s="59" t="inlineStr">
        <is>
          <t>R-0901</t>
        </is>
      </c>
      <c r="C906" s="59" t="inlineStr">
        <is>
          <t>TAL-14</t>
        </is>
      </c>
      <c r="D906" s="64">
        <f>IFERROR(INDEX(MgNombre,MATCH($C906,MgActId,0)),"")</f>
        <v/>
      </c>
      <c r="E906" s="64">
        <f>IFERROR(INDEX(MgProceso,MATCH($C906,MgActId,0)),"")</f>
        <v/>
      </c>
      <c r="F906" s="64">
        <f>IFERROR(INDEX(MgTipo,MATCH($C906,MgActId,0)),"")</f>
        <v/>
      </c>
      <c r="G906" s="64">
        <f>IFERROR(INDEX(MgSubtipo,MATCH($C906,MgActId,0)),"")</f>
        <v/>
      </c>
      <c r="H906" s="59" t="inlineStr">
        <is>
          <t>A.6</t>
        </is>
      </c>
      <c r="I906" s="64">
        <f>IFERROR(INDEX(MgAmenNombre,MATCH(SUBSTITUTE($H906,"*","-"),MgAmenClave,0)),"")</f>
        <v/>
      </c>
      <c r="J906" s="28">
        <f>IFERROR(INDEX(MgAmenGrupo,MATCH(SUBSTITUTE($H906,"*","-"),MgAmenClave,0)),"")</f>
        <v/>
      </c>
      <c r="K906" s="64">
        <f>IFERROR(INDEX('1. Matriz de Activos'!$Q$6:$Q$239,MATCH($C906,MgActId,0)),"")</f>
        <v/>
      </c>
      <c r="L906" s="64">
        <f>IFERROR(INDEX('1. Matriz de Activos'!$R$6:$R$239,MATCH($C906,MgActId,0)),"")</f>
        <v/>
      </c>
      <c r="M906" s="64">
        <f>IFERROR(INDEX('1. Matriz de Activos'!$S$6:$S$239,MATCH($C906,MgActId,0)),"")</f>
        <v/>
      </c>
      <c r="N906" s="28">
        <f>IFERROR(INDEX(MgAmenDegD,MATCH(SUBSTITUTE($H906,"*","-"),MgAmenClave,0)),"No aplica")</f>
        <v/>
      </c>
      <c r="O906" s="28">
        <f>IFERROR(INDEX(MgAmenDegI,MATCH(SUBSTITUTE($H906,"*","-"),MgAmenClave,0)),"No aplica")</f>
        <v/>
      </c>
      <c r="P906" s="28">
        <f>IFERROR(INDEX(MgAmenDegC,MATCH(SUBSTITUTE($H906,"*","-"),MgAmenClave,0)),"No aplica")</f>
        <v/>
      </c>
      <c r="Q906" s="29">
        <f>IFERROR(VLOOKUP(K906,MgValor,2,0)*VLOOKUP(N906,MgDeg,2,0),0)</f>
        <v/>
      </c>
      <c r="R906" s="29">
        <f>IFERROR(VLOOKUP(L906,MgValor,2,0)*VLOOKUP(O906,MgDeg,2,0),0)</f>
        <v/>
      </c>
      <c r="S906" s="29">
        <f>IFERROR(VLOOKUP(M906,MgValor,2,0)*VLOOKUP(P906,MgDeg,2,0),0)</f>
        <v/>
      </c>
      <c r="T906" s="30">
        <f>MAX(Q906:S906)</f>
        <v/>
      </c>
      <c r="U906" s="28">
        <f>IFERROR(LOOKUP(T906,{0;0.5;1.5;3;4.5},{"Despreciable";"Bajo";"Medio";"Alto";"Muy alto"}),"")</f>
        <v/>
      </c>
      <c r="V906" s="13">
        <f>IFERROR(INDEX(MgAmenFrec,MATCH(SUBSTITUTE($H906,"*","-"),MgAmenClave,0)),"")</f>
        <v/>
      </c>
      <c r="W906" s="28">
        <f>IFERROR(LOOKUP(X906,{0;0.01;0.1;1;10;100},{"Muy baja";"Muy baja";"Baja";"Media";"Alta";"Muy alta"}),"")</f>
        <v/>
      </c>
      <c r="X906" s="31">
        <f>IFERROR(VLOOKUP(V906,MgFrec,2,0),0)</f>
        <v/>
      </c>
      <c r="Y906" s="30">
        <f>T906*X906</f>
        <v/>
      </c>
      <c r="Z906" s="28">
        <f>IFERROR(LOOKUP(Y906,{0;0.5;5;25},{"Bajo";"Medio";"Alto";"Crítico"}),"")</f>
        <v/>
      </c>
      <c r="AA906" s="64">
        <f>IF(T906&gt;=3,IF(X906&gt;=1,"Zona 1 — Crítica: impacto alto y ocurre al menos una vez al año","Zona 4 — Catastrófica poco probable: impacto alto pero excepcional"),IF(AND(T906&lt;1.5,X906&lt;1),"Zona 3 — Asumible: impacto bajo y muy poco frecuente","Zona 2 — Atención: riesgo intermedio"))</f>
        <v/>
      </c>
      <c r="AB906" s="64">
        <f>IFERROR(INDEX(MgAmenCtrl,MATCH(SUBSTITUTE($H906,"*","-"),MgAmenClave,0)),"")</f>
        <v/>
      </c>
      <c r="AC906" s="20" t="n"/>
      <c r="AD906" s="31">
        <f>IFERROR($X906*(1-IF($AC906="",$AL906,VLOOKUP($AC906,MgMad,2,0))),"")</f>
        <v/>
      </c>
      <c r="AE906" s="28">
        <f>IFERROR(LOOKUP(AD906,{0;0.01;0.1;1;10;100},{"Muy baja";"Muy baja";"Baja";"Media";"Alta";"Muy alta"}),"")</f>
        <v/>
      </c>
      <c r="AF906" s="30">
        <f>T906*AD906</f>
        <v/>
      </c>
      <c r="AG906" s="28">
        <f>IFERROR(LOOKUP(AF906,{0;0.5;5;25},{"Bajo";"Medio";"Alto";"Crítico"}),"")</f>
        <v/>
      </c>
      <c r="AH906" s="28">
        <f>IF(AG906="","",IF(OR(AG906="Crítico",AG906="Alto"),"Mitigar",IF(AG906="Medio","Mitigar","Aceptar y monitorear")))</f>
        <v/>
      </c>
      <c r="AI906" s="21" t="n"/>
      <c r="AJ906" s="21" t="n"/>
      <c r="AK906" s="20" t="n"/>
      <c r="AL906" s="77">
        <f>IFERROR(INDEX(MgAmenEfic,MATCH(SUBSTITUTE($H906,"*","-"),MgAmenClave,0)),0)</f>
        <v/>
      </c>
    </row>
    <row r="907" hidden="1" ht="120" customHeight="1" s="54">
      <c r="B907" s="59" t="inlineStr">
        <is>
          <t>R-0902</t>
        </is>
      </c>
      <c r="C907" s="59" t="inlineStr">
        <is>
          <t>TAL-14</t>
        </is>
      </c>
      <c r="D907" s="64">
        <f>IFERROR(INDEX(MgNombre,MATCH($C907,MgActId,0)),"")</f>
        <v/>
      </c>
      <c r="E907" s="64">
        <f>IFERROR(INDEX(MgProceso,MATCH($C907,MgActId,0)),"")</f>
        <v/>
      </c>
      <c r="F907" s="64">
        <f>IFERROR(INDEX(MgTipo,MATCH($C907,MgActId,0)),"")</f>
        <v/>
      </c>
      <c r="G907" s="64">
        <f>IFERROR(INDEX(MgSubtipo,MATCH($C907,MgActId,0)),"")</f>
        <v/>
      </c>
      <c r="H907" s="59" t="inlineStr">
        <is>
          <t>A.11</t>
        </is>
      </c>
      <c r="I907" s="64">
        <f>IFERROR(INDEX(MgAmenNombre,MATCH(SUBSTITUTE($H907,"*","-"),MgAmenClave,0)),"")</f>
        <v/>
      </c>
      <c r="J907" s="28">
        <f>IFERROR(INDEX(MgAmenGrupo,MATCH(SUBSTITUTE($H907,"*","-"),MgAmenClave,0)),"")</f>
        <v/>
      </c>
      <c r="K907" s="64">
        <f>IFERROR(INDEX('1. Matriz de Activos'!$Q$6:$Q$239,MATCH($C907,MgActId,0)),"")</f>
        <v/>
      </c>
      <c r="L907" s="64">
        <f>IFERROR(INDEX('1. Matriz de Activos'!$R$6:$R$239,MATCH($C907,MgActId,0)),"")</f>
        <v/>
      </c>
      <c r="M907" s="64">
        <f>IFERROR(INDEX('1. Matriz de Activos'!$S$6:$S$239,MATCH($C907,MgActId,0)),"")</f>
        <v/>
      </c>
      <c r="N907" s="28">
        <f>IFERROR(INDEX(MgAmenDegD,MATCH(SUBSTITUTE($H907,"*","-"),MgAmenClave,0)),"No aplica")</f>
        <v/>
      </c>
      <c r="O907" s="28">
        <f>IFERROR(INDEX(MgAmenDegI,MATCH(SUBSTITUTE($H907,"*","-"),MgAmenClave,0)),"No aplica")</f>
        <v/>
      </c>
      <c r="P907" s="28">
        <f>IFERROR(INDEX(MgAmenDegC,MATCH(SUBSTITUTE($H907,"*","-"),MgAmenClave,0)),"No aplica")</f>
        <v/>
      </c>
      <c r="Q907" s="29">
        <f>IFERROR(VLOOKUP(K907,MgValor,2,0)*VLOOKUP(N907,MgDeg,2,0),0)</f>
        <v/>
      </c>
      <c r="R907" s="29">
        <f>IFERROR(VLOOKUP(L907,MgValor,2,0)*VLOOKUP(O907,MgDeg,2,0),0)</f>
        <v/>
      </c>
      <c r="S907" s="29">
        <f>IFERROR(VLOOKUP(M907,MgValor,2,0)*VLOOKUP(P907,MgDeg,2,0),0)</f>
        <v/>
      </c>
      <c r="T907" s="30">
        <f>MAX(Q907:S907)</f>
        <v/>
      </c>
      <c r="U907" s="28">
        <f>IFERROR(LOOKUP(T907,{0;0.5;1.5;3;4.5},{"Despreciable";"Bajo";"Medio";"Alto";"Muy alto"}),"")</f>
        <v/>
      </c>
      <c r="V907" s="13">
        <f>IFERROR(INDEX(MgAmenFrec,MATCH(SUBSTITUTE($H907,"*","-"),MgAmenClave,0)),"")</f>
        <v/>
      </c>
      <c r="W907" s="28">
        <f>IFERROR(LOOKUP(X907,{0;0.01;0.1;1;10;100},{"Muy baja";"Muy baja";"Baja";"Media";"Alta";"Muy alta"}),"")</f>
        <v/>
      </c>
      <c r="X907" s="31">
        <f>IFERROR(VLOOKUP(V907,MgFrec,2,0),0)</f>
        <v/>
      </c>
      <c r="Y907" s="30">
        <f>T907*X907</f>
        <v/>
      </c>
      <c r="Z907" s="28">
        <f>IFERROR(LOOKUP(Y907,{0;0.5;5;25},{"Bajo";"Medio";"Alto";"Crítico"}),"")</f>
        <v/>
      </c>
      <c r="AA907" s="64">
        <f>IF(T907&gt;=3,IF(X907&gt;=1,"Zona 1 — Crítica: impacto alto y ocurre al menos una vez al año","Zona 4 — Catastrófica poco probable: impacto alto pero excepcional"),IF(AND(T907&lt;1.5,X907&lt;1),"Zona 3 — Asumible: impacto bajo y muy poco frecuente","Zona 2 — Atención: riesgo intermedio"))</f>
        <v/>
      </c>
      <c r="AB907" s="64">
        <f>IFERROR(INDEX(MgAmenCtrl,MATCH(SUBSTITUTE($H907,"*","-"),MgAmenClave,0)),"")</f>
        <v/>
      </c>
      <c r="AC907" s="20" t="n"/>
      <c r="AD907" s="31">
        <f>IFERROR($X907*(1-IF($AC907="",$AL907,VLOOKUP($AC907,MgMad,2,0))),"")</f>
        <v/>
      </c>
      <c r="AE907" s="28">
        <f>IFERROR(LOOKUP(AD907,{0;0.01;0.1;1;10;100},{"Muy baja";"Muy baja";"Baja";"Media";"Alta";"Muy alta"}),"")</f>
        <v/>
      </c>
      <c r="AF907" s="30">
        <f>T907*AD907</f>
        <v/>
      </c>
      <c r="AG907" s="28">
        <f>IFERROR(LOOKUP(AF907,{0;0.5;5;25},{"Bajo";"Medio";"Alto";"Crítico"}),"")</f>
        <v/>
      </c>
      <c r="AH907" s="28">
        <f>IF(AG907="","",IF(OR(AG907="Crítico",AG907="Alto"),"Mitigar",IF(AG907="Medio","Mitigar","Aceptar y monitorear")))</f>
        <v/>
      </c>
      <c r="AI907" s="21" t="n"/>
      <c r="AJ907" s="21" t="n"/>
      <c r="AK907" s="20" t="n"/>
      <c r="AL907" s="77">
        <f>IFERROR(INDEX(MgAmenEfic,MATCH(SUBSTITUTE($H907,"*","-"),MgAmenClave,0)),0)</f>
        <v/>
      </c>
    </row>
    <row r="908" hidden="1" ht="90" customHeight="1" s="54">
      <c r="B908" s="59" t="inlineStr">
        <is>
          <t>R-0903</t>
        </is>
      </c>
      <c r="C908" s="59" t="inlineStr">
        <is>
          <t>TAL-14</t>
        </is>
      </c>
      <c r="D908" s="64">
        <f>IFERROR(INDEX(MgNombre,MATCH($C908,MgActId,0)),"")</f>
        <v/>
      </c>
      <c r="E908" s="64">
        <f>IFERROR(INDEX(MgProceso,MATCH($C908,MgActId,0)),"")</f>
        <v/>
      </c>
      <c r="F908" s="64">
        <f>IFERROR(INDEX(MgTipo,MATCH($C908,MgActId,0)),"")</f>
        <v/>
      </c>
      <c r="G908" s="64">
        <f>IFERROR(INDEX(MgSubtipo,MATCH($C908,MgActId,0)),"")</f>
        <v/>
      </c>
      <c r="H908" s="59" t="inlineStr">
        <is>
          <t>A.13</t>
        </is>
      </c>
      <c r="I908" s="64">
        <f>IFERROR(INDEX(MgAmenNombre,MATCH(SUBSTITUTE($H908,"*","-"),MgAmenClave,0)),"")</f>
        <v/>
      </c>
      <c r="J908" s="28">
        <f>IFERROR(INDEX(MgAmenGrupo,MATCH(SUBSTITUTE($H908,"*","-"),MgAmenClave,0)),"")</f>
        <v/>
      </c>
      <c r="K908" s="64">
        <f>IFERROR(INDEX('1. Matriz de Activos'!$Q$6:$Q$239,MATCH($C908,MgActId,0)),"")</f>
        <v/>
      </c>
      <c r="L908" s="64">
        <f>IFERROR(INDEX('1. Matriz de Activos'!$R$6:$R$239,MATCH($C908,MgActId,0)),"")</f>
        <v/>
      </c>
      <c r="M908" s="64">
        <f>IFERROR(INDEX('1. Matriz de Activos'!$S$6:$S$239,MATCH($C908,MgActId,0)),"")</f>
        <v/>
      </c>
      <c r="N908" s="28">
        <f>IFERROR(INDEX(MgAmenDegD,MATCH(SUBSTITUTE($H908,"*","-"),MgAmenClave,0)),"No aplica")</f>
        <v/>
      </c>
      <c r="O908" s="28">
        <f>IFERROR(INDEX(MgAmenDegI,MATCH(SUBSTITUTE($H908,"*","-"),MgAmenClave,0)),"No aplica")</f>
        <v/>
      </c>
      <c r="P908" s="28">
        <f>IFERROR(INDEX(MgAmenDegC,MATCH(SUBSTITUTE($H908,"*","-"),MgAmenClave,0)),"No aplica")</f>
        <v/>
      </c>
      <c r="Q908" s="29">
        <f>IFERROR(VLOOKUP(K908,MgValor,2,0)*VLOOKUP(N908,MgDeg,2,0),0)</f>
        <v/>
      </c>
      <c r="R908" s="29">
        <f>IFERROR(VLOOKUP(L908,MgValor,2,0)*VLOOKUP(O908,MgDeg,2,0),0)</f>
        <v/>
      </c>
      <c r="S908" s="29">
        <f>IFERROR(VLOOKUP(M908,MgValor,2,0)*VLOOKUP(P908,MgDeg,2,0),0)</f>
        <v/>
      </c>
      <c r="T908" s="30">
        <f>MAX(Q908:S908)</f>
        <v/>
      </c>
      <c r="U908" s="28">
        <f>IFERROR(LOOKUP(T908,{0;0.5;1.5;3;4.5},{"Despreciable";"Bajo";"Medio";"Alto";"Muy alto"}),"")</f>
        <v/>
      </c>
      <c r="V908" s="13">
        <f>IFERROR(INDEX(MgAmenFrec,MATCH(SUBSTITUTE($H908,"*","-"),MgAmenClave,0)),"")</f>
        <v/>
      </c>
      <c r="W908" s="28">
        <f>IFERROR(LOOKUP(X908,{0;0.01;0.1;1;10;100},{"Muy baja";"Muy baja";"Baja";"Media";"Alta";"Muy alta"}),"")</f>
        <v/>
      </c>
      <c r="X908" s="31">
        <f>IFERROR(VLOOKUP(V908,MgFrec,2,0),0)</f>
        <v/>
      </c>
      <c r="Y908" s="30">
        <f>T908*X908</f>
        <v/>
      </c>
      <c r="Z908" s="28">
        <f>IFERROR(LOOKUP(Y908,{0;0.5;5;25},{"Bajo";"Medio";"Alto";"Crítico"}),"")</f>
        <v/>
      </c>
      <c r="AA908" s="64">
        <f>IF(T908&gt;=3,IF(X908&gt;=1,"Zona 1 — Crítica: impacto alto y ocurre al menos una vez al año","Zona 4 — Catastrófica poco probable: impacto alto pero excepcional"),IF(AND(T908&lt;1.5,X908&lt;1),"Zona 3 — Asumible: impacto bajo y muy poco frecuente","Zona 2 — Atención: riesgo intermedio"))</f>
        <v/>
      </c>
      <c r="AB908" s="64">
        <f>IFERROR(INDEX(MgAmenCtrl,MATCH(SUBSTITUTE($H908,"*","-"),MgAmenClave,0)),"")</f>
        <v/>
      </c>
      <c r="AC908" s="20" t="n"/>
      <c r="AD908" s="31">
        <f>IFERROR($X908*(1-IF($AC908="",$AL908,VLOOKUP($AC908,MgMad,2,0))),"")</f>
        <v/>
      </c>
      <c r="AE908" s="28">
        <f>IFERROR(LOOKUP(AD908,{0;0.01;0.1;1;10;100},{"Muy baja";"Muy baja";"Baja";"Media";"Alta";"Muy alta"}),"")</f>
        <v/>
      </c>
      <c r="AF908" s="30">
        <f>T908*AD908</f>
        <v/>
      </c>
      <c r="AG908" s="28">
        <f>IFERROR(LOOKUP(AF908,{0;0.5;5;25},{"Bajo";"Medio";"Alto";"Crítico"}),"")</f>
        <v/>
      </c>
      <c r="AH908" s="28">
        <f>IF(AG908="","",IF(OR(AG908="Crítico",AG908="Alto"),"Mitigar",IF(AG908="Medio","Mitigar","Aceptar y monitorear")))</f>
        <v/>
      </c>
      <c r="AI908" s="21" t="n"/>
      <c r="AJ908" s="21" t="n"/>
      <c r="AK908" s="20" t="n"/>
      <c r="AL908" s="77">
        <f>IFERROR(INDEX(MgAmenEfic,MATCH(SUBSTITUTE($H908,"*","-"),MgAmenClave,0)),0)</f>
        <v/>
      </c>
    </row>
    <row r="909" hidden="1" ht="60" customHeight="1" s="54">
      <c r="B909" s="59" t="inlineStr">
        <is>
          <t>R-0904</t>
        </is>
      </c>
      <c r="C909" s="59" t="inlineStr">
        <is>
          <t>TAL-14</t>
        </is>
      </c>
      <c r="D909" s="64">
        <f>IFERROR(INDEX(MgNombre,MATCH($C909,MgActId,0)),"")</f>
        <v/>
      </c>
      <c r="E909" s="64">
        <f>IFERROR(INDEX(MgProceso,MATCH($C909,MgActId,0)),"")</f>
        <v/>
      </c>
      <c r="F909" s="64">
        <f>IFERROR(INDEX(MgTipo,MATCH($C909,MgActId,0)),"")</f>
        <v/>
      </c>
      <c r="G909" s="64">
        <f>IFERROR(INDEX(MgSubtipo,MATCH($C909,MgActId,0)),"")</f>
        <v/>
      </c>
      <c r="H909" s="59" t="inlineStr">
        <is>
          <t>A.15</t>
        </is>
      </c>
      <c r="I909" s="64">
        <f>IFERROR(INDEX(MgAmenNombre,MATCH(SUBSTITUTE($H909,"*","-"),MgAmenClave,0)),"")</f>
        <v/>
      </c>
      <c r="J909" s="28">
        <f>IFERROR(INDEX(MgAmenGrupo,MATCH(SUBSTITUTE($H909,"*","-"),MgAmenClave,0)),"")</f>
        <v/>
      </c>
      <c r="K909" s="64">
        <f>IFERROR(INDEX('1. Matriz de Activos'!$Q$6:$Q$239,MATCH($C909,MgActId,0)),"")</f>
        <v/>
      </c>
      <c r="L909" s="64">
        <f>IFERROR(INDEX('1. Matriz de Activos'!$R$6:$R$239,MATCH($C909,MgActId,0)),"")</f>
        <v/>
      </c>
      <c r="M909" s="64">
        <f>IFERROR(INDEX('1. Matriz de Activos'!$S$6:$S$239,MATCH($C909,MgActId,0)),"")</f>
        <v/>
      </c>
      <c r="N909" s="28">
        <f>IFERROR(INDEX(MgAmenDegD,MATCH(SUBSTITUTE($H909,"*","-"),MgAmenClave,0)),"No aplica")</f>
        <v/>
      </c>
      <c r="O909" s="28">
        <f>IFERROR(INDEX(MgAmenDegI,MATCH(SUBSTITUTE($H909,"*","-"),MgAmenClave,0)),"No aplica")</f>
        <v/>
      </c>
      <c r="P909" s="28">
        <f>IFERROR(INDEX(MgAmenDegC,MATCH(SUBSTITUTE($H909,"*","-"),MgAmenClave,0)),"No aplica")</f>
        <v/>
      </c>
      <c r="Q909" s="29">
        <f>IFERROR(VLOOKUP(K909,MgValor,2,0)*VLOOKUP(N909,MgDeg,2,0),0)</f>
        <v/>
      </c>
      <c r="R909" s="29">
        <f>IFERROR(VLOOKUP(L909,MgValor,2,0)*VLOOKUP(O909,MgDeg,2,0),0)</f>
        <v/>
      </c>
      <c r="S909" s="29">
        <f>IFERROR(VLOOKUP(M909,MgValor,2,0)*VLOOKUP(P909,MgDeg,2,0),0)</f>
        <v/>
      </c>
      <c r="T909" s="30">
        <f>MAX(Q909:S909)</f>
        <v/>
      </c>
      <c r="U909" s="28">
        <f>IFERROR(LOOKUP(T909,{0;0.5;1.5;3;4.5},{"Despreciable";"Bajo";"Medio";"Alto";"Muy alto"}),"")</f>
        <v/>
      </c>
      <c r="V909" s="13">
        <f>IFERROR(INDEX(MgAmenFrec,MATCH(SUBSTITUTE($H909,"*","-"),MgAmenClave,0)),"")</f>
        <v/>
      </c>
      <c r="W909" s="28">
        <f>IFERROR(LOOKUP(X909,{0;0.01;0.1;1;10;100},{"Muy baja";"Muy baja";"Baja";"Media";"Alta";"Muy alta"}),"")</f>
        <v/>
      </c>
      <c r="X909" s="31">
        <f>IFERROR(VLOOKUP(V909,MgFrec,2,0),0)</f>
        <v/>
      </c>
      <c r="Y909" s="30">
        <f>T909*X909</f>
        <v/>
      </c>
      <c r="Z909" s="28">
        <f>IFERROR(LOOKUP(Y909,{0;0.5;5;25},{"Bajo";"Medio";"Alto";"Crítico"}),"")</f>
        <v/>
      </c>
      <c r="AA909" s="64">
        <f>IF(T909&gt;=3,IF(X909&gt;=1,"Zona 1 — Crítica: impacto alto y ocurre al menos una vez al año","Zona 4 — Catastrófica poco probable: impacto alto pero excepcional"),IF(AND(T909&lt;1.5,X909&lt;1),"Zona 3 — Asumible: impacto bajo y muy poco frecuente","Zona 2 — Atención: riesgo intermedio"))</f>
        <v/>
      </c>
      <c r="AB909" s="64">
        <f>IFERROR(INDEX(MgAmenCtrl,MATCH(SUBSTITUTE($H909,"*","-"),MgAmenClave,0)),"")</f>
        <v/>
      </c>
      <c r="AC909" s="20" t="n"/>
      <c r="AD909" s="31">
        <f>IFERROR($X909*(1-IF($AC909="",$AL909,VLOOKUP($AC909,MgMad,2,0))),"")</f>
        <v/>
      </c>
      <c r="AE909" s="28">
        <f>IFERROR(LOOKUP(AD909,{0;0.01;0.1;1;10;100},{"Muy baja";"Muy baja";"Baja";"Media";"Alta";"Muy alta"}),"")</f>
        <v/>
      </c>
      <c r="AF909" s="30">
        <f>T909*AD909</f>
        <v/>
      </c>
      <c r="AG909" s="28">
        <f>IFERROR(LOOKUP(AF909,{0;0.5;5;25},{"Bajo";"Medio";"Alto";"Crítico"}),"")</f>
        <v/>
      </c>
      <c r="AH909" s="28">
        <f>IF(AG909="","",IF(OR(AG909="Crítico",AG909="Alto"),"Mitigar",IF(AG909="Medio","Mitigar","Aceptar y monitorear")))</f>
        <v/>
      </c>
      <c r="AI909" s="21" t="n"/>
      <c r="AJ909" s="21" t="n"/>
      <c r="AK909" s="20" t="n"/>
      <c r="AL909" s="77">
        <f>IFERROR(INDEX(MgAmenEfic,MATCH(SUBSTITUTE($H909,"*","-"),MgAmenClave,0)),0)</f>
        <v/>
      </c>
    </row>
    <row r="910" hidden="1" ht="60" customHeight="1" s="54">
      <c r="B910" s="59" t="inlineStr">
        <is>
          <t>R-0905</t>
        </is>
      </c>
      <c r="C910" s="59" t="inlineStr">
        <is>
          <t>TAL-14</t>
        </is>
      </c>
      <c r="D910" s="64">
        <f>IFERROR(INDEX(MgNombre,MATCH($C910,MgActId,0)),"")</f>
        <v/>
      </c>
      <c r="E910" s="64">
        <f>IFERROR(INDEX(MgProceso,MATCH($C910,MgActId,0)),"")</f>
        <v/>
      </c>
      <c r="F910" s="64">
        <f>IFERROR(INDEX(MgTipo,MATCH($C910,MgActId,0)),"")</f>
        <v/>
      </c>
      <c r="G910" s="64">
        <f>IFERROR(INDEX(MgSubtipo,MATCH($C910,MgActId,0)),"")</f>
        <v/>
      </c>
      <c r="H910" s="59" t="inlineStr">
        <is>
          <t>A.18</t>
        </is>
      </c>
      <c r="I910" s="64">
        <f>IFERROR(INDEX(MgAmenNombre,MATCH(SUBSTITUTE($H910,"*","-"),MgAmenClave,0)),"")</f>
        <v/>
      </c>
      <c r="J910" s="28">
        <f>IFERROR(INDEX(MgAmenGrupo,MATCH(SUBSTITUTE($H910,"*","-"),MgAmenClave,0)),"")</f>
        <v/>
      </c>
      <c r="K910" s="64">
        <f>IFERROR(INDEX('1. Matriz de Activos'!$Q$6:$Q$239,MATCH($C910,MgActId,0)),"")</f>
        <v/>
      </c>
      <c r="L910" s="64">
        <f>IFERROR(INDEX('1. Matriz de Activos'!$R$6:$R$239,MATCH($C910,MgActId,0)),"")</f>
        <v/>
      </c>
      <c r="M910" s="64">
        <f>IFERROR(INDEX('1. Matriz de Activos'!$S$6:$S$239,MATCH($C910,MgActId,0)),"")</f>
        <v/>
      </c>
      <c r="N910" s="28">
        <f>IFERROR(INDEX(MgAmenDegD,MATCH(SUBSTITUTE($H910,"*","-"),MgAmenClave,0)),"No aplica")</f>
        <v/>
      </c>
      <c r="O910" s="28">
        <f>IFERROR(INDEX(MgAmenDegI,MATCH(SUBSTITUTE($H910,"*","-"),MgAmenClave,0)),"No aplica")</f>
        <v/>
      </c>
      <c r="P910" s="28">
        <f>IFERROR(INDEX(MgAmenDegC,MATCH(SUBSTITUTE($H910,"*","-"),MgAmenClave,0)),"No aplica")</f>
        <v/>
      </c>
      <c r="Q910" s="29">
        <f>IFERROR(VLOOKUP(K910,MgValor,2,0)*VLOOKUP(N910,MgDeg,2,0),0)</f>
        <v/>
      </c>
      <c r="R910" s="29">
        <f>IFERROR(VLOOKUP(L910,MgValor,2,0)*VLOOKUP(O910,MgDeg,2,0),0)</f>
        <v/>
      </c>
      <c r="S910" s="29">
        <f>IFERROR(VLOOKUP(M910,MgValor,2,0)*VLOOKUP(P910,MgDeg,2,0),0)</f>
        <v/>
      </c>
      <c r="T910" s="30">
        <f>MAX(Q910:S910)</f>
        <v/>
      </c>
      <c r="U910" s="28">
        <f>IFERROR(LOOKUP(T910,{0;0.5;1.5;3;4.5},{"Despreciable";"Bajo";"Medio";"Alto";"Muy alto"}),"")</f>
        <v/>
      </c>
      <c r="V910" s="13">
        <f>IFERROR(INDEX(MgAmenFrec,MATCH(SUBSTITUTE($H910,"*","-"),MgAmenClave,0)),"")</f>
        <v/>
      </c>
      <c r="W910" s="28">
        <f>IFERROR(LOOKUP(X910,{0;0.01;0.1;1;10;100},{"Muy baja";"Muy baja";"Baja";"Media";"Alta";"Muy alta"}),"")</f>
        <v/>
      </c>
      <c r="X910" s="31">
        <f>IFERROR(VLOOKUP(V910,MgFrec,2,0),0)</f>
        <v/>
      </c>
      <c r="Y910" s="30">
        <f>T910*X910</f>
        <v/>
      </c>
      <c r="Z910" s="28">
        <f>IFERROR(LOOKUP(Y910,{0;0.5;5;25},{"Bajo";"Medio";"Alto";"Crítico"}),"")</f>
        <v/>
      </c>
      <c r="AA910" s="64">
        <f>IF(T910&gt;=3,IF(X910&gt;=1,"Zona 1 — Crítica: impacto alto y ocurre al menos una vez al año","Zona 4 — Catastrófica poco probable: impacto alto pero excepcional"),IF(AND(T910&lt;1.5,X910&lt;1),"Zona 3 — Asumible: impacto bajo y muy poco frecuente","Zona 2 — Atención: riesgo intermedio"))</f>
        <v/>
      </c>
      <c r="AB910" s="64">
        <f>IFERROR(INDEX(MgAmenCtrl,MATCH(SUBSTITUTE($H910,"*","-"),MgAmenClave,0)),"")</f>
        <v/>
      </c>
      <c r="AC910" s="20" t="n"/>
      <c r="AD910" s="31">
        <f>IFERROR($X910*(1-IF($AC910="",$AL910,VLOOKUP($AC910,MgMad,2,0))),"")</f>
        <v/>
      </c>
      <c r="AE910" s="28">
        <f>IFERROR(LOOKUP(AD910,{0;0.01;0.1;1;10;100},{"Muy baja";"Muy baja";"Baja";"Media";"Alta";"Muy alta"}),"")</f>
        <v/>
      </c>
      <c r="AF910" s="30">
        <f>T910*AD910</f>
        <v/>
      </c>
      <c r="AG910" s="28">
        <f>IFERROR(LOOKUP(AF910,{0;0.5;5;25},{"Bajo";"Medio";"Alto";"Crítico"}),"")</f>
        <v/>
      </c>
      <c r="AH910" s="28">
        <f>IF(AG910="","",IF(OR(AG910="Crítico",AG910="Alto"),"Mitigar",IF(AG910="Medio","Mitigar","Aceptar y monitorear")))</f>
        <v/>
      </c>
      <c r="AI910" s="21" t="n"/>
      <c r="AJ910" s="21" t="n"/>
      <c r="AK910" s="20" t="n"/>
      <c r="AL910" s="77">
        <f>IFERROR(INDEX(MgAmenEfic,MATCH(SUBSTITUTE($H910,"*","-"),MgAmenClave,0)),0)</f>
        <v/>
      </c>
    </row>
    <row r="911" hidden="1" ht="120" customHeight="1" s="54">
      <c r="B911" s="59" t="inlineStr">
        <is>
          <t>R-0906</t>
        </is>
      </c>
      <c r="C911" s="59" t="inlineStr">
        <is>
          <t>TAL-14</t>
        </is>
      </c>
      <c r="D911" s="64">
        <f>IFERROR(INDEX(MgNombre,MATCH($C911,MgActId,0)),"")</f>
        <v/>
      </c>
      <c r="E911" s="64">
        <f>IFERROR(INDEX(MgProceso,MATCH($C911,MgActId,0)),"")</f>
        <v/>
      </c>
      <c r="F911" s="64">
        <f>IFERROR(INDEX(MgTipo,MATCH($C911,MgActId,0)),"")</f>
        <v/>
      </c>
      <c r="G911" s="64">
        <f>IFERROR(INDEX(MgSubtipo,MATCH($C911,MgActId,0)),"")</f>
        <v/>
      </c>
      <c r="H911" s="59" t="inlineStr">
        <is>
          <t>A.19</t>
        </is>
      </c>
      <c r="I911" s="64">
        <f>IFERROR(INDEX(MgAmenNombre,MATCH(SUBSTITUTE($H911,"*","-"),MgAmenClave,0)),"")</f>
        <v/>
      </c>
      <c r="J911" s="28">
        <f>IFERROR(INDEX(MgAmenGrupo,MATCH(SUBSTITUTE($H911,"*","-"),MgAmenClave,0)),"")</f>
        <v/>
      </c>
      <c r="K911" s="64">
        <f>IFERROR(INDEX('1. Matriz de Activos'!$Q$6:$Q$239,MATCH($C911,MgActId,0)),"")</f>
        <v/>
      </c>
      <c r="L911" s="64">
        <f>IFERROR(INDEX('1. Matriz de Activos'!$R$6:$R$239,MATCH($C911,MgActId,0)),"")</f>
        <v/>
      </c>
      <c r="M911" s="64">
        <f>IFERROR(INDEX('1. Matriz de Activos'!$S$6:$S$239,MATCH($C911,MgActId,0)),"")</f>
        <v/>
      </c>
      <c r="N911" s="28">
        <f>IFERROR(INDEX(MgAmenDegD,MATCH(SUBSTITUTE($H911,"*","-"),MgAmenClave,0)),"No aplica")</f>
        <v/>
      </c>
      <c r="O911" s="28">
        <f>IFERROR(INDEX(MgAmenDegI,MATCH(SUBSTITUTE($H911,"*","-"),MgAmenClave,0)),"No aplica")</f>
        <v/>
      </c>
      <c r="P911" s="28">
        <f>IFERROR(INDEX(MgAmenDegC,MATCH(SUBSTITUTE($H911,"*","-"),MgAmenClave,0)),"No aplica")</f>
        <v/>
      </c>
      <c r="Q911" s="29">
        <f>IFERROR(VLOOKUP(K911,MgValor,2,0)*VLOOKUP(N911,MgDeg,2,0),0)</f>
        <v/>
      </c>
      <c r="R911" s="29">
        <f>IFERROR(VLOOKUP(L911,MgValor,2,0)*VLOOKUP(O911,MgDeg,2,0),0)</f>
        <v/>
      </c>
      <c r="S911" s="29">
        <f>IFERROR(VLOOKUP(M911,MgValor,2,0)*VLOOKUP(P911,MgDeg,2,0),0)</f>
        <v/>
      </c>
      <c r="T911" s="30">
        <f>MAX(Q911:S911)</f>
        <v/>
      </c>
      <c r="U911" s="28">
        <f>IFERROR(LOOKUP(T911,{0;0.5;1.5;3;4.5},{"Despreciable";"Bajo";"Medio";"Alto";"Muy alto"}),"")</f>
        <v/>
      </c>
      <c r="V911" s="13">
        <f>IFERROR(INDEX(MgAmenFrec,MATCH(SUBSTITUTE($H911,"*","-"),MgAmenClave,0)),"")</f>
        <v/>
      </c>
      <c r="W911" s="28">
        <f>IFERROR(LOOKUP(X911,{0;0.01;0.1;1;10;100},{"Muy baja";"Muy baja";"Baja";"Media";"Alta";"Muy alta"}),"")</f>
        <v/>
      </c>
      <c r="X911" s="31">
        <f>IFERROR(VLOOKUP(V911,MgFrec,2,0),0)</f>
        <v/>
      </c>
      <c r="Y911" s="30">
        <f>T911*X911</f>
        <v/>
      </c>
      <c r="Z911" s="28">
        <f>IFERROR(LOOKUP(Y911,{0;0.5;5;25},{"Bajo";"Medio";"Alto";"Crítico"}),"")</f>
        <v/>
      </c>
      <c r="AA911" s="64">
        <f>IF(T911&gt;=3,IF(X911&gt;=1,"Zona 1 — Crítica: impacto alto y ocurre al menos una vez al año","Zona 4 — Catastrófica poco probable: impacto alto pero excepcional"),IF(AND(T911&lt;1.5,X911&lt;1),"Zona 3 — Asumible: impacto bajo y muy poco frecuente","Zona 2 — Atención: riesgo intermedio"))</f>
        <v/>
      </c>
      <c r="AB911" s="64">
        <f>IFERROR(INDEX(MgAmenCtrl,MATCH(SUBSTITUTE($H911,"*","-"),MgAmenClave,0)),"")</f>
        <v/>
      </c>
      <c r="AC911" s="20" t="n"/>
      <c r="AD911" s="31">
        <f>IFERROR($X911*(1-IF($AC911="",$AL911,VLOOKUP($AC911,MgMad,2,0))),"")</f>
        <v/>
      </c>
      <c r="AE911" s="28">
        <f>IFERROR(LOOKUP(AD911,{0;0.01;0.1;1;10;100},{"Muy baja";"Muy baja";"Baja";"Media";"Alta";"Muy alta"}),"")</f>
        <v/>
      </c>
      <c r="AF911" s="30">
        <f>T911*AD911</f>
        <v/>
      </c>
      <c r="AG911" s="28">
        <f>IFERROR(LOOKUP(AF911,{0;0.5;5;25},{"Bajo";"Medio";"Alto";"Crítico"}),"")</f>
        <v/>
      </c>
      <c r="AH911" s="28">
        <f>IF(AG911="","",IF(OR(AG911="Crítico",AG911="Alto"),"Mitigar",IF(AG911="Medio","Mitigar","Aceptar y monitorear")))</f>
        <v/>
      </c>
      <c r="AI911" s="21" t="n"/>
      <c r="AJ911" s="21" t="n"/>
      <c r="AK911" s="20" t="n"/>
      <c r="AL911" s="77">
        <f>IFERROR(INDEX(MgAmenEfic,MATCH(SUBSTITUTE($H911,"*","-"),MgAmenClave,0)),0)</f>
        <v/>
      </c>
    </row>
    <row r="912" hidden="1" ht="105" customHeight="1" s="54">
      <c r="B912" s="59" t="inlineStr">
        <is>
          <t>R-0907</t>
        </is>
      </c>
      <c r="C912" s="59" t="inlineStr">
        <is>
          <t>COM-06</t>
        </is>
      </c>
      <c r="D912" s="64">
        <f>IFERROR(INDEX(MgNombre,MATCH($C912,MgActId,0)),"")</f>
        <v/>
      </c>
      <c r="E912" s="64">
        <f>IFERROR(INDEX(MgProceso,MATCH($C912,MgActId,0)),"")</f>
        <v/>
      </c>
      <c r="F912" s="64">
        <f>IFERROR(INDEX(MgTipo,MATCH($C912,MgActId,0)),"")</f>
        <v/>
      </c>
      <c r="G912" s="64">
        <f>IFERROR(INDEX(MgSubtipo,MATCH($C912,MgActId,0)),"")</f>
        <v/>
      </c>
      <c r="H912" s="59" t="inlineStr">
        <is>
          <t>E.1</t>
        </is>
      </c>
      <c r="I912" s="64">
        <f>IFERROR(INDEX(MgAmenNombre,MATCH(SUBSTITUTE($H912,"*","-"),MgAmenClave,0)),"")</f>
        <v/>
      </c>
      <c r="J912" s="28">
        <f>IFERROR(INDEX(MgAmenGrupo,MATCH(SUBSTITUTE($H912,"*","-"),MgAmenClave,0)),"")</f>
        <v/>
      </c>
      <c r="K912" s="64">
        <f>IFERROR(INDEX('1. Matriz de Activos'!$Q$6:$Q$239,MATCH($C912,MgActId,0)),"")</f>
        <v/>
      </c>
      <c r="L912" s="64">
        <f>IFERROR(INDEX('1. Matriz de Activos'!$R$6:$R$239,MATCH($C912,MgActId,0)),"")</f>
        <v/>
      </c>
      <c r="M912" s="64">
        <f>IFERROR(INDEX('1. Matriz de Activos'!$S$6:$S$239,MATCH($C912,MgActId,0)),"")</f>
        <v/>
      </c>
      <c r="N912" s="28">
        <f>IFERROR(INDEX(MgAmenDegD,MATCH(SUBSTITUTE($H912,"*","-"),MgAmenClave,0)),"No aplica")</f>
        <v/>
      </c>
      <c r="O912" s="28">
        <f>IFERROR(INDEX(MgAmenDegI,MATCH(SUBSTITUTE($H912,"*","-"),MgAmenClave,0)),"No aplica")</f>
        <v/>
      </c>
      <c r="P912" s="28">
        <f>IFERROR(INDEX(MgAmenDegC,MATCH(SUBSTITUTE($H912,"*","-"),MgAmenClave,0)),"No aplica")</f>
        <v/>
      </c>
      <c r="Q912" s="29">
        <f>IFERROR(VLOOKUP(K912,MgValor,2,0)*VLOOKUP(N912,MgDeg,2,0),0)</f>
        <v/>
      </c>
      <c r="R912" s="29">
        <f>IFERROR(VLOOKUP(L912,MgValor,2,0)*VLOOKUP(O912,MgDeg,2,0),0)</f>
        <v/>
      </c>
      <c r="S912" s="29">
        <f>IFERROR(VLOOKUP(M912,MgValor,2,0)*VLOOKUP(P912,MgDeg,2,0),0)</f>
        <v/>
      </c>
      <c r="T912" s="30">
        <f>MAX(Q912:S912)</f>
        <v/>
      </c>
      <c r="U912" s="28">
        <f>IFERROR(LOOKUP(T912,{0;0.5;1.5;3;4.5},{"Despreciable";"Bajo";"Medio";"Alto";"Muy alto"}),"")</f>
        <v/>
      </c>
      <c r="V912" s="13">
        <f>IFERROR(INDEX(MgAmenFrec,MATCH(SUBSTITUTE($H912,"*","-"),MgAmenClave,0)),"")</f>
        <v/>
      </c>
      <c r="W912" s="28">
        <f>IFERROR(LOOKUP(X912,{0;0.01;0.1;1;10;100},{"Muy baja";"Muy baja";"Baja";"Media";"Alta";"Muy alta"}),"")</f>
        <v/>
      </c>
      <c r="X912" s="31">
        <f>IFERROR(VLOOKUP(V912,MgFrec,2,0),0)</f>
        <v/>
      </c>
      <c r="Y912" s="30">
        <f>T912*X912</f>
        <v/>
      </c>
      <c r="Z912" s="28">
        <f>IFERROR(LOOKUP(Y912,{0;0.5;5;25},{"Bajo";"Medio";"Alto";"Crítico"}),"")</f>
        <v/>
      </c>
      <c r="AA912" s="64">
        <f>IF(T912&gt;=3,IF(X912&gt;=1,"Zona 1 — Crítica: impacto alto y ocurre al menos una vez al año","Zona 4 — Catastrófica poco probable: impacto alto pero excepcional"),IF(AND(T912&lt;1.5,X912&lt;1),"Zona 3 — Asumible: impacto bajo y muy poco frecuente","Zona 2 — Atención: riesgo intermedio"))</f>
        <v/>
      </c>
      <c r="AB912" s="64">
        <f>IFERROR(INDEX(MgAmenCtrl,MATCH(SUBSTITUTE($H912,"*","-"),MgAmenClave,0)),"")</f>
        <v/>
      </c>
      <c r="AC912" s="20" t="n"/>
      <c r="AD912" s="31">
        <f>IFERROR($X912*(1-IF($AC912="",$AL912,VLOOKUP($AC912,MgMad,2,0))),"")</f>
        <v/>
      </c>
      <c r="AE912" s="28">
        <f>IFERROR(LOOKUP(AD912,{0;0.01;0.1;1;10;100},{"Muy baja";"Muy baja";"Baja";"Media";"Alta";"Muy alta"}),"")</f>
        <v/>
      </c>
      <c r="AF912" s="30">
        <f>T912*AD912</f>
        <v/>
      </c>
      <c r="AG912" s="28">
        <f>IFERROR(LOOKUP(AF912,{0;0.5;5;25},{"Bajo";"Medio";"Alto";"Crítico"}),"")</f>
        <v/>
      </c>
      <c r="AH912" s="28">
        <f>IF(AG912="","",IF(OR(AG912="Crítico",AG912="Alto"),"Mitigar",IF(AG912="Medio","Mitigar","Aceptar y monitorear")))</f>
        <v/>
      </c>
      <c r="AI912" s="21" t="n"/>
      <c r="AJ912" s="21" t="n"/>
      <c r="AK912" s="20" t="n"/>
      <c r="AL912" s="77">
        <f>IFERROR(INDEX(MgAmenEfic,MATCH(SUBSTITUTE($H912,"*","-"),MgAmenClave,0)),0)</f>
        <v/>
      </c>
    </row>
    <row r="913" hidden="1" ht="120" customHeight="1" s="54">
      <c r="B913" s="59" t="inlineStr">
        <is>
          <t>R-0908</t>
        </is>
      </c>
      <c r="C913" s="59" t="inlineStr">
        <is>
          <t>COM-06</t>
        </is>
      </c>
      <c r="D913" s="64">
        <f>IFERROR(INDEX(MgNombre,MATCH($C913,MgActId,0)),"")</f>
        <v/>
      </c>
      <c r="E913" s="64">
        <f>IFERROR(INDEX(MgProceso,MATCH($C913,MgActId,0)),"")</f>
        <v/>
      </c>
      <c r="F913" s="64">
        <f>IFERROR(INDEX(MgTipo,MATCH($C913,MgActId,0)),"")</f>
        <v/>
      </c>
      <c r="G913" s="64">
        <f>IFERROR(INDEX(MgSubtipo,MATCH($C913,MgActId,0)),"")</f>
        <v/>
      </c>
      <c r="H913" s="59" t="inlineStr">
        <is>
          <t>E.2</t>
        </is>
      </c>
      <c r="I913" s="64">
        <f>IFERROR(INDEX(MgAmenNombre,MATCH(SUBSTITUTE($H913,"*","-"),MgAmenClave,0)),"")</f>
        <v/>
      </c>
      <c r="J913" s="28">
        <f>IFERROR(INDEX(MgAmenGrupo,MATCH(SUBSTITUTE($H913,"*","-"),MgAmenClave,0)),"")</f>
        <v/>
      </c>
      <c r="K913" s="64">
        <f>IFERROR(INDEX('1. Matriz de Activos'!$Q$6:$Q$239,MATCH($C913,MgActId,0)),"")</f>
        <v/>
      </c>
      <c r="L913" s="64">
        <f>IFERROR(INDEX('1. Matriz de Activos'!$R$6:$R$239,MATCH($C913,MgActId,0)),"")</f>
        <v/>
      </c>
      <c r="M913" s="64">
        <f>IFERROR(INDEX('1. Matriz de Activos'!$S$6:$S$239,MATCH($C913,MgActId,0)),"")</f>
        <v/>
      </c>
      <c r="N913" s="28">
        <f>IFERROR(INDEX(MgAmenDegD,MATCH(SUBSTITUTE($H913,"*","-"),MgAmenClave,0)),"No aplica")</f>
        <v/>
      </c>
      <c r="O913" s="28">
        <f>IFERROR(INDEX(MgAmenDegI,MATCH(SUBSTITUTE($H913,"*","-"),MgAmenClave,0)),"No aplica")</f>
        <v/>
      </c>
      <c r="P913" s="28">
        <f>IFERROR(INDEX(MgAmenDegC,MATCH(SUBSTITUTE($H913,"*","-"),MgAmenClave,0)),"No aplica")</f>
        <v/>
      </c>
      <c r="Q913" s="29">
        <f>IFERROR(VLOOKUP(K913,MgValor,2,0)*VLOOKUP(N913,MgDeg,2,0),0)</f>
        <v/>
      </c>
      <c r="R913" s="29">
        <f>IFERROR(VLOOKUP(L913,MgValor,2,0)*VLOOKUP(O913,MgDeg,2,0),0)</f>
        <v/>
      </c>
      <c r="S913" s="29">
        <f>IFERROR(VLOOKUP(M913,MgValor,2,0)*VLOOKUP(P913,MgDeg,2,0),0)</f>
        <v/>
      </c>
      <c r="T913" s="30">
        <f>MAX(Q913:S913)</f>
        <v/>
      </c>
      <c r="U913" s="28">
        <f>IFERROR(LOOKUP(T913,{0;0.5;1.5;3;4.5},{"Despreciable";"Bajo";"Medio";"Alto";"Muy alto"}),"")</f>
        <v/>
      </c>
      <c r="V913" s="13">
        <f>IFERROR(INDEX(MgAmenFrec,MATCH(SUBSTITUTE($H913,"*","-"),MgAmenClave,0)),"")</f>
        <v/>
      </c>
      <c r="W913" s="28">
        <f>IFERROR(LOOKUP(X913,{0;0.01;0.1;1;10;100},{"Muy baja";"Muy baja";"Baja";"Media";"Alta";"Muy alta"}),"")</f>
        <v/>
      </c>
      <c r="X913" s="31">
        <f>IFERROR(VLOOKUP(V913,MgFrec,2,0),0)</f>
        <v/>
      </c>
      <c r="Y913" s="30">
        <f>T913*X913</f>
        <v/>
      </c>
      <c r="Z913" s="28">
        <f>IFERROR(LOOKUP(Y913,{0;0.5;5;25},{"Bajo";"Medio";"Alto";"Crítico"}),"")</f>
        <v/>
      </c>
      <c r="AA913" s="64">
        <f>IF(T913&gt;=3,IF(X913&gt;=1,"Zona 1 — Crítica: impacto alto y ocurre al menos una vez al año","Zona 4 — Catastrófica poco probable: impacto alto pero excepcional"),IF(AND(T913&lt;1.5,X913&lt;1),"Zona 3 — Asumible: impacto bajo y muy poco frecuente","Zona 2 — Atención: riesgo intermedio"))</f>
        <v/>
      </c>
      <c r="AB913" s="64">
        <f>IFERROR(INDEX(MgAmenCtrl,MATCH(SUBSTITUTE($H913,"*","-"),MgAmenClave,0)),"")</f>
        <v/>
      </c>
      <c r="AC913" s="20" t="n"/>
      <c r="AD913" s="31">
        <f>IFERROR($X913*(1-IF($AC913="",$AL913,VLOOKUP($AC913,MgMad,2,0))),"")</f>
        <v/>
      </c>
      <c r="AE913" s="28">
        <f>IFERROR(LOOKUP(AD913,{0;0.01;0.1;1;10;100},{"Muy baja";"Muy baja";"Baja";"Media";"Alta";"Muy alta"}),"")</f>
        <v/>
      </c>
      <c r="AF913" s="30">
        <f>T913*AD913</f>
        <v/>
      </c>
      <c r="AG913" s="28">
        <f>IFERROR(LOOKUP(AF913,{0;0.5;5;25},{"Bajo";"Medio";"Alto";"Crítico"}),"")</f>
        <v/>
      </c>
      <c r="AH913" s="28">
        <f>IF(AG913="","",IF(OR(AG913="Crítico",AG913="Alto"),"Mitigar",IF(AG913="Medio","Mitigar","Aceptar y monitorear")))</f>
        <v/>
      </c>
      <c r="AI913" s="21" t="n"/>
      <c r="AJ913" s="21" t="n"/>
      <c r="AK913" s="20" t="n"/>
      <c r="AL913" s="77">
        <f>IFERROR(INDEX(MgAmenEfic,MATCH(SUBSTITUTE($H913,"*","-"),MgAmenClave,0)),0)</f>
        <v/>
      </c>
    </row>
    <row r="914" hidden="1" ht="75" customHeight="1" s="54">
      <c r="B914" s="59" t="inlineStr">
        <is>
          <t>R-0909</t>
        </is>
      </c>
      <c r="C914" s="59" t="inlineStr">
        <is>
          <t>COM-06</t>
        </is>
      </c>
      <c r="D914" s="64">
        <f>IFERROR(INDEX(MgNombre,MATCH($C914,MgActId,0)),"")</f>
        <v/>
      </c>
      <c r="E914" s="64">
        <f>IFERROR(INDEX(MgProceso,MATCH($C914,MgActId,0)),"")</f>
        <v/>
      </c>
      <c r="F914" s="64">
        <f>IFERROR(INDEX(MgTipo,MATCH($C914,MgActId,0)),"")</f>
        <v/>
      </c>
      <c r="G914" s="64">
        <f>IFERROR(INDEX(MgSubtipo,MATCH($C914,MgActId,0)),"")</f>
        <v/>
      </c>
      <c r="H914" s="59" t="inlineStr">
        <is>
          <t>E.3</t>
        </is>
      </c>
      <c r="I914" s="64">
        <f>IFERROR(INDEX(MgAmenNombre,MATCH(SUBSTITUTE($H914,"*","-"),MgAmenClave,0)),"")</f>
        <v/>
      </c>
      <c r="J914" s="28">
        <f>IFERROR(INDEX(MgAmenGrupo,MATCH(SUBSTITUTE($H914,"*","-"),MgAmenClave,0)),"")</f>
        <v/>
      </c>
      <c r="K914" s="64">
        <f>IFERROR(INDEX('1. Matriz de Activos'!$Q$6:$Q$239,MATCH($C914,MgActId,0)),"")</f>
        <v/>
      </c>
      <c r="L914" s="64">
        <f>IFERROR(INDEX('1. Matriz de Activos'!$R$6:$R$239,MATCH($C914,MgActId,0)),"")</f>
        <v/>
      </c>
      <c r="M914" s="64">
        <f>IFERROR(INDEX('1. Matriz de Activos'!$S$6:$S$239,MATCH($C914,MgActId,0)),"")</f>
        <v/>
      </c>
      <c r="N914" s="28">
        <f>IFERROR(INDEX(MgAmenDegD,MATCH(SUBSTITUTE($H914,"*","-"),MgAmenClave,0)),"No aplica")</f>
        <v/>
      </c>
      <c r="O914" s="28">
        <f>IFERROR(INDEX(MgAmenDegI,MATCH(SUBSTITUTE($H914,"*","-"),MgAmenClave,0)),"No aplica")</f>
        <v/>
      </c>
      <c r="P914" s="28">
        <f>IFERROR(INDEX(MgAmenDegC,MATCH(SUBSTITUTE($H914,"*","-"),MgAmenClave,0)),"No aplica")</f>
        <v/>
      </c>
      <c r="Q914" s="29">
        <f>IFERROR(VLOOKUP(K914,MgValor,2,0)*VLOOKUP(N914,MgDeg,2,0),0)</f>
        <v/>
      </c>
      <c r="R914" s="29">
        <f>IFERROR(VLOOKUP(L914,MgValor,2,0)*VLOOKUP(O914,MgDeg,2,0),0)</f>
        <v/>
      </c>
      <c r="S914" s="29">
        <f>IFERROR(VLOOKUP(M914,MgValor,2,0)*VLOOKUP(P914,MgDeg,2,0),0)</f>
        <v/>
      </c>
      <c r="T914" s="30">
        <f>MAX(Q914:S914)</f>
        <v/>
      </c>
      <c r="U914" s="28">
        <f>IFERROR(LOOKUP(T914,{0;0.5;1.5;3;4.5},{"Despreciable";"Bajo";"Medio";"Alto";"Muy alto"}),"")</f>
        <v/>
      </c>
      <c r="V914" s="13">
        <f>IFERROR(INDEX(MgAmenFrec,MATCH(SUBSTITUTE($H914,"*","-"),MgAmenClave,0)),"")</f>
        <v/>
      </c>
      <c r="W914" s="28">
        <f>IFERROR(LOOKUP(X914,{0;0.01;0.1;1;10;100},{"Muy baja";"Muy baja";"Baja";"Media";"Alta";"Muy alta"}),"")</f>
        <v/>
      </c>
      <c r="X914" s="31">
        <f>IFERROR(VLOOKUP(V914,MgFrec,2,0),0)</f>
        <v/>
      </c>
      <c r="Y914" s="30">
        <f>T914*X914</f>
        <v/>
      </c>
      <c r="Z914" s="28">
        <f>IFERROR(LOOKUP(Y914,{0;0.5;5;25},{"Bajo";"Medio";"Alto";"Crítico"}),"")</f>
        <v/>
      </c>
      <c r="AA914" s="64">
        <f>IF(T914&gt;=3,IF(X914&gt;=1,"Zona 1 — Crítica: impacto alto y ocurre al menos una vez al año","Zona 4 — Catastrófica poco probable: impacto alto pero excepcional"),IF(AND(T914&lt;1.5,X914&lt;1),"Zona 3 — Asumible: impacto bajo y muy poco frecuente","Zona 2 — Atención: riesgo intermedio"))</f>
        <v/>
      </c>
      <c r="AB914" s="64">
        <f>IFERROR(INDEX(MgAmenCtrl,MATCH(SUBSTITUTE($H914,"*","-"),MgAmenClave,0)),"")</f>
        <v/>
      </c>
      <c r="AC914" s="20" t="n"/>
      <c r="AD914" s="31">
        <f>IFERROR($X914*(1-IF($AC914="",$AL914,VLOOKUP($AC914,MgMad,2,0))),"")</f>
        <v/>
      </c>
      <c r="AE914" s="28">
        <f>IFERROR(LOOKUP(AD914,{0;0.01;0.1;1;10;100},{"Muy baja";"Muy baja";"Baja";"Media";"Alta";"Muy alta"}),"")</f>
        <v/>
      </c>
      <c r="AF914" s="30">
        <f>T914*AD914</f>
        <v/>
      </c>
      <c r="AG914" s="28">
        <f>IFERROR(LOOKUP(AF914,{0;0.5;5;25},{"Bajo";"Medio";"Alto";"Crítico"}),"")</f>
        <v/>
      </c>
      <c r="AH914" s="28">
        <f>IF(AG914="","",IF(OR(AG914="Crítico",AG914="Alto"),"Mitigar",IF(AG914="Medio","Mitigar","Aceptar y monitorear")))</f>
        <v/>
      </c>
      <c r="AI914" s="21" t="n"/>
      <c r="AJ914" s="21" t="n"/>
      <c r="AK914" s="20" t="n"/>
      <c r="AL914" s="77">
        <f>IFERROR(INDEX(MgAmenEfic,MATCH(SUBSTITUTE($H914,"*","-"),MgAmenClave,0)),0)</f>
        <v/>
      </c>
    </row>
    <row r="915" hidden="1" ht="75" customHeight="1" s="54">
      <c r="B915" s="59" t="inlineStr">
        <is>
          <t>R-0910</t>
        </is>
      </c>
      <c r="C915" s="59" t="inlineStr">
        <is>
          <t>COM-06</t>
        </is>
      </c>
      <c r="D915" s="64">
        <f>IFERROR(INDEX(MgNombre,MATCH($C915,MgActId,0)),"")</f>
        <v/>
      </c>
      <c r="E915" s="64">
        <f>IFERROR(INDEX(MgProceso,MATCH($C915,MgActId,0)),"")</f>
        <v/>
      </c>
      <c r="F915" s="64">
        <f>IFERROR(INDEX(MgTipo,MATCH($C915,MgActId,0)),"")</f>
        <v/>
      </c>
      <c r="G915" s="64">
        <f>IFERROR(INDEX(MgSubtipo,MATCH($C915,MgActId,0)),"")</f>
        <v/>
      </c>
      <c r="H915" s="59" t="inlineStr">
        <is>
          <t>E.4</t>
        </is>
      </c>
      <c r="I915" s="64">
        <f>IFERROR(INDEX(MgAmenNombre,MATCH(SUBSTITUTE($H915,"*","-"),MgAmenClave,0)),"")</f>
        <v/>
      </c>
      <c r="J915" s="28">
        <f>IFERROR(INDEX(MgAmenGrupo,MATCH(SUBSTITUTE($H915,"*","-"),MgAmenClave,0)),"")</f>
        <v/>
      </c>
      <c r="K915" s="64">
        <f>IFERROR(INDEX('1. Matriz de Activos'!$Q$6:$Q$239,MATCH($C915,MgActId,0)),"")</f>
        <v/>
      </c>
      <c r="L915" s="64">
        <f>IFERROR(INDEX('1. Matriz de Activos'!$R$6:$R$239,MATCH($C915,MgActId,0)),"")</f>
        <v/>
      </c>
      <c r="M915" s="64">
        <f>IFERROR(INDEX('1. Matriz de Activos'!$S$6:$S$239,MATCH($C915,MgActId,0)),"")</f>
        <v/>
      </c>
      <c r="N915" s="28">
        <f>IFERROR(INDEX(MgAmenDegD,MATCH(SUBSTITUTE($H915,"*","-"),MgAmenClave,0)),"No aplica")</f>
        <v/>
      </c>
      <c r="O915" s="28">
        <f>IFERROR(INDEX(MgAmenDegI,MATCH(SUBSTITUTE($H915,"*","-"),MgAmenClave,0)),"No aplica")</f>
        <v/>
      </c>
      <c r="P915" s="28">
        <f>IFERROR(INDEX(MgAmenDegC,MATCH(SUBSTITUTE($H915,"*","-"),MgAmenClave,0)),"No aplica")</f>
        <v/>
      </c>
      <c r="Q915" s="29">
        <f>IFERROR(VLOOKUP(K915,MgValor,2,0)*VLOOKUP(N915,MgDeg,2,0),0)</f>
        <v/>
      </c>
      <c r="R915" s="29">
        <f>IFERROR(VLOOKUP(L915,MgValor,2,0)*VLOOKUP(O915,MgDeg,2,0),0)</f>
        <v/>
      </c>
      <c r="S915" s="29">
        <f>IFERROR(VLOOKUP(M915,MgValor,2,0)*VLOOKUP(P915,MgDeg,2,0),0)</f>
        <v/>
      </c>
      <c r="T915" s="30">
        <f>MAX(Q915:S915)</f>
        <v/>
      </c>
      <c r="U915" s="28">
        <f>IFERROR(LOOKUP(T915,{0;0.5;1.5;3;4.5},{"Despreciable";"Bajo";"Medio";"Alto";"Muy alto"}),"")</f>
        <v/>
      </c>
      <c r="V915" s="13">
        <f>IFERROR(INDEX(MgAmenFrec,MATCH(SUBSTITUTE($H915,"*","-"),MgAmenClave,0)),"")</f>
        <v/>
      </c>
      <c r="W915" s="28">
        <f>IFERROR(LOOKUP(X915,{0;0.01;0.1;1;10;100},{"Muy baja";"Muy baja";"Baja";"Media";"Alta";"Muy alta"}),"")</f>
        <v/>
      </c>
      <c r="X915" s="31">
        <f>IFERROR(VLOOKUP(V915,MgFrec,2,0),0)</f>
        <v/>
      </c>
      <c r="Y915" s="30">
        <f>T915*X915</f>
        <v/>
      </c>
      <c r="Z915" s="28">
        <f>IFERROR(LOOKUP(Y915,{0;0.5;5;25},{"Bajo";"Medio";"Alto";"Crítico"}),"")</f>
        <v/>
      </c>
      <c r="AA915" s="64">
        <f>IF(T915&gt;=3,IF(X915&gt;=1,"Zona 1 — Crítica: impacto alto y ocurre al menos una vez al año","Zona 4 — Catastrófica poco probable: impacto alto pero excepcional"),IF(AND(T915&lt;1.5,X915&lt;1),"Zona 3 — Asumible: impacto bajo y muy poco frecuente","Zona 2 — Atención: riesgo intermedio"))</f>
        <v/>
      </c>
      <c r="AB915" s="64">
        <f>IFERROR(INDEX(MgAmenCtrl,MATCH(SUBSTITUTE($H915,"*","-"),MgAmenClave,0)),"")</f>
        <v/>
      </c>
      <c r="AC915" s="20" t="n"/>
      <c r="AD915" s="31">
        <f>IFERROR($X915*(1-IF($AC915="",$AL915,VLOOKUP($AC915,MgMad,2,0))),"")</f>
        <v/>
      </c>
      <c r="AE915" s="28">
        <f>IFERROR(LOOKUP(AD915,{0;0.01;0.1;1;10;100},{"Muy baja";"Muy baja";"Baja";"Media";"Alta";"Muy alta"}),"")</f>
        <v/>
      </c>
      <c r="AF915" s="30">
        <f>T915*AD915</f>
        <v/>
      </c>
      <c r="AG915" s="28">
        <f>IFERROR(LOOKUP(AF915,{0;0.5;5;25},{"Bajo";"Medio";"Alto";"Crítico"}),"")</f>
        <v/>
      </c>
      <c r="AH915" s="28">
        <f>IF(AG915="","",IF(OR(AG915="Crítico",AG915="Alto"),"Mitigar",IF(AG915="Medio","Mitigar","Aceptar y monitorear")))</f>
        <v/>
      </c>
      <c r="AI915" s="21" t="n"/>
      <c r="AJ915" s="21" t="n"/>
      <c r="AK915" s="20" t="n"/>
      <c r="AL915" s="77">
        <f>IFERROR(INDEX(MgAmenEfic,MATCH(SUBSTITUTE($H915,"*","-"),MgAmenClave,0)),0)</f>
        <v/>
      </c>
    </row>
    <row r="916" hidden="1" ht="90" customHeight="1" s="54">
      <c r="B916" s="59" t="inlineStr">
        <is>
          <t>R-0911</t>
        </is>
      </c>
      <c r="C916" s="59" t="inlineStr">
        <is>
          <t>COM-06</t>
        </is>
      </c>
      <c r="D916" s="64">
        <f>IFERROR(INDEX(MgNombre,MATCH($C916,MgActId,0)),"")</f>
        <v/>
      </c>
      <c r="E916" s="64">
        <f>IFERROR(INDEX(MgProceso,MATCH($C916,MgActId,0)),"")</f>
        <v/>
      </c>
      <c r="F916" s="64">
        <f>IFERROR(INDEX(MgTipo,MATCH($C916,MgActId,0)),"")</f>
        <v/>
      </c>
      <c r="G916" s="64">
        <f>IFERROR(INDEX(MgSubtipo,MATCH($C916,MgActId,0)),"")</f>
        <v/>
      </c>
      <c r="H916" s="59" t="inlineStr">
        <is>
          <t>E.14</t>
        </is>
      </c>
      <c r="I916" s="64">
        <f>IFERROR(INDEX(MgAmenNombre,MATCH(SUBSTITUTE($H916,"*","-"),MgAmenClave,0)),"")</f>
        <v/>
      </c>
      <c r="J916" s="28">
        <f>IFERROR(INDEX(MgAmenGrupo,MATCH(SUBSTITUTE($H916,"*","-"),MgAmenClave,0)),"")</f>
        <v/>
      </c>
      <c r="K916" s="64">
        <f>IFERROR(INDEX('1. Matriz de Activos'!$Q$6:$Q$239,MATCH($C916,MgActId,0)),"")</f>
        <v/>
      </c>
      <c r="L916" s="64">
        <f>IFERROR(INDEX('1. Matriz de Activos'!$R$6:$R$239,MATCH($C916,MgActId,0)),"")</f>
        <v/>
      </c>
      <c r="M916" s="64">
        <f>IFERROR(INDEX('1. Matriz de Activos'!$S$6:$S$239,MATCH($C916,MgActId,0)),"")</f>
        <v/>
      </c>
      <c r="N916" s="28">
        <f>IFERROR(INDEX(MgAmenDegD,MATCH(SUBSTITUTE($H916,"*","-"),MgAmenClave,0)),"No aplica")</f>
        <v/>
      </c>
      <c r="O916" s="28">
        <f>IFERROR(INDEX(MgAmenDegI,MATCH(SUBSTITUTE($H916,"*","-"),MgAmenClave,0)),"No aplica")</f>
        <v/>
      </c>
      <c r="P916" s="28">
        <f>IFERROR(INDEX(MgAmenDegC,MATCH(SUBSTITUTE($H916,"*","-"),MgAmenClave,0)),"No aplica")</f>
        <v/>
      </c>
      <c r="Q916" s="29">
        <f>IFERROR(VLOOKUP(K916,MgValor,2,0)*VLOOKUP(N916,MgDeg,2,0),0)</f>
        <v/>
      </c>
      <c r="R916" s="29">
        <f>IFERROR(VLOOKUP(L916,MgValor,2,0)*VLOOKUP(O916,MgDeg,2,0),0)</f>
        <v/>
      </c>
      <c r="S916" s="29">
        <f>IFERROR(VLOOKUP(M916,MgValor,2,0)*VLOOKUP(P916,MgDeg,2,0),0)</f>
        <v/>
      </c>
      <c r="T916" s="30">
        <f>MAX(Q916:S916)</f>
        <v/>
      </c>
      <c r="U916" s="28">
        <f>IFERROR(LOOKUP(T916,{0;0.5;1.5;3;4.5},{"Despreciable";"Bajo";"Medio";"Alto";"Muy alto"}),"")</f>
        <v/>
      </c>
      <c r="V916" s="13">
        <f>IFERROR(INDEX(MgAmenFrec,MATCH(SUBSTITUTE($H916,"*","-"),MgAmenClave,0)),"")</f>
        <v/>
      </c>
      <c r="W916" s="28">
        <f>IFERROR(LOOKUP(X916,{0;0.01;0.1;1;10;100},{"Muy baja";"Muy baja";"Baja";"Media";"Alta";"Muy alta"}),"")</f>
        <v/>
      </c>
      <c r="X916" s="31">
        <f>IFERROR(VLOOKUP(V916,MgFrec,2,0),0)</f>
        <v/>
      </c>
      <c r="Y916" s="30">
        <f>T916*X916</f>
        <v/>
      </c>
      <c r="Z916" s="28">
        <f>IFERROR(LOOKUP(Y916,{0;0.5;5;25},{"Bajo";"Medio";"Alto";"Crítico"}),"")</f>
        <v/>
      </c>
      <c r="AA916" s="64">
        <f>IF(T916&gt;=3,IF(X916&gt;=1,"Zona 1 — Crítica: impacto alto y ocurre al menos una vez al año","Zona 4 — Catastrófica poco probable: impacto alto pero excepcional"),IF(AND(T916&lt;1.5,X916&lt;1),"Zona 3 — Asumible: impacto bajo y muy poco frecuente","Zona 2 — Atención: riesgo intermedio"))</f>
        <v/>
      </c>
      <c r="AB916" s="64">
        <f>IFERROR(INDEX(MgAmenCtrl,MATCH(SUBSTITUTE($H916,"*","-"),MgAmenClave,0)),"")</f>
        <v/>
      </c>
      <c r="AC916" s="20" t="n"/>
      <c r="AD916" s="31">
        <f>IFERROR($X916*(1-IF($AC916="",$AL916,VLOOKUP($AC916,MgMad,2,0))),"")</f>
        <v/>
      </c>
      <c r="AE916" s="28">
        <f>IFERROR(LOOKUP(AD916,{0;0.01;0.1;1;10;100},{"Muy baja";"Muy baja";"Baja";"Media";"Alta";"Muy alta"}),"")</f>
        <v/>
      </c>
      <c r="AF916" s="30">
        <f>T916*AD916</f>
        <v/>
      </c>
      <c r="AG916" s="28">
        <f>IFERROR(LOOKUP(AF916,{0;0.5;5;25},{"Bajo";"Medio";"Alto";"Crítico"}),"")</f>
        <v/>
      </c>
      <c r="AH916" s="28">
        <f>IF(AG916="","",IF(OR(AG916="Crítico",AG916="Alto"),"Mitigar",IF(AG916="Medio","Mitigar","Aceptar y monitorear")))</f>
        <v/>
      </c>
      <c r="AI916" s="21" t="n"/>
      <c r="AJ916" s="21" t="n"/>
      <c r="AK916" s="20" t="n"/>
      <c r="AL916" s="77">
        <f>IFERROR(INDEX(MgAmenEfic,MATCH(SUBSTITUTE($H916,"*","-"),MgAmenClave,0)),0)</f>
        <v/>
      </c>
    </row>
    <row r="917" hidden="1" ht="90" customHeight="1" s="54">
      <c r="B917" s="59" t="inlineStr">
        <is>
          <t>R-0912</t>
        </is>
      </c>
      <c r="C917" s="59" t="inlineStr">
        <is>
          <t>COM-06</t>
        </is>
      </c>
      <c r="D917" s="64">
        <f>IFERROR(INDEX(MgNombre,MATCH($C917,MgActId,0)),"")</f>
        <v/>
      </c>
      <c r="E917" s="64">
        <f>IFERROR(INDEX(MgProceso,MATCH($C917,MgActId,0)),"")</f>
        <v/>
      </c>
      <c r="F917" s="64">
        <f>IFERROR(INDEX(MgTipo,MATCH($C917,MgActId,0)),"")</f>
        <v/>
      </c>
      <c r="G917" s="64">
        <f>IFERROR(INDEX(MgSubtipo,MATCH($C917,MgActId,0)),"")</f>
        <v/>
      </c>
      <c r="H917" s="59" t="inlineStr">
        <is>
          <t>E.15</t>
        </is>
      </c>
      <c r="I917" s="64">
        <f>IFERROR(INDEX(MgAmenNombre,MATCH(SUBSTITUTE($H917,"*","-"),MgAmenClave,0)),"")</f>
        <v/>
      </c>
      <c r="J917" s="28">
        <f>IFERROR(INDEX(MgAmenGrupo,MATCH(SUBSTITUTE($H917,"*","-"),MgAmenClave,0)),"")</f>
        <v/>
      </c>
      <c r="K917" s="64">
        <f>IFERROR(INDEX('1. Matriz de Activos'!$Q$6:$Q$239,MATCH($C917,MgActId,0)),"")</f>
        <v/>
      </c>
      <c r="L917" s="64">
        <f>IFERROR(INDEX('1. Matriz de Activos'!$R$6:$R$239,MATCH($C917,MgActId,0)),"")</f>
        <v/>
      </c>
      <c r="M917" s="64">
        <f>IFERROR(INDEX('1. Matriz de Activos'!$S$6:$S$239,MATCH($C917,MgActId,0)),"")</f>
        <v/>
      </c>
      <c r="N917" s="28">
        <f>IFERROR(INDEX(MgAmenDegD,MATCH(SUBSTITUTE($H917,"*","-"),MgAmenClave,0)),"No aplica")</f>
        <v/>
      </c>
      <c r="O917" s="28">
        <f>IFERROR(INDEX(MgAmenDegI,MATCH(SUBSTITUTE($H917,"*","-"),MgAmenClave,0)),"No aplica")</f>
        <v/>
      </c>
      <c r="P917" s="28">
        <f>IFERROR(INDEX(MgAmenDegC,MATCH(SUBSTITUTE($H917,"*","-"),MgAmenClave,0)),"No aplica")</f>
        <v/>
      </c>
      <c r="Q917" s="29">
        <f>IFERROR(VLOOKUP(K917,MgValor,2,0)*VLOOKUP(N917,MgDeg,2,0),0)</f>
        <v/>
      </c>
      <c r="R917" s="29">
        <f>IFERROR(VLOOKUP(L917,MgValor,2,0)*VLOOKUP(O917,MgDeg,2,0),0)</f>
        <v/>
      </c>
      <c r="S917" s="29">
        <f>IFERROR(VLOOKUP(M917,MgValor,2,0)*VLOOKUP(P917,MgDeg,2,0),0)</f>
        <v/>
      </c>
      <c r="T917" s="30">
        <f>MAX(Q917:S917)</f>
        <v/>
      </c>
      <c r="U917" s="28">
        <f>IFERROR(LOOKUP(T917,{0;0.5;1.5;3;4.5},{"Despreciable";"Bajo";"Medio";"Alto";"Muy alto"}),"")</f>
        <v/>
      </c>
      <c r="V917" s="13">
        <f>IFERROR(INDEX(MgAmenFrec,MATCH(SUBSTITUTE($H917,"*","-"),MgAmenClave,0)),"")</f>
        <v/>
      </c>
      <c r="W917" s="28">
        <f>IFERROR(LOOKUP(X917,{0;0.01;0.1;1;10;100},{"Muy baja";"Muy baja";"Baja";"Media";"Alta";"Muy alta"}),"")</f>
        <v/>
      </c>
      <c r="X917" s="31">
        <f>IFERROR(VLOOKUP(V917,MgFrec,2,0),0)</f>
        <v/>
      </c>
      <c r="Y917" s="30">
        <f>T917*X917</f>
        <v/>
      </c>
      <c r="Z917" s="28">
        <f>IFERROR(LOOKUP(Y917,{0;0.5;5;25},{"Bajo";"Medio";"Alto";"Crítico"}),"")</f>
        <v/>
      </c>
      <c r="AA917" s="64">
        <f>IF(T917&gt;=3,IF(X917&gt;=1,"Zona 1 — Crítica: impacto alto y ocurre al menos una vez al año","Zona 4 — Catastrófica poco probable: impacto alto pero excepcional"),IF(AND(T917&lt;1.5,X917&lt;1),"Zona 3 — Asumible: impacto bajo y muy poco frecuente","Zona 2 — Atención: riesgo intermedio"))</f>
        <v/>
      </c>
      <c r="AB917" s="64">
        <f>IFERROR(INDEX(MgAmenCtrl,MATCH(SUBSTITUTE($H917,"*","-"),MgAmenClave,0)),"")</f>
        <v/>
      </c>
      <c r="AC917" s="20" t="n"/>
      <c r="AD917" s="31">
        <f>IFERROR($X917*(1-IF($AC917="",$AL917,VLOOKUP($AC917,MgMad,2,0))),"")</f>
        <v/>
      </c>
      <c r="AE917" s="28">
        <f>IFERROR(LOOKUP(AD917,{0;0.01;0.1;1;10;100},{"Muy baja";"Muy baja";"Baja";"Media";"Alta";"Muy alta"}),"")</f>
        <v/>
      </c>
      <c r="AF917" s="30">
        <f>T917*AD917</f>
        <v/>
      </c>
      <c r="AG917" s="28">
        <f>IFERROR(LOOKUP(AF917,{0;0.5;5;25},{"Bajo";"Medio";"Alto";"Crítico"}),"")</f>
        <v/>
      </c>
      <c r="AH917" s="28">
        <f>IF(AG917="","",IF(OR(AG917="Crítico",AG917="Alto"),"Mitigar",IF(AG917="Medio","Mitigar","Aceptar y monitorear")))</f>
        <v/>
      </c>
      <c r="AI917" s="21" t="n"/>
      <c r="AJ917" s="21" t="n"/>
      <c r="AK917" s="20" t="n"/>
      <c r="AL917" s="77">
        <f>IFERROR(INDEX(MgAmenEfic,MATCH(SUBSTITUTE($H917,"*","-"),MgAmenClave,0)),0)</f>
        <v/>
      </c>
    </row>
    <row r="918" hidden="1" ht="60" customHeight="1" s="54">
      <c r="B918" s="59" t="inlineStr">
        <is>
          <t>R-0913</t>
        </is>
      </c>
      <c r="C918" s="59" t="inlineStr">
        <is>
          <t>COM-06</t>
        </is>
      </c>
      <c r="D918" s="64">
        <f>IFERROR(INDEX(MgNombre,MATCH($C918,MgActId,0)),"")</f>
        <v/>
      </c>
      <c r="E918" s="64">
        <f>IFERROR(INDEX(MgProceso,MATCH($C918,MgActId,0)),"")</f>
        <v/>
      </c>
      <c r="F918" s="64">
        <f>IFERROR(INDEX(MgTipo,MATCH($C918,MgActId,0)),"")</f>
        <v/>
      </c>
      <c r="G918" s="64">
        <f>IFERROR(INDEX(MgSubtipo,MATCH($C918,MgActId,0)),"")</f>
        <v/>
      </c>
      <c r="H918" s="59" t="inlineStr">
        <is>
          <t>E.18</t>
        </is>
      </c>
      <c r="I918" s="64">
        <f>IFERROR(INDEX(MgAmenNombre,MATCH(SUBSTITUTE($H918,"*","-"),MgAmenClave,0)),"")</f>
        <v/>
      </c>
      <c r="J918" s="28">
        <f>IFERROR(INDEX(MgAmenGrupo,MATCH(SUBSTITUTE($H918,"*","-"),MgAmenClave,0)),"")</f>
        <v/>
      </c>
      <c r="K918" s="64">
        <f>IFERROR(INDEX('1. Matriz de Activos'!$Q$6:$Q$239,MATCH($C918,MgActId,0)),"")</f>
        <v/>
      </c>
      <c r="L918" s="64">
        <f>IFERROR(INDEX('1. Matriz de Activos'!$R$6:$R$239,MATCH($C918,MgActId,0)),"")</f>
        <v/>
      </c>
      <c r="M918" s="64">
        <f>IFERROR(INDEX('1. Matriz de Activos'!$S$6:$S$239,MATCH($C918,MgActId,0)),"")</f>
        <v/>
      </c>
      <c r="N918" s="28">
        <f>IFERROR(INDEX(MgAmenDegD,MATCH(SUBSTITUTE($H918,"*","-"),MgAmenClave,0)),"No aplica")</f>
        <v/>
      </c>
      <c r="O918" s="28">
        <f>IFERROR(INDEX(MgAmenDegI,MATCH(SUBSTITUTE($H918,"*","-"),MgAmenClave,0)),"No aplica")</f>
        <v/>
      </c>
      <c r="P918" s="28">
        <f>IFERROR(INDEX(MgAmenDegC,MATCH(SUBSTITUTE($H918,"*","-"),MgAmenClave,0)),"No aplica")</f>
        <v/>
      </c>
      <c r="Q918" s="29">
        <f>IFERROR(VLOOKUP(K918,MgValor,2,0)*VLOOKUP(N918,MgDeg,2,0),0)</f>
        <v/>
      </c>
      <c r="R918" s="29">
        <f>IFERROR(VLOOKUP(L918,MgValor,2,0)*VLOOKUP(O918,MgDeg,2,0),0)</f>
        <v/>
      </c>
      <c r="S918" s="29">
        <f>IFERROR(VLOOKUP(M918,MgValor,2,0)*VLOOKUP(P918,MgDeg,2,0),0)</f>
        <v/>
      </c>
      <c r="T918" s="30">
        <f>MAX(Q918:S918)</f>
        <v/>
      </c>
      <c r="U918" s="28">
        <f>IFERROR(LOOKUP(T918,{0;0.5;1.5;3;4.5},{"Despreciable";"Bajo";"Medio";"Alto";"Muy alto"}),"")</f>
        <v/>
      </c>
      <c r="V918" s="13">
        <f>IFERROR(INDEX(MgAmenFrec,MATCH(SUBSTITUTE($H918,"*","-"),MgAmenClave,0)),"")</f>
        <v/>
      </c>
      <c r="W918" s="28">
        <f>IFERROR(LOOKUP(X918,{0;0.01;0.1;1;10;100},{"Muy baja";"Muy baja";"Baja";"Media";"Alta";"Muy alta"}),"")</f>
        <v/>
      </c>
      <c r="X918" s="31">
        <f>IFERROR(VLOOKUP(V918,MgFrec,2,0),0)</f>
        <v/>
      </c>
      <c r="Y918" s="30">
        <f>T918*X918</f>
        <v/>
      </c>
      <c r="Z918" s="28">
        <f>IFERROR(LOOKUP(Y918,{0;0.5;5;25},{"Bajo";"Medio";"Alto";"Crítico"}),"")</f>
        <v/>
      </c>
      <c r="AA918" s="64">
        <f>IF(T918&gt;=3,IF(X918&gt;=1,"Zona 1 — Crítica: impacto alto y ocurre al menos una vez al año","Zona 4 — Catastrófica poco probable: impacto alto pero excepcional"),IF(AND(T918&lt;1.5,X918&lt;1),"Zona 3 — Asumible: impacto bajo y muy poco frecuente","Zona 2 — Atención: riesgo intermedio"))</f>
        <v/>
      </c>
      <c r="AB918" s="64">
        <f>IFERROR(INDEX(MgAmenCtrl,MATCH(SUBSTITUTE($H918,"*","-"),MgAmenClave,0)),"")</f>
        <v/>
      </c>
      <c r="AC918" s="20" t="n"/>
      <c r="AD918" s="31">
        <f>IFERROR($X918*(1-IF($AC918="",$AL918,VLOOKUP($AC918,MgMad,2,0))),"")</f>
        <v/>
      </c>
      <c r="AE918" s="28">
        <f>IFERROR(LOOKUP(AD918,{0;0.01;0.1;1;10;100},{"Muy baja";"Muy baja";"Baja";"Media";"Alta";"Muy alta"}),"")</f>
        <v/>
      </c>
      <c r="AF918" s="30">
        <f>T918*AD918</f>
        <v/>
      </c>
      <c r="AG918" s="28">
        <f>IFERROR(LOOKUP(AF918,{0;0.5;5;25},{"Bajo";"Medio";"Alto";"Crítico"}),"")</f>
        <v/>
      </c>
      <c r="AH918" s="28">
        <f>IF(AG918="","",IF(OR(AG918="Crítico",AG918="Alto"),"Mitigar",IF(AG918="Medio","Mitigar","Aceptar y monitorear")))</f>
        <v/>
      </c>
      <c r="AI918" s="21" t="n"/>
      <c r="AJ918" s="21" t="n"/>
      <c r="AK918" s="20" t="n"/>
      <c r="AL918" s="77">
        <f>IFERROR(INDEX(MgAmenEfic,MATCH(SUBSTITUTE($H918,"*","-"),MgAmenClave,0)),0)</f>
        <v/>
      </c>
    </row>
    <row r="919" hidden="1" ht="105" customHeight="1" s="54">
      <c r="B919" s="59" t="inlineStr">
        <is>
          <t>R-0914</t>
        </is>
      </c>
      <c r="C919" s="59" t="inlineStr">
        <is>
          <t>COM-06</t>
        </is>
      </c>
      <c r="D919" s="64">
        <f>IFERROR(INDEX(MgNombre,MATCH($C919,MgActId,0)),"")</f>
        <v/>
      </c>
      <c r="E919" s="64">
        <f>IFERROR(INDEX(MgProceso,MATCH($C919,MgActId,0)),"")</f>
        <v/>
      </c>
      <c r="F919" s="64">
        <f>IFERROR(INDEX(MgTipo,MATCH($C919,MgActId,0)),"")</f>
        <v/>
      </c>
      <c r="G919" s="64">
        <f>IFERROR(INDEX(MgSubtipo,MATCH($C919,MgActId,0)),"")</f>
        <v/>
      </c>
      <c r="H919" s="59" t="inlineStr">
        <is>
          <t>E.19</t>
        </is>
      </c>
      <c r="I919" s="64">
        <f>IFERROR(INDEX(MgAmenNombre,MATCH(SUBSTITUTE($H919,"*","-"),MgAmenClave,0)),"")</f>
        <v/>
      </c>
      <c r="J919" s="28">
        <f>IFERROR(INDEX(MgAmenGrupo,MATCH(SUBSTITUTE($H919,"*","-"),MgAmenClave,0)),"")</f>
        <v/>
      </c>
      <c r="K919" s="64">
        <f>IFERROR(INDEX('1. Matriz de Activos'!$Q$6:$Q$239,MATCH($C919,MgActId,0)),"")</f>
        <v/>
      </c>
      <c r="L919" s="64">
        <f>IFERROR(INDEX('1. Matriz de Activos'!$R$6:$R$239,MATCH($C919,MgActId,0)),"")</f>
        <v/>
      </c>
      <c r="M919" s="64">
        <f>IFERROR(INDEX('1. Matriz de Activos'!$S$6:$S$239,MATCH($C919,MgActId,0)),"")</f>
        <v/>
      </c>
      <c r="N919" s="28">
        <f>IFERROR(INDEX(MgAmenDegD,MATCH(SUBSTITUTE($H919,"*","-"),MgAmenClave,0)),"No aplica")</f>
        <v/>
      </c>
      <c r="O919" s="28">
        <f>IFERROR(INDEX(MgAmenDegI,MATCH(SUBSTITUTE($H919,"*","-"),MgAmenClave,0)),"No aplica")</f>
        <v/>
      </c>
      <c r="P919" s="28">
        <f>IFERROR(INDEX(MgAmenDegC,MATCH(SUBSTITUTE($H919,"*","-"),MgAmenClave,0)),"No aplica")</f>
        <v/>
      </c>
      <c r="Q919" s="29">
        <f>IFERROR(VLOOKUP(K919,MgValor,2,0)*VLOOKUP(N919,MgDeg,2,0),0)</f>
        <v/>
      </c>
      <c r="R919" s="29">
        <f>IFERROR(VLOOKUP(L919,MgValor,2,0)*VLOOKUP(O919,MgDeg,2,0),0)</f>
        <v/>
      </c>
      <c r="S919" s="29">
        <f>IFERROR(VLOOKUP(M919,MgValor,2,0)*VLOOKUP(P919,MgDeg,2,0),0)</f>
        <v/>
      </c>
      <c r="T919" s="30">
        <f>MAX(Q919:S919)</f>
        <v/>
      </c>
      <c r="U919" s="28">
        <f>IFERROR(LOOKUP(T919,{0;0.5;1.5;3;4.5},{"Despreciable";"Bajo";"Medio";"Alto";"Muy alto"}),"")</f>
        <v/>
      </c>
      <c r="V919" s="13">
        <f>IFERROR(INDEX(MgAmenFrec,MATCH(SUBSTITUTE($H919,"*","-"),MgAmenClave,0)),"")</f>
        <v/>
      </c>
      <c r="W919" s="28">
        <f>IFERROR(LOOKUP(X919,{0;0.01;0.1;1;10;100},{"Muy baja";"Muy baja";"Baja";"Media";"Alta";"Muy alta"}),"")</f>
        <v/>
      </c>
      <c r="X919" s="31">
        <f>IFERROR(VLOOKUP(V919,MgFrec,2,0),0)</f>
        <v/>
      </c>
      <c r="Y919" s="30">
        <f>T919*X919</f>
        <v/>
      </c>
      <c r="Z919" s="28">
        <f>IFERROR(LOOKUP(Y919,{0;0.5;5;25},{"Bajo";"Medio";"Alto";"Crítico"}),"")</f>
        <v/>
      </c>
      <c r="AA919" s="64">
        <f>IF(T919&gt;=3,IF(X919&gt;=1,"Zona 1 — Crítica: impacto alto y ocurre al menos una vez al año","Zona 4 — Catastrófica poco probable: impacto alto pero excepcional"),IF(AND(T919&lt;1.5,X919&lt;1),"Zona 3 — Asumible: impacto bajo y muy poco frecuente","Zona 2 — Atención: riesgo intermedio"))</f>
        <v/>
      </c>
      <c r="AB919" s="64">
        <f>IFERROR(INDEX(MgAmenCtrl,MATCH(SUBSTITUTE($H919,"*","-"),MgAmenClave,0)),"")</f>
        <v/>
      </c>
      <c r="AC919" s="20" t="n"/>
      <c r="AD919" s="31">
        <f>IFERROR($X919*(1-IF($AC919="",$AL919,VLOOKUP($AC919,MgMad,2,0))),"")</f>
        <v/>
      </c>
      <c r="AE919" s="28">
        <f>IFERROR(LOOKUP(AD919,{0;0.01;0.1;1;10;100},{"Muy baja";"Muy baja";"Baja";"Media";"Alta";"Muy alta"}),"")</f>
        <v/>
      </c>
      <c r="AF919" s="30">
        <f>T919*AD919</f>
        <v/>
      </c>
      <c r="AG919" s="28">
        <f>IFERROR(LOOKUP(AF919,{0;0.5;5;25},{"Bajo";"Medio";"Alto";"Crítico"}),"")</f>
        <v/>
      </c>
      <c r="AH919" s="28">
        <f>IF(AG919="","",IF(OR(AG919="Crítico",AG919="Alto"),"Mitigar",IF(AG919="Medio","Mitigar","Aceptar y monitorear")))</f>
        <v/>
      </c>
      <c r="AI919" s="21" t="n"/>
      <c r="AJ919" s="21" t="n"/>
      <c r="AK919" s="20" t="n"/>
      <c r="AL919" s="77">
        <f>IFERROR(INDEX(MgAmenEfic,MATCH(SUBSTITUTE($H919,"*","-"),MgAmenClave,0)),0)</f>
        <v/>
      </c>
    </row>
    <row r="920" hidden="1" ht="60" customHeight="1" s="54">
      <c r="B920" s="59" t="inlineStr">
        <is>
          <t>R-0915</t>
        </is>
      </c>
      <c r="C920" s="59" t="inlineStr">
        <is>
          <t>COM-06</t>
        </is>
      </c>
      <c r="D920" s="64">
        <f>IFERROR(INDEX(MgNombre,MATCH($C920,MgActId,0)),"")</f>
        <v/>
      </c>
      <c r="E920" s="64">
        <f>IFERROR(INDEX(MgProceso,MATCH($C920,MgActId,0)),"")</f>
        <v/>
      </c>
      <c r="F920" s="64">
        <f>IFERROR(INDEX(MgTipo,MATCH($C920,MgActId,0)),"")</f>
        <v/>
      </c>
      <c r="G920" s="64">
        <f>IFERROR(INDEX(MgSubtipo,MATCH($C920,MgActId,0)),"")</f>
        <v/>
      </c>
      <c r="H920" s="59" t="inlineStr">
        <is>
          <t>A.3</t>
        </is>
      </c>
      <c r="I920" s="64">
        <f>IFERROR(INDEX(MgAmenNombre,MATCH(SUBSTITUTE($H920,"*","-"),MgAmenClave,0)),"")</f>
        <v/>
      </c>
      <c r="J920" s="28">
        <f>IFERROR(INDEX(MgAmenGrupo,MATCH(SUBSTITUTE($H920,"*","-"),MgAmenClave,0)),"")</f>
        <v/>
      </c>
      <c r="K920" s="64">
        <f>IFERROR(INDEX('1. Matriz de Activos'!$Q$6:$Q$239,MATCH($C920,MgActId,0)),"")</f>
        <v/>
      </c>
      <c r="L920" s="64">
        <f>IFERROR(INDEX('1. Matriz de Activos'!$R$6:$R$239,MATCH($C920,MgActId,0)),"")</f>
        <v/>
      </c>
      <c r="M920" s="64">
        <f>IFERROR(INDEX('1. Matriz de Activos'!$S$6:$S$239,MATCH($C920,MgActId,0)),"")</f>
        <v/>
      </c>
      <c r="N920" s="28">
        <f>IFERROR(INDEX(MgAmenDegD,MATCH(SUBSTITUTE($H920,"*","-"),MgAmenClave,0)),"No aplica")</f>
        <v/>
      </c>
      <c r="O920" s="28">
        <f>IFERROR(INDEX(MgAmenDegI,MATCH(SUBSTITUTE($H920,"*","-"),MgAmenClave,0)),"No aplica")</f>
        <v/>
      </c>
      <c r="P920" s="28">
        <f>IFERROR(INDEX(MgAmenDegC,MATCH(SUBSTITUTE($H920,"*","-"),MgAmenClave,0)),"No aplica")</f>
        <v/>
      </c>
      <c r="Q920" s="29">
        <f>IFERROR(VLOOKUP(K920,MgValor,2,0)*VLOOKUP(N920,MgDeg,2,0),0)</f>
        <v/>
      </c>
      <c r="R920" s="29">
        <f>IFERROR(VLOOKUP(L920,MgValor,2,0)*VLOOKUP(O920,MgDeg,2,0),0)</f>
        <v/>
      </c>
      <c r="S920" s="29">
        <f>IFERROR(VLOOKUP(M920,MgValor,2,0)*VLOOKUP(P920,MgDeg,2,0),0)</f>
        <v/>
      </c>
      <c r="T920" s="30">
        <f>MAX(Q920:S920)</f>
        <v/>
      </c>
      <c r="U920" s="28">
        <f>IFERROR(LOOKUP(T920,{0;0.5;1.5;3;4.5},{"Despreciable";"Bajo";"Medio";"Alto";"Muy alto"}),"")</f>
        <v/>
      </c>
      <c r="V920" s="13">
        <f>IFERROR(INDEX(MgAmenFrec,MATCH(SUBSTITUTE($H920,"*","-"),MgAmenClave,0)),"")</f>
        <v/>
      </c>
      <c r="W920" s="28">
        <f>IFERROR(LOOKUP(X920,{0;0.01;0.1;1;10;100},{"Muy baja";"Muy baja";"Baja";"Media";"Alta";"Muy alta"}),"")</f>
        <v/>
      </c>
      <c r="X920" s="31">
        <f>IFERROR(VLOOKUP(V920,MgFrec,2,0),0)</f>
        <v/>
      </c>
      <c r="Y920" s="30">
        <f>T920*X920</f>
        <v/>
      </c>
      <c r="Z920" s="28">
        <f>IFERROR(LOOKUP(Y920,{0;0.5;5;25},{"Bajo";"Medio";"Alto";"Crítico"}),"")</f>
        <v/>
      </c>
      <c r="AA920" s="64">
        <f>IF(T920&gt;=3,IF(X920&gt;=1,"Zona 1 — Crítica: impacto alto y ocurre al menos una vez al año","Zona 4 — Catastrófica poco probable: impacto alto pero excepcional"),IF(AND(T920&lt;1.5,X920&lt;1),"Zona 3 — Asumible: impacto bajo y muy poco frecuente","Zona 2 — Atención: riesgo intermedio"))</f>
        <v/>
      </c>
      <c r="AB920" s="64">
        <f>IFERROR(INDEX(MgAmenCtrl,MATCH(SUBSTITUTE($H920,"*","-"),MgAmenClave,0)),"")</f>
        <v/>
      </c>
      <c r="AC920" s="20" t="n"/>
      <c r="AD920" s="31">
        <f>IFERROR($X920*(1-IF($AC920="",$AL920,VLOOKUP($AC920,MgMad,2,0))),"")</f>
        <v/>
      </c>
      <c r="AE920" s="28">
        <f>IFERROR(LOOKUP(AD920,{0;0.01;0.1;1;10;100},{"Muy baja";"Muy baja";"Baja";"Media";"Alta";"Muy alta"}),"")</f>
        <v/>
      </c>
      <c r="AF920" s="30">
        <f>T920*AD920</f>
        <v/>
      </c>
      <c r="AG920" s="28">
        <f>IFERROR(LOOKUP(AF920,{0;0.5;5;25},{"Bajo";"Medio";"Alto";"Crítico"}),"")</f>
        <v/>
      </c>
      <c r="AH920" s="28">
        <f>IF(AG920="","",IF(OR(AG920="Crítico",AG920="Alto"),"Mitigar",IF(AG920="Medio","Mitigar","Aceptar y monitorear")))</f>
        <v/>
      </c>
      <c r="AI920" s="21" t="n"/>
      <c r="AJ920" s="21" t="n"/>
      <c r="AK920" s="20" t="n"/>
      <c r="AL920" s="77">
        <f>IFERROR(INDEX(MgAmenEfic,MATCH(SUBSTITUTE($H920,"*","-"),MgAmenClave,0)),0)</f>
        <v/>
      </c>
    </row>
    <row r="921" hidden="1" ht="60" customHeight="1" s="54">
      <c r="B921" s="59" t="inlineStr">
        <is>
          <t>R-0916</t>
        </is>
      </c>
      <c r="C921" s="59" t="inlineStr">
        <is>
          <t>COM-06</t>
        </is>
      </c>
      <c r="D921" s="64">
        <f>IFERROR(INDEX(MgNombre,MATCH($C921,MgActId,0)),"")</f>
        <v/>
      </c>
      <c r="E921" s="64">
        <f>IFERROR(INDEX(MgProceso,MATCH($C921,MgActId,0)),"")</f>
        <v/>
      </c>
      <c r="F921" s="64">
        <f>IFERROR(INDEX(MgTipo,MATCH($C921,MgActId,0)),"")</f>
        <v/>
      </c>
      <c r="G921" s="64">
        <f>IFERROR(INDEX(MgSubtipo,MATCH($C921,MgActId,0)),"")</f>
        <v/>
      </c>
      <c r="H921" s="59" t="inlineStr">
        <is>
          <t>A.4</t>
        </is>
      </c>
      <c r="I921" s="64">
        <f>IFERROR(INDEX(MgAmenNombre,MATCH(SUBSTITUTE($H921,"*","-"),MgAmenClave,0)),"")</f>
        <v/>
      </c>
      <c r="J921" s="28">
        <f>IFERROR(INDEX(MgAmenGrupo,MATCH(SUBSTITUTE($H921,"*","-"),MgAmenClave,0)),"")</f>
        <v/>
      </c>
      <c r="K921" s="64">
        <f>IFERROR(INDEX('1. Matriz de Activos'!$Q$6:$Q$239,MATCH($C921,MgActId,0)),"")</f>
        <v/>
      </c>
      <c r="L921" s="64">
        <f>IFERROR(INDEX('1. Matriz de Activos'!$R$6:$R$239,MATCH($C921,MgActId,0)),"")</f>
        <v/>
      </c>
      <c r="M921" s="64">
        <f>IFERROR(INDEX('1. Matriz de Activos'!$S$6:$S$239,MATCH($C921,MgActId,0)),"")</f>
        <v/>
      </c>
      <c r="N921" s="28">
        <f>IFERROR(INDEX(MgAmenDegD,MATCH(SUBSTITUTE($H921,"*","-"),MgAmenClave,0)),"No aplica")</f>
        <v/>
      </c>
      <c r="O921" s="28">
        <f>IFERROR(INDEX(MgAmenDegI,MATCH(SUBSTITUTE($H921,"*","-"),MgAmenClave,0)),"No aplica")</f>
        <v/>
      </c>
      <c r="P921" s="28">
        <f>IFERROR(INDEX(MgAmenDegC,MATCH(SUBSTITUTE($H921,"*","-"),MgAmenClave,0)),"No aplica")</f>
        <v/>
      </c>
      <c r="Q921" s="29">
        <f>IFERROR(VLOOKUP(K921,MgValor,2,0)*VLOOKUP(N921,MgDeg,2,0),0)</f>
        <v/>
      </c>
      <c r="R921" s="29">
        <f>IFERROR(VLOOKUP(L921,MgValor,2,0)*VLOOKUP(O921,MgDeg,2,0),0)</f>
        <v/>
      </c>
      <c r="S921" s="29">
        <f>IFERROR(VLOOKUP(M921,MgValor,2,0)*VLOOKUP(P921,MgDeg,2,0),0)</f>
        <v/>
      </c>
      <c r="T921" s="30">
        <f>MAX(Q921:S921)</f>
        <v/>
      </c>
      <c r="U921" s="28">
        <f>IFERROR(LOOKUP(T921,{0;0.5;1.5;3;4.5},{"Despreciable";"Bajo";"Medio";"Alto";"Muy alto"}),"")</f>
        <v/>
      </c>
      <c r="V921" s="13">
        <f>IFERROR(INDEX(MgAmenFrec,MATCH(SUBSTITUTE($H921,"*","-"),MgAmenClave,0)),"")</f>
        <v/>
      </c>
      <c r="W921" s="28">
        <f>IFERROR(LOOKUP(X921,{0;0.01;0.1;1;10;100},{"Muy baja";"Muy baja";"Baja";"Media";"Alta";"Muy alta"}),"")</f>
        <v/>
      </c>
      <c r="X921" s="31">
        <f>IFERROR(VLOOKUP(V921,MgFrec,2,0),0)</f>
        <v/>
      </c>
      <c r="Y921" s="30">
        <f>T921*X921</f>
        <v/>
      </c>
      <c r="Z921" s="28">
        <f>IFERROR(LOOKUP(Y921,{0;0.5;5;25},{"Bajo";"Medio";"Alto";"Crítico"}),"")</f>
        <v/>
      </c>
      <c r="AA921" s="64">
        <f>IF(T921&gt;=3,IF(X921&gt;=1,"Zona 1 — Crítica: impacto alto y ocurre al menos una vez al año","Zona 4 — Catastrófica poco probable: impacto alto pero excepcional"),IF(AND(T921&lt;1.5,X921&lt;1),"Zona 3 — Asumible: impacto bajo y muy poco frecuente","Zona 2 — Atención: riesgo intermedio"))</f>
        <v/>
      </c>
      <c r="AB921" s="64">
        <f>IFERROR(INDEX(MgAmenCtrl,MATCH(SUBSTITUTE($H921,"*","-"),MgAmenClave,0)),"")</f>
        <v/>
      </c>
      <c r="AC921" s="20" t="n"/>
      <c r="AD921" s="31">
        <f>IFERROR($X921*(1-IF($AC921="",$AL921,VLOOKUP($AC921,MgMad,2,0))),"")</f>
        <v/>
      </c>
      <c r="AE921" s="28">
        <f>IFERROR(LOOKUP(AD921,{0;0.01;0.1;1;10;100},{"Muy baja";"Muy baja";"Baja";"Media";"Alta";"Muy alta"}),"")</f>
        <v/>
      </c>
      <c r="AF921" s="30">
        <f>T921*AD921</f>
        <v/>
      </c>
      <c r="AG921" s="28">
        <f>IFERROR(LOOKUP(AF921,{0;0.5;5;25},{"Bajo";"Medio";"Alto";"Crítico"}),"")</f>
        <v/>
      </c>
      <c r="AH921" s="28">
        <f>IF(AG921="","",IF(OR(AG921="Crítico",AG921="Alto"),"Mitigar",IF(AG921="Medio","Mitigar","Aceptar y monitorear")))</f>
        <v/>
      </c>
      <c r="AI921" s="21" t="n"/>
      <c r="AJ921" s="21" t="n"/>
      <c r="AK921" s="20" t="n"/>
      <c r="AL921" s="77">
        <f>IFERROR(INDEX(MgAmenEfic,MATCH(SUBSTITUTE($H921,"*","-"),MgAmenClave,0)),0)</f>
        <v/>
      </c>
    </row>
    <row r="922" hidden="1" ht="75" customHeight="1" s="54">
      <c r="B922" s="59" t="inlineStr">
        <is>
          <t>R-0917</t>
        </is>
      </c>
      <c r="C922" s="59" t="inlineStr">
        <is>
          <t>COM-06</t>
        </is>
      </c>
      <c r="D922" s="64">
        <f>IFERROR(INDEX(MgNombre,MATCH($C922,MgActId,0)),"")</f>
        <v/>
      </c>
      <c r="E922" s="64">
        <f>IFERROR(INDEX(MgProceso,MATCH($C922,MgActId,0)),"")</f>
        <v/>
      </c>
      <c r="F922" s="64">
        <f>IFERROR(INDEX(MgTipo,MATCH($C922,MgActId,0)),"")</f>
        <v/>
      </c>
      <c r="G922" s="64">
        <f>IFERROR(INDEX(MgSubtipo,MATCH($C922,MgActId,0)),"")</f>
        <v/>
      </c>
      <c r="H922" s="59" t="inlineStr">
        <is>
          <t>A.5</t>
        </is>
      </c>
      <c r="I922" s="64">
        <f>IFERROR(INDEX(MgAmenNombre,MATCH(SUBSTITUTE($H922,"*","-"),MgAmenClave,0)),"")</f>
        <v/>
      </c>
      <c r="J922" s="28">
        <f>IFERROR(INDEX(MgAmenGrupo,MATCH(SUBSTITUTE($H922,"*","-"),MgAmenClave,0)),"")</f>
        <v/>
      </c>
      <c r="K922" s="64">
        <f>IFERROR(INDEX('1. Matriz de Activos'!$Q$6:$Q$239,MATCH($C922,MgActId,0)),"")</f>
        <v/>
      </c>
      <c r="L922" s="64">
        <f>IFERROR(INDEX('1. Matriz de Activos'!$R$6:$R$239,MATCH($C922,MgActId,0)),"")</f>
        <v/>
      </c>
      <c r="M922" s="64">
        <f>IFERROR(INDEX('1. Matriz de Activos'!$S$6:$S$239,MATCH($C922,MgActId,0)),"")</f>
        <v/>
      </c>
      <c r="N922" s="28">
        <f>IFERROR(INDEX(MgAmenDegD,MATCH(SUBSTITUTE($H922,"*","-"),MgAmenClave,0)),"No aplica")</f>
        <v/>
      </c>
      <c r="O922" s="28">
        <f>IFERROR(INDEX(MgAmenDegI,MATCH(SUBSTITUTE($H922,"*","-"),MgAmenClave,0)),"No aplica")</f>
        <v/>
      </c>
      <c r="P922" s="28">
        <f>IFERROR(INDEX(MgAmenDegC,MATCH(SUBSTITUTE($H922,"*","-"),MgAmenClave,0)),"No aplica")</f>
        <v/>
      </c>
      <c r="Q922" s="29">
        <f>IFERROR(VLOOKUP(K922,MgValor,2,0)*VLOOKUP(N922,MgDeg,2,0),0)</f>
        <v/>
      </c>
      <c r="R922" s="29">
        <f>IFERROR(VLOOKUP(L922,MgValor,2,0)*VLOOKUP(O922,MgDeg,2,0),0)</f>
        <v/>
      </c>
      <c r="S922" s="29">
        <f>IFERROR(VLOOKUP(M922,MgValor,2,0)*VLOOKUP(P922,MgDeg,2,0),0)</f>
        <v/>
      </c>
      <c r="T922" s="30">
        <f>MAX(Q922:S922)</f>
        <v/>
      </c>
      <c r="U922" s="28">
        <f>IFERROR(LOOKUP(T922,{0;0.5;1.5;3;4.5},{"Despreciable";"Bajo";"Medio";"Alto";"Muy alto"}),"")</f>
        <v/>
      </c>
      <c r="V922" s="13">
        <f>IFERROR(INDEX(MgAmenFrec,MATCH(SUBSTITUTE($H922,"*","-"),MgAmenClave,0)),"")</f>
        <v/>
      </c>
      <c r="W922" s="28">
        <f>IFERROR(LOOKUP(X922,{0;0.01;0.1;1;10;100},{"Muy baja";"Muy baja";"Baja";"Media";"Alta";"Muy alta"}),"")</f>
        <v/>
      </c>
      <c r="X922" s="31">
        <f>IFERROR(VLOOKUP(V922,MgFrec,2,0),0)</f>
        <v/>
      </c>
      <c r="Y922" s="30">
        <f>T922*X922</f>
        <v/>
      </c>
      <c r="Z922" s="28">
        <f>IFERROR(LOOKUP(Y922,{0;0.5;5;25},{"Bajo";"Medio";"Alto";"Crítico"}),"")</f>
        <v/>
      </c>
      <c r="AA922" s="64">
        <f>IF(T922&gt;=3,IF(X922&gt;=1,"Zona 1 — Crítica: impacto alto y ocurre al menos una vez al año","Zona 4 — Catastrófica poco probable: impacto alto pero excepcional"),IF(AND(T922&lt;1.5,X922&lt;1),"Zona 3 — Asumible: impacto bajo y muy poco frecuente","Zona 2 — Atención: riesgo intermedio"))</f>
        <v/>
      </c>
      <c r="AB922" s="64">
        <f>IFERROR(INDEX(MgAmenCtrl,MATCH(SUBSTITUTE($H922,"*","-"),MgAmenClave,0)),"")</f>
        <v/>
      </c>
      <c r="AC922" s="20" t="n"/>
      <c r="AD922" s="31">
        <f>IFERROR($X922*(1-IF($AC922="",$AL922,VLOOKUP($AC922,MgMad,2,0))),"")</f>
        <v/>
      </c>
      <c r="AE922" s="28">
        <f>IFERROR(LOOKUP(AD922,{0;0.01;0.1;1;10;100},{"Muy baja";"Muy baja";"Baja";"Media";"Alta";"Muy alta"}),"")</f>
        <v/>
      </c>
      <c r="AF922" s="30">
        <f>T922*AD922</f>
        <v/>
      </c>
      <c r="AG922" s="28">
        <f>IFERROR(LOOKUP(AF922,{0;0.5;5;25},{"Bajo";"Medio";"Alto";"Crítico"}),"")</f>
        <v/>
      </c>
      <c r="AH922" s="28">
        <f>IF(AG922="","",IF(OR(AG922="Crítico",AG922="Alto"),"Mitigar",IF(AG922="Medio","Mitigar","Aceptar y monitorear")))</f>
        <v/>
      </c>
      <c r="AI922" s="21" t="n"/>
      <c r="AJ922" s="21" t="n"/>
      <c r="AK922" s="20" t="n"/>
      <c r="AL922" s="77">
        <f>IFERROR(INDEX(MgAmenEfic,MATCH(SUBSTITUTE($H922,"*","-"),MgAmenClave,0)),0)</f>
        <v/>
      </c>
    </row>
    <row r="923" hidden="1" ht="105" customHeight="1" s="54">
      <c r="B923" s="59" t="inlineStr">
        <is>
          <t>R-0918</t>
        </is>
      </c>
      <c r="C923" s="59" t="inlineStr">
        <is>
          <t>COM-06</t>
        </is>
      </c>
      <c r="D923" s="64">
        <f>IFERROR(INDEX(MgNombre,MATCH($C923,MgActId,0)),"")</f>
        <v/>
      </c>
      <c r="E923" s="64">
        <f>IFERROR(INDEX(MgProceso,MATCH($C923,MgActId,0)),"")</f>
        <v/>
      </c>
      <c r="F923" s="64">
        <f>IFERROR(INDEX(MgTipo,MATCH($C923,MgActId,0)),"")</f>
        <v/>
      </c>
      <c r="G923" s="64">
        <f>IFERROR(INDEX(MgSubtipo,MATCH($C923,MgActId,0)),"")</f>
        <v/>
      </c>
      <c r="H923" s="59" t="inlineStr">
        <is>
          <t>A.6</t>
        </is>
      </c>
      <c r="I923" s="64">
        <f>IFERROR(INDEX(MgAmenNombre,MATCH(SUBSTITUTE($H923,"*","-"),MgAmenClave,0)),"")</f>
        <v/>
      </c>
      <c r="J923" s="28">
        <f>IFERROR(INDEX(MgAmenGrupo,MATCH(SUBSTITUTE($H923,"*","-"),MgAmenClave,0)),"")</f>
        <v/>
      </c>
      <c r="K923" s="64">
        <f>IFERROR(INDEX('1. Matriz de Activos'!$Q$6:$Q$239,MATCH($C923,MgActId,0)),"")</f>
        <v/>
      </c>
      <c r="L923" s="64">
        <f>IFERROR(INDEX('1. Matriz de Activos'!$R$6:$R$239,MATCH($C923,MgActId,0)),"")</f>
        <v/>
      </c>
      <c r="M923" s="64">
        <f>IFERROR(INDEX('1. Matriz de Activos'!$S$6:$S$239,MATCH($C923,MgActId,0)),"")</f>
        <v/>
      </c>
      <c r="N923" s="28">
        <f>IFERROR(INDEX(MgAmenDegD,MATCH(SUBSTITUTE($H923,"*","-"),MgAmenClave,0)),"No aplica")</f>
        <v/>
      </c>
      <c r="O923" s="28">
        <f>IFERROR(INDEX(MgAmenDegI,MATCH(SUBSTITUTE($H923,"*","-"),MgAmenClave,0)),"No aplica")</f>
        <v/>
      </c>
      <c r="P923" s="28">
        <f>IFERROR(INDEX(MgAmenDegC,MATCH(SUBSTITUTE($H923,"*","-"),MgAmenClave,0)),"No aplica")</f>
        <v/>
      </c>
      <c r="Q923" s="29">
        <f>IFERROR(VLOOKUP(K923,MgValor,2,0)*VLOOKUP(N923,MgDeg,2,0),0)</f>
        <v/>
      </c>
      <c r="R923" s="29">
        <f>IFERROR(VLOOKUP(L923,MgValor,2,0)*VLOOKUP(O923,MgDeg,2,0),0)</f>
        <v/>
      </c>
      <c r="S923" s="29">
        <f>IFERROR(VLOOKUP(M923,MgValor,2,0)*VLOOKUP(P923,MgDeg,2,0),0)</f>
        <v/>
      </c>
      <c r="T923" s="30">
        <f>MAX(Q923:S923)</f>
        <v/>
      </c>
      <c r="U923" s="28">
        <f>IFERROR(LOOKUP(T923,{0;0.5;1.5;3;4.5},{"Despreciable";"Bajo";"Medio";"Alto";"Muy alto"}),"")</f>
        <v/>
      </c>
      <c r="V923" s="13">
        <f>IFERROR(INDEX(MgAmenFrec,MATCH(SUBSTITUTE($H923,"*","-"),MgAmenClave,0)),"")</f>
        <v/>
      </c>
      <c r="W923" s="28">
        <f>IFERROR(LOOKUP(X923,{0;0.01;0.1;1;10;100},{"Muy baja";"Muy baja";"Baja";"Media";"Alta";"Muy alta"}),"")</f>
        <v/>
      </c>
      <c r="X923" s="31">
        <f>IFERROR(VLOOKUP(V923,MgFrec,2,0),0)</f>
        <v/>
      </c>
      <c r="Y923" s="30">
        <f>T923*X923</f>
        <v/>
      </c>
      <c r="Z923" s="28">
        <f>IFERROR(LOOKUP(Y923,{0;0.5;5;25},{"Bajo";"Medio";"Alto";"Crítico"}),"")</f>
        <v/>
      </c>
      <c r="AA923" s="64">
        <f>IF(T923&gt;=3,IF(X923&gt;=1,"Zona 1 — Crítica: impacto alto y ocurre al menos una vez al año","Zona 4 — Catastrófica poco probable: impacto alto pero excepcional"),IF(AND(T923&lt;1.5,X923&lt;1),"Zona 3 — Asumible: impacto bajo y muy poco frecuente","Zona 2 — Atención: riesgo intermedio"))</f>
        <v/>
      </c>
      <c r="AB923" s="64">
        <f>IFERROR(INDEX(MgAmenCtrl,MATCH(SUBSTITUTE($H923,"*","-"),MgAmenClave,0)),"")</f>
        <v/>
      </c>
      <c r="AC923" s="20" t="n"/>
      <c r="AD923" s="31">
        <f>IFERROR($X923*(1-IF($AC923="",$AL923,VLOOKUP($AC923,MgMad,2,0))),"")</f>
        <v/>
      </c>
      <c r="AE923" s="28">
        <f>IFERROR(LOOKUP(AD923,{0;0.01;0.1;1;10;100},{"Muy baja";"Muy baja";"Baja";"Media";"Alta";"Muy alta"}),"")</f>
        <v/>
      </c>
      <c r="AF923" s="30">
        <f>T923*AD923</f>
        <v/>
      </c>
      <c r="AG923" s="28">
        <f>IFERROR(LOOKUP(AF923,{0;0.5;5;25},{"Bajo";"Medio";"Alto";"Crítico"}),"")</f>
        <v/>
      </c>
      <c r="AH923" s="28">
        <f>IF(AG923="","",IF(OR(AG923="Crítico",AG923="Alto"),"Mitigar",IF(AG923="Medio","Mitigar","Aceptar y monitorear")))</f>
        <v/>
      </c>
      <c r="AI923" s="21" t="n"/>
      <c r="AJ923" s="21" t="n"/>
      <c r="AK923" s="20" t="n"/>
      <c r="AL923" s="77">
        <f>IFERROR(INDEX(MgAmenEfic,MATCH(SUBSTITUTE($H923,"*","-"),MgAmenClave,0)),0)</f>
        <v/>
      </c>
    </row>
    <row r="924" hidden="1" ht="120" customHeight="1" s="54">
      <c r="B924" s="59" t="inlineStr">
        <is>
          <t>R-0919</t>
        </is>
      </c>
      <c r="C924" s="59" t="inlineStr">
        <is>
          <t>COM-06</t>
        </is>
      </c>
      <c r="D924" s="64">
        <f>IFERROR(INDEX(MgNombre,MATCH($C924,MgActId,0)),"")</f>
        <v/>
      </c>
      <c r="E924" s="64">
        <f>IFERROR(INDEX(MgProceso,MATCH($C924,MgActId,0)),"")</f>
        <v/>
      </c>
      <c r="F924" s="64">
        <f>IFERROR(INDEX(MgTipo,MATCH($C924,MgActId,0)),"")</f>
        <v/>
      </c>
      <c r="G924" s="64">
        <f>IFERROR(INDEX(MgSubtipo,MATCH($C924,MgActId,0)),"")</f>
        <v/>
      </c>
      <c r="H924" s="59" t="inlineStr">
        <is>
          <t>A.11</t>
        </is>
      </c>
      <c r="I924" s="64">
        <f>IFERROR(INDEX(MgAmenNombre,MATCH(SUBSTITUTE($H924,"*","-"),MgAmenClave,0)),"")</f>
        <v/>
      </c>
      <c r="J924" s="28">
        <f>IFERROR(INDEX(MgAmenGrupo,MATCH(SUBSTITUTE($H924,"*","-"),MgAmenClave,0)),"")</f>
        <v/>
      </c>
      <c r="K924" s="64">
        <f>IFERROR(INDEX('1. Matriz de Activos'!$Q$6:$Q$239,MATCH($C924,MgActId,0)),"")</f>
        <v/>
      </c>
      <c r="L924" s="64">
        <f>IFERROR(INDEX('1. Matriz de Activos'!$R$6:$R$239,MATCH($C924,MgActId,0)),"")</f>
        <v/>
      </c>
      <c r="M924" s="64">
        <f>IFERROR(INDEX('1. Matriz de Activos'!$S$6:$S$239,MATCH($C924,MgActId,0)),"")</f>
        <v/>
      </c>
      <c r="N924" s="28">
        <f>IFERROR(INDEX(MgAmenDegD,MATCH(SUBSTITUTE($H924,"*","-"),MgAmenClave,0)),"No aplica")</f>
        <v/>
      </c>
      <c r="O924" s="28">
        <f>IFERROR(INDEX(MgAmenDegI,MATCH(SUBSTITUTE($H924,"*","-"),MgAmenClave,0)),"No aplica")</f>
        <v/>
      </c>
      <c r="P924" s="28">
        <f>IFERROR(INDEX(MgAmenDegC,MATCH(SUBSTITUTE($H924,"*","-"),MgAmenClave,0)),"No aplica")</f>
        <v/>
      </c>
      <c r="Q924" s="29">
        <f>IFERROR(VLOOKUP(K924,MgValor,2,0)*VLOOKUP(N924,MgDeg,2,0),0)</f>
        <v/>
      </c>
      <c r="R924" s="29">
        <f>IFERROR(VLOOKUP(L924,MgValor,2,0)*VLOOKUP(O924,MgDeg,2,0),0)</f>
        <v/>
      </c>
      <c r="S924" s="29">
        <f>IFERROR(VLOOKUP(M924,MgValor,2,0)*VLOOKUP(P924,MgDeg,2,0),0)</f>
        <v/>
      </c>
      <c r="T924" s="30">
        <f>MAX(Q924:S924)</f>
        <v/>
      </c>
      <c r="U924" s="28">
        <f>IFERROR(LOOKUP(T924,{0;0.5;1.5;3;4.5},{"Despreciable";"Bajo";"Medio";"Alto";"Muy alto"}),"")</f>
        <v/>
      </c>
      <c r="V924" s="13">
        <f>IFERROR(INDEX(MgAmenFrec,MATCH(SUBSTITUTE($H924,"*","-"),MgAmenClave,0)),"")</f>
        <v/>
      </c>
      <c r="W924" s="28">
        <f>IFERROR(LOOKUP(X924,{0;0.01;0.1;1;10;100},{"Muy baja";"Muy baja";"Baja";"Media";"Alta";"Muy alta"}),"")</f>
        <v/>
      </c>
      <c r="X924" s="31">
        <f>IFERROR(VLOOKUP(V924,MgFrec,2,0),0)</f>
        <v/>
      </c>
      <c r="Y924" s="30">
        <f>T924*X924</f>
        <v/>
      </c>
      <c r="Z924" s="28">
        <f>IFERROR(LOOKUP(Y924,{0;0.5;5;25},{"Bajo";"Medio";"Alto";"Crítico"}),"")</f>
        <v/>
      </c>
      <c r="AA924" s="64">
        <f>IF(T924&gt;=3,IF(X924&gt;=1,"Zona 1 — Crítica: impacto alto y ocurre al menos una vez al año","Zona 4 — Catastrófica poco probable: impacto alto pero excepcional"),IF(AND(T924&lt;1.5,X924&lt;1),"Zona 3 — Asumible: impacto bajo y muy poco frecuente","Zona 2 — Atención: riesgo intermedio"))</f>
        <v/>
      </c>
      <c r="AB924" s="64">
        <f>IFERROR(INDEX(MgAmenCtrl,MATCH(SUBSTITUTE($H924,"*","-"),MgAmenClave,0)),"")</f>
        <v/>
      </c>
      <c r="AC924" s="20" t="n"/>
      <c r="AD924" s="31">
        <f>IFERROR($X924*(1-IF($AC924="",$AL924,VLOOKUP($AC924,MgMad,2,0))),"")</f>
        <v/>
      </c>
      <c r="AE924" s="28">
        <f>IFERROR(LOOKUP(AD924,{0;0.01;0.1;1;10;100},{"Muy baja";"Muy baja";"Baja";"Media";"Alta";"Muy alta"}),"")</f>
        <v/>
      </c>
      <c r="AF924" s="30">
        <f>T924*AD924</f>
        <v/>
      </c>
      <c r="AG924" s="28">
        <f>IFERROR(LOOKUP(AF924,{0;0.5;5;25},{"Bajo";"Medio";"Alto";"Crítico"}),"")</f>
        <v/>
      </c>
      <c r="AH924" s="28">
        <f>IF(AG924="","",IF(OR(AG924="Crítico",AG924="Alto"),"Mitigar",IF(AG924="Medio","Mitigar","Aceptar y monitorear")))</f>
        <v/>
      </c>
      <c r="AI924" s="21" t="n"/>
      <c r="AJ924" s="21" t="n"/>
      <c r="AK924" s="20" t="n"/>
      <c r="AL924" s="77">
        <f>IFERROR(INDEX(MgAmenEfic,MATCH(SUBSTITUTE($H924,"*","-"),MgAmenClave,0)),0)</f>
        <v/>
      </c>
    </row>
    <row r="925" hidden="1" ht="90" customHeight="1" s="54">
      <c r="B925" s="59" t="inlineStr">
        <is>
          <t>R-0920</t>
        </is>
      </c>
      <c r="C925" s="59" t="inlineStr">
        <is>
          <t>COM-06</t>
        </is>
      </c>
      <c r="D925" s="64">
        <f>IFERROR(INDEX(MgNombre,MATCH($C925,MgActId,0)),"")</f>
        <v/>
      </c>
      <c r="E925" s="64">
        <f>IFERROR(INDEX(MgProceso,MATCH($C925,MgActId,0)),"")</f>
        <v/>
      </c>
      <c r="F925" s="64">
        <f>IFERROR(INDEX(MgTipo,MATCH($C925,MgActId,0)),"")</f>
        <v/>
      </c>
      <c r="G925" s="64">
        <f>IFERROR(INDEX(MgSubtipo,MATCH($C925,MgActId,0)),"")</f>
        <v/>
      </c>
      <c r="H925" s="59" t="inlineStr">
        <is>
          <t>A.13</t>
        </is>
      </c>
      <c r="I925" s="64">
        <f>IFERROR(INDEX(MgAmenNombre,MATCH(SUBSTITUTE($H925,"*","-"),MgAmenClave,0)),"")</f>
        <v/>
      </c>
      <c r="J925" s="28">
        <f>IFERROR(INDEX(MgAmenGrupo,MATCH(SUBSTITUTE($H925,"*","-"),MgAmenClave,0)),"")</f>
        <v/>
      </c>
      <c r="K925" s="64">
        <f>IFERROR(INDEX('1. Matriz de Activos'!$Q$6:$Q$239,MATCH($C925,MgActId,0)),"")</f>
        <v/>
      </c>
      <c r="L925" s="64">
        <f>IFERROR(INDEX('1. Matriz de Activos'!$R$6:$R$239,MATCH($C925,MgActId,0)),"")</f>
        <v/>
      </c>
      <c r="M925" s="64">
        <f>IFERROR(INDEX('1. Matriz de Activos'!$S$6:$S$239,MATCH($C925,MgActId,0)),"")</f>
        <v/>
      </c>
      <c r="N925" s="28">
        <f>IFERROR(INDEX(MgAmenDegD,MATCH(SUBSTITUTE($H925,"*","-"),MgAmenClave,0)),"No aplica")</f>
        <v/>
      </c>
      <c r="O925" s="28">
        <f>IFERROR(INDEX(MgAmenDegI,MATCH(SUBSTITUTE($H925,"*","-"),MgAmenClave,0)),"No aplica")</f>
        <v/>
      </c>
      <c r="P925" s="28">
        <f>IFERROR(INDEX(MgAmenDegC,MATCH(SUBSTITUTE($H925,"*","-"),MgAmenClave,0)),"No aplica")</f>
        <v/>
      </c>
      <c r="Q925" s="29">
        <f>IFERROR(VLOOKUP(K925,MgValor,2,0)*VLOOKUP(N925,MgDeg,2,0),0)</f>
        <v/>
      </c>
      <c r="R925" s="29">
        <f>IFERROR(VLOOKUP(L925,MgValor,2,0)*VLOOKUP(O925,MgDeg,2,0),0)</f>
        <v/>
      </c>
      <c r="S925" s="29">
        <f>IFERROR(VLOOKUP(M925,MgValor,2,0)*VLOOKUP(P925,MgDeg,2,0),0)</f>
        <v/>
      </c>
      <c r="T925" s="30">
        <f>MAX(Q925:S925)</f>
        <v/>
      </c>
      <c r="U925" s="28">
        <f>IFERROR(LOOKUP(T925,{0;0.5;1.5;3;4.5},{"Despreciable";"Bajo";"Medio";"Alto";"Muy alto"}),"")</f>
        <v/>
      </c>
      <c r="V925" s="13">
        <f>IFERROR(INDEX(MgAmenFrec,MATCH(SUBSTITUTE($H925,"*","-"),MgAmenClave,0)),"")</f>
        <v/>
      </c>
      <c r="W925" s="28">
        <f>IFERROR(LOOKUP(X925,{0;0.01;0.1;1;10;100},{"Muy baja";"Muy baja";"Baja";"Media";"Alta";"Muy alta"}),"")</f>
        <v/>
      </c>
      <c r="X925" s="31">
        <f>IFERROR(VLOOKUP(V925,MgFrec,2,0),0)</f>
        <v/>
      </c>
      <c r="Y925" s="30">
        <f>T925*X925</f>
        <v/>
      </c>
      <c r="Z925" s="28">
        <f>IFERROR(LOOKUP(Y925,{0;0.5;5;25},{"Bajo";"Medio";"Alto";"Crítico"}),"")</f>
        <v/>
      </c>
      <c r="AA925" s="64">
        <f>IF(T925&gt;=3,IF(X925&gt;=1,"Zona 1 — Crítica: impacto alto y ocurre al menos una vez al año","Zona 4 — Catastrófica poco probable: impacto alto pero excepcional"),IF(AND(T925&lt;1.5,X925&lt;1),"Zona 3 — Asumible: impacto bajo y muy poco frecuente","Zona 2 — Atención: riesgo intermedio"))</f>
        <v/>
      </c>
      <c r="AB925" s="64">
        <f>IFERROR(INDEX(MgAmenCtrl,MATCH(SUBSTITUTE($H925,"*","-"),MgAmenClave,0)),"")</f>
        <v/>
      </c>
      <c r="AC925" s="20" t="n"/>
      <c r="AD925" s="31">
        <f>IFERROR($X925*(1-IF($AC925="",$AL925,VLOOKUP($AC925,MgMad,2,0))),"")</f>
        <v/>
      </c>
      <c r="AE925" s="28">
        <f>IFERROR(LOOKUP(AD925,{0;0.01;0.1;1;10;100},{"Muy baja";"Muy baja";"Baja";"Media";"Alta";"Muy alta"}),"")</f>
        <v/>
      </c>
      <c r="AF925" s="30">
        <f>T925*AD925</f>
        <v/>
      </c>
      <c r="AG925" s="28">
        <f>IFERROR(LOOKUP(AF925,{0;0.5;5;25},{"Bajo";"Medio";"Alto";"Crítico"}),"")</f>
        <v/>
      </c>
      <c r="AH925" s="28">
        <f>IF(AG925="","",IF(OR(AG925="Crítico",AG925="Alto"),"Mitigar",IF(AG925="Medio","Mitigar","Aceptar y monitorear")))</f>
        <v/>
      </c>
      <c r="AI925" s="21" t="n"/>
      <c r="AJ925" s="21" t="n"/>
      <c r="AK925" s="20" t="n"/>
      <c r="AL925" s="77">
        <f>IFERROR(INDEX(MgAmenEfic,MATCH(SUBSTITUTE($H925,"*","-"),MgAmenClave,0)),0)</f>
        <v/>
      </c>
    </row>
    <row r="926" hidden="1" ht="60" customHeight="1" s="54">
      <c r="B926" s="59" t="inlineStr">
        <is>
          <t>R-0921</t>
        </is>
      </c>
      <c r="C926" s="59" t="inlineStr">
        <is>
          <t>COM-06</t>
        </is>
      </c>
      <c r="D926" s="64">
        <f>IFERROR(INDEX(MgNombre,MATCH($C926,MgActId,0)),"")</f>
        <v/>
      </c>
      <c r="E926" s="64">
        <f>IFERROR(INDEX(MgProceso,MATCH($C926,MgActId,0)),"")</f>
        <v/>
      </c>
      <c r="F926" s="64">
        <f>IFERROR(INDEX(MgTipo,MATCH($C926,MgActId,0)),"")</f>
        <v/>
      </c>
      <c r="G926" s="64">
        <f>IFERROR(INDEX(MgSubtipo,MATCH($C926,MgActId,0)),"")</f>
        <v/>
      </c>
      <c r="H926" s="59" t="inlineStr">
        <is>
          <t>A.15</t>
        </is>
      </c>
      <c r="I926" s="64">
        <f>IFERROR(INDEX(MgAmenNombre,MATCH(SUBSTITUTE($H926,"*","-"),MgAmenClave,0)),"")</f>
        <v/>
      </c>
      <c r="J926" s="28">
        <f>IFERROR(INDEX(MgAmenGrupo,MATCH(SUBSTITUTE($H926,"*","-"),MgAmenClave,0)),"")</f>
        <v/>
      </c>
      <c r="K926" s="64">
        <f>IFERROR(INDEX('1. Matriz de Activos'!$Q$6:$Q$239,MATCH($C926,MgActId,0)),"")</f>
        <v/>
      </c>
      <c r="L926" s="64">
        <f>IFERROR(INDEX('1. Matriz de Activos'!$R$6:$R$239,MATCH($C926,MgActId,0)),"")</f>
        <v/>
      </c>
      <c r="M926" s="64">
        <f>IFERROR(INDEX('1. Matriz de Activos'!$S$6:$S$239,MATCH($C926,MgActId,0)),"")</f>
        <v/>
      </c>
      <c r="N926" s="28">
        <f>IFERROR(INDEX(MgAmenDegD,MATCH(SUBSTITUTE($H926,"*","-"),MgAmenClave,0)),"No aplica")</f>
        <v/>
      </c>
      <c r="O926" s="28">
        <f>IFERROR(INDEX(MgAmenDegI,MATCH(SUBSTITUTE($H926,"*","-"),MgAmenClave,0)),"No aplica")</f>
        <v/>
      </c>
      <c r="P926" s="28">
        <f>IFERROR(INDEX(MgAmenDegC,MATCH(SUBSTITUTE($H926,"*","-"),MgAmenClave,0)),"No aplica")</f>
        <v/>
      </c>
      <c r="Q926" s="29">
        <f>IFERROR(VLOOKUP(K926,MgValor,2,0)*VLOOKUP(N926,MgDeg,2,0),0)</f>
        <v/>
      </c>
      <c r="R926" s="29">
        <f>IFERROR(VLOOKUP(L926,MgValor,2,0)*VLOOKUP(O926,MgDeg,2,0),0)</f>
        <v/>
      </c>
      <c r="S926" s="29">
        <f>IFERROR(VLOOKUP(M926,MgValor,2,0)*VLOOKUP(P926,MgDeg,2,0),0)</f>
        <v/>
      </c>
      <c r="T926" s="30">
        <f>MAX(Q926:S926)</f>
        <v/>
      </c>
      <c r="U926" s="28">
        <f>IFERROR(LOOKUP(T926,{0;0.5;1.5;3;4.5},{"Despreciable";"Bajo";"Medio";"Alto";"Muy alto"}),"")</f>
        <v/>
      </c>
      <c r="V926" s="13">
        <f>IFERROR(INDEX(MgAmenFrec,MATCH(SUBSTITUTE($H926,"*","-"),MgAmenClave,0)),"")</f>
        <v/>
      </c>
      <c r="W926" s="28">
        <f>IFERROR(LOOKUP(X926,{0;0.01;0.1;1;10;100},{"Muy baja";"Muy baja";"Baja";"Media";"Alta";"Muy alta"}),"")</f>
        <v/>
      </c>
      <c r="X926" s="31">
        <f>IFERROR(VLOOKUP(V926,MgFrec,2,0),0)</f>
        <v/>
      </c>
      <c r="Y926" s="30">
        <f>T926*X926</f>
        <v/>
      </c>
      <c r="Z926" s="28">
        <f>IFERROR(LOOKUP(Y926,{0;0.5;5;25},{"Bajo";"Medio";"Alto";"Crítico"}),"")</f>
        <v/>
      </c>
      <c r="AA926" s="64">
        <f>IF(T926&gt;=3,IF(X926&gt;=1,"Zona 1 — Crítica: impacto alto y ocurre al menos una vez al año","Zona 4 — Catastrófica poco probable: impacto alto pero excepcional"),IF(AND(T926&lt;1.5,X926&lt;1),"Zona 3 — Asumible: impacto bajo y muy poco frecuente","Zona 2 — Atención: riesgo intermedio"))</f>
        <v/>
      </c>
      <c r="AB926" s="64">
        <f>IFERROR(INDEX(MgAmenCtrl,MATCH(SUBSTITUTE($H926,"*","-"),MgAmenClave,0)),"")</f>
        <v/>
      </c>
      <c r="AC926" s="20" t="n"/>
      <c r="AD926" s="31">
        <f>IFERROR($X926*(1-IF($AC926="",$AL926,VLOOKUP($AC926,MgMad,2,0))),"")</f>
        <v/>
      </c>
      <c r="AE926" s="28">
        <f>IFERROR(LOOKUP(AD926,{0;0.01;0.1;1;10;100},{"Muy baja";"Muy baja";"Baja";"Media";"Alta";"Muy alta"}),"")</f>
        <v/>
      </c>
      <c r="AF926" s="30">
        <f>T926*AD926</f>
        <v/>
      </c>
      <c r="AG926" s="28">
        <f>IFERROR(LOOKUP(AF926,{0;0.5;5;25},{"Bajo";"Medio";"Alto";"Crítico"}),"")</f>
        <v/>
      </c>
      <c r="AH926" s="28">
        <f>IF(AG926="","",IF(OR(AG926="Crítico",AG926="Alto"),"Mitigar",IF(AG926="Medio","Mitigar","Aceptar y monitorear")))</f>
        <v/>
      </c>
      <c r="AI926" s="21" t="n"/>
      <c r="AJ926" s="21" t="n"/>
      <c r="AK926" s="20" t="n"/>
      <c r="AL926" s="77">
        <f>IFERROR(INDEX(MgAmenEfic,MATCH(SUBSTITUTE($H926,"*","-"),MgAmenClave,0)),0)</f>
        <v/>
      </c>
    </row>
    <row r="927" hidden="1" ht="60" customHeight="1" s="54">
      <c r="B927" s="59" t="inlineStr">
        <is>
          <t>R-0922</t>
        </is>
      </c>
      <c r="C927" s="59" t="inlineStr">
        <is>
          <t>COM-06</t>
        </is>
      </c>
      <c r="D927" s="64">
        <f>IFERROR(INDEX(MgNombre,MATCH($C927,MgActId,0)),"")</f>
        <v/>
      </c>
      <c r="E927" s="64">
        <f>IFERROR(INDEX(MgProceso,MATCH($C927,MgActId,0)),"")</f>
        <v/>
      </c>
      <c r="F927" s="64">
        <f>IFERROR(INDEX(MgTipo,MATCH($C927,MgActId,0)),"")</f>
        <v/>
      </c>
      <c r="G927" s="64">
        <f>IFERROR(INDEX(MgSubtipo,MATCH($C927,MgActId,0)),"")</f>
        <v/>
      </c>
      <c r="H927" s="59" t="inlineStr">
        <is>
          <t>A.18</t>
        </is>
      </c>
      <c r="I927" s="64">
        <f>IFERROR(INDEX(MgAmenNombre,MATCH(SUBSTITUTE($H927,"*","-"),MgAmenClave,0)),"")</f>
        <v/>
      </c>
      <c r="J927" s="28">
        <f>IFERROR(INDEX(MgAmenGrupo,MATCH(SUBSTITUTE($H927,"*","-"),MgAmenClave,0)),"")</f>
        <v/>
      </c>
      <c r="K927" s="64">
        <f>IFERROR(INDEX('1. Matriz de Activos'!$Q$6:$Q$239,MATCH($C927,MgActId,0)),"")</f>
        <v/>
      </c>
      <c r="L927" s="64">
        <f>IFERROR(INDEX('1. Matriz de Activos'!$R$6:$R$239,MATCH($C927,MgActId,0)),"")</f>
        <v/>
      </c>
      <c r="M927" s="64">
        <f>IFERROR(INDEX('1. Matriz de Activos'!$S$6:$S$239,MATCH($C927,MgActId,0)),"")</f>
        <v/>
      </c>
      <c r="N927" s="28">
        <f>IFERROR(INDEX(MgAmenDegD,MATCH(SUBSTITUTE($H927,"*","-"),MgAmenClave,0)),"No aplica")</f>
        <v/>
      </c>
      <c r="O927" s="28">
        <f>IFERROR(INDEX(MgAmenDegI,MATCH(SUBSTITUTE($H927,"*","-"),MgAmenClave,0)),"No aplica")</f>
        <v/>
      </c>
      <c r="P927" s="28">
        <f>IFERROR(INDEX(MgAmenDegC,MATCH(SUBSTITUTE($H927,"*","-"),MgAmenClave,0)),"No aplica")</f>
        <v/>
      </c>
      <c r="Q927" s="29">
        <f>IFERROR(VLOOKUP(K927,MgValor,2,0)*VLOOKUP(N927,MgDeg,2,0),0)</f>
        <v/>
      </c>
      <c r="R927" s="29">
        <f>IFERROR(VLOOKUP(L927,MgValor,2,0)*VLOOKUP(O927,MgDeg,2,0),0)</f>
        <v/>
      </c>
      <c r="S927" s="29">
        <f>IFERROR(VLOOKUP(M927,MgValor,2,0)*VLOOKUP(P927,MgDeg,2,0),0)</f>
        <v/>
      </c>
      <c r="T927" s="30">
        <f>MAX(Q927:S927)</f>
        <v/>
      </c>
      <c r="U927" s="28">
        <f>IFERROR(LOOKUP(T927,{0;0.5;1.5;3;4.5},{"Despreciable";"Bajo";"Medio";"Alto";"Muy alto"}),"")</f>
        <v/>
      </c>
      <c r="V927" s="13">
        <f>IFERROR(INDEX(MgAmenFrec,MATCH(SUBSTITUTE($H927,"*","-"),MgAmenClave,0)),"")</f>
        <v/>
      </c>
      <c r="W927" s="28">
        <f>IFERROR(LOOKUP(X927,{0;0.01;0.1;1;10;100},{"Muy baja";"Muy baja";"Baja";"Media";"Alta";"Muy alta"}),"")</f>
        <v/>
      </c>
      <c r="X927" s="31">
        <f>IFERROR(VLOOKUP(V927,MgFrec,2,0),0)</f>
        <v/>
      </c>
      <c r="Y927" s="30">
        <f>T927*X927</f>
        <v/>
      </c>
      <c r="Z927" s="28">
        <f>IFERROR(LOOKUP(Y927,{0;0.5;5;25},{"Bajo";"Medio";"Alto";"Crítico"}),"")</f>
        <v/>
      </c>
      <c r="AA927" s="64">
        <f>IF(T927&gt;=3,IF(X927&gt;=1,"Zona 1 — Crítica: impacto alto y ocurre al menos una vez al año","Zona 4 — Catastrófica poco probable: impacto alto pero excepcional"),IF(AND(T927&lt;1.5,X927&lt;1),"Zona 3 — Asumible: impacto bajo y muy poco frecuente","Zona 2 — Atención: riesgo intermedio"))</f>
        <v/>
      </c>
      <c r="AB927" s="64">
        <f>IFERROR(INDEX(MgAmenCtrl,MATCH(SUBSTITUTE($H927,"*","-"),MgAmenClave,0)),"")</f>
        <v/>
      </c>
      <c r="AC927" s="20" t="n"/>
      <c r="AD927" s="31">
        <f>IFERROR($X927*(1-IF($AC927="",$AL927,VLOOKUP($AC927,MgMad,2,0))),"")</f>
        <v/>
      </c>
      <c r="AE927" s="28">
        <f>IFERROR(LOOKUP(AD927,{0;0.01;0.1;1;10;100},{"Muy baja";"Muy baja";"Baja";"Media";"Alta";"Muy alta"}),"")</f>
        <v/>
      </c>
      <c r="AF927" s="30">
        <f>T927*AD927</f>
        <v/>
      </c>
      <c r="AG927" s="28">
        <f>IFERROR(LOOKUP(AF927,{0;0.5;5;25},{"Bajo";"Medio";"Alto";"Crítico"}),"")</f>
        <v/>
      </c>
      <c r="AH927" s="28">
        <f>IF(AG927="","",IF(OR(AG927="Crítico",AG927="Alto"),"Mitigar",IF(AG927="Medio","Mitigar","Aceptar y monitorear")))</f>
        <v/>
      </c>
      <c r="AI927" s="21" t="n"/>
      <c r="AJ927" s="21" t="n"/>
      <c r="AK927" s="20" t="n"/>
      <c r="AL927" s="77">
        <f>IFERROR(INDEX(MgAmenEfic,MATCH(SUBSTITUTE($H927,"*","-"),MgAmenClave,0)),0)</f>
        <v/>
      </c>
    </row>
    <row r="928" hidden="1" ht="120" customHeight="1" s="54">
      <c r="B928" s="59" t="inlineStr">
        <is>
          <t>R-0923</t>
        </is>
      </c>
      <c r="C928" s="59" t="inlineStr">
        <is>
          <t>COM-06</t>
        </is>
      </c>
      <c r="D928" s="64">
        <f>IFERROR(INDEX(MgNombre,MATCH($C928,MgActId,0)),"")</f>
        <v/>
      </c>
      <c r="E928" s="64">
        <f>IFERROR(INDEX(MgProceso,MATCH($C928,MgActId,0)),"")</f>
        <v/>
      </c>
      <c r="F928" s="64">
        <f>IFERROR(INDEX(MgTipo,MATCH($C928,MgActId,0)),"")</f>
        <v/>
      </c>
      <c r="G928" s="64">
        <f>IFERROR(INDEX(MgSubtipo,MATCH($C928,MgActId,0)),"")</f>
        <v/>
      </c>
      <c r="H928" s="59" t="inlineStr">
        <is>
          <t>A.19</t>
        </is>
      </c>
      <c r="I928" s="64">
        <f>IFERROR(INDEX(MgAmenNombre,MATCH(SUBSTITUTE($H928,"*","-"),MgAmenClave,0)),"")</f>
        <v/>
      </c>
      <c r="J928" s="28">
        <f>IFERROR(INDEX(MgAmenGrupo,MATCH(SUBSTITUTE($H928,"*","-"),MgAmenClave,0)),"")</f>
        <v/>
      </c>
      <c r="K928" s="64">
        <f>IFERROR(INDEX('1. Matriz de Activos'!$Q$6:$Q$239,MATCH($C928,MgActId,0)),"")</f>
        <v/>
      </c>
      <c r="L928" s="64">
        <f>IFERROR(INDEX('1. Matriz de Activos'!$R$6:$R$239,MATCH($C928,MgActId,0)),"")</f>
        <v/>
      </c>
      <c r="M928" s="64">
        <f>IFERROR(INDEX('1. Matriz de Activos'!$S$6:$S$239,MATCH($C928,MgActId,0)),"")</f>
        <v/>
      </c>
      <c r="N928" s="28">
        <f>IFERROR(INDEX(MgAmenDegD,MATCH(SUBSTITUTE($H928,"*","-"),MgAmenClave,0)),"No aplica")</f>
        <v/>
      </c>
      <c r="O928" s="28">
        <f>IFERROR(INDEX(MgAmenDegI,MATCH(SUBSTITUTE($H928,"*","-"),MgAmenClave,0)),"No aplica")</f>
        <v/>
      </c>
      <c r="P928" s="28">
        <f>IFERROR(INDEX(MgAmenDegC,MATCH(SUBSTITUTE($H928,"*","-"),MgAmenClave,0)),"No aplica")</f>
        <v/>
      </c>
      <c r="Q928" s="29">
        <f>IFERROR(VLOOKUP(K928,MgValor,2,0)*VLOOKUP(N928,MgDeg,2,0),0)</f>
        <v/>
      </c>
      <c r="R928" s="29">
        <f>IFERROR(VLOOKUP(L928,MgValor,2,0)*VLOOKUP(O928,MgDeg,2,0),0)</f>
        <v/>
      </c>
      <c r="S928" s="29">
        <f>IFERROR(VLOOKUP(M928,MgValor,2,0)*VLOOKUP(P928,MgDeg,2,0),0)</f>
        <v/>
      </c>
      <c r="T928" s="30">
        <f>MAX(Q928:S928)</f>
        <v/>
      </c>
      <c r="U928" s="28">
        <f>IFERROR(LOOKUP(T928,{0;0.5;1.5;3;4.5},{"Despreciable";"Bajo";"Medio";"Alto";"Muy alto"}),"")</f>
        <v/>
      </c>
      <c r="V928" s="13">
        <f>IFERROR(INDEX(MgAmenFrec,MATCH(SUBSTITUTE($H928,"*","-"),MgAmenClave,0)),"")</f>
        <v/>
      </c>
      <c r="W928" s="28">
        <f>IFERROR(LOOKUP(X928,{0;0.01;0.1;1;10;100},{"Muy baja";"Muy baja";"Baja";"Media";"Alta";"Muy alta"}),"")</f>
        <v/>
      </c>
      <c r="X928" s="31">
        <f>IFERROR(VLOOKUP(V928,MgFrec,2,0),0)</f>
        <v/>
      </c>
      <c r="Y928" s="30">
        <f>T928*X928</f>
        <v/>
      </c>
      <c r="Z928" s="28">
        <f>IFERROR(LOOKUP(Y928,{0;0.5;5;25},{"Bajo";"Medio";"Alto";"Crítico"}),"")</f>
        <v/>
      </c>
      <c r="AA928" s="64">
        <f>IF(T928&gt;=3,IF(X928&gt;=1,"Zona 1 — Crítica: impacto alto y ocurre al menos una vez al año","Zona 4 — Catastrófica poco probable: impacto alto pero excepcional"),IF(AND(T928&lt;1.5,X928&lt;1),"Zona 3 — Asumible: impacto bajo y muy poco frecuente","Zona 2 — Atención: riesgo intermedio"))</f>
        <v/>
      </c>
      <c r="AB928" s="64">
        <f>IFERROR(INDEX(MgAmenCtrl,MATCH(SUBSTITUTE($H928,"*","-"),MgAmenClave,0)),"")</f>
        <v/>
      </c>
      <c r="AC928" s="20" t="n"/>
      <c r="AD928" s="31">
        <f>IFERROR($X928*(1-IF($AC928="",$AL928,VLOOKUP($AC928,MgMad,2,0))),"")</f>
        <v/>
      </c>
      <c r="AE928" s="28">
        <f>IFERROR(LOOKUP(AD928,{0;0.01;0.1;1;10;100},{"Muy baja";"Muy baja";"Baja";"Media";"Alta";"Muy alta"}),"")</f>
        <v/>
      </c>
      <c r="AF928" s="30">
        <f>T928*AD928</f>
        <v/>
      </c>
      <c r="AG928" s="28">
        <f>IFERROR(LOOKUP(AF928,{0;0.5;5;25},{"Bajo";"Medio";"Alto";"Crítico"}),"")</f>
        <v/>
      </c>
      <c r="AH928" s="28">
        <f>IF(AG928="","",IF(OR(AG928="Crítico",AG928="Alto"),"Mitigar",IF(AG928="Medio","Mitigar","Aceptar y monitorear")))</f>
        <v/>
      </c>
      <c r="AI928" s="21" t="n"/>
      <c r="AJ928" s="21" t="n"/>
      <c r="AK928" s="20" t="n"/>
      <c r="AL928" s="77">
        <f>IFERROR(INDEX(MgAmenEfic,MATCH(SUBSTITUTE($H928,"*","-"),MgAmenClave,0)),0)</f>
        <v/>
      </c>
    </row>
    <row r="929" hidden="1" ht="105" customHeight="1" s="54">
      <c r="B929" s="59" t="inlineStr">
        <is>
          <t>R-0924</t>
        </is>
      </c>
      <c r="C929" s="59" t="inlineStr">
        <is>
          <t>FIN-04</t>
        </is>
      </c>
      <c r="D929" s="64">
        <f>IFERROR(INDEX(MgNombre,MATCH($C929,MgActId,0)),"")</f>
        <v/>
      </c>
      <c r="E929" s="64">
        <f>IFERROR(INDEX(MgProceso,MATCH($C929,MgActId,0)),"")</f>
        <v/>
      </c>
      <c r="F929" s="64">
        <f>IFERROR(INDEX(MgTipo,MATCH($C929,MgActId,0)),"")</f>
        <v/>
      </c>
      <c r="G929" s="64">
        <f>IFERROR(INDEX(MgSubtipo,MATCH($C929,MgActId,0)),"")</f>
        <v/>
      </c>
      <c r="H929" s="59" t="inlineStr">
        <is>
          <t>E.1</t>
        </is>
      </c>
      <c r="I929" s="64">
        <f>IFERROR(INDEX(MgAmenNombre,MATCH(SUBSTITUTE($H929,"*","-"),MgAmenClave,0)),"")</f>
        <v/>
      </c>
      <c r="J929" s="28">
        <f>IFERROR(INDEX(MgAmenGrupo,MATCH(SUBSTITUTE($H929,"*","-"),MgAmenClave,0)),"")</f>
        <v/>
      </c>
      <c r="K929" s="64">
        <f>IFERROR(INDEX('1. Matriz de Activos'!$Q$6:$Q$239,MATCH($C929,MgActId,0)),"")</f>
        <v/>
      </c>
      <c r="L929" s="64">
        <f>IFERROR(INDEX('1. Matriz de Activos'!$R$6:$R$239,MATCH($C929,MgActId,0)),"")</f>
        <v/>
      </c>
      <c r="M929" s="64">
        <f>IFERROR(INDEX('1. Matriz de Activos'!$S$6:$S$239,MATCH($C929,MgActId,0)),"")</f>
        <v/>
      </c>
      <c r="N929" s="28">
        <f>IFERROR(INDEX(MgAmenDegD,MATCH(SUBSTITUTE($H929,"*","-"),MgAmenClave,0)),"No aplica")</f>
        <v/>
      </c>
      <c r="O929" s="28">
        <f>IFERROR(INDEX(MgAmenDegI,MATCH(SUBSTITUTE($H929,"*","-"),MgAmenClave,0)),"No aplica")</f>
        <v/>
      </c>
      <c r="P929" s="28">
        <f>IFERROR(INDEX(MgAmenDegC,MATCH(SUBSTITUTE($H929,"*","-"),MgAmenClave,0)),"No aplica")</f>
        <v/>
      </c>
      <c r="Q929" s="29">
        <f>IFERROR(VLOOKUP(K929,MgValor,2,0)*VLOOKUP(N929,MgDeg,2,0),0)</f>
        <v/>
      </c>
      <c r="R929" s="29">
        <f>IFERROR(VLOOKUP(L929,MgValor,2,0)*VLOOKUP(O929,MgDeg,2,0),0)</f>
        <v/>
      </c>
      <c r="S929" s="29">
        <f>IFERROR(VLOOKUP(M929,MgValor,2,0)*VLOOKUP(P929,MgDeg,2,0),0)</f>
        <v/>
      </c>
      <c r="T929" s="30">
        <f>MAX(Q929:S929)</f>
        <v/>
      </c>
      <c r="U929" s="28">
        <f>IFERROR(LOOKUP(T929,{0;0.5;1.5;3;4.5},{"Despreciable";"Bajo";"Medio";"Alto";"Muy alto"}),"")</f>
        <v/>
      </c>
      <c r="V929" s="13">
        <f>IFERROR(INDEX(MgAmenFrec,MATCH(SUBSTITUTE($H929,"*","-"),MgAmenClave,0)),"")</f>
        <v/>
      </c>
      <c r="W929" s="28">
        <f>IFERROR(LOOKUP(X929,{0;0.01;0.1;1;10;100},{"Muy baja";"Muy baja";"Baja";"Media";"Alta";"Muy alta"}),"")</f>
        <v/>
      </c>
      <c r="X929" s="31">
        <f>IFERROR(VLOOKUP(V929,MgFrec,2,0),0)</f>
        <v/>
      </c>
      <c r="Y929" s="30">
        <f>T929*X929</f>
        <v/>
      </c>
      <c r="Z929" s="28">
        <f>IFERROR(LOOKUP(Y929,{0;0.5;5;25},{"Bajo";"Medio";"Alto";"Crítico"}),"")</f>
        <v/>
      </c>
      <c r="AA929" s="64">
        <f>IF(T929&gt;=3,IF(X929&gt;=1,"Zona 1 — Crítica: impacto alto y ocurre al menos una vez al año","Zona 4 — Catastrófica poco probable: impacto alto pero excepcional"),IF(AND(T929&lt;1.5,X929&lt;1),"Zona 3 — Asumible: impacto bajo y muy poco frecuente","Zona 2 — Atención: riesgo intermedio"))</f>
        <v/>
      </c>
      <c r="AB929" s="64">
        <f>IFERROR(INDEX(MgAmenCtrl,MATCH(SUBSTITUTE($H929,"*","-"),MgAmenClave,0)),"")</f>
        <v/>
      </c>
      <c r="AC929" s="20" t="n"/>
      <c r="AD929" s="31">
        <f>IFERROR($X929*(1-IF($AC929="",$AL929,VLOOKUP($AC929,MgMad,2,0))),"")</f>
        <v/>
      </c>
      <c r="AE929" s="28">
        <f>IFERROR(LOOKUP(AD929,{0;0.01;0.1;1;10;100},{"Muy baja";"Muy baja";"Baja";"Media";"Alta";"Muy alta"}),"")</f>
        <v/>
      </c>
      <c r="AF929" s="30">
        <f>T929*AD929</f>
        <v/>
      </c>
      <c r="AG929" s="28">
        <f>IFERROR(LOOKUP(AF929,{0;0.5;5;25},{"Bajo";"Medio";"Alto";"Crítico"}),"")</f>
        <v/>
      </c>
      <c r="AH929" s="28">
        <f>IF(AG929="","",IF(OR(AG929="Crítico",AG929="Alto"),"Mitigar",IF(AG929="Medio","Mitigar","Aceptar y monitorear")))</f>
        <v/>
      </c>
      <c r="AI929" s="21" t="n"/>
      <c r="AJ929" s="21" t="n"/>
      <c r="AK929" s="20" t="n"/>
      <c r="AL929" s="77">
        <f>IFERROR(INDEX(MgAmenEfic,MATCH(SUBSTITUTE($H929,"*","-"),MgAmenClave,0)),0)</f>
        <v/>
      </c>
    </row>
    <row r="930" hidden="1" ht="120" customHeight="1" s="54">
      <c r="B930" s="59" t="inlineStr">
        <is>
          <t>R-0925</t>
        </is>
      </c>
      <c r="C930" s="59" t="inlineStr">
        <is>
          <t>FIN-04</t>
        </is>
      </c>
      <c r="D930" s="64">
        <f>IFERROR(INDEX(MgNombre,MATCH($C930,MgActId,0)),"")</f>
        <v/>
      </c>
      <c r="E930" s="64">
        <f>IFERROR(INDEX(MgProceso,MATCH($C930,MgActId,0)),"")</f>
        <v/>
      </c>
      <c r="F930" s="64">
        <f>IFERROR(INDEX(MgTipo,MATCH($C930,MgActId,0)),"")</f>
        <v/>
      </c>
      <c r="G930" s="64">
        <f>IFERROR(INDEX(MgSubtipo,MATCH($C930,MgActId,0)),"")</f>
        <v/>
      </c>
      <c r="H930" s="59" t="inlineStr">
        <is>
          <t>E.2</t>
        </is>
      </c>
      <c r="I930" s="64">
        <f>IFERROR(INDEX(MgAmenNombre,MATCH(SUBSTITUTE($H930,"*","-"),MgAmenClave,0)),"")</f>
        <v/>
      </c>
      <c r="J930" s="28">
        <f>IFERROR(INDEX(MgAmenGrupo,MATCH(SUBSTITUTE($H930,"*","-"),MgAmenClave,0)),"")</f>
        <v/>
      </c>
      <c r="K930" s="64">
        <f>IFERROR(INDEX('1. Matriz de Activos'!$Q$6:$Q$239,MATCH($C930,MgActId,0)),"")</f>
        <v/>
      </c>
      <c r="L930" s="64">
        <f>IFERROR(INDEX('1. Matriz de Activos'!$R$6:$R$239,MATCH($C930,MgActId,0)),"")</f>
        <v/>
      </c>
      <c r="M930" s="64">
        <f>IFERROR(INDEX('1. Matriz de Activos'!$S$6:$S$239,MATCH($C930,MgActId,0)),"")</f>
        <v/>
      </c>
      <c r="N930" s="28">
        <f>IFERROR(INDEX(MgAmenDegD,MATCH(SUBSTITUTE($H930,"*","-"),MgAmenClave,0)),"No aplica")</f>
        <v/>
      </c>
      <c r="O930" s="28">
        <f>IFERROR(INDEX(MgAmenDegI,MATCH(SUBSTITUTE($H930,"*","-"),MgAmenClave,0)),"No aplica")</f>
        <v/>
      </c>
      <c r="P930" s="28">
        <f>IFERROR(INDEX(MgAmenDegC,MATCH(SUBSTITUTE($H930,"*","-"),MgAmenClave,0)),"No aplica")</f>
        <v/>
      </c>
      <c r="Q930" s="29">
        <f>IFERROR(VLOOKUP(K930,MgValor,2,0)*VLOOKUP(N930,MgDeg,2,0),0)</f>
        <v/>
      </c>
      <c r="R930" s="29">
        <f>IFERROR(VLOOKUP(L930,MgValor,2,0)*VLOOKUP(O930,MgDeg,2,0),0)</f>
        <v/>
      </c>
      <c r="S930" s="29">
        <f>IFERROR(VLOOKUP(M930,MgValor,2,0)*VLOOKUP(P930,MgDeg,2,0),0)</f>
        <v/>
      </c>
      <c r="T930" s="30">
        <f>MAX(Q930:S930)</f>
        <v/>
      </c>
      <c r="U930" s="28">
        <f>IFERROR(LOOKUP(T930,{0;0.5;1.5;3;4.5},{"Despreciable";"Bajo";"Medio";"Alto";"Muy alto"}),"")</f>
        <v/>
      </c>
      <c r="V930" s="13">
        <f>IFERROR(INDEX(MgAmenFrec,MATCH(SUBSTITUTE($H930,"*","-"),MgAmenClave,0)),"")</f>
        <v/>
      </c>
      <c r="W930" s="28">
        <f>IFERROR(LOOKUP(X930,{0;0.01;0.1;1;10;100},{"Muy baja";"Muy baja";"Baja";"Media";"Alta";"Muy alta"}),"")</f>
        <v/>
      </c>
      <c r="X930" s="31">
        <f>IFERROR(VLOOKUP(V930,MgFrec,2,0),0)</f>
        <v/>
      </c>
      <c r="Y930" s="30">
        <f>T930*X930</f>
        <v/>
      </c>
      <c r="Z930" s="28">
        <f>IFERROR(LOOKUP(Y930,{0;0.5;5;25},{"Bajo";"Medio";"Alto";"Crítico"}),"")</f>
        <v/>
      </c>
      <c r="AA930" s="64">
        <f>IF(T930&gt;=3,IF(X930&gt;=1,"Zona 1 — Crítica: impacto alto y ocurre al menos una vez al año","Zona 4 — Catastrófica poco probable: impacto alto pero excepcional"),IF(AND(T930&lt;1.5,X930&lt;1),"Zona 3 — Asumible: impacto bajo y muy poco frecuente","Zona 2 — Atención: riesgo intermedio"))</f>
        <v/>
      </c>
      <c r="AB930" s="64">
        <f>IFERROR(INDEX(MgAmenCtrl,MATCH(SUBSTITUTE($H930,"*","-"),MgAmenClave,0)),"")</f>
        <v/>
      </c>
      <c r="AC930" s="20" t="n"/>
      <c r="AD930" s="31">
        <f>IFERROR($X930*(1-IF($AC930="",$AL930,VLOOKUP($AC930,MgMad,2,0))),"")</f>
        <v/>
      </c>
      <c r="AE930" s="28">
        <f>IFERROR(LOOKUP(AD930,{0;0.01;0.1;1;10;100},{"Muy baja";"Muy baja";"Baja";"Media";"Alta";"Muy alta"}),"")</f>
        <v/>
      </c>
      <c r="AF930" s="30">
        <f>T930*AD930</f>
        <v/>
      </c>
      <c r="AG930" s="28">
        <f>IFERROR(LOOKUP(AF930,{0;0.5;5;25},{"Bajo";"Medio";"Alto";"Crítico"}),"")</f>
        <v/>
      </c>
      <c r="AH930" s="28">
        <f>IF(AG930="","",IF(OR(AG930="Crítico",AG930="Alto"),"Mitigar",IF(AG930="Medio","Mitigar","Aceptar y monitorear")))</f>
        <v/>
      </c>
      <c r="AI930" s="21" t="n"/>
      <c r="AJ930" s="21" t="n"/>
      <c r="AK930" s="20" t="n"/>
      <c r="AL930" s="77">
        <f>IFERROR(INDEX(MgAmenEfic,MATCH(SUBSTITUTE($H930,"*","-"),MgAmenClave,0)),0)</f>
        <v/>
      </c>
    </row>
    <row r="931" hidden="1" ht="75" customHeight="1" s="54">
      <c r="B931" s="59" t="inlineStr">
        <is>
          <t>R-0926</t>
        </is>
      </c>
      <c r="C931" s="59" t="inlineStr">
        <is>
          <t>FIN-04</t>
        </is>
      </c>
      <c r="D931" s="64">
        <f>IFERROR(INDEX(MgNombre,MATCH($C931,MgActId,0)),"")</f>
        <v/>
      </c>
      <c r="E931" s="64">
        <f>IFERROR(INDEX(MgProceso,MATCH($C931,MgActId,0)),"")</f>
        <v/>
      </c>
      <c r="F931" s="64">
        <f>IFERROR(INDEX(MgTipo,MATCH($C931,MgActId,0)),"")</f>
        <v/>
      </c>
      <c r="G931" s="64">
        <f>IFERROR(INDEX(MgSubtipo,MATCH($C931,MgActId,0)),"")</f>
        <v/>
      </c>
      <c r="H931" s="59" t="inlineStr">
        <is>
          <t>E.3</t>
        </is>
      </c>
      <c r="I931" s="64">
        <f>IFERROR(INDEX(MgAmenNombre,MATCH(SUBSTITUTE($H931,"*","-"),MgAmenClave,0)),"")</f>
        <v/>
      </c>
      <c r="J931" s="28">
        <f>IFERROR(INDEX(MgAmenGrupo,MATCH(SUBSTITUTE($H931,"*","-"),MgAmenClave,0)),"")</f>
        <v/>
      </c>
      <c r="K931" s="64">
        <f>IFERROR(INDEX('1. Matriz de Activos'!$Q$6:$Q$239,MATCH($C931,MgActId,0)),"")</f>
        <v/>
      </c>
      <c r="L931" s="64">
        <f>IFERROR(INDEX('1. Matriz de Activos'!$R$6:$R$239,MATCH($C931,MgActId,0)),"")</f>
        <v/>
      </c>
      <c r="M931" s="64">
        <f>IFERROR(INDEX('1. Matriz de Activos'!$S$6:$S$239,MATCH($C931,MgActId,0)),"")</f>
        <v/>
      </c>
      <c r="N931" s="28">
        <f>IFERROR(INDEX(MgAmenDegD,MATCH(SUBSTITUTE($H931,"*","-"),MgAmenClave,0)),"No aplica")</f>
        <v/>
      </c>
      <c r="O931" s="28">
        <f>IFERROR(INDEX(MgAmenDegI,MATCH(SUBSTITUTE($H931,"*","-"),MgAmenClave,0)),"No aplica")</f>
        <v/>
      </c>
      <c r="P931" s="28">
        <f>IFERROR(INDEX(MgAmenDegC,MATCH(SUBSTITUTE($H931,"*","-"),MgAmenClave,0)),"No aplica")</f>
        <v/>
      </c>
      <c r="Q931" s="29">
        <f>IFERROR(VLOOKUP(K931,MgValor,2,0)*VLOOKUP(N931,MgDeg,2,0),0)</f>
        <v/>
      </c>
      <c r="R931" s="29">
        <f>IFERROR(VLOOKUP(L931,MgValor,2,0)*VLOOKUP(O931,MgDeg,2,0),0)</f>
        <v/>
      </c>
      <c r="S931" s="29">
        <f>IFERROR(VLOOKUP(M931,MgValor,2,0)*VLOOKUP(P931,MgDeg,2,0),0)</f>
        <v/>
      </c>
      <c r="T931" s="30">
        <f>MAX(Q931:S931)</f>
        <v/>
      </c>
      <c r="U931" s="28">
        <f>IFERROR(LOOKUP(T931,{0;0.5;1.5;3;4.5},{"Despreciable";"Bajo";"Medio";"Alto";"Muy alto"}),"")</f>
        <v/>
      </c>
      <c r="V931" s="13">
        <f>IFERROR(INDEX(MgAmenFrec,MATCH(SUBSTITUTE($H931,"*","-"),MgAmenClave,0)),"")</f>
        <v/>
      </c>
      <c r="W931" s="28">
        <f>IFERROR(LOOKUP(X931,{0;0.01;0.1;1;10;100},{"Muy baja";"Muy baja";"Baja";"Media";"Alta";"Muy alta"}),"")</f>
        <v/>
      </c>
      <c r="X931" s="31">
        <f>IFERROR(VLOOKUP(V931,MgFrec,2,0),0)</f>
        <v/>
      </c>
      <c r="Y931" s="30">
        <f>T931*X931</f>
        <v/>
      </c>
      <c r="Z931" s="28">
        <f>IFERROR(LOOKUP(Y931,{0;0.5;5;25},{"Bajo";"Medio";"Alto";"Crítico"}),"")</f>
        <v/>
      </c>
      <c r="AA931" s="64">
        <f>IF(T931&gt;=3,IF(X931&gt;=1,"Zona 1 — Crítica: impacto alto y ocurre al menos una vez al año","Zona 4 — Catastrófica poco probable: impacto alto pero excepcional"),IF(AND(T931&lt;1.5,X931&lt;1),"Zona 3 — Asumible: impacto bajo y muy poco frecuente","Zona 2 — Atención: riesgo intermedio"))</f>
        <v/>
      </c>
      <c r="AB931" s="64">
        <f>IFERROR(INDEX(MgAmenCtrl,MATCH(SUBSTITUTE($H931,"*","-"),MgAmenClave,0)),"")</f>
        <v/>
      </c>
      <c r="AC931" s="20" t="n"/>
      <c r="AD931" s="31">
        <f>IFERROR($X931*(1-IF($AC931="",$AL931,VLOOKUP($AC931,MgMad,2,0))),"")</f>
        <v/>
      </c>
      <c r="AE931" s="28">
        <f>IFERROR(LOOKUP(AD931,{0;0.01;0.1;1;10;100},{"Muy baja";"Muy baja";"Baja";"Media";"Alta";"Muy alta"}),"")</f>
        <v/>
      </c>
      <c r="AF931" s="30">
        <f>T931*AD931</f>
        <v/>
      </c>
      <c r="AG931" s="28">
        <f>IFERROR(LOOKUP(AF931,{0;0.5;5;25},{"Bajo";"Medio";"Alto";"Crítico"}),"")</f>
        <v/>
      </c>
      <c r="AH931" s="28">
        <f>IF(AG931="","",IF(OR(AG931="Crítico",AG931="Alto"),"Mitigar",IF(AG931="Medio","Mitigar","Aceptar y monitorear")))</f>
        <v/>
      </c>
      <c r="AI931" s="21" t="n"/>
      <c r="AJ931" s="21" t="n"/>
      <c r="AK931" s="20" t="n"/>
      <c r="AL931" s="77">
        <f>IFERROR(INDEX(MgAmenEfic,MATCH(SUBSTITUTE($H931,"*","-"),MgAmenClave,0)),0)</f>
        <v/>
      </c>
    </row>
    <row r="932" hidden="1" ht="75" customHeight="1" s="54">
      <c r="B932" s="59" t="inlineStr">
        <is>
          <t>R-0927</t>
        </is>
      </c>
      <c r="C932" s="59" t="inlineStr">
        <is>
          <t>FIN-04</t>
        </is>
      </c>
      <c r="D932" s="64">
        <f>IFERROR(INDEX(MgNombre,MATCH($C932,MgActId,0)),"")</f>
        <v/>
      </c>
      <c r="E932" s="64">
        <f>IFERROR(INDEX(MgProceso,MATCH($C932,MgActId,0)),"")</f>
        <v/>
      </c>
      <c r="F932" s="64">
        <f>IFERROR(INDEX(MgTipo,MATCH($C932,MgActId,0)),"")</f>
        <v/>
      </c>
      <c r="G932" s="64">
        <f>IFERROR(INDEX(MgSubtipo,MATCH($C932,MgActId,0)),"")</f>
        <v/>
      </c>
      <c r="H932" s="59" t="inlineStr">
        <is>
          <t>E.4</t>
        </is>
      </c>
      <c r="I932" s="64">
        <f>IFERROR(INDEX(MgAmenNombre,MATCH(SUBSTITUTE($H932,"*","-"),MgAmenClave,0)),"")</f>
        <v/>
      </c>
      <c r="J932" s="28">
        <f>IFERROR(INDEX(MgAmenGrupo,MATCH(SUBSTITUTE($H932,"*","-"),MgAmenClave,0)),"")</f>
        <v/>
      </c>
      <c r="K932" s="64">
        <f>IFERROR(INDEX('1. Matriz de Activos'!$Q$6:$Q$239,MATCH($C932,MgActId,0)),"")</f>
        <v/>
      </c>
      <c r="L932" s="64">
        <f>IFERROR(INDEX('1. Matriz de Activos'!$R$6:$R$239,MATCH($C932,MgActId,0)),"")</f>
        <v/>
      </c>
      <c r="M932" s="64">
        <f>IFERROR(INDEX('1. Matriz de Activos'!$S$6:$S$239,MATCH($C932,MgActId,0)),"")</f>
        <v/>
      </c>
      <c r="N932" s="28">
        <f>IFERROR(INDEX(MgAmenDegD,MATCH(SUBSTITUTE($H932,"*","-"),MgAmenClave,0)),"No aplica")</f>
        <v/>
      </c>
      <c r="O932" s="28">
        <f>IFERROR(INDEX(MgAmenDegI,MATCH(SUBSTITUTE($H932,"*","-"),MgAmenClave,0)),"No aplica")</f>
        <v/>
      </c>
      <c r="P932" s="28">
        <f>IFERROR(INDEX(MgAmenDegC,MATCH(SUBSTITUTE($H932,"*","-"),MgAmenClave,0)),"No aplica")</f>
        <v/>
      </c>
      <c r="Q932" s="29">
        <f>IFERROR(VLOOKUP(K932,MgValor,2,0)*VLOOKUP(N932,MgDeg,2,0),0)</f>
        <v/>
      </c>
      <c r="R932" s="29">
        <f>IFERROR(VLOOKUP(L932,MgValor,2,0)*VLOOKUP(O932,MgDeg,2,0),0)</f>
        <v/>
      </c>
      <c r="S932" s="29">
        <f>IFERROR(VLOOKUP(M932,MgValor,2,0)*VLOOKUP(P932,MgDeg,2,0),0)</f>
        <v/>
      </c>
      <c r="T932" s="30">
        <f>MAX(Q932:S932)</f>
        <v/>
      </c>
      <c r="U932" s="28">
        <f>IFERROR(LOOKUP(T932,{0;0.5;1.5;3;4.5},{"Despreciable";"Bajo";"Medio";"Alto";"Muy alto"}),"")</f>
        <v/>
      </c>
      <c r="V932" s="13">
        <f>IFERROR(INDEX(MgAmenFrec,MATCH(SUBSTITUTE($H932,"*","-"),MgAmenClave,0)),"")</f>
        <v/>
      </c>
      <c r="W932" s="28">
        <f>IFERROR(LOOKUP(X932,{0;0.01;0.1;1;10;100},{"Muy baja";"Muy baja";"Baja";"Media";"Alta";"Muy alta"}),"")</f>
        <v/>
      </c>
      <c r="X932" s="31">
        <f>IFERROR(VLOOKUP(V932,MgFrec,2,0),0)</f>
        <v/>
      </c>
      <c r="Y932" s="30">
        <f>T932*X932</f>
        <v/>
      </c>
      <c r="Z932" s="28">
        <f>IFERROR(LOOKUP(Y932,{0;0.5;5;25},{"Bajo";"Medio";"Alto";"Crítico"}),"")</f>
        <v/>
      </c>
      <c r="AA932" s="64">
        <f>IF(T932&gt;=3,IF(X932&gt;=1,"Zona 1 — Crítica: impacto alto y ocurre al menos una vez al año","Zona 4 — Catastrófica poco probable: impacto alto pero excepcional"),IF(AND(T932&lt;1.5,X932&lt;1),"Zona 3 — Asumible: impacto bajo y muy poco frecuente","Zona 2 — Atención: riesgo intermedio"))</f>
        <v/>
      </c>
      <c r="AB932" s="64">
        <f>IFERROR(INDEX(MgAmenCtrl,MATCH(SUBSTITUTE($H932,"*","-"),MgAmenClave,0)),"")</f>
        <v/>
      </c>
      <c r="AC932" s="20" t="n"/>
      <c r="AD932" s="31">
        <f>IFERROR($X932*(1-IF($AC932="",$AL932,VLOOKUP($AC932,MgMad,2,0))),"")</f>
        <v/>
      </c>
      <c r="AE932" s="28">
        <f>IFERROR(LOOKUP(AD932,{0;0.01;0.1;1;10;100},{"Muy baja";"Muy baja";"Baja";"Media";"Alta";"Muy alta"}),"")</f>
        <v/>
      </c>
      <c r="AF932" s="30">
        <f>T932*AD932</f>
        <v/>
      </c>
      <c r="AG932" s="28">
        <f>IFERROR(LOOKUP(AF932,{0;0.5;5;25},{"Bajo";"Medio";"Alto";"Crítico"}),"")</f>
        <v/>
      </c>
      <c r="AH932" s="28">
        <f>IF(AG932="","",IF(OR(AG932="Crítico",AG932="Alto"),"Mitigar",IF(AG932="Medio","Mitigar","Aceptar y monitorear")))</f>
        <v/>
      </c>
      <c r="AI932" s="21" t="n"/>
      <c r="AJ932" s="21" t="n"/>
      <c r="AK932" s="20" t="n"/>
      <c r="AL932" s="77">
        <f>IFERROR(INDEX(MgAmenEfic,MATCH(SUBSTITUTE($H932,"*","-"),MgAmenClave,0)),0)</f>
        <v/>
      </c>
    </row>
    <row r="933" hidden="1" ht="90" customHeight="1" s="54">
      <c r="B933" s="59" t="inlineStr">
        <is>
          <t>R-0928</t>
        </is>
      </c>
      <c r="C933" s="59" t="inlineStr">
        <is>
          <t>FIN-04</t>
        </is>
      </c>
      <c r="D933" s="64">
        <f>IFERROR(INDEX(MgNombre,MATCH($C933,MgActId,0)),"")</f>
        <v/>
      </c>
      <c r="E933" s="64">
        <f>IFERROR(INDEX(MgProceso,MATCH($C933,MgActId,0)),"")</f>
        <v/>
      </c>
      <c r="F933" s="64">
        <f>IFERROR(INDEX(MgTipo,MATCH($C933,MgActId,0)),"")</f>
        <v/>
      </c>
      <c r="G933" s="64">
        <f>IFERROR(INDEX(MgSubtipo,MATCH($C933,MgActId,0)),"")</f>
        <v/>
      </c>
      <c r="H933" s="59" t="inlineStr">
        <is>
          <t>E.14</t>
        </is>
      </c>
      <c r="I933" s="64">
        <f>IFERROR(INDEX(MgAmenNombre,MATCH(SUBSTITUTE($H933,"*","-"),MgAmenClave,0)),"")</f>
        <v/>
      </c>
      <c r="J933" s="28">
        <f>IFERROR(INDEX(MgAmenGrupo,MATCH(SUBSTITUTE($H933,"*","-"),MgAmenClave,0)),"")</f>
        <v/>
      </c>
      <c r="K933" s="64">
        <f>IFERROR(INDEX('1. Matriz de Activos'!$Q$6:$Q$239,MATCH($C933,MgActId,0)),"")</f>
        <v/>
      </c>
      <c r="L933" s="64">
        <f>IFERROR(INDEX('1. Matriz de Activos'!$R$6:$R$239,MATCH($C933,MgActId,0)),"")</f>
        <v/>
      </c>
      <c r="M933" s="64">
        <f>IFERROR(INDEX('1. Matriz de Activos'!$S$6:$S$239,MATCH($C933,MgActId,0)),"")</f>
        <v/>
      </c>
      <c r="N933" s="28">
        <f>IFERROR(INDEX(MgAmenDegD,MATCH(SUBSTITUTE($H933,"*","-"),MgAmenClave,0)),"No aplica")</f>
        <v/>
      </c>
      <c r="O933" s="28">
        <f>IFERROR(INDEX(MgAmenDegI,MATCH(SUBSTITUTE($H933,"*","-"),MgAmenClave,0)),"No aplica")</f>
        <v/>
      </c>
      <c r="P933" s="28">
        <f>IFERROR(INDEX(MgAmenDegC,MATCH(SUBSTITUTE($H933,"*","-"),MgAmenClave,0)),"No aplica")</f>
        <v/>
      </c>
      <c r="Q933" s="29">
        <f>IFERROR(VLOOKUP(K933,MgValor,2,0)*VLOOKUP(N933,MgDeg,2,0),0)</f>
        <v/>
      </c>
      <c r="R933" s="29">
        <f>IFERROR(VLOOKUP(L933,MgValor,2,0)*VLOOKUP(O933,MgDeg,2,0),0)</f>
        <v/>
      </c>
      <c r="S933" s="29">
        <f>IFERROR(VLOOKUP(M933,MgValor,2,0)*VLOOKUP(P933,MgDeg,2,0),0)</f>
        <v/>
      </c>
      <c r="T933" s="30">
        <f>MAX(Q933:S933)</f>
        <v/>
      </c>
      <c r="U933" s="28">
        <f>IFERROR(LOOKUP(T933,{0;0.5;1.5;3;4.5},{"Despreciable";"Bajo";"Medio";"Alto";"Muy alto"}),"")</f>
        <v/>
      </c>
      <c r="V933" s="13">
        <f>IFERROR(INDEX(MgAmenFrec,MATCH(SUBSTITUTE($H933,"*","-"),MgAmenClave,0)),"")</f>
        <v/>
      </c>
      <c r="W933" s="28">
        <f>IFERROR(LOOKUP(X933,{0;0.01;0.1;1;10;100},{"Muy baja";"Muy baja";"Baja";"Media";"Alta";"Muy alta"}),"")</f>
        <v/>
      </c>
      <c r="X933" s="31">
        <f>IFERROR(VLOOKUP(V933,MgFrec,2,0),0)</f>
        <v/>
      </c>
      <c r="Y933" s="30">
        <f>T933*X933</f>
        <v/>
      </c>
      <c r="Z933" s="28">
        <f>IFERROR(LOOKUP(Y933,{0;0.5;5;25},{"Bajo";"Medio";"Alto";"Crítico"}),"")</f>
        <v/>
      </c>
      <c r="AA933" s="64">
        <f>IF(T933&gt;=3,IF(X933&gt;=1,"Zona 1 — Crítica: impacto alto y ocurre al menos una vez al año","Zona 4 — Catastrófica poco probable: impacto alto pero excepcional"),IF(AND(T933&lt;1.5,X933&lt;1),"Zona 3 — Asumible: impacto bajo y muy poco frecuente","Zona 2 — Atención: riesgo intermedio"))</f>
        <v/>
      </c>
      <c r="AB933" s="64">
        <f>IFERROR(INDEX(MgAmenCtrl,MATCH(SUBSTITUTE($H933,"*","-"),MgAmenClave,0)),"")</f>
        <v/>
      </c>
      <c r="AC933" s="20" t="n"/>
      <c r="AD933" s="31">
        <f>IFERROR($X933*(1-IF($AC933="",$AL933,VLOOKUP($AC933,MgMad,2,0))),"")</f>
        <v/>
      </c>
      <c r="AE933" s="28">
        <f>IFERROR(LOOKUP(AD933,{0;0.01;0.1;1;10;100},{"Muy baja";"Muy baja";"Baja";"Media";"Alta";"Muy alta"}),"")</f>
        <v/>
      </c>
      <c r="AF933" s="30">
        <f>T933*AD933</f>
        <v/>
      </c>
      <c r="AG933" s="28">
        <f>IFERROR(LOOKUP(AF933,{0;0.5;5;25},{"Bajo";"Medio";"Alto";"Crítico"}),"")</f>
        <v/>
      </c>
      <c r="AH933" s="28">
        <f>IF(AG933="","",IF(OR(AG933="Crítico",AG933="Alto"),"Mitigar",IF(AG933="Medio","Mitigar","Aceptar y monitorear")))</f>
        <v/>
      </c>
      <c r="AI933" s="21" t="n"/>
      <c r="AJ933" s="21" t="n"/>
      <c r="AK933" s="20" t="n"/>
      <c r="AL933" s="77">
        <f>IFERROR(INDEX(MgAmenEfic,MATCH(SUBSTITUTE($H933,"*","-"),MgAmenClave,0)),0)</f>
        <v/>
      </c>
    </row>
    <row r="934" hidden="1" ht="90" customHeight="1" s="54">
      <c r="B934" s="59" t="inlineStr">
        <is>
          <t>R-0929</t>
        </is>
      </c>
      <c r="C934" s="59" t="inlineStr">
        <is>
          <t>FIN-04</t>
        </is>
      </c>
      <c r="D934" s="64">
        <f>IFERROR(INDEX(MgNombre,MATCH($C934,MgActId,0)),"")</f>
        <v/>
      </c>
      <c r="E934" s="64">
        <f>IFERROR(INDEX(MgProceso,MATCH($C934,MgActId,0)),"")</f>
        <v/>
      </c>
      <c r="F934" s="64">
        <f>IFERROR(INDEX(MgTipo,MATCH($C934,MgActId,0)),"")</f>
        <v/>
      </c>
      <c r="G934" s="64">
        <f>IFERROR(INDEX(MgSubtipo,MATCH($C934,MgActId,0)),"")</f>
        <v/>
      </c>
      <c r="H934" s="59" t="inlineStr">
        <is>
          <t>E.15</t>
        </is>
      </c>
      <c r="I934" s="64">
        <f>IFERROR(INDEX(MgAmenNombre,MATCH(SUBSTITUTE($H934,"*","-"),MgAmenClave,0)),"")</f>
        <v/>
      </c>
      <c r="J934" s="28">
        <f>IFERROR(INDEX(MgAmenGrupo,MATCH(SUBSTITUTE($H934,"*","-"),MgAmenClave,0)),"")</f>
        <v/>
      </c>
      <c r="K934" s="64">
        <f>IFERROR(INDEX('1. Matriz de Activos'!$Q$6:$Q$239,MATCH($C934,MgActId,0)),"")</f>
        <v/>
      </c>
      <c r="L934" s="64">
        <f>IFERROR(INDEX('1. Matriz de Activos'!$R$6:$R$239,MATCH($C934,MgActId,0)),"")</f>
        <v/>
      </c>
      <c r="M934" s="64">
        <f>IFERROR(INDEX('1. Matriz de Activos'!$S$6:$S$239,MATCH($C934,MgActId,0)),"")</f>
        <v/>
      </c>
      <c r="N934" s="28">
        <f>IFERROR(INDEX(MgAmenDegD,MATCH(SUBSTITUTE($H934,"*","-"),MgAmenClave,0)),"No aplica")</f>
        <v/>
      </c>
      <c r="O934" s="28">
        <f>IFERROR(INDEX(MgAmenDegI,MATCH(SUBSTITUTE($H934,"*","-"),MgAmenClave,0)),"No aplica")</f>
        <v/>
      </c>
      <c r="P934" s="28">
        <f>IFERROR(INDEX(MgAmenDegC,MATCH(SUBSTITUTE($H934,"*","-"),MgAmenClave,0)),"No aplica")</f>
        <v/>
      </c>
      <c r="Q934" s="29">
        <f>IFERROR(VLOOKUP(K934,MgValor,2,0)*VLOOKUP(N934,MgDeg,2,0),0)</f>
        <v/>
      </c>
      <c r="R934" s="29">
        <f>IFERROR(VLOOKUP(L934,MgValor,2,0)*VLOOKUP(O934,MgDeg,2,0),0)</f>
        <v/>
      </c>
      <c r="S934" s="29">
        <f>IFERROR(VLOOKUP(M934,MgValor,2,0)*VLOOKUP(P934,MgDeg,2,0),0)</f>
        <v/>
      </c>
      <c r="T934" s="30">
        <f>MAX(Q934:S934)</f>
        <v/>
      </c>
      <c r="U934" s="28">
        <f>IFERROR(LOOKUP(T934,{0;0.5;1.5;3;4.5},{"Despreciable";"Bajo";"Medio";"Alto";"Muy alto"}),"")</f>
        <v/>
      </c>
      <c r="V934" s="13">
        <f>IFERROR(INDEX(MgAmenFrec,MATCH(SUBSTITUTE($H934,"*","-"),MgAmenClave,0)),"")</f>
        <v/>
      </c>
      <c r="W934" s="28">
        <f>IFERROR(LOOKUP(X934,{0;0.01;0.1;1;10;100},{"Muy baja";"Muy baja";"Baja";"Media";"Alta";"Muy alta"}),"")</f>
        <v/>
      </c>
      <c r="X934" s="31">
        <f>IFERROR(VLOOKUP(V934,MgFrec,2,0),0)</f>
        <v/>
      </c>
      <c r="Y934" s="30">
        <f>T934*X934</f>
        <v/>
      </c>
      <c r="Z934" s="28">
        <f>IFERROR(LOOKUP(Y934,{0;0.5;5;25},{"Bajo";"Medio";"Alto";"Crítico"}),"")</f>
        <v/>
      </c>
      <c r="AA934" s="64">
        <f>IF(T934&gt;=3,IF(X934&gt;=1,"Zona 1 — Crítica: impacto alto y ocurre al menos una vez al año","Zona 4 — Catastrófica poco probable: impacto alto pero excepcional"),IF(AND(T934&lt;1.5,X934&lt;1),"Zona 3 — Asumible: impacto bajo y muy poco frecuente","Zona 2 — Atención: riesgo intermedio"))</f>
        <v/>
      </c>
      <c r="AB934" s="64">
        <f>IFERROR(INDEX(MgAmenCtrl,MATCH(SUBSTITUTE($H934,"*","-"),MgAmenClave,0)),"")</f>
        <v/>
      </c>
      <c r="AC934" s="20" t="n"/>
      <c r="AD934" s="31">
        <f>IFERROR($X934*(1-IF($AC934="",$AL934,VLOOKUP($AC934,MgMad,2,0))),"")</f>
        <v/>
      </c>
      <c r="AE934" s="28">
        <f>IFERROR(LOOKUP(AD934,{0;0.01;0.1;1;10;100},{"Muy baja";"Muy baja";"Baja";"Media";"Alta";"Muy alta"}),"")</f>
        <v/>
      </c>
      <c r="AF934" s="30">
        <f>T934*AD934</f>
        <v/>
      </c>
      <c r="AG934" s="28">
        <f>IFERROR(LOOKUP(AF934,{0;0.5;5;25},{"Bajo";"Medio";"Alto";"Crítico"}),"")</f>
        <v/>
      </c>
      <c r="AH934" s="28">
        <f>IF(AG934="","",IF(OR(AG934="Crítico",AG934="Alto"),"Mitigar",IF(AG934="Medio","Mitigar","Aceptar y monitorear")))</f>
        <v/>
      </c>
      <c r="AI934" s="21" t="n"/>
      <c r="AJ934" s="21" t="n"/>
      <c r="AK934" s="20" t="n"/>
      <c r="AL934" s="77">
        <f>IFERROR(INDEX(MgAmenEfic,MATCH(SUBSTITUTE($H934,"*","-"),MgAmenClave,0)),0)</f>
        <v/>
      </c>
    </row>
    <row r="935" hidden="1" ht="60" customHeight="1" s="54">
      <c r="B935" s="59" t="inlineStr">
        <is>
          <t>R-0930</t>
        </is>
      </c>
      <c r="C935" s="59" t="inlineStr">
        <is>
          <t>FIN-04</t>
        </is>
      </c>
      <c r="D935" s="64">
        <f>IFERROR(INDEX(MgNombre,MATCH($C935,MgActId,0)),"")</f>
        <v/>
      </c>
      <c r="E935" s="64">
        <f>IFERROR(INDEX(MgProceso,MATCH($C935,MgActId,0)),"")</f>
        <v/>
      </c>
      <c r="F935" s="64">
        <f>IFERROR(INDEX(MgTipo,MATCH($C935,MgActId,0)),"")</f>
        <v/>
      </c>
      <c r="G935" s="64">
        <f>IFERROR(INDEX(MgSubtipo,MATCH($C935,MgActId,0)),"")</f>
        <v/>
      </c>
      <c r="H935" s="59" t="inlineStr">
        <is>
          <t>E.18</t>
        </is>
      </c>
      <c r="I935" s="64">
        <f>IFERROR(INDEX(MgAmenNombre,MATCH(SUBSTITUTE($H935,"*","-"),MgAmenClave,0)),"")</f>
        <v/>
      </c>
      <c r="J935" s="28">
        <f>IFERROR(INDEX(MgAmenGrupo,MATCH(SUBSTITUTE($H935,"*","-"),MgAmenClave,0)),"")</f>
        <v/>
      </c>
      <c r="K935" s="64">
        <f>IFERROR(INDEX('1. Matriz de Activos'!$Q$6:$Q$239,MATCH($C935,MgActId,0)),"")</f>
        <v/>
      </c>
      <c r="L935" s="64">
        <f>IFERROR(INDEX('1. Matriz de Activos'!$R$6:$R$239,MATCH($C935,MgActId,0)),"")</f>
        <v/>
      </c>
      <c r="M935" s="64">
        <f>IFERROR(INDEX('1. Matriz de Activos'!$S$6:$S$239,MATCH($C935,MgActId,0)),"")</f>
        <v/>
      </c>
      <c r="N935" s="28">
        <f>IFERROR(INDEX(MgAmenDegD,MATCH(SUBSTITUTE($H935,"*","-"),MgAmenClave,0)),"No aplica")</f>
        <v/>
      </c>
      <c r="O935" s="28">
        <f>IFERROR(INDEX(MgAmenDegI,MATCH(SUBSTITUTE($H935,"*","-"),MgAmenClave,0)),"No aplica")</f>
        <v/>
      </c>
      <c r="P935" s="28">
        <f>IFERROR(INDEX(MgAmenDegC,MATCH(SUBSTITUTE($H935,"*","-"),MgAmenClave,0)),"No aplica")</f>
        <v/>
      </c>
      <c r="Q935" s="29">
        <f>IFERROR(VLOOKUP(K935,MgValor,2,0)*VLOOKUP(N935,MgDeg,2,0),0)</f>
        <v/>
      </c>
      <c r="R935" s="29">
        <f>IFERROR(VLOOKUP(L935,MgValor,2,0)*VLOOKUP(O935,MgDeg,2,0),0)</f>
        <v/>
      </c>
      <c r="S935" s="29">
        <f>IFERROR(VLOOKUP(M935,MgValor,2,0)*VLOOKUP(P935,MgDeg,2,0),0)</f>
        <v/>
      </c>
      <c r="T935" s="30">
        <f>MAX(Q935:S935)</f>
        <v/>
      </c>
      <c r="U935" s="28">
        <f>IFERROR(LOOKUP(T935,{0;0.5;1.5;3;4.5},{"Despreciable";"Bajo";"Medio";"Alto";"Muy alto"}),"")</f>
        <v/>
      </c>
      <c r="V935" s="13">
        <f>IFERROR(INDEX(MgAmenFrec,MATCH(SUBSTITUTE($H935,"*","-"),MgAmenClave,0)),"")</f>
        <v/>
      </c>
      <c r="W935" s="28">
        <f>IFERROR(LOOKUP(X935,{0;0.01;0.1;1;10;100},{"Muy baja";"Muy baja";"Baja";"Media";"Alta";"Muy alta"}),"")</f>
        <v/>
      </c>
      <c r="X935" s="31">
        <f>IFERROR(VLOOKUP(V935,MgFrec,2,0),0)</f>
        <v/>
      </c>
      <c r="Y935" s="30">
        <f>T935*X935</f>
        <v/>
      </c>
      <c r="Z935" s="28">
        <f>IFERROR(LOOKUP(Y935,{0;0.5;5;25},{"Bajo";"Medio";"Alto";"Crítico"}),"")</f>
        <v/>
      </c>
      <c r="AA935" s="64">
        <f>IF(T935&gt;=3,IF(X935&gt;=1,"Zona 1 — Crítica: impacto alto y ocurre al menos una vez al año","Zona 4 — Catastrófica poco probable: impacto alto pero excepcional"),IF(AND(T935&lt;1.5,X935&lt;1),"Zona 3 — Asumible: impacto bajo y muy poco frecuente","Zona 2 — Atención: riesgo intermedio"))</f>
        <v/>
      </c>
      <c r="AB935" s="64">
        <f>IFERROR(INDEX(MgAmenCtrl,MATCH(SUBSTITUTE($H935,"*","-"),MgAmenClave,0)),"")</f>
        <v/>
      </c>
      <c r="AC935" s="20" t="n"/>
      <c r="AD935" s="31">
        <f>IFERROR($X935*(1-IF($AC935="",$AL935,VLOOKUP($AC935,MgMad,2,0))),"")</f>
        <v/>
      </c>
      <c r="AE935" s="28">
        <f>IFERROR(LOOKUP(AD935,{0;0.01;0.1;1;10;100},{"Muy baja";"Muy baja";"Baja";"Media";"Alta";"Muy alta"}),"")</f>
        <v/>
      </c>
      <c r="AF935" s="30">
        <f>T935*AD935</f>
        <v/>
      </c>
      <c r="AG935" s="28">
        <f>IFERROR(LOOKUP(AF935,{0;0.5;5;25},{"Bajo";"Medio";"Alto";"Crítico"}),"")</f>
        <v/>
      </c>
      <c r="AH935" s="28">
        <f>IF(AG935="","",IF(OR(AG935="Crítico",AG935="Alto"),"Mitigar",IF(AG935="Medio","Mitigar","Aceptar y monitorear")))</f>
        <v/>
      </c>
      <c r="AI935" s="21" t="n"/>
      <c r="AJ935" s="21" t="n"/>
      <c r="AK935" s="20" t="n"/>
      <c r="AL935" s="77">
        <f>IFERROR(INDEX(MgAmenEfic,MATCH(SUBSTITUTE($H935,"*","-"),MgAmenClave,0)),0)</f>
        <v/>
      </c>
    </row>
    <row r="936" hidden="1" ht="105" customHeight="1" s="54">
      <c r="B936" s="59" t="inlineStr">
        <is>
          <t>R-0931</t>
        </is>
      </c>
      <c r="C936" s="59" t="inlineStr">
        <is>
          <t>FIN-04</t>
        </is>
      </c>
      <c r="D936" s="64">
        <f>IFERROR(INDEX(MgNombre,MATCH($C936,MgActId,0)),"")</f>
        <v/>
      </c>
      <c r="E936" s="64">
        <f>IFERROR(INDEX(MgProceso,MATCH($C936,MgActId,0)),"")</f>
        <v/>
      </c>
      <c r="F936" s="64">
        <f>IFERROR(INDEX(MgTipo,MATCH($C936,MgActId,0)),"")</f>
        <v/>
      </c>
      <c r="G936" s="64">
        <f>IFERROR(INDEX(MgSubtipo,MATCH($C936,MgActId,0)),"")</f>
        <v/>
      </c>
      <c r="H936" s="59" t="inlineStr">
        <is>
          <t>E.19</t>
        </is>
      </c>
      <c r="I936" s="64">
        <f>IFERROR(INDEX(MgAmenNombre,MATCH(SUBSTITUTE($H936,"*","-"),MgAmenClave,0)),"")</f>
        <v/>
      </c>
      <c r="J936" s="28">
        <f>IFERROR(INDEX(MgAmenGrupo,MATCH(SUBSTITUTE($H936,"*","-"),MgAmenClave,0)),"")</f>
        <v/>
      </c>
      <c r="K936" s="64">
        <f>IFERROR(INDEX('1. Matriz de Activos'!$Q$6:$Q$239,MATCH($C936,MgActId,0)),"")</f>
        <v/>
      </c>
      <c r="L936" s="64">
        <f>IFERROR(INDEX('1. Matriz de Activos'!$R$6:$R$239,MATCH($C936,MgActId,0)),"")</f>
        <v/>
      </c>
      <c r="M936" s="64">
        <f>IFERROR(INDEX('1. Matriz de Activos'!$S$6:$S$239,MATCH($C936,MgActId,0)),"")</f>
        <v/>
      </c>
      <c r="N936" s="28">
        <f>IFERROR(INDEX(MgAmenDegD,MATCH(SUBSTITUTE($H936,"*","-"),MgAmenClave,0)),"No aplica")</f>
        <v/>
      </c>
      <c r="O936" s="28">
        <f>IFERROR(INDEX(MgAmenDegI,MATCH(SUBSTITUTE($H936,"*","-"),MgAmenClave,0)),"No aplica")</f>
        <v/>
      </c>
      <c r="P936" s="28">
        <f>IFERROR(INDEX(MgAmenDegC,MATCH(SUBSTITUTE($H936,"*","-"),MgAmenClave,0)),"No aplica")</f>
        <v/>
      </c>
      <c r="Q936" s="29">
        <f>IFERROR(VLOOKUP(K936,MgValor,2,0)*VLOOKUP(N936,MgDeg,2,0),0)</f>
        <v/>
      </c>
      <c r="R936" s="29">
        <f>IFERROR(VLOOKUP(L936,MgValor,2,0)*VLOOKUP(O936,MgDeg,2,0),0)</f>
        <v/>
      </c>
      <c r="S936" s="29">
        <f>IFERROR(VLOOKUP(M936,MgValor,2,0)*VLOOKUP(P936,MgDeg,2,0),0)</f>
        <v/>
      </c>
      <c r="T936" s="30">
        <f>MAX(Q936:S936)</f>
        <v/>
      </c>
      <c r="U936" s="28">
        <f>IFERROR(LOOKUP(T936,{0;0.5;1.5;3;4.5},{"Despreciable";"Bajo";"Medio";"Alto";"Muy alto"}),"")</f>
        <v/>
      </c>
      <c r="V936" s="13">
        <f>IFERROR(INDEX(MgAmenFrec,MATCH(SUBSTITUTE($H936,"*","-"),MgAmenClave,0)),"")</f>
        <v/>
      </c>
      <c r="W936" s="28">
        <f>IFERROR(LOOKUP(X936,{0;0.01;0.1;1;10;100},{"Muy baja";"Muy baja";"Baja";"Media";"Alta";"Muy alta"}),"")</f>
        <v/>
      </c>
      <c r="X936" s="31">
        <f>IFERROR(VLOOKUP(V936,MgFrec,2,0),0)</f>
        <v/>
      </c>
      <c r="Y936" s="30">
        <f>T936*X936</f>
        <v/>
      </c>
      <c r="Z936" s="28">
        <f>IFERROR(LOOKUP(Y936,{0;0.5;5;25},{"Bajo";"Medio";"Alto";"Crítico"}),"")</f>
        <v/>
      </c>
      <c r="AA936" s="64">
        <f>IF(T936&gt;=3,IF(X936&gt;=1,"Zona 1 — Crítica: impacto alto y ocurre al menos una vez al año","Zona 4 — Catastrófica poco probable: impacto alto pero excepcional"),IF(AND(T936&lt;1.5,X936&lt;1),"Zona 3 — Asumible: impacto bajo y muy poco frecuente","Zona 2 — Atención: riesgo intermedio"))</f>
        <v/>
      </c>
      <c r="AB936" s="64">
        <f>IFERROR(INDEX(MgAmenCtrl,MATCH(SUBSTITUTE($H936,"*","-"),MgAmenClave,0)),"")</f>
        <v/>
      </c>
      <c r="AC936" s="20" t="n"/>
      <c r="AD936" s="31">
        <f>IFERROR($X936*(1-IF($AC936="",$AL936,VLOOKUP($AC936,MgMad,2,0))),"")</f>
        <v/>
      </c>
      <c r="AE936" s="28">
        <f>IFERROR(LOOKUP(AD936,{0;0.01;0.1;1;10;100},{"Muy baja";"Muy baja";"Baja";"Media";"Alta";"Muy alta"}),"")</f>
        <v/>
      </c>
      <c r="AF936" s="30">
        <f>T936*AD936</f>
        <v/>
      </c>
      <c r="AG936" s="28">
        <f>IFERROR(LOOKUP(AF936,{0;0.5;5;25},{"Bajo";"Medio";"Alto";"Crítico"}),"")</f>
        <v/>
      </c>
      <c r="AH936" s="28">
        <f>IF(AG936="","",IF(OR(AG936="Crítico",AG936="Alto"),"Mitigar",IF(AG936="Medio","Mitigar","Aceptar y monitorear")))</f>
        <v/>
      </c>
      <c r="AI936" s="21" t="n"/>
      <c r="AJ936" s="21" t="n"/>
      <c r="AK936" s="20" t="n"/>
      <c r="AL936" s="77">
        <f>IFERROR(INDEX(MgAmenEfic,MATCH(SUBSTITUTE($H936,"*","-"),MgAmenClave,0)),0)</f>
        <v/>
      </c>
    </row>
    <row r="937" hidden="1" ht="60" customHeight="1" s="54">
      <c r="B937" s="59" t="inlineStr">
        <is>
          <t>R-0932</t>
        </is>
      </c>
      <c r="C937" s="59" t="inlineStr">
        <is>
          <t>FIN-04</t>
        </is>
      </c>
      <c r="D937" s="64">
        <f>IFERROR(INDEX(MgNombre,MATCH($C937,MgActId,0)),"")</f>
        <v/>
      </c>
      <c r="E937" s="64">
        <f>IFERROR(INDEX(MgProceso,MATCH($C937,MgActId,0)),"")</f>
        <v/>
      </c>
      <c r="F937" s="64">
        <f>IFERROR(INDEX(MgTipo,MATCH($C937,MgActId,0)),"")</f>
        <v/>
      </c>
      <c r="G937" s="64">
        <f>IFERROR(INDEX(MgSubtipo,MATCH($C937,MgActId,0)),"")</f>
        <v/>
      </c>
      <c r="H937" s="59" t="inlineStr">
        <is>
          <t>A.3</t>
        </is>
      </c>
      <c r="I937" s="64">
        <f>IFERROR(INDEX(MgAmenNombre,MATCH(SUBSTITUTE($H937,"*","-"),MgAmenClave,0)),"")</f>
        <v/>
      </c>
      <c r="J937" s="28">
        <f>IFERROR(INDEX(MgAmenGrupo,MATCH(SUBSTITUTE($H937,"*","-"),MgAmenClave,0)),"")</f>
        <v/>
      </c>
      <c r="K937" s="64">
        <f>IFERROR(INDEX('1. Matriz de Activos'!$Q$6:$Q$239,MATCH($C937,MgActId,0)),"")</f>
        <v/>
      </c>
      <c r="L937" s="64">
        <f>IFERROR(INDEX('1. Matriz de Activos'!$R$6:$R$239,MATCH($C937,MgActId,0)),"")</f>
        <v/>
      </c>
      <c r="M937" s="64">
        <f>IFERROR(INDEX('1. Matriz de Activos'!$S$6:$S$239,MATCH($C937,MgActId,0)),"")</f>
        <v/>
      </c>
      <c r="N937" s="28">
        <f>IFERROR(INDEX(MgAmenDegD,MATCH(SUBSTITUTE($H937,"*","-"),MgAmenClave,0)),"No aplica")</f>
        <v/>
      </c>
      <c r="O937" s="28">
        <f>IFERROR(INDEX(MgAmenDegI,MATCH(SUBSTITUTE($H937,"*","-"),MgAmenClave,0)),"No aplica")</f>
        <v/>
      </c>
      <c r="P937" s="28">
        <f>IFERROR(INDEX(MgAmenDegC,MATCH(SUBSTITUTE($H937,"*","-"),MgAmenClave,0)),"No aplica")</f>
        <v/>
      </c>
      <c r="Q937" s="29">
        <f>IFERROR(VLOOKUP(K937,MgValor,2,0)*VLOOKUP(N937,MgDeg,2,0),0)</f>
        <v/>
      </c>
      <c r="R937" s="29">
        <f>IFERROR(VLOOKUP(L937,MgValor,2,0)*VLOOKUP(O937,MgDeg,2,0),0)</f>
        <v/>
      </c>
      <c r="S937" s="29">
        <f>IFERROR(VLOOKUP(M937,MgValor,2,0)*VLOOKUP(P937,MgDeg,2,0),0)</f>
        <v/>
      </c>
      <c r="T937" s="30">
        <f>MAX(Q937:S937)</f>
        <v/>
      </c>
      <c r="U937" s="28">
        <f>IFERROR(LOOKUP(T937,{0;0.5;1.5;3;4.5},{"Despreciable";"Bajo";"Medio";"Alto";"Muy alto"}),"")</f>
        <v/>
      </c>
      <c r="V937" s="13">
        <f>IFERROR(INDEX(MgAmenFrec,MATCH(SUBSTITUTE($H937,"*","-"),MgAmenClave,0)),"")</f>
        <v/>
      </c>
      <c r="W937" s="28">
        <f>IFERROR(LOOKUP(X937,{0;0.01;0.1;1;10;100},{"Muy baja";"Muy baja";"Baja";"Media";"Alta";"Muy alta"}),"")</f>
        <v/>
      </c>
      <c r="X937" s="31">
        <f>IFERROR(VLOOKUP(V937,MgFrec,2,0),0)</f>
        <v/>
      </c>
      <c r="Y937" s="30">
        <f>T937*X937</f>
        <v/>
      </c>
      <c r="Z937" s="28">
        <f>IFERROR(LOOKUP(Y937,{0;0.5;5;25},{"Bajo";"Medio";"Alto";"Crítico"}),"")</f>
        <v/>
      </c>
      <c r="AA937" s="64">
        <f>IF(T937&gt;=3,IF(X937&gt;=1,"Zona 1 — Crítica: impacto alto y ocurre al menos una vez al año","Zona 4 — Catastrófica poco probable: impacto alto pero excepcional"),IF(AND(T937&lt;1.5,X937&lt;1),"Zona 3 — Asumible: impacto bajo y muy poco frecuente","Zona 2 — Atención: riesgo intermedio"))</f>
        <v/>
      </c>
      <c r="AB937" s="64">
        <f>IFERROR(INDEX(MgAmenCtrl,MATCH(SUBSTITUTE($H937,"*","-"),MgAmenClave,0)),"")</f>
        <v/>
      </c>
      <c r="AC937" s="20" t="n"/>
      <c r="AD937" s="31">
        <f>IFERROR($X937*(1-IF($AC937="",$AL937,VLOOKUP($AC937,MgMad,2,0))),"")</f>
        <v/>
      </c>
      <c r="AE937" s="28">
        <f>IFERROR(LOOKUP(AD937,{0;0.01;0.1;1;10;100},{"Muy baja";"Muy baja";"Baja";"Media";"Alta";"Muy alta"}),"")</f>
        <v/>
      </c>
      <c r="AF937" s="30">
        <f>T937*AD937</f>
        <v/>
      </c>
      <c r="AG937" s="28">
        <f>IFERROR(LOOKUP(AF937,{0;0.5;5;25},{"Bajo";"Medio";"Alto";"Crítico"}),"")</f>
        <v/>
      </c>
      <c r="AH937" s="28">
        <f>IF(AG937="","",IF(OR(AG937="Crítico",AG937="Alto"),"Mitigar",IF(AG937="Medio","Mitigar","Aceptar y monitorear")))</f>
        <v/>
      </c>
      <c r="AI937" s="21" t="n"/>
      <c r="AJ937" s="21" t="n"/>
      <c r="AK937" s="20" t="n"/>
      <c r="AL937" s="77">
        <f>IFERROR(INDEX(MgAmenEfic,MATCH(SUBSTITUTE($H937,"*","-"),MgAmenClave,0)),0)</f>
        <v/>
      </c>
    </row>
    <row r="938" hidden="1" ht="60" customHeight="1" s="54">
      <c r="B938" s="59" t="inlineStr">
        <is>
          <t>R-0933</t>
        </is>
      </c>
      <c r="C938" s="59" t="inlineStr">
        <is>
          <t>FIN-04</t>
        </is>
      </c>
      <c r="D938" s="64">
        <f>IFERROR(INDEX(MgNombre,MATCH($C938,MgActId,0)),"")</f>
        <v/>
      </c>
      <c r="E938" s="64">
        <f>IFERROR(INDEX(MgProceso,MATCH($C938,MgActId,0)),"")</f>
        <v/>
      </c>
      <c r="F938" s="64">
        <f>IFERROR(INDEX(MgTipo,MATCH($C938,MgActId,0)),"")</f>
        <v/>
      </c>
      <c r="G938" s="64">
        <f>IFERROR(INDEX(MgSubtipo,MATCH($C938,MgActId,0)),"")</f>
        <v/>
      </c>
      <c r="H938" s="59" t="inlineStr">
        <is>
          <t>A.4</t>
        </is>
      </c>
      <c r="I938" s="64">
        <f>IFERROR(INDEX(MgAmenNombre,MATCH(SUBSTITUTE($H938,"*","-"),MgAmenClave,0)),"")</f>
        <v/>
      </c>
      <c r="J938" s="28">
        <f>IFERROR(INDEX(MgAmenGrupo,MATCH(SUBSTITUTE($H938,"*","-"),MgAmenClave,0)),"")</f>
        <v/>
      </c>
      <c r="K938" s="64">
        <f>IFERROR(INDEX('1. Matriz de Activos'!$Q$6:$Q$239,MATCH($C938,MgActId,0)),"")</f>
        <v/>
      </c>
      <c r="L938" s="64">
        <f>IFERROR(INDEX('1. Matriz de Activos'!$R$6:$R$239,MATCH($C938,MgActId,0)),"")</f>
        <v/>
      </c>
      <c r="M938" s="64">
        <f>IFERROR(INDEX('1. Matriz de Activos'!$S$6:$S$239,MATCH($C938,MgActId,0)),"")</f>
        <v/>
      </c>
      <c r="N938" s="28">
        <f>IFERROR(INDEX(MgAmenDegD,MATCH(SUBSTITUTE($H938,"*","-"),MgAmenClave,0)),"No aplica")</f>
        <v/>
      </c>
      <c r="O938" s="28">
        <f>IFERROR(INDEX(MgAmenDegI,MATCH(SUBSTITUTE($H938,"*","-"),MgAmenClave,0)),"No aplica")</f>
        <v/>
      </c>
      <c r="P938" s="28">
        <f>IFERROR(INDEX(MgAmenDegC,MATCH(SUBSTITUTE($H938,"*","-"),MgAmenClave,0)),"No aplica")</f>
        <v/>
      </c>
      <c r="Q938" s="29">
        <f>IFERROR(VLOOKUP(K938,MgValor,2,0)*VLOOKUP(N938,MgDeg,2,0),0)</f>
        <v/>
      </c>
      <c r="R938" s="29">
        <f>IFERROR(VLOOKUP(L938,MgValor,2,0)*VLOOKUP(O938,MgDeg,2,0),0)</f>
        <v/>
      </c>
      <c r="S938" s="29">
        <f>IFERROR(VLOOKUP(M938,MgValor,2,0)*VLOOKUP(P938,MgDeg,2,0),0)</f>
        <v/>
      </c>
      <c r="T938" s="30">
        <f>MAX(Q938:S938)</f>
        <v/>
      </c>
      <c r="U938" s="28">
        <f>IFERROR(LOOKUP(T938,{0;0.5;1.5;3;4.5},{"Despreciable";"Bajo";"Medio";"Alto";"Muy alto"}),"")</f>
        <v/>
      </c>
      <c r="V938" s="13">
        <f>IFERROR(INDEX(MgAmenFrec,MATCH(SUBSTITUTE($H938,"*","-"),MgAmenClave,0)),"")</f>
        <v/>
      </c>
      <c r="W938" s="28">
        <f>IFERROR(LOOKUP(X938,{0;0.01;0.1;1;10;100},{"Muy baja";"Muy baja";"Baja";"Media";"Alta";"Muy alta"}),"")</f>
        <v/>
      </c>
      <c r="X938" s="31">
        <f>IFERROR(VLOOKUP(V938,MgFrec,2,0),0)</f>
        <v/>
      </c>
      <c r="Y938" s="30">
        <f>T938*X938</f>
        <v/>
      </c>
      <c r="Z938" s="28">
        <f>IFERROR(LOOKUP(Y938,{0;0.5;5;25},{"Bajo";"Medio";"Alto";"Crítico"}),"")</f>
        <v/>
      </c>
      <c r="AA938" s="64">
        <f>IF(T938&gt;=3,IF(X938&gt;=1,"Zona 1 — Crítica: impacto alto y ocurre al menos una vez al año","Zona 4 — Catastrófica poco probable: impacto alto pero excepcional"),IF(AND(T938&lt;1.5,X938&lt;1),"Zona 3 — Asumible: impacto bajo y muy poco frecuente","Zona 2 — Atención: riesgo intermedio"))</f>
        <v/>
      </c>
      <c r="AB938" s="64">
        <f>IFERROR(INDEX(MgAmenCtrl,MATCH(SUBSTITUTE($H938,"*","-"),MgAmenClave,0)),"")</f>
        <v/>
      </c>
      <c r="AC938" s="20" t="n"/>
      <c r="AD938" s="31">
        <f>IFERROR($X938*(1-IF($AC938="",$AL938,VLOOKUP($AC938,MgMad,2,0))),"")</f>
        <v/>
      </c>
      <c r="AE938" s="28">
        <f>IFERROR(LOOKUP(AD938,{0;0.01;0.1;1;10;100},{"Muy baja";"Muy baja";"Baja";"Media";"Alta";"Muy alta"}),"")</f>
        <v/>
      </c>
      <c r="AF938" s="30">
        <f>T938*AD938</f>
        <v/>
      </c>
      <c r="AG938" s="28">
        <f>IFERROR(LOOKUP(AF938,{0;0.5;5;25},{"Bajo";"Medio";"Alto";"Crítico"}),"")</f>
        <v/>
      </c>
      <c r="AH938" s="28">
        <f>IF(AG938="","",IF(OR(AG938="Crítico",AG938="Alto"),"Mitigar",IF(AG938="Medio","Mitigar","Aceptar y monitorear")))</f>
        <v/>
      </c>
      <c r="AI938" s="21" t="n"/>
      <c r="AJ938" s="21" t="n"/>
      <c r="AK938" s="20" t="n"/>
      <c r="AL938" s="77">
        <f>IFERROR(INDEX(MgAmenEfic,MATCH(SUBSTITUTE($H938,"*","-"),MgAmenClave,0)),0)</f>
        <v/>
      </c>
    </row>
    <row r="939" hidden="1" ht="75" customHeight="1" s="54">
      <c r="B939" s="59" t="inlineStr">
        <is>
          <t>R-0934</t>
        </is>
      </c>
      <c r="C939" s="59" t="inlineStr">
        <is>
          <t>FIN-04</t>
        </is>
      </c>
      <c r="D939" s="64">
        <f>IFERROR(INDEX(MgNombre,MATCH($C939,MgActId,0)),"")</f>
        <v/>
      </c>
      <c r="E939" s="64">
        <f>IFERROR(INDEX(MgProceso,MATCH($C939,MgActId,0)),"")</f>
        <v/>
      </c>
      <c r="F939" s="64">
        <f>IFERROR(INDEX(MgTipo,MATCH($C939,MgActId,0)),"")</f>
        <v/>
      </c>
      <c r="G939" s="64">
        <f>IFERROR(INDEX(MgSubtipo,MATCH($C939,MgActId,0)),"")</f>
        <v/>
      </c>
      <c r="H939" s="59" t="inlineStr">
        <is>
          <t>A.5</t>
        </is>
      </c>
      <c r="I939" s="64">
        <f>IFERROR(INDEX(MgAmenNombre,MATCH(SUBSTITUTE($H939,"*","-"),MgAmenClave,0)),"")</f>
        <v/>
      </c>
      <c r="J939" s="28">
        <f>IFERROR(INDEX(MgAmenGrupo,MATCH(SUBSTITUTE($H939,"*","-"),MgAmenClave,0)),"")</f>
        <v/>
      </c>
      <c r="K939" s="64">
        <f>IFERROR(INDEX('1. Matriz de Activos'!$Q$6:$Q$239,MATCH($C939,MgActId,0)),"")</f>
        <v/>
      </c>
      <c r="L939" s="64">
        <f>IFERROR(INDEX('1. Matriz de Activos'!$R$6:$R$239,MATCH($C939,MgActId,0)),"")</f>
        <v/>
      </c>
      <c r="M939" s="64">
        <f>IFERROR(INDEX('1. Matriz de Activos'!$S$6:$S$239,MATCH($C939,MgActId,0)),"")</f>
        <v/>
      </c>
      <c r="N939" s="28">
        <f>IFERROR(INDEX(MgAmenDegD,MATCH(SUBSTITUTE($H939,"*","-"),MgAmenClave,0)),"No aplica")</f>
        <v/>
      </c>
      <c r="O939" s="28">
        <f>IFERROR(INDEX(MgAmenDegI,MATCH(SUBSTITUTE($H939,"*","-"),MgAmenClave,0)),"No aplica")</f>
        <v/>
      </c>
      <c r="P939" s="28">
        <f>IFERROR(INDEX(MgAmenDegC,MATCH(SUBSTITUTE($H939,"*","-"),MgAmenClave,0)),"No aplica")</f>
        <v/>
      </c>
      <c r="Q939" s="29">
        <f>IFERROR(VLOOKUP(K939,MgValor,2,0)*VLOOKUP(N939,MgDeg,2,0),0)</f>
        <v/>
      </c>
      <c r="R939" s="29">
        <f>IFERROR(VLOOKUP(L939,MgValor,2,0)*VLOOKUP(O939,MgDeg,2,0),0)</f>
        <v/>
      </c>
      <c r="S939" s="29">
        <f>IFERROR(VLOOKUP(M939,MgValor,2,0)*VLOOKUP(P939,MgDeg,2,0),0)</f>
        <v/>
      </c>
      <c r="T939" s="30">
        <f>MAX(Q939:S939)</f>
        <v/>
      </c>
      <c r="U939" s="28">
        <f>IFERROR(LOOKUP(T939,{0;0.5;1.5;3;4.5},{"Despreciable";"Bajo";"Medio";"Alto";"Muy alto"}),"")</f>
        <v/>
      </c>
      <c r="V939" s="13">
        <f>IFERROR(INDEX(MgAmenFrec,MATCH(SUBSTITUTE($H939,"*","-"),MgAmenClave,0)),"")</f>
        <v/>
      </c>
      <c r="W939" s="28">
        <f>IFERROR(LOOKUP(X939,{0;0.01;0.1;1;10;100},{"Muy baja";"Muy baja";"Baja";"Media";"Alta";"Muy alta"}),"")</f>
        <v/>
      </c>
      <c r="X939" s="31">
        <f>IFERROR(VLOOKUP(V939,MgFrec,2,0),0)</f>
        <v/>
      </c>
      <c r="Y939" s="30">
        <f>T939*X939</f>
        <v/>
      </c>
      <c r="Z939" s="28">
        <f>IFERROR(LOOKUP(Y939,{0;0.5;5;25},{"Bajo";"Medio";"Alto";"Crítico"}),"")</f>
        <v/>
      </c>
      <c r="AA939" s="64">
        <f>IF(T939&gt;=3,IF(X939&gt;=1,"Zona 1 — Crítica: impacto alto y ocurre al menos una vez al año","Zona 4 — Catastrófica poco probable: impacto alto pero excepcional"),IF(AND(T939&lt;1.5,X939&lt;1),"Zona 3 — Asumible: impacto bajo y muy poco frecuente","Zona 2 — Atención: riesgo intermedio"))</f>
        <v/>
      </c>
      <c r="AB939" s="64">
        <f>IFERROR(INDEX(MgAmenCtrl,MATCH(SUBSTITUTE($H939,"*","-"),MgAmenClave,0)),"")</f>
        <v/>
      </c>
      <c r="AC939" s="20" t="n"/>
      <c r="AD939" s="31">
        <f>IFERROR($X939*(1-IF($AC939="",$AL939,VLOOKUP($AC939,MgMad,2,0))),"")</f>
        <v/>
      </c>
      <c r="AE939" s="28">
        <f>IFERROR(LOOKUP(AD939,{0;0.01;0.1;1;10;100},{"Muy baja";"Muy baja";"Baja";"Media";"Alta";"Muy alta"}),"")</f>
        <v/>
      </c>
      <c r="AF939" s="30">
        <f>T939*AD939</f>
        <v/>
      </c>
      <c r="AG939" s="28">
        <f>IFERROR(LOOKUP(AF939,{0;0.5;5;25},{"Bajo";"Medio";"Alto";"Crítico"}),"")</f>
        <v/>
      </c>
      <c r="AH939" s="28">
        <f>IF(AG939="","",IF(OR(AG939="Crítico",AG939="Alto"),"Mitigar",IF(AG939="Medio","Mitigar","Aceptar y monitorear")))</f>
        <v/>
      </c>
      <c r="AI939" s="21" t="n"/>
      <c r="AJ939" s="21" t="n"/>
      <c r="AK939" s="20" t="n"/>
      <c r="AL939" s="77">
        <f>IFERROR(INDEX(MgAmenEfic,MATCH(SUBSTITUTE($H939,"*","-"),MgAmenClave,0)),0)</f>
        <v/>
      </c>
    </row>
    <row r="940" hidden="1" ht="105" customHeight="1" s="54">
      <c r="B940" s="59" t="inlineStr">
        <is>
          <t>R-0935</t>
        </is>
      </c>
      <c r="C940" s="59" t="inlineStr">
        <is>
          <t>FIN-04</t>
        </is>
      </c>
      <c r="D940" s="64">
        <f>IFERROR(INDEX(MgNombre,MATCH($C940,MgActId,0)),"")</f>
        <v/>
      </c>
      <c r="E940" s="64">
        <f>IFERROR(INDEX(MgProceso,MATCH($C940,MgActId,0)),"")</f>
        <v/>
      </c>
      <c r="F940" s="64">
        <f>IFERROR(INDEX(MgTipo,MATCH($C940,MgActId,0)),"")</f>
        <v/>
      </c>
      <c r="G940" s="64">
        <f>IFERROR(INDEX(MgSubtipo,MATCH($C940,MgActId,0)),"")</f>
        <v/>
      </c>
      <c r="H940" s="59" t="inlineStr">
        <is>
          <t>A.6</t>
        </is>
      </c>
      <c r="I940" s="64">
        <f>IFERROR(INDEX(MgAmenNombre,MATCH(SUBSTITUTE($H940,"*","-"),MgAmenClave,0)),"")</f>
        <v/>
      </c>
      <c r="J940" s="28">
        <f>IFERROR(INDEX(MgAmenGrupo,MATCH(SUBSTITUTE($H940,"*","-"),MgAmenClave,0)),"")</f>
        <v/>
      </c>
      <c r="K940" s="64">
        <f>IFERROR(INDEX('1. Matriz de Activos'!$Q$6:$Q$239,MATCH($C940,MgActId,0)),"")</f>
        <v/>
      </c>
      <c r="L940" s="64">
        <f>IFERROR(INDEX('1. Matriz de Activos'!$R$6:$R$239,MATCH($C940,MgActId,0)),"")</f>
        <v/>
      </c>
      <c r="M940" s="64">
        <f>IFERROR(INDEX('1. Matriz de Activos'!$S$6:$S$239,MATCH($C940,MgActId,0)),"")</f>
        <v/>
      </c>
      <c r="N940" s="28">
        <f>IFERROR(INDEX(MgAmenDegD,MATCH(SUBSTITUTE($H940,"*","-"),MgAmenClave,0)),"No aplica")</f>
        <v/>
      </c>
      <c r="O940" s="28">
        <f>IFERROR(INDEX(MgAmenDegI,MATCH(SUBSTITUTE($H940,"*","-"),MgAmenClave,0)),"No aplica")</f>
        <v/>
      </c>
      <c r="P940" s="28">
        <f>IFERROR(INDEX(MgAmenDegC,MATCH(SUBSTITUTE($H940,"*","-"),MgAmenClave,0)),"No aplica")</f>
        <v/>
      </c>
      <c r="Q940" s="29">
        <f>IFERROR(VLOOKUP(K940,MgValor,2,0)*VLOOKUP(N940,MgDeg,2,0),0)</f>
        <v/>
      </c>
      <c r="R940" s="29">
        <f>IFERROR(VLOOKUP(L940,MgValor,2,0)*VLOOKUP(O940,MgDeg,2,0),0)</f>
        <v/>
      </c>
      <c r="S940" s="29">
        <f>IFERROR(VLOOKUP(M940,MgValor,2,0)*VLOOKUP(P940,MgDeg,2,0),0)</f>
        <v/>
      </c>
      <c r="T940" s="30">
        <f>MAX(Q940:S940)</f>
        <v/>
      </c>
      <c r="U940" s="28">
        <f>IFERROR(LOOKUP(T940,{0;0.5;1.5;3;4.5},{"Despreciable";"Bajo";"Medio";"Alto";"Muy alto"}),"")</f>
        <v/>
      </c>
      <c r="V940" s="13">
        <f>IFERROR(INDEX(MgAmenFrec,MATCH(SUBSTITUTE($H940,"*","-"),MgAmenClave,0)),"")</f>
        <v/>
      </c>
      <c r="W940" s="28">
        <f>IFERROR(LOOKUP(X940,{0;0.01;0.1;1;10;100},{"Muy baja";"Muy baja";"Baja";"Media";"Alta";"Muy alta"}),"")</f>
        <v/>
      </c>
      <c r="X940" s="31">
        <f>IFERROR(VLOOKUP(V940,MgFrec,2,0),0)</f>
        <v/>
      </c>
      <c r="Y940" s="30">
        <f>T940*X940</f>
        <v/>
      </c>
      <c r="Z940" s="28">
        <f>IFERROR(LOOKUP(Y940,{0;0.5;5;25},{"Bajo";"Medio";"Alto";"Crítico"}),"")</f>
        <v/>
      </c>
      <c r="AA940" s="64">
        <f>IF(T940&gt;=3,IF(X940&gt;=1,"Zona 1 — Crítica: impacto alto y ocurre al menos una vez al año","Zona 4 — Catastrófica poco probable: impacto alto pero excepcional"),IF(AND(T940&lt;1.5,X940&lt;1),"Zona 3 — Asumible: impacto bajo y muy poco frecuente","Zona 2 — Atención: riesgo intermedio"))</f>
        <v/>
      </c>
      <c r="AB940" s="64">
        <f>IFERROR(INDEX(MgAmenCtrl,MATCH(SUBSTITUTE($H940,"*","-"),MgAmenClave,0)),"")</f>
        <v/>
      </c>
      <c r="AC940" s="20" t="n"/>
      <c r="AD940" s="31">
        <f>IFERROR($X940*(1-IF($AC940="",$AL940,VLOOKUP($AC940,MgMad,2,0))),"")</f>
        <v/>
      </c>
      <c r="AE940" s="28">
        <f>IFERROR(LOOKUP(AD940,{0;0.01;0.1;1;10;100},{"Muy baja";"Muy baja";"Baja";"Media";"Alta";"Muy alta"}),"")</f>
        <v/>
      </c>
      <c r="AF940" s="30">
        <f>T940*AD940</f>
        <v/>
      </c>
      <c r="AG940" s="28">
        <f>IFERROR(LOOKUP(AF940,{0;0.5;5;25},{"Bajo";"Medio";"Alto";"Crítico"}),"")</f>
        <v/>
      </c>
      <c r="AH940" s="28">
        <f>IF(AG940="","",IF(OR(AG940="Crítico",AG940="Alto"),"Mitigar",IF(AG940="Medio","Mitigar","Aceptar y monitorear")))</f>
        <v/>
      </c>
      <c r="AI940" s="21" t="n"/>
      <c r="AJ940" s="21" t="n"/>
      <c r="AK940" s="20" t="n"/>
      <c r="AL940" s="77">
        <f>IFERROR(INDEX(MgAmenEfic,MATCH(SUBSTITUTE($H940,"*","-"),MgAmenClave,0)),0)</f>
        <v/>
      </c>
    </row>
    <row r="941" hidden="1" ht="120" customHeight="1" s="54">
      <c r="B941" s="59" t="inlineStr">
        <is>
          <t>R-0936</t>
        </is>
      </c>
      <c r="C941" s="59" t="inlineStr">
        <is>
          <t>FIN-04</t>
        </is>
      </c>
      <c r="D941" s="64">
        <f>IFERROR(INDEX(MgNombre,MATCH($C941,MgActId,0)),"")</f>
        <v/>
      </c>
      <c r="E941" s="64">
        <f>IFERROR(INDEX(MgProceso,MATCH($C941,MgActId,0)),"")</f>
        <v/>
      </c>
      <c r="F941" s="64">
        <f>IFERROR(INDEX(MgTipo,MATCH($C941,MgActId,0)),"")</f>
        <v/>
      </c>
      <c r="G941" s="64">
        <f>IFERROR(INDEX(MgSubtipo,MATCH($C941,MgActId,0)),"")</f>
        <v/>
      </c>
      <c r="H941" s="59" t="inlineStr">
        <is>
          <t>A.11</t>
        </is>
      </c>
      <c r="I941" s="64">
        <f>IFERROR(INDEX(MgAmenNombre,MATCH(SUBSTITUTE($H941,"*","-"),MgAmenClave,0)),"")</f>
        <v/>
      </c>
      <c r="J941" s="28">
        <f>IFERROR(INDEX(MgAmenGrupo,MATCH(SUBSTITUTE($H941,"*","-"),MgAmenClave,0)),"")</f>
        <v/>
      </c>
      <c r="K941" s="64">
        <f>IFERROR(INDEX('1. Matriz de Activos'!$Q$6:$Q$239,MATCH($C941,MgActId,0)),"")</f>
        <v/>
      </c>
      <c r="L941" s="64">
        <f>IFERROR(INDEX('1. Matriz de Activos'!$R$6:$R$239,MATCH($C941,MgActId,0)),"")</f>
        <v/>
      </c>
      <c r="M941" s="64">
        <f>IFERROR(INDEX('1. Matriz de Activos'!$S$6:$S$239,MATCH($C941,MgActId,0)),"")</f>
        <v/>
      </c>
      <c r="N941" s="28">
        <f>IFERROR(INDEX(MgAmenDegD,MATCH(SUBSTITUTE($H941,"*","-"),MgAmenClave,0)),"No aplica")</f>
        <v/>
      </c>
      <c r="O941" s="28">
        <f>IFERROR(INDEX(MgAmenDegI,MATCH(SUBSTITUTE($H941,"*","-"),MgAmenClave,0)),"No aplica")</f>
        <v/>
      </c>
      <c r="P941" s="28">
        <f>IFERROR(INDEX(MgAmenDegC,MATCH(SUBSTITUTE($H941,"*","-"),MgAmenClave,0)),"No aplica")</f>
        <v/>
      </c>
      <c r="Q941" s="29">
        <f>IFERROR(VLOOKUP(K941,MgValor,2,0)*VLOOKUP(N941,MgDeg,2,0),0)</f>
        <v/>
      </c>
      <c r="R941" s="29">
        <f>IFERROR(VLOOKUP(L941,MgValor,2,0)*VLOOKUP(O941,MgDeg,2,0),0)</f>
        <v/>
      </c>
      <c r="S941" s="29">
        <f>IFERROR(VLOOKUP(M941,MgValor,2,0)*VLOOKUP(P941,MgDeg,2,0),0)</f>
        <v/>
      </c>
      <c r="T941" s="30">
        <f>MAX(Q941:S941)</f>
        <v/>
      </c>
      <c r="U941" s="28">
        <f>IFERROR(LOOKUP(T941,{0;0.5;1.5;3;4.5},{"Despreciable";"Bajo";"Medio";"Alto";"Muy alto"}),"")</f>
        <v/>
      </c>
      <c r="V941" s="13">
        <f>IFERROR(INDEX(MgAmenFrec,MATCH(SUBSTITUTE($H941,"*","-"),MgAmenClave,0)),"")</f>
        <v/>
      </c>
      <c r="W941" s="28">
        <f>IFERROR(LOOKUP(X941,{0;0.01;0.1;1;10;100},{"Muy baja";"Muy baja";"Baja";"Media";"Alta";"Muy alta"}),"")</f>
        <v/>
      </c>
      <c r="X941" s="31">
        <f>IFERROR(VLOOKUP(V941,MgFrec,2,0),0)</f>
        <v/>
      </c>
      <c r="Y941" s="30">
        <f>T941*X941</f>
        <v/>
      </c>
      <c r="Z941" s="28">
        <f>IFERROR(LOOKUP(Y941,{0;0.5;5;25},{"Bajo";"Medio";"Alto";"Crítico"}),"")</f>
        <v/>
      </c>
      <c r="AA941" s="64">
        <f>IF(T941&gt;=3,IF(X941&gt;=1,"Zona 1 — Crítica: impacto alto y ocurre al menos una vez al año","Zona 4 — Catastrófica poco probable: impacto alto pero excepcional"),IF(AND(T941&lt;1.5,X941&lt;1),"Zona 3 — Asumible: impacto bajo y muy poco frecuente","Zona 2 — Atención: riesgo intermedio"))</f>
        <v/>
      </c>
      <c r="AB941" s="64">
        <f>IFERROR(INDEX(MgAmenCtrl,MATCH(SUBSTITUTE($H941,"*","-"),MgAmenClave,0)),"")</f>
        <v/>
      </c>
      <c r="AC941" s="20" t="n"/>
      <c r="AD941" s="31">
        <f>IFERROR($X941*(1-IF($AC941="",$AL941,VLOOKUP($AC941,MgMad,2,0))),"")</f>
        <v/>
      </c>
      <c r="AE941" s="28">
        <f>IFERROR(LOOKUP(AD941,{0;0.01;0.1;1;10;100},{"Muy baja";"Muy baja";"Baja";"Media";"Alta";"Muy alta"}),"")</f>
        <v/>
      </c>
      <c r="AF941" s="30">
        <f>T941*AD941</f>
        <v/>
      </c>
      <c r="AG941" s="28">
        <f>IFERROR(LOOKUP(AF941,{0;0.5;5;25},{"Bajo";"Medio";"Alto";"Crítico"}),"")</f>
        <v/>
      </c>
      <c r="AH941" s="28">
        <f>IF(AG941="","",IF(OR(AG941="Crítico",AG941="Alto"),"Mitigar",IF(AG941="Medio","Mitigar","Aceptar y monitorear")))</f>
        <v/>
      </c>
      <c r="AI941" s="21" t="n"/>
      <c r="AJ941" s="21" t="n"/>
      <c r="AK941" s="20" t="n"/>
      <c r="AL941" s="77">
        <f>IFERROR(INDEX(MgAmenEfic,MATCH(SUBSTITUTE($H941,"*","-"),MgAmenClave,0)),0)</f>
        <v/>
      </c>
    </row>
    <row r="942" hidden="1" ht="90" customHeight="1" s="54">
      <c r="B942" s="59" t="inlineStr">
        <is>
          <t>R-0937</t>
        </is>
      </c>
      <c r="C942" s="59" t="inlineStr">
        <is>
          <t>FIN-04</t>
        </is>
      </c>
      <c r="D942" s="64">
        <f>IFERROR(INDEX(MgNombre,MATCH($C942,MgActId,0)),"")</f>
        <v/>
      </c>
      <c r="E942" s="64">
        <f>IFERROR(INDEX(MgProceso,MATCH($C942,MgActId,0)),"")</f>
        <v/>
      </c>
      <c r="F942" s="64">
        <f>IFERROR(INDEX(MgTipo,MATCH($C942,MgActId,0)),"")</f>
        <v/>
      </c>
      <c r="G942" s="64">
        <f>IFERROR(INDEX(MgSubtipo,MATCH($C942,MgActId,0)),"")</f>
        <v/>
      </c>
      <c r="H942" s="59" t="inlineStr">
        <is>
          <t>A.13</t>
        </is>
      </c>
      <c r="I942" s="64">
        <f>IFERROR(INDEX(MgAmenNombre,MATCH(SUBSTITUTE($H942,"*","-"),MgAmenClave,0)),"")</f>
        <v/>
      </c>
      <c r="J942" s="28">
        <f>IFERROR(INDEX(MgAmenGrupo,MATCH(SUBSTITUTE($H942,"*","-"),MgAmenClave,0)),"")</f>
        <v/>
      </c>
      <c r="K942" s="64">
        <f>IFERROR(INDEX('1. Matriz de Activos'!$Q$6:$Q$239,MATCH($C942,MgActId,0)),"")</f>
        <v/>
      </c>
      <c r="L942" s="64">
        <f>IFERROR(INDEX('1. Matriz de Activos'!$R$6:$R$239,MATCH($C942,MgActId,0)),"")</f>
        <v/>
      </c>
      <c r="M942" s="64">
        <f>IFERROR(INDEX('1. Matriz de Activos'!$S$6:$S$239,MATCH($C942,MgActId,0)),"")</f>
        <v/>
      </c>
      <c r="N942" s="28">
        <f>IFERROR(INDEX(MgAmenDegD,MATCH(SUBSTITUTE($H942,"*","-"),MgAmenClave,0)),"No aplica")</f>
        <v/>
      </c>
      <c r="O942" s="28">
        <f>IFERROR(INDEX(MgAmenDegI,MATCH(SUBSTITUTE($H942,"*","-"),MgAmenClave,0)),"No aplica")</f>
        <v/>
      </c>
      <c r="P942" s="28">
        <f>IFERROR(INDEX(MgAmenDegC,MATCH(SUBSTITUTE($H942,"*","-"),MgAmenClave,0)),"No aplica")</f>
        <v/>
      </c>
      <c r="Q942" s="29">
        <f>IFERROR(VLOOKUP(K942,MgValor,2,0)*VLOOKUP(N942,MgDeg,2,0),0)</f>
        <v/>
      </c>
      <c r="R942" s="29">
        <f>IFERROR(VLOOKUP(L942,MgValor,2,0)*VLOOKUP(O942,MgDeg,2,0),0)</f>
        <v/>
      </c>
      <c r="S942" s="29">
        <f>IFERROR(VLOOKUP(M942,MgValor,2,0)*VLOOKUP(P942,MgDeg,2,0),0)</f>
        <v/>
      </c>
      <c r="T942" s="30">
        <f>MAX(Q942:S942)</f>
        <v/>
      </c>
      <c r="U942" s="28">
        <f>IFERROR(LOOKUP(T942,{0;0.5;1.5;3;4.5},{"Despreciable";"Bajo";"Medio";"Alto";"Muy alto"}),"")</f>
        <v/>
      </c>
      <c r="V942" s="13">
        <f>IFERROR(INDEX(MgAmenFrec,MATCH(SUBSTITUTE($H942,"*","-"),MgAmenClave,0)),"")</f>
        <v/>
      </c>
      <c r="W942" s="28">
        <f>IFERROR(LOOKUP(X942,{0;0.01;0.1;1;10;100},{"Muy baja";"Muy baja";"Baja";"Media";"Alta";"Muy alta"}),"")</f>
        <v/>
      </c>
      <c r="X942" s="31">
        <f>IFERROR(VLOOKUP(V942,MgFrec,2,0),0)</f>
        <v/>
      </c>
      <c r="Y942" s="30">
        <f>T942*X942</f>
        <v/>
      </c>
      <c r="Z942" s="28">
        <f>IFERROR(LOOKUP(Y942,{0;0.5;5;25},{"Bajo";"Medio";"Alto";"Crítico"}),"")</f>
        <v/>
      </c>
      <c r="AA942" s="64">
        <f>IF(T942&gt;=3,IF(X942&gt;=1,"Zona 1 — Crítica: impacto alto y ocurre al menos una vez al año","Zona 4 — Catastrófica poco probable: impacto alto pero excepcional"),IF(AND(T942&lt;1.5,X942&lt;1),"Zona 3 — Asumible: impacto bajo y muy poco frecuente","Zona 2 — Atención: riesgo intermedio"))</f>
        <v/>
      </c>
      <c r="AB942" s="64">
        <f>IFERROR(INDEX(MgAmenCtrl,MATCH(SUBSTITUTE($H942,"*","-"),MgAmenClave,0)),"")</f>
        <v/>
      </c>
      <c r="AC942" s="20" t="n"/>
      <c r="AD942" s="31">
        <f>IFERROR($X942*(1-IF($AC942="",$AL942,VLOOKUP($AC942,MgMad,2,0))),"")</f>
        <v/>
      </c>
      <c r="AE942" s="28">
        <f>IFERROR(LOOKUP(AD942,{0;0.01;0.1;1;10;100},{"Muy baja";"Muy baja";"Baja";"Media";"Alta";"Muy alta"}),"")</f>
        <v/>
      </c>
      <c r="AF942" s="30">
        <f>T942*AD942</f>
        <v/>
      </c>
      <c r="AG942" s="28">
        <f>IFERROR(LOOKUP(AF942,{0;0.5;5;25},{"Bajo";"Medio";"Alto";"Crítico"}),"")</f>
        <v/>
      </c>
      <c r="AH942" s="28">
        <f>IF(AG942="","",IF(OR(AG942="Crítico",AG942="Alto"),"Mitigar",IF(AG942="Medio","Mitigar","Aceptar y monitorear")))</f>
        <v/>
      </c>
      <c r="AI942" s="21" t="n"/>
      <c r="AJ942" s="21" t="n"/>
      <c r="AK942" s="20" t="n"/>
      <c r="AL942" s="77">
        <f>IFERROR(INDEX(MgAmenEfic,MATCH(SUBSTITUTE($H942,"*","-"),MgAmenClave,0)),0)</f>
        <v/>
      </c>
    </row>
    <row r="943" hidden="1" ht="60" customHeight="1" s="54">
      <c r="B943" s="59" t="inlineStr">
        <is>
          <t>R-0938</t>
        </is>
      </c>
      <c r="C943" s="59" t="inlineStr">
        <is>
          <t>FIN-04</t>
        </is>
      </c>
      <c r="D943" s="64">
        <f>IFERROR(INDEX(MgNombre,MATCH($C943,MgActId,0)),"")</f>
        <v/>
      </c>
      <c r="E943" s="64">
        <f>IFERROR(INDEX(MgProceso,MATCH($C943,MgActId,0)),"")</f>
        <v/>
      </c>
      <c r="F943" s="64">
        <f>IFERROR(INDEX(MgTipo,MATCH($C943,MgActId,0)),"")</f>
        <v/>
      </c>
      <c r="G943" s="64">
        <f>IFERROR(INDEX(MgSubtipo,MATCH($C943,MgActId,0)),"")</f>
        <v/>
      </c>
      <c r="H943" s="59" t="inlineStr">
        <is>
          <t>A.15</t>
        </is>
      </c>
      <c r="I943" s="64">
        <f>IFERROR(INDEX(MgAmenNombre,MATCH(SUBSTITUTE($H943,"*","-"),MgAmenClave,0)),"")</f>
        <v/>
      </c>
      <c r="J943" s="28">
        <f>IFERROR(INDEX(MgAmenGrupo,MATCH(SUBSTITUTE($H943,"*","-"),MgAmenClave,0)),"")</f>
        <v/>
      </c>
      <c r="K943" s="64">
        <f>IFERROR(INDEX('1. Matriz de Activos'!$Q$6:$Q$239,MATCH($C943,MgActId,0)),"")</f>
        <v/>
      </c>
      <c r="L943" s="64">
        <f>IFERROR(INDEX('1. Matriz de Activos'!$R$6:$R$239,MATCH($C943,MgActId,0)),"")</f>
        <v/>
      </c>
      <c r="M943" s="64">
        <f>IFERROR(INDEX('1. Matriz de Activos'!$S$6:$S$239,MATCH($C943,MgActId,0)),"")</f>
        <v/>
      </c>
      <c r="N943" s="28">
        <f>IFERROR(INDEX(MgAmenDegD,MATCH(SUBSTITUTE($H943,"*","-"),MgAmenClave,0)),"No aplica")</f>
        <v/>
      </c>
      <c r="O943" s="28">
        <f>IFERROR(INDEX(MgAmenDegI,MATCH(SUBSTITUTE($H943,"*","-"),MgAmenClave,0)),"No aplica")</f>
        <v/>
      </c>
      <c r="P943" s="28">
        <f>IFERROR(INDEX(MgAmenDegC,MATCH(SUBSTITUTE($H943,"*","-"),MgAmenClave,0)),"No aplica")</f>
        <v/>
      </c>
      <c r="Q943" s="29">
        <f>IFERROR(VLOOKUP(K943,MgValor,2,0)*VLOOKUP(N943,MgDeg,2,0),0)</f>
        <v/>
      </c>
      <c r="R943" s="29">
        <f>IFERROR(VLOOKUP(L943,MgValor,2,0)*VLOOKUP(O943,MgDeg,2,0),0)</f>
        <v/>
      </c>
      <c r="S943" s="29">
        <f>IFERROR(VLOOKUP(M943,MgValor,2,0)*VLOOKUP(P943,MgDeg,2,0),0)</f>
        <v/>
      </c>
      <c r="T943" s="30">
        <f>MAX(Q943:S943)</f>
        <v/>
      </c>
      <c r="U943" s="28">
        <f>IFERROR(LOOKUP(T943,{0;0.5;1.5;3;4.5},{"Despreciable";"Bajo";"Medio";"Alto";"Muy alto"}),"")</f>
        <v/>
      </c>
      <c r="V943" s="13">
        <f>IFERROR(INDEX(MgAmenFrec,MATCH(SUBSTITUTE($H943,"*","-"),MgAmenClave,0)),"")</f>
        <v/>
      </c>
      <c r="W943" s="28">
        <f>IFERROR(LOOKUP(X943,{0;0.01;0.1;1;10;100},{"Muy baja";"Muy baja";"Baja";"Media";"Alta";"Muy alta"}),"")</f>
        <v/>
      </c>
      <c r="X943" s="31">
        <f>IFERROR(VLOOKUP(V943,MgFrec,2,0),0)</f>
        <v/>
      </c>
      <c r="Y943" s="30">
        <f>T943*X943</f>
        <v/>
      </c>
      <c r="Z943" s="28">
        <f>IFERROR(LOOKUP(Y943,{0;0.5;5;25},{"Bajo";"Medio";"Alto";"Crítico"}),"")</f>
        <v/>
      </c>
      <c r="AA943" s="64">
        <f>IF(T943&gt;=3,IF(X943&gt;=1,"Zona 1 — Crítica: impacto alto y ocurre al menos una vez al año","Zona 4 — Catastrófica poco probable: impacto alto pero excepcional"),IF(AND(T943&lt;1.5,X943&lt;1),"Zona 3 — Asumible: impacto bajo y muy poco frecuente","Zona 2 — Atención: riesgo intermedio"))</f>
        <v/>
      </c>
      <c r="AB943" s="64">
        <f>IFERROR(INDEX(MgAmenCtrl,MATCH(SUBSTITUTE($H943,"*","-"),MgAmenClave,0)),"")</f>
        <v/>
      </c>
      <c r="AC943" s="20" t="n"/>
      <c r="AD943" s="31">
        <f>IFERROR($X943*(1-IF($AC943="",$AL943,VLOOKUP($AC943,MgMad,2,0))),"")</f>
        <v/>
      </c>
      <c r="AE943" s="28">
        <f>IFERROR(LOOKUP(AD943,{0;0.01;0.1;1;10;100},{"Muy baja";"Muy baja";"Baja";"Media";"Alta";"Muy alta"}),"")</f>
        <v/>
      </c>
      <c r="AF943" s="30">
        <f>T943*AD943</f>
        <v/>
      </c>
      <c r="AG943" s="28">
        <f>IFERROR(LOOKUP(AF943,{0;0.5;5;25},{"Bajo";"Medio";"Alto";"Crítico"}),"")</f>
        <v/>
      </c>
      <c r="AH943" s="28">
        <f>IF(AG943="","",IF(OR(AG943="Crítico",AG943="Alto"),"Mitigar",IF(AG943="Medio","Mitigar","Aceptar y monitorear")))</f>
        <v/>
      </c>
      <c r="AI943" s="21" t="n"/>
      <c r="AJ943" s="21" t="n"/>
      <c r="AK943" s="20" t="n"/>
      <c r="AL943" s="77">
        <f>IFERROR(INDEX(MgAmenEfic,MATCH(SUBSTITUTE($H943,"*","-"),MgAmenClave,0)),0)</f>
        <v/>
      </c>
    </row>
    <row r="944" hidden="1" ht="60" customHeight="1" s="54">
      <c r="B944" s="59" t="inlineStr">
        <is>
          <t>R-0939</t>
        </is>
      </c>
      <c r="C944" s="59" t="inlineStr">
        <is>
          <t>FIN-04</t>
        </is>
      </c>
      <c r="D944" s="64">
        <f>IFERROR(INDEX(MgNombre,MATCH($C944,MgActId,0)),"")</f>
        <v/>
      </c>
      <c r="E944" s="64">
        <f>IFERROR(INDEX(MgProceso,MATCH($C944,MgActId,0)),"")</f>
        <v/>
      </c>
      <c r="F944" s="64">
        <f>IFERROR(INDEX(MgTipo,MATCH($C944,MgActId,0)),"")</f>
        <v/>
      </c>
      <c r="G944" s="64">
        <f>IFERROR(INDEX(MgSubtipo,MATCH($C944,MgActId,0)),"")</f>
        <v/>
      </c>
      <c r="H944" s="59" t="inlineStr">
        <is>
          <t>A.18</t>
        </is>
      </c>
      <c r="I944" s="64">
        <f>IFERROR(INDEX(MgAmenNombre,MATCH(SUBSTITUTE($H944,"*","-"),MgAmenClave,0)),"")</f>
        <v/>
      </c>
      <c r="J944" s="28">
        <f>IFERROR(INDEX(MgAmenGrupo,MATCH(SUBSTITUTE($H944,"*","-"),MgAmenClave,0)),"")</f>
        <v/>
      </c>
      <c r="K944" s="64">
        <f>IFERROR(INDEX('1. Matriz de Activos'!$Q$6:$Q$239,MATCH($C944,MgActId,0)),"")</f>
        <v/>
      </c>
      <c r="L944" s="64">
        <f>IFERROR(INDEX('1. Matriz de Activos'!$R$6:$R$239,MATCH($C944,MgActId,0)),"")</f>
        <v/>
      </c>
      <c r="M944" s="64">
        <f>IFERROR(INDEX('1. Matriz de Activos'!$S$6:$S$239,MATCH($C944,MgActId,0)),"")</f>
        <v/>
      </c>
      <c r="N944" s="28">
        <f>IFERROR(INDEX(MgAmenDegD,MATCH(SUBSTITUTE($H944,"*","-"),MgAmenClave,0)),"No aplica")</f>
        <v/>
      </c>
      <c r="O944" s="28">
        <f>IFERROR(INDEX(MgAmenDegI,MATCH(SUBSTITUTE($H944,"*","-"),MgAmenClave,0)),"No aplica")</f>
        <v/>
      </c>
      <c r="P944" s="28">
        <f>IFERROR(INDEX(MgAmenDegC,MATCH(SUBSTITUTE($H944,"*","-"),MgAmenClave,0)),"No aplica")</f>
        <v/>
      </c>
      <c r="Q944" s="29">
        <f>IFERROR(VLOOKUP(K944,MgValor,2,0)*VLOOKUP(N944,MgDeg,2,0),0)</f>
        <v/>
      </c>
      <c r="R944" s="29">
        <f>IFERROR(VLOOKUP(L944,MgValor,2,0)*VLOOKUP(O944,MgDeg,2,0),0)</f>
        <v/>
      </c>
      <c r="S944" s="29">
        <f>IFERROR(VLOOKUP(M944,MgValor,2,0)*VLOOKUP(P944,MgDeg,2,0),0)</f>
        <v/>
      </c>
      <c r="T944" s="30">
        <f>MAX(Q944:S944)</f>
        <v/>
      </c>
      <c r="U944" s="28">
        <f>IFERROR(LOOKUP(T944,{0;0.5;1.5;3;4.5},{"Despreciable";"Bajo";"Medio";"Alto";"Muy alto"}),"")</f>
        <v/>
      </c>
      <c r="V944" s="13">
        <f>IFERROR(INDEX(MgAmenFrec,MATCH(SUBSTITUTE($H944,"*","-"),MgAmenClave,0)),"")</f>
        <v/>
      </c>
      <c r="W944" s="28">
        <f>IFERROR(LOOKUP(X944,{0;0.01;0.1;1;10;100},{"Muy baja";"Muy baja";"Baja";"Media";"Alta";"Muy alta"}),"")</f>
        <v/>
      </c>
      <c r="X944" s="31">
        <f>IFERROR(VLOOKUP(V944,MgFrec,2,0),0)</f>
        <v/>
      </c>
      <c r="Y944" s="30">
        <f>T944*X944</f>
        <v/>
      </c>
      <c r="Z944" s="28">
        <f>IFERROR(LOOKUP(Y944,{0;0.5;5;25},{"Bajo";"Medio";"Alto";"Crítico"}),"")</f>
        <v/>
      </c>
      <c r="AA944" s="64">
        <f>IF(T944&gt;=3,IF(X944&gt;=1,"Zona 1 — Crítica: impacto alto y ocurre al menos una vez al año","Zona 4 — Catastrófica poco probable: impacto alto pero excepcional"),IF(AND(T944&lt;1.5,X944&lt;1),"Zona 3 — Asumible: impacto bajo y muy poco frecuente","Zona 2 — Atención: riesgo intermedio"))</f>
        <v/>
      </c>
      <c r="AB944" s="64">
        <f>IFERROR(INDEX(MgAmenCtrl,MATCH(SUBSTITUTE($H944,"*","-"),MgAmenClave,0)),"")</f>
        <v/>
      </c>
      <c r="AC944" s="20" t="n"/>
      <c r="AD944" s="31">
        <f>IFERROR($X944*(1-IF($AC944="",$AL944,VLOOKUP($AC944,MgMad,2,0))),"")</f>
        <v/>
      </c>
      <c r="AE944" s="28">
        <f>IFERROR(LOOKUP(AD944,{0;0.01;0.1;1;10;100},{"Muy baja";"Muy baja";"Baja";"Media";"Alta";"Muy alta"}),"")</f>
        <v/>
      </c>
      <c r="AF944" s="30">
        <f>T944*AD944</f>
        <v/>
      </c>
      <c r="AG944" s="28">
        <f>IFERROR(LOOKUP(AF944,{0;0.5;5;25},{"Bajo";"Medio";"Alto";"Crítico"}),"")</f>
        <v/>
      </c>
      <c r="AH944" s="28">
        <f>IF(AG944="","",IF(OR(AG944="Crítico",AG944="Alto"),"Mitigar",IF(AG944="Medio","Mitigar","Aceptar y monitorear")))</f>
        <v/>
      </c>
      <c r="AI944" s="21" t="n"/>
      <c r="AJ944" s="21" t="n"/>
      <c r="AK944" s="20" t="n"/>
      <c r="AL944" s="77">
        <f>IFERROR(INDEX(MgAmenEfic,MATCH(SUBSTITUTE($H944,"*","-"),MgAmenClave,0)),0)</f>
        <v/>
      </c>
    </row>
    <row r="945" hidden="1" ht="120" customHeight="1" s="54">
      <c r="B945" s="59" t="inlineStr">
        <is>
          <t>R-0940</t>
        </is>
      </c>
      <c r="C945" s="59" t="inlineStr">
        <is>
          <t>FIN-04</t>
        </is>
      </c>
      <c r="D945" s="64">
        <f>IFERROR(INDEX(MgNombre,MATCH($C945,MgActId,0)),"")</f>
        <v/>
      </c>
      <c r="E945" s="64">
        <f>IFERROR(INDEX(MgProceso,MATCH($C945,MgActId,0)),"")</f>
        <v/>
      </c>
      <c r="F945" s="64">
        <f>IFERROR(INDEX(MgTipo,MATCH($C945,MgActId,0)),"")</f>
        <v/>
      </c>
      <c r="G945" s="64">
        <f>IFERROR(INDEX(MgSubtipo,MATCH($C945,MgActId,0)),"")</f>
        <v/>
      </c>
      <c r="H945" s="59" t="inlineStr">
        <is>
          <t>A.19</t>
        </is>
      </c>
      <c r="I945" s="64">
        <f>IFERROR(INDEX(MgAmenNombre,MATCH(SUBSTITUTE($H945,"*","-"),MgAmenClave,0)),"")</f>
        <v/>
      </c>
      <c r="J945" s="28">
        <f>IFERROR(INDEX(MgAmenGrupo,MATCH(SUBSTITUTE($H945,"*","-"),MgAmenClave,0)),"")</f>
        <v/>
      </c>
      <c r="K945" s="64">
        <f>IFERROR(INDEX('1. Matriz de Activos'!$Q$6:$Q$239,MATCH($C945,MgActId,0)),"")</f>
        <v/>
      </c>
      <c r="L945" s="64">
        <f>IFERROR(INDEX('1. Matriz de Activos'!$R$6:$R$239,MATCH($C945,MgActId,0)),"")</f>
        <v/>
      </c>
      <c r="M945" s="64">
        <f>IFERROR(INDEX('1. Matriz de Activos'!$S$6:$S$239,MATCH($C945,MgActId,0)),"")</f>
        <v/>
      </c>
      <c r="N945" s="28">
        <f>IFERROR(INDEX(MgAmenDegD,MATCH(SUBSTITUTE($H945,"*","-"),MgAmenClave,0)),"No aplica")</f>
        <v/>
      </c>
      <c r="O945" s="28">
        <f>IFERROR(INDEX(MgAmenDegI,MATCH(SUBSTITUTE($H945,"*","-"),MgAmenClave,0)),"No aplica")</f>
        <v/>
      </c>
      <c r="P945" s="28">
        <f>IFERROR(INDEX(MgAmenDegC,MATCH(SUBSTITUTE($H945,"*","-"),MgAmenClave,0)),"No aplica")</f>
        <v/>
      </c>
      <c r="Q945" s="29">
        <f>IFERROR(VLOOKUP(K945,MgValor,2,0)*VLOOKUP(N945,MgDeg,2,0),0)</f>
        <v/>
      </c>
      <c r="R945" s="29">
        <f>IFERROR(VLOOKUP(L945,MgValor,2,0)*VLOOKUP(O945,MgDeg,2,0),0)</f>
        <v/>
      </c>
      <c r="S945" s="29">
        <f>IFERROR(VLOOKUP(M945,MgValor,2,0)*VLOOKUP(P945,MgDeg,2,0),0)</f>
        <v/>
      </c>
      <c r="T945" s="30">
        <f>MAX(Q945:S945)</f>
        <v/>
      </c>
      <c r="U945" s="28">
        <f>IFERROR(LOOKUP(T945,{0;0.5;1.5;3;4.5},{"Despreciable";"Bajo";"Medio";"Alto";"Muy alto"}),"")</f>
        <v/>
      </c>
      <c r="V945" s="13">
        <f>IFERROR(INDEX(MgAmenFrec,MATCH(SUBSTITUTE($H945,"*","-"),MgAmenClave,0)),"")</f>
        <v/>
      </c>
      <c r="W945" s="28">
        <f>IFERROR(LOOKUP(X945,{0;0.01;0.1;1;10;100},{"Muy baja";"Muy baja";"Baja";"Media";"Alta";"Muy alta"}),"")</f>
        <v/>
      </c>
      <c r="X945" s="31">
        <f>IFERROR(VLOOKUP(V945,MgFrec,2,0),0)</f>
        <v/>
      </c>
      <c r="Y945" s="30">
        <f>T945*X945</f>
        <v/>
      </c>
      <c r="Z945" s="28">
        <f>IFERROR(LOOKUP(Y945,{0;0.5;5;25},{"Bajo";"Medio";"Alto";"Crítico"}),"")</f>
        <v/>
      </c>
      <c r="AA945" s="64">
        <f>IF(T945&gt;=3,IF(X945&gt;=1,"Zona 1 — Crítica: impacto alto y ocurre al menos una vez al año","Zona 4 — Catastrófica poco probable: impacto alto pero excepcional"),IF(AND(T945&lt;1.5,X945&lt;1),"Zona 3 — Asumible: impacto bajo y muy poco frecuente","Zona 2 — Atención: riesgo intermedio"))</f>
        <v/>
      </c>
      <c r="AB945" s="64">
        <f>IFERROR(INDEX(MgAmenCtrl,MATCH(SUBSTITUTE($H945,"*","-"),MgAmenClave,0)),"")</f>
        <v/>
      </c>
      <c r="AC945" s="20" t="n"/>
      <c r="AD945" s="31">
        <f>IFERROR($X945*(1-IF($AC945="",$AL945,VLOOKUP($AC945,MgMad,2,0))),"")</f>
        <v/>
      </c>
      <c r="AE945" s="28">
        <f>IFERROR(LOOKUP(AD945,{0;0.01;0.1;1;10;100},{"Muy baja";"Muy baja";"Baja";"Media";"Alta";"Muy alta"}),"")</f>
        <v/>
      </c>
      <c r="AF945" s="30">
        <f>T945*AD945</f>
        <v/>
      </c>
      <c r="AG945" s="28">
        <f>IFERROR(LOOKUP(AF945,{0;0.5;5;25},{"Bajo";"Medio";"Alto";"Crítico"}),"")</f>
        <v/>
      </c>
      <c r="AH945" s="28">
        <f>IF(AG945="","",IF(OR(AG945="Crítico",AG945="Alto"),"Mitigar",IF(AG945="Medio","Mitigar","Aceptar y monitorear")))</f>
        <v/>
      </c>
      <c r="AI945" s="21" t="n"/>
      <c r="AJ945" s="21" t="n"/>
      <c r="AK945" s="20" t="n"/>
      <c r="AL945" s="77">
        <f>IFERROR(INDEX(MgAmenEfic,MATCH(SUBSTITUTE($H945,"*","-"),MgAmenClave,0)),0)</f>
        <v/>
      </c>
    </row>
    <row r="946" hidden="1" ht="105" customHeight="1" s="54">
      <c r="B946" s="59" t="inlineStr">
        <is>
          <t>R-0941</t>
        </is>
      </c>
      <c r="C946" s="59" t="inlineStr">
        <is>
          <t>TAL-10</t>
        </is>
      </c>
      <c r="D946" s="64">
        <f>IFERROR(INDEX(MgNombre,MATCH($C946,MgActId,0)),"")</f>
        <v/>
      </c>
      <c r="E946" s="64">
        <f>IFERROR(INDEX(MgProceso,MATCH($C946,MgActId,0)),"")</f>
        <v/>
      </c>
      <c r="F946" s="64">
        <f>IFERROR(INDEX(MgTipo,MATCH($C946,MgActId,0)),"")</f>
        <v/>
      </c>
      <c r="G946" s="64">
        <f>IFERROR(INDEX(MgSubtipo,MATCH($C946,MgActId,0)),"")</f>
        <v/>
      </c>
      <c r="H946" s="59" t="inlineStr">
        <is>
          <t>E.1</t>
        </is>
      </c>
      <c r="I946" s="64">
        <f>IFERROR(INDEX(MgAmenNombre,MATCH(SUBSTITUTE($H946,"*","-"),MgAmenClave,0)),"")</f>
        <v/>
      </c>
      <c r="J946" s="28">
        <f>IFERROR(INDEX(MgAmenGrupo,MATCH(SUBSTITUTE($H946,"*","-"),MgAmenClave,0)),"")</f>
        <v/>
      </c>
      <c r="K946" s="64">
        <f>IFERROR(INDEX('1. Matriz de Activos'!$Q$6:$Q$239,MATCH($C946,MgActId,0)),"")</f>
        <v/>
      </c>
      <c r="L946" s="64">
        <f>IFERROR(INDEX('1. Matriz de Activos'!$R$6:$R$239,MATCH($C946,MgActId,0)),"")</f>
        <v/>
      </c>
      <c r="M946" s="64">
        <f>IFERROR(INDEX('1. Matriz de Activos'!$S$6:$S$239,MATCH($C946,MgActId,0)),"")</f>
        <v/>
      </c>
      <c r="N946" s="28">
        <f>IFERROR(INDEX(MgAmenDegD,MATCH(SUBSTITUTE($H946,"*","-"),MgAmenClave,0)),"No aplica")</f>
        <v/>
      </c>
      <c r="O946" s="28">
        <f>IFERROR(INDEX(MgAmenDegI,MATCH(SUBSTITUTE($H946,"*","-"),MgAmenClave,0)),"No aplica")</f>
        <v/>
      </c>
      <c r="P946" s="28">
        <f>IFERROR(INDEX(MgAmenDegC,MATCH(SUBSTITUTE($H946,"*","-"),MgAmenClave,0)),"No aplica")</f>
        <v/>
      </c>
      <c r="Q946" s="29">
        <f>IFERROR(VLOOKUP(K946,MgValor,2,0)*VLOOKUP(N946,MgDeg,2,0),0)</f>
        <v/>
      </c>
      <c r="R946" s="29">
        <f>IFERROR(VLOOKUP(L946,MgValor,2,0)*VLOOKUP(O946,MgDeg,2,0),0)</f>
        <v/>
      </c>
      <c r="S946" s="29">
        <f>IFERROR(VLOOKUP(M946,MgValor,2,0)*VLOOKUP(P946,MgDeg,2,0),0)</f>
        <v/>
      </c>
      <c r="T946" s="30">
        <f>MAX(Q946:S946)</f>
        <v/>
      </c>
      <c r="U946" s="28">
        <f>IFERROR(LOOKUP(T946,{0;0.5;1.5;3;4.5},{"Despreciable";"Bajo";"Medio";"Alto";"Muy alto"}),"")</f>
        <v/>
      </c>
      <c r="V946" s="13">
        <f>IFERROR(INDEX(MgAmenFrec,MATCH(SUBSTITUTE($H946,"*","-"),MgAmenClave,0)),"")</f>
        <v/>
      </c>
      <c r="W946" s="28">
        <f>IFERROR(LOOKUP(X946,{0;0.01;0.1;1;10;100},{"Muy baja";"Muy baja";"Baja";"Media";"Alta";"Muy alta"}),"")</f>
        <v/>
      </c>
      <c r="X946" s="31">
        <f>IFERROR(VLOOKUP(V946,MgFrec,2,0),0)</f>
        <v/>
      </c>
      <c r="Y946" s="30">
        <f>T946*X946</f>
        <v/>
      </c>
      <c r="Z946" s="28">
        <f>IFERROR(LOOKUP(Y946,{0;0.5;5;25},{"Bajo";"Medio";"Alto";"Crítico"}),"")</f>
        <v/>
      </c>
      <c r="AA946" s="64">
        <f>IF(T946&gt;=3,IF(X946&gt;=1,"Zona 1 — Crítica: impacto alto y ocurre al menos una vez al año","Zona 4 — Catastrófica poco probable: impacto alto pero excepcional"),IF(AND(T946&lt;1.5,X946&lt;1),"Zona 3 — Asumible: impacto bajo y muy poco frecuente","Zona 2 — Atención: riesgo intermedio"))</f>
        <v/>
      </c>
      <c r="AB946" s="64">
        <f>IFERROR(INDEX(MgAmenCtrl,MATCH(SUBSTITUTE($H946,"*","-"),MgAmenClave,0)),"")</f>
        <v/>
      </c>
      <c r="AC946" s="20" t="n"/>
      <c r="AD946" s="31">
        <f>IFERROR($X946*(1-IF($AC946="",$AL946,VLOOKUP($AC946,MgMad,2,0))),"")</f>
        <v/>
      </c>
      <c r="AE946" s="28">
        <f>IFERROR(LOOKUP(AD946,{0;0.01;0.1;1;10;100},{"Muy baja";"Muy baja";"Baja";"Media";"Alta";"Muy alta"}),"")</f>
        <v/>
      </c>
      <c r="AF946" s="30">
        <f>T946*AD946</f>
        <v/>
      </c>
      <c r="AG946" s="28">
        <f>IFERROR(LOOKUP(AF946,{0;0.5;5;25},{"Bajo";"Medio";"Alto";"Crítico"}),"")</f>
        <v/>
      </c>
      <c r="AH946" s="28">
        <f>IF(AG946="","",IF(OR(AG946="Crítico",AG946="Alto"),"Mitigar",IF(AG946="Medio","Mitigar","Aceptar y monitorear")))</f>
        <v/>
      </c>
      <c r="AI946" s="21" t="n"/>
      <c r="AJ946" s="21" t="n"/>
      <c r="AK946" s="20" t="n"/>
      <c r="AL946" s="77">
        <f>IFERROR(INDEX(MgAmenEfic,MATCH(SUBSTITUTE($H946,"*","-"),MgAmenClave,0)),0)</f>
        <v/>
      </c>
    </row>
    <row r="947" hidden="1" ht="120" customHeight="1" s="54">
      <c r="B947" s="59" t="inlineStr">
        <is>
          <t>R-0942</t>
        </is>
      </c>
      <c r="C947" s="59" t="inlineStr">
        <is>
          <t>TAL-10</t>
        </is>
      </c>
      <c r="D947" s="64">
        <f>IFERROR(INDEX(MgNombre,MATCH($C947,MgActId,0)),"")</f>
        <v/>
      </c>
      <c r="E947" s="64">
        <f>IFERROR(INDEX(MgProceso,MATCH($C947,MgActId,0)),"")</f>
        <v/>
      </c>
      <c r="F947" s="64">
        <f>IFERROR(INDEX(MgTipo,MATCH($C947,MgActId,0)),"")</f>
        <v/>
      </c>
      <c r="G947" s="64">
        <f>IFERROR(INDEX(MgSubtipo,MATCH($C947,MgActId,0)),"")</f>
        <v/>
      </c>
      <c r="H947" s="59" t="inlineStr">
        <is>
          <t>E.2</t>
        </is>
      </c>
      <c r="I947" s="64">
        <f>IFERROR(INDEX(MgAmenNombre,MATCH(SUBSTITUTE($H947,"*","-"),MgAmenClave,0)),"")</f>
        <v/>
      </c>
      <c r="J947" s="28">
        <f>IFERROR(INDEX(MgAmenGrupo,MATCH(SUBSTITUTE($H947,"*","-"),MgAmenClave,0)),"")</f>
        <v/>
      </c>
      <c r="K947" s="64">
        <f>IFERROR(INDEX('1. Matriz de Activos'!$Q$6:$Q$239,MATCH($C947,MgActId,0)),"")</f>
        <v/>
      </c>
      <c r="L947" s="64">
        <f>IFERROR(INDEX('1. Matriz de Activos'!$R$6:$R$239,MATCH($C947,MgActId,0)),"")</f>
        <v/>
      </c>
      <c r="M947" s="64">
        <f>IFERROR(INDEX('1. Matriz de Activos'!$S$6:$S$239,MATCH($C947,MgActId,0)),"")</f>
        <v/>
      </c>
      <c r="N947" s="28">
        <f>IFERROR(INDEX(MgAmenDegD,MATCH(SUBSTITUTE($H947,"*","-"),MgAmenClave,0)),"No aplica")</f>
        <v/>
      </c>
      <c r="O947" s="28">
        <f>IFERROR(INDEX(MgAmenDegI,MATCH(SUBSTITUTE($H947,"*","-"),MgAmenClave,0)),"No aplica")</f>
        <v/>
      </c>
      <c r="P947" s="28">
        <f>IFERROR(INDEX(MgAmenDegC,MATCH(SUBSTITUTE($H947,"*","-"),MgAmenClave,0)),"No aplica")</f>
        <v/>
      </c>
      <c r="Q947" s="29">
        <f>IFERROR(VLOOKUP(K947,MgValor,2,0)*VLOOKUP(N947,MgDeg,2,0),0)</f>
        <v/>
      </c>
      <c r="R947" s="29">
        <f>IFERROR(VLOOKUP(L947,MgValor,2,0)*VLOOKUP(O947,MgDeg,2,0),0)</f>
        <v/>
      </c>
      <c r="S947" s="29">
        <f>IFERROR(VLOOKUP(M947,MgValor,2,0)*VLOOKUP(P947,MgDeg,2,0),0)</f>
        <v/>
      </c>
      <c r="T947" s="30">
        <f>MAX(Q947:S947)</f>
        <v/>
      </c>
      <c r="U947" s="28">
        <f>IFERROR(LOOKUP(T947,{0;0.5;1.5;3;4.5},{"Despreciable";"Bajo";"Medio";"Alto";"Muy alto"}),"")</f>
        <v/>
      </c>
      <c r="V947" s="13">
        <f>IFERROR(INDEX(MgAmenFrec,MATCH(SUBSTITUTE($H947,"*","-"),MgAmenClave,0)),"")</f>
        <v/>
      </c>
      <c r="W947" s="28">
        <f>IFERROR(LOOKUP(X947,{0;0.01;0.1;1;10;100},{"Muy baja";"Muy baja";"Baja";"Media";"Alta";"Muy alta"}),"")</f>
        <v/>
      </c>
      <c r="X947" s="31">
        <f>IFERROR(VLOOKUP(V947,MgFrec,2,0),0)</f>
        <v/>
      </c>
      <c r="Y947" s="30">
        <f>T947*X947</f>
        <v/>
      </c>
      <c r="Z947" s="28">
        <f>IFERROR(LOOKUP(Y947,{0;0.5;5;25},{"Bajo";"Medio";"Alto";"Crítico"}),"")</f>
        <v/>
      </c>
      <c r="AA947" s="64">
        <f>IF(T947&gt;=3,IF(X947&gt;=1,"Zona 1 — Crítica: impacto alto y ocurre al menos una vez al año","Zona 4 — Catastrófica poco probable: impacto alto pero excepcional"),IF(AND(T947&lt;1.5,X947&lt;1),"Zona 3 — Asumible: impacto bajo y muy poco frecuente","Zona 2 — Atención: riesgo intermedio"))</f>
        <v/>
      </c>
      <c r="AB947" s="64">
        <f>IFERROR(INDEX(MgAmenCtrl,MATCH(SUBSTITUTE($H947,"*","-"),MgAmenClave,0)),"")</f>
        <v/>
      </c>
      <c r="AC947" s="20" t="n"/>
      <c r="AD947" s="31">
        <f>IFERROR($X947*(1-IF($AC947="",$AL947,VLOOKUP($AC947,MgMad,2,0))),"")</f>
        <v/>
      </c>
      <c r="AE947" s="28">
        <f>IFERROR(LOOKUP(AD947,{0;0.01;0.1;1;10;100},{"Muy baja";"Muy baja";"Baja";"Media";"Alta";"Muy alta"}),"")</f>
        <v/>
      </c>
      <c r="AF947" s="30">
        <f>T947*AD947</f>
        <v/>
      </c>
      <c r="AG947" s="28">
        <f>IFERROR(LOOKUP(AF947,{0;0.5;5;25},{"Bajo";"Medio";"Alto";"Crítico"}),"")</f>
        <v/>
      </c>
      <c r="AH947" s="28">
        <f>IF(AG947="","",IF(OR(AG947="Crítico",AG947="Alto"),"Mitigar",IF(AG947="Medio","Mitigar","Aceptar y monitorear")))</f>
        <v/>
      </c>
      <c r="AI947" s="21" t="n"/>
      <c r="AJ947" s="21" t="n"/>
      <c r="AK947" s="20" t="n"/>
      <c r="AL947" s="77">
        <f>IFERROR(INDEX(MgAmenEfic,MATCH(SUBSTITUTE($H947,"*","-"),MgAmenClave,0)),0)</f>
        <v/>
      </c>
    </row>
    <row r="948" hidden="1" ht="75" customHeight="1" s="54">
      <c r="B948" s="59" t="inlineStr">
        <is>
          <t>R-0943</t>
        </is>
      </c>
      <c r="C948" s="59" t="inlineStr">
        <is>
          <t>TAL-10</t>
        </is>
      </c>
      <c r="D948" s="64">
        <f>IFERROR(INDEX(MgNombre,MATCH($C948,MgActId,0)),"")</f>
        <v/>
      </c>
      <c r="E948" s="64">
        <f>IFERROR(INDEX(MgProceso,MATCH($C948,MgActId,0)),"")</f>
        <v/>
      </c>
      <c r="F948" s="64">
        <f>IFERROR(INDEX(MgTipo,MATCH($C948,MgActId,0)),"")</f>
        <v/>
      </c>
      <c r="G948" s="64">
        <f>IFERROR(INDEX(MgSubtipo,MATCH($C948,MgActId,0)),"")</f>
        <v/>
      </c>
      <c r="H948" s="59" t="inlineStr">
        <is>
          <t>E.3</t>
        </is>
      </c>
      <c r="I948" s="64">
        <f>IFERROR(INDEX(MgAmenNombre,MATCH(SUBSTITUTE($H948,"*","-"),MgAmenClave,0)),"")</f>
        <v/>
      </c>
      <c r="J948" s="28">
        <f>IFERROR(INDEX(MgAmenGrupo,MATCH(SUBSTITUTE($H948,"*","-"),MgAmenClave,0)),"")</f>
        <v/>
      </c>
      <c r="K948" s="64">
        <f>IFERROR(INDEX('1. Matriz de Activos'!$Q$6:$Q$239,MATCH($C948,MgActId,0)),"")</f>
        <v/>
      </c>
      <c r="L948" s="64">
        <f>IFERROR(INDEX('1. Matriz de Activos'!$R$6:$R$239,MATCH($C948,MgActId,0)),"")</f>
        <v/>
      </c>
      <c r="M948" s="64">
        <f>IFERROR(INDEX('1. Matriz de Activos'!$S$6:$S$239,MATCH($C948,MgActId,0)),"")</f>
        <v/>
      </c>
      <c r="N948" s="28">
        <f>IFERROR(INDEX(MgAmenDegD,MATCH(SUBSTITUTE($H948,"*","-"),MgAmenClave,0)),"No aplica")</f>
        <v/>
      </c>
      <c r="O948" s="28">
        <f>IFERROR(INDEX(MgAmenDegI,MATCH(SUBSTITUTE($H948,"*","-"),MgAmenClave,0)),"No aplica")</f>
        <v/>
      </c>
      <c r="P948" s="28">
        <f>IFERROR(INDEX(MgAmenDegC,MATCH(SUBSTITUTE($H948,"*","-"),MgAmenClave,0)),"No aplica")</f>
        <v/>
      </c>
      <c r="Q948" s="29">
        <f>IFERROR(VLOOKUP(K948,MgValor,2,0)*VLOOKUP(N948,MgDeg,2,0),0)</f>
        <v/>
      </c>
      <c r="R948" s="29">
        <f>IFERROR(VLOOKUP(L948,MgValor,2,0)*VLOOKUP(O948,MgDeg,2,0),0)</f>
        <v/>
      </c>
      <c r="S948" s="29">
        <f>IFERROR(VLOOKUP(M948,MgValor,2,0)*VLOOKUP(P948,MgDeg,2,0),0)</f>
        <v/>
      </c>
      <c r="T948" s="30">
        <f>MAX(Q948:S948)</f>
        <v/>
      </c>
      <c r="U948" s="28">
        <f>IFERROR(LOOKUP(T948,{0;0.5;1.5;3;4.5},{"Despreciable";"Bajo";"Medio";"Alto";"Muy alto"}),"")</f>
        <v/>
      </c>
      <c r="V948" s="13">
        <f>IFERROR(INDEX(MgAmenFrec,MATCH(SUBSTITUTE($H948,"*","-"),MgAmenClave,0)),"")</f>
        <v/>
      </c>
      <c r="W948" s="28">
        <f>IFERROR(LOOKUP(X948,{0;0.01;0.1;1;10;100},{"Muy baja";"Muy baja";"Baja";"Media";"Alta";"Muy alta"}),"")</f>
        <v/>
      </c>
      <c r="X948" s="31">
        <f>IFERROR(VLOOKUP(V948,MgFrec,2,0),0)</f>
        <v/>
      </c>
      <c r="Y948" s="30">
        <f>T948*X948</f>
        <v/>
      </c>
      <c r="Z948" s="28">
        <f>IFERROR(LOOKUP(Y948,{0;0.5;5;25},{"Bajo";"Medio";"Alto";"Crítico"}),"")</f>
        <v/>
      </c>
      <c r="AA948" s="64">
        <f>IF(T948&gt;=3,IF(X948&gt;=1,"Zona 1 — Crítica: impacto alto y ocurre al menos una vez al año","Zona 4 — Catastrófica poco probable: impacto alto pero excepcional"),IF(AND(T948&lt;1.5,X948&lt;1),"Zona 3 — Asumible: impacto bajo y muy poco frecuente","Zona 2 — Atención: riesgo intermedio"))</f>
        <v/>
      </c>
      <c r="AB948" s="64">
        <f>IFERROR(INDEX(MgAmenCtrl,MATCH(SUBSTITUTE($H948,"*","-"),MgAmenClave,0)),"")</f>
        <v/>
      </c>
      <c r="AC948" s="20" t="n"/>
      <c r="AD948" s="31">
        <f>IFERROR($X948*(1-IF($AC948="",$AL948,VLOOKUP($AC948,MgMad,2,0))),"")</f>
        <v/>
      </c>
      <c r="AE948" s="28">
        <f>IFERROR(LOOKUP(AD948,{0;0.01;0.1;1;10;100},{"Muy baja";"Muy baja";"Baja";"Media";"Alta";"Muy alta"}),"")</f>
        <v/>
      </c>
      <c r="AF948" s="30">
        <f>T948*AD948</f>
        <v/>
      </c>
      <c r="AG948" s="28">
        <f>IFERROR(LOOKUP(AF948,{0;0.5;5;25},{"Bajo";"Medio";"Alto";"Crítico"}),"")</f>
        <v/>
      </c>
      <c r="AH948" s="28">
        <f>IF(AG948="","",IF(OR(AG948="Crítico",AG948="Alto"),"Mitigar",IF(AG948="Medio","Mitigar","Aceptar y monitorear")))</f>
        <v/>
      </c>
      <c r="AI948" s="21" t="n"/>
      <c r="AJ948" s="21" t="n"/>
      <c r="AK948" s="20" t="n"/>
      <c r="AL948" s="77">
        <f>IFERROR(INDEX(MgAmenEfic,MATCH(SUBSTITUTE($H948,"*","-"),MgAmenClave,0)),0)</f>
        <v/>
      </c>
    </row>
    <row r="949" hidden="1" ht="75" customHeight="1" s="54">
      <c r="B949" s="59" t="inlineStr">
        <is>
          <t>R-0944</t>
        </is>
      </c>
      <c r="C949" s="59" t="inlineStr">
        <is>
          <t>TAL-10</t>
        </is>
      </c>
      <c r="D949" s="64">
        <f>IFERROR(INDEX(MgNombre,MATCH($C949,MgActId,0)),"")</f>
        <v/>
      </c>
      <c r="E949" s="64">
        <f>IFERROR(INDEX(MgProceso,MATCH($C949,MgActId,0)),"")</f>
        <v/>
      </c>
      <c r="F949" s="64">
        <f>IFERROR(INDEX(MgTipo,MATCH($C949,MgActId,0)),"")</f>
        <v/>
      </c>
      <c r="G949" s="64">
        <f>IFERROR(INDEX(MgSubtipo,MATCH($C949,MgActId,0)),"")</f>
        <v/>
      </c>
      <c r="H949" s="59" t="inlineStr">
        <is>
          <t>E.4</t>
        </is>
      </c>
      <c r="I949" s="64">
        <f>IFERROR(INDEX(MgAmenNombre,MATCH(SUBSTITUTE($H949,"*","-"),MgAmenClave,0)),"")</f>
        <v/>
      </c>
      <c r="J949" s="28">
        <f>IFERROR(INDEX(MgAmenGrupo,MATCH(SUBSTITUTE($H949,"*","-"),MgAmenClave,0)),"")</f>
        <v/>
      </c>
      <c r="K949" s="64">
        <f>IFERROR(INDEX('1. Matriz de Activos'!$Q$6:$Q$239,MATCH($C949,MgActId,0)),"")</f>
        <v/>
      </c>
      <c r="L949" s="64">
        <f>IFERROR(INDEX('1. Matriz de Activos'!$R$6:$R$239,MATCH($C949,MgActId,0)),"")</f>
        <v/>
      </c>
      <c r="M949" s="64">
        <f>IFERROR(INDEX('1. Matriz de Activos'!$S$6:$S$239,MATCH($C949,MgActId,0)),"")</f>
        <v/>
      </c>
      <c r="N949" s="28">
        <f>IFERROR(INDEX(MgAmenDegD,MATCH(SUBSTITUTE($H949,"*","-"),MgAmenClave,0)),"No aplica")</f>
        <v/>
      </c>
      <c r="O949" s="28">
        <f>IFERROR(INDEX(MgAmenDegI,MATCH(SUBSTITUTE($H949,"*","-"),MgAmenClave,0)),"No aplica")</f>
        <v/>
      </c>
      <c r="P949" s="28">
        <f>IFERROR(INDEX(MgAmenDegC,MATCH(SUBSTITUTE($H949,"*","-"),MgAmenClave,0)),"No aplica")</f>
        <v/>
      </c>
      <c r="Q949" s="29">
        <f>IFERROR(VLOOKUP(K949,MgValor,2,0)*VLOOKUP(N949,MgDeg,2,0),0)</f>
        <v/>
      </c>
      <c r="R949" s="29">
        <f>IFERROR(VLOOKUP(L949,MgValor,2,0)*VLOOKUP(O949,MgDeg,2,0),0)</f>
        <v/>
      </c>
      <c r="S949" s="29">
        <f>IFERROR(VLOOKUP(M949,MgValor,2,0)*VLOOKUP(P949,MgDeg,2,0),0)</f>
        <v/>
      </c>
      <c r="T949" s="30">
        <f>MAX(Q949:S949)</f>
        <v/>
      </c>
      <c r="U949" s="28">
        <f>IFERROR(LOOKUP(T949,{0;0.5;1.5;3;4.5},{"Despreciable";"Bajo";"Medio";"Alto";"Muy alto"}),"")</f>
        <v/>
      </c>
      <c r="V949" s="13">
        <f>IFERROR(INDEX(MgAmenFrec,MATCH(SUBSTITUTE($H949,"*","-"),MgAmenClave,0)),"")</f>
        <v/>
      </c>
      <c r="W949" s="28">
        <f>IFERROR(LOOKUP(X949,{0;0.01;0.1;1;10;100},{"Muy baja";"Muy baja";"Baja";"Media";"Alta";"Muy alta"}),"")</f>
        <v/>
      </c>
      <c r="X949" s="31">
        <f>IFERROR(VLOOKUP(V949,MgFrec,2,0),0)</f>
        <v/>
      </c>
      <c r="Y949" s="30">
        <f>T949*X949</f>
        <v/>
      </c>
      <c r="Z949" s="28">
        <f>IFERROR(LOOKUP(Y949,{0;0.5;5;25},{"Bajo";"Medio";"Alto";"Crítico"}),"")</f>
        <v/>
      </c>
      <c r="AA949" s="64">
        <f>IF(T949&gt;=3,IF(X949&gt;=1,"Zona 1 — Crítica: impacto alto y ocurre al menos una vez al año","Zona 4 — Catastrófica poco probable: impacto alto pero excepcional"),IF(AND(T949&lt;1.5,X949&lt;1),"Zona 3 — Asumible: impacto bajo y muy poco frecuente","Zona 2 — Atención: riesgo intermedio"))</f>
        <v/>
      </c>
      <c r="AB949" s="64">
        <f>IFERROR(INDEX(MgAmenCtrl,MATCH(SUBSTITUTE($H949,"*","-"),MgAmenClave,0)),"")</f>
        <v/>
      </c>
      <c r="AC949" s="20" t="n"/>
      <c r="AD949" s="31">
        <f>IFERROR($X949*(1-IF($AC949="",$AL949,VLOOKUP($AC949,MgMad,2,0))),"")</f>
        <v/>
      </c>
      <c r="AE949" s="28">
        <f>IFERROR(LOOKUP(AD949,{0;0.01;0.1;1;10;100},{"Muy baja";"Muy baja";"Baja";"Media";"Alta";"Muy alta"}),"")</f>
        <v/>
      </c>
      <c r="AF949" s="30">
        <f>T949*AD949</f>
        <v/>
      </c>
      <c r="AG949" s="28">
        <f>IFERROR(LOOKUP(AF949,{0;0.5;5;25},{"Bajo";"Medio";"Alto";"Crítico"}),"")</f>
        <v/>
      </c>
      <c r="AH949" s="28">
        <f>IF(AG949="","",IF(OR(AG949="Crítico",AG949="Alto"),"Mitigar",IF(AG949="Medio","Mitigar","Aceptar y monitorear")))</f>
        <v/>
      </c>
      <c r="AI949" s="21" t="n"/>
      <c r="AJ949" s="21" t="n"/>
      <c r="AK949" s="20" t="n"/>
      <c r="AL949" s="77">
        <f>IFERROR(INDEX(MgAmenEfic,MATCH(SUBSTITUTE($H949,"*","-"),MgAmenClave,0)),0)</f>
        <v/>
      </c>
    </row>
    <row r="950" hidden="1" ht="90" customHeight="1" s="54">
      <c r="B950" s="59" t="inlineStr">
        <is>
          <t>R-0945</t>
        </is>
      </c>
      <c r="C950" s="59" t="inlineStr">
        <is>
          <t>TAL-10</t>
        </is>
      </c>
      <c r="D950" s="64">
        <f>IFERROR(INDEX(MgNombre,MATCH($C950,MgActId,0)),"")</f>
        <v/>
      </c>
      <c r="E950" s="64">
        <f>IFERROR(INDEX(MgProceso,MATCH($C950,MgActId,0)),"")</f>
        <v/>
      </c>
      <c r="F950" s="64">
        <f>IFERROR(INDEX(MgTipo,MATCH($C950,MgActId,0)),"")</f>
        <v/>
      </c>
      <c r="G950" s="64">
        <f>IFERROR(INDEX(MgSubtipo,MATCH($C950,MgActId,0)),"")</f>
        <v/>
      </c>
      <c r="H950" s="59" t="inlineStr">
        <is>
          <t>E.14</t>
        </is>
      </c>
      <c r="I950" s="64">
        <f>IFERROR(INDEX(MgAmenNombre,MATCH(SUBSTITUTE($H950,"*","-"),MgAmenClave,0)),"")</f>
        <v/>
      </c>
      <c r="J950" s="28">
        <f>IFERROR(INDEX(MgAmenGrupo,MATCH(SUBSTITUTE($H950,"*","-"),MgAmenClave,0)),"")</f>
        <v/>
      </c>
      <c r="K950" s="64">
        <f>IFERROR(INDEX('1. Matriz de Activos'!$Q$6:$Q$239,MATCH($C950,MgActId,0)),"")</f>
        <v/>
      </c>
      <c r="L950" s="64">
        <f>IFERROR(INDEX('1. Matriz de Activos'!$R$6:$R$239,MATCH($C950,MgActId,0)),"")</f>
        <v/>
      </c>
      <c r="M950" s="64">
        <f>IFERROR(INDEX('1. Matriz de Activos'!$S$6:$S$239,MATCH($C950,MgActId,0)),"")</f>
        <v/>
      </c>
      <c r="N950" s="28">
        <f>IFERROR(INDEX(MgAmenDegD,MATCH(SUBSTITUTE($H950,"*","-"),MgAmenClave,0)),"No aplica")</f>
        <v/>
      </c>
      <c r="O950" s="28">
        <f>IFERROR(INDEX(MgAmenDegI,MATCH(SUBSTITUTE($H950,"*","-"),MgAmenClave,0)),"No aplica")</f>
        <v/>
      </c>
      <c r="P950" s="28">
        <f>IFERROR(INDEX(MgAmenDegC,MATCH(SUBSTITUTE($H950,"*","-"),MgAmenClave,0)),"No aplica")</f>
        <v/>
      </c>
      <c r="Q950" s="29">
        <f>IFERROR(VLOOKUP(K950,MgValor,2,0)*VLOOKUP(N950,MgDeg,2,0),0)</f>
        <v/>
      </c>
      <c r="R950" s="29">
        <f>IFERROR(VLOOKUP(L950,MgValor,2,0)*VLOOKUP(O950,MgDeg,2,0),0)</f>
        <v/>
      </c>
      <c r="S950" s="29">
        <f>IFERROR(VLOOKUP(M950,MgValor,2,0)*VLOOKUP(P950,MgDeg,2,0),0)</f>
        <v/>
      </c>
      <c r="T950" s="30">
        <f>MAX(Q950:S950)</f>
        <v/>
      </c>
      <c r="U950" s="28">
        <f>IFERROR(LOOKUP(T950,{0;0.5;1.5;3;4.5},{"Despreciable";"Bajo";"Medio";"Alto";"Muy alto"}),"")</f>
        <v/>
      </c>
      <c r="V950" s="13">
        <f>IFERROR(INDEX(MgAmenFrec,MATCH(SUBSTITUTE($H950,"*","-"),MgAmenClave,0)),"")</f>
        <v/>
      </c>
      <c r="W950" s="28">
        <f>IFERROR(LOOKUP(X950,{0;0.01;0.1;1;10;100},{"Muy baja";"Muy baja";"Baja";"Media";"Alta";"Muy alta"}),"")</f>
        <v/>
      </c>
      <c r="X950" s="31">
        <f>IFERROR(VLOOKUP(V950,MgFrec,2,0),0)</f>
        <v/>
      </c>
      <c r="Y950" s="30">
        <f>T950*X950</f>
        <v/>
      </c>
      <c r="Z950" s="28">
        <f>IFERROR(LOOKUP(Y950,{0;0.5;5;25},{"Bajo";"Medio";"Alto";"Crítico"}),"")</f>
        <v/>
      </c>
      <c r="AA950" s="64">
        <f>IF(T950&gt;=3,IF(X950&gt;=1,"Zona 1 — Crítica: impacto alto y ocurre al menos una vez al año","Zona 4 — Catastrófica poco probable: impacto alto pero excepcional"),IF(AND(T950&lt;1.5,X950&lt;1),"Zona 3 — Asumible: impacto bajo y muy poco frecuente","Zona 2 — Atención: riesgo intermedio"))</f>
        <v/>
      </c>
      <c r="AB950" s="64">
        <f>IFERROR(INDEX(MgAmenCtrl,MATCH(SUBSTITUTE($H950,"*","-"),MgAmenClave,0)),"")</f>
        <v/>
      </c>
      <c r="AC950" s="20" t="n"/>
      <c r="AD950" s="31">
        <f>IFERROR($X950*(1-IF($AC950="",$AL950,VLOOKUP($AC950,MgMad,2,0))),"")</f>
        <v/>
      </c>
      <c r="AE950" s="28">
        <f>IFERROR(LOOKUP(AD950,{0;0.01;0.1;1;10;100},{"Muy baja";"Muy baja";"Baja";"Media";"Alta";"Muy alta"}),"")</f>
        <v/>
      </c>
      <c r="AF950" s="30">
        <f>T950*AD950</f>
        <v/>
      </c>
      <c r="AG950" s="28">
        <f>IFERROR(LOOKUP(AF950,{0;0.5;5;25},{"Bajo";"Medio";"Alto";"Crítico"}),"")</f>
        <v/>
      </c>
      <c r="AH950" s="28">
        <f>IF(AG950="","",IF(OR(AG950="Crítico",AG950="Alto"),"Mitigar",IF(AG950="Medio","Mitigar","Aceptar y monitorear")))</f>
        <v/>
      </c>
      <c r="AI950" s="21" t="n"/>
      <c r="AJ950" s="21" t="n"/>
      <c r="AK950" s="20" t="n"/>
      <c r="AL950" s="77">
        <f>IFERROR(INDEX(MgAmenEfic,MATCH(SUBSTITUTE($H950,"*","-"),MgAmenClave,0)),0)</f>
        <v/>
      </c>
    </row>
    <row r="951" hidden="1" ht="90" customHeight="1" s="54">
      <c r="B951" s="59" t="inlineStr">
        <is>
          <t>R-0946</t>
        </is>
      </c>
      <c r="C951" s="59" t="inlineStr">
        <is>
          <t>TAL-10</t>
        </is>
      </c>
      <c r="D951" s="64">
        <f>IFERROR(INDEX(MgNombre,MATCH($C951,MgActId,0)),"")</f>
        <v/>
      </c>
      <c r="E951" s="64">
        <f>IFERROR(INDEX(MgProceso,MATCH($C951,MgActId,0)),"")</f>
        <v/>
      </c>
      <c r="F951" s="64">
        <f>IFERROR(INDEX(MgTipo,MATCH($C951,MgActId,0)),"")</f>
        <v/>
      </c>
      <c r="G951" s="64">
        <f>IFERROR(INDEX(MgSubtipo,MATCH($C951,MgActId,0)),"")</f>
        <v/>
      </c>
      <c r="H951" s="59" t="inlineStr">
        <is>
          <t>E.15</t>
        </is>
      </c>
      <c r="I951" s="64">
        <f>IFERROR(INDEX(MgAmenNombre,MATCH(SUBSTITUTE($H951,"*","-"),MgAmenClave,0)),"")</f>
        <v/>
      </c>
      <c r="J951" s="28">
        <f>IFERROR(INDEX(MgAmenGrupo,MATCH(SUBSTITUTE($H951,"*","-"),MgAmenClave,0)),"")</f>
        <v/>
      </c>
      <c r="K951" s="64">
        <f>IFERROR(INDEX('1. Matriz de Activos'!$Q$6:$Q$239,MATCH($C951,MgActId,0)),"")</f>
        <v/>
      </c>
      <c r="L951" s="64">
        <f>IFERROR(INDEX('1. Matriz de Activos'!$R$6:$R$239,MATCH($C951,MgActId,0)),"")</f>
        <v/>
      </c>
      <c r="M951" s="64">
        <f>IFERROR(INDEX('1. Matriz de Activos'!$S$6:$S$239,MATCH($C951,MgActId,0)),"")</f>
        <v/>
      </c>
      <c r="N951" s="28">
        <f>IFERROR(INDEX(MgAmenDegD,MATCH(SUBSTITUTE($H951,"*","-"),MgAmenClave,0)),"No aplica")</f>
        <v/>
      </c>
      <c r="O951" s="28">
        <f>IFERROR(INDEX(MgAmenDegI,MATCH(SUBSTITUTE($H951,"*","-"),MgAmenClave,0)),"No aplica")</f>
        <v/>
      </c>
      <c r="P951" s="28">
        <f>IFERROR(INDEX(MgAmenDegC,MATCH(SUBSTITUTE($H951,"*","-"),MgAmenClave,0)),"No aplica")</f>
        <v/>
      </c>
      <c r="Q951" s="29">
        <f>IFERROR(VLOOKUP(K951,MgValor,2,0)*VLOOKUP(N951,MgDeg,2,0),0)</f>
        <v/>
      </c>
      <c r="R951" s="29">
        <f>IFERROR(VLOOKUP(L951,MgValor,2,0)*VLOOKUP(O951,MgDeg,2,0),0)</f>
        <v/>
      </c>
      <c r="S951" s="29">
        <f>IFERROR(VLOOKUP(M951,MgValor,2,0)*VLOOKUP(P951,MgDeg,2,0),0)</f>
        <v/>
      </c>
      <c r="T951" s="30">
        <f>MAX(Q951:S951)</f>
        <v/>
      </c>
      <c r="U951" s="28">
        <f>IFERROR(LOOKUP(T951,{0;0.5;1.5;3;4.5},{"Despreciable";"Bajo";"Medio";"Alto";"Muy alto"}),"")</f>
        <v/>
      </c>
      <c r="V951" s="13">
        <f>IFERROR(INDEX(MgAmenFrec,MATCH(SUBSTITUTE($H951,"*","-"),MgAmenClave,0)),"")</f>
        <v/>
      </c>
      <c r="W951" s="28">
        <f>IFERROR(LOOKUP(X951,{0;0.01;0.1;1;10;100},{"Muy baja";"Muy baja";"Baja";"Media";"Alta";"Muy alta"}),"")</f>
        <v/>
      </c>
      <c r="X951" s="31">
        <f>IFERROR(VLOOKUP(V951,MgFrec,2,0),0)</f>
        <v/>
      </c>
      <c r="Y951" s="30">
        <f>T951*X951</f>
        <v/>
      </c>
      <c r="Z951" s="28">
        <f>IFERROR(LOOKUP(Y951,{0;0.5;5;25},{"Bajo";"Medio";"Alto";"Crítico"}),"")</f>
        <v/>
      </c>
      <c r="AA951" s="64">
        <f>IF(T951&gt;=3,IF(X951&gt;=1,"Zona 1 — Crítica: impacto alto y ocurre al menos una vez al año","Zona 4 — Catastrófica poco probable: impacto alto pero excepcional"),IF(AND(T951&lt;1.5,X951&lt;1),"Zona 3 — Asumible: impacto bajo y muy poco frecuente","Zona 2 — Atención: riesgo intermedio"))</f>
        <v/>
      </c>
      <c r="AB951" s="64">
        <f>IFERROR(INDEX(MgAmenCtrl,MATCH(SUBSTITUTE($H951,"*","-"),MgAmenClave,0)),"")</f>
        <v/>
      </c>
      <c r="AC951" s="20" t="n"/>
      <c r="AD951" s="31">
        <f>IFERROR($X951*(1-IF($AC951="",$AL951,VLOOKUP($AC951,MgMad,2,0))),"")</f>
        <v/>
      </c>
      <c r="AE951" s="28">
        <f>IFERROR(LOOKUP(AD951,{0;0.01;0.1;1;10;100},{"Muy baja";"Muy baja";"Baja";"Media";"Alta";"Muy alta"}),"")</f>
        <v/>
      </c>
      <c r="AF951" s="30">
        <f>T951*AD951</f>
        <v/>
      </c>
      <c r="AG951" s="28">
        <f>IFERROR(LOOKUP(AF951,{0;0.5;5;25},{"Bajo";"Medio";"Alto";"Crítico"}),"")</f>
        <v/>
      </c>
      <c r="AH951" s="28">
        <f>IF(AG951="","",IF(OR(AG951="Crítico",AG951="Alto"),"Mitigar",IF(AG951="Medio","Mitigar","Aceptar y monitorear")))</f>
        <v/>
      </c>
      <c r="AI951" s="21" t="n"/>
      <c r="AJ951" s="21" t="n"/>
      <c r="AK951" s="20" t="n"/>
      <c r="AL951" s="77">
        <f>IFERROR(INDEX(MgAmenEfic,MATCH(SUBSTITUTE($H951,"*","-"),MgAmenClave,0)),0)</f>
        <v/>
      </c>
    </row>
    <row r="952" hidden="1" ht="60" customHeight="1" s="54">
      <c r="B952" s="59" t="inlineStr">
        <is>
          <t>R-0947</t>
        </is>
      </c>
      <c r="C952" s="59" t="inlineStr">
        <is>
          <t>TAL-10</t>
        </is>
      </c>
      <c r="D952" s="64">
        <f>IFERROR(INDEX(MgNombre,MATCH($C952,MgActId,0)),"")</f>
        <v/>
      </c>
      <c r="E952" s="64">
        <f>IFERROR(INDEX(MgProceso,MATCH($C952,MgActId,0)),"")</f>
        <v/>
      </c>
      <c r="F952" s="64">
        <f>IFERROR(INDEX(MgTipo,MATCH($C952,MgActId,0)),"")</f>
        <v/>
      </c>
      <c r="G952" s="64">
        <f>IFERROR(INDEX(MgSubtipo,MATCH($C952,MgActId,0)),"")</f>
        <v/>
      </c>
      <c r="H952" s="59" t="inlineStr">
        <is>
          <t>E.18</t>
        </is>
      </c>
      <c r="I952" s="64">
        <f>IFERROR(INDEX(MgAmenNombre,MATCH(SUBSTITUTE($H952,"*","-"),MgAmenClave,0)),"")</f>
        <v/>
      </c>
      <c r="J952" s="28">
        <f>IFERROR(INDEX(MgAmenGrupo,MATCH(SUBSTITUTE($H952,"*","-"),MgAmenClave,0)),"")</f>
        <v/>
      </c>
      <c r="K952" s="64">
        <f>IFERROR(INDEX('1. Matriz de Activos'!$Q$6:$Q$239,MATCH($C952,MgActId,0)),"")</f>
        <v/>
      </c>
      <c r="L952" s="64">
        <f>IFERROR(INDEX('1. Matriz de Activos'!$R$6:$R$239,MATCH($C952,MgActId,0)),"")</f>
        <v/>
      </c>
      <c r="M952" s="64">
        <f>IFERROR(INDEX('1. Matriz de Activos'!$S$6:$S$239,MATCH($C952,MgActId,0)),"")</f>
        <v/>
      </c>
      <c r="N952" s="28">
        <f>IFERROR(INDEX(MgAmenDegD,MATCH(SUBSTITUTE($H952,"*","-"),MgAmenClave,0)),"No aplica")</f>
        <v/>
      </c>
      <c r="O952" s="28">
        <f>IFERROR(INDEX(MgAmenDegI,MATCH(SUBSTITUTE($H952,"*","-"),MgAmenClave,0)),"No aplica")</f>
        <v/>
      </c>
      <c r="P952" s="28">
        <f>IFERROR(INDEX(MgAmenDegC,MATCH(SUBSTITUTE($H952,"*","-"),MgAmenClave,0)),"No aplica")</f>
        <v/>
      </c>
      <c r="Q952" s="29">
        <f>IFERROR(VLOOKUP(K952,MgValor,2,0)*VLOOKUP(N952,MgDeg,2,0),0)</f>
        <v/>
      </c>
      <c r="R952" s="29">
        <f>IFERROR(VLOOKUP(L952,MgValor,2,0)*VLOOKUP(O952,MgDeg,2,0),0)</f>
        <v/>
      </c>
      <c r="S952" s="29">
        <f>IFERROR(VLOOKUP(M952,MgValor,2,0)*VLOOKUP(P952,MgDeg,2,0),0)</f>
        <v/>
      </c>
      <c r="T952" s="30">
        <f>MAX(Q952:S952)</f>
        <v/>
      </c>
      <c r="U952" s="28">
        <f>IFERROR(LOOKUP(T952,{0;0.5;1.5;3;4.5},{"Despreciable";"Bajo";"Medio";"Alto";"Muy alto"}),"")</f>
        <v/>
      </c>
      <c r="V952" s="13">
        <f>IFERROR(INDEX(MgAmenFrec,MATCH(SUBSTITUTE($H952,"*","-"),MgAmenClave,0)),"")</f>
        <v/>
      </c>
      <c r="W952" s="28">
        <f>IFERROR(LOOKUP(X952,{0;0.01;0.1;1;10;100},{"Muy baja";"Muy baja";"Baja";"Media";"Alta";"Muy alta"}),"")</f>
        <v/>
      </c>
      <c r="X952" s="31">
        <f>IFERROR(VLOOKUP(V952,MgFrec,2,0),0)</f>
        <v/>
      </c>
      <c r="Y952" s="30">
        <f>T952*X952</f>
        <v/>
      </c>
      <c r="Z952" s="28">
        <f>IFERROR(LOOKUP(Y952,{0;0.5;5;25},{"Bajo";"Medio";"Alto";"Crítico"}),"")</f>
        <v/>
      </c>
      <c r="AA952" s="64">
        <f>IF(T952&gt;=3,IF(X952&gt;=1,"Zona 1 — Crítica: impacto alto y ocurre al menos una vez al año","Zona 4 — Catastrófica poco probable: impacto alto pero excepcional"),IF(AND(T952&lt;1.5,X952&lt;1),"Zona 3 — Asumible: impacto bajo y muy poco frecuente","Zona 2 — Atención: riesgo intermedio"))</f>
        <v/>
      </c>
      <c r="AB952" s="64">
        <f>IFERROR(INDEX(MgAmenCtrl,MATCH(SUBSTITUTE($H952,"*","-"),MgAmenClave,0)),"")</f>
        <v/>
      </c>
      <c r="AC952" s="20" t="n"/>
      <c r="AD952" s="31">
        <f>IFERROR($X952*(1-IF($AC952="",$AL952,VLOOKUP($AC952,MgMad,2,0))),"")</f>
        <v/>
      </c>
      <c r="AE952" s="28">
        <f>IFERROR(LOOKUP(AD952,{0;0.01;0.1;1;10;100},{"Muy baja";"Muy baja";"Baja";"Media";"Alta";"Muy alta"}),"")</f>
        <v/>
      </c>
      <c r="AF952" s="30">
        <f>T952*AD952</f>
        <v/>
      </c>
      <c r="AG952" s="28">
        <f>IFERROR(LOOKUP(AF952,{0;0.5;5;25},{"Bajo";"Medio";"Alto";"Crítico"}),"")</f>
        <v/>
      </c>
      <c r="AH952" s="28">
        <f>IF(AG952="","",IF(OR(AG952="Crítico",AG952="Alto"),"Mitigar",IF(AG952="Medio","Mitigar","Aceptar y monitorear")))</f>
        <v/>
      </c>
      <c r="AI952" s="21" t="n"/>
      <c r="AJ952" s="21" t="n"/>
      <c r="AK952" s="20" t="n"/>
      <c r="AL952" s="77">
        <f>IFERROR(INDEX(MgAmenEfic,MATCH(SUBSTITUTE($H952,"*","-"),MgAmenClave,0)),0)</f>
        <v/>
      </c>
    </row>
    <row r="953" hidden="1" ht="105" customHeight="1" s="54">
      <c r="B953" s="59" t="inlineStr">
        <is>
          <t>R-0948</t>
        </is>
      </c>
      <c r="C953" s="59" t="inlineStr">
        <is>
          <t>TAL-10</t>
        </is>
      </c>
      <c r="D953" s="64">
        <f>IFERROR(INDEX(MgNombre,MATCH($C953,MgActId,0)),"")</f>
        <v/>
      </c>
      <c r="E953" s="64">
        <f>IFERROR(INDEX(MgProceso,MATCH($C953,MgActId,0)),"")</f>
        <v/>
      </c>
      <c r="F953" s="64">
        <f>IFERROR(INDEX(MgTipo,MATCH($C953,MgActId,0)),"")</f>
        <v/>
      </c>
      <c r="G953" s="64">
        <f>IFERROR(INDEX(MgSubtipo,MATCH($C953,MgActId,0)),"")</f>
        <v/>
      </c>
      <c r="H953" s="59" t="inlineStr">
        <is>
          <t>E.19</t>
        </is>
      </c>
      <c r="I953" s="64">
        <f>IFERROR(INDEX(MgAmenNombre,MATCH(SUBSTITUTE($H953,"*","-"),MgAmenClave,0)),"")</f>
        <v/>
      </c>
      <c r="J953" s="28">
        <f>IFERROR(INDEX(MgAmenGrupo,MATCH(SUBSTITUTE($H953,"*","-"),MgAmenClave,0)),"")</f>
        <v/>
      </c>
      <c r="K953" s="64">
        <f>IFERROR(INDEX('1. Matriz de Activos'!$Q$6:$Q$239,MATCH($C953,MgActId,0)),"")</f>
        <v/>
      </c>
      <c r="L953" s="64">
        <f>IFERROR(INDEX('1. Matriz de Activos'!$R$6:$R$239,MATCH($C953,MgActId,0)),"")</f>
        <v/>
      </c>
      <c r="M953" s="64">
        <f>IFERROR(INDEX('1. Matriz de Activos'!$S$6:$S$239,MATCH($C953,MgActId,0)),"")</f>
        <v/>
      </c>
      <c r="N953" s="28">
        <f>IFERROR(INDEX(MgAmenDegD,MATCH(SUBSTITUTE($H953,"*","-"),MgAmenClave,0)),"No aplica")</f>
        <v/>
      </c>
      <c r="O953" s="28">
        <f>IFERROR(INDEX(MgAmenDegI,MATCH(SUBSTITUTE($H953,"*","-"),MgAmenClave,0)),"No aplica")</f>
        <v/>
      </c>
      <c r="P953" s="28">
        <f>IFERROR(INDEX(MgAmenDegC,MATCH(SUBSTITUTE($H953,"*","-"),MgAmenClave,0)),"No aplica")</f>
        <v/>
      </c>
      <c r="Q953" s="29">
        <f>IFERROR(VLOOKUP(K953,MgValor,2,0)*VLOOKUP(N953,MgDeg,2,0),0)</f>
        <v/>
      </c>
      <c r="R953" s="29">
        <f>IFERROR(VLOOKUP(L953,MgValor,2,0)*VLOOKUP(O953,MgDeg,2,0),0)</f>
        <v/>
      </c>
      <c r="S953" s="29">
        <f>IFERROR(VLOOKUP(M953,MgValor,2,0)*VLOOKUP(P953,MgDeg,2,0),0)</f>
        <v/>
      </c>
      <c r="T953" s="30">
        <f>MAX(Q953:S953)</f>
        <v/>
      </c>
      <c r="U953" s="28">
        <f>IFERROR(LOOKUP(T953,{0;0.5;1.5;3;4.5},{"Despreciable";"Bajo";"Medio";"Alto";"Muy alto"}),"")</f>
        <v/>
      </c>
      <c r="V953" s="13">
        <f>IFERROR(INDEX(MgAmenFrec,MATCH(SUBSTITUTE($H953,"*","-"),MgAmenClave,0)),"")</f>
        <v/>
      </c>
      <c r="W953" s="28">
        <f>IFERROR(LOOKUP(X953,{0;0.01;0.1;1;10;100},{"Muy baja";"Muy baja";"Baja";"Media";"Alta";"Muy alta"}),"")</f>
        <v/>
      </c>
      <c r="X953" s="31">
        <f>IFERROR(VLOOKUP(V953,MgFrec,2,0),0)</f>
        <v/>
      </c>
      <c r="Y953" s="30">
        <f>T953*X953</f>
        <v/>
      </c>
      <c r="Z953" s="28">
        <f>IFERROR(LOOKUP(Y953,{0;0.5;5;25},{"Bajo";"Medio";"Alto";"Crítico"}),"")</f>
        <v/>
      </c>
      <c r="AA953" s="64">
        <f>IF(T953&gt;=3,IF(X953&gt;=1,"Zona 1 — Crítica: impacto alto y ocurre al menos una vez al año","Zona 4 — Catastrófica poco probable: impacto alto pero excepcional"),IF(AND(T953&lt;1.5,X953&lt;1),"Zona 3 — Asumible: impacto bajo y muy poco frecuente","Zona 2 — Atención: riesgo intermedio"))</f>
        <v/>
      </c>
      <c r="AB953" s="64">
        <f>IFERROR(INDEX(MgAmenCtrl,MATCH(SUBSTITUTE($H953,"*","-"),MgAmenClave,0)),"")</f>
        <v/>
      </c>
      <c r="AC953" s="20" t="n"/>
      <c r="AD953" s="31">
        <f>IFERROR($X953*(1-IF($AC953="",$AL953,VLOOKUP($AC953,MgMad,2,0))),"")</f>
        <v/>
      </c>
      <c r="AE953" s="28">
        <f>IFERROR(LOOKUP(AD953,{0;0.01;0.1;1;10;100},{"Muy baja";"Muy baja";"Baja";"Media";"Alta";"Muy alta"}),"")</f>
        <v/>
      </c>
      <c r="AF953" s="30">
        <f>T953*AD953</f>
        <v/>
      </c>
      <c r="AG953" s="28">
        <f>IFERROR(LOOKUP(AF953,{0;0.5;5;25},{"Bajo";"Medio";"Alto";"Crítico"}),"")</f>
        <v/>
      </c>
      <c r="AH953" s="28">
        <f>IF(AG953="","",IF(OR(AG953="Crítico",AG953="Alto"),"Mitigar",IF(AG953="Medio","Mitigar","Aceptar y monitorear")))</f>
        <v/>
      </c>
      <c r="AI953" s="21" t="n"/>
      <c r="AJ953" s="21" t="n"/>
      <c r="AK953" s="20" t="n"/>
      <c r="AL953" s="77">
        <f>IFERROR(INDEX(MgAmenEfic,MATCH(SUBSTITUTE($H953,"*","-"),MgAmenClave,0)),0)</f>
        <v/>
      </c>
    </row>
    <row r="954" hidden="1" ht="60" customHeight="1" s="54">
      <c r="B954" s="59" t="inlineStr">
        <is>
          <t>R-0949</t>
        </is>
      </c>
      <c r="C954" s="59" t="inlineStr">
        <is>
          <t>TAL-10</t>
        </is>
      </c>
      <c r="D954" s="64">
        <f>IFERROR(INDEX(MgNombre,MATCH($C954,MgActId,0)),"")</f>
        <v/>
      </c>
      <c r="E954" s="64">
        <f>IFERROR(INDEX(MgProceso,MATCH($C954,MgActId,0)),"")</f>
        <v/>
      </c>
      <c r="F954" s="64">
        <f>IFERROR(INDEX(MgTipo,MATCH($C954,MgActId,0)),"")</f>
        <v/>
      </c>
      <c r="G954" s="64">
        <f>IFERROR(INDEX(MgSubtipo,MATCH($C954,MgActId,0)),"")</f>
        <v/>
      </c>
      <c r="H954" s="59" t="inlineStr">
        <is>
          <t>A.3</t>
        </is>
      </c>
      <c r="I954" s="64">
        <f>IFERROR(INDEX(MgAmenNombre,MATCH(SUBSTITUTE($H954,"*","-"),MgAmenClave,0)),"")</f>
        <v/>
      </c>
      <c r="J954" s="28">
        <f>IFERROR(INDEX(MgAmenGrupo,MATCH(SUBSTITUTE($H954,"*","-"),MgAmenClave,0)),"")</f>
        <v/>
      </c>
      <c r="K954" s="64">
        <f>IFERROR(INDEX('1. Matriz de Activos'!$Q$6:$Q$239,MATCH($C954,MgActId,0)),"")</f>
        <v/>
      </c>
      <c r="L954" s="64">
        <f>IFERROR(INDEX('1. Matriz de Activos'!$R$6:$R$239,MATCH($C954,MgActId,0)),"")</f>
        <v/>
      </c>
      <c r="M954" s="64">
        <f>IFERROR(INDEX('1. Matriz de Activos'!$S$6:$S$239,MATCH($C954,MgActId,0)),"")</f>
        <v/>
      </c>
      <c r="N954" s="28">
        <f>IFERROR(INDEX(MgAmenDegD,MATCH(SUBSTITUTE($H954,"*","-"),MgAmenClave,0)),"No aplica")</f>
        <v/>
      </c>
      <c r="O954" s="28">
        <f>IFERROR(INDEX(MgAmenDegI,MATCH(SUBSTITUTE($H954,"*","-"),MgAmenClave,0)),"No aplica")</f>
        <v/>
      </c>
      <c r="P954" s="28">
        <f>IFERROR(INDEX(MgAmenDegC,MATCH(SUBSTITUTE($H954,"*","-"),MgAmenClave,0)),"No aplica")</f>
        <v/>
      </c>
      <c r="Q954" s="29">
        <f>IFERROR(VLOOKUP(K954,MgValor,2,0)*VLOOKUP(N954,MgDeg,2,0),0)</f>
        <v/>
      </c>
      <c r="R954" s="29">
        <f>IFERROR(VLOOKUP(L954,MgValor,2,0)*VLOOKUP(O954,MgDeg,2,0),0)</f>
        <v/>
      </c>
      <c r="S954" s="29">
        <f>IFERROR(VLOOKUP(M954,MgValor,2,0)*VLOOKUP(P954,MgDeg,2,0),0)</f>
        <v/>
      </c>
      <c r="T954" s="30">
        <f>MAX(Q954:S954)</f>
        <v/>
      </c>
      <c r="U954" s="28">
        <f>IFERROR(LOOKUP(T954,{0;0.5;1.5;3;4.5},{"Despreciable";"Bajo";"Medio";"Alto";"Muy alto"}),"")</f>
        <v/>
      </c>
      <c r="V954" s="13">
        <f>IFERROR(INDEX(MgAmenFrec,MATCH(SUBSTITUTE($H954,"*","-"),MgAmenClave,0)),"")</f>
        <v/>
      </c>
      <c r="W954" s="28">
        <f>IFERROR(LOOKUP(X954,{0;0.01;0.1;1;10;100},{"Muy baja";"Muy baja";"Baja";"Media";"Alta";"Muy alta"}),"")</f>
        <v/>
      </c>
      <c r="X954" s="31">
        <f>IFERROR(VLOOKUP(V954,MgFrec,2,0),0)</f>
        <v/>
      </c>
      <c r="Y954" s="30">
        <f>T954*X954</f>
        <v/>
      </c>
      <c r="Z954" s="28">
        <f>IFERROR(LOOKUP(Y954,{0;0.5;5;25},{"Bajo";"Medio";"Alto";"Crítico"}),"")</f>
        <v/>
      </c>
      <c r="AA954" s="64">
        <f>IF(T954&gt;=3,IF(X954&gt;=1,"Zona 1 — Crítica: impacto alto y ocurre al menos una vez al año","Zona 4 — Catastrófica poco probable: impacto alto pero excepcional"),IF(AND(T954&lt;1.5,X954&lt;1),"Zona 3 — Asumible: impacto bajo y muy poco frecuente","Zona 2 — Atención: riesgo intermedio"))</f>
        <v/>
      </c>
      <c r="AB954" s="64">
        <f>IFERROR(INDEX(MgAmenCtrl,MATCH(SUBSTITUTE($H954,"*","-"),MgAmenClave,0)),"")</f>
        <v/>
      </c>
      <c r="AC954" s="20" t="n"/>
      <c r="AD954" s="31">
        <f>IFERROR($X954*(1-IF($AC954="",$AL954,VLOOKUP($AC954,MgMad,2,0))),"")</f>
        <v/>
      </c>
      <c r="AE954" s="28">
        <f>IFERROR(LOOKUP(AD954,{0;0.01;0.1;1;10;100},{"Muy baja";"Muy baja";"Baja";"Media";"Alta";"Muy alta"}),"")</f>
        <v/>
      </c>
      <c r="AF954" s="30">
        <f>T954*AD954</f>
        <v/>
      </c>
      <c r="AG954" s="28">
        <f>IFERROR(LOOKUP(AF954,{0;0.5;5;25},{"Bajo";"Medio";"Alto";"Crítico"}),"")</f>
        <v/>
      </c>
      <c r="AH954" s="28">
        <f>IF(AG954="","",IF(OR(AG954="Crítico",AG954="Alto"),"Mitigar",IF(AG954="Medio","Mitigar","Aceptar y monitorear")))</f>
        <v/>
      </c>
      <c r="AI954" s="21" t="n"/>
      <c r="AJ954" s="21" t="n"/>
      <c r="AK954" s="20" t="n"/>
      <c r="AL954" s="77">
        <f>IFERROR(INDEX(MgAmenEfic,MATCH(SUBSTITUTE($H954,"*","-"),MgAmenClave,0)),0)</f>
        <v/>
      </c>
    </row>
    <row r="955" hidden="1" ht="60" customHeight="1" s="54">
      <c r="B955" s="59" t="inlineStr">
        <is>
          <t>R-0950</t>
        </is>
      </c>
      <c r="C955" s="59" t="inlineStr">
        <is>
          <t>TAL-10</t>
        </is>
      </c>
      <c r="D955" s="64">
        <f>IFERROR(INDEX(MgNombre,MATCH($C955,MgActId,0)),"")</f>
        <v/>
      </c>
      <c r="E955" s="64">
        <f>IFERROR(INDEX(MgProceso,MATCH($C955,MgActId,0)),"")</f>
        <v/>
      </c>
      <c r="F955" s="64">
        <f>IFERROR(INDEX(MgTipo,MATCH($C955,MgActId,0)),"")</f>
        <v/>
      </c>
      <c r="G955" s="64">
        <f>IFERROR(INDEX(MgSubtipo,MATCH($C955,MgActId,0)),"")</f>
        <v/>
      </c>
      <c r="H955" s="59" t="inlineStr">
        <is>
          <t>A.4</t>
        </is>
      </c>
      <c r="I955" s="64">
        <f>IFERROR(INDEX(MgAmenNombre,MATCH(SUBSTITUTE($H955,"*","-"),MgAmenClave,0)),"")</f>
        <v/>
      </c>
      <c r="J955" s="28">
        <f>IFERROR(INDEX(MgAmenGrupo,MATCH(SUBSTITUTE($H955,"*","-"),MgAmenClave,0)),"")</f>
        <v/>
      </c>
      <c r="K955" s="64">
        <f>IFERROR(INDEX('1. Matriz de Activos'!$Q$6:$Q$239,MATCH($C955,MgActId,0)),"")</f>
        <v/>
      </c>
      <c r="L955" s="64">
        <f>IFERROR(INDEX('1. Matriz de Activos'!$R$6:$R$239,MATCH($C955,MgActId,0)),"")</f>
        <v/>
      </c>
      <c r="M955" s="64">
        <f>IFERROR(INDEX('1. Matriz de Activos'!$S$6:$S$239,MATCH($C955,MgActId,0)),"")</f>
        <v/>
      </c>
      <c r="N955" s="28">
        <f>IFERROR(INDEX(MgAmenDegD,MATCH(SUBSTITUTE($H955,"*","-"),MgAmenClave,0)),"No aplica")</f>
        <v/>
      </c>
      <c r="O955" s="28">
        <f>IFERROR(INDEX(MgAmenDegI,MATCH(SUBSTITUTE($H955,"*","-"),MgAmenClave,0)),"No aplica")</f>
        <v/>
      </c>
      <c r="P955" s="28">
        <f>IFERROR(INDEX(MgAmenDegC,MATCH(SUBSTITUTE($H955,"*","-"),MgAmenClave,0)),"No aplica")</f>
        <v/>
      </c>
      <c r="Q955" s="29">
        <f>IFERROR(VLOOKUP(K955,MgValor,2,0)*VLOOKUP(N955,MgDeg,2,0),0)</f>
        <v/>
      </c>
      <c r="R955" s="29">
        <f>IFERROR(VLOOKUP(L955,MgValor,2,0)*VLOOKUP(O955,MgDeg,2,0),0)</f>
        <v/>
      </c>
      <c r="S955" s="29">
        <f>IFERROR(VLOOKUP(M955,MgValor,2,0)*VLOOKUP(P955,MgDeg,2,0),0)</f>
        <v/>
      </c>
      <c r="T955" s="30">
        <f>MAX(Q955:S955)</f>
        <v/>
      </c>
      <c r="U955" s="28">
        <f>IFERROR(LOOKUP(T955,{0;0.5;1.5;3;4.5},{"Despreciable";"Bajo";"Medio";"Alto";"Muy alto"}),"")</f>
        <v/>
      </c>
      <c r="V955" s="13">
        <f>IFERROR(INDEX(MgAmenFrec,MATCH(SUBSTITUTE($H955,"*","-"),MgAmenClave,0)),"")</f>
        <v/>
      </c>
      <c r="W955" s="28">
        <f>IFERROR(LOOKUP(X955,{0;0.01;0.1;1;10;100},{"Muy baja";"Muy baja";"Baja";"Media";"Alta";"Muy alta"}),"")</f>
        <v/>
      </c>
      <c r="X955" s="31">
        <f>IFERROR(VLOOKUP(V955,MgFrec,2,0),0)</f>
        <v/>
      </c>
      <c r="Y955" s="30">
        <f>T955*X955</f>
        <v/>
      </c>
      <c r="Z955" s="28">
        <f>IFERROR(LOOKUP(Y955,{0;0.5;5;25},{"Bajo";"Medio";"Alto";"Crítico"}),"")</f>
        <v/>
      </c>
      <c r="AA955" s="64">
        <f>IF(T955&gt;=3,IF(X955&gt;=1,"Zona 1 — Crítica: impacto alto y ocurre al menos una vez al año","Zona 4 — Catastrófica poco probable: impacto alto pero excepcional"),IF(AND(T955&lt;1.5,X955&lt;1),"Zona 3 — Asumible: impacto bajo y muy poco frecuente","Zona 2 — Atención: riesgo intermedio"))</f>
        <v/>
      </c>
      <c r="AB955" s="64">
        <f>IFERROR(INDEX(MgAmenCtrl,MATCH(SUBSTITUTE($H955,"*","-"),MgAmenClave,0)),"")</f>
        <v/>
      </c>
      <c r="AC955" s="20" t="n"/>
      <c r="AD955" s="31">
        <f>IFERROR($X955*(1-IF($AC955="",$AL955,VLOOKUP($AC955,MgMad,2,0))),"")</f>
        <v/>
      </c>
      <c r="AE955" s="28">
        <f>IFERROR(LOOKUP(AD955,{0;0.01;0.1;1;10;100},{"Muy baja";"Muy baja";"Baja";"Media";"Alta";"Muy alta"}),"")</f>
        <v/>
      </c>
      <c r="AF955" s="30">
        <f>T955*AD955</f>
        <v/>
      </c>
      <c r="AG955" s="28">
        <f>IFERROR(LOOKUP(AF955,{0;0.5;5;25},{"Bajo";"Medio";"Alto";"Crítico"}),"")</f>
        <v/>
      </c>
      <c r="AH955" s="28">
        <f>IF(AG955="","",IF(OR(AG955="Crítico",AG955="Alto"),"Mitigar",IF(AG955="Medio","Mitigar","Aceptar y monitorear")))</f>
        <v/>
      </c>
      <c r="AI955" s="21" t="n"/>
      <c r="AJ955" s="21" t="n"/>
      <c r="AK955" s="20" t="n"/>
      <c r="AL955" s="77">
        <f>IFERROR(INDEX(MgAmenEfic,MATCH(SUBSTITUTE($H955,"*","-"),MgAmenClave,0)),0)</f>
        <v/>
      </c>
    </row>
    <row r="956" hidden="1" ht="75" customHeight="1" s="54">
      <c r="B956" s="59" t="inlineStr">
        <is>
          <t>R-0951</t>
        </is>
      </c>
      <c r="C956" s="59" t="inlineStr">
        <is>
          <t>TAL-10</t>
        </is>
      </c>
      <c r="D956" s="64">
        <f>IFERROR(INDEX(MgNombre,MATCH($C956,MgActId,0)),"")</f>
        <v/>
      </c>
      <c r="E956" s="64">
        <f>IFERROR(INDEX(MgProceso,MATCH($C956,MgActId,0)),"")</f>
        <v/>
      </c>
      <c r="F956" s="64">
        <f>IFERROR(INDEX(MgTipo,MATCH($C956,MgActId,0)),"")</f>
        <v/>
      </c>
      <c r="G956" s="64">
        <f>IFERROR(INDEX(MgSubtipo,MATCH($C956,MgActId,0)),"")</f>
        <v/>
      </c>
      <c r="H956" s="59" t="inlineStr">
        <is>
          <t>A.5</t>
        </is>
      </c>
      <c r="I956" s="64">
        <f>IFERROR(INDEX(MgAmenNombre,MATCH(SUBSTITUTE($H956,"*","-"),MgAmenClave,0)),"")</f>
        <v/>
      </c>
      <c r="J956" s="28">
        <f>IFERROR(INDEX(MgAmenGrupo,MATCH(SUBSTITUTE($H956,"*","-"),MgAmenClave,0)),"")</f>
        <v/>
      </c>
      <c r="K956" s="64">
        <f>IFERROR(INDEX('1. Matriz de Activos'!$Q$6:$Q$239,MATCH($C956,MgActId,0)),"")</f>
        <v/>
      </c>
      <c r="L956" s="64">
        <f>IFERROR(INDEX('1. Matriz de Activos'!$R$6:$R$239,MATCH($C956,MgActId,0)),"")</f>
        <v/>
      </c>
      <c r="M956" s="64">
        <f>IFERROR(INDEX('1. Matriz de Activos'!$S$6:$S$239,MATCH($C956,MgActId,0)),"")</f>
        <v/>
      </c>
      <c r="N956" s="28">
        <f>IFERROR(INDEX(MgAmenDegD,MATCH(SUBSTITUTE($H956,"*","-"),MgAmenClave,0)),"No aplica")</f>
        <v/>
      </c>
      <c r="O956" s="28">
        <f>IFERROR(INDEX(MgAmenDegI,MATCH(SUBSTITUTE($H956,"*","-"),MgAmenClave,0)),"No aplica")</f>
        <v/>
      </c>
      <c r="P956" s="28">
        <f>IFERROR(INDEX(MgAmenDegC,MATCH(SUBSTITUTE($H956,"*","-"),MgAmenClave,0)),"No aplica")</f>
        <v/>
      </c>
      <c r="Q956" s="29">
        <f>IFERROR(VLOOKUP(K956,MgValor,2,0)*VLOOKUP(N956,MgDeg,2,0),0)</f>
        <v/>
      </c>
      <c r="R956" s="29">
        <f>IFERROR(VLOOKUP(L956,MgValor,2,0)*VLOOKUP(O956,MgDeg,2,0),0)</f>
        <v/>
      </c>
      <c r="S956" s="29">
        <f>IFERROR(VLOOKUP(M956,MgValor,2,0)*VLOOKUP(P956,MgDeg,2,0),0)</f>
        <v/>
      </c>
      <c r="T956" s="30">
        <f>MAX(Q956:S956)</f>
        <v/>
      </c>
      <c r="U956" s="28">
        <f>IFERROR(LOOKUP(T956,{0;0.5;1.5;3;4.5},{"Despreciable";"Bajo";"Medio";"Alto";"Muy alto"}),"")</f>
        <v/>
      </c>
      <c r="V956" s="13">
        <f>IFERROR(INDEX(MgAmenFrec,MATCH(SUBSTITUTE($H956,"*","-"),MgAmenClave,0)),"")</f>
        <v/>
      </c>
      <c r="W956" s="28">
        <f>IFERROR(LOOKUP(X956,{0;0.01;0.1;1;10;100},{"Muy baja";"Muy baja";"Baja";"Media";"Alta";"Muy alta"}),"")</f>
        <v/>
      </c>
      <c r="X956" s="31">
        <f>IFERROR(VLOOKUP(V956,MgFrec,2,0),0)</f>
        <v/>
      </c>
      <c r="Y956" s="30">
        <f>T956*X956</f>
        <v/>
      </c>
      <c r="Z956" s="28">
        <f>IFERROR(LOOKUP(Y956,{0;0.5;5;25},{"Bajo";"Medio";"Alto";"Crítico"}),"")</f>
        <v/>
      </c>
      <c r="AA956" s="64">
        <f>IF(T956&gt;=3,IF(X956&gt;=1,"Zona 1 — Crítica: impacto alto y ocurre al menos una vez al año","Zona 4 — Catastrófica poco probable: impacto alto pero excepcional"),IF(AND(T956&lt;1.5,X956&lt;1),"Zona 3 — Asumible: impacto bajo y muy poco frecuente","Zona 2 — Atención: riesgo intermedio"))</f>
        <v/>
      </c>
      <c r="AB956" s="64">
        <f>IFERROR(INDEX(MgAmenCtrl,MATCH(SUBSTITUTE($H956,"*","-"),MgAmenClave,0)),"")</f>
        <v/>
      </c>
      <c r="AC956" s="20" t="n"/>
      <c r="AD956" s="31">
        <f>IFERROR($X956*(1-IF($AC956="",$AL956,VLOOKUP($AC956,MgMad,2,0))),"")</f>
        <v/>
      </c>
      <c r="AE956" s="28">
        <f>IFERROR(LOOKUP(AD956,{0;0.01;0.1;1;10;100},{"Muy baja";"Muy baja";"Baja";"Media";"Alta";"Muy alta"}),"")</f>
        <v/>
      </c>
      <c r="AF956" s="30">
        <f>T956*AD956</f>
        <v/>
      </c>
      <c r="AG956" s="28">
        <f>IFERROR(LOOKUP(AF956,{0;0.5;5;25},{"Bajo";"Medio";"Alto";"Crítico"}),"")</f>
        <v/>
      </c>
      <c r="AH956" s="28">
        <f>IF(AG956="","",IF(OR(AG956="Crítico",AG956="Alto"),"Mitigar",IF(AG956="Medio","Mitigar","Aceptar y monitorear")))</f>
        <v/>
      </c>
      <c r="AI956" s="21" t="n"/>
      <c r="AJ956" s="21" t="n"/>
      <c r="AK956" s="20" t="n"/>
      <c r="AL956" s="77">
        <f>IFERROR(INDEX(MgAmenEfic,MATCH(SUBSTITUTE($H956,"*","-"),MgAmenClave,0)),0)</f>
        <v/>
      </c>
    </row>
    <row r="957" hidden="1" ht="105" customHeight="1" s="54">
      <c r="B957" s="59" t="inlineStr">
        <is>
          <t>R-0952</t>
        </is>
      </c>
      <c r="C957" s="59" t="inlineStr">
        <is>
          <t>TAL-10</t>
        </is>
      </c>
      <c r="D957" s="64">
        <f>IFERROR(INDEX(MgNombre,MATCH($C957,MgActId,0)),"")</f>
        <v/>
      </c>
      <c r="E957" s="64">
        <f>IFERROR(INDEX(MgProceso,MATCH($C957,MgActId,0)),"")</f>
        <v/>
      </c>
      <c r="F957" s="64">
        <f>IFERROR(INDEX(MgTipo,MATCH($C957,MgActId,0)),"")</f>
        <v/>
      </c>
      <c r="G957" s="64">
        <f>IFERROR(INDEX(MgSubtipo,MATCH($C957,MgActId,0)),"")</f>
        <v/>
      </c>
      <c r="H957" s="59" t="inlineStr">
        <is>
          <t>A.6</t>
        </is>
      </c>
      <c r="I957" s="64">
        <f>IFERROR(INDEX(MgAmenNombre,MATCH(SUBSTITUTE($H957,"*","-"),MgAmenClave,0)),"")</f>
        <v/>
      </c>
      <c r="J957" s="28">
        <f>IFERROR(INDEX(MgAmenGrupo,MATCH(SUBSTITUTE($H957,"*","-"),MgAmenClave,0)),"")</f>
        <v/>
      </c>
      <c r="K957" s="64">
        <f>IFERROR(INDEX('1. Matriz de Activos'!$Q$6:$Q$239,MATCH($C957,MgActId,0)),"")</f>
        <v/>
      </c>
      <c r="L957" s="64">
        <f>IFERROR(INDEX('1. Matriz de Activos'!$R$6:$R$239,MATCH($C957,MgActId,0)),"")</f>
        <v/>
      </c>
      <c r="M957" s="64">
        <f>IFERROR(INDEX('1. Matriz de Activos'!$S$6:$S$239,MATCH($C957,MgActId,0)),"")</f>
        <v/>
      </c>
      <c r="N957" s="28">
        <f>IFERROR(INDEX(MgAmenDegD,MATCH(SUBSTITUTE($H957,"*","-"),MgAmenClave,0)),"No aplica")</f>
        <v/>
      </c>
      <c r="O957" s="28">
        <f>IFERROR(INDEX(MgAmenDegI,MATCH(SUBSTITUTE($H957,"*","-"),MgAmenClave,0)),"No aplica")</f>
        <v/>
      </c>
      <c r="P957" s="28">
        <f>IFERROR(INDEX(MgAmenDegC,MATCH(SUBSTITUTE($H957,"*","-"),MgAmenClave,0)),"No aplica")</f>
        <v/>
      </c>
      <c r="Q957" s="29">
        <f>IFERROR(VLOOKUP(K957,MgValor,2,0)*VLOOKUP(N957,MgDeg,2,0),0)</f>
        <v/>
      </c>
      <c r="R957" s="29">
        <f>IFERROR(VLOOKUP(L957,MgValor,2,0)*VLOOKUP(O957,MgDeg,2,0),0)</f>
        <v/>
      </c>
      <c r="S957" s="29">
        <f>IFERROR(VLOOKUP(M957,MgValor,2,0)*VLOOKUP(P957,MgDeg,2,0),0)</f>
        <v/>
      </c>
      <c r="T957" s="30">
        <f>MAX(Q957:S957)</f>
        <v/>
      </c>
      <c r="U957" s="28">
        <f>IFERROR(LOOKUP(T957,{0;0.5;1.5;3;4.5},{"Despreciable";"Bajo";"Medio";"Alto";"Muy alto"}),"")</f>
        <v/>
      </c>
      <c r="V957" s="13">
        <f>IFERROR(INDEX(MgAmenFrec,MATCH(SUBSTITUTE($H957,"*","-"),MgAmenClave,0)),"")</f>
        <v/>
      </c>
      <c r="W957" s="28">
        <f>IFERROR(LOOKUP(X957,{0;0.01;0.1;1;10;100},{"Muy baja";"Muy baja";"Baja";"Media";"Alta";"Muy alta"}),"")</f>
        <v/>
      </c>
      <c r="X957" s="31">
        <f>IFERROR(VLOOKUP(V957,MgFrec,2,0),0)</f>
        <v/>
      </c>
      <c r="Y957" s="30">
        <f>T957*X957</f>
        <v/>
      </c>
      <c r="Z957" s="28">
        <f>IFERROR(LOOKUP(Y957,{0;0.5;5;25},{"Bajo";"Medio";"Alto";"Crítico"}),"")</f>
        <v/>
      </c>
      <c r="AA957" s="64">
        <f>IF(T957&gt;=3,IF(X957&gt;=1,"Zona 1 — Crítica: impacto alto y ocurre al menos una vez al año","Zona 4 — Catastrófica poco probable: impacto alto pero excepcional"),IF(AND(T957&lt;1.5,X957&lt;1),"Zona 3 — Asumible: impacto bajo y muy poco frecuente","Zona 2 — Atención: riesgo intermedio"))</f>
        <v/>
      </c>
      <c r="AB957" s="64">
        <f>IFERROR(INDEX(MgAmenCtrl,MATCH(SUBSTITUTE($H957,"*","-"),MgAmenClave,0)),"")</f>
        <v/>
      </c>
      <c r="AC957" s="20" t="n"/>
      <c r="AD957" s="31">
        <f>IFERROR($X957*(1-IF($AC957="",$AL957,VLOOKUP($AC957,MgMad,2,0))),"")</f>
        <v/>
      </c>
      <c r="AE957" s="28">
        <f>IFERROR(LOOKUP(AD957,{0;0.01;0.1;1;10;100},{"Muy baja";"Muy baja";"Baja";"Media";"Alta";"Muy alta"}),"")</f>
        <v/>
      </c>
      <c r="AF957" s="30">
        <f>T957*AD957</f>
        <v/>
      </c>
      <c r="AG957" s="28">
        <f>IFERROR(LOOKUP(AF957,{0;0.5;5;25},{"Bajo";"Medio";"Alto";"Crítico"}),"")</f>
        <v/>
      </c>
      <c r="AH957" s="28">
        <f>IF(AG957="","",IF(OR(AG957="Crítico",AG957="Alto"),"Mitigar",IF(AG957="Medio","Mitigar","Aceptar y monitorear")))</f>
        <v/>
      </c>
      <c r="AI957" s="21" t="n"/>
      <c r="AJ957" s="21" t="n"/>
      <c r="AK957" s="20" t="n"/>
      <c r="AL957" s="77">
        <f>IFERROR(INDEX(MgAmenEfic,MATCH(SUBSTITUTE($H957,"*","-"),MgAmenClave,0)),0)</f>
        <v/>
      </c>
    </row>
    <row r="958" hidden="1" ht="120" customHeight="1" s="54">
      <c r="B958" s="59" t="inlineStr">
        <is>
          <t>R-0953</t>
        </is>
      </c>
      <c r="C958" s="59" t="inlineStr">
        <is>
          <t>TAL-10</t>
        </is>
      </c>
      <c r="D958" s="64">
        <f>IFERROR(INDEX(MgNombre,MATCH($C958,MgActId,0)),"")</f>
        <v/>
      </c>
      <c r="E958" s="64">
        <f>IFERROR(INDEX(MgProceso,MATCH($C958,MgActId,0)),"")</f>
        <v/>
      </c>
      <c r="F958" s="64">
        <f>IFERROR(INDEX(MgTipo,MATCH($C958,MgActId,0)),"")</f>
        <v/>
      </c>
      <c r="G958" s="64">
        <f>IFERROR(INDEX(MgSubtipo,MATCH($C958,MgActId,0)),"")</f>
        <v/>
      </c>
      <c r="H958" s="59" t="inlineStr">
        <is>
          <t>A.11</t>
        </is>
      </c>
      <c r="I958" s="64">
        <f>IFERROR(INDEX(MgAmenNombre,MATCH(SUBSTITUTE($H958,"*","-"),MgAmenClave,0)),"")</f>
        <v/>
      </c>
      <c r="J958" s="28">
        <f>IFERROR(INDEX(MgAmenGrupo,MATCH(SUBSTITUTE($H958,"*","-"),MgAmenClave,0)),"")</f>
        <v/>
      </c>
      <c r="K958" s="64">
        <f>IFERROR(INDEX('1. Matriz de Activos'!$Q$6:$Q$239,MATCH($C958,MgActId,0)),"")</f>
        <v/>
      </c>
      <c r="L958" s="64">
        <f>IFERROR(INDEX('1. Matriz de Activos'!$R$6:$R$239,MATCH($C958,MgActId,0)),"")</f>
        <v/>
      </c>
      <c r="M958" s="64">
        <f>IFERROR(INDEX('1. Matriz de Activos'!$S$6:$S$239,MATCH($C958,MgActId,0)),"")</f>
        <v/>
      </c>
      <c r="N958" s="28">
        <f>IFERROR(INDEX(MgAmenDegD,MATCH(SUBSTITUTE($H958,"*","-"),MgAmenClave,0)),"No aplica")</f>
        <v/>
      </c>
      <c r="O958" s="28">
        <f>IFERROR(INDEX(MgAmenDegI,MATCH(SUBSTITUTE($H958,"*","-"),MgAmenClave,0)),"No aplica")</f>
        <v/>
      </c>
      <c r="P958" s="28">
        <f>IFERROR(INDEX(MgAmenDegC,MATCH(SUBSTITUTE($H958,"*","-"),MgAmenClave,0)),"No aplica")</f>
        <v/>
      </c>
      <c r="Q958" s="29">
        <f>IFERROR(VLOOKUP(K958,MgValor,2,0)*VLOOKUP(N958,MgDeg,2,0),0)</f>
        <v/>
      </c>
      <c r="R958" s="29">
        <f>IFERROR(VLOOKUP(L958,MgValor,2,0)*VLOOKUP(O958,MgDeg,2,0),0)</f>
        <v/>
      </c>
      <c r="S958" s="29">
        <f>IFERROR(VLOOKUP(M958,MgValor,2,0)*VLOOKUP(P958,MgDeg,2,0),0)</f>
        <v/>
      </c>
      <c r="T958" s="30">
        <f>MAX(Q958:S958)</f>
        <v/>
      </c>
      <c r="U958" s="28">
        <f>IFERROR(LOOKUP(T958,{0;0.5;1.5;3;4.5},{"Despreciable";"Bajo";"Medio";"Alto";"Muy alto"}),"")</f>
        <v/>
      </c>
      <c r="V958" s="13">
        <f>IFERROR(INDEX(MgAmenFrec,MATCH(SUBSTITUTE($H958,"*","-"),MgAmenClave,0)),"")</f>
        <v/>
      </c>
      <c r="W958" s="28">
        <f>IFERROR(LOOKUP(X958,{0;0.01;0.1;1;10;100},{"Muy baja";"Muy baja";"Baja";"Media";"Alta";"Muy alta"}),"")</f>
        <v/>
      </c>
      <c r="X958" s="31">
        <f>IFERROR(VLOOKUP(V958,MgFrec,2,0),0)</f>
        <v/>
      </c>
      <c r="Y958" s="30">
        <f>T958*X958</f>
        <v/>
      </c>
      <c r="Z958" s="28">
        <f>IFERROR(LOOKUP(Y958,{0;0.5;5;25},{"Bajo";"Medio";"Alto";"Crítico"}),"")</f>
        <v/>
      </c>
      <c r="AA958" s="64">
        <f>IF(T958&gt;=3,IF(X958&gt;=1,"Zona 1 — Crítica: impacto alto y ocurre al menos una vez al año","Zona 4 — Catastrófica poco probable: impacto alto pero excepcional"),IF(AND(T958&lt;1.5,X958&lt;1),"Zona 3 — Asumible: impacto bajo y muy poco frecuente","Zona 2 — Atención: riesgo intermedio"))</f>
        <v/>
      </c>
      <c r="AB958" s="64">
        <f>IFERROR(INDEX(MgAmenCtrl,MATCH(SUBSTITUTE($H958,"*","-"),MgAmenClave,0)),"")</f>
        <v/>
      </c>
      <c r="AC958" s="20" t="n"/>
      <c r="AD958" s="31">
        <f>IFERROR($X958*(1-IF($AC958="",$AL958,VLOOKUP($AC958,MgMad,2,0))),"")</f>
        <v/>
      </c>
      <c r="AE958" s="28">
        <f>IFERROR(LOOKUP(AD958,{0;0.01;0.1;1;10;100},{"Muy baja";"Muy baja";"Baja";"Media";"Alta";"Muy alta"}),"")</f>
        <v/>
      </c>
      <c r="AF958" s="30">
        <f>T958*AD958</f>
        <v/>
      </c>
      <c r="AG958" s="28">
        <f>IFERROR(LOOKUP(AF958,{0;0.5;5;25},{"Bajo";"Medio";"Alto";"Crítico"}),"")</f>
        <v/>
      </c>
      <c r="AH958" s="28">
        <f>IF(AG958="","",IF(OR(AG958="Crítico",AG958="Alto"),"Mitigar",IF(AG958="Medio","Mitigar","Aceptar y monitorear")))</f>
        <v/>
      </c>
      <c r="AI958" s="21" t="n"/>
      <c r="AJ958" s="21" t="n"/>
      <c r="AK958" s="20" t="n"/>
      <c r="AL958" s="77">
        <f>IFERROR(INDEX(MgAmenEfic,MATCH(SUBSTITUTE($H958,"*","-"),MgAmenClave,0)),0)</f>
        <v/>
      </c>
    </row>
    <row r="959" hidden="1" ht="90" customHeight="1" s="54">
      <c r="B959" s="59" t="inlineStr">
        <is>
          <t>R-0954</t>
        </is>
      </c>
      <c r="C959" s="59" t="inlineStr">
        <is>
          <t>TAL-10</t>
        </is>
      </c>
      <c r="D959" s="64">
        <f>IFERROR(INDEX(MgNombre,MATCH($C959,MgActId,0)),"")</f>
        <v/>
      </c>
      <c r="E959" s="64">
        <f>IFERROR(INDEX(MgProceso,MATCH($C959,MgActId,0)),"")</f>
        <v/>
      </c>
      <c r="F959" s="64">
        <f>IFERROR(INDEX(MgTipo,MATCH($C959,MgActId,0)),"")</f>
        <v/>
      </c>
      <c r="G959" s="64">
        <f>IFERROR(INDEX(MgSubtipo,MATCH($C959,MgActId,0)),"")</f>
        <v/>
      </c>
      <c r="H959" s="59" t="inlineStr">
        <is>
          <t>A.13</t>
        </is>
      </c>
      <c r="I959" s="64">
        <f>IFERROR(INDEX(MgAmenNombre,MATCH(SUBSTITUTE($H959,"*","-"),MgAmenClave,0)),"")</f>
        <v/>
      </c>
      <c r="J959" s="28">
        <f>IFERROR(INDEX(MgAmenGrupo,MATCH(SUBSTITUTE($H959,"*","-"),MgAmenClave,0)),"")</f>
        <v/>
      </c>
      <c r="K959" s="64">
        <f>IFERROR(INDEX('1. Matriz de Activos'!$Q$6:$Q$239,MATCH($C959,MgActId,0)),"")</f>
        <v/>
      </c>
      <c r="L959" s="64">
        <f>IFERROR(INDEX('1. Matriz de Activos'!$R$6:$R$239,MATCH($C959,MgActId,0)),"")</f>
        <v/>
      </c>
      <c r="M959" s="64">
        <f>IFERROR(INDEX('1. Matriz de Activos'!$S$6:$S$239,MATCH($C959,MgActId,0)),"")</f>
        <v/>
      </c>
      <c r="N959" s="28">
        <f>IFERROR(INDEX(MgAmenDegD,MATCH(SUBSTITUTE($H959,"*","-"),MgAmenClave,0)),"No aplica")</f>
        <v/>
      </c>
      <c r="O959" s="28">
        <f>IFERROR(INDEX(MgAmenDegI,MATCH(SUBSTITUTE($H959,"*","-"),MgAmenClave,0)),"No aplica")</f>
        <v/>
      </c>
      <c r="P959" s="28">
        <f>IFERROR(INDEX(MgAmenDegC,MATCH(SUBSTITUTE($H959,"*","-"),MgAmenClave,0)),"No aplica")</f>
        <v/>
      </c>
      <c r="Q959" s="29">
        <f>IFERROR(VLOOKUP(K959,MgValor,2,0)*VLOOKUP(N959,MgDeg,2,0),0)</f>
        <v/>
      </c>
      <c r="R959" s="29">
        <f>IFERROR(VLOOKUP(L959,MgValor,2,0)*VLOOKUP(O959,MgDeg,2,0),0)</f>
        <v/>
      </c>
      <c r="S959" s="29">
        <f>IFERROR(VLOOKUP(M959,MgValor,2,0)*VLOOKUP(P959,MgDeg,2,0),0)</f>
        <v/>
      </c>
      <c r="T959" s="30">
        <f>MAX(Q959:S959)</f>
        <v/>
      </c>
      <c r="U959" s="28">
        <f>IFERROR(LOOKUP(T959,{0;0.5;1.5;3;4.5},{"Despreciable";"Bajo";"Medio";"Alto";"Muy alto"}),"")</f>
        <v/>
      </c>
      <c r="V959" s="13">
        <f>IFERROR(INDEX(MgAmenFrec,MATCH(SUBSTITUTE($H959,"*","-"),MgAmenClave,0)),"")</f>
        <v/>
      </c>
      <c r="W959" s="28">
        <f>IFERROR(LOOKUP(X959,{0;0.01;0.1;1;10;100},{"Muy baja";"Muy baja";"Baja";"Media";"Alta";"Muy alta"}),"")</f>
        <v/>
      </c>
      <c r="X959" s="31">
        <f>IFERROR(VLOOKUP(V959,MgFrec,2,0),0)</f>
        <v/>
      </c>
      <c r="Y959" s="30">
        <f>T959*X959</f>
        <v/>
      </c>
      <c r="Z959" s="28">
        <f>IFERROR(LOOKUP(Y959,{0;0.5;5;25},{"Bajo";"Medio";"Alto";"Crítico"}),"")</f>
        <v/>
      </c>
      <c r="AA959" s="64">
        <f>IF(T959&gt;=3,IF(X959&gt;=1,"Zona 1 — Crítica: impacto alto y ocurre al menos una vez al año","Zona 4 — Catastrófica poco probable: impacto alto pero excepcional"),IF(AND(T959&lt;1.5,X959&lt;1),"Zona 3 — Asumible: impacto bajo y muy poco frecuente","Zona 2 — Atención: riesgo intermedio"))</f>
        <v/>
      </c>
      <c r="AB959" s="64">
        <f>IFERROR(INDEX(MgAmenCtrl,MATCH(SUBSTITUTE($H959,"*","-"),MgAmenClave,0)),"")</f>
        <v/>
      </c>
      <c r="AC959" s="20" t="n"/>
      <c r="AD959" s="31">
        <f>IFERROR($X959*(1-IF($AC959="",$AL959,VLOOKUP($AC959,MgMad,2,0))),"")</f>
        <v/>
      </c>
      <c r="AE959" s="28">
        <f>IFERROR(LOOKUP(AD959,{0;0.01;0.1;1;10;100},{"Muy baja";"Muy baja";"Baja";"Media";"Alta";"Muy alta"}),"")</f>
        <v/>
      </c>
      <c r="AF959" s="30">
        <f>T959*AD959</f>
        <v/>
      </c>
      <c r="AG959" s="28">
        <f>IFERROR(LOOKUP(AF959,{0;0.5;5;25},{"Bajo";"Medio";"Alto";"Crítico"}),"")</f>
        <v/>
      </c>
      <c r="AH959" s="28">
        <f>IF(AG959="","",IF(OR(AG959="Crítico",AG959="Alto"),"Mitigar",IF(AG959="Medio","Mitigar","Aceptar y monitorear")))</f>
        <v/>
      </c>
      <c r="AI959" s="21" t="n"/>
      <c r="AJ959" s="21" t="n"/>
      <c r="AK959" s="20" t="n"/>
      <c r="AL959" s="77">
        <f>IFERROR(INDEX(MgAmenEfic,MATCH(SUBSTITUTE($H959,"*","-"),MgAmenClave,0)),0)</f>
        <v/>
      </c>
    </row>
    <row r="960" hidden="1" ht="60" customHeight="1" s="54">
      <c r="B960" s="59" t="inlineStr">
        <is>
          <t>R-0955</t>
        </is>
      </c>
      <c r="C960" s="59" t="inlineStr">
        <is>
          <t>TAL-10</t>
        </is>
      </c>
      <c r="D960" s="64">
        <f>IFERROR(INDEX(MgNombre,MATCH($C960,MgActId,0)),"")</f>
        <v/>
      </c>
      <c r="E960" s="64">
        <f>IFERROR(INDEX(MgProceso,MATCH($C960,MgActId,0)),"")</f>
        <v/>
      </c>
      <c r="F960" s="64">
        <f>IFERROR(INDEX(MgTipo,MATCH($C960,MgActId,0)),"")</f>
        <v/>
      </c>
      <c r="G960" s="64">
        <f>IFERROR(INDEX(MgSubtipo,MATCH($C960,MgActId,0)),"")</f>
        <v/>
      </c>
      <c r="H960" s="59" t="inlineStr">
        <is>
          <t>A.15</t>
        </is>
      </c>
      <c r="I960" s="64">
        <f>IFERROR(INDEX(MgAmenNombre,MATCH(SUBSTITUTE($H960,"*","-"),MgAmenClave,0)),"")</f>
        <v/>
      </c>
      <c r="J960" s="28">
        <f>IFERROR(INDEX(MgAmenGrupo,MATCH(SUBSTITUTE($H960,"*","-"),MgAmenClave,0)),"")</f>
        <v/>
      </c>
      <c r="K960" s="64">
        <f>IFERROR(INDEX('1. Matriz de Activos'!$Q$6:$Q$239,MATCH($C960,MgActId,0)),"")</f>
        <v/>
      </c>
      <c r="L960" s="64">
        <f>IFERROR(INDEX('1. Matriz de Activos'!$R$6:$R$239,MATCH($C960,MgActId,0)),"")</f>
        <v/>
      </c>
      <c r="M960" s="64">
        <f>IFERROR(INDEX('1. Matriz de Activos'!$S$6:$S$239,MATCH($C960,MgActId,0)),"")</f>
        <v/>
      </c>
      <c r="N960" s="28">
        <f>IFERROR(INDEX(MgAmenDegD,MATCH(SUBSTITUTE($H960,"*","-"),MgAmenClave,0)),"No aplica")</f>
        <v/>
      </c>
      <c r="O960" s="28">
        <f>IFERROR(INDEX(MgAmenDegI,MATCH(SUBSTITUTE($H960,"*","-"),MgAmenClave,0)),"No aplica")</f>
        <v/>
      </c>
      <c r="P960" s="28">
        <f>IFERROR(INDEX(MgAmenDegC,MATCH(SUBSTITUTE($H960,"*","-"),MgAmenClave,0)),"No aplica")</f>
        <v/>
      </c>
      <c r="Q960" s="29">
        <f>IFERROR(VLOOKUP(K960,MgValor,2,0)*VLOOKUP(N960,MgDeg,2,0),0)</f>
        <v/>
      </c>
      <c r="R960" s="29">
        <f>IFERROR(VLOOKUP(L960,MgValor,2,0)*VLOOKUP(O960,MgDeg,2,0),0)</f>
        <v/>
      </c>
      <c r="S960" s="29">
        <f>IFERROR(VLOOKUP(M960,MgValor,2,0)*VLOOKUP(P960,MgDeg,2,0),0)</f>
        <v/>
      </c>
      <c r="T960" s="30">
        <f>MAX(Q960:S960)</f>
        <v/>
      </c>
      <c r="U960" s="28">
        <f>IFERROR(LOOKUP(T960,{0;0.5;1.5;3;4.5},{"Despreciable";"Bajo";"Medio";"Alto";"Muy alto"}),"")</f>
        <v/>
      </c>
      <c r="V960" s="13">
        <f>IFERROR(INDEX(MgAmenFrec,MATCH(SUBSTITUTE($H960,"*","-"),MgAmenClave,0)),"")</f>
        <v/>
      </c>
      <c r="W960" s="28">
        <f>IFERROR(LOOKUP(X960,{0;0.01;0.1;1;10;100},{"Muy baja";"Muy baja";"Baja";"Media";"Alta";"Muy alta"}),"")</f>
        <v/>
      </c>
      <c r="X960" s="31">
        <f>IFERROR(VLOOKUP(V960,MgFrec,2,0),0)</f>
        <v/>
      </c>
      <c r="Y960" s="30">
        <f>T960*X960</f>
        <v/>
      </c>
      <c r="Z960" s="28">
        <f>IFERROR(LOOKUP(Y960,{0;0.5;5;25},{"Bajo";"Medio";"Alto";"Crítico"}),"")</f>
        <v/>
      </c>
      <c r="AA960" s="64">
        <f>IF(T960&gt;=3,IF(X960&gt;=1,"Zona 1 — Crítica: impacto alto y ocurre al menos una vez al año","Zona 4 — Catastrófica poco probable: impacto alto pero excepcional"),IF(AND(T960&lt;1.5,X960&lt;1),"Zona 3 — Asumible: impacto bajo y muy poco frecuente","Zona 2 — Atención: riesgo intermedio"))</f>
        <v/>
      </c>
      <c r="AB960" s="64">
        <f>IFERROR(INDEX(MgAmenCtrl,MATCH(SUBSTITUTE($H960,"*","-"),MgAmenClave,0)),"")</f>
        <v/>
      </c>
      <c r="AC960" s="20" t="n"/>
      <c r="AD960" s="31">
        <f>IFERROR($X960*(1-IF($AC960="",$AL960,VLOOKUP($AC960,MgMad,2,0))),"")</f>
        <v/>
      </c>
      <c r="AE960" s="28">
        <f>IFERROR(LOOKUP(AD960,{0;0.01;0.1;1;10;100},{"Muy baja";"Muy baja";"Baja";"Media";"Alta";"Muy alta"}),"")</f>
        <v/>
      </c>
      <c r="AF960" s="30">
        <f>T960*AD960</f>
        <v/>
      </c>
      <c r="AG960" s="28">
        <f>IFERROR(LOOKUP(AF960,{0;0.5;5;25},{"Bajo";"Medio";"Alto";"Crítico"}),"")</f>
        <v/>
      </c>
      <c r="AH960" s="28">
        <f>IF(AG960="","",IF(OR(AG960="Crítico",AG960="Alto"),"Mitigar",IF(AG960="Medio","Mitigar","Aceptar y monitorear")))</f>
        <v/>
      </c>
      <c r="AI960" s="21" t="n"/>
      <c r="AJ960" s="21" t="n"/>
      <c r="AK960" s="20" t="n"/>
      <c r="AL960" s="77">
        <f>IFERROR(INDEX(MgAmenEfic,MATCH(SUBSTITUTE($H960,"*","-"),MgAmenClave,0)),0)</f>
        <v/>
      </c>
    </row>
    <row r="961" hidden="1" ht="60" customHeight="1" s="54">
      <c r="B961" s="59" t="inlineStr">
        <is>
          <t>R-0956</t>
        </is>
      </c>
      <c r="C961" s="59" t="inlineStr">
        <is>
          <t>TAL-10</t>
        </is>
      </c>
      <c r="D961" s="64">
        <f>IFERROR(INDEX(MgNombre,MATCH($C961,MgActId,0)),"")</f>
        <v/>
      </c>
      <c r="E961" s="64">
        <f>IFERROR(INDEX(MgProceso,MATCH($C961,MgActId,0)),"")</f>
        <v/>
      </c>
      <c r="F961" s="64">
        <f>IFERROR(INDEX(MgTipo,MATCH($C961,MgActId,0)),"")</f>
        <v/>
      </c>
      <c r="G961" s="64">
        <f>IFERROR(INDEX(MgSubtipo,MATCH($C961,MgActId,0)),"")</f>
        <v/>
      </c>
      <c r="H961" s="59" t="inlineStr">
        <is>
          <t>A.18</t>
        </is>
      </c>
      <c r="I961" s="64">
        <f>IFERROR(INDEX(MgAmenNombre,MATCH(SUBSTITUTE($H961,"*","-"),MgAmenClave,0)),"")</f>
        <v/>
      </c>
      <c r="J961" s="28">
        <f>IFERROR(INDEX(MgAmenGrupo,MATCH(SUBSTITUTE($H961,"*","-"),MgAmenClave,0)),"")</f>
        <v/>
      </c>
      <c r="K961" s="64">
        <f>IFERROR(INDEX('1. Matriz de Activos'!$Q$6:$Q$239,MATCH($C961,MgActId,0)),"")</f>
        <v/>
      </c>
      <c r="L961" s="64">
        <f>IFERROR(INDEX('1. Matriz de Activos'!$R$6:$R$239,MATCH($C961,MgActId,0)),"")</f>
        <v/>
      </c>
      <c r="M961" s="64">
        <f>IFERROR(INDEX('1. Matriz de Activos'!$S$6:$S$239,MATCH($C961,MgActId,0)),"")</f>
        <v/>
      </c>
      <c r="N961" s="28">
        <f>IFERROR(INDEX(MgAmenDegD,MATCH(SUBSTITUTE($H961,"*","-"),MgAmenClave,0)),"No aplica")</f>
        <v/>
      </c>
      <c r="O961" s="28">
        <f>IFERROR(INDEX(MgAmenDegI,MATCH(SUBSTITUTE($H961,"*","-"),MgAmenClave,0)),"No aplica")</f>
        <v/>
      </c>
      <c r="P961" s="28">
        <f>IFERROR(INDEX(MgAmenDegC,MATCH(SUBSTITUTE($H961,"*","-"),MgAmenClave,0)),"No aplica")</f>
        <v/>
      </c>
      <c r="Q961" s="29">
        <f>IFERROR(VLOOKUP(K961,MgValor,2,0)*VLOOKUP(N961,MgDeg,2,0),0)</f>
        <v/>
      </c>
      <c r="R961" s="29">
        <f>IFERROR(VLOOKUP(L961,MgValor,2,0)*VLOOKUP(O961,MgDeg,2,0),0)</f>
        <v/>
      </c>
      <c r="S961" s="29">
        <f>IFERROR(VLOOKUP(M961,MgValor,2,0)*VLOOKUP(P961,MgDeg,2,0),0)</f>
        <v/>
      </c>
      <c r="T961" s="30">
        <f>MAX(Q961:S961)</f>
        <v/>
      </c>
      <c r="U961" s="28">
        <f>IFERROR(LOOKUP(T961,{0;0.5;1.5;3;4.5},{"Despreciable";"Bajo";"Medio";"Alto";"Muy alto"}),"")</f>
        <v/>
      </c>
      <c r="V961" s="13">
        <f>IFERROR(INDEX(MgAmenFrec,MATCH(SUBSTITUTE($H961,"*","-"),MgAmenClave,0)),"")</f>
        <v/>
      </c>
      <c r="W961" s="28">
        <f>IFERROR(LOOKUP(X961,{0;0.01;0.1;1;10;100},{"Muy baja";"Muy baja";"Baja";"Media";"Alta";"Muy alta"}),"")</f>
        <v/>
      </c>
      <c r="X961" s="31">
        <f>IFERROR(VLOOKUP(V961,MgFrec,2,0),0)</f>
        <v/>
      </c>
      <c r="Y961" s="30">
        <f>T961*X961</f>
        <v/>
      </c>
      <c r="Z961" s="28">
        <f>IFERROR(LOOKUP(Y961,{0;0.5;5;25},{"Bajo";"Medio";"Alto";"Crítico"}),"")</f>
        <v/>
      </c>
      <c r="AA961" s="64">
        <f>IF(T961&gt;=3,IF(X961&gt;=1,"Zona 1 — Crítica: impacto alto y ocurre al menos una vez al año","Zona 4 — Catastrófica poco probable: impacto alto pero excepcional"),IF(AND(T961&lt;1.5,X961&lt;1),"Zona 3 — Asumible: impacto bajo y muy poco frecuente","Zona 2 — Atención: riesgo intermedio"))</f>
        <v/>
      </c>
      <c r="AB961" s="64">
        <f>IFERROR(INDEX(MgAmenCtrl,MATCH(SUBSTITUTE($H961,"*","-"),MgAmenClave,0)),"")</f>
        <v/>
      </c>
      <c r="AC961" s="20" t="n"/>
      <c r="AD961" s="31">
        <f>IFERROR($X961*(1-IF($AC961="",$AL961,VLOOKUP($AC961,MgMad,2,0))),"")</f>
        <v/>
      </c>
      <c r="AE961" s="28">
        <f>IFERROR(LOOKUP(AD961,{0;0.01;0.1;1;10;100},{"Muy baja";"Muy baja";"Baja";"Media";"Alta";"Muy alta"}),"")</f>
        <v/>
      </c>
      <c r="AF961" s="30">
        <f>T961*AD961</f>
        <v/>
      </c>
      <c r="AG961" s="28">
        <f>IFERROR(LOOKUP(AF961,{0;0.5;5;25},{"Bajo";"Medio";"Alto";"Crítico"}),"")</f>
        <v/>
      </c>
      <c r="AH961" s="28">
        <f>IF(AG961="","",IF(OR(AG961="Crítico",AG961="Alto"),"Mitigar",IF(AG961="Medio","Mitigar","Aceptar y monitorear")))</f>
        <v/>
      </c>
      <c r="AI961" s="21" t="n"/>
      <c r="AJ961" s="21" t="n"/>
      <c r="AK961" s="20" t="n"/>
      <c r="AL961" s="77">
        <f>IFERROR(INDEX(MgAmenEfic,MATCH(SUBSTITUTE($H961,"*","-"),MgAmenClave,0)),0)</f>
        <v/>
      </c>
    </row>
    <row r="962" hidden="1" ht="120" customHeight="1" s="54">
      <c r="B962" s="59" t="inlineStr">
        <is>
          <t>R-0957</t>
        </is>
      </c>
      <c r="C962" s="59" t="inlineStr">
        <is>
          <t>TAL-10</t>
        </is>
      </c>
      <c r="D962" s="64">
        <f>IFERROR(INDEX(MgNombre,MATCH($C962,MgActId,0)),"")</f>
        <v/>
      </c>
      <c r="E962" s="64">
        <f>IFERROR(INDEX(MgProceso,MATCH($C962,MgActId,0)),"")</f>
        <v/>
      </c>
      <c r="F962" s="64">
        <f>IFERROR(INDEX(MgTipo,MATCH($C962,MgActId,0)),"")</f>
        <v/>
      </c>
      <c r="G962" s="64">
        <f>IFERROR(INDEX(MgSubtipo,MATCH($C962,MgActId,0)),"")</f>
        <v/>
      </c>
      <c r="H962" s="59" t="inlineStr">
        <is>
          <t>A.19</t>
        </is>
      </c>
      <c r="I962" s="64">
        <f>IFERROR(INDEX(MgAmenNombre,MATCH(SUBSTITUTE($H962,"*","-"),MgAmenClave,0)),"")</f>
        <v/>
      </c>
      <c r="J962" s="28">
        <f>IFERROR(INDEX(MgAmenGrupo,MATCH(SUBSTITUTE($H962,"*","-"),MgAmenClave,0)),"")</f>
        <v/>
      </c>
      <c r="K962" s="64">
        <f>IFERROR(INDEX('1. Matriz de Activos'!$Q$6:$Q$239,MATCH($C962,MgActId,0)),"")</f>
        <v/>
      </c>
      <c r="L962" s="64">
        <f>IFERROR(INDEX('1. Matriz de Activos'!$R$6:$R$239,MATCH($C962,MgActId,0)),"")</f>
        <v/>
      </c>
      <c r="M962" s="64">
        <f>IFERROR(INDEX('1. Matriz de Activos'!$S$6:$S$239,MATCH($C962,MgActId,0)),"")</f>
        <v/>
      </c>
      <c r="N962" s="28">
        <f>IFERROR(INDEX(MgAmenDegD,MATCH(SUBSTITUTE($H962,"*","-"),MgAmenClave,0)),"No aplica")</f>
        <v/>
      </c>
      <c r="O962" s="28">
        <f>IFERROR(INDEX(MgAmenDegI,MATCH(SUBSTITUTE($H962,"*","-"),MgAmenClave,0)),"No aplica")</f>
        <v/>
      </c>
      <c r="P962" s="28">
        <f>IFERROR(INDEX(MgAmenDegC,MATCH(SUBSTITUTE($H962,"*","-"),MgAmenClave,0)),"No aplica")</f>
        <v/>
      </c>
      <c r="Q962" s="29">
        <f>IFERROR(VLOOKUP(K962,MgValor,2,0)*VLOOKUP(N962,MgDeg,2,0),0)</f>
        <v/>
      </c>
      <c r="R962" s="29">
        <f>IFERROR(VLOOKUP(L962,MgValor,2,0)*VLOOKUP(O962,MgDeg,2,0),0)</f>
        <v/>
      </c>
      <c r="S962" s="29">
        <f>IFERROR(VLOOKUP(M962,MgValor,2,0)*VLOOKUP(P962,MgDeg,2,0),0)</f>
        <v/>
      </c>
      <c r="T962" s="30">
        <f>MAX(Q962:S962)</f>
        <v/>
      </c>
      <c r="U962" s="28">
        <f>IFERROR(LOOKUP(T962,{0;0.5;1.5;3;4.5},{"Despreciable";"Bajo";"Medio";"Alto";"Muy alto"}),"")</f>
        <v/>
      </c>
      <c r="V962" s="13">
        <f>IFERROR(INDEX(MgAmenFrec,MATCH(SUBSTITUTE($H962,"*","-"),MgAmenClave,0)),"")</f>
        <v/>
      </c>
      <c r="W962" s="28">
        <f>IFERROR(LOOKUP(X962,{0;0.01;0.1;1;10;100},{"Muy baja";"Muy baja";"Baja";"Media";"Alta";"Muy alta"}),"")</f>
        <v/>
      </c>
      <c r="X962" s="31">
        <f>IFERROR(VLOOKUP(V962,MgFrec,2,0),0)</f>
        <v/>
      </c>
      <c r="Y962" s="30">
        <f>T962*X962</f>
        <v/>
      </c>
      <c r="Z962" s="28">
        <f>IFERROR(LOOKUP(Y962,{0;0.5;5;25},{"Bajo";"Medio";"Alto";"Crítico"}),"")</f>
        <v/>
      </c>
      <c r="AA962" s="64">
        <f>IF(T962&gt;=3,IF(X962&gt;=1,"Zona 1 — Crítica: impacto alto y ocurre al menos una vez al año","Zona 4 — Catastrófica poco probable: impacto alto pero excepcional"),IF(AND(T962&lt;1.5,X962&lt;1),"Zona 3 — Asumible: impacto bajo y muy poco frecuente","Zona 2 — Atención: riesgo intermedio"))</f>
        <v/>
      </c>
      <c r="AB962" s="64">
        <f>IFERROR(INDEX(MgAmenCtrl,MATCH(SUBSTITUTE($H962,"*","-"),MgAmenClave,0)),"")</f>
        <v/>
      </c>
      <c r="AC962" s="20" t="n"/>
      <c r="AD962" s="31">
        <f>IFERROR($X962*(1-IF($AC962="",$AL962,VLOOKUP($AC962,MgMad,2,0))),"")</f>
        <v/>
      </c>
      <c r="AE962" s="28">
        <f>IFERROR(LOOKUP(AD962,{0;0.01;0.1;1;10;100},{"Muy baja";"Muy baja";"Baja";"Media";"Alta";"Muy alta"}),"")</f>
        <v/>
      </c>
      <c r="AF962" s="30">
        <f>T962*AD962</f>
        <v/>
      </c>
      <c r="AG962" s="28">
        <f>IFERROR(LOOKUP(AF962,{0;0.5;5;25},{"Bajo";"Medio";"Alto";"Crítico"}),"")</f>
        <v/>
      </c>
      <c r="AH962" s="28">
        <f>IF(AG962="","",IF(OR(AG962="Crítico",AG962="Alto"),"Mitigar",IF(AG962="Medio","Mitigar","Aceptar y monitorear")))</f>
        <v/>
      </c>
      <c r="AI962" s="21" t="n"/>
      <c r="AJ962" s="21" t="n"/>
      <c r="AK962" s="20" t="n"/>
      <c r="AL962" s="77">
        <f>IFERROR(INDEX(MgAmenEfic,MATCH(SUBSTITUTE($H962,"*","-"),MgAmenClave,0)),0)</f>
        <v/>
      </c>
    </row>
    <row r="963" hidden="1" ht="105" customHeight="1" s="54">
      <c r="B963" s="59" t="inlineStr">
        <is>
          <t>R-0958</t>
        </is>
      </c>
      <c r="C963" s="59" t="inlineStr">
        <is>
          <t>GH-015</t>
        </is>
      </c>
      <c r="D963" s="64">
        <f>IFERROR(INDEX(MgNombre,MATCH($C963,MgActId,0)),"")</f>
        <v/>
      </c>
      <c r="E963" s="64">
        <f>IFERROR(INDEX(MgProceso,MATCH($C963,MgActId,0)),"")</f>
        <v/>
      </c>
      <c r="F963" s="64">
        <f>IFERROR(INDEX(MgTipo,MATCH($C963,MgActId,0)),"")</f>
        <v/>
      </c>
      <c r="G963" s="64">
        <f>IFERROR(INDEX(MgSubtipo,MATCH($C963,MgActId,0)),"")</f>
        <v/>
      </c>
      <c r="H963" s="59" t="inlineStr">
        <is>
          <t>E.1</t>
        </is>
      </c>
      <c r="I963" s="64">
        <f>IFERROR(INDEX(MgAmenNombre,MATCH(SUBSTITUTE($H963,"*","-"),MgAmenClave,0)),"")</f>
        <v/>
      </c>
      <c r="J963" s="28">
        <f>IFERROR(INDEX(MgAmenGrupo,MATCH(SUBSTITUTE($H963,"*","-"),MgAmenClave,0)),"")</f>
        <v/>
      </c>
      <c r="K963" s="64">
        <f>IFERROR(INDEX('1. Matriz de Activos'!$Q$6:$Q$239,MATCH($C963,MgActId,0)),"")</f>
        <v/>
      </c>
      <c r="L963" s="64">
        <f>IFERROR(INDEX('1. Matriz de Activos'!$R$6:$R$239,MATCH($C963,MgActId,0)),"")</f>
        <v/>
      </c>
      <c r="M963" s="64">
        <f>IFERROR(INDEX('1. Matriz de Activos'!$S$6:$S$239,MATCH($C963,MgActId,0)),"")</f>
        <v/>
      </c>
      <c r="N963" s="28">
        <f>IFERROR(INDEX(MgAmenDegD,MATCH(SUBSTITUTE($H963,"*","-"),MgAmenClave,0)),"No aplica")</f>
        <v/>
      </c>
      <c r="O963" s="28">
        <f>IFERROR(INDEX(MgAmenDegI,MATCH(SUBSTITUTE($H963,"*","-"),MgAmenClave,0)),"No aplica")</f>
        <v/>
      </c>
      <c r="P963" s="28">
        <f>IFERROR(INDEX(MgAmenDegC,MATCH(SUBSTITUTE($H963,"*","-"),MgAmenClave,0)),"No aplica")</f>
        <v/>
      </c>
      <c r="Q963" s="29">
        <f>IFERROR(VLOOKUP(K963,MgValor,2,0)*VLOOKUP(N963,MgDeg,2,0),0)</f>
        <v/>
      </c>
      <c r="R963" s="29">
        <f>IFERROR(VLOOKUP(L963,MgValor,2,0)*VLOOKUP(O963,MgDeg,2,0),0)</f>
        <v/>
      </c>
      <c r="S963" s="29">
        <f>IFERROR(VLOOKUP(M963,MgValor,2,0)*VLOOKUP(P963,MgDeg,2,0),0)</f>
        <v/>
      </c>
      <c r="T963" s="30">
        <f>MAX(Q963:S963)</f>
        <v/>
      </c>
      <c r="U963" s="28">
        <f>IFERROR(LOOKUP(T963,{0;0.5;1.5;3;4.5},{"Despreciable";"Bajo";"Medio";"Alto";"Muy alto"}),"")</f>
        <v/>
      </c>
      <c r="V963" s="13">
        <f>IFERROR(INDEX(MgAmenFrec,MATCH(SUBSTITUTE($H963,"*","-"),MgAmenClave,0)),"")</f>
        <v/>
      </c>
      <c r="W963" s="28">
        <f>IFERROR(LOOKUP(X963,{0;0.01;0.1;1;10;100},{"Muy baja";"Muy baja";"Baja";"Media";"Alta";"Muy alta"}),"")</f>
        <v/>
      </c>
      <c r="X963" s="31">
        <f>IFERROR(VLOOKUP(V963,MgFrec,2,0),0)</f>
        <v/>
      </c>
      <c r="Y963" s="30">
        <f>T963*X963</f>
        <v/>
      </c>
      <c r="Z963" s="28">
        <f>IFERROR(LOOKUP(Y963,{0;0.5;5;25},{"Bajo";"Medio";"Alto";"Crítico"}),"")</f>
        <v/>
      </c>
      <c r="AA963" s="64">
        <f>IF(T963&gt;=3,IF(X963&gt;=1,"Zona 1 — Crítica: impacto alto y ocurre al menos una vez al año","Zona 4 — Catastrófica poco probable: impacto alto pero excepcional"),IF(AND(T963&lt;1.5,X963&lt;1),"Zona 3 — Asumible: impacto bajo y muy poco frecuente","Zona 2 — Atención: riesgo intermedio"))</f>
        <v/>
      </c>
      <c r="AB963" s="64">
        <f>IFERROR(INDEX(MgAmenCtrl,MATCH(SUBSTITUTE($H963,"*","-"),MgAmenClave,0)),"")</f>
        <v/>
      </c>
      <c r="AC963" s="20" t="n"/>
      <c r="AD963" s="31">
        <f>IFERROR($X963*(1-IF($AC963="",$AL963,VLOOKUP($AC963,MgMad,2,0))),"")</f>
        <v/>
      </c>
      <c r="AE963" s="28">
        <f>IFERROR(LOOKUP(AD963,{0;0.01;0.1;1;10;100},{"Muy baja";"Muy baja";"Baja";"Media";"Alta";"Muy alta"}),"")</f>
        <v/>
      </c>
      <c r="AF963" s="30">
        <f>T963*AD963</f>
        <v/>
      </c>
      <c r="AG963" s="28">
        <f>IFERROR(LOOKUP(AF963,{0;0.5;5;25},{"Bajo";"Medio";"Alto";"Crítico"}),"")</f>
        <v/>
      </c>
      <c r="AH963" s="28">
        <f>IF(AG963="","",IF(OR(AG963="Crítico",AG963="Alto"),"Mitigar",IF(AG963="Medio","Mitigar","Aceptar y monitorear")))</f>
        <v/>
      </c>
      <c r="AI963" s="21" t="n"/>
      <c r="AJ963" s="21" t="n"/>
      <c r="AK963" s="20" t="n"/>
      <c r="AL963" s="77">
        <f>IFERROR(INDEX(MgAmenEfic,MATCH(SUBSTITUTE($H963,"*","-"),MgAmenClave,0)),0)</f>
        <v/>
      </c>
    </row>
    <row r="964" hidden="1" ht="120" customHeight="1" s="54">
      <c r="B964" s="59" t="inlineStr">
        <is>
          <t>R-0959</t>
        </is>
      </c>
      <c r="C964" s="59" t="inlineStr">
        <is>
          <t>GH-015</t>
        </is>
      </c>
      <c r="D964" s="64">
        <f>IFERROR(INDEX(MgNombre,MATCH($C964,MgActId,0)),"")</f>
        <v/>
      </c>
      <c r="E964" s="64">
        <f>IFERROR(INDEX(MgProceso,MATCH($C964,MgActId,0)),"")</f>
        <v/>
      </c>
      <c r="F964" s="64">
        <f>IFERROR(INDEX(MgTipo,MATCH($C964,MgActId,0)),"")</f>
        <v/>
      </c>
      <c r="G964" s="64">
        <f>IFERROR(INDEX(MgSubtipo,MATCH($C964,MgActId,0)),"")</f>
        <v/>
      </c>
      <c r="H964" s="59" t="inlineStr">
        <is>
          <t>E.2</t>
        </is>
      </c>
      <c r="I964" s="64">
        <f>IFERROR(INDEX(MgAmenNombre,MATCH(SUBSTITUTE($H964,"*","-"),MgAmenClave,0)),"")</f>
        <v/>
      </c>
      <c r="J964" s="28">
        <f>IFERROR(INDEX(MgAmenGrupo,MATCH(SUBSTITUTE($H964,"*","-"),MgAmenClave,0)),"")</f>
        <v/>
      </c>
      <c r="K964" s="64">
        <f>IFERROR(INDEX('1. Matriz de Activos'!$Q$6:$Q$239,MATCH($C964,MgActId,0)),"")</f>
        <v/>
      </c>
      <c r="L964" s="64">
        <f>IFERROR(INDEX('1. Matriz de Activos'!$R$6:$R$239,MATCH($C964,MgActId,0)),"")</f>
        <v/>
      </c>
      <c r="M964" s="64">
        <f>IFERROR(INDEX('1. Matriz de Activos'!$S$6:$S$239,MATCH($C964,MgActId,0)),"")</f>
        <v/>
      </c>
      <c r="N964" s="28">
        <f>IFERROR(INDEX(MgAmenDegD,MATCH(SUBSTITUTE($H964,"*","-"),MgAmenClave,0)),"No aplica")</f>
        <v/>
      </c>
      <c r="O964" s="28">
        <f>IFERROR(INDEX(MgAmenDegI,MATCH(SUBSTITUTE($H964,"*","-"),MgAmenClave,0)),"No aplica")</f>
        <v/>
      </c>
      <c r="P964" s="28">
        <f>IFERROR(INDEX(MgAmenDegC,MATCH(SUBSTITUTE($H964,"*","-"),MgAmenClave,0)),"No aplica")</f>
        <v/>
      </c>
      <c r="Q964" s="29">
        <f>IFERROR(VLOOKUP(K964,MgValor,2,0)*VLOOKUP(N964,MgDeg,2,0),0)</f>
        <v/>
      </c>
      <c r="R964" s="29">
        <f>IFERROR(VLOOKUP(L964,MgValor,2,0)*VLOOKUP(O964,MgDeg,2,0),0)</f>
        <v/>
      </c>
      <c r="S964" s="29">
        <f>IFERROR(VLOOKUP(M964,MgValor,2,0)*VLOOKUP(P964,MgDeg,2,0),0)</f>
        <v/>
      </c>
      <c r="T964" s="30">
        <f>MAX(Q964:S964)</f>
        <v/>
      </c>
      <c r="U964" s="28">
        <f>IFERROR(LOOKUP(T964,{0;0.5;1.5;3;4.5},{"Despreciable";"Bajo";"Medio";"Alto";"Muy alto"}),"")</f>
        <v/>
      </c>
      <c r="V964" s="13">
        <f>IFERROR(INDEX(MgAmenFrec,MATCH(SUBSTITUTE($H964,"*","-"),MgAmenClave,0)),"")</f>
        <v/>
      </c>
      <c r="W964" s="28">
        <f>IFERROR(LOOKUP(X964,{0;0.01;0.1;1;10;100},{"Muy baja";"Muy baja";"Baja";"Media";"Alta";"Muy alta"}),"")</f>
        <v/>
      </c>
      <c r="X964" s="31">
        <f>IFERROR(VLOOKUP(V964,MgFrec,2,0),0)</f>
        <v/>
      </c>
      <c r="Y964" s="30">
        <f>T964*X964</f>
        <v/>
      </c>
      <c r="Z964" s="28">
        <f>IFERROR(LOOKUP(Y964,{0;0.5;5;25},{"Bajo";"Medio";"Alto";"Crítico"}),"")</f>
        <v/>
      </c>
      <c r="AA964" s="64">
        <f>IF(T964&gt;=3,IF(X964&gt;=1,"Zona 1 — Crítica: impacto alto y ocurre al menos una vez al año","Zona 4 — Catastrófica poco probable: impacto alto pero excepcional"),IF(AND(T964&lt;1.5,X964&lt;1),"Zona 3 — Asumible: impacto bajo y muy poco frecuente","Zona 2 — Atención: riesgo intermedio"))</f>
        <v/>
      </c>
      <c r="AB964" s="64">
        <f>IFERROR(INDEX(MgAmenCtrl,MATCH(SUBSTITUTE($H964,"*","-"),MgAmenClave,0)),"")</f>
        <v/>
      </c>
      <c r="AC964" s="20" t="n"/>
      <c r="AD964" s="31">
        <f>IFERROR($X964*(1-IF($AC964="",$AL964,VLOOKUP($AC964,MgMad,2,0))),"")</f>
        <v/>
      </c>
      <c r="AE964" s="28">
        <f>IFERROR(LOOKUP(AD964,{0;0.01;0.1;1;10;100},{"Muy baja";"Muy baja";"Baja";"Media";"Alta";"Muy alta"}),"")</f>
        <v/>
      </c>
      <c r="AF964" s="30">
        <f>T964*AD964</f>
        <v/>
      </c>
      <c r="AG964" s="28">
        <f>IFERROR(LOOKUP(AF964,{0;0.5;5;25},{"Bajo";"Medio";"Alto";"Crítico"}),"")</f>
        <v/>
      </c>
      <c r="AH964" s="28">
        <f>IF(AG964="","",IF(OR(AG964="Crítico",AG964="Alto"),"Mitigar",IF(AG964="Medio","Mitigar","Aceptar y monitorear")))</f>
        <v/>
      </c>
      <c r="AI964" s="21" t="n"/>
      <c r="AJ964" s="21" t="n"/>
      <c r="AK964" s="20" t="n"/>
      <c r="AL964" s="77">
        <f>IFERROR(INDEX(MgAmenEfic,MATCH(SUBSTITUTE($H964,"*","-"),MgAmenClave,0)),0)</f>
        <v/>
      </c>
    </row>
    <row r="965" hidden="1" ht="75" customHeight="1" s="54">
      <c r="B965" s="59" t="inlineStr">
        <is>
          <t>R-0960</t>
        </is>
      </c>
      <c r="C965" s="59" t="inlineStr">
        <is>
          <t>GH-015</t>
        </is>
      </c>
      <c r="D965" s="64">
        <f>IFERROR(INDEX(MgNombre,MATCH($C965,MgActId,0)),"")</f>
        <v/>
      </c>
      <c r="E965" s="64">
        <f>IFERROR(INDEX(MgProceso,MATCH($C965,MgActId,0)),"")</f>
        <v/>
      </c>
      <c r="F965" s="64">
        <f>IFERROR(INDEX(MgTipo,MATCH($C965,MgActId,0)),"")</f>
        <v/>
      </c>
      <c r="G965" s="64">
        <f>IFERROR(INDEX(MgSubtipo,MATCH($C965,MgActId,0)),"")</f>
        <v/>
      </c>
      <c r="H965" s="59" t="inlineStr">
        <is>
          <t>E.3</t>
        </is>
      </c>
      <c r="I965" s="64">
        <f>IFERROR(INDEX(MgAmenNombre,MATCH(SUBSTITUTE($H965,"*","-"),MgAmenClave,0)),"")</f>
        <v/>
      </c>
      <c r="J965" s="28">
        <f>IFERROR(INDEX(MgAmenGrupo,MATCH(SUBSTITUTE($H965,"*","-"),MgAmenClave,0)),"")</f>
        <v/>
      </c>
      <c r="K965" s="64">
        <f>IFERROR(INDEX('1. Matriz de Activos'!$Q$6:$Q$239,MATCH($C965,MgActId,0)),"")</f>
        <v/>
      </c>
      <c r="L965" s="64">
        <f>IFERROR(INDEX('1. Matriz de Activos'!$R$6:$R$239,MATCH($C965,MgActId,0)),"")</f>
        <v/>
      </c>
      <c r="M965" s="64">
        <f>IFERROR(INDEX('1. Matriz de Activos'!$S$6:$S$239,MATCH($C965,MgActId,0)),"")</f>
        <v/>
      </c>
      <c r="N965" s="28">
        <f>IFERROR(INDEX(MgAmenDegD,MATCH(SUBSTITUTE($H965,"*","-"),MgAmenClave,0)),"No aplica")</f>
        <v/>
      </c>
      <c r="O965" s="28">
        <f>IFERROR(INDEX(MgAmenDegI,MATCH(SUBSTITUTE($H965,"*","-"),MgAmenClave,0)),"No aplica")</f>
        <v/>
      </c>
      <c r="P965" s="28">
        <f>IFERROR(INDEX(MgAmenDegC,MATCH(SUBSTITUTE($H965,"*","-"),MgAmenClave,0)),"No aplica")</f>
        <v/>
      </c>
      <c r="Q965" s="29">
        <f>IFERROR(VLOOKUP(K965,MgValor,2,0)*VLOOKUP(N965,MgDeg,2,0),0)</f>
        <v/>
      </c>
      <c r="R965" s="29">
        <f>IFERROR(VLOOKUP(L965,MgValor,2,0)*VLOOKUP(O965,MgDeg,2,0),0)</f>
        <v/>
      </c>
      <c r="S965" s="29">
        <f>IFERROR(VLOOKUP(M965,MgValor,2,0)*VLOOKUP(P965,MgDeg,2,0),0)</f>
        <v/>
      </c>
      <c r="T965" s="30">
        <f>MAX(Q965:S965)</f>
        <v/>
      </c>
      <c r="U965" s="28">
        <f>IFERROR(LOOKUP(T965,{0;0.5;1.5;3;4.5},{"Despreciable";"Bajo";"Medio";"Alto";"Muy alto"}),"")</f>
        <v/>
      </c>
      <c r="V965" s="13">
        <f>IFERROR(INDEX(MgAmenFrec,MATCH(SUBSTITUTE($H965,"*","-"),MgAmenClave,0)),"")</f>
        <v/>
      </c>
      <c r="W965" s="28">
        <f>IFERROR(LOOKUP(X965,{0;0.01;0.1;1;10;100},{"Muy baja";"Muy baja";"Baja";"Media";"Alta";"Muy alta"}),"")</f>
        <v/>
      </c>
      <c r="X965" s="31">
        <f>IFERROR(VLOOKUP(V965,MgFrec,2,0),0)</f>
        <v/>
      </c>
      <c r="Y965" s="30">
        <f>T965*X965</f>
        <v/>
      </c>
      <c r="Z965" s="28">
        <f>IFERROR(LOOKUP(Y965,{0;0.5;5;25},{"Bajo";"Medio";"Alto";"Crítico"}),"")</f>
        <v/>
      </c>
      <c r="AA965" s="64">
        <f>IF(T965&gt;=3,IF(X965&gt;=1,"Zona 1 — Crítica: impacto alto y ocurre al menos una vez al año","Zona 4 — Catastrófica poco probable: impacto alto pero excepcional"),IF(AND(T965&lt;1.5,X965&lt;1),"Zona 3 — Asumible: impacto bajo y muy poco frecuente","Zona 2 — Atención: riesgo intermedio"))</f>
        <v/>
      </c>
      <c r="AB965" s="64">
        <f>IFERROR(INDEX(MgAmenCtrl,MATCH(SUBSTITUTE($H965,"*","-"),MgAmenClave,0)),"")</f>
        <v/>
      </c>
      <c r="AC965" s="20" t="n"/>
      <c r="AD965" s="31">
        <f>IFERROR($X965*(1-IF($AC965="",$AL965,VLOOKUP($AC965,MgMad,2,0))),"")</f>
        <v/>
      </c>
      <c r="AE965" s="28">
        <f>IFERROR(LOOKUP(AD965,{0;0.01;0.1;1;10;100},{"Muy baja";"Muy baja";"Baja";"Media";"Alta";"Muy alta"}),"")</f>
        <v/>
      </c>
      <c r="AF965" s="30">
        <f>T965*AD965</f>
        <v/>
      </c>
      <c r="AG965" s="28">
        <f>IFERROR(LOOKUP(AF965,{0;0.5;5;25},{"Bajo";"Medio";"Alto";"Crítico"}),"")</f>
        <v/>
      </c>
      <c r="AH965" s="28">
        <f>IF(AG965="","",IF(OR(AG965="Crítico",AG965="Alto"),"Mitigar",IF(AG965="Medio","Mitigar","Aceptar y monitorear")))</f>
        <v/>
      </c>
      <c r="AI965" s="21" t="n"/>
      <c r="AJ965" s="21" t="n"/>
      <c r="AK965" s="20" t="n"/>
      <c r="AL965" s="77">
        <f>IFERROR(INDEX(MgAmenEfic,MATCH(SUBSTITUTE($H965,"*","-"),MgAmenClave,0)),0)</f>
        <v/>
      </c>
    </row>
    <row r="966" hidden="1" ht="75" customHeight="1" s="54">
      <c r="B966" s="59" t="inlineStr">
        <is>
          <t>R-0961</t>
        </is>
      </c>
      <c r="C966" s="59" t="inlineStr">
        <is>
          <t>GH-015</t>
        </is>
      </c>
      <c r="D966" s="64">
        <f>IFERROR(INDEX(MgNombre,MATCH($C966,MgActId,0)),"")</f>
        <v/>
      </c>
      <c r="E966" s="64">
        <f>IFERROR(INDEX(MgProceso,MATCH($C966,MgActId,0)),"")</f>
        <v/>
      </c>
      <c r="F966" s="64">
        <f>IFERROR(INDEX(MgTipo,MATCH($C966,MgActId,0)),"")</f>
        <v/>
      </c>
      <c r="G966" s="64">
        <f>IFERROR(INDEX(MgSubtipo,MATCH($C966,MgActId,0)),"")</f>
        <v/>
      </c>
      <c r="H966" s="59" t="inlineStr">
        <is>
          <t>E.4</t>
        </is>
      </c>
      <c r="I966" s="64">
        <f>IFERROR(INDEX(MgAmenNombre,MATCH(SUBSTITUTE($H966,"*","-"),MgAmenClave,0)),"")</f>
        <v/>
      </c>
      <c r="J966" s="28">
        <f>IFERROR(INDEX(MgAmenGrupo,MATCH(SUBSTITUTE($H966,"*","-"),MgAmenClave,0)),"")</f>
        <v/>
      </c>
      <c r="K966" s="64">
        <f>IFERROR(INDEX('1. Matriz de Activos'!$Q$6:$Q$239,MATCH($C966,MgActId,0)),"")</f>
        <v/>
      </c>
      <c r="L966" s="64">
        <f>IFERROR(INDEX('1. Matriz de Activos'!$R$6:$R$239,MATCH($C966,MgActId,0)),"")</f>
        <v/>
      </c>
      <c r="M966" s="64">
        <f>IFERROR(INDEX('1. Matriz de Activos'!$S$6:$S$239,MATCH($C966,MgActId,0)),"")</f>
        <v/>
      </c>
      <c r="N966" s="28">
        <f>IFERROR(INDEX(MgAmenDegD,MATCH(SUBSTITUTE($H966,"*","-"),MgAmenClave,0)),"No aplica")</f>
        <v/>
      </c>
      <c r="O966" s="28">
        <f>IFERROR(INDEX(MgAmenDegI,MATCH(SUBSTITUTE($H966,"*","-"),MgAmenClave,0)),"No aplica")</f>
        <v/>
      </c>
      <c r="P966" s="28">
        <f>IFERROR(INDEX(MgAmenDegC,MATCH(SUBSTITUTE($H966,"*","-"),MgAmenClave,0)),"No aplica")</f>
        <v/>
      </c>
      <c r="Q966" s="29">
        <f>IFERROR(VLOOKUP(K966,MgValor,2,0)*VLOOKUP(N966,MgDeg,2,0),0)</f>
        <v/>
      </c>
      <c r="R966" s="29">
        <f>IFERROR(VLOOKUP(L966,MgValor,2,0)*VLOOKUP(O966,MgDeg,2,0),0)</f>
        <v/>
      </c>
      <c r="S966" s="29">
        <f>IFERROR(VLOOKUP(M966,MgValor,2,0)*VLOOKUP(P966,MgDeg,2,0),0)</f>
        <v/>
      </c>
      <c r="T966" s="30">
        <f>MAX(Q966:S966)</f>
        <v/>
      </c>
      <c r="U966" s="28">
        <f>IFERROR(LOOKUP(T966,{0;0.5;1.5;3;4.5},{"Despreciable";"Bajo";"Medio";"Alto";"Muy alto"}),"")</f>
        <v/>
      </c>
      <c r="V966" s="13">
        <f>IFERROR(INDEX(MgAmenFrec,MATCH(SUBSTITUTE($H966,"*","-"),MgAmenClave,0)),"")</f>
        <v/>
      </c>
      <c r="W966" s="28">
        <f>IFERROR(LOOKUP(X966,{0;0.01;0.1;1;10;100},{"Muy baja";"Muy baja";"Baja";"Media";"Alta";"Muy alta"}),"")</f>
        <v/>
      </c>
      <c r="X966" s="31">
        <f>IFERROR(VLOOKUP(V966,MgFrec,2,0),0)</f>
        <v/>
      </c>
      <c r="Y966" s="30">
        <f>T966*X966</f>
        <v/>
      </c>
      <c r="Z966" s="28">
        <f>IFERROR(LOOKUP(Y966,{0;0.5;5;25},{"Bajo";"Medio";"Alto";"Crítico"}),"")</f>
        <v/>
      </c>
      <c r="AA966" s="64">
        <f>IF(T966&gt;=3,IF(X966&gt;=1,"Zona 1 — Crítica: impacto alto y ocurre al menos una vez al año","Zona 4 — Catastrófica poco probable: impacto alto pero excepcional"),IF(AND(T966&lt;1.5,X966&lt;1),"Zona 3 — Asumible: impacto bajo y muy poco frecuente","Zona 2 — Atención: riesgo intermedio"))</f>
        <v/>
      </c>
      <c r="AB966" s="64">
        <f>IFERROR(INDEX(MgAmenCtrl,MATCH(SUBSTITUTE($H966,"*","-"),MgAmenClave,0)),"")</f>
        <v/>
      </c>
      <c r="AC966" s="20" t="n"/>
      <c r="AD966" s="31">
        <f>IFERROR($X966*(1-IF($AC966="",$AL966,VLOOKUP($AC966,MgMad,2,0))),"")</f>
        <v/>
      </c>
      <c r="AE966" s="28">
        <f>IFERROR(LOOKUP(AD966,{0;0.01;0.1;1;10;100},{"Muy baja";"Muy baja";"Baja";"Media";"Alta";"Muy alta"}),"")</f>
        <v/>
      </c>
      <c r="AF966" s="30">
        <f>T966*AD966</f>
        <v/>
      </c>
      <c r="AG966" s="28">
        <f>IFERROR(LOOKUP(AF966,{0;0.5;5;25},{"Bajo";"Medio";"Alto";"Crítico"}),"")</f>
        <v/>
      </c>
      <c r="AH966" s="28">
        <f>IF(AG966="","",IF(OR(AG966="Crítico",AG966="Alto"),"Mitigar",IF(AG966="Medio","Mitigar","Aceptar y monitorear")))</f>
        <v/>
      </c>
      <c r="AI966" s="21" t="n"/>
      <c r="AJ966" s="21" t="n"/>
      <c r="AK966" s="20" t="n"/>
      <c r="AL966" s="77">
        <f>IFERROR(INDEX(MgAmenEfic,MATCH(SUBSTITUTE($H966,"*","-"),MgAmenClave,0)),0)</f>
        <v/>
      </c>
    </row>
    <row r="967" hidden="1" ht="90" customHeight="1" s="54">
      <c r="B967" s="59" t="inlineStr">
        <is>
          <t>R-0962</t>
        </is>
      </c>
      <c r="C967" s="59" t="inlineStr">
        <is>
          <t>GH-015</t>
        </is>
      </c>
      <c r="D967" s="64">
        <f>IFERROR(INDEX(MgNombre,MATCH($C967,MgActId,0)),"")</f>
        <v/>
      </c>
      <c r="E967" s="64">
        <f>IFERROR(INDEX(MgProceso,MATCH($C967,MgActId,0)),"")</f>
        <v/>
      </c>
      <c r="F967" s="64">
        <f>IFERROR(INDEX(MgTipo,MATCH($C967,MgActId,0)),"")</f>
        <v/>
      </c>
      <c r="G967" s="64">
        <f>IFERROR(INDEX(MgSubtipo,MATCH($C967,MgActId,0)),"")</f>
        <v/>
      </c>
      <c r="H967" s="59" t="inlineStr">
        <is>
          <t>E.14</t>
        </is>
      </c>
      <c r="I967" s="64">
        <f>IFERROR(INDEX(MgAmenNombre,MATCH(SUBSTITUTE($H967,"*","-"),MgAmenClave,0)),"")</f>
        <v/>
      </c>
      <c r="J967" s="28">
        <f>IFERROR(INDEX(MgAmenGrupo,MATCH(SUBSTITUTE($H967,"*","-"),MgAmenClave,0)),"")</f>
        <v/>
      </c>
      <c r="K967" s="64">
        <f>IFERROR(INDEX('1. Matriz de Activos'!$Q$6:$Q$239,MATCH($C967,MgActId,0)),"")</f>
        <v/>
      </c>
      <c r="L967" s="64">
        <f>IFERROR(INDEX('1. Matriz de Activos'!$R$6:$R$239,MATCH($C967,MgActId,0)),"")</f>
        <v/>
      </c>
      <c r="M967" s="64">
        <f>IFERROR(INDEX('1. Matriz de Activos'!$S$6:$S$239,MATCH($C967,MgActId,0)),"")</f>
        <v/>
      </c>
      <c r="N967" s="28">
        <f>IFERROR(INDEX(MgAmenDegD,MATCH(SUBSTITUTE($H967,"*","-"),MgAmenClave,0)),"No aplica")</f>
        <v/>
      </c>
      <c r="O967" s="28">
        <f>IFERROR(INDEX(MgAmenDegI,MATCH(SUBSTITUTE($H967,"*","-"),MgAmenClave,0)),"No aplica")</f>
        <v/>
      </c>
      <c r="P967" s="28">
        <f>IFERROR(INDEX(MgAmenDegC,MATCH(SUBSTITUTE($H967,"*","-"),MgAmenClave,0)),"No aplica")</f>
        <v/>
      </c>
      <c r="Q967" s="29">
        <f>IFERROR(VLOOKUP(K967,MgValor,2,0)*VLOOKUP(N967,MgDeg,2,0),0)</f>
        <v/>
      </c>
      <c r="R967" s="29">
        <f>IFERROR(VLOOKUP(L967,MgValor,2,0)*VLOOKUP(O967,MgDeg,2,0),0)</f>
        <v/>
      </c>
      <c r="S967" s="29">
        <f>IFERROR(VLOOKUP(M967,MgValor,2,0)*VLOOKUP(P967,MgDeg,2,0),0)</f>
        <v/>
      </c>
      <c r="T967" s="30">
        <f>MAX(Q967:S967)</f>
        <v/>
      </c>
      <c r="U967" s="28">
        <f>IFERROR(LOOKUP(T967,{0;0.5;1.5;3;4.5},{"Despreciable";"Bajo";"Medio";"Alto";"Muy alto"}),"")</f>
        <v/>
      </c>
      <c r="V967" s="13">
        <f>IFERROR(INDEX(MgAmenFrec,MATCH(SUBSTITUTE($H967,"*","-"),MgAmenClave,0)),"")</f>
        <v/>
      </c>
      <c r="W967" s="28">
        <f>IFERROR(LOOKUP(X967,{0;0.01;0.1;1;10;100},{"Muy baja";"Muy baja";"Baja";"Media";"Alta";"Muy alta"}),"")</f>
        <v/>
      </c>
      <c r="X967" s="31">
        <f>IFERROR(VLOOKUP(V967,MgFrec,2,0),0)</f>
        <v/>
      </c>
      <c r="Y967" s="30">
        <f>T967*X967</f>
        <v/>
      </c>
      <c r="Z967" s="28">
        <f>IFERROR(LOOKUP(Y967,{0;0.5;5;25},{"Bajo";"Medio";"Alto";"Crítico"}),"")</f>
        <v/>
      </c>
      <c r="AA967" s="64">
        <f>IF(T967&gt;=3,IF(X967&gt;=1,"Zona 1 — Crítica: impacto alto y ocurre al menos una vez al año","Zona 4 — Catastrófica poco probable: impacto alto pero excepcional"),IF(AND(T967&lt;1.5,X967&lt;1),"Zona 3 — Asumible: impacto bajo y muy poco frecuente","Zona 2 — Atención: riesgo intermedio"))</f>
        <v/>
      </c>
      <c r="AB967" s="64">
        <f>IFERROR(INDEX(MgAmenCtrl,MATCH(SUBSTITUTE($H967,"*","-"),MgAmenClave,0)),"")</f>
        <v/>
      </c>
      <c r="AC967" s="20" t="n"/>
      <c r="AD967" s="31">
        <f>IFERROR($X967*(1-IF($AC967="",$AL967,VLOOKUP($AC967,MgMad,2,0))),"")</f>
        <v/>
      </c>
      <c r="AE967" s="28">
        <f>IFERROR(LOOKUP(AD967,{0;0.01;0.1;1;10;100},{"Muy baja";"Muy baja";"Baja";"Media";"Alta";"Muy alta"}),"")</f>
        <v/>
      </c>
      <c r="AF967" s="30">
        <f>T967*AD967</f>
        <v/>
      </c>
      <c r="AG967" s="28">
        <f>IFERROR(LOOKUP(AF967,{0;0.5;5;25},{"Bajo";"Medio";"Alto";"Crítico"}),"")</f>
        <v/>
      </c>
      <c r="AH967" s="28">
        <f>IF(AG967="","",IF(OR(AG967="Crítico",AG967="Alto"),"Mitigar",IF(AG967="Medio","Mitigar","Aceptar y monitorear")))</f>
        <v/>
      </c>
      <c r="AI967" s="21" t="n"/>
      <c r="AJ967" s="21" t="n"/>
      <c r="AK967" s="20" t="n"/>
      <c r="AL967" s="77">
        <f>IFERROR(INDEX(MgAmenEfic,MATCH(SUBSTITUTE($H967,"*","-"),MgAmenClave,0)),0)</f>
        <v/>
      </c>
    </row>
    <row r="968" hidden="1" ht="90" customHeight="1" s="54">
      <c r="B968" s="59" t="inlineStr">
        <is>
          <t>R-0963</t>
        </is>
      </c>
      <c r="C968" s="59" t="inlineStr">
        <is>
          <t>GH-015</t>
        </is>
      </c>
      <c r="D968" s="64">
        <f>IFERROR(INDEX(MgNombre,MATCH($C968,MgActId,0)),"")</f>
        <v/>
      </c>
      <c r="E968" s="64">
        <f>IFERROR(INDEX(MgProceso,MATCH($C968,MgActId,0)),"")</f>
        <v/>
      </c>
      <c r="F968" s="64">
        <f>IFERROR(INDEX(MgTipo,MATCH($C968,MgActId,0)),"")</f>
        <v/>
      </c>
      <c r="G968" s="64">
        <f>IFERROR(INDEX(MgSubtipo,MATCH($C968,MgActId,0)),"")</f>
        <v/>
      </c>
      <c r="H968" s="59" t="inlineStr">
        <is>
          <t>E.15</t>
        </is>
      </c>
      <c r="I968" s="64">
        <f>IFERROR(INDEX(MgAmenNombre,MATCH(SUBSTITUTE($H968,"*","-"),MgAmenClave,0)),"")</f>
        <v/>
      </c>
      <c r="J968" s="28">
        <f>IFERROR(INDEX(MgAmenGrupo,MATCH(SUBSTITUTE($H968,"*","-"),MgAmenClave,0)),"")</f>
        <v/>
      </c>
      <c r="K968" s="64">
        <f>IFERROR(INDEX('1. Matriz de Activos'!$Q$6:$Q$239,MATCH($C968,MgActId,0)),"")</f>
        <v/>
      </c>
      <c r="L968" s="64">
        <f>IFERROR(INDEX('1. Matriz de Activos'!$R$6:$R$239,MATCH($C968,MgActId,0)),"")</f>
        <v/>
      </c>
      <c r="M968" s="64">
        <f>IFERROR(INDEX('1. Matriz de Activos'!$S$6:$S$239,MATCH($C968,MgActId,0)),"")</f>
        <v/>
      </c>
      <c r="N968" s="28">
        <f>IFERROR(INDEX(MgAmenDegD,MATCH(SUBSTITUTE($H968,"*","-"),MgAmenClave,0)),"No aplica")</f>
        <v/>
      </c>
      <c r="O968" s="28">
        <f>IFERROR(INDEX(MgAmenDegI,MATCH(SUBSTITUTE($H968,"*","-"),MgAmenClave,0)),"No aplica")</f>
        <v/>
      </c>
      <c r="P968" s="28">
        <f>IFERROR(INDEX(MgAmenDegC,MATCH(SUBSTITUTE($H968,"*","-"),MgAmenClave,0)),"No aplica")</f>
        <v/>
      </c>
      <c r="Q968" s="29">
        <f>IFERROR(VLOOKUP(K968,MgValor,2,0)*VLOOKUP(N968,MgDeg,2,0),0)</f>
        <v/>
      </c>
      <c r="R968" s="29">
        <f>IFERROR(VLOOKUP(L968,MgValor,2,0)*VLOOKUP(O968,MgDeg,2,0),0)</f>
        <v/>
      </c>
      <c r="S968" s="29">
        <f>IFERROR(VLOOKUP(M968,MgValor,2,0)*VLOOKUP(P968,MgDeg,2,0),0)</f>
        <v/>
      </c>
      <c r="T968" s="30">
        <f>MAX(Q968:S968)</f>
        <v/>
      </c>
      <c r="U968" s="28">
        <f>IFERROR(LOOKUP(T968,{0;0.5;1.5;3;4.5},{"Despreciable";"Bajo";"Medio";"Alto";"Muy alto"}),"")</f>
        <v/>
      </c>
      <c r="V968" s="13">
        <f>IFERROR(INDEX(MgAmenFrec,MATCH(SUBSTITUTE($H968,"*","-"),MgAmenClave,0)),"")</f>
        <v/>
      </c>
      <c r="W968" s="28">
        <f>IFERROR(LOOKUP(X968,{0;0.01;0.1;1;10;100},{"Muy baja";"Muy baja";"Baja";"Media";"Alta";"Muy alta"}),"")</f>
        <v/>
      </c>
      <c r="X968" s="31">
        <f>IFERROR(VLOOKUP(V968,MgFrec,2,0),0)</f>
        <v/>
      </c>
      <c r="Y968" s="30">
        <f>T968*X968</f>
        <v/>
      </c>
      <c r="Z968" s="28">
        <f>IFERROR(LOOKUP(Y968,{0;0.5;5;25},{"Bajo";"Medio";"Alto";"Crítico"}),"")</f>
        <v/>
      </c>
      <c r="AA968" s="64">
        <f>IF(T968&gt;=3,IF(X968&gt;=1,"Zona 1 — Crítica: impacto alto y ocurre al menos una vez al año","Zona 4 — Catastrófica poco probable: impacto alto pero excepcional"),IF(AND(T968&lt;1.5,X968&lt;1),"Zona 3 — Asumible: impacto bajo y muy poco frecuente","Zona 2 — Atención: riesgo intermedio"))</f>
        <v/>
      </c>
      <c r="AB968" s="64">
        <f>IFERROR(INDEX(MgAmenCtrl,MATCH(SUBSTITUTE($H968,"*","-"),MgAmenClave,0)),"")</f>
        <v/>
      </c>
      <c r="AC968" s="20" t="n"/>
      <c r="AD968" s="31">
        <f>IFERROR($X968*(1-IF($AC968="",$AL968,VLOOKUP($AC968,MgMad,2,0))),"")</f>
        <v/>
      </c>
      <c r="AE968" s="28">
        <f>IFERROR(LOOKUP(AD968,{0;0.01;0.1;1;10;100},{"Muy baja";"Muy baja";"Baja";"Media";"Alta";"Muy alta"}),"")</f>
        <v/>
      </c>
      <c r="AF968" s="30">
        <f>T968*AD968</f>
        <v/>
      </c>
      <c r="AG968" s="28">
        <f>IFERROR(LOOKUP(AF968,{0;0.5;5;25},{"Bajo";"Medio";"Alto";"Crítico"}),"")</f>
        <v/>
      </c>
      <c r="AH968" s="28">
        <f>IF(AG968="","",IF(OR(AG968="Crítico",AG968="Alto"),"Mitigar",IF(AG968="Medio","Mitigar","Aceptar y monitorear")))</f>
        <v/>
      </c>
      <c r="AI968" s="21" t="n"/>
      <c r="AJ968" s="21" t="n"/>
      <c r="AK968" s="20" t="n"/>
      <c r="AL968" s="77">
        <f>IFERROR(INDEX(MgAmenEfic,MATCH(SUBSTITUTE($H968,"*","-"),MgAmenClave,0)),0)</f>
        <v/>
      </c>
    </row>
    <row r="969" hidden="1" ht="60" customHeight="1" s="54">
      <c r="B969" s="59" t="inlineStr">
        <is>
          <t>R-0964</t>
        </is>
      </c>
      <c r="C969" s="59" t="inlineStr">
        <is>
          <t>GH-015</t>
        </is>
      </c>
      <c r="D969" s="64">
        <f>IFERROR(INDEX(MgNombre,MATCH($C969,MgActId,0)),"")</f>
        <v/>
      </c>
      <c r="E969" s="64">
        <f>IFERROR(INDEX(MgProceso,MATCH($C969,MgActId,0)),"")</f>
        <v/>
      </c>
      <c r="F969" s="64">
        <f>IFERROR(INDEX(MgTipo,MATCH($C969,MgActId,0)),"")</f>
        <v/>
      </c>
      <c r="G969" s="64">
        <f>IFERROR(INDEX(MgSubtipo,MATCH($C969,MgActId,0)),"")</f>
        <v/>
      </c>
      <c r="H969" s="59" t="inlineStr">
        <is>
          <t>E.18</t>
        </is>
      </c>
      <c r="I969" s="64">
        <f>IFERROR(INDEX(MgAmenNombre,MATCH(SUBSTITUTE($H969,"*","-"),MgAmenClave,0)),"")</f>
        <v/>
      </c>
      <c r="J969" s="28">
        <f>IFERROR(INDEX(MgAmenGrupo,MATCH(SUBSTITUTE($H969,"*","-"),MgAmenClave,0)),"")</f>
        <v/>
      </c>
      <c r="K969" s="64">
        <f>IFERROR(INDEX('1. Matriz de Activos'!$Q$6:$Q$239,MATCH($C969,MgActId,0)),"")</f>
        <v/>
      </c>
      <c r="L969" s="64">
        <f>IFERROR(INDEX('1. Matriz de Activos'!$R$6:$R$239,MATCH($C969,MgActId,0)),"")</f>
        <v/>
      </c>
      <c r="M969" s="64">
        <f>IFERROR(INDEX('1. Matriz de Activos'!$S$6:$S$239,MATCH($C969,MgActId,0)),"")</f>
        <v/>
      </c>
      <c r="N969" s="28">
        <f>IFERROR(INDEX(MgAmenDegD,MATCH(SUBSTITUTE($H969,"*","-"),MgAmenClave,0)),"No aplica")</f>
        <v/>
      </c>
      <c r="O969" s="28">
        <f>IFERROR(INDEX(MgAmenDegI,MATCH(SUBSTITUTE($H969,"*","-"),MgAmenClave,0)),"No aplica")</f>
        <v/>
      </c>
      <c r="P969" s="28">
        <f>IFERROR(INDEX(MgAmenDegC,MATCH(SUBSTITUTE($H969,"*","-"),MgAmenClave,0)),"No aplica")</f>
        <v/>
      </c>
      <c r="Q969" s="29">
        <f>IFERROR(VLOOKUP(K969,MgValor,2,0)*VLOOKUP(N969,MgDeg,2,0),0)</f>
        <v/>
      </c>
      <c r="R969" s="29">
        <f>IFERROR(VLOOKUP(L969,MgValor,2,0)*VLOOKUP(O969,MgDeg,2,0),0)</f>
        <v/>
      </c>
      <c r="S969" s="29">
        <f>IFERROR(VLOOKUP(M969,MgValor,2,0)*VLOOKUP(P969,MgDeg,2,0),0)</f>
        <v/>
      </c>
      <c r="T969" s="30">
        <f>MAX(Q969:S969)</f>
        <v/>
      </c>
      <c r="U969" s="28">
        <f>IFERROR(LOOKUP(T969,{0;0.5;1.5;3;4.5},{"Despreciable";"Bajo";"Medio";"Alto";"Muy alto"}),"")</f>
        <v/>
      </c>
      <c r="V969" s="13">
        <f>IFERROR(INDEX(MgAmenFrec,MATCH(SUBSTITUTE($H969,"*","-"),MgAmenClave,0)),"")</f>
        <v/>
      </c>
      <c r="W969" s="28">
        <f>IFERROR(LOOKUP(X969,{0;0.01;0.1;1;10;100},{"Muy baja";"Muy baja";"Baja";"Media";"Alta";"Muy alta"}),"")</f>
        <v/>
      </c>
      <c r="X969" s="31">
        <f>IFERROR(VLOOKUP(V969,MgFrec,2,0),0)</f>
        <v/>
      </c>
      <c r="Y969" s="30">
        <f>T969*X969</f>
        <v/>
      </c>
      <c r="Z969" s="28">
        <f>IFERROR(LOOKUP(Y969,{0;0.5;5;25},{"Bajo";"Medio";"Alto";"Crítico"}),"")</f>
        <v/>
      </c>
      <c r="AA969" s="64">
        <f>IF(T969&gt;=3,IF(X969&gt;=1,"Zona 1 — Crítica: impacto alto y ocurre al menos una vez al año","Zona 4 — Catastrófica poco probable: impacto alto pero excepcional"),IF(AND(T969&lt;1.5,X969&lt;1),"Zona 3 — Asumible: impacto bajo y muy poco frecuente","Zona 2 — Atención: riesgo intermedio"))</f>
        <v/>
      </c>
      <c r="AB969" s="64">
        <f>IFERROR(INDEX(MgAmenCtrl,MATCH(SUBSTITUTE($H969,"*","-"),MgAmenClave,0)),"")</f>
        <v/>
      </c>
      <c r="AC969" s="20" t="n"/>
      <c r="AD969" s="31">
        <f>IFERROR($X969*(1-IF($AC969="",$AL969,VLOOKUP($AC969,MgMad,2,0))),"")</f>
        <v/>
      </c>
      <c r="AE969" s="28">
        <f>IFERROR(LOOKUP(AD969,{0;0.01;0.1;1;10;100},{"Muy baja";"Muy baja";"Baja";"Media";"Alta";"Muy alta"}),"")</f>
        <v/>
      </c>
      <c r="AF969" s="30">
        <f>T969*AD969</f>
        <v/>
      </c>
      <c r="AG969" s="28">
        <f>IFERROR(LOOKUP(AF969,{0;0.5;5;25},{"Bajo";"Medio";"Alto";"Crítico"}),"")</f>
        <v/>
      </c>
      <c r="AH969" s="28">
        <f>IF(AG969="","",IF(OR(AG969="Crítico",AG969="Alto"),"Mitigar",IF(AG969="Medio","Mitigar","Aceptar y monitorear")))</f>
        <v/>
      </c>
      <c r="AI969" s="21" t="n"/>
      <c r="AJ969" s="21" t="n"/>
      <c r="AK969" s="20" t="n"/>
      <c r="AL969" s="77">
        <f>IFERROR(INDEX(MgAmenEfic,MATCH(SUBSTITUTE($H969,"*","-"),MgAmenClave,0)),0)</f>
        <v/>
      </c>
    </row>
    <row r="970" hidden="1" ht="105" customHeight="1" s="54">
      <c r="B970" s="59" t="inlineStr">
        <is>
          <t>R-0965</t>
        </is>
      </c>
      <c r="C970" s="59" t="inlineStr">
        <is>
          <t>GH-015</t>
        </is>
      </c>
      <c r="D970" s="64">
        <f>IFERROR(INDEX(MgNombre,MATCH($C970,MgActId,0)),"")</f>
        <v/>
      </c>
      <c r="E970" s="64">
        <f>IFERROR(INDEX(MgProceso,MATCH($C970,MgActId,0)),"")</f>
        <v/>
      </c>
      <c r="F970" s="64">
        <f>IFERROR(INDEX(MgTipo,MATCH($C970,MgActId,0)),"")</f>
        <v/>
      </c>
      <c r="G970" s="64">
        <f>IFERROR(INDEX(MgSubtipo,MATCH($C970,MgActId,0)),"")</f>
        <v/>
      </c>
      <c r="H970" s="59" t="inlineStr">
        <is>
          <t>E.19</t>
        </is>
      </c>
      <c r="I970" s="64">
        <f>IFERROR(INDEX(MgAmenNombre,MATCH(SUBSTITUTE($H970,"*","-"),MgAmenClave,0)),"")</f>
        <v/>
      </c>
      <c r="J970" s="28">
        <f>IFERROR(INDEX(MgAmenGrupo,MATCH(SUBSTITUTE($H970,"*","-"),MgAmenClave,0)),"")</f>
        <v/>
      </c>
      <c r="K970" s="64">
        <f>IFERROR(INDEX('1. Matriz de Activos'!$Q$6:$Q$239,MATCH($C970,MgActId,0)),"")</f>
        <v/>
      </c>
      <c r="L970" s="64">
        <f>IFERROR(INDEX('1. Matriz de Activos'!$R$6:$R$239,MATCH($C970,MgActId,0)),"")</f>
        <v/>
      </c>
      <c r="M970" s="64">
        <f>IFERROR(INDEX('1. Matriz de Activos'!$S$6:$S$239,MATCH($C970,MgActId,0)),"")</f>
        <v/>
      </c>
      <c r="N970" s="28">
        <f>IFERROR(INDEX(MgAmenDegD,MATCH(SUBSTITUTE($H970,"*","-"),MgAmenClave,0)),"No aplica")</f>
        <v/>
      </c>
      <c r="O970" s="28">
        <f>IFERROR(INDEX(MgAmenDegI,MATCH(SUBSTITUTE($H970,"*","-"),MgAmenClave,0)),"No aplica")</f>
        <v/>
      </c>
      <c r="P970" s="28">
        <f>IFERROR(INDEX(MgAmenDegC,MATCH(SUBSTITUTE($H970,"*","-"),MgAmenClave,0)),"No aplica")</f>
        <v/>
      </c>
      <c r="Q970" s="29">
        <f>IFERROR(VLOOKUP(K970,MgValor,2,0)*VLOOKUP(N970,MgDeg,2,0),0)</f>
        <v/>
      </c>
      <c r="R970" s="29">
        <f>IFERROR(VLOOKUP(L970,MgValor,2,0)*VLOOKUP(O970,MgDeg,2,0),0)</f>
        <v/>
      </c>
      <c r="S970" s="29">
        <f>IFERROR(VLOOKUP(M970,MgValor,2,0)*VLOOKUP(P970,MgDeg,2,0),0)</f>
        <v/>
      </c>
      <c r="T970" s="30">
        <f>MAX(Q970:S970)</f>
        <v/>
      </c>
      <c r="U970" s="28">
        <f>IFERROR(LOOKUP(T970,{0;0.5;1.5;3;4.5},{"Despreciable";"Bajo";"Medio";"Alto";"Muy alto"}),"")</f>
        <v/>
      </c>
      <c r="V970" s="13">
        <f>IFERROR(INDEX(MgAmenFrec,MATCH(SUBSTITUTE($H970,"*","-"),MgAmenClave,0)),"")</f>
        <v/>
      </c>
      <c r="W970" s="28">
        <f>IFERROR(LOOKUP(X970,{0;0.01;0.1;1;10;100},{"Muy baja";"Muy baja";"Baja";"Media";"Alta";"Muy alta"}),"")</f>
        <v/>
      </c>
      <c r="X970" s="31">
        <f>IFERROR(VLOOKUP(V970,MgFrec,2,0),0)</f>
        <v/>
      </c>
      <c r="Y970" s="30">
        <f>T970*X970</f>
        <v/>
      </c>
      <c r="Z970" s="28">
        <f>IFERROR(LOOKUP(Y970,{0;0.5;5;25},{"Bajo";"Medio";"Alto";"Crítico"}),"")</f>
        <v/>
      </c>
      <c r="AA970" s="64">
        <f>IF(T970&gt;=3,IF(X970&gt;=1,"Zona 1 — Crítica: impacto alto y ocurre al menos una vez al año","Zona 4 — Catastrófica poco probable: impacto alto pero excepcional"),IF(AND(T970&lt;1.5,X970&lt;1),"Zona 3 — Asumible: impacto bajo y muy poco frecuente","Zona 2 — Atención: riesgo intermedio"))</f>
        <v/>
      </c>
      <c r="AB970" s="64">
        <f>IFERROR(INDEX(MgAmenCtrl,MATCH(SUBSTITUTE($H970,"*","-"),MgAmenClave,0)),"")</f>
        <v/>
      </c>
      <c r="AC970" s="20" t="n"/>
      <c r="AD970" s="31">
        <f>IFERROR($X970*(1-IF($AC970="",$AL970,VLOOKUP($AC970,MgMad,2,0))),"")</f>
        <v/>
      </c>
      <c r="AE970" s="28">
        <f>IFERROR(LOOKUP(AD970,{0;0.01;0.1;1;10;100},{"Muy baja";"Muy baja";"Baja";"Media";"Alta";"Muy alta"}),"")</f>
        <v/>
      </c>
      <c r="AF970" s="30">
        <f>T970*AD970</f>
        <v/>
      </c>
      <c r="AG970" s="28">
        <f>IFERROR(LOOKUP(AF970,{0;0.5;5;25},{"Bajo";"Medio";"Alto";"Crítico"}),"")</f>
        <v/>
      </c>
      <c r="AH970" s="28">
        <f>IF(AG970="","",IF(OR(AG970="Crítico",AG970="Alto"),"Mitigar",IF(AG970="Medio","Mitigar","Aceptar y monitorear")))</f>
        <v/>
      </c>
      <c r="AI970" s="21" t="n"/>
      <c r="AJ970" s="21" t="n"/>
      <c r="AK970" s="20" t="n"/>
      <c r="AL970" s="77">
        <f>IFERROR(INDEX(MgAmenEfic,MATCH(SUBSTITUTE($H970,"*","-"),MgAmenClave,0)),0)</f>
        <v/>
      </c>
    </row>
    <row r="971" hidden="1" ht="60" customHeight="1" s="54">
      <c r="B971" s="59" t="inlineStr">
        <is>
          <t>R-0966</t>
        </is>
      </c>
      <c r="C971" s="59" t="inlineStr">
        <is>
          <t>GH-015</t>
        </is>
      </c>
      <c r="D971" s="64">
        <f>IFERROR(INDEX(MgNombre,MATCH($C971,MgActId,0)),"")</f>
        <v/>
      </c>
      <c r="E971" s="64">
        <f>IFERROR(INDEX(MgProceso,MATCH($C971,MgActId,0)),"")</f>
        <v/>
      </c>
      <c r="F971" s="64">
        <f>IFERROR(INDEX(MgTipo,MATCH($C971,MgActId,0)),"")</f>
        <v/>
      </c>
      <c r="G971" s="64">
        <f>IFERROR(INDEX(MgSubtipo,MATCH($C971,MgActId,0)),"")</f>
        <v/>
      </c>
      <c r="H971" s="59" t="inlineStr">
        <is>
          <t>A.3</t>
        </is>
      </c>
      <c r="I971" s="64">
        <f>IFERROR(INDEX(MgAmenNombre,MATCH(SUBSTITUTE($H971,"*","-"),MgAmenClave,0)),"")</f>
        <v/>
      </c>
      <c r="J971" s="28">
        <f>IFERROR(INDEX(MgAmenGrupo,MATCH(SUBSTITUTE($H971,"*","-"),MgAmenClave,0)),"")</f>
        <v/>
      </c>
      <c r="K971" s="64">
        <f>IFERROR(INDEX('1. Matriz de Activos'!$Q$6:$Q$239,MATCH($C971,MgActId,0)),"")</f>
        <v/>
      </c>
      <c r="L971" s="64">
        <f>IFERROR(INDEX('1. Matriz de Activos'!$R$6:$R$239,MATCH($C971,MgActId,0)),"")</f>
        <v/>
      </c>
      <c r="M971" s="64">
        <f>IFERROR(INDEX('1. Matriz de Activos'!$S$6:$S$239,MATCH($C971,MgActId,0)),"")</f>
        <v/>
      </c>
      <c r="N971" s="28">
        <f>IFERROR(INDEX(MgAmenDegD,MATCH(SUBSTITUTE($H971,"*","-"),MgAmenClave,0)),"No aplica")</f>
        <v/>
      </c>
      <c r="O971" s="28">
        <f>IFERROR(INDEX(MgAmenDegI,MATCH(SUBSTITUTE($H971,"*","-"),MgAmenClave,0)),"No aplica")</f>
        <v/>
      </c>
      <c r="P971" s="28">
        <f>IFERROR(INDEX(MgAmenDegC,MATCH(SUBSTITUTE($H971,"*","-"),MgAmenClave,0)),"No aplica")</f>
        <v/>
      </c>
      <c r="Q971" s="29">
        <f>IFERROR(VLOOKUP(K971,MgValor,2,0)*VLOOKUP(N971,MgDeg,2,0),0)</f>
        <v/>
      </c>
      <c r="R971" s="29">
        <f>IFERROR(VLOOKUP(L971,MgValor,2,0)*VLOOKUP(O971,MgDeg,2,0),0)</f>
        <v/>
      </c>
      <c r="S971" s="29">
        <f>IFERROR(VLOOKUP(M971,MgValor,2,0)*VLOOKUP(P971,MgDeg,2,0),0)</f>
        <v/>
      </c>
      <c r="T971" s="30">
        <f>MAX(Q971:S971)</f>
        <v/>
      </c>
      <c r="U971" s="28">
        <f>IFERROR(LOOKUP(T971,{0;0.5;1.5;3;4.5},{"Despreciable";"Bajo";"Medio";"Alto";"Muy alto"}),"")</f>
        <v/>
      </c>
      <c r="V971" s="13">
        <f>IFERROR(INDEX(MgAmenFrec,MATCH(SUBSTITUTE($H971,"*","-"),MgAmenClave,0)),"")</f>
        <v/>
      </c>
      <c r="W971" s="28">
        <f>IFERROR(LOOKUP(X971,{0;0.01;0.1;1;10;100},{"Muy baja";"Muy baja";"Baja";"Media";"Alta";"Muy alta"}),"")</f>
        <v/>
      </c>
      <c r="X971" s="31">
        <f>IFERROR(VLOOKUP(V971,MgFrec,2,0),0)</f>
        <v/>
      </c>
      <c r="Y971" s="30">
        <f>T971*X971</f>
        <v/>
      </c>
      <c r="Z971" s="28">
        <f>IFERROR(LOOKUP(Y971,{0;0.5;5;25},{"Bajo";"Medio";"Alto";"Crítico"}),"")</f>
        <v/>
      </c>
      <c r="AA971" s="64">
        <f>IF(T971&gt;=3,IF(X971&gt;=1,"Zona 1 — Crítica: impacto alto y ocurre al menos una vez al año","Zona 4 — Catastrófica poco probable: impacto alto pero excepcional"),IF(AND(T971&lt;1.5,X971&lt;1),"Zona 3 — Asumible: impacto bajo y muy poco frecuente","Zona 2 — Atención: riesgo intermedio"))</f>
        <v/>
      </c>
      <c r="AB971" s="64">
        <f>IFERROR(INDEX(MgAmenCtrl,MATCH(SUBSTITUTE($H971,"*","-"),MgAmenClave,0)),"")</f>
        <v/>
      </c>
      <c r="AC971" s="20" t="n"/>
      <c r="AD971" s="31">
        <f>IFERROR($X971*(1-IF($AC971="",$AL971,VLOOKUP($AC971,MgMad,2,0))),"")</f>
        <v/>
      </c>
      <c r="AE971" s="28">
        <f>IFERROR(LOOKUP(AD971,{0;0.01;0.1;1;10;100},{"Muy baja";"Muy baja";"Baja";"Media";"Alta";"Muy alta"}),"")</f>
        <v/>
      </c>
      <c r="AF971" s="30">
        <f>T971*AD971</f>
        <v/>
      </c>
      <c r="AG971" s="28">
        <f>IFERROR(LOOKUP(AF971,{0;0.5;5;25},{"Bajo";"Medio";"Alto";"Crítico"}),"")</f>
        <v/>
      </c>
      <c r="AH971" s="28">
        <f>IF(AG971="","",IF(OR(AG971="Crítico",AG971="Alto"),"Mitigar",IF(AG971="Medio","Mitigar","Aceptar y monitorear")))</f>
        <v/>
      </c>
      <c r="AI971" s="21" t="n"/>
      <c r="AJ971" s="21" t="n"/>
      <c r="AK971" s="20" t="n"/>
      <c r="AL971" s="77">
        <f>IFERROR(INDEX(MgAmenEfic,MATCH(SUBSTITUTE($H971,"*","-"),MgAmenClave,0)),0)</f>
        <v/>
      </c>
    </row>
    <row r="972" hidden="1" ht="60" customHeight="1" s="54">
      <c r="B972" s="59" t="inlineStr">
        <is>
          <t>R-0967</t>
        </is>
      </c>
      <c r="C972" s="59" t="inlineStr">
        <is>
          <t>GH-015</t>
        </is>
      </c>
      <c r="D972" s="64">
        <f>IFERROR(INDEX(MgNombre,MATCH($C972,MgActId,0)),"")</f>
        <v/>
      </c>
      <c r="E972" s="64">
        <f>IFERROR(INDEX(MgProceso,MATCH($C972,MgActId,0)),"")</f>
        <v/>
      </c>
      <c r="F972" s="64">
        <f>IFERROR(INDEX(MgTipo,MATCH($C972,MgActId,0)),"")</f>
        <v/>
      </c>
      <c r="G972" s="64">
        <f>IFERROR(INDEX(MgSubtipo,MATCH($C972,MgActId,0)),"")</f>
        <v/>
      </c>
      <c r="H972" s="59" t="inlineStr">
        <is>
          <t>A.4</t>
        </is>
      </c>
      <c r="I972" s="64">
        <f>IFERROR(INDEX(MgAmenNombre,MATCH(SUBSTITUTE($H972,"*","-"),MgAmenClave,0)),"")</f>
        <v/>
      </c>
      <c r="J972" s="28">
        <f>IFERROR(INDEX(MgAmenGrupo,MATCH(SUBSTITUTE($H972,"*","-"),MgAmenClave,0)),"")</f>
        <v/>
      </c>
      <c r="K972" s="64">
        <f>IFERROR(INDEX('1. Matriz de Activos'!$Q$6:$Q$239,MATCH($C972,MgActId,0)),"")</f>
        <v/>
      </c>
      <c r="L972" s="64">
        <f>IFERROR(INDEX('1. Matriz de Activos'!$R$6:$R$239,MATCH($C972,MgActId,0)),"")</f>
        <v/>
      </c>
      <c r="M972" s="64">
        <f>IFERROR(INDEX('1. Matriz de Activos'!$S$6:$S$239,MATCH($C972,MgActId,0)),"")</f>
        <v/>
      </c>
      <c r="N972" s="28">
        <f>IFERROR(INDEX(MgAmenDegD,MATCH(SUBSTITUTE($H972,"*","-"),MgAmenClave,0)),"No aplica")</f>
        <v/>
      </c>
      <c r="O972" s="28">
        <f>IFERROR(INDEX(MgAmenDegI,MATCH(SUBSTITUTE($H972,"*","-"),MgAmenClave,0)),"No aplica")</f>
        <v/>
      </c>
      <c r="P972" s="28">
        <f>IFERROR(INDEX(MgAmenDegC,MATCH(SUBSTITUTE($H972,"*","-"),MgAmenClave,0)),"No aplica")</f>
        <v/>
      </c>
      <c r="Q972" s="29">
        <f>IFERROR(VLOOKUP(K972,MgValor,2,0)*VLOOKUP(N972,MgDeg,2,0),0)</f>
        <v/>
      </c>
      <c r="R972" s="29">
        <f>IFERROR(VLOOKUP(L972,MgValor,2,0)*VLOOKUP(O972,MgDeg,2,0),0)</f>
        <v/>
      </c>
      <c r="S972" s="29">
        <f>IFERROR(VLOOKUP(M972,MgValor,2,0)*VLOOKUP(P972,MgDeg,2,0),0)</f>
        <v/>
      </c>
      <c r="T972" s="30">
        <f>MAX(Q972:S972)</f>
        <v/>
      </c>
      <c r="U972" s="28">
        <f>IFERROR(LOOKUP(T972,{0;0.5;1.5;3;4.5},{"Despreciable";"Bajo";"Medio";"Alto";"Muy alto"}),"")</f>
        <v/>
      </c>
      <c r="V972" s="13">
        <f>IFERROR(INDEX(MgAmenFrec,MATCH(SUBSTITUTE($H972,"*","-"),MgAmenClave,0)),"")</f>
        <v/>
      </c>
      <c r="W972" s="28">
        <f>IFERROR(LOOKUP(X972,{0;0.01;0.1;1;10;100},{"Muy baja";"Muy baja";"Baja";"Media";"Alta";"Muy alta"}),"")</f>
        <v/>
      </c>
      <c r="X972" s="31">
        <f>IFERROR(VLOOKUP(V972,MgFrec,2,0),0)</f>
        <v/>
      </c>
      <c r="Y972" s="30">
        <f>T972*X972</f>
        <v/>
      </c>
      <c r="Z972" s="28">
        <f>IFERROR(LOOKUP(Y972,{0;0.5;5;25},{"Bajo";"Medio";"Alto";"Crítico"}),"")</f>
        <v/>
      </c>
      <c r="AA972" s="64">
        <f>IF(T972&gt;=3,IF(X972&gt;=1,"Zona 1 — Crítica: impacto alto y ocurre al menos una vez al año","Zona 4 — Catastrófica poco probable: impacto alto pero excepcional"),IF(AND(T972&lt;1.5,X972&lt;1),"Zona 3 — Asumible: impacto bajo y muy poco frecuente","Zona 2 — Atención: riesgo intermedio"))</f>
        <v/>
      </c>
      <c r="AB972" s="64">
        <f>IFERROR(INDEX(MgAmenCtrl,MATCH(SUBSTITUTE($H972,"*","-"),MgAmenClave,0)),"")</f>
        <v/>
      </c>
      <c r="AC972" s="20" t="n"/>
      <c r="AD972" s="31">
        <f>IFERROR($X972*(1-IF($AC972="",$AL972,VLOOKUP($AC972,MgMad,2,0))),"")</f>
        <v/>
      </c>
      <c r="AE972" s="28">
        <f>IFERROR(LOOKUP(AD972,{0;0.01;0.1;1;10;100},{"Muy baja";"Muy baja";"Baja";"Media";"Alta";"Muy alta"}),"")</f>
        <v/>
      </c>
      <c r="AF972" s="30">
        <f>T972*AD972</f>
        <v/>
      </c>
      <c r="AG972" s="28">
        <f>IFERROR(LOOKUP(AF972,{0;0.5;5;25},{"Bajo";"Medio";"Alto";"Crítico"}),"")</f>
        <v/>
      </c>
      <c r="AH972" s="28">
        <f>IF(AG972="","",IF(OR(AG972="Crítico",AG972="Alto"),"Mitigar",IF(AG972="Medio","Mitigar","Aceptar y monitorear")))</f>
        <v/>
      </c>
      <c r="AI972" s="21" t="n"/>
      <c r="AJ972" s="21" t="n"/>
      <c r="AK972" s="20" t="n"/>
      <c r="AL972" s="77">
        <f>IFERROR(INDEX(MgAmenEfic,MATCH(SUBSTITUTE($H972,"*","-"),MgAmenClave,0)),0)</f>
        <v/>
      </c>
    </row>
    <row r="973" hidden="1" ht="75" customHeight="1" s="54">
      <c r="B973" s="59" t="inlineStr">
        <is>
          <t>R-0968</t>
        </is>
      </c>
      <c r="C973" s="59" t="inlineStr">
        <is>
          <t>GH-015</t>
        </is>
      </c>
      <c r="D973" s="64">
        <f>IFERROR(INDEX(MgNombre,MATCH($C973,MgActId,0)),"")</f>
        <v/>
      </c>
      <c r="E973" s="64">
        <f>IFERROR(INDEX(MgProceso,MATCH($C973,MgActId,0)),"")</f>
        <v/>
      </c>
      <c r="F973" s="64">
        <f>IFERROR(INDEX(MgTipo,MATCH($C973,MgActId,0)),"")</f>
        <v/>
      </c>
      <c r="G973" s="64">
        <f>IFERROR(INDEX(MgSubtipo,MATCH($C973,MgActId,0)),"")</f>
        <v/>
      </c>
      <c r="H973" s="59" t="inlineStr">
        <is>
          <t>A.5</t>
        </is>
      </c>
      <c r="I973" s="64">
        <f>IFERROR(INDEX(MgAmenNombre,MATCH(SUBSTITUTE($H973,"*","-"),MgAmenClave,0)),"")</f>
        <v/>
      </c>
      <c r="J973" s="28">
        <f>IFERROR(INDEX(MgAmenGrupo,MATCH(SUBSTITUTE($H973,"*","-"),MgAmenClave,0)),"")</f>
        <v/>
      </c>
      <c r="K973" s="64">
        <f>IFERROR(INDEX('1. Matriz de Activos'!$Q$6:$Q$239,MATCH($C973,MgActId,0)),"")</f>
        <v/>
      </c>
      <c r="L973" s="64">
        <f>IFERROR(INDEX('1. Matriz de Activos'!$R$6:$R$239,MATCH($C973,MgActId,0)),"")</f>
        <v/>
      </c>
      <c r="M973" s="64">
        <f>IFERROR(INDEX('1. Matriz de Activos'!$S$6:$S$239,MATCH($C973,MgActId,0)),"")</f>
        <v/>
      </c>
      <c r="N973" s="28">
        <f>IFERROR(INDEX(MgAmenDegD,MATCH(SUBSTITUTE($H973,"*","-"),MgAmenClave,0)),"No aplica")</f>
        <v/>
      </c>
      <c r="O973" s="28">
        <f>IFERROR(INDEX(MgAmenDegI,MATCH(SUBSTITUTE($H973,"*","-"),MgAmenClave,0)),"No aplica")</f>
        <v/>
      </c>
      <c r="P973" s="28">
        <f>IFERROR(INDEX(MgAmenDegC,MATCH(SUBSTITUTE($H973,"*","-"),MgAmenClave,0)),"No aplica")</f>
        <v/>
      </c>
      <c r="Q973" s="29">
        <f>IFERROR(VLOOKUP(K973,MgValor,2,0)*VLOOKUP(N973,MgDeg,2,0),0)</f>
        <v/>
      </c>
      <c r="R973" s="29">
        <f>IFERROR(VLOOKUP(L973,MgValor,2,0)*VLOOKUP(O973,MgDeg,2,0),0)</f>
        <v/>
      </c>
      <c r="S973" s="29">
        <f>IFERROR(VLOOKUP(M973,MgValor,2,0)*VLOOKUP(P973,MgDeg,2,0),0)</f>
        <v/>
      </c>
      <c r="T973" s="30">
        <f>MAX(Q973:S973)</f>
        <v/>
      </c>
      <c r="U973" s="28">
        <f>IFERROR(LOOKUP(T973,{0;0.5;1.5;3;4.5},{"Despreciable";"Bajo";"Medio";"Alto";"Muy alto"}),"")</f>
        <v/>
      </c>
      <c r="V973" s="13">
        <f>IFERROR(INDEX(MgAmenFrec,MATCH(SUBSTITUTE($H973,"*","-"),MgAmenClave,0)),"")</f>
        <v/>
      </c>
      <c r="W973" s="28">
        <f>IFERROR(LOOKUP(X973,{0;0.01;0.1;1;10;100},{"Muy baja";"Muy baja";"Baja";"Media";"Alta";"Muy alta"}),"")</f>
        <v/>
      </c>
      <c r="X973" s="31">
        <f>IFERROR(VLOOKUP(V973,MgFrec,2,0),0)</f>
        <v/>
      </c>
      <c r="Y973" s="30">
        <f>T973*X973</f>
        <v/>
      </c>
      <c r="Z973" s="28">
        <f>IFERROR(LOOKUP(Y973,{0;0.5;5;25},{"Bajo";"Medio";"Alto";"Crítico"}),"")</f>
        <v/>
      </c>
      <c r="AA973" s="64">
        <f>IF(T973&gt;=3,IF(X973&gt;=1,"Zona 1 — Crítica: impacto alto y ocurre al menos una vez al año","Zona 4 — Catastrófica poco probable: impacto alto pero excepcional"),IF(AND(T973&lt;1.5,X973&lt;1),"Zona 3 — Asumible: impacto bajo y muy poco frecuente","Zona 2 — Atención: riesgo intermedio"))</f>
        <v/>
      </c>
      <c r="AB973" s="64">
        <f>IFERROR(INDEX(MgAmenCtrl,MATCH(SUBSTITUTE($H973,"*","-"),MgAmenClave,0)),"")</f>
        <v/>
      </c>
      <c r="AC973" s="20" t="n"/>
      <c r="AD973" s="31">
        <f>IFERROR($X973*(1-IF($AC973="",$AL973,VLOOKUP($AC973,MgMad,2,0))),"")</f>
        <v/>
      </c>
      <c r="AE973" s="28">
        <f>IFERROR(LOOKUP(AD973,{0;0.01;0.1;1;10;100},{"Muy baja";"Muy baja";"Baja";"Media";"Alta";"Muy alta"}),"")</f>
        <v/>
      </c>
      <c r="AF973" s="30">
        <f>T973*AD973</f>
        <v/>
      </c>
      <c r="AG973" s="28">
        <f>IFERROR(LOOKUP(AF973,{0;0.5;5;25},{"Bajo";"Medio";"Alto";"Crítico"}),"")</f>
        <v/>
      </c>
      <c r="AH973" s="28">
        <f>IF(AG973="","",IF(OR(AG973="Crítico",AG973="Alto"),"Mitigar",IF(AG973="Medio","Mitigar","Aceptar y monitorear")))</f>
        <v/>
      </c>
      <c r="AI973" s="21" t="n"/>
      <c r="AJ973" s="21" t="n"/>
      <c r="AK973" s="20" t="n"/>
      <c r="AL973" s="77">
        <f>IFERROR(INDEX(MgAmenEfic,MATCH(SUBSTITUTE($H973,"*","-"),MgAmenClave,0)),0)</f>
        <v/>
      </c>
    </row>
    <row r="974" hidden="1" ht="105" customHeight="1" s="54">
      <c r="B974" s="59" t="inlineStr">
        <is>
          <t>R-0969</t>
        </is>
      </c>
      <c r="C974" s="59" t="inlineStr">
        <is>
          <t>GH-015</t>
        </is>
      </c>
      <c r="D974" s="64">
        <f>IFERROR(INDEX(MgNombre,MATCH($C974,MgActId,0)),"")</f>
        <v/>
      </c>
      <c r="E974" s="64">
        <f>IFERROR(INDEX(MgProceso,MATCH($C974,MgActId,0)),"")</f>
        <v/>
      </c>
      <c r="F974" s="64">
        <f>IFERROR(INDEX(MgTipo,MATCH($C974,MgActId,0)),"")</f>
        <v/>
      </c>
      <c r="G974" s="64">
        <f>IFERROR(INDEX(MgSubtipo,MATCH($C974,MgActId,0)),"")</f>
        <v/>
      </c>
      <c r="H974" s="59" t="inlineStr">
        <is>
          <t>A.6</t>
        </is>
      </c>
      <c r="I974" s="64">
        <f>IFERROR(INDEX(MgAmenNombre,MATCH(SUBSTITUTE($H974,"*","-"),MgAmenClave,0)),"")</f>
        <v/>
      </c>
      <c r="J974" s="28">
        <f>IFERROR(INDEX(MgAmenGrupo,MATCH(SUBSTITUTE($H974,"*","-"),MgAmenClave,0)),"")</f>
        <v/>
      </c>
      <c r="K974" s="64">
        <f>IFERROR(INDEX('1. Matriz de Activos'!$Q$6:$Q$239,MATCH($C974,MgActId,0)),"")</f>
        <v/>
      </c>
      <c r="L974" s="64">
        <f>IFERROR(INDEX('1. Matriz de Activos'!$R$6:$R$239,MATCH($C974,MgActId,0)),"")</f>
        <v/>
      </c>
      <c r="M974" s="64">
        <f>IFERROR(INDEX('1. Matriz de Activos'!$S$6:$S$239,MATCH($C974,MgActId,0)),"")</f>
        <v/>
      </c>
      <c r="N974" s="28">
        <f>IFERROR(INDEX(MgAmenDegD,MATCH(SUBSTITUTE($H974,"*","-"),MgAmenClave,0)),"No aplica")</f>
        <v/>
      </c>
      <c r="O974" s="28">
        <f>IFERROR(INDEX(MgAmenDegI,MATCH(SUBSTITUTE($H974,"*","-"),MgAmenClave,0)),"No aplica")</f>
        <v/>
      </c>
      <c r="P974" s="28">
        <f>IFERROR(INDEX(MgAmenDegC,MATCH(SUBSTITUTE($H974,"*","-"),MgAmenClave,0)),"No aplica")</f>
        <v/>
      </c>
      <c r="Q974" s="29">
        <f>IFERROR(VLOOKUP(K974,MgValor,2,0)*VLOOKUP(N974,MgDeg,2,0),0)</f>
        <v/>
      </c>
      <c r="R974" s="29">
        <f>IFERROR(VLOOKUP(L974,MgValor,2,0)*VLOOKUP(O974,MgDeg,2,0),0)</f>
        <v/>
      </c>
      <c r="S974" s="29">
        <f>IFERROR(VLOOKUP(M974,MgValor,2,0)*VLOOKUP(P974,MgDeg,2,0),0)</f>
        <v/>
      </c>
      <c r="T974" s="30">
        <f>MAX(Q974:S974)</f>
        <v/>
      </c>
      <c r="U974" s="28">
        <f>IFERROR(LOOKUP(T974,{0;0.5;1.5;3;4.5},{"Despreciable";"Bajo";"Medio";"Alto";"Muy alto"}),"")</f>
        <v/>
      </c>
      <c r="V974" s="13">
        <f>IFERROR(INDEX(MgAmenFrec,MATCH(SUBSTITUTE($H974,"*","-"),MgAmenClave,0)),"")</f>
        <v/>
      </c>
      <c r="W974" s="28">
        <f>IFERROR(LOOKUP(X974,{0;0.01;0.1;1;10;100},{"Muy baja";"Muy baja";"Baja";"Media";"Alta";"Muy alta"}),"")</f>
        <v/>
      </c>
      <c r="X974" s="31">
        <f>IFERROR(VLOOKUP(V974,MgFrec,2,0),0)</f>
        <v/>
      </c>
      <c r="Y974" s="30">
        <f>T974*X974</f>
        <v/>
      </c>
      <c r="Z974" s="28">
        <f>IFERROR(LOOKUP(Y974,{0;0.5;5;25},{"Bajo";"Medio";"Alto";"Crítico"}),"")</f>
        <v/>
      </c>
      <c r="AA974" s="64">
        <f>IF(T974&gt;=3,IF(X974&gt;=1,"Zona 1 — Crítica: impacto alto y ocurre al menos una vez al año","Zona 4 — Catastrófica poco probable: impacto alto pero excepcional"),IF(AND(T974&lt;1.5,X974&lt;1),"Zona 3 — Asumible: impacto bajo y muy poco frecuente","Zona 2 — Atención: riesgo intermedio"))</f>
        <v/>
      </c>
      <c r="AB974" s="64">
        <f>IFERROR(INDEX(MgAmenCtrl,MATCH(SUBSTITUTE($H974,"*","-"),MgAmenClave,0)),"")</f>
        <v/>
      </c>
      <c r="AC974" s="20" t="n"/>
      <c r="AD974" s="31">
        <f>IFERROR($X974*(1-IF($AC974="",$AL974,VLOOKUP($AC974,MgMad,2,0))),"")</f>
        <v/>
      </c>
      <c r="AE974" s="28">
        <f>IFERROR(LOOKUP(AD974,{0;0.01;0.1;1;10;100},{"Muy baja";"Muy baja";"Baja";"Media";"Alta";"Muy alta"}),"")</f>
        <v/>
      </c>
      <c r="AF974" s="30">
        <f>T974*AD974</f>
        <v/>
      </c>
      <c r="AG974" s="28">
        <f>IFERROR(LOOKUP(AF974,{0;0.5;5;25},{"Bajo";"Medio";"Alto";"Crítico"}),"")</f>
        <v/>
      </c>
      <c r="AH974" s="28">
        <f>IF(AG974="","",IF(OR(AG974="Crítico",AG974="Alto"),"Mitigar",IF(AG974="Medio","Mitigar","Aceptar y monitorear")))</f>
        <v/>
      </c>
      <c r="AI974" s="21" t="n"/>
      <c r="AJ974" s="21" t="n"/>
      <c r="AK974" s="20" t="n"/>
      <c r="AL974" s="77">
        <f>IFERROR(INDEX(MgAmenEfic,MATCH(SUBSTITUTE($H974,"*","-"),MgAmenClave,0)),0)</f>
        <v/>
      </c>
    </row>
    <row r="975" hidden="1" ht="120" customHeight="1" s="54">
      <c r="B975" s="59" t="inlineStr">
        <is>
          <t>R-0970</t>
        </is>
      </c>
      <c r="C975" s="59" t="inlineStr">
        <is>
          <t>GH-015</t>
        </is>
      </c>
      <c r="D975" s="64">
        <f>IFERROR(INDEX(MgNombre,MATCH($C975,MgActId,0)),"")</f>
        <v/>
      </c>
      <c r="E975" s="64">
        <f>IFERROR(INDEX(MgProceso,MATCH($C975,MgActId,0)),"")</f>
        <v/>
      </c>
      <c r="F975" s="64">
        <f>IFERROR(INDEX(MgTipo,MATCH($C975,MgActId,0)),"")</f>
        <v/>
      </c>
      <c r="G975" s="64">
        <f>IFERROR(INDEX(MgSubtipo,MATCH($C975,MgActId,0)),"")</f>
        <v/>
      </c>
      <c r="H975" s="59" t="inlineStr">
        <is>
          <t>A.11</t>
        </is>
      </c>
      <c r="I975" s="64">
        <f>IFERROR(INDEX(MgAmenNombre,MATCH(SUBSTITUTE($H975,"*","-"),MgAmenClave,0)),"")</f>
        <v/>
      </c>
      <c r="J975" s="28">
        <f>IFERROR(INDEX(MgAmenGrupo,MATCH(SUBSTITUTE($H975,"*","-"),MgAmenClave,0)),"")</f>
        <v/>
      </c>
      <c r="K975" s="64">
        <f>IFERROR(INDEX('1. Matriz de Activos'!$Q$6:$Q$239,MATCH($C975,MgActId,0)),"")</f>
        <v/>
      </c>
      <c r="L975" s="64">
        <f>IFERROR(INDEX('1. Matriz de Activos'!$R$6:$R$239,MATCH($C975,MgActId,0)),"")</f>
        <v/>
      </c>
      <c r="M975" s="64">
        <f>IFERROR(INDEX('1. Matriz de Activos'!$S$6:$S$239,MATCH($C975,MgActId,0)),"")</f>
        <v/>
      </c>
      <c r="N975" s="28">
        <f>IFERROR(INDEX(MgAmenDegD,MATCH(SUBSTITUTE($H975,"*","-"),MgAmenClave,0)),"No aplica")</f>
        <v/>
      </c>
      <c r="O975" s="28">
        <f>IFERROR(INDEX(MgAmenDegI,MATCH(SUBSTITUTE($H975,"*","-"),MgAmenClave,0)),"No aplica")</f>
        <v/>
      </c>
      <c r="P975" s="28">
        <f>IFERROR(INDEX(MgAmenDegC,MATCH(SUBSTITUTE($H975,"*","-"),MgAmenClave,0)),"No aplica")</f>
        <v/>
      </c>
      <c r="Q975" s="29">
        <f>IFERROR(VLOOKUP(K975,MgValor,2,0)*VLOOKUP(N975,MgDeg,2,0),0)</f>
        <v/>
      </c>
      <c r="R975" s="29">
        <f>IFERROR(VLOOKUP(L975,MgValor,2,0)*VLOOKUP(O975,MgDeg,2,0),0)</f>
        <v/>
      </c>
      <c r="S975" s="29">
        <f>IFERROR(VLOOKUP(M975,MgValor,2,0)*VLOOKUP(P975,MgDeg,2,0),0)</f>
        <v/>
      </c>
      <c r="T975" s="30">
        <f>MAX(Q975:S975)</f>
        <v/>
      </c>
      <c r="U975" s="28">
        <f>IFERROR(LOOKUP(T975,{0;0.5;1.5;3;4.5},{"Despreciable";"Bajo";"Medio";"Alto";"Muy alto"}),"")</f>
        <v/>
      </c>
      <c r="V975" s="13">
        <f>IFERROR(INDEX(MgAmenFrec,MATCH(SUBSTITUTE($H975,"*","-"),MgAmenClave,0)),"")</f>
        <v/>
      </c>
      <c r="W975" s="28">
        <f>IFERROR(LOOKUP(X975,{0;0.01;0.1;1;10;100},{"Muy baja";"Muy baja";"Baja";"Media";"Alta";"Muy alta"}),"")</f>
        <v/>
      </c>
      <c r="X975" s="31">
        <f>IFERROR(VLOOKUP(V975,MgFrec,2,0),0)</f>
        <v/>
      </c>
      <c r="Y975" s="30">
        <f>T975*X975</f>
        <v/>
      </c>
      <c r="Z975" s="28">
        <f>IFERROR(LOOKUP(Y975,{0;0.5;5;25},{"Bajo";"Medio";"Alto";"Crítico"}),"")</f>
        <v/>
      </c>
      <c r="AA975" s="64">
        <f>IF(T975&gt;=3,IF(X975&gt;=1,"Zona 1 — Crítica: impacto alto y ocurre al menos una vez al año","Zona 4 — Catastrófica poco probable: impacto alto pero excepcional"),IF(AND(T975&lt;1.5,X975&lt;1),"Zona 3 — Asumible: impacto bajo y muy poco frecuente","Zona 2 — Atención: riesgo intermedio"))</f>
        <v/>
      </c>
      <c r="AB975" s="64">
        <f>IFERROR(INDEX(MgAmenCtrl,MATCH(SUBSTITUTE($H975,"*","-"),MgAmenClave,0)),"")</f>
        <v/>
      </c>
      <c r="AC975" s="20" t="n"/>
      <c r="AD975" s="31">
        <f>IFERROR($X975*(1-IF($AC975="",$AL975,VLOOKUP($AC975,MgMad,2,0))),"")</f>
        <v/>
      </c>
      <c r="AE975" s="28">
        <f>IFERROR(LOOKUP(AD975,{0;0.01;0.1;1;10;100},{"Muy baja";"Muy baja";"Baja";"Media";"Alta";"Muy alta"}),"")</f>
        <v/>
      </c>
      <c r="AF975" s="30">
        <f>T975*AD975</f>
        <v/>
      </c>
      <c r="AG975" s="28">
        <f>IFERROR(LOOKUP(AF975,{0;0.5;5;25},{"Bajo";"Medio";"Alto";"Crítico"}),"")</f>
        <v/>
      </c>
      <c r="AH975" s="28">
        <f>IF(AG975="","",IF(OR(AG975="Crítico",AG975="Alto"),"Mitigar",IF(AG975="Medio","Mitigar","Aceptar y monitorear")))</f>
        <v/>
      </c>
      <c r="AI975" s="21" t="n"/>
      <c r="AJ975" s="21" t="n"/>
      <c r="AK975" s="20" t="n"/>
      <c r="AL975" s="77">
        <f>IFERROR(INDEX(MgAmenEfic,MATCH(SUBSTITUTE($H975,"*","-"),MgAmenClave,0)),0)</f>
        <v/>
      </c>
    </row>
    <row r="976" hidden="1" ht="90" customHeight="1" s="54">
      <c r="B976" s="59" t="inlineStr">
        <is>
          <t>R-0971</t>
        </is>
      </c>
      <c r="C976" s="59" t="inlineStr">
        <is>
          <t>GH-015</t>
        </is>
      </c>
      <c r="D976" s="64">
        <f>IFERROR(INDEX(MgNombre,MATCH($C976,MgActId,0)),"")</f>
        <v/>
      </c>
      <c r="E976" s="64">
        <f>IFERROR(INDEX(MgProceso,MATCH($C976,MgActId,0)),"")</f>
        <v/>
      </c>
      <c r="F976" s="64">
        <f>IFERROR(INDEX(MgTipo,MATCH($C976,MgActId,0)),"")</f>
        <v/>
      </c>
      <c r="G976" s="64">
        <f>IFERROR(INDEX(MgSubtipo,MATCH($C976,MgActId,0)),"")</f>
        <v/>
      </c>
      <c r="H976" s="59" t="inlineStr">
        <is>
          <t>A.13</t>
        </is>
      </c>
      <c r="I976" s="64">
        <f>IFERROR(INDEX(MgAmenNombre,MATCH(SUBSTITUTE($H976,"*","-"),MgAmenClave,0)),"")</f>
        <v/>
      </c>
      <c r="J976" s="28">
        <f>IFERROR(INDEX(MgAmenGrupo,MATCH(SUBSTITUTE($H976,"*","-"),MgAmenClave,0)),"")</f>
        <v/>
      </c>
      <c r="K976" s="64">
        <f>IFERROR(INDEX('1. Matriz de Activos'!$Q$6:$Q$239,MATCH($C976,MgActId,0)),"")</f>
        <v/>
      </c>
      <c r="L976" s="64">
        <f>IFERROR(INDEX('1. Matriz de Activos'!$R$6:$R$239,MATCH($C976,MgActId,0)),"")</f>
        <v/>
      </c>
      <c r="M976" s="64">
        <f>IFERROR(INDEX('1. Matriz de Activos'!$S$6:$S$239,MATCH($C976,MgActId,0)),"")</f>
        <v/>
      </c>
      <c r="N976" s="28">
        <f>IFERROR(INDEX(MgAmenDegD,MATCH(SUBSTITUTE($H976,"*","-"),MgAmenClave,0)),"No aplica")</f>
        <v/>
      </c>
      <c r="O976" s="28">
        <f>IFERROR(INDEX(MgAmenDegI,MATCH(SUBSTITUTE($H976,"*","-"),MgAmenClave,0)),"No aplica")</f>
        <v/>
      </c>
      <c r="P976" s="28">
        <f>IFERROR(INDEX(MgAmenDegC,MATCH(SUBSTITUTE($H976,"*","-"),MgAmenClave,0)),"No aplica")</f>
        <v/>
      </c>
      <c r="Q976" s="29">
        <f>IFERROR(VLOOKUP(K976,MgValor,2,0)*VLOOKUP(N976,MgDeg,2,0),0)</f>
        <v/>
      </c>
      <c r="R976" s="29">
        <f>IFERROR(VLOOKUP(L976,MgValor,2,0)*VLOOKUP(O976,MgDeg,2,0),0)</f>
        <v/>
      </c>
      <c r="S976" s="29">
        <f>IFERROR(VLOOKUP(M976,MgValor,2,0)*VLOOKUP(P976,MgDeg,2,0),0)</f>
        <v/>
      </c>
      <c r="T976" s="30">
        <f>MAX(Q976:S976)</f>
        <v/>
      </c>
      <c r="U976" s="28">
        <f>IFERROR(LOOKUP(T976,{0;0.5;1.5;3;4.5},{"Despreciable";"Bajo";"Medio";"Alto";"Muy alto"}),"")</f>
        <v/>
      </c>
      <c r="V976" s="13">
        <f>IFERROR(INDEX(MgAmenFrec,MATCH(SUBSTITUTE($H976,"*","-"),MgAmenClave,0)),"")</f>
        <v/>
      </c>
      <c r="W976" s="28">
        <f>IFERROR(LOOKUP(X976,{0;0.01;0.1;1;10;100},{"Muy baja";"Muy baja";"Baja";"Media";"Alta";"Muy alta"}),"")</f>
        <v/>
      </c>
      <c r="X976" s="31">
        <f>IFERROR(VLOOKUP(V976,MgFrec,2,0),0)</f>
        <v/>
      </c>
      <c r="Y976" s="30">
        <f>T976*X976</f>
        <v/>
      </c>
      <c r="Z976" s="28">
        <f>IFERROR(LOOKUP(Y976,{0;0.5;5;25},{"Bajo";"Medio";"Alto";"Crítico"}),"")</f>
        <v/>
      </c>
      <c r="AA976" s="64">
        <f>IF(T976&gt;=3,IF(X976&gt;=1,"Zona 1 — Crítica: impacto alto y ocurre al menos una vez al año","Zona 4 — Catastrófica poco probable: impacto alto pero excepcional"),IF(AND(T976&lt;1.5,X976&lt;1),"Zona 3 — Asumible: impacto bajo y muy poco frecuente","Zona 2 — Atención: riesgo intermedio"))</f>
        <v/>
      </c>
      <c r="AB976" s="64">
        <f>IFERROR(INDEX(MgAmenCtrl,MATCH(SUBSTITUTE($H976,"*","-"),MgAmenClave,0)),"")</f>
        <v/>
      </c>
      <c r="AC976" s="20" t="n"/>
      <c r="AD976" s="31">
        <f>IFERROR($X976*(1-IF($AC976="",$AL976,VLOOKUP($AC976,MgMad,2,0))),"")</f>
        <v/>
      </c>
      <c r="AE976" s="28">
        <f>IFERROR(LOOKUP(AD976,{0;0.01;0.1;1;10;100},{"Muy baja";"Muy baja";"Baja";"Media";"Alta";"Muy alta"}),"")</f>
        <v/>
      </c>
      <c r="AF976" s="30">
        <f>T976*AD976</f>
        <v/>
      </c>
      <c r="AG976" s="28">
        <f>IFERROR(LOOKUP(AF976,{0;0.5;5;25},{"Bajo";"Medio";"Alto";"Crítico"}),"")</f>
        <v/>
      </c>
      <c r="AH976" s="28">
        <f>IF(AG976="","",IF(OR(AG976="Crítico",AG976="Alto"),"Mitigar",IF(AG976="Medio","Mitigar","Aceptar y monitorear")))</f>
        <v/>
      </c>
      <c r="AI976" s="21" t="n"/>
      <c r="AJ976" s="21" t="n"/>
      <c r="AK976" s="20" t="n"/>
      <c r="AL976" s="77">
        <f>IFERROR(INDEX(MgAmenEfic,MATCH(SUBSTITUTE($H976,"*","-"),MgAmenClave,0)),0)</f>
        <v/>
      </c>
    </row>
    <row r="977" hidden="1" ht="60" customHeight="1" s="54">
      <c r="B977" s="59" t="inlineStr">
        <is>
          <t>R-0972</t>
        </is>
      </c>
      <c r="C977" s="59" t="inlineStr">
        <is>
          <t>GH-015</t>
        </is>
      </c>
      <c r="D977" s="64">
        <f>IFERROR(INDEX(MgNombre,MATCH($C977,MgActId,0)),"")</f>
        <v/>
      </c>
      <c r="E977" s="64">
        <f>IFERROR(INDEX(MgProceso,MATCH($C977,MgActId,0)),"")</f>
        <v/>
      </c>
      <c r="F977" s="64">
        <f>IFERROR(INDEX(MgTipo,MATCH($C977,MgActId,0)),"")</f>
        <v/>
      </c>
      <c r="G977" s="64">
        <f>IFERROR(INDEX(MgSubtipo,MATCH($C977,MgActId,0)),"")</f>
        <v/>
      </c>
      <c r="H977" s="59" t="inlineStr">
        <is>
          <t>A.15</t>
        </is>
      </c>
      <c r="I977" s="64">
        <f>IFERROR(INDEX(MgAmenNombre,MATCH(SUBSTITUTE($H977,"*","-"),MgAmenClave,0)),"")</f>
        <v/>
      </c>
      <c r="J977" s="28">
        <f>IFERROR(INDEX(MgAmenGrupo,MATCH(SUBSTITUTE($H977,"*","-"),MgAmenClave,0)),"")</f>
        <v/>
      </c>
      <c r="K977" s="64">
        <f>IFERROR(INDEX('1. Matriz de Activos'!$Q$6:$Q$239,MATCH($C977,MgActId,0)),"")</f>
        <v/>
      </c>
      <c r="L977" s="64">
        <f>IFERROR(INDEX('1. Matriz de Activos'!$R$6:$R$239,MATCH($C977,MgActId,0)),"")</f>
        <v/>
      </c>
      <c r="M977" s="64">
        <f>IFERROR(INDEX('1. Matriz de Activos'!$S$6:$S$239,MATCH($C977,MgActId,0)),"")</f>
        <v/>
      </c>
      <c r="N977" s="28">
        <f>IFERROR(INDEX(MgAmenDegD,MATCH(SUBSTITUTE($H977,"*","-"),MgAmenClave,0)),"No aplica")</f>
        <v/>
      </c>
      <c r="O977" s="28">
        <f>IFERROR(INDEX(MgAmenDegI,MATCH(SUBSTITUTE($H977,"*","-"),MgAmenClave,0)),"No aplica")</f>
        <v/>
      </c>
      <c r="P977" s="28">
        <f>IFERROR(INDEX(MgAmenDegC,MATCH(SUBSTITUTE($H977,"*","-"),MgAmenClave,0)),"No aplica")</f>
        <v/>
      </c>
      <c r="Q977" s="29">
        <f>IFERROR(VLOOKUP(K977,MgValor,2,0)*VLOOKUP(N977,MgDeg,2,0),0)</f>
        <v/>
      </c>
      <c r="R977" s="29">
        <f>IFERROR(VLOOKUP(L977,MgValor,2,0)*VLOOKUP(O977,MgDeg,2,0),0)</f>
        <v/>
      </c>
      <c r="S977" s="29">
        <f>IFERROR(VLOOKUP(M977,MgValor,2,0)*VLOOKUP(P977,MgDeg,2,0),0)</f>
        <v/>
      </c>
      <c r="T977" s="30">
        <f>MAX(Q977:S977)</f>
        <v/>
      </c>
      <c r="U977" s="28">
        <f>IFERROR(LOOKUP(T977,{0;0.5;1.5;3;4.5},{"Despreciable";"Bajo";"Medio";"Alto";"Muy alto"}),"")</f>
        <v/>
      </c>
      <c r="V977" s="13">
        <f>IFERROR(INDEX(MgAmenFrec,MATCH(SUBSTITUTE($H977,"*","-"),MgAmenClave,0)),"")</f>
        <v/>
      </c>
      <c r="W977" s="28">
        <f>IFERROR(LOOKUP(X977,{0;0.01;0.1;1;10;100},{"Muy baja";"Muy baja";"Baja";"Media";"Alta";"Muy alta"}),"")</f>
        <v/>
      </c>
      <c r="X977" s="31">
        <f>IFERROR(VLOOKUP(V977,MgFrec,2,0),0)</f>
        <v/>
      </c>
      <c r="Y977" s="30">
        <f>T977*X977</f>
        <v/>
      </c>
      <c r="Z977" s="28">
        <f>IFERROR(LOOKUP(Y977,{0;0.5;5;25},{"Bajo";"Medio";"Alto";"Crítico"}),"")</f>
        <v/>
      </c>
      <c r="AA977" s="64">
        <f>IF(T977&gt;=3,IF(X977&gt;=1,"Zona 1 — Crítica: impacto alto y ocurre al menos una vez al año","Zona 4 — Catastrófica poco probable: impacto alto pero excepcional"),IF(AND(T977&lt;1.5,X977&lt;1),"Zona 3 — Asumible: impacto bajo y muy poco frecuente","Zona 2 — Atención: riesgo intermedio"))</f>
        <v/>
      </c>
      <c r="AB977" s="64">
        <f>IFERROR(INDEX(MgAmenCtrl,MATCH(SUBSTITUTE($H977,"*","-"),MgAmenClave,0)),"")</f>
        <v/>
      </c>
      <c r="AC977" s="20" t="n"/>
      <c r="AD977" s="31">
        <f>IFERROR($X977*(1-IF($AC977="",$AL977,VLOOKUP($AC977,MgMad,2,0))),"")</f>
        <v/>
      </c>
      <c r="AE977" s="28">
        <f>IFERROR(LOOKUP(AD977,{0;0.01;0.1;1;10;100},{"Muy baja";"Muy baja";"Baja";"Media";"Alta";"Muy alta"}),"")</f>
        <v/>
      </c>
      <c r="AF977" s="30">
        <f>T977*AD977</f>
        <v/>
      </c>
      <c r="AG977" s="28">
        <f>IFERROR(LOOKUP(AF977,{0;0.5;5;25},{"Bajo";"Medio";"Alto";"Crítico"}),"")</f>
        <v/>
      </c>
      <c r="AH977" s="28">
        <f>IF(AG977="","",IF(OR(AG977="Crítico",AG977="Alto"),"Mitigar",IF(AG977="Medio","Mitigar","Aceptar y monitorear")))</f>
        <v/>
      </c>
      <c r="AI977" s="21" t="n"/>
      <c r="AJ977" s="21" t="n"/>
      <c r="AK977" s="20" t="n"/>
      <c r="AL977" s="77">
        <f>IFERROR(INDEX(MgAmenEfic,MATCH(SUBSTITUTE($H977,"*","-"),MgAmenClave,0)),0)</f>
        <v/>
      </c>
    </row>
    <row r="978" hidden="1" ht="60" customHeight="1" s="54">
      <c r="B978" s="59" t="inlineStr">
        <is>
          <t>R-0973</t>
        </is>
      </c>
      <c r="C978" s="59" t="inlineStr">
        <is>
          <t>GH-015</t>
        </is>
      </c>
      <c r="D978" s="64">
        <f>IFERROR(INDEX(MgNombre,MATCH($C978,MgActId,0)),"")</f>
        <v/>
      </c>
      <c r="E978" s="64">
        <f>IFERROR(INDEX(MgProceso,MATCH($C978,MgActId,0)),"")</f>
        <v/>
      </c>
      <c r="F978" s="64">
        <f>IFERROR(INDEX(MgTipo,MATCH($C978,MgActId,0)),"")</f>
        <v/>
      </c>
      <c r="G978" s="64">
        <f>IFERROR(INDEX(MgSubtipo,MATCH($C978,MgActId,0)),"")</f>
        <v/>
      </c>
      <c r="H978" s="59" t="inlineStr">
        <is>
          <t>A.18</t>
        </is>
      </c>
      <c r="I978" s="64">
        <f>IFERROR(INDEX(MgAmenNombre,MATCH(SUBSTITUTE($H978,"*","-"),MgAmenClave,0)),"")</f>
        <v/>
      </c>
      <c r="J978" s="28">
        <f>IFERROR(INDEX(MgAmenGrupo,MATCH(SUBSTITUTE($H978,"*","-"),MgAmenClave,0)),"")</f>
        <v/>
      </c>
      <c r="K978" s="64">
        <f>IFERROR(INDEX('1. Matriz de Activos'!$Q$6:$Q$239,MATCH($C978,MgActId,0)),"")</f>
        <v/>
      </c>
      <c r="L978" s="64">
        <f>IFERROR(INDEX('1. Matriz de Activos'!$R$6:$R$239,MATCH($C978,MgActId,0)),"")</f>
        <v/>
      </c>
      <c r="M978" s="64">
        <f>IFERROR(INDEX('1. Matriz de Activos'!$S$6:$S$239,MATCH($C978,MgActId,0)),"")</f>
        <v/>
      </c>
      <c r="N978" s="28">
        <f>IFERROR(INDEX(MgAmenDegD,MATCH(SUBSTITUTE($H978,"*","-"),MgAmenClave,0)),"No aplica")</f>
        <v/>
      </c>
      <c r="O978" s="28">
        <f>IFERROR(INDEX(MgAmenDegI,MATCH(SUBSTITUTE($H978,"*","-"),MgAmenClave,0)),"No aplica")</f>
        <v/>
      </c>
      <c r="P978" s="28">
        <f>IFERROR(INDEX(MgAmenDegC,MATCH(SUBSTITUTE($H978,"*","-"),MgAmenClave,0)),"No aplica")</f>
        <v/>
      </c>
      <c r="Q978" s="29">
        <f>IFERROR(VLOOKUP(K978,MgValor,2,0)*VLOOKUP(N978,MgDeg,2,0),0)</f>
        <v/>
      </c>
      <c r="R978" s="29">
        <f>IFERROR(VLOOKUP(L978,MgValor,2,0)*VLOOKUP(O978,MgDeg,2,0),0)</f>
        <v/>
      </c>
      <c r="S978" s="29">
        <f>IFERROR(VLOOKUP(M978,MgValor,2,0)*VLOOKUP(P978,MgDeg,2,0),0)</f>
        <v/>
      </c>
      <c r="T978" s="30">
        <f>MAX(Q978:S978)</f>
        <v/>
      </c>
      <c r="U978" s="28">
        <f>IFERROR(LOOKUP(T978,{0;0.5;1.5;3;4.5},{"Despreciable";"Bajo";"Medio";"Alto";"Muy alto"}),"")</f>
        <v/>
      </c>
      <c r="V978" s="13">
        <f>IFERROR(INDEX(MgAmenFrec,MATCH(SUBSTITUTE($H978,"*","-"),MgAmenClave,0)),"")</f>
        <v/>
      </c>
      <c r="W978" s="28">
        <f>IFERROR(LOOKUP(X978,{0;0.01;0.1;1;10;100},{"Muy baja";"Muy baja";"Baja";"Media";"Alta";"Muy alta"}),"")</f>
        <v/>
      </c>
      <c r="X978" s="31">
        <f>IFERROR(VLOOKUP(V978,MgFrec,2,0),0)</f>
        <v/>
      </c>
      <c r="Y978" s="30">
        <f>T978*X978</f>
        <v/>
      </c>
      <c r="Z978" s="28">
        <f>IFERROR(LOOKUP(Y978,{0;0.5;5;25},{"Bajo";"Medio";"Alto";"Crítico"}),"")</f>
        <v/>
      </c>
      <c r="AA978" s="64">
        <f>IF(T978&gt;=3,IF(X978&gt;=1,"Zona 1 — Crítica: impacto alto y ocurre al menos una vez al año","Zona 4 — Catastrófica poco probable: impacto alto pero excepcional"),IF(AND(T978&lt;1.5,X978&lt;1),"Zona 3 — Asumible: impacto bajo y muy poco frecuente","Zona 2 — Atención: riesgo intermedio"))</f>
        <v/>
      </c>
      <c r="AB978" s="64">
        <f>IFERROR(INDEX(MgAmenCtrl,MATCH(SUBSTITUTE($H978,"*","-"),MgAmenClave,0)),"")</f>
        <v/>
      </c>
      <c r="AC978" s="20" t="n"/>
      <c r="AD978" s="31">
        <f>IFERROR($X978*(1-IF($AC978="",$AL978,VLOOKUP($AC978,MgMad,2,0))),"")</f>
        <v/>
      </c>
      <c r="AE978" s="28">
        <f>IFERROR(LOOKUP(AD978,{0;0.01;0.1;1;10;100},{"Muy baja";"Muy baja";"Baja";"Media";"Alta";"Muy alta"}),"")</f>
        <v/>
      </c>
      <c r="AF978" s="30">
        <f>T978*AD978</f>
        <v/>
      </c>
      <c r="AG978" s="28">
        <f>IFERROR(LOOKUP(AF978,{0;0.5;5;25},{"Bajo";"Medio";"Alto";"Crítico"}),"")</f>
        <v/>
      </c>
      <c r="AH978" s="28">
        <f>IF(AG978="","",IF(OR(AG978="Crítico",AG978="Alto"),"Mitigar",IF(AG978="Medio","Mitigar","Aceptar y monitorear")))</f>
        <v/>
      </c>
      <c r="AI978" s="21" t="n"/>
      <c r="AJ978" s="21" t="n"/>
      <c r="AK978" s="20" t="n"/>
      <c r="AL978" s="77">
        <f>IFERROR(INDEX(MgAmenEfic,MATCH(SUBSTITUTE($H978,"*","-"),MgAmenClave,0)),0)</f>
        <v/>
      </c>
    </row>
    <row r="979" hidden="1" ht="120" customHeight="1" s="54">
      <c r="B979" s="59" t="inlineStr">
        <is>
          <t>R-0974</t>
        </is>
      </c>
      <c r="C979" s="59" t="inlineStr">
        <is>
          <t>GH-015</t>
        </is>
      </c>
      <c r="D979" s="64">
        <f>IFERROR(INDEX(MgNombre,MATCH($C979,MgActId,0)),"")</f>
        <v/>
      </c>
      <c r="E979" s="64">
        <f>IFERROR(INDEX(MgProceso,MATCH($C979,MgActId,0)),"")</f>
        <v/>
      </c>
      <c r="F979" s="64">
        <f>IFERROR(INDEX(MgTipo,MATCH($C979,MgActId,0)),"")</f>
        <v/>
      </c>
      <c r="G979" s="64">
        <f>IFERROR(INDEX(MgSubtipo,MATCH($C979,MgActId,0)),"")</f>
        <v/>
      </c>
      <c r="H979" s="59" t="inlineStr">
        <is>
          <t>A.19</t>
        </is>
      </c>
      <c r="I979" s="64">
        <f>IFERROR(INDEX(MgAmenNombre,MATCH(SUBSTITUTE($H979,"*","-"),MgAmenClave,0)),"")</f>
        <v/>
      </c>
      <c r="J979" s="28">
        <f>IFERROR(INDEX(MgAmenGrupo,MATCH(SUBSTITUTE($H979,"*","-"),MgAmenClave,0)),"")</f>
        <v/>
      </c>
      <c r="K979" s="64">
        <f>IFERROR(INDEX('1. Matriz de Activos'!$Q$6:$Q$239,MATCH($C979,MgActId,0)),"")</f>
        <v/>
      </c>
      <c r="L979" s="64">
        <f>IFERROR(INDEX('1. Matriz de Activos'!$R$6:$R$239,MATCH($C979,MgActId,0)),"")</f>
        <v/>
      </c>
      <c r="M979" s="64">
        <f>IFERROR(INDEX('1. Matriz de Activos'!$S$6:$S$239,MATCH($C979,MgActId,0)),"")</f>
        <v/>
      </c>
      <c r="N979" s="28">
        <f>IFERROR(INDEX(MgAmenDegD,MATCH(SUBSTITUTE($H979,"*","-"),MgAmenClave,0)),"No aplica")</f>
        <v/>
      </c>
      <c r="O979" s="28">
        <f>IFERROR(INDEX(MgAmenDegI,MATCH(SUBSTITUTE($H979,"*","-"),MgAmenClave,0)),"No aplica")</f>
        <v/>
      </c>
      <c r="P979" s="28">
        <f>IFERROR(INDEX(MgAmenDegC,MATCH(SUBSTITUTE($H979,"*","-"),MgAmenClave,0)),"No aplica")</f>
        <v/>
      </c>
      <c r="Q979" s="29">
        <f>IFERROR(VLOOKUP(K979,MgValor,2,0)*VLOOKUP(N979,MgDeg,2,0),0)</f>
        <v/>
      </c>
      <c r="R979" s="29">
        <f>IFERROR(VLOOKUP(L979,MgValor,2,0)*VLOOKUP(O979,MgDeg,2,0),0)</f>
        <v/>
      </c>
      <c r="S979" s="29">
        <f>IFERROR(VLOOKUP(M979,MgValor,2,0)*VLOOKUP(P979,MgDeg,2,0),0)</f>
        <v/>
      </c>
      <c r="T979" s="30">
        <f>MAX(Q979:S979)</f>
        <v/>
      </c>
      <c r="U979" s="28">
        <f>IFERROR(LOOKUP(T979,{0;0.5;1.5;3;4.5},{"Despreciable";"Bajo";"Medio";"Alto";"Muy alto"}),"")</f>
        <v/>
      </c>
      <c r="V979" s="13">
        <f>IFERROR(INDEX(MgAmenFrec,MATCH(SUBSTITUTE($H979,"*","-"),MgAmenClave,0)),"")</f>
        <v/>
      </c>
      <c r="W979" s="28">
        <f>IFERROR(LOOKUP(X979,{0;0.01;0.1;1;10;100},{"Muy baja";"Muy baja";"Baja";"Media";"Alta";"Muy alta"}),"")</f>
        <v/>
      </c>
      <c r="X979" s="31">
        <f>IFERROR(VLOOKUP(V979,MgFrec,2,0),0)</f>
        <v/>
      </c>
      <c r="Y979" s="30">
        <f>T979*X979</f>
        <v/>
      </c>
      <c r="Z979" s="28">
        <f>IFERROR(LOOKUP(Y979,{0;0.5;5;25},{"Bajo";"Medio";"Alto";"Crítico"}),"")</f>
        <v/>
      </c>
      <c r="AA979" s="64">
        <f>IF(T979&gt;=3,IF(X979&gt;=1,"Zona 1 — Crítica: impacto alto y ocurre al menos una vez al año","Zona 4 — Catastrófica poco probable: impacto alto pero excepcional"),IF(AND(T979&lt;1.5,X979&lt;1),"Zona 3 — Asumible: impacto bajo y muy poco frecuente","Zona 2 — Atención: riesgo intermedio"))</f>
        <v/>
      </c>
      <c r="AB979" s="64">
        <f>IFERROR(INDEX(MgAmenCtrl,MATCH(SUBSTITUTE($H979,"*","-"),MgAmenClave,0)),"")</f>
        <v/>
      </c>
      <c r="AC979" s="20" t="n"/>
      <c r="AD979" s="31">
        <f>IFERROR($X979*(1-IF($AC979="",$AL979,VLOOKUP($AC979,MgMad,2,0))),"")</f>
        <v/>
      </c>
      <c r="AE979" s="28">
        <f>IFERROR(LOOKUP(AD979,{0;0.01;0.1;1;10;100},{"Muy baja";"Muy baja";"Baja";"Media";"Alta";"Muy alta"}),"")</f>
        <v/>
      </c>
      <c r="AF979" s="30">
        <f>T979*AD979</f>
        <v/>
      </c>
      <c r="AG979" s="28">
        <f>IFERROR(LOOKUP(AF979,{0;0.5;5;25},{"Bajo";"Medio";"Alto";"Crítico"}),"")</f>
        <v/>
      </c>
      <c r="AH979" s="28">
        <f>IF(AG979="","",IF(OR(AG979="Crítico",AG979="Alto"),"Mitigar",IF(AG979="Medio","Mitigar","Aceptar y monitorear")))</f>
        <v/>
      </c>
      <c r="AI979" s="21" t="n"/>
      <c r="AJ979" s="21" t="n"/>
      <c r="AK979" s="20" t="n"/>
      <c r="AL979" s="77">
        <f>IFERROR(INDEX(MgAmenEfic,MATCH(SUBSTITUTE($H979,"*","-"),MgAmenClave,0)),0)</f>
        <v/>
      </c>
    </row>
    <row r="980" hidden="1" ht="105" customHeight="1" s="54">
      <c r="B980" s="59" t="inlineStr">
        <is>
          <t>R-0975</t>
        </is>
      </c>
      <c r="C980" s="59" t="inlineStr">
        <is>
          <t>GH-055</t>
        </is>
      </c>
      <c r="D980" s="64">
        <f>IFERROR(INDEX(MgNombre,MATCH($C980,MgActId,0)),"")</f>
        <v/>
      </c>
      <c r="E980" s="64">
        <f>IFERROR(INDEX(MgProceso,MATCH($C980,MgActId,0)),"")</f>
        <v/>
      </c>
      <c r="F980" s="64">
        <f>IFERROR(INDEX(MgTipo,MATCH($C980,MgActId,0)),"")</f>
        <v/>
      </c>
      <c r="G980" s="64">
        <f>IFERROR(INDEX(MgSubtipo,MATCH($C980,MgActId,0)),"")</f>
        <v/>
      </c>
      <c r="H980" s="59" t="inlineStr">
        <is>
          <t>E.1</t>
        </is>
      </c>
      <c r="I980" s="64">
        <f>IFERROR(INDEX(MgAmenNombre,MATCH(SUBSTITUTE($H980,"*","-"),MgAmenClave,0)),"")</f>
        <v/>
      </c>
      <c r="J980" s="28">
        <f>IFERROR(INDEX(MgAmenGrupo,MATCH(SUBSTITUTE($H980,"*","-"),MgAmenClave,0)),"")</f>
        <v/>
      </c>
      <c r="K980" s="64">
        <f>IFERROR(INDEX('1. Matriz de Activos'!$Q$6:$Q$239,MATCH($C980,MgActId,0)),"")</f>
        <v/>
      </c>
      <c r="L980" s="64">
        <f>IFERROR(INDEX('1. Matriz de Activos'!$R$6:$R$239,MATCH($C980,MgActId,0)),"")</f>
        <v/>
      </c>
      <c r="M980" s="64">
        <f>IFERROR(INDEX('1. Matriz de Activos'!$S$6:$S$239,MATCH($C980,MgActId,0)),"")</f>
        <v/>
      </c>
      <c r="N980" s="28">
        <f>IFERROR(INDEX(MgAmenDegD,MATCH(SUBSTITUTE($H980,"*","-"),MgAmenClave,0)),"No aplica")</f>
        <v/>
      </c>
      <c r="O980" s="28">
        <f>IFERROR(INDEX(MgAmenDegI,MATCH(SUBSTITUTE($H980,"*","-"),MgAmenClave,0)),"No aplica")</f>
        <v/>
      </c>
      <c r="P980" s="28">
        <f>IFERROR(INDEX(MgAmenDegC,MATCH(SUBSTITUTE($H980,"*","-"),MgAmenClave,0)),"No aplica")</f>
        <v/>
      </c>
      <c r="Q980" s="29">
        <f>IFERROR(VLOOKUP(K980,MgValor,2,0)*VLOOKUP(N980,MgDeg,2,0),0)</f>
        <v/>
      </c>
      <c r="R980" s="29">
        <f>IFERROR(VLOOKUP(L980,MgValor,2,0)*VLOOKUP(O980,MgDeg,2,0),0)</f>
        <v/>
      </c>
      <c r="S980" s="29">
        <f>IFERROR(VLOOKUP(M980,MgValor,2,0)*VLOOKUP(P980,MgDeg,2,0),0)</f>
        <v/>
      </c>
      <c r="T980" s="30">
        <f>MAX(Q980:S980)</f>
        <v/>
      </c>
      <c r="U980" s="28">
        <f>IFERROR(LOOKUP(T980,{0;0.5;1.5;3;4.5},{"Despreciable";"Bajo";"Medio";"Alto";"Muy alto"}),"")</f>
        <v/>
      </c>
      <c r="V980" s="13">
        <f>IFERROR(INDEX(MgAmenFrec,MATCH(SUBSTITUTE($H980,"*","-"),MgAmenClave,0)),"")</f>
        <v/>
      </c>
      <c r="W980" s="28">
        <f>IFERROR(LOOKUP(X980,{0;0.01;0.1;1;10;100},{"Muy baja";"Muy baja";"Baja";"Media";"Alta";"Muy alta"}),"")</f>
        <v/>
      </c>
      <c r="X980" s="31">
        <f>IFERROR(VLOOKUP(V980,MgFrec,2,0),0)</f>
        <v/>
      </c>
      <c r="Y980" s="30">
        <f>T980*X980</f>
        <v/>
      </c>
      <c r="Z980" s="28">
        <f>IFERROR(LOOKUP(Y980,{0;0.5;5;25},{"Bajo";"Medio";"Alto";"Crítico"}),"")</f>
        <v/>
      </c>
      <c r="AA980" s="64">
        <f>IF(T980&gt;=3,IF(X980&gt;=1,"Zona 1 — Crítica: impacto alto y ocurre al menos una vez al año","Zona 4 — Catastrófica poco probable: impacto alto pero excepcional"),IF(AND(T980&lt;1.5,X980&lt;1),"Zona 3 — Asumible: impacto bajo y muy poco frecuente","Zona 2 — Atención: riesgo intermedio"))</f>
        <v/>
      </c>
      <c r="AB980" s="64">
        <f>IFERROR(INDEX(MgAmenCtrl,MATCH(SUBSTITUTE($H980,"*","-"),MgAmenClave,0)),"")</f>
        <v/>
      </c>
      <c r="AC980" s="20" t="n"/>
      <c r="AD980" s="31">
        <f>IFERROR($X980*(1-IF($AC980="",$AL980,VLOOKUP($AC980,MgMad,2,0))),"")</f>
        <v/>
      </c>
      <c r="AE980" s="28">
        <f>IFERROR(LOOKUP(AD980,{0;0.01;0.1;1;10;100},{"Muy baja";"Muy baja";"Baja";"Media";"Alta";"Muy alta"}),"")</f>
        <v/>
      </c>
      <c r="AF980" s="30">
        <f>T980*AD980</f>
        <v/>
      </c>
      <c r="AG980" s="28">
        <f>IFERROR(LOOKUP(AF980,{0;0.5;5;25},{"Bajo";"Medio";"Alto";"Crítico"}),"")</f>
        <v/>
      </c>
      <c r="AH980" s="28">
        <f>IF(AG980="","",IF(OR(AG980="Crítico",AG980="Alto"),"Mitigar",IF(AG980="Medio","Mitigar","Aceptar y monitorear")))</f>
        <v/>
      </c>
      <c r="AI980" s="21" t="n"/>
      <c r="AJ980" s="21" t="n"/>
      <c r="AK980" s="20" t="n"/>
      <c r="AL980" s="77">
        <f>IFERROR(INDEX(MgAmenEfic,MATCH(SUBSTITUTE($H980,"*","-"),MgAmenClave,0)),0)</f>
        <v/>
      </c>
    </row>
    <row r="981" hidden="1" ht="120" customHeight="1" s="54">
      <c r="B981" s="59" t="inlineStr">
        <is>
          <t>R-0976</t>
        </is>
      </c>
      <c r="C981" s="59" t="inlineStr">
        <is>
          <t>GH-055</t>
        </is>
      </c>
      <c r="D981" s="64">
        <f>IFERROR(INDEX(MgNombre,MATCH($C981,MgActId,0)),"")</f>
        <v/>
      </c>
      <c r="E981" s="64">
        <f>IFERROR(INDEX(MgProceso,MATCH($C981,MgActId,0)),"")</f>
        <v/>
      </c>
      <c r="F981" s="64">
        <f>IFERROR(INDEX(MgTipo,MATCH($C981,MgActId,0)),"")</f>
        <v/>
      </c>
      <c r="G981" s="64">
        <f>IFERROR(INDEX(MgSubtipo,MATCH($C981,MgActId,0)),"")</f>
        <v/>
      </c>
      <c r="H981" s="59" t="inlineStr">
        <is>
          <t>E.2</t>
        </is>
      </c>
      <c r="I981" s="64">
        <f>IFERROR(INDEX(MgAmenNombre,MATCH(SUBSTITUTE($H981,"*","-"),MgAmenClave,0)),"")</f>
        <v/>
      </c>
      <c r="J981" s="28">
        <f>IFERROR(INDEX(MgAmenGrupo,MATCH(SUBSTITUTE($H981,"*","-"),MgAmenClave,0)),"")</f>
        <v/>
      </c>
      <c r="K981" s="64">
        <f>IFERROR(INDEX('1. Matriz de Activos'!$Q$6:$Q$239,MATCH($C981,MgActId,0)),"")</f>
        <v/>
      </c>
      <c r="L981" s="64">
        <f>IFERROR(INDEX('1. Matriz de Activos'!$R$6:$R$239,MATCH($C981,MgActId,0)),"")</f>
        <v/>
      </c>
      <c r="M981" s="64">
        <f>IFERROR(INDEX('1. Matriz de Activos'!$S$6:$S$239,MATCH($C981,MgActId,0)),"")</f>
        <v/>
      </c>
      <c r="N981" s="28">
        <f>IFERROR(INDEX(MgAmenDegD,MATCH(SUBSTITUTE($H981,"*","-"),MgAmenClave,0)),"No aplica")</f>
        <v/>
      </c>
      <c r="O981" s="28">
        <f>IFERROR(INDEX(MgAmenDegI,MATCH(SUBSTITUTE($H981,"*","-"),MgAmenClave,0)),"No aplica")</f>
        <v/>
      </c>
      <c r="P981" s="28">
        <f>IFERROR(INDEX(MgAmenDegC,MATCH(SUBSTITUTE($H981,"*","-"),MgAmenClave,0)),"No aplica")</f>
        <v/>
      </c>
      <c r="Q981" s="29">
        <f>IFERROR(VLOOKUP(K981,MgValor,2,0)*VLOOKUP(N981,MgDeg,2,0),0)</f>
        <v/>
      </c>
      <c r="R981" s="29">
        <f>IFERROR(VLOOKUP(L981,MgValor,2,0)*VLOOKUP(O981,MgDeg,2,0),0)</f>
        <v/>
      </c>
      <c r="S981" s="29">
        <f>IFERROR(VLOOKUP(M981,MgValor,2,0)*VLOOKUP(P981,MgDeg,2,0),0)</f>
        <v/>
      </c>
      <c r="T981" s="30">
        <f>MAX(Q981:S981)</f>
        <v/>
      </c>
      <c r="U981" s="28">
        <f>IFERROR(LOOKUP(T981,{0;0.5;1.5;3;4.5},{"Despreciable";"Bajo";"Medio";"Alto";"Muy alto"}),"")</f>
        <v/>
      </c>
      <c r="V981" s="13">
        <f>IFERROR(INDEX(MgAmenFrec,MATCH(SUBSTITUTE($H981,"*","-"),MgAmenClave,0)),"")</f>
        <v/>
      </c>
      <c r="W981" s="28">
        <f>IFERROR(LOOKUP(X981,{0;0.01;0.1;1;10;100},{"Muy baja";"Muy baja";"Baja";"Media";"Alta";"Muy alta"}),"")</f>
        <v/>
      </c>
      <c r="X981" s="31">
        <f>IFERROR(VLOOKUP(V981,MgFrec,2,0),0)</f>
        <v/>
      </c>
      <c r="Y981" s="30">
        <f>T981*X981</f>
        <v/>
      </c>
      <c r="Z981" s="28">
        <f>IFERROR(LOOKUP(Y981,{0;0.5;5;25},{"Bajo";"Medio";"Alto";"Crítico"}),"")</f>
        <v/>
      </c>
      <c r="AA981" s="64">
        <f>IF(T981&gt;=3,IF(X981&gt;=1,"Zona 1 — Crítica: impacto alto y ocurre al menos una vez al año","Zona 4 — Catastrófica poco probable: impacto alto pero excepcional"),IF(AND(T981&lt;1.5,X981&lt;1),"Zona 3 — Asumible: impacto bajo y muy poco frecuente","Zona 2 — Atención: riesgo intermedio"))</f>
        <v/>
      </c>
      <c r="AB981" s="64">
        <f>IFERROR(INDEX(MgAmenCtrl,MATCH(SUBSTITUTE($H981,"*","-"),MgAmenClave,0)),"")</f>
        <v/>
      </c>
      <c r="AC981" s="20" t="n"/>
      <c r="AD981" s="31">
        <f>IFERROR($X981*(1-IF($AC981="",$AL981,VLOOKUP($AC981,MgMad,2,0))),"")</f>
        <v/>
      </c>
      <c r="AE981" s="28">
        <f>IFERROR(LOOKUP(AD981,{0;0.01;0.1;1;10;100},{"Muy baja";"Muy baja";"Baja";"Media";"Alta";"Muy alta"}),"")</f>
        <v/>
      </c>
      <c r="AF981" s="30">
        <f>T981*AD981</f>
        <v/>
      </c>
      <c r="AG981" s="28">
        <f>IFERROR(LOOKUP(AF981,{0;0.5;5;25},{"Bajo";"Medio";"Alto";"Crítico"}),"")</f>
        <v/>
      </c>
      <c r="AH981" s="28">
        <f>IF(AG981="","",IF(OR(AG981="Crítico",AG981="Alto"),"Mitigar",IF(AG981="Medio","Mitigar","Aceptar y monitorear")))</f>
        <v/>
      </c>
      <c r="AI981" s="21" t="n"/>
      <c r="AJ981" s="21" t="n"/>
      <c r="AK981" s="20" t="n"/>
      <c r="AL981" s="77">
        <f>IFERROR(INDEX(MgAmenEfic,MATCH(SUBSTITUTE($H981,"*","-"),MgAmenClave,0)),0)</f>
        <v/>
      </c>
    </row>
    <row r="982" hidden="1" ht="75" customHeight="1" s="54">
      <c r="B982" s="59" t="inlineStr">
        <is>
          <t>R-0977</t>
        </is>
      </c>
      <c r="C982" s="59" t="inlineStr">
        <is>
          <t>GH-055</t>
        </is>
      </c>
      <c r="D982" s="64">
        <f>IFERROR(INDEX(MgNombre,MATCH($C982,MgActId,0)),"")</f>
        <v/>
      </c>
      <c r="E982" s="64">
        <f>IFERROR(INDEX(MgProceso,MATCH($C982,MgActId,0)),"")</f>
        <v/>
      </c>
      <c r="F982" s="64">
        <f>IFERROR(INDEX(MgTipo,MATCH($C982,MgActId,0)),"")</f>
        <v/>
      </c>
      <c r="G982" s="64">
        <f>IFERROR(INDEX(MgSubtipo,MATCH($C982,MgActId,0)),"")</f>
        <v/>
      </c>
      <c r="H982" s="59" t="inlineStr">
        <is>
          <t>E.3</t>
        </is>
      </c>
      <c r="I982" s="64">
        <f>IFERROR(INDEX(MgAmenNombre,MATCH(SUBSTITUTE($H982,"*","-"),MgAmenClave,0)),"")</f>
        <v/>
      </c>
      <c r="J982" s="28">
        <f>IFERROR(INDEX(MgAmenGrupo,MATCH(SUBSTITUTE($H982,"*","-"),MgAmenClave,0)),"")</f>
        <v/>
      </c>
      <c r="K982" s="64">
        <f>IFERROR(INDEX('1. Matriz de Activos'!$Q$6:$Q$239,MATCH($C982,MgActId,0)),"")</f>
        <v/>
      </c>
      <c r="L982" s="64">
        <f>IFERROR(INDEX('1. Matriz de Activos'!$R$6:$R$239,MATCH($C982,MgActId,0)),"")</f>
        <v/>
      </c>
      <c r="M982" s="64">
        <f>IFERROR(INDEX('1. Matriz de Activos'!$S$6:$S$239,MATCH($C982,MgActId,0)),"")</f>
        <v/>
      </c>
      <c r="N982" s="28">
        <f>IFERROR(INDEX(MgAmenDegD,MATCH(SUBSTITUTE($H982,"*","-"),MgAmenClave,0)),"No aplica")</f>
        <v/>
      </c>
      <c r="O982" s="28">
        <f>IFERROR(INDEX(MgAmenDegI,MATCH(SUBSTITUTE($H982,"*","-"),MgAmenClave,0)),"No aplica")</f>
        <v/>
      </c>
      <c r="P982" s="28">
        <f>IFERROR(INDEX(MgAmenDegC,MATCH(SUBSTITUTE($H982,"*","-"),MgAmenClave,0)),"No aplica")</f>
        <v/>
      </c>
      <c r="Q982" s="29">
        <f>IFERROR(VLOOKUP(K982,MgValor,2,0)*VLOOKUP(N982,MgDeg,2,0),0)</f>
        <v/>
      </c>
      <c r="R982" s="29">
        <f>IFERROR(VLOOKUP(L982,MgValor,2,0)*VLOOKUP(O982,MgDeg,2,0),0)</f>
        <v/>
      </c>
      <c r="S982" s="29">
        <f>IFERROR(VLOOKUP(M982,MgValor,2,0)*VLOOKUP(P982,MgDeg,2,0),0)</f>
        <v/>
      </c>
      <c r="T982" s="30">
        <f>MAX(Q982:S982)</f>
        <v/>
      </c>
      <c r="U982" s="28">
        <f>IFERROR(LOOKUP(T982,{0;0.5;1.5;3;4.5},{"Despreciable";"Bajo";"Medio";"Alto";"Muy alto"}),"")</f>
        <v/>
      </c>
      <c r="V982" s="13">
        <f>IFERROR(INDEX(MgAmenFrec,MATCH(SUBSTITUTE($H982,"*","-"),MgAmenClave,0)),"")</f>
        <v/>
      </c>
      <c r="W982" s="28">
        <f>IFERROR(LOOKUP(X982,{0;0.01;0.1;1;10;100},{"Muy baja";"Muy baja";"Baja";"Media";"Alta";"Muy alta"}),"")</f>
        <v/>
      </c>
      <c r="X982" s="31">
        <f>IFERROR(VLOOKUP(V982,MgFrec,2,0),0)</f>
        <v/>
      </c>
      <c r="Y982" s="30">
        <f>T982*X982</f>
        <v/>
      </c>
      <c r="Z982" s="28">
        <f>IFERROR(LOOKUP(Y982,{0;0.5;5;25},{"Bajo";"Medio";"Alto";"Crítico"}),"")</f>
        <v/>
      </c>
      <c r="AA982" s="64">
        <f>IF(T982&gt;=3,IF(X982&gt;=1,"Zona 1 — Crítica: impacto alto y ocurre al menos una vez al año","Zona 4 — Catastrófica poco probable: impacto alto pero excepcional"),IF(AND(T982&lt;1.5,X982&lt;1),"Zona 3 — Asumible: impacto bajo y muy poco frecuente","Zona 2 — Atención: riesgo intermedio"))</f>
        <v/>
      </c>
      <c r="AB982" s="64">
        <f>IFERROR(INDEX(MgAmenCtrl,MATCH(SUBSTITUTE($H982,"*","-"),MgAmenClave,0)),"")</f>
        <v/>
      </c>
      <c r="AC982" s="20" t="n"/>
      <c r="AD982" s="31">
        <f>IFERROR($X982*(1-IF($AC982="",$AL982,VLOOKUP($AC982,MgMad,2,0))),"")</f>
        <v/>
      </c>
      <c r="AE982" s="28">
        <f>IFERROR(LOOKUP(AD982,{0;0.01;0.1;1;10;100},{"Muy baja";"Muy baja";"Baja";"Media";"Alta";"Muy alta"}),"")</f>
        <v/>
      </c>
      <c r="AF982" s="30">
        <f>T982*AD982</f>
        <v/>
      </c>
      <c r="AG982" s="28">
        <f>IFERROR(LOOKUP(AF982,{0;0.5;5;25},{"Bajo";"Medio";"Alto";"Crítico"}),"")</f>
        <v/>
      </c>
      <c r="AH982" s="28">
        <f>IF(AG982="","",IF(OR(AG982="Crítico",AG982="Alto"),"Mitigar",IF(AG982="Medio","Mitigar","Aceptar y monitorear")))</f>
        <v/>
      </c>
      <c r="AI982" s="21" t="n"/>
      <c r="AJ982" s="21" t="n"/>
      <c r="AK982" s="20" t="n"/>
      <c r="AL982" s="77">
        <f>IFERROR(INDEX(MgAmenEfic,MATCH(SUBSTITUTE($H982,"*","-"),MgAmenClave,0)),0)</f>
        <v/>
      </c>
    </row>
    <row r="983" hidden="1" ht="75" customHeight="1" s="54">
      <c r="B983" s="59" t="inlineStr">
        <is>
          <t>R-0978</t>
        </is>
      </c>
      <c r="C983" s="59" t="inlineStr">
        <is>
          <t>GH-055</t>
        </is>
      </c>
      <c r="D983" s="64">
        <f>IFERROR(INDEX(MgNombre,MATCH($C983,MgActId,0)),"")</f>
        <v/>
      </c>
      <c r="E983" s="64">
        <f>IFERROR(INDEX(MgProceso,MATCH($C983,MgActId,0)),"")</f>
        <v/>
      </c>
      <c r="F983" s="64">
        <f>IFERROR(INDEX(MgTipo,MATCH($C983,MgActId,0)),"")</f>
        <v/>
      </c>
      <c r="G983" s="64">
        <f>IFERROR(INDEX(MgSubtipo,MATCH($C983,MgActId,0)),"")</f>
        <v/>
      </c>
      <c r="H983" s="59" t="inlineStr">
        <is>
          <t>E.4</t>
        </is>
      </c>
      <c r="I983" s="64">
        <f>IFERROR(INDEX(MgAmenNombre,MATCH(SUBSTITUTE($H983,"*","-"),MgAmenClave,0)),"")</f>
        <v/>
      </c>
      <c r="J983" s="28">
        <f>IFERROR(INDEX(MgAmenGrupo,MATCH(SUBSTITUTE($H983,"*","-"),MgAmenClave,0)),"")</f>
        <v/>
      </c>
      <c r="K983" s="64">
        <f>IFERROR(INDEX('1. Matriz de Activos'!$Q$6:$Q$239,MATCH($C983,MgActId,0)),"")</f>
        <v/>
      </c>
      <c r="L983" s="64">
        <f>IFERROR(INDEX('1. Matriz de Activos'!$R$6:$R$239,MATCH($C983,MgActId,0)),"")</f>
        <v/>
      </c>
      <c r="M983" s="64">
        <f>IFERROR(INDEX('1. Matriz de Activos'!$S$6:$S$239,MATCH($C983,MgActId,0)),"")</f>
        <v/>
      </c>
      <c r="N983" s="28">
        <f>IFERROR(INDEX(MgAmenDegD,MATCH(SUBSTITUTE($H983,"*","-"),MgAmenClave,0)),"No aplica")</f>
        <v/>
      </c>
      <c r="O983" s="28">
        <f>IFERROR(INDEX(MgAmenDegI,MATCH(SUBSTITUTE($H983,"*","-"),MgAmenClave,0)),"No aplica")</f>
        <v/>
      </c>
      <c r="P983" s="28">
        <f>IFERROR(INDEX(MgAmenDegC,MATCH(SUBSTITUTE($H983,"*","-"),MgAmenClave,0)),"No aplica")</f>
        <v/>
      </c>
      <c r="Q983" s="29">
        <f>IFERROR(VLOOKUP(K983,MgValor,2,0)*VLOOKUP(N983,MgDeg,2,0),0)</f>
        <v/>
      </c>
      <c r="R983" s="29">
        <f>IFERROR(VLOOKUP(L983,MgValor,2,0)*VLOOKUP(O983,MgDeg,2,0),0)</f>
        <v/>
      </c>
      <c r="S983" s="29">
        <f>IFERROR(VLOOKUP(M983,MgValor,2,0)*VLOOKUP(P983,MgDeg,2,0),0)</f>
        <v/>
      </c>
      <c r="T983" s="30">
        <f>MAX(Q983:S983)</f>
        <v/>
      </c>
      <c r="U983" s="28">
        <f>IFERROR(LOOKUP(T983,{0;0.5;1.5;3;4.5},{"Despreciable";"Bajo";"Medio";"Alto";"Muy alto"}),"")</f>
        <v/>
      </c>
      <c r="V983" s="13">
        <f>IFERROR(INDEX(MgAmenFrec,MATCH(SUBSTITUTE($H983,"*","-"),MgAmenClave,0)),"")</f>
        <v/>
      </c>
      <c r="W983" s="28">
        <f>IFERROR(LOOKUP(X983,{0;0.01;0.1;1;10;100},{"Muy baja";"Muy baja";"Baja";"Media";"Alta";"Muy alta"}),"")</f>
        <v/>
      </c>
      <c r="X983" s="31">
        <f>IFERROR(VLOOKUP(V983,MgFrec,2,0),0)</f>
        <v/>
      </c>
      <c r="Y983" s="30">
        <f>T983*X983</f>
        <v/>
      </c>
      <c r="Z983" s="28">
        <f>IFERROR(LOOKUP(Y983,{0;0.5;5;25},{"Bajo";"Medio";"Alto";"Crítico"}),"")</f>
        <v/>
      </c>
      <c r="AA983" s="64">
        <f>IF(T983&gt;=3,IF(X983&gt;=1,"Zona 1 — Crítica: impacto alto y ocurre al menos una vez al año","Zona 4 — Catastrófica poco probable: impacto alto pero excepcional"),IF(AND(T983&lt;1.5,X983&lt;1),"Zona 3 — Asumible: impacto bajo y muy poco frecuente","Zona 2 — Atención: riesgo intermedio"))</f>
        <v/>
      </c>
      <c r="AB983" s="64">
        <f>IFERROR(INDEX(MgAmenCtrl,MATCH(SUBSTITUTE($H983,"*","-"),MgAmenClave,0)),"")</f>
        <v/>
      </c>
      <c r="AC983" s="20" t="n"/>
      <c r="AD983" s="31">
        <f>IFERROR($X983*(1-IF($AC983="",$AL983,VLOOKUP($AC983,MgMad,2,0))),"")</f>
        <v/>
      </c>
      <c r="AE983" s="28">
        <f>IFERROR(LOOKUP(AD983,{0;0.01;0.1;1;10;100},{"Muy baja";"Muy baja";"Baja";"Media";"Alta";"Muy alta"}),"")</f>
        <v/>
      </c>
      <c r="AF983" s="30">
        <f>T983*AD983</f>
        <v/>
      </c>
      <c r="AG983" s="28">
        <f>IFERROR(LOOKUP(AF983,{0;0.5;5;25},{"Bajo";"Medio";"Alto";"Crítico"}),"")</f>
        <v/>
      </c>
      <c r="AH983" s="28">
        <f>IF(AG983="","",IF(OR(AG983="Crítico",AG983="Alto"),"Mitigar",IF(AG983="Medio","Mitigar","Aceptar y monitorear")))</f>
        <v/>
      </c>
      <c r="AI983" s="21" t="n"/>
      <c r="AJ983" s="21" t="n"/>
      <c r="AK983" s="20" t="n"/>
      <c r="AL983" s="77">
        <f>IFERROR(INDEX(MgAmenEfic,MATCH(SUBSTITUTE($H983,"*","-"),MgAmenClave,0)),0)</f>
        <v/>
      </c>
    </row>
    <row r="984" hidden="1" ht="90" customHeight="1" s="54">
      <c r="B984" s="59" t="inlineStr">
        <is>
          <t>R-0979</t>
        </is>
      </c>
      <c r="C984" s="59" t="inlineStr">
        <is>
          <t>GH-055</t>
        </is>
      </c>
      <c r="D984" s="64">
        <f>IFERROR(INDEX(MgNombre,MATCH($C984,MgActId,0)),"")</f>
        <v/>
      </c>
      <c r="E984" s="64">
        <f>IFERROR(INDEX(MgProceso,MATCH($C984,MgActId,0)),"")</f>
        <v/>
      </c>
      <c r="F984" s="64">
        <f>IFERROR(INDEX(MgTipo,MATCH($C984,MgActId,0)),"")</f>
        <v/>
      </c>
      <c r="G984" s="64">
        <f>IFERROR(INDEX(MgSubtipo,MATCH($C984,MgActId,0)),"")</f>
        <v/>
      </c>
      <c r="H984" s="59" t="inlineStr">
        <is>
          <t>E.14</t>
        </is>
      </c>
      <c r="I984" s="64">
        <f>IFERROR(INDEX(MgAmenNombre,MATCH(SUBSTITUTE($H984,"*","-"),MgAmenClave,0)),"")</f>
        <v/>
      </c>
      <c r="J984" s="28">
        <f>IFERROR(INDEX(MgAmenGrupo,MATCH(SUBSTITUTE($H984,"*","-"),MgAmenClave,0)),"")</f>
        <v/>
      </c>
      <c r="K984" s="64">
        <f>IFERROR(INDEX('1. Matriz de Activos'!$Q$6:$Q$239,MATCH($C984,MgActId,0)),"")</f>
        <v/>
      </c>
      <c r="L984" s="64">
        <f>IFERROR(INDEX('1. Matriz de Activos'!$R$6:$R$239,MATCH($C984,MgActId,0)),"")</f>
        <v/>
      </c>
      <c r="M984" s="64">
        <f>IFERROR(INDEX('1. Matriz de Activos'!$S$6:$S$239,MATCH($C984,MgActId,0)),"")</f>
        <v/>
      </c>
      <c r="N984" s="28">
        <f>IFERROR(INDEX(MgAmenDegD,MATCH(SUBSTITUTE($H984,"*","-"),MgAmenClave,0)),"No aplica")</f>
        <v/>
      </c>
      <c r="O984" s="28">
        <f>IFERROR(INDEX(MgAmenDegI,MATCH(SUBSTITUTE($H984,"*","-"),MgAmenClave,0)),"No aplica")</f>
        <v/>
      </c>
      <c r="P984" s="28">
        <f>IFERROR(INDEX(MgAmenDegC,MATCH(SUBSTITUTE($H984,"*","-"),MgAmenClave,0)),"No aplica")</f>
        <v/>
      </c>
      <c r="Q984" s="29">
        <f>IFERROR(VLOOKUP(K984,MgValor,2,0)*VLOOKUP(N984,MgDeg,2,0),0)</f>
        <v/>
      </c>
      <c r="R984" s="29">
        <f>IFERROR(VLOOKUP(L984,MgValor,2,0)*VLOOKUP(O984,MgDeg,2,0),0)</f>
        <v/>
      </c>
      <c r="S984" s="29">
        <f>IFERROR(VLOOKUP(M984,MgValor,2,0)*VLOOKUP(P984,MgDeg,2,0),0)</f>
        <v/>
      </c>
      <c r="T984" s="30">
        <f>MAX(Q984:S984)</f>
        <v/>
      </c>
      <c r="U984" s="28">
        <f>IFERROR(LOOKUP(T984,{0;0.5;1.5;3;4.5},{"Despreciable";"Bajo";"Medio";"Alto";"Muy alto"}),"")</f>
        <v/>
      </c>
      <c r="V984" s="13">
        <f>IFERROR(INDEX(MgAmenFrec,MATCH(SUBSTITUTE($H984,"*","-"),MgAmenClave,0)),"")</f>
        <v/>
      </c>
      <c r="W984" s="28">
        <f>IFERROR(LOOKUP(X984,{0;0.01;0.1;1;10;100},{"Muy baja";"Muy baja";"Baja";"Media";"Alta";"Muy alta"}),"")</f>
        <v/>
      </c>
      <c r="X984" s="31">
        <f>IFERROR(VLOOKUP(V984,MgFrec,2,0),0)</f>
        <v/>
      </c>
      <c r="Y984" s="30">
        <f>T984*X984</f>
        <v/>
      </c>
      <c r="Z984" s="28">
        <f>IFERROR(LOOKUP(Y984,{0;0.5;5;25},{"Bajo";"Medio";"Alto";"Crítico"}),"")</f>
        <v/>
      </c>
      <c r="AA984" s="64">
        <f>IF(T984&gt;=3,IF(X984&gt;=1,"Zona 1 — Crítica: impacto alto y ocurre al menos una vez al año","Zona 4 — Catastrófica poco probable: impacto alto pero excepcional"),IF(AND(T984&lt;1.5,X984&lt;1),"Zona 3 — Asumible: impacto bajo y muy poco frecuente","Zona 2 — Atención: riesgo intermedio"))</f>
        <v/>
      </c>
      <c r="AB984" s="64">
        <f>IFERROR(INDEX(MgAmenCtrl,MATCH(SUBSTITUTE($H984,"*","-"),MgAmenClave,0)),"")</f>
        <v/>
      </c>
      <c r="AC984" s="20" t="n"/>
      <c r="AD984" s="31">
        <f>IFERROR($X984*(1-IF($AC984="",$AL984,VLOOKUP($AC984,MgMad,2,0))),"")</f>
        <v/>
      </c>
      <c r="AE984" s="28">
        <f>IFERROR(LOOKUP(AD984,{0;0.01;0.1;1;10;100},{"Muy baja";"Muy baja";"Baja";"Media";"Alta";"Muy alta"}),"")</f>
        <v/>
      </c>
      <c r="AF984" s="30">
        <f>T984*AD984</f>
        <v/>
      </c>
      <c r="AG984" s="28">
        <f>IFERROR(LOOKUP(AF984,{0;0.5;5;25},{"Bajo";"Medio";"Alto";"Crítico"}),"")</f>
        <v/>
      </c>
      <c r="AH984" s="28">
        <f>IF(AG984="","",IF(OR(AG984="Crítico",AG984="Alto"),"Mitigar",IF(AG984="Medio","Mitigar","Aceptar y monitorear")))</f>
        <v/>
      </c>
      <c r="AI984" s="21" t="n"/>
      <c r="AJ984" s="21" t="n"/>
      <c r="AK984" s="20" t="n"/>
      <c r="AL984" s="77">
        <f>IFERROR(INDEX(MgAmenEfic,MATCH(SUBSTITUTE($H984,"*","-"),MgAmenClave,0)),0)</f>
        <v/>
      </c>
    </row>
    <row r="985" hidden="1" ht="90" customHeight="1" s="54">
      <c r="B985" s="59" t="inlineStr">
        <is>
          <t>R-0980</t>
        </is>
      </c>
      <c r="C985" s="59" t="inlineStr">
        <is>
          <t>GH-055</t>
        </is>
      </c>
      <c r="D985" s="64">
        <f>IFERROR(INDEX(MgNombre,MATCH($C985,MgActId,0)),"")</f>
        <v/>
      </c>
      <c r="E985" s="64">
        <f>IFERROR(INDEX(MgProceso,MATCH($C985,MgActId,0)),"")</f>
        <v/>
      </c>
      <c r="F985" s="64">
        <f>IFERROR(INDEX(MgTipo,MATCH($C985,MgActId,0)),"")</f>
        <v/>
      </c>
      <c r="G985" s="64">
        <f>IFERROR(INDEX(MgSubtipo,MATCH($C985,MgActId,0)),"")</f>
        <v/>
      </c>
      <c r="H985" s="59" t="inlineStr">
        <is>
          <t>E.15</t>
        </is>
      </c>
      <c r="I985" s="64">
        <f>IFERROR(INDEX(MgAmenNombre,MATCH(SUBSTITUTE($H985,"*","-"),MgAmenClave,0)),"")</f>
        <v/>
      </c>
      <c r="J985" s="28">
        <f>IFERROR(INDEX(MgAmenGrupo,MATCH(SUBSTITUTE($H985,"*","-"),MgAmenClave,0)),"")</f>
        <v/>
      </c>
      <c r="K985" s="64">
        <f>IFERROR(INDEX('1. Matriz de Activos'!$Q$6:$Q$239,MATCH($C985,MgActId,0)),"")</f>
        <v/>
      </c>
      <c r="L985" s="64">
        <f>IFERROR(INDEX('1. Matriz de Activos'!$R$6:$R$239,MATCH($C985,MgActId,0)),"")</f>
        <v/>
      </c>
      <c r="M985" s="64">
        <f>IFERROR(INDEX('1. Matriz de Activos'!$S$6:$S$239,MATCH($C985,MgActId,0)),"")</f>
        <v/>
      </c>
      <c r="N985" s="28">
        <f>IFERROR(INDEX(MgAmenDegD,MATCH(SUBSTITUTE($H985,"*","-"),MgAmenClave,0)),"No aplica")</f>
        <v/>
      </c>
      <c r="O985" s="28">
        <f>IFERROR(INDEX(MgAmenDegI,MATCH(SUBSTITUTE($H985,"*","-"),MgAmenClave,0)),"No aplica")</f>
        <v/>
      </c>
      <c r="P985" s="28">
        <f>IFERROR(INDEX(MgAmenDegC,MATCH(SUBSTITUTE($H985,"*","-"),MgAmenClave,0)),"No aplica")</f>
        <v/>
      </c>
      <c r="Q985" s="29">
        <f>IFERROR(VLOOKUP(K985,MgValor,2,0)*VLOOKUP(N985,MgDeg,2,0),0)</f>
        <v/>
      </c>
      <c r="R985" s="29">
        <f>IFERROR(VLOOKUP(L985,MgValor,2,0)*VLOOKUP(O985,MgDeg,2,0),0)</f>
        <v/>
      </c>
      <c r="S985" s="29">
        <f>IFERROR(VLOOKUP(M985,MgValor,2,0)*VLOOKUP(P985,MgDeg,2,0),0)</f>
        <v/>
      </c>
      <c r="T985" s="30">
        <f>MAX(Q985:S985)</f>
        <v/>
      </c>
      <c r="U985" s="28">
        <f>IFERROR(LOOKUP(T985,{0;0.5;1.5;3;4.5},{"Despreciable";"Bajo";"Medio";"Alto";"Muy alto"}),"")</f>
        <v/>
      </c>
      <c r="V985" s="13">
        <f>IFERROR(INDEX(MgAmenFrec,MATCH(SUBSTITUTE($H985,"*","-"),MgAmenClave,0)),"")</f>
        <v/>
      </c>
      <c r="W985" s="28">
        <f>IFERROR(LOOKUP(X985,{0;0.01;0.1;1;10;100},{"Muy baja";"Muy baja";"Baja";"Media";"Alta";"Muy alta"}),"")</f>
        <v/>
      </c>
      <c r="X985" s="31">
        <f>IFERROR(VLOOKUP(V985,MgFrec,2,0),0)</f>
        <v/>
      </c>
      <c r="Y985" s="30">
        <f>T985*X985</f>
        <v/>
      </c>
      <c r="Z985" s="28">
        <f>IFERROR(LOOKUP(Y985,{0;0.5;5;25},{"Bajo";"Medio";"Alto";"Crítico"}),"")</f>
        <v/>
      </c>
      <c r="AA985" s="64">
        <f>IF(T985&gt;=3,IF(X985&gt;=1,"Zona 1 — Crítica: impacto alto y ocurre al menos una vez al año","Zona 4 — Catastrófica poco probable: impacto alto pero excepcional"),IF(AND(T985&lt;1.5,X985&lt;1),"Zona 3 — Asumible: impacto bajo y muy poco frecuente","Zona 2 — Atención: riesgo intermedio"))</f>
        <v/>
      </c>
      <c r="AB985" s="64">
        <f>IFERROR(INDEX(MgAmenCtrl,MATCH(SUBSTITUTE($H985,"*","-"),MgAmenClave,0)),"")</f>
        <v/>
      </c>
      <c r="AC985" s="20" t="n"/>
      <c r="AD985" s="31">
        <f>IFERROR($X985*(1-IF($AC985="",$AL985,VLOOKUP($AC985,MgMad,2,0))),"")</f>
        <v/>
      </c>
      <c r="AE985" s="28">
        <f>IFERROR(LOOKUP(AD985,{0;0.01;0.1;1;10;100},{"Muy baja";"Muy baja";"Baja";"Media";"Alta";"Muy alta"}),"")</f>
        <v/>
      </c>
      <c r="AF985" s="30">
        <f>T985*AD985</f>
        <v/>
      </c>
      <c r="AG985" s="28">
        <f>IFERROR(LOOKUP(AF985,{0;0.5;5;25},{"Bajo";"Medio";"Alto";"Crítico"}),"")</f>
        <v/>
      </c>
      <c r="AH985" s="28">
        <f>IF(AG985="","",IF(OR(AG985="Crítico",AG985="Alto"),"Mitigar",IF(AG985="Medio","Mitigar","Aceptar y monitorear")))</f>
        <v/>
      </c>
      <c r="AI985" s="21" t="n"/>
      <c r="AJ985" s="21" t="n"/>
      <c r="AK985" s="20" t="n"/>
      <c r="AL985" s="77">
        <f>IFERROR(INDEX(MgAmenEfic,MATCH(SUBSTITUTE($H985,"*","-"),MgAmenClave,0)),0)</f>
        <v/>
      </c>
    </row>
    <row r="986" hidden="1" ht="60" customHeight="1" s="54">
      <c r="B986" s="59" t="inlineStr">
        <is>
          <t>R-0981</t>
        </is>
      </c>
      <c r="C986" s="59" t="inlineStr">
        <is>
          <t>GH-055</t>
        </is>
      </c>
      <c r="D986" s="64">
        <f>IFERROR(INDEX(MgNombre,MATCH($C986,MgActId,0)),"")</f>
        <v/>
      </c>
      <c r="E986" s="64">
        <f>IFERROR(INDEX(MgProceso,MATCH($C986,MgActId,0)),"")</f>
        <v/>
      </c>
      <c r="F986" s="64">
        <f>IFERROR(INDEX(MgTipo,MATCH($C986,MgActId,0)),"")</f>
        <v/>
      </c>
      <c r="G986" s="64">
        <f>IFERROR(INDEX(MgSubtipo,MATCH($C986,MgActId,0)),"")</f>
        <v/>
      </c>
      <c r="H986" s="59" t="inlineStr">
        <is>
          <t>E.18</t>
        </is>
      </c>
      <c r="I986" s="64">
        <f>IFERROR(INDEX(MgAmenNombre,MATCH(SUBSTITUTE($H986,"*","-"),MgAmenClave,0)),"")</f>
        <v/>
      </c>
      <c r="J986" s="28">
        <f>IFERROR(INDEX(MgAmenGrupo,MATCH(SUBSTITUTE($H986,"*","-"),MgAmenClave,0)),"")</f>
        <v/>
      </c>
      <c r="K986" s="64">
        <f>IFERROR(INDEX('1. Matriz de Activos'!$Q$6:$Q$239,MATCH($C986,MgActId,0)),"")</f>
        <v/>
      </c>
      <c r="L986" s="64">
        <f>IFERROR(INDEX('1. Matriz de Activos'!$R$6:$R$239,MATCH($C986,MgActId,0)),"")</f>
        <v/>
      </c>
      <c r="M986" s="64">
        <f>IFERROR(INDEX('1. Matriz de Activos'!$S$6:$S$239,MATCH($C986,MgActId,0)),"")</f>
        <v/>
      </c>
      <c r="N986" s="28">
        <f>IFERROR(INDEX(MgAmenDegD,MATCH(SUBSTITUTE($H986,"*","-"),MgAmenClave,0)),"No aplica")</f>
        <v/>
      </c>
      <c r="O986" s="28">
        <f>IFERROR(INDEX(MgAmenDegI,MATCH(SUBSTITUTE($H986,"*","-"),MgAmenClave,0)),"No aplica")</f>
        <v/>
      </c>
      <c r="P986" s="28">
        <f>IFERROR(INDEX(MgAmenDegC,MATCH(SUBSTITUTE($H986,"*","-"),MgAmenClave,0)),"No aplica")</f>
        <v/>
      </c>
      <c r="Q986" s="29">
        <f>IFERROR(VLOOKUP(K986,MgValor,2,0)*VLOOKUP(N986,MgDeg,2,0),0)</f>
        <v/>
      </c>
      <c r="R986" s="29">
        <f>IFERROR(VLOOKUP(L986,MgValor,2,0)*VLOOKUP(O986,MgDeg,2,0),0)</f>
        <v/>
      </c>
      <c r="S986" s="29">
        <f>IFERROR(VLOOKUP(M986,MgValor,2,0)*VLOOKUP(P986,MgDeg,2,0),0)</f>
        <v/>
      </c>
      <c r="T986" s="30">
        <f>MAX(Q986:S986)</f>
        <v/>
      </c>
      <c r="U986" s="28">
        <f>IFERROR(LOOKUP(T986,{0;0.5;1.5;3;4.5},{"Despreciable";"Bajo";"Medio";"Alto";"Muy alto"}),"")</f>
        <v/>
      </c>
      <c r="V986" s="13">
        <f>IFERROR(INDEX(MgAmenFrec,MATCH(SUBSTITUTE($H986,"*","-"),MgAmenClave,0)),"")</f>
        <v/>
      </c>
      <c r="W986" s="28">
        <f>IFERROR(LOOKUP(X986,{0;0.01;0.1;1;10;100},{"Muy baja";"Muy baja";"Baja";"Media";"Alta";"Muy alta"}),"")</f>
        <v/>
      </c>
      <c r="X986" s="31">
        <f>IFERROR(VLOOKUP(V986,MgFrec,2,0),0)</f>
        <v/>
      </c>
      <c r="Y986" s="30">
        <f>T986*X986</f>
        <v/>
      </c>
      <c r="Z986" s="28">
        <f>IFERROR(LOOKUP(Y986,{0;0.5;5;25},{"Bajo";"Medio";"Alto";"Crítico"}),"")</f>
        <v/>
      </c>
      <c r="AA986" s="64">
        <f>IF(T986&gt;=3,IF(X986&gt;=1,"Zona 1 — Crítica: impacto alto y ocurre al menos una vez al año","Zona 4 — Catastrófica poco probable: impacto alto pero excepcional"),IF(AND(T986&lt;1.5,X986&lt;1),"Zona 3 — Asumible: impacto bajo y muy poco frecuente","Zona 2 — Atención: riesgo intermedio"))</f>
        <v/>
      </c>
      <c r="AB986" s="64">
        <f>IFERROR(INDEX(MgAmenCtrl,MATCH(SUBSTITUTE($H986,"*","-"),MgAmenClave,0)),"")</f>
        <v/>
      </c>
      <c r="AC986" s="20" t="n"/>
      <c r="AD986" s="31">
        <f>IFERROR($X986*(1-IF($AC986="",$AL986,VLOOKUP($AC986,MgMad,2,0))),"")</f>
        <v/>
      </c>
      <c r="AE986" s="28">
        <f>IFERROR(LOOKUP(AD986,{0;0.01;0.1;1;10;100},{"Muy baja";"Muy baja";"Baja";"Media";"Alta";"Muy alta"}),"")</f>
        <v/>
      </c>
      <c r="AF986" s="30">
        <f>T986*AD986</f>
        <v/>
      </c>
      <c r="AG986" s="28">
        <f>IFERROR(LOOKUP(AF986,{0;0.5;5;25},{"Bajo";"Medio";"Alto";"Crítico"}),"")</f>
        <v/>
      </c>
      <c r="AH986" s="28">
        <f>IF(AG986="","",IF(OR(AG986="Crítico",AG986="Alto"),"Mitigar",IF(AG986="Medio","Mitigar","Aceptar y monitorear")))</f>
        <v/>
      </c>
      <c r="AI986" s="21" t="n"/>
      <c r="AJ986" s="21" t="n"/>
      <c r="AK986" s="20" t="n"/>
      <c r="AL986" s="77">
        <f>IFERROR(INDEX(MgAmenEfic,MATCH(SUBSTITUTE($H986,"*","-"),MgAmenClave,0)),0)</f>
        <v/>
      </c>
    </row>
    <row r="987" hidden="1" ht="105" customHeight="1" s="54">
      <c r="B987" s="59" t="inlineStr">
        <is>
          <t>R-0982</t>
        </is>
      </c>
      <c r="C987" s="59" t="inlineStr">
        <is>
          <t>GH-055</t>
        </is>
      </c>
      <c r="D987" s="64">
        <f>IFERROR(INDEX(MgNombre,MATCH($C987,MgActId,0)),"")</f>
        <v/>
      </c>
      <c r="E987" s="64">
        <f>IFERROR(INDEX(MgProceso,MATCH($C987,MgActId,0)),"")</f>
        <v/>
      </c>
      <c r="F987" s="64">
        <f>IFERROR(INDEX(MgTipo,MATCH($C987,MgActId,0)),"")</f>
        <v/>
      </c>
      <c r="G987" s="64">
        <f>IFERROR(INDEX(MgSubtipo,MATCH($C987,MgActId,0)),"")</f>
        <v/>
      </c>
      <c r="H987" s="59" t="inlineStr">
        <is>
          <t>E.19</t>
        </is>
      </c>
      <c r="I987" s="64">
        <f>IFERROR(INDEX(MgAmenNombre,MATCH(SUBSTITUTE($H987,"*","-"),MgAmenClave,0)),"")</f>
        <v/>
      </c>
      <c r="J987" s="28">
        <f>IFERROR(INDEX(MgAmenGrupo,MATCH(SUBSTITUTE($H987,"*","-"),MgAmenClave,0)),"")</f>
        <v/>
      </c>
      <c r="K987" s="64">
        <f>IFERROR(INDEX('1. Matriz de Activos'!$Q$6:$Q$239,MATCH($C987,MgActId,0)),"")</f>
        <v/>
      </c>
      <c r="L987" s="64">
        <f>IFERROR(INDEX('1. Matriz de Activos'!$R$6:$R$239,MATCH($C987,MgActId,0)),"")</f>
        <v/>
      </c>
      <c r="M987" s="64">
        <f>IFERROR(INDEX('1. Matriz de Activos'!$S$6:$S$239,MATCH($C987,MgActId,0)),"")</f>
        <v/>
      </c>
      <c r="N987" s="28">
        <f>IFERROR(INDEX(MgAmenDegD,MATCH(SUBSTITUTE($H987,"*","-"),MgAmenClave,0)),"No aplica")</f>
        <v/>
      </c>
      <c r="O987" s="28">
        <f>IFERROR(INDEX(MgAmenDegI,MATCH(SUBSTITUTE($H987,"*","-"),MgAmenClave,0)),"No aplica")</f>
        <v/>
      </c>
      <c r="P987" s="28">
        <f>IFERROR(INDEX(MgAmenDegC,MATCH(SUBSTITUTE($H987,"*","-"),MgAmenClave,0)),"No aplica")</f>
        <v/>
      </c>
      <c r="Q987" s="29">
        <f>IFERROR(VLOOKUP(K987,MgValor,2,0)*VLOOKUP(N987,MgDeg,2,0),0)</f>
        <v/>
      </c>
      <c r="R987" s="29">
        <f>IFERROR(VLOOKUP(L987,MgValor,2,0)*VLOOKUP(O987,MgDeg,2,0),0)</f>
        <v/>
      </c>
      <c r="S987" s="29">
        <f>IFERROR(VLOOKUP(M987,MgValor,2,0)*VLOOKUP(P987,MgDeg,2,0),0)</f>
        <v/>
      </c>
      <c r="T987" s="30">
        <f>MAX(Q987:S987)</f>
        <v/>
      </c>
      <c r="U987" s="28">
        <f>IFERROR(LOOKUP(T987,{0;0.5;1.5;3;4.5},{"Despreciable";"Bajo";"Medio";"Alto";"Muy alto"}),"")</f>
        <v/>
      </c>
      <c r="V987" s="13">
        <f>IFERROR(INDEX(MgAmenFrec,MATCH(SUBSTITUTE($H987,"*","-"),MgAmenClave,0)),"")</f>
        <v/>
      </c>
      <c r="W987" s="28">
        <f>IFERROR(LOOKUP(X987,{0;0.01;0.1;1;10;100},{"Muy baja";"Muy baja";"Baja";"Media";"Alta";"Muy alta"}),"")</f>
        <v/>
      </c>
      <c r="X987" s="31">
        <f>IFERROR(VLOOKUP(V987,MgFrec,2,0),0)</f>
        <v/>
      </c>
      <c r="Y987" s="30">
        <f>T987*X987</f>
        <v/>
      </c>
      <c r="Z987" s="28">
        <f>IFERROR(LOOKUP(Y987,{0;0.5;5;25},{"Bajo";"Medio";"Alto";"Crítico"}),"")</f>
        <v/>
      </c>
      <c r="AA987" s="64">
        <f>IF(T987&gt;=3,IF(X987&gt;=1,"Zona 1 — Crítica: impacto alto y ocurre al menos una vez al año","Zona 4 — Catastrófica poco probable: impacto alto pero excepcional"),IF(AND(T987&lt;1.5,X987&lt;1),"Zona 3 — Asumible: impacto bajo y muy poco frecuente","Zona 2 — Atención: riesgo intermedio"))</f>
        <v/>
      </c>
      <c r="AB987" s="64">
        <f>IFERROR(INDEX(MgAmenCtrl,MATCH(SUBSTITUTE($H987,"*","-"),MgAmenClave,0)),"")</f>
        <v/>
      </c>
      <c r="AC987" s="20" t="n"/>
      <c r="AD987" s="31">
        <f>IFERROR($X987*(1-IF($AC987="",$AL987,VLOOKUP($AC987,MgMad,2,0))),"")</f>
        <v/>
      </c>
      <c r="AE987" s="28">
        <f>IFERROR(LOOKUP(AD987,{0;0.01;0.1;1;10;100},{"Muy baja";"Muy baja";"Baja";"Media";"Alta";"Muy alta"}),"")</f>
        <v/>
      </c>
      <c r="AF987" s="30">
        <f>T987*AD987</f>
        <v/>
      </c>
      <c r="AG987" s="28">
        <f>IFERROR(LOOKUP(AF987,{0;0.5;5;25},{"Bajo";"Medio";"Alto";"Crítico"}),"")</f>
        <v/>
      </c>
      <c r="AH987" s="28">
        <f>IF(AG987="","",IF(OR(AG987="Crítico",AG987="Alto"),"Mitigar",IF(AG987="Medio","Mitigar","Aceptar y monitorear")))</f>
        <v/>
      </c>
      <c r="AI987" s="21" t="n"/>
      <c r="AJ987" s="21" t="n"/>
      <c r="AK987" s="20" t="n"/>
      <c r="AL987" s="77">
        <f>IFERROR(INDEX(MgAmenEfic,MATCH(SUBSTITUTE($H987,"*","-"),MgAmenClave,0)),0)</f>
        <v/>
      </c>
    </row>
    <row r="988" hidden="1" ht="60" customHeight="1" s="54">
      <c r="B988" s="59" t="inlineStr">
        <is>
          <t>R-0983</t>
        </is>
      </c>
      <c r="C988" s="59" t="inlineStr">
        <is>
          <t>GH-055</t>
        </is>
      </c>
      <c r="D988" s="64">
        <f>IFERROR(INDEX(MgNombre,MATCH($C988,MgActId,0)),"")</f>
        <v/>
      </c>
      <c r="E988" s="64">
        <f>IFERROR(INDEX(MgProceso,MATCH($C988,MgActId,0)),"")</f>
        <v/>
      </c>
      <c r="F988" s="64">
        <f>IFERROR(INDEX(MgTipo,MATCH($C988,MgActId,0)),"")</f>
        <v/>
      </c>
      <c r="G988" s="64">
        <f>IFERROR(INDEX(MgSubtipo,MATCH($C988,MgActId,0)),"")</f>
        <v/>
      </c>
      <c r="H988" s="59" t="inlineStr">
        <is>
          <t>A.3</t>
        </is>
      </c>
      <c r="I988" s="64">
        <f>IFERROR(INDEX(MgAmenNombre,MATCH(SUBSTITUTE($H988,"*","-"),MgAmenClave,0)),"")</f>
        <v/>
      </c>
      <c r="J988" s="28">
        <f>IFERROR(INDEX(MgAmenGrupo,MATCH(SUBSTITUTE($H988,"*","-"),MgAmenClave,0)),"")</f>
        <v/>
      </c>
      <c r="K988" s="64">
        <f>IFERROR(INDEX('1. Matriz de Activos'!$Q$6:$Q$239,MATCH($C988,MgActId,0)),"")</f>
        <v/>
      </c>
      <c r="L988" s="64">
        <f>IFERROR(INDEX('1. Matriz de Activos'!$R$6:$R$239,MATCH($C988,MgActId,0)),"")</f>
        <v/>
      </c>
      <c r="M988" s="64">
        <f>IFERROR(INDEX('1. Matriz de Activos'!$S$6:$S$239,MATCH($C988,MgActId,0)),"")</f>
        <v/>
      </c>
      <c r="N988" s="28">
        <f>IFERROR(INDEX(MgAmenDegD,MATCH(SUBSTITUTE($H988,"*","-"),MgAmenClave,0)),"No aplica")</f>
        <v/>
      </c>
      <c r="O988" s="28">
        <f>IFERROR(INDEX(MgAmenDegI,MATCH(SUBSTITUTE($H988,"*","-"),MgAmenClave,0)),"No aplica")</f>
        <v/>
      </c>
      <c r="P988" s="28">
        <f>IFERROR(INDEX(MgAmenDegC,MATCH(SUBSTITUTE($H988,"*","-"),MgAmenClave,0)),"No aplica")</f>
        <v/>
      </c>
      <c r="Q988" s="29">
        <f>IFERROR(VLOOKUP(K988,MgValor,2,0)*VLOOKUP(N988,MgDeg,2,0),0)</f>
        <v/>
      </c>
      <c r="R988" s="29">
        <f>IFERROR(VLOOKUP(L988,MgValor,2,0)*VLOOKUP(O988,MgDeg,2,0),0)</f>
        <v/>
      </c>
      <c r="S988" s="29">
        <f>IFERROR(VLOOKUP(M988,MgValor,2,0)*VLOOKUP(P988,MgDeg,2,0),0)</f>
        <v/>
      </c>
      <c r="T988" s="30">
        <f>MAX(Q988:S988)</f>
        <v/>
      </c>
      <c r="U988" s="28">
        <f>IFERROR(LOOKUP(T988,{0;0.5;1.5;3;4.5},{"Despreciable";"Bajo";"Medio";"Alto";"Muy alto"}),"")</f>
        <v/>
      </c>
      <c r="V988" s="13">
        <f>IFERROR(INDEX(MgAmenFrec,MATCH(SUBSTITUTE($H988,"*","-"),MgAmenClave,0)),"")</f>
        <v/>
      </c>
      <c r="W988" s="28">
        <f>IFERROR(LOOKUP(X988,{0;0.01;0.1;1;10;100},{"Muy baja";"Muy baja";"Baja";"Media";"Alta";"Muy alta"}),"")</f>
        <v/>
      </c>
      <c r="X988" s="31">
        <f>IFERROR(VLOOKUP(V988,MgFrec,2,0),0)</f>
        <v/>
      </c>
      <c r="Y988" s="30">
        <f>T988*X988</f>
        <v/>
      </c>
      <c r="Z988" s="28">
        <f>IFERROR(LOOKUP(Y988,{0;0.5;5;25},{"Bajo";"Medio";"Alto";"Crítico"}),"")</f>
        <v/>
      </c>
      <c r="AA988" s="64">
        <f>IF(T988&gt;=3,IF(X988&gt;=1,"Zona 1 — Crítica: impacto alto y ocurre al menos una vez al año","Zona 4 — Catastrófica poco probable: impacto alto pero excepcional"),IF(AND(T988&lt;1.5,X988&lt;1),"Zona 3 — Asumible: impacto bajo y muy poco frecuente","Zona 2 — Atención: riesgo intermedio"))</f>
        <v/>
      </c>
      <c r="AB988" s="64">
        <f>IFERROR(INDEX(MgAmenCtrl,MATCH(SUBSTITUTE($H988,"*","-"),MgAmenClave,0)),"")</f>
        <v/>
      </c>
      <c r="AC988" s="20" t="n"/>
      <c r="AD988" s="31">
        <f>IFERROR($X988*(1-IF($AC988="",$AL988,VLOOKUP($AC988,MgMad,2,0))),"")</f>
        <v/>
      </c>
      <c r="AE988" s="28">
        <f>IFERROR(LOOKUP(AD988,{0;0.01;0.1;1;10;100},{"Muy baja";"Muy baja";"Baja";"Media";"Alta";"Muy alta"}),"")</f>
        <v/>
      </c>
      <c r="AF988" s="30">
        <f>T988*AD988</f>
        <v/>
      </c>
      <c r="AG988" s="28">
        <f>IFERROR(LOOKUP(AF988,{0;0.5;5;25},{"Bajo";"Medio";"Alto";"Crítico"}),"")</f>
        <v/>
      </c>
      <c r="AH988" s="28">
        <f>IF(AG988="","",IF(OR(AG988="Crítico",AG988="Alto"),"Mitigar",IF(AG988="Medio","Mitigar","Aceptar y monitorear")))</f>
        <v/>
      </c>
      <c r="AI988" s="21" t="n"/>
      <c r="AJ988" s="21" t="n"/>
      <c r="AK988" s="20" t="n"/>
      <c r="AL988" s="77">
        <f>IFERROR(INDEX(MgAmenEfic,MATCH(SUBSTITUTE($H988,"*","-"),MgAmenClave,0)),0)</f>
        <v/>
      </c>
    </row>
    <row r="989" hidden="1" ht="60" customHeight="1" s="54">
      <c r="B989" s="59" t="inlineStr">
        <is>
          <t>R-0984</t>
        </is>
      </c>
      <c r="C989" s="59" t="inlineStr">
        <is>
          <t>GH-055</t>
        </is>
      </c>
      <c r="D989" s="64">
        <f>IFERROR(INDEX(MgNombre,MATCH($C989,MgActId,0)),"")</f>
        <v/>
      </c>
      <c r="E989" s="64">
        <f>IFERROR(INDEX(MgProceso,MATCH($C989,MgActId,0)),"")</f>
        <v/>
      </c>
      <c r="F989" s="64">
        <f>IFERROR(INDEX(MgTipo,MATCH($C989,MgActId,0)),"")</f>
        <v/>
      </c>
      <c r="G989" s="64">
        <f>IFERROR(INDEX(MgSubtipo,MATCH($C989,MgActId,0)),"")</f>
        <v/>
      </c>
      <c r="H989" s="59" t="inlineStr">
        <is>
          <t>A.4</t>
        </is>
      </c>
      <c r="I989" s="64">
        <f>IFERROR(INDEX(MgAmenNombre,MATCH(SUBSTITUTE($H989,"*","-"),MgAmenClave,0)),"")</f>
        <v/>
      </c>
      <c r="J989" s="28">
        <f>IFERROR(INDEX(MgAmenGrupo,MATCH(SUBSTITUTE($H989,"*","-"),MgAmenClave,0)),"")</f>
        <v/>
      </c>
      <c r="K989" s="64">
        <f>IFERROR(INDEX('1. Matriz de Activos'!$Q$6:$Q$239,MATCH($C989,MgActId,0)),"")</f>
        <v/>
      </c>
      <c r="L989" s="64">
        <f>IFERROR(INDEX('1. Matriz de Activos'!$R$6:$R$239,MATCH($C989,MgActId,0)),"")</f>
        <v/>
      </c>
      <c r="M989" s="64">
        <f>IFERROR(INDEX('1. Matriz de Activos'!$S$6:$S$239,MATCH($C989,MgActId,0)),"")</f>
        <v/>
      </c>
      <c r="N989" s="28">
        <f>IFERROR(INDEX(MgAmenDegD,MATCH(SUBSTITUTE($H989,"*","-"),MgAmenClave,0)),"No aplica")</f>
        <v/>
      </c>
      <c r="O989" s="28">
        <f>IFERROR(INDEX(MgAmenDegI,MATCH(SUBSTITUTE($H989,"*","-"),MgAmenClave,0)),"No aplica")</f>
        <v/>
      </c>
      <c r="P989" s="28">
        <f>IFERROR(INDEX(MgAmenDegC,MATCH(SUBSTITUTE($H989,"*","-"),MgAmenClave,0)),"No aplica")</f>
        <v/>
      </c>
      <c r="Q989" s="29">
        <f>IFERROR(VLOOKUP(K989,MgValor,2,0)*VLOOKUP(N989,MgDeg,2,0),0)</f>
        <v/>
      </c>
      <c r="R989" s="29">
        <f>IFERROR(VLOOKUP(L989,MgValor,2,0)*VLOOKUP(O989,MgDeg,2,0),0)</f>
        <v/>
      </c>
      <c r="S989" s="29">
        <f>IFERROR(VLOOKUP(M989,MgValor,2,0)*VLOOKUP(P989,MgDeg,2,0),0)</f>
        <v/>
      </c>
      <c r="T989" s="30">
        <f>MAX(Q989:S989)</f>
        <v/>
      </c>
      <c r="U989" s="28">
        <f>IFERROR(LOOKUP(T989,{0;0.5;1.5;3;4.5},{"Despreciable";"Bajo";"Medio";"Alto";"Muy alto"}),"")</f>
        <v/>
      </c>
      <c r="V989" s="13">
        <f>IFERROR(INDEX(MgAmenFrec,MATCH(SUBSTITUTE($H989,"*","-"),MgAmenClave,0)),"")</f>
        <v/>
      </c>
      <c r="W989" s="28">
        <f>IFERROR(LOOKUP(X989,{0;0.01;0.1;1;10;100},{"Muy baja";"Muy baja";"Baja";"Media";"Alta";"Muy alta"}),"")</f>
        <v/>
      </c>
      <c r="X989" s="31">
        <f>IFERROR(VLOOKUP(V989,MgFrec,2,0),0)</f>
        <v/>
      </c>
      <c r="Y989" s="30">
        <f>T989*X989</f>
        <v/>
      </c>
      <c r="Z989" s="28">
        <f>IFERROR(LOOKUP(Y989,{0;0.5;5;25},{"Bajo";"Medio";"Alto";"Crítico"}),"")</f>
        <v/>
      </c>
      <c r="AA989" s="64">
        <f>IF(T989&gt;=3,IF(X989&gt;=1,"Zona 1 — Crítica: impacto alto y ocurre al menos una vez al año","Zona 4 — Catastrófica poco probable: impacto alto pero excepcional"),IF(AND(T989&lt;1.5,X989&lt;1),"Zona 3 — Asumible: impacto bajo y muy poco frecuente","Zona 2 — Atención: riesgo intermedio"))</f>
        <v/>
      </c>
      <c r="AB989" s="64">
        <f>IFERROR(INDEX(MgAmenCtrl,MATCH(SUBSTITUTE($H989,"*","-"),MgAmenClave,0)),"")</f>
        <v/>
      </c>
      <c r="AC989" s="20" t="n"/>
      <c r="AD989" s="31">
        <f>IFERROR($X989*(1-IF($AC989="",$AL989,VLOOKUP($AC989,MgMad,2,0))),"")</f>
        <v/>
      </c>
      <c r="AE989" s="28">
        <f>IFERROR(LOOKUP(AD989,{0;0.01;0.1;1;10;100},{"Muy baja";"Muy baja";"Baja";"Media";"Alta";"Muy alta"}),"")</f>
        <v/>
      </c>
      <c r="AF989" s="30">
        <f>T989*AD989</f>
        <v/>
      </c>
      <c r="AG989" s="28">
        <f>IFERROR(LOOKUP(AF989,{0;0.5;5;25},{"Bajo";"Medio";"Alto";"Crítico"}),"")</f>
        <v/>
      </c>
      <c r="AH989" s="28">
        <f>IF(AG989="","",IF(OR(AG989="Crítico",AG989="Alto"),"Mitigar",IF(AG989="Medio","Mitigar","Aceptar y monitorear")))</f>
        <v/>
      </c>
      <c r="AI989" s="21" t="n"/>
      <c r="AJ989" s="21" t="n"/>
      <c r="AK989" s="20" t="n"/>
      <c r="AL989" s="77">
        <f>IFERROR(INDEX(MgAmenEfic,MATCH(SUBSTITUTE($H989,"*","-"),MgAmenClave,0)),0)</f>
        <v/>
      </c>
    </row>
    <row r="990" hidden="1" ht="75" customHeight="1" s="54">
      <c r="B990" s="59" t="inlineStr">
        <is>
          <t>R-0985</t>
        </is>
      </c>
      <c r="C990" s="59" t="inlineStr">
        <is>
          <t>GH-055</t>
        </is>
      </c>
      <c r="D990" s="64">
        <f>IFERROR(INDEX(MgNombre,MATCH($C990,MgActId,0)),"")</f>
        <v/>
      </c>
      <c r="E990" s="64">
        <f>IFERROR(INDEX(MgProceso,MATCH($C990,MgActId,0)),"")</f>
        <v/>
      </c>
      <c r="F990" s="64">
        <f>IFERROR(INDEX(MgTipo,MATCH($C990,MgActId,0)),"")</f>
        <v/>
      </c>
      <c r="G990" s="64">
        <f>IFERROR(INDEX(MgSubtipo,MATCH($C990,MgActId,0)),"")</f>
        <v/>
      </c>
      <c r="H990" s="59" t="inlineStr">
        <is>
          <t>A.5</t>
        </is>
      </c>
      <c r="I990" s="64">
        <f>IFERROR(INDEX(MgAmenNombre,MATCH(SUBSTITUTE($H990,"*","-"),MgAmenClave,0)),"")</f>
        <v/>
      </c>
      <c r="J990" s="28">
        <f>IFERROR(INDEX(MgAmenGrupo,MATCH(SUBSTITUTE($H990,"*","-"),MgAmenClave,0)),"")</f>
        <v/>
      </c>
      <c r="K990" s="64">
        <f>IFERROR(INDEX('1. Matriz de Activos'!$Q$6:$Q$239,MATCH($C990,MgActId,0)),"")</f>
        <v/>
      </c>
      <c r="L990" s="64">
        <f>IFERROR(INDEX('1. Matriz de Activos'!$R$6:$R$239,MATCH($C990,MgActId,0)),"")</f>
        <v/>
      </c>
      <c r="M990" s="64">
        <f>IFERROR(INDEX('1. Matriz de Activos'!$S$6:$S$239,MATCH($C990,MgActId,0)),"")</f>
        <v/>
      </c>
      <c r="N990" s="28">
        <f>IFERROR(INDEX(MgAmenDegD,MATCH(SUBSTITUTE($H990,"*","-"),MgAmenClave,0)),"No aplica")</f>
        <v/>
      </c>
      <c r="O990" s="28">
        <f>IFERROR(INDEX(MgAmenDegI,MATCH(SUBSTITUTE($H990,"*","-"),MgAmenClave,0)),"No aplica")</f>
        <v/>
      </c>
      <c r="P990" s="28">
        <f>IFERROR(INDEX(MgAmenDegC,MATCH(SUBSTITUTE($H990,"*","-"),MgAmenClave,0)),"No aplica")</f>
        <v/>
      </c>
      <c r="Q990" s="29">
        <f>IFERROR(VLOOKUP(K990,MgValor,2,0)*VLOOKUP(N990,MgDeg,2,0),0)</f>
        <v/>
      </c>
      <c r="R990" s="29">
        <f>IFERROR(VLOOKUP(L990,MgValor,2,0)*VLOOKUP(O990,MgDeg,2,0),0)</f>
        <v/>
      </c>
      <c r="S990" s="29">
        <f>IFERROR(VLOOKUP(M990,MgValor,2,0)*VLOOKUP(P990,MgDeg,2,0),0)</f>
        <v/>
      </c>
      <c r="T990" s="30">
        <f>MAX(Q990:S990)</f>
        <v/>
      </c>
      <c r="U990" s="28">
        <f>IFERROR(LOOKUP(T990,{0;0.5;1.5;3;4.5},{"Despreciable";"Bajo";"Medio";"Alto";"Muy alto"}),"")</f>
        <v/>
      </c>
      <c r="V990" s="13">
        <f>IFERROR(INDEX(MgAmenFrec,MATCH(SUBSTITUTE($H990,"*","-"),MgAmenClave,0)),"")</f>
        <v/>
      </c>
      <c r="W990" s="28">
        <f>IFERROR(LOOKUP(X990,{0;0.01;0.1;1;10;100},{"Muy baja";"Muy baja";"Baja";"Media";"Alta";"Muy alta"}),"")</f>
        <v/>
      </c>
      <c r="X990" s="31">
        <f>IFERROR(VLOOKUP(V990,MgFrec,2,0),0)</f>
        <v/>
      </c>
      <c r="Y990" s="30">
        <f>T990*X990</f>
        <v/>
      </c>
      <c r="Z990" s="28">
        <f>IFERROR(LOOKUP(Y990,{0;0.5;5;25},{"Bajo";"Medio";"Alto";"Crítico"}),"")</f>
        <v/>
      </c>
      <c r="AA990" s="64">
        <f>IF(T990&gt;=3,IF(X990&gt;=1,"Zona 1 — Crítica: impacto alto y ocurre al menos una vez al año","Zona 4 — Catastrófica poco probable: impacto alto pero excepcional"),IF(AND(T990&lt;1.5,X990&lt;1),"Zona 3 — Asumible: impacto bajo y muy poco frecuente","Zona 2 — Atención: riesgo intermedio"))</f>
        <v/>
      </c>
      <c r="AB990" s="64">
        <f>IFERROR(INDEX(MgAmenCtrl,MATCH(SUBSTITUTE($H990,"*","-"),MgAmenClave,0)),"")</f>
        <v/>
      </c>
      <c r="AC990" s="20" t="n"/>
      <c r="AD990" s="31">
        <f>IFERROR($X990*(1-IF($AC990="",$AL990,VLOOKUP($AC990,MgMad,2,0))),"")</f>
        <v/>
      </c>
      <c r="AE990" s="28">
        <f>IFERROR(LOOKUP(AD990,{0;0.01;0.1;1;10;100},{"Muy baja";"Muy baja";"Baja";"Media";"Alta";"Muy alta"}),"")</f>
        <v/>
      </c>
      <c r="AF990" s="30">
        <f>T990*AD990</f>
        <v/>
      </c>
      <c r="AG990" s="28">
        <f>IFERROR(LOOKUP(AF990,{0;0.5;5;25},{"Bajo";"Medio";"Alto";"Crítico"}),"")</f>
        <v/>
      </c>
      <c r="AH990" s="28">
        <f>IF(AG990="","",IF(OR(AG990="Crítico",AG990="Alto"),"Mitigar",IF(AG990="Medio","Mitigar","Aceptar y monitorear")))</f>
        <v/>
      </c>
      <c r="AI990" s="21" t="n"/>
      <c r="AJ990" s="21" t="n"/>
      <c r="AK990" s="20" t="n"/>
      <c r="AL990" s="77">
        <f>IFERROR(INDEX(MgAmenEfic,MATCH(SUBSTITUTE($H990,"*","-"),MgAmenClave,0)),0)</f>
        <v/>
      </c>
    </row>
    <row r="991" hidden="1" ht="105" customHeight="1" s="54">
      <c r="B991" s="59" t="inlineStr">
        <is>
          <t>R-0986</t>
        </is>
      </c>
      <c r="C991" s="59" t="inlineStr">
        <is>
          <t>GH-055</t>
        </is>
      </c>
      <c r="D991" s="64">
        <f>IFERROR(INDEX(MgNombre,MATCH($C991,MgActId,0)),"")</f>
        <v/>
      </c>
      <c r="E991" s="64">
        <f>IFERROR(INDEX(MgProceso,MATCH($C991,MgActId,0)),"")</f>
        <v/>
      </c>
      <c r="F991" s="64">
        <f>IFERROR(INDEX(MgTipo,MATCH($C991,MgActId,0)),"")</f>
        <v/>
      </c>
      <c r="G991" s="64">
        <f>IFERROR(INDEX(MgSubtipo,MATCH($C991,MgActId,0)),"")</f>
        <v/>
      </c>
      <c r="H991" s="59" t="inlineStr">
        <is>
          <t>A.6</t>
        </is>
      </c>
      <c r="I991" s="64">
        <f>IFERROR(INDEX(MgAmenNombre,MATCH(SUBSTITUTE($H991,"*","-"),MgAmenClave,0)),"")</f>
        <v/>
      </c>
      <c r="J991" s="28">
        <f>IFERROR(INDEX(MgAmenGrupo,MATCH(SUBSTITUTE($H991,"*","-"),MgAmenClave,0)),"")</f>
        <v/>
      </c>
      <c r="K991" s="64">
        <f>IFERROR(INDEX('1. Matriz de Activos'!$Q$6:$Q$239,MATCH($C991,MgActId,0)),"")</f>
        <v/>
      </c>
      <c r="L991" s="64">
        <f>IFERROR(INDEX('1. Matriz de Activos'!$R$6:$R$239,MATCH($C991,MgActId,0)),"")</f>
        <v/>
      </c>
      <c r="M991" s="64">
        <f>IFERROR(INDEX('1. Matriz de Activos'!$S$6:$S$239,MATCH($C991,MgActId,0)),"")</f>
        <v/>
      </c>
      <c r="N991" s="28">
        <f>IFERROR(INDEX(MgAmenDegD,MATCH(SUBSTITUTE($H991,"*","-"),MgAmenClave,0)),"No aplica")</f>
        <v/>
      </c>
      <c r="O991" s="28">
        <f>IFERROR(INDEX(MgAmenDegI,MATCH(SUBSTITUTE($H991,"*","-"),MgAmenClave,0)),"No aplica")</f>
        <v/>
      </c>
      <c r="P991" s="28">
        <f>IFERROR(INDEX(MgAmenDegC,MATCH(SUBSTITUTE($H991,"*","-"),MgAmenClave,0)),"No aplica")</f>
        <v/>
      </c>
      <c r="Q991" s="29">
        <f>IFERROR(VLOOKUP(K991,MgValor,2,0)*VLOOKUP(N991,MgDeg,2,0),0)</f>
        <v/>
      </c>
      <c r="R991" s="29">
        <f>IFERROR(VLOOKUP(L991,MgValor,2,0)*VLOOKUP(O991,MgDeg,2,0),0)</f>
        <v/>
      </c>
      <c r="S991" s="29">
        <f>IFERROR(VLOOKUP(M991,MgValor,2,0)*VLOOKUP(P991,MgDeg,2,0),0)</f>
        <v/>
      </c>
      <c r="T991" s="30">
        <f>MAX(Q991:S991)</f>
        <v/>
      </c>
      <c r="U991" s="28">
        <f>IFERROR(LOOKUP(T991,{0;0.5;1.5;3;4.5},{"Despreciable";"Bajo";"Medio";"Alto";"Muy alto"}),"")</f>
        <v/>
      </c>
      <c r="V991" s="13">
        <f>IFERROR(INDEX(MgAmenFrec,MATCH(SUBSTITUTE($H991,"*","-"),MgAmenClave,0)),"")</f>
        <v/>
      </c>
      <c r="W991" s="28">
        <f>IFERROR(LOOKUP(X991,{0;0.01;0.1;1;10;100},{"Muy baja";"Muy baja";"Baja";"Media";"Alta";"Muy alta"}),"")</f>
        <v/>
      </c>
      <c r="X991" s="31">
        <f>IFERROR(VLOOKUP(V991,MgFrec,2,0),0)</f>
        <v/>
      </c>
      <c r="Y991" s="30">
        <f>T991*X991</f>
        <v/>
      </c>
      <c r="Z991" s="28">
        <f>IFERROR(LOOKUP(Y991,{0;0.5;5;25},{"Bajo";"Medio";"Alto";"Crítico"}),"")</f>
        <v/>
      </c>
      <c r="AA991" s="64">
        <f>IF(T991&gt;=3,IF(X991&gt;=1,"Zona 1 — Crítica: impacto alto y ocurre al menos una vez al año","Zona 4 — Catastrófica poco probable: impacto alto pero excepcional"),IF(AND(T991&lt;1.5,X991&lt;1),"Zona 3 — Asumible: impacto bajo y muy poco frecuente","Zona 2 — Atención: riesgo intermedio"))</f>
        <v/>
      </c>
      <c r="AB991" s="64">
        <f>IFERROR(INDEX(MgAmenCtrl,MATCH(SUBSTITUTE($H991,"*","-"),MgAmenClave,0)),"")</f>
        <v/>
      </c>
      <c r="AC991" s="20" t="n"/>
      <c r="AD991" s="31">
        <f>IFERROR($X991*(1-IF($AC991="",$AL991,VLOOKUP($AC991,MgMad,2,0))),"")</f>
        <v/>
      </c>
      <c r="AE991" s="28">
        <f>IFERROR(LOOKUP(AD991,{0;0.01;0.1;1;10;100},{"Muy baja";"Muy baja";"Baja";"Media";"Alta";"Muy alta"}),"")</f>
        <v/>
      </c>
      <c r="AF991" s="30">
        <f>T991*AD991</f>
        <v/>
      </c>
      <c r="AG991" s="28">
        <f>IFERROR(LOOKUP(AF991,{0;0.5;5;25},{"Bajo";"Medio";"Alto";"Crítico"}),"")</f>
        <v/>
      </c>
      <c r="AH991" s="28">
        <f>IF(AG991="","",IF(OR(AG991="Crítico",AG991="Alto"),"Mitigar",IF(AG991="Medio","Mitigar","Aceptar y monitorear")))</f>
        <v/>
      </c>
      <c r="AI991" s="21" t="n"/>
      <c r="AJ991" s="21" t="n"/>
      <c r="AK991" s="20" t="n"/>
      <c r="AL991" s="77">
        <f>IFERROR(INDEX(MgAmenEfic,MATCH(SUBSTITUTE($H991,"*","-"),MgAmenClave,0)),0)</f>
        <v/>
      </c>
    </row>
    <row r="992" hidden="1" ht="120" customHeight="1" s="54">
      <c r="B992" s="59" t="inlineStr">
        <is>
          <t>R-0987</t>
        </is>
      </c>
      <c r="C992" s="59" t="inlineStr">
        <is>
          <t>GH-055</t>
        </is>
      </c>
      <c r="D992" s="64">
        <f>IFERROR(INDEX(MgNombre,MATCH($C992,MgActId,0)),"")</f>
        <v/>
      </c>
      <c r="E992" s="64">
        <f>IFERROR(INDEX(MgProceso,MATCH($C992,MgActId,0)),"")</f>
        <v/>
      </c>
      <c r="F992" s="64">
        <f>IFERROR(INDEX(MgTipo,MATCH($C992,MgActId,0)),"")</f>
        <v/>
      </c>
      <c r="G992" s="64">
        <f>IFERROR(INDEX(MgSubtipo,MATCH($C992,MgActId,0)),"")</f>
        <v/>
      </c>
      <c r="H992" s="59" t="inlineStr">
        <is>
          <t>A.11</t>
        </is>
      </c>
      <c r="I992" s="64">
        <f>IFERROR(INDEX(MgAmenNombre,MATCH(SUBSTITUTE($H992,"*","-"),MgAmenClave,0)),"")</f>
        <v/>
      </c>
      <c r="J992" s="28">
        <f>IFERROR(INDEX(MgAmenGrupo,MATCH(SUBSTITUTE($H992,"*","-"),MgAmenClave,0)),"")</f>
        <v/>
      </c>
      <c r="K992" s="64">
        <f>IFERROR(INDEX('1. Matriz de Activos'!$Q$6:$Q$239,MATCH($C992,MgActId,0)),"")</f>
        <v/>
      </c>
      <c r="L992" s="64">
        <f>IFERROR(INDEX('1. Matriz de Activos'!$R$6:$R$239,MATCH($C992,MgActId,0)),"")</f>
        <v/>
      </c>
      <c r="M992" s="64">
        <f>IFERROR(INDEX('1. Matriz de Activos'!$S$6:$S$239,MATCH($C992,MgActId,0)),"")</f>
        <v/>
      </c>
      <c r="N992" s="28">
        <f>IFERROR(INDEX(MgAmenDegD,MATCH(SUBSTITUTE($H992,"*","-"),MgAmenClave,0)),"No aplica")</f>
        <v/>
      </c>
      <c r="O992" s="28">
        <f>IFERROR(INDEX(MgAmenDegI,MATCH(SUBSTITUTE($H992,"*","-"),MgAmenClave,0)),"No aplica")</f>
        <v/>
      </c>
      <c r="P992" s="28">
        <f>IFERROR(INDEX(MgAmenDegC,MATCH(SUBSTITUTE($H992,"*","-"),MgAmenClave,0)),"No aplica")</f>
        <v/>
      </c>
      <c r="Q992" s="29">
        <f>IFERROR(VLOOKUP(K992,MgValor,2,0)*VLOOKUP(N992,MgDeg,2,0),0)</f>
        <v/>
      </c>
      <c r="R992" s="29">
        <f>IFERROR(VLOOKUP(L992,MgValor,2,0)*VLOOKUP(O992,MgDeg,2,0),0)</f>
        <v/>
      </c>
      <c r="S992" s="29">
        <f>IFERROR(VLOOKUP(M992,MgValor,2,0)*VLOOKUP(P992,MgDeg,2,0),0)</f>
        <v/>
      </c>
      <c r="T992" s="30">
        <f>MAX(Q992:S992)</f>
        <v/>
      </c>
      <c r="U992" s="28">
        <f>IFERROR(LOOKUP(T992,{0;0.5;1.5;3;4.5},{"Despreciable";"Bajo";"Medio";"Alto";"Muy alto"}),"")</f>
        <v/>
      </c>
      <c r="V992" s="13">
        <f>IFERROR(INDEX(MgAmenFrec,MATCH(SUBSTITUTE($H992,"*","-"),MgAmenClave,0)),"")</f>
        <v/>
      </c>
      <c r="W992" s="28">
        <f>IFERROR(LOOKUP(X992,{0;0.01;0.1;1;10;100},{"Muy baja";"Muy baja";"Baja";"Media";"Alta";"Muy alta"}),"")</f>
        <v/>
      </c>
      <c r="X992" s="31">
        <f>IFERROR(VLOOKUP(V992,MgFrec,2,0),0)</f>
        <v/>
      </c>
      <c r="Y992" s="30">
        <f>T992*X992</f>
        <v/>
      </c>
      <c r="Z992" s="28">
        <f>IFERROR(LOOKUP(Y992,{0;0.5;5;25},{"Bajo";"Medio";"Alto";"Crítico"}),"")</f>
        <v/>
      </c>
      <c r="AA992" s="64">
        <f>IF(T992&gt;=3,IF(X992&gt;=1,"Zona 1 — Crítica: impacto alto y ocurre al menos una vez al año","Zona 4 — Catastrófica poco probable: impacto alto pero excepcional"),IF(AND(T992&lt;1.5,X992&lt;1),"Zona 3 — Asumible: impacto bajo y muy poco frecuente","Zona 2 — Atención: riesgo intermedio"))</f>
        <v/>
      </c>
      <c r="AB992" s="64">
        <f>IFERROR(INDEX(MgAmenCtrl,MATCH(SUBSTITUTE($H992,"*","-"),MgAmenClave,0)),"")</f>
        <v/>
      </c>
      <c r="AC992" s="20" t="n"/>
      <c r="AD992" s="31">
        <f>IFERROR($X992*(1-IF($AC992="",$AL992,VLOOKUP($AC992,MgMad,2,0))),"")</f>
        <v/>
      </c>
      <c r="AE992" s="28">
        <f>IFERROR(LOOKUP(AD992,{0;0.01;0.1;1;10;100},{"Muy baja";"Muy baja";"Baja";"Media";"Alta";"Muy alta"}),"")</f>
        <v/>
      </c>
      <c r="AF992" s="30">
        <f>T992*AD992</f>
        <v/>
      </c>
      <c r="AG992" s="28">
        <f>IFERROR(LOOKUP(AF992,{0;0.5;5;25},{"Bajo";"Medio";"Alto";"Crítico"}),"")</f>
        <v/>
      </c>
      <c r="AH992" s="28">
        <f>IF(AG992="","",IF(OR(AG992="Crítico",AG992="Alto"),"Mitigar",IF(AG992="Medio","Mitigar","Aceptar y monitorear")))</f>
        <v/>
      </c>
      <c r="AI992" s="21" t="n"/>
      <c r="AJ992" s="21" t="n"/>
      <c r="AK992" s="20" t="n"/>
      <c r="AL992" s="77">
        <f>IFERROR(INDEX(MgAmenEfic,MATCH(SUBSTITUTE($H992,"*","-"),MgAmenClave,0)),0)</f>
        <v/>
      </c>
    </row>
    <row r="993" hidden="1" ht="90" customHeight="1" s="54">
      <c r="B993" s="59" t="inlineStr">
        <is>
          <t>R-0988</t>
        </is>
      </c>
      <c r="C993" s="59" t="inlineStr">
        <is>
          <t>GH-055</t>
        </is>
      </c>
      <c r="D993" s="64">
        <f>IFERROR(INDEX(MgNombre,MATCH($C993,MgActId,0)),"")</f>
        <v/>
      </c>
      <c r="E993" s="64">
        <f>IFERROR(INDEX(MgProceso,MATCH($C993,MgActId,0)),"")</f>
        <v/>
      </c>
      <c r="F993" s="64">
        <f>IFERROR(INDEX(MgTipo,MATCH($C993,MgActId,0)),"")</f>
        <v/>
      </c>
      <c r="G993" s="64">
        <f>IFERROR(INDEX(MgSubtipo,MATCH($C993,MgActId,0)),"")</f>
        <v/>
      </c>
      <c r="H993" s="59" t="inlineStr">
        <is>
          <t>A.13</t>
        </is>
      </c>
      <c r="I993" s="64">
        <f>IFERROR(INDEX(MgAmenNombre,MATCH(SUBSTITUTE($H993,"*","-"),MgAmenClave,0)),"")</f>
        <v/>
      </c>
      <c r="J993" s="28">
        <f>IFERROR(INDEX(MgAmenGrupo,MATCH(SUBSTITUTE($H993,"*","-"),MgAmenClave,0)),"")</f>
        <v/>
      </c>
      <c r="K993" s="64">
        <f>IFERROR(INDEX('1. Matriz de Activos'!$Q$6:$Q$239,MATCH($C993,MgActId,0)),"")</f>
        <v/>
      </c>
      <c r="L993" s="64">
        <f>IFERROR(INDEX('1. Matriz de Activos'!$R$6:$R$239,MATCH($C993,MgActId,0)),"")</f>
        <v/>
      </c>
      <c r="M993" s="64">
        <f>IFERROR(INDEX('1. Matriz de Activos'!$S$6:$S$239,MATCH($C993,MgActId,0)),"")</f>
        <v/>
      </c>
      <c r="N993" s="28">
        <f>IFERROR(INDEX(MgAmenDegD,MATCH(SUBSTITUTE($H993,"*","-"),MgAmenClave,0)),"No aplica")</f>
        <v/>
      </c>
      <c r="O993" s="28">
        <f>IFERROR(INDEX(MgAmenDegI,MATCH(SUBSTITUTE($H993,"*","-"),MgAmenClave,0)),"No aplica")</f>
        <v/>
      </c>
      <c r="P993" s="28">
        <f>IFERROR(INDEX(MgAmenDegC,MATCH(SUBSTITUTE($H993,"*","-"),MgAmenClave,0)),"No aplica")</f>
        <v/>
      </c>
      <c r="Q993" s="29">
        <f>IFERROR(VLOOKUP(K993,MgValor,2,0)*VLOOKUP(N993,MgDeg,2,0),0)</f>
        <v/>
      </c>
      <c r="R993" s="29">
        <f>IFERROR(VLOOKUP(L993,MgValor,2,0)*VLOOKUP(O993,MgDeg,2,0),0)</f>
        <v/>
      </c>
      <c r="S993" s="29">
        <f>IFERROR(VLOOKUP(M993,MgValor,2,0)*VLOOKUP(P993,MgDeg,2,0),0)</f>
        <v/>
      </c>
      <c r="T993" s="30">
        <f>MAX(Q993:S993)</f>
        <v/>
      </c>
      <c r="U993" s="28">
        <f>IFERROR(LOOKUP(T993,{0;0.5;1.5;3;4.5},{"Despreciable";"Bajo";"Medio";"Alto";"Muy alto"}),"")</f>
        <v/>
      </c>
      <c r="V993" s="13">
        <f>IFERROR(INDEX(MgAmenFrec,MATCH(SUBSTITUTE($H993,"*","-"),MgAmenClave,0)),"")</f>
        <v/>
      </c>
      <c r="W993" s="28">
        <f>IFERROR(LOOKUP(X993,{0;0.01;0.1;1;10;100},{"Muy baja";"Muy baja";"Baja";"Media";"Alta";"Muy alta"}),"")</f>
        <v/>
      </c>
      <c r="X993" s="31">
        <f>IFERROR(VLOOKUP(V993,MgFrec,2,0),0)</f>
        <v/>
      </c>
      <c r="Y993" s="30">
        <f>T993*X993</f>
        <v/>
      </c>
      <c r="Z993" s="28">
        <f>IFERROR(LOOKUP(Y993,{0;0.5;5;25},{"Bajo";"Medio";"Alto";"Crítico"}),"")</f>
        <v/>
      </c>
      <c r="AA993" s="64">
        <f>IF(T993&gt;=3,IF(X993&gt;=1,"Zona 1 — Crítica: impacto alto y ocurre al menos una vez al año","Zona 4 — Catastrófica poco probable: impacto alto pero excepcional"),IF(AND(T993&lt;1.5,X993&lt;1),"Zona 3 — Asumible: impacto bajo y muy poco frecuente","Zona 2 — Atención: riesgo intermedio"))</f>
        <v/>
      </c>
      <c r="AB993" s="64">
        <f>IFERROR(INDEX(MgAmenCtrl,MATCH(SUBSTITUTE($H993,"*","-"),MgAmenClave,0)),"")</f>
        <v/>
      </c>
      <c r="AC993" s="20" t="n"/>
      <c r="AD993" s="31">
        <f>IFERROR($X993*(1-IF($AC993="",$AL993,VLOOKUP($AC993,MgMad,2,0))),"")</f>
        <v/>
      </c>
      <c r="AE993" s="28">
        <f>IFERROR(LOOKUP(AD993,{0;0.01;0.1;1;10;100},{"Muy baja";"Muy baja";"Baja";"Media";"Alta";"Muy alta"}),"")</f>
        <v/>
      </c>
      <c r="AF993" s="30">
        <f>T993*AD993</f>
        <v/>
      </c>
      <c r="AG993" s="28">
        <f>IFERROR(LOOKUP(AF993,{0;0.5;5;25},{"Bajo";"Medio";"Alto";"Crítico"}),"")</f>
        <v/>
      </c>
      <c r="AH993" s="28">
        <f>IF(AG993="","",IF(OR(AG993="Crítico",AG993="Alto"),"Mitigar",IF(AG993="Medio","Mitigar","Aceptar y monitorear")))</f>
        <v/>
      </c>
      <c r="AI993" s="21" t="n"/>
      <c r="AJ993" s="21" t="n"/>
      <c r="AK993" s="20" t="n"/>
      <c r="AL993" s="77">
        <f>IFERROR(INDEX(MgAmenEfic,MATCH(SUBSTITUTE($H993,"*","-"),MgAmenClave,0)),0)</f>
        <v/>
      </c>
    </row>
    <row r="994" hidden="1" ht="60" customHeight="1" s="54">
      <c r="B994" s="59" t="inlineStr">
        <is>
          <t>R-0989</t>
        </is>
      </c>
      <c r="C994" s="59" t="inlineStr">
        <is>
          <t>GH-055</t>
        </is>
      </c>
      <c r="D994" s="64">
        <f>IFERROR(INDEX(MgNombre,MATCH($C994,MgActId,0)),"")</f>
        <v/>
      </c>
      <c r="E994" s="64">
        <f>IFERROR(INDEX(MgProceso,MATCH($C994,MgActId,0)),"")</f>
        <v/>
      </c>
      <c r="F994" s="64">
        <f>IFERROR(INDEX(MgTipo,MATCH($C994,MgActId,0)),"")</f>
        <v/>
      </c>
      <c r="G994" s="64">
        <f>IFERROR(INDEX(MgSubtipo,MATCH($C994,MgActId,0)),"")</f>
        <v/>
      </c>
      <c r="H994" s="59" t="inlineStr">
        <is>
          <t>A.15</t>
        </is>
      </c>
      <c r="I994" s="64">
        <f>IFERROR(INDEX(MgAmenNombre,MATCH(SUBSTITUTE($H994,"*","-"),MgAmenClave,0)),"")</f>
        <v/>
      </c>
      <c r="J994" s="28">
        <f>IFERROR(INDEX(MgAmenGrupo,MATCH(SUBSTITUTE($H994,"*","-"),MgAmenClave,0)),"")</f>
        <v/>
      </c>
      <c r="K994" s="64">
        <f>IFERROR(INDEX('1. Matriz de Activos'!$Q$6:$Q$239,MATCH($C994,MgActId,0)),"")</f>
        <v/>
      </c>
      <c r="L994" s="64">
        <f>IFERROR(INDEX('1. Matriz de Activos'!$R$6:$R$239,MATCH($C994,MgActId,0)),"")</f>
        <v/>
      </c>
      <c r="M994" s="64">
        <f>IFERROR(INDEX('1. Matriz de Activos'!$S$6:$S$239,MATCH($C994,MgActId,0)),"")</f>
        <v/>
      </c>
      <c r="N994" s="28">
        <f>IFERROR(INDEX(MgAmenDegD,MATCH(SUBSTITUTE($H994,"*","-"),MgAmenClave,0)),"No aplica")</f>
        <v/>
      </c>
      <c r="O994" s="28">
        <f>IFERROR(INDEX(MgAmenDegI,MATCH(SUBSTITUTE($H994,"*","-"),MgAmenClave,0)),"No aplica")</f>
        <v/>
      </c>
      <c r="P994" s="28">
        <f>IFERROR(INDEX(MgAmenDegC,MATCH(SUBSTITUTE($H994,"*","-"),MgAmenClave,0)),"No aplica")</f>
        <v/>
      </c>
      <c r="Q994" s="29">
        <f>IFERROR(VLOOKUP(K994,MgValor,2,0)*VLOOKUP(N994,MgDeg,2,0),0)</f>
        <v/>
      </c>
      <c r="R994" s="29">
        <f>IFERROR(VLOOKUP(L994,MgValor,2,0)*VLOOKUP(O994,MgDeg,2,0),0)</f>
        <v/>
      </c>
      <c r="S994" s="29">
        <f>IFERROR(VLOOKUP(M994,MgValor,2,0)*VLOOKUP(P994,MgDeg,2,0),0)</f>
        <v/>
      </c>
      <c r="T994" s="30">
        <f>MAX(Q994:S994)</f>
        <v/>
      </c>
      <c r="U994" s="28">
        <f>IFERROR(LOOKUP(T994,{0;0.5;1.5;3;4.5},{"Despreciable";"Bajo";"Medio";"Alto";"Muy alto"}),"")</f>
        <v/>
      </c>
      <c r="V994" s="13">
        <f>IFERROR(INDEX(MgAmenFrec,MATCH(SUBSTITUTE($H994,"*","-"),MgAmenClave,0)),"")</f>
        <v/>
      </c>
      <c r="W994" s="28">
        <f>IFERROR(LOOKUP(X994,{0;0.01;0.1;1;10;100},{"Muy baja";"Muy baja";"Baja";"Media";"Alta";"Muy alta"}),"")</f>
        <v/>
      </c>
      <c r="X994" s="31">
        <f>IFERROR(VLOOKUP(V994,MgFrec,2,0),0)</f>
        <v/>
      </c>
      <c r="Y994" s="30">
        <f>T994*X994</f>
        <v/>
      </c>
      <c r="Z994" s="28">
        <f>IFERROR(LOOKUP(Y994,{0;0.5;5;25},{"Bajo";"Medio";"Alto";"Crítico"}),"")</f>
        <v/>
      </c>
      <c r="AA994" s="64">
        <f>IF(T994&gt;=3,IF(X994&gt;=1,"Zona 1 — Crítica: impacto alto y ocurre al menos una vez al año","Zona 4 — Catastrófica poco probable: impacto alto pero excepcional"),IF(AND(T994&lt;1.5,X994&lt;1),"Zona 3 — Asumible: impacto bajo y muy poco frecuente","Zona 2 — Atención: riesgo intermedio"))</f>
        <v/>
      </c>
      <c r="AB994" s="64">
        <f>IFERROR(INDEX(MgAmenCtrl,MATCH(SUBSTITUTE($H994,"*","-"),MgAmenClave,0)),"")</f>
        <v/>
      </c>
      <c r="AC994" s="20" t="n"/>
      <c r="AD994" s="31">
        <f>IFERROR($X994*(1-IF($AC994="",$AL994,VLOOKUP($AC994,MgMad,2,0))),"")</f>
        <v/>
      </c>
      <c r="AE994" s="28">
        <f>IFERROR(LOOKUP(AD994,{0;0.01;0.1;1;10;100},{"Muy baja";"Muy baja";"Baja";"Media";"Alta";"Muy alta"}),"")</f>
        <v/>
      </c>
      <c r="AF994" s="30">
        <f>T994*AD994</f>
        <v/>
      </c>
      <c r="AG994" s="28">
        <f>IFERROR(LOOKUP(AF994,{0;0.5;5;25},{"Bajo";"Medio";"Alto";"Crítico"}),"")</f>
        <v/>
      </c>
      <c r="AH994" s="28">
        <f>IF(AG994="","",IF(OR(AG994="Crítico",AG994="Alto"),"Mitigar",IF(AG994="Medio","Mitigar","Aceptar y monitorear")))</f>
        <v/>
      </c>
      <c r="AI994" s="21" t="n"/>
      <c r="AJ994" s="21" t="n"/>
      <c r="AK994" s="20" t="n"/>
      <c r="AL994" s="77">
        <f>IFERROR(INDEX(MgAmenEfic,MATCH(SUBSTITUTE($H994,"*","-"),MgAmenClave,0)),0)</f>
        <v/>
      </c>
    </row>
    <row r="995" hidden="1" ht="60" customHeight="1" s="54">
      <c r="B995" s="59" t="inlineStr">
        <is>
          <t>R-0990</t>
        </is>
      </c>
      <c r="C995" s="59" t="inlineStr">
        <is>
          <t>GH-055</t>
        </is>
      </c>
      <c r="D995" s="64">
        <f>IFERROR(INDEX(MgNombre,MATCH($C995,MgActId,0)),"")</f>
        <v/>
      </c>
      <c r="E995" s="64">
        <f>IFERROR(INDEX(MgProceso,MATCH($C995,MgActId,0)),"")</f>
        <v/>
      </c>
      <c r="F995" s="64">
        <f>IFERROR(INDEX(MgTipo,MATCH($C995,MgActId,0)),"")</f>
        <v/>
      </c>
      <c r="G995" s="64">
        <f>IFERROR(INDEX(MgSubtipo,MATCH($C995,MgActId,0)),"")</f>
        <v/>
      </c>
      <c r="H995" s="59" t="inlineStr">
        <is>
          <t>A.18</t>
        </is>
      </c>
      <c r="I995" s="64">
        <f>IFERROR(INDEX(MgAmenNombre,MATCH(SUBSTITUTE($H995,"*","-"),MgAmenClave,0)),"")</f>
        <v/>
      </c>
      <c r="J995" s="28">
        <f>IFERROR(INDEX(MgAmenGrupo,MATCH(SUBSTITUTE($H995,"*","-"),MgAmenClave,0)),"")</f>
        <v/>
      </c>
      <c r="K995" s="64">
        <f>IFERROR(INDEX('1. Matriz de Activos'!$Q$6:$Q$239,MATCH($C995,MgActId,0)),"")</f>
        <v/>
      </c>
      <c r="L995" s="64">
        <f>IFERROR(INDEX('1. Matriz de Activos'!$R$6:$R$239,MATCH($C995,MgActId,0)),"")</f>
        <v/>
      </c>
      <c r="M995" s="64">
        <f>IFERROR(INDEX('1. Matriz de Activos'!$S$6:$S$239,MATCH($C995,MgActId,0)),"")</f>
        <v/>
      </c>
      <c r="N995" s="28">
        <f>IFERROR(INDEX(MgAmenDegD,MATCH(SUBSTITUTE($H995,"*","-"),MgAmenClave,0)),"No aplica")</f>
        <v/>
      </c>
      <c r="O995" s="28">
        <f>IFERROR(INDEX(MgAmenDegI,MATCH(SUBSTITUTE($H995,"*","-"),MgAmenClave,0)),"No aplica")</f>
        <v/>
      </c>
      <c r="P995" s="28">
        <f>IFERROR(INDEX(MgAmenDegC,MATCH(SUBSTITUTE($H995,"*","-"),MgAmenClave,0)),"No aplica")</f>
        <v/>
      </c>
      <c r="Q995" s="29">
        <f>IFERROR(VLOOKUP(K995,MgValor,2,0)*VLOOKUP(N995,MgDeg,2,0),0)</f>
        <v/>
      </c>
      <c r="R995" s="29">
        <f>IFERROR(VLOOKUP(L995,MgValor,2,0)*VLOOKUP(O995,MgDeg,2,0),0)</f>
        <v/>
      </c>
      <c r="S995" s="29">
        <f>IFERROR(VLOOKUP(M995,MgValor,2,0)*VLOOKUP(P995,MgDeg,2,0),0)</f>
        <v/>
      </c>
      <c r="T995" s="30">
        <f>MAX(Q995:S995)</f>
        <v/>
      </c>
      <c r="U995" s="28">
        <f>IFERROR(LOOKUP(T995,{0;0.5;1.5;3;4.5},{"Despreciable";"Bajo";"Medio";"Alto";"Muy alto"}),"")</f>
        <v/>
      </c>
      <c r="V995" s="13">
        <f>IFERROR(INDEX(MgAmenFrec,MATCH(SUBSTITUTE($H995,"*","-"),MgAmenClave,0)),"")</f>
        <v/>
      </c>
      <c r="W995" s="28">
        <f>IFERROR(LOOKUP(X995,{0;0.01;0.1;1;10;100},{"Muy baja";"Muy baja";"Baja";"Media";"Alta";"Muy alta"}),"")</f>
        <v/>
      </c>
      <c r="X995" s="31">
        <f>IFERROR(VLOOKUP(V995,MgFrec,2,0),0)</f>
        <v/>
      </c>
      <c r="Y995" s="30">
        <f>T995*X995</f>
        <v/>
      </c>
      <c r="Z995" s="28">
        <f>IFERROR(LOOKUP(Y995,{0;0.5;5;25},{"Bajo";"Medio";"Alto";"Crítico"}),"")</f>
        <v/>
      </c>
      <c r="AA995" s="64">
        <f>IF(T995&gt;=3,IF(X995&gt;=1,"Zona 1 — Crítica: impacto alto y ocurre al menos una vez al año","Zona 4 — Catastrófica poco probable: impacto alto pero excepcional"),IF(AND(T995&lt;1.5,X995&lt;1),"Zona 3 — Asumible: impacto bajo y muy poco frecuente","Zona 2 — Atención: riesgo intermedio"))</f>
        <v/>
      </c>
      <c r="AB995" s="64">
        <f>IFERROR(INDEX(MgAmenCtrl,MATCH(SUBSTITUTE($H995,"*","-"),MgAmenClave,0)),"")</f>
        <v/>
      </c>
      <c r="AC995" s="20" t="n"/>
      <c r="AD995" s="31">
        <f>IFERROR($X995*(1-IF($AC995="",$AL995,VLOOKUP($AC995,MgMad,2,0))),"")</f>
        <v/>
      </c>
      <c r="AE995" s="28">
        <f>IFERROR(LOOKUP(AD995,{0;0.01;0.1;1;10;100},{"Muy baja";"Muy baja";"Baja";"Media";"Alta";"Muy alta"}),"")</f>
        <v/>
      </c>
      <c r="AF995" s="30">
        <f>T995*AD995</f>
        <v/>
      </c>
      <c r="AG995" s="28">
        <f>IFERROR(LOOKUP(AF995,{0;0.5;5;25},{"Bajo";"Medio";"Alto";"Crítico"}),"")</f>
        <v/>
      </c>
      <c r="AH995" s="28">
        <f>IF(AG995="","",IF(OR(AG995="Crítico",AG995="Alto"),"Mitigar",IF(AG995="Medio","Mitigar","Aceptar y monitorear")))</f>
        <v/>
      </c>
      <c r="AI995" s="21" t="n"/>
      <c r="AJ995" s="21" t="n"/>
      <c r="AK995" s="20" t="n"/>
      <c r="AL995" s="77">
        <f>IFERROR(INDEX(MgAmenEfic,MATCH(SUBSTITUTE($H995,"*","-"),MgAmenClave,0)),0)</f>
        <v/>
      </c>
    </row>
    <row r="996" hidden="1" ht="120" customHeight="1" s="54">
      <c r="B996" s="59" t="inlineStr">
        <is>
          <t>R-0991</t>
        </is>
      </c>
      <c r="C996" s="59" t="inlineStr">
        <is>
          <t>GH-055</t>
        </is>
      </c>
      <c r="D996" s="64">
        <f>IFERROR(INDEX(MgNombre,MATCH($C996,MgActId,0)),"")</f>
        <v/>
      </c>
      <c r="E996" s="64">
        <f>IFERROR(INDEX(MgProceso,MATCH($C996,MgActId,0)),"")</f>
        <v/>
      </c>
      <c r="F996" s="64">
        <f>IFERROR(INDEX(MgTipo,MATCH($C996,MgActId,0)),"")</f>
        <v/>
      </c>
      <c r="G996" s="64">
        <f>IFERROR(INDEX(MgSubtipo,MATCH($C996,MgActId,0)),"")</f>
        <v/>
      </c>
      <c r="H996" s="59" t="inlineStr">
        <is>
          <t>A.19</t>
        </is>
      </c>
      <c r="I996" s="64">
        <f>IFERROR(INDEX(MgAmenNombre,MATCH(SUBSTITUTE($H996,"*","-"),MgAmenClave,0)),"")</f>
        <v/>
      </c>
      <c r="J996" s="28">
        <f>IFERROR(INDEX(MgAmenGrupo,MATCH(SUBSTITUTE($H996,"*","-"),MgAmenClave,0)),"")</f>
        <v/>
      </c>
      <c r="K996" s="64">
        <f>IFERROR(INDEX('1. Matriz de Activos'!$Q$6:$Q$239,MATCH($C996,MgActId,0)),"")</f>
        <v/>
      </c>
      <c r="L996" s="64">
        <f>IFERROR(INDEX('1. Matriz de Activos'!$R$6:$R$239,MATCH($C996,MgActId,0)),"")</f>
        <v/>
      </c>
      <c r="M996" s="64">
        <f>IFERROR(INDEX('1. Matriz de Activos'!$S$6:$S$239,MATCH($C996,MgActId,0)),"")</f>
        <v/>
      </c>
      <c r="N996" s="28">
        <f>IFERROR(INDEX(MgAmenDegD,MATCH(SUBSTITUTE($H996,"*","-"),MgAmenClave,0)),"No aplica")</f>
        <v/>
      </c>
      <c r="O996" s="28">
        <f>IFERROR(INDEX(MgAmenDegI,MATCH(SUBSTITUTE($H996,"*","-"),MgAmenClave,0)),"No aplica")</f>
        <v/>
      </c>
      <c r="P996" s="28">
        <f>IFERROR(INDEX(MgAmenDegC,MATCH(SUBSTITUTE($H996,"*","-"),MgAmenClave,0)),"No aplica")</f>
        <v/>
      </c>
      <c r="Q996" s="29">
        <f>IFERROR(VLOOKUP(K996,MgValor,2,0)*VLOOKUP(N996,MgDeg,2,0),0)</f>
        <v/>
      </c>
      <c r="R996" s="29">
        <f>IFERROR(VLOOKUP(L996,MgValor,2,0)*VLOOKUP(O996,MgDeg,2,0),0)</f>
        <v/>
      </c>
      <c r="S996" s="29">
        <f>IFERROR(VLOOKUP(M996,MgValor,2,0)*VLOOKUP(P996,MgDeg,2,0),0)</f>
        <v/>
      </c>
      <c r="T996" s="30">
        <f>MAX(Q996:S996)</f>
        <v/>
      </c>
      <c r="U996" s="28">
        <f>IFERROR(LOOKUP(T996,{0;0.5;1.5;3;4.5},{"Despreciable";"Bajo";"Medio";"Alto";"Muy alto"}),"")</f>
        <v/>
      </c>
      <c r="V996" s="13">
        <f>IFERROR(INDEX(MgAmenFrec,MATCH(SUBSTITUTE($H996,"*","-"),MgAmenClave,0)),"")</f>
        <v/>
      </c>
      <c r="W996" s="28">
        <f>IFERROR(LOOKUP(X996,{0;0.01;0.1;1;10;100},{"Muy baja";"Muy baja";"Baja";"Media";"Alta";"Muy alta"}),"")</f>
        <v/>
      </c>
      <c r="X996" s="31">
        <f>IFERROR(VLOOKUP(V996,MgFrec,2,0),0)</f>
        <v/>
      </c>
      <c r="Y996" s="30">
        <f>T996*X996</f>
        <v/>
      </c>
      <c r="Z996" s="28">
        <f>IFERROR(LOOKUP(Y996,{0;0.5;5;25},{"Bajo";"Medio";"Alto";"Crítico"}),"")</f>
        <v/>
      </c>
      <c r="AA996" s="64">
        <f>IF(T996&gt;=3,IF(X996&gt;=1,"Zona 1 — Crítica: impacto alto y ocurre al menos una vez al año","Zona 4 — Catastrófica poco probable: impacto alto pero excepcional"),IF(AND(T996&lt;1.5,X996&lt;1),"Zona 3 — Asumible: impacto bajo y muy poco frecuente","Zona 2 — Atención: riesgo intermedio"))</f>
        <v/>
      </c>
      <c r="AB996" s="64">
        <f>IFERROR(INDEX(MgAmenCtrl,MATCH(SUBSTITUTE($H996,"*","-"),MgAmenClave,0)),"")</f>
        <v/>
      </c>
      <c r="AC996" s="20" t="n"/>
      <c r="AD996" s="31">
        <f>IFERROR($X996*(1-IF($AC996="",$AL996,VLOOKUP($AC996,MgMad,2,0))),"")</f>
        <v/>
      </c>
      <c r="AE996" s="28">
        <f>IFERROR(LOOKUP(AD996,{0;0.01;0.1;1;10;100},{"Muy baja";"Muy baja";"Baja";"Media";"Alta";"Muy alta"}),"")</f>
        <v/>
      </c>
      <c r="AF996" s="30">
        <f>T996*AD996</f>
        <v/>
      </c>
      <c r="AG996" s="28">
        <f>IFERROR(LOOKUP(AF996,{0;0.5;5;25},{"Bajo";"Medio";"Alto";"Crítico"}),"")</f>
        <v/>
      </c>
      <c r="AH996" s="28">
        <f>IF(AG996="","",IF(OR(AG996="Crítico",AG996="Alto"),"Mitigar",IF(AG996="Medio","Mitigar","Aceptar y monitorear")))</f>
        <v/>
      </c>
      <c r="AI996" s="21" t="n"/>
      <c r="AJ996" s="21" t="n"/>
      <c r="AK996" s="20" t="n"/>
      <c r="AL996" s="77">
        <f>IFERROR(INDEX(MgAmenEfic,MATCH(SUBSTITUTE($H996,"*","-"),MgAmenClave,0)),0)</f>
        <v/>
      </c>
    </row>
    <row r="997" hidden="1" ht="105" customHeight="1" s="54">
      <c r="B997" s="59" t="inlineStr">
        <is>
          <t>R-0992</t>
        </is>
      </c>
      <c r="C997" s="59" t="inlineStr">
        <is>
          <t>GH-037</t>
        </is>
      </c>
      <c r="D997" s="64">
        <f>IFERROR(INDEX(MgNombre,MATCH($C997,MgActId,0)),"")</f>
        <v/>
      </c>
      <c r="E997" s="64">
        <f>IFERROR(INDEX(MgProceso,MATCH($C997,MgActId,0)),"")</f>
        <v/>
      </c>
      <c r="F997" s="64">
        <f>IFERROR(INDEX(MgTipo,MATCH($C997,MgActId,0)),"")</f>
        <v/>
      </c>
      <c r="G997" s="64">
        <f>IFERROR(INDEX(MgSubtipo,MATCH($C997,MgActId,0)),"")</f>
        <v/>
      </c>
      <c r="H997" s="59" t="inlineStr">
        <is>
          <t>E.1</t>
        </is>
      </c>
      <c r="I997" s="64">
        <f>IFERROR(INDEX(MgAmenNombre,MATCH(SUBSTITUTE($H997,"*","-"),MgAmenClave,0)),"")</f>
        <v/>
      </c>
      <c r="J997" s="28">
        <f>IFERROR(INDEX(MgAmenGrupo,MATCH(SUBSTITUTE($H997,"*","-"),MgAmenClave,0)),"")</f>
        <v/>
      </c>
      <c r="K997" s="64">
        <f>IFERROR(INDEX('1. Matriz de Activos'!$Q$6:$Q$239,MATCH($C997,MgActId,0)),"")</f>
        <v/>
      </c>
      <c r="L997" s="64">
        <f>IFERROR(INDEX('1. Matriz de Activos'!$R$6:$R$239,MATCH($C997,MgActId,0)),"")</f>
        <v/>
      </c>
      <c r="M997" s="64">
        <f>IFERROR(INDEX('1. Matriz de Activos'!$S$6:$S$239,MATCH($C997,MgActId,0)),"")</f>
        <v/>
      </c>
      <c r="N997" s="28">
        <f>IFERROR(INDEX(MgAmenDegD,MATCH(SUBSTITUTE($H997,"*","-"),MgAmenClave,0)),"No aplica")</f>
        <v/>
      </c>
      <c r="O997" s="28">
        <f>IFERROR(INDEX(MgAmenDegI,MATCH(SUBSTITUTE($H997,"*","-"),MgAmenClave,0)),"No aplica")</f>
        <v/>
      </c>
      <c r="P997" s="28">
        <f>IFERROR(INDEX(MgAmenDegC,MATCH(SUBSTITUTE($H997,"*","-"),MgAmenClave,0)),"No aplica")</f>
        <v/>
      </c>
      <c r="Q997" s="29">
        <f>IFERROR(VLOOKUP(K997,MgValor,2,0)*VLOOKUP(N997,MgDeg,2,0),0)</f>
        <v/>
      </c>
      <c r="R997" s="29">
        <f>IFERROR(VLOOKUP(L997,MgValor,2,0)*VLOOKUP(O997,MgDeg,2,0),0)</f>
        <v/>
      </c>
      <c r="S997" s="29">
        <f>IFERROR(VLOOKUP(M997,MgValor,2,0)*VLOOKUP(P997,MgDeg,2,0),0)</f>
        <v/>
      </c>
      <c r="T997" s="30">
        <f>MAX(Q997:S997)</f>
        <v/>
      </c>
      <c r="U997" s="28">
        <f>IFERROR(LOOKUP(T997,{0;0.5;1.5;3;4.5},{"Despreciable";"Bajo";"Medio";"Alto";"Muy alto"}),"")</f>
        <v/>
      </c>
      <c r="V997" s="13">
        <f>IFERROR(INDEX(MgAmenFrec,MATCH(SUBSTITUTE($H997,"*","-"),MgAmenClave,0)),"")</f>
        <v/>
      </c>
      <c r="W997" s="28">
        <f>IFERROR(LOOKUP(X997,{0;0.01;0.1;1;10;100},{"Muy baja";"Muy baja";"Baja";"Media";"Alta";"Muy alta"}),"")</f>
        <v/>
      </c>
      <c r="X997" s="31">
        <f>IFERROR(VLOOKUP(V997,MgFrec,2,0),0)</f>
        <v/>
      </c>
      <c r="Y997" s="30">
        <f>T997*X997</f>
        <v/>
      </c>
      <c r="Z997" s="28">
        <f>IFERROR(LOOKUP(Y997,{0;0.5;5;25},{"Bajo";"Medio";"Alto";"Crítico"}),"")</f>
        <v/>
      </c>
      <c r="AA997" s="64">
        <f>IF(T997&gt;=3,IF(X997&gt;=1,"Zona 1 — Crítica: impacto alto y ocurre al menos una vez al año","Zona 4 — Catastrófica poco probable: impacto alto pero excepcional"),IF(AND(T997&lt;1.5,X997&lt;1),"Zona 3 — Asumible: impacto bajo y muy poco frecuente","Zona 2 — Atención: riesgo intermedio"))</f>
        <v/>
      </c>
      <c r="AB997" s="64">
        <f>IFERROR(INDEX(MgAmenCtrl,MATCH(SUBSTITUTE($H997,"*","-"),MgAmenClave,0)),"")</f>
        <v/>
      </c>
      <c r="AC997" s="20" t="n"/>
      <c r="AD997" s="31">
        <f>IFERROR($X997*(1-IF($AC997="",$AL997,VLOOKUP($AC997,MgMad,2,0))),"")</f>
        <v/>
      </c>
      <c r="AE997" s="28">
        <f>IFERROR(LOOKUP(AD997,{0;0.01;0.1;1;10;100},{"Muy baja";"Muy baja";"Baja";"Media";"Alta";"Muy alta"}),"")</f>
        <v/>
      </c>
      <c r="AF997" s="30">
        <f>T997*AD997</f>
        <v/>
      </c>
      <c r="AG997" s="28">
        <f>IFERROR(LOOKUP(AF997,{0;0.5;5;25},{"Bajo";"Medio";"Alto";"Crítico"}),"")</f>
        <v/>
      </c>
      <c r="AH997" s="28">
        <f>IF(AG997="","",IF(OR(AG997="Crítico",AG997="Alto"),"Mitigar",IF(AG997="Medio","Mitigar","Aceptar y monitorear")))</f>
        <v/>
      </c>
      <c r="AI997" s="21" t="n"/>
      <c r="AJ997" s="21" t="n"/>
      <c r="AK997" s="20" t="n"/>
      <c r="AL997" s="77">
        <f>IFERROR(INDEX(MgAmenEfic,MATCH(SUBSTITUTE($H997,"*","-"),MgAmenClave,0)),0)</f>
        <v/>
      </c>
    </row>
    <row r="998" hidden="1" ht="120" customHeight="1" s="54">
      <c r="B998" s="59" t="inlineStr">
        <is>
          <t>R-0993</t>
        </is>
      </c>
      <c r="C998" s="59" t="inlineStr">
        <is>
          <t>GH-037</t>
        </is>
      </c>
      <c r="D998" s="64">
        <f>IFERROR(INDEX(MgNombre,MATCH($C998,MgActId,0)),"")</f>
        <v/>
      </c>
      <c r="E998" s="64">
        <f>IFERROR(INDEX(MgProceso,MATCH($C998,MgActId,0)),"")</f>
        <v/>
      </c>
      <c r="F998" s="64">
        <f>IFERROR(INDEX(MgTipo,MATCH($C998,MgActId,0)),"")</f>
        <v/>
      </c>
      <c r="G998" s="64">
        <f>IFERROR(INDEX(MgSubtipo,MATCH($C998,MgActId,0)),"")</f>
        <v/>
      </c>
      <c r="H998" s="59" t="inlineStr">
        <is>
          <t>E.2</t>
        </is>
      </c>
      <c r="I998" s="64">
        <f>IFERROR(INDEX(MgAmenNombre,MATCH(SUBSTITUTE($H998,"*","-"),MgAmenClave,0)),"")</f>
        <v/>
      </c>
      <c r="J998" s="28">
        <f>IFERROR(INDEX(MgAmenGrupo,MATCH(SUBSTITUTE($H998,"*","-"),MgAmenClave,0)),"")</f>
        <v/>
      </c>
      <c r="K998" s="64">
        <f>IFERROR(INDEX('1. Matriz de Activos'!$Q$6:$Q$239,MATCH($C998,MgActId,0)),"")</f>
        <v/>
      </c>
      <c r="L998" s="64">
        <f>IFERROR(INDEX('1. Matriz de Activos'!$R$6:$R$239,MATCH($C998,MgActId,0)),"")</f>
        <v/>
      </c>
      <c r="M998" s="64">
        <f>IFERROR(INDEX('1. Matriz de Activos'!$S$6:$S$239,MATCH($C998,MgActId,0)),"")</f>
        <v/>
      </c>
      <c r="N998" s="28">
        <f>IFERROR(INDEX(MgAmenDegD,MATCH(SUBSTITUTE($H998,"*","-"),MgAmenClave,0)),"No aplica")</f>
        <v/>
      </c>
      <c r="O998" s="28">
        <f>IFERROR(INDEX(MgAmenDegI,MATCH(SUBSTITUTE($H998,"*","-"),MgAmenClave,0)),"No aplica")</f>
        <v/>
      </c>
      <c r="P998" s="28">
        <f>IFERROR(INDEX(MgAmenDegC,MATCH(SUBSTITUTE($H998,"*","-"),MgAmenClave,0)),"No aplica")</f>
        <v/>
      </c>
      <c r="Q998" s="29">
        <f>IFERROR(VLOOKUP(K998,MgValor,2,0)*VLOOKUP(N998,MgDeg,2,0),0)</f>
        <v/>
      </c>
      <c r="R998" s="29">
        <f>IFERROR(VLOOKUP(L998,MgValor,2,0)*VLOOKUP(O998,MgDeg,2,0),0)</f>
        <v/>
      </c>
      <c r="S998" s="29">
        <f>IFERROR(VLOOKUP(M998,MgValor,2,0)*VLOOKUP(P998,MgDeg,2,0),0)</f>
        <v/>
      </c>
      <c r="T998" s="30">
        <f>MAX(Q998:S998)</f>
        <v/>
      </c>
      <c r="U998" s="28">
        <f>IFERROR(LOOKUP(T998,{0;0.5;1.5;3;4.5},{"Despreciable";"Bajo";"Medio";"Alto";"Muy alto"}),"")</f>
        <v/>
      </c>
      <c r="V998" s="13">
        <f>IFERROR(INDEX(MgAmenFrec,MATCH(SUBSTITUTE($H998,"*","-"),MgAmenClave,0)),"")</f>
        <v/>
      </c>
      <c r="W998" s="28">
        <f>IFERROR(LOOKUP(X998,{0;0.01;0.1;1;10;100},{"Muy baja";"Muy baja";"Baja";"Media";"Alta";"Muy alta"}),"")</f>
        <v/>
      </c>
      <c r="X998" s="31">
        <f>IFERROR(VLOOKUP(V998,MgFrec,2,0),0)</f>
        <v/>
      </c>
      <c r="Y998" s="30">
        <f>T998*X998</f>
        <v/>
      </c>
      <c r="Z998" s="28">
        <f>IFERROR(LOOKUP(Y998,{0;0.5;5;25},{"Bajo";"Medio";"Alto";"Crítico"}),"")</f>
        <v/>
      </c>
      <c r="AA998" s="64">
        <f>IF(T998&gt;=3,IF(X998&gt;=1,"Zona 1 — Crítica: impacto alto y ocurre al menos una vez al año","Zona 4 — Catastrófica poco probable: impacto alto pero excepcional"),IF(AND(T998&lt;1.5,X998&lt;1),"Zona 3 — Asumible: impacto bajo y muy poco frecuente","Zona 2 — Atención: riesgo intermedio"))</f>
        <v/>
      </c>
      <c r="AB998" s="64">
        <f>IFERROR(INDEX(MgAmenCtrl,MATCH(SUBSTITUTE($H998,"*","-"),MgAmenClave,0)),"")</f>
        <v/>
      </c>
      <c r="AC998" s="20" t="n"/>
      <c r="AD998" s="31">
        <f>IFERROR($X998*(1-IF($AC998="",$AL998,VLOOKUP($AC998,MgMad,2,0))),"")</f>
        <v/>
      </c>
      <c r="AE998" s="28">
        <f>IFERROR(LOOKUP(AD998,{0;0.01;0.1;1;10;100},{"Muy baja";"Muy baja";"Baja";"Media";"Alta";"Muy alta"}),"")</f>
        <v/>
      </c>
      <c r="AF998" s="30">
        <f>T998*AD998</f>
        <v/>
      </c>
      <c r="AG998" s="28">
        <f>IFERROR(LOOKUP(AF998,{0;0.5;5;25},{"Bajo";"Medio";"Alto";"Crítico"}),"")</f>
        <v/>
      </c>
      <c r="AH998" s="28">
        <f>IF(AG998="","",IF(OR(AG998="Crítico",AG998="Alto"),"Mitigar",IF(AG998="Medio","Mitigar","Aceptar y monitorear")))</f>
        <v/>
      </c>
      <c r="AI998" s="21" t="n"/>
      <c r="AJ998" s="21" t="n"/>
      <c r="AK998" s="20" t="n"/>
      <c r="AL998" s="77">
        <f>IFERROR(INDEX(MgAmenEfic,MATCH(SUBSTITUTE($H998,"*","-"),MgAmenClave,0)),0)</f>
        <v/>
      </c>
    </row>
    <row r="999" hidden="1" ht="75" customHeight="1" s="54">
      <c r="B999" s="59" t="inlineStr">
        <is>
          <t>R-0994</t>
        </is>
      </c>
      <c r="C999" s="59" t="inlineStr">
        <is>
          <t>GH-037</t>
        </is>
      </c>
      <c r="D999" s="64">
        <f>IFERROR(INDEX(MgNombre,MATCH($C999,MgActId,0)),"")</f>
        <v/>
      </c>
      <c r="E999" s="64">
        <f>IFERROR(INDEX(MgProceso,MATCH($C999,MgActId,0)),"")</f>
        <v/>
      </c>
      <c r="F999" s="64">
        <f>IFERROR(INDEX(MgTipo,MATCH($C999,MgActId,0)),"")</f>
        <v/>
      </c>
      <c r="G999" s="64">
        <f>IFERROR(INDEX(MgSubtipo,MATCH($C999,MgActId,0)),"")</f>
        <v/>
      </c>
      <c r="H999" s="59" t="inlineStr">
        <is>
          <t>E.3</t>
        </is>
      </c>
      <c r="I999" s="64">
        <f>IFERROR(INDEX(MgAmenNombre,MATCH(SUBSTITUTE($H999,"*","-"),MgAmenClave,0)),"")</f>
        <v/>
      </c>
      <c r="J999" s="28">
        <f>IFERROR(INDEX(MgAmenGrupo,MATCH(SUBSTITUTE($H999,"*","-"),MgAmenClave,0)),"")</f>
        <v/>
      </c>
      <c r="K999" s="64">
        <f>IFERROR(INDEX('1. Matriz de Activos'!$Q$6:$Q$239,MATCH($C999,MgActId,0)),"")</f>
        <v/>
      </c>
      <c r="L999" s="64">
        <f>IFERROR(INDEX('1. Matriz de Activos'!$R$6:$R$239,MATCH($C999,MgActId,0)),"")</f>
        <v/>
      </c>
      <c r="M999" s="64">
        <f>IFERROR(INDEX('1. Matriz de Activos'!$S$6:$S$239,MATCH($C999,MgActId,0)),"")</f>
        <v/>
      </c>
      <c r="N999" s="28">
        <f>IFERROR(INDEX(MgAmenDegD,MATCH(SUBSTITUTE($H999,"*","-"),MgAmenClave,0)),"No aplica")</f>
        <v/>
      </c>
      <c r="O999" s="28">
        <f>IFERROR(INDEX(MgAmenDegI,MATCH(SUBSTITUTE($H999,"*","-"),MgAmenClave,0)),"No aplica")</f>
        <v/>
      </c>
      <c r="P999" s="28">
        <f>IFERROR(INDEX(MgAmenDegC,MATCH(SUBSTITUTE($H999,"*","-"),MgAmenClave,0)),"No aplica")</f>
        <v/>
      </c>
      <c r="Q999" s="29">
        <f>IFERROR(VLOOKUP(K999,MgValor,2,0)*VLOOKUP(N999,MgDeg,2,0),0)</f>
        <v/>
      </c>
      <c r="R999" s="29">
        <f>IFERROR(VLOOKUP(L999,MgValor,2,0)*VLOOKUP(O999,MgDeg,2,0),0)</f>
        <v/>
      </c>
      <c r="S999" s="29">
        <f>IFERROR(VLOOKUP(M999,MgValor,2,0)*VLOOKUP(P999,MgDeg,2,0),0)</f>
        <v/>
      </c>
      <c r="T999" s="30">
        <f>MAX(Q999:S999)</f>
        <v/>
      </c>
      <c r="U999" s="28">
        <f>IFERROR(LOOKUP(T999,{0;0.5;1.5;3;4.5},{"Despreciable";"Bajo";"Medio";"Alto";"Muy alto"}),"")</f>
        <v/>
      </c>
      <c r="V999" s="13">
        <f>IFERROR(INDEX(MgAmenFrec,MATCH(SUBSTITUTE($H999,"*","-"),MgAmenClave,0)),"")</f>
        <v/>
      </c>
      <c r="W999" s="28">
        <f>IFERROR(LOOKUP(X999,{0;0.01;0.1;1;10;100},{"Muy baja";"Muy baja";"Baja";"Media";"Alta";"Muy alta"}),"")</f>
        <v/>
      </c>
      <c r="X999" s="31">
        <f>IFERROR(VLOOKUP(V999,MgFrec,2,0),0)</f>
        <v/>
      </c>
      <c r="Y999" s="30">
        <f>T999*X999</f>
        <v/>
      </c>
      <c r="Z999" s="28">
        <f>IFERROR(LOOKUP(Y999,{0;0.5;5;25},{"Bajo";"Medio";"Alto";"Crítico"}),"")</f>
        <v/>
      </c>
      <c r="AA999" s="64">
        <f>IF(T999&gt;=3,IF(X999&gt;=1,"Zona 1 — Crítica: impacto alto y ocurre al menos una vez al año","Zona 4 — Catastrófica poco probable: impacto alto pero excepcional"),IF(AND(T999&lt;1.5,X999&lt;1),"Zona 3 — Asumible: impacto bajo y muy poco frecuente","Zona 2 — Atención: riesgo intermedio"))</f>
        <v/>
      </c>
      <c r="AB999" s="64">
        <f>IFERROR(INDEX(MgAmenCtrl,MATCH(SUBSTITUTE($H999,"*","-"),MgAmenClave,0)),"")</f>
        <v/>
      </c>
      <c r="AC999" s="20" t="n"/>
      <c r="AD999" s="31">
        <f>IFERROR($X999*(1-IF($AC999="",$AL999,VLOOKUP($AC999,MgMad,2,0))),"")</f>
        <v/>
      </c>
      <c r="AE999" s="28">
        <f>IFERROR(LOOKUP(AD999,{0;0.01;0.1;1;10;100},{"Muy baja";"Muy baja";"Baja";"Media";"Alta";"Muy alta"}),"")</f>
        <v/>
      </c>
      <c r="AF999" s="30">
        <f>T999*AD999</f>
        <v/>
      </c>
      <c r="AG999" s="28">
        <f>IFERROR(LOOKUP(AF999,{0;0.5;5;25},{"Bajo";"Medio";"Alto";"Crítico"}),"")</f>
        <v/>
      </c>
      <c r="AH999" s="28">
        <f>IF(AG999="","",IF(OR(AG999="Crítico",AG999="Alto"),"Mitigar",IF(AG999="Medio","Mitigar","Aceptar y monitorear")))</f>
        <v/>
      </c>
      <c r="AI999" s="21" t="n"/>
      <c r="AJ999" s="21" t="n"/>
      <c r="AK999" s="20" t="n"/>
      <c r="AL999" s="77">
        <f>IFERROR(INDEX(MgAmenEfic,MATCH(SUBSTITUTE($H999,"*","-"),MgAmenClave,0)),0)</f>
        <v/>
      </c>
    </row>
    <row r="1000" hidden="1" ht="75" customHeight="1" s="54">
      <c r="B1000" s="59" t="inlineStr">
        <is>
          <t>R-0995</t>
        </is>
      </c>
      <c r="C1000" s="59" t="inlineStr">
        <is>
          <t>GH-037</t>
        </is>
      </c>
      <c r="D1000" s="64">
        <f>IFERROR(INDEX(MgNombre,MATCH($C1000,MgActId,0)),"")</f>
        <v/>
      </c>
      <c r="E1000" s="64">
        <f>IFERROR(INDEX(MgProceso,MATCH($C1000,MgActId,0)),"")</f>
        <v/>
      </c>
      <c r="F1000" s="64">
        <f>IFERROR(INDEX(MgTipo,MATCH($C1000,MgActId,0)),"")</f>
        <v/>
      </c>
      <c r="G1000" s="64">
        <f>IFERROR(INDEX(MgSubtipo,MATCH($C1000,MgActId,0)),"")</f>
        <v/>
      </c>
      <c r="H1000" s="59" t="inlineStr">
        <is>
          <t>E.4</t>
        </is>
      </c>
      <c r="I1000" s="64">
        <f>IFERROR(INDEX(MgAmenNombre,MATCH(SUBSTITUTE($H1000,"*","-"),MgAmenClave,0)),"")</f>
        <v/>
      </c>
      <c r="J1000" s="28">
        <f>IFERROR(INDEX(MgAmenGrupo,MATCH(SUBSTITUTE($H1000,"*","-"),MgAmenClave,0)),"")</f>
        <v/>
      </c>
      <c r="K1000" s="64">
        <f>IFERROR(INDEX('1. Matriz de Activos'!$Q$6:$Q$239,MATCH($C1000,MgActId,0)),"")</f>
        <v/>
      </c>
      <c r="L1000" s="64">
        <f>IFERROR(INDEX('1. Matriz de Activos'!$R$6:$R$239,MATCH($C1000,MgActId,0)),"")</f>
        <v/>
      </c>
      <c r="M1000" s="64">
        <f>IFERROR(INDEX('1. Matriz de Activos'!$S$6:$S$239,MATCH($C1000,MgActId,0)),"")</f>
        <v/>
      </c>
      <c r="N1000" s="28">
        <f>IFERROR(INDEX(MgAmenDegD,MATCH(SUBSTITUTE($H1000,"*","-"),MgAmenClave,0)),"No aplica")</f>
        <v/>
      </c>
      <c r="O1000" s="28">
        <f>IFERROR(INDEX(MgAmenDegI,MATCH(SUBSTITUTE($H1000,"*","-"),MgAmenClave,0)),"No aplica")</f>
        <v/>
      </c>
      <c r="P1000" s="28">
        <f>IFERROR(INDEX(MgAmenDegC,MATCH(SUBSTITUTE($H1000,"*","-"),MgAmenClave,0)),"No aplica")</f>
        <v/>
      </c>
      <c r="Q1000" s="29">
        <f>IFERROR(VLOOKUP(K1000,MgValor,2,0)*VLOOKUP(N1000,MgDeg,2,0),0)</f>
        <v/>
      </c>
      <c r="R1000" s="29">
        <f>IFERROR(VLOOKUP(L1000,MgValor,2,0)*VLOOKUP(O1000,MgDeg,2,0),0)</f>
        <v/>
      </c>
      <c r="S1000" s="29">
        <f>IFERROR(VLOOKUP(M1000,MgValor,2,0)*VLOOKUP(P1000,MgDeg,2,0),0)</f>
        <v/>
      </c>
      <c r="T1000" s="30">
        <f>MAX(Q1000:S1000)</f>
        <v/>
      </c>
      <c r="U1000" s="28">
        <f>IFERROR(LOOKUP(T1000,{0;0.5;1.5;3;4.5},{"Despreciable";"Bajo";"Medio";"Alto";"Muy alto"}),"")</f>
        <v/>
      </c>
      <c r="V1000" s="13">
        <f>IFERROR(INDEX(MgAmenFrec,MATCH(SUBSTITUTE($H1000,"*","-"),MgAmenClave,0)),"")</f>
        <v/>
      </c>
      <c r="W1000" s="28">
        <f>IFERROR(LOOKUP(X1000,{0;0.01;0.1;1;10;100},{"Muy baja";"Muy baja";"Baja";"Media";"Alta";"Muy alta"}),"")</f>
        <v/>
      </c>
      <c r="X1000" s="31">
        <f>IFERROR(VLOOKUP(V1000,MgFrec,2,0),0)</f>
        <v/>
      </c>
      <c r="Y1000" s="30">
        <f>T1000*X1000</f>
        <v/>
      </c>
      <c r="Z1000" s="28">
        <f>IFERROR(LOOKUP(Y1000,{0;0.5;5;25},{"Bajo";"Medio";"Alto";"Crítico"}),"")</f>
        <v/>
      </c>
      <c r="AA1000" s="64">
        <f>IF(T1000&gt;=3,IF(X1000&gt;=1,"Zona 1 — Crítica: impacto alto y ocurre al menos una vez al año","Zona 4 — Catastrófica poco probable: impacto alto pero excepcional"),IF(AND(T1000&lt;1.5,X1000&lt;1),"Zona 3 — Asumible: impacto bajo y muy poco frecuente","Zona 2 — Atención: riesgo intermedio"))</f>
        <v/>
      </c>
      <c r="AB1000" s="64">
        <f>IFERROR(INDEX(MgAmenCtrl,MATCH(SUBSTITUTE($H1000,"*","-"),MgAmenClave,0)),"")</f>
        <v/>
      </c>
      <c r="AC1000" s="20" t="n"/>
      <c r="AD1000" s="31">
        <f>IFERROR($X1000*(1-IF($AC1000="",$AL1000,VLOOKUP($AC1000,MgMad,2,0))),"")</f>
        <v/>
      </c>
      <c r="AE1000" s="28">
        <f>IFERROR(LOOKUP(AD1000,{0;0.01;0.1;1;10;100},{"Muy baja";"Muy baja";"Baja";"Media";"Alta";"Muy alta"}),"")</f>
        <v/>
      </c>
      <c r="AF1000" s="30">
        <f>T1000*AD1000</f>
        <v/>
      </c>
      <c r="AG1000" s="28">
        <f>IFERROR(LOOKUP(AF1000,{0;0.5;5;25},{"Bajo";"Medio";"Alto";"Crítico"}),"")</f>
        <v/>
      </c>
      <c r="AH1000" s="28">
        <f>IF(AG1000="","",IF(OR(AG1000="Crítico",AG1000="Alto"),"Mitigar",IF(AG1000="Medio","Mitigar","Aceptar y monitorear")))</f>
        <v/>
      </c>
      <c r="AI1000" s="21" t="n"/>
      <c r="AJ1000" s="21" t="n"/>
      <c r="AK1000" s="20" t="n"/>
      <c r="AL1000" s="77">
        <f>IFERROR(INDEX(MgAmenEfic,MATCH(SUBSTITUTE($H1000,"*","-"),MgAmenClave,0)),0)</f>
        <v/>
      </c>
    </row>
    <row r="1001" hidden="1" ht="90" customHeight="1" s="54">
      <c r="B1001" s="59" t="inlineStr">
        <is>
          <t>R-0996</t>
        </is>
      </c>
      <c r="C1001" s="59" t="inlineStr">
        <is>
          <t>GH-037</t>
        </is>
      </c>
      <c r="D1001" s="64">
        <f>IFERROR(INDEX(MgNombre,MATCH($C1001,MgActId,0)),"")</f>
        <v/>
      </c>
      <c r="E1001" s="64">
        <f>IFERROR(INDEX(MgProceso,MATCH($C1001,MgActId,0)),"")</f>
        <v/>
      </c>
      <c r="F1001" s="64">
        <f>IFERROR(INDEX(MgTipo,MATCH($C1001,MgActId,0)),"")</f>
        <v/>
      </c>
      <c r="G1001" s="64">
        <f>IFERROR(INDEX(MgSubtipo,MATCH($C1001,MgActId,0)),"")</f>
        <v/>
      </c>
      <c r="H1001" s="59" t="inlineStr">
        <is>
          <t>E.14</t>
        </is>
      </c>
      <c r="I1001" s="64">
        <f>IFERROR(INDEX(MgAmenNombre,MATCH(SUBSTITUTE($H1001,"*","-"),MgAmenClave,0)),"")</f>
        <v/>
      </c>
      <c r="J1001" s="28">
        <f>IFERROR(INDEX(MgAmenGrupo,MATCH(SUBSTITUTE($H1001,"*","-"),MgAmenClave,0)),"")</f>
        <v/>
      </c>
      <c r="K1001" s="64">
        <f>IFERROR(INDEX('1. Matriz de Activos'!$Q$6:$Q$239,MATCH($C1001,MgActId,0)),"")</f>
        <v/>
      </c>
      <c r="L1001" s="64">
        <f>IFERROR(INDEX('1. Matriz de Activos'!$R$6:$R$239,MATCH($C1001,MgActId,0)),"")</f>
        <v/>
      </c>
      <c r="M1001" s="64">
        <f>IFERROR(INDEX('1. Matriz de Activos'!$S$6:$S$239,MATCH($C1001,MgActId,0)),"")</f>
        <v/>
      </c>
      <c r="N1001" s="28">
        <f>IFERROR(INDEX(MgAmenDegD,MATCH(SUBSTITUTE($H1001,"*","-"),MgAmenClave,0)),"No aplica")</f>
        <v/>
      </c>
      <c r="O1001" s="28">
        <f>IFERROR(INDEX(MgAmenDegI,MATCH(SUBSTITUTE($H1001,"*","-"),MgAmenClave,0)),"No aplica")</f>
        <v/>
      </c>
      <c r="P1001" s="28">
        <f>IFERROR(INDEX(MgAmenDegC,MATCH(SUBSTITUTE($H1001,"*","-"),MgAmenClave,0)),"No aplica")</f>
        <v/>
      </c>
      <c r="Q1001" s="29">
        <f>IFERROR(VLOOKUP(K1001,MgValor,2,0)*VLOOKUP(N1001,MgDeg,2,0),0)</f>
        <v/>
      </c>
      <c r="R1001" s="29">
        <f>IFERROR(VLOOKUP(L1001,MgValor,2,0)*VLOOKUP(O1001,MgDeg,2,0),0)</f>
        <v/>
      </c>
      <c r="S1001" s="29">
        <f>IFERROR(VLOOKUP(M1001,MgValor,2,0)*VLOOKUP(P1001,MgDeg,2,0),0)</f>
        <v/>
      </c>
      <c r="T1001" s="30">
        <f>MAX(Q1001:S1001)</f>
        <v/>
      </c>
      <c r="U1001" s="28">
        <f>IFERROR(LOOKUP(T1001,{0;0.5;1.5;3;4.5},{"Despreciable";"Bajo";"Medio";"Alto";"Muy alto"}),"")</f>
        <v/>
      </c>
      <c r="V1001" s="13">
        <f>IFERROR(INDEX(MgAmenFrec,MATCH(SUBSTITUTE($H1001,"*","-"),MgAmenClave,0)),"")</f>
        <v/>
      </c>
      <c r="W1001" s="28">
        <f>IFERROR(LOOKUP(X1001,{0;0.01;0.1;1;10;100},{"Muy baja";"Muy baja";"Baja";"Media";"Alta";"Muy alta"}),"")</f>
        <v/>
      </c>
      <c r="X1001" s="31">
        <f>IFERROR(VLOOKUP(V1001,MgFrec,2,0),0)</f>
        <v/>
      </c>
      <c r="Y1001" s="30">
        <f>T1001*X1001</f>
        <v/>
      </c>
      <c r="Z1001" s="28">
        <f>IFERROR(LOOKUP(Y1001,{0;0.5;5;25},{"Bajo";"Medio";"Alto";"Crítico"}),"")</f>
        <v/>
      </c>
      <c r="AA1001" s="64">
        <f>IF(T1001&gt;=3,IF(X1001&gt;=1,"Zona 1 — Crítica: impacto alto y ocurre al menos una vez al año","Zona 4 — Catastrófica poco probable: impacto alto pero excepcional"),IF(AND(T1001&lt;1.5,X1001&lt;1),"Zona 3 — Asumible: impacto bajo y muy poco frecuente","Zona 2 — Atención: riesgo intermedio"))</f>
        <v/>
      </c>
      <c r="AB1001" s="64">
        <f>IFERROR(INDEX(MgAmenCtrl,MATCH(SUBSTITUTE($H1001,"*","-"),MgAmenClave,0)),"")</f>
        <v/>
      </c>
      <c r="AC1001" s="20" t="n"/>
      <c r="AD1001" s="31">
        <f>IFERROR($X1001*(1-IF($AC1001="",$AL1001,VLOOKUP($AC1001,MgMad,2,0))),"")</f>
        <v/>
      </c>
      <c r="AE1001" s="28">
        <f>IFERROR(LOOKUP(AD1001,{0;0.01;0.1;1;10;100},{"Muy baja";"Muy baja";"Baja";"Media";"Alta";"Muy alta"}),"")</f>
        <v/>
      </c>
      <c r="AF1001" s="30">
        <f>T1001*AD1001</f>
        <v/>
      </c>
      <c r="AG1001" s="28">
        <f>IFERROR(LOOKUP(AF1001,{0;0.5;5;25},{"Bajo";"Medio";"Alto";"Crítico"}),"")</f>
        <v/>
      </c>
      <c r="AH1001" s="28">
        <f>IF(AG1001="","",IF(OR(AG1001="Crítico",AG1001="Alto"),"Mitigar",IF(AG1001="Medio","Mitigar","Aceptar y monitorear")))</f>
        <v/>
      </c>
      <c r="AI1001" s="21" t="n"/>
      <c r="AJ1001" s="21" t="n"/>
      <c r="AK1001" s="20" t="n"/>
      <c r="AL1001" s="77">
        <f>IFERROR(INDEX(MgAmenEfic,MATCH(SUBSTITUTE($H1001,"*","-"),MgAmenClave,0)),0)</f>
        <v/>
      </c>
    </row>
    <row r="1002" hidden="1" ht="90" customHeight="1" s="54">
      <c r="B1002" s="59" t="inlineStr">
        <is>
          <t>R-0997</t>
        </is>
      </c>
      <c r="C1002" s="59" t="inlineStr">
        <is>
          <t>GH-037</t>
        </is>
      </c>
      <c r="D1002" s="64">
        <f>IFERROR(INDEX(MgNombre,MATCH($C1002,MgActId,0)),"")</f>
        <v/>
      </c>
      <c r="E1002" s="64">
        <f>IFERROR(INDEX(MgProceso,MATCH($C1002,MgActId,0)),"")</f>
        <v/>
      </c>
      <c r="F1002" s="64">
        <f>IFERROR(INDEX(MgTipo,MATCH($C1002,MgActId,0)),"")</f>
        <v/>
      </c>
      <c r="G1002" s="64">
        <f>IFERROR(INDEX(MgSubtipo,MATCH($C1002,MgActId,0)),"")</f>
        <v/>
      </c>
      <c r="H1002" s="59" t="inlineStr">
        <is>
          <t>E.15</t>
        </is>
      </c>
      <c r="I1002" s="64">
        <f>IFERROR(INDEX(MgAmenNombre,MATCH(SUBSTITUTE($H1002,"*","-"),MgAmenClave,0)),"")</f>
        <v/>
      </c>
      <c r="J1002" s="28">
        <f>IFERROR(INDEX(MgAmenGrupo,MATCH(SUBSTITUTE($H1002,"*","-"),MgAmenClave,0)),"")</f>
        <v/>
      </c>
      <c r="K1002" s="64">
        <f>IFERROR(INDEX('1. Matriz de Activos'!$Q$6:$Q$239,MATCH($C1002,MgActId,0)),"")</f>
        <v/>
      </c>
      <c r="L1002" s="64">
        <f>IFERROR(INDEX('1. Matriz de Activos'!$R$6:$R$239,MATCH($C1002,MgActId,0)),"")</f>
        <v/>
      </c>
      <c r="M1002" s="64">
        <f>IFERROR(INDEX('1. Matriz de Activos'!$S$6:$S$239,MATCH($C1002,MgActId,0)),"")</f>
        <v/>
      </c>
      <c r="N1002" s="28">
        <f>IFERROR(INDEX(MgAmenDegD,MATCH(SUBSTITUTE($H1002,"*","-"),MgAmenClave,0)),"No aplica")</f>
        <v/>
      </c>
      <c r="O1002" s="28">
        <f>IFERROR(INDEX(MgAmenDegI,MATCH(SUBSTITUTE($H1002,"*","-"),MgAmenClave,0)),"No aplica")</f>
        <v/>
      </c>
      <c r="P1002" s="28">
        <f>IFERROR(INDEX(MgAmenDegC,MATCH(SUBSTITUTE($H1002,"*","-"),MgAmenClave,0)),"No aplica")</f>
        <v/>
      </c>
      <c r="Q1002" s="29">
        <f>IFERROR(VLOOKUP(K1002,MgValor,2,0)*VLOOKUP(N1002,MgDeg,2,0),0)</f>
        <v/>
      </c>
      <c r="R1002" s="29">
        <f>IFERROR(VLOOKUP(L1002,MgValor,2,0)*VLOOKUP(O1002,MgDeg,2,0),0)</f>
        <v/>
      </c>
      <c r="S1002" s="29">
        <f>IFERROR(VLOOKUP(M1002,MgValor,2,0)*VLOOKUP(P1002,MgDeg,2,0),0)</f>
        <v/>
      </c>
      <c r="T1002" s="30">
        <f>MAX(Q1002:S1002)</f>
        <v/>
      </c>
      <c r="U1002" s="28">
        <f>IFERROR(LOOKUP(T1002,{0;0.5;1.5;3;4.5},{"Despreciable";"Bajo";"Medio";"Alto";"Muy alto"}),"")</f>
        <v/>
      </c>
      <c r="V1002" s="13">
        <f>IFERROR(INDEX(MgAmenFrec,MATCH(SUBSTITUTE($H1002,"*","-"),MgAmenClave,0)),"")</f>
        <v/>
      </c>
      <c r="W1002" s="28">
        <f>IFERROR(LOOKUP(X1002,{0;0.01;0.1;1;10;100},{"Muy baja";"Muy baja";"Baja";"Media";"Alta";"Muy alta"}),"")</f>
        <v/>
      </c>
      <c r="X1002" s="31">
        <f>IFERROR(VLOOKUP(V1002,MgFrec,2,0),0)</f>
        <v/>
      </c>
      <c r="Y1002" s="30">
        <f>T1002*X1002</f>
        <v/>
      </c>
      <c r="Z1002" s="28">
        <f>IFERROR(LOOKUP(Y1002,{0;0.5;5;25},{"Bajo";"Medio";"Alto";"Crítico"}),"")</f>
        <v/>
      </c>
      <c r="AA1002" s="64">
        <f>IF(T1002&gt;=3,IF(X1002&gt;=1,"Zona 1 — Crítica: impacto alto y ocurre al menos una vez al año","Zona 4 — Catastrófica poco probable: impacto alto pero excepcional"),IF(AND(T1002&lt;1.5,X1002&lt;1),"Zona 3 — Asumible: impacto bajo y muy poco frecuente","Zona 2 — Atención: riesgo intermedio"))</f>
        <v/>
      </c>
      <c r="AB1002" s="64">
        <f>IFERROR(INDEX(MgAmenCtrl,MATCH(SUBSTITUTE($H1002,"*","-"),MgAmenClave,0)),"")</f>
        <v/>
      </c>
      <c r="AC1002" s="20" t="n"/>
      <c r="AD1002" s="31">
        <f>IFERROR($X1002*(1-IF($AC1002="",$AL1002,VLOOKUP($AC1002,MgMad,2,0))),"")</f>
        <v/>
      </c>
      <c r="AE1002" s="28">
        <f>IFERROR(LOOKUP(AD1002,{0;0.01;0.1;1;10;100},{"Muy baja";"Muy baja";"Baja";"Media";"Alta";"Muy alta"}),"")</f>
        <v/>
      </c>
      <c r="AF1002" s="30">
        <f>T1002*AD1002</f>
        <v/>
      </c>
      <c r="AG1002" s="28">
        <f>IFERROR(LOOKUP(AF1002,{0;0.5;5;25},{"Bajo";"Medio";"Alto";"Crítico"}),"")</f>
        <v/>
      </c>
      <c r="AH1002" s="28">
        <f>IF(AG1002="","",IF(OR(AG1002="Crítico",AG1002="Alto"),"Mitigar",IF(AG1002="Medio","Mitigar","Aceptar y monitorear")))</f>
        <v/>
      </c>
      <c r="AI1002" s="21" t="n"/>
      <c r="AJ1002" s="21" t="n"/>
      <c r="AK1002" s="20" t="n"/>
      <c r="AL1002" s="77">
        <f>IFERROR(INDEX(MgAmenEfic,MATCH(SUBSTITUTE($H1002,"*","-"),MgAmenClave,0)),0)</f>
        <v/>
      </c>
    </row>
    <row r="1003" hidden="1" ht="60" customHeight="1" s="54">
      <c r="B1003" s="59" t="inlineStr">
        <is>
          <t>R-0998</t>
        </is>
      </c>
      <c r="C1003" s="59" t="inlineStr">
        <is>
          <t>GH-037</t>
        </is>
      </c>
      <c r="D1003" s="64">
        <f>IFERROR(INDEX(MgNombre,MATCH($C1003,MgActId,0)),"")</f>
        <v/>
      </c>
      <c r="E1003" s="64">
        <f>IFERROR(INDEX(MgProceso,MATCH($C1003,MgActId,0)),"")</f>
        <v/>
      </c>
      <c r="F1003" s="64">
        <f>IFERROR(INDEX(MgTipo,MATCH($C1003,MgActId,0)),"")</f>
        <v/>
      </c>
      <c r="G1003" s="64">
        <f>IFERROR(INDEX(MgSubtipo,MATCH($C1003,MgActId,0)),"")</f>
        <v/>
      </c>
      <c r="H1003" s="59" t="inlineStr">
        <is>
          <t>E.18</t>
        </is>
      </c>
      <c r="I1003" s="64">
        <f>IFERROR(INDEX(MgAmenNombre,MATCH(SUBSTITUTE($H1003,"*","-"),MgAmenClave,0)),"")</f>
        <v/>
      </c>
      <c r="J1003" s="28">
        <f>IFERROR(INDEX(MgAmenGrupo,MATCH(SUBSTITUTE($H1003,"*","-"),MgAmenClave,0)),"")</f>
        <v/>
      </c>
      <c r="K1003" s="64">
        <f>IFERROR(INDEX('1. Matriz de Activos'!$Q$6:$Q$239,MATCH($C1003,MgActId,0)),"")</f>
        <v/>
      </c>
      <c r="L1003" s="64">
        <f>IFERROR(INDEX('1. Matriz de Activos'!$R$6:$R$239,MATCH($C1003,MgActId,0)),"")</f>
        <v/>
      </c>
      <c r="M1003" s="64">
        <f>IFERROR(INDEX('1. Matriz de Activos'!$S$6:$S$239,MATCH($C1003,MgActId,0)),"")</f>
        <v/>
      </c>
      <c r="N1003" s="28">
        <f>IFERROR(INDEX(MgAmenDegD,MATCH(SUBSTITUTE($H1003,"*","-"),MgAmenClave,0)),"No aplica")</f>
        <v/>
      </c>
      <c r="O1003" s="28">
        <f>IFERROR(INDEX(MgAmenDegI,MATCH(SUBSTITUTE($H1003,"*","-"),MgAmenClave,0)),"No aplica")</f>
        <v/>
      </c>
      <c r="P1003" s="28">
        <f>IFERROR(INDEX(MgAmenDegC,MATCH(SUBSTITUTE($H1003,"*","-"),MgAmenClave,0)),"No aplica")</f>
        <v/>
      </c>
      <c r="Q1003" s="29">
        <f>IFERROR(VLOOKUP(K1003,MgValor,2,0)*VLOOKUP(N1003,MgDeg,2,0),0)</f>
        <v/>
      </c>
      <c r="R1003" s="29">
        <f>IFERROR(VLOOKUP(L1003,MgValor,2,0)*VLOOKUP(O1003,MgDeg,2,0),0)</f>
        <v/>
      </c>
      <c r="S1003" s="29">
        <f>IFERROR(VLOOKUP(M1003,MgValor,2,0)*VLOOKUP(P1003,MgDeg,2,0),0)</f>
        <v/>
      </c>
      <c r="T1003" s="30">
        <f>MAX(Q1003:S1003)</f>
        <v/>
      </c>
      <c r="U1003" s="28">
        <f>IFERROR(LOOKUP(T1003,{0;0.5;1.5;3;4.5},{"Despreciable";"Bajo";"Medio";"Alto";"Muy alto"}),"")</f>
        <v/>
      </c>
      <c r="V1003" s="13">
        <f>IFERROR(INDEX(MgAmenFrec,MATCH(SUBSTITUTE($H1003,"*","-"),MgAmenClave,0)),"")</f>
        <v/>
      </c>
      <c r="W1003" s="28">
        <f>IFERROR(LOOKUP(X1003,{0;0.01;0.1;1;10;100},{"Muy baja";"Muy baja";"Baja";"Media";"Alta";"Muy alta"}),"")</f>
        <v/>
      </c>
      <c r="X1003" s="31">
        <f>IFERROR(VLOOKUP(V1003,MgFrec,2,0),0)</f>
        <v/>
      </c>
      <c r="Y1003" s="30">
        <f>T1003*X1003</f>
        <v/>
      </c>
      <c r="Z1003" s="28">
        <f>IFERROR(LOOKUP(Y1003,{0;0.5;5;25},{"Bajo";"Medio";"Alto";"Crítico"}),"")</f>
        <v/>
      </c>
      <c r="AA1003" s="64">
        <f>IF(T1003&gt;=3,IF(X1003&gt;=1,"Zona 1 — Crítica: impacto alto y ocurre al menos una vez al año","Zona 4 — Catastrófica poco probable: impacto alto pero excepcional"),IF(AND(T1003&lt;1.5,X1003&lt;1),"Zona 3 — Asumible: impacto bajo y muy poco frecuente","Zona 2 — Atención: riesgo intermedio"))</f>
        <v/>
      </c>
      <c r="AB1003" s="64">
        <f>IFERROR(INDEX(MgAmenCtrl,MATCH(SUBSTITUTE($H1003,"*","-"),MgAmenClave,0)),"")</f>
        <v/>
      </c>
      <c r="AC1003" s="20" t="n"/>
      <c r="AD1003" s="31">
        <f>IFERROR($X1003*(1-IF($AC1003="",$AL1003,VLOOKUP($AC1003,MgMad,2,0))),"")</f>
        <v/>
      </c>
      <c r="AE1003" s="28">
        <f>IFERROR(LOOKUP(AD1003,{0;0.01;0.1;1;10;100},{"Muy baja";"Muy baja";"Baja";"Media";"Alta";"Muy alta"}),"")</f>
        <v/>
      </c>
      <c r="AF1003" s="30">
        <f>T1003*AD1003</f>
        <v/>
      </c>
      <c r="AG1003" s="28">
        <f>IFERROR(LOOKUP(AF1003,{0;0.5;5;25},{"Bajo";"Medio";"Alto";"Crítico"}),"")</f>
        <v/>
      </c>
      <c r="AH1003" s="28">
        <f>IF(AG1003="","",IF(OR(AG1003="Crítico",AG1003="Alto"),"Mitigar",IF(AG1003="Medio","Mitigar","Aceptar y monitorear")))</f>
        <v/>
      </c>
      <c r="AI1003" s="21" t="n"/>
      <c r="AJ1003" s="21" t="n"/>
      <c r="AK1003" s="20" t="n"/>
      <c r="AL1003" s="77">
        <f>IFERROR(INDEX(MgAmenEfic,MATCH(SUBSTITUTE($H1003,"*","-"),MgAmenClave,0)),0)</f>
        <v/>
      </c>
    </row>
    <row r="1004" hidden="1" ht="105" customHeight="1" s="54">
      <c r="B1004" s="59" t="inlineStr">
        <is>
          <t>R-0999</t>
        </is>
      </c>
      <c r="C1004" s="59" t="inlineStr">
        <is>
          <t>GH-037</t>
        </is>
      </c>
      <c r="D1004" s="64">
        <f>IFERROR(INDEX(MgNombre,MATCH($C1004,MgActId,0)),"")</f>
        <v/>
      </c>
      <c r="E1004" s="64">
        <f>IFERROR(INDEX(MgProceso,MATCH($C1004,MgActId,0)),"")</f>
        <v/>
      </c>
      <c r="F1004" s="64">
        <f>IFERROR(INDEX(MgTipo,MATCH($C1004,MgActId,0)),"")</f>
        <v/>
      </c>
      <c r="G1004" s="64">
        <f>IFERROR(INDEX(MgSubtipo,MATCH($C1004,MgActId,0)),"")</f>
        <v/>
      </c>
      <c r="H1004" s="59" t="inlineStr">
        <is>
          <t>E.19</t>
        </is>
      </c>
      <c r="I1004" s="64">
        <f>IFERROR(INDEX(MgAmenNombre,MATCH(SUBSTITUTE($H1004,"*","-"),MgAmenClave,0)),"")</f>
        <v/>
      </c>
      <c r="J1004" s="28">
        <f>IFERROR(INDEX(MgAmenGrupo,MATCH(SUBSTITUTE($H1004,"*","-"),MgAmenClave,0)),"")</f>
        <v/>
      </c>
      <c r="K1004" s="64">
        <f>IFERROR(INDEX('1. Matriz de Activos'!$Q$6:$Q$239,MATCH($C1004,MgActId,0)),"")</f>
        <v/>
      </c>
      <c r="L1004" s="64">
        <f>IFERROR(INDEX('1. Matriz de Activos'!$R$6:$R$239,MATCH($C1004,MgActId,0)),"")</f>
        <v/>
      </c>
      <c r="M1004" s="64">
        <f>IFERROR(INDEX('1. Matriz de Activos'!$S$6:$S$239,MATCH($C1004,MgActId,0)),"")</f>
        <v/>
      </c>
      <c r="N1004" s="28">
        <f>IFERROR(INDEX(MgAmenDegD,MATCH(SUBSTITUTE($H1004,"*","-"),MgAmenClave,0)),"No aplica")</f>
        <v/>
      </c>
      <c r="O1004" s="28">
        <f>IFERROR(INDEX(MgAmenDegI,MATCH(SUBSTITUTE($H1004,"*","-"),MgAmenClave,0)),"No aplica")</f>
        <v/>
      </c>
      <c r="P1004" s="28">
        <f>IFERROR(INDEX(MgAmenDegC,MATCH(SUBSTITUTE($H1004,"*","-"),MgAmenClave,0)),"No aplica")</f>
        <v/>
      </c>
      <c r="Q1004" s="29">
        <f>IFERROR(VLOOKUP(K1004,MgValor,2,0)*VLOOKUP(N1004,MgDeg,2,0),0)</f>
        <v/>
      </c>
      <c r="R1004" s="29">
        <f>IFERROR(VLOOKUP(L1004,MgValor,2,0)*VLOOKUP(O1004,MgDeg,2,0),0)</f>
        <v/>
      </c>
      <c r="S1004" s="29">
        <f>IFERROR(VLOOKUP(M1004,MgValor,2,0)*VLOOKUP(P1004,MgDeg,2,0),0)</f>
        <v/>
      </c>
      <c r="T1004" s="30">
        <f>MAX(Q1004:S1004)</f>
        <v/>
      </c>
      <c r="U1004" s="28">
        <f>IFERROR(LOOKUP(T1004,{0;0.5;1.5;3;4.5},{"Despreciable";"Bajo";"Medio";"Alto";"Muy alto"}),"")</f>
        <v/>
      </c>
      <c r="V1004" s="13">
        <f>IFERROR(INDEX(MgAmenFrec,MATCH(SUBSTITUTE($H1004,"*","-"),MgAmenClave,0)),"")</f>
        <v/>
      </c>
      <c r="W1004" s="28">
        <f>IFERROR(LOOKUP(X1004,{0;0.01;0.1;1;10;100},{"Muy baja";"Muy baja";"Baja";"Media";"Alta";"Muy alta"}),"")</f>
        <v/>
      </c>
      <c r="X1004" s="31">
        <f>IFERROR(VLOOKUP(V1004,MgFrec,2,0),0)</f>
        <v/>
      </c>
      <c r="Y1004" s="30">
        <f>T1004*X1004</f>
        <v/>
      </c>
      <c r="Z1004" s="28">
        <f>IFERROR(LOOKUP(Y1004,{0;0.5;5;25},{"Bajo";"Medio";"Alto";"Crítico"}),"")</f>
        <v/>
      </c>
      <c r="AA1004" s="64">
        <f>IF(T1004&gt;=3,IF(X1004&gt;=1,"Zona 1 — Crítica: impacto alto y ocurre al menos una vez al año","Zona 4 — Catastrófica poco probable: impacto alto pero excepcional"),IF(AND(T1004&lt;1.5,X1004&lt;1),"Zona 3 — Asumible: impacto bajo y muy poco frecuente","Zona 2 — Atención: riesgo intermedio"))</f>
        <v/>
      </c>
      <c r="AB1004" s="64">
        <f>IFERROR(INDEX(MgAmenCtrl,MATCH(SUBSTITUTE($H1004,"*","-"),MgAmenClave,0)),"")</f>
        <v/>
      </c>
      <c r="AC1004" s="20" t="n"/>
      <c r="AD1004" s="31">
        <f>IFERROR($X1004*(1-IF($AC1004="",$AL1004,VLOOKUP($AC1004,MgMad,2,0))),"")</f>
        <v/>
      </c>
      <c r="AE1004" s="28">
        <f>IFERROR(LOOKUP(AD1004,{0;0.01;0.1;1;10;100},{"Muy baja";"Muy baja";"Baja";"Media";"Alta";"Muy alta"}),"")</f>
        <v/>
      </c>
      <c r="AF1004" s="30">
        <f>T1004*AD1004</f>
        <v/>
      </c>
      <c r="AG1004" s="28">
        <f>IFERROR(LOOKUP(AF1004,{0;0.5;5;25},{"Bajo";"Medio";"Alto";"Crítico"}),"")</f>
        <v/>
      </c>
      <c r="AH1004" s="28">
        <f>IF(AG1004="","",IF(OR(AG1004="Crítico",AG1004="Alto"),"Mitigar",IF(AG1004="Medio","Mitigar","Aceptar y monitorear")))</f>
        <v/>
      </c>
      <c r="AI1004" s="21" t="n"/>
      <c r="AJ1004" s="21" t="n"/>
      <c r="AK1004" s="20" t="n"/>
      <c r="AL1004" s="77">
        <f>IFERROR(INDEX(MgAmenEfic,MATCH(SUBSTITUTE($H1004,"*","-"),MgAmenClave,0)),0)</f>
        <v/>
      </c>
    </row>
    <row r="1005" hidden="1" ht="60" customHeight="1" s="54">
      <c r="B1005" s="59" t="inlineStr">
        <is>
          <t>R-1000</t>
        </is>
      </c>
      <c r="C1005" s="59" t="inlineStr">
        <is>
          <t>GH-037</t>
        </is>
      </c>
      <c r="D1005" s="64">
        <f>IFERROR(INDEX(MgNombre,MATCH($C1005,MgActId,0)),"")</f>
        <v/>
      </c>
      <c r="E1005" s="64">
        <f>IFERROR(INDEX(MgProceso,MATCH($C1005,MgActId,0)),"")</f>
        <v/>
      </c>
      <c r="F1005" s="64">
        <f>IFERROR(INDEX(MgTipo,MATCH($C1005,MgActId,0)),"")</f>
        <v/>
      </c>
      <c r="G1005" s="64">
        <f>IFERROR(INDEX(MgSubtipo,MATCH($C1005,MgActId,0)),"")</f>
        <v/>
      </c>
      <c r="H1005" s="59" t="inlineStr">
        <is>
          <t>A.3</t>
        </is>
      </c>
      <c r="I1005" s="64">
        <f>IFERROR(INDEX(MgAmenNombre,MATCH(SUBSTITUTE($H1005,"*","-"),MgAmenClave,0)),"")</f>
        <v/>
      </c>
      <c r="J1005" s="28">
        <f>IFERROR(INDEX(MgAmenGrupo,MATCH(SUBSTITUTE($H1005,"*","-"),MgAmenClave,0)),"")</f>
        <v/>
      </c>
      <c r="K1005" s="64">
        <f>IFERROR(INDEX('1. Matriz de Activos'!$Q$6:$Q$239,MATCH($C1005,MgActId,0)),"")</f>
        <v/>
      </c>
      <c r="L1005" s="64">
        <f>IFERROR(INDEX('1. Matriz de Activos'!$R$6:$R$239,MATCH($C1005,MgActId,0)),"")</f>
        <v/>
      </c>
      <c r="M1005" s="64">
        <f>IFERROR(INDEX('1. Matriz de Activos'!$S$6:$S$239,MATCH($C1005,MgActId,0)),"")</f>
        <v/>
      </c>
      <c r="N1005" s="28">
        <f>IFERROR(INDEX(MgAmenDegD,MATCH(SUBSTITUTE($H1005,"*","-"),MgAmenClave,0)),"No aplica")</f>
        <v/>
      </c>
      <c r="O1005" s="28">
        <f>IFERROR(INDEX(MgAmenDegI,MATCH(SUBSTITUTE($H1005,"*","-"),MgAmenClave,0)),"No aplica")</f>
        <v/>
      </c>
      <c r="P1005" s="28">
        <f>IFERROR(INDEX(MgAmenDegC,MATCH(SUBSTITUTE($H1005,"*","-"),MgAmenClave,0)),"No aplica")</f>
        <v/>
      </c>
      <c r="Q1005" s="29">
        <f>IFERROR(VLOOKUP(K1005,MgValor,2,0)*VLOOKUP(N1005,MgDeg,2,0),0)</f>
        <v/>
      </c>
      <c r="R1005" s="29">
        <f>IFERROR(VLOOKUP(L1005,MgValor,2,0)*VLOOKUP(O1005,MgDeg,2,0),0)</f>
        <v/>
      </c>
      <c r="S1005" s="29">
        <f>IFERROR(VLOOKUP(M1005,MgValor,2,0)*VLOOKUP(P1005,MgDeg,2,0),0)</f>
        <v/>
      </c>
      <c r="T1005" s="30">
        <f>MAX(Q1005:S1005)</f>
        <v/>
      </c>
      <c r="U1005" s="28">
        <f>IFERROR(LOOKUP(T1005,{0;0.5;1.5;3;4.5},{"Despreciable";"Bajo";"Medio";"Alto";"Muy alto"}),"")</f>
        <v/>
      </c>
      <c r="V1005" s="13">
        <f>IFERROR(INDEX(MgAmenFrec,MATCH(SUBSTITUTE($H1005,"*","-"),MgAmenClave,0)),"")</f>
        <v/>
      </c>
      <c r="W1005" s="28">
        <f>IFERROR(LOOKUP(X1005,{0;0.01;0.1;1;10;100},{"Muy baja";"Muy baja";"Baja";"Media";"Alta";"Muy alta"}),"")</f>
        <v/>
      </c>
      <c r="X1005" s="31">
        <f>IFERROR(VLOOKUP(V1005,MgFrec,2,0),0)</f>
        <v/>
      </c>
      <c r="Y1005" s="30">
        <f>T1005*X1005</f>
        <v/>
      </c>
      <c r="Z1005" s="28">
        <f>IFERROR(LOOKUP(Y1005,{0;0.5;5;25},{"Bajo";"Medio";"Alto";"Crítico"}),"")</f>
        <v/>
      </c>
      <c r="AA1005" s="64">
        <f>IF(T1005&gt;=3,IF(X1005&gt;=1,"Zona 1 — Crítica: impacto alto y ocurre al menos una vez al año","Zona 4 — Catastrófica poco probable: impacto alto pero excepcional"),IF(AND(T1005&lt;1.5,X1005&lt;1),"Zona 3 — Asumible: impacto bajo y muy poco frecuente","Zona 2 — Atención: riesgo intermedio"))</f>
        <v/>
      </c>
      <c r="AB1005" s="64">
        <f>IFERROR(INDEX(MgAmenCtrl,MATCH(SUBSTITUTE($H1005,"*","-"),MgAmenClave,0)),"")</f>
        <v/>
      </c>
      <c r="AC1005" s="20" t="n"/>
      <c r="AD1005" s="31">
        <f>IFERROR($X1005*(1-IF($AC1005="",$AL1005,VLOOKUP($AC1005,MgMad,2,0))),"")</f>
        <v/>
      </c>
      <c r="AE1005" s="28">
        <f>IFERROR(LOOKUP(AD1005,{0;0.01;0.1;1;10;100},{"Muy baja";"Muy baja";"Baja";"Media";"Alta";"Muy alta"}),"")</f>
        <v/>
      </c>
      <c r="AF1005" s="30">
        <f>T1005*AD1005</f>
        <v/>
      </c>
      <c r="AG1005" s="28">
        <f>IFERROR(LOOKUP(AF1005,{0;0.5;5;25},{"Bajo";"Medio";"Alto";"Crítico"}),"")</f>
        <v/>
      </c>
      <c r="AH1005" s="28">
        <f>IF(AG1005="","",IF(OR(AG1005="Crítico",AG1005="Alto"),"Mitigar",IF(AG1005="Medio","Mitigar","Aceptar y monitorear")))</f>
        <v/>
      </c>
      <c r="AI1005" s="21" t="n"/>
      <c r="AJ1005" s="21" t="n"/>
      <c r="AK1005" s="20" t="n"/>
      <c r="AL1005" s="77">
        <f>IFERROR(INDEX(MgAmenEfic,MATCH(SUBSTITUTE($H1005,"*","-"),MgAmenClave,0)),0)</f>
        <v/>
      </c>
    </row>
    <row r="1006" hidden="1" ht="60" customHeight="1" s="54">
      <c r="B1006" s="59" t="inlineStr">
        <is>
          <t>R-1001</t>
        </is>
      </c>
      <c r="C1006" s="59" t="inlineStr">
        <is>
          <t>GH-037</t>
        </is>
      </c>
      <c r="D1006" s="64">
        <f>IFERROR(INDEX(MgNombre,MATCH($C1006,MgActId,0)),"")</f>
        <v/>
      </c>
      <c r="E1006" s="64">
        <f>IFERROR(INDEX(MgProceso,MATCH($C1006,MgActId,0)),"")</f>
        <v/>
      </c>
      <c r="F1006" s="64">
        <f>IFERROR(INDEX(MgTipo,MATCH($C1006,MgActId,0)),"")</f>
        <v/>
      </c>
      <c r="G1006" s="64">
        <f>IFERROR(INDEX(MgSubtipo,MATCH($C1006,MgActId,0)),"")</f>
        <v/>
      </c>
      <c r="H1006" s="59" t="inlineStr">
        <is>
          <t>A.4</t>
        </is>
      </c>
      <c r="I1006" s="64">
        <f>IFERROR(INDEX(MgAmenNombre,MATCH(SUBSTITUTE($H1006,"*","-"),MgAmenClave,0)),"")</f>
        <v/>
      </c>
      <c r="J1006" s="28">
        <f>IFERROR(INDEX(MgAmenGrupo,MATCH(SUBSTITUTE($H1006,"*","-"),MgAmenClave,0)),"")</f>
        <v/>
      </c>
      <c r="K1006" s="64">
        <f>IFERROR(INDEX('1. Matriz de Activos'!$Q$6:$Q$239,MATCH($C1006,MgActId,0)),"")</f>
        <v/>
      </c>
      <c r="L1006" s="64">
        <f>IFERROR(INDEX('1. Matriz de Activos'!$R$6:$R$239,MATCH($C1006,MgActId,0)),"")</f>
        <v/>
      </c>
      <c r="M1006" s="64">
        <f>IFERROR(INDEX('1. Matriz de Activos'!$S$6:$S$239,MATCH($C1006,MgActId,0)),"")</f>
        <v/>
      </c>
      <c r="N1006" s="28">
        <f>IFERROR(INDEX(MgAmenDegD,MATCH(SUBSTITUTE($H1006,"*","-"),MgAmenClave,0)),"No aplica")</f>
        <v/>
      </c>
      <c r="O1006" s="28">
        <f>IFERROR(INDEX(MgAmenDegI,MATCH(SUBSTITUTE($H1006,"*","-"),MgAmenClave,0)),"No aplica")</f>
        <v/>
      </c>
      <c r="P1006" s="28">
        <f>IFERROR(INDEX(MgAmenDegC,MATCH(SUBSTITUTE($H1006,"*","-"),MgAmenClave,0)),"No aplica")</f>
        <v/>
      </c>
      <c r="Q1006" s="29">
        <f>IFERROR(VLOOKUP(K1006,MgValor,2,0)*VLOOKUP(N1006,MgDeg,2,0),0)</f>
        <v/>
      </c>
      <c r="R1006" s="29">
        <f>IFERROR(VLOOKUP(L1006,MgValor,2,0)*VLOOKUP(O1006,MgDeg,2,0),0)</f>
        <v/>
      </c>
      <c r="S1006" s="29">
        <f>IFERROR(VLOOKUP(M1006,MgValor,2,0)*VLOOKUP(P1006,MgDeg,2,0),0)</f>
        <v/>
      </c>
      <c r="T1006" s="30">
        <f>MAX(Q1006:S1006)</f>
        <v/>
      </c>
      <c r="U1006" s="28">
        <f>IFERROR(LOOKUP(T1006,{0;0.5;1.5;3;4.5},{"Despreciable";"Bajo";"Medio";"Alto";"Muy alto"}),"")</f>
        <v/>
      </c>
      <c r="V1006" s="13">
        <f>IFERROR(INDEX(MgAmenFrec,MATCH(SUBSTITUTE($H1006,"*","-"),MgAmenClave,0)),"")</f>
        <v/>
      </c>
      <c r="W1006" s="28">
        <f>IFERROR(LOOKUP(X1006,{0;0.01;0.1;1;10;100},{"Muy baja";"Muy baja";"Baja";"Media";"Alta";"Muy alta"}),"")</f>
        <v/>
      </c>
      <c r="X1006" s="31">
        <f>IFERROR(VLOOKUP(V1006,MgFrec,2,0),0)</f>
        <v/>
      </c>
      <c r="Y1006" s="30">
        <f>T1006*X1006</f>
        <v/>
      </c>
      <c r="Z1006" s="28">
        <f>IFERROR(LOOKUP(Y1006,{0;0.5;5;25},{"Bajo";"Medio";"Alto";"Crítico"}),"")</f>
        <v/>
      </c>
      <c r="AA1006" s="64">
        <f>IF(T1006&gt;=3,IF(X1006&gt;=1,"Zona 1 — Crítica: impacto alto y ocurre al menos una vez al año","Zona 4 — Catastrófica poco probable: impacto alto pero excepcional"),IF(AND(T1006&lt;1.5,X1006&lt;1),"Zona 3 — Asumible: impacto bajo y muy poco frecuente","Zona 2 — Atención: riesgo intermedio"))</f>
        <v/>
      </c>
      <c r="AB1006" s="64">
        <f>IFERROR(INDEX(MgAmenCtrl,MATCH(SUBSTITUTE($H1006,"*","-"),MgAmenClave,0)),"")</f>
        <v/>
      </c>
      <c r="AC1006" s="20" t="n"/>
      <c r="AD1006" s="31">
        <f>IFERROR($X1006*(1-IF($AC1006="",$AL1006,VLOOKUP($AC1006,MgMad,2,0))),"")</f>
        <v/>
      </c>
      <c r="AE1006" s="28">
        <f>IFERROR(LOOKUP(AD1006,{0;0.01;0.1;1;10;100},{"Muy baja";"Muy baja";"Baja";"Media";"Alta";"Muy alta"}),"")</f>
        <v/>
      </c>
      <c r="AF1006" s="30">
        <f>T1006*AD1006</f>
        <v/>
      </c>
      <c r="AG1006" s="28">
        <f>IFERROR(LOOKUP(AF1006,{0;0.5;5;25},{"Bajo";"Medio";"Alto";"Crítico"}),"")</f>
        <v/>
      </c>
      <c r="AH1006" s="28">
        <f>IF(AG1006="","",IF(OR(AG1006="Crítico",AG1006="Alto"),"Mitigar",IF(AG1006="Medio","Mitigar","Aceptar y monitorear")))</f>
        <v/>
      </c>
      <c r="AI1006" s="21" t="n"/>
      <c r="AJ1006" s="21" t="n"/>
      <c r="AK1006" s="20" t="n"/>
      <c r="AL1006" s="77">
        <f>IFERROR(INDEX(MgAmenEfic,MATCH(SUBSTITUTE($H1006,"*","-"),MgAmenClave,0)),0)</f>
        <v/>
      </c>
    </row>
    <row r="1007" hidden="1" ht="75" customHeight="1" s="54">
      <c r="B1007" s="59" t="inlineStr">
        <is>
          <t>R-1002</t>
        </is>
      </c>
      <c r="C1007" s="59" t="inlineStr">
        <is>
          <t>GH-037</t>
        </is>
      </c>
      <c r="D1007" s="64">
        <f>IFERROR(INDEX(MgNombre,MATCH($C1007,MgActId,0)),"")</f>
        <v/>
      </c>
      <c r="E1007" s="64">
        <f>IFERROR(INDEX(MgProceso,MATCH($C1007,MgActId,0)),"")</f>
        <v/>
      </c>
      <c r="F1007" s="64">
        <f>IFERROR(INDEX(MgTipo,MATCH($C1007,MgActId,0)),"")</f>
        <v/>
      </c>
      <c r="G1007" s="64">
        <f>IFERROR(INDEX(MgSubtipo,MATCH($C1007,MgActId,0)),"")</f>
        <v/>
      </c>
      <c r="H1007" s="59" t="inlineStr">
        <is>
          <t>A.5</t>
        </is>
      </c>
      <c r="I1007" s="64">
        <f>IFERROR(INDEX(MgAmenNombre,MATCH(SUBSTITUTE($H1007,"*","-"),MgAmenClave,0)),"")</f>
        <v/>
      </c>
      <c r="J1007" s="28">
        <f>IFERROR(INDEX(MgAmenGrupo,MATCH(SUBSTITUTE($H1007,"*","-"),MgAmenClave,0)),"")</f>
        <v/>
      </c>
      <c r="K1007" s="64">
        <f>IFERROR(INDEX('1. Matriz de Activos'!$Q$6:$Q$239,MATCH($C1007,MgActId,0)),"")</f>
        <v/>
      </c>
      <c r="L1007" s="64">
        <f>IFERROR(INDEX('1. Matriz de Activos'!$R$6:$R$239,MATCH($C1007,MgActId,0)),"")</f>
        <v/>
      </c>
      <c r="M1007" s="64">
        <f>IFERROR(INDEX('1. Matriz de Activos'!$S$6:$S$239,MATCH($C1007,MgActId,0)),"")</f>
        <v/>
      </c>
      <c r="N1007" s="28">
        <f>IFERROR(INDEX(MgAmenDegD,MATCH(SUBSTITUTE($H1007,"*","-"),MgAmenClave,0)),"No aplica")</f>
        <v/>
      </c>
      <c r="O1007" s="28">
        <f>IFERROR(INDEX(MgAmenDegI,MATCH(SUBSTITUTE($H1007,"*","-"),MgAmenClave,0)),"No aplica")</f>
        <v/>
      </c>
      <c r="P1007" s="28">
        <f>IFERROR(INDEX(MgAmenDegC,MATCH(SUBSTITUTE($H1007,"*","-"),MgAmenClave,0)),"No aplica")</f>
        <v/>
      </c>
      <c r="Q1007" s="29">
        <f>IFERROR(VLOOKUP(K1007,MgValor,2,0)*VLOOKUP(N1007,MgDeg,2,0),0)</f>
        <v/>
      </c>
      <c r="R1007" s="29">
        <f>IFERROR(VLOOKUP(L1007,MgValor,2,0)*VLOOKUP(O1007,MgDeg,2,0),0)</f>
        <v/>
      </c>
      <c r="S1007" s="29">
        <f>IFERROR(VLOOKUP(M1007,MgValor,2,0)*VLOOKUP(P1007,MgDeg,2,0),0)</f>
        <v/>
      </c>
      <c r="T1007" s="30">
        <f>MAX(Q1007:S1007)</f>
        <v/>
      </c>
      <c r="U1007" s="28">
        <f>IFERROR(LOOKUP(T1007,{0;0.5;1.5;3;4.5},{"Despreciable";"Bajo";"Medio";"Alto";"Muy alto"}),"")</f>
        <v/>
      </c>
      <c r="V1007" s="13">
        <f>IFERROR(INDEX(MgAmenFrec,MATCH(SUBSTITUTE($H1007,"*","-"),MgAmenClave,0)),"")</f>
        <v/>
      </c>
      <c r="W1007" s="28">
        <f>IFERROR(LOOKUP(X1007,{0;0.01;0.1;1;10;100},{"Muy baja";"Muy baja";"Baja";"Media";"Alta";"Muy alta"}),"")</f>
        <v/>
      </c>
      <c r="X1007" s="31">
        <f>IFERROR(VLOOKUP(V1007,MgFrec,2,0),0)</f>
        <v/>
      </c>
      <c r="Y1007" s="30">
        <f>T1007*X1007</f>
        <v/>
      </c>
      <c r="Z1007" s="28">
        <f>IFERROR(LOOKUP(Y1007,{0;0.5;5;25},{"Bajo";"Medio";"Alto";"Crítico"}),"")</f>
        <v/>
      </c>
      <c r="AA1007" s="64">
        <f>IF(T1007&gt;=3,IF(X1007&gt;=1,"Zona 1 — Crítica: impacto alto y ocurre al menos una vez al año","Zona 4 — Catastrófica poco probable: impacto alto pero excepcional"),IF(AND(T1007&lt;1.5,X1007&lt;1),"Zona 3 — Asumible: impacto bajo y muy poco frecuente","Zona 2 — Atención: riesgo intermedio"))</f>
        <v/>
      </c>
      <c r="AB1007" s="64">
        <f>IFERROR(INDEX(MgAmenCtrl,MATCH(SUBSTITUTE($H1007,"*","-"),MgAmenClave,0)),"")</f>
        <v/>
      </c>
      <c r="AC1007" s="20" t="n"/>
      <c r="AD1007" s="31">
        <f>IFERROR($X1007*(1-IF($AC1007="",$AL1007,VLOOKUP($AC1007,MgMad,2,0))),"")</f>
        <v/>
      </c>
      <c r="AE1007" s="28">
        <f>IFERROR(LOOKUP(AD1007,{0;0.01;0.1;1;10;100},{"Muy baja";"Muy baja";"Baja";"Media";"Alta";"Muy alta"}),"")</f>
        <v/>
      </c>
      <c r="AF1007" s="30">
        <f>T1007*AD1007</f>
        <v/>
      </c>
      <c r="AG1007" s="28">
        <f>IFERROR(LOOKUP(AF1007,{0;0.5;5;25},{"Bajo";"Medio";"Alto";"Crítico"}),"")</f>
        <v/>
      </c>
      <c r="AH1007" s="28">
        <f>IF(AG1007="","",IF(OR(AG1007="Crítico",AG1007="Alto"),"Mitigar",IF(AG1007="Medio","Mitigar","Aceptar y monitorear")))</f>
        <v/>
      </c>
      <c r="AI1007" s="21" t="n"/>
      <c r="AJ1007" s="21" t="n"/>
      <c r="AK1007" s="20" t="n"/>
      <c r="AL1007" s="77">
        <f>IFERROR(INDEX(MgAmenEfic,MATCH(SUBSTITUTE($H1007,"*","-"),MgAmenClave,0)),0)</f>
        <v/>
      </c>
    </row>
    <row r="1008" hidden="1" ht="105" customHeight="1" s="54">
      <c r="B1008" s="59" t="inlineStr">
        <is>
          <t>R-1003</t>
        </is>
      </c>
      <c r="C1008" s="59" t="inlineStr">
        <is>
          <t>GH-037</t>
        </is>
      </c>
      <c r="D1008" s="64">
        <f>IFERROR(INDEX(MgNombre,MATCH($C1008,MgActId,0)),"")</f>
        <v/>
      </c>
      <c r="E1008" s="64">
        <f>IFERROR(INDEX(MgProceso,MATCH($C1008,MgActId,0)),"")</f>
        <v/>
      </c>
      <c r="F1008" s="64">
        <f>IFERROR(INDEX(MgTipo,MATCH($C1008,MgActId,0)),"")</f>
        <v/>
      </c>
      <c r="G1008" s="64">
        <f>IFERROR(INDEX(MgSubtipo,MATCH($C1008,MgActId,0)),"")</f>
        <v/>
      </c>
      <c r="H1008" s="59" t="inlineStr">
        <is>
          <t>A.6</t>
        </is>
      </c>
      <c r="I1008" s="64">
        <f>IFERROR(INDEX(MgAmenNombre,MATCH(SUBSTITUTE($H1008,"*","-"),MgAmenClave,0)),"")</f>
        <v/>
      </c>
      <c r="J1008" s="28">
        <f>IFERROR(INDEX(MgAmenGrupo,MATCH(SUBSTITUTE($H1008,"*","-"),MgAmenClave,0)),"")</f>
        <v/>
      </c>
      <c r="K1008" s="64">
        <f>IFERROR(INDEX('1. Matriz de Activos'!$Q$6:$Q$239,MATCH($C1008,MgActId,0)),"")</f>
        <v/>
      </c>
      <c r="L1008" s="64">
        <f>IFERROR(INDEX('1. Matriz de Activos'!$R$6:$R$239,MATCH($C1008,MgActId,0)),"")</f>
        <v/>
      </c>
      <c r="M1008" s="64">
        <f>IFERROR(INDEX('1. Matriz de Activos'!$S$6:$S$239,MATCH($C1008,MgActId,0)),"")</f>
        <v/>
      </c>
      <c r="N1008" s="28">
        <f>IFERROR(INDEX(MgAmenDegD,MATCH(SUBSTITUTE($H1008,"*","-"),MgAmenClave,0)),"No aplica")</f>
        <v/>
      </c>
      <c r="O1008" s="28">
        <f>IFERROR(INDEX(MgAmenDegI,MATCH(SUBSTITUTE($H1008,"*","-"),MgAmenClave,0)),"No aplica")</f>
        <v/>
      </c>
      <c r="P1008" s="28">
        <f>IFERROR(INDEX(MgAmenDegC,MATCH(SUBSTITUTE($H1008,"*","-"),MgAmenClave,0)),"No aplica")</f>
        <v/>
      </c>
      <c r="Q1008" s="29">
        <f>IFERROR(VLOOKUP(K1008,MgValor,2,0)*VLOOKUP(N1008,MgDeg,2,0),0)</f>
        <v/>
      </c>
      <c r="R1008" s="29">
        <f>IFERROR(VLOOKUP(L1008,MgValor,2,0)*VLOOKUP(O1008,MgDeg,2,0),0)</f>
        <v/>
      </c>
      <c r="S1008" s="29">
        <f>IFERROR(VLOOKUP(M1008,MgValor,2,0)*VLOOKUP(P1008,MgDeg,2,0),0)</f>
        <v/>
      </c>
      <c r="T1008" s="30">
        <f>MAX(Q1008:S1008)</f>
        <v/>
      </c>
      <c r="U1008" s="28">
        <f>IFERROR(LOOKUP(T1008,{0;0.5;1.5;3;4.5},{"Despreciable";"Bajo";"Medio";"Alto";"Muy alto"}),"")</f>
        <v/>
      </c>
      <c r="V1008" s="13">
        <f>IFERROR(INDEX(MgAmenFrec,MATCH(SUBSTITUTE($H1008,"*","-"),MgAmenClave,0)),"")</f>
        <v/>
      </c>
      <c r="W1008" s="28">
        <f>IFERROR(LOOKUP(X1008,{0;0.01;0.1;1;10;100},{"Muy baja";"Muy baja";"Baja";"Media";"Alta";"Muy alta"}),"")</f>
        <v/>
      </c>
      <c r="X1008" s="31">
        <f>IFERROR(VLOOKUP(V1008,MgFrec,2,0),0)</f>
        <v/>
      </c>
      <c r="Y1008" s="30">
        <f>T1008*X1008</f>
        <v/>
      </c>
      <c r="Z1008" s="28">
        <f>IFERROR(LOOKUP(Y1008,{0;0.5;5;25},{"Bajo";"Medio";"Alto";"Crítico"}),"")</f>
        <v/>
      </c>
      <c r="AA1008" s="64">
        <f>IF(T1008&gt;=3,IF(X1008&gt;=1,"Zona 1 — Crítica: impacto alto y ocurre al menos una vez al año","Zona 4 — Catastrófica poco probable: impacto alto pero excepcional"),IF(AND(T1008&lt;1.5,X1008&lt;1),"Zona 3 — Asumible: impacto bajo y muy poco frecuente","Zona 2 — Atención: riesgo intermedio"))</f>
        <v/>
      </c>
      <c r="AB1008" s="64">
        <f>IFERROR(INDEX(MgAmenCtrl,MATCH(SUBSTITUTE($H1008,"*","-"),MgAmenClave,0)),"")</f>
        <v/>
      </c>
      <c r="AC1008" s="20" t="n"/>
      <c r="AD1008" s="31">
        <f>IFERROR($X1008*(1-IF($AC1008="",$AL1008,VLOOKUP($AC1008,MgMad,2,0))),"")</f>
        <v/>
      </c>
      <c r="AE1008" s="28">
        <f>IFERROR(LOOKUP(AD1008,{0;0.01;0.1;1;10;100},{"Muy baja";"Muy baja";"Baja";"Media";"Alta";"Muy alta"}),"")</f>
        <v/>
      </c>
      <c r="AF1008" s="30">
        <f>T1008*AD1008</f>
        <v/>
      </c>
      <c r="AG1008" s="28">
        <f>IFERROR(LOOKUP(AF1008,{0;0.5;5;25},{"Bajo";"Medio";"Alto";"Crítico"}),"")</f>
        <v/>
      </c>
      <c r="AH1008" s="28">
        <f>IF(AG1008="","",IF(OR(AG1008="Crítico",AG1008="Alto"),"Mitigar",IF(AG1008="Medio","Mitigar","Aceptar y monitorear")))</f>
        <v/>
      </c>
      <c r="AI1008" s="21" t="n"/>
      <c r="AJ1008" s="21" t="n"/>
      <c r="AK1008" s="20" t="n"/>
      <c r="AL1008" s="77">
        <f>IFERROR(INDEX(MgAmenEfic,MATCH(SUBSTITUTE($H1008,"*","-"),MgAmenClave,0)),0)</f>
        <v/>
      </c>
    </row>
    <row r="1009" hidden="1" ht="120" customHeight="1" s="54">
      <c r="B1009" s="59" t="inlineStr">
        <is>
          <t>R-1004</t>
        </is>
      </c>
      <c r="C1009" s="59" t="inlineStr">
        <is>
          <t>GH-037</t>
        </is>
      </c>
      <c r="D1009" s="64">
        <f>IFERROR(INDEX(MgNombre,MATCH($C1009,MgActId,0)),"")</f>
        <v/>
      </c>
      <c r="E1009" s="64">
        <f>IFERROR(INDEX(MgProceso,MATCH($C1009,MgActId,0)),"")</f>
        <v/>
      </c>
      <c r="F1009" s="64">
        <f>IFERROR(INDEX(MgTipo,MATCH($C1009,MgActId,0)),"")</f>
        <v/>
      </c>
      <c r="G1009" s="64">
        <f>IFERROR(INDEX(MgSubtipo,MATCH($C1009,MgActId,0)),"")</f>
        <v/>
      </c>
      <c r="H1009" s="59" t="inlineStr">
        <is>
          <t>A.11</t>
        </is>
      </c>
      <c r="I1009" s="64">
        <f>IFERROR(INDEX(MgAmenNombre,MATCH(SUBSTITUTE($H1009,"*","-"),MgAmenClave,0)),"")</f>
        <v/>
      </c>
      <c r="J1009" s="28">
        <f>IFERROR(INDEX(MgAmenGrupo,MATCH(SUBSTITUTE($H1009,"*","-"),MgAmenClave,0)),"")</f>
        <v/>
      </c>
      <c r="K1009" s="64">
        <f>IFERROR(INDEX('1. Matriz de Activos'!$Q$6:$Q$239,MATCH($C1009,MgActId,0)),"")</f>
        <v/>
      </c>
      <c r="L1009" s="64">
        <f>IFERROR(INDEX('1. Matriz de Activos'!$R$6:$R$239,MATCH($C1009,MgActId,0)),"")</f>
        <v/>
      </c>
      <c r="M1009" s="64">
        <f>IFERROR(INDEX('1. Matriz de Activos'!$S$6:$S$239,MATCH($C1009,MgActId,0)),"")</f>
        <v/>
      </c>
      <c r="N1009" s="28">
        <f>IFERROR(INDEX(MgAmenDegD,MATCH(SUBSTITUTE($H1009,"*","-"),MgAmenClave,0)),"No aplica")</f>
        <v/>
      </c>
      <c r="O1009" s="28">
        <f>IFERROR(INDEX(MgAmenDegI,MATCH(SUBSTITUTE($H1009,"*","-"),MgAmenClave,0)),"No aplica")</f>
        <v/>
      </c>
      <c r="P1009" s="28">
        <f>IFERROR(INDEX(MgAmenDegC,MATCH(SUBSTITUTE($H1009,"*","-"),MgAmenClave,0)),"No aplica")</f>
        <v/>
      </c>
      <c r="Q1009" s="29">
        <f>IFERROR(VLOOKUP(K1009,MgValor,2,0)*VLOOKUP(N1009,MgDeg,2,0),0)</f>
        <v/>
      </c>
      <c r="R1009" s="29">
        <f>IFERROR(VLOOKUP(L1009,MgValor,2,0)*VLOOKUP(O1009,MgDeg,2,0),0)</f>
        <v/>
      </c>
      <c r="S1009" s="29">
        <f>IFERROR(VLOOKUP(M1009,MgValor,2,0)*VLOOKUP(P1009,MgDeg,2,0),0)</f>
        <v/>
      </c>
      <c r="T1009" s="30">
        <f>MAX(Q1009:S1009)</f>
        <v/>
      </c>
      <c r="U1009" s="28">
        <f>IFERROR(LOOKUP(T1009,{0;0.5;1.5;3;4.5},{"Despreciable";"Bajo";"Medio";"Alto";"Muy alto"}),"")</f>
        <v/>
      </c>
      <c r="V1009" s="13">
        <f>IFERROR(INDEX(MgAmenFrec,MATCH(SUBSTITUTE($H1009,"*","-"),MgAmenClave,0)),"")</f>
        <v/>
      </c>
      <c r="W1009" s="28">
        <f>IFERROR(LOOKUP(X1009,{0;0.01;0.1;1;10;100},{"Muy baja";"Muy baja";"Baja";"Media";"Alta";"Muy alta"}),"")</f>
        <v/>
      </c>
      <c r="X1009" s="31">
        <f>IFERROR(VLOOKUP(V1009,MgFrec,2,0),0)</f>
        <v/>
      </c>
      <c r="Y1009" s="30">
        <f>T1009*X1009</f>
        <v/>
      </c>
      <c r="Z1009" s="28">
        <f>IFERROR(LOOKUP(Y1009,{0;0.5;5;25},{"Bajo";"Medio";"Alto";"Crítico"}),"")</f>
        <v/>
      </c>
      <c r="AA1009" s="64">
        <f>IF(T1009&gt;=3,IF(X1009&gt;=1,"Zona 1 — Crítica: impacto alto y ocurre al menos una vez al año","Zona 4 — Catastrófica poco probable: impacto alto pero excepcional"),IF(AND(T1009&lt;1.5,X1009&lt;1),"Zona 3 — Asumible: impacto bajo y muy poco frecuente","Zona 2 — Atención: riesgo intermedio"))</f>
        <v/>
      </c>
      <c r="AB1009" s="64">
        <f>IFERROR(INDEX(MgAmenCtrl,MATCH(SUBSTITUTE($H1009,"*","-"),MgAmenClave,0)),"")</f>
        <v/>
      </c>
      <c r="AC1009" s="20" t="n"/>
      <c r="AD1009" s="31">
        <f>IFERROR($X1009*(1-IF($AC1009="",$AL1009,VLOOKUP($AC1009,MgMad,2,0))),"")</f>
        <v/>
      </c>
      <c r="AE1009" s="28">
        <f>IFERROR(LOOKUP(AD1009,{0;0.01;0.1;1;10;100},{"Muy baja";"Muy baja";"Baja";"Media";"Alta";"Muy alta"}),"")</f>
        <v/>
      </c>
      <c r="AF1009" s="30">
        <f>T1009*AD1009</f>
        <v/>
      </c>
      <c r="AG1009" s="28">
        <f>IFERROR(LOOKUP(AF1009,{0;0.5;5;25},{"Bajo";"Medio";"Alto";"Crítico"}),"")</f>
        <v/>
      </c>
      <c r="AH1009" s="28">
        <f>IF(AG1009="","",IF(OR(AG1009="Crítico",AG1009="Alto"),"Mitigar",IF(AG1009="Medio","Mitigar","Aceptar y monitorear")))</f>
        <v/>
      </c>
      <c r="AI1009" s="21" t="n"/>
      <c r="AJ1009" s="21" t="n"/>
      <c r="AK1009" s="20" t="n"/>
      <c r="AL1009" s="77">
        <f>IFERROR(INDEX(MgAmenEfic,MATCH(SUBSTITUTE($H1009,"*","-"),MgAmenClave,0)),0)</f>
        <v/>
      </c>
    </row>
    <row r="1010" hidden="1" ht="90" customHeight="1" s="54">
      <c r="B1010" s="59" t="inlineStr">
        <is>
          <t>R-1005</t>
        </is>
      </c>
      <c r="C1010" s="59" t="inlineStr">
        <is>
          <t>GH-037</t>
        </is>
      </c>
      <c r="D1010" s="64">
        <f>IFERROR(INDEX(MgNombre,MATCH($C1010,MgActId,0)),"")</f>
        <v/>
      </c>
      <c r="E1010" s="64">
        <f>IFERROR(INDEX(MgProceso,MATCH($C1010,MgActId,0)),"")</f>
        <v/>
      </c>
      <c r="F1010" s="64">
        <f>IFERROR(INDEX(MgTipo,MATCH($C1010,MgActId,0)),"")</f>
        <v/>
      </c>
      <c r="G1010" s="64">
        <f>IFERROR(INDEX(MgSubtipo,MATCH($C1010,MgActId,0)),"")</f>
        <v/>
      </c>
      <c r="H1010" s="59" t="inlineStr">
        <is>
          <t>A.13</t>
        </is>
      </c>
      <c r="I1010" s="64">
        <f>IFERROR(INDEX(MgAmenNombre,MATCH(SUBSTITUTE($H1010,"*","-"),MgAmenClave,0)),"")</f>
        <v/>
      </c>
      <c r="J1010" s="28">
        <f>IFERROR(INDEX(MgAmenGrupo,MATCH(SUBSTITUTE($H1010,"*","-"),MgAmenClave,0)),"")</f>
        <v/>
      </c>
      <c r="K1010" s="64">
        <f>IFERROR(INDEX('1. Matriz de Activos'!$Q$6:$Q$239,MATCH($C1010,MgActId,0)),"")</f>
        <v/>
      </c>
      <c r="L1010" s="64">
        <f>IFERROR(INDEX('1. Matriz de Activos'!$R$6:$R$239,MATCH($C1010,MgActId,0)),"")</f>
        <v/>
      </c>
      <c r="M1010" s="64">
        <f>IFERROR(INDEX('1. Matriz de Activos'!$S$6:$S$239,MATCH($C1010,MgActId,0)),"")</f>
        <v/>
      </c>
      <c r="N1010" s="28">
        <f>IFERROR(INDEX(MgAmenDegD,MATCH(SUBSTITUTE($H1010,"*","-"),MgAmenClave,0)),"No aplica")</f>
        <v/>
      </c>
      <c r="O1010" s="28">
        <f>IFERROR(INDEX(MgAmenDegI,MATCH(SUBSTITUTE($H1010,"*","-"),MgAmenClave,0)),"No aplica")</f>
        <v/>
      </c>
      <c r="P1010" s="28">
        <f>IFERROR(INDEX(MgAmenDegC,MATCH(SUBSTITUTE($H1010,"*","-"),MgAmenClave,0)),"No aplica")</f>
        <v/>
      </c>
      <c r="Q1010" s="29">
        <f>IFERROR(VLOOKUP(K1010,MgValor,2,0)*VLOOKUP(N1010,MgDeg,2,0),0)</f>
        <v/>
      </c>
      <c r="R1010" s="29">
        <f>IFERROR(VLOOKUP(L1010,MgValor,2,0)*VLOOKUP(O1010,MgDeg,2,0),0)</f>
        <v/>
      </c>
      <c r="S1010" s="29">
        <f>IFERROR(VLOOKUP(M1010,MgValor,2,0)*VLOOKUP(P1010,MgDeg,2,0),0)</f>
        <v/>
      </c>
      <c r="T1010" s="30">
        <f>MAX(Q1010:S1010)</f>
        <v/>
      </c>
      <c r="U1010" s="28">
        <f>IFERROR(LOOKUP(T1010,{0;0.5;1.5;3;4.5},{"Despreciable";"Bajo";"Medio";"Alto";"Muy alto"}),"")</f>
        <v/>
      </c>
      <c r="V1010" s="13">
        <f>IFERROR(INDEX(MgAmenFrec,MATCH(SUBSTITUTE($H1010,"*","-"),MgAmenClave,0)),"")</f>
        <v/>
      </c>
      <c r="W1010" s="28">
        <f>IFERROR(LOOKUP(X1010,{0;0.01;0.1;1;10;100},{"Muy baja";"Muy baja";"Baja";"Media";"Alta";"Muy alta"}),"")</f>
        <v/>
      </c>
      <c r="X1010" s="31">
        <f>IFERROR(VLOOKUP(V1010,MgFrec,2,0),0)</f>
        <v/>
      </c>
      <c r="Y1010" s="30">
        <f>T1010*X1010</f>
        <v/>
      </c>
      <c r="Z1010" s="28">
        <f>IFERROR(LOOKUP(Y1010,{0;0.5;5;25},{"Bajo";"Medio";"Alto";"Crítico"}),"")</f>
        <v/>
      </c>
      <c r="AA1010" s="64">
        <f>IF(T1010&gt;=3,IF(X1010&gt;=1,"Zona 1 — Crítica: impacto alto y ocurre al menos una vez al año","Zona 4 — Catastrófica poco probable: impacto alto pero excepcional"),IF(AND(T1010&lt;1.5,X1010&lt;1),"Zona 3 — Asumible: impacto bajo y muy poco frecuente","Zona 2 — Atención: riesgo intermedio"))</f>
        <v/>
      </c>
      <c r="AB1010" s="64">
        <f>IFERROR(INDEX(MgAmenCtrl,MATCH(SUBSTITUTE($H1010,"*","-"),MgAmenClave,0)),"")</f>
        <v/>
      </c>
      <c r="AC1010" s="20" t="n"/>
      <c r="AD1010" s="31">
        <f>IFERROR($X1010*(1-IF($AC1010="",$AL1010,VLOOKUP($AC1010,MgMad,2,0))),"")</f>
        <v/>
      </c>
      <c r="AE1010" s="28">
        <f>IFERROR(LOOKUP(AD1010,{0;0.01;0.1;1;10;100},{"Muy baja";"Muy baja";"Baja";"Media";"Alta";"Muy alta"}),"")</f>
        <v/>
      </c>
      <c r="AF1010" s="30">
        <f>T1010*AD1010</f>
        <v/>
      </c>
      <c r="AG1010" s="28">
        <f>IFERROR(LOOKUP(AF1010,{0;0.5;5;25},{"Bajo";"Medio";"Alto";"Crítico"}),"")</f>
        <v/>
      </c>
      <c r="AH1010" s="28">
        <f>IF(AG1010="","",IF(OR(AG1010="Crítico",AG1010="Alto"),"Mitigar",IF(AG1010="Medio","Mitigar","Aceptar y monitorear")))</f>
        <v/>
      </c>
      <c r="AI1010" s="21" t="n"/>
      <c r="AJ1010" s="21" t="n"/>
      <c r="AK1010" s="20" t="n"/>
      <c r="AL1010" s="77">
        <f>IFERROR(INDEX(MgAmenEfic,MATCH(SUBSTITUTE($H1010,"*","-"),MgAmenClave,0)),0)</f>
        <v/>
      </c>
    </row>
    <row r="1011" hidden="1" ht="60" customHeight="1" s="54">
      <c r="B1011" s="59" t="inlineStr">
        <is>
          <t>R-1006</t>
        </is>
      </c>
      <c r="C1011" s="59" t="inlineStr">
        <is>
          <t>GH-037</t>
        </is>
      </c>
      <c r="D1011" s="64">
        <f>IFERROR(INDEX(MgNombre,MATCH($C1011,MgActId,0)),"")</f>
        <v/>
      </c>
      <c r="E1011" s="64">
        <f>IFERROR(INDEX(MgProceso,MATCH($C1011,MgActId,0)),"")</f>
        <v/>
      </c>
      <c r="F1011" s="64">
        <f>IFERROR(INDEX(MgTipo,MATCH($C1011,MgActId,0)),"")</f>
        <v/>
      </c>
      <c r="G1011" s="64">
        <f>IFERROR(INDEX(MgSubtipo,MATCH($C1011,MgActId,0)),"")</f>
        <v/>
      </c>
      <c r="H1011" s="59" t="inlineStr">
        <is>
          <t>A.15</t>
        </is>
      </c>
      <c r="I1011" s="64">
        <f>IFERROR(INDEX(MgAmenNombre,MATCH(SUBSTITUTE($H1011,"*","-"),MgAmenClave,0)),"")</f>
        <v/>
      </c>
      <c r="J1011" s="28">
        <f>IFERROR(INDEX(MgAmenGrupo,MATCH(SUBSTITUTE($H1011,"*","-"),MgAmenClave,0)),"")</f>
        <v/>
      </c>
      <c r="K1011" s="64">
        <f>IFERROR(INDEX('1. Matriz de Activos'!$Q$6:$Q$239,MATCH($C1011,MgActId,0)),"")</f>
        <v/>
      </c>
      <c r="L1011" s="64">
        <f>IFERROR(INDEX('1. Matriz de Activos'!$R$6:$R$239,MATCH($C1011,MgActId,0)),"")</f>
        <v/>
      </c>
      <c r="M1011" s="64">
        <f>IFERROR(INDEX('1. Matriz de Activos'!$S$6:$S$239,MATCH($C1011,MgActId,0)),"")</f>
        <v/>
      </c>
      <c r="N1011" s="28">
        <f>IFERROR(INDEX(MgAmenDegD,MATCH(SUBSTITUTE($H1011,"*","-"),MgAmenClave,0)),"No aplica")</f>
        <v/>
      </c>
      <c r="O1011" s="28">
        <f>IFERROR(INDEX(MgAmenDegI,MATCH(SUBSTITUTE($H1011,"*","-"),MgAmenClave,0)),"No aplica")</f>
        <v/>
      </c>
      <c r="P1011" s="28">
        <f>IFERROR(INDEX(MgAmenDegC,MATCH(SUBSTITUTE($H1011,"*","-"),MgAmenClave,0)),"No aplica")</f>
        <v/>
      </c>
      <c r="Q1011" s="29">
        <f>IFERROR(VLOOKUP(K1011,MgValor,2,0)*VLOOKUP(N1011,MgDeg,2,0),0)</f>
        <v/>
      </c>
      <c r="R1011" s="29">
        <f>IFERROR(VLOOKUP(L1011,MgValor,2,0)*VLOOKUP(O1011,MgDeg,2,0),0)</f>
        <v/>
      </c>
      <c r="S1011" s="29">
        <f>IFERROR(VLOOKUP(M1011,MgValor,2,0)*VLOOKUP(P1011,MgDeg,2,0),0)</f>
        <v/>
      </c>
      <c r="T1011" s="30">
        <f>MAX(Q1011:S1011)</f>
        <v/>
      </c>
      <c r="U1011" s="28">
        <f>IFERROR(LOOKUP(T1011,{0;0.5;1.5;3;4.5},{"Despreciable";"Bajo";"Medio";"Alto";"Muy alto"}),"")</f>
        <v/>
      </c>
      <c r="V1011" s="13">
        <f>IFERROR(INDEX(MgAmenFrec,MATCH(SUBSTITUTE($H1011,"*","-"),MgAmenClave,0)),"")</f>
        <v/>
      </c>
      <c r="W1011" s="28">
        <f>IFERROR(LOOKUP(X1011,{0;0.01;0.1;1;10;100},{"Muy baja";"Muy baja";"Baja";"Media";"Alta";"Muy alta"}),"")</f>
        <v/>
      </c>
      <c r="X1011" s="31">
        <f>IFERROR(VLOOKUP(V1011,MgFrec,2,0),0)</f>
        <v/>
      </c>
      <c r="Y1011" s="30">
        <f>T1011*X1011</f>
        <v/>
      </c>
      <c r="Z1011" s="28">
        <f>IFERROR(LOOKUP(Y1011,{0;0.5;5;25},{"Bajo";"Medio";"Alto";"Crítico"}),"")</f>
        <v/>
      </c>
      <c r="AA1011" s="64">
        <f>IF(T1011&gt;=3,IF(X1011&gt;=1,"Zona 1 — Crítica: impacto alto y ocurre al menos una vez al año","Zona 4 — Catastrófica poco probable: impacto alto pero excepcional"),IF(AND(T1011&lt;1.5,X1011&lt;1),"Zona 3 — Asumible: impacto bajo y muy poco frecuente","Zona 2 — Atención: riesgo intermedio"))</f>
        <v/>
      </c>
      <c r="AB1011" s="64">
        <f>IFERROR(INDEX(MgAmenCtrl,MATCH(SUBSTITUTE($H1011,"*","-"),MgAmenClave,0)),"")</f>
        <v/>
      </c>
      <c r="AC1011" s="20" t="n"/>
      <c r="AD1011" s="31">
        <f>IFERROR($X1011*(1-IF($AC1011="",$AL1011,VLOOKUP($AC1011,MgMad,2,0))),"")</f>
        <v/>
      </c>
      <c r="AE1011" s="28">
        <f>IFERROR(LOOKUP(AD1011,{0;0.01;0.1;1;10;100},{"Muy baja";"Muy baja";"Baja";"Media";"Alta";"Muy alta"}),"")</f>
        <v/>
      </c>
      <c r="AF1011" s="30">
        <f>T1011*AD1011</f>
        <v/>
      </c>
      <c r="AG1011" s="28">
        <f>IFERROR(LOOKUP(AF1011,{0;0.5;5;25},{"Bajo";"Medio";"Alto";"Crítico"}),"")</f>
        <v/>
      </c>
      <c r="AH1011" s="28">
        <f>IF(AG1011="","",IF(OR(AG1011="Crítico",AG1011="Alto"),"Mitigar",IF(AG1011="Medio","Mitigar","Aceptar y monitorear")))</f>
        <v/>
      </c>
      <c r="AI1011" s="21" t="n"/>
      <c r="AJ1011" s="21" t="n"/>
      <c r="AK1011" s="20" t="n"/>
      <c r="AL1011" s="77">
        <f>IFERROR(INDEX(MgAmenEfic,MATCH(SUBSTITUTE($H1011,"*","-"),MgAmenClave,0)),0)</f>
        <v/>
      </c>
    </row>
    <row r="1012" hidden="1" ht="60" customHeight="1" s="54">
      <c r="B1012" s="59" t="inlineStr">
        <is>
          <t>R-1007</t>
        </is>
      </c>
      <c r="C1012" s="59" t="inlineStr">
        <is>
          <t>GH-037</t>
        </is>
      </c>
      <c r="D1012" s="64">
        <f>IFERROR(INDEX(MgNombre,MATCH($C1012,MgActId,0)),"")</f>
        <v/>
      </c>
      <c r="E1012" s="64">
        <f>IFERROR(INDEX(MgProceso,MATCH($C1012,MgActId,0)),"")</f>
        <v/>
      </c>
      <c r="F1012" s="64">
        <f>IFERROR(INDEX(MgTipo,MATCH($C1012,MgActId,0)),"")</f>
        <v/>
      </c>
      <c r="G1012" s="64">
        <f>IFERROR(INDEX(MgSubtipo,MATCH($C1012,MgActId,0)),"")</f>
        <v/>
      </c>
      <c r="H1012" s="59" t="inlineStr">
        <is>
          <t>A.18</t>
        </is>
      </c>
      <c r="I1012" s="64">
        <f>IFERROR(INDEX(MgAmenNombre,MATCH(SUBSTITUTE($H1012,"*","-"),MgAmenClave,0)),"")</f>
        <v/>
      </c>
      <c r="J1012" s="28">
        <f>IFERROR(INDEX(MgAmenGrupo,MATCH(SUBSTITUTE($H1012,"*","-"),MgAmenClave,0)),"")</f>
        <v/>
      </c>
      <c r="K1012" s="64">
        <f>IFERROR(INDEX('1. Matriz de Activos'!$Q$6:$Q$239,MATCH($C1012,MgActId,0)),"")</f>
        <v/>
      </c>
      <c r="L1012" s="64">
        <f>IFERROR(INDEX('1. Matriz de Activos'!$R$6:$R$239,MATCH($C1012,MgActId,0)),"")</f>
        <v/>
      </c>
      <c r="M1012" s="64">
        <f>IFERROR(INDEX('1. Matriz de Activos'!$S$6:$S$239,MATCH($C1012,MgActId,0)),"")</f>
        <v/>
      </c>
      <c r="N1012" s="28">
        <f>IFERROR(INDEX(MgAmenDegD,MATCH(SUBSTITUTE($H1012,"*","-"),MgAmenClave,0)),"No aplica")</f>
        <v/>
      </c>
      <c r="O1012" s="28">
        <f>IFERROR(INDEX(MgAmenDegI,MATCH(SUBSTITUTE($H1012,"*","-"),MgAmenClave,0)),"No aplica")</f>
        <v/>
      </c>
      <c r="P1012" s="28">
        <f>IFERROR(INDEX(MgAmenDegC,MATCH(SUBSTITUTE($H1012,"*","-"),MgAmenClave,0)),"No aplica")</f>
        <v/>
      </c>
      <c r="Q1012" s="29">
        <f>IFERROR(VLOOKUP(K1012,MgValor,2,0)*VLOOKUP(N1012,MgDeg,2,0),0)</f>
        <v/>
      </c>
      <c r="R1012" s="29">
        <f>IFERROR(VLOOKUP(L1012,MgValor,2,0)*VLOOKUP(O1012,MgDeg,2,0),0)</f>
        <v/>
      </c>
      <c r="S1012" s="29">
        <f>IFERROR(VLOOKUP(M1012,MgValor,2,0)*VLOOKUP(P1012,MgDeg,2,0),0)</f>
        <v/>
      </c>
      <c r="T1012" s="30">
        <f>MAX(Q1012:S1012)</f>
        <v/>
      </c>
      <c r="U1012" s="28">
        <f>IFERROR(LOOKUP(T1012,{0;0.5;1.5;3;4.5},{"Despreciable";"Bajo";"Medio";"Alto";"Muy alto"}),"")</f>
        <v/>
      </c>
      <c r="V1012" s="13">
        <f>IFERROR(INDEX(MgAmenFrec,MATCH(SUBSTITUTE($H1012,"*","-"),MgAmenClave,0)),"")</f>
        <v/>
      </c>
      <c r="W1012" s="28">
        <f>IFERROR(LOOKUP(X1012,{0;0.01;0.1;1;10;100},{"Muy baja";"Muy baja";"Baja";"Media";"Alta";"Muy alta"}),"")</f>
        <v/>
      </c>
      <c r="X1012" s="31">
        <f>IFERROR(VLOOKUP(V1012,MgFrec,2,0),0)</f>
        <v/>
      </c>
      <c r="Y1012" s="30">
        <f>T1012*X1012</f>
        <v/>
      </c>
      <c r="Z1012" s="28">
        <f>IFERROR(LOOKUP(Y1012,{0;0.5;5;25},{"Bajo";"Medio";"Alto";"Crítico"}),"")</f>
        <v/>
      </c>
      <c r="AA1012" s="64">
        <f>IF(T1012&gt;=3,IF(X1012&gt;=1,"Zona 1 — Crítica: impacto alto y ocurre al menos una vez al año","Zona 4 — Catastrófica poco probable: impacto alto pero excepcional"),IF(AND(T1012&lt;1.5,X1012&lt;1),"Zona 3 — Asumible: impacto bajo y muy poco frecuente","Zona 2 — Atención: riesgo intermedio"))</f>
        <v/>
      </c>
      <c r="AB1012" s="64">
        <f>IFERROR(INDEX(MgAmenCtrl,MATCH(SUBSTITUTE($H1012,"*","-"),MgAmenClave,0)),"")</f>
        <v/>
      </c>
      <c r="AC1012" s="20" t="n"/>
      <c r="AD1012" s="31">
        <f>IFERROR($X1012*(1-IF($AC1012="",$AL1012,VLOOKUP($AC1012,MgMad,2,0))),"")</f>
        <v/>
      </c>
      <c r="AE1012" s="28">
        <f>IFERROR(LOOKUP(AD1012,{0;0.01;0.1;1;10;100},{"Muy baja";"Muy baja";"Baja";"Media";"Alta";"Muy alta"}),"")</f>
        <v/>
      </c>
      <c r="AF1012" s="30">
        <f>T1012*AD1012</f>
        <v/>
      </c>
      <c r="AG1012" s="28">
        <f>IFERROR(LOOKUP(AF1012,{0;0.5;5;25},{"Bajo";"Medio";"Alto";"Crítico"}),"")</f>
        <v/>
      </c>
      <c r="AH1012" s="28">
        <f>IF(AG1012="","",IF(OR(AG1012="Crítico",AG1012="Alto"),"Mitigar",IF(AG1012="Medio","Mitigar","Aceptar y monitorear")))</f>
        <v/>
      </c>
      <c r="AI1012" s="21" t="n"/>
      <c r="AJ1012" s="21" t="n"/>
      <c r="AK1012" s="20" t="n"/>
      <c r="AL1012" s="77">
        <f>IFERROR(INDEX(MgAmenEfic,MATCH(SUBSTITUTE($H1012,"*","-"),MgAmenClave,0)),0)</f>
        <v/>
      </c>
    </row>
    <row r="1013" hidden="1" ht="120" customHeight="1" s="54">
      <c r="B1013" s="59" t="inlineStr">
        <is>
          <t>R-1008</t>
        </is>
      </c>
      <c r="C1013" s="59" t="inlineStr">
        <is>
          <t>GH-037</t>
        </is>
      </c>
      <c r="D1013" s="64">
        <f>IFERROR(INDEX(MgNombre,MATCH($C1013,MgActId,0)),"")</f>
        <v/>
      </c>
      <c r="E1013" s="64">
        <f>IFERROR(INDEX(MgProceso,MATCH($C1013,MgActId,0)),"")</f>
        <v/>
      </c>
      <c r="F1013" s="64">
        <f>IFERROR(INDEX(MgTipo,MATCH($C1013,MgActId,0)),"")</f>
        <v/>
      </c>
      <c r="G1013" s="64">
        <f>IFERROR(INDEX(MgSubtipo,MATCH($C1013,MgActId,0)),"")</f>
        <v/>
      </c>
      <c r="H1013" s="59" t="inlineStr">
        <is>
          <t>A.19</t>
        </is>
      </c>
      <c r="I1013" s="64">
        <f>IFERROR(INDEX(MgAmenNombre,MATCH(SUBSTITUTE($H1013,"*","-"),MgAmenClave,0)),"")</f>
        <v/>
      </c>
      <c r="J1013" s="28">
        <f>IFERROR(INDEX(MgAmenGrupo,MATCH(SUBSTITUTE($H1013,"*","-"),MgAmenClave,0)),"")</f>
        <v/>
      </c>
      <c r="K1013" s="64">
        <f>IFERROR(INDEX('1. Matriz de Activos'!$Q$6:$Q$239,MATCH($C1013,MgActId,0)),"")</f>
        <v/>
      </c>
      <c r="L1013" s="64">
        <f>IFERROR(INDEX('1. Matriz de Activos'!$R$6:$R$239,MATCH($C1013,MgActId,0)),"")</f>
        <v/>
      </c>
      <c r="M1013" s="64">
        <f>IFERROR(INDEX('1. Matriz de Activos'!$S$6:$S$239,MATCH($C1013,MgActId,0)),"")</f>
        <v/>
      </c>
      <c r="N1013" s="28">
        <f>IFERROR(INDEX(MgAmenDegD,MATCH(SUBSTITUTE($H1013,"*","-"),MgAmenClave,0)),"No aplica")</f>
        <v/>
      </c>
      <c r="O1013" s="28">
        <f>IFERROR(INDEX(MgAmenDegI,MATCH(SUBSTITUTE($H1013,"*","-"),MgAmenClave,0)),"No aplica")</f>
        <v/>
      </c>
      <c r="P1013" s="28">
        <f>IFERROR(INDEX(MgAmenDegC,MATCH(SUBSTITUTE($H1013,"*","-"),MgAmenClave,0)),"No aplica")</f>
        <v/>
      </c>
      <c r="Q1013" s="29">
        <f>IFERROR(VLOOKUP(K1013,MgValor,2,0)*VLOOKUP(N1013,MgDeg,2,0),0)</f>
        <v/>
      </c>
      <c r="R1013" s="29">
        <f>IFERROR(VLOOKUP(L1013,MgValor,2,0)*VLOOKUP(O1013,MgDeg,2,0),0)</f>
        <v/>
      </c>
      <c r="S1013" s="29">
        <f>IFERROR(VLOOKUP(M1013,MgValor,2,0)*VLOOKUP(P1013,MgDeg,2,0),0)</f>
        <v/>
      </c>
      <c r="T1013" s="30">
        <f>MAX(Q1013:S1013)</f>
        <v/>
      </c>
      <c r="U1013" s="28">
        <f>IFERROR(LOOKUP(T1013,{0;0.5;1.5;3;4.5},{"Despreciable";"Bajo";"Medio";"Alto";"Muy alto"}),"")</f>
        <v/>
      </c>
      <c r="V1013" s="13">
        <f>IFERROR(INDEX(MgAmenFrec,MATCH(SUBSTITUTE($H1013,"*","-"),MgAmenClave,0)),"")</f>
        <v/>
      </c>
      <c r="W1013" s="28">
        <f>IFERROR(LOOKUP(X1013,{0;0.01;0.1;1;10;100},{"Muy baja";"Muy baja";"Baja";"Media";"Alta";"Muy alta"}),"")</f>
        <v/>
      </c>
      <c r="X1013" s="31">
        <f>IFERROR(VLOOKUP(V1013,MgFrec,2,0),0)</f>
        <v/>
      </c>
      <c r="Y1013" s="30">
        <f>T1013*X1013</f>
        <v/>
      </c>
      <c r="Z1013" s="28">
        <f>IFERROR(LOOKUP(Y1013,{0;0.5;5;25},{"Bajo";"Medio";"Alto";"Crítico"}),"")</f>
        <v/>
      </c>
      <c r="AA1013" s="64">
        <f>IF(T1013&gt;=3,IF(X1013&gt;=1,"Zona 1 — Crítica: impacto alto y ocurre al menos una vez al año","Zona 4 — Catastrófica poco probable: impacto alto pero excepcional"),IF(AND(T1013&lt;1.5,X1013&lt;1),"Zona 3 — Asumible: impacto bajo y muy poco frecuente","Zona 2 — Atención: riesgo intermedio"))</f>
        <v/>
      </c>
      <c r="AB1013" s="64">
        <f>IFERROR(INDEX(MgAmenCtrl,MATCH(SUBSTITUTE($H1013,"*","-"),MgAmenClave,0)),"")</f>
        <v/>
      </c>
      <c r="AC1013" s="20" t="n"/>
      <c r="AD1013" s="31">
        <f>IFERROR($X1013*(1-IF($AC1013="",$AL1013,VLOOKUP($AC1013,MgMad,2,0))),"")</f>
        <v/>
      </c>
      <c r="AE1013" s="28">
        <f>IFERROR(LOOKUP(AD1013,{0;0.01;0.1;1;10;100},{"Muy baja";"Muy baja";"Baja";"Media";"Alta";"Muy alta"}),"")</f>
        <v/>
      </c>
      <c r="AF1013" s="30">
        <f>T1013*AD1013</f>
        <v/>
      </c>
      <c r="AG1013" s="28">
        <f>IFERROR(LOOKUP(AF1013,{0;0.5;5;25},{"Bajo";"Medio";"Alto";"Crítico"}),"")</f>
        <v/>
      </c>
      <c r="AH1013" s="28">
        <f>IF(AG1013="","",IF(OR(AG1013="Crítico",AG1013="Alto"),"Mitigar",IF(AG1013="Medio","Mitigar","Aceptar y monitorear")))</f>
        <v/>
      </c>
      <c r="AI1013" s="21" t="n"/>
      <c r="AJ1013" s="21" t="n"/>
      <c r="AK1013" s="20" t="n"/>
      <c r="AL1013" s="77">
        <f>IFERROR(INDEX(MgAmenEfic,MATCH(SUBSTITUTE($H1013,"*","-"),MgAmenClave,0)),0)</f>
        <v/>
      </c>
    </row>
    <row r="1014" hidden="1" ht="105" customHeight="1" s="54">
      <c r="B1014" s="59" t="inlineStr">
        <is>
          <t>R-1009</t>
        </is>
      </c>
      <c r="C1014" s="59" t="inlineStr">
        <is>
          <t>GH-044</t>
        </is>
      </c>
      <c r="D1014" s="64">
        <f>IFERROR(INDEX(MgNombre,MATCH($C1014,MgActId,0)),"")</f>
        <v/>
      </c>
      <c r="E1014" s="64">
        <f>IFERROR(INDEX(MgProceso,MATCH($C1014,MgActId,0)),"")</f>
        <v/>
      </c>
      <c r="F1014" s="64">
        <f>IFERROR(INDEX(MgTipo,MATCH($C1014,MgActId,0)),"")</f>
        <v/>
      </c>
      <c r="G1014" s="64">
        <f>IFERROR(INDEX(MgSubtipo,MATCH($C1014,MgActId,0)),"")</f>
        <v/>
      </c>
      <c r="H1014" s="59" t="inlineStr">
        <is>
          <t>E.1</t>
        </is>
      </c>
      <c r="I1014" s="64">
        <f>IFERROR(INDEX(MgAmenNombre,MATCH(SUBSTITUTE($H1014,"*","-"),MgAmenClave,0)),"")</f>
        <v/>
      </c>
      <c r="J1014" s="28">
        <f>IFERROR(INDEX(MgAmenGrupo,MATCH(SUBSTITUTE($H1014,"*","-"),MgAmenClave,0)),"")</f>
        <v/>
      </c>
      <c r="K1014" s="64">
        <f>IFERROR(INDEX('1. Matriz de Activos'!$Q$6:$Q$239,MATCH($C1014,MgActId,0)),"")</f>
        <v/>
      </c>
      <c r="L1014" s="64">
        <f>IFERROR(INDEX('1. Matriz de Activos'!$R$6:$R$239,MATCH($C1014,MgActId,0)),"")</f>
        <v/>
      </c>
      <c r="M1014" s="64">
        <f>IFERROR(INDEX('1. Matriz de Activos'!$S$6:$S$239,MATCH($C1014,MgActId,0)),"")</f>
        <v/>
      </c>
      <c r="N1014" s="28">
        <f>IFERROR(INDEX(MgAmenDegD,MATCH(SUBSTITUTE($H1014,"*","-"),MgAmenClave,0)),"No aplica")</f>
        <v/>
      </c>
      <c r="O1014" s="28">
        <f>IFERROR(INDEX(MgAmenDegI,MATCH(SUBSTITUTE($H1014,"*","-"),MgAmenClave,0)),"No aplica")</f>
        <v/>
      </c>
      <c r="P1014" s="28">
        <f>IFERROR(INDEX(MgAmenDegC,MATCH(SUBSTITUTE($H1014,"*","-"),MgAmenClave,0)),"No aplica")</f>
        <v/>
      </c>
      <c r="Q1014" s="29">
        <f>IFERROR(VLOOKUP(K1014,MgValor,2,0)*VLOOKUP(N1014,MgDeg,2,0),0)</f>
        <v/>
      </c>
      <c r="R1014" s="29">
        <f>IFERROR(VLOOKUP(L1014,MgValor,2,0)*VLOOKUP(O1014,MgDeg,2,0),0)</f>
        <v/>
      </c>
      <c r="S1014" s="29">
        <f>IFERROR(VLOOKUP(M1014,MgValor,2,0)*VLOOKUP(P1014,MgDeg,2,0),0)</f>
        <v/>
      </c>
      <c r="T1014" s="30">
        <f>MAX(Q1014:S1014)</f>
        <v/>
      </c>
      <c r="U1014" s="28">
        <f>IFERROR(LOOKUP(T1014,{0;0.5;1.5;3;4.5},{"Despreciable";"Bajo";"Medio";"Alto";"Muy alto"}),"")</f>
        <v/>
      </c>
      <c r="V1014" s="13">
        <f>IFERROR(INDEX(MgAmenFrec,MATCH(SUBSTITUTE($H1014,"*","-"),MgAmenClave,0)),"")</f>
        <v/>
      </c>
      <c r="W1014" s="28">
        <f>IFERROR(LOOKUP(X1014,{0;0.01;0.1;1;10;100},{"Muy baja";"Muy baja";"Baja";"Media";"Alta";"Muy alta"}),"")</f>
        <v/>
      </c>
      <c r="X1014" s="31">
        <f>IFERROR(VLOOKUP(V1014,MgFrec,2,0),0)</f>
        <v/>
      </c>
      <c r="Y1014" s="30">
        <f>T1014*X1014</f>
        <v/>
      </c>
      <c r="Z1014" s="28">
        <f>IFERROR(LOOKUP(Y1014,{0;0.5;5;25},{"Bajo";"Medio";"Alto";"Crítico"}),"")</f>
        <v/>
      </c>
      <c r="AA1014" s="64">
        <f>IF(T1014&gt;=3,IF(X1014&gt;=1,"Zona 1 — Crítica: impacto alto y ocurre al menos una vez al año","Zona 4 — Catastrófica poco probable: impacto alto pero excepcional"),IF(AND(T1014&lt;1.5,X1014&lt;1),"Zona 3 — Asumible: impacto bajo y muy poco frecuente","Zona 2 — Atención: riesgo intermedio"))</f>
        <v/>
      </c>
      <c r="AB1014" s="64">
        <f>IFERROR(INDEX(MgAmenCtrl,MATCH(SUBSTITUTE($H1014,"*","-"),MgAmenClave,0)),"")</f>
        <v/>
      </c>
      <c r="AC1014" s="20" t="n"/>
      <c r="AD1014" s="31">
        <f>IFERROR($X1014*(1-IF($AC1014="",$AL1014,VLOOKUP($AC1014,MgMad,2,0))),"")</f>
        <v/>
      </c>
      <c r="AE1014" s="28">
        <f>IFERROR(LOOKUP(AD1014,{0;0.01;0.1;1;10;100},{"Muy baja";"Muy baja";"Baja";"Media";"Alta";"Muy alta"}),"")</f>
        <v/>
      </c>
      <c r="AF1014" s="30">
        <f>T1014*AD1014</f>
        <v/>
      </c>
      <c r="AG1014" s="28">
        <f>IFERROR(LOOKUP(AF1014,{0;0.5;5;25},{"Bajo";"Medio";"Alto";"Crítico"}),"")</f>
        <v/>
      </c>
      <c r="AH1014" s="28">
        <f>IF(AG1014="","",IF(OR(AG1014="Crítico",AG1014="Alto"),"Mitigar",IF(AG1014="Medio","Mitigar","Aceptar y monitorear")))</f>
        <v/>
      </c>
      <c r="AI1014" s="21" t="n"/>
      <c r="AJ1014" s="21" t="n"/>
      <c r="AK1014" s="20" t="n"/>
      <c r="AL1014" s="77">
        <f>IFERROR(INDEX(MgAmenEfic,MATCH(SUBSTITUTE($H1014,"*","-"),MgAmenClave,0)),0)</f>
        <v/>
      </c>
    </row>
    <row r="1015" hidden="1" ht="120" customHeight="1" s="54">
      <c r="B1015" s="59" t="inlineStr">
        <is>
          <t>R-1010</t>
        </is>
      </c>
      <c r="C1015" s="59" t="inlineStr">
        <is>
          <t>GH-044</t>
        </is>
      </c>
      <c r="D1015" s="64">
        <f>IFERROR(INDEX(MgNombre,MATCH($C1015,MgActId,0)),"")</f>
        <v/>
      </c>
      <c r="E1015" s="64">
        <f>IFERROR(INDEX(MgProceso,MATCH($C1015,MgActId,0)),"")</f>
        <v/>
      </c>
      <c r="F1015" s="64">
        <f>IFERROR(INDEX(MgTipo,MATCH($C1015,MgActId,0)),"")</f>
        <v/>
      </c>
      <c r="G1015" s="64">
        <f>IFERROR(INDEX(MgSubtipo,MATCH($C1015,MgActId,0)),"")</f>
        <v/>
      </c>
      <c r="H1015" s="59" t="inlineStr">
        <is>
          <t>E.2</t>
        </is>
      </c>
      <c r="I1015" s="64">
        <f>IFERROR(INDEX(MgAmenNombre,MATCH(SUBSTITUTE($H1015,"*","-"),MgAmenClave,0)),"")</f>
        <v/>
      </c>
      <c r="J1015" s="28">
        <f>IFERROR(INDEX(MgAmenGrupo,MATCH(SUBSTITUTE($H1015,"*","-"),MgAmenClave,0)),"")</f>
        <v/>
      </c>
      <c r="K1015" s="64">
        <f>IFERROR(INDEX('1. Matriz de Activos'!$Q$6:$Q$239,MATCH($C1015,MgActId,0)),"")</f>
        <v/>
      </c>
      <c r="L1015" s="64">
        <f>IFERROR(INDEX('1. Matriz de Activos'!$R$6:$R$239,MATCH($C1015,MgActId,0)),"")</f>
        <v/>
      </c>
      <c r="M1015" s="64">
        <f>IFERROR(INDEX('1. Matriz de Activos'!$S$6:$S$239,MATCH($C1015,MgActId,0)),"")</f>
        <v/>
      </c>
      <c r="N1015" s="28">
        <f>IFERROR(INDEX(MgAmenDegD,MATCH(SUBSTITUTE($H1015,"*","-"),MgAmenClave,0)),"No aplica")</f>
        <v/>
      </c>
      <c r="O1015" s="28">
        <f>IFERROR(INDEX(MgAmenDegI,MATCH(SUBSTITUTE($H1015,"*","-"),MgAmenClave,0)),"No aplica")</f>
        <v/>
      </c>
      <c r="P1015" s="28">
        <f>IFERROR(INDEX(MgAmenDegC,MATCH(SUBSTITUTE($H1015,"*","-"),MgAmenClave,0)),"No aplica")</f>
        <v/>
      </c>
      <c r="Q1015" s="29">
        <f>IFERROR(VLOOKUP(K1015,MgValor,2,0)*VLOOKUP(N1015,MgDeg,2,0),0)</f>
        <v/>
      </c>
      <c r="R1015" s="29">
        <f>IFERROR(VLOOKUP(L1015,MgValor,2,0)*VLOOKUP(O1015,MgDeg,2,0),0)</f>
        <v/>
      </c>
      <c r="S1015" s="29">
        <f>IFERROR(VLOOKUP(M1015,MgValor,2,0)*VLOOKUP(P1015,MgDeg,2,0),0)</f>
        <v/>
      </c>
      <c r="T1015" s="30">
        <f>MAX(Q1015:S1015)</f>
        <v/>
      </c>
      <c r="U1015" s="28">
        <f>IFERROR(LOOKUP(T1015,{0;0.5;1.5;3;4.5},{"Despreciable";"Bajo";"Medio";"Alto";"Muy alto"}),"")</f>
        <v/>
      </c>
      <c r="V1015" s="13">
        <f>IFERROR(INDEX(MgAmenFrec,MATCH(SUBSTITUTE($H1015,"*","-"),MgAmenClave,0)),"")</f>
        <v/>
      </c>
      <c r="W1015" s="28">
        <f>IFERROR(LOOKUP(X1015,{0;0.01;0.1;1;10;100},{"Muy baja";"Muy baja";"Baja";"Media";"Alta";"Muy alta"}),"")</f>
        <v/>
      </c>
      <c r="X1015" s="31">
        <f>IFERROR(VLOOKUP(V1015,MgFrec,2,0),0)</f>
        <v/>
      </c>
      <c r="Y1015" s="30">
        <f>T1015*X1015</f>
        <v/>
      </c>
      <c r="Z1015" s="28">
        <f>IFERROR(LOOKUP(Y1015,{0;0.5;5;25},{"Bajo";"Medio";"Alto";"Crítico"}),"")</f>
        <v/>
      </c>
      <c r="AA1015" s="64">
        <f>IF(T1015&gt;=3,IF(X1015&gt;=1,"Zona 1 — Crítica: impacto alto y ocurre al menos una vez al año","Zona 4 — Catastrófica poco probable: impacto alto pero excepcional"),IF(AND(T1015&lt;1.5,X1015&lt;1),"Zona 3 — Asumible: impacto bajo y muy poco frecuente","Zona 2 — Atención: riesgo intermedio"))</f>
        <v/>
      </c>
      <c r="AB1015" s="64">
        <f>IFERROR(INDEX(MgAmenCtrl,MATCH(SUBSTITUTE($H1015,"*","-"),MgAmenClave,0)),"")</f>
        <v/>
      </c>
      <c r="AC1015" s="20" t="n"/>
      <c r="AD1015" s="31">
        <f>IFERROR($X1015*(1-IF($AC1015="",$AL1015,VLOOKUP($AC1015,MgMad,2,0))),"")</f>
        <v/>
      </c>
      <c r="AE1015" s="28">
        <f>IFERROR(LOOKUP(AD1015,{0;0.01;0.1;1;10;100},{"Muy baja";"Muy baja";"Baja";"Media";"Alta";"Muy alta"}),"")</f>
        <v/>
      </c>
      <c r="AF1015" s="30">
        <f>T1015*AD1015</f>
        <v/>
      </c>
      <c r="AG1015" s="28">
        <f>IFERROR(LOOKUP(AF1015,{0;0.5;5;25},{"Bajo";"Medio";"Alto";"Crítico"}),"")</f>
        <v/>
      </c>
      <c r="AH1015" s="28">
        <f>IF(AG1015="","",IF(OR(AG1015="Crítico",AG1015="Alto"),"Mitigar",IF(AG1015="Medio","Mitigar","Aceptar y monitorear")))</f>
        <v/>
      </c>
      <c r="AI1015" s="21" t="n"/>
      <c r="AJ1015" s="21" t="n"/>
      <c r="AK1015" s="20" t="n"/>
      <c r="AL1015" s="77">
        <f>IFERROR(INDEX(MgAmenEfic,MATCH(SUBSTITUTE($H1015,"*","-"),MgAmenClave,0)),0)</f>
        <v/>
      </c>
    </row>
    <row r="1016" hidden="1" ht="75" customHeight="1" s="54">
      <c r="B1016" s="59" t="inlineStr">
        <is>
          <t>R-1011</t>
        </is>
      </c>
      <c r="C1016" s="59" t="inlineStr">
        <is>
          <t>GH-044</t>
        </is>
      </c>
      <c r="D1016" s="64">
        <f>IFERROR(INDEX(MgNombre,MATCH($C1016,MgActId,0)),"")</f>
        <v/>
      </c>
      <c r="E1016" s="64">
        <f>IFERROR(INDEX(MgProceso,MATCH($C1016,MgActId,0)),"")</f>
        <v/>
      </c>
      <c r="F1016" s="64">
        <f>IFERROR(INDEX(MgTipo,MATCH($C1016,MgActId,0)),"")</f>
        <v/>
      </c>
      <c r="G1016" s="64">
        <f>IFERROR(INDEX(MgSubtipo,MATCH($C1016,MgActId,0)),"")</f>
        <v/>
      </c>
      <c r="H1016" s="59" t="inlineStr">
        <is>
          <t>E.3</t>
        </is>
      </c>
      <c r="I1016" s="64">
        <f>IFERROR(INDEX(MgAmenNombre,MATCH(SUBSTITUTE($H1016,"*","-"),MgAmenClave,0)),"")</f>
        <v/>
      </c>
      <c r="J1016" s="28">
        <f>IFERROR(INDEX(MgAmenGrupo,MATCH(SUBSTITUTE($H1016,"*","-"),MgAmenClave,0)),"")</f>
        <v/>
      </c>
      <c r="K1016" s="64">
        <f>IFERROR(INDEX('1. Matriz de Activos'!$Q$6:$Q$239,MATCH($C1016,MgActId,0)),"")</f>
        <v/>
      </c>
      <c r="L1016" s="64">
        <f>IFERROR(INDEX('1. Matriz de Activos'!$R$6:$R$239,MATCH($C1016,MgActId,0)),"")</f>
        <v/>
      </c>
      <c r="M1016" s="64">
        <f>IFERROR(INDEX('1. Matriz de Activos'!$S$6:$S$239,MATCH($C1016,MgActId,0)),"")</f>
        <v/>
      </c>
      <c r="N1016" s="28">
        <f>IFERROR(INDEX(MgAmenDegD,MATCH(SUBSTITUTE($H1016,"*","-"),MgAmenClave,0)),"No aplica")</f>
        <v/>
      </c>
      <c r="O1016" s="28">
        <f>IFERROR(INDEX(MgAmenDegI,MATCH(SUBSTITUTE($H1016,"*","-"),MgAmenClave,0)),"No aplica")</f>
        <v/>
      </c>
      <c r="P1016" s="28">
        <f>IFERROR(INDEX(MgAmenDegC,MATCH(SUBSTITUTE($H1016,"*","-"),MgAmenClave,0)),"No aplica")</f>
        <v/>
      </c>
      <c r="Q1016" s="29">
        <f>IFERROR(VLOOKUP(K1016,MgValor,2,0)*VLOOKUP(N1016,MgDeg,2,0),0)</f>
        <v/>
      </c>
      <c r="R1016" s="29">
        <f>IFERROR(VLOOKUP(L1016,MgValor,2,0)*VLOOKUP(O1016,MgDeg,2,0),0)</f>
        <v/>
      </c>
      <c r="S1016" s="29">
        <f>IFERROR(VLOOKUP(M1016,MgValor,2,0)*VLOOKUP(P1016,MgDeg,2,0),0)</f>
        <v/>
      </c>
      <c r="T1016" s="30">
        <f>MAX(Q1016:S1016)</f>
        <v/>
      </c>
      <c r="U1016" s="28">
        <f>IFERROR(LOOKUP(T1016,{0;0.5;1.5;3;4.5},{"Despreciable";"Bajo";"Medio";"Alto";"Muy alto"}),"")</f>
        <v/>
      </c>
      <c r="V1016" s="13">
        <f>IFERROR(INDEX(MgAmenFrec,MATCH(SUBSTITUTE($H1016,"*","-"),MgAmenClave,0)),"")</f>
        <v/>
      </c>
      <c r="W1016" s="28">
        <f>IFERROR(LOOKUP(X1016,{0;0.01;0.1;1;10;100},{"Muy baja";"Muy baja";"Baja";"Media";"Alta";"Muy alta"}),"")</f>
        <v/>
      </c>
      <c r="X1016" s="31">
        <f>IFERROR(VLOOKUP(V1016,MgFrec,2,0),0)</f>
        <v/>
      </c>
      <c r="Y1016" s="30">
        <f>T1016*X1016</f>
        <v/>
      </c>
      <c r="Z1016" s="28">
        <f>IFERROR(LOOKUP(Y1016,{0;0.5;5;25},{"Bajo";"Medio";"Alto";"Crítico"}),"")</f>
        <v/>
      </c>
      <c r="AA1016" s="64">
        <f>IF(T1016&gt;=3,IF(X1016&gt;=1,"Zona 1 — Crítica: impacto alto y ocurre al menos una vez al año","Zona 4 — Catastrófica poco probable: impacto alto pero excepcional"),IF(AND(T1016&lt;1.5,X1016&lt;1),"Zona 3 — Asumible: impacto bajo y muy poco frecuente","Zona 2 — Atención: riesgo intermedio"))</f>
        <v/>
      </c>
      <c r="AB1016" s="64">
        <f>IFERROR(INDEX(MgAmenCtrl,MATCH(SUBSTITUTE($H1016,"*","-"),MgAmenClave,0)),"")</f>
        <v/>
      </c>
      <c r="AC1016" s="20" t="n"/>
      <c r="AD1016" s="31">
        <f>IFERROR($X1016*(1-IF($AC1016="",$AL1016,VLOOKUP($AC1016,MgMad,2,0))),"")</f>
        <v/>
      </c>
      <c r="AE1016" s="28">
        <f>IFERROR(LOOKUP(AD1016,{0;0.01;0.1;1;10;100},{"Muy baja";"Muy baja";"Baja";"Media";"Alta";"Muy alta"}),"")</f>
        <v/>
      </c>
      <c r="AF1016" s="30">
        <f>T1016*AD1016</f>
        <v/>
      </c>
      <c r="AG1016" s="28">
        <f>IFERROR(LOOKUP(AF1016,{0;0.5;5;25},{"Bajo";"Medio";"Alto";"Crítico"}),"")</f>
        <v/>
      </c>
      <c r="AH1016" s="28">
        <f>IF(AG1016="","",IF(OR(AG1016="Crítico",AG1016="Alto"),"Mitigar",IF(AG1016="Medio","Mitigar","Aceptar y monitorear")))</f>
        <v/>
      </c>
      <c r="AI1016" s="21" t="n"/>
      <c r="AJ1016" s="21" t="n"/>
      <c r="AK1016" s="20" t="n"/>
      <c r="AL1016" s="77">
        <f>IFERROR(INDEX(MgAmenEfic,MATCH(SUBSTITUTE($H1016,"*","-"),MgAmenClave,0)),0)</f>
        <v/>
      </c>
    </row>
    <row r="1017" hidden="1" ht="75" customHeight="1" s="54">
      <c r="B1017" s="59" t="inlineStr">
        <is>
          <t>R-1012</t>
        </is>
      </c>
      <c r="C1017" s="59" t="inlineStr">
        <is>
          <t>GH-044</t>
        </is>
      </c>
      <c r="D1017" s="64">
        <f>IFERROR(INDEX(MgNombre,MATCH($C1017,MgActId,0)),"")</f>
        <v/>
      </c>
      <c r="E1017" s="64">
        <f>IFERROR(INDEX(MgProceso,MATCH($C1017,MgActId,0)),"")</f>
        <v/>
      </c>
      <c r="F1017" s="64">
        <f>IFERROR(INDEX(MgTipo,MATCH($C1017,MgActId,0)),"")</f>
        <v/>
      </c>
      <c r="G1017" s="64">
        <f>IFERROR(INDEX(MgSubtipo,MATCH($C1017,MgActId,0)),"")</f>
        <v/>
      </c>
      <c r="H1017" s="59" t="inlineStr">
        <is>
          <t>E.4</t>
        </is>
      </c>
      <c r="I1017" s="64">
        <f>IFERROR(INDEX(MgAmenNombre,MATCH(SUBSTITUTE($H1017,"*","-"),MgAmenClave,0)),"")</f>
        <v/>
      </c>
      <c r="J1017" s="28">
        <f>IFERROR(INDEX(MgAmenGrupo,MATCH(SUBSTITUTE($H1017,"*","-"),MgAmenClave,0)),"")</f>
        <v/>
      </c>
      <c r="K1017" s="64">
        <f>IFERROR(INDEX('1. Matriz de Activos'!$Q$6:$Q$239,MATCH($C1017,MgActId,0)),"")</f>
        <v/>
      </c>
      <c r="L1017" s="64">
        <f>IFERROR(INDEX('1. Matriz de Activos'!$R$6:$R$239,MATCH($C1017,MgActId,0)),"")</f>
        <v/>
      </c>
      <c r="M1017" s="64">
        <f>IFERROR(INDEX('1. Matriz de Activos'!$S$6:$S$239,MATCH($C1017,MgActId,0)),"")</f>
        <v/>
      </c>
      <c r="N1017" s="28">
        <f>IFERROR(INDEX(MgAmenDegD,MATCH(SUBSTITUTE($H1017,"*","-"),MgAmenClave,0)),"No aplica")</f>
        <v/>
      </c>
      <c r="O1017" s="28">
        <f>IFERROR(INDEX(MgAmenDegI,MATCH(SUBSTITUTE($H1017,"*","-"),MgAmenClave,0)),"No aplica")</f>
        <v/>
      </c>
      <c r="P1017" s="28">
        <f>IFERROR(INDEX(MgAmenDegC,MATCH(SUBSTITUTE($H1017,"*","-"),MgAmenClave,0)),"No aplica")</f>
        <v/>
      </c>
      <c r="Q1017" s="29">
        <f>IFERROR(VLOOKUP(K1017,MgValor,2,0)*VLOOKUP(N1017,MgDeg,2,0),0)</f>
        <v/>
      </c>
      <c r="R1017" s="29">
        <f>IFERROR(VLOOKUP(L1017,MgValor,2,0)*VLOOKUP(O1017,MgDeg,2,0),0)</f>
        <v/>
      </c>
      <c r="S1017" s="29">
        <f>IFERROR(VLOOKUP(M1017,MgValor,2,0)*VLOOKUP(P1017,MgDeg,2,0),0)</f>
        <v/>
      </c>
      <c r="T1017" s="30">
        <f>MAX(Q1017:S1017)</f>
        <v/>
      </c>
      <c r="U1017" s="28">
        <f>IFERROR(LOOKUP(T1017,{0;0.5;1.5;3;4.5},{"Despreciable";"Bajo";"Medio";"Alto";"Muy alto"}),"")</f>
        <v/>
      </c>
      <c r="V1017" s="13">
        <f>IFERROR(INDEX(MgAmenFrec,MATCH(SUBSTITUTE($H1017,"*","-"),MgAmenClave,0)),"")</f>
        <v/>
      </c>
      <c r="W1017" s="28">
        <f>IFERROR(LOOKUP(X1017,{0;0.01;0.1;1;10;100},{"Muy baja";"Muy baja";"Baja";"Media";"Alta";"Muy alta"}),"")</f>
        <v/>
      </c>
      <c r="X1017" s="31">
        <f>IFERROR(VLOOKUP(V1017,MgFrec,2,0),0)</f>
        <v/>
      </c>
      <c r="Y1017" s="30">
        <f>T1017*X1017</f>
        <v/>
      </c>
      <c r="Z1017" s="28">
        <f>IFERROR(LOOKUP(Y1017,{0;0.5;5;25},{"Bajo";"Medio";"Alto";"Crítico"}),"")</f>
        <v/>
      </c>
      <c r="AA1017" s="64">
        <f>IF(T1017&gt;=3,IF(X1017&gt;=1,"Zona 1 — Crítica: impacto alto y ocurre al menos una vez al año","Zona 4 — Catastrófica poco probable: impacto alto pero excepcional"),IF(AND(T1017&lt;1.5,X1017&lt;1),"Zona 3 — Asumible: impacto bajo y muy poco frecuente","Zona 2 — Atención: riesgo intermedio"))</f>
        <v/>
      </c>
      <c r="AB1017" s="64">
        <f>IFERROR(INDEX(MgAmenCtrl,MATCH(SUBSTITUTE($H1017,"*","-"),MgAmenClave,0)),"")</f>
        <v/>
      </c>
      <c r="AC1017" s="20" t="n"/>
      <c r="AD1017" s="31">
        <f>IFERROR($X1017*(1-IF($AC1017="",$AL1017,VLOOKUP($AC1017,MgMad,2,0))),"")</f>
        <v/>
      </c>
      <c r="AE1017" s="28">
        <f>IFERROR(LOOKUP(AD1017,{0;0.01;0.1;1;10;100},{"Muy baja";"Muy baja";"Baja";"Media";"Alta";"Muy alta"}),"")</f>
        <v/>
      </c>
      <c r="AF1017" s="30">
        <f>T1017*AD1017</f>
        <v/>
      </c>
      <c r="AG1017" s="28">
        <f>IFERROR(LOOKUP(AF1017,{0;0.5;5;25},{"Bajo";"Medio";"Alto";"Crítico"}),"")</f>
        <v/>
      </c>
      <c r="AH1017" s="28">
        <f>IF(AG1017="","",IF(OR(AG1017="Crítico",AG1017="Alto"),"Mitigar",IF(AG1017="Medio","Mitigar","Aceptar y monitorear")))</f>
        <v/>
      </c>
      <c r="AI1017" s="21" t="n"/>
      <c r="AJ1017" s="21" t="n"/>
      <c r="AK1017" s="20" t="n"/>
      <c r="AL1017" s="77">
        <f>IFERROR(INDEX(MgAmenEfic,MATCH(SUBSTITUTE($H1017,"*","-"),MgAmenClave,0)),0)</f>
        <v/>
      </c>
    </row>
    <row r="1018" hidden="1" ht="90" customHeight="1" s="54">
      <c r="B1018" s="59" t="inlineStr">
        <is>
          <t>R-1013</t>
        </is>
      </c>
      <c r="C1018" s="59" t="inlineStr">
        <is>
          <t>GH-044</t>
        </is>
      </c>
      <c r="D1018" s="64">
        <f>IFERROR(INDEX(MgNombre,MATCH($C1018,MgActId,0)),"")</f>
        <v/>
      </c>
      <c r="E1018" s="64">
        <f>IFERROR(INDEX(MgProceso,MATCH($C1018,MgActId,0)),"")</f>
        <v/>
      </c>
      <c r="F1018" s="64">
        <f>IFERROR(INDEX(MgTipo,MATCH($C1018,MgActId,0)),"")</f>
        <v/>
      </c>
      <c r="G1018" s="64">
        <f>IFERROR(INDEX(MgSubtipo,MATCH($C1018,MgActId,0)),"")</f>
        <v/>
      </c>
      <c r="H1018" s="59" t="inlineStr">
        <is>
          <t>E.14</t>
        </is>
      </c>
      <c r="I1018" s="64">
        <f>IFERROR(INDEX(MgAmenNombre,MATCH(SUBSTITUTE($H1018,"*","-"),MgAmenClave,0)),"")</f>
        <v/>
      </c>
      <c r="J1018" s="28">
        <f>IFERROR(INDEX(MgAmenGrupo,MATCH(SUBSTITUTE($H1018,"*","-"),MgAmenClave,0)),"")</f>
        <v/>
      </c>
      <c r="K1018" s="64">
        <f>IFERROR(INDEX('1. Matriz de Activos'!$Q$6:$Q$239,MATCH($C1018,MgActId,0)),"")</f>
        <v/>
      </c>
      <c r="L1018" s="64">
        <f>IFERROR(INDEX('1. Matriz de Activos'!$R$6:$R$239,MATCH($C1018,MgActId,0)),"")</f>
        <v/>
      </c>
      <c r="M1018" s="64">
        <f>IFERROR(INDEX('1. Matriz de Activos'!$S$6:$S$239,MATCH($C1018,MgActId,0)),"")</f>
        <v/>
      </c>
      <c r="N1018" s="28">
        <f>IFERROR(INDEX(MgAmenDegD,MATCH(SUBSTITUTE($H1018,"*","-"),MgAmenClave,0)),"No aplica")</f>
        <v/>
      </c>
      <c r="O1018" s="28">
        <f>IFERROR(INDEX(MgAmenDegI,MATCH(SUBSTITUTE($H1018,"*","-"),MgAmenClave,0)),"No aplica")</f>
        <v/>
      </c>
      <c r="P1018" s="28">
        <f>IFERROR(INDEX(MgAmenDegC,MATCH(SUBSTITUTE($H1018,"*","-"),MgAmenClave,0)),"No aplica")</f>
        <v/>
      </c>
      <c r="Q1018" s="29">
        <f>IFERROR(VLOOKUP(K1018,MgValor,2,0)*VLOOKUP(N1018,MgDeg,2,0),0)</f>
        <v/>
      </c>
      <c r="R1018" s="29">
        <f>IFERROR(VLOOKUP(L1018,MgValor,2,0)*VLOOKUP(O1018,MgDeg,2,0),0)</f>
        <v/>
      </c>
      <c r="S1018" s="29">
        <f>IFERROR(VLOOKUP(M1018,MgValor,2,0)*VLOOKUP(P1018,MgDeg,2,0),0)</f>
        <v/>
      </c>
      <c r="T1018" s="30">
        <f>MAX(Q1018:S1018)</f>
        <v/>
      </c>
      <c r="U1018" s="28">
        <f>IFERROR(LOOKUP(T1018,{0;0.5;1.5;3;4.5},{"Despreciable";"Bajo";"Medio";"Alto";"Muy alto"}),"")</f>
        <v/>
      </c>
      <c r="V1018" s="13">
        <f>IFERROR(INDEX(MgAmenFrec,MATCH(SUBSTITUTE($H1018,"*","-"),MgAmenClave,0)),"")</f>
        <v/>
      </c>
      <c r="W1018" s="28">
        <f>IFERROR(LOOKUP(X1018,{0;0.01;0.1;1;10;100},{"Muy baja";"Muy baja";"Baja";"Media";"Alta";"Muy alta"}),"")</f>
        <v/>
      </c>
      <c r="X1018" s="31">
        <f>IFERROR(VLOOKUP(V1018,MgFrec,2,0),0)</f>
        <v/>
      </c>
      <c r="Y1018" s="30">
        <f>T1018*X1018</f>
        <v/>
      </c>
      <c r="Z1018" s="28">
        <f>IFERROR(LOOKUP(Y1018,{0;0.5;5;25},{"Bajo";"Medio";"Alto";"Crítico"}),"")</f>
        <v/>
      </c>
      <c r="AA1018" s="64">
        <f>IF(T1018&gt;=3,IF(X1018&gt;=1,"Zona 1 — Crítica: impacto alto y ocurre al menos una vez al año","Zona 4 — Catastrófica poco probable: impacto alto pero excepcional"),IF(AND(T1018&lt;1.5,X1018&lt;1),"Zona 3 — Asumible: impacto bajo y muy poco frecuente","Zona 2 — Atención: riesgo intermedio"))</f>
        <v/>
      </c>
      <c r="AB1018" s="64">
        <f>IFERROR(INDEX(MgAmenCtrl,MATCH(SUBSTITUTE($H1018,"*","-"),MgAmenClave,0)),"")</f>
        <v/>
      </c>
      <c r="AC1018" s="20" t="n"/>
      <c r="AD1018" s="31">
        <f>IFERROR($X1018*(1-IF($AC1018="",$AL1018,VLOOKUP($AC1018,MgMad,2,0))),"")</f>
        <v/>
      </c>
      <c r="AE1018" s="28">
        <f>IFERROR(LOOKUP(AD1018,{0;0.01;0.1;1;10;100},{"Muy baja";"Muy baja";"Baja";"Media";"Alta";"Muy alta"}),"")</f>
        <v/>
      </c>
      <c r="AF1018" s="30">
        <f>T1018*AD1018</f>
        <v/>
      </c>
      <c r="AG1018" s="28">
        <f>IFERROR(LOOKUP(AF1018,{0;0.5;5;25},{"Bajo";"Medio";"Alto";"Crítico"}),"")</f>
        <v/>
      </c>
      <c r="AH1018" s="28">
        <f>IF(AG1018="","",IF(OR(AG1018="Crítico",AG1018="Alto"),"Mitigar",IF(AG1018="Medio","Mitigar","Aceptar y monitorear")))</f>
        <v/>
      </c>
      <c r="AI1018" s="21" t="n"/>
      <c r="AJ1018" s="21" t="n"/>
      <c r="AK1018" s="20" t="n"/>
      <c r="AL1018" s="77">
        <f>IFERROR(INDEX(MgAmenEfic,MATCH(SUBSTITUTE($H1018,"*","-"),MgAmenClave,0)),0)</f>
        <v/>
      </c>
    </row>
    <row r="1019" hidden="1" ht="90" customHeight="1" s="54">
      <c r="B1019" s="59" t="inlineStr">
        <is>
          <t>R-1014</t>
        </is>
      </c>
      <c r="C1019" s="59" t="inlineStr">
        <is>
          <t>GH-044</t>
        </is>
      </c>
      <c r="D1019" s="64">
        <f>IFERROR(INDEX(MgNombre,MATCH($C1019,MgActId,0)),"")</f>
        <v/>
      </c>
      <c r="E1019" s="64">
        <f>IFERROR(INDEX(MgProceso,MATCH($C1019,MgActId,0)),"")</f>
        <v/>
      </c>
      <c r="F1019" s="64">
        <f>IFERROR(INDEX(MgTipo,MATCH($C1019,MgActId,0)),"")</f>
        <v/>
      </c>
      <c r="G1019" s="64">
        <f>IFERROR(INDEX(MgSubtipo,MATCH($C1019,MgActId,0)),"")</f>
        <v/>
      </c>
      <c r="H1019" s="59" t="inlineStr">
        <is>
          <t>E.15</t>
        </is>
      </c>
      <c r="I1019" s="64">
        <f>IFERROR(INDEX(MgAmenNombre,MATCH(SUBSTITUTE($H1019,"*","-"),MgAmenClave,0)),"")</f>
        <v/>
      </c>
      <c r="J1019" s="28">
        <f>IFERROR(INDEX(MgAmenGrupo,MATCH(SUBSTITUTE($H1019,"*","-"),MgAmenClave,0)),"")</f>
        <v/>
      </c>
      <c r="K1019" s="64">
        <f>IFERROR(INDEX('1. Matriz de Activos'!$Q$6:$Q$239,MATCH($C1019,MgActId,0)),"")</f>
        <v/>
      </c>
      <c r="L1019" s="64">
        <f>IFERROR(INDEX('1. Matriz de Activos'!$R$6:$R$239,MATCH($C1019,MgActId,0)),"")</f>
        <v/>
      </c>
      <c r="M1019" s="64">
        <f>IFERROR(INDEX('1. Matriz de Activos'!$S$6:$S$239,MATCH($C1019,MgActId,0)),"")</f>
        <v/>
      </c>
      <c r="N1019" s="28">
        <f>IFERROR(INDEX(MgAmenDegD,MATCH(SUBSTITUTE($H1019,"*","-"),MgAmenClave,0)),"No aplica")</f>
        <v/>
      </c>
      <c r="O1019" s="28">
        <f>IFERROR(INDEX(MgAmenDegI,MATCH(SUBSTITUTE($H1019,"*","-"),MgAmenClave,0)),"No aplica")</f>
        <v/>
      </c>
      <c r="P1019" s="28">
        <f>IFERROR(INDEX(MgAmenDegC,MATCH(SUBSTITUTE($H1019,"*","-"),MgAmenClave,0)),"No aplica")</f>
        <v/>
      </c>
      <c r="Q1019" s="29">
        <f>IFERROR(VLOOKUP(K1019,MgValor,2,0)*VLOOKUP(N1019,MgDeg,2,0),0)</f>
        <v/>
      </c>
      <c r="R1019" s="29">
        <f>IFERROR(VLOOKUP(L1019,MgValor,2,0)*VLOOKUP(O1019,MgDeg,2,0),0)</f>
        <v/>
      </c>
      <c r="S1019" s="29">
        <f>IFERROR(VLOOKUP(M1019,MgValor,2,0)*VLOOKUP(P1019,MgDeg,2,0),0)</f>
        <v/>
      </c>
      <c r="T1019" s="30">
        <f>MAX(Q1019:S1019)</f>
        <v/>
      </c>
      <c r="U1019" s="28">
        <f>IFERROR(LOOKUP(T1019,{0;0.5;1.5;3;4.5},{"Despreciable";"Bajo";"Medio";"Alto";"Muy alto"}),"")</f>
        <v/>
      </c>
      <c r="V1019" s="13">
        <f>IFERROR(INDEX(MgAmenFrec,MATCH(SUBSTITUTE($H1019,"*","-"),MgAmenClave,0)),"")</f>
        <v/>
      </c>
      <c r="W1019" s="28">
        <f>IFERROR(LOOKUP(X1019,{0;0.01;0.1;1;10;100},{"Muy baja";"Muy baja";"Baja";"Media";"Alta";"Muy alta"}),"")</f>
        <v/>
      </c>
      <c r="X1019" s="31">
        <f>IFERROR(VLOOKUP(V1019,MgFrec,2,0),0)</f>
        <v/>
      </c>
      <c r="Y1019" s="30">
        <f>T1019*X1019</f>
        <v/>
      </c>
      <c r="Z1019" s="28">
        <f>IFERROR(LOOKUP(Y1019,{0;0.5;5;25},{"Bajo";"Medio";"Alto";"Crítico"}),"")</f>
        <v/>
      </c>
      <c r="AA1019" s="64">
        <f>IF(T1019&gt;=3,IF(X1019&gt;=1,"Zona 1 — Crítica: impacto alto y ocurre al menos una vez al año","Zona 4 — Catastrófica poco probable: impacto alto pero excepcional"),IF(AND(T1019&lt;1.5,X1019&lt;1),"Zona 3 — Asumible: impacto bajo y muy poco frecuente","Zona 2 — Atención: riesgo intermedio"))</f>
        <v/>
      </c>
      <c r="AB1019" s="64">
        <f>IFERROR(INDEX(MgAmenCtrl,MATCH(SUBSTITUTE($H1019,"*","-"),MgAmenClave,0)),"")</f>
        <v/>
      </c>
      <c r="AC1019" s="20" t="n"/>
      <c r="AD1019" s="31">
        <f>IFERROR($X1019*(1-IF($AC1019="",$AL1019,VLOOKUP($AC1019,MgMad,2,0))),"")</f>
        <v/>
      </c>
      <c r="AE1019" s="28">
        <f>IFERROR(LOOKUP(AD1019,{0;0.01;0.1;1;10;100},{"Muy baja";"Muy baja";"Baja";"Media";"Alta";"Muy alta"}),"")</f>
        <v/>
      </c>
      <c r="AF1019" s="30">
        <f>T1019*AD1019</f>
        <v/>
      </c>
      <c r="AG1019" s="28">
        <f>IFERROR(LOOKUP(AF1019,{0;0.5;5;25},{"Bajo";"Medio";"Alto";"Crítico"}),"")</f>
        <v/>
      </c>
      <c r="AH1019" s="28">
        <f>IF(AG1019="","",IF(OR(AG1019="Crítico",AG1019="Alto"),"Mitigar",IF(AG1019="Medio","Mitigar","Aceptar y monitorear")))</f>
        <v/>
      </c>
      <c r="AI1019" s="21" t="n"/>
      <c r="AJ1019" s="21" t="n"/>
      <c r="AK1019" s="20" t="n"/>
      <c r="AL1019" s="77">
        <f>IFERROR(INDEX(MgAmenEfic,MATCH(SUBSTITUTE($H1019,"*","-"),MgAmenClave,0)),0)</f>
        <v/>
      </c>
    </row>
    <row r="1020" hidden="1" ht="60" customHeight="1" s="54">
      <c r="B1020" s="59" t="inlineStr">
        <is>
          <t>R-1015</t>
        </is>
      </c>
      <c r="C1020" s="59" t="inlineStr">
        <is>
          <t>GH-044</t>
        </is>
      </c>
      <c r="D1020" s="64">
        <f>IFERROR(INDEX(MgNombre,MATCH($C1020,MgActId,0)),"")</f>
        <v/>
      </c>
      <c r="E1020" s="64">
        <f>IFERROR(INDEX(MgProceso,MATCH($C1020,MgActId,0)),"")</f>
        <v/>
      </c>
      <c r="F1020" s="64">
        <f>IFERROR(INDEX(MgTipo,MATCH($C1020,MgActId,0)),"")</f>
        <v/>
      </c>
      <c r="G1020" s="64">
        <f>IFERROR(INDEX(MgSubtipo,MATCH($C1020,MgActId,0)),"")</f>
        <v/>
      </c>
      <c r="H1020" s="59" t="inlineStr">
        <is>
          <t>E.18</t>
        </is>
      </c>
      <c r="I1020" s="64">
        <f>IFERROR(INDEX(MgAmenNombre,MATCH(SUBSTITUTE($H1020,"*","-"),MgAmenClave,0)),"")</f>
        <v/>
      </c>
      <c r="J1020" s="28">
        <f>IFERROR(INDEX(MgAmenGrupo,MATCH(SUBSTITUTE($H1020,"*","-"),MgAmenClave,0)),"")</f>
        <v/>
      </c>
      <c r="K1020" s="64">
        <f>IFERROR(INDEX('1. Matriz de Activos'!$Q$6:$Q$239,MATCH($C1020,MgActId,0)),"")</f>
        <v/>
      </c>
      <c r="L1020" s="64">
        <f>IFERROR(INDEX('1. Matriz de Activos'!$R$6:$R$239,MATCH($C1020,MgActId,0)),"")</f>
        <v/>
      </c>
      <c r="M1020" s="64">
        <f>IFERROR(INDEX('1. Matriz de Activos'!$S$6:$S$239,MATCH($C1020,MgActId,0)),"")</f>
        <v/>
      </c>
      <c r="N1020" s="28">
        <f>IFERROR(INDEX(MgAmenDegD,MATCH(SUBSTITUTE($H1020,"*","-"),MgAmenClave,0)),"No aplica")</f>
        <v/>
      </c>
      <c r="O1020" s="28">
        <f>IFERROR(INDEX(MgAmenDegI,MATCH(SUBSTITUTE($H1020,"*","-"),MgAmenClave,0)),"No aplica")</f>
        <v/>
      </c>
      <c r="P1020" s="28">
        <f>IFERROR(INDEX(MgAmenDegC,MATCH(SUBSTITUTE($H1020,"*","-"),MgAmenClave,0)),"No aplica")</f>
        <v/>
      </c>
      <c r="Q1020" s="29">
        <f>IFERROR(VLOOKUP(K1020,MgValor,2,0)*VLOOKUP(N1020,MgDeg,2,0),0)</f>
        <v/>
      </c>
      <c r="R1020" s="29">
        <f>IFERROR(VLOOKUP(L1020,MgValor,2,0)*VLOOKUP(O1020,MgDeg,2,0),0)</f>
        <v/>
      </c>
      <c r="S1020" s="29">
        <f>IFERROR(VLOOKUP(M1020,MgValor,2,0)*VLOOKUP(P1020,MgDeg,2,0),0)</f>
        <v/>
      </c>
      <c r="T1020" s="30">
        <f>MAX(Q1020:S1020)</f>
        <v/>
      </c>
      <c r="U1020" s="28">
        <f>IFERROR(LOOKUP(T1020,{0;0.5;1.5;3;4.5},{"Despreciable";"Bajo";"Medio";"Alto";"Muy alto"}),"")</f>
        <v/>
      </c>
      <c r="V1020" s="13">
        <f>IFERROR(INDEX(MgAmenFrec,MATCH(SUBSTITUTE($H1020,"*","-"),MgAmenClave,0)),"")</f>
        <v/>
      </c>
      <c r="W1020" s="28">
        <f>IFERROR(LOOKUP(X1020,{0;0.01;0.1;1;10;100},{"Muy baja";"Muy baja";"Baja";"Media";"Alta";"Muy alta"}),"")</f>
        <v/>
      </c>
      <c r="X1020" s="31">
        <f>IFERROR(VLOOKUP(V1020,MgFrec,2,0),0)</f>
        <v/>
      </c>
      <c r="Y1020" s="30">
        <f>T1020*X1020</f>
        <v/>
      </c>
      <c r="Z1020" s="28">
        <f>IFERROR(LOOKUP(Y1020,{0;0.5;5;25},{"Bajo";"Medio";"Alto";"Crítico"}),"")</f>
        <v/>
      </c>
      <c r="AA1020" s="64">
        <f>IF(T1020&gt;=3,IF(X1020&gt;=1,"Zona 1 — Crítica: impacto alto y ocurre al menos una vez al año","Zona 4 — Catastrófica poco probable: impacto alto pero excepcional"),IF(AND(T1020&lt;1.5,X1020&lt;1),"Zona 3 — Asumible: impacto bajo y muy poco frecuente","Zona 2 — Atención: riesgo intermedio"))</f>
        <v/>
      </c>
      <c r="AB1020" s="64">
        <f>IFERROR(INDEX(MgAmenCtrl,MATCH(SUBSTITUTE($H1020,"*","-"),MgAmenClave,0)),"")</f>
        <v/>
      </c>
      <c r="AC1020" s="20" t="n"/>
      <c r="AD1020" s="31">
        <f>IFERROR($X1020*(1-IF($AC1020="",$AL1020,VLOOKUP($AC1020,MgMad,2,0))),"")</f>
        <v/>
      </c>
      <c r="AE1020" s="28">
        <f>IFERROR(LOOKUP(AD1020,{0;0.01;0.1;1;10;100},{"Muy baja";"Muy baja";"Baja";"Media";"Alta";"Muy alta"}),"")</f>
        <v/>
      </c>
      <c r="AF1020" s="30">
        <f>T1020*AD1020</f>
        <v/>
      </c>
      <c r="AG1020" s="28">
        <f>IFERROR(LOOKUP(AF1020,{0;0.5;5;25},{"Bajo";"Medio";"Alto";"Crítico"}),"")</f>
        <v/>
      </c>
      <c r="AH1020" s="28">
        <f>IF(AG1020="","",IF(OR(AG1020="Crítico",AG1020="Alto"),"Mitigar",IF(AG1020="Medio","Mitigar","Aceptar y monitorear")))</f>
        <v/>
      </c>
      <c r="AI1020" s="21" t="n"/>
      <c r="AJ1020" s="21" t="n"/>
      <c r="AK1020" s="20" t="n"/>
      <c r="AL1020" s="77">
        <f>IFERROR(INDEX(MgAmenEfic,MATCH(SUBSTITUTE($H1020,"*","-"),MgAmenClave,0)),0)</f>
        <v/>
      </c>
    </row>
    <row r="1021" hidden="1" ht="105" customHeight="1" s="54">
      <c r="B1021" s="59" t="inlineStr">
        <is>
          <t>R-1016</t>
        </is>
      </c>
      <c r="C1021" s="59" t="inlineStr">
        <is>
          <t>GH-044</t>
        </is>
      </c>
      <c r="D1021" s="64">
        <f>IFERROR(INDEX(MgNombre,MATCH($C1021,MgActId,0)),"")</f>
        <v/>
      </c>
      <c r="E1021" s="64">
        <f>IFERROR(INDEX(MgProceso,MATCH($C1021,MgActId,0)),"")</f>
        <v/>
      </c>
      <c r="F1021" s="64">
        <f>IFERROR(INDEX(MgTipo,MATCH($C1021,MgActId,0)),"")</f>
        <v/>
      </c>
      <c r="G1021" s="64">
        <f>IFERROR(INDEX(MgSubtipo,MATCH($C1021,MgActId,0)),"")</f>
        <v/>
      </c>
      <c r="H1021" s="59" t="inlineStr">
        <is>
          <t>E.19</t>
        </is>
      </c>
      <c r="I1021" s="64">
        <f>IFERROR(INDEX(MgAmenNombre,MATCH(SUBSTITUTE($H1021,"*","-"),MgAmenClave,0)),"")</f>
        <v/>
      </c>
      <c r="J1021" s="28">
        <f>IFERROR(INDEX(MgAmenGrupo,MATCH(SUBSTITUTE($H1021,"*","-"),MgAmenClave,0)),"")</f>
        <v/>
      </c>
      <c r="K1021" s="64">
        <f>IFERROR(INDEX('1. Matriz de Activos'!$Q$6:$Q$239,MATCH($C1021,MgActId,0)),"")</f>
        <v/>
      </c>
      <c r="L1021" s="64">
        <f>IFERROR(INDEX('1. Matriz de Activos'!$R$6:$R$239,MATCH($C1021,MgActId,0)),"")</f>
        <v/>
      </c>
      <c r="M1021" s="64">
        <f>IFERROR(INDEX('1. Matriz de Activos'!$S$6:$S$239,MATCH($C1021,MgActId,0)),"")</f>
        <v/>
      </c>
      <c r="N1021" s="28">
        <f>IFERROR(INDEX(MgAmenDegD,MATCH(SUBSTITUTE($H1021,"*","-"),MgAmenClave,0)),"No aplica")</f>
        <v/>
      </c>
      <c r="O1021" s="28">
        <f>IFERROR(INDEX(MgAmenDegI,MATCH(SUBSTITUTE($H1021,"*","-"),MgAmenClave,0)),"No aplica")</f>
        <v/>
      </c>
      <c r="P1021" s="28">
        <f>IFERROR(INDEX(MgAmenDegC,MATCH(SUBSTITUTE($H1021,"*","-"),MgAmenClave,0)),"No aplica")</f>
        <v/>
      </c>
      <c r="Q1021" s="29">
        <f>IFERROR(VLOOKUP(K1021,MgValor,2,0)*VLOOKUP(N1021,MgDeg,2,0),0)</f>
        <v/>
      </c>
      <c r="R1021" s="29">
        <f>IFERROR(VLOOKUP(L1021,MgValor,2,0)*VLOOKUP(O1021,MgDeg,2,0),0)</f>
        <v/>
      </c>
      <c r="S1021" s="29">
        <f>IFERROR(VLOOKUP(M1021,MgValor,2,0)*VLOOKUP(P1021,MgDeg,2,0),0)</f>
        <v/>
      </c>
      <c r="T1021" s="30">
        <f>MAX(Q1021:S1021)</f>
        <v/>
      </c>
      <c r="U1021" s="28">
        <f>IFERROR(LOOKUP(T1021,{0;0.5;1.5;3;4.5},{"Despreciable";"Bajo";"Medio";"Alto";"Muy alto"}),"")</f>
        <v/>
      </c>
      <c r="V1021" s="13">
        <f>IFERROR(INDEX(MgAmenFrec,MATCH(SUBSTITUTE($H1021,"*","-"),MgAmenClave,0)),"")</f>
        <v/>
      </c>
      <c r="W1021" s="28">
        <f>IFERROR(LOOKUP(X1021,{0;0.01;0.1;1;10;100},{"Muy baja";"Muy baja";"Baja";"Media";"Alta";"Muy alta"}),"")</f>
        <v/>
      </c>
      <c r="X1021" s="31">
        <f>IFERROR(VLOOKUP(V1021,MgFrec,2,0),0)</f>
        <v/>
      </c>
      <c r="Y1021" s="30">
        <f>T1021*X1021</f>
        <v/>
      </c>
      <c r="Z1021" s="28">
        <f>IFERROR(LOOKUP(Y1021,{0;0.5;5;25},{"Bajo";"Medio";"Alto";"Crítico"}),"")</f>
        <v/>
      </c>
      <c r="AA1021" s="64">
        <f>IF(T1021&gt;=3,IF(X1021&gt;=1,"Zona 1 — Crítica: impacto alto y ocurre al menos una vez al año","Zona 4 — Catastrófica poco probable: impacto alto pero excepcional"),IF(AND(T1021&lt;1.5,X1021&lt;1),"Zona 3 — Asumible: impacto bajo y muy poco frecuente","Zona 2 — Atención: riesgo intermedio"))</f>
        <v/>
      </c>
      <c r="AB1021" s="64">
        <f>IFERROR(INDEX(MgAmenCtrl,MATCH(SUBSTITUTE($H1021,"*","-"),MgAmenClave,0)),"")</f>
        <v/>
      </c>
      <c r="AC1021" s="20" t="n"/>
      <c r="AD1021" s="31">
        <f>IFERROR($X1021*(1-IF($AC1021="",$AL1021,VLOOKUP($AC1021,MgMad,2,0))),"")</f>
        <v/>
      </c>
      <c r="AE1021" s="28">
        <f>IFERROR(LOOKUP(AD1021,{0;0.01;0.1;1;10;100},{"Muy baja";"Muy baja";"Baja";"Media";"Alta";"Muy alta"}),"")</f>
        <v/>
      </c>
      <c r="AF1021" s="30">
        <f>T1021*AD1021</f>
        <v/>
      </c>
      <c r="AG1021" s="28">
        <f>IFERROR(LOOKUP(AF1021,{0;0.5;5;25},{"Bajo";"Medio";"Alto";"Crítico"}),"")</f>
        <v/>
      </c>
      <c r="AH1021" s="28">
        <f>IF(AG1021="","",IF(OR(AG1021="Crítico",AG1021="Alto"),"Mitigar",IF(AG1021="Medio","Mitigar","Aceptar y monitorear")))</f>
        <v/>
      </c>
      <c r="AI1021" s="21" t="n"/>
      <c r="AJ1021" s="21" t="n"/>
      <c r="AK1021" s="20" t="n"/>
      <c r="AL1021" s="77">
        <f>IFERROR(INDEX(MgAmenEfic,MATCH(SUBSTITUTE($H1021,"*","-"),MgAmenClave,0)),0)</f>
        <v/>
      </c>
    </row>
    <row r="1022" hidden="1" ht="60" customHeight="1" s="54">
      <c r="B1022" s="59" t="inlineStr">
        <is>
          <t>R-1017</t>
        </is>
      </c>
      <c r="C1022" s="59" t="inlineStr">
        <is>
          <t>GH-044</t>
        </is>
      </c>
      <c r="D1022" s="64">
        <f>IFERROR(INDEX(MgNombre,MATCH($C1022,MgActId,0)),"")</f>
        <v/>
      </c>
      <c r="E1022" s="64">
        <f>IFERROR(INDEX(MgProceso,MATCH($C1022,MgActId,0)),"")</f>
        <v/>
      </c>
      <c r="F1022" s="64">
        <f>IFERROR(INDEX(MgTipo,MATCH($C1022,MgActId,0)),"")</f>
        <v/>
      </c>
      <c r="G1022" s="64">
        <f>IFERROR(INDEX(MgSubtipo,MATCH($C1022,MgActId,0)),"")</f>
        <v/>
      </c>
      <c r="H1022" s="59" t="inlineStr">
        <is>
          <t>A.3</t>
        </is>
      </c>
      <c r="I1022" s="64">
        <f>IFERROR(INDEX(MgAmenNombre,MATCH(SUBSTITUTE($H1022,"*","-"),MgAmenClave,0)),"")</f>
        <v/>
      </c>
      <c r="J1022" s="28">
        <f>IFERROR(INDEX(MgAmenGrupo,MATCH(SUBSTITUTE($H1022,"*","-"),MgAmenClave,0)),"")</f>
        <v/>
      </c>
      <c r="K1022" s="64">
        <f>IFERROR(INDEX('1. Matriz de Activos'!$Q$6:$Q$239,MATCH($C1022,MgActId,0)),"")</f>
        <v/>
      </c>
      <c r="L1022" s="64">
        <f>IFERROR(INDEX('1. Matriz de Activos'!$R$6:$R$239,MATCH($C1022,MgActId,0)),"")</f>
        <v/>
      </c>
      <c r="M1022" s="64">
        <f>IFERROR(INDEX('1. Matriz de Activos'!$S$6:$S$239,MATCH($C1022,MgActId,0)),"")</f>
        <v/>
      </c>
      <c r="N1022" s="28">
        <f>IFERROR(INDEX(MgAmenDegD,MATCH(SUBSTITUTE($H1022,"*","-"),MgAmenClave,0)),"No aplica")</f>
        <v/>
      </c>
      <c r="O1022" s="28">
        <f>IFERROR(INDEX(MgAmenDegI,MATCH(SUBSTITUTE($H1022,"*","-"),MgAmenClave,0)),"No aplica")</f>
        <v/>
      </c>
      <c r="P1022" s="28">
        <f>IFERROR(INDEX(MgAmenDegC,MATCH(SUBSTITUTE($H1022,"*","-"),MgAmenClave,0)),"No aplica")</f>
        <v/>
      </c>
      <c r="Q1022" s="29">
        <f>IFERROR(VLOOKUP(K1022,MgValor,2,0)*VLOOKUP(N1022,MgDeg,2,0),0)</f>
        <v/>
      </c>
      <c r="R1022" s="29">
        <f>IFERROR(VLOOKUP(L1022,MgValor,2,0)*VLOOKUP(O1022,MgDeg,2,0),0)</f>
        <v/>
      </c>
      <c r="S1022" s="29">
        <f>IFERROR(VLOOKUP(M1022,MgValor,2,0)*VLOOKUP(P1022,MgDeg,2,0),0)</f>
        <v/>
      </c>
      <c r="T1022" s="30">
        <f>MAX(Q1022:S1022)</f>
        <v/>
      </c>
      <c r="U1022" s="28">
        <f>IFERROR(LOOKUP(T1022,{0;0.5;1.5;3;4.5},{"Despreciable";"Bajo";"Medio";"Alto";"Muy alto"}),"")</f>
        <v/>
      </c>
      <c r="V1022" s="13">
        <f>IFERROR(INDEX(MgAmenFrec,MATCH(SUBSTITUTE($H1022,"*","-"),MgAmenClave,0)),"")</f>
        <v/>
      </c>
      <c r="W1022" s="28">
        <f>IFERROR(LOOKUP(X1022,{0;0.01;0.1;1;10;100},{"Muy baja";"Muy baja";"Baja";"Media";"Alta";"Muy alta"}),"")</f>
        <v/>
      </c>
      <c r="X1022" s="31">
        <f>IFERROR(VLOOKUP(V1022,MgFrec,2,0),0)</f>
        <v/>
      </c>
      <c r="Y1022" s="30">
        <f>T1022*X1022</f>
        <v/>
      </c>
      <c r="Z1022" s="28">
        <f>IFERROR(LOOKUP(Y1022,{0;0.5;5;25},{"Bajo";"Medio";"Alto";"Crítico"}),"")</f>
        <v/>
      </c>
      <c r="AA1022" s="64">
        <f>IF(T1022&gt;=3,IF(X1022&gt;=1,"Zona 1 — Crítica: impacto alto y ocurre al menos una vez al año","Zona 4 — Catastrófica poco probable: impacto alto pero excepcional"),IF(AND(T1022&lt;1.5,X1022&lt;1),"Zona 3 — Asumible: impacto bajo y muy poco frecuente","Zona 2 — Atención: riesgo intermedio"))</f>
        <v/>
      </c>
      <c r="AB1022" s="64">
        <f>IFERROR(INDEX(MgAmenCtrl,MATCH(SUBSTITUTE($H1022,"*","-"),MgAmenClave,0)),"")</f>
        <v/>
      </c>
      <c r="AC1022" s="20" t="n"/>
      <c r="AD1022" s="31">
        <f>IFERROR($X1022*(1-IF($AC1022="",$AL1022,VLOOKUP($AC1022,MgMad,2,0))),"")</f>
        <v/>
      </c>
      <c r="AE1022" s="28">
        <f>IFERROR(LOOKUP(AD1022,{0;0.01;0.1;1;10;100},{"Muy baja";"Muy baja";"Baja";"Media";"Alta";"Muy alta"}),"")</f>
        <v/>
      </c>
      <c r="AF1022" s="30">
        <f>T1022*AD1022</f>
        <v/>
      </c>
      <c r="AG1022" s="28">
        <f>IFERROR(LOOKUP(AF1022,{0;0.5;5;25},{"Bajo";"Medio";"Alto";"Crítico"}),"")</f>
        <v/>
      </c>
      <c r="AH1022" s="28">
        <f>IF(AG1022="","",IF(OR(AG1022="Crítico",AG1022="Alto"),"Mitigar",IF(AG1022="Medio","Mitigar","Aceptar y monitorear")))</f>
        <v/>
      </c>
      <c r="AI1022" s="21" t="n"/>
      <c r="AJ1022" s="21" t="n"/>
      <c r="AK1022" s="20" t="n"/>
      <c r="AL1022" s="77">
        <f>IFERROR(INDEX(MgAmenEfic,MATCH(SUBSTITUTE($H1022,"*","-"),MgAmenClave,0)),0)</f>
        <v/>
      </c>
    </row>
    <row r="1023" hidden="1" ht="60" customHeight="1" s="54">
      <c r="B1023" s="59" t="inlineStr">
        <is>
          <t>R-1018</t>
        </is>
      </c>
      <c r="C1023" s="59" t="inlineStr">
        <is>
          <t>GH-044</t>
        </is>
      </c>
      <c r="D1023" s="64">
        <f>IFERROR(INDEX(MgNombre,MATCH($C1023,MgActId,0)),"")</f>
        <v/>
      </c>
      <c r="E1023" s="64">
        <f>IFERROR(INDEX(MgProceso,MATCH($C1023,MgActId,0)),"")</f>
        <v/>
      </c>
      <c r="F1023" s="64">
        <f>IFERROR(INDEX(MgTipo,MATCH($C1023,MgActId,0)),"")</f>
        <v/>
      </c>
      <c r="G1023" s="64">
        <f>IFERROR(INDEX(MgSubtipo,MATCH($C1023,MgActId,0)),"")</f>
        <v/>
      </c>
      <c r="H1023" s="59" t="inlineStr">
        <is>
          <t>A.4</t>
        </is>
      </c>
      <c r="I1023" s="64">
        <f>IFERROR(INDEX(MgAmenNombre,MATCH(SUBSTITUTE($H1023,"*","-"),MgAmenClave,0)),"")</f>
        <v/>
      </c>
      <c r="J1023" s="28">
        <f>IFERROR(INDEX(MgAmenGrupo,MATCH(SUBSTITUTE($H1023,"*","-"),MgAmenClave,0)),"")</f>
        <v/>
      </c>
      <c r="K1023" s="64">
        <f>IFERROR(INDEX('1. Matriz de Activos'!$Q$6:$Q$239,MATCH($C1023,MgActId,0)),"")</f>
        <v/>
      </c>
      <c r="L1023" s="64">
        <f>IFERROR(INDEX('1. Matriz de Activos'!$R$6:$R$239,MATCH($C1023,MgActId,0)),"")</f>
        <v/>
      </c>
      <c r="M1023" s="64">
        <f>IFERROR(INDEX('1. Matriz de Activos'!$S$6:$S$239,MATCH($C1023,MgActId,0)),"")</f>
        <v/>
      </c>
      <c r="N1023" s="28">
        <f>IFERROR(INDEX(MgAmenDegD,MATCH(SUBSTITUTE($H1023,"*","-"),MgAmenClave,0)),"No aplica")</f>
        <v/>
      </c>
      <c r="O1023" s="28">
        <f>IFERROR(INDEX(MgAmenDegI,MATCH(SUBSTITUTE($H1023,"*","-"),MgAmenClave,0)),"No aplica")</f>
        <v/>
      </c>
      <c r="P1023" s="28">
        <f>IFERROR(INDEX(MgAmenDegC,MATCH(SUBSTITUTE($H1023,"*","-"),MgAmenClave,0)),"No aplica")</f>
        <v/>
      </c>
      <c r="Q1023" s="29">
        <f>IFERROR(VLOOKUP(K1023,MgValor,2,0)*VLOOKUP(N1023,MgDeg,2,0),0)</f>
        <v/>
      </c>
      <c r="R1023" s="29">
        <f>IFERROR(VLOOKUP(L1023,MgValor,2,0)*VLOOKUP(O1023,MgDeg,2,0),0)</f>
        <v/>
      </c>
      <c r="S1023" s="29">
        <f>IFERROR(VLOOKUP(M1023,MgValor,2,0)*VLOOKUP(P1023,MgDeg,2,0),0)</f>
        <v/>
      </c>
      <c r="T1023" s="30">
        <f>MAX(Q1023:S1023)</f>
        <v/>
      </c>
      <c r="U1023" s="28">
        <f>IFERROR(LOOKUP(T1023,{0;0.5;1.5;3;4.5},{"Despreciable";"Bajo";"Medio";"Alto";"Muy alto"}),"")</f>
        <v/>
      </c>
      <c r="V1023" s="13">
        <f>IFERROR(INDEX(MgAmenFrec,MATCH(SUBSTITUTE($H1023,"*","-"),MgAmenClave,0)),"")</f>
        <v/>
      </c>
      <c r="W1023" s="28">
        <f>IFERROR(LOOKUP(X1023,{0;0.01;0.1;1;10;100},{"Muy baja";"Muy baja";"Baja";"Media";"Alta";"Muy alta"}),"")</f>
        <v/>
      </c>
      <c r="X1023" s="31">
        <f>IFERROR(VLOOKUP(V1023,MgFrec,2,0),0)</f>
        <v/>
      </c>
      <c r="Y1023" s="30">
        <f>T1023*X1023</f>
        <v/>
      </c>
      <c r="Z1023" s="28">
        <f>IFERROR(LOOKUP(Y1023,{0;0.5;5;25},{"Bajo";"Medio";"Alto";"Crítico"}),"")</f>
        <v/>
      </c>
      <c r="AA1023" s="64">
        <f>IF(T1023&gt;=3,IF(X1023&gt;=1,"Zona 1 — Crítica: impacto alto y ocurre al menos una vez al año","Zona 4 — Catastrófica poco probable: impacto alto pero excepcional"),IF(AND(T1023&lt;1.5,X1023&lt;1),"Zona 3 — Asumible: impacto bajo y muy poco frecuente","Zona 2 — Atención: riesgo intermedio"))</f>
        <v/>
      </c>
      <c r="AB1023" s="64">
        <f>IFERROR(INDEX(MgAmenCtrl,MATCH(SUBSTITUTE($H1023,"*","-"),MgAmenClave,0)),"")</f>
        <v/>
      </c>
      <c r="AC1023" s="20" t="n"/>
      <c r="AD1023" s="31">
        <f>IFERROR($X1023*(1-IF($AC1023="",$AL1023,VLOOKUP($AC1023,MgMad,2,0))),"")</f>
        <v/>
      </c>
      <c r="AE1023" s="28">
        <f>IFERROR(LOOKUP(AD1023,{0;0.01;0.1;1;10;100},{"Muy baja";"Muy baja";"Baja";"Media";"Alta";"Muy alta"}),"")</f>
        <v/>
      </c>
      <c r="AF1023" s="30">
        <f>T1023*AD1023</f>
        <v/>
      </c>
      <c r="AG1023" s="28">
        <f>IFERROR(LOOKUP(AF1023,{0;0.5;5;25},{"Bajo";"Medio";"Alto";"Crítico"}),"")</f>
        <v/>
      </c>
      <c r="AH1023" s="28">
        <f>IF(AG1023="","",IF(OR(AG1023="Crítico",AG1023="Alto"),"Mitigar",IF(AG1023="Medio","Mitigar","Aceptar y monitorear")))</f>
        <v/>
      </c>
      <c r="AI1023" s="21" t="n"/>
      <c r="AJ1023" s="21" t="n"/>
      <c r="AK1023" s="20" t="n"/>
      <c r="AL1023" s="77">
        <f>IFERROR(INDEX(MgAmenEfic,MATCH(SUBSTITUTE($H1023,"*","-"),MgAmenClave,0)),0)</f>
        <v/>
      </c>
    </row>
    <row r="1024" hidden="1" ht="75" customHeight="1" s="54">
      <c r="B1024" s="59" t="inlineStr">
        <is>
          <t>R-1019</t>
        </is>
      </c>
      <c r="C1024" s="59" t="inlineStr">
        <is>
          <t>GH-044</t>
        </is>
      </c>
      <c r="D1024" s="64">
        <f>IFERROR(INDEX(MgNombre,MATCH($C1024,MgActId,0)),"")</f>
        <v/>
      </c>
      <c r="E1024" s="64">
        <f>IFERROR(INDEX(MgProceso,MATCH($C1024,MgActId,0)),"")</f>
        <v/>
      </c>
      <c r="F1024" s="64">
        <f>IFERROR(INDEX(MgTipo,MATCH($C1024,MgActId,0)),"")</f>
        <v/>
      </c>
      <c r="G1024" s="64">
        <f>IFERROR(INDEX(MgSubtipo,MATCH($C1024,MgActId,0)),"")</f>
        <v/>
      </c>
      <c r="H1024" s="59" t="inlineStr">
        <is>
          <t>A.5</t>
        </is>
      </c>
      <c r="I1024" s="64">
        <f>IFERROR(INDEX(MgAmenNombre,MATCH(SUBSTITUTE($H1024,"*","-"),MgAmenClave,0)),"")</f>
        <v/>
      </c>
      <c r="J1024" s="28">
        <f>IFERROR(INDEX(MgAmenGrupo,MATCH(SUBSTITUTE($H1024,"*","-"),MgAmenClave,0)),"")</f>
        <v/>
      </c>
      <c r="K1024" s="64">
        <f>IFERROR(INDEX('1. Matriz de Activos'!$Q$6:$Q$239,MATCH($C1024,MgActId,0)),"")</f>
        <v/>
      </c>
      <c r="L1024" s="64">
        <f>IFERROR(INDEX('1. Matriz de Activos'!$R$6:$R$239,MATCH($C1024,MgActId,0)),"")</f>
        <v/>
      </c>
      <c r="M1024" s="64">
        <f>IFERROR(INDEX('1. Matriz de Activos'!$S$6:$S$239,MATCH($C1024,MgActId,0)),"")</f>
        <v/>
      </c>
      <c r="N1024" s="28">
        <f>IFERROR(INDEX(MgAmenDegD,MATCH(SUBSTITUTE($H1024,"*","-"),MgAmenClave,0)),"No aplica")</f>
        <v/>
      </c>
      <c r="O1024" s="28">
        <f>IFERROR(INDEX(MgAmenDegI,MATCH(SUBSTITUTE($H1024,"*","-"),MgAmenClave,0)),"No aplica")</f>
        <v/>
      </c>
      <c r="P1024" s="28">
        <f>IFERROR(INDEX(MgAmenDegC,MATCH(SUBSTITUTE($H1024,"*","-"),MgAmenClave,0)),"No aplica")</f>
        <v/>
      </c>
      <c r="Q1024" s="29">
        <f>IFERROR(VLOOKUP(K1024,MgValor,2,0)*VLOOKUP(N1024,MgDeg,2,0),0)</f>
        <v/>
      </c>
      <c r="R1024" s="29">
        <f>IFERROR(VLOOKUP(L1024,MgValor,2,0)*VLOOKUP(O1024,MgDeg,2,0),0)</f>
        <v/>
      </c>
      <c r="S1024" s="29">
        <f>IFERROR(VLOOKUP(M1024,MgValor,2,0)*VLOOKUP(P1024,MgDeg,2,0),0)</f>
        <v/>
      </c>
      <c r="T1024" s="30">
        <f>MAX(Q1024:S1024)</f>
        <v/>
      </c>
      <c r="U1024" s="28">
        <f>IFERROR(LOOKUP(T1024,{0;0.5;1.5;3;4.5},{"Despreciable";"Bajo";"Medio";"Alto";"Muy alto"}),"")</f>
        <v/>
      </c>
      <c r="V1024" s="13">
        <f>IFERROR(INDEX(MgAmenFrec,MATCH(SUBSTITUTE($H1024,"*","-"),MgAmenClave,0)),"")</f>
        <v/>
      </c>
      <c r="W1024" s="28">
        <f>IFERROR(LOOKUP(X1024,{0;0.01;0.1;1;10;100},{"Muy baja";"Muy baja";"Baja";"Media";"Alta";"Muy alta"}),"")</f>
        <v/>
      </c>
      <c r="X1024" s="31">
        <f>IFERROR(VLOOKUP(V1024,MgFrec,2,0),0)</f>
        <v/>
      </c>
      <c r="Y1024" s="30">
        <f>T1024*X1024</f>
        <v/>
      </c>
      <c r="Z1024" s="28">
        <f>IFERROR(LOOKUP(Y1024,{0;0.5;5;25},{"Bajo";"Medio";"Alto";"Crítico"}),"")</f>
        <v/>
      </c>
      <c r="AA1024" s="64">
        <f>IF(T1024&gt;=3,IF(X1024&gt;=1,"Zona 1 — Crítica: impacto alto y ocurre al menos una vez al año","Zona 4 — Catastrófica poco probable: impacto alto pero excepcional"),IF(AND(T1024&lt;1.5,X1024&lt;1),"Zona 3 — Asumible: impacto bajo y muy poco frecuente","Zona 2 — Atención: riesgo intermedio"))</f>
        <v/>
      </c>
      <c r="AB1024" s="64">
        <f>IFERROR(INDEX(MgAmenCtrl,MATCH(SUBSTITUTE($H1024,"*","-"),MgAmenClave,0)),"")</f>
        <v/>
      </c>
      <c r="AC1024" s="20" t="n"/>
      <c r="AD1024" s="31">
        <f>IFERROR($X1024*(1-IF($AC1024="",$AL1024,VLOOKUP($AC1024,MgMad,2,0))),"")</f>
        <v/>
      </c>
      <c r="AE1024" s="28">
        <f>IFERROR(LOOKUP(AD1024,{0;0.01;0.1;1;10;100},{"Muy baja";"Muy baja";"Baja";"Media";"Alta";"Muy alta"}),"")</f>
        <v/>
      </c>
      <c r="AF1024" s="30">
        <f>T1024*AD1024</f>
        <v/>
      </c>
      <c r="AG1024" s="28">
        <f>IFERROR(LOOKUP(AF1024,{0;0.5;5;25},{"Bajo";"Medio";"Alto";"Crítico"}),"")</f>
        <v/>
      </c>
      <c r="AH1024" s="28">
        <f>IF(AG1024="","",IF(OR(AG1024="Crítico",AG1024="Alto"),"Mitigar",IF(AG1024="Medio","Mitigar","Aceptar y monitorear")))</f>
        <v/>
      </c>
      <c r="AI1024" s="21" t="n"/>
      <c r="AJ1024" s="21" t="n"/>
      <c r="AK1024" s="20" t="n"/>
      <c r="AL1024" s="77">
        <f>IFERROR(INDEX(MgAmenEfic,MATCH(SUBSTITUTE($H1024,"*","-"),MgAmenClave,0)),0)</f>
        <v/>
      </c>
    </row>
    <row r="1025" hidden="1" ht="105" customHeight="1" s="54">
      <c r="B1025" s="59" t="inlineStr">
        <is>
          <t>R-1020</t>
        </is>
      </c>
      <c r="C1025" s="59" t="inlineStr">
        <is>
          <t>GH-044</t>
        </is>
      </c>
      <c r="D1025" s="64">
        <f>IFERROR(INDEX(MgNombre,MATCH($C1025,MgActId,0)),"")</f>
        <v/>
      </c>
      <c r="E1025" s="64">
        <f>IFERROR(INDEX(MgProceso,MATCH($C1025,MgActId,0)),"")</f>
        <v/>
      </c>
      <c r="F1025" s="64">
        <f>IFERROR(INDEX(MgTipo,MATCH($C1025,MgActId,0)),"")</f>
        <v/>
      </c>
      <c r="G1025" s="64">
        <f>IFERROR(INDEX(MgSubtipo,MATCH($C1025,MgActId,0)),"")</f>
        <v/>
      </c>
      <c r="H1025" s="59" t="inlineStr">
        <is>
          <t>A.6</t>
        </is>
      </c>
      <c r="I1025" s="64">
        <f>IFERROR(INDEX(MgAmenNombre,MATCH(SUBSTITUTE($H1025,"*","-"),MgAmenClave,0)),"")</f>
        <v/>
      </c>
      <c r="J1025" s="28">
        <f>IFERROR(INDEX(MgAmenGrupo,MATCH(SUBSTITUTE($H1025,"*","-"),MgAmenClave,0)),"")</f>
        <v/>
      </c>
      <c r="K1025" s="64">
        <f>IFERROR(INDEX('1. Matriz de Activos'!$Q$6:$Q$239,MATCH($C1025,MgActId,0)),"")</f>
        <v/>
      </c>
      <c r="L1025" s="64">
        <f>IFERROR(INDEX('1. Matriz de Activos'!$R$6:$R$239,MATCH($C1025,MgActId,0)),"")</f>
        <v/>
      </c>
      <c r="M1025" s="64">
        <f>IFERROR(INDEX('1. Matriz de Activos'!$S$6:$S$239,MATCH($C1025,MgActId,0)),"")</f>
        <v/>
      </c>
      <c r="N1025" s="28">
        <f>IFERROR(INDEX(MgAmenDegD,MATCH(SUBSTITUTE($H1025,"*","-"),MgAmenClave,0)),"No aplica")</f>
        <v/>
      </c>
      <c r="O1025" s="28">
        <f>IFERROR(INDEX(MgAmenDegI,MATCH(SUBSTITUTE($H1025,"*","-"),MgAmenClave,0)),"No aplica")</f>
        <v/>
      </c>
      <c r="P1025" s="28">
        <f>IFERROR(INDEX(MgAmenDegC,MATCH(SUBSTITUTE($H1025,"*","-"),MgAmenClave,0)),"No aplica")</f>
        <v/>
      </c>
      <c r="Q1025" s="29">
        <f>IFERROR(VLOOKUP(K1025,MgValor,2,0)*VLOOKUP(N1025,MgDeg,2,0),0)</f>
        <v/>
      </c>
      <c r="R1025" s="29">
        <f>IFERROR(VLOOKUP(L1025,MgValor,2,0)*VLOOKUP(O1025,MgDeg,2,0),0)</f>
        <v/>
      </c>
      <c r="S1025" s="29">
        <f>IFERROR(VLOOKUP(M1025,MgValor,2,0)*VLOOKUP(P1025,MgDeg,2,0),0)</f>
        <v/>
      </c>
      <c r="T1025" s="30">
        <f>MAX(Q1025:S1025)</f>
        <v/>
      </c>
      <c r="U1025" s="28">
        <f>IFERROR(LOOKUP(T1025,{0;0.5;1.5;3;4.5},{"Despreciable";"Bajo";"Medio";"Alto";"Muy alto"}),"")</f>
        <v/>
      </c>
      <c r="V1025" s="13">
        <f>IFERROR(INDEX(MgAmenFrec,MATCH(SUBSTITUTE($H1025,"*","-"),MgAmenClave,0)),"")</f>
        <v/>
      </c>
      <c r="W1025" s="28">
        <f>IFERROR(LOOKUP(X1025,{0;0.01;0.1;1;10;100},{"Muy baja";"Muy baja";"Baja";"Media";"Alta";"Muy alta"}),"")</f>
        <v/>
      </c>
      <c r="X1025" s="31">
        <f>IFERROR(VLOOKUP(V1025,MgFrec,2,0),0)</f>
        <v/>
      </c>
      <c r="Y1025" s="30">
        <f>T1025*X1025</f>
        <v/>
      </c>
      <c r="Z1025" s="28">
        <f>IFERROR(LOOKUP(Y1025,{0;0.5;5;25},{"Bajo";"Medio";"Alto";"Crítico"}),"")</f>
        <v/>
      </c>
      <c r="AA1025" s="64">
        <f>IF(T1025&gt;=3,IF(X1025&gt;=1,"Zona 1 — Crítica: impacto alto y ocurre al menos una vez al año","Zona 4 — Catastrófica poco probable: impacto alto pero excepcional"),IF(AND(T1025&lt;1.5,X1025&lt;1),"Zona 3 — Asumible: impacto bajo y muy poco frecuente","Zona 2 — Atención: riesgo intermedio"))</f>
        <v/>
      </c>
      <c r="AB1025" s="64">
        <f>IFERROR(INDEX(MgAmenCtrl,MATCH(SUBSTITUTE($H1025,"*","-"),MgAmenClave,0)),"")</f>
        <v/>
      </c>
      <c r="AC1025" s="20" t="n"/>
      <c r="AD1025" s="31">
        <f>IFERROR($X1025*(1-IF($AC1025="",$AL1025,VLOOKUP($AC1025,MgMad,2,0))),"")</f>
        <v/>
      </c>
      <c r="AE1025" s="28">
        <f>IFERROR(LOOKUP(AD1025,{0;0.01;0.1;1;10;100},{"Muy baja";"Muy baja";"Baja";"Media";"Alta";"Muy alta"}),"")</f>
        <v/>
      </c>
      <c r="AF1025" s="30">
        <f>T1025*AD1025</f>
        <v/>
      </c>
      <c r="AG1025" s="28">
        <f>IFERROR(LOOKUP(AF1025,{0;0.5;5;25},{"Bajo";"Medio";"Alto";"Crítico"}),"")</f>
        <v/>
      </c>
      <c r="AH1025" s="28">
        <f>IF(AG1025="","",IF(OR(AG1025="Crítico",AG1025="Alto"),"Mitigar",IF(AG1025="Medio","Mitigar","Aceptar y monitorear")))</f>
        <v/>
      </c>
      <c r="AI1025" s="21" t="n"/>
      <c r="AJ1025" s="21" t="n"/>
      <c r="AK1025" s="20" t="n"/>
      <c r="AL1025" s="77">
        <f>IFERROR(INDEX(MgAmenEfic,MATCH(SUBSTITUTE($H1025,"*","-"),MgAmenClave,0)),0)</f>
        <v/>
      </c>
    </row>
    <row r="1026" hidden="1" ht="120" customHeight="1" s="54">
      <c r="B1026" s="59" t="inlineStr">
        <is>
          <t>R-1021</t>
        </is>
      </c>
      <c r="C1026" s="59" t="inlineStr">
        <is>
          <t>GH-044</t>
        </is>
      </c>
      <c r="D1026" s="64">
        <f>IFERROR(INDEX(MgNombre,MATCH($C1026,MgActId,0)),"")</f>
        <v/>
      </c>
      <c r="E1026" s="64">
        <f>IFERROR(INDEX(MgProceso,MATCH($C1026,MgActId,0)),"")</f>
        <v/>
      </c>
      <c r="F1026" s="64">
        <f>IFERROR(INDEX(MgTipo,MATCH($C1026,MgActId,0)),"")</f>
        <v/>
      </c>
      <c r="G1026" s="64">
        <f>IFERROR(INDEX(MgSubtipo,MATCH($C1026,MgActId,0)),"")</f>
        <v/>
      </c>
      <c r="H1026" s="59" t="inlineStr">
        <is>
          <t>A.11</t>
        </is>
      </c>
      <c r="I1026" s="64">
        <f>IFERROR(INDEX(MgAmenNombre,MATCH(SUBSTITUTE($H1026,"*","-"),MgAmenClave,0)),"")</f>
        <v/>
      </c>
      <c r="J1026" s="28">
        <f>IFERROR(INDEX(MgAmenGrupo,MATCH(SUBSTITUTE($H1026,"*","-"),MgAmenClave,0)),"")</f>
        <v/>
      </c>
      <c r="K1026" s="64">
        <f>IFERROR(INDEX('1. Matriz de Activos'!$Q$6:$Q$239,MATCH($C1026,MgActId,0)),"")</f>
        <v/>
      </c>
      <c r="L1026" s="64">
        <f>IFERROR(INDEX('1. Matriz de Activos'!$R$6:$R$239,MATCH($C1026,MgActId,0)),"")</f>
        <v/>
      </c>
      <c r="M1026" s="64">
        <f>IFERROR(INDEX('1. Matriz de Activos'!$S$6:$S$239,MATCH($C1026,MgActId,0)),"")</f>
        <v/>
      </c>
      <c r="N1026" s="28">
        <f>IFERROR(INDEX(MgAmenDegD,MATCH(SUBSTITUTE($H1026,"*","-"),MgAmenClave,0)),"No aplica")</f>
        <v/>
      </c>
      <c r="O1026" s="28">
        <f>IFERROR(INDEX(MgAmenDegI,MATCH(SUBSTITUTE($H1026,"*","-"),MgAmenClave,0)),"No aplica")</f>
        <v/>
      </c>
      <c r="P1026" s="28">
        <f>IFERROR(INDEX(MgAmenDegC,MATCH(SUBSTITUTE($H1026,"*","-"),MgAmenClave,0)),"No aplica")</f>
        <v/>
      </c>
      <c r="Q1026" s="29">
        <f>IFERROR(VLOOKUP(K1026,MgValor,2,0)*VLOOKUP(N1026,MgDeg,2,0),0)</f>
        <v/>
      </c>
      <c r="R1026" s="29">
        <f>IFERROR(VLOOKUP(L1026,MgValor,2,0)*VLOOKUP(O1026,MgDeg,2,0),0)</f>
        <v/>
      </c>
      <c r="S1026" s="29">
        <f>IFERROR(VLOOKUP(M1026,MgValor,2,0)*VLOOKUP(P1026,MgDeg,2,0),0)</f>
        <v/>
      </c>
      <c r="T1026" s="30">
        <f>MAX(Q1026:S1026)</f>
        <v/>
      </c>
      <c r="U1026" s="28">
        <f>IFERROR(LOOKUP(T1026,{0;0.5;1.5;3;4.5},{"Despreciable";"Bajo";"Medio";"Alto";"Muy alto"}),"")</f>
        <v/>
      </c>
      <c r="V1026" s="13">
        <f>IFERROR(INDEX(MgAmenFrec,MATCH(SUBSTITUTE($H1026,"*","-"),MgAmenClave,0)),"")</f>
        <v/>
      </c>
      <c r="W1026" s="28">
        <f>IFERROR(LOOKUP(X1026,{0;0.01;0.1;1;10;100},{"Muy baja";"Muy baja";"Baja";"Media";"Alta";"Muy alta"}),"")</f>
        <v/>
      </c>
      <c r="X1026" s="31">
        <f>IFERROR(VLOOKUP(V1026,MgFrec,2,0),0)</f>
        <v/>
      </c>
      <c r="Y1026" s="30">
        <f>T1026*X1026</f>
        <v/>
      </c>
      <c r="Z1026" s="28">
        <f>IFERROR(LOOKUP(Y1026,{0;0.5;5;25},{"Bajo";"Medio";"Alto";"Crítico"}),"")</f>
        <v/>
      </c>
      <c r="AA1026" s="64">
        <f>IF(T1026&gt;=3,IF(X1026&gt;=1,"Zona 1 — Crítica: impacto alto y ocurre al menos una vez al año","Zona 4 — Catastrófica poco probable: impacto alto pero excepcional"),IF(AND(T1026&lt;1.5,X1026&lt;1),"Zona 3 — Asumible: impacto bajo y muy poco frecuente","Zona 2 — Atención: riesgo intermedio"))</f>
        <v/>
      </c>
      <c r="AB1026" s="64">
        <f>IFERROR(INDEX(MgAmenCtrl,MATCH(SUBSTITUTE($H1026,"*","-"),MgAmenClave,0)),"")</f>
        <v/>
      </c>
      <c r="AC1026" s="20" t="n"/>
      <c r="AD1026" s="31">
        <f>IFERROR($X1026*(1-IF($AC1026="",$AL1026,VLOOKUP($AC1026,MgMad,2,0))),"")</f>
        <v/>
      </c>
      <c r="AE1026" s="28">
        <f>IFERROR(LOOKUP(AD1026,{0;0.01;0.1;1;10;100},{"Muy baja";"Muy baja";"Baja";"Media";"Alta";"Muy alta"}),"")</f>
        <v/>
      </c>
      <c r="AF1026" s="30">
        <f>T1026*AD1026</f>
        <v/>
      </c>
      <c r="AG1026" s="28">
        <f>IFERROR(LOOKUP(AF1026,{0;0.5;5;25},{"Bajo";"Medio";"Alto";"Crítico"}),"")</f>
        <v/>
      </c>
      <c r="AH1026" s="28">
        <f>IF(AG1026="","",IF(OR(AG1026="Crítico",AG1026="Alto"),"Mitigar",IF(AG1026="Medio","Mitigar","Aceptar y monitorear")))</f>
        <v/>
      </c>
      <c r="AI1026" s="21" t="n"/>
      <c r="AJ1026" s="21" t="n"/>
      <c r="AK1026" s="20" t="n"/>
      <c r="AL1026" s="77">
        <f>IFERROR(INDEX(MgAmenEfic,MATCH(SUBSTITUTE($H1026,"*","-"),MgAmenClave,0)),0)</f>
        <v/>
      </c>
    </row>
    <row r="1027" hidden="1" ht="90" customHeight="1" s="54">
      <c r="B1027" s="59" t="inlineStr">
        <is>
          <t>R-1022</t>
        </is>
      </c>
      <c r="C1027" s="59" t="inlineStr">
        <is>
          <t>GH-044</t>
        </is>
      </c>
      <c r="D1027" s="64">
        <f>IFERROR(INDEX(MgNombre,MATCH($C1027,MgActId,0)),"")</f>
        <v/>
      </c>
      <c r="E1027" s="64">
        <f>IFERROR(INDEX(MgProceso,MATCH($C1027,MgActId,0)),"")</f>
        <v/>
      </c>
      <c r="F1027" s="64">
        <f>IFERROR(INDEX(MgTipo,MATCH($C1027,MgActId,0)),"")</f>
        <v/>
      </c>
      <c r="G1027" s="64">
        <f>IFERROR(INDEX(MgSubtipo,MATCH($C1027,MgActId,0)),"")</f>
        <v/>
      </c>
      <c r="H1027" s="59" t="inlineStr">
        <is>
          <t>A.13</t>
        </is>
      </c>
      <c r="I1027" s="64">
        <f>IFERROR(INDEX(MgAmenNombre,MATCH(SUBSTITUTE($H1027,"*","-"),MgAmenClave,0)),"")</f>
        <v/>
      </c>
      <c r="J1027" s="28">
        <f>IFERROR(INDEX(MgAmenGrupo,MATCH(SUBSTITUTE($H1027,"*","-"),MgAmenClave,0)),"")</f>
        <v/>
      </c>
      <c r="K1027" s="64">
        <f>IFERROR(INDEX('1. Matriz de Activos'!$Q$6:$Q$239,MATCH($C1027,MgActId,0)),"")</f>
        <v/>
      </c>
      <c r="L1027" s="64">
        <f>IFERROR(INDEX('1. Matriz de Activos'!$R$6:$R$239,MATCH($C1027,MgActId,0)),"")</f>
        <v/>
      </c>
      <c r="M1027" s="64">
        <f>IFERROR(INDEX('1. Matriz de Activos'!$S$6:$S$239,MATCH($C1027,MgActId,0)),"")</f>
        <v/>
      </c>
      <c r="N1027" s="28">
        <f>IFERROR(INDEX(MgAmenDegD,MATCH(SUBSTITUTE($H1027,"*","-"),MgAmenClave,0)),"No aplica")</f>
        <v/>
      </c>
      <c r="O1027" s="28">
        <f>IFERROR(INDEX(MgAmenDegI,MATCH(SUBSTITUTE($H1027,"*","-"),MgAmenClave,0)),"No aplica")</f>
        <v/>
      </c>
      <c r="P1027" s="28">
        <f>IFERROR(INDEX(MgAmenDegC,MATCH(SUBSTITUTE($H1027,"*","-"),MgAmenClave,0)),"No aplica")</f>
        <v/>
      </c>
      <c r="Q1027" s="29">
        <f>IFERROR(VLOOKUP(K1027,MgValor,2,0)*VLOOKUP(N1027,MgDeg,2,0),0)</f>
        <v/>
      </c>
      <c r="R1027" s="29">
        <f>IFERROR(VLOOKUP(L1027,MgValor,2,0)*VLOOKUP(O1027,MgDeg,2,0),0)</f>
        <v/>
      </c>
      <c r="S1027" s="29">
        <f>IFERROR(VLOOKUP(M1027,MgValor,2,0)*VLOOKUP(P1027,MgDeg,2,0),0)</f>
        <v/>
      </c>
      <c r="T1027" s="30">
        <f>MAX(Q1027:S1027)</f>
        <v/>
      </c>
      <c r="U1027" s="28">
        <f>IFERROR(LOOKUP(T1027,{0;0.5;1.5;3;4.5},{"Despreciable";"Bajo";"Medio";"Alto";"Muy alto"}),"")</f>
        <v/>
      </c>
      <c r="V1027" s="13">
        <f>IFERROR(INDEX(MgAmenFrec,MATCH(SUBSTITUTE($H1027,"*","-"),MgAmenClave,0)),"")</f>
        <v/>
      </c>
      <c r="W1027" s="28">
        <f>IFERROR(LOOKUP(X1027,{0;0.01;0.1;1;10;100},{"Muy baja";"Muy baja";"Baja";"Media";"Alta";"Muy alta"}),"")</f>
        <v/>
      </c>
      <c r="X1027" s="31">
        <f>IFERROR(VLOOKUP(V1027,MgFrec,2,0),0)</f>
        <v/>
      </c>
      <c r="Y1027" s="30">
        <f>T1027*X1027</f>
        <v/>
      </c>
      <c r="Z1027" s="28">
        <f>IFERROR(LOOKUP(Y1027,{0;0.5;5;25},{"Bajo";"Medio";"Alto";"Crítico"}),"")</f>
        <v/>
      </c>
      <c r="AA1027" s="64">
        <f>IF(T1027&gt;=3,IF(X1027&gt;=1,"Zona 1 — Crítica: impacto alto y ocurre al menos una vez al año","Zona 4 — Catastrófica poco probable: impacto alto pero excepcional"),IF(AND(T1027&lt;1.5,X1027&lt;1),"Zona 3 — Asumible: impacto bajo y muy poco frecuente","Zona 2 — Atención: riesgo intermedio"))</f>
        <v/>
      </c>
      <c r="AB1027" s="64">
        <f>IFERROR(INDEX(MgAmenCtrl,MATCH(SUBSTITUTE($H1027,"*","-"),MgAmenClave,0)),"")</f>
        <v/>
      </c>
      <c r="AC1027" s="20" t="n"/>
      <c r="AD1027" s="31">
        <f>IFERROR($X1027*(1-IF($AC1027="",$AL1027,VLOOKUP($AC1027,MgMad,2,0))),"")</f>
        <v/>
      </c>
      <c r="AE1027" s="28">
        <f>IFERROR(LOOKUP(AD1027,{0;0.01;0.1;1;10;100},{"Muy baja";"Muy baja";"Baja";"Media";"Alta";"Muy alta"}),"")</f>
        <v/>
      </c>
      <c r="AF1027" s="30">
        <f>T1027*AD1027</f>
        <v/>
      </c>
      <c r="AG1027" s="28">
        <f>IFERROR(LOOKUP(AF1027,{0;0.5;5;25},{"Bajo";"Medio";"Alto";"Crítico"}),"")</f>
        <v/>
      </c>
      <c r="AH1027" s="28">
        <f>IF(AG1027="","",IF(OR(AG1027="Crítico",AG1027="Alto"),"Mitigar",IF(AG1027="Medio","Mitigar","Aceptar y monitorear")))</f>
        <v/>
      </c>
      <c r="AI1027" s="21" t="n"/>
      <c r="AJ1027" s="21" t="n"/>
      <c r="AK1027" s="20" t="n"/>
      <c r="AL1027" s="77">
        <f>IFERROR(INDEX(MgAmenEfic,MATCH(SUBSTITUTE($H1027,"*","-"),MgAmenClave,0)),0)</f>
        <v/>
      </c>
    </row>
    <row r="1028" hidden="1" ht="60" customHeight="1" s="54">
      <c r="B1028" s="59" t="inlineStr">
        <is>
          <t>R-1023</t>
        </is>
      </c>
      <c r="C1028" s="59" t="inlineStr">
        <is>
          <t>GH-044</t>
        </is>
      </c>
      <c r="D1028" s="64">
        <f>IFERROR(INDEX(MgNombre,MATCH($C1028,MgActId,0)),"")</f>
        <v/>
      </c>
      <c r="E1028" s="64">
        <f>IFERROR(INDEX(MgProceso,MATCH($C1028,MgActId,0)),"")</f>
        <v/>
      </c>
      <c r="F1028" s="64">
        <f>IFERROR(INDEX(MgTipo,MATCH($C1028,MgActId,0)),"")</f>
        <v/>
      </c>
      <c r="G1028" s="64">
        <f>IFERROR(INDEX(MgSubtipo,MATCH($C1028,MgActId,0)),"")</f>
        <v/>
      </c>
      <c r="H1028" s="59" t="inlineStr">
        <is>
          <t>A.15</t>
        </is>
      </c>
      <c r="I1028" s="64">
        <f>IFERROR(INDEX(MgAmenNombre,MATCH(SUBSTITUTE($H1028,"*","-"),MgAmenClave,0)),"")</f>
        <v/>
      </c>
      <c r="J1028" s="28">
        <f>IFERROR(INDEX(MgAmenGrupo,MATCH(SUBSTITUTE($H1028,"*","-"),MgAmenClave,0)),"")</f>
        <v/>
      </c>
      <c r="K1028" s="64">
        <f>IFERROR(INDEX('1. Matriz de Activos'!$Q$6:$Q$239,MATCH($C1028,MgActId,0)),"")</f>
        <v/>
      </c>
      <c r="L1028" s="64">
        <f>IFERROR(INDEX('1. Matriz de Activos'!$R$6:$R$239,MATCH($C1028,MgActId,0)),"")</f>
        <v/>
      </c>
      <c r="M1028" s="64">
        <f>IFERROR(INDEX('1. Matriz de Activos'!$S$6:$S$239,MATCH($C1028,MgActId,0)),"")</f>
        <v/>
      </c>
      <c r="N1028" s="28">
        <f>IFERROR(INDEX(MgAmenDegD,MATCH(SUBSTITUTE($H1028,"*","-"),MgAmenClave,0)),"No aplica")</f>
        <v/>
      </c>
      <c r="O1028" s="28">
        <f>IFERROR(INDEX(MgAmenDegI,MATCH(SUBSTITUTE($H1028,"*","-"),MgAmenClave,0)),"No aplica")</f>
        <v/>
      </c>
      <c r="P1028" s="28">
        <f>IFERROR(INDEX(MgAmenDegC,MATCH(SUBSTITUTE($H1028,"*","-"),MgAmenClave,0)),"No aplica")</f>
        <v/>
      </c>
      <c r="Q1028" s="29">
        <f>IFERROR(VLOOKUP(K1028,MgValor,2,0)*VLOOKUP(N1028,MgDeg,2,0),0)</f>
        <v/>
      </c>
      <c r="R1028" s="29">
        <f>IFERROR(VLOOKUP(L1028,MgValor,2,0)*VLOOKUP(O1028,MgDeg,2,0),0)</f>
        <v/>
      </c>
      <c r="S1028" s="29">
        <f>IFERROR(VLOOKUP(M1028,MgValor,2,0)*VLOOKUP(P1028,MgDeg,2,0),0)</f>
        <v/>
      </c>
      <c r="T1028" s="30">
        <f>MAX(Q1028:S1028)</f>
        <v/>
      </c>
      <c r="U1028" s="28">
        <f>IFERROR(LOOKUP(T1028,{0;0.5;1.5;3;4.5},{"Despreciable";"Bajo";"Medio";"Alto";"Muy alto"}),"")</f>
        <v/>
      </c>
      <c r="V1028" s="13">
        <f>IFERROR(INDEX(MgAmenFrec,MATCH(SUBSTITUTE($H1028,"*","-"),MgAmenClave,0)),"")</f>
        <v/>
      </c>
      <c r="W1028" s="28">
        <f>IFERROR(LOOKUP(X1028,{0;0.01;0.1;1;10;100},{"Muy baja";"Muy baja";"Baja";"Media";"Alta";"Muy alta"}),"")</f>
        <v/>
      </c>
      <c r="X1028" s="31">
        <f>IFERROR(VLOOKUP(V1028,MgFrec,2,0),0)</f>
        <v/>
      </c>
      <c r="Y1028" s="30">
        <f>T1028*X1028</f>
        <v/>
      </c>
      <c r="Z1028" s="28">
        <f>IFERROR(LOOKUP(Y1028,{0;0.5;5;25},{"Bajo";"Medio";"Alto";"Crítico"}),"")</f>
        <v/>
      </c>
      <c r="AA1028" s="64">
        <f>IF(T1028&gt;=3,IF(X1028&gt;=1,"Zona 1 — Crítica: impacto alto y ocurre al menos una vez al año","Zona 4 — Catastrófica poco probable: impacto alto pero excepcional"),IF(AND(T1028&lt;1.5,X1028&lt;1),"Zona 3 — Asumible: impacto bajo y muy poco frecuente","Zona 2 — Atención: riesgo intermedio"))</f>
        <v/>
      </c>
      <c r="AB1028" s="64">
        <f>IFERROR(INDEX(MgAmenCtrl,MATCH(SUBSTITUTE($H1028,"*","-"),MgAmenClave,0)),"")</f>
        <v/>
      </c>
      <c r="AC1028" s="20" t="n"/>
      <c r="AD1028" s="31">
        <f>IFERROR($X1028*(1-IF($AC1028="",$AL1028,VLOOKUP($AC1028,MgMad,2,0))),"")</f>
        <v/>
      </c>
      <c r="AE1028" s="28">
        <f>IFERROR(LOOKUP(AD1028,{0;0.01;0.1;1;10;100},{"Muy baja";"Muy baja";"Baja";"Media";"Alta";"Muy alta"}),"")</f>
        <v/>
      </c>
      <c r="AF1028" s="30">
        <f>T1028*AD1028</f>
        <v/>
      </c>
      <c r="AG1028" s="28">
        <f>IFERROR(LOOKUP(AF1028,{0;0.5;5;25},{"Bajo";"Medio";"Alto";"Crítico"}),"")</f>
        <v/>
      </c>
      <c r="AH1028" s="28">
        <f>IF(AG1028="","",IF(OR(AG1028="Crítico",AG1028="Alto"),"Mitigar",IF(AG1028="Medio","Mitigar","Aceptar y monitorear")))</f>
        <v/>
      </c>
      <c r="AI1028" s="21" t="n"/>
      <c r="AJ1028" s="21" t="n"/>
      <c r="AK1028" s="20" t="n"/>
      <c r="AL1028" s="77">
        <f>IFERROR(INDEX(MgAmenEfic,MATCH(SUBSTITUTE($H1028,"*","-"),MgAmenClave,0)),0)</f>
        <v/>
      </c>
    </row>
    <row r="1029" hidden="1" ht="60" customHeight="1" s="54">
      <c r="B1029" s="59" t="inlineStr">
        <is>
          <t>R-1024</t>
        </is>
      </c>
      <c r="C1029" s="59" t="inlineStr">
        <is>
          <t>GH-044</t>
        </is>
      </c>
      <c r="D1029" s="64">
        <f>IFERROR(INDEX(MgNombre,MATCH($C1029,MgActId,0)),"")</f>
        <v/>
      </c>
      <c r="E1029" s="64">
        <f>IFERROR(INDEX(MgProceso,MATCH($C1029,MgActId,0)),"")</f>
        <v/>
      </c>
      <c r="F1029" s="64">
        <f>IFERROR(INDEX(MgTipo,MATCH($C1029,MgActId,0)),"")</f>
        <v/>
      </c>
      <c r="G1029" s="64">
        <f>IFERROR(INDEX(MgSubtipo,MATCH($C1029,MgActId,0)),"")</f>
        <v/>
      </c>
      <c r="H1029" s="59" t="inlineStr">
        <is>
          <t>A.18</t>
        </is>
      </c>
      <c r="I1029" s="64">
        <f>IFERROR(INDEX(MgAmenNombre,MATCH(SUBSTITUTE($H1029,"*","-"),MgAmenClave,0)),"")</f>
        <v/>
      </c>
      <c r="J1029" s="28">
        <f>IFERROR(INDEX(MgAmenGrupo,MATCH(SUBSTITUTE($H1029,"*","-"),MgAmenClave,0)),"")</f>
        <v/>
      </c>
      <c r="K1029" s="64">
        <f>IFERROR(INDEX('1. Matriz de Activos'!$Q$6:$Q$239,MATCH($C1029,MgActId,0)),"")</f>
        <v/>
      </c>
      <c r="L1029" s="64">
        <f>IFERROR(INDEX('1. Matriz de Activos'!$R$6:$R$239,MATCH($C1029,MgActId,0)),"")</f>
        <v/>
      </c>
      <c r="M1029" s="64">
        <f>IFERROR(INDEX('1. Matriz de Activos'!$S$6:$S$239,MATCH($C1029,MgActId,0)),"")</f>
        <v/>
      </c>
      <c r="N1029" s="28">
        <f>IFERROR(INDEX(MgAmenDegD,MATCH(SUBSTITUTE($H1029,"*","-"),MgAmenClave,0)),"No aplica")</f>
        <v/>
      </c>
      <c r="O1029" s="28">
        <f>IFERROR(INDEX(MgAmenDegI,MATCH(SUBSTITUTE($H1029,"*","-"),MgAmenClave,0)),"No aplica")</f>
        <v/>
      </c>
      <c r="P1029" s="28">
        <f>IFERROR(INDEX(MgAmenDegC,MATCH(SUBSTITUTE($H1029,"*","-"),MgAmenClave,0)),"No aplica")</f>
        <v/>
      </c>
      <c r="Q1029" s="29">
        <f>IFERROR(VLOOKUP(K1029,MgValor,2,0)*VLOOKUP(N1029,MgDeg,2,0),0)</f>
        <v/>
      </c>
      <c r="R1029" s="29">
        <f>IFERROR(VLOOKUP(L1029,MgValor,2,0)*VLOOKUP(O1029,MgDeg,2,0),0)</f>
        <v/>
      </c>
      <c r="S1029" s="29">
        <f>IFERROR(VLOOKUP(M1029,MgValor,2,0)*VLOOKUP(P1029,MgDeg,2,0),0)</f>
        <v/>
      </c>
      <c r="T1029" s="30">
        <f>MAX(Q1029:S1029)</f>
        <v/>
      </c>
      <c r="U1029" s="28">
        <f>IFERROR(LOOKUP(T1029,{0;0.5;1.5;3;4.5},{"Despreciable";"Bajo";"Medio";"Alto";"Muy alto"}),"")</f>
        <v/>
      </c>
      <c r="V1029" s="13">
        <f>IFERROR(INDEX(MgAmenFrec,MATCH(SUBSTITUTE($H1029,"*","-"),MgAmenClave,0)),"")</f>
        <v/>
      </c>
      <c r="W1029" s="28">
        <f>IFERROR(LOOKUP(X1029,{0;0.01;0.1;1;10;100},{"Muy baja";"Muy baja";"Baja";"Media";"Alta";"Muy alta"}),"")</f>
        <v/>
      </c>
      <c r="X1029" s="31">
        <f>IFERROR(VLOOKUP(V1029,MgFrec,2,0),0)</f>
        <v/>
      </c>
      <c r="Y1029" s="30">
        <f>T1029*X1029</f>
        <v/>
      </c>
      <c r="Z1029" s="28">
        <f>IFERROR(LOOKUP(Y1029,{0;0.5;5;25},{"Bajo";"Medio";"Alto";"Crítico"}),"")</f>
        <v/>
      </c>
      <c r="AA1029" s="64">
        <f>IF(T1029&gt;=3,IF(X1029&gt;=1,"Zona 1 — Crítica: impacto alto y ocurre al menos una vez al año","Zona 4 — Catastrófica poco probable: impacto alto pero excepcional"),IF(AND(T1029&lt;1.5,X1029&lt;1),"Zona 3 — Asumible: impacto bajo y muy poco frecuente","Zona 2 — Atención: riesgo intermedio"))</f>
        <v/>
      </c>
      <c r="AB1029" s="64">
        <f>IFERROR(INDEX(MgAmenCtrl,MATCH(SUBSTITUTE($H1029,"*","-"),MgAmenClave,0)),"")</f>
        <v/>
      </c>
      <c r="AC1029" s="20" t="n"/>
      <c r="AD1029" s="31">
        <f>IFERROR($X1029*(1-IF($AC1029="",$AL1029,VLOOKUP($AC1029,MgMad,2,0))),"")</f>
        <v/>
      </c>
      <c r="AE1029" s="28">
        <f>IFERROR(LOOKUP(AD1029,{0;0.01;0.1;1;10;100},{"Muy baja";"Muy baja";"Baja";"Media";"Alta";"Muy alta"}),"")</f>
        <v/>
      </c>
      <c r="AF1029" s="30">
        <f>T1029*AD1029</f>
        <v/>
      </c>
      <c r="AG1029" s="28">
        <f>IFERROR(LOOKUP(AF1029,{0;0.5;5;25},{"Bajo";"Medio";"Alto";"Crítico"}),"")</f>
        <v/>
      </c>
      <c r="AH1029" s="28">
        <f>IF(AG1029="","",IF(OR(AG1029="Crítico",AG1029="Alto"),"Mitigar",IF(AG1029="Medio","Mitigar","Aceptar y monitorear")))</f>
        <v/>
      </c>
      <c r="AI1029" s="21" t="n"/>
      <c r="AJ1029" s="21" t="n"/>
      <c r="AK1029" s="20" t="n"/>
      <c r="AL1029" s="77">
        <f>IFERROR(INDEX(MgAmenEfic,MATCH(SUBSTITUTE($H1029,"*","-"),MgAmenClave,0)),0)</f>
        <v/>
      </c>
    </row>
    <row r="1030" hidden="1" ht="120" customHeight="1" s="54">
      <c r="B1030" s="59" t="inlineStr">
        <is>
          <t>R-1025</t>
        </is>
      </c>
      <c r="C1030" s="59" t="inlineStr">
        <is>
          <t>GH-044</t>
        </is>
      </c>
      <c r="D1030" s="64">
        <f>IFERROR(INDEX(MgNombre,MATCH($C1030,MgActId,0)),"")</f>
        <v/>
      </c>
      <c r="E1030" s="64">
        <f>IFERROR(INDEX(MgProceso,MATCH($C1030,MgActId,0)),"")</f>
        <v/>
      </c>
      <c r="F1030" s="64">
        <f>IFERROR(INDEX(MgTipo,MATCH($C1030,MgActId,0)),"")</f>
        <v/>
      </c>
      <c r="G1030" s="64">
        <f>IFERROR(INDEX(MgSubtipo,MATCH($C1030,MgActId,0)),"")</f>
        <v/>
      </c>
      <c r="H1030" s="59" t="inlineStr">
        <is>
          <t>A.19</t>
        </is>
      </c>
      <c r="I1030" s="64">
        <f>IFERROR(INDEX(MgAmenNombre,MATCH(SUBSTITUTE($H1030,"*","-"),MgAmenClave,0)),"")</f>
        <v/>
      </c>
      <c r="J1030" s="28">
        <f>IFERROR(INDEX(MgAmenGrupo,MATCH(SUBSTITUTE($H1030,"*","-"),MgAmenClave,0)),"")</f>
        <v/>
      </c>
      <c r="K1030" s="64">
        <f>IFERROR(INDEX('1. Matriz de Activos'!$Q$6:$Q$239,MATCH($C1030,MgActId,0)),"")</f>
        <v/>
      </c>
      <c r="L1030" s="64">
        <f>IFERROR(INDEX('1. Matriz de Activos'!$R$6:$R$239,MATCH($C1030,MgActId,0)),"")</f>
        <v/>
      </c>
      <c r="M1030" s="64">
        <f>IFERROR(INDEX('1. Matriz de Activos'!$S$6:$S$239,MATCH($C1030,MgActId,0)),"")</f>
        <v/>
      </c>
      <c r="N1030" s="28">
        <f>IFERROR(INDEX(MgAmenDegD,MATCH(SUBSTITUTE($H1030,"*","-"),MgAmenClave,0)),"No aplica")</f>
        <v/>
      </c>
      <c r="O1030" s="28">
        <f>IFERROR(INDEX(MgAmenDegI,MATCH(SUBSTITUTE($H1030,"*","-"),MgAmenClave,0)),"No aplica")</f>
        <v/>
      </c>
      <c r="P1030" s="28">
        <f>IFERROR(INDEX(MgAmenDegC,MATCH(SUBSTITUTE($H1030,"*","-"),MgAmenClave,0)),"No aplica")</f>
        <v/>
      </c>
      <c r="Q1030" s="29">
        <f>IFERROR(VLOOKUP(K1030,MgValor,2,0)*VLOOKUP(N1030,MgDeg,2,0),0)</f>
        <v/>
      </c>
      <c r="R1030" s="29">
        <f>IFERROR(VLOOKUP(L1030,MgValor,2,0)*VLOOKUP(O1030,MgDeg,2,0),0)</f>
        <v/>
      </c>
      <c r="S1030" s="29">
        <f>IFERROR(VLOOKUP(M1030,MgValor,2,0)*VLOOKUP(P1030,MgDeg,2,0),0)</f>
        <v/>
      </c>
      <c r="T1030" s="30">
        <f>MAX(Q1030:S1030)</f>
        <v/>
      </c>
      <c r="U1030" s="28">
        <f>IFERROR(LOOKUP(T1030,{0;0.5;1.5;3;4.5},{"Despreciable";"Bajo";"Medio";"Alto";"Muy alto"}),"")</f>
        <v/>
      </c>
      <c r="V1030" s="13">
        <f>IFERROR(INDEX(MgAmenFrec,MATCH(SUBSTITUTE($H1030,"*","-"),MgAmenClave,0)),"")</f>
        <v/>
      </c>
      <c r="W1030" s="28">
        <f>IFERROR(LOOKUP(X1030,{0;0.01;0.1;1;10;100},{"Muy baja";"Muy baja";"Baja";"Media";"Alta";"Muy alta"}),"")</f>
        <v/>
      </c>
      <c r="X1030" s="31">
        <f>IFERROR(VLOOKUP(V1030,MgFrec,2,0),0)</f>
        <v/>
      </c>
      <c r="Y1030" s="30">
        <f>T1030*X1030</f>
        <v/>
      </c>
      <c r="Z1030" s="28">
        <f>IFERROR(LOOKUP(Y1030,{0;0.5;5;25},{"Bajo";"Medio";"Alto";"Crítico"}),"")</f>
        <v/>
      </c>
      <c r="AA1030" s="64">
        <f>IF(T1030&gt;=3,IF(X1030&gt;=1,"Zona 1 — Crítica: impacto alto y ocurre al menos una vez al año","Zona 4 — Catastrófica poco probable: impacto alto pero excepcional"),IF(AND(T1030&lt;1.5,X1030&lt;1),"Zona 3 — Asumible: impacto bajo y muy poco frecuente","Zona 2 — Atención: riesgo intermedio"))</f>
        <v/>
      </c>
      <c r="AB1030" s="64">
        <f>IFERROR(INDEX(MgAmenCtrl,MATCH(SUBSTITUTE($H1030,"*","-"),MgAmenClave,0)),"")</f>
        <v/>
      </c>
      <c r="AC1030" s="20" t="n"/>
      <c r="AD1030" s="31">
        <f>IFERROR($X1030*(1-IF($AC1030="",$AL1030,VLOOKUP($AC1030,MgMad,2,0))),"")</f>
        <v/>
      </c>
      <c r="AE1030" s="28">
        <f>IFERROR(LOOKUP(AD1030,{0;0.01;0.1;1;10;100},{"Muy baja";"Muy baja";"Baja";"Media";"Alta";"Muy alta"}),"")</f>
        <v/>
      </c>
      <c r="AF1030" s="30">
        <f>T1030*AD1030</f>
        <v/>
      </c>
      <c r="AG1030" s="28">
        <f>IFERROR(LOOKUP(AF1030,{0;0.5;5;25},{"Bajo";"Medio";"Alto";"Crítico"}),"")</f>
        <v/>
      </c>
      <c r="AH1030" s="28">
        <f>IF(AG1030="","",IF(OR(AG1030="Crítico",AG1030="Alto"),"Mitigar",IF(AG1030="Medio","Mitigar","Aceptar y monitorear")))</f>
        <v/>
      </c>
      <c r="AI1030" s="21" t="n"/>
      <c r="AJ1030" s="21" t="n"/>
      <c r="AK1030" s="20" t="n"/>
      <c r="AL1030" s="77">
        <f>IFERROR(INDEX(MgAmenEfic,MATCH(SUBSTITUTE($H1030,"*","-"),MgAmenClave,0)),0)</f>
        <v/>
      </c>
    </row>
    <row r="1031" hidden="1" ht="105" customHeight="1" s="54">
      <c r="B1031" s="59" t="inlineStr">
        <is>
          <t>R-1026</t>
        </is>
      </c>
      <c r="C1031" s="59" t="inlineStr">
        <is>
          <t>GH-045</t>
        </is>
      </c>
      <c r="D1031" s="64">
        <f>IFERROR(INDEX(MgNombre,MATCH($C1031,MgActId,0)),"")</f>
        <v/>
      </c>
      <c r="E1031" s="64">
        <f>IFERROR(INDEX(MgProceso,MATCH($C1031,MgActId,0)),"")</f>
        <v/>
      </c>
      <c r="F1031" s="64">
        <f>IFERROR(INDEX(MgTipo,MATCH($C1031,MgActId,0)),"")</f>
        <v/>
      </c>
      <c r="G1031" s="64">
        <f>IFERROR(INDEX(MgSubtipo,MATCH($C1031,MgActId,0)),"")</f>
        <v/>
      </c>
      <c r="H1031" s="59" t="inlineStr">
        <is>
          <t>E.1</t>
        </is>
      </c>
      <c r="I1031" s="64">
        <f>IFERROR(INDEX(MgAmenNombre,MATCH(SUBSTITUTE($H1031,"*","-"),MgAmenClave,0)),"")</f>
        <v/>
      </c>
      <c r="J1031" s="28">
        <f>IFERROR(INDEX(MgAmenGrupo,MATCH(SUBSTITUTE($H1031,"*","-"),MgAmenClave,0)),"")</f>
        <v/>
      </c>
      <c r="K1031" s="64">
        <f>IFERROR(INDEX('1. Matriz de Activos'!$Q$6:$Q$239,MATCH($C1031,MgActId,0)),"")</f>
        <v/>
      </c>
      <c r="L1031" s="64">
        <f>IFERROR(INDEX('1. Matriz de Activos'!$R$6:$R$239,MATCH($C1031,MgActId,0)),"")</f>
        <v/>
      </c>
      <c r="M1031" s="64">
        <f>IFERROR(INDEX('1. Matriz de Activos'!$S$6:$S$239,MATCH($C1031,MgActId,0)),"")</f>
        <v/>
      </c>
      <c r="N1031" s="28">
        <f>IFERROR(INDEX(MgAmenDegD,MATCH(SUBSTITUTE($H1031,"*","-"),MgAmenClave,0)),"No aplica")</f>
        <v/>
      </c>
      <c r="O1031" s="28">
        <f>IFERROR(INDEX(MgAmenDegI,MATCH(SUBSTITUTE($H1031,"*","-"),MgAmenClave,0)),"No aplica")</f>
        <v/>
      </c>
      <c r="P1031" s="28">
        <f>IFERROR(INDEX(MgAmenDegC,MATCH(SUBSTITUTE($H1031,"*","-"),MgAmenClave,0)),"No aplica")</f>
        <v/>
      </c>
      <c r="Q1031" s="29">
        <f>IFERROR(VLOOKUP(K1031,MgValor,2,0)*VLOOKUP(N1031,MgDeg,2,0),0)</f>
        <v/>
      </c>
      <c r="R1031" s="29">
        <f>IFERROR(VLOOKUP(L1031,MgValor,2,0)*VLOOKUP(O1031,MgDeg,2,0),0)</f>
        <v/>
      </c>
      <c r="S1031" s="29">
        <f>IFERROR(VLOOKUP(M1031,MgValor,2,0)*VLOOKUP(P1031,MgDeg,2,0),0)</f>
        <v/>
      </c>
      <c r="T1031" s="30">
        <f>MAX(Q1031:S1031)</f>
        <v/>
      </c>
      <c r="U1031" s="28">
        <f>IFERROR(LOOKUP(T1031,{0;0.5;1.5;3;4.5},{"Despreciable";"Bajo";"Medio";"Alto";"Muy alto"}),"")</f>
        <v/>
      </c>
      <c r="V1031" s="13">
        <f>IFERROR(INDEX(MgAmenFrec,MATCH(SUBSTITUTE($H1031,"*","-"),MgAmenClave,0)),"")</f>
        <v/>
      </c>
      <c r="W1031" s="28">
        <f>IFERROR(LOOKUP(X1031,{0;0.01;0.1;1;10;100},{"Muy baja";"Muy baja";"Baja";"Media";"Alta";"Muy alta"}),"")</f>
        <v/>
      </c>
      <c r="X1031" s="31">
        <f>IFERROR(VLOOKUP(V1031,MgFrec,2,0),0)</f>
        <v/>
      </c>
      <c r="Y1031" s="30">
        <f>T1031*X1031</f>
        <v/>
      </c>
      <c r="Z1031" s="28">
        <f>IFERROR(LOOKUP(Y1031,{0;0.5;5;25},{"Bajo";"Medio";"Alto";"Crítico"}),"")</f>
        <v/>
      </c>
      <c r="AA1031" s="64">
        <f>IF(T1031&gt;=3,IF(X1031&gt;=1,"Zona 1 — Crítica: impacto alto y ocurre al menos una vez al año","Zona 4 — Catastrófica poco probable: impacto alto pero excepcional"),IF(AND(T1031&lt;1.5,X1031&lt;1),"Zona 3 — Asumible: impacto bajo y muy poco frecuente","Zona 2 — Atención: riesgo intermedio"))</f>
        <v/>
      </c>
      <c r="AB1031" s="64">
        <f>IFERROR(INDEX(MgAmenCtrl,MATCH(SUBSTITUTE($H1031,"*","-"),MgAmenClave,0)),"")</f>
        <v/>
      </c>
      <c r="AC1031" s="20" t="n"/>
      <c r="AD1031" s="31">
        <f>IFERROR($X1031*(1-IF($AC1031="",$AL1031,VLOOKUP($AC1031,MgMad,2,0))),"")</f>
        <v/>
      </c>
      <c r="AE1031" s="28">
        <f>IFERROR(LOOKUP(AD1031,{0;0.01;0.1;1;10;100},{"Muy baja";"Muy baja";"Baja";"Media";"Alta";"Muy alta"}),"")</f>
        <v/>
      </c>
      <c r="AF1031" s="30">
        <f>T1031*AD1031</f>
        <v/>
      </c>
      <c r="AG1031" s="28">
        <f>IFERROR(LOOKUP(AF1031,{0;0.5;5;25},{"Bajo";"Medio";"Alto";"Crítico"}),"")</f>
        <v/>
      </c>
      <c r="AH1031" s="28">
        <f>IF(AG1031="","",IF(OR(AG1031="Crítico",AG1031="Alto"),"Mitigar",IF(AG1031="Medio","Mitigar","Aceptar y monitorear")))</f>
        <v/>
      </c>
      <c r="AI1031" s="21" t="n"/>
      <c r="AJ1031" s="21" t="n"/>
      <c r="AK1031" s="20" t="n"/>
      <c r="AL1031" s="77">
        <f>IFERROR(INDEX(MgAmenEfic,MATCH(SUBSTITUTE($H1031,"*","-"),MgAmenClave,0)),0)</f>
        <v/>
      </c>
    </row>
    <row r="1032" hidden="1" ht="120" customHeight="1" s="54">
      <c r="B1032" s="59" t="inlineStr">
        <is>
          <t>R-1027</t>
        </is>
      </c>
      <c r="C1032" s="59" t="inlineStr">
        <is>
          <t>GH-045</t>
        </is>
      </c>
      <c r="D1032" s="64">
        <f>IFERROR(INDEX(MgNombre,MATCH($C1032,MgActId,0)),"")</f>
        <v/>
      </c>
      <c r="E1032" s="64">
        <f>IFERROR(INDEX(MgProceso,MATCH($C1032,MgActId,0)),"")</f>
        <v/>
      </c>
      <c r="F1032" s="64">
        <f>IFERROR(INDEX(MgTipo,MATCH($C1032,MgActId,0)),"")</f>
        <v/>
      </c>
      <c r="G1032" s="64">
        <f>IFERROR(INDEX(MgSubtipo,MATCH($C1032,MgActId,0)),"")</f>
        <v/>
      </c>
      <c r="H1032" s="59" t="inlineStr">
        <is>
          <t>E.2</t>
        </is>
      </c>
      <c r="I1032" s="64">
        <f>IFERROR(INDEX(MgAmenNombre,MATCH(SUBSTITUTE($H1032,"*","-"),MgAmenClave,0)),"")</f>
        <v/>
      </c>
      <c r="J1032" s="28">
        <f>IFERROR(INDEX(MgAmenGrupo,MATCH(SUBSTITUTE($H1032,"*","-"),MgAmenClave,0)),"")</f>
        <v/>
      </c>
      <c r="K1032" s="64">
        <f>IFERROR(INDEX('1. Matriz de Activos'!$Q$6:$Q$239,MATCH($C1032,MgActId,0)),"")</f>
        <v/>
      </c>
      <c r="L1032" s="64">
        <f>IFERROR(INDEX('1. Matriz de Activos'!$R$6:$R$239,MATCH($C1032,MgActId,0)),"")</f>
        <v/>
      </c>
      <c r="M1032" s="64">
        <f>IFERROR(INDEX('1. Matriz de Activos'!$S$6:$S$239,MATCH($C1032,MgActId,0)),"")</f>
        <v/>
      </c>
      <c r="N1032" s="28">
        <f>IFERROR(INDEX(MgAmenDegD,MATCH(SUBSTITUTE($H1032,"*","-"),MgAmenClave,0)),"No aplica")</f>
        <v/>
      </c>
      <c r="O1032" s="28">
        <f>IFERROR(INDEX(MgAmenDegI,MATCH(SUBSTITUTE($H1032,"*","-"),MgAmenClave,0)),"No aplica")</f>
        <v/>
      </c>
      <c r="P1032" s="28">
        <f>IFERROR(INDEX(MgAmenDegC,MATCH(SUBSTITUTE($H1032,"*","-"),MgAmenClave,0)),"No aplica")</f>
        <v/>
      </c>
      <c r="Q1032" s="29">
        <f>IFERROR(VLOOKUP(K1032,MgValor,2,0)*VLOOKUP(N1032,MgDeg,2,0),0)</f>
        <v/>
      </c>
      <c r="R1032" s="29">
        <f>IFERROR(VLOOKUP(L1032,MgValor,2,0)*VLOOKUP(O1032,MgDeg,2,0),0)</f>
        <v/>
      </c>
      <c r="S1032" s="29">
        <f>IFERROR(VLOOKUP(M1032,MgValor,2,0)*VLOOKUP(P1032,MgDeg,2,0),0)</f>
        <v/>
      </c>
      <c r="T1032" s="30">
        <f>MAX(Q1032:S1032)</f>
        <v/>
      </c>
      <c r="U1032" s="28">
        <f>IFERROR(LOOKUP(T1032,{0;0.5;1.5;3;4.5},{"Despreciable";"Bajo";"Medio";"Alto";"Muy alto"}),"")</f>
        <v/>
      </c>
      <c r="V1032" s="13">
        <f>IFERROR(INDEX(MgAmenFrec,MATCH(SUBSTITUTE($H1032,"*","-"),MgAmenClave,0)),"")</f>
        <v/>
      </c>
      <c r="W1032" s="28">
        <f>IFERROR(LOOKUP(X1032,{0;0.01;0.1;1;10;100},{"Muy baja";"Muy baja";"Baja";"Media";"Alta";"Muy alta"}),"")</f>
        <v/>
      </c>
      <c r="X1032" s="31">
        <f>IFERROR(VLOOKUP(V1032,MgFrec,2,0),0)</f>
        <v/>
      </c>
      <c r="Y1032" s="30">
        <f>T1032*X1032</f>
        <v/>
      </c>
      <c r="Z1032" s="28">
        <f>IFERROR(LOOKUP(Y1032,{0;0.5;5;25},{"Bajo";"Medio";"Alto";"Crítico"}),"")</f>
        <v/>
      </c>
      <c r="AA1032" s="64">
        <f>IF(T1032&gt;=3,IF(X1032&gt;=1,"Zona 1 — Crítica: impacto alto y ocurre al menos una vez al año","Zona 4 — Catastrófica poco probable: impacto alto pero excepcional"),IF(AND(T1032&lt;1.5,X1032&lt;1),"Zona 3 — Asumible: impacto bajo y muy poco frecuente","Zona 2 — Atención: riesgo intermedio"))</f>
        <v/>
      </c>
      <c r="AB1032" s="64">
        <f>IFERROR(INDEX(MgAmenCtrl,MATCH(SUBSTITUTE($H1032,"*","-"),MgAmenClave,0)),"")</f>
        <v/>
      </c>
      <c r="AC1032" s="20" t="n"/>
      <c r="AD1032" s="31">
        <f>IFERROR($X1032*(1-IF($AC1032="",$AL1032,VLOOKUP($AC1032,MgMad,2,0))),"")</f>
        <v/>
      </c>
      <c r="AE1032" s="28">
        <f>IFERROR(LOOKUP(AD1032,{0;0.01;0.1;1;10;100},{"Muy baja";"Muy baja";"Baja";"Media";"Alta";"Muy alta"}),"")</f>
        <v/>
      </c>
      <c r="AF1032" s="30">
        <f>T1032*AD1032</f>
        <v/>
      </c>
      <c r="AG1032" s="28">
        <f>IFERROR(LOOKUP(AF1032,{0;0.5;5;25},{"Bajo";"Medio";"Alto";"Crítico"}),"")</f>
        <v/>
      </c>
      <c r="AH1032" s="28">
        <f>IF(AG1032="","",IF(OR(AG1032="Crítico",AG1032="Alto"),"Mitigar",IF(AG1032="Medio","Mitigar","Aceptar y monitorear")))</f>
        <v/>
      </c>
      <c r="AI1032" s="21" t="n"/>
      <c r="AJ1032" s="21" t="n"/>
      <c r="AK1032" s="20" t="n"/>
      <c r="AL1032" s="77">
        <f>IFERROR(INDEX(MgAmenEfic,MATCH(SUBSTITUTE($H1032,"*","-"),MgAmenClave,0)),0)</f>
        <v/>
      </c>
    </row>
    <row r="1033" hidden="1" ht="75" customHeight="1" s="54">
      <c r="B1033" s="59" t="inlineStr">
        <is>
          <t>R-1028</t>
        </is>
      </c>
      <c r="C1033" s="59" t="inlineStr">
        <is>
          <t>GH-045</t>
        </is>
      </c>
      <c r="D1033" s="64">
        <f>IFERROR(INDEX(MgNombre,MATCH($C1033,MgActId,0)),"")</f>
        <v/>
      </c>
      <c r="E1033" s="64">
        <f>IFERROR(INDEX(MgProceso,MATCH($C1033,MgActId,0)),"")</f>
        <v/>
      </c>
      <c r="F1033" s="64">
        <f>IFERROR(INDEX(MgTipo,MATCH($C1033,MgActId,0)),"")</f>
        <v/>
      </c>
      <c r="G1033" s="64">
        <f>IFERROR(INDEX(MgSubtipo,MATCH($C1033,MgActId,0)),"")</f>
        <v/>
      </c>
      <c r="H1033" s="59" t="inlineStr">
        <is>
          <t>E.3</t>
        </is>
      </c>
      <c r="I1033" s="64">
        <f>IFERROR(INDEX(MgAmenNombre,MATCH(SUBSTITUTE($H1033,"*","-"),MgAmenClave,0)),"")</f>
        <v/>
      </c>
      <c r="J1033" s="28">
        <f>IFERROR(INDEX(MgAmenGrupo,MATCH(SUBSTITUTE($H1033,"*","-"),MgAmenClave,0)),"")</f>
        <v/>
      </c>
      <c r="K1033" s="64">
        <f>IFERROR(INDEX('1. Matriz de Activos'!$Q$6:$Q$239,MATCH($C1033,MgActId,0)),"")</f>
        <v/>
      </c>
      <c r="L1033" s="64">
        <f>IFERROR(INDEX('1. Matriz de Activos'!$R$6:$R$239,MATCH($C1033,MgActId,0)),"")</f>
        <v/>
      </c>
      <c r="M1033" s="64">
        <f>IFERROR(INDEX('1. Matriz de Activos'!$S$6:$S$239,MATCH($C1033,MgActId,0)),"")</f>
        <v/>
      </c>
      <c r="N1033" s="28">
        <f>IFERROR(INDEX(MgAmenDegD,MATCH(SUBSTITUTE($H1033,"*","-"),MgAmenClave,0)),"No aplica")</f>
        <v/>
      </c>
      <c r="O1033" s="28">
        <f>IFERROR(INDEX(MgAmenDegI,MATCH(SUBSTITUTE($H1033,"*","-"),MgAmenClave,0)),"No aplica")</f>
        <v/>
      </c>
      <c r="P1033" s="28">
        <f>IFERROR(INDEX(MgAmenDegC,MATCH(SUBSTITUTE($H1033,"*","-"),MgAmenClave,0)),"No aplica")</f>
        <v/>
      </c>
      <c r="Q1033" s="29">
        <f>IFERROR(VLOOKUP(K1033,MgValor,2,0)*VLOOKUP(N1033,MgDeg,2,0),0)</f>
        <v/>
      </c>
      <c r="R1033" s="29">
        <f>IFERROR(VLOOKUP(L1033,MgValor,2,0)*VLOOKUP(O1033,MgDeg,2,0),0)</f>
        <v/>
      </c>
      <c r="S1033" s="29">
        <f>IFERROR(VLOOKUP(M1033,MgValor,2,0)*VLOOKUP(P1033,MgDeg,2,0),0)</f>
        <v/>
      </c>
      <c r="T1033" s="30">
        <f>MAX(Q1033:S1033)</f>
        <v/>
      </c>
      <c r="U1033" s="28">
        <f>IFERROR(LOOKUP(T1033,{0;0.5;1.5;3;4.5},{"Despreciable";"Bajo";"Medio";"Alto";"Muy alto"}),"")</f>
        <v/>
      </c>
      <c r="V1033" s="13">
        <f>IFERROR(INDEX(MgAmenFrec,MATCH(SUBSTITUTE($H1033,"*","-"),MgAmenClave,0)),"")</f>
        <v/>
      </c>
      <c r="W1033" s="28">
        <f>IFERROR(LOOKUP(X1033,{0;0.01;0.1;1;10;100},{"Muy baja";"Muy baja";"Baja";"Media";"Alta";"Muy alta"}),"")</f>
        <v/>
      </c>
      <c r="X1033" s="31">
        <f>IFERROR(VLOOKUP(V1033,MgFrec,2,0),0)</f>
        <v/>
      </c>
      <c r="Y1033" s="30">
        <f>T1033*X1033</f>
        <v/>
      </c>
      <c r="Z1033" s="28">
        <f>IFERROR(LOOKUP(Y1033,{0;0.5;5;25},{"Bajo";"Medio";"Alto";"Crítico"}),"")</f>
        <v/>
      </c>
      <c r="AA1033" s="64">
        <f>IF(T1033&gt;=3,IF(X1033&gt;=1,"Zona 1 — Crítica: impacto alto y ocurre al menos una vez al año","Zona 4 — Catastrófica poco probable: impacto alto pero excepcional"),IF(AND(T1033&lt;1.5,X1033&lt;1),"Zona 3 — Asumible: impacto bajo y muy poco frecuente","Zona 2 — Atención: riesgo intermedio"))</f>
        <v/>
      </c>
      <c r="AB1033" s="64">
        <f>IFERROR(INDEX(MgAmenCtrl,MATCH(SUBSTITUTE($H1033,"*","-"),MgAmenClave,0)),"")</f>
        <v/>
      </c>
      <c r="AC1033" s="20" t="n"/>
      <c r="AD1033" s="31">
        <f>IFERROR($X1033*(1-IF($AC1033="",$AL1033,VLOOKUP($AC1033,MgMad,2,0))),"")</f>
        <v/>
      </c>
      <c r="AE1033" s="28">
        <f>IFERROR(LOOKUP(AD1033,{0;0.01;0.1;1;10;100},{"Muy baja";"Muy baja";"Baja";"Media";"Alta";"Muy alta"}),"")</f>
        <v/>
      </c>
      <c r="AF1033" s="30">
        <f>T1033*AD1033</f>
        <v/>
      </c>
      <c r="AG1033" s="28">
        <f>IFERROR(LOOKUP(AF1033,{0;0.5;5;25},{"Bajo";"Medio";"Alto";"Crítico"}),"")</f>
        <v/>
      </c>
      <c r="AH1033" s="28">
        <f>IF(AG1033="","",IF(OR(AG1033="Crítico",AG1033="Alto"),"Mitigar",IF(AG1033="Medio","Mitigar","Aceptar y monitorear")))</f>
        <v/>
      </c>
      <c r="AI1033" s="21" t="n"/>
      <c r="AJ1033" s="21" t="n"/>
      <c r="AK1033" s="20" t="n"/>
      <c r="AL1033" s="77">
        <f>IFERROR(INDEX(MgAmenEfic,MATCH(SUBSTITUTE($H1033,"*","-"),MgAmenClave,0)),0)</f>
        <v/>
      </c>
    </row>
    <row r="1034" hidden="1" ht="75" customHeight="1" s="54">
      <c r="B1034" s="59" t="inlineStr">
        <is>
          <t>R-1029</t>
        </is>
      </c>
      <c r="C1034" s="59" t="inlineStr">
        <is>
          <t>GH-045</t>
        </is>
      </c>
      <c r="D1034" s="64">
        <f>IFERROR(INDEX(MgNombre,MATCH($C1034,MgActId,0)),"")</f>
        <v/>
      </c>
      <c r="E1034" s="64">
        <f>IFERROR(INDEX(MgProceso,MATCH($C1034,MgActId,0)),"")</f>
        <v/>
      </c>
      <c r="F1034" s="64">
        <f>IFERROR(INDEX(MgTipo,MATCH($C1034,MgActId,0)),"")</f>
        <v/>
      </c>
      <c r="G1034" s="64">
        <f>IFERROR(INDEX(MgSubtipo,MATCH($C1034,MgActId,0)),"")</f>
        <v/>
      </c>
      <c r="H1034" s="59" t="inlineStr">
        <is>
          <t>E.4</t>
        </is>
      </c>
      <c r="I1034" s="64">
        <f>IFERROR(INDEX(MgAmenNombre,MATCH(SUBSTITUTE($H1034,"*","-"),MgAmenClave,0)),"")</f>
        <v/>
      </c>
      <c r="J1034" s="28">
        <f>IFERROR(INDEX(MgAmenGrupo,MATCH(SUBSTITUTE($H1034,"*","-"),MgAmenClave,0)),"")</f>
        <v/>
      </c>
      <c r="K1034" s="64">
        <f>IFERROR(INDEX('1. Matriz de Activos'!$Q$6:$Q$239,MATCH($C1034,MgActId,0)),"")</f>
        <v/>
      </c>
      <c r="L1034" s="64">
        <f>IFERROR(INDEX('1. Matriz de Activos'!$R$6:$R$239,MATCH($C1034,MgActId,0)),"")</f>
        <v/>
      </c>
      <c r="M1034" s="64">
        <f>IFERROR(INDEX('1. Matriz de Activos'!$S$6:$S$239,MATCH($C1034,MgActId,0)),"")</f>
        <v/>
      </c>
      <c r="N1034" s="28">
        <f>IFERROR(INDEX(MgAmenDegD,MATCH(SUBSTITUTE($H1034,"*","-"),MgAmenClave,0)),"No aplica")</f>
        <v/>
      </c>
      <c r="O1034" s="28">
        <f>IFERROR(INDEX(MgAmenDegI,MATCH(SUBSTITUTE($H1034,"*","-"),MgAmenClave,0)),"No aplica")</f>
        <v/>
      </c>
      <c r="P1034" s="28">
        <f>IFERROR(INDEX(MgAmenDegC,MATCH(SUBSTITUTE($H1034,"*","-"),MgAmenClave,0)),"No aplica")</f>
        <v/>
      </c>
      <c r="Q1034" s="29">
        <f>IFERROR(VLOOKUP(K1034,MgValor,2,0)*VLOOKUP(N1034,MgDeg,2,0),0)</f>
        <v/>
      </c>
      <c r="R1034" s="29">
        <f>IFERROR(VLOOKUP(L1034,MgValor,2,0)*VLOOKUP(O1034,MgDeg,2,0),0)</f>
        <v/>
      </c>
      <c r="S1034" s="29">
        <f>IFERROR(VLOOKUP(M1034,MgValor,2,0)*VLOOKUP(P1034,MgDeg,2,0),0)</f>
        <v/>
      </c>
      <c r="T1034" s="30">
        <f>MAX(Q1034:S1034)</f>
        <v/>
      </c>
      <c r="U1034" s="28">
        <f>IFERROR(LOOKUP(T1034,{0;0.5;1.5;3;4.5},{"Despreciable";"Bajo";"Medio";"Alto";"Muy alto"}),"")</f>
        <v/>
      </c>
      <c r="V1034" s="13">
        <f>IFERROR(INDEX(MgAmenFrec,MATCH(SUBSTITUTE($H1034,"*","-"),MgAmenClave,0)),"")</f>
        <v/>
      </c>
      <c r="W1034" s="28">
        <f>IFERROR(LOOKUP(X1034,{0;0.01;0.1;1;10;100},{"Muy baja";"Muy baja";"Baja";"Media";"Alta";"Muy alta"}),"")</f>
        <v/>
      </c>
      <c r="X1034" s="31">
        <f>IFERROR(VLOOKUP(V1034,MgFrec,2,0),0)</f>
        <v/>
      </c>
      <c r="Y1034" s="30">
        <f>T1034*X1034</f>
        <v/>
      </c>
      <c r="Z1034" s="28">
        <f>IFERROR(LOOKUP(Y1034,{0;0.5;5;25},{"Bajo";"Medio";"Alto";"Crítico"}),"")</f>
        <v/>
      </c>
      <c r="AA1034" s="64">
        <f>IF(T1034&gt;=3,IF(X1034&gt;=1,"Zona 1 — Crítica: impacto alto y ocurre al menos una vez al año","Zona 4 — Catastrófica poco probable: impacto alto pero excepcional"),IF(AND(T1034&lt;1.5,X1034&lt;1),"Zona 3 — Asumible: impacto bajo y muy poco frecuente","Zona 2 — Atención: riesgo intermedio"))</f>
        <v/>
      </c>
      <c r="AB1034" s="64">
        <f>IFERROR(INDEX(MgAmenCtrl,MATCH(SUBSTITUTE($H1034,"*","-"),MgAmenClave,0)),"")</f>
        <v/>
      </c>
      <c r="AC1034" s="20" t="n"/>
      <c r="AD1034" s="31">
        <f>IFERROR($X1034*(1-IF($AC1034="",$AL1034,VLOOKUP($AC1034,MgMad,2,0))),"")</f>
        <v/>
      </c>
      <c r="AE1034" s="28">
        <f>IFERROR(LOOKUP(AD1034,{0;0.01;0.1;1;10;100},{"Muy baja";"Muy baja";"Baja";"Media";"Alta";"Muy alta"}),"")</f>
        <v/>
      </c>
      <c r="AF1034" s="30">
        <f>T1034*AD1034</f>
        <v/>
      </c>
      <c r="AG1034" s="28">
        <f>IFERROR(LOOKUP(AF1034,{0;0.5;5;25},{"Bajo";"Medio";"Alto";"Crítico"}),"")</f>
        <v/>
      </c>
      <c r="AH1034" s="28">
        <f>IF(AG1034="","",IF(OR(AG1034="Crítico",AG1034="Alto"),"Mitigar",IF(AG1034="Medio","Mitigar","Aceptar y monitorear")))</f>
        <v/>
      </c>
      <c r="AI1034" s="21" t="n"/>
      <c r="AJ1034" s="21" t="n"/>
      <c r="AK1034" s="20" t="n"/>
      <c r="AL1034" s="77">
        <f>IFERROR(INDEX(MgAmenEfic,MATCH(SUBSTITUTE($H1034,"*","-"),MgAmenClave,0)),0)</f>
        <v/>
      </c>
    </row>
    <row r="1035" hidden="1" ht="90" customHeight="1" s="54">
      <c r="B1035" s="59" t="inlineStr">
        <is>
          <t>R-1030</t>
        </is>
      </c>
      <c r="C1035" s="59" t="inlineStr">
        <is>
          <t>GH-045</t>
        </is>
      </c>
      <c r="D1035" s="64">
        <f>IFERROR(INDEX(MgNombre,MATCH($C1035,MgActId,0)),"")</f>
        <v/>
      </c>
      <c r="E1035" s="64">
        <f>IFERROR(INDEX(MgProceso,MATCH($C1035,MgActId,0)),"")</f>
        <v/>
      </c>
      <c r="F1035" s="64">
        <f>IFERROR(INDEX(MgTipo,MATCH($C1035,MgActId,0)),"")</f>
        <v/>
      </c>
      <c r="G1035" s="64">
        <f>IFERROR(INDEX(MgSubtipo,MATCH($C1035,MgActId,0)),"")</f>
        <v/>
      </c>
      <c r="H1035" s="59" t="inlineStr">
        <is>
          <t>E.14</t>
        </is>
      </c>
      <c r="I1035" s="64">
        <f>IFERROR(INDEX(MgAmenNombre,MATCH(SUBSTITUTE($H1035,"*","-"),MgAmenClave,0)),"")</f>
        <v/>
      </c>
      <c r="J1035" s="28">
        <f>IFERROR(INDEX(MgAmenGrupo,MATCH(SUBSTITUTE($H1035,"*","-"),MgAmenClave,0)),"")</f>
        <v/>
      </c>
      <c r="K1035" s="64">
        <f>IFERROR(INDEX('1. Matriz de Activos'!$Q$6:$Q$239,MATCH($C1035,MgActId,0)),"")</f>
        <v/>
      </c>
      <c r="L1035" s="64">
        <f>IFERROR(INDEX('1. Matriz de Activos'!$R$6:$R$239,MATCH($C1035,MgActId,0)),"")</f>
        <v/>
      </c>
      <c r="M1035" s="64">
        <f>IFERROR(INDEX('1. Matriz de Activos'!$S$6:$S$239,MATCH($C1035,MgActId,0)),"")</f>
        <v/>
      </c>
      <c r="N1035" s="28">
        <f>IFERROR(INDEX(MgAmenDegD,MATCH(SUBSTITUTE($H1035,"*","-"),MgAmenClave,0)),"No aplica")</f>
        <v/>
      </c>
      <c r="O1035" s="28">
        <f>IFERROR(INDEX(MgAmenDegI,MATCH(SUBSTITUTE($H1035,"*","-"),MgAmenClave,0)),"No aplica")</f>
        <v/>
      </c>
      <c r="P1035" s="28">
        <f>IFERROR(INDEX(MgAmenDegC,MATCH(SUBSTITUTE($H1035,"*","-"),MgAmenClave,0)),"No aplica")</f>
        <v/>
      </c>
      <c r="Q1035" s="29">
        <f>IFERROR(VLOOKUP(K1035,MgValor,2,0)*VLOOKUP(N1035,MgDeg,2,0),0)</f>
        <v/>
      </c>
      <c r="R1035" s="29">
        <f>IFERROR(VLOOKUP(L1035,MgValor,2,0)*VLOOKUP(O1035,MgDeg,2,0),0)</f>
        <v/>
      </c>
      <c r="S1035" s="29">
        <f>IFERROR(VLOOKUP(M1035,MgValor,2,0)*VLOOKUP(P1035,MgDeg,2,0),0)</f>
        <v/>
      </c>
      <c r="T1035" s="30">
        <f>MAX(Q1035:S1035)</f>
        <v/>
      </c>
      <c r="U1035" s="28">
        <f>IFERROR(LOOKUP(T1035,{0;0.5;1.5;3;4.5},{"Despreciable";"Bajo";"Medio";"Alto";"Muy alto"}),"")</f>
        <v/>
      </c>
      <c r="V1035" s="13">
        <f>IFERROR(INDEX(MgAmenFrec,MATCH(SUBSTITUTE($H1035,"*","-"),MgAmenClave,0)),"")</f>
        <v/>
      </c>
      <c r="W1035" s="28">
        <f>IFERROR(LOOKUP(X1035,{0;0.01;0.1;1;10;100},{"Muy baja";"Muy baja";"Baja";"Media";"Alta";"Muy alta"}),"")</f>
        <v/>
      </c>
      <c r="X1035" s="31">
        <f>IFERROR(VLOOKUP(V1035,MgFrec,2,0),0)</f>
        <v/>
      </c>
      <c r="Y1035" s="30">
        <f>T1035*X1035</f>
        <v/>
      </c>
      <c r="Z1035" s="28">
        <f>IFERROR(LOOKUP(Y1035,{0;0.5;5;25},{"Bajo";"Medio";"Alto";"Crítico"}),"")</f>
        <v/>
      </c>
      <c r="AA1035" s="64">
        <f>IF(T1035&gt;=3,IF(X1035&gt;=1,"Zona 1 — Crítica: impacto alto y ocurre al menos una vez al año","Zona 4 — Catastrófica poco probable: impacto alto pero excepcional"),IF(AND(T1035&lt;1.5,X1035&lt;1),"Zona 3 — Asumible: impacto bajo y muy poco frecuente","Zona 2 — Atención: riesgo intermedio"))</f>
        <v/>
      </c>
      <c r="AB1035" s="64">
        <f>IFERROR(INDEX(MgAmenCtrl,MATCH(SUBSTITUTE($H1035,"*","-"),MgAmenClave,0)),"")</f>
        <v/>
      </c>
      <c r="AC1035" s="20" t="n"/>
      <c r="AD1035" s="31">
        <f>IFERROR($X1035*(1-IF($AC1035="",$AL1035,VLOOKUP($AC1035,MgMad,2,0))),"")</f>
        <v/>
      </c>
      <c r="AE1035" s="28">
        <f>IFERROR(LOOKUP(AD1035,{0;0.01;0.1;1;10;100},{"Muy baja";"Muy baja";"Baja";"Media";"Alta";"Muy alta"}),"")</f>
        <v/>
      </c>
      <c r="AF1035" s="30">
        <f>T1035*AD1035</f>
        <v/>
      </c>
      <c r="AG1035" s="28">
        <f>IFERROR(LOOKUP(AF1035,{0;0.5;5;25},{"Bajo";"Medio";"Alto";"Crítico"}),"")</f>
        <v/>
      </c>
      <c r="AH1035" s="28">
        <f>IF(AG1035="","",IF(OR(AG1035="Crítico",AG1035="Alto"),"Mitigar",IF(AG1035="Medio","Mitigar","Aceptar y monitorear")))</f>
        <v/>
      </c>
      <c r="AI1035" s="21" t="n"/>
      <c r="AJ1035" s="21" t="n"/>
      <c r="AK1035" s="20" t="n"/>
      <c r="AL1035" s="77">
        <f>IFERROR(INDEX(MgAmenEfic,MATCH(SUBSTITUTE($H1035,"*","-"),MgAmenClave,0)),0)</f>
        <v/>
      </c>
    </row>
    <row r="1036" hidden="1" ht="90" customHeight="1" s="54">
      <c r="B1036" s="59" t="inlineStr">
        <is>
          <t>R-1031</t>
        </is>
      </c>
      <c r="C1036" s="59" t="inlineStr">
        <is>
          <t>GH-045</t>
        </is>
      </c>
      <c r="D1036" s="64">
        <f>IFERROR(INDEX(MgNombre,MATCH($C1036,MgActId,0)),"")</f>
        <v/>
      </c>
      <c r="E1036" s="64">
        <f>IFERROR(INDEX(MgProceso,MATCH($C1036,MgActId,0)),"")</f>
        <v/>
      </c>
      <c r="F1036" s="64">
        <f>IFERROR(INDEX(MgTipo,MATCH($C1036,MgActId,0)),"")</f>
        <v/>
      </c>
      <c r="G1036" s="64">
        <f>IFERROR(INDEX(MgSubtipo,MATCH($C1036,MgActId,0)),"")</f>
        <v/>
      </c>
      <c r="H1036" s="59" t="inlineStr">
        <is>
          <t>E.15</t>
        </is>
      </c>
      <c r="I1036" s="64">
        <f>IFERROR(INDEX(MgAmenNombre,MATCH(SUBSTITUTE($H1036,"*","-"),MgAmenClave,0)),"")</f>
        <v/>
      </c>
      <c r="J1036" s="28">
        <f>IFERROR(INDEX(MgAmenGrupo,MATCH(SUBSTITUTE($H1036,"*","-"),MgAmenClave,0)),"")</f>
        <v/>
      </c>
      <c r="K1036" s="64">
        <f>IFERROR(INDEX('1. Matriz de Activos'!$Q$6:$Q$239,MATCH($C1036,MgActId,0)),"")</f>
        <v/>
      </c>
      <c r="L1036" s="64">
        <f>IFERROR(INDEX('1. Matriz de Activos'!$R$6:$R$239,MATCH($C1036,MgActId,0)),"")</f>
        <v/>
      </c>
      <c r="M1036" s="64">
        <f>IFERROR(INDEX('1. Matriz de Activos'!$S$6:$S$239,MATCH($C1036,MgActId,0)),"")</f>
        <v/>
      </c>
      <c r="N1036" s="28">
        <f>IFERROR(INDEX(MgAmenDegD,MATCH(SUBSTITUTE($H1036,"*","-"),MgAmenClave,0)),"No aplica")</f>
        <v/>
      </c>
      <c r="O1036" s="28">
        <f>IFERROR(INDEX(MgAmenDegI,MATCH(SUBSTITUTE($H1036,"*","-"),MgAmenClave,0)),"No aplica")</f>
        <v/>
      </c>
      <c r="P1036" s="28">
        <f>IFERROR(INDEX(MgAmenDegC,MATCH(SUBSTITUTE($H1036,"*","-"),MgAmenClave,0)),"No aplica")</f>
        <v/>
      </c>
      <c r="Q1036" s="29">
        <f>IFERROR(VLOOKUP(K1036,MgValor,2,0)*VLOOKUP(N1036,MgDeg,2,0),0)</f>
        <v/>
      </c>
      <c r="R1036" s="29">
        <f>IFERROR(VLOOKUP(L1036,MgValor,2,0)*VLOOKUP(O1036,MgDeg,2,0),0)</f>
        <v/>
      </c>
      <c r="S1036" s="29">
        <f>IFERROR(VLOOKUP(M1036,MgValor,2,0)*VLOOKUP(P1036,MgDeg,2,0),0)</f>
        <v/>
      </c>
      <c r="T1036" s="30">
        <f>MAX(Q1036:S1036)</f>
        <v/>
      </c>
      <c r="U1036" s="28">
        <f>IFERROR(LOOKUP(T1036,{0;0.5;1.5;3;4.5},{"Despreciable";"Bajo";"Medio";"Alto";"Muy alto"}),"")</f>
        <v/>
      </c>
      <c r="V1036" s="13">
        <f>IFERROR(INDEX(MgAmenFrec,MATCH(SUBSTITUTE($H1036,"*","-"),MgAmenClave,0)),"")</f>
        <v/>
      </c>
      <c r="W1036" s="28">
        <f>IFERROR(LOOKUP(X1036,{0;0.01;0.1;1;10;100},{"Muy baja";"Muy baja";"Baja";"Media";"Alta";"Muy alta"}),"")</f>
        <v/>
      </c>
      <c r="X1036" s="31">
        <f>IFERROR(VLOOKUP(V1036,MgFrec,2,0),0)</f>
        <v/>
      </c>
      <c r="Y1036" s="30">
        <f>T1036*X1036</f>
        <v/>
      </c>
      <c r="Z1036" s="28">
        <f>IFERROR(LOOKUP(Y1036,{0;0.5;5;25},{"Bajo";"Medio";"Alto";"Crítico"}),"")</f>
        <v/>
      </c>
      <c r="AA1036" s="64">
        <f>IF(T1036&gt;=3,IF(X1036&gt;=1,"Zona 1 — Crítica: impacto alto y ocurre al menos una vez al año","Zona 4 — Catastrófica poco probable: impacto alto pero excepcional"),IF(AND(T1036&lt;1.5,X1036&lt;1),"Zona 3 — Asumible: impacto bajo y muy poco frecuente","Zona 2 — Atención: riesgo intermedio"))</f>
        <v/>
      </c>
      <c r="AB1036" s="64">
        <f>IFERROR(INDEX(MgAmenCtrl,MATCH(SUBSTITUTE($H1036,"*","-"),MgAmenClave,0)),"")</f>
        <v/>
      </c>
      <c r="AC1036" s="20" t="n"/>
      <c r="AD1036" s="31">
        <f>IFERROR($X1036*(1-IF($AC1036="",$AL1036,VLOOKUP($AC1036,MgMad,2,0))),"")</f>
        <v/>
      </c>
      <c r="AE1036" s="28">
        <f>IFERROR(LOOKUP(AD1036,{0;0.01;0.1;1;10;100},{"Muy baja";"Muy baja";"Baja";"Media";"Alta";"Muy alta"}),"")</f>
        <v/>
      </c>
      <c r="AF1036" s="30">
        <f>T1036*AD1036</f>
        <v/>
      </c>
      <c r="AG1036" s="28">
        <f>IFERROR(LOOKUP(AF1036,{0;0.5;5;25},{"Bajo";"Medio";"Alto";"Crítico"}),"")</f>
        <v/>
      </c>
      <c r="AH1036" s="28">
        <f>IF(AG1036="","",IF(OR(AG1036="Crítico",AG1036="Alto"),"Mitigar",IF(AG1036="Medio","Mitigar","Aceptar y monitorear")))</f>
        <v/>
      </c>
      <c r="AI1036" s="21" t="n"/>
      <c r="AJ1036" s="21" t="n"/>
      <c r="AK1036" s="20" t="n"/>
      <c r="AL1036" s="77">
        <f>IFERROR(INDEX(MgAmenEfic,MATCH(SUBSTITUTE($H1036,"*","-"),MgAmenClave,0)),0)</f>
        <v/>
      </c>
    </row>
    <row r="1037" hidden="1" ht="60" customHeight="1" s="54">
      <c r="B1037" s="59" t="inlineStr">
        <is>
          <t>R-1032</t>
        </is>
      </c>
      <c r="C1037" s="59" t="inlineStr">
        <is>
          <t>GH-045</t>
        </is>
      </c>
      <c r="D1037" s="64">
        <f>IFERROR(INDEX(MgNombre,MATCH($C1037,MgActId,0)),"")</f>
        <v/>
      </c>
      <c r="E1037" s="64">
        <f>IFERROR(INDEX(MgProceso,MATCH($C1037,MgActId,0)),"")</f>
        <v/>
      </c>
      <c r="F1037" s="64">
        <f>IFERROR(INDEX(MgTipo,MATCH($C1037,MgActId,0)),"")</f>
        <v/>
      </c>
      <c r="G1037" s="64">
        <f>IFERROR(INDEX(MgSubtipo,MATCH($C1037,MgActId,0)),"")</f>
        <v/>
      </c>
      <c r="H1037" s="59" t="inlineStr">
        <is>
          <t>E.18</t>
        </is>
      </c>
      <c r="I1037" s="64">
        <f>IFERROR(INDEX(MgAmenNombre,MATCH(SUBSTITUTE($H1037,"*","-"),MgAmenClave,0)),"")</f>
        <v/>
      </c>
      <c r="J1037" s="28">
        <f>IFERROR(INDEX(MgAmenGrupo,MATCH(SUBSTITUTE($H1037,"*","-"),MgAmenClave,0)),"")</f>
        <v/>
      </c>
      <c r="K1037" s="64">
        <f>IFERROR(INDEX('1. Matriz de Activos'!$Q$6:$Q$239,MATCH($C1037,MgActId,0)),"")</f>
        <v/>
      </c>
      <c r="L1037" s="64">
        <f>IFERROR(INDEX('1. Matriz de Activos'!$R$6:$R$239,MATCH($C1037,MgActId,0)),"")</f>
        <v/>
      </c>
      <c r="M1037" s="64">
        <f>IFERROR(INDEX('1. Matriz de Activos'!$S$6:$S$239,MATCH($C1037,MgActId,0)),"")</f>
        <v/>
      </c>
      <c r="N1037" s="28">
        <f>IFERROR(INDEX(MgAmenDegD,MATCH(SUBSTITUTE($H1037,"*","-"),MgAmenClave,0)),"No aplica")</f>
        <v/>
      </c>
      <c r="O1037" s="28">
        <f>IFERROR(INDEX(MgAmenDegI,MATCH(SUBSTITUTE($H1037,"*","-"),MgAmenClave,0)),"No aplica")</f>
        <v/>
      </c>
      <c r="P1037" s="28">
        <f>IFERROR(INDEX(MgAmenDegC,MATCH(SUBSTITUTE($H1037,"*","-"),MgAmenClave,0)),"No aplica")</f>
        <v/>
      </c>
      <c r="Q1037" s="29">
        <f>IFERROR(VLOOKUP(K1037,MgValor,2,0)*VLOOKUP(N1037,MgDeg,2,0),0)</f>
        <v/>
      </c>
      <c r="R1037" s="29">
        <f>IFERROR(VLOOKUP(L1037,MgValor,2,0)*VLOOKUP(O1037,MgDeg,2,0),0)</f>
        <v/>
      </c>
      <c r="S1037" s="29">
        <f>IFERROR(VLOOKUP(M1037,MgValor,2,0)*VLOOKUP(P1037,MgDeg,2,0),0)</f>
        <v/>
      </c>
      <c r="T1037" s="30">
        <f>MAX(Q1037:S1037)</f>
        <v/>
      </c>
      <c r="U1037" s="28">
        <f>IFERROR(LOOKUP(T1037,{0;0.5;1.5;3;4.5},{"Despreciable";"Bajo";"Medio";"Alto";"Muy alto"}),"")</f>
        <v/>
      </c>
      <c r="V1037" s="13">
        <f>IFERROR(INDEX(MgAmenFrec,MATCH(SUBSTITUTE($H1037,"*","-"),MgAmenClave,0)),"")</f>
        <v/>
      </c>
      <c r="W1037" s="28">
        <f>IFERROR(LOOKUP(X1037,{0;0.01;0.1;1;10;100},{"Muy baja";"Muy baja";"Baja";"Media";"Alta";"Muy alta"}),"")</f>
        <v/>
      </c>
      <c r="X1037" s="31">
        <f>IFERROR(VLOOKUP(V1037,MgFrec,2,0),0)</f>
        <v/>
      </c>
      <c r="Y1037" s="30">
        <f>T1037*X1037</f>
        <v/>
      </c>
      <c r="Z1037" s="28">
        <f>IFERROR(LOOKUP(Y1037,{0;0.5;5;25},{"Bajo";"Medio";"Alto";"Crítico"}),"")</f>
        <v/>
      </c>
      <c r="AA1037" s="64">
        <f>IF(T1037&gt;=3,IF(X1037&gt;=1,"Zona 1 — Crítica: impacto alto y ocurre al menos una vez al año","Zona 4 — Catastrófica poco probable: impacto alto pero excepcional"),IF(AND(T1037&lt;1.5,X1037&lt;1),"Zona 3 — Asumible: impacto bajo y muy poco frecuente","Zona 2 — Atención: riesgo intermedio"))</f>
        <v/>
      </c>
      <c r="AB1037" s="64">
        <f>IFERROR(INDEX(MgAmenCtrl,MATCH(SUBSTITUTE($H1037,"*","-"),MgAmenClave,0)),"")</f>
        <v/>
      </c>
      <c r="AC1037" s="20" t="n"/>
      <c r="AD1037" s="31">
        <f>IFERROR($X1037*(1-IF($AC1037="",$AL1037,VLOOKUP($AC1037,MgMad,2,0))),"")</f>
        <v/>
      </c>
      <c r="AE1037" s="28">
        <f>IFERROR(LOOKUP(AD1037,{0;0.01;0.1;1;10;100},{"Muy baja";"Muy baja";"Baja";"Media";"Alta";"Muy alta"}),"")</f>
        <v/>
      </c>
      <c r="AF1037" s="30">
        <f>T1037*AD1037</f>
        <v/>
      </c>
      <c r="AG1037" s="28">
        <f>IFERROR(LOOKUP(AF1037,{0;0.5;5;25},{"Bajo";"Medio";"Alto";"Crítico"}),"")</f>
        <v/>
      </c>
      <c r="AH1037" s="28">
        <f>IF(AG1037="","",IF(OR(AG1037="Crítico",AG1037="Alto"),"Mitigar",IF(AG1037="Medio","Mitigar","Aceptar y monitorear")))</f>
        <v/>
      </c>
      <c r="AI1037" s="21" t="n"/>
      <c r="AJ1037" s="21" t="n"/>
      <c r="AK1037" s="20" t="n"/>
      <c r="AL1037" s="77">
        <f>IFERROR(INDEX(MgAmenEfic,MATCH(SUBSTITUTE($H1037,"*","-"),MgAmenClave,0)),0)</f>
        <v/>
      </c>
    </row>
    <row r="1038" hidden="1" ht="105" customHeight="1" s="54">
      <c r="B1038" s="59" t="inlineStr">
        <is>
          <t>R-1033</t>
        </is>
      </c>
      <c r="C1038" s="59" t="inlineStr">
        <is>
          <t>GH-045</t>
        </is>
      </c>
      <c r="D1038" s="64">
        <f>IFERROR(INDEX(MgNombre,MATCH($C1038,MgActId,0)),"")</f>
        <v/>
      </c>
      <c r="E1038" s="64">
        <f>IFERROR(INDEX(MgProceso,MATCH($C1038,MgActId,0)),"")</f>
        <v/>
      </c>
      <c r="F1038" s="64">
        <f>IFERROR(INDEX(MgTipo,MATCH($C1038,MgActId,0)),"")</f>
        <v/>
      </c>
      <c r="G1038" s="64">
        <f>IFERROR(INDEX(MgSubtipo,MATCH($C1038,MgActId,0)),"")</f>
        <v/>
      </c>
      <c r="H1038" s="59" t="inlineStr">
        <is>
          <t>E.19</t>
        </is>
      </c>
      <c r="I1038" s="64">
        <f>IFERROR(INDEX(MgAmenNombre,MATCH(SUBSTITUTE($H1038,"*","-"),MgAmenClave,0)),"")</f>
        <v/>
      </c>
      <c r="J1038" s="28">
        <f>IFERROR(INDEX(MgAmenGrupo,MATCH(SUBSTITUTE($H1038,"*","-"),MgAmenClave,0)),"")</f>
        <v/>
      </c>
      <c r="K1038" s="64">
        <f>IFERROR(INDEX('1. Matriz de Activos'!$Q$6:$Q$239,MATCH($C1038,MgActId,0)),"")</f>
        <v/>
      </c>
      <c r="L1038" s="64">
        <f>IFERROR(INDEX('1. Matriz de Activos'!$R$6:$R$239,MATCH($C1038,MgActId,0)),"")</f>
        <v/>
      </c>
      <c r="M1038" s="64">
        <f>IFERROR(INDEX('1. Matriz de Activos'!$S$6:$S$239,MATCH($C1038,MgActId,0)),"")</f>
        <v/>
      </c>
      <c r="N1038" s="28">
        <f>IFERROR(INDEX(MgAmenDegD,MATCH(SUBSTITUTE($H1038,"*","-"),MgAmenClave,0)),"No aplica")</f>
        <v/>
      </c>
      <c r="O1038" s="28">
        <f>IFERROR(INDEX(MgAmenDegI,MATCH(SUBSTITUTE($H1038,"*","-"),MgAmenClave,0)),"No aplica")</f>
        <v/>
      </c>
      <c r="P1038" s="28">
        <f>IFERROR(INDEX(MgAmenDegC,MATCH(SUBSTITUTE($H1038,"*","-"),MgAmenClave,0)),"No aplica")</f>
        <v/>
      </c>
      <c r="Q1038" s="29">
        <f>IFERROR(VLOOKUP(K1038,MgValor,2,0)*VLOOKUP(N1038,MgDeg,2,0),0)</f>
        <v/>
      </c>
      <c r="R1038" s="29">
        <f>IFERROR(VLOOKUP(L1038,MgValor,2,0)*VLOOKUP(O1038,MgDeg,2,0),0)</f>
        <v/>
      </c>
      <c r="S1038" s="29">
        <f>IFERROR(VLOOKUP(M1038,MgValor,2,0)*VLOOKUP(P1038,MgDeg,2,0),0)</f>
        <v/>
      </c>
      <c r="T1038" s="30">
        <f>MAX(Q1038:S1038)</f>
        <v/>
      </c>
      <c r="U1038" s="28">
        <f>IFERROR(LOOKUP(T1038,{0;0.5;1.5;3;4.5},{"Despreciable";"Bajo";"Medio";"Alto";"Muy alto"}),"")</f>
        <v/>
      </c>
      <c r="V1038" s="13">
        <f>IFERROR(INDEX(MgAmenFrec,MATCH(SUBSTITUTE($H1038,"*","-"),MgAmenClave,0)),"")</f>
        <v/>
      </c>
      <c r="W1038" s="28">
        <f>IFERROR(LOOKUP(X1038,{0;0.01;0.1;1;10;100},{"Muy baja";"Muy baja";"Baja";"Media";"Alta";"Muy alta"}),"")</f>
        <v/>
      </c>
      <c r="X1038" s="31">
        <f>IFERROR(VLOOKUP(V1038,MgFrec,2,0),0)</f>
        <v/>
      </c>
      <c r="Y1038" s="30">
        <f>T1038*X1038</f>
        <v/>
      </c>
      <c r="Z1038" s="28">
        <f>IFERROR(LOOKUP(Y1038,{0;0.5;5;25},{"Bajo";"Medio";"Alto";"Crítico"}),"")</f>
        <v/>
      </c>
      <c r="AA1038" s="64">
        <f>IF(T1038&gt;=3,IF(X1038&gt;=1,"Zona 1 — Crítica: impacto alto y ocurre al menos una vez al año","Zona 4 — Catastrófica poco probable: impacto alto pero excepcional"),IF(AND(T1038&lt;1.5,X1038&lt;1),"Zona 3 — Asumible: impacto bajo y muy poco frecuente","Zona 2 — Atención: riesgo intermedio"))</f>
        <v/>
      </c>
      <c r="AB1038" s="64">
        <f>IFERROR(INDEX(MgAmenCtrl,MATCH(SUBSTITUTE($H1038,"*","-"),MgAmenClave,0)),"")</f>
        <v/>
      </c>
      <c r="AC1038" s="20" t="n"/>
      <c r="AD1038" s="31">
        <f>IFERROR($X1038*(1-IF($AC1038="",$AL1038,VLOOKUP($AC1038,MgMad,2,0))),"")</f>
        <v/>
      </c>
      <c r="AE1038" s="28">
        <f>IFERROR(LOOKUP(AD1038,{0;0.01;0.1;1;10;100},{"Muy baja";"Muy baja";"Baja";"Media";"Alta";"Muy alta"}),"")</f>
        <v/>
      </c>
      <c r="AF1038" s="30">
        <f>T1038*AD1038</f>
        <v/>
      </c>
      <c r="AG1038" s="28">
        <f>IFERROR(LOOKUP(AF1038,{0;0.5;5;25},{"Bajo";"Medio";"Alto";"Crítico"}),"")</f>
        <v/>
      </c>
      <c r="AH1038" s="28">
        <f>IF(AG1038="","",IF(OR(AG1038="Crítico",AG1038="Alto"),"Mitigar",IF(AG1038="Medio","Mitigar","Aceptar y monitorear")))</f>
        <v/>
      </c>
      <c r="AI1038" s="21" t="n"/>
      <c r="AJ1038" s="21" t="n"/>
      <c r="AK1038" s="20" t="n"/>
      <c r="AL1038" s="77">
        <f>IFERROR(INDEX(MgAmenEfic,MATCH(SUBSTITUTE($H1038,"*","-"),MgAmenClave,0)),0)</f>
        <v/>
      </c>
    </row>
    <row r="1039" hidden="1" ht="60" customHeight="1" s="54">
      <c r="B1039" s="59" t="inlineStr">
        <is>
          <t>R-1034</t>
        </is>
      </c>
      <c r="C1039" s="59" t="inlineStr">
        <is>
          <t>GH-045</t>
        </is>
      </c>
      <c r="D1039" s="64">
        <f>IFERROR(INDEX(MgNombre,MATCH($C1039,MgActId,0)),"")</f>
        <v/>
      </c>
      <c r="E1039" s="64">
        <f>IFERROR(INDEX(MgProceso,MATCH($C1039,MgActId,0)),"")</f>
        <v/>
      </c>
      <c r="F1039" s="64">
        <f>IFERROR(INDEX(MgTipo,MATCH($C1039,MgActId,0)),"")</f>
        <v/>
      </c>
      <c r="G1039" s="64">
        <f>IFERROR(INDEX(MgSubtipo,MATCH($C1039,MgActId,0)),"")</f>
        <v/>
      </c>
      <c r="H1039" s="59" t="inlineStr">
        <is>
          <t>A.3</t>
        </is>
      </c>
      <c r="I1039" s="64">
        <f>IFERROR(INDEX(MgAmenNombre,MATCH(SUBSTITUTE($H1039,"*","-"),MgAmenClave,0)),"")</f>
        <v/>
      </c>
      <c r="J1039" s="28">
        <f>IFERROR(INDEX(MgAmenGrupo,MATCH(SUBSTITUTE($H1039,"*","-"),MgAmenClave,0)),"")</f>
        <v/>
      </c>
      <c r="K1039" s="64">
        <f>IFERROR(INDEX('1. Matriz de Activos'!$Q$6:$Q$239,MATCH($C1039,MgActId,0)),"")</f>
        <v/>
      </c>
      <c r="L1039" s="64">
        <f>IFERROR(INDEX('1. Matriz de Activos'!$R$6:$R$239,MATCH($C1039,MgActId,0)),"")</f>
        <v/>
      </c>
      <c r="M1039" s="64">
        <f>IFERROR(INDEX('1. Matriz de Activos'!$S$6:$S$239,MATCH($C1039,MgActId,0)),"")</f>
        <v/>
      </c>
      <c r="N1039" s="28">
        <f>IFERROR(INDEX(MgAmenDegD,MATCH(SUBSTITUTE($H1039,"*","-"),MgAmenClave,0)),"No aplica")</f>
        <v/>
      </c>
      <c r="O1039" s="28">
        <f>IFERROR(INDEX(MgAmenDegI,MATCH(SUBSTITUTE($H1039,"*","-"),MgAmenClave,0)),"No aplica")</f>
        <v/>
      </c>
      <c r="P1039" s="28">
        <f>IFERROR(INDEX(MgAmenDegC,MATCH(SUBSTITUTE($H1039,"*","-"),MgAmenClave,0)),"No aplica")</f>
        <v/>
      </c>
      <c r="Q1039" s="29">
        <f>IFERROR(VLOOKUP(K1039,MgValor,2,0)*VLOOKUP(N1039,MgDeg,2,0),0)</f>
        <v/>
      </c>
      <c r="R1039" s="29">
        <f>IFERROR(VLOOKUP(L1039,MgValor,2,0)*VLOOKUP(O1039,MgDeg,2,0),0)</f>
        <v/>
      </c>
      <c r="S1039" s="29">
        <f>IFERROR(VLOOKUP(M1039,MgValor,2,0)*VLOOKUP(P1039,MgDeg,2,0),0)</f>
        <v/>
      </c>
      <c r="T1039" s="30">
        <f>MAX(Q1039:S1039)</f>
        <v/>
      </c>
      <c r="U1039" s="28">
        <f>IFERROR(LOOKUP(T1039,{0;0.5;1.5;3;4.5},{"Despreciable";"Bajo";"Medio";"Alto";"Muy alto"}),"")</f>
        <v/>
      </c>
      <c r="V1039" s="13">
        <f>IFERROR(INDEX(MgAmenFrec,MATCH(SUBSTITUTE($H1039,"*","-"),MgAmenClave,0)),"")</f>
        <v/>
      </c>
      <c r="W1039" s="28">
        <f>IFERROR(LOOKUP(X1039,{0;0.01;0.1;1;10;100},{"Muy baja";"Muy baja";"Baja";"Media";"Alta";"Muy alta"}),"")</f>
        <v/>
      </c>
      <c r="X1039" s="31">
        <f>IFERROR(VLOOKUP(V1039,MgFrec,2,0),0)</f>
        <v/>
      </c>
      <c r="Y1039" s="30">
        <f>T1039*X1039</f>
        <v/>
      </c>
      <c r="Z1039" s="28">
        <f>IFERROR(LOOKUP(Y1039,{0;0.5;5;25},{"Bajo";"Medio";"Alto";"Crítico"}),"")</f>
        <v/>
      </c>
      <c r="AA1039" s="64">
        <f>IF(T1039&gt;=3,IF(X1039&gt;=1,"Zona 1 — Crítica: impacto alto y ocurre al menos una vez al año","Zona 4 — Catastrófica poco probable: impacto alto pero excepcional"),IF(AND(T1039&lt;1.5,X1039&lt;1),"Zona 3 — Asumible: impacto bajo y muy poco frecuente","Zona 2 — Atención: riesgo intermedio"))</f>
        <v/>
      </c>
      <c r="AB1039" s="64">
        <f>IFERROR(INDEX(MgAmenCtrl,MATCH(SUBSTITUTE($H1039,"*","-"),MgAmenClave,0)),"")</f>
        <v/>
      </c>
      <c r="AC1039" s="20" t="n"/>
      <c r="AD1039" s="31">
        <f>IFERROR($X1039*(1-IF($AC1039="",$AL1039,VLOOKUP($AC1039,MgMad,2,0))),"")</f>
        <v/>
      </c>
      <c r="AE1039" s="28">
        <f>IFERROR(LOOKUP(AD1039,{0;0.01;0.1;1;10;100},{"Muy baja";"Muy baja";"Baja";"Media";"Alta";"Muy alta"}),"")</f>
        <v/>
      </c>
      <c r="AF1039" s="30">
        <f>T1039*AD1039</f>
        <v/>
      </c>
      <c r="AG1039" s="28">
        <f>IFERROR(LOOKUP(AF1039,{0;0.5;5;25},{"Bajo";"Medio";"Alto";"Crítico"}),"")</f>
        <v/>
      </c>
      <c r="AH1039" s="28">
        <f>IF(AG1039="","",IF(OR(AG1039="Crítico",AG1039="Alto"),"Mitigar",IF(AG1039="Medio","Mitigar","Aceptar y monitorear")))</f>
        <v/>
      </c>
      <c r="AI1039" s="21" t="n"/>
      <c r="AJ1039" s="21" t="n"/>
      <c r="AK1039" s="20" t="n"/>
      <c r="AL1039" s="77">
        <f>IFERROR(INDEX(MgAmenEfic,MATCH(SUBSTITUTE($H1039,"*","-"),MgAmenClave,0)),0)</f>
        <v/>
      </c>
    </row>
    <row r="1040" hidden="1" ht="60" customHeight="1" s="54">
      <c r="B1040" s="59" t="inlineStr">
        <is>
          <t>R-1035</t>
        </is>
      </c>
      <c r="C1040" s="59" t="inlineStr">
        <is>
          <t>GH-045</t>
        </is>
      </c>
      <c r="D1040" s="64">
        <f>IFERROR(INDEX(MgNombre,MATCH($C1040,MgActId,0)),"")</f>
        <v/>
      </c>
      <c r="E1040" s="64">
        <f>IFERROR(INDEX(MgProceso,MATCH($C1040,MgActId,0)),"")</f>
        <v/>
      </c>
      <c r="F1040" s="64">
        <f>IFERROR(INDEX(MgTipo,MATCH($C1040,MgActId,0)),"")</f>
        <v/>
      </c>
      <c r="G1040" s="64">
        <f>IFERROR(INDEX(MgSubtipo,MATCH($C1040,MgActId,0)),"")</f>
        <v/>
      </c>
      <c r="H1040" s="59" t="inlineStr">
        <is>
          <t>A.4</t>
        </is>
      </c>
      <c r="I1040" s="64">
        <f>IFERROR(INDEX(MgAmenNombre,MATCH(SUBSTITUTE($H1040,"*","-"),MgAmenClave,0)),"")</f>
        <v/>
      </c>
      <c r="J1040" s="28">
        <f>IFERROR(INDEX(MgAmenGrupo,MATCH(SUBSTITUTE($H1040,"*","-"),MgAmenClave,0)),"")</f>
        <v/>
      </c>
      <c r="K1040" s="64">
        <f>IFERROR(INDEX('1. Matriz de Activos'!$Q$6:$Q$239,MATCH($C1040,MgActId,0)),"")</f>
        <v/>
      </c>
      <c r="L1040" s="64">
        <f>IFERROR(INDEX('1. Matriz de Activos'!$R$6:$R$239,MATCH($C1040,MgActId,0)),"")</f>
        <v/>
      </c>
      <c r="M1040" s="64">
        <f>IFERROR(INDEX('1. Matriz de Activos'!$S$6:$S$239,MATCH($C1040,MgActId,0)),"")</f>
        <v/>
      </c>
      <c r="N1040" s="28">
        <f>IFERROR(INDEX(MgAmenDegD,MATCH(SUBSTITUTE($H1040,"*","-"),MgAmenClave,0)),"No aplica")</f>
        <v/>
      </c>
      <c r="O1040" s="28">
        <f>IFERROR(INDEX(MgAmenDegI,MATCH(SUBSTITUTE($H1040,"*","-"),MgAmenClave,0)),"No aplica")</f>
        <v/>
      </c>
      <c r="P1040" s="28">
        <f>IFERROR(INDEX(MgAmenDegC,MATCH(SUBSTITUTE($H1040,"*","-"),MgAmenClave,0)),"No aplica")</f>
        <v/>
      </c>
      <c r="Q1040" s="29">
        <f>IFERROR(VLOOKUP(K1040,MgValor,2,0)*VLOOKUP(N1040,MgDeg,2,0),0)</f>
        <v/>
      </c>
      <c r="R1040" s="29">
        <f>IFERROR(VLOOKUP(L1040,MgValor,2,0)*VLOOKUP(O1040,MgDeg,2,0),0)</f>
        <v/>
      </c>
      <c r="S1040" s="29">
        <f>IFERROR(VLOOKUP(M1040,MgValor,2,0)*VLOOKUP(P1040,MgDeg,2,0),0)</f>
        <v/>
      </c>
      <c r="T1040" s="30">
        <f>MAX(Q1040:S1040)</f>
        <v/>
      </c>
      <c r="U1040" s="28">
        <f>IFERROR(LOOKUP(T1040,{0;0.5;1.5;3;4.5},{"Despreciable";"Bajo";"Medio";"Alto";"Muy alto"}),"")</f>
        <v/>
      </c>
      <c r="V1040" s="13">
        <f>IFERROR(INDEX(MgAmenFrec,MATCH(SUBSTITUTE($H1040,"*","-"),MgAmenClave,0)),"")</f>
        <v/>
      </c>
      <c r="W1040" s="28">
        <f>IFERROR(LOOKUP(X1040,{0;0.01;0.1;1;10;100},{"Muy baja";"Muy baja";"Baja";"Media";"Alta";"Muy alta"}),"")</f>
        <v/>
      </c>
      <c r="X1040" s="31">
        <f>IFERROR(VLOOKUP(V1040,MgFrec,2,0),0)</f>
        <v/>
      </c>
      <c r="Y1040" s="30">
        <f>T1040*X1040</f>
        <v/>
      </c>
      <c r="Z1040" s="28">
        <f>IFERROR(LOOKUP(Y1040,{0;0.5;5;25},{"Bajo";"Medio";"Alto";"Crítico"}),"")</f>
        <v/>
      </c>
      <c r="AA1040" s="64">
        <f>IF(T1040&gt;=3,IF(X1040&gt;=1,"Zona 1 — Crítica: impacto alto y ocurre al menos una vez al año","Zona 4 — Catastrófica poco probable: impacto alto pero excepcional"),IF(AND(T1040&lt;1.5,X1040&lt;1),"Zona 3 — Asumible: impacto bajo y muy poco frecuente","Zona 2 — Atención: riesgo intermedio"))</f>
        <v/>
      </c>
      <c r="AB1040" s="64">
        <f>IFERROR(INDEX(MgAmenCtrl,MATCH(SUBSTITUTE($H1040,"*","-"),MgAmenClave,0)),"")</f>
        <v/>
      </c>
      <c r="AC1040" s="20" t="n"/>
      <c r="AD1040" s="31">
        <f>IFERROR($X1040*(1-IF($AC1040="",$AL1040,VLOOKUP($AC1040,MgMad,2,0))),"")</f>
        <v/>
      </c>
      <c r="AE1040" s="28">
        <f>IFERROR(LOOKUP(AD1040,{0;0.01;0.1;1;10;100},{"Muy baja";"Muy baja";"Baja";"Media";"Alta";"Muy alta"}),"")</f>
        <v/>
      </c>
      <c r="AF1040" s="30">
        <f>T1040*AD1040</f>
        <v/>
      </c>
      <c r="AG1040" s="28">
        <f>IFERROR(LOOKUP(AF1040,{0;0.5;5;25},{"Bajo";"Medio";"Alto";"Crítico"}),"")</f>
        <v/>
      </c>
      <c r="AH1040" s="28">
        <f>IF(AG1040="","",IF(OR(AG1040="Crítico",AG1040="Alto"),"Mitigar",IF(AG1040="Medio","Mitigar","Aceptar y monitorear")))</f>
        <v/>
      </c>
      <c r="AI1040" s="21" t="n"/>
      <c r="AJ1040" s="21" t="n"/>
      <c r="AK1040" s="20" t="n"/>
      <c r="AL1040" s="77">
        <f>IFERROR(INDEX(MgAmenEfic,MATCH(SUBSTITUTE($H1040,"*","-"),MgAmenClave,0)),0)</f>
        <v/>
      </c>
    </row>
    <row r="1041" hidden="1" ht="75" customHeight="1" s="54">
      <c r="B1041" s="59" t="inlineStr">
        <is>
          <t>R-1036</t>
        </is>
      </c>
      <c r="C1041" s="59" t="inlineStr">
        <is>
          <t>GH-045</t>
        </is>
      </c>
      <c r="D1041" s="64">
        <f>IFERROR(INDEX(MgNombre,MATCH($C1041,MgActId,0)),"")</f>
        <v/>
      </c>
      <c r="E1041" s="64">
        <f>IFERROR(INDEX(MgProceso,MATCH($C1041,MgActId,0)),"")</f>
        <v/>
      </c>
      <c r="F1041" s="64">
        <f>IFERROR(INDEX(MgTipo,MATCH($C1041,MgActId,0)),"")</f>
        <v/>
      </c>
      <c r="G1041" s="64">
        <f>IFERROR(INDEX(MgSubtipo,MATCH($C1041,MgActId,0)),"")</f>
        <v/>
      </c>
      <c r="H1041" s="59" t="inlineStr">
        <is>
          <t>A.5</t>
        </is>
      </c>
      <c r="I1041" s="64">
        <f>IFERROR(INDEX(MgAmenNombre,MATCH(SUBSTITUTE($H1041,"*","-"),MgAmenClave,0)),"")</f>
        <v/>
      </c>
      <c r="J1041" s="28">
        <f>IFERROR(INDEX(MgAmenGrupo,MATCH(SUBSTITUTE($H1041,"*","-"),MgAmenClave,0)),"")</f>
        <v/>
      </c>
      <c r="K1041" s="64">
        <f>IFERROR(INDEX('1. Matriz de Activos'!$Q$6:$Q$239,MATCH($C1041,MgActId,0)),"")</f>
        <v/>
      </c>
      <c r="L1041" s="64">
        <f>IFERROR(INDEX('1. Matriz de Activos'!$R$6:$R$239,MATCH($C1041,MgActId,0)),"")</f>
        <v/>
      </c>
      <c r="M1041" s="64">
        <f>IFERROR(INDEX('1. Matriz de Activos'!$S$6:$S$239,MATCH($C1041,MgActId,0)),"")</f>
        <v/>
      </c>
      <c r="N1041" s="28">
        <f>IFERROR(INDEX(MgAmenDegD,MATCH(SUBSTITUTE($H1041,"*","-"),MgAmenClave,0)),"No aplica")</f>
        <v/>
      </c>
      <c r="O1041" s="28">
        <f>IFERROR(INDEX(MgAmenDegI,MATCH(SUBSTITUTE($H1041,"*","-"),MgAmenClave,0)),"No aplica")</f>
        <v/>
      </c>
      <c r="P1041" s="28">
        <f>IFERROR(INDEX(MgAmenDegC,MATCH(SUBSTITUTE($H1041,"*","-"),MgAmenClave,0)),"No aplica")</f>
        <v/>
      </c>
      <c r="Q1041" s="29">
        <f>IFERROR(VLOOKUP(K1041,MgValor,2,0)*VLOOKUP(N1041,MgDeg,2,0),0)</f>
        <v/>
      </c>
      <c r="R1041" s="29">
        <f>IFERROR(VLOOKUP(L1041,MgValor,2,0)*VLOOKUP(O1041,MgDeg,2,0),0)</f>
        <v/>
      </c>
      <c r="S1041" s="29">
        <f>IFERROR(VLOOKUP(M1041,MgValor,2,0)*VLOOKUP(P1041,MgDeg,2,0),0)</f>
        <v/>
      </c>
      <c r="T1041" s="30">
        <f>MAX(Q1041:S1041)</f>
        <v/>
      </c>
      <c r="U1041" s="28">
        <f>IFERROR(LOOKUP(T1041,{0;0.5;1.5;3;4.5},{"Despreciable";"Bajo";"Medio";"Alto";"Muy alto"}),"")</f>
        <v/>
      </c>
      <c r="V1041" s="13">
        <f>IFERROR(INDEX(MgAmenFrec,MATCH(SUBSTITUTE($H1041,"*","-"),MgAmenClave,0)),"")</f>
        <v/>
      </c>
      <c r="W1041" s="28">
        <f>IFERROR(LOOKUP(X1041,{0;0.01;0.1;1;10;100},{"Muy baja";"Muy baja";"Baja";"Media";"Alta";"Muy alta"}),"")</f>
        <v/>
      </c>
      <c r="X1041" s="31">
        <f>IFERROR(VLOOKUP(V1041,MgFrec,2,0),0)</f>
        <v/>
      </c>
      <c r="Y1041" s="30">
        <f>T1041*X1041</f>
        <v/>
      </c>
      <c r="Z1041" s="28">
        <f>IFERROR(LOOKUP(Y1041,{0;0.5;5;25},{"Bajo";"Medio";"Alto";"Crítico"}),"")</f>
        <v/>
      </c>
      <c r="AA1041" s="64">
        <f>IF(T1041&gt;=3,IF(X1041&gt;=1,"Zona 1 — Crítica: impacto alto y ocurre al menos una vez al año","Zona 4 — Catastrófica poco probable: impacto alto pero excepcional"),IF(AND(T1041&lt;1.5,X1041&lt;1),"Zona 3 — Asumible: impacto bajo y muy poco frecuente","Zona 2 — Atención: riesgo intermedio"))</f>
        <v/>
      </c>
      <c r="AB1041" s="64">
        <f>IFERROR(INDEX(MgAmenCtrl,MATCH(SUBSTITUTE($H1041,"*","-"),MgAmenClave,0)),"")</f>
        <v/>
      </c>
      <c r="AC1041" s="20" t="n"/>
      <c r="AD1041" s="31">
        <f>IFERROR($X1041*(1-IF($AC1041="",$AL1041,VLOOKUP($AC1041,MgMad,2,0))),"")</f>
        <v/>
      </c>
      <c r="AE1041" s="28">
        <f>IFERROR(LOOKUP(AD1041,{0;0.01;0.1;1;10;100},{"Muy baja";"Muy baja";"Baja";"Media";"Alta";"Muy alta"}),"")</f>
        <v/>
      </c>
      <c r="AF1041" s="30">
        <f>T1041*AD1041</f>
        <v/>
      </c>
      <c r="AG1041" s="28">
        <f>IFERROR(LOOKUP(AF1041,{0;0.5;5;25},{"Bajo";"Medio";"Alto";"Crítico"}),"")</f>
        <v/>
      </c>
      <c r="AH1041" s="28">
        <f>IF(AG1041="","",IF(OR(AG1041="Crítico",AG1041="Alto"),"Mitigar",IF(AG1041="Medio","Mitigar","Aceptar y monitorear")))</f>
        <v/>
      </c>
      <c r="AI1041" s="21" t="n"/>
      <c r="AJ1041" s="21" t="n"/>
      <c r="AK1041" s="20" t="n"/>
      <c r="AL1041" s="77">
        <f>IFERROR(INDEX(MgAmenEfic,MATCH(SUBSTITUTE($H1041,"*","-"),MgAmenClave,0)),0)</f>
        <v/>
      </c>
    </row>
    <row r="1042" hidden="1" ht="105" customHeight="1" s="54">
      <c r="B1042" s="59" t="inlineStr">
        <is>
          <t>R-1037</t>
        </is>
      </c>
      <c r="C1042" s="59" t="inlineStr">
        <is>
          <t>GH-045</t>
        </is>
      </c>
      <c r="D1042" s="64">
        <f>IFERROR(INDEX(MgNombre,MATCH($C1042,MgActId,0)),"")</f>
        <v/>
      </c>
      <c r="E1042" s="64">
        <f>IFERROR(INDEX(MgProceso,MATCH($C1042,MgActId,0)),"")</f>
        <v/>
      </c>
      <c r="F1042" s="64">
        <f>IFERROR(INDEX(MgTipo,MATCH($C1042,MgActId,0)),"")</f>
        <v/>
      </c>
      <c r="G1042" s="64">
        <f>IFERROR(INDEX(MgSubtipo,MATCH($C1042,MgActId,0)),"")</f>
        <v/>
      </c>
      <c r="H1042" s="59" t="inlineStr">
        <is>
          <t>A.6</t>
        </is>
      </c>
      <c r="I1042" s="64">
        <f>IFERROR(INDEX(MgAmenNombre,MATCH(SUBSTITUTE($H1042,"*","-"),MgAmenClave,0)),"")</f>
        <v/>
      </c>
      <c r="J1042" s="28">
        <f>IFERROR(INDEX(MgAmenGrupo,MATCH(SUBSTITUTE($H1042,"*","-"),MgAmenClave,0)),"")</f>
        <v/>
      </c>
      <c r="K1042" s="64">
        <f>IFERROR(INDEX('1. Matriz de Activos'!$Q$6:$Q$239,MATCH($C1042,MgActId,0)),"")</f>
        <v/>
      </c>
      <c r="L1042" s="64">
        <f>IFERROR(INDEX('1. Matriz de Activos'!$R$6:$R$239,MATCH($C1042,MgActId,0)),"")</f>
        <v/>
      </c>
      <c r="M1042" s="64">
        <f>IFERROR(INDEX('1. Matriz de Activos'!$S$6:$S$239,MATCH($C1042,MgActId,0)),"")</f>
        <v/>
      </c>
      <c r="N1042" s="28">
        <f>IFERROR(INDEX(MgAmenDegD,MATCH(SUBSTITUTE($H1042,"*","-"),MgAmenClave,0)),"No aplica")</f>
        <v/>
      </c>
      <c r="O1042" s="28">
        <f>IFERROR(INDEX(MgAmenDegI,MATCH(SUBSTITUTE($H1042,"*","-"),MgAmenClave,0)),"No aplica")</f>
        <v/>
      </c>
      <c r="P1042" s="28">
        <f>IFERROR(INDEX(MgAmenDegC,MATCH(SUBSTITUTE($H1042,"*","-"),MgAmenClave,0)),"No aplica")</f>
        <v/>
      </c>
      <c r="Q1042" s="29">
        <f>IFERROR(VLOOKUP(K1042,MgValor,2,0)*VLOOKUP(N1042,MgDeg,2,0),0)</f>
        <v/>
      </c>
      <c r="R1042" s="29">
        <f>IFERROR(VLOOKUP(L1042,MgValor,2,0)*VLOOKUP(O1042,MgDeg,2,0),0)</f>
        <v/>
      </c>
      <c r="S1042" s="29">
        <f>IFERROR(VLOOKUP(M1042,MgValor,2,0)*VLOOKUP(P1042,MgDeg,2,0),0)</f>
        <v/>
      </c>
      <c r="T1042" s="30">
        <f>MAX(Q1042:S1042)</f>
        <v/>
      </c>
      <c r="U1042" s="28">
        <f>IFERROR(LOOKUP(T1042,{0;0.5;1.5;3;4.5},{"Despreciable";"Bajo";"Medio";"Alto";"Muy alto"}),"")</f>
        <v/>
      </c>
      <c r="V1042" s="13">
        <f>IFERROR(INDEX(MgAmenFrec,MATCH(SUBSTITUTE($H1042,"*","-"),MgAmenClave,0)),"")</f>
        <v/>
      </c>
      <c r="W1042" s="28">
        <f>IFERROR(LOOKUP(X1042,{0;0.01;0.1;1;10;100},{"Muy baja";"Muy baja";"Baja";"Media";"Alta";"Muy alta"}),"")</f>
        <v/>
      </c>
      <c r="X1042" s="31">
        <f>IFERROR(VLOOKUP(V1042,MgFrec,2,0),0)</f>
        <v/>
      </c>
      <c r="Y1042" s="30">
        <f>T1042*X1042</f>
        <v/>
      </c>
      <c r="Z1042" s="28">
        <f>IFERROR(LOOKUP(Y1042,{0;0.5;5;25},{"Bajo";"Medio";"Alto";"Crítico"}),"")</f>
        <v/>
      </c>
      <c r="AA1042" s="64">
        <f>IF(T1042&gt;=3,IF(X1042&gt;=1,"Zona 1 — Crítica: impacto alto y ocurre al menos una vez al año","Zona 4 — Catastrófica poco probable: impacto alto pero excepcional"),IF(AND(T1042&lt;1.5,X1042&lt;1),"Zona 3 — Asumible: impacto bajo y muy poco frecuente","Zona 2 — Atención: riesgo intermedio"))</f>
        <v/>
      </c>
      <c r="AB1042" s="64">
        <f>IFERROR(INDEX(MgAmenCtrl,MATCH(SUBSTITUTE($H1042,"*","-"),MgAmenClave,0)),"")</f>
        <v/>
      </c>
      <c r="AC1042" s="20" t="n"/>
      <c r="AD1042" s="31">
        <f>IFERROR($X1042*(1-IF($AC1042="",$AL1042,VLOOKUP($AC1042,MgMad,2,0))),"")</f>
        <v/>
      </c>
      <c r="AE1042" s="28">
        <f>IFERROR(LOOKUP(AD1042,{0;0.01;0.1;1;10;100},{"Muy baja";"Muy baja";"Baja";"Media";"Alta";"Muy alta"}),"")</f>
        <v/>
      </c>
      <c r="AF1042" s="30">
        <f>T1042*AD1042</f>
        <v/>
      </c>
      <c r="AG1042" s="28">
        <f>IFERROR(LOOKUP(AF1042,{0;0.5;5;25},{"Bajo";"Medio";"Alto";"Crítico"}),"")</f>
        <v/>
      </c>
      <c r="AH1042" s="28">
        <f>IF(AG1042="","",IF(OR(AG1042="Crítico",AG1042="Alto"),"Mitigar",IF(AG1042="Medio","Mitigar","Aceptar y monitorear")))</f>
        <v/>
      </c>
      <c r="AI1042" s="21" t="n"/>
      <c r="AJ1042" s="21" t="n"/>
      <c r="AK1042" s="20" t="n"/>
      <c r="AL1042" s="77">
        <f>IFERROR(INDEX(MgAmenEfic,MATCH(SUBSTITUTE($H1042,"*","-"),MgAmenClave,0)),0)</f>
        <v/>
      </c>
    </row>
    <row r="1043" hidden="1" ht="120" customHeight="1" s="54">
      <c r="B1043" s="59" t="inlineStr">
        <is>
          <t>R-1038</t>
        </is>
      </c>
      <c r="C1043" s="59" t="inlineStr">
        <is>
          <t>GH-045</t>
        </is>
      </c>
      <c r="D1043" s="64">
        <f>IFERROR(INDEX(MgNombre,MATCH($C1043,MgActId,0)),"")</f>
        <v/>
      </c>
      <c r="E1043" s="64">
        <f>IFERROR(INDEX(MgProceso,MATCH($C1043,MgActId,0)),"")</f>
        <v/>
      </c>
      <c r="F1043" s="64">
        <f>IFERROR(INDEX(MgTipo,MATCH($C1043,MgActId,0)),"")</f>
        <v/>
      </c>
      <c r="G1043" s="64">
        <f>IFERROR(INDEX(MgSubtipo,MATCH($C1043,MgActId,0)),"")</f>
        <v/>
      </c>
      <c r="H1043" s="59" t="inlineStr">
        <is>
          <t>A.11</t>
        </is>
      </c>
      <c r="I1043" s="64">
        <f>IFERROR(INDEX(MgAmenNombre,MATCH(SUBSTITUTE($H1043,"*","-"),MgAmenClave,0)),"")</f>
        <v/>
      </c>
      <c r="J1043" s="28">
        <f>IFERROR(INDEX(MgAmenGrupo,MATCH(SUBSTITUTE($H1043,"*","-"),MgAmenClave,0)),"")</f>
        <v/>
      </c>
      <c r="K1043" s="64">
        <f>IFERROR(INDEX('1. Matriz de Activos'!$Q$6:$Q$239,MATCH($C1043,MgActId,0)),"")</f>
        <v/>
      </c>
      <c r="L1043" s="64">
        <f>IFERROR(INDEX('1. Matriz de Activos'!$R$6:$R$239,MATCH($C1043,MgActId,0)),"")</f>
        <v/>
      </c>
      <c r="M1043" s="64">
        <f>IFERROR(INDEX('1. Matriz de Activos'!$S$6:$S$239,MATCH($C1043,MgActId,0)),"")</f>
        <v/>
      </c>
      <c r="N1043" s="28">
        <f>IFERROR(INDEX(MgAmenDegD,MATCH(SUBSTITUTE($H1043,"*","-"),MgAmenClave,0)),"No aplica")</f>
        <v/>
      </c>
      <c r="O1043" s="28">
        <f>IFERROR(INDEX(MgAmenDegI,MATCH(SUBSTITUTE($H1043,"*","-"),MgAmenClave,0)),"No aplica")</f>
        <v/>
      </c>
      <c r="P1043" s="28">
        <f>IFERROR(INDEX(MgAmenDegC,MATCH(SUBSTITUTE($H1043,"*","-"),MgAmenClave,0)),"No aplica")</f>
        <v/>
      </c>
      <c r="Q1043" s="29">
        <f>IFERROR(VLOOKUP(K1043,MgValor,2,0)*VLOOKUP(N1043,MgDeg,2,0),0)</f>
        <v/>
      </c>
      <c r="R1043" s="29">
        <f>IFERROR(VLOOKUP(L1043,MgValor,2,0)*VLOOKUP(O1043,MgDeg,2,0),0)</f>
        <v/>
      </c>
      <c r="S1043" s="29">
        <f>IFERROR(VLOOKUP(M1043,MgValor,2,0)*VLOOKUP(P1043,MgDeg,2,0),0)</f>
        <v/>
      </c>
      <c r="T1043" s="30">
        <f>MAX(Q1043:S1043)</f>
        <v/>
      </c>
      <c r="U1043" s="28">
        <f>IFERROR(LOOKUP(T1043,{0;0.5;1.5;3;4.5},{"Despreciable";"Bajo";"Medio";"Alto";"Muy alto"}),"")</f>
        <v/>
      </c>
      <c r="V1043" s="13">
        <f>IFERROR(INDEX(MgAmenFrec,MATCH(SUBSTITUTE($H1043,"*","-"),MgAmenClave,0)),"")</f>
        <v/>
      </c>
      <c r="W1043" s="28">
        <f>IFERROR(LOOKUP(X1043,{0;0.01;0.1;1;10;100},{"Muy baja";"Muy baja";"Baja";"Media";"Alta";"Muy alta"}),"")</f>
        <v/>
      </c>
      <c r="X1043" s="31">
        <f>IFERROR(VLOOKUP(V1043,MgFrec,2,0),0)</f>
        <v/>
      </c>
      <c r="Y1043" s="30">
        <f>T1043*X1043</f>
        <v/>
      </c>
      <c r="Z1043" s="28">
        <f>IFERROR(LOOKUP(Y1043,{0;0.5;5;25},{"Bajo";"Medio";"Alto";"Crítico"}),"")</f>
        <v/>
      </c>
      <c r="AA1043" s="64">
        <f>IF(T1043&gt;=3,IF(X1043&gt;=1,"Zona 1 — Crítica: impacto alto y ocurre al menos una vez al año","Zona 4 — Catastrófica poco probable: impacto alto pero excepcional"),IF(AND(T1043&lt;1.5,X1043&lt;1),"Zona 3 — Asumible: impacto bajo y muy poco frecuente","Zona 2 — Atención: riesgo intermedio"))</f>
        <v/>
      </c>
      <c r="AB1043" s="64">
        <f>IFERROR(INDEX(MgAmenCtrl,MATCH(SUBSTITUTE($H1043,"*","-"),MgAmenClave,0)),"")</f>
        <v/>
      </c>
      <c r="AC1043" s="20" t="n"/>
      <c r="AD1043" s="31">
        <f>IFERROR($X1043*(1-IF($AC1043="",$AL1043,VLOOKUP($AC1043,MgMad,2,0))),"")</f>
        <v/>
      </c>
      <c r="AE1043" s="28">
        <f>IFERROR(LOOKUP(AD1043,{0;0.01;0.1;1;10;100},{"Muy baja";"Muy baja";"Baja";"Media";"Alta";"Muy alta"}),"")</f>
        <v/>
      </c>
      <c r="AF1043" s="30">
        <f>T1043*AD1043</f>
        <v/>
      </c>
      <c r="AG1043" s="28">
        <f>IFERROR(LOOKUP(AF1043,{0;0.5;5;25},{"Bajo";"Medio";"Alto";"Crítico"}),"")</f>
        <v/>
      </c>
      <c r="AH1043" s="28">
        <f>IF(AG1043="","",IF(OR(AG1043="Crítico",AG1043="Alto"),"Mitigar",IF(AG1043="Medio","Mitigar","Aceptar y monitorear")))</f>
        <v/>
      </c>
      <c r="AI1043" s="21" t="n"/>
      <c r="AJ1043" s="21" t="n"/>
      <c r="AK1043" s="20" t="n"/>
      <c r="AL1043" s="77">
        <f>IFERROR(INDEX(MgAmenEfic,MATCH(SUBSTITUTE($H1043,"*","-"),MgAmenClave,0)),0)</f>
        <v/>
      </c>
    </row>
    <row r="1044" hidden="1" ht="90" customHeight="1" s="54">
      <c r="B1044" s="59" t="inlineStr">
        <is>
          <t>R-1039</t>
        </is>
      </c>
      <c r="C1044" s="59" t="inlineStr">
        <is>
          <t>GH-045</t>
        </is>
      </c>
      <c r="D1044" s="64">
        <f>IFERROR(INDEX(MgNombre,MATCH($C1044,MgActId,0)),"")</f>
        <v/>
      </c>
      <c r="E1044" s="64">
        <f>IFERROR(INDEX(MgProceso,MATCH($C1044,MgActId,0)),"")</f>
        <v/>
      </c>
      <c r="F1044" s="64">
        <f>IFERROR(INDEX(MgTipo,MATCH($C1044,MgActId,0)),"")</f>
        <v/>
      </c>
      <c r="G1044" s="64">
        <f>IFERROR(INDEX(MgSubtipo,MATCH($C1044,MgActId,0)),"")</f>
        <v/>
      </c>
      <c r="H1044" s="59" t="inlineStr">
        <is>
          <t>A.13</t>
        </is>
      </c>
      <c r="I1044" s="64">
        <f>IFERROR(INDEX(MgAmenNombre,MATCH(SUBSTITUTE($H1044,"*","-"),MgAmenClave,0)),"")</f>
        <v/>
      </c>
      <c r="J1044" s="28">
        <f>IFERROR(INDEX(MgAmenGrupo,MATCH(SUBSTITUTE($H1044,"*","-"),MgAmenClave,0)),"")</f>
        <v/>
      </c>
      <c r="K1044" s="64">
        <f>IFERROR(INDEX('1. Matriz de Activos'!$Q$6:$Q$239,MATCH($C1044,MgActId,0)),"")</f>
        <v/>
      </c>
      <c r="L1044" s="64">
        <f>IFERROR(INDEX('1. Matriz de Activos'!$R$6:$R$239,MATCH($C1044,MgActId,0)),"")</f>
        <v/>
      </c>
      <c r="M1044" s="64">
        <f>IFERROR(INDEX('1. Matriz de Activos'!$S$6:$S$239,MATCH($C1044,MgActId,0)),"")</f>
        <v/>
      </c>
      <c r="N1044" s="28">
        <f>IFERROR(INDEX(MgAmenDegD,MATCH(SUBSTITUTE($H1044,"*","-"),MgAmenClave,0)),"No aplica")</f>
        <v/>
      </c>
      <c r="O1044" s="28">
        <f>IFERROR(INDEX(MgAmenDegI,MATCH(SUBSTITUTE($H1044,"*","-"),MgAmenClave,0)),"No aplica")</f>
        <v/>
      </c>
      <c r="P1044" s="28">
        <f>IFERROR(INDEX(MgAmenDegC,MATCH(SUBSTITUTE($H1044,"*","-"),MgAmenClave,0)),"No aplica")</f>
        <v/>
      </c>
      <c r="Q1044" s="29">
        <f>IFERROR(VLOOKUP(K1044,MgValor,2,0)*VLOOKUP(N1044,MgDeg,2,0),0)</f>
        <v/>
      </c>
      <c r="R1044" s="29">
        <f>IFERROR(VLOOKUP(L1044,MgValor,2,0)*VLOOKUP(O1044,MgDeg,2,0),0)</f>
        <v/>
      </c>
      <c r="S1044" s="29">
        <f>IFERROR(VLOOKUP(M1044,MgValor,2,0)*VLOOKUP(P1044,MgDeg,2,0),0)</f>
        <v/>
      </c>
      <c r="T1044" s="30">
        <f>MAX(Q1044:S1044)</f>
        <v/>
      </c>
      <c r="U1044" s="28">
        <f>IFERROR(LOOKUP(T1044,{0;0.5;1.5;3;4.5},{"Despreciable";"Bajo";"Medio";"Alto";"Muy alto"}),"")</f>
        <v/>
      </c>
      <c r="V1044" s="13">
        <f>IFERROR(INDEX(MgAmenFrec,MATCH(SUBSTITUTE($H1044,"*","-"),MgAmenClave,0)),"")</f>
        <v/>
      </c>
      <c r="W1044" s="28">
        <f>IFERROR(LOOKUP(X1044,{0;0.01;0.1;1;10;100},{"Muy baja";"Muy baja";"Baja";"Media";"Alta";"Muy alta"}),"")</f>
        <v/>
      </c>
      <c r="X1044" s="31">
        <f>IFERROR(VLOOKUP(V1044,MgFrec,2,0),0)</f>
        <v/>
      </c>
      <c r="Y1044" s="30">
        <f>T1044*X1044</f>
        <v/>
      </c>
      <c r="Z1044" s="28">
        <f>IFERROR(LOOKUP(Y1044,{0;0.5;5;25},{"Bajo";"Medio";"Alto";"Crítico"}),"")</f>
        <v/>
      </c>
      <c r="AA1044" s="64">
        <f>IF(T1044&gt;=3,IF(X1044&gt;=1,"Zona 1 — Crítica: impacto alto y ocurre al menos una vez al año","Zona 4 — Catastrófica poco probable: impacto alto pero excepcional"),IF(AND(T1044&lt;1.5,X1044&lt;1),"Zona 3 — Asumible: impacto bajo y muy poco frecuente","Zona 2 — Atención: riesgo intermedio"))</f>
        <v/>
      </c>
      <c r="AB1044" s="64">
        <f>IFERROR(INDEX(MgAmenCtrl,MATCH(SUBSTITUTE($H1044,"*","-"),MgAmenClave,0)),"")</f>
        <v/>
      </c>
      <c r="AC1044" s="20" t="n"/>
      <c r="AD1044" s="31">
        <f>IFERROR($X1044*(1-IF($AC1044="",$AL1044,VLOOKUP($AC1044,MgMad,2,0))),"")</f>
        <v/>
      </c>
      <c r="AE1044" s="28">
        <f>IFERROR(LOOKUP(AD1044,{0;0.01;0.1;1;10;100},{"Muy baja";"Muy baja";"Baja";"Media";"Alta";"Muy alta"}),"")</f>
        <v/>
      </c>
      <c r="AF1044" s="30">
        <f>T1044*AD1044</f>
        <v/>
      </c>
      <c r="AG1044" s="28">
        <f>IFERROR(LOOKUP(AF1044,{0;0.5;5;25},{"Bajo";"Medio";"Alto";"Crítico"}),"")</f>
        <v/>
      </c>
      <c r="AH1044" s="28">
        <f>IF(AG1044="","",IF(OR(AG1044="Crítico",AG1044="Alto"),"Mitigar",IF(AG1044="Medio","Mitigar","Aceptar y monitorear")))</f>
        <v/>
      </c>
      <c r="AI1044" s="21" t="n"/>
      <c r="AJ1044" s="21" t="n"/>
      <c r="AK1044" s="20" t="n"/>
      <c r="AL1044" s="77">
        <f>IFERROR(INDEX(MgAmenEfic,MATCH(SUBSTITUTE($H1044,"*","-"),MgAmenClave,0)),0)</f>
        <v/>
      </c>
    </row>
    <row r="1045" hidden="1" ht="60" customHeight="1" s="54">
      <c r="B1045" s="59" t="inlineStr">
        <is>
          <t>R-1040</t>
        </is>
      </c>
      <c r="C1045" s="59" t="inlineStr">
        <is>
          <t>GH-045</t>
        </is>
      </c>
      <c r="D1045" s="64">
        <f>IFERROR(INDEX(MgNombre,MATCH($C1045,MgActId,0)),"")</f>
        <v/>
      </c>
      <c r="E1045" s="64">
        <f>IFERROR(INDEX(MgProceso,MATCH($C1045,MgActId,0)),"")</f>
        <v/>
      </c>
      <c r="F1045" s="64">
        <f>IFERROR(INDEX(MgTipo,MATCH($C1045,MgActId,0)),"")</f>
        <v/>
      </c>
      <c r="G1045" s="64">
        <f>IFERROR(INDEX(MgSubtipo,MATCH($C1045,MgActId,0)),"")</f>
        <v/>
      </c>
      <c r="H1045" s="59" t="inlineStr">
        <is>
          <t>A.15</t>
        </is>
      </c>
      <c r="I1045" s="64">
        <f>IFERROR(INDEX(MgAmenNombre,MATCH(SUBSTITUTE($H1045,"*","-"),MgAmenClave,0)),"")</f>
        <v/>
      </c>
      <c r="J1045" s="28">
        <f>IFERROR(INDEX(MgAmenGrupo,MATCH(SUBSTITUTE($H1045,"*","-"),MgAmenClave,0)),"")</f>
        <v/>
      </c>
      <c r="K1045" s="64">
        <f>IFERROR(INDEX('1. Matriz de Activos'!$Q$6:$Q$239,MATCH($C1045,MgActId,0)),"")</f>
        <v/>
      </c>
      <c r="L1045" s="64">
        <f>IFERROR(INDEX('1. Matriz de Activos'!$R$6:$R$239,MATCH($C1045,MgActId,0)),"")</f>
        <v/>
      </c>
      <c r="M1045" s="64">
        <f>IFERROR(INDEX('1. Matriz de Activos'!$S$6:$S$239,MATCH($C1045,MgActId,0)),"")</f>
        <v/>
      </c>
      <c r="N1045" s="28">
        <f>IFERROR(INDEX(MgAmenDegD,MATCH(SUBSTITUTE($H1045,"*","-"),MgAmenClave,0)),"No aplica")</f>
        <v/>
      </c>
      <c r="O1045" s="28">
        <f>IFERROR(INDEX(MgAmenDegI,MATCH(SUBSTITUTE($H1045,"*","-"),MgAmenClave,0)),"No aplica")</f>
        <v/>
      </c>
      <c r="P1045" s="28">
        <f>IFERROR(INDEX(MgAmenDegC,MATCH(SUBSTITUTE($H1045,"*","-"),MgAmenClave,0)),"No aplica")</f>
        <v/>
      </c>
      <c r="Q1045" s="29">
        <f>IFERROR(VLOOKUP(K1045,MgValor,2,0)*VLOOKUP(N1045,MgDeg,2,0),0)</f>
        <v/>
      </c>
      <c r="R1045" s="29">
        <f>IFERROR(VLOOKUP(L1045,MgValor,2,0)*VLOOKUP(O1045,MgDeg,2,0),0)</f>
        <v/>
      </c>
      <c r="S1045" s="29">
        <f>IFERROR(VLOOKUP(M1045,MgValor,2,0)*VLOOKUP(P1045,MgDeg,2,0),0)</f>
        <v/>
      </c>
      <c r="T1045" s="30">
        <f>MAX(Q1045:S1045)</f>
        <v/>
      </c>
      <c r="U1045" s="28">
        <f>IFERROR(LOOKUP(T1045,{0;0.5;1.5;3;4.5},{"Despreciable";"Bajo";"Medio";"Alto";"Muy alto"}),"")</f>
        <v/>
      </c>
      <c r="V1045" s="13">
        <f>IFERROR(INDEX(MgAmenFrec,MATCH(SUBSTITUTE($H1045,"*","-"),MgAmenClave,0)),"")</f>
        <v/>
      </c>
      <c r="W1045" s="28">
        <f>IFERROR(LOOKUP(X1045,{0;0.01;0.1;1;10;100},{"Muy baja";"Muy baja";"Baja";"Media";"Alta";"Muy alta"}),"")</f>
        <v/>
      </c>
      <c r="X1045" s="31">
        <f>IFERROR(VLOOKUP(V1045,MgFrec,2,0),0)</f>
        <v/>
      </c>
      <c r="Y1045" s="30">
        <f>T1045*X1045</f>
        <v/>
      </c>
      <c r="Z1045" s="28">
        <f>IFERROR(LOOKUP(Y1045,{0;0.5;5;25},{"Bajo";"Medio";"Alto";"Crítico"}),"")</f>
        <v/>
      </c>
      <c r="AA1045" s="64">
        <f>IF(T1045&gt;=3,IF(X1045&gt;=1,"Zona 1 — Crítica: impacto alto y ocurre al menos una vez al año","Zona 4 — Catastrófica poco probable: impacto alto pero excepcional"),IF(AND(T1045&lt;1.5,X1045&lt;1),"Zona 3 — Asumible: impacto bajo y muy poco frecuente","Zona 2 — Atención: riesgo intermedio"))</f>
        <v/>
      </c>
      <c r="AB1045" s="64">
        <f>IFERROR(INDEX(MgAmenCtrl,MATCH(SUBSTITUTE($H1045,"*","-"),MgAmenClave,0)),"")</f>
        <v/>
      </c>
      <c r="AC1045" s="20" t="n"/>
      <c r="AD1045" s="31">
        <f>IFERROR($X1045*(1-IF($AC1045="",$AL1045,VLOOKUP($AC1045,MgMad,2,0))),"")</f>
        <v/>
      </c>
      <c r="AE1045" s="28">
        <f>IFERROR(LOOKUP(AD1045,{0;0.01;0.1;1;10;100},{"Muy baja";"Muy baja";"Baja";"Media";"Alta";"Muy alta"}),"")</f>
        <v/>
      </c>
      <c r="AF1045" s="30">
        <f>T1045*AD1045</f>
        <v/>
      </c>
      <c r="AG1045" s="28">
        <f>IFERROR(LOOKUP(AF1045,{0;0.5;5;25},{"Bajo";"Medio";"Alto";"Crítico"}),"")</f>
        <v/>
      </c>
      <c r="AH1045" s="28">
        <f>IF(AG1045="","",IF(OR(AG1045="Crítico",AG1045="Alto"),"Mitigar",IF(AG1045="Medio","Mitigar","Aceptar y monitorear")))</f>
        <v/>
      </c>
      <c r="AI1045" s="21" t="n"/>
      <c r="AJ1045" s="21" t="n"/>
      <c r="AK1045" s="20" t="n"/>
      <c r="AL1045" s="77">
        <f>IFERROR(INDEX(MgAmenEfic,MATCH(SUBSTITUTE($H1045,"*","-"),MgAmenClave,0)),0)</f>
        <v/>
      </c>
    </row>
    <row r="1046" hidden="1" ht="60" customHeight="1" s="54">
      <c r="B1046" s="59" t="inlineStr">
        <is>
          <t>R-1041</t>
        </is>
      </c>
      <c r="C1046" s="59" t="inlineStr">
        <is>
          <t>GH-045</t>
        </is>
      </c>
      <c r="D1046" s="64">
        <f>IFERROR(INDEX(MgNombre,MATCH($C1046,MgActId,0)),"")</f>
        <v/>
      </c>
      <c r="E1046" s="64">
        <f>IFERROR(INDEX(MgProceso,MATCH($C1046,MgActId,0)),"")</f>
        <v/>
      </c>
      <c r="F1046" s="64">
        <f>IFERROR(INDEX(MgTipo,MATCH($C1046,MgActId,0)),"")</f>
        <v/>
      </c>
      <c r="G1046" s="64">
        <f>IFERROR(INDEX(MgSubtipo,MATCH($C1046,MgActId,0)),"")</f>
        <v/>
      </c>
      <c r="H1046" s="59" t="inlineStr">
        <is>
          <t>A.18</t>
        </is>
      </c>
      <c r="I1046" s="64">
        <f>IFERROR(INDEX(MgAmenNombre,MATCH(SUBSTITUTE($H1046,"*","-"),MgAmenClave,0)),"")</f>
        <v/>
      </c>
      <c r="J1046" s="28">
        <f>IFERROR(INDEX(MgAmenGrupo,MATCH(SUBSTITUTE($H1046,"*","-"),MgAmenClave,0)),"")</f>
        <v/>
      </c>
      <c r="K1046" s="64">
        <f>IFERROR(INDEX('1. Matriz de Activos'!$Q$6:$Q$239,MATCH($C1046,MgActId,0)),"")</f>
        <v/>
      </c>
      <c r="L1046" s="64">
        <f>IFERROR(INDEX('1. Matriz de Activos'!$R$6:$R$239,MATCH($C1046,MgActId,0)),"")</f>
        <v/>
      </c>
      <c r="M1046" s="64">
        <f>IFERROR(INDEX('1. Matriz de Activos'!$S$6:$S$239,MATCH($C1046,MgActId,0)),"")</f>
        <v/>
      </c>
      <c r="N1046" s="28">
        <f>IFERROR(INDEX(MgAmenDegD,MATCH(SUBSTITUTE($H1046,"*","-"),MgAmenClave,0)),"No aplica")</f>
        <v/>
      </c>
      <c r="O1046" s="28">
        <f>IFERROR(INDEX(MgAmenDegI,MATCH(SUBSTITUTE($H1046,"*","-"),MgAmenClave,0)),"No aplica")</f>
        <v/>
      </c>
      <c r="P1046" s="28">
        <f>IFERROR(INDEX(MgAmenDegC,MATCH(SUBSTITUTE($H1046,"*","-"),MgAmenClave,0)),"No aplica")</f>
        <v/>
      </c>
      <c r="Q1046" s="29">
        <f>IFERROR(VLOOKUP(K1046,MgValor,2,0)*VLOOKUP(N1046,MgDeg,2,0),0)</f>
        <v/>
      </c>
      <c r="R1046" s="29">
        <f>IFERROR(VLOOKUP(L1046,MgValor,2,0)*VLOOKUP(O1046,MgDeg,2,0),0)</f>
        <v/>
      </c>
      <c r="S1046" s="29">
        <f>IFERROR(VLOOKUP(M1046,MgValor,2,0)*VLOOKUP(P1046,MgDeg,2,0),0)</f>
        <v/>
      </c>
      <c r="T1046" s="30">
        <f>MAX(Q1046:S1046)</f>
        <v/>
      </c>
      <c r="U1046" s="28">
        <f>IFERROR(LOOKUP(T1046,{0;0.5;1.5;3;4.5},{"Despreciable";"Bajo";"Medio";"Alto";"Muy alto"}),"")</f>
        <v/>
      </c>
      <c r="V1046" s="13">
        <f>IFERROR(INDEX(MgAmenFrec,MATCH(SUBSTITUTE($H1046,"*","-"),MgAmenClave,0)),"")</f>
        <v/>
      </c>
      <c r="W1046" s="28">
        <f>IFERROR(LOOKUP(X1046,{0;0.01;0.1;1;10;100},{"Muy baja";"Muy baja";"Baja";"Media";"Alta";"Muy alta"}),"")</f>
        <v/>
      </c>
      <c r="X1046" s="31">
        <f>IFERROR(VLOOKUP(V1046,MgFrec,2,0),0)</f>
        <v/>
      </c>
      <c r="Y1046" s="30">
        <f>T1046*X1046</f>
        <v/>
      </c>
      <c r="Z1046" s="28">
        <f>IFERROR(LOOKUP(Y1046,{0;0.5;5;25},{"Bajo";"Medio";"Alto";"Crítico"}),"")</f>
        <v/>
      </c>
      <c r="AA1046" s="64">
        <f>IF(T1046&gt;=3,IF(X1046&gt;=1,"Zona 1 — Crítica: impacto alto y ocurre al menos una vez al año","Zona 4 — Catastrófica poco probable: impacto alto pero excepcional"),IF(AND(T1046&lt;1.5,X1046&lt;1),"Zona 3 — Asumible: impacto bajo y muy poco frecuente","Zona 2 — Atención: riesgo intermedio"))</f>
        <v/>
      </c>
      <c r="AB1046" s="64">
        <f>IFERROR(INDEX(MgAmenCtrl,MATCH(SUBSTITUTE($H1046,"*","-"),MgAmenClave,0)),"")</f>
        <v/>
      </c>
      <c r="AC1046" s="20" t="n"/>
      <c r="AD1046" s="31">
        <f>IFERROR($X1046*(1-IF($AC1046="",$AL1046,VLOOKUP($AC1046,MgMad,2,0))),"")</f>
        <v/>
      </c>
      <c r="AE1046" s="28">
        <f>IFERROR(LOOKUP(AD1046,{0;0.01;0.1;1;10;100},{"Muy baja";"Muy baja";"Baja";"Media";"Alta";"Muy alta"}),"")</f>
        <v/>
      </c>
      <c r="AF1046" s="30">
        <f>T1046*AD1046</f>
        <v/>
      </c>
      <c r="AG1046" s="28">
        <f>IFERROR(LOOKUP(AF1046,{0;0.5;5;25},{"Bajo";"Medio";"Alto";"Crítico"}),"")</f>
        <v/>
      </c>
      <c r="AH1046" s="28">
        <f>IF(AG1046="","",IF(OR(AG1046="Crítico",AG1046="Alto"),"Mitigar",IF(AG1046="Medio","Mitigar","Aceptar y monitorear")))</f>
        <v/>
      </c>
      <c r="AI1046" s="21" t="n"/>
      <c r="AJ1046" s="21" t="n"/>
      <c r="AK1046" s="20" t="n"/>
      <c r="AL1046" s="77">
        <f>IFERROR(INDEX(MgAmenEfic,MATCH(SUBSTITUTE($H1046,"*","-"),MgAmenClave,0)),0)</f>
        <v/>
      </c>
    </row>
    <row r="1047" hidden="1" ht="120" customHeight="1" s="54">
      <c r="B1047" s="59" t="inlineStr">
        <is>
          <t>R-1042</t>
        </is>
      </c>
      <c r="C1047" s="59" t="inlineStr">
        <is>
          <t>GH-045</t>
        </is>
      </c>
      <c r="D1047" s="64">
        <f>IFERROR(INDEX(MgNombre,MATCH($C1047,MgActId,0)),"")</f>
        <v/>
      </c>
      <c r="E1047" s="64">
        <f>IFERROR(INDEX(MgProceso,MATCH($C1047,MgActId,0)),"")</f>
        <v/>
      </c>
      <c r="F1047" s="64">
        <f>IFERROR(INDEX(MgTipo,MATCH($C1047,MgActId,0)),"")</f>
        <v/>
      </c>
      <c r="G1047" s="64">
        <f>IFERROR(INDEX(MgSubtipo,MATCH($C1047,MgActId,0)),"")</f>
        <v/>
      </c>
      <c r="H1047" s="59" t="inlineStr">
        <is>
          <t>A.19</t>
        </is>
      </c>
      <c r="I1047" s="64">
        <f>IFERROR(INDEX(MgAmenNombre,MATCH(SUBSTITUTE($H1047,"*","-"),MgAmenClave,0)),"")</f>
        <v/>
      </c>
      <c r="J1047" s="28">
        <f>IFERROR(INDEX(MgAmenGrupo,MATCH(SUBSTITUTE($H1047,"*","-"),MgAmenClave,0)),"")</f>
        <v/>
      </c>
      <c r="K1047" s="64">
        <f>IFERROR(INDEX('1. Matriz de Activos'!$Q$6:$Q$239,MATCH($C1047,MgActId,0)),"")</f>
        <v/>
      </c>
      <c r="L1047" s="64">
        <f>IFERROR(INDEX('1. Matriz de Activos'!$R$6:$R$239,MATCH($C1047,MgActId,0)),"")</f>
        <v/>
      </c>
      <c r="M1047" s="64">
        <f>IFERROR(INDEX('1. Matriz de Activos'!$S$6:$S$239,MATCH($C1047,MgActId,0)),"")</f>
        <v/>
      </c>
      <c r="N1047" s="28">
        <f>IFERROR(INDEX(MgAmenDegD,MATCH(SUBSTITUTE($H1047,"*","-"),MgAmenClave,0)),"No aplica")</f>
        <v/>
      </c>
      <c r="O1047" s="28">
        <f>IFERROR(INDEX(MgAmenDegI,MATCH(SUBSTITUTE($H1047,"*","-"),MgAmenClave,0)),"No aplica")</f>
        <v/>
      </c>
      <c r="P1047" s="28">
        <f>IFERROR(INDEX(MgAmenDegC,MATCH(SUBSTITUTE($H1047,"*","-"),MgAmenClave,0)),"No aplica")</f>
        <v/>
      </c>
      <c r="Q1047" s="29">
        <f>IFERROR(VLOOKUP(K1047,MgValor,2,0)*VLOOKUP(N1047,MgDeg,2,0),0)</f>
        <v/>
      </c>
      <c r="R1047" s="29">
        <f>IFERROR(VLOOKUP(L1047,MgValor,2,0)*VLOOKUP(O1047,MgDeg,2,0),0)</f>
        <v/>
      </c>
      <c r="S1047" s="29">
        <f>IFERROR(VLOOKUP(M1047,MgValor,2,0)*VLOOKUP(P1047,MgDeg,2,0),0)</f>
        <v/>
      </c>
      <c r="T1047" s="30">
        <f>MAX(Q1047:S1047)</f>
        <v/>
      </c>
      <c r="U1047" s="28">
        <f>IFERROR(LOOKUP(T1047,{0;0.5;1.5;3;4.5},{"Despreciable";"Bajo";"Medio";"Alto";"Muy alto"}),"")</f>
        <v/>
      </c>
      <c r="V1047" s="13">
        <f>IFERROR(INDEX(MgAmenFrec,MATCH(SUBSTITUTE($H1047,"*","-"),MgAmenClave,0)),"")</f>
        <v/>
      </c>
      <c r="W1047" s="28">
        <f>IFERROR(LOOKUP(X1047,{0;0.01;0.1;1;10;100},{"Muy baja";"Muy baja";"Baja";"Media";"Alta";"Muy alta"}),"")</f>
        <v/>
      </c>
      <c r="X1047" s="31">
        <f>IFERROR(VLOOKUP(V1047,MgFrec,2,0),0)</f>
        <v/>
      </c>
      <c r="Y1047" s="30">
        <f>T1047*X1047</f>
        <v/>
      </c>
      <c r="Z1047" s="28">
        <f>IFERROR(LOOKUP(Y1047,{0;0.5;5;25},{"Bajo";"Medio";"Alto";"Crítico"}),"")</f>
        <v/>
      </c>
      <c r="AA1047" s="64">
        <f>IF(T1047&gt;=3,IF(X1047&gt;=1,"Zona 1 — Crítica: impacto alto y ocurre al menos una vez al año","Zona 4 — Catastrófica poco probable: impacto alto pero excepcional"),IF(AND(T1047&lt;1.5,X1047&lt;1),"Zona 3 — Asumible: impacto bajo y muy poco frecuente","Zona 2 — Atención: riesgo intermedio"))</f>
        <v/>
      </c>
      <c r="AB1047" s="64">
        <f>IFERROR(INDEX(MgAmenCtrl,MATCH(SUBSTITUTE($H1047,"*","-"),MgAmenClave,0)),"")</f>
        <v/>
      </c>
      <c r="AC1047" s="20" t="n"/>
      <c r="AD1047" s="31">
        <f>IFERROR($X1047*(1-IF($AC1047="",$AL1047,VLOOKUP($AC1047,MgMad,2,0))),"")</f>
        <v/>
      </c>
      <c r="AE1047" s="28">
        <f>IFERROR(LOOKUP(AD1047,{0;0.01;0.1;1;10;100},{"Muy baja";"Muy baja";"Baja";"Media";"Alta";"Muy alta"}),"")</f>
        <v/>
      </c>
      <c r="AF1047" s="30">
        <f>T1047*AD1047</f>
        <v/>
      </c>
      <c r="AG1047" s="28">
        <f>IFERROR(LOOKUP(AF1047,{0;0.5;5;25},{"Bajo";"Medio";"Alto";"Crítico"}),"")</f>
        <v/>
      </c>
      <c r="AH1047" s="28">
        <f>IF(AG1047="","",IF(OR(AG1047="Crítico",AG1047="Alto"),"Mitigar",IF(AG1047="Medio","Mitigar","Aceptar y monitorear")))</f>
        <v/>
      </c>
      <c r="AI1047" s="21" t="n"/>
      <c r="AJ1047" s="21" t="n"/>
      <c r="AK1047" s="20" t="n"/>
      <c r="AL1047" s="77">
        <f>IFERROR(INDEX(MgAmenEfic,MATCH(SUBSTITUTE($H1047,"*","-"),MgAmenClave,0)),0)</f>
        <v/>
      </c>
    </row>
    <row r="1048" hidden="1" ht="105" customHeight="1" s="54">
      <c r="B1048" s="59" t="inlineStr">
        <is>
          <t>R-1043</t>
        </is>
      </c>
      <c r="C1048" s="59" t="inlineStr">
        <is>
          <t>GH-020</t>
        </is>
      </c>
      <c r="D1048" s="64">
        <f>IFERROR(INDEX(MgNombre,MATCH($C1048,MgActId,0)),"")</f>
        <v/>
      </c>
      <c r="E1048" s="64">
        <f>IFERROR(INDEX(MgProceso,MATCH($C1048,MgActId,0)),"")</f>
        <v/>
      </c>
      <c r="F1048" s="64">
        <f>IFERROR(INDEX(MgTipo,MATCH($C1048,MgActId,0)),"")</f>
        <v/>
      </c>
      <c r="G1048" s="64">
        <f>IFERROR(INDEX(MgSubtipo,MATCH($C1048,MgActId,0)),"")</f>
        <v/>
      </c>
      <c r="H1048" s="59" t="inlineStr">
        <is>
          <t>E.1</t>
        </is>
      </c>
      <c r="I1048" s="64">
        <f>IFERROR(INDEX(MgAmenNombre,MATCH(SUBSTITUTE($H1048,"*","-"),MgAmenClave,0)),"")</f>
        <v/>
      </c>
      <c r="J1048" s="28">
        <f>IFERROR(INDEX(MgAmenGrupo,MATCH(SUBSTITUTE($H1048,"*","-"),MgAmenClave,0)),"")</f>
        <v/>
      </c>
      <c r="K1048" s="64">
        <f>IFERROR(INDEX('1. Matriz de Activos'!$Q$6:$Q$239,MATCH($C1048,MgActId,0)),"")</f>
        <v/>
      </c>
      <c r="L1048" s="64">
        <f>IFERROR(INDEX('1. Matriz de Activos'!$R$6:$R$239,MATCH($C1048,MgActId,0)),"")</f>
        <v/>
      </c>
      <c r="M1048" s="64">
        <f>IFERROR(INDEX('1. Matriz de Activos'!$S$6:$S$239,MATCH($C1048,MgActId,0)),"")</f>
        <v/>
      </c>
      <c r="N1048" s="28">
        <f>IFERROR(INDEX(MgAmenDegD,MATCH(SUBSTITUTE($H1048,"*","-"),MgAmenClave,0)),"No aplica")</f>
        <v/>
      </c>
      <c r="O1048" s="28">
        <f>IFERROR(INDEX(MgAmenDegI,MATCH(SUBSTITUTE($H1048,"*","-"),MgAmenClave,0)),"No aplica")</f>
        <v/>
      </c>
      <c r="P1048" s="28">
        <f>IFERROR(INDEX(MgAmenDegC,MATCH(SUBSTITUTE($H1048,"*","-"),MgAmenClave,0)),"No aplica")</f>
        <v/>
      </c>
      <c r="Q1048" s="29">
        <f>IFERROR(VLOOKUP(K1048,MgValor,2,0)*VLOOKUP(N1048,MgDeg,2,0),0)</f>
        <v/>
      </c>
      <c r="R1048" s="29">
        <f>IFERROR(VLOOKUP(L1048,MgValor,2,0)*VLOOKUP(O1048,MgDeg,2,0),0)</f>
        <v/>
      </c>
      <c r="S1048" s="29">
        <f>IFERROR(VLOOKUP(M1048,MgValor,2,0)*VLOOKUP(P1048,MgDeg,2,0),0)</f>
        <v/>
      </c>
      <c r="T1048" s="30">
        <f>MAX(Q1048:S1048)</f>
        <v/>
      </c>
      <c r="U1048" s="28">
        <f>IFERROR(LOOKUP(T1048,{0;0.5;1.5;3;4.5},{"Despreciable";"Bajo";"Medio";"Alto";"Muy alto"}),"")</f>
        <v/>
      </c>
      <c r="V1048" s="13">
        <f>IFERROR(INDEX(MgAmenFrec,MATCH(SUBSTITUTE($H1048,"*","-"),MgAmenClave,0)),"")</f>
        <v/>
      </c>
      <c r="W1048" s="28">
        <f>IFERROR(LOOKUP(X1048,{0;0.01;0.1;1;10;100},{"Muy baja";"Muy baja";"Baja";"Media";"Alta";"Muy alta"}),"")</f>
        <v/>
      </c>
      <c r="X1048" s="31">
        <f>IFERROR(VLOOKUP(V1048,MgFrec,2,0),0)</f>
        <v/>
      </c>
      <c r="Y1048" s="30">
        <f>T1048*X1048</f>
        <v/>
      </c>
      <c r="Z1048" s="28">
        <f>IFERROR(LOOKUP(Y1048,{0;0.5;5;25},{"Bajo";"Medio";"Alto";"Crítico"}),"")</f>
        <v/>
      </c>
      <c r="AA1048" s="64">
        <f>IF(T1048&gt;=3,IF(X1048&gt;=1,"Zona 1 — Crítica: impacto alto y ocurre al menos una vez al año","Zona 4 — Catastrófica poco probable: impacto alto pero excepcional"),IF(AND(T1048&lt;1.5,X1048&lt;1),"Zona 3 — Asumible: impacto bajo y muy poco frecuente","Zona 2 — Atención: riesgo intermedio"))</f>
        <v/>
      </c>
      <c r="AB1048" s="64">
        <f>IFERROR(INDEX(MgAmenCtrl,MATCH(SUBSTITUTE($H1048,"*","-"),MgAmenClave,0)),"")</f>
        <v/>
      </c>
      <c r="AC1048" s="20" t="n"/>
      <c r="AD1048" s="31">
        <f>IFERROR($X1048*(1-IF($AC1048="",$AL1048,VLOOKUP($AC1048,MgMad,2,0))),"")</f>
        <v/>
      </c>
      <c r="AE1048" s="28">
        <f>IFERROR(LOOKUP(AD1048,{0;0.01;0.1;1;10;100},{"Muy baja";"Muy baja";"Baja";"Media";"Alta";"Muy alta"}),"")</f>
        <v/>
      </c>
      <c r="AF1048" s="30">
        <f>T1048*AD1048</f>
        <v/>
      </c>
      <c r="AG1048" s="28">
        <f>IFERROR(LOOKUP(AF1048,{0;0.5;5;25},{"Bajo";"Medio";"Alto";"Crítico"}),"")</f>
        <v/>
      </c>
      <c r="AH1048" s="28">
        <f>IF(AG1048="","",IF(OR(AG1048="Crítico",AG1048="Alto"),"Mitigar",IF(AG1048="Medio","Mitigar","Aceptar y monitorear")))</f>
        <v/>
      </c>
      <c r="AI1048" s="21" t="n"/>
      <c r="AJ1048" s="21" t="n"/>
      <c r="AK1048" s="20" t="n"/>
      <c r="AL1048" s="77">
        <f>IFERROR(INDEX(MgAmenEfic,MATCH(SUBSTITUTE($H1048,"*","-"),MgAmenClave,0)),0)</f>
        <v/>
      </c>
    </row>
    <row r="1049" hidden="1" ht="120" customHeight="1" s="54">
      <c r="B1049" s="59" t="inlineStr">
        <is>
          <t>R-1044</t>
        </is>
      </c>
      <c r="C1049" s="59" t="inlineStr">
        <is>
          <t>GH-020</t>
        </is>
      </c>
      <c r="D1049" s="64">
        <f>IFERROR(INDEX(MgNombre,MATCH($C1049,MgActId,0)),"")</f>
        <v/>
      </c>
      <c r="E1049" s="64">
        <f>IFERROR(INDEX(MgProceso,MATCH($C1049,MgActId,0)),"")</f>
        <v/>
      </c>
      <c r="F1049" s="64">
        <f>IFERROR(INDEX(MgTipo,MATCH($C1049,MgActId,0)),"")</f>
        <v/>
      </c>
      <c r="G1049" s="64">
        <f>IFERROR(INDEX(MgSubtipo,MATCH($C1049,MgActId,0)),"")</f>
        <v/>
      </c>
      <c r="H1049" s="59" t="inlineStr">
        <is>
          <t>E.2</t>
        </is>
      </c>
      <c r="I1049" s="64">
        <f>IFERROR(INDEX(MgAmenNombre,MATCH(SUBSTITUTE($H1049,"*","-"),MgAmenClave,0)),"")</f>
        <v/>
      </c>
      <c r="J1049" s="28">
        <f>IFERROR(INDEX(MgAmenGrupo,MATCH(SUBSTITUTE($H1049,"*","-"),MgAmenClave,0)),"")</f>
        <v/>
      </c>
      <c r="K1049" s="64">
        <f>IFERROR(INDEX('1. Matriz de Activos'!$Q$6:$Q$239,MATCH($C1049,MgActId,0)),"")</f>
        <v/>
      </c>
      <c r="L1049" s="64">
        <f>IFERROR(INDEX('1. Matriz de Activos'!$R$6:$R$239,MATCH($C1049,MgActId,0)),"")</f>
        <v/>
      </c>
      <c r="M1049" s="64">
        <f>IFERROR(INDEX('1. Matriz de Activos'!$S$6:$S$239,MATCH($C1049,MgActId,0)),"")</f>
        <v/>
      </c>
      <c r="N1049" s="28">
        <f>IFERROR(INDEX(MgAmenDegD,MATCH(SUBSTITUTE($H1049,"*","-"),MgAmenClave,0)),"No aplica")</f>
        <v/>
      </c>
      <c r="O1049" s="28">
        <f>IFERROR(INDEX(MgAmenDegI,MATCH(SUBSTITUTE($H1049,"*","-"),MgAmenClave,0)),"No aplica")</f>
        <v/>
      </c>
      <c r="P1049" s="28">
        <f>IFERROR(INDEX(MgAmenDegC,MATCH(SUBSTITUTE($H1049,"*","-"),MgAmenClave,0)),"No aplica")</f>
        <v/>
      </c>
      <c r="Q1049" s="29">
        <f>IFERROR(VLOOKUP(K1049,MgValor,2,0)*VLOOKUP(N1049,MgDeg,2,0),0)</f>
        <v/>
      </c>
      <c r="R1049" s="29">
        <f>IFERROR(VLOOKUP(L1049,MgValor,2,0)*VLOOKUP(O1049,MgDeg,2,0),0)</f>
        <v/>
      </c>
      <c r="S1049" s="29">
        <f>IFERROR(VLOOKUP(M1049,MgValor,2,0)*VLOOKUP(P1049,MgDeg,2,0),0)</f>
        <v/>
      </c>
      <c r="T1049" s="30">
        <f>MAX(Q1049:S1049)</f>
        <v/>
      </c>
      <c r="U1049" s="28">
        <f>IFERROR(LOOKUP(T1049,{0;0.5;1.5;3;4.5},{"Despreciable";"Bajo";"Medio";"Alto";"Muy alto"}),"")</f>
        <v/>
      </c>
      <c r="V1049" s="13">
        <f>IFERROR(INDEX(MgAmenFrec,MATCH(SUBSTITUTE($H1049,"*","-"),MgAmenClave,0)),"")</f>
        <v/>
      </c>
      <c r="W1049" s="28">
        <f>IFERROR(LOOKUP(X1049,{0;0.01;0.1;1;10;100},{"Muy baja";"Muy baja";"Baja";"Media";"Alta";"Muy alta"}),"")</f>
        <v/>
      </c>
      <c r="X1049" s="31">
        <f>IFERROR(VLOOKUP(V1049,MgFrec,2,0),0)</f>
        <v/>
      </c>
      <c r="Y1049" s="30">
        <f>T1049*X1049</f>
        <v/>
      </c>
      <c r="Z1049" s="28">
        <f>IFERROR(LOOKUP(Y1049,{0;0.5;5;25},{"Bajo";"Medio";"Alto";"Crítico"}),"")</f>
        <v/>
      </c>
      <c r="AA1049" s="64">
        <f>IF(T1049&gt;=3,IF(X1049&gt;=1,"Zona 1 — Crítica: impacto alto y ocurre al menos una vez al año","Zona 4 — Catastrófica poco probable: impacto alto pero excepcional"),IF(AND(T1049&lt;1.5,X1049&lt;1),"Zona 3 — Asumible: impacto bajo y muy poco frecuente","Zona 2 — Atención: riesgo intermedio"))</f>
        <v/>
      </c>
      <c r="AB1049" s="64">
        <f>IFERROR(INDEX(MgAmenCtrl,MATCH(SUBSTITUTE($H1049,"*","-"),MgAmenClave,0)),"")</f>
        <v/>
      </c>
      <c r="AC1049" s="20" t="n"/>
      <c r="AD1049" s="31">
        <f>IFERROR($X1049*(1-IF($AC1049="",$AL1049,VLOOKUP($AC1049,MgMad,2,0))),"")</f>
        <v/>
      </c>
      <c r="AE1049" s="28">
        <f>IFERROR(LOOKUP(AD1049,{0;0.01;0.1;1;10;100},{"Muy baja";"Muy baja";"Baja";"Media";"Alta";"Muy alta"}),"")</f>
        <v/>
      </c>
      <c r="AF1049" s="30">
        <f>T1049*AD1049</f>
        <v/>
      </c>
      <c r="AG1049" s="28">
        <f>IFERROR(LOOKUP(AF1049,{0;0.5;5;25},{"Bajo";"Medio";"Alto";"Crítico"}),"")</f>
        <v/>
      </c>
      <c r="AH1049" s="28">
        <f>IF(AG1049="","",IF(OR(AG1049="Crítico",AG1049="Alto"),"Mitigar",IF(AG1049="Medio","Mitigar","Aceptar y monitorear")))</f>
        <v/>
      </c>
      <c r="AI1049" s="21" t="n"/>
      <c r="AJ1049" s="21" t="n"/>
      <c r="AK1049" s="20" t="n"/>
      <c r="AL1049" s="77">
        <f>IFERROR(INDEX(MgAmenEfic,MATCH(SUBSTITUTE($H1049,"*","-"),MgAmenClave,0)),0)</f>
        <v/>
      </c>
    </row>
    <row r="1050" hidden="1" ht="75" customHeight="1" s="54">
      <c r="B1050" s="59" t="inlineStr">
        <is>
          <t>R-1045</t>
        </is>
      </c>
      <c r="C1050" s="59" t="inlineStr">
        <is>
          <t>GH-020</t>
        </is>
      </c>
      <c r="D1050" s="64">
        <f>IFERROR(INDEX(MgNombre,MATCH($C1050,MgActId,0)),"")</f>
        <v/>
      </c>
      <c r="E1050" s="64">
        <f>IFERROR(INDEX(MgProceso,MATCH($C1050,MgActId,0)),"")</f>
        <v/>
      </c>
      <c r="F1050" s="64">
        <f>IFERROR(INDEX(MgTipo,MATCH($C1050,MgActId,0)),"")</f>
        <v/>
      </c>
      <c r="G1050" s="64">
        <f>IFERROR(INDEX(MgSubtipo,MATCH($C1050,MgActId,0)),"")</f>
        <v/>
      </c>
      <c r="H1050" s="59" t="inlineStr">
        <is>
          <t>E.3</t>
        </is>
      </c>
      <c r="I1050" s="64">
        <f>IFERROR(INDEX(MgAmenNombre,MATCH(SUBSTITUTE($H1050,"*","-"),MgAmenClave,0)),"")</f>
        <v/>
      </c>
      <c r="J1050" s="28">
        <f>IFERROR(INDEX(MgAmenGrupo,MATCH(SUBSTITUTE($H1050,"*","-"),MgAmenClave,0)),"")</f>
        <v/>
      </c>
      <c r="K1050" s="64">
        <f>IFERROR(INDEX('1. Matriz de Activos'!$Q$6:$Q$239,MATCH($C1050,MgActId,0)),"")</f>
        <v/>
      </c>
      <c r="L1050" s="64">
        <f>IFERROR(INDEX('1. Matriz de Activos'!$R$6:$R$239,MATCH($C1050,MgActId,0)),"")</f>
        <v/>
      </c>
      <c r="M1050" s="64">
        <f>IFERROR(INDEX('1. Matriz de Activos'!$S$6:$S$239,MATCH($C1050,MgActId,0)),"")</f>
        <v/>
      </c>
      <c r="N1050" s="28">
        <f>IFERROR(INDEX(MgAmenDegD,MATCH(SUBSTITUTE($H1050,"*","-"),MgAmenClave,0)),"No aplica")</f>
        <v/>
      </c>
      <c r="O1050" s="28">
        <f>IFERROR(INDEX(MgAmenDegI,MATCH(SUBSTITUTE($H1050,"*","-"),MgAmenClave,0)),"No aplica")</f>
        <v/>
      </c>
      <c r="P1050" s="28">
        <f>IFERROR(INDEX(MgAmenDegC,MATCH(SUBSTITUTE($H1050,"*","-"),MgAmenClave,0)),"No aplica")</f>
        <v/>
      </c>
      <c r="Q1050" s="29">
        <f>IFERROR(VLOOKUP(K1050,MgValor,2,0)*VLOOKUP(N1050,MgDeg,2,0),0)</f>
        <v/>
      </c>
      <c r="R1050" s="29">
        <f>IFERROR(VLOOKUP(L1050,MgValor,2,0)*VLOOKUP(O1050,MgDeg,2,0),0)</f>
        <v/>
      </c>
      <c r="S1050" s="29">
        <f>IFERROR(VLOOKUP(M1050,MgValor,2,0)*VLOOKUP(P1050,MgDeg,2,0),0)</f>
        <v/>
      </c>
      <c r="T1050" s="30">
        <f>MAX(Q1050:S1050)</f>
        <v/>
      </c>
      <c r="U1050" s="28">
        <f>IFERROR(LOOKUP(T1050,{0;0.5;1.5;3;4.5},{"Despreciable";"Bajo";"Medio";"Alto";"Muy alto"}),"")</f>
        <v/>
      </c>
      <c r="V1050" s="13">
        <f>IFERROR(INDEX(MgAmenFrec,MATCH(SUBSTITUTE($H1050,"*","-"),MgAmenClave,0)),"")</f>
        <v/>
      </c>
      <c r="W1050" s="28">
        <f>IFERROR(LOOKUP(X1050,{0;0.01;0.1;1;10;100},{"Muy baja";"Muy baja";"Baja";"Media";"Alta";"Muy alta"}),"")</f>
        <v/>
      </c>
      <c r="X1050" s="31">
        <f>IFERROR(VLOOKUP(V1050,MgFrec,2,0),0)</f>
        <v/>
      </c>
      <c r="Y1050" s="30">
        <f>T1050*X1050</f>
        <v/>
      </c>
      <c r="Z1050" s="28">
        <f>IFERROR(LOOKUP(Y1050,{0;0.5;5;25},{"Bajo";"Medio";"Alto";"Crítico"}),"")</f>
        <v/>
      </c>
      <c r="AA1050" s="64">
        <f>IF(T1050&gt;=3,IF(X1050&gt;=1,"Zona 1 — Crítica: impacto alto y ocurre al menos una vez al año","Zona 4 — Catastrófica poco probable: impacto alto pero excepcional"),IF(AND(T1050&lt;1.5,X1050&lt;1),"Zona 3 — Asumible: impacto bajo y muy poco frecuente","Zona 2 — Atención: riesgo intermedio"))</f>
        <v/>
      </c>
      <c r="AB1050" s="64">
        <f>IFERROR(INDEX(MgAmenCtrl,MATCH(SUBSTITUTE($H1050,"*","-"),MgAmenClave,0)),"")</f>
        <v/>
      </c>
      <c r="AC1050" s="20" t="n"/>
      <c r="AD1050" s="31">
        <f>IFERROR($X1050*(1-IF($AC1050="",$AL1050,VLOOKUP($AC1050,MgMad,2,0))),"")</f>
        <v/>
      </c>
      <c r="AE1050" s="28">
        <f>IFERROR(LOOKUP(AD1050,{0;0.01;0.1;1;10;100},{"Muy baja";"Muy baja";"Baja";"Media";"Alta";"Muy alta"}),"")</f>
        <v/>
      </c>
      <c r="AF1050" s="30">
        <f>T1050*AD1050</f>
        <v/>
      </c>
      <c r="AG1050" s="28">
        <f>IFERROR(LOOKUP(AF1050,{0;0.5;5;25},{"Bajo";"Medio";"Alto";"Crítico"}),"")</f>
        <v/>
      </c>
      <c r="AH1050" s="28">
        <f>IF(AG1050="","",IF(OR(AG1050="Crítico",AG1050="Alto"),"Mitigar",IF(AG1050="Medio","Mitigar","Aceptar y monitorear")))</f>
        <v/>
      </c>
      <c r="AI1050" s="21" t="n"/>
      <c r="AJ1050" s="21" t="n"/>
      <c r="AK1050" s="20" t="n"/>
      <c r="AL1050" s="77">
        <f>IFERROR(INDEX(MgAmenEfic,MATCH(SUBSTITUTE($H1050,"*","-"),MgAmenClave,0)),0)</f>
        <v/>
      </c>
    </row>
    <row r="1051" hidden="1" ht="75" customHeight="1" s="54">
      <c r="B1051" s="59" t="inlineStr">
        <is>
          <t>R-1046</t>
        </is>
      </c>
      <c r="C1051" s="59" t="inlineStr">
        <is>
          <t>GH-020</t>
        </is>
      </c>
      <c r="D1051" s="64">
        <f>IFERROR(INDEX(MgNombre,MATCH($C1051,MgActId,0)),"")</f>
        <v/>
      </c>
      <c r="E1051" s="64">
        <f>IFERROR(INDEX(MgProceso,MATCH($C1051,MgActId,0)),"")</f>
        <v/>
      </c>
      <c r="F1051" s="64">
        <f>IFERROR(INDEX(MgTipo,MATCH($C1051,MgActId,0)),"")</f>
        <v/>
      </c>
      <c r="G1051" s="64">
        <f>IFERROR(INDEX(MgSubtipo,MATCH($C1051,MgActId,0)),"")</f>
        <v/>
      </c>
      <c r="H1051" s="59" t="inlineStr">
        <is>
          <t>E.4</t>
        </is>
      </c>
      <c r="I1051" s="64">
        <f>IFERROR(INDEX(MgAmenNombre,MATCH(SUBSTITUTE($H1051,"*","-"),MgAmenClave,0)),"")</f>
        <v/>
      </c>
      <c r="J1051" s="28">
        <f>IFERROR(INDEX(MgAmenGrupo,MATCH(SUBSTITUTE($H1051,"*","-"),MgAmenClave,0)),"")</f>
        <v/>
      </c>
      <c r="K1051" s="64">
        <f>IFERROR(INDEX('1. Matriz de Activos'!$Q$6:$Q$239,MATCH($C1051,MgActId,0)),"")</f>
        <v/>
      </c>
      <c r="L1051" s="64">
        <f>IFERROR(INDEX('1. Matriz de Activos'!$R$6:$R$239,MATCH($C1051,MgActId,0)),"")</f>
        <v/>
      </c>
      <c r="M1051" s="64">
        <f>IFERROR(INDEX('1. Matriz de Activos'!$S$6:$S$239,MATCH($C1051,MgActId,0)),"")</f>
        <v/>
      </c>
      <c r="N1051" s="28">
        <f>IFERROR(INDEX(MgAmenDegD,MATCH(SUBSTITUTE($H1051,"*","-"),MgAmenClave,0)),"No aplica")</f>
        <v/>
      </c>
      <c r="O1051" s="28">
        <f>IFERROR(INDEX(MgAmenDegI,MATCH(SUBSTITUTE($H1051,"*","-"),MgAmenClave,0)),"No aplica")</f>
        <v/>
      </c>
      <c r="P1051" s="28">
        <f>IFERROR(INDEX(MgAmenDegC,MATCH(SUBSTITUTE($H1051,"*","-"),MgAmenClave,0)),"No aplica")</f>
        <v/>
      </c>
      <c r="Q1051" s="29">
        <f>IFERROR(VLOOKUP(K1051,MgValor,2,0)*VLOOKUP(N1051,MgDeg,2,0),0)</f>
        <v/>
      </c>
      <c r="R1051" s="29">
        <f>IFERROR(VLOOKUP(L1051,MgValor,2,0)*VLOOKUP(O1051,MgDeg,2,0),0)</f>
        <v/>
      </c>
      <c r="S1051" s="29">
        <f>IFERROR(VLOOKUP(M1051,MgValor,2,0)*VLOOKUP(P1051,MgDeg,2,0),0)</f>
        <v/>
      </c>
      <c r="T1051" s="30">
        <f>MAX(Q1051:S1051)</f>
        <v/>
      </c>
      <c r="U1051" s="28">
        <f>IFERROR(LOOKUP(T1051,{0;0.5;1.5;3;4.5},{"Despreciable";"Bajo";"Medio";"Alto";"Muy alto"}),"")</f>
        <v/>
      </c>
      <c r="V1051" s="13">
        <f>IFERROR(INDEX(MgAmenFrec,MATCH(SUBSTITUTE($H1051,"*","-"),MgAmenClave,0)),"")</f>
        <v/>
      </c>
      <c r="W1051" s="28">
        <f>IFERROR(LOOKUP(X1051,{0;0.01;0.1;1;10;100},{"Muy baja";"Muy baja";"Baja";"Media";"Alta";"Muy alta"}),"")</f>
        <v/>
      </c>
      <c r="X1051" s="31">
        <f>IFERROR(VLOOKUP(V1051,MgFrec,2,0),0)</f>
        <v/>
      </c>
      <c r="Y1051" s="30">
        <f>T1051*X1051</f>
        <v/>
      </c>
      <c r="Z1051" s="28">
        <f>IFERROR(LOOKUP(Y1051,{0;0.5;5;25},{"Bajo";"Medio";"Alto";"Crítico"}),"")</f>
        <v/>
      </c>
      <c r="AA1051" s="64">
        <f>IF(T1051&gt;=3,IF(X1051&gt;=1,"Zona 1 — Crítica: impacto alto y ocurre al menos una vez al año","Zona 4 — Catastrófica poco probable: impacto alto pero excepcional"),IF(AND(T1051&lt;1.5,X1051&lt;1),"Zona 3 — Asumible: impacto bajo y muy poco frecuente","Zona 2 — Atención: riesgo intermedio"))</f>
        <v/>
      </c>
      <c r="AB1051" s="64">
        <f>IFERROR(INDEX(MgAmenCtrl,MATCH(SUBSTITUTE($H1051,"*","-"),MgAmenClave,0)),"")</f>
        <v/>
      </c>
      <c r="AC1051" s="20" t="n"/>
      <c r="AD1051" s="31">
        <f>IFERROR($X1051*(1-IF($AC1051="",$AL1051,VLOOKUP($AC1051,MgMad,2,0))),"")</f>
        <v/>
      </c>
      <c r="AE1051" s="28">
        <f>IFERROR(LOOKUP(AD1051,{0;0.01;0.1;1;10;100},{"Muy baja";"Muy baja";"Baja";"Media";"Alta";"Muy alta"}),"")</f>
        <v/>
      </c>
      <c r="AF1051" s="30">
        <f>T1051*AD1051</f>
        <v/>
      </c>
      <c r="AG1051" s="28">
        <f>IFERROR(LOOKUP(AF1051,{0;0.5;5;25},{"Bajo";"Medio";"Alto";"Crítico"}),"")</f>
        <v/>
      </c>
      <c r="AH1051" s="28">
        <f>IF(AG1051="","",IF(OR(AG1051="Crítico",AG1051="Alto"),"Mitigar",IF(AG1051="Medio","Mitigar","Aceptar y monitorear")))</f>
        <v/>
      </c>
      <c r="AI1051" s="21" t="n"/>
      <c r="AJ1051" s="21" t="n"/>
      <c r="AK1051" s="20" t="n"/>
      <c r="AL1051" s="77">
        <f>IFERROR(INDEX(MgAmenEfic,MATCH(SUBSTITUTE($H1051,"*","-"),MgAmenClave,0)),0)</f>
        <v/>
      </c>
    </row>
    <row r="1052" hidden="1" ht="90" customHeight="1" s="54">
      <c r="B1052" s="59" t="inlineStr">
        <is>
          <t>R-1047</t>
        </is>
      </c>
      <c r="C1052" s="59" t="inlineStr">
        <is>
          <t>GH-020</t>
        </is>
      </c>
      <c r="D1052" s="64">
        <f>IFERROR(INDEX(MgNombre,MATCH($C1052,MgActId,0)),"")</f>
        <v/>
      </c>
      <c r="E1052" s="64">
        <f>IFERROR(INDEX(MgProceso,MATCH($C1052,MgActId,0)),"")</f>
        <v/>
      </c>
      <c r="F1052" s="64">
        <f>IFERROR(INDEX(MgTipo,MATCH($C1052,MgActId,0)),"")</f>
        <v/>
      </c>
      <c r="G1052" s="64">
        <f>IFERROR(INDEX(MgSubtipo,MATCH($C1052,MgActId,0)),"")</f>
        <v/>
      </c>
      <c r="H1052" s="59" t="inlineStr">
        <is>
          <t>E.14</t>
        </is>
      </c>
      <c r="I1052" s="64">
        <f>IFERROR(INDEX(MgAmenNombre,MATCH(SUBSTITUTE($H1052,"*","-"),MgAmenClave,0)),"")</f>
        <v/>
      </c>
      <c r="J1052" s="28">
        <f>IFERROR(INDEX(MgAmenGrupo,MATCH(SUBSTITUTE($H1052,"*","-"),MgAmenClave,0)),"")</f>
        <v/>
      </c>
      <c r="K1052" s="64">
        <f>IFERROR(INDEX('1. Matriz de Activos'!$Q$6:$Q$239,MATCH($C1052,MgActId,0)),"")</f>
        <v/>
      </c>
      <c r="L1052" s="64">
        <f>IFERROR(INDEX('1. Matriz de Activos'!$R$6:$R$239,MATCH($C1052,MgActId,0)),"")</f>
        <v/>
      </c>
      <c r="M1052" s="64">
        <f>IFERROR(INDEX('1. Matriz de Activos'!$S$6:$S$239,MATCH($C1052,MgActId,0)),"")</f>
        <v/>
      </c>
      <c r="N1052" s="28">
        <f>IFERROR(INDEX(MgAmenDegD,MATCH(SUBSTITUTE($H1052,"*","-"),MgAmenClave,0)),"No aplica")</f>
        <v/>
      </c>
      <c r="O1052" s="28">
        <f>IFERROR(INDEX(MgAmenDegI,MATCH(SUBSTITUTE($H1052,"*","-"),MgAmenClave,0)),"No aplica")</f>
        <v/>
      </c>
      <c r="P1052" s="28">
        <f>IFERROR(INDEX(MgAmenDegC,MATCH(SUBSTITUTE($H1052,"*","-"),MgAmenClave,0)),"No aplica")</f>
        <v/>
      </c>
      <c r="Q1052" s="29">
        <f>IFERROR(VLOOKUP(K1052,MgValor,2,0)*VLOOKUP(N1052,MgDeg,2,0),0)</f>
        <v/>
      </c>
      <c r="R1052" s="29">
        <f>IFERROR(VLOOKUP(L1052,MgValor,2,0)*VLOOKUP(O1052,MgDeg,2,0),0)</f>
        <v/>
      </c>
      <c r="S1052" s="29">
        <f>IFERROR(VLOOKUP(M1052,MgValor,2,0)*VLOOKUP(P1052,MgDeg,2,0),0)</f>
        <v/>
      </c>
      <c r="T1052" s="30">
        <f>MAX(Q1052:S1052)</f>
        <v/>
      </c>
      <c r="U1052" s="28">
        <f>IFERROR(LOOKUP(T1052,{0;0.5;1.5;3;4.5},{"Despreciable";"Bajo";"Medio";"Alto";"Muy alto"}),"")</f>
        <v/>
      </c>
      <c r="V1052" s="13">
        <f>IFERROR(INDEX(MgAmenFrec,MATCH(SUBSTITUTE($H1052,"*","-"),MgAmenClave,0)),"")</f>
        <v/>
      </c>
      <c r="W1052" s="28">
        <f>IFERROR(LOOKUP(X1052,{0;0.01;0.1;1;10;100},{"Muy baja";"Muy baja";"Baja";"Media";"Alta";"Muy alta"}),"")</f>
        <v/>
      </c>
      <c r="X1052" s="31">
        <f>IFERROR(VLOOKUP(V1052,MgFrec,2,0),0)</f>
        <v/>
      </c>
      <c r="Y1052" s="30">
        <f>T1052*X1052</f>
        <v/>
      </c>
      <c r="Z1052" s="28">
        <f>IFERROR(LOOKUP(Y1052,{0;0.5;5;25},{"Bajo";"Medio";"Alto";"Crítico"}),"")</f>
        <v/>
      </c>
      <c r="AA1052" s="64">
        <f>IF(T1052&gt;=3,IF(X1052&gt;=1,"Zona 1 — Crítica: impacto alto y ocurre al menos una vez al año","Zona 4 — Catastrófica poco probable: impacto alto pero excepcional"),IF(AND(T1052&lt;1.5,X1052&lt;1),"Zona 3 — Asumible: impacto bajo y muy poco frecuente","Zona 2 — Atención: riesgo intermedio"))</f>
        <v/>
      </c>
      <c r="AB1052" s="64">
        <f>IFERROR(INDEX(MgAmenCtrl,MATCH(SUBSTITUTE($H1052,"*","-"),MgAmenClave,0)),"")</f>
        <v/>
      </c>
      <c r="AC1052" s="20" t="n"/>
      <c r="AD1052" s="31">
        <f>IFERROR($X1052*(1-IF($AC1052="",$AL1052,VLOOKUP($AC1052,MgMad,2,0))),"")</f>
        <v/>
      </c>
      <c r="AE1052" s="28">
        <f>IFERROR(LOOKUP(AD1052,{0;0.01;0.1;1;10;100},{"Muy baja";"Muy baja";"Baja";"Media";"Alta";"Muy alta"}),"")</f>
        <v/>
      </c>
      <c r="AF1052" s="30">
        <f>T1052*AD1052</f>
        <v/>
      </c>
      <c r="AG1052" s="28">
        <f>IFERROR(LOOKUP(AF1052,{0;0.5;5;25},{"Bajo";"Medio";"Alto";"Crítico"}),"")</f>
        <v/>
      </c>
      <c r="AH1052" s="28">
        <f>IF(AG1052="","",IF(OR(AG1052="Crítico",AG1052="Alto"),"Mitigar",IF(AG1052="Medio","Mitigar","Aceptar y monitorear")))</f>
        <v/>
      </c>
      <c r="AI1052" s="21" t="n"/>
      <c r="AJ1052" s="21" t="n"/>
      <c r="AK1052" s="20" t="n"/>
      <c r="AL1052" s="77">
        <f>IFERROR(INDEX(MgAmenEfic,MATCH(SUBSTITUTE($H1052,"*","-"),MgAmenClave,0)),0)</f>
        <v/>
      </c>
    </row>
    <row r="1053" hidden="1" ht="90" customHeight="1" s="54">
      <c r="B1053" s="59" t="inlineStr">
        <is>
          <t>R-1048</t>
        </is>
      </c>
      <c r="C1053" s="59" t="inlineStr">
        <is>
          <t>GH-020</t>
        </is>
      </c>
      <c r="D1053" s="64">
        <f>IFERROR(INDEX(MgNombre,MATCH($C1053,MgActId,0)),"")</f>
        <v/>
      </c>
      <c r="E1053" s="64">
        <f>IFERROR(INDEX(MgProceso,MATCH($C1053,MgActId,0)),"")</f>
        <v/>
      </c>
      <c r="F1053" s="64">
        <f>IFERROR(INDEX(MgTipo,MATCH($C1053,MgActId,0)),"")</f>
        <v/>
      </c>
      <c r="G1053" s="64">
        <f>IFERROR(INDEX(MgSubtipo,MATCH($C1053,MgActId,0)),"")</f>
        <v/>
      </c>
      <c r="H1053" s="59" t="inlineStr">
        <is>
          <t>E.15</t>
        </is>
      </c>
      <c r="I1053" s="64">
        <f>IFERROR(INDEX(MgAmenNombre,MATCH(SUBSTITUTE($H1053,"*","-"),MgAmenClave,0)),"")</f>
        <v/>
      </c>
      <c r="J1053" s="28">
        <f>IFERROR(INDEX(MgAmenGrupo,MATCH(SUBSTITUTE($H1053,"*","-"),MgAmenClave,0)),"")</f>
        <v/>
      </c>
      <c r="K1053" s="64">
        <f>IFERROR(INDEX('1. Matriz de Activos'!$Q$6:$Q$239,MATCH($C1053,MgActId,0)),"")</f>
        <v/>
      </c>
      <c r="L1053" s="64">
        <f>IFERROR(INDEX('1. Matriz de Activos'!$R$6:$R$239,MATCH($C1053,MgActId,0)),"")</f>
        <v/>
      </c>
      <c r="M1053" s="64">
        <f>IFERROR(INDEX('1. Matriz de Activos'!$S$6:$S$239,MATCH($C1053,MgActId,0)),"")</f>
        <v/>
      </c>
      <c r="N1053" s="28">
        <f>IFERROR(INDEX(MgAmenDegD,MATCH(SUBSTITUTE($H1053,"*","-"),MgAmenClave,0)),"No aplica")</f>
        <v/>
      </c>
      <c r="O1053" s="28">
        <f>IFERROR(INDEX(MgAmenDegI,MATCH(SUBSTITUTE($H1053,"*","-"),MgAmenClave,0)),"No aplica")</f>
        <v/>
      </c>
      <c r="P1053" s="28">
        <f>IFERROR(INDEX(MgAmenDegC,MATCH(SUBSTITUTE($H1053,"*","-"),MgAmenClave,0)),"No aplica")</f>
        <v/>
      </c>
      <c r="Q1053" s="29">
        <f>IFERROR(VLOOKUP(K1053,MgValor,2,0)*VLOOKUP(N1053,MgDeg,2,0),0)</f>
        <v/>
      </c>
      <c r="R1053" s="29">
        <f>IFERROR(VLOOKUP(L1053,MgValor,2,0)*VLOOKUP(O1053,MgDeg,2,0),0)</f>
        <v/>
      </c>
      <c r="S1053" s="29">
        <f>IFERROR(VLOOKUP(M1053,MgValor,2,0)*VLOOKUP(P1053,MgDeg,2,0),0)</f>
        <v/>
      </c>
      <c r="T1053" s="30">
        <f>MAX(Q1053:S1053)</f>
        <v/>
      </c>
      <c r="U1053" s="28">
        <f>IFERROR(LOOKUP(T1053,{0;0.5;1.5;3;4.5},{"Despreciable";"Bajo";"Medio";"Alto";"Muy alto"}),"")</f>
        <v/>
      </c>
      <c r="V1053" s="13">
        <f>IFERROR(INDEX(MgAmenFrec,MATCH(SUBSTITUTE($H1053,"*","-"),MgAmenClave,0)),"")</f>
        <v/>
      </c>
      <c r="W1053" s="28">
        <f>IFERROR(LOOKUP(X1053,{0;0.01;0.1;1;10;100},{"Muy baja";"Muy baja";"Baja";"Media";"Alta";"Muy alta"}),"")</f>
        <v/>
      </c>
      <c r="X1053" s="31">
        <f>IFERROR(VLOOKUP(V1053,MgFrec,2,0),0)</f>
        <v/>
      </c>
      <c r="Y1053" s="30">
        <f>T1053*X1053</f>
        <v/>
      </c>
      <c r="Z1053" s="28">
        <f>IFERROR(LOOKUP(Y1053,{0;0.5;5;25},{"Bajo";"Medio";"Alto";"Crítico"}),"")</f>
        <v/>
      </c>
      <c r="AA1053" s="64">
        <f>IF(T1053&gt;=3,IF(X1053&gt;=1,"Zona 1 — Crítica: impacto alto y ocurre al menos una vez al año","Zona 4 — Catastrófica poco probable: impacto alto pero excepcional"),IF(AND(T1053&lt;1.5,X1053&lt;1),"Zona 3 — Asumible: impacto bajo y muy poco frecuente","Zona 2 — Atención: riesgo intermedio"))</f>
        <v/>
      </c>
      <c r="AB1053" s="64">
        <f>IFERROR(INDEX(MgAmenCtrl,MATCH(SUBSTITUTE($H1053,"*","-"),MgAmenClave,0)),"")</f>
        <v/>
      </c>
      <c r="AC1053" s="20" t="n"/>
      <c r="AD1053" s="31">
        <f>IFERROR($X1053*(1-IF($AC1053="",$AL1053,VLOOKUP($AC1053,MgMad,2,0))),"")</f>
        <v/>
      </c>
      <c r="AE1053" s="28">
        <f>IFERROR(LOOKUP(AD1053,{0;0.01;0.1;1;10;100},{"Muy baja";"Muy baja";"Baja";"Media";"Alta";"Muy alta"}),"")</f>
        <v/>
      </c>
      <c r="AF1053" s="30">
        <f>T1053*AD1053</f>
        <v/>
      </c>
      <c r="AG1053" s="28">
        <f>IFERROR(LOOKUP(AF1053,{0;0.5;5;25},{"Bajo";"Medio";"Alto";"Crítico"}),"")</f>
        <v/>
      </c>
      <c r="AH1053" s="28">
        <f>IF(AG1053="","",IF(OR(AG1053="Crítico",AG1053="Alto"),"Mitigar",IF(AG1053="Medio","Mitigar","Aceptar y monitorear")))</f>
        <v/>
      </c>
      <c r="AI1053" s="21" t="n"/>
      <c r="AJ1053" s="21" t="n"/>
      <c r="AK1053" s="20" t="n"/>
      <c r="AL1053" s="77">
        <f>IFERROR(INDEX(MgAmenEfic,MATCH(SUBSTITUTE($H1053,"*","-"),MgAmenClave,0)),0)</f>
        <v/>
      </c>
    </row>
    <row r="1054" hidden="1" ht="60" customHeight="1" s="54">
      <c r="B1054" s="59" t="inlineStr">
        <is>
          <t>R-1049</t>
        </is>
      </c>
      <c r="C1054" s="59" t="inlineStr">
        <is>
          <t>GH-020</t>
        </is>
      </c>
      <c r="D1054" s="64">
        <f>IFERROR(INDEX(MgNombre,MATCH($C1054,MgActId,0)),"")</f>
        <v/>
      </c>
      <c r="E1054" s="64">
        <f>IFERROR(INDEX(MgProceso,MATCH($C1054,MgActId,0)),"")</f>
        <v/>
      </c>
      <c r="F1054" s="64">
        <f>IFERROR(INDEX(MgTipo,MATCH($C1054,MgActId,0)),"")</f>
        <v/>
      </c>
      <c r="G1054" s="64">
        <f>IFERROR(INDEX(MgSubtipo,MATCH($C1054,MgActId,0)),"")</f>
        <v/>
      </c>
      <c r="H1054" s="59" t="inlineStr">
        <is>
          <t>E.18</t>
        </is>
      </c>
      <c r="I1054" s="64">
        <f>IFERROR(INDEX(MgAmenNombre,MATCH(SUBSTITUTE($H1054,"*","-"),MgAmenClave,0)),"")</f>
        <v/>
      </c>
      <c r="J1054" s="28">
        <f>IFERROR(INDEX(MgAmenGrupo,MATCH(SUBSTITUTE($H1054,"*","-"),MgAmenClave,0)),"")</f>
        <v/>
      </c>
      <c r="K1054" s="64">
        <f>IFERROR(INDEX('1. Matriz de Activos'!$Q$6:$Q$239,MATCH($C1054,MgActId,0)),"")</f>
        <v/>
      </c>
      <c r="L1054" s="64">
        <f>IFERROR(INDEX('1. Matriz de Activos'!$R$6:$R$239,MATCH($C1054,MgActId,0)),"")</f>
        <v/>
      </c>
      <c r="M1054" s="64">
        <f>IFERROR(INDEX('1. Matriz de Activos'!$S$6:$S$239,MATCH($C1054,MgActId,0)),"")</f>
        <v/>
      </c>
      <c r="N1054" s="28">
        <f>IFERROR(INDEX(MgAmenDegD,MATCH(SUBSTITUTE($H1054,"*","-"),MgAmenClave,0)),"No aplica")</f>
        <v/>
      </c>
      <c r="O1054" s="28">
        <f>IFERROR(INDEX(MgAmenDegI,MATCH(SUBSTITUTE($H1054,"*","-"),MgAmenClave,0)),"No aplica")</f>
        <v/>
      </c>
      <c r="P1054" s="28">
        <f>IFERROR(INDEX(MgAmenDegC,MATCH(SUBSTITUTE($H1054,"*","-"),MgAmenClave,0)),"No aplica")</f>
        <v/>
      </c>
      <c r="Q1054" s="29">
        <f>IFERROR(VLOOKUP(K1054,MgValor,2,0)*VLOOKUP(N1054,MgDeg,2,0),0)</f>
        <v/>
      </c>
      <c r="R1054" s="29">
        <f>IFERROR(VLOOKUP(L1054,MgValor,2,0)*VLOOKUP(O1054,MgDeg,2,0),0)</f>
        <v/>
      </c>
      <c r="S1054" s="29">
        <f>IFERROR(VLOOKUP(M1054,MgValor,2,0)*VLOOKUP(P1054,MgDeg,2,0),0)</f>
        <v/>
      </c>
      <c r="T1054" s="30">
        <f>MAX(Q1054:S1054)</f>
        <v/>
      </c>
      <c r="U1054" s="28">
        <f>IFERROR(LOOKUP(T1054,{0;0.5;1.5;3;4.5},{"Despreciable";"Bajo";"Medio";"Alto";"Muy alto"}),"")</f>
        <v/>
      </c>
      <c r="V1054" s="13">
        <f>IFERROR(INDEX(MgAmenFrec,MATCH(SUBSTITUTE($H1054,"*","-"),MgAmenClave,0)),"")</f>
        <v/>
      </c>
      <c r="W1054" s="28">
        <f>IFERROR(LOOKUP(X1054,{0;0.01;0.1;1;10;100},{"Muy baja";"Muy baja";"Baja";"Media";"Alta";"Muy alta"}),"")</f>
        <v/>
      </c>
      <c r="X1054" s="31">
        <f>IFERROR(VLOOKUP(V1054,MgFrec,2,0),0)</f>
        <v/>
      </c>
      <c r="Y1054" s="30">
        <f>T1054*X1054</f>
        <v/>
      </c>
      <c r="Z1054" s="28">
        <f>IFERROR(LOOKUP(Y1054,{0;0.5;5;25},{"Bajo";"Medio";"Alto";"Crítico"}),"")</f>
        <v/>
      </c>
      <c r="AA1054" s="64">
        <f>IF(T1054&gt;=3,IF(X1054&gt;=1,"Zona 1 — Crítica: impacto alto y ocurre al menos una vez al año","Zona 4 — Catastrófica poco probable: impacto alto pero excepcional"),IF(AND(T1054&lt;1.5,X1054&lt;1),"Zona 3 — Asumible: impacto bajo y muy poco frecuente","Zona 2 — Atención: riesgo intermedio"))</f>
        <v/>
      </c>
      <c r="AB1054" s="64">
        <f>IFERROR(INDEX(MgAmenCtrl,MATCH(SUBSTITUTE($H1054,"*","-"),MgAmenClave,0)),"")</f>
        <v/>
      </c>
      <c r="AC1054" s="20" t="n"/>
      <c r="AD1054" s="31">
        <f>IFERROR($X1054*(1-IF($AC1054="",$AL1054,VLOOKUP($AC1054,MgMad,2,0))),"")</f>
        <v/>
      </c>
      <c r="AE1054" s="28">
        <f>IFERROR(LOOKUP(AD1054,{0;0.01;0.1;1;10;100},{"Muy baja";"Muy baja";"Baja";"Media";"Alta";"Muy alta"}),"")</f>
        <v/>
      </c>
      <c r="AF1054" s="30">
        <f>T1054*AD1054</f>
        <v/>
      </c>
      <c r="AG1054" s="28">
        <f>IFERROR(LOOKUP(AF1054,{0;0.5;5;25},{"Bajo";"Medio";"Alto";"Crítico"}),"")</f>
        <v/>
      </c>
      <c r="AH1054" s="28">
        <f>IF(AG1054="","",IF(OR(AG1054="Crítico",AG1054="Alto"),"Mitigar",IF(AG1054="Medio","Mitigar","Aceptar y monitorear")))</f>
        <v/>
      </c>
      <c r="AI1054" s="21" t="n"/>
      <c r="AJ1054" s="21" t="n"/>
      <c r="AK1054" s="20" t="n"/>
      <c r="AL1054" s="77">
        <f>IFERROR(INDEX(MgAmenEfic,MATCH(SUBSTITUTE($H1054,"*","-"),MgAmenClave,0)),0)</f>
        <v/>
      </c>
    </row>
    <row r="1055" hidden="1" ht="105" customHeight="1" s="54">
      <c r="B1055" s="59" t="inlineStr">
        <is>
          <t>R-1050</t>
        </is>
      </c>
      <c r="C1055" s="59" t="inlineStr">
        <is>
          <t>GH-020</t>
        </is>
      </c>
      <c r="D1055" s="64">
        <f>IFERROR(INDEX(MgNombre,MATCH($C1055,MgActId,0)),"")</f>
        <v/>
      </c>
      <c r="E1055" s="64">
        <f>IFERROR(INDEX(MgProceso,MATCH($C1055,MgActId,0)),"")</f>
        <v/>
      </c>
      <c r="F1055" s="64">
        <f>IFERROR(INDEX(MgTipo,MATCH($C1055,MgActId,0)),"")</f>
        <v/>
      </c>
      <c r="G1055" s="64">
        <f>IFERROR(INDEX(MgSubtipo,MATCH($C1055,MgActId,0)),"")</f>
        <v/>
      </c>
      <c r="H1055" s="59" t="inlineStr">
        <is>
          <t>E.19</t>
        </is>
      </c>
      <c r="I1055" s="64">
        <f>IFERROR(INDEX(MgAmenNombre,MATCH(SUBSTITUTE($H1055,"*","-"),MgAmenClave,0)),"")</f>
        <v/>
      </c>
      <c r="J1055" s="28">
        <f>IFERROR(INDEX(MgAmenGrupo,MATCH(SUBSTITUTE($H1055,"*","-"),MgAmenClave,0)),"")</f>
        <v/>
      </c>
      <c r="K1055" s="64">
        <f>IFERROR(INDEX('1. Matriz de Activos'!$Q$6:$Q$239,MATCH($C1055,MgActId,0)),"")</f>
        <v/>
      </c>
      <c r="L1055" s="64">
        <f>IFERROR(INDEX('1. Matriz de Activos'!$R$6:$R$239,MATCH($C1055,MgActId,0)),"")</f>
        <v/>
      </c>
      <c r="M1055" s="64">
        <f>IFERROR(INDEX('1. Matriz de Activos'!$S$6:$S$239,MATCH($C1055,MgActId,0)),"")</f>
        <v/>
      </c>
      <c r="N1055" s="28">
        <f>IFERROR(INDEX(MgAmenDegD,MATCH(SUBSTITUTE($H1055,"*","-"),MgAmenClave,0)),"No aplica")</f>
        <v/>
      </c>
      <c r="O1055" s="28">
        <f>IFERROR(INDEX(MgAmenDegI,MATCH(SUBSTITUTE($H1055,"*","-"),MgAmenClave,0)),"No aplica")</f>
        <v/>
      </c>
      <c r="P1055" s="28">
        <f>IFERROR(INDEX(MgAmenDegC,MATCH(SUBSTITUTE($H1055,"*","-"),MgAmenClave,0)),"No aplica")</f>
        <v/>
      </c>
      <c r="Q1055" s="29">
        <f>IFERROR(VLOOKUP(K1055,MgValor,2,0)*VLOOKUP(N1055,MgDeg,2,0),0)</f>
        <v/>
      </c>
      <c r="R1055" s="29">
        <f>IFERROR(VLOOKUP(L1055,MgValor,2,0)*VLOOKUP(O1055,MgDeg,2,0),0)</f>
        <v/>
      </c>
      <c r="S1055" s="29">
        <f>IFERROR(VLOOKUP(M1055,MgValor,2,0)*VLOOKUP(P1055,MgDeg,2,0),0)</f>
        <v/>
      </c>
      <c r="T1055" s="30">
        <f>MAX(Q1055:S1055)</f>
        <v/>
      </c>
      <c r="U1055" s="28">
        <f>IFERROR(LOOKUP(T1055,{0;0.5;1.5;3;4.5},{"Despreciable";"Bajo";"Medio";"Alto";"Muy alto"}),"")</f>
        <v/>
      </c>
      <c r="V1055" s="13">
        <f>IFERROR(INDEX(MgAmenFrec,MATCH(SUBSTITUTE($H1055,"*","-"),MgAmenClave,0)),"")</f>
        <v/>
      </c>
      <c r="W1055" s="28">
        <f>IFERROR(LOOKUP(X1055,{0;0.01;0.1;1;10;100},{"Muy baja";"Muy baja";"Baja";"Media";"Alta";"Muy alta"}),"")</f>
        <v/>
      </c>
      <c r="X1055" s="31">
        <f>IFERROR(VLOOKUP(V1055,MgFrec,2,0),0)</f>
        <v/>
      </c>
      <c r="Y1055" s="30">
        <f>T1055*X1055</f>
        <v/>
      </c>
      <c r="Z1055" s="28">
        <f>IFERROR(LOOKUP(Y1055,{0;0.5;5;25},{"Bajo";"Medio";"Alto";"Crítico"}),"")</f>
        <v/>
      </c>
      <c r="AA1055" s="64">
        <f>IF(T1055&gt;=3,IF(X1055&gt;=1,"Zona 1 — Crítica: impacto alto y ocurre al menos una vez al año","Zona 4 — Catastrófica poco probable: impacto alto pero excepcional"),IF(AND(T1055&lt;1.5,X1055&lt;1),"Zona 3 — Asumible: impacto bajo y muy poco frecuente","Zona 2 — Atención: riesgo intermedio"))</f>
        <v/>
      </c>
      <c r="AB1055" s="64">
        <f>IFERROR(INDEX(MgAmenCtrl,MATCH(SUBSTITUTE($H1055,"*","-"),MgAmenClave,0)),"")</f>
        <v/>
      </c>
      <c r="AC1055" s="20" t="n"/>
      <c r="AD1055" s="31">
        <f>IFERROR($X1055*(1-IF($AC1055="",$AL1055,VLOOKUP($AC1055,MgMad,2,0))),"")</f>
        <v/>
      </c>
      <c r="AE1055" s="28">
        <f>IFERROR(LOOKUP(AD1055,{0;0.01;0.1;1;10;100},{"Muy baja";"Muy baja";"Baja";"Media";"Alta";"Muy alta"}),"")</f>
        <v/>
      </c>
      <c r="AF1055" s="30">
        <f>T1055*AD1055</f>
        <v/>
      </c>
      <c r="AG1055" s="28">
        <f>IFERROR(LOOKUP(AF1055,{0;0.5;5;25},{"Bajo";"Medio";"Alto";"Crítico"}),"")</f>
        <v/>
      </c>
      <c r="AH1055" s="28">
        <f>IF(AG1055="","",IF(OR(AG1055="Crítico",AG1055="Alto"),"Mitigar",IF(AG1055="Medio","Mitigar","Aceptar y monitorear")))</f>
        <v/>
      </c>
      <c r="AI1055" s="21" t="n"/>
      <c r="AJ1055" s="21" t="n"/>
      <c r="AK1055" s="20" t="n"/>
      <c r="AL1055" s="77">
        <f>IFERROR(INDEX(MgAmenEfic,MATCH(SUBSTITUTE($H1055,"*","-"),MgAmenClave,0)),0)</f>
        <v/>
      </c>
    </row>
    <row r="1056" hidden="1" ht="60" customHeight="1" s="54">
      <c r="B1056" s="59" t="inlineStr">
        <is>
          <t>R-1051</t>
        </is>
      </c>
      <c r="C1056" s="59" t="inlineStr">
        <is>
          <t>GH-020</t>
        </is>
      </c>
      <c r="D1056" s="64">
        <f>IFERROR(INDEX(MgNombre,MATCH($C1056,MgActId,0)),"")</f>
        <v/>
      </c>
      <c r="E1056" s="64">
        <f>IFERROR(INDEX(MgProceso,MATCH($C1056,MgActId,0)),"")</f>
        <v/>
      </c>
      <c r="F1056" s="64">
        <f>IFERROR(INDEX(MgTipo,MATCH($C1056,MgActId,0)),"")</f>
        <v/>
      </c>
      <c r="G1056" s="64">
        <f>IFERROR(INDEX(MgSubtipo,MATCH($C1056,MgActId,0)),"")</f>
        <v/>
      </c>
      <c r="H1056" s="59" t="inlineStr">
        <is>
          <t>A.3</t>
        </is>
      </c>
      <c r="I1056" s="64">
        <f>IFERROR(INDEX(MgAmenNombre,MATCH(SUBSTITUTE($H1056,"*","-"),MgAmenClave,0)),"")</f>
        <v/>
      </c>
      <c r="J1056" s="28">
        <f>IFERROR(INDEX(MgAmenGrupo,MATCH(SUBSTITUTE($H1056,"*","-"),MgAmenClave,0)),"")</f>
        <v/>
      </c>
      <c r="K1056" s="64">
        <f>IFERROR(INDEX('1. Matriz de Activos'!$Q$6:$Q$239,MATCH($C1056,MgActId,0)),"")</f>
        <v/>
      </c>
      <c r="L1056" s="64">
        <f>IFERROR(INDEX('1. Matriz de Activos'!$R$6:$R$239,MATCH($C1056,MgActId,0)),"")</f>
        <v/>
      </c>
      <c r="M1056" s="64">
        <f>IFERROR(INDEX('1. Matriz de Activos'!$S$6:$S$239,MATCH($C1056,MgActId,0)),"")</f>
        <v/>
      </c>
      <c r="N1056" s="28">
        <f>IFERROR(INDEX(MgAmenDegD,MATCH(SUBSTITUTE($H1056,"*","-"),MgAmenClave,0)),"No aplica")</f>
        <v/>
      </c>
      <c r="O1056" s="28">
        <f>IFERROR(INDEX(MgAmenDegI,MATCH(SUBSTITUTE($H1056,"*","-"),MgAmenClave,0)),"No aplica")</f>
        <v/>
      </c>
      <c r="P1056" s="28">
        <f>IFERROR(INDEX(MgAmenDegC,MATCH(SUBSTITUTE($H1056,"*","-"),MgAmenClave,0)),"No aplica")</f>
        <v/>
      </c>
      <c r="Q1056" s="29">
        <f>IFERROR(VLOOKUP(K1056,MgValor,2,0)*VLOOKUP(N1056,MgDeg,2,0),0)</f>
        <v/>
      </c>
      <c r="R1056" s="29">
        <f>IFERROR(VLOOKUP(L1056,MgValor,2,0)*VLOOKUP(O1056,MgDeg,2,0),0)</f>
        <v/>
      </c>
      <c r="S1056" s="29">
        <f>IFERROR(VLOOKUP(M1056,MgValor,2,0)*VLOOKUP(P1056,MgDeg,2,0),0)</f>
        <v/>
      </c>
      <c r="T1056" s="30">
        <f>MAX(Q1056:S1056)</f>
        <v/>
      </c>
      <c r="U1056" s="28">
        <f>IFERROR(LOOKUP(T1056,{0;0.5;1.5;3;4.5},{"Despreciable";"Bajo";"Medio";"Alto";"Muy alto"}),"")</f>
        <v/>
      </c>
      <c r="V1056" s="13">
        <f>IFERROR(INDEX(MgAmenFrec,MATCH(SUBSTITUTE($H1056,"*","-"),MgAmenClave,0)),"")</f>
        <v/>
      </c>
      <c r="W1056" s="28">
        <f>IFERROR(LOOKUP(X1056,{0;0.01;0.1;1;10;100},{"Muy baja";"Muy baja";"Baja";"Media";"Alta";"Muy alta"}),"")</f>
        <v/>
      </c>
      <c r="X1056" s="31">
        <f>IFERROR(VLOOKUP(V1056,MgFrec,2,0),0)</f>
        <v/>
      </c>
      <c r="Y1056" s="30">
        <f>T1056*X1056</f>
        <v/>
      </c>
      <c r="Z1056" s="28">
        <f>IFERROR(LOOKUP(Y1056,{0;0.5;5;25},{"Bajo";"Medio";"Alto";"Crítico"}),"")</f>
        <v/>
      </c>
      <c r="AA1056" s="64">
        <f>IF(T1056&gt;=3,IF(X1056&gt;=1,"Zona 1 — Crítica: impacto alto y ocurre al menos una vez al año","Zona 4 — Catastrófica poco probable: impacto alto pero excepcional"),IF(AND(T1056&lt;1.5,X1056&lt;1),"Zona 3 — Asumible: impacto bajo y muy poco frecuente","Zona 2 — Atención: riesgo intermedio"))</f>
        <v/>
      </c>
      <c r="AB1056" s="64">
        <f>IFERROR(INDEX(MgAmenCtrl,MATCH(SUBSTITUTE($H1056,"*","-"),MgAmenClave,0)),"")</f>
        <v/>
      </c>
      <c r="AC1056" s="20" t="n"/>
      <c r="AD1056" s="31">
        <f>IFERROR($X1056*(1-IF($AC1056="",$AL1056,VLOOKUP($AC1056,MgMad,2,0))),"")</f>
        <v/>
      </c>
      <c r="AE1056" s="28">
        <f>IFERROR(LOOKUP(AD1056,{0;0.01;0.1;1;10;100},{"Muy baja";"Muy baja";"Baja";"Media";"Alta";"Muy alta"}),"")</f>
        <v/>
      </c>
      <c r="AF1056" s="30">
        <f>T1056*AD1056</f>
        <v/>
      </c>
      <c r="AG1056" s="28">
        <f>IFERROR(LOOKUP(AF1056,{0;0.5;5;25},{"Bajo";"Medio";"Alto";"Crítico"}),"")</f>
        <v/>
      </c>
      <c r="AH1056" s="28">
        <f>IF(AG1056="","",IF(OR(AG1056="Crítico",AG1056="Alto"),"Mitigar",IF(AG1056="Medio","Mitigar","Aceptar y monitorear")))</f>
        <v/>
      </c>
      <c r="AI1056" s="21" t="n"/>
      <c r="AJ1056" s="21" t="n"/>
      <c r="AK1056" s="20" t="n"/>
      <c r="AL1056" s="77">
        <f>IFERROR(INDEX(MgAmenEfic,MATCH(SUBSTITUTE($H1056,"*","-"),MgAmenClave,0)),0)</f>
        <v/>
      </c>
    </row>
    <row r="1057" hidden="1" ht="60" customHeight="1" s="54">
      <c r="B1057" s="59" t="inlineStr">
        <is>
          <t>R-1052</t>
        </is>
      </c>
      <c r="C1057" s="59" t="inlineStr">
        <is>
          <t>GH-020</t>
        </is>
      </c>
      <c r="D1057" s="64">
        <f>IFERROR(INDEX(MgNombre,MATCH($C1057,MgActId,0)),"")</f>
        <v/>
      </c>
      <c r="E1057" s="64">
        <f>IFERROR(INDEX(MgProceso,MATCH($C1057,MgActId,0)),"")</f>
        <v/>
      </c>
      <c r="F1057" s="64">
        <f>IFERROR(INDEX(MgTipo,MATCH($C1057,MgActId,0)),"")</f>
        <v/>
      </c>
      <c r="G1057" s="64">
        <f>IFERROR(INDEX(MgSubtipo,MATCH($C1057,MgActId,0)),"")</f>
        <v/>
      </c>
      <c r="H1057" s="59" t="inlineStr">
        <is>
          <t>A.4</t>
        </is>
      </c>
      <c r="I1057" s="64">
        <f>IFERROR(INDEX(MgAmenNombre,MATCH(SUBSTITUTE($H1057,"*","-"),MgAmenClave,0)),"")</f>
        <v/>
      </c>
      <c r="J1057" s="28">
        <f>IFERROR(INDEX(MgAmenGrupo,MATCH(SUBSTITUTE($H1057,"*","-"),MgAmenClave,0)),"")</f>
        <v/>
      </c>
      <c r="K1057" s="64">
        <f>IFERROR(INDEX('1. Matriz de Activos'!$Q$6:$Q$239,MATCH($C1057,MgActId,0)),"")</f>
        <v/>
      </c>
      <c r="L1057" s="64">
        <f>IFERROR(INDEX('1. Matriz de Activos'!$R$6:$R$239,MATCH($C1057,MgActId,0)),"")</f>
        <v/>
      </c>
      <c r="M1057" s="64">
        <f>IFERROR(INDEX('1. Matriz de Activos'!$S$6:$S$239,MATCH($C1057,MgActId,0)),"")</f>
        <v/>
      </c>
      <c r="N1057" s="28">
        <f>IFERROR(INDEX(MgAmenDegD,MATCH(SUBSTITUTE($H1057,"*","-"),MgAmenClave,0)),"No aplica")</f>
        <v/>
      </c>
      <c r="O1057" s="28">
        <f>IFERROR(INDEX(MgAmenDegI,MATCH(SUBSTITUTE($H1057,"*","-"),MgAmenClave,0)),"No aplica")</f>
        <v/>
      </c>
      <c r="P1057" s="28">
        <f>IFERROR(INDEX(MgAmenDegC,MATCH(SUBSTITUTE($H1057,"*","-"),MgAmenClave,0)),"No aplica")</f>
        <v/>
      </c>
      <c r="Q1057" s="29">
        <f>IFERROR(VLOOKUP(K1057,MgValor,2,0)*VLOOKUP(N1057,MgDeg,2,0),0)</f>
        <v/>
      </c>
      <c r="R1057" s="29">
        <f>IFERROR(VLOOKUP(L1057,MgValor,2,0)*VLOOKUP(O1057,MgDeg,2,0),0)</f>
        <v/>
      </c>
      <c r="S1057" s="29">
        <f>IFERROR(VLOOKUP(M1057,MgValor,2,0)*VLOOKUP(P1057,MgDeg,2,0),0)</f>
        <v/>
      </c>
      <c r="T1057" s="30">
        <f>MAX(Q1057:S1057)</f>
        <v/>
      </c>
      <c r="U1057" s="28">
        <f>IFERROR(LOOKUP(T1057,{0;0.5;1.5;3;4.5},{"Despreciable";"Bajo";"Medio";"Alto";"Muy alto"}),"")</f>
        <v/>
      </c>
      <c r="V1057" s="13">
        <f>IFERROR(INDEX(MgAmenFrec,MATCH(SUBSTITUTE($H1057,"*","-"),MgAmenClave,0)),"")</f>
        <v/>
      </c>
      <c r="W1057" s="28">
        <f>IFERROR(LOOKUP(X1057,{0;0.01;0.1;1;10;100},{"Muy baja";"Muy baja";"Baja";"Media";"Alta";"Muy alta"}),"")</f>
        <v/>
      </c>
      <c r="X1057" s="31">
        <f>IFERROR(VLOOKUP(V1057,MgFrec,2,0),0)</f>
        <v/>
      </c>
      <c r="Y1057" s="30">
        <f>T1057*X1057</f>
        <v/>
      </c>
      <c r="Z1057" s="28">
        <f>IFERROR(LOOKUP(Y1057,{0;0.5;5;25},{"Bajo";"Medio";"Alto";"Crítico"}),"")</f>
        <v/>
      </c>
      <c r="AA1057" s="64">
        <f>IF(T1057&gt;=3,IF(X1057&gt;=1,"Zona 1 — Crítica: impacto alto y ocurre al menos una vez al año","Zona 4 — Catastrófica poco probable: impacto alto pero excepcional"),IF(AND(T1057&lt;1.5,X1057&lt;1),"Zona 3 — Asumible: impacto bajo y muy poco frecuente","Zona 2 — Atención: riesgo intermedio"))</f>
        <v/>
      </c>
      <c r="AB1057" s="64">
        <f>IFERROR(INDEX(MgAmenCtrl,MATCH(SUBSTITUTE($H1057,"*","-"),MgAmenClave,0)),"")</f>
        <v/>
      </c>
      <c r="AC1057" s="20" t="n"/>
      <c r="AD1057" s="31">
        <f>IFERROR($X1057*(1-IF($AC1057="",$AL1057,VLOOKUP($AC1057,MgMad,2,0))),"")</f>
        <v/>
      </c>
      <c r="AE1057" s="28">
        <f>IFERROR(LOOKUP(AD1057,{0;0.01;0.1;1;10;100},{"Muy baja";"Muy baja";"Baja";"Media";"Alta";"Muy alta"}),"")</f>
        <v/>
      </c>
      <c r="AF1057" s="30">
        <f>T1057*AD1057</f>
        <v/>
      </c>
      <c r="AG1057" s="28">
        <f>IFERROR(LOOKUP(AF1057,{0;0.5;5;25},{"Bajo";"Medio";"Alto";"Crítico"}),"")</f>
        <v/>
      </c>
      <c r="AH1057" s="28">
        <f>IF(AG1057="","",IF(OR(AG1057="Crítico",AG1057="Alto"),"Mitigar",IF(AG1057="Medio","Mitigar","Aceptar y monitorear")))</f>
        <v/>
      </c>
      <c r="AI1057" s="21" t="n"/>
      <c r="AJ1057" s="21" t="n"/>
      <c r="AK1057" s="20" t="n"/>
      <c r="AL1057" s="77">
        <f>IFERROR(INDEX(MgAmenEfic,MATCH(SUBSTITUTE($H1057,"*","-"),MgAmenClave,0)),0)</f>
        <v/>
      </c>
    </row>
    <row r="1058" hidden="1" ht="75" customHeight="1" s="54">
      <c r="B1058" s="59" t="inlineStr">
        <is>
          <t>R-1053</t>
        </is>
      </c>
      <c r="C1058" s="59" t="inlineStr">
        <is>
          <t>GH-020</t>
        </is>
      </c>
      <c r="D1058" s="64">
        <f>IFERROR(INDEX(MgNombre,MATCH($C1058,MgActId,0)),"")</f>
        <v/>
      </c>
      <c r="E1058" s="64">
        <f>IFERROR(INDEX(MgProceso,MATCH($C1058,MgActId,0)),"")</f>
        <v/>
      </c>
      <c r="F1058" s="64">
        <f>IFERROR(INDEX(MgTipo,MATCH($C1058,MgActId,0)),"")</f>
        <v/>
      </c>
      <c r="G1058" s="64">
        <f>IFERROR(INDEX(MgSubtipo,MATCH($C1058,MgActId,0)),"")</f>
        <v/>
      </c>
      <c r="H1058" s="59" t="inlineStr">
        <is>
          <t>A.5</t>
        </is>
      </c>
      <c r="I1058" s="64">
        <f>IFERROR(INDEX(MgAmenNombre,MATCH(SUBSTITUTE($H1058,"*","-"),MgAmenClave,0)),"")</f>
        <v/>
      </c>
      <c r="J1058" s="28">
        <f>IFERROR(INDEX(MgAmenGrupo,MATCH(SUBSTITUTE($H1058,"*","-"),MgAmenClave,0)),"")</f>
        <v/>
      </c>
      <c r="K1058" s="64">
        <f>IFERROR(INDEX('1. Matriz de Activos'!$Q$6:$Q$239,MATCH($C1058,MgActId,0)),"")</f>
        <v/>
      </c>
      <c r="L1058" s="64">
        <f>IFERROR(INDEX('1. Matriz de Activos'!$R$6:$R$239,MATCH($C1058,MgActId,0)),"")</f>
        <v/>
      </c>
      <c r="M1058" s="64">
        <f>IFERROR(INDEX('1. Matriz de Activos'!$S$6:$S$239,MATCH($C1058,MgActId,0)),"")</f>
        <v/>
      </c>
      <c r="N1058" s="28">
        <f>IFERROR(INDEX(MgAmenDegD,MATCH(SUBSTITUTE($H1058,"*","-"),MgAmenClave,0)),"No aplica")</f>
        <v/>
      </c>
      <c r="O1058" s="28">
        <f>IFERROR(INDEX(MgAmenDegI,MATCH(SUBSTITUTE($H1058,"*","-"),MgAmenClave,0)),"No aplica")</f>
        <v/>
      </c>
      <c r="P1058" s="28">
        <f>IFERROR(INDEX(MgAmenDegC,MATCH(SUBSTITUTE($H1058,"*","-"),MgAmenClave,0)),"No aplica")</f>
        <v/>
      </c>
      <c r="Q1058" s="29">
        <f>IFERROR(VLOOKUP(K1058,MgValor,2,0)*VLOOKUP(N1058,MgDeg,2,0),0)</f>
        <v/>
      </c>
      <c r="R1058" s="29">
        <f>IFERROR(VLOOKUP(L1058,MgValor,2,0)*VLOOKUP(O1058,MgDeg,2,0),0)</f>
        <v/>
      </c>
      <c r="S1058" s="29">
        <f>IFERROR(VLOOKUP(M1058,MgValor,2,0)*VLOOKUP(P1058,MgDeg,2,0),0)</f>
        <v/>
      </c>
      <c r="T1058" s="30">
        <f>MAX(Q1058:S1058)</f>
        <v/>
      </c>
      <c r="U1058" s="28">
        <f>IFERROR(LOOKUP(T1058,{0;0.5;1.5;3;4.5},{"Despreciable";"Bajo";"Medio";"Alto";"Muy alto"}),"")</f>
        <v/>
      </c>
      <c r="V1058" s="13">
        <f>IFERROR(INDEX(MgAmenFrec,MATCH(SUBSTITUTE($H1058,"*","-"),MgAmenClave,0)),"")</f>
        <v/>
      </c>
      <c r="W1058" s="28">
        <f>IFERROR(LOOKUP(X1058,{0;0.01;0.1;1;10;100},{"Muy baja";"Muy baja";"Baja";"Media";"Alta";"Muy alta"}),"")</f>
        <v/>
      </c>
      <c r="X1058" s="31">
        <f>IFERROR(VLOOKUP(V1058,MgFrec,2,0),0)</f>
        <v/>
      </c>
      <c r="Y1058" s="30">
        <f>T1058*X1058</f>
        <v/>
      </c>
      <c r="Z1058" s="28">
        <f>IFERROR(LOOKUP(Y1058,{0;0.5;5;25},{"Bajo";"Medio";"Alto";"Crítico"}),"")</f>
        <v/>
      </c>
      <c r="AA1058" s="64">
        <f>IF(T1058&gt;=3,IF(X1058&gt;=1,"Zona 1 — Crítica: impacto alto y ocurre al menos una vez al año","Zona 4 — Catastrófica poco probable: impacto alto pero excepcional"),IF(AND(T1058&lt;1.5,X1058&lt;1),"Zona 3 — Asumible: impacto bajo y muy poco frecuente","Zona 2 — Atención: riesgo intermedio"))</f>
        <v/>
      </c>
      <c r="AB1058" s="64">
        <f>IFERROR(INDEX(MgAmenCtrl,MATCH(SUBSTITUTE($H1058,"*","-"),MgAmenClave,0)),"")</f>
        <v/>
      </c>
      <c r="AC1058" s="20" t="n"/>
      <c r="AD1058" s="31">
        <f>IFERROR($X1058*(1-IF($AC1058="",$AL1058,VLOOKUP($AC1058,MgMad,2,0))),"")</f>
        <v/>
      </c>
      <c r="AE1058" s="28">
        <f>IFERROR(LOOKUP(AD1058,{0;0.01;0.1;1;10;100},{"Muy baja";"Muy baja";"Baja";"Media";"Alta";"Muy alta"}),"")</f>
        <v/>
      </c>
      <c r="AF1058" s="30">
        <f>T1058*AD1058</f>
        <v/>
      </c>
      <c r="AG1058" s="28">
        <f>IFERROR(LOOKUP(AF1058,{0;0.5;5;25},{"Bajo";"Medio";"Alto";"Crítico"}),"")</f>
        <v/>
      </c>
      <c r="AH1058" s="28">
        <f>IF(AG1058="","",IF(OR(AG1058="Crítico",AG1058="Alto"),"Mitigar",IF(AG1058="Medio","Mitigar","Aceptar y monitorear")))</f>
        <v/>
      </c>
      <c r="AI1058" s="21" t="n"/>
      <c r="AJ1058" s="21" t="n"/>
      <c r="AK1058" s="20" t="n"/>
      <c r="AL1058" s="77">
        <f>IFERROR(INDEX(MgAmenEfic,MATCH(SUBSTITUTE($H1058,"*","-"),MgAmenClave,0)),0)</f>
        <v/>
      </c>
    </row>
    <row r="1059" hidden="1" ht="105" customHeight="1" s="54">
      <c r="B1059" s="59" t="inlineStr">
        <is>
          <t>R-1054</t>
        </is>
      </c>
      <c r="C1059" s="59" t="inlineStr">
        <is>
          <t>GH-020</t>
        </is>
      </c>
      <c r="D1059" s="64">
        <f>IFERROR(INDEX(MgNombre,MATCH($C1059,MgActId,0)),"")</f>
        <v/>
      </c>
      <c r="E1059" s="64">
        <f>IFERROR(INDEX(MgProceso,MATCH($C1059,MgActId,0)),"")</f>
        <v/>
      </c>
      <c r="F1059" s="64">
        <f>IFERROR(INDEX(MgTipo,MATCH($C1059,MgActId,0)),"")</f>
        <v/>
      </c>
      <c r="G1059" s="64">
        <f>IFERROR(INDEX(MgSubtipo,MATCH($C1059,MgActId,0)),"")</f>
        <v/>
      </c>
      <c r="H1059" s="59" t="inlineStr">
        <is>
          <t>A.6</t>
        </is>
      </c>
      <c r="I1059" s="64">
        <f>IFERROR(INDEX(MgAmenNombre,MATCH(SUBSTITUTE($H1059,"*","-"),MgAmenClave,0)),"")</f>
        <v/>
      </c>
      <c r="J1059" s="28">
        <f>IFERROR(INDEX(MgAmenGrupo,MATCH(SUBSTITUTE($H1059,"*","-"),MgAmenClave,0)),"")</f>
        <v/>
      </c>
      <c r="K1059" s="64">
        <f>IFERROR(INDEX('1. Matriz de Activos'!$Q$6:$Q$239,MATCH($C1059,MgActId,0)),"")</f>
        <v/>
      </c>
      <c r="L1059" s="64">
        <f>IFERROR(INDEX('1. Matriz de Activos'!$R$6:$R$239,MATCH($C1059,MgActId,0)),"")</f>
        <v/>
      </c>
      <c r="M1059" s="64">
        <f>IFERROR(INDEX('1. Matriz de Activos'!$S$6:$S$239,MATCH($C1059,MgActId,0)),"")</f>
        <v/>
      </c>
      <c r="N1059" s="28">
        <f>IFERROR(INDEX(MgAmenDegD,MATCH(SUBSTITUTE($H1059,"*","-"),MgAmenClave,0)),"No aplica")</f>
        <v/>
      </c>
      <c r="O1059" s="28">
        <f>IFERROR(INDEX(MgAmenDegI,MATCH(SUBSTITUTE($H1059,"*","-"),MgAmenClave,0)),"No aplica")</f>
        <v/>
      </c>
      <c r="P1059" s="28">
        <f>IFERROR(INDEX(MgAmenDegC,MATCH(SUBSTITUTE($H1059,"*","-"),MgAmenClave,0)),"No aplica")</f>
        <v/>
      </c>
      <c r="Q1059" s="29">
        <f>IFERROR(VLOOKUP(K1059,MgValor,2,0)*VLOOKUP(N1059,MgDeg,2,0),0)</f>
        <v/>
      </c>
      <c r="R1059" s="29">
        <f>IFERROR(VLOOKUP(L1059,MgValor,2,0)*VLOOKUP(O1059,MgDeg,2,0),0)</f>
        <v/>
      </c>
      <c r="S1059" s="29">
        <f>IFERROR(VLOOKUP(M1059,MgValor,2,0)*VLOOKUP(P1059,MgDeg,2,0),0)</f>
        <v/>
      </c>
      <c r="T1059" s="30">
        <f>MAX(Q1059:S1059)</f>
        <v/>
      </c>
      <c r="U1059" s="28">
        <f>IFERROR(LOOKUP(T1059,{0;0.5;1.5;3;4.5},{"Despreciable";"Bajo";"Medio";"Alto";"Muy alto"}),"")</f>
        <v/>
      </c>
      <c r="V1059" s="13">
        <f>IFERROR(INDEX(MgAmenFrec,MATCH(SUBSTITUTE($H1059,"*","-"),MgAmenClave,0)),"")</f>
        <v/>
      </c>
      <c r="W1059" s="28">
        <f>IFERROR(LOOKUP(X1059,{0;0.01;0.1;1;10;100},{"Muy baja";"Muy baja";"Baja";"Media";"Alta";"Muy alta"}),"")</f>
        <v/>
      </c>
      <c r="X1059" s="31">
        <f>IFERROR(VLOOKUP(V1059,MgFrec,2,0),0)</f>
        <v/>
      </c>
      <c r="Y1059" s="30">
        <f>T1059*X1059</f>
        <v/>
      </c>
      <c r="Z1059" s="28">
        <f>IFERROR(LOOKUP(Y1059,{0;0.5;5;25},{"Bajo";"Medio";"Alto";"Crítico"}),"")</f>
        <v/>
      </c>
      <c r="AA1059" s="64">
        <f>IF(T1059&gt;=3,IF(X1059&gt;=1,"Zona 1 — Crítica: impacto alto y ocurre al menos una vez al año","Zona 4 — Catastrófica poco probable: impacto alto pero excepcional"),IF(AND(T1059&lt;1.5,X1059&lt;1),"Zona 3 — Asumible: impacto bajo y muy poco frecuente","Zona 2 — Atención: riesgo intermedio"))</f>
        <v/>
      </c>
      <c r="AB1059" s="64">
        <f>IFERROR(INDEX(MgAmenCtrl,MATCH(SUBSTITUTE($H1059,"*","-"),MgAmenClave,0)),"")</f>
        <v/>
      </c>
      <c r="AC1059" s="20" t="n"/>
      <c r="AD1059" s="31">
        <f>IFERROR($X1059*(1-IF($AC1059="",$AL1059,VLOOKUP($AC1059,MgMad,2,0))),"")</f>
        <v/>
      </c>
      <c r="AE1059" s="28">
        <f>IFERROR(LOOKUP(AD1059,{0;0.01;0.1;1;10;100},{"Muy baja";"Muy baja";"Baja";"Media";"Alta";"Muy alta"}),"")</f>
        <v/>
      </c>
      <c r="AF1059" s="30">
        <f>T1059*AD1059</f>
        <v/>
      </c>
      <c r="AG1059" s="28">
        <f>IFERROR(LOOKUP(AF1059,{0;0.5;5;25},{"Bajo";"Medio";"Alto";"Crítico"}),"")</f>
        <v/>
      </c>
      <c r="AH1059" s="28">
        <f>IF(AG1059="","",IF(OR(AG1059="Crítico",AG1059="Alto"),"Mitigar",IF(AG1059="Medio","Mitigar","Aceptar y monitorear")))</f>
        <v/>
      </c>
      <c r="AI1059" s="21" t="n"/>
      <c r="AJ1059" s="21" t="n"/>
      <c r="AK1059" s="20" t="n"/>
      <c r="AL1059" s="77">
        <f>IFERROR(INDEX(MgAmenEfic,MATCH(SUBSTITUTE($H1059,"*","-"),MgAmenClave,0)),0)</f>
        <v/>
      </c>
    </row>
    <row r="1060" hidden="1" ht="120" customHeight="1" s="54">
      <c r="B1060" s="59" t="inlineStr">
        <is>
          <t>R-1055</t>
        </is>
      </c>
      <c r="C1060" s="59" t="inlineStr">
        <is>
          <t>GH-020</t>
        </is>
      </c>
      <c r="D1060" s="64">
        <f>IFERROR(INDEX(MgNombre,MATCH($C1060,MgActId,0)),"")</f>
        <v/>
      </c>
      <c r="E1060" s="64">
        <f>IFERROR(INDEX(MgProceso,MATCH($C1060,MgActId,0)),"")</f>
        <v/>
      </c>
      <c r="F1060" s="64">
        <f>IFERROR(INDEX(MgTipo,MATCH($C1060,MgActId,0)),"")</f>
        <v/>
      </c>
      <c r="G1060" s="64">
        <f>IFERROR(INDEX(MgSubtipo,MATCH($C1060,MgActId,0)),"")</f>
        <v/>
      </c>
      <c r="H1060" s="59" t="inlineStr">
        <is>
          <t>A.11</t>
        </is>
      </c>
      <c r="I1060" s="64">
        <f>IFERROR(INDEX(MgAmenNombre,MATCH(SUBSTITUTE($H1060,"*","-"),MgAmenClave,0)),"")</f>
        <v/>
      </c>
      <c r="J1060" s="28">
        <f>IFERROR(INDEX(MgAmenGrupo,MATCH(SUBSTITUTE($H1060,"*","-"),MgAmenClave,0)),"")</f>
        <v/>
      </c>
      <c r="K1060" s="64">
        <f>IFERROR(INDEX('1. Matriz de Activos'!$Q$6:$Q$239,MATCH($C1060,MgActId,0)),"")</f>
        <v/>
      </c>
      <c r="L1060" s="64">
        <f>IFERROR(INDEX('1. Matriz de Activos'!$R$6:$R$239,MATCH($C1060,MgActId,0)),"")</f>
        <v/>
      </c>
      <c r="M1060" s="64">
        <f>IFERROR(INDEX('1. Matriz de Activos'!$S$6:$S$239,MATCH($C1060,MgActId,0)),"")</f>
        <v/>
      </c>
      <c r="N1060" s="28">
        <f>IFERROR(INDEX(MgAmenDegD,MATCH(SUBSTITUTE($H1060,"*","-"),MgAmenClave,0)),"No aplica")</f>
        <v/>
      </c>
      <c r="O1060" s="28">
        <f>IFERROR(INDEX(MgAmenDegI,MATCH(SUBSTITUTE($H1060,"*","-"),MgAmenClave,0)),"No aplica")</f>
        <v/>
      </c>
      <c r="P1060" s="28">
        <f>IFERROR(INDEX(MgAmenDegC,MATCH(SUBSTITUTE($H1060,"*","-"),MgAmenClave,0)),"No aplica")</f>
        <v/>
      </c>
      <c r="Q1060" s="29">
        <f>IFERROR(VLOOKUP(K1060,MgValor,2,0)*VLOOKUP(N1060,MgDeg,2,0),0)</f>
        <v/>
      </c>
      <c r="R1060" s="29">
        <f>IFERROR(VLOOKUP(L1060,MgValor,2,0)*VLOOKUP(O1060,MgDeg,2,0),0)</f>
        <v/>
      </c>
      <c r="S1060" s="29">
        <f>IFERROR(VLOOKUP(M1060,MgValor,2,0)*VLOOKUP(P1060,MgDeg,2,0),0)</f>
        <v/>
      </c>
      <c r="T1060" s="30">
        <f>MAX(Q1060:S1060)</f>
        <v/>
      </c>
      <c r="U1060" s="28">
        <f>IFERROR(LOOKUP(T1060,{0;0.5;1.5;3;4.5},{"Despreciable";"Bajo";"Medio";"Alto";"Muy alto"}),"")</f>
        <v/>
      </c>
      <c r="V1060" s="13">
        <f>IFERROR(INDEX(MgAmenFrec,MATCH(SUBSTITUTE($H1060,"*","-"),MgAmenClave,0)),"")</f>
        <v/>
      </c>
      <c r="W1060" s="28">
        <f>IFERROR(LOOKUP(X1060,{0;0.01;0.1;1;10;100},{"Muy baja";"Muy baja";"Baja";"Media";"Alta";"Muy alta"}),"")</f>
        <v/>
      </c>
      <c r="X1060" s="31">
        <f>IFERROR(VLOOKUP(V1060,MgFrec,2,0),0)</f>
        <v/>
      </c>
      <c r="Y1060" s="30">
        <f>T1060*X1060</f>
        <v/>
      </c>
      <c r="Z1060" s="28">
        <f>IFERROR(LOOKUP(Y1060,{0;0.5;5;25},{"Bajo";"Medio";"Alto";"Crítico"}),"")</f>
        <v/>
      </c>
      <c r="AA1060" s="64">
        <f>IF(T1060&gt;=3,IF(X1060&gt;=1,"Zona 1 — Crítica: impacto alto y ocurre al menos una vez al año","Zona 4 — Catastrófica poco probable: impacto alto pero excepcional"),IF(AND(T1060&lt;1.5,X1060&lt;1),"Zona 3 — Asumible: impacto bajo y muy poco frecuente","Zona 2 — Atención: riesgo intermedio"))</f>
        <v/>
      </c>
      <c r="AB1060" s="64">
        <f>IFERROR(INDEX(MgAmenCtrl,MATCH(SUBSTITUTE($H1060,"*","-"),MgAmenClave,0)),"")</f>
        <v/>
      </c>
      <c r="AC1060" s="20" t="n"/>
      <c r="AD1060" s="31">
        <f>IFERROR($X1060*(1-IF($AC1060="",$AL1060,VLOOKUP($AC1060,MgMad,2,0))),"")</f>
        <v/>
      </c>
      <c r="AE1060" s="28">
        <f>IFERROR(LOOKUP(AD1060,{0;0.01;0.1;1;10;100},{"Muy baja";"Muy baja";"Baja";"Media";"Alta";"Muy alta"}),"")</f>
        <v/>
      </c>
      <c r="AF1060" s="30">
        <f>T1060*AD1060</f>
        <v/>
      </c>
      <c r="AG1060" s="28">
        <f>IFERROR(LOOKUP(AF1060,{0;0.5;5;25},{"Bajo";"Medio";"Alto";"Crítico"}),"")</f>
        <v/>
      </c>
      <c r="AH1060" s="28">
        <f>IF(AG1060="","",IF(OR(AG1060="Crítico",AG1060="Alto"),"Mitigar",IF(AG1060="Medio","Mitigar","Aceptar y monitorear")))</f>
        <v/>
      </c>
      <c r="AI1060" s="21" t="n"/>
      <c r="AJ1060" s="21" t="n"/>
      <c r="AK1060" s="20" t="n"/>
      <c r="AL1060" s="77">
        <f>IFERROR(INDEX(MgAmenEfic,MATCH(SUBSTITUTE($H1060,"*","-"),MgAmenClave,0)),0)</f>
        <v/>
      </c>
    </row>
    <row r="1061" hidden="1" ht="90" customHeight="1" s="54">
      <c r="B1061" s="59" t="inlineStr">
        <is>
          <t>R-1056</t>
        </is>
      </c>
      <c r="C1061" s="59" t="inlineStr">
        <is>
          <t>GH-020</t>
        </is>
      </c>
      <c r="D1061" s="64">
        <f>IFERROR(INDEX(MgNombre,MATCH($C1061,MgActId,0)),"")</f>
        <v/>
      </c>
      <c r="E1061" s="64">
        <f>IFERROR(INDEX(MgProceso,MATCH($C1061,MgActId,0)),"")</f>
        <v/>
      </c>
      <c r="F1061" s="64">
        <f>IFERROR(INDEX(MgTipo,MATCH($C1061,MgActId,0)),"")</f>
        <v/>
      </c>
      <c r="G1061" s="64">
        <f>IFERROR(INDEX(MgSubtipo,MATCH($C1061,MgActId,0)),"")</f>
        <v/>
      </c>
      <c r="H1061" s="59" t="inlineStr">
        <is>
          <t>A.13</t>
        </is>
      </c>
      <c r="I1061" s="64">
        <f>IFERROR(INDEX(MgAmenNombre,MATCH(SUBSTITUTE($H1061,"*","-"),MgAmenClave,0)),"")</f>
        <v/>
      </c>
      <c r="J1061" s="28">
        <f>IFERROR(INDEX(MgAmenGrupo,MATCH(SUBSTITUTE($H1061,"*","-"),MgAmenClave,0)),"")</f>
        <v/>
      </c>
      <c r="K1061" s="64">
        <f>IFERROR(INDEX('1. Matriz de Activos'!$Q$6:$Q$239,MATCH($C1061,MgActId,0)),"")</f>
        <v/>
      </c>
      <c r="L1061" s="64">
        <f>IFERROR(INDEX('1. Matriz de Activos'!$R$6:$R$239,MATCH($C1061,MgActId,0)),"")</f>
        <v/>
      </c>
      <c r="M1061" s="64">
        <f>IFERROR(INDEX('1. Matriz de Activos'!$S$6:$S$239,MATCH($C1061,MgActId,0)),"")</f>
        <v/>
      </c>
      <c r="N1061" s="28">
        <f>IFERROR(INDEX(MgAmenDegD,MATCH(SUBSTITUTE($H1061,"*","-"),MgAmenClave,0)),"No aplica")</f>
        <v/>
      </c>
      <c r="O1061" s="28">
        <f>IFERROR(INDEX(MgAmenDegI,MATCH(SUBSTITUTE($H1061,"*","-"),MgAmenClave,0)),"No aplica")</f>
        <v/>
      </c>
      <c r="P1061" s="28">
        <f>IFERROR(INDEX(MgAmenDegC,MATCH(SUBSTITUTE($H1061,"*","-"),MgAmenClave,0)),"No aplica")</f>
        <v/>
      </c>
      <c r="Q1061" s="29">
        <f>IFERROR(VLOOKUP(K1061,MgValor,2,0)*VLOOKUP(N1061,MgDeg,2,0),0)</f>
        <v/>
      </c>
      <c r="R1061" s="29">
        <f>IFERROR(VLOOKUP(L1061,MgValor,2,0)*VLOOKUP(O1061,MgDeg,2,0),0)</f>
        <v/>
      </c>
      <c r="S1061" s="29">
        <f>IFERROR(VLOOKUP(M1061,MgValor,2,0)*VLOOKUP(P1061,MgDeg,2,0),0)</f>
        <v/>
      </c>
      <c r="T1061" s="30">
        <f>MAX(Q1061:S1061)</f>
        <v/>
      </c>
      <c r="U1061" s="28">
        <f>IFERROR(LOOKUP(T1061,{0;0.5;1.5;3;4.5},{"Despreciable";"Bajo";"Medio";"Alto";"Muy alto"}),"")</f>
        <v/>
      </c>
      <c r="V1061" s="13">
        <f>IFERROR(INDEX(MgAmenFrec,MATCH(SUBSTITUTE($H1061,"*","-"),MgAmenClave,0)),"")</f>
        <v/>
      </c>
      <c r="W1061" s="28">
        <f>IFERROR(LOOKUP(X1061,{0;0.01;0.1;1;10;100},{"Muy baja";"Muy baja";"Baja";"Media";"Alta";"Muy alta"}),"")</f>
        <v/>
      </c>
      <c r="X1061" s="31">
        <f>IFERROR(VLOOKUP(V1061,MgFrec,2,0),0)</f>
        <v/>
      </c>
      <c r="Y1061" s="30">
        <f>T1061*X1061</f>
        <v/>
      </c>
      <c r="Z1061" s="28">
        <f>IFERROR(LOOKUP(Y1061,{0;0.5;5;25},{"Bajo";"Medio";"Alto";"Crítico"}),"")</f>
        <v/>
      </c>
      <c r="AA1061" s="64">
        <f>IF(T1061&gt;=3,IF(X1061&gt;=1,"Zona 1 — Crítica: impacto alto y ocurre al menos una vez al año","Zona 4 — Catastrófica poco probable: impacto alto pero excepcional"),IF(AND(T1061&lt;1.5,X1061&lt;1),"Zona 3 — Asumible: impacto bajo y muy poco frecuente","Zona 2 — Atención: riesgo intermedio"))</f>
        <v/>
      </c>
      <c r="AB1061" s="64">
        <f>IFERROR(INDEX(MgAmenCtrl,MATCH(SUBSTITUTE($H1061,"*","-"),MgAmenClave,0)),"")</f>
        <v/>
      </c>
      <c r="AC1061" s="20" t="n"/>
      <c r="AD1061" s="31">
        <f>IFERROR($X1061*(1-IF($AC1061="",$AL1061,VLOOKUP($AC1061,MgMad,2,0))),"")</f>
        <v/>
      </c>
      <c r="AE1061" s="28">
        <f>IFERROR(LOOKUP(AD1061,{0;0.01;0.1;1;10;100},{"Muy baja";"Muy baja";"Baja";"Media";"Alta";"Muy alta"}),"")</f>
        <v/>
      </c>
      <c r="AF1061" s="30">
        <f>T1061*AD1061</f>
        <v/>
      </c>
      <c r="AG1061" s="28">
        <f>IFERROR(LOOKUP(AF1061,{0;0.5;5;25},{"Bajo";"Medio";"Alto";"Crítico"}),"")</f>
        <v/>
      </c>
      <c r="AH1061" s="28">
        <f>IF(AG1061="","",IF(OR(AG1061="Crítico",AG1061="Alto"),"Mitigar",IF(AG1061="Medio","Mitigar","Aceptar y monitorear")))</f>
        <v/>
      </c>
      <c r="AI1061" s="21" t="n"/>
      <c r="AJ1061" s="21" t="n"/>
      <c r="AK1061" s="20" t="n"/>
      <c r="AL1061" s="77">
        <f>IFERROR(INDEX(MgAmenEfic,MATCH(SUBSTITUTE($H1061,"*","-"),MgAmenClave,0)),0)</f>
        <v/>
      </c>
    </row>
    <row r="1062" hidden="1" ht="60" customHeight="1" s="54">
      <c r="B1062" s="59" t="inlineStr">
        <is>
          <t>R-1057</t>
        </is>
      </c>
      <c r="C1062" s="59" t="inlineStr">
        <is>
          <t>GH-020</t>
        </is>
      </c>
      <c r="D1062" s="64">
        <f>IFERROR(INDEX(MgNombre,MATCH($C1062,MgActId,0)),"")</f>
        <v/>
      </c>
      <c r="E1062" s="64">
        <f>IFERROR(INDEX(MgProceso,MATCH($C1062,MgActId,0)),"")</f>
        <v/>
      </c>
      <c r="F1062" s="64">
        <f>IFERROR(INDEX(MgTipo,MATCH($C1062,MgActId,0)),"")</f>
        <v/>
      </c>
      <c r="G1062" s="64">
        <f>IFERROR(INDEX(MgSubtipo,MATCH($C1062,MgActId,0)),"")</f>
        <v/>
      </c>
      <c r="H1062" s="59" t="inlineStr">
        <is>
          <t>A.15</t>
        </is>
      </c>
      <c r="I1062" s="64">
        <f>IFERROR(INDEX(MgAmenNombre,MATCH(SUBSTITUTE($H1062,"*","-"),MgAmenClave,0)),"")</f>
        <v/>
      </c>
      <c r="J1062" s="28">
        <f>IFERROR(INDEX(MgAmenGrupo,MATCH(SUBSTITUTE($H1062,"*","-"),MgAmenClave,0)),"")</f>
        <v/>
      </c>
      <c r="K1062" s="64">
        <f>IFERROR(INDEX('1. Matriz de Activos'!$Q$6:$Q$239,MATCH($C1062,MgActId,0)),"")</f>
        <v/>
      </c>
      <c r="L1062" s="64">
        <f>IFERROR(INDEX('1. Matriz de Activos'!$R$6:$R$239,MATCH($C1062,MgActId,0)),"")</f>
        <v/>
      </c>
      <c r="M1062" s="64">
        <f>IFERROR(INDEX('1. Matriz de Activos'!$S$6:$S$239,MATCH($C1062,MgActId,0)),"")</f>
        <v/>
      </c>
      <c r="N1062" s="28">
        <f>IFERROR(INDEX(MgAmenDegD,MATCH(SUBSTITUTE($H1062,"*","-"),MgAmenClave,0)),"No aplica")</f>
        <v/>
      </c>
      <c r="O1062" s="28">
        <f>IFERROR(INDEX(MgAmenDegI,MATCH(SUBSTITUTE($H1062,"*","-"),MgAmenClave,0)),"No aplica")</f>
        <v/>
      </c>
      <c r="P1062" s="28">
        <f>IFERROR(INDEX(MgAmenDegC,MATCH(SUBSTITUTE($H1062,"*","-"),MgAmenClave,0)),"No aplica")</f>
        <v/>
      </c>
      <c r="Q1062" s="29">
        <f>IFERROR(VLOOKUP(K1062,MgValor,2,0)*VLOOKUP(N1062,MgDeg,2,0),0)</f>
        <v/>
      </c>
      <c r="R1062" s="29">
        <f>IFERROR(VLOOKUP(L1062,MgValor,2,0)*VLOOKUP(O1062,MgDeg,2,0),0)</f>
        <v/>
      </c>
      <c r="S1062" s="29">
        <f>IFERROR(VLOOKUP(M1062,MgValor,2,0)*VLOOKUP(P1062,MgDeg,2,0),0)</f>
        <v/>
      </c>
      <c r="T1062" s="30">
        <f>MAX(Q1062:S1062)</f>
        <v/>
      </c>
      <c r="U1062" s="28">
        <f>IFERROR(LOOKUP(T1062,{0;0.5;1.5;3;4.5},{"Despreciable";"Bajo";"Medio";"Alto";"Muy alto"}),"")</f>
        <v/>
      </c>
      <c r="V1062" s="13">
        <f>IFERROR(INDEX(MgAmenFrec,MATCH(SUBSTITUTE($H1062,"*","-"),MgAmenClave,0)),"")</f>
        <v/>
      </c>
      <c r="W1062" s="28">
        <f>IFERROR(LOOKUP(X1062,{0;0.01;0.1;1;10;100},{"Muy baja";"Muy baja";"Baja";"Media";"Alta";"Muy alta"}),"")</f>
        <v/>
      </c>
      <c r="X1062" s="31">
        <f>IFERROR(VLOOKUP(V1062,MgFrec,2,0),0)</f>
        <v/>
      </c>
      <c r="Y1062" s="30">
        <f>T1062*X1062</f>
        <v/>
      </c>
      <c r="Z1062" s="28">
        <f>IFERROR(LOOKUP(Y1062,{0;0.5;5;25},{"Bajo";"Medio";"Alto";"Crítico"}),"")</f>
        <v/>
      </c>
      <c r="AA1062" s="64">
        <f>IF(T1062&gt;=3,IF(X1062&gt;=1,"Zona 1 — Crítica: impacto alto y ocurre al menos una vez al año","Zona 4 — Catastrófica poco probable: impacto alto pero excepcional"),IF(AND(T1062&lt;1.5,X1062&lt;1),"Zona 3 — Asumible: impacto bajo y muy poco frecuente","Zona 2 — Atención: riesgo intermedio"))</f>
        <v/>
      </c>
      <c r="AB1062" s="64">
        <f>IFERROR(INDEX(MgAmenCtrl,MATCH(SUBSTITUTE($H1062,"*","-"),MgAmenClave,0)),"")</f>
        <v/>
      </c>
      <c r="AC1062" s="20" t="n"/>
      <c r="AD1062" s="31">
        <f>IFERROR($X1062*(1-IF($AC1062="",$AL1062,VLOOKUP($AC1062,MgMad,2,0))),"")</f>
        <v/>
      </c>
      <c r="AE1062" s="28">
        <f>IFERROR(LOOKUP(AD1062,{0;0.01;0.1;1;10;100},{"Muy baja";"Muy baja";"Baja";"Media";"Alta";"Muy alta"}),"")</f>
        <v/>
      </c>
      <c r="AF1062" s="30">
        <f>T1062*AD1062</f>
        <v/>
      </c>
      <c r="AG1062" s="28">
        <f>IFERROR(LOOKUP(AF1062,{0;0.5;5;25},{"Bajo";"Medio";"Alto";"Crítico"}),"")</f>
        <v/>
      </c>
      <c r="AH1062" s="28">
        <f>IF(AG1062="","",IF(OR(AG1062="Crítico",AG1062="Alto"),"Mitigar",IF(AG1062="Medio","Mitigar","Aceptar y monitorear")))</f>
        <v/>
      </c>
      <c r="AI1062" s="21" t="n"/>
      <c r="AJ1062" s="21" t="n"/>
      <c r="AK1062" s="20" t="n"/>
      <c r="AL1062" s="77">
        <f>IFERROR(INDEX(MgAmenEfic,MATCH(SUBSTITUTE($H1062,"*","-"),MgAmenClave,0)),0)</f>
        <v/>
      </c>
    </row>
    <row r="1063" hidden="1" ht="60" customHeight="1" s="54">
      <c r="B1063" s="59" t="inlineStr">
        <is>
          <t>R-1058</t>
        </is>
      </c>
      <c r="C1063" s="59" t="inlineStr">
        <is>
          <t>GH-020</t>
        </is>
      </c>
      <c r="D1063" s="64">
        <f>IFERROR(INDEX(MgNombre,MATCH($C1063,MgActId,0)),"")</f>
        <v/>
      </c>
      <c r="E1063" s="64">
        <f>IFERROR(INDEX(MgProceso,MATCH($C1063,MgActId,0)),"")</f>
        <v/>
      </c>
      <c r="F1063" s="64">
        <f>IFERROR(INDEX(MgTipo,MATCH($C1063,MgActId,0)),"")</f>
        <v/>
      </c>
      <c r="G1063" s="64">
        <f>IFERROR(INDEX(MgSubtipo,MATCH($C1063,MgActId,0)),"")</f>
        <v/>
      </c>
      <c r="H1063" s="59" t="inlineStr">
        <is>
          <t>A.18</t>
        </is>
      </c>
      <c r="I1063" s="64">
        <f>IFERROR(INDEX(MgAmenNombre,MATCH(SUBSTITUTE($H1063,"*","-"),MgAmenClave,0)),"")</f>
        <v/>
      </c>
      <c r="J1063" s="28">
        <f>IFERROR(INDEX(MgAmenGrupo,MATCH(SUBSTITUTE($H1063,"*","-"),MgAmenClave,0)),"")</f>
        <v/>
      </c>
      <c r="K1063" s="64">
        <f>IFERROR(INDEX('1. Matriz de Activos'!$Q$6:$Q$239,MATCH($C1063,MgActId,0)),"")</f>
        <v/>
      </c>
      <c r="L1063" s="64">
        <f>IFERROR(INDEX('1. Matriz de Activos'!$R$6:$R$239,MATCH($C1063,MgActId,0)),"")</f>
        <v/>
      </c>
      <c r="M1063" s="64">
        <f>IFERROR(INDEX('1. Matriz de Activos'!$S$6:$S$239,MATCH($C1063,MgActId,0)),"")</f>
        <v/>
      </c>
      <c r="N1063" s="28">
        <f>IFERROR(INDEX(MgAmenDegD,MATCH(SUBSTITUTE($H1063,"*","-"),MgAmenClave,0)),"No aplica")</f>
        <v/>
      </c>
      <c r="O1063" s="28">
        <f>IFERROR(INDEX(MgAmenDegI,MATCH(SUBSTITUTE($H1063,"*","-"),MgAmenClave,0)),"No aplica")</f>
        <v/>
      </c>
      <c r="P1063" s="28">
        <f>IFERROR(INDEX(MgAmenDegC,MATCH(SUBSTITUTE($H1063,"*","-"),MgAmenClave,0)),"No aplica")</f>
        <v/>
      </c>
      <c r="Q1063" s="29">
        <f>IFERROR(VLOOKUP(K1063,MgValor,2,0)*VLOOKUP(N1063,MgDeg,2,0),0)</f>
        <v/>
      </c>
      <c r="R1063" s="29">
        <f>IFERROR(VLOOKUP(L1063,MgValor,2,0)*VLOOKUP(O1063,MgDeg,2,0),0)</f>
        <v/>
      </c>
      <c r="S1063" s="29">
        <f>IFERROR(VLOOKUP(M1063,MgValor,2,0)*VLOOKUP(P1063,MgDeg,2,0),0)</f>
        <v/>
      </c>
      <c r="T1063" s="30">
        <f>MAX(Q1063:S1063)</f>
        <v/>
      </c>
      <c r="U1063" s="28">
        <f>IFERROR(LOOKUP(T1063,{0;0.5;1.5;3;4.5},{"Despreciable";"Bajo";"Medio";"Alto";"Muy alto"}),"")</f>
        <v/>
      </c>
      <c r="V1063" s="13">
        <f>IFERROR(INDEX(MgAmenFrec,MATCH(SUBSTITUTE($H1063,"*","-"),MgAmenClave,0)),"")</f>
        <v/>
      </c>
      <c r="W1063" s="28">
        <f>IFERROR(LOOKUP(X1063,{0;0.01;0.1;1;10;100},{"Muy baja";"Muy baja";"Baja";"Media";"Alta";"Muy alta"}),"")</f>
        <v/>
      </c>
      <c r="X1063" s="31">
        <f>IFERROR(VLOOKUP(V1063,MgFrec,2,0),0)</f>
        <v/>
      </c>
      <c r="Y1063" s="30">
        <f>T1063*X1063</f>
        <v/>
      </c>
      <c r="Z1063" s="28">
        <f>IFERROR(LOOKUP(Y1063,{0;0.5;5;25},{"Bajo";"Medio";"Alto";"Crítico"}),"")</f>
        <v/>
      </c>
      <c r="AA1063" s="64">
        <f>IF(T1063&gt;=3,IF(X1063&gt;=1,"Zona 1 — Crítica: impacto alto y ocurre al menos una vez al año","Zona 4 — Catastrófica poco probable: impacto alto pero excepcional"),IF(AND(T1063&lt;1.5,X1063&lt;1),"Zona 3 — Asumible: impacto bajo y muy poco frecuente","Zona 2 — Atención: riesgo intermedio"))</f>
        <v/>
      </c>
      <c r="AB1063" s="64">
        <f>IFERROR(INDEX(MgAmenCtrl,MATCH(SUBSTITUTE($H1063,"*","-"),MgAmenClave,0)),"")</f>
        <v/>
      </c>
      <c r="AC1063" s="20" t="n"/>
      <c r="AD1063" s="31">
        <f>IFERROR($X1063*(1-IF($AC1063="",$AL1063,VLOOKUP($AC1063,MgMad,2,0))),"")</f>
        <v/>
      </c>
      <c r="AE1063" s="28">
        <f>IFERROR(LOOKUP(AD1063,{0;0.01;0.1;1;10;100},{"Muy baja";"Muy baja";"Baja";"Media";"Alta";"Muy alta"}),"")</f>
        <v/>
      </c>
      <c r="AF1063" s="30">
        <f>T1063*AD1063</f>
        <v/>
      </c>
      <c r="AG1063" s="28">
        <f>IFERROR(LOOKUP(AF1063,{0;0.5;5;25},{"Bajo";"Medio";"Alto";"Crítico"}),"")</f>
        <v/>
      </c>
      <c r="AH1063" s="28">
        <f>IF(AG1063="","",IF(OR(AG1063="Crítico",AG1063="Alto"),"Mitigar",IF(AG1063="Medio","Mitigar","Aceptar y monitorear")))</f>
        <v/>
      </c>
      <c r="AI1063" s="21" t="n"/>
      <c r="AJ1063" s="21" t="n"/>
      <c r="AK1063" s="20" t="n"/>
      <c r="AL1063" s="77">
        <f>IFERROR(INDEX(MgAmenEfic,MATCH(SUBSTITUTE($H1063,"*","-"),MgAmenClave,0)),0)</f>
        <v/>
      </c>
    </row>
    <row r="1064" hidden="1" ht="120" customHeight="1" s="54">
      <c r="B1064" s="59" t="inlineStr">
        <is>
          <t>R-1059</t>
        </is>
      </c>
      <c r="C1064" s="59" t="inlineStr">
        <is>
          <t>GH-020</t>
        </is>
      </c>
      <c r="D1064" s="64">
        <f>IFERROR(INDEX(MgNombre,MATCH($C1064,MgActId,0)),"")</f>
        <v/>
      </c>
      <c r="E1064" s="64">
        <f>IFERROR(INDEX(MgProceso,MATCH($C1064,MgActId,0)),"")</f>
        <v/>
      </c>
      <c r="F1064" s="64">
        <f>IFERROR(INDEX(MgTipo,MATCH($C1064,MgActId,0)),"")</f>
        <v/>
      </c>
      <c r="G1064" s="64">
        <f>IFERROR(INDEX(MgSubtipo,MATCH($C1064,MgActId,0)),"")</f>
        <v/>
      </c>
      <c r="H1064" s="59" t="inlineStr">
        <is>
          <t>A.19</t>
        </is>
      </c>
      <c r="I1064" s="64">
        <f>IFERROR(INDEX(MgAmenNombre,MATCH(SUBSTITUTE($H1064,"*","-"),MgAmenClave,0)),"")</f>
        <v/>
      </c>
      <c r="J1064" s="28">
        <f>IFERROR(INDEX(MgAmenGrupo,MATCH(SUBSTITUTE($H1064,"*","-"),MgAmenClave,0)),"")</f>
        <v/>
      </c>
      <c r="K1064" s="64">
        <f>IFERROR(INDEX('1. Matriz de Activos'!$Q$6:$Q$239,MATCH($C1064,MgActId,0)),"")</f>
        <v/>
      </c>
      <c r="L1064" s="64">
        <f>IFERROR(INDEX('1. Matriz de Activos'!$R$6:$R$239,MATCH($C1064,MgActId,0)),"")</f>
        <v/>
      </c>
      <c r="M1064" s="64">
        <f>IFERROR(INDEX('1. Matriz de Activos'!$S$6:$S$239,MATCH($C1064,MgActId,0)),"")</f>
        <v/>
      </c>
      <c r="N1064" s="28">
        <f>IFERROR(INDEX(MgAmenDegD,MATCH(SUBSTITUTE($H1064,"*","-"),MgAmenClave,0)),"No aplica")</f>
        <v/>
      </c>
      <c r="O1064" s="28">
        <f>IFERROR(INDEX(MgAmenDegI,MATCH(SUBSTITUTE($H1064,"*","-"),MgAmenClave,0)),"No aplica")</f>
        <v/>
      </c>
      <c r="P1064" s="28">
        <f>IFERROR(INDEX(MgAmenDegC,MATCH(SUBSTITUTE($H1064,"*","-"),MgAmenClave,0)),"No aplica")</f>
        <v/>
      </c>
      <c r="Q1064" s="29">
        <f>IFERROR(VLOOKUP(K1064,MgValor,2,0)*VLOOKUP(N1064,MgDeg,2,0),0)</f>
        <v/>
      </c>
      <c r="R1064" s="29">
        <f>IFERROR(VLOOKUP(L1064,MgValor,2,0)*VLOOKUP(O1064,MgDeg,2,0),0)</f>
        <v/>
      </c>
      <c r="S1064" s="29">
        <f>IFERROR(VLOOKUP(M1064,MgValor,2,0)*VLOOKUP(P1064,MgDeg,2,0),0)</f>
        <v/>
      </c>
      <c r="T1064" s="30">
        <f>MAX(Q1064:S1064)</f>
        <v/>
      </c>
      <c r="U1064" s="28">
        <f>IFERROR(LOOKUP(T1064,{0;0.5;1.5;3;4.5},{"Despreciable";"Bajo";"Medio";"Alto";"Muy alto"}),"")</f>
        <v/>
      </c>
      <c r="V1064" s="13">
        <f>IFERROR(INDEX(MgAmenFrec,MATCH(SUBSTITUTE($H1064,"*","-"),MgAmenClave,0)),"")</f>
        <v/>
      </c>
      <c r="W1064" s="28">
        <f>IFERROR(LOOKUP(X1064,{0;0.01;0.1;1;10;100},{"Muy baja";"Muy baja";"Baja";"Media";"Alta";"Muy alta"}),"")</f>
        <v/>
      </c>
      <c r="X1064" s="31">
        <f>IFERROR(VLOOKUP(V1064,MgFrec,2,0),0)</f>
        <v/>
      </c>
      <c r="Y1064" s="30">
        <f>T1064*X1064</f>
        <v/>
      </c>
      <c r="Z1064" s="28">
        <f>IFERROR(LOOKUP(Y1064,{0;0.5;5;25},{"Bajo";"Medio";"Alto";"Crítico"}),"")</f>
        <v/>
      </c>
      <c r="AA1064" s="64">
        <f>IF(T1064&gt;=3,IF(X1064&gt;=1,"Zona 1 — Crítica: impacto alto y ocurre al menos una vez al año","Zona 4 — Catastrófica poco probable: impacto alto pero excepcional"),IF(AND(T1064&lt;1.5,X1064&lt;1),"Zona 3 — Asumible: impacto bajo y muy poco frecuente","Zona 2 — Atención: riesgo intermedio"))</f>
        <v/>
      </c>
      <c r="AB1064" s="64">
        <f>IFERROR(INDEX(MgAmenCtrl,MATCH(SUBSTITUTE($H1064,"*","-"),MgAmenClave,0)),"")</f>
        <v/>
      </c>
      <c r="AC1064" s="20" t="n"/>
      <c r="AD1064" s="31">
        <f>IFERROR($X1064*(1-IF($AC1064="",$AL1064,VLOOKUP($AC1064,MgMad,2,0))),"")</f>
        <v/>
      </c>
      <c r="AE1064" s="28">
        <f>IFERROR(LOOKUP(AD1064,{0;0.01;0.1;1;10;100},{"Muy baja";"Muy baja";"Baja";"Media";"Alta";"Muy alta"}),"")</f>
        <v/>
      </c>
      <c r="AF1064" s="30">
        <f>T1064*AD1064</f>
        <v/>
      </c>
      <c r="AG1064" s="28">
        <f>IFERROR(LOOKUP(AF1064,{0;0.5;5;25},{"Bajo";"Medio";"Alto";"Crítico"}),"")</f>
        <v/>
      </c>
      <c r="AH1064" s="28">
        <f>IF(AG1064="","",IF(OR(AG1064="Crítico",AG1064="Alto"),"Mitigar",IF(AG1064="Medio","Mitigar","Aceptar y monitorear")))</f>
        <v/>
      </c>
      <c r="AI1064" s="21" t="n"/>
      <c r="AJ1064" s="21" t="n"/>
      <c r="AK1064" s="20" t="n"/>
      <c r="AL1064" s="77">
        <f>IFERROR(INDEX(MgAmenEfic,MATCH(SUBSTITUTE($H1064,"*","-"),MgAmenClave,0)),0)</f>
        <v/>
      </c>
    </row>
    <row r="1065" hidden="1" ht="105" customHeight="1" s="54">
      <c r="B1065" s="59" t="inlineStr">
        <is>
          <t>R-1060</t>
        </is>
      </c>
      <c r="C1065" s="59" t="inlineStr">
        <is>
          <t>GH-001</t>
        </is>
      </c>
      <c r="D1065" s="64">
        <f>IFERROR(INDEX(MgNombre,MATCH($C1065,MgActId,0)),"")</f>
        <v/>
      </c>
      <c r="E1065" s="64">
        <f>IFERROR(INDEX(MgProceso,MATCH($C1065,MgActId,0)),"")</f>
        <v/>
      </c>
      <c r="F1065" s="64">
        <f>IFERROR(INDEX(MgTipo,MATCH($C1065,MgActId,0)),"")</f>
        <v/>
      </c>
      <c r="G1065" s="64">
        <f>IFERROR(INDEX(MgSubtipo,MATCH($C1065,MgActId,0)),"")</f>
        <v/>
      </c>
      <c r="H1065" s="59" t="inlineStr">
        <is>
          <t>E.1</t>
        </is>
      </c>
      <c r="I1065" s="64">
        <f>IFERROR(INDEX(MgAmenNombre,MATCH(SUBSTITUTE($H1065,"*","-"),MgAmenClave,0)),"")</f>
        <v/>
      </c>
      <c r="J1065" s="28">
        <f>IFERROR(INDEX(MgAmenGrupo,MATCH(SUBSTITUTE($H1065,"*","-"),MgAmenClave,0)),"")</f>
        <v/>
      </c>
      <c r="K1065" s="64">
        <f>IFERROR(INDEX('1. Matriz de Activos'!$Q$6:$Q$239,MATCH($C1065,MgActId,0)),"")</f>
        <v/>
      </c>
      <c r="L1065" s="64">
        <f>IFERROR(INDEX('1. Matriz de Activos'!$R$6:$R$239,MATCH($C1065,MgActId,0)),"")</f>
        <v/>
      </c>
      <c r="M1065" s="64">
        <f>IFERROR(INDEX('1. Matriz de Activos'!$S$6:$S$239,MATCH($C1065,MgActId,0)),"")</f>
        <v/>
      </c>
      <c r="N1065" s="28">
        <f>IFERROR(INDEX(MgAmenDegD,MATCH(SUBSTITUTE($H1065,"*","-"),MgAmenClave,0)),"No aplica")</f>
        <v/>
      </c>
      <c r="O1065" s="28">
        <f>IFERROR(INDEX(MgAmenDegI,MATCH(SUBSTITUTE($H1065,"*","-"),MgAmenClave,0)),"No aplica")</f>
        <v/>
      </c>
      <c r="P1065" s="28">
        <f>IFERROR(INDEX(MgAmenDegC,MATCH(SUBSTITUTE($H1065,"*","-"),MgAmenClave,0)),"No aplica")</f>
        <v/>
      </c>
      <c r="Q1065" s="29">
        <f>IFERROR(VLOOKUP(K1065,MgValor,2,0)*VLOOKUP(N1065,MgDeg,2,0),0)</f>
        <v/>
      </c>
      <c r="R1065" s="29">
        <f>IFERROR(VLOOKUP(L1065,MgValor,2,0)*VLOOKUP(O1065,MgDeg,2,0),0)</f>
        <v/>
      </c>
      <c r="S1065" s="29">
        <f>IFERROR(VLOOKUP(M1065,MgValor,2,0)*VLOOKUP(P1065,MgDeg,2,0),0)</f>
        <v/>
      </c>
      <c r="T1065" s="30">
        <f>MAX(Q1065:S1065)</f>
        <v/>
      </c>
      <c r="U1065" s="28">
        <f>IFERROR(LOOKUP(T1065,{0;0.5;1.5;3;4.5},{"Despreciable";"Bajo";"Medio";"Alto";"Muy alto"}),"")</f>
        <v/>
      </c>
      <c r="V1065" s="13">
        <f>IFERROR(INDEX(MgAmenFrec,MATCH(SUBSTITUTE($H1065,"*","-"),MgAmenClave,0)),"")</f>
        <v/>
      </c>
      <c r="W1065" s="28">
        <f>IFERROR(LOOKUP(X1065,{0;0.01;0.1;1;10;100},{"Muy baja";"Muy baja";"Baja";"Media";"Alta";"Muy alta"}),"")</f>
        <v/>
      </c>
      <c r="X1065" s="31">
        <f>IFERROR(VLOOKUP(V1065,MgFrec,2,0),0)</f>
        <v/>
      </c>
      <c r="Y1065" s="30">
        <f>T1065*X1065</f>
        <v/>
      </c>
      <c r="Z1065" s="28">
        <f>IFERROR(LOOKUP(Y1065,{0;0.5;5;25},{"Bajo";"Medio";"Alto";"Crítico"}),"")</f>
        <v/>
      </c>
      <c r="AA1065" s="64">
        <f>IF(T1065&gt;=3,IF(X1065&gt;=1,"Zona 1 — Crítica: impacto alto y ocurre al menos una vez al año","Zona 4 — Catastrófica poco probable: impacto alto pero excepcional"),IF(AND(T1065&lt;1.5,X1065&lt;1),"Zona 3 — Asumible: impacto bajo y muy poco frecuente","Zona 2 — Atención: riesgo intermedio"))</f>
        <v/>
      </c>
      <c r="AB1065" s="64">
        <f>IFERROR(INDEX(MgAmenCtrl,MATCH(SUBSTITUTE($H1065,"*","-"),MgAmenClave,0)),"")</f>
        <v/>
      </c>
      <c r="AC1065" s="20" t="n"/>
      <c r="AD1065" s="31">
        <f>IFERROR($X1065*(1-IF($AC1065="",$AL1065,VLOOKUP($AC1065,MgMad,2,0))),"")</f>
        <v/>
      </c>
      <c r="AE1065" s="28">
        <f>IFERROR(LOOKUP(AD1065,{0;0.01;0.1;1;10;100},{"Muy baja";"Muy baja";"Baja";"Media";"Alta";"Muy alta"}),"")</f>
        <v/>
      </c>
      <c r="AF1065" s="30">
        <f>T1065*AD1065</f>
        <v/>
      </c>
      <c r="AG1065" s="28">
        <f>IFERROR(LOOKUP(AF1065,{0;0.5;5;25},{"Bajo";"Medio";"Alto";"Crítico"}),"")</f>
        <v/>
      </c>
      <c r="AH1065" s="28">
        <f>IF(AG1065="","",IF(OR(AG1065="Crítico",AG1065="Alto"),"Mitigar",IF(AG1065="Medio","Mitigar","Aceptar y monitorear")))</f>
        <v/>
      </c>
      <c r="AI1065" s="21" t="n"/>
      <c r="AJ1065" s="21" t="n"/>
      <c r="AK1065" s="20" t="n"/>
      <c r="AL1065" s="77">
        <f>IFERROR(INDEX(MgAmenEfic,MATCH(SUBSTITUTE($H1065,"*","-"),MgAmenClave,0)),0)</f>
        <v/>
      </c>
    </row>
    <row r="1066" hidden="1" ht="120" customHeight="1" s="54">
      <c r="B1066" s="59" t="inlineStr">
        <is>
          <t>R-1061</t>
        </is>
      </c>
      <c r="C1066" s="59" t="inlineStr">
        <is>
          <t>GH-001</t>
        </is>
      </c>
      <c r="D1066" s="64">
        <f>IFERROR(INDEX(MgNombre,MATCH($C1066,MgActId,0)),"")</f>
        <v/>
      </c>
      <c r="E1066" s="64">
        <f>IFERROR(INDEX(MgProceso,MATCH($C1066,MgActId,0)),"")</f>
        <v/>
      </c>
      <c r="F1066" s="64">
        <f>IFERROR(INDEX(MgTipo,MATCH($C1066,MgActId,0)),"")</f>
        <v/>
      </c>
      <c r="G1066" s="64">
        <f>IFERROR(INDEX(MgSubtipo,MATCH($C1066,MgActId,0)),"")</f>
        <v/>
      </c>
      <c r="H1066" s="59" t="inlineStr">
        <is>
          <t>E.2</t>
        </is>
      </c>
      <c r="I1066" s="64">
        <f>IFERROR(INDEX(MgAmenNombre,MATCH(SUBSTITUTE($H1066,"*","-"),MgAmenClave,0)),"")</f>
        <v/>
      </c>
      <c r="J1066" s="28">
        <f>IFERROR(INDEX(MgAmenGrupo,MATCH(SUBSTITUTE($H1066,"*","-"),MgAmenClave,0)),"")</f>
        <v/>
      </c>
      <c r="K1066" s="64">
        <f>IFERROR(INDEX('1. Matriz de Activos'!$Q$6:$Q$239,MATCH($C1066,MgActId,0)),"")</f>
        <v/>
      </c>
      <c r="L1066" s="64">
        <f>IFERROR(INDEX('1. Matriz de Activos'!$R$6:$R$239,MATCH($C1066,MgActId,0)),"")</f>
        <v/>
      </c>
      <c r="M1066" s="64">
        <f>IFERROR(INDEX('1. Matriz de Activos'!$S$6:$S$239,MATCH($C1066,MgActId,0)),"")</f>
        <v/>
      </c>
      <c r="N1066" s="28">
        <f>IFERROR(INDEX(MgAmenDegD,MATCH(SUBSTITUTE($H1066,"*","-"),MgAmenClave,0)),"No aplica")</f>
        <v/>
      </c>
      <c r="O1066" s="28">
        <f>IFERROR(INDEX(MgAmenDegI,MATCH(SUBSTITUTE($H1066,"*","-"),MgAmenClave,0)),"No aplica")</f>
        <v/>
      </c>
      <c r="P1066" s="28">
        <f>IFERROR(INDEX(MgAmenDegC,MATCH(SUBSTITUTE($H1066,"*","-"),MgAmenClave,0)),"No aplica")</f>
        <v/>
      </c>
      <c r="Q1066" s="29">
        <f>IFERROR(VLOOKUP(K1066,MgValor,2,0)*VLOOKUP(N1066,MgDeg,2,0),0)</f>
        <v/>
      </c>
      <c r="R1066" s="29">
        <f>IFERROR(VLOOKUP(L1066,MgValor,2,0)*VLOOKUP(O1066,MgDeg,2,0),0)</f>
        <v/>
      </c>
      <c r="S1066" s="29">
        <f>IFERROR(VLOOKUP(M1066,MgValor,2,0)*VLOOKUP(P1066,MgDeg,2,0),0)</f>
        <v/>
      </c>
      <c r="T1066" s="30">
        <f>MAX(Q1066:S1066)</f>
        <v/>
      </c>
      <c r="U1066" s="28">
        <f>IFERROR(LOOKUP(T1066,{0;0.5;1.5;3;4.5},{"Despreciable";"Bajo";"Medio";"Alto";"Muy alto"}),"")</f>
        <v/>
      </c>
      <c r="V1066" s="13">
        <f>IFERROR(INDEX(MgAmenFrec,MATCH(SUBSTITUTE($H1066,"*","-"),MgAmenClave,0)),"")</f>
        <v/>
      </c>
      <c r="W1066" s="28">
        <f>IFERROR(LOOKUP(X1066,{0;0.01;0.1;1;10;100},{"Muy baja";"Muy baja";"Baja";"Media";"Alta";"Muy alta"}),"")</f>
        <v/>
      </c>
      <c r="X1066" s="31">
        <f>IFERROR(VLOOKUP(V1066,MgFrec,2,0),0)</f>
        <v/>
      </c>
      <c r="Y1066" s="30">
        <f>T1066*X1066</f>
        <v/>
      </c>
      <c r="Z1066" s="28">
        <f>IFERROR(LOOKUP(Y1066,{0;0.5;5;25},{"Bajo";"Medio";"Alto";"Crítico"}),"")</f>
        <v/>
      </c>
      <c r="AA1066" s="64">
        <f>IF(T1066&gt;=3,IF(X1066&gt;=1,"Zona 1 — Crítica: impacto alto y ocurre al menos una vez al año","Zona 4 — Catastrófica poco probable: impacto alto pero excepcional"),IF(AND(T1066&lt;1.5,X1066&lt;1),"Zona 3 — Asumible: impacto bajo y muy poco frecuente","Zona 2 — Atención: riesgo intermedio"))</f>
        <v/>
      </c>
      <c r="AB1066" s="64">
        <f>IFERROR(INDEX(MgAmenCtrl,MATCH(SUBSTITUTE($H1066,"*","-"),MgAmenClave,0)),"")</f>
        <v/>
      </c>
      <c r="AC1066" s="20" t="n"/>
      <c r="AD1066" s="31">
        <f>IFERROR($X1066*(1-IF($AC1066="",$AL1066,VLOOKUP($AC1066,MgMad,2,0))),"")</f>
        <v/>
      </c>
      <c r="AE1066" s="28">
        <f>IFERROR(LOOKUP(AD1066,{0;0.01;0.1;1;10;100},{"Muy baja";"Muy baja";"Baja";"Media";"Alta";"Muy alta"}),"")</f>
        <v/>
      </c>
      <c r="AF1066" s="30">
        <f>T1066*AD1066</f>
        <v/>
      </c>
      <c r="AG1066" s="28">
        <f>IFERROR(LOOKUP(AF1066,{0;0.5;5;25},{"Bajo";"Medio";"Alto";"Crítico"}),"")</f>
        <v/>
      </c>
      <c r="AH1066" s="28">
        <f>IF(AG1066="","",IF(OR(AG1066="Crítico",AG1066="Alto"),"Mitigar",IF(AG1066="Medio","Mitigar","Aceptar y monitorear")))</f>
        <v/>
      </c>
      <c r="AI1066" s="21" t="n"/>
      <c r="AJ1066" s="21" t="n"/>
      <c r="AK1066" s="20" t="n"/>
      <c r="AL1066" s="77">
        <f>IFERROR(INDEX(MgAmenEfic,MATCH(SUBSTITUTE($H1066,"*","-"),MgAmenClave,0)),0)</f>
        <v/>
      </c>
    </row>
    <row r="1067" hidden="1" ht="75" customHeight="1" s="54">
      <c r="B1067" s="59" t="inlineStr">
        <is>
          <t>R-1062</t>
        </is>
      </c>
      <c r="C1067" s="59" t="inlineStr">
        <is>
          <t>GH-001</t>
        </is>
      </c>
      <c r="D1067" s="64">
        <f>IFERROR(INDEX(MgNombre,MATCH($C1067,MgActId,0)),"")</f>
        <v/>
      </c>
      <c r="E1067" s="64">
        <f>IFERROR(INDEX(MgProceso,MATCH($C1067,MgActId,0)),"")</f>
        <v/>
      </c>
      <c r="F1067" s="64">
        <f>IFERROR(INDEX(MgTipo,MATCH($C1067,MgActId,0)),"")</f>
        <v/>
      </c>
      <c r="G1067" s="64">
        <f>IFERROR(INDEX(MgSubtipo,MATCH($C1067,MgActId,0)),"")</f>
        <v/>
      </c>
      <c r="H1067" s="59" t="inlineStr">
        <is>
          <t>E.3</t>
        </is>
      </c>
      <c r="I1067" s="64">
        <f>IFERROR(INDEX(MgAmenNombre,MATCH(SUBSTITUTE($H1067,"*","-"),MgAmenClave,0)),"")</f>
        <v/>
      </c>
      <c r="J1067" s="28">
        <f>IFERROR(INDEX(MgAmenGrupo,MATCH(SUBSTITUTE($H1067,"*","-"),MgAmenClave,0)),"")</f>
        <v/>
      </c>
      <c r="K1067" s="64">
        <f>IFERROR(INDEX('1. Matriz de Activos'!$Q$6:$Q$239,MATCH($C1067,MgActId,0)),"")</f>
        <v/>
      </c>
      <c r="L1067" s="64">
        <f>IFERROR(INDEX('1. Matriz de Activos'!$R$6:$R$239,MATCH($C1067,MgActId,0)),"")</f>
        <v/>
      </c>
      <c r="M1067" s="64">
        <f>IFERROR(INDEX('1. Matriz de Activos'!$S$6:$S$239,MATCH($C1067,MgActId,0)),"")</f>
        <v/>
      </c>
      <c r="N1067" s="28">
        <f>IFERROR(INDEX(MgAmenDegD,MATCH(SUBSTITUTE($H1067,"*","-"),MgAmenClave,0)),"No aplica")</f>
        <v/>
      </c>
      <c r="O1067" s="28">
        <f>IFERROR(INDEX(MgAmenDegI,MATCH(SUBSTITUTE($H1067,"*","-"),MgAmenClave,0)),"No aplica")</f>
        <v/>
      </c>
      <c r="P1067" s="28">
        <f>IFERROR(INDEX(MgAmenDegC,MATCH(SUBSTITUTE($H1067,"*","-"),MgAmenClave,0)),"No aplica")</f>
        <v/>
      </c>
      <c r="Q1067" s="29">
        <f>IFERROR(VLOOKUP(K1067,MgValor,2,0)*VLOOKUP(N1067,MgDeg,2,0),0)</f>
        <v/>
      </c>
      <c r="R1067" s="29">
        <f>IFERROR(VLOOKUP(L1067,MgValor,2,0)*VLOOKUP(O1067,MgDeg,2,0),0)</f>
        <v/>
      </c>
      <c r="S1067" s="29">
        <f>IFERROR(VLOOKUP(M1067,MgValor,2,0)*VLOOKUP(P1067,MgDeg,2,0),0)</f>
        <v/>
      </c>
      <c r="T1067" s="30">
        <f>MAX(Q1067:S1067)</f>
        <v/>
      </c>
      <c r="U1067" s="28">
        <f>IFERROR(LOOKUP(T1067,{0;0.5;1.5;3;4.5},{"Despreciable";"Bajo";"Medio";"Alto";"Muy alto"}),"")</f>
        <v/>
      </c>
      <c r="V1067" s="13">
        <f>IFERROR(INDEX(MgAmenFrec,MATCH(SUBSTITUTE($H1067,"*","-"),MgAmenClave,0)),"")</f>
        <v/>
      </c>
      <c r="W1067" s="28">
        <f>IFERROR(LOOKUP(X1067,{0;0.01;0.1;1;10;100},{"Muy baja";"Muy baja";"Baja";"Media";"Alta";"Muy alta"}),"")</f>
        <v/>
      </c>
      <c r="X1067" s="31">
        <f>IFERROR(VLOOKUP(V1067,MgFrec,2,0),0)</f>
        <v/>
      </c>
      <c r="Y1067" s="30">
        <f>T1067*X1067</f>
        <v/>
      </c>
      <c r="Z1067" s="28">
        <f>IFERROR(LOOKUP(Y1067,{0;0.5;5;25},{"Bajo";"Medio";"Alto";"Crítico"}),"")</f>
        <v/>
      </c>
      <c r="AA1067" s="64">
        <f>IF(T1067&gt;=3,IF(X1067&gt;=1,"Zona 1 — Crítica: impacto alto y ocurre al menos una vez al año","Zona 4 — Catastrófica poco probable: impacto alto pero excepcional"),IF(AND(T1067&lt;1.5,X1067&lt;1),"Zona 3 — Asumible: impacto bajo y muy poco frecuente","Zona 2 — Atención: riesgo intermedio"))</f>
        <v/>
      </c>
      <c r="AB1067" s="64">
        <f>IFERROR(INDEX(MgAmenCtrl,MATCH(SUBSTITUTE($H1067,"*","-"),MgAmenClave,0)),"")</f>
        <v/>
      </c>
      <c r="AC1067" s="20" t="n"/>
      <c r="AD1067" s="31">
        <f>IFERROR($X1067*(1-IF($AC1067="",$AL1067,VLOOKUP($AC1067,MgMad,2,0))),"")</f>
        <v/>
      </c>
      <c r="AE1067" s="28">
        <f>IFERROR(LOOKUP(AD1067,{0;0.01;0.1;1;10;100},{"Muy baja";"Muy baja";"Baja";"Media";"Alta";"Muy alta"}),"")</f>
        <v/>
      </c>
      <c r="AF1067" s="30">
        <f>T1067*AD1067</f>
        <v/>
      </c>
      <c r="AG1067" s="28">
        <f>IFERROR(LOOKUP(AF1067,{0;0.5;5;25},{"Bajo";"Medio";"Alto";"Crítico"}),"")</f>
        <v/>
      </c>
      <c r="AH1067" s="28">
        <f>IF(AG1067="","",IF(OR(AG1067="Crítico",AG1067="Alto"),"Mitigar",IF(AG1067="Medio","Mitigar","Aceptar y monitorear")))</f>
        <v/>
      </c>
      <c r="AI1067" s="21" t="n"/>
      <c r="AJ1067" s="21" t="n"/>
      <c r="AK1067" s="20" t="n"/>
      <c r="AL1067" s="77">
        <f>IFERROR(INDEX(MgAmenEfic,MATCH(SUBSTITUTE($H1067,"*","-"),MgAmenClave,0)),0)</f>
        <v/>
      </c>
    </row>
    <row r="1068" hidden="1" ht="75" customHeight="1" s="54">
      <c r="B1068" s="59" t="inlineStr">
        <is>
          <t>R-1063</t>
        </is>
      </c>
      <c r="C1068" s="59" t="inlineStr">
        <is>
          <t>GH-001</t>
        </is>
      </c>
      <c r="D1068" s="64">
        <f>IFERROR(INDEX(MgNombre,MATCH($C1068,MgActId,0)),"")</f>
        <v/>
      </c>
      <c r="E1068" s="64">
        <f>IFERROR(INDEX(MgProceso,MATCH($C1068,MgActId,0)),"")</f>
        <v/>
      </c>
      <c r="F1068" s="64">
        <f>IFERROR(INDEX(MgTipo,MATCH($C1068,MgActId,0)),"")</f>
        <v/>
      </c>
      <c r="G1068" s="64">
        <f>IFERROR(INDEX(MgSubtipo,MATCH($C1068,MgActId,0)),"")</f>
        <v/>
      </c>
      <c r="H1068" s="59" t="inlineStr">
        <is>
          <t>E.4</t>
        </is>
      </c>
      <c r="I1068" s="64">
        <f>IFERROR(INDEX(MgAmenNombre,MATCH(SUBSTITUTE($H1068,"*","-"),MgAmenClave,0)),"")</f>
        <v/>
      </c>
      <c r="J1068" s="28">
        <f>IFERROR(INDEX(MgAmenGrupo,MATCH(SUBSTITUTE($H1068,"*","-"),MgAmenClave,0)),"")</f>
        <v/>
      </c>
      <c r="K1068" s="64">
        <f>IFERROR(INDEX('1. Matriz de Activos'!$Q$6:$Q$239,MATCH($C1068,MgActId,0)),"")</f>
        <v/>
      </c>
      <c r="L1068" s="64">
        <f>IFERROR(INDEX('1. Matriz de Activos'!$R$6:$R$239,MATCH($C1068,MgActId,0)),"")</f>
        <v/>
      </c>
      <c r="M1068" s="64">
        <f>IFERROR(INDEX('1. Matriz de Activos'!$S$6:$S$239,MATCH($C1068,MgActId,0)),"")</f>
        <v/>
      </c>
      <c r="N1068" s="28">
        <f>IFERROR(INDEX(MgAmenDegD,MATCH(SUBSTITUTE($H1068,"*","-"),MgAmenClave,0)),"No aplica")</f>
        <v/>
      </c>
      <c r="O1068" s="28">
        <f>IFERROR(INDEX(MgAmenDegI,MATCH(SUBSTITUTE($H1068,"*","-"),MgAmenClave,0)),"No aplica")</f>
        <v/>
      </c>
      <c r="P1068" s="28">
        <f>IFERROR(INDEX(MgAmenDegC,MATCH(SUBSTITUTE($H1068,"*","-"),MgAmenClave,0)),"No aplica")</f>
        <v/>
      </c>
      <c r="Q1068" s="29">
        <f>IFERROR(VLOOKUP(K1068,MgValor,2,0)*VLOOKUP(N1068,MgDeg,2,0),0)</f>
        <v/>
      </c>
      <c r="R1068" s="29">
        <f>IFERROR(VLOOKUP(L1068,MgValor,2,0)*VLOOKUP(O1068,MgDeg,2,0),0)</f>
        <v/>
      </c>
      <c r="S1068" s="29">
        <f>IFERROR(VLOOKUP(M1068,MgValor,2,0)*VLOOKUP(P1068,MgDeg,2,0),0)</f>
        <v/>
      </c>
      <c r="T1068" s="30">
        <f>MAX(Q1068:S1068)</f>
        <v/>
      </c>
      <c r="U1068" s="28">
        <f>IFERROR(LOOKUP(T1068,{0;0.5;1.5;3;4.5},{"Despreciable";"Bajo";"Medio";"Alto";"Muy alto"}),"")</f>
        <v/>
      </c>
      <c r="V1068" s="13">
        <f>IFERROR(INDEX(MgAmenFrec,MATCH(SUBSTITUTE($H1068,"*","-"),MgAmenClave,0)),"")</f>
        <v/>
      </c>
      <c r="W1068" s="28">
        <f>IFERROR(LOOKUP(X1068,{0;0.01;0.1;1;10;100},{"Muy baja";"Muy baja";"Baja";"Media";"Alta";"Muy alta"}),"")</f>
        <v/>
      </c>
      <c r="X1068" s="31">
        <f>IFERROR(VLOOKUP(V1068,MgFrec,2,0),0)</f>
        <v/>
      </c>
      <c r="Y1068" s="30">
        <f>T1068*X1068</f>
        <v/>
      </c>
      <c r="Z1068" s="28">
        <f>IFERROR(LOOKUP(Y1068,{0;0.5;5;25},{"Bajo";"Medio";"Alto";"Crítico"}),"")</f>
        <v/>
      </c>
      <c r="AA1068" s="64">
        <f>IF(T1068&gt;=3,IF(X1068&gt;=1,"Zona 1 — Crítica: impacto alto y ocurre al menos una vez al año","Zona 4 — Catastrófica poco probable: impacto alto pero excepcional"),IF(AND(T1068&lt;1.5,X1068&lt;1),"Zona 3 — Asumible: impacto bajo y muy poco frecuente","Zona 2 — Atención: riesgo intermedio"))</f>
        <v/>
      </c>
      <c r="AB1068" s="64">
        <f>IFERROR(INDEX(MgAmenCtrl,MATCH(SUBSTITUTE($H1068,"*","-"),MgAmenClave,0)),"")</f>
        <v/>
      </c>
      <c r="AC1068" s="20" t="n"/>
      <c r="AD1068" s="31">
        <f>IFERROR($X1068*(1-IF($AC1068="",$AL1068,VLOOKUP($AC1068,MgMad,2,0))),"")</f>
        <v/>
      </c>
      <c r="AE1068" s="28">
        <f>IFERROR(LOOKUP(AD1068,{0;0.01;0.1;1;10;100},{"Muy baja";"Muy baja";"Baja";"Media";"Alta";"Muy alta"}),"")</f>
        <v/>
      </c>
      <c r="AF1068" s="30">
        <f>T1068*AD1068</f>
        <v/>
      </c>
      <c r="AG1068" s="28">
        <f>IFERROR(LOOKUP(AF1068,{0;0.5;5;25},{"Bajo";"Medio";"Alto";"Crítico"}),"")</f>
        <v/>
      </c>
      <c r="AH1068" s="28">
        <f>IF(AG1068="","",IF(OR(AG1068="Crítico",AG1068="Alto"),"Mitigar",IF(AG1068="Medio","Mitigar","Aceptar y monitorear")))</f>
        <v/>
      </c>
      <c r="AI1068" s="21" t="n"/>
      <c r="AJ1068" s="21" t="n"/>
      <c r="AK1068" s="20" t="n"/>
      <c r="AL1068" s="77">
        <f>IFERROR(INDEX(MgAmenEfic,MATCH(SUBSTITUTE($H1068,"*","-"),MgAmenClave,0)),0)</f>
        <v/>
      </c>
    </row>
    <row r="1069" hidden="1" ht="90" customHeight="1" s="54">
      <c r="B1069" s="59" t="inlineStr">
        <is>
          <t>R-1064</t>
        </is>
      </c>
      <c r="C1069" s="59" t="inlineStr">
        <is>
          <t>GH-001</t>
        </is>
      </c>
      <c r="D1069" s="64">
        <f>IFERROR(INDEX(MgNombre,MATCH($C1069,MgActId,0)),"")</f>
        <v/>
      </c>
      <c r="E1069" s="64">
        <f>IFERROR(INDEX(MgProceso,MATCH($C1069,MgActId,0)),"")</f>
        <v/>
      </c>
      <c r="F1069" s="64">
        <f>IFERROR(INDEX(MgTipo,MATCH($C1069,MgActId,0)),"")</f>
        <v/>
      </c>
      <c r="G1069" s="64">
        <f>IFERROR(INDEX(MgSubtipo,MATCH($C1069,MgActId,0)),"")</f>
        <v/>
      </c>
      <c r="H1069" s="59" t="inlineStr">
        <is>
          <t>E.14</t>
        </is>
      </c>
      <c r="I1069" s="64">
        <f>IFERROR(INDEX(MgAmenNombre,MATCH(SUBSTITUTE($H1069,"*","-"),MgAmenClave,0)),"")</f>
        <v/>
      </c>
      <c r="J1069" s="28">
        <f>IFERROR(INDEX(MgAmenGrupo,MATCH(SUBSTITUTE($H1069,"*","-"),MgAmenClave,0)),"")</f>
        <v/>
      </c>
      <c r="K1069" s="64">
        <f>IFERROR(INDEX('1. Matriz de Activos'!$Q$6:$Q$239,MATCH($C1069,MgActId,0)),"")</f>
        <v/>
      </c>
      <c r="L1069" s="64">
        <f>IFERROR(INDEX('1. Matriz de Activos'!$R$6:$R$239,MATCH($C1069,MgActId,0)),"")</f>
        <v/>
      </c>
      <c r="M1069" s="64">
        <f>IFERROR(INDEX('1. Matriz de Activos'!$S$6:$S$239,MATCH($C1069,MgActId,0)),"")</f>
        <v/>
      </c>
      <c r="N1069" s="28">
        <f>IFERROR(INDEX(MgAmenDegD,MATCH(SUBSTITUTE($H1069,"*","-"),MgAmenClave,0)),"No aplica")</f>
        <v/>
      </c>
      <c r="O1069" s="28">
        <f>IFERROR(INDEX(MgAmenDegI,MATCH(SUBSTITUTE($H1069,"*","-"),MgAmenClave,0)),"No aplica")</f>
        <v/>
      </c>
      <c r="P1069" s="28">
        <f>IFERROR(INDEX(MgAmenDegC,MATCH(SUBSTITUTE($H1069,"*","-"),MgAmenClave,0)),"No aplica")</f>
        <v/>
      </c>
      <c r="Q1069" s="29">
        <f>IFERROR(VLOOKUP(K1069,MgValor,2,0)*VLOOKUP(N1069,MgDeg,2,0),0)</f>
        <v/>
      </c>
      <c r="R1069" s="29">
        <f>IFERROR(VLOOKUP(L1069,MgValor,2,0)*VLOOKUP(O1069,MgDeg,2,0),0)</f>
        <v/>
      </c>
      <c r="S1069" s="29">
        <f>IFERROR(VLOOKUP(M1069,MgValor,2,0)*VLOOKUP(P1069,MgDeg,2,0),0)</f>
        <v/>
      </c>
      <c r="T1069" s="30">
        <f>MAX(Q1069:S1069)</f>
        <v/>
      </c>
      <c r="U1069" s="28">
        <f>IFERROR(LOOKUP(T1069,{0;0.5;1.5;3;4.5},{"Despreciable";"Bajo";"Medio";"Alto";"Muy alto"}),"")</f>
        <v/>
      </c>
      <c r="V1069" s="13">
        <f>IFERROR(INDEX(MgAmenFrec,MATCH(SUBSTITUTE($H1069,"*","-"),MgAmenClave,0)),"")</f>
        <v/>
      </c>
      <c r="W1069" s="28">
        <f>IFERROR(LOOKUP(X1069,{0;0.01;0.1;1;10;100},{"Muy baja";"Muy baja";"Baja";"Media";"Alta";"Muy alta"}),"")</f>
        <v/>
      </c>
      <c r="X1069" s="31">
        <f>IFERROR(VLOOKUP(V1069,MgFrec,2,0),0)</f>
        <v/>
      </c>
      <c r="Y1069" s="30">
        <f>T1069*X1069</f>
        <v/>
      </c>
      <c r="Z1069" s="28">
        <f>IFERROR(LOOKUP(Y1069,{0;0.5;5;25},{"Bajo";"Medio";"Alto";"Crítico"}),"")</f>
        <v/>
      </c>
      <c r="AA1069" s="64">
        <f>IF(T1069&gt;=3,IF(X1069&gt;=1,"Zona 1 — Crítica: impacto alto y ocurre al menos una vez al año","Zona 4 — Catastrófica poco probable: impacto alto pero excepcional"),IF(AND(T1069&lt;1.5,X1069&lt;1),"Zona 3 — Asumible: impacto bajo y muy poco frecuente","Zona 2 — Atención: riesgo intermedio"))</f>
        <v/>
      </c>
      <c r="AB1069" s="64">
        <f>IFERROR(INDEX(MgAmenCtrl,MATCH(SUBSTITUTE($H1069,"*","-"),MgAmenClave,0)),"")</f>
        <v/>
      </c>
      <c r="AC1069" s="20" t="n"/>
      <c r="AD1069" s="31">
        <f>IFERROR($X1069*(1-IF($AC1069="",$AL1069,VLOOKUP($AC1069,MgMad,2,0))),"")</f>
        <v/>
      </c>
      <c r="AE1069" s="28">
        <f>IFERROR(LOOKUP(AD1069,{0;0.01;0.1;1;10;100},{"Muy baja";"Muy baja";"Baja";"Media";"Alta";"Muy alta"}),"")</f>
        <v/>
      </c>
      <c r="AF1069" s="30">
        <f>T1069*AD1069</f>
        <v/>
      </c>
      <c r="AG1069" s="28">
        <f>IFERROR(LOOKUP(AF1069,{0;0.5;5;25},{"Bajo";"Medio";"Alto";"Crítico"}),"")</f>
        <v/>
      </c>
      <c r="AH1069" s="28">
        <f>IF(AG1069="","",IF(OR(AG1069="Crítico",AG1069="Alto"),"Mitigar",IF(AG1069="Medio","Mitigar","Aceptar y monitorear")))</f>
        <v/>
      </c>
      <c r="AI1069" s="21" t="n"/>
      <c r="AJ1069" s="21" t="n"/>
      <c r="AK1069" s="20" t="n"/>
      <c r="AL1069" s="77">
        <f>IFERROR(INDEX(MgAmenEfic,MATCH(SUBSTITUTE($H1069,"*","-"),MgAmenClave,0)),0)</f>
        <v/>
      </c>
    </row>
    <row r="1070" hidden="1" ht="90" customHeight="1" s="54">
      <c r="B1070" s="59" t="inlineStr">
        <is>
          <t>R-1065</t>
        </is>
      </c>
      <c r="C1070" s="59" t="inlineStr">
        <is>
          <t>GH-001</t>
        </is>
      </c>
      <c r="D1070" s="64">
        <f>IFERROR(INDEX(MgNombre,MATCH($C1070,MgActId,0)),"")</f>
        <v/>
      </c>
      <c r="E1070" s="64">
        <f>IFERROR(INDEX(MgProceso,MATCH($C1070,MgActId,0)),"")</f>
        <v/>
      </c>
      <c r="F1070" s="64">
        <f>IFERROR(INDEX(MgTipo,MATCH($C1070,MgActId,0)),"")</f>
        <v/>
      </c>
      <c r="G1070" s="64">
        <f>IFERROR(INDEX(MgSubtipo,MATCH($C1070,MgActId,0)),"")</f>
        <v/>
      </c>
      <c r="H1070" s="59" t="inlineStr">
        <is>
          <t>E.15</t>
        </is>
      </c>
      <c r="I1070" s="64">
        <f>IFERROR(INDEX(MgAmenNombre,MATCH(SUBSTITUTE($H1070,"*","-"),MgAmenClave,0)),"")</f>
        <v/>
      </c>
      <c r="J1070" s="28">
        <f>IFERROR(INDEX(MgAmenGrupo,MATCH(SUBSTITUTE($H1070,"*","-"),MgAmenClave,0)),"")</f>
        <v/>
      </c>
      <c r="K1070" s="64">
        <f>IFERROR(INDEX('1. Matriz de Activos'!$Q$6:$Q$239,MATCH($C1070,MgActId,0)),"")</f>
        <v/>
      </c>
      <c r="L1070" s="64">
        <f>IFERROR(INDEX('1. Matriz de Activos'!$R$6:$R$239,MATCH($C1070,MgActId,0)),"")</f>
        <v/>
      </c>
      <c r="M1070" s="64">
        <f>IFERROR(INDEX('1. Matriz de Activos'!$S$6:$S$239,MATCH($C1070,MgActId,0)),"")</f>
        <v/>
      </c>
      <c r="N1070" s="28">
        <f>IFERROR(INDEX(MgAmenDegD,MATCH(SUBSTITUTE($H1070,"*","-"),MgAmenClave,0)),"No aplica")</f>
        <v/>
      </c>
      <c r="O1070" s="28">
        <f>IFERROR(INDEX(MgAmenDegI,MATCH(SUBSTITUTE($H1070,"*","-"),MgAmenClave,0)),"No aplica")</f>
        <v/>
      </c>
      <c r="P1070" s="28">
        <f>IFERROR(INDEX(MgAmenDegC,MATCH(SUBSTITUTE($H1070,"*","-"),MgAmenClave,0)),"No aplica")</f>
        <v/>
      </c>
      <c r="Q1070" s="29">
        <f>IFERROR(VLOOKUP(K1070,MgValor,2,0)*VLOOKUP(N1070,MgDeg,2,0),0)</f>
        <v/>
      </c>
      <c r="R1070" s="29">
        <f>IFERROR(VLOOKUP(L1070,MgValor,2,0)*VLOOKUP(O1070,MgDeg,2,0),0)</f>
        <v/>
      </c>
      <c r="S1070" s="29">
        <f>IFERROR(VLOOKUP(M1070,MgValor,2,0)*VLOOKUP(P1070,MgDeg,2,0),0)</f>
        <v/>
      </c>
      <c r="T1070" s="30">
        <f>MAX(Q1070:S1070)</f>
        <v/>
      </c>
      <c r="U1070" s="28">
        <f>IFERROR(LOOKUP(T1070,{0;0.5;1.5;3;4.5},{"Despreciable";"Bajo";"Medio";"Alto";"Muy alto"}),"")</f>
        <v/>
      </c>
      <c r="V1070" s="13">
        <f>IFERROR(INDEX(MgAmenFrec,MATCH(SUBSTITUTE($H1070,"*","-"),MgAmenClave,0)),"")</f>
        <v/>
      </c>
      <c r="W1070" s="28">
        <f>IFERROR(LOOKUP(X1070,{0;0.01;0.1;1;10;100},{"Muy baja";"Muy baja";"Baja";"Media";"Alta";"Muy alta"}),"")</f>
        <v/>
      </c>
      <c r="X1070" s="31">
        <f>IFERROR(VLOOKUP(V1070,MgFrec,2,0),0)</f>
        <v/>
      </c>
      <c r="Y1070" s="30">
        <f>T1070*X1070</f>
        <v/>
      </c>
      <c r="Z1070" s="28">
        <f>IFERROR(LOOKUP(Y1070,{0;0.5;5;25},{"Bajo";"Medio";"Alto";"Crítico"}),"")</f>
        <v/>
      </c>
      <c r="AA1070" s="64">
        <f>IF(T1070&gt;=3,IF(X1070&gt;=1,"Zona 1 — Crítica: impacto alto y ocurre al menos una vez al año","Zona 4 — Catastrófica poco probable: impacto alto pero excepcional"),IF(AND(T1070&lt;1.5,X1070&lt;1),"Zona 3 — Asumible: impacto bajo y muy poco frecuente","Zona 2 — Atención: riesgo intermedio"))</f>
        <v/>
      </c>
      <c r="AB1070" s="64">
        <f>IFERROR(INDEX(MgAmenCtrl,MATCH(SUBSTITUTE($H1070,"*","-"),MgAmenClave,0)),"")</f>
        <v/>
      </c>
      <c r="AC1070" s="20" t="n"/>
      <c r="AD1070" s="31">
        <f>IFERROR($X1070*(1-IF($AC1070="",$AL1070,VLOOKUP($AC1070,MgMad,2,0))),"")</f>
        <v/>
      </c>
      <c r="AE1070" s="28">
        <f>IFERROR(LOOKUP(AD1070,{0;0.01;0.1;1;10;100},{"Muy baja";"Muy baja";"Baja";"Media";"Alta";"Muy alta"}),"")</f>
        <v/>
      </c>
      <c r="AF1070" s="30">
        <f>T1070*AD1070</f>
        <v/>
      </c>
      <c r="AG1070" s="28">
        <f>IFERROR(LOOKUP(AF1070,{0;0.5;5;25},{"Bajo";"Medio";"Alto";"Crítico"}),"")</f>
        <v/>
      </c>
      <c r="AH1070" s="28">
        <f>IF(AG1070="","",IF(OR(AG1070="Crítico",AG1070="Alto"),"Mitigar",IF(AG1070="Medio","Mitigar","Aceptar y monitorear")))</f>
        <v/>
      </c>
      <c r="AI1070" s="21" t="n"/>
      <c r="AJ1070" s="21" t="n"/>
      <c r="AK1070" s="20" t="n"/>
      <c r="AL1070" s="77">
        <f>IFERROR(INDEX(MgAmenEfic,MATCH(SUBSTITUTE($H1070,"*","-"),MgAmenClave,0)),0)</f>
        <v/>
      </c>
    </row>
    <row r="1071" hidden="1" ht="60" customHeight="1" s="54">
      <c r="B1071" s="59" t="inlineStr">
        <is>
          <t>R-1066</t>
        </is>
      </c>
      <c r="C1071" s="59" t="inlineStr">
        <is>
          <t>GH-001</t>
        </is>
      </c>
      <c r="D1071" s="64">
        <f>IFERROR(INDEX(MgNombre,MATCH($C1071,MgActId,0)),"")</f>
        <v/>
      </c>
      <c r="E1071" s="64">
        <f>IFERROR(INDEX(MgProceso,MATCH($C1071,MgActId,0)),"")</f>
        <v/>
      </c>
      <c r="F1071" s="64">
        <f>IFERROR(INDEX(MgTipo,MATCH($C1071,MgActId,0)),"")</f>
        <v/>
      </c>
      <c r="G1071" s="64">
        <f>IFERROR(INDEX(MgSubtipo,MATCH($C1071,MgActId,0)),"")</f>
        <v/>
      </c>
      <c r="H1071" s="59" t="inlineStr">
        <is>
          <t>E.18</t>
        </is>
      </c>
      <c r="I1071" s="64">
        <f>IFERROR(INDEX(MgAmenNombre,MATCH(SUBSTITUTE($H1071,"*","-"),MgAmenClave,0)),"")</f>
        <v/>
      </c>
      <c r="J1071" s="28">
        <f>IFERROR(INDEX(MgAmenGrupo,MATCH(SUBSTITUTE($H1071,"*","-"),MgAmenClave,0)),"")</f>
        <v/>
      </c>
      <c r="K1071" s="64">
        <f>IFERROR(INDEX('1. Matriz de Activos'!$Q$6:$Q$239,MATCH($C1071,MgActId,0)),"")</f>
        <v/>
      </c>
      <c r="L1071" s="64">
        <f>IFERROR(INDEX('1. Matriz de Activos'!$R$6:$R$239,MATCH($C1071,MgActId,0)),"")</f>
        <v/>
      </c>
      <c r="M1071" s="64">
        <f>IFERROR(INDEX('1. Matriz de Activos'!$S$6:$S$239,MATCH($C1071,MgActId,0)),"")</f>
        <v/>
      </c>
      <c r="N1071" s="28">
        <f>IFERROR(INDEX(MgAmenDegD,MATCH(SUBSTITUTE($H1071,"*","-"),MgAmenClave,0)),"No aplica")</f>
        <v/>
      </c>
      <c r="O1071" s="28">
        <f>IFERROR(INDEX(MgAmenDegI,MATCH(SUBSTITUTE($H1071,"*","-"),MgAmenClave,0)),"No aplica")</f>
        <v/>
      </c>
      <c r="P1071" s="28">
        <f>IFERROR(INDEX(MgAmenDegC,MATCH(SUBSTITUTE($H1071,"*","-"),MgAmenClave,0)),"No aplica")</f>
        <v/>
      </c>
      <c r="Q1071" s="29">
        <f>IFERROR(VLOOKUP(K1071,MgValor,2,0)*VLOOKUP(N1071,MgDeg,2,0),0)</f>
        <v/>
      </c>
      <c r="R1071" s="29">
        <f>IFERROR(VLOOKUP(L1071,MgValor,2,0)*VLOOKUP(O1071,MgDeg,2,0),0)</f>
        <v/>
      </c>
      <c r="S1071" s="29">
        <f>IFERROR(VLOOKUP(M1071,MgValor,2,0)*VLOOKUP(P1071,MgDeg,2,0),0)</f>
        <v/>
      </c>
      <c r="T1071" s="30">
        <f>MAX(Q1071:S1071)</f>
        <v/>
      </c>
      <c r="U1071" s="28">
        <f>IFERROR(LOOKUP(T1071,{0;0.5;1.5;3;4.5},{"Despreciable";"Bajo";"Medio";"Alto";"Muy alto"}),"")</f>
        <v/>
      </c>
      <c r="V1071" s="13">
        <f>IFERROR(INDEX(MgAmenFrec,MATCH(SUBSTITUTE($H1071,"*","-"),MgAmenClave,0)),"")</f>
        <v/>
      </c>
      <c r="W1071" s="28">
        <f>IFERROR(LOOKUP(X1071,{0;0.01;0.1;1;10;100},{"Muy baja";"Muy baja";"Baja";"Media";"Alta";"Muy alta"}),"")</f>
        <v/>
      </c>
      <c r="X1071" s="31">
        <f>IFERROR(VLOOKUP(V1071,MgFrec,2,0),0)</f>
        <v/>
      </c>
      <c r="Y1071" s="30">
        <f>T1071*X1071</f>
        <v/>
      </c>
      <c r="Z1071" s="28">
        <f>IFERROR(LOOKUP(Y1071,{0;0.5;5;25},{"Bajo";"Medio";"Alto";"Crítico"}),"")</f>
        <v/>
      </c>
      <c r="AA1071" s="64">
        <f>IF(T1071&gt;=3,IF(X1071&gt;=1,"Zona 1 — Crítica: impacto alto y ocurre al menos una vez al año","Zona 4 — Catastrófica poco probable: impacto alto pero excepcional"),IF(AND(T1071&lt;1.5,X1071&lt;1),"Zona 3 — Asumible: impacto bajo y muy poco frecuente","Zona 2 — Atención: riesgo intermedio"))</f>
        <v/>
      </c>
      <c r="AB1071" s="64">
        <f>IFERROR(INDEX(MgAmenCtrl,MATCH(SUBSTITUTE($H1071,"*","-"),MgAmenClave,0)),"")</f>
        <v/>
      </c>
      <c r="AC1071" s="20" t="n"/>
      <c r="AD1071" s="31">
        <f>IFERROR($X1071*(1-IF($AC1071="",$AL1071,VLOOKUP($AC1071,MgMad,2,0))),"")</f>
        <v/>
      </c>
      <c r="AE1071" s="28">
        <f>IFERROR(LOOKUP(AD1071,{0;0.01;0.1;1;10;100},{"Muy baja";"Muy baja";"Baja";"Media";"Alta";"Muy alta"}),"")</f>
        <v/>
      </c>
      <c r="AF1071" s="30">
        <f>T1071*AD1071</f>
        <v/>
      </c>
      <c r="AG1071" s="28">
        <f>IFERROR(LOOKUP(AF1071,{0;0.5;5;25},{"Bajo";"Medio";"Alto";"Crítico"}),"")</f>
        <v/>
      </c>
      <c r="AH1071" s="28">
        <f>IF(AG1071="","",IF(OR(AG1071="Crítico",AG1071="Alto"),"Mitigar",IF(AG1071="Medio","Mitigar","Aceptar y monitorear")))</f>
        <v/>
      </c>
      <c r="AI1071" s="21" t="n"/>
      <c r="AJ1071" s="21" t="n"/>
      <c r="AK1071" s="20" t="n"/>
      <c r="AL1071" s="77">
        <f>IFERROR(INDEX(MgAmenEfic,MATCH(SUBSTITUTE($H1071,"*","-"),MgAmenClave,0)),0)</f>
        <v/>
      </c>
    </row>
    <row r="1072" hidden="1" ht="105" customHeight="1" s="54">
      <c r="B1072" s="59" t="inlineStr">
        <is>
          <t>R-1067</t>
        </is>
      </c>
      <c r="C1072" s="59" t="inlineStr">
        <is>
          <t>GH-001</t>
        </is>
      </c>
      <c r="D1072" s="64">
        <f>IFERROR(INDEX(MgNombre,MATCH($C1072,MgActId,0)),"")</f>
        <v/>
      </c>
      <c r="E1072" s="64">
        <f>IFERROR(INDEX(MgProceso,MATCH($C1072,MgActId,0)),"")</f>
        <v/>
      </c>
      <c r="F1072" s="64">
        <f>IFERROR(INDEX(MgTipo,MATCH($C1072,MgActId,0)),"")</f>
        <v/>
      </c>
      <c r="G1072" s="64">
        <f>IFERROR(INDEX(MgSubtipo,MATCH($C1072,MgActId,0)),"")</f>
        <v/>
      </c>
      <c r="H1072" s="59" t="inlineStr">
        <is>
          <t>E.19</t>
        </is>
      </c>
      <c r="I1072" s="64">
        <f>IFERROR(INDEX(MgAmenNombre,MATCH(SUBSTITUTE($H1072,"*","-"),MgAmenClave,0)),"")</f>
        <v/>
      </c>
      <c r="J1072" s="28">
        <f>IFERROR(INDEX(MgAmenGrupo,MATCH(SUBSTITUTE($H1072,"*","-"),MgAmenClave,0)),"")</f>
        <v/>
      </c>
      <c r="K1072" s="64">
        <f>IFERROR(INDEX('1. Matriz de Activos'!$Q$6:$Q$239,MATCH($C1072,MgActId,0)),"")</f>
        <v/>
      </c>
      <c r="L1072" s="64">
        <f>IFERROR(INDEX('1. Matriz de Activos'!$R$6:$R$239,MATCH($C1072,MgActId,0)),"")</f>
        <v/>
      </c>
      <c r="M1072" s="64">
        <f>IFERROR(INDEX('1. Matriz de Activos'!$S$6:$S$239,MATCH($C1072,MgActId,0)),"")</f>
        <v/>
      </c>
      <c r="N1072" s="28">
        <f>IFERROR(INDEX(MgAmenDegD,MATCH(SUBSTITUTE($H1072,"*","-"),MgAmenClave,0)),"No aplica")</f>
        <v/>
      </c>
      <c r="O1072" s="28">
        <f>IFERROR(INDEX(MgAmenDegI,MATCH(SUBSTITUTE($H1072,"*","-"),MgAmenClave,0)),"No aplica")</f>
        <v/>
      </c>
      <c r="P1072" s="28">
        <f>IFERROR(INDEX(MgAmenDegC,MATCH(SUBSTITUTE($H1072,"*","-"),MgAmenClave,0)),"No aplica")</f>
        <v/>
      </c>
      <c r="Q1072" s="29">
        <f>IFERROR(VLOOKUP(K1072,MgValor,2,0)*VLOOKUP(N1072,MgDeg,2,0),0)</f>
        <v/>
      </c>
      <c r="R1072" s="29">
        <f>IFERROR(VLOOKUP(L1072,MgValor,2,0)*VLOOKUP(O1072,MgDeg,2,0),0)</f>
        <v/>
      </c>
      <c r="S1072" s="29">
        <f>IFERROR(VLOOKUP(M1072,MgValor,2,0)*VLOOKUP(P1072,MgDeg,2,0),0)</f>
        <v/>
      </c>
      <c r="T1072" s="30">
        <f>MAX(Q1072:S1072)</f>
        <v/>
      </c>
      <c r="U1072" s="28">
        <f>IFERROR(LOOKUP(T1072,{0;0.5;1.5;3;4.5},{"Despreciable";"Bajo";"Medio";"Alto";"Muy alto"}),"")</f>
        <v/>
      </c>
      <c r="V1072" s="13">
        <f>IFERROR(INDEX(MgAmenFrec,MATCH(SUBSTITUTE($H1072,"*","-"),MgAmenClave,0)),"")</f>
        <v/>
      </c>
      <c r="W1072" s="28">
        <f>IFERROR(LOOKUP(X1072,{0;0.01;0.1;1;10;100},{"Muy baja";"Muy baja";"Baja";"Media";"Alta";"Muy alta"}),"")</f>
        <v/>
      </c>
      <c r="X1072" s="31">
        <f>IFERROR(VLOOKUP(V1072,MgFrec,2,0),0)</f>
        <v/>
      </c>
      <c r="Y1072" s="30">
        <f>T1072*X1072</f>
        <v/>
      </c>
      <c r="Z1072" s="28">
        <f>IFERROR(LOOKUP(Y1072,{0;0.5;5;25},{"Bajo";"Medio";"Alto";"Crítico"}),"")</f>
        <v/>
      </c>
      <c r="AA1072" s="64">
        <f>IF(T1072&gt;=3,IF(X1072&gt;=1,"Zona 1 — Crítica: impacto alto y ocurre al menos una vez al año","Zona 4 — Catastrófica poco probable: impacto alto pero excepcional"),IF(AND(T1072&lt;1.5,X1072&lt;1),"Zona 3 — Asumible: impacto bajo y muy poco frecuente","Zona 2 — Atención: riesgo intermedio"))</f>
        <v/>
      </c>
      <c r="AB1072" s="64">
        <f>IFERROR(INDEX(MgAmenCtrl,MATCH(SUBSTITUTE($H1072,"*","-"),MgAmenClave,0)),"")</f>
        <v/>
      </c>
      <c r="AC1072" s="20" t="n"/>
      <c r="AD1072" s="31">
        <f>IFERROR($X1072*(1-IF($AC1072="",$AL1072,VLOOKUP($AC1072,MgMad,2,0))),"")</f>
        <v/>
      </c>
      <c r="AE1072" s="28">
        <f>IFERROR(LOOKUP(AD1072,{0;0.01;0.1;1;10;100},{"Muy baja";"Muy baja";"Baja";"Media";"Alta";"Muy alta"}),"")</f>
        <v/>
      </c>
      <c r="AF1072" s="30">
        <f>T1072*AD1072</f>
        <v/>
      </c>
      <c r="AG1072" s="28">
        <f>IFERROR(LOOKUP(AF1072,{0;0.5;5;25},{"Bajo";"Medio";"Alto";"Crítico"}),"")</f>
        <v/>
      </c>
      <c r="AH1072" s="28">
        <f>IF(AG1072="","",IF(OR(AG1072="Crítico",AG1072="Alto"),"Mitigar",IF(AG1072="Medio","Mitigar","Aceptar y monitorear")))</f>
        <v/>
      </c>
      <c r="AI1072" s="21" t="n"/>
      <c r="AJ1072" s="21" t="n"/>
      <c r="AK1072" s="20" t="n"/>
      <c r="AL1072" s="77">
        <f>IFERROR(INDEX(MgAmenEfic,MATCH(SUBSTITUTE($H1072,"*","-"),MgAmenClave,0)),0)</f>
        <v/>
      </c>
    </row>
    <row r="1073" hidden="1" ht="60" customHeight="1" s="54">
      <c r="B1073" s="59" t="inlineStr">
        <is>
          <t>R-1068</t>
        </is>
      </c>
      <c r="C1073" s="59" t="inlineStr">
        <is>
          <t>GH-001</t>
        </is>
      </c>
      <c r="D1073" s="64">
        <f>IFERROR(INDEX(MgNombre,MATCH($C1073,MgActId,0)),"")</f>
        <v/>
      </c>
      <c r="E1073" s="64">
        <f>IFERROR(INDEX(MgProceso,MATCH($C1073,MgActId,0)),"")</f>
        <v/>
      </c>
      <c r="F1073" s="64">
        <f>IFERROR(INDEX(MgTipo,MATCH($C1073,MgActId,0)),"")</f>
        <v/>
      </c>
      <c r="G1073" s="64">
        <f>IFERROR(INDEX(MgSubtipo,MATCH($C1073,MgActId,0)),"")</f>
        <v/>
      </c>
      <c r="H1073" s="59" t="inlineStr">
        <is>
          <t>A.3</t>
        </is>
      </c>
      <c r="I1073" s="64">
        <f>IFERROR(INDEX(MgAmenNombre,MATCH(SUBSTITUTE($H1073,"*","-"),MgAmenClave,0)),"")</f>
        <v/>
      </c>
      <c r="J1073" s="28">
        <f>IFERROR(INDEX(MgAmenGrupo,MATCH(SUBSTITUTE($H1073,"*","-"),MgAmenClave,0)),"")</f>
        <v/>
      </c>
      <c r="K1073" s="64">
        <f>IFERROR(INDEX('1. Matriz de Activos'!$Q$6:$Q$239,MATCH($C1073,MgActId,0)),"")</f>
        <v/>
      </c>
      <c r="L1073" s="64">
        <f>IFERROR(INDEX('1. Matriz de Activos'!$R$6:$R$239,MATCH($C1073,MgActId,0)),"")</f>
        <v/>
      </c>
      <c r="M1073" s="64">
        <f>IFERROR(INDEX('1. Matriz de Activos'!$S$6:$S$239,MATCH($C1073,MgActId,0)),"")</f>
        <v/>
      </c>
      <c r="N1073" s="28">
        <f>IFERROR(INDEX(MgAmenDegD,MATCH(SUBSTITUTE($H1073,"*","-"),MgAmenClave,0)),"No aplica")</f>
        <v/>
      </c>
      <c r="O1073" s="28">
        <f>IFERROR(INDEX(MgAmenDegI,MATCH(SUBSTITUTE($H1073,"*","-"),MgAmenClave,0)),"No aplica")</f>
        <v/>
      </c>
      <c r="P1073" s="28">
        <f>IFERROR(INDEX(MgAmenDegC,MATCH(SUBSTITUTE($H1073,"*","-"),MgAmenClave,0)),"No aplica")</f>
        <v/>
      </c>
      <c r="Q1073" s="29">
        <f>IFERROR(VLOOKUP(K1073,MgValor,2,0)*VLOOKUP(N1073,MgDeg,2,0),0)</f>
        <v/>
      </c>
      <c r="R1073" s="29">
        <f>IFERROR(VLOOKUP(L1073,MgValor,2,0)*VLOOKUP(O1073,MgDeg,2,0),0)</f>
        <v/>
      </c>
      <c r="S1073" s="29">
        <f>IFERROR(VLOOKUP(M1073,MgValor,2,0)*VLOOKUP(P1073,MgDeg,2,0),0)</f>
        <v/>
      </c>
      <c r="T1073" s="30">
        <f>MAX(Q1073:S1073)</f>
        <v/>
      </c>
      <c r="U1073" s="28">
        <f>IFERROR(LOOKUP(T1073,{0;0.5;1.5;3;4.5},{"Despreciable";"Bajo";"Medio";"Alto";"Muy alto"}),"")</f>
        <v/>
      </c>
      <c r="V1073" s="13">
        <f>IFERROR(INDEX(MgAmenFrec,MATCH(SUBSTITUTE($H1073,"*","-"),MgAmenClave,0)),"")</f>
        <v/>
      </c>
      <c r="W1073" s="28">
        <f>IFERROR(LOOKUP(X1073,{0;0.01;0.1;1;10;100},{"Muy baja";"Muy baja";"Baja";"Media";"Alta";"Muy alta"}),"")</f>
        <v/>
      </c>
      <c r="X1073" s="31">
        <f>IFERROR(VLOOKUP(V1073,MgFrec,2,0),0)</f>
        <v/>
      </c>
      <c r="Y1073" s="30">
        <f>T1073*X1073</f>
        <v/>
      </c>
      <c r="Z1073" s="28">
        <f>IFERROR(LOOKUP(Y1073,{0;0.5;5;25},{"Bajo";"Medio";"Alto";"Crítico"}),"")</f>
        <v/>
      </c>
      <c r="AA1073" s="64">
        <f>IF(T1073&gt;=3,IF(X1073&gt;=1,"Zona 1 — Crítica: impacto alto y ocurre al menos una vez al año","Zona 4 — Catastrófica poco probable: impacto alto pero excepcional"),IF(AND(T1073&lt;1.5,X1073&lt;1),"Zona 3 — Asumible: impacto bajo y muy poco frecuente","Zona 2 — Atención: riesgo intermedio"))</f>
        <v/>
      </c>
      <c r="AB1073" s="64">
        <f>IFERROR(INDEX(MgAmenCtrl,MATCH(SUBSTITUTE($H1073,"*","-"),MgAmenClave,0)),"")</f>
        <v/>
      </c>
      <c r="AC1073" s="20" t="n"/>
      <c r="AD1073" s="31">
        <f>IFERROR($X1073*(1-IF($AC1073="",$AL1073,VLOOKUP($AC1073,MgMad,2,0))),"")</f>
        <v/>
      </c>
      <c r="AE1073" s="28">
        <f>IFERROR(LOOKUP(AD1073,{0;0.01;0.1;1;10;100},{"Muy baja";"Muy baja";"Baja";"Media";"Alta";"Muy alta"}),"")</f>
        <v/>
      </c>
      <c r="AF1073" s="30">
        <f>T1073*AD1073</f>
        <v/>
      </c>
      <c r="AG1073" s="28">
        <f>IFERROR(LOOKUP(AF1073,{0;0.5;5;25},{"Bajo";"Medio";"Alto";"Crítico"}),"")</f>
        <v/>
      </c>
      <c r="AH1073" s="28">
        <f>IF(AG1073="","",IF(OR(AG1073="Crítico",AG1073="Alto"),"Mitigar",IF(AG1073="Medio","Mitigar","Aceptar y monitorear")))</f>
        <v/>
      </c>
      <c r="AI1073" s="21" t="n"/>
      <c r="AJ1073" s="21" t="n"/>
      <c r="AK1073" s="20" t="n"/>
      <c r="AL1073" s="77">
        <f>IFERROR(INDEX(MgAmenEfic,MATCH(SUBSTITUTE($H1073,"*","-"),MgAmenClave,0)),0)</f>
        <v/>
      </c>
    </row>
    <row r="1074" hidden="1" ht="60" customHeight="1" s="54">
      <c r="B1074" s="59" t="inlineStr">
        <is>
          <t>R-1069</t>
        </is>
      </c>
      <c r="C1074" s="59" t="inlineStr">
        <is>
          <t>GH-001</t>
        </is>
      </c>
      <c r="D1074" s="64">
        <f>IFERROR(INDEX(MgNombre,MATCH($C1074,MgActId,0)),"")</f>
        <v/>
      </c>
      <c r="E1074" s="64">
        <f>IFERROR(INDEX(MgProceso,MATCH($C1074,MgActId,0)),"")</f>
        <v/>
      </c>
      <c r="F1074" s="64">
        <f>IFERROR(INDEX(MgTipo,MATCH($C1074,MgActId,0)),"")</f>
        <v/>
      </c>
      <c r="G1074" s="64">
        <f>IFERROR(INDEX(MgSubtipo,MATCH($C1074,MgActId,0)),"")</f>
        <v/>
      </c>
      <c r="H1074" s="59" t="inlineStr">
        <is>
          <t>A.4</t>
        </is>
      </c>
      <c r="I1074" s="64">
        <f>IFERROR(INDEX(MgAmenNombre,MATCH(SUBSTITUTE($H1074,"*","-"),MgAmenClave,0)),"")</f>
        <v/>
      </c>
      <c r="J1074" s="28">
        <f>IFERROR(INDEX(MgAmenGrupo,MATCH(SUBSTITUTE($H1074,"*","-"),MgAmenClave,0)),"")</f>
        <v/>
      </c>
      <c r="K1074" s="64">
        <f>IFERROR(INDEX('1. Matriz de Activos'!$Q$6:$Q$239,MATCH($C1074,MgActId,0)),"")</f>
        <v/>
      </c>
      <c r="L1074" s="64">
        <f>IFERROR(INDEX('1. Matriz de Activos'!$R$6:$R$239,MATCH($C1074,MgActId,0)),"")</f>
        <v/>
      </c>
      <c r="M1074" s="64">
        <f>IFERROR(INDEX('1. Matriz de Activos'!$S$6:$S$239,MATCH($C1074,MgActId,0)),"")</f>
        <v/>
      </c>
      <c r="N1074" s="28">
        <f>IFERROR(INDEX(MgAmenDegD,MATCH(SUBSTITUTE($H1074,"*","-"),MgAmenClave,0)),"No aplica")</f>
        <v/>
      </c>
      <c r="O1074" s="28">
        <f>IFERROR(INDEX(MgAmenDegI,MATCH(SUBSTITUTE($H1074,"*","-"),MgAmenClave,0)),"No aplica")</f>
        <v/>
      </c>
      <c r="P1074" s="28">
        <f>IFERROR(INDEX(MgAmenDegC,MATCH(SUBSTITUTE($H1074,"*","-"),MgAmenClave,0)),"No aplica")</f>
        <v/>
      </c>
      <c r="Q1074" s="29">
        <f>IFERROR(VLOOKUP(K1074,MgValor,2,0)*VLOOKUP(N1074,MgDeg,2,0),0)</f>
        <v/>
      </c>
      <c r="R1074" s="29">
        <f>IFERROR(VLOOKUP(L1074,MgValor,2,0)*VLOOKUP(O1074,MgDeg,2,0),0)</f>
        <v/>
      </c>
      <c r="S1074" s="29">
        <f>IFERROR(VLOOKUP(M1074,MgValor,2,0)*VLOOKUP(P1074,MgDeg,2,0),0)</f>
        <v/>
      </c>
      <c r="T1074" s="30">
        <f>MAX(Q1074:S1074)</f>
        <v/>
      </c>
      <c r="U1074" s="28">
        <f>IFERROR(LOOKUP(T1074,{0;0.5;1.5;3;4.5},{"Despreciable";"Bajo";"Medio";"Alto";"Muy alto"}),"")</f>
        <v/>
      </c>
      <c r="V1074" s="13">
        <f>IFERROR(INDEX(MgAmenFrec,MATCH(SUBSTITUTE($H1074,"*","-"),MgAmenClave,0)),"")</f>
        <v/>
      </c>
      <c r="W1074" s="28">
        <f>IFERROR(LOOKUP(X1074,{0;0.01;0.1;1;10;100},{"Muy baja";"Muy baja";"Baja";"Media";"Alta";"Muy alta"}),"")</f>
        <v/>
      </c>
      <c r="X1074" s="31">
        <f>IFERROR(VLOOKUP(V1074,MgFrec,2,0),0)</f>
        <v/>
      </c>
      <c r="Y1074" s="30">
        <f>T1074*X1074</f>
        <v/>
      </c>
      <c r="Z1074" s="28">
        <f>IFERROR(LOOKUP(Y1074,{0;0.5;5;25},{"Bajo";"Medio";"Alto";"Crítico"}),"")</f>
        <v/>
      </c>
      <c r="AA1074" s="64">
        <f>IF(T1074&gt;=3,IF(X1074&gt;=1,"Zona 1 — Crítica: impacto alto y ocurre al menos una vez al año","Zona 4 — Catastrófica poco probable: impacto alto pero excepcional"),IF(AND(T1074&lt;1.5,X1074&lt;1),"Zona 3 — Asumible: impacto bajo y muy poco frecuente","Zona 2 — Atención: riesgo intermedio"))</f>
        <v/>
      </c>
      <c r="AB1074" s="64">
        <f>IFERROR(INDEX(MgAmenCtrl,MATCH(SUBSTITUTE($H1074,"*","-"),MgAmenClave,0)),"")</f>
        <v/>
      </c>
      <c r="AC1074" s="20" t="n"/>
      <c r="AD1074" s="31">
        <f>IFERROR($X1074*(1-IF($AC1074="",$AL1074,VLOOKUP($AC1074,MgMad,2,0))),"")</f>
        <v/>
      </c>
      <c r="AE1074" s="28">
        <f>IFERROR(LOOKUP(AD1074,{0;0.01;0.1;1;10;100},{"Muy baja";"Muy baja";"Baja";"Media";"Alta";"Muy alta"}),"")</f>
        <v/>
      </c>
      <c r="AF1074" s="30">
        <f>T1074*AD1074</f>
        <v/>
      </c>
      <c r="AG1074" s="28">
        <f>IFERROR(LOOKUP(AF1074,{0;0.5;5;25},{"Bajo";"Medio";"Alto";"Crítico"}),"")</f>
        <v/>
      </c>
      <c r="AH1074" s="28">
        <f>IF(AG1074="","",IF(OR(AG1074="Crítico",AG1074="Alto"),"Mitigar",IF(AG1074="Medio","Mitigar","Aceptar y monitorear")))</f>
        <v/>
      </c>
      <c r="AI1074" s="21" t="n"/>
      <c r="AJ1074" s="21" t="n"/>
      <c r="AK1074" s="20" t="n"/>
      <c r="AL1074" s="77">
        <f>IFERROR(INDEX(MgAmenEfic,MATCH(SUBSTITUTE($H1074,"*","-"),MgAmenClave,0)),0)</f>
        <v/>
      </c>
    </row>
    <row r="1075" hidden="1" ht="75" customHeight="1" s="54">
      <c r="B1075" s="59" t="inlineStr">
        <is>
          <t>R-1070</t>
        </is>
      </c>
      <c r="C1075" s="59" t="inlineStr">
        <is>
          <t>GH-001</t>
        </is>
      </c>
      <c r="D1075" s="64">
        <f>IFERROR(INDEX(MgNombre,MATCH($C1075,MgActId,0)),"")</f>
        <v/>
      </c>
      <c r="E1075" s="64">
        <f>IFERROR(INDEX(MgProceso,MATCH($C1075,MgActId,0)),"")</f>
        <v/>
      </c>
      <c r="F1075" s="64">
        <f>IFERROR(INDEX(MgTipo,MATCH($C1075,MgActId,0)),"")</f>
        <v/>
      </c>
      <c r="G1075" s="64">
        <f>IFERROR(INDEX(MgSubtipo,MATCH($C1075,MgActId,0)),"")</f>
        <v/>
      </c>
      <c r="H1075" s="59" t="inlineStr">
        <is>
          <t>A.5</t>
        </is>
      </c>
      <c r="I1075" s="64">
        <f>IFERROR(INDEX(MgAmenNombre,MATCH(SUBSTITUTE($H1075,"*","-"),MgAmenClave,0)),"")</f>
        <v/>
      </c>
      <c r="J1075" s="28">
        <f>IFERROR(INDEX(MgAmenGrupo,MATCH(SUBSTITUTE($H1075,"*","-"),MgAmenClave,0)),"")</f>
        <v/>
      </c>
      <c r="K1075" s="64">
        <f>IFERROR(INDEX('1. Matriz de Activos'!$Q$6:$Q$239,MATCH($C1075,MgActId,0)),"")</f>
        <v/>
      </c>
      <c r="L1075" s="64">
        <f>IFERROR(INDEX('1. Matriz de Activos'!$R$6:$R$239,MATCH($C1075,MgActId,0)),"")</f>
        <v/>
      </c>
      <c r="M1075" s="64">
        <f>IFERROR(INDEX('1. Matriz de Activos'!$S$6:$S$239,MATCH($C1075,MgActId,0)),"")</f>
        <v/>
      </c>
      <c r="N1075" s="28">
        <f>IFERROR(INDEX(MgAmenDegD,MATCH(SUBSTITUTE($H1075,"*","-"),MgAmenClave,0)),"No aplica")</f>
        <v/>
      </c>
      <c r="O1075" s="28">
        <f>IFERROR(INDEX(MgAmenDegI,MATCH(SUBSTITUTE($H1075,"*","-"),MgAmenClave,0)),"No aplica")</f>
        <v/>
      </c>
      <c r="P1075" s="28">
        <f>IFERROR(INDEX(MgAmenDegC,MATCH(SUBSTITUTE($H1075,"*","-"),MgAmenClave,0)),"No aplica")</f>
        <v/>
      </c>
      <c r="Q1075" s="29">
        <f>IFERROR(VLOOKUP(K1075,MgValor,2,0)*VLOOKUP(N1075,MgDeg,2,0),0)</f>
        <v/>
      </c>
      <c r="R1075" s="29">
        <f>IFERROR(VLOOKUP(L1075,MgValor,2,0)*VLOOKUP(O1075,MgDeg,2,0),0)</f>
        <v/>
      </c>
      <c r="S1075" s="29">
        <f>IFERROR(VLOOKUP(M1075,MgValor,2,0)*VLOOKUP(P1075,MgDeg,2,0),0)</f>
        <v/>
      </c>
      <c r="T1075" s="30">
        <f>MAX(Q1075:S1075)</f>
        <v/>
      </c>
      <c r="U1075" s="28">
        <f>IFERROR(LOOKUP(T1075,{0;0.5;1.5;3;4.5},{"Despreciable";"Bajo";"Medio";"Alto";"Muy alto"}),"")</f>
        <v/>
      </c>
      <c r="V1075" s="13">
        <f>IFERROR(INDEX(MgAmenFrec,MATCH(SUBSTITUTE($H1075,"*","-"),MgAmenClave,0)),"")</f>
        <v/>
      </c>
      <c r="W1075" s="28">
        <f>IFERROR(LOOKUP(X1075,{0;0.01;0.1;1;10;100},{"Muy baja";"Muy baja";"Baja";"Media";"Alta";"Muy alta"}),"")</f>
        <v/>
      </c>
      <c r="X1075" s="31">
        <f>IFERROR(VLOOKUP(V1075,MgFrec,2,0),0)</f>
        <v/>
      </c>
      <c r="Y1075" s="30">
        <f>T1075*X1075</f>
        <v/>
      </c>
      <c r="Z1075" s="28">
        <f>IFERROR(LOOKUP(Y1075,{0;0.5;5;25},{"Bajo";"Medio";"Alto";"Crítico"}),"")</f>
        <v/>
      </c>
      <c r="AA1075" s="64">
        <f>IF(T1075&gt;=3,IF(X1075&gt;=1,"Zona 1 — Crítica: impacto alto y ocurre al menos una vez al año","Zona 4 — Catastrófica poco probable: impacto alto pero excepcional"),IF(AND(T1075&lt;1.5,X1075&lt;1),"Zona 3 — Asumible: impacto bajo y muy poco frecuente","Zona 2 — Atención: riesgo intermedio"))</f>
        <v/>
      </c>
      <c r="AB1075" s="64">
        <f>IFERROR(INDEX(MgAmenCtrl,MATCH(SUBSTITUTE($H1075,"*","-"),MgAmenClave,0)),"")</f>
        <v/>
      </c>
      <c r="AC1075" s="20" t="n"/>
      <c r="AD1075" s="31">
        <f>IFERROR($X1075*(1-IF($AC1075="",$AL1075,VLOOKUP($AC1075,MgMad,2,0))),"")</f>
        <v/>
      </c>
      <c r="AE1075" s="28">
        <f>IFERROR(LOOKUP(AD1075,{0;0.01;0.1;1;10;100},{"Muy baja";"Muy baja";"Baja";"Media";"Alta";"Muy alta"}),"")</f>
        <v/>
      </c>
      <c r="AF1075" s="30">
        <f>T1075*AD1075</f>
        <v/>
      </c>
      <c r="AG1075" s="28">
        <f>IFERROR(LOOKUP(AF1075,{0;0.5;5;25},{"Bajo";"Medio";"Alto";"Crítico"}),"")</f>
        <v/>
      </c>
      <c r="AH1075" s="28">
        <f>IF(AG1075="","",IF(OR(AG1075="Crítico",AG1075="Alto"),"Mitigar",IF(AG1075="Medio","Mitigar","Aceptar y monitorear")))</f>
        <v/>
      </c>
      <c r="AI1075" s="21" t="n"/>
      <c r="AJ1075" s="21" t="n"/>
      <c r="AK1075" s="20" t="n"/>
      <c r="AL1075" s="77">
        <f>IFERROR(INDEX(MgAmenEfic,MATCH(SUBSTITUTE($H1075,"*","-"),MgAmenClave,0)),0)</f>
        <v/>
      </c>
    </row>
    <row r="1076" hidden="1" ht="105" customHeight="1" s="54">
      <c r="B1076" s="59" t="inlineStr">
        <is>
          <t>R-1071</t>
        </is>
      </c>
      <c r="C1076" s="59" t="inlineStr">
        <is>
          <t>GH-001</t>
        </is>
      </c>
      <c r="D1076" s="64">
        <f>IFERROR(INDEX(MgNombre,MATCH($C1076,MgActId,0)),"")</f>
        <v/>
      </c>
      <c r="E1076" s="64">
        <f>IFERROR(INDEX(MgProceso,MATCH($C1076,MgActId,0)),"")</f>
        <v/>
      </c>
      <c r="F1076" s="64">
        <f>IFERROR(INDEX(MgTipo,MATCH($C1076,MgActId,0)),"")</f>
        <v/>
      </c>
      <c r="G1076" s="64">
        <f>IFERROR(INDEX(MgSubtipo,MATCH($C1076,MgActId,0)),"")</f>
        <v/>
      </c>
      <c r="H1076" s="59" t="inlineStr">
        <is>
          <t>A.6</t>
        </is>
      </c>
      <c r="I1076" s="64">
        <f>IFERROR(INDEX(MgAmenNombre,MATCH(SUBSTITUTE($H1076,"*","-"),MgAmenClave,0)),"")</f>
        <v/>
      </c>
      <c r="J1076" s="28">
        <f>IFERROR(INDEX(MgAmenGrupo,MATCH(SUBSTITUTE($H1076,"*","-"),MgAmenClave,0)),"")</f>
        <v/>
      </c>
      <c r="K1076" s="64">
        <f>IFERROR(INDEX('1. Matriz de Activos'!$Q$6:$Q$239,MATCH($C1076,MgActId,0)),"")</f>
        <v/>
      </c>
      <c r="L1076" s="64">
        <f>IFERROR(INDEX('1. Matriz de Activos'!$R$6:$R$239,MATCH($C1076,MgActId,0)),"")</f>
        <v/>
      </c>
      <c r="M1076" s="64">
        <f>IFERROR(INDEX('1. Matriz de Activos'!$S$6:$S$239,MATCH($C1076,MgActId,0)),"")</f>
        <v/>
      </c>
      <c r="N1076" s="28">
        <f>IFERROR(INDEX(MgAmenDegD,MATCH(SUBSTITUTE($H1076,"*","-"),MgAmenClave,0)),"No aplica")</f>
        <v/>
      </c>
      <c r="O1076" s="28">
        <f>IFERROR(INDEX(MgAmenDegI,MATCH(SUBSTITUTE($H1076,"*","-"),MgAmenClave,0)),"No aplica")</f>
        <v/>
      </c>
      <c r="P1076" s="28">
        <f>IFERROR(INDEX(MgAmenDegC,MATCH(SUBSTITUTE($H1076,"*","-"),MgAmenClave,0)),"No aplica")</f>
        <v/>
      </c>
      <c r="Q1076" s="29">
        <f>IFERROR(VLOOKUP(K1076,MgValor,2,0)*VLOOKUP(N1076,MgDeg,2,0),0)</f>
        <v/>
      </c>
      <c r="R1076" s="29">
        <f>IFERROR(VLOOKUP(L1076,MgValor,2,0)*VLOOKUP(O1076,MgDeg,2,0),0)</f>
        <v/>
      </c>
      <c r="S1076" s="29">
        <f>IFERROR(VLOOKUP(M1076,MgValor,2,0)*VLOOKUP(P1076,MgDeg,2,0),0)</f>
        <v/>
      </c>
      <c r="T1076" s="30">
        <f>MAX(Q1076:S1076)</f>
        <v/>
      </c>
      <c r="U1076" s="28">
        <f>IFERROR(LOOKUP(T1076,{0;0.5;1.5;3;4.5},{"Despreciable";"Bajo";"Medio";"Alto";"Muy alto"}),"")</f>
        <v/>
      </c>
      <c r="V1076" s="13">
        <f>IFERROR(INDEX(MgAmenFrec,MATCH(SUBSTITUTE($H1076,"*","-"),MgAmenClave,0)),"")</f>
        <v/>
      </c>
      <c r="W1076" s="28">
        <f>IFERROR(LOOKUP(X1076,{0;0.01;0.1;1;10;100},{"Muy baja";"Muy baja";"Baja";"Media";"Alta";"Muy alta"}),"")</f>
        <v/>
      </c>
      <c r="X1076" s="31">
        <f>IFERROR(VLOOKUP(V1076,MgFrec,2,0),0)</f>
        <v/>
      </c>
      <c r="Y1076" s="30">
        <f>T1076*X1076</f>
        <v/>
      </c>
      <c r="Z1076" s="28">
        <f>IFERROR(LOOKUP(Y1076,{0;0.5;5;25},{"Bajo";"Medio";"Alto";"Crítico"}),"")</f>
        <v/>
      </c>
      <c r="AA1076" s="64">
        <f>IF(T1076&gt;=3,IF(X1076&gt;=1,"Zona 1 — Crítica: impacto alto y ocurre al menos una vez al año","Zona 4 — Catastrófica poco probable: impacto alto pero excepcional"),IF(AND(T1076&lt;1.5,X1076&lt;1),"Zona 3 — Asumible: impacto bajo y muy poco frecuente","Zona 2 — Atención: riesgo intermedio"))</f>
        <v/>
      </c>
      <c r="AB1076" s="64">
        <f>IFERROR(INDEX(MgAmenCtrl,MATCH(SUBSTITUTE($H1076,"*","-"),MgAmenClave,0)),"")</f>
        <v/>
      </c>
      <c r="AC1076" s="20" t="n"/>
      <c r="AD1076" s="31">
        <f>IFERROR($X1076*(1-IF($AC1076="",$AL1076,VLOOKUP($AC1076,MgMad,2,0))),"")</f>
        <v/>
      </c>
      <c r="AE1076" s="28">
        <f>IFERROR(LOOKUP(AD1076,{0;0.01;0.1;1;10;100},{"Muy baja";"Muy baja";"Baja";"Media";"Alta";"Muy alta"}),"")</f>
        <v/>
      </c>
      <c r="AF1076" s="30">
        <f>T1076*AD1076</f>
        <v/>
      </c>
      <c r="AG1076" s="28">
        <f>IFERROR(LOOKUP(AF1076,{0;0.5;5;25},{"Bajo";"Medio";"Alto";"Crítico"}),"")</f>
        <v/>
      </c>
      <c r="AH1076" s="28">
        <f>IF(AG1076="","",IF(OR(AG1076="Crítico",AG1076="Alto"),"Mitigar",IF(AG1076="Medio","Mitigar","Aceptar y monitorear")))</f>
        <v/>
      </c>
      <c r="AI1076" s="21" t="n"/>
      <c r="AJ1076" s="21" t="n"/>
      <c r="AK1076" s="20" t="n"/>
      <c r="AL1076" s="77">
        <f>IFERROR(INDEX(MgAmenEfic,MATCH(SUBSTITUTE($H1076,"*","-"),MgAmenClave,0)),0)</f>
        <v/>
      </c>
    </row>
    <row r="1077" hidden="1" ht="120" customHeight="1" s="54">
      <c r="B1077" s="59" t="inlineStr">
        <is>
          <t>R-1072</t>
        </is>
      </c>
      <c r="C1077" s="59" t="inlineStr">
        <is>
          <t>GH-001</t>
        </is>
      </c>
      <c r="D1077" s="64">
        <f>IFERROR(INDEX(MgNombre,MATCH($C1077,MgActId,0)),"")</f>
        <v/>
      </c>
      <c r="E1077" s="64">
        <f>IFERROR(INDEX(MgProceso,MATCH($C1077,MgActId,0)),"")</f>
        <v/>
      </c>
      <c r="F1077" s="64">
        <f>IFERROR(INDEX(MgTipo,MATCH($C1077,MgActId,0)),"")</f>
        <v/>
      </c>
      <c r="G1077" s="64">
        <f>IFERROR(INDEX(MgSubtipo,MATCH($C1077,MgActId,0)),"")</f>
        <v/>
      </c>
      <c r="H1077" s="59" t="inlineStr">
        <is>
          <t>A.11</t>
        </is>
      </c>
      <c r="I1077" s="64">
        <f>IFERROR(INDEX(MgAmenNombre,MATCH(SUBSTITUTE($H1077,"*","-"),MgAmenClave,0)),"")</f>
        <v/>
      </c>
      <c r="J1077" s="28">
        <f>IFERROR(INDEX(MgAmenGrupo,MATCH(SUBSTITUTE($H1077,"*","-"),MgAmenClave,0)),"")</f>
        <v/>
      </c>
      <c r="K1077" s="64">
        <f>IFERROR(INDEX('1. Matriz de Activos'!$Q$6:$Q$239,MATCH($C1077,MgActId,0)),"")</f>
        <v/>
      </c>
      <c r="L1077" s="64">
        <f>IFERROR(INDEX('1. Matriz de Activos'!$R$6:$R$239,MATCH($C1077,MgActId,0)),"")</f>
        <v/>
      </c>
      <c r="M1077" s="64">
        <f>IFERROR(INDEX('1. Matriz de Activos'!$S$6:$S$239,MATCH($C1077,MgActId,0)),"")</f>
        <v/>
      </c>
      <c r="N1077" s="28">
        <f>IFERROR(INDEX(MgAmenDegD,MATCH(SUBSTITUTE($H1077,"*","-"),MgAmenClave,0)),"No aplica")</f>
        <v/>
      </c>
      <c r="O1077" s="28">
        <f>IFERROR(INDEX(MgAmenDegI,MATCH(SUBSTITUTE($H1077,"*","-"),MgAmenClave,0)),"No aplica")</f>
        <v/>
      </c>
      <c r="P1077" s="28">
        <f>IFERROR(INDEX(MgAmenDegC,MATCH(SUBSTITUTE($H1077,"*","-"),MgAmenClave,0)),"No aplica")</f>
        <v/>
      </c>
      <c r="Q1077" s="29">
        <f>IFERROR(VLOOKUP(K1077,MgValor,2,0)*VLOOKUP(N1077,MgDeg,2,0),0)</f>
        <v/>
      </c>
      <c r="R1077" s="29">
        <f>IFERROR(VLOOKUP(L1077,MgValor,2,0)*VLOOKUP(O1077,MgDeg,2,0),0)</f>
        <v/>
      </c>
      <c r="S1077" s="29">
        <f>IFERROR(VLOOKUP(M1077,MgValor,2,0)*VLOOKUP(P1077,MgDeg,2,0),0)</f>
        <v/>
      </c>
      <c r="T1077" s="30">
        <f>MAX(Q1077:S1077)</f>
        <v/>
      </c>
      <c r="U1077" s="28">
        <f>IFERROR(LOOKUP(T1077,{0;0.5;1.5;3;4.5},{"Despreciable";"Bajo";"Medio";"Alto";"Muy alto"}),"")</f>
        <v/>
      </c>
      <c r="V1077" s="13">
        <f>IFERROR(INDEX(MgAmenFrec,MATCH(SUBSTITUTE($H1077,"*","-"),MgAmenClave,0)),"")</f>
        <v/>
      </c>
      <c r="W1077" s="28">
        <f>IFERROR(LOOKUP(X1077,{0;0.01;0.1;1;10;100},{"Muy baja";"Muy baja";"Baja";"Media";"Alta";"Muy alta"}),"")</f>
        <v/>
      </c>
      <c r="X1077" s="31">
        <f>IFERROR(VLOOKUP(V1077,MgFrec,2,0),0)</f>
        <v/>
      </c>
      <c r="Y1077" s="30">
        <f>T1077*X1077</f>
        <v/>
      </c>
      <c r="Z1077" s="28">
        <f>IFERROR(LOOKUP(Y1077,{0;0.5;5;25},{"Bajo";"Medio";"Alto";"Crítico"}),"")</f>
        <v/>
      </c>
      <c r="AA1077" s="64">
        <f>IF(T1077&gt;=3,IF(X1077&gt;=1,"Zona 1 — Crítica: impacto alto y ocurre al menos una vez al año","Zona 4 — Catastrófica poco probable: impacto alto pero excepcional"),IF(AND(T1077&lt;1.5,X1077&lt;1),"Zona 3 — Asumible: impacto bajo y muy poco frecuente","Zona 2 — Atención: riesgo intermedio"))</f>
        <v/>
      </c>
      <c r="AB1077" s="64">
        <f>IFERROR(INDEX(MgAmenCtrl,MATCH(SUBSTITUTE($H1077,"*","-"),MgAmenClave,0)),"")</f>
        <v/>
      </c>
      <c r="AC1077" s="20" t="n"/>
      <c r="AD1077" s="31">
        <f>IFERROR($X1077*(1-IF($AC1077="",$AL1077,VLOOKUP($AC1077,MgMad,2,0))),"")</f>
        <v/>
      </c>
      <c r="AE1077" s="28">
        <f>IFERROR(LOOKUP(AD1077,{0;0.01;0.1;1;10;100},{"Muy baja";"Muy baja";"Baja";"Media";"Alta";"Muy alta"}),"")</f>
        <v/>
      </c>
      <c r="AF1077" s="30">
        <f>T1077*AD1077</f>
        <v/>
      </c>
      <c r="AG1077" s="28">
        <f>IFERROR(LOOKUP(AF1077,{0;0.5;5;25},{"Bajo";"Medio";"Alto";"Crítico"}),"")</f>
        <v/>
      </c>
      <c r="AH1077" s="28">
        <f>IF(AG1077="","",IF(OR(AG1077="Crítico",AG1077="Alto"),"Mitigar",IF(AG1077="Medio","Mitigar","Aceptar y monitorear")))</f>
        <v/>
      </c>
      <c r="AI1077" s="21" t="n"/>
      <c r="AJ1077" s="21" t="n"/>
      <c r="AK1077" s="20" t="n"/>
      <c r="AL1077" s="77">
        <f>IFERROR(INDEX(MgAmenEfic,MATCH(SUBSTITUTE($H1077,"*","-"),MgAmenClave,0)),0)</f>
        <v/>
      </c>
    </row>
    <row r="1078" hidden="1" ht="90" customHeight="1" s="54">
      <c r="B1078" s="59" t="inlineStr">
        <is>
          <t>R-1073</t>
        </is>
      </c>
      <c r="C1078" s="59" t="inlineStr">
        <is>
          <t>GH-001</t>
        </is>
      </c>
      <c r="D1078" s="64">
        <f>IFERROR(INDEX(MgNombre,MATCH($C1078,MgActId,0)),"")</f>
        <v/>
      </c>
      <c r="E1078" s="64">
        <f>IFERROR(INDEX(MgProceso,MATCH($C1078,MgActId,0)),"")</f>
        <v/>
      </c>
      <c r="F1078" s="64">
        <f>IFERROR(INDEX(MgTipo,MATCH($C1078,MgActId,0)),"")</f>
        <v/>
      </c>
      <c r="G1078" s="64">
        <f>IFERROR(INDEX(MgSubtipo,MATCH($C1078,MgActId,0)),"")</f>
        <v/>
      </c>
      <c r="H1078" s="59" t="inlineStr">
        <is>
          <t>A.13</t>
        </is>
      </c>
      <c r="I1078" s="64">
        <f>IFERROR(INDEX(MgAmenNombre,MATCH(SUBSTITUTE($H1078,"*","-"),MgAmenClave,0)),"")</f>
        <v/>
      </c>
      <c r="J1078" s="28">
        <f>IFERROR(INDEX(MgAmenGrupo,MATCH(SUBSTITUTE($H1078,"*","-"),MgAmenClave,0)),"")</f>
        <v/>
      </c>
      <c r="K1078" s="64">
        <f>IFERROR(INDEX('1. Matriz de Activos'!$Q$6:$Q$239,MATCH($C1078,MgActId,0)),"")</f>
        <v/>
      </c>
      <c r="L1078" s="64">
        <f>IFERROR(INDEX('1. Matriz de Activos'!$R$6:$R$239,MATCH($C1078,MgActId,0)),"")</f>
        <v/>
      </c>
      <c r="M1078" s="64">
        <f>IFERROR(INDEX('1. Matriz de Activos'!$S$6:$S$239,MATCH($C1078,MgActId,0)),"")</f>
        <v/>
      </c>
      <c r="N1078" s="28">
        <f>IFERROR(INDEX(MgAmenDegD,MATCH(SUBSTITUTE($H1078,"*","-"),MgAmenClave,0)),"No aplica")</f>
        <v/>
      </c>
      <c r="O1078" s="28">
        <f>IFERROR(INDEX(MgAmenDegI,MATCH(SUBSTITUTE($H1078,"*","-"),MgAmenClave,0)),"No aplica")</f>
        <v/>
      </c>
      <c r="P1078" s="28">
        <f>IFERROR(INDEX(MgAmenDegC,MATCH(SUBSTITUTE($H1078,"*","-"),MgAmenClave,0)),"No aplica")</f>
        <v/>
      </c>
      <c r="Q1078" s="29">
        <f>IFERROR(VLOOKUP(K1078,MgValor,2,0)*VLOOKUP(N1078,MgDeg,2,0),0)</f>
        <v/>
      </c>
      <c r="R1078" s="29">
        <f>IFERROR(VLOOKUP(L1078,MgValor,2,0)*VLOOKUP(O1078,MgDeg,2,0),0)</f>
        <v/>
      </c>
      <c r="S1078" s="29">
        <f>IFERROR(VLOOKUP(M1078,MgValor,2,0)*VLOOKUP(P1078,MgDeg,2,0),0)</f>
        <v/>
      </c>
      <c r="T1078" s="30">
        <f>MAX(Q1078:S1078)</f>
        <v/>
      </c>
      <c r="U1078" s="28">
        <f>IFERROR(LOOKUP(T1078,{0;0.5;1.5;3;4.5},{"Despreciable";"Bajo";"Medio";"Alto";"Muy alto"}),"")</f>
        <v/>
      </c>
      <c r="V1078" s="13">
        <f>IFERROR(INDEX(MgAmenFrec,MATCH(SUBSTITUTE($H1078,"*","-"),MgAmenClave,0)),"")</f>
        <v/>
      </c>
      <c r="W1078" s="28">
        <f>IFERROR(LOOKUP(X1078,{0;0.01;0.1;1;10;100},{"Muy baja";"Muy baja";"Baja";"Media";"Alta";"Muy alta"}),"")</f>
        <v/>
      </c>
      <c r="X1078" s="31">
        <f>IFERROR(VLOOKUP(V1078,MgFrec,2,0),0)</f>
        <v/>
      </c>
      <c r="Y1078" s="30">
        <f>T1078*X1078</f>
        <v/>
      </c>
      <c r="Z1078" s="28">
        <f>IFERROR(LOOKUP(Y1078,{0;0.5;5;25},{"Bajo";"Medio";"Alto";"Crítico"}),"")</f>
        <v/>
      </c>
      <c r="AA1078" s="64">
        <f>IF(T1078&gt;=3,IF(X1078&gt;=1,"Zona 1 — Crítica: impacto alto y ocurre al menos una vez al año","Zona 4 — Catastrófica poco probable: impacto alto pero excepcional"),IF(AND(T1078&lt;1.5,X1078&lt;1),"Zona 3 — Asumible: impacto bajo y muy poco frecuente","Zona 2 — Atención: riesgo intermedio"))</f>
        <v/>
      </c>
      <c r="AB1078" s="64">
        <f>IFERROR(INDEX(MgAmenCtrl,MATCH(SUBSTITUTE($H1078,"*","-"),MgAmenClave,0)),"")</f>
        <v/>
      </c>
      <c r="AC1078" s="20" t="n"/>
      <c r="AD1078" s="31">
        <f>IFERROR($X1078*(1-IF($AC1078="",$AL1078,VLOOKUP($AC1078,MgMad,2,0))),"")</f>
        <v/>
      </c>
      <c r="AE1078" s="28">
        <f>IFERROR(LOOKUP(AD1078,{0;0.01;0.1;1;10;100},{"Muy baja";"Muy baja";"Baja";"Media";"Alta";"Muy alta"}),"")</f>
        <v/>
      </c>
      <c r="AF1078" s="30">
        <f>T1078*AD1078</f>
        <v/>
      </c>
      <c r="AG1078" s="28">
        <f>IFERROR(LOOKUP(AF1078,{0;0.5;5;25},{"Bajo";"Medio";"Alto";"Crítico"}),"")</f>
        <v/>
      </c>
      <c r="AH1078" s="28">
        <f>IF(AG1078="","",IF(OR(AG1078="Crítico",AG1078="Alto"),"Mitigar",IF(AG1078="Medio","Mitigar","Aceptar y monitorear")))</f>
        <v/>
      </c>
      <c r="AI1078" s="21" t="n"/>
      <c r="AJ1078" s="21" t="n"/>
      <c r="AK1078" s="20" t="n"/>
      <c r="AL1078" s="77">
        <f>IFERROR(INDEX(MgAmenEfic,MATCH(SUBSTITUTE($H1078,"*","-"),MgAmenClave,0)),0)</f>
        <v/>
      </c>
    </row>
    <row r="1079" hidden="1" ht="60" customHeight="1" s="54">
      <c r="B1079" s="59" t="inlineStr">
        <is>
          <t>R-1074</t>
        </is>
      </c>
      <c r="C1079" s="59" t="inlineStr">
        <is>
          <t>GH-001</t>
        </is>
      </c>
      <c r="D1079" s="64">
        <f>IFERROR(INDEX(MgNombre,MATCH($C1079,MgActId,0)),"")</f>
        <v/>
      </c>
      <c r="E1079" s="64">
        <f>IFERROR(INDEX(MgProceso,MATCH($C1079,MgActId,0)),"")</f>
        <v/>
      </c>
      <c r="F1079" s="64">
        <f>IFERROR(INDEX(MgTipo,MATCH($C1079,MgActId,0)),"")</f>
        <v/>
      </c>
      <c r="G1079" s="64">
        <f>IFERROR(INDEX(MgSubtipo,MATCH($C1079,MgActId,0)),"")</f>
        <v/>
      </c>
      <c r="H1079" s="59" t="inlineStr">
        <is>
          <t>A.15</t>
        </is>
      </c>
      <c r="I1079" s="64">
        <f>IFERROR(INDEX(MgAmenNombre,MATCH(SUBSTITUTE($H1079,"*","-"),MgAmenClave,0)),"")</f>
        <v/>
      </c>
      <c r="J1079" s="28">
        <f>IFERROR(INDEX(MgAmenGrupo,MATCH(SUBSTITUTE($H1079,"*","-"),MgAmenClave,0)),"")</f>
        <v/>
      </c>
      <c r="K1079" s="64">
        <f>IFERROR(INDEX('1. Matriz de Activos'!$Q$6:$Q$239,MATCH($C1079,MgActId,0)),"")</f>
        <v/>
      </c>
      <c r="L1079" s="64">
        <f>IFERROR(INDEX('1. Matriz de Activos'!$R$6:$R$239,MATCH($C1079,MgActId,0)),"")</f>
        <v/>
      </c>
      <c r="M1079" s="64">
        <f>IFERROR(INDEX('1. Matriz de Activos'!$S$6:$S$239,MATCH($C1079,MgActId,0)),"")</f>
        <v/>
      </c>
      <c r="N1079" s="28">
        <f>IFERROR(INDEX(MgAmenDegD,MATCH(SUBSTITUTE($H1079,"*","-"),MgAmenClave,0)),"No aplica")</f>
        <v/>
      </c>
      <c r="O1079" s="28">
        <f>IFERROR(INDEX(MgAmenDegI,MATCH(SUBSTITUTE($H1079,"*","-"),MgAmenClave,0)),"No aplica")</f>
        <v/>
      </c>
      <c r="P1079" s="28">
        <f>IFERROR(INDEX(MgAmenDegC,MATCH(SUBSTITUTE($H1079,"*","-"),MgAmenClave,0)),"No aplica")</f>
        <v/>
      </c>
      <c r="Q1079" s="29">
        <f>IFERROR(VLOOKUP(K1079,MgValor,2,0)*VLOOKUP(N1079,MgDeg,2,0),0)</f>
        <v/>
      </c>
      <c r="R1079" s="29">
        <f>IFERROR(VLOOKUP(L1079,MgValor,2,0)*VLOOKUP(O1079,MgDeg,2,0),0)</f>
        <v/>
      </c>
      <c r="S1079" s="29">
        <f>IFERROR(VLOOKUP(M1079,MgValor,2,0)*VLOOKUP(P1079,MgDeg,2,0),0)</f>
        <v/>
      </c>
      <c r="T1079" s="30">
        <f>MAX(Q1079:S1079)</f>
        <v/>
      </c>
      <c r="U1079" s="28">
        <f>IFERROR(LOOKUP(T1079,{0;0.5;1.5;3;4.5},{"Despreciable";"Bajo";"Medio";"Alto";"Muy alto"}),"")</f>
        <v/>
      </c>
      <c r="V1079" s="13">
        <f>IFERROR(INDEX(MgAmenFrec,MATCH(SUBSTITUTE($H1079,"*","-"),MgAmenClave,0)),"")</f>
        <v/>
      </c>
      <c r="W1079" s="28">
        <f>IFERROR(LOOKUP(X1079,{0;0.01;0.1;1;10;100},{"Muy baja";"Muy baja";"Baja";"Media";"Alta";"Muy alta"}),"")</f>
        <v/>
      </c>
      <c r="X1079" s="31">
        <f>IFERROR(VLOOKUP(V1079,MgFrec,2,0),0)</f>
        <v/>
      </c>
      <c r="Y1079" s="30">
        <f>T1079*X1079</f>
        <v/>
      </c>
      <c r="Z1079" s="28">
        <f>IFERROR(LOOKUP(Y1079,{0;0.5;5;25},{"Bajo";"Medio";"Alto";"Crítico"}),"")</f>
        <v/>
      </c>
      <c r="AA1079" s="64">
        <f>IF(T1079&gt;=3,IF(X1079&gt;=1,"Zona 1 — Crítica: impacto alto y ocurre al menos una vez al año","Zona 4 — Catastrófica poco probable: impacto alto pero excepcional"),IF(AND(T1079&lt;1.5,X1079&lt;1),"Zona 3 — Asumible: impacto bajo y muy poco frecuente","Zona 2 — Atención: riesgo intermedio"))</f>
        <v/>
      </c>
      <c r="AB1079" s="64">
        <f>IFERROR(INDEX(MgAmenCtrl,MATCH(SUBSTITUTE($H1079,"*","-"),MgAmenClave,0)),"")</f>
        <v/>
      </c>
      <c r="AC1079" s="20" t="n"/>
      <c r="AD1079" s="31">
        <f>IFERROR($X1079*(1-IF($AC1079="",$AL1079,VLOOKUP($AC1079,MgMad,2,0))),"")</f>
        <v/>
      </c>
      <c r="AE1079" s="28">
        <f>IFERROR(LOOKUP(AD1079,{0;0.01;0.1;1;10;100},{"Muy baja";"Muy baja";"Baja";"Media";"Alta";"Muy alta"}),"")</f>
        <v/>
      </c>
      <c r="AF1079" s="30">
        <f>T1079*AD1079</f>
        <v/>
      </c>
      <c r="AG1079" s="28">
        <f>IFERROR(LOOKUP(AF1079,{0;0.5;5;25},{"Bajo";"Medio";"Alto";"Crítico"}),"")</f>
        <v/>
      </c>
      <c r="AH1079" s="28">
        <f>IF(AG1079="","",IF(OR(AG1079="Crítico",AG1079="Alto"),"Mitigar",IF(AG1079="Medio","Mitigar","Aceptar y monitorear")))</f>
        <v/>
      </c>
      <c r="AI1079" s="21" t="n"/>
      <c r="AJ1079" s="21" t="n"/>
      <c r="AK1079" s="20" t="n"/>
      <c r="AL1079" s="77">
        <f>IFERROR(INDEX(MgAmenEfic,MATCH(SUBSTITUTE($H1079,"*","-"),MgAmenClave,0)),0)</f>
        <v/>
      </c>
    </row>
    <row r="1080" hidden="1" ht="60" customHeight="1" s="54">
      <c r="B1080" s="59" t="inlineStr">
        <is>
          <t>R-1075</t>
        </is>
      </c>
      <c r="C1080" s="59" t="inlineStr">
        <is>
          <t>GH-001</t>
        </is>
      </c>
      <c r="D1080" s="64">
        <f>IFERROR(INDEX(MgNombre,MATCH($C1080,MgActId,0)),"")</f>
        <v/>
      </c>
      <c r="E1080" s="64">
        <f>IFERROR(INDEX(MgProceso,MATCH($C1080,MgActId,0)),"")</f>
        <v/>
      </c>
      <c r="F1080" s="64">
        <f>IFERROR(INDEX(MgTipo,MATCH($C1080,MgActId,0)),"")</f>
        <v/>
      </c>
      <c r="G1080" s="64">
        <f>IFERROR(INDEX(MgSubtipo,MATCH($C1080,MgActId,0)),"")</f>
        <v/>
      </c>
      <c r="H1080" s="59" t="inlineStr">
        <is>
          <t>A.18</t>
        </is>
      </c>
      <c r="I1080" s="64">
        <f>IFERROR(INDEX(MgAmenNombre,MATCH(SUBSTITUTE($H1080,"*","-"),MgAmenClave,0)),"")</f>
        <v/>
      </c>
      <c r="J1080" s="28">
        <f>IFERROR(INDEX(MgAmenGrupo,MATCH(SUBSTITUTE($H1080,"*","-"),MgAmenClave,0)),"")</f>
        <v/>
      </c>
      <c r="K1080" s="64">
        <f>IFERROR(INDEX('1. Matriz de Activos'!$Q$6:$Q$239,MATCH($C1080,MgActId,0)),"")</f>
        <v/>
      </c>
      <c r="L1080" s="64">
        <f>IFERROR(INDEX('1. Matriz de Activos'!$R$6:$R$239,MATCH($C1080,MgActId,0)),"")</f>
        <v/>
      </c>
      <c r="M1080" s="64">
        <f>IFERROR(INDEX('1. Matriz de Activos'!$S$6:$S$239,MATCH($C1080,MgActId,0)),"")</f>
        <v/>
      </c>
      <c r="N1080" s="28">
        <f>IFERROR(INDEX(MgAmenDegD,MATCH(SUBSTITUTE($H1080,"*","-"),MgAmenClave,0)),"No aplica")</f>
        <v/>
      </c>
      <c r="O1080" s="28">
        <f>IFERROR(INDEX(MgAmenDegI,MATCH(SUBSTITUTE($H1080,"*","-"),MgAmenClave,0)),"No aplica")</f>
        <v/>
      </c>
      <c r="P1080" s="28">
        <f>IFERROR(INDEX(MgAmenDegC,MATCH(SUBSTITUTE($H1080,"*","-"),MgAmenClave,0)),"No aplica")</f>
        <v/>
      </c>
      <c r="Q1080" s="29">
        <f>IFERROR(VLOOKUP(K1080,MgValor,2,0)*VLOOKUP(N1080,MgDeg,2,0),0)</f>
        <v/>
      </c>
      <c r="R1080" s="29">
        <f>IFERROR(VLOOKUP(L1080,MgValor,2,0)*VLOOKUP(O1080,MgDeg,2,0),0)</f>
        <v/>
      </c>
      <c r="S1080" s="29">
        <f>IFERROR(VLOOKUP(M1080,MgValor,2,0)*VLOOKUP(P1080,MgDeg,2,0),0)</f>
        <v/>
      </c>
      <c r="T1080" s="30">
        <f>MAX(Q1080:S1080)</f>
        <v/>
      </c>
      <c r="U1080" s="28">
        <f>IFERROR(LOOKUP(T1080,{0;0.5;1.5;3;4.5},{"Despreciable";"Bajo";"Medio";"Alto";"Muy alto"}),"")</f>
        <v/>
      </c>
      <c r="V1080" s="13">
        <f>IFERROR(INDEX(MgAmenFrec,MATCH(SUBSTITUTE($H1080,"*","-"),MgAmenClave,0)),"")</f>
        <v/>
      </c>
      <c r="W1080" s="28">
        <f>IFERROR(LOOKUP(X1080,{0;0.01;0.1;1;10;100},{"Muy baja";"Muy baja";"Baja";"Media";"Alta";"Muy alta"}),"")</f>
        <v/>
      </c>
      <c r="X1080" s="31">
        <f>IFERROR(VLOOKUP(V1080,MgFrec,2,0),0)</f>
        <v/>
      </c>
      <c r="Y1080" s="30">
        <f>T1080*X1080</f>
        <v/>
      </c>
      <c r="Z1080" s="28">
        <f>IFERROR(LOOKUP(Y1080,{0;0.5;5;25},{"Bajo";"Medio";"Alto";"Crítico"}),"")</f>
        <v/>
      </c>
      <c r="AA1080" s="64">
        <f>IF(T1080&gt;=3,IF(X1080&gt;=1,"Zona 1 — Crítica: impacto alto y ocurre al menos una vez al año","Zona 4 — Catastrófica poco probable: impacto alto pero excepcional"),IF(AND(T1080&lt;1.5,X1080&lt;1),"Zona 3 — Asumible: impacto bajo y muy poco frecuente","Zona 2 — Atención: riesgo intermedio"))</f>
        <v/>
      </c>
      <c r="AB1080" s="64">
        <f>IFERROR(INDEX(MgAmenCtrl,MATCH(SUBSTITUTE($H1080,"*","-"),MgAmenClave,0)),"")</f>
        <v/>
      </c>
      <c r="AC1080" s="20" t="n"/>
      <c r="AD1080" s="31">
        <f>IFERROR($X1080*(1-IF($AC1080="",$AL1080,VLOOKUP($AC1080,MgMad,2,0))),"")</f>
        <v/>
      </c>
      <c r="AE1080" s="28">
        <f>IFERROR(LOOKUP(AD1080,{0;0.01;0.1;1;10;100},{"Muy baja";"Muy baja";"Baja";"Media";"Alta";"Muy alta"}),"")</f>
        <v/>
      </c>
      <c r="AF1080" s="30">
        <f>T1080*AD1080</f>
        <v/>
      </c>
      <c r="AG1080" s="28">
        <f>IFERROR(LOOKUP(AF1080,{0;0.5;5;25},{"Bajo";"Medio";"Alto";"Crítico"}),"")</f>
        <v/>
      </c>
      <c r="AH1080" s="28">
        <f>IF(AG1080="","",IF(OR(AG1080="Crítico",AG1080="Alto"),"Mitigar",IF(AG1080="Medio","Mitigar","Aceptar y monitorear")))</f>
        <v/>
      </c>
      <c r="AI1080" s="21" t="n"/>
      <c r="AJ1080" s="21" t="n"/>
      <c r="AK1080" s="20" t="n"/>
      <c r="AL1080" s="77">
        <f>IFERROR(INDEX(MgAmenEfic,MATCH(SUBSTITUTE($H1080,"*","-"),MgAmenClave,0)),0)</f>
        <v/>
      </c>
    </row>
    <row r="1081" hidden="1" ht="120" customHeight="1" s="54">
      <c r="B1081" s="59" t="inlineStr">
        <is>
          <t>R-1076</t>
        </is>
      </c>
      <c r="C1081" s="59" t="inlineStr">
        <is>
          <t>GH-001</t>
        </is>
      </c>
      <c r="D1081" s="64">
        <f>IFERROR(INDEX(MgNombre,MATCH($C1081,MgActId,0)),"")</f>
        <v/>
      </c>
      <c r="E1081" s="64">
        <f>IFERROR(INDEX(MgProceso,MATCH($C1081,MgActId,0)),"")</f>
        <v/>
      </c>
      <c r="F1081" s="64">
        <f>IFERROR(INDEX(MgTipo,MATCH($C1081,MgActId,0)),"")</f>
        <v/>
      </c>
      <c r="G1081" s="64">
        <f>IFERROR(INDEX(MgSubtipo,MATCH($C1081,MgActId,0)),"")</f>
        <v/>
      </c>
      <c r="H1081" s="59" t="inlineStr">
        <is>
          <t>A.19</t>
        </is>
      </c>
      <c r="I1081" s="64">
        <f>IFERROR(INDEX(MgAmenNombre,MATCH(SUBSTITUTE($H1081,"*","-"),MgAmenClave,0)),"")</f>
        <v/>
      </c>
      <c r="J1081" s="28">
        <f>IFERROR(INDEX(MgAmenGrupo,MATCH(SUBSTITUTE($H1081,"*","-"),MgAmenClave,0)),"")</f>
        <v/>
      </c>
      <c r="K1081" s="64">
        <f>IFERROR(INDEX('1. Matriz de Activos'!$Q$6:$Q$239,MATCH($C1081,MgActId,0)),"")</f>
        <v/>
      </c>
      <c r="L1081" s="64">
        <f>IFERROR(INDEX('1. Matriz de Activos'!$R$6:$R$239,MATCH($C1081,MgActId,0)),"")</f>
        <v/>
      </c>
      <c r="M1081" s="64">
        <f>IFERROR(INDEX('1. Matriz de Activos'!$S$6:$S$239,MATCH($C1081,MgActId,0)),"")</f>
        <v/>
      </c>
      <c r="N1081" s="28">
        <f>IFERROR(INDEX(MgAmenDegD,MATCH(SUBSTITUTE($H1081,"*","-"),MgAmenClave,0)),"No aplica")</f>
        <v/>
      </c>
      <c r="O1081" s="28">
        <f>IFERROR(INDEX(MgAmenDegI,MATCH(SUBSTITUTE($H1081,"*","-"),MgAmenClave,0)),"No aplica")</f>
        <v/>
      </c>
      <c r="P1081" s="28">
        <f>IFERROR(INDEX(MgAmenDegC,MATCH(SUBSTITUTE($H1081,"*","-"),MgAmenClave,0)),"No aplica")</f>
        <v/>
      </c>
      <c r="Q1081" s="29">
        <f>IFERROR(VLOOKUP(K1081,MgValor,2,0)*VLOOKUP(N1081,MgDeg,2,0),0)</f>
        <v/>
      </c>
      <c r="R1081" s="29">
        <f>IFERROR(VLOOKUP(L1081,MgValor,2,0)*VLOOKUP(O1081,MgDeg,2,0),0)</f>
        <v/>
      </c>
      <c r="S1081" s="29">
        <f>IFERROR(VLOOKUP(M1081,MgValor,2,0)*VLOOKUP(P1081,MgDeg,2,0),0)</f>
        <v/>
      </c>
      <c r="T1081" s="30">
        <f>MAX(Q1081:S1081)</f>
        <v/>
      </c>
      <c r="U1081" s="28">
        <f>IFERROR(LOOKUP(T1081,{0;0.5;1.5;3;4.5},{"Despreciable";"Bajo";"Medio";"Alto";"Muy alto"}),"")</f>
        <v/>
      </c>
      <c r="V1081" s="13">
        <f>IFERROR(INDEX(MgAmenFrec,MATCH(SUBSTITUTE($H1081,"*","-"),MgAmenClave,0)),"")</f>
        <v/>
      </c>
      <c r="W1081" s="28">
        <f>IFERROR(LOOKUP(X1081,{0;0.01;0.1;1;10;100},{"Muy baja";"Muy baja";"Baja";"Media";"Alta";"Muy alta"}),"")</f>
        <v/>
      </c>
      <c r="X1081" s="31">
        <f>IFERROR(VLOOKUP(V1081,MgFrec,2,0),0)</f>
        <v/>
      </c>
      <c r="Y1081" s="30">
        <f>T1081*X1081</f>
        <v/>
      </c>
      <c r="Z1081" s="28">
        <f>IFERROR(LOOKUP(Y1081,{0;0.5;5;25},{"Bajo";"Medio";"Alto";"Crítico"}),"")</f>
        <v/>
      </c>
      <c r="AA1081" s="64">
        <f>IF(T1081&gt;=3,IF(X1081&gt;=1,"Zona 1 — Crítica: impacto alto y ocurre al menos una vez al año","Zona 4 — Catastrófica poco probable: impacto alto pero excepcional"),IF(AND(T1081&lt;1.5,X1081&lt;1),"Zona 3 — Asumible: impacto bajo y muy poco frecuente","Zona 2 — Atención: riesgo intermedio"))</f>
        <v/>
      </c>
      <c r="AB1081" s="64">
        <f>IFERROR(INDEX(MgAmenCtrl,MATCH(SUBSTITUTE($H1081,"*","-"),MgAmenClave,0)),"")</f>
        <v/>
      </c>
      <c r="AC1081" s="20" t="n"/>
      <c r="AD1081" s="31">
        <f>IFERROR($X1081*(1-IF($AC1081="",$AL1081,VLOOKUP($AC1081,MgMad,2,0))),"")</f>
        <v/>
      </c>
      <c r="AE1081" s="28">
        <f>IFERROR(LOOKUP(AD1081,{0;0.01;0.1;1;10;100},{"Muy baja";"Muy baja";"Baja";"Media";"Alta";"Muy alta"}),"")</f>
        <v/>
      </c>
      <c r="AF1081" s="30">
        <f>T1081*AD1081</f>
        <v/>
      </c>
      <c r="AG1081" s="28">
        <f>IFERROR(LOOKUP(AF1081,{0;0.5;5;25},{"Bajo";"Medio";"Alto";"Crítico"}),"")</f>
        <v/>
      </c>
      <c r="AH1081" s="28">
        <f>IF(AG1081="","",IF(OR(AG1081="Crítico",AG1081="Alto"),"Mitigar",IF(AG1081="Medio","Mitigar","Aceptar y monitorear")))</f>
        <v/>
      </c>
      <c r="AI1081" s="21" t="n"/>
      <c r="AJ1081" s="21" t="n"/>
      <c r="AK1081" s="20" t="n"/>
      <c r="AL1081" s="77">
        <f>IFERROR(INDEX(MgAmenEfic,MATCH(SUBSTITUTE($H1081,"*","-"),MgAmenClave,0)),0)</f>
        <v/>
      </c>
    </row>
    <row r="1082" hidden="1" ht="105" customHeight="1" s="54">
      <c r="B1082" s="59" t="inlineStr">
        <is>
          <t>R-1077</t>
        </is>
      </c>
      <c r="C1082" s="59" t="inlineStr">
        <is>
          <t>GH-034</t>
        </is>
      </c>
      <c r="D1082" s="64">
        <f>IFERROR(INDEX(MgNombre,MATCH($C1082,MgActId,0)),"")</f>
        <v/>
      </c>
      <c r="E1082" s="64">
        <f>IFERROR(INDEX(MgProceso,MATCH($C1082,MgActId,0)),"")</f>
        <v/>
      </c>
      <c r="F1082" s="64">
        <f>IFERROR(INDEX(MgTipo,MATCH($C1082,MgActId,0)),"")</f>
        <v/>
      </c>
      <c r="G1082" s="64">
        <f>IFERROR(INDEX(MgSubtipo,MATCH($C1082,MgActId,0)),"")</f>
        <v/>
      </c>
      <c r="H1082" s="59" t="inlineStr">
        <is>
          <t>E.1</t>
        </is>
      </c>
      <c r="I1082" s="64">
        <f>IFERROR(INDEX(MgAmenNombre,MATCH(SUBSTITUTE($H1082,"*","-"),MgAmenClave,0)),"")</f>
        <v/>
      </c>
      <c r="J1082" s="28">
        <f>IFERROR(INDEX(MgAmenGrupo,MATCH(SUBSTITUTE($H1082,"*","-"),MgAmenClave,0)),"")</f>
        <v/>
      </c>
      <c r="K1082" s="64">
        <f>IFERROR(INDEX('1. Matriz de Activos'!$Q$6:$Q$239,MATCH($C1082,MgActId,0)),"")</f>
        <v/>
      </c>
      <c r="L1082" s="64">
        <f>IFERROR(INDEX('1. Matriz de Activos'!$R$6:$R$239,MATCH($C1082,MgActId,0)),"")</f>
        <v/>
      </c>
      <c r="M1082" s="64">
        <f>IFERROR(INDEX('1. Matriz de Activos'!$S$6:$S$239,MATCH($C1082,MgActId,0)),"")</f>
        <v/>
      </c>
      <c r="N1082" s="28">
        <f>IFERROR(INDEX(MgAmenDegD,MATCH(SUBSTITUTE($H1082,"*","-"),MgAmenClave,0)),"No aplica")</f>
        <v/>
      </c>
      <c r="O1082" s="28">
        <f>IFERROR(INDEX(MgAmenDegI,MATCH(SUBSTITUTE($H1082,"*","-"),MgAmenClave,0)),"No aplica")</f>
        <v/>
      </c>
      <c r="P1082" s="28">
        <f>IFERROR(INDEX(MgAmenDegC,MATCH(SUBSTITUTE($H1082,"*","-"),MgAmenClave,0)),"No aplica")</f>
        <v/>
      </c>
      <c r="Q1082" s="29">
        <f>IFERROR(VLOOKUP(K1082,MgValor,2,0)*VLOOKUP(N1082,MgDeg,2,0),0)</f>
        <v/>
      </c>
      <c r="R1082" s="29">
        <f>IFERROR(VLOOKUP(L1082,MgValor,2,0)*VLOOKUP(O1082,MgDeg,2,0),0)</f>
        <v/>
      </c>
      <c r="S1082" s="29">
        <f>IFERROR(VLOOKUP(M1082,MgValor,2,0)*VLOOKUP(P1082,MgDeg,2,0),0)</f>
        <v/>
      </c>
      <c r="T1082" s="30">
        <f>MAX(Q1082:S1082)</f>
        <v/>
      </c>
      <c r="U1082" s="28">
        <f>IFERROR(LOOKUP(T1082,{0;0.5;1.5;3;4.5},{"Despreciable";"Bajo";"Medio";"Alto";"Muy alto"}),"")</f>
        <v/>
      </c>
      <c r="V1082" s="13">
        <f>IFERROR(INDEX(MgAmenFrec,MATCH(SUBSTITUTE($H1082,"*","-"),MgAmenClave,0)),"")</f>
        <v/>
      </c>
      <c r="W1082" s="28">
        <f>IFERROR(LOOKUP(X1082,{0;0.01;0.1;1;10;100},{"Muy baja";"Muy baja";"Baja";"Media";"Alta";"Muy alta"}),"")</f>
        <v/>
      </c>
      <c r="X1082" s="31">
        <f>IFERROR(VLOOKUP(V1082,MgFrec,2,0),0)</f>
        <v/>
      </c>
      <c r="Y1082" s="30">
        <f>T1082*X1082</f>
        <v/>
      </c>
      <c r="Z1082" s="28">
        <f>IFERROR(LOOKUP(Y1082,{0;0.5;5;25},{"Bajo";"Medio";"Alto";"Crítico"}),"")</f>
        <v/>
      </c>
      <c r="AA1082" s="64">
        <f>IF(T1082&gt;=3,IF(X1082&gt;=1,"Zona 1 — Crítica: impacto alto y ocurre al menos una vez al año","Zona 4 — Catastrófica poco probable: impacto alto pero excepcional"),IF(AND(T1082&lt;1.5,X1082&lt;1),"Zona 3 — Asumible: impacto bajo y muy poco frecuente","Zona 2 — Atención: riesgo intermedio"))</f>
        <v/>
      </c>
      <c r="AB1082" s="64">
        <f>IFERROR(INDEX(MgAmenCtrl,MATCH(SUBSTITUTE($H1082,"*","-"),MgAmenClave,0)),"")</f>
        <v/>
      </c>
      <c r="AC1082" s="20" t="n"/>
      <c r="AD1082" s="31">
        <f>IFERROR($X1082*(1-IF($AC1082="",$AL1082,VLOOKUP($AC1082,MgMad,2,0))),"")</f>
        <v/>
      </c>
      <c r="AE1082" s="28">
        <f>IFERROR(LOOKUP(AD1082,{0;0.01;0.1;1;10;100},{"Muy baja";"Muy baja";"Baja";"Media";"Alta";"Muy alta"}),"")</f>
        <v/>
      </c>
      <c r="AF1082" s="30">
        <f>T1082*AD1082</f>
        <v/>
      </c>
      <c r="AG1082" s="28">
        <f>IFERROR(LOOKUP(AF1082,{0;0.5;5;25},{"Bajo";"Medio";"Alto";"Crítico"}),"")</f>
        <v/>
      </c>
      <c r="AH1082" s="28">
        <f>IF(AG1082="","",IF(OR(AG1082="Crítico",AG1082="Alto"),"Mitigar",IF(AG1082="Medio","Mitigar","Aceptar y monitorear")))</f>
        <v/>
      </c>
      <c r="AI1082" s="21" t="n"/>
      <c r="AJ1082" s="21" t="n"/>
      <c r="AK1082" s="20" t="n"/>
      <c r="AL1082" s="77">
        <f>IFERROR(INDEX(MgAmenEfic,MATCH(SUBSTITUTE($H1082,"*","-"),MgAmenClave,0)),0)</f>
        <v/>
      </c>
    </row>
    <row r="1083" hidden="1" ht="120" customHeight="1" s="54">
      <c r="B1083" s="59" t="inlineStr">
        <is>
          <t>R-1078</t>
        </is>
      </c>
      <c r="C1083" s="59" t="inlineStr">
        <is>
          <t>GH-034</t>
        </is>
      </c>
      <c r="D1083" s="64">
        <f>IFERROR(INDEX(MgNombre,MATCH($C1083,MgActId,0)),"")</f>
        <v/>
      </c>
      <c r="E1083" s="64">
        <f>IFERROR(INDEX(MgProceso,MATCH($C1083,MgActId,0)),"")</f>
        <v/>
      </c>
      <c r="F1083" s="64">
        <f>IFERROR(INDEX(MgTipo,MATCH($C1083,MgActId,0)),"")</f>
        <v/>
      </c>
      <c r="G1083" s="64">
        <f>IFERROR(INDEX(MgSubtipo,MATCH($C1083,MgActId,0)),"")</f>
        <v/>
      </c>
      <c r="H1083" s="59" t="inlineStr">
        <is>
          <t>E.2</t>
        </is>
      </c>
      <c r="I1083" s="64">
        <f>IFERROR(INDEX(MgAmenNombre,MATCH(SUBSTITUTE($H1083,"*","-"),MgAmenClave,0)),"")</f>
        <v/>
      </c>
      <c r="J1083" s="28">
        <f>IFERROR(INDEX(MgAmenGrupo,MATCH(SUBSTITUTE($H1083,"*","-"),MgAmenClave,0)),"")</f>
        <v/>
      </c>
      <c r="K1083" s="64">
        <f>IFERROR(INDEX('1. Matriz de Activos'!$Q$6:$Q$239,MATCH($C1083,MgActId,0)),"")</f>
        <v/>
      </c>
      <c r="L1083" s="64">
        <f>IFERROR(INDEX('1. Matriz de Activos'!$R$6:$R$239,MATCH($C1083,MgActId,0)),"")</f>
        <v/>
      </c>
      <c r="M1083" s="64">
        <f>IFERROR(INDEX('1. Matriz de Activos'!$S$6:$S$239,MATCH($C1083,MgActId,0)),"")</f>
        <v/>
      </c>
      <c r="N1083" s="28">
        <f>IFERROR(INDEX(MgAmenDegD,MATCH(SUBSTITUTE($H1083,"*","-"),MgAmenClave,0)),"No aplica")</f>
        <v/>
      </c>
      <c r="O1083" s="28">
        <f>IFERROR(INDEX(MgAmenDegI,MATCH(SUBSTITUTE($H1083,"*","-"),MgAmenClave,0)),"No aplica")</f>
        <v/>
      </c>
      <c r="P1083" s="28">
        <f>IFERROR(INDEX(MgAmenDegC,MATCH(SUBSTITUTE($H1083,"*","-"),MgAmenClave,0)),"No aplica")</f>
        <v/>
      </c>
      <c r="Q1083" s="29">
        <f>IFERROR(VLOOKUP(K1083,MgValor,2,0)*VLOOKUP(N1083,MgDeg,2,0),0)</f>
        <v/>
      </c>
      <c r="R1083" s="29">
        <f>IFERROR(VLOOKUP(L1083,MgValor,2,0)*VLOOKUP(O1083,MgDeg,2,0),0)</f>
        <v/>
      </c>
      <c r="S1083" s="29">
        <f>IFERROR(VLOOKUP(M1083,MgValor,2,0)*VLOOKUP(P1083,MgDeg,2,0),0)</f>
        <v/>
      </c>
      <c r="T1083" s="30">
        <f>MAX(Q1083:S1083)</f>
        <v/>
      </c>
      <c r="U1083" s="28">
        <f>IFERROR(LOOKUP(T1083,{0;0.5;1.5;3;4.5},{"Despreciable";"Bajo";"Medio";"Alto";"Muy alto"}),"")</f>
        <v/>
      </c>
      <c r="V1083" s="13">
        <f>IFERROR(INDEX(MgAmenFrec,MATCH(SUBSTITUTE($H1083,"*","-"),MgAmenClave,0)),"")</f>
        <v/>
      </c>
      <c r="W1083" s="28">
        <f>IFERROR(LOOKUP(X1083,{0;0.01;0.1;1;10;100},{"Muy baja";"Muy baja";"Baja";"Media";"Alta";"Muy alta"}),"")</f>
        <v/>
      </c>
      <c r="X1083" s="31">
        <f>IFERROR(VLOOKUP(V1083,MgFrec,2,0),0)</f>
        <v/>
      </c>
      <c r="Y1083" s="30">
        <f>T1083*X1083</f>
        <v/>
      </c>
      <c r="Z1083" s="28">
        <f>IFERROR(LOOKUP(Y1083,{0;0.5;5;25},{"Bajo";"Medio";"Alto";"Crítico"}),"")</f>
        <v/>
      </c>
      <c r="AA1083" s="64">
        <f>IF(T1083&gt;=3,IF(X1083&gt;=1,"Zona 1 — Crítica: impacto alto y ocurre al menos una vez al año","Zona 4 — Catastrófica poco probable: impacto alto pero excepcional"),IF(AND(T1083&lt;1.5,X1083&lt;1),"Zona 3 — Asumible: impacto bajo y muy poco frecuente","Zona 2 — Atención: riesgo intermedio"))</f>
        <v/>
      </c>
      <c r="AB1083" s="64">
        <f>IFERROR(INDEX(MgAmenCtrl,MATCH(SUBSTITUTE($H1083,"*","-"),MgAmenClave,0)),"")</f>
        <v/>
      </c>
      <c r="AC1083" s="20" t="n"/>
      <c r="AD1083" s="31">
        <f>IFERROR($X1083*(1-IF($AC1083="",$AL1083,VLOOKUP($AC1083,MgMad,2,0))),"")</f>
        <v/>
      </c>
      <c r="AE1083" s="28">
        <f>IFERROR(LOOKUP(AD1083,{0;0.01;0.1;1;10;100},{"Muy baja";"Muy baja";"Baja";"Media";"Alta";"Muy alta"}),"")</f>
        <v/>
      </c>
      <c r="AF1083" s="30">
        <f>T1083*AD1083</f>
        <v/>
      </c>
      <c r="AG1083" s="28">
        <f>IFERROR(LOOKUP(AF1083,{0;0.5;5;25},{"Bajo";"Medio";"Alto";"Crítico"}),"")</f>
        <v/>
      </c>
      <c r="AH1083" s="28">
        <f>IF(AG1083="","",IF(OR(AG1083="Crítico",AG1083="Alto"),"Mitigar",IF(AG1083="Medio","Mitigar","Aceptar y monitorear")))</f>
        <v/>
      </c>
      <c r="AI1083" s="21" t="n"/>
      <c r="AJ1083" s="21" t="n"/>
      <c r="AK1083" s="20" t="n"/>
      <c r="AL1083" s="77">
        <f>IFERROR(INDEX(MgAmenEfic,MATCH(SUBSTITUTE($H1083,"*","-"),MgAmenClave,0)),0)</f>
        <v/>
      </c>
    </row>
    <row r="1084" hidden="1" ht="75" customHeight="1" s="54">
      <c r="B1084" s="59" t="inlineStr">
        <is>
          <t>R-1079</t>
        </is>
      </c>
      <c r="C1084" s="59" t="inlineStr">
        <is>
          <t>GH-034</t>
        </is>
      </c>
      <c r="D1084" s="64">
        <f>IFERROR(INDEX(MgNombre,MATCH($C1084,MgActId,0)),"")</f>
        <v/>
      </c>
      <c r="E1084" s="64">
        <f>IFERROR(INDEX(MgProceso,MATCH($C1084,MgActId,0)),"")</f>
        <v/>
      </c>
      <c r="F1084" s="64">
        <f>IFERROR(INDEX(MgTipo,MATCH($C1084,MgActId,0)),"")</f>
        <v/>
      </c>
      <c r="G1084" s="64">
        <f>IFERROR(INDEX(MgSubtipo,MATCH($C1084,MgActId,0)),"")</f>
        <v/>
      </c>
      <c r="H1084" s="59" t="inlineStr">
        <is>
          <t>E.3</t>
        </is>
      </c>
      <c r="I1084" s="64">
        <f>IFERROR(INDEX(MgAmenNombre,MATCH(SUBSTITUTE($H1084,"*","-"),MgAmenClave,0)),"")</f>
        <v/>
      </c>
      <c r="J1084" s="28">
        <f>IFERROR(INDEX(MgAmenGrupo,MATCH(SUBSTITUTE($H1084,"*","-"),MgAmenClave,0)),"")</f>
        <v/>
      </c>
      <c r="K1084" s="64">
        <f>IFERROR(INDEX('1. Matriz de Activos'!$Q$6:$Q$239,MATCH($C1084,MgActId,0)),"")</f>
        <v/>
      </c>
      <c r="L1084" s="64">
        <f>IFERROR(INDEX('1. Matriz de Activos'!$R$6:$R$239,MATCH($C1084,MgActId,0)),"")</f>
        <v/>
      </c>
      <c r="M1084" s="64">
        <f>IFERROR(INDEX('1. Matriz de Activos'!$S$6:$S$239,MATCH($C1084,MgActId,0)),"")</f>
        <v/>
      </c>
      <c r="N1084" s="28">
        <f>IFERROR(INDEX(MgAmenDegD,MATCH(SUBSTITUTE($H1084,"*","-"),MgAmenClave,0)),"No aplica")</f>
        <v/>
      </c>
      <c r="O1084" s="28">
        <f>IFERROR(INDEX(MgAmenDegI,MATCH(SUBSTITUTE($H1084,"*","-"),MgAmenClave,0)),"No aplica")</f>
        <v/>
      </c>
      <c r="P1084" s="28">
        <f>IFERROR(INDEX(MgAmenDegC,MATCH(SUBSTITUTE($H1084,"*","-"),MgAmenClave,0)),"No aplica")</f>
        <v/>
      </c>
      <c r="Q1084" s="29">
        <f>IFERROR(VLOOKUP(K1084,MgValor,2,0)*VLOOKUP(N1084,MgDeg,2,0),0)</f>
        <v/>
      </c>
      <c r="R1084" s="29">
        <f>IFERROR(VLOOKUP(L1084,MgValor,2,0)*VLOOKUP(O1084,MgDeg,2,0),0)</f>
        <v/>
      </c>
      <c r="S1084" s="29">
        <f>IFERROR(VLOOKUP(M1084,MgValor,2,0)*VLOOKUP(P1084,MgDeg,2,0),0)</f>
        <v/>
      </c>
      <c r="T1084" s="30">
        <f>MAX(Q1084:S1084)</f>
        <v/>
      </c>
      <c r="U1084" s="28">
        <f>IFERROR(LOOKUP(T1084,{0;0.5;1.5;3;4.5},{"Despreciable";"Bajo";"Medio";"Alto";"Muy alto"}),"")</f>
        <v/>
      </c>
      <c r="V1084" s="13">
        <f>IFERROR(INDEX(MgAmenFrec,MATCH(SUBSTITUTE($H1084,"*","-"),MgAmenClave,0)),"")</f>
        <v/>
      </c>
      <c r="W1084" s="28">
        <f>IFERROR(LOOKUP(X1084,{0;0.01;0.1;1;10;100},{"Muy baja";"Muy baja";"Baja";"Media";"Alta";"Muy alta"}),"")</f>
        <v/>
      </c>
      <c r="X1084" s="31">
        <f>IFERROR(VLOOKUP(V1084,MgFrec,2,0),0)</f>
        <v/>
      </c>
      <c r="Y1084" s="30">
        <f>T1084*X1084</f>
        <v/>
      </c>
      <c r="Z1084" s="28">
        <f>IFERROR(LOOKUP(Y1084,{0;0.5;5;25},{"Bajo";"Medio";"Alto";"Crítico"}),"")</f>
        <v/>
      </c>
      <c r="AA1084" s="64">
        <f>IF(T1084&gt;=3,IF(X1084&gt;=1,"Zona 1 — Crítica: impacto alto y ocurre al menos una vez al año","Zona 4 — Catastrófica poco probable: impacto alto pero excepcional"),IF(AND(T1084&lt;1.5,X1084&lt;1),"Zona 3 — Asumible: impacto bajo y muy poco frecuente","Zona 2 — Atención: riesgo intermedio"))</f>
        <v/>
      </c>
      <c r="AB1084" s="64">
        <f>IFERROR(INDEX(MgAmenCtrl,MATCH(SUBSTITUTE($H1084,"*","-"),MgAmenClave,0)),"")</f>
        <v/>
      </c>
      <c r="AC1084" s="20" t="n"/>
      <c r="AD1084" s="31">
        <f>IFERROR($X1084*(1-IF($AC1084="",$AL1084,VLOOKUP($AC1084,MgMad,2,0))),"")</f>
        <v/>
      </c>
      <c r="AE1084" s="28">
        <f>IFERROR(LOOKUP(AD1084,{0;0.01;0.1;1;10;100},{"Muy baja";"Muy baja";"Baja";"Media";"Alta";"Muy alta"}),"")</f>
        <v/>
      </c>
      <c r="AF1084" s="30">
        <f>T1084*AD1084</f>
        <v/>
      </c>
      <c r="AG1084" s="28">
        <f>IFERROR(LOOKUP(AF1084,{0;0.5;5;25},{"Bajo";"Medio";"Alto";"Crítico"}),"")</f>
        <v/>
      </c>
      <c r="AH1084" s="28">
        <f>IF(AG1084="","",IF(OR(AG1084="Crítico",AG1084="Alto"),"Mitigar",IF(AG1084="Medio","Mitigar","Aceptar y monitorear")))</f>
        <v/>
      </c>
      <c r="AI1084" s="21" t="n"/>
      <c r="AJ1084" s="21" t="n"/>
      <c r="AK1084" s="20" t="n"/>
      <c r="AL1084" s="77">
        <f>IFERROR(INDEX(MgAmenEfic,MATCH(SUBSTITUTE($H1084,"*","-"),MgAmenClave,0)),0)</f>
        <v/>
      </c>
    </row>
    <row r="1085" hidden="1" ht="75" customHeight="1" s="54">
      <c r="B1085" s="59" t="inlineStr">
        <is>
          <t>R-1080</t>
        </is>
      </c>
      <c r="C1085" s="59" t="inlineStr">
        <is>
          <t>GH-034</t>
        </is>
      </c>
      <c r="D1085" s="64">
        <f>IFERROR(INDEX(MgNombre,MATCH($C1085,MgActId,0)),"")</f>
        <v/>
      </c>
      <c r="E1085" s="64">
        <f>IFERROR(INDEX(MgProceso,MATCH($C1085,MgActId,0)),"")</f>
        <v/>
      </c>
      <c r="F1085" s="64">
        <f>IFERROR(INDEX(MgTipo,MATCH($C1085,MgActId,0)),"")</f>
        <v/>
      </c>
      <c r="G1085" s="64">
        <f>IFERROR(INDEX(MgSubtipo,MATCH($C1085,MgActId,0)),"")</f>
        <v/>
      </c>
      <c r="H1085" s="59" t="inlineStr">
        <is>
          <t>E.4</t>
        </is>
      </c>
      <c r="I1085" s="64">
        <f>IFERROR(INDEX(MgAmenNombre,MATCH(SUBSTITUTE($H1085,"*","-"),MgAmenClave,0)),"")</f>
        <v/>
      </c>
      <c r="J1085" s="28">
        <f>IFERROR(INDEX(MgAmenGrupo,MATCH(SUBSTITUTE($H1085,"*","-"),MgAmenClave,0)),"")</f>
        <v/>
      </c>
      <c r="K1085" s="64">
        <f>IFERROR(INDEX('1. Matriz de Activos'!$Q$6:$Q$239,MATCH($C1085,MgActId,0)),"")</f>
        <v/>
      </c>
      <c r="L1085" s="64">
        <f>IFERROR(INDEX('1. Matriz de Activos'!$R$6:$R$239,MATCH($C1085,MgActId,0)),"")</f>
        <v/>
      </c>
      <c r="M1085" s="64">
        <f>IFERROR(INDEX('1. Matriz de Activos'!$S$6:$S$239,MATCH($C1085,MgActId,0)),"")</f>
        <v/>
      </c>
      <c r="N1085" s="28">
        <f>IFERROR(INDEX(MgAmenDegD,MATCH(SUBSTITUTE($H1085,"*","-"),MgAmenClave,0)),"No aplica")</f>
        <v/>
      </c>
      <c r="O1085" s="28">
        <f>IFERROR(INDEX(MgAmenDegI,MATCH(SUBSTITUTE($H1085,"*","-"),MgAmenClave,0)),"No aplica")</f>
        <v/>
      </c>
      <c r="P1085" s="28">
        <f>IFERROR(INDEX(MgAmenDegC,MATCH(SUBSTITUTE($H1085,"*","-"),MgAmenClave,0)),"No aplica")</f>
        <v/>
      </c>
      <c r="Q1085" s="29">
        <f>IFERROR(VLOOKUP(K1085,MgValor,2,0)*VLOOKUP(N1085,MgDeg,2,0),0)</f>
        <v/>
      </c>
      <c r="R1085" s="29">
        <f>IFERROR(VLOOKUP(L1085,MgValor,2,0)*VLOOKUP(O1085,MgDeg,2,0),0)</f>
        <v/>
      </c>
      <c r="S1085" s="29">
        <f>IFERROR(VLOOKUP(M1085,MgValor,2,0)*VLOOKUP(P1085,MgDeg,2,0),0)</f>
        <v/>
      </c>
      <c r="T1085" s="30">
        <f>MAX(Q1085:S1085)</f>
        <v/>
      </c>
      <c r="U1085" s="28">
        <f>IFERROR(LOOKUP(T1085,{0;0.5;1.5;3;4.5},{"Despreciable";"Bajo";"Medio";"Alto";"Muy alto"}),"")</f>
        <v/>
      </c>
      <c r="V1085" s="13">
        <f>IFERROR(INDEX(MgAmenFrec,MATCH(SUBSTITUTE($H1085,"*","-"),MgAmenClave,0)),"")</f>
        <v/>
      </c>
      <c r="W1085" s="28">
        <f>IFERROR(LOOKUP(X1085,{0;0.01;0.1;1;10;100},{"Muy baja";"Muy baja";"Baja";"Media";"Alta";"Muy alta"}),"")</f>
        <v/>
      </c>
      <c r="X1085" s="31">
        <f>IFERROR(VLOOKUP(V1085,MgFrec,2,0),0)</f>
        <v/>
      </c>
      <c r="Y1085" s="30">
        <f>T1085*X1085</f>
        <v/>
      </c>
      <c r="Z1085" s="28">
        <f>IFERROR(LOOKUP(Y1085,{0;0.5;5;25},{"Bajo";"Medio";"Alto";"Crítico"}),"")</f>
        <v/>
      </c>
      <c r="AA1085" s="64">
        <f>IF(T1085&gt;=3,IF(X1085&gt;=1,"Zona 1 — Crítica: impacto alto y ocurre al menos una vez al año","Zona 4 — Catastrófica poco probable: impacto alto pero excepcional"),IF(AND(T1085&lt;1.5,X1085&lt;1),"Zona 3 — Asumible: impacto bajo y muy poco frecuente","Zona 2 — Atención: riesgo intermedio"))</f>
        <v/>
      </c>
      <c r="AB1085" s="64">
        <f>IFERROR(INDEX(MgAmenCtrl,MATCH(SUBSTITUTE($H1085,"*","-"),MgAmenClave,0)),"")</f>
        <v/>
      </c>
      <c r="AC1085" s="20" t="n"/>
      <c r="AD1085" s="31">
        <f>IFERROR($X1085*(1-IF($AC1085="",$AL1085,VLOOKUP($AC1085,MgMad,2,0))),"")</f>
        <v/>
      </c>
      <c r="AE1085" s="28">
        <f>IFERROR(LOOKUP(AD1085,{0;0.01;0.1;1;10;100},{"Muy baja";"Muy baja";"Baja";"Media";"Alta";"Muy alta"}),"")</f>
        <v/>
      </c>
      <c r="AF1085" s="30">
        <f>T1085*AD1085</f>
        <v/>
      </c>
      <c r="AG1085" s="28">
        <f>IFERROR(LOOKUP(AF1085,{0;0.5;5;25},{"Bajo";"Medio";"Alto";"Crítico"}),"")</f>
        <v/>
      </c>
      <c r="AH1085" s="28">
        <f>IF(AG1085="","",IF(OR(AG1085="Crítico",AG1085="Alto"),"Mitigar",IF(AG1085="Medio","Mitigar","Aceptar y monitorear")))</f>
        <v/>
      </c>
      <c r="AI1085" s="21" t="n"/>
      <c r="AJ1085" s="21" t="n"/>
      <c r="AK1085" s="20" t="n"/>
      <c r="AL1085" s="77">
        <f>IFERROR(INDEX(MgAmenEfic,MATCH(SUBSTITUTE($H1085,"*","-"),MgAmenClave,0)),0)</f>
        <v/>
      </c>
    </row>
    <row r="1086" hidden="1" ht="90" customHeight="1" s="54">
      <c r="B1086" s="59" t="inlineStr">
        <is>
          <t>R-1081</t>
        </is>
      </c>
      <c r="C1086" s="59" t="inlineStr">
        <is>
          <t>GH-034</t>
        </is>
      </c>
      <c r="D1086" s="64">
        <f>IFERROR(INDEX(MgNombre,MATCH($C1086,MgActId,0)),"")</f>
        <v/>
      </c>
      <c r="E1086" s="64">
        <f>IFERROR(INDEX(MgProceso,MATCH($C1086,MgActId,0)),"")</f>
        <v/>
      </c>
      <c r="F1086" s="64">
        <f>IFERROR(INDEX(MgTipo,MATCH($C1086,MgActId,0)),"")</f>
        <v/>
      </c>
      <c r="G1086" s="64">
        <f>IFERROR(INDEX(MgSubtipo,MATCH($C1086,MgActId,0)),"")</f>
        <v/>
      </c>
      <c r="H1086" s="59" t="inlineStr">
        <is>
          <t>E.14</t>
        </is>
      </c>
      <c r="I1086" s="64">
        <f>IFERROR(INDEX(MgAmenNombre,MATCH(SUBSTITUTE($H1086,"*","-"),MgAmenClave,0)),"")</f>
        <v/>
      </c>
      <c r="J1086" s="28">
        <f>IFERROR(INDEX(MgAmenGrupo,MATCH(SUBSTITUTE($H1086,"*","-"),MgAmenClave,0)),"")</f>
        <v/>
      </c>
      <c r="K1086" s="64">
        <f>IFERROR(INDEX('1. Matriz de Activos'!$Q$6:$Q$239,MATCH($C1086,MgActId,0)),"")</f>
        <v/>
      </c>
      <c r="L1086" s="64">
        <f>IFERROR(INDEX('1. Matriz de Activos'!$R$6:$R$239,MATCH($C1086,MgActId,0)),"")</f>
        <v/>
      </c>
      <c r="M1086" s="64">
        <f>IFERROR(INDEX('1. Matriz de Activos'!$S$6:$S$239,MATCH($C1086,MgActId,0)),"")</f>
        <v/>
      </c>
      <c r="N1086" s="28">
        <f>IFERROR(INDEX(MgAmenDegD,MATCH(SUBSTITUTE($H1086,"*","-"),MgAmenClave,0)),"No aplica")</f>
        <v/>
      </c>
      <c r="O1086" s="28">
        <f>IFERROR(INDEX(MgAmenDegI,MATCH(SUBSTITUTE($H1086,"*","-"),MgAmenClave,0)),"No aplica")</f>
        <v/>
      </c>
      <c r="P1086" s="28">
        <f>IFERROR(INDEX(MgAmenDegC,MATCH(SUBSTITUTE($H1086,"*","-"),MgAmenClave,0)),"No aplica")</f>
        <v/>
      </c>
      <c r="Q1086" s="29">
        <f>IFERROR(VLOOKUP(K1086,MgValor,2,0)*VLOOKUP(N1086,MgDeg,2,0),0)</f>
        <v/>
      </c>
      <c r="R1086" s="29">
        <f>IFERROR(VLOOKUP(L1086,MgValor,2,0)*VLOOKUP(O1086,MgDeg,2,0),0)</f>
        <v/>
      </c>
      <c r="S1086" s="29">
        <f>IFERROR(VLOOKUP(M1086,MgValor,2,0)*VLOOKUP(P1086,MgDeg,2,0),0)</f>
        <v/>
      </c>
      <c r="T1086" s="30">
        <f>MAX(Q1086:S1086)</f>
        <v/>
      </c>
      <c r="U1086" s="28">
        <f>IFERROR(LOOKUP(T1086,{0;0.5;1.5;3;4.5},{"Despreciable";"Bajo";"Medio";"Alto";"Muy alto"}),"")</f>
        <v/>
      </c>
      <c r="V1086" s="13">
        <f>IFERROR(INDEX(MgAmenFrec,MATCH(SUBSTITUTE($H1086,"*","-"),MgAmenClave,0)),"")</f>
        <v/>
      </c>
      <c r="W1086" s="28">
        <f>IFERROR(LOOKUP(X1086,{0;0.01;0.1;1;10;100},{"Muy baja";"Muy baja";"Baja";"Media";"Alta";"Muy alta"}),"")</f>
        <v/>
      </c>
      <c r="X1086" s="31">
        <f>IFERROR(VLOOKUP(V1086,MgFrec,2,0),0)</f>
        <v/>
      </c>
      <c r="Y1086" s="30">
        <f>T1086*X1086</f>
        <v/>
      </c>
      <c r="Z1086" s="28">
        <f>IFERROR(LOOKUP(Y1086,{0;0.5;5;25},{"Bajo";"Medio";"Alto";"Crítico"}),"")</f>
        <v/>
      </c>
      <c r="AA1086" s="64">
        <f>IF(T1086&gt;=3,IF(X1086&gt;=1,"Zona 1 — Crítica: impacto alto y ocurre al menos una vez al año","Zona 4 — Catastrófica poco probable: impacto alto pero excepcional"),IF(AND(T1086&lt;1.5,X1086&lt;1),"Zona 3 — Asumible: impacto bajo y muy poco frecuente","Zona 2 — Atención: riesgo intermedio"))</f>
        <v/>
      </c>
      <c r="AB1086" s="64">
        <f>IFERROR(INDEX(MgAmenCtrl,MATCH(SUBSTITUTE($H1086,"*","-"),MgAmenClave,0)),"")</f>
        <v/>
      </c>
      <c r="AC1086" s="20" t="n"/>
      <c r="AD1086" s="31">
        <f>IFERROR($X1086*(1-IF($AC1086="",$AL1086,VLOOKUP($AC1086,MgMad,2,0))),"")</f>
        <v/>
      </c>
      <c r="AE1086" s="28">
        <f>IFERROR(LOOKUP(AD1086,{0;0.01;0.1;1;10;100},{"Muy baja";"Muy baja";"Baja";"Media";"Alta";"Muy alta"}),"")</f>
        <v/>
      </c>
      <c r="AF1086" s="30">
        <f>T1086*AD1086</f>
        <v/>
      </c>
      <c r="AG1086" s="28">
        <f>IFERROR(LOOKUP(AF1086,{0;0.5;5;25},{"Bajo";"Medio";"Alto";"Crítico"}),"")</f>
        <v/>
      </c>
      <c r="AH1086" s="28">
        <f>IF(AG1086="","",IF(OR(AG1086="Crítico",AG1086="Alto"),"Mitigar",IF(AG1086="Medio","Mitigar","Aceptar y monitorear")))</f>
        <v/>
      </c>
      <c r="AI1086" s="21" t="n"/>
      <c r="AJ1086" s="21" t="n"/>
      <c r="AK1086" s="20" t="n"/>
      <c r="AL1086" s="77">
        <f>IFERROR(INDEX(MgAmenEfic,MATCH(SUBSTITUTE($H1086,"*","-"),MgAmenClave,0)),0)</f>
        <v/>
      </c>
    </row>
    <row r="1087" hidden="1" ht="90" customHeight="1" s="54">
      <c r="B1087" s="59" t="inlineStr">
        <is>
          <t>R-1082</t>
        </is>
      </c>
      <c r="C1087" s="59" t="inlineStr">
        <is>
          <t>GH-034</t>
        </is>
      </c>
      <c r="D1087" s="64">
        <f>IFERROR(INDEX(MgNombre,MATCH($C1087,MgActId,0)),"")</f>
        <v/>
      </c>
      <c r="E1087" s="64">
        <f>IFERROR(INDEX(MgProceso,MATCH($C1087,MgActId,0)),"")</f>
        <v/>
      </c>
      <c r="F1087" s="64">
        <f>IFERROR(INDEX(MgTipo,MATCH($C1087,MgActId,0)),"")</f>
        <v/>
      </c>
      <c r="G1087" s="64">
        <f>IFERROR(INDEX(MgSubtipo,MATCH($C1087,MgActId,0)),"")</f>
        <v/>
      </c>
      <c r="H1087" s="59" t="inlineStr">
        <is>
          <t>E.15</t>
        </is>
      </c>
      <c r="I1087" s="64">
        <f>IFERROR(INDEX(MgAmenNombre,MATCH(SUBSTITUTE($H1087,"*","-"),MgAmenClave,0)),"")</f>
        <v/>
      </c>
      <c r="J1087" s="28">
        <f>IFERROR(INDEX(MgAmenGrupo,MATCH(SUBSTITUTE($H1087,"*","-"),MgAmenClave,0)),"")</f>
        <v/>
      </c>
      <c r="K1087" s="64">
        <f>IFERROR(INDEX('1. Matriz de Activos'!$Q$6:$Q$239,MATCH($C1087,MgActId,0)),"")</f>
        <v/>
      </c>
      <c r="L1087" s="64">
        <f>IFERROR(INDEX('1. Matriz de Activos'!$R$6:$R$239,MATCH($C1087,MgActId,0)),"")</f>
        <v/>
      </c>
      <c r="M1087" s="64">
        <f>IFERROR(INDEX('1. Matriz de Activos'!$S$6:$S$239,MATCH($C1087,MgActId,0)),"")</f>
        <v/>
      </c>
      <c r="N1087" s="28">
        <f>IFERROR(INDEX(MgAmenDegD,MATCH(SUBSTITUTE($H1087,"*","-"),MgAmenClave,0)),"No aplica")</f>
        <v/>
      </c>
      <c r="O1087" s="28">
        <f>IFERROR(INDEX(MgAmenDegI,MATCH(SUBSTITUTE($H1087,"*","-"),MgAmenClave,0)),"No aplica")</f>
        <v/>
      </c>
      <c r="P1087" s="28">
        <f>IFERROR(INDEX(MgAmenDegC,MATCH(SUBSTITUTE($H1087,"*","-"),MgAmenClave,0)),"No aplica")</f>
        <v/>
      </c>
      <c r="Q1087" s="29">
        <f>IFERROR(VLOOKUP(K1087,MgValor,2,0)*VLOOKUP(N1087,MgDeg,2,0),0)</f>
        <v/>
      </c>
      <c r="R1087" s="29">
        <f>IFERROR(VLOOKUP(L1087,MgValor,2,0)*VLOOKUP(O1087,MgDeg,2,0),0)</f>
        <v/>
      </c>
      <c r="S1087" s="29">
        <f>IFERROR(VLOOKUP(M1087,MgValor,2,0)*VLOOKUP(P1087,MgDeg,2,0),0)</f>
        <v/>
      </c>
      <c r="T1087" s="30">
        <f>MAX(Q1087:S1087)</f>
        <v/>
      </c>
      <c r="U1087" s="28">
        <f>IFERROR(LOOKUP(T1087,{0;0.5;1.5;3;4.5},{"Despreciable";"Bajo";"Medio";"Alto";"Muy alto"}),"")</f>
        <v/>
      </c>
      <c r="V1087" s="13">
        <f>IFERROR(INDEX(MgAmenFrec,MATCH(SUBSTITUTE($H1087,"*","-"),MgAmenClave,0)),"")</f>
        <v/>
      </c>
      <c r="W1087" s="28">
        <f>IFERROR(LOOKUP(X1087,{0;0.01;0.1;1;10;100},{"Muy baja";"Muy baja";"Baja";"Media";"Alta";"Muy alta"}),"")</f>
        <v/>
      </c>
      <c r="X1087" s="31">
        <f>IFERROR(VLOOKUP(V1087,MgFrec,2,0),0)</f>
        <v/>
      </c>
      <c r="Y1087" s="30">
        <f>T1087*X1087</f>
        <v/>
      </c>
      <c r="Z1087" s="28">
        <f>IFERROR(LOOKUP(Y1087,{0;0.5;5;25},{"Bajo";"Medio";"Alto";"Crítico"}),"")</f>
        <v/>
      </c>
      <c r="AA1087" s="64">
        <f>IF(T1087&gt;=3,IF(X1087&gt;=1,"Zona 1 — Crítica: impacto alto y ocurre al menos una vez al año","Zona 4 — Catastrófica poco probable: impacto alto pero excepcional"),IF(AND(T1087&lt;1.5,X1087&lt;1),"Zona 3 — Asumible: impacto bajo y muy poco frecuente","Zona 2 — Atención: riesgo intermedio"))</f>
        <v/>
      </c>
      <c r="AB1087" s="64">
        <f>IFERROR(INDEX(MgAmenCtrl,MATCH(SUBSTITUTE($H1087,"*","-"),MgAmenClave,0)),"")</f>
        <v/>
      </c>
      <c r="AC1087" s="20" t="n"/>
      <c r="AD1087" s="31">
        <f>IFERROR($X1087*(1-IF($AC1087="",$AL1087,VLOOKUP($AC1087,MgMad,2,0))),"")</f>
        <v/>
      </c>
      <c r="AE1087" s="28">
        <f>IFERROR(LOOKUP(AD1087,{0;0.01;0.1;1;10;100},{"Muy baja";"Muy baja";"Baja";"Media";"Alta";"Muy alta"}),"")</f>
        <v/>
      </c>
      <c r="AF1087" s="30">
        <f>T1087*AD1087</f>
        <v/>
      </c>
      <c r="AG1087" s="28">
        <f>IFERROR(LOOKUP(AF1087,{0;0.5;5;25},{"Bajo";"Medio";"Alto";"Crítico"}),"")</f>
        <v/>
      </c>
      <c r="AH1087" s="28">
        <f>IF(AG1087="","",IF(OR(AG1087="Crítico",AG1087="Alto"),"Mitigar",IF(AG1087="Medio","Mitigar","Aceptar y monitorear")))</f>
        <v/>
      </c>
      <c r="AI1087" s="21" t="n"/>
      <c r="AJ1087" s="21" t="n"/>
      <c r="AK1087" s="20" t="n"/>
      <c r="AL1087" s="77">
        <f>IFERROR(INDEX(MgAmenEfic,MATCH(SUBSTITUTE($H1087,"*","-"),MgAmenClave,0)),0)</f>
        <v/>
      </c>
    </row>
    <row r="1088" hidden="1" ht="60" customHeight="1" s="54">
      <c r="B1088" s="59" t="inlineStr">
        <is>
          <t>R-1083</t>
        </is>
      </c>
      <c r="C1088" s="59" t="inlineStr">
        <is>
          <t>GH-034</t>
        </is>
      </c>
      <c r="D1088" s="64">
        <f>IFERROR(INDEX(MgNombre,MATCH($C1088,MgActId,0)),"")</f>
        <v/>
      </c>
      <c r="E1088" s="64">
        <f>IFERROR(INDEX(MgProceso,MATCH($C1088,MgActId,0)),"")</f>
        <v/>
      </c>
      <c r="F1088" s="64">
        <f>IFERROR(INDEX(MgTipo,MATCH($C1088,MgActId,0)),"")</f>
        <v/>
      </c>
      <c r="G1088" s="64">
        <f>IFERROR(INDEX(MgSubtipo,MATCH($C1088,MgActId,0)),"")</f>
        <v/>
      </c>
      <c r="H1088" s="59" t="inlineStr">
        <is>
          <t>E.18</t>
        </is>
      </c>
      <c r="I1088" s="64">
        <f>IFERROR(INDEX(MgAmenNombre,MATCH(SUBSTITUTE($H1088,"*","-"),MgAmenClave,0)),"")</f>
        <v/>
      </c>
      <c r="J1088" s="28">
        <f>IFERROR(INDEX(MgAmenGrupo,MATCH(SUBSTITUTE($H1088,"*","-"),MgAmenClave,0)),"")</f>
        <v/>
      </c>
      <c r="K1088" s="64">
        <f>IFERROR(INDEX('1. Matriz de Activos'!$Q$6:$Q$239,MATCH($C1088,MgActId,0)),"")</f>
        <v/>
      </c>
      <c r="L1088" s="64">
        <f>IFERROR(INDEX('1. Matriz de Activos'!$R$6:$R$239,MATCH($C1088,MgActId,0)),"")</f>
        <v/>
      </c>
      <c r="M1088" s="64">
        <f>IFERROR(INDEX('1. Matriz de Activos'!$S$6:$S$239,MATCH($C1088,MgActId,0)),"")</f>
        <v/>
      </c>
      <c r="N1088" s="28">
        <f>IFERROR(INDEX(MgAmenDegD,MATCH(SUBSTITUTE($H1088,"*","-"),MgAmenClave,0)),"No aplica")</f>
        <v/>
      </c>
      <c r="O1088" s="28">
        <f>IFERROR(INDEX(MgAmenDegI,MATCH(SUBSTITUTE($H1088,"*","-"),MgAmenClave,0)),"No aplica")</f>
        <v/>
      </c>
      <c r="P1088" s="28">
        <f>IFERROR(INDEX(MgAmenDegC,MATCH(SUBSTITUTE($H1088,"*","-"),MgAmenClave,0)),"No aplica")</f>
        <v/>
      </c>
      <c r="Q1088" s="29">
        <f>IFERROR(VLOOKUP(K1088,MgValor,2,0)*VLOOKUP(N1088,MgDeg,2,0),0)</f>
        <v/>
      </c>
      <c r="R1088" s="29">
        <f>IFERROR(VLOOKUP(L1088,MgValor,2,0)*VLOOKUP(O1088,MgDeg,2,0),0)</f>
        <v/>
      </c>
      <c r="S1088" s="29">
        <f>IFERROR(VLOOKUP(M1088,MgValor,2,0)*VLOOKUP(P1088,MgDeg,2,0),0)</f>
        <v/>
      </c>
      <c r="T1088" s="30">
        <f>MAX(Q1088:S1088)</f>
        <v/>
      </c>
      <c r="U1088" s="28">
        <f>IFERROR(LOOKUP(T1088,{0;0.5;1.5;3;4.5},{"Despreciable";"Bajo";"Medio";"Alto";"Muy alto"}),"")</f>
        <v/>
      </c>
      <c r="V1088" s="13">
        <f>IFERROR(INDEX(MgAmenFrec,MATCH(SUBSTITUTE($H1088,"*","-"),MgAmenClave,0)),"")</f>
        <v/>
      </c>
      <c r="W1088" s="28">
        <f>IFERROR(LOOKUP(X1088,{0;0.01;0.1;1;10;100},{"Muy baja";"Muy baja";"Baja";"Media";"Alta";"Muy alta"}),"")</f>
        <v/>
      </c>
      <c r="X1088" s="31">
        <f>IFERROR(VLOOKUP(V1088,MgFrec,2,0),0)</f>
        <v/>
      </c>
      <c r="Y1088" s="30">
        <f>T1088*X1088</f>
        <v/>
      </c>
      <c r="Z1088" s="28">
        <f>IFERROR(LOOKUP(Y1088,{0;0.5;5;25},{"Bajo";"Medio";"Alto";"Crítico"}),"")</f>
        <v/>
      </c>
      <c r="AA1088" s="64">
        <f>IF(T1088&gt;=3,IF(X1088&gt;=1,"Zona 1 — Crítica: impacto alto y ocurre al menos una vez al año","Zona 4 — Catastrófica poco probable: impacto alto pero excepcional"),IF(AND(T1088&lt;1.5,X1088&lt;1),"Zona 3 — Asumible: impacto bajo y muy poco frecuente","Zona 2 — Atención: riesgo intermedio"))</f>
        <v/>
      </c>
      <c r="AB1088" s="64">
        <f>IFERROR(INDEX(MgAmenCtrl,MATCH(SUBSTITUTE($H1088,"*","-"),MgAmenClave,0)),"")</f>
        <v/>
      </c>
      <c r="AC1088" s="20" t="n"/>
      <c r="AD1088" s="31">
        <f>IFERROR($X1088*(1-IF($AC1088="",$AL1088,VLOOKUP($AC1088,MgMad,2,0))),"")</f>
        <v/>
      </c>
      <c r="AE1088" s="28">
        <f>IFERROR(LOOKUP(AD1088,{0;0.01;0.1;1;10;100},{"Muy baja";"Muy baja";"Baja";"Media";"Alta";"Muy alta"}),"")</f>
        <v/>
      </c>
      <c r="AF1088" s="30">
        <f>T1088*AD1088</f>
        <v/>
      </c>
      <c r="AG1088" s="28">
        <f>IFERROR(LOOKUP(AF1088,{0;0.5;5;25},{"Bajo";"Medio";"Alto";"Crítico"}),"")</f>
        <v/>
      </c>
      <c r="AH1088" s="28">
        <f>IF(AG1088="","",IF(OR(AG1088="Crítico",AG1088="Alto"),"Mitigar",IF(AG1088="Medio","Mitigar","Aceptar y monitorear")))</f>
        <v/>
      </c>
      <c r="AI1088" s="21" t="n"/>
      <c r="AJ1088" s="21" t="n"/>
      <c r="AK1088" s="20" t="n"/>
      <c r="AL1088" s="77">
        <f>IFERROR(INDEX(MgAmenEfic,MATCH(SUBSTITUTE($H1088,"*","-"),MgAmenClave,0)),0)</f>
        <v/>
      </c>
    </row>
    <row r="1089" hidden="1" ht="105" customHeight="1" s="54">
      <c r="B1089" s="59" t="inlineStr">
        <is>
          <t>R-1084</t>
        </is>
      </c>
      <c r="C1089" s="59" t="inlineStr">
        <is>
          <t>GH-034</t>
        </is>
      </c>
      <c r="D1089" s="64">
        <f>IFERROR(INDEX(MgNombre,MATCH($C1089,MgActId,0)),"")</f>
        <v/>
      </c>
      <c r="E1089" s="64">
        <f>IFERROR(INDEX(MgProceso,MATCH($C1089,MgActId,0)),"")</f>
        <v/>
      </c>
      <c r="F1089" s="64">
        <f>IFERROR(INDEX(MgTipo,MATCH($C1089,MgActId,0)),"")</f>
        <v/>
      </c>
      <c r="G1089" s="64">
        <f>IFERROR(INDEX(MgSubtipo,MATCH($C1089,MgActId,0)),"")</f>
        <v/>
      </c>
      <c r="H1089" s="59" t="inlineStr">
        <is>
          <t>E.19</t>
        </is>
      </c>
      <c r="I1089" s="64">
        <f>IFERROR(INDEX(MgAmenNombre,MATCH(SUBSTITUTE($H1089,"*","-"),MgAmenClave,0)),"")</f>
        <v/>
      </c>
      <c r="J1089" s="28">
        <f>IFERROR(INDEX(MgAmenGrupo,MATCH(SUBSTITUTE($H1089,"*","-"),MgAmenClave,0)),"")</f>
        <v/>
      </c>
      <c r="K1089" s="64">
        <f>IFERROR(INDEX('1. Matriz de Activos'!$Q$6:$Q$239,MATCH($C1089,MgActId,0)),"")</f>
        <v/>
      </c>
      <c r="L1089" s="64">
        <f>IFERROR(INDEX('1. Matriz de Activos'!$R$6:$R$239,MATCH($C1089,MgActId,0)),"")</f>
        <v/>
      </c>
      <c r="M1089" s="64">
        <f>IFERROR(INDEX('1. Matriz de Activos'!$S$6:$S$239,MATCH($C1089,MgActId,0)),"")</f>
        <v/>
      </c>
      <c r="N1089" s="28">
        <f>IFERROR(INDEX(MgAmenDegD,MATCH(SUBSTITUTE($H1089,"*","-"),MgAmenClave,0)),"No aplica")</f>
        <v/>
      </c>
      <c r="O1089" s="28">
        <f>IFERROR(INDEX(MgAmenDegI,MATCH(SUBSTITUTE($H1089,"*","-"),MgAmenClave,0)),"No aplica")</f>
        <v/>
      </c>
      <c r="P1089" s="28">
        <f>IFERROR(INDEX(MgAmenDegC,MATCH(SUBSTITUTE($H1089,"*","-"),MgAmenClave,0)),"No aplica")</f>
        <v/>
      </c>
      <c r="Q1089" s="29">
        <f>IFERROR(VLOOKUP(K1089,MgValor,2,0)*VLOOKUP(N1089,MgDeg,2,0),0)</f>
        <v/>
      </c>
      <c r="R1089" s="29">
        <f>IFERROR(VLOOKUP(L1089,MgValor,2,0)*VLOOKUP(O1089,MgDeg,2,0),0)</f>
        <v/>
      </c>
      <c r="S1089" s="29">
        <f>IFERROR(VLOOKUP(M1089,MgValor,2,0)*VLOOKUP(P1089,MgDeg,2,0),0)</f>
        <v/>
      </c>
      <c r="T1089" s="30">
        <f>MAX(Q1089:S1089)</f>
        <v/>
      </c>
      <c r="U1089" s="28">
        <f>IFERROR(LOOKUP(T1089,{0;0.5;1.5;3;4.5},{"Despreciable";"Bajo";"Medio";"Alto";"Muy alto"}),"")</f>
        <v/>
      </c>
      <c r="V1089" s="13">
        <f>IFERROR(INDEX(MgAmenFrec,MATCH(SUBSTITUTE($H1089,"*","-"),MgAmenClave,0)),"")</f>
        <v/>
      </c>
      <c r="W1089" s="28">
        <f>IFERROR(LOOKUP(X1089,{0;0.01;0.1;1;10;100},{"Muy baja";"Muy baja";"Baja";"Media";"Alta";"Muy alta"}),"")</f>
        <v/>
      </c>
      <c r="X1089" s="31">
        <f>IFERROR(VLOOKUP(V1089,MgFrec,2,0),0)</f>
        <v/>
      </c>
      <c r="Y1089" s="30">
        <f>T1089*X1089</f>
        <v/>
      </c>
      <c r="Z1089" s="28">
        <f>IFERROR(LOOKUP(Y1089,{0;0.5;5;25},{"Bajo";"Medio";"Alto";"Crítico"}),"")</f>
        <v/>
      </c>
      <c r="AA1089" s="64">
        <f>IF(T1089&gt;=3,IF(X1089&gt;=1,"Zona 1 — Crítica: impacto alto y ocurre al menos una vez al año","Zona 4 — Catastrófica poco probable: impacto alto pero excepcional"),IF(AND(T1089&lt;1.5,X1089&lt;1),"Zona 3 — Asumible: impacto bajo y muy poco frecuente","Zona 2 — Atención: riesgo intermedio"))</f>
        <v/>
      </c>
      <c r="AB1089" s="64">
        <f>IFERROR(INDEX(MgAmenCtrl,MATCH(SUBSTITUTE($H1089,"*","-"),MgAmenClave,0)),"")</f>
        <v/>
      </c>
      <c r="AC1089" s="20" t="n"/>
      <c r="AD1089" s="31">
        <f>IFERROR($X1089*(1-IF($AC1089="",$AL1089,VLOOKUP($AC1089,MgMad,2,0))),"")</f>
        <v/>
      </c>
      <c r="AE1089" s="28">
        <f>IFERROR(LOOKUP(AD1089,{0;0.01;0.1;1;10;100},{"Muy baja";"Muy baja";"Baja";"Media";"Alta";"Muy alta"}),"")</f>
        <v/>
      </c>
      <c r="AF1089" s="30">
        <f>T1089*AD1089</f>
        <v/>
      </c>
      <c r="AG1089" s="28">
        <f>IFERROR(LOOKUP(AF1089,{0;0.5;5;25},{"Bajo";"Medio";"Alto";"Crítico"}),"")</f>
        <v/>
      </c>
      <c r="AH1089" s="28">
        <f>IF(AG1089="","",IF(OR(AG1089="Crítico",AG1089="Alto"),"Mitigar",IF(AG1089="Medio","Mitigar","Aceptar y monitorear")))</f>
        <v/>
      </c>
      <c r="AI1089" s="21" t="n"/>
      <c r="AJ1089" s="21" t="n"/>
      <c r="AK1089" s="20" t="n"/>
      <c r="AL1089" s="77">
        <f>IFERROR(INDEX(MgAmenEfic,MATCH(SUBSTITUTE($H1089,"*","-"),MgAmenClave,0)),0)</f>
        <v/>
      </c>
    </row>
    <row r="1090" hidden="1" ht="60" customHeight="1" s="54">
      <c r="B1090" s="59" t="inlineStr">
        <is>
          <t>R-1085</t>
        </is>
      </c>
      <c r="C1090" s="59" t="inlineStr">
        <is>
          <t>GH-034</t>
        </is>
      </c>
      <c r="D1090" s="64">
        <f>IFERROR(INDEX(MgNombre,MATCH($C1090,MgActId,0)),"")</f>
        <v/>
      </c>
      <c r="E1090" s="64">
        <f>IFERROR(INDEX(MgProceso,MATCH($C1090,MgActId,0)),"")</f>
        <v/>
      </c>
      <c r="F1090" s="64">
        <f>IFERROR(INDEX(MgTipo,MATCH($C1090,MgActId,0)),"")</f>
        <v/>
      </c>
      <c r="G1090" s="64">
        <f>IFERROR(INDEX(MgSubtipo,MATCH($C1090,MgActId,0)),"")</f>
        <v/>
      </c>
      <c r="H1090" s="59" t="inlineStr">
        <is>
          <t>A.3</t>
        </is>
      </c>
      <c r="I1090" s="64">
        <f>IFERROR(INDEX(MgAmenNombre,MATCH(SUBSTITUTE($H1090,"*","-"),MgAmenClave,0)),"")</f>
        <v/>
      </c>
      <c r="J1090" s="28">
        <f>IFERROR(INDEX(MgAmenGrupo,MATCH(SUBSTITUTE($H1090,"*","-"),MgAmenClave,0)),"")</f>
        <v/>
      </c>
      <c r="K1090" s="64">
        <f>IFERROR(INDEX('1. Matriz de Activos'!$Q$6:$Q$239,MATCH($C1090,MgActId,0)),"")</f>
        <v/>
      </c>
      <c r="L1090" s="64">
        <f>IFERROR(INDEX('1. Matriz de Activos'!$R$6:$R$239,MATCH($C1090,MgActId,0)),"")</f>
        <v/>
      </c>
      <c r="M1090" s="64">
        <f>IFERROR(INDEX('1. Matriz de Activos'!$S$6:$S$239,MATCH($C1090,MgActId,0)),"")</f>
        <v/>
      </c>
      <c r="N1090" s="28">
        <f>IFERROR(INDEX(MgAmenDegD,MATCH(SUBSTITUTE($H1090,"*","-"),MgAmenClave,0)),"No aplica")</f>
        <v/>
      </c>
      <c r="O1090" s="28">
        <f>IFERROR(INDEX(MgAmenDegI,MATCH(SUBSTITUTE($H1090,"*","-"),MgAmenClave,0)),"No aplica")</f>
        <v/>
      </c>
      <c r="P1090" s="28">
        <f>IFERROR(INDEX(MgAmenDegC,MATCH(SUBSTITUTE($H1090,"*","-"),MgAmenClave,0)),"No aplica")</f>
        <v/>
      </c>
      <c r="Q1090" s="29">
        <f>IFERROR(VLOOKUP(K1090,MgValor,2,0)*VLOOKUP(N1090,MgDeg,2,0),0)</f>
        <v/>
      </c>
      <c r="R1090" s="29">
        <f>IFERROR(VLOOKUP(L1090,MgValor,2,0)*VLOOKUP(O1090,MgDeg,2,0),0)</f>
        <v/>
      </c>
      <c r="S1090" s="29">
        <f>IFERROR(VLOOKUP(M1090,MgValor,2,0)*VLOOKUP(P1090,MgDeg,2,0),0)</f>
        <v/>
      </c>
      <c r="T1090" s="30">
        <f>MAX(Q1090:S1090)</f>
        <v/>
      </c>
      <c r="U1090" s="28">
        <f>IFERROR(LOOKUP(T1090,{0;0.5;1.5;3;4.5},{"Despreciable";"Bajo";"Medio";"Alto";"Muy alto"}),"")</f>
        <v/>
      </c>
      <c r="V1090" s="13">
        <f>IFERROR(INDEX(MgAmenFrec,MATCH(SUBSTITUTE($H1090,"*","-"),MgAmenClave,0)),"")</f>
        <v/>
      </c>
      <c r="W1090" s="28">
        <f>IFERROR(LOOKUP(X1090,{0;0.01;0.1;1;10;100},{"Muy baja";"Muy baja";"Baja";"Media";"Alta";"Muy alta"}),"")</f>
        <v/>
      </c>
      <c r="X1090" s="31">
        <f>IFERROR(VLOOKUP(V1090,MgFrec,2,0),0)</f>
        <v/>
      </c>
      <c r="Y1090" s="30">
        <f>T1090*X1090</f>
        <v/>
      </c>
      <c r="Z1090" s="28">
        <f>IFERROR(LOOKUP(Y1090,{0;0.5;5;25},{"Bajo";"Medio";"Alto";"Crítico"}),"")</f>
        <v/>
      </c>
      <c r="AA1090" s="64">
        <f>IF(T1090&gt;=3,IF(X1090&gt;=1,"Zona 1 — Crítica: impacto alto y ocurre al menos una vez al año","Zona 4 — Catastrófica poco probable: impacto alto pero excepcional"),IF(AND(T1090&lt;1.5,X1090&lt;1),"Zona 3 — Asumible: impacto bajo y muy poco frecuente","Zona 2 — Atención: riesgo intermedio"))</f>
        <v/>
      </c>
      <c r="AB1090" s="64">
        <f>IFERROR(INDEX(MgAmenCtrl,MATCH(SUBSTITUTE($H1090,"*","-"),MgAmenClave,0)),"")</f>
        <v/>
      </c>
      <c r="AC1090" s="20" t="n"/>
      <c r="AD1090" s="31">
        <f>IFERROR($X1090*(1-IF($AC1090="",$AL1090,VLOOKUP($AC1090,MgMad,2,0))),"")</f>
        <v/>
      </c>
      <c r="AE1090" s="28">
        <f>IFERROR(LOOKUP(AD1090,{0;0.01;0.1;1;10;100},{"Muy baja";"Muy baja";"Baja";"Media";"Alta";"Muy alta"}),"")</f>
        <v/>
      </c>
      <c r="AF1090" s="30">
        <f>T1090*AD1090</f>
        <v/>
      </c>
      <c r="AG1090" s="28">
        <f>IFERROR(LOOKUP(AF1090,{0;0.5;5;25},{"Bajo";"Medio";"Alto";"Crítico"}),"")</f>
        <v/>
      </c>
      <c r="AH1090" s="28">
        <f>IF(AG1090="","",IF(OR(AG1090="Crítico",AG1090="Alto"),"Mitigar",IF(AG1090="Medio","Mitigar","Aceptar y monitorear")))</f>
        <v/>
      </c>
      <c r="AI1090" s="21" t="n"/>
      <c r="AJ1090" s="21" t="n"/>
      <c r="AK1090" s="20" t="n"/>
      <c r="AL1090" s="77">
        <f>IFERROR(INDEX(MgAmenEfic,MATCH(SUBSTITUTE($H1090,"*","-"),MgAmenClave,0)),0)</f>
        <v/>
      </c>
    </row>
    <row r="1091" hidden="1" ht="60" customHeight="1" s="54">
      <c r="B1091" s="59" t="inlineStr">
        <is>
          <t>R-1086</t>
        </is>
      </c>
      <c r="C1091" s="59" t="inlineStr">
        <is>
          <t>GH-034</t>
        </is>
      </c>
      <c r="D1091" s="64">
        <f>IFERROR(INDEX(MgNombre,MATCH($C1091,MgActId,0)),"")</f>
        <v/>
      </c>
      <c r="E1091" s="64">
        <f>IFERROR(INDEX(MgProceso,MATCH($C1091,MgActId,0)),"")</f>
        <v/>
      </c>
      <c r="F1091" s="64">
        <f>IFERROR(INDEX(MgTipo,MATCH($C1091,MgActId,0)),"")</f>
        <v/>
      </c>
      <c r="G1091" s="64">
        <f>IFERROR(INDEX(MgSubtipo,MATCH($C1091,MgActId,0)),"")</f>
        <v/>
      </c>
      <c r="H1091" s="59" t="inlineStr">
        <is>
          <t>A.4</t>
        </is>
      </c>
      <c r="I1091" s="64">
        <f>IFERROR(INDEX(MgAmenNombre,MATCH(SUBSTITUTE($H1091,"*","-"),MgAmenClave,0)),"")</f>
        <v/>
      </c>
      <c r="J1091" s="28">
        <f>IFERROR(INDEX(MgAmenGrupo,MATCH(SUBSTITUTE($H1091,"*","-"),MgAmenClave,0)),"")</f>
        <v/>
      </c>
      <c r="K1091" s="64">
        <f>IFERROR(INDEX('1. Matriz de Activos'!$Q$6:$Q$239,MATCH($C1091,MgActId,0)),"")</f>
        <v/>
      </c>
      <c r="L1091" s="64">
        <f>IFERROR(INDEX('1. Matriz de Activos'!$R$6:$R$239,MATCH($C1091,MgActId,0)),"")</f>
        <v/>
      </c>
      <c r="M1091" s="64">
        <f>IFERROR(INDEX('1. Matriz de Activos'!$S$6:$S$239,MATCH($C1091,MgActId,0)),"")</f>
        <v/>
      </c>
      <c r="N1091" s="28">
        <f>IFERROR(INDEX(MgAmenDegD,MATCH(SUBSTITUTE($H1091,"*","-"),MgAmenClave,0)),"No aplica")</f>
        <v/>
      </c>
      <c r="O1091" s="28">
        <f>IFERROR(INDEX(MgAmenDegI,MATCH(SUBSTITUTE($H1091,"*","-"),MgAmenClave,0)),"No aplica")</f>
        <v/>
      </c>
      <c r="P1091" s="28">
        <f>IFERROR(INDEX(MgAmenDegC,MATCH(SUBSTITUTE($H1091,"*","-"),MgAmenClave,0)),"No aplica")</f>
        <v/>
      </c>
      <c r="Q1091" s="29">
        <f>IFERROR(VLOOKUP(K1091,MgValor,2,0)*VLOOKUP(N1091,MgDeg,2,0),0)</f>
        <v/>
      </c>
      <c r="R1091" s="29">
        <f>IFERROR(VLOOKUP(L1091,MgValor,2,0)*VLOOKUP(O1091,MgDeg,2,0),0)</f>
        <v/>
      </c>
      <c r="S1091" s="29">
        <f>IFERROR(VLOOKUP(M1091,MgValor,2,0)*VLOOKUP(P1091,MgDeg,2,0),0)</f>
        <v/>
      </c>
      <c r="T1091" s="30">
        <f>MAX(Q1091:S1091)</f>
        <v/>
      </c>
      <c r="U1091" s="28">
        <f>IFERROR(LOOKUP(T1091,{0;0.5;1.5;3;4.5},{"Despreciable";"Bajo";"Medio";"Alto";"Muy alto"}),"")</f>
        <v/>
      </c>
      <c r="V1091" s="13">
        <f>IFERROR(INDEX(MgAmenFrec,MATCH(SUBSTITUTE($H1091,"*","-"),MgAmenClave,0)),"")</f>
        <v/>
      </c>
      <c r="W1091" s="28">
        <f>IFERROR(LOOKUP(X1091,{0;0.01;0.1;1;10;100},{"Muy baja";"Muy baja";"Baja";"Media";"Alta";"Muy alta"}),"")</f>
        <v/>
      </c>
      <c r="X1091" s="31">
        <f>IFERROR(VLOOKUP(V1091,MgFrec,2,0),0)</f>
        <v/>
      </c>
      <c r="Y1091" s="30">
        <f>T1091*X1091</f>
        <v/>
      </c>
      <c r="Z1091" s="28">
        <f>IFERROR(LOOKUP(Y1091,{0;0.5;5;25},{"Bajo";"Medio";"Alto";"Crítico"}),"")</f>
        <v/>
      </c>
      <c r="AA1091" s="64">
        <f>IF(T1091&gt;=3,IF(X1091&gt;=1,"Zona 1 — Crítica: impacto alto y ocurre al menos una vez al año","Zona 4 — Catastrófica poco probable: impacto alto pero excepcional"),IF(AND(T1091&lt;1.5,X1091&lt;1),"Zona 3 — Asumible: impacto bajo y muy poco frecuente","Zona 2 — Atención: riesgo intermedio"))</f>
        <v/>
      </c>
      <c r="AB1091" s="64">
        <f>IFERROR(INDEX(MgAmenCtrl,MATCH(SUBSTITUTE($H1091,"*","-"),MgAmenClave,0)),"")</f>
        <v/>
      </c>
      <c r="AC1091" s="20" t="n"/>
      <c r="AD1091" s="31">
        <f>IFERROR($X1091*(1-IF($AC1091="",$AL1091,VLOOKUP($AC1091,MgMad,2,0))),"")</f>
        <v/>
      </c>
      <c r="AE1091" s="28">
        <f>IFERROR(LOOKUP(AD1091,{0;0.01;0.1;1;10;100},{"Muy baja";"Muy baja";"Baja";"Media";"Alta";"Muy alta"}),"")</f>
        <v/>
      </c>
      <c r="AF1091" s="30">
        <f>T1091*AD1091</f>
        <v/>
      </c>
      <c r="AG1091" s="28">
        <f>IFERROR(LOOKUP(AF1091,{0;0.5;5;25},{"Bajo";"Medio";"Alto";"Crítico"}),"")</f>
        <v/>
      </c>
      <c r="AH1091" s="28">
        <f>IF(AG1091="","",IF(OR(AG1091="Crítico",AG1091="Alto"),"Mitigar",IF(AG1091="Medio","Mitigar","Aceptar y monitorear")))</f>
        <v/>
      </c>
      <c r="AI1091" s="21" t="n"/>
      <c r="AJ1091" s="21" t="n"/>
      <c r="AK1091" s="20" t="n"/>
      <c r="AL1091" s="77">
        <f>IFERROR(INDEX(MgAmenEfic,MATCH(SUBSTITUTE($H1091,"*","-"),MgAmenClave,0)),0)</f>
        <v/>
      </c>
    </row>
    <row r="1092" hidden="1" ht="75" customHeight="1" s="54">
      <c r="B1092" s="59" t="inlineStr">
        <is>
          <t>R-1087</t>
        </is>
      </c>
      <c r="C1092" s="59" t="inlineStr">
        <is>
          <t>GH-034</t>
        </is>
      </c>
      <c r="D1092" s="64">
        <f>IFERROR(INDEX(MgNombre,MATCH($C1092,MgActId,0)),"")</f>
        <v/>
      </c>
      <c r="E1092" s="64">
        <f>IFERROR(INDEX(MgProceso,MATCH($C1092,MgActId,0)),"")</f>
        <v/>
      </c>
      <c r="F1092" s="64">
        <f>IFERROR(INDEX(MgTipo,MATCH($C1092,MgActId,0)),"")</f>
        <v/>
      </c>
      <c r="G1092" s="64">
        <f>IFERROR(INDEX(MgSubtipo,MATCH($C1092,MgActId,0)),"")</f>
        <v/>
      </c>
      <c r="H1092" s="59" t="inlineStr">
        <is>
          <t>A.5</t>
        </is>
      </c>
      <c r="I1092" s="64">
        <f>IFERROR(INDEX(MgAmenNombre,MATCH(SUBSTITUTE($H1092,"*","-"),MgAmenClave,0)),"")</f>
        <v/>
      </c>
      <c r="J1092" s="28">
        <f>IFERROR(INDEX(MgAmenGrupo,MATCH(SUBSTITUTE($H1092,"*","-"),MgAmenClave,0)),"")</f>
        <v/>
      </c>
      <c r="K1092" s="64">
        <f>IFERROR(INDEX('1. Matriz de Activos'!$Q$6:$Q$239,MATCH($C1092,MgActId,0)),"")</f>
        <v/>
      </c>
      <c r="L1092" s="64">
        <f>IFERROR(INDEX('1. Matriz de Activos'!$R$6:$R$239,MATCH($C1092,MgActId,0)),"")</f>
        <v/>
      </c>
      <c r="M1092" s="64">
        <f>IFERROR(INDEX('1. Matriz de Activos'!$S$6:$S$239,MATCH($C1092,MgActId,0)),"")</f>
        <v/>
      </c>
      <c r="N1092" s="28">
        <f>IFERROR(INDEX(MgAmenDegD,MATCH(SUBSTITUTE($H1092,"*","-"),MgAmenClave,0)),"No aplica")</f>
        <v/>
      </c>
      <c r="O1092" s="28">
        <f>IFERROR(INDEX(MgAmenDegI,MATCH(SUBSTITUTE($H1092,"*","-"),MgAmenClave,0)),"No aplica")</f>
        <v/>
      </c>
      <c r="P1092" s="28">
        <f>IFERROR(INDEX(MgAmenDegC,MATCH(SUBSTITUTE($H1092,"*","-"),MgAmenClave,0)),"No aplica")</f>
        <v/>
      </c>
      <c r="Q1092" s="29">
        <f>IFERROR(VLOOKUP(K1092,MgValor,2,0)*VLOOKUP(N1092,MgDeg,2,0),0)</f>
        <v/>
      </c>
      <c r="R1092" s="29">
        <f>IFERROR(VLOOKUP(L1092,MgValor,2,0)*VLOOKUP(O1092,MgDeg,2,0),0)</f>
        <v/>
      </c>
      <c r="S1092" s="29">
        <f>IFERROR(VLOOKUP(M1092,MgValor,2,0)*VLOOKUP(P1092,MgDeg,2,0),0)</f>
        <v/>
      </c>
      <c r="T1092" s="30">
        <f>MAX(Q1092:S1092)</f>
        <v/>
      </c>
      <c r="U1092" s="28">
        <f>IFERROR(LOOKUP(T1092,{0;0.5;1.5;3;4.5},{"Despreciable";"Bajo";"Medio";"Alto";"Muy alto"}),"")</f>
        <v/>
      </c>
      <c r="V1092" s="13">
        <f>IFERROR(INDEX(MgAmenFrec,MATCH(SUBSTITUTE($H1092,"*","-"),MgAmenClave,0)),"")</f>
        <v/>
      </c>
      <c r="W1092" s="28">
        <f>IFERROR(LOOKUP(X1092,{0;0.01;0.1;1;10;100},{"Muy baja";"Muy baja";"Baja";"Media";"Alta";"Muy alta"}),"")</f>
        <v/>
      </c>
      <c r="X1092" s="31">
        <f>IFERROR(VLOOKUP(V1092,MgFrec,2,0),0)</f>
        <v/>
      </c>
      <c r="Y1092" s="30">
        <f>T1092*X1092</f>
        <v/>
      </c>
      <c r="Z1092" s="28">
        <f>IFERROR(LOOKUP(Y1092,{0;0.5;5;25},{"Bajo";"Medio";"Alto";"Crítico"}),"")</f>
        <v/>
      </c>
      <c r="AA1092" s="64">
        <f>IF(T1092&gt;=3,IF(X1092&gt;=1,"Zona 1 — Crítica: impacto alto y ocurre al menos una vez al año","Zona 4 — Catastrófica poco probable: impacto alto pero excepcional"),IF(AND(T1092&lt;1.5,X1092&lt;1),"Zona 3 — Asumible: impacto bajo y muy poco frecuente","Zona 2 — Atención: riesgo intermedio"))</f>
        <v/>
      </c>
      <c r="AB1092" s="64">
        <f>IFERROR(INDEX(MgAmenCtrl,MATCH(SUBSTITUTE($H1092,"*","-"),MgAmenClave,0)),"")</f>
        <v/>
      </c>
      <c r="AC1092" s="20" t="n"/>
      <c r="AD1092" s="31">
        <f>IFERROR($X1092*(1-IF($AC1092="",$AL1092,VLOOKUP($AC1092,MgMad,2,0))),"")</f>
        <v/>
      </c>
      <c r="AE1092" s="28">
        <f>IFERROR(LOOKUP(AD1092,{0;0.01;0.1;1;10;100},{"Muy baja";"Muy baja";"Baja";"Media";"Alta";"Muy alta"}),"")</f>
        <v/>
      </c>
      <c r="AF1092" s="30">
        <f>T1092*AD1092</f>
        <v/>
      </c>
      <c r="AG1092" s="28">
        <f>IFERROR(LOOKUP(AF1092,{0;0.5;5;25},{"Bajo";"Medio";"Alto";"Crítico"}),"")</f>
        <v/>
      </c>
      <c r="AH1092" s="28">
        <f>IF(AG1092="","",IF(OR(AG1092="Crítico",AG1092="Alto"),"Mitigar",IF(AG1092="Medio","Mitigar","Aceptar y monitorear")))</f>
        <v/>
      </c>
      <c r="AI1092" s="21" t="n"/>
      <c r="AJ1092" s="21" t="n"/>
      <c r="AK1092" s="20" t="n"/>
      <c r="AL1092" s="77">
        <f>IFERROR(INDEX(MgAmenEfic,MATCH(SUBSTITUTE($H1092,"*","-"),MgAmenClave,0)),0)</f>
        <v/>
      </c>
    </row>
    <row r="1093" hidden="1" ht="105" customHeight="1" s="54">
      <c r="B1093" s="59" t="inlineStr">
        <is>
          <t>R-1088</t>
        </is>
      </c>
      <c r="C1093" s="59" t="inlineStr">
        <is>
          <t>GH-034</t>
        </is>
      </c>
      <c r="D1093" s="64">
        <f>IFERROR(INDEX(MgNombre,MATCH($C1093,MgActId,0)),"")</f>
        <v/>
      </c>
      <c r="E1093" s="64">
        <f>IFERROR(INDEX(MgProceso,MATCH($C1093,MgActId,0)),"")</f>
        <v/>
      </c>
      <c r="F1093" s="64">
        <f>IFERROR(INDEX(MgTipo,MATCH($C1093,MgActId,0)),"")</f>
        <v/>
      </c>
      <c r="G1093" s="64">
        <f>IFERROR(INDEX(MgSubtipo,MATCH($C1093,MgActId,0)),"")</f>
        <v/>
      </c>
      <c r="H1093" s="59" t="inlineStr">
        <is>
          <t>A.6</t>
        </is>
      </c>
      <c r="I1093" s="64">
        <f>IFERROR(INDEX(MgAmenNombre,MATCH(SUBSTITUTE($H1093,"*","-"),MgAmenClave,0)),"")</f>
        <v/>
      </c>
      <c r="J1093" s="28">
        <f>IFERROR(INDEX(MgAmenGrupo,MATCH(SUBSTITUTE($H1093,"*","-"),MgAmenClave,0)),"")</f>
        <v/>
      </c>
      <c r="K1093" s="64">
        <f>IFERROR(INDEX('1. Matriz de Activos'!$Q$6:$Q$239,MATCH($C1093,MgActId,0)),"")</f>
        <v/>
      </c>
      <c r="L1093" s="64">
        <f>IFERROR(INDEX('1. Matriz de Activos'!$R$6:$R$239,MATCH($C1093,MgActId,0)),"")</f>
        <v/>
      </c>
      <c r="M1093" s="64">
        <f>IFERROR(INDEX('1. Matriz de Activos'!$S$6:$S$239,MATCH($C1093,MgActId,0)),"")</f>
        <v/>
      </c>
      <c r="N1093" s="28">
        <f>IFERROR(INDEX(MgAmenDegD,MATCH(SUBSTITUTE($H1093,"*","-"),MgAmenClave,0)),"No aplica")</f>
        <v/>
      </c>
      <c r="O1093" s="28">
        <f>IFERROR(INDEX(MgAmenDegI,MATCH(SUBSTITUTE($H1093,"*","-"),MgAmenClave,0)),"No aplica")</f>
        <v/>
      </c>
      <c r="P1093" s="28">
        <f>IFERROR(INDEX(MgAmenDegC,MATCH(SUBSTITUTE($H1093,"*","-"),MgAmenClave,0)),"No aplica")</f>
        <v/>
      </c>
      <c r="Q1093" s="29">
        <f>IFERROR(VLOOKUP(K1093,MgValor,2,0)*VLOOKUP(N1093,MgDeg,2,0),0)</f>
        <v/>
      </c>
      <c r="R1093" s="29">
        <f>IFERROR(VLOOKUP(L1093,MgValor,2,0)*VLOOKUP(O1093,MgDeg,2,0),0)</f>
        <v/>
      </c>
      <c r="S1093" s="29">
        <f>IFERROR(VLOOKUP(M1093,MgValor,2,0)*VLOOKUP(P1093,MgDeg,2,0),0)</f>
        <v/>
      </c>
      <c r="T1093" s="30">
        <f>MAX(Q1093:S1093)</f>
        <v/>
      </c>
      <c r="U1093" s="28">
        <f>IFERROR(LOOKUP(T1093,{0;0.5;1.5;3;4.5},{"Despreciable";"Bajo";"Medio";"Alto";"Muy alto"}),"")</f>
        <v/>
      </c>
      <c r="V1093" s="13">
        <f>IFERROR(INDEX(MgAmenFrec,MATCH(SUBSTITUTE($H1093,"*","-"),MgAmenClave,0)),"")</f>
        <v/>
      </c>
      <c r="W1093" s="28">
        <f>IFERROR(LOOKUP(X1093,{0;0.01;0.1;1;10;100},{"Muy baja";"Muy baja";"Baja";"Media";"Alta";"Muy alta"}),"")</f>
        <v/>
      </c>
      <c r="X1093" s="31">
        <f>IFERROR(VLOOKUP(V1093,MgFrec,2,0),0)</f>
        <v/>
      </c>
      <c r="Y1093" s="30">
        <f>T1093*X1093</f>
        <v/>
      </c>
      <c r="Z1093" s="28">
        <f>IFERROR(LOOKUP(Y1093,{0;0.5;5;25},{"Bajo";"Medio";"Alto";"Crítico"}),"")</f>
        <v/>
      </c>
      <c r="AA1093" s="64">
        <f>IF(T1093&gt;=3,IF(X1093&gt;=1,"Zona 1 — Crítica: impacto alto y ocurre al menos una vez al año","Zona 4 — Catastrófica poco probable: impacto alto pero excepcional"),IF(AND(T1093&lt;1.5,X1093&lt;1),"Zona 3 — Asumible: impacto bajo y muy poco frecuente","Zona 2 — Atención: riesgo intermedio"))</f>
        <v/>
      </c>
      <c r="AB1093" s="64">
        <f>IFERROR(INDEX(MgAmenCtrl,MATCH(SUBSTITUTE($H1093,"*","-"),MgAmenClave,0)),"")</f>
        <v/>
      </c>
      <c r="AC1093" s="20" t="n"/>
      <c r="AD1093" s="31">
        <f>IFERROR($X1093*(1-IF($AC1093="",$AL1093,VLOOKUP($AC1093,MgMad,2,0))),"")</f>
        <v/>
      </c>
      <c r="AE1093" s="28">
        <f>IFERROR(LOOKUP(AD1093,{0;0.01;0.1;1;10;100},{"Muy baja";"Muy baja";"Baja";"Media";"Alta";"Muy alta"}),"")</f>
        <v/>
      </c>
      <c r="AF1093" s="30">
        <f>T1093*AD1093</f>
        <v/>
      </c>
      <c r="AG1093" s="28">
        <f>IFERROR(LOOKUP(AF1093,{0;0.5;5;25},{"Bajo";"Medio";"Alto";"Crítico"}),"")</f>
        <v/>
      </c>
      <c r="AH1093" s="28">
        <f>IF(AG1093="","",IF(OR(AG1093="Crítico",AG1093="Alto"),"Mitigar",IF(AG1093="Medio","Mitigar","Aceptar y monitorear")))</f>
        <v/>
      </c>
      <c r="AI1093" s="21" t="n"/>
      <c r="AJ1093" s="21" t="n"/>
      <c r="AK1093" s="20" t="n"/>
      <c r="AL1093" s="77">
        <f>IFERROR(INDEX(MgAmenEfic,MATCH(SUBSTITUTE($H1093,"*","-"),MgAmenClave,0)),0)</f>
        <v/>
      </c>
    </row>
    <row r="1094" hidden="1" ht="120" customHeight="1" s="54">
      <c r="B1094" s="59" t="inlineStr">
        <is>
          <t>R-1089</t>
        </is>
      </c>
      <c r="C1094" s="59" t="inlineStr">
        <is>
          <t>GH-034</t>
        </is>
      </c>
      <c r="D1094" s="64">
        <f>IFERROR(INDEX(MgNombre,MATCH($C1094,MgActId,0)),"")</f>
        <v/>
      </c>
      <c r="E1094" s="64">
        <f>IFERROR(INDEX(MgProceso,MATCH($C1094,MgActId,0)),"")</f>
        <v/>
      </c>
      <c r="F1094" s="64">
        <f>IFERROR(INDEX(MgTipo,MATCH($C1094,MgActId,0)),"")</f>
        <v/>
      </c>
      <c r="G1094" s="64">
        <f>IFERROR(INDEX(MgSubtipo,MATCH($C1094,MgActId,0)),"")</f>
        <v/>
      </c>
      <c r="H1094" s="59" t="inlineStr">
        <is>
          <t>A.11</t>
        </is>
      </c>
      <c r="I1094" s="64">
        <f>IFERROR(INDEX(MgAmenNombre,MATCH(SUBSTITUTE($H1094,"*","-"),MgAmenClave,0)),"")</f>
        <v/>
      </c>
      <c r="J1094" s="28">
        <f>IFERROR(INDEX(MgAmenGrupo,MATCH(SUBSTITUTE($H1094,"*","-"),MgAmenClave,0)),"")</f>
        <v/>
      </c>
      <c r="K1094" s="64">
        <f>IFERROR(INDEX('1. Matriz de Activos'!$Q$6:$Q$239,MATCH($C1094,MgActId,0)),"")</f>
        <v/>
      </c>
      <c r="L1094" s="64">
        <f>IFERROR(INDEX('1. Matriz de Activos'!$R$6:$R$239,MATCH($C1094,MgActId,0)),"")</f>
        <v/>
      </c>
      <c r="M1094" s="64">
        <f>IFERROR(INDEX('1. Matriz de Activos'!$S$6:$S$239,MATCH($C1094,MgActId,0)),"")</f>
        <v/>
      </c>
      <c r="N1094" s="28">
        <f>IFERROR(INDEX(MgAmenDegD,MATCH(SUBSTITUTE($H1094,"*","-"),MgAmenClave,0)),"No aplica")</f>
        <v/>
      </c>
      <c r="O1094" s="28">
        <f>IFERROR(INDEX(MgAmenDegI,MATCH(SUBSTITUTE($H1094,"*","-"),MgAmenClave,0)),"No aplica")</f>
        <v/>
      </c>
      <c r="P1094" s="28">
        <f>IFERROR(INDEX(MgAmenDegC,MATCH(SUBSTITUTE($H1094,"*","-"),MgAmenClave,0)),"No aplica")</f>
        <v/>
      </c>
      <c r="Q1094" s="29">
        <f>IFERROR(VLOOKUP(K1094,MgValor,2,0)*VLOOKUP(N1094,MgDeg,2,0),0)</f>
        <v/>
      </c>
      <c r="R1094" s="29">
        <f>IFERROR(VLOOKUP(L1094,MgValor,2,0)*VLOOKUP(O1094,MgDeg,2,0),0)</f>
        <v/>
      </c>
      <c r="S1094" s="29">
        <f>IFERROR(VLOOKUP(M1094,MgValor,2,0)*VLOOKUP(P1094,MgDeg,2,0),0)</f>
        <v/>
      </c>
      <c r="T1094" s="30">
        <f>MAX(Q1094:S1094)</f>
        <v/>
      </c>
      <c r="U1094" s="28">
        <f>IFERROR(LOOKUP(T1094,{0;0.5;1.5;3;4.5},{"Despreciable";"Bajo";"Medio";"Alto";"Muy alto"}),"")</f>
        <v/>
      </c>
      <c r="V1094" s="13">
        <f>IFERROR(INDEX(MgAmenFrec,MATCH(SUBSTITUTE($H1094,"*","-"),MgAmenClave,0)),"")</f>
        <v/>
      </c>
      <c r="W1094" s="28">
        <f>IFERROR(LOOKUP(X1094,{0;0.01;0.1;1;10;100},{"Muy baja";"Muy baja";"Baja";"Media";"Alta";"Muy alta"}),"")</f>
        <v/>
      </c>
      <c r="X1094" s="31">
        <f>IFERROR(VLOOKUP(V1094,MgFrec,2,0),0)</f>
        <v/>
      </c>
      <c r="Y1094" s="30">
        <f>T1094*X1094</f>
        <v/>
      </c>
      <c r="Z1094" s="28">
        <f>IFERROR(LOOKUP(Y1094,{0;0.5;5;25},{"Bajo";"Medio";"Alto";"Crítico"}),"")</f>
        <v/>
      </c>
      <c r="AA1094" s="64">
        <f>IF(T1094&gt;=3,IF(X1094&gt;=1,"Zona 1 — Crítica: impacto alto y ocurre al menos una vez al año","Zona 4 — Catastrófica poco probable: impacto alto pero excepcional"),IF(AND(T1094&lt;1.5,X1094&lt;1),"Zona 3 — Asumible: impacto bajo y muy poco frecuente","Zona 2 — Atención: riesgo intermedio"))</f>
        <v/>
      </c>
      <c r="AB1094" s="64">
        <f>IFERROR(INDEX(MgAmenCtrl,MATCH(SUBSTITUTE($H1094,"*","-"),MgAmenClave,0)),"")</f>
        <v/>
      </c>
      <c r="AC1094" s="20" t="n"/>
      <c r="AD1094" s="31">
        <f>IFERROR($X1094*(1-IF($AC1094="",$AL1094,VLOOKUP($AC1094,MgMad,2,0))),"")</f>
        <v/>
      </c>
      <c r="AE1094" s="28">
        <f>IFERROR(LOOKUP(AD1094,{0;0.01;0.1;1;10;100},{"Muy baja";"Muy baja";"Baja";"Media";"Alta";"Muy alta"}),"")</f>
        <v/>
      </c>
      <c r="AF1094" s="30">
        <f>T1094*AD1094</f>
        <v/>
      </c>
      <c r="AG1094" s="28">
        <f>IFERROR(LOOKUP(AF1094,{0;0.5;5;25},{"Bajo";"Medio";"Alto";"Crítico"}),"")</f>
        <v/>
      </c>
      <c r="AH1094" s="28">
        <f>IF(AG1094="","",IF(OR(AG1094="Crítico",AG1094="Alto"),"Mitigar",IF(AG1094="Medio","Mitigar","Aceptar y monitorear")))</f>
        <v/>
      </c>
      <c r="AI1094" s="21" t="n"/>
      <c r="AJ1094" s="21" t="n"/>
      <c r="AK1094" s="20" t="n"/>
      <c r="AL1094" s="77">
        <f>IFERROR(INDEX(MgAmenEfic,MATCH(SUBSTITUTE($H1094,"*","-"),MgAmenClave,0)),0)</f>
        <v/>
      </c>
    </row>
    <row r="1095" hidden="1" ht="90" customHeight="1" s="54">
      <c r="B1095" s="59" t="inlineStr">
        <is>
          <t>R-1090</t>
        </is>
      </c>
      <c r="C1095" s="59" t="inlineStr">
        <is>
          <t>GH-034</t>
        </is>
      </c>
      <c r="D1095" s="64">
        <f>IFERROR(INDEX(MgNombre,MATCH($C1095,MgActId,0)),"")</f>
        <v/>
      </c>
      <c r="E1095" s="64">
        <f>IFERROR(INDEX(MgProceso,MATCH($C1095,MgActId,0)),"")</f>
        <v/>
      </c>
      <c r="F1095" s="64">
        <f>IFERROR(INDEX(MgTipo,MATCH($C1095,MgActId,0)),"")</f>
        <v/>
      </c>
      <c r="G1095" s="64">
        <f>IFERROR(INDEX(MgSubtipo,MATCH($C1095,MgActId,0)),"")</f>
        <v/>
      </c>
      <c r="H1095" s="59" t="inlineStr">
        <is>
          <t>A.13</t>
        </is>
      </c>
      <c r="I1095" s="64">
        <f>IFERROR(INDEX(MgAmenNombre,MATCH(SUBSTITUTE($H1095,"*","-"),MgAmenClave,0)),"")</f>
        <v/>
      </c>
      <c r="J1095" s="28">
        <f>IFERROR(INDEX(MgAmenGrupo,MATCH(SUBSTITUTE($H1095,"*","-"),MgAmenClave,0)),"")</f>
        <v/>
      </c>
      <c r="K1095" s="64">
        <f>IFERROR(INDEX('1. Matriz de Activos'!$Q$6:$Q$239,MATCH($C1095,MgActId,0)),"")</f>
        <v/>
      </c>
      <c r="L1095" s="64">
        <f>IFERROR(INDEX('1. Matriz de Activos'!$R$6:$R$239,MATCH($C1095,MgActId,0)),"")</f>
        <v/>
      </c>
      <c r="M1095" s="64">
        <f>IFERROR(INDEX('1. Matriz de Activos'!$S$6:$S$239,MATCH($C1095,MgActId,0)),"")</f>
        <v/>
      </c>
      <c r="N1095" s="28">
        <f>IFERROR(INDEX(MgAmenDegD,MATCH(SUBSTITUTE($H1095,"*","-"),MgAmenClave,0)),"No aplica")</f>
        <v/>
      </c>
      <c r="O1095" s="28">
        <f>IFERROR(INDEX(MgAmenDegI,MATCH(SUBSTITUTE($H1095,"*","-"),MgAmenClave,0)),"No aplica")</f>
        <v/>
      </c>
      <c r="P1095" s="28">
        <f>IFERROR(INDEX(MgAmenDegC,MATCH(SUBSTITUTE($H1095,"*","-"),MgAmenClave,0)),"No aplica")</f>
        <v/>
      </c>
      <c r="Q1095" s="29">
        <f>IFERROR(VLOOKUP(K1095,MgValor,2,0)*VLOOKUP(N1095,MgDeg,2,0),0)</f>
        <v/>
      </c>
      <c r="R1095" s="29">
        <f>IFERROR(VLOOKUP(L1095,MgValor,2,0)*VLOOKUP(O1095,MgDeg,2,0),0)</f>
        <v/>
      </c>
      <c r="S1095" s="29">
        <f>IFERROR(VLOOKUP(M1095,MgValor,2,0)*VLOOKUP(P1095,MgDeg,2,0),0)</f>
        <v/>
      </c>
      <c r="T1095" s="30">
        <f>MAX(Q1095:S1095)</f>
        <v/>
      </c>
      <c r="U1095" s="28">
        <f>IFERROR(LOOKUP(T1095,{0;0.5;1.5;3;4.5},{"Despreciable";"Bajo";"Medio";"Alto";"Muy alto"}),"")</f>
        <v/>
      </c>
      <c r="V1095" s="13">
        <f>IFERROR(INDEX(MgAmenFrec,MATCH(SUBSTITUTE($H1095,"*","-"),MgAmenClave,0)),"")</f>
        <v/>
      </c>
      <c r="W1095" s="28">
        <f>IFERROR(LOOKUP(X1095,{0;0.01;0.1;1;10;100},{"Muy baja";"Muy baja";"Baja";"Media";"Alta";"Muy alta"}),"")</f>
        <v/>
      </c>
      <c r="X1095" s="31">
        <f>IFERROR(VLOOKUP(V1095,MgFrec,2,0),0)</f>
        <v/>
      </c>
      <c r="Y1095" s="30">
        <f>T1095*X1095</f>
        <v/>
      </c>
      <c r="Z1095" s="28">
        <f>IFERROR(LOOKUP(Y1095,{0;0.5;5;25},{"Bajo";"Medio";"Alto";"Crítico"}),"")</f>
        <v/>
      </c>
      <c r="AA1095" s="64">
        <f>IF(T1095&gt;=3,IF(X1095&gt;=1,"Zona 1 — Crítica: impacto alto y ocurre al menos una vez al año","Zona 4 — Catastrófica poco probable: impacto alto pero excepcional"),IF(AND(T1095&lt;1.5,X1095&lt;1),"Zona 3 — Asumible: impacto bajo y muy poco frecuente","Zona 2 — Atención: riesgo intermedio"))</f>
        <v/>
      </c>
      <c r="AB1095" s="64">
        <f>IFERROR(INDEX(MgAmenCtrl,MATCH(SUBSTITUTE($H1095,"*","-"),MgAmenClave,0)),"")</f>
        <v/>
      </c>
      <c r="AC1095" s="20" t="n"/>
      <c r="AD1095" s="31">
        <f>IFERROR($X1095*(1-IF($AC1095="",$AL1095,VLOOKUP($AC1095,MgMad,2,0))),"")</f>
        <v/>
      </c>
      <c r="AE1095" s="28">
        <f>IFERROR(LOOKUP(AD1095,{0;0.01;0.1;1;10;100},{"Muy baja";"Muy baja";"Baja";"Media";"Alta";"Muy alta"}),"")</f>
        <v/>
      </c>
      <c r="AF1095" s="30">
        <f>T1095*AD1095</f>
        <v/>
      </c>
      <c r="AG1095" s="28">
        <f>IFERROR(LOOKUP(AF1095,{0;0.5;5;25},{"Bajo";"Medio";"Alto";"Crítico"}),"")</f>
        <v/>
      </c>
      <c r="AH1095" s="28">
        <f>IF(AG1095="","",IF(OR(AG1095="Crítico",AG1095="Alto"),"Mitigar",IF(AG1095="Medio","Mitigar","Aceptar y monitorear")))</f>
        <v/>
      </c>
      <c r="AI1095" s="21" t="n"/>
      <c r="AJ1095" s="21" t="n"/>
      <c r="AK1095" s="20" t="n"/>
      <c r="AL1095" s="77">
        <f>IFERROR(INDEX(MgAmenEfic,MATCH(SUBSTITUTE($H1095,"*","-"),MgAmenClave,0)),0)</f>
        <v/>
      </c>
    </row>
    <row r="1096" hidden="1" ht="60" customHeight="1" s="54">
      <c r="B1096" s="59" t="inlineStr">
        <is>
          <t>R-1091</t>
        </is>
      </c>
      <c r="C1096" s="59" t="inlineStr">
        <is>
          <t>GH-034</t>
        </is>
      </c>
      <c r="D1096" s="64">
        <f>IFERROR(INDEX(MgNombre,MATCH($C1096,MgActId,0)),"")</f>
        <v/>
      </c>
      <c r="E1096" s="64">
        <f>IFERROR(INDEX(MgProceso,MATCH($C1096,MgActId,0)),"")</f>
        <v/>
      </c>
      <c r="F1096" s="64">
        <f>IFERROR(INDEX(MgTipo,MATCH($C1096,MgActId,0)),"")</f>
        <v/>
      </c>
      <c r="G1096" s="64">
        <f>IFERROR(INDEX(MgSubtipo,MATCH($C1096,MgActId,0)),"")</f>
        <v/>
      </c>
      <c r="H1096" s="59" t="inlineStr">
        <is>
          <t>A.15</t>
        </is>
      </c>
      <c r="I1096" s="64">
        <f>IFERROR(INDEX(MgAmenNombre,MATCH(SUBSTITUTE($H1096,"*","-"),MgAmenClave,0)),"")</f>
        <v/>
      </c>
      <c r="J1096" s="28">
        <f>IFERROR(INDEX(MgAmenGrupo,MATCH(SUBSTITUTE($H1096,"*","-"),MgAmenClave,0)),"")</f>
        <v/>
      </c>
      <c r="K1096" s="64">
        <f>IFERROR(INDEX('1. Matriz de Activos'!$Q$6:$Q$239,MATCH($C1096,MgActId,0)),"")</f>
        <v/>
      </c>
      <c r="L1096" s="64">
        <f>IFERROR(INDEX('1. Matriz de Activos'!$R$6:$R$239,MATCH($C1096,MgActId,0)),"")</f>
        <v/>
      </c>
      <c r="M1096" s="64">
        <f>IFERROR(INDEX('1. Matriz de Activos'!$S$6:$S$239,MATCH($C1096,MgActId,0)),"")</f>
        <v/>
      </c>
      <c r="N1096" s="28">
        <f>IFERROR(INDEX(MgAmenDegD,MATCH(SUBSTITUTE($H1096,"*","-"),MgAmenClave,0)),"No aplica")</f>
        <v/>
      </c>
      <c r="O1096" s="28">
        <f>IFERROR(INDEX(MgAmenDegI,MATCH(SUBSTITUTE($H1096,"*","-"),MgAmenClave,0)),"No aplica")</f>
        <v/>
      </c>
      <c r="P1096" s="28">
        <f>IFERROR(INDEX(MgAmenDegC,MATCH(SUBSTITUTE($H1096,"*","-"),MgAmenClave,0)),"No aplica")</f>
        <v/>
      </c>
      <c r="Q1096" s="29">
        <f>IFERROR(VLOOKUP(K1096,MgValor,2,0)*VLOOKUP(N1096,MgDeg,2,0),0)</f>
        <v/>
      </c>
      <c r="R1096" s="29">
        <f>IFERROR(VLOOKUP(L1096,MgValor,2,0)*VLOOKUP(O1096,MgDeg,2,0),0)</f>
        <v/>
      </c>
      <c r="S1096" s="29">
        <f>IFERROR(VLOOKUP(M1096,MgValor,2,0)*VLOOKUP(P1096,MgDeg,2,0),0)</f>
        <v/>
      </c>
      <c r="T1096" s="30">
        <f>MAX(Q1096:S1096)</f>
        <v/>
      </c>
      <c r="U1096" s="28">
        <f>IFERROR(LOOKUP(T1096,{0;0.5;1.5;3;4.5},{"Despreciable";"Bajo";"Medio";"Alto";"Muy alto"}),"")</f>
        <v/>
      </c>
      <c r="V1096" s="13">
        <f>IFERROR(INDEX(MgAmenFrec,MATCH(SUBSTITUTE($H1096,"*","-"),MgAmenClave,0)),"")</f>
        <v/>
      </c>
      <c r="W1096" s="28">
        <f>IFERROR(LOOKUP(X1096,{0;0.01;0.1;1;10;100},{"Muy baja";"Muy baja";"Baja";"Media";"Alta";"Muy alta"}),"")</f>
        <v/>
      </c>
      <c r="X1096" s="31">
        <f>IFERROR(VLOOKUP(V1096,MgFrec,2,0),0)</f>
        <v/>
      </c>
      <c r="Y1096" s="30">
        <f>T1096*X1096</f>
        <v/>
      </c>
      <c r="Z1096" s="28">
        <f>IFERROR(LOOKUP(Y1096,{0;0.5;5;25},{"Bajo";"Medio";"Alto";"Crítico"}),"")</f>
        <v/>
      </c>
      <c r="AA1096" s="64">
        <f>IF(T1096&gt;=3,IF(X1096&gt;=1,"Zona 1 — Crítica: impacto alto y ocurre al menos una vez al año","Zona 4 — Catastrófica poco probable: impacto alto pero excepcional"),IF(AND(T1096&lt;1.5,X1096&lt;1),"Zona 3 — Asumible: impacto bajo y muy poco frecuente","Zona 2 — Atención: riesgo intermedio"))</f>
        <v/>
      </c>
      <c r="AB1096" s="64">
        <f>IFERROR(INDEX(MgAmenCtrl,MATCH(SUBSTITUTE($H1096,"*","-"),MgAmenClave,0)),"")</f>
        <v/>
      </c>
      <c r="AC1096" s="20" t="n"/>
      <c r="AD1096" s="31">
        <f>IFERROR($X1096*(1-IF($AC1096="",$AL1096,VLOOKUP($AC1096,MgMad,2,0))),"")</f>
        <v/>
      </c>
      <c r="AE1096" s="28">
        <f>IFERROR(LOOKUP(AD1096,{0;0.01;0.1;1;10;100},{"Muy baja";"Muy baja";"Baja";"Media";"Alta";"Muy alta"}),"")</f>
        <v/>
      </c>
      <c r="AF1096" s="30">
        <f>T1096*AD1096</f>
        <v/>
      </c>
      <c r="AG1096" s="28">
        <f>IFERROR(LOOKUP(AF1096,{0;0.5;5;25},{"Bajo";"Medio";"Alto";"Crítico"}),"")</f>
        <v/>
      </c>
      <c r="AH1096" s="28">
        <f>IF(AG1096="","",IF(OR(AG1096="Crítico",AG1096="Alto"),"Mitigar",IF(AG1096="Medio","Mitigar","Aceptar y monitorear")))</f>
        <v/>
      </c>
      <c r="AI1096" s="21" t="n"/>
      <c r="AJ1096" s="21" t="n"/>
      <c r="AK1096" s="20" t="n"/>
      <c r="AL1096" s="77">
        <f>IFERROR(INDEX(MgAmenEfic,MATCH(SUBSTITUTE($H1096,"*","-"),MgAmenClave,0)),0)</f>
        <v/>
      </c>
    </row>
    <row r="1097" hidden="1" ht="60" customHeight="1" s="54">
      <c r="B1097" s="59" t="inlineStr">
        <is>
          <t>R-1092</t>
        </is>
      </c>
      <c r="C1097" s="59" t="inlineStr">
        <is>
          <t>GH-034</t>
        </is>
      </c>
      <c r="D1097" s="64">
        <f>IFERROR(INDEX(MgNombre,MATCH($C1097,MgActId,0)),"")</f>
        <v/>
      </c>
      <c r="E1097" s="64">
        <f>IFERROR(INDEX(MgProceso,MATCH($C1097,MgActId,0)),"")</f>
        <v/>
      </c>
      <c r="F1097" s="64">
        <f>IFERROR(INDEX(MgTipo,MATCH($C1097,MgActId,0)),"")</f>
        <v/>
      </c>
      <c r="G1097" s="64">
        <f>IFERROR(INDEX(MgSubtipo,MATCH($C1097,MgActId,0)),"")</f>
        <v/>
      </c>
      <c r="H1097" s="59" t="inlineStr">
        <is>
          <t>A.18</t>
        </is>
      </c>
      <c r="I1097" s="64">
        <f>IFERROR(INDEX(MgAmenNombre,MATCH(SUBSTITUTE($H1097,"*","-"),MgAmenClave,0)),"")</f>
        <v/>
      </c>
      <c r="J1097" s="28">
        <f>IFERROR(INDEX(MgAmenGrupo,MATCH(SUBSTITUTE($H1097,"*","-"),MgAmenClave,0)),"")</f>
        <v/>
      </c>
      <c r="K1097" s="64">
        <f>IFERROR(INDEX('1. Matriz de Activos'!$Q$6:$Q$239,MATCH($C1097,MgActId,0)),"")</f>
        <v/>
      </c>
      <c r="L1097" s="64">
        <f>IFERROR(INDEX('1. Matriz de Activos'!$R$6:$R$239,MATCH($C1097,MgActId,0)),"")</f>
        <v/>
      </c>
      <c r="M1097" s="64">
        <f>IFERROR(INDEX('1. Matriz de Activos'!$S$6:$S$239,MATCH($C1097,MgActId,0)),"")</f>
        <v/>
      </c>
      <c r="N1097" s="28">
        <f>IFERROR(INDEX(MgAmenDegD,MATCH(SUBSTITUTE($H1097,"*","-"),MgAmenClave,0)),"No aplica")</f>
        <v/>
      </c>
      <c r="O1097" s="28">
        <f>IFERROR(INDEX(MgAmenDegI,MATCH(SUBSTITUTE($H1097,"*","-"),MgAmenClave,0)),"No aplica")</f>
        <v/>
      </c>
      <c r="P1097" s="28">
        <f>IFERROR(INDEX(MgAmenDegC,MATCH(SUBSTITUTE($H1097,"*","-"),MgAmenClave,0)),"No aplica")</f>
        <v/>
      </c>
      <c r="Q1097" s="29">
        <f>IFERROR(VLOOKUP(K1097,MgValor,2,0)*VLOOKUP(N1097,MgDeg,2,0),0)</f>
        <v/>
      </c>
      <c r="R1097" s="29">
        <f>IFERROR(VLOOKUP(L1097,MgValor,2,0)*VLOOKUP(O1097,MgDeg,2,0),0)</f>
        <v/>
      </c>
      <c r="S1097" s="29">
        <f>IFERROR(VLOOKUP(M1097,MgValor,2,0)*VLOOKUP(P1097,MgDeg,2,0),0)</f>
        <v/>
      </c>
      <c r="T1097" s="30">
        <f>MAX(Q1097:S1097)</f>
        <v/>
      </c>
      <c r="U1097" s="28">
        <f>IFERROR(LOOKUP(T1097,{0;0.5;1.5;3;4.5},{"Despreciable";"Bajo";"Medio";"Alto";"Muy alto"}),"")</f>
        <v/>
      </c>
      <c r="V1097" s="13">
        <f>IFERROR(INDEX(MgAmenFrec,MATCH(SUBSTITUTE($H1097,"*","-"),MgAmenClave,0)),"")</f>
        <v/>
      </c>
      <c r="W1097" s="28">
        <f>IFERROR(LOOKUP(X1097,{0;0.01;0.1;1;10;100},{"Muy baja";"Muy baja";"Baja";"Media";"Alta";"Muy alta"}),"")</f>
        <v/>
      </c>
      <c r="X1097" s="31">
        <f>IFERROR(VLOOKUP(V1097,MgFrec,2,0),0)</f>
        <v/>
      </c>
      <c r="Y1097" s="30">
        <f>T1097*X1097</f>
        <v/>
      </c>
      <c r="Z1097" s="28">
        <f>IFERROR(LOOKUP(Y1097,{0;0.5;5;25},{"Bajo";"Medio";"Alto";"Crítico"}),"")</f>
        <v/>
      </c>
      <c r="AA1097" s="64">
        <f>IF(T1097&gt;=3,IF(X1097&gt;=1,"Zona 1 — Crítica: impacto alto y ocurre al menos una vez al año","Zona 4 — Catastrófica poco probable: impacto alto pero excepcional"),IF(AND(T1097&lt;1.5,X1097&lt;1),"Zona 3 — Asumible: impacto bajo y muy poco frecuente","Zona 2 — Atención: riesgo intermedio"))</f>
        <v/>
      </c>
      <c r="AB1097" s="64">
        <f>IFERROR(INDEX(MgAmenCtrl,MATCH(SUBSTITUTE($H1097,"*","-"),MgAmenClave,0)),"")</f>
        <v/>
      </c>
      <c r="AC1097" s="20" t="n"/>
      <c r="AD1097" s="31">
        <f>IFERROR($X1097*(1-IF($AC1097="",$AL1097,VLOOKUP($AC1097,MgMad,2,0))),"")</f>
        <v/>
      </c>
      <c r="AE1097" s="28">
        <f>IFERROR(LOOKUP(AD1097,{0;0.01;0.1;1;10;100},{"Muy baja";"Muy baja";"Baja";"Media";"Alta";"Muy alta"}),"")</f>
        <v/>
      </c>
      <c r="AF1097" s="30">
        <f>T1097*AD1097</f>
        <v/>
      </c>
      <c r="AG1097" s="28">
        <f>IFERROR(LOOKUP(AF1097,{0;0.5;5;25},{"Bajo";"Medio";"Alto";"Crítico"}),"")</f>
        <v/>
      </c>
      <c r="AH1097" s="28">
        <f>IF(AG1097="","",IF(OR(AG1097="Crítico",AG1097="Alto"),"Mitigar",IF(AG1097="Medio","Mitigar","Aceptar y monitorear")))</f>
        <v/>
      </c>
      <c r="AI1097" s="21" t="n"/>
      <c r="AJ1097" s="21" t="n"/>
      <c r="AK1097" s="20" t="n"/>
      <c r="AL1097" s="77">
        <f>IFERROR(INDEX(MgAmenEfic,MATCH(SUBSTITUTE($H1097,"*","-"),MgAmenClave,0)),0)</f>
        <v/>
      </c>
    </row>
    <row r="1098" hidden="1" ht="120" customHeight="1" s="54">
      <c r="B1098" s="59" t="inlineStr">
        <is>
          <t>R-1093</t>
        </is>
      </c>
      <c r="C1098" s="59" t="inlineStr">
        <is>
          <t>GH-034</t>
        </is>
      </c>
      <c r="D1098" s="64">
        <f>IFERROR(INDEX(MgNombre,MATCH($C1098,MgActId,0)),"")</f>
        <v/>
      </c>
      <c r="E1098" s="64">
        <f>IFERROR(INDEX(MgProceso,MATCH($C1098,MgActId,0)),"")</f>
        <v/>
      </c>
      <c r="F1098" s="64">
        <f>IFERROR(INDEX(MgTipo,MATCH($C1098,MgActId,0)),"")</f>
        <v/>
      </c>
      <c r="G1098" s="64">
        <f>IFERROR(INDEX(MgSubtipo,MATCH($C1098,MgActId,0)),"")</f>
        <v/>
      </c>
      <c r="H1098" s="59" t="inlineStr">
        <is>
          <t>A.19</t>
        </is>
      </c>
      <c r="I1098" s="64">
        <f>IFERROR(INDEX(MgAmenNombre,MATCH(SUBSTITUTE($H1098,"*","-"),MgAmenClave,0)),"")</f>
        <v/>
      </c>
      <c r="J1098" s="28">
        <f>IFERROR(INDEX(MgAmenGrupo,MATCH(SUBSTITUTE($H1098,"*","-"),MgAmenClave,0)),"")</f>
        <v/>
      </c>
      <c r="K1098" s="64">
        <f>IFERROR(INDEX('1. Matriz de Activos'!$Q$6:$Q$239,MATCH($C1098,MgActId,0)),"")</f>
        <v/>
      </c>
      <c r="L1098" s="64">
        <f>IFERROR(INDEX('1. Matriz de Activos'!$R$6:$R$239,MATCH($C1098,MgActId,0)),"")</f>
        <v/>
      </c>
      <c r="M1098" s="64">
        <f>IFERROR(INDEX('1. Matriz de Activos'!$S$6:$S$239,MATCH($C1098,MgActId,0)),"")</f>
        <v/>
      </c>
      <c r="N1098" s="28">
        <f>IFERROR(INDEX(MgAmenDegD,MATCH(SUBSTITUTE($H1098,"*","-"),MgAmenClave,0)),"No aplica")</f>
        <v/>
      </c>
      <c r="O1098" s="28">
        <f>IFERROR(INDEX(MgAmenDegI,MATCH(SUBSTITUTE($H1098,"*","-"),MgAmenClave,0)),"No aplica")</f>
        <v/>
      </c>
      <c r="P1098" s="28">
        <f>IFERROR(INDEX(MgAmenDegC,MATCH(SUBSTITUTE($H1098,"*","-"),MgAmenClave,0)),"No aplica")</f>
        <v/>
      </c>
      <c r="Q1098" s="29">
        <f>IFERROR(VLOOKUP(K1098,MgValor,2,0)*VLOOKUP(N1098,MgDeg,2,0),0)</f>
        <v/>
      </c>
      <c r="R1098" s="29">
        <f>IFERROR(VLOOKUP(L1098,MgValor,2,0)*VLOOKUP(O1098,MgDeg,2,0),0)</f>
        <v/>
      </c>
      <c r="S1098" s="29">
        <f>IFERROR(VLOOKUP(M1098,MgValor,2,0)*VLOOKUP(P1098,MgDeg,2,0),0)</f>
        <v/>
      </c>
      <c r="T1098" s="30">
        <f>MAX(Q1098:S1098)</f>
        <v/>
      </c>
      <c r="U1098" s="28">
        <f>IFERROR(LOOKUP(T1098,{0;0.5;1.5;3;4.5},{"Despreciable";"Bajo";"Medio";"Alto";"Muy alto"}),"")</f>
        <v/>
      </c>
      <c r="V1098" s="13">
        <f>IFERROR(INDEX(MgAmenFrec,MATCH(SUBSTITUTE($H1098,"*","-"),MgAmenClave,0)),"")</f>
        <v/>
      </c>
      <c r="W1098" s="28">
        <f>IFERROR(LOOKUP(X1098,{0;0.01;0.1;1;10;100},{"Muy baja";"Muy baja";"Baja";"Media";"Alta";"Muy alta"}),"")</f>
        <v/>
      </c>
      <c r="X1098" s="31">
        <f>IFERROR(VLOOKUP(V1098,MgFrec,2,0),0)</f>
        <v/>
      </c>
      <c r="Y1098" s="30">
        <f>T1098*X1098</f>
        <v/>
      </c>
      <c r="Z1098" s="28">
        <f>IFERROR(LOOKUP(Y1098,{0;0.5;5;25},{"Bajo";"Medio";"Alto";"Crítico"}),"")</f>
        <v/>
      </c>
      <c r="AA1098" s="64">
        <f>IF(T1098&gt;=3,IF(X1098&gt;=1,"Zona 1 — Crítica: impacto alto y ocurre al menos una vez al año","Zona 4 — Catastrófica poco probable: impacto alto pero excepcional"),IF(AND(T1098&lt;1.5,X1098&lt;1),"Zona 3 — Asumible: impacto bajo y muy poco frecuente","Zona 2 — Atención: riesgo intermedio"))</f>
        <v/>
      </c>
      <c r="AB1098" s="64">
        <f>IFERROR(INDEX(MgAmenCtrl,MATCH(SUBSTITUTE($H1098,"*","-"),MgAmenClave,0)),"")</f>
        <v/>
      </c>
      <c r="AC1098" s="20" t="n"/>
      <c r="AD1098" s="31">
        <f>IFERROR($X1098*(1-IF($AC1098="",$AL1098,VLOOKUP($AC1098,MgMad,2,0))),"")</f>
        <v/>
      </c>
      <c r="AE1098" s="28">
        <f>IFERROR(LOOKUP(AD1098,{0;0.01;0.1;1;10;100},{"Muy baja";"Muy baja";"Baja";"Media";"Alta";"Muy alta"}),"")</f>
        <v/>
      </c>
      <c r="AF1098" s="30">
        <f>T1098*AD1098</f>
        <v/>
      </c>
      <c r="AG1098" s="28">
        <f>IFERROR(LOOKUP(AF1098,{0;0.5;5;25},{"Bajo";"Medio";"Alto";"Crítico"}),"")</f>
        <v/>
      </c>
      <c r="AH1098" s="28">
        <f>IF(AG1098="","",IF(OR(AG1098="Crítico",AG1098="Alto"),"Mitigar",IF(AG1098="Medio","Mitigar","Aceptar y monitorear")))</f>
        <v/>
      </c>
      <c r="AI1098" s="21" t="n"/>
      <c r="AJ1098" s="21" t="n"/>
      <c r="AK1098" s="20" t="n"/>
      <c r="AL1098" s="77">
        <f>IFERROR(INDEX(MgAmenEfic,MATCH(SUBSTITUTE($H1098,"*","-"),MgAmenClave,0)),0)</f>
        <v/>
      </c>
    </row>
    <row r="1099" hidden="1" ht="105" customHeight="1" s="54">
      <c r="B1099" s="59" t="inlineStr">
        <is>
          <t>R-1094</t>
        </is>
      </c>
      <c r="C1099" s="59" t="inlineStr">
        <is>
          <t>GH-035</t>
        </is>
      </c>
      <c r="D1099" s="64">
        <f>IFERROR(INDEX(MgNombre,MATCH($C1099,MgActId,0)),"")</f>
        <v/>
      </c>
      <c r="E1099" s="64">
        <f>IFERROR(INDEX(MgProceso,MATCH($C1099,MgActId,0)),"")</f>
        <v/>
      </c>
      <c r="F1099" s="64">
        <f>IFERROR(INDEX(MgTipo,MATCH($C1099,MgActId,0)),"")</f>
        <v/>
      </c>
      <c r="G1099" s="64">
        <f>IFERROR(INDEX(MgSubtipo,MATCH($C1099,MgActId,0)),"")</f>
        <v/>
      </c>
      <c r="H1099" s="59" t="inlineStr">
        <is>
          <t>E.1</t>
        </is>
      </c>
      <c r="I1099" s="64">
        <f>IFERROR(INDEX(MgAmenNombre,MATCH(SUBSTITUTE($H1099,"*","-"),MgAmenClave,0)),"")</f>
        <v/>
      </c>
      <c r="J1099" s="28">
        <f>IFERROR(INDEX(MgAmenGrupo,MATCH(SUBSTITUTE($H1099,"*","-"),MgAmenClave,0)),"")</f>
        <v/>
      </c>
      <c r="K1099" s="64">
        <f>IFERROR(INDEX('1. Matriz de Activos'!$Q$6:$Q$239,MATCH($C1099,MgActId,0)),"")</f>
        <v/>
      </c>
      <c r="L1099" s="64">
        <f>IFERROR(INDEX('1. Matriz de Activos'!$R$6:$R$239,MATCH($C1099,MgActId,0)),"")</f>
        <v/>
      </c>
      <c r="M1099" s="64">
        <f>IFERROR(INDEX('1. Matriz de Activos'!$S$6:$S$239,MATCH($C1099,MgActId,0)),"")</f>
        <v/>
      </c>
      <c r="N1099" s="28">
        <f>IFERROR(INDEX(MgAmenDegD,MATCH(SUBSTITUTE($H1099,"*","-"),MgAmenClave,0)),"No aplica")</f>
        <v/>
      </c>
      <c r="O1099" s="28">
        <f>IFERROR(INDEX(MgAmenDegI,MATCH(SUBSTITUTE($H1099,"*","-"),MgAmenClave,0)),"No aplica")</f>
        <v/>
      </c>
      <c r="P1099" s="28">
        <f>IFERROR(INDEX(MgAmenDegC,MATCH(SUBSTITUTE($H1099,"*","-"),MgAmenClave,0)),"No aplica")</f>
        <v/>
      </c>
      <c r="Q1099" s="29">
        <f>IFERROR(VLOOKUP(K1099,MgValor,2,0)*VLOOKUP(N1099,MgDeg,2,0),0)</f>
        <v/>
      </c>
      <c r="R1099" s="29">
        <f>IFERROR(VLOOKUP(L1099,MgValor,2,0)*VLOOKUP(O1099,MgDeg,2,0),0)</f>
        <v/>
      </c>
      <c r="S1099" s="29">
        <f>IFERROR(VLOOKUP(M1099,MgValor,2,0)*VLOOKUP(P1099,MgDeg,2,0),0)</f>
        <v/>
      </c>
      <c r="T1099" s="30">
        <f>MAX(Q1099:S1099)</f>
        <v/>
      </c>
      <c r="U1099" s="28">
        <f>IFERROR(LOOKUP(T1099,{0;0.5;1.5;3;4.5},{"Despreciable";"Bajo";"Medio";"Alto";"Muy alto"}),"")</f>
        <v/>
      </c>
      <c r="V1099" s="13">
        <f>IFERROR(INDEX(MgAmenFrec,MATCH(SUBSTITUTE($H1099,"*","-"),MgAmenClave,0)),"")</f>
        <v/>
      </c>
      <c r="W1099" s="28">
        <f>IFERROR(LOOKUP(X1099,{0;0.01;0.1;1;10;100},{"Muy baja";"Muy baja";"Baja";"Media";"Alta";"Muy alta"}),"")</f>
        <v/>
      </c>
      <c r="X1099" s="31">
        <f>IFERROR(VLOOKUP(V1099,MgFrec,2,0),0)</f>
        <v/>
      </c>
      <c r="Y1099" s="30">
        <f>T1099*X1099</f>
        <v/>
      </c>
      <c r="Z1099" s="28">
        <f>IFERROR(LOOKUP(Y1099,{0;0.5;5;25},{"Bajo";"Medio";"Alto";"Crítico"}),"")</f>
        <v/>
      </c>
      <c r="AA1099" s="64">
        <f>IF(T1099&gt;=3,IF(X1099&gt;=1,"Zona 1 — Crítica: impacto alto y ocurre al menos una vez al año","Zona 4 — Catastrófica poco probable: impacto alto pero excepcional"),IF(AND(T1099&lt;1.5,X1099&lt;1),"Zona 3 — Asumible: impacto bajo y muy poco frecuente","Zona 2 — Atención: riesgo intermedio"))</f>
        <v/>
      </c>
      <c r="AB1099" s="64">
        <f>IFERROR(INDEX(MgAmenCtrl,MATCH(SUBSTITUTE($H1099,"*","-"),MgAmenClave,0)),"")</f>
        <v/>
      </c>
      <c r="AC1099" s="20" t="n"/>
      <c r="AD1099" s="31">
        <f>IFERROR($X1099*(1-IF($AC1099="",$AL1099,VLOOKUP($AC1099,MgMad,2,0))),"")</f>
        <v/>
      </c>
      <c r="AE1099" s="28">
        <f>IFERROR(LOOKUP(AD1099,{0;0.01;0.1;1;10;100},{"Muy baja";"Muy baja";"Baja";"Media";"Alta";"Muy alta"}),"")</f>
        <v/>
      </c>
      <c r="AF1099" s="30">
        <f>T1099*AD1099</f>
        <v/>
      </c>
      <c r="AG1099" s="28">
        <f>IFERROR(LOOKUP(AF1099,{0;0.5;5;25},{"Bajo";"Medio";"Alto";"Crítico"}),"")</f>
        <v/>
      </c>
      <c r="AH1099" s="28">
        <f>IF(AG1099="","",IF(OR(AG1099="Crítico",AG1099="Alto"),"Mitigar",IF(AG1099="Medio","Mitigar","Aceptar y monitorear")))</f>
        <v/>
      </c>
      <c r="AI1099" s="21" t="n"/>
      <c r="AJ1099" s="21" t="n"/>
      <c r="AK1099" s="20" t="n"/>
      <c r="AL1099" s="77">
        <f>IFERROR(INDEX(MgAmenEfic,MATCH(SUBSTITUTE($H1099,"*","-"),MgAmenClave,0)),0)</f>
        <v/>
      </c>
    </row>
    <row r="1100" hidden="1" ht="120" customHeight="1" s="54">
      <c r="B1100" s="59" t="inlineStr">
        <is>
          <t>R-1095</t>
        </is>
      </c>
      <c r="C1100" s="59" t="inlineStr">
        <is>
          <t>GH-035</t>
        </is>
      </c>
      <c r="D1100" s="64">
        <f>IFERROR(INDEX(MgNombre,MATCH($C1100,MgActId,0)),"")</f>
        <v/>
      </c>
      <c r="E1100" s="64">
        <f>IFERROR(INDEX(MgProceso,MATCH($C1100,MgActId,0)),"")</f>
        <v/>
      </c>
      <c r="F1100" s="64">
        <f>IFERROR(INDEX(MgTipo,MATCH($C1100,MgActId,0)),"")</f>
        <v/>
      </c>
      <c r="G1100" s="64">
        <f>IFERROR(INDEX(MgSubtipo,MATCH($C1100,MgActId,0)),"")</f>
        <v/>
      </c>
      <c r="H1100" s="59" t="inlineStr">
        <is>
          <t>E.2</t>
        </is>
      </c>
      <c r="I1100" s="64">
        <f>IFERROR(INDEX(MgAmenNombre,MATCH(SUBSTITUTE($H1100,"*","-"),MgAmenClave,0)),"")</f>
        <v/>
      </c>
      <c r="J1100" s="28">
        <f>IFERROR(INDEX(MgAmenGrupo,MATCH(SUBSTITUTE($H1100,"*","-"),MgAmenClave,0)),"")</f>
        <v/>
      </c>
      <c r="K1100" s="64">
        <f>IFERROR(INDEX('1. Matriz de Activos'!$Q$6:$Q$239,MATCH($C1100,MgActId,0)),"")</f>
        <v/>
      </c>
      <c r="L1100" s="64">
        <f>IFERROR(INDEX('1. Matriz de Activos'!$R$6:$R$239,MATCH($C1100,MgActId,0)),"")</f>
        <v/>
      </c>
      <c r="M1100" s="64">
        <f>IFERROR(INDEX('1. Matriz de Activos'!$S$6:$S$239,MATCH($C1100,MgActId,0)),"")</f>
        <v/>
      </c>
      <c r="N1100" s="28">
        <f>IFERROR(INDEX(MgAmenDegD,MATCH(SUBSTITUTE($H1100,"*","-"),MgAmenClave,0)),"No aplica")</f>
        <v/>
      </c>
      <c r="O1100" s="28">
        <f>IFERROR(INDEX(MgAmenDegI,MATCH(SUBSTITUTE($H1100,"*","-"),MgAmenClave,0)),"No aplica")</f>
        <v/>
      </c>
      <c r="P1100" s="28">
        <f>IFERROR(INDEX(MgAmenDegC,MATCH(SUBSTITUTE($H1100,"*","-"),MgAmenClave,0)),"No aplica")</f>
        <v/>
      </c>
      <c r="Q1100" s="29">
        <f>IFERROR(VLOOKUP(K1100,MgValor,2,0)*VLOOKUP(N1100,MgDeg,2,0),0)</f>
        <v/>
      </c>
      <c r="R1100" s="29">
        <f>IFERROR(VLOOKUP(L1100,MgValor,2,0)*VLOOKUP(O1100,MgDeg,2,0),0)</f>
        <v/>
      </c>
      <c r="S1100" s="29">
        <f>IFERROR(VLOOKUP(M1100,MgValor,2,0)*VLOOKUP(P1100,MgDeg,2,0),0)</f>
        <v/>
      </c>
      <c r="T1100" s="30">
        <f>MAX(Q1100:S1100)</f>
        <v/>
      </c>
      <c r="U1100" s="28">
        <f>IFERROR(LOOKUP(T1100,{0;0.5;1.5;3;4.5},{"Despreciable";"Bajo";"Medio";"Alto";"Muy alto"}),"")</f>
        <v/>
      </c>
      <c r="V1100" s="13">
        <f>IFERROR(INDEX(MgAmenFrec,MATCH(SUBSTITUTE($H1100,"*","-"),MgAmenClave,0)),"")</f>
        <v/>
      </c>
      <c r="W1100" s="28">
        <f>IFERROR(LOOKUP(X1100,{0;0.01;0.1;1;10;100},{"Muy baja";"Muy baja";"Baja";"Media";"Alta";"Muy alta"}),"")</f>
        <v/>
      </c>
      <c r="X1100" s="31">
        <f>IFERROR(VLOOKUP(V1100,MgFrec,2,0),0)</f>
        <v/>
      </c>
      <c r="Y1100" s="30">
        <f>T1100*X1100</f>
        <v/>
      </c>
      <c r="Z1100" s="28">
        <f>IFERROR(LOOKUP(Y1100,{0;0.5;5;25},{"Bajo";"Medio";"Alto";"Crítico"}),"")</f>
        <v/>
      </c>
      <c r="AA1100" s="64">
        <f>IF(T1100&gt;=3,IF(X1100&gt;=1,"Zona 1 — Crítica: impacto alto y ocurre al menos una vez al año","Zona 4 — Catastrófica poco probable: impacto alto pero excepcional"),IF(AND(T1100&lt;1.5,X1100&lt;1),"Zona 3 — Asumible: impacto bajo y muy poco frecuente","Zona 2 — Atención: riesgo intermedio"))</f>
        <v/>
      </c>
      <c r="AB1100" s="64">
        <f>IFERROR(INDEX(MgAmenCtrl,MATCH(SUBSTITUTE($H1100,"*","-"),MgAmenClave,0)),"")</f>
        <v/>
      </c>
      <c r="AC1100" s="20" t="n"/>
      <c r="AD1100" s="31">
        <f>IFERROR($X1100*(1-IF($AC1100="",$AL1100,VLOOKUP($AC1100,MgMad,2,0))),"")</f>
        <v/>
      </c>
      <c r="AE1100" s="28">
        <f>IFERROR(LOOKUP(AD1100,{0;0.01;0.1;1;10;100},{"Muy baja";"Muy baja";"Baja";"Media";"Alta";"Muy alta"}),"")</f>
        <v/>
      </c>
      <c r="AF1100" s="30">
        <f>T1100*AD1100</f>
        <v/>
      </c>
      <c r="AG1100" s="28">
        <f>IFERROR(LOOKUP(AF1100,{0;0.5;5;25},{"Bajo";"Medio";"Alto";"Crítico"}),"")</f>
        <v/>
      </c>
      <c r="AH1100" s="28">
        <f>IF(AG1100="","",IF(OR(AG1100="Crítico",AG1100="Alto"),"Mitigar",IF(AG1100="Medio","Mitigar","Aceptar y monitorear")))</f>
        <v/>
      </c>
      <c r="AI1100" s="21" t="n"/>
      <c r="AJ1100" s="21" t="n"/>
      <c r="AK1100" s="20" t="n"/>
      <c r="AL1100" s="77">
        <f>IFERROR(INDEX(MgAmenEfic,MATCH(SUBSTITUTE($H1100,"*","-"),MgAmenClave,0)),0)</f>
        <v/>
      </c>
    </row>
    <row r="1101" hidden="1" ht="75" customHeight="1" s="54">
      <c r="B1101" s="59" t="inlineStr">
        <is>
          <t>R-1096</t>
        </is>
      </c>
      <c r="C1101" s="59" t="inlineStr">
        <is>
          <t>GH-035</t>
        </is>
      </c>
      <c r="D1101" s="64">
        <f>IFERROR(INDEX(MgNombre,MATCH($C1101,MgActId,0)),"")</f>
        <v/>
      </c>
      <c r="E1101" s="64">
        <f>IFERROR(INDEX(MgProceso,MATCH($C1101,MgActId,0)),"")</f>
        <v/>
      </c>
      <c r="F1101" s="64">
        <f>IFERROR(INDEX(MgTipo,MATCH($C1101,MgActId,0)),"")</f>
        <v/>
      </c>
      <c r="G1101" s="64">
        <f>IFERROR(INDEX(MgSubtipo,MATCH($C1101,MgActId,0)),"")</f>
        <v/>
      </c>
      <c r="H1101" s="59" t="inlineStr">
        <is>
          <t>E.3</t>
        </is>
      </c>
      <c r="I1101" s="64">
        <f>IFERROR(INDEX(MgAmenNombre,MATCH(SUBSTITUTE($H1101,"*","-"),MgAmenClave,0)),"")</f>
        <v/>
      </c>
      <c r="J1101" s="28">
        <f>IFERROR(INDEX(MgAmenGrupo,MATCH(SUBSTITUTE($H1101,"*","-"),MgAmenClave,0)),"")</f>
        <v/>
      </c>
      <c r="K1101" s="64">
        <f>IFERROR(INDEX('1. Matriz de Activos'!$Q$6:$Q$239,MATCH($C1101,MgActId,0)),"")</f>
        <v/>
      </c>
      <c r="L1101" s="64">
        <f>IFERROR(INDEX('1. Matriz de Activos'!$R$6:$R$239,MATCH($C1101,MgActId,0)),"")</f>
        <v/>
      </c>
      <c r="M1101" s="64">
        <f>IFERROR(INDEX('1. Matriz de Activos'!$S$6:$S$239,MATCH($C1101,MgActId,0)),"")</f>
        <v/>
      </c>
      <c r="N1101" s="28">
        <f>IFERROR(INDEX(MgAmenDegD,MATCH(SUBSTITUTE($H1101,"*","-"),MgAmenClave,0)),"No aplica")</f>
        <v/>
      </c>
      <c r="O1101" s="28">
        <f>IFERROR(INDEX(MgAmenDegI,MATCH(SUBSTITUTE($H1101,"*","-"),MgAmenClave,0)),"No aplica")</f>
        <v/>
      </c>
      <c r="P1101" s="28">
        <f>IFERROR(INDEX(MgAmenDegC,MATCH(SUBSTITUTE($H1101,"*","-"),MgAmenClave,0)),"No aplica")</f>
        <v/>
      </c>
      <c r="Q1101" s="29">
        <f>IFERROR(VLOOKUP(K1101,MgValor,2,0)*VLOOKUP(N1101,MgDeg,2,0),0)</f>
        <v/>
      </c>
      <c r="R1101" s="29">
        <f>IFERROR(VLOOKUP(L1101,MgValor,2,0)*VLOOKUP(O1101,MgDeg,2,0),0)</f>
        <v/>
      </c>
      <c r="S1101" s="29">
        <f>IFERROR(VLOOKUP(M1101,MgValor,2,0)*VLOOKUP(P1101,MgDeg,2,0),0)</f>
        <v/>
      </c>
      <c r="T1101" s="30">
        <f>MAX(Q1101:S1101)</f>
        <v/>
      </c>
      <c r="U1101" s="28">
        <f>IFERROR(LOOKUP(T1101,{0;0.5;1.5;3;4.5},{"Despreciable";"Bajo";"Medio";"Alto";"Muy alto"}),"")</f>
        <v/>
      </c>
      <c r="V1101" s="13">
        <f>IFERROR(INDEX(MgAmenFrec,MATCH(SUBSTITUTE($H1101,"*","-"),MgAmenClave,0)),"")</f>
        <v/>
      </c>
      <c r="W1101" s="28">
        <f>IFERROR(LOOKUP(X1101,{0;0.01;0.1;1;10;100},{"Muy baja";"Muy baja";"Baja";"Media";"Alta";"Muy alta"}),"")</f>
        <v/>
      </c>
      <c r="X1101" s="31">
        <f>IFERROR(VLOOKUP(V1101,MgFrec,2,0),0)</f>
        <v/>
      </c>
      <c r="Y1101" s="30">
        <f>T1101*X1101</f>
        <v/>
      </c>
      <c r="Z1101" s="28">
        <f>IFERROR(LOOKUP(Y1101,{0;0.5;5;25},{"Bajo";"Medio";"Alto";"Crítico"}),"")</f>
        <v/>
      </c>
      <c r="AA1101" s="64">
        <f>IF(T1101&gt;=3,IF(X1101&gt;=1,"Zona 1 — Crítica: impacto alto y ocurre al menos una vez al año","Zona 4 — Catastrófica poco probable: impacto alto pero excepcional"),IF(AND(T1101&lt;1.5,X1101&lt;1),"Zona 3 — Asumible: impacto bajo y muy poco frecuente","Zona 2 — Atención: riesgo intermedio"))</f>
        <v/>
      </c>
      <c r="AB1101" s="64">
        <f>IFERROR(INDEX(MgAmenCtrl,MATCH(SUBSTITUTE($H1101,"*","-"),MgAmenClave,0)),"")</f>
        <v/>
      </c>
      <c r="AC1101" s="20" t="n"/>
      <c r="AD1101" s="31">
        <f>IFERROR($X1101*(1-IF($AC1101="",$AL1101,VLOOKUP($AC1101,MgMad,2,0))),"")</f>
        <v/>
      </c>
      <c r="AE1101" s="28">
        <f>IFERROR(LOOKUP(AD1101,{0;0.01;0.1;1;10;100},{"Muy baja";"Muy baja";"Baja";"Media";"Alta";"Muy alta"}),"")</f>
        <v/>
      </c>
      <c r="AF1101" s="30">
        <f>T1101*AD1101</f>
        <v/>
      </c>
      <c r="AG1101" s="28">
        <f>IFERROR(LOOKUP(AF1101,{0;0.5;5;25},{"Bajo";"Medio";"Alto";"Crítico"}),"")</f>
        <v/>
      </c>
      <c r="AH1101" s="28">
        <f>IF(AG1101="","",IF(OR(AG1101="Crítico",AG1101="Alto"),"Mitigar",IF(AG1101="Medio","Mitigar","Aceptar y monitorear")))</f>
        <v/>
      </c>
      <c r="AI1101" s="21" t="n"/>
      <c r="AJ1101" s="21" t="n"/>
      <c r="AK1101" s="20" t="n"/>
      <c r="AL1101" s="77">
        <f>IFERROR(INDEX(MgAmenEfic,MATCH(SUBSTITUTE($H1101,"*","-"),MgAmenClave,0)),0)</f>
        <v/>
      </c>
    </row>
    <row r="1102" hidden="1" ht="75" customHeight="1" s="54">
      <c r="B1102" s="59" t="inlineStr">
        <is>
          <t>R-1097</t>
        </is>
      </c>
      <c r="C1102" s="59" t="inlineStr">
        <is>
          <t>GH-035</t>
        </is>
      </c>
      <c r="D1102" s="64">
        <f>IFERROR(INDEX(MgNombre,MATCH($C1102,MgActId,0)),"")</f>
        <v/>
      </c>
      <c r="E1102" s="64">
        <f>IFERROR(INDEX(MgProceso,MATCH($C1102,MgActId,0)),"")</f>
        <v/>
      </c>
      <c r="F1102" s="64">
        <f>IFERROR(INDEX(MgTipo,MATCH($C1102,MgActId,0)),"")</f>
        <v/>
      </c>
      <c r="G1102" s="64">
        <f>IFERROR(INDEX(MgSubtipo,MATCH($C1102,MgActId,0)),"")</f>
        <v/>
      </c>
      <c r="H1102" s="59" t="inlineStr">
        <is>
          <t>E.4</t>
        </is>
      </c>
      <c r="I1102" s="64">
        <f>IFERROR(INDEX(MgAmenNombre,MATCH(SUBSTITUTE($H1102,"*","-"),MgAmenClave,0)),"")</f>
        <v/>
      </c>
      <c r="J1102" s="28">
        <f>IFERROR(INDEX(MgAmenGrupo,MATCH(SUBSTITUTE($H1102,"*","-"),MgAmenClave,0)),"")</f>
        <v/>
      </c>
      <c r="K1102" s="64">
        <f>IFERROR(INDEX('1. Matriz de Activos'!$Q$6:$Q$239,MATCH($C1102,MgActId,0)),"")</f>
        <v/>
      </c>
      <c r="L1102" s="64">
        <f>IFERROR(INDEX('1. Matriz de Activos'!$R$6:$R$239,MATCH($C1102,MgActId,0)),"")</f>
        <v/>
      </c>
      <c r="M1102" s="64">
        <f>IFERROR(INDEX('1. Matriz de Activos'!$S$6:$S$239,MATCH($C1102,MgActId,0)),"")</f>
        <v/>
      </c>
      <c r="N1102" s="28">
        <f>IFERROR(INDEX(MgAmenDegD,MATCH(SUBSTITUTE($H1102,"*","-"),MgAmenClave,0)),"No aplica")</f>
        <v/>
      </c>
      <c r="O1102" s="28">
        <f>IFERROR(INDEX(MgAmenDegI,MATCH(SUBSTITUTE($H1102,"*","-"),MgAmenClave,0)),"No aplica")</f>
        <v/>
      </c>
      <c r="P1102" s="28">
        <f>IFERROR(INDEX(MgAmenDegC,MATCH(SUBSTITUTE($H1102,"*","-"),MgAmenClave,0)),"No aplica")</f>
        <v/>
      </c>
      <c r="Q1102" s="29">
        <f>IFERROR(VLOOKUP(K1102,MgValor,2,0)*VLOOKUP(N1102,MgDeg,2,0),0)</f>
        <v/>
      </c>
      <c r="R1102" s="29">
        <f>IFERROR(VLOOKUP(L1102,MgValor,2,0)*VLOOKUP(O1102,MgDeg,2,0),0)</f>
        <v/>
      </c>
      <c r="S1102" s="29">
        <f>IFERROR(VLOOKUP(M1102,MgValor,2,0)*VLOOKUP(P1102,MgDeg,2,0),0)</f>
        <v/>
      </c>
      <c r="T1102" s="30">
        <f>MAX(Q1102:S1102)</f>
        <v/>
      </c>
      <c r="U1102" s="28">
        <f>IFERROR(LOOKUP(T1102,{0;0.5;1.5;3;4.5},{"Despreciable";"Bajo";"Medio";"Alto";"Muy alto"}),"")</f>
        <v/>
      </c>
      <c r="V1102" s="13">
        <f>IFERROR(INDEX(MgAmenFrec,MATCH(SUBSTITUTE($H1102,"*","-"),MgAmenClave,0)),"")</f>
        <v/>
      </c>
      <c r="W1102" s="28">
        <f>IFERROR(LOOKUP(X1102,{0;0.01;0.1;1;10;100},{"Muy baja";"Muy baja";"Baja";"Media";"Alta";"Muy alta"}),"")</f>
        <v/>
      </c>
      <c r="X1102" s="31">
        <f>IFERROR(VLOOKUP(V1102,MgFrec,2,0),0)</f>
        <v/>
      </c>
      <c r="Y1102" s="30">
        <f>T1102*X1102</f>
        <v/>
      </c>
      <c r="Z1102" s="28">
        <f>IFERROR(LOOKUP(Y1102,{0;0.5;5;25},{"Bajo";"Medio";"Alto";"Crítico"}),"")</f>
        <v/>
      </c>
      <c r="AA1102" s="64">
        <f>IF(T1102&gt;=3,IF(X1102&gt;=1,"Zona 1 — Crítica: impacto alto y ocurre al menos una vez al año","Zona 4 — Catastrófica poco probable: impacto alto pero excepcional"),IF(AND(T1102&lt;1.5,X1102&lt;1),"Zona 3 — Asumible: impacto bajo y muy poco frecuente","Zona 2 — Atención: riesgo intermedio"))</f>
        <v/>
      </c>
      <c r="AB1102" s="64">
        <f>IFERROR(INDEX(MgAmenCtrl,MATCH(SUBSTITUTE($H1102,"*","-"),MgAmenClave,0)),"")</f>
        <v/>
      </c>
      <c r="AC1102" s="20" t="n"/>
      <c r="AD1102" s="31">
        <f>IFERROR($X1102*(1-IF($AC1102="",$AL1102,VLOOKUP($AC1102,MgMad,2,0))),"")</f>
        <v/>
      </c>
      <c r="AE1102" s="28">
        <f>IFERROR(LOOKUP(AD1102,{0;0.01;0.1;1;10;100},{"Muy baja";"Muy baja";"Baja";"Media";"Alta";"Muy alta"}),"")</f>
        <v/>
      </c>
      <c r="AF1102" s="30">
        <f>T1102*AD1102</f>
        <v/>
      </c>
      <c r="AG1102" s="28">
        <f>IFERROR(LOOKUP(AF1102,{0;0.5;5;25},{"Bajo";"Medio";"Alto";"Crítico"}),"")</f>
        <v/>
      </c>
      <c r="AH1102" s="28">
        <f>IF(AG1102="","",IF(OR(AG1102="Crítico",AG1102="Alto"),"Mitigar",IF(AG1102="Medio","Mitigar","Aceptar y monitorear")))</f>
        <v/>
      </c>
      <c r="AI1102" s="21" t="n"/>
      <c r="AJ1102" s="21" t="n"/>
      <c r="AK1102" s="20" t="n"/>
      <c r="AL1102" s="77">
        <f>IFERROR(INDEX(MgAmenEfic,MATCH(SUBSTITUTE($H1102,"*","-"),MgAmenClave,0)),0)</f>
        <v/>
      </c>
    </row>
    <row r="1103" hidden="1" ht="90" customHeight="1" s="54">
      <c r="B1103" s="59" t="inlineStr">
        <is>
          <t>R-1098</t>
        </is>
      </c>
      <c r="C1103" s="59" t="inlineStr">
        <is>
          <t>GH-035</t>
        </is>
      </c>
      <c r="D1103" s="64">
        <f>IFERROR(INDEX(MgNombre,MATCH($C1103,MgActId,0)),"")</f>
        <v/>
      </c>
      <c r="E1103" s="64">
        <f>IFERROR(INDEX(MgProceso,MATCH($C1103,MgActId,0)),"")</f>
        <v/>
      </c>
      <c r="F1103" s="64">
        <f>IFERROR(INDEX(MgTipo,MATCH($C1103,MgActId,0)),"")</f>
        <v/>
      </c>
      <c r="G1103" s="64">
        <f>IFERROR(INDEX(MgSubtipo,MATCH($C1103,MgActId,0)),"")</f>
        <v/>
      </c>
      <c r="H1103" s="59" t="inlineStr">
        <is>
          <t>E.14</t>
        </is>
      </c>
      <c r="I1103" s="64">
        <f>IFERROR(INDEX(MgAmenNombre,MATCH(SUBSTITUTE($H1103,"*","-"),MgAmenClave,0)),"")</f>
        <v/>
      </c>
      <c r="J1103" s="28">
        <f>IFERROR(INDEX(MgAmenGrupo,MATCH(SUBSTITUTE($H1103,"*","-"),MgAmenClave,0)),"")</f>
        <v/>
      </c>
      <c r="K1103" s="64">
        <f>IFERROR(INDEX('1. Matriz de Activos'!$Q$6:$Q$239,MATCH($C1103,MgActId,0)),"")</f>
        <v/>
      </c>
      <c r="L1103" s="64">
        <f>IFERROR(INDEX('1. Matriz de Activos'!$R$6:$R$239,MATCH($C1103,MgActId,0)),"")</f>
        <v/>
      </c>
      <c r="M1103" s="64">
        <f>IFERROR(INDEX('1. Matriz de Activos'!$S$6:$S$239,MATCH($C1103,MgActId,0)),"")</f>
        <v/>
      </c>
      <c r="N1103" s="28">
        <f>IFERROR(INDEX(MgAmenDegD,MATCH(SUBSTITUTE($H1103,"*","-"),MgAmenClave,0)),"No aplica")</f>
        <v/>
      </c>
      <c r="O1103" s="28">
        <f>IFERROR(INDEX(MgAmenDegI,MATCH(SUBSTITUTE($H1103,"*","-"),MgAmenClave,0)),"No aplica")</f>
        <v/>
      </c>
      <c r="P1103" s="28">
        <f>IFERROR(INDEX(MgAmenDegC,MATCH(SUBSTITUTE($H1103,"*","-"),MgAmenClave,0)),"No aplica")</f>
        <v/>
      </c>
      <c r="Q1103" s="29">
        <f>IFERROR(VLOOKUP(K1103,MgValor,2,0)*VLOOKUP(N1103,MgDeg,2,0),0)</f>
        <v/>
      </c>
      <c r="R1103" s="29">
        <f>IFERROR(VLOOKUP(L1103,MgValor,2,0)*VLOOKUP(O1103,MgDeg,2,0),0)</f>
        <v/>
      </c>
      <c r="S1103" s="29">
        <f>IFERROR(VLOOKUP(M1103,MgValor,2,0)*VLOOKUP(P1103,MgDeg,2,0),0)</f>
        <v/>
      </c>
      <c r="T1103" s="30">
        <f>MAX(Q1103:S1103)</f>
        <v/>
      </c>
      <c r="U1103" s="28">
        <f>IFERROR(LOOKUP(T1103,{0;0.5;1.5;3;4.5},{"Despreciable";"Bajo";"Medio";"Alto";"Muy alto"}),"")</f>
        <v/>
      </c>
      <c r="V1103" s="13">
        <f>IFERROR(INDEX(MgAmenFrec,MATCH(SUBSTITUTE($H1103,"*","-"),MgAmenClave,0)),"")</f>
        <v/>
      </c>
      <c r="W1103" s="28">
        <f>IFERROR(LOOKUP(X1103,{0;0.01;0.1;1;10;100},{"Muy baja";"Muy baja";"Baja";"Media";"Alta";"Muy alta"}),"")</f>
        <v/>
      </c>
      <c r="X1103" s="31">
        <f>IFERROR(VLOOKUP(V1103,MgFrec,2,0),0)</f>
        <v/>
      </c>
      <c r="Y1103" s="30">
        <f>T1103*X1103</f>
        <v/>
      </c>
      <c r="Z1103" s="28">
        <f>IFERROR(LOOKUP(Y1103,{0;0.5;5;25},{"Bajo";"Medio";"Alto";"Crítico"}),"")</f>
        <v/>
      </c>
      <c r="AA1103" s="64">
        <f>IF(T1103&gt;=3,IF(X1103&gt;=1,"Zona 1 — Crítica: impacto alto y ocurre al menos una vez al año","Zona 4 — Catastrófica poco probable: impacto alto pero excepcional"),IF(AND(T1103&lt;1.5,X1103&lt;1),"Zona 3 — Asumible: impacto bajo y muy poco frecuente","Zona 2 — Atención: riesgo intermedio"))</f>
        <v/>
      </c>
      <c r="AB1103" s="64">
        <f>IFERROR(INDEX(MgAmenCtrl,MATCH(SUBSTITUTE($H1103,"*","-"),MgAmenClave,0)),"")</f>
        <v/>
      </c>
      <c r="AC1103" s="20" t="n"/>
      <c r="AD1103" s="31">
        <f>IFERROR($X1103*(1-IF($AC1103="",$AL1103,VLOOKUP($AC1103,MgMad,2,0))),"")</f>
        <v/>
      </c>
      <c r="AE1103" s="28">
        <f>IFERROR(LOOKUP(AD1103,{0;0.01;0.1;1;10;100},{"Muy baja";"Muy baja";"Baja";"Media";"Alta";"Muy alta"}),"")</f>
        <v/>
      </c>
      <c r="AF1103" s="30">
        <f>T1103*AD1103</f>
        <v/>
      </c>
      <c r="AG1103" s="28">
        <f>IFERROR(LOOKUP(AF1103,{0;0.5;5;25},{"Bajo";"Medio";"Alto";"Crítico"}),"")</f>
        <v/>
      </c>
      <c r="AH1103" s="28">
        <f>IF(AG1103="","",IF(OR(AG1103="Crítico",AG1103="Alto"),"Mitigar",IF(AG1103="Medio","Mitigar","Aceptar y monitorear")))</f>
        <v/>
      </c>
      <c r="AI1103" s="21" t="n"/>
      <c r="AJ1103" s="21" t="n"/>
      <c r="AK1103" s="20" t="n"/>
      <c r="AL1103" s="77">
        <f>IFERROR(INDEX(MgAmenEfic,MATCH(SUBSTITUTE($H1103,"*","-"),MgAmenClave,0)),0)</f>
        <v/>
      </c>
    </row>
    <row r="1104" hidden="1" ht="90" customHeight="1" s="54">
      <c r="B1104" s="59" t="inlineStr">
        <is>
          <t>R-1099</t>
        </is>
      </c>
      <c r="C1104" s="59" t="inlineStr">
        <is>
          <t>GH-035</t>
        </is>
      </c>
      <c r="D1104" s="64">
        <f>IFERROR(INDEX(MgNombre,MATCH($C1104,MgActId,0)),"")</f>
        <v/>
      </c>
      <c r="E1104" s="64">
        <f>IFERROR(INDEX(MgProceso,MATCH($C1104,MgActId,0)),"")</f>
        <v/>
      </c>
      <c r="F1104" s="64">
        <f>IFERROR(INDEX(MgTipo,MATCH($C1104,MgActId,0)),"")</f>
        <v/>
      </c>
      <c r="G1104" s="64">
        <f>IFERROR(INDEX(MgSubtipo,MATCH($C1104,MgActId,0)),"")</f>
        <v/>
      </c>
      <c r="H1104" s="59" t="inlineStr">
        <is>
          <t>E.15</t>
        </is>
      </c>
      <c r="I1104" s="64">
        <f>IFERROR(INDEX(MgAmenNombre,MATCH(SUBSTITUTE($H1104,"*","-"),MgAmenClave,0)),"")</f>
        <v/>
      </c>
      <c r="J1104" s="28">
        <f>IFERROR(INDEX(MgAmenGrupo,MATCH(SUBSTITUTE($H1104,"*","-"),MgAmenClave,0)),"")</f>
        <v/>
      </c>
      <c r="K1104" s="64">
        <f>IFERROR(INDEX('1. Matriz de Activos'!$Q$6:$Q$239,MATCH($C1104,MgActId,0)),"")</f>
        <v/>
      </c>
      <c r="L1104" s="64">
        <f>IFERROR(INDEX('1. Matriz de Activos'!$R$6:$R$239,MATCH($C1104,MgActId,0)),"")</f>
        <v/>
      </c>
      <c r="M1104" s="64">
        <f>IFERROR(INDEX('1. Matriz de Activos'!$S$6:$S$239,MATCH($C1104,MgActId,0)),"")</f>
        <v/>
      </c>
      <c r="N1104" s="28">
        <f>IFERROR(INDEX(MgAmenDegD,MATCH(SUBSTITUTE($H1104,"*","-"),MgAmenClave,0)),"No aplica")</f>
        <v/>
      </c>
      <c r="O1104" s="28">
        <f>IFERROR(INDEX(MgAmenDegI,MATCH(SUBSTITUTE($H1104,"*","-"),MgAmenClave,0)),"No aplica")</f>
        <v/>
      </c>
      <c r="P1104" s="28">
        <f>IFERROR(INDEX(MgAmenDegC,MATCH(SUBSTITUTE($H1104,"*","-"),MgAmenClave,0)),"No aplica")</f>
        <v/>
      </c>
      <c r="Q1104" s="29">
        <f>IFERROR(VLOOKUP(K1104,MgValor,2,0)*VLOOKUP(N1104,MgDeg,2,0),0)</f>
        <v/>
      </c>
      <c r="R1104" s="29">
        <f>IFERROR(VLOOKUP(L1104,MgValor,2,0)*VLOOKUP(O1104,MgDeg,2,0),0)</f>
        <v/>
      </c>
      <c r="S1104" s="29">
        <f>IFERROR(VLOOKUP(M1104,MgValor,2,0)*VLOOKUP(P1104,MgDeg,2,0),0)</f>
        <v/>
      </c>
      <c r="T1104" s="30">
        <f>MAX(Q1104:S1104)</f>
        <v/>
      </c>
      <c r="U1104" s="28">
        <f>IFERROR(LOOKUP(T1104,{0;0.5;1.5;3;4.5},{"Despreciable";"Bajo";"Medio";"Alto";"Muy alto"}),"")</f>
        <v/>
      </c>
      <c r="V1104" s="13">
        <f>IFERROR(INDEX(MgAmenFrec,MATCH(SUBSTITUTE($H1104,"*","-"),MgAmenClave,0)),"")</f>
        <v/>
      </c>
      <c r="W1104" s="28">
        <f>IFERROR(LOOKUP(X1104,{0;0.01;0.1;1;10;100},{"Muy baja";"Muy baja";"Baja";"Media";"Alta";"Muy alta"}),"")</f>
        <v/>
      </c>
      <c r="X1104" s="31">
        <f>IFERROR(VLOOKUP(V1104,MgFrec,2,0),0)</f>
        <v/>
      </c>
      <c r="Y1104" s="30">
        <f>T1104*X1104</f>
        <v/>
      </c>
      <c r="Z1104" s="28">
        <f>IFERROR(LOOKUP(Y1104,{0;0.5;5;25},{"Bajo";"Medio";"Alto";"Crítico"}),"")</f>
        <v/>
      </c>
      <c r="AA1104" s="64">
        <f>IF(T1104&gt;=3,IF(X1104&gt;=1,"Zona 1 — Crítica: impacto alto y ocurre al menos una vez al año","Zona 4 — Catastrófica poco probable: impacto alto pero excepcional"),IF(AND(T1104&lt;1.5,X1104&lt;1),"Zona 3 — Asumible: impacto bajo y muy poco frecuente","Zona 2 — Atención: riesgo intermedio"))</f>
        <v/>
      </c>
      <c r="AB1104" s="64">
        <f>IFERROR(INDEX(MgAmenCtrl,MATCH(SUBSTITUTE($H1104,"*","-"),MgAmenClave,0)),"")</f>
        <v/>
      </c>
      <c r="AC1104" s="20" t="n"/>
      <c r="AD1104" s="31">
        <f>IFERROR($X1104*(1-IF($AC1104="",$AL1104,VLOOKUP($AC1104,MgMad,2,0))),"")</f>
        <v/>
      </c>
      <c r="AE1104" s="28">
        <f>IFERROR(LOOKUP(AD1104,{0;0.01;0.1;1;10;100},{"Muy baja";"Muy baja";"Baja";"Media";"Alta";"Muy alta"}),"")</f>
        <v/>
      </c>
      <c r="AF1104" s="30">
        <f>T1104*AD1104</f>
        <v/>
      </c>
      <c r="AG1104" s="28">
        <f>IFERROR(LOOKUP(AF1104,{0;0.5;5;25},{"Bajo";"Medio";"Alto";"Crítico"}),"")</f>
        <v/>
      </c>
      <c r="AH1104" s="28">
        <f>IF(AG1104="","",IF(OR(AG1104="Crítico",AG1104="Alto"),"Mitigar",IF(AG1104="Medio","Mitigar","Aceptar y monitorear")))</f>
        <v/>
      </c>
      <c r="AI1104" s="21" t="n"/>
      <c r="AJ1104" s="21" t="n"/>
      <c r="AK1104" s="20" t="n"/>
      <c r="AL1104" s="77">
        <f>IFERROR(INDEX(MgAmenEfic,MATCH(SUBSTITUTE($H1104,"*","-"),MgAmenClave,0)),0)</f>
        <v/>
      </c>
    </row>
    <row r="1105" hidden="1" ht="60" customHeight="1" s="54">
      <c r="B1105" s="59" t="inlineStr">
        <is>
          <t>R-1100</t>
        </is>
      </c>
      <c r="C1105" s="59" t="inlineStr">
        <is>
          <t>GH-035</t>
        </is>
      </c>
      <c r="D1105" s="64">
        <f>IFERROR(INDEX(MgNombre,MATCH($C1105,MgActId,0)),"")</f>
        <v/>
      </c>
      <c r="E1105" s="64">
        <f>IFERROR(INDEX(MgProceso,MATCH($C1105,MgActId,0)),"")</f>
        <v/>
      </c>
      <c r="F1105" s="64">
        <f>IFERROR(INDEX(MgTipo,MATCH($C1105,MgActId,0)),"")</f>
        <v/>
      </c>
      <c r="G1105" s="64">
        <f>IFERROR(INDEX(MgSubtipo,MATCH($C1105,MgActId,0)),"")</f>
        <v/>
      </c>
      <c r="H1105" s="59" t="inlineStr">
        <is>
          <t>E.18</t>
        </is>
      </c>
      <c r="I1105" s="64">
        <f>IFERROR(INDEX(MgAmenNombre,MATCH(SUBSTITUTE($H1105,"*","-"),MgAmenClave,0)),"")</f>
        <v/>
      </c>
      <c r="J1105" s="28">
        <f>IFERROR(INDEX(MgAmenGrupo,MATCH(SUBSTITUTE($H1105,"*","-"),MgAmenClave,0)),"")</f>
        <v/>
      </c>
      <c r="K1105" s="64">
        <f>IFERROR(INDEX('1. Matriz de Activos'!$Q$6:$Q$239,MATCH($C1105,MgActId,0)),"")</f>
        <v/>
      </c>
      <c r="L1105" s="64">
        <f>IFERROR(INDEX('1. Matriz de Activos'!$R$6:$R$239,MATCH($C1105,MgActId,0)),"")</f>
        <v/>
      </c>
      <c r="M1105" s="64">
        <f>IFERROR(INDEX('1. Matriz de Activos'!$S$6:$S$239,MATCH($C1105,MgActId,0)),"")</f>
        <v/>
      </c>
      <c r="N1105" s="28">
        <f>IFERROR(INDEX(MgAmenDegD,MATCH(SUBSTITUTE($H1105,"*","-"),MgAmenClave,0)),"No aplica")</f>
        <v/>
      </c>
      <c r="O1105" s="28">
        <f>IFERROR(INDEX(MgAmenDegI,MATCH(SUBSTITUTE($H1105,"*","-"),MgAmenClave,0)),"No aplica")</f>
        <v/>
      </c>
      <c r="P1105" s="28">
        <f>IFERROR(INDEX(MgAmenDegC,MATCH(SUBSTITUTE($H1105,"*","-"),MgAmenClave,0)),"No aplica")</f>
        <v/>
      </c>
      <c r="Q1105" s="29">
        <f>IFERROR(VLOOKUP(K1105,MgValor,2,0)*VLOOKUP(N1105,MgDeg,2,0),0)</f>
        <v/>
      </c>
      <c r="R1105" s="29">
        <f>IFERROR(VLOOKUP(L1105,MgValor,2,0)*VLOOKUP(O1105,MgDeg,2,0),0)</f>
        <v/>
      </c>
      <c r="S1105" s="29">
        <f>IFERROR(VLOOKUP(M1105,MgValor,2,0)*VLOOKUP(P1105,MgDeg,2,0),0)</f>
        <v/>
      </c>
      <c r="T1105" s="30">
        <f>MAX(Q1105:S1105)</f>
        <v/>
      </c>
      <c r="U1105" s="28">
        <f>IFERROR(LOOKUP(T1105,{0;0.5;1.5;3;4.5},{"Despreciable";"Bajo";"Medio";"Alto";"Muy alto"}),"")</f>
        <v/>
      </c>
      <c r="V1105" s="13">
        <f>IFERROR(INDEX(MgAmenFrec,MATCH(SUBSTITUTE($H1105,"*","-"),MgAmenClave,0)),"")</f>
        <v/>
      </c>
      <c r="W1105" s="28">
        <f>IFERROR(LOOKUP(X1105,{0;0.01;0.1;1;10;100},{"Muy baja";"Muy baja";"Baja";"Media";"Alta";"Muy alta"}),"")</f>
        <v/>
      </c>
      <c r="X1105" s="31">
        <f>IFERROR(VLOOKUP(V1105,MgFrec,2,0),0)</f>
        <v/>
      </c>
      <c r="Y1105" s="30">
        <f>T1105*X1105</f>
        <v/>
      </c>
      <c r="Z1105" s="28">
        <f>IFERROR(LOOKUP(Y1105,{0;0.5;5;25},{"Bajo";"Medio";"Alto";"Crítico"}),"")</f>
        <v/>
      </c>
      <c r="AA1105" s="64">
        <f>IF(T1105&gt;=3,IF(X1105&gt;=1,"Zona 1 — Crítica: impacto alto y ocurre al menos una vez al año","Zona 4 — Catastrófica poco probable: impacto alto pero excepcional"),IF(AND(T1105&lt;1.5,X1105&lt;1),"Zona 3 — Asumible: impacto bajo y muy poco frecuente","Zona 2 — Atención: riesgo intermedio"))</f>
        <v/>
      </c>
      <c r="AB1105" s="64">
        <f>IFERROR(INDEX(MgAmenCtrl,MATCH(SUBSTITUTE($H1105,"*","-"),MgAmenClave,0)),"")</f>
        <v/>
      </c>
      <c r="AC1105" s="20" t="n"/>
      <c r="AD1105" s="31">
        <f>IFERROR($X1105*(1-IF($AC1105="",$AL1105,VLOOKUP($AC1105,MgMad,2,0))),"")</f>
        <v/>
      </c>
      <c r="AE1105" s="28">
        <f>IFERROR(LOOKUP(AD1105,{0;0.01;0.1;1;10;100},{"Muy baja";"Muy baja";"Baja";"Media";"Alta";"Muy alta"}),"")</f>
        <v/>
      </c>
      <c r="AF1105" s="30">
        <f>T1105*AD1105</f>
        <v/>
      </c>
      <c r="AG1105" s="28">
        <f>IFERROR(LOOKUP(AF1105,{0;0.5;5;25},{"Bajo";"Medio";"Alto";"Crítico"}),"")</f>
        <v/>
      </c>
      <c r="AH1105" s="28">
        <f>IF(AG1105="","",IF(OR(AG1105="Crítico",AG1105="Alto"),"Mitigar",IF(AG1105="Medio","Mitigar","Aceptar y monitorear")))</f>
        <v/>
      </c>
      <c r="AI1105" s="21" t="n"/>
      <c r="AJ1105" s="21" t="n"/>
      <c r="AK1105" s="20" t="n"/>
      <c r="AL1105" s="77">
        <f>IFERROR(INDEX(MgAmenEfic,MATCH(SUBSTITUTE($H1105,"*","-"),MgAmenClave,0)),0)</f>
        <v/>
      </c>
    </row>
    <row r="1106" hidden="1" ht="105" customHeight="1" s="54">
      <c r="B1106" s="59" t="inlineStr">
        <is>
          <t>R-1101</t>
        </is>
      </c>
      <c r="C1106" s="59" t="inlineStr">
        <is>
          <t>GH-035</t>
        </is>
      </c>
      <c r="D1106" s="64">
        <f>IFERROR(INDEX(MgNombre,MATCH($C1106,MgActId,0)),"")</f>
        <v/>
      </c>
      <c r="E1106" s="64">
        <f>IFERROR(INDEX(MgProceso,MATCH($C1106,MgActId,0)),"")</f>
        <v/>
      </c>
      <c r="F1106" s="64">
        <f>IFERROR(INDEX(MgTipo,MATCH($C1106,MgActId,0)),"")</f>
        <v/>
      </c>
      <c r="G1106" s="64">
        <f>IFERROR(INDEX(MgSubtipo,MATCH($C1106,MgActId,0)),"")</f>
        <v/>
      </c>
      <c r="H1106" s="59" t="inlineStr">
        <is>
          <t>E.19</t>
        </is>
      </c>
      <c r="I1106" s="64">
        <f>IFERROR(INDEX(MgAmenNombre,MATCH(SUBSTITUTE($H1106,"*","-"),MgAmenClave,0)),"")</f>
        <v/>
      </c>
      <c r="J1106" s="28">
        <f>IFERROR(INDEX(MgAmenGrupo,MATCH(SUBSTITUTE($H1106,"*","-"),MgAmenClave,0)),"")</f>
        <v/>
      </c>
      <c r="K1106" s="64">
        <f>IFERROR(INDEX('1. Matriz de Activos'!$Q$6:$Q$239,MATCH($C1106,MgActId,0)),"")</f>
        <v/>
      </c>
      <c r="L1106" s="64">
        <f>IFERROR(INDEX('1. Matriz de Activos'!$R$6:$R$239,MATCH($C1106,MgActId,0)),"")</f>
        <v/>
      </c>
      <c r="M1106" s="64">
        <f>IFERROR(INDEX('1. Matriz de Activos'!$S$6:$S$239,MATCH($C1106,MgActId,0)),"")</f>
        <v/>
      </c>
      <c r="N1106" s="28">
        <f>IFERROR(INDEX(MgAmenDegD,MATCH(SUBSTITUTE($H1106,"*","-"),MgAmenClave,0)),"No aplica")</f>
        <v/>
      </c>
      <c r="O1106" s="28">
        <f>IFERROR(INDEX(MgAmenDegI,MATCH(SUBSTITUTE($H1106,"*","-"),MgAmenClave,0)),"No aplica")</f>
        <v/>
      </c>
      <c r="P1106" s="28">
        <f>IFERROR(INDEX(MgAmenDegC,MATCH(SUBSTITUTE($H1106,"*","-"),MgAmenClave,0)),"No aplica")</f>
        <v/>
      </c>
      <c r="Q1106" s="29">
        <f>IFERROR(VLOOKUP(K1106,MgValor,2,0)*VLOOKUP(N1106,MgDeg,2,0),0)</f>
        <v/>
      </c>
      <c r="R1106" s="29">
        <f>IFERROR(VLOOKUP(L1106,MgValor,2,0)*VLOOKUP(O1106,MgDeg,2,0),0)</f>
        <v/>
      </c>
      <c r="S1106" s="29">
        <f>IFERROR(VLOOKUP(M1106,MgValor,2,0)*VLOOKUP(P1106,MgDeg,2,0),0)</f>
        <v/>
      </c>
      <c r="T1106" s="30">
        <f>MAX(Q1106:S1106)</f>
        <v/>
      </c>
      <c r="U1106" s="28">
        <f>IFERROR(LOOKUP(T1106,{0;0.5;1.5;3;4.5},{"Despreciable";"Bajo";"Medio";"Alto";"Muy alto"}),"")</f>
        <v/>
      </c>
      <c r="V1106" s="13">
        <f>IFERROR(INDEX(MgAmenFrec,MATCH(SUBSTITUTE($H1106,"*","-"),MgAmenClave,0)),"")</f>
        <v/>
      </c>
      <c r="W1106" s="28">
        <f>IFERROR(LOOKUP(X1106,{0;0.01;0.1;1;10;100},{"Muy baja";"Muy baja";"Baja";"Media";"Alta";"Muy alta"}),"")</f>
        <v/>
      </c>
      <c r="X1106" s="31">
        <f>IFERROR(VLOOKUP(V1106,MgFrec,2,0),0)</f>
        <v/>
      </c>
      <c r="Y1106" s="30">
        <f>T1106*X1106</f>
        <v/>
      </c>
      <c r="Z1106" s="28">
        <f>IFERROR(LOOKUP(Y1106,{0;0.5;5;25},{"Bajo";"Medio";"Alto";"Crítico"}),"")</f>
        <v/>
      </c>
      <c r="AA1106" s="64">
        <f>IF(T1106&gt;=3,IF(X1106&gt;=1,"Zona 1 — Crítica: impacto alto y ocurre al menos una vez al año","Zona 4 — Catastrófica poco probable: impacto alto pero excepcional"),IF(AND(T1106&lt;1.5,X1106&lt;1),"Zona 3 — Asumible: impacto bajo y muy poco frecuente","Zona 2 — Atención: riesgo intermedio"))</f>
        <v/>
      </c>
      <c r="AB1106" s="64">
        <f>IFERROR(INDEX(MgAmenCtrl,MATCH(SUBSTITUTE($H1106,"*","-"),MgAmenClave,0)),"")</f>
        <v/>
      </c>
      <c r="AC1106" s="20" t="n"/>
      <c r="AD1106" s="31">
        <f>IFERROR($X1106*(1-IF($AC1106="",$AL1106,VLOOKUP($AC1106,MgMad,2,0))),"")</f>
        <v/>
      </c>
      <c r="AE1106" s="28">
        <f>IFERROR(LOOKUP(AD1106,{0;0.01;0.1;1;10;100},{"Muy baja";"Muy baja";"Baja";"Media";"Alta";"Muy alta"}),"")</f>
        <v/>
      </c>
      <c r="AF1106" s="30">
        <f>T1106*AD1106</f>
        <v/>
      </c>
      <c r="AG1106" s="28">
        <f>IFERROR(LOOKUP(AF1106,{0;0.5;5;25},{"Bajo";"Medio";"Alto";"Crítico"}),"")</f>
        <v/>
      </c>
      <c r="AH1106" s="28">
        <f>IF(AG1106="","",IF(OR(AG1106="Crítico",AG1106="Alto"),"Mitigar",IF(AG1106="Medio","Mitigar","Aceptar y monitorear")))</f>
        <v/>
      </c>
      <c r="AI1106" s="21" t="n"/>
      <c r="AJ1106" s="21" t="n"/>
      <c r="AK1106" s="20" t="n"/>
      <c r="AL1106" s="77">
        <f>IFERROR(INDEX(MgAmenEfic,MATCH(SUBSTITUTE($H1106,"*","-"),MgAmenClave,0)),0)</f>
        <v/>
      </c>
    </row>
    <row r="1107" hidden="1" ht="60" customHeight="1" s="54">
      <c r="B1107" s="59" t="inlineStr">
        <is>
          <t>R-1102</t>
        </is>
      </c>
      <c r="C1107" s="59" t="inlineStr">
        <is>
          <t>GH-035</t>
        </is>
      </c>
      <c r="D1107" s="64">
        <f>IFERROR(INDEX(MgNombre,MATCH($C1107,MgActId,0)),"")</f>
        <v/>
      </c>
      <c r="E1107" s="64">
        <f>IFERROR(INDEX(MgProceso,MATCH($C1107,MgActId,0)),"")</f>
        <v/>
      </c>
      <c r="F1107" s="64">
        <f>IFERROR(INDEX(MgTipo,MATCH($C1107,MgActId,0)),"")</f>
        <v/>
      </c>
      <c r="G1107" s="64">
        <f>IFERROR(INDEX(MgSubtipo,MATCH($C1107,MgActId,0)),"")</f>
        <v/>
      </c>
      <c r="H1107" s="59" t="inlineStr">
        <is>
          <t>A.3</t>
        </is>
      </c>
      <c r="I1107" s="64">
        <f>IFERROR(INDEX(MgAmenNombre,MATCH(SUBSTITUTE($H1107,"*","-"),MgAmenClave,0)),"")</f>
        <v/>
      </c>
      <c r="J1107" s="28">
        <f>IFERROR(INDEX(MgAmenGrupo,MATCH(SUBSTITUTE($H1107,"*","-"),MgAmenClave,0)),"")</f>
        <v/>
      </c>
      <c r="K1107" s="64">
        <f>IFERROR(INDEX('1. Matriz de Activos'!$Q$6:$Q$239,MATCH($C1107,MgActId,0)),"")</f>
        <v/>
      </c>
      <c r="L1107" s="64">
        <f>IFERROR(INDEX('1. Matriz de Activos'!$R$6:$R$239,MATCH($C1107,MgActId,0)),"")</f>
        <v/>
      </c>
      <c r="M1107" s="64">
        <f>IFERROR(INDEX('1. Matriz de Activos'!$S$6:$S$239,MATCH($C1107,MgActId,0)),"")</f>
        <v/>
      </c>
      <c r="N1107" s="28">
        <f>IFERROR(INDEX(MgAmenDegD,MATCH(SUBSTITUTE($H1107,"*","-"),MgAmenClave,0)),"No aplica")</f>
        <v/>
      </c>
      <c r="O1107" s="28">
        <f>IFERROR(INDEX(MgAmenDegI,MATCH(SUBSTITUTE($H1107,"*","-"),MgAmenClave,0)),"No aplica")</f>
        <v/>
      </c>
      <c r="P1107" s="28">
        <f>IFERROR(INDEX(MgAmenDegC,MATCH(SUBSTITUTE($H1107,"*","-"),MgAmenClave,0)),"No aplica")</f>
        <v/>
      </c>
      <c r="Q1107" s="29">
        <f>IFERROR(VLOOKUP(K1107,MgValor,2,0)*VLOOKUP(N1107,MgDeg,2,0),0)</f>
        <v/>
      </c>
      <c r="R1107" s="29">
        <f>IFERROR(VLOOKUP(L1107,MgValor,2,0)*VLOOKUP(O1107,MgDeg,2,0),0)</f>
        <v/>
      </c>
      <c r="S1107" s="29">
        <f>IFERROR(VLOOKUP(M1107,MgValor,2,0)*VLOOKUP(P1107,MgDeg,2,0),0)</f>
        <v/>
      </c>
      <c r="T1107" s="30">
        <f>MAX(Q1107:S1107)</f>
        <v/>
      </c>
      <c r="U1107" s="28">
        <f>IFERROR(LOOKUP(T1107,{0;0.5;1.5;3;4.5},{"Despreciable";"Bajo";"Medio";"Alto";"Muy alto"}),"")</f>
        <v/>
      </c>
      <c r="V1107" s="13">
        <f>IFERROR(INDEX(MgAmenFrec,MATCH(SUBSTITUTE($H1107,"*","-"),MgAmenClave,0)),"")</f>
        <v/>
      </c>
      <c r="W1107" s="28">
        <f>IFERROR(LOOKUP(X1107,{0;0.01;0.1;1;10;100},{"Muy baja";"Muy baja";"Baja";"Media";"Alta";"Muy alta"}),"")</f>
        <v/>
      </c>
      <c r="X1107" s="31">
        <f>IFERROR(VLOOKUP(V1107,MgFrec,2,0),0)</f>
        <v/>
      </c>
      <c r="Y1107" s="30">
        <f>T1107*X1107</f>
        <v/>
      </c>
      <c r="Z1107" s="28">
        <f>IFERROR(LOOKUP(Y1107,{0;0.5;5;25},{"Bajo";"Medio";"Alto";"Crítico"}),"")</f>
        <v/>
      </c>
      <c r="AA1107" s="64">
        <f>IF(T1107&gt;=3,IF(X1107&gt;=1,"Zona 1 — Crítica: impacto alto y ocurre al menos una vez al año","Zona 4 — Catastrófica poco probable: impacto alto pero excepcional"),IF(AND(T1107&lt;1.5,X1107&lt;1),"Zona 3 — Asumible: impacto bajo y muy poco frecuente","Zona 2 — Atención: riesgo intermedio"))</f>
        <v/>
      </c>
      <c r="AB1107" s="64">
        <f>IFERROR(INDEX(MgAmenCtrl,MATCH(SUBSTITUTE($H1107,"*","-"),MgAmenClave,0)),"")</f>
        <v/>
      </c>
      <c r="AC1107" s="20" t="n"/>
      <c r="AD1107" s="31">
        <f>IFERROR($X1107*(1-IF($AC1107="",$AL1107,VLOOKUP($AC1107,MgMad,2,0))),"")</f>
        <v/>
      </c>
      <c r="AE1107" s="28">
        <f>IFERROR(LOOKUP(AD1107,{0;0.01;0.1;1;10;100},{"Muy baja";"Muy baja";"Baja";"Media";"Alta";"Muy alta"}),"")</f>
        <v/>
      </c>
      <c r="AF1107" s="30">
        <f>T1107*AD1107</f>
        <v/>
      </c>
      <c r="AG1107" s="28">
        <f>IFERROR(LOOKUP(AF1107,{0;0.5;5;25},{"Bajo";"Medio";"Alto";"Crítico"}),"")</f>
        <v/>
      </c>
      <c r="AH1107" s="28">
        <f>IF(AG1107="","",IF(OR(AG1107="Crítico",AG1107="Alto"),"Mitigar",IF(AG1107="Medio","Mitigar","Aceptar y monitorear")))</f>
        <v/>
      </c>
      <c r="AI1107" s="21" t="n"/>
      <c r="AJ1107" s="21" t="n"/>
      <c r="AK1107" s="20" t="n"/>
      <c r="AL1107" s="77">
        <f>IFERROR(INDEX(MgAmenEfic,MATCH(SUBSTITUTE($H1107,"*","-"),MgAmenClave,0)),0)</f>
        <v/>
      </c>
    </row>
    <row r="1108" hidden="1" ht="60" customHeight="1" s="54">
      <c r="B1108" s="59" t="inlineStr">
        <is>
          <t>R-1103</t>
        </is>
      </c>
      <c r="C1108" s="59" t="inlineStr">
        <is>
          <t>GH-035</t>
        </is>
      </c>
      <c r="D1108" s="64">
        <f>IFERROR(INDEX(MgNombre,MATCH($C1108,MgActId,0)),"")</f>
        <v/>
      </c>
      <c r="E1108" s="64">
        <f>IFERROR(INDEX(MgProceso,MATCH($C1108,MgActId,0)),"")</f>
        <v/>
      </c>
      <c r="F1108" s="64">
        <f>IFERROR(INDEX(MgTipo,MATCH($C1108,MgActId,0)),"")</f>
        <v/>
      </c>
      <c r="G1108" s="64">
        <f>IFERROR(INDEX(MgSubtipo,MATCH($C1108,MgActId,0)),"")</f>
        <v/>
      </c>
      <c r="H1108" s="59" t="inlineStr">
        <is>
          <t>A.4</t>
        </is>
      </c>
      <c r="I1108" s="64">
        <f>IFERROR(INDEX(MgAmenNombre,MATCH(SUBSTITUTE($H1108,"*","-"),MgAmenClave,0)),"")</f>
        <v/>
      </c>
      <c r="J1108" s="28">
        <f>IFERROR(INDEX(MgAmenGrupo,MATCH(SUBSTITUTE($H1108,"*","-"),MgAmenClave,0)),"")</f>
        <v/>
      </c>
      <c r="K1108" s="64">
        <f>IFERROR(INDEX('1. Matriz de Activos'!$Q$6:$Q$239,MATCH($C1108,MgActId,0)),"")</f>
        <v/>
      </c>
      <c r="L1108" s="64">
        <f>IFERROR(INDEX('1. Matriz de Activos'!$R$6:$R$239,MATCH($C1108,MgActId,0)),"")</f>
        <v/>
      </c>
      <c r="M1108" s="64">
        <f>IFERROR(INDEX('1. Matriz de Activos'!$S$6:$S$239,MATCH($C1108,MgActId,0)),"")</f>
        <v/>
      </c>
      <c r="N1108" s="28">
        <f>IFERROR(INDEX(MgAmenDegD,MATCH(SUBSTITUTE($H1108,"*","-"),MgAmenClave,0)),"No aplica")</f>
        <v/>
      </c>
      <c r="O1108" s="28">
        <f>IFERROR(INDEX(MgAmenDegI,MATCH(SUBSTITUTE($H1108,"*","-"),MgAmenClave,0)),"No aplica")</f>
        <v/>
      </c>
      <c r="P1108" s="28">
        <f>IFERROR(INDEX(MgAmenDegC,MATCH(SUBSTITUTE($H1108,"*","-"),MgAmenClave,0)),"No aplica")</f>
        <v/>
      </c>
      <c r="Q1108" s="29">
        <f>IFERROR(VLOOKUP(K1108,MgValor,2,0)*VLOOKUP(N1108,MgDeg,2,0),0)</f>
        <v/>
      </c>
      <c r="R1108" s="29">
        <f>IFERROR(VLOOKUP(L1108,MgValor,2,0)*VLOOKUP(O1108,MgDeg,2,0),0)</f>
        <v/>
      </c>
      <c r="S1108" s="29">
        <f>IFERROR(VLOOKUP(M1108,MgValor,2,0)*VLOOKUP(P1108,MgDeg,2,0),0)</f>
        <v/>
      </c>
      <c r="T1108" s="30">
        <f>MAX(Q1108:S1108)</f>
        <v/>
      </c>
      <c r="U1108" s="28">
        <f>IFERROR(LOOKUP(T1108,{0;0.5;1.5;3;4.5},{"Despreciable";"Bajo";"Medio";"Alto";"Muy alto"}),"")</f>
        <v/>
      </c>
      <c r="V1108" s="13">
        <f>IFERROR(INDEX(MgAmenFrec,MATCH(SUBSTITUTE($H1108,"*","-"),MgAmenClave,0)),"")</f>
        <v/>
      </c>
      <c r="W1108" s="28">
        <f>IFERROR(LOOKUP(X1108,{0;0.01;0.1;1;10;100},{"Muy baja";"Muy baja";"Baja";"Media";"Alta";"Muy alta"}),"")</f>
        <v/>
      </c>
      <c r="X1108" s="31">
        <f>IFERROR(VLOOKUP(V1108,MgFrec,2,0),0)</f>
        <v/>
      </c>
      <c r="Y1108" s="30">
        <f>T1108*X1108</f>
        <v/>
      </c>
      <c r="Z1108" s="28">
        <f>IFERROR(LOOKUP(Y1108,{0;0.5;5;25},{"Bajo";"Medio";"Alto";"Crítico"}),"")</f>
        <v/>
      </c>
      <c r="AA1108" s="64">
        <f>IF(T1108&gt;=3,IF(X1108&gt;=1,"Zona 1 — Crítica: impacto alto y ocurre al menos una vez al año","Zona 4 — Catastrófica poco probable: impacto alto pero excepcional"),IF(AND(T1108&lt;1.5,X1108&lt;1),"Zona 3 — Asumible: impacto bajo y muy poco frecuente","Zona 2 — Atención: riesgo intermedio"))</f>
        <v/>
      </c>
      <c r="AB1108" s="64">
        <f>IFERROR(INDEX(MgAmenCtrl,MATCH(SUBSTITUTE($H1108,"*","-"),MgAmenClave,0)),"")</f>
        <v/>
      </c>
      <c r="AC1108" s="20" t="n"/>
      <c r="AD1108" s="31">
        <f>IFERROR($X1108*(1-IF($AC1108="",$AL1108,VLOOKUP($AC1108,MgMad,2,0))),"")</f>
        <v/>
      </c>
      <c r="AE1108" s="28">
        <f>IFERROR(LOOKUP(AD1108,{0;0.01;0.1;1;10;100},{"Muy baja";"Muy baja";"Baja";"Media";"Alta";"Muy alta"}),"")</f>
        <v/>
      </c>
      <c r="AF1108" s="30">
        <f>T1108*AD1108</f>
        <v/>
      </c>
      <c r="AG1108" s="28">
        <f>IFERROR(LOOKUP(AF1108,{0;0.5;5;25},{"Bajo";"Medio";"Alto";"Crítico"}),"")</f>
        <v/>
      </c>
      <c r="AH1108" s="28">
        <f>IF(AG1108="","",IF(OR(AG1108="Crítico",AG1108="Alto"),"Mitigar",IF(AG1108="Medio","Mitigar","Aceptar y monitorear")))</f>
        <v/>
      </c>
      <c r="AI1108" s="21" t="n"/>
      <c r="AJ1108" s="21" t="n"/>
      <c r="AK1108" s="20" t="n"/>
      <c r="AL1108" s="77">
        <f>IFERROR(INDEX(MgAmenEfic,MATCH(SUBSTITUTE($H1108,"*","-"),MgAmenClave,0)),0)</f>
        <v/>
      </c>
    </row>
    <row r="1109" hidden="1" ht="75" customHeight="1" s="54">
      <c r="B1109" s="59" t="inlineStr">
        <is>
          <t>R-1104</t>
        </is>
      </c>
      <c r="C1109" s="59" t="inlineStr">
        <is>
          <t>GH-035</t>
        </is>
      </c>
      <c r="D1109" s="64">
        <f>IFERROR(INDEX(MgNombre,MATCH($C1109,MgActId,0)),"")</f>
        <v/>
      </c>
      <c r="E1109" s="64">
        <f>IFERROR(INDEX(MgProceso,MATCH($C1109,MgActId,0)),"")</f>
        <v/>
      </c>
      <c r="F1109" s="64">
        <f>IFERROR(INDEX(MgTipo,MATCH($C1109,MgActId,0)),"")</f>
        <v/>
      </c>
      <c r="G1109" s="64">
        <f>IFERROR(INDEX(MgSubtipo,MATCH($C1109,MgActId,0)),"")</f>
        <v/>
      </c>
      <c r="H1109" s="59" t="inlineStr">
        <is>
          <t>A.5</t>
        </is>
      </c>
      <c r="I1109" s="64">
        <f>IFERROR(INDEX(MgAmenNombre,MATCH(SUBSTITUTE($H1109,"*","-"),MgAmenClave,0)),"")</f>
        <v/>
      </c>
      <c r="J1109" s="28">
        <f>IFERROR(INDEX(MgAmenGrupo,MATCH(SUBSTITUTE($H1109,"*","-"),MgAmenClave,0)),"")</f>
        <v/>
      </c>
      <c r="K1109" s="64">
        <f>IFERROR(INDEX('1. Matriz de Activos'!$Q$6:$Q$239,MATCH($C1109,MgActId,0)),"")</f>
        <v/>
      </c>
      <c r="L1109" s="64">
        <f>IFERROR(INDEX('1. Matriz de Activos'!$R$6:$R$239,MATCH($C1109,MgActId,0)),"")</f>
        <v/>
      </c>
      <c r="M1109" s="64">
        <f>IFERROR(INDEX('1. Matriz de Activos'!$S$6:$S$239,MATCH($C1109,MgActId,0)),"")</f>
        <v/>
      </c>
      <c r="N1109" s="28">
        <f>IFERROR(INDEX(MgAmenDegD,MATCH(SUBSTITUTE($H1109,"*","-"),MgAmenClave,0)),"No aplica")</f>
        <v/>
      </c>
      <c r="O1109" s="28">
        <f>IFERROR(INDEX(MgAmenDegI,MATCH(SUBSTITUTE($H1109,"*","-"),MgAmenClave,0)),"No aplica")</f>
        <v/>
      </c>
      <c r="P1109" s="28">
        <f>IFERROR(INDEX(MgAmenDegC,MATCH(SUBSTITUTE($H1109,"*","-"),MgAmenClave,0)),"No aplica")</f>
        <v/>
      </c>
      <c r="Q1109" s="29">
        <f>IFERROR(VLOOKUP(K1109,MgValor,2,0)*VLOOKUP(N1109,MgDeg,2,0),0)</f>
        <v/>
      </c>
      <c r="R1109" s="29">
        <f>IFERROR(VLOOKUP(L1109,MgValor,2,0)*VLOOKUP(O1109,MgDeg,2,0),0)</f>
        <v/>
      </c>
      <c r="S1109" s="29">
        <f>IFERROR(VLOOKUP(M1109,MgValor,2,0)*VLOOKUP(P1109,MgDeg,2,0),0)</f>
        <v/>
      </c>
      <c r="T1109" s="30">
        <f>MAX(Q1109:S1109)</f>
        <v/>
      </c>
      <c r="U1109" s="28">
        <f>IFERROR(LOOKUP(T1109,{0;0.5;1.5;3;4.5},{"Despreciable";"Bajo";"Medio";"Alto";"Muy alto"}),"")</f>
        <v/>
      </c>
      <c r="V1109" s="13">
        <f>IFERROR(INDEX(MgAmenFrec,MATCH(SUBSTITUTE($H1109,"*","-"),MgAmenClave,0)),"")</f>
        <v/>
      </c>
      <c r="W1109" s="28">
        <f>IFERROR(LOOKUP(X1109,{0;0.01;0.1;1;10;100},{"Muy baja";"Muy baja";"Baja";"Media";"Alta";"Muy alta"}),"")</f>
        <v/>
      </c>
      <c r="X1109" s="31">
        <f>IFERROR(VLOOKUP(V1109,MgFrec,2,0),0)</f>
        <v/>
      </c>
      <c r="Y1109" s="30">
        <f>T1109*X1109</f>
        <v/>
      </c>
      <c r="Z1109" s="28">
        <f>IFERROR(LOOKUP(Y1109,{0;0.5;5;25},{"Bajo";"Medio";"Alto";"Crítico"}),"")</f>
        <v/>
      </c>
      <c r="AA1109" s="64">
        <f>IF(T1109&gt;=3,IF(X1109&gt;=1,"Zona 1 — Crítica: impacto alto y ocurre al menos una vez al año","Zona 4 — Catastrófica poco probable: impacto alto pero excepcional"),IF(AND(T1109&lt;1.5,X1109&lt;1),"Zona 3 — Asumible: impacto bajo y muy poco frecuente","Zona 2 — Atención: riesgo intermedio"))</f>
        <v/>
      </c>
      <c r="AB1109" s="64">
        <f>IFERROR(INDEX(MgAmenCtrl,MATCH(SUBSTITUTE($H1109,"*","-"),MgAmenClave,0)),"")</f>
        <v/>
      </c>
      <c r="AC1109" s="20" t="n"/>
      <c r="AD1109" s="31">
        <f>IFERROR($X1109*(1-IF($AC1109="",$AL1109,VLOOKUP($AC1109,MgMad,2,0))),"")</f>
        <v/>
      </c>
      <c r="AE1109" s="28">
        <f>IFERROR(LOOKUP(AD1109,{0;0.01;0.1;1;10;100},{"Muy baja";"Muy baja";"Baja";"Media";"Alta";"Muy alta"}),"")</f>
        <v/>
      </c>
      <c r="AF1109" s="30">
        <f>T1109*AD1109</f>
        <v/>
      </c>
      <c r="AG1109" s="28">
        <f>IFERROR(LOOKUP(AF1109,{0;0.5;5;25},{"Bajo";"Medio";"Alto";"Crítico"}),"")</f>
        <v/>
      </c>
      <c r="AH1109" s="28">
        <f>IF(AG1109="","",IF(OR(AG1109="Crítico",AG1109="Alto"),"Mitigar",IF(AG1109="Medio","Mitigar","Aceptar y monitorear")))</f>
        <v/>
      </c>
      <c r="AI1109" s="21" t="n"/>
      <c r="AJ1109" s="21" t="n"/>
      <c r="AK1109" s="20" t="n"/>
      <c r="AL1109" s="77">
        <f>IFERROR(INDEX(MgAmenEfic,MATCH(SUBSTITUTE($H1109,"*","-"),MgAmenClave,0)),0)</f>
        <v/>
      </c>
    </row>
    <row r="1110" hidden="1" ht="105" customHeight="1" s="54">
      <c r="B1110" s="59" t="inlineStr">
        <is>
          <t>R-1105</t>
        </is>
      </c>
      <c r="C1110" s="59" t="inlineStr">
        <is>
          <t>GH-035</t>
        </is>
      </c>
      <c r="D1110" s="64">
        <f>IFERROR(INDEX(MgNombre,MATCH($C1110,MgActId,0)),"")</f>
        <v/>
      </c>
      <c r="E1110" s="64">
        <f>IFERROR(INDEX(MgProceso,MATCH($C1110,MgActId,0)),"")</f>
        <v/>
      </c>
      <c r="F1110" s="64">
        <f>IFERROR(INDEX(MgTipo,MATCH($C1110,MgActId,0)),"")</f>
        <v/>
      </c>
      <c r="G1110" s="64">
        <f>IFERROR(INDEX(MgSubtipo,MATCH($C1110,MgActId,0)),"")</f>
        <v/>
      </c>
      <c r="H1110" s="59" t="inlineStr">
        <is>
          <t>A.6</t>
        </is>
      </c>
      <c r="I1110" s="64">
        <f>IFERROR(INDEX(MgAmenNombre,MATCH(SUBSTITUTE($H1110,"*","-"),MgAmenClave,0)),"")</f>
        <v/>
      </c>
      <c r="J1110" s="28">
        <f>IFERROR(INDEX(MgAmenGrupo,MATCH(SUBSTITUTE($H1110,"*","-"),MgAmenClave,0)),"")</f>
        <v/>
      </c>
      <c r="K1110" s="64">
        <f>IFERROR(INDEX('1. Matriz de Activos'!$Q$6:$Q$239,MATCH($C1110,MgActId,0)),"")</f>
        <v/>
      </c>
      <c r="L1110" s="64">
        <f>IFERROR(INDEX('1. Matriz de Activos'!$R$6:$R$239,MATCH($C1110,MgActId,0)),"")</f>
        <v/>
      </c>
      <c r="M1110" s="64">
        <f>IFERROR(INDEX('1. Matriz de Activos'!$S$6:$S$239,MATCH($C1110,MgActId,0)),"")</f>
        <v/>
      </c>
      <c r="N1110" s="28">
        <f>IFERROR(INDEX(MgAmenDegD,MATCH(SUBSTITUTE($H1110,"*","-"),MgAmenClave,0)),"No aplica")</f>
        <v/>
      </c>
      <c r="O1110" s="28">
        <f>IFERROR(INDEX(MgAmenDegI,MATCH(SUBSTITUTE($H1110,"*","-"),MgAmenClave,0)),"No aplica")</f>
        <v/>
      </c>
      <c r="P1110" s="28">
        <f>IFERROR(INDEX(MgAmenDegC,MATCH(SUBSTITUTE($H1110,"*","-"),MgAmenClave,0)),"No aplica")</f>
        <v/>
      </c>
      <c r="Q1110" s="29">
        <f>IFERROR(VLOOKUP(K1110,MgValor,2,0)*VLOOKUP(N1110,MgDeg,2,0),0)</f>
        <v/>
      </c>
      <c r="R1110" s="29">
        <f>IFERROR(VLOOKUP(L1110,MgValor,2,0)*VLOOKUP(O1110,MgDeg,2,0),0)</f>
        <v/>
      </c>
      <c r="S1110" s="29">
        <f>IFERROR(VLOOKUP(M1110,MgValor,2,0)*VLOOKUP(P1110,MgDeg,2,0),0)</f>
        <v/>
      </c>
      <c r="T1110" s="30">
        <f>MAX(Q1110:S1110)</f>
        <v/>
      </c>
      <c r="U1110" s="28">
        <f>IFERROR(LOOKUP(T1110,{0;0.5;1.5;3;4.5},{"Despreciable";"Bajo";"Medio";"Alto";"Muy alto"}),"")</f>
        <v/>
      </c>
      <c r="V1110" s="13">
        <f>IFERROR(INDEX(MgAmenFrec,MATCH(SUBSTITUTE($H1110,"*","-"),MgAmenClave,0)),"")</f>
        <v/>
      </c>
      <c r="W1110" s="28">
        <f>IFERROR(LOOKUP(X1110,{0;0.01;0.1;1;10;100},{"Muy baja";"Muy baja";"Baja";"Media";"Alta";"Muy alta"}),"")</f>
        <v/>
      </c>
      <c r="X1110" s="31">
        <f>IFERROR(VLOOKUP(V1110,MgFrec,2,0),0)</f>
        <v/>
      </c>
      <c r="Y1110" s="30">
        <f>T1110*X1110</f>
        <v/>
      </c>
      <c r="Z1110" s="28">
        <f>IFERROR(LOOKUP(Y1110,{0;0.5;5;25},{"Bajo";"Medio";"Alto";"Crítico"}),"")</f>
        <v/>
      </c>
      <c r="AA1110" s="64">
        <f>IF(T1110&gt;=3,IF(X1110&gt;=1,"Zona 1 — Crítica: impacto alto y ocurre al menos una vez al año","Zona 4 — Catastrófica poco probable: impacto alto pero excepcional"),IF(AND(T1110&lt;1.5,X1110&lt;1),"Zona 3 — Asumible: impacto bajo y muy poco frecuente","Zona 2 — Atención: riesgo intermedio"))</f>
        <v/>
      </c>
      <c r="AB1110" s="64">
        <f>IFERROR(INDEX(MgAmenCtrl,MATCH(SUBSTITUTE($H1110,"*","-"),MgAmenClave,0)),"")</f>
        <v/>
      </c>
      <c r="AC1110" s="20" t="n"/>
      <c r="AD1110" s="31">
        <f>IFERROR($X1110*(1-IF($AC1110="",$AL1110,VLOOKUP($AC1110,MgMad,2,0))),"")</f>
        <v/>
      </c>
      <c r="AE1110" s="28">
        <f>IFERROR(LOOKUP(AD1110,{0;0.01;0.1;1;10;100},{"Muy baja";"Muy baja";"Baja";"Media";"Alta";"Muy alta"}),"")</f>
        <v/>
      </c>
      <c r="AF1110" s="30">
        <f>T1110*AD1110</f>
        <v/>
      </c>
      <c r="AG1110" s="28">
        <f>IFERROR(LOOKUP(AF1110,{0;0.5;5;25},{"Bajo";"Medio";"Alto";"Crítico"}),"")</f>
        <v/>
      </c>
      <c r="AH1110" s="28">
        <f>IF(AG1110="","",IF(OR(AG1110="Crítico",AG1110="Alto"),"Mitigar",IF(AG1110="Medio","Mitigar","Aceptar y monitorear")))</f>
        <v/>
      </c>
      <c r="AI1110" s="21" t="n"/>
      <c r="AJ1110" s="21" t="n"/>
      <c r="AK1110" s="20" t="n"/>
      <c r="AL1110" s="77">
        <f>IFERROR(INDEX(MgAmenEfic,MATCH(SUBSTITUTE($H1110,"*","-"),MgAmenClave,0)),0)</f>
        <v/>
      </c>
    </row>
    <row r="1111" hidden="1" ht="120" customHeight="1" s="54">
      <c r="B1111" s="59" t="inlineStr">
        <is>
          <t>R-1106</t>
        </is>
      </c>
      <c r="C1111" s="59" t="inlineStr">
        <is>
          <t>GH-035</t>
        </is>
      </c>
      <c r="D1111" s="64">
        <f>IFERROR(INDEX(MgNombre,MATCH($C1111,MgActId,0)),"")</f>
        <v/>
      </c>
      <c r="E1111" s="64">
        <f>IFERROR(INDEX(MgProceso,MATCH($C1111,MgActId,0)),"")</f>
        <v/>
      </c>
      <c r="F1111" s="64">
        <f>IFERROR(INDEX(MgTipo,MATCH($C1111,MgActId,0)),"")</f>
        <v/>
      </c>
      <c r="G1111" s="64">
        <f>IFERROR(INDEX(MgSubtipo,MATCH($C1111,MgActId,0)),"")</f>
        <v/>
      </c>
      <c r="H1111" s="59" t="inlineStr">
        <is>
          <t>A.11</t>
        </is>
      </c>
      <c r="I1111" s="64">
        <f>IFERROR(INDEX(MgAmenNombre,MATCH(SUBSTITUTE($H1111,"*","-"),MgAmenClave,0)),"")</f>
        <v/>
      </c>
      <c r="J1111" s="28">
        <f>IFERROR(INDEX(MgAmenGrupo,MATCH(SUBSTITUTE($H1111,"*","-"),MgAmenClave,0)),"")</f>
        <v/>
      </c>
      <c r="K1111" s="64">
        <f>IFERROR(INDEX('1. Matriz de Activos'!$Q$6:$Q$239,MATCH($C1111,MgActId,0)),"")</f>
        <v/>
      </c>
      <c r="L1111" s="64">
        <f>IFERROR(INDEX('1. Matriz de Activos'!$R$6:$R$239,MATCH($C1111,MgActId,0)),"")</f>
        <v/>
      </c>
      <c r="M1111" s="64">
        <f>IFERROR(INDEX('1. Matriz de Activos'!$S$6:$S$239,MATCH($C1111,MgActId,0)),"")</f>
        <v/>
      </c>
      <c r="N1111" s="28">
        <f>IFERROR(INDEX(MgAmenDegD,MATCH(SUBSTITUTE($H1111,"*","-"),MgAmenClave,0)),"No aplica")</f>
        <v/>
      </c>
      <c r="O1111" s="28">
        <f>IFERROR(INDEX(MgAmenDegI,MATCH(SUBSTITUTE($H1111,"*","-"),MgAmenClave,0)),"No aplica")</f>
        <v/>
      </c>
      <c r="P1111" s="28">
        <f>IFERROR(INDEX(MgAmenDegC,MATCH(SUBSTITUTE($H1111,"*","-"),MgAmenClave,0)),"No aplica")</f>
        <v/>
      </c>
      <c r="Q1111" s="29">
        <f>IFERROR(VLOOKUP(K1111,MgValor,2,0)*VLOOKUP(N1111,MgDeg,2,0),0)</f>
        <v/>
      </c>
      <c r="R1111" s="29">
        <f>IFERROR(VLOOKUP(L1111,MgValor,2,0)*VLOOKUP(O1111,MgDeg,2,0),0)</f>
        <v/>
      </c>
      <c r="S1111" s="29">
        <f>IFERROR(VLOOKUP(M1111,MgValor,2,0)*VLOOKUP(P1111,MgDeg,2,0),0)</f>
        <v/>
      </c>
      <c r="T1111" s="30">
        <f>MAX(Q1111:S1111)</f>
        <v/>
      </c>
      <c r="U1111" s="28">
        <f>IFERROR(LOOKUP(T1111,{0;0.5;1.5;3;4.5},{"Despreciable";"Bajo";"Medio";"Alto";"Muy alto"}),"")</f>
        <v/>
      </c>
      <c r="V1111" s="13">
        <f>IFERROR(INDEX(MgAmenFrec,MATCH(SUBSTITUTE($H1111,"*","-"),MgAmenClave,0)),"")</f>
        <v/>
      </c>
      <c r="W1111" s="28">
        <f>IFERROR(LOOKUP(X1111,{0;0.01;0.1;1;10;100},{"Muy baja";"Muy baja";"Baja";"Media";"Alta";"Muy alta"}),"")</f>
        <v/>
      </c>
      <c r="X1111" s="31">
        <f>IFERROR(VLOOKUP(V1111,MgFrec,2,0),0)</f>
        <v/>
      </c>
      <c r="Y1111" s="30">
        <f>T1111*X1111</f>
        <v/>
      </c>
      <c r="Z1111" s="28">
        <f>IFERROR(LOOKUP(Y1111,{0;0.5;5;25},{"Bajo";"Medio";"Alto";"Crítico"}),"")</f>
        <v/>
      </c>
      <c r="AA1111" s="64">
        <f>IF(T1111&gt;=3,IF(X1111&gt;=1,"Zona 1 — Crítica: impacto alto y ocurre al menos una vez al año","Zona 4 — Catastrófica poco probable: impacto alto pero excepcional"),IF(AND(T1111&lt;1.5,X1111&lt;1),"Zona 3 — Asumible: impacto bajo y muy poco frecuente","Zona 2 — Atención: riesgo intermedio"))</f>
        <v/>
      </c>
      <c r="AB1111" s="64">
        <f>IFERROR(INDEX(MgAmenCtrl,MATCH(SUBSTITUTE($H1111,"*","-"),MgAmenClave,0)),"")</f>
        <v/>
      </c>
      <c r="AC1111" s="20" t="n"/>
      <c r="AD1111" s="31">
        <f>IFERROR($X1111*(1-IF($AC1111="",$AL1111,VLOOKUP($AC1111,MgMad,2,0))),"")</f>
        <v/>
      </c>
      <c r="AE1111" s="28">
        <f>IFERROR(LOOKUP(AD1111,{0;0.01;0.1;1;10;100},{"Muy baja";"Muy baja";"Baja";"Media";"Alta";"Muy alta"}),"")</f>
        <v/>
      </c>
      <c r="AF1111" s="30">
        <f>T1111*AD1111</f>
        <v/>
      </c>
      <c r="AG1111" s="28">
        <f>IFERROR(LOOKUP(AF1111,{0;0.5;5;25},{"Bajo";"Medio";"Alto";"Crítico"}),"")</f>
        <v/>
      </c>
      <c r="AH1111" s="28">
        <f>IF(AG1111="","",IF(OR(AG1111="Crítico",AG1111="Alto"),"Mitigar",IF(AG1111="Medio","Mitigar","Aceptar y monitorear")))</f>
        <v/>
      </c>
      <c r="AI1111" s="21" t="n"/>
      <c r="AJ1111" s="21" t="n"/>
      <c r="AK1111" s="20" t="n"/>
      <c r="AL1111" s="77">
        <f>IFERROR(INDEX(MgAmenEfic,MATCH(SUBSTITUTE($H1111,"*","-"),MgAmenClave,0)),0)</f>
        <v/>
      </c>
    </row>
    <row r="1112" hidden="1" ht="90" customHeight="1" s="54">
      <c r="B1112" s="59" t="inlineStr">
        <is>
          <t>R-1107</t>
        </is>
      </c>
      <c r="C1112" s="59" t="inlineStr">
        <is>
          <t>GH-035</t>
        </is>
      </c>
      <c r="D1112" s="64">
        <f>IFERROR(INDEX(MgNombre,MATCH($C1112,MgActId,0)),"")</f>
        <v/>
      </c>
      <c r="E1112" s="64">
        <f>IFERROR(INDEX(MgProceso,MATCH($C1112,MgActId,0)),"")</f>
        <v/>
      </c>
      <c r="F1112" s="64">
        <f>IFERROR(INDEX(MgTipo,MATCH($C1112,MgActId,0)),"")</f>
        <v/>
      </c>
      <c r="G1112" s="64">
        <f>IFERROR(INDEX(MgSubtipo,MATCH($C1112,MgActId,0)),"")</f>
        <v/>
      </c>
      <c r="H1112" s="59" t="inlineStr">
        <is>
          <t>A.13</t>
        </is>
      </c>
      <c r="I1112" s="64">
        <f>IFERROR(INDEX(MgAmenNombre,MATCH(SUBSTITUTE($H1112,"*","-"),MgAmenClave,0)),"")</f>
        <v/>
      </c>
      <c r="J1112" s="28">
        <f>IFERROR(INDEX(MgAmenGrupo,MATCH(SUBSTITUTE($H1112,"*","-"),MgAmenClave,0)),"")</f>
        <v/>
      </c>
      <c r="K1112" s="64">
        <f>IFERROR(INDEX('1. Matriz de Activos'!$Q$6:$Q$239,MATCH($C1112,MgActId,0)),"")</f>
        <v/>
      </c>
      <c r="L1112" s="64">
        <f>IFERROR(INDEX('1. Matriz de Activos'!$R$6:$R$239,MATCH($C1112,MgActId,0)),"")</f>
        <v/>
      </c>
      <c r="M1112" s="64">
        <f>IFERROR(INDEX('1. Matriz de Activos'!$S$6:$S$239,MATCH($C1112,MgActId,0)),"")</f>
        <v/>
      </c>
      <c r="N1112" s="28">
        <f>IFERROR(INDEX(MgAmenDegD,MATCH(SUBSTITUTE($H1112,"*","-"),MgAmenClave,0)),"No aplica")</f>
        <v/>
      </c>
      <c r="O1112" s="28">
        <f>IFERROR(INDEX(MgAmenDegI,MATCH(SUBSTITUTE($H1112,"*","-"),MgAmenClave,0)),"No aplica")</f>
        <v/>
      </c>
      <c r="P1112" s="28">
        <f>IFERROR(INDEX(MgAmenDegC,MATCH(SUBSTITUTE($H1112,"*","-"),MgAmenClave,0)),"No aplica")</f>
        <v/>
      </c>
      <c r="Q1112" s="29">
        <f>IFERROR(VLOOKUP(K1112,MgValor,2,0)*VLOOKUP(N1112,MgDeg,2,0),0)</f>
        <v/>
      </c>
      <c r="R1112" s="29">
        <f>IFERROR(VLOOKUP(L1112,MgValor,2,0)*VLOOKUP(O1112,MgDeg,2,0),0)</f>
        <v/>
      </c>
      <c r="S1112" s="29">
        <f>IFERROR(VLOOKUP(M1112,MgValor,2,0)*VLOOKUP(P1112,MgDeg,2,0),0)</f>
        <v/>
      </c>
      <c r="T1112" s="30">
        <f>MAX(Q1112:S1112)</f>
        <v/>
      </c>
      <c r="U1112" s="28">
        <f>IFERROR(LOOKUP(T1112,{0;0.5;1.5;3;4.5},{"Despreciable";"Bajo";"Medio";"Alto";"Muy alto"}),"")</f>
        <v/>
      </c>
      <c r="V1112" s="13">
        <f>IFERROR(INDEX(MgAmenFrec,MATCH(SUBSTITUTE($H1112,"*","-"),MgAmenClave,0)),"")</f>
        <v/>
      </c>
      <c r="W1112" s="28">
        <f>IFERROR(LOOKUP(X1112,{0;0.01;0.1;1;10;100},{"Muy baja";"Muy baja";"Baja";"Media";"Alta";"Muy alta"}),"")</f>
        <v/>
      </c>
      <c r="X1112" s="31">
        <f>IFERROR(VLOOKUP(V1112,MgFrec,2,0),0)</f>
        <v/>
      </c>
      <c r="Y1112" s="30">
        <f>T1112*X1112</f>
        <v/>
      </c>
      <c r="Z1112" s="28">
        <f>IFERROR(LOOKUP(Y1112,{0;0.5;5;25},{"Bajo";"Medio";"Alto";"Crítico"}),"")</f>
        <v/>
      </c>
      <c r="AA1112" s="64">
        <f>IF(T1112&gt;=3,IF(X1112&gt;=1,"Zona 1 — Crítica: impacto alto y ocurre al menos una vez al año","Zona 4 — Catastrófica poco probable: impacto alto pero excepcional"),IF(AND(T1112&lt;1.5,X1112&lt;1),"Zona 3 — Asumible: impacto bajo y muy poco frecuente","Zona 2 — Atención: riesgo intermedio"))</f>
        <v/>
      </c>
      <c r="AB1112" s="64">
        <f>IFERROR(INDEX(MgAmenCtrl,MATCH(SUBSTITUTE($H1112,"*","-"),MgAmenClave,0)),"")</f>
        <v/>
      </c>
      <c r="AC1112" s="20" t="n"/>
      <c r="AD1112" s="31">
        <f>IFERROR($X1112*(1-IF($AC1112="",$AL1112,VLOOKUP($AC1112,MgMad,2,0))),"")</f>
        <v/>
      </c>
      <c r="AE1112" s="28">
        <f>IFERROR(LOOKUP(AD1112,{0;0.01;0.1;1;10;100},{"Muy baja";"Muy baja";"Baja";"Media";"Alta";"Muy alta"}),"")</f>
        <v/>
      </c>
      <c r="AF1112" s="30">
        <f>T1112*AD1112</f>
        <v/>
      </c>
      <c r="AG1112" s="28">
        <f>IFERROR(LOOKUP(AF1112,{0;0.5;5;25},{"Bajo";"Medio";"Alto";"Crítico"}),"")</f>
        <v/>
      </c>
      <c r="AH1112" s="28">
        <f>IF(AG1112="","",IF(OR(AG1112="Crítico",AG1112="Alto"),"Mitigar",IF(AG1112="Medio","Mitigar","Aceptar y monitorear")))</f>
        <v/>
      </c>
      <c r="AI1112" s="21" t="n"/>
      <c r="AJ1112" s="21" t="n"/>
      <c r="AK1112" s="20" t="n"/>
      <c r="AL1112" s="77">
        <f>IFERROR(INDEX(MgAmenEfic,MATCH(SUBSTITUTE($H1112,"*","-"),MgAmenClave,0)),0)</f>
        <v/>
      </c>
    </row>
    <row r="1113" hidden="1" ht="60" customHeight="1" s="54">
      <c r="B1113" s="59" t="inlineStr">
        <is>
          <t>R-1108</t>
        </is>
      </c>
      <c r="C1113" s="59" t="inlineStr">
        <is>
          <t>GH-035</t>
        </is>
      </c>
      <c r="D1113" s="64">
        <f>IFERROR(INDEX(MgNombre,MATCH($C1113,MgActId,0)),"")</f>
        <v/>
      </c>
      <c r="E1113" s="64">
        <f>IFERROR(INDEX(MgProceso,MATCH($C1113,MgActId,0)),"")</f>
        <v/>
      </c>
      <c r="F1113" s="64">
        <f>IFERROR(INDEX(MgTipo,MATCH($C1113,MgActId,0)),"")</f>
        <v/>
      </c>
      <c r="G1113" s="64">
        <f>IFERROR(INDEX(MgSubtipo,MATCH($C1113,MgActId,0)),"")</f>
        <v/>
      </c>
      <c r="H1113" s="59" t="inlineStr">
        <is>
          <t>A.15</t>
        </is>
      </c>
      <c r="I1113" s="64">
        <f>IFERROR(INDEX(MgAmenNombre,MATCH(SUBSTITUTE($H1113,"*","-"),MgAmenClave,0)),"")</f>
        <v/>
      </c>
      <c r="J1113" s="28">
        <f>IFERROR(INDEX(MgAmenGrupo,MATCH(SUBSTITUTE($H1113,"*","-"),MgAmenClave,0)),"")</f>
        <v/>
      </c>
      <c r="K1113" s="64">
        <f>IFERROR(INDEX('1. Matriz de Activos'!$Q$6:$Q$239,MATCH($C1113,MgActId,0)),"")</f>
        <v/>
      </c>
      <c r="L1113" s="64">
        <f>IFERROR(INDEX('1. Matriz de Activos'!$R$6:$R$239,MATCH($C1113,MgActId,0)),"")</f>
        <v/>
      </c>
      <c r="M1113" s="64">
        <f>IFERROR(INDEX('1. Matriz de Activos'!$S$6:$S$239,MATCH($C1113,MgActId,0)),"")</f>
        <v/>
      </c>
      <c r="N1113" s="28">
        <f>IFERROR(INDEX(MgAmenDegD,MATCH(SUBSTITUTE($H1113,"*","-"),MgAmenClave,0)),"No aplica")</f>
        <v/>
      </c>
      <c r="O1113" s="28">
        <f>IFERROR(INDEX(MgAmenDegI,MATCH(SUBSTITUTE($H1113,"*","-"),MgAmenClave,0)),"No aplica")</f>
        <v/>
      </c>
      <c r="P1113" s="28">
        <f>IFERROR(INDEX(MgAmenDegC,MATCH(SUBSTITUTE($H1113,"*","-"),MgAmenClave,0)),"No aplica")</f>
        <v/>
      </c>
      <c r="Q1113" s="29">
        <f>IFERROR(VLOOKUP(K1113,MgValor,2,0)*VLOOKUP(N1113,MgDeg,2,0),0)</f>
        <v/>
      </c>
      <c r="R1113" s="29">
        <f>IFERROR(VLOOKUP(L1113,MgValor,2,0)*VLOOKUP(O1113,MgDeg,2,0),0)</f>
        <v/>
      </c>
      <c r="S1113" s="29">
        <f>IFERROR(VLOOKUP(M1113,MgValor,2,0)*VLOOKUP(P1113,MgDeg,2,0),0)</f>
        <v/>
      </c>
      <c r="T1113" s="30">
        <f>MAX(Q1113:S1113)</f>
        <v/>
      </c>
      <c r="U1113" s="28">
        <f>IFERROR(LOOKUP(T1113,{0;0.5;1.5;3;4.5},{"Despreciable";"Bajo";"Medio";"Alto";"Muy alto"}),"")</f>
        <v/>
      </c>
      <c r="V1113" s="13">
        <f>IFERROR(INDEX(MgAmenFrec,MATCH(SUBSTITUTE($H1113,"*","-"),MgAmenClave,0)),"")</f>
        <v/>
      </c>
      <c r="W1113" s="28">
        <f>IFERROR(LOOKUP(X1113,{0;0.01;0.1;1;10;100},{"Muy baja";"Muy baja";"Baja";"Media";"Alta";"Muy alta"}),"")</f>
        <v/>
      </c>
      <c r="X1113" s="31">
        <f>IFERROR(VLOOKUP(V1113,MgFrec,2,0),0)</f>
        <v/>
      </c>
      <c r="Y1113" s="30">
        <f>T1113*X1113</f>
        <v/>
      </c>
      <c r="Z1113" s="28">
        <f>IFERROR(LOOKUP(Y1113,{0;0.5;5;25},{"Bajo";"Medio";"Alto";"Crítico"}),"")</f>
        <v/>
      </c>
      <c r="AA1113" s="64">
        <f>IF(T1113&gt;=3,IF(X1113&gt;=1,"Zona 1 — Crítica: impacto alto y ocurre al menos una vez al año","Zona 4 — Catastrófica poco probable: impacto alto pero excepcional"),IF(AND(T1113&lt;1.5,X1113&lt;1),"Zona 3 — Asumible: impacto bajo y muy poco frecuente","Zona 2 — Atención: riesgo intermedio"))</f>
        <v/>
      </c>
      <c r="AB1113" s="64">
        <f>IFERROR(INDEX(MgAmenCtrl,MATCH(SUBSTITUTE($H1113,"*","-"),MgAmenClave,0)),"")</f>
        <v/>
      </c>
      <c r="AC1113" s="20" t="n"/>
      <c r="AD1113" s="31">
        <f>IFERROR($X1113*(1-IF($AC1113="",$AL1113,VLOOKUP($AC1113,MgMad,2,0))),"")</f>
        <v/>
      </c>
      <c r="AE1113" s="28">
        <f>IFERROR(LOOKUP(AD1113,{0;0.01;0.1;1;10;100},{"Muy baja";"Muy baja";"Baja";"Media";"Alta";"Muy alta"}),"")</f>
        <v/>
      </c>
      <c r="AF1113" s="30">
        <f>T1113*AD1113</f>
        <v/>
      </c>
      <c r="AG1113" s="28">
        <f>IFERROR(LOOKUP(AF1113,{0;0.5;5;25},{"Bajo";"Medio";"Alto";"Crítico"}),"")</f>
        <v/>
      </c>
      <c r="AH1113" s="28">
        <f>IF(AG1113="","",IF(OR(AG1113="Crítico",AG1113="Alto"),"Mitigar",IF(AG1113="Medio","Mitigar","Aceptar y monitorear")))</f>
        <v/>
      </c>
      <c r="AI1113" s="21" t="n"/>
      <c r="AJ1113" s="21" t="n"/>
      <c r="AK1113" s="20" t="n"/>
      <c r="AL1113" s="77">
        <f>IFERROR(INDEX(MgAmenEfic,MATCH(SUBSTITUTE($H1113,"*","-"),MgAmenClave,0)),0)</f>
        <v/>
      </c>
    </row>
    <row r="1114" hidden="1" ht="60" customHeight="1" s="54">
      <c r="B1114" s="59" t="inlineStr">
        <is>
          <t>R-1109</t>
        </is>
      </c>
      <c r="C1114" s="59" t="inlineStr">
        <is>
          <t>GH-035</t>
        </is>
      </c>
      <c r="D1114" s="64">
        <f>IFERROR(INDEX(MgNombre,MATCH($C1114,MgActId,0)),"")</f>
        <v/>
      </c>
      <c r="E1114" s="64">
        <f>IFERROR(INDEX(MgProceso,MATCH($C1114,MgActId,0)),"")</f>
        <v/>
      </c>
      <c r="F1114" s="64">
        <f>IFERROR(INDEX(MgTipo,MATCH($C1114,MgActId,0)),"")</f>
        <v/>
      </c>
      <c r="G1114" s="64">
        <f>IFERROR(INDEX(MgSubtipo,MATCH($C1114,MgActId,0)),"")</f>
        <v/>
      </c>
      <c r="H1114" s="59" t="inlineStr">
        <is>
          <t>A.18</t>
        </is>
      </c>
      <c r="I1114" s="64">
        <f>IFERROR(INDEX(MgAmenNombre,MATCH(SUBSTITUTE($H1114,"*","-"),MgAmenClave,0)),"")</f>
        <v/>
      </c>
      <c r="J1114" s="28">
        <f>IFERROR(INDEX(MgAmenGrupo,MATCH(SUBSTITUTE($H1114,"*","-"),MgAmenClave,0)),"")</f>
        <v/>
      </c>
      <c r="K1114" s="64">
        <f>IFERROR(INDEX('1. Matriz de Activos'!$Q$6:$Q$239,MATCH($C1114,MgActId,0)),"")</f>
        <v/>
      </c>
      <c r="L1114" s="64">
        <f>IFERROR(INDEX('1. Matriz de Activos'!$R$6:$R$239,MATCH($C1114,MgActId,0)),"")</f>
        <v/>
      </c>
      <c r="M1114" s="64">
        <f>IFERROR(INDEX('1. Matriz de Activos'!$S$6:$S$239,MATCH($C1114,MgActId,0)),"")</f>
        <v/>
      </c>
      <c r="N1114" s="28">
        <f>IFERROR(INDEX(MgAmenDegD,MATCH(SUBSTITUTE($H1114,"*","-"),MgAmenClave,0)),"No aplica")</f>
        <v/>
      </c>
      <c r="O1114" s="28">
        <f>IFERROR(INDEX(MgAmenDegI,MATCH(SUBSTITUTE($H1114,"*","-"),MgAmenClave,0)),"No aplica")</f>
        <v/>
      </c>
      <c r="P1114" s="28">
        <f>IFERROR(INDEX(MgAmenDegC,MATCH(SUBSTITUTE($H1114,"*","-"),MgAmenClave,0)),"No aplica")</f>
        <v/>
      </c>
      <c r="Q1114" s="29">
        <f>IFERROR(VLOOKUP(K1114,MgValor,2,0)*VLOOKUP(N1114,MgDeg,2,0),0)</f>
        <v/>
      </c>
      <c r="R1114" s="29">
        <f>IFERROR(VLOOKUP(L1114,MgValor,2,0)*VLOOKUP(O1114,MgDeg,2,0),0)</f>
        <v/>
      </c>
      <c r="S1114" s="29">
        <f>IFERROR(VLOOKUP(M1114,MgValor,2,0)*VLOOKUP(P1114,MgDeg,2,0),0)</f>
        <v/>
      </c>
      <c r="T1114" s="30">
        <f>MAX(Q1114:S1114)</f>
        <v/>
      </c>
      <c r="U1114" s="28">
        <f>IFERROR(LOOKUP(T1114,{0;0.5;1.5;3;4.5},{"Despreciable";"Bajo";"Medio";"Alto";"Muy alto"}),"")</f>
        <v/>
      </c>
      <c r="V1114" s="13">
        <f>IFERROR(INDEX(MgAmenFrec,MATCH(SUBSTITUTE($H1114,"*","-"),MgAmenClave,0)),"")</f>
        <v/>
      </c>
      <c r="W1114" s="28">
        <f>IFERROR(LOOKUP(X1114,{0;0.01;0.1;1;10;100},{"Muy baja";"Muy baja";"Baja";"Media";"Alta";"Muy alta"}),"")</f>
        <v/>
      </c>
      <c r="X1114" s="31">
        <f>IFERROR(VLOOKUP(V1114,MgFrec,2,0),0)</f>
        <v/>
      </c>
      <c r="Y1114" s="30">
        <f>T1114*X1114</f>
        <v/>
      </c>
      <c r="Z1114" s="28">
        <f>IFERROR(LOOKUP(Y1114,{0;0.5;5;25},{"Bajo";"Medio";"Alto";"Crítico"}),"")</f>
        <v/>
      </c>
      <c r="AA1114" s="64">
        <f>IF(T1114&gt;=3,IF(X1114&gt;=1,"Zona 1 — Crítica: impacto alto y ocurre al menos una vez al año","Zona 4 — Catastrófica poco probable: impacto alto pero excepcional"),IF(AND(T1114&lt;1.5,X1114&lt;1),"Zona 3 — Asumible: impacto bajo y muy poco frecuente","Zona 2 — Atención: riesgo intermedio"))</f>
        <v/>
      </c>
      <c r="AB1114" s="64">
        <f>IFERROR(INDEX(MgAmenCtrl,MATCH(SUBSTITUTE($H1114,"*","-"),MgAmenClave,0)),"")</f>
        <v/>
      </c>
      <c r="AC1114" s="20" t="n"/>
      <c r="AD1114" s="31">
        <f>IFERROR($X1114*(1-IF($AC1114="",$AL1114,VLOOKUP($AC1114,MgMad,2,0))),"")</f>
        <v/>
      </c>
      <c r="AE1114" s="28">
        <f>IFERROR(LOOKUP(AD1114,{0;0.01;0.1;1;10;100},{"Muy baja";"Muy baja";"Baja";"Media";"Alta";"Muy alta"}),"")</f>
        <v/>
      </c>
      <c r="AF1114" s="30">
        <f>T1114*AD1114</f>
        <v/>
      </c>
      <c r="AG1114" s="28">
        <f>IFERROR(LOOKUP(AF1114,{0;0.5;5;25},{"Bajo";"Medio";"Alto";"Crítico"}),"")</f>
        <v/>
      </c>
      <c r="AH1114" s="28">
        <f>IF(AG1114="","",IF(OR(AG1114="Crítico",AG1114="Alto"),"Mitigar",IF(AG1114="Medio","Mitigar","Aceptar y monitorear")))</f>
        <v/>
      </c>
      <c r="AI1114" s="21" t="n"/>
      <c r="AJ1114" s="21" t="n"/>
      <c r="AK1114" s="20" t="n"/>
      <c r="AL1114" s="77">
        <f>IFERROR(INDEX(MgAmenEfic,MATCH(SUBSTITUTE($H1114,"*","-"),MgAmenClave,0)),0)</f>
        <v/>
      </c>
    </row>
    <row r="1115" hidden="1" ht="120" customHeight="1" s="54">
      <c r="B1115" s="59" t="inlineStr">
        <is>
          <t>R-1110</t>
        </is>
      </c>
      <c r="C1115" s="59" t="inlineStr">
        <is>
          <t>GH-035</t>
        </is>
      </c>
      <c r="D1115" s="64">
        <f>IFERROR(INDEX(MgNombre,MATCH($C1115,MgActId,0)),"")</f>
        <v/>
      </c>
      <c r="E1115" s="64">
        <f>IFERROR(INDEX(MgProceso,MATCH($C1115,MgActId,0)),"")</f>
        <v/>
      </c>
      <c r="F1115" s="64">
        <f>IFERROR(INDEX(MgTipo,MATCH($C1115,MgActId,0)),"")</f>
        <v/>
      </c>
      <c r="G1115" s="64">
        <f>IFERROR(INDEX(MgSubtipo,MATCH($C1115,MgActId,0)),"")</f>
        <v/>
      </c>
      <c r="H1115" s="59" t="inlineStr">
        <is>
          <t>A.19</t>
        </is>
      </c>
      <c r="I1115" s="64">
        <f>IFERROR(INDEX(MgAmenNombre,MATCH(SUBSTITUTE($H1115,"*","-"),MgAmenClave,0)),"")</f>
        <v/>
      </c>
      <c r="J1115" s="28">
        <f>IFERROR(INDEX(MgAmenGrupo,MATCH(SUBSTITUTE($H1115,"*","-"),MgAmenClave,0)),"")</f>
        <v/>
      </c>
      <c r="K1115" s="64">
        <f>IFERROR(INDEX('1. Matriz de Activos'!$Q$6:$Q$239,MATCH($C1115,MgActId,0)),"")</f>
        <v/>
      </c>
      <c r="L1115" s="64">
        <f>IFERROR(INDEX('1. Matriz de Activos'!$R$6:$R$239,MATCH($C1115,MgActId,0)),"")</f>
        <v/>
      </c>
      <c r="M1115" s="64">
        <f>IFERROR(INDEX('1. Matriz de Activos'!$S$6:$S$239,MATCH($C1115,MgActId,0)),"")</f>
        <v/>
      </c>
      <c r="N1115" s="28">
        <f>IFERROR(INDEX(MgAmenDegD,MATCH(SUBSTITUTE($H1115,"*","-"),MgAmenClave,0)),"No aplica")</f>
        <v/>
      </c>
      <c r="O1115" s="28">
        <f>IFERROR(INDEX(MgAmenDegI,MATCH(SUBSTITUTE($H1115,"*","-"),MgAmenClave,0)),"No aplica")</f>
        <v/>
      </c>
      <c r="P1115" s="28">
        <f>IFERROR(INDEX(MgAmenDegC,MATCH(SUBSTITUTE($H1115,"*","-"),MgAmenClave,0)),"No aplica")</f>
        <v/>
      </c>
      <c r="Q1115" s="29">
        <f>IFERROR(VLOOKUP(K1115,MgValor,2,0)*VLOOKUP(N1115,MgDeg,2,0),0)</f>
        <v/>
      </c>
      <c r="R1115" s="29">
        <f>IFERROR(VLOOKUP(L1115,MgValor,2,0)*VLOOKUP(O1115,MgDeg,2,0),0)</f>
        <v/>
      </c>
      <c r="S1115" s="29">
        <f>IFERROR(VLOOKUP(M1115,MgValor,2,0)*VLOOKUP(P1115,MgDeg,2,0),0)</f>
        <v/>
      </c>
      <c r="T1115" s="30">
        <f>MAX(Q1115:S1115)</f>
        <v/>
      </c>
      <c r="U1115" s="28">
        <f>IFERROR(LOOKUP(T1115,{0;0.5;1.5;3;4.5},{"Despreciable";"Bajo";"Medio";"Alto";"Muy alto"}),"")</f>
        <v/>
      </c>
      <c r="V1115" s="13">
        <f>IFERROR(INDEX(MgAmenFrec,MATCH(SUBSTITUTE($H1115,"*","-"),MgAmenClave,0)),"")</f>
        <v/>
      </c>
      <c r="W1115" s="28">
        <f>IFERROR(LOOKUP(X1115,{0;0.01;0.1;1;10;100},{"Muy baja";"Muy baja";"Baja";"Media";"Alta";"Muy alta"}),"")</f>
        <v/>
      </c>
      <c r="X1115" s="31">
        <f>IFERROR(VLOOKUP(V1115,MgFrec,2,0),0)</f>
        <v/>
      </c>
      <c r="Y1115" s="30">
        <f>T1115*X1115</f>
        <v/>
      </c>
      <c r="Z1115" s="28">
        <f>IFERROR(LOOKUP(Y1115,{0;0.5;5;25},{"Bajo";"Medio";"Alto";"Crítico"}),"")</f>
        <v/>
      </c>
      <c r="AA1115" s="64">
        <f>IF(T1115&gt;=3,IF(X1115&gt;=1,"Zona 1 — Crítica: impacto alto y ocurre al menos una vez al año","Zona 4 — Catastrófica poco probable: impacto alto pero excepcional"),IF(AND(T1115&lt;1.5,X1115&lt;1),"Zona 3 — Asumible: impacto bajo y muy poco frecuente","Zona 2 — Atención: riesgo intermedio"))</f>
        <v/>
      </c>
      <c r="AB1115" s="64">
        <f>IFERROR(INDEX(MgAmenCtrl,MATCH(SUBSTITUTE($H1115,"*","-"),MgAmenClave,0)),"")</f>
        <v/>
      </c>
      <c r="AC1115" s="20" t="n"/>
      <c r="AD1115" s="31">
        <f>IFERROR($X1115*(1-IF($AC1115="",$AL1115,VLOOKUP($AC1115,MgMad,2,0))),"")</f>
        <v/>
      </c>
      <c r="AE1115" s="28">
        <f>IFERROR(LOOKUP(AD1115,{0;0.01;0.1;1;10;100},{"Muy baja";"Muy baja";"Baja";"Media";"Alta";"Muy alta"}),"")</f>
        <v/>
      </c>
      <c r="AF1115" s="30">
        <f>T1115*AD1115</f>
        <v/>
      </c>
      <c r="AG1115" s="28">
        <f>IFERROR(LOOKUP(AF1115,{0;0.5;5;25},{"Bajo";"Medio";"Alto";"Crítico"}),"")</f>
        <v/>
      </c>
      <c r="AH1115" s="28">
        <f>IF(AG1115="","",IF(OR(AG1115="Crítico",AG1115="Alto"),"Mitigar",IF(AG1115="Medio","Mitigar","Aceptar y monitorear")))</f>
        <v/>
      </c>
      <c r="AI1115" s="21" t="n"/>
      <c r="AJ1115" s="21" t="n"/>
      <c r="AK1115" s="20" t="n"/>
      <c r="AL1115" s="77">
        <f>IFERROR(INDEX(MgAmenEfic,MATCH(SUBSTITUTE($H1115,"*","-"),MgAmenClave,0)),0)</f>
        <v/>
      </c>
    </row>
    <row r="1116" hidden="1" ht="105" customHeight="1" s="54">
      <c r="B1116" s="59" t="inlineStr">
        <is>
          <t>R-1111</t>
        </is>
      </c>
      <c r="C1116" s="59" t="inlineStr">
        <is>
          <t>GH-021</t>
        </is>
      </c>
      <c r="D1116" s="64">
        <f>IFERROR(INDEX(MgNombre,MATCH($C1116,MgActId,0)),"")</f>
        <v/>
      </c>
      <c r="E1116" s="64">
        <f>IFERROR(INDEX(MgProceso,MATCH($C1116,MgActId,0)),"")</f>
        <v/>
      </c>
      <c r="F1116" s="64">
        <f>IFERROR(INDEX(MgTipo,MATCH($C1116,MgActId,0)),"")</f>
        <v/>
      </c>
      <c r="G1116" s="64">
        <f>IFERROR(INDEX(MgSubtipo,MATCH($C1116,MgActId,0)),"")</f>
        <v/>
      </c>
      <c r="H1116" s="59" t="inlineStr">
        <is>
          <t>E.1</t>
        </is>
      </c>
      <c r="I1116" s="64">
        <f>IFERROR(INDEX(MgAmenNombre,MATCH(SUBSTITUTE($H1116,"*","-"),MgAmenClave,0)),"")</f>
        <v/>
      </c>
      <c r="J1116" s="28">
        <f>IFERROR(INDEX(MgAmenGrupo,MATCH(SUBSTITUTE($H1116,"*","-"),MgAmenClave,0)),"")</f>
        <v/>
      </c>
      <c r="K1116" s="64">
        <f>IFERROR(INDEX('1. Matriz de Activos'!$Q$6:$Q$239,MATCH($C1116,MgActId,0)),"")</f>
        <v/>
      </c>
      <c r="L1116" s="64">
        <f>IFERROR(INDEX('1. Matriz de Activos'!$R$6:$R$239,MATCH($C1116,MgActId,0)),"")</f>
        <v/>
      </c>
      <c r="M1116" s="64">
        <f>IFERROR(INDEX('1. Matriz de Activos'!$S$6:$S$239,MATCH($C1116,MgActId,0)),"")</f>
        <v/>
      </c>
      <c r="N1116" s="28">
        <f>IFERROR(INDEX(MgAmenDegD,MATCH(SUBSTITUTE($H1116,"*","-"),MgAmenClave,0)),"No aplica")</f>
        <v/>
      </c>
      <c r="O1116" s="28">
        <f>IFERROR(INDEX(MgAmenDegI,MATCH(SUBSTITUTE($H1116,"*","-"),MgAmenClave,0)),"No aplica")</f>
        <v/>
      </c>
      <c r="P1116" s="28">
        <f>IFERROR(INDEX(MgAmenDegC,MATCH(SUBSTITUTE($H1116,"*","-"),MgAmenClave,0)),"No aplica")</f>
        <v/>
      </c>
      <c r="Q1116" s="29">
        <f>IFERROR(VLOOKUP(K1116,MgValor,2,0)*VLOOKUP(N1116,MgDeg,2,0),0)</f>
        <v/>
      </c>
      <c r="R1116" s="29">
        <f>IFERROR(VLOOKUP(L1116,MgValor,2,0)*VLOOKUP(O1116,MgDeg,2,0),0)</f>
        <v/>
      </c>
      <c r="S1116" s="29">
        <f>IFERROR(VLOOKUP(M1116,MgValor,2,0)*VLOOKUP(P1116,MgDeg,2,0),0)</f>
        <v/>
      </c>
      <c r="T1116" s="30">
        <f>MAX(Q1116:S1116)</f>
        <v/>
      </c>
      <c r="U1116" s="28">
        <f>IFERROR(LOOKUP(T1116,{0;0.5;1.5;3;4.5},{"Despreciable";"Bajo";"Medio";"Alto";"Muy alto"}),"")</f>
        <v/>
      </c>
      <c r="V1116" s="13">
        <f>IFERROR(INDEX(MgAmenFrec,MATCH(SUBSTITUTE($H1116,"*","-"),MgAmenClave,0)),"")</f>
        <v/>
      </c>
      <c r="W1116" s="28">
        <f>IFERROR(LOOKUP(X1116,{0;0.01;0.1;1;10;100},{"Muy baja";"Muy baja";"Baja";"Media";"Alta";"Muy alta"}),"")</f>
        <v/>
      </c>
      <c r="X1116" s="31">
        <f>IFERROR(VLOOKUP(V1116,MgFrec,2,0),0)</f>
        <v/>
      </c>
      <c r="Y1116" s="30">
        <f>T1116*X1116</f>
        <v/>
      </c>
      <c r="Z1116" s="28">
        <f>IFERROR(LOOKUP(Y1116,{0;0.5;5;25},{"Bajo";"Medio";"Alto";"Crítico"}),"")</f>
        <v/>
      </c>
      <c r="AA1116" s="64">
        <f>IF(T1116&gt;=3,IF(X1116&gt;=1,"Zona 1 — Crítica: impacto alto y ocurre al menos una vez al año","Zona 4 — Catastrófica poco probable: impacto alto pero excepcional"),IF(AND(T1116&lt;1.5,X1116&lt;1),"Zona 3 — Asumible: impacto bajo y muy poco frecuente","Zona 2 — Atención: riesgo intermedio"))</f>
        <v/>
      </c>
      <c r="AB1116" s="64">
        <f>IFERROR(INDEX(MgAmenCtrl,MATCH(SUBSTITUTE($H1116,"*","-"),MgAmenClave,0)),"")</f>
        <v/>
      </c>
      <c r="AC1116" s="20" t="n"/>
      <c r="AD1116" s="31">
        <f>IFERROR($X1116*(1-IF($AC1116="",$AL1116,VLOOKUP($AC1116,MgMad,2,0))),"")</f>
        <v/>
      </c>
      <c r="AE1116" s="28">
        <f>IFERROR(LOOKUP(AD1116,{0;0.01;0.1;1;10;100},{"Muy baja";"Muy baja";"Baja";"Media";"Alta";"Muy alta"}),"")</f>
        <v/>
      </c>
      <c r="AF1116" s="30">
        <f>T1116*AD1116</f>
        <v/>
      </c>
      <c r="AG1116" s="28">
        <f>IFERROR(LOOKUP(AF1116,{0;0.5;5;25},{"Bajo";"Medio";"Alto";"Crítico"}),"")</f>
        <v/>
      </c>
      <c r="AH1116" s="28">
        <f>IF(AG1116="","",IF(OR(AG1116="Crítico",AG1116="Alto"),"Mitigar",IF(AG1116="Medio","Mitigar","Aceptar y monitorear")))</f>
        <v/>
      </c>
      <c r="AI1116" s="21" t="n"/>
      <c r="AJ1116" s="21" t="n"/>
      <c r="AK1116" s="20" t="n"/>
      <c r="AL1116" s="77">
        <f>IFERROR(INDEX(MgAmenEfic,MATCH(SUBSTITUTE($H1116,"*","-"),MgAmenClave,0)),0)</f>
        <v/>
      </c>
    </row>
    <row r="1117" hidden="1" ht="120" customHeight="1" s="54">
      <c r="B1117" s="59" t="inlineStr">
        <is>
          <t>R-1112</t>
        </is>
      </c>
      <c r="C1117" s="59" t="inlineStr">
        <is>
          <t>GH-021</t>
        </is>
      </c>
      <c r="D1117" s="64">
        <f>IFERROR(INDEX(MgNombre,MATCH($C1117,MgActId,0)),"")</f>
        <v/>
      </c>
      <c r="E1117" s="64">
        <f>IFERROR(INDEX(MgProceso,MATCH($C1117,MgActId,0)),"")</f>
        <v/>
      </c>
      <c r="F1117" s="64">
        <f>IFERROR(INDEX(MgTipo,MATCH($C1117,MgActId,0)),"")</f>
        <v/>
      </c>
      <c r="G1117" s="64">
        <f>IFERROR(INDEX(MgSubtipo,MATCH($C1117,MgActId,0)),"")</f>
        <v/>
      </c>
      <c r="H1117" s="59" t="inlineStr">
        <is>
          <t>E.2</t>
        </is>
      </c>
      <c r="I1117" s="64">
        <f>IFERROR(INDEX(MgAmenNombre,MATCH(SUBSTITUTE($H1117,"*","-"),MgAmenClave,0)),"")</f>
        <v/>
      </c>
      <c r="J1117" s="28">
        <f>IFERROR(INDEX(MgAmenGrupo,MATCH(SUBSTITUTE($H1117,"*","-"),MgAmenClave,0)),"")</f>
        <v/>
      </c>
      <c r="K1117" s="64">
        <f>IFERROR(INDEX('1. Matriz de Activos'!$Q$6:$Q$239,MATCH($C1117,MgActId,0)),"")</f>
        <v/>
      </c>
      <c r="L1117" s="64">
        <f>IFERROR(INDEX('1. Matriz de Activos'!$R$6:$R$239,MATCH($C1117,MgActId,0)),"")</f>
        <v/>
      </c>
      <c r="M1117" s="64">
        <f>IFERROR(INDEX('1. Matriz de Activos'!$S$6:$S$239,MATCH($C1117,MgActId,0)),"")</f>
        <v/>
      </c>
      <c r="N1117" s="28">
        <f>IFERROR(INDEX(MgAmenDegD,MATCH(SUBSTITUTE($H1117,"*","-"),MgAmenClave,0)),"No aplica")</f>
        <v/>
      </c>
      <c r="O1117" s="28">
        <f>IFERROR(INDEX(MgAmenDegI,MATCH(SUBSTITUTE($H1117,"*","-"),MgAmenClave,0)),"No aplica")</f>
        <v/>
      </c>
      <c r="P1117" s="28">
        <f>IFERROR(INDEX(MgAmenDegC,MATCH(SUBSTITUTE($H1117,"*","-"),MgAmenClave,0)),"No aplica")</f>
        <v/>
      </c>
      <c r="Q1117" s="29">
        <f>IFERROR(VLOOKUP(K1117,MgValor,2,0)*VLOOKUP(N1117,MgDeg,2,0),0)</f>
        <v/>
      </c>
      <c r="R1117" s="29">
        <f>IFERROR(VLOOKUP(L1117,MgValor,2,0)*VLOOKUP(O1117,MgDeg,2,0),0)</f>
        <v/>
      </c>
      <c r="S1117" s="29">
        <f>IFERROR(VLOOKUP(M1117,MgValor,2,0)*VLOOKUP(P1117,MgDeg,2,0),0)</f>
        <v/>
      </c>
      <c r="T1117" s="30">
        <f>MAX(Q1117:S1117)</f>
        <v/>
      </c>
      <c r="U1117" s="28">
        <f>IFERROR(LOOKUP(T1117,{0;0.5;1.5;3;4.5},{"Despreciable";"Bajo";"Medio";"Alto";"Muy alto"}),"")</f>
        <v/>
      </c>
      <c r="V1117" s="13">
        <f>IFERROR(INDEX(MgAmenFrec,MATCH(SUBSTITUTE($H1117,"*","-"),MgAmenClave,0)),"")</f>
        <v/>
      </c>
      <c r="W1117" s="28">
        <f>IFERROR(LOOKUP(X1117,{0;0.01;0.1;1;10;100},{"Muy baja";"Muy baja";"Baja";"Media";"Alta";"Muy alta"}),"")</f>
        <v/>
      </c>
      <c r="X1117" s="31">
        <f>IFERROR(VLOOKUP(V1117,MgFrec,2,0),0)</f>
        <v/>
      </c>
      <c r="Y1117" s="30">
        <f>T1117*X1117</f>
        <v/>
      </c>
      <c r="Z1117" s="28">
        <f>IFERROR(LOOKUP(Y1117,{0;0.5;5;25},{"Bajo";"Medio";"Alto";"Crítico"}),"")</f>
        <v/>
      </c>
      <c r="AA1117" s="64">
        <f>IF(T1117&gt;=3,IF(X1117&gt;=1,"Zona 1 — Crítica: impacto alto y ocurre al menos una vez al año","Zona 4 — Catastrófica poco probable: impacto alto pero excepcional"),IF(AND(T1117&lt;1.5,X1117&lt;1),"Zona 3 — Asumible: impacto bajo y muy poco frecuente","Zona 2 — Atención: riesgo intermedio"))</f>
        <v/>
      </c>
      <c r="AB1117" s="64">
        <f>IFERROR(INDEX(MgAmenCtrl,MATCH(SUBSTITUTE($H1117,"*","-"),MgAmenClave,0)),"")</f>
        <v/>
      </c>
      <c r="AC1117" s="20" t="n"/>
      <c r="AD1117" s="31">
        <f>IFERROR($X1117*(1-IF($AC1117="",$AL1117,VLOOKUP($AC1117,MgMad,2,0))),"")</f>
        <v/>
      </c>
      <c r="AE1117" s="28">
        <f>IFERROR(LOOKUP(AD1117,{0;0.01;0.1;1;10;100},{"Muy baja";"Muy baja";"Baja";"Media";"Alta";"Muy alta"}),"")</f>
        <v/>
      </c>
      <c r="AF1117" s="30">
        <f>T1117*AD1117</f>
        <v/>
      </c>
      <c r="AG1117" s="28">
        <f>IFERROR(LOOKUP(AF1117,{0;0.5;5;25},{"Bajo";"Medio";"Alto";"Crítico"}),"")</f>
        <v/>
      </c>
      <c r="AH1117" s="28">
        <f>IF(AG1117="","",IF(OR(AG1117="Crítico",AG1117="Alto"),"Mitigar",IF(AG1117="Medio","Mitigar","Aceptar y monitorear")))</f>
        <v/>
      </c>
      <c r="AI1117" s="21" t="n"/>
      <c r="AJ1117" s="21" t="n"/>
      <c r="AK1117" s="20" t="n"/>
      <c r="AL1117" s="77">
        <f>IFERROR(INDEX(MgAmenEfic,MATCH(SUBSTITUTE($H1117,"*","-"),MgAmenClave,0)),0)</f>
        <v/>
      </c>
    </row>
    <row r="1118" hidden="1" ht="75" customHeight="1" s="54">
      <c r="B1118" s="59" t="inlineStr">
        <is>
          <t>R-1113</t>
        </is>
      </c>
      <c r="C1118" s="59" t="inlineStr">
        <is>
          <t>GH-021</t>
        </is>
      </c>
      <c r="D1118" s="64">
        <f>IFERROR(INDEX(MgNombre,MATCH($C1118,MgActId,0)),"")</f>
        <v/>
      </c>
      <c r="E1118" s="64">
        <f>IFERROR(INDEX(MgProceso,MATCH($C1118,MgActId,0)),"")</f>
        <v/>
      </c>
      <c r="F1118" s="64">
        <f>IFERROR(INDEX(MgTipo,MATCH($C1118,MgActId,0)),"")</f>
        <v/>
      </c>
      <c r="G1118" s="64">
        <f>IFERROR(INDEX(MgSubtipo,MATCH($C1118,MgActId,0)),"")</f>
        <v/>
      </c>
      <c r="H1118" s="59" t="inlineStr">
        <is>
          <t>E.3</t>
        </is>
      </c>
      <c r="I1118" s="64">
        <f>IFERROR(INDEX(MgAmenNombre,MATCH(SUBSTITUTE($H1118,"*","-"),MgAmenClave,0)),"")</f>
        <v/>
      </c>
      <c r="J1118" s="28">
        <f>IFERROR(INDEX(MgAmenGrupo,MATCH(SUBSTITUTE($H1118,"*","-"),MgAmenClave,0)),"")</f>
        <v/>
      </c>
      <c r="K1118" s="64">
        <f>IFERROR(INDEX('1. Matriz de Activos'!$Q$6:$Q$239,MATCH($C1118,MgActId,0)),"")</f>
        <v/>
      </c>
      <c r="L1118" s="64">
        <f>IFERROR(INDEX('1. Matriz de Activos'!$R$6:$R$239,MATCH($C1118,MgActId,0)),"")</f>
        <v/>
      </c>
      <c r="M1118" s="64">
        <f>IFERROR(INDEX('1. Matriz de Activos'!$S$6:$S$239,MATCH($C1118,MgActId,0)),"")</f>
        <v/>
      </c>
      <c r="N1118" s="28">
        <f>IFERROR(INDEX(MgAmenDegD,MATCH(SUBSTITUTE($H1118,"*","-"),MgAmenClave,0)),"No aplica")</f>
        <v/>
      </c>
      <c r="O1118" s="28">
        <f>IFERROR(INDEX(MgAmenDegI,MATCH(SUBSTITUTE($H1118,"*","-"),MgAmenClave,0)),"No aplica")</f>
        <v/>
      </c>
      <c r="P1118" s="28">
        <f>IFERROR(INDEX(MgAmenDegC,MATCH(SUBSTITUTE($H1118,"*","-"),MgAmenClave,0)),"No aplica")</f>
        <v/>
      </c>
      <c r="Q1118" s="29">
        <f>IFERROR(VLOOKUP(K1118,MgValor,2,0)*VLOOKUP(N1118,MgDeg,2,0),0)</f>
        <v/>
      </c>
      <c r="R1118" s="29">
        <f>IFERROR(VLOOKUP(L1118,MgValor,2,0)*VLOOKUP(O1118,MgDeg,2,0),0)</f>
        <v/>
      </c>
      <c r="S1118" s="29">
        <f>IFERROR(VLOOKUP(M1118,MgValor,2,0)*VLOOKUP(P1118,MgDeg,2,0),0)</f>
        <v/>
      </c>
      <c r="T1118" s="30">
        <f>MAX(Q1118:S1118)</f>
        <v/>
      </c>
      <c r="U1118" s="28">
        <f>IFERROR(LOOKUP(T1118,{0;0.5;1.5;3;4.5},{"Despreciable";"Bajo";"Medio";"Alto";"Muy alto"}),"")</f>
        <v/>
      </c>
      <c r="V1118" s="13">
        <f>IFERROR(INDEX(MgAmenFrec,MATCH(SUBSTITUTE($H1118,"*","-"),MgAmenClave,0)),"")</f>
        <v/>
      </c>
      <c r="W1118" s="28">
        <f>IFERROR(LOOKUP(X1118,{0;0.01;0.1;1;10;100},{"Muy baja";"Muy baja";"Baja";"Media";"Alta";"Muy alta"}),"")</f>
        <v/>
      </c>
      <c r="X1118" s="31">
        <f>IFERROR(VLOOKUP(V1118,MgFrec,2,0),0)</f>
        <v/>
      </c>
      <c r="Y1118" s="30">
        <f>T1118*X1118</f>
        <v/>
      </c>
      <c r="Z1118" s="28">
        <f>IFERROR(LOOKUP(Y1118,{0;0.5;5;25},{"Bajo";"Medio";"Alto";"Crítico"}),"")</f>
        <v/>
      </c>
      <c r="AA1118" s="64">
        <f>IF(T1118&gt;=3,IF(X1118&gt;=1,"Zona 1 — Crítica: impacto alto y ocurre al menos una vez al año","Zona 4 — Catastrófica poco probable: impacto alto pero excepcional"),IF(AND(T1118&lt;1.5,X1118&lt;1),"Zona 3 — Asumible: impacto bajo y muy poco frecuente","Zona 2 — Atención: riesgo intermedio"))</f>
        <v/>
      </c>
      <c r="AB1118" s="64">
        <f>IFERROR(INDEX(MgAmenCtrl,MATCH(SUBSTITUTE($H1118,"*","-"),MgAmenClave,0)),"")</f>
        <v/>
      </c>
      <c r="AC1118" s="20" t="n"/>
      <c r="AD1118" s="31">
        <f>IFERROR($X1118*(1-IF($AC1118="",$AL1118,VLOOKUP($AC1118,MgMad,2,0))),"")</f>
        <v/>
      </c>
      <c r="AE1118" s="28">
        <f>IFERROR(LOOKUP(AD1118,{0;0.01;0.1;1;10;100},{"Muy baja";"Muy baja";"Baja";"Media";"Alta";"Muy alta"}),"")</f>
        <v/>
      </c>
      <c r="AF1118" s="30">
        <f>T1118*AD1118</f>
        <v/>
      </c>
      <c r="AG1118" s="28">
        <f>IFERROR(LOOKUP(AF1118,{0;0.5;5;25},{"Bajo";"Medio";"Alto";"Crítico"}),"")</f>
        <v/>
      </c>
      <c r="AH1118" s="28">
        <f>IF(AG1118="","",IF(OR(AG1118="Crítico",AG1118="Alto"),"Mitigar",IF(AG1118="Medio","Mitigar","Aceptar y monitorear")))</f>
        <v/>
      </c>
      <c r="AI1118" s="21" t="n"/>
      <c r="AJ1118" s="21" t="n"/>
      <c r="AK1118" s="20" t="n"/>
      <c r="AL1118" s="77">
        <f>IFERROR(INDEX(MgAmenEfic,MATCH(SUBSTITUTE($H1118,"*","-"),MgAmenClave,0)),0)</f>
        <v/>
      </c>
    </row>
    <row r="1119" hidden="1" ht="75" customHeight="1" s="54">
      <c r="B1119" s="59" t="inlineStr">
        <is>
          <t>R-1114</t>
        </is>
      </c>
      <c r="C1119" s="59" t="inlineStr">
        <is>
          <t>GH-021</t>
        </is>
      </c>
      <c r="D1119" s="64">
        <f>IFERROR(INDEX(MgNombre,MATCH($C1119,MgActId,0)),"")</f>
        <v/>
      </c>
      <c r="E1119" s="64">
        <f>IFERROR(INDEX(MgProceso,MATCH($C1119,MgActId,0)),"")</f>
        <v/>
      </c>
      <c r="F1119" s="64">
        <f>IFERROR(INDEX(MgTipo,MATCH($C1119,MgActId,0)),"")</f>
        <v/>
      </c>
      <c r="G1119" s="64">
        <f>IFERROR(INDEX(MgSubtipo,MATCH($C1119,MgActId,0)),"")</f>
        <v/>
      </c>
      <c r="H1119" s="59" t="inlineStr">
        <is>
          <t>E.4</t>
        </is>
      </c>
      <c r="I1119" s="64">
        <f>IFERROR(INDEX(MgAmenNombre,MATCH(SUBSTITUTE($H1119,"*","-"),MgAmenClave,0)),"")</f>
        <v/>
      </c>
      <c r="J1119" s="28">
        <f>IFERROR(INDEX(MgAmenGrupo,MATCH(SUBSTITUTE($H1119,"*","-"),MgAmenClave,0)),"")</f>
        <v/>
      </c>
      <c r="K1119" s="64">
        <f>IFERROR(INDEX('1. Matriz de Activos'!$Q$6:$Q$239,MATCH($C1119,MgActId,0)),"")</f>
        <v/>
      </c>
      <c r="L1119" s="64">
        <f>IFERROR(INDEX('1. Matriz de Activos'!$R$6:$R$239,MATCH($C1119,MgActId,0)),"")</f>
        <v/>
      </c>
      <c r="M1119" s="64">
        <f>IFERROR(INDEX('1. Matriz de Activos'!$S$6:$S$239,MATCH($C1119,MgActId,0)),"")</f>
        <v/>
      </c>
      <c r="N1119" s="28">
        <f>IFERROR(INDEX(MgAmenDegD,MATCH(SUBSTITUTE($H1119,"*","-"),MgAmenClave,0)),"No aplica")</f>
        <v/>
      </c>
      <c r="O1119" s="28">
        <f>IFERROR(INDEX(MgAmenDegI,MATCH(SUBSTITUTE($H1119,"*","-"),MgAmenClave,0)),"No aplica")</f>
        <v/>
      </c>
      <c r="P1119" s="28">
        <f>IFERROR(INDEX(MgAmenDegC,MATCH(SUBSTITUTE($H1119,"*","-"),MgAmenClave,0)),"No aplica")</f>
        <v/>
      </c>
      <c r="Q1119" s="29">
        <f>IFERROR(VLOOKUP(K1119,MgValor,2,0)*VLOOKUP(N1119,MgDeg,2,0),0)</f>
        <v/>
      </c>
      <c r="R1119" s="29">
        <f>IFERROR(VLOOKUP(L1119,MgValor,2,0)*VLOOKUP(O1119,MgDeg,2,0),0)</f>
        <v/>
      </c>
      <c r="S1119" s="29">
        <f>IFERROR(VLOOKUP(M1119,MgValor,2,0)*VLOOKUP(P1119,MgDeg,2,0),0)</f>
        <v/>
      </c>
      <c r="T1119" s="30">
        <f>MAX(Q1119:S1119)</f>
        <v/>
      </c>
      <c r="U1119" s="28">
        <f>IFERROR(LOOKUP(T1119,{0;0.5;1.5;3;4.5},{"Despreciable";"Bajo";"Medio";"Alto";"Muy alto"}),"")</f>
        <v/>
      </c>
      <c r="V1119" s="13">
        <f>IFERROR(INDEX(MgAmenFrec,MATCH(SUBSTITUTE($H1119,"*","-"),MgAmenClave,0)),"")</f>
        <v/>
      </c>
      <c r="W1119" s="28">
        <f>IFERROR(LOOKUP(X1119,{0;0.01;0.1;1;10;100},{"Muy baja";"Muy baja";"Baja";"Media";"Alta";"Muy alta"}),"")</f>
        <v/>
      </c>
      <c r="X1119" s="31">
        <f>IFERROR(VLOOKUP(V1119,MgFrec,2,0),0)</f>
        <v/>
      </c>
      <c r="Y1119" s="30">
        <f>T1119*X1119</f>
        <v/>
      </c>
      <c r="Z1119" s="28">
        <f>IFERROR(LOOKUP(Y1119,{0;0.5;5;25},{"Bajo";"Medio";"Alto";"Crítico"}),"")</f>
        <v/>
      </c>
      <c r="AA1119" s="64">
        <f>IF(T1119&gt;=3,IF(X1119&gt;=1,"Zona 1 — Crítica: impacto alto y ocurre al menos una vez al año","Zona 4 — Catastrófica poco probable: impacto alto pero excepcional"),IF(AND(T1119&lt;1.5,X1119&lt;1),"Zona 3 — Asumible: impacto bajo y muy poco frecuente","Zona 2 — Atención: riesgo intermedio"))</f>
        <v/>
      </c>
      <c r="AB1119" s="64">
        <f>IFERROR(INDEX(MgAmenCtrl,MATCH(SUBSTITUTE($H1119,"*","-"),MgAmenClave,0)),"")</f>
        <v/>
      </c>
      <c r="AC1119" s="20" t="n"/>
      <c r="AD1119" s="31">
        <f>IFERROR($X1119*(1-IF($AC1119="",$AL1119,VLOOKUP($AC1119,MgMad,2,0))),"")</f>
        <v/>
      </c>
      <c r="AE1119" s="28">
        <f>IFERROR(LOOKUP(AD1119,{0;0.01;0.1;1;10;100},{"Muy baja";"Muy baja";"Baja";"Media";"Alta";"Muy alta"}),"")</f>
        <v/>
      </c>
      <c r="AF1119" s="30">
        <f>T1119*AD1119</f>
        <v/>
      </c>
      <c r="AG1119" s="28">
        <f>IFERROR(LOOKUP(AF1119,{0;0.5;5;25},{"Bajo";"Medio";"Alto";"Crítico"}),"")</f>
        <v/>
      </c>
      <c r="AH1119" s="28">
        <f>IF(AG1119="","",IF(OR(AG1119="Crítico",AG1119="Alto"),"Mitigar",IF(AG1119="Medio","Mitigar","Aceptar y monitorear")))</f>
        <v/>
      </c>
      <c r="AI1119" s="21" t="n"/>
      <c r="AJ1119" s="21" t="n"/>
      <c r="AK1119" s="20" t="n"/>
      <c r="AL1119" s="77">
        <f>IFERROR(INDEX(MgAmenEfic,MATCH(SUBSTITUTE($H1119,"*","-"),MgAmenClave,0)),0)</f>
        <v/>
      </c>
    </row>
    <row r="1120" hidden="1" ht="90" customHeight="1" s="54">
      <c r="B1120" s="59" t="inlineStr">
        <is>
          <t>R-1115</t>
        </is>
      </c>
      <c r="C1120" s="59" t="inlineStr">
        <is>
          <t>GH-021</t>
        </is>
      </c>
      <c r="D1120" s="64">
        <f>IFERROR(INDEX(MgNombre,MATCH($C1120,MgActId,0)),"")</f>
        <v/>
      </c>
      <c r="E1120" s="64">
        <f>IFERROR(INDEX(MgProceso,MATCH($C1120,MgActId,0)),"")</f>
        <v/>
      </c>
      <c r="F1120" s="64">
        <f>IFERROR(INDEX(MgTipo,MATCH($C1120,MgActId,0)),"")</f>
        <v/>
      </c>
      <c r="G1120" s="64">
        <f>IFERROR(INDEX(MgSubtipo,MATCH($C1120,MgActId,0)),"")</f>
        <v/>
      </c>
      <c r="H1120" s="59" t="inlineStr">
        <is>
          <t>E.14</t>
        </is>
      </c>
      <c r="I1120" s="64">
        <f>IFERROR(INDEX(MgAmenNombre,MATCH(SUBSTITUTE($H1120,"*","-"),MgAmenClave,0)),"")</f>
        <v/>
      </c>
      <c r="J1120" s="28">
        <f>IFERROR(INDEX(MgAmenGrupo,MATCH(SUBSTITUTE($H1120,"*","-"),MgAmenClave,0)),"")</f>
        <v/>
      </c>
      <c r="K1120" s="64">
        <f>IFERROR(INDEX('1. Matriz de Activos'!$Q$6:$Q$239,MATCH($C1120,MgActId,0)),"")</f>
        <v/>
      </c>
      <c r="L1120" s="64">
        <f>IFERROR(INDEX('1. Matriz de Activos'!$R$6:$R$239,MATCH($C1120,MgActId,0)),"")</f>
        <v/>
      </c>
      <c r="M1120" s="64">
        <f>IFERROR(INDEX('1. Matriz de Activos'!$S$6:$S$239,MATCH($C1120,MgActId,0)),"")</f>
        <v/>
      </c>
      <c r="N1120" s="28">
        <f>IFERROR(INDEX(MgAmenDegD,MATCH(SUBSTITUTE($H1120,"*","-"),MgAmenClave,0)),"No aplica")</f>
        <v/>
      </c>
      <c r="O1120" s="28">
        <f>IFERROR(INDEX(MgAmenDegI,MATCH(SUBSTITUTE($H1120,"*","-"),MgAmenClave,0)),"No aplica")</f>
        <v/>
      </c>
      <c r="P1120" s="28">
        <f>IFERROR(INDEX(MgAmenDegC,MATCH(SUBSTITUTE($H1120,"*","-"),MgAmenClave,0)),"No aplica")</f>
        <v/>
      </c>
      <c r="Q1120" s="29">
        <f>IFERROR(VLOOKUP(K1120,MgValor,2,0)*VLOOKUP(N1120,MgDeg,2,0),0)</f>
        <v/>
      </c>
      <c r="R1120" s="29">
        <f>IFERROR(VLOOKUP(L1120,MgValor,2,0)*VLOOKUP(O1120,MgDeg,2,0),0)</f>
        <v/>
      </c>
      <c r="S1120" s="29">
        <f>IFERROR(VLOOKUP(M1120,MgValor,2,0)*VLOOKUP(P1120,MgDeg,2,0),0)</f>
        <v/>
      </c>
      <c r="T1120" s="30">
        <f>MAX(Q1120:S1120)</f>
        <v/>
      </c>
      <c r="U1120" s="28">
        <f>IFERROR(LOOKUP(T1120,{0;0.5;1.5;3;4.5},{"Despreciable";"Bajo";"Medio";"Alto";"Muy alto"}),"")</f>
        <v/>
      </c>
      <c r="V1120" s="13">
        <f>IFERROR(INDEX(MgAmenFrec,MATCH(SUBSTITUTE($H1120,"*","-"),MgAmenClave,0)),"")</f>
        <v/>
      </c>
      <c r="W1120" s="28">
        <f>IFERROR(LOOKUP(X1120,{0;0.01;0.1;1;10;100},{"Muy baja";"Muy baja";"Baja";"Media";"Alta";"Muy alta"}),"")</f>
        <v/>
      </c>
      <c r="X1120" s="31">
        <f>IFERROR(VLOOKUP(V1120,MgFrec,2,0),0)</f>
        <v/>
      </c>
      <c r="Y1120" s="30">
        <f>T1120*X1120</f>
        <v/>
      </c>
      <c r="Z1120" s="28">
        <f>IFERROR(LOOKUP(Y1120,{0;0.5;5;25},{"Bajo";"Medio";"Alto";"Crítico"}),"")</f>
        <v/>
      </c>
      <c r="AA1120" s="64">
        <f>IF(T1120&gt;=3,IF(X1120&gt;=1,"Zona 1 — Crítica: impacto alto y ocurre al menos una vez al año","Zona 4 — Catastrófica poco probable: impacto alto pero excepcional"),IF(AND(T1120&lt;1.5,X1120&lt;1),"Zona 3 — Asumible: impacto bajo y muy poco frecuente","Zona 2 — Atención: riesgo intermedio"))</f>
        <v/>
      </c>
      <c r="AB1120" s="64">
        <f>IFERROR(INDEX(MgAmenCtrl,MATCH(SUBSTITUTE($H1120,"*","-"),MgAmenClave,0)),"")</f>
        <v/>
      </c>
      <c r="AC1120" s="20" t="n"/>
      <c r="AD1120" s="31">
        <f>IFERROR($X1120*(1-IF($AC1120="",$AL1120,VLOOKUP($AC1120,MgMad,2,0))),"")</f>
        <v/>
      </c>
      <c r="AE1120" s="28">
        <f>IFERROR(LOOKUP(AD1120,{0;0.01;0.1;1;10;100},{"Muy baja";"Muy baja";"Baja";"Media";"Alta";"Muy alta"}),"")</f>
        <v/>
      </c>
      <c r="AF1120" s="30">
        <f>T1120*AD1120</f>
        <v/>
      </c>
      <c r="AG1120" s="28">
        <f>IFERROR(LOOKUP(AF1120,{0;0.5;5;25},{"Bajo";"Medio";"Alto";"Crítico"}),"")</f>
        <v/>
      </c>
      <c r="AH1120" s="28">
        <f>IF(AG1120="","",IF(OR(AG1120="Crítico",AG1120="Alto"),"Mitigar",IF(AG1120="Medio","Mitigar","Aceptar y monitorear")))</f>
        <v/>
      </c>
      <c r="AI1120" s="21" t="n"/>
      <c r="AJ1120" s="21" t="n"/>
      <c r="AK1120" s="20" t="n"/>
      <c r="AL1120" s="77">
        <f>IFERROR(INDEX(MgAmenEfic,MATCH(SUBSTITUTE($H1120,"*","-"),MgAmenClave,0)),0)</f>
        <v/>
      </c>
    </row>
    <row r="1121" hidden="1" ht="90" customHeight="1" s="54">
      <c r="B1121" s="59" t="inlineStr">
        <is>
          <t>R-1116</t>
        </is>
      </c>
      <c r="C1121" s="59" t="inlineStr">
        <is>
          <t>GH-021</t>
        </is>
      </c>
      <c r="D1121" s="64">
        <f>IFERROR(INDEX(MgNombre,MATCH($C1121,MgActId,0)),"")</f>
        <v/>
      </c>
      <c r="E1121" s="64">
        <f>IFERROR(INDEX(MgProceso,MATCH($C1121,MgActId,0)),"")</f>
        <v/>
      </c>
      <c r="F1121" s="64">
        <f>IFERROR(INDEX(MgTipo,MATCH($C1121,MgActId,0)),"")</f>
        <v/>
      </c>
      <c r="G1121" s="64">
        <f>IFERROR(INDEX(MgSubtipo,MATCH($C1121,MgActId,0)),"")</f>
        <v/>
      </c>
      <c r="H1121" s="59" t="inlineStr">
        <is>
          <t>E.15</t>
        </is>
      </c>
      <c r="I1121" s="64">
        <f>IFERROR(INDEX(MgAmenNombre,MATCH(SUBSTITUTE($H1121,"*","-"),MgAmenClave,0)),"")</f>
        <v/>
      </c>
      <c r="J1121" s="28">
        <f>IFERROR(INDEX(MgAmenGrupo,MATCH(SUBSTITUTE($H1121,"*","-"),MgAmenClave,0)),"")</f>
        <v/>
      </c>
      <c r="K1121" s="64">
        <f>IFERROR(INDEX('1. Matriz de Activos'!$Q$6:$Q$239,MATCH($C1121,MgActId,0)),"")</f>
        <v/>
      </c>
      <c r="L1121" s="64">
        <f>IFERROR(INDEX('1. Matriz de Activos'!$R$6:$R$239,MATCH($C1121,MgActId,0)),"")</f>
        <v/>
      </c>
      <c r="M1121" s="64">
        <f>IFERROR(INDEX('1. Matriz de Activos'!$S$6:$S$239,MATCH($C1121,MgActId,0)),"")</f>
        <v/>
      </c>
      <c r="N1121" s="28">
        <f>IFERROR(INDEX(MgAmenDegD,MATCH(SUBSTITUTE($H1121,"*","-"),MgAmenClave,0)),"No aplica")</f>
        <v/>
      </c>
      <c r="O1121" s="28">
        <f>IFERROR(INDEX(MgAmenDegI,MATCH(SUBSTITUTE($H1121,"*","-"),MgAmenClave,0)),"No aplica")</f>
        <v/>
      </c>
      <c r="P1121" s="28">
        <f>IFERROR(INDEX(MgAmenDegC,MATCH(SUBSTITUTE($H1121,"*","-"),MgAmenClave,0)),"No aplica")</f>
        <v/>
      </c>
      <c r="Q1121" s="29">
        <f>IFERROR(VLOOKUP(K1121,MgValor,2,0)*VLOOKUP(N1121,MgDeg,2,0),0)</f>
        <v/>
      </c>
      <c r="R1121" s="29">
        <f>IFERROR(VLOOKUP(L1121,MgValor,2,0)*VLOOKUP(O1121,MgDeg,2,0),0)</f>
        <v/>
      </c>
      <c r="S1121" s="29">
        <f>IFERROR(VLOOKUP(M1121,MgValor,2,0)*VLOOKUP(P1121,MgDeg,2,0),0)</f>
        <v/>
      </c>
      <c r="T1121" s="30">
        <f>MAX(Q1121:S1121)</f>
        <v/>
      </c>
      <c r="U1121" s="28">
        <f>IFERROR(LOOKUP(T1121,{0;0.5;1.5;3;4.5},{"Despreciable";"Bajo";"Medio";"Alto";"Muy alto"}),"")</f>
        <v/>
      </c>
      <c r="V1121" s="13">
        <f>IFERROR(INDEX(MgAmenFrec,MATCH(SUBSTITUTE($H1121,"*","-"),MgAmenClave,0)),"")</f>
        <v/>
      </c>
      <c r="W1121" s="28">
        <f>IFERROR(LOOKUP(X1121,{0;0.01;0.1;1;10;100},{"Muy baja";"Muy baja";"Baja";"Media";"Alta";"Muy alta"}),"")</f>
        <v/>
      </c>
      <c r="X1121" s="31">
        <f>IFERROR(VLOOKUP(V1121,MgFrec,2,0),0)</f>
        <v/>
      </c>
      <c r="Y1121" s="30">
        <f>T1121*X1121</f>
        <v/>
      </c>
      <c r="Z1121" s="28">
        <f>IFERROR(LOOKUP(Y1121,{0;0.5;5;25},{"Bajo";"Medio";"Alto";"Crítico"}),"")</f>
        <v/>
      </c>
      <c r="AA1121" s="64">
        <f>IF(T1121&gt;=3,IF(X1121&gt;=1,"Zona 1 — Crítica: impacto alto y ocurre al menos una vez al año","Zona 4 — Catastrófica poco probable: impacto alto pero excepcional"),IF(AND(T1121&lt;1.5,X1121&lt;1),"Zona 3 — Asumible: impacto bajo y muy poco frecuente","Zona 2 — Atención: riesgo intermedio"))</f>
        <v/>
      </c>
      <c r="AB1121" s="64">
        <f>IFERROR(INDEX(MgAmenCtrl,MATCH(SUBSTITUTE($H1121,"*","-"),MgAmenClave,0)),"")</f>
        <v/>
      </c>
      <c r="AC1121" s="20" t="n"/>
      <c r="AD1121" s="31">
        <f>IFERROR($X1121*(1-IF($AC1121="",$AL1121,VLOOKUP($AC1121,MgMad,2,0))),"")</f>
        <v/>
      </c>
      <c r="AE1121" s="28">
        <f>IFERROR(LOOKUP(AD1121,{0;0.01;0.1;1;10;100},{"Muy baja";"Muy baja";"Baja";"Media";"Alta";"Muy alta"}),"")</f>
        <v/>
      </c>
      <c r="AF1121" s="30">
        <f>T1121*AD1121</f>
        <v/>
      </c>
      <c r="AG1121" s="28">
        <f>IFERROR(LOOKUP(AF1121,{0;0.5;5;25},{"Bajo";"Medio";"Alto";"Crítico"}),"")</f>
        <v/>
      </c>
      <c r="AH1121" s="28">
        <f>IF(AG1121="","",IF(OR(AG1121="Crítico",AG1121="Alto"),"Mitigar",IF(AG1121="Medio","Mitigar","Aceptar y monitorear")))</f>
        <v/>
      </c>
      <c r="AI1121" s="21" t="n"/>
      <c r="AJ1121" s="21" t="n"/>
      <c r="AK1121" s="20" t="n"/>
      <c r="AL1121" s="77">
        <f>IFERROR(INDEX(MgAmenEfic,MATCH(SUBSTITUTE($H1121,"*","-"),MgAmenClave,0)),0)</f>
        <v/>
      </c>
    </row>
    <row r="1122" hidden="1" ht="60" customHeight="1" s="54">
      <c r="B1122" s="59" t="inlineStr">
        <is>
          <t>R-1117</t>
        </is>
      </c>
      <c r="C1122" s="59" t="inlineStr">
        <is>
          <t>GH-021</t>
        </is>
      </c>
      <c r="D1122" s="64">
        <f>IFERROR(INDEX(MgNombre,MATCH($C1122,MgActId,0)),"")</f>
        <v/>
      </c>
      <c r="E1122" s="64">
        <f>IFERROR(INDEX(MgProceso,MATCH($C1122,MgActId,0)),"")</f>
        <v/>
      </c>
      <c r="F1122" s="64">
        <f>IFERROR(INDEX(MgTipo,MATCH($C1122,MgActId,0)),"")</f>
        <v/>
      </c>
      <c r="G1122" s="64">
        <f>IFERROR(INDEX(MgSubtipo,MATCH($C1122,MgActId,0)),"")</f>
        <v/>
      </c>
      <c r="H1122" s="59" t="inlineStr">
        <is>
          <t>E.18</t>
        </is>
      </c>
      <c r="I1122" s="64">
        <f>IFERROR(INDEX(MgAmenNombre,MATCH(SUBSTITUTE($H1122,"*","-"),MgAmenClave,0)),"")</f>
        <v/>
      </c>
      <c r="J1122" s="28">
        <f>IFERROR(INDEX(MgAmenGrupo,MATCH(SUBSTITUTE($H1122,"*","-"),MgAmenClave,0)),"")</f>
        <v/>
      </c>
      <c r="K1122" s="64">
        <f>IFERROR(INDEX('1. Matriz de Activos'!$Q$6:$Q$239,MATCH($C1122,MgActId,0)),"")</f>
        <v/>
      </c>
      <c r="L1122" s="64">
        <f>IFERROR(INDEX('1. Matriz de Activos'!$R$6:$R$239,MATCH($C1122,MgActId,0)),"")</f>
        <v/>
      </c>
      <c r="M1122" s="64">
        <f>IFERROR(INDEX('1. Matriz de Activos'!$S$6:$S$239,MATCH($C1122,MgActId,0)),"")</f>
        <v/>
      </c>
      <c r="N1122" s="28">
        <f>IFERROR(INDEX(MgAmenDegD,MATCH(SUBSTITUTE($H1122,"*","-"),MgAmenClave,0)),"No aplica")</f>
        <v/>
      </c>
      <c r="O1122" s="28">
        <f>IFERROR(INDEX(MgAmenDegI,MATCH(SUBSTITUTE($H1122,"*","-"),MgAmenClave,0)),"No aplica")</f>
        <v/>
      </c>
      <c r="P1122" s="28">
        <f>IFERROR(INDEX(MgAmenDegC,MATCH(SUBSTITUTE($H1122,"*","-"),MgAmenClave,0)),"No aplica")</f>
        <v/>
      </c>
      <c r="Q1122" s="29">
        <f>IFERROR(VLOOKUP(K1122,MgValor,2,0)*VLOOKUP(N1122,MgDeg,2,0),0)</f>
        <v/>
      </c>
      <c r="R1122" s="29">
        <f>IFERROR(VLOOKUP(L1122,MgValor,2,0)*VLOOKUP(O1122,MgDeg,2,0),0)</f>
        <v/>
      </c>
      <c r="S1122" s="29">
        <f>IFERROR(VLOOKUP(M1122,MgValor,2,0)*VLOOKUP(P1122,MgDeg,2,0),0)</f>
        <v/>
      </c>
      <c r="T1122" s="30">
        <f>MAX(Q1122:S1122)</f>
        <v/>
      </c>
      <c r="U1122" s="28">
        <f>IFERROR(LOOKUP(T1122,{0;0.5;1.5;3;4.5},{"Despreciable";"Bajo";"Medio";"Alto";"Muy alto"}),"")</f>
        <v/>
      </c>
      <c r="V1122" s="13">
        <f>IFERROR(INDEX(MgAmenFrec,MATCH(SUBSTITUTE($H1122,"*","-"),MgAmenClave,0)),"")</f>
        <v/>
      </c>
      <c r="W1122" s="28">
        <f>IFERROR(LOOKUP(X1122,{0;0.01;0.1;1;10;100},{"Muy baja";"Muy baja";"Baja";"Media";"Alta";"Muy alta"}),"")</f>
        <v/>
      </c>
      <c r="X1122" s="31">
        <f>IFERROR(VLOOKUP(V1122,MgFrec,2,0),0)</f>
        <v/>
      </c>
      <c r="Y1122" s="30">
        <f>T1122*X1122</f>
        <v/>
      </c>
      <c r="Z1122" s="28">
        <f>IFERROR(LOOKUP(Y1122,{0;0.5;5;25},{"Bajo";"Medio";"Alto";"Crítico"}),"")</f>
        <v/>
      </c>
      <c r="AA1122" s="64">
        <f>IF(T1122&gt;=3,IF(X1122&gt;=1,"Zona 1 — Crítica: impacto alto y ocurre al menos una vez al año","Zona 4 — Catastrófica poco probable: impacto alto pero excepcional"),IF(AND(T1122&lt;1.5,X1122&lt;1),"Zona 3 — Asumible: impacto bajo y muy poco frecuente","Zona 2 — Atención: riesgo intermedio"))</f>
        <v/>
      </c>
      <c r="AB1122" s="64">
        <f>IFERROR(INDEX(MgAmenCtrl,MATCH(SUBSTITUTE($H1122,"*","-"),MgAmenClave,0)),"")</f>
        <v/>
      </c>
      <c r="AC1122" s="20" t="n"/>
      <c r="AD1122" s="31">
        <f>IFERROR($X1122*(1-IF($AC1122="",$AL1122,VLOOKUP($AC1122,MgMad,2,0))),"")</f>
        <v/>
      </c>
      <c r="AE1122" s="28">
        <f>IFERROR(LOOKUP(AD1122,{0;0.01;0.1;1;10;100},{"Muy baja";"Muy baja";"Baja";"Media";"Alta";"Muy alta"}),"")</f>
        <v/>
      </c>
      <c r="AF1122" s="30">
        <f>T1122*AD1122</f>
        <v/>
      </c>
      <c r="AG1122" s="28">
        <f>IFERROR(LOOKUP(AF1122,{0;0.5;5;25},{"Bajo";"Medio";"Alto";"Crítico"}),"")</f>
        <v/>
      </c>
      <c r="AH1122" s="28">
        <f>IF(AG1122="","",IF(OR(AG1122="Crítico",AG1122="Alto"),"Mitigar",IF(AG1122="Medio","Mitigar","Aceptar y monitorear")))</f>
        <v/>
      </c>
      <c r="AI1122" s="21" t="n"/>
      <c r="AJ1122" s="21" t="n"/>
      <c r="AK1122" s="20" t="n"/>
      <c r="AL1122" s="77">
        <f>IFERROR(INDEX(MgAmenEfic,MATCH(SUBSTITUTE($H1122,"*","-"),MgAmenClave,0)),0)</f>
        <v/>
      </c>
    </row>
    <row r="1123" hidden="1" ht="105" customHeight="1" s="54">
      <c r="B1123" s="59" t="inlineStr">
        <is>
          <t>R-1118</t>
        </is>
      </c>
      <c r="C1123" s="59" t="inlineStr">
        <is>
          <t>GH-021</t>
        </is>
      </c>
      <c r="D1123" s="64">
        <f>IFERROR(INDEX(MgNombre,MATCH($C1123,MgActId,0)),"")</f>
        <v/>
      </c>
      <c r="E1123" s="64">
        <f>IFERROR(INDEX(MgProceso,MATCH($C1123,MgActId,0)),"")</f>
        <v/>
      </c>
      <c r="F1123" s="64">
        <f>IFERROR(INDEX(MgTipo,MATCH($C1123,MgActId,0)),"")</f>
        <v/>
      </c>
      <c r="G1123" s="64">
        <f>IFERROR(INDEX(MgSubtipo,MATCH($C1123,MgActId,0)),"")</f>
        <v/>
      </c>
      <c r="H1123" s="59" t="inlineStr">
        <is>
          <t>E.19</t>
        </is>
      </c>
      <c r="I1123" s="64">
        <f>IFERROR(INDEX(MgAmenNombre,MATCH(SUBSTITUTE($H1123,"*","-"),MgAmenClave,0)),"")</f>
        <v/>
      </c>
      <c r="J1123" s="28">
        <f>IFERROR(INDEX(MgAmenGrupo,MATCH(SUBSTITUTE($H1123,"*","-"),MgAmenClave,0)),"")</f>
        <v/>
      </c>
      <c r="K1123" s="64">
        <f>IFERROR(INDEX('1. Matriz de Activos'!$Q$6:$Q$239,MATCH($C1123,MgActId,0)),"")</f>
        <v/>
      </c>
      <c r="L1123" s="64">
        <f>IFERROR(INDEX('1. Matriz de Activos'!$R$6:$R$239,MATCH($C1123,MgActId,0)),"")</f>
        <v/>
      </c>
      <c r="M1123" s="64">
        <f>IFERROR(INDEX('1. Matriz de Activos'!$S$6:$S$239,MATCH($C1123,MgActId,0)),"")</f>
        <v/>
      </c>
      <c r="N1123" s="28">
        <f>IFERROR(INDEX(MgAmenDegD,MATCH(SUBSTITUTE($H1123,"*","-"),MgAmenClave,0)),"No aplica")</f>
        <v/>
      </c>
      <c r="O1123" s="28">
        <f>IFERROR(INDEX(MgAmenDegI,MATCH(SUBSTITUTE($H1123,"*","-"),MgAmenClave,0)),"No aplica")</f>
        <v/>
      </c>
      <c r="P1123" s="28">
        <f>IFERROR(INDEX(MgAmenDegC,MATCH(SUBSTITUTE($H1123,"*","-"),MgAmenClave,0)),"No aplica")</f>
        <v/>
      </c>
      <c r="Q1123" s="29">
        <f>IFERROR(VLOOKUP(K1123,MgValor,2,0)*VLOOKUP(N1123,MgDeg,2,0),0)</f>
        <v/>
      </c>
      <c r="R1123" s="29">
        <f>IFERROR(VLOOKUP(L1123,MgValor,2,0)*VLOOKUP(O1123,MgDeg,2,0),0)</f>
        <v/>
      </c>
      <c r="S1123" s="29">
        <f>IFERROR(VLOOKUP(M1123,MgValor,2,0)*VLOOKUP(P1123,MgDeg,2,0),0)</f>
        <v/>
      </c>
      <c r="T1123" s="30">
        <f>MAX(Q1123:S1123)</f>
        <v/>
      </c>
      <c r="U1123" s="28">
        <f>IFERROR(LOOKUP(T1123,{0;0.5;1.5;3;4.5},{"Despreciable";"Bajo";"Medio";"Alto";"Muy alto"}),"")</f>
        <v/>
      </c>
      <c r="V1123" s="13">
        <f>IFERROR(INDEX(MgAmenFrec,MATCH(SUBSTITUTE($H1123,"*","-"),MgAmenClave,0)),"")</f>
        <v/>
      </c>
      <c r="W1123" s="28">
        <f>IFERROR(LOOKUP(X1123,{0;0.01;0.1;1;10;100},{"Muy baja";"Muy baja";"Baja";"Media";"Alta";"Muy alta"}),"")</f>
        <v/>
      </c>
      <c r="X1123" s="31">
        <f>IFERROR(VLOOKUP(V1123,MgFrec,2,0),0)</f>
        <v/>
      </c>
      <c r="Y1123" s="30">
        <f>T1123*X1123</f>
        <v/>
      </c>
      <c r="Z1123" s="28">
        <f>IFERROR(LOOKUP(Y1123,{0;0.5;5;25},{"Bajo";"Medio";"Alto";"Crítico"}),"")</f>
        <v/>
      </c>
      <c r="AA1123" s="64">
        <f>IF(T1123&gt;=3,IF(X1123&gt;=1,"Zona 1 — Crítica: impacto alto y ocurre al menos una vez al año","Zona 4 — Catastrófica poco probable: impacto alto pero excepcional"),IF(AND(T1123&lt;1.5,X1123&lt;1),"Zona 3 — Asumible: impacto bajo y muy poco frecuente","Zona 2 — Atención: riesgo intermedio"))</f>
        <v/>
      </c>
      <c r="AB1123" s="64">
        <f>IFERROR(INDEX(MgAmenCtrl,MATCH(SUBSTITUTE($H1123,"*","-"),MgAmenClave,0)),"")</f>
        <v/>
      </c>
      <c r="AC1123" s="20" t="n"/>
      <c r="AD1123" s="31">
        <f>IFERROR($X1123*(1-IF($AC1123="",$AL1123,VLOOKUP($AC1123,MgMad,2,0))),"")</f>
        <v/>
      </c>
      <c r="AE1123" s="28">
        <f>IFERROR(LOOKUP(AD1123,{0;0.01;0.1;1;10;100},{"Muy baja";"Muy baja";"Baja";"Media";"Alta";"Muy alta"}),"")</f>
        <v/>
      </c>
      <c r="AF1123" s="30">
        <f>T1123*AD1123</f>
        <v/>
      </c>
      <c r="AG1123" s="28">
        <f>IFERROR(LOOKUP(AF1123,{0;0.5;5;25},{"Bajo";"Medio";"Alto";"Crítico"}),"")</f>
        <v/>
      </c>
      <c r="AH1123" s="28">
        <f>IF(AG1123="","",IF(OR(AG1123="Crítico",AG1123="Alto"),"Mitigar",IF(AG1123="Medio","Mitigar","Aceptar y monitorear")))</f>
        <v/>
      </c>
      <c r="AI1123" s="21" t="n"/>
      <c r="AJ1123" s="21" t="n"/>
      <c r="AK1123" s="20" t="n"/>
      <c r="AL1123" s="77">
        <f>IFERROR(INDEX(MgAmenEfic,MATCH(SUBSTITUTE($H1123,"*","-"),MgAmenClave,0)),0)</f>
        <v/>
      </c>
    </row>
    <row r="1124" hidden="1" ht="60" customHeight="1" s="54">
      <c r="B1124" s="59" t="inlineStr">
        <is>
          <t>R-1119</t>
        </is>
      </c>
      <c r="C1124" s="59" t="inlineStr">
        <is>
          <t>GH-021</t>
        </is>
      </c>
      <c r="D1124" s="64">
        <f>IFERROR(INDEX(MgNombre,MATCH($C1124,MgActId,0)),"")</f>
        <v/>
      </c>
      <c r="E1124" s="64">
        <f>IFERROR(INDEX(MgProceso,MATCH($C1124,MgActId,0)),"")</f>
        <v/>
      </c>
      <c r="F1124" s="64">
        <f>IFERROR(INDEX(MgTipo,MATCH($C1124,MgActId,0)),"")</f>
        <v/>
      </c>
      <c r="G1124" s="64">
        <f>IFERROR(INDEX(MgSubtipo,MATCH($C1124,MgActId,0)),"")</f>
        <v/>
      </c>
      <c r="H1124" s="59" t="inlineStr">
        <is>
          <t>A.3</t>
        </is>
      </c>
      <c r="I1124" s="64">
        <f>IFERROR(INDEX(MgAmenNombre,MATCH(SUBSTITUTE($H1124,"*","-"),MgAmenClave,0)),"")</f>
        <v/>
      </c>
      <c r="J1124" s="28">
        <f>IFERROR(INDEX(MgAmenGrupo,MATCH(SUBSTITUTE($H1124,"*","-"),MgAmenClave,0)),"")</f>
        <v/>
      </c>
      <c r="K1124" s="64">
        <f>IFERROR(INDEX('1. Matriz de Activos'!$Q$6:$Q$239,MATCH($C1124,MgActId,0)),"")</f>
        <v/>
      </c>
      <c r="L1124" s="64">
        <f>IFERROR(INDEX('1. Matriz de Activos'!$R$6:$R$239,MATCH($C1124,MgActId,0)),"")</f>
        <v/>
      </c>
      <c r="M1124" s="64">
        <f>IFERROR(INDEX('1. Matriz de Activos'!$S$6:$S$239,MATCH($C1124,MgActId,0)),"")</f>
        <v/>
      </c>
      <c r="N1124" s="28">
        <f>IFERROR(INDEX(MgAmenDegD,MATCH(SUBSTITUTE($H1124,"*","-"),MgAmenClave,0)),"No aplica")</f>
        <v/>
      </c>
      <c r="O1124" s="28">
        <f>IFERROR(INDEX(MgAmenDegI,MATCH(SUBSTITUTE($H1124,"*","-"),MgAmenClave,0)),"No aplica")</f>
        <v/>
      </c>
      <c r="P1124" s="28">
        <f>IFERROR(INDEX(MgAmenDegC,MATCH(SUBSTITUTE($H1124,"*","-"),MgAmenClave,0)),"No aplica")</f>
        <v/>
      </c>
      <c r="Q1124" s="29">
        <f>IFERROR(VLOOKUP(K1124,MgValor,2,0)*VLOOKUP(N1124,MgDeg,2,0),0)</f>
        <v/>
      </c>
      <c r="R1124" s="29">
        <f>IFERROR(VLOOKUP(L1124,MgValor,2,0)*VLOOKUP(O1124,MgDeg,2,0),0)</f>
        <v/>
      </c>
      <c r="S1124" s="29">
        <f>IFERROR(VLOOKUP(M1124,MgValor,2,0)*VLOOKUP(P1124,MgDeg,2,0),0)</f>
        <v/>
      </c>
      <c r="T1124" s="30">
        <f>MAX(Q1124:S1124)</f>
        <v/>
      </c>
      <c r="U1124" s="28">
        <f>IFERROR(LOOKUP(T1124,{0;0.5;1.5;3;4.5},{"Despreciable";"Bajo";"Medio";"Alto";"Muy alto"}),"")</f>
        <v/>
      </c>
      <c r="V1124" s="13">
        <f>IFERROR(INDEX(MgAmenFrec,MATCH(SUBSTITUTE($H1124,"*","-"),MgAmenClave,0)),"")</f>
        <v/>
      </c>
      <c r="W1124" s="28">
        <f>IFERROR(LOOKUP(X1124,{0;0.01;0.1;1;10;100},{"Muy baja";"Muy baja";"Baja";"Media";"Alta";"Muy alta"}),"")</f>
        <v/>
      </c>
      <c r="X1124" s="31">
        <f>IFERROR(VLOOKUP(V1124,MgFrec,2,0),0)</f>
        <v/>
      </c>
      <c r="Y1124" s="30">
        <f>T1124*X1124</f>
        <v/>
      </c>
      <c r="Z1124" s="28">
        <f>IFERROR(LOOKUP(Y1124,{0;0.5;5;25},{"Bajo";"Medio";"Alto";"Crítico"}),"")</f>
        <v/>
      </c>
      <c r="AA1124" s="64">
        <f>IF(T1124&gt;=3,IF(X1124&gt;=1,"Zona 1 — Crítica: impacto alto y ocurre al menos una vez al año","Zona 4 — Catastrófica poco probable: impacto alto pero excepcional"),IF(AND(T1124&lt;1.5,X1124&lt;1),"Zona 3 — Asumible: impacto bajo y muy poco frecuente","Zona 2 — Atención: riesgo intermedio"))</f>
        <v/>
      </c>
      <c r="AB1124" s="64">
        <f>IFERROR(INDEX(MgAmenCtrl,MATCH(SUBSTITUTE($H1124,"*","-"),MgAmenClave,0)),"")</f>
        <v/>
      </c>
      <c r="AC1124" s="20" t="n"/>
      <c r="AD1124" s="31">
        <f>IFERROR($X1124*(1-IF($AC1124="",$AL1124,VLOOKUP($AC1124,MgMad,2,0))),"")</f>
        <v/>
      </c>
      <c r="AE1124" s="28">
        <f>IFERROR(LOOKUP(AD1124,{0;0.01;0.1;1;10;100},{"Muy baja";"Muy baja";"Baja";"Media";"Alta";"Muy alta"}),"")</f>
        <v/>
      </c>
      <c r="AF1124" s="30">
        <f>T1124*AD1124</f>
        <v/>
      </c>
      <c r="AG1124" s="28">
        <f>IFERROR(LOOKUP(AF1124,{0;0.5;5;25},{"Bajo";"Medio";"Alto";"Crítico"}),"")</f>
        <v/>
      </c>
      <c r="AH1124" s="28">
        <f>IF(AG1124="","",IF(OR(AG1124="Crítico",AG1124="Alto"),"Mitigar",IF(AG1124="Medio","Mitigar","Aceptar y monitorear")))</f>
        <v/>
      </c>
      <c r="AI1124" s="21" t="n"/>
      <c r="AJ1124" s="21" t="n"/>
      <c r="AK1124" s="20" t="n"/>
      <c r="AL1124" s="77">
        <f>IFERROR(INDEX(MgAmenEfic,MATCH(SUBSTITUTE($H1124,"*","-"),MgAmenClave,0)),0)</f>
        <v/>
      </c>
    </row>
    <row r="1125" hidden="1" ht="60" customHeight="1" s="54">
      <c r="B1125" s="59" t="inlineStr">
        <is>
          <t>R-1120</t>
        </is>
      </c>
      <c r="C1125" s="59" t="inlineStr">
        <is>
          <t>GH-021</t>
        </is>
      </c>
      <c r="D1125" s="64">
        <f>IFERROR(INDEX(MgNombre,MATCH($C1125,MgActId,0)),"")</f>
        <v/>
      </c>
      <c r="E1125" s="64">
        <f>IFERROR(INDEX(MgProceso,MATCH($C1125,MgActId,0)),"")</f>
        <v/>
      </c>
      <c r="F1125" s="64">
        <f>IFERROR(INDEX(MgTipo,MATCH($C1125,MgActId,0)),"")</f>
        <v/>
      </c>
      <c r="G1125" s="64">
        <f>IFERROR(INDEX(MgSubtipo,MATCH($C1125,MgActId,0)),"")</f>
        <v/>
      </c>
      <c r="H1125" s="59" t="inlineStr">
        <is>
          <t>A.4</t>
        </is>
      </c>
      <c r="I1125" s="64">
        <f>IFERROR(INDEX(MgAmenNombre,MATCH(SUBSTITUTE($H1125,"*","-"),MgAmenClave,0)),"")</f>
        <v/>
      </c>
      <c r="J1125" s="28">
        <f>IFERROR(INDEX(MgAmenGrupo,MATCH(SUBSTITUTE($H1125,"*","-"),MgAmenClave,0)),"")</f>
        <v/>
      </c>
      <c r="K1125" s="64">
        <f>IFERROR(INDEX('1. Matriz de Activos'!$Q$6:$Q$239,MATCH($C1125,MgActId,0)),"")</f>
        <v/>
      </c>
      <c r="L1125" s="64">
        <f>IFERROR(INDEX('1. Matriz de Activos'!$R$6:$R$239,MATCH($C1125,MgActId,0)),"")</f>
        <v/>
      </c>
      <c r="M1125" s="64">
        <f>IFERROR(INDEX('1. Matriz de Activos'!$S$6:$S$239,MATCH($C1125,MgActId,0)),"")</f>
        <v/>
      </c>
      <c r="N1125" s="28">
        <f>IFERROR(INDEX(MgAmenDegD,MATCH(SUBSTITUTE($H1125,"*","-"),MgAmenClave,0)),"No aplica")</f>
        <v/>
      </c>
      <c r="O1125" s="28">
        <f>IFERROR(INDEX(MgAmenDegI,MATCH(SUBSTITUTE($H1125,"*","-"),MgAmenClave,0)),"No aplica")</f>
        <v/>
      </c>
      <c r="P1125" s="28">
        <f>IFERROR(INDEX(MgAmenDegC,MATCH(SUBSTITUTE($H1125,"*","-"),MgAmenClave,0)),"No aplica")</f>
        <v/>
      </c>
      <c r="Q1125" s="29">
        <f>IFERROR(VLOOKUP(K1125,MgValor,2,0)*VLOOKUP(N1125,MgDeg,2,0),0)</f>
        <v/>
      </c>
      <c r="R1125" s="29">
        <f>IFERROR(VLOOKUP(L1125,MgValor,2,0)*VLOOKUP(O1125,MgDeg,2,0),0)</f>
        <v/>
      </c>
      <c r="S1125" s="29">
        <f>IFERROR(VLOOKUP(M1125,MgValor,2,0)*VLOOKUP(P1125,MgDeg,2,0),0)</f>
        <v/>
      </c>
      <c r="T1125" s="30">
        <f>MAX(Q1125:S1125)</f>
        <v/>
      </c>
      <c r="U1125" s="28">
        <f>IFERROR(LOOKUP(T1125,{0;0.5;1.5;3;4.5},{"Despreciable";"Bajo";"Medio";"Alto";"Muy alto"}),"")</f>
        <v/>
      </c>
      <c r="V1125" s="13">
        <f>IFERROR(INDEX(MgAmenFrec,MATCH(SUBSTITUTE($H1125,"*","-"),MgAmenClave,0)),"")</f>
        <v/>
      </c>
      <c r="W1125" s="28">
        <f>IFERROR(LOOKUP(X1125,{0;0.01;0.1;1;10;100},{"Muy baja";"Muy baja";"Baja";"Media";"Alta";"Muy alta"}),"")</f>
        <v/>
      </c>
      <c r="X1125" s="31">
        <f>IFERROR(VLOOKUP(V1125,MgFrec,2,0),0)</f>
        <v/>
      </c>
      <c r="Y1125" s="30">
        <f>T1125*X1125</f>
        <v/>
      </c>
      <c r="Z1125" s="28">
        <f>IFERROR(LOOKUP(Y1125,{0;0.5;5;25},{"Bajo";"Medio";"Alto";"Crítico"}),"")</f>
        <v/>
      </c>
      <c r="AA1125" s="64">
        <f>IF(T1125&gt;=3,IF(X1125&gt;=1,"Zona 1 — Crítica: impacto alto y ocurre al menos una vez al año","Zona 4 — Catastrófica poco probable: impacto alto pero excepcional"),IF(AND(T1125&lt;1.5,X1125&lt;1),"Zona 3 — Asumible: impacto bajo y muy poco frecuente","Zona 2 — Atención: riesgo intermedio"))</f>
        <v/>
      </c>
      <c r="AB1125" s="64">
        <f>IFERROR(INDEX(MgAmenCtrl,MATCH(SUBSTITUTE($H1125,"*","-"),MgAmenClave,0)),"")</f>
        <v/>
      </c>
      <c r="AC1125" s="20" t="n"/>
      <c r="AD1125" s="31">
        <f>IFERROR($X1125*(1-IF($AC1125="",$AL1125,VLOOKUP($AC1125,MgMad,2,0))),"")</f>
        <v/>
      </c>
      <c r="AE1125" s="28">
        <f>IFERROR(LOOKUP(AD1125,{0;0.01;0.1;1;10;100},{"Muy baja";"Muy baja";"Baja";"Media";"Alta";"Muy alta"}),"")</f>
        <v/>
      </c>
      <c r="AF1125" s="30">
        <f>T1125*AD1125</f>
        <v/>
      </c>
      <c r="AG1125" s="28">
        <f>IFERROR(LOOKUP(AF1125,{0;0.5;5;25},{"Bajo";"Medio";"Alto";"Crítico"}),"")</f>
        <v/>
      </c>
      <c r="AH1125" s="28">
        <f>IF(AG1125="","",IF(OR(AG1125="Crítico",AG1125="Alto"),"Mitigar",IF(AG1125="Medio","Mitigar","Aceptar y monitorear")))</f>
        <v/>
      </c>
      <c r="AI1125" s="21" t="n"/>
      <c r="AJ1125" s="21" t="n"/>
      <c r="AK1125" s="20" t="n"/>
      <c r="AL1125" s="77">
        <f>IFERROR(INDEX(MgAmenEfic,MATCH(SUBSTITUTE($H1125,"*","-"),MgAmenClave,0)),0)</f>
        <v/>
      </c>
    </row>
    <row r="1126" hidden="1" ht="75" customHeight="1" s="54">
      <c r="B1126" s="59" t="inlineStr">
        <is>
          <t>R-1121</t>
        </is>
      </c>
      <c r="C1126" s="59" t="inlineStr">
        <is>
          <t>GH-021</t>
        </is>
      </c>
      <c r="D1126" s="64">
        <f>IFERROR(INDEX(MgNombre,MATCH($C1126,MgActId,0)),"")</f>
        <v/>
      </c>
      <c r="E1126" s="64">
        <f>IFERROR(INDEX(MgProceso,MATCH($C1126,MgActId,0)),"")</f>
        <v/>
      </c>
      <c r="F1126" s="64">
        <f>IFERROR(INDEX(MgTipo,MATCH($C1126,MgActId,0)),"")</f>
        <v/>
      </c>
      <c r="G1126" s="64">
        <f>IFERROR(INDEX(MgSubtipo,MATCH($C1126,MgActId,0)),"")</f>
        <v/>
      </c>
      <c r="H1126" s="59" t="inlineStr">
        <is>
          <t>A.5</t>
        </is>
      </c>
      <c r="I1126" s="64">
        <f>IFERROR(INDEX(MgAmenNombre,MATCH(SUBSTITUTE($H1126,"*","-"),MgAmenClave,0)),"")</f>
        <v/>
      </c>
      <c r="J1126" s="28">
        <f>IFERROR(INDEX(MgAmenGrupo,MATCH(SUBSTITUTE($H1126,"*","-"),MgAmenClave,0)),"")</f>
        <v/>
      </c>
      <c r="K1126" s="64">
        <f>IFERROR(INDEX('1. Matriz de Activos'!$Q$6:$Q$239,MATCH($C1126,MgActId,0)),"")</f>
        <v/>
      </c>
      <c r="L1126" s="64">
        <f>IFERROR(INDEX('1. Matriz de Activos'!$R$6:$R$239,MATCH($C1126,MgActId,0)),"")</f>
        <v/>
      </c>
      <c r="M1126" s="64">
        <f>IFERROR(INDEX('1. Matriz de Activos'!$S$6:$S$239,MATCH($C1126,MgActId,0)),"")</f>
        <v/>
      </c>
      <c r="N1126" s="28">
        <f>IFERROR(INDEX(MgAmenDegD,MATCH(SUBSTITUTE($H1126,"*","-"),MgAmenClave,0)),"No aplica")</f>
        <v/>
      </c>
      <c r="O1126" s="28">
        <f>IFERROR(INDEX(MgAmenDegI,MATCH(SUBSTITUTE($H1126,"*","-"),MgAmenClave,0)),"No aplica")</f>
        <v/>
      </c>
      <c r="P1126" s="28">
        <f>IFERROR(INDEX(MgAmenDegC,MATCH(SUBSTITUTE($H1126,"*","-"),MgAmenClave,0)),"No aplica")</f>
        <v/>
      </c>
      <c r="Q1126" s="29">
        <f>IFERROR(VLOOKUP(K1126,MgValor,2,0)*VLOOKUP(N1126,MgDeg,2,0),0)</f>
        <v/>
      </c>
      <c r="R1126" s="29">
        <f>IFERROR(VLOOKUP(L1126,MgValor,2,0)*VLOOKUP(O1126,MgDeg,2,0),0)</f>
        <v/>
      </c>
      <c r="S1126" s="29">
        <f>IFERROR(VLOOKUP(M1126,MgValor,2,0)*VLOOKUP(P1126,MgDeg,2,0),0)</f>
        <v/>
      </c>
      <c r="T1126" s="30">
        <f>MAX(Q1126:S1126)</f>
        <v/>
      </c>
      <c r="U1126" s="28">
        <f>IFERROR(LOOKUP(T1126,{0;0.5;1.5;3;4.5},{"Despreciable";"Bajo";"Medio";"Alto";"Muy alto"}),"")</f>
        <v/>
      </c>
      <c r="V1126" s="13">
        <f>IFERROR(INDEX(MgAmenFrec,MATCH(SUBSTITUTE($H1126,"*","-"),MgAmenClave,0)),"")</f>
        <v/>
      </c>
      <c r="W1126" s="28">
        <f>IFERROR(LOOKUP(X1126,{0;0.01;0.1;1;10;100},{"Muy baja";"Muy baja";"Baja";"Media";"Alta";"Muy alta"}),"")</f>
        <v/>
      </c>
      <c r="X1126" s="31">
        <f>IFERROR(VLOOKUP(V1126,MgFrec,2,0),0)</f>
        <v/>
      </c>
      <c r="Y1126" s="30">
        <f>T1126*X1126</f>
        <v/>
      </c>
      <c r="Z1126" s="28">
        <f>IFERROR(LOOKUP(Y1126,{0;0.5;5;25},{"Bajo";"Medio";"Alto";"Crítico"}),"")</f>
        <v/>
      </c>
      <c r="AA1126" s="64">
        <f>IF(T1126&gt;=3,IF(X1126&gt;=1,"Zona 1 — Crítica: impacto alto y ocurre al menos una vez al año","Zona 4 — Catastrófica poco probable: impacto alto pero excepcional"),IF(AND(T1126&lt;1.5,X1126&lt;1),"Zona 3 — Asumible: impacto bajo y muy poco frecuente","Zona 2 — Atención: riesgo intermedio"))</f>
        <v/>
      </c>
      <c r="AB1126" s="64">
        <f>IFERROR(INDEX(MgAmenCtrl,MATCH(SUBSTITUTE($H1126,"*","-"),MgAmenClave,0)),"")</f>
        <v/>
      </c>
      <c r="AC1126" s="20" t="n"/>
      <c r="AD1126" s="31">
        <f>IFERROR($X1126*(1-IF($AC1126="",$AL1126,VLOOKUP($AC1126,MgMad,2,0))),"")</f>
        <v/>
      </c>
      <c r="AE1126" s="28">
        <f>IFERROR(LOOKUP(AD1126,{0;0.01;0.1;1;10;100},{"Muy baja";"Muy baja";"Baja";"Media";"Alta";"Muy alta"}),"")</f>
        <v/>
      </c>
      <c r="AF1126" s="30">
        <f>T1126*AD1126</f>
        <v/>
      </c>
      <c r="AG1126" s="28">
        <f>IFERROR(LOOKUP(AF1126,{0;0.5;5;25},{"Bajo";"Medio";"Alto";"Crítico"}),"")</f>
        <v/>
      </c>
      <c r="AH1126" s="28">
        <f>IF(AG1126="","",IF(OR(AG1126="Crítico",AG1126="Alto"),"Mitigar",IF(AG1126="Medio","Mitigar","Aceptar y monitorear")))</f>
        <v/>
      </c>
      <c r="AI1126" s="21" t="n"/>
      <c r="AJ1126" s="21" t="n"/>
      <c r="AK1126" s="20" t="n"/>
      <c r="AL1126" s="77">
        <f>IFERROR(INDEX(MgAmenEfic,MATCH(SUBSTITUTE($H1126,"*","-"),MgAmenClave,0)),0)</f>
        <v/>
      </c>
    </row>
    <row r="1127" hidden="1" ht="105" customHeight="1" s="54">
      <c r="B1127" s="59" t="inlineStr">
        <is>
          <t>R-1122</t>
        </is>
      </c>
      <c r="C1127" s="59" t="inlineStr">
        <is>
          <t>GH-021</t>
        </is>
      </c>
      <c r="D1127" s="64">
        <f>IFERROR(INDEX(MgNombre,MATCH($C1127,MgActId,0)),"")</f>
        <v/>
      </c>
      <c r="E1127" s="64">
        <f>IFERROR(INDEX(MgProceso,MATCH($C1127,MgActId,0)),"")</f>
        <v/>
      </c>
      <c r="F1127" s="64">
        <f>IFERROR(INDEX(MgTipo,MATCH($C1127,MgActId,0)),"")</f>
        <v/>
      </c>
      <c r="G1127" s="64">
        <f>IFERROR(INDEX(MgSubtipo,MATCH($C1127,MgActId,0)),"")</f>
        <v/>
      </c>
      <c r="H1127" s="59" t="inlineStr">
        <is>
          <t>A.6</t>
        </is>
      </c>
      <c r="I1127" s="64">
        <f>IFERROR(INDEX(MgAmenNombre,MATCH(SUBSTITUTE($H1127,"*","-"),MgAmenClave,0)),"")</f>
        <v/>
      </c>
      <c r="J1127" s="28">
        <f>IFERROR(INDEX(MgAmenGrupo,MATCH(SUBSTITUTE($H1127,"*","-"),MgAmenClave,0)),"")</f>
        <v/>
      </c>
      <c r="K1127" s="64">
        <f>IFERROR(INDEX('1. Matriz de Activos'!$Q$6:$Q$239,MATCH($C1127,MgActId,0)),"")</f>
        <v/>
      </c>
      <c r="L1127" s="64">
        <f>IFERROR(INDEX('1. Matriz de Activos'!$R$6:$R$239,MATCH($C1127,MgActId,0)),"")</f>
        <v/>
      </c>
      <c r="M1127" s="64">
        <f>IFERROR(INDEX('1. Matriz de Activos'!$S$6:$S$239,MATCH($C1127,MgActId,0)),"")</f>
        <v/>
      </c>
      <c r="N1127" s="28">
        <f>IFERROR(INDEX(MgAmenDegD,MATCH(SUBSTITUTE($H1127,"*","-"),MgAmenClave,0)),"No aplica")</f>
        <v/>
      </c>
      <c r="O1127" s="28">
        <f>IFERROR(INDEX(MgAmenDegI,MATCH(SUBSTITUTE($H1127,"*","-"),MgAmenClave,0)),"No aplica")</f>
        <v/>
      </c>
      <c r="P1127" s="28">
        <f>IFERROR(INDEX(MgAmenDegC,MATCH(SUBSTITUTE($H1127,"*","-"),MgAmenClave,0)),"No aplica")</f>
        <v/>
      </c>
      <c r="Q1127" s="29">
        <f>IFERROR(VLOOKUP(K1127,MgValor,2,0)*VLOOKUP(N1127,MgDeg,2,0),0)</f>
        <v/>
      </c>
      <c r="R1127" s="29">
        <f>IFERROR(VLOOKUP(L1127,MgValor,2,0)*VLOOKUP(O1127,MgDeg,2,0),0)</f>
        <v/>
      </c>
      <c r="S1127" s="29">
        <f>IFERROR(VLOOKUP(M1127,MgValor,2,0)*VLOOKUP(P1127,MgDeg,2,0),0)</f>
        <v/>
      </c>
      <c r="T1127" s="30">
        <f>MAX(Q1127:S1127)</f>
        <v/>
      </c>
      <c r="U1127" s="28">
        <f>IFERROR(LOOKUP(T1127,{0;0.5;1.5;3;4.5},{"Despreciable";"Bajo";"Medio";"Alto";"Muy alto"}),"")</f>
        <v/>
      </c>
      <c r="V1127" s="13">
        <f>IFERROR(INDEX(MgAmenFrec,MATCH(SUBSTITUTE($H1127,"*","-"),MgAmenClave,0)),"")</f>
        <v/>
      </c>
      <c r="W1127" s="28">
        <f>IFERROR(LOOKUP(X1127,{0;0.01;0.1;1;10;100},{"Muy baja";"Muy baja";"Baja";"Media";"Alta";"Muy alta"}),"")</f>
        <v/>
      </c>
      <c r="X1127" s="31">
        <f>IFERROR(VLOOKUP(V1127,MgFrec,2,0),0)</f>
        <v/>
      </c>
      <c r="Y1127" s="30">
        <f>T1127*X1127</f>
        <v/>
      </c>
      <c r="Z1127" s="28">
        <f>IFERROR(LOOKUP(Y1127,{0;0.5;5;25},{"Bajo";"Medio";"Alto";"Crítico"}),"")</f>
        <v/>
      </c>
      <c r="AA1127" s="64">
        <f>IF(T1127&gt;=3,IF(X1127&gt;=1,"Zona 1 — Crítica: impacto alto y ocurre al menos una vez al año","Zona 4 — Catastrófica poco probable: impacto alto pero excepcional"),IF(AND(T1127&lt;1.5,X1127&lt;1),"Zona 3 — Asumible: impacto bajo y muy poco frecuente","Zona 2 — Atención: riesgo intermedio"))</f>
        <v/>
      </c>
      <c r="AB1127" s="64">
        <f>IFERROR(INDEX(MgAmenCtrl,MATCH(SUBSTITUTE($H1127,"*","-"),MgAmenClave,0)),"")</f>
        <v/>
      </c>
      <c r="AC1127" s="20" t="n"/>
      <c r="AD1127" s="31">
        <f>IFERROR($X1127*(1-IF($AC1127="",$AL1127,VLOOKUP($AC1127,MgMad,2,0))),"")</f>
        <v/>
      </c>
      <c r="AE1127" s="28">
        <f>IFERROR(LOOKUP(AD1127,{0;0.01;0.1;1;10;100},{"Muy baja";"Muy baja";"Baja";"Media";"Alta";"Muy alta"}),"")</f>
        <v/>
      </c>
      <c r="AF1127" s="30">
        <f>T1127*AD1127</f>
        <v/>
      </c>
      <c r="AG1127" s="28">
        <f>IFERROR(LOOKUP(AF1127,{0;0.5;5;25},{"Bajo";"Medio";"Alto";"Crítico"}),"")</f>
        <v/>
      </c>
      <c r="AH1127" s="28">
        <f>IF(AG1127="","",IF(OR(AG1127="Crítico",AG1127="Alto"),"Mitigar",IF(AG1127="Medio","Mitigar","Aceptar y monitorear")))</f>
        <v/>
      </c>
      <c r="AI1127" s="21" t="n"/>
      <c r="AJ1127" s="21" t="n"/>
      <c r="AK1127" s="20" t="n"/>
      <c r="AL1127" s="77">
        <f>IFERROR(INDEX(MgAmenEfic,MATCH(SUBSTITUTE($H1127,"*","-"),MgAmenClave,0)),0)</f>
        <v/>
      </c>
    </row>
    <row r="1128" hidden="1" ht="120" customHeight="1" s="54">
      <c r="B1128" s="59" t="inlineStr">
        <is>
          <t>R-1123</t>
        </is>
      </c>
      <c r="C1128" s="59" t="inlineStr">
        <is>
          <t>GH-021</t>
        </is>
      </c>
      <c r="D1128" s="64">
        <f>IFERROR(INDEX(MgNombre,MATCH($C1128,MgActId,0)),"")</f>
        <v/>
      </c>
      <c r="E1128" s="64">
        <f>IFERROR(INDEX(MgProceso,MATCH($C1128,MgActId,0)),"")</f>
        <v/>
      </c>
      <c r="F1128" s="64">
        <f>IFERROR(INDEX(MgTipo,MATCH($C1128,MgActId,0)),"")</f>
        <v/>
      </c>
      <c r="G1128" s="64">
        <f>IFERROR(INDEX(MgSubtipo,MATCH($C1128,MgActId,0)),"")</f>
        <v/>
      </c>
      <c r="H1128" s="59" t="inlineStr">
        <is>
          <t>A.11</t>
        </is>
      </c>
      <c r="I1128" s="64">
        <f>IFERROR(INDEX(MgAmenNombre,MATCH(SUBSTITUTE($H1128,"*","-"),MgAmenClave,0)),"")</f>
        <v/>
      </c>
      <c r="J1128" s="28">
        <f>IFERROR(INDEX(MgAmenGrupo,MATCH(SUBSTITUTE($H1128,"*","-"),MgAmenClave,0)),"")</f>
        <v/>
      </c>
      <c r="K1128" s="64">
        <f>IFERROR(INDEX('1. Matriz de Activos'!$Q$6:$Q$239,MATCH($C1128,MgActId,0)),"")</f>
        <v/>
      </c>
      <c r="L1128" s="64">
        <f>IFERROR(INDEX('1. Matriz de Activos'!$R$6:$R$239,MATCH($C1128,MgActId,0)),"")</f>
        <v/>
      </c>
      <c r="M1128" s="64">
        <f>IFERROR(INDEX('1. Matriz de Activos'!$S$6:$S$239,MATCH($C1128,MgActId,0)),"")</f>
        <v/>
      </c>
      <c r="N1128" s="28">
        <f>IFERROR(INDEX(MgAmenDegD,MATCH(SUBSTITUTE($H1128,"*","-"),MgAmenClave,0)),"No aplica")</f>
        <v/>
      </c>
      <c r="O1128" s="28">
        <f>IFERROR(INDEX(MgAmenDegI,MATCH(SUBSTITUTE($H1128,"*","-"),MgAmenClave,0)),"No aplica")</f>
        <v/>
      </c>
      <c r="P1128" s="28">
        <f>IFERROR(INDEX(MgAmenDegC,MATCH(SUBSTITUTE($H1128,"*","-"),MgAmenClave,0)),"No aplica")</f>
        <v/>
      </c>
      <c r="Q1128" s="29">
        <f>IFERROR(VLOOKUP(K1128,MgValor,2,0)*VLOOKUP(N1128,MgDeg,2,0),0)</f>
        <v/>
      </c>
      <c r="R1128" s="29">
        <f>IFERROR(VLOOKUP(L1128,MgValor,2,0)*VLOOKUP(O1128,MgDeg,2,0),0)</f>
        <v/>
      </c>
      <c r="S1128" s="29">
        <f>IFERROR(VLOOKUP(M1128,MgValor,2,0)*VLOOKUP(P1128,MgDeg,2,0),0)</f>
        <v/>
      </c>
      <c r="T1128" s="30">
        <f>MAX(Q1128:S1128)</f>
        <v/>
      </c>
      <c r="U1128" s="28">
        <f>IFERROR(LOOKUP(T1128,{0;0.5;1.5;3;4.5},{"Despreciable";"Bajo";"Medio";"Alto";"Muy alto"}),"")</f>
        <v/>
      </c>
      <c r="V1128" s="13">
        <f>IFERROR(INDEX(MgAmenFrec,MATCH(SUBSTITUTE($H1128,"*","-"),MgAmenClave,0)),"")</f>
        <v/>
      </c>
      <c r="W1128" s="28">
        <f>IFERROR(LOOKUP(X1128,{0;0.01;0.1;1;10;100},{"Muy baja";"Muy baja";"Baja";"Media";"Alta";"Muy alta"}),"")</f>
        <v/>
      </c>
      <c r="X1128" s="31">
        <f>IFERROR(VLOOKUP(V1128,MgFrec,2,0),0)</f>
        <v/>
      </c>
      <c r="Y1128" s="30">
        <f>T1128*X1128</f>
        <v/>
      </c>
      <c r="Z1128" s="28">
        <f>IFERROR(LOOKUP(Y1128,{0;0.5;5;25},{"Bajo";"Medio";"Alto";"Crítico"}),"")</f>
        <v/>
      </c>
      <c r="AA1128" s="64">
        <f>IF(T1128&gt;=3,IF(X1128&gt;=1,"Zona 1 — Crítica: impacto alto y ocurre al menos una vez al año","Zona 4 — Catastrófica poco probable: impacto alto pero excepcional"),IF(AND(T1128&lt;1.5,X1128&lt;1),"Zona 3 — Asumible: impacto bajo y muy poco frecuente","Zona 2 — Atención: riesgo intermedio"))</f>
        <v/>
      </c>
      <c r="AB1128" s="64">
        <f>IFERROR(INDEX(MgAmenCtrl,MATCH(SUBSTITUTE($H1128,"*","-"),MgAmenClave,0)),"")</f>
        <v/>
      </c>
      <c r="AC1128" s="20" t="n"/>
      <c r="AD1128" s="31">
        <f>IFERROR($X1128*(1-IF($AC1128="",$AL1128,VLOOKUP($AC1128,MgMad,2,0))),"")</f>
        <v/>
      </c>
      <c r="AE1128" s="28">
        <f>IFERROR(LOOKUP(AD1128,{0;0.01;0.1;1;10;100},{"Muy baja";"Muy baja";"Baja";"Media";"Alta";"Muy alta"}),"")</f>
        <v/>
      </c>
      <c r="AF1128" s="30">
        <f>T1128*AD1128</f>
        <v/>
      </c>
      <c r="AG1128" s="28">
        <f>IFERROR(LOOKUP(AF1128,{0;0.5;5;25},{"Bajo";"Medio";"Alto";"Crítico"}),"")</f>
        <v/>
      </c>
      <c r="AH1128" s="28">
        <f>IF(AG1128="","",IF(OR(AG1128="Crítico",AG1128="Alto"),"Mitigar",IF(AG1128="Medio","Mitigar","Aceptar y monitorear")))</f>
        <v/>
      </c>
      <c r="AI1128" s="21" t="n"/>
      <c r="AJ1128" s="21" t="n"/>
      <c r="AK1128" s="20" t="n"/>
      <c r="AL1128" s="77">
        <f>IFERROR(INDEX(MgAmenEfic,MATCH(SUBSTITUTE($H1128,"*","-"),MgAmenClave,0)),0)</f>
        <v/>
      </c>
    </row>
    <row r="1129" hidden="1" ht="90" customHeight="1" s="54">
      <c r="B1129" s="59" t="inlineStr">
        <is>
          <t>R-1124</t>
        </is>
      </c>
      <c r="C1129" s="59" t="inlineStr">
        <is>
          <t>GH-021</t>
        </is>
      </c>
      <c r="D1129" s="64">
        <f>IFERROR(INDEX(MgNombre,MATCH($C1129,MgActId,0)),"")</f>
        <v/>
      </c>
      <c r="E1129" s="64">
        <f>IFERROR(INDEX(MgProceso,MATCH($C1129,MgActId,0)),"")</f>
        <v/>
      </c>
      <c r="F1129" s="64">
        <f>IFERROR(INDEX(MgTipo,MATCH($C1129,MgActId,0)),"")</f>
        <v/>
      </c>
      <c r="G1129" s="64">
        <f>IFERROR(INDEX(MgSubtipo,MATCH($C1129,MgActId,0)),"")</f>
        <v/>
      </c>
      <c r="H1129" s="59" t="inlineStr">
        <is>
          <t>A.13</t>
        </is>
      </c>
      <c r="I1129" s="64">
        <f>IFERROR(INDEX(MgAmenNombre,MATCH(SUBSTITUTE($H1129,"*","-"),MgAmenClave,0)),"")</f>
        <v/>
      </c>
      <c r="J1129" s="28">
        <f>IFERROR(INDEX(MgAmenGrupo,MATCH(SUBSTITUTE($H1129,"*","-"),MgAmenClave,0)),"")</f>
        <v/>
      </c>
      <c r="K1129" s="64">
        <f>IFERROR(INDEX('1. Matriz de Activos'!$Q$6:$Q$239,MATCH($C1129,MgActId,0)),"")</f>
        <v/>
      </c>
      <c r="L1129" s="64">
        <f>IFERROR(INDEX('1. Matriz de Activos'!$R$6:$R$239,MATCH($C1129,MgActId,0)),"")</f>
        <v/>
      </c>
      <c r="M1129" s="64">
        <f>IFERROR(INDEX('1. Matriz de Activos'!$S$6:$S$239,MATCH($C1129,MgActId,0)),"")</f>
        <v/>
      </c>
      <c r="N1129" s="28">
        <f>IFERROR(INDEX(MgAmenDegD,MATCH(SUBSTITUTE($H1129,"*","-"),MgAmenClave,0)),"No aplica")</f>
        <v/>
      </c>
      <c r="O1129" s="28">
        <f>IFERROR(INDEX(MgAmenDegI,MATCH(SUBSTITUTE($H1129,"*","-"),MgAmenClave,0)),"No aplica")</f>
        <v/>
      </c>
      <c r="P1129" s="28">
        <f>IFERROR(INDEX(MgAmenDegC,MATCH(SUBSTITUTE($H1129,"*","-"),MgAmenClave,0)),"No aplica")</f>
        <v/>
      </c>
      <c r="Q1129" s="29">
        <f>IFERROR(VLOOKUP(K1129,MgValor,2,0)*VLOOKUP(N1129,MgDeg,2,0),0)</f>
        <v/>
      </c>
      <c r="R1129" s="29">
        <f>IFERROR(VLOOKUP(L1129,MgValor,2,0)*VLOOKUP(O1129,MgDeg,2,0),0)</f>
        <v/>
      </c>
      <c r="S1129" s="29">
        <f>IFERROR(VLOOKUP(M1129,MgValor,2,0)*VLOOKUP(P1129,MgDeg,2,0),0)</f>
        <v/>
      </c>
      <c r="T1129" s="30">
        <f>MAX(Q1129:S1129)</f>
        <v/>
      </c>
      <c r="U1129" s="28">
        <f>IFERROR(LOOKUP(T1129,{0;0.5;1.5;3;4.5},{"Despreciable";"Bajo";"Medio";"Alto";"Muy alto"}),"")</f>
        <v/>
      </c>
      <c r="V1129" s="13">
        <f>IFERROR(INDEX(MgAmenFrec,MATCH(SUBSTITUTE($H1129,"*","-"),MgAmenClave,0)),"")</f>
        <v/>
      </c>
      <c r="W1129" s="28">
        <f>IFERROR(LOOKUP(X1129,{0;0.01;0.1;1;10;100},{"Muy baja";"Muy baja";"Baja";"Media";"Alta";"Muy alta"}),"")</f>
        <v/>
      </c>
      <c r="X1129" s="31">
        <f>IFERROR(VLOOKUP(V1129,MgFrec,2,0),0)</f>
        <v/>
      </c>
      <c r="Y1129" s="30">
        <f>T1129*X1129</f>
        <v/>
      </c>
      <c r="Z1129" s="28">
        <f>IFERROR(LOOKUP(Y1129,{0;0.5;5;25},{"Bajo";"Medio";"Alto";"Crítico"}),"")</f>
        <v/>
      </c>
      <c r="AA1129" s="64">
        <f>IF(T1129&gt;=3,IF(X1129&gt;=1,"Zona 1 — Crítica: impacto alto y ocurre al menos una vez al año","Zona 4 — Catastrófica poco probable: impacto alto pero excepcional"),IF(AND(T1129&lt;1.5,X1129&lt;1),"Zona 3 — Asumible: impacto bajo y muy poco frecuente","Zona 2 — Atención: riesgo intermedio"))</f>
        <v/>
      </c>
      <c r="AB1129" s="64">
        <f>IFERROR(INDEX(MgAmenCtrl,MATCH(SUBSTITUTE($H1129,"*","-"),MgAmenClave,0)),"")</f>
        <v/>
      </c>
      <c r="AC1129" s="20" t="n"/>
      <c r="AD1129" s="31">
        <f>IFERROR($X1129*(1-IF($AC1129="",$AL1129,VLOOKUP($AC1129,MgMad,2,0))),"")</f>
        <v/>
      </c>
      <c r="AE1129" s="28">
        <f>IFERROR(LOOKUP(AD1129,{0;0.01;0.1;1;10;100},{"Muy baja";"Muy baja";"Baja";"Media";"Alta";"Muy alta"}),"")</f>
        <v/>
      </c>
      <c r="AF1129" s="30">
        <f>T1129*AD1129</f>
        <v/>
      </c>
      <c r="AG1129" s="28">
        <f>IFERROR(LOOKUP(AF1129,{0;0.5;5;25},{"Bajo";"Medio";"Alto";"Crítico"}),"")</f>
        <v/>
      </c>
      <c r="AH1129" s="28">
        <f>IF(AG1129="","",IF(OR(AG1129="Crítico",AG1129="Alto"),"Mitigar",IF(AG1129="Medio","Mitigar","Aceptar y monitorear")))</f>
        <v/>
      </c>
      <c r="AI1129" s="21" t="n"/>
      <c r="AJ1129" s="21" t="n"/>
      <c r="AK1129" s="20" t="n"/>
      <c r="AL1129" s="77">
        <f>IFERROR(INDEX(MgAmenEfic,MATCH(SUBSTITUTE($H1129,"*","-"),MgAmenClave,0)),0)</f>
        <v/>
      </c>
    </row>
    <row r="1130" hidden="1" ht="60" customHeight="1" s="54">
      <c r="B1130" s="59" t="inlineStr">
        <is>
          <t>R-1125</t>
        </is>
      </c>
      <c r="C1130" s="59" t="inlineStr">
        <is>
          <t>GH-021</t>
        </is>
      </c>
      <c r="D1130" s="64">
        <f>IFERROR(INDEX(MgNombre,MATCH($C1130,MgActId,0)),"")</f>
        <v/>
      </c>
      <c r="E1130" s="64">
        <f>IFERROR(INDEX(MgProceso,MATCH($C1130,MgActId,0)),"")</f>
        <v/>
      </c>
      <c r="F1130" s="64">
        <f>IFERROR(INDEX(MgTipo,MATCH($C1130,MgActId,0)),"")</f>
        <v/>
      </c>
      <c r="G1130" s="64">
        <f>IFERROR(INDEX(MgSubtipo,MATCH($C1130,MgActId,0)),"")</f>
        <v/>
      </c>
      <c r="H1130" s="59" t="inlineStr">
        <is>
          <t>A.15</t>
        </is>
      </c>
      <c r="I1130" s="64">
        <f>IFERROR(INDEX(MgAmenNombre,MATCH(SUBSTITUTE($H1130,"*","-"),MgAmenClave,0)),"")</f>
        <v/>
      </c>
      <c r="J1130" s="28">
        <f>IFERROR(INDEX(MgAmenGrupo,MATCH(SUBSTITUTE($H1130,"*","-"),MgAmenClave,0)),"")</f>
        <v/>
      </c>
      <c r="K1130" s="64">
        <f>IFERROR(INDEX('1. Matriz de Activos'!$Q$6:$Q$239,MATCH($C1130,MgActId,0)),"")</f>
        <v/>
      </c>
      <c r="L1130" s="64">
        <f>IFERROR(INDEX('1. Matriz de Activos'!$R$6:$R$239,MATCH($C1130,MgActId,0)),"")</f>
        <v/>
      </c>
      <c r="M1130" s="64">
        <f>IFERROR(INDEX('1. Matriz de Activos'!$S$6:$S$239,MATCH($C1130,MgActId,0)),"")</f>
        <v/>
      </c>
      <c r="N1130" s="28">
        <f>IFERROR(INDEX(MgAmenDegD,MATCH(SUBSTITUTE($H1130,"*","-"),MgAmenClave,0)),"No aplica")</f>
        <v/>
      </c>
      <c r="O1130" s="28">
        <f>IFERROR(INDEX(MgAmenDegI,MATCH(SUBSTITUTE($H1130,"*","-"),MgAmenClave,0)),"No aplica")</f>
        <v/>
      </c>
      <c r="P1130" s="28">
        <f>IFERROR(INDEX(MgAmenDegC,MATCH(SUBSTITUTE($H1130,"*","-"),MgAmenClave,0)),"No aplica")</f>
        <v/>
      </c>
      <c r="Q1130" s="29">
        <f>IFERROR(VLOOKUP(K1130,MgValor,2,0)*VLOOKUP(N1130,MgDeg,2,0),0)</f>
        <v/>
      </c>
      <c r="R1130" s="29">
        <f>IFERROR(VLOOKUP(L1130,MgValor,2,0)*VLOOKUP(O1130,MgDeg,2,0),0)</f>
        <v/>
      </c>
      <c r="S1130" s="29">
        <f>IFERROR(VLOOKUP(M1130,MgValor,2,0)*VLOOKUP(P1130,MgDeg,2,0),0)</f>
        <v/>
      </c>
      <c r="T1130" s="30">
        <f>MAX(Q1130:S1130)</f>
        <v/>
      </c>
      <c r="U1130" s="28">
        <f>IFERROR(LOOKUP(T1130,{0;0.5;1.5;3;4.5},{"Despreciable";"Bajo";"Medio";"Alto";"Muy alto"}),"")</f>
        <v/>
      </c>
      <c r="V1130" s="13">
        <f>IFERROR(INDEX(MgAmenFrec,MATCH(SUBSTITUTE($H1130,"*","-"),MgAmenClave,0)),"")</f>
        <v/>
      </c>
      <c r="W1130" s="28">
        <f>IFERROR(LOOKUP(X1130,{0;0.01;0.1;1;10;100},{"Muy baja";"Muy baja";"Baja";"Media";"Alta";"Muy alta"}),"")</f>
        <v/>
      </c>
      <c r="X1130" s="31">
        <f>IFERROR(VLOOKUP(V1130,MgFrec,2,0),0)</f>
        <v/>
      </c>
      <c r="Y1130" s="30">
        <f>T1130*X1130</f>
        <v/>
      </c>
      <c r="Z1130" s="28">
        <f>IFERROR(LOOKUP(Y1130,{0;0.5;5;25},{"Bajo";"Medio";"Alto";"Crítico"}),"")</f>
        <v/>
      </c>
      <c r="AA1130" s="64">
        <f>IF(T1130&gt;=3,IF(X1130&gt;=1,"Zona 1 — Crítica: impacto alto y ocurre al menos una vez al año","Zona 4 — Catastrófica poco probable: impacto alto pero excepcional"),IF(AND(T1130&lt;1.5,X1130&lt;1),"Zona 3 — Asumible: impacto bajo y muy poco frecuente","Zona 2 — Atención: riesgo intermedio"))</f>
        <v/>
      </c>
      <c r="AB1130" s="64">
        <f>IFERROR(INDEX(MgAmenCtrl,MATCH(SUBSTITUTE($H1130,"*","-"),MgAmenClave,0)),"")</f>
        <v/>
      </c>
      <c r="AC1130" s="20" t="n"/>
      <c r="AD1130" s="31">
        <f>IFERROR($X1130*(1-IF($AC1130="",$AL1130,VLOOKUP($AC1130,MgMad,2,0))),"")</f>
        <v/>
      </c>
      <c r="AE1130" s="28">
        <f>IFERROR(LOOKUP(AD1130,{0;0.01;0.1;1;10;100},{"Muy baja";"Muy baja";"Baja";"Media";"Alta";"Muy alta"}),"")</f>
        <v/>
      </c>
      <c r="AF1130" s="30">
        <f>T1130*AD1130</f>
        <v/>
      </c>
      <c r="AG1130" s="28">
        <f>IFERROR(LOOKUP(AF1130,{0;0.5;5;25},{"Bajo";"Medio";"Alto";"Crítico"}),"")</f>
        <v/>
      </c>
      <c r="AH1130" s="28">
        <f>IF(AG1130="","",IF(OR(AG1130="Crítico",AG1130="Alto"),"Mitigar",IF(AG1130="Medio","Mitigar","Aceptar y monitorear")))</f>
        <v/>
      </c>
      <c r="AI1130" s="21" t="n"/>
      <c r="AJ1130" s="21" t="n"/>
      <c r="AK1130" s="20" t="n"/>
      <c r="AL1130" s="77">
        <f>IFERROR(INDEX(MgAmenEfic,MATCH(SUBSTITUTE($H1130,"*","-"),MgAmenClave,0)),0)</f>
        <v/>
      </c>
    </row>
    <row r="1131" hidden="1" ht="60" customHeight="1" s="54">
      <c r="B1131" s="59" t="inlineStr">
        <is>
          <t>R-1126</t>
        </is>
      </c>
      <c r="C1131" s="59" t="inlineStr">
        <is>
          <t>GH-021</t>
        </is>
      </c>
      <c r="D1131" s="64">
        <f>IFERROR(INDEX(MgNombre,MATCH($C1131,MgActId,0)),"")</f>
        <v/>
      </c>
      <c r="E1131" s="64">
        <f>IFERROR(INDEX(MgProceso,MATCH($C1131,MgActId,0)),"")</f>
        <v/>
      </c>
      <c r="F1131" s="64">
        <f>IFERROR(INDEX(MgTipo,MATCH($C1131,MgActId,0)),"")</f>
        <v/>
      </c>
      <c r="G1131" s="64">
        <f>IFERROR(INDEX(MgSubtipo,MATCH($C1131,MgActId,0)),"")</f>
        <v/>
      </c>
      <c r="H1131" s="59" t="inlineStr">
        <is>
          <t>A.18</t>
        </is>
      </c>
      <c r="I1131" s="64">
        <f>IFERROR(INDEX(MgAmenNombre,MATCH(SUBSTITUTE($H1131,"*","-"),MgAmenClave,0)),"")</f>
        <v/>
      </c>
      <c r="J1131" s="28">
        <f>IFERROR(INDEX(MgAmenGrupo,MATCH(SUBSTITUTE($H1131,"*","-"),MgAmenClave,0)),"")</f>
        <v/>
      </c>
      <c r="K1131" s="64">
        <f>IFERROR(INDEX('1. Matriz de Activos'!$Q$6:$Q$239,MATCH($C1131,MgActId,0)),"")</f>
        <v/>
      </c>
      <c r="L1131" s="64">
        <f>IFERROR(INDEX('1. Matriz de Activos'!$R$6:$R$239,MATCH($C1131,MgActId,0)),"")</f>
        <v/>
      </c>
      <c r="M1131" s="64">
        <f>IFERROR(INDEX('1. Matriz de Activos'!$S$6:$S$239,MATCH($C1131,MgActId,0)),"")</f>
        <v/>
      </c>
      <c r="N1131" s="28">
        <f>IFERROR(INDEX(MgAmenDegD,MATCH(SUBSTITUTE($H1131,"*","-"),MgAmenClave,0)),"No aplica")</f>
        <v/>
      </c>
      <c r="O1131" s="28">
        <f>IFERROR(INDEX(MgAmenDegI,MATCH(SUBSTITUTE($H1131,"*","-"),MgAmenClave,0)),"No aplica")</f>
        <v/>
      </c>
      <c r="P1131" s="28">
        <f>IFERROR(INDEX(MgAmenDegC,MATCH(SUBSTITUTE($H1131,"*","-"),MgAmenClave,0)),"No aplica")</f>
        <v/>
      </c>
      <c r="Q1131" s="29">
        <f>IFERROR(VLOOKUP(K1131,MgValor,2,0)*VLOOKUP(N1131,MgDeg,2,0),0)</f>
        <v/>
      </c>
      <c r="R1131" s="29">
        <f>IFERROR(VLOOKUP(L1131,MgValor,2,0)*VLOOKUP(O1131,MgDeg,2,0),0)</f>
        <v/>
      </c>
      <c r="S1131" s="29">
        <f>IFERROR(VLOOKUP(M1131,MgValor,2,0)*VLOOKUP(P1131,MgDeg,2,0),0)</f>
        <v/>
      </c>
      <c r="T1131" s="30">
        <f>MAX(Q1131:S1131)</f>
        <v/>
      </c>
      <c r="U1131" s="28">
        <f>IFERROR(LOOKUP(T1131,{0;0.5;1.5;3;4.5},{"Despreciable";"Bajo";"Medio";"Alto";"Muy alto"}),"")</f>
        <v/>
      </c>
      <c r="V1131" s="13">
        <f>IFERROR(INDEX(MgAmenFrec,MATCH(SUBSTITUTE($H1131,"*","-"),MgAmenClave,0)),"")</f>
        <v/>
      </c>
      <c r="W1131" s="28">
        <f>IFERROR(LOOKUP(X1131,{0;0.01;0.1;1;10;100},{"Muy baja";"Muy baja";"Baja";"Media";"Alta";"Muy alta"}),"")</f>
        <v/>
      </c>
      <c r="X1131" s="31">
        <f>IFERROR(VLOOKUP(V1131,MgFrec,2,0),0)</f>
        <v/>
      </c>
      <c r="Y1131" s="30">
        <f>T1131*X1131</f>
        <v/>
      </c>
      <c r="Z1131" s="28">
        <f>IFERROR(LOOKUP(Y1131,{0;0.5;5;25},{"Bajo";"Medio";"Alto";"Crítico"}),"")</f>
        <v/>
      </c>
      <c r="AA1131" s="64">
        <f>IF(T1131&gt;=3,IF(X1131&gt;=1,"Zona 1 — Crítica: impacto alto y ocurre al menos una vez al año","Zona 4 — Catastrófica poco probable: impacto alto pero excepcional"),IF(AND(T1131&lt;1.5,X1131&lt;1),"Zona 3 — Asumible: impacto bajo y muy poco frecuente","Zona 2 — Atención: riesgo intermedio"))</f>
        <v/>
      </c>
      <c r="AB1131" s="64">
        <f>IFERROR(INDEX(MgAmenCtrl,MATCH(SUBSTITUTE($H1131,"*","-"),MgAmenClave,0)),"")</f>
        <v/>
      </c>
      <c r="AC1131" s="20" t="n"/>
      <c r="AD1131" s="31">
        <f>IFERROR($X1131*(1-IF($AC1131="",$AL1131,VLOOKUP($AC1131,MgMad,2,0))),"")</f>
        <v/>
      </c>
      <c r="AE1131" s="28">
        <f>IFERROR(LOOKUP(AD1131,{0;0.01;0.1;1;10;100},{"Muy baja";"Muy baja";"Baja";"Media";"Alta";"Muy alta"}),"")</f>
        <v/>
      </c>
      <c r="AF1131" s="30">
        <f>T1131*AD1131</f>
        <v/>
      </c>
      <c r="AG1131" s="28">
        <f>IFERROR(LOOKUP(AF1131,{0;0.5;5;25},{"Bajo";"Medio";"Alto";"Crítico"}),"")</f>
        <v/>
      </c>
      <c r="AH1131" s="28">
        <f>IF(AG1131="","",IF(OR(AG1131="Crítico",AG1131="Alto"),"Mitigar",IF(AG1131="Medio","Mitigar","Aceptar y monitorear")))</f>
        <v/>
      </c>
      <c r="AI1131" s="21" t="n"/>
      <c r="AJ1131" s="21" t="n"/>
      <c r="AK1131" s="20" t="n"/>
      <c r="AL1131" s="77">
        <f>IFERROR(INDEX(MgAmenEfic,MATCH(SUBSTITUTE($H1131,"*","-"),MgAmenClave,0)),0)</f>
        <v/>
      </c>
    </row>
    <row r="1132" hidden="1" ht="120" customHeight="1" s="54">
      <c r="B1132" s="59" t="inlineStr">
        <is>
          <t>R-1127</t>
        </is>
      </c>
      <c r="C1132" s="59" t="inlineStr">
        <is>
          <t>GH-021</t>
        </is>
      </c>
      <c r="D1132" s="64">
        <f>IFERROR(INDEX(MgNombre,MATCH($C1132,MgActId,0)),"")</f>
        <v/>
      </c>
      <c r="E1132" s="64">
        <f>IFERROR(INDEX(MgProceso,MATCH($C1132,MgActId,0)),"")</f>
        <v/>
      </c>
      <c r="F1132" s="64">
        <f>IFERROR(INDEX(MgTipo,MATCH($C1132,MgActId,0)),"")</f>
        <v/>
      </c>
      <c r="G1132" s="64">
        <f>IFERROR(INDEX(MgSubtipo,MATCH($C1132,MgActId,0)),"")</f>
        <v/>
      </c>
      <c r="H1132" s="59" t="inlineStr">
        <is>
          <t>A.19</t>
        </is>
      </c>
      <c r="I1132" s="64">
        <f>IFERROR(INDEX(MgAmenNombre,MATCH(SUBSTITUTE($H1132,"*","-"),MgAmenClave,0)),"")</f>
        <v/>
      </c>
      <c r="J1132" s="28">
        <f>IFERROR(INDEX(MgAmenGrupo,MATCH(SUBSTITUTE($H1132,"*","-"),MgAmenClave,0)),"")</f>
        <v/>
      </c>
      <c r="K1132" s="64">
        <f>IFERROR(INDEX('1. Matriz de Activos'!$Q$6:$Q$239,MATCH($C1132,MgActId,0)),"")</f>
        <v/>
      </c>
      <c r="L1132" s="64">
        <f>IFERROR(INDEX('1. Matriz de Activos'!$R$6:$R$239,MATCH($C1132,MgActId,0)),"")</f>
        <v/>
      </c>
      <c r="M1132" s="64">
        <f>IFERROR(INDEX('1. Matriz de Activos'!$S$6:$S$239,MATCH($C1132,MgActId,0)),"")</f>
        <v/>
      </c>
      <c r="N1132" s="28">
        <f>IFERROR(INDEX(MgAmenDegD,MATCH(SUBSTITUTE($H1132,"*","-"),MgAmenClave,0)),"No aplica")</f>
        <v/>
      </c>
      <c r="O1132" s="28">
        <f>IFERROR(INDEX(MgAmenDegI,MATCH(SUBSTITUTE($H1132,"*","-"),MgAmenClave,0)),"No aplica")</f>
        <v/>
      </c>
      <c r="P1132" s="28">
        <f>IFERROR(INDEX(MgAmenDegC,MATCH(SUBSTITUTE($H1132,"*","-"),MgAmenClave,0)),"No aplica")</f>
        <v/>
      </c>
      <c r="Q1132" s="29">
        <f>IFERROR(VLOOKUP(K1132,MgValor,2,0)*VLOOKUP(N1132,MgDeg,2,0),0)</f>
        <v/>
      </c>
      <c r="R1132" s="29">
        <f>IFERROR(VLOOKUP(L1132,MgValor,2,0)*VLOOKUP(O1132,MgDeg,2,0),0)</f>
        <v/>
      </c>
      <c r="S1132" s="29">
        <f>IFERROR(VLOOKUP(M1132,MgValor,2,0)*VLOOKUP(P1132,MgDeg,2,0),0)</f>
        <v/>
      </c>
      <c r="T1132" s="30">
        <f>MAX(Q1132:S1132)</f>
        <v/>
      </c>
      <c r="U1132" s="28">
        <f>IFERROR(LOOKUP(T1132,{0;0.5;1.5;3;4.5},{"Despreciable";"Bajo";"Medio";"Alto";"Muy alto"}),"")</f>
        <v/>
      </c>
      <c r="V1132" s="13">
        <f>IFERROR(INDEX(MgAmenFrec,MATCH(SUBSTITUTE($H1132,"*","-"),MgAmenClave,0)),"")</f>
        <v/>
      </c>
      <c r="W1132" s="28">
        <f>IFERROR(LOOKUP(X1132,{0;0.01;0.1;1;10;100},{"Muy baja";"Muy baja";"Baja";"Media";"Alta";"Muy alta"}),"")</f>
        <v/>
      </c>
      <c r="X1132" s="31">
        <f>IFERROR(VLOOKUP(V1132,MgFrec,2,0),0)</f>
        <v/>
      </c>
      <c r="Y1132" s="30">
        <f>T1132*X1132</f>
        <v/>
      </c>
      <c r="Z1132" s="28">
        <f>IFERROR(LOOKUP(Y1132,{0;0.5;5;25},{"Bajo";"Medio";"Alto";"Crítico"}),"")</f>
        <v/>
      </c>
      <c r="AA1132" s="64">
        <f>IF(T1132&gt;=3,IF(X1132&gt;=1,"Zona 1 — Crítica: impacto alto y ocurre al menos una vez al año","Zona 4 — Catastrófica poco probable: impacto alto pero excepcional"),IF(AND(T1132&lt;1.5,X1132&lt;1),"Zona 3 — Asumible: impacto bajo y muy poco frecuente","Zona 2 — Atención: riesgo intermedio"))</f>
        <v/>
      </c>
      <c r="AB1132" s="64">
        <f>IFERROR(INDEX(MgAmenCtrl,MATCH(SUBSTITUTE($H1132,"*","-"),MgAmenClave,0)),"")</f>
        <v/>
      </c>
      <c r="AC1132" s="20" t="n"/>
      <c r="AD1132" s="31">
        <f>IFERROR($X1132*(1-IF($AC1132="",$AL1132,VLOOKUP($AC1132,MgMad,2,0))),"")</f>
        <v/>
      </c>
      <c r="AE1132" s="28">
        <f>IFERROR(LOOKUP(AD1132,{0;0.01;0.1;1;10;100},{"Muy baja";"Muy baja";"Baja";"Media";"Alta";"Muy alta"}),"")</f>
        <v/>
      </c>
      <c r="AF1132" s="30">
        <f>T1132*AD1132</f>
        <v/>
      </c>
      <c r="AG1132" s="28">
        <f>IFERROR(LOOKUP(AF1132,{0;0.5;5;25},{"Bajo";"Medio";"Alto";"Crítico"}),"")</f>
        <v/>
      </c>
      <c r="AH1132" s="28">
        <f>IF(AG1132="","",IF(OR(AG1132="Crítico",AG1132="Alto"),"Mitigar",IF(AG1132="Medio","Mitigar","Aceptar y monitorear")))</f>
        <v/>
      </c>
      <c r="AI1132" s="21" t="n"/>
      <c r="AJ1132" s="21" t="n"/>
      <c r="AK1132" s="20" t="n"/>
      <c r="AL1132" s="77">
        <f>IFERROR(INDEX(MgAmenEfic,MATCH(SUBSTITUTE($H1132,"*","-"),MgAmenClave,0)),0)</f>
        <v/>
      </c>
    </row>
    <row r="1133" hidden="1" ht="105" customHeight="1" s="54">
      <c r="B1133" s="59" t="inlineStr">
        <is>
          <t>R-1128</t>
        </is>
      </c>
      <c r="C1133" s="59" t="inlineStr">
        <is>
          <t>GH-016</t>
        </is>
      </c>
      <c r="D1133" s="64">
        <f>IFERROR(INDEX(MgNombre,MATCH($C1133,MgActId,0)),"")</f>
        <v/>
      </c>
      <c r="E1133" s="64">
        <f>IFERROR(INDEX(MgProceso,MATCH($C1133,MgActId,0)),"")</f>
        <v/>
      </c>
      <c r="F1133" s="64">
        <f>IFERROR(INDEX(MgTipo,MATCH($C1133,MgActId,0)),"")</f>
        <v/>
      </c>
      <c r="G1133" s="64">
        <f>IFERROR(INDEX(MgSubtipo,MATCH($C1133,MgActId,0)),"")</f>
        <v/>
      </c>
      <c r="H1133" s="59" t="inlineStr">
        <is>
          <t>E.1</t>
        </is>
      </c>
      <c r="I1133" s="64">
        <f>IFERROR(INDEX(MgAmenNombre,MATCH(SUBSTITUTE($H1133,"*","-"),MgAmenClave,0)),"")</f>
        <v/>
      </c>
      <c r="J1133" s="28">
        <f>IFERROR(INDEX(MgAmenGrupo,MATCH(SUBSTITUTE($H1133,"*","-"),MgAmenClave,0)),"")</f>
        <v/>
      </c>
      <c r="K1133" s="64">
        <f>IFERROR(INDEX('1. Matriz de Activos'!$Q$6:$Q$239,MATCH($C1133,MgActId,0)),"")</f>
        <v/>
      </c>
      <c r="L1133" s="64">
        <f>IFERROR(INDEX('1. Matriz de Activos'!$R$6:$R$239,MATCH($C1133,MgActId,0)),"")</f>
        <v/>
      </c>
      <c r="M1133" s="64">
        <f>IFERROR(INDEX('1. Matriz de Activos'!$S$6:$S$239,MATCH($C1133,MgActId,0)),"")</f>
        <v/>
      </c>
      <c r="N1133" s="28">
        <f>IFERROR(INDEX(MgAmenDegD,MATCH(SUBSTITUTE($H1133,"*","-"),MgAmenClave,0)),"No aplica")</f>
        <v/>
      </c>
      <c r="O1133" s="28">
        <f>IFERROR(INDEX(MgAmenDegI,MATCH(SUBSTITUTE($H1133,"*","-"),MgAmenClave,0)),"No aplica")</f>
        <v/>
      </c>
      <c r="P1133" s="28">
        <f>IFERROR(INDEX(MgAmenDegC,MATCH(SUBSTITUTE($H1133,"*","-"),MgAmenClave,0)),"No aplica")</f>
        <v/>
      </c>
      <c r="Q1133" s="29">
        <f>IFERROR(VLOOKUP(K1133,MgValor,2,0)*VLOOKUP(N1133,MgDeg,2,0),0)</f>
        <v/>
      </c>
      <c r="R1133" s="29">
        <f>IFERROR(VLOOKUP(L1133,MgValor,2,0)*VLOOKUP(O1133,MgDeg,2,0),0)</f>
        <v/>
      </c>
      <c r="S1133" s="29">
        <f>IFERROR(VLOOKUP(M1133,MgValor,2,0)*VLOOKUP(P1133,MgDeg,2,0),0)</f>
        <v/>
      </c>
      <c r="T1133" s="30">
        <f>MAX(Q1133:S1133)</f>
        <v/>
      </c>
      <c r="U1133" s="28">
        <f>IFERROR(LOOKUP(T1133,{0;0.5;1.5;3;4.5},{"Despreciable";"Bajo";"Medio";"Alto";"Muy alto"}),"")</f>
        <v/>
      </c>
      <c r="V1133" s="13">
        <f>IFERROR(INDEX(MgAmenFrec,MATCH(SUBSTITUTE($H1133,"*","-"),MgAmenClave,0)),"")</f>
        <v/>
      </c>
      <c r="W1133" s="28">
        <f>IFERROR(LOOKUP(X1133,{0;0.01;0.1;1;10;100},{"Muy baja";"Muy baja";"Baja";"Media";"Alta";"Muy alta"}),"")</f>
        <v/>
      </c>
      <c r="X1133" s="31">
        <f>IFERROR(VLOOKUP(V1133,MgFrec,2,0),0)</f>
        <v/>
      </c>
      <c r="Y1133" s="30">
        <f>T1133*X1133</f>
        <v/>
      </c>
      <c r="Z1133" s="28">
        <f>IFERROR(LOOKUP(Y1133,{0;0.5;5;25},{"Bajo";"Medio";"Alto";"Crítico"}),"")</f>
        <v/>
      </c>
      <c r="AA1133" s="64">
        <f>IF(T1133&gt;=3,IF(X1133&gt;=1,"Zona 1 — Crítica: impacto alto y ocurre al menos una vez al año","Zona 4 — Catastrófica poco probable: impacto alto pero excepcional"),IF(AND(T1133&lt;1.5,X1133&lt;1),"Zona 3 — Asumible: impacto bajo y muy poco frecuente","Zona 2 — Atención: riesgo intermedio"))</f>
        <v/>
      </c>
      <c r="AB1133" s="64">
        <f>IFERROR(INDEX(MgAmenCtrl,MATCH(SUBSTITUTE($H1133,"*","-"),MgAmenClave,0)),"")</f>
        <v/>
      </c>
      <c r="AC1133" s="20" t="n"/>
      <c r="AD1133" s="31">
        <f>IFERROR($X1133*(1-IF($AC1133="",$AL1133,VLOOKUP($AC1133,MgMad,2,0))),"")</f>
        <v/>
      </c>
      <c r="AE1133" s="28">
        <f>IFERROR(LOOKUP(AD1133,{0;0.01;0.1;1;10;100},{"Muy baja";"Muy baja";"Baja";"Media";"Alta";"Muy alta"}),"")</f>
        <v/>
      </c>
      <c r="AF1133" s="30">
        <f>T1133*AD1133</f>
        <v/>
      </c>
      <c r="AG1133" s="28">
        <f>IFERROR(LOOKUP(AF1133,{0;0.5;5;25},{"Bajo";"Medio";"Alto";"Crítico"}),"")</f>
        <v/>
      </c>
      <c r="AH1133" s="28">
        <f>IF(AG1133="","",IF(OR(AG1133="Crítico",AG1133="Alto"),"Mitigar",IF(AG1133="Medio","Mitigar","Aceptar y monitorear")))</f>
        <v/>
      </c>
      <c r="AI1133" s="21" t="n"/>
      <c r="AJ1133" s="21" t="n"/>
      <c r="AK1133" s="20" t="n"/>
      <c r="AL1133" s="77">
        <f>IFERROR(INDEX(MgAmenEfic,MATCH(SUBSTITUTE($H1133,"*","-"),MgAmenClave,0)),0)</f>
        <v/>
      </c>
    </row>
    <row r="1134" hidden="1" ht="120" customHeight="1" s="54">
      <c r="B1134" s="59" t="inlineStr">
        <is>
          <t>R-1129</t>
        </is>
      </c>
      <c r="C1134" s="59" t="inlineStr">
        <is>
          <t>GH-016</t>
        </is>
      </c>
      <c r="D1134" s="64">
        <f>IFERROR(INDEX(MgNombre,MATCH($C1134,MgActId,0)),"")</f>
        <v/>
      </c>
      <c r="E1134" s="64">
        <f>IFERROR(INDEX(MgProceso,MATCH($C1134,MgActId,0)),"")</f>
        <v/>
      </c>
      <c r="F1134" s="64">
        <f>IFERROR(INDEX(MgTipo,MATCH($C1134,MgActId,0)),"")</f>
        <v/>
      </c>
      <c r="G1134" s="64">
        <f>IFERROR(INDEX(MgSubtipo,MATCH($C1134,MgActId,0)),"")</f>
        <v/>
      </c>
      <c r="H1134" s="59" t="inlineStr">
        <is>
          <t>E.2</t>
        </is>
      </c>
      <c r="I1134" s="64">
        <f>IFERROR(INDEX(MgAmenNombre,MATCH(SUBSTITUTE($H1134,"*","-"),MgAmenClave,0)),"")</f>
        <v/>
      </c>
      <c r="J1134" s="28">
        <f>IFERROR(INDEX(MgAmenGrupo,MATCH(SUBSTITUTE($H1134,"*","-"),MgAmenClave,0)),"")</f>
        <v/>
      </c>
      <c r="K1134" s="64">
        <f>IFERROR(INDEX('1. Matriz de Activos'!$Q$6:$Q$239,MATCH($C1134,MgActId,0)),"")</f>
        <v/>
      </c>
      <c r="L1134" s="64">
        <f>IFERROR(INDEX('1. Matriz de Activos'!$R$6:$R$239,MATCH($C1134,MgActId,0)),"")</f>
        <v/>
      </c>
      <c r="M1134" s="64">
        <f>IFERROR(INDEX('1. Matriz de Activos'!$S$6:$S$239,MATCH($C1134,MgActId,0)),"")</f>
        <v/>
      </c>
      <c r="N1134" s="28">
        <f>IFERROR(INDEX(MgAmenDegD,MATCH(SUBSTITUTE($H1134,"*","-"),MgAmenClave,0)),"No aplica")</f>
        <v/>
      </c>
      <c r="O1134" s="28">
        <f>IFERROR(INDEX(MgAmenDegI,MATCH(SUBSTITUTE($H1134,"*","-"),MgAmenClave,0)),"No aplica")</f>
        <v/>
      </c>
      <c r="P1134" s="28">
        <f>IFERROR(INDEX(MgAmenDegC,MATCH(SUBSTITUTE($H1134,"*","-"),MgAmenClave,0)),"No aplica")</f>
        <v/>
      </c>
      <c r="Q1134" s="29">
        <f>IFERROR(VLOOKUP(K1134,MgValor,2,0)*VLOOKUP(N1134,MgDeg,2,0),0)</f>
        <v/>
      </c>
      <c r="R1134" s="29">
        <f>IFERROR(VLOOKUP(L1134,MgValor,2,0)*VLOOKUP(O1134,MgDeg,2,0),0)</f>
        <v/>
      </c>
      <c r="S1134" s="29">
        <f>IFERROR(VLOOKUP(M1134,MgValor,2,0)*VLOOKUP(P1134,MgDeg,2,0),0)</f>
        <v/>
      </c>
      <c r="T1134" s="30">
        <f>MAX(Q1134:S1134)</f>
        <v/>
      </c>
      <c r="U1134" s="28">
        <f>IFERROR(LOOKUP(T1134,{0;0.5;1.5;3;4.5},{"Despreciable";"Bajo";"Medio";"Alto";"Muy alto"}),"")</f>
        <v/>
      </c>
      <c r="V1134" s="13">
        <f>IFERROR(INDEX(MgAmenFrec,MATCH(SUBSTITUTE($H1134,"*","-"),MgAmenClave,0)),"")</f>
        <v/>
      </c>
      <c r="W1134" s="28">
        <f>IFERROR(LOOKUP(X1134,{0;0.01;0.1;1;10;100},{"Muy baja";"Muy baja";"Baja";"Media";"Alta";"Muy alta"}),"")</f>
        <v/>
      </c>
      <c r="X1134" s="31">
        <f>IFERROR(VLOOKUP(V1134,MgFrec,2,0),0)</f>
        <v/>
      </c>
      <c r="Y1134" s="30">
        <f>T1134*X1134</f>
        <v/>
      </c>
      <c r="Z1134" s="28">
        <f>IFERROR(LOOKUP(Y1134,{0;0.5;5;25},{"Bajo";"Medio";"Alto";"Crítico"}),"")</f>
        <v/>
      </c>
      <c r="AA1134" s="64">
        <f>IF(T1134&gt;=3,IF(X1134&gt;=1,"Zona 1 — Crítica: impacto alto y ocurre al menos una vez al año","Zona 4 — Catastrófica poco probable: impacto alto pero excepcional"),IF(AND(T1134&lt;1.5,X1134&lt;1),"Zona 3 — Asumible: impacto bajo y muy poco frecuente","Zona 2 — Atención: riesgo intermedio"))</f>
        <v/>
      </c>
      <c r="AB1134" s="64">
        <f>IFERROR(INDEX(MgAmenCtrl,MATCH(SUBSTITUTE($H1134,"*","-"),MgAmenClave,0)),"")</f>
        <v/>
      </c>
      <c r="AC1134" s="20" t="n"/>
      <c r="AD1134" s="31">
        <f>IFERROR($X1134*(1-IF($AC1134="",$AL1134,VLOOKUP($AC1134,MgMad,2,0))),"")</f>
        <v/>
      </c>
      <c r="AE1134" s="28">
        <f>IFERROR(LOOKUP(AD1134,{0;0.01;0.1;1;10;100},{"Muy baja";"Muy baja";"Baja";"Media";"Alta";"Muy alta"}),"")</f>
        <v/>
      </c>
      <c r="AF1134" s="30">
        <f>T1134*AD1134</f>
        <v/>
      </c>
      <c r="AG1134" s="28">
        <f>IFERROR(LOOKUP(AF1134,{0;0.5;5;25},{"Bajo";"Medio";"Alto";"Crítico"}),"")</f>
        <v/>
      </c>
      <c r="AH1134" s="28">
        <f>IF(AG1134="","",IF(OR(AG1134="Crítico",AG1134="Alto"),"Mitigar",IF(AG1134="Medio","Mitigar","Aceptar y monitorear")))</f>
        <v/>
      </c>
      <c r="AI1134" s="21" t="n"/>
      <c r="AJ1134" s="21" t="n"/>
      <c r="AK1134" s="20" t="n"/>
      <c r="AL1134" s="77">
        <f>IFERROR(INDEX(MgAmenEfic,MATCH(SUBSTITUTE($H1134,"*","-"),MgAmenClave,0)),0)</f>
        <v/>
      </c>
    </row>
    <row r="1135" hidden="1" ht="75" customHeight="1" s="54">
      <c r="B1135" s="59" t="inlineStr">
        <is>
          <t>R-1130</t>
        </is>
      </c>
      <c r="C1135" s="59" t="inlineStr">
        <is>
          <t>GH-016</t>
        </is>
      </c>
      <c r="D1135" s="64">
        <f>IFERROR(INDEX(MgNombre,MATCH($C1135,MgActId,0)),"")</f>
        <v/>
      </c>
      <c r="E1135" s="64">
        <f>IFERROR(INDEX(MgProceso,MATCH($C1135,MgActId,0)),"")</f>
        <v/>
      </c>
      <c r="F1135" s="64">
        <f>IFERROR(INDEX(MgTipo,MATCH($C1135,MgActId,0)),"")</f>
        <v/>
      </c>
      <c r="G1135" s="64">
        <f>IFERROR(INDEX(MgSubtipo,MATCH($C1135,MgActId,0)),"")</f>
        <v/>
      </c>
      <c r="H1135" s="59" t="inlineStr">
        <is>
          <t>E.3</t>
        </is>
      </c>
      <c r="I1135" s="64">
        <f>IFERROR(INDEX(MgAmenNombre,MATCH(SUBSTITUTE($H1135,"*","-"),MgAmenClave,0)),"")</f>
        <v/>
      </c>
      <c r="J1135" s="28">
        <f>IFERROR(INDEX(MgAmenGrupo,MATCH(SUBSTITUTE($H1135,"*","-"),MgAmenClave,0)),"")</f>
        <v/>
      </c>
      <c r="K1135" s="64">
        <f>IFERROR(INDEX('1. Matriz de Activos'!$Q$6:$Q$239,MATCH($C1135,MgActId,0)),"")</f>
        <v/>
      </c>
      <c r="L1135" s="64">
        <f>IFERROR(INDEX('1. Matriz de Activos'!$R$6:$R$239,MATCH($C1135,MgActId,0)),"")</f>
        <v/>
      </c>
      <c r="M1135" s="64">
        <f>IFERROR(INDEX('1. Matriz de Activos'!$S$6:$S$239,MATCH($C1135,MgActId,0)),"")</f>
        <v/>
      </c>
      <c r="N1135" s="28">
        <f>IFERROR(INDEX(MgAmenDegD,MATCH(SUBSTITUTE($H1135,"*","-"),MgAmenClave,0)),"No aplica")</f>
        <v/>
      </c>
      <c r="O1135" s="28">
        <f>IFERROR(INDEX(MgAmenDegI,MATCH(SUBSTITUTE($H1135,"*","-"),MgAmenClave,0)),"No aplica")</f>
        <v/>
      </c>
      <c r="P1135" s="28">
        <f>IFERROR(INDEX(MgAmenDegC,MATCH(SUBSTITUTE($H1135,"*","-"),MgAmenClave,0)),"No aplica")</f>
        <v/>
      </c>
      <c r="Q1135" s="29">
        <f>IFERROR(VLOOKUP(K1135,MgValor,2,0)*VLOOKUP(N1135,MgDeg,2,0),0)</f>
        <v/>
      </c>
      <c r="R1135" s="29">
        <f>IFERROR(VLOOKUP(L1135,MgValor,2,0)*VLOOKUP(O1135,MgDeg,2,0),0)</f>
        <v/>
      </c>
      <c r="S1135" s="29">
        <f>IFERROR(VLOOKUP(M1135,MgValor,2,0)*VLOOKUP(P1135,MgDeg,2,0),0)</f>
        <v/>
      </c>
      <c r="T1135" s="30">
        <f>MAX(Q1135:S1135)</f>
        <v/>
      </c>
      <c r="U1135" s="28">
        <f>IFERROR(LOOKUP(T1135,{0;0.5;1.5;3;4.5},{"Despreciable";"Bajo";"Medio";"Alto";"Muy alto"}),"")</f>
        <v/>
      </c>
      <c r="V1135" s="13">
        <f>IFERROR(INDEX(MgAmenFrec,MATCH(SUBSTITUTE($H1135,"*","-"),MgAmenClave,0)),"")</f>
        <v/>
      </c>
      <c r="W1135" s="28">
        <f>IFERROR(LOOKUP(X1135,{0;0.01;0.1;1;10;100},{"Muy baja";"Muy baja";"Baja";"Media";"Alta";"Muy alta"}),"")</f>
        <v/>
      </c>
      <c r="X1135" s="31">
        <f>IFERROR(VLOOKUP(V1135,MgFrec,2,0),0)</f>
        <v/>
      </c>
      <c r="Y1135" s="30">
        <f>T1135*X1135</f>
        <v/>
      </c>
      <c r="Z1135" s="28">
        <f>IFERROR(LOOKUP(Y1135,{0;0.5;5;25},{"Bajo";"Medio";"Alto";"Crítico"}),"")</f>
        <v/>
      </c>
      <c r="AA1135" s="64">
        <f>IF(T1135&gt;=3,IF(X1135&gt;=1,"Zona 1 — Crítica: impacto alto y ocurre al menos una vez al año","Zona 4 — Catastrófica poco probable: impacto alto pero excepcional"),IF(AND(T1135&lt;1.5,X1135&lt;1),"Zona 3 — Asumible: impacto bajo y muy poco frecuente","Zona 2 — Atención: riesgo intermedio"))</f>
        <v/>
      </c>
      <c r="AB1135" s="64">
        <f>IFERROR(INDEX(MgAmenCtrl,MATCH(SUBSTITUTE($H1135,"*","-"),MgAmenClave,0)),"")</f>
        <v/>
      </c>
      <c r="AC1135" s="20" t="n"/>
      <c r="AD1135" s="31">
        <f>IFERROR($X1135*(1-IF($AC1135="",$AL1135,VLOOKUP($AC1135,MgMad,2,0))),"")</f>
        <v/>
      </c>
      <c r="AE1135" s="28">
        <f>IFERROR(LOOKUP(AD1135,{0;0.01;0.1;1;10;100},{"Muy baja";"Muy baja";"Baja";"Media";"Alta";"Muy alta"}),"")</f>
        <v/>
      </c>
      <c r="AF1135" s="30">
        <f>T1135*AD1135</f>
        <v/>
      </c>
      <c r="AG1135" s="28">
        <f>IFERROR(LOOKUP(AF1135,{0;0.5;5;25},{"Bajo";"Medio";"Alto";"Crítico"}),"")</f>
        <v/>
      </c>
      <c r="AH1135" s="28">
        <f>IF(AG1135="","",IF(OR(AG1135="Crítico",AG1135="Alto"),"Mitigar",IF(AG1135="Medio","Mitigar","Aceptar y monitorear")))</f>
        <v/>
      </c>
      <c r="AI1135" s="21" t="n"/>
      <c r="AJ1135" s="21" t="n"/>
      <c r="AK1135" s="20" t="n"/>
      <c r="AL1135" s="77">
        <f>IFERROR(INDEX(MgAmenEfic,MATCH(SUBSTITUTE($H1135,"*","-"),MgAmenClave,0)),0)</f>
        <v/>
      </c>
    </row>
    <row r="1136" hidden="1" ht="75" customHeight="1" s="54">
      <c r="B1136" s="59" t="inlineStr">
        <is>
          <t>R-1131</t>
        </is>
      </c>
      <c r="C1136" s="59" t="inlineStr">
        <is>
          <t>GH-016</t>
        </is>
      </c>
      <c r="D1136" s="64">
        <f>IFERROR(INDEX(MgNombre,MATCH($C1136,MgActId,0)),"")</f>
        <v/>
      </c>
      <c r="E1136" s="64">
        <f>IFERROR(INDEX(MgProceso,MATCH($C1136,MgActId,0)),"")</f>
        <v/>
      </c>
      <c r="F1136" s="64">
        <f>IFERROR(INDEX(MgTipo,MATCH($C1136,MgActId,0)),"")</f>
        <v/>
      </c>
      <c r="G1136" s="64">
        <f>IFERROR(INDEX(MgSubtipo,MATCH($C1136,MgActId,0)),"")</f>
        <v/>
      </c>
      <c r="H1136" s="59" t="inlineStr">
        <is>
          <t>E.4</t>
        </is>
      </c>
      <c r="I1136" s="64">
        <f>IFERROR(INDEX(MgAmenNombre,MATCH(SUBSTITUTE($H1136,"*","-"),MgAmenClave,0)),"")</f>
        <v/>
      </c>
      <c r="J1136" s="28">
        <f>IFERROR(INDEX(MgAmenGrupo,MATCH(SUBSTITUTE($H1136,"*","-"),MgAmenClave,0)),"")</f>
        <v/>
      </c>
      <c r="K1136" s="64">
        <f>IFERROR(INDEX('1. Matriz de Activos'!$Q$6:$Q$239,MATCH($C1136,MgActId,0)),"")</f>
        <v/>
      </c>
      <c r="L1136" s="64">
        <f>IFERROR(INDEX('1. Matriz de Activos'!$R$6:$R$239,MATCH($C1136,MgActId,0)),"")</f>
        <v/>
      </c>
      <c r="M1136" s="64">
        <f>IFERROR(INDEX('1. Matriz de Activos'!$S$6:$S$239,MATCH($C1136,MgActId,0)),"")</f>
        <v/>
      </c>
      <c r="N1136" s="28">
        <f>IFERROR(INDEX(MgAmenDegD,MATCH(SUBSTITUTE($H1136,"*","-"),MgAmenClave,0)),"No aplica")</f>
        <v/>
      </c>
      <c r="O1136" s="28">
        <f>IFERROR(INDEX(MgAmenDegI,MATCH(SUBSTITUTE($H1136,"*","-"),MgAmenClave,0)),"No aplica")</f>
        <v/>
      </c>
      <c r="P1136" s="28">
        <f>IFERROR(INDEX(MgAmenDegC,MATCH(SUBSTITUTE($H1136,"*","-"),MgAmenClave,0)),"No aplica")</f>
        <v/>
      </c>
      <c r="Q1136" s="29">
        <f>IFERROR(VLOOKUP(K1136,MgValor,2,0)*VLOOKUP(N1136,MgDeg,2,0),0)</f>
        <v/>
      </c>
      <c r="R1136" s="29">
        <f>IFERROR(VLOOKUP(L1136,MgValor,2,0)*VLOOKUP(O1136,MgDeg,2,0),0)</f>
        <v/>
      </c>
      <c r="S1136" s="29">
        <f>IFERROR(VLOOKUP(M1136,MgValor,2,0)*VLOOKUP(P1136,MgDeg,2,0),0)</f>
        <v/>
      </c>
      <c r="T1136" s="30">
        <f>MAX(Q1136:S1136)</f>
        <v/>
      </c>
      <c r="U1136" s="28">
        <f>IFERROR(LOOKUP(T1136,{0;0.5;1.5;3;4.5},{"Despreciable";"Bajo";"Medio";"Alto";"Muy alto"}),"")</f>
        <v/>
      </c>
      <c r="V1136" s="13">
        <f>IFERROR(INDEX(MgAmenFrec,MATCH(SUBSTITUTE($H1136,"*","-"),MgAmenClave,0)),"")</f>
        <v/>
      </c>
      <c r="W1136" s="28">
        <f>IFERROR(LOOKUP(X1136,{0;0.01;0.1;1;10;100},{"Muy baja";"Muy baja";"Baja";"Media";"Alta";"Muy alta"}),"")</f>
        <v/>
      </c>
      <c r="X1136" s="31">
        <f>IFERROR(VLOOKUP(V1136,MgFrec,2,0),0)</f>
        <v/>
      </c>
      <c r="Y1136" s="30">
        <f>T1136*X1136</f>
        <v/>
      </c>
      <c r="Z1136" s="28">
        <f>IFERROR(LOOKUP(Y1136,{0;0.5;5;25},{"Bajo";"Medio";"Alto";"Crítico"}),"")</f>
        <v/>
      </c>
      <c r="AA1136" s="64">
        <f>IF(T1136&gt;=3,IF(X1136&gt;=1,"Zona 1 — Crítica: impacto alto y ocurre al menos una vez al año","Zona 4 — Catastrófica poco probable: impacto alto pero excepcional"),IF(AND(T1136&lt;1.5,X1136&lt;1),"Zona 3 — Asumible: impacto bajo y muy poco frecuente","Zona 2 — Atención: riesgo intermedio"))</f>
        <v/>
      </c>
      <c r="AB1136" s="64">
        <f>IFERROR(INDEX(MgAmenCtrl,MATCH(SUBSTITUTE($H1136,"*","-"),MgAmenClave,0)),"")</f>
        <v/>
      </c>
      <c r="AC1136" s="20" t="n"/>
      <c r="AD1136" s="31">
        <f>IFERROR($X1136*(1-IF($AC1136="",$AL1136,VLOOKUP($AC1136,MgMad,2,0))),"")</f>
        <v/>
      </c>
      <c r="AE1136" s="28">
        <f>IFERROR(LOOKUP(AD1136,{0;0.01;0.1;1;10;100},{"Muy baja";"Muy baja";"Baja";"Media";"Alta";"Muy alta"}),"")</f>
        <v/>
      </c>
      <c r="AF1136" s="30">
        <f>T1136*AD1136</f>
        <v/>
      </c>
      <c r="AG1136" s="28">
        <f>IFERROR(LOOKUP(AF1136,{0;0.5;5;25},{"Bajo";"Medio";"Alto";"Crítico"}),"")</f>
        <v/>
      </c>
      <c r="AH1136" s="28">
        <f>IF(AG1136="","",IF(OR(AG1136="Crítico",AG1136="Alto"),"Mitigar",IF(AG1136="Medio","Mitigar","Aceptar y monitorear")))</f>
        <v/>
      </c>
      <c r="AI1136" s="21" t="n"/>
      <c r="AJ1136" s="21" t="n"/>
      <c r="AK1136" s="20" t="n"/>
      <c r="AL1136" s="77">
        <f>IFERROR(INDEX(MgAmenEfic,MATCH(SUBSTITUTE($H1136,"*","-"),MgAmenClave,0)),0)</f>
        <v/>
      </c>
    </row>
    <row r="1137" hidden="1" ht="90" customHeight="1" s="54">
      <c r="B1137" s="59" t="inlineStr">
        <is>
          <t>R-1132</t>
        </is>
      </c>
      <c r="C1137" s="59" t="inlineStr">
        <is>
          <t>GH-016</t>
        </is>
      </c>
      <c r="D1137" s="64">
        <f>IFERROR(INDEX(MgNombre,MATCH($C1137,MgActId,0)),"")</f>
        <v/>
      </c>
      <c r="E1137" s="64">
        <f>IFERROR(INDEX(MgProceso,MATCH($C1137,MgActId,0)),"")</f>
        <v/>
      </c>
      <c r="F1137" s="64">
        <f>IFERROR(INDEX(MgTipo,MATCH($C1137,MgActId,0)),"")</f>
        <v/>
      </c>
      <c r="G1137" s="64">
        <f>IFERROR(INDEX(MgSubtipo,MATCH($C1137,MgActId,0)),"")</f>
        <v/>
      </c>
      <c r="H1137" s="59" t="inlineStr">
        <is>
          <t>E.14</t>
        </is>
      </c>
      <c r="I1137" s="64">
        <f>IFERROR(INDEX(MgAmenNombre,MATCH(SUBSTITUTE($H1137,"*","-"),MgAmenClave,0)),"")</f>
        <v/>
      </c>
      <c r="J1137" s="28">
        <f>IFERROR(INDEX(MgAmenGrupo,MATCH(SUBSTITUTE($H1137,"*","-"),MgAmenClave,0)),"")</f>
        <v/>
      </c>
      <c r="K1137" s="64">
        <f>IFERROR(INDEX('1. Matriz de Activos'!$Q$6:$Q$239,MATCH($C1137,MgActId,0)),"")</f>
        <v/>
      </c>
      <c r="L1137" s="64">
        <f>IFERROR(INDEX('1. Matriz de Activos'!$R$6:$R$239,MATCH($C1137,MgActId,0)),"")</f>
        <v/>
      </c>
      <c r="M1137" s="64">
        <f>IFERROR(INDEX('1. Matriz de Activos'!$S$6:$S$239,MATCH($C1137,MgActId,0)),"")</f>
        <v/>
      </c>
      <c r="N1137" s="28">
        <f>IFERROR(INDEX(MgAmenDegD,MATCH(SUBSTITUTE($H1137,"*","-"),MgAmenClave,0)),"No aplica")</f>
        <v/>
      </c>
      <c r="O1137" s="28">
        <f>IFERROR(INDEX(MgAmenDegI,MATCH(SUBSTITUTE($H1137,"*","-"),MgAmenClave,0)),"No aplica")</f>
        <v/>
      </c>
      <c r="P1137" s="28">
        <f>IFERROR(INDEX(MgAmenDegC,MATCH(SUBSTITUTE($H1137,"*","-"),MgAmenClave,0)),"No aplica")</f>
        <v/>
      </c>
      <c r="Q1137" s="29">
        <f>IFERROR(VLOOKUP(K1137,MgValor,2,0)*VLOOKUP(N1137,MgDeg,2,0),0)</f>
        <v/>
      </c>
      <c r="R1137" s="29">
        <f>IFERROR(VLOOKUP(L1137,MgValor,2,0)*VLOOKUP(O1137,MgDeg,2,0),0)</f>
        <v/>
      </c>
      <c r="S1137" s="29">
        <f>IFERROR(VLOOKUP(M1137,MgValor,2,0)*VLOOKUP(P1137,MgDeg,2,0),0)</f>
        <v/>
      </c>
      <c r="T1137" s="30">
        <f>MAX(Q1137:S1137)</f>
        <v/>
      </c>
      <c r="U1137" s="28">
        <f>IFERROR(LOOKUP(T1137,{0;0.5;1.5;3;4.5},{"Despreciable";"Bajo";"Medio";"Alto";"Muy alto"}),"")</f>
        <v/>
      </c>
      <c r="V1137" s="13">
        <f>IFERROR(INDEX(MgAmenFrec,MATCH(SUBSTITUTE($H1137,"*","-"),MgAmenClave,0)),"")</f>
        <v/>
      </c>
      <c r="W1137" s="28">
        <f>IFERROR(LOOKUP(X1137,{0;0.01;0.1;1;10;100},{"Muy baja";"Muy baja";"Baja";"Media";"Alta";"Muy alta"}),"")</f>
        <v/>
      </c>
      <c r="X1137" s="31">
        <f>IFERROR(VLOOKUP(V1137,MgFrec,2,0),0)</f>
        <v/>
      </c>
      <c r="Y1137" s="30">
        <f>T1137*X1137</f>
        <v/>
      </c>
      <c r="Z1137" s="28">
        <f>IFERROR(LOOKUP(Y1137,{0;0.5;5;25},{"Bajo";"Medio";"Alto";"Crítico"}),"")</f>
        <v/>
      </c>
      <c r="AA1137" s="64">
        <f>IF(T1137&gt;=3,IF(X1137&gt;=1,"Zona 1 — Crítica: impacto alto y ocurre al menos una vez al año","Zona 4 — Catastrófica poco probable: impacto alto pero excepcional"),IF(AND(T1137&lt;1.5,X1137&lt;1),"Zona 3 — Asumible: impacto bajo y muy poco frecuente","Zona 2 — Atención: riesgo intermedio"))</f>
        <v/>
      </c>
      <c r="AB1137" s="64">
        <f>IFERROR(INDEX(MgAmenCtrl,MATCH(SUBSTITUTE($H1137,"*","-"),MgAmenClave,0)),"")</f>
        <v/>
      </c>
      <c r="AC1137" s="20" t="n"/>
      <c r="AD1137" s="31">
        <f>IFERROR($X1137*(1-IF($AC1137="",$AL1137,VLOOKUP($AC1137,MgMad,2,0))),"")</f>
        <v/>
      </c>
      <c r="AE1137" s="28">
        <f>IFERROR(LOOKUP(AD1137,{0;0.01;0.1;1;10;100},{"Muy baja";"Muy baja";"Baja";"Media";"Alta";"Muy alta"}),"")</f>
        <v/>
      </c>
      <c r="AF1137" s="30">
        <f>T1137*AD1137</f>
        <v/>
      </c>
      <c r="AG1137" s="28">
        <f>IFERROR(LOOKUP(AF1137,{0;0.5;5;25},{"Bajo";"Medio";"Alto";"Crítico"}),"")</f>
        <v/>
      </c>
      <c r="AH1137" s="28">
        <f>IF(AG1137="","",IF(OR(AG1137="Crítico",AG1137="Alto"),"Mitigar",IF(AG1137="Medio","Mitigar","Aceptar y monitorear")))</f>
        <v/>
      </c>
      <c r="AI1137" s="21" t="n"/>
      <c r="AJ1137" s="21" t="n"/>
      <c r="AK1137" s="20" t="n"/>
      <c r="AL1137" s="77">
        <f>IFERROR(INDEX(MgAmenEfic,MATCH(SUBSTITUTE($H1137,"*","-"),MgAmenClave,0)),0)</f>
        <v/>
      </c>
    </row>
    <row r="1138" hidden="1" ht="90" customHeight="1" s="54">
      <c r="B1138" s="59" t="inlineStr">
        <is>
          <t>R-1133</t>
        </is>
      </c>
      <c r="C1138" s="59" t="inlineStr">
        <is>
          <t>GH-016</t>
        </is>
      </c>
      <c r="D1138" s="64">
        <f>IFERROR(INDEX(MgNombre,MATCH($C1138,MgActId,0)),"")</f>
        <v/>
      </c>
      <c r="E1138" s="64">
        <f>IFERROR(INDEX(MgProceso,MATCH($C1138,MgActId,0)),"")</f>
        <v/>
      </c>
      <c r="F1138" s="64">
        <f>IFERROR(INDEX(MgTipo,MATCH($C1138,MgActId,0)),"")</f>
        <v/>
      </c>
      <c r="G1138" s="64">
        <f>IFERROR(INDEX(MgSubtipo,MATCH($C1138,MgActId,0)),"")</f>
        <v/>
      </c>
      <c r="H1138" s="59" t="inlineStr">
        <is>
          <t>E.15</t>
        </is>
      </c>
      <c r="I1138" s="64">
        <f>IFERROR(INDEX(MgAmenNombre,MATCH(SUBSTITUTE($H1138,"*","-"),MgAmenClave,0)),"")</f>
        <v/>
      </c>
      <c r="J1138" s="28">
        <f>IFERROR(INDEX(MgAmenGrupo,MATCH(SUBSTITUTE($H1138,"*","-"),MgAmenClave,0)),"")</f>
        <v/>
      </c>
      <c r="K1138" s="64">
        <f>IFERROR(INDEX('1. Matriz de Activos'!$Q$6:$Q$239,MATCH($C1138,MgActId,0)),"")</f>
        <v/>
      </c>
      <c r="L1138" s="64">
        <f>IFERROR(INDEX('1. Matriz de Activos'!$R$6:$R$239,MATCH($C1138,MgActId,0)),"")</f>
        <v/>
      </c>
      <c r="M1138" s="64">
        <f>IFERROR(INDEX('1. Matriz de Activos'!$S$6:$S$239,MATCH($C1138,MgActId,0)),"")</f>
        <v/>
      </c>
      <c r="N1138" s="28">
        <f>IFERROR(INDEX(MgAmenDegD,MATCH(SUBSTITUTE($H1138,"*","-"),MgAmenClave,0)),"No aplica")</f>
        <v/>
      </c>
      <c r="O1138" s="28">
        <f>IFERROR(INDEX(MgAmenDegI,MATCH(SUBSTITUTE($H1138,"*","-"),MgAmenClave,0)),"No aplica")</f>
        <v/>
      </c>
      <c r="P1138" s="28">
        <f>IFERROR(INDEX(MgAmenDegC,MATCH(SUBSTITUTE($H1138,"*","-"),MgAmenClave,0)),"No aplica")</f>
        <v/>
      </c>
      <c r="Q1138" s="29">
        <f>IFERROR(VLOOKUP(K1138,MgValor,2,0)*VLOOKUP(N1138,MgDeg,2,0),0)</f>
        <v/>
      </c>
      <c r="R1138" s="29">
        <f>IFERROR(VLOOKUP(L1138,MgValor,2,0)*VLOOKUP(O1138,MgDeg,2,0),0)</f>
        <v/>
      </c>
      <c r="S1138" s="29">
        <f>IFERROR(VLOOKUP(M1138,MgValor,2,0)*VLOOKUP(P1138,MgDeg,2,0),0)</f>
        <v/>
      </c>
      <c r="T1138" s="30">
        <f>MAX(Q1138:S1138)</f>
        <v/>
      </c>
      <c r="U1138" s="28">
        <f>IFERROR(LOOKUP(T1138,{0;0.5;1.5;3;4.5},{"Despreciable";"Bajo";"Medio";"Alto";"Muy alto"}),"")</f>
        <v/>
      </c>
      <c r="V1138" s="13">
        <f>IFERROR(INDEX(MgAmenFrec,MATCH(SUBSTITUTE($H1138,"*","-"),MgAmenClave,0)),"")</f>
        <v/>
      </c>
      <c r="W1138" s="28">
        <f>IFERROR(LOOKUP(X1138,{0;0.01;0.1;1;10;100},{"Muy baja";"Muy baja";"Baja";"Media";"Alta";"Muy alta"}),"")</f>
        <v/>
      </c>
      <c r="X1138" s="31">
        <f>IFERROR(VLOOKUP(V1138,MgFrec,2,0),0)</f>
        <v/>
      </c>
      <c r="Y1138" s="30">
        <f>T1138*X1138</f>
        <v/>
      </c>
      <c r="Z1138" s="28">
        <f>IFERROR(LOOKUP(Y1138,{0;0.5;5;25},{"Bajo";"Medio";"Alto";"Crítico"}),"")</f>
        <v/>
      </c>
      <c r="AA1138" s="64">
        <f>IF(T1138&gt;=3,IF(X1138&gt;=1,"Zona 1 — Crítica: impacto alto y ocurre al menos una vez al año","Zona 4 — Catastrófica poco probable: impacto alto pero excepcional"),IF(AND(T1138&lt;1.5,X1138&lt;1),"Zona 3 — Asumible: impacto bajo y muy poco frecuente","Zona 2 — Atención: riesgo intermedio"))</f>
        <v/>
      </c>
      <c r="AB1138" s="64">
        <f>IFERROR(INDEX(MgAmenCtrl,MATCH(SUBSTITUTE($H1138,"*","-"),MgAmenClave,0)),"")</f>
        <v/>
      </c>
      <c r="AC1138" s="20" t="n"/>
      <c r="AD1138" s="31">
        <f>IFERROR($X1138*(1-IF($AC1138="",$AL1138,VLOOKUP($AC1138,MgMad,2,0))),"")</f>
        <v/>
      </c>
      <c r="AE1138" s="28">
        <f>IFERROR(LOOKUP(AD1138,{0;0.01;0.1;1;10;100},{"Muy baja";"Muy baja";"Baja";"Media";"Alta";"Muy alta"}),"")</f>
        <v/>
      </c>
      <c r="AF1138" s="30">
        <f>T1138*AD1138</f>
        <v/>
      </c>
      <c r="AG1138" s="28">
        <f>IFERROR(LOOKUP(AF1138,{0;0.5;5;25},{"Bajo";"Medio";"Alto";"Crítico"}),"")</f>
        <v/>
      </c>
      <c r="AH1138" s="28">
        <f>IF(AG1138="","",IF(OR(AG1138="Crítico",AG1138="Alto"),"Mitigar",IF(AG1138="Medio","Mitigar","Aceptar y monitorear")))</f>
        <v/>
      </c>
      <c r="AI1138" s="21" t="n"/>
      <c r="AJ1138" s="21" t="n"/>
      <c r="AK1138" s="20" t="n"/>
      <c r="AL1138" s="77">
        <f>IFERROR(INDEX(MgAmenEfic,MATCH(SUBSTITUTE($H1138,"*","-"),MgAmenClave,0)),0)</f>
        <v/>
      </c>
    </row>
    <row r="1139" hidden="1" ht="60" customHeight="1" s="54">
      <c r="B1139" s="59" t="inlineStr">
        <is>
          <t>R-1134</t>
        </is>
      </c>
      <c r="C1139" s="59" t="inlineStr">
        <is>
          <t>GH-016</t>
        </is>
      </c>
      <c r="D1139" s="64">
        <f>IFERROR(INDEX(MgNombre,MATCH($C1139,MgActId,0)),"")</f>
        <v/>
      </c>
      <c r="E1139" s="64">
        <f>IFERROR(INDEX(MgProceso,MATCH($C1139,MgActId,0)),"")</f>
        <v/>
      </c>
      <c r="F1139" s="64">
        <f>IFERROR(INDEX(MgTipo,MATCH($C1139,MgActId,0)),"")</f>
        <v/>
      </c>
      <c r="G1139" s="64">
        <f>IFERROR(INDEX(MgSubtipo,MATCH($C1139,MgActId,0)),"")</f>
        <v/>
      </c>
      <c r="H1139" s="59" t="inlineStr">
        <is>
          <t>E.18</t>
        </is>
      </c>
      <c r="I1139" s="64">
        <f>IFERROR(INDEX(MgAmenNombre,MATCH(SUBSTITUTE($H1139,"*","-"),MgAmenClave,0)),"")</f>
        <v/>
      </c>
      <c r="J1139" s="28">
        <f>IFERROR(INDEX(MgAmenGrupo,MATCH(SUBSTITUTE($H1139,"*","-"),MgAmenClave,0)),"")</f>
        <v/>
      </c>
      <c r="K1139" s="64">
        <f>IFERROR(INDEX('1. Matriz de Activos'!$Q$6:$Q$239,MATCH($C1139,MgActId,0)),"")</f>
        <v/>
      </c>
      <c r="L1139" s="64">
        <f>IFERROR(INDEX('1. Matriz de Activos'!$R$6:$R$239,MATCH($C1139,MgActId,0)),"")</f>
        <v/>
      </c>
      <c r="M1139" s="64">
        <f>IFERROR(INDEX('1. Matriz de Activos'!$S$6:$S$239,MATCH($C1139,MgActId,0)),"")</f>
        <v/>
      </c>
      <c r="N1139" s="28">
        <f>IFERROR(INDEX(MgAmenDegD,MATCH(SUBSTITUTE($H1139,"*","-"),MgAmenClave,0)),"No aplica")</f>
        <v/>
      </c>
      <c r="O1139" s="28">
        <f>IFERROR(INDEX(MgAmenDegI,MATCH(SUBSTITUTE($H1139,"*","-"),MgAmenClave,0)),"No aplica")</f>
        <v/>
      </c>
      <c r="P1139" s="28">
        <f>IFERROR(INDEX(MgAmenDegC,MATCH(SUBSTITUTE($H1139,"*","-"),MgAmenClave,0)),"No aplica")</f>
        <v/>
      </c>
      <c r="Q1139" s="29">
        <f>IFERROR(VLOOKUP(K1139,MgValor,2,0)*VLOOKUP(N1139,MgDeg,2,0),0)</f>
        <v/>
      </c>
      <c r="R1139" s="29">
        <f>IFERROR(VLOOKUP(L1139,MgValor,2,0)*VLOOKUP(O1139,MgDeg,2,0),0)</f>
        <v/>
      </c>
      <c r="S1139" s="29">
        <f>IFERROR(VLOOKUP(M1139,MgValor,2,0)*VLOOKUP(P1139,MgDeg,2,0),0)</f>
        <v/>
      </c>
      <c r="T1139" s="30">
        <f>MAX(Q1139:S1139)</f>
        <v/>
      </c>
      <c r="U1139" s="28">
        <f>IFERROR(LOOKUP(T1139,{0;0.5;1.5;3;4.5},{"Despreciable";"Bajo";"Medio";"Alto";"Muy alto"}),"")</f>
        <v/>
      </c>
      <c r="V1139" s="13">
        <f>IFERROR(INDEX(MgAmenFrec,MATCH(SUBSTITUTE($H1139,"*","-"),MgAmenClave,0)),"")</f>
        <v/>
      </c>
      <c r="W1139" s="28">
        <f>IFERROR(LOOKUP(X1139,{0;0.01;0.1;1;10;100},{"Muy baja";"Muy baja";"Baja";"Media";"Alta";"Muy alta"}),"")</f>
        <v/>
      </c>
      <c r="X1139" s="31">
        <f>IFERROR(VLOOKUP(V1139,MgFrec,2,0),0)</f>
        <v/>
      </c>
      <c r="Y1139" s="30">
        <f>T1139*X1139</f>
        <v/>
      </c>
      <c r="Z1139" s="28">
        <f>IFERROR(LOOKUP(Y1139,{0;0.5;5;25},{"Bajo";"Medio";"Alto";"Crítico"}),"")</f>
        <v/>
      </c>
      <c r="AA1139" s="64">
        <f>IF(T1139&gt;=3,IF(X1139&gt;=1,"Zona 1 — Crítica: impacto alto y ocurre al menos una vez al año","Zona 4 — Catastrófica poco probable: impacto alto pero excepcional"),IF(AND(T1139&lt;1.5,X1139&lt;1),"Zona 3 — Asumible: impacto bajo y muy poco frecuente","Zona 2 — Atención: riesgo intermedio"))</f>
        <v/>
      </c>
      <c r="AB1139" s="64">
        <f>IFERROR(INDEX(MgAmenCtrl,MATCH(SUBSTITUTE($H1139,"*","-"),MgAmenClave,0)),"")</f>
        <v/>
      </c>
      <c r="AC1139" s="20" t="n"/>
      <c r="AD1139" s="31">
        <f>IFERROR($X1139*(1-IF($AC1139="",$AL1139,VLOOKUP($AC1139,MgMad,2,0))),"")</f>
        <v/>
      </c>
      <c r="AE1139" s="28">
        <f>IFERROR(LOOKUP(AD1139,{0;0.01;0.1;1;10;100},{"Muy baja";"Muy baja";"Baja";"Media";"Alta";"Muy alta"}),"")</f>
        <v/>
      </c>
      <c r="AF1139" s="30">
        <f>T1139*AD1139</f>
        <v/>
      </c>
      <c r="AG1139" s="28">
        <f>IFERROR(LOOKUP(AF1139,{0;0.5;5;25},{"Bajo";"Medio";"Alto";"Crítico"}),"")</f>
        <v/>
      </c>
      <c r="AH1139" s="28">
        <f>IF(AG1139="","",IF(OR(AG1139="Crítico",AG1139="Alto"),"Mitigar",IF(AG1139="Medio","Mitigar","Aceptar y monitorear")))</f>
        <v/>
      </c>
      <c r="AI1139" s="21" t="n"/>
      <c r="AJ1139" s="21" t="n"/>
      <c r="AK1139" s="20" t="n"/>
      <c r="AL1139" s="77">
        <f>IFERROR(INDEX(MgAmenEfic,MATCH(SUBSTITUTE($H1139,"*","-"),MgAmenClave,0)),0)</f>
        <v/>
      </c>
    </row>
    <row r="1140" hidden="1" ht="105" customHeight="1" s="54">
      <c r="B1140" s="59" t="inlineStr">
        <is>
          <t>R-1135</t>
        </is>
      </c>
      <c r="C1140" s="59" t="inlineStr">
        <is>
          <t>GH-016</t>
        </is>
      </c>
      <c r="D1140" s="64">
        <f>IFERROR(INDEX(MgNombre,MATCH($C1140,MgActId,0)),"")</f>
        <v/>
      </c>
      <c r="E1140" s="64">
        <f>IFERROR(INDEX(MgProceso,MATCH($C1140,MgActId,0)),"")</f>
        <v/>
      </c>
      <c r="F1140" s="64">
        <f>IFERROR(INDEX(MgTipo,MATCH($C1140,MgActId,0)),"")</f>
        <v/>
      </c>
      <c r="G1140" s="64">
        <f>IFERROR(INDEX(MgSubtipo,MATCH($C1140,MgActId,0)),"")</f>
        <v/>
      </c>
      <c r="H1140" s="59" t="inlineStr">
        <is>
          <t>E.19</t>
        </is>
      </c>
      <c r="I1140" s="64">
        <f>IFERROR(INDEX(MgAmenNombre,MATCH(SUBSTITUTE($H1140,"*","-"),MgAmenClave,0)),"")</f>
        <v/>
      </c>
      <c r="J1140" s="28">
        <f>IFERROR(INDEX(MgAmenGrupo,MATCH(SUBSTITUTE($H1140,"*","-"),MgAmenClave,0)),"")</f>
        <v/>
      </c>
      <c r="K1140" s="64">
        <f>IFERROR(INDEX('1. Matriz de Activos'!$Q$6:$Q$239,MATCH($C1140,MgActId,0)),"")</f>
        <v/>
      </c>
      <c r="L1140" s="64">
        <f>IFERROR(INDEX('1. Matriz de Activos'!$R$6:$R$239,MATCH($C1140,MgActId,0)),"")</f>
        <v/>
      </c>
      <c r="M1140" s="64">
        <f>IFERROR(INDEX('1. Matriz de Activos'!$S$6:$S$239,MATCH($C1140,MgActId,0)),"")</f>
        <v/>
      </c>
      <c r="N1140" s="28">
        <f>IFERROR(INDEX(MgAmenDegD,MATCH(SUBSTITUTE($H1140,"*","-"),MgAmenClave,0)),"No aplica")</f>
        <v/>
      </c>
      <c r="O1140" s="28">
        <f>IFERROR(INDEX(MgAmenDegI,MATCH(SUBSTITUTE($H1140,"*","-"),MgAmenClave,0)),"No aplica")</f>
        <v/>
      </c>
      <c r="P1140" s="28">
        <f>IFERROR(INDEX(MgAmenDegC,MATCH(SUBSTITUTE($H1140,"*","-"),MgAmenClave,0)),"No aplica")</f>
        <v/>
      </c>
      <c r="Q1140" s="29">
        <f>IFERROR(VLOOKUP(K1140,MgValor,2,0)*VLOOKUP(N1140,MgDeg,2,0),0)</f>
        <v/>
      </c>
      <c r="R1140" s="29">
        <f>IFERROR(VLOOKUP(L1140,MgValor,2,0)*VLOOKUP(O1140,MgDeg,2,0),0)</f>
        <v/>
      </c>
      <c r="S1140" s="29">
        <f>IFERROR(VLOOKUP(M1140,MgValor,2,0)*VLOOKUP(P1140,MgDeg,2,0),0)</f>
        <v/>
      </c>
      <c r="T1140" s="30">
        <f>MAX(Q1140:S1140)</f>
        <v/>
      </c>
      <c r="U1140" s="28">
        <f>IFERROR(LOOKUP(T1140,{0;0.5;1.5;3;4.5},{"Despreciable";"Bajo";"Medio";"Alto";"Muy alto"}),"")</f>
        <v/>
      </c>
      <c r="V1140" s="13">
        <f>IFERROR(INDEX(MgAmenFrec,MATCH(SUBSTITUTE($H1140,"*","-"),MgAmenClave,0)),"")</f>
        <v/>
      </c>
      <c r="W1140" s="28">
        <f>IFERROR(LOOKUP(X1140,{0;0.01;0.1;1;10;100},{"Muy baja";"Muy baja";"Baja";"Media";"Alta";"Muy alta"}),"")</f>
        <v/>
      </c>
      <c r="X1140" s="31">
        <f>IFERROR(VLOOKUP(V1140,MgFrec,2,0),0)</f>
        <v/>
      </c>
      <c r="Y1140" s="30">
        <f>T1140*X1140</f>
        <v/>
      </c>
      <c r="Z1140" s="28">
        <f>IFERROR(LOOKUP(Y1140,{0;0.5;5;25},{"Bajo";"Medio";"Alto";"Crítico"}),"")</f>
        <v/>
      </c>
      <c r="AA1140" s="64">
        <f>IF(T1140&gt;=3,IF(X1140&gt;=1,"Zona 1 — Crítica: impacto alto y ocurre al menos una vez al año","Zona 4 — Catastrófica poco probable: impacto alto pero excepcional"),IF(AND(T1140&lt;1.5,X1140&lt;1),"Zona 3 — Asumible: impacto bajo y muy poco frecuente","Zona 2 — Atención: riesgo intermedio"))</f>
        <v/>
      </c>
      <c r="AB1140" s="64">
        <f>IFERROR(INDEX(MgAmenCtrl,MATCH(SUBSTITUTE($H1140,"*","-"),MgAmenClave,0)),"")</f>
        <v/>
      </c>
      <c r="AC1140" s="20" t="n"/>
      <c r="AD1140" s="31">
        <f>IFERROR($X1140*(1-IF($AC1140="",$AL1140,VLOOKUP($AC1140,MgMad,2,0))),"")</f>
        <v/>
      </c>
      <c r="AE1140" s="28">
        <f>IFERROR(LOOKUP(AD1140,{0;0.01;0.1;1;10;100},{"Muy baja";"Muy baja";"Baja";"Media";"Alta";"Muy alta"}),"")</f>
        <v/>
      </c>
      <c r="AF1140" s="30">
        <f>T1140*AD1140</f>
        <v/>
      </c>
      <c r="AG1140" s="28">
        <f>IFERROR(LOOKUP(AF1140,{0;0.5;5;25},{"Bajo";"Medio";"Alto";"Crítico"}),"")</f>
        <v/>
      </c>
      <c r="AH1140" s="28">
        <f>IF(AG1140="","",IF(OR(AG1140="Crítico",AG1140="Alto"),"Mitigar",IF(AG1140="Medio","Mitigar","Aceptar y monitorear")))</f>
        <v/>
      </c>
      <c r="AI1140" s="21" t="n"/>
      <c r="AJ1140" s="21" t="n"/>
      <c r="AK1140" s="20" t="n"/>
      <c r="AL1140" s="77">
        <f>IFERROR(INDEX(MgAmenEfic,MATCH(SUBSTITUTE($H1140,"*","-"),MgAmenClave,0)),0)</f>
        <v/>
      </c>
    </row>
    <row r="1141" hidden="1" ht="60" customHeight="1" s="54">
      <c r="B1141" s="59" t="inlineStr">
        <is>
          <t>R-1136</t>
        </is>
      </c>
      <c r="C1141" s="59" t="inlineStr">
        <is>
          <t>GH-016</t>
        </is>
      </c>
      <c r="D1141" s="64">
        <f>IFERROR(INDEX(MgNombre,MATCH($C1141,MgActId,0)),"")</f>
        <v/>
      </c>
      <c r="E1141" s="64">
        <f>IFERROR(INDEX(MgProceso,MATCH($C1141,MgActId,0)),"")</f>
        <v/>
      </c>
      <c r="F1141" s="64">
        <f>IFERROR(INDEX(MgTipo,MATCH($C1141,MgActId,0)),"")</f>
        <v/>
      </c>
      <c r="G1141" s="64">
        <f>IFERROR(INDEX(MgSubtipo,MATCH($C1141,MgActId,0)),"")</f>
        <v/>
      </c>
      <c r="H1141" s="59" t="inlineStr">
        <is>
          <t>A.3</t>
        </is>
      </c>
      <c r="I1141" s="64">
        <f>IFERROR(INDEX(MgAmenNombre,MATCH(SUBSTITUTE($H1141,"*","-"),MgAmenClave,0)),"")</f>
        <v/>
      </c>
      <c r="J1141" s="28">
        <f>IFERROR(INDEX(MgAmenGrupo,MATCH(SUBSTITUTE($H1141,"*","-"),MgAmenClave,0)),"")</f>
        <v/>
      </c>
      <c r="K1141" s="64">
        <f>IFERROR(INDEX('1. Matriz de Activos'!$Q$6:$Q$239,MATCH($C1141,MgActId,0)),"")</f>
        <v/>
      </c>
      <c r="L1141" s="64">
        <f>IFERROR(INDEX('1. Matriz de Activos'!$R$6:$R$239,MATCH($C1141,MgActId,0)),"")</f>
        <v/>
      </c>
      <c r="M1141" s="64">
        <f>IFERROR(INDEX('1. Matriz de Activos'!$S$6:$S$239,MATCH($C1141,MgActId,0)),"")</f>
        <v/>
      </c>
      <c r="N1141" s="28">
        <f>IFERROR(INDEX(MgAmenDegD,MATCH(SUBSTITUTE($H1141,"*","-"),MgAmenClave,0)),"No aplica")</f>
        <v/>
      </c>
      <c r="O1141" s="28">
        <f>IFERROR(INDEX(MgAmenDegI,MATCH(SUBSTITUTE($H1141,"*","-"),MgAmenClave,0)),"No aplica")</f>
        <v/>
      </c>
      <c r="P1141" s="28">
        <f>IFERROR(INDEX(MgAmenDegC,MATCH(SUBSTITUTE($H1141,"*","-"),MgAmenClave,0)),"No aplica")</f>
        <v/>
      </c>
      <c r="Q1141" s="29">
        <f>IFERROR(VLOOKUP(K1141,MgValor,2,0)*VLOOKUP(N1141,MgDeg,2,0),0)</f>
        <v/>
      </c>
      <c r="R1141" s="29">
        <f>IFERROR(VLOOKUP(L1141,MgValor,2,0)*VLOOKUP(O1141,MgDeg,2,0),0)</f>
        <v/>
      </c>
      <c r="S1141" s="29">
        <f>IFERROR(VLOOKUP(M1141,MgValor,2,0)*VLOOKUP(P1141,MgDeg,2,0),0)</f>
        <v/>
      </c>
      <c r="T1141" s="30">
        <f>MAX(Q1141:S1141)</f>
        <v/>
      </c>
      <c r="U1141" s="28">
        <f>IFERROR(LOOKUP(T1141,{0;0.5;1.5;3;4.5},{"Despreciable";"Bajo";"Medio";"Alto";"Muy alto"}),"")</f>
        <v/>
      </c>
      <c r="V1141" s="13">
        <f>IFERROR(INDEX(MgAmenFrec,MATCH(SUBSTITUTE($H1141,"*","-"),MgAmenClave,0)),"")</f>
        <v/>
      </c>
      <c r="W1141" s="28">
        <f>IFERROR(LOOKUP(X1141,{0;0.01;0.1;1;10;100},{"Muy baja";"Muy baja";"Baja";"Media";"Alta";"Muy alta"}),"")</f>
        <v/>
      </c>
      <c r="X1141" s="31">
        <f>IFERROR(VLOOKUP(V1141,MgFrec,2,0),0)</f>
        <v/>
      </c>
      <c r="Y1141" s="30">
        <f>T1141*X1141</f>
        <v/>
      </c>
      <c r="Z1141" s="28">
        <f>IFERROR(LOOKUP(Y1141,{0;0.5;5;25},{"Bajo";"Medio";"Alto";"Crítico"}),"")</f>
        <v/>
      </c>
      <c r="AA1141" s="64">
        <f>IF(T1141&gt;=3,IF(X1141&gt;=1,"Zona 1 — Crítica: impacto alto y ocurre al menos una vez al año","Zona 4 — Catastrófica poco probable: impacto alto pero excepcional"),IF(AND(T1141&lt;1.5,X1141&lt;1),"Zona 3 — Asumible: impacto bajo y muy poco frecuente","Zona 2 — Atención: riesgo intermedio"))</f>
        <v/>
      </c>
      <c r="AB1141" s="64">
        <f>IFERROR(INDEX(MgAmenCtrl,MATCH(SUBSTITUTE($H1141,"*","-"),MgAmenClave,0)),"")</f>
        <v/>
      </c>
      <c r="AC1141" s="20" t="n"/>
      <c r="AD1141" s="31">
        <f>IFERROR($X1141*(1-IF($AC1141="",$AL1141,VLOOKUP($AC1141,MgMad,2,0))),"")</f>
        <v/>
      </c>
      <c r="AE1141" s="28">
        <f>IFERROR(LOOKUP(AD1141,{0;0.01;0.1;1;10;100},{"Muy baja";"Muy baja";"Baja";"Media";"Alta";"Muy alta"}),"")</f>
        <v/>
      </c>
      <c r="AF1141" s="30">
        <f>T1141*AD1141</f>
        <v/>
      </c>
      <c r="AG1141" s="28">
        <f>IFERROR(LOOKUP(AF1141,{0;0.5;5;25},{"Bajo";"Medio";"Alto";"Crítico"}),"")</f>
        <v/>
      </c>
      <c r="AH1141" s="28">
        <f>IF(AG1141="","",IF(OR(AG1141="Crítico",AG1141="Alto"),"Mitigar",IF(AG1141="Medio","Mitigar","Aceptar y monitorear")))</f>
        <v/>
      </c>
      <c r="AI1141" s="21" t="n"/>
      <c r="AJ1141" s="21" t="n"/>
      <c r="AK1141" s="20" t="n"/>
      <c r="AL1141" s="77">
        <f>IFERROR(INDEX(MgAmenEfic,MATCH(SUBSTITUTE($H1141,"*","-"),MgAmenClave,0)),0)</f>
        <v/>
      </c>
    </row>
    <row r="1142" hidden="1" ht="60" customHeight="1" s="54">
      <c r="B1142" s="59" t="inlineStr">
        <is>
          <t>R-1137</t>
        </is>
      </c>
      <c r="C1142" s="59" t="inlineStr">
        <is>
          <t>GH-016</t>
        </is>
      </c>
      <c r="D1142" s="64">
        <f>IFERROR(INDEX(MgNombre,MATCH($C1142,MgActId,0)),"")</f>
        <v/>
      </c>
      <c r="E1142" s="64">
        <f>IFERROR(INDEX(MgProceso,MATCH($C1142,MgActId,0)),"")</f>
        <v/>
      </c>
      <c r="F1142" s="64">
        <f>IFERROR(INDEX(MgTipo,MATCH($C1142,MgActId,0)),"")</f>
        <v/>
      </c>
      <c r="G1142" s="64">
        <f>IFERROR(INDEX(MgSubtipo,MATCH($C1142,MgActId,0)),"")</f>
        <v/>
      </c>
      <c r="H1142" s="59" t="inlineStr">
        <is>
          <t>A.4</t>
        </is>
      </c>
      <c r="I1142" s="64">
        <f>IFERROR(INDEX(MgAmenNombre,MATCH(SUBSTITUTE($H1142,"*","-"),MgAmenClave,0)),"")</f>
        <v/>
      </c>
      <c r="J1142" s="28">
        <f>IFERROR(INDEX(MgAmenGrupo,MATCH(SUBSTITUTE($H1142,"*","-"),MgAmenClave,0)),"")</f>
        <v/>
      </c>
      <c r="K1142" s="64">
        <f>IFERROR(INDEX('1. Matriz de Activos'!$Q$6:$Q$239,MATCH($C1142,MgActId,0)),"")</f>
        <v/>
      </c>
      <c r="L1142" s="64">
        <f>IFERROR(INDEX('1. Matriz de Activos'!$R$6:$R$239,MATCH($C1142,MgActId,0)),"")</f>
        <v/>
      </c>
      <c r="M1142" s="64">
        <f>IFERROR(INDEX('1. Matriz de Activos'!$S$6:$S$239,MATCH($C1142,MgActId,0)),"")</f>
        <v/>
      </c>
      <c r="N1142" s="28">
        <f>IFERROR(INDEX(MgAmenDegD,MATCH(SUBSTITUTE($H1142,"*","-"),MgAmenClave,0)),"No aplica")</f>
        <v/>
      </c>
      <c r="O1142" s="28">
        <f>IFERROR(INDEX(MgAmenDegI,MATCH(SUBSTITUTE($H1142,"*","-"),MgAmenClave,0)),"No aplica")</f>
        <v/>
      </c>
      <c r="P1142" s="28">
        <f>IFERROR(INDEX(MgAmenDegC,MATCH(SUBSTITUTE($H1142,"*","-"),MgAmenClave,0)),"No aplica")</f>
        <v/>
      </c>
      <c r="Q1142" s="29">
        <f>IFERROR(VLOOKUP(K1142,MgValor,2,0)*VLOOKUP(N1142,MgDeg,2,0),0)</f>
        <v/>
      </c>
      <c r="R1142" s="29">
        <f>IFERROR(VLOOKUP(L1142,MgValor,2,0)*VLOOKUP(O1142,MgDeg,2,0),0)</f>
        <v/>
      </c>
      <c r="S1142" s="29">
        <f>IFERROR(VLOOKUP(M1142,MgValor,2,0)*VLOOKUP(P1142,MgDeg,2,0),0)</f>
        <v/>
      </c>
      <c r="T1142" s="30">
        <f>MAX(Q1142:S1142)</f>
        <v/>
      </c>
      <c r="U1142" s="28">
        <f>IFERROR(LOOKUP(T1142,{0;0.5;1.5;3;4.5},{"Despreciable";"Bajo";"Medio";"Alto";"Muy alto"}),"")</f>
        <v/>
      </c>
      <c r="V1142" s="13">
        <f>IFERROR(INDEX(MgAmenFrec,MATCH(SUBSTITUTE($H1142,"*","-"),MgAmenClave,0)),"")</f>
        <v/>
      </c>
      <c r="W1142" s="28">
        <f>IFERROR(LOOKUP(X1142,{0;0.01;0.1;1;10;100},{"Muy baja";"Muy baja";"Baja";"Media";"Alta";"Muy alta"}),"")</f>
        <v/>
      </c>
      <c r="X1142" s="31">
        <f>IFERROR(VLOOKUP(V1142,MgFrec,2,0),0)</f>
        <v/>
      </c>
      <c r="Y1142" s="30">
        <f>T1142*X1142</f>
        <v/>
      </c>
      <c r="Z1142" s="28">
        <f>IFERROR(LOOKUP(Y1142,{0;0.5;5;25},{"Bajo";"Medio";"Alto";"Crítico"}),"")</f>
        <v/>
      </c>
      <c r="AA1142" s="64">
        <f>IF(T1142&gt;=3,IF(X1142&gt;=1,"Zona 1 — Crítica: impacto alto y ocurre al menos una vez al año","Zona 4 — Catastrófica poco probable: impacto alto pero excepcional"),IF(AND(T1142&lt;1.5,X1142&lt;1),"Zona 3 — Asumible: impacto bajo y muy poco frecuente","Zona 2 — Atención: riesgo intermedio"))</f>
        <v/>
      </c>
      <c r="AB1142" s="64">
        <f>IFERROR(INDEX(MgAmenCtrl,MATCH(SUBSTITUTE($H1142,"*","-"),MgAmenClave,0)),"")</f>
        <v/>
      </c>
      <c r="AC1142" s="20" t="n"/>
      <c r="AD1142" s="31">
        <f>IFERROR($X1142*(1-IF($AC1142="",$AL1142,VLOOKUP($AC1142,MgMad,2,0))),"")</f>
        <v/>
      </c>
      <c r="AE1142" s="28">
        <f>IFERROR(LOOKUP(AD1142,{0;0.01;0.1;1;10;100},{"Muy baja";"Muy baja";"Baja";"Media";"Alta";"Muy alta"}),"")</f>
        <v/>
      </c>
      <c r="AF1142" s="30">
        <f>T1142*AD1142</f>
        <v/>
      </c>
      <c r="AG1142" s="28">
        <f>IFERROR(LOOKUP(AF1142,{0;0.5;5;25},{"Bajo";"Medio";"Alto";"Crítico"}),"")</f>
        <v/>
      </c>
      <c r="AH1142" s="28">
        <f>IF(AG1142="","",IF(OR(AG1142="Crítico",AG1142="Alto"),"Mitigar",IF(AG1142="Medio","Mitigar","Aceptar y monitorear")))</f>
        <v/>
      </c>
      <c r="AI1142" s="21" t="n"/>
      <c r="AJ1142" s="21" t="n"/>
      <c r="AK1142" s="20" t="n"/>
      <c r="AL1142" s="77">
        <f>IFERROR(INDEX(MgAmenEfic,MATCH(SUBSTITUTE($H1142,"*","-"),MgAmenClave,0)),0)</f>
        <v/>
      </c>
    </row>
    <row r="1143" hidden="1" ht="75" customHeight="1" s="54">
      <c r="B1143" s="59" t="inlineStr">
        <is>
          <t>R-1138</t>
        </is>
      </c>
      <c r="C1143" s="59" t="inlineStr">
        <is>
          <t>GH-016</t>
        </is>
      </c>
      <c r="D1143" s="64">
        <f>IFERROR(INDEX(MgNombre,MATCH($C1143,MgActId,0)),"")</f>
        <v/>
      </c>
      <c r="E1143" s="64">
        <f>IFERROR(INDEX(MgProceso,MATCH($C1143,MgActId,0)),"")</f>
        <v/>
      </c>
      <c r="F1143" s="64">
        <f>IFERROR(INDEX(MgTipo,MATCH($C1143,MgActId,0)),"")</f>
        <v/>
      </c>
      <c r="G1143" s="64">
        <f>IFERROR(INDEX(MgSubtipo,MATCH($C1143,MgActId,0)),"")</f>
        <v/>
      </c>
      <c r="H1143" s="59" t="inlineStr">
        <is>
          <t>A.5</t>
        </is>
      </c>
      <c r="I1143" s="64">
        <f>IFERROR(INDEX(MgAmenNombre,MATCH(SUBSTITUTE($H1143,"*","-"),MgAmenClave,0)),"")</f>
        <v/>
      </c>
      <c r="J1143" s="28">
        <f>IFERROR(INDEX(MgAmenGrupo,MATCH(SUBSTITUTE($H1143,"*","-"),MgAmenClave,0)),"")</f>
        <v/>
      </c>
      <c r="K1143" s="64">
        <f>IFERROR(INDEX('1. Matriz de Activos'!$Q$6:$Q$239,MATCH($C1143,MgActId,0)),"")</f>
        <v/>
      </c>
      <c r="L1143" s="64">
        <f>IFERROR(INDEX('1. Matriz de Activos'!$R$6:$R$239,MATCH($C1143,MgActId,0)),"")</f>
        <v/>
      </c>
      <c r="M1143" s="64">
        <f>IFERROR(INDEX('1. Matriz de Activos'!$S$6:$S$239,MATCH($C1143,MgActId,0)),"")</f>
        <v/>
      </c>
      <c r="N1143" s="28">
        <f>IFERROR(INDEX(MgAmenDegD,MATCH(SUBSTITUTE($H1143,"*","-"),MgAmenClave,0)),"No aplica")</f>
        <v/>
      </c>
      <c r="O1143" s="28">
        <f>IFERROR(INDEX(MgAmenDegI,MATCH(SUBSTITUTE($H1143,"*","-"),MgAmenClave,0)),"No aplica")</f>
        <v/>
      </c>
      <c r="P1143" s="28">
        <f>IFERROR(INDEX(MgAmenDegC,MATCH(SUBSTITUTE($H1143,"*","-"),MgAmenClave,0)),"No aplica")</f>
        <v/>
      </c>
      <c r="Q1143" s="29">
        <f>IFERROR(VLOOKUP(K1143,MgValor,2,0)*VLOOKUP(N1143,MgDeg,2,0),0)</f>
        <v/>
      </c>
      <c r="R1143" s="29">
        <f>IFERROR(VLOOKUP(L1143,MgValor,2,0)*VLOOKUP(O1143,MgDeg,2,0),0)</f>
        <v/>
      </c>
      <c r="S1143" s="29">
        <f>IFERROR(VLOOKUP(M1143,MgValor,2,0)*VLOOKUP(P1143,MgDeg,2,0),0)</f>
        <v/>
      </c>
      <c r="T1143" s="30">
        <f>MAX(Q1143:S1143)</f>
        <v/>
      </c>
      <c r="U1143" s="28">
        <f>IFERROR(LOOKUP(T1143,{0;0.5;1.5;3;4.5},{"Despreciable";"Bajo";"Medio";"Alto";"Muy alto"}),"")</f>
        <v/>
      </c>
      <c r="V1143" s="13">
        <f>IFERROR(INDEX(MgAmenFrec,MATCH(SUBSTITUTE($H1143,"*","-"),MgAmenClave,0)),"")</f>
        <v/>
      </c>
      <c r="W1143" s="28">
        <f>IFERROR(LOOKUP(X1143,{0;0.01;0.1;1;10;100},{"Muy baja";"Muy baja";"Baja";"Media";"Alta";"Muy alta"}),"")</f>
        <v/>
      </c>
      <c r="X1143" s="31">
        <f>IFERROR(VLOOKUP(V1143,MgFrec,2,0),0)</f>
        <v/>
      </c>
      <c r="Y1143" s="30">
        <f>T1143*X1143</f>
        <v/>
      </c>
      <c r="Z1143" s="28">
        <f>IFERROR(LOOKUP(Y1143,{0;0.5;5;25},{"Bajo";"Medio";"Alto";"Crítico"}),"")</f>
        <v/>
      </c>
      <c r="AA1143" s="64">
        <f>IF(T1143&gt;=3,IF(X1143&gt;=1,"Zona 1 — Crítica: impacto alto y ocurre al menos una vez al año","Zona 4 — Catastrófica poco probable: impacto alto pero excepcional"),IF(AND(T1143&lt;1.5,X1143&lt;1),"Zona 3 — Asumible: impacto bajo y muy poco frecuente","Zona 2 — Atención: riesgo intermedio"))</f>
        <v/>
      </c>
      <c r="AB1143" s="64">
        <f>IFERROR(INDEX(MgAmenCtrl,MATCH(SUBSTITUTE($H1143,"*","-"),MgAmenClave,0)),"")</f>
        <v/>
      </c>
      <c r="AC1143" s="20" t="n"/>
      <c r="AD1143" s="31">
        <f>IFERROR($X1143*(1-IF($AC1143="",$AL1143,VLOOKUP($AC1143,MgMad,2,0))),"")</f>
        <v/>
      </c>
      <c r="AE1143" s="28">
        <f>IFERROR(LOOKUP(AD1143,{0;0.01;0.1;1;10;100},{"Muy baja";"Muy baja";"Baja";"Media";"Alta";"Muy alta"}),"")</f>
        <v/>
      </c>
      <c r="AF1143" s="30">
        <f>T1143*AD1143</f>
        <v/>
      </c>
      <c r="AG1143" s="28">
        <f>IFERROR(LOOKUP(AF1143,{0;0.5;5;25},{"Bajo";"Medio";"Alto";"Crítico"}),"")</f>
        <v/>
      </c>
      <c r="AH1143" s="28">
        <f>IF(AG1143="","",IF(OR(AG1143="Crítico",AG1143="Alto"),"Mitigar",IF(AG1143="Medio","Mitigar","Aceptar y monitorear")))</f>
        <v/>
      </c>
      <c r="AI1143" s="21" t="n"/>
      <c r="AJ1143" s="21" t="n"/>
      <c r="AK1143" s="20" t="n"/>
      <c r="AL1143" s="77">
        <f>IFERROR(INDEX(MgAmenEfic,MATCH(SUBSTITUTE($H1143,"*","-"),MgAmenClave,0)),0)</f>
        <v/>
      </c>
    </row>
    <row r="1144" hidden="1" ht="105" customHeight="1" s="54">
      <c r="B1144" s="59" t="inlineStr">
        <is>
          <t>R-1139</t>
        </is>
      </c>
      <c r="C1144" s="59" t="inlineStr">
        <is>
          <t>GH-016</t>
        </is>
      </c>
      <c r="D1144" s="64">
        <f>IFERROR(INDEX(MgNombre,MATCH($C1144,MgActId,0)),"")</f>
        <v/>
      </c>
      <c r="E1144" s="64">
        <f>IFERROR(INDEX(MgProceso,MATCH($C1144,MgActId,0)),"")</f>
        <v/>
      </c>
      <c r="F1144" s="64">
        <f>IFERROR(INDEX(MgTipo,MATCH($C1144,MgActId,0)),"")</f>
        <v/>
      </c>
      <c r="G1144" s="64">
        <f>IFERROR(INDEX(MgSubtipo,MATCH($C1144,MgActId,0)),"")</f>
        <v/>
      </c>
      <c r="H1144" s="59" t="inlineStr">
        <is>
          <t>A.6</t>
        </is>
      </c>
      <c r="I1144" s="64">
        <f>IFERROR(INDEX(MgAmenNombre,MATCH(SUBSTITUTE($H1144,"*","-"),MgAmenClave,0)),"")</f>
        <v/>
      </c>
      <c r="J1144" s="28">
        <f>IFERROR(INDEX(MgAmenGrupo,MATCH(SUBSTITUTE($H1144,"*","-"),MgAmenClave,0)),"")</f>
        <v/>
      </c>
      <c r="K1144" s="64">
        <f>IFERROR(INDEX('1. Matriz de Activos'!$Q$6:$Q$239,MATCH($C1144,MgActId,0)),"")</f>
        <v/>
      </c>
      <c r="L1144" s="64">
        <f>IFERROR(INDEX('1. Matriz de Activos'!$R$6:$R$239,MATCH($C1144,MgActId,0)),"")</f>
        <v/>
      </c>
      <c r="M1144" s="64">
        <f>IFERROR(INDEX('1. Matriz de Activos'!$S$6:$S$239,MATCH($C1144,MgActId,0)),"")</f>
        <v/>
      </c>
      <c r="N1144" s="28">
        <f>IFERROR(INDEX(MgAmenDegD,MATCH(SUBSTITUTE($H1144,"*","-"),MgAmenClave,0)),"No aplica")</f>
        <v/>
      </c>
      <c r="O1144" s="28">
        <f>IFERROR(INDEX(MgAmenDegI,MATCH(SUBSTITUTE($H1144,"*","-"),MgAmenClave,0)),"No aplica")</f>
        <v/>
      </c>
      <c r="P1144" s="28">
        <f>IFERROR(INDEX(MgAmenDegC,MATCH(SUBSTITUTE($H1144,"*","-"),MgAmenClave,0)),"No aplica")</f>
        <v/>
      </c>
      <c r="Q1144" s="29">
        <f>IFERROR(VLOOKUP(K1144,MgValor,2,0)*VLOOKUP(N1144,MgDeg,2,0),0)</f>
        <v/>
      </c>
      <c r="R1144" s="29">
        <f>IFERROR(VLOOKUP(L1144,MgValor,2,0)*VLOOKUP(O1144,MgDeg,2,0),0)</f>
        <v/>
      </c>
      <c r="S1144" s="29">
        <f>IFERROR(VLOOKUP(M1144,MgValor,2,0)*VLOOKUP(P1144,MgDeg,2,0),0)</f>
        <v/>
      </c>
      <c r="T1144" s="30">
        <f>MAX(Q1144:S1144)</f>
        <v/>
      </c>
      <c r="U1144" s="28">
        <f>IFERROR(LOOKUP(T1144,{0;0.5;1.5;3;4.5},{"Despreciable";"Bajo";"Medio";"Alto";"Muy alto"}),"")</f>
        <v/>
      </c>
      <c r="V1144" s="13">
        <f>IFERROR(INDEX(MgAmenFrec,MATCH(SUBSTITUTE($H1144,"*","-"),MgAmenClave,0)),"")</f>
        <v/>
      </c>
      <c r="W1144" s="28">
        <f>IFERROR(LOOKUP(X1144,{0;0.01;0.1;1;10;100},{"Muy baja";"Muy baja";"Baja";"Media";"Alta";"Muy alta"}),"")</f>
        <v/>
      </c>
      <c r="X1144" s="31">
        <f>IFERROR(VLOOKUP(V1144,MgFrec,2,0),0)</f>
        <v/>
      </c>
      <c r="Y1144" s="30">
        <f>T1144*X1144</f>
        <v/>
      </c>
      <c r="Z1144" s="28">
        <f>IFERROR(LOOKUP(Y1144,{0;0.5;5;25},{"Bajo";"Medio";"Alto";"Crítico"}),"")</f>
        <v/>
      </c>
      <c r="AA1144" s="64">
        <f>IF(T1144&gt;=3,IF(X1144&gt;=1,"Zona 1 — Crítica: impacto alto y ocurre al menos una vez al año","Zona 4 — Catastrófica poco probable: impacto alto pero excepcional"),IF(AND(T1144&lt;1.5,X1144&lt;1),"Zona 3 — Asumible: impacto bajo y muy poco frecuente","Zona 2 — Atención: riesgo intermedio"))</f>
        <v/>
      </c>
      <c r="AB1144" s="64">
        <f>IFERROR(INDEX(MgAmenCtrl,MATCH(SUBSTITUTE($H1144,"*","-"),MgAmenClave,0)),"")</f>
        <v/>
      </c>
      <c r="AC1144" s="20" t="n"/>
      <c r="AD1144" s="31">
        <f>IFERROR($X1144*(1-IF($AC1144="",$AL1144,VLOOKUP($AC1144,MgMad,2,0))),"")</f>
        <v/>
      </c>
      <c r="AE1144" s="28">
        <f>IFERROR(LOOKUP(AD1144,{0;0.01;0.1;1;10;100},{"Muy baja";"Muy baja";"Baja";"Media";"Alta";"Muy alta"}),"")</f>
        <v/>
      </c>
      <c r="AF1144" s="30">
        <f>T1144*AD1144</f>
        <v/>
      </c>
      <c r="AG1144" s="28">
        <f>IFERROR(LOOKUP(AF1144,{0;0.5;5;25},{"Bajo";"Medio";"Alto";"Crítico"}),"")</f>
        <v/>
      </c>
      <c r="AH1144" s="28">
        <f>IF(AG1144="","",IF(OR(AG1144="Crítico",AG1144="Alto"),"Mitigar",IF(AG1144="Medio","Mitigar","Aceptar y monitorear")))</f>
        <v/>
      </c>
      <c r="AI1144" s="21" t="n"/>
      <c r="AJ1144" s="21" t="n"/>
      <c r="AK1144" s="20" t="n"/>
      <c r="AL1144" s="77">
        <f>IFERROR(INDEX(MgAmenEfic,MATCH(SUBSTITUTE($H1144,"*","-"),MgAmenClave,0)),0)</f>
        <v/>
      </c>
    </row>
    <row r="1145" hidden="1" ht="120" customHeight="1" s="54">
      <c r="B1145" s="59" t="inlineStr">
        <is>
          <t>R-1140</t>
        </is>
      </c>
      <c r="C1145" s="59" t="inlineStr">
        <is>
          <t>GH-016</t>
        </is>
      </c>
      <c r="D1145" s="64">
        <f>IFERROR(INDEX(MgNombre,MATCH($C1145,MgActId,0)),"")</f>
        <v/>
      </c>
      <c r="E1145" s="64">
        <f>IFERROR(INDEX(MgProceso,MATCH($C1145,MgActId,0)),"")</f>
        <v/>
      </c>
      <c r="F1145" s="64">
        <f>IFERROR(INDEX(MgTipo,MATCH($C1145,MgActId,0)),"")</f>
        <v/>
      </c>
      <c r="G1145" s="64">
        <f>IFERROR(INDEX(MgSubtipo,MATCH($C1145,MgActId,0)),"")</f>
        <v/>
      </c>
      <c r="H1145" s="59" t="inlineStr">
        <is>
          <t>A.11</t>
        </is>
      </c>
      <c r="I1145" s="64">
        <f>IFERROR(INDEX(MgAmenNombre,MATCH(SUBSTITUTE($H1145,"*","-"),MgAmenClave,0)),"")</f>
        <v/>
      </c>
      <c r="J1145" s="28">
        <f>IFERROR(INDEX(MgAmenGrupo,MATCH(SUBSTITUTE($H1145,"*","-"),MgAmenClave,0)),"")</f>
        <v/>
      </c>
      <c r="K1145" s="64">
        <f>IFERROR(INDEX('1. Matriz de Activos'!$Q$6:$Q$239,MATCH($C1145,MgActId,0)),"")</f>
        <v/>
      </c>
      <c r="L1145" s="64">
        <f>IFERROR(INDEX('1. Matriz de Activos'!$R$6:$R$239,MATCH($C1145,MgActId,0)),"")</f>
        <v/>
      </c>
      <c r="M1145" s="64">
        <f>IFERROR(INDEX('1. Matriz de Activos'!$S$6:$S$239,MATCH($C1145,MgActId,0)),"")</f>
        <v/>
      </c>
      <c r="N1145" s="28">
        <f>IFERROR(INDEX(MgAmenDegD,MATCH(SUBSTITUTE($H1145,"*","-"),MgAmenClave,0)),"No aplica")</f>
        <v/>
      </c>
      <c r="O1145" s="28">
        <f>IFERROR(INDEX(MgAmenDegI,MATCH(SUBSTITUTE($H1145,"*","-"),MgAmenClave,0)),"No aplica")</f>
        <v/>
      </c>
      <c r="P1145" s="28">
        <f>IFERROR(INDEX(MgAmenDegC,MATCH(SUBSTITUTE($H1145,"*","-"),MgAmenClave,0)),"No aplica")</f>
        <v/>
      </c>
      <c r="Q1145" s="29">
        <f>IFERROR(VLOOKUP(K1145,MgValor,2,0)*VLOOKUP(N1145,MgDeg,2,0),0)</f>
        <v/>
      </c>
      <c r="R1145" s="29">
        <f>IFERROR(VLOOKUP(L1145,MgValor,2,0)*VLOOKUP(O1145,MgDeg,2,0),0)</f>
        <v/>
      </c>
      <c r="S1145" s="29">
        <f>IFERROR(VLOOKUP(M1145,MgValor,2,0)*VLOOKUP(P1145,MgDeg,2,0),0)</f>
        <v/>
      </c>
      <c r="T1145" s="30">
        <f>MAX(Q1145:S1145)</f>
        <v/>
      </c>
      <c r="U1145" s="28">
        <f>IFERROR(LOOKUP(T1145,{0;0.5;1.5;3;4.5},{"Despreciable";"Bajo";"Medio";"Alto";"Muy alto"}),"")</f>
        <v/>
      </c>
      <c r="V1145" s="13">
        <f>IFERROR(INDEX(MgAmenFrec,MATCH(SUBSTITUTE($H1145,"*","-"),MgAmenClave,0)),"")</f>
        <v/>
      </c>
      <c r="W1145" s="28">
        <f>IFERROR(LOOKUP(X1145,{0;0.01;0.1;1;10;100},{"Muy baja";"Muy baja";"Baja";"Media";"Alta";"Muy alta"}),"")</f>
        <v/>
      </c>
      <c r="X1145" s="31">
        <f>IFERROR(VLOOKUP(V1145,MgFrec,2,0),0)</f>
        <v/>
      </c>
      <c r="Y1145" s="30">
        <f>T1145*X1145</f>
        <v/>
      </c>
      <c r="Z1145" s="28">
        <f>IFERROR(LOOKUP(Y1145,{0;0.5;5;25},{"Bajo";"Medio";"Alto";"Crítico"}),"")</f>
        <v/>
      </c>
      <c r="AA1145" s="64">
        <f>IF(T1145&gt;=3,IF(X1145&gt;=1,"Zona 1 — Crítica: impacto alto y ocurre al menos una vez al año","Zona 4 — Catastrófica poco probable: impacto alto pero excepcional"),IF(AND(T1145&lt;1.5,X1145&lt;1),"Zona 3 — Asumible: impacto bajo y muy poco frecuente","Zona 2 — Atención: riesgo intermedio"))</f>
        <v/>
      </c>
      <c r="AB1145" s="64">
        <f>IFERROR(INDEX(MgAmenCtrl,MATCH(SUBSTITUTE($H1145,"*","-"),MgAmenClave,0)),"")</f>
        <v/>
      </c>
      <c r="AC1145" s="20" t="n"/>
      <c r="AD1145" s="31">
        <f>IFERROR($X1145*(1-IF($AC1145="",$AL1145,VLOOKUP($AC1145,MgMad,2,0))),"")</f>
        <v/>
      </c>
      <c r="AE1145" s="28">
        <f>IFERROR(LOOKUP(AD1145,{0;0.01;0.1;1;10;100},{"Muy baja";"Muy baja";"Baja";"Media";"Alta";"Muy alta"}),"")</f>
        <v/>
      </c>
      <c r="AF1145" s="30">
        <f>T1145*AD1145</f>
        <v/>
      </c>
      <c r="AG1145" s="28">
        <f>IFERROR(LOOKUP(AF1145,{0;0.5;5;25},{"Bajo";"Medio";"Alto";"Crítico"}),"")</f>
        <v/>
      </c>
      <c r="AH1145" s="28">
        <f>IF(AG1145="","",IF(OR(AG1145="Crítico",AG1145="Alto"),"Mitigar",IF(AG1145="Medio","Mitigar","Aceptar y monitorear")))</f>
        <v/>
      </c>
      <c r="AI1145" s="21" t="n"/>
      <c r="AJ1145" s="21" t="n"/>
      <c r="AK1145" s="20" t="n"/>
      <c r="AL1145" s="77">
        <f>IFERROR(INDEX(MgAmenEfic,MATCH(SUBSTITUTE($H1145,"*","-"),MgAmenClave,0)),0)</f>
        <v/>
      </c>
    </row>
    <row r="1146" hidden="1" ht="90" customHeight="1" s="54">
      <c r="B1146" s="59" t="inlineStr">
        <is>
          <t>R-1141</t>
        </is>
      </c>
      <c r="C1146" s="59" t="inlineStr">
        <is>
          <t>GH-016</t>
        </is>
      </c>
      <c r="D1146" s="64">
        <f>IFERROR(INDEX(MgNombre,MATCH($C1146,MgActId,0)),"")</f>
        <v/>
      </c>
      <c r="E1146" s="64">
        <f>IFERROR(INDEX(MgProceso,MATCH($C1146,MgActId,0)),"")</f>
        <v/>
      </c>
      <c r="F1146" s="64">
        <f>IFERROR(INDEX(MgTipo,MATCH($C1146,MgActId,0)),"")</f>
        <v/>
      </c>
      <c r="G1146" s="64">
        <f>IFERROR(INDEX(MgSubtipo,MATCH($C1146,MgActId,0)),"")</f>
        <v/>
      </c>
      <c r="H1146" s="59" t="inlineStr">
        <is>
          <t>A.13</t>
        </is>
      </c>
      <c r="I1146" s="64">
        <f>IFERROR(INDEX(MgAmenNombre,MATCH(SUBSTITUTE($H1146,"*","-"),MgAmenClave,0)),"")</f>
        <v/>
      </c>
      <c r="J1146" s="28">
        <f>IFERROR(INDEX(MgAmenGrupo,MATCH(SUBSTITUTE($H1146,"*","-"),MgAmenClave,0)),"")</f>
        <v/>
      </c>
      <c r="K1146" s="64">
        <f>IFERROR(INDEX('1. Matriz de Activos'!$Q$6:$Q$239,MATCH($C1146,MgActId,0)),"")</f>
        <v/>
      </c>
      <c r="L1146" s="64">
        <f>IFERROR(INDEX('1. Matriz de Activos'!$R$6:$R$239,MATCH($C1146,MgActId,0)),"")</f>
        <v/>
      </c>
      <c r="M1146" s="64">
        <f>IFERROR(INDEX('1. Matriz de Activos'!$S$6:$S$239,MATCH($C1146,MgActId,0)),"")</f>
        <v/>
      </c>
      <c r="N1146" s="28">
        <f>IFERROR(INDEX(MgAmenDegD,MATCH(SUBSTITUTE($H1146,"*","-"),MgAmenClave,0)),"No aplica")</f>
        <v/>
      </c>
      <c r="O1146" s="28">
        <f>IFERROR(INDEX(MgAmenDegI,MATCH(SUBSTITUTE($H1146,"*","-"),MgAmenClave,0)),"No aplica")</f>
        <v/>
      </c>
      <c r="P1146" s="28">
        <f>IFERROR(INDEX(MgAmenDegC,MATCH(SUBSTITUTE($H1146,"*","-"),MgAmenClave,0)),"No aplica")</f>
        <v/>
      </c>
      <c r="Q1146" s="29">
        <f>IFERROR(VLOOKUP(K1146,MgValor,2,0)*VLOOKUP(N1146,MgDeg,2,0),0)</f>
        <v/>
      </c>
      <c r="R1146" s="29">
        <f>IFERROR(VLOOKUP(L1146,MgValor,2,0)*VLOOKUP(O1146,MgDeg,2,0),0)</f>
        <v/>
      </c>
      <c r="S1146" s="29">
        <f>IFERROR(VLOOKUP(M1146,MgValor,2,0)*VLOOKUP(P1146,MgDeg,2,0),0)</f>
        <v/>
      </c>
      <c r="T1146" s="30">
        <f>MAX(Q1146:S1146)</f>
        <v/>
      </c>
      <c r="U1146" s="28">
        <f>IFERROR(LOOKUP(T1146,{0;0.5;1.5;3;4.5},{"Despreciable";"Bajo";"Medio";"Alto";"Muy alto"}),"")</f>
        <v/>
      </c>
      <c r="V1146" s="13">
        <f>IFERROR(INDEX(MgAmenFrec,MATCH(SUBSTITUTE($H1146,"*","-"),MgAmenClave,0)),"")</f>
        <v/>
      </c>
      <c r="W1146" s="28">
        <f>IFERROR(LOOKUP(X1146,{0;0.01;0.1;1;10;100},{"Muy baja";"Muy baja";"Baja";"Media";"Alta";"Muy alta"}),"")</f>
        <v/>
      </c>
      <c r="X1146" s="31">
        <f>IFERROR(VLOOKUP(V1146,MgFrec,2,0),0)</f>
        <v/>
      </c>
      <c r="Y1146" s="30">
        <f>T1146*X1146</f>
        <v/>
      </c>
      <c r="Z1146" s="28">
        <f>IFERROR(LOOKUP(Y1146,{0;0.5;5;25},{"Bajo";"Medio";"Alto";"Crítico"}),"")</f>
        <v/>
      </c>
      <c r="AA1146" s="64">
        <f>IF(T1146&gt;=3,IF(X1146&gt;=1,"Zona 1 — Crítica: impacto alto y ocurre al menos una vez al año","Zona 4 — Catastrófica poco probable: impacto alto pero excepcional"),IF(AND(T1146&lt;1.5,X1146&lt;1),"Zona 3 — Asumible: impacto bajo y muy poco frecuente","Zona 2 — Atención: riesgo intermedio"))</f>
        <v/>
      </c>
      <c r="AB1146" s="64">
        <f>IFERROR(INDEX(MgAmenCtrl,MATCH(SUBSTITUTE($H1146,"*","-"),MgAmenClave,0)),"")</f>
        <v/>
      </c>
      <c r="AC1146" s="20" t="n"/>
      <c r="AD1146" s="31">
        <f>IFERROR($X1146*(1-IF($AC1146="",$AL1146,VLOOKUP($AC1146,MgMad,2,0))),"")</f>
        <v/>
      </c>
      <c r="AE1146" s="28">
        <f>IFERROR(LOOKUP(AD1146,{0;0.01;0.1;1;10;100},{"Muy baja";"Muy baja";"Baja";"Media";"Alta";"Muy alta"}),"")</f>
        <v/>
      </c>
      <c r="AF1146" s="30">
        <f>T1146*AD1146</f>
        <v/>
      </c>
      <c r="AG1146" s="28">
        <f>IFERROR(LOOKUP(AF1146,{0;0.5;5;25},{"Bajo";"Medio";"Alto";"Crítico"}),"")</f>
        <v/>
      </c>
      <c r="AH1146" s="28">
        <f>IF(AG1146="","",IF(OR(AG1146="Crítico",AG1146="Alto"),"Mitigar",IF(AG1146="Medio","Mitigar","Aceptar y monitorear")))</f>
        <v/>
      </c>
      <c r="AI1146" s="21" t="n"/>
      <c r="AJ1146" s="21" t="n"/>
      <c r="AK1146" s="20" t="n"/>
      <c r="AL1146" s="77">
        <f>IFERROR(INDEX(MgAmenEfic,MATCH(SUBSTITUTE($H1146,"*","-"),MgAmenClave,0)),0)</f>
        <v/>
      </c>
    </row>
    <row r="1147" hidden="1" ht="60" customHeight="1" s="54">
      <c r="B1147" s="59" t="inlineStr">
        <is>
          <t>R-1142</t>
        </is>
      </c>
      <c r="C1147" s="59" t="inlineStr">
        <is>
          <t>GH-016</t>
        </is>
      </c>
      <c r="D1147" s="64">
        <f>IFERROR(INDEX(MgNombre,MATCH($C1147,MgActId,0)),"")</f>
        <v/>
      </c>
      <c r="E1147" s="64">
        <f>IFERROR(INDEX(MgProceso,MATCH($C1147,MgActId,0)),"")</f>
        <v/>
      </c>
      <c r="F1147" s="64">
        <f>IFERROR(INDEX(MgTipo,MATCH($C1147,MgActId,0)),"")</f>
        <v/>
      </c>
      <c r="G1147" s="64">
        <f>IFERROR(INDEX(MgSubtipo,MATCH($C1147,MgActId,0)),"")</f>
        <v/>
      </c>
      <c r="H1147" s="59" t="inlineStr">
        <is>
          <t>A.15</t>
        </is>
      </c>
      <c r="I1147" s="64">
        <f>IFERROR(INDEX(MgAmenNombre,MATCH(SUBSTITUTE($H1147,"*","-"),MgAmenClave,0)),"")</f>
        <v/>
      </c>
      <c r="J1147" s="28">
        <f>IFERROR(INDEX(MgAmenGrupo,MATCH(SUBSTITUTE($H1147,"*","-"),MgAmenClave,0)),"")</f>
        <v/>
      </c>
      <c r="K1147" s="64">
        <f>IFERROR(INDEX('1. Matriz de Activos'!$Q$6:$Q$239,MATCH($C1147,MgActId,0)),"")</f>
        <v/>
      </c>
      <c r="L1147" s="64">
        <f>IFERROR(INDEX('1. Matriz de Activos'!$R$6:$R$239,MATCH($C1147,MgActId,0)),"")</f>
        <v/>
      </c>
      <c r="M1147" s="64">
        <f>IFERROR(INDEX('1. Matriz de Activos'!$S$6:$S$239,MATCH($C1147,MgActId,0)),"")</f>
        <v/>
      </c>
      <c r="N1147" s="28">
        <f>IFERROR(INDEX(MgAmenDegD,MATCH(SUBSTITUTE($H1147,"*","-"),MgAmenClave,0)),"No aplica")</f>
        <v/>
      </c>
      <c r="O1147" s="28">
        <f>IFERROR(INDEX(MgAmenDegI,MATCH(SUBSTITUTE($H1147,"*","-"),MgAmenClave,0)),"No aplica")</f>
        <v/>
      </c>
      <c r="P1147" s="28">
        <f>IFERROR(INDEX(MgAmenDegC,MATCH(SUBSTITUTE($H1147,"*","-"),MgAmenClave,0)),"No aplica")</f>
        <v/>
      </c>
      <c r="Q1147" s="29">
        <f>IFERROR(VLOOKUP(K1147,MgValor,2,0)*VLOOKUP(N1147,MgDeg,2,0),0)</f>
        <v/>
      </c>
      <c r="R1147" s="29">
        <f>IFERROR(VLOOKUP(L1147,MgValor,2,0)*VLOOKUP(O1147,MgDeg,2,0),0)</f>
        <v/>
      </c>
      <c r="S1147" s="29">
        <f>IFERROR(VLOOKUP(M1147,MgValor,2,0)*VLOOKUP(P1147,MgDeg,2,0),0)</f>
        <v/>
      </c>
      <c r="T1147" s="30">
        <f>MAX(Q1147:S1147)</f>
        <v/>
      </c>
      <c r="U1147" s="28">
        <f>IFERROR(LOOKUP(T1147,{0;0.5;1.5;3;4.5},{"Despreciable";"Bajo";"Medio";"Alto";"Muy alto"}),"")</f>
        <v/>
      </c>
      <c r="V1147" s="13">
        <f>IFERROR(INDEX(MgAmenFrec,MATCH(SUBSTITUTE($H1147,"*","-"),MgAmenClave,0)),"")</f>
        <v/>
      </c>
      <c r="W1147" s="28">
        <f>IFERROR(LOOKUP(X1147,{0;0.01;0.1;1;10;100},{"Muy baja";"Muy baja";"Baja";"Media";"Alta";"Muy alta"}),"")</f>
        <v/>
      </c>
      <c r="X1147" s="31">
        <f>IFERROR(VLOOKUP(V1147,MgFrec,2,0),0)</f>
        <v/>
      </c>
      <c r="Y1147" s="30">
        <f>T1147*X1147</f>
        <v/>
      </c>
      <c r="Z1147" s="28">
        <f>IFERROR(LOOKUP(Y1147,{0;0.5;5;25},{"Bajo";"Medio";"Alto";"Crítico"}),"")</f>
        <v/>
      </c>
      <c r="AA1147" s="64">
        <f>IF(T1147&gt;=3,IF(X1147&gt;=1,"Zona 1 — Crítica: impacto alto y ocurre al menos una vez al año","Zona 4 — Catastrófica poco probable: impacto alto pero excepcional"),IF(AND(T1147&lt;1.5,X1147&lt;1),"Zona 3 — Asumible: impacto bajo y muy poco frecuente","Zona 2 — Atención: riesgo intermedio"))</f>
        <v/>
      </c>
      <c r="AB1147" s="64">
        <f>IFERROR(INDEX(MgAmenCtrl,MATCH(SUBSTITUTE($H1147,"*","-"),MgAmenClave,0)),"")</f>
        <v/>
      </c>
      <c r="AC1147" s="20" t="n"/>
      <c r="AD1147" s="31">
        <f>IFERROR($X1147*(1-IF($AC1147="",$AL1147,VLOOKUP($AC1147,MgMad,2,0))),"")</f>
        <v/>
      </c>
      <c r="AE1147" s="28">
        <f>IFERROR(LOOKUP(AD1147,{0;0.01;0.1;1;10;100},{"Muy baja";"Muy baja";"Baja";"Media";"Alta";"Muy alta"}),"")</f>
        <v/>
      </c>
      <c r="AF1147" s="30">
        <f>T1147*AD1147</f>
        <v/>
      </c>
      <c r="AG1147" s="28">
        <f>IFERROR(LOOKUP(AF1147,{0;0.5;5;25},{"Bajo";"Medio";"Alto";"Crítico"}),"")</f>
        <v/>
      </c>
      <c r="AH1147" s="28">
        <f>IF(AG1147="","",IF(OR(AG1147="Crítico",AG1147="Alto"),"Mitigar",IF(AG1147="Medio","Mitigar","Aceptar y monitorear")))</f>
        <v/>
      </c>
      <c r="AI1147" s="21" t="n"/>
      <c r="AJ1147" s="21" t="n"/>
      <c r="AK1147" s="20" t="n"/>
      <c r="AL1147" s="77">
        <f>IFERROR(INDEX(MgAmenEfic,MATCH(SUBSTITUTE($H1147,"*","-"),MgAmenClave,0)),0)</f>
        <v/>
      </c>
    </row>
    <row r="1148" hidden="1" ht="60" customHeight="1" s="54">
      <c r="B1148" s="59" t="inlineStr">
        <is>
          <t>R-1143</t>
        </is>
      </c>
      <c r="C1148" s="59" t="inlineStr">
        <is>
          <t>GH-016</t>
        </is>
      </c>
      <c r="D1148" s="64">
        <f>IFERROR(INDEX(MgNombre,MATCH($C1148,MgActId,0)),"")</f>
        <v/>
      </c>
      <c r="E1148" s="64">
        <f>IFERROR(INDEX(MgProceso,MATCH($C1148,MgActId,0)),"")</f>
        <v/>
      </c>
      <c r="F1148" s="64">
        <f>IFERROR(INDEX(MgTipo,MATCH($C1148,MgActId,0)),"")</f>
        <v/>
      </c>
      <c r="G1148" s="64">
        <f>IFERROR(INDEX(MgSubtipo,MATCH($C1148,MgActId,0)),"")</f>
        <v/>
      </c>
      <c r="H1148" s="59" t="inlineStr">
        <is>
          <t>A.18</t>
        </is>
      </c>
      <c r="I1148" s="64">
        <f>IFERROR(INDEX(MgAmenNombre,MATCH(SUBSTITUTE($H1148,"*","-"),MgAmenClave,0)),"")</f>
        <v/>
      </c>
      <c r="J1148" s="28">
        <f>IFERROR(INDEX(MgAmenGrupo,MATCH(SUBSTITUTE($H1148,"*","-"),MgAmenClave,0)),"")</f>
        <v/>
      </c>
      <c r="K1148" s="64">
        <f>IFERROR(INDEX('1. Matriz de Activos'!$Q$6:$Q$239,MATCH($C1148,MgActId,0)),"")</f>
        <v/>
      </c>
      <c r="L1148" s="64">
        <f>IFERROR(INDEX('1. Matriz de Activos'!$R$6:$R$239,MATCH($C1148,MgActId,0)),"")</f>
        <v/>
      </c>
      <c r="M1148" s="64">
        <f>IFERROR(INDEX('1. Matriz de Activos'!$S$6:$S$239,MATCH($C1148,MgActId,0)),"")</f>
        <v/>
      </c>
      <c r="N1148" s="28">
        <f>IFERROR(INDEX(MgAmenDegD,MATCH(SUBSTITUTE($H1148,"*","-"),MgAmenClave,0)),"No aplica")</f>
        <v/>
      </c>
      <c r="O1148" s="28">
        <f>IFERROR(INDEX(MgAmenDegI,MATCH(SUBSTITUTE($H1148,"*","-"),MgAmenClave,0)),"No aplica")</f>
        <v/>
      </c>
      <c r="P1148" s="28">
        <f>IFERROR(INDEX(MgAmenDegC,MATCH(SUBSTITUTE($H1148,"*","-"),MgAmenClave,0)),"No aplica")</f>
        <v/>
      </c>
      <c r="Q1148" s="29">
        <f>IFERROR(VLOOKUP(K1148,MgValor,2,0)*VLOOKUP(N1148,MgDeg,2,0),0)</f>
        <v/>
      </c>
      <c r="R1148" s="29">
        <f>IFERROR(VLOOKUP(L1148,MgValor,2,0)*VLOOKUP(O1148,MgDeg,2,0),0)</f>
        <v/>
      </c>
      <c r="S1148" s="29">
        <f>IFERROR(VLOOKUP(M1148,MgValor,2,0)*VLOOKUP(P1148,MgDeg,2,0),0)</f>
        <v/>
      </c>
      <c r="T1148" s="30">
        <f>MAX(Q1148:S1148)</f>
        <v/>
      </c>
      <c r="U1148" s="28">
        <f>IFERROR(LOOKUP(T1148,{0;0.5;1.5;3;4.5},{"Despreciable";"Bajo";"Medio";"Alto";"Muy alto"}),"")</f>
        <v/>
      </c>
      <c r="V1148" s="13">
        <f>IFERROR(INDEX(MgAmenFrec,MATCH(SUBSTITUTE($H1148,"*","-"),MgAmenClave,0)),"")</f>
        <v/>
      </c>
      <c r="W1148" s="28">
        <f>IFERROR(LOOKUP(X1148,{0;0.01;0.1;1;10;100},{"Muy baja";"Muy baja";"Baja";"Media";"Alta";"Muy alta"}),"")</f>
        <v/>
      </c>
      <c r="X1148" s="31">
        <f>IFERROR(VLOOKUP(V1148,MgFrec,2,0),0)</f>
        <v/>
      </c>
      <c r="Y1148" s="30">
        <f>T1148*X1148</f>
        <v/>
      </c>
      <c r="Z1148" s="28">
        <f>IFERROR(LOOKUP(Y1148,{0;0.5;5;25},{"Bajo";"Medio";"Alto";"Crítico"}),"")</f>
        <v/>
      </c>
      <c r="AA1148" s="64">
        <f>IF(T1148&gt;=3,IF(X1148&gt;=1,"Zona 1 — Crítica: impacto alto y ocurre al menos una vez al año","Zona 4 — Catastrófica poco probable: impacto alto pero excepcional"),IF(AND(T1148&lt;1.5,X1148&lt;1),"Zona 3 — Asumible: impacto bajo y muy poco frecuente","Zona 2 — Atención: riesgo intermedio"))</f>
        <v/>
      </c>
      <c r="AB1148" s="64">
        <f>IFERROR(INDEX(MgAmenCtrl,MATCH(SUBSTITUTE($H1148,"*","-"),MgAmenClave,0)),"")</f>
        <v/>
      </c>
      <c r="AC1148" s="20" t="n"/>
      <c r="AD1148" s="31">
        <f>IFERROR($X1148*(1-IF($AC1148="",$AL1148,VLOOKUP($AC1148,MgMad,2,0))),"")</f>
        <v/>
      </c>
      <c r="AE1148" s="28">
        <f>IFERROR(LOOKUP(AD1148,{0;0.01;0.1;1;10;100},{"Muy baja";"Muy baja";"Baja";"Media";"Alta";"Muy alta"}),"")</f>
        <v/>
      </c>
      <c r="AF1148" s="30">
        <f>T1148*AD1148</f>
        <v/>
      </c>
      <c r="AG1148" s="28">
        <f>IFERROR(LOOKUP(AF1148,{0;0.5;5;25},{"Bajo";"Medio";"Alto";"Crítico"}),"")</f>
        <v/>
      </c>
      <c r="AH1148" s="28">
        <f>IF(AG1148="","",IF(OR(AG1148="Crítico",AG1148="Alto"),"Mitigar",IF(AG1148="Medio","Mitigar","Aceptar y monitorear")))</f>
        <v/>
      </c>
      <c r="AI1148" s="21" t="n"/>
      <c r="AJ1148" s="21" t="n"/>
      <c r="AK1148" s="20" t="n"/>
      <c r="AL1148" s="77">
        <f>IFERROR(INDEX(MgAmenEfic,MATCH(SUBSTITUTE($H1148,"*","-"),MgAmenClave,0)),0)</f>
        <v/>
      </c>
    </row>
    <row r="1149" hidden="1" ht="120" customHeight="1" s="54">
      <c r="B1149" s="59" t="inlineStr">
        <is>
          <t>R-1144</t>
        </is>
      </c>
      <c r="C1149" s="59" t="inlineStr">
        <is>
          <t>GH-016</t>
        </is>
      </c>
      <c r="D1149" s="64">
        <f>IFERROR(INDEX(MgNombre,MATCH($C1149,MgActId,0)),"")</f>
        <v/>
      </c>
      <c r="E1149" s="64">
        <f>IFERROR(INDEX(MgProceso,MATCH($C1149,MgActId,0)),"")</f>
        <v/>
      </c>
      <c r="F1149" s="64">
        <f>IFERROR(INDEX(MgTipo,MATCH($C1149,MgActId,0)),"")</f>
        <v/>
      </c>
      <c r="G1149" s="64">
        <f>IFERROR(INDEX(MgSubtipo,MATCH($C1149,MgActId,0)),"")</f>
        <v/>
      </c>
      <c r="H1149" s="59" t="inlineStr">
        <is>
          <t>A.19</t>
        </is>
      </c>
      <c r="I1149" s="64">
        <f>IFERROR(INDEX(MgAmenNombre,MATCH(SUBSTITUTE($H1149,"*","-"),MgAmenClave,0)),"")</f>
        <v/>
      </c>
      <c r="J1149" s="28">
        <f>IFERROR(INDEX(MgAmenGrupo,MATCH(SUBSTITUTE($H1149,"*","-"),MgAmenClave,0)),"")</f>
        <v/>
      </c>
      <c r="K1149" s="64">
        <f>IFERROR(INDEX('1. Matriz de Activos'!$Q$6:$Q$239,MATCH($C1149,MgActId,0)),"")</f>
        <v/>
      </c>
      <c r="L1149" s="64">
        <f>IFERROR(INDEX('1. Matriz de Activos'!$R$6:$R$239,MATCH($C1149,MgActId,0)),"")</f>
        <v/>
      </c>
      <c r="M1149" s="64">
        <f>IFERROR(INDEX('1. Matriz de Activos'!$S$6:$S$239,MATCH($C1149,MgActId,0)),"")</f>
        <v/>
      </c>
      <c r="N1149" s="28">
        <f>IFERROR(INDEX(MgAmenDegD,MATCH(SUBSTITUTE($H1149,"*","-"),MgAmenClave,0)),"No aplica")</f>
        <v/>
      </c>
      <c r="O1149" s="28">
        <f>IFERROR(INDEX(MgAmenDegI,MATCH(SUBSTITUTE($H1149,"*","-"),MgAmenClave,0)),"No aplica")</f>
        <v/>
      </c>
      <c r="P1149" s="28">
        <f>IFERROR(INDEX(MgAmenDegC,MATCH(SUBSTITUTE($H1149,"*","-"),MgAmenClave,0)),"No aplica")</f>
        <v/>
      </c>
      <c r="Q1149" s="29">
        <f>IFERROR(VLOOKUP(K1149,MgValor,2,0)*VLOOKUP(N1149,MgDeg,2,0),0)</f>
        <v/>
      </c>
      <c r="R1149" s="29">
        <f>IFERROR(VLOOKUP(L1149,MgValor,2,0)*VLOOKUP(O1149,MgDeg,2,0),0)</f>
        <v/>
      </c>
      <c r="S1149" s="29">
        <f>IFERROR(VLOOKUP(M1149,MgValor,2,0)*VLOOKUP(P1149,MgDeg,2,0),0)</f>
        <v/>
      </c>
      <c r="T1149" s="30">
        <f>MAX(Q1149:S1149)</f>
        <v/>
      </c>
      <c r="U1149" s="28">
        <f>IFERROR(LOOKUP(T1149,{0;0.5;1.5;3;4.5},{"Despreciable";"Bajo";"Medio";"Alto";"Muy alto"}),"")</f>
        <v/>
      </c>
      <c r="V1149" s="13">
        <f>IFERROR(INDEX(MgAmenFrec,MATCH(SUBSTITUTE($H1149,"*","-"),MgAmenClave,0)),"")</f>
        <v/>
      </c>
      <c r="W1149" s="28">
        <f>IFERROR(LOOKUP(X1149,{0;0.01;0.1;1;10;100},{"Muy baja";"Muy baja";"Baja";"Media";"Alta";"Muy alta"}),"")</f>
        <v/>
      </c>
      <c r="X1149" s="31">
        <f>IFERROR(VLOOKUP(V1149,MgFrec,2,0),0)</f>
        <v/>
      </c>
      <c r="Y1149" s="30">
        <f>T1149*X1149</f>
        <v/>
      </c>
      <c r="Z1149" s="28">
        <f>IFERROR(LOOKUP(Y1149,{0;0.5;5;25},{"Bajo";"Medio";"Alto";"Crítico"}),"")</f>
        <v/>
      </c>
      <c r="AA1149" s="64">
        <f>IF(T1149&gt;=3,IF(X1149&gt;=1,"Zona 1 — Crítica: impacto alto y ocurre al menos una vez al año","Zona 4 — Catastrófica poco probable: impacto alto pero excepcional"),IF(AND(T1149&lt;1.5,X1149&lt;1),"Zona 3 — Asumible: impacto bajo y muy poco frecuente","Zona 2 — Atención: riesgo intermedio"))</f>
        <v/>
      </c>
      <c r="AB1149" s="64">
        <f>IFERROR(INDEX(MgAmenCtrl,MATCH(SUBSTITUTE($H1149,"*","-"),MgAmenClave,0)),"")</f>
        <v/>
      </c>
      <c r="AC1149" s="20" t="n"/>
      <c r="AD1149" s="31">
        <f>IFERROR($X1149*(1-IF($AC1149="",$AL1149,VLOOKUP($AC1149,MgMad,2,0))),"")</f>
        <v/>
      </c>
      <c r="AE1149" s="28">
        <f>IFERROR(LOOKUP(AD1149,{0;0.01;0.1;1;10;100},{"Muy baja";"Muy baja";"Baja";"Media";"Alta";"Muy alta"}),"")</f>
        <v/>
      </c>
      <c r="AF1149" s="30">
        <f>T1149*AD1149</f>
        <v/>
      </c>
      <c r="AG1149" s="28">
        <f>IFERROR(LOOKUP(AF1149,{0;0.5;5;25},{"Bajo";"Medio";"Alto";"Crítico"}),"")</f>
        <v/>
      </c>
      <c r="AH1149" s="28">
        <f>IF(AG1149="","",IF(OR(AG1149="Crítico",AG1149="Alto"),"Mitigar",IF(AG1149="Medio","Mitigar","Aceptar y monitorear")))</f>
        <v/>
      </c>
      <c r="AI1149" s="21" t="n"/>
      <c r="AJ1149" s="21" t="n"/>
      <c r="AK1149" s="20" t="n"/>
      <c r="AL1149" s="77">
        <f>IFERROR(INDEX(MgAmenEfic,MATCH(SUBSTITUTE($H1149,"*","-"),MgAmenClave,0)),0)</f>
        <v/>
      </c>
    </row>
    <row r="1150" hidden="1" ht="105" customHeight="1" s="54">
      <c r="B1150" s="59" t="inlineStr">
        <is>
          <t>R-1145</t>
        </is>
      </c>
      <c r="C1150" s="59" t="inlineStr">
        <is>
          <t>GH-004</t>
        </is>
      </c>
      <c r="D1150" s="64">
        <f>IFERROR(INDEX(MgNombre,MATCH($C1150,MgActId,0)),"")</f>
        <v/>
      </c>
      <c r="E1150" s="64">
        <f>IFERROR(INDEX(MgProceso,MATCH($C1150,MgActId,0)),"")</f>
        <v/>
      </c>
      <c r="F1150" s="64">
        <f>IFERROR(INDEX(MgTipo,MATCH($C1150,MgActId,0)),"")</f>
        <v/>
      </c>
      <c r="G1150" s="64">
        <f>IFERROR(INDEX(MgSubtipo,MATCH($C1150,MgActId,0)),"")</f>
        <v/>
      </c>
      <c r="H1150" s="59" t="inlineStr">
        <is>
          <t>E.1</t>
        </is>
      </c>
      <c r="I1150" s="64">
        <f>IFERROR(INDEX(MgAmenNombre,MATCH(SUBSTITUTE($H1150,"*","-"),MgAmenClave,0)),"")</f>
        <v/>
      </c>
      <c r="J1150" s="28">
        <f>IFERROR(INDEX(MgAmenGrupo,MATCH(SUBSTITUTE($H1150,"*","-"),MgAmenClave,0)),"")</f>
        <v/>
      </c>
      <c r="K1150" s="64">
        <f>IFERROR(INDEX('1. Matriz de Activos'!$Q$6:$Q$239,MATCH($C1150,MgActId,0)),"")</f>
        <v/>
      </c>
      <c r="L1150" s="64">
        <f>IFERROR(INDEX('1. Matriz de Activos'!$R$6:$R$239,MATCH($C1150,MgActId,0)),"")</f>
        <v/>
      </c>
      <c r="M1150" s="64">
        <f>IFERROR(INDEX('1. Matriz de Activos'!$S$6:$S$239,MATCH($C1150,MgActId,0)),"")</f>
        <v/>
      </c>
      <c r="N1150" s="28">
        <f>IFERROR(INDEX(MgAmenDegD,MATCH(SUBSTITUTE($H1150,"*","-"),MgAmenClave,0)),"No aplica")</f>
        <v/>
      </c>
      <c r="O1150" s="28">
        <f>IFERROR(INDEX(MgAmenDegI,MATCH(SUBSTITUTE($H1150,"*","-"),MgAmenClave,0)),"No aplica")</f>
        <v/>
      </c>
      <c r="P1150" s="28">
        <f>IFERROR(INDEX(MgAmenDegC,MATCH(SUBSTITUTE($H1150,"*","-"),MgAmenClave,0)),"No aplica")</f>
        <v/>
      </c>
      <c r="Q1150" s="29">
        <f>IFERROR(VLOOKUP(K1150,MgValor,2,0)*VLOOKUP(N1150,MgDeg,2,0),0)</f>
        <v/>
      </c>
      <c r="R1150" s="29">
        <f>IFERROR(VLOOKUP(L1150,MgValor,2,0)*VLOOKUP(O1150,MgDeg,2,0),0)</f>
        <v/>
      </c>
      <c r="S1150" s="29">
        <f>IFERROR(VLOOKUP(M1150,MgValor,2,0)*VLOOKUP(P1150,MgDeg,2,0),0)</f>
        <v/>
      </c>
      <c r="T1150" s="30">
        <f>MAX(Q1150:S1150)</f>
        <v/>
      </c>
      <c r="U1150" s="28">
        <f>IFERROR(LOOKUP(T1150,{0;0.5;1.5;3;4.5},{"Despreciable";"Bajo";"Medio";"Alto";"Muy alto"}),"")</f>
        <v/>
      </c>
      <c r="V1150" s="13">
        <f>IFERROR(INDEX(MgAmenFrec,MATCH(SUBSTITUTE($H1150,"*","-"),MgAmenClave,0)),"")</f>
        <v/>
      </c>
      <c r="W1150" s="28">
        <f>IFERROR(LOOKUP(X1150,{0;0.01;0.1;1;10;100},{"Muy baja";"Muy baja";"Baja";"Media";"Alta";"Muy alta"}),"")</f>
        <v/>
      </c>
      <c r="X1150" s="31">
        <f>IFERROR(VLOOKUP(V1150,MgFrec,2,0),0)</f>
        <v/>
      </c>
      <c r="Y1150" s="30">
        <f>T1150*X1150</f>
        <v/>
      </c>
      <c r="Z1150" s="28">
        <f>IFERROR(LOOKUP(Y1150,{0;0.5;5;25},{"Bajo";"Medio";"Alto";"Crítico"}),"")</f>
        <v/>
      </c>
      <c r="AA1150" s="64">
        <f>IF(T1150&gt;=3,IF(X1150&gt;=1,"Zona 1 — Crítica: impacto alto y ocurre al menos una vez al año","Zona 4 — Catastrófica poco probable: impacto alto pero excepcional"),IF(AND(T1150&lt;1.5,X1150&lt;1),"Zona 3 — Asumible: impacto bajo y muy poco frecuente","Zona 2 — Atención: riesgo intermedio"))</f>
        <v/>
      </c>
      <c r="AB1150" s="64">
        <f>IFERROR(INDEX(MgAmenCtrl,MATCH(SUBSTITUTE($H1150,"*","-"),MgAmenClave,0)),"")</f>
        <v/>
      </c>
      <c r="AC1150" s="20" t="n"/>
      <c r="AD1150" s="31">
        <f>IFERROR($X1150*(1-IF($AC1150="",$AL1150,VLOOKUP($AC1150,MgMad,2,0))),"")</f>
        <v/>
      </c>
      <c r="AE1150" s="28">
        <f>IFERROR(LOOKUP(AD1150,{0;0.01;0.1;1;10;100},{"Muy baja";"Muy baja";"Baja";"Media";"Alta";"Muy alta"}),"")</f>
        <v/>
      </c>
      <c r="AF1150" s="30">
        <f>T1150*AD1150</f>
        <v/>
      </c>
      <c r="AG1150" s="28">
        <f>IFERROR(LOOKUP(AF1150,{0;0.5;5;25},{"Bajo";"Medio";"Alto";"Crítico"}),"")</f>
        <v/>
      </c>
      <c r="AH1150" s="28">
        <f>IF(AG1150="","",IF(OR(AG1150="Crítico",AG1150="Alto"),"Mitigar",IF(AG1150="Medio","Mitigar","Aceptar y monitorear")))</f>
        <v/>
      </c>
      <c r="AI1150" s="21" t="n"/>
      <c r="AJ1150" s="21" t="n"/>
      <c r="AK1150" s="20" t="n"/>
      <c r="AL1150" s="77">
        <f>IFERROR(INDEX(MgAmenEfic,MATCH(SUBSTITUTE($H1150,"*","-"),MgAmenClave,0)),0)</f>
        <v/>
      </c>
    </row>
    <row r="1151" hidden="1" ht="120" customHeight="1" s="54">
      <c r="B1151" s="59" t="inlineStr">
        <is>
          <t>R-1146</t>
        </is>
      </c>
      <c r="C1151" s="59" t="inlineStr">
        <is>
          <t>GH-004</t>
        </is>
      </c>
      <c r="D1151" s="64">
        <f>IFERROR(INDEX(MgNombre,MATCH($C1151,MgActId,0)),"")</f>
        <v/>
      </c>
      <c r="E1151" s="64">
        <f>IFERROR(INDEX(MgProceso,MATCH($C1151,MgActId,0)),"")</f>
        <v/>
      </c>
      <c r="F1151" s="64">
        <f>IFERROR(INDEX(MgTipo,MATCH($C1151,MgActId,0)),"")</f>
        <v/>
      </c>
      <c r="G1151" s="64">
        <f>IFERROR(INDEX(MgSubtipo,MATCH($C1151,MgActId,0)),"")</f>
        <v/>
      </c>
      <c r="H1151" s="59" t="inlineStr">
        <is>
          <t>E.2</t>
        </is>
      </c>
      <c r="I1151" s="64">
        <f>IFERROR(INDEX(MgAmenNombre,MATCH(SUBSTITUTE($H1151,"*","-"),MgAmenClave,0)),"")</f>
        <v/>
      </c>
      <c r="J1151" s="28">
        <f>IFERROR(INDEX(MgAmenGrupo,MATCH(SUBSTITUTE($H1151,"*","-"),MgAmenClave,0)),"")</f>
        <v/>
      </c>
      <c r="K1151" s="64">
        <f>IFERROR(INDEX('1. Matriz de Activos'!$Q$6:$Q$239,MATCH($C1151,MgActId,0)),"")</f>
        <v/>
      </c>
      <c r="L1151" s="64">
        <f>IFERROR(INDEX('1. Matriz de Activos'!$R$6:$R$239,MATCH($C1151,MgActId,0)),"")</f>
        <v/>
      </c>
      <c r="M1151" s="64">
        <f>IFERROR(INDEX('1. Matriz de Activos'!$S$6:$S$239,MATCH($C1151,MgActId,0)),"")</f>
        <v/>
      </c>
      <c r="N1151" s="28">
        <f>IFERROR(INDEX(MgAmenDegD,MATCH(SUBSTITUTE($H1151,"*","-"),MgAmenClave,0)),"No aplica")</f>
        <v/>
      </c>
      <c r="O1151" s="28">
        <f>IFERROR(INDEX(MgAmenDegI,MATCH(SUBSTITUTE($H1151,"*","-"),MgAmenClave,0)),"No aplica")</f>
        <v/>
      </c>
      <c r="P1151" s="28">
        <f>IFERROR(INDEX(MgAmenDegC,MATCH(SUBSTITUTE($H1151,"*","-"),MgAmenClave,0)),"No aplica")</f>
        <v/>
      </c>
      <c r="Q1151" s="29">
        <f>IFERROR(VLOOKUP(K1151,MgValor,2,0)*VLOOKUP(N1151,MgDeg,2,0),0)</f>
        <v/>
      </c>
      <c r="R1151" s="29">
        <f>IFERROR(VLOOKUP(L1151,MgValor,2,0)*VLOOKUP(O1151,MgDeg,2,0),0)</f>
        <v/>
      </c>
      <c r="S1151" s="29">
        <f>IFERROR(VLOOKUP(M1151,MgValor,2,0)*VLOOKUP(P1151,MgDeg,2,0),0)</f>
        <v/>
      </c>
      <c r="T1151" s="30">
        <f>MAX(Q1151:S1151)</f>
        <v/>
      </c>
      <c r="U1151" s="28">
        <f>IFERROR(LOOKUP(T1151,{0;0.5;1.5;3;4.5},{"Despreciable";"Bajo";"Medio";"Alto";"Muy alto"}),"")</f>
        <v/>
      </c>
      <c r="V1151" s="13">
        <f>IFERROR(INDEX(MgAmenFrec,MATCH(SUBSTITUTE($H1151,"*","-"),MgAmenClave,0)),"")</f>
        <v/>
      </c>
      <c r="W1151" s="28">
        <f>IFERROR(LOOKUP(X1151,{0;0.01;0.1;1;10;100},{"Muy baja";"Muy baja";"Baja";"Media";"Alta";"Muy alta"}),"")</f>
        <v/>
      </c>
      <c r="X1151" s="31">
        <f>IFERROR(VLOOKUP(V1151,MgFrec,2,0),0)</f>
        <v/>
      </c>
      <c r="Y1151" s="30">
        <f>T1151*X1151</f>
        <v/>
      </c>
      <c r="Z1151" s="28">
        <f>IFERROR(LOOKUP(Y1151,{0;0.5;5;25},{"Bajo";"Medio";"Alto";"Crítico"}),"")</f>
        <v/>
      </c>
      <c r="AA1151" s="64">
        <f>IF(T1151&gt;=3,IF(X1151&gt;=1,"Zona 1 — Crítica: impacto alto y ocurre al menos una vez al año","Zona 4 — Catastrófica poco probable: impacto alto pero excepcional"),IF(AND(T1151&lt;1.5,X1151&lt;1),"Zona 3 — Asumible: impacto bajo y muy poco frecuente","Zona 2 — Atención: riesgo intermedio"))</f>
        <v/>
      </c>
      <c r="AB1151" s="64">
        <f>IFERROR(INDEX(MgAmenCtrl,MATCH(SUBSTITUTE($H1151,"*","-"),MgAmenClave,0)),"")</f>
        <v/>
      </c>
      <c r="AC1151" s="20" t="n"/>
      <c r="AD1151" s="31">
        <f>IFERROR($X1151*(1-IF($AC1151="",$AL1151,VLOOKUP($AC1151,MgMad,2,0))),"")</f>
        <v/>
      </c>
      <c r="AE1151" s="28">
        <f>IFERROR(LOOKUP(AD1151,{0;0.01;0.1;1;10;100},{"Muy baja";"Muy baja";"Baja";"Media";"Alta";"Muy alta"}),"")</f>
        <v/>
      </c>
      <c r="AF1151" s="30">
        <f>T1151*AD1151</f>
        <v/>
      </c>
      <c r="AG1151" s="28">
        <f>IFERROR(LOOKUP(AF1151,{0;0.5;5;25},{"Bajo";"Medio";"Alto";"Crítico"}),"")</f>
        <v/>
      </c>
      <c r="AH1151" s="28">
        <f>IF(AG1151="","",IF(OR(AG1151="Crítico",AG1151="Alto"),"Mitigar",IF(AG1151="Medio","Mitigar","Aceptar y monitorear")))</f>
        <v/>
      </c>
      <c r="AI1151" s="21" t="n"/>
      <c r="AJ1151" s="21" t="n"/>
      <c r="AK1151" s="20" t="n"/>
      <c r="AL1151" s="77">
        <f>IFERROR(INDEX(MgAmenEfic,MATCH(SUBSTITUTE($H1151,"*","-"),MgAmenClave,0)),0)</f>
        <v/>
      </c>
    </row>
    <row r="1152" hidden="1" ht="75" customHeight="1" s="54">
      <c r="B1152" s="59" t="inlineStr">
        <is>
          <t>R-1147</t>
        </is>
      </c>
      <c r="C1152" s="59" t="inlineStr">
        <is>
          <t>GH-004</t>
        </is>
      </c>
      <c r="D1152" s="64">
        <f>IFERROR(INDEX(MgNombre,MATCH($C1152,MgActId,0)),"")</f>
        <v/>
      </c>
      <c r="E1152" s="64">
        <f>IFERROR(INDEX(MgProceso,MATCH($C1152,MgActId,0)),"")</f>
        <v/>
      </c>
      <c r="F1152" s="64">
        <f>IFERROR(INDEX(MgTipo,MATCH($C1152,MgActId,0)),"")</f>
        <v/>
      </c>
      <c r="G1152" s="64">
        <f>IFERROR(INDEX(MgSubtipo,MATCH($C1152,MgActId,0)),"")</f>
        <v/>
      </c>
      <c r="H1152" s="59" t="inlineStr">
        <is>
          <t>E.3</t>
        </is>
      </c>
      <c r="I1152" s="64">
        <f>IFERROR(INDEX(MgAmenNombre,MATCH(SUBSTITUTE($H1152,"*","-"),MgAmenClave,0)),"")</f>
        <v/>
      </c>
      <c r="J1152" s="28">
        <f>IFERROR(INDEX(MgAmenGrupo,MATCH(SUBSTITUTE($H1152,"*","-"),MgAmenClave,0)),"")</f>
        <v/>
      </c>
      <c r="K1152" s="64">
        <f>IFERROR(INDEX('1. Matriz de Activos'!$Q$6:$Q$239,MATCH($C1152,MgActId,0)),"")</f>
        <v/>
      </c>
      <c r="L1152" s="64">
        <f>IFERROR(INDEX('1. Matriz de Activos'!$R$6:$R$239,MATCH($C1152,MgActId,0)),"")</f>
        <v/>
      </c>
      <c r="M1152" s="64">
        <f>IFERROR(INDEX('1. Matriz de Activos'!$S$6:$S$239,MATCH($C1152,MgActId,0)),"")</f>
        <v/>
      </c>
      <c r="N1152" s="28">
        <f>IFERROR(INDEX(MgAmenDegD,MATCH(SUBSTITUTE($H1152,"*","-"),MgAmenClave,0)),"No aplica")</f>
        <v/>
      </c>
      <c r="O1152" s="28">
        <f>IFERROR(INDEX(MgAmenDegI,MATCH(SUBSTITUTE($H1152,"*","-"),MgAmenClave,0)),"No aplica")</f>
        <v/>
      </c>
      <c r="P1152" s="28">
        <f>IFERROR(INDEX(MgAmenDegC,MATCH(SUBSTITUTE($H1152,"*","-"),MgAmenClave,0)),"No aplica")</f>
        <v/>
      </c>
      <c r="Q1152" s="29">
        <f>IFERROR(VLOOKUP(K1152,MgValor,2,0)*VLOOKUP(N1152,MgDeg,2,0),0)</f>
        <v/>
      </c>
      <c r="R1152" s="29">
        <f>IFERROR(VLOOKUP(L1152,MgValor,2,0)*VLOOKUP(O1152,MgDeg,2,0),0)</f>
        <v/>
      </c>
      <c r="S1152" s="29">
        <f>IFERROR(VLOOKUP(M1152,MgValor,2,0)*VLOOKUP(P1152,MgDeg,2,0),0)</f>
        <v/>
      </c>
      <c r="T1152" s="30">
        <f>MAX(Q1152:S1152)</f>
        <v/>
      </c>
      <c r="U1152" s="28">
        <f>IFERROR(LOOKUP(T1152,{0;0.5;1.5;3;4.5},{"Despreciable";"Bajo";"Medio";"Alto";"Muy alto"}),"")</f>
        <v/>
      </c>
      <c r="V1152" s="13">
        <f>IFERROR(INDEX(MgAmenFrec,MATCH(SUBSTITUTE($H1152,"*","-"),MgAmenClave,0)),"")</f>
        <v/>
      </c>
      <c r="W1152" s="28">
        <f>IFERROR(LOOKUP(X1152,{0;0.01;0.1;1;10;100},{"Muy baja";"Muy baja";"Baja";"Media";"Alta";"Muy alta"}),"")</f>
        <v/>
      </c>
      <c r="X1152" s="31">
        <f>IFERROR(VLOOKUP(V1152,MgFrec,2,0),0)</f>
        <v/>
      </c>
      <c r="Y1152" s="30">
        <f>T1152*X1152</f>
        <v/>
      </c>
      <c r="Z1152" s="28">
        <f>IFERROR(LOOKUP(Y1152,{0;0.5;5;25},{"Bajo";"Medio";"Alto";"Crítico"}),"")</f>
        <v/>
      </c>
      <c r="AA1152" s="64">
        <f>IF(T1152&gt;=3,IF(X1152&gt;=1,"Zona 1 — Crítica: impacto alto y ocurre al menos una vez al año","Zona 4 — Catastrófica poco probable: impacto alto pero excepcional"),IF(AND(T1152&lt;1.5,X1152&lt;1),"Zona 3 — Asumible: impacto bajo y muy poco frecuente","Zona 2 — Atención: riesgo intermedio"))</f>
        <v/>
      </c>
      <c r="AB1152" s="64">
        <f>IFERROR(INDEX(MgAmenCtrl,MATCH(SUBSTITUTE($H1152,"*","-"),MgAmenClave,0)),"")</f>
        <v/>
      </c>
      <c r="AC1152" s="20" t="n"/>
      <c r="AD1152" s="31">
        <f>IFERROR($X1152*(1-IF($AC1152="",$AL1152,VLOOKUP($AC1152,MgMad,2,0))),"")</f>
        <v/>
      </c>
      <c r="AE1152" s="28">
        <f>IFERROR(LOOKUP(AD1152,{0;0.01;0.1;1;10;100},{"Muy baja";"Muy baja";"Baja";"Media";"Alta";"Muy alta"}),"")</f>
        <v/>
      </c>
      <c r="AF1152" s="30">
        <f>T1152*AD1152</f>
        <v/>
      </c>
      <c r="AG1152" s="28">
        <f>IFERROR(LOOKUP(AF1152,{0;0.5;5;25},{"Bajo";"Medio";"Alto";"Crítico"}),"")</f>
        <v/>
      </c>
      <c r="AH1152" s="28">
        <f>IF(AG1152="","",IF(OR(AG1152="Crítico",AG1152="Alto"),"Mitigar",IF(AG1152="Medio","Mitigar","Aceptar y monitorear")))</f>
        <v/>
      </c>
      <c r="AI1152" s="21" t="n"/>
      <c r="AJ1152" s="21" t="n"/>
      <c r="AK1152" s="20" t="n"/>
      <c r="AL1152" s="77">
        <f>IFERROR(INDEX(MgAmenEfic,MATCH(SUBSTITUTE($H1152,"*","-"),MgAmenClave,0)),0)</f>
        <v/>
      </c>
    </row>
    <row r="1153" hidden="1" ht="75" customHeight="1" s="54">
      <c r="B1153" s="59" t="inlineStr">
        <is>
          <t>R-1148</t>
        </is>
      </c>
      <c r="C1153" s="59" t="inlineStr">
        <is>
          <t>GH-004</t>
        </is>
      </c>
      <c r="D1153" s="64">
        <f>IFERROR(INDEX(MgNombre,MATCH($C1153,MgActId,0)),"")</f>
        <v/>
      </c>
      <c r="E1153" s="64">
        <f>IFERROR(INDEX(MgProceso,MATCH($C1153,MgActId,0)),"")</f>
        <v/>
      </c>
      <c r="F1153" s="64">
        <f>IFERROR(INDEX(MgTipo,MATCH($C1153,MgActId,0)),"")</f>
        <v/>
      </c>
      <c r="G1153" s="64">
        <f>IFERROR(INDEX(MgSubtipo,MATCH($C1153,MgActId,0)),"")</f>
        <v/>
      </c>
      <c r="H1153" s="59" t="inlineStr">
        <is>
          <t>E.4</t>
        </is>
      </c>
      <c r="I1153" s="64">
        <f>IFERROR(INDEX(MgAmenNombre,MATCH(SUBSTITUTE($H1153,"*","-"),MgAmenClave,0)),"")</f>
        <v/>
      </c>
      <c r="J1153" s="28">
        <f>IFERROR(INDEX(MgAmenGrupo,MATCH(SUBSTITUTE($H1153,"*","-"),MgAmenClave,0)),"")</f>
        <v/>
      </c>
      <c r="K1153" s="64">
        <f>IFERROR(INDEX('1. Matriz de Activos'!$Q$6:$Q$239,MATCH($C1153,MgActId,0)),"")</f>
        <v/>
      </c>
      <c r="L1153" s="64">
        <f>IFERROR(INDEX('1. Matriz de Activos'!$R$6:$R$239,MATCH($C1153,MgActId,0)),"")</f>
        <v/>
      </c>
      <c r="M1153" s="64">
        <f>IFERROR(INDEX('1. Matriz de Activos'!$S$6:$S$239,MATCH($C1153,MgActId,0)),"")</f>
        <v/>
      </c>
      <c r="N1153" s="28">
        <f>IFERROR(INDEX(MgAmenDegD,MATCH(SUBSTITUTE($H1153,"*","-"),MgAmenClave,0)),"No aplica")</f>
        <v/>
      </c>
      <c r="O1153" s="28">
        <f>IFERROR(INDEX(MgAmenDegI,MATCH(SUBSTITUTE($H1153,"*","-"),MgAmenClave,0)),"No aplica")</f>
        <v/>
      </c>
      <c r="P1153" s="28">
        <f>IFERROR(INDEX(MgAmenDegC,MATCH(SUBSTITUTE($H1153,"*","-"),MgAmenClave,0)),"No aplica")</f>
        <v/>
      </c>
      <c r="Q1153" s="29">
        <f>IFERROR(VLOOKUP(K1153,MgValor,2,0)*VLOOKUP(N1153,MgDeg,2,0),0)</f>
        <v/>
      </c>
      <c r="R1153" s="29">
        <f>IFERROR(VLOOKUP(L1153,MgValor,2,0)*VLOOKUP(O1153,MgDeg,2,0),0)</f>
        <v/>
      </c>
      <c r="S1153" s="29">
        <f>IFERROR(VLOOKUP(M1153,MgValor,2,0)*VLOOKUP(P1153,MgDeg,2,0),0)</f>
        <v/>
      </c>
      <c r="T1153" s="30">
        <f>MAX(Q1153:S1153)</f>
        <v/>
      </c>
      <c r="U1153" s="28">
        <f>IFERROR(LOOKUP(T1153,{0;0.5;1.5;3;4.5},{"Despreciable";"Bajo";"Medio";"Alto";"Muy alto"}),"")</f>
        <v/>
      </c>
      <c r="V1153" s="13">
        <f>IFERROR(INDEX(MgAmenFrec,MATCH(SUBSTITUTE($H1153,"*","-"),MgAmenClave,0)),"")</f>
        <v/>
      </c>
      <c r="W1153" s="28">
        <f>IFERROR(LOOKUP(X1153,{0;0.01;0.1;1;10;100},{"Muy baja";"Muy baja";"Baja";"Media";"Alta";"Muy alta"}),"")</f>
        <v/>
      </c>
      <c r="X1153" s="31">
        <f>IFERROR(VLOOKUP(V1153,MgFrec,2,0),0)</f>
        <v/>
      </c>
      <c r="Y1153" s="30">
        <f>T1153*X1153</f>
        <v/>
      </c>
      <c r="Z1153" s="28">
        <f>IFERROR(LOOKUP(Y1153,{0;0.5;5;25},{"Bajo";"Medio";"Alto";"Crítico"}),"")</f>
        <v/>
      </c>
      <c r="AA1153" s="64">
        <f>IF(T1153&gt;=3,IF(X1153&gt;=1,"Zona 1 — Crítica: impacto alto y ocurre al menos una vez al año","Zona 4 — Catastrófica poco probable: impacto alto pero excepcional"),IF(AND(T1153&lt;1.5,X1153&lt;1),"Zona 3 — Asumible: impacto bajo y muy poco frecuente","Zona 2 — Atención: riesgo intermedio"))</f>
        <v/>
      </c>
      <c r="AB1153" s="64">
        <f>IFERROR(INDEX(MgAmenCtrl,MATCH(SUBSTITUTE($H1153,"*","-"),MgAmenClave,0)),"")</f>
        <v/>
      </c>
      <c r="AC1153" s="20" t="n"/>
      <c r="AD1153" s="31">
        <f>IFERROR($X1153*(1-IF($AC1153="",$AL1153,VLOOKUP($AC1153,MgMad,2,0))),"")</f>
        <v/>
      </c>
      <c r="AE1153" s="28">
        <f>IFERROR(LOOKUP(AD1153,{0;0.01;0.1;1;10;100},{"Muy baja";"Muy baja";"Baja";"Media";"Alta";"Muy alta"}),"")</f>
        <v/>
      </c>
      <c r="AF1153" s="30">
        <f>T1153*AD1153</f>
        <v/>
      </c>
      <c r="AG1153" s="28">
        <f>IFERROR(LOOKUP(AF1153,{0;0.5;5;25},{"Bajo";"Medio";"Alto";"Crítico"}),"")</f>
        <v/>
      </c>
      <c r="AH1153" s="28">
        <f>IF(AG1153="","",IF(OR(AG1153="Crítico",AG1153="Alto"),"Mitigar",IF(AG1153="Medio","Mitigar","Aceptar y monitorear")))</f>
        <v/>
      </c>
      <c r="AI1153" s="21" t="n"/>
      <c r="AJ1153" s="21" t="n"/>
      <c r="AK1153" s="20" t="n"/>
      <c r="AL1153" s="77">
        <f>IFERROR(INDEX(MgAmenEfic,MATCH(SUBSTITUTE($H1153,"*","-"),MgAmenClave,0)),0)</f>
        <v/>
      </c>
    </row>
    <row r="1154" hidden="1" ht="90" customHeight="1" s="54">
      <c r="B1154" s="59" t="inlineStr">
        <is>
          <t>R-1149</t>
        </is>
      </c>
      <c r="C1154" s="59" t="inlineStr">
        <is>
          <t>GH-004</t>
        </is>
      </c>
      <c r="D1154" s="64">
        <f>IFERROR(INDEX(MgNombre,MATCH($C1154,MgActId,0)),"")</f>
        <v/>
      </c>
      <c r="E1154" s="64">
        <f>IFERROR(INDEX(MgProceso,MATCH($C1154,MgActId,0)),"")</f>
        <v/>
      </c>
      <c r="F1154" s="64">
        <f>IFERROR(INDEX(MgTipo,MATCH($C1154,MgActId,0)),"")</f>
        <v/>
      </c>
      <c r="G1154" s="64">
        <f>IFERROR(INDEX(MgSubtipo,MATCH($C1154,MgActId,0)),"")</f>
        <v/>
      </c>
      <c r="H1154" s="59" t="inlineStr">
        <is>
          <t>E.14</t>
        </is>
      </c>
      <c r="I1154" s="64">
        <f>IFERROR(INDEX(MgAmenNombre,MATCH(SUBSTITUTE($H1154,"*","-"),MgAmenClave,0)),"")</f>
        <v/>
      </c>
      <c r="J1154" s="28">
        <f>IFERROR(INDEX(MgAmenGrupo,MATCH(SUBSTITUTE($H1154,"*","-"),MgAmenClave,0)),"")</f>
        <v/>
      </c>
      <c r="K1154" s="64">
        <f>IFERROR(INDEX('1. Matriz de Activos'!$Q$6:$Q$239,MATCH($C1154,MgActId,0)),"")</f>
        <v/>
      </c>
      <c r="L1154" s="64">
        <f>IFERROR(INDEX('1. Matriz de Activos'!$R$6:$R$239,MATCH($C1154,MgActId,0)),"")</f>
        <v/>
      </c>
      <c r="M1154" s="64">
        <f>IFERROR(INDEX('1. Matriz de Activos'!$S$6:$S$239,MATCH($C1154,MgActId,0)),"")</f>
        <v/>
      </c>
      <c r="N1154" s="28">
        <f>IFERROR(INDEX(MgAmenDegD,MATCH(SUBSTITUTE($H1154,"*","-"),MgAmenClave,0)),"No aplica")</f>
        <v/>
      </c>
      <c r="O1154" s="28">
        <f>IFERROR(INDEX(MgAmenDegI,MATCH(SUBSTITUTE($H1154,"*","-"),MgAmenClave,0)),"No aplica")</f>
        <v/>
      </c>
      <c r="P1154" s="28">
        <f>IFERROR(INDEX(MgAmenDegC,MATCH(SUBSTITUTE($H1154,"*","-"),MgAmenClave,0)),"No aplica")</f>
        <v/>
      </c>
      <c r="Q1154" s="29">
        <f>IFERROR(VLOOKUP(K1154,MgValor,2,0)*VLOOKUP(N1154,MgDeg,2,0),0)</f>
        <v/>
      </c>
      <c r="R1154" s="29">
        <f>IFERROR(VLOOKUP(L1154,MgValor,2,0)*VLOOKUP(O1154,MgDeg,2,0),0)</f>
        <v/>
      </c>
      <c r="S1154" s="29">
        <f>IFERROR(VLOOKUP(M1154,MgValor,2,0)*VLOOKUP(P1154,MgDeg,2,0),0)</f>
        <v/>
      </c>
      <c r="T1154" s="30">
        <f>MAX(Q1154:S1154)</f>
        <v/>
      </c>
      <c r="U1154" s="28">
        <f>IFERROR(LOOKUP(T1154,{0;0.5;1.5;3;4.5},{"Despreciable";"Bajo";"Medio";"Alto";"Muy alto"}),"")</f>
        <v/>
      </c>
      <c r="V1154" s="13">
        <f>IFERROR(INDEX(MgAmenFrec,MATCH(SUBSTITUTE($H1154,"*","-"),MgAmenClave,0)),"")</f>
        <v/>
      </c>
      <c r="W1154" s="28">
        <f>IFERROR(LOOKUP(X1154,{0;0.01;0.1;1;10;100},{"Muy baja";"Muy baja";"Baja";"Media";"Alta";"Muy alta"}),"")</f>
        <v/>
      </c>
      <c r="X1154" s="31">
        <f>IFERROR(VLOOKUP(V1154,MgFrec,2,0),0)</f>
        <v/>
      </c>
      <c r="Y1154" s="30">
        <f>T1154*X1154</f>
        <v/>
      </c>
      <c r="Z1154" s="28">
        <f>IFERROR(LOOKUP(Y1154,{0;0.5;5;25},{"Bajo";"Medio";"Alto";"Crítico"}),"")</f>
        <v/>
      </c>
      <c r="AA1154" s="64">
        <f>IF(T1154&gt;=3,IF(X1154&gt;=1,"Zona 1 — Crítica: impacto alto y ocurre al menos una vez al año","Zona 4 — Catastrófica poco probable: impacto alto pero excepcional"),IF(AND(T1154&lt;1.5,X1154&lt;1),"Zona 3 — Asumible: impacto bajo y muy poco frecuente","Zona 2 — Atención: riesgo intermedio"))</f>
        <v/>
      </c>
      <c r="AB1154" s="64">
        <f>IFERROR(INDEX(MgAmenCtrl,MATCH(SUBSTITUTE($H1154,"*","-"),MgAmenClave,0)),"")</f>
        <v/>
      </c>
      <c r="AC1154" s="20" t="n"/>
      <c r="AD1154" s="31">
        <f>IFERROR($X1154*(1-IF($AC1154="",$AL1154,VLOOKUP($AC1154,MgMad,2,0))),"")</f>
        <v/>
      </c>
      <c r="AE1154" s="28">
        <f>IFERROR(LOOKUP(AD1154,{0;0.01;0.1;1;10;100},{"Muy baja";"Muy baja";"Baja";"Media";"Alta";"Muy alta"}),"")</f>
        <v/>
      </c>
      <c r="AF1154" s="30">
        <f>T1154*AD1154</f>
        <v/>
      </c>
      <c r="AG1154" s="28">
        <f>IFERROR(LOOKUP(AF1154,{0;0.5;5;25},{"Bajo";"Medio";"Alto";"Crítico"}),"")</f>
        <v/>
      </c>
      <c r="AH1154" s="28">
        <f>IF(AG1154="","",IF(OR(AG1154="Crítico",AG1154="Alto"),"Mitigar",IF(AG1154="Medio","Mitigar","Aceptar y monitorear")))</f>
        <v/>
      </c>
      <c r="AI1154" s="21" t="n"/>
      <c r="AJ1154" s="21" t="n"/>
      <c r="AK1154" s="20" t="n"/>
      <c r="AL1154" s="77">
        <f>IFERROR(INDEX(MgAmenEfic,MATCH(SUBSTITUTE($H1154,"*","-"),MgAmenClave,0)),0)</f>
        <v/>
      </c>
    </row>
    <row r="1155" hidden="1" ht="90" customHeight="1" s="54">
      <c r="B1155" s="59" t="inlineStr">
        <is>
          <t>R-1150</t>
        </is>
      </c>
      <c r="C1155" s="59" t="inlineStr">
        <is>
          <t>GH-004</t>
        </is>
      </c>
      <c r="D1155" s="64">
        <f>IFERROR(INDEX(MgNombre,MATCH($C1155,MgActId,0)),"")</f>
        <v/>
      </c>
      <c r="E1155" s="64">
        <f>IFERROR(INDEX(MgProceso,MATCH($C1155,MgActId,0)),"")</f>
        <v/>
      </c>
      <c r="F1155" s="64">
        <f>IFERROR(INDEX(MgTipo,MATCH($C1155,MgActId,0)),"")</f>
        <v/>
      </c>
      <c r="G1155" s="64">
        <f>IFERROR(INDEX(MgSubtipo,MATCH($C1155,MgActId,0)),"")</f>
        <v/>
      </c>
      <c r="H1155" s="59" t="inlineStr">
        <is>
          <t>E.15</t>
        </is>
      </c>
      <c r="I1155" s="64">
        <f>IFERROR(INDEX(MgAmenNombre,MATCH(SUBSTITUTE($H1155,"*","-"),MgAmenClave,0)),"")</f>
        <v/>
      </c>
      <c r="J1155" s="28">
        <f>IFERROR(INDEX(MgAmenGrupo,MATCH(SUBSTITUTE($H1155,"*","-"),MgAmenClave,0)),"")</f>
        <v/>
      </c>
      <c r="K1155" s="64">
        <f>IFERROR(INDEX('1. Matriz de Activos'!$Q$6:$Q$239,MATCH($C1155,MgActId,0)),"")</f>
        <v/>
      </c>
      <c r="L1155" s="64">
        <f>IFERROR(INDEX('1. Matriz de Activos'!$R$6:$R$239,MATCH($C1155,MgActId,0)),"")</f>
        <v/>
      </c>
      <c r="M1155" s="64">
        <f>IFERROR(INDEX('1. Matriz de Activos'!$S$6:$S$239,MATCH($C1155,MgActId,0)),"")</f>
        <v/>
      </c>
      <c r="N1155" s="28">
        <f>IFERROR(INDEX(MgAmenDegD,MATCH(SUBSTITUTE($H1155,"*","-"),MgAmenClave,0)),"No aplica")</f>
        <v/>
      </c>
      <c r="O1155" s="28">
        <f>IFERROR(INDEX(MgAmenDegI,MATCH(SUBSTITUTE($H1155,"*","-"),MgAmenClave,0)),"No aplica")</f>
        <v/>
      </c>
      <c r="P1155" s="28">
        <f>IFERROR(INDEX(MgAmenDegC,MATCH(SUBSTITUTE($H1155,"*","-"),MgAmenClave,0)),"No aplica")</f>
        <v/>
      </c>
      <c r="Q1155" s="29">
        <f>IFERROR(VLOOKUP(K1155,MgValor,2,0)*VLOOKUP(N1155,MgDeg,2,0),0)</f>
        <v/>
      </c>
      <c r="R1155" s="29">
        <f>IFERROR(VLOOKUP(L1155,MgValor,2,0)*VLOOKUP(O1155,MgDeg,2,0),0)</f>
        <v/>
      </c>
      <c r="S1155" s="29">
        <f>IFERROR(VLOOKUP(M1155,MgValor,2,0)*VLOOKUP(P1155,MgDeg,2,0),0)</f>
        <v/>
      </c>
      <c r="T1155" s="30">
        <f>MAX(Q1155:S1155)</f>
        <v/>
      </c>
      <c r="U1155" s="28">
        <f>IFERROR(LOOKUP(T1155,{0;0.5;1.5;3;4.5},{"Despreciable";"Bajo";"Medio";"Alto";"Muy alto"}),"")</f>
        <v/>
      </c>
      <c r="V1155" s="13">
        <f>IFERROR(INDEX(MgAmenFrec,MATCH(SUBSTITUTE($H1155,"*","-"),MgAmenClave,0)),"")</f>
        <v/>
      </c>
      <c r="W1155" s="28">
        <f>IFERROR(LOOKUP(X1155,{0;0.01;0.1;1;10;100},{"Muy baja";"Muy baja";"Baja";"Media";"Alta";"Muy alta"}),"")</f>
        <v/>
      </c>
      <c r="X1155" s="31">
        <f>IFERROR(VLOOKUP(V1155,MgFrec,2,0),0)</f>
        <v/>
      </c>
      <c r="Y1155" s="30">
        <f>T1155*X1155</f>
        <v/>
      </c>
      <c r="Z1155" s="28">
        <f>IFERROR(LOOKUP(Y1155,{0;0.5;5;25},{"Bajo";"Medio";"Alto";"Crítico"}),"")</f>
        <v/>
      </c>
      <c r="AA1155" s="64">
        <f>IF(T1155&gt;=3,IF(X1155&gt;=1,"Zona 1 — Crítica: impacto alto y ocurre al menos una vez al año","Zona 4 — Catastrófica poco probable: impacto alto pero excepcional"),IF(AND(T1155&lt;1.5,X1155&lt;1),"Zona 3 — Asumible: impacto bajo y muy poco frecuente","Zona 2 — Atención: riesgo intermedio"))</f>
        <v/>
      </c>
      <c r="AB1155" s="64">
        <f>IFERROR(INDEX(MgAmenCtrl,MATCH(SUBSTITUTE($H1155,"*","-"),MgAmenClave,0)),"")</f>
        <v/>
      </c>
      <c r="AC1155" s="20" t="n"/>
      <c r="AD1155" s="31">
        <f>IFERROR($X1155*(1-IF($AC1155="",$AL1155,VLOOKUP($AC1155,MgMad,2,0))),"")</f>
        <v/>
      </c>
      <c r="AE1155" s="28">
        <f>IFERROR(LOOKUP(AD1155,{0;0.01;0.1;1;10;100},{"Muy baja";"Muy baja";"Baja";"Media";"Alta";"Muy alta"}),"")</f>
        <v/>
      </c>
      <c r="AF1155" s="30">
        <f>T1155*AD1155</f>
        <v/>
      </c>
      <c r="AG1155" s="28">
        <f>IFERROR(LOOKUP(AF1155,{0;0.5;5;25},{"Bajo";"Medio";"Alto";"Crítico"}),"")</f>
        <v/>
      </c>
      <c r="AH1155" s="28">
        <f>IF(AG1155="","",IF(OR(AG1155="Crítico",AG1155="Alto"),"Mitigar",IF(AG1155="Medio","Mitigar","Aceptar y monitorear")))</f>
        <v/>
      </c>
      <c r="AI1155" s="21" t="n"/>
      <c r="AJ1155" s="21" t="n"/>
      <c r="AK1155" s="20" t="n"/>
      <c r="AL1155" s="77">
        <f>IFERROR(INDEX(MgAmenEfic,MATCH(SUBSTITUTE($H1155,"*","-"),MgAmenClave,0)),0)</f>
        <v/>
      </c>
    </row>
    <row r="1156" hidden="1" ht="60" customHeight="1" s="54">
      <c r="B1156" s="59" t="inlineStr">
        <is>
          <t>R-1151</t>
        </is>
      </c>
      <c r="C1156" s="59" t="inlineStr">
        <is>
          <t>GH-004</t>
        </is>
      </c>
      <c r="D1156" s="64">
        <f>IFERROR(INDEX(MgNombre,MATCH($C1156,MgActId,0)),"")</f>
        <v/>
      </c>
      <c r="E1156" s="64">
        <f>IFERROR(INDEX(MgProceso,MATCH($C1156,MgActId,0)),"")</f>
        <v/>
      </c>
      <c r="F1156" s="64">
        <f>IFERROR(INDEX(MgTipo,MATCH($C1156,MgActId,0)),"")</f>
        <v/>
      </c>
      <c r="G1156" s="64">
        <f>IFERROR(INDEX(MgSubtipo,MATCH($C1156,MgActId,0)),"")</f>
        <v/>
      </c>
      <c r="H1156" s="59" t="inlineStr">
        <is>
          <t>E.18</t>
        </is>
      </c>
      <c r="I1156" s="64">
        <f>IFERROR(INDEX(MgAmenNombre,MATCH(SUBSTITUTE($H1156,"*","-"),MgAmenClave,0)),"")</f>
        <v/>
      </c>
      <c r="J1156" s="28">
        <f>IFERROR(INDEX(MgAmenGrupo,MATCH(SUBSTITUTE($H1156,"*","-"),MgAmenClave,0)),"")</f>
        <v/>
      </c>
      <c r="K1156" s="64">
        <f>IFERROR(INDEX('1. Matriz de Activos'!$Q$6:$Q$239,MATCH($C1156,MgActId,0)),"")</f>
        <v/>
      </c>
      <c r="L1156" s="64">
        <f>IFERROR(INDEX('1. Matriz de Activos'!$R$6:$R$239,MATCH($C1156,MgActId,0)),"")</f>
        <v/>
      </c>
      <c r="M1156" s="64">
        <f>IFERROR(INDEX('1. Matriz de Activos'!$S$6:$S$239,MATCH($C1156,MgActId,0)),"")</f>
        <v/>
      </c>
      <c r="N1156" s="28">
        <f>IFERROR(INDEX(MgAmenDegD,MATCH(SUBSTITUTE($H1156,"*","-"),MgAmenClave,0)),"No aplica")</f>
        <v/>
      </c>
      <c r="O1156" s="28">
        <f>IFERROR(INDEX(MgAmenDegI,MATCH(SUBSTITUTE($H1156,"*","-"),MgAmenClave,0)),"No aplica")</f>
        <v/>
      </c>
      <c r="P1156" s="28">
        <f>IFERROR(INDEX(MgAmenDegC,MATCH(SUBSTITUTE($H1156,"*","-"),MgAmenClave,0)),"No aplica")</f>
        <v/>
      </c>
      <c r="Q1156" s="29">
        <f>IFERROR(VLOOKUP(K1156,MgValor,2,0)*VLOOKUP(N1156,MgDeg,2,0),0)</f>
        <v/>
      </c>
      <c r="R1156" s="29">
        <f>IFERROR(VLOOKUP(L1156,MgValor,2,0)*VLOOKUP(O1156,MgDeg,2,0),0)</f>
        <v/>
      </c>
      <c r="S1156" s="29">
        <f>IFERROR(VLOOKUP(M1156,MgValor,2,0)*VLOOKUP(P1156,MgDeg,2,0),0)</f>
        <v/>
      </c>
      <c r="T1156" s="30">
        <f>MAX(Q1156:S1156)</f>
        <v/>
      </c>
      <c r="U1156" s="28">
        <f>IFERROR(LOOKUP(T1156,{0;0.5;1.5;3;4.5},{"Despreciable";"Bajo";"Medio";"Alto";"Muy alto"}),"")</f>
        <v/>
      </c>
      <c r="V1156" s="13">
        <f>IFERROR(INDEX(MgAmenFrec,MATCH(SUBSTITUTE($H1156,"*","-"),MgAmenClave,0)),"")</f>
        <v/>
      </c>
      <c r="W1156" s="28">
        <f>IFERROR(LOOKUP(X1156,{0;0.01;0.1;1;10;100},{"Muy baja";"Muy baja";"Baja";"Media";"Alta";"Muy alta"}),"")</f>
        <v/>
      </c>
      <c r="X1156" s="31">
        <f>IFERROR(VLOOKUP(V1156,MgFrec,2,0),0)</f>
        <v/>
      </c>
      <c r="Y1156" s="30">
        <f>T1156*X1156</f>
        <v/>
      </c>
      <c r="Z1156" s="28">
        <f>IFERROR(LOOKUP(Y1156,{0;0.5;5;25},{"Bajo";"Medio";"Alto";"Crítico"}),"")</f>
        <v/>
      </c>
      <c r="AA1156" s="64">
        <f>IF(T1156&gt;=3,IF(X1156&gt;=1,"Zona 1 — Crítica: impacto alto y ocurre al menos una vez al año","Zona 4 — Catastrófica poco probable: impacto alto pero excepcional"),IF(AND(T1156&lt;1.5,X1156&lt;1),"Zona 3 — Asumible: impacto bajo y muy poco frecuente","Zona 2 — Atención: riesgo intermedio"))</f>
        <v/>
      </c>
      <c r="AB1156" s="64">
        <f>IFERROR(INDEX(MgAmenCtrl,MATCH(SUBSTITUTE($H1156,"*","-"),MgAmenClave,0)),"")</f>
        <v/>
      </c>
      <c r="AC1156" s="20" t="n"/>
      <c r="AD1156" s="31">
        <f>IFERROR($X1156*(1-IF($AC1156="",$AL1156,VLOOKUP($AC1156,MgMad,2,0))),"")</f>
        <v/>
      </c>
      <c r="AE1156" s="28">
        <f>IFERROR(LOOKUP(AD1156,{0;0.01;0.1;1;10;100},{"Muy baja";"Muy baja";"Baja";"Media";"Alta";"Muy alta"}),"")</f>
        <v/>
      </c>
      <c r="AF1156" s="30">
        <f>T1156*AD1156</f>
        <v/>
      </c>
      <c r="AG1156" s="28">
        <f>IFERROR(LOOKUP(AF1156,{0;0.5;5;25},{"Bajo";"Medio";"Alto";"Crítico"}),"")</f>
        <v/>
      </c>
      <c r="AH1156" s="28">
        <f>IF(AG1156="","",IF(OR(AG1156="Crítico",AG1156="Alto"),"Mitigar",IF(AG1156="Medio","Mitigar","Aceptar y monitorear")))</f>
        <v/>
      </c>
      <c r="AI1156" s="21" t="n"/>
      <c r="AJ1156" s="21" t="n"/>
      <c r="AK1156" s="20" t="n"/>
      <c r="AL1156" s="77">
        <f>IFERROR(INDEX(MgAmenEfic,MATCH(SUBSTITUTE($H1156,"*","-"),MgAmenClave,0)),0)</f>
        <v/>
      </c>
    </row>
    <row r="1157" hidden="1" ht="105" customHeight="1" s="54">
      <c r="B1157" s="59" t="inlineStr">
        <is>
          <t>R-1152</t>
        </is>
      </c>
      <c r="C1157" s="59" t="inlineStr">
        <is>
          <t>GH-004</t>
        </is>
      </c>
      <c r="D1157" s="64">
        <f>IFERROR(INDEX(MgNombre,MATCH($C1157,MgActId,0)),"")</f>
        <v/>
      </c>
      <c r="E1157" s="64">
        <f>IFERROR(INDEX(MgProceso,MATCH($C1157,MgActId,0)),"")</f>
        <v/>
      </c>
      <c r="F1157" s="64">
        <f>IFERROR(INDEX(MgTipo,MATCH($C1157,MgActId,0)),"")</f>
        <v/>
      </c>
      <c r="G1157" s="64">
        <f>IFERROR(INDEX(MgSubtipo,MATCH($C1157,MgActId,0)),"")</f>
        <v/>
      </c>
      <c r="H1157" s="59" t="inlineStr">
        <is>
          <t>E.19</t>
        </is>
      </c>
      <c r="I1157" s="64">
        <f>IFERROR(INDEX(MgAmenNombre,MATCH(SUBSTITUTE($H1157,"*","-"),MgAmenClave,0)),"")</f>
        <v/>
      </c>
      <c r="J1157" s="28">
        <f>IFERROR(INDEX(MgAmenGrupo,MATCH(SUBSTITUTE($H1157,"*","-"),MgAmenClave,0)),"")</f>
        <v/>
      </c>
      <c r="K1157" s="64">
        <f>IFERROR(INDEX('1. Matriz de Activos'!$Q$6:$Q$239,MATCH($C1157,MgActId,0)),"")</f>
        <v/>
      </c>
      <c r="L1157" s="64">
        <f>IFERROR(INDEX('1. Matriz de Activos'!$R$6:$R$239,MATCH($C1157,MgActId,0)),"")</f>
        <v/>
      </c>
      <c r="M1157" s="64">
        <f>IFERROR(INDEX('1. Matriz de Activos'!$S$6:$S$239,MATCH($C1157,MgActId,0)),"")</f>
        <v/>
      </c>
      <c r="N1157" s="28">
        <f>IFERROR(INDEX(MgAmenDegD,MATCH(SUBSTITUTE($H1157,"*","-"),MgAmenClave,0)),"No aplica")</f>
        <v/>
      </c>
      <c r="O1157" s="28">
        <f>IFERROR(INDEX(MgAmenDegI,MATCH(SUBSTITUTE($H1157,"*","-"),MgAmenClave,0)),"No aplica")</f>
        <v/>
      </c>
      <c r="P1157" s="28">
        <f>IFERROR(INDEX(MgAmenDegC,MATCH(SUBSTITUTE($H1157,"*","-"),MgAmenClave,0)),"No aplica")</f>
        <v/>
      </c>
      <c r="Q1157" s="29">
        <f>IFERROR(VLOOKUP(K1157,MgValor,2,0)*VLOOKUP(N1157,MgDeg,2,0),0)</f>
        <v/>
      </c>
      <c r="R1157" s="29">
        <f>IFERROR(VLOOKUP(L1157,MgValor,2,0)*VLOOKUP(O1157,MgDeg,2,0),0)</f>
        <v/>
      </c>
      <c r="S1157" s="29">
        <f>IFERROR(VLOOKUP(M1157,MgValor,2,0)*VLOOKUP(P1157,MgDeg,2,0),0)</f>
        <v/>
      </c>
      <c r="T1157" s="30">
        <f>MAX(Q1157:S1157)</f>
        <v/>
      </c>
      <c r="U1157" s="28">
        <f>IFERROR(LOOKUP(T1157,{0;0.5;1.5;3;4.5},{"Despreciable";"Bajo";"Medio";"Alto";"Muy alto"}),"")</f>
        <v/>
      </c>
      <c r="V1157" s="13">
        <f>IFERROR(INDEX(MgAmenFrec,MATCH(SUBSTITUTE($H1157,"*","-"),MgAmenClave,0)),"")</f>
        <v/>
      </c>
      <c r="W1157" s="28">
        <f>IFERROR(LOOKUP(X1157,{0;0.01;0.1;1;10;100},{"Muy baja";"Muy baja";"Baja";"Media";"Alta";"Muy alta"}),"")</f>
        <v/>
      </c>
      <c r="X1157" s="31">
        <f>IFERROR(VLOOKUP(V1157,MgFrec,2,0),0)</f>
        <v/>
      </c>
      <c r="Y1157" s="30">
        <f>T1157*X1157</f>
        <v/>
      </c>
      <c r="Z1157" s="28">
        <f>IFERROR(LOOKUP(Y1157,{0;0.5;5;25},{"Bajo";"Medio";"Alto";"Crítico"}),"")</f>
        <v/>
      </c>
      <c r="AA1157" s="64">
        <f>IF(T1157&gt;=3,IF(X1157&gt;=1,"Zona 1 — Crítica: impacto alto y ocurre al menos una vez al año","Zona 4 — Catastrófica poco probable: impacto alto pero excepcional"),IF(AND(T1157&lt;1.5,X1157&lt;1),"Zona 3 — Asumible: impacto bajo y muy poco frecuente","Zona 2 — Atención: riesgo intermedio"))</f>
        <v/>
      </c>
      <c r="AB1157" s="64">
        <f>IFERROR(INDEX(MgAmenCtrl,MATCH(SUBSTITUTE($H1157,"*","-"),MgAmenClave,0)),"")</f>
        <v/>
      </c>
      <c r="AC1157" s="20" t="n"/>
      <c r="AD1157" s="31">
        <f>IFERROR($X1157*(1-IF($AC1157="",$AL1157,VLOOKUP($AC1157,MgMad,2,0))),"")</f>
        <v/>
      </c>
      <c r="AE1157" s="28">
        <f>IFERROR(LOOKUP(AD1157,{0;0.01;0.1;1;10;100},{"Muy baja";"Muy baja";"Baja";"Media";"Alta";"Muy alta"}),"")</f>
        <v/>
      </c>
      <c r="AF1157" s="30">
        <f>T1157*AD1157</f>
        <v/>
      </c>
      <c r="AG1157" s="28">
        <f>IFERROR(LOOKUP(AF1157,{0;0.5;5;25},{"Bajo";"Medio";"Alto";"Crítico"}),"")</f>
        <v/>
      </c>
      <c r="AH1157" s="28">
        <f>IF(AG1157="","",IF(OR(AG1157="Crítico",AG1157="Alto"),"Mitigar",IF(AG1157="Medio","Mitigar","Aceptar y monitorear")))</f>
        <v/>
      </c>
      <c r="AI1157" s="21" t="n"/>
      <c r="AJ1157" s="21" t="n"/>
      <c r="AK1157" s="20" t="n"/>
      <c r="AL1157" s="77">
        <f>IFERROR(INDEX(MgAmenEfic,MATCH(SUBSTITUTE($H1157,"*","-"),MgAmenClave,0)),0)</f>
        <v/>
      </c>
    </row>
    <row r="1158" hidden="1" ht="60" customHeight="1" s="54">
      <c r="B1158" s="59" t="inlineStr">
        <is>
          <t>R-1153</t>
        </is>
      </c>
      <c r="C1158" s="59" t="inlineStr">
        <is>
          <t>GH-004</t>
        </is>
      </c>
      <c r="D1158" s="64">
        <f>IFERROR(INDEX(MgNombre,MATCH($C1158,MgActId,0)),"")</f>
        <v/>
      </c>
      <c r="E1158" s="64">
        <f>IFERROR(INDEX(MgProceso,MATCH($C1158,MgActId,0)),"")</f>
        <v/>
      </c>
      <c r="F1158" s="64">
        <f>IFERROR(INDEX(MgTipo,MATCH($C1158,MgActId,0)),"")</f>
        <v/>
      </c>
      <c r="G1158" s="64">
        <f>IFERROR(INDEX(MgSubtipo,MATCH($C1158,MgActId,0)),"")</f>
        <v/>
      </c>
      <c r="H1158" s="59" t="inlineStr">
        <is>
          <t>A.3</t>
        </is>
      </c>
      <c r="I1158" s="64">
        <f>IFERROR(INDEX(MgAmenNombre,MATCH(SUBSTITUTE($H1158,"*","-"),MgAmenClave,0)),"")</f>
        <v/>
      </c>
      <c r="J1158" s="28">
        <f>IFERROR(INDEX(MgAmenGrupo,MATCH(SUBSTITUTE($H1158,"*","-"),MgAmenClave,0)),"")</f>
        <v/>
      </c>
      <c r="K1158" s="64">
        <f>IFERROR(INDEX('1. Matriz de Activos'!$Q$6:$Q$239,MATCH($C1158,MgActId,0)),"")</f>
        <v/>
      </c>
      <c r="L1158" s="64">
        <f>IFERROR(INDEX('1. Matriz de Activos'!$R$6:$R$239,MATCH($C1158,MgActId,0)),"")</f>
        <v/>
      </c>
      <c r="M1158" s="64">
        <f>IFERROR(INDEX('1. Matriz de Activos'!$S$6:$S$239,MATCH($C1158,MgActId,0)),"")</f>
        <v/>
      </c>
      <c r="N1158" s="28">
        <f>IFERROR(INDEX(MgAmenDegD,MATCH(SUBSTITUTE($H1158,"*","-"),MgAmenClave,0)),"No aplica")</f>
        <v/>
      </c>
      <c r="O1158" s="28">
        <f>IFERROR(INDEX(MgAmenDegI,MATCH(SUBSTITUTE($H1158,"*","-"),MgAmenClave,0)),"No aplica")</f>
        <v/>
      </c>
      <c r="P1158" s="28">
        <f>IFERROR(INDEX(MgAmenDegC,MATCH(SUBSTITUTE($H1158,"*","-"),MgAmenClave,0)),"No aplica")</f>
        <v/>
      </c>
      <c r="Q1158" s="29">
        <f>IFERROR(VLOOKUP(K1158,MgValor,2,0)*VLOOKUP(N1158,MgDeg,2,0),0)</f>
        <v/>
      </c>
      <c r="R1158" s="29">
        <f>IFERROR(VLOOKUP(L1158,MgValor,2,0)*VLOOKUP(O1158,MgDeg,2,0),0)</f>
        <v/>
      </c>
      <c r="S1158" s="29">
        <f>IFERROR(VLOOKUP(M1158,MgValor,2,0)*VLOOKUP(P1158,MgDeg,2,0),0)</f>
        <v/>
      </c>
      <c r="T1158" s="30">
        <f>MAX(Q1158:S1158)</f>
        <v/>
      </c>
      <c r="U1158" s="28">
        <f>IFERROR(LOOKUP(T1158,{0;0.5;1.5;3;4.5},{"Despreciable";"Bajo";"Medio";"Alto";"Muy alto"}),"")</f>
        <v/>
      </c>
      <c r="V1158" s="13">
        <f>IFERROR(INDEX(MgAmenFrec,MATCH(SUBSTITUTE($H1158,"*","-"),MgAmenClave,0)),"")</f>
        <v/>
      </c>
      <c r="W1158" s="28">
        <f>IFERROR(LOOKUP(X1158,{0;0.01;0.1;1;10;100},{"Muy baja";"Muy baja";"Baja";"Media";"Alta";"Muy alta"}),"")</f>
        <v/>
      </c>
      <c r="X1158" s="31">
        <f>IFERROR(VLOOKUP(V1158,MgFrec,2,0),0)</f>
        <v/>
      </c>
      <c r="Y1158" s="30">
        <f>T1158*X1158</f>
        <v/>
      </c>
      <c r="Z1158" s="28">
        <f>IFERROR(LOOKUP(Y1158,{0;0.5;5;25},{"Bajo";"Medio";"Alto";"Crítico"}),"")</f>
        <v/>
      </c>
      <c r="AA1158" s="64">
        <f>IF(T1158&gt;=3,IF(X1158&gt;=1,"Zona 1 — Crítica: impacto alto y ocurre al menos una vez al año","Zona 4 — Catastrófica poco probable: impacto alto pero excepcional"),IF(AND(T1158&lt;1.5,X1158&lt;1),"Zona 3 — Asumible: impacto bajo y muy poco frecuente","Zona 2 — Atención: riesgo intermedio"))</f>
        <v/>
      </c>
      <c r="AB1158" s="64">
        <f>IFERROR(INDEX(MgAmenCtrl,MATCH(SUBSTITUTE($H1158,"*","-"),MgAmenClave,0)),"")</f>
        <v/>
      </c>
      <c r="AC1158" s="20" t="n"/>
      <c r="AD1158" s="31">
        <f>IFERROR($X1158*(1-IF($AC1158="",$AL1158,VLOOKUP($AC1158,MgMad,2,0))),"")</f>
        <v/>
      </c>
      <c r="AE1158" s="28">
        <f>IFERROR(LOOKUP(AD1158,{0;0.01;0.1;1;10;100},{"Muy baja";"Muy baja";"Baja";"Media";"Alta";"Muy alta"}),"")</f>
        <v/>
      </c>
      <c r="AF1158" s="30">
        <f>T1158*AD1158</f>
        <v/>
      </c>
      <c r="AG1158" s="28">
        <f>IFERROR(LOOKUP(AF1158,{0;0.5;5;25},{"Bajo";"Medio";"Alto";"Crítico"}),"")</f>
        <v/>
      </c>
      <c r="AH1158" s="28">
        <f>IF(AG1158="","",IF(OR(AG1158="Crítico",AG1158="Alto"),"Mitigar",IF(AG1158="Medio","Mitigar","Aceptar y monitorear")))</f>
        <v/>
      </c>
      <c r="AI1158" s="21" t="n"/>
      <c r="AJ1158" s="21" t="n"/>
      <c r="AK1158" s="20" t="n"/>
      <c r="AL1158" s="77">
        <f>IFERROR(INDEX(MgAmenEfic,MATCH(SUBSTITUTE($H1158,"*","-"),MgAmenClave,0)),0)</f>
        <v/>
      </c>
    </row>
    <row r="1159" hidden="1" ht="60" customHeight="1" s="54">
      <c r="B1159" s="59" t="inlineStr">
        <is>
          <t>R-1154</t>
        </is>
      </c>
      <c r="C1159" s="59" t="inlineStr">
        <is>
          <t>GH-004</t>
        </is>
      </c>
      <c r="D1159" s="64">
        <f>IFERROR(INDEX(MgNombre,MATCH($C1159,MgActId,0)),"")</f>
        <v/>
      </c>
      <c r="E1159" s="64">
        <f>IFERROR(INDEX(MgProceso,MATCH($C1159,MgActId,0)),"")</f>
        <v/>
      </c>
      <c r="F1159" s="64">
        <f>IFERROR(INDEX(MgTipo,MATCH($C1159,MgActId,0)),"")</f>
        <v/>
      </c>
      <c r="G1159" s="64">
        <f>IFERROR(INDEX(MgSubtipo,MATCH($C1159,MgActId,0)),"")</f>
        <v/>
      </c>
      <c r="H1159" s="59" t="inlineStr">
        <is>
          <t>A.4</t>
        </is>
      </c>
      <c r="I1159" s="64">
        <f>IFERROR(INDEX(MgAmenNombre,MATCH(SUBSTITUTE($H1159,"*","-"),MgAmenClave,0)),"")</f>
        <v/>
      </c>
      <c r="J1159" s="28">
        <f>IFERROR(INDEX(MgAmenGrupo,MATCH(SUBSTITUTE($H1159,"*","-"),MgAmenClave,0)),"")</f>
        <v/>
      </c>
      <c r="K1159" s="64">
        <f>IFERROR(INDEX('1. Matriz de Activos'!$Q$6:$Q$239,MATCH($C1159,MgActId,0)),"")</f>
        <v/>
      </c>
      <c r="L1159" s="64">
        <f>IFERROR(INDEX('1. Matriz de Activos'!$R$6:$R$239,MATCH($C1159,MgActId,0)),"")</f>
        <v/>
      </c>
      <c r="M1159" s="64">
        <f>IFERROR(INDEX('1. Matriz de Activos'!$S$6:$S$239,MATCH($C1159,MgActId,0)),"")</f>
        <v/>
      </c>
      <c r="N1159" s="28">
        <f>IFERROR(INDEX(MgAmenDegD,MATCH(SUBSTITUTE($H1159,"*","-"),MgAmenClave,0)),"No aplica")</f>
        <v/>
      </c>
      <c r="O1159" s="28">
        <f>IFERROR(INDEX(MgAmenDegI,MATCH(SUBSTITUTE($H1159,"*","-"),MgAmenClave,0)),"No aplica")</f>
        <v/>
      </c>
      <c r="P1159" s="28">
        <f>IFERROR(INDEX(MgAmenDegC,MATCH(SUBSTITUTE($H1159,"*","-"),MgAmenClave,0)),"No aplica")</f>
        <v/>
      </c>
      <c r="Q1159" s="29">
        <f>IFERROR(VLOOKUP(K1159,MgValor,2,0)*VLOOKUP(N1159,MgDeg,2,0),0)</f>
        <v/>
      </c>
      <c r="R1159" s="29">
        <f>IFERROR(VLOOKUP(L1159,MgValor,2,0)*VLOOKUP(O1159,MgDeg,2,0),0)</f>
        <v/>
      </c>
      <c r="S1159" s="29">
        <f>IFERROR(VLOOKUP(M1159,MgValor,2,0)*VLOOKUP(P1159,MgDeg,2,0),0)</f>
        <v/>
      </c>
      <c r="T1159" s="30">
        <f>MAX(Q1159:S1159)</f>
        <v/>
      </c>
      <c r="U1159" s="28">
        <f>IFERROR(LOOKUP(T1159,{0;0.5;1.5;3;4.5},{"Despreciable";"Bajo";"Medio";"Alto";"Muy alto"}),"")</f>
        <v/>
      </c>
      <c r="V1159" s="13">
        <f>IFERROR(INDEX(MgAmenFrec,MATCH(SUBSTITUTE($H1159,"*","-"),MgAmenClave,0)),"")</f>
        <v/>
      </c>
      <c r="W1159" s="28">
        <f>IFERROR(LOOKUP(X1159,{0;0.01;0.1;1;10;100},{"Muy baja";"Muy baja";"Baja";"Media";"Alta";"Muy alta"}),"")</f>
        <v/>
      </c>
      <c r="X1159" s="31">
        <f>IFERROR(VLOOKUP(V1159,MgFrec,2,0),0)</f>
        <v/>
      </c>
      <c r="Y1159" s="30">
        <f>T1159*X1159</f>
        <v/>
      </c>
      <c r="Z1159" s="28">
        <f>IFERROR(LOOKUP(Y1159,{0;0.5;5;25},{"Bajo";"Medio";"Alto";"Crítico"}),"")</f>
        <v/>
      </c>
      <c r="AA1159" s="64">
        <f>IF(T1159&gt;=3,IF(X1159&gt;=1,"Zona 1 — Crítica: impacto alto y ocurre al menos una vez al año","Zona 4 — Catastrófica poco probable: impacto alto pero excepcional"),IF(AND(T1159&lt;1.5,X1159&lt;1),"Zona 3 — Asumible: impacto bajo y muy poco frecuente","Zona 2 — Atención: riesgo intermedio"))</f>
        <v/>
      </c>
      <c r="AB1159" s="64">
        <f>IFERROR(INDEX(MgAmenCtrl,MATCH(SUBSTITUTE($H1159,"*","-"),MgAmenClave,0)),"")</f>
        <v/>
      </c>
      <c r="AC1159" s="20" t="n"/>
      <c r="AD1159" s="31">
        <f>IFERROR($X1159*(1-IF($AC1159="",$AL1159,VLOOKUP($AC1159,MgMad,2,0))),"")</f>
        <v/>
      </c>
      <c r="AE1159" s="28">
        <f>IFERROR(LOOKUP(AD1159,{0;0.01;0.1;1;10;100},{"Muy baja";"Muy baja";"Baja";"Media";"Alta";"Muy alta"}),"")</f>
        <v/>
      </c>
      <c r="AF1159" s="30">
        <f>T1159*AD1159</f>
        <v/>
      </c>
      <c r="AG1159" s="28">
        <f>IFERROR(LOOKUP(AF1159,{0;0.5;5;25},{"Bajo";"Medio";"Alto";"Crítico"}),"")</f>
        <v/>
      </c>
      <c r="AH1159" s="28">
        <f>IF(AG1159="","",IF(OR(AG1159="Crítico",AG1159="Alto"),"Mitigar",IF(AG1159="Medio","Mitigar","Aceptar y monitorear")))</f>
        <v/>
      </c>
      <c r="AI1159" s="21" t="n"/>
      <c r="AJ1159" s="21" t="n"/>
      <c r="AK1159" s="20" t="n"/>
      <c r="AL1159" s="77">
        <f>IFERROR(INDEX(MgAmenEfic,MATCH(SUBSTITUTE($H1159,"*","-"),MgAmenClave,0)),0)</f>
        <v/>
      </c>
    </row>
    <row r="1160" hidden="1" ht="75" customHeight="1" s="54">
      <c r="B1160" s="59" t="inlineStr">
        <is>
          <t>R-1155</t>
        </is>
      </c>
      <c r="C1160" s="59" t="inlineStr">
        <is>
          <t>GH-004</t>
        </is>
      </c>
      <c r="D1160" s="64">
        <f>IFERROR(INDEX(MgNombre,MATCH($C1160,MgActId,0)),"")</f>
        <v/>
      </c>
      <c r="E1160" s="64">
        <f>IFERROR(INDEX(MgProceso,MATCH($C1160,MgActId,0)),"")</f>
        <v/>
      </c>
      <c r="F1160" s="64">
        <f>IFERROR(INDEX(MgTipo,MATCH($C1160,MgActId,0)),"")</f>
        <v/>
      </c>
      <c r="G1160" s="64">
        <f>IFERROR(INDEX(MgSubtipo,MATCH($C1160,MgActId,0)),"")</f>
        <v/>
      </c>
      <c r="H1160" s="59" t="inlineStr">
        <is>
          <t>A.5</t>
        </is>
      </c>
      <c r="I1160" s="64">
        <f>IFERROR(INDEX(MgAmenNombre,MATCH(SUBSTITUTE($H1160,"*","-"),MgAmenClave,0)),"")</f>
        <v/>
      </c>
      <c r="J1160" s="28">
        <f>IFERROR(INDEX(MgAmenGrupo,MATCH(SUBSTITUTE($H1160,"*","-"),MgAmenClave,0)),"")</f>
        <v/>
      </c>
      <c r="K1160" s="64">
        <f>IFERROR(INDEX('1. Matriz de Activos'!$Q$6:$Q$239,MATCH($C1160,MgActId,0)),"")</f>
        <v/>
      </c>
      <c r="L1160" s="64">
        <f>IFERROR(INDEX('1. Matriz de Activos'!$R$6:$R$239,MATCH($C1160,MgActId,0)),"")</f>
        <v/>
      </c>
      <c r="M1160" s="64">
        <f>IFERROR(INDEX('1. Matriz de Activos'!$S$6:$S$239,MATCH($C1160,MgActId,0)),"")</f>
        <v/>
      </c>
      <c r="N1160" s="28">
        <f>IFERROR(INDEX(MgAmenDegD,MATCH(SUBSTITUTE($H1160,"*","-"),MgAmenClave,0)),"No aplica")</f>
        <v/>
      </c>
      <c r="O1160" s="28">
        <f>IFERROR(INDEX(MgAmenDegI,MATCH(SUBSTITUTE($H1160,"*","-"),MgAmenClave,0)),"No aplica")</f>
        <v/>
      </c>
      <c r="P1160" s="28">
        <f>IFERROR(INDEX(MgAmenDegC,MATCH(SUBSTITUTE($H1160,"*","-"),MgAmenClave,0)),"No aplica")</f>
        <v/>
      </c>
      <c r="Q1160" s="29">
        <f>IFERROR(VLOOKUP(K1160,MgValor,2,0)*VLOOKUP(N1160,MgDeg,2,0),0)</f>
        <v/>
      </c>
      <c r="R1160" s="29">
        <f>IFERROR(VLOOKUP(L1160,MgValor,2,0)*VLOOKUP(O1160,MgDeg,2,0),0)</f>
        <v/>
      </c>
      <c r="S1160" s="29">
        <f>IFERROR(VLOOKUP(M1160,MgValor,2,0)*VLOOKUP(P1160,MgDeg,2,0),0)</f>
        <v/>
      </c>
      <c r="T1160" s="30">
        <f>MAX(Q1160:S1160)</f>
        <v/>
      </c>
      <c r="U1160" s="28">
        <f>IFERROR(LOOKUP(T1160,{0;0.5;1.5;3;4.5},{"Despreciable";"Bajo";"Medio";"Alto";"Muy alto"}),"")</f>
        <v/>
      </c>
      <c r="V1160" s="13">
        <f>IFERROR(INDEX(MgAmenFrec,MATCH(SUBSTITUTE($H1160,"*","-"),MgAmenClave,0)),"")</f>
        <v/>
      </c>
      <c r="W1160" s="28">
        <f>IFERROR(LOOKUP(X1160,{0;0.01;0.1;1;10;100},{"Muy baja";"Muy baja";"Baja";"Media";"Alta";"Muy alta"}),"")</f>
        <v/>
      </c>
      <c r="X1160" s="31">
        <f>IFERROR(VLOOKUP(V1160,MgFrec,2,0),0)</f>
        <v/>
      </c>
      <c r="Y1160" s="30">
        <f>T1160*X1160</f>
        <v/>
      </c>
      <c r="Z1160" s="28">
        <f>IFERROR(LOOKUP(Y1160,{0;0.5;5;25},{"Bajo";"Medio";"Alto";"Crítico"}),"")</f>
        <v/>
      </c>
      <c r="AA1160" s="64">
        <f>IF(T1160&gt;=3,IF(X1160&gt;=1,"Zona 1 — Crítica: impacto alto y ocurre al menos una vez al año","Zona 4 — Catastrófica poco probable: impacto alto pero excepcional"),IF(AND(T1160&lt;1.5,X1160&lt;1),"Zona 3 — Asumible: impacto bajo y muy poco frecuente","Zona 2 — Atención: riesgo intermedio"))</f>
        <v/>
      </c>
      <c r="AB1160" s="64">
        <f>IFERROR(INDEX(MgAmenCtrl,MATCH(SUBSTITUTE($H1160,"*","-"),MgAmenClave,0)),"")</f>
        <v/>
      </c>
      <c r="AC1160" s="20" t="n"/>
      <c r="AD1160" s="31">
        <f>IFERROR($X1160*(1-IF($AC1160="",$AL1160,VLOOKUP($AC1160,MgMad,2,0))),"")</f>
        <v/>
      </c>
      <c r="AE1160" s="28">
        <f>IFERROR(LOOKUP(AD1160,{0;0.01;0.1;1;10;100},{"Muy baja";"Muy baja";"Baja";"Media";"Alta";"Muy alta"}),"")</f>
        <v/>
      </c>
      <c r="AF1160" s="30">
        <f>T1160*AD1160</f>
        <v/>
      </c>
      <c r="AG1160" s="28">
        <f>IFERROR(LOOKUP(AF1160,{0;0.5;5;25},{"Bajo";"Medio";"Alto";"Crítico"}),"")</f>
        <v/>
      </c>
      <c r="AH1160" s="28">
        <f>IF(AG1160="","",IF(OR(AG1160="Crítico",AG1160="Alto"),"Mitigar",IF(AG1160="Medio","Mitigar","Aceptar y monitorear")))</f>
        <v/>
      </c>
      <c r="AI1160" s="21" t="n"/>
      <c r="AJ1160" s="21" t="n"/>
      <c r="AK1160" s="20" t="n"/>
      <c r="AL1160" s="77">
        <f>IFERROR(INDEX(MgAmenEfic,MATCH(SUBSTITUTE($H1160,"*","-"),MgAmenClave,0)),0)</f>
        <v/>
      </c>
    </row>
    <row r="1161" hidden="1" ht="105" customHeight="1" s="54">
      <c r="B1161" s="59" t="inlineStr">
        <is>
          <t>R-1156</t>
        </is>
      </c>
      <c r="C1161" s="59" t="inlineStr">
        <is>
          <t>GH-004</t>
        </is>
      </c>
      <c r="D1161" s="64">
        <f>IFERROR(INDEX(MgNombre,MATCH($C1161,MgActId,0)),"")</f>
        <v/>
      </c>
      <c r="E1161" s="64">
        <f>IFERROR(INDEX(MgProceso,MATCH($C1161,MgActId,0)),"")</f>
        <v/>
      </c>
      <c r="F1161" s="64">
        <f>IFERROR(INDEX(MgTipo,MATCH($C1161,MgActId,0)),"")</f>
        <v/>
      </c>
      <c r="G1161" s="64">
        <f>IFERROR(INDEX(MgSubtipo,MATCH($C1161,MgActId,0)),"")</f>
        <v/>
      </c>
      <c r="H1161" s="59" t="inlineStr">
        <is>
          <t>A.6</t>
        </is>
      </c>
      <c r="I1161" s="64">
        <f>IFERROR(INDEX(MgAmenNombre,MATCH(SUBSTITUTE($H1161,"*","-"),MgAmenClave,0)),"")</f>
        <v/>
      </c>
      <c r="J1161" s="28">
        <f>IFERROR(INDEX(MgAmenGrupo,MATCH(SUBSTITUTE($H1161,"*","-"),MgAmenClave,0)),"")</f>
        <v/>
      </c>
      <c r="K1161" s="64">
        <f>IFERROR(INDEX('1. Matriz de Activos'!$Q$6:$Q$239,MATCH($C1161,MgActId,0)),"")</f>
        <v/>
      </c>
      <c r="L1161" s="64">
        <f>IFERROR(INDEX('1. Matriz de Activos'!$R$6:$R$239,MATCH($C1161,MgActId,0)),"")</f>
        <v/>
      </c>
      <c r="M1161" s="64">
        <f>IFERROR(INDEX('1. Matriz de Activos'!$S$6:$S$239,MATCH($C1161,MgActId,0)),"")</f>
        <v/>
      </c>
      <c r="N1161" s="28">
        <f>IFERROR(INDEX(MgAmenDegD,MATCH(SUBSTITUTE($H1161,"*","-"),MgAmenClave,0)),"No aplica")</f>
        <v/>
      </c>
      <c r="O1161" s="28">
        <f>IFERROR(INDEX(MgAmenDegI,MATCH(SUBSTITUTE($H1161,"*","-"),MgAmenClave,0)),"No aplica")</f>
        <v/>
      </c>
      <c r="P1161" s="28">
        <f>IFERROR(INDEX(MgAmenDegC,MATCH(SUBSTITUTE($H1161,"*","-"),MgAmenClave,0)),"No aplica")</f>
        <v/>
      </c>
      <c r="Q1161" s="29">
        <f>IFERROR(VLOOKUP(K1161,MgValor,2,0)*VLOOKUP(N1161,MgDeg,2,0),0)</f>
        <v/>
      </c>
      <c r="R1161" s="29">
        <f>IFERROR(VLOOKUP(L1161,MgValor,2,0)*VLOOKUP(O1161,MgDeg,2,0),0)</f>
        <v/>
      </c>
      <c r="S1161" s="29">
        <f>IFERROR(VLOOKUP(M1161,MgValor,2,0)*VLOOKUP(P1161,MgDeg,2,0),0)</f>
        <v/>
      </c>
      <c r="T1161" s="30">
        <f>MAX(Q1161:S1161)</f>
        <v/>
      </c>
      <c r="U1161" s="28">
        <f>IFERROR(LOOKUP(T1161,{0;0.5;1.5;3;4.5},{"Despreciable";"Bajo";"Medio";"Alto";"Muy alto"}),"")</f>
        <v/>
      </c>
      <c r="V1161" s="13">
        <f>IFERROR(INDEX(MgAmenFrec,MATCH(SUBSTITUTE($H1161,"*","-"),MgAmenClave,0)),"")</f>
        <v/>
      </c>
      <c r="W1161" s="28">
        <f>IFERROR(LOOKUP(X1161,{0;0.01;0.1;1;10;100},{"Muy baja";"Muy baja";"Baja";"Media";"Alta";"Muy alta"}),"")</f>
        <v/>
      </c>
      <c r="X1161" s="31">
        <f>IFERROR(VLOOKUP(V1161,MgFrec,2,0),0)</f>
        <v/>
      </c>
      <c r="Y1161" s="30">
        <f>T1161*X1161</f>
        <v/>
      </c>
      <c r="Z1161" s="28">
        <f>IFERROR(LOOKUP(Y1161,{0;0.5;5;25},{"Bajo";"Medio";"Alto";"Crítico"}),"")</f>
        <v/>
      </c>
      <c r="AA1161" s="64">
        <f>IF(T1161&gt;=3,IF(X1161&gt;=1,"Zona 1 — Crítica: impacto alto y ocurre al menos una vez al año","Zona 4 — Catastrófica poco probable: impacto alto pero excepcional"),IF(AND(T1161&lt;1.5,X1161&lt;1),"Zona 3 — Asumible: impacto bajo y muy poco frecuente","Zona 2 — Atención: riesgo intermedio"))</f>
        <v/>
      </c>
      <c r="AB1161" s="64">
        <f>IFERROR(INDEX(MgAmenCtrl,MATCH(SUBSTITUTE($H1161,"*","-"),MgAmenClave,0)),"")</f>
        <v/>
      </c>
      <c r="AC1161" s="20" t="n"/>
      <c r="AD1161" s="31">
        <f>IFERROR($X1161*(1-IF($AC1161="",$AL1161,VLOOKUP($AC1161,MgMad,2,0))),"")</f>
        <v/>
      </c>
      <c r="AE1161" s="28">
        <f>IFERROR(LOOKUP(AD1161,{0;0.01;0.1;1;10;100},{"Muy baja";"Muy baja";"Baja";"Media";"Alta";"Muy alta"}),"")</f>
        <v/>
      </c>
      <c r="AF1161" s="30">
        <f>T1161*AD1161</f>
        <v/>
      </c>
      <c r="AG1161" s="28">
        <f>IFERROR(LOOKUP(AF1161,{0;0.5;5;25},{"Bajo";"Medio";"Alto";"Crítico"}),"")</f>
        <v/>
      </c>
      <c r="AH1161" s="28">
        <f>IF(AG1161="","",IF(OR(AG1161="Crítico",AG1161="Alto"),"Mitigar",IF(AG1161="Medio","Mitigar","Aceptar y monitorear")))</f>
        <v/>
      </c>
      <c r="AI1161" s="21" t="n"/>
      <c r="AJ1161" s="21" t="n"/>
      <c r="AK1161" s="20" t="n"/>
      <c r="AL1161" s="77">
        <f>IFERROR(INDEX(MgAmenEfic,MATCH(SUBSTITUTE($H1161,"*","-"),MgAmenClave,0)),0)</f>
        <v/>
      </c>
    </row>
    <row r="1162" hidden="1" ht="120" customHeight="1" s="54">
      <c r="B1162" s="59" t="inlineStr">
        <is>
          <t>R-1157</t>
        </is>
      </c>
      <c r="C1162" s="59" t="inlineStr">
        <is>
          <t>GH-004</t>
        </is>
      </c>
      <c r="D1162" s="64">
        <f>IFERROR(INDEX(MgNombre,MATCH($C1162,MgActId,0)),"")</f>
        <v/>
      </c>
      <c r="E1162" s="64">
        <f>IFERROR(INDEX(MgProceso,MATCH($C1162,MgActId,0)),"")</f>
        <v/>
      </c>
      <c r="F1162" s="64">
        <f>IFERROR(INDEX(MgTipo,MATCH($C1162,MgActId,0)),"")</f>
        <v/>
      </c>
      <c r="G1162" s="64">
        <f>IFERROR(INDEX(MgSubtipo,MATCH($C1162,MgActId,0)),"")</f>
        <v/>
      </c>
      <c r="H1162" s="59" t="inlineStr">
        <is>
          <t>A.11</t>
        </is>
      </c>
      <c r="I1162" s="64">
        <f>IFERROR(INDEX(MgAmenNombre,MATCH(SUBSTITUTE($H1162,"*","-"),MgAmenClave,0)),"")</f>
        <v/>
      </c>
      <c r="J1162" s="28">
        <f>IFERROR(INDEX(MgAmenGrupo,MATCH(SUBSTITUTE($H1162,"*","-"),MgAmenClave,0)),"")</f>
        <v/>
      </c>
      <c r="K1162" s="64">
        <f>IFERROR(INDEX('1. Matriz de Activos'!$Q$6:$Q$239,MATCH($C1162,MgActId,0)),"")</f>
        <v/>
      </c>
      <c r="L1162" s="64">
        <f>IFERROR(INDEX('1. Matriz de Activos'!$R$6:$R$239,MATCH($C1162,MgActId,0)),"")</f>
        <v/>
      </c>
      <c r="M1162" s="64">
        <f>IFERROR(INDEX('1. Matriz de Activos'!$S$6:$S$239,MATCH($C1162,MgActId,0)),"")</f>
        <v/>
      </c>
      <c r="N1162" s="28">
        <f>IFERROR(INDEX(MgAmenDegD,MATCH(SUBSTITUTE($H1162,"*","-"),MgAmenClave,0)),"No aplica")</f>
        <v/>
      </c>
      <c r="O1162" s="28">
        <f>IFERROR(INDEX(MgAmenDegI,MATCH(SUBSTITUTE($H1162,"*","-"),MgAmenClave,0)),"No aplica")</f>
        <v/>
      </c>
      <c r="P1162" s="28">
        <f>IFERROR(INDEX(MgAmenDegC,MATCH(SUBSTITUTE($H1162,"*","-"),MgAmenClave,0)),"No aplica")</f>
        <v/>
      </c>
      <c r="Q1162" s="29">
        <f>IFERROR(VLOOKUP(K1162,MgValor,2,0)*VLOOKUP(N1162,MgDeg,2,0),0)</f>
        <v/>
      </c>
      <c r="R1162" s="29">
        <f>IFERROR(VLOOKUP(L1162,MgValor,2,0)*VLOOKUP(O1162,MgDeg,2,0),0)</f>
        <v/>
      </c>
      <c r="S1162" s="29">
        <f>IFERROR(VLOOKUP(M1162,MgValor,2,0)*VLOOKUP(P1162,MgDeg,2,0),0)</f>
        <v/>
      </c>
      <c r="T1162" s="30">
        <f>MAX(Q1162:S1162)</f>
        <v/>
      </c>
      <c r="U1162" s="28">
        <f>IFERROR(LOOKUP(T1162,{0;0.5;1.5;3;4.5},{"Despreciable";"Bajo";"Medio";"Alto";"Muy alto"}),"")</f>
        <v/>
      </c>
      <c r="V1162" s="13">
        <f>IFERROR(INDEX(MgAmenFrec,MATCH(SUBSTITUTE($H1162,"*","-"),MgAmenClave,0)),"")</f>
        <v/>
      </c>
      <c r="W1162" s="28">
        <f>IFERROR(LOOKUP(X1162,{0;0.01;0.1;1;10;100},{"Muy baja";"Muy baja";"Baja";"Media";"Alta";"Muy alta"}),"")</f>
        <v/>
      </c>
      <c r="X1162" s="31">
        <f>IFERROR(VLOOKUP(V1162,MgFrec,2,0),0)</f>
        <v/>
      </c>
      <c r="Y1162" s="30">
        <f>T1162*X1162</f>
        <v/>
      </c>
      <c r="Z1162" s="28">
        <f>IFERROR(LOOKUP(Y1162,{0;0.5;5;25},{"Bajo";"Medio";"Alto";"Crítico"}),"")</f>
        <v/>
      </c>
      <c r="AA1162" s="64">
        <f>IF(T1162&gt;=3,IF(X1162&gt;=1,"Zona 1 — Crítica: impacto alto y ocurre al menos una vez al año","Zona 4 — Catastrófica poco probable: impacto alto pero excepcional"),IF(AND(T1162&lt;1.5,X1162&lt;1),"Zona 3 — Asumible: impacto bajo y muy poco frecuente","Zona 2 — Atención: riesgo intermedio"))</f>
        <v/>
      </c>
      <c r="AB1162" s="64">
        <f>IFERROR(INDEX(MgAmenCtrl,MATCH(SUBSTITUTE($H1162,"*","-"),MgAmenClave,0)),"")</f>
        <v/>
      </c>
      <c r="AC1162" s="20" t="n"/>
      <c r="AD1162" s="31">
        <f>IFERROR($X1162*(1-IF($AC1162="",$AL1162,VLOOKUP($AC1162,MgMad,2,0))),"")</f>
        <v/>
      </c>
      <c r="AE1162" s="28">
        <f>IFERROR(LOOKUP(AD1162,{0;0.01;0.1;1;10;100},{"Muy baja";"Muy baja";"Baja";"Media";"Alta";"Muy alta"}),"")</f>
        <v/>
      </c>
      <c r="AF1162" s="30">
        <f>T1162*AD1162</f>
        <v/>
      </c>
      <c r="AG1162" s="28">
        <f>IFERROR(LOOKUP(AF1162,{0;0.5;5;25},{"Bajo";"Medio";"Alto";"Crítico"}),"")</f>
        <v/>
      </c>
      <c r="AH1162" s="28">
        <f>IF(AG1162="","",IF(OR(AG1162="Crítico",AG1162="Alto"),"Mitigar",IF(AG1162="Medio","Mitigar","Aceptar y monitorear")))</f>
        <v/>
      </c>
      <c r="AI1162" s="21" t="n"/>
      <c r="AJ1162" s="21" t="n"/>
      <c r="AK1162" s="20" t="n"/>
      <c r="AL1162" s="77">
        <f>IFERROR(INDEX(MgAmenEfic,MATCH(SUBSTITUTE($H1162,"*","-"),MgAmenClave,0)),0)</f>
        <v/>
      </c>
    </row>
    <row r="1163" hidden="1" ht="90" customHeight="1" s="54">
      <c r="B1163" s="59" t="inlineStr">
        <is>
          <t>R-1158</t>
        </is>
      </c>
      <c r="C1163" s="59" t="inlineStr">
        <is>
          <t>GH-004</t>
        </is>
      </c>
      <c r="D1163" s="64">
        <f>IFERROR(INDEX(MgNombre,MATCH($C1163,MgActId,0)),"")</f>
        <v/>
      </c>
      <c r="E1163" s="64">
        <f>IFERROR(INDEX(MgProceso,MATCH($C1163,MgActId,0)),"")</f>
        <v/>
      </c>
      <c r="F1163" s="64">
        <f>IFERROR(INDEX(MgTipo,MATCH($C1163,MgActId,0)),"")</f>
        <v/>
      </c>
      <c r="G1163" s="64">
        <f>IFERROR(INDEX(MgSubtipo,MATCH($C1163,MgActId,0)),"")</f>
        <v/>
      </c>
      <c r="H1163" s="59" t="inlineStr">
        <is>
          <t>A.13</t>
        </is>
      </c>
      <c r="I1163" s="64">
        <f>IFERROR(INDEX(MgAmenNombre,MATCH(SUBSTITUTE($H1163,"*","-"),MgAmenClave,0)),"")</f>
        <v/>
      </c>
      <c r="J1163" s="28">
        <f>IFERROR(INDEX(MgAmenGrupo,MATCH(SUBSTITUTE($H1163,"*","-"),MgAmenClave,0)),"")</f>
        <v/>
      </c>
      <c r="K1163" s="64">
        <f>IFERROR(INDEX('1. Matriz de Activos'!$Q$6:$Q$239,MATCH($C1163,MgActId,0)),"")</f>
        <v/>
      </c>
      <c r="L1163" s="64">
        <f>IFERROR(INDEX('1. Matriz de Activos'!$R$6:$R$239,MATCH($C1163,MgActId,0)),"")</f>
        <v/>
      </c>
      <c r="M1163" s="64">
        <f>IFERROR(INDEX('1. Matriz de Activos'!$S$6:$S$239,MATCH($C1163,MgActId,0)),"")</f>
        <v/>
      </c>
      <c r="N1163" s="28">
        <f>IFERROR(INDEX(MgAmenDegD,MATCH(SUBSTITUTE($H1163,"*","-"),MgAmenClave,0)),"No aplica")</f>
        <v/>
      </c>
      <c r="O1163" s="28">
        <f>IFERROR(INDEX(MgAmenDegI,MATCH(SUBSTITUTE($H1163,"*","-"),MgAmenClave,0)),"No aplica")</f>
        <v/>
      </c>
      <c r="P1163" s="28">
        <f>IFERROR(INDEX(MgAmenDegC,MATCH(SUBSTITUTE($H1163,"*","-"),MgAmenClave,0)),"No aplica")</f>
        <v/>
      </c>
      <c r="Q1163" s="29">
        <f>IFERROR(VLOOKUP(K1163,MgValor,2,0)*VLOOKUP(N1163,MgDeg,2,0),0)</f>
        <v/>
      </c>
      <c r="R1163" s="29">
        <f>IFERROR(VLOOKUP(L1163,MgValor,2,0)*VLOOKUP(O1163,MgDeg,2,0),0)</f>
        <v/>
      </c>
      <c r="S1163" s="29">
        <f>IFERROR(VLOOKUP(M1163,MgValor,2,0)*VLOOKUP(P1163,MgDeg,2,0),0)</f>
        <v/>
      </c>
      <c r="T1163" s="30">
        <f>MAX(Q1163:S1163)</f>
        <v/>
      </c>
      <c r="U1163" s="28">
        <f>IFERROR(LOOKUP(T1163,{0;0.5;1.5;3;4.5},{"Despreciable";"Bajo";"Medio";"Alto";"Muy alto"}),"")</f>
        <v/>
      </c>
      <c r="V1163" s="13">
        <f>IFERROR(INDEX(MgAmenFrec,MATCH(SUBSTITUTE($H1163,"*","-"),MgAmenClave,0)),"")</f>
        <v/>
      </c>
      <c r="W1163" s="28">
        <f>IFERROR(LOOKUP(X1163,{0;0.01;0.1;1;10;100},{"Muy baja";"Muy baja";"Baja";"Media";"Alta";"Muy alta"}),"")</f>
        <v/>
      </c>
      <c r="X1163" s="31">
        <f>IFERROR(VLOOKUP(V1163,MgFrec,2,0),0)</f>
        <v/>
      </c>
      <c r="Y1163" s="30">
        <f>T1163*X1163</f>
        <v/>
      </c>
      <c r="Z1163" s="28">
        <f>IFERROR(LOOKUP(Y1163,{0;0.5;5;25},{"Bajo";"Medio";"Alto";"Crítico"}),"")</f>
        <v/>
      </c>
      <c r="AA1163" s="64">
        <f>IF(T1163&gt;=3,IF(X1163&gt;=1,"Zona 1 — Crítica: impacto alto y ocurre al menos una vez al año","Zona 4 — Catastrófica poco probable: impacto alto pero excepcional"),IF(AND(T1163&lt;1.5,X1163&lt;1),"Zona 3 — Asumible: impacto bajo y muy poco frecuente","Zona 2 — Atención: riesgo intermedio"))</f>
        <v/>
      </c>
      <c r="AB1163" s="64">
        <f>IFERROR(INDEX(MgAmenCtrl,MATCH(SUBSTITUTE($H1163,"*","-"),MgAmenClave,0)),"")</f>
        <v/>
      </c>
      <c r="AC1163" s="20" t="n"/>
      <c r="AD1163" s="31">
        <f>IFERROR($X1163*(1-IF($AC1163="",$AL1163,VLOOKUP($AC1163,MgMad,2,0))),"")</f>
        <v/>
      </c>
      <c r="AE1163" s="28">
        <f>IFERROR(LOOKUP(AD1163,{0;0.01;0.1;1;10;100},{"Muy baja";"Muy baja";"Baja";"Media";"Alta";"Muy alta"}),"")</f>
        <v/>
      </c>
      <c r="AF1163" s="30">
        <f>T1163*AD1163</f>
        <v/>
      </c>
      <c r="AG1163" s="28">
        <f>IFERROR(LOOKUP(AF1163,{0;0.5;5;25},{"Bajo";"Medio";"Alto";"Crítico"}),"")</f>
        <v/>
      </c>
      <c r="AH1163" s="28">
        <f>IF(AG1163="","",IF(OR(AG1163="Crítico",AG1163="Alto"),"Mitigar",IF(AG1163="Medio","Mitigar","Aceptar y monitorear")))</f>
        <v/>
      </c>
      <c r="AI1163" s="21" t="n"/>
      <c r="AJ1163" s="21" t="n"/>
      <c r="AK1163" s="20" t="n"/>
      <c r="AL1163" s="77">
        <f>IFERROR(INDEX(MgAmenEfic,MATCH(SUBSTITUTE($H1163,"*","-"),MgAmenClave,0)),0)</f>
        <v/>
      </c>
    </row>
    <row r="1164" hidden="1" ht="60" customHeight="1" s="54">
      <c r="B1164" s="59" t="inlineStr">
        <is>
          <t>R-1159</t>
        </is>
      </c>
      <c r="C1164" s="59" t="inlineStr">
        <is>
          <t>GH-004</t>
        </is>
      </c>
      <c r="D1164" s="64">
        <f>IFERROR(INDEX(MgNombre,MATCH($C1164,MgActId,0)),"")</f>
        <v/>
      </c>
      <c r="E1164" s="64">
        <f>IFERROR(INDEX(MgProceso,MATCH($C1164,MgActId,0)),"")</f>
        <v/>
      </c>
      <c r="F1164" s="64">
        <f>IFERROR(INDEX(MgTipo,MATCH($C1164,MgActId,0)),"")</f>
        <v/>
      </c>
      <c r="G1164" s="64">
        <f>IFERROR(INDEX(MgSubtipo,MATCH($C1164,MgActId,0)),"")</f>
        <v/>
      </c>
      <c r="H1164" s="59" t="inlineStr">
        <is>
          <t>A.15</t>
        </is>
      </c>
      <c r="I1164" s="64">
        <f>IFERROR(INDEX(MgAmenNombre,MATCH(SUBSTITUTE($H1164,"*","-"),MgAmenClave,0)),"")</f>
        <v/>
      </c>
      <c r="J1164" s="28">
        <f>IFERROR(INDEX(MgAmenGrupo,MATCH(SUBSTITUTE($H1164,"*","-"),MgAmenClave,0)),"")</f>
        <v/>
      </c>
      <c r="K1164" s="64">
        <f>IFERROR(INDEX('1. Matriz de Activos'!$Q$6:$Q$239,MATCH($C1164,MgActId,0)),"")</f>
        <v/>
      </c>
      <c r="L1164" s="64">
        <f>IFERROR(INDEX('1. Matriz de Activos'!$R$6:$R$239,MATCH($C1164,MgActId,0)),"")</f>
        <v/>
      </c>
      <c r="M1164" s="64">
        <f>IFERROR(INDEX('1. Matriz de Activos'!$S$6:$S$239,MATCH($C1164,MgActId,0)),"")</f>
        <v/>
      </c>
      <c r="N1164" s="28">
        <f>IFERROR(INDEX(MgAmenDegD,MATCH(SUBSTITUTE($H1164,"*","-"),MgAmenClave,0)),"No aplica")</f>
        <v/>
      </c>
      <c r="O1164" s="28">
        <f>IFERROR(INDEX(MgAmenDegI,MATCH(SUBSTITUTE($H1164,"*","-"),MgAmenClave,0)),"No aplica")</f>
        <v/>
      </c>
      <c r="P1164" s="28">
        <f>IFERROR(INDEX(MgAmenDegC,MATCH(SUBSTITUTE($H1164,"*","-"),MgAmenClave,0)),"No aplica")</f>
        <v/>
      </c>
      <c r="Q1164" s="29">
        <f>IFERROR(VLOOKUP(K1164,MgValor,2,0)*VLOOKUP(N1164,MgDeg,2,0),0)</f>
        <v/>
      </c>
      <c r="R1164" s="29">
        <f>IFERROR(VLOOKUP(L1164,MgValor,2,0)*VLOOKUP(O1164,MgDeg,2,0),0)</f>
        <v/>
      </c>
      <c r="S1164" s="29">
        <f>IFERROR(VLOOKUP(M1164,MgValor,2,0)*VLOOKUP(P1164,MgDeg,2,0),0)</f>
        <v/>
      </c>
      <c r="T1164" s="30">
        <f>MAX(Q1164:S1164)</f>
        <v/>
      </c>
      <c r="U1164" s="28">
        <f>IFERROR(LOOKUP(T1164,{0;0.5;1.5;3;4.5},{"Despreciable";"Bajo";"Medio";"Alto";"Muy alto"}),"")</f>
        <v/>
      </c>
      <c r="V1164" s="13">
        <f>IFERROR(INDEX(MgAmenFrec,MATCH(SUBSTITUTE($H1164,"*","-"),MgAmenClave,0)),"")</f>
        <v/>
      </c>
      <c r="W1164" s="28">
        <f>IFERROR(LOOKUP(X1164,{0;0.01;0.1;1;10;100},{"Muy baja";"Muy baja";"Baja";"Media";"Alta";"Muy alta"}),"")</f>
        <v/>
      </c>
      <c r="X1164" s="31">
        <f>IFERROR(VLOOKUP(V1164,MgFrec,2,0),0)</f>
        <v/>
      </c>
      <c r="Y1164" s="30">
        <f>T1164*X1164</f>
        <v/>
      </c>
      <c r="Z1164" s="28">
        <f>IFERROR(LOOKUP(Y1164,{0;0.5;5;25},{"Bajo";"Medio";"Alto";"Crítico"}),"")</f>
        <v/>
      </c>
      <c r="AA1164" s="64">
        <f>IF(T1164&gt;=3,IF(X1164&gt;=1,"Zona 1 — Crítica: impacto alto y ocurre al menos una vez al año","Zona 4 — Catastrófica poco probable: impacto alto pero excepcional"),IF(AND(T1164&lt;1.5,X1164&lt;1),"Zona 3 — Asumible: impacto bajo y muy poco frecuente","Zona 2 — Atención: riesgo intermedio"))</f>
        <v/>
      </c>
      <c r="AB1164" s="64">
        <f>IFERROR(INDEX(MgAmenCtrl,MATCH(SUBSTITUTE($H1164,"*","-"),MgAmenClave,0)),"")</f>
        <v/>
      </c>
      <c r="AC1164" s="20" t="n"/>
      <c r="AD1164" s="31">
        <f>IFERROR($X1164*(1-IF($AC1164="",$AL1164,VLOOKUP($AC1164,MgMad,2,0))),"")</f>
        <v/>
      </c>
      <c r="AE1164" s="28">
        <f>IFERROR(LOOKUP(AD1164,{0;0.01;0.1;1;10;100},{"Muy baja";"Muy baja";"Baja";"Media";"Alta";"Muy alta"}),"")</f>
        <v/>
      </c>
      <c r="AF1164" s="30">
        <f>T1164*AD1164</f>
        <v/>
      </c>
      <c r="AG1164" s="28">
        <f>IFERROR(LOOKUP(AF1164,{0;0.5;5;25},{"Bajo";"Medio";"Alto";"Crítico"}),"")</f>
        <v/>
      </c>
      <c r="AH1164" s="28">
        <f>IF(AG1164="","",IF(OR(AG1164="Crítico",AG1164="Alto"),"Mitigar",IF(AG1164="Medio","Mitigar","Aceptar y monitorear")))</f>
        <v/>
      </c>
      <c r="AI1164" s="21" t="n"/>
      <c r="AJ1164" s="21" t="n"/>
      <c r="AK1164" s="20" t="n"/>
      <c r="AL1164" s="77">
        <f>IFERROR(INDEX(MgAmenEfic,MATCH(SUBSTITUTE($H1164,"*","-"),MgAmenClave,0)),0)</f>
        <v/>
      </c>
    </row>
    <row r="1165" hidden="1" ht="60" customHeight="1" s="54">
      <c r="B1165" s="59" t="inlineStr">
        <is>
          <t>R-1160</t>
        </is>
      </c>
      <c r="C1165" s="59" t="inlineStr">
        <is>
          <t>GH-004</t>
        </is>
      </c>
      <c r="D1165" s="64">
        <f>IFERROR(INDEX(MgNombre,MATCH($C1165,MgActId,0)),"")</f>
        <v/>
      </c>
      <c r="E1165" s="64">
        <f>IFERROR(INDEX(MgProceso,MATCH($C1165,MgActId,0)),"")</f>
        <v/>
      </c>
      <c r="F1165" s="64">
        <f>IFERROR(INDEX(MgTipo,MATCH($C1165,MgActId,0)),"")</f>
        <v/>
      </c>
      <c r="G1165" s="64">
        <f>IFERROR(INDEX(MgSubtipo,MATCH($C1165,MgActId,0)),"")</f>
        <v/>
      </c>
      <c r="H1165" s="59" t="inlineStr">
        <is>
          <t>A.18</t>
        </is>
      </c>
      <c r="I1165" s="64">
        <f>IFERROR(INDEX(MgAmenNombre,MATCH(SUBSTITUTE($H1165,"*","-"),MgAmenClave,0)),"")</f>
        <v/>
      </c>
      <c r="J1165" s="28">
        <f>IFERROR(INDEX(MgAmenGrupo,MATCH(SUBSTITUTE($H1165,"*","-"),MgAmenClave,0)),"")</f>
        <v/>
      </c>
      <c r="K1165" s="64">
        <f>IFERROR(INDEX('1. Matriz de Activos'!$Q$6:$Q$239,MATCH($C1165,MgActId,0)),"")</f>
        <v/>
      </c>
      <c r="L1165" s="64">
        <f>IFERROR(INDEX('1. Matriz de Activos'!$R$6:$R$239,MATCH($C1165,MgActId,0)),"")</f>
        <v/>
      </c>
      <c r="M1165" s="64">
        <f>IFERROR(INDEX('1. Matriz de Activos'!$S$6:$S$239,MATCH($C1165,MgActId,0)),"")</f>
        <v/>
      </c>
      <c r="N1165" s="28">
        <f>IFERROR(INDEX(MgAmenDegD,MATCH(SUBSTITUTE($H1165,"*","-"),MgAmenClave,0)),"No aplica")</f>
        <v/>
      </c>
      <c r="O1165" s="28">
        <f>IFERROR(INDEX(MgAmenDegI,MATCH(SUBSTITUTE($H1165,"*","-"),MgAmenClave,0)),"No aplica")</f>
        <v/>
      </c>
      <c r="P1165" s="28">
        <f>IFERROR(INDEX(MgAmenDegC,MATCH(SUBSTITUTE($H1165,"*","-"),MgAmenClave,0)),"No aplica")</f>
        <v/>
      </c>
      <c r="Q1165" s="29">
        <f>IFERROR(VLOOKUP(K1165,MgValor,2,0)*VLOOKUP(N1165,MgDeg,2,0),0)</f>
        <v/>
      </c>
      <c r="R1165" s="29">
        <f>IFERROR(VLOOKUP(L1165,MgValor,2,0)*VLOOKUP(O1165,MgDeg,2,0),0)</f>
        <v/>
      </c>
      <c r="S1165" s="29">
        <f>IFERROR(VLOOKUP(M1165,MgValor,2,0)*VLOOKUP(P1165,MgDeg,2,0),0)</f>
        <v/>
      </c>
      <c r="T1165" s="30">
        <f>MAX(Q1165:S1165)</f>
        <v/>
      </c>
      <c r="U1165" s="28">
        <f>IFERROR(LOOKUP(T1165,{0;0.5;1.5;3;4.5},{"Despreciable";"Bajo";"Medio";"Alto";"Muy alto"}),"")</f>
        <v/>
      </c>
      <c r="V1165" s="13">
        <f>IFERROR(INDEX(MgAmenFrec,MATCH(SUBSTITUTE($H1165,"*","-"),MgAmenClave,0)),"")</f>
        <v/>
      </c>
      <c r="W1165" s="28">
        <f>IFERROR(LOOKUP(X1165,{0;0.01;0.1;1;10;100},{"Muy baja";"Muy baja";"Baja";"Media";"Alta";"Muy alta"}),"")</f>
        <v/>
      </c>
      <c r="X1165" s="31">
        <f>IFERROR(VLOOKUP(V1165,MgFrec,2,0),0)</f>
        <v/>
      </c>
      <c r="Y1165" s="30">
        <f>T1165*X1165</f>
        <v/>
      </c>
      <c r="Z1165" s="28">
        <f>IFERROR(LOOKUP(Y1165,{0;0.5;5;25},{"Bajo";"Medio";"Alto";"Crítico"}),"")</f>
        <v/>
      </c>
      <c r="AA1165" s="64">
        <f>IF(T1165&gt;=3,IF(X1165&gt;=1,"Zona 1 — Crítica: impacto alto y ocurre al menos una vez al año","Zona 4 — Catastrófica poco probable: impacto alto pero excepcional"),IF(AND(T1165&lt;1.5,X1165&lt;1),"Zona 3 — Asumible: impacto bajo y muy poco frecuente","Zona 2 — Atención: riesgo intermedio"))</f>
        <v/>
      </c>
      <c r="AB1165" s="64">
        <f>IFERROR(INDEX(MgAmenCtrl,MATCH(SUBSTITUTE($H1165,"*","-"),MgAmenClave,0)),"")</f>
        <v/>
      </c>
      <c r="AC1165" s="20" t="n"/>
      <c r="AD1165" s="31">
        <f>IFERROR($X1165*(1-IF($AC1165="",$AL1165,VLOOKUP($AC1165,MgMad,2,0))),"")</f>
        <v/>
      </c>
      <c r="AE1165" s="28">
        <f>IFERROR(LOOKUP(AD1165,{0;0.01;0.1;1;10;100},{"Muy baja";"Muy baja";"Baja";"Media";"Alta";"Muy alta"}),"")</f>
        <v/>
      </c>
      <c r="AF1165" s="30">
        <f>T1165*AD1165</f>
        <v/>
      </c>
      <c r="AG1165" s="28">
        <f>IFERROR(LOOKUP(AF1165,{0;0.5;5;25},{"Bajo";"Medio";"Alto";"Crítico"}),"")</f>
        <v/>
      </c>
      <c r="AH1165" s="28">
        <f>IF(AG1165="","",IF(OR(AG1165="Crítico",AG1165="Alto"),"Mitigar",IF(AG1165="Medio","Mitigar","Aceptar y monitorear")))</f>
        <v/>
      </c>
      <c r="AI1165" s="21" t="n"/>
      <c r="AJ1165" s="21" t="n"/>
      <c r="AK1165" s="20" t="n"/>
      <c r="AL1165" s="77">
        <f>IFERROR(INDEX(MgAmenEfic,MATCH(SUBSTITUTE($H1165,"*","-"),MgAmenClave,0)),0)</f>
        <v/>
      </c>
    </row>
    <row r="1166" hidden="1" ht="120" customHeight="1" s="54">
      <c r="B1166" s="59" t="inlineStr">
        <is>
          <t>R-1161</t>
        </is>
      </c>
      <c r="C1166" s="59" t="inlineStr">
        <is>
          <t>GH-004</t>
        </is>
      </c>
      <c r="D1166" s="64">
        <f>IFERROR(INDEX(MgNombre,MATCH($C1166,MgActId,0)),"")</f>
        <v/>
      </c>
      <c r="E1166" s="64">
        <f>IFERROR(INDEX(MgProceso,MATCH($C1166,MgActId,0)),"")</f>
        <v/>
      </c>
      <c r="F1166" s="64">
        <f>IFERROR(INDEX(MgTipo,MATCH($C1166,MgActId,0)),"")</f>
        <v/>
      </c>
      <c r="G1166" s="64">
        <f>IFERROR(INDEX(MgSubtipo,MATCH($C1166,MgActId,0)),"")</f>
        <v/>
      </c>
      <c r="H1166" s="59" t="inlineStr">
        <is>
          <t>A.19</t>
        </is>
      </c>
      <c r="I1166" s="64">
        <f>IFERROR(INDEX(MgAmenNombre,MATCH(SUBSTITUTE($H1166,"*","-"),MgAmenClave,0)),"")</f>
        <v/>
      </c>
      <c r="J1166" s="28">
        <f>IFERROR(INDEX(MgAmenGrupo,MATCH(SUBSTITUTE($H1166,"*","-"),MgAmenClave,0)),"")</f>
        <v/>
      </c>
      <c r="K1166" s="64">
        <f>IFERROR(INDEX('1. Matriz de Activos'!$Q$6:$Q$239,MATCH($C1166,MgActId,0)),"")</f>
        <v/>
      </c>
      <c r="L1166" s="64">
        <f>IFERROR(INDEX('1. Matriz de Activos'!$R$6:$R$239,MATCH($C1166,MgActId,0)),"")</f>
        <v/>
      </c>
      <c r="M1166" s="64">
        <f>IFERROR(INDEX('1. Matriz de Activos'!$S$6:$S$239,MATCH($C1166,MgActId,0)),"")</f>
        <v/>
      </c>
      <c r="N1166" s="28">
        <f>IFERROR(INDEX(MgAmenDegD,MATCH(SUBSTITUTE($H1166,"*","-"),MgAmenClave,0)),"No aplica")</f>
        <v/>
      </c>
      <c r="O1166" s="28">
        <f>IFERROR(INDEX(MgAmenDegI,MATCH(SUBSTITUTE($H1166,"*","-"),MgAmenClave,0)),"No aplica")</f>
        <v/>
      </c>
      <c r="P1166" s="28">
        <f>IFERROR(INDEX(MgAmenDegC,MATCH(SUBSTITUTE($H1166,"*","-"),MgAmenClave,0)),"No aplica")</f>
        <v/>
      </c>
      <c r="Q1166" s="29">
        <f>IFERROR(VLOOKUP(K1166,MgValor,2,0)*VLOOKUP(N1166,MgDeg,2,0),0)</f>
        <v/>
      </c>
      <c r="R1166" s="29">
        <f>IFERROR(VLOOKUP(L1166,MgValor,2,0)*VLOOKUP(O1166,MgDeg,2,0),0)</f>
        <v/>
      </c>
      <c r="S1166" s="29">
        <f>IFERROR(VLOOKUP(M1166,MgValor,2,0)*VLOOKUP(P1166,MgDeg,2,0),0)</f>
        <v/>
      </c>
      <c r="T1166" s="30">
        <f>MAX(Q1166:S1166)</f>
        <v/>
      </c>
      <c r="U1166" s="28">
        <f>IFERROR(LOOKUP(T1166,{0;0.5;1.5;3;4.5},{"Despreciable";"Bajo";"Medio";"Alto";"Muy alto"}),"")</f>
        <v/>
      </c>
      <c r="V1166" s="13">
        <f>IFERROR(INDEX(MgAmenFrec,MATCH(SUBSTITUTE($H1166,"*","-"),MgAmenClave,0)),"")</f>
        <v/>
      </c>
      <c r="W1166" s="28">
        <f>IFERROR(LOOKUP(X1166,{0;0.01;0.1;1;10;100},{"Muy baja";"Muy baja";"Baja";"Media";"Alta";"Muy alta"}),"")</f>
        <v/>
      </c>
      <c r="X1166" s="31">
        <f>IFERROR(VLOOKUP(V1166,MgFrec,2,0),0)</f>
        <v/>
      </c>
      <c r="Y1166" s="30">
        <f>T1166*X1166</f>
        <v/>
      </c>
      <c r="Z1166" s="28">
        <f>IFERROR(LOOKUP(Y1166,{0;0.5;5;25},{"Bajo";"Medio";"Alto";"Crítico"}),"")</f>
        <v/>
      </c>
      <c r="AA1166" s="64">
        <f>IF(T1166&gt;=3,IF(X1166&gt;=1,"Zona 1 — Crítica: impacto alto y ocurre al menos una vez al año","Zona 4 — Catastrófica poco probable: impacto alto pero excepcional"),IF(AND(T1166&lt;1.5,X1166&lt;1),"Zona 3 — Asumible: impacto bajo y muy poco frecuente","Zona 2 — Atención: riesgo intermedio"))</f>
        <v/>
      </c>
      <c r="AB1166" s="64">
        <f>IFERROR(INDEX(MgAmenCtrl,MATCH(SUBSTITUTE($H1166,"*","-"),MgAmenClave,0)),"")</f>
        <v/>
      </c>
      <c r="AC1166" s="20" t="n"/>
      <c r="AD1166" s="31">
        <f>IFERROR($X1166*(1-IF($AC1166="",$AL1166,VLOOKUP($AC1166,MgMad,2,0))),"")</f>
        <v/>
      </c>
      <c r="AE1166" s="28">
        <f>IFERROR(LOOKUP(AD1166,{0;0.01;0.1;1;10;100},{"Muy baja";"Muy baja";"Baja";"Media";"Alta";"Muy alta"}),"")</f>
        <v/>
      </c>
      <c r="AF1166" s="30">
        <f>T1166*AD1166</f>
        <v/>
      </c>
      <c r="AG1166" s="28">
        <f>IFERROR(LOOKUP(AF1166,{0;0.5;5;25},{"Bajo";"Medio";"Alto";"Crítico"}),"")</f>
        <v/>
      </c>
      <c r="AH1166" s="28">
        <f>IF(AG1166="","",IF(OR(AG1166="Crítico",AG1166="Alto"),"Mitigar",IF(AG1166="Medio","Mitigar","Aceptar y monitorear")))</f>
        <v/>
      </c>
      <c r="AI1166" s="21" t="n"/>
      <c r="AJ1166" s="21" t="n"/>
      <c r="AK1166" s="20" t="n"/>
      <c r="AL1166" s="77">
        <f>IFERROR(INDEX(MgAmenEfic,MATCH(SUBSTITUTE($H1166,"*","-"),MgAmenClave,0)),0)</f>
        <v/>
      </c>
    </row>
    <row r="1167" hidden="1" ht="105" customHeight="1" s="54">
      <c r="B1167" s="59" t="inlineStr">
        <is>
          <t>R-1162</t>
        </is>
      </c>
      <c r="C1167" s="59" t="inlineStr">
        <is>
          <t>GH-009</t>
        </is>
      </c>
      <c r="D1167" s="64">
        <f>IFERROR(INDEX(MgNombre,MATCH($C1167,MgActId,0)),"")</f>
        <v/>
      </c>
      <c r="E1167" s="64">
        <f>IFERROR(INDEX(MgProceso,MATCH($C1167,MgActId,0)),"")</f>
        <v/>
      </c>
      <c r="F1167" s="64">
        <f>IFERROR(INDEX(MgTipo,MATCH($C1167,MgActId,0)),"")</f>
        <v/>
      </c>
      <c r="G1167" s="64">
        <f>IFERROR(INDEX(MgSubtipo,MATCH($C1167,MgActId,0)),"")</f>
        <v/>
      </c>
      <c r="H1167" s="59" t="inlineStr">
        <is>
          <t>E.1</t>
        </is>
      </c>
      <c r="I1167" s="64">
        <f>IFERROR(INDEX(MgAmenNombre,MATCH(SUBSTITUTE($H1167,"*","-"),MgAmenClave,0)),"")</f>
        <v/>
      </c>
      <c r="J1167" s="28">
        <f>IFERROR(INDEX(MgAmenGrupo,MATCH(SUBSTITUTE($H1167,"*","-"),MgAmenClave,0)),"")</f>
        <v/>
      </c>
      <c r="K1167" s="64">
        <f>IFERROR(INDEX('1. Matriz de Activos'!$Q$6:$Q$239,MATCH($C1167,MgActId,0)),"")</f>
        <v/>
      </c>
      <c r="L1167" s="64">
        <f>IFERROR(INDEX('1. Matriz de Activos'!$R$6:$R$239,MATCH($C1167,MgActId,0)),"")</f>
        <v/>
      </c>
      <c r="M1167" s="64">
        <f>IFERROR(INDEX('1. Matriz de Activos'!$S$6:$S$239,MATCH($C1167,MgActId,0)),"")</f>
        <v/>
      </c>
      <c r="N1167" s="28">
        <f>IFERROR(INDEX(MgAmenDegD,MATCH(SUBSTITUTE($H1167,"*","-"),MgAmenClave,0)),"No aplica")</f>
        <v/>
      </c>
      <c r="O1167" s="28">
        <f>IFERROR(INDEX(MgAmenDegI,MATCH(SUBSTITUTE($H1167,"*","-"),MgAmenClave,0)),"No aplica")</f>
        <v/>
      </c>
      <c r="P1167" s="28">
        <f>IFERROR(INDEX(MgAmenDegC,MATCH(SUBSTITUTE($H1167,"*","-"),MgAmenClave,0)),"No aplica")</f>
        <v/>
      </c>
      <c r="Q1167" s="29">
        <f>IFERROR(VLOOKUP(K1167,MgValor,2,0)*VLOOKUP(N1167,MgDeg,2,0),0)</f>
        <v/>
      </c>
      <c r="R1167" s="29">
        <f>IFERROR(VLOOKUP(L1167,MgValor,2,0)*VLOOKUP(O1167,MgDeg,2,0),0)</f>
        <v/>
      </c>
      <c r="S1167" s="29">
        <f>IFERROR(VLOOKUP(M1167,MgValor,2,0)*VLOOKUP(P1167,MgDeg,2,0),0)</f>
        <v/>
      </c>
      <c r="T1167" s="30">
        <f>MAX(Q1167:S1167)</f>
        <v/>
      </c>
      <c r="U1167" s="28">
        <f>IFERROR(LOOKUP(T1167,{0;0.5;1.5;3;4.5},{"Despreciable";"Bajo";"Medio";"Alto";"Muy alto"}),"")</f>
        <v/>
      </c>
      <c r="V1167" s="13">
        <f>IFERROR(INDEX(MgAmenFrec,MATCH(SUBSTITUTE($H1167,"*","-"),MgAmenClave,0)),"")</f>
        <v/>
      </c>
      <c r="W1167" s="28">
        <f>IFERROR(LOOKUP(X1167,{0;0.01;0.1;1;10;100},{"Muy baja";"Muy baja";"Baja";"Media";"Alta";"Muy alta"}),"")</f>
        <v/>
      </c>
      <c r="X1167" s="31">
        <f>IFERROR(VLOOKUP(V1167,MgFrec,2,0),0)</f>
        <v/>
      </c>
      <c r="Y1167" s="30">
        <f>T1167*X1167</f>
        <v/>
      </c>
      <c r="Z1167" s="28">
        <f>IFERROR(LOOKUP(Y1167,{0;0.5;5;25},{"Bajo";"Medio";"Alto";"Crítico"}),"")</f>
        <v/>
      </c>
      <c r="AA1167" s="64">
        <f>IF(T1167&gt;=3,IF(X1167&gt;=1,"Zona 1 — Crítica: impacto alto y ocurre al menos una vez al año","Zona 4 — Catastrófica poco probable: impacto alto pero excepcional"),IF(AND(T1167&lt;1.5,X1167&lt;1),"Zona 3 — Asumible: impacto bajo y muy poco frecuente","Zona 2 — Atención: riesgo intermedio"))</f>
        <v/>
      </c>
      <c r="AB1167" s="64">
        <f>IFERROR(INDEX(MgAmenCtrl,MATCH(SUBSTITUTE($H1167,"*","-"),MgAmenClave,0)),"")</f>
        <v/>
      </c>
      <c r="AC1167" s="20" t="n"/>
      <c r="AD1167" s="31">
        <f>IFERROR($X1167*(1-IF($AC1167="",$AL1167,VLOOKUP($AC1167,MgMad,2,0))),"")</f>
        <v/>
      </c>
      <c r="AE1167" s="28">
        <f>IFERROR(LOOKUP(AD1167,{0;0.01;0.1;1;10;100},{"Muy baja";"Muy baja";"Baja";"Media";"Alta";"Muy alta"}),"")</f>
        <v/>
      </c>
      <c r="AF1167" s="30">
        <f>T1167*AD1167</f>
        <v/>
      </c>
      <c r="AG1167" s="28">
        <f>IFERROR(LOOKUP(AF1167,{0;0.5;5;25},{"Bajo";"Medio";"Alto";"Crítico"}),"")</f>
        <v/>
      </c>
      <c r="AH1167" s="28">
        <f>IF(AG1167="","",IF(OR(AG1167="Crítico",AG1167="Alto"),"Mitigar",IF(AG1167="Medio","Mitigar","Aceptar y monitorear")))</f>
        <v/>
      </c>
      <c r="AI1167" s="21" t="n"/>
      <c r="AJ1167" s="21" t="n"/>
      <c r="AK1167" s="20" t="n"/>
      <c r="AL1167" s="77">
        <f>IFERROR(INDEX(MgAmenEfic,MATCH(SUBSTITUTE($H1167,"*","-"),MgAmenClave,0)),0)</f>
        <v/>
      </c>
    </row>
    <row r="1168" hidden="1" ht="120" customHeight="1" s="54">
      <c r="B1168" s="59" t="inlineStr">
        <is>
          <t>R-1163</t>
        </is>
      </c>
      <c r="C1168" s="59" t="inlineStr">
        <is>
          <t>GH-009</t>
        </is>
      </c>
      <c r="D1168" s="64">
        <f>IFERROR(INDEX(MgNombre,MATCH($C1168,MgActId,0)),"")</f>
        <v/>
      </c>
      <c r="E1168" s="64">
        <f>IFERROR(INDEX(MgProceso,MATCH($C1168,MgActId,0)),"")</f>
        <v/>
      </c>
      <c r="F1168" s="64">
        <f>IFERROR(INDEX(MgTipo,MATCH($C1168,MgActId,0)),"")</f>
        <v/>
      </c>
      <c r="G1168" s="64">
        <f>IFERROR(INDEX(MgSubtipo,MATCH($C1168,MgActId,0)),"")</f>
        <v/>
      </c>
      <c r="H1168" s="59" t="inlineStr">
        <is>
          <t>E.2</t>
        </is>
      </c>
      <c r="I1168" s="64">
        <f>IFERROR(INDEX(MgAmenNombre,MATCH(SUBSTITUTE($H1168,"*","-"),MgAmenClave,0)),"")</f>
        <v/>
      </c>
      <c r="J1168" s="28">
        <f>IFERROR(INDEX(MgAmenGrupo,MATCH(SUBSTITUTE($H1168,"*","-"),MgAmenClave,0)),"")</f>
        <v/>
      </c>
      <c r="K1168" s="64">
        <f>IFERROR(INDEX('1. Matriz de Activos'!$Q$6:$Q$239,MATCH($C1168,MgActId,0)),"")</f>
        <v/>
      </c>
      <c r="L1168" s="64">
        <f>IFERROR(INDEX('1. Matriz de Activos'!$R$6:$R$239,MATCH($C1168,MgActId,0)),"")</f>
        <v/>
      </c>
      <c r="M1168" s="64">
        <f>IFERROR(INDEX('1. Matriz de Activos'!$S$6:$S$239,MATCH($C1168,MgActId,0)),"")</f>
        <v/>
      </c>
      <c r="N1168" s="28">
        <f>IFERROR(INDEX(MgAmenDegD,MATCH(SUBSTITUTE($H1168,"*","-"),MgAmenClave,0)),"No aplica")</f>
        <v/>
      </c>
      <c r="O1168" s="28">
        <f>IFERROR(INDEX(MgAmenDegI,MATCH(SUBSTITUTE($H1168,"*","-"),MgAmenClave,0)),"No aplica")</f>
        <v/>
      </c>
      <c r="P1168" s="28">
        <f>IFERROR(INDEX(MgAmenDegC,MATCH(SUBSTITUTE($H1168,"*","-"),MgAmenClave,0)),"No aplica")</f>
        <v/>
      </c>
      <c r="Q1168" s="29">
        <f>IFERROR(VLOOKUP(K1168,MgValor,2,0)*VLOOKUP(N1168,MgDeg,2,0),0)</f>
        <v/>
      </c>
      <c r="R1168" s="29">
        <f>IFERROR(VLOOKUP(L1168,MgValor,2,0)*VLOOKUP(O1168,MgDeg,2,0),0)</f>
        <v/>
      </c>
      <c r="S1168" s="29">
        <f>IFERROR(VLOOKUP(M1168,MgValor,2,0)*VLOOKUP(P1168,MgDeg,2,0),0)</f>
        <v/>
      </c>
      <c r="T1168" s="30">
        <f>MAX(Q1168:S1168)</f>
        <v/>
      </c>
      <c r="U1168" s="28">
        <f>IFERROR(LOOKUP(T1168,{0;0.5;1.5;3;4.5},{"Despreciable";"Bajo";"Medio";"Alto";"Muy alto"}),"")</f>
        <v/>
      </c>
      <c r="V1168" s="13">
        <f>IFERROR(INDEX(MgAmenFrec,MATCH(SUBSTITUTE($H1168,"*","-"),MgAmenClave,0)),"")</f>
        <v/>
      </c>
      <c r="W1168" s="28">
        <f>IFERROR(LOOKUP(X1168,{0;0.01;0.1;1;10;100},{"Muy baja";"Muy baja";"Baja";"Media";"Alta";"Muy alta"}),"")</f>
        <v/>
      </c>
      <c r="X1168" s="31">
        <f>IFERROR(VLOOKUP(V1168,MgFrec,2,0),0)</f>
        <v/>
      </c>
      <c r="Y1168" s="30">
        <f>T1168*X1168</f>
        <v/>
      </c>
      <c r="Z1168" s="28">
        <f>IFERROR(LOOKUP(Y1168,{0;0.5;5;25},{"Bajo";"Medio";"Alto";"Crítico"}),"")</f>
        <v/>
      </c>
      <c r="AA1168" s="64">
        <f>IF(T1168&gt;=3,IF(X1168&gt;=1,"Zona 1 — Crítica: impacto alto y ocurre al menos una vez al año","Zona 4 — Catastrófica poco probable: impacto alto pero excepcional"),IF(AND(T1168&lt;1.5,X1168&lt;1),"Zona 3 — Asumible: impacto bajo y muy poco frecuente","Zona 2 — Atención: riesgo intermedio"))</f>
        <v/>
      </c>
      <c r="AB1168" s="64">
        <f>IFERROR(INDEX(MgAmenCtrl,MATCH(SUBSTITUTE($H1168,"*","-"),MgAmenClave,0)),"")</f>
        <v/>
      </c>
      <c r="AC1168" s="20" t="n"/>
      <c r="AD1168" s="31">
        <f>IFERROR($X1168*(1-IF($AC1168="",$AL1168,VLOOKUP($AC1168,MgMad,2,0))),"")</f>
        <v/>
      </c>
      <c r="AE1168" s="28">
        <f>IFERROR(LOOKUP(AD1168,{0;0.01;0.1;1;10;100},{"Muy baja";"Muy baja";"Baja";"Media";"Alta";"Muy alta"}),"")</f>
        <v/>
      </c>
      <c r="AF1168" s="30">
        <f>T1168*AD1168</f>
        <v/>
      </c>
      <c r="AG1168" s="28">
        <f>IFERROR(LOOKUP(AF1168,{0;0.5;5;25},{"Bajo";"Medio";"Alto";"Crítico"}),"")</f>
        <v/>
      </c>
      <c r="AH1168" s="28">
        <f>IF(AG1168="","",IF(OR(AG1168="Crítico",AG1168="Alto"),"Mitigar",IF(AG1168="Medio","Mitigar","Aceptar y monitorear")))</f>
        <v/>
      </c>
      <c r="AI1168" s="21" t="n"/>
      <c r="AJ1168" s="21" t="n"/>
      <c r="AK1168" s="20" t="n"/>
      <c r="AL1168" s="77">
        <f>IFERROR(INDEX(MgAmenEfic,MATCH(SUBSTITUTE($H1168,"*","-"),MgAmenClave,0)),0)</f>
        <v/>
      </c>
    </row>
    <row r="1169" hidden="1" ht="75" customHeight="1" s="54">
      <c r="B1169" s="59" t="inlineStr">
        <is>
          <t>R-1164</t>
        </is>
      </c>
      <c r="C1169" s="59" t="inlineStr">
        <is>
          <t>GH-009</t>
        </is>
      </c>
      <c r="D1169" s="64">
        <f>IFERROR(INDEX(MgNombre,MATCH($C1169,MgActId,0)),"")</f>
        <v/>
      </c>
      <c r="E1169" s="64">
        <f>IFERROR(INDEX(MgProceso,MATCH($C1169,MgActId,0)),"")</f>
        <v/>
      </c>
      <c r="F1169" s="64">
        <f>IFERROR(INDEX(MgTipo,MATCH($C1169,MgActId,0)),"")</f>
        <v/>
      </c>
      <c r="G1169" s="64">
        <f>IFERROR(INDEX(MgSubtipo,MATCH($C1169,MgActId,0)),"")</f>
        <v/>
      </c>
      <c r="H1169" s="59" t="inlineStr">
        <is>
          <t>E.3</t>
        </is>
      </c>
      <c r="I1169" s="64">
        <f>IFERROR(INDEX(MgAmenNombre,MATCH(SUBSTITUTE($H1169,"*","-"),MgAmenClave,0)),"")</f>
        <v/>
      </c>
      <c r="J1169" s="28">
        <f>IFERROR(INDEX(MgAmenGrupo,MATCH(SUBSTITUTE($H1169,"*","-"),MgAmenClave,0)),"")</f>
        <v/>
      </c>
      <c r="K1169" s="64">
        <f>IFERROR(INDEX('1. Matriz de Activos'!$Q$6:$Q$239,MATCH($C1169,MgActId,0)),"")</f>
        <v/>
      </c>
      <c r="L1169" s="64">
        <f>IFERROR(INDEX('1. Matriz de Activos'!$R$6:$R$239,MATCH($C1169,MgActId,0)),"")</f>
        <v/>
      </c>
      <c r="M1169" s="64">
        <f>IFERROR(INDEX('1. Matriz de Activos'!$S$6:$S$239,MATCH($C1169,MgActId,0)),"")</f>
        <v/>
      </c>
      <c r="N1169" s="28">
        <f>IFERROR(INDEX(MgAmenDegD,MATCH(SUBSTITUTE($H1169,"*","-"),MgAmenClave,0)),"No aplica")</f>
        <v/>
      </c>
      <c r="O1169" s="28">
        <f>IFERROR(INDEX(MgAmenDegI,MATCH(SUBSTITUTE($H1169,"*","-"),MgAmenClave,0)),"No aplica")</f>
        <v/>
      </c>
      <c r="P1169" s="28">
        <f>IFERROR(INDEX(MgAmenDegC,MATCH(SUBSTITUTE($H1169,"*","-"),MgAmenClave,0)),"No aplica")</f>
        <v/>
      </c>
      <c r="Q1169" s="29">
        <f>IFERROR(VLOOKUP(K1169,MgValor,2,0)*VLOOKUP(N1169,MgDeg,2,0),0)</f>
        <v/>
      </c>
      <c r="R1169" s="29">
        <f>IFERROR(VLOOKUP(L1169,MgValor,2,0)*VLOOKUP(O1169,MgDeg,2,0),0)</f>
        <v/>
      </c>
      <c r="S1169" s="29">
        <f>IFERROR(VLOOKUP(M1169,MgValor,2,0)*VLOOKUP(P1169,MgDeg,2,0),0)</f>
        <v/>
      </c>
      <c r="T1169" s="30">
        <f>MAX(Q1169:S1169)</f>
        <v/>
      </c>
      <c r="U1169" s="28">
        <f>IFERROR(LOOKUP(T1169,{0;0.5;1.5;3;4.5},{"Despreciable";"Bajo";"Medio";"Alto";"Muy alto"}),"")</f>
        <v/>
      </c>
      <c r="V1169" s="13">
        <f>IFERROR(INDEX(MgAmenFrec,MATCH(SUBSTITUTE($H1169,"*","-"),MgAmenClave,0)),"")</f>
        <v/>
      </c>
      <c r="W1169" s="28">
        <f>IFERROR(LOOKUP(X1169,{0;0.01;0.1;1;10;100},{"Muy baja";"Muy baja";"Baja";"Media";"Alta";"Muy alta"}),"")</f>
        <v/>
      </c>
      <c r="X1169" s="31">
        <f>IFERROR(VLOOKUP(V1169,MgFrec,2,0),0)</f>
        <v/>
      </c>
      <c r="Y1169" s="30">
        <f>T1169*X1169</f>
        <v/>
      </c>
      <c r="Z1169" s="28">
        <f>IFERROR(LOOKUP(Y1169,{0;0.5;5;25},{"Bajo";"Medio";"Alto";"Crítico"}),"")</f>
        <v/>
      </c>
      <c r="AA1169" s="64">
        <f>IF(T1169&gt;=3,IF(X1169&gt;=1,"Zona 1 — Crítica: impacto alto y ocurre al menos una vez al año","Zona 4 — Catastrófica poco probable: impacto alto pero excepcional"),IF(AND(T1169&lt;1.5,X1169&lt;1),"Zona 3 — Asumible: impacto bajo y muy poco frecuente","Zona 2 — Atención: riesgo intermedio"))</f>
        <v/>
      </c>
      <c r="AB1169" s="64">
        <f>IFERROR(INDEX(MgAmenCtrl,MATCH(SUBSTITUTE($H1169,"*","-"),MgAmenClave,0)),"")</f>
        <v/>
      </c>
      <c r="AC1169" s="20" t="n"/>
      <c r="AD1169" s="31">
        <f>IFERROR($X1169*(1-IF($AC1169="",$AL1169,VLOOKUP($AC1169,MgMad,2,0))),"")</f>
        <v/>
      </c>
      <c r="AE1169" s="28">
        <f>IFERROR(LOOKUP(AD1169,{0;0.01;0.1;1;10;100},{"Muy baja";"Muy baja";"Baja";"Media";"Alta";"Muy alta"}),"")</f>
        <v/>
      </c>
      <c r="AF1169" s="30">
        <f>T1169*AD1169</f>
        <v/>
      </c>
      <c r="AG1169" s="28">
        <f>IFERROR(LOOKUP(AF1169,{0;0.5;5;25},{"Bajo";"Medio";"Alto";"Crítico"}),"")</f>
        <v/>
      </c>
      <c r="AH1169" s="28">
        <f>IF(AG1169="","",IF(OR(AG1169="Crítico",AG1169="Alto"),"Mitigar",IF(AG1169="Medio","Mitigar","Aceptar y monitorear")))</f>
        <v/>
      </c>
      <c r="AI1169" s="21" t="n"/>
      <c r="AJ1169" s="21" t="n"/>
      <c r="AK1169" s="20" t="n"/>
      <c r="AL1169" s="77">
        <f>IFERROR(INDEX(MgAmenEfic,MATCH(SUBSTITUTE($H1169,"*","-"),MgAmenClave,0)),0)</f>
        <v/>
      </c>
    </row>
    <row r="1170" hidden="1" ht="75" customHeight="1" s="54">
      <c r="B1170" s="59" t="inlineStr">
        <is>
          <t>R-1165</t>
        </is>
      </c>
      <c r="C1170" s="59" t="inlineStr">
        <is>
          <t>GH-009</t>
        </is>
      </c>
      <c r="D1170" s="64">
        <f>IFERROR(INDEX(MgNombre,MATCH($C1170,MgActId,0)),"")</f>
        <v/>
      </c>
      <c r="E1170" s="64">
        <f>IFERROR(INDEX(MgProceso,MATCH($C1170,MgActId,0)),"")</f>
        <v/>
      </c>
      <c r="F1170" s="64">
        <f>IFERROR(INDEX(MgTipo,MATCH($C1170,MgActId,0)),"")</f>
        <v/>
      </c>
      <c r="G1170" s="64">
        <f>IFERROR(INDEX(MgSubtipo,MATCH($C1170,MgActId,0)),"")</f>
        <v/>
      </c>
      <c r="H1170" s="59" t="inlineStr">
        <is>
          <t>E.4</t>
        </is>
      </c>
      <c r="I1170" s="64">
        <f>IFERROR(INDEX(MgAmenNombre,MATCH(SUBSTITUTE($H1170,"*","-"),MgAmenClave,0)),"")</f>
        <v/>
      </c>
      <c r="J1170" s="28">
        <f>IFERROR(INDEX(MgAmenGrupo,MATCH(SUBSTITUTE($H1170,"*","-"),MgAmenClave,0)),"")</f>
        <v/>
      </c>
      <c r="K1170" s="64">
        <f>IFERROR(INDEX('1. Matriz de Activos'!$Q$6:$Q$239,MATCH($C1170,MgActId,0)),"")</f>
        <v/>
      </c>
      <c r="L1170" s="64">
        <f>IFERROR(INDEX('1. Matriz de Activos'!$R$6:$R$239,MATCH($C1170,MgActId,0)),"")</f>
        <v/>
      </c>
      <c r="M1170" s="64">
        <f>IFERROR(INDEX('1. Matriz de Activos'!$S$6:$S$239,MATCH($C1170,MgActId,0)),"")</f>
        <v/>
      </c>
      <c r="N1170" s="28">
        <f>IFERROR(INDEX(MgAmenDegD,MATCH(SUBSTITUTE($H1170,"*","-"),MgAmenClave,0)),"No aplica")</f>
        <v/>
      </c>
      <c r="O1170" s="28">
        <f>IFERROR(INDEX(MgAmenDegI,MATCH(SUBSTITUTE($H1170,"*","-"),MgAmenClave,0)),"No aplica")</f>
        <v/>
      </c>
      <c r="P1170" s="28">
        <f>IFERROR(INDEX(MgAmenDegC,MATCH(SUBSTITUTE($H1170,"*","-"),MgAmenClave,0)),"No aplica")</f>
        <v/>
      </c>
      <c r="Q1170" s="29">
        <f>IFERROR(VLOOKUP(K1170,MgValor,2,0)*VLOOKUP(N1170,MgDeg,2,0),0)</f>
        <v/>
      </c>
      <c r="R1170" s="29">
        <f>IFERROR(VLOOKUP(L1170,MgValor,2,0)*VLOOKUP(O1170,MgDeg,2,0),0)</f>
        <v/>
      </c>
      <c r="S1170" s="29">
        <f>IFERROR(VLOOKUP(M1170,MgValor,2,0)*VLOOKUP(P1170,MgDeg,2,0),0)</f>
        <v/>
      </c>
      <c r="T1170" s="30">
        <f>MAX(Q1170:S1170)</f>
        <v/>
      </c>
      <c r="U1170" s="28">
        <f>IFERROR(LOOKUP(T1170,{0;0.5;1.5;3;4.5},{"Despreciable";"Bajo";"Medio";"Alto";"Muy alto"}),"")</f>
        <v/>
      </c>
      <c r="V1170" s="13">
        <f>IFERROR(INDEX(MgAmenFrec,MATCH(SUBSTITUTE($H1170,"*","-"),MgAmenClave,0)),"")</f>
        <v/>
      </c>
      <c r="W1170" s="28">
        <f>IFERROR(LOOKUP(X1170,{0;0.01;0.1;1;10;100},{"Muy baja";"Muy baja";"Baja";"Media";"Alta";"Muy alta"}),"")</f>
        <v/>
      </c>
      <c r="X1170" s="31">
        <f>IFERROR(VLOOKUP(V1170,MgFrec,2,0),0)</f>
        <v/>
      </c>
      <c r="Y1170" s="30">
        <f>T1170*X1170</f>
        <v/>
      </c>
      <c r="Z1170" s="28">
        <f>IFERROR(LOOKUP(Y1170,{0;0.5;5;25},{"Bajo";"Medio";"Alto";"Crítico"}),"")</f>
        <v/>
      </c>
      <c r="AA1170" s="64">
        <f>IF(T1170&gt;=3,IF(X1170&gt;=1,"Zona 1 — Crítica: impacto alto y ocurre al menos una vez al año","Zona 4 — Catastrófica poco probable: impacto alto pero excepcional"),IF(AND(T1170&lt;1.5,X1170&lt;1),"Zona 3 — Asumible: impacto bajo y muy poco frecuente","Zona 2 — Atención: riesgo intermedio"))</f>
        <v/>
      </c>
      <c r="AB1170" s="64">
        <f>IFERROR(INDEX(MgAmenCtrl,MATCH(SUBSTITUTE($H1170,"*","-"),MgAmenClave,0)),"")</f>
        <v/>
      </c>
      <c r="AC1170" s="20" t="n"/>
      <c r="AD1170" s="31">
        <f>IFERROR($X1170*(1-IF($AC1170="",$AL1170,VLOOKUP($AC1170,MgMad,2,0))),"")</f>
        <v/>
      </c>
      <c r="AE1170" s="28">
        <f>IFERROR(LOOKUP(AD1170,{0;0.01;0.1;1;10;100},{"Muy baja";"Muy baja";"Baja";"Media";"Alta";"Muy alta"}),"")</f>
        <v/>
      </c>
      <c r="AF1170" s="30">
        <f>T1170*AD1170</f>
        <v/>
      </c>
      <c r="AG1170" s="28">
        <f>IFERROR(LOOKUP(AF1170,{0;0.5;5;25},{"Bajo";"Medio";"Alto";"Crítico"}),"")</f>
        <v/>
      </c>
      <c r="AH1170" s="28">
        <f>IF(AG1170="","",IF(OR(AG1170="Crítico",AG1170="Alto"),"Mitigar",IF(AG1170="Medio","Mitigar","Aceptar y monitorear")))</f>
        <v/>
      </c>
      <c r="AI1170" s="21" t="n"/>
      <c r="AJ1170" s="21" t="n"/>
      <c r="AK1170" s="20" t="n"/>
      <c r="AL1170" s="77">
        <f>IFERROR(INDEX(MgAmenEfic,MATCH(SUBSTITUTE($H1170,"*","-"),MgAmenClave,0)),0)</f>
        <v/>
      </c>
    </row>
    <row r="1171" hidden="1" ht="90" customHeight="1" s="54">
      <c r="B1171" s="59" t="inlineStr">
        <is>
          <t>R-1166</t>
        </is>
      </c>
      <c r="C1171" s="59" t="inlineStr">
        <is>
          <t>GH-009</t>
        </is>
      </c>
      <c r="D1171" s="64">
        <f>IFERROR(INDEX(MgNombre,MATCH($C1171,MgActId,0)),"")</f>
        <v/>
      </c>
      <c r="E1171" s="64">
        <f>IFERROR(INDEX(MgProceso,MATCH($C1171,MgActId,0)),"")</f>
        <v/>
      </c>
      <c r="F1171" s="64">
        <f>IFERROR(INDEX(MgTipo,MATCH($C1171,MgActId,0)),"")</f>
        <v/>
      </c>
      <c r="G1171" s="64">
        <f>IFERROR(INDEX(MgSubtipo,MATCH($C1171,MgActId,0)),"")</f>
        <v/>
      </c>
      <c r="H1171" s="59" t="inlineStr">
        <is>
          <t>E.14</t>
        </is>
      </c>
      <c r="I1171" s="64">
        <f>IFERROR(INDEX(MgAmenNombre,MATCH(SUBSTITUTE($H1171,"*","-"),MgAmenClave,0)),"")</f>
        <v/>
      </c>
      <c r="J1171" s="28">
        <f>IFERROR(INDEX(MgAmenGrupo,MATCH(SUBSTITUTE($H1171,"*","-"),MgAmenClave,0)),"")</f>
        <v/>
      </c>
      <c r="K1171" s="64">
        <f>IFERROR(INDEX('1. Matriz de Activos'!$Q$6:$Q$239,MATCH($C1171,MgActId,0)),"")</f>
        <v/>
      </c>
      <c r="L1171" s="64">
        <f>IFERROR(INDEX('1. Matriz de Activos'!$R$6:$R$239,MATCH($C1171,MgActId,0)),"")</f>
        <v/>
      </c>
      <c r="M1171" s="64">
        <f>IFERROR(INDEX('1. Matriz de Activos'!$S$6:$S$239,MATCH($C1171,MgActId,0)),"")</f>
        <v/>
      </c>
      <c r="N1171" s="28">
        <f>IFERROR(INDEX(MgAmenDegD,MATCH(SUBSTITUTE($H1171,"*","-"),MgAmenClave,0)),"No aplica")</f>
        <v/>
      </c>
      <c r="O1171" s="28">
        <f>IFERROR(INDEX(MgAmenDegI,MATCH(SUBSTITUTE($H1171,"*","-"),MgAmenClave,0)),"No aplica")</f>
        <v/>
      </c>
      <c r="P1171" s="28">
        <f>IFERROR(INDEX(MgAmenDegC,MATCH(SUBSTITUTE($H1171,"*","-"),MgAmenClave,0)),"No aplica")</f>
        <v/>
      </c>
      <c r="Q1171" s="29">
        <f>IFERROR(VLOOKUP(K1171,MgValor,2,0)*VLOOKUP(N1171,MgDeg,2,0),0)</f>
        <v/>
      </c>
      <c r="R1171" s="29">
        <f>IFERROR(VLOOKUP(L1171,MgValor,2,0)*VLOOKUP(O1171,MgDeg,2,0),0)</f>
        <v/>
      </c>
      <c r="S1171" s="29">
        <f>IFERROR(VLOOKUP(M1171,MgValor,2,0)*VLOOKUP(P1171,MgDeg,2,0),0)</f>
        <v/>
      </c>
      <c r="T1171" s="30">
        <f>MAX(Q1171:S1171)</f>
        <v/>
      </c>
      <c r="U1171" s="28">
        <f>IFERROR(LOOKUP(T1171,{0;0.5;1.5;3;4.5},{"Despreciable";"Bajo";"Medio";"Alto";"Muy alto"}),"")</f>
        <v/>
      </c>
      <c r="V1171" s="13">
        <f>IFERROR(INDEX(MgAmenFrec,MATCH(SUBSTITUTE($H1171,"*","-"),MgAmenClave,0)),"")</f>
        <v/>
      </c>
      <c r="W1171" s="28">
        <f>IFERROR(LOOKUP(X1171,{0;0.01;0.1;1;10;100},{"Muy baja";"Muy baja";"Baja";"Media";"Alta";"Muy alta"}),"")</f>
        <v/>
      </c>
      <c r="X1171" s="31">
        <f>IFERROR(VLOOKUP(V1171,MgFrec,2,0),0)</f>
        <v/>
      </c>
      <c r="Y1171" s="30">
        <f>T1171*X1171</f>
        <v/>
      </c>
      <c r="Z1171" s="28">
        <f>IFERROR(LOOKUP(Y1171,{0;0.5;5;25},{"Bajo";"Medio";"Alto";"Crítico"}),"")</f>
        <v/>
      </c>
      <c r="AA1171" s="64">
        <f>IF(T1171&gt;=3,IF(X1171&gt;=1,"Zona 1 — Crítica: impacto alto y ocurre al menos una vez al año","Zona 4 — Catastrófica poco probable: impacto alto pero excepcional"),IF(AND(T1171&lt;1.5,X1171&lt;1),"Zona 3 — Asumible: impacto bajo y muy poco frecuente","Zona 2 — Atención: riesgo intermedio"))</f>
        <v/>
      </c>
      <c r="AB1171" s="64">
        <f>IFERROR(INDEX(MgAmenCtrl,MATCH(SUBSTITUTE($H1171,"*","-"),MgAmenClave,0)),"")</f>
        <v/>
      </c>
      <c r="AC1171" s="20" t="n"/>
      <c r="AD1171" s="31">
        <f>IFERROR($X1171*(1-IF($AC1171="",$AL1171,VLOOKUP($AC1171,MgMad,2,0))),"")</f>
        <v/>
      </c>
      <c r="AE1171" s="28">
        <f>IFERROR(LOOKUP(AD1171,{0;0.01;0.1;1;10;100},{"Muy baja";"Muy baja";"Baja";"Media";"Alta";"Muy alta"}),"")</f>
        <v/>
      </c>
      <c r="AF1171" s="30">
        <f>T1171*AD1171</f>
        <v/>
      </c>
      <c r="AG1171" s="28">
        <f>IFERROR(LOOKUP(AF1171,{0;0.5;5;25},{"Bajo";"Medio";"Alto";"Crítico"}),"")</f>
        <v/>
      </c>
      <c r="AH1171" s="28">
        <f>IF(AG1171="","",IF(OR(AG1171="Crítico",AG1171="Alto"),"Mitigar",IF(AG1171="Medio","Mitigar","Aceptar y monitorear")))</f>
        <v/>
      </c>
      <c r="AI1171" s="21" t="n"/>
      <c r="AJ1171" s="21" t="n"/>
      <c r="AK1171" s="20" t="n"/>
      <c r="AL1171" s="77">
        <f>IFERROR(INDEX(MgAmenEfic,MATCH(SUBSTITUTE($H1171,"*","-"),MgAmenClave,0)),0)</f>
        <v/>
      </c>
    </row>
    <row r="1172" hidden="1" ht="90" customHeight="1" s="54">
      <c r="B1172" s="59" t="inlineStr">
        <is>
          <t>R-1167</t>
        </is>
      </c>
      <c r="C1172" s="59" t="inlineStr">
        <is>
          <t>GH-009</t>
        </is>
      </c>
      <c r="D1172" s="64">
        <f>IFERROR(INDEX(MgNombre,MATCH($C1172,MgActId,0)),"")</f>
        <v/>
      </c>
      <c r="E1172" s="64">
        <f>IFERROR(INDEX(MgProceso,MATCH($C1172,MgActId,0)),"")</f>
        <v/>
      </c>
      <c r="F1172" s="64">
        <f>IFERROR(INDEX(MgTipo,MATCH($C1172,MgActId,0)),"")</f>
        <v/>
      </c>
      <c r="G1172" s="64">
        <f>IFERROR(INDEX(MgSubtipo,MATCH($C1172,MgActId,0)),"")</f>
        <v/>
      </c>
      <c r="H1172" s="59" t="inlineStr">
        <is>
          <t>E.15</t>
        </is>
      </c>
      <c r="I1172" s="64">
        <f>IFERROR(INDEX(MgAmenNombre,MATCH(SUBSTITUTE($H1172,"*","-"),MgAmenClave,0)),"")</f>
        <v/>
      </c>
      <c r="J1172" s="28">
        <f>IFERROR(INDEX(MgAmenGrupo,MATCH(SUBSTITUTE($H1172,"*","-"),MgAmenClave,0)),"")</f>
        <v/>
      </c>
      <c r="K1172" s="64">
        <f>IFERROR(INDEX('1. Matriz de Activos'!$Q$6:$Q$239,MATCH($C1172,MgActId,0)),"")</f>
        <v/>
      </c>
      <c r="L1172" s="64">
        <f>IFERROR(INDEX('1. Matriz de Activos'!$R$6:$R$239,MATCH($C1172,MgActId,0)),"")</f>
        <v/>
      </c>
      <c r="M1172" s="64">
        <f>IFERROR(INDEX('1. Matriz de Activos'!$S$6:$S$239,MATCH($C1172,MgActId,0)),"")</f>
        <v/>
      </c>
      <c r="N1172" s="28">
        <f>IFERROR(INDEX(MgAmenDegD,MATCH(SUBSTITUTE($H1172,"*","-"),MgAmenClave,0)),"No aplica")</f>
        <v/>
      </c>
      <c r="O1172" s="28">
        <f>IFERROR(INDEX(MgAmenDegI,MATCH(SUBSTITUTE($H1172,"*","-"),MgAmenClave,0)),"No aplica")</f>
        <v/>
      </c>
      <c r="P1172" s="28">
        <f>IFERROR(INDEX(MgAmenDegC,MATCH(SUBSTITUTE($H1172,"*","-"),MgAmenClave,0)),"No aplica")</f>
        <v/>
      </c>
      <c r="Q1172" s="29">
        <f>IFERROR(VLOOKUP(K1172,MgValor,2,0)*VLOOKUP(N1172,MgDeg,2,0),0)</f>
        <v/>
      </c>
      <c r="R1172" s="29">
        <f>IFERROR(VLOOKUP(L1172,MgValor,2,0)*VLOOKUP(O1172,MgDeg,2,0),0)</f>
        <v/>
      </c>
      <c r="S1172" s="29">
        <f>IFERROR(VLOOKUP(M1172,MgValor,2,0)*VLOOKUP(P1172,MgDeg,2,0),0)</f>
        <v/>
      </c>
      <c r="T1172" s="30">
        <f>MAX(Q1172:S1172)</f>
        <v/>
      </c>
      <c r="U1172" s="28">
        <f>IFERROR(LOOKUP(T1172,{0;0.5;1.5;3;4.5},{"Despreciable";"Bajo";"Medio";"Alto";"Muy alto"}),"")</f>
        <v/>
      </c>
      <c r="V1172" s="13">
        <f>IFERROR(INDEX(MgAmenFrec,MATCH(SUBSTITUTE($H1172,"*","-"),MgAmenClave,0)),"")</f>
        <v/>
      </c>
      <c r="W1172" s="28">
        <f>IFERROR(LOOKUP(X1172,{0;0.01;0.1;1;10;100},{"Muy baja";"Muy baja";"Baja";"Media";"Alta";"Muy alta"}),"")</f>
        <v/>
      </c>
      <c r="X1172" s="31">
        <f>IFERROR(VLOOKUP(V1172,MgFrec,2,0),0)</f>
        <v/>
      </c>
      <c r="Y1172" s="30">
        <f>T1172*X1172</f>
        <v/>
      </c>
      <c r="Z1172" s="28">
        <f>IFERROR(LOOKUP(Y1172,{0;0.5;5;25},{"Bajo";"Medio";"Alto";"Crítico"}),"")</f>
        <v/>
      </c>
      <c r="AA1172" s="64">
        <f>IF(T1172&gt;=3,IF(X1172&gt;=1,"Zona 1 — Crítica: impacto alto y ocurre al menos una vez al año","Zona 4 — Catastrófica poco probable: impacto alto pero excepcional"),IF(AND(T1172&lt;1.5,X1172&lt;1),"Zona 3 — Asumible: impacto bajo y muy poco frecuente","Zona 2 — Atención: riesgo intermedio"))</f>
        <v/>
      </c>
      <c r="AB1172" s="64">
        <f>IFERROR(INDEX(MgAmenCtrl,MATCH(SUBSTITUTE($H1172,"*","-"),MgAmenClave,0)),"")</f>
        <v/>
      </c>
      <c r="AC1172" s="20" t="n"/>
      <c r="AD1172" s="31">
        <f>IFERROR($X1172*(1-IF($AC1172="",$AL1172,VLOOKUP($AC1172,MgMad,2,0))),"")</f>
        <v/>
      </c>
      <c r="AE1172" s="28">
        <f>IFERROR(LOOKUP(AD1172,{0;0.01;0.1;1;10;100},{"Muy baja";"Muy baja";"Baja";"Media";"Alta";"Muy alta"}),"")</f>
        <v/>
      </c>
      <c r="AF1172" s="30">
        <f>T1172*AD1172</f>
        <v/>
      </c>
      <c r="AG1172" s="28">
        <f>IFERROR(LOOKUP(AF1172,{0;0.5;5;25},{"Bajo";"Medio";"Alto";"Crítico"}),"")</f>
        <v/>
      </c>
      <c r="AH1172" s="28">
        <f>IF(AG1172="","",IF(OR(AG1172="Crítico",AG1172="Alto"),"Mitigar",IF(AG1172="Medio","Mitigar","Aceptar y monitorear")))</f>
        <v/>
      </c>
      <c r="AI1172" s="21" t="n"/>
      <c r="AJ1172" s="21" t="n"/>
      <c r="AK1172" s="20" t="n"/>
      <c r="AL1172" s="77">
        <f>IFERROR(INDEX(MgAmenEfic,MATCH(SUBSTITUTE($H1172,"*","-"),MgAmenClave,0)),0)</f>
        <v/>
      </c>
    </row>
    <row r="1173" hidden="1" ht="60" customHeight="1" s="54">
      <c r="B1173" s="59" t="inlineStr">
        <is>
          <t>R-1168</t>
        </is>
      </c>
      <c r="C1173" s="59" t="inlineStr">
        <is>
          <t>GH-009</t>
        </is>
      </c>
      <c r="D1173" s="64">
        <f>IFERROR(INDEX(MgNombre,MATCH($C1173,MgActId,0)),"")</f>
        <v/>
      </c>
      <c r="E1173" s="64">
        <f>IFERROR(INDEX(MgProceso,MATCH($C1173,MgActId,0)),"")</f>
        <v/>
      </c>
      <c r="F1173" s="64">
        <f>IFERROR(INDEX(MgTipo,MATCH($C1173,MgActId,0)),"")</f>
        <v/>
      </c>
      <c r="G1173" s="64">
        <f>IFERROR(INDEX(MgSubtipo,MATCH($C1173,MgActId,0)),"")</f>
        <v/>
      </c>
      <c r="H1173" s="59" t="inlineStr">
        <is>
          <t>E.18</t>
        </is>
      </c>
      <c r="I1173" s="64">
        <f>IFERROR(INDEX(MgAmenNombre,MATCH(SUBSTITUTE($H1173,"*","-"),MgAmenClave,0)),"")</f>
        <v/>
      </c>
      <c r="J1173" s="28">
        <f>IFERROR(INDEX(MgAmenGrupo,MATCH(SUBSTITUTE($H1173,"*","-"),MgAmenClave,0)),"")</f>
        <v/>
      </c>
      <c r="K1173" s="64">
        <f>IFERROR(INDEX('1. Matriz de Activos'!$Q$6:$Q$239,MATCH($C1173,MgActId,0)),"")</f>
        <v/>
      </c>
      <c r="L1173" s="64">
        <f>IFERROR(INDEX('1. Matriz de Activos'!$R$6:$R$239,MATCH($C1173,MgActId,0)),"")</f>
        <v/>
      </c>
      <c r="M1173" s="64">
        <f>IFERROR(INDEX('1. Matriz de Activos'!$S$6:$S$239,MATCH($C1173,MgActId,0)),"")</f>
        <v/>
      </c>
      <c r="N1173" s="28">
        <f>IFERROR(INDEX(MgAmenDegD,MATCH(SUBSTITUTE($H1173,"*","-"),MgAmenClave,0)),"No aplica")</f>
        <v/>
      </c>
      <c r="O1173" s="28">
        <f>IFERROR(INDEX(MgAmenDegI,MATCH(SUBSTITUTE($H1173,"*","-"),MgAmenClave,0)),"No aplica")</f>
        <v/>
      </c>
      <c r="P1173" s="28">
        <f>IFERROR(INDEX(MgAmenDegC,MATCH(SUBSTITUTE($H1173,"*","-"),MgAmenClave,0)),"No aplica")</f>
        <v/>
      </c>
      <c r="Q1173" s="29">
        <f>IFERROR(VLOOKUP(K1173,MgValor,2,0)*VLOOKUP(N1173,MgDeg,2,0),0)</f>
        <v/>
      </c>
      <c r="R1173" s="29">
        <f>IFERROR(VLOOKUP(L1173,MgValor,2,0)*VLOOKUP(O1173,MgDeg,2,0),0)</f>
        <v/>
      </c>
      <c r="S1173" s="29">
        <f>IFERROR(VLOOKUP(M1173,MgValor,2,0)*VLOOKUP(P1173,MgDeg,2,0),0)</f>
        <v/>
      </c>
      <c r="T1173" s="30">
        <f>MAX(Q1173:S1173)</f>
        <v/>
      </c>
      <c r="U1173" s="28">
        <f>IFERROR(LOOKUP(T1173,{0;0.5;1.5;3;4.5},{"Despreciable";"Bajo";"Medio";"Alto";"Muy alto"}),"")</f>
        <v/>
      </c>
      <c r="V1173" s="13">
        <f>IFERROR(INDEX(MgAmenFrec,MATCH(SUBSTITUTE($H1173,"*","-"),MgAmenClave,0)),"")</f>
        <v/>
      </c>
      <c r="W1173" s="28">
        <f>IFERROR(LOOKUP(X1173,{0;0.01;0.1;1;10;100},{"Muy baja";"Muy baja";"Baja";"Media";"Alta";"Muy alta"}),"")</f>
        <v/>
      </c>
      <c r="X1173" s="31">
        <f>IFERROR(VLOOKUP(V1173,MgFrec,2,0),0)</f>
        <v/>
      </c>
      <c r="Y1173" s="30">
        <f>T1173*X1173</f>
        <v/>
      </c>
      <c r="Z1173" s="28">
        <f>IFERROR(LOOKUP(Y1173,{0;0.5;5;25},{"Bajo";"Medio";"Alto";"Crítico"}),"")</f>
        <v/>
      </c>
      <c r="AA1173" s="64">
        <f>IF(T1173&gt;=3,IF(X1173&gt;=1,"Zona 1 — Crítica: impacto alto y ocurre al menos una vez al año","Zona 4 — Catastrófica poco probable: impacto alto pero excepcional"),IF(AND(T1173&lt;1.5,X1173&lt;1),"Zona 3 — Asumible: impacto bajo y muy poco frecuente","Zona 2 — Atención: riesgo intermedio"))</f>
        <v/>
      </c>
      <c r="AB1173" s="64">
        <f>IFERROR(INDEX(MgAmenCtrl,MATCH(SUBSTITUTE($H1173,"*","-"),MgAmenClave,0)),"")</f>
        <v/>
      </c>
      <c r="AC1173" s="20" t="n"/>
      <c r="AD1173" s="31">
        <f>IFERROR($X1173*(1-IF($AC1173="",$AL1173,VLOOKUP($AC1173,MgMad,2,0))),"")</f>
        <v/>
      </c>
      <c r="AE1173" s="28">
        <f>IFERROR(LOOKUP(AD1173,{0;0.01;0.1;1;10;100},{"Muy baja";"Muy baja";"Baja";"Media";"Alta";"Muy alta"}),"")</f>
        <v/>
      </c>
      <c r="AF1173" s="30">
        <f>T1173*AD1173</f>
        <v/>
      </c>
      <c r="AG1173" s="28">
        <f>IFERROR(LOOKUP(AF1173,{0;0.5;5;25},{"Bajo";"Medio";"Alto";"Crítico"}),"")</f>
        <v/>
      </c>
      <c r="AH1173" s="28">
        <f>IF(AG1173="","",IF(OR(AG1173="Crítico",AG1173="Alto"),"Mitigar",IF(AG1173="Medio","Mitigar","Aceptar y monitorear")))</f>
        <v/>
      </c>
      <c r="AI1173" s="21" t="n"/>
      <c r="AJ1173" s="21" t="n"/>
      <c r="AK1173" s="20" t="n"/>
      <c r="AL1173" s="77">
        <f>IFERROR(INDEX(MgAmenEfic,MATCH(SUBSTITUTE($H1173,"*","-"),MgAmenClave,0)),0)</f>
        <v/>
      </c>
    </row>
    <row r="1174" hidden="1" ht="105" customHeight="1" s="54">
      <c r="B1174" s="59" t="inlineStr">
        <is>
          <t>R-1169</t>
        </is>
      </c>
      <c r="C1174" s="59" t="inlineStr">
        <is>
          <t>GH-009</t>
        </is>
      </c>
      <c r="D1174" s="64">
        <f>IFERROR(INDEX(MgNombre,MATCH($C1174,MgActId,0)),"")</f>
        <v/>
      </c>
      <c r="E1174" s="64">
        <f>IFERROR(INDEX(MgProceso,MATCH($C1174,MgActId,0)),"")</f>
        <v/>
      </c>
      <c r="F1174" s="64">
        <f>IFERROR(INDEX(MgTipo,MATCH($C1174,MgActId,0)),"")</f>
        <v/>
      </c>
      <c r="G1174" s="64">
        <f>IFERROR(INDEX(MgSubtipo,MATCH($C1174,MgActId,0)),"")</f>
        <v/>
      </c>
      <c r="H1174" s="59" t="inlineStr">
        <is>
          <t>E.19</t>
        </is>
      </c>
      <c r="I1174" s="64">
        <f>IFERROR(INDEX(MgAmenNombre,MATCH(SUBSTITUTE($H1174,"*","-"),MgAmenClave,0)),"")</f>
        <v/>
      </c>
      <c r="J1174" s="28">
        <f>IFERROR(INDEX(MgAmenGrupo,MATCH(SUBSTITUTE($H1174,"*","-"),MgAmenClave,0)),"")</f>
        <v/>
      </c>
      <c r="K1174" s="64">
        <f>IFERROR(INDEX('1. Matriz de Activos'!$Q$6:$Q$239,MATCH($C1174,MgActId,0)),"")</f>
        <v/>
      </c>
      <c r="L1174" s="64">
        <f>IFERROR(INDEX('1. Matriz de Activos'!$R$6:$R$239,MATCH($C1174,MgActId,0)),"")</f>
        <v/>
      </c>
      <c r="M1174" s="64">
        <f>IFERROR(INDEX('1. Matriz de Activos'!$S$6:$S$239,MATCH($C1174,MgActId,0)),"")</f>
        <v/>
      </c>
      <c r="N1174" s="28">
        <f>IFERROR(INDEX(MgAmenDegD,MATCH(SUBSTITUTE($H1174,"*","-"),MgAmenClave,0)),"No aplica")</f>
        <v/>
      </c>
      <c r="O1174" s="28">
        <f>IFERROR(INDEX(MgAmenDegI,MATCH(SUBSTITUTE($H1174,"*","-"),MgAmenClave,0)),"No aplica")</f>
        <v/>
      </c>
      <c r="P1174" s="28">
        <f>IFERROR(INDEX(MgAmenDegC,MATCH(SUBSTITUTE($H1174,"*","-"),MgAmenClave,0)),"No aplica")</f>
        <v/>
      </c>
      <c r="Q1174" s="29">
        <f>IFERROR(VLOOKUP(K1174,MgValor,2,0)*VLOOKUP(N1174,MgDeg,2,0),0)</f>
        <v/>
      </c>
      <c r="R1174" s="29">
        <f>IFERROR(VLOOKUP(L1174,MgValor,2,0)*VLOOKUP(O1174,MgDeg,2,0),0)</f>
        <v/>
      </c>
      <c r="S1174" s="29">
        <f>IFERROR(VLOOKUP(M1174,MgValor,2,0)*VLOOKUP(P1174,MgDeg,2,0),0)</f>
        <v/>
      </c>
      <c r="T1174" s="30">
        <f>MAX(Q1174:S1174)</f>
        <v/>
      </c>
      <c r="U1174" s="28">
        <f>IFERROR(LOOKUP(T1174,{0;0.5;1.5;3;4.5},{"Despreciable";"Bajo";"Medio";"Alto";"Muy alto"}),"")</f>
        <v/>
      </c>
      <c r="V1174" s="13">
        <f>IFERROR(INDEX(MgAmenFrec,MATCH(SUBSTITUTE($H1174,"*","-"),MgAmenClave,0)),"")</f>
        <v/>
      </c>
      <c r="W1174" s="28">
        <f>IFERROR(LOOKUP(X1174,{0;0.01;0.1;1;10;100},{"Muy baja";"Muy baja";"Baja";"Media";"Alta";"Muy alta"}),"")</f>
        <v/>
      </c>
      <c r="X1174" s="31">
        <f>IFERROR(VLOOKUP(V1174,MgFrec,2,0),0)</f>
        <v/>
      </c>
      <c r="Y1174" s="30">
        <f>T1174*X1174</f>
        <v/>
      </c>
      <c r="Z1174" s="28">
        <f>IFERROR(LOOKUP(Y1174,{0;0.5;5;25},{"Bajo";"Medio";"Alto";"Crítico"}),"")</f>
        <v/>
      </c>
      <c r="AA1174" s="64">
        <f>IF(T1174&gt;=3,IF(X1174&gt;=1,"Zona 1 — Crítica: impacto alto y ocurre al menos una vez al año","Zona 4 — Catastrófica poco probable: impacto alto pero excepcional"),IF(AND(T1174&lt;1.5,X1174&lt;1),"Zona 3 — Asumible: impacto bajo y muy poco frecuente","Zona 2 — Atención: riesgo intermedio"))</f>
        <v/>
      </c>
      <c r="AB1174" s="64">
        <f>IFERROR(INDEX(MgAmenCtrl,MATCH(SUBSTITUTE($H1174,"*","-"),MgAmenClave,0)),"")</f>
        <v/>
      </c>
      <c r="AC1174" s="20" t="n"/>
      <c r="AD1174" s="31">
        <f>IFERROR($X1174*(1-IF($AC1174="",$AL1174,VLOOKUP($AC1174,MgMad,2,0))),"")</f>
        <v/>
      </c>
      <c r="AE1174" s="28">
        <f>IFERROR(LOOKUP(AD1174,{0;0.01;0.1;1;10;100},{"Muy baja";"Muy baja";"Baja";"Media";"Alta";"Muy alta"}),"")</f>
        <v/>
      </c>
      <c r="AF1174" s="30">
        <f>T1174*AD1174</f>
        <v/>
      </c>
      <c r="AG1174" s="28">
        <f>IFERROR(LOOKUP(AF1174,{0;0.5;5;25},{"Bajo";"Medio";"Alto";"Crítico"}),"")</f>
        <v/>
      </c>
      <c r="AH1174" s="28">
        <f>IF(AG1174="","",IF(OR(AG1174="Crítico",AG1174="Alto"),"Mitigar",IF(AG1174="Medio","Mitigar","Aceptar y monitorear")))</f>
        <v/>
      </c>
      <c r="AI1174" s="21" t="n"/>
      <c r="AJ1174" s="21" t="n"/>
      <c r="AK1174" s="20" t="n"/>
      <c r="AL1174" s="77">
        <f>IFERROR(INDEX(MgAmenEfic,MATCH(SUBSTITUTE($H1174,"*","-"),MgAmenClave,0)),0)</f>
        <v/>
      </c>
    </row>
    <row r="1175" hidden="1" ht="60" customHeight="1" s="54">
      <c r="B1175" s="59" t="inlineStr">
        <is>
          <t>R-1170</t>
        </is>
      </c>
      <c r="C1175" s="59" t="inlineStr">
        <is>
          <t>GH-009</t>
        </is>
      </c>
      <c r="D1175" s="64">
        <f>IFERROR(INDEX(MgNombre,MATCH($C1175,MgActId,0)),"")</f>
        <v/>
      </c>
      <c r="E1175" s="64">
        <f>IFERROR(INDEX(MgProceso,MATCH($C1175,MgActId,0)),"")</f>
        <v/>
      </c>
      <c r="F1175" s="64">
        <f>IFERROR(INDEX(MgTipo,MATCH($C1175,MgActId,0)),"")</f>
        <v/>
      </c>
      <c r="G1175" s="64">
        <f>IFERROR(INDEX(MgSubtipo,MATCH($C1175,MgActId,0)),"")</f>
        <v/>
      </c>
      <c r="H1175" s="59" t="inlineStr">
        <is>
          <t>A.3</t>
        </is>
      </c>
      <c r="I1175" s="64">
        <f>IFERROR(INDEX(MgAmenNombre,MATCH(SUBSTITUTE($H1175,"*","-"),MgAmenClave,0)),"")</f>
        <v/>
      </c>
      <c r="J1175" s="28">
        <f>IFERROR(INDEX(MgAmenGrupo,MATCH(SUBSTITUTE($H1175,"*","-"),MgAmenClave,0)),"")</f>
        <v/>
      </c>
      <c r="K1175" s="64">
        <f>IFERROR(INDEX('1. Matriz de Activos'!$Q$6:$Q$239,MATCH($C1175,MgActId,0)),"")</f>
        <v/>
      </c>
      <c r="L1175" s="64">
        <f>IFERROR(INDEX('1. Matriz de Activos'!$R$6:$R$239,MATCH($C1175,MgActId,0)),"")</f>
        <v/>
      </c>
      <c r="M1175" s="64">
        <f>IFERROR(INDEX('1. Matriz de Activos'!$S$6:$S$239,MATCH($C1175,MgActId,0)),"")</f>
        <v/>
      </c>
      <c r="N1175" s="28">
        <f>IFERROR(INDEX(MgAmenDegD,MATCH(SUBSTITUTE($H1175,"*","-"),MgAmenClave,0)),"No aplica")</f>
        <v/>
      </c>
      <c r="O1175" s="28">
        <f>IFERROR(INDEX(MgAmenDegI,MATCH(SUBSTITUTE($H1175,"*","-"),MgAmenClave,0)),"No aplica")</f>
        <v/>
      </c>
      <c r="P1175" s="28">
        <f>IFERROR(INDEX(MgAmenDegC,MATCH(SUBSTITUTE($H1175,"*","-"),MgAmenClave,0)),"No aplica")</f>
        <v/>
      </c>
      <c r="Q1175" s="29">
        <f>IFERROR(VLOOKUP(K1175,MgValor,2,0)*VLOOKUP(N1175,MgDeg,2,0),0)</f>
        <v/>
      </c>
      <c r="R1175" s="29">
        <f>IFERROR(VLOOKUP(L1175,MgValor,2,0)*VLOOKUP(O1175,MgDeg,2,0),0)</f>
        <v/>
      </c>
      <c r="S1175" s="29">
        <f>IFERROR(VLOOKUP(M1175,MgValor,2,0)*VLOOKUP(P1175,MgDeg,2,0),0)</f>
        <v/>
      </c>
      <c r="T1175" s="30">
        <f>MAX(Q1175:S1175)</f>
        <v/>
      </c>
      <c r="U1175" s="28">
        <f>IFERROR(LOOKUP(T1175,{0;0.5;1.5;3;4.5},{"Despreciable";"Bajo";"Medio";"Alto";"Muy alto"}),"")</f>
        <v/>
      </c>
      <c r="V1175" s="13">
        <f>IFERROR(INDEX(MgAmenFrec,MATCH(SUBSTITUTE($H1175,"*","-"),MgAmenClave,0)),"")</f>
        <v/>
      </c>
      <c r="W1175" s="28">
        <f>IFERROR(LOOKUP(X1175,{0;0.01;0.1;1;10;100},{"Muy baja";"Muy baja";"Baja";"Media";"Alta";"Muy alta"}),"")</f>
        <v/>
      </c>
      <c r="X1175" s="31">
        <f>IFERROR(VLOOKUP(V1175,MgFrec,2,0),0)</f>
        <v/>
      </c>
      <c r="Y1175" s="30">
        <f>T1175*X1175</f>
        <v/>
      </c>
      <c r="Z1175" s="28">
        <f>IFERROR(LOOKUP(Y1175,{0;0.5;5;25},{"Bajo";"Medio";"Alto";"Crítico"}),"")</f>
        <v/>
      </c>
      <c r="AA1175" s="64">
        <f>IF(T1175&gt;=3,IF(X1175&gt;=1,"Zona 1 — Crítica: impacto alto y ocurre al menos una vez al año","Zona 4 — Catastrófica poco probable: impacto alto pero excepcional"),IF(AND(T1175&lt;1.5,X1175&lt;1),"Zona 3 — Asumible: impacto bajo y muy poco frecuente","Zona 2 — Atención: riesgo intermedio"))</f>
        <v/>
      </c>
      <c r="AB1175" s="64">
        <f>IFERROR(INDEX(MgAmenCtrl,MATCH(SUBSTITUTE($H1175,"*","-"),MgAmenClave,0)),"")</f>
        <v/>
      </c>
      <c r="AC1175" s="20" t="n"/>
      <c r="AD1175" s="31">
        <f>IFERROR($X1175*(1-IF($AC1175="",$AL1175,VLOOKUP($AC1175,MgMad,2,0))),"")</f>
        <v/>
      </c>
      <c r="AE1175" s="28">
        <f>IFERROR(LOOKUP(AD1175,{0;0.01;0.1;1;10;100},{"Muy baja";"Muy baja";"Baja";"Media";"Alta";"Muy alta"}),"")</f>
        <v/>
      </c>
      <c r="AF1175" s="30">
        <f>T1175*AD1175</f>
        <v/>
      </c>
      <c r="AG1175" s="28">
        <f>IFERROR(LOOKUP(AF1175,{0;0.5;5;25},{"Bajo";"Medio";"Alto";"Crítico"}),"")</f>
        <v/>
      </c>
      <c r="AH1175" s="28">
        <f>IF(AG1175="","",IF(OR(AG1175="Crítico",AG1175="Alto"),"Mitigar",IF(AG1175="Medio","Mitigar","Aceptar y monitorear")))</f>
        <v/>
      </c>
      <c r="AI1175" s="21" t="n"/>
      <c r="AJ1175" s="21" t="n"/>
      <c r="AK1175" s="20" t="n"/>
      <c r="AL1175" s="77">
        <f>IFERROR(INDEX(MgAmenEfic,MATCH(SUBSTITUTE($H1175,"*","-"),MgAmenClave,0)),0)</f>
        <v/>
      </c>
    </row>
    <row r="1176" hidden="1" ht="60" customHeight="1" s="54">
      <c r="B1176" s="59" t="inlineStr">
        <is>
          <t>R-1171</t>
        </is>
      </c>
      <c r="C1176" s="59" t="inlineStr">
        <is>
          <t>GH-009</t>
        </is>
      </c>
      <c r="D1176" s="64">
        <f>IFERROR(INDEX(MgNombre,MATCH($C1176,MgActId,0)),"")</f>
        <v/>
      </c>
      <c r="E1176" s="64">
        <f>IFERROR(INDEX(MgProceso,MATCH($C1176,MgActId,0)),"")</f>
        <v/>
      </c>
      <c r="F1176" s="64">
        <f>IFERROR(INDEX(MgTipo,MATCH($C1176,MgActId,0)),"")</f>
        <v/>
      </c>
      <c r="G1176" s="64">
        <f>IFERROR(INDEX(MgSubtipo,MATCH($C1176,MgActId,0)),"")</f>
        <v/>
      </c>
      <c r="H1176" s="59" t="inlineStr">
        <is>
          <t>A.4</t>
        </is>
      </c>
      <c r="I1176" s="64">
        <f>IFERROR(INDEX(MgAmenNombre,MATCH(SUBSTITUTE($H1176,"*","-"),MgAmenClave,0)),"")</f>
        <v/>
      </c>
      <c r="J1176" s="28">
        <f>IFERROR(INDEX(MgAmenGrupo,MATCH(SUBSTITUTE($H1176,"*","-"),MgAmenClave,0)),"")</f>
        <v/>
      </c>
      <c r="K1176" s="64">
        <f>IFERROR(INDEX('1. Matriz de Activos'!$Q$6:$Q$239,MATCH($C1176,MgActId,0)),"")</f>
        <v/>
      </c>
      <c r="L1176" s="64">
        <f>IFERROR(INDEX('1. Matriz de Activos'!$R$6:$R$239,MATCH($C1176,MgActId,0)),"")</f>
        <v/>
      </c>
      <c r="M1176" s="64">
        <f>IFERROR(INDEX('1. Matriz de Activos'!$S$6:$S$239,MATCH($C1176,MgActId,0)),"")</f>
        <v/>
      </c>
      <c r="N1176" s="28">
        <f>IFERROR(INDEX(MgAmenDegD,MATCH(SUBSTITUTE($H1176,"*","-"),MgAmenClave,0)),"No aplica")</f>
        <v/>
      </c>
      <c r="O1176" s="28">
        <f>IFERROR(INDEX(MgAmenDegI,MATCH(SUBSTITUTE($H1176,"*","-"),MgAmenClave,0)),"No aplica")</f>
        <v/>
      </c>
      <c r="P1176" s="28">
        <f>IFERROR(INDEX(MgAmenDegC,MATCH(SUBSTITUTE($H1176,"*","-"),MgAmenClave,0)),"No aplica")</f>
        <v/>
      </c>
      <c r="Q1176" s="29">
        <f>IFERROR(VLOOKUP(K1176,MgValor,2,0)*VLOOKUP(N1176,MgDeg,2,0),0)</f>
        <v/>
      </c>
      <c r="R1176" s="29">
        <f>IFERROR(VLOOKUP(L1176,MgValor,2,0)*VLOOKUP(O1176,MgDeg,2,0),0)</f>
        <v/>
      </c>
      <c r="S1176" s="29">
        <f>IFERROR(VLOOKUP(M1176,MgValor,2,0)*VLOOKUP(P1176,MgDeg,2,0),0)</f>
        <v/>
      </c>
      <c r="T1176" s="30">
        <f>MAX(Q1176:S1176)</f>
        <v/>
      </c>
      <c r="U1176" s="28">
        <f>IFERROR(LOOKUP(T1176,{0;0.5;1.5;3;4.5},{"Despreciable";"Bajo";"Medio";"Alto";"Muy alto"}),"")</f>
        <v/>
      </c>
      <c r="V1176" s="13">
        <f>IFERROR(INDEX(MgAmenFrec,MATCH(SUBSTITUTE($H1176,"*","-"),MgAmenClave,0)),"")</f>
        <v/>
      </c>
      <c r="W1176" s="28">
        <f>IFERROR(LOOKUP(X1176,{0;0.01;0.1;1;10;100},{"Muy baja";"Muy baja";"Baja";"Media";"Alta";"Muy alta"}),"")</f>
        <v/>
      </c>
      <c r="X1176" s="31">
        <f>IFERROR(VLOOKUP(V1176,MgFrec,2,0),0)</f>
        <v/>
      </c>
      <c r="Y1176" s="30">
        <f>T1176*X1176</f>
        <v/>
      </c>
      <c r="Z1176" s="28">
        <f>IFERROR(LOOKUP(Y1176,{0;0.5;5;25},{"Bajo";"Medio";"Alto";"Crítico"}),"")</f>
        <v/>
      </c>
      <c r="AA1176" s="64">
        <f>IF(T1176&gt;=3,IF(X1176&gt;=1,"Zona 1 — Crítica: impacto alto y ocurre al menos una vez al año","Zona 4 — Catastrófica poco probable: impacto alto pero excepcional"),IF(AND(T1176&lt;1.5,X1176&lt;1),"Zona 3 — Asumible: impacto bajo y muy poco frecuente","Zona 2 — Atención: riesgo intermedio"))</f>
        <v/>
      </c>
      <c r="AB1176" s="64">
        <f>IFERROR(INDEX(MgAmenCtrl,MATCH(SUBSTITUTE($H1176,"*","-"),MgAmenClave,0)),"")</f>
        <v/>
      </c>
      <c r="AC1176" s="20" t="n"/>
      <c r="AD1176" s="31">
        <f>IFERROR($X1176*(1-IF($AC1176="",$AL1176,VLOOKUP($AC1176,MgMad,2,0))),"")</f>
        <v/>
      </c>
      <c r="AE1176" s="28">
        <f>IFERROR(LOOKUP(AD1176,{0;0.01;0.1;1;10;100},{"Muy baja";"Muy baja";"Baja";"Media";"Alta";"Muy alta"}),"")</f>
        <v/>
      </c>
      <c r="AF1176" s="30">
        <f>T1176*AD1176</f>
        <v/>
      </c>
      <c r="AG1176" s="28">
        <f>IFERROR(LOOKUP(AF1176,{0;0.5;5;25},{"Bajo";"Medio";"Alto";"Crítico"}),"")</f>
        <v/>
      </c>
      <c r="AH1176" s="28">
        <f>IF(AG1176="","",IF(OR(AG1176="Crítico",AG1176="Alto"),"Mitigar",IF(AG1176="Medio","Mitigar","Aceptar y monitorear")))</f>
        <v/>
      </c>
      <c r="AI1176" s="21" t="n"/>
      <c r="AJ1176" s="21" t="n"/>
      <c r="AK1176" s="20" t="n"/>
      <c r="AL1176" s="77">
        <f>IFERROR(INDEX(MgAmenEfic,MATCH(SUBSTITUTE($H1176,"*","-"),MgAmenClave,0)),0)</f>
        <v/>
      </c>
    </row>
    <row r="1177" hidden="1" ht="75" customHeight="1" s="54">
      <c r="B1177" s="59" t="inlineStr">
        <is>
          <t>R-1172</t>
        </is>
      </c>
      <c r="C1177" s="59" t="inlineStr">
        <is>
          <t>GH-009</t>
        </is>
      </c>
      <c r="D1177" s="64">
        <f>IFERROR(INDEX(MgNombre,MATCH($C1177,MgActId,0)),"")</f>
        <v/>
      </c>
      <c r="E1177" s="64">
        <f>IFERROR(INDEX(MgProceso,MATCH($C1177,MgActId,0)),"")</f>
        <v/>
      </c>
      <c r="F1177" s="64">
        <f>IFERROR(INDEX(MgTipo,MATCH($C1177,MgActId,0)),"")</f>
        <v/>
      </c>
      <c r="G1177" s="64">
        <f>IFERROR(INDEX(MgSubtipo,MATCH($C1177,MgActId,0)),"")</f>
        <v/>
      </c>
      <c r="H1177" s="59" t="inlineStr">
        <is>
          <t>A.5</t>
        </is>
      </c>
      <c r="I1177" s="64">
        <f>IFERROR(INDEX(MgAmenNombre,MATCH(SUBSTITUTE($H1177,"*","-"),MgAmenClave,0)),"")</f>
        <v/>
      </c>
      <c r="J1177" s="28">
        <f>IFERROR(INDEX(MgAmenGrupo,MATCH(SUBSTITUTE($H1177,"*","-"),MgAmenClave,0)),"")</f>
        <v/>
      </c>
      <c r="K1177" s="64">
        <f>IFERROR(INDEX('1. Matriz de Activos'!$Q$6:$Q$239,MATCH($C1177,MgActId,0)),"")</f>
        <v/>
      </c>
      <c r="L1177" s="64">
        <f>IFERROR(INDEX('1. Matriz de Activos'!$R$6:$R$239,MATCH($C1177,MgActId,0)),"")</f>
        <v/>
      </c>
      <c r="M1177" s="64">
        <f>IFERROR(INDEX('1. Matriz de Activos'!$S$6:$S$239,MATCH($C1177,MgActId,0)),"")</f>
        <v/>
      </c>
      <c r="N1177" s="28">
        <f>IFERROR(INDEX(MgAmenDegD,MATCH(SUBSTITUTE($H1177,"*","-"),MgAmenClave,0)),"No aplica")</f>
        <v/>
      </c>
      <c r="O1177" s="28">
        <f>IFERROR(INDEX(MgAmenDegI,MATCH(SUBSTITUTE($H1177,"*","-"),MgAmenClave,0)),"No aplica")</f>
        <v/>
      </c>
      <c r="P1177" s="28">
        <f>IFERROR(INDEX(MgAmenDegC,MATCH(SUBSTITUTE($H1177,"*","-"),MgAmenClave,0)),"No aplica")</f>
        <v/>
      </c>
      <c r="Q1177" s="29">
        <f>IFERROR(VLOOKUP(K1177,MgValor,2,0)*VLOOKUP(N1177,MgDeg,2,0),0)</f>
        <v/>
      </c>
      <c r="R1177" s="29">
        <f>IFERROR(VLOOKUP(L1177,MgValor,2,0)*VLOOKUP(O1177,MgDeg,2,0),0)</f>
        <v/>
      </c>
      <c r="S1177" s="29">
        <f>IFERROR(VLOOKUP(M1177,MgValor,2,0)*VLOOKUP(P1177,MgDeg,2,0),0)</f>
        <v/>
      </c>
      <c r="T1177" s="30">
        <f>MAX(Q1177:S1177)</f>
        <v/>
      </c>
      <c r="U1177" s="28">
        <f>IFERROR(LOOKUP(T1177,{0;0.5;1.5;3;4.5},{"Despreciable";"Bajo";"Medio";"Alto";"Muy alto"}),"")</f>
        <v/>
      </c>
      <c r="V1177" s="13">
        <f>IFERROR(INDEX(MgAmenFrec,MATCH(SUBSTITUTE($H1177,"*","-"),MgAmenClave,0)),"")</f>
        <v/>
      </c>
      <c r="W1177" s="28">
        <f>IFERROR(LOOKUP(X1177,{0;0.01;0.1;1;10;100},{"Muy baja";"Muy baja";"Baja";"Media";"Alta";"Muy alta"}),"")</f>
        <v/>
      </c>
      <c r="X1177" s="31">
        <f>IFERROR(VLOOKUP(V1177,MgFrec,2,0),0)</f>
        <v/>
      </c>
      <c r="Y1177" s="30">
        <f>T1177*X1177</f>
        <v/>
      </c>
      <c r="Z1177" s="28">
        <f>IFERROR(LOOKUP(Y1177,{0;0.5;5;25},{"Bajo";"Medio";"Alto";"Crítico"}),"")</f>
        <v/>
      </c>
      <c r="AA1177" s="64">
        <f>IF(T1177&gt;=3,IF(X1177&gt;=1,"Zona 1 — Crítica: impacto alto y ocurre al menos una vez al año","Zona 4 — Catastrófica poco probable: impacto alto pero excepcional"),IF(AND(T1177&lt;1.5,X1177&lt;1),"Zona 3 — Asumible: impacto bajo y muy poco frecuente","Zona 2 — Atención: riesgo intermedio"))</f>
        <v/>
      </c>
      <c r="AB1177" s="64">
        <f>IFERROR(INDEX(MgAmenCtrl,MATCH(SUBSTITUTE($H1177,"*","-"),MgAmenClave,0)),"")</f>
        <v/>
      </c>
      <c r="AC1177" s="20" t="n"/>
      <c r="AD1177" s="31">
        <f>IFERROR($X1177*(1-IF($AC1177="",$AL1177,VLOOKUP($AC1177,MgMad,2,0))),"")</f>
        <v/>
      </c>
      <c r="AE1177" s="28">
        <f>IFERROR(LOOKUP(AD1177,{0;0.01;0.1;1;10;100},{"Muy baja";"Muy baja";"Baja";"Media";"Alta";"Muy alta"}),"")</f>
        <v/>
      </c>
      <c r="AF1177" s="30">
        <f>T1177*AD1177</f>
        <v/>
      </c>
      <c r="AG1177" s="28">
        <f>IFERROR(LOOKUP(AF1177,{0;0.5;5;25},{"Bajo";"Medio";"Alto";"Crítico"}),"")</f>
        <v/>
      </c>
      <c r="AH1177" s="28">
        <f>IF(AG1177="","",IF(OR(AG1177="Crítico",AG1177="Alto"),"Mitigar",IF(AG1177="Medio","Mitigar","Aceptar y monitorear")))</f>
        <v/>
      </c>
      <c r="AI1177" s="21" t="n"/>
      <c r="AJ1177" s="21" t="n"/>
      <c r="AK1177" s="20" t="n"/>
      <c r="AL1177" s="77">
        <f>IFERROR(INDEX(MgAmenEfic,MATCH(SUBSTITUTE($H1177,"*","-"),MgAmenClave,0)),0)</f>
        <v/>
      </c>
    </row>
    <row r="1178" hidden="1" ht="105" customHeight="1" s="54">
      <c r="B1178" s="59" t="inlineStr">
        <is>
          <t>R-1173</t>
        </is>
      </c>
      <c r="C1178" s="59" t="inlineStr">
        <is>
          <t>GH-009</t>
        </is>
      </c>
      <c r="D1178" s="64">
        <f>IFERROR(INDEX(MgNombre,MATCH($C1178,MgActId,0)),"")</f>
        <v/>
      </c>
      <c r="E1178" s="64">
        <f>IFERROR(INDEX(MgProceso,MATCH($C1178,MgActId,0)),"")</f>
        <v/>
      </c>
      <c r="F1178" s="64">
        <f>IFERROR(INDEX(MgTipo,MATCH($C1178,MgActId,0)),"")</f>
        <v/>
      </c>
      <c r="G1178" s="64">
        <f>IFERROR(INDEX(MgSubtipo,MATCH($C1178,MgActId,0)),"")</f>
        <v/>
      </c>
      <c r="H1178" s="59" t="inlineStr">
        <is>
          <t>A.6</t>
        </is>
      </c>
      <c r="I1178" s="64">
        <f>IFERROR(INDEX(MgAmenNombre,MATCH(SUBSTITUTE($H1178,"*","-"),MgAmenClave,0)),"")</f>
        <v/>
      </c>
      <c r="J1178" s="28">
        <f>IFERROR(INDEX(MgAmenGrupo,MATCH(SUBSTITUTE($H1178,"*","-"),MgAmenClave,0)),"")</f>
        <v/>
      </c>
      <c r="K1178" s="64">
        <f>IFERROR(INDEX('1. Matriz de Activos'!$Q$6:$Q$239,MATCH($C1178,MgActId,0)),"")</f>
        <v/>
      </c>
      <c r="L1178" s="64">
        <f>IFERROR(INDEX('1. Matriz de Activos'!$R$6:$R$239,MATCH($C1178,MgActId,0)),"")</f>
        <v/>
      </c>
      <c r="M1178" s="64">
        <f>IFERROR(INDEX('1. Matriz de Activos'!$S$6:$S$239,MATCH($C1178,MgActId,0)),"")</f>
        <v/>
      </c>
      <c r="N1178" s="28">
        <f>IFERROR(INDEX(MgAmenDegD,MATCH(SUBSTITUTE($H1178,"*","-"),MgAmenClave,0)),"No aplica")</f>
        <v/>
      </c>
      <c r="O1178" s="28">
        <f>IFERROR(INDEX(MgAmenDegI,MATCH(SUBSTITUTE($H1178,"*","-"),MgAmenClave,0)),"No aplica")</f>
        <v/>
      </c>
      <c r="P1178" s="28">
        <f>IFERROR(INDEX(MgAmenDegC,MATCH(SUBSTITUTE($H1178,"*","-"),MgAmenClave,0)),"No aplica")</f>
        <v/>
      </c>
      <c r="Q1178" s="29">
        <f>IFERROR(VLOOKUP(K1178,MgValor,2,0)*VLOOKUP(N1178,MgDeg,2,0),0)</f>
        <v/>
      </c>
      <c r="R1178" s="29">
        <f>IFERROR(VLOOKUP(L1178,MgValor,2,0)*VLOOKUP(O1178,MgDeg,2,0),0)</f>
        <v/>
      </c>
      <c r="S1178" s="29">
        <f>IFERROR(VLOOKUP(M1178,MgValor,2,0)*VLOOKUP(P1178,MgDeg,2,0),0)</f>
        <v/>
      </c>
      <c r="T1178" s="30">
        <f>MAX(Q1178:S1178)</f>
        <v/>
      </c>
      <c r="U1178" s="28">
        <f>IFERROR(LOOKUP(T1178,{0;0.5;1.5;3;4.5},{"Despreciable";"Bajo";"Medio";"Alto";"Muy alto"}),"")</f>
        <v/>
      </c>
      <c r="V1178" s="13">
        <f>IFERROR(INDEX(MgAmenFrec,MATCH(SUBSTITUTE($H1178,"*","-"),MgAmenClave,0)),"")</f>
        <v/>
      </c>
      <c r="W1178" s="28">
        <f>IFERROR(LOOKUP(X1178,{0;0.01;0.1;1;10;100},{"Muy baja";"Muy baja";"Baja";"Media";"Alta";"Muy alta"}),"")</f>
        <v/>
      </c>
      <c r="X1178" s="31">
        <f>IFERROR(VLOOKUP(V1178,MgFrec,2,0),0)</f>
        <v/>
      </c>
      <c r="Y1178" s="30">
        <f>T1178*X1178</f>
        <v/>
      </c>
      <c r="Z1178" s="28">
        <f>IFERROR(LOOKUP(Y1178,{0;0.5;5;25},{"Bajo";"Medio";"Alto";"Crítico"}),"")</f>
        <v/>
      </c>
      <c r="AA1178" s="64">
        <f>IF(T1178&gt;=3,IF(X1178&gt;=1,"Zona 1 — Crítica: impacto alto y ocurre al menos una vez al año","Zona 4 — Catastrófica poco probable: impacto alto pero excepcional"),IF(AND(T1178&lt;1.5,X1178&lt;1),"Zona 3 — Asumible: impacto bajo y muy poco frecuente","Zona 2 — Atención: riesgo intermedio"))</f>
        <v/>
      </c>
      <c r="AB1178" s="64">
        <f>IFERROR(INDEX(MgAmenCtrl,MATCH(SUBSTITUTE($H1178,"*","-"),MgAmenClave,0)),"")</f>
        <v/>
      </c>
      <c r="AC1178" s="20" t="n"/>
      <c r="AD1178" s="31">
        <f>IFERROR($X1178*(1-IF($AC1178="",$AL1178,VLOOKUP($AC1178,MgMad,2,0))),"")</f>
        <v/>
      </c>
      <c r="AE1178" s="28">
        <f>IFERROR(LOOKUP(AD1178,{0;0.01;0.1;1;10;100},{"Muy baja";"Muy baja";"Baja";"Media";"Alta";"Muy alta"}),"")</f>
        <v/>
      </c>
      <c r="AF1178" s="30">
        <f>T1178*AD1178</f>
        <v/>
      </c>
      <c r="AG1178" s="28">
        <f>IFERROR(LOOKUP(AF1178,{0;0.5;5;25},{"Bajo";"Medio";"Alto";"Crítico"}),"")</f>
        <v/>
      </c>
      <c r="AH1178" s="28">
        <f>IF(AG1178="","",IF(OR(AG1178="Crítico",AG1178="Alto"),"Mitigar",IF(AG1178="Medio","Mitigar","Aceptar y monitorear")))</f>
        <v/>
      </c>
      <c r="AI1178" s="21" t="n"/>
      <c r="AJ1178" s="21" t="n"/>
      <c r="AK1178" s="20" t="n"/>
      <c r="AL1178" s="77">
        <f>IFERROR(INDEX(MgAmenEfic,MATCH(SUBSTITUTE($H1178,"*","-"),MgAmenClave,0)),0)</f>
        <v/>
      </c>
    </row>
    <row r="1179" hidden="1" ht="120" customHeight="1" s="54">
      <c r="B1179" s="59" t="inlineStr">
        <is>
          <t>R-1174</t>
        </is>
      </c>
      <c r="C1179" s="59" t="inlineStr">
        <is>
          <t>GH-009</t>
        </is>
      </c>
      <c r="D1179" s="64">
        <f>IFERROR(INDEX(MgNombre,MATCH($C1179,MgActId,0)),"")</f>
        <v/>
      </c>
      <c r="E1179" s="64">
        <f>IFERROR(INDEX(MgProceso,MATCH($C1179,MgActId,0)),"")</f>
        <v/>
      </c>
      <c r="F1179" s="64">
        <f>IFERROR(INDEX(MgTipo,MATCH($C1179,MgActId,0)),"")</f>
        <v/>
      </c>
      <c r="G1179" s="64">
        <f>IFERROR(INDEX(MgSubtipo,MATCH($C1179,MgActId,0)),"")</f>
        <v/>
      </c>
      <c r="H1179" s="59" t="inlineStr">
        <is>
          <t>A.11</t>
        </is>
      </c>
      <c r="I1179" s="64">
        <f>IFERROR(INDEX(MgAmenNombre,MATCH(SUBSTITUTE($H1179,"*","-"),MgAmenClave,0)),"")</f>
        <v/>
      </c>
      <c r="J1179" s="28">
        <f>IFERROR(INDEX(MgAmenGrupo,MATCH(SUBSTITUTE($H1179,"*","-"),MgAmenClave,0)),"")</f>
        <v/>
      </c>
      <c r="K1179" s="64">
        <f>IFERROR(INDEX('1. Matriz de Activos'!$Q$6:$Q$239,MATCH($C1179,MgActId,0)),"")</f>
        <v/>
      </c>
      <c r="L1179" s="64">
        <f>IFERROR(INDEX('1. Matriz de Activos'!$R$6:$R$239,MATCH($C1179,MgActId,0)),"")</f>
        <v/>
      </c>
      <c r="M1179" s="64">
        <f>IFERROR(INDEX('1. Matriz de Activos'!$S$6:$S$239,MATCH($C1179,MgActId,0)),"")</f>
        <v/>
      </c>
      <c r="N1179" s="28">
        <f>IFERROR(INDEX(MgAmenDegD,MATCH(SUBSTITUTE($H1179,"*","-"),MgAmenClave,0)),"No aplica")</f>
        <v/>
      </c>
      <c r="O1179" s="28">
        <f>IFERROR(INDEX(MgAmenDegI,MATCH(SUBSTITUTE($H1179,"*","-"),MgAmenClave,0)),"No aplica")</f>
        <v/>
      </c>
      <c r="P1179" s="28">
        <f>IFERROR(INDEX(MgAmenDegC,MATCH(SUBSTITUTE($H1179,"*","-"),MgAmenClave,0)),"No aplica")</f>
        <v/>
      </c>
      <c r="Q1179" s="29">
        <f>IFERROR(VLOOKUP(K1179,MgValor,2,0)*VLOOKUP(N1179,MgDeg,2,0),0)</f>
        <v/>
      </c>
      <c r="R1179" s="29">
        <f>IFERROR(VLOOKUP(L1179,MgValor,2,0)*VLOOKUP(O1179,MgDeg,2,0),0)</f>
        <v/>
      </c>
      <c r="S1179" s="29">
        <f>IFERROR(VLOOKUP(M1179,MgValor,2,0)*VLOOKUP(P1179,MgDeg,2,0),0)</f>
        <v/>
      </c>
      <c r="T1179" s="30">
        <f>MAX(Q1179:S1179)</f>
        <v/>
      </c>
      <c r="U1179" s="28">
        <f>IFERROR(LOOKUP(T1179,{0;0.5;1.5;3;4.5},{"Despreciable";"Bajo";"Medio";"Alto";"Muy alto"}),"")</f>
        <v/>
      </c>
      <c r="V1179" s="13">
        <f>IFERROR(INDEX(MgAmenFrec,MATCH(SUBSTITUTE($H1179,"*","-"),MgAmenClave,0)),"")</f>
        <v/>
      </c>
      <c r="W1179" s="28">
        <f>IFERROR(LOOKUP(X1179,{0;0.01;0.1;1;10;100},{"Muy baja";"Muy baja";"Baja";"Media";"Alta";"Muy alta"}),"")</f>
        <v/>
      </c>
      <c r="X1179" s="31">
        <f>IFERROR(VLOOKUP(V1179,MgFrec,2,0),0)</f>
        <v/>
      </c>
      <c r="Y1179" s="30">
        <f>T1179*X1179</f>
        <v/>
      </c>
      <c r="Z1179" s="28">
        <f>IFERROR(LOOKUP(Y1179,{0;0.5;5;25},{"Bajo";"Medio";"Alto";"Crítico"}),"")</f>
        <v/>
      </c>
      <c r="AA1179" s="64">
        <f>IF(T1179&gt;=3,IF(X1179&gt;=1,"Zona 1 — Crítica: impacto alto y ocurre al menos una vez al año","Zona 4 — Catastrófica poco probable: impacto alto pero excepcional"),IF(AND(T1179&lt;1.5,X1179&lt;1),"Zona 3 — Asumible: impacto bajo y muy poco frecuente","Zona 2 — Atención: riesgo intermedio"))</f>
        <v/>
      </c>
      <c r="AB1179" s="64">
        <f>IFERROR(INDEX(MgAmenCtrl,MATCH(SUBSTITUTE($H1179,"*","-"),MgAmenClave,0)),"")</f>
        <v/>
      </c>
      <c r="AC1179" s="20" t="n"/>
      <c r="AD1179" s="31">
        <f>IFERROR($X1179*(1-IF($AC1179="",$AL1179,VLOOKUP($AC1179,MgMad,2,0))),"")</f>
        <v/>
      </c>
      <c r="AE1179" s="28">
        <f>IFERROR(LOOKUP(AD1179,{0;0.01;0.1;1;10;100},{"Muy baja";"Muy baja";"Baja";"Media";"Alta";"Muy alta"}),"")</f>
        <v/>
      </c>
      <c r="AF1179" s="30">
        <f>T1179*AD1179</f>
        <v/>
      </c>
      <c r="AG1179" s="28">
        <f>IFERROR(LOOKUP(AF1179,{0;0.5;5;25},{"Bajo";"Medio";"Alto";"Crítico"}),"")</f>
        <v/>
      </c>
      <c r="AH1179" s="28">
        <f>IF(AG1179="","",IF(OR(AG1179="Crítico",AG1179="Alto"),"Mitigar",IF(AG1179="Medio","Mitigar","Aceptar y monitorear")))</f>
        <v/>
      </c>
      <c r="AI1179" s="21" t="n"/>
      <c r="AJ1179" s="21" t="n"/>
      <c r="AK1179" s="20" t="n"/>
      <c r="AL1179" s="77">
        <f>IFERROR(INDEX(MgAmenEfic,MATCH(SUBSTITUTE($H1179,"*","-"),MgAmenClave,0)),0)</f>
        <v/>
      </c>
    </row>
    <row r="1180" hidden="1" ht="90" customHeight="1" s="54">
      <c r="B1180" s="59" t="inlineStr">
        <is>
          <t>R-1175</t>
        </is>
      </c>
      <c r="C1180" s="59" t="inlineStr">
        <is>
          <t>GH-009</t>
        </is>
      </c>
      <c r="D1180" s="64">
        <f>IFERROR(INDEX(MgNombre,MATCH($C1180,MgActId,0)),"")</f>
        <v/>
      </c>
      <c r="E1180" s="64">
        <f>IFERROR(INDEX(MgProceso,MATCH($C1180,MgActId,0)),"")</f>
        <v/>
      </c>
      <c r="F1180" s="64">
        <f>IFERROR(INDEX(MgTipo,MATCH($C1180,MgActId,0)),"")</f>
        <v/>
      </c>
      <c r="G1180" s="64">
        <f>IFERROR(INDEX(MgSubtipo,MATCH($C1180,MgActId,0)),"")</f>
        <v/>
      </c>
      <c r="H1180" s="59" t="inlineStr">
        <is>
          <t>A.13</t>
        </is>
      </c>
      <c r="I1180" s="64">
        <f>IFERROR(INDEX(MgAmenNombre,MATCH(SUBSTITUTE($H1180,"*","-"),MgAmenClave,0)),"")</f>
        <v/>
      </c>
      <c r="J1180" s="28">
        <f>IFERROR(INDEX(MgAmenGrupo,MATCH(SUBSTITUTE($H1180,"*","-"),MgAmenClave,0)),"")</f>
        <v/>
      </c>
      <c r="K1180" s="64">
        <f>IFERROR(INDEX('1. Matriz de Activos'!$Q$6:$Q$239,MATCH($C1180,MgActId,0)),"")</f>
        <v/>
      </c>
      <c r="L1180" s="64">
        <f>IFERROR(INDEX('1. Matriz de Activos'!$R$6:$R$239,MATCH($C1180,MgActId,0)),"")</f>
        <v/>
      </c>
      <c r="M1180" s="64">
        <f>IFERROR(INDEX('1. Matriz de Activos'!$S$6:$S$239,MATCH($C1180,MgActId,0)),"")</f>
        <v/>
      </c>
      <c r="N1180" s="28">
        <f>IFERROR(INDEX(MgAmenDegD,MATCH(SUBSTITUTE($H1180,"*","-"),MgAmenClave,0)),"No aplica")</f>
        <v/>
      </c>
      <c r="O1180" s="28">
        <f>IFERROR(INDEX(MgAmenDegI,MATCH(SUBSTITUTE($H1180,"*","-"),MgAmenClave,0)),"No aplica")</f>
        <v/>
      </c>
      <c r="P1180" s="28">
        <f>IFERROR(INDEX(MgAmenDegC,MATCH(SUBSTITUTE($H1180,"*","-"),MgAmenClave,0)),"No aplica")</f>
        <v/>
      </c>
      <c r="Q1180" s="29">
        <f>IFERROR(VLOOKUP(K1180,MgValor,2,0)*VLOOKUP(N1180,MgDeg,2,0),0)</f>
        <v/>
      </c>
      <c r="R1180" s="29">
        <f>IFERROR(VLOOKUP(L1180,MgValor,2,0)*VLOOKUP(O1180,MgDeg,2,0),0)</f>
        <v/>
      </c>
      <c r="S1180" s="29">
        <f>IFERROR(VLOOKUP(M1180,MgValor,2,0)*VLOOKUP(P1180,MgDeg,2,0),0)</f>
        <v/>
      </c>
      <c r="T1180" s="30">
        <f>MAX(Q1180:S1180)</f>
        <v/>
      </c>
      <c r="U1180" s="28">
        <f>IFERROR(LOOKUP(T1180,{0;0.5;1.5;3;4.5},{"Despreciable";"Bajo";"Medio";"Alto";"Muy alto"}),"")</f>
        <v/>
      </c>
      <c r="V1180" s="13">
        <f>IFERROR(INDEX(MgAmenFrec,MATCH(SUBSTITUTE($H1180,"*","-"),MgAmenClave,0)),"")</f>
        <v/>
      </c>
      <c r="W1180" s="28">
        <f>IFERROR(LOOKUP(X1180,{0;0.01;0.1;1;10;100},{"Muy baja";"Muy baja";"Baja";"Media";"Alta";"Muy alta"}),"")</f>
        <v/>
      </c>
      <c r="X1180" s="31">
        <f>IFERROR(VLOOKUP(V1180,MgFrec,2,0),0)</f>
        <v/>
      </c>
      <c r="Y1180" s="30">
        <f>T1180*X1180</f>
        <v/>
      </c>
      <c r="Z1180" s="28">
        <f>IFERROR(LOOKUP(Y1180,{0;0.5;5;25},{"Bajo";"Medio";"Alto";"Crítico"}),"")</f>
        <v/>
      </c>
      <c r="AA1180" s="64">
        <f>IF(T1180&gt;=3,IF(X1180&gt;=1,"Zona 1 — Crítica: impacto alto y ocurre al menos una vez al año","Zona 4 — Catastrófica poco probable: impacto alto pero excepcional"),IF(AND(T1180&lt;1.5,X1180&lt;1),"Zona 3 — Asumible: impacto bajo y muy poco frecuente","Zona 2 — Atención: riesgo intermedio"))</f>
        <v/>
      </c>
      <c r="AB1180" s="64">
        <f>IFERROR(INDEX(MgAmenCtrl,MATCH(SUBSTITUTE($H1180,"*","-"),MgAmenClave,0)),"")</f>
        <v/>
      </c>
      <c r="AC1180" s="20" t="n"/>
      <c r="AD1180" s="31">
        <f>IFERROR($X1180*(1-IF($AC1180="",$AL1180,VLOOKUP($AC1180,MgMad,2,0))),"")</f>
        <v/>
      </c>
      <c r="AE1180" s="28">
        <f>IFERROR(LOOKUP(AD1180,{0;0.01;0.1;1;10;100},{"Muy baja";"Muy baja";"Baja";"Media";"Alta";"Muy alta"}),"")</f>
        <v/>
      </c>
      <c r="AF1180" s="30">
        <f>T1180*AD1180</f>
        <v/>
      </c>
      <c r="AG1180" s="28">
        <f>IFERROR(LOOKUP(AF1180,{0;0.5;5;25},{"Bajo";"Medio";"Alto";"Crítico"}),"")</f>
        <v/>
      </c>
      <c r="AH1180" s="28">
        <f>IF(AG1180="","",IF(OR(AG1180="Crítico",AG1180="Alto"),"Mitigar",IF(AG1180="Medio","Mitigar","Aceptar y monitorear")))</f>
        <v/>
      </c>
      <c r="AI1180" s="21" t="n"/>
      <c r="AJ1180" s="21" t="n"/>
      <c r="AK1180" s="20" t="n"/>
      <c r="AL1180" s="77">
        <f>IFERROR(INDEX(MgAmenEfic,MATCH(SUBSTITUTE($H1180,"*","-"),MgAmenClave,0)),0)</f>
        <v/>
      </c>
    </row>
    <row r="1181" hidden="1" ht="60" customHeight="1" s="54">
      <c r="B1181" s="59" t="inlineStr">
        <is>
          <t>R-1176</t>
        </is>
      </c>
      <c r="C1181" s="59" t="inlineStr">
        <is>
          <t>GH-009</t>
        </is>
      </c>
      <c r="D1181" s="64">
        <f>IFERROR(INDEX(MgNombre,MATCH($C1181,MgActId,0)),"")</f>
        <v/>
      </c>
      <c r="E1181" s="64">
        <f>IFERROR(INDEX(MgProceso,MATCH($C1181,MgActId,0)),"")</f>
        <v/>
      </c>
      <c r="F1181" s="64">
        <f>IFERROR(INDEX(MgTipo,MATCH($C1181,MgActId,0)),"")</f>
        <v/>
      </c>
      <c r="G1181" s="64">
        <f>IFERROR(INDEX(MgSubtipo,MATCH($C1181,MgActId,0)),"")</f>
        <v/>
      </c>
      <c r="H1181" s="59" t="inlineStr">
        <is>
          <t>A.15</t>
        </is>
      </c>
      <c r="I1181" s="64">
        <f>IFERROR(INDEX(MgAmenNombre,MATCH(SUBSTITUTE($H1181,"*","-"),MgAmenClave,0)),"")</f>
        <v/>
      </c>
      <c r="J1181" s="28">
        <f>IFERROR(INDEX(MgAmenGrupo,MATCH(SUBSTITUTE($H1181,"*","-"),MgAmenClave,0)),"")</f>
        <v/>
      </c>
      <c r="K1181" s="64">
        <f>IFERROR(INDEX('1. Matriz de Activos'!$Q$6:$Q$239,MATCH($C1181,MgActId,0)),"")</f>
        <v/>
      </c>
      <c r="L1181" s="64">
        <f>IFERROR(INDEX('1. Matriz de Activos'!$R$6:$R$239,MATCH($C1181,MgActId,0)),"")</f>
        <v/>
      </c>
      <c r="M1181" s="64">
        <f>IFERROR(INDEX('1. Matriz de Activos'!$S$6:$S$239,MATCH($C1181,MgActId,0)),"")</f>
        <v/>
      </c>
      <c r="N1181" s="28">
        <f>IFERROR(INDEX(MgAmenDegD,MATCH(SUBSTITUTE($H1181,"*","-"),MgAmenClave,0)),"No aplica")</f>
        <v/>
      </c>
      <c r="O1181" s="28">
        <f>IFERROR(INDEX(MgAmenDegI,MATCH(SUBSTITUTE($H1181,"*","-"),MgAmenClave,0)),"No aplica")</f>
        <v/>
      </c>
      <c r="P1181" s="28">
        <f>IFERROR(INDEX(MgAmenDegC,MATCH(SUBSTITUTE($H1181,"*","-"),MgAmenClave,0)),"No aplica")</f>
        <v/>
      </c>
      <c r="Q1181" s="29">
        <f>IFERROR(VLOOKUP(K1181,MgValor,2,0)*VLOOKUP(N1181,MgDeg,2,0),0)</f>
        <v/>
      </c>
      <c r="R1181" s="29">
        <f>IFERROR(VLOOKUP(L1181,MgValor,2,0)*VLOOKUP(O1181,MgDeg,2,0),0)</f>
        <v/>
      </c>
      <c r="S1181" s="29">
        <f>IFERROR(VLOOKUP(M1181,MgValor,2,0)*VLOOKUP(P1181,MgDeg,2,0),0)</f>
        <v/>
      </c>
      <c r="T1181" s="30">
        <f>MAX(Q1181:S1181)</f>
        <v/>
      </c>
      <c r="U1181" s="28">
        <f>IFERROR(LOOKUP(T1181,{0;0.5;1.5;3;4.5},{"Despreciable";"Bajo";"Medio";"Alto";"Muy alto"}),"")</f>
        <v/>
      </c>
      <c r="V1181" s="13">
        <f>IFERROR(INDEX(MgAmenFrec,MATCH(SUBSTITUTE($H1181,"*","-"),MgAmenClave,0)),"")</f>
        <v/>
      </c>
      <c r="W1181" s="28">
        <f>IFERROR(LOOKUP(X1181,{0;0.01;0.1;1;10;100},{"Muy baja";"Muy baja";"Baja";"Media";"Alta";"Muy alta"}),"")</f>
        <v/>
      </c>
      <c r="X1181" s="31">
        <f>IFERROR(VLOOKUP(V1181,MgFrec,2,0),0)</f>
        <v/>
      </c>
      <c r="Y1181" s="30">
        <f>T1181*X1181</f>
        <v/>
      </c>
      <c r="Z1181" s="28">
        <f>IFERROR(LOOKUP(Y1181,{0;0.5;5;25},{"Bajo";"Medio";"Alto";"Crítico"}),"")</f>
        <v/>
      </c>
      <c r="AA1181" s="64">
        <f>IF(T1181&gt;=3,IF(X1181&gt;=1,"Zona 1 — Crítica: impacto alto y ocurre al menos una vez al año","Zona 4 — Catastrófica poco probable: impacto alto pero excepcional"),IF(AND(T1181&lt;1.5,X1181&lt;1),"Zona 3 — Asumible: impacto bajo y muy poco frecuente","Zona 2 — Atención: riesgo intermedio"))</f>
        <v/>
      </c>
      <c r="AB1181" s="64">
        <f>IFERROR(INDEX(MgAmenCtrl,MATCH(SUBSTITUTE($H1181,"*","-"),MgAmenClave,0)),"")</f>
        <v/>
      </c>
      <c r="AC1181" s="20" t="n"/>
      <c r="AD1181" s="31">
        <f>IFERROR($X1181*(1-IF($AC1181="",$AL1181,VLOOKUP($AC1181,MgMad,2,0))),"")</f>
        <v/>
      </c>
      <c r="AE1181" s="28">
        <f>IFERROR(LOOKUP(AD1181,{0;0.01;0.1;1;10;100},{"Muy baja";"Muy baja";"Baja";"Media";"Alta";"Muy alta"}),"")</f>
        <v/>
      </c>
      <c r="AF1181" s="30">
        <f>T1181*AD1181</f>
        <v/>
      </c>
      <c r="AG1181" s="28">
        <f>IFERROR(LOOKUP(AF1181,{0;0.5;5;25},{"Bajo";"Medio";"Alto";"Crítico"}),"")</f>
        <v/>
      </c>
      <c r="AH1181" s="28">
        <f>IF(AG1181="","",IF(OR(AG1181="Crítico",AG1181="Alto"),"Mitigar",IF(AG1181="Medio","Mitigar","Aceptar y monitorear")))</f>
        <v/>
      </c>
      <c r="AI1181" s="21" t="n"/>
      <c r="AJ1181" s="21" t="n"/>
      <c r="AK1181" s="20" t="n"/>
      <c r="AL1181" s="77">
        <f>IFERROR(INDEX(MgAmenEfic,MATCH(SUBSTITUTE($H1181,"*","-"),MgAmenClave,0)),0)</f>
        <v/>
      </c>
    </row>
    <row r="1182" hidden="1" ht="60" customHeight="1" s="54">
      <c r="B1182" s="59" t="inlineStr">
        <is>
          <t>R-1177</t>
        </is>
      </c>
      <c r="C1182" s="59" t="inlineStr">
        <is>
          <t>GH-009</t>
        </is>
      </c>
      <c r="D1182" s="64">
        <f>IFERROR(INDEX(MgNombre,MATCH($C1182,MgActId,0)),"")</f>
        <v/>
      </c>
      <c r="E1182" s="64">
        <f>IFERROR(INDEX(MgProceso,MATCH($C1182,MgActId,0)),"")</f>
        <v/>
      </c>
      <c r="F1182" s="64">
        <f>IFERROR(INDEX(MgTipo,MATCH($C1182,MgActId,0)),"")</f>
        <v/>
      </c>
      <c r="G1182" s="64">
        <f>IFERROR(INDEX(MgSubtipo,MATCH($C1182,MgActId,0)),"")</f>
        <v/>
      </c>
      <c r="H1182" s="59" t="inlineStr">
        <is>
          <t>A.18</t>
        </is>
      </c>
      <c r="I1182" s="64">
        <f>IFERROR(INDEX(MgAmenNombre,MATCH(SUBSTITUTE($H1182,"*","-"),MgAmenClave,0)),"")</f>
        <v/>
      </c>
      <c r="J1182" s="28">
        <f>IFERROR(INDEX(MgAmenGrupo,MATCH(SUBSTITUTE($H1182,"*","-"),MgAmenClave,0)),"")</f>
        <v/>
      </c>
      <c r="K1182" s="64">
        <f>IFERROR(INDEX('1. Matriz de Activos'!$Q$6:$Q$239,MATCH($C1182,MgActId,0)),"")</f>
        <v/>
      </c>
      <c r="L1182" s="64">
        <f>IFERROR(INDEX('1. Matriz de Activos'!$R$6:$R$239,MATCH($C1182,MgActId,0)),"")</f>
        <v/>
      </c>
      <c r="M1182" s="64">
        <f>IFERROR(INDEX('1. Matriz de Activos'!$S$6:$S$239,MATCH($C1182,MgActId,0)),"")</f>
        <v/>
      </c>
      <c r="N1182" s="28">
        <f>IFERROR(INDEX(MgAmenDegD,MATCH(SUBSTITUTE($H1182,"*","-"),MgAmenClave,0)),"No aplica")</f>
        <v/>
      </c>
      <c r="O1182" s="28">
        <f>IFERROR(INDEX(MgAmenDegI,MATCH(SUBSTITUTE($H1182,"*","-"),MgAmenClave,0)),"No aplica")</f>
        <v/>
      </c>
      <c r="P1182" s="28">
        <f>IFERROR(INDEX(MgAmenDegC,MATCH(SUBSTITUTE($H1182,"*","-"),MgAmenClave,0)),"No aplica")</f>
        <v/>
      </c>
      <c r="Q1182" s="29">
        <f>IFERROR(VLOOKUP(K1182,MgValor,2,0)*VLOOKUP(N1182,MgDeg,2,0),0)</f>
        <v/>
      </c>
      <c r="R1182" s="29">
        <f>IFERROR(VLOOKUP(L1182,MgValor,2,0)*VLOOKUP(O1182,MgDeg,2,0),0)</f>
        <v/>
      </c>
      <c r="S1182" s="29">
        <f>IFERROR(VLOOKUP(M1182,MgValor,2,0)*VLOOKUP(P1182,MgDeg,2,0),0)</f>
        <v/>
      </c>
      <c r="T1182" s="30">
        <f>MAX(Q1182:S1182)</f>
        <v/>
      </c>
      <c r="U1182" s="28">
        <f>IFERROR(LOOKUP(T1182,{0;0.5;1.5;3;4.5},{"Despreciable";"Bajo";"Medio";"Alto";"Muy alto"}),"")</f>
        <v/>
      </c>
      <c r="V1182" s="13">
        <f>IFERROR(INDEX(MgAmenFrec,MATCH(SUBSTITUTE($H1182,"*","-"),MgAmenClave,0)),"")</f>
        <v/>
      </c>
      <c r="W1182" s="28">
        <f>IFERROR(LOOKUP(X1182,{0;0.01;0.1;1;10;100},{"Muy baja";"Muy baja";"Baja";"Media";"Alta";"Muy alta"}),"")</f>
        <v/>
      </c>
      <c r="X1182" s="31">
        <f>IFERROR(VLOOKUP(V1182,MgFrec,2,0),0)</f>
        <v/>
      </c>
      <c r="Y1182" s="30">
        <f>T1182*X1182</f>
        <v/>
      </c>
      <c r="Z1182" s="28">
        <f>IFERROR(LOOKUP(Y1182,{0;0.5;5;25},{"Bajo";"Medio";"Alto";"Crítico"}),"")</f>
        <v/>
      </c>
      <c r="AA1182" s="64">
        <f>IF(T1182&gt;=3,IF(X1182&gt;=1,"Zona 1 — Crítica: impacto alto y ocurre al menos una vez al año","Zona 4 — Catastrófica poco probable: impacto alto pero excepcional"),IF(AND(T1182&lt;1.5,X1182&lt;1),"Zona 3 — Asumible: impacto bajo y muy poco frecuente","Zona 2 — Atención: riesgo intermedio"))</f>
        <v/>
      </c>
      <c r="AB1182" s="64">
        <f>IFERROR(INDEX(MgAmenCtrl,MATCH(SUBSTITUTE($H1182,"*","-"),MgAmenClave,0)),"")</f>
        <v/>
      </c>
      <c r="AC1182" s="20" t="n"/>
      <c r="AD1182" s="31">
        <f>IFERROR($X1182*(1-IF($AC1182="",$AL1182,VLOOKUP($AC1182,MgMad,2,0))),"")</f>
        <v/>
      </c>
      <c r="AE1182" s="28">
        <f>IFERROR(LOOKUP(AD1182,{0;0.01;0.1;1;10;100},{"Muy baja";"Muy baja";"Baja";"Media";"Alta";"Muy alta"}),"")</f>
        <v/>
      </c>
      <c r="AF1182" s="30">
        <f>T1182*AD1182</f>
        <v/>
      </c>
      <c r="AG1182" s="28">
        <f>IFERROR(LOOKUP(AF1182,{0;0.5;5;25},{"Bajo";"Medio";"Alto";"Crítico"}),"")</f>
        <v/>
      </c>
      <c r="AH1182" s="28">
        <f>IF(AG1182="","",IF(OR(AG1182="Crítico",AG1182="Alto"),"Mitigar",IF(AG1182="Medio","Mitigar","Aceptar y monitorear")))</f>
        <v/>
      </c>
      <c r="AI1182" s="21" t="n"/>
      <c r="AJ1182" s="21" t="n"/>
      <c r="AK1182" s="20" t="n"/>
      <c r="AL1182" s="77">
        <f>IFERROR(INDEX(MgAmenEfic,MATCH(SUBSTITUTE($H1182,"*","-"),MgAmenClave,0)),0)</f>
        <v/>
      </c>
    </row>
    <row r="1183" hidden="1" ht="120" customHeight="1" s="54">
      <c r="B1183" s="59" t="inlineStr">
        <is>
          <t>R-1178</t>
        </is>
      </c>
      <c r="C1183" s="59" t="inlineStr">
        <is>
          <t>GH-009</t>
        </is>
      </c>
      <c r="D1183" s="64">
        <f>IFERROR(INDEX(MgNombre,MATCH($C1183,MgActId,0)),"")</f>
        <v/>
      </c>
      <c r="E1183" s="64">
        <f>IFERROR(INDEX(MgProceso,MATCH($C1183,MgActId,0)),"")</f>
        <v/>
      </c>
      <c r="F1183" s="64">
        <f>IFERROR(INDEX(MgTipo,MATCH($C1183,MgActId,0)),"")</f>
        <v/>
      </c>
      <c r="G1183" s="64">
        <f>IFERROR(INDEX(MgSubtipo,MATCH($C1183,MgActId,0)),"")</f>
        <v/>
      </c>
      <c r="H1183" s="59" t="inlineStr">
        <is>
          <t>A.19</t>
        </is>
      </c>
      <c r="I1183" s="64">
        <f>IFERROR(INDEX(MgAmenNombre,MATCH(SUBSTITUTE($H1183,"*","-"),MgAmenClave,0)),"")</f>
        <v/>
      </c>
      <c r="J1183" s="28">
        <f>IFERROR(INDEX(MgAmenGrupo,MATCH(SUBSTITUTE($H1183,"*","-"),MgAmenClave,0)),"")</f>
        <v/>
      </c>
      <c r="K1183" s="64">
        <f>IFERROR(INDEX('1. Matriz de Activos'!$Q$6:$Q$239,MATCH($C1183,MgActId,0)),"")</f>
        <v/>
      </c>
      <c r="L1183" s="64">
        <f>IFERROR(INDEX('1. Matriz de Activos'!$R$6:$R$239,MATCH($C1183,MgActId,0)),"")</f>
        <v/>
      </c>
      <c r="M1183" s="64">
        <f>IFERROR(INDEX('1. Matriz de Activos'!$S$6:$S$239,MATCH($C1183,MgActId,0)),"")</f>
        <v/>
      </c>
      <c r="N1183" s="28">
        <f>IFERROR(INDEX(MgAmenDegD,MATCH(SUBSTITUTE($H1183,"*","-"),MgAmenClave,0)),"No aplica")</f>
        <v/>
      </c>
      <c r="O1183" s="28">
        <f>IFERROR(INDEX(MgAmenDegI,MATCH(SUBSTITUTE($H1183,"*","-"),MgAmenClave,0)),"No aplica")</f>
        <v/>
      </c>
      <c r="P1183" s="28">
        <f>IFERROR(INDEX(MgAmenDegC,MATCH(SUBSTITUTE($H1183,"*","-"),MgAmenClave,0)),"No aplica")</f>
        <v/>
      </c>
      <c r="Q1183" s="29">
        <f>IFERROR(VLOOKUP(K1183,MgValor,2,0)*VLOOKUP(N1183,MgDeg,2,0),0)</f>
        <v/>
      </c>
      <c r="R1183" s="29">
        <f>IFERROR(VLOOKUP(L1183,MgValor,2,0)*VLOOKUP(O1183,MgDeg,2,0),0)</f>
        <v/>
      </c>
      <c r="S1183" s="29">
        <f>IFERROR(VLOOKUP(M1183,MgValor,2,0)*VLOOKUP(P1183,MgDeg,2,0),0)</f>
        <v/>
      </c>
      <c r="T1183" s="30">
        <f>MAX(Q1183:S1183)</f>
        <v/>
      </c>
      <c r="U1183" s="28">
        <f>IFERROR(LOOKUP(T1183,{0;0.5;1.5;3;4.5},{"Despreciable";"Bajo";"Medio";"Alto";"Muy alto"}),"")</f>
        <v/>
      </c>
      <c r="V1183" s="13">
        <f>IFERROR(INDEX(MgAmenFrec,MATCH(SUBSTITUTE($H1183,"*","-"),MgAmenClave,0)),"")</f>
        <v/>
      </c>
      <c r="W1183" s="28">
        <f>IFERROR(LOOKUP(X1183,{0;0.01;0.1;1;10;100},{"Muy baja";"Muy baja";"Baja";"Media";"Alta";"Muy alta"}),"")</f>
        <v/>
      </c>
      <c r="X1183" s="31">
        <f>IFERROR(VLOOKUP(V1183,MgFrec,2,0),0)</f>
        <v/>
      </c>
      <c r="Y1183" s="30">
        <f>T1183*X1183</f>
        <v/>
      </c>
      <c r="Z1183" s="28">
        <f>IFERROR(LOOKUP(Y1183,{0;0.5;5;25},{"Bajo";"Medio";"Alto";"Crítico"}),"")</f>
        <v/>
      </c>
      <c r="AA1183" s="64">
        <f>IF(T1183&gt;=3,IF(X1183&gt;=1,"Zona 1 — Crítica: impacto alto y ocurre al menos una vez al año","Zona 4 — Catastrófica poco probable: impacto alto pero excepcional"),IF(AND(T1183&lt;1.5,X1183&lt;1),"Zona 3 — Asumible: impacto bajo y muy poco frecuente","Zona 2 — Atención: riesgo intermedio"))</f>
        <v/>
      </c>
      <c r="AB1183" s="64">
        <f>IFERROR(INDEX(MgAmenCtrl,MATCH(SUBSTITUTE($H1183,"*","-"),MgAmenClave,0)),"")</f>
        <v/>
      </c>
      <c r="AC1183" s="20" t="n"/>
      <c r="AD1183" s="31">
        <f>IFERROR($X1183*(1-IF($AC1183="",$AL1183,VLOOKUP($AC1183,MgMad,2,0))),"")</f>
        <v/>
      </c>
      <c r="AE1183" s="28">
        <f>IFERROR(LOOKUP(AD1183,{0;0.01;0.1;1;10;100},{"Muy baja";"Muy baja";"Baja";"Media";"Alta";"Muy alta"}),"")</f>
        <v/>
      </c>
      <c r="AF1183" s="30">
        <f>T1183*AD1183</f>
        <v/>
      </c>
      <c r="AG1183" s="28">
        <f>IFERROR(LOOKUP(AF1183,{0;0.5;5;25},{"Bajo";"Medio";"Alto";"Crítico"}),"")</f>
        <v/>
      </c>
      <c r="AH1183" s="28">
        <f>IF(AG1183="","",IF(OR(AG1183="Crítico",AG1183="Alto"),"Mitigar",IF(AG1183="Medio","Mitigar","Aceptar y monitorear")))</f>
        <v/>
      </c>
      <c r="AI1183" s="21" t="n"/>
      <c r="AJ1183" s="21" t="n"/>
      <c r="AK1183" s="20" t="n"/>
      <c r="AL1183" s="77">
        <f>IFERROR(INDEX(MgAmenEfic,MATCH(SUBSTITUTE($H1183,"*","-"),MgAmenClave,0)),0)</f>
        <v/>
      </c>
    </row>
    <row r="1184" hidden="1" ht="105" customHeight="1" s="54">
      <c r="B1184" s="59" t="inlineStr">
        <is>
          <t>R-1179</t>
        </is>
      </c>
      <c r="C1184" s="59" t="inlineStr">
        <is>
          <t>GH-014</t>
        </is>
      </c>
      <c r="D1184" s="64">
        <f>IFERROR(INDEX(MgNombre,MATCH($C1184,MgActId,0)),"")</f>
        <v/>
      </c>
      <c r="E1184" s="64">
        <f>IFERROR(INDEX(MgProceso,MATCH($C1184,MgActId,0)),"")</f>
        <v/>
      </c>
      <c r="F1184" s="64">
        <f>IFERROR(INDEX(MgTipo,MATCH($C1184,MgActId,0)),"")</f>
        <v/>
      </c>
      <c r="G1184" s="64">
        <f>IFERROR(INDEX(MgSubtipo,MATCH($C1184,MgActId,0)),"")</f>
        <v/>
      </c>
      <c r="H1184" s="59" t="inlineStr">
        <is>
          <t>E.1</t>
        </is>
      </c>
      <c r="I1184" s="64">
        <f>IFERROR(INDEX(MgAmenNombre,MATCH(SUBSTITUTE($H1184,"*","-"),MgAmenClave,0)),"")</f>
        <v/>
      </c>
      <c r="J1184" s="28">
        <f>IFERROR(INDEX(MgAmenGrupo,MATCH(SUBSTITUTE($H1184,"*","-"),MgAmenClave,0)),"")</f>
        <v/>
      </c>
      <c r="K1184" s="64">
        <f>IFERROR(INDEX('1. Matriz de Activos'!$Q$6:$Q$239,MATCH($C1184,MgActId,0)),"")</f>
        <v/>
      </c>
      <c r="L1184" s="64">
        <f>IFERROR(INDEX('1. Matriz de Activos'!$R$6:$R$239,MATCH($C1184,MgActId,0)),"")</f>
        <v/>
      </c>
      <c r="M1184" s="64">
        <f>IFERROR(INDEX('1. Matriz de Activos'!$S$6:$S$239,MATCH($C1184,MgActId,0)),"")</f>
        <v/>
      </c>
      <c r="N1184" s="28">
        <f>IFERROR(INDEX(MgAmenDegD,MATCH(SUBSTITUTE($H1184,"*","-"),MgAmenClave,0)),"No aplica")</f>
        <v/>
      </c>
      <c r="O1184" s="28">
        <f>IFERROR(INDEX(MgAmenDegI,MATCH(SUBSTITUTE($H1184,"*","-"),MgAmenClave,0)),"No aplica")</f>
        <v/>
      </c>
      <c r="P1184" s="28">
        <f>IFERROR(INDEX(MgAmenDegC,MATCH(SUBSTITUTE($H1184,"*","-"),MgAmenClave,0)),"No aplica")</f>
        <v/>
      </c>
      <c r="Q1184" s="29">
        <f>IFERROR(VLOOKUP(K1184,MgValor,2,0)*VLOOKUP(N1184,MgDeg,2,0),0)</f>
        <v/>
      </c>
      <c r="R1184" s="29">
        <f>IFERROR(VLOOKUP(L1184,MgValor,2,0)*VLOOKUP(O1184,MgDeg,2,0),0)</f>
        <v/>
      </c>
      <c r="S1184" s="29">
        <f>IFERROR(VLOOKUP(M1184,MgValor,2,0)*VLOOKUP(P1184,MgDeg,2,0),0)</f>
        <v/>
      </c>
      <c r="T1184" s="30">
        <f>MAX(Q1184:S1184)</f>
        <v/>
      </c>
      <c r="U1184" s="28">
        <f>IFERROR(LOOKUP(T1184,{0;0.5;1.5;3;4.5},{"Despreciable";"Bajo";"Medio";"Alto";"Muy alto"}),"")</f>
        <v/>
      </c>
      <c r="V1184" s="13">
        <f>IFERROR(INDEX(MgAmenFrec,MATCH(SUBSTITUTE($H1184,"*","-"),MgAmenClave,0)),"")</f>
        <v/>
      </c>
      <c r="W1184" s="28">
        <f>IFERROR(LOOKUP(X1184,{0;0.01;0.1;1;10;100},{"Muy baja";"Muy baja";"Baja";"Media";"Alta";"Muy alta"}),"")</f>
        <v/>
      </c>
      <c r="X1184" s="31">
        <f>IFERROR(VLOOKUP(V1184,MgFrec,2,0),0)</f>
        <v/>
      </c>
      <c r="Y1184" s="30">
        <f>T1184*X1184</f>
        <v/>
      </c>
      <c r="Z1184" s="28">
        <f>IFERROR(LOOKUP(Y1184,{0;0.5;5;25},{"Bajo";"Medio";"Alto";"Crítico"}),"")</f>
        <v/>
      </c>
      <c r="AA1184" s="64">
        <f>IF(T1184&gt;=3,IF(X1184&gt;=1,"Zona 1 — Crítica: impacto alto y ocurre al menos una vez al año","Zona 4 — Catastrófica poco probable: impacto alto pero excepcional"),IF(AND(T1184&lt;1.5,X1184&lt;1),"Zona 3 — Asumible: impacto bajo y muy poco frecuente","Zona 2 — Atención: riesgo intermedio"))</f>
        <v/>
      </c>
      <c r="AB1184" s="64">
        <f>IFERROR(INDEX(MgAmenCtrl,MATCH(SUBSTITUTE($H1184,"*","-"),MgAmenClave,0)),"")</f>
        <v/>
      </c>
      <c r="AC1184" s="20" t="n"/>
      <c r="AD1184" s="31">
        <f>IFERROR($X1184*(1-IF($AC1184="",$AL1184,VLOOKUP($AC1184,MgMad,2,0))),"")</f>
        <v/>
      </c>
      <c r="AE1184" s="28">
        <f>IFERROR(LOOKUP(AD1184,{0;0.01;0.1;1;10;100},{"Muy baja";"Muy baja";"Baja";"Media";"Alta";"Muy alta"}),"")</f>
        <v/>
      </c>
      <c r="AF1184" s="30">
        <f>T1184*AD1184</f>
        <v/>
      </c>
      <c r="AG1184" s="28">
        <f>IFERROR(LOOKUP(AF1184,{0;0.5;5;25},{"Bajo";"Medio";"Alto";"Crítico"}),"")</f>
        <v/>
      </c>
      <c r="AH1184" s="28">
        <f>IF(AG1184="","",IF(OR(AG1184="Crítico",AG1184="Alto"),"Mitigar",IF(AG1184="Medio","Mitigar","Aceptar y monitorear")))</f>
        <v/>
      </c>
      <c r="AI1184" s="21" t="n"/>
      <c r="AJ1184" s="21" t="n"/>
      <c r="AK1184" s="20" t="n"/>
      <c r="AL1184" s="77">
        <f>IFERROR(INDEX(MgAmenEfic,MATCH(SUBSTITUTE($H1184,"*","-"),MgAmenClave,0)),0)</f>
        <v/>
      </c>
    </row>
    <row r="1185" hidden="1" ht="120" customHeight="1" s="54">
      <c r="B1185" s="59" t="inlineStr">
        <is>
          <t>R-1180</t>
        </is>
      </c>
      <c r="C1185" s="59" t="inlineStr">
        <is>
          <t>GH-014</t>
        </is>
      </c>
      <c r="D1185" s="64">
        <f>IFERROR(INDEX(MgNombre,MATCH($C1185,MgActId,0)),"")</f>
        <v/>
      </c>
      <c r="E1185" s="64">
        <f>IFERROR(INDEX(MgProceso,MATCH($C1185,MgActId,0)),"")</f>
        <v/>
      </c>
      <c r="F1185" s="64">
        <f>IFERROR(INDEX(MgTipo,MATCH($C1185,MgActId,0)),"")</f>
        <v/>
      </c>
      <c r="G1185" s="64">
        <f>IFERROR(INDEX(MgSubtipo,MATCH($C1185,MgActId,0)),"")</f>
        <v/>
      </c>
      <c r="H1185" s="59" t="inlineStr">
        <is>
          <t>E.2</t>
        </is>
      </c>
      <c r="I1185" s="64">
        <f>IFERROR(INDEX(MgAmenNombre,MATCH(SUBSTITUTE($H1185,"*","-"),MgAmenClave,0)),"")</f>
        <v/>
      </c>
      <c r="J1185" s="28">
        <f>IFERROR(INDEX(MgAmenGrupo,MATCH(SUBSTITUTE($H1185,"*","-"),MgAmenClave,0)),"")</f>
        <v/>
      </c>
      <c r="K1185" s="64">
        <f>IFERROR(INDEX('1. Matriz de Activos'!$Q$6:$Q$239,MATCH($C1185,MgActId,0)),"")</f>
        <v/>
      </c>
      <c r="L1185" s="64">
        <f>IFERROR(INDEX('1. Matriz de Activos'!$R$6:$R$239,MATCH($C1185,MgActId,0)),"")</f>
        <v/>
      </c>
      <c r="M1185" s="64">
        <f>IFERROR(INDEX('1. Matriz de Activos'!$S$6:$S$239,MATCH($C1185,MgActId,0)),"")</f>
        <v/>
      </c>
      <c r="N1185" s="28">
        <f>IFERROR(INDEX(MgAmenDegD,MATCH(SUBSTITUTE($H1185,"*","-"),MgAmenClave,0)),"No aplica")</f>
        <v/>
      </c>
      <c r="O1185" s="28">
        <f>IFERROR(INDEX(MgAmenDegI,MATCH(SUBSTITUTE($H1185,"*","-"),MgAmenClave,0)),"No aplica")</f>
        <v/>
      </c>
      <c r="P1185" s="28">
        <f>IFERROR(INDEX(MgAmenDegC,MATCH(SUBSTITUTE($H1185,"*","-"),MgAmenClave,0)),"No aplica")</f>
        <v/>
      </c>
      <c r="Q1185" s="29">
        <f>IFERROR(VLOOKUP(K1185,MgValor,2,0)*VLOOKUP(N1185,MgDeg,2,0),0)</f>
        <v/>
      </c>
      <c r="R1185" s="29">
        <f>IFERROR(VLOOKUP(L1185,MgValor,2,0)*VLOOKUP(O1185,MgDeg,2,0),0)</f>
        <v/>
      </c>
      <c r="S1185" s="29">
        <f>IFERROR(VLOOKUP(M1185,MgValor,2,0)*VLOOKUP(P1185,MgDeg,2,0),0)</f>
        <v/>
      </c>
      <c r="T1185" s="30">
        <f>MAX(Q1185:S1185)</f>
        <v/>
      </c>
      <c r="U1185" s="28">
        <f>IFERROR(LOOKUP(T1185,{0;0.5;1.5;3;4.5},{"Despreciable";"Bajo";"Medio";"Alto";"Muy alto"}),"")</f>
        <v/>
      </c>
      <c r="V1185" s="13">
        <f>IFERROR(INDEX(MgAmenFrec,MATCH(SUBSTITUTE($H1185,"*","-"),MgAmenClave,0)),"")</f>
        <v/>
      </c>
      <c r="W1185" s="28">
        <f>IFERROR(LOOKUP(X1185,{0;0.01;0.1;1;10;100},{"Muy baja";"Muy baja";"Baja";"Media";"Alta";"Muy alta"}),"")</f>
        <v/>
      </c>
      <c r="X1185" s="31">
        <f>IFERROR(VLOOKUP(V1185,MgFrec,2,0),0)</f>
        <v/>
      </c>
      <c r="Y1185" s="30">
        <f>T1185*X1185</f>
        <v/>
      </c>
      <c r="Z1185" s="28">
        <f>IFERROR(LOOKUP(Y1185,{0;0.5;5;25},{"Bajo";"Medio";"Alto";"Crítico"}),"")</f>
        <v/>
      </c>
      <c r="AA1185" s="64">
        <f>IF(T1185&gt;=3,IF(X1185&gt;=1,"Zona 1 — Crítica: impacto alto y ocurre al menos una vez al año","Zona 4 — Catastrófica poco probable: impacto alto pero excepcional"),IF(AND(T1185&lt;1.5,X1185&lt;1),"Zona 3 — Asumible: impacto bajo y muy poco frecuente","Zona 2 — Atención: riesgo intermedio"))</f>
        <v/>
      </c>
      <c r="AB1185" s="64">
        <f>IFERROR(INDEX(MgAmenCtrl,MATCH(SUBSTITUTE($H1185,"*","-"),MgAmenClave,0)),"")</f>
        <v/>
      </c>
      <c r="AC1185" s="20" t="n"/>
      <c r="AD1185" s="31">
        <f>IFERROR($X1185*(1-IF($AC1185="",$AL1185,VLOOKUP($AC1185,MgMad,2,0))),"")</f>
        <v/>
      </c>
      <c r="AE1185" s="28">
        <f>IFERROR(LOOKUP(AD1185,{0;0.01;0.1;1;10;100},{"Muy baja";"Muy baja";"Baja";"Media";"Alta";"Muy alta"}),"")</f>
        <v/>
      </c>
      <c r="AF1185" s="30">
        <f>T1185*AD1185</f>
        <v/>
      </c>
      <c r="AG1185" s="28">
        <f>IFERROR(LOOKUP(AF1185,{0;0.5;5;25},{"Bajo";"Medio";"Alto";"Crítico"}),"")</f>
        <v/>
      </c>
      <c r="AH1185" s="28">
        <f>IF(AG1185="","",IF(OR(AG1185="Crítico",AG1185="Alto"),"Mitigar",IF(AG1185="Medio","Mitigar","Aceptar y monitorear")))</f>
        <v/>
      </c>
      <c r="AI1185" s="21" t="n"/>
      <c r="AJ1185" s="21" t="n"/>
      <c r="AK1185" s="20" t="n"/>
      <c r="AL1185" s="77">
        <f>IFERROR(INDEX(MgAmenEfic,MATCH(SUBSTITUTE($H1185,"*","-"),MgAmenClave,0)),0)</f>
        <v/>
      </c>
    </row>
    <row r="1186" hidden="1" ht="75" customHeight="1" s="54">
      <c r="B1186" s="59" t="inlineStr">
        <is>
          <t>R-1181</t>
        </is>
      </c>
      <c r="C1186" s="59" t="inlineStr">
        <is>
          <t>GH-014</t>
        </is>
      </c>
      <c r="D1186" s="64">
        <f>IFERROR(INDEX(MgNombre,MATCH($C1186,MgActId,0)),"")</f>
        <v/>
      </c>
      <c r="E1186" s="64">
        <f>IFERROR(INDEX(MgProceso,MATCH($C1186,MgActId,0)),"")</f>
        <v/>
      </c>
      <c r="F1186" s="64">
        <f>IFERROR(INDEX(MgTipo,MATCH($C1186,MgActId,0)),"")</f>
        <v/>
      </c>
      <c r="G1186" s="64">
        <f>IFERROR(INDEX(MgSubtipo,MATCH($C1186,MgActId,0)),"")</f>
        <v/>
      </c>
      <c r="H1186" s="59" t="inlineStr">
        <is>
          <t>E.3</t>
        </is>
      </c>
      <c r="I1186" s="64">
        <f>IFERROR(INDEX(MgAmenNombre,MATCH(SUBSTITUTE($H1186,"*","-"),MgAmenClave,0)),"")</f>
        <v/>
      </c>
      <c r="J1186" s="28">
        <f>IFERROR(INDEX(MgAmenGrupo,MATCH(SUBSTITUTE($H1186,"*","-"),MgAmenClave,0)),"")</f>
        <v/>
      </c>
      <c r="K1186" s="64">
        <f>IFERROR(INDEX('1. Matriz de Activos'!$Q$6:$Q$239,MATCH($C1186,MgActId,0)),"")</f>
        <v/>
      </c>
      <c r="L1186" s="64">
        <f>IFERROR(INDEX('1. Matriz de Activos'!$R$6:$R$239,MATCH($C1186,MgActId,0)),"")</f>
        <v/>
      </c>
      <c r="M1186" s="64">
        <f>IFERROR(INDEX('1. Matriz de Activos'!$S$6:$S$239,MATCH($C1186,MgActId,0)),"")</f>
        <v/>
      </c>
      <c r="N1186" s="28">
        <f>IFERROR(INDEX(MgAmenDegD,MATCH(SUBSTITUTE($H1186,"*","-"),MgAmenClave,0)),"No aplica")</f>
        <v/>
      </c>
      <c r="O1186" s="28">
        <f>IFERROR(INDEX(MgAmenDegI,MATCH(SUBSTITUTE($H1186,"*","-"),MgAmenClave,0)),"No aplica")</f>
        <v/>
      </c>
      <c r="P1186" s="28">
        <f>IFERROR(INDEX(MgAmenDegC,MATCH(SUBSTITUTE($H1186,"*","-"),MgAmenClave,0)),"No aplica")</f>
        <v/>
      </c>
      <c r="Q1186" s="29">
        <f>IFERROR(VLOOKUP(K1186,MgValor,2,0)*VLOOKUP(N1186,MgDeg,2,0),0)</f>
        <v/>
      </c>
      <c r="R1186" s="29">
        <f>IFERROR(VLOOKUP(L1186,MgValor,2,0)*VLOOKUP(O1186,MgDeg,2,0),0)</f>
        <v/>
      </c>
      <c r="S1186" s="29">
        <f>IFERROR(VLOOKUP(M1186,MgValor,2,0)*VLOOKUP(P1186,MgDeg,2,0),0)</f>
        <v/>
      </c>
      <c r="T1186" s="30">
        <f>MAX(Q1186:S1186)</f>
        <v/>
      </c>
      <c r="U1186" s="28">
        <f>IFERROR(LOOKUP(T1186,{0;0.5;1.5;3;4.5},{"Despreciable";"Bajo";"Medio";"Alto";"Muy alto"}),"")</f>
        <v/>
      </c>
      <c r="V1186" s="13">
        <f>IFERROR(INDEX(MgAmenFrec,MATCH(SUBSTITUTE($H1186,"*","-"),MgAmenClave,0)),"")</f>
        <v/>
      </c>
      <c r="W1186" s="28">
        <f>IFERROR(LOOKUP(X1186,{0;0.01;0.1;1;10;100},{"Muy baja";"Muy baja";"Baja";"Media";"Alta";"Muy alta"}),"")</f>
        <v/>
      </c>
      <c r="X1186" s="31">
        <f>IFERROR(VLOOKUP(V1186,MgFrec,2,0),0)</f>
        <v/>
      </c>
      <c r="Y1186" s="30">
        <f>T1186*X1186</f>
        <v/>
      </c>
      <c r="Z1186" s="28">
        <f>IFERROR(LOOKUP(Y1186,{0;0.5;5;25},{"Bajo";"Medio";"Alto";"Crítico"}),"")</f>
        <v/>
      </c>
      <c r="AA1186" s="64">
        <f>IF(T1186&gt;=3,IF(X1186&gt;=1,"Zona 1 — Crítica: impacto alto y ocurre al menos una vez al año","Zona 4 — Catastrófica poco probable: impacto alto pero excepcional"),IF(AND(T1186&lt;1.5,X1186&lt;1),"Zona 3 — Asumible: impacto bajo y muy poco frecuente","Zona 2 — Atención: riesgo intermedio"))</f>
        <v/>
      </c>
      <c r="AB1186" s="64">
        <f>IFERROR(INDEX(MgAmenCtrl,MATCH(SUBSTITUTE($H1186,"*","-"),MgAmenClave,0)),"")</f>
        <v/>
      </c>
      <c r="AC1186" s="20" t="n"/>
      <c r="AD1186" s="31">
        <f>IFERROR($X1186*(1-IF($AC1186="",$AL1186,VLOOKUP($AC1186,MgMad,2,0))),"")</f>
        <v/>
      </c>
      <c r="AE1186" s="28">
        <f>IFERROR(LOOKUP(AD1186,{0;0.01;0.1;1;10;100},{"Muy baja";"Muy baja";"Baja";"Media";"Alta";"Muy alta"}),"")</f>
        <v/>
      </c>
      <c r="AF1186" s="30">
        <f>T1186*AD1186</f>
        <v/>
      </c>
      <c r="AG1186" s="28">
        <f>IFERROR(LOOKUP(AF1186,{0;0.5;5;25},{"Bajo";"Medio";"Alto";"Crítico"}),"")</f>
        <v/>
      </c>
      <c r="AH1186" s="28">
        <f>IF(AG1186="","",IF(OR(AG1186="Crítico",AG1186="Alto"),"Mitigar",IF(AG1186="Medio","Mitigar","Aceptar y monitorear")))</f>
        <v/>
      </c>
      <c r="AI1186" s="21" t="n"/>
      <c r="AJ1186" s="21" t="n"/>
      <c r="AK1186" s="20" t="n"/>
      <c r="AL1186" s="77">
        <f>IFERROR(INDEX(MgAmenEfic,MATCH(SUBSTITUTE($H1186,"*","-"),MgAmenClave,0)),0)</f>
        <v/>
      </c>
    </row>
    <row r="1187" hidden="1" ht="75" customHeight="1" s="54">
      <c r="B1187" s="59" t="inlineStr">
        <is>
          <t>R-1182</t>
        </is>
      </c>
      <c r="C1187" s="59" t="inlineStr">
        <is>
          <t>GH-014</t>
        </is>
      </c>
      <c r="D1187" s="64">
        <f>IFERROR(INDEX(MgNombre,MATCH($C1187,MgActId,0)),"")</f>
        <v/>
      </c>
      <c r="E1187" s="64">
        <f>IFERROR(INDEX(MgProceso,MATCH($C1187,MgActId,0)),"")</f>
        <v/>
      </c>
      <c r="F1187" s="64">
        <f>IFERROR(INDEX(MgTipo,MATCH($C1187,MgActId,0)),"")</f>
        <v/>
      </c>
      <c r="G1187" s="64">
        <f>IFERROR(INDEX(MgSubtipo,MATCH($C1187,MgActId,0)),"")</f>
        <v/>
      </c>
      <c r="H1187" s="59" t="inlineStr">
        <is>
          <t>E.4</t>
        </is>
      </c>
      <c r="I1187" s="64">
        <f>IFERROR(INDEX(MgAmenNombre,MATCH(SUBSTITUTE($H1187,"*","-"),MgAmenClave,0)),"")</f>
        <v/>
      </c>
      <c r="J1187" s="28">
        <f>IFERROR(INDEX(MgAmenGrupo,MATCH(SUBSTITUTE($H1187,"*","-"),MgAmenClave,0)),"")</f>
        <v/>
      </c>
      <c r="K1187" s="64">
        <f>IFERROR(INDEX('1. Matriz de Activos'!$Q$6:$Q$239,MATCH($C1187,MgActId,0)),"")</f>
        <v/>
      </c>
      <c r="L1187" s="64">
        <f>IFERROR(INDEX('1. Matriz de Activos'!$R$6:$R$239,MATCH($C1187,MgActId,0)),"")</f>
        <v/>
      </c>
      <c r="M1187" s="64">
        <f>IFERROR(INDEX('1. Matriz de Activos'!$S$6:$S$239,MATCH($C1187,MgActId,0)),"")</f>
        <v/>
      </c>
      <c r="N1187" s="28">
        <f>IFERROR(INDEX(MgAmenDegD,MATCH(SUBSTITUTE($H1187,"*","-"),MgAmenClave,0)),"No aplica")</f>
        <v/>
      </c>
      <c r="O1187" s="28">
        <f>IFERROR(INDEX(MgAmenDegI,MATCH(SUBSTITUTE($H1187,"*","-"),MgAmenClave,0)),"No aplica")</f>
        <v/>
      </c>
      <c r="P1187" s="28">
        <f>IFERROR(INDEX(MgAmenDegC,MATCH(SUBSTITUTE($H1187,"*","-"),MgAmenClave,0)),"No aplica")</f>
        <v/>
      </c>
      <c r="Q1187" s="29">
        <f>IFERROR(VLOOKUP(K1187,MgValor,2,0)*VLOOKUP(N1187,MgDeg,2,0),0)</f>
        <v/>
      </c>
      <c r="R1187" s="29">
        <f>IFERROR(VLOOKUP(L1187,MgValor,2,0)*VLOOKUP(O1187,MgDeg,2,0),0)</f>
        <v/>
      </c>
      <c r="S1187" s="29">
        <f>IFERROR(VLOOKUP(M1187,MgValor,2,0)*VLOOKUP(P1187,MgDeg,2,0),0)</f>
        <v/>
      </c>
      <c r="T1187" s="30">
        <f>MAX(Q1187:S1187)</f>
        <v/>
      </c>
      <c r="U1187" s="28">
        <f>IFERROR(LOOKUP(T1187,{0;0.5;1.5;3;4.5},{"Despreciable";"Bajo";"Medio";"Alto";"Muy alto"}),"")</f>
        <v/>
      </c>
      <c r="V1187" s="13">
        <f>IFERROR(INDEX(MgAmenFrec,MATCH(SUBSTITUTE($H1187,"*","-"),MgAmenClave,0)),"")</f>
        <v/>
      </c>
      <c r="W1187" s="28">
        <f>IFERROR(LOOKUP(X1187,{0;0.01;0.1;1;10;100},{"Muy baja";"Muy baja";"Baja";"Media";"Alta";"Muy alta"}),"")</f>
        <v/>
      </c>
      <c r="X1187" s="31">
        <f>IFERROR(VLOOKUP(V1187,MgFrec,2,0),0)</f>
        <v/>
      </c>
      <c r="Y1187" s="30">
        <f>T1187*X1187</f>
        <v/>
      </c>
      <c r="Z1187" s="28">
        <f>IFERROR(LOOKUP(Y1187,{0;0.5;5;25},{"Bajo";"Medio";"Alto";"Crítico"}),"")</f>
        <v/>
      </c>
      <c r="AA1187" s="64">
        <f>IF(T1187&gt;=3,IF(X1187&gt;=1,"Zona 1 — Crítica: impacto alto y ocurre al menos una vez al año","Zona 4 — Catastrófica poco probable: impacto alto pero excepcional"),IF(AND(T1187&lt;1.5,X1187&lt;1),"Zona 3 — Asumible: impacto bajo y muy poco frecuente","Zona 2 — Atención: riesgo intermedio"))</f>
        <v/>
      </c>
      <c r="AB1187" s="64">
        <f>IFERROR(INDEX(MgAmenCtrl,MATCH(SUBSTITUTE($H1187,"*","-"),MgAmenClave,0)),"")</f>
        <v/>
      </c>
      <c r="AC1187" s="20" t="n"/>
      <c r="AD1187" s="31">
        <f>IFERROR($X1187*(1-IF($AC1187="",$AL1187,VLOOKUP($AC1187,MgMad,2,0))),"")</f>
        <v/>
      </c>
      <c r="AE1187" s="28">
        <f>IFERROR(LOOKUP(AD1187,{0;0.01;0.1;1;10;100},{"Muy baja";"Muy baja";"Baja";"Media";"Alta";"Muy alta"}),"")</f>
        <v/>
      </c>
      <c r="AF1187" s="30">
        <f>T1187*AD1187</f>
        <v/>
      </c>
      <c r="AG1187" s="28">
        <f>IFERROR(LOOKUP(AF1187,{0;0.5;5;25},{"Bajo";"Medio";"Alto";"Crítico"}),"")</f>
        <v/>
      </c>
      <c r="AH1187" s="28">
        <f>IF(AG1187="","",IF(OR(AG1187="Crítico",AG1187="Alto"),"Mitigar",IF(AG1187="Medio","Mitigar","Aceptar y monitorear")))</f>
        <v/>
      </c>
      <c r="AI1187" s="21" t="n"/>
      <c r="AJ1187" s="21" t="n"/>
      <c r="AK1187" s="20" t="n"/>
      <c r="AL1187" s="77">
        <f>IFERROR(INDEX(MgAmenEfic,MATCH(SUBSTITUTE($H1187,"*","-"),MgAmenClave,0)),0)</f>
        <v/>
      </c>
    </row>
    <row r="1188" hidden="1" ht="90" customHeight="1" s="54">
      <c r="B1188" s="59" t="inlineStr">
        <is>
          <t>R-1183</t>
        </is>
      </c>
      <c r="C1188" s="59" t="inlineStr">
        <is>
          <t>GH-014</t>
        </is>
      </c>
      <c r="D1188" s="64">
        <f>IFERROR(INDEX(MgNombre,MATCH($C1188,MgActId,0)),"")</f>
        <v/>
      </c>
      <c r="E1188" s="64">
        <f>IFERROR(INDEX(MgProceso,MATCH($C1188,MgActId,0)),"")</f>
        <v/>
      </c>
      <c r="F1188" s="64">
        <f>IFERROR(INDEX(MgTipo,MATCH($C1188,MgActId,0)),"")</f>
        <v/>
      </c>
      <c r="G1188" s="64">
        <f>IFERROR(INDEX(MgSubtipo,MATCH($C1188,MgActId,0)),"")</f>
        <v/>
      </c>
      <c r="H1188" s="59" t="inlineStr">
        <is>
          <t>E.14</t>
        </is>
      </c>
      <c r="I1188" s="64">
        <f>IFERROR(INDEX(MgAmenNombre,MATCH(SUBSTITUTE($H1188,"*","-"),MgAmenClave,0)),"")</f>
        <v/>
      </c>
      <c r="J1188" s="28">
        <f>IFERROR(INDEX(MgAmenGrupo,MATCH(SUBSTITUTE($H1188,"*","-"),MgAmenClave,0)),"")</f>
        <v/>
      </c>
      <c r="K1188" s="64">
        <f>IFERROR(INDEX('1. Matriz de Activos'!$Q$6:$Q$239,MATCH($C1188,MgActId,0)),"")</f>
        <v/>
      </c>
      <c r="L1188" s="64">
        <f>IFERROR(INDEX('1. Matriz de Activos'!$R$6:$R$239,MATCH($C1188,MgActId,0)),"")</f>
        <v/>
      </c>
      <c r="M1188" s="64">
        <f>IFERROR(INDEX('1. Matriz de Activos'!$S$6:$S$239,MATCH($C1188,MgActId,0)),"")</f>
        <v/>
      </c>
      <c r="N1188" s="28">
        <f>IFERROR(INDEX(MgAmenDegD,MATCH(SUBSTITUTE($H1188,"*","-"),MgAmenClave,0)),"No aplica")</f>
        <v/>
      </c>
      <c r="O1188" s="28">
        <f>IFERROR(INDEX(MgAmenDegI,MATCH(SUBSTITUTE($H1188,"*","-"),MgAmenClave,0)),"No aplica")</f>
        <v/>
      </c>
      <c r="P1188" s="28">
        <f>IFERROR(INDEX(MgAmenDegC,MATCH(SUBSTITUTE($H1188,"*","-"),MgAmenClave,0)),"No aplica")</f>
        <v/>
      </c>
      <c r="Q1188" s="29">
        <f>IFERROR(VLOOKUP(K1188,MgValor,2,0)*VLOOKUP(N1188,MgDeg,2,0),0)</f>
        <v/>
      </c>
      <c r="R1188" s="29">
        <f>IFERROR(VLOOKUP(L1188,MgValor,2,0)*VLOOKUP(O1188,MgDeg,2,0),0)</f>
        <v/>
      </c>
      <c r="S1188" s="29">
        <f>IFERROR(VLOOKUP(M1188,MgValor,2,0)*VLOOKUP(P1188,MgDeg,2,0),0)</f>
        <v/>
      </c>
      <c r="T1188" s="30">
        <f>MAX(Q1188:S1188)</f>
        <v/>
      </c>
      <c r="U1188" s="28">
        <f>IFERROR(LOOKUP(T1188,{0;0.5;1.5;3;4.5},{"Despreciable";"Bajo";"Medio";"Alto";"Muy alto"}),"")</f>
        <v/>
      </c>
      <c r="V1188" s="13">
        <f>IFERROR(INDEX(MgAmenFrec,MATCH(SUBSTITUTE($H1188,"*","-"),MgAmenClave,0)),"")</f>
        <v/>
      </c>
      <c r="W1188" s="28">
        <f>IFERROR(LOOKUP(X1188,{0;0.01;0.1;1;10;100},{"Muy baja";"Muy baja";"Baja";"Media";"Alta";"Muy alta"}),"")</f>
        <v/>
      </c>
      <c r="X1188" s="31">
        <f>IFERROR(VLOOKUP(V1188,MgFrec,2,0),0)</f>
        <v/>
      </c>
      <c r="Y1188" s="30">
        <f>T1188*X1188</f>
        <v/>
      </c>
      <c r="Z1188" s="28">
        <f>IFERROR(LOOKUP(Y1188,{0;0.5;5;25},{"Bajo";"Medio";"Alto";"Crítico"}),"")</f>
        <v/>
      </c>
      <c r="AA1188" s="64">
        <f>IF(T1188&gt;=3,IF(X1188&gt;=1,"Zona 1 — Crítica: impacto alto y ocurre al menos una vez al año","Zona 4 — Catastrófica poco probable: impacto alto pero excepcional"),IF(AND(T1188&lt;1.5,X1188&lt;1),"Zona 3 — Asumible: impacto bajo y muy poco frecuente","Zona 2 — Atención: riesgo intermedio"))</f>
        <v/>
      </c>
      <c r="AB1188" s="64">
        <f>IFERROR(INDEX(MgAmenCtrl,MATCH(SUBSTITUTE($H1188,"*","-"),MgAmenClave,0)),"")</f>
        <v/>
      </c>
      <c r="AC1188" s="20" t="n"/>
      <c r="AD1188" s="31">
        <f>IFERROR($X1188*(1-IF($AC1188="",$AL1188,VLOOKUP($AC1188,MgMad,2,0))),"")</f>
        <v/>
      </c>
      <c r="AE1188" s="28">
        <f>IFERROR(LOOKUP(AD1188,{0;0.01;0.1;1;10;100},{"Muy baja";"Muy baja";"Baja";"Media";"Alta";"Muy alta"}),"")</f>
        <v/>
      </c>
      <c r="AF1188" s="30">
        <f>T1188*AD1188</f>
        <v/>
      </c>
      <c r="AG1188" s="28">
        <f>IFERROR(LOOKUP(AF1188,{0;0.5;5;25},{"Bajo";"Medio";"Alto";"Crítico"}),"")</f>
        <v/>
      </c>
      <c r="AH1188" s="28">
        <f>IF(AG1188="","",IF(OR(AG1188="Crítico",AG1188="Alto"),"Mitigar",IF(AG1188="Medio","Mitigar","Aceptar y monitorear")))</f>
        <v/>
      </c>
      <c r="AI1188" s="21" t="n"/>
      <c r="AJ1188" s="21" t="n"/>
      <c r="AK1188" s="20" t="n"/>
      <c r="AL1188" s="77">
        <f>IFERROR(INDEX(MgAmenEfic,MATCH(SUBSTITUTE($H1188,"*","-"),MgAmenClave,0)),0)</f>
        <v/>
      </c>
    </row>
    <row r="1189" hidden="1" ht="90" customHeight="1" s="54">
      <c r="B1189" s="59" t="inlineStr">
        <is>
          <t>R-1184</t>
        </is>
      </c>
      <c r="C1189" s="59" t="inlineStr">
        <is>
          <t>GH-014</t>
        </is>
      </c>
      <c r="D1189" s="64">
        <f>IFERROR(INDEX(MgNombre,MATCH($C1189,MgActId,0)),"")</f>
        <v/>
      </c>
      <c r="E1189" s="64">
        <f>IFERROR(INDEX(MgProceso,MATCH($C1189,MgActId,0)),"")</f>
        <v/>
      </c>
      <c r="F1189" s="64">
        <f>IFERROR(INDEX(MgTipo,MATCH($C1189,MgActId,0)),"")</f>
        <v/>
      </c>
      <c r="G1189" s="64">
        <f>IFERROR(INDEX(MgSubtipo,MATCH($C1189,MgActId,0)),"")</f>
        <v/>
      </c>
      <c r="H1189" s="59" t="inlineStr">
        <is>
          <t>E.15</t>
        </is>
      </c>
      <c r="I1189" s="64">
        <f>IFERROR(INDEX(MgAmenNombre,MATCH(SUBSTITUTE($H1189,"*","-"),MgAmenClave,0)),"")</f>
        <v/>
      </c>
      <c r="J1189" s="28">
        <f>IFERROR(INDEX(MgAmenGrupo,MATCH(SUBSTITUTE($H1189,"*","-"),MgAmenClave,0)),"")</f>
        <v/>
      </c>
      <c r="K1189" s="64">
        <f>IFERROR(INDEX('1. Matriz de Activos'!$Q$6:$Q$239,MATCH($C1189,MgActId,0)),"")</f>
        <v/>
      </c>
      <c r="L1189" s="64">
        <f>IFERROR(INDEX('1. Matriz de Activos'!$R$6:$R$239,MATCH($C1189,MgActId,0)),"")</f>
        <v/>
      </c>
      <c r="M1189" s="64">
        <f>IFERROR(INDEX('1. Matriz de Activos'!$S$6:$S$239,MATCH($C1189,MgActId,0)),"")</f>
        <v/>
      </c>
      <c r="N1189" s="28">
        <f>IFERROR(INDEX(MgAmenDegD,MATCH(SUBSTITUTE($H1189,"*","-"),MgAmenClave,0)),"No aplica")</f>
        <v/>
      </c>
      <c r="O1189" s="28">
        <f>IFERROR(INDEX(MgAmenDegI,MATCH(SUBSTITUTE($H1189,"*","-"),MgAmenClave,0)),"No aplica")</f>
        <v/>
      </c>
      <c r="P1189" s="28">
        <f>IFERROR(INDEX(MgAmenDegC,MATCH(SUBSTITUTE($H1189,"*","-"),MgAmenClave,0)),"No aplica")</f>
        <v/>
      </c>
      <c r="Q1189" s="29">
        <f>IFERROR(VLOOKUP(K1189,MgValor,2,0)*VLOOKUP(N1189,MgDeg,2,0),0)</f>
        <v/>
      </c>
      <c r="R1189" s="29">
        <f>IFERROR(VLOOKUP(L1189,MgValor,2,0)*VLOOKUP(O1189,MgDeg,2,0),0)</f>
        <v/>
      </c>
      <c r="S1189" s="29">
        <f>IFERROR(VLOOKUP(M1189,MgValor,2,0)*VLOOKUP(P1189,MgDeg,2,0),0)</f>
        <v/>
      </c>
      <c r="T1189" s="30">
        <f>MAX(Q1189:S1189)</f>
        <v/>
      </c>
      <c r="U1189" s="28">
        <f>IFERROR(LOOKUP(T1189,{0;0.5;1.5;3;4.5},{"Despreciable";"Bajo";"Medio";"Alto";"Muy alto"}),"")</f>
        <v/>
      </c>
      <c r="V1189" s="13">
        <f>IFERROR(INDEX(MgAmenFrec,MATCH(SUBSTITUTE($H1189,"*","-"),MgAmenClave,0)),"")</f>
        <v/>
      </c>
      <c r="W1189" s="28">
        <f>IFERROR(LOOKUP(X1189,{0;0.01;0.1;1;10;100},{"Muy baja";"Muy baja";"Baja";"Media";"Alta";"Muy alta"}),"")</f>
        <v/>
      </c>
      <c r="X1189" s="31">
        <f>IFERROR(VLOOKUP(V1189,MgFrec,2,0),0)</f>
        <v/>
      </c>
      <c r="Y1189" s="30">
        <f>T1189*X1189</f>
        <v/>
      </c>
      <c r="Z1189" s="28">
        <f>IFERROR(LOOKUP(Y1189,{0;0.5;5;25},{"Bajo";"Medio";"Alto";"Crítico"}),"")</f>
        <v/>
      </c>
      <c r="AA1189" s="64">
        <f>IF(T1189&gt;=3,IF(X1189&gt;=1,"Zona 1 — Crítica: impacto alto y ocurre al menos una vez al año","Zona 4 — Catastrófica poco probable: impacto alto pero excepcional"),IF(AND(T1189&lt;1.5,X1189&lt;1),"Zona 3 — Asumible: impacto bajo y muy poco frecuente","Zona 2 — Atención: riesgo intermedio"))</f>
        <v/>
      </c>
      <c r="AB1189" s="64">
        <f>IFERROR(INDEX(MgAmenCtrl,MATCH(SUBSTITUTE($H1189,"*","-"),MgAmenClave,0)),"")</f>
        <v/>
      </c>
      <c r="AC1189" s="20" t="n"/>
      <c r="AD1189" s="31">
        <f>IFERROR($X1189*(1-IF($AC1189="",$AL1189,VLOOKUP($AC1189,MgMad,2,0))),"")</f>
        <v/>
      </c>
      <c r="AE1189" s="28">
        <f>IFERROR(LOOKUP(AD1189,{0;0.01;0.1;1;10;100},{"Muy baja";"Muy baja";"Baja";"Media";"Alta";"Muy alta"}),"")</f>
        <v/>
      </c>
      <c r="AF1189" s="30">
        <f>T1189*AD1189</f>
        <v/>
      </c>
      <c r="AG1189" s="28">
        <f>IFERROR(LOOKUP(AF1189,{0;0.5;5;25},{"Bajo";"Medio";"Alto";"Crítico"}),"")</f>
        <v/>
      </c>
      <c r="AH1189" s="28">
        <f>IF(AG1189="","",IF(OR(AG1189="Crítico",AG1189="Alto"),"Mitigar",IF(AG1189="Medio","Mitigar","Aceptar y monitorear")))</f>
        <v/>
      </c>
      <c r="AI1189" s="21" t="n"/>
      <c r="AJ1189" s="21" t="n"/>
      <c r="AK1189" s="20" t="n"/>
      <c r="AL1189" s="77">
        <f>IFERROR(INDEX(MgAmenEfic,MATCH(SUBSTITUTE($H1189,"*","-"),MgAmenClave,0)),0)</f>
        <v/>
      </c>
    </row>
    <row r="1190" hidden="1" ht="60" customHeight="1" s="54">
      <c r="B1190" s="59" t="inlineStr">
        <is>
          <t>R-1185</t>
        </is>
      </c>
      <c r="C1190" s="59" t="inlineStr">
        <is>
          <t>GH-014</t>
        </is>
      </c>
      <c r="D1190" s="64">
        <f>IFERROR(INDEX(MgNombre,MATCH($C1190,MgActId,0)),"")</f>
        <v/>
      </c>
      <c r="E1190" s="64">
        <f>IFERROR(INDEX(MgProceso,MATCH($C1190,MgActId,0)),"")</f>
        <v/>
      </c>
      <c r="F1190" s="64">
        <f>IFERROR(INDEX(MgTipo,MATCH($C1190,MgActId,0)),"")</f>
        <v/>
      </c>
      <c r="G1190" s="64">
        <f>IFERROR(INDEX(MgSubtipo,MATCH($C1190,MgActId,0)),"")</f>
        <v/>
      </c>
      <c r="H1190" s="59" t="inlineStr">
        <is>
          <t>E.18</t>
        </is>
      </c>
      <c r="I1190" s="64">
        <f>IFERROR(INDEX(MgAmenNombre,MATCH(SUBSTITUTE($H1190,"*","-"),MgAmenClave,0)),"")</f>
        <v/>
      </c>
      <c r="J1190" s="28">
        <f>IFERROR(INDEX(MgAmenGrupo,MATCH(SUBSTITUTE($H1190,"*","-"),MgAmenClave,0)),"")</f>
        <v/>
      </c>
      <c r="K1190" s="64">
        <f>IFERROR(INDEX('1. Matriz de Activos'!$Q$6:$Q$239,MATCH($C1190,MgActId,0)),"")</f>
        <v/>
      </c>
      <c r="L1190" s="64">
        <f>IFERROR(INDEX('1. Matriz de Activos'!$R$6:$R$239,MATCH($C1190,MgActId,0)),"")</f>
        <v/>
      </c>
      <c r="M1190" s="64">
        <f>IFERROR(INDEX('1. Matriz de Activos'!$S$6:$S$239,MATCH($C1190,MgActId,0)),"")</f>
        <v/>
      </c>
      <c r="N1190" s="28">
        <f>IFERROR(INDEX(MgAmenDegD,MATCH(SUBSTITUTE($H1190,"*","-"),MgAmenClave,0)),"No aplica")</f>
        <v/>
      </c>
      <c r="O1190" s="28">
        <f>IFERROR(INDEX(MgAmenDegI,MATCH(SUBSTITUTE($H1190,"*","-"),MgAmenClave,0)),"No aplica")</f>
        <v/>
      </c>
      <c r="P1190" s="28">
        <f>IFERROR(INDEX(MgAmenDegC,MATCH(SUBSTITUTE($H1190,"*","-"),MgAmenClave,0)),"No aplica")</f>
        <v/>
      </c>
      <c r="Q1190" s="29">
        <f>IFERROR(VLOOKUP(K1190,MgValor,2,0)*VLOOKUP(N1190,MgDeg,2,0),0)</f>
        <v/>
      </c>
      <c r="R1190" s="29">
        <f>IFERROR(VLOOKUP(L1190,MgValor,2,0)*VLOOKUP(O1190,MgDeg,2,0),0)</f>
        <v/>
      </c>
      <c r="S1190" s="29">
        <f>IFERROR(VLOOKUP(M1190,MgValor,2,0)*VLOOKUP(P1190,MgDeg,2,0),0)</f>
        <v/>
      </c>
      <c r="T1190" s="30">
        <f>MAX(Q1190:S1190)</f>
        <v/>
      </c>
      <c r="U1190" s="28">
        <f>IFERROR(LOOKUP(T1190,{0;0.5;1.5;3;4.5},{"Despreciable";"Bajo";"Medio";"Alto";"Muy alto"}),"")</f>
        <v/>
      </c>
      <c r="V1190" s="13">
        <f>IFERROR(INDEX(MgAmenFrec,MATCH(SUBSTITUTE($H1190,"*","-"),MgAmenClave,0)),"")</f>
        <v/>
      </c>
      <c r="W1190" s="28">
        <f>IFERROR(LOOKUP(X1190,{0;0.01;0.1;1;10;100},{"Muy baja";"Muy baja";"Baja";"Media";"Alta";"Muy alta"}),"")</f>
        <v/>
      </c>
      <c r="X1190" s="31">
        <f>IFERROR(VLOOKUP(V1190,MgFrec,2,0),0)</f>
        <v/>
      </c>
      <c r="Y1190" s="30">
        <f>T1190*X1190</f>
        <v/>
      </c>
      <c r="Z1190" s="28">
        <f>IFERROR(LOOKUP(Y1190,{0;0.5;5;25},{"Bajo";"Medio";"Alto";"Crítico"}),"")</f>
        <v/>
      </c>
      <c r="AA1190" s="64">
        <f>IF(T1190&gt;=3,IF(X1190&gt;=1,"Zona 1 — Crítica: impacto alto y ocurre al menos una vez al año","Zona 4 — Catastrófica poco probable: impacto alto pero excepcional"),IF(AND(T1190&lt;1.5,X1190&lt;1),"Zona 3 — Asumible: impacto bajo y muy poco frecuente","Zona 2 — Atención: riesgo intermedio"))</f>
        <v/>
      </c>
      <c r="AB1190" s="64">
        <f>IFERROR(INDEX(MgAmenCtrl,MATCH(SUBSTITUTE($H1190,"*","-"),MgAmenClave,0)),"")</f>
        <v/>
      </c>
      <c r="AC1190" s="20" t="n"/>
      <c r="AD1190" s="31">
        <f>IFERROR($X1190*(1-IF($AC1190="",$AL1190,VLOOKUP($AC1190,MgMad,2,0))),"")</f>
        <v/>
      </c>
      <c r="AE1190" s="28">
        <f>IFERROR(LOOKUP(AD1190,{0;0.01;0.1;1;10;100},{"Muy baja";"Muy baja";"Baja";"Media";"Alta";"Muy alta"}),"")</f>
        <v/>
      </c>
      <c r="AF1190" s="30">
        <f>T1190*AD1190</f>
        <v/>
      </c>
      <c r="AG1190" s="28">
        <f>IFERROR(LOOKUP(AF1190,{0;0.5;5;25},{"Bajo";"Medio";"Alto";"Crítico"}),"")</f>
        <v/>
      </c>
      <c r="AH1190" s="28">
        <f>IF(AG1190="","",IF(OR(AG1190="Crítico",AG1190="Alto"),"Mitigar",IF(AG1190="Medio","Mitigar","Aceptar y monitorear")))</f>
        <v/>
      </c>
      <c r="AI1190" s="21" t="n"/>
      <c r="AJ1190" s="21" t="n"/>
      <c r="AK1190" s="20" t="n"/>
      <c r="AL1190" s="77">
        <f>IFERROR(INDEX(MgAmenEfic,MATCH(SUBSTITUTE($H1190,"*","-"),MgAmenClave,0)),0)</f>
        <v/>
      </c>
    </row>
    <row r="1191" hidden="1" ht="105" customHeight="1" s="54">
      <c r="B1191" s="59" t="inlineStr">
        <is>
          <t>R-1186</t>
        </is>
      </c>
      <c r="C1191" s="59" t="inlineStr">
        <is>
          <t>GH-014</t>
        </is>
      </c>
      <c r="D1191" s="64">
        <f>IFERROR(INDEX(MgNombre,MATCH($C1191,MgActId,0)),"")</f>
        <v/>
      </c>
      <c r="E1191" s="64">
        <f>IFERROR(INDEX(MgProceso,MATCH($C1191,MgActId,0)),"")</f>
        <v/>
      </c>
      <c r="F1191" s="64">
        <f>IFERROR(INDEX(MgTipo,MATCH($C1191,MgActId,0)),"")</f>
        <v/>
      </c>
      <c r="G1191" s="64">
        <f>IFERROR(INDEX(MgSubtipo,MATCH($C1191,MgActId,0)),"")</f>
        <v/>
      </c>
      <c r="H1191" s="59" t="inlineStr">
        <is>
          <t>E.19</t>
        </is>
      </c>
      <c r="I1191" s="64">
        <f>IFERROR(INDEX(MgAmenNombre,MATCH(SUBSTITUTE($H1191,"*","-"),MgAmenClave,0)),"")</f>
        <v/>
      </c>
      <c r="J1191" s="28">
        <f>IFERROR(INDEX(MgAmenGrupo,MATCH(SUBSTITUTE($H1191,"*","-"),MgAmenClave,0)),"")</f>
        <v/>
      </c>
      <c r="K1191" s="64">
        <f>IFERROR(INDEX('1. Matriz de Activos'!$Q$6:$Q$239,MATCH($C1191,MgActId,0)),"")</f>
        <v/>
      </c>
      <c r="L1191" s="64">
        <f>IFERROR(INDEX('1. Matriz de Activos'!$R$6:$R$239,MATCH($C1191,MgActId,0)),"")</f>
        <v/>
      </c>
      <c r="M1191" s="64">
        <f>IFERROR(INDEX('1. Matriz de Activos'!$S$6:$S$239,MATCH($C1191,MgActId,0)),"")</f>
        <v/>
      </c>
      <c r="N1191" s="28">
        <f>IFERROR(INDEX(MgAmenDegD,MATCH(SUBSTITUTE($H1191,"*","-"),MgAmenClave,0)),"No aplica")</f>
        <v/>
      </c>
      <c r="O1191" s="28">
        <f>IFERROR(INDEX(MgAmenDegI,MATCH(SUBSTITUTE($H1191,"*","-"),MgAmenClave,0)),"No aplica")</f>
        <v/>
      </c>
      <c r="P1191" s="28">
        <f>IFERROR(INDEX(MgAmenDegC,MATCH(SUBSTITUTE($H1191,"*","-"),MgAmenClave,0)),"No aplica")</f>
        <v/>
      </c>
      <c r="Q1191" s="29">
        <f>IFERROR(VLOOKUP(K1191,MgValor,2,0)*VLOOKUP(N1191,MgDeg,2,0),0)</f>
        <v/>
      </c>
      <c r="R1191" s="29">
        <f>IFERROR(VLOOKUP(L1191,MgValor,2,0)*VLOOKUP(O1191,MgDeg,2,0),0)</f>
        <v/>
      </c>
      <c r="S1191" s="29">
        <f>IFERROR(VLOOKUP(M1191,MgValor,2,0)*VLOOKUP(P1191,MgDeg,2,0),0)</f>
        <v/>
      </c>
      <c r="T1191" s="30">
        <f>MAX(Q1191:S1191)</f>
        <v/>
      </c>
      <c r="U1191" s="28">
        <f>IFERROR(LOOKUP(T1191,{0;0.5;1.5;3;4.5},{"Despreciable";"Bajo";"Medio";"Alto";"Muy alto"}),"")</f>
        <v/>
      </c>
      <c r="V1191" s="13">
        <f>IFERROR(INDEX(MgAmenFrec,MATCH(SUBSTITUTE($H1191,"*","-"),MgAmenClave,0)),"")</f>
        <v/>
      </c>
      <c r="W1191" s="28">
        <f>IFERROR(LOOKUP(X1191,{0;0.01;0.1;1;10;100},{"Muy baja";"Muy baja";"Baja";"Media";"Alta";"Muy alta"}),"")</f>
        <v/>
      </c>
      <c r="X1191" s="31">
        <f>IFERROR(VLOOKUP(V1191,MgFrec,2,0),0)</f>
        <v/>
      </c>
      <c r="Y1191" s="30">
        <f>T1191*X1191</f>
        <v/>
      </c>
      <c r="Z1191" s="28">
        <f>IFERROR(LOOKUP(Y1191,{0;0.5;5;25},{"Bajo";"Medio";"Alto";"Crítico"}),"")</f>
        <v/>
      </c>
      <c r="AA1191" s="64">
        <f>IF(T1191&gt;=3,IF(X1191&gt;=1,"Zona 1 — Crítica: impacto alto y ocurre al menos una vez al año","Zona 4 — Catastrófica poco probable: impacto alto pero excepcional"),IF(AND(T1191&lt;1.5,X1191&lt;1),"Zona 3 — Asumible: impacto bajo y muy poco frecuente","Zona 2 — Atención: riesgo intermedio"))</f>
        <v/>
      </c>
      <c r="AB1191" s="64">
        <f>IFERROR(INDEX(MgAmenCtrl,MATCH(SUBSTITUTE($H1191,"*","-"),MgAmenClave,0)),"")</f>
        <v/>
      </c>
      <c r="AC1191" s="20" t="n"/>
      <c r="AD1191" s="31">
        <f>IFERROR($X1191*(1-IF($AC1191="",$AL1191,VLOOKUP($AC1191,MgMad,2,0))),"")</f>
        <v/>
      </c>
      <c r="AE1191" s="28">
        <f>IFERROR(LOOKUP(AD1191,{0;0.01;0.1;1;10;100},{"Muy baja";"Muy baja";"Baja";"Media";"Alta";"Muy alta"}),"")</f>
        <v/>
      </c>
      <c r="AF1191" s="30">
        <f>T1191*AD1191</f>
        <v/>
      </c>
      <c r="AG1191" s="28">
        <f>IFERROR(LOOKUP(AF1191,{0;0.5;5;25},{"Bajo";"Medio";"Alto";"Crítico"}),"")</f>
        <v/>
      </c>
      <c r="AH1191" s="28">
        <f>IF(AG1191="","",IF(OR(AG1191="Crítico",AG1191="Alto"),"Mitigar",IF(AG1191="Medio","Mitigar","Aceptar y monitorear")))</f>
        <v/>
      </c>
      <c r="AI1191" s="21" t="n"/>
      <c r="AJ1191" s="21" t="n"/>
      <c r="AK1191" s="20" t="n"/>
      <c r="AL1191" s="77">
        <f>IFERROR(INDEX(MgAmenEfic,MATCH(SUBSTITUTE($H1191,"*","-"),MgAmenClave,0)),0)</f>
        <v/>
      </c>
    </row>
    <row r="1192" hidden="1" ht="60" customHeight="1" s="54">
      <c r="B1192" s="59" t="inlineStr">
        <is>
          <t>R-1187</t>
        </is>
      </c>
      <c r="C1192" s="59" t="inlineStr">
        <is>
          <t>GH-014</t>
        </is>
      </c>
      <c r="D1192" s="64">
        <f>IFERROR(INDEX(MgNombre,MATCH($C1192,MgActId,0)),"")</f>
        <v/>
      </c>
      <c r="E1192" s="64">
        <f>IFERROR(INDEX(MgProceso,MATCH($C1192,MgActId,0)),"")</f>
        <v/>
      </c>
      <c r="F1192" s="64">
        <f>IFERROR(INDEX(MgTipo,MATCH($C1192,MgActId,0)),"")</f>
        <v/>
      </c>
      <c r="G1192" s="64">
        <f>IFERROR(INDEX(MgSubtipo,MATCH($C1192,MgActId,0)),"")</f>
        <v/>
      </c>
      <c r="H1192" s="59" t="inlineStr">
        <is>
          <t>A.3</t>
        </is>
      </c>
      <c r="I1192" s="64">
        <f>IFERROR(INDEX(MgAmenNombre,MATCH(SUBSTITUTE($H1192,"*","-"),MgAmenClave,0)),"")</f>
        <v/>
      </c>
      <c r="J1192" s="28">
        <f>IFERROR(INDEX(MgAmenGrupo,MATCH(SUBSTITUTE($H1192,"*","-"),MgAmenClave,0)),"")</f>
        <v/>
      </c>
      <c r="K1192" s="64">
        <f>IFERROR(INDEX('1. Matriz de Activos'!$Q$6:$Q$239,MATCH($C1192,MgActId,0)),"")</f>
        <v/>
      </c>
      <c r="L1192" s="64">
        <f>IFERROR(INDEX('1. Matriz de Activos'!$R$6:$R$239,MATCH($C1192,MgActId,0)),"")</f>
        <v/>
      </c>
      <c r="M1192" s="64">
        <f>IFERROR(INDEX('1. Matriz de Activos'!$S$6:$S$239,MATCH($C1192,MgActId,0)),"")</f>
        <v/>
      </c>
      <c r="N1192" s="28">
        <f>IFERROR(INDEX(MgAmenDegD,MATCH(SUBSTITUTE($H1192,"*","-"),MgAmenClave,0)),"No aplica")</f>
        <v/>
      </c>
      <c r="O1192" s="28">
        <f>IFERROR(INDEX(MgAmenDegI,MATCH(SUBSTITUTE($H1192,"*","-"),MgAmenClave,0)),"No aplica")</f>
        <v/>
      </c>
      <c r="P1192" s="28">
        <f>IFERROR(INDEX(MgAmenDegC,MATCH(SUBSTITUTE($H1192,"*","-"),MgAmenClave,0)),"No aplica")</f>
        <v/>
      </c>
      <c r="Q1192" s="29">
        <f>IFERROR(VLOOKUP(K1192,MgValor,2,0)*VLOOKUP(N1192,MgDeg,2,0),0)</f>
        <v/>
      </c>
      <c r="R1192" s="29">
        <f>IFERROR(VLOOKUP(L1192,MgValor,2,0)*VLOOKUP(O1192,MgDeg,2,0),0)</f>
        <v/>
      </c>
      <c r="S1192" s="29">
        <f>IFERROR(VLOOKUP(M1192,MgValor,2,0)*VLOOKUP(P1192,MgDeg,2,0),0)</f>
        <v/>
      </c>
      <c r="T1192" s="30">
        <f>MAX(Q1192:S1192)</f>
        <v/>
      </c>
      <c r="U1192" s="28">
        <f>IFERROR(LOOKUP(T1192,{0;0.5;1.5;3;4.5},{"Despreciable";"Bajo";"Medio";"Alto";"Muy alto"}),"")</f>
        <v/>
      </c>
      <c r="V1192" s="13">
        <f>IFERROR(INDEX(MgAmenFrec,MATCH(SUBSTITUTE($H1192,"*","-"),MgAmenClave,0)),"")</f>
        <v/>
      </c>
      <c r="W1192" s="28">
        <f>IFERROR(LOOKUP(X1192,{0;0.01;0.1;1;10;100},{"Muy baja";"Muy baja";"Baja";"Media";"Alta";"Muy alta"}),"")</f>
        <v/>
      </c>
      <c r="X1192" s="31">
        <f>IFERROR(VLOOKUP(V1192,MgFrec,2,0),0)</f>
        <v/>
      </c>
      <c r="Y1192" s="30">
        <f>T1192*X1192</f>
        <v/>
      </c>
      <c r="Z1192" s="28">
        <f>IFERROR(LOOKUP(Y1192,{0;0.5;5;25},{"Bajo";"Medio";"Alto";"Crítico"}),"")</f>
        <v/>
      </c>
      <c r="AA1192" s="64">
        <f>IF(T1192&gt;=3,IF(X1192&gt;=1,"Zona 1 — Crítica: impacto alto y ocurre al menos una vez al año","Zona 4 — Catastrófica poco probable: impacto alto pero excepcional"),IF(AND(T1192&lt;1.5,X1192&lt;1),"Zona 3 — Asumible: impacto bajo y muy poco frecuente","Zona 2 — Atención: riesgo intermedio"))</f>
        <v/>
      </c>
      <c r="AB1192" s="64">
        <f>IFERROR(INDEX(MgAmenCtrl,MATCH(SUBSTITUTE($H1192,"*","-"),MgAmenClave,0)),"")</f>
        <v/>
      </c>
      <c r="AC1192" s="20" t="n"/>
      <c r="AD1192" s="31">
        <f>IFERROR($X1192*(1-IF($AC1192="",$AL1192,VLOOKUP($AC1192,MgMad,2,0))),"")</f>
        <v/>
      </c>
      <c r="AE1192" s="28">
        <f>IFERROR(LOOKUP(AD1192,{0;0.01;0.1;1;10;100},{"Muy baja";"Muy baja";"Baja";"Media";"Alta";"Muy alta"}),"")</f>
        <v/>
      </c>
      <c r="AF1192" s="30">
        <f>T1192*AD1192</f>
        <v/>
      </c>
      <c r="AG1192" s="28">
        <f>IFERROR(LOOKUP(AF1192,{0;0.5;5;25},{"Bajo";"Medio";"Alto";"Crítico"}),"")</f>
        <v/>
      </c>
      <c r="AH1192" s="28">
        <f>IF(AG1192="","",IF(OR(AG1192="Crítico",AG1192="Alto"),"Mitigar",IF(AG1192="Medio","Mitigar","Aceptar y monitorear")))</f>
        <v/>
      </c>
      <c r="AI1192" s="21" t="n"/>
      <c r="AJ1192" s="21" t="n"/>
      <c r="AK1192" s="20" t="n"/>
      <c r="AL1192" s="77">
        <f>IFERROR(INDEX(MgAmenEfic,MATCH(SUBSTITUTE($H1192,"*","-"),MgAmenClave,0)),0)</f>
        <v/>
      </c>
    </row>
    <row r="1193" hidden="1" ht="60" customHeight="1" s="54">
      <c r="B1193" s="59" t="inlineStr">
        <is>
          <t>R-1188</t>
        </is>
      </c>
      <c r="C1193" s="59" t="inlineStr">
        <is>
          <t>GH-014</t>
        </is>
      </c>
      <c r="D1193" s="64">
        <f>IFERROR(INDEX(MgNombre,MATCH($C1193,MgActId,0)),"")</f>
        <v/>
      </c>
      <c r="E1193" s="64">
        <f>IFERROR(INDEX(MgProceso,MATCH($C1193,MgActId,0)),"")</f>
        <v/>
      </c>
      <c r="F1193" s="64">
        <f>IFERROR(INDEX(MgTipo,MATCH($C1193,MgActId,0)),"")</f>
        <v/>
      </c>
      <c r="G1193" s="64">
        <f>IFERROR(INDEX(MgSubtipo,MATCH($C1193,MgActId,0)),"")</f>
        <v/>
      </c>
      <c r="H1193" s="59" t="inlineStr">
        <is>
          <t>A.4</t>
        </is>
      </c>
      <c r="I1193" s="64">
        <f>IFERROR(INDEX(MgAmenNombre,MATCH(SUBSTITUTE($H1193,"*","-"),MgAmenClave,0)),"")</f>
        <v/>
      </c>
      <c r="J1193" s="28">
        <f>IFERROR(INDEX(MgAmenGrupo,MATCH(SUBSTITUTE($H1193,"*","-"),MgAmenClave,0)),"")</f>
        <v/>
      </c>
      <c r="K1193" s="64">
        <f>IFERROR(INDEX('1. Matriz de Activos'!$Q$6:$Q$239,MATCH($C1193,MgActId,0)),"")</f>
        <v/>
      </c>
      <c r="L1193" s="64">
        <f>IFERROR(INDEX('1. Matriz de Activos'!$R$6:$R$239,MATCH($C1193,MgActId,0)),"")</f>
        <v/>
      </c>
      <c r="M1193" s="64">
        <f>IFERROR(INDEX('1. Matriz de Activos'!$S$6:$S$239,MATCH($C1193,MgActId,0)),"")</f>
        <v/>
      </c>
      <c r="N1193" s="28">
        <f>IFERROR(INDEX(MgAmenDegD,MATCH(SUBSTITUTE($H1193,"*","-"),MgAmenClave,0)),"No aplica")</f>
        <v/>
      </c>
      <c r="O1193" s="28">
        <f>IFERROR(INDEX(MgAmenDegI,MATCH(SUBSTITUTE($H1193,"*","-"),MgAmenClave,0)),"No aplica")</f>
        <v/>
      </c>
      <c r="P1193" s="28">
        <f>IFERROR(INDEX(MgAmenDegC,MATCH(SUBSTITUTE($H1193,"*","-"),MgAmenClave,0)),"No aplica")</f>
        <v/>
      </c>
      <c r="Q1193" s="29">
        <f>IFERROR(VLOOKUP(K1193,MgValor,2,0)*VLOOKUP(N1193,MgDeg,2,0),0)</f>
        <v/>
      </c>
      <c r="R1193" s="29">
        <f>IFERROR(VLOOKUP(L1193,MgValor,2,0)*VLOOKUP(O1193,MgDeg,2,0),0)</f>
        <v/>
      </c>
      <c r="S1193" s="29">
        <f>IFERROR(VLOOKUP(M1193,MgValor,2,0)*VLOOKUP(P1193,MgDeg,2,0),0)</f>
        <v/>
      </c>
      <c r="T1193" s="30">
        <f>MAX(Q1193:S1193)</f>
        <v/>
      </c>
      <c r="U1193" s="28">
        <f>IFERROR(LOOKUP(T1193,{0;0.5;1.5;3;4.5},{"Despreciable";"Bajo";"Medio";"Alto";"Muy alto"}),"")</f>
        <v/>
      </c>
      <c r="V1193" s="13">
        <f>IFERROR(INDEX(MgAmenFrec,MATCH(SUBSTITUTE($H1193,"*","-"),MgAmenClave,0)),"")</f>
        <v/>
      </c>
      <c r="W1193" s="28">
        <f>IFERROR(LOOKUP(X1193,{0;0.01;0.1;1;10;100},{"Muy baja";"Muy baja";"Baja";"Media";"Alta";"Muy alta"}),"")</f>
        <v/>
      </c>
      <c r="X1193" s="31">
        <f>IFERROR(VLOOKUP(V1193,MgFrec,2,0),0)</f>
        <v/>
      </c>
      <c r="Y1193" s="30">
        <f>T1193*X1193</f>
        <v/>
      </c>
      <c r="Z1193" s="28">
        <f>IFERROR(LOOKUP(Y1193,{0;0.5;5;25},{"Bajo";"Medio";"Alto";"Crítico"}),"")</f>
        <v/>
      </c>
      <c r="AA1193" s="64">
        <f>IF(T1193&gt;=3,IF(X1193&gt;=1,"Zona 1 — Crítica: impacto alto y ocurre al menos una vez al año","Zona 4 — Catastrófica poco probable: impacto alto pero excepcional"),IF(AND(T1193&lt;1.5,X1193&lt;1),"Zona 3 — Asumible: impacto bajo y muy poco frecuente","Zona 2 — Atención: riesgo intermedio"))</f>
        <v/>
      </c>
      <c r="AB1193" s="64">
        <f>IFERROR(INDEX(MgAmenCtrl,MATCH(SUBSTITUTE($H1193,"*","-"),MgAmenClave,0)),"")</f>
        <v/>
      </c>
      <c r="AC1193" s="20" t="n"/>
      <c r="AD1193" s="31">
        <f>IFERROR($X1193*(1-IF($AC1193="",$AL1193,VLOOKUP($AC1193,MgMad,2,0))),"")</f>
        <v/>
      </c>
      <c r="AE1193" s="28">
        <f>IFERROR(LOOKUP(AD1193,{0;0.01;0.1;1;10;100},{"Muy baja";"Muy baja";"Baja";"Media";"Alta";"Muy alta"}),"")</f>
        <v/>
      </c>
      <c r="AF1193" s="30">
        <f>T1193*AD1193</f>
        <v/>
      </c>
      <c r="AG1193" s="28">
        <f>IFERROR(LOOKUP(AF1193,{0;0.5;5;25},{"Bajo";"Medio";"Alto";"Crítico"}),"")</f>
        <v/>
      </c>
      <c r="AH1193" s="28">
        <f>IF(AG1193="","",IF(OR(AG1193="Crítico",AG1193="Alto"),"Mitigar",IF(AG1193="Medio","Mitigar","Aceptar y monitorear")))</f>
        <v/>
      </c>
      <c r="AI1193" s="21" t="n"/>
      <c r="AJ1193" s="21" t="n"/>
      <c r="AK1193" s="20" t="n"/>
      <c r="AL1193" s="77">
        <f>IFERROR(INDEX(MgAmenEfic,MATCH(SUBSTITUTE($H1193,"*","-"),MgAmenClave,0)),0)</f>
        <v/>
      </c>
    </row>
    <row r="1194" hidden="1" ht="75" customHeight="1" s="54">
      <c r="B1194" s="59" t="inlineStr">
        <is>
          <t>R-1189</t>
        </is>
      </c>
      <c r="C1194" s="59" t="inlineStr">
        <is>
          <t>GH-014</t>
        </is>
      </c>
      <c r="D1194" s="64">
        <f>IFERROR(INDEX(MgNombre,MATCH($C1194,MgActId,0)),"")</f>
        <v/>
      </c>
      <c r="E1194" s="64">
        <f>IFERROR(INDEX(MgProceso,MATCH($C1194,MgActId,0)),"")</f>
        <v/>
      </c>
      <c r="F1194" s="64">
        <f>IFERROR(INDEX(MgTipo,MATCH($C1194,MgActId,0)),"")</f>
        <v/>
      </c>
      <c r="G1194" s="64">
        <f>IFERROR(INDEX(MgSubtipo,MATCH($C1194,MgActId,0)),"")</f>
        <v/>
      </c>
      <c r="H1194" s="59" t="inlineStr">
        <is>
          <t>A.5</t>
        </is>
      </c>
      <c r="I1194" s="64">
        <f>IFERROR(INDEX(MgAmenNombre,MATCH(SUBSTITUTE($H1194,"*","-"),MgAmenClave,0)),"")</f>
        <v/>
      </c>
      <c r="J1194" s="28">
        <f>IFERROR(INDEX(MgAmenGrupo,MATCH(SUBSTITUTE($H1194,"*","-"),MgAmenClave,0)),"")</f>
        <v/>
      </c>
      <c r="K1194" s="64">
        <f>IFERROR(INDEX('1. Matriz de Activos'!$Q$6:$Q$239,MATCH($C1194,MgActId,0)),"")</f>
        <v/>
      </c>
      <c r="L1194" s="64">
        <f>IFERROR(INDEX('1. Matriz de Activos'!$R$6:$R$239,MATCH($C1194,MgActId,0)),"")</f>
        <v/>
      </c>
      <c r="M1194" s="64">
        <f>IFERROR(INDEX('1. Matriz de Activos'!$S$6:$S$239,MATCH($C1194,MgActId,0)),"")</f>
        <v/>
      </c>
      <c r="N1194" s="28">
        <f>IFERROR(INDEX(MgAmenDegD,MATCH(SUBSTITUTE($H1194,"*","-"),MgAmenClave,0)),"No aplica")</f>
        <v/>
      </c>
      <c r="O1194" s="28">
        <f>IFERROR(INDEX(MgAmenDegI,MATCH(SUBSTITUTE($H1194,"*","-"),MgAmenClave,0)),"No aplica")</f>
        <v/>
      </c>
      <c r="P1194" s="28">
        <f>IFERROR(INDEX(MgAmenDegC,MATCH(SUBSTITUTE($H1194,"*","-"),MgAmenClave,0)),"No aplica")</f>
        <v/>
      </c>
      <c r="Q1194" s="29">
        <f>IFERROR(VLOOKUP(K1194,MgValor,2,0)*VLOOKUP(N1194,MgDeg,2,0),0)</f>
        <v/>
      </c>
      <c r="R1194" s="29">
        <f>IFERROR(VLOOKUP(L1194,MgValor,2,0)*VLOOKUP(O1194,MgDeg,2,0),0)</f>
        <v/>
      </c>
      <c r="S1194" s="29">
        <f>IFERROR(VLOOKUP(M1194,MgValor,2,0)*VLOOKUP(P1194,MgDeg,2,0),0)</f>
        <v/>
      </c>
      <c r="T1194" s="30">
        <f>MAX(Q1194:S1194)</f>
        <v/>
      </c>
      <c r="U1194" s="28">
        <f>IFERROR(LOOKUP(T1194,{0;0.5;1.5;3;4.5},{"Despreciable";"Bajo";"Medio";"Alto";"Muy alto"}),"")</f>
        <v/>
      </c>
      <c r="V1194" s="13">
        <f>IFERROR(INDEX(MgAmenFrec,MATCH(SUBSTITUTE($H1194,"*","-"),MgAmenClave,0)),"")</f>
        <v/>
      </c>
      <c r="W1194" s="28">
        <f>IFERROR(LOOKUP(X1194,{0;0.01;0.1;1;10;100},{"Muy baja";"Muy baja";"Baja";"Media";"Alta";"Muy alta"}),"")</f>
        <v/>
      </c>
      <c r="X1194" s="31">
        <f>IFERROR(VLOOKUP(V1194,MgFrec,2,0),0)</f>
        <v/>
      </c>
      <c r="Y1194" s="30">
        <f>T1194*X1194</f>
        <v/>
      </c>
      <c r="Z1194" s="28">
        <f>IFERROR(LOOKUP(Y1194,{0;0.5;5;25},{"Bajo";"Medio";"Alto";"Crítico"}),"")</f>
        <v/>
      </c>
      <c r="AA1194" s="64">
        <f>IF(T1194&gt;=3,IF(X1194&gt;=1,"Zona 1 — Crítica: impacto alto y ocurre al menos una vez al año","Zona 4 — Catastrófica poco probable: impacto alto pero excepcional"),IF(AND(T1194&lt;1.5,X1194&lt;1),"Zona 3 — Asumible: impacto bajo y muy poco frecuente","Zona 2 — Atención: riesgo intermedio"))</f>
        <v/>
      </c>
      <c r="AB1194" s="64">
        <f>IFERROR(INDEX(MgAmenCtrl,MATCH(SUBSTITUTE($H1194,"*","-"),MgAmenClave,0)),"")</f>
        <v/>
      </c>
      <c r="AC1194" s="20" t="n"/>
      <c r="AD1194" s="31">
        <f>IFERROR($X1194*(1-IF($AC1194="",$AL1194,VLOOKUP($AC1194,MgMad,2,0))),"")</f>
        <v/>
      </c>
      <c r="AE1194" s="28">
        <f>IFERROR(LOOKUP(AD1194,{0;0.01;0.1;1;10;100},{"Muy baja";"Muy baja";"Baja";"Media";"Alta";"Muy alta"}),"")</f>
        <v/>
      </c>
      <c r="AF1194" s="30">
        <f>T1194*AD1194</f>
        <v/>
      </c>
      <c r="AG1194" s="28">
        <f>IFERROR(LOOKUP(AF1194,{0;0.5;5;25},{"Bajo";"Medio";"Alto";"Crítico"}),"")</f>
        <v/>
      </c>
      <c r="AH1194" s="28">
        <f>IF(AG1194="","",IF(OR(AG1194="Crítico",AG1194="Alto"),"Mitigar",IF(AG1194="Medio","Mitigar","Aceptar y monitorear")))</f>
        <v/>
      </c>
      <c r="AI1194" s="21" t="n"/>
      <c r="AJ1194" s="21" t="n"/>
      <c r="AK1194" s="20" t="n"/>
      <c r="AL1194" s="77">
        <f>IFERROR(INDEX(MgAmenEfic,MATCH(SUBSTITUTE($H1194,"*","-"),MgAmenClave,0)),0)</f>
        <v/>
      </c>
    </row>
    <row r="1195" hidden="1" ht="105" customHeight="1" s="54">
      <c r="B1195" s="59" t="inlineStr">
        <is>
          <t>R-1190</t>
        </is>
      </c>
      <c r="C1195" s="59" t="inlineStr">
        <is>
          <t>GH-014</t>
        </is>
      </c>
      <c r="D1195" s="64">
        <f>IFERROR(INDEX(MgNombre,MATCH($C1195,MgActId,0)),"")</f>
        <v/>
      </c>
      <c r="E1195" s="64">
        <f>IFERROR(INDEX(MgProceso,MATCH($C1195,MgActId,0)),"")</f>
        <v/>
      </c>
      <c r="F1195" s="64">
        <f>IFERROR(INDEX(MgTipo,MATCH($C1195,MgActId,0)),"")</f>
        <v/>
      </c>
      <c r="G1195" s="64">
        <f>IFERROR(INDEX(MgSubtipo,MATCH($C1195,MgActId,0)),"")</f>
        <v/>
      </c>
      <c r="H1195" s="59" t="inlineStr">
        <is>
          <t>A.6</t>
        </is>
      </c>
      <c r="I1195" s="64">
        <f>IFERROR(INDEX(MgAmenNombre,MATCH(SUBSTITUTE($H1195,"*","-"),MgAmenClave,0)),"")</f>
        <v/>
      </c>
      <c r="J1195" s="28">
        <f>IFERROR(INDEX(MgAmenGrupo,MATCH(SUBSTITUTE($H1195,"*","-"),MgAmenClave,0)),"")</f>
        <v/>
      </c>
      <c r="K1195" s="64">
        <f>IFERROR(INDEX('1. Matriz de Activos'!$Q$6:$Q$239,MATCH($C1195,MgActId,0)),"")</f>
        <v/>
      </c>
      <c r="L1195" s="64">
        <f>IFERROR(INDEX('1. Matriz de Activos'!$R$6:$R$239,MATCH($C1195,MgActId,0)),"")</f>
        <v/>
      </c>
      <c r="M1195" s="64">
        <f>IFERROR(INDEX('1. Matriz de Activos'!$S$6:$S$239,MATCH($C1195,MgActId,0)),"")</f>
        <v/>
      </c>
      <c r="N1195" s="28">
        <f>IFERROR(INDEX(MgAmenDegD,MATCH(SUBSTITUTE($H1195,"*","-"),MgAmenClave,0)),"No aplica")</f>
        <v/>
      </c>
      <c r="O1195" s="28">
        <f>IFERROR(INDEX(MgAmenDegI,MATCH(SUBSTITUTE($H1195,"*","-"),MgAmenClave,0)),"No aplica")</f>
        <v/>
      </c>
      <c r="P1195" s="28">
        <f>IFERROR(INDEX(MgAmenDegC,MATCH(SUBSTITUTE($H1195,"*","-"),MgAmenClave,0)),"No aplica")</f>
        <v/>
      </c>
      <c r="Q1195" s="29">
        <f>IFERROR(VLOOKUP(K1195,MgValor,2,0)*VLOOKUP(N1195,MgDeg,2,0),0)</f>
        <v/>
      </c>
      <c r="R1195" s="29">
        <f>IFERROR(VLOOKUP(L1195,MgValor,2,0)*VLOOKUP(O1195,MgDeg,2,0),0)</f>
        <v/>
      </c>
      <c r="S1195" s="29">
        <f>IFERROR(VLOOKUP(M1195,MgValor,2,0)*VLOOKUP(P1195,MgDeg,2,0),0)</f>
        <v/>
      </c>
      <c r="T1195" s="30">
        <f>MAX(Q1195:S1195)</f>
        <v/>
      </c>
      <c r="U1195" s="28">
        <f>IFERROR(LOOKUP(T1195,{0;0.5;1.5;3;4.5},{"Despreciable";"Bajo";"Medio";"Alto";"Muy alto"}),"")</f>
        <v/>
      </c>
      <c r="V1195" s="13">
        <f>IFERROR(INDEX(MgAmenFrec,MATCH(SUBSTITUTE($H1195,"*","-"),MgAmenClave,0)),"")</f>
        <v/>
      </c>
      <c r="W1195" s="28">
        <f>IFERROR(LOOKUP(X1195,{0;0.01;0.1;1;10;100},{"Muy baja";"Muy baja";"Baja";"Media";"Alta";"Muy alta"}),"")</f>
        <v/>
      </c>
      <c r="X1195" s="31">
        <f>IFERROR(VLOOKUP(V1195,MgFrec,2,0),0)</f>
        <v/>
      </c>
      <c r="Y1195" s="30">
        <f>T1195*X1195</f>
        <v/>
      </c>
      <c r="Z1195" s="28">
        <f>IFERROR(LOOKUP(Y1195,{0;0.5;5;25},{"Bajo";"Medio";"Alto";"Crítico"}),"")</f>
        <v/>
      </c>
      <c r="AA1195" s="64">
        <f>IF(T1195&gt;=3,IF(X1195&gt;=1,"Zona 1 — Crítica: impacto alto y ocurre al menos una vez al año","Zona 4 — Catastrófica poco probable: impacto alto pero excepcional"),IF(AND(T1195&lt;1.5,X1195&lt;1),"Zona 3 — Asumible: impacto bajo y muy poco frecuente","Zona 2 — Atención: riesgo intermedio"))</f>
        <v/>
      </c>
      <c r="AB1195" s="64">
        <f>IFERROR(INDEX(MgAmenCtrl,MATCH(SUBSTITUTE($H1195,"*","-"),MgAmenClave,0)),"")</f>
        <v/>
      </c>
      <c r="AC1195" s="20" t="n"/>
      <c r="AD1195" s="31">
        <f>IFERROR($X1195*(1-IF($AC1195="",$AL1195,VLOOKUP($AC1195,MgMad,2,0))),"")</f>
        <v/>
      </c>
      <c r="AE1195" s="28">
        <f>IFERROR(LOOKUP(AD1195,{0;0.01;0.1;1;10;100},{"Muy baja";"Muy baja";"Baja";"Media";"Alta";"Muy alta"}),"")</f>
        <v/>
      </c>
      <c r="AF1195" s="30">
        <f>T1195*AD1195</f>
        <v/>
      </c>
      <c r="AG1195" s="28">
        <f>IFERROR(LOOKUP(AF1195,{0;0.5;5;25},{"Bajo";"Medio";"Alto";"Crítico"}),"")</f>
        <v/>
      </c>
      <c r="AH1195" s="28">
        <f>IF(AG1195="","",IF(OR(AG1195="Crítico",AG1195="Alto"),"Mitigar",IF(AG1195="Medio","Mitigar","Aceptar y monitorear")))</f>
        <v/>
      </c>
      <c r="AI1195" s="21" t="n"/>
      <c r="AJ1195" s="21" t="n"/>
      <c r="AK1195" s="20" t="n"/>
      <c r="AL1195" s="77">
        <f>IFERROR(INDEX(MgAmenEfic,MATCH(SUBSTITUTE($H1195,"*","-"),MgAmenClave,0)),0)</f>
        <v/>
      </c>
    </row>
    <row r="1196" hidden="1" ht="120" customHeight="1" s="54">
      <c r="B1196" s="59" t="inlineStr">
        <is>
          <t>R-1191</t>
        </is>
      </c>
      <c r="C1196" s="59" t="inlineStr">
        <is>
          <t>GH-014</t>
        </is>
      </c>
      <c r="D1196" s="64">
        <f>IFERROR(INDEX(MgNombre,MATCH($C1196,MgActId,0)),"")</f>
        <v/>
      </c>
      <c r="E1196" s="64">
        <f>IFERROR(INDEX(MgProceso,MATCH($C1196,MgActId,0)),"")</f>
        <v/>
      </c>
      <c r="F1196" s="64">
        <f>IFERROR(INDEX(MgTipo,MATCH($C1196,MgActId,0)),"")</f>
        <v/>
      </c>
      <c r="G1196" s="64">
        <f>IFERROR(INDEX(MgSubtipo,MATCH($C1196,MgActId,0)),"")</f>
        <v/>
      </c>
      <c r="H1196" s="59" t="inlineStr">
        <is>
          <t>A.11</t>
        </is>
      </c>
      <c r="I1196" s="64">
        <f>IFERROR(INDEX(MgAmenNombre,MATCH(SUBSTITUTE($H1196,"*","-"),MgAmenClave,0)),"")</f>
        <v/>
      </c>
      <c r="J1196" s="28">
        <f>IFERROR(INDEX(MgAmenGrupo,MATCH(SUBSTITUTE($H1196,"*","-"),MgAmenClave,0)),"")</f>
        <v/>
      </c>
      <c r="K1196" s="64">
        <f>IFERROR(INDEX('1. Matriz de Activos'!$Q$6:$Q$239,MATCH($C1196,MgActId,0)),"")</f>
        <v/>
      </c>
      <c r="L1196" s="64">
        <f>IFERROR(INDEX('1. Matriz de Activos'!$R$6:$R$239,MATCH($C1196,MgActId,0)),"")</f>
        <v/>
      </c>
      <c r="M1196" s="64">
        <f>IFERROR(INDEX('1. Matriz de Activos'!$S$6:$S$239,MATCH($C1196,MgActId,0)),"")</f>
        <v/>
      </c>
      <c r="N1196" s="28">
        <f>IFERROR(INDEX(MgAmenDegD,MATCH(SUBSTITUTE($H1196,"*","-"),MgAmenClave,0)),"No aplica")</f>
        <v/>
      </c>
      <c r="O1196" s="28">
        <f>IFERROR(INDEX(MgAmenDegI,MATCH(SUBSTITUTE($H1196,"*","-"),MgAmenClave,0)),"No aplica")</f>
        <v/>
      </c>
      <c r="P1196" s="28">
        <f>IFERROR(INDEX(MgAmenDegC,MATCH(SUBSTITUTE($H1196,"*","-"),MgAmenClave,0)),"No aplica")</f>
        <v/>
      </c>
      <c r="Q1196" s="29">
        <f>IFERROR(VLOOKUP(K1196,MgValor,2,0)*VLOOKUP(N1196,MgDeg,2,0),0)</f>
        <v/>
      </c>
      <c r="R1196" s="29">
        <f>IFERROR(VLOOKUP(L1196,MgValor,2,0)*VLOOKUP(O1196,MgDeg,2,0),0)</f>
        <v/>
      </c>
      <c r="S1196" s="29">
        <f>IFERROR(VLOOKUP(M1196,MgValor,2,0)*VLOOKUP(P1196,MgDeg,2,0),0)</f>
        <v/>
      </c>
      <c r="T1196" s="30">
        <f>MAX(Q1196:S1196)</f>
        <v/>
      </c>
      <c r="U1196" s="28">
        <f>IFERROR(LOOKUP(T1196,{0;0.5;1.5;3;4.5},{"Despreciable";"Bajo";"Medio";"Alto";"Muy alto"}),"")</f>
        <v/>
      </c>
      <c r="V1196" s="13">
        <f>IFERROR(INDEX(MgAmenFrec,MATCH(SUBSTITUTE($H1196,"*","-"),MgAmenClave,0)),"")</f>
        <v/>
      </c>
      <c r="W1196" s="28">
        <f>IFERROR(LOOKUP(X1196,{0;0.01;0.1;1;10;100},{"Muy baja";"Muy baja";"Baja";"Media";"Alta";"Muy alta"}),"")</f>
        <v/>
      </c>
      <c r="X1196" s="31">
        <f>IFERROR(VLOOKUP(V1196,MgFrec,2,0),0)</f>
        <v/>
      </c>
      <c r="Y1196" s="30">
        <f>T1196*X1196</f>
        <v/>
      </c>
      <c r="Z1196" s="28">
        <f>IFERROR(LOOKUP(Y1196,{0;0.5;5;25},{"Bajo";"Medio";"Alto";"Crítico"}),"")</f>
        <v/>
      </c>
      <c r="AA1196" s="64">
        <f>IF(T1196&gt;=3,IF(X1196&gt;=1,"Zona 1 — Crítica: impacto alto y ocurre al menos una vez al año","Zona 4 — Catastrófica poco probable: impacto alto pero excepcional"),IF(AND(T1196&lt;1.5,X1196&lt;1),"Zona 3 — Asumible: impacto bajo y muy poco frecuente","Zona 2 — Atención: riesgo intermedio"))</f>
        <v/>
      </c>
      <c r="AB1196" s="64">
        <f>IFERROR(INDEX(MgAmenCtrl,MATCH(SUBSTITUTE($H1196,"*","-"),MgAmenClave,0)),"")</f>
        <v/>
      </c>
      <c r="AC1196" s="20" t="n"/>
      <c r="AD1196" s="31">
        <f>IFERROR($X1196*(1-IF($AC1196="",$AL1196,VLOOKUP($AC1196,MgMad,2,0))),"")</f>
        <v/>
      </c>
      <c r="AE1196" s="28">
        <f>IFERROR(LOOKUP(AD1196,{0;0.01;0.1;1;10;100},{"Muy baja";"Muy baja";"Baja";"Media";"Alta";"Muy alta"}),"")</f>
        <v/>
      </c>
      <c r="AF1196" s="30">
        <f>T1196*AD1196</f>
        <v/>
      </c>
      <c r="AG1196" s="28">
        <f>IFERROR(LOOKUP(AF1196,{0;0.5;5;25},{"Bajo";"Medio";"Alto";"Crítico"}),"")</f>
        <v/>
      </c>
      <c r="AH1196" s="28">
        <f>IF(AG1196="","",IF(OR(AG1196="Crítico",AG1196="Alto"),"Mitigar",IF(AG1196="Medio","Mitigar","Aceptar y monitorear")))</f>
        <v/>
      </c>
      <c r="AI1196" s="21" t="n"/>
      <c r="AJ1196" s="21" t="n"/>
      <c r="AK1196" s="20" t="n"/>
      <c r="AL1196" s="77">
        <f>IFERROR(INDEX(MgAmenEfic,MATCH(SUBSTITUTE($H1196,"*","-"),MgAmenClave,0)),0)</f>
        <v/>
      </c>
    </row>
    <row r="1197" hidden="1" ht="90" customHeight="1" s="54">
      <c r="B1197" s="59" t="inlineStr">
        <is>
          <t>R-1192</t>
        </is>
      </c>
      <c r="C1197" s="59" t="inlineStr">
        <is>
          <t>GH-014</t>
        </is>
      </c>
      <c r="D1197" s="64">
        <f>IFERROR(INDEX(MgNombre,MATCH($C1197,MgActId,0)),"")</f>
        <v/>
      </c>
      <c r="E1197" s="64">
        <f>IFERROR(INDEX(MgProceso,MATCH($C1197,MgActId,0)),"")</f>
        <v/>
      </c>
      <c r="F1197" s="64">
        <f>IFERROR(INDEX(MgTipo,MATCH($C1197,MgActId,0)),"")</f>
        <v/>
      </c>
      <c r="G1197" s="64">
        <f>IFERROR(INDEX(MgSubtipo,MATCH($C1197,MgActId,0)),"")</f>
        <v/>
      </c>
      <c r="H1197" s="59" t="inlineStr">
        <is>
          <t>A.13</t>
        </is>
      </c>
      <c r="I1197" s="64">
        <f>IFERROR(INDEX(MgAmenNombre,MATCH(SUBSTITUTE($H1197,"*","-"),MgAmenClave,0)),"")</f>
        <v/>
      </c>
      <c r="J1197" s="28">
        <f>IFERROR(INDEX(MgAmenGrupo,MATCH(SUBSTITUTE($H1197,"*","-"),MgAmenClave,0)),"")</f>
        <v/>
      </c>
      <c r="K1197" s="64">
        <f>IFERROR(INDEX('1. Matriz de Activos'!$Q$6:$Q$239,MATCH($C1197,MgActId,0)),"")</f>
        <v/>
      </c>
      <c r="L1197" s="64">
        <f>IFERROR(INDEX('1. Matriz de Activos'!$R$6:$R$239,MATCH($C1197,MgActId,0)),"")</f>
        <v/>
      </c>
      <c r="M1197" s="64">
        <f>IFERROR(INDEX('1. Matriz de Activos'!$S$6:$S$239,MATCH($C1197,MgActId,0)),"")</f>
        <v/>
      </c>
      <c r="N1197" s="28">
        <f>IFERROR(INDEX(MgAmenDegD,MATCH(SUBSTITUTE($H1197,"*","-"),MgAmenClave,0)),"No aplica")</f>
        <v/>
      </c>
      <c r="O1197" s="28">
        <f>IFERROR(INDEX(MgAmenDegI,MATCH(SUBSTITUTE($H1197,"*","-"),MgAmenClave,0)),"No aplica")</f>
        <v/>
      </c>
      <c r="P1197" s="28">
        <f>IFERROR(INDEX(MgAmenDegC,MATCH(SUBSTITUTE($H1197,"*","-"),MgAmenClave,0)),"No aplica")</f>
        <v/>
      </c>
      <c r="Q1197" s="29">
        <f>IFERROR(VLOOKUP(K1197,MgValor,2,0)*VLOOKUP(N1197,MgDeg,2,0),0)</f>
        <v/>
      </c>
      <c r="R1197" s="29">
        <f>IFERROR(VLOOKUP(L1197,MgValor,2,0)*VLOOKUP(O1197,MgDeg,2,0),0)</f>
        <v/>
      </c>
      <c r="S1197" s="29">
        <f>IFERROR(VLOOKUP(M1197,MgValor,2,0)*VLOOKUP(P1197,MgDeg,2,0),0)</f>
        <v/>
      </c>
      <c r="T1197" s="30">
        <f>MAX(Q1197:S1197)</f>
        <v/>
      </c>
      <c r="U1197" s="28">
        <f>IFERROR(LOOKUP(T1197,{0;0.5;1.5;3;4.5},{"Despreciable";"Bajo";"Medio";"Alto";"Muy alto"}),"")</f>
        <v/>
      </c>
      <c r="V1197" s="13">
        <f>IFERROR(INDEX(MgAmenFrec,MATCH(SUBSTITUTE($H1197,"*","-"),MgAmenClave,0)),"")</f>
        <v/>
      </c>
      <c r="W1197" s="28">
        <f>IFERROR(LOOKUP(X1197,{0;0.01;0.1;1;10;100},{"Muy baja";"Muy baja";"Baja";"Media";"Alta";"Muy alta"}),"")</f>
        <v/>
      </c>
      <c r="X1197" s="31">
        <f>IFERROR(VLOOKUP(V1197,MgFrec,2,0),0)</f>
        <v/>
      </c>
      <c r="Y1197" s="30">
        <f>T1197*X1197</f>
        <v/>
      </c>
      <c r="Z1197" s="28">
        <f>IFERROR(LOOKUP(Y1197,{0;0.5;5;25},{"Bajo";"Medio";"Alto";"Crítico"}),"")</f>
        <v/>
      </c>
      <c r="AA1197" s="64">
        <f>IF(T1197&gt;=3,IF(X1197&gt;=1,"Zona 1 — Crítica: impacto alto y ocurre al menos una vez al año","Zona 4 — Catastrófica poco probable: impacto alto pero excepcional"),IF(AND(T1197&lt;1.5,X1197&lt;1),"Zona 3 — Asumible: impacto bajo y muy poco frecuente","Zona 2 — Atención: riesgo intermedio"))</f>
        <v/>
      </c>
      <c r="AB1197" s="64">
        <f>IFERROR(INDEX(MgAmenCtrl,MATCH(SUBSTITUTE($H1197,"*","-"),MgAmenClave,0)),"")</f>
        <v/>
      </c>
      <c r="AC1197" s="20" t="n"/>
      <c r="AD1197" s="31">
        <f>IFERROR($X1197*(1-IF($AC1197="",$AL1197,VLOOKUP($AC1197,MgMad,2,0))),"")</f>
        <v/>
      </c>
      <c r="AE1197" s="28">
        <f>IFERROR(LOOKUP(AD1197,{0;0.01;0.1;1;10;100},{"Muy baja";"Muy baja";"Baja";"Media";"Alta";"Muy alta"}),"")</f>
        <v/>
      </c>
      <c r="AF1197" s="30">
        <f>T1197*AD1197</f>
        <v/>
      </c>
      <c r="AG1197" s="28">
        <f>IFERROR(LOOKUP(AF1197,{0;0.5;5;25},{"Bajo";"Medio";"Alto";"Crítico"}),"")</f>
        <v/>
      </c>
      <c r="AH1197" s="28">
        <f>IF(AG1197="","",IF(OR(AG1197="Crítico",AG1197="Alto"),"Mitigar",IF(AG1197="Medio","Mitigar","Aceptar y monitorear")))</f>
        <v/>
      </c>
      <c r="AI1197" s="21" t="n"/>
      <c r="AJ1197" s="21" t="n"/>
      <c r="AK1197" s="20" t="n"/>
      <c r="AL1197" s="77">
        <f>IFERROR(INDEX(MgAmenEfic,MATCH(SUBSTITUTE($H1197,"*","-"),MgAmenClave,0)),0)</f>
        <v/>
      </c>
    </row>
    <row r="1198" hidden="1" ht="60" customHeight="1" s="54">
      <c r="B1198" s="59" t="inlineStr">
        <is>
          <t>R-1193</t>
        </is>
      </c>
      <c r="C1198" s="59" t="inlineStr">
        <is>
          <t>GH-014</t>
        </is>
      </c>
      <c r="D1198" s="64">
        <f>IFERROR(INDEX(MgNombre,MATCH($C1198,MgActId,0)),"")</f>
        <v/>
      </c>
      <c r="E1198" s="64">
        <f>IFERROR(INDEX(MgProceso,MATCH($C1198,MgActId,0)),"")</f>
        <v/>
      </c>
      <c r="F1198" s="64">
        <f>IFERROR(INDEX(MgTipo,MATCH($C1198,MgActId,0)),"")</f>
        <v/>
      </c>
      <c r="G1198" s="64">
        <f>IFERROR(INDEX(MgSubtipo,MATCH($C1198,MgActId,0)),"")</f>
        <v/>
      </c>
      <c r="H1198" s="59" t="inlineStr">
        <is>
          <t>A.15</t>
        </is>
      </c>
      <c r="I1198" s="64">
        <f>IFERROR(INDEX(MgAmenNombre,MATCH(SUBSTITUTE($H1198,"*","-"),MgAmenClave,0)),"")</f>
        <v/>
      </c>
      <c r="J1198" s="28">
        <f>IFERROR(INDEX(MgAmenGrupo,MATCH(SUBSTITUTE($H1198,"*","-"),MgAmenClave,0)),"")</f>
        <v/>
      </c>
      <c r="K1198" s="64">
        <f>IFERROR(INDEX('1. Matriz de Activos'!$Q$6:$Q$239,MATCH($C1198,MgActId,0)),"")</f>
        <v/>
      </c>
      <c r="L1198" s="64">
        <f>IFERROR(INDEX('1. Matriz de Activos'!$R$6:$R$239,MATCH($C1198,MgActId,0)),"")</f>
        <v/>
      </c>
      <c r="M1198" s="64">
        <f>IFERROR(INDEX('1. Matriz de Activos'!$S$6:$S$239,MATCH($C1198,MgActId,0)),"")</f>
        <v/>
      </c>
      <c r="N1198" s="28">
        <f>IFERROR(INDEX(MgAmenDegD,MATCH(SUBSTITUTE($H1198,"*","-"),MgAmenClave,0)),"No aplica")</f>
        <v/>
      </c>
      <c r="O1198" s="28">
        <f>IFERROR(INDEX(MgAmenDegI,MATCH(SUBSTITUTE($H1198,"*","-"),MgAmenClave,0)),"No aplica")</f>
        <v/>
      </c>
      <c r="P1198" s="28">
        <f>IFERROR(INDEX(MgAmenDegC,MATCH(SUBSTITUTE($H1198,"*","-"),MgAmenClave,0)),"No aplica")</f>
        <v/>
      </c>
      <c r="Q1198" s="29">
        <f>IFERROR(VLOOKUP(K1198,MgValor,2,0)*VLOOKUP(N1198,MgDeg,2,0),0)</f>
        <v/>
      </c>
      <c r="R1198" s="29">
        <f>IFERROR(VLOOKUP(L1198,MgValor,2,0)*VLOOKUP(O1198,MgDeg,2,0),0)</f>
        <v/>
      </c>
      <c r="S1198" s="29">
        <f>IFERROR(VLOOKUP(M1198,MgValor,2,0)*VLOOKUP(P1198,MgDeg,2,0),0)</f>
        <v/>
      </c>
      <c r="T1198" s="30">
        <f>MAX(Q1198:S1198)</f>
        <v/>
      </c>
      <c r="U1198" s="28">
        <f>IFERROR(LOOKUP(T1198,{0;0.5;1.5;3;4.5},{"Despreciable";"Bajo";"Medio";"Alto";"Muy alto"}),"")</f>
        <v/>
      </c>
      <c r="V1198" s="13">
        <f>IFERROR(INDEX(MgAmenFrec,MATCH(SUBSTITUTE($H1198,"*","-"),MgAmenClave,0)),"")</f>
        <v/>
      </c>
      <c r="W1198" s="28">
        <f>IFERROR(LOOKUP(X1198,{0;0.01;0.1;1;10;100},{"Muy baja";"Muy baja";"Baja";"Media";"Alta";"Muy alta"}),"")</f>
        <v/>
      </c>
      <c r="X1198" s="31">
        <f>IFERROR(VLOOKUP(V1198,MgFrec,2,0),0)</f>
        <v/>
      </c>
      <c r="Y1198" s="30">
        <f>T1198*X1198</f>
        <v/>
      </c>
      <c r="Z1198" s="28">
        <f>IFERROR(LOOKUP(Y1198,{0;0.5;5;25},{"Bajo";"Medio";"Alto";"Crítico"}),"")</f>
        <v/>
      </c>
      <c r="AA1198" s="64">
        <f>IF(T1198&gt;=3,IF(X1198&gt;=1,"Zona 1 — Crítica: impacto alto y ocurre al menos una vez al año","Zona 4 — Catastrófica poco probable: impacto alto pero excepcional"),IF(AND(T1198&lt;1.5,X1198&lt;1),"Zona 3 — Asumible: impacto bajo y muy poco frecuente","Zona 2 — Atención: riesgo intermedio"))</f>
        <v/>
      </c>
      <c r="AB1198" s="64">
        <f>IFERROR(INDEX(MgAmenCtrl,MATCH(SUBSTITUTE($H1198,"*","-"),MgAmenClave,0)),"")</f>
        <v/>
      </c>
      <c r="AC1198" s="20" t="n"/>
      <c r="AD1198" s="31">
        <f>IFERROR($X1198*(1-IF($AC1198="",$AL1198,VLOOKUP($AC1198,MgMad,2,0))),"")</f>
        <v/>
      </c>
      <c r="AE1198" s="28">
        <f>IFERROR(LOOKUP(AD1198,{0;0.01;0.1;1;10;100},{"Muy baja";"Muy baja";"Baja";"Media";"Alta";"Muy alta"}),"")</f>
        <v/>
      </c>
      <c r="AF1198" s="30">
        <f>T1198*AD1198</f>
        <v/>
      </c>
      <c r="AG1198" s="28">
        <f>IFERROR(LOOKUP(AF1198,{0;0.5;5;25},{"Bajo";"Medio";"Alto";"Crítico"}),"")</f>
        <v/>
      </c>
      <c r="AH1198" s="28">
        <f>IF(AG1198="","",IF(OR(AG1198="Crítico",AG1198="Alto"),"Mitigar",IF(AG1198="Medio","Mitigar","Aceptar y monitorear")))</f>
        <v/>
      </c>
      <c r="AI1198" s="21" t="n"/>
      <c r="AJ1198" s="21" t="n"/>
      <c r="AK1198" s="20" t="n"/>
      <c r="AL1198" s="77">
        <f>IFERROR(INDEX(MgAmenEfic,MATCH(SUBSTITUTE($H1198,"*","-"),MgAmenClave,0)),0)</f>
        <v/>
      </c>
    </row>
    <row r="1199" hidden="1" ht="60" customHeight="1" s="54">
      <c r="B1199" s="59" t="inlineStr">
        <is>
          <t>R-1194</t>
        </is>
      </c>
      <c r="C1199" s="59" t="inlineStr">
        <is>
          <t>GH-014</t>
        </is>
      </c>
      <c r="D1199" s="64">
        <f>IFERROR(INDEX(MgNombre,MATCH($C1199,MgActId,0)),"")</f>
        <v/>
      </c>
      <c r="E1199" s="64">
        <f>IFERROR(INDEX(MgProceso,MATCH($C1199,MgActId,0)),"")</f>
        <v/>
      </c>
      <c r="F1199" s="64">
        <f>IFERROR(INDEX(MgTipo,MATCH($C1199,MgActId,0)),"")</f>
        <v/>
      </c>
      <c r="G1199" s="64">
        <f>IFERROR(INDEX(MgSubtipo,MATCH($C1199,MgActId,0)),"")</f>
        <v/>
      </c>
      <c r="H1199" s="59" t="inlineStr">
        <is>
          <t>A.18</t>
        </is>
      </c>
      <c r="I1199" s="64">
        <f>IFERROR(INDEX(MgAmenNombre,MATCH(SUBSTITUTE($H1199,"*","-"),MgAmenClave,0)),"")</f>
        <v/>
      </c>
      <c r="J1199" s="28">
        <f>IFERROR(INDEX(MgAmenGrupo,MATCH(SUBSTITUTE($H1199,"*","-"),MgAmenClave,0)),"")</f>
        <v/>
      </c>
      <c r="K1199" s="64">
        <f>IFERROR(INDEX('1. Matriz de Activos'!$Q$6:$Q$239,MATCH($C1199,MgActId,0)),"")</f>
        <v/>
      </c>
      <c r="L1199" s="64">
        <f>IFERROR(INDEX('1. Matriz de Activos'!$R$6:$R$239,MATCH($C1199,MgActId,0)),"")</f>
        <v/>
      </c>
      <c r="M1199" s="64">
        <f>IFERROR(INDEX('1. Matriz de Activos'!$S$6:$S$239,MATCH($C1199,MgActId,0)),"")</f>
        <v/>
      </c>
      <c r="N1199" s="28">
        <f>IFERROR(INDEX(MgAmenDegD,MATCH(SUBSTITUTE($H1199,"*","-"),MgAmenClave,0)),"No aplica")</f>
        <v/>
      </c>
      <c r="O1199" s="28">
        <f>IFERROR(INDEX(MgAmenDegI,MATCH(SUBSTITUTE($H1199,"*","-"),MgAmenClave,0)),"No aplica")</f>
        <v/>
      </c>
      <c r="P1199" s="28">
        <f>IFERROR(INDEX(MgAmenDegC,MATCH(SUBSTITUTE($H1199,"*","-"),MgAmenClave,0)),"No aplica")</f>
        <v/>
      </c>
      <c r="Q1199" s="29">
        <f>IFERROR(VLOOKUP(K1199,MgValor,2,0)*VLOOKUP(N1199,MgDeg,2,0),0)</f>
        <v/>
      </c>
      <c r="R1199" s="29">
        <f>IFERROR(VLOOKUP(L1199,MgValor,2,0)*VLOOKUP(O1199,MgDeg,2,0),0)</f>
        <v/>
      </c>
      <c r="S1199" s="29">
        <f>IFERROR(VLOOKUP(M1199,MgValor,2,0)*VLOOKUP(P1199,MgDeg,2,0),0)</f>
        <v/>
      </c>
      <c r="T1199" s="30">
        <f>MAX(Q1199:S1199)</f>
        <v/>
      </c>
      <c r="U1199" s="28">
        <f>IFERROR(LOOKUP(T1199,{0;0.5;1.5;3;4.5},{"Despreciable";"Bajo";"Medio";"Alto";"Muy alto"}),"")</f>
        <v/>
      </c>
      <c r="V1199" s="13">
        <f>IFERROR(INDEX(MgAmenFrec,MATCH(SUBSTITUTE($H1199,"*","-"),MgAmenClave,0)),"")</f>
        <v/>
      </c>
      <c r="W1199" s="28">
        <f>IFERROR(LOOKUP(X1199,{0;0.01;0.1;1;10;100},{"Muy baja";"Muy baja";"Baja";"Media";"Alta";"Muy alta"}),"")</f>
        <v/>
      </c>
      <c r="X1199" s="31">
        <f>IFERROR(VLOOKUP(V1199,MgFrec,2,0),0)</f>
        <v/>
      </c>
      <c r="Y1199" s="30">
        <f>T1199*X1199</f>
        <v/>
      </c>
      <c r="Z1199" s="28">
        <f>IFERROR(LOOKUP(Y1199,{0;0.5;5;25},{"Bajo";"Medio";"Alto";"Crítico"}),"")</f>
        <v/>
      </c>
      <c r="AA1199" s="64">
        <f>IF(T1199&gt;=3,IF(X1199&gt;=1,"Zona 1 — Crítica: impacto alto y ocurre al menos una vez al año","Zona 4 — Catastrófica poco probable: impacto alto pero excepcional"),IF(AND(T1199&lt;1.5,X1199&lt;1),"Zona 3 — Asumible: impacto bajo y muy poco frecuente","Zona 2 — Atención: riesgo intermedio"))</f>
        <v/>
      </c>
      <c r="AB1199" s="64">
        <f>IFERROR(INDEX(MgAmenCtrl,MATCH(SUBSTITUTE($H1199,"*","-"),MgAmenClave,0)),"")</f>
        <v/>
      </c>
      <c r="AC1199" s="20" t="n"/>
      <c r="AD1199" s="31">
        <f>IFERROR($X1199*(1-IF($AC1199="",$AL1199,VLOOKUP($AC1199,MgMad,2,0))),"")</f>
        <v/>
      </c>
      <c r="AE1199" s="28">
        <f>IFERROR(LOOKUP(AD1199,{0;0.01;0.1;1;10;100},{"Muy baja";"Muy baja";"Baja";"Media";"Alta";"Muy alta"}),"")</f>
        <v/>
      </c>
      <c r="AF1199" s="30">
        <f>T1199*AD1199</f>
        <v/>
      </c>
      <c r="AG1199" s="28">
        <f>IFERROR(LOOKUP(AF1199,{0;0.5;5;25},{"Bajo";"Medio";"Alto";"Crítico"}),"")</f>
        <v/>
      </c>
      <c r="AH1199" s="28">
        <f>IF(AG1199="","",IF(OR(AG1199="Crítico",AG1199="Alto"),"Mitigar",IF(AG1199="Medio","Mitigar","Aceptar y monitorear")))</f>
        <v/>
      </c>
      <c r="AI1199" s="21" t="n"/>
      <c r="AJ1199" s="21" t="n"/>
      <c r="AK1199" s="20" t="n"/>
      <c r="AL1199" s="77">
        <f>IFERROR(INDEX(MgAmenEfic,MATCH(SUBSTITUTE($H1199,"*","-"),MgAmenClave,0)),0)</f>
        <v/>
      </c>
    </row>
    <row r="1200" hidden="1" ht="120" customHeight="1" s="54">
      <c r="B1200" s="59" t="inlineStr">
        <is>
          <t>R-1195</t>
        </is>
      </c>
      <c r="C1200" s="59" t="inlineStr">
        <is>
          <t>GH-014</t>
        </is>
      </c>
      <c r="D1200" s="64">
        <f>IFERROR(INDEX(MgNombre,MATCH($C1200,MgActId,0)),"")</f>
        <v/>
      </c>
      <c r="E1200" s="64">
        <f>IFERROR(INDEX(MgProceso,MATCH($C1200,MgActId,0)),"")</f>
        <v/>
      </c>
      <c r="F1200" s="64">
        <f>IFERROR(INDEX(MgTipo,MATCH($C1200,MgActId,0)),"")</f>
        <v/>
      </c>
      <c r="G1200" s="64">
        <f>IFERROR(INDEX(MgSubtipo,MATCH($C1200,MgActId,0)),"")</f>
        <v/>
      </c>
      <c r="H1200" s="59" t="inlineStr">
        <is>
          <t>A.19</t>
        </is>
      </c>
      <c r="I1200" s="64">
        <f>IFERROR(INDEX(MgAmenNombre,MATCH(SUBSTITUTE($H1200,"*","-"),MgAmenClave,0)),"")</f>
        <v/>
      </c>
      <c r="J1200" s="28">
        <f>IFERROR(INDEX(MgAmenGrupo,MATCH(SUBSTITUTE($H1200,"*","-"),MgAmenClave,0)),"")</f>
        <v/>
      </c>
      <c r="K1200" s="64">
        <f>IFERROR(INDEX('1. Matriz de Activos'!$Q$6:$Q$239,MATCH($C1200,MgActId,0)),"")</f>
        <v/>
      </c>
      <c r="L1200" s="64">
        <f>IFERROR(INDEX('1. Matriz de Activos'!$R$6:$R$239,MATCH($C1200,MgActId,0)),"")</f>
        <v/>
      </c>
      <c r="M1200" s="64">
        <f>IFERROR(INDEX('1. Matriz de Activos'!$S$6:$S$239,MATCH($C1200,MgActId,0)),"")</f>
        <v/>
      </c>
      <c r="N1200" s="28">
        <f>IFERROR(INDEX(MgAmenDegD,MATCH(SUBSTITUTE($H1200,"*","-"),MgAmenClave,0)),"No aplica")</f>
        <v/>
      </c>
      <c r="O1200" s="28">
        <f>IFERROR(INDEX(MgAmenDegI,MATCH(SUBSTITUTE($H1200,"*","-"),MgAmenClave,0)),"No aplica")</f>
        <v/>
      </c>
      <c r="P1200" s="28">
        <f>IFERROR(INDEX(MgAmenDegC,MATCH(SUBSTITUTE($H1200,"*","-"),MgAmenClave,0)),"No aplica")</f>
        <v/>
      </c>
      <c r="Q1200" s="29">
        <f>IFERROR(VLOOKUP(K1200,MgValor,2,0)*VLOOKUP(N1200,MgDeg,2,0),0)</f>
        <v/>
      </c>
      <c r="R1200" s="29">
        <f>IFERROR(VLOOKUP(L1200,MgValor,2,0)*VLOOKUP(O1200,MgDeg,2,0),0)</f>
        <v/>
      </c>
      <c r="S1200" s="29">
        <f>IFERROR(VLOOKUP(M1200,MgValor,2,0)*VLOOKUP(P1200,MgDeg,2,0),0)</f>
        <v/>
      </c>
      <c r="T1200" s="30">
        <f>MAX(Q1200:S1200)</f>
        <v/>
      </c>
      <c r="U1200" s="28">
        <f>IFERROR(LOOKUP(T1200,{0;0.5;1.5;3;4.5},{"Despreciable";"Bajo";"Medio";"Alto";"Muy alto"}),"")</f>
        <v/>
      </c>
      <c r="V1200" s="13">
        <f>IFERROR(INDEX(MgAmenFrec,MATCH(SUBSTITUTE($H1200,"*","-"),MgAmenClave,0)),"")</f>
        <v/>
      </c>
      <c r="W1200" s="28">
        <f>IFERROR(LOOKUP(X1200,{0;0.01;0.1;1;10;100},{"Muy baja";"Muy baja";"Baja";"Media";"Alta";"Muy alta"}),"")</f>
        <v/>
      </c>
      <c r="X1200" s="31">
        <f>IFERROR(VLOOKUP(V1200,MgFrec,2,0),0)</f>
        <v/>
      </c>
      <c r="Y1200" s="30">
        <f>T1200*X1200</f>
        <v/>
      </c>
      <c r="Z1200" s="28">
        <f>IFERROR(LOOKUP(Y1200,{0;0.5;5;25},{"Bajo";"Medio";"Alto";"Crítico"}),"")</f>
        <v/>
      </c>
      <c r="AA1200" s="64">
        <f>IF(T1200&gt;=3,IF(X1200&gt;=1,"Zona 1 — Crítica: impacto alto y ocurre al menos una vez al año","Zona 4 — Catastrófica poco probable: impacto alto pero excepcional"),IF(AND(T1200&lt;1.5,X1200&lt;1),"Zona 3 — Asumible: impacto bajo y muy poco frecuente","Zona 2 — Atención: riesgo intermedio"))</f>
        <v/>
      </c>
      <c r="AB1200" s="64">
        <f>IFERROR(INDEX(MgAmenCtrl,MATCH(SUBSTITUTE($H1200,"*","-"),MgAmenClave,0)),"")</f>
        <v/>
      </c>
      <c r="AC1200" s="20" t="n"/>
      <c r="AD1200" s="31">
        <f>IFERROR($X1200*(1-IF($AC1200="",$AL1200,VLOOKUP($AC1200,MgMad,2,0))),"")</f>
        <v/>
      </c>
      <c r="AE1200" s="28">
        <f>IFERROR(LOOKUP(AD1200,{0;0.01;0.1;1;10;100},{"Muy baja";"Muy baja";"Baja";"Media";"Alta";"Muy alta"}),"")</f>
        <v/>
      </c>
      <c r="AF1200" s="30">
        <f>T1200*AD1200</f>
        <v/>
      </c>
      <c r="AG1200" s="28">
        <f>IFERROR(LOOKUP(AF1200,{0;0.5;5;25},{"Bajo";"Medio";"Alto";"Crítico"}),"")</f>
        <v/>
      </c>
      <c r="AH1200" s="28">
        <f>IF(AG1200="","",IF(OR(AG1200="Crítico",AG1200="Alto"),"Mitigar",IF(AG1200="Medio","Mitigar","Aceptar y monitorear")))</f>
        <v/>
      </c>
      <c r="AI1200" s="21" t="n"/>
      <c r="AJ1200" s="21" t="n"/>
      <c r="AK1200" s="20" t="n"/>
      <c r="AL1200" s="77">
        <f>IFERROR(INDEX(MgAmenEfic,MATCH(SUBSTITUTE($H1200,"*","-"),MgAmenClave,0)),0)</f>
        <v/>
      </c>
    </row>
    <row r="1201" hidden="1" ht="105" customHeight="1" s="54">
      <c r="B1201" s="59" t="inlineStr">
        <is>
          <t>R-1196</t>
        </is>
      </c>
      <c r="C1201" s="59" t="inlineStr">
        <is>
          <t>GH-008</t>
        </is>
      </c>
      <c r="D1201" s="64">
        <f>IFERROR(INDEX(MgNombre,MATCH($C1201,MgActId,0)),"")</f>
        <v/>
      </c>
      <c r="E1201" s="64">
        <f>IFERROR(INDEX(MgProceso,MATCH($C1201,MgActId,0)),"")</f>
        <v/>
      </c>
      <c r="F1201" s="64">
        <f>IFERROR(INDEX(MgTipo,MATCH($C1201,MgActId,0)),"")</f>
        <v/>
      </c>
      <c r="G1201" s="64">
        <f>IFERROR(INDEX(MgSubtipo,MATCH($C1201,MgActId,0)),"")</f>
        <v/>
      </c>
      <c r="H1201" s="59" t="inlineStr">
        <is>
          <t>E.1</t>
        </is>
      </c>
      <c r="I1201" s="64">
        <f>IFERROR(INDEX(MgAmenNombre,MATCH(SUBSTITUTE($H1201,"*","-"),MgAmenClave,0)),"")</f>
        <v/>
      </c>
      <c r="J1201" s="28">
        <f>IFERROR(INDEX(MgAmenGrupo,MATCH(SUBSTITUTE($H1201,"*","-"),MgAmenClave,0)),"")</f>
        <v/>
      </c>
      <c r="K1201" s="64">
        <f>IFERROR(INDEX('1. Matriz de Activos'!$Q$6:$Q$239,MATCH($C1201,MgActId,0)),"")</f>
        <v/>
      </c>
      <c r="L1201" s="64">
        <f>IFERROR(INDEX('1. Matriz de Activos'!$R$6:$R$239,MATCH($C1201,MgActId,0)),"")</f>
        <v/>
      </c>
      <c r="M1201" s="64">
        <f>IFERROR(INDEX('1. Matriz de Activos'!$S$6:$S$239,MATCH($C1201,MgActId,0)),"")</f>
        <v/>
      </c>
      <c r="N1201" s="28">
        <f>IFERROR(INDEX(MgAmenDegD,MATCH(SUBSTITUTE($H1201,"*","-"),MgAmenClave,0)),"No aplica")</f>
        <v/>
      </c>
      <c r="O1201" s="28">
        <f>IFERROR(INDEX(MgAmenDegI,MATCH(SUBSTITUTE($H1201,"*","-"),MgAmenClave,0)),"No aplica")</f>
        <v/>
      </c>
      <c r="P1201" s="28">
        <f>IFERROR(INDEX(MgAmenDegC,MATCH(SUBSTITUTE($H1201,"*","-"),MgAmenClave,0)),"No aplica")</f>
        <v/>
      </c>
      <c r="Q1201" s="29">
        <f>IFERROR(VLOOKUP(K1201,MgValor,2,0)*VLOOKUP(N1201,MgDeg,2,0),0)</f>
        <v/>
      </c>
      <c r="R1201" s="29">
        <f>IFERROR(VLOOKUP(L1201,MgValor,2,0)*VLOOKUP(O1201,MgDeg,2,0),0)</f>
        <v/>
      </c>
      <c r="S1201" s="29">
        <f>IFERROR(VLOOKUP(M1201,MgValor,2,0)*VLOOKUP(P1201,MgDeg,2,0),0)</f>
        <v/>
      </c>
      <c r="T1201" s="30">
        <f>MAX(Q1201:S1201)</f>
        <v/>
      </c>
      <c r="U1201" s="28">
        <f>IFERROR(LOOKUP(T1201,{0;0.5;1.5;3;4.5},{"Despreciable";"Bajo";"Medio";"Alto";"Muy alto"}),"")</f>
        <v/>
      </c>
      <c r="V1201" s="13">
        <f>IFERROR(INDEX(MgAmenFrec,MATCH(SUBSTITUTE($H1201,"*","-"),MgAmenClave,0)),"")</f>
        <v/>
      </c>
      <c r="W1201" s="28">
        <f>IFERROR(LOOKUP(X1201,{0;0.01;0.1;1;10;100},{"Muy baja";"Muy baja";"Baja";"Media";"Alta";"Muy alta"}),"")</f>
        <v/>
      </c>
      <c r="X1201" s="31">
        <f>IFERROR(VLOOKUP(V1201,MgFrec,2,0),0)</f>
        <v/>
      </c>
      <c r="Y1201" s="30">
        <f>T1201*X1201</f>
        <v/>
      </c>
      <c r="Z1201" s="28">
        <f>IFERROR(LOOKUP(Y1201,{0;0.5;5;25},{"Bajo";"Medio";"Alto";"Crítico"}),"")</f>
        <v/>
      </c>
      <c r="AA1201" s="64">
        <f>IF(T1201&gt;=3,IF(X1201&gt;=1,"Zona 1 — Crítica: impacto alto y ocurre al menos una vez al año","Zona 4 — Catastrófica poco probable: impacto alto pero excepcional"),IF(AND(T1201&lt;1.5,X1201&lt;1),"Zona 3 — Asumible: impacto bajo y muy poco frecuente","Zona 2 — Atención: riesgo intermedio"))</f>
        <v/>
      </c>
      <c r="AB1201" s="64">
        <f>IFERROR(INDEX(MgAmenCtrl,MATCH(SUBSTITUTE($H1201,"*","-"),MgAmenClave,0)),"")</f>
        <v/>
      </c>
      <c r="AC1201" s="20" t="n"/>
      <c r="AD1201" s="31">
        <f>IFERROR($X1201*(1-IF($AC1201="",$AL1201,VLOOKUP($AC1201,MgMad,2,0))),"")</f>
        <v/>
      </c>
      <c r="AE1201" s="28">
        <f>IFERROR(LOOKUP(AD1201,{0;0.01;0.1;1;10;100},{"Muy baja";"Muy baja";"Baja";"Media";"Alta";"Muy alta"}),"")</f>
        <v/>
      </c>
      <c r="AF1201" s="30">
        <f>T1201*AD1201</f>
        <v/>
      </c>
      <c r="AG1201" s="28">
        <f>IFERROR(LOOKUP(AF1201,{0;0.5;5;25},{"Bajo";"Medio";"Alto";"Crítico"}),"")</f>
        <v/>
      </c>
      <c r="AH1201" s="28">
        <f>IF(AG1201="","",IF(OR(AG1201="Crítico",AG1201="Alto"),"Mitigar",IF(AG1201="Medio","Mitigar","Aceptar y monitorear")))</f>
        <v/>
      </c>
      <c r="AI1201" s="21" t="n"/>
      <c r="AJ1201" s="21" t="n"/>
      <c r="AK1201" s="20" t="n"/>
      <c r="AL1201" s="77">
        <f>IFERROR(INDEX(MgAmenEfic,MATCH(SUBSTITUTE($H1201,"*","-"),MgAmenClave,0)),0)</f>
        <v/>
      </c>
    </row>
    <row r="1202" hidden="1" ht="120" customHeight="1" s="54">
      <c r="B1202" s="59" t="inlineStr">
        <is>
          <t>R-1197</t>
        </is>
      </c>
      <c r="C1202" s="59" t="inlineStr">
        <is>
          <t>GH-008</t>
        </is>
      </c>
      <c r="D1202" s="64">
        <f>IFERROR(INDEX(MgNombre,MATCH($C1202,MgActId,0)),"")</f>
        <v/>
      </c>
      <c r="E1202" s="64">
        <f>IFERROR(INDEX(MgProceso,MATCH($C1202,MgActId,0)),"")</f>
        <v/>
      </c>
      <c r="F1202" s="64">
        <f>IFERROR(INDEX(MgTipo,MATCH($C1202,MgActId,0)),"")</f>
        <v/>
      </c>
      <c r="G1202" s="64">
        <f>IFERROR(INDEX(MgSubtipo,MATCH($C1202,MgActId,0)),"")</f>
        <v/>
      </c>
      <c r="H1202" s="59" t="inlineStr">
        <is>
          <t>E.2</t>
        </is>
      </c>
      <c r="I1202" s="64">
        <f>IFERROR(INDEX(MgAmenNombre,MATCH(SUBSTITUTE($H1202,"*","-"),MgAmenClave,0)),"")</f>
        <v/>
      </c>
      <c r="J1202" s="28">
        <f>IFERROR(INDEX(MgAmenGrupo,MATCH(SUBSTITUTE($H1202,"*","-"),MgAmenClave,0)),"")</f>
        <v/>
      </c>
      <c r="K1202" s="64">
        <f>IFERROR(INDEX('1. Matriz de Activos'!$Q$6:$Q$239,MATCH($C1202,MgActId,0)),"")</f>
        <v/>
      </c>
      <c r="L1202" s="64">
        <f>IFERROR(INDEX('1. Matriz de Activos'!$R$6:$R$239,MATCH($C1202,MgActId,0)),"")</f>
        <v/>
      </c>
      <c r="M1202" s="64">
        <f>IFERROR(INDEX('1. Matriz de Activos'!$S$6:$S$239,MATCH($C1202,MgActId,0)),"")</f>
        <v/>
      </c>
      <c r="N1202" s="28">
        <f>IFERROR(INDEX(MgAmenDegD,MATCH(SUBSTITUTE($H1202,"*","-"),MgAmenClave,0)),"No aplica")</f>
        <v/>
      </c>
      <c r="O1202" s="28">
        <f>IFERROR(INDEX(MgAmenDegI,MATCH(SUBSTITUTE($H1202,"*","-"),MgAmenClave,0)),"No aplica")</f>
        <v/>
      </c>
      <c r="P1202" s="28">
        <f>IFERROR(INDEX(MgAmenDegC,MATCH(SUBSTITUTE($H1202,"*","-"),MgAmenClave,0)),"No aplica")</f>
        <v/>
      </c>
      <c r="Q1202" s="29">
        <f>IFERROR(VLOOKUP(K1202,MgValor,2,0)*VLOOKUP(N1202,MgDeg,2,0),0)</f>
        <v/>
      </c>
      <c r="R1202" s="29">
        <f>IFERROR(VLOOKUP(L1202,MgValor,2,0)*VLOOKUP(O1202,MgDeg,2,0),0)</f>
        <v/>
      </c>
      <c r="S1202" s="29">
        <f>IFERROR(VLOOKUP(M1202,MgValor,2,0)*VLOOKUP(P1202,MgDeg,2,0),0)</f>
        <v/>
      </c>
      <c r="T1202" s="30">
        <f>MAX(Q1202:S1202)</f>
        <v/>
      </c>
      <c r="U1202" s="28">
        <f>IFERROR(LOOKUP(T1202,{0;0.5;1.5;3;4.5},{"Despreciable";"Bajo";"Medio";"Alto";"Muy alto"}),"")</f>
        <v/>
      </c>
      <c r="V1202" s="13">
        <f>IFERROR(INDEX(MgAmenFrec,MATCH(SUBSTITUTE($H1202,"*","-"),MgAmenClave,0)),"")</f>
        <v/>
      </c>
      <c r="W1202" s="28">
        <f>IFERROR(LOOKUP(X1202,{0;0.01;0.1;1;10;100},{"Muy baja";"Muy baja";"Baja";"Media";"Alta";"Muy alta"}),"")</f>
        <v/>
      </c>
      <c r="X1202" s="31">
        <f>IFERROR(VLOOKUP(V1202,MgFrec,2,0),0)</f>
        <v/>
      </c>
      <c r="Y1202" s="30">
        <f>T1202*X1202</f>
        <v/>
      </c>
      <c r="Z1202" s="28">
        <f>IFERROR(LOOKUP(Y1202,{0;0.5;5;25},{"Bajo";"Medio";"Alto";"Crítico"}),"")</f>
        <v/>
      </c>
      <c r="AA1202" s="64">
        <f>IF(T1202&gt;=3,IF(X1202&gt;=1,"Zona 1 — Crítica: impacto alto y ocurre al menos una vez al año","Zona 4 — Catastrófica poco probable: impacto alto pero excepcional"),IF(AND(T1202&lt;1.5,X1202&lt;1),"Zona 3 — Asumible: impacto bajo y muy poco frecuente","Zona 2 — Atención: riesgo intermedio"))</f>
        <v/>
      </c>
      <c r="AB1202" s="64">
        <f>IFERROR(INDEX(MgAmenCtrl,MATCH(SUBSTITUTE($H1202,"*","-"),MgAmenClave,0)),"")</f>
        <v/>
      </c>
      <c r="AC1202" s="20" t="n"/>
      <c r="AD1202" s="31">
        <f>IFERROR($X1202*(1-IF($AC1202="",$AL1202,VLOOKUP($AC1202,MgMad,2,0))),"")</f>
        <v/>
      </c>
      <c r="AE1202" s="28">
        <f>IFERROR(LOOKUP(AD1202,{0;0.01;0.1;1;10;100},{"Muy baja";"Muy baja";"Baja";"Media";"Alta";"Muy alta"}),"")</f>
        <v/>
      </c>
      <c r="AF1202" s="30">
        <f>T1202*AD1202</f>
        <v/>
      </c>
      <c r="AG1202" s="28">
        <f>IFERROR(LOOKUP(AF1202,{0;0.5;5;25},{"Bajo";"Medio";"Alto";"Crítico"}),"")</f>
        <v/>
      </c>
      <c r="AH1202" s="28">
        <f>IF(AG1202="","",IF(OR(AG1202="Crítico",AG1202="Alto"),"Mitigar",IF(AG1202="Medio","Mitigar","Aceptar y monitorear")))</f>
        <v/>
      </c>
      <c r="AI1202" s="21" t="n"/>
      <c r="AJ1202" s="21" t="n"/>
      <c r="AK1202" s="20" t="n"/>
      <c r="AL1202" s="77">
        <f>IFERROR(INDEX(MgAmenEfic,MATCH(SUBSTITUTE($H1202,"*","-"),MgAmenClave,0)),0)</f>
        <v/>
      </c>
    </row>
    <row r="1203" hidden="1" ht="75" customHeight="1" s="54">
      <c r="B1203" s="59" t="inlineStr">
        <is>
          <t>R-1198</t>
        </is>
      </c>
      <c r="C1203" s="59" t="inlineStr">
        <is>
          <t>GH-008</t>
        </is>
      </c>
      <c r="D1203" s="64">
        <f>IFERROR(INDEX(MgNombre,MATCH($C1203,MgActId,0)),"")</f>
        <v/>
      </c>
      <c r="E1203" s="64">
        <f>IFERROR(INDEX(MgProceso,MATCH($C1203,MgActId,0)),"")</f>
        <v/>
      </c>
      <c r="F1203" s="64">
        <f>IFERROR(INDEX(MgTipo,MATCH($C1203,MgActId,0)),"")</f>
        <v/>
      </c>
      <c r="G1203" s="64">
        <f>IFERROR(INDEX(MgSubtipo,MATCH($C1203,MgActId,0)),"")</f>
        <v/>
      </c>
      <c r="H1203" s="59" t="inlineStr">
        <is>
          <t>E.3</t>
        </is>
      </c>
      <c r="I1203" s="64">
        <f>IFERROR(INDEX(MgAmenNombre,MATCH(SUBSTITUTE($H1203,"*","-"),MgAmenClave,0)),"")</f>
        <v/>
      </c>
      <c r="J1203" s="28">
        <f>IFERROR(INDEX(MgAmenGrupo,MATCH(SUBSTITUTE($H1203,"*","-"),MgAmenClave,0)),"")</f>
        <v/>
      </c>
      <c r="K1203" s="64">
        <f>IFERROR(INDEX('1. Matriz de Activos'!$Q$6:$Q$239,MATCH($C1203,MgActId,0)),"")</f>
        <v/>
      </c>
      <c r="L1203" s="64">
        <f>IFERROR(INDEX('1. Matriz de Activos'!$R$6:$R$239,MATCH($C1203,MgActId,0)),"")</f>
        <v/>
      </c>
      <c r="M1203" s="64">
        <f>IFERROR(INDEX('1. Matriz de Activos'!$S$6:$S$239,MATCH($C1203,MgActId,0)),"")</f>
        <v/>
      </c>
      <c r="N1203" s="28">
        <f>IFERROR(INDEX(MgAmenDegD,MATCH(SUBSTITUTE($H1203,"*","-"),MgAmenClave,0)),"No aplica")</f>
        <v/>
      </c>
      <c r="O1203" s="28">
        <f>IFERROR(INDEX(MgAmenDegI,MATCH(SUBSTITUTE($H1203,"*","-"),MgAmenClave,0)),"No aplica")</f>
        <v/>
      </c>
      <c r="P1203" s="28">
        <f>IFERROR(INDEX(MgAmenDegC,MATCH(SUBSTITUTE($H1203,"*","-"),MgAmenClave,0)),"No aplica")</f>
        <v/>
      </c>
      <c r="Q1203" s="29">
        <f>IFERROR(VLOOKUP(K1203,MgValor,2,0)*VLOOKUP(N1203,MgDeg,2,0),0)</f>
        <v/>
      </c>
      <c r="R1203" s="29">
        <f>IFERROR(VLOOKUP(L1203,MgValor,2,0)*VLOOKUP(O1203,MgDeg,2,0),0)</f>
        <v/>
      </c>
      <c r="S1203" s="29">
        <f>IFERROR(VLOOKUP(M1203,MgValor,2,0)*VLOOKUP(P1203,MgDeg,2,0),0)</f>
        <v/>
      </c>
      <c r="T1203" s="30">
        <f>MAX(Q1203:S1203)</f>
        <v/>
      </c>
      <c r="U1203" s="28">
        <f>IFERROR(LOOKUP(T1203,{0;0.5;1.5;3;4.5},{"Despreciable";"Bajo";"Medio";"Alto";"Muy alto"}),"")</f>
        <v/>
      </c>
      <c r="V1203" s="13">
        <f>IFERROR(INDEX(MgAmenFrec,MATCH(SUBSTITUTE($H1203,"*","-"),MgAmenClave,0)),"")</f>
        <v/>
      </c>
      <c r="W1203" s="28">
        <f>IFERROR(LOOKUP(X1203,{0;0.01;0.1;1;10;100},{"Muy baja";"Muy baja";"Baja";"Media";"Alta";"Muy alta"}),"")</f>
        <v/>
      </c>
      <c r="X1203" s="31">
        <f>IFERROR(VLOOKUP(V1203,MgFrec,2,0),0)</f>
        <v/>
      </c>
      <c r="Y1203" s="30">
        <f>T1203*X1203</f>
        <v/>
      </c>
      <c r="Z1203" s="28">
        <f>IFERROR(LOOKUP(Y1203,{0;0.5;5;25},{"Bajo";"Medio";"Alto";"Crítico"}),"")</f>
        <v/>
      </c>
      <c r="AA1203" s="64">
        <f>IF(T1203&gt;=3,IF(X1203&gt;=1,"Zona 1 — Crítica: impacto alto y ocurre al menos una vez al año","Zona 4 — Catastrófica poco probable: impacto alto pero excepcional"),IF(AND(T1203&lt;1.5,X1203&lt;1),"Zona 3 — Asumible: impacto bajo y muy poco frecuente","Zona 2 — Atención: riesgo intermedio"))</f>
        <v/>
      </c>
      <c r="AB1203" s="64">
        <f>IFERROR(INDEX(MgAmenCtrl,MATCH(SUBSTITUTE($H1203,"*","-"),MgAmenClave,0)),"")</f>
        <v/>
      </c>
      <c r="AC1203" s="20" t="n"/>
      <c r="AD1203" s="31">
        <f>IFERROR($X1203*(1-IF($AC1203="",$AL1203,VLOOKUP($AC1203,MgMad,2,0))),"")</f>
        <v/>
      </c>
      <c r="AE1203" s="28">
        <f>IFERROR(LOOKUP(AD1203,{0;0.01;0.1;1;10;100},{"Muy baja";"Muy baja";"Baja";"Media";"Alta";"Muy alta"}),"")</f>
        <v/>
      </c>
      <c r="AF1203" s="30">
        <f>T1203*AD1203</f>
        <v/>
      </c>
      <c r="AG1203" s="28">
        <f>IFERROR(LOOKUP(AF1203,{0;0.5;5;25},{"Bajo";"Medio";"Alto";"Crítico"}),"")</f>
        <v/>
      </c>
      <c r="AH1203" s="28">
        <f>IF(AG1203="","",IF(OR(AG1203="Crítico",AG1203="Alto"),"Mitigar",IF(AG1203="Medio","Mitigar","Aceptar y monitorear")))</f>
        <v/>
      </c>
      <c r="AI1203" s="21" t="n"/>
      <c r="AJ1203" s="21" t="n"/>
      <c r="AK1203" s="20" t="n"/>
      <c r="AL1203" s="77">
        <f>IFERROR(INDEX(MgAmenEfic,MATCH(SUBSTITUTE($H1203,"*","-"),MgAmenClave,0)),0)</f>
        <v/>
      </c>
    </row>
    <row r="1204" hidden="1" ht="75" customHeight="1" s="54">
      <c r="B1204" s="59" t="inlineStr">
        <is>
          <t>R-1199</t>
        </is>
      </c>
      <c r="C1204" s="59" t="inlineStr">
        <is>
          <t>GH-008</t>
        </is>
      </c>
      <c r="D1204" s="64">
        <f>IFERROR(INDEX(MgNombre,MATCH($C1204,MgActId,0)),"")</f>
        <v/>
      </c>
      <c r="E1204" s="64">
        <f>IFERROR(INDEX(MgProceso,MATCH($C1204,MgActId,0)),"")</f>
        <v/>
      </c>
      <c r="F1204" s="64">
        <f>IFERROR(INDEX(MgTipo,MATCH($C1204,MgActId,0)),"")</f>
        <v/>
      </c>
      <c r="G1204" s="64">
        <f>IFERROR(INDEX(MgSubtipo,MATCH($C1204,MgActId,0)),"")</f>
        <v/>
      </c>
      <c r="H1204" s="59" t="inlineStr">
        <is>
          <t>E.4</t>
        </is>
      </c>
      <c r="I1204" s="64">
        <f>IFERROR(INDEX(MgAmenNombre,MATCH(SUBSTITUTE($H1204,"*","-"),MgAmenClave,0)),"")</f>
        <v/>
      </c>
      <c r="J1204" s="28">
        <f>IFERROR(INDEX(MgAmenGrupo,MATCH(SUBSTITUTE($H1204,"*","-"),MgAmenClave,0)),"")</f>
        <v/>
      </c>
      <c r="K1204" s="64">
        <f>IFERROR(INDEX('1. Matriz de Activos'!$Q$6:$Q$239,MATCH($C1204,MgActId,0)),"")</f>
        <v/>
      </c>
      <c r="L1204" s="64">
        <f>IFERROR(INDEX('1. Matriz de Activos'!$R$6:$R$239,MATCH($C1204,MgActId,0)),"")</f>
        <v/>
      </c>
      <c r="M1204" s="64">
        <f>IFERROR(INDEX('1. Matriz de Activos'!$S$6:$S$239,MATCH($C1204,MgActId,0)),"")</f>
        <v/>
      </c>
      <c r="N1204" s="28">
        <f>IFERROR(INDEX(MgAmenDegD,MATCH(SUBSTITUTE($H1204,"*","-"),MgAmenClave,0)),"No aplica")</f>
        <v/>
      </c>
      <c r="O1204" s="28">
        <f>IFERROR(INDEX(MgAmenDegI,MATCH(SUBSTITUTE($H1204,"*","-"),MgAmenClave,0)),"No aplica")</f>
        <v/>
      </c>
      <c r="P1204" s="28">
        <f>IFERROR(INDEX(MgAmenDegC,MATCH(SUBSTITUTE($H1204,"*","-"),MgAmenClave,0)),"No aplica")</f>
        <v/>
      </c>
      <c r="Q1204" s="29">
        <f>IFERROR(VLOOKUP(K1204,MgValor,2,0)*VLOOKUP(N1204,MgDeg,2,0),0)</f>
        <v/>
      </c>
      <c r="R1204" s="29">
        <f>IFERROR(VLOOKUP(L1204,MgValor,2,0)*VLOOKUP(O1204,MgDeg,2,0),0)</f>
        <v/>
      </c>
      <c r="S1204" s="29">
        <f>IFERROR(VLOOKUP(M1204,MgValor,2,0)*VLOOKUP(P1204,MgDeg,2,0),0)</f>
        <v/>
      </c>
      <c r="T1204" s="30">
        <f>MAX(Q1204:S1204)</f>
        <v/>
      </c>
      <c r="U1204" s="28">
        <f>IFERROR(LOOKUP(T1204,{0;0.5;1.5;3;4.5},{"Despreciable";"Bajo";"Medio";"Alto";"Muy alto"}),"")</f>
        <v/>
      </c>
      <c r="V1204" s="13">
        <f>IFERROR(INDEX(MgAmenFrec,MATCH(SUBSTITUTE($H1204,"*","-"),MgAmenClave,0)),"")</f>
        <v/>
      </c>
      <c r="W1204" s="28">
        <f>IFERROR(LOOKUP(X1204,{0;0.01;0.1;1;10;100},{"Muy baja";"Muy baja";"Baja";"Media";"Alta";"Muy alta"}),"")</f>
        <v/>
      </c>
      <c r="X1204" s="31">
        <f>IFERROR(VLOOKUP(V1204,MgFrec,2,0),0)</f>
        <v/>
      </c>
      <c r="Y1204" s="30">
        <f>T1204*X1204</f>
        <v/>
      </c>
      <c r="Z1204" s="28">
        <f>IFERROR(LOOKUP(Y1204,{0;0.5;5;25},{"Bajo";"Medio";"Alto";"Crítico"}),"")</f>
        <v/>
      </c>
      <c r="AA1204" s="64">
        <f>IF(T1204&gt;=3,IF(X1204&gt;=1,"Zona 1 — Crítica: impacto alto y ocurre al menos una vez al año","Zona 4 — Catastrófica poco probable: impacto alto pero excepcional"),IF(AND(T1204&lt;1.5,X1204&lt;1),"Zona 3 — Asumible: impacto bajo y muy poco frecuente","Zona 2 — Atención: riesgo intermedio"))</f>
        <v/>
      </c>
      <c r="AB1204" s="64">
        <f>IFERROR(INDEX(MgAmenCtrl,MATCH(SUBSTITUTE($H1204,"*","-"),MgAmenClave,0)),"")</f>
        <v/>
      </c>
      <c r="AC1204" s="20" t="n"/>
      <c r="AD1204" s="31">
        <f>IFERROR($X1204*(1-IF($AC1204="",$AL1204,VLOOKUP($AC1204,MgMad,2,0))),"")</f>
        <v/>
      </c>
      <c r="AE1204" s="28">
        <f>IFERROR(LOOKUP(AD1204,{0;0.01;0.1;1;10;100},{"Muy baja";"Muy baja";"Baja";"Media";"Alta";"Muy alta"}),"")</f>
        <v/>
      </c>
      <c r="AF1204" s="30">
        <f>T1204*AD1204</f>
        <v/>
      </c>
      <c r="AG1204" s="28">
        <f>IFERROR(LOOKUP(AF1204,{0;0.5;5;25},{"Bajo";"Medio";"Alto";"Crítico"}),"")</f>
        <v/>
      </c>
      <c r="AH1204" s="28">
        <f>IF(AG1204="","",IF(OR(AG1204="Crítico",AG1204="Alto"),"Mitigar",IF(AG1204="Medio","Mitigar","Aceptar y monitorear")))</f>
        <v/>
      </c>
      <c r="AI1204" s="21" t="n"/>
      <c r="AJ1204" s="21" t="n"/>
      <c r="AK1204" s="20" t="n"/>
      <c r="AL1204" s="77">
        <f>IFERROR(INDEX(MgAmenEfic,MATCH(SUBSTITUTE($H1204,"*","-"),MgAmenClave,0)),0)</f>
        <v/>
      </c>
    </row>
    <row r="1205" hidden="1" ht="90" customHeight="1" s="54">
      <c r="B1205" s="59" t="inlineStr">
        <is>
          <t>R-1200</t>
        </is>
      </c>
      <c r="C1205" s="59" t="inlineStr">
        <is>
          <t>GH-008</t>
        </is>
      </c>
      <c r="D1205" s="64">
        <f>IFERROR(INDEX(MgNombre,MATCH($C1205,MgActId,0)),"")</f>
        <v/>
      </c>
      <c r="E1205" s="64">
        <f>IFERROR(INDEX(MgProceso,MATCH($C1205,MgActId,0)),"")</f>
        <v/>
      </c>
      <c r="F1205" s="64">
        <f>IFERROR(INDEX(MgTipo,MATCH($C1205,MgActId,0)),"")</f>
        <v/>
      </c>
      <c r="G1205" s="64">
        <f>IFERROR(INDEX(MgSubtipo,MATCH($C1205,MgActId,0)),"")</f>
        <v/>
      </c>
      <c r="H1205" s="59" t="inlineStr">
        <is>
          <t>E.14</t>
        </is>
      </c>
      <c r="I1205" s="64">
        <f>IFERROR(INDEX(MgAmenNombre,MATCH(SUBSTITUTE($H1205,"*","-"),MgAmenClave,0)),"")</f>
        <v/>
      </c>
      <c r="J1205" s="28">
        <f>IFERROR(INDEX(MgAmenGrupo,MATCH(SUBSTITUTE($H1205,"*","-"),MgAmenClave,0)),"")</f>
        <v/>
      </c>
      <c r="K1205" s="64">
        <f>IFERROR(INDEX('1. Matriz de Activos'!$Q$6:$Q$239,MATCH($C1205,MgActId,0)),"")</f>
        <v/>
      </c>
      <c r="L1205" s="64">
        <f>IFERROR(INDEX('1. Matriz de Activos'!$R$6:$R$239,MATCH($C1205,MgActId,0)),"")</f>
        <v/>
      </c>
      <c r="M1205" s="64">
        <f>IFERROR(INDEX('1. Matriz de Activos'!$S$6:$S$239,MATCH($C1205,MgActId,0)),"")</f>
        <v/>
      </c>
      <c r="N1205" s="28">
        <f>IFERROR(INDEX(MgAmenDegD,MATCH(SUBSTITUTE($H1205,"*","-"),MgAmenClave,0)),"No aplica")</f>
        <v/>
      </c>
      <c r="O1205" s="28">
        <f>IFERROR(INDEX(MgAmenDegI,MATCH(SUBSTITUTE($H1205,"*","-"),MgAmenClave,0)),"No aplica")</f>
        <v/>
      </c>
      <c r="P1205" s="28">
        <f>IFERROR(INDEX(MgAmenDegC,MATCH(SUBSTITUTE($H1205,"*","-"),MgAmenClave,0)),"No aplica")</f>
        <v/>
      </c>
      <c r="Q1205" s="29">
        <f>IFERROR(VLOOKUP(K1205,MgValor,2,0)*VLOOKUP(N1205,MgDeg,2,0),0)</f>
        <v/>
      </c>
      <c r="R1205" s="29">
        <f>IFERROR(VLOOKUP(L1205,MgValor,2,0)*VLOOKUP(O1205,MgDeg,2,0),0)</f>
        <v/>
      </c>
      <c r="S1205" s="29">
        <f>IFERROR(VLOOKUP(M1205,MgValor,2,0)*VLOOKUP(P1205,MgDeg,2,0),0)</f>
        <v/>
      </c>
      <c r="T1205" s="30">
        <f>MAX(Q1205:S1205)</f>
        <v/>
      </c>
      <c r="U1205" s="28">
        <f>IFERROR(LOOKUP(T1205,{0;0.5;1.5;3;4.5},{"Despreciable";"Bajo";"Medio";"Alto";"Muy alto"}),"")</f>
        <v/>
      </c>
      <c r="V1205" s="13">
        <f>IFERROR(INDEX(MgAmenFrec,MATCH(SUBSTITUTE($H1205,"*","-"),MgAmenClave,0)),"")</f>
        <v/>
      </c>
      <c r="W1205" s="28">
        <f>IFERROR(LOOKUP(X1205,{0;0.01;0.1;1;10;100},{"Muy baja";"Muy baja";"Baja";"Media";"Alta";"Muy alta"}),"")</f>
        <v/>
      </c>
      <c r="X1205" s="31">
        <f>IFERROR(VLOOKUP(V1205,MgFrec,2,0),0)</f>
        <v/>
      </c>
      <c r="Y1205" s="30">
        <f>T1205*X1205</f>
        <v/>
      </c>
      <c r="Z1205" s="28">
        <f>IFERROR(LOOKUP(Y1205,{0;0.5;5;25},{"Bajo";"Medio";"Alto";"Crítico"}),"")</f>
        <v/>
      </c>
      <c r="AA1205" s="64">
        <f>IF(T1205&gt;=3,IF(X1205&gt;=1,"Zona 1 — Crítica: impacto alto y ocurre al menos una vez al año","Zona 4 — Catastrófica poco probable: impacto alto pero excepcional"),IF(AND(T1205&lt;1.5,X1205&lt;1),"Zona 3 — Asumible: impacto bajo y muy poco frecuente","Zona 2 — Atención: riesgo intermedio"))</f>
        <v/>
      </c>
      <c r="AB1205" s="64">
        <f>IFERROR(INDEX(MgAmenCtrl,MATCH(SUBSTITUTE($H1205,"*","-"),MgAmenClave,0)),"")</f>
        <v/>
      </c>
      <c r="AC1205" s="20" t="n"/>
      <c r="AD1205" s="31">
        <f>IFERROR($X1205*(1-IF($AC1205="",$AL1205,VLOOKUP($AC1205,MgMad,2,0))),"")</f>
        <v/>
      </c>
      <c r="AE1205" s="28">
        <f>IFERROR(LOOKUP(AD1205,{0;0.01;0.1;1;10;100},{"Muy baja";"Muy baja";"Baja";"Media";"Alta";"Muy alta"}),"")</f>
        <v/>
      </c>
      <c r="AF1205" s="30">
        <f>T1205*AD1205</f>
        <v/>
      </c>
      <c r="AG1205" s="28">
        <f>IFERROR(LOOKUP(AF1205,{0;0.5;5;25},{"Bajo";"Medio";"Alto";"Crítico"}),"")</f>
        <v/>
      </c>
      <c r="AH1205" s="28">
        <f>IF(AG1205="","",IF(OR(AG1205="Crítico",AG1205="Alto"),"Mitigar",IF(AG1205="Medio","Mitigar","Aceptar y monitorear")))</f>
        <v/>
      </c>
      <c r="AI1205" s="21" t="n"/>
      <c r="AJ1205" s="21" t="n"/>
      <c r="AK1205" s="20" t="n"/>
      <c r="AL1205" s="77">
        <f>IFERROR(INDEX(MgAmenEfic,MATCH(SUBSTITUTE($H1205,"*","-"),MgAmenClave,0)),0)</f>
        <v/>
      </c>
    </row>
    <row r="1206" hidden="1" ht="90" customHeight="1" s="54">
      <c r="B1206" s="59" t="inlineStr">
        <is>
          <t>R-1201</t>
        </is>
      </c>
      <c r="C1206" s="59" t="inlineStr">
        <is>
          <t>GH-008</t>
        </is>
      </c>
      <c r="D1206" s="64">
        <f>IFERROR(INDEX(MgNombre,MATCH($C1206,MgActId,0)),"")</f>
        <v/>
      </c>
      <c r="E1206" s="64">
        <f>IFERROR(INDEX(MgProceso,MATCH($C1206,MgActId,0)),"")</f>
        <v/>
      </c>
      <c r="F1206" s="64">
        <f>IFERROR(INDEX(MgTipo,MATCH($C1206,MgActId,0)),"")</f>
        <v/>
      </c>
      <c r="G1206" s="64">
        <f>IFERROR(INDEX(MgSubtipo,MATCH($C1206,MgActId,0)),"")</f>
        <v/>
      </c>
      <c r="H1206" s="59" t="inlineStr">
        <is>
          <t>E.15</t>
        </is>
      </c>
      <c r="I1206" s="64">
        <f>IFERROR(INDEX(MgAmenNombre,MATCH(SUBSTITUTE($H1206,"*","-"),MgAmenClave,0)),"")</f>
        <v/>
      </c>
      <c r="J1206" s="28">
        <f>IFERROR(INDEX(MgAmenGrupo,MATCH(SUBSTITUTE($H1206,"*","-"),MgAmenClave,0)),"")</f>
        <v/>
      </c>
      <c r="K1206" s="64">
        <f>IFERROR(INDEX('1. Matriz de Activos'!$Q$6:$Q$239,MATCH($C1206,MgActId,0)),"")</f>
        <v/>
      </c>
      <c r="L1206" s="64">
        <f>IFERROR(INDEX('1. Matriz de Activos'!$R$6:$R$239,MATCH($C1206,MgActId,0)),"")</f>
        <v/>
      </c>
      <c r="M1206" s="64">
        <f>IFERROR(INDEX('1. Matriz de Activos'!$S$6:$S$239,MATCH($C1206,MgActId,0)),"")</f>
        <v/>
      </c>
      <c r="N1206" s="28">
        <f>IFERROR(INDEX(MgAmenDegD,MATCH(SUBSTITUTE($H1206,"*","-"),MgAmenClave,0)),"No aplica")</f>
        <v/>
      </c>
      <c r="O1206" s="28">
        <f>IFERROR(INDEX(MgAmenDegI,MATCH(SUBSTITUTE($H1206,"*","-"),MgAmenClave,0)),"No aplica")</f>
        <v/>
      </c>
      <c r="P1206" s="28">
        <f>IFERROR(INDEX(MgAmenDegC,MATCH(SUBSTITUTE($H1206,"*","-"),MgAmenClave,0)),"No aplica")</f>
        <v/>
      </c>
      <c r="Q1206" s="29">
        <f>IFERROR(VLOOKUP(K1206,MgValor,2,0)*VLOOKUP(N1206,MgDeg,2,0),0)</f>
        <v/>
      </c>
      <c r="R1206" s="29">
        <f>IFERROR(VLOOKUP(L1206,MgValor,2,0)*VLOOKUP(O1206,MgDeg,2,0),0)</f>
        <v/>
      </c>
      <c r="S1206" s="29">
        <f>IFERROR(VLOOKUP(M1206,MgValor,2,0)*VLOOKUP(P1206,MgDeg,2,0),0)</f>
        <v/>
      </c>
      <c r="T1206" s="30">
        <f>MAX(Q1206:S1206)</f>
        <v/>
      </c>
      <c r="U1206" s="28">
        <f>IFERROR(LOOKUP(T1206,{0;0.5;1.5;3;4.5},{"Despreciable";"Bajo";"Medio";"Alto";"Muy alto"}),"")</f>
        <v/>
      </c>
      <c r="V1206" s="13">
        <f>IFERROR(INDEX(MgAmenFrec,MATCH(SUBSTITUTE($H1206,"*","-"),MgAmenClave,0)),"")</f>
        <v/>
      </c>
      <c r="W1206" s="28">
        <f>IFERROR(LOOKUP(X1206,{0;0.01;0.1;1;10;100},{"Muy baja";"Muy baja";"Baja";"Media";"Alta";"Muy alta"}),"")</f>
        <v/>
      </c>
      <c r="X1206" s="31">
        <f>IFERROR(VLOOKUP(V1206,MgFrec,2,0),0)</f>
        <v/>
      </c>
      <c r="Y1206" s="30">
        <f>T1206*X1206</f>
        <v/>
      </c>
      <c r="Z1206" s="28">
        <f>IFERROR(LOOKUP(Y1206,{0;0.5;5;25},{"Bajo";"Medio";"Alto";"Crítico"}),"")</f>
        <v/>
      </c>
      <c r="AA1206" s="64">
        <f>IF(T1206&gt;=3,IF(X1206&gt;=1,"Zona 1 — Crítica: impacto alto y ocurre al menos una vez al año","Zona 4 — Catastrófica poco probable: impacto alto pero excepcional"),IF(AND(T1206&lt;1.5,X1206&lt;1),"Zona 3 — Asumible: impacto bajo y muy poco frecuente","Zona 2 — Atención: riesgo intermedio"))</f>
        <v/>
      </c>
      <c r="AB1206" s="64">
        <f>IFERROR(INDEX(MgAmenCtrl,MATCH(SUBSTITUTE($H1206,"*","-"),MgAmenClave,0)),"")</f>
        <v/>
      </c>
      <c r="AC1206" s="20" t="n"/>
      <c r="AD1206" s="31">
        <f>IFERROR($X1206*(1-IF($AC1206="",$AL1206,VLOOKUP($AC1206,MgMad,2,0))),"")</f>
        <v/>
      </c>
      <c r="AE1206" s="28">
        <f>IFERROR(LOOKUP(AD1206,{0;0.01;0.1;1;10;100},{"Muy baja";"Muy baja";"Baja";"Media";"Alta";"Muy alta"}),"")</f>
        <v/>
      </c>
      <c r="AF1206" s="30">
        <f>T1206*AD1206</f>
        <v/>
      </c>
      <c r="AG1206" s="28">
        <f>IFERROR(LOOKUP(AF1206,{0;0.5;5;25},{"Bajo";"Medio";"Alto";"Crítico"}),"")</f>
        <v/>
      </c>
      <c r="AH1206" s="28">
        <f>IF(AG1206="","",IF(OR(AG1206="Crítico",AG1206="Alto"),"Mitigar",IF(AG1206="Medio","Mitigar","Aceptar y monitorear")))</f>
        <v/>
      </c>
      <c r="AI1206" s="21" t="n"/>
      <c r="AJ1206" s="21" t="n"/>
      <c r="AK1206" s="20" t="n"/>
      <c r="AL1206" s="77">
        <f>IFERROR(INDEX(MgAmenEfic,MATCH(SUBSTITUTE($H1206,"*","-"),MgAmenClave,0)),0)</f>
        <v/>
      </c>
    </row>
    <row r="1207" hidden="1" ht="60" customHeight="1" s="54">
      <c r="B1207" s="59" t="inlineStr">
        <is>
          <t>R-1202</t>
        </is>
      </c>
      <c r="C1207" s="59" t="inlineStr">
        <is>
          <t>GH-008</t>
        </is>
      </c>
      <c r="D1207" s="64">
        <f>IFERROR(INDEX(MgNombre,MATCH($C1207,MgActId,0)),"")</f>
        <v/>
      </c>
      <c r="E1207" s="64">
        <f>IFERROR(INDEX(MgProceso,MATCH($C1207,MgActId,0)),"")</f>
        <v/>
      </c>
      <c r="F1207" s="64">
        <f>IFERROR(INDEX(MgTipo,MATCH($C1207,MgActId,0)),"")</f>
        <v/>
      </c>
      <c r="G1207" s="64">
        <f>IFERROR(INDEX(MgSubtipo,MATCH($C1207,MgActId,0)),"")</f>
        <v/>
      </c>
      <c r="H1207" s="59" t="inlineStr">
        <is>
          <t>E.18</t>
        </is>
      </c>
      <c r="I1207" s="64">
        <f>IFERROR(INDEX(MgAmenNombre,MATCH(SUBSTITUTE($H1207,"*","-"),MgAmenClave,0)),"")</f>
        <v/>
      </c>
      <c r="J1207" s="28">
        <f>IFERROR(INDEX(MgAmenGrupo,MATCH(SUBSTITUTE($H1207,"*","-"),MgAmenClave,0)),"")</f>
        <v/>
      </c>
      <c r="K1207" s="64">
        <f>IFERROR(INDEX('1. Matriz de Activos'!$Q$6:$Q$239,MATCH($C1207,MgActId,0)),"")</f>
        <v/>
      </c>
      <c r="L1207" s="64">
        <f>IFERROR(INDEX('1. Matriz de Activos'!$R$6:$R$239,MATCH($C1207,MgActId,0)),"")</f>
        <v/>
      </c>
      <c r="M1207" s="64">
        <f>IFERROR(INDEX('1. Matriz de Activos'!$S$6:$S$239,MATCH($C1207,MgActId,0)),"")</f>
        <v/>
      </c>
      <c r="N1207" s="28">
        <f>IFERROR(INDEX(MgAmenDegD,MATCH(SUBSTITUTE($H1207,"*","-"),MgAmenClave,0)),"No aplica")</f>
        <v/>
      </c>
      <c r="O1207" s="28">
        <f>IFERROR(INDEX(MgAmenDegI,MATCH(SUBSTITUTE($H1207,"*","-"),MgAmenClave,0)),"No aplica")</f>
        <v/>
      </c>
      <c r="P1207" s="28">
        <f>IFERROR(INDEX(MgAmenDegC,MATCH(SUBSTITUTE($H1207,"*","-"),MgAmenClave,0)),"No aplica")</f>
        <v/>
      </c>
      <c r="Q1207" s="29">
        <f>IFERROR(VLOOKUP(K1207,MgValor,2,0)*VLOOKUP(N1207,MgDeg,2,0),0)</f>
        <v/>
      </c>
      <c r="R1207" s="29">
        <f>IFERROR(VLOOKUP(L1207,MgValor,2,0)*VLOOKUP(O1207,MgDeg,2,0),0)</f>
        <v/>
      </c>
      <c r="S1207" s="29">
        <f>IFERROR(VLOOKUP(M1207,MgValor,2,0)*VLOOKUP(P1207,MgDeg,2,0),0)</f>
        <v/>
      </c>
      <c r="T1207" s="30">
        <f>MAX(Q1207:S1207)</f>
        <v/>
      </c>
      <c r="U1207" s="28">
        <f>IFERROR(LOOKUP(T1207,{0;0.5;1.5;3;4.5},{"Despreciable";"Bajo";"Medio";"Alto";"Muy alto"}),"")</f>
        <v/>
      </c>
      <c r="V1207" s="13">
        <f>IFERROR(INDEX(MgAmenFrec,MATCH(SUBSTITUTE($H1207,"*","-"),MgAmenClave,0)),"")</f>
        <v/>
      </c>
      <c r="W1207" s="28">
        <f>IFERROR(LOOKUP(X1207,{0;0.01;0.1;1;10;100},{"Muy baja";"Muy baja";"Baja";"Media";"Alta";"Muy alta"}),"")</f>
        <v/>
      </c>
      <c r="X1207" s="31">
        <f>IFERROR(VLOOKUP(V1207,MgFrec,2,0),0)</f>
        <v/>
      </c>
      <c r="Y1207" s="30">
        <f>T1207*X1207</f>
        <v/>
      </c>
      <c r="Z1207" s="28">
        <f>IFERROR(LOOKUP(Y1207,{0;0.5;5;25},{"Bajo";"Medio";"Alto";"Crítico"}),"")</f>
        <v/>
      </c>
      <c r="AA1207" s="64">
        <f>IF(T1207&gt;=3,IF(X1207&gt;=1,"Zona 1 — Crítica: impacto alto y ocurre al menos una vez al año","Zona 4 — Catastrófica poco probable: impacto alto pero excepcional"),IF(AND(T1207&lt;1.5,X1207&lt;1),"Zona 3 — Asumible: impacto bajo y muy poco frecuente","Zona 2 — Atención: riesgo intermedio"))</f>
        <v/>
      </c>
      <c r="AB1207" s="64">
        <f>IFERROR(INDEX(MgAmenCtrl,MATCH(SUBSTITUTE($H1207,"*","-"),MgAmenClave,0)),"")</f>
        <v/>
      </c>
      <c r="AC1207" s="20" t="n"/>
      <c r="AD1207" s="31">
        <f>IFERROR($X1207*(1-IF($AC1207="",$AL1207,VLOOKUP($AC1207,MgMad,2,0))),"")</f>
        <v/>
      </c>
      <c r="AE1207" s="28">
        <f>IFERROR(LOOKUP(AD1207,{0;0.01;0.1;1;10;100},{"Muy baja";"Muy baja";"Baja";"Media";"Alta";"Muy alta"}),"")</f>
        <v/>
      </c>
      <c r="AF1207" s="30">
        <f>T1207*AD1207</f>
        <v/>
      </c>
      <c r="AG1207" s="28">
        <f>IFERROR(LOOKUP(AF1207,{0;0.5;5;25},{"Bajo";"Medio";"Alto";"Crítico"}),"")</f>
        <v/>
      </c>
      <c r="AH1207" s="28">
        <f>IF(AG1207="","",IF(OR(AG1207="Crítico",AG1207="Alto"),"Mitigar",IF(AG1207="Medio","Mitigar","Aceptar y monitorear")))</f>
        <v/>
      </c>
      <c r="AI1207" s="21" t="n"/>
      <c r="AJ1207" s="21" t="n"/>
      <c r="AK1207" s="20" t="n"/>
      <c r="AL1207" s="77">
        <f>IFERROR(INDEX(MgAmenEfic,MATCH(SUBSTITUTE($H1207,"*","-"),MgAmenClave,0)),0)</f>
        <v/>
      </c>
    </row>
    <row r="1208" hidden="1" ht="105" customHeight="1" s="54">
      <c r="B1208" s="59" t="inlineStr">
        <is>
          <t>R-1203</t>
        </is>
      </c>
      <c r="C1208" s="59" t="inlineStr">
        <is>
          <t>GH-008</t>
        </is>
      </c>
      <c r="D1208" s="64">
        <f>IFERROR(INDEX(MgNombre,MATCH($C1208,MgActId,0)),"")</f>
        <v/>
      </c>
      <c r="E1208" s="64">
        <f>IFERROR(INDEX(MgProceso,MATCH($C1208,MgActId,0)),"")</f>
        <v/>
      </c>
      <c r="F1208" s="64">
        <f>IFERROR(INDEX(MgTipo,MATCH($C1208,MgActId,0)),"")</f>
        <v/>
      </c>
      <c r="G1208" s="64">
        <f>IFERROR(INDEX(MgSubtipo,MATCH($C1208,MgActId,0)),"")</f>
        <v/>
      </c>
      <c r="H1208" s="59" t="inlineStr">
        <is>
          <t>E.19</t>
        </is>
      </c>
      <c r="I1208" s="64">
        <f>IFERROR(INDEX(MgAmenNombre,MATCH(SUBSTITUTE($H1208,"*","-"),MgAmenClave,0)),"")</f>
        <v/>
      </c>
      <c r="J1208" s="28">
        <f>IFERROR(INDEX(MgAmenGrupo,MATCH(SUBSTITUTE($H1208,"*","-"),MgAmenClave,0)),"")</f>
        <v/>
      </c>
      <c r="K1208" s="64">
        <f>IFERROR(INDEX('1. Matriz de Activos'!$Q$6:$Q$239,MATCH($C1208,MgActId,0)),"")</f>
        <v/>
      </c>
      <c r="L1208" s="64">
        <f>IFERROR(INDEX('1. Matriz de Activos'!$R$6:$R$239,MATCH($C1208,MgActId,0)),"")</f>
        <v/>
      </c>
      <c r="M1208" s="64">
        <f>IFERROR(INDEX('1. Matriz de Activos'!$S$6:$S$239,MATCH($C1208,MgActId,0)),"")</f>
        <v/>
      </c>
      <c r="N1208" s="28">
        <f>IFERROR(INDEX(MgAmenDegD,MATCH(SUBSTITUTE($H1208,"*","-"),MgAmenClave,0)),"No aplica")</f>
        <v/>
      </c>
      <c r="O1208" s="28">
        <f>IFERROR(INDEX(MgAmenDegI,MATCH(SUBSTITUTE($H1208,"*","-"),MgAmenClave,0)),"No aplica")</f>
        <v/>
      </c>
      <c r="P1208" s="28">
        <f>IFERROR(INDEX(MgAmenDegC,MATCH(SUBSTITUTE($H1208,"*","-"),MgAmenClave,0)),"No aplica")</f>
        <v/>
      </c>
      <c r="Q1208" s="29">
        <f>IFERROR(VLOOKUP(K1208,MgValor,2,0)*VLOOKUP(N1208,MgDeg,2,0),0)</f>
        <v/>
      </c>
      <c r="R1208" s="29">
        <f>IFERROR(VLOOKUP(L1208,MgValor,2,0)*VLOOKUP(O1208,MgDeg,2,0),0)</f>
        <v/>
      </c>
      <c r="S1208" s="29">
        <f>IFERROR(VLOOKUP(M1208,MgValor,2,0)*VLOOKUP(P1208,MgDeg,2,0),0)</f>
        <v/>
      </c>
      <c r="T1208" s="30">
        <f>MAX(Q1208:S1208)</f>
        <v/>
      </c>
      <c r="U1208" s="28">
        <f>IFERROR(LOOKUP(T1208,{0;0.5;1.5;3;4.5},{"Despreciable";"Bajo";"Medio";"Alto";"Muy alto"}),"")</f>
        <v/>
      </c>
      <c r="V1208" s="13">
        <f>IFERROR(INDEX(MgAmenFrec,MATCH(SUBSTITUTE($H1208,"*","-"),MgAmenClave,0)),"")</f>
        <v/>
      </c>
      <c r="W1208" s="28">
        <f>IFERROR(LOOKUP(X1208,{0;0.01;0.1;1;10;100},{"Muy baja";"Muy baja";"Baja";"Media";"Alta";"Muy alta"}),"")</f>
        <v/>
      </c>
      <c r="X1208" s="31">
        <f>IFERROR(VLOOKUP(V1208,MgFrec,2,0),0)</f>
        <v/>
      </c>
      <c r="Y1208" s="30">
        <f>T1208*X1208</f>
        <v/>
      </c>
      <c r="Z1208" s="28">
        <f>IFERROR(LOOKUP(Y1208,{0;0.5;5;25},{"Bajo";"Medio";"Alto";"Crítico"}),"")</f>
        <v/>
      </c>
      <c r="AA1208" s="64">
        <f>IF(T1208&gt;=3,IF(X1208&gt;=1,"Zona 1 — Crítica: impacto alto y ocurre al menos una vez al año","Zona 4 — Catastrófica poco probable: impacto alto pero excepcional"),IF(AND(T1208&lt;1.5,X1208&lt;1),"Zona 3 — Asumible: impacto bajo y muy poco frecuente","Zona 2 — Atención: riesgo intermedio"))</f>
        <v/>
      </c>
      <c r="AB1208" s="64">
        <f>IFERROR(INDEX(MgAmenCtrl,MATCH(SUBSTITUTE($H1208,"*","-"),MgAmenClave,0)),"")</f>
        <v/>
      </c>
      <c r="AC1208" s="20" t="n"/>
      <c r="AD1208" s="31">
        <f>IFERROR($X1208*(1-IF($AC1208="",$AL1208,VLOOKUP($AC1208,MgMad,2,0))),"")</f>
        <v/>
      </c>
      <c r="AE1208" s="28">
        <f>IFERROR(LOOKUP(AD1208,{0;0.01;0.1;1;10;100},{"Muy baja";"Muy baja";"Baja";"Media";"Alta";"Muy alta"}),"")</f>
        <v/>
      </c>
      <c r="AF1208" s="30">
        <f>T1208*AD1208</f>
        <v/>
      </c>
      <c r="AG1208" s="28">
        <f>IFERROR(LOOKUP(AF1208,{0;0.5;5;25},{"Bajo";"Medio";"Alto";"Crítico"}),"")</f>
        <v/>
      </c>
      <c r="AH1208" s="28">
        <f>IF(AG1208="","",IF(OR(AG1208="Crítico",AG1208="Alto"),"Mitigar",IF(AG1208="Medio","Mitigar","Aceptar y monitorear")))</f>
        <v/>
      </c>
      <c r="AI1208" s="21" t="n"/>
      <c r="AJ1208" s="21" t="n"/>
      <c r="AK1208" s="20" t="n"/>
      <c r="AL1208" s="77">
        <f>IFERROR(INDEX(MgAmenEfic,MATCH(SUBSTITUTE($H1208,"*","-"),MgAmenClave,0)),0)</f>
        <v/>
      </c>
    </row>
    <row r="1209" hidden="1" ht="60" customHeight="1" s="54">
      <c r="B1209" s="59" t="inlineStr">
        <is>
          <t>R-1204</t>
        </is>
      </c>
      <c r="C1209" s="59" t="inlineStr">
        <is>
          <t>GH-008</t>
        </is>
      </c>
      <c r="D1209" s="64">
        <f>IFERROR(INDEX(MgNombre,MATCH($C1209,MgActId,0)),"")</f>
        <v/>
      </c>
      <c r="E1209" s="64">
        <f>IFERROR(INDEX(MgProceso,MATCH($C1209,MgActId,0)),"")</f>
        <v/>
      </c>
      <c r="F1209" s="64">
        <f>IFERROR(INDEX(MgTipo,MATCH($C1209,MgActId,0)),"")</f>
        <v/>
      </c>
      <c r="G1209" s="64">
        <f>IFERROR(INDEX(MgSubtipo,MATCH($C1209,MgActId,0)),"")</f>
        <v/>
      </c>
      <c r="H1209" s="59" t="inlineStr">
        <is>
          <t>A.3</t>
        </is>
      </c>
      <c r="I1209" s="64">
        <f>IFERROR(INDEX(MgAmenNombre,MATCH(SUBSTITUTE($H1209,"*","-"),MgAmenClave,0)),"")</f>
        <v/>
      </c>
      <c r="J1209" s="28">
        <f>IFERROR(INDEX(MgAmenGrupo,MATCH(SUBSTITUTE($H1209,"*","-"),MgAmenClave,0)),"")</f>
        <v/>
      </c>
      <c r="K1209" s="64">
        <f>IFERROR(INDEX('1. Matriz de Activos'!$Q$6:$Q$239,MATCH($C1209,MgActId,0)),"")</f>
        <v/>
      </c>
      <c r="L1209" s="64">
        <f>IFERROR(INDEX('1. Matriz de Activos'!$R$6:$R$239,MATCH($C1209,MgActId,0)),"")</f>
        <v/>
      </c>
      <c r="M1209" s="64">
        <f>IFERROR(INDEX('1. Matriz de Activos'!$S$6:$S$239,MATCH($C1209,MgActId,0)),"")</f>
        <v/>
      </c>
      <c r="N1209" s="28">
        <f>IFERROR(INDEX(MgAmenDegD,MATCH(SUBSTITUTE($H1209,"*","-"),MgAmenClave,0)),"No aplica")</f>
        <v/>
      </c>
      <c r="O1209" s="28">
        <f>IFERROR(INDEX(MgAmenDegI,MATCH(SUBSTITUTE($H1209,"*","-"),MgAmenClave,0)),"No aplica")</f>
        <v/>
      </c>
      <c r="P1209" s="28">
        <f>IFERROR(INDEX(MgAmenDegC,MATCH(SUBSTITUTE($H1209,"*","-"),MgAmenClave,0)),"No aplica")</f>
        <v/>
      </c>
      <c r="Q1209" s="29">
        <f>IFERROR(VLOOKUP(K1209,MgValor,2,0)*VLOOKUP(N1209,MgDeg,2,0),0)</f>
        <v/>
      </c>
      <c r="R1209" s="29">
        <f>IFERROR(VLOOKUP(L1209,MgValor,2,0)*VLOOKUP(O1209,MgDeg,2,0),0)</f>
        <v/>
      </c>
      <c r="S1209" s="29">
        <f>IFERROR(VLOOKUP(M1209,MgValor,2,0)*VLOOKUP(P1209,MgDeg,2,0),0)</f>
        <v/>
      </c>
      <c r="T1209" s="30">
        <f>MAX(Q1209:S1209)</f>
        <v/>
      </c>
      <c r="U1209" s="28">
        <f>IFERROR(LOOKUP(T1209,{0;0.5;1.5;3;4.5},{"Despreciable";"Bajo";"Medio";"Alto";"Muy alto"}),"")</f>
        <v/>
      </c>
      <c r="V1209" s="13">
        <f>IFERROR(INDEX(MgAmenFrec,MATCH(SUBSTITUTE($H1209,"*","-"),MgAmenClave,0)),"")</f>
        <v/>
      </c>
      <c r="W1209" s="28">
        <f>IFERROR(LOOKUP(X1209,{0;0.01;0.1;1;10;100},{"Muy baja";"Muy baja";"Baja";"Media";"Alta";"Muy alta"}),"")</f>
        <v/>
      </c>
      <c r="X1209" s="31">
        <f>IFERROR(VLOOKUP(V1209,MgFrec,2,0),0)</f>
        <v/>
      </c>
      <c r="Y1209" s="30">
        <f>T1209*X1209</f>
        <v/>
      </c>
      <c r="Z1209" s="28">
        <f>IFERROR(LOOKUP(Y1209,{0;0.5;5;25},{"Bajo";"Medio";"Alto";"Crítico"}),"")</f>
        <v/>
      </c>
      <c r="AA1209" s="64">
        <f>IF(T1209&gt;=3,IF(X1209&gt;=1,"Zona 1 — Crítica: impacto alto y ocurre al menos una vez al año","Zona 4 — Catastrófica poco probable: impacto alto pero excepcional"),IF(AND(T1209&lt;1.5,X1209&lt;1),"Zona 3 — Asumible: impacto bajo y muy poco frecuente","Zona 2 — Atención: riesgo intermedio"))</f>
        <v/>
      </c>
      <c r="AB1209" s="64">
        <f>IFERROR(INDEX(MgAmenCtrl,MATCH(SUBSTITUTE($H1209,"*","-"),MgAmenClave,0)),"")</f>
        <v/>
      </c>
      <c r="AC1209" s="20" t="n"/>
      <c r="AD1209" s="31">
        <f>IFERROR($X1209*(1-IF($AC1209="",$AL1209,VLOOKUP($AC1209,MgMad,2,0))),"")</f>
        <v/>
      </c>
      <c r="AE1209" s="28">
        <f>IFERROR(LOOKUP(AD1209,{0;0.01;0.1;1;10;100},{"Muy baja";"Muy baja";"Baja";"Media";"Alta";"Muy alta"}),"")</f>
        <v/>
      </c>
      <c r="AF1209" s="30">
        <f>T1209*AD1209</f>
        <v/>
      </c>
      <c r="AG1209" s="28">
        <f>IFERROR(LOOKUP(AF1209,{0;0.5;5;25},{"Bajo";"Medio";"Alto";"Crítico"}),"")</f>
        <v/>
      </c>
      <c r="AH1209" s="28">
        <f>IF(AG1209="","",IF(OR(AG1209="Crítico",AG1209="Alto"),"Mitigar",IF(AG1209="Medio","Mitigar","Aceptar y monitorear")))</f>
        <v/>
      </c>
      <c r="AI1209" s="21" t="n"/>
      <c r="AJ1209" s="21" t="n"/>
      <c r="AK1209" s="20" t="n"/>
      <c r="AL1209" s="77">
        <f>IFERROR(INDEX(MgAmenEfic,MATCH(SUBSTITUTE($H1209,"*","-"),MgAmenClave,0)),0)</f>
        <v/>
      </c>
    </row>
    <row r="1210" hidden="1" ht="60" customHeight="1" s="54">
      <c r="B1210" s="59" t="inlineStr">
        <is>
          <t>R-1205</t>
        </is>
      </c>
      <c r="C1210" s="59" t="inlineStr">
        <is>
          <t>GH-008</t>
        </is>
      </c>
      <c r="D1210" s="64">
        <f>IFERROR(INDEX(MgNombre,MATCH($C1210,MgActId,0)),"")</f>
        <v/>
      </c>
      <c r="E1210" s="64">
        <f>IFERROR(INDEX(MgProceso,MATCH($C1210,MgActId,0)),"")</f>
        <v/>
      </c>
      <c r="F1210" s="64">
        <f>IFERROR(INDEX(MgTipo,MATCH($C1210,MgActId,0)),"")</f>
        <v/>
      </c>
      <c r="G1210" s="64">
        <f>IFERROR(INDEX(MgSubtipo,MATCH($C1210,MgActId,0)),"")</f>
        <v/>
      </c>
      <c r="H1210" s="59" t="inlineStr">
        <is>
          <t>A.4</t>
        </is>
      </c>
      <c r="I1210" s="64">
        <f>IFERROR(INDEX(MgAmenNombre,MATCH(SUBSTITUTE($H1210,"*","-"),MgAmenClave,0)),"")</f>
        <v/>
      </c>
      <c r="J1210" s="28">
        <f>IFERROR(INDEX(MgAmenGrupo,MATCH(SUBSTITUTE($H1210,"*","-"),MgAmenClave,0)),"")</f>
        <v/>
      </c>
      <c r="K1210" s="64">
        <f>IFERROR(INDEX('1. Matriz de Activos'!$Q$6:$Q$239,MATCH($C1210,MgActId,0)),"")</f>
        <v/>
      </c>
      <c r="L1210" s="64">
        <f>IFERROR(INDEX('1. Matriz de Activos'!$R$6:$R$239,MATCH($C1210,MgActId,0)),"")</f>
        <v/>
      </c>
      <c r="M1210" s="64">
        <f>IFERROR(INDEX('1. Matriz de Activos'!$S$6:$S$239,MATCH($C1210,MgActId,0)),"")</f>
        <v/>
      </c>
      <c r="N1210" s="28">
        <f>IFERROR(INDEX(MgAmenDegD,MATCH(SUBSTITUTE($H1210,"*","-"),MgAmenClave,0)),"No aplica")</f>
        <v/>
      </c>
      <c r="O1210" s="28">
        <f>IFERROR(INDEX(MgAmenDegI,MATCH(SUBSTITUTE($H1210,"*","-"),MgAmenClave,0)),"No aplica")</f>
        <v/>
      </c>
      <c r="P1210" s="28">
        <f>IFERROR(INDEX(MgAmenDegC,MATCH(SUBSTITUTE($H1210,"*","-"),MgAmenClave,0)),"No aplica")</f>
        <v/>
      </c>
      <c r="Q1210" s="29">
        <f>IFERROR(VLOOKUP(K1210,MgValor,2,0)*VLOOKUP(N1210,MgDeg,2,0),0)</f>
        <v/>
      </c>
      <c r="R1210" s="29">
        <f>IFERROR(VLOOKUP(L1210,MgValor,2,0)*VLOOKUP(O1210,MgDeg,2,0),0)</f>
        <v/>
      </c>
      <c r="S1210" s="29">
        <f>IFERROR(VLOOKUP(M1210,MgValor,2,0)*VLOOKUP(P1210,MgDeg,2,0),0)</f>
        <v/>
      </c>
      <c r="T1210" s="30">
        <f>MAX(Q1210:S1210)</f>
        <v/>
      </c>
      <c r="U1210" s="28">
        <f>IFERROR(LOOKUP(T1210,{0;0.5;1.5;3;4.5},{"Despreciable";"Bajo";"Medio";"Alto";"Muy alto"}),"")</f>
        <v/>
      </c>
      <c r="V1210" s="13">
        <f>IFERROR(INDEX(MgAmenFrec,MATCH(SUBSTITUTE($H1210,"*","-"),MgAmenClave,0)),"")</f>
        <v/>
      </c>
      <c r="W1210" s="28">
        <f>IFERROR(LOOKUP(X1210,{0;0.01;0.1;1;10;100},{"Muy baja";"Muy baja";"Baja";"Media";"Alta";"Muy alta"}),"")</f>
        <v/>
      </c>
      <c r="X1210" s="31">
        <f>IFERROR(VLOOKUP(V1210,MgFrec,2,0),0)</f>
        <v/>
      </c>
      <c r="Y1210" s="30">
        <f>T1210*X1210</f>
        <v/>
      </c>
      <c r="Z1210" s="28">
        <f>IFERROR(LOOKUP(Y1210,{0;0.5;5;25},{"Bajo";"Medio";"Alto";"Crítico"}),"")</f>
        <v/>
      </c>
      <c r="AA1210" s="64">
        <f>IF(T1210&gt;=3,IF(X1210&gt;=1,"Zona 1 — Crítica: impacto alto y ocurre al menos una vez al año","Zona 4 — Catastrófica poco probable: impacto alto pero excepcional"),IF(AND(T1210&lt;1.5,X1210&lt;1),"Zona 3 — Asumible: impacto bajo y muy poco frecuente","Zona 2 — Atención: riesgo intermedio"))</f>
        <v/>
      </c>
      <c r="AB1210" s="64">
        <f>IFERROR(INDEX(MgAmenCtrl,MATCH(SUBSTITUTE($H1210,"*","-"),MgAmenClave,0)),"")</f>
        <v/>
      </c>
      <c r="AC1210" s="20" t="n"/>
      <c r="AD1210" s="31">
        <f>IFERROR($X1210*(1-IF($AC1210="",$AL1210,VLOOKUP($AC1210,MgMad,2,0))),"")</f>
        <v/>
      </c>
      <c r="AE1210" s="28">
        <f>IFERROR(LOOKUP(AD1210,{0;0.01;0.1;1;10;100},{"Muy baja";"Muy baja";"Baja";"Media";"Alta";"Muy alta"}),"")</f>
        <v/>
      </c>
      <c r="AF1210" s="30">
        <f>T1210*AD1210</f>
        <v/>
      </c>
      <c r="AG1210" s="28">
        <f>IFERROR(LOOKUP(AF1210,{0;0.5;5;25},{"Bajo";"Medio";"Alto";"Crítico"}),"")</f>
        <v/>
      </c>
      <c r="AH1210" s="28">
        <f>IF(AG1210="","",IF(OR(AG1210="Crítico",AG1210="Alto"),"Mitigar",IF(AG1210="Medio","Mitigar","Aceptar y monitorear")))</f>
        <v/>
      </c>
      <c r="AI1210" s="21" t="n"/>
      <c r="AJ1210" s="21" t="n"/>
      <c r="AK1210" s="20" t="n"/>
      <c r="AL1210" s="77">
        <f>IFERROR(INDEX(MgAmenEfic,MATCH(SUBSTITUTE($H1210,"*","-"),MgAmenClave,0)),0)</f>
        <v/>
      </c>
    </row>
    <row r="1211" hidden="1" ht="75" customHeight="1" s="54">
      <c r="B1211" s="59" t="inlineStr">
        <is>
          <t>R-1206</t>
        </is>
      </c>
      <c r="C1211" s="59" t="inlineStr">
        <is>
          <t>GH-008</t>
        </is>
      </c>
      <c r="D1211" s="64">
        <f>IFERROR(INDEX(MgNombre,MATCH($C1211,MgActId,0)),"")</f>
        <v/>
      </c>
      <c r="E1211" s="64">
        <f>IFERROR(INDEX(MgProceso,MATCH($C1211,MgActId,0)),"")</f>
        <v/>
      </c>
      <c r="F1211" s="64">
        <f>IFERROR(INDEX(MgTipo,MATCH($C1211,MgActId,0)),"")</f>
        <v/>
      </c>
      <c r="G1211" s="64">
        <f>IFERROR(INDEX(MgSubtipo,MATCH($C1211,MgActId,0)),"")</f>
        <v/>
      </c>
      <c r="H1211" s="59" t="inlineStr">
        <is>
          <t>A.5</t>
        </is>
      </c>
      <c r="I1211" s="64">
        <f>IFERROR(INDEX(MgAmenNombre,MATCH(SUBSTITUTE($H1211,"*","-"),MgAmenClave,0)),"")</f>
        <v/>
      </c>
      <c r="J1211" s="28">
        <f>IFERROR(INDEX(MgAmenGrupo,MATCH(SUBSTITUTE($H1211,"*","-"),MgAmenClave,0)),"")</f>
        <v/>
      </c>
      <c r="K1211" s="64">
        <f>IFERROR(INDEX('1. Matriz de Activos'!$Q$6:$Q$239,MATCH($C1211,MgActId,0)),"")</f>
        <v/>
      </c>
      <c r="L1211" s="64">
        <f>IFERROR(INDEX('1. Matriz de Activos'!$R$6:$R$239,MATCH($C1211,MgActId,0)),"")</f>
        <v/>
      </c>
      <c r="M1211" s="64">
        <f>IFERROR(INDEX('1. Matriz de Activos'!$S$6:$S$239,MATCH($C1211,MgActId,0)),"")</f>
        <v/>
      </c>
      <c r="N1211" s="28">
        <f>IFERROR(INDEX(MgAmenDegD,MATCH(SUBSTITUTE($H1211,"*","-"),MgAmenClave,0)),"No aplica")</f>
        <v/>
      </c>
      <c r="O1211" s="28">
        <f>IFERROR(INDEX(MgAmenDegI,MATCH(SUBSTITUTE($H1211,"*","-"),MgAmenClave,0)),"No aplica")</f>
        <v/>
      </c>
      <c r="P1211" s="28">
        <f>IFERROR(INDEX(MgAmenDegC,MATCH(SUBSTITUTE($H1211,"*","-"),MgAmenClave,0)),"No aplica")</f>
        <v/>
      </c>
      <c r="Q1211" s="29">
        <f>IFERROR(VLOOKUP(K1211,MgValor,2,0)*VLOOKUP(N1211,MgDeg,2,0),0)</f>
        <v/>
      </c>
      <c r="R1211" s="29">
        <f>IFERROR(VLOOKUP(L1211,MgValor,2,0)*VLOOKUP(O1211,MgDeg,2,0),0)</f>
        <v/>
      </c>
      <c r="S1211" s="29">
        <f>IFERROR(VLOOKUP(M1211,MgValor,2,0)*VLOOKUP(P1211,MgDeg,2,0),0)</f>
        <v/>
      </c>
      <c r="T1211" s="30">
        <f>MAX(Q1211:S1211)</f>
        <v/>
      </c>
      <c r="U1211" s="28">
        <f>IFERROR(LOOKUP(T1211,{0;0.5;1.5;3;4.5},{"Despreciable";"Bajo";"Medio";"Alto";"Muy alto"}),"")</f>
        <v/>
      </c>
      <c r="V1211" s="13">
        <f>IFERROR(INDEX(MgAmenFrec,MATCH(SUBSTITUTE($H1211,"*","-"),MgAmenClave,0)),"")</f>
        <v/>
      </c>
      <c r="W1211" s="28">
        <f>IFERROR(LOOKUP(X1211,{0;0.01;0.1;1;10;100},{"Muy baja";"Muy baja";"Baja";"Media";"Alta";"Muy alta"}),"")</f>
        <v/>
      </c>
      <c r="X1211" s="31">
        <f>IFERROR(VLOOKUP(V1211,MgFrec,2,0),0)</f>
        <v/>
      </c>
      <c r="Y1211" s="30">
        <f>T1211*X1211</f>
        <v/>
      </c>
      <c r="Z1211" s="28">
        <f>IFERROR(LOOKUP(Y1211,{0;0.5;5;25},{"Bajo";"Medio";"Alto";"Crítico"}),"")</f>
        <v/>
      </c>
      <c r="AA1211" s="64">
        <f>IF(T1211&gt;=3,IF(X1211&gt;=1,"Zona 1 — Crítica: impacto alto y ocurre al menos una vez al año","Zona 4 — Catastrófica poco probable: impacto alto pero excepcional"),IF(AND(T1211&lt;1.5,X1211&lt;1),"Zona 3 — Asumible: impacto bajo y muy poco frecuente","Zona 2 — Atención: riesgo intermedio"))</f>
        <v/>
      </c>
      <c r="AB1211" s="64">
        <f>IFERROR(INDEX(MgAmenCtrl,MATCH(SUBSTITUTE($H1211,"*","-"),MgAmenClave,0)),"")</f>
        <v/>
      </c>
      <c r="AC1211" s="20" t="n"/>
      <c r="AD1211" s="31">
        <f>IFERROR($X1211*(1-IF($AC1211="",$AL1211,VLOOKUP($AC1211,MgMad,2,0))),"")</f>
        <v/>
      </c>
      <c r="AE1211" s="28">
        <f>IFERROR(LOOKUP(AD1211,{0;0.01;0.1;1;10;100},{"Muy baja";"Muy baja";"Baja";"Media";"Alta";"Muy alta"}),"")</f>
        <v/>
      </c>
      <c r="AF1211" s="30">
        <f>T1211*AD1211</f>
        <v/>
      </c>
      <c r="AG1211" s="28">
        <f>IFERROR(LOOKUP(AF1211,{0;0.5;5;25},{"Bajo";"Medio";"Alto";"Crítico"}),"")</f>
        <v/>
      </c>
      <c r="AH1211" s="28">
        <f>IF(AG1211="","",IF(OR(AG1211="Crítico",AG1211="Alto"),"Mitigar",IF(AG1211="Medio","Mitigar","Aceptar y monitorear")))</f>
        <v/>
      </c>
      <c r="AI1211" s="21" t="n"/>
      <c r="AJ1211" s="21" t="n"/>
      <c r="AK1211" s="20" t="n"/>
      <c r="AL1211" s="77">
        <f>IFERROR(INDEX(MgAmenEfic,MATCH(SUBSTITUTE($H1211,"*","-"),MgAmenClave,0)),0)</f>
        <v/>
      </c>
    </row>
    <row r="1212" hidden="1" ht="105" customHeight="1" s="54">
      <c r="B1212" s="59" t="inlineStr">
        <is>
          <t>R-1207</t>
        </is>
      </c>
      <c r="C1212" s="59" t="inlineStr">
        <is>
          <t>GH-008</t>
        </is>
      </c>
      <c r="D1212" s="64">
        <f>IFERROR(INDEX(MgNombre,MATCH($C1212,MgActId,0)),"")</f>
        <v/>
      </c>
      <c r="E1212" s="64">
        <f>IFERROR(INDEX(MgProceso,MATCH($C1212,MgActId,0)),"")</f>
        <v/>
      </c>
      <c r="F1212" s="64">
        <f>IFERROR(INDEX(MgTipo,MATCH($C1212,MgActId,0)),"")</f>
        <v/>
      </c>
      <c r="G1212" s="64">
        <f>IFERROR(INDEX(MgSubtipo,MATCH($C1212,MgActId,0)),"")</f>
        <v/>
      </c>
      <c r="H1212" s="59" t="inlineStr">
        <is>
          <t>A.6</t>
        </is>
      </c>
      <c r="I1212" s="64">
        <f>IFERROR(INDEX(MgAmenNombre,MATCH(SUBSTITUTE($H1212,"*","-"),MgAmenClave,0)),"")</f>
        <v/>
      </c>
      <c r="J1212" s="28">
        <f>IFERROR(INDEX(MgAmenGrupo,MATCH(SUBSTITUTE($H1212,"*","-"),MgAmenClave,0)),"")</f>
        <v/>
      </c>
      <c r="K1212" s="64">
        <f>IFERROR(INDEX('1. Matriz de Activos'!$Q$6:$Q$239,MATCH($C1212,MgActId,0)),"")</f>
        <v/>
      </c>
      <c r="L1212" s="64">
        <f>IFERROR(INDEX('1. Matriz de Activos'!$R$6:$R$239,MATCH($C1212,MgActId,0)),"")</f>
        <v/>
      </c>
      <c r="M1212" s="64">
        <f>IFERROR(INDEX('1. Matriz de Activos'!$S$6:$S$239,MATCH($C1212,MgActId,0)),"")</f>
        <v/>
      </c>
      <c r="N1212" s="28">
        <f>IFERROR(INDEX(MgAmenDegD,MATCH(SUBSTITUTE($H1212,"*","-"),MgAmenClave,0)),"No aplica")</f>
        <v/>
      </c>
      <c r="O1212" s="28">
        <f>IFERROR(INDEX(MgAmenDegI,MATCH(SUBSTITUTE($H1212,"*","-"),MgAmenClave,0)),"No aplica")</f>
        <v/>
      </c>
      <c r="P1212" s="28">
        <f>IFERROR(INDEX(MgAmenDegC,MATCH(SUBSTITUTE($H1212,"*","-"),MgAmenClave,0)),"No aplica")</f>
        <v/>
      </c>
      <c r="Q1212" s="29">
        <f>IFERROR(VLOOKUP(K1212,MgValor,2,0)*VLOOKUP(N1212,MgDeg,2,0),0)</f>
        <v/>
      </c>
      <c r="R1212" s="29">
        <f>IFERROR(VLOOKUP(L1212,MgValor,2,0)*VLOOKUP(O1212,MgDeg,2,0),0)</f>
        <v/>
      </c>
      <c r="S1212" s="29">
        <f>IFERROR(VLOOKUP(M1212,MgValor,2,0)*VLOOKUP(P1212,MgDeg,2,0),0)</f>
        <v/>
      </c>
      <c r="T1212" s="30">
        <f>MAX(Q1212:S1212)</f>
        <v/>
      </c>
      <c r="U1212" s="28">
        <f>IFERROR(LOOKUP(T1212,{0;0.5;1.5;3;4.5},{"Despreciable";"Bajo";"Medio";"Alto";"Muy alto"}),"")</f>
        <v/>
      </c>
      <c r="V1212" s="13">
        <f>IFERROR(INDEX(MgAmenFrec,MATCH(SUBSTITUTE($H1212,"*","-"),MgAmenClave,0)),"")</f>
        <v/>
      </c>
      <c r="W1212" s="28">
        <f>IFERROR(LOOKUP(X1212,{0;0.01;0.1;1;10;100},{"Muy baja";"Muy baja";"Baja";"Media";"Alta";"Muy alta"}),"")</f>
        <v/>
      </c>
      <c r="X1212" s="31">
        <f>IFERROR(VLOOKUP(V1212,MgFrec,2,0),0)</f>
        <v/>
      </c>
      <c r="Y1212" s="30">
        <f>T1212*X1212</f>
        <v/>
      </c>
      <c r="Z1212" s="28">
        <f>IFERROR(LOOKUP(Y1212,{0;0.5;5;25},{"Bajo";"Medio";"Alto";"Crítico"}),"")</f>
        <v/>
      </c>
      <c r="AA1212" s="64">
        <f>IF(T1212&gt;=3,IF(X1212&gt;=1,"Zona 1 — Crítica: impacto alto y ocurre al menos una vez al año","Zona 4 — Catastrófica poco probable: impacto alto pero excepcional"),IF(AND(T1212&lt;1.5,X1212&lt;1),"Zona 3 — Asumible: impacto bajo y muy poco frecuente","Zona 2 — Atención: riesgo intermedio"))</f>
        <v/>
      </c>
      <c r="AB1212" s="64">
        <f>IFERROR(INDEX(MgAmenCtrl,MATCH(SUBSTITUTE($H1212,"*","-"),MgAmenClave,0)),"")</f>
        <v/>
      </c>
      <c r="AC1212" s="20" t="n"/>
      <c r="AD1212" s="31">
        <f>IFERROR($X1212*(1-IF($AC1212="",$AL1212,VLOOKUP($AC1212,MgMad,2,0))),"")</f>
        <v/>
      </c>
      <c r="AE1212" s="28">
        <f>IFERROR(LOOKUP(AD1212,{0;0.01;0.1;1;10;100},{"Muy baja";"Muy baja";"Baja";"Media";"Alta";"Muy alta"}),"")</f>
        <v/>
      </c>
      <c r="AF1212" s="30">
        <f>T1212*AD1212</f>
        <v/>
      </c>
      <c r="AG1212" s="28">
        <f>IFERROR(LOOKUP(AF1212,{0;0.5;5;25},{"Bajo";"Medio";"Alto";"Crítico"}),"")</f>
        <v/>
      </c>
      <c r="AH1212" s="28">
        <f>IF(AG1212="","",IF(OR(AG1212="Crítico",AG1212="Alto"),"Mitigar",IF(AG1212="Medio","Mitigar","Aceptar y monitorear")))</f>
        <v/>
      </c>
      <c r="AI1212" s="21" t="n"/>
      <c r="AJ1212" s="21" t="n"/>
      <c r="AK1212" s="20" t="n"/>
      <c r="AL1212" s="77">
        <f>IFERROR(INDEX(MgAmenEfic,MATCH(SUBSTITUTE($H1212,"*","-"),MgAmenClave,0)),0)</f>
        <v/>
      </c>
    </row>
    <row r="1213" hidden="1" ht="120" customHeight="1" s="54">
      <c r="B1213" s="59" t="inlineStr">
        <is>
          <t>R-1208</t>
        </is>
      </c>
      <c r="C1213" s="59" t="inlineStr">
        <is>
          <t>GH-008</t>
        </is>
      </c>
      <c r="D1213" s="64">
        <f>IFERROR(INDEX(MgNombre,MATCH($C1213,MgActId,0)),"")</f>
        <v/>
      </c>
      <c r="E1213" s="64">
        <f>IFERROR(INDEX(MgProceso,MATCH($C1213,MgActId,0)),"")</f>
        <v/>
      </c>
      <c r="F1213" s="64">
        <f>IFERROR(INDEX(MgTipo,MATCH($C1213,MgActId,0)),"")</f>
        <v/>
      </c>
      <c r="G1213" s="64">
        <f>IFERROR(INDEX(MgSubtipo,MATCH($C1213,MgActId,0)),"")</f>
        <v/>
      </c>
      <c r="H1213" s="59" t="inlineStr">
        <is>
          <t>A.11</t>
        </is>
      </c>
      <c r="I1213" s="64">
        <f>IFERROR(INDEX(MgAmenNombre,MATCH(SUBSTITUTE($H1213,"*","-"),MgAmenClave,0)),"")</f>
        <v/>
      </c>
      <c r="J1213" s="28">
        <f>IFERROR(INDEX(MgAmenGrupo,MATCH(SUBSTITUTE($H1213,"*","-"),MgAmenClave,0)),"")</f>
        <v/>
      </c>
      <c r="K1213" s="64">
        <f>IFERROR(INDEX('1. Matriz de Activos'!$Q$6:$Q$239,MATCH($C1213,MgActId,0)),"")</f>
        <v/>
      </c>
      <c r="L1213" s="64">
        <f>IFERROR(INDEX('1. Matriz de Activos'!$R$6:$R$239,MATCH($C1213,MgActId,0)),"")</f>
        <v/>
      </c>
      <c r="M1213" s="64">
        <f>IFERROR(INDEX('1. Matriz de Activos'!$S$6:$S$239,MATCH($C1213,MgActId,0)),"")</f>
        <v/>
      </c>
      <c r="N1213" s="28">
        <f>IFERROR(INDEX(MgAmenDegD,MATCH(SUBSTITUTE($H1213,"*","-"),MgAmenClave,0)),"No aplica")</f>
        <v/>
      </c>
      <c r="O1213" s="28">
        <f>IFERROR(INDEX(MgAmenDegI,MATCH(SUBSTITUTE($H1213,"*","-"),MgAmenClave,0)),"No aplica")</f>
        <v/>
      </c>
      <c r="P1213" s="28">
        <f>IFERROR(INDEX(MgAmenDegC,MATCH(SUBSTITUTE($H1213,"*","-"),MgAmenClave,0)),"No aplica")</f>
        <v/>
      </c>
      <c r="Q1213" s="29">
        <f>IFERROR(VLOOKUP(K1213,MgValor,2,0)*VLOOKUP(N1213,MgDeg,2,0),0)</f>
        <v/>
      </c>
      <c r="R1213" s="29">
        <f>IFERROR(VLOOKUP(L1213,MgValor,2,0)*VLOOKUP(O1213,MgDeg,2,0),0)</f>
        <v/>
      </c>
      <c r="S1213" s="29">
        <f>IFERROR(VLOOKUP(M1213,MgValor,2,0)*VLOOKUP(P1213,MgDeg,2,0),0)</f>
        <v/>
      </c>
      <c r="T1213" s="30">
        <f>MAX(Q1213:S1213)</f>
        <v/>
      </c>
      <c r="U1213" s="28">
        <f>IFERROR(LOOKUP(T1213,{0;0.5;1.5;3;4.5},{"Despreciable";"Bajo";"Medio";"Alto";"Muy alto"}),"")</f>
        <v/>
      </c>
      <c r="V1213" s="13">
        <f>IFERROR(INDEX(MgAmenFrec,MATCH(SUBSTITUTE($H1213,"*","-"),MgAmenClave,0)),"")</f>
        <v/>
      </c>
      <c r="W1213" s="28">
        <f>IFERROR(LOOKUP(X1213,{0;0.01;0.1;1;10;100},{"Muy baja";"Muy baja";"Baja";"Media";"Alta";"Muy alta"}),"")</f>
        <v/>
      </c>
      <c r="X1213" s="31">
        <f>IFERROR(VLOOKUP(V1213,MgFrec,2,0),0)</f>
        <v/>
      </c>
      <c r="Y1213" s="30">
        <f>T1213*X1213</f>
        <v/>
      </c>
      <c r="Z1213" s="28">
        <f>IFERROR(LOOKUP(Y1213,{0;0.5;5;25},{"Bajo";"Medio";"Alto";"Crítico"}),"")</f>
        <v/>
      </c>
      <c r="AA1213" s="64">
        <f>IF(T1213&gt;=3,IF(X1213&gt;=1,"Zona 1 — Crítica: impacto alto y ocurre al menos una vez al año","Zona 4 — Catastrófica poco probable: impacto alto pero excepcional"),IF(AND(T1213&lt;1.5,X1213&lt;1),"Zona 3 — Asumible: impacto bajo y muy poco frecuente","Zona 2 — Atención: riesgo intermedio"))</f>
        <v/>
      </c>
      <c r="AB1213" s="64">
        <f>IFERROR(INDEX(MgAmenCtrl,MATCH(SUBSTITUTE($H1213,"*","-"),MgAmenClave,0)),"")</f>
        <v/>
      </c>
      <c r="AC1213" s="20" t="n"/>
      <c r="AD1213" s="31">
        <f>IFERROR($X1213*(1-IF($AC1213="",$AL1213,VLOOKUP($AC1213,MgMad,2,0))),"")</f>
        <v/>
      </c>
      <c r="AE1213" s="28">
        <f>IFERROR(LOOKUP(AD1213,{0;0.01;0.1;1;10;100},{"Muy baja";"Muy baja";"Baja";"Media";"Alta";"Muy alta"}),"")</f>
        <v/>
      </c>
      <c r="AF1213" s="30">
        <f>T1213*AD1213</f>
        <v/>
      </c>
      <c r="AG1213" s="28">
        <f>IFERROR(LOOKUP(AF1213,{0;0.5;5;25},{"Bajo";"Medio";"Alto";"Crítico"}),"")</f>
        <v/>
      </c>
      <c r="AH1213" s="28">
        <f>IF(AG1213="","",IF(OR(AG1213="Crítico",AG1213="Alto"),"Mitigar",IF(AG1213="Medio","Mitigar","Aceptar y monitorear")))</f>
        <v/>
      </c>
      <c r="AI1213" s="21" t="n"/>
      <c r="AJ1213" s="21" t="n"/>
      <c r="AK1213" s="20" t="n"/>
      <c r="AL1213" s="77">
        <f>IFERROR(INDEX(MgAmenEfic,MATCH(SUBSTITUTE($H1213,"*","-"),MgAmenClave,0)),0)</f>
        <v/>
      </c>
    </row>
    <row r="1214" hidden="1" ht="90" customHeight="1" s="54">
      <c r="B1214" s="59" t="inlineStr">
        <is>
          <t>R-1209</t>
        </is>
      </c>
      <c r="C1214" s="59" t="inlineStr">
        <is>
          <t>GH-008</t>
        </is>
      </c>
      <c r="D1214" s="64">
        <f>IFERROR(INDEX(MgNombre,MATCH($C1214,MgActId,0)),"")</f>
        <v/>
      </c>
      <c r="E1214" s="64">
        <f>IFERROR(INDEX(MgProceso,MATCH($C1214,MgActId,0)),"")</f>
        <v/>
      </c>
      <c r="F1214" s="64">
        <f>IFERROR(INDEX(MgTipo,MATCH($C1214,MgActId,0)),"")</f>
        <v/>
      </c>
      <c r="G1214" s="64">
        <f>IFERROR(INDEX(MgSubtipo,MATCH($C1214,MgActId,0)),"")</f>
        <v/>
      </c>
      <c r="H1214" s="59" t="inlineStr">
        <is>
          <t>A.13</t>
        </is>
      </c>
      <c r="I1214" s="64">
        <f>IFERROR(INDEX(MgAmenNombre,MATCH(SUBSTITUTE($H1214,"*","-"),MgAmenClave,0)),"")</f>
        <v/>
      </c>
      <c r="J1214" s="28">
        <f>IFERROR(INDEX(MgAmenGrupo,MATCH(SUBSTITUTE($H1214,"*","-"),MgAmenClave,0)),"")</f>
        <v/>
      </c>
      <c r="K1214" s="64">
        <f>IFERROR(INDEX('1. Matriz de Activos'!$Q$6:$Q$239,MATCH($C1214,MgActId,0)),"")</f>
        <v/>
      </c>
      <c r="L1214" s="64">
        <f>IFERROR(INDEX('1. Matriz de Activos'!$R$6:$R$239,MATCH($C1214,MgActId,0)),"")</f>
        <v/>
      </c>
      <c r="M1214" s="64">
        <f>IFERROR(INDEX('1. Matriz de Activos'!$S$6:$S$239,MATCH($C1214,MgActId,0)),"")</f>
        <v/>
      </c>
      <c r="N1214" s="28">
        <f>IFERROR(INDEX(MgAmenDegD,MATCH(SUBSTITUTE($H1214,"*","-"),MgAmenClave,0)),"No aplica")</f>
        <v/>
      </c>
      <c r="O1214" s="28">
        <f>IFERROR(INDEX(MgAmenDegI,MATCH(SUBSTITUTE($H1214,"*","-"),MgAmenClave,0)),"No aplica")</f>
        <v/>
      </c>
      <c r="P1214" s="28">
        <f>IFERROR(INDEX(MgAmenDegC,MATCH(SUBSTITUTE($H1214,"*","-"),MgAmenClave,0)),"No aplica")</f>
        <v/>
      </c>
      <c r="Q1214" s="29">
        <f>IFERROR(VLOOKUP(K1214,MgValor,2,0)*VLOOKUP(N1214,MgDeg,2,0),0)</f>
        <v/>
      </c>
      <c r="R1214" s="29">
        <f>IFERROR(VLOOKUP(L1214,MgValor,2,0)*VLOOKUP(O1214,MgDeg,2,0),0)</f>
        <v/>
      </c>
      <c r="S1214" s="29">
        <f>IFERROR(VLOOKUP(M1214,MgValor,2,0)*VLOOKUP(P1214,MgDeg,2,0),0)</f>
        <v/>
      </c>
      <c r="T1214" s="30">
        <f>MAX(Q1214:S1214)</f>
        <v/>
      </c>
      <c r="U1214" s="28">
        <f>IFERROR(LOOKUP(T1214,{0;0.5;1.5;3;4.5},{"Despreciable";"Bajo";"Medio";"Alto";"Muy alto"}),"")</f>
        <v/>
      </c>
      <c r="V1214" s="13">
        <f>IFERROR(INDEX(MgAmenFrec,MATCH(SUBSTITUTE($H1214,"*","-"),MgAmenClave,0)),"")</f>
        <v/>
      </c>
      <c r="W1214" s="28">
        <f>IFERROR(LOOKUP(X1214,{0;0.01;0.1;1;10;100},{"Muy baja";"Muy baja";"Baja";"Media";"Alta";"Muy alta"}),"")</f>
        <v/>
      </c>
      <c r="X1214" s="31">
        <f>IFERROR(VLOOKUP(V1214,MgFrec,2,0),0)</f>
        <v/>
      </c>
      <c r="Y1214" s="30">
        <f>T1214*X1214</f>
        <v/>
      </c>
      <c r="Z1214" s="28">
        <f>IFERROR(LOOKUP(Y1214,{0;0.5;5;25},{"Bajo";"Medio";"Alto";"Crítico"}),"")</f>
        <v/>
      </c>
      <c r="AA1214" s="64">
        <f>IF(T1214&gt;=3,IF(X1214&gt;=1,"Zona 1 — Crítica: impacto alto y ocurre al menos una vez al año","Zona 4 — Catastrófica poco probable: impacto alto pero excepcional"),IF(AND(T1214&lt;1.5,X1214&lt;1),"Zona 3 — Asumible: impacto bajo y muy poco frecuente","Zona 2 — Atención: riesgo intermedio"))</f>
        <v/>
      </c>
      <c r="AB1214" s="64">
        <f>IFERROR(INDEX(MgAmenCtrl,MATCH(SUBSTITUTE($H1214,"*","-"),MgAmenClave,0)),"")</f>
        <v/>
      </c>
      <c r="AC1214" s="20" t="n"/>
      <c r="AD1214" s="31">
        <f>IFERROR($X1214*(1-IF($AC1214="",$AL1214,VLOOKUP($AC1214,MgMad,2,0))),"")</f>
        <v/>
      </c>
      <c r="AE1214" s="28">
        <f>IFERROR(LOOKUP(AD1214,{0;0.01;0.1;1;10;100},{"Muy baja";"Muy baja";"Baja";"Media";"Alta";"Muy alta"}),"")</f>
        <v/>
      </c>
      <c r="AF1214" s="30">
        <f>T1214*AD1214</f>
        <v/>
      </c>
      <c r="AG1214" s="28">
        <f>IFERROR(LOOKUP(AF1214,{0;0.5;5;25},{"Bajo";"Medio";"Alto";"Crítico"}),"")</f>
        <v/>
      </c>
      <c r="AH1214" s="28">
        <f>IF(AG1214="","",IF(OR(AG1214="Crítico",AG1214="Alto"),"Mitigar",IF(AG1214="Medio","Mitigar","Aceptar y monitorear")))</f>
        <v/>
      </c>
      <c r="AI1214" s="21" t="n"/>
      <c r="AJ1214" s="21" t="n"/>
      <c r="AK1214" s="20" t="n"/>
      <c r="AL1214" s="77">
        <f>IFERROR(INDEX(MgAmenEfic,MATCH(SUBSTITUTE($H1214,"*","-"),MgAmenClave,0)),0)</f>
        <v/>
      </c>
    </row>
    <row r="1215" hidden="1" ht="60" customHeight="1" s="54">
      <c r="B1215" s="59" t="inlineStr">
        <is>
          <t>R-1210</t>
        </is>
      </c>
      <c r="C1215" s="59" t="inlineStr">
        <is>
          <t>GH-008</t>
        </is>
      </c>
      <c r="D1215" s="64">
        <f>IFERROR(INDEX(MgNombre,MATCH($C1215,MgActId,0)),"")</f>
        <v/>
      </c>
      <c r="E1215" s="64">
        <f>IFERROR(INDEX(MgProceso,MATCH($C1215,MgActId,0)),"")</f>
        <v/>
      </c>
      <c r="F1215" s="64">
        <f>IFERROR(INDEX(MgTipo,MATCH($C1215,MgActId,0)),"")</f>
        <v/>
      </c>
      <c r="G1215" s="64">
        <f>IFERROR(INDEX(MgSubtipo,MATCH($C1215,MgActId,0)),"")</f>
        <v/>
      </c>
      <c r="H1215" s="59" t="inlineStr">
        <is>
          <t>A.15</t>
        </is>
      </c>
      <c r="I1215" s="64">
        <f>IFERROR(INDEX(MgAmenNombre,MATCH(SUBSTITUTE($H1215,"*","-"),MgAmenClave,0)),"")</f>
        <v/>
      </c>
      <c r="J1215" s="28">
        <f>IFERROR(INDEX(MgAmenGrupo,MATCH(SUBSTITUTE($H1215,"*","-"),MgAmenClave,0)),"")</f>
        <v/>
      </c>
      <c r="K1215" s="64">
        <f>IFERROR(INDEX('1. Matriz de Activos'!$Q$6:$Q$239,MATCH($C1215,MgActId,0)),"")</f>
        <v/>
      </c>
      <c r="L1215" s="64">
        <f>IFERROR(INDEX('1. Matriz de Activos'!$R$6:$R$239,MATCH($C1215,MgActId,0)),"")</f>
        <v/>
      </c>
      <c r="M1215" s="64">
        <f>IFERROR(INDEX('1. Matriz de Activos'!$S$6:$S$239,MATCH($C1215,MgActId,0)),"")</f>
        <v/>
      </c>
      <c r="N1215" s="28">
        <f>IFERROR(INDEX(MgAmenDegD,MATCH(SUBSTITUTE($H1215,"*","-"),MgAmenClave,0)),"No aplica")</f>
        <v/>
      </c>
      <c r="O1215" s="28">
        <f>IFERROR(INDEX(MgAmenDegI,MATCH(SUBSTITUTE($H1215,"*","-"),MgAmenClave,0)),"No aplica")</f>
        <v/>
      </c>
      <c r="P1215" s="28">
        <f>IFERROR(INDEX(MgAmenDegC,MATCH(SUBSTITUTE($H1215,"*","-"),MgAmenClave,0)),"No aplica")</f>
        <v/>
      </c>
      <c r="Q1215" s="29">
        <f>IFERROR(VLOOKUP(K1215,MgValor,2,0)*VLOOKUP(N1215,MgDeg,2,0),0)</f>
        <v/>
      </c>
      <c r="R1215" s="29">
        <f>IFERROR(VLOOKUP(L1215,MgValor,2,0)*VLOOKUP(O1215,MgDeg,2,0),0)</f>
        <v/>
      </c>
      <c r="S1215" s="29">
        <f>IFERROR(VLOOKUP(M1215,MgValor,2,0)*VLOOKUP(P1215,MgDeg,2,0),0)</f>
        <v/>
      </c>
      <c r="T1215" s="30">
        <f>MAX(Q1215:S1215)</f>
        <v/>
      </c>
      <c r="U1215" s="28">
        <f>IFERROR(LOOKUP(T1215,{0;0.5;1.5;3;4.5},{"Despreciable";"Bajo";"Medio";"Alto";"Muy alto"}),"")</f>
        <v/>
      </c>
      <c r="V1215" s="13">
        <f>IFERROR(INDEX(MgAmenFrec,MATCH(SUBSTITUTE($H1215,"*","-"),MgAmenClave,0)),"")</f>
        <v/>
      </c>
      <c r="W1215" s="28">
        <f>IFERROR(LOOKUP(X1215,{0;0.01;0.1;1;10;100},{"Muy baja";"Muy baja";"Baja";"Media";"Alta";"Muy alta"}),"")</f>
        <v/>
      </c>
      <c r="X1215" s="31">
        <f>IFERROR(VLOOKUP(V1215,MgFrec,2,0),0)</f>
        <v/>
      </c>
      <c r="Y1215" s="30">
        <f>T1215*X1215</f>
        <v/>
      </c>
      <c r="Z1215" s="28">
        <f>IFERROR(LOOKUP(Y1215,{0;0.5;5;25},{"Bajo";"Medio";"Alto";"Crítico"}),"")</f>
        <v/>
      </c>
      <c r="AA1215" s="64">
        <f>IF(T1215&gt;=3,IF(X1215&gt;=1,"Zona 1 — Crítica: impacto alto y ocurre al menos una vez al año","Zona 4 — Catastrófica poco probable: impacto alto pero excepcional"),IF(AND(T1215&lt;1.5,X1215&lt;1),"Zona 3 — Asumible: impacto bajo y muy poco frecuente","Zona 2 — Atención: riesgo intermedio"))</f>
        <v/>
      </c>
      <c r="AB1215" s="64">
        <f>IFERROR(INDEX(MgAmenCtrl,MATCH(SUBSTITUTE($H1215,"*","-"),MgAmenClave,0)),"")</f>
        <v/>
      </c>
      <c r="AC1215" s="20" t="n"/>
      <c r="AD1215" s="31">
        <f>IFERROR($X1215*(1-IF($AC1215="",$AL1215,VLOOKUP($AC1215,MgMad,2,0))),"")</f>
        <v/>
      </c>
      <c r="AE1215" s="28">
        <f>IFERROR(LOOKUP(AD1215,{0;0.01;0.1;1;10;100},{"Muy baja";"Muy baja";"Baja";"Media";"Alta";"Muy alta"}),"")</f>
        <v/>
      </c>
      <c r="AF1215" s="30">
        <f>T1215*AD1215</f>
        <v/>
      </c>
      <c r="AG1215" s="28">
        <f>IFERROR(LOOKUP(AF1215,{0;0.5;5;25},{"Bajo";"Medio";"Alto";"Crítico"}),"")</f>
        <v/>
      </c>
      <c r="AH1215" s="28">
        <f>IF(AG1215="","",IF(OR(AG1215="Crítico",AG1215="Alto"),"Mitigar",IF(AG1215="Medio","Mitigar","Aceptar y monitorear")))</f>
        <v/>
      </c>
      <c r="AI1215" s="21" t="n"/>
      <c r="AJ1215" s="21" t="n"/>
      <c r="AK1215" s="20" t="n"/>
      <c r="AL1215" s="77">
        <f>IFERROR(INDEX(MgAmenEfic,MATCH(SUBSTITUTE($H1215,"*","-"),MgAmenClave,0)),0)</f>
        <v/>
      </c>
    </row>
    <row r="1216" hidden="1" ht="60" customHeight="1" s="54">
      <c r="B1216" s="59" t="inlineStr">
        <is>
          <t>R-1211</t>
        </is>
      </c>
      <c r="C1216" s="59" t="inlineStr">
        <is>
          <t>GH-008</t>
        </is>
      </c>
      <c r="D1216" s="64">
        <f>IFERROR(INDEX(MgNombre,MATCH($C1216,MgActId,0)),"")</f>
        <v/>
      </c>
      <c r="E1216" s="64">
        <f>IFERROR(INDEX(MgProceso,MATCH($C1216,MgActId,0)),"")</f>
        <v/>
      </c>
      <c r="F1216" s="64">
        <f>IFERROR(INDEX(MgTipo,MATCH($C1216,MgActId,0)),"")</f>
        <v/>
      </c>
      <c r="G1216" s="64">
        <f>IFERROR(INDEX(MgSubtipo,MATCH($C1216,MgActId,0)),"")</f>
        <v/>
      </c>
      <c r="H1216" s="59" t="inlineStr">
        <is>
          <t>A.18</t>
        </is>
      </c>
      <c r="I1216" s="64">
        <f>IFERROR(INDEX(MgAmenNombre,MATCH(SUBSTITUTE($H1216,"*","-"),MgAmenClave,0)),"")</f>
        <v/>
      </c>
      <c r="J1216" s="28">
        <f>IFERROR(INDEX(MgAmenGrupo,MATCH(SUBSTITUTE($H1216,"*","-"),MgAmenClave,0)),"")</f>
        <v/>
      </c>
      <c r="K1216" s="64">
        <f>IFERROR(INDEX('1. Matriz de Activos'!$Q$6:$Q$239,MATCH($C1216,MgActId,0)),"")</f>
        <v/>
      </c>
      <c r="L1216" s="64">
        <f>IFERROR(INDEX('1. Matriz de Activos'!$R$6:$R$239,MATCH($C1216,MgActId,0)),"")</f>
        <v/>
      </c>
      <c r="M1216" s="64">
        <f>IFERROR(INDEX('1. Matriz de Activos'!$S$6:$S$239,MATCH($C1216,MgActId,0)),"")</f>
        <v/>
      </c>
      <c r="N1216" s="28">
        <f>IFERROR(INDEX(MgAmenDegD,MATCH(SUBSTITUTE($H1216,"*","-"),MgAmenClave,0)),"No aplica")</f>
        <v/>
      </c>
      <c r="O1216" s="28">
        <f>IFERROR(INDEX(MgAmenDegI,MATCH(SUBSTITUTE($H1216,"*","-"),MgAmenClave,0)),"No aplica")</f>
        <v/>
      </c>
      <c r="P1216" s="28">
        <f>IFERROR(INDEX(MgAmenDegC,MATCH(SUBSTITUTE($H1216,"*","-"),MgAmenClave,0)),"No aplica")</f>
        <v/>
      </c>
      <c r="Q1216" s="29">
        <f>IFERROR(VLOOKUP(K1216,MgValor,2,0)*VLOOKUP(N1216,MgDeg,2,0),0)</f>
        <v/>
      </c>
      <c r="R1216" s="29">
        <f>IFERROR(VLOOKUP(L1216,MgValor,2,0)*VLOOKUP(O1216,MgDeg,2,0),0)</f>
        <v/>
      </c>
      <c r="S1216" s="29">
        <f>IFERROR(VLOOKUP(M1216,MgValor,2,0)*VLOOKUP(P1216,MgDeg,2,0),0)</f>
        <v/>
      </c>
      <c r="T1216" s="30">
        <f>MAX(Q1216:S1216)</f>
        <v/>
      </c>
      <c r="U1216" s="28">
        <f>IFERROR(LOOKUP(T1216,{0;0.5;1.5;3;4.5},{"Despreciable";"Bajo";"Medio";"Alto";"Muy alto"}),"")</f>
        <v/>
      </c>
      <c r="V1216" s="13">
        <f>IFERROR(INDEX(MgAmenFrec,MATCH(SUBSTITUTE($H1216,"*","-"),MgAmenClave,0)),"")</f>
        <v/>
      </c>
      <c r="W1216" s="28">
        <f>IFERROR(LOOKUP(X1216,{0;0.01;0.1;1;10;100},{"Muy baja";"Muy baja";"Baja";"Media";"Alta";"Muy alta"}),"")</f>
        <v/>
      </c>
      <c r="X1216" s="31">
        <f>IFERROR(VLOOKUP(V1216,MgFrec,2,0),0)</f>
        <v/>
      </c>
      <c r="Y1216" s="30">
        <f>T1216*X1216</f>
        <v/>
      </c>
      <c r="Z1216" s="28">
        <f>IFERROR(LOOKUP(Y1216,{0;0.5;5;25},{"Bajo";"Medio";"Alto";"Crítico"}),"")</f>
        <v/>
      </c>
      <c r="AA1216" s="64">
        <f>IF(T1216&gt;=3,IF(X1216&gt;=1,"Zona 1 — Crítica: impacto alto y ocurre al menos una vez al año","Zona 4 — Catastrófica poco probable: impacto alto pero excepcional"),IF(AND(T1216&lt;1.5,X1216&lt;1),"Zona 3 — Asumible: impacto bajo y muy poco frecuente","Zona 2 — Atención: riesgo intermedio"))</f>
        <v/>
      </c>
      <c r="AB1216" s="64">
        <f>IFERROR(INDEX(MgAmenCtrl,MATCH(SUBSTITUTE($H1216,"*","-"),MgAmenClave,0)),"")</f>
        <v/>
      </c>
      <c r="AC1216" s="20" t="n"/>
      <c r="AD1216" s="31">
        <f>IFERROR($X1216*(1-IF($AC1216="",$AL1216,VLOOKUP($AC1216,MgMad,2,0))),"")</f>
        <v/>
      </c>
      <c r="AE1216" s="28">
        <f>IFERROR(LOOKUP(AD1216,{0;0.01;0.1;1;10;100},{"Muy baja";"Muy baja";"Baja";"Media";"Alta";"Muy alta"}),"")</f>
        <v/>
      </c>
      <c r="AF1216" s="30">
        <f>T1216*AD1216</f>
        <v/>
      </c>
      <c r="AG1216" s="28">
        <f>IFERROR(LOOKUP(AF1216,{0;0.5;5;25},{"Bajo";"Medio";"Alto";"Crítico"}),"")</f>
        <v/>
      </c>
      <c r="AH1216" s="28">
        <f>IF(AG1216="","",IF(OR(AG1216="Crítico",AG1216="Alto"),"Mitigar",IF(AG1216="Medio","Mitigar","Aceptar y monitorear")))</f>
        <v/>
      </c>
      <c r="AI1216" s="21" t="n"/>
      <c r="AJ1216" s="21" t="n"/>
      <c r="AK1216" s="20" t="n"/>
      <c r="AL1216" s="77">
        <f>IFERROR(INDEX(MgAmenEfic,MATCH(SUBSTITUTE($H1216,"*","-"),MgAmenClave,0)),0)</f>
        <v/>
      </c>
    </row>
    <row r="1217" hidden="1" ht="120" customHeight="1" s="54">
      <c r="B1217" s="59" t="inlineStr">
        <is>
          <t>R-1212</t>
        </is>
      </c>
      <c r="C1217" s="59" t="inlineStr">
        <is>
          <t>GH-008</t>
        </is>
      </c>
      <c r="D1217" s="64">
        <f>IFERROR(INDEX(MgNombre,MATCH($C1217,MgActId,0)),"")</f>
        <v/>
      </c>
      <c r="E1217" s="64">
        <f>IFERROR(INDEX(MgProceso,MATCH($C1217,MgActId,0)),"")</f>
        <v/>
      </c>
      <c r="F1217" s="64">
        <f>IFERROR(INDEX(MgTipo,MATCH($C1217,MgActId,0)),"")</f>
        <v/>
      </c>
      <c r="G1217" s="64">
        <f>IFERROR(INDEX(MgSubtipo,MATCH($C1217,MgActId,0)),"")</f>
        <v/>
      </c>
      <c r="H1217" s="59" t="inlineStr">
        <is>
          <t>A.19</t>
        </is>
      </c>
      <c r="I1217" s="64">
        <f>IFERROR(INDEX(MgAmenNombre,MATCH(SUBSTITUTE($H1217,"*","-"),MgAmenClave,0)),"")</f>
        <v/>
      </c>
      <c r="J1217" s="28">
        <f>IFERROR(INDEX(MgAmenGrupo,MATCH(SUBSTITUTE($H1217,"*","-"),MgAmenClave,0)),"")</f>
        <v/>
      </c>
      <c r="K1217" s="64">
        <f>IFERROR(INDEX('1. Matriz de Activos'!$Q$6:$Q$239,MATCH($C1217,MgActId,0)),"")</f>
        <v/>
      </c>
      <c r="L1217" s="64">
        <f>IFERROR(INDEX('1. Matriz de Activos'!$R$6:$R$239,MATCH($C1217,MgActId,0)),"")</f>
        <v/>
      </c>
      <c r="M1217" s="64">
        <f>IFERROR(INDEX('1. Matriz de Activos'!$S$6:$S$239,MATCH($C1217,MgActId,0)),"")</f>
        <v/>
      </c>
      <c r="N1217" s="28">
        <f>IFERROR(INDEX(MgAmenDegD,MATCH(SUBSTITUTE($H1217,"*","-"),MgAmenClave,0)),"No aplica")</f>
        <v/>
      </c>
      <c r="O1217" s="28">
        <f>IFERROR(INDEX(MgAmenDegI,MATCH(SUBSTITUTE($H1217,"*","-"),MgAmenClave,0)),"No aplica")</f>
        <v/>
      </c>
      <c r="P1217" s="28">
        <f>IFERROR(INDEX(MgAmenDegC,MATCH(SUBSTITUTE($H1217,"*","-"),MgAmenClave,0)),"No aplica")</f>
        <v/>
      </c>
      <c r="Q1217" s="29">
        <f>IFERROR(VLOOKUP(K1217,MgValor,2,0)*VLOOKUP(N1217,MgDeg,2,0),0)</f>
        <v/>
      </c>
      <c r="R1217" s="29">
        <f>IFERROR(VLOOKUP(L1217,MgValor,2,0)*VLOOKUP(O1217,MgDeg,2,0),0)</f>
        <v/>
      </c>
      <c r="S1217" s="29">
        <f>IFERROR(VLOOKUP(M1217,MgValor,2,0)*VLOOKUP(P1217,MgDeg,2,0),0)</f>
        <v/>
      </c>
      <c r="T1217" s="30">
        <f>MAX(Q1217:S1217)</f>
        <v/>
      </c>
      <c r="U1217" s="28">
        <f>IFERROR(LOOKUP(T1217,{0;0.5;1.5;3;4.5},{"Despreciable";"Bajo";"Medio";"Alto";"Muy alto"}),"")</f>
        <v/>
      </c>
      <c r="V1217" s="13">
        <f>IFERROR(INDEX(MgAmenFrec,MATCH(SUBSTITUTE($H1217,"*","-"),MgAmenClave,0)),"")</f>
        <v/>
      </c>
      <c r="W1217" s="28">
        <f>IFERROR(LOOKUP(X1217,{0;0.01;0.1;1;10;100},{"Muy baja";"Muy baja";"Baja";"Media";"Alta";"Muy alta"}),"")</f>
        <v/>
      </c>
      <c r="X1217" s="31">
        <f>IFERROR(VLOOKUP(V1217,MgFrec,2,0),0)</f>
        <v/>
      </c>
      <c r="Y1217" s="30">
        <f>T1217*X1217</f>
        <v/>
      </c>
      <c r="Z1217" s="28">
        <f>IFERROR(LOOKUP(Y1217,{0;0.5;5;25},{"Bajo";"Medio";"Alto";"Crítico"}),"")</f>
        <v/>
      </c>
      <c r="AA1217" s="64">
        <f>IF(T1217&gt;=3,IF(X1217&gt;=1,"Zona 1 — Crítica: impacto alto y ocurre al menos una vez al año","Zona 4 — Catastrófica poco probable: impacto alto pero excepcional"),IF(AND(T1217&lt;1.5,X1217&lt;1),"Zona 3 — Asumible: impacto bajo y muy poco frecuente","Zona 2 — Atención: riesgo intermedio"))</f>
        <v/>
      </c>
      <c r="AB1217" s="64">
        <f>IFERROR(INDEX(MgAmenCtrl,MATCH(SUBSTITUTE($H1217,"*","-"),MgAmenClave,0)),"")</f>
        <v/>
      </c>
      <c r="AC1217" s="20" t="n"/>
      <c r="AD1217" s="31">
        <f>IFERROR($X1217*(1-IF($AC1217="",$AL1217,VLOOKUP($AC1217,MgMad,2,0))),"")</f>
        <v/>
      </c>
      <c r="AE1217" s="28">
        <f>IFERROR(LOOKUP(AD1217,{0;0.01;0.1;1;10;100},{"Muy baja";"Muy baja";"Baja";"Media";"Alta";"Muy alta"}),"")</f>
        <v/>
      </c>
      <c r="AF1217" s="30">
        <f>T1217*AD1217</f>
        <v/>
      </c>
      <c r="AG1217" s="28">
        <f>IFERROR(LOOKUP(AF1217,{0;0.5;5;25},{"Bajo";"Medio";"Alto";"Crítico"}),"")</f>
        <v/>
      </c>
      <c r="AH1217" s="28">
        <f>IF(AG1217="","",IF(OR(AG1217="Crítico",AG1217="Alto"),"Mitigar",IF(AG1217="Medio","Mitigar","Aceptar y monitorear")))</f>
        <v/>
      </c>
      <c r="AI1217" s="21" t="n"/>
      <c r="AJ1217" s="21" t="n"/>
      <c r="AK1217" s="20" t="n"/>
      <c r="AL1217" s="77">
        <f>IFERROR(INDEX(MgAmenEfic,MATCH(SUBSTITUTE($H1217,"*","-"),MgAmenClave,0)),0)</f>
        <v/>
      </c>
    </row>
    <row r="1218" hidden="1" ht="105" customHeight="1" s="54">
      <c r="B1218" s="59" t="inlineStr">
        <is>
          <t>R-1213</t>
        </is>
      </c>
      <c r="C1218" s="59" t="inlineStr">
        <is>
          <t>GH-038</t>
        </is>
      </c>
      <c r="D1218" s="64">
        <f>IFERROR(INDEX(MgNombre,MATCH($C1218,MgActId,0)),"")</f>
        <v/>
      </c>
      <c r="E1218" s="64">
        <f>IFERROR(INDEX(MgProceso,MATCH($C1218,MgActId,0)),"")</f>
        <v/>
      </c>
      <c r="F1218" s="64">
        <f>IFERROR(INDEX(MgTipo,MATCH($C1218,MgActId,0)),"")</f>
        <v/>
      </c>
      <c r="G1218" s="64">
        <f>IFERROR(INDEX(MgSubtipo,MATCH($C1218,MgActId,0)),"")</f>
        <v/>
      </c>
      <c r="H1218" s="59" t="inlineStr">
        <is>
          <t>E.1</t>
        </is>
      </c>
      <c r="I1218" s="64">
        <f>IFERROR(INDEX(MgAmenNombre,MATCH(SUBSTITUTE($H1218,"*","-"),MgAmenClave,0)),"")</f>
        <v/>
      </c>
      <c r="J1218" s="28">
        <f>IFERROR(INDEX(MgAmenGrupo,MATCH(SUBSTITUTE($H1218,"*","-"),MgAmenClave,0)),"")</f>
        <v/>
      </c>
      <c r="K1218" s="64">
        <f>IFERROR(INDEX('1. Matriz de Activos'!$Q$6:$Q$239,MATCH($C1218,MgActId,0)),"")</f>
        <v/>
      </c>
      <c r="L1218" s="64">
        <f>IFERROR(INDEX('1. Matriz de Activos'!$R$6:$R$239,MATCH($C1218,MgActId,0)),"")</f>
        <v/>
      </c>
      <c r="M1218" s="64">
        <f>IFERROR(INDEX('1. Matriz de Activos'!$S$6:$S$239,MATCH($C1218,MgActId,0)),"")</f>
        <v/>
      </c>
      <c r="N1218" s="28">
        <f>IFERROR(INDEX(MgAmenDegD,MATCH(SUBSTITUTE($H1218,"*","-"),MgAmenClave,0)),"No aplica")</f>
        <v/>
      </c>
      <c r="O1218" s="28">
        <f>IFERROR(INDEX(MgAmenDegI,MATCH(SUBSTITUTE($H1218,"*","-"),MgAmenClave,0)),"No aplica")</f>
        <v/>
      </c>
      <c r="P1218" s="28">
        <f>IFERROR(INDEX(MgAmenDegC,MATCH(SUBSTITUTE($H1218,"*","-"),MgAmenClave,0)),"No aplica")</f>
        <v/>
      </c>
      <c r="Q1218" s="29">
        <f>IFERROR(VLOOKUP(K1218,MgValor,2,0)*VLOOKUP(N1218,MgDeg,2,0),0)</f>
        <v/>
      </c>
      <c r="R1218" s="29">
        <f>IFERROR(VLOOKUP(L1218,MgValor,2,0)*VLOOKUP(O1218,MgDeg,2,0),0)</f>
        <v/>
      </c>
      <c r="S1218" s="29">
        <f>IFERROR(VLOOKUP(M1218,MgValor,2,0)*VLOOKUP(P1218,MgDeg,2,0),0)</f>
        <v/>
      </c>
      <c r="T1218" s="30">
        <f>MAX(Q1218:S1218)</f>
        <v/>
      </c>
      <c r="U1218" s="28">
        <f>IFERROR(LOOKUP(T1218,{0;0.5;1.5;3;4.5},{"Despreciable";"Bajo";"Medio";"Alto";"Muy alto"}),"")</f>
        <v/>
      </c>
      <c r="V1218" s="13">
        <f>IFERROR(INDEX(MgAmenFrec,MATCH(SUBSTITUTE($H1218,"*","-"),MgAmenClave,0)),"")</f>
        <v/>
      </c>
      <c r="W1218" s="28">
        <f>IFERROR(LOOKUP(X1218,{0;0.01;0.1;1;10;100},{"Muy baja";"Muy baja";"Baja";"Media";"Alta";"Muy alta"}),"")</f>
        <v/>
      </c>
      <c r="X1218" s="31">
        <f>IFERROR(VLOOKUP(V1218,MgFrec,2,0),0)</f>
        <v/>
      </c>
      <c r="Y1218" s="30">
        <f>T1218*X1218</f>
        <v/>
      </c>
      <c r="Z1218" s="28">
        <f>IFERROR(LOOKUP(Y1218,{0;0.5;5;25},{"Bajo";"Medio";"Alto";"Crítico"}),"")</f>
        <v/>
      </c>
      <c r="AA1218" s="64">
        <f>IF(T1218&gt;=3,IF(X1218&gt;=1,"Zona 1 — Crítica: impacto alto y ocurre al menos una vez al año","Zona 4 — Catastrófica poco probable: impacto alto pero excepcional"),IF(AND(T1218&lt;1.5,X1218&lt;1),"Zona 3 — Asumible: impacto bajo y muy poco frecuente","Zona 2 — Atención: riesgo intermedio"))</f>
        <v/>
      </c>
      <c r="AB1218" s="64">
        <f>IFERROR(INDEX(MgAmenCtrl,MATCH(SUBSTITUTE($H1218,"*","-"),MgAmenClave,0)),"")</f>
        <v/>
      </c>
      <c r="AC1218" s="20" t="n"/>
      <c r="AD1218" s="31">
        <f>IFERROR($X1218*(1-IF($AC1218="",$AL1218,VLOOKUP($AC1218,MgMad,2,0))),"")</f>
        <v/>
      </c>
      <c r="AE1218" s="28">
        <f>IFERROR(LOOKUP(AD1218,{0;0.01;0.1;1;10;100},{"Muy baja";"Muy baja";"Baja";"Media";"Alta";"Muy alta"}),"")</f>
        <v/>
      </c>
      <c r="AF1218" s="30">
        <f>T1218*AD1218</f>
        <v/>
      </c>
      <c r="AG1218" s="28">
        <f>IFERROR(LOOKUP(AF1218,{0;0.5;5;25},{"Bajo";"Medio";"Alto";"Crítico"}),"")</f>
        <v/>
      </c>
      <c r="AH1218" s="28">
        <f>IF(AG1218="","",IF(OR(AG1218="Crítico",AG1218="Alto"),"Mitigar",IF(AG1218="Medio","Mitigar","Aceptar y monitorear")))</f>
        <v/>
      </c>
      <c r="AI1218" s="21" t="n"/>
      <c r="AJ1218" s="21" t="n"/>
      <c r="AK1218" s="20" t="n"/>
      <c r="AL1218" s="77">
        <f>IFERROR(INDEX(MgAmenEfic,MATCH(SUBSTITUTE($H1218,"*","-"),MgAmenClave,0)),0)</f>
        <v/>
      </c>
    </row>
    <row r="1219" hidden="1" ht="120" customHeight="1" s="54">
      <c r="B1219" s="59" t="inlineStr">
        <is>
          <t>R-1214</t>
        </is>
      </c>
      <c r="C1219" s="59" t="inlineStr">
        <is>
          <t>GH-038</t>
        </is>
      </c>
      <c r="D1219" s="64">
        <f>IFERROR(INDEX(MgNombre,MATCH($C1219,MgActId,0)),"")</f>
        <v/>
      </c>
      <c r="E1219" s="64">
        <f>IFERROR(INDEX(MgProceso,MATCH($C1219,MgActId,0)),"")</f>
        <v/>
      </c>
      <c r="F1219" s="64">
        <f>IFERROR(INDEX(MgTipo,MATCH($C1219,MgActId,0)),"")</f>
        <v/>
      </c>
      <c r="G1219" s="64">
        <f>IFERROR(INDEX(MgSubtipo,MATCH($C1219,MgActId,0)),"")</f>
        <v/>
      </c>
      <c r="H1219" s="59" t="inlineStr">
        <is>
          <t>E.2</t>
        </is>
      </c>
      <c r="I1219" s="64">
        <f>IFERROR(INDEX(MgAmenNombre,MATCH(SUBSTITUTE($H1219,"*","-"),MgAmenClave,0)),"")</f>
        <v/>
      </c>
      <c r="J1219" s="28">
        <f>IFERROR(INDEX(MgAmenGrupo,MATCH(SUBSTITUTE($H1219,"*","-"),MgAmenClave,0)),"")</f>
        <v/>
      </c>
      <c r="K1219" s="64">
        <f>IFERROR(INDEX('1. Matriz de Activos'!$Q$6:$Q$239,MATCH($C1219,MgActId,0)),"")</f>
        <v/>
      </c>
      <c r="L1219" s="64">
        <f>IFERROR(INDEX('1. Matriz de Activos'!$R$6:$R$239,MATCH($C1219,MgActId,0)),"")</f>
        <v/>
      </c>
      <c r="M1219" s="64">
        <f>IFERROR(INDEX('1. Matriz de Activos'!$S$6:$S$239,MATCH($C1219,MgActId,0)),"")</f>
        <v/>
      </c>
      <c r="N1219" s="28">
        <f>IFERROR(INDEX(MgAmenDegD,MATCH(SUBSTITUTE($H1219,"*","-"),MgAmenClave,0)),"No aplica")</f>
        <v/>
      </c>
      <c r="O1219" s="28">
        <f>IFERROR(INDEX(MgAmenDegI,MATCH(SUBSTITUTE($H1219,"*","-"),MgAmenClave,0)),"No aplica")</f>
        <v/>
      </c>
      <c r="P1219" s="28">
        <f>IFERROR(INDEX(MgAmenDegC,MATCH(SUBSTITUTE($H1219,"*","-"),MgAmenClave,0)),"No aplica")</f>
        <v/>
      </c>
      <c r="Q1219" s="29">
        <f>IFERROR(VLOOKUP(K1219,MgValor,2,0)*VLOOKUP(N1219,MgDeg,2,0),0)</f>
        <v/>
      </c>
      <c r="R1219" s="29">
        <f>IFERROR(VLOOKUP(L1219,MgValor,2,0)*VLOOKUP(O1219,MgDeg,2,0),0)</f>
        <v/>
      </c>
      <c r="S1219" s="29">
        <f>IFERROR(VLOOKUP(M1219,MgValor,2,0)*VLOOKUP(P1219,MgDeg,2,0),0)</f>
        <v/>
      </c>
      <c r="T1219" s="30">
        <f>MAX(Q1219:S1219)</f>
        <v/>
      </c>
      <c r="U1219" s="28">
        <f>IFERROR(LOOKUP(T1219,{0;0.5;1.5;3;4.5},{"Despreciable";"Bajo";"Medio";"Alto";"Muy alto"}),"")</f>
        <v/>
      </c>
      <c r="V1219" s="13">
        <f>IFERROR(INDEX(MgAmenFrec,MATCH(SUBSTITUTE($H1219,"*","-"),MgAmenClave,0)),"")</f>
        <v/>
      </c>
      <c r="W1219" s="28">
        <f>IFERROR(LOOKUP(X1219,{0;0.01;0.1;1;10;100},{"Muy baja";"Muy baja";"Baja";"Media";"Alta";"Muy alta"}),"")</f>
        <v/>
      </c>
      <c r="X1219" s="31">
        <f>IFERROR(VLOOKUP(V1219,MgFrec,2,0),0)</f>
        <v/>
      </c>
      <c r="Y1219" s="30">
        <f>T1219*X1219</f>
        <v/>
      </c>
      <c r="Z1219" s="28">
        <f>IFERROR(LOOKUP(Y1219,{0;0.5;5;25},{"Bajo";"Medio";"Alto";"Crítico"}),"")</f>
        <v/>
      </c>
      <c r="AA1219" s="64">
        <f>IF(T1219&gt;=3,IF(X1219&gt;=1,"Zona 1 — Crítica: impacto alto y ocurre al menos una vez al año","Zona 4 — Catastrófica poco probable: impacto alto pero excepcional"),IF(AND(T1219&lt;1.5,X1219&lt;1),"Zona 3 — Asumible: impacto bajo y muy poco frecuente","Zona 2 — Atención: riesgo intermedio"))</f>
        <v/>
      </c>
      <c r="AB1219" s="64">
        <f>IFERROR(INDEX(MgAmenCtrl,MATCH(SUBSTITUTE($H1219,"*","-"),MgAmenClave,0)),"")</f>
        <v/>
      </c>
      <c r="AC1219" s="20" t="n"/>
      <c r="AD1219" s="31">
        <f>IFERROR($X1219*(1-IF($AC1219="",$AL1219,VLOOKUP($AC1219,MgMad,2,0))),"")</f>
        <v/>
      </c>
      <c r="AE1219" s="28">
        <f>IFERROR(LOOKUP(AD1219,{0;0.01;0.1;1;10;100},{"Muy baja";"Muy baja";"Baja";"Media";"Alta";"Muy alta"}),"")</f>
        <v/>
      </c>
      <c r="AF1219" s="30">
        <f>T1219*AD1219</f>
        <v/>
      </c>
      <c r="AG1219" s="28">
        <f>IFERROR(LOOKUP(AF1219,{0;0.5;5;25},{"Bajo";"Medio";"Alto";"Crítico"}),"")</f>
        <v/>
      </c>
      <c r="AH1219" s="28">
        <f>IF(AG1219="","",IF(OR(AG1219="Crítico",AG1219="Alto"),"Mitigar",IF(AG1219="Medio","Mitigar","Aceptar y monitorear")))</f>
        <v/>
      </c>
      <c r="AI1219" s="21" t="n"/>
      <c r="AJ1219" s="21" t="n"/>
      <c r="AK1219" s="20" t="n"/>
      <c r="AL1219" s="77">
        <f>IFERROR(INDEX(MgAmenEfic,MATCH(SUBSTITUTE($H1219,"*","-"),MgAmenClave,0)),0)</f>
        <v/>
      </c>
    </row>
    <row r="1220" hidden="1" ht="75" customHeight="1" s="54">
      <c r="B1220" s="59" t="inlineStr">
        <is>
          <t>R-1215</t>
        </is>
      </c>
      <c r="C1220" s="59" t="inlineStr">
        <is>
          <t>GH-038</t>
        </is>
      </c>
      <c r="D1220" s="64">
        <f>IFERROR(INDEX(MgNombre,MATCH($C1220,MgActId,0)),"")</f>
        <v/>
      </c>
      <c r="E1220" s="64">
        <f>IFERROR(INDEX(MgProceso,MATCH($C1220,MgActId,0)),"")</f>
        <v/>
      </c>
      <c r="F1220" s="64">
        <f>IFERROR(INDEX(MgTipo,MATCH($C1220,MgActId,0)),"")</f>
        <v/>
      </c>
      <c r="G1220" s="64">
        <f>IFERROR(INDEX(MgSubtipo,MATCH($C1220,MgActId,0)),"")</f>
        <v/>
      </c>
      <c r="H1220" s="59" t="inlineStr">
        <is>
          <t>E.3</t>
        </is>
      </c>
      <c r="I1220" s="64">
        <f>IFERROR(INDEX(MgAmenNombre,MATCH(SUBSTITUTE($H1220,"*","-"),MgAmenClave,0)),"")</f>
        <v/>
      </c>
      <c r="J1220" s="28">
        <f>IFERROR(INDEX(MgAmenGrupo,MATCH(SUBSTITUTE($H1220,"*","-"),MgAmenClave,0)),"")</f>
        <v/>
      </c>
      <c r="K1220" s="64">
        <f>IFERROR(INDEX('1. Matriz de Activos'!$Q$6:$Q$239,MATCH($C1220,MgActId,0)),"")</f>
        <v/>
      </c>
      <c r="L1220" s="64">
        <f>IFERROR(INDEX('1. Matriz de Activos'!$R$6:$R$239,MATCH($C1220,MgActId,0)),"")</f>
        <v/>
      </c>
      <c r="M1220" s="64">
        <f>IFERROR(INDEX('1. Matriz de Activos'!$S$6:$S$239,MATCH($C1220,MgActId,0)),"")</f>
        <v/>
      </c>
      <c r="N1220" s="28">
        <f>IFERROR(INDEX(MgAmenDegD,MATCH(SUBSTITUTE($H1220,"*","-"),MgAmenClave,0)),"No aplica")</f>
        <v/>
      </c>
      <c r="O1220" s="28">
        <f>IFERROR(INDEX(MgAmenDegI,MATCH(SUBSTITUTE($H1220,"*","-"),MgAmenClave,0)),"No aplica")</f>
        <v/>
      </c>
      <c r="P1220" s="28">
        <f>IFERROR(INDEX(MgAmenDegC,MATCH(SUBSTITUTE($H1220,"*","-"),MgAmenClave,0)),"No aplica")</f>
        <v/>
      </c>
      <c r="Q1220" s="29">
        <f>IFERROR(VLOOKUP(K1220,MgValor,2,0)*VLOOKUP(N1220,MgDeg,2,0),0)</f>
        <v/>
      </c>
      <c r="R1220" s="29">
        <f>IFERROR(VLOOKUP(L1220,MgValor,2,0)*VLOOKUP(O1220,MgDeg,2,0),0)</f>
        <v/>
      </c>
      <c r="S1220" s="29">
        <f>IFERROR(VLOOKUP(M1220,MgValor,2,0)*VLOOKUP(P1220,MgDeg,2,0),0)</f>
        <v/>
      </c>
      <c r="T1220" s="30">
        <f>MAX(Q1220:S1220)</f>
        <v/>
      </c>
      <c r="U1220" s="28">
        <f>IFERROR(LOOKUP(T1220,{0;0.5;1.5;3;4.5},{"Despreciable";"Bajo";"Medio";"Alto";"Muy alto"}),"")</f>
        <v/>
      </c>
      <c r="V1220" s="13">
        <f>IFERROR(INDEX(MgAmenFrec,MATCH(SUBSTITUTE($H1220,"*","-"),MgAmenClave,0)),"")</f>
        <v/>
      </c>
      <c r="W1220" s="28">
        <f>IFERROR(LOOKUP(X1220,{0;0.01;0.1;1;10;100},{"Muy baja";"Muy baja";"Baja";"Media";"Alta";"Muy alta"}),"")</f>
        <v/>
      </c>
      <c r="X1220" s="31">
        <f>IFERROR(VLOOKUP(V1220,MgFrec,2,0),0)</f>
        <v/>
      </c>
      <c r="Y1220" s="30">
        <f>T1220*X1220</f>
        <v/>
      </c>
      <c r="Z1220" s="28">
        <f>IFERROR(LOOKUP(Y1220,{0;0.5;5;25},{"Bajo";"Medio";"Alto";"Crítico"}),"")</f>
        <v/>
      </c>
      <c r="AA1220" s="64">
        <f>IF(T1220&gt;=3,IF(X1220&gt;=1,"Zona 1 — Crítica: impacto alto y ocurre al menos una vez al año","Zona 4 — Catastrófica poco probable: impacto alto pero excepcional"),IF(AND(T1220&lt;1.5,X1220&lt;1),"Zona 3 — Asumible: impacto bajo y muy poco frecuente","Zona 2 — Atención: riesgo intermedio"))</f>
        <v/>
      </c>
      <c r="AB1220" s="64">
        <f>IFERROR(INDEX(MgAmenCtrl,MATCH(SUBSTITUTE($H1220,"*","-"),MgAmenClave,0)),"")</f>
        <v/>
      </c>
      <c r="AC1220" s="20" t="n"/>
      <c r="AD1220" s="31">
        <f>IFERROR($X1220*(1-IF($AC1220="",$AL1220,VLOOKUP($AC1220,MgMad,2,0))),"")</f>
        <v/>
      </c>
      <c r="AE1220" s="28">
        <f>IFERROR(LOOKUP(AD1220,{0;0.01;0.1;1;10;100},{"Muy baja";"Muy baja";"Baja";"Media";"Alta";"Muy alta"}),"")</f>
        <v/>
      </c>
      <c r="AF1220" s="30">
        <f>T1220*AD1220</f>
        <v/>
      </c>
      <c r="AG1220" s="28">
        <f>IFERROR(LOOKUP(AF1220,{0;0.5;5;25},{"Bajo";"Medio";"Alto";"Crítico"}),"")</f>
        <v/>
      </c>
      <c r="AH1220" s="28">
        <f>IF(AG1220="","",IF(OR(AG1220="Crítico",AG1220="Alto"),"Mitigar",IF(AG1220="Medio","Mitigar","Aceptar y monitorear")))</f>
        <v/>
      </c>
      <c r="AI1220" s="21" t="n"/>
      <c r="AJ1220" s="21" t="n"/>
      <c r="AK1220" s="20" t="n"/>
      <c r="AL1220" s="77">
        <f>IFERROR(INDEX(MgAmenEfic,MATCH(SUBSTITUTE($H1220,"*","-"),MgAmenClave,0)),0)</f>
        <v/>
      </c>
    </row>
    <row r="1221" hidden="1" ht="75" customHeight="1" s="54">
      <c r="B1221" s="59" t="inlineStr">
        <is>
          <t>R-1216</t>
        </is>
      </c>
      <c r="C1221" s="59" t="inlineStr">
        <is>
          <t>GH-038</t>
        </is>
      </c>
      <c r="D1221" s="64">
        <f>IFERROR(INDEX(MgNombre,MATCH($C1221,MgActId,0)),"")</f>
        <v/>
      </c>
      <c r="E1221" s="64">
        <f>IFERROR(INDEX(MgProceso,MATCH($C1221,MgActId,0)),"")</f>
        <v/>
      </c>
      <c r="F1221" s="64">
        <f>IFERROR(INDEX(MgTipo,MATCH($C1221,MgActId,0)),"")</f>
        <v/>
      </c>
      <c r="G1221" s="64">
        <f>IFERROR(INDEX(MgSubtipo,MATCH($C1221,MgActId,0)),"")</f>
        <v/>
      </c>
      <c r="H1221" s="59" t="inlineStr">
        <is>
          <t>E.4</t>
        </is>
      </c>
      <c r="I1221" s="64">
        <f>IFERROR(INDEX(MgAmenNombre,MATCH(SUBSTITUTE($H1221,"*","-"),MgAmenClave,0)),"")</f>
        <v/>
      </c>
      <c r="J1221" s="28">
        <f>IFERROR(INDEX(MgAmenGrupo,MATCH(SUBSTITUTE($H1221,"*","-"),MgAmenClave,0)),"")</f>
        <v/>
      </c>
      <c r="K1221" s="64">
        <f>IFERROR(INDEX('1. Matriz de Activos'!$Q$6:$Q$239,MATCH($C1221,MgActId,0)),"")</f>
        <v/>
      </c>
      <c r="L1221" s="64">
        <f>IFERROR(INDEX('1. Matriz de Activos'!$R$6:$R$239,MATCH($C1221,MgActId,0)),"")</f>
        <v/>
      </c>
      <c r="M1221" s="64">
        <f>IFERROR(INDEX('1. Matriz de Activos'!$S$6:$S$239,MATCH($C1221,MgActId,0)),"")</f>
        <v/>
      </c>
      <c r="N1221" s="28">
        <f>IFERROR(INDEX(MgAmenDegD,MATCH(SUBSTITUTE($H1221,"*","-"),MgAmenClave,0)),"No aplica")</f>
        <v/>
      </c>
      <c r="O1221" s="28">
        <f>IFERROR(INDEX(MgAmenDegI,MATCH(SUBSTITUTE($H1221,"*","-"),MgAmenClave,0)),"No aplica")</f>
        <v/>
      </c>
      <c r="P1221" s="28">
        <f>IFERROR(INDEX(MgAmenDegC,MATCH(SUBSTITUTE($H1221,"*","-"),MgAmenClave,0)),"No aplica")</f>
        <v/>
      </c>
      <c r="Q1221" s="29">
        <f>IFERROR(VLOOKUP(K1221,MgValor,2,0)*VLOOKUP(N1221,MgDeg,2,0),0)</f>
        <v/>
      </c>
      <c r="R1221" s="29">
        <f>IFERROR(VLOOKUP(L1221,MgValor,2,0)*VLOOKUP(O1221,MgDeg,2,0),0)</f>
        <v/>
      </c>
      <c r="S1221" s="29">
        <f>IFERROR(VLOOKUP(M1221,MgValor,2,0)*VLOOKUP(P1221,MgDeg,2,0),0)</f>
        <v/>
      </c>
      <c r="T1221" s="30">
        <f>MAX(Q1221:S1221)</f>
        <v/>
      </c>
      <c r="U1221" s="28">
        <f>IFERROR(LOOKUP(T1221,{0;0.5;1.5;3;4.5},{"Despreciable";"Bajo";"Medio";"Alto";"Muy alto"}),"")</f>
        <v/>
      </c>
      <c r="V1221" s="13">
        <f>IFERROR(INDEX(MgAmenFrec,MATCH(SUBSTITUTE($H1221,"*","-"),MgAmenClave,0)),"")</f>
        <v/>
      </c>
      <c r="W1221" s="28">
        <f>IFERROR(LOOKUP(X1221,{0;0.01;0.1;1;10;100},{"Muy baja";"Muy baja";"Baja";"Media";"Alta";"Muy alta"}),"")</f>
        <v/>
      </c>
      <c r="X1221" s="31">
        <f>IFERROR(VLOOKUP(V1221,MgFrec,2,0),0)</f>
        <v/>
      </c>
      <c r="Y1221" s="30">
        <f>T1221*X1221</f>
        <v/>
      </c>
      <c r="Z1221" s="28">
        <f>IFERROR(LOOKUP(Y1221,{0;0.5;5;25},{"Bajo";"Medio";"Alto";"Crítico"}),"")</f>
        <v/>
      </c>
      <c r="AA1221" s="64">
        <f>IF(T1221&gt;=3,IF(X1221&gt;=1,"Zona 1 — Crítica: impacto alto y ocurre al menos una vez al año","Zona 4 — Catastrófica poco probable: impacto alto pero excepcional"),IF(AND(T1221&lt;1.5,X1221&lt;1),"Zona 3 — Asumible: impacto bajo y muy poco frecuente","Zona 2 — Atención: riesgo intermedio"))</f>
        <v/>
      </c>
      <c r="AB1221" s="64">
        <f>IFERROR(INDEX(MgAmenCtrl,MATCH(SUBSTITUTE($H1221,"*","-"),MgAmenClave,0)),"")</f>
        <v/>
      </c>
      <c r="AC1221" s="20" t="n"/>
      <c r="AD1221" s="31">
        <f>IFERROR($X1221*(1-IF($AC1221="",$AL1221,VLOOKUP($AC1221,MgMad,2,0))),"")</f>
        <v/>
      </c>
      <c r="AE1221" s="28">
        <f>IFERROR(LOOKUP(AD1221,{0;0.01;0.1;1;10;100},{"Muy baja";"Muy baja";"Baja";"Media";"Alta";"Muy alta"}),"")</f>
        <v/>
      </c>
      <c r="AF1221" s="30">
        <f>T1221*AD1221</f>
        <v/>
      </c>
      <c r="AG1221" s="28">
        <f>IFERROR(LOOKUP(AF1221,{0;0.5;5;25},{"Bajo";"Medio";"Alto";"Crítico"}),"")</f>
        <v/>
      </c>
      <c r="AH1221" s="28">
        <f>IF(AG1221="","",IF(OR(AG1221="Crítico",AG1221="Alto"),"Mitigar",IF(AG1221="Medio","Mitigar","Aceptar y monitorear")))</f>
        <v/>
      </c>
      <c r="AI1221" s="21" t="n"/>
      <c r="AJ1221" s="21" t="n"/>
      <c r="AK1221" s="20" t="n"/>
      <c r="AL1221" s="77">
        <f>IFERROR(INDEX(MgAmenEfic,MATCH(SUBSTITUTE($H1221,"*","-"),MgAmenClave,0)),0)</f>
        <v/>
      </c>
    </row>
    <row r="1222" hidden="1" ht="90" customHeight="1" s="54">
      <c r="B1222" s="59" t="inlineStr">
        <is>
          <t>R-1217</t>
        </is>
      </c>
      <c r="C1222" s="59" t="inlineStr">
        <is>
          <t>GH-038</t>
        </is>
      </c>
      <c r="D1222" s="64">
        <f>IFERROR(INDEX(MgNombre,MATCH($C1222,MgActId,0)),"")</f>
        <v/>
      </c>
      <c r="E1222" s="64">
        <f>IFERROR(INDEX(MgProceso,MATCH($C1222,MgActId,0)),"")</f>
        <v/>
      </c>
      <c r="F1222" s="64">
        <f>IFERROR(INDEX(MgTipo,MATCH($C1222,MgActId,0)),"")</f>
        <v/>
      </c>
      <c r="G1222" s="64">
        <f>IFERROR(INDEX(MgSubtipo,MATCH($C1222,MgActId,0)),"")</f>
        <v/>
      </c>
      <c r="H1222" s="59" t="inlineStr">
        <is>
          <t>E.14</t>
        </is>
      </c>
      <c r="I1222" s="64">
        <f>IFERROR(INDEX(MgAmenNombre,MATCH(SUBSTITUTE($H1222,"*","-"),MgAmenClave,0)),"")</f>
        <v/>
      </c>
      <c r="J1222" s="28">
        <f>IFERROR(INDEX(MgAmenGrupo,MATCH(SUBSTITUTE($H1222,"*","-"),MgAmenClave,0)),"")</f>
        <v/>
      </c>
      <c r="K1222" s="64">
        <f>IFERROR(INDEX('1. Matriz de Activos'!$Q$6:$Q$239,MATCH($C1222,MgActId,0)),"")</f>
        <v/>
      </c>
      <c r="L1222" s="64">
        <f>IFERROR(INDEX('1. Matriz de Activos'!$R$6:$R$239,MATCH($C1222,MgActId,0)),"")</f>
        <v/>
      </c>
      <c r="M1222" s="64">
        <f>IFERROR(INDEX('1. Matriz de Activos'!$S$6:$S$239,MATCH($C1222,MgActId,0)),"")</f>
        <v/>
      </c>
      <c r="N1222" s="28">
        <f>IFERROR(INDEX(MgAmenDegD,MATCH(SUBSTITUTE($H1222,"*","-"),MgAmenClave,0)),"No aplica")</f>
        <v/>
      </c>
      <c r="O1222" s="28">
        <f>IFERROR(INDEX(MgAmenDegI,MATCH(SUBSTITUTE($H1222,"*","-"),MgAmenClave,0)),"No aplica")</f>
        <v/>
      </c>
      <c r="P1222" s="28">
        <f>IFERROR(INDEX(MgAmenDegC,MATCH(SUBSTITUTE($H1222,"*","-"),MgAmenClave,0)),"No aplica")</f>
        <v/>
      </c>
      <c r="Q1222" s="29">
        <f>IFERROR(VLOOKUP(K1222,MgValor,2,0)*VLOOKUP(N1222,MgDeg,2,0),0)</f>
        <v/>
      </c>
      <c r="R1222" s="29">
        <f>IFERROR(VLOOKUP(L1222,MgValor,2,0)*VLOOKUP(O1222,MgDeg,2,0),0)</f>
        <v/>
      </c>
      <c r="S1222" s="29">
        <f>IFERROR(VLOOKUP(M1222,MgValor,2,0)*VLOOKUP(P1222,MgDeg,2,0),0)</f>
        <v/>
      </c>
      <c r="T1222" s="30">
        <f>MAX(Q1222:S1222)</f>
        <v/>
      </c>
      <c r="U1222" s="28">
        <f>IFERROR(LOOKUP(T1222,{0;0.5;1.5;3;4.5},{"Despreciable";"Bajo";"Medio";"Alto";"Muy alto"}),"")</f>
        <v/>
      </c>
      <c r="V1222" s="13">
        <f>IFERROR(INDEX(MgAmenFrec,MATCH(SUBSTITUTE($H1222,"*","-"),MgAmenClave,0)),"")</f>
        <v/>
      </c>
      <c r="W1222" s="28">
        <f>IFERROR(LOOKUP(X1222,{0;0.01;0.1;1;10;100},{"Muy baja";"Muy baja";"Baja";"Media";"Alta";"Muy alta"}),"")</f>
        <v/>
      </c>
      <c r="X1222" s="31">
        <f>IFERROR(VLOOKUP(V1222,MgFrec,2,0),0)</f>
        <v/>
      </c>
      <c r="Y1222" s="30">
        <f>T1222*X1222</f>
        <v/>
      </c>
      <c r="Z1222" s="28">
        <f>IFERROR(LOOKUP(Y1222,{0;0.5;5;25},{"Bajo";"Medio";"Alto";"Crítico"}),"")</f>
        <v/>
      </c>
      <c r="AA1222" s="64">
        <f>IF(T1222&gt;=3,IF(X1222&gt;=1,"Zona 1 — Crítica: impacto alto y ocurre al menos una vez al año","Zona 4 — Catastrófica poco probable: impacto alto pero excepcional"),IF(AND(T1222&lt;1.5,X1222&lt;1),"Zona 3 — Asumible: impacto bajo y muy poco frecuente","Zona 2 — Atención: riesgo intermedio"))</f>
        <v/>
      </c>
      <c r="AB1222" s="64">
        <f>IFERROR(INDEX(MgAmenCtrl,MATCH(SUBSTITUTE($H1222,"*","-"),MgAmenClave,0)),"")</f>
        <v/>
      </c>
      <c r="AC1222" s="20" t="n"/>
      <c r="AD1222" s="31">
        <f>IFERROR($X1222*(1-IF($AC1222="",$AL1222,VLOOKUP($AC1222,MgMad,2,0))),"")</f>
        <v/>
      </c>
      <c r="AE1222" s="28">
        <f>IFERROR(LOOKUP(AD1222,{0;0.01;0.1;1;10;100},{"Muy baja";"Muy baja";"Baja";"Media";"Alta";"Muy alta"}),"")</f>
        <v/>
      </c>
      <c r="AF1222" s="30">
        <f>T1222*AD1222</f>
        <v/>
      </c>
      <c r="AG1222" s="28">
        <f>IFERROR(LOOKUP(AF1222,{0;0.5;5;25},{"Bajo";"Medio";"Alto";"Crítico"}),"")</f>
        <v/>
      </c>
      <c r="AH1222" s="28">
        <f>IF(AG1222="","",IF(OR(AG1222="Crítico",AG1222="Alto"),"Mitigar",IF(AG1222="Medio","Mitigar","Aceptar y monitorear")))</f>
        <v/>
      </c>
      <c r="AI1222" s="21" t="n"/>
      <c r="AJ1222" s="21" t="n"/>
      <c r="AK1222" s="20" t="n"/>
      <c r="AL1222" s="77">
        <f>IFERROR(INDEX(MgAmenEfic,MATCH(SUBSTITUTE($H1222,"*","-"),MgAmenClave,0)),0)</f>
        <v/>
      </c>
    </row>
    <row r="1223" hidden="1" ht="90" customHeight="1" s="54">
      <c r="B1223" s="59" t="inlineStr">
        <is>
          <t>R-1218</t>
        </is>
      </c>
      <c r="C1223" s="59" t="inlineStr">
        <is>
          <t>GH-038</t>
        </is>
      </c>
      <c r="D1223" s="64">
        <f>IFERROR(INDEX(MgNombre,MATCH($C1223,MgActId,0)),"")</f>
        <v/>
      </c>
      <c r="E1223" s="64">
        <f>IFERROR(INDEX(MgProceso,MATCH($C1223,MgActId,0)),"")</f>
        <v/>
      </c>
      <c r="F1223" s="64">
        <f>IFERROR(INDEX(MgTipo,MATCH($C1223,MgActId,0)),"")</f>
        <v/>
      </c>
      <c r="G1223" s="64">
        <f>IFERROR(INDEX(MgSubtipo,MATCH($C1223,MgActId,0)),"")</f>
        <v/>
      </c>
      <c r="H1223" s="59" t="inlineStr">
        <is>
          <t>E.15</t>
        </is>
      </c>
      <c r="I1223" s="64">
        <f>IFERROR(INDEX(MgAmenNombre,MATCH(SUBSTITUTE($H1223,"*","-"),MgAmenClave,0)),"")</f>
        <v/>
      </c>
      <c r="J1223" s="28">
        <f>IFERROR(INDEX(MgAmenGrupo,MATCH(SUBSTITUTE($H1223,"*","-"),MgAmenClave,0)),"")</f>
        <v/>
      </c>
      <c r="K1223" s="64">
        <f>IFERROR(INDEX('1. Matriz de Activos'!$Q$6:$Q$239,MATCH($C1223,MgActId,0)),"")</f>
        <v/>
      </c>
      <c r="L1223" s="64">
        <f>IFERROR(INDEX('1. Matriz de Activos'!$R$6:$R$239,MATCH($C1223,MgActId,0)),"")</f>
        <v/>
      </c>
      <c r="M1223" s="64">
        <f>IFERROR(INDEX('1. Matriz de Activos'!$S$6:$S$239,MATCH($C1223,MgActId,0)),"")</f>
        <v/>
      </c>
      <c r="N1223" s="28">
        <f>IFERROR(INDEX(MgAmenDegD,MATCH(SUBSTITUTE($H1223,"*","-"),MgAmenClave,0)),"No aplica")</f>
        <v/>
      </c>
      <c r="O1223" s="28">
        <f>IFERROR(INDEX(MgAmenDegI,MATCH(SUBSTITUTE($H1223,"*","-"),MgAmenClave,0)),"No aplica")</f>
        <v/>
      </c>
      <c r="P1223" s="28">
        <f>IFERROR(INDEX(MgAmenDegC,MATCH(SUBSTITUTE($H1223,"*","-"),MgAmenClave,0)),"No aplica")</f>
        <v/>
      </c>
      <c r="Q1223" s="29">
        <f>IFERROR(VLOOKUP(K1223,MgValor,2,0)*VLOOKUP(N1223,MgDeg,2,0),0)</f>
        <v/>
      </c>
      <c r="R1223" s="29">
        <f>IFERROR(VLOOKUP(L1223,MgValor,2,0)*VLOOKUP(O1223,MgDeg,2,0),0)</f>
        <v/>
      </c>
      <c r="S1223" s="29">
        <f>IFERROR(VLOOKUP(M1223,MgValor,2,0)*VLOOKUP(P1223,MgDeg,2,0),0)</f>
        <v/>
      </c>
      <c r="T1223" s="30">
        <f>MAX(Q1223:S1223)</f>
        <v/>
      </c>
      <c r="U1223" s="28">
        <f>IFERROR(LOOKUP(T1223,{0;0.5;1.5;3;4.5},{"Despreciable";"Bajo";"Medio";"Alto";"Muy alto"}),"")</f>
        <v/>
      </c>
      <c r="V1223" s="13">
        <f>IFERROR(INDEX(MgAmenFrec,MATCH(SUBSTITUTE($H1223,"*","-"),MgAmenClave,0)),"")</f>
        <v/>
      </c>
      <c r="W1223" s="28">
        <f>IFERROR(LOOKUP(X1223,{0;0.01;0.1;1;10;100},{"Muy baja";"Muy baja";"Baja";"Media";"Alta";"Muy alta"}),"")</f>
        <v/>
      </c>
      <c r="X1223" s="31">
        <f>IFERROR(VLOOKUP(V1223,MgFrec,2,0),0)</f>
        <v/>
      </c>
      <c r="Y1223" s="30">
        <f>T1223*X1223</f>
        <v/>
      </c>
      <c r="Z1223" s="28">
        <f>IFERROR(LOOKUP(Y1223,{0;0.5;5;25},{"Bajo";"Medio";"Alto";"Crítico"}),"")</f>
        <v/>
      </c>
      <c r="AA1223" s="64">
        <f>IF(T1223&gt;=3,IF(X1223&gt;=1,"Zona 1 — Crítica: impacto alto y ocurre al menos una vez al año","Zona 4 — Catastrófica poco probable: impacto alto pero excepcional"),IF(AND(T1223&lt;1.5,X1223&lt;1),"Zona 3 — Asumible: impacto bajo y muy poco frecuente","Zona 2 — Atención: riesgo intermedio"))</f>
        <v/>
      </c>
      <c r="AB1223" s="64">
        <f>IFERROR(INDEX(MgAmenCtrl,MATCH(SUBSTITUTE($H1223,"*","-"),MgAmenClave,0)),"")</f>
        <v/>
      </c>
      <c r="AC1223" s="20" t="n"/>
      <c r="AD1223" s="31">
        <f>IFERROR($X1223*(1-IF($AC1223="",$AL1223,VLOOKUP($AC1223,MgMad,2,0))),"")</f>
        <v/>
      </c>
      <c r="AE1223" s="28">
        <f>IFERROR(LOOKUP(AD1223,{0;0.01;0.1;1;10;100},{"Muy baja";"Muy baja";"Baja";"Media";"Alta";"Muy alta"}),"")</f>
        <v/>
      </c>
      <c r="AF1223" s="30">
        <f>T1223*AD1223</f>
        <v/>
      </c>
      <c r="AG1223" s="28">
        <f>IFERROR(LOOKUP(AF1223,{0;0.5;5;25},{"Bajo";"Medio";"Alto";"Crítico"}),"")</f>
        <v/>
      </c>
      <c r="AH1223" s="28">
        <f>IF(AG1223="","",IF(OR(AG1223="Crítico",AG1223="Alto"),"Mitigar",IF(AG1223="Medio","Mitigar","Aceptar y monitorear")))</f>
        <v/>
      </c>
      <c r="AI1223" s="21" t="n"/>
      <c r="AJ1223" s="21" t="n"/>
      <c r="AK1223" s="20" t="n"/>
      <c r="AL1223" s="77">
        <f>IFERROR(INDEX(MgAmenEfic,MATCH(SUBSTITUTE($H1223,"*","-"),MgAmenClave,0)),0)</f>
        <v/>
      </c>
    </row>
    <row r="1224" hidden="1" ht="60" customHeight="1" s="54">
      <c r="B1224" s="59" t="inlineStr">
        <is>
          <t>R-1219</t>
        </is>
      </c>
      <c r="C1224" s="59" t="inlineStr">
        <is>
          <t>GH-038</t>
        </is>
      </c>
      <c r="D1224" s="64">
        <f>IFERROR(INDEX(MgNombre,MATCH($C1224,MgActId,0)),"")</f>
        <v/>
      </c>
      <c r="E1224" s="64">
        <f>IFERROR(INDEX(MgProceso,MATCH($C1224,MgActId,0)),"")</f>
        <v/>
      </c>
      <c r="F1224" s="64">
        <f>IFERROR(INDEX(MgTipo,MATCH($C1224,MgActId,0)),"")</f>
        <v/>
      </c>
      <c r="G1224" s="64">
        <f>IFERROR(INDEX(MgSubtipo,MATCH($C1224,MgActId,0)),"")</f>
        <v/>
      </c>
      <c r="H1224" s="59" t="inlineStr">
        <is>
          <t>E.18</t>
        </is>
      </c>
      <c r="I1224" s="64">
        <f>IFERROR(INDEX(MgAmenNombre,MATCH(SUBSTITUTE($H1224,"*","-"),MgAmenClave,0)),"")</f>
        <v/>
      </c>
      <c r="J1224" s="28">
        <f>IFERROR(INDEX(MgAmenGrupo,MATCH(SUBSTITUTE($H1224,"*","-"),MgAmenClave,0)),"")</f>
        <v/>
      </c>
      <c r="K1224" s="64">
        <f>IFERROR(INDEX('1. Matriz de Activos'!$Q$6:$Q$239,MATCH($C1224,MgActId,0)),"")</f>
        <v/>
      </c>
      <c r="L1224" s="64">
        <f>IFERROR(INDEX('1. Matriz de Activos'!$R$6:$R$239,MATCH($C1224,MgActId,0)),"")</f>
        <v/>
      </c>
      <c r="M1224" s="64">
        <f>IFERROR(INDEX('1. Matriz de Activos'!$S$6:$S$239,MATCH($C1224,MgActId,0)),"")</f>
        <v/>
      </c>
      <c r="N1224" s="28">
        <f>IFERROR(INDEX(MgAmenDegD,MATCH(SUBSTITUTE($H1224,"*","-"),MgAmenClave,0)),"No aplica")</f>
        <v/>
      </c>
      <c r="O1224" s="28">
        <f>IFERROR(INDEX(MgAmenDegI,MATCH(SUBSTITUTE($H1224,"*","-"),MgAmenClave,0)),"No aplica")</f>
        <v/>
      </c>
      <c r="P1224" s="28">
        <f>IFERROR(INDEX(MgAmenDegC,MATCH(SUBSTITUTE($H1224,"*","-"),MgAmenClave,0)),"No aplica")</f>
        <v/>
      </c>
      <c r="Q1224" s="29">
        <f>IFERROR(VLOOKUP(K1224,MgValor,2,0)*VLOOKUP(N1224,MgDeg,2,0),0)</f>
        <v/>
      </c>
      <c r="R1224" s="29">
        <f>IFERROR(VLOOKUP(L1224,MgValor,2,0)*VLOOKUP(O1224,MgDeg,2,0),0)</f>
        <v/>
      </c>
      <c r="S1224" s="29">
        <f>IFERROR(VLOOKUP(M1224,MgValor,2,0)*VLOOKUP(P1224,MgDeg,2,0),0)</f>
        <v/>
      </c>
      <c r="T1224" s="30">
        <f>MAX(Q1224:S1224)</f>
        <v/>
      </c>
      <c r="U1224" s="28">
        <f>IFERROR(LOOKUP(T1224,{0;0.5;1.5;3;4.5},{"Despreciable";"Bajo";"Medio";"Alto";"Muy alto"}),"")</f>
        <v/>
      </c>
      <c r="V1224" s="13">
        <f>IFERROR(INDEX(MgAmenFrec,MATCH(SUBSTITUTE($H1224,"*","-"),MgAmenClave,0)),"")</f>
        <v/>
      </c>
      <c r="W1224" s="28">
        <f>IFERROR(LOOKUP(X1224,{0;0.01;0.1;1;10;100},{"Muy baja";"Muy baja";"Baja";"Media";"Alta";"Muy alta"}),"")</f>
        <v/>
      </c>
      <c r="X1224" s="31">
        <f>IFERROR(VLOOKUP(V1224,MgFrec,2,0),0)</f>
        <v/>
      </c>
      <c r="Y1224" s="30">
        <f>T1224*X1224</f>
        <v/>
      </c>
      <c r="Z1224" s="28">
        <f>IFERROR(LOOKUP(Y1224,{0;0.5;5;25},{"Bajo";"Medio";"Alto";"Crítico"}),"")</f>
        <v/>
      </c>
      <c r="AA1224" s="64">
        <f>IF(T1224&gt;=3,IF(X1224&gt;=1,"Zona 1 — Crítica: impacto alto y ocurre al menos una vez al año","Zona 4 — Catastrófica poco probable: impacto alto pero excepcional"),IF(AND(T1224&lt;1.5,X1224&lt;1),"Zona 3 — Asumible: impacto bajo y muy poco frecuente","Zona 2 — Atención: riesgo intermedio"))</f>
        <v/>
      </c>
      <c r="AB1224" s="64">
        <f>IFERROR(INDEX(MgAmenCtrl,MATCH(SUBSTITUTE($H1224,"*","-"),MgAmenClave,0)),"")</f>
        <v/>
      </c>
      <c r="AC1224" s="20" t="n"/>
      <c r="AD1224" s="31">
        <f>IFERROR($X1224*(1-IF($AC1224="",$AL1224,VLOOKUP($AC1224,MgMad,2,0))),"")</f>
        <v/>
      </c>
      <c r="AE1224" s="28">
        <f>IFERROR(LOOKUP(AD1224,{0;0.01;0.1;1;10;100},{"Muy baja";"Muy baja";"Baja";"Media";"Alta";"Muy alta"}),"")</f>
        <v/>
      </c>
      <c r="AF1224" s="30">
        <f>T1224*AD1224</f>
        <v/>
      </c>
      <c r="AG1224" s="28">
        <f>IFERROR(LOOKUP(AF1224,{0;0.5;5;25},{"Bajo";"Medio";"Alto";"Crítico"}),"")</f>
        <v/>
      </c>
      <c r="AH1224" s="28">
        <f>IF(AG1224="","",IF(OR(AG1224="Crítico",AG1224="Alto"),"Mitigar",IF(AG1224="Medio","Mitigar","Aceptar y monitorear")))</f>
        <v/>
      </c>
      <c r="AI1224" s="21" t="n"/>
      <c r="AJ1224" s="21" t="n"/>
      <c r="AK1224" s="20" t="n"/>
      <c r="AL1224" s="77">
        <f>IFERROR(INDEX(MgAmenEfic,MATCH(SUBSTITUTE($H1224,"*","-"),MgAmenClave,0)),0)</f>
        <v/>
      </c>
    </row>
    <row r="1225" hidden="1" ht="105" customHeight="1" s="54">
      <c r="B1225" s="59" t="inlineStr">
        <is>
          <t>R-1220</t>
        </is>
      </c>
      <c r="C1225" s="59" t="inlineStr">
        <is>
          <t>GH-038</t>
        </is>
      </c>
      <c r="D1225" s="64">
        <f>IFERROR(INDEX(MgNombre,MATCH($C1225,MgActId,0)),"")</f>
        <v/>
      </c>
      <c r="E1225" s="64">
        <f>IFERROR(INDEX(MgProceso,MATCH($C1225,MgActId,0)),"")</f>
        <v/>
      </c>
      <c r="F1225" s="64">
        <f>IFERROR(INDEX(MgTipo,MATCH($C1225,MgActId,0)),"")</f>
        <v/>
      </c>
      <c r="G1225" s="64">
        <f>IFERROR(INDEX(MgSubtipo,MATCH($C1225,MgActId,0)),"")</f>
        <v/>
      </c>
      <c r="H1225" s="59" t="inlineStr">
        <is>
          <t>E.19</t>
        </is>
      </c>
      <c r="I1225" s="64">
        <f>IFERROR(INDEX(MgAmenNombre,MATCH(SUBSTITUTE($H1225,"*","-"),MgAmenClave,0)),"")</f>
        <v/>
      </c>
      <c r="J1225" s="28">
        <f>IFERROR(INDEX(MgAmenGrupo,MATCH(SUBSTITUTE($H1225,"*","-"),MgAmenClave,0)),"")</f>
        <v/>
      </c>
      <c r="K1225" s="64">
        <f>IFERROR(INDEX('1. Matriz de Activos'!$Q$6:$Q$239,MATCH($C1225,MgActId,0)),"")</f>
        <v/>
      </c>
      <c r="L1225" s="64">
        <f>IFERROR(INDEX('1. Matriz de Activos'!$R$6:$R$239,MATCH($C1225,MgActId,0)),"")</f>
        <v/>
      </c>
      <c r="M1225" s="64">
        <f>IFERROR(INDEX('1. Matriz de Activos'!$S$6:$S$239,MATCH($C1225,MgActId,0)),"")</f>
        <v/>
      </c>
      <c r="N1225" s="28">
        <f>IFERROR(INDEX(MgAmenDegD,MATCH(SUBSTITUTE($H1225,"*","-"),MgAmenClave,0)),"No aplica")</f>
        <v/>
      </c>
      <c r="O1225" s="28">
        <f>IFERROR(INDEX(MgAmenDegI,MATCH(SUBSTITUTE($H1225,"*","-"),MgAmenClave,0)),"No aplica")</f>
        <v/>
      </c>
      <c r="P1225" s="28">
        <f>IFERROR(INDEX(MgAmenDegC,MATCH(SUBSTITUTE($H1225,"*","-"),MgAmenClave,0)),"No aplica")</f>
        <v/>
      </c>
      <c r="Q1225" s="29">
        <f>IFERROR(VLOOKUP(K1225,MgValor,2,0)*VLOOKUP(N1225,MgDeg,2,0),0)</f>
        <v/>
      </c>
      <c r="R1225" s="29">
        <f>IFERROR(VLOOKUP(L1225,MgValor,2,0)*VLOOKUP(O1225,MgDeg,2,0),0)</f>
        <v/>
      </c>
      <c r="S1225" s="29">
        <f>IFERROR(VLOOKUP(M1225,MgValor,2,0)*VLOOKUP(P1225,MgDeg,2,0),0)</f>
        <v/>
      </c>
      <c r="T1225" s="30">
        <f>MAX(Q1225:S1225)</f>
        <v/>
      </c>
      <c r="U1225" s="28">
        <f>IFERROR(LOOKUP(T1225,{0;0.5;1.5;3;4.5},{"Despreciable";"Bajo";"Medio";"Alto";"Muy alto"}),"")</f>
        <v/>
      </c>
      <c r="V1225" s="13">
        <f>IFERROR(INDEX(MgAmenFrec,MATCH(SUBSTITUTE($H1225,"*","-"),MgAmenClave,0)),"")</f>
        <v/>
      </c>
      <c r="W1225" s="28">
        <f>IFERROR(LOOKUP(X1225,{0;0.01;0.1;1;10;100},{"Muy baja";"Muy baja";"Baja";"Media";"Alta";"Muy alta"}),"")</f>
        <v/>
      </c>
      <c r="X1225" s="31">
        <f>IFERROR(VLOOKUP(V1225,MgFrec,2,0),0)</f>
        <v/>
      </c>
      <c r="Y1225" s="30">
        <f>T1225*X1225</f>
        <v/>
      </c>
      <c r="Z1225" s="28">
        <f>IFERROR(LOOKUP(Y1225,{0;0.5;5;25},{"Bajo";"Medio";"Alto";"Crítico"}),"")</f>
        <v/>
      </c>
      <c r="AA1225" s="64">
        <f>IF(T1225&gt;=3,IF(X1225&gt;=1,"Zona 1 — Crítica: impacto alto y ocurre al menos una vez al año","Zona 4 — Catastrófica poco probable: impacto alto pero excepcional"),IF(AND(T1225&lt;1.5,X1225&lt;1),"Zona 3 — Asumible: impacto bajo y muy poco frecuente","Zona 2 — Atención: riesgo intermedio"))</f>
        <v/>
      </c>
      <c r="AB1225" s="64">
        <f>IFERROR(INDEX(MgAmenCtrl,MATCH(SUBSTITUTE($H1225,"*","-"),MgAmenClave,0)),"")</f>
        <v/>
      </c>
      <c r="AC1225" s="20" t="n"/>
      <c r="AD1225" s="31">
        <f>IFERROR($X1225*(1-IF($AC1225="",$AL1225,VLOOKUP($AC1225,MgMad,2,0))),"")</f>
        <v/>
      </c>
      <c r="AE1225" s="28">
        <f>IFERROR(LOOKUP(AD1225,{0;0.01;0.1;1;10;100},{"Muy baja";"Muy baja";"Baja";"Media";"Alta";"Muy alta"}),"")</f>
        <v/>
      </c>
      <c r="AF1225" s="30">
        <f>T1225*AD1225</f>
        <v/>
      </c>
      <c r="AG1225" s="28">
        <f>IFERROR(LOOKUP(AF1225,{0;0.5;5;25},{"Bajo";"Medio";"Alto";"Crítico"}),"")</f>
        <v/>
      </c>
      <c r="AH1225" s="28">
        <f>IF(AG1225="","",IF(OR(AG1225="Crítico",AG1225="Alto"),"Mitigar",IF(AG1225="Medio","Mitigar","Aceptar y monitorear")))</f>
        <v/>
      </c>
      <c r="AI1225" s="21" t="n"/>
      <c r="AJ1225" s="21" t="n"/>
      <c r="AK1225" s="20" t="n"/>
      <c r="AL1225" s="77">
        <f>IFERROR(INDEX(MgAmenEfic,MATCH(SUBSTITUTE($H1225,"*","-"),MgAmenClave,0)),0)</f>
        <v/>
      </c>
    </row>
    <row r="1226" hidden="1" ht="60" customHeight="1" s="54">
      <c r="B1226" s="59" t="inlineStr">
        <is>
          <t>R-1221</t>
        </is>
      </c>
      <c r="C1226" s="59" t="inlineStr">
        <is>
          <t>GH-038</t>
        </is>
      </c>
      <c r="D1226" s="64">
        <f>IFERROR(INDEX(MgNombre,MATCH($C1226,MgActId,0)),"")</f>
        <v/>
      </c>
      <c r="E1226" s="64">
        <f>IFERROR(INDEX(MgProceso,MATCH($C1226,MgActId,0)),"")</f>
        <v/>
      </c>
      <c r="F1226" s="64">
        <f>IFERROR(INDEX(MgTipo,MATCH($C1226,MgActId,0)),"")</f>
        <v/>
      </c>
      <c r="G1226" s="64">
        <f>IFERROR(INDEX(MgSubtipo,MATCH($C1226,MgActId,0)),"")</f>
        <v/>
      </c>
      <c r="H1226" s="59" t="inlineStr">
        <is>
          <t>A.3</t>
        </is>
      </c>
      <c r="I1226" s="64">
        <f>IFERROR(INDEX(MgAmenNombre,MATCH(SUBSTITUTE($H1226,"*","-"),MgAmenClave,0)),"")</f>
        <v/>
      </c>
      <c r="J1226" s="28">
        <f>IFERROR(INDEX(MgAmenGrupo,MATCH(SUBSTITUTE($H1226,"*","-"),MgAmenClave,0)),"")</f>
        <v/>
      </c>
      <c r="K1226" s="64">
        <f>IFERROR(INDEX('1. Matriz de Activos'!$Q$6:$Q$239,MATCH($C1226,MgActId,0)),"")</f>
        <v/>
      </c>
      <c r="L1226" s="64">
        <f>IFERROR(INDEX('1. Matriz de Activos'!$R$6:$R$239,MATCH($C1226,MgActId,0)),"")</f>
        <v/>
      </c>
      <c r="M1226" s="64">
        <f>IFERROR(INDEX('1. Matriz de Activos'!$S$6:$S$239,MATCH($C1226,MgActId,0)),"")</f>
        <v/>
      </c>
      <c r="N1226" s="28">
        <f>IFERROR(INDEX(MgAmenDegD,MATCH(SUBSTITUTE($H1226,"*","-"),MgAmenClave,0)),"No aplica")</f>
        <v/>
      </c>
      <c r="O1226" s="28">
        <f>IFERROR(INDEX(MgAmenDegI,MATCH(SUBSTITUTE($H1226,"*","-"),MgAmenClave,0)),"No aplica")</f>
        <v/>
      </c>
      <c r="P1226" s="28">
        <f>IFERROR(INDEX(MgAmenDegC,MATCH(SUBSTITUTE($H1226,"*","-"),MgAmenClave,0)),"No aplica")</f>
        <v/>
      </c>
      <c r="Q1226" s="29">
        <f>IFERROR(VLOOKUP(K1226,MgValor,2,0)*VLOOKUP(N1226,MgDeg,2,0),0)</f>
        <v/>
      </c>
      <c r="R1226" s="29">
        <f>IFERROR(VLOOKUP(L1226,MgValor,2,0)*VLOOKUP(O1226,MgDeg,2,0),0)</f>
        <v/>
      </c>
      <c r="S1226" s="29">
        <f>IFERROR(VLOOKUP(M1226,MgValor,2,0)*VLOOKUP(P1226,MgDeg,2,0),0)</f>
        <v/>
      </c>
      <c r="T1226" s="30">
        <f>MAX(Q1226:S1226)</f>
        <v/>
      </c>
      <c r="U1226" s="28">
        <f>IFERROR(LOOKUP(T1226,{0;0.5;1.5;3;4.5},{"Despreciable";"Bajo";"Medio";"Alto";"Muy alto"}),"")</f>
        <v/>
      </c>
      <c r="V1226" s="13">
        <f>IFERROR(INDEX(MgAmenFrec,MATCH(SUBSTITUTE($H1226,"*","-"),MgAmenClave,0)),"")</f>
        <v/>
      </c>
      <c r="W1226" s="28">
        <f>IFERROR(LOOKUP(X1226,{0;0.01;0.1;1;10;100},{"Muy baja";"Muy baja";"Baja";"Media";"Alta";"Muy alta"}),"")</f>
        <v/>
      </c>
      <c r="X1226" s="31">
        <f>IFERROR(VLOOKUP(V1226,MgFrec,2,0),0)</f>
        <v/>
      </c>
      <c r="Y1226" s="30">
        <f>T1226*X1226</f>
        <v/>
      </c>
      <c r="Z1226" s="28">
        <f>IFERROR(LOOKUP(Y1226,{0;0.5;5;25},{"Bajo";"Medio";"Alto";"Crítico"}),"")</f>
        <v/>
      </c>
      <c r="AA1226" s="64">
        <f>IF(T1226&gt;=3,IF(X1226&gt;=1,"Zona 1 — Crítica: impacto alto y ocurre al menos una vez al año","Zona 4 — Catastrófica poco probable: impacto alto pero excepcional"),IF(AND(T1226&lt;1.5,X1226&lt;1),"Zona 3 — Asumible: impacto bajo y muy poco frecuente","Zona 2 — Atención: riesgo intermedio"))</f>
        <v/>
      </c>
      <c r="AB1226" s="64">
        <f>IFERROR(INDEX(MgAmenCtrl,MATCH(SUBSTITUTE($H1226,"*","-"),MgAmenClave,0)),"")</f>
        <v/>
      </c>
      <c r="AC1226" s="20" t="n"/>
      <c r="AD1226" s="31">
        <f>IFERROR($X1226*(1-IF($AC1226="",$AL1226,VLOOKUP($AC1226,MgMad,2,0))),"")</f>
        <v/>
      </c>
      <c r="AE1226" s="28">
        <f>IFERROR(LOOKUP(AD1226,{0;0.01;0.1;1;10;100},{"Muy baja";"Muy baja";"Baja";"Media";"Alta";"Muy alta"}),"")</f>
        <v/>
      </c>
      <c r="AF1226" s="30">
        <f>T1226*AD1226</f>
        <v/>
      </c>
      <c r="AG1226" s="28">
        <f>IFERROR(LOOKUP(AF1226,{0;0.5;5;25},{"Bajo";"Medio";"Alto";"Crítico"}),"")</f>
        <v/>
      </c>
      <c r="AH1226" s="28">
        <f>IF(AG1226="","",IF(OR(AG1226="Crítico",AG1226="Alto"),"Mitigar",IF(AG1226="Medio","Mitigar","Aceptar y monitorear")))</f>
        <v/>
      </c>
      <c r="AI1226" s="21" t="n"/>
      <c r="AJ1226" s="21" t="n"/>
      <c r="AK1226" s="20" t="n"/>
      <c r="AL1226" s="77">
        <f>IFERROR(INDEX(MgAmenEfic,MATCH(SUBSTITUTE($H1226,"*","-"),MgAmenClave,0)),0)</f>
        <v/>
      </c>
    </row>
    <row r="1227" hidden="1" ht="60" customHeight="1" s="54">
      <c r="B1227" s="59" t="inlineStr">
        <is>
          <t>R-1222</t>
        </is>
      </c>
      <c r="C1227" s="59" t="inlineStr">
        <is>
          <t>GH-038</t>
        </is>
      </c>
      <c r="D1227" s="64">
        <f>IFERROR(INDEX(MgNombre,MATCH($C1227,MgActId,0)),"")</f>
        <v/>
      </c>
      <c r="E1227" s="64">
        <f>IFERROR(INDEX(MgProceso,MATCH($C1227,MgActId,0)),"")</f>
        <v/>
      </c>
      <c r="F1227" s="64">
        <f>IFERROR(INDEX(MgTipo,MATCH($C1227,MgActId,0)),"")</f>
        <v/>
      </c>
      <c r="G1227" s="64">
        <f>IFERROR(INDEX(MgSubtipo,MATCH($C1227,MgActId,0)),"")</f>
        <v/>
      </c>
      <c r="H1227" s="59" t="inlineStr">
        <is>
          <t>A.4</t>
        </is>
      </c>
      <c r="I1227" s="64">
        <f>IFERROR(INDEX(MgAmenNombre,MATCH(SUBSTITUTE($H1227,"*","-"),MgAmenClave,0)),"")</f>
        <v/>
      </c>
      <c r="J1227" s="28">
        <f>IFERROR(INDEX(MgAmenGrupo,MATCH(SUBSTITUTE($H1227,"*","-"),MgAmenClave,0)),"")</f>
        <v/>
      </c>
      <c r="K1227" s="64">
        <f>IFERROR(INDEX('1. Matriz de Activos'!$Q$6:$Q$239,MATCH($C1227,MgActId,0)),"")</f>
        <v/>
      </c>
      <c r="L1227" s="64">
        <f>IFERROR(INDEX('1. Matriz de Activos'!$R$6:$R$239,MATCH($C1227,MgActId,0)),"")</f>
        <v/>
      </c>
      <c r="M1227" s="64">
        <f>IFERROR(INDEX('1. Matriz de Activos'!$S$6:$S$239,MATCH($C1227,MgActId,0)),"")</f>
        <v/>
      </c>
      <c r="N1227" s="28">
        <f>IFERROR(INDEX(MgAmenDegD,MATCH(SUBSTITUTE($H1227,"*","-"),MgAmenClave,0)),"No aplica")</f>
        <v/>
      </c>
      <c r="O1227" s="28">
        <f>IFERROR(INDEX(MgAmenDegI,MATCH(SUBSTITUTE($H1227,"*","-"),MgAmenClave,0)),"No aplica")</f>
        <v/>
      </c>
      <c r="P1227" s="28">
        <f>IFERROR(INDEX(MgAmenDegC,MATCH(SUBSTITUTE($H1227,"*","-"),MgAmenClave,0)),"No aplica")</f>
        <v/>
      </c>
      <c r="Q1227" s="29">
        <f>IFERROR(VLOOKUP(K1227,MgValor,2,0)*VLOOKUP(N1227,MgDeg,2,0),0)</f>
        <v/>
      </c>
      <c r="R1227" s="29">
        <f>IFERROR(VLOOKUP(L1227,MgValor,2,0)*VLOOKUP(O1227,MgDeg,2,0),0)</f>
        <v/>
      </c>
      <c r="S1227" s="29">
        <f>IFERROR(VLOOKUP(M1227,MgValor,2,0)*VLOOKUP(P1227,MgDeg,2,0),0)</f>
        <v/>
      </c>
      <c r="T1227" s="30">
        <f>MAX(Q1227:S1227)</f>
        <v/>
      </c>
      <c r="U1227" s="28">
        <f>IFERROR(LOOKUP(T1227,{0;0.5;1.5;3;4.5},{"Despreciable";"Bajo";"Medio";"Alto";"Muy alto"}),"")</f>
        <v/>
      </c>
      <c r="V1227" s="13">
        <f>IFERROR(INDEX(MgAmenFrec,MATCH(SUBSTITUTE($H1227,"*","-"),MgAmenClave,0)),"")</f>
        <v/>
      </c>
      <c r="W1227" s="28">
        <f>IFERROR(LOOKUP(X1227,{0;0.01;0.1;1;10;100},{"Muy baja";"Muy baja";"Baja";"Media";"Alta";"Muy alta"}),"")</f>
        <v/>
      </c>
      <c r="X1227" s="31">
        <f>IFERROR(VLOOKUP(V1227,MgFrec,2,0),0)</f>
        <v/>
      </c>
      <c r="Y1227" s="30">
        <f>T1227*X1227</f>
        <v/>
      </c>
      <c r="Z1227" s="28">
        <f>IFERROR(LOOKUP(Y1227,{0;0.5;5;25},{"Bajo";"Medio";"Alto";"Crítico"}),"")</f>
        <v/>
      </c>
      <c r="AA1227" s="64">
        <f>IF(T1227&gt;=3,IF(X1227&gt;=1,"Zona 1 — Crítica: impacto alto y ocurre al menos una vez al año","Zona 4 — Catastrófica poco probable: impacto alto pero excepcional"),IF(AND(T1227&lt;1.5,X1227&lt;1),"Zona 3 — Asumible: impacto bajo y muy poco frecuente","Zona 2 — Atención: riesgo intermedio"))</f>
        <v/>
      </c>
      <c r="AB1227" s="64">
        <f>IFERROR(INDEX(MgAmenCtrl,MATCH(SUBSTITUTE($H1227,"*","-"),MgAmenClave,0)),"")</f>
        <v/>
      </c>
      <c r="AC1227" s="20" t="n"/>
      <c r="AD1227" s="31">
        <f>IFERROR($X1227*(1-IF($AC1227="",$AL1227,VLOOKUP($AC1227,MgMad,2,0))),"")</f>
        <v/>
      </c>
      <c r="AE1227" s="28">
        <f>IFERROR(LOOKUP(AD1227,{0;0.01;0.1;1;10;100},{"Muy baja";"Muy baja";"Baja";"Media";"Alta";"Muy alta"}),"")</f>
        <v/>
      </c>
      <c r="AF1227" s="30">
        <f>T1227*AD1227</f>
        <v/>
      </c>
      <c r="AG1227" s="28">
        <f>IFERROR(LOOKUP(AF1227,{0;0.5;5;25},{"Bajo";"Medio";"Alto";"Crítico"}),"")</f>
        <v/>
      </c>
      <c r="AH1227" s="28">
        <f>IF(AG1227="","",IF(OR(AG1227="Crítico",AG1227="Alto"),"Mitigar",IF(AG1227="Medio","Mitigar","Aceptar y monitorear")))</f>
        <v/>
      </c>
      <c r="AI1227" s="21" t="n"/>
      <c r="AJ1227" s="21" t="n"/>
      <c r="AK1227" s="20" t="n"/>
      <c r="AL1227" s="77">
        <f>IFERROR(INDEX(MgAmenEfic,MATCH(SUBSTITUTE($H1227,"*","-"),MgAmenClave,0)),0)</f>
        <v/>
      </c>
    </row>
    <row r="1228" hidden="1" ht="75" customHeight="1" s="54">
      <c r="B1228" s="59" t="inlineStr">
        <is>
          <t>R-1223</t>
        </is>
      </c>
      <c r="C1228" s="59" t="inlineStr">
        <is>
          <t>GH-038</t>
        </is>
      </c>
      <c r="D1228" s="64">
        <f>IFERROR(INDEX(MgNombre,MATCH($C1228,MgActId,0)),"")</f>
        <v/>
      </c>
      <c r="E1228" s="64">
        <f>IFERROR(INDEX(MgProceso,MATCH($C1228,MgActId,0)),"")</f>
        <v/>
      </c>
      <c r="F1228" s="64">
        <f>IFERROR(INDEX(MgTipo,MATCH($C1228,MgActId,0)),"")</f>
        <v/>
      </c>
      <c r="G1228" s="64">
        <f>IFERROR(INDEX(MgSubtipo,MATCH($C1228,MgActId,0)),"")</f>
        <v/>
      </c>
      <c r="H1228" s="59" t="inlineStr">
        <is>
          <t>A.5</t>
        </is>
      </c>
      <c r="I1228" s="64">
        <f>IFERROR(INDEX(MgAmenNombre,MATCH(SUBSTITUTE($H1228,"*","-"),MgAmenClave,0)),"")</f>
        <v/>
      </c>
      <c r="J1228" s="28">
        <f>IFERROR(INDEX(MgAmenGrupo,MATCH(SUBSTITUTE($H1228,"*","-"),MgAmenClave,0)),"")</f>
        <v/>
      </c>
      <c r="K1228" s="64">
        <f>IFERROR(INDEX('1. Matriz de Activos'!$Q$6:$Q$239,MATCH($C1228,MgActId,0)),"")</f>
        <v/>
      </c>
      <c r="L1228" s="64">
        <f>IFERROR(INDEX('1. Matriz de Activos'!$R$6:$R$239,MATCH($C1228,MgActId,0)),"")</f>
        <v/>
      </c>
      <c r="M1228" s="64">
        <f>IFERROR(INDEX('1. Matriz de Activos'!$S$6:$S$239,MATCH($C1228,MgActId,0)),"")</f>
        <v/>
      </c>
      <c r="N1228" s="28">
        <f>IFERROR(INDEX(MgAmenDegD,MATCH(SUBSTITUTE($H1228,"*","-"),MgAmenClave,0)),"No aplica")</f>
        <v/>
      </c>
      <c r="O1228" s="28">
        <f>IFERROR(INDEX(MgAmenDegI,MATCH(SUBSTITUTE($H1228,"*","-"),MgAmenClave,0)),"No aplica")</f>
        <v/>
      </c>
      <c r="P1228" s="28">
        <f>IFERROR(INDEX(MgAmenDegC,MATCH(SUBSTITUTE($H1228,"*","-"),MgAmenClave,0)),"No aplica")</f>
        <v/>
      </c>
      <c r="Q1228" s="29">
        <f>IFERROR(VLOOKUP(K1228,MgValor,2,0)*VLOOKUP(N1228,MgDeg,2,0),0)</f>
        <v/>
      </c>
      <c r="R1228" s="29">
        <f>IFERROR(VLOOKUP(L1228,MgValor,2,0)*VLOOKUP(O1228,MgDeg,2,0),0)</f>
        <v/>
      </c>
      <c r="S1228" s="29">
        <f>IFERROR(VLOOKUP(M1228,MgValor,2,0)*VLOOKUP(P1228,MgDeg,2,0),0)</f>
        <v/>
      </c>
      <c r="T1228" s="30">
        <f>MAX(Q1228:S1228)</f>
        <v/>
      </c>
      <c r="U1228" s="28">
        <f>IFERROR(LOOKUP(T1228,{0;0.5;1.5;3;4.5},{"Despreciable";"Bajo";"Medio";"Alto";"Muy alto"}),"")</f>
        <v/>
      </c>
      <c r="V1228" s="13">
        <f>IFERROR(INDEX(MgAmenFrec,MATCH(SUBSTITUTE($H1228,"*","-"),MgAmenClave,0)),"")</f>
        <v/>
      </c>
      <c r="W1228" s="28">
        <f>IFERROR(LOOKUP(X1228,{0;0.01;0.1;1;10;100},{"Muy baja";"Muy baja";"Baja";"Media";"Alta";"Muy alta"}),"")</f>
        <v/>
      </c>
      <c r="X1228" s="31">
        <f>IFERROR(VLOOKUP(V1228,MgFrec,2,0),0)</f>
        <v/>
      </c>
      <c r="Y1228" s="30">
        <f>T1228*X1228</f>
        <v/>
      </c>
      <c r="Z1228" s="28">
        <f>IFERROR(LOOKUP(Y1228,{0;0.5;5;25},{"Bajo";"Medio";"Alto";"Crítico"}),"")</f>
        <v/>
      </c>
      <c r="AA1228" s="64">
        <f>IF(T1228&gt;=3,IF(X1228&gt;=1,"Zona 1 — Crítica: impacto alto y ocurre al menos una vez al año","Zona 4 — Catastrófica poco probable: impacto alto pero excepcional"),IF(AND(T1228&lt;1.5,X1228&lt;1),"Zona 3 — Asumible: impacto bajo y muy poco frecuente","Zona 2 — Atención: riesgo intermedio"))</f>
        <v/>
      </c>
      <c r="AB1228" s="64">
        <f>IFERROR(INDEX(MgAmenCtrl,MATCH(SUBSTITUTE($H1228,"*","-"),MgAmenClave,0)),"")</f>
        <v/>
      </c>
      <c r="AC1228" s="20" t="n"/>
      <c r="AD1228" s="31">
        <f>IFERROR($X1228*(1-IF($AC1228="",$AL1228,VLOOKUP($AC1228,MgMad,2,0))),"")</f>
        <v/>
      </c>
      <c r="AE1228" s="28">
        <f>IFERROR(LOOKUP(AD1228,{0;0.01;0.1;1;10;100},{"Muy baja";"Muy baja";"Baja";"Media";"Alta";"Muy alta"}),"")</f>
        <v/>
      </c>
      <c r="AF1228" s="30">
        <f>T1228*AD1228</f>
        <v/>
      </c>
      <c r="AG1228" s="28">
        <f>IFERROR(LOOKUP(AF1228,{0;0.5;5;25},{"Bajo";"Medio";"Alto";"Crítico"}),"")</f>
        <v/>
      </c>
      <c r="AH1228" s="28">
        <f>IF(AG1228="","",IF(OR(AG1228="Crítico",AG1228="Alto"),"Mitigar",IF(AG1228="Medio","Mitigar","Aceptar y monitorear")))</f>
        <v/>
      </c>
      <c r="AI1228" s="21" t="n"/>
      <c r="AJ1228" s="21" t="n"/>
      <c r="AK1228" s="20" t="n"/>
      <c r="AL1228" s="77">
        <f>IFERROR(INDEX(MgAmenEfic,MATCH(SUBSTITUTE($H1228,"*","-"),MgAmenClave,0)),0)</f>
        <v/>
      </c>
    </row>
    <row r="1229" hidden="1" ht="105" customHeight="1" s="54">
      <c r="B1229" s="59" t="inlineStr">
        <is>
          <t>R-1224</t>
        </is>
      </c>
      <c r="C1229" s="59" t="inlineStr">
        <is>
          <t>GH-038</t>
        </is>
      </c>
      <c r="D1229" s="64">
        <f>IFERROR(INDEX(MgNombre,MATCH($C1229,MgActId,0)),"")</f>
        <v/>
      </c>
      <c r="E1229" s="64">
        <f>IFERROR(INDEX(MgProceso,MATCH($C1229,MgActId,0)),"")</f>
        <v/>
      </c>
      <c r="F1229" s="64">
        <f>IFERROR(INDEX(MgTipo,MATCH($C1229,MgActId,0)),"")</f>
        <v/>
      </c>
      <c r="G1229" s="64">
        <f>IFERROR(INDEX(MgSubtipo,MATCH($C1229,MgActId,0)),"")</f>
        <v/>
      </c>
      <c r="H1229" s="59" t="inlineStr">
        <is>
          <t>A.6</t>
        </is>
      </c>
      <c r="I1229" s="64">
        <f>IFERROR(INDEX(MgAmenNombre,MATCH(SUBSTITUTE($H1229,"*","-"),MgAmenClave,0)),"")</f>
        <v/>
      </c>
      <c r="J1229" s="28">
        <f>IFERROR(INDEX(MgAmenGrupo,MATCH(SUBSTITUTE($H1229,"*","-"),MgAmenClave,0)),"")</f>
        <v/>
      </c>
      <c r="K1229" s="64">
        <f>IFERROR(INDEX('1. Matriz de Activos'!$Q$6:$Q$239,MATCH($C1229,MgActId,0)),"")</f>
        <v/>
      </c>
      <c r="L1229" s="64">
        <f>IFERROR(INDEX('1. Matriz de Activos'!$R$6:$R$239,MATCH($C1229,MgActId,0)),"")</f>
        <v/>
      </c>
      <c r="M1229" s="64">
        <f>IFERROR(INDEX('1. Matriz de Activos'!$S$6:$S$239,MATCH($C1229,MgActId,0)),"")</f>
        <v/>
      </c>
      <c r="N1229" s="28">
        <f>IFERROR(INDEX(MgAmenDegD,MATCH(SUBSTITUTE($H1229,"*","-"),MgAmenClave,0)),"No aplica")</f>
        <v/>
      </c>
      <c r="O1229" s="28">
        <f>IFERROR(INDEX(MgAmenDegI,MATCH(SUBSTITUTE($H1229,"*","-"),MgAmenClave,0)),"No aplica")</f>
        <v/>
      </c>
      <c r="P1229" s="28">
        <f>IFERROR(INDEX(MgAmenDegC,MATCH(SUBSTITUTE($H1229,"*","-"),MgAmenClave,0)),"No aplica")</f>
        <v/>
      </c>
      <c r="Q1229" s="29">
        <f>IFERROR(VLOOKUP(K1229,MgValor,2,0)*VLOOKUP(N1229,MgDeg,2,0),0)</f>
        <v/>
      </c>
      <c r="R1229" s="29">
        <f>IFERROR(VLOOKUP(L1229,MgValor,2,0)*VLOOKUP(O1229,MgDeg,2,0),0)</f>
        <v/>
      </c>
      <c r="S1229" s="29">
        <f>IFERROR(VLOOKUP(M1229,MgValor,2,0)*VLOOKUP(P1229,MgDeg,2,0),0)</f>
        <v/>
      </c>
      <c r="T1229" s="30">
        <f>MAX(Q1229:S1229)</f>
        <v/>
      </c>
      <c r="U1229" s="28">
        <f>IFERROR(LOOKUP(T1229,{0;0.5;1.5;3;4.5},{"Despreciable";"Bajo";"Medio";"Alto";"Muy alto"}),"")</f>
        <v/>
      </c>
      <c r="V1229" s="13">
        <f>IFERROR(INDEX(MgAmenFrec,MATCH(SUBSTITUTE($H1229,"*","-"),MgAmenClave,0)),"")</f>
        <v/>
      </c>
      <c r="W1229" s="28">
        <f>IFERROR(LOOKUP(X1229,{0;0.01;0.1;1;10;100},{"Muy baja";"Muy baja";"Baja";"Media";"Alta";"Muy alta"}),"")</f>
        <v/>
      </c>
      <c r="X1229" s="31">
        <f>IFERROR(VLOOKUP(V1229,MgFrec,2,0),0)</f>
        <v/>
      </c>
      <c r="Y1229" s="30">
        <f>T1229*X1229</f>
        <v/>
      </c>
      <c r="Z1229" s="28">
        <f>IFERROR(LOOKUP(Y1229,{0;0.5;5;25},{"Bajo";"Medio";"Alto";"Crítico"}),"")</f>
        <v/>
      </c>
      <c r="AA1229" s="64">
        <f>IF(T1229&gt;=3,IF(X1229&gt;=1,"Zona 1 — Crítica: impacto alto y ocurre al menos una vez al año","Zona 4 — Catastrófica poco probable: impacto alto pero excepcional"),IF(AND(T1229&lt;1.5,X1229&lt;1),"Zona 3 — Asumible: impacto bajo y muy poco frecuente","Zona 2 — Atención: riesgo intermedio"))</f>
        <v/>
      </c>
      <c r="AB1229" s="64">
        <f>IFERROR(INDEX(MgAmenCtrl,MATCH(SUBSTITUTE($H1229,"*","-"),MgAmenClave,0)),"")</f>
        <v/>
      </c>
      <c r="AC1229" s="20" t="n"/>
      <c r="AD1229" s="31">
        <f>IFERROR($X1229*(1-IF($AC1229="",$AL1229,VLOOKUP($AC1229,MgMad,2,0))),"")</f>
        <v/>
      </c>
      <c r="AE1229" s="28">
        <f>IFERROR(LOOKUP(AD1229,{0;0.01;0.1;1;10;100},{"Muy baja";"Muy baja";"Baja";"Media";"Alta";"Muy alta"}),"")</f>
        <v/>
      </c>
      <c r="AF1229" s="30">
        <f>T1229*AD1229</f>
        <v/>
      </c>
      <c r="AG1229" s="28">
        <f>IFERROR(LOOKUP(AF1229,{0;0.5;5;25},{"Bajo";"Medio";"Alto";"Crítico"}),"")</f>
        <v/>
      </c>
      <c r="AH1229" s="28">
        <f>IF(AG1229="","",IF(OR(AG1229="Crítico",AG1229="Alto"),"Mitigar",IF(AG1229="Medio","Mitigar","Aceptar y monitorear")))</f>
        <v/>
      </c>
      <c r="AI1229" s="21" t="n"/>
      <c r="AJ1229" s="21" t="n"/>
      <c r="AK1229" s="20" t="n"/>
      <c r="AL1229" s="77">
        <f>IFERROR(INDEX(MgAmenEfic,MATCH(SUBSTITUTE($H1229,"*","-"),MgAmenClave,0)),0)</f>
        <v/>
      </c>
    </row>
    <row r="1230" hidden="1" ht="120" customHeight="1" s="54">
      <c r="B1230" s="59" t="inlineStr">
        <is>
          <t>R-1225</t>
        </is>
      </c>
      <c r="C1230" s="59" t="inlineStr">
        <is>
          <t>GH-038</t>
        </is>
      </c>
      <c r="D1230" s="64">
        <f>IFERROR(INDEX(MgNombre,MATCH($C1230,MgActId,0)),"")</f>
        <v/>
      </c>
      <c r="E1230" s="64">
        <f>IFERROR(INDEX(MgProceso,MATCH($C1230,MgActId,0)),"")</f>
        <v/>
      </c>
      <c r="F1230" s="64">
        <f>IFERROR(INDEX(MgTipo,MATCH($C1230,MgActId,0)),"")</f>
        <v/>
      </c>
      <c r="G1230" s="64">
        <f>IFERROR(INDEX(MgSubtipo,MATCH($C1230,MgActId,0)),"")</f>
        <v/>
      </c>
      <c r="H1230" s="59" t="inlineStr">
        <is>
          <t>A.11</t>
        </is>
      </c>
      <c r="I1230" s="64">
        <f>IFERROR(INDEX(MgAmenNombre,MATCH(SUBSTITUTE($H1230,"*","-"),MgAmenClave,0)),"")</f>
        <v/>
      </c>
      <c r="J1230" s="28">
        <f>IFERROR(INDEX(MgAmenGrupo,MATCH(SUBSTITUTE($H1230,"*","-"),MgAmenClave,0)),"")</f>
        <v/>
      </c>
      <c r="K1230" s="64">
        <f>IFERROR(INDEX('1. Matriz de Activos'!$Q$6:$Q$239,MATCH($C1230,MgActId,0)),"")</f>
        <v/>
      </c>
      <c r="L1230" s="64">
        <f>IFERROR(INDEX('1. Matriz de Activos'!$R$6:$R$239,MATCH($C1230,MgActId,0)),"")</f>
        <v/>
      </c>
      <c r="M1230" s="64">
        <f>IFERROR(INDEX('1. Matriz de Activos'!$S$6:$S$239,MATCH($C1230,MgActId,0)),"")</f>
        <v/>
      </c>
      <c r="N1230" s="28">
        <f>IFERROR(INDEX(MgAmenDegD,MATCH(SUBSTITUTE($H1230,"*","-"),MgAmenClave,0)),"No aplica")</f>
        <v/>
      </c>
      <c r="O1230" s="28">
        <f>IFERROR(INDEX(MgAmenDegI,MATCH(SUBSTITUTE($H1230,"*","-"),MgAmenClave,0)),"No aplica")</f>
        <v/>
      </c>
      <c r="P1230" s="28">
        <f>IFERROR(INDEX(MgAmenDegC,MATCH(SUBSTITUTE($H1230,"*","-"),MgAmenClave,0)),"No aplica")</f>
        <v/>
      </c>
      <c r="Q1230" s="29">
        <f>IFERROR(VLOOKUP(K1230,MgValor,2,0)*VLOOKUP(N1230,MgDeg,2,0),0)</f>
        <v/>
      </c>
      <c r="R1230" s="29">
        <f>IFERROR(VLOOKUP(L1230,MgValor,2,0)*VLOOKUP(O1230,MgDeg,2,0),0)</f>
        <v/>
      </c>
      <c r="S1230" s="29">
        <f>IFERROR(VLOOKUP(M1230,MgValor,2,0)*VLOOKUP(P1230,MgDeg,2,0),0)</f>
        <v/>
      </c>
      <c r="T1230" s="30">
        <f>MAX(Q1230:S1230)</f>
        <v/>
      </c>
      <c r="U1230" s="28">
        <f>IFERROR(LOOKUP(T1230,{0;0.5;1.5;3;4.5},{"Despreciable";"Bajo";"Medio";"Alto";"Muy alto"}),"")</f>
        <v/>
      </c>
      <c r="V1230" s="13">
        <f>IFERROR(INDEX(MgAmenFrec,MATCH(SUBSTITUTE($H1230,"*","-"),MgAmenClave,0)),"")</f>
        <v/>
      </c>
      <c r="W1230" s="28">
        <f>IFERROR(LOOKUP(X1230,{0;0.01;0.1;1;10;100},{"Muy baja";"Muy baja";"Baja";"Media";"Alta";"Muy alta"}),"")</f>
        <v/>
      </c>
      <c r="X1230" s="31">
        <f>IFERROR(VLOOKUP(V1230,MgFrec,2,0),0)</f>
        <v/>
      </c>
      <c r="Y1230" s="30">
        <f>T1230*X1230</f>
        <v/>
      </c>
      <c r="Z1230" s="28">
        <f>IFERROR(LOOKUP(Y1230,{0;0.5;5;25},{"Bajo";"Medio";"Alto";"Crítico"}),"")</f>
        <v/>
      </c>
      <c r="AA1230" s="64">
        <f>IF(T1230&gt;=3,IF(X1230&gt;=1,"Zona 1 — Crítica: impacto alto y ocurre al menos una vez al año","Zona 4 — Catastrófica poco probable: impacto alto pero excepcional"),IF(AND(T1230&lt;1.5,X1230&lt;1),"Zona 3 — Asumible: impacto bajo y muy poco frecuente","Zona 2 — Atención: riesgo intermedio"))</f>
        <v/>
      </c>
      <c r="AB1230" s="64">
        <f>IFERROR(INDEX(MgAmenCtrl,MATCH(SUBSTITUTE($H1230,"*","-"),MgAmenClave,0)),"")</f>
        <v/>
      </c>
      <c r="AC1230" s="20" t="n"/>
      <c r="AD1230" s="31">
        <f>IFERROR($X1230*(1-IF($AC1230="",$AL1230,VLOOKUP($AC1230,MgMad,2,0))),"")</f>
        <v/>
      </c>
      <c r="AE1230" s="28">
        <f>IFERROR(LOOKUP(AD1230,{0;0.01;0.1;1;10;100},{"Muy baja";"Muy baja";"Baja";"Media";"Alta";"Muy alta"}),"")</f>
        <v/>
      </c>
      <c r="AF1230" s="30">
        <f>T1230*AD1230</f>
        <v/>
      </c>
      <c r="AG1230" s="28">
        <f>IFERROR(LOOKUP(AF1230,{0;0.5;5;25},{"Bajo";"Medio";"Alto";"Crítico"}),"")</f>
        <v/>
      </c>
      <c r="AH1230" s="28">
        <f>IF(AG1230="","",IF(OR(AG1230="Crítico",AG1230="Alto"),"Mitigar",IF(AG1230="Medio","Mitigar","Aceptar y monitorear")))</f>
        <v/>
      </c>
      <c r="AI1230" s="21" t="n"/>
      <c r="AJ1230" s="21" t="n"/>
      <c r="AK1230" s="20" t="n"/>
      <c r="AL1230" s="77">
        <f>IFERROR(INDEX(MgAmenEfic,MATCH(SUBSTITUTE($H1230,"*","-"),MgAmenClave,0)),0)</f>
        <v/>
      </c>
    </row>
    <row r="1231" hidden="1" ht="90" customHeight="1" s="54">
      <c r="B1231" s="59" t="inlineStr">
        <is>
          <t>R-1226</t>
        </is>
      </c>
      <c r="C1231" s="59" t="inlineStr">
        <is>
          <t>GH-038</t>
        </is>
      </c>
      <c r="D1231" s="64">
        <f>IFERROR(INDEX(MgNombre,MATCH($C1231,MgActId,0)),"")</f>
        <v/>
      </c>
      <c r="E1231" s="64">
        <f>IFERROR(INDEX(MgProceso,MATCH($C1231,MgActId,0)),"")</f>
        <v/>
      </c>
      <c r="F1231" s="64">
        <f>IFERROR(INDEX(MgTipo,MATCH($C1231,MgActId,0)),"")</f>
        <v/>
      </c>
      <c r="G1231" s="64">
        <f>IFERROR(INDEX(MgSubtipo,MATCH($C1231,MgActId,0)),"")</f>
        <v/>
      </c>
      <c r="H1231" s="59" t="inlineStr">
        <is>
          <t>A.13</t>
        </is>
      </c>
      <c r="I1231" s="64">
        <f>IFERROR(INDEX(MgAmenNombre,MATCH(SUBSTITUTE($H1231,"*","-"),MgAmenClave,0)),"")</f>
        <v/>
      </c>
      <c r="J1231" s="28">
        <f>IFERROR(INDEX(MgAmenGrupo,MATCH(SUBSTITUTE($H1231,"*","-"),MgAmenClave,0)),"")</f>
        <v/>
      </c>
      <c r="K1231" s="64">
        <f>IFERROR(INDEX('1. Matriz de Activos'!$Q$6:$Q$239,MATCH($C1231,MgActId,0)),"")</f>
        <v/>
      </c>
      <c r="L1231" s="64">
        <f>IFERROR(INDEX('1. Matriz de Activos'!$R$6:$R$239,MATCH($C1231,MgActId,0)),"")</f>
        <v/>
      </c>
      <c r="M1231" s="64">
        <f>IFERROR(INDEX('1. Matriz de Activos'!$S$6:$S$239,MATCH($C1231,MgActId,0)),"")</f>
        <v/>
      </c>
      <c r="N1231" s="28">
        <f>IFERROR(INDEX(MgAmenDegD,MATCH(SUBSTITUTE($H1231,"*","-"),MgAmenClave,0)),"No aplica")</f>
        <v/>
      </c>
      <c r="O1231" s="28">
        <f>IFERROR(INDEX(MgAmenDegI,MATCH(SUBSTITUTE($H1231,"*","-"),MgAmenClave,0)),"No aplica")</f>
        <v/>
      </c>
      <c r="P1231" s="28">
        <f>IFERROR(INDEX(MgAmenDegC,MATCH(SUBSTITUTE($H1231,"*","-"),MgAmenClave,0)),"No aplica")</f>
        <v/>
      </c>
      <c r="Q1231" s="29">
        <f>IFERROR(VLOOKUP(K1231,MgValor,2,0)*VLOOKUP(N1231,MgDeg,2,0),0)</f>
        <v/>
      </c>
      <c r="R1231" s="29">
        <f>IFERROR(VLOOKUP(L1231,MgValor,2,0)*VLOOKUP(O1231,MgDeg,2,0),0)</f>
        <v/>
      </c>
      <c r="S1231" s="29">
        <f>IFERROR(VLOOKUP(M1231,MgValor,2,0)*VLOOKUP(P1231,MgDeg,2,0),0)</f>
        <v/>
      </c>
      <c r="T1231" s="30">
        <f>MAX(Q1231:S1231)</f>
        <v/>
      </c>
      <c r="U1231" s="28">
        <f>IFERROR(LOOKUP(T1231,{0;0.5;1.5;3;4.5},{"Despreciable";"Bajo";"Medio";"Alto";"Muy alto"}),"")</f>
        <v/>
      </c>
      <c r="V1231" s="13">
        <f>IFERROR(INDEX(MgAmenFrec,MATCH(SUBSTITUTE($H1231,"*","-"),MgAmenClave,0)),"")</f>
        <v/>
      </c>
      <c r="W1231" s="28">
        <f>IFERROR(LOOKUP(X1231,{0;0.01;0.1;1;10;100},{"Muy baja";"Muy baja";"Baja";"Media";"Alta";"Muy alta"}),"")</f>
        <v/>
      </c>
      <c r="X1231" s="31">
        <f>IFERROR(VLOOKUP(V1231,MgFrec,2,0),0)</f>
        <v/>
      </c>
      <c r="Y1231" s="30">
        <f>T1231*X1231</f>
        <v/>
      </c>
      <c r="Z1231" s="28">
        <f>IFERROR(LOOKUP(Y1231,{0;0.5;5;25},{"Bajo";"Medio";"Alto";"Crítico"}),"")</f>
        <v/>
      </c>
      <c r="AA1231" s="64">
        <f>IF(T1231&gt;=3,IF(X1231&gt;=1,"Zona 1 — Crítica: impacto alto y ocurre al menos una vez al año","Zona 4 — Catastrófica poco probable: impacto alto pero excepcional"),IF(AND(T1231&lt;1.5,X1231&lt;1),"Zona 3 — Asumible: impacto bajo y muy poco frecuente","Zona 2 — Atención: riesgo intermedio"))</f>
        <v/>
      </c>
      <c r="AB1231" s="64">
        <f>IFERROR(INDEX(MgAmenCtrl,MATCH(SUBSTITUTE($H1231,"*","-"),MgAmenClave,0)),"")</f>
        <v/>
      </c>
      <c r="AC1231" s="20" t="n"/>
      <c r="AD1231" s="31">
        <f>IFERROR($X1231*(1-IF($AC1231="",$AL1231,VLOOKUP($AC1231,MgMad,2,0))),"")</f>
        <v/>
      </c>
      <c r="AE1231" s="28">
        <f>IFERROR(LOOKUP(AD1231,{0;0.01;0.1;1;10;100},{"Muy baja";"Muy baja";"Baja";"Media";"Alta";"Muy alta"}),"")</f>
        <v/>
      </c>
      <c r="AF1231" s="30">
        <f>T1231*AD1231</f>
        <v/>
      </c>
      <c r="AG1231" s="28">
        <f>IFERROR(LOOKUP(AF1231,{0;0.5;5;25},{"Bajo";"Medio";"Alto";"Crítico"}),"")</f>
        <v/>
      </c>
      <c r="AH1231" s="28">
        <f>IF(AG1231="","",IF(OR(AG1231="Crítico",AG1231="Alto"),"Mitigar",IF(AG1231="Medio","Mitigar","Aceptar y monitorear")))</f>
        <v/>
      </c>
      <c r="AI1231" s="21" t="n"/>
      <c r="AJ1231" s="21" t="n"/>
      <c r="AK1231" s="20" t="n"/>
      <c r="AL1231" s="77">
        <f>IFERROR(INDEX(MgAmenEfic,MATCH(SUBSTITUTE($H1231,"*","-"),MgAmenClave,0)),0)</f>
        <v/>
      </c>
    </row>
    <row r="1232" hidden="1" ht="60" customHeight="1" s="54">
      <c r="B1232" s="59" t="inlineStr">
        <is>
          <t>R-1227</t>
        </is>
      </c>
      <c r="C1232" s="59" t="inlineStr">
        <is>
          <t>GH-038</t>
        </is>
      </c>
      <c r="D1232" s="64">
        <f>IFERROR(INDEX(MgNombre,MATCH($C1232,MgActId,0)),"")</f>
        <v/>
      </c>
      <c r="E1232" s="64">
        <f>IFERROR(INDEX(MgProceso,MATCH($C1232,MgActId,0)),"")</f>
        <v/>
      </c>
      <c r="F1232" s="64">
        <f>IFERROR(INDEX(MgTipo,MATCH($C1232,MgActId,0)),"")</f>
        <v/>
      </c>
      <c r="G1232" s="64">
        <f>IFERROR(INDEX(MgSubtipo,MATCH($C1232,MgActId,0)),"")</f>
        <v/>
      </c>
      <c r="H1232" s="59" t="inlineStr">
        <is>
          <t>A.15</t>
        </is>
      </c>
      <c r="I1232" s="64">
        <f>IFERROR(INDEX(MgAmenNombre,MATCH(SUBSTITUTE($H1232,"*","-"),MgAmenClave,0)),"")</f>
        <v/>
      </c>
      <c r="J1232" s="28">
        <f>IFERROR(INDEX(MgAmenGrupo,MATCH(SUBSTITUTE($H1232,"*","-"),MgAmenClave,0)),"")</f>
        <v/>
      </c>
      <c r="K1232" s="64">
        <f>IFERROR(INDEX('1. Matriz de Activos'!$Q$6:$Q$239,MATCH($C1232,MgActId,0)),"")</f>
        <v/>
      </c>
      <c r="L1232" s="64">
        <f>IFERROR(INDEX('1. Matriz de Activos'!$R$6:$R$239,MATCH($C1232,MgActId,0)),"")</f>
        <v/>
      </c>
      <c r="M1232" s="64">
        <f>IFERROR(INDEX('1. Matriz de Activos'!$S$6:$S$239,MATCH($C1232,MgActId,0)),"")</f>
        <v/>
      </c>
      <c r="N1232" s="28">
        <f>IFERROR(INDEX(MgAmenDegD,MATCH(SUBSTITUTE($H1232,"*","-"),MgAmenClave,0)),"No aplica")</f>
        <v/>
      </c>
      <c r="O1232" s="28">
        <f>IFERROR(INDEX(MgAmenDegI,MATCH(SUBSTITUTE($H1232,"*","-"),MgAmenClave,0)),"No aplica")</f>
        <v/>
      </c>
      <c r="P1232" s="28">
        <f>IFERROR(INDEX(MgAmenDegC,MATCH(SUBSTITUTE($H1232,"*","-"),MgAmenClave,0)),"No aplica")</f>
        <v/>
      </c>
      <c r="Q1232" s="29">
        <f>IFERROR(VLOOKUP(K1232,MgValor,2,0)*VLOOKUP(N1232,MgDeg,2,0),0)</f>
        <v/>
      </c>
      <c r="R1232" s="29">
        <f>IFERROR(VLOOKUP(L1232,MgValor,2,0)*VLOOKUP(O1232,MgDeg,2,0),0)</f>
        <v/>
      </c>
      <c r="S1232" s="29">
        <f>IFERROR(VLOOKUP(M1232,MgValor,2,0)*VLOOKUP(P1232,MgDeg,2,0),0)</f>
        <v/>
      </c>
      <c r="T1232" s="30">
        <f>MAX(Q1232:S1232)</f>
        <v/>
      </c>
      <c r="U1232" s="28">
        <f>IFERROR(LOOKUP(T1232,{0;0.5;1.5;3;4.5},{"Despreciable";"Bajo";"Medio";"Alto";"Muy alto"}),"")</f>
        <v/>
      </c>
      <c r="V1232" s="13">
        <f>IFERROR(INDEX(MgAmenFrec,MATCH(SUBSTITUTE($H1232,"*","-"),MgAmenClave,0)),"")</f>
        <v/>
      </c>
      <c r="W1232" s="28">
        <f>IFERROR(LOOKUP(X1232,{0;0.01;0.1;1;10;100},{"Muy baja";"Muy baja";"Baja";"Media";"Alta";"Muy alta"}),"")</f>
        <v/>
      </c>
      <c r="X1232" s="31">
        <f>IFERROR(VLOOKUP(V1232,MgFrec,2,0),0)</f>
        <v/>
      </c>
      <c r="Y1232" s="30">
        <f>T1232*X1232</f>
        <v/>
      </c>
      <c r="Z1232" s="28">
        <f>IFERROR(LOOKUP(Y1232,{0;0.5;5;25},{"Bajo";"Medio";"Alto";"Crítico"}),"")</f>
        <v/>
      </c>
      <c r="AA1232" s="64">
        <f>IF(T1232&gt;=3,IF(X1232&gt;=1,"Zona 1 — Crítica: impacto alto y ocurre al menos una vez al año","Zona 4 — Catastrófica poco probable: impacto alto pero excepcional"),IF(AND(T1232&lt;1.5,X1232&lt;1),"Zona 3 — Asumible: impacto bajo y muy poco frecuente","Zona 2 — Atención: riesgo intermedio"))</f>
        <v/>
      </c>
      <c r="AB1232" s="64">
        <f>IFERROR(INDEX(MgAmenCtrl,MATCH(SUBSTITUTE($H1232,"*","-"),MgAmenClave,0)),"")</f>
        <v/>
      </c>
      <c r="AC1232" s="20" t="n"/>
      <c r="AD1232" s="31">
        <f>IFERROR($X1232*(1-IF($AC1232="",$AL1232,VLOOKUP($AC1232,MgMad,2,0))),"")</f>
        <v/>
      </c>
      <c r="AE1232" s="28">
        <f>IFERROR(LOOKUP(AD1232,{0;0.01;0.1;1;10;100},{"Muy baja";"Muy baja";"Baja";"Media";"Alta";"Muy alta"}),"")</f>
        <v/>
      </c>
      <c r="AF1232" s="30">
        <f>T1232*AD1232</f>
        <v/>
      </c>
      <c r="AG1232" s="28">
        <f>IFERROR(LOOKUP(AF1232,{0;0.5;5;25},{"Bajo";"Medio";"Alto";"Crítico"}),"")</f>
        <v/>
      </c>
      <c r="AH1232" s="28">
        <f>IF(AG1232="","",IF(OR(AG1232="Crítico",AG1232="Alto"),"Mitigar",IF(AG1232="Medio","Mitigar","Aceptar y monitorear")))</f>
        <v/>
      </c>
      <c r="AI1232" s="21" t="n"/>
      <c r="AJ1232" s="21" t="n"/>
      <c r="AK1232" s="20" t="n"/>
      <c r="AL1232" s="77">
        <f>IFERROR(INDEX(MgAmenEfic,MATCH(SUBSTITUTE($H1232,"*","-"),MgAmenClave,0)),0)</f>
        <v/>
      </c>
    </row>
    <row r="1233" hidden="1" ht="60" customHeight="1" s="54">
      <c r="B1233" s="59" t="inlineStr">
        <is>
          <t>R-1228</t>
        </is>
      </c>
      <c r="C1233" s="59" t="inlineStr">
        <is>
          <t>GH-038</t>
        </is>
      </c>
      <c r="D1233" s="64">
        <f>IFERROR(INDEX(MgNombre,MATCH($C1233,MgActId,0)),"")</f>
        <v/>
      </c>
      <c r="E1233" s="64">
        <f>IFERROR(INDEX(MgProceso,MATCH($C1233,MgActId,0)),"")</f>
        <v/>
      </c>
      <c r="F1233" s="64">
        <f>IFERROR(INDEX(MgTipo,MATCH($C1233,MgActId,0)),"")</f>
        <v/>
      </c>
      <c r="G1233" s="64">
        <f>IFERROR(INDEX(MgSubtipo,MATCH($C1233,MgActId,0)),"")</f>
        <v/>
      </c>
      <c r="H1233" s="59" t="inlineStr">
        <is>
          <t>A.18</t>
        </is>
      </c>
      <c r="I1233" s="64">
        <f>IFERROR(INDEX(MgAmenNombre,MATCH(SUBSTITUTE($H1233,"*","-"),MgAmenClave,0)),"")</f>
        <v/>
      </c>
      <c r="J1233" s="28">
        <f>IFERROR(INDEX(MgAmenGrupo,MATCH(SUBSTITUTE($H1233,"*","-"),MgAmenClave,0)),"")</f>
        <v/>
      </c>
      <c r="K1233" s="64">
        <f>IFERROR(INDEX('1. Matriz de Activos'!$Q$6:$Q$239,MATCH($C1233,MgActId,0)),"")</f>
        <v/>
      </c>
      <c r="L1233" s="64">
        <f>IFERROR(INDEX('1. Matriz de Activos'!$R$6:$R$239,MATCH($C1233,MgActId,0)),"")</f>
        <v/>
      </c>
      <c r="M1233" s="64">
        <f>IFERROR(INDEX('1. Matriz de Activos'!$S$6:$S$239,MATCH($C1233,MgActId,0)),"")</f>
        <v/>
      </c>
      <c r="N1233" s="28">
        <f>IFERROR(INDEX(MgAmenDegD,MATCH(SUBSTITUTE($H1233,"*","-"),MgAmenClave,0)),"No aplica")</f>
        <v/>
      </c>
      <c r="O1233" s="28">
        <f>IFERROR(INDEX(MgAmenDegI,MATCH(SUBSTITUTE($H1233,"*","-"),MgAmenClave,0)),"No aplica")</f>
        <v/>
      </c>
      <c r="P1233" s="28">
        <f>IFERROR(INDEX(MgAmenDegC,MATCH(SUBSTITUTE($H1233,"*","-"),MgAmenClave,0)),"No aplica")</f>
        <v/>
      </c>
      <c r="Q1233" s="29">
        <f>IFERROR(VLOOKUP(K1233,MgValor,2,0)*VLOOKUP(N1233,MgDeg,2,0),0)</f>
        <v/>
      </c>
      <c r="R1233" s="29">
        <f>IFERROR(VLOOKUP(L1233,MgValor,2,0)*VLOOKUP(O1233,MgDeg,2,0),0)</f>
        <v/>
      </c>
      <c r="S1233" s="29">
        <f>IFERROR(VLOOKUP(M1233,MgValor,2,0)*VLOOKUP(P1233,MgDeg,2,0),0)</f>
        <v/>
      </c>
      <c r="T1233" s="30">
        <f>MAX(Q1233:S1233)</f>
        <v/>
      </c>
      <c r="U1233" s="28">
        <f>IFERROR(LOOKUP(T1233,{0;0.5;1.5;3;4.5},{"Despreciable";"Bajo";"Medio";"Alto";"Muy alto"}),"")</f>
        <v/>
      </c>
      <c r="V1233" s="13">
        <f>IFERROR(INDEX(MgAmenFrec,MATCH(SUBSTITUTE($H1233,"*","-"),MgAmenClave,0)),"")</f>
        <v/>
      </c>
      <c r="W1233" s="28">
        <f>IFERROR(LOOKUP(X1233,{0;0.01;0.1;1;10;100},{"Muy baja";"Muy baja";"Baja";"Media";"Alta";"Muy alta"}),"")</f>
        <v/>
      </c>
      <c r="X1233" s="31">
        <f>IFERROR(VLOOKUP(V1233,MgFrec,2,0),0)</f>
        <v/>
      </c>
      <c r="Y1233" s="30">
        <f>T1233*X1233</f>
        <v/>
      </c>
      <c r="Z1233" s="28">
        <f>IFERROR(LOOKUP(Y1233,{0;0.5;5;25},{"Bajo";"Medio";"Alto";"Crítico"}),"")</f>
        <v/>
      </c>
      <c r="AA1233" s="64">
        <f>IF(T1233&gt;=3,IF(X1233&gt;=1,"Zona 1 — Crítica: impacto alto y ocurre al menos una vez al año","Zona 4 — Catastrófica poco probable: impacto alto pero excepcional"),IF(AND(T1233&lt;1.5,X1233&lt;1),"Zona 3 — Asumible: impacto bajo y muy poco frecuente","Zona 2 — Atención: riesgo intermedio"))</f>
        <v/>
      </c>
      <c r="AB1233" s="64">
        <f>IFERROR(INDEX(MgAmenCtrl,MATCH(SUBSTITUTE($H1233,"*","-"),MgAmenClave,0)),"")</f>
        <v/>
      </c>
      <c r="AC1233" s="20" t="n"/>
      <c r="AD1233" s="31">
        <f>IFERROR($X1233*(1-IF($AC1233="",$AL1233,VLOOKUP($AC1233,MgMad,2,0))),"")</f>
        <v/>
      </c>
      <c r="AE1233" s="28">
        <f>IFERROR(LOOKUP(AD1233,{0;0.01;0.1;1;10;100},{"Muy baja";"Muy baja";"Baja";"Media";"Alta";"Muy alta"}),"")</f>
        <v/>
      </c>
      <c r="AF1233" s="30">
        <f>T1233*AD1233</f>
        <v/>
      </c>
      <c r="AG1233" s="28">
        <f>IFERROR(LOOKUP(AF1233,{0;0.5;5;25},{"Bajo";"Medio";"Alto";"Crítico"}),"")</f>
        <v/>
      </c>
      <c r="AH1233" s="28">
        <f>IF(AG1233="","",IF(OR(AG1233="Crítico",AG1233="Alto"),"Mitigar",IF(AG1233="Medio","Mitigar","Aceptar y monitorear")))</f>
        <v/>
      </c>
      <c r="AI1233" s="21" t="n"/>
      <c r="AJ1233" s="21" t="n"/>
      <c r="AK1233" s="20" t="n"/>
      <c r="AL1233" s="77">
        <f>IFERROR(INDEX(MgAmenEfic,MATCH(SUBSTITUTE($H1233,"*","-"),MgAmenClave,0)),0)</f>
        <v/>
      </c>
    </row>
    <row r="1234" hidden="1" ht="120" customHeight="1" s="54">
      <c r="B1234" s="59" t="inlineStr">
        <is>
          <t>R-1229</t>
        </is>
      </c>
      <c r="C1234" s="59" t="inlineStr">
        <is>
          <t>GH-038</t>
        </is>
      </c>
      <c r="D1234" s="64">
        <f>IFERROR(INDEX(MgNombre,MATCH($C1234,MgActId,0)),"")</f>
        <v/>
      </c>
      <c r="E1234" s="64">
        <f>IFERROR(INDEX(MgProceso,MATCH($C1234,MgActId,0)),"")</f>
        <v/>
      </c>
      <c r="F1234" s="64">
        <f>IFERROR(INDEX(MgTipo,MATCH($C1234,MgActId,0)),"")</f>
        <v/>
      </c>
      <c r="G1234" s="64">
        <f>IFERROR(INDEX(MgSubtipo,MATCH($C1234,MgActId,0)),"")</f>
        <v/>
      </c>
      <c r="H1234" s="59" t="inlineStr">
        <is>
          <t>A.19</t>
        </is>
      </c>
      <c r="I1234" s="64">
        <f>IFERROR(INDEX(MgAmenNombre,MATCH(SUBSTITUTE($H1234,"*","-"),MgAmenClave,0)),"")</f>
        <v/>
      </c>
      <c r="J1234" s="28">
        <f>IFERROR(INDEX(MgAmenGrupo,MATCH(SUBSTITUTE($H1234,"*","-"),MgAmenClave,0)),"")</f>
        <v/>
      </c>
      <c r="K1234" s="64">
        <f>IFERROR(INDEX('1. Matriz de Activos'!$Q$6:$Q$239,MATCH($C1234,MgActId,0)),"")</f>
        <v/>
      </c>
      <c r="L1234" s="64">
        <f>IFERROR(INDEX('1. Matriz de Activos'!$R$6:$R$239,MATCH($C1234,MgActId,0)),"")</f>
        <v/>
      </c>
      <c r="M1234" s="64">
        <f>IFERROR(INDEX('1. Matriz de Activos'!$S$6:$S$239,MATCH($C1234,MgActId,0)),"")</f>
        <v/>
      </c>
      <c r="N1234" s="28">
        <f>IFERROR(INDEX(MgAmenDegD,MATCH(SUBSTITUTE($H1234,"*","-"),MgAmenClave,0)),"No aplica")</f>
        <v/>
      </c>
      <c r="O1234" s="28">
        <f>IFERROR(INDEX(MgAmenDegI,MATCH(SUBSTITUTE($H1234,"*","-"),MgAmenClave,0)),"No aplica")</f>
        <v/>
      </c>
      <c r="P1234" s="28">
        <f>IFERROR(INDEX(MgAmenDegC,MATCH(SUBSTITUTE($H1234,"*","-"),MgAmenClave,0)),"No aplica")</f>
        <v/>
      </c>
      <c r="Q1234" s="29">
        <f>IFERROR(VLOOKUP(K1234,MgValor,2,0)*VLOOKUP(N1234,MgDeg,2,0),0)</f>
        <v/>
      </c>
      <c r="R1234" s="29">
        <f>IFERROR(VLOOKUP(L1234,MgValor,2,0)*VLOOKUP(O1234,MgDeg,2,0),0)</f>
        <v/>
      </c>
      <c r="S1234" s="29">
        <f>IFERROR(VLOOKUP(M1234,MgValor,2,0)*VLOOKUP(P1234,MgDeg,2,0),0)</f>
        <v/>
      </c>
      <c r="T1234" s="30">
        <f>MAX(Q1234:S1234)</f>
        <v/>
      </c>
      <c r="U1234" s="28">
        <f>IFERROR(LOOKUP(T1234,{0;0.5;1.5;3;4.5},{"Despreciable";"Bajo";"Medio";"Alto";"Muy alto"}),"")</f>
        <v/>
      </c>
      <c r="V1234" s="13">
        <f>IFERROR(INDEX(MgAmenFrec,MATCH(SUBSTITUTE($H1234,"*","-"),MgAmenClave,0)),"")</f>
        <v/>
      </c>
      <c r="W1234" s="28">
        <f>IFERROR(LOOKUP(X1234,{0;0.01;0.1;1;10;100},{"Muy baja";"Muy baja";"Baja";"Media";"Alta";"Muy alta"}),"")</f>
        <v/>
      </c>
      <c r="X1234" s="31">
        <f>IFERROR(VLOOKUP(V1234,MgFrec,2,0),0)</f>
        <v/>
      </c>
      <c r="Y1234" s="30">
        <f>T1234*X1234</f>
        <v/>
      </c>
      <c r="Z1234" s="28">
        <f>IFERROR(LOOKUP(Y1234,{0;0.5;5;25},{"Bajo";"Medio";"Alto";"Crítico"}),"")</f>
        <v/>
      </c>
      <c r="AA1234" s="64">
        <f>IF(T1234&gt;=3,IF(X1234&gt;=1,"Zona 1 — Crítica: impacto alto y ocurre al menos una vez al año","Zona 4 — Catastrófica poco probable: impacto alto pero excepcional"),IF(AND(T1234&lt;1.5,X1234&lt;1),"Zona 3 — Asumible: impacto bajo y muy poco frecuente","Zona 2 — Atención: riesgo intermedio"))</f>
        <v/>
      </c>
      <c r="AB1234" s="64">
        <f>IFERROR(INDEX(MgAmenCtrl,MATCH(SUBSTITUTE($H1234,"*","-"),MgAmenClave,0)),"")</f>
        <v/>
      </c>
      <c r="AC1234" s="20" t="n"/>
      <c r="AD1234" s="31">
        <f>IFERROR($X1234*(1-IF($AC1234="",$AL1234,VLOOKUP($AC1234,MgMad,2,0))),"")</f>
        <v/>
      </c>
      <c r="AE1234" s="28">
        <f>IFERROR(LOOKUP(AD1234,{0;0.01;0.1;1;10;100},{"Muy baja";"Muy baja";"Baja";"Media";"Alta";"Muy alta"}),"")</f>
        <v/>
      </c>
      <c r="AF1234" s="30">
        <f>T1234*AD1234</f>
        <v/>
      </c>
      <c r="AG1234" s="28">
        <f>IFERROR(LOOKUP(AF1234,{0;0.5;5;25},{"Bajo";"Medio";"Alto";"Crítico"}),"")</f>
        <v/>
      </c>
      <c r="AH1234" s="28">
        <f>IF(AG1234="","",IF(OR(AG1234="Crítico",AG1234="Alto"),"Mitigar",IF(AG1234="Medio","Mitigar","Aceptar y monitorear")))</f>
        <v/>
      </c>
      <c r="AI1234" s="21" t="n"/>
      <c r="AJ1234" s="21" t="n"/>
      <c r="AK1234" s="20" t="n"/>
      <c r="AL1234" s="77">
        <f>IFERROR(INDEX(MgAmenEfic,MATCH(SUBSTITUTE($H1234,"*","-"),MgAmenClave,0)),0)</f>
        <v/>
      </c>
    </row>
    <row r="1235" hidden="1" ht="105" customHeight="1" s="54">
      <c r="B1235" s="59" t="inlineStr">
        <is>
          <t>R-1230</t>
        </is>
      </c>
      <c r="C1235" s="59" t="inlineStr">
        <is>
          <t>GH-025</t>
        </is>
      </c>
      <c r="D1235" s="64">
        <f>IFERROR(INDEX(MgNombre,MATCH($C1235,MgActId,0)),"")</f>
        <v/>
      </c>
      <c r="E1235" s="64">
        <f>IFERROR(INDEX(MgProceso,MATCH($C1235,MgActId,0)),"")</f>
        <v/>
      </c>
      <c r="F1235" s="64">
        <f>IFERROR(INDEX(MgTipo,MATCH($C1235,MgActId,0)),"")</f>
        <v/>
      </c>
      <c r="G1235" s="64">
        <f>IFERROR(INDEX(MgSubtipo,MATCH($C1235,MgActId,0)),"")</f>
        <v/>
      </c>
      <c r="H1235" s="59" t="inlineStr">
        <is>
          <t>E.1</t>
        </is>
      </c>
      <c r="I1235" s="64">
        <f>IFERROR(INDEX(MgAmenNombre,MATCH(SUBSTITUTE($H1235,"*","-"),MgAmenClave,0)),"")</f>
        <v/>
      </c>
      <c r="J1235" s="28">
        <f>IFERROR(INDEX(MgAmenGrupo,MATCH(SUBSTITUTE($H1235,"*","-"),MgAmenClave,0)),"")</f>
        <v/>
      </c>
      <c r="K1235" s="64">
        <f>IFERROR(INDEX('1. Matriz de Activos'!$Q$6:$Q$239,MATCH($C1235,MgActId,0)),"")</f>
        <v/>
      </c>
      <c r="L1235" s="64">
        <f>IFERROR(INDEX('1. Matriz de Activos'!$R$6:$R$239,MATCH($C1235,MgActId,0)),"")</f>
        <v/>
      </c>
      <c r="M1235" s="64">
        <f>IFERROR(INDEX('1. Matriz de Activos'!$S$6:$S$239,MATCH($C1235,MgActId,0)),"")</f>
        <v/>
      </c>
      <c r="N1235" s="28">
        <f>IFERROR(INDEX(MgAmenDegD,MATCH(SUBSTITUTE($H1235,"*","-"),MgAmenClave,0)),"No aplica")</f>
        <v/>
      </c>
      <c r="O1235" s="28">
        <f>IFERROR(INDEX(MgAmenDegI,MATCH(SUBSTITUTE($H1235,"*","-"),MgAmenClave,0)),"No aplica")</f>
        <v/>
      </c>
      <c r="P1235" s="28">
        <f>IFERROR(INDEX(MgAmenDegC,MATCH(SUBSTITUTE($H1235,"*","-"),MgAmenClave,0)),"No aplica")</f>
        <v/>
      </c>
      <c r="Q1235" s="29">
        <f>IFERROR(VLOOKUP(K1235,MgValor,2,0)*VLOOKUP(N1235,MgDeg,2,0),0)</f>
        <v/>
      </c>
      <c r="R1235" s="29">
        <f>IFERROR(VLOOKUP(L1235,MgValor,2,0)*VLOOKUP(O1235,MgDeg,2,0),0)</f>
        <v/>
      </c>
      <c r="S1235" s="29">
        <f>IFERROR(VLOOKUP(M1235,MgValor,2,0)*VLOOKUP(P1235,MgDeg,2,0),0)</f>
        <v/>
      </c>
      <c r="T1235" s="30">
        <f>MAX(Q1235:S1235)</f>
        <v/>
      </c>
      <c r="U1235" s="28">
        <f>IFERROR(LOOKUP(T1235,{0;0.5;1.5;3;4.5},{"Despreciable";"Bajo";"Medio";"Alto";"Muy alto"}),"")</f>
        <v/>
      </c>
      <c r="V1235" s="13">
        <f>IFERROR(INDEX(MgAmenFrec,MATCH(SUBSTITUTE($H1235,"*","-"),MgAmenClave,0)),"")</f>
        <v/>
      </c>
      <c r="W1235" s="28">
        <f>IFERROR(LOOKUP(X1235,{0;0.01;0.1;1;10;100},{"Muy baja";"Muy baja";"Baja";"Media";"Alta";"Muy alta"}),"")</f>
        <v/>
      </c>
      <c r="X1235" s="31">
        <f>IFERROR(VLOOKUP(V1235,MgFrec,2,0),0)</f>
        <v/>
      </c>
      <c r="Y1235" s="30">
        <f>T1235*X1235</f>
        <v/>
      </c>
      <c r="Z1235" s="28">
        <f>IFERROR(LOOKUP(Y1235,{0;0.5;5;25},{"Bajo";"Medio";"Alto";"Crítico"}),"")</f>
        <v/>
      </c>
      <c r="AA1235" s="64">
        <f>IF(T1235&gt;=3,IF(X1235&gt;=1,"Zona 1 — Crítica: impacto alto y ocurre al menos una vez al año","Zona 4 — Catastrófica poco probable: impacto alto pero excepcional"),IF(AND(T1235&lt;1.5,X1235&lt;1),"Zona 3 — Asumible: impacto bajo y muy poco frecuente","Zona 2 — Atención: riesgo intermedio"))</f>
        <v/>
      </c>
      <c r="AB1235" s="64">
        <f>IFERROR(INDEX(MgAmenCtrl,MATCH(SUBSTITUTE($H1235,"*","-"),MgAmenClave,0)),"")</f>
        <v/>
      </c>
      <c r="AC1235" s="20" t="n"/>
      <c r="AD1235" s="31">
        <f>IFERROR($X1235*(1-IF($AC1235="",$AL1235,VLOOKUP($AC1235,MgMad,2,0))),"")</f>
        <v/>
      </c>
      <c r="AE1235" s="28">
        <f>IFERROR(LOOKUP(AD1235,{0;0.01;0.1;1;10;100},{"Muy baja";"Muy baja";"Baja";"Media";"Alta";"Muy alta"}),"")</f>
        <v/>
      </c>
      <c r="AF1235" s="30">
        <f>T1235*AD1235</f>
        <v/>
      </c>
      <c r="AG1235" s="28">
        <f>IFERROR(LOOKUP(AF1235,{0;0.5;5;25},{"Bajo";"Medio";"Alto";"Crítico"}),"")</f>
        <v/>
      </c>
      <c r="AH1235" s="28">
        <f>IF(AG1235="","",IF(OR(AG1235="Crítico",AG1235="Alto"),"Mitigar",IF(AG1235="Medio","Mitigar","Aceptar y monitorear")))</f>
        <v/>
      </c>
      <c r="AI1235" s="21" t="n"/>
      <c r="AJ1235" s="21" t="n"/>
      <c r="AK1235" s="20" t="n"/>
      <c r="AL1235" s="77">
        <f>IFERROR(INDEX(MgAmenEfic,MATCH(SUBSTITUTE($H1235,"*","-"),MgAmenClave,0)),0)</f>
        <v/>
      </c>
    </row>
    <row r="1236" hidden="1" ht="120" customHeight="1" s="54">
      <c r="B1236" s="59" t="inlineStr">
        <is>
          <t>R-1231</t>
        </is>
      </c>
      <c r="C1236" s="59" t="inlineStr">
        <is>
          <t>GH-025</t>
        </is>
      </c>
      <c r="D1236" s="64">
        <f>IFERROR(INDEX(MgNombre,MATCH($C1236,MgActId,0)),"")</f>
        <v/>
      </c>
      <c r="E1236" s="64">
        <f>IFERROR(INDEX(MgProceso,MATCH($C1236,MgActId,0)),"")</f>
        <v/>
      </c>
      <c r="F1236" s="64">
        <f>IFERROR(INDEX(MgTipo,MATCH($C1236,MgActId,0)),"")</f>
        <v/>
      </c>
      <c r="G1236" s="64">
        <f>IFERROR(INDEX(MgSubtipo,MATCH($C1236,MgActId,0)),"")</f>
        <v/>
      </c>
      <c r="H1236" s="59" t="inlineStr">
        <is>
          <t>E.2</t>
        </is>
      </c>
      <c r="I1236" s="64">
        <f>IFERROR(INDEX(MgAmenNombre,MATCH(SUBSTITUTE($H1236,"*","-"),MgAmenClave,0)),"")</f>
        <v/>
      </c>
      <c r="J1236" s="28">
        <f>IFERROR(INDEX(MgAmenGrupo,MATCH(SUBSTITUTE($H1236,"*","-"),MgAmenClave,0)),"")</f>
        <v/>
      </c>
      <c r="K1236" s="64">
        <f>IFERROR(INDEX('1. Matriz de Activos'!$Q$6:$Q$239,MATCH($C1236,MgActId,0)),"")</f>
        <v/>
      </c>
      <c r="L1236" s="64">
        <f>IFERROR(INDEX('1. Matriz de Activos'!$R$6:$R$239,MATCH($C1236,MgActId,0)),"")</f>
        <v/>
      </c>
      <c r="M1236" s="64">
        <f>IFERROR(INDEX('1. Matriz de Activos'!$S$6:$S$239,MATCH($C1236,MgActId,0)),"")</f>
        <v/>
      </c>
      <c r="N1236" s="28">
        <f>IFERROR(INDEX(MgAmenDegD,MATCH(SUBSTITUTE($H1236,"*","-"),MgAmenClave,0)),"No aplica")</f>
        <v/>
      </c>
      <c r="O1236" s="28">
        <f>IFERROR(INDEX(MgAmenDegI,MATCH(SUBSTITUTE($H1236,"*","-"),MgAmenClave,0)),"No aplica")</f>
        <v/>
      </c>
      <c r="P1236" s="28">
        <f>IFERROR(INDEX(MgAmenDegC,MATCH(SUBSTITUTE($H1236,"*","-"),MgAmenClave,0)),"No aplica")</f>
        <v/>
      </c>
      <c r="Q1236" s="29">
        <f>IFERROR(VLOOKUP(K1236,MgValor,2,0)*VLOOKUP(N1236,MgDeg,2,0),0)</f>
        <v/>
      </c>
      <c r="R1236" s="29">
        <f>IFERROR(VLOOKUP(L1236,MgValor,2,0)*VLOOKUP(O1236,MgDeg,2,0),0)</f>
        <v/>
      </c>
      <c r="S1236" s="29">
        <f>IFERROR(VLOOKUP(M1236,MgValor,2,0)*VLOOKUP(P1236,MgDeg,2,0),0)</f>
        <v/>
      </c>
      <c r="T1236" s="30">
        <f>MAX(Q1236:S1236)</f>
        <v/>
      </c>
      <c r="U1236" s="28">
        <f>IFERROR(LOOKUP(T1236,{0;0.5;1.5;3;4.5},{"Despreciable";"Bajo";"Medio";"Alto";"Muy alto"}),"")</f>
        <v/>
      </c>
      <c r="V1236" s="13">
        <f>IFERROR(INDEX(MgAmenFrec,MATCH(SUBSTITUTE($H1236,"*","-"),MgAmenClave,0)),"")</f>
        <v/>
      </c>
      <c r="W1236" s="28">
        <f>IFERROR(LOOKUP(X1236,{0;0.01;0.1;1;10;100},{"Muy baja";"Muy baja";"Baja";"Media";"Alta";"Muy alta"}),"")</f>
        <v/>
      </c>
      <c r="X1236" s="31">
        <f>IFERROR(VLOOKUP(V1236,MgFrec,2,0),0)</f>
        <v/>
      </c>
      <c r="Y1236" s="30">
        <f>T1236*X1236</f>
        <v/>
      </c>
      <c r="Z1236" s="28">
        <f>IFERROR(LOOKUP(Y1236,{0;0.5;5;25},{"Bajo";"Medio";"Alto";"Crítico"}),"")</f>
        <v/>
      </c>
      <c r="AA1236" s="64">
        <f>IF(T1236&gt;=3,IF(X1236&gt;=1,"Zona 1 — Crítica: impacto alto y ocurre al menos una vez al año","Zona 4 — Catastrófica poco probable: impacto alto pero excepcional"),IF(AND(T1236&lt;1.5,X1236&lt;1),"Zona 3 — Asumible: impacto bajo y muy poco frecuente","Zona 2 — Atención: riesgo intermedio"))</f>
        <v/>
      </c>
      <c r="AB1236" s="64">
        <f>IFERROR(INDEX(MgAmenCtrl,MATCH(SUBSTITUTE($H1236,"*","-"),MgAmenClave,0)),"")</f>
        <v/>
      </c>
      <c r="AC1236" s="20" t="n"/>
      <c r="AD1236" s="31">
        <f>IFERROR($X1236*(1-IF($AC1236="",$AL1236,VLOOKUP($AC1236,MgMad,2,0))),"")</f>
        <v/>
      </c>
      <c r="AE1236" s="28">
        <f>IFERROR(LOOKUP(AD1236,{0;0.01;0.1;1;10;100},{"Muy baja";"Muy baja";"Baja";"Media";"Alta";"Muy alta"}),"")</f>
        <v/>
      </c>
      <c r="AF1236" s="30">
        <f>T1236*AD1236</f>
        <v/>
      </c>
      <c r="AG1236" s="28">
        <f>IFERROR(LOOKUP(AF1236,{0;0.5;5;25},{"Bajo";"Medio";"Alto";"Crítico"}),"")</f>
        <v/>
      </c>
      <c r="AH1236" s="28">
        <f>IF(AG1236="","",IF(OR(AG1236="Crítico",AG1236="Alto"),"Mitigar",IF(AG1236="Medio","Mitigar","Aceptar y monitorear")))</f>
        <v/>
      </c>
      <c r="AI1236" s="21" t="n"/>
      <c r="AJ1236" s="21" t="n"/>
      <c r="AK1236" s="20" t="n"/>
      <c r="AL1236" s="77">
        <f>IFERROR(INDEX(MgAmenEfic,MATCH(SUBSTITUTE($H1236,"*","-"),MgAmenClave,0)),0)</f>
        <v/>
      </c>
    </row>
    <row r="1237" hidden="1" ht="75" customHeight="1" s="54">
      <c r="B1237" s="59" t="inlineStr">
        <is>
          <t>R-1232</t>
        </is>
      </c>
      <c r="C1237" s="59" t="inlineStr">
        <is>
          <t>GH-025</t>
        </is>
      </c>
      <c r="D1237" s="64">
        <f>IFERROR(INDEX(MgNombre,MATCH($C1237,MgActId,0)),"")</f>
        <v/>
      </c>
      <c r="E1237" s="64">
        <f>IFERROR(INDEX(MgProceso,MATCH($C1237,MgActId,0)),"")</f>
        <v/>
      </c>
      <c r="F1237" s="64">
        <f>IFERROR(INDEX(MgTipo,MATCH($C1237,MgActId,0)),"")</f>
        <v/>
      </c>
      <c r="G1237" s="64">
        <f>IFERROR(INDEX(MgSubtipo,MATCH($C1237,MgActId,0)),"")</f>
        <v/>
      </c>
      <c r="H1237" s="59" t="inlineStr">
        <is>
          <t>E.3</t>
        </is>
      </c>
      <c r="I1237" s="64">
        <f>IFERROR(INDEX(MgAmenNombre,MATCH(SUBSTITUTE($H1237,"*","-"),MgAmenClave,0)),"")</f>
        <v/>
      </c>
      <c r="J1237" s="28">
        <f>IFERROR(INDEX(MgAmenGrupo,MATCH(SUBSTITUTE($H1237,"*","-"),MgAmenClave,0)),"")</f>
        <v/>
      </c>
      <c r="K1237" s="64">
        <f>IFERROR(INDEX('1. Matriz de Activos'!$Q$6:$Q$239,MATCH($C1237,MgActId,0)),"")</f>
        <v/>
      </c>
      <c r="L1237" s="64">
        <f>IFERROR(INDEX('1. Matriz de Activos'!$R$6:$R$239,MATCH($C1237,MgActId,0)),"")</f>
        <v/>
      </c>
      <c r="M1237" s="64">
        <f>IFERROR(INDEX('1. Matriz de Activos'!$S$6:$S$239,MATCH($C1237,MgActId,0)),"")</f>
        <v/>
      </c>
      <c r="N1237" s="28">
        <f>IFERROR(INDEX(MgAmenDegD,MATCH(SUBSTITUTE($H1237,"*","-"),MgAmenClave,0)),"No aplica")</f>
        <v/>
      </c>
      <c r="O1237" s="28">
        <f>IFERROR(INDEX(MgAmenDegI,MATCH(SUBSTITUTE($H1237,"*","-"),MgAmenClave,0)),"No aplica")</f>
        <v/>
      </c>
      <c r="P1237" s="28">
        <f>IFERROR(INDEX(MgAmenDegC,MATCH(SUBSTITUTE($H1237,"*","-"),MgAmenClave,0)),"No aplica")</f>
        <v/>
      </c>
      <c r="Q1237" s="29">
        <f>IFERROR(VLOOKUP(K1237,MgValor,2,0)*VLOOKUP(N1237,MgDeg,2,0),0)</f>
        <v/>
      </c>
      <c r="R1237" s="29">
        <f>IFERROR(VLOOKUP(L1237,MgValor,2,0)*VLOOKUP(O1237,MgDeg,2,0),0)</f>
        <v/>
      </c>
      <c r="S1237" s="29">
        <f>IFERROR(VLOOKUP(M1237,MgValor,2,0)*VLOOKUP(P1237,MgDeg,2,0),0)</f>
        <v/>
      </c>
      <c r="T1237" s="30">
        <f>MAX(Q1237:S1237)</f>
        <v/>
      </c>
      <c r="U1237" s="28">
        <f>IFERROR(LOOKUP(T1237,{0;0.5;1.5;3;4.5},{"Despreciable";"Bajo";"Medio";"Alto";"Muy alto"}),"")</f>
        <v/>
      </c>
      <c r="V1237" s="13">
        <f>IFERROR(INDEX(MgAmenFrec,MATCH(SUBSTITUTE($H1237,"*","-"),MgAmenClave,0)),"")</f>
        <v/>
      </c>
      <c r="W1237" s="28">
        <f>IFERROR(LOOKUP(X1237,{0;0.01;0.1;1;10;100},{"Muy baja";"Muy baja";"Baja";"Media";"Alta";"Muy alta"}),"")</f>
        <v/>
      </c>
      <c r="X1237" s="31">
        <f>IFERROR(VLOOKUP(V1237,MgFrec,2,0),0)</f>
        <v/>
      </c>
      <c r="Y1237" s="30">
        <f>T1237*X1237</f>
        <v/>
      </c>
      <c r="Z1237" s="28">
        <f>IFERROR(LOOKUP(Y1237,{0;0.5;5;25},{"Bajo";"Medio";"Alto";"Crítico"}),"")</f>
        <v/>
      </c>
      <c r="AA1237" s="64">
        <f>IF(T1237&gt;=3,IF(X1237&gt;=1,"Zona 1 — Crítica: impacto alto y ocurre al menos una vez al año","Zona 4 — Catastrófica poco probable: impacto alto pero excepcional"),IF(AND(T1237&lt;1.5,X1237&lt;1),"Zona 3 — Asumible: impacto bajo y muy poco frecuente","Zona 2 — Atención: riesgo intermedio"))</f>
        <v/>
      </c>
      <c r="AB1237" s="64">
        <f>IFERROR(INDEX(MgAmenCtrl,MATCH(SUBSTITUTE($H1237,"*","-"),MgAmenClave,0)),"")</f>
        <v/>
      </c>
      <c r="AC1237" s="20" t="n"/>
      <c r="AD1237" s="31">
        <f>IFERROR($X1237*(1-IF($AC1237="",$AL1237,VLOOKUP($AC1237,MgMad,2,0))),"")</f>
        <v/>
      </c>
      <c r="AE1237" s="28">
        <f>IFERROR(LOOKUP(AD1237,{0;0.01;0.1;1;10;100},{"Muy baja";"Muy baja";"Baja";"Media";"Alta";"Muy alta"}),"")</f>
        <v/>
      </c>
      <c r="AF1237" s="30">
        <f>T1237*AD1237</f>
        <v/>
      </c>
      <c r="AG1237" s="28">
        <f>IFERROR(LOOKUP(AF1237,{0;0.5;5;25},{"Bajo";"Medio";"Alto";"Crítico"}),"")</f>
        <v/>
      </c>
      <c r="AH1237" s="28">
        <f>IF(AG1237="","",IF(OR(AG1237="Crítico",AG1237="Alto"),"Mitigar",IF(AG1237="Medio","Mitigar","Aceptar y monitorear")))</f>
        <v/>
      </c>
      <c r="AI1237" s="21" t="n"/>
      <c r="AJ1237" s="21" t="n"/>
      <c r="AK1237" s="20" t="n"/>
      <c r="AL1237" s="77">
        <f>IFERROR(INDEX(MgAmenEfic,MATCH(SUBSTITUTE($H1237,"*","-"),MgAmenClave,0)),0)</f>
        <v/>
      </c>
    </row>
    <row r="1238" hidden="1" ht="75" customHeight="1" s="54">
      <c r="B1238" s="59" t="inlineStr">
        <is>
          <t>R-1233</t>
        </is>
      </c>
      <c r="C1238" s="59" t="inlineStr">
        <is>
          <t>GH-025</t>
        </is>
      </c>
      <c r="D1238" s="64">
        <f>IFERROR(INDEX(MgNombre,MATCH($C1238,MgActId,0)),"")</f>
        <v/>
      </c>
      <c r="E1238" s="64">
        <f>IFERROR(INDEX(MgProceso,MATCH($C1238,MgActId,0)),"")</f>
        <v/>
      </c>
      <c r="F1238" s="64">
        <f>IFERROR(INDEX(MgTipo,MATCH($C1238,MgActId,0)),"")</f>
        <v/>
      </c>
      <c r="G1238" s="64">
        <f>IFERROR(INDEX(MgSubtipo,MATCH($C1238,MgActId,0)),"")</f>
        <v/>
      </c>
      <c r="H1238" s="59" t="inlineStr">
        <is>
          <t>E.4</t>
        </is>
      </c>
      <c r="I1238" s="64">
        <f>IFERROR(INDEX(MgAmenNombre,MATCH(SUBSTITUTE($H1238,"*","-"),MgAmenClave,0)),"")</f>
        <v/>
      </c>
      <c r="J1238" s="28">
        <f>IFERROR(INDEX(MgAmenGrupo,MATCH(SUBSTITUTE($H1238,"*","-"),MgAmenClave,0)),"")</f>
        <v/>
      </c>
      <c r="K1238" s="64">
        <f>IFERROR(INDEX('1. Matriz de Activos'!$Q$6:$Q$239,MATCH($C1238,MgActId,0)),"")</f>
        <v/>
      </c>
      <c r="L1238" s="64">
        <f>IFERROR(INDEX('1. Matriz de Activos'!$R$6:$R$239,MATCH($C1238,MgActId,0)),"")</f>
        <v/>
      </c>
      <c r="M1238" s="64">
        <f>IFERROR(INDEX('1. Matriz de Activos'!$S$6:$S$239,MATCH($C1238,MgActId,0)),"")</f>
        <v/>
      </c>
      <c r="N1238" s="28">
        <f>IFERROR(INDEX(MgAmenDegD,MATCH(SUBSTITUTE($H1238,"*","-"),MgAmenClave,0)),"No aplica")</f>
        <v/>
      </c>
      <c r="O1238" s="28">
        <f>IFERROR(INDEX(MgAmenDegI,MATCH(SUBSTITUTE($H1238,"*","-"),MgAmenClave,0)),"No aplica")</f>
        <v/>
      </c>
      <c r="P1238" s="28">
        <f>IFERROR(INDEX(MgAmenDegC,MATCH(SUBSTITUTE($H1238,"*","-"),MgAmenClave,0)),"No aplica")</f>
        <v/>
      </c>
      <c r="Q1238" s="29">
        <f>IFERROR(VLOOKUP(K1238,MgValor,2,0)*VLOOKUP(N1238,MgDeg,2,0),0)</f>
        <v/>
      </c>
      <c r="R1238" s="29">
        <f>IFERROR(VLOOKUP(L1238,MgValor,2,0)*VLOOKUP(O1238,MgDeg,2,0),0)</f>
        <v/>
      </c>
      <c r="S1238" s="29">
        <f>IFERROR(VLOOKUP(M1238,MgValor,2,0)*VLOOKUP(P1238,MgDeg,2,0),0)</f>
        <v/>
      </c>
      <c r="T1238" s="30">
        <f>MAX(Q1238:S1238)</f>
        <v/>
      </c>
      <c r="U1238" s="28">
        <f>IFERROR(LOOKUP(T1238,{0;0.5;1.5;3;4.5},{"Despreciable";"Bajo";"Medio";"Alto";"Muy alto"}),"")</f>
        <v/>
      </c>
      <c r="V1238" s="13">
        <f>IFERROR(INDEX(MgAmenFrec,MATCH(SUBSTITUTE($H1238,"*","-"),MgAmenClave,0)),"")</f>
        <v/>
      </c>
      <c r="W1238" s="28">
        <f>IFERROR(LOOKUP(X1238,{0;0.01;0.1;1;10;100},{"Muy baja";"Muy baja";"Baja";"Media";"Alta";"Muy alta"}),"")</f>
        <v/>
      </c>
      <c r="X1238" s="31">
        <f>IFERROR(VLOOKUP(V1238,MgFrec,2,0),0)</f>
        <v/>
      </c>
      <c r="Y1238" s="30">
        <f>T1238*X1238</f>
        <v/>
      </c>
      <c r="Z1238" s="28">
        <f>IFERROR(LOOKUP(Y1238,{0;0.5;5;25},{"Bajo";"Medio";"Alto";"Crítico"}),"")</f>
        <v/>
      </c>
      <c r="AA1238" s="64">
        <f>IF(T1238&gt;=3,IF(X1238&gt;=1,"Zona 1 — Crítica: impacto alto y ocurre al menos una vez al año","Zona 4 — Catastrófica poco probable: impacto alto pero excepcional"),IF(AND(T1238&lt;1.5,X1238&lt;1),"Zona 3 — Asumible: impacto bajo y muy poco frecuente","Zona 2 — Atención: riesgo intermedio"))</f>
        <v/>
      </c>
      <c r="AB1238" s="64">
        <f>IFERROR(INDEX(MgAmenCtrl,MATCH(SUBSTITUTE($H1238,"*","-"),MgAmenClave,0)),"")</f>
        <v/>
      </c>
      <c r="AC1238" s="20" t="n"/>
      <c r="AD1238" s="31">
        <f>IFERROR($X1238*(1-IF($AC1238="",$AL1238,VLOOKUP($AC1238,MgMad,2,0))),"")</f>
        <v/>
      </c>
      <c r="AE1238" s="28">
        <f>IFERROR(LOOKUP(AD1238,{0;0.01;0.1;1;10;100},{"Muy baja";"Muy baja";"Baja";"Media";"Alta";"Muy alta"}),"")</f>
        <v/>
      </c>
      <c r="AF1238" s="30">
        <f>T1238*AD1238</f>
        <v/>
      </c>
      <c r="AG1238" s="28">
        <f>IFERROR(LOOKUP(AF1238,{0;0.5;5;25},{"Bajo";"Medio";"Alto";"Crítico"}),"")</f>
        <v/>
      </c>
      <c r="AH1238" s="28">
        <f>IF(AG1238="","",IF(OR(AG1238="Crítico",AG1238="Alto"),"Mitigar",IF(AG1238="Medio","Mitigar","Aceptar y monitorear")))</f>
        <v/>
      </c>
      <c r="AI1238" s="21" t="n"/>
      <c r="AJ1238" s="21" t="n"/>
      <c r="AK1238" s="20" t="n"/>
      <c r="AL1238" s="77">
        <f>IFERROR(INDEX(MgAmenEfic,MATCH(SUBSTITUTE($H1238,"*","-"),MgAmenClave,0)),0)</f>
        <v/>
      </c>
    </row>
    <row r="1239" hidden="1" ht="90" customHeight="1" s="54">
      <c r="B1239" s="59" t="inlineStr">
        <is>
          <t>R-1234</t>
        </is>
      </c>
      <c r="C1239" s="59" t="inlineStr">
        <is>
          <t>GH-025</t>
        </is>
      </c>
      <c r="D1239" s="64">
        <f>IFERROR(INDEX(MgNombre,MATCH($C1239,MgActId,0)),"")</f>
        <v/>
      </c>
      <c r="E1239" s="64">
        <f>IFERROR(INDEX(MgProceso,MATCH($C1239,MgActId,0)),"")</f>
        <v/>
      </c>
      <c r="F1239" s="64">
        <f>IFERROR(INDEX(MgTipo,MATCH($C1239,MgActId,0)),"")</f>
        <v/>
      </c>
      <c r="G1239" s="64">
        <f>IFERROR(INDEX(MgSubtipo,MATCH($C1239,MgActId,0)),"")</f>
        <v/>
      </c>
      <c r="H1239" s="59" t="inlineStr">
        <is>
          <t>E.14</t>
        </is>
      </c>
      <c r="I1239" s="64">
        <f>IFERROR(INDEX(MgAmenNombre,MATCH(SUBSTITUTE($H1239,"*","-"),MgAmenClave,0)),"")</f>
        <v/>
      </c>
      <c r="J1239" s="28">
        <f>IFERROR(INDEX(MgAmenGrupo,MATCH(SUBSTITUTE($H1239,"*","-"),MgAmenClave,0)),"")</f>
        <v/>
      </c>
      <c r="K1239" s="64">
        <f>IFERROR(INDEX('1. Matriz de Activos'!$Q$6:$Q$239,MATCH($C1239,MgActId,0)),"")</f>
        <v/>
      </c>
      <c r="L1239" s="64">
        <f>IFERROR(INDEX('1. Matriz de Activos'!$R$6:$R$239,MATCH($C1239,MgActId,0)),"")</f>
        <v/>
      </c>
      <c r="M1239" s="64">
        <f>IFERROR(INDEX('1. Matriz de Activos'!$S$6:$S$239,MATCH($C1239,MgActId,0)),"")</f>
        <v/>
      </c>
      <c r="N1239" s="28">
        <f>IFERROR(INDEX(MgAmenDegD,MATCH(SUBSTITUTE($H1239,"*","-"),MgAmenClave,0)),"No aplica")</f>
        <v/>
      </c>
      <c r="O1239" s="28">
        <f>IFERROR(INDEX(MgAmenDegI,MATCH(SUBSTITUTE($H1239,"*","-"),MgAmenClave,0)),"No aplica")</f>
        <v/>
      </c>
      <c r="P1239" s="28">
        <f>IFERROR(INDEX(MgAmenDegC,MATCH(SUBSTITUTE($H1239,"*","-"),MgAmenClave,0)),"No aplica")</f>
        <v/>
      </c>
      <c r="Q1239" s="29">
        <f>IFERROR(VLOOKUP(K1239,MgValor,2,0)*VLOOKUP(N1239,MgDeg,2,0),0)</f>
        <v/>
      </c>
      <c r="R1239" s="29">
        <f>IFERROR(VLOOKUP(L1239,MgValor,2,0)*VLOOKUP(O1239,MgDeg,2,0),0)</f>
        <v/>
      </c>
      <c r="S1239" s="29">
        <f>IFERROR(VLOOKUP(M1239,MgValor,2,0)*VLOOKUP(P1239,MgDeg,2,0),0)</f>
        <v/>
      </c>
      <c r="T1239" s="30">
        <f>MAX(Q1239:S1239)</f>
        <v/>
      </c>
      <c r="U1239" s="28">
        <f>IFERROR(LOOKUP(T1239,{0;0.5;1.5;3;4.5},{"Despreciable";"Bajo";"Medio";"Alto";"Muy alto"}),"")</f>
        <v/>
      </c>
      <c r="V1239" s="13">
        <f>IFERROR(INDEX(MgAmenFrec,MATCH(SUBSTITUTE($H1239,"*","-"),MgAmenClave,0)),"")</f>
        <v/>
      </c>
      <c r="W1239" s="28">
        <f>IFERROR(LOOKUP(X1239,{0;0.01;0.1;1;10;100},{"Muy baja";"Muy baja";"Baja";"Media";"Alta";"Muy alta"}),"")</f>
        <v/>
      </c>
      <c r="X1239" s="31">
        <f>IFERROR(VLOOKUP(V1239,MgFrec,2,0),0)</f>
        <v/>
      </c>
      <c r="Y1239" s="30">
        <f>T1239*X1239</f>
        <v/>
      </c>
      <c r="Z1239" s="28">
        <f>IFERROR(LOOKUP(Y1239,{0;0.5;5;25},{"Bajo";"Medio";"Alto";"Crítico"}),"")</f>
        <v/>
      </c>
      <c r="AA1239" s="64">
        <f>IF(T1239&gt;=3,IF(X1239&gt;=1,"Zona 1 — Crítica: impacto alto y ocurre al menos una vez al año","Zona 4 — Catastrófica poco probable: impacto alto pero excepcional"),IF(AND(T1239&lt;1.5,X1239&lt;1),"Zona 3 — Asumible: impacto bajo y muy poco frecuente","Zona 2 — Atención: riesgo intermedio"))</f>
        <v/>
      </c>
      <c r="AB1239" s="64">
        <f>IFERROR(INDEX(MgAmenCtrl,MATCH(SUBSTITUTE($H1239,"*","-"),MgAmenClave,0)),"")</f>
        <v/>
      </c>
      <c r="AC1239" s="20" t="n"/>
      <c r="AD1239" s="31">
        <f>IFERROR($X1239*(1-IF($AC1239="",$AL1239,VLOOKUP($AC1239,MgMad,2,0))),"")</f>
        <v/>
      </c>
      <c r="AE1239" s="28">
        <f>IFERROR(LOOKUP(AD1239,{0;0.01;0.1;1;10;100},{"Muy baja";"Muy baja";"Baja";"Media";"Alta";"Muy alta"}),"")</f>
        <v/>
      </c>
      <c r="AF1239" s="30">
        <f>T1239*AD1239</f>
        <v/>
      </c>
      <c r="AG1239" s="28">
        <f>IFERROR(LOOKUP(AF1239,{0;0.5;5;25},{"Bajo";"Medio";"Alto";"Crítico"}),"")</f>
        <v/>
      </c>
      <c r="AH1239" s="28">
        <f>IF(AG1239="","",IF(OR(AG1239="Crítico",AG1239="Alto"),"Mitigar",IF(AG1239="Medio","Mitigar","Aceptar y monitorear")))</f>
        <v/>
      </c>
      <c r="AI1239" s="21" t="n"/>
      <c r="AJ1239" s="21" t="n"/>
      <c r="AK1239" s="20" t="n"/>
      <c r="AL1239" s="77">
        <f>IFERROR(INDEX(MgAmenEfic,MATCH(SUBSTITUTE($H1239,"*","-"),MgAmenClave,0)),0)</f>
        <v/>
      </c>
    </row>
    <row r="1240" hidden="1" ht="90" customHeight="1" s="54">
      <c r="B1240" s="59" t="inlineStr">
        <is>
          <t>R-1235</t>
        </is>
      </c>
      <c r="C1240" s="59" t="inlineStr">
        <is>
          <t>GH-025</t>
        </is>
      </c>
      <c r="D1240" s="64">
        <f>IFERROR(INDEX(MgNombre,MATCH($C1240,MgActId,0)),"")</f>
        <v/>
      </c>
      <c r="E1240" s="64">
        <f>IFERROR(INDEX(MgProceso,MATCH($C1240,MgActId,0)),"")</f>
        <v/>
      </c>
      <c r="F1240" s="64">
        <f>IFERROR(INDEX(MgTipo,MATCH($C1240,MgActId,0)),"")</f>
        <v/>
      </c>
      <c r="G1240" s="64">
        <f>IFERROR(INDEX(MgSubtipo,MATCH($C1240,MgActId,0)),"")</f>
        <v/>
      </c>
      <c r="H1240" s="59" t="inlineStr">
        <is>
          <t>E.15</t>
        </is>
      </c>
      <c r="I1240" s="64">
        <f>IFERROR(INDEX(MgAmenNombre,MATCH(SUBSTITUTE($H1240,"*","-"),MgAmenClave,0)),"")</f>
        <v/>
      </c>
      <c r="J1240" s="28">
        <f>IFERROR(INDEX(MgAmenGrupo,MATCH(SUBSTITUTE($H1240,"*","-"),MgAmenClave,0)),"")</f>
        <v/>
      </c>
      <c r="K1240" s="64">
        <f>IFERROR(INDEX('1. Matriz de Activos'!$Q$6:$Q$239,MATCH($C1240,MgActId,0)),"")</f>
        <v/>
      </c>
      <c r="L1240" s="64">
        <f>IFERROR(INDEX('1. Matriz de Activos'!$R$6:$R$239,MATCH($C1240,MgActId,0)),"")</f>
        <v/>
      </c>
      <c r="M1240" s="64">
        <f>IFERROR(INDEX('1. Matriz de Activos'!$S$6:$S$239,MATCH($C1240,MgActId,0)),"")</f>
        <v/>
      </c>
      <c r="N1240" s="28">
        <f>IFERROR(INDEX(MgAmenDegD,MATCH(SUBSTITUTE($H1240,"*","-"),MgAmenClave,0)),"No aplica")</f>
        <v/>
      </c>
      <c r="O1240" s="28">
        <f>IFERROR(INDEX(MgAmenDegI,MATCH(SUBSTITUTE($H1240,"*","-"),MgAmenClave,0)),"No aplica")</f>
        <v/>
      </c>
      <c r="P1240" s="28">
        <f>IFERROR(INDEX(MgAmenDegC,MATCH(SUBSTITUTE($H1240,"*","-"),MgAmenClave,0)),"No aplica")</f>
        <v/>
      </c>
      <c r="Q1240" s="29">
        <f>IFERROR(VLOOKUP(K1240,MgValor,2,0)*VLOOKUP(N1240,MgDeg,2,0),0)</f>
        <v/>
      </c>
      <c r="R1240" s="29">
        <f>IFERROR(VLOOKUP(L1240,MgValor,2,0)*VLOOKUP(O1240,MgDeg,2,0),0)</f>
        <v/>
      </c>
      <c r="S1240" s="29">
        <f>IFERROR(VLOOKUP(M1240,MgValor,2,0)*VLOOKUP(P1240,MgDeg,2,0),0)</f>
        <v/>
      </c>
      <c r="T1240" s="30">
        <f>MAX(Q1240:S1240)</f>
        <v/>
      </c>
      <c r="U1240" s="28">
        <f>IFERROR(LOOKUP(T1240,{0;0.5;1.5;3;4.5},{"Despreciable";"Bajo";"Medio";"Alto";"Muy alto"}),"")</f>
        <v/>
      </c>
      <c r="V1240" s="13">
        <f>IFERROR(INDEX(MgAmenFrec,MATCH(SUBSTITUTE($H1240,"*","-"),MgAmenClave,0)),"")</f>
        <v/>
      </c>
      <c r="W1240" s="28">
        <f>IFERROR(LOOKUP(X1240,{0;0.01;0.1;1;10;100},{"Muy baja";"Muy baja";"Baja";"Media";"Alta";"Muy alta"}),"")</f>
        <v/>
      </c>
      <c r="X1240" s="31">
        <f>IFERROR(VLOOKUP(V1240,MgFrec,2,0),0)</f>
        <v/>
      </c>
      <c r="Y1240" s="30">
        <f>T1240*X1240</f>
        <v/>
      </c>
      <c r="Z1240" s="28">
        <f>IFERROR(LOOKUP(Y1240,{0;0.5;5;25},{"Bajo";"Medio";"Alto";"Crítico"}),"")</f>
        <v/>
      </c>
      <c r="AA1240" s="64">
        <f>IF(T1240&gt;=3,IF(X1240&gt;=1,"Zona 1 — Crítica: impacto alto y ocurre al menos una vez al año","Zona 4 — Catastrófica poco probable: impacto alto pero excepcional"),IF(AND(T1240&lt;1.5,X1240&lt;1),"Zona 3 — Asumible: impacto bajo y muy poco frecuente","Zona 2 — Atención: riesgo intermedio"))</f>
        <v/>
      </c>
      <c r="AB1240" s="64">
        <f>IFERROR(INDEX(MgAmenCtrl,MATCH(SUBSTITUTE($H1240,"*","-"),MgAmenClave,0)),"")</f>
        <v/>
      </c>
      <c r="AC1240" s="20" t="n"/>
      <c r="AD1240" s="31">
        <f>IFERROR($X1240*(1-IF($AC1240="",$AL1240,VLOOKUP($AC1240,MgMad,2,0))),"")</f>
        <v/>
      </c>
      <c r="AE1240" s="28">
        <f>IFERROR(LOOKUP(AD1240,{0;0.01;0.1;1;10;100},{"Muy baja";"Muy baja";"Baja";"Media";"Alta";"Muy alta"}),"")</f>
        <v/>
      </c>
      <c r="AF1240" s="30">
        <f>T1240*AD1240</f>
        <v/>
      </c>
      <c r="AG1240" s="28">
        <f>IFERROR(LOOKUP(AF1240,{0;0.5;5;25},{"Bajo";"Medio";"Alto";"Crítico"}),"")</f>
        <v/>
      </c>
      <c r="AH1240" s="28">
        <f>IF(AG1240="","",IF(OR(AG1240="Crítico",AG1240="Alto"),"Mitigar",IF(AG1240="Medio","Mitigar","Aceptar y monitorear")))</f>
        <v/>
      </c>
      <c r="AI1240" s="21" t="n"/>
      <c r="AJ1240" s="21" t="n"/>
      <c r="AK1240" s="20" t="n"/>
      <c r="AL1240" s="77">
        <f>IFERROR(INDEX(MgAmenEfic,MATCH(SUBSTITUTE($H1240,"*","-"),MgAmenClave,0)),0)</f>
        <v/>
      </c>
    </row>
    <row r="1241" hidden="1" ht="60" customHeight="1" s="54">
      <c r="B1241" s="59" t="inlineStr">
        <is>
          <t>R-1236</t>
        </is>
      </c>
      <c r="C1241" s="59" t="inlineStr">
        <is>
          <t>GH-025</t>
        </is>
      </c>
      <c r="D1241" s="64">
        <f>IFERROR(INDEX(MgNombre,MATCH($C1241,MgActId,0)),"")</f>
        <v/>
      </c>
      <c r="E1241" s="64">
        <f>IFERROR(INDEX(MgProceso,MATCH($C1241,MgActId,0)),"")</f>
        <v/>
      </c>
      <c r="F1241" s="64">
        <f>IFERROR(INDEX(MgTipo,MATCH($C1241,MgActId,0)),"")</f>
        <v/>
      </c>
      <c r="G1241" s="64">
        <f>IFERROR(INDEX(MgSubtipo,MATCH($C1241,MgActId,0)),"")</f>
        <v/>
      </c>
      <c r="H1241" s="59" t="inlineStr">
        <is>
          <t>E.18</t>
        </is>
      </c>
      <c r="I1241" s="64">
        <f>IFERROR(INDEX(MgAmenNombre,MATCH(SUBSTITUTE($H1241,"*","-"),MgAmenClave,0)),"")</f>
        <v/>
      </c>
      <c r="J1241" s="28">
        <f>IFERROR(INDEX(MgAmenGrupo,MATCH(SUBSTITUTE($H1241,"*","-"),MgAmenClave,0)),"")</f>
        <v/>
      </c>
      <c r="K1241" s="64">
        <f>IFERROR(INDEX('1. Matriz de Activos'!$Q$6:$Q$239,MATCH($C1241,MgActId,0)),"")</f>
        <v/>
      </c>
      <c r="L1241" s="64">
        <f>IFERROR(INDEX('1. Matriz de Activos'!$R$6:$R$239,MATCH($C1241,MgActId,0)),"")</f>
        <v/>
      </c>
      <c r="M1241" s="64">
        <f>IFERROR(INDEX('1. Matriz de Activos'!$S$6:$S$239,MATCH($C1241,MgActId,0)),"")</f>
        <v/>
      </c>
      <c r="N1241" s="28">
        <f>IFERROR(INDEX(MgAmenDegD,MATCH(SUBSTITUTE($H1241,"*","-"),MgAmenClave,0)),"No aplica")</f>
        <v/>
      </c>
      <c r="O1241" s="28">
        <f>IFERROR(INDEX(MgAmenDegI,MATCH(SUBSTITUTE($H1241,"*","-"),MgAmenClave,0)),"No aplica")</f>
        <v/>
      </c>
      <c r="P1241" s="28">
        <f>IFERROR(INDEX(MgAmenDegC,MATCH(SUBSTITUTE($H1241,"*","-"),MgAmenClave,0)),"No aplica")</f>
        <v/>
      </c>
      <c r="Q1241" s="29">
        <f>IFERROR(VLOOKUP(K1241,MgValor,2,0)*VLOOKUP(N1241,MgDeg,2,0),0)</f>
        <v/>
      </c>
      <c r="R1241" s="29">
        <f>IFERROR(VLOOKUP(L1241,MgValor,2,0)*VLOOKUP(O1241,MgDeg,2,0),0)</f>
        <v/>
      </c>
      <c r="S1241" s="29">
        <f>IFERROR(VLOOKUP(M1241,MgValor,2,0)*VLOOKUP(P1241,MgDeg,2,0),0)</f>
        <v/>
      </c>
      <c r="T1241" s="30">
        <f>MAX(Q1241:S1241)</f>
        <v/>
      </c>
      <c r="U1241" s="28">
        <f>IFERROR(LOOKUP(T1241,{0;0.5;1.5;3;4.5},{"Despreciable";"Bajo";"Medio";"Alto";"Muy alto"}),"")</f>
        <v/>
      </c>
      <c r="V1241" s="13">
        <f>IFERROR(INDEX(MgAmenFrec,MATCH(SUBSTITUTE($H1241,"*","-"),MgAmenClave,0)),"")</f>
        <v/>
      </c>
      <c r="W1241" s="28">
        <f>IFERROR(LOOKUP(X1241,{0;0.01;0.1;1;10;100},{"Muy baja";"Muy baja";"Baja";"Media";"Alta";"Muy alta"}),"")</f>
        <v/>
      </c>
      <c r="X1241" s="31">
        <f>IFERROR(VLOOKUP(V1241,MgFrec,2,0),0)</f>
        <v/>
      </c>
      <c r="Y1241" s="30">
        <f>T1241*X1241</f>
        <v/>
      </c>
      <c r="Z1241" s="28">
        <f>IFERROR(LOOKUP(Y1241,{0;0.5;5;25},{"Bajo";"Medio";"Alto";"Crítico"}),"")</f>
        <v/>
      </c>
      <c r="AA1241" s="64">
        <f>IF(T1241&gt;=3,IF(X1241&gt;=1,"Zona 1 — Crítica: impacto alto y ocurre al menos una vez al año","Zona 4 — Catastrófica poco probable: impacto alto pero excepcional"),IF(AND(T1241&lt;1.5,X1241&lt;1),"Zona 3 — Asumible: impacto bajo y muy poco frecuente","Zona 2 — Atención: riesgo intermedio"))</f>
        <v/>
      </c>
      <c r="AB1241" s="64">
        <f>IFERROR(INDEX(MgAmenCtrl,MATCH(SUBSTITUTE($H1241,"*","-"),MgAmenClave,0)),"")</f>
        <v/>
      </c>
      <c r="AC1241" s="20" t="n"/>
      <c r="AD1241" s="31">
        <f>IFERROR($X1241*(1-IF($AC1241="",$AL1241,VLOOKUP($AC1241,MgMad,2,0))),"")</f>
        <v/>
      </c>
      <c r="AE1241" s="28">
        <f>IFERROR(LOOKUP(AD1241,{0;0.01;0.1;1;10;100},{"Muy baja";"Muy baja";"Baja";"Media";"Alta";"Muy alta"}),"")</f>
        <v/>
      </c>
      <c r="AF1241" s="30">
        <f>T1241*AD1241</f>
        <v/>
      </c>
      <c r="AG1241" s="28">
        <f>IFERROR(LOOKUP(AF1241,{0;0.5;5;25},{"Bajo";"Medio";"Alto";"Crítico"}),"")</f>
        <v/>
      </c>
      <c r="AH1241" s="28">
        <f>IF(AG1241="","",IF(OR(AG1241="Crítico",AG1241="Alto"),"Mitigar",IF(AG1241="Medio","Mitigar","Aceptar y monitorear")))</f>
        <v/>
      </c>
      <c r="AI1241" s="21" t="n"/>
      <c r="AJ1241" s="21" t="n"/>
      <c r="AK1241" s="20" t="n"/>
      <c r="AL1241" s="77">
        <f>IFERROR(INDEX(MgAmenEfic,MATCH(SUBSTITUTE($H1241,"*","-"),MgAmenClave,0)),0)</f>
        <v/>
      </c>
    </row>
    <row r="1242" hidden="1" ht="105" customHeight="1" s="54">
      <c r="B1242" s="59" t="inlineStr">
        <is>
          <t>R-1237</t>
        </is>
      </c>
      <c r="C1242" s="59" t="inlineStr">
        <is>
          <t>GH-025</t>
        </is>
      </c>
      <c r="D1242" s="64">
        <f>IFERROR(INDEX(MgNombre,MATCH($C1242,MgActId,0)),"")</f>
        <v/>
      </c>
      <c r="E1242" s="64">
        <f>IFERROR(INDEX(MgProceso,MATCH($C1242,MgActId,0)),"")</f>
        <v/>
      </c>
      <c r="F1242" s="64">
        <f>IFERROR(INDEX(MgTipo,MATCH($C1242,MgActId,0)),"")</f>
        <v/>
      </c>
      <c r="G1242" s="64">
        <f>IFERROR(INDEX(MgSubtipo,MATCH($C1242,MgActId,0)),"")</f>
        <v/>
      </c>
      <c r="H1242" s="59" t="inlineStr">
        <is>
          <t>E.19</t>
        </is>
      </c>
      <c r="I1242" s="64">
        <f>IFERROR(INDEX(MgAmenNombre,MATCH(SUBSTITUTE($H1242,"*","-"),MgAmenClave,0)),"")</f>
        <v/>
      </c>
      <c r="J1242" s="28">
        <f>IFERROR(INDEX(MgAmenGrupo,MATCH(SUBSTITUTE($H1242,"*","-"),MgAmenClave,0)),"")</f>
        <v/>
      </c>
      <c r="K1242" s="64">
        <f>IFERROR(INDEX('1. Matriz de Activos'!$Q$6:$Q$239,MATCH($C1242,MgActId,0)),"")</f>
        <v/>
      </c>
      <c r="L1242" s="64">
        <f>IFERROR(INDEX('1. Matriz de Activos'!$R$6:$R$239,MATCH($C1242,MgActId,0)),"")</f>
        <v/>
      </c>
      <c r="M1242" s="64">
        <f>IFERROR(INDEX('1. Matriz de Activos'!$S$6:$S$239,MATCH($C1242,MgActId,0)),"")</f>
        <v/>
      </c>
      <c r="N1242" s="28">
        <f>IFERROR(INDEX(MgAmenDegD,MATCH(SUBSTITUTE($H1242,"*","-"),MgAmenClave,0)),"No aplica")</f>
        <v/>
      </c>
      <c r="O1242" s="28">
        <f>IFERROR(INDEX(MgAmenDegI,MATCH(SUBSTITUTE($H1242,"*","-"),MgAmenClave,0)),"No aplica")</f>
        <v/>
      </c>
      <c r="P1242" s="28">
        <f>IFERROR(INDEX(MgAmenDegC,MATCH(SUBSTITUTE($H1242,"*","-"),MgAmenClave,0)),"No aplica")</f>
        <v/>
      </c>
      <c r="Q1242" s="29">
        <f>IFERROR(VLOOKUP(K1242,MgValor,2,0)*VLOOKUP(N1242,MgDeg,2,0),0)</f>
        <v/>
      </c>
      <c r="R1242" s="29">
        <f>IFERROR(VLOOKUP(L1242,MgValor,2,0)*VLOOKUP(O1242,MgDeg,2,0),0)</f>
        <v/>
      </c>
      <c r="S1242" s="29">
        <f>IFERROR(VLOOKUP(M1242,MgValor,2,0)*VLOOKUP(P1242,MgDeg,2,0),0)</f>
        <v/>
      </c>
      <c r="T1242" s="30">
        <f>MAX(Q1242:S1242)</f>
        <v/>
      </c>
      <c r="U1242" s="28">
        <f>IFERROR(LOOKUP(T1242,{0;0.5;1.5;3;4.5},{"Despreciable";"Bajo";"Medio";"Alto";"Muy alto"}),"")</f>
        <v/>
      </c>
      <c r="V1242" s="13">
        <f>IFERROR(INDEX(MgAmenFrec,MATCH(SUBSTITUTE($H1242,"*","-"),MgAmenClave,0)),"")</f>
        <v/>
      </c>
      <c r="W1242" s="28">
        <f>IFERROR(LOOKUP(X1242,{0;0.01;0.1;1;10;100},{"Muy baja";"Muy baja";"Baja";"Media";"Alta";"Muy alta"}),"")</f>
        <v/>
      </c>
      <c r="X1242" s="31">
        <f>IFERROR(VLOOKUP(V1242,MgFrec,2,0),0)</f>
        <v/>
      </c>
      <c r="Y1242" s="30">
        <f>T1242*X1242</f>
        <v/>
      </c>
      <c r="Z1242" s="28">
        <f>IFERROR(LOOKUP(Y1242,{0;0.5;5;25},{"Bajo";"Medio";"Alto";"Crítico"}),"")</f>
        <v/>
      </c>
      <c r="AA1242" s="64">
        <f>IF(T1242&gt;=3,IF(X1242&gt;=1,"Zona 1 — Crítica: impacto alto y ocurre al menos una vez al año","Zona 4 — Catastrófica poco probable: impacto alto pero excepcional"),IF(AND(T1242&lt;1.5,X1242&lt;1),"Zona 3 — Asumible: impacto bajo y muy poco frecuente","Zona 2 — Atención: riesgo intermedio"))</f>
        <v/>
      </c>
      <c r="AB1242" s="64">
        <f>IFERROR(INDEX(MgAmenCtrl,MATCH(SUBSTITUTE($H1242,"*","-"),MgAmenClave,0)),"")</f>
        <v/>
      </c>
      <c r="AC1242" s="20" t="n"/>
      <c r="AD1242" s="31">
        <f>IFERROR($X1242*(1-IF($AC1242="",$AL1242,VLOOKUP($AC1242,MgMad,2,0))),"")</f>
        <v/>
      </c>
      <c r="AE1242" s="28">
        <f>IFERROR(LOOKUP(AD1242,{0;0.01;0.1;1;10;100},{"Muy baja";"Muy baja";"Baja";"Media";"Alta";"Muy alta"}),"")</f>
        <v/>
      </c>
      <c r="AF1242" s="30">
        <f>T1242*AD1242</f>
        <v/>
      </c>
      <c r="AG1242" s="28">
        <f>IFERROR(LOOKUP(AF1242,{0;0.5;5;25},{"Bajo";"Medio";"Alto";"Crítico"}),"")</f>
        <v/>
      </c>
      <c r="AH1242" s="28">
        <f>IF(AG1242="","",IF(OR(AG1242="Crítico",AG1242="Alto"),"Mitigar",IF(AG1242="Medio","Mitigar","Aceptar y monitorear")))</f>
        <v/>
      </c>
      <c r="AI1242" s="21" t="n"/>
      <c r="AJ1242" s="21" t="n"/>
      <c r="AK1242" s="20" t="n"/>
      <c r="AL1242" s="77">
        <f>IFERROR(INDEX(MgAmenEfic,MATCH(SUBSTITUTE($H1242,"*","-"),MgAmenClave,0)),0)</f>
        <v/>
      </c>
    </row>
    <row r="1243" hidden="1" ht="60" customHeight="1" s="54">
      <c r="B1243" s="59" t="inlineStr">
        <is>
          <t>R-1238</t>
        </is>
      </c>
      <c r="C1243" s="59" t="inlineStr">
        <is>
          <t>GH-025</t>
        </is>
      </c>
      <c r="D1243" s="64">
        <f>IFERROR(INDEX(MgNombre,MATCH($C1243,MgActId,0)),"")</f>
        <v/>
      </c>
      <c r="E1243" s="64">
        <f>IFERROR(INDEX(MgProceso,MATCH($C1243,MgActId,0)),"")</f>
        <v/>
      </c>
      <c r="F1243" s="64">
        <f>IFERROR(INDEX(MgTipo,MATCH($C1243,MgActId,0)),"")</f>
        <v/>
      </c>
      <c r="G1243" s="64">
        <f>IFERROR(INDEX(MgSubtipo,MATCH($C1243,MgActId,0)),"")</f>
        <v/>
      </c>
      <c r="H1243" s="59" t="inlineStr">
        <is>
          <t>A.3</t>
        </is>
      </c>
      <c r="I1243" s="64">
        <f>IFERROR(INDEX(MgAmenNombre,MATCH(SUBSTITUTE($H1243,"*","-"),MgAmenClave,0)),"")</f>
        <v/>
      </c>
      <c r="J1243" s="28">
        <f>IFERROR(INDEX(MgAmenGrupo,MATCH(SUBSTITUTE($H1243,"*","-"),MgAmenClave,0)),"")</f>
        <v/>
      </c>
      <c r="K1243" s="64">
        <f>IFERROR(INDEX('1. Matriz de Activos'!$Q$6:$Q$239,MATCH($C1243,MgActId,0)),"")</f>
        <v/>
      </c>
      <c r="L1243" s="64">
        <f>IFERROR(INDEX('1. Matriz de Activos'!$R$6:$R$239,MATCH($C1243,MgActId,0)),"")</f>
        <v/>
      </c>
      <c r="M1243" s="64">
        <f>IFERROR(INDEX('1. Matriz de Activos'!$S$6:$S$239,MATCH($C1243,MgActId,0)),"")</f>
        <v/>
      </c>
      <c r="N1243" s="28">
        <f>IFERROR(INDEX(MgAmenDegD,MATCH(SUBSTITUTE($H1243,"*","-"),MgAmenClave,0)),"No aplica")</f>
        <v/>
      </c>
      <c r="O1243" s="28">
        <f>IFERROR(INDEX(MgAmenDegI,MATCH(SUBSTITUTE($H1243,"*","-"),MgAmenClave,0)),"No aplica")</f>
        <v/>
      </c>
      <c r="P1243" s="28">
        <f>IFERROR(INDEX(MgAmenDegC,MATCH(SUBSTITUTE($H1243,"*","-"),MgAmenClave,0)),"No aplica")</f>
        <v/>
      </c>
      <c r="Q1243" s="29">
        <f>IFERROR(VLOOKUP(K1243,MgValor,2,0)*VLOOKUP(N1243,MgDeg,2,0),0)</f>
        <v/>
      </c>
      <c r="R1243" s="29">
        <f>IFERROR(VLOOKUP(L1243,MgValor,2,0)*VLOOKUP(O1243,MgDeg,2,0),0)</f>
        <v/>
      </c>
      <c r="S1243" s="29">
        <f>IFERROR(VLOOKUP(M1243,MgValor,2,0)*VLOOKUP(P1243,MgDeg,2,0),0)</f>
        <v/>
      </c>
      <c r="T1243" s="30">
        <f>MAX(Q1243:S1243)</f>
        <v/>
      </c>
      <c r="U1243" s="28">
        <f>IFERROR(LOOKUP(T1243,{0;0.5;1.5;3;4.5},{"Despreciable";"Bajo";"Medio";"Alto";"Muy alto"}),"")</f>
        <v/>
      </c>
      <c r="V1243" s="13">
        <f>IFERROR(INDEX(MgAmenFrec,MATCH(SUBSTITUTE($H1243,"*","-"),MgAmenClave,0)),"")</f>
        <v/>
      </c>
      <c r="W1243" s="28">
        <f>IFERROR(LOOKUP(X1243,{0;0.01;0.1;1;10;100},{"Muy baja";"Muy baja";"Baja";"Media";"Alta";"Muy alta"}),"")</f>
        <v/>
      </c>
      <c r="X1243" s="31">
        <f>IFERROR(VLOOKUP(V1243,MgFrec,2,0),0)</f>
        <v/>
      </c>
      <c r="Y1243" s="30">
        <f>T1243*X1243</f>
        <v/>
      </c>
      <c r="Z1243" s="28">
        <f>IFERROR(LOOKUP(Y1243,{0;0.5;5;25},{"Bajo";"Medio";"Alto";"Crítico"}),"")</f>
        <v/>
      </c>
      <c r="AA1243" s="64">
        <f>IF(T1243&gt;=3,IF(X1243&gt;=1,"Zona 1 — Crítica: impacto alto y ocurre al menos una vez al año","Zona 4 — Catastrófica poco probable: impacto alto pero excepcional"),IF(AND(T1243&lt;1.5,X1243&lt;1),"Zona 3 — Asumible: impacto bajo y muy poco frecuente","Zona 2 — Atención: riesgo intermedio"))</f>
        <v/>
      </c>
      <c r="AB1243" s="64">
        <f>IFERROR(INDEX(MgAmenCtrl,MATCH(SUBSTITUTE($H1243,"*","-"),MgAmenClave,0)),"")</f>
        <v/>
      </c>
      <c r="AC1243" s="20" t="n"/>
      <c r="AD1243" s="31">
        <f>IFERROR($X1243*(1-IF($AC1243="",$AL1243,VLOOKUP($AC1243,MgMad,2,0))),"")</f>
        <v/>
      </c>
      <c r="AE1243" s="28">
        <f>IFERROR(LOOKUP(AD1243,{0;0.01;0.1;1;10;100},{"Muy baja";"Muy baja";"Baja";"Media";"Alta";"Muy alta"}),"")</f>
        <v/>
      </c>
      <c r="AF1243" s="30">
        <f>T1243*AD1243</f>
        <v/>
      </c>
      <c r="AG1243" s="28">
        <f>IFERROR(LOOKUP(AF1243,{0;0.5;5;25},{"Bajo";"Medio";"Alto";"Crítico"}),"")</f>
        <v/>
      </c>
      <c r="AH1243" s="28">
        <f>IF(AG1243="","",IF(OR(AG1243="Crítico",AG1243="Alto"),"Mitigar",IF(AG1243="Medio","Mitigar","Aceptar y monitorear")))</f>
        <v/>
      </c>
      <c r="AI1243" s="21" t="n"/>
      <c r="AJ1243" s="21" t="n"/>
      <c r="AK1243" s="20" t="n"/>
      <c r="AL1243" s="77">
        <f>IFERROR(INDEX(MgAmenEfic,MATCH(SUBSTITUTE($H1243,"*","-"),MgAmenClave,0)),0)</f>
        <v/>
      </c>
    </row>
    <row r="1244" hidden="1" ht="60" customHeight="1" s="54">
      <c r="B1244" s="59" t="inlineStr">
        <is>
          <t>R-1239</t>
        </is>
      </c>
      <c r="C1244" s="59" t="inlineStr">
        <is>
          <t>GH-025</t>
        </is>
      </c>
      <c r="D1244" s="64">
        <f>IFERROR(INDEX(MgNombre,MATCH($C1244,MgActId,0)),"")</f>
        <v/>
      </c>
      <c r="E1244" s="64">
        <f>IFERROR(INDEX(MgProceso,MATCH($C1244,MgActId,0)),"")</f>
        <v/>
      </c>
      <c r="F1244" s="64">
        <f>IFERROR(INDEX(MgTipo,MATCH($C1244,MgActId,0)),"")</f>
        <v/>
      </c>
      <c r="G1244" s="64">
        <f>IFERROR(INDEX(MgSubtipo,MATCH($C1244,MgActId,0)),"")</f>
        <v/>
      </c>
      <c r="H1244" s="59" t="inlineStr">
        <is>
          <t>A.4</t>
        </is>
      </c>
      <c r="I1244" s="64">
        <f>IFERROR(INDEX(MgAmenNombre,MATCH(SUBSTITUTE($H1244,"*","-"),MgAmenClave,0)),"")</f>
        <v/>
      </c>
      <c r="J1244" s="28">
        <f>IFERROR(INDEX(MgAmenGrupo,MATCH(SUBSTITUTE($H1244,"*","-"),MgAmenClave,0)),"")</f>
        <v/>
      </c>
      <c r="K1244" s="64">
        <f>IFERROR(INDEX('1. Matriz de Activos'!$Q$6:$Q$239,MATCH($C1244,MgActId,0)),"")</f>
        <v/>
      </c>
      <c r="L1244" s="64">
        <f>IFERROR(INDEX('1. Matriz de Activos'!$R$6:$R$239,MATCH($C1244,MgActId,0)),"")</f>
        <v/>
      </c>
      <c r="M1244" s="64">
        <f>IFERROR(INDEX('1. Matriz de Activos'!$S$6:$S$239,MATCH($C1244,MgActId,0)),"")</f>
        <v/>
      </c>
      <c r="N1244" s="28">
        <f>IFERROR(INDEX(MgAmenDegD,MATCH(SUBSTITUTE($H1244,"*","-"),MgAmenClave,0)),"No aplica")</f>
        <v/>
      </c>
      <c r="O1244" s="28">
        <f>IFERROR(INDEX(MgAmenDegI,MATCH(SUBSTITUTE($H1244,"*","-"),MgAmenClave,0)),"No aplica")</f>
        <v/>
      </c>
      <c r="P1244" s="28">
        <f>IFERROR(INDEX(MgAmenDegC,MATCH(SUBSTITUTE($H1244,"*","-"),MgAmenClave,0)),"No aplica")</f>
        <v/>
      </c>
      <c r="Q1244" s="29">
        <f>IFERROR(VLOOKUP(K1244,MgValor,2,0)*VLOOKUP(N1244,MgDeg,2,0),0)</f>
        <v/>
      </c>
      <c r="R1244" s="29">
        <f>IFERROR(VLOOKUP(L1244,MgValor,2,0)*VLOOKUP(O1244,MgDeg,2,0),0)</f>
        <v/>
      </c>
      <c r="S1244" s="29">
        <f>IFERROR(VLOOKUP(M1244,MgValor,2,0)*VLOOKUP(P1244,MgDeg,2,0),0)</f>
        <v/>
      </c>
      <c r="T1244" s="30">
        <f>MAX(Q1244:S1244)</f>
        <v/>
      </c>
      <c r="U1244" s="28">
        <f>IFERROR(LOOKUP(T1244,{0;0.5;1.5;3;4.5},{"Despreciable";"Bajo";"Medio";"Alto";"Muy alto"}),"")</f>
        <v/>
      </c>
      <c r="V1244" s="13">
        <f>IFERROR(INDEX(MgAmenFrec,MATCH(SUBSTITUTE($H1244,"*","-"),MgAmenClave,0)),"")</f>
        <v/>
      </c>
      <c r="W1244" s="28">
        <f>IFERROR(LOOKUP(X1244,{0;0.01;0.1;1;10;100},{"Muy baja";"Muy baja";"Baja";"Media";"Alta";"Muy alta"}),"")</f>
        <v/>
      </c>
      <c r="X1244" s="31">
        <f>IFERROR(VLOOKUP(V1244,MgFrec,2,0),0)</f>
        <v/>
      </c>
      <c r="Y1244" s="30">
        <f>T1244*X1244</f>
        <v/>
      </c>
      <c r="Z1244" s="28">
        <f>IFERROR(LOOKUP(Y1244,{0;0.5;5;25},{"Bajo";"Medio";"Alto";"Crítico"}),"")</f>
        <v/>
      </c>
      <c r="AA1244" s="64">
        <f>IF(T1244&gt;=3,IF(X1244&gt;=1,"Zona 1 — Crítica: impacto alto y ocurre al menos una vez al año","Zona 4 — Catastrófica poco probable: impacto alto pero excepcional"),IF(AND(T1244&lt;1.5,X1244&lt;1),"Zona 3 — Asumible: impacto bajo y muy poco frecuente","Zona 2 — Atención: riesgo intermedio"))</f>
        <v/>
      </c>
      <c r="AB1244" s="64">
        <f>IFERROR(INDEX(MgAmenCtrl,MATCH(SUBSTITUTE($H1244,"*","-"),MgAmenClave,0)),"")</f>
        <v/>
      </c>
      <c r="AC1244" s="20" t="n"/>
      <c r="AD1244" s="31">
        <f>IFERROR($X1244*(1-IF($AC1244="",$AL1244,VLOOKUP($AC1244,MgMad,2,0))),"")</f>
        <v/>
      </c>
      <c r="AE1244" s="28">
        <f>IFERROR(LOOKUP(AD1244,{0;0.01;0.1;1;10;100},{"Muy baja";"Muy baja";"Baja";"Media";"Alta";"Muy alta"}),"")</f>
        <v/>
      </c>
      <c r="AF1244" s="30">
        <f>T1244*AD1244</f>
        <v/>
      </c>
      <c r="AG1244" s="28">
        <f>IFERROR(LOOKUP(AF1244,{0;0.5;5;25},{"Bajo";"Medio";"Alto";"Crítico"}),"")</f>
        <v/>
      </c>
      <c r="AH1244" s="28">
        <f>IF(AG1244="","",IF(OR(AG1244="Crítico",AG1244="Alto"),"Mitigar",IF(AG1244="Medio","Mitigar","Aceptar y monitorear")))</f>
        <v/>
      </c>
      <c r="AI1244" s="21" t="n"/>
      <c r="AJ1244" s="21" t="n"/>
      <c r="AK1244" s="20" t="n"/>
      <c r="AL1244" s="77">
        <f>IFERROR(INDEX(MgAmenEfic,MATCH(SUBSTITUTE($H1244,"*","-"),MgAmenClave,0)),0)</f>
        <v/>
      </c>
    </row>
    <row r="1245" hidden="1" ht="75" customHeight="1" s="54">
      <c r="B1245" s="59" t="inlineStr">
        <is>
          <t>R-1240</t>
        </is>
      </c>
      <c r="C1245" s="59" t="inlineStr">
        <is>
          <t>GH-025</t>
        </is>
      </c>
      <c r="D1245" s="64">
        <f>IFERROR(INDEX(MgNombre,MATCH($C1245,MgActId,0)),"")</f>
        <v/>
      </c>
      <c r="E1245" s="64">
        <f>IFERROR(INDEX(MgProceso,MATCH($C1245,MgActId,0)),"")</f>
        <v/>
      </c>
      <c r="F1245" s="64">
        <f>IFERROR(INDEX(MgTipo,MATCH($C1245,MgActId,0)),"")</f>
        <v/>
      </c>
      <c r="G1245" s="64">
        <f>IFERROR(INDEX(MgSubtipo,MATCH($C1245,MgActId,0)),"")</f>
        <v/>
      </c>
      <c r="H1245" s="59" t="inlineStr">
        <is>
          <t>A.5</t>
        </is>
      </c>
      <c r="I1245" s="64">
        <f>IFERROR(INDEX(MgAmenNombre,MATCH(SUBSTITUTE($H1245,"*","-"),MgAmenClave,0)),"")</f>
        <v/>
      </c>
      <c r="J1245" s="28">
        <f>IFERROR(INDEX(MgAmenGrupo,MATCH(SUBSTITUTE($H1245,"*","-"),MgAmenClave,0)),"")</f>
        <v/>
      </c>
      <c r="K1245" s="64">
        <f>IFERROR(INDEX('1. Matriz de Activos'!$Q$6:$Q$239,MATCH($C1245,MgActId,0)),"")</f>
        <v/>
      </c>
      <c r="L1245" s="64">
        <f>IFERROR(INDEX('1. Matriz de Activos'!$R$6:$R$239,MATCH($C1245,MgActId,0)),"")</f>
        <v/>
      </c>
      <c r="M1245" s="64">
        <f>IFERROR(INDEX('1. Matriz de Activos'!$S$6:$S$239,MATCH($C1245,MgActId,0)),"")</f>
        <v/>
      </c>
      <c r="N1245" s="28">
        <f>IFERROR(INDEX(MgAmenDegD,MATCH(SUBSTITUTE($H1245,"*","-"),MgAmenClave,0)),"No aplica")</f>
        <v/>
      </c>
      <c r="O1245" s="28">
        <f>IFERROR(INDEX(MgAmenDegI,MATCH(SUBSTITUTE($H1245,"*","-"),MgAmenClave,0)),"No aplica")</f>
        <v/>
      </c>
      <c r="P1245" s="28">
        <f>IFERROR(INDEX(MgAmenDegC,MATCH(SUBSTITUTE($H1245,"*","-"),MgAmenClave,0)),"No aplica")</f>
        <v/>
      </c>
      <c r="Q1245" s="29">
        <f>IFERROR(VLOOKUP(K1245,MgValor,2,0)*VLOOKUP(N1245,MgDeg,2,0),0)</f>
        <v/>
      </c>
      <c r="R1245" s="29">
        <f>IFERROR(VLOOKUP(L1245,MgValor,2,0)*VLOOKUP(O1245,MgDeg,2,0),0)</f>
        <v/>
      </c>
      <c r="S1245" s="29">
        <f>IFERROR(VLOOKUP(M1245,MgValor,2,0)*VLOOKUP(P1245,MgDeg,2,0),0)</f>
        <v/>
      </c>
      <c r="T1245" s="30">
        <f>MAX(Q1245:S1245)</f>
        <v/>
      </c>
      <c r="U1245" s="28">
        <f>IFERROR(LOOKUP(T1245,{0;0.5;1.5;3;4.5},{"Despreciable";"Bajo";"Medio";"Alto";"Muy alto"}),"")</f>
        <v/>
      </c>
      <c r="V1245" s="13">
        <f>IFERROR(INDEX(MgAmenFrec,MATCH(SUBSTITUTE($H1245,"*","-"),MgAmenClave,0)),"")</f>
        <v/>
      </c>
      <c r="W1245" s="28">
        <f>IFERROR(LOOKUP(X1245,{0;0.01;0.1;1;10;100},{"Muy baja";"Muy baja";"Baja";"Media";"Alta";"Muy alta"}),"")</f>
        <v/>
      </c>
      <c r="X1245" s="31">
        <f>IFERROR(VLOOKUP(V1245,MgFrec,2,0),0)</f>
        <v/>
      </c>
      <c r="Y1245" s="30">
        <f>T1245*X1245</f>
        <v/>
      </c>
      <c r="Z1245" s="28">
        <f>IFERROR(LOOKUP(Y1245,{0;0.5;5;25},{"Bajo";"Medio";"Alto";"Crítico"}),"")</f>
        <v/>
      </c>
      <c r="AA1245" s="64">
        <f>IF(T1245&gt;=3,IF(X1245&gt;=1,"Zona 1 — Crítica: impacto alto y ocurre al menos una vez al año","Zona 4 — Catastrófica poco probable: impacto alto pero excepcional"),IF(AND(T1245&lt;1.5,X1245&lt;1),"Zona 3 — Asumible: impacto bajo y muy poco frecuente","Zona 2 — Atención: riesgo intermedio"))</f>
        <v/>
      </c>
      <c r="AB1245" s="64">
        <f>IFERROR(INDEX(MgAmenCtrl,MATCH(SUBSTITUTE($H1245,"*","-"),MgAmenClave,0)),"")</f>
        <v/>
      </c>
      <c r="AC1245" s="20" t="n"/>
      <c r="AD1245" s="31">
        <f>IFERROR($X1245*(1-IF($AC1245="",$AL1245,VLOOKUP($AC1245,MgMad,2,0))),"")</f>
        <v/>
      </c>
      <c r="AE1245" s="28">
        <f>IFERROR(LOOKUP(AD1245,{0;0.01;0.1;1;10;100},{"Muy baja";"Muy baja";"Baja";"Media";"Alta";"Muy alta"}),"")</f>
        <v/>
      </c>
      <c r="AF1245" s="30">
        <f>T1245*AD1245</f>
        <v/>
      </c>
      <c r="AG1245" s="28">
        <f>IFERROR(LOOKUP(AF1245,{0;0.5;5;25},{"Bajo";"Medio";"Alto";"Crítico"}),"")</f>
        <v/>
      </c>
      <c r="AH1245" s="28">
        <f>IF(AG1245="","",IF(OR(AG1245="Crítico",AG1245="Alto"),"Mitigar",IF(AG1245="Medio","Mitigar","Aceptar y monitorear")))</f>
        <v/>
      </c>
      <c r="AI1245" s="21" t="n"/>
      <c r="AJ1245" s="21" t="n"/>
      <c r="AK1245" s="20" t="n"/>
      <c r="AL1245" s="77">
        <f>IFERROR(INDEX(MgAmenEfic,MATCH(SUBSTITUTE($H1245,"*","-"),MgAmenClave,0)),0)</f>
        <v/>
      </c>
    </row>
    <row r="1246" hidden="1" ht="105" customHeight="1" s="54">
      <c r="B1246" s="59" t="inlineStr">
        <is>
          <t>R-1241</t>
        </is>
      </c>
      <c r="C1246" s="59" t="inlineStr">
        <is>
          <t>GH-025</t>
        </is>
      </c>
      <c r="D1246" s="64">
        <f>IFERROR(INDEX(MgNombre,MATCH($C1246,MgActId,0)),"")</f>
        <v/>
      </c>
      <c r="E1246" s="64">
        <f>IFERROR(INDEX(MgProceso,MATCH($C1246,MgActId,0)),"")</f>
        <v/>
      </c>
      <c r="F1246" s="64">
        <f>IFERROR(INDEX(MgTipo,MATCH($C1246,MgActId,0)),"")</f>
        <v/>
      </c>
      <c r="G1246" s="64">
        <f>IFERROR(INDEX(MgSubtipo,MATCH($C1246,MgActId,0)),"")</f>
        <v/>
      </c>
      <c r="H1246" s="59" t="inlineStr">
        <is>
          <t>A.6</t>
        </is>
      </c>
      <c r="I1246" s="64">
        <f>IFERROR(INDEX(MgAmenNombre,MATCH(SUBSTITUTE($H1246,"*","-"),MgAmenClave,0)),"")</f>
        <v/>
      </c>
      <c r="J1246" s="28">
        <f>IFERROR(INDEX(MgAmenGrupo,MATCH(SUBSTITUTE($H1246,"*","-"),MgAmenClave,0)),"")</f>
        <v/>
      </c>
      <c r="K1246" s="64">
        <f>IFERROR(INDEX('1. Matriz de Activos'!$Q$6:$Q$239,MATCH($C1246,MgActId,0)),"")</f>
        <v/>
      </c>
      <c r="L1246" s="64">
        <f>IFERROR(INDEX('1. Matriz de Activos'!$R$6:$R$239,MATCH($C1246,MgActId,0)),"")</f>
        <v/>
      </c>
      <c r="M1246" s="64">
        <f>IFERROR(INDEX('1. Matriz de Activos'!$S$6:$S$239,MATCH($C1246,MgActId,0)),"")</f>
        <v/>
      </c>
      <c r="N1246" s="28">
        <f>IFERROR(INDEX(MgAmenDegD,MATCH(SUBSTITUTE($H1246,"*","-"),MgAmenClave,0)),"No aplica")</f>
        <v/>
      </c>
      <c r="O1246" s="28">
        <f>IFERROR(INDEX(MgAmenDegI,MATCH(SUBSTITUTE($H1246,"*","-"),MgAmenClave,0)),"No aplica")</f>
        <v/>
      </c>
      <c r="P1246" s="28">
        <f>IFERROR(INDEX(MgAmenDegC,MATCH(SUBSTITUTE($H1246,"*","-"),MgAmenClave,0)),"No aplica")</f>
        <v/>
      </c>
      <c r="Q1246" s="29">
        <f>IFERROR(VLOOKUP(K1246,MgValor,2,0)*VLOOKUP(N1246,MgDeg,2,0),0)</f>
        <v/>
      </c>
      <c r="R1246" s="29">
        <f>IFERROR(VLOOKUP(L1246,MgValor,2,0)*VLOOKUP(O1246,MgDeg,2,0),0)</f>
        <v/>
      </c>
      <c r="S1246" s="29">
        <f>IFERROR(VLOOKUP(M1246,MgValor,2,0)*VLOOKUP(P1246,MgDeg,2,0),0)</f>
        <v/>
      </c>
      <c r="T1246" s="30">
        <f>MAX(Q1246:S1246)</f>
        <v/>
      </c>
      <c r="U1246" s="28">
        <f>IFERROR(LOOKUP(T1246,{0;0.5;1.5;3;4.5},{"Despreciable";"Bajo";"Medio";"Alto";"Muy alto"}),"")</f>
        <v/>
      </c>
      <c r="V1246" s="13">
        <f>IFERROR(INDEX(MgAmenFrec,MATCH(SUBSTITUTE($H1246,"*","-"),MgAmenClave,0)),"")</f>
        <v/>
      </c>
      <c r="W1246" s="28">
        <f>IFERROR(LOOKUP(X1246,{0;0.01;0.1;1;10;100},{"Muy baja";"Muy baja";"Baja";"Media";"Alta";"Muy alta"}),"")</f>
        <v/>
      </c>
      <c r="X1246" s="31">
        <f>IFERROR(VLOOKUP(V1246,MgFrec,2,0),0)</f>
        <v/>
      </c>
      <c r="Y1246" s="30">
        <f>T1246*X1246</f>
        <v/>
      </c>
      <c r="Z1246" s="28">
        <f>IFERROR(LOOKUP(Y1246,{0;0.5;5;25},{"Bajo";"Medio";"Alto";"Crítico"}),"")</f>
        <v/>
      </c>
      <c r="AA1246" s="64">
        <f>IF(T1246&gt;=3,IF(X1246&gt;=1,"Zona 1 — Crítica: impacto alto y ocurre al menos una vez al año","Zona 4 — Catastrófica poco probable: impacto alto pero excepcional"),IF(AND(T1246&lt;1.5,X1246&lt;1),"Zona 3 — Asumible: impacto bajo y muy poco frecuente","Zona 2 — Atención: riesgo intermedio"))</f>
        <v/>
      </c>
      <c r="AB1246" s="64">
        <f>IFERROR(INDEX(MgAmenCtrl,MATCH(SUBSTITUTE($H1246,"*","-"),MgAmenClave,0)),"")</f>
        <v/>
      </c>
      <c r="AC1246" s="20" t="n"/>
      <c r="AD1246" s="31">
        <f>IFERROR($X1246*(1-IF($AC1246="",$AL1246,VLOOKUP($AC1246,MgMad,2,0))),"")</f>
        <v/>
      </c>
      <c r="AE1246" s="28">
        <f>IFERROR(LOOKUP(AD1246,{0;0.01;0.1;1;10;100},{"Muy baja";"Muy baja";"Baja";"Media";"Alta";"Muy alta"}),"")</f>
        <v/>
      </c>
      <c r="AF1246" s="30">
        <f>T1246*AD1246</f>
        <v/>
      </c>
      <c r="AG1246" s="28">
        <f>IFERROR(LOOKUP(AF1246,{0;0.5;5;25},{"Bajo";"Medio";"Alto";"Crítico"}),"")</f>
        <v/>
      </c>
      <c r="AH1246" s="28">
        <f>IF(AG1246="","",IF(OR(AG1246="Crítico",AG1246="Alto"),"Mitigar",IF(AG1246="Medio","Mitigar","Aceptar y monitorear")))</f>
        <v/>
      </c>
      <c r="AI1246" s="21" t="n"/>
      <c r="AJ1246" s="21" t="n"/>
      <c r="AK1246" s="20" t="n"/>
      <c r="AL1246" s="77">
        <f>IFERROR(INDEX(MgAmenEfic,MATCH(SUBSTITUTE($H1246,"*","-"),MgAmenClave,0)),0)</f>
        <v/>
      </c>
    </row>
    <row r="1247" hidden="1" ht="120" customHeight="1" s="54">
      <c r="B1247" s="59" t="inlineStr">
        <is>
          <t>R-1242</t>
        </is>
      </c>
      <c r="C1247" s="59" t="inlineStr">
        <is>
          <t>GH-025</t>
        </is>
      </c>
      <c r="D1247" s="64">
        <f>IFERROR(INDEX(MgNombre,MATCH($C1247,MgActId,0)),"")</f>
        <v/>
      </c>
      <c r="E1247" s="64">
        <f>IFERROR(INDEX(MgProceso,MATCH($C1247,MgActId,0)),"")</f>
        <v/>
      </c>
      <c r="F1247" s="64">
        <f>IFERROR(INDEX(MgTipo,MATCH($C1247,MgActId,0)),"")</f>
        <v/>
      </c>
      <c r="G1247" s="64">
        <f>IFERROR(INDEX(MgSubtipo,MATCH($C1247,MgActId,0)),"")</f>
        <v/>
      </c>
      <c r="H1247" s="59" t="inlineStr">
        <is>
          <t>A.11</t>
        </is>
      </c>
      <c r="I1247" s="64">
        <f>IFERROR(INDEX(MgAmenNombre,MATCH(SUBSTITUTE($H1247,"*","-"),MgAmenClave,0)),"")</f>
        <v/>
      </c>
      <c r="J1247" s="28">
        <f>IFERROR(INDEX(MgAmenGrupo,MATCH(SUBSTITUTE($H1247,"*","-"),MgAmenClave,0)),"")</f>
        <v/>
      </c>
      <c r="K1247" s="64">
        <f>IFERROR(INDEX('1. Matriz de Activos'!$Q$6:$Q$239,MATCH($C1247,MgActId,0)),"")</f>
        <v/>
      </c>
      <c r="L1247" s="64">
        <f>IFERROR(INDEX('1. Matriz de Activos'!$R$6:$R$239,MATCH($C1247,MgActId,0)),"")</f>
        <v/>
      </c>
      <c r="M1247" s="64">
        <f>IFERROR(INDEX('1. Matriz de Activos'!$S$6:$S$239,MATCH($C1247,MgActId,0)),"")</f>
        <v/>
      </c>
      <c r="N1247" s="28">
        <f>IFERROR(INDEX(MgAmenDegD,MATCH(SUBSTITUTE($H1247,"*","-"),MgAmenClave,0)),"No aplica")</f>
        <v/>
      </c>
      <c r="O1247" s="28">
        <f>IFERROR(INDEX(MgAmenDegI,MATCH(SUBSTITUTE($H1247,"*","-"),MgAmenClave,0)),"No aplica")</f>
        <v/>
      </c>
      <c r="P1247" s="28">
        <f>IFERROR(INDEX(MgAmenDegC,MATCH(SUBSTITUTE($H1247,"*","-"),MgAmenClave,0)),"No aplica")</f>
        <v/>
      </c>
      <c r="Q1247" s="29">
        <f>IFERROR(VLOOKUP(K1247,MgValor,2,0)*VLOOKUP(N1247,MgDeg,2,0),0)</f>
        <v/>
      </c>
      <c r="R1247" s="29">
        <f>IFERROR(VLOOKUP(L1247,MgValor,2,0)*VLOOKUP(O1247,MgDeg,2,0),0)</f>
        <v/>
      </c>
      <c r="S1247" s="29">
        <f>IFERROR(VLOOKUP(M1247,MgValor,2,0)*VLOOKUP(P1247,MgDeg,2,0),0)</f>
        <v/>
      </c>
      <c r="T1247" s="30">
        <f>MAX(Q1247:S1247)</f>
        <v/>
      </c>
      <c r="U1247" s="28">
        <f>IFERROR(LOOKUP(T1247,{0;0.5;1.5;3;4.5},{"Despreciable";"Bajo";"Medio";"Alto";"Muy alto"}),"")</f>
        <v/>
      </c>
      <c r="V1247" s="13">
        <f>IFERROR(INDEX(MgAmenFrec,MATCH(SUBSTITUTE($H1247,"*","-"),MgAmenClave,0)),"")</f>
        <v/>
      </c>
      <c r="W1247" s="28">
        <f>IFERROR(LOOKUP(X1247,{0;0.01;0.1;1;10;100},{"Muy baja";"Muy baja";"Baja";"Media";"Alta";"Muy alta"}),"")</f>
        <v/>
      </c>
      <c r="X1247" s="31">
        <f>IFERROR(VLOOKUP(V1247,MgFrec,2,0),0)</f>
        <v/>
      </c>
      <c r="Y1247" s="30">
        <f>T1247*X1247</f>
        <v/>
      </c>
      <c r="Z1247" s="28">
        <f>IFERROR(LOOKUP(Y1247,{0;0.5;5;25},{"Bajo";"Medio";"Alto";"Crítico"}),"")</f>
        <v/>
      </c>
      <c r="AA1247" s="64">
        <f>IF(T1247&gt;=3,IF(X1247&gt;=1,"Zona 1 — Crítica: impacto alto y ocurre al menos una vez al año","Zona 4 — Catastrófica poco probable: impacto alto pero excepcional"),IF(AND(T1247&lt;1.5,X1247&lt;1),"Zona 3 — Asumible: impacto bajo y muy poco frecuente","Zona 2 — Atención: riesgo intermedio"))</f>
        <v/>
      </c>
      <c r="AB1247" s="64">
        <f>IFERROR(INDEX(MgAmenCtrl,MATCH(SUBSTITUTE($H1247,"*","-"),MgAmenClave,0)),"")</f>
        <v/>
      </c>
      <c r="AC1247" s="20" t="n"/>
      <c r="AD1247" s="31">
        <f>IFERROR($X1247*(1-IF($AC1247="",$AL1247,VLOOKUP($AC1247,MgMad,2,0))),"")</f>
        <v/>
      </c>
      <c r="AE1247" s="28">
        <f>IFERROR(LOOKUP(AD1247,{0;0.01;0.1;1;10;100},{"Muy baja";"Muy baja";"Baja";"Media";"Alta";"Muy alta"}),"")</f>
        <v/>
      </c>
      <c r="AF1247" s="30">
        <f>T1247*AD1247</f>
        <v/>
      </c>
      <c r="AG1247" s="28">
        <f>IFERROR(LOOKUP(AF1247,{0;0.5;5;25},{"Bajo";"Medio";"Alto";"Crítico"}),"")</f>
        <v/>
      </c>
      <c r="AH1247" s="28">
        <f>IF(AG1247="","",IF(OR(AG1247="Crítico",AG1247="Alto"),"Mitigar",IF(AG1247="Medio","Mitigar","Aceptar y monitorear")))</f>
        <v/>
      </c>
      <c r="AI1247" s="21" t="n"/>
      <c r="AJ1247" s="21" t="n"/>
      <c r="AK1247" s="20" t="n"/>
      <c r="AL1247" s="77">
        <f>IFERROR(INDEX(MgAmenEfic,MATCH(SUBSTITUTE($H1247,"*","-"),MgAmenClave,0)),0)</f>
        <v/>
      </c>
    </row>
    <row r="1248" hidden="1" ht="90" customHeight="1" s="54">
      <c r="B1248" s="59" t="inlineStr">
        <is>
          <t>R-1243</t>
        </is>
      </c>
      <c r="C1248" s="59" t="inlineStr">
        <is>
          <t>GH-025</t>
        </is>
      </c>
      <c r="D1248" s="64">
        <f>IFERROR(INDEX(MgNombre,MATCH($C1248,MgActId,0)),"")</f>
        <v/>
      </c>
      <c r="E1248" s="64">
        <f>IFERROR(INDEX(MgProceso,MATCH($C1248,MgActId,0)),"")</f>
        <v/>
      </c>
      <c r="F1248" s="64">
        <f>IFERROR(INDEX(MgTipo,MATCH($C1248,MgActId,0)),"")</f>
        <v/>
      </c>
      <c r="G1248" s="64">
        <f>IFERROR(INDEX(MgSubtipo,MATCH($C1248,MgActId,0)),"")</f>
        <v/>
      </c>
      <c r="H1248" s="59" t="inlineStr">
        <is>
          <t>A.13</t>
        </is>
      </c>
      <c r="I1248" s="64">
        <f>IFERROR(INDEX(MgAmenNombre,MATCH(SUBSTITUTE($H1248,"*","-"),MgAmenClave,0)),"")</f>
        <v/>
      </c>
      <c r="J1248" s="28">
        <f>IFERROR(INDEX(MgAmenGrupo,MATCH(SUBSTITUTE($H1248,"*","-"),MgAmenClave,0)),"")</f>
        <v/>
      </c>
      <c r="K1248" s="64">
        <f>IFERROR(INDEX('1. Matriz de Activos'!$Q$6:$Q$239,MATCH($C1248,MgActId,0)),"")</f>
        <v/>
      </c>
      <c r="L1248" s="64">
        <f>IFERROR(INDEX('1. Matriz de Activos'!$R$6:$R$239,MATCH($C1248,MgActId,0)),"")</f>
        <v/>
      </c>
      <c r="M1248" s="64">
        <f>IFERROR(INDEX('1. Matriz de Activos'!$S$6:$S$239,MATCH($C1248,MgActId,0)),"")</f>
        <v/>
      </c>
      <c r="N1248" s="28">
        <f>IFERROR(INDEX(MgAmenDegD,MATCH(SUBSTITUTE($H1248,"*","-"),MgAmenClave,0)),"No aplica")</f>
        <v/>
      </c>
      <c r="O1248" s="28">
        <f>IFERROR(INDEX(MgAmenDegI,MATCH(SUBSTITUTE($H1248,"*","-"),MgAmenClave,0)),"No aplica")</f>
        <v/>
      </c>
      <c r="P1248" s="28">
        <f>IFERROR(INDEX(MgAmenDegC,MATCH(SUBSTITUTE($H1248,"*","-"),MgAmenClave,0)),"No aplica")</f>
        <v/>
      </c>
      <c r="Q1248" s="29">
        <f>IFERROR(VLOOKUP(K1248,MgValor,2,0)*VLOOKUP(N1248,MgDeg,2,0),0)</f>
        <v/>
      </c>
      <c r="R1248" s="29">
        <f>IFERROR(VLOOKUP(L1248,MgValor,2,0)*VLOOKUP(O1248,MgDeg,2,0),0)</f>
        <v/>
      </c>
      <c r="S1248" s="29">
        <f>IFERROR(VLOOKUP(M1248,MgValor,2,0)*VLOOKUP(P1248,MgDeg,2,0),0)</f>
        <v/>
      </c>
      <c r="T1248" s="30">
        <f>MAX(Q1248:S1248)</f>
        <v/>
      </c>
      <c r="U1248" s="28">
        <f>IFERROR(LOOKUP(T1248,{0;0.5;1.5;3;4.5},{"Despreciable";"Bajo";"Medio";"Alto";"Muy alto"}),"")</f>
        <v/>
      </c>
      <c r="V1248" s="13">
        <f>IFERROR(INDEX(MgAmenFrec,MATCH(SUBSTITUTE($H1248,"*","-"),MgAmenClave,0)),"")</f>
        <v/>
      </c>
      <c r="W1248" s="28">
        <f>IFERROR(LOOKUP(X1248,{0;0.01;0.1;1;10;100},{"Muy baja";"Muy baja";"Baja";"Media";"Alta";"Muy alta"}),"")</f>
        <v/>
      </c>
      <c r="X1248" s="31">
        <f>IFERROR(VLOOKUP(V1248,MgFrec,2,0),0)</f>
        <v/>
      </c>
      <c r="Y1248" s="30">
        <f>T1248*X1248</f>
        <v/>
      </c>
      <c r="Z1248" s="28">
        <f>IFERROR(LOOKUP(Y1248,{0;0.5;5;25},{"Bajo";"Medio";"Alto";"Crítico"}),"")</f>
        <v/>
      </c>
      <c r="AA1248" s="64">
        <f>IF(T1248&gt;=3,IF(X1248&gt;=1,"Zona 1 — Crítica: impacto alto y ocurre al menos una vez al año","Zona 4 — Catastrófica poco probable: impacto alto pero excepcional"),IF(AND(T1248&lt;1.5,X1248&lt;1),"Zona 3 — Asumible: impacto bajo y muy poco frecuente","Zona 2 — Atención: riesgo intermedio"))</f>
        <v/>
      </c>
      <c r="AB1248" s="64">
        <f>IFERROR(INDEX(MgAmenCtrl,MATCH(SUBSTITUTE($H1248,"*","-"),MgAmenClave,0)),"")</f>
        <v/>
      </c>
      <c r="AC1248" s="20" t="n"/>
      <c r="AD1248" s="31">
        <f>IFERROR($X1248*(1-IF($AC1248="",$AL1248,VLOOKUP($AC1248,MgMad,2,0))),"")</f>
        <v/>
      </c>
      <c r="AE1248" s="28">
        <f>IFERROR(LOOKUP(AD1248,{0;0.01;0.1;1;10;100},{"Muy baja";"Muy baja";"Baja";"Media";"Alta";"Muy alta"}),"")</f>
        <v/>
      </c>
      <c r="AF1248" s="30">
        <f>T1248*AD1248</f>
        <v/>
      </c>
      <c r="AG1248" s="28">
        <f>IFERROR(LOOKUP(AF1248,{0;0.5;5;25},{"Bajo";"Medio";"Alto";"Crítico"}),"")</f>
        <v/>
      </c>
      <c r="AH1248" s="28">
        <f>IF(AG1248="","",IF(OR(AG1248="Crítico",AG1248="Alto"),"Mitigar",IF(AG1248="Medio","Mitigar","Aceptar y monitorear")))</f>
        <v/>
      </c>
      <c r="AI1248" s="21" t="n"/>
      <c r="AJ1248" s="21" t="n"/>
      <c r="AK1248" s="20" t="n"/>
      <c r="AL1248" s="77">
        <f>IFERROR(INDEX(MgAmenEfic,MATCH(SUBSTITUTE($H1248,"*","-"),MgAmenClave,0)),0)</f>
        <v/>
      </c>
    </row>
    <row r="1249" hidden="1" ht="60" customHeight="1" s="54">
      <c r="B1249" s="59" t="inlineStr">
        <is>
          <t>R-1244</t>
        </is>
      </c>
      <c r="C1249" s="59" t="inlineStr">
        <is>
          <t>GH-025</t>
        </is>
      </c>
      <c r="D1249" s="64">
        <f>IFERROR(INDEX(MgNombre,MATCH($C1249,MgActId,0)),"")</f>
        <v/>
      </c>
      <c r="E1249" s="64">
        <f>IFERROR(INDEX(MgProceso,MATCH($C1249,MgActId,0)),"")</f>
        <v/>
      </c>
      <c r="F1249" s="64">
        <f>IFERROR(INDEX(MgTipo,MATCH($C1249,MgActId,0)),"")</f>
        <v/>
      </c>
      <c r="G1249" s="64">
        <f>IFERROR(INDEX(MgSubtipo,MATCH($C1249,MgActId,0)),"")</f>
        <v/>
      </c>
      <c r="H1249" s="59" t="inlineStr">
        <is>
          <t>A.15</t>
        </is>
      </c>
      <c r="I1249" s="64">
        <f>IFERROR(INDEX(MgAmenNombre,MATCH(SUBSTITUTE($H1249,"*","-"),MgAmenClave,0)),"")</f>
        <v/>
      </c>
      <c r="J1249" s="28">
        <f>IFERROR(INDEX(MgAmenGrupo,MATCH(SUBSTITUTE($H1249,"*","-"),MgAmenClave,0)),"")</f>
        <v/>
      </c>
      <c r="K1249" s="64">
        <f>IFERROR(INDEX('1. Matriz de Activos'!$Q$6:$Q$239,MATCH($C1249,MgActId,0)),"")</f>
        <v/>
      </c>
      <c r="L1249" s="64">
        <f>IFERROR(INDEX('1. Matriz de Activos'!$R$6:$R$239,MATCH($C1249,MgActId,0)),"")</f>
        <v/>
      </c>
      <c r="M1249" s="64">
        <f>IFERROR(INDEX('1. Matriz de Activos'!$S$6:$S$239,MATCH($C1249,MgActId,0)),"")</f>
        <v/>
      </c>
      <c r="N1249" s="28">
        <f>IFERROR(INDEX(MgAmenDegD,MATCH(SUBSTITUTE($H1249,"*","-"),MgAmenClave,0)),"No aplica")</f>
        <v/>
      </c>
      <c r="O1249" s="28">
        <f>IFERROR(INDEX(MgAmenDegI,MATCH(SUBSTITUTE($H1249,"*","-"),MgAmenClave,0)),"No aplica")</f>
        <v/>
      </c>
      <c r="P1249" s="28">
        <f>IFERROR(INDEX(MgAmenDegC,MATCH(SUBSTITUTE($H1249,"*","-"),MgAmenClave,0)),"No aplica")</f>
        <v/>
      </c>
      <c r="Q1249" s="29">
        <f>IFERROR(VLOOKUP(K1249,MgValor,2,0)*VLOOKUP(N1249,MgDeg,2,0),0)</f>
        <v/>
      </c>
      <c r="R1249" s="29">
        <f>IFERROR(VLOOKUP(L1249,MgValor,2,0)*VLOOKUP(O1249,MgDeg,2,0),0)</f>
        <v/>
      </c>
      <c r="S1249" s="29">
        <f>IFERROR(VLOOKUP(M1249,MgValor,2,0)*VLOOKUP(P1249,MgDeg,2,0),0)</f>
        <v/>
      </c>
      <c r="T1249" s="30">
        <f>MAX(Q1249:S1249)</f>
        <v/>
      </c>
      <c r="U1249" s="28">
        <f>IFERROR(LOOKUP(T1249,{0;0.5;1.5;3;4.5},{"Despreciable";"Bajo";"Medio";"Alto";"Muy alto"}),"")</f>
        <v/>
      </c>
      <c r="V1249" s="13">
        <f>IFERROR(INDEX(MgAmenFrec,MATCH(SUBSTITUTE($H1249,"*","-"),MgAmenClave,0)),"")</f>
        <v/>
      </c>
      <c r="W1249" s="28">
        <f>IFERROR(LOOKUP(X1249,{0;0.01;0.1;1;10;100},{"Muy baja";"Muy baja";"Baja";"Media";"Alta";"Muy alta"}),"")</f>
        <v/>
      </c>
      <c r="X1249" s="31">
        <f>IFERROR(VLOOKUP(V1249,MgFrec,2,0),0)</f>
        <v/>
      </c>
      <c r="Y1249" s="30">
        <f>T1249*X1249</f>
        <v/>
      </c>
      <c r="Z1249" s="28">
        <f>IFERROR(LOOKUP(Y1249,{0;0.5;5;25},{"Bajo";"Medio";"Alto";"Crítico"}),"")</f>
        <v/>
      </c>
      <c r="AA1249" s="64">
        <f>IF(T1249&gt;=3,IF(X1249&gt;=1,"Zona 1 — Crítica: impacto alto y ocurre al menos una vez al año","Zona 4 — Catastrófica poco probable: impacto alto pero excepcional"),IF(AND(T1249&lt;1.5,X1249&lt;1),"Zona 3 — Asumible: impacto bajo y muy poco frecuente","Zona 2 — Atención: riesgo intermedio"))</f>
        <v/>
      </c>
      <c r="AB1249" s="64">
        <f>IFERROR(INDEX(MgAmenCtrl,MATCH(SUBSTITUTE($H1249,"*","-"),MgAmenClave,0)),"")</f>
        <v/>
      </c>
      <c r="AC1249" s="20" t="n"/>
      <c r="AD1249" s="31">
        <f>IFERROR($X1249*(1-IF($AC1249="",$AL1249,VLOOKUP($AC1249,MgMad,2,0))),"")</f>
        <v/>
      </c>
      <c r="AE1249" s="28">
        <f>IFERROR(LOOKUP(AD1249,{0;0.01;0.1;1;10;100},{"Muy baja";"Muy baja";"Baja";"Media";"Alta";"Muy alta"}),"")</f>
        <v/>
      </c>
      <c r="AF1249" s="30">
        <f>T1249*AD1249</f>
        <v/>
      </c>
      <c r="AG1249" s="28">
        <f>IFERROR(LOOKUP(AF1249,{0;0.5;5;25},{"Bajo";"Medio";"Alto";"Crítico"}),"")</f>
        <v/>
      </c>
      <c r="AH1249" s="28">
        <f>IF(AG1249="","",IF(OR(AG1249="Crítico",AG1249="Alto"),"Mitigar",IF(AG1249="Medio","Mitigar","Aceptar y monitorear")))</f>
        <v/>
      </c>
      <c r="AI1249" s="21" t="n"/>
      <c r="AJ1249" s="21" t="n"/>
      <c r="AK1249" s="20" t="n"/>
      <c r="AL1249" s="77">
        <f>IFERROR(INDEX(MgAmenEfic,MATCH(SUBSTITUTE($H1249,"*","-"),MgAmenClave,0)),0)</f>
        <v/>
      </c>
    </row>
    <row r="1250" hidden="1" ht="60" customHeight="1" s="54">
      <c r="B1250" s="59" t="inlineStr">
        <is>
          <t>R-1245</t>
        </is>
      </c>
      <c r="C1250" s="59" t="inlineStr">
        <is>
          <t>GH-025</t>
        </is>
      </c>
      <c r="D1250" s="64">
        <f>IFERROR(INDEX(MgNombre,MATCH($C1250,MgActId,0)),"")</f>
        <v/>
      </c>
      <c r="E1250" s="64">
        <f>IFERROR(INDEX(MgProceso,MATCH($C1250,MgActId,0)),"")</f>
        <v/>
      </c>
      <c r="F1250" s="64">
        <f>IFERROR(INDEX(MgTipo,MATCH($C1250,MgActId,0)),"")</f>
        <v/>
      </c>
      <c r="G1250" s="64">
        <f>IFERROR(INDEX(MgSubtipo,MATCH($C1250,MgActId,0)),"")</f>
        <v/>
      </c>
      <c r="H1250" s="59" t="inlineStr">
        <is>
          <t>A.18</t>
        </is>
      </c>
      <c r="I1250" s="64">
        <f>IFERROR(INDEX(MgAmenNombre,MATCH(SUBSTITUTE($H1250,"*","-"),MgAmenClave,0)),"")</f>
        <v/>
      </c>
      <c r="J1250" s="28">
        <f>IFERROR(INDEX(MgAmenGrupo,MATCH(SUBSTITUTE($H1250,"*","-"),MgAmenClave,0)),"")</f>
        <v/>
      </c>
      <c r="K1250" s="64">
        <f>IFERROR(INDEX('1. Matriz de Activos'!$Q$6:$Q$239,MATCH($C1250,MgActId,0)),"")</f>
        <v/>
      </c>
      <c r="L1250" s="64">
        <f>IFERROR(INDEX('1. Matriz de Activos'!$R$6:$R$239,MATCH($C1250,MgActId,0)),"")</f>
        <v/>
      </c>
      <c r="M1250" s="64">
        <f>IFERROR(INDEX('1. Matriz de Activos'!$S$6:$S$239,MATCH($C1250,MgActId,0)),"")</f>
        <v/>
      </c>
      <c r="N1250" s="28">
        <f>IFERROR(INDEX(MgAmenDegD,MATCH(SUBSTITUTE($H1250,"*","-"),MgAmenClave,0)),"No aplica")</f>
        <v/>
      </c>
      <c r="O1250" s="28">
        <f>IFERROR(INDEX(MgAmenDegI,MATCH(SUBSTITUTE($H1250,"*","-"),MgAmenClave,0)),"No aplica")</f>
        <v/>
      </c>
      <c r="P1250" s="28">
        <f>IFERROR(INDEX(MgAmenDegC,MATCH(SUBSTITUTE($H1250,"*","-"),MgAmenClave,0)),"No aplica")</f>
        <v/>
      </c>
      <c r="Q1250" s="29">
        <f>IFERROR(VLOOKUP(K1250,MgValor,2,0)*VLOOKUP(N1250,MgDeg,2,0),0)</f>
        <v/>
      </c>
      <c r="R1250" s="29">
        <f>IFERROR(VLOOKUP(L1250,MgValor,2,0)*VLOOKUP(O1250,MgDeg,2,0),0)</f>
        <v/>
      </c>
      <c r="S1250" s="29">
        <f>IFERROR(VLOOKUP(M1250,MgValor,2,0)*VLOOKUP(P1250,MgDeg,2,0),0)</f>
        <v/>
      </c>
      <c r="T1250" s="30">
        <f>MAX(Q1250:S1250)</f>
        <v/>
      </c>
      <c r="U1250" s="28">
        <f>IFERROR(LOOKUP(T1250,{0;0.5;1.5;3;4.5},{"Despreciable";"Bajo";"Medio";"Alto";"Muy alto"}),"")</f>
        <v/>
      </c>
      <c r="V1250" s="13">
        <f>IFERROR(INDEX(MgAmenFrec,MATCH(SUBSTITUTE($H1250,"*","-"),MgAmenClave,0)),"")</f>
        <v/>
      </c>
      <c r="W1250" s="28">
        <f>IFERROR(LOOKUP(X1250,{0;0.01;0.1;1;10;100},{"Muy baja";"Muy baja";"Baja";"Media";"Alta";"Muy alta"}),"")</f>
        <v/>
      </c>
      <c r="X1250" s="31">
        <f>IFERROR(VLOOKUP(V1250,MgFrec,2,0),0)</f>
        <v/>
      </c>
      <c r="Y1250" s="30">
        <f>T1250*X1250</f>
        <v/>
      </c>
      <c r="Z1250" s="28">
        <f>IFERROR(LOOKUP(Y1250,{0;0.5;5;25},{"Bajo";"Medio";"Alto";"Crítico"}),"")</f>
        <v/>
      </c>
      <c r="AA1250" s="64">
        <f>IF(T1250&gt;=3,IF(X1250&gt;=1,"Zona 1 — Crítica: impacto alto y ocurre al menos una vez al año","Zona 4 — Catastrófica poco probable: impacto alto pero excepcional"),IF(AND(T1250&lt;1.5,X1250&lt;1),"Zona 3 — Asumible: impacto bajo y muy poco frecuente","Zona 2 — Atención: riesgo intermedio"))</f>
        <v/>
      </c>
      <c r="AB1250" s="64">
        <f>IFERROR(INDEX(MgAmenCtrl,MATCH(SUBSTITUTE($H1250,"*","-"),MgAmenClave,0)),"")</f>
        <v/>
      </c>
      <c r="AC1250" s="20" t="n"/>
      <c r="AD1250" s="31">
        <f>IFERROR($X1250*(1-IF($AC1250="",$AL1250,VLOOKUP($AC1250,MgMad,2,0))),"")</f>
        <v/>
      </c>
      <c r="AE1250" s="28">
        <f>IFERROR(LOOKUP(AD1250,{0;0.01;0.1;1;10;100},{"Muy baja";"Muy baja";"Baja";"Media";"Alta";"Muy alta"}),"")</f>
        <v/>
      </c>
      <c r="AF1250" s="30">
        <f>T1250*AD1250</f>
        <v/>
      </c>
      <c r="AG1250" s="28">
        <f>IFERROR(LOOKUP(AF1250,{0;0.5;5;25},{"Bajo";"Medio";"Alto";"Crítico"}),"")</f>
        <v/>
      </c>
      <c r="AH1250" s="28">
        <f>IF(AG1250="","",IF(OR(AG1250="Crítico",AG1250="Alto"),"Mitigar",IF(AG1250="Medio","Mitigar","Aceptar y monitorear")))</f>
        <v/>
      </c>
      <c r="AI1250" s="21" t="n"/>
      <c r="AJ1250" s="21" t="n"/>
      <c r="AK1250" s="20" t="n"/>
      <c r="AL1250" s="77">
        <f>IFERROR(INDEX(MgAmenEfic,MATCH(SUBSTITUTE($H1250,"*","-"),MgAmenClave,0)),0)</f>
        <v/>
      </c>
    </row>
    <row r="1251" hidden="1" ht="120" customHeight="1" s="54">
      <c r="B1251" s="59" t="inlineStr">
        <is>
          <t>R-1246</t>
        </is>
      </c>
      <c r="C1251" s="59" t="inlineStr">
        <is>
          <t>GH-025</t>
        </is>
      </c>
      <c r="D1251" s="64">
        <f>IFERROR(INDEX(MgNombre,MATCH($C1251,MgActId,0)),"")</f>
        <v/>
      </c>
      <c r="E1251" s="64">
        <f>IFERROR(INDEX(MgProceso,MATCH($C1251,MgActId,0)),"")</f>
        <v/>
      </c>
      <c r="F1251" s="64">
        <f>IFERROR(INDEX(MgTipo,MATCH($C1251,MgActId,0)),"")</f>
        <v/>
      </c>
      <c r="G1251" s="64">
        <f>IFERROR(INDEX(MgSubtipo,MATCH($C1251,MgActId,0)),"")</f>
        <v/>
      </c>
      <c r="H1251" s="59" t="inlineStr">
        <is>
          <t>A.19</t>
        </is>
      </c>
      <c r="I1251" s="64">
        <f>IFERROR(INDEX(MgAmenNombre,MATCH(SUBSTITUTE($H1251,"*","-"),MgAmenClave,0)),"")</f>
        <v/>
      </c>
      <c r="J1251" s="28">
        <f>IFERROR(INDEX(MgAmenGrupo,MATCH(SUBSTITUTE($H1251,"*","-"),MgAmenClave,0)),"")</f>
        <v/>
      </c>
      <c r="K1251" s="64">
        <f>IFERROR(INDEX('1. Matriz de Activos'!$Q$6:$Q$239,MATCH($C1251,MgActId,0)),"")</f>
        <v/>
      </c>
      <c r="L1251" s="64">
        <f>IFERROR(INDEX('1. Matriz de Activos'!$R$6:$R$239,MATCH($C1251,MgActId,0)),"")</f>
        <v/>
      </c>
      <c r="M1251" s="64">
        <f>IFERROR(INDEX('1. Matriz de Activos'!$S$6:$S$239,MATCH($C1251,MgActId,0)),"")</f>
        <v/>
      </c>
      <c r="N1251" s="28">
        <f>IFERROR(INDEX(MgAmenDegD,MATCH(SUBSTITUTE($H1251,"*","-"),MgAmenClave,0)),"No aplica")</f>
        <v/>
      </c>
      <c r="O1251" s="28">
        <f>IFERROR(INDEX(MgAmenDegI,MATCH(SUBSTITUTE($H1251,"*","-"),MgAmenClave,0)),"No aplica")</f>
        <v/>
      </c>
      <c r="P1251" s="28">
        <f>IFERROR(INDEX(MgAmenDegC,MATCH(SUBSTITUTE($H1251,"*","-"),MgAmenClave,0)),"No aplica")</f>
        <v/>
      </c>
      <c r="Q1251" s="29">
        <f>IFERROR(VLOOKUP(K1251,MgValor,2,0)*VLOOKUP(N1251,MgDeg,2,0),0)</f>
        <v/>
      </c>
      <c r="R1251" s="29">
        <f>IFERROR(VLOOKUP(L1251,MgValor,2,0)*VLOOKUP(O1251,MgDeg,2,0),0)</f>
        <v/>
      </c>
      <c r="S1251" s="29">
        <f>IFERROR(VLOOKUP(M1251,MgValor,2,0)*VLOOKUP(P1251,MgDeg,2,0),0)</f>
        <v/>
      </c>
      <c r="T1251" s="30">
        <f>MAX(Q1251:S1251)</f>
        <v/>
      </c>
      <c r="U1251" s="28">
        <f>IFERROR(LOOKUP(T1251,{0;0.5;1.5;3;4.5},{"Despreciable";"Bajo";"Medio";"Alto";"Muy alto"}),"")</f>
        <v/>
      </c>
      <c r="V1251" s="13">
        <f>IFERROR(INDEX(MgAmenFrec,MATCH(SUBSTITUTE($H1251,"*","-"),MgAmenClave,0)),"")</f>
        <v/>
      </c>
      <c r="W1251" s="28">
        <f>IFERROR(LOOKUP(X1251,{0;0.01;0.1;1;10;100},{"Muy baja";"Muy baja";"Baja";"Media";"Alta";"Muy alta"}),"")</f>
        <v/>
      </c>
      <c r="X1251" s="31">
        <f>IFERROR(VLOOKUP(V1251,MgFrec,2,0),0)</f>
        <v/>
      </c>
      <c r="Y1251" s="30">
        <f>T1251*X1251</f>
        <v/>
      </c>
      <c r="Z1251" s="28">
        <f>IFERROR(LOOKUP(Y1251,{0;0.5;5;25},{"Bajo";"Medio";"Alto";"Crítico"}),"")</f>
        <v/>
      </c>
      <c r="AA1251" s="64">
        <f>IF(T1251&gt;=3,IF(X1251&gt;=1,"Zona 1 — Crítica: impacto alto y ocurre al menos una vez al año","Zona 4 — Catastrófica poco probable: impacto alto pero excepcional"),IF(AND(T1251&lt;1.5,X1251&lt;1),"Zona 3 — Asumible: impacto bajo y muy poco frecuente","Zona 2 — Atención: riesgo intermedio"))</f>
        <v/>
      </c>
      <c r="AB1251" s="64">
        <f>IFERROR(INDEX(MgAmenCtrl,MATCH(SUBSTITUTE($H1251,"*","-"),MgAmenClave,0)),"")</f>
        <v/>
      </c>
      <c r="AC1251" s="20" t="n"/>
      <c r="AD1251" s="31">
        <f>IFERROR($X1251*(1-IF($AC1251="",$AL1251,VLOOKUP($AC1251,MgMad,2,0))),"")</f>
        <v/>
      </c>
      <c r="AE1251" s="28">
        <f>IFERROR(LOOKUP(AD1251,{0;0.01;0.1;1;10;100},{"Muy baja";"Muy baja";"Baja";"Media";"Alta";"Muy alta"}),"")</f>
        <v/>
      </c>
      <c r="AF1251" s="30">
        <f>T1251*AD1251</f>
        <v/>
      </c>
      <c r="AG1251" s="28">
        <f>IFERROR(LOOKUP(AF1251,{0;0.5;5;25},{"Bajo";"Medio";"Alto";"Crítico"}),"")</f>
        <v/>
      </c>
      <c r="AH1251" s="28">
        <f>IF(AG1251="","",IF(OR(AG1251="Crítico",AG1251="Alto"),"Mitigar",IF(AG1251="Medio","Mitigar","Aceptar y monitorear")))</f>
        <v/>
      </c>
      <c r="AI1251" s="21" t="n"/>
      <c r="AJ1251" s="21" t="n"/>
      <c r="AK1251" s="20" t="n"/>
      <c r="AL1251" s="77">
        <f>IFERROR(INDEX(MgAmenEfic,MATCH(SUBSTITUTE($H1251,"*","-"),MgAmenClave,0)),0)</f>
        <v/>
      </c>
    </row>
    <row r="1252" hidden="1" ht="105" customHeight="1" s="54">
      <c r="B1252" s="59" t="inlineStr">
        <is>
          <t>R-1247</t>
        </is>
      </c>
      <c r="C1252" s="59" t="inlineStr">
        <is>
          <t>GH-029</t>
        </is>
      </c>
      <c r="D1252" s="64">
        <f>IFERROR(INDEX(MgNombre,MATCH($C1252,MgActId,0)),"")</f>
        <v/>
      </c>
      <c r="E1252" s="64">
        <f>IFERROR(INDEX(MgProceso,MATCH($C1252,MgActId,0)),"")</f>
        <v/>
      </c>
      <c r="F1252" s="64">
        <f>IFERROR(INDEX(MgTipo,MATCH($C1252,MgActId,0)),"")</f>
        <v/>
      </c>
      <c r="G1252" s="64">
        <f>IFERROR(INDEX(MgSubtipo,MATCH($C1252,MgActId,0)),"")</f>
        <v/>
      </c>
      <c r="H1252" s="59" t="inlineStr">
        <is>
          <t>E.1</t>
        </is>
      </c>
      <c r="I1252" s="64">
        <f>IFERROR(INDEX(MgAmenNombre,MATCH(SUBSTITUTE($H1252,"*","-"),MgAmenClave,0)),"")</f>
        <v/>
      </c>
      <c r="J1252" s="28">
        <f>IFERROR(INDEX(MgAmenGrupo,MATCH(SUBSTITUTE($H1252,"*","-"),MgAmenClave,0)),"")</f>
        <v/>
      </c>
      <c r="K1252" s="64">
        <f>IFERROR(INDEX('1. Matriz de Activos'!$Q$6:$Q$239,MATCH($C1252,MgActId,0)),"")</f>
        <v/>
      </c>
      <c r="L1252" s="64">
        <f>IFERROR(INDEX('1. Matriz de Activos'!$R$6:$R$239,MATCH($C1252,MgActId,0)),"")</f>
        <v/>
      </c>
      <c r="M1252" s="64">
        <f>IFERROR(INDEX('1. Matriz de Activos'!$S$6:$S$239,MATCH($C1252,MgActId,0)),"")</f>
        <v/>
      </c>
      <c r="N1252" s="28">
        <f>IFERROR(INDEX(MgAmenDegD,MATCH(SUBSTITUTE($H1252,"*","-"),MgAmenClave,0)),"No aplica")</f>
        <v/>
      </c>
      <c r="O1252" s="28">
        <f>IFERROR(INDEX(MgAmenDegI,MATCH(SUBSTITUTE($H1252,"*","-"),MgAmenClave,0)),"No aplica")</f>
        <v/>
      </c>
      <c r="P1252" s="28">
        <f>IFERROR(INDEX(MgAmenDegC,MATCH(SUBSTITUTE($H1252,"*","-"),MgAmenClave,0)),"No aplica")</f>
        <v/>
      </c>
      <c r="Q1252" s="29">
        <f>IFERROR(VLOOKUP(K1252,MgValor,2,0)*VLOOKUP(N1252,MgDeg,2,0),0)</f>
        <v/>
      </c>
      <c r="R1252" s="29">
        <f>IFERROR(VLOOKUP(L1252,MgValor,2,0)*VLOOKUP(O1252,MgDeg,2,0),0)</f>
        <v/>
      </c>
      <c r="S1252" s="29">
        <f>IFERROR(VLOOKUP(M1252,MgValor,2,0)*VLOOKUP(P1252,MgDeg,2,0),0)</f>
        <v/>
      </c>
      <c r="T1252" s="30">
        <f>MAX(Q1252:S1252)</f>
        <v/>
      </c>
      <c r="U1252" s="28">
        <f>IFERROR(LOOKUP(T1252,{0;0.5;1.5;3;4.5},{"Despreciable";"Bajo";"Medio";"Alto";"Muy alto"}),"")</f>
        <v/>
      </c>
      <c r="V1252" s="13">
        <f>IFERROR(INDEX(MgAmenFrec,MATCH(SUBSTITUTE($H1252,"*","-"),MgAmenClave,0)),"")</f>
        <v/>
      </c>
      <c r="W1252" s="28">
        <f>IFERROR(LOOKUP(X1252,{0;0.01;0.1;1;10;100},{"Muy baja";"Muy baja";"Baja";"Media";"Alta";"Muy alta"}),"")</f>
        <v/>
      </c>
      <c r="X1252" s="31">
        <f>IFERROR(VLOOKUP(V1252,MgFrec,2,0),0)</f>
        <v/>
      </c>
      <c r="Y1252" s="30">
        <f>T1252*X1252</f>
        <v/>
      </c>
      <c r="Z1252" s="28">
        <f>IFERROR(LOOKUP(Y1252,{0;0.5;5;25},{"Bajo";"Medio";"Alto";"Crítico"}),"")</f>
        <v/>
      </c>
      <c r="AA1252" s="64">
        <f>IF(T1252&gt;=3,IF(X1252&gt;=1,"Zona 1 — Crítica: impacto alto y ocurre al menos una vez al año","Zona 4 — Catastrófica poco probable: impacto alto pero excepcional"),IF(AND(T1252&lt;1.5,X1252&lt;1),"Zona 3 — Asumible: impacto bajo y muy poco frecuente","Zona 2 — Atención: riesgo intermedio"))</f>
        <v/>
      </c>
      <c r="AB1252" s="64">
        <f>IFERROR(INDEX(MgAmenCtrl,MATCH(SUBSTITUTE($H1252,"*","-"),MgAmenClave,0)),"")</f>
        <v/>
      </c>
      <c r="AC1252" s="20" t="n"/>
      <c r="AD1252" s="31">
        <f>IFERROR($X1252*(1-IF($AC1252="",$AL1252,VLOOKUP($AC1252,MgMad,2,0))),"")</f>
        <v/>
      </c>
      <c r="AE1252" s="28">
        <f>IFERROR(LOOKUP(AD1252,{0;0.01;0.1;1;10;100},{"Muy baja";"Muy baja";"Baja";"Media";"Alta";"Muy alta"}),"")</f>
        <v/>
      </c>
      <c r="AF1252" s="30">
        <f>T1252*AD1252</f>
        <v/>
      </c>
      <c r="AG1252" s="28">
        <f>IFERROR(LOOKUP(AF1252,{0;0.5;5;25},{"Bajo";"Medio";"Alto";"Crítico"}),"")</f>
        <v/>
      </c>
      <c r="AH1252" s="28">
        <f>IF(AG1252="","",IF(OR(AG1252="Crítico",AG1252="Alto"),"Mitigar",IF(AG1252="Medio","Mitigar","Aceptar y monitorear")))</f>
        <v/>
      </c>
      <c r="AI1252" s="21" t="n"/>
      <c r="AJ1252" s="21" t="n"/>
      <c r="AK1252" s="20" t="n"/>
      <c r="AL1252" s="77">
        <f>IFERROR(INDEX(MgAmenEfic,MATCH(SUBSTITUTE($H1252,"*","-"),MgAmenClave,0)),0)</f>
        <v/>
      </c>
    </row>
    <row r="1253" hidden="1" ht="120" customHeight="1" s="54">
      <c r="B1253" s="59" t="inlineStr">
        <is>
          <t>R-1248</t>
        </is>
      </c>
      <c r="C1253" s="59" t="inlineStr">
        <is>
          <t>GH-029</t>
        </is>
      </c>
      <c r="D1253" s="64">
        <f>IFERROR(INDEX(MgNombre,MATCH($C1253,MgActId,0)),"")</f>
        <v/>
      </c>
      <c r="E1253" s="64">
        <f>IFERROR(INDEX(MgProceso,MATCH($C1253,MgActId,0)),"")</f>
        <v/>
      </c>
      <c r="F1253" s="64">
        <f>IFERROR(INDEX(MgTipo,MATCH($C1253,MgActId,0)),"")</f>
        <v/>
      </c>
      <c r="G1253" s="64">
        <f>IFERROR(INDEX(MgSubtipo,MATCH($C1253,MgActId,0)),"")</f>
        <v/>
      </c>
      <c r="H1253" s="59" t="inlineStr">
        <is>
          <t>E.2</t>
        </is>
      </c>
      <c r="I1253" s="64">
        <f>IFERROR(INDEX(MgAmenNombre,MATCH(SUBSTITUTE($H1253,"*","-"),MgAmenClave,0)),"")</f>
        <v/>
      </c>
      <c r="J1253" s="28">
        <f>IFERROR(INDEX(MgAmenGrupo,MATCH(SUBSTITUTE($H1253,"*","-"),MgAmenClave,0)),"")</f>
        <v/>
      </c>
      <c r="K1253" s="64">
        <f>IFERROR(INDEX('1. Matriz de Activos'!$Q$6:$Q$239,MATCH($C1253,MgActId,0)),"")</f>
        <v/>
      </c>
      <c r="L1253" s="64">
        <f>IFERROR(INDEX('1. Matriz de Activos'!$R$6:$R$239,MATCH($C1253,MgActId,0)),"")</f>
        <v/>
      </c>
      <c r="M1253" s="64">
        <f>IFERROR(INDEX('1. Matriz de Activos'!$S$6:$S$239,MATCH($C1253,MgActId,0)),"")</f>
        <v/>
      </c>
      <c r="N1253" s="28">
        <f>IFERROR(INDEX(MgAmenDegD,MATCH(SUBSTITUTE($H1253,"*","-"),MgAmenClave,0)),"No aplica")</f>
        <v/>
      </c>
      <c r="O1253" s="28">
        <f>IFERROR(INDEX(MgAmenDegI,MATCH(SUBSTITUTE($H1253,"*","-"),MgAmenClave,0)),"No aplica")</f>
        <v/>
      </c>
      <c r="P1253" s="28">
        <f>IFERROR(INDEX(MgAmenDegC,MATCH(SUBSTITUTE($H1253,"*","-"),MgAmenClave,0)),"No aplica")</f>
        <v/>
      </c>
      <c r="Q1253" s="29">
        <f>IFERROR(VLOOKUP(K1253,MgValor,2,0)*VLOOKUP(N1253,MgDeg,2,0),0)</f>
        <v/>
      </c>
      <c r="R1253" s="29">
        <f>IFERROR(VLOOKUP(L1253,MgValor,2,0)*VLOOKUP(O1253,MgDeg,2,0),0)</f>
        <v/>
      </c>
      <c r="S1253" s="29">
        <f>IFERROR(VLOOKUP(M1253,MgValor,2,0)*VLOOKUP(P1253,MgDeg,2,0),0)</f>
        <v/>
      </c>
      <c r="T1253" s="30">
        <f>MAX(Q1253:S1253)</f>
        <v/>
      </c>
      <c r="U1253" s="28">
        <f>IFERROR(LOOKUP(T1253,{0;0.5;1.5;3;4.5},{"Despreciable";"Bajo";"Medio";"Alto";"Muy alto"}),"")</f>
        <v/>
      </c>
      <c r="V1253" s="13">
        <f>IFERROR(INDEX(MgAmenFrec,MATCH(SUBSTITUTE($H1253,"*","-"),MgAmenClave,0)),"")</f>
        <v/>
      </c>
      <c r="W1253" s="28">
        <f>IFERROR(LOOKUP(X1253,{0;0.01;0.1;1;10;100},{"Muy baja";"Muy baja";"Baja";"Media";"Alta";"Muy alta"}),"")</f>
        <v/>
      </c>
      <c r="X1253" s="31">
        <f>IFERROR(VLOOKUP(V1253,MgFrec,2,0),0)</f>
        <v/>
      </c>
      <c r="Y1253" s="30">
        <f>T1253*X1253</f>
        <v/>
      </c>
      <c r="Z1253" s="28">
        <f>IFERROR(LOOKUP(Y1253,{0;0.5;5;25},{"Bajo";"Medio";"Alto";"Crítico"}),"")</f>
        <v/>
      </c>
      <c r="AA1253" s="64">
        <f>IF(T1253&gt;=3,IF(X1253&gt;=1,"Zona 1 — Crítica: impacto alto y ocurre al menos una vez al año","Zona 4 — Catastrófica poco probable: impacto alto pero excepcional"),IF(AND(T1253&lt;1.5,X1253&lt;1),"Zona 3 — Asumible: impacto bajo y muy poco frecuente","Zona 2 — Atención: riesgo intermedio"))</f>
        <v/>
      </c>
      <c r="AB1253" s="64">
        <f>IFERROR(INDEX(MgAmenCtrl,MATCH(SUBSTITUTE($H1253,"*","-"),MgAmenClave,0)),"")</f>
        <v/>
      </c>
      <c r="AC1253" s="20" t="n"/>
      <c r="AD1253" s="31">
        <f>IFERROR($X1253*(1-IF($AC1253="",$AL1253,VLOOKUP($AC1253,MgMad,2,0))),"")</f>
        <v/>
      </c>
      <c r="AE1253" s="28">
        <f>IFERROR(LOOKUP(AD1253,{0;0.01;0.1;1;10;100},{"Muy baja";"Muy baja";"Baja";"Media";"Alta";"Muy alta"}),"")</f>
        <v/>
      </c>
      <c r="AF1253" s="30">
        <f>T1253*AD1253</f>
        <v/>
      </c>
      <c r="AG1253" s="28">
        <f>IFERROR(LOOKUP(AF1253,{0;0.5;5;25},{"Bajo";"Medio";"Alto";"Crítico"}),"")</f>
        <v/>
      </c>
      <c r="AH1253" s="28">
        <f>IF(AG1253="","",IF(OR(AG1253="Crítico",AG1253="Alto"),"Mitigar",IF(AG1253="Medio","Mitigar","Aceptar y monitorear")))</f>
        <v/>
      </c>
      <c r="AI1253" s="21" t="n"/>
      <c r="AJ1253" s="21" t="n"/>
      <c r="AK1253" s="20" t="n"/>
      <c r="AL1253" s="77">
        <f>IFERROR(INDEX(MgAmenEfic,MATCH(SUBSTITUTE($H1253,"*","-"),MgAmenClave,0)),0)</f>
        <v/>
      </c>
    </row>
    <row r="1254" hidden="1" ht="75" customHeight="1" s="54">
      <c r="B1254" s="59" t="inlineStr">
        <is>
          <t>R-1249</t>
        </is>
      </c>
      <c r="C1254" s="59" t="inlineStr">
        <is>
          <t>GH-029</t>
        </is>
      </c>
      <c r="D1254" s="64">
        <f>IFERROR(INDEX(MgNombre,MATCH($C1254,MgActId,0)),"")</f>
        <v/>
      </c>
      <c r="E1254" s="64">
        <f>IFERROR(INDEX(MgProceso,MATCH($C1254,MgActId,0)),"")</f>
        <v/>
      </c>
      <c r="F1254" s="64">
        <f>IFERROR(INDEX(MgTipo,MATCH($C1254,MgActId,0)),"")</f>
        <v/>
      </c>
      <c r="G1254" s="64">
        <f>IFERROR(INDEX(MgSubtipo,MATCH($C1254,MgActId,0)),"")</f>
        <v/>
      </c>
      <c r="H1254" s="59" t="inlineStr">
        <is>
          <t>E.3</t>
        </is>
      </c>
      <c r="I1254" s="64">
        <f>IFERROR(INDEX(MgAmenNombre,MATCH(SUBSTITUTE($H1254,"*","-"),MgAmenClave,0)),"")</f>
        <v/>
      </c>
      <c r="J1254" s="28">
        <f>IFERROR(INDEX(MgAmenGrupo,MATCH(SUBSTITUTE($H1254,"*","-"),MgAmenClave,0)),"")</f>
        <v/>
      </c>
      <c r="K1254" s="64">
        <f>IFERROR(INDEX('1. Matriz de Activos'!$Q$6:$Q$239,MATCH($C1254,MgActId,0)),"")</f>
        <v/>
      </c>
      <c r="L1254" s="64">
        <f>IFERROR(INDEX('1. Matriz de Activos'!$R$6:$R$239,MATCH($C1254,MgActId,0)),"")</f>
        <v/>
      </c>
      <c r="M1254" s="64">
        <f>IFERROR(INDEX('1. Matriz de Activos'!$S$6:$S$239,MATCH($C1254,MgActId,0)),"")</f>
        <v/>
      </c>
      <c r="N1254" s="28">
        <f>IFERROR(INDEX(MgAmenDegD,MATCH(SUBSTITUTE($H1254,"*","-"),MgAmenClave,0)),"No aplica")</f>
        <v/>
      </c>
      <c r="O1254" s="28">
        <f>IFERROR(INDEX(MgAmenDegI,MATCH(SUBSTITUTE($H1254,"*","-"),MgAmenClave,0)),"No aplica")</f>
        <v/>
      </c>
      <c r="P1254" s="28">
        <f>IFERROR(INDEX(MgAmenDegC,MATCH(SUBSTITUTE($H1254,"*","-"),MgAmenClave,0)),"No aplica")</f>
        <v/>
      </c>
      <c r="Q1254" s="29">
        <f>IFERROR(VLOOKUP(K1254,MgValor,2,0)*VLOOKUP(N1254,MgDeg,2,0),0)</f>
        <v/>
      </c>
      <c r="R1254" s="29">
        <f>IFERROR(VLOOKUP(L1254,MgValor,2,0)*VLOOKUP(O1254,MgDeg,2,0),0)</f>
        <v/>
      </c>
      <c r="S1254" s="29">
        <f>IFERROR(VLOOKUP(M1254,MgValor,2,0)*VLOOKUP(P1254,MgDeg,2,0),0)</f>
        <v/>
      </c>
      <c r="T1254" s="30">
        <f>MAX(Q1254:S1254)</f>
        <v/>
      </c>
      <c r="U1254" s="28">
        <f>IFERROR(LOOKUP(T1254,{0;0.5;1.5;3;4.5},{"Despreciable";"Bajo";"Medio";"Alto";"Muy alto"}),"")</f>
        <v/>
      </c>
      <c r="V1254" s="13">
        <f>IFERROR(INDEX(MgAmenFrec,MATCH(SUBSTITUTE($H1254,"*","-"),MgAmenClave,0)),"")</f>
        <v/>
      </c>
      <c r="W1254" s="28">
        <f>IFERROR(LOOKUP(X1254,{0;0.01;0.1;1;10;100},{"Muy baja";"Muy baja";"Baja";"Media";"Alta";"Muy alta"}),"")</f>
        <v/>
      </c>
      <c r="X1254" s="31">
        <f>IFERROR(VLOOKUP(V1254,MgFrec,2,0),0)</f>
        <v/>
      </c>
      <c r="Y1254" s="30">
        <f>T1254*X1254</f>
        <v/>
      </c>
      <c r="Z1254" s="28">
        <f>IFERROR(LOOKUP(Y1254,{0;0.5;5;25},{"Bajo";"Medio";"Alto";"Crítico"}),"")</f>
        <v/>
      </c>
      <c r="AA1254" s="64">
        <f>IF(T1254&gt;=3,IF(X1254&gt;=1,"Zona 1 — Crítica: impacto alto y ocurre al menos una vez al año","Zona 4 — Catastrófica poco probable: impacto alto pero excepcional"),IF(AND(T1254&lt;1.5,X1254&lt;1),"Zona 3 — Asumible: impacto bajo y muy poco frecuente","Zona 2 — Atención: riesgo intermedio"))</f>
        <v/>
      </c>
      <c r="AB1254" s="64">
        <f>IFERROR(INDEX(MgAmenCtrl,MATCH(SUBSTITUTE($H1254,"*","-"),MgAmenClave,0)),"")</f>
        <v/>
      </c>
      <c r="AC1254" s="20" t="n"/>
      <c r="AD1254" s="31">
        <f>IFERROR($X1254*(1-IF($AC1254="",$AL1254,VLOOKUP($AC1254,MgMad,2,0))),"")</f>
        <v/>
      </c>
      <c r="AE1254" s="28">
        <f>IFERROR(LOOKUP(AD1254,{0;0.01;0.1;1;10;100},{"Muy baja";"Muy baja";"Baja";"Media";"Alta";"Muy alta"}),"")</f>
        <v/>
      </c>
      <c r="AF1254" s="30">
        <f>T1254*AD1254</f>
        <v/>
      </c>
      <c r="AG1254" s="28">
        <f>IFERROR(LOOKUP(AF1254,{0;0.5;5;25},{"Bajo";"Medio";"Alto";"Crítico"}),"")</f>
        <v/>
      </c>
      <c r="AH1254" s="28">
        <f>IF(AG1254="","",IF(OR(AG1254="Crítico",AG1254="Alto"),"Mitigar",IF(AG1254="Medio","Mitigar","Aceptar y monitorear")))</f>
        <v/>
      </c>
      <c r="AI1254" s="21" t="n"/>
      <c r="AJ1254" s="21" t="n"/>
      <c r="AK1254" s="20" t="n"/>
      <c r="AL1254" s="77">
        <f>IFERROR(INDEX(MgAmenEfic,MATCH(SUBSTITUTE($H1254,"*","-"),MgAmenClave,0)),0)</f>
        <v/>
      </c>
    </row>
    <row r="1255" hidden="1" ht="75" customHeight="1" s="54">
      <c r="B1255" s="59" t="inlineStr">
        <is>
          <t>R-1250</t>
        </is>
      </c>
      <c r="C1255" s="59" t="inlineStr">
        <is>
          <t>GH-029</t>
        </is>
      </c>
      <c r="D1255" s="64">
        <f>IFERROR(INDEX(MgNombre,MATCH($C1255,MgActId,0)),"")</f>
        <v/>
      </c>
      <c r="E1255" s="64">
        <f>IFERROR(INDEX(MgProceso,MATCH($C1255,MgActId,0)),"")</f>
        <v/>
      </c>
      <c r="F1255" s="64">
        <f>IFERROR(INDEX(MgTipo,MATCH($C1255,MgActId,0)),"")</f>
        <v/>
      </c>
      <c r="G1255" s="64">
        <f>IFERROR(INDEX(MgSubtipo,MATCH($C1255,MgActId,0)),"")</f>
        <v/>
      </c>
      <c r="H1255" s="59" t="inlineStr">
        <is>
          <t>E.4</t>
        </is>
      </c>
      <c r="I1255" s="64">
        <f>IFERROR(INDEX(MgAmenNombre,MATCH(SUBSTITUTE($H1255,"*","-"),MgAmenClave,0)),"")</f>
        <v/>
      </c>
      <c r="J1255" s="28">
        <f>IFERROR(INDEX(MgAmenGrupo,MATCH(SUBSTITUTE($H1255,"*","-"),MgAmenClave,0)),"")</f>
        <v/>
      </c>
      <c r="K1255" s="64">
        <f>IFERROR(INDEX('1. Matriz de Activos'!$Q$6:$Q$239,MATCH($C1255,MgActId,0)),"")</f>
        <v/>
      </c>
      <c r="L1255" s="64">
        <f>IFERROR(INDEX('1. Matriz de Activos'!$R$6:$R$239,MATCH($C1255,MgActId,0)),"")</f>
        <v/>
      </c>
      <c r="M1255" s="64">
        <f>IFERROR(INDEX('1. Matriz de Activos'!$S$6:$S$239,MATCH($C1255,MgActId,0)),"")</f>
        <v/>
      </c>
      <c r="N1255" s="28">
        <f>IFERROR(INDEX(MgAmenDegD,MATCH(SUBSTITUTE($H1255,"*","-"),MgAmenClave,0)),"No aplica")</f>
        <v/>
      </c>
      <c r="O1255" s="28">
        <f>IFERROR(INDEX(MgAmenDegI,MATCH(SUBSTITUTE($H1255,"*","-"),MgAmenClave,0)),"No aplica")</f>
        <v/>
      </c>
      <c r="P1255" s="28">
        <f>IFERROR(INDEX(MgAmenDegC,MATCH(SUBSTITUTE($H1255,"*","-"),MgAmenClave,0)),"No aplica")</f>
        <v/>
      </c>
      <c r="Q1255" s="29">
        <f>IFERROR(VLOOKUP(K1255,MgValor,2,0)*VLOOKUP(N1255,MgDeg,2,0),0)</f>
        <v/>
      </c>
      <c r="R1255" s="29">
        <f>IFERROR(VLOOKUP(L1255,MgValor,2,0)*VLOOKUP(O1255,MgDeg,2,0),0)</f>
        <v/>
      </c>
      <c r="S1255" s="29">
        <f>IFERROR(VLOOKUP(M1255,MgValor,2,0)*VLOOKUP(P1255,MgDeg,2,0),0)</f>
        <v/>
      </c>
      <c r="T1255" s="30">
        <f>MAX(Q1255:S1255)</f>
        <v/>
      </c>
      <c r="U1255" s="28">
        <f>IFERROR(LOOKUP(T1255,{0;0.5;1.5;3;4.5},{"Despreciable";"Bajo";"Medio";"Alto";"Muy alto"}),"")</f>
        <v/>
      </c>
      <c r="V1255" s="13">
        <f>IFERROR(INDEX(MgAmenFrec,MATCH(SUBSTITUTE($H1255,"*","-"),MgAmenClave,0)),"")</f>
        <v/>
      </c>
      <c r="W1255" s="28">
        <f>IFERROR(LOOKUP(X1255,{0;0.01;0.1;1;10;100},{"Muy baja";"Muy baja";"Baja";"Media";"Alta";"Muy alta"}),"")</f>
        <v/>
      </c>
      <c r="X1255" s="31">
        <f>IFERROR(VLOOKUP(V1255,MgFrec,2,0),0)</f>
        <v/>
      </c>
      <c r="Y1255" s="30">
        <f>T1255*X1255</f>
        <v/>
      </c>
      <c r="Z1255" s="28">
        <f>IFERROR(LOOKUP(Y1255,{0;0.5;5;25},{"Bajo";"Medio";"Alto";"Crítico"}),"")</f>
        <v/>
      </c>
      <c r="AA1255" s="64">
        <f>IF(T1255&gt;=3,IF(X1255&gt;=1,"Zona 1 — Crítica: impacto alto y ocurre al menos una vez al año","Zona 4 — Catastrófica poco probable: impacto alto pero excepcional"),IF(AND(T1255&lt;1.5,X1255&lt;1),"Zona 3 — Asumible: impacto bajo y muy poco frecuente","Zona 2 — Atención: riesgo intermedio"))</f>
        <v/>
      </c>
      <c r="AB1255" s="64">
        <f>IFERROR(INDEX(MgAmenCtrl,MATCH(SUBSTITUTE($H1255,"*","-"),MgAmenClave,0)),"")</f>
        <v/>
      </c>
      <c r="AC1255" s="20" t="n"/>
      <c r="AD1255" s="31">
        <f>IFERROR($X1255*(1-IF($AC1255="",$AL1255,VLOOKUP($AC1255,MgMad,2,0))),"")</f>
        <v/>
      </c>
      <c r="AE1255" s="28">
        <f>IFERROR(LOOKUP(AD1255,{0;0.01;0.1;1;10;100},{"Muy baja";"Muy baja";"Baja";"Media";"Alta";"Muy alta"}),"")</f>
        <v/>
      </c>
      <c r="AF1255" s="30">
        <f>T1255*AD1255</f>
        <v/>
      </c>
      <c r="AG1255" s="28">
        <f>IFERROR(LOOKUP(AF1255,{0;0.5;5;25},{"Bajo";"Medio";"Alto";"Crítico"}),"")</f>
        <v/>
      </c>
      <c r="AH1255" s="28">
        <f>IF(AG1255="","",IF(OR(AG1255="Crítico",AG1255="Alto"),"Mitigar",IF(AG1255="Medio","Mitigar","Aceptar y monitorear")))</f>
        <v/>
      </c>
      <c r="AI1255" s="21" t="n"/>
      <c r="AJ1255" s="21" t="n"/>
      <c r="AK1255" s="20" t="n"/>
      <c r="AL1255" s="77">
        <f>IFERROR(INDEX(MgAmenEfic,MATCH(SUBSTITUTE($H1255,"*","-"),MgAmenClave,0)),0)</f>
        <v/>
      </c>
    </row>
    <row r="1256" hidden="1" ht="90" customHeight="1" s="54">
      <c r="B1256" s="59" t="inlineStr">
        <is>
          <t>R-1251</t>
        </is>
      </c>
      <c r="C1256" s="59" t="inlineStr">
        <is>
          <t>GH-029</t>
        </is>
      </c>
      <c r="D1256" s="64">
        <f>IFERROR(INDEX(MgNombre,MATCH($C1256,MgActId,0)),"")</f>
        <v/>
      </c>
      <c r="E1256" s="64">
        <f>IFERROR(INDEX(MgProceso,MATCH($C1256,MgActId,0)),"")</f>
        <v/>
      </c>
      <c r="F1256" s="64">
        <f>IFERROR(INDEX(MgTipo,MATCH($C1256,MgActId,0)),"")</f>
        <v/>
      </c>
      <c r="G1256" s="64">
        <f>IFERROR(INDEX(MgSubtipo,MATCH($C1256,MgActId,0)),"")</f>
        <v/>
      </c>
      <c r="H1256" s="59" t="inlineStr">
        <is>
          <t>E.14</t>
        </is>
      </c>
      <c r="I1256" s="64">
        <f>IFERROR(INDEX(MgAmenNombre,MATCH(SUBSTITUTE($H1256,"*","-"),MgAmenClave,0)),"")</f>
        <v/>
      </c>
      <c r="J1256" s="28">
        <f>IFERROR(INDEX(MgAmenGrupo,MATCH(SUBSTITUTE($H1256,"*","-"),MgAmenClave,0)),"")</f>
        <v/>
      </c>
      <c r="K1256" s="64">
        <f>IFERROR(INDEX('1. Matriz de Activos'!$Q$6:$Q$239,MATCH($C1256,MgActId,0)),"")</f>
        <v/>
      </c>
      <c r="L1256" s="64">
        <f>IFERROR(INDEX('1. Matriz de Activos'!$R$6:$R$239,MATCH($C1256,MgActId,0)),"")</f>
        <v/>
      </c>
      <c r="M1256" s="64">
        <f>IFERROR(INDEX('1. Matriz de Activos'!$S$6:$S$239,MATCH($C1256,MgActId,0)),"")</f>
        <v/>
      </c>
      <c r="N1256" s="28">
        <f>IFERROR(INDEX(MgAmenDegD,MATCH(SUBSTITUTE($H1256,"*","-"),MgAmenClave,0)),"No aplica")</f>
        <v/>
      </c>
      <c r="O1256" s="28">
        <f>IFERROR(INDEX(MgAmenDegI,MATCH(SUBSTITUTE($H1256,"*","-"),MgAmenClave,0)),"No aplica")</f>
        <v/>
      </c>
      <c r="P1256" s="28">
        <f>IFERROR(INDEX(MgAmenDegC,MATCH(SUBSTITUTE($H1256,"*","-"),MgAmenClave,0)),"No aplica")</f>
        <v/>
      </c>
      <c r="Q1256" s="29">
        <f>IFERROR(VLOOKUP(K1256,MgValor,2,0)*VLOOKUP(N1256,MgDeg,2,0),0)</f>
        <v/>
      </c>
      <c r="R1256" s="29">
        <f>IFERROR(VLOOKUP(L1256,MgValor,2,0)*VLOOKUP(O1256,MgDeg,2,0),0)</f>
        <v/>
      </c>
      <c r="S1256" s="29">
        <f>IFERROR(VLOOKUP(M1256,MgValor,2,0)*VLOOKUP(P1256,MgDeg,2,0),0)</f>
        <v/>
      </c>
      <c r="T1256" s="30">
        <f>MAX(Q1256:S1256)</f>
        <v/>
      </c>
      <c r="U1256" s="28">
        <f>IFERROR(LOOKUP(T1256,{0;0.5;1.5;3;4.5},{"Despreciable";"Bajo";"Medio";"Alto";"Muy alto"}),"")</f>
        <v/>
      </c>
      <c r="V1256" s="13">
        <f>IFERROR(INDEX(MgAmenFrec,MATCH(SUBSTITUTE($H1256,"*","-"),MgAmenClave,0)),"")</f>
        <v/>
      </c>
      <c r="W1256" s="28">
        <f>IFERROR(LOOKUP(X1256,{0;0.01;0.1;1;10;100},{"Muy baja";"Muy baja";"Baja";"Media";"Alta";"Muy alta"}),"")</f>
        <v/>
      </c>
      <c r="X1256" s="31">
        <f>IFERROR(VLOOKUP(V1256,MgFrec,2,0),0)</f>
        <v/>
      </c>
      <c r="Y1256" s="30">
        <f>T1256*X1256</f>
        <v/>
      </c>
      <c r="Z1256" s="28">
        <f>IFERROR(LOOKUP(Y1256,{0;0.5;5;25},{"Bajo";"Medio";"Alto";"Crítico"}),"")</f>
        <v/>
      </c>
      <c r="AA1256" s="64">
        <f>IF(T1256&gt;=3,IF(X1256&gt;=1,"Zona 1 — Crítica: impacto alto y ocurre al menos una vez al año","Zona 4 — Catastrófica poco probable: impacto alto pero excepcional"),IF(AND(T1256&lt;1.5,X1256&lt;1),"Zona 3 — Asumible: impacto bajo y muy poco frecuente","Zona 2 — Atención: riesgo intermedio"))</f>
        <v/>
      </c>
      <c r="AB1256" s="64">
        <f>IFERROR(INDEX(MgAmenCtrl,MATCH(SUBSTITUTE($H1256,"*","-"),MgAmenClave,0)),"")</f>
        <v/>
      </c>
      <c r="AC1256" s="20" t="n"/>
      <c r="AD1256" s="31">
        <f>IFERROR($X1256*(1-IF($AC1256="",$AL1256,VLOOKUP($AC1256,MgMad,2,0))),"")</f>
        <v/>
      </c>
      <c r="AE1256" s="28">
        <f>IFERROR(LOOKUP(AD1256,{0;0.01;0.1;1;10;100},{"Muy baja";"Muy baja";"Baja";"Media";"Alta";"Muy alta"}),"")</f>
        <v/>
      </c>
      <c r="AF1256" s="30">
        <f>T1256*AD1256</f>
        <v/>
      </c>
      <c r="AG1256" s="28">
        <f>IFERROR(LOOKUP(AF1256,{0;0.5;5;25},{"Bajo";"Medio";"Alto";"Crítico"}),"")</f>
        <v/>
      </c>
      <c r="AH1256" s="28">
        <f>IF(AG1256="","",IF(OR(AG1256="Crítico",AG1256="Alto"),"Mitigar",IF(AG1256="Medio","Mitigar","Aceptar y monitorear")))</f>
        <v/>
      </c>
      <c r="AI1256" s="21" t="n"/>
      <c r="AJ1256" s="21" t="n"/>
      <c r="AK1256" s="20" t="n"/>
      <c r="AL1256" s="77">
        <f>IFERROR(INDEX(MgAmenEfic,MATCH(SUBSTITUTE($H1256,"*","-"),MgAmenClave,0)),0)</f>
        <v/>
      </c>
    </row>
    <row r="1257" hidden="1" ht="90" customHeight="1" s="54">
      <c r="B1257" s="59" t="inlineStr">
        <is>
          <t>R-1252</t>
        </is>
      </c>
      <c r="C1257" s="59" t="inlineStr">
        <is>
          <t>GH-029</t>
        </is>
      </c>
      <c r="D1257" s="64">
        <f>IFERROR(INDEX(MgNombre,MATCH($C1257,MgActId,0)),"")</f>
        <v/>
      </c>
      <c r="E1257" s="64">
        <f>IFERROR(INDEX(MgProceso,MATCH($C1257,MgActId,0)),"")</f>
        <v/>
      </c>
      <c r="F1257" s="64">
        <f>IFERROR(INDEX(MgTipo,MATCH($C1257,MgActId,0)),"")</f>
        <v/>
      </c>
      <c r="G1257" s="64">
        <f>IFERROR(INDEX(MgSubtipo,MATCH($C1257,MgActId,0)),"")</f>
        <v/>
      </c>
      <c r="H1257" s="59" t="inlineStr">
        <is>
          <t>E.15</t>
        </is>
      </c>
      <c r="I1257" s="64">
        <f>IFERROR(INDEX(MgAmenNombre,MATCH(SUBSTITUTE($H1257,"*","-"),MgAmenClave,0)),"")</f>
        <v/>
      </c>
      <c r="J1257" s="28">
        <f>IFERROR(INDEX(MgAmenGrupo,MATCH(SUBSTITUTE($H1257,"*","-"),MgAmenClave,0)),"")</f>
        <v/>
      </c>
      <c r="K1257" s="64">
        <f>IFERROR(INDEX('1. Matriz de Activos'!$Q$6:$Q$239,MATCH($C1257,MgActId,0)),"")</f>
        <v/>
      </c>
      <c r="L1257" s="64">
        <f>IFERROR(INDEX('1. Matriz de Activos'!$R$6:$R$239,MATCH($C1257,MgActId,0)),"")</f>
        <v/>
      </c>
      <c r="M1257" s="64">
        <f>IFERROR(INDEX('1. Matriz de Activos'!$S$6:$S$239,MATCH($C1257,MgActId,0)),"")</f>
        <v/>
      </c>
      <c r="N1257" s="28">
        <f>IFERROR(INDEX(MgAmenDegD,MATCH(SUBSTITUTE($H1257,"*","-"),MgAmenClave,0)),"No aplica")</f>
        <v/>
      </c>
      <c r="O1257" s="28">
        <f>IFERROR(INDEX(MgAmenDegI,MATCH(SUBSTITUTE($H1257,"*","-"),MgAmenClave,0)),"No aplica")</f>
        <v/>
      </c>
      <c r="P1257" s="28">
        <f>IFERROR(INDEX(MgAmenDegC,MATCH(SUBSTITUTE($H1257,"*","-"),MgAmenClave,0)),"No aplica")</f>
        <v/>
      </c>
      <c r="Q1257" s="29">
        <f>IFERROR(VLOOKUP(K1257,MgValor,2,0)*VLOOKUP(N1257,MgDeg,2,0),0)</f>
        <v/>
      </c>
      <c r="R1257" s="29">
        <f>IFERROR(VLOOKUP(L1257,MgValor,2,0)*VLOOKUP(O1257,MgDeg,2,0),0)</f>
        <v/>
      </c>
      <c r="S1257" s="29">
        <f>IFERROR(VLOOKUP(M1257,MgValor,2,0)*VLOOKUP(P1257,MgDeg,2,0),0)</f>
        <v/>
      </c>
      <c r="T1257" s="30">
        <f>MAX(Q1257:S1257)</f>
        <v/>
      </c>
      <c r="U1257" s="28">
        <f>IFERROR(LOOKUP(T1257,{0;0.5;1.5;3;4.5},{"Despreciable";"Bajo";"Medio";"Alto";"Muy alto"}),"")</f>
        <v/>
      </c>
      <c r="V1257" s="13">
        <f>IFERROR(INDEX(MgAmenFrec,MATCH(SUBSTITUTE($H1257,"*","-"),MgAmenClave,0)),"")</f>
        <v/>
      </c>
      <c r="W1257" s="28">
        <f>IFERROR(LOOKUP(X1257,{0;0.01;0.1;1;10;100},{"Muy baja";"Muy baja";"Baja";"Media";"Alta";"Muy alta"}),"")</f>
        <v/>
      </c>
      <c r="X1257" s="31">
        <f>IFERROR(VLOOKUP(V1257,MgFrec,2,0),0)</f>
        <v/>
      </c>
      <c r="Y1257" s="30">
        <f>T1257*X1257</f>
        <v/>
      </c>
      <c r="Z1257" s="28">
        <f>IFERROR(LOOKUP(Y1257,{0;0.5;5;25},{"Bajo";"Medio";"Alto";"Crítico"}),"")</f>
        <v/>
      </c>
      <c r="AA1257" s="64">
        <f>IF(T1257&gt;=3,IF(X1257&gt;=1,"Zona 1 — Crítica: impacto alto y ocurre al menos una vez al año","Zona 4 — Catastrófica poco probable: impacto alto pero excepcional"),IF(AND(T1257&lt;1.5,X1257&lt;1),"Zona 3 — Asumible: impacto bajo y muy poco frecuente","Zona 2 — Atención: riesgo intermedio"))</f>
        <v/>
      </c>
      <c r="AB1257" s="64">
        <f>IFERROR(INDEX(MgAmenCtrl,MATCH(SUBSTITUTE($H1257,"*","-"),MgAmenClave,0)),"")</f>
        <v/>
      </c>
      <c r="AC1257" s="20" t="n"/>
      <c r="AD1257" s="31">
        <f>IFERROR($X1257*(1-IF($AC1257="",$AL1257,VLOOKUP($AC1257,MgMad,2,0))),"")</f>
        <v/>
      </c>
      <c r="AE1257" s="28">
        <f>IFERROR(LOOKUP(AD1257,{0;0.01;0.1;1;10;100},{"Muy baja";"Muy baja";"Baja";"Media";"Alta";"Muy alta"}),"")</f>
        <v/>
      </c>
      <c r="AF1257" s="30">
        <f>T1257*AD1257</f>
        <v/>
      </c>
      <c r="AG1257" s="28">
        <f>IFERROR(LOOKUP(AF1257,{0;0.5;5;25},{"Bajo";"Medio";"Alto";"Crítico"}),"")</f>
        <v/>
      </c>
      <c r="AH1257" s="28">
        <f>IF(AG1257="","",IF(OR(AG1257="Crítico",AG1257="Alto"),"Mitigar",IF(AG1257="Medio","Mitigar","Aceptar y monitorear")))</f>
        <v/>
      </c>
      <c r="AI1257" s="21" t="n"/>
      <c r="AJ1257" s="21" t="n"/>
      <c r="AK1257" s="20" t="n"/>
      <c r="AL1257" s="77">
        <f>IFERROR(INDEX(MgAmenEfic,MATCH(SUBSTITUTE($H1257,"*","-"),MgAmenClave,0)),0)</f>
        <v/>
      </c>
    </row>
    <row r="1258" hidden="1" ht="60" customHeight="1" s="54">
      <c r="B1258" s="59" t="inlineStr">
        <is>
          <t>R-1253</t>
        </is>
      </c>
      <c r="C1258" s="59" t="inlineStr">
        <is>
          <t>GH-029</t>
        </is>
      </c>
      <c r="D1258" s="64">
        <f>IFERROR(INDEX(MgNombre,MATCH($C1258,MgActId,0)),"")</f>
        <v/>
      </c>
      <c r="E1258" s="64">
        <f>IFERROR(INDEX(MgProceso,MATCH($C1258,MgActId,0)),"")</f>
        <v/>
      </c>
      <c r="F1258" s="64">
        <f>IFERROR(INDEX(MgTipo,MATCH($C1258,MgActId,0)),"")</f>
        <v/>
      </c>
      <c r="G1258" s="64">
        <f>IFERROR(INDEX(MgSubtipo,MATCH($C1258,MgActId,0)),"")</f>
        <v/>
      </c>
      <c r="H1258" s="59" t="inlineStr">
        <is>
          <t>E.18</t>
        </is>
      </c>
      <c r="I1258" s="64">
        <f>IFERROR(INDEX(MgAmenNombre,MATCH(SUBSTITUTE($H1258,"*","-"),MgAmenClave,0)),"")</f>
        <v/>
      </c>
      <c r="J1258" s="28">
        <f>IFERROR(INDEX(MgAmenGrupo,MATCH(SUBSTITUTE($H1258,"*","-"),MgAmenClave,0)),"")</f>
        <v/>
      </c>
      <c r="K1258" s="64">
        <f>IFERROR(INDEX('1. Matriz de Activos'!$Q$6:$Q$239,MATCH($C1258,MgActId,0)),"")</f>
        <v/>
      </c>
      <c r="L1258" s="64">
        <f>IFERROR(INDEX('1. Matriz de Activos'!$R$6:$R$239,MATCH($C1258,MgActId,0)),"")</f>
        <v/>
      </c>
      <c r="M1258" s="64">
        <f>IFERROR(INDEX('1. Matriz de Activos'!$S$6:$S$239,MATCH($C1258,MgActId,0)),"")</f>
        <v/>
      </c>
      <c r="N1258" s="28">
        <f>IFERROR(INDEX(MgAmenDegD,MATCH(SUBSTITUTE($H1258,"*","-"),MgAmenClave,0)),"No aplica")</f>
        <v/>
      </c>
      <c r="O1258" s="28">
        <f>IFERROR(INDEX(MgAmenDegI,MATCH(SUBSTITUTE($H1258,"*","-"),MgAmenClave,0)),"No aplica")</f>
        <v/>
      </c>
      <c r="P1258" s="28">
        <f>IFERROR(INDEX(MgAmenDegC,MATCH(SUBSTITUTE($H1258,"*","-"),MgAmenClave,0)),"No aplica")</f>
        <v/>
      </c>
      <c r="Q1258" s="29">
        <f>IFERROR(VLOOKUP(K1258,MgValor,2,0)*VLOOKUP(N1258,MgDeg,2,0),0)</f>
        <v/>
      </c>
      <c r="R1258" s="29">
        <f>IFERROR(VLOOKUP(L1258,MgValor,2,0)*VLOOKUP(O1258,MgDeg,2,0),0)</f>
        <v/>
      </c>
      <c r="S1258" s="29">
        <f>IFERROR(VLOOKUP(M1258,MgValor,2,0)*VLOOKUP(P1258,MgDeg,2,0),0)</f>
        <v/>
      </c>
      <c r="T1258" s="30">
        <f>MAX(Q1258:S1258)</f>
        <v/>
      </c>
      <c r="U1258" s="28">
        <f>IFERROR(LOOKUP(T1258,{0;0.5;1.5;3;4.5},{"Despreciable";"Bajo";"Medio";"Alto";"Muy alto"}),"")</f>
        <v/>
      </c>
      <c r="V1258" s="13">
        <f>IFERROR(INDEX(MgAmenFrec,MATCH(SUBSTITUTE($H1258,"*","-"),MgAmenClave,0)),"")</f>
        <v/>
      </c>
      <c r="W1258" s="28">
        <f>IFERROR(LOOKUP(X1258,{0;0.01;0.1;1;10;100},{"Muy baja";"Muy baja";"Baja";"Media";"Alta";"Muy alta"}),"")</f>
        <v/>
      </c>
      <c r="X1258" s="31">
        <f>IFERROR(VLOOKUP(V1258,MgFrec,2,0),0)</f>
        <v/>
      </c>
      <c r="Y1258" s="30">
        <f>T1258*X1258</f>
        <v/>
      </c>
      <c r="Z1258" s="28">
        <f>IFERROR(LOOKUP(Y1258,{0;0.5;5;25},{"Bajo";"Medio";"Alto";"Crítico"}),"")</f>
        <v/>
      </c>
      <c r="AA1258" s="64">
        <f>IF(T1258&gt;=3,IF(X1258&gt;=1,"Zona 1 — Crítica: impacto alto y ocurre al menos una vez al año","Zona 4 — Catastrófica poco probable: impacto alto pero excepcional"),IF(AND(T1258&lt;1.5,X1258&lt;1),"Zona 3 — Asumible: impacto bajo y muy poco frecuente","Zona 2 — Atención: riesgo intermedio"))</f>
        <v/>
      </c>
      <c r="AB1258" s="64">
        <f>IFERROR(INDEX(MgAmenCtrl,MATCH(SUBSTITUTE($H1258,"*","-"),MgAmenClave,0)),"")</f>
        <v/>
      </c>
      <c r="AC1258" s="20" t="n"/>
      <c r="AD1258" s="31">
        <f>IFERROR($X1258*(1-IF($AC1258="",$AL1258,VLOOKUP($AC1258,MgMad,2,0))),"")</f>
        <v/>
      </c>
      <c r="AE1258" s="28">
        <f>IFERROR(LOOKUP(AD1258,{0;0.01;0.1;1;10;100},{"Muy baja";"Muy baja";"Baja";"Media";"Alta";"Muy alta"}),"")</f>
        <v/>
      </c>
      <c r="AF1258" s="30">
        <f>T1258*AD1258</f>
        <v/>
      </c>
      <c r="AG1258" s="28">
        <f>IFERROR(LOOKUP(AF1258,{0;0.5;5;25},{"Bajo";"Medio";"Alto";"Crítico"}),"")</f>
        <v/>
      </c>
      <c r="AH1258" s="28">
        <f>IF(AG1258="","",IF(OR(AG1258="Crítico",AG1258="Alto"),"Mitigar",IF(AG1258="Medio","Mitigar","Aceptar y monitorear")))</f>
        <v/>
      </c>
      <c r="AI1258" s="21" t="n"/>
      <c r="AJ1258" s="21" t="n"/>
      <c r="AK1258" s="20" t="n"/>
      <c r="AL1258" s="77">
        <f>IFERROR(INDEX(MgAmenEfic,MATCH(SUBSTITUTE($H1258,"*","-"),MgAmenClave,0)),0)</f>
        <v/>
      </c>
    </row>
    <row r="1259" hidden="1" ht="105" customHeight="1" s="54">
      <c r="B1259" s="59" t="inlineStr">
        <is>
          <t>R-1254</t>
        </is>
      </c>
      <c r="C1259" s="59" t="inlineStr">
        <is>
          <t>GH-029</t>
        </is>
      </c>
      <c r="D1259" s="64">
        <f>IFERROR(INDEX(MgNombre,MATCH($C1259,MgActId,0)),"")</f>
        <v/>
      </c>
      <c r="E1259" s="64">
        <f>IFERROR(INDEX(MgProceso,MATCH($C1259,MgActId,0)),"")</f>
        <v/>
      </c>
      <c r="F1259" s="64">
        <f>IFERROR(INDEX(MgTipo,MATCH($C1259,MgActId,0)),"")</f>
        <v/>
      </c>
      <c r="G1259" s="64">
        <f>IFERROR(INDEX(MgSubtipo,MATCH($C1259,MgActId,0)),"")</f>
        <v/>
      </c>
      <c r="H1259" s="59" t="inlineStr">
        <is>
          <t>E.19</t>
        </is>
      </c>
      <c r="I1259" s="64">
        <f>IFERROR(INDEX(MgAmenNombre,MATCH(SUBSTITUTE($H1259,"*","-"),MgAmenClave,0)),"")</f>
        <v/>
      </c>
      <c r="J1259" s="28">
        <f>IFERROR(INDEX(MgAmenGrupo,MATCH(SUBSTITUTE($H1259,"*","-"),MgAmenClave,0)),"")</f>
        <v/>
      </c>
      <c r="K1259" s="64">
        <f>IFERROR(INDEX('1. Matriz de Activos'!$Q$6:$Q$239,MATCH($C1259,MgActId,0)),"")</f>
        <v/>
      </c>
      <c r="L1259" s="64">
        <f>IFERROR(INDEX('1. Matriz de Activos'!$R$6:$R$239,MATCH($C1259,MgActId,0)),"")</f>
        <v/>
      </c>
      <c r="M1259" s="64">
        <f>IFERROR(INDEX('1. Matriz de Activos'!$S$6:$S$239,MATCH($C1259,MgActId,0)),"")</f>
        <v/>
      </c>
      <c r="N1259" s="28">
        <f>IFERROR(INDEX(MgAmenDegD,MATCH(SUBSTITUTE($H1259,"*","-"),MgAmenClave,0)),"No aplica")</f>
        <v/>
      </c>
      <c r="O1259" s="28">
        <f>IFERROR(INDEX(MgAmenDegI,MATCH(SUBSTITUTE($H1259,"*","-"),MgAmenClave,0)),"No aplica")</f>
        <v/>
      </c>
      <c r="P1259" s="28">
        <f>IFERROR(INDEX(MgAmenDegC,MATCH(SUBSTITUTE($H1259,"*","-"),MgAmenClave,0)),"No aplica")</f>
        <v/>
      </c>
      <c r="Q1259" s="29">
        <f>IFERROR(VLOOKUP(K1259,MgValor,2,0)*VLOOKUP(N1259,MgDeg,2,0),0)</f>
        <v/>
      </c>
      <c r="R1259" s="29">
        <f>IFERROR(VLOOKUP(L1259,MgValor,2,0)*VLOOKUP(O1259,MgDeg,2,0),0)</f>
        <v/>
      </c>
      <c r="S1259" s="29">
        <f>IFERROR(VLOOKUP(M1259,MgValor,2,0)*VLOOKUP(P1259,MgDeg,2,0),0)</f>
        <v/>
      </c>
      <c r="T1259" s="30">
        <f>MAX(Q1259:S1259)</f>
        <v/>
      </c>
      <c r="U1259" s="28">
        <f>IFERROR(LOOKUP(T1259,{0;0.5;1.5;3;4.5},{"Despreciable";"Bajo";"Medio";"Alto";"Muy alto"}),"")</f>
        <v/>
      </c>
      <c r="V1259" s="13">
        <f>IFERROR(INDEX(MgAmenFrec,MATCH(SUBSTITUTE($H1259,"*","-"),MgAmenClave,0)),"")</f>
        <v/>
      </c>
      <c r="W1259" s="28">
        <f>IFERROR(LOOKUP(X1259,{0;0.01;0.1;1;10;100},{"Muy baja";"Muy baja";"Baja";"Media";"Alta";"Muy alta"}),"")</f>
        <v/>
      </c>
      <c r="X1259" s="31">
        <f>IFERROR(VLOOKUP(V1259,MgFrec,2,0),0)</f>
        <v/>
      </c>
      <c r="Y1259" s="30">
        <f>T1259*X1259</f>
        <v/>
      </c>
      <c r="Z1259" s="28">
        <f>IFERROR(LOOKUP(Y1259,{0;0.5;5;25},{"Bajo";"Medio";"Alto";"Crítico"}),"")</f>
        <v/>
      </c>
      <c r="AA1259" s="64">
        <f>IF(T1259&gt;=3,IF(X1259&gt;=1,"Zona 1 — Crítica: impacto alto y ocurre al menos una vez al año","Zona 4 — Catastrófica poco probable: impacto alto pero excepcional"),IF(AND(T1259&lt;1.5,X1259&lt;1),"Zona 3 — Asumible: impacto bajo y muy poco frecuente","Zona 2 — Atención: riesgo intermedio"))</f>
        <v/>
      </c>
      <c r="AB1259" s="64">
        <f>IFERROR(INDEX(MgAmenCtrl,MATCH(SUBSTITUTE($H1259,"*","-"),MgAmenClave,0)),"")</f>
        <v/>
      </c>
      <c r="AC1259" s="20" t="n"/>
      <c r="AD1259" s="31">
        <f>IFERROR($X1259*(1-IF($AC1259="",$AL1259,VLOOKUP($AC1259,MgMad,2,0))),"")</f>
        <v/>
      </c>
      <c r="AE1259" s="28">
        <f>IFERROR(LOOKUP(AD1259,{0;0.01;0.1;1;10;100},{"Muy baja";"Muy baja";"Baja";"Media";"Alta";"Muy alta"}),"")</f>
        <v/>
      </c>
      <c r="AF1259" s="30">
        <f>T1259*AD1259</f>
        <v/>
      </c>
      <c r="AG1259" s="28">
        <f>IFERROR(LOOKUP(AF1259,{0;0.5;5;25},{"Bajo";"Medio";"Alto";"Crítico"}),"")</f>
        <v/>
      </c>
      <c r="AH1259" s="28">
        <f>IF(AG1259="","",IF(OR(AG1259="Crítico",AG1259="Alto"),"Mitigar",IF(AG1259="Medio","Mitigar","Aceptar y monitorear")))</f>
        <v/>
      </c>
      <c r="AI1259" s="21" t="n"/>
      <c r="AJ1259" s="21" t="n"/>
      <c r="AK1259" s="20" t="n"/>
      <c r="AL1259" s="77">
        <f>IFERROR(INDEX(MgAmenEfic,MATCH(SUBSTITUTE($H1259,"*","-"),MgAmenClave,0)),0)</f>
        <v/>
      </c>
    </row>
    <row r="1260" hidden="1" ht="60" customHeight="1" s="54">
      <c r="B1260" s="59" t="inlineStr">
        <is>
          <t>R-1255</t>
        </is>
      </c>
      <c r="C1260" s="59" t="inlineStr">
        <is>
          <t>GH-029</t>
        </is>
      </c>
      <c r="D1260" s="64">
        <f>IFERROR(INDEX(MgNombre,MATCH($C1260,MgActId,0)),"")</f>
        <v/>
      </c>
      <c r="E1260" s="64">
        <f>IFERROR(INDEX(MgProceso,MATCH($C1260,MgActId,0)),"")</f>
        <v/>
      </c>
      <c r="F1260" s="64">
        <f>IFERROR(INDEX(MgTipo,MATCH($C1260,MgActId,0)),"")</f>
        <v/>
      </c>
      <c r="G1260" s="64">
        <f>IFERROR(INDEX(MgSubtipo,MATCH($C1260,MgActId,0)),"")</f>
        <v/>
      </c>
      <c r="H1260" s="59" t="inlineStr">
        <is>
          <t>A.3</t>
        </is>
      </c>
      <c r="I1260" s="64">
        <f>IFERROR(INDEX(MgAmenNombre,MATCH(SUBSTITUTE($H1260,"*","-"),MgAmenClave,0)),"")</f>
        <v/>
      </c>
      <c r="J1260" s="28">
        <f>IFERROR(INDEX(MgAmenGrupo,MATCH(SUBSTITUTE($H1260,"*","-"),MgAmenClave,0)),"")</f>
        <v/>
      </c>
      <c r="K1260" s="64">
        <f>IFERROR(INDEX('1. Matriz de Activos'!$Q$6:$Q$239,MATCH($C1260,MgActId,0)),"")</f>
        <v/>
      </c>
      <c r="L1260" s="64">
        <f>IFERROR(INDEX('1. Matriz de Activos'!$R$6:$R$239,MATCH($C1260,MgActId,0)),"")</f>
        <v/>
      </c>
      <c r="M1260" s="64">
        <f>IFERROR(INDEX('1. Matriz de Activos'!$S$6:$S$239,MATCH($C1260,MgActId,0)),"")</f>
        <v/>
      </c>
      <c r="N1260" s="28">
        <f>IFERROR(INDEX(MgAmenDegD,MATCH(SUBSTITUTE($H1260,"*","-"),MgAmenClave,0)),"No aplica")</f>
        <v/>
      </c>
      <c r="O1260" s="28">
        <f>IFERROR(INDEX(MgAmenDegI,MATCH(SUBSTITUTE($H1260,"*","-"),MgAmenClave,0)),"No aplica")</f>
        <v/>
      </c>
      <c r="P1260" s="28">
        <f>IFERROR(INDEX(MgAmenDegC,MATCH(SUBSTITUTE($H1260,"*","-"),MgAmenClave,0)),"No aplica")</f>
        <v/>
      </c>
      <c r="Q1260" s="29">
        <f>IFERROR(VLOOKUP(K1260,MgValor,2,0)*VLOOKUP(N1260,MgDeg,2,0),0)</f>
        <v/>
      </c>
      <c r="R1260" s="29">
        <f>IFERROR(VLOOKUP(L1260,MgValor,2,0)*VLOOKUP(O1260,MgDeg,2,0),0)</f>
        <v/>
      </c>
      <c r="S1260" s="29">
        <f>IFERROR(VLOOKUP(M1260,MgValor,2,0)*VLOOKUP(P1260,MgDeg,2,0),0)</f>
        <v/>
      </c>
      <c r="T1260" s="30">
        <f>MAX(Q1260:S1260)</f>
        <v/>
      </c>
      <c r="U1260" s="28">
        <f>IFERROR(LOOKUP(T1260,{0;0.5;1.5;3;4.5},{"Despreciable";"Bajo";"Medio";"Alto";"Muy alto"}),"")</f>
        <v/>
      </c>
      <c r="V1260" s="13">
        <f>IFERROR(INDEX(MgAmenFrec,MATCH(SUBSTITUTE($H1260,"*","-"),MgAmenClave,0)),"")</f>
        <v/>
      </c>
      <c r="W1260" s="28">
        <f>IFERROR(LOOKUP(X1260,{0;0.01;0.1;1;10;100},{"Muy baja";"Muy baja";"Baja";"Media";"Alta";"Muy alta"}),"")</f>
        <v/>
      </c>
      <c r="X1260" s="31">
        <f>IFERROR(VLOOKUP(V1260,MgFrec,2,0),0)</f>
        <v/>
      </c>
      <c r="Y1260" s="30">
        <f>T1260*X1260</f>
        <v/>
      </c>
      <c r="Z1260" s="28">
        <f>IFERROR(LOOKUP(Y1260,{0;0.5;5;25},{"Bajo";"Medio";"Alto";"Crítico"}),"")</f>
        <v/>
      </c>
      <c r="AA1260" s="64">
        <f>IF(T1260&gt;=3,IF(X1260&gt;=1,"Zona 1 — Crítica: impacto alto y ocurre al menos una vez al año","Zona 4 — Catastrófica poco probable: impacto alto pero excepcional"),IF(AND(T1260&lt;1.5,X1260&lt;1),"Zona 3 — Asumible: impacto bajo y muy poco frecuente","Zona 2 — Atención: riesgo intermedio"))</f>
        <v/>
      </c>
      <c r="AB1260" s="64">
        <f>IFERROR(INDEX(MgAmenCtrl,MATCH(SUBSTITUTE($H1260,"*","-"),MgAmenClave,0)),"")</f>
        <v/>
      </c>
      <c r="AC1260" s="20" t="n"/>
      <c r="AD1260" s="31">
        <f>IFERROR($X1260*(1-IF($AC1260="",$AL1260,VLOOKUP($AC1260,MgMad,2,0))),"")</f>
        <v/>
      </c>
      <c r="AE1260" s="28">
        <f>IFERROR(LOOKUP(AD1260,{0;0.01;0.1;1;10;100},{"Muy baja";"Muy baja";"Baja";"Media";"Alta";"Muy alta"}),"")</f>
        <v/>
      </c>
      <c r="AF1260" s="30">
        <f>T1260*AD1260</f>
        <v/>
      </c>
      <c r="AG1260" s="28">
        <f>IFERROR(LOOKUP(AF1260,{0;0.5;5;25},{"Bajo";"Medio";"Alto";"Crítico"}),"")</f>
        <v/>
      </c>
      <c r="AH1260" s="28">
        <f>IF(AG1260="","",IF(OR(AG1260="Crítico",AG1260="Alto"),"Mitigar",IF(AG1260="Medio","Mitigar","Aceptar y monitorear")))</f>
        <v/>
      </c>
      <c r="AI1260" s="21" t="n"/>
      <c r="AJ1260" s="21" t="n"/>
      <c r="AK1260" s="20" t="n"/>
      <c r="AL1260" s="77">
        <f>IFERROR(INDEX(MgAmenEfic,MATCH(SUBSTITUTE($H1260,"*","-"),MgAmenClave,0)),0)</f>
        <v/>
      </c>
    </row>
    <row r="1261" hidden="1" ht="60" customHeight="1" s="54">
      <c r="B1261" s="59" t="inlineStr">
        <is>
          <t>R-1256</t>
        </is>
      </c>
      <c r="C1261" s="59" t="inlineStr">
        <is>
          <t>GH-029</t>
        </is>
      </c>
      <c r="D1261" s="64">
        <f>IFERROR(INDEX(MgNombre,MATCH($C1261,MgActId,0)),"")</f>
        <v/>
      </c>
      <c r="E1261" s="64">
        <f>IFERROR(INDEX(MgProceso,MATCH($C1261,MgActId,0)),"")</f>
        <v/>
      </c>
      <c r="F1261" s="64">
        <f>IFERROR(INDEX(MgTipo,MATCH($C1261,MgActId,0)),"")</f>
        <v/>
      </c>
      <c r="G1261" s="64">
        <f>IFERROR(INDEX(MgSubtipo,MATCH($C1261,MgActId,0)),"")</f>
        <v/>
      </c>
      <c r="H1261" s="59" t="inlineStr">
        <is>
          <t>A.4</t>
        </is>
      </c>
      <c r="I1261" s="64">
        <f>IFERROR(INDEX(MgAmenNombre,MATCH(SUBSTITUTE($H1261,"*","-"),MgAmenClave,0)),"")</f>
        <v/>
      </c>
      <c r="J1261" s="28">
        <f>IFERROR(INDEX(MgAmenGrupo,MATCH(SUBSTITUTE($H1261,"*","-"),MgAmenClave,0)),"")</f>
        <v/>
      </c>
      <c r="K1261" s="64">
        <f>IFERROR(INDEX('1. Matriz de Activos'!$Q$6:$Q$239,MATCH($C1261,MgActId,0)),"")</f>
        <v/>
      </c>
      <c r="L1261" s="64">
        <f>IFERROR(INDEX('1. Matriz de Activos'!$R$6:$R$239,MATCH($C1261,MgActId,0)),"")</f>
        <v/>
      </c>
      <c r="M1261" s="64">
        <f>IFERROR(INDEX('1. Matriz de Activos'!$S$6:$S$239,MATCH($C1261,MgActId,0)),"")</f>
        <v/>
      </c>
      <c r="N1261" s="28">
        <f>IFERROR(INDEX(MgAmenDegD,MATCH(SUBSTITUTE($H1261,"*","-"),MgAmenClave,0)),"No aplica")</f>
        <v/>
      </c>
      <c r="O1261" s="28">
        <f>IFERROR(INDEX(MgAmenDegI,MATCH(SUBSTITUTE($H1261,"*","-"),MgAmenClave,0)),"No aplica")</f>
        <v/>
      </c>
      <c r="P1261" s="28">
        <f>IFERROR(INDEX(MgAmenDegC,MATCH(SUBSTITUTE($H1261,"*","-"),MgAmenClave,0)),"No aplica")</f>
        <v/>
      </c>
      <c r="Q1261" s="29">
        <f>IFERROR(VLOOKUP(K1261,MgValor,2,0)*VLOOKUP(N1261,MgDeg,2,0),0)</f>
        <v/>
      </c>
      <c r="R1261" s="29">
        <f>IFERROR(VLOOKUP(L1261,MgValor,2,0)*VLOOKUP(O1261,MgDeg,2,0),0)</f>
        <v/>
      </c>
      <c r="S1261" s="29">
        <f>IFERROR(VLOOKUP(M1261,MgValor,2,0)*VLOOKUP(P1261,MgDeg,2,0),0)</f>
        <v/>
      </c>
      <c r="T1261" s="30">
        <f>MAX(Q1261:S1261)</f>
        <v/>
      </c>
      <c r="U1261" s="28">
        <f>IFERROR(LOOKUP(T1261,{0;0.5;1.5;3;4.5},{"Despreciable";"Bajo";"Medio";"Alto";"Muy alto"}),"")</f>
        <v/>
      </c>
      <c r="V1261" s="13">
        <f>IFERROR(INDEX(MgAmenFrec,MATCH(SUBSTITUTE($H1261,"*","-"),MgAmenClave,0)),"")</f>
        <v/>
      </c>
      <c r="W1261" s="28">
        <f>IFERROR(LOOKUP(X1261,{0;0.01;0.1;1;10;100},{"Muy baja";"Muy baja";"Baja";"Media";"Alta";"Muy alta"}),"")</f>
        <v/>
      </c>
      <c r="X1261" s="31">
        <f>IFERROR(VLOOKUP(V1261,MgFrec,2,0),0)</f>
        <v/>
      </c>
      <c r="Y1261" s="30">
        <f>T1261*X1261</f>
        <v/>
      </c>
      <c r="Z1261" s="28">
        <f>IFERROR(LOOKUP(Y1261,{0;0.5;5;25},{"Bajo";"Medio";"Alto";"Crítico"}),"")</f>
        <v/>
      </c>
      <c r="AA1261" s="64">
        <f>IF(T1261&gt;=3,IF(X1261&gt;=1,"Zona 1 — Crítica: impacto alto y ocurre al menos una vez al año","Zona 4 — Catastrófica poco probable: impacto alto pero excepcional"),IF(AND(T1261&lt;1.5,X1261&lt;1),"Zona 3 — Asumible: impacto bajo y muy poco frecuente","Zona 2 — Atención: riesgo intermedio"))</f>
        <v/>
      </c>
      <c r="AB1261" s="64">
        <f>IFERROR(INDEX(MgAmenCtrl,MATCH(SUBSTITUTE($H1261,"*","-"),MgAmenClave,0)),"")</f>
        <v/>
      </c>
      <c r="AC1261" s="20" t="n"/>
      <c r="AD1261" s="31">
        <f>IFERROR($X1261*(1-IF($AC1261="",$AL1261,VLOOKUP($AC1261,MgMad,2,0))),"")</f>
        <v/>
      </c>
      <c r="AE1261" s="28">
        <f>IFERROR(LOOKUP(AD1261,{0;0.01;0.1;1;10;100},{"Muy baja";"Muy baja";"Baja";"Media";"Alta";"Muy alta"}),"")</f>
        <v/>
      </c>
      <c r="AF1261" s="30">
        <f>T1261*AD1261</f>
        <v/>
      </c>
      <c r="AG1261" s="28">
        <f>IFERROR(LOOKUP(AF1261,{0;0.5;5;25},{"Bajo";"Medio";"Alto";"Crítico"}),"")</f>
        <v/>
      </c>
      <c r="AH1261" s="28">
        <f>IF(AG1261="","",IF(OR(AG1261="Crítico",AG1261="Alto"),"Mitigar",IF(AG1261="Medio","Mitigar","Aceptar y monitorear")))</f>
        <v/>
      </c>
      <c r="AI1261" s="21" t="n"/>
      <c r="AJ1261" s="21" t="n"/>
      <c r="AK1261" s="20" t="n"/>
      <c r="AL1261" s="77">
        <f>IFERROR(INDEX(MgAmenEfic,MATCH(SUBSTITUTE($H1261,"*","-"),MgAmenClave,0)),0)</f>
        <v/>
      </c>
    </row>
    <row r="1262" hidden="1" ht="75" customHeight="1" s="54">
      <c r="B1262" s="59" t="inlineStr">
        <is>
          <t>R-1257</t>
        </is>
      </c>
      <c r="C1262" s="59" t="inlineStr">
        <is>
          <t>GH-029</t>
        </is>
      </c>
      <c r="D1262" s="64">
        <f>IFERROR(INDEX(MgNombre,MATCH($C1262,MgActId,0)),"")</f>
        <v/>
      </c>
      <c r="E1262" s="64">
        <f>IFERROR(INDEX(MgProceso,MATCH($C1262,MgActId,0)),"")</f>
        <v/>
      </c>
      <c r="F1262" s="64">
        <f>IFERROR(INDEX(MgTipo,MATCH($C1262,MgActId,0)),"")</f>
        <v/>
      </c>
      <c r="G1262" s="64">
        <f>IFERROR(INDEX(MgSubtipo,MATCH($C1262,MgActId,0)),"")</f>
        <v/>
      </c>
      <c r="H1262" s="59" t="inlineStr">
        <is>
          <t>A.5</t>
        </is>
      </c>
      <c r="I1262" s="64">
        <f>IFERROR(INDEX(MgAmenNombre,MATCH(SUBSTITUTE($H1262,"*","-"),MgAmenClave,0)),"")</f>
        <v/>
      </c>
      <c r="J1262" s="28">
        <f>IFERROR(INDEX(MgAmenGrupo,MATCH(SUBSTITUTE($H1262,"*","-"),MgAmenClave,0)),"")</f>
        <v/>
      </c>
      <c r="K1262" s="64">
        <f>IFERROR(INDEX('1. Matriz de Activos'!$Q$6:$Q$239,MATCH($C1262,MgActId,0)),"")</f>
        <v/>
      </c>
      <c r="L1262" s="64">
        <f>IFERROR(INDEX('1. Matriz de Activos'!$R$6:$R$239,MATCH($C1262,MgActId,0)),"")</f>
        <v/>
      </c>
      <c r="M1262" s="64">
        <f>IFERROR(INDEX('1. Matriz de Activos'!$S$6:$S$239,MATCH($C1262,MgActId,0)),"")</f>
        <v/>
      </c>
      <c r="N1262" s="28">
        <f>IFERROR(INDEX(MgAmenDegD,MATCH(SUBSTITUTE($H1262,"*","-"),MgAmenClave,0)),"No aplica")</f>
        <v/>
      </c>
      <c r="O1262" s="28">
        <f>IFERROR(INDEX(MgAmenDegI,MATCH(SUBSTITUTE($H1262,"*","-"),MgAmenClave,0)),"No aplica")</f>
        <v/>
      </c>
      <c r="P1262" s="28">
        <f>IFERROR(INDEX(MgAmenDegC,MATCH(SUBSTITUTE($H1262,"*","-"),MgAmenClave,0)),"No aplica")</f>
        <v/>
      </c>
      <c r="Q1262" s="29">
        <f>IFERROR(VLOOKUP(K1262,MgValor,2,0)*VLOOKUP(N1262,MgDeg,2,0),0)</f>
        <v/>
      </c>
      <c r="R1262" s="29">
        <f>IFERROR(VLOOKUP(L1262,MgValor,2,0)*VLOOKUP(O1262,MgDeg,2,0),0)</f>
        <v/>
      </c>
      <c r="S1262" s="29">
        <f>IFERROR(VLOOKUP(M1262,MgValor,2,0)*VLOOKUP(P1262,MgDeg,2,0),0)</f>
        <v/>
      </c>
      <c r="T1262" s="30">
        <f>MAX(Q1262:S1262)</f>
        <v/>
      </c>
      <c r="U1262" s="28">
        <f>IFERROR(LOOKUP(T1262,{0;0.5;1.5;3;4.5},{"Despreciable";"Bajo";"Medio";"Alto";"Muy alto"}),"")</f>
        <v/>
      </c>
      <c r="V1262" s="13">
        <f>IFERROR(INDEX(MgAmenFrec,MATCH(SUBSTITUTE($H1262,"*","-"),MgAmenClave,0)),"")</f>
        <v/>
      </c>
      <c r="W1262" s="28">
        <f>IFERROR(LOOKUP(X1262,{0;0.01;0.1;1;10;100},{"Muy baja";"Muy baja";"Baja";"Media";"Alta";"Muy alta"}),"")</f>
        <v/>
      </c>
      <c r="X1262" s="31">
        <f>IFERROR(VLOOKUP(V1262,MgFrec,2,0),0)</f>
        <v/>
      </c>
      <c r="Y1262" s="30">
        <f>T1262*X1262</f>
        <v/>
      </c>
      <c r="Z1262" s="28">
        <f>IFERROR(LOOKUP(Y1262,{0;0.5;5;25},{"Bajo";"Medio";"Alto";"Crítico"}),"")</f>
        <v/>
      </c>
      <c r="AA1262" s="64">
        <f>IF(T1262&gt;=3,IF(X1262&gt;=1,"Zona 1 — Crítica: impacto alto y ocurre al menos una vez al año","Zona 4 — Catastrófica poco probable: impacto alto pero excepcional"),IF(AND(T1262&lt;1.5,X1262&lt;1),"Zona 3 — Asumible: impacto bajo y muy poco frecuente","Zona 2 — Atención: riesgo intermedio"))</f>
        <v/>
      </c>
      <c r="AB1262" s="64">
        <f>IFERROR(INDEX(MgAmenCtrl,MATCH(SUBSTITUTE($H1262,"*","-"),MgAmenClave,0)),"")</f>
        <v/>
      </c>
      <c r="AC1262" s="20" t="n"/>
      <c r="AD1262" s="31">
        <f>IFERROR($X1262*(1-IF($AC1262="",$AL1262,VLOOKUP($AC1262,MgMad,2,0))),"")</f>
        <v/>
      </c>
      <c r="AE1262" s="28">
        <f>IFERROR(LOOKUP(AD1262,{0;0.01;0.1;1;10;100},{"Muy baja";"Muy baja";"Baja";"Media";"Alta";"Muy alta"}),"")</f>
        <v/>
      </c>
      <c r="AF1262" s="30">
        <f>T1262*AD1262</f>
        <v/>
      </c>
      <c r="AG1262" s="28">
        <f>IFERROR(LOOKUP(AF1262,{0;0.5;5;25},{"Bajo";"Medio";"Alto";"Crítico"}),"")</f>
        <v/>
      </c>
      <c r="AH1262" s="28">
        <f>IF(AG1262="","",IF(OR(AG1262="Crítico",AG1262="Alto"),"Mitigar",IF(AG1262="Medio","Mitigar","Aceptar y monitorear")))</f>
        <v/>
      </c>
      <c r="AI1262" s="21" t="n"/>
      <c r="AJ1262" s="21" t="n"/>
      <c r="AK1262" s="20" t="n"/>
      <c r="AL1262" s="77">
        <f>IFERROR(INDEX(MgAmenEfic,MATCH(SUBSTITUTE($H1262,"*","-"),MgAmenClave,0)),0)</f>
        <v/>
      </c>
    </row>
    <row r="1263" hidden="1" ht="105" customHeight="1" s="54">
      <c r="B1263" s="59" t="inlineStr">
        <is>
          <t>R-1258</t>
        </is>
      </c>
      <c r="C1263" s="59" t="inlineStr">
        <is>
          <t>GH-029</t>
        </is>
      </c>
      <c r="D1263" s="64">
        <f>IFERROR(INDEX(MgNombre,MATCH($C1263,MgActId,0)),"")</f>
        <v/>
      </c>
      <c r="E1263" s="64">
        <f>IFERROR(INDEX(MgProceso,MATCH($C1263,MgActId,0)),"")</f>
        <v/>
      </c>
      <c r="F1263" s="64">
        <f>IFERROR(INDEX(MgTipo,MATCH($C1263,MgActId,0)),"")</f>
        <v/>
      </c>
      <c r="G1263" s="64">
        <f>IFERROR(INDEX(MgSubtipo,MATCH($C1263,MgActId,0)),"")</f>
        <v/>
      </c>
      <c r="H1263" s="59" t="inlineStr">
        <is>
          <t>A.6</t>
        </is>
      </c>
      <c r="I1263" s="64">
        <f>IFERROR(INDEX(MgAmenNombre,MATCH(SUBSTITUTE($H1263,"*","-"),MgAmenClave,0)),"")</f>
        <v/>
      </c>
      <c r="J1263" s="28">
        <f>IFERROR(INDEX(MgAmenGrupo,MATCH(SUBSTITUTE($H1263,"*","-"),MgAmenClave,0)),"")</f>
        <v/>
      </c>
      <c r="K1263" s="64">
        <f>IFERROR(INDEX('1. Matriz de Activos'!$Q$6:$Q$239,MATCH($C1263,MgActId,0)),"")</f>
        <v/>
      </c>
      <c r="L1263" s="64">
        <f>IFERROR(INDEX('1. Matriz de Activos'!$R$6:$R$239,MATCH($C1263,MgActId,0)),"")</f>
        <v/>
      </c>
      <c r="M1263" s="64">
        <f>IFERROR(INDEX('1. Matriz de Activos'!$S$6:$S$239,MATCH($C1263,MgActId,0)),"")</f>
        <v/>
      </c>
      <c r="N1263" s="28">
        <f>IFERROR(INDEX(MgAmenDegD,MATCH(SUBSTITUTE($H1263,"*","-"),MgAmenClave,0)),"No aplica")</f>
        <v/>
      </c>
      <c r="O1263" s="28">
        <f>IFERROR(INDEX(MgAmenDegI,MATCH(SUBSTITUTE($H1263,"*","-"),MgAmenClave,0)),"No aplica")</f>
        <v/>
      </c>
      <c r="P1263" s="28">
        <f>IFERROR(INDEX(MgAmenDegC,MATCH(SUBSTITUTE($H1263,"*","-"),MgAmenClave,0)),"No aplica")</f>
        <v/>
      </c>
      <c r="Q1263" s="29">
        <f>IFERROR(VLOOKUP(K1263,MgValor,2,0)*VLOOKUP(N1263,MgDeg,2,0),0)</f>
        <v/>
      </c>
      <c r="R1263" s="29">
        <f>IFERROR(VLOOKUP(L1263,MgValor,2,0)*VLOOKUP(O1263,MgDeg,2,0),0)</f>
        <v/>
      </c>
      <c r="S1263" s="29">
        <f>IFERROR(VLOOKUP(M1263,MgValor,2,0)*VLOOKUP(P1263,MgDeg,2,0),0)</f>
        <v/>
      </c>
      <c r="T1263" s="30">
        <f>MAX(Q1263:S1263)</f>
        <v/>
      </c>
      <c r="U1263" s="28">
        <f>IFERROR(LOOKUP(T1263,{0;0.5;1.5;3;4.5},{"Despreciable";"Bajo";"Medio";"Alto";"Muy alto"}),"")</f>
        <v/>
      </c>
      <c r="V1263" s="13">
        <f>IFERROR(INDEX(MgAmenFrec,MATCH(SUBSTITUTE($H1263,"*","-"),MgAmenClave,0)),"")</f>
        <v/>
      </c>
      <c r="W1263" s="28">
        <f>IFERROR(LOOKUP(X1263,{0;0.01;0.1;1;10;100},{"Muy baja";"Muy baja";"Baja";"Media";"Alta";"Muy alta"}),"")</f>
        <v/>
      </c>
      <c r="X1263" s="31">
        <f>IFERROR(VLOOKUP(V1263,MgFrec,2,0),0)</f>
        <v/>
      </c>
      <c r="Y1263" s="30">
        <f>T1263*X1263</f>
        <v/>
      </c>
      <c r="Z1263" s="28">
        <f>IFERROR(LOOKUP(Y1263,{0;0.5;5;25},{"Bajo";"Medio";"Alto";"Crítico"}),"")</f>
        <v/>
      </c>
      <c r="AA1263" s="64">
        <f>IF(T1263&gt;=3,IF(X1263&gt;=1,"Zona 1 — Crítica: impacto alto y ocurre al menos una vez al año","Zona 4 — Catastrófica poco probable: impacto alto pero excepcional"),IF(AND(T1263&lt;1.5,X1263&lt;1),"Zona 3 — Asumible: impacto bajo y muy poco frecuente","Zona 2 — Atención: riesgo intermedio"))</f>
        <v/>
      </c>
      <c r="AB1263" s="64">
        <f>IFERROR(INDEX(MgAmenCtrl,MATCH(SUBSTITUTE($H1263,"*","-"),MgAmenClave,0)),"")</f>
        <v/>
      </c>
      <c r="AC1263" s="20" t="n"/>
      <c r="AD1263" s="31">
        <f>IFERROR($X1263*(1-IF($AC1263="",$AL1263,VLOOKUP($AC1263,MgMad,2,0))),"")</f>
        <v/>
      </c>
      <c r="AE1263" s="28">
        <f>IFERROR(LOOKUP(AD1263,{0;0.01;0.1;1;10;100},{"Muy baja";"Muy baja";"Baja";"Media";"Alta";"Muy alta"}),"")</f>
        <v/>
      </c>
      <c r="AF1263" s="30">
        <f>T1263*AD1263</f>
        <v/>
      </c>
      <c r="AG1263" s="28">
        <f>IFERROR(LOOKUP(AF1263,{0;0.5;5;25},{"Bajo";"Medio";"Alto";"Crítico"}),"")</f>
        <v/>
      </c>
      <c r="AH1263" s="28">
        <f>IF(AG1263="","",IF(OR(AG1263="Crítico",AG1263="Alto"),"Mitigar",IF(AG1263="Medio","Mitigar","Aceptar y monitorear")))</f>
        <v/>
      </c>
      <c r="AI1263" s="21" t="n"/>
      <c r="AJ1263" s="21" t="n"/>
      <c r="AK1263" s="20" t="n"/>
      <c r="AL1263" s="77">
        <f>IFERROR(INDEX(MgAmenEfic,MATCH(SUBSTITUTE($H1263,"*","-"),MgAmenClave,0)),0)</f>
        <v/>
      </c>
    </row>
    <row r="1264" hidden="1" ht="120" customHeight="1" s="54">
      <c r="B1264" s="59" t="inlineStr">
        <is>
          <t>R-1259</t>
        </is>
      </c>
      <c r="C1264" s="59" t="inlineStr">
        <is>
          <t>GH-029</t>
        </is>
      </c>
      <c r="D1264" s="64">
        <f>IFERROR(INDEX(MgNombre,MATCH($C1264,MgActId,0)),"")</f>
        <v/>
      </c>
      <c r="E1264" s="64">
        <f>IFERROR(INDEX(MgProceso,MATCH($C1264,MgActId,0)),"")</f>
        <v/>
      </c>
      <c r="F1264" s="64">
        <f>IFERROR(INDEX(MgTipo,MATCH($C1264,MgActId,0)),"")</f>
        <v/>
      </c>
      <c r="G1264" s="64">
        <f>IFERROR(INDEX(MgSubtipo,MATCH($C1264,MgActId,0)),"")</f>
        <v/>
      </c>
      <c r="H1264" s="59" t="inlineStr">
        <is>
          <t>A.11</t>
        </is>
      </c>
      <c r="I1264" s="64">
        <f>IFERROR(INDEX(MgAmenNombre,MATCH(SUBSTITUTE($H1264,"*","-"),MgAmenClave,0)),"")</f>
        <v/>
      </c>
      <c r="J1264" s="28">
        <f>IFERROR(INDEX(MgAmenGrupo,MATCH(SUBSTITUTE($H1264,"*","-"),MgAmenClave,0)),"")</f>
        <v/>
      </c>
      <c r="K1264" s="64">
        <f>IFERROR(INDEX('1. Matriz de Activos'!$Q$6:$Q$239,MATCH($C1264,MgActId,0)),"")</f>
        <v/>
      </c>
      <c r="L1264" s="64">
        <f>IFERROR(INDEX('1. Matriz de Activos'!$R$6:$R$239,MATCH($C1264,MgActId,0)),"")</f>
        <v/>
      </c>
      <c r="M1264" s="64">
        <f>IFERROR(INDEX('1. Matriz de Activos'!$S$6:$S$239,MATCH($C1264,MgActId,0)),"")</f>
        <v/>
      </c>
      <c r="N1264" s="28">
        <f>IFERROR(INDEX(MgAmenDegD,MATCH(SUBSTITUTE($H1264,"*","-"),MgAmenClave,0)),"No aplica")</f>
        <v/>
      </c>
      <c r="O1264" s="28">
        <f>IFERROR(INDEX(MgAmenDegI,MATCH(SUBSTITUTE($H1264,"*","-"),MgAmenClave,0)),"No aplica")</f>
        <v/>
      </c>
      <c r="P1264" s="28">
        <f>IFERROR(INDEX(MgAmenDegC,MATCH(SUBSTITUTE($H1264,"*","-"),MgAmenClave,0)),"No aplica")</f>
        <v/>
      </c>
      <c r="Q1264" s="29">
        <f>IFERROR(VLOOKUP(K1264,MgValor,2,0)*VLOOKUP(N1264,MgDeg,2,0),0)</f>
        <v/>
      </c>
      <c r="R1264" s="29">
        <f>IFERROR(VLOOKUP(L1264,MgValor,2,0)*VLOOKUP(O1264,MgDeg,2,0),0)</f>
        <v/>
      </c>
      <c r="S1264" s="29">
        <f>IFERROR(VLOOKUP(M1264,MgValor,2,0)*VLOOKUP(P1264,MgDeg,2,0),0)</f>
        <v/>
      </c>
      <c r="T1264" s="30">
        <f>MAX(Q1264:S1264)</f>
        <v/>
      </c>
      <c r="U1264" s="28">
        <f>IFERROR(LOOKUP(T1264,{0;0.5;1.5;3;4.5},{"Despreciable";"Bajo";"Medio";"Alto";"Muy alto"}),"")</f>
        <v/>
      </c>
      <c r="V1264" s="13">
        <f>IFERROR(INDEX(MgAmenFrec,MATCH(SUBSTITUTE($H1264,"*","-"),MgAmenClave,0)),"")</f>
        <v/>
      </c>
      <c r="W1264" s="28">
        <f>IFERROR(LOOKUP(X1264,{0;0.01;0.1;1;10;100},{"Muy baja";"Muy baja";"Baja";"Media";"Alta";"Muy alta"}),"")</f>
        <v/>
      </c>
      <c r="X1264" s="31">
        <f>IFERROR(VLOOKUP(V1264,MgFrec,2,0),0)</f>
        <v/>
      </c>
      <c r="Y1264" s="30">
        <f>T1264*X1264</f>
        <v/>
      </c>
      <c r="Z1264" s="28">
        <f>IFERROR(LOOKUP(Y1264,{0;0.5;5;25},{"Bajo";"Medio";"Alto";"Crítico"}),"")</f>
        <v/>
      </c>
      <c r="AA1264" s="64">
        <f>IF(T1264&gt;=3,IF(X1264&gt;=1,"Zona 1 — Crítica: impacto alto y ocurre al menos una vez al año","Zona 4 — Catastrófica poco probable: impacto alto pero excepcional"),IF(AND(T1264&lt;1.5,X1264&lt;1),"Zona 3 — Asumible: impacto bajo y muy poco frecuente","Zona 2 — Atención: riesgo intermedio"))</f>
        <v/>
      </c>
      <c r="AB1264" s="64">
        <f>IFERROR(INDEX(MgAmenCtrl,MATCH(SUBSTITUTE($H1264,"*","-"),MgAmenClave,0)),"")</f>
        <v/>
      </c>
      <c r="AC1264" s="20" t="n"/>
      <c r="AD1264" s="31">
        <f>IFERROR($X1264*(1-IF($AC1264="",$AL1264,VLOOKUP($AC1264,MgMad,2,0))),"")</f>
        <v/>
      </c>
      <c r="AE1264" s="28">
        <f>IFERROR(LOOKUP(AD1264,{0;0.01;0.1;1;10;100},{"Muy baja";"Muy baja";"Baja";"Media";"Alta";"Muy alta"}),"")</f>
        <v/>
      </c>
      <c r="AF1264" s="30">
        <f>T1264*AD1264</f>
        <v/>
      </c>
      <c r="AG1264" s="28">
        <f>IFERROR(LOOKUP(AF1264,{0;0.5;5;25},{"Bajo";"Medio";"Alto";"Crítico"}),"")</f>
        <v/>
      </c>
      <c r="AH1264" s="28">
        <f>IF(AG1264="","",IF(OR(AG1264="Crítico",AG1264="Alto"),"Mitigar",IF(AG1264="Medio","Mitigar","Aceptar y monitorear")))</f>
        <v/>
      </c>
      <c r="AI1264" s="21" t="n"/>
      <c r="AJ1264" s="21" t="n"/>
      <c r="AK1264" s="20" t="n"/>
      <c r="AL1264" s="77">
        <f>IFERROR(INDEX(MgAmenEfic,MATCH(SUBSTITUTE($H1264,"*","-"),MgAmenClave,0)),0)</f>
        <v/>
      </c>
    </row>
    <row r="1265" hidden="1" ht="90" customHeight="1" s="54">
      <c r="B1265" s="59" t="inlineStr">
        <is>
          <t>R-1260</t>
        </is>
      </c>
      <c r="C1265" s="59" t="inlineStr">
        <is>
          <t>GH-029</t>
        </is>
      </c>
      <c r="D1265" s="64">
        <f>IFERROR(INDEX(MgNombre,MATCH($C1265,MgActId,0)),"")</f>
        <v/>
      </c>
      <c r="E1265" s="64">
        <f>IFERROR(INDEX(MgProceso,MATCH($C1265,MgActId,0)),"")</f>
        <v/>
      </c>
      <c r="F1265" s="64">
        <f>IFERROR(INDEX(MgTipo,MATCH($C1265,MgActId,0)),"")</f>
        <v/>
      </c>
      <c r="G1265" s="64">
        <f>IFERROR(INDEX(MgSubtipo,MATCH($C1265,MgActId,0)),"")</f>
        <v/>
      </c>
      <c r="H1265" s="59" t="inlineStr">
        <is>
          <t>A.13</t>
        </is>
      </c>
      <c r="I1265" s="64">
        <f>IFERROR(INDEX(MgAmenNombre,MATCH(SUBSTITUTE($H1265,"*","-"),MgAmenClave,0)),"")</f>
        <v/>
      </c>
      <c r="J1265" s="28">
        <f>IFERROR(INDEX(MgAmenGrupo,MATCH(SUBSTITUTE($H1265,"*","-"),MgAmenClave,0)),"")</f>
        <v/>
      </c>
      <c r="K1265" s="64">
        <f>IFERROR(INDEX('1. Matriz de Activos'!$Q$6:$Q$239,MATCH($C1265,MgActId,0)),"")</f>
        <v/>
      </c>
      <c r="L1265" s="64">
        <f>IFERROR(INDEX('1. Matriz de Activos'!$R$6:$R$239,MATCH($C1265,MgActId,0)),"")</f>
        <v/>
      </c>
      <c r="M1265" s="64">
        <f>IFERROR(INDEX('1. Matriz de Activos'!$S$6:$S$239,MATCH($C1265,MgActId,0)),"")</f>
        <v/>
      </c>
      <c r="N1265" s="28">
        <f>IFERROR(INDEX(MgAmenDegD,MATCH(SUBSTITUTE($H1265,"*","-"),MgAmenClave,0)),"No aplica")</f>
        <v/>
      </c>
      <c r="O1265" s="28">
        <f>IFERROR(INDEX(MgAmenDegI,MATCH(SUBSTITUTE($H1265,"*","-"),MgAmenClave,0)),"No aplica")</f>
        <v/>
      </c>
      <c r="P1265" s="28">
        <f>IFERROR(INDEX(MgAmenDegC,MATCH(SUBSTITUTE($H1265,"*","-"),MgAmenClave,0)),"No aplica")</f>
        <v/>
      </c>
      <c r="Q1265" s="29">
        <f>IFERROR(VLOOKUP(K1265,MgValor,2,0)*VLOOKUP(N1265,MgDeg,2,0),0)</f>
        <v/>
      </c>
      <c r="R1265" s="29">
        <f>IFERROR(VLOOKUP(L1265,MgValor,2,0)*VLOOKUP(O1265,MgDeg,2,0),0)</f>
        <v/>
      </c>
      <c r="S1265" s="29">
        <f>IFERROR(VLOOKUP(M1265,MgValor,2,0)*VLOOKUP(P1265,MgDeg,2,0),0)</f>
        <v/>
      </c>
      <c r="T1265" s="30">
        <f>MAX(Q1265:S1265)</f>
        <v/>
      </c>
      <c r="U1265" s="28">
        <f>IFERROR(LOOKUP(T1265,{0;0.5;1.5;3;4.5},{"Despreciable";"Bajo";"Medio";"Alto";"Muy alto"}),"")</f>
        <v/>
      </c>
      <c r="V1265" s="13">
        <f>IFERROR(INDEX(MgAmenFrec,MATCH(SUBSTITUTE($H1265,"*","-"),MgAmenClave,0)),"")</f>
        <v/>
      </c>
      <c r="W1265" s="28">
        <f>IFERROR(LOOKUP(X1265,{0;0.01;0.1;1;10;100},{"Muy baja";"Muy baja";"Baja";"Media";"Alta";"Muy alta"}),"")</f>
        <v/>
      </c>
      <c r="X1265" s="31">
        <f>IFERROR(VLOOKUP(V1265,MgFrec,2,0),0)</f>
        <v/>
      </c>
      <c r="Y1265" s="30">
        <f>T1265*X1265</f>
        <v/>
      </c>
      <c r="Z1265" s="28">
        <f>IFERROR(LOOKUP(Y1265,{0;0.5;5;25},{"Bajo";"Medio";"Alto";"Crítico"}),"")</f>
        <v/>
      </c>
      <c r="AA1265" s="64">
        <f>IF(T1265&gt;=3,IF(X1265&gt;=1,"Zona 1 — Crítica: impacto alto y ocurre al menos una vez al año","Zona 4 — Catastrófica poco probable: impacto alto pero excepcional"),IF(AND(T1265&lt;1.5,X1265&lt;1),"Zona 3 — Asumible: impacto bajo y muy poco frecuente","Zona 2 — Atención: riesgo intermedio"))</f>
        <v/>
      </c>
      <c r="AB1265" s="64">
        <f>IFERROR(INDEX(MgAmenCtrl,MATCH(SUBSTITUTE($H1265,"*","-"),MgAmenClave,0)),"")</f>
        <v/>
      </c>
      <c r="AC1265" s="20" t="n"/>
      <c r="AD1265" s="31">
        <f>IFERROR($X1265*(1-IF($AC1265="",$AL1265,VLOOKUP($AC1265,MgMad,2,0))),"")</f>
        <v/>
      </c>
      <c r="AE1265" s="28">
        <f>IFERROR(LOOKUP(AD1265,{0;0.01;0.1;1;10;100},{"Muy baja";"Muy baja";"Baja";"Media";"Alta";"Muy alta"}),"")</f>
        <v/>
      </c>
      <c r="AF1265" s="30">
        <f>T1265*AD1265</f>
        <v/>
      </c>
      <c r="AG1265" s="28">
        <f>IFERROR(LOOKUP(AF1265,{0;0.5;5;25},{"Bajo";"Medio";"Alto";"Crítico"}),"")</f>
        <v/>
      </c>
      <c r="AH1265" s="28">
        <f>IF(AG1265="","",IF(OR(AG1265="Crítico",AG1265="Alto"),"Mitigar",IF(AG1265="Medio","Mitigar","Aceptar y monitorear")))</f>
        <v/>
      </c>
      <c r="AI1265" s="21" t="n"/>
      <c r="AJ1265" s="21" t="n"/>
      <c r="AK1265" s="20" t="n"/>
      <c r="AL1265" s="77">
        <f>IFERROR(INDEX(MgAmenEfic,MATCH(SUBSTITUTE($H1265,"*","-"),MgAmenClave,0)),0)</f>
        <v/>
      </c>
    </row>
    <row r="1266" hidden="1" ht="60" customHeight="1" s="54">
      <c r="B1266" s="59" t="inlineStr">
        <is>
          <t>R-1261</t>
        </is>
      </c>
      <c r="C1266" s="59" t="inlineStr">
        <is>
          <t>GH-029</t>
        </is>
      </c>
      <c r="D1266" s="64">
        <f>IFERROR(INDEX(MgNombre,MATCH($C1266,MgActId,0)),"")</f>
        <v/>
      </c>
      <c r="E1266" s="64">
        <f>IFERROR(INDEX(MgProceso,MATCH($C1266,MgActId,0)),"")</f>
        <v/>
      </c>
      <c r="F1266" s="64">
        <f>IFERROR(INDEX(MgTipo,MATCH($C1266,MgActId,0)),"")</f>
        <v/>
      </c>
      <c r="G1266" s="64">
        <f>IFERROR(INDEX(MgSubtipo,MATCH($C1266,MgActId,0)),"")</f>
        <v/>
      </c>
      <c r="H1266" s="59" t="inlineStr">
        <is>
          <t>A.15</t>
        </is>
      </c>
      <c r="I1266" s="64">
        <f>IFERROR(INDEX(MgAmenNombre,MATCH(SUBSTITUTE($H1266,"*","-"),MgAmenClave,0)),"")</f>
        <v/>
      </c>
      <c r="J1266" s="28">
        <f>IFERROR(INDEX(MgAmenGrupo,MATCH(SUBSTITUTE($H1266,"*","-"),MgAmenClave,0)),"")</f>
        <v/>
      </c>
      <c r="K1266" s="64">
        <f>IFERROR(INDEX('1. Matriz de Activos'!$Q$6:$Q$239,MATCH($C1266,MgActId,0)),"")</f>
        <v/>
      </c>
      <c r="L1266" s="64">
        <f>IFERROR(INDEX('1. Matriz de Activos'!$R$6:$R$239,MATCH($C1266,MgActId,0)),"")</f>
        <v/>
      </c>
      <c r="M1266" s="64">
        <f>IFERROR(INDEX('1. Matriz de Activos'!$S$6:$S$239,MATCH($C1266,MgActId,0)),"")</f>
        <v/>
      </c>
      <c r="N1266" s="28">
        <f>IFERROR(INDEX(MgAmenDegD,MATCH(SUBSTITUTE($H1266,"*","-"),MgAmenClave,0)),"No aplica")</f>
        <v/>
      </c>
      <c r="O1266" s="28">
        <f>IFERROR(INDEX(MgAmenDegI,MATCH(SUBSTITUTE($H1266,"*","-"),MgAmenClave,0)),"No aplica")</f>
        <v/>
      </c>
      <c r="P1266" s="28">
        <f>IFERROR(INDEX(MgAmenDegC,MATCH(SUBSTITUTE($H1266,"*","-"),MgAmenClave,0)),"No aplica")</f>
        <v/>
      </c>
      <c r="Q1266" s="29">
        <f>IFERROR(VLOOKUP(K1266,MgValor,2,0)*VLOOKUP(N1266,MgDeg,2,0),0)</f>
        <v/>
      </c>
      <c r="R1266" s="29">
        <f>IFERROR(VLOOKUP(L1266,MgValor,2,0)*VLOOKUP(O1266,MgDeg,2,0),0)</f>
        <v/>
      </c>
      <c r="S1266" s="29">
        <f>IFERROR(VLOOKUP(M1266,MgValor,2,0)*VLOOKUP(P1266,MgDeg,2,0),0)</f>
        <v/>
      </c>
      <c r="T1266" s="30">
        <f>MAX(Q1266:S1266)</f>
        <v/>
      </c>
      <c r="U1266" s="28">
        <f>IFERROR(LOOKUP(T1266,{0;0.5;1.5;3;4.5},{"Despreciable";"Bajo";"Medio";"Alto";"Muy alto"}),"")</f>
        <v/>
      </c>
      <c r="V1266" s="13">
        <f>IFERROR(INDEX(MgAmenFrec,MATCH(SUBSTITUTE($H1266,"*","-"),MgAmenClave,0)),"")</f>
        <v/>
      </c>
      <c r="W1266" s="28">
        <f>IFERROR(LOOKUP(X1266,{0;0.01;0.1;1;10;100},{"Muy baja";"Muy baja";"Baja";"Media";"Alta";"Muy alta"}),"")</f>
        <v/>
      </c>
      <c r="X1266" s="31">
        <f>IFERROR(VLOOKUP(V1266,MgFrec,2,0),0)</f>
        <v/>
      </c>
      <c r="Y1266" s="30">
        <f>T1266*X1266</f>
        <v/>
      </c>
      <c r="Z1266" s="28">
        <f>IFERROR(LOOKUP(Y1266,{0;0.5;5;25},{"Bajo";"Medio";"Alto";"Crítico"}),"")</f>
        <v/>
      </c>
      <c r="AA1266" s="64">
        <f>IF(T1266&gt;=3,IF(X1266&gt;=1,"Zona 1 — Crítica: impacto alto y ocurre al menos una vez al año","Zona 4 — Catastrófica poco probable: impacto alto pero excepcional"),IF(AND(T1266&lt;1.5,X1266&lt;1),"Zona 3 — Asumible: impacto bajo y muy poco frecuente","Zona 2 — Atención: riesgo intermedio"))</f>
        <v/>
      </c>
      <c r="AB1266" s="64">
        <f>IFERROR(INDEX(MgAmenCtrl,MATCH(SUBSTITUTE($H1266,"*","-"),MgAmenClave,0)),"")</f>
        <v/>
      </c>
      <c r="AC1266" s="20" t="n"/>
      <c r="AD1266" s="31">
        <f>IFERROR($X1266*(1-IF($AC1266="",$AL1266,VLOOKUP($AC1266,MgMad,2,0))),"")</f>
        <v/>
      </c>
      <c r="AE1266" s="28">
        <f>IFERROR(LOOKUP(AD1266,{0;0.01;0.1;1;10;100},{"Muy baja";"Muy baja";"Baja";"Media";"Alta";"Muy alta"}),"")</f>
        <v/>
      </c>
      <c r="AF1266" s="30">
        <f>T1266*AD1266</f>
        <v/>
      </c>
      <c r="AG1266" s="28">
        <f>IFERROR(LOOKUP(AF1266,{0;0.5;5;25},{"Bajo";"Medio";"Alto";"Crítico"}),"")</f>
        <v/>
      </c>
      <c r="AH1266" s="28">
        <f>IF(AG1266="","",IF(OR(AG1266="Crítico",AG1266="Alto"),"Mitigar",IF(AG1266="Medio","Mitigar","Aceptar y monitorear")))</f>
        <v/>
      </c>
      <c r="AI1266" s="21" t="n"/>
      <c r="AJ1266" s="21" t="n"/>
      <c r="AK1266" s="20" t="n"/>
      <c r="AL1266" s="77">
        <f>IFERROR(INDEX(MgAmenEfic,MATCH(SUBSTITUTE($H1266,"*","-"),MgAmenClave,0)),0)</f>
        <v/>
      </c>
    </row>
    <row r="1267" hidden="1" ht="60" customHeight="1" s="54">
      <c r="B1267" s="59" t="inlineStr">
        <is>
          <t>R-1262</t>
        </is>
      </c>
      <c r="C1267" s="59" t="inlineStr">
        <is>
          <t>GH-029</t>
        </is>
      </c>
      <c r="D1267" s="64">
        <f>IFERROR(INDEX(MgNombre,MATCH($C1267,MgActId,0)),"")</f>
        <v/>
      </c>
      <c r="E1267" s="64">
        <f>IFERROR(INDEX(MgProceso,MATCH($C1267,MgActId,0)),"")</f>
        <v/>
      </c>
      <c r="F1267" s="64">
        <f>IFERROR(INDEX(MgTipo,MATCH($C1267,MgActId,0)),"")</f>
        <v/>
      </c>
      <c r="G1267" s="64">
        <f>IFERROR(INDEX(MgSubtipo,MATCH($C1267,MgActId,0)),"")</f>
        <v/>
      </c>
      <c r="H1267" s="59" t="inlineStr">
        <is>
          <t>A.18</t>
        </is>
      </c>
      <c r="I1267" s="64">
        <f>IFERROR(INDEX(MgAmenNombre,MATCH(SUBSTITUTE($H1267,"*","-"),MgAmenClave,0)),"")</f>
        <v/>
      </c>
      <c r="J1267" s="28">
        <f>IFERROR(INDEX(MgAmenGrupo,MATCH(SUBSTITUTE($H1267,"*","-"),MgAmenClave,0)),"")</f>
        <v/>
      </c>
      <c r="K1267" s="64">
        <f>IFERROR(INDEX('1. Matriz de Activos'!$Q$6:$Q$239,MATCH($C1267,MgActId,0)),"")</f>
        <v/>
      </c>
      <c r="L1267" s="64">
        <f>IFERROR(INDEX('1. Matriz de Activos'!$R$6:$R$239,MATCH($C1267,MgActId,0)),"")</f>
        <v/>
      </c>
      <c r="M1267" s="64">
        <f>IFERROR(INDEX('1. Matriz de Activos'!$S$6:$S$239,MATCH($C1267,MgActId,0)),"")</f>
        <v/>
      </c>
      <c r="N1267" s="28">
        <f>IFERROR(INDEX(MgAmenDegD,MATCH(SUBSTITUTE($H1267,"*","-"),MgAmenClave,0)),"No aplica")</f>
        <v/>
      </c>
      <c r="O1267" s="28">
        <f>IFERROR(INDEX(MgAmenDegI,MATCH(SUBSTITUTE($H1267,"*","-"),MgAmenClave,0)),"No aplica")</f>
        <v/>
      </c>
      <c r="P1267" s="28">
        <f>IFERROR(INDEX(MgAmenDegC,MATCH(SUBSTITUTE($H1267,"*","-"),MgAmenClave,0)),"No aplica")</f>
        <v/>
      </c>
      <c r="Q1267" s="29">
        <f>IFERROR(VLOOKUP(K1267,MgValor,2,0)*VLOOKUP(N1267,MgDeg,2,0),0)</f>
        <v/>
      </c>
      <c r="R1267" s="29">
        <f>IFERROR(VLOOKUP(L1267,MgValor,2,0)*VLOOKUP(O1267,MgDeg,2,0),0)</f>
        <v/>
      </c>
      <c r="S1267" s="29">
        <f>IFERROR(VLOOKUP(M1267,MgValor,2,0)*VLOOKUP(P1267,MgDeg,2,0),0)</f>
        <v/>
      </c>
      <c r="T1267" s="30">
        <f>MAX(Q1267:S1267)</f>
        <v/>
      </c>
      <c r="U1267" s="28">
        <f>IFERROR(LOOKUP(T1267,{0;0.5;1.5;3;4.5},{"Despreciable";"Bajo";"Medio";"Alto";"Muy alto"}),"")</f>
        <v/>
      </c>
      <c r="V1267" s="13">
        <f>IFERROR(INDEX(MgAmenFrec,MATCH(SUBSTITUTE($H1267,"*","-"),MgAmenClave,0)),"")</f>
        <v/>
      </c>
      <c r="W1267" s="28">
        <f>IFERROR(LOOKUP(X1267,{0;0.01;0.1;1;10;100},{"Muy baja";"Muy baja";"Baja";"Media";"Alta";"Muy alta"}),"")</f>
        <v/>
      </c>
      <c r="X1267" s="31">
        <f>IFERROR(VLOOKUP(V1267,MgFrec,2,0),0)</f>
        <v/>
      </c>
      <c r="Y1267" s="30">
        <f>T1267*X1267</f>
        <v/>
      </c>
      <c r="Z1267" s="28">
        <f>IFERROR(LOOKUP(Y1267,{0;0.5;5;25},{"Bajo";"Medio";"Alto";"Crítico"}),"")</f>
        <v/>
      </c>
      <c r="AA1267" s="64">
        <f>IF(T1267&gt;=3,IF(X1267&gt;=1,"Zona 1 — Crítica: impacto alto y ocurre al menos una vez al año","Zona 4 — Catastrófica poco probable: impacto alto pero excepcional"),IF(AND(T1267&lt;1.5,X1267&lt;1),"Zona 3 — Asumible: impacto bajo y muy poco frecuente","Zona 2 — Atención: riesgo intermedio"))</f>
        <v/>
      </c>
      <c r="AB1267" s="64">
        <f>IFERROR(INDEX(MgAmenCtrl,MATCH(SUBSTITUTE($H1267,"*","-"),MgAmenClave,0)),"")</f>
        <v/>
      </c>
      <c r="AC1267" s="20" t="n"/>
      <c r="AD1267" s="31">
        <f>IFERROR($X1267*(1-IF($AC1267="",$AL1267,VLOOKUP($AC1267,MgMad,2,0))),"")</f>
        <v/>
      </c>
      <c r="AE1267" s="28">
        <f>IFERROR(LOOKUP(AD1267,{0;0.01;0.1;1;10;100},{"Muy baja";"Muy baja";"Baja";"Media";"Alta";"Muy alta"}),"")</f>
        <v/>
      </c>
      <c r="AF1267" s="30">
        <f>T1267*AD1267</f>
        <v/>
      </c>
      <c r="AG1267" s="28">
        <f>IFERROR(LOOKUP(AF1267,{0;0.5;5;25},{"Bajo";"Medio";"Alto";"Crítico"}),"")</f>
        <v/>
      </c>
      <c r="AH1267" s="28">
        <f>IF(AG1267="","",IF(OR(AG1267="Crítico",AG1267="Alto"),"Mitigar",IF(AG1267="Medio","Mitigar","Aceptar y monitorear")))</f>
        <v/>
      </c>
      <c r="AI1267" s="21" t="n"/>
      <c r="AJ1267" s="21" t="n"/>
      <c r="AK1267" s="20" t="n"/>
      <c r="AL1267" s="77">
        <f>IFERROR(INDEX(MgAmenEfic,MATCH(SUBSTITUTE($H1267,"*","-"),MgAmenClave,0)),0)</f>
        <v/>
      </c>
    </row>
    <row r="1268" hidden="1" ht="120" customHeight="1" s="54">
      <c r="B1268" s="59" t="inlineStr">
        <is>
          <t>R-1263</t>
        </is>
      </c>
      <c r="C1268" s="59" t="inlineStr">
        <is>
          <t>GH-029</t>
        </is>
      </c>
      <c r="D1268" s="64">
        <f>IFERROR(INDEX(MgNombre,MATCH($C1268,MgActId,0)),"")</f>
        <v/>
      </c>
      <c r="E1268" s="64">
        <f>IFERROR(INDEX(MgProceso,MATCH($C1268,MgActId,0)),"")</f>
        <v/>
      </c>
      <c r="F1268" s="64">
        <f>IFERROR(INDEX(MgTipo,MATCH($C1268,MgActId,0)),"")</f>
        <v/>
      </c>
      <c r="G1268" s="64">
        <f>IFERROR(INDEX(MgSubtipo,MATCH($C1268,MgActId,0)),"")</f>
        <v/>
      </c>
      <c r="H1268" s="59" t="inlineStr">
        <is>
          <t>A.19</t>
        </is>
      </c>
      <c r="I1268" s="64">
        <f>IFERROR(INDEX(MgAmenNombre,MATCH(SUBSTITUTE($H1268,"*","-"),MgAmenClave,0)),"")</f>
        <v/>
      </c>
      <c r="J1268" s="28">
        <f>IFERROR(INDEX(MgAmenGrupo,MATCH(SUBSTITUTE($H1268,"*","-"),MgAmenClave,0)),"")</f>
        <v/>
      </c>
      <c r="K1268" s="64">
        <f>IFERROR(INDEX('1. Matriz de Activos'!$Q$6:$Q$239,MATCH($C1268,MgActId,0)),"")</f>
        <v/>
      </c>
      <c r="L1268" s="64">
        <f>IFERROR(INDEX('1. Matriz de Activos'!$R$6:$R$239,MATCH($C1268,MgActId,0)),"")</f>
        <v/>
      </c>
      <c r="M1268" s="64">
        <f>IFERROR(INDEX('1. Matriz de Activos'!$S$6:$S$239,MATCH($C1268,MgActId,0)),"")</f>
        <v/>
      </c>
      <c r="N1268" s="28">
        <f>IFERROR(INDEX(MgAmenDegD,MATCH(SUBSTITUTE($H1268,"*","-"),MgAmenClave,0)),"No aplica")</f>
        <v/>
      </c>
      <c r="O1268" s="28">
        <f>IFERROR(INDEX(MgAmenDegI,MATCH(SUBSTITUTE($H1268,"*","-"),MgAmenClave,0)),"No aplica")</f>
        <v/>
      </c>
      <c r="P1268" s="28">
        <f>IFERROR(INDEX(MgAmenDegC,MATCH(SUBSTITUTE($H1268,"*","-"),MgAmenClave,0)),"No aplica")</f>
        <v/>
      </c>
      <c r="Q1268" s="29">
        <f>IFERROR(VLOOKUP(K1268,MgValor,2,0)*VLOOKUP(N1268,MgDeg,2,0),0)</f>
        <v/>
      </c>
      <c r="R1268" s="29">
        <f>IFERROR(VLOOKUP(L1268,MgValor,2,0)*VLOOKUP(O1268,MgDeg,2,0),0)</f>
        <v/>
      </c>
      <c r="S1268" s="29">
        <f>IFERROR(VLOOKUP(M1268,MgValor,2,0)*VLOOKUP(P1268,MgDeg,2,0),0)</f>
        <v/>
      </c>
      <c r="T1268" s="30">
        <f>MAX(Q1268:S1268)</f>
        <v/>
      </c>
      <c r="U1268" s="28">
        <f>IFERROR(LOOKUP(T1268,{0;0.5;1.5;3;4.5},{"Despreciable";"Bajo";"Medio";"Alto";"Muy alto"}),"")</f>
        <v/>
      </c>
      <c r="V1268" s="13">
        <f>IFERROR(INDEX(MgAmenFrec,MATCH(SUBSTITUTE($H1268,"*","-"),MgAmenClave,0)),"")</f>
        <v/>
      </c>
      <c r="W1268" s="28">
        <f>IFERROR(LOOKUP(X1268,{0;0.01;0.1;1;10;100},{"Muy baja";"Muy baja";"Baja";"Media";"Alta";"Muy alta"}),"")</f>
        <v/>
      </c>
      <c r="X1268" s="31">
        <f>IFERROR(VLOOKUP(V1268,MgFrec,2,0),0)</f>
        <v/>
      </c>
      <c r="Y1268" s="30">
        <f>T1268*X1268</f>
        <v/>
      </c>
      <c r="Z1268" s="28">
        <f>IFERROR(LOOKUP(Y1268,{0;0.5;5;25},{"Bajo";"Medio";"Alto";"Crítico"}),"")</f>
        <v/>
      </c>
      <c r="AA1268" s="64">
        <f>IF(T1268&gt;=3,IF(X1268&gt;=1,"Zona 1 — Crítica: impacto alto y ocurre al menos una vez al año","Zona 4 — Catastrófica poco probable: impacto alto pero excepcional"),IF(AND(T1268&lt;1.5,X1268&lt;1),"Zona 3 — Asumible: impacto bajo y muy poco frecuente","Zona 2 — Atención: riesgo intermedio"))</f>
        <v/>
      </c>
      <c r="AB1268" s="64">
        <f>IFERROR(INDEX(MgAmenCtrl,MATCH(SUBSTITUTE($H1268,"*","-"),MgAmenClave,0)),"")</f>
        <v/>
      </c>
      <c r="AC1268" s="20" t="n"/>
      <c r="AD1268" s="31">
        <f>IFERROR($X1268*(1-IF($AC1268="",$AL1268,VLOOKUP($AC1268,MgMad,2,0))),"")</f>
        <v/>
      </c>
      <c r="AE1268" s="28">
        <f>IFERROR(LOOKUP(AD1268,{0;0.01;0.1;1;10;100},{"Muy baja";"Muy baja";"Baja";"Media";"Alta";"Muy alta"}),"")</f>
        <v/>
      </c>
      <c r="AF1268" s="30">
        <f>T1268*AD1268</f>
        <v/>
      </c>
      <c r="AG1268" s="28">
        <f>IFERROR(LOOKUP(AF1268,{0;0.5;5;25},{"Bajo";"Medio";"Alto";"Crítico"}),"")</f>
        <v/>
      </c>
      <c r="AH1268" s="28">
        <f>IF(AG1268="","",IF(OR(AG1268="Crítico",AG1268="Alto"),"Mitigar",IF(AG1268="Medio","Mitigar","Aceptar y monitorear")))</f>
        <v/>
      </c>
      <c r="AI1268" s="21" t="n"/>
      <c r="AJ1268" s="21" t="n"/>
      <c r="AK1268" s="20" t="n"/>
      <c r="AL1268" s="77">
        <f>IFERROR(INDEX(MgAmenEfic,MATCH(SUBSTITUTE($H1268,"*","-"),MgAmenClave,0)),0)</f>
        <v/>
      </c>
    </row>
    <row r="1269" hidden="1" ht="105" customHeight="1" s="54">
      <c r="B1269" s="59" t="inlineStr">
        <is>
          <t>R-1264</t>
        </is>
      </c>
      <c r="C1269" s="59" t="inlineStr">
        <is>
          <t>GH-026</t>
        </is>
      </c>
      <c r="D1269" s="64">
        <f>IFERROR(INDEX(MgNombre,MATCH($C1269,MgActId,0)),"")</f>
        <v/>
      </c>
      <c r="E1269" s="64">
        <f>IFERROR(INDEX(MgProceso,MATCH($C1269,MgActId,0)),"")</f>
        <v/>
      </c>
      <c r="F1269" s="64">
        <f>IFERROR(INDEX(MgTipo,MATCH($C1269,MgActId,0)),"")</f>
        <v/>
      </c>
      <c r="G1269" s="64">
        <f>IFERROR(INDEX(MgSubtipo,MATCH($C1269,MgActId,0)),"")</f>
        <v/>
      </c>
      <c r="H1269" s="59" t="inlineStr">
        <is>
          <t>E.1</t>
        </is>
      </c>
      <c r="I1269" s="64">
        <f>IFERROR(INDEX(MgAmenNombre,MATCH(SUBSTITUTE($H1269,"*","-"),MgAmenClave,0)),"")</f>
        <v/>
      </c>
      <c r="J1269" s="28">
        <f>IFERROR(INDEX(MgAmenGrupo,MATCH(SUBSTITUTE($H1269,"*","-"),MgAmenClave,0)),"")</f>
        <v/>
      </c>
      <c r="K1269" s="64">
        <f>IFERROR(INDEX('1. Matriz de Activos'!$Q$6:$Q$239,MATCH($C1269,MgActId,0)),"")</f>
        <v/>
      </c>
      <c r="L1269" s="64">
        <f>IFERROR(INDEX('1. Matriz de Activos'!$R$6:$R$239,MATCH($C1269,MgActId,0)),"")</f>
        <v/>
      </c>
      <c r="M1269" s="64">
        <f>IFERROR(INDEX('1. Matriz de Activos'!$S$6:$S$239,MATCH($C1269,MgActId,0)),"")</f>
        <v/>
      </c>
      <c r="N1269" s="28">
        <f>IFERROR(INDEX(MgAmenDegD,MATCH(SUBSTITUTE($H1269,"*","-"),MgAmenClave,0)),"No aplica")</f>
        <v/>
      </c>
      <c r="O1269" s="28">
        <f>IFERROR(INDEX(MgAmenDegI,MATCH(SUBSTITUTE($H1269,"*","-"),MgAmenClave,0)),"No aplica")</f>
        <v/>
      </c>
      <c r="P1269" s="28">
        <f>IFERROR(INDEX(MgAmenDegC,MATCH(SUBSTITUTE($H1269,"*","-"),MgAmenClave,0)),"No aplica")</f>
        <v/>
      </c>
      <c r="Q1269" s="29">
        <f>IFERROR(VLOOKUP(K1269,MgValor,2,0)*VLOOKUP(N1269,MgDeg,2,0),0)</f>
        <v/>
      </c>
      <c r="R1269" s="29">
        <f>IFERROR(VLOOKUP(L1269,MgValor,2,0)*VLOOKUP(O1269,MgDeg,2,0),0)</f>
        <v/>
      </c>
      <c r="S1269" s="29">
        <f>IFERROR(VLOOKUP(M1269,MgValor,2,0)*VLOOKUP(P1269,MgDeg,2,0),0)</f>
        <v/>
      </c>
      <c r="T1269" s="30">
        <f>MAX(Q1269:S1269)</f>
        <v/>
      </c>
      <c r="U1269" s="28">
        <f>IFERROR(LOOKUP(T1269,{0;0.5;1.5;3;4.5},{"Despreciable";"Bajo";"Medio";"Alto";"Muy alto"}),"")</f>
        <v/>
      </c>
      <c r="V1269" s="13">
        <f>IFERROR(INDEX(MgAmenFrec,MATCH(SUBSTITUTE($H1269,"*","-"),MgAmenClave,0)),"")</f>
        <v/>
      </c>
      <c r="W1269" s="28">
        <f>IFERROR(LOOKUP(X1269,{0;0.01;0.1;1;10;100},{"Muy baja";"Muy baja";"Baja";"Media";"Alta";"Muy alta"}),"")</f>
        <v/>
      </c>
      <c r="X1269" s="31">
        <f>IFERROR(VLOOKUP(V1269,MgFrec,2,0),0)</f>
        <v/>
      </c>
      <c r="Y1269" s="30">
        <f>T1269*X1269</f>
        <v/>
      </c>
      <c r="Z1269" s="28">
        <f>IFERROR(LOOKUP(Y1269,{0;0.5;5;25},{"Bajo";"Medio";"Alto";"Crítico"}),"")</f>
        <v/>
      </c>
      <c r="AA1269" s="64">
        <f>IF(T1269&gt;=3,IF(X1269&gt;=1,"Zona 1 — Crítica: impacto alto y ocurre al menos una vez al año","Zona 4 — Catastrófica poco probable: impacto alto pero excepcional"),IF(AND(T1269&lt;1.5,X1269&lt;1),"Zona 3 — Asumible: impacto bajo y muy poco frecuente","Zona 2 — Atención: riesgo intermedio"))</f>
        <v/>
      </c>
      <c r="AB1269" s="64">
        <f>IFERROR(INDEX(MgAmenCtrl,MATCH(SUBSTITUTE($H1269,"*","-"),MgAmenClave,0)),"")</f>
        <v/>
      </c>
      <c r="AC1269" s="20" t="n"/>
      <c r="AD1269" s="31">
        <f>IFERROR($X1269*(1-IF($AC1269="",$AL1269,VLOOKUP($AC1269,MgMad,2,0))),"")</f>
        <v/>
      </c>
      <c r="AE1269" s="28">
        <f>IFERROR(LOOKUP(AD1269,{0;0.01;0.1;1;10;100},{"Muy baja";"Muy baja";"Baja";"Media";"Alta";"Muy alta"}),"")</f>
        <v/>
      </c>
      <c r="AF1269" s="30">
        <f>T1269*AD1269</f>
        <v/>
      </c>
      <c r="AG1269" s="28">
        <f>IFERROR(LOOKUP(AF1269,{0;0.5;5;25},{"Bajo";"Medio";"Alto";"Crítico"}),"")</f>
        <v/>
      </c>
      <c r="AH1269" s="28">
        <f>IF(AG1269="","",IF(OR(AG1269="Crítico",AG1269="Alto"),"Mitigar",IF(AG1269="Medio","Mitigar","Aceptar y monitorear")))</f>
        <v/>
      </c>
      <c r="AI1269" s="21" t="n"/>
      <c r="AJ1269" s="21" t="n"/>
      <c r="AK1269" s="20" t="n"/>
      <c r="AL1269" s="77">
        <f>IFERROR(INDEX(MgAmenEfic,MATCH(SUBSTITUTE($H1269,"*","-"),MgAmenClave,0)),0)</f>
        <v/>
      </c>
    </row>
    <row r="1270" hidden="1" ht="120" customHeight="1" s="54">
      <c r="B1270" s="59" t="inlineStr">
        <is>
          <t>R-1265</t>
        </is>
      </c>
      <c r="C1270" s="59" t="inlineStr">
        <is>
          <t>GH-026</t>
        </is>
      </c>
      <c r="D1270" s="64">
        <f>IFERROR(INDEX(MgNombre,MATCH($C1270,MgActId,0)),"")</f>
        <v/>
      </c>
      <c r="E1270" s="64">
        <f>IFERROR(INDEX(MgProceso,MATCH($C1270,MgActId,0)),"")</f>
        <v/>
      </c>
      <c r="F1270" s="64">
        <f>IFERROR(INDEX(MgTipo,MATCH($C1270,MgActId,0)),"")</f>
        <v/>
      </c>
      <c r="G1270" s="64">
        <f>IFERROR(INDEX(MgSubtipo,MATCH($C1270,MgActId,0)),"")</f>
        <v/>
      </c>
      <c r="H1270" s="59" t="inlineStr">
        <is>
          <t>E.2</t>
        </is>
      </c>
      <c r="I1270" s="64">
        <f>IFERROR(INDEX(MgAmenNombre,MATCH(SUBSTITUTE($H1270,"*","-"),MgAmenClave,0)),"")</f>
        <v/>
      </c>
      <c r="J1270" s="28">
        <f>IFERROR(INDEX(MgAmenGrupo,MATCH(SUBSTITUTE($H1270,"*","-"),MgAmenClave,0)),"")</f>
        <v/>
      </c>
      <c r="K1270" s="64">
        <f>IFERROR(INDEX('1. Matriz de Activos'!$Q$6:$Q$239,MATCH($C1270,MgActId,0)),"")</f>
        <v/>
      </c>
      <c r="L1270" s="64">
        <f>IFERROR(INDEX('1. Matriz de Activos'!$R$6:$R$239,MATCH($C1270,MgActId,0)),"")</f>
        <v/>
      </c>
      <c r="M1270" s="64">
        <f>IFERROR(INDEX('1. Matriz de Activos'!$S$6:$S$239,MATCH($C1270,MgActId,0)),"")</f>
        <v/>
      </c>
      <c r="N1270" s="28">
        <f>IFERROR(INDEX(MgAmenDegD,MATCH(SUBSTITUTE($H1270,"*","-"),MgAmenClave,0)),"No aplica")</f>
        <v/>
      </c>
      <c r="O1270" s="28">
        <f>IFERROR(INDEX(MgAmenDegI,MATCH(SUBSTITUTE($H1270,"*","-"),MgAmenClave,0)),"No aplica")</f>
        <v/>
      </c>
      <c r="P1270" s="28">
        <f>IFERROR(INDEX(MgAmenDegC,MATCH(SUBSTITUTE($H1270,"*","-"),MgAmenClave,0)),"No aplica")</f>
        <v/>
      </c>
      <c r="Q1270" s="29">
        <f>IFERROR(VLOOKUP(K1270,MgValor,2,0)*VLOOKUP(N1270,MgDeg,2,0),0)</f>
        <v/>
      </c>
      <c r="R1270" s="29">
        <f>IFERROR(VLOOKUP(L1270,MgValor,2,0)*VLOOKUP(O1270,MgDeg,2,0),0)</f>
        <v/>
      </c>
      <c r="S1270" s="29">
        <f>IFERROR(VLOOKUP(M1270,MgValor,2,0)*VLOOKUP(P1270,MgDeg,2,0),0)</f>
        <v/>
      </c>
      <c r="T1270" s="30">
        <f>MAX(Q1270:S1270)</f>
        <v/>
      </c>
      <c r="U1270" s="28">
        <f>IFERROR(LOOKUP(T1270,{0;0.5;1.5;3;4.5},{"Despreciable";"Bajo";"Medio";"Alto";"Muy alto"}),"")</f>
        <v/>
      </c>
      <c r="V1270" s="13">
        <f>IFERROR(INDEX(MgAmenFrec,MATCH(SUBSTITUTE($H1270,"*","-"),MgAmenClave,0)),"")</f>
        <v/>
      </c>
      <c r="W1270" s="28">
        <f>IFERROR(LOOKUP(X1270,{0;0.01;0.1;1;10;100},{"Muy baja";"Muy baja";"Baja";"Media";"Alta";"Muy alta"}),"")</f>
        <v/>
      </c>
      <c r="X1270" s="31">
        <f>IFERROR(VLOOKUP(V1270,MgFrec,2,0),0)</f>
        <v/>
      </c>
      <c r="Y1270" s="30">
        <f>T1270*X1270</f>
        <v/>
      </c>
      <c r="Z1270" s="28">
        <f>IFERROR(LOOKUP(Y1270,{0;0.5;5;25},{"Bajo";"Medio";"Alto";"Crítico"}),"")</f>
        <v/>
      </c>
      <c r="AA1270" s="64">
        <f>IF(T1270&gt;=3,IF(X1270&gt;=1,"Zona 1 — Crítica: impacto alto y ocurre al menos una vez al año","Zona 4 — Catastrófica poco probable: impacto alto pero excepcional"),IF(AND(T1270&lt;1.5,X1270&lt;1),"Zona 3 — Asumible: impacto bajo y muy poco frecuente","Zona 2 — Atención: riesgo intermedio"))</f>
        <v/>
      </c>
      <c r="AB1270" s="64">
        <f>IFERROR(INDEX(MgAmenCtrl,MATCH(SUBSTITUTE($H1270,"*","-"),MgAmenClave,0)),"")</f>
        <v/>
      </c>
      <c r="AC1270" s="20" t="n"/>
      <c r="AD1270" s="31">
        <f>IFERROR($X1270*(1-IF($AC1270="",$AL1270,VLOOKUP($AC1270,MgMad,2,0))),"")</f>
        <v/>
      </c>
      <c r="AE1270" s="28">
        <f>IFERROR(LOOKUP(AD1270,{0;0.01;0.1;1;10;100},{"Muy baja";"Muy baja";"Baja";"Media";"Alta";"Muy alta"}),"")</f>
        <v/>
      </c>
      <c r="AF1270" s="30">
        <f>T1270*AD1270</f>
        <v/>
      </c>
      <c r="AG1270" s="28">
        <f>IFERROR(LOOKUP(AF1270,{0;0.5;5;25},{"Bajo";"Medio";"Alto";"Crítico"}),"")</f>
        <v/>
      </c>
      <c r="AH1270" s="28">
        <f>IF(AG1270="","",IF(OR(AG1270="Crítico",AG1270="Alto"),"Mitigar",IF(AG1270="Medio","Mitigar","Aceptar y monitorear")))</f>
        <v/>
      </c>
      <c r="AI1270" s="21" t="n"/>
      <c r="AJ1270" s="21" t="n"/>
      <c r="AK1270" s="20" t="n"/>
      <c r="AL1270" s="77">
        <f>IFERROR(INDEX(MgAmenEfic,MATCH(SUBSTITUTE($H1270,"*","-"),MgAmenClave,0)),0)</f>
        <v/>
      </c>
    </row>
    <row r="1271" hidden="1" ht="75" customHeight="1" s="54">
      <c r="B1271" s="59" t="inlineStr">
        <is>
          <t>R-1266</t>
        </is>
      </c>
      <c r="C1271" s="59" t="inlineStr">
        <is>
          <t>GH-026</t>
        </is>
      </c>
      <c r="D1271" s="64">
        <f>IFERROR(INDEX(MgNombre,MATCH($C1271,MgActId,0)),"")</f>
        <v/>
      </c>
      <c r="E1271" s="64">
        <f>IFERROR(INDEX(MgProceso,MATCH($C1271,MgActId,0)),"")</f>
        <v/>
      </c>
      <c r="F1271" s="64">
        <f>IFERROR(INDEX(MgTipo,MATCH($C1271,MgActId,0)),"")</f>
        <v/>
      </c>
      <c r="G1271" s="64">
        <f>IFERROR(INDEX(MgSubtipo,MATCH($C1271,MgActId,0)),"")</f>
        <v/>
      </c>
      <c r="H1271" s="59" t="inlineStr">
        <is>
          <t>E.3</t>
        </is>
      </c>
      <c r="I1271" s="64">
        <f>IFERROR(INDEX(MgAmenNombre,MATCH(SUBSTITUTE($H1271,"*","-"),MgAmenClave,0)),"")</f>
        <v/>
      </c>
      <c r="J1271" s="28">
        <f>IFERROR(INDEX(MgAmenGrupo,MATCH(SUBSTITUTE($H1271,"*","-"),MgAmenClave,0)),"")</f>
        <v/>
      </c>
      <c r="K1271" s="64">
        <f>IFERROR(INDEX('1. Matriz de Activos'!$Q$6:$Q$239,MATCH($C1271,MgActId,0)),"")</f>
        <v/>
      </c>
      <c r="L1271" s="64">
        <f>IFERROR(INDEX('1. Matriz de Activos'!$R$6:$R$239,MATCH($C1271,MgActId,0)),"")</f>
        <v/>
      </c>
      <c r="M1271" s="64">
        <f>IFERROR(INDEX('1. Matriz de Activos'!$S$6:$S$239,MATCH($C1271,MgActId,0)),"")</f>
        <v/>
      </c>
      <c r="N1271" s="28">
        <f>IFERROR(INDEX(MgAmenDegD,MATCH(SUBSTITUTE($H1271,"*","-"),MgAmenClave,0)),"No aplica")</f>
        <v/>
      </c>
      <c r="O1271" s="28">
        <f>IFERROR(INDEX(MgAmenDegI,MATCH(SUBSTITUTE($H1271,"*","-"),MgAmenClave,0)),"No aplica")</f>
        <v/>
      </c>
      <c r="P1271" s="28">
        <f>IFERROR(INDEX(MgAmenDegC,MATCH(SUBSTITUTE($H1271,"*","-"),MgAmenClave,0)),"No aplica")</f>
        <v/>
      </c>
      <c r="Q1271" s="29">
        <f>IFERROR(VLOOKUP(K1271,MgValor,2,0)*VLOOKUP(N1271,MgDeg,2,0),0)</f>
        <v/>
      </c>
      <c r="R1271" s="29">
        <f>IFERROR(VLOOKUP(L1271,MgValor,2,0)*VLOOKUP(O1271,MgDeg,2,0),0)</f>
        <v/>
      </c>
      <c r="S1271" s="29">
        <f>IFERROR(VLOOKUP(M1271,MgValor,2,0)*VLOOKUP(P1271,MgDeg,2,0),0)</f>
        <v/>
      </c>
      <c r="T1271" s="30">
        <f>MAX(Q1271:S1271)</f>
        <v/>
      </c>
      <c r="U1271" s="28">
        <f>IFERROR(LOOKUP(T1271,{0;0.5;1.5;3;4.5},{"Despreciable";"Bajo";"Medio";"Alto";"Muy alto"}),"")</f>
        <v/>
      </c>
      <c r="V1271" s="13">
        <f>IFERROR(INDEX(MgAmenFrec,MATCH(SUBSTITUTE($H1271,"*","-"),MgAmenClave,0)),"")</f>
        <v/>
      </c>
      <c r="W1271" s="28">
        <f>IFERROR(LOOKUP(X1271,{0;0.01;0.1;1;10;100},{"Muy baja";"Muy baja";"Baja";"Media";"Alta";"Muy alta"}),"")</f>
        <v/>
      </c>
      <c r="X1271" s="31">
        <f>IFERROR(VLOOKUP(V1271,MgFrec,2,0),0)</f>
        <v/>
      </c>
      <c r="Y1271" s="30">
        <f>T1271*X1271</f>
        <v/>
      </c>
      <c r="Z1271" s="28">
        <f>IFERROR(LOOKUP(Y1271,{0;0.5;5;25},{"Bajo";"Medio";"Alto";"Crítico"}),"")</f>
        <v/>
      </c>
      <c r="AA1271" s="64">
        <f>IF(T1271&gt;=3,IF(X1271&gt;=1,"Zona 1 — Crítica: impacto alto y ocurre al menos una vez al año","Zona 4 — Catastrófica poco probable: impacto alto pero excepcional"),IF(AND(T1271&lt;1.5,X1271&lt;1),"Zona 3 — Asumible: impacto bajo y muy poco frecuente","Zona 2 — Atención: riesgo intermedio"))</f>
        <v/>
      </c>
      <c r="AB1271" s="64">
        <f>IFERROR(INDEX(MgAmenCtrl,MATCH(SUBSTITUTE($H1271,"*","-"),MgAmenClave,0)),"")</f>
        <v/>
      </c>
      <c r="AC1271" s="20" t="n"/>
      <c r="AD1271" s="31">
        <f>IFERROR($X1271*(1-IF($AC1271="",$AL1271,VLOOKUP($AC1271,MgMad,2,0))),"")</f>
        <v/>
      </c>
      <c r="AE1271" s="28">
        <f>IFERROR(LOOKUP(AD1271,{0;0.01;0.1;1;10;100},{"Muy baja";"Muy baja";"Baja";"Media";"Alta";"Muy alta"}),"")</f>
        <v/>
      </c>
      <c r="AF1271" s="30">
        <f>T1271*AD1271</f>
        <v/>
      </c>
      <c r="AG1271" s="28">
        <f>IFERROR(LOOKUP(AF1271,{0;0.5;5;25},{"Bajo";"Medio";"Alto";"Crítico"}),"")</f>
        <v/>
      </c>
      <c r="AH1271" s="28">
        <f>IF(AG1271="","",IF(OR(AG1271="Crítico",AG1271="Alto"),"Mitigar",IF(AG1271="Medio","Mitigar","Aceptar y monitorear")))</f>
        <v/>
      </c>
      <c r="AI1271" s="21" t="n"/>
      <c r="AJ1271" s="21" t="n"/>
      <c r="AK1271" s="20" t="n"/>
      <c r="AL1271" s="77">
        <f>IFERROR(INDEX(MgAmenEfic,MATCH(SUBSTITUTE($H1271,"*","-"),MgAmenClave,0)),0)</f>
        <v/>
      </c>
    </row>
    <row r="1272" hidden="1" ht="75" customHeight="1" s="54">
      <c r="B1272" s="59" t="inlineStr">
        <is>
          <t>R-1267</t>
        </is>
      </c>
      <c r="C1272" s="59" t="inlineStr">
        <is>
          <t>GH-026</t>
        </is>
      </c>
      <c r="D1272" s="64">
        <f>IFERROR(INDEX(MgNombre,MATCH($C1272,MgActId,0)),"")</f>
        <v/>
      </c>
      <c r="E1272" s="64">
        <f>IFERROR(INDEX(MgProceso,MATCH($C1272,MgActId,0)),"")</f>
        <v/>
      </c>
      <c r="F1272" s="64">
        <f>IFERROR(INDEX(MgTipo,MATCH($C1272,MgActId,0)),"")</f>
        <v/>
      </c>
      <c r="G1272" s="64">
        <f>IFERROR(INDEX(MgSubtipo,MATCH($C1272,MgActId,0)),"")</f>
        <v/>
      </c>
      <c r="H1272" s="59" t="inlineStr">
        <is>
          <t>E.4</t>
        </is>
      </c>
      <c r="I1272" s="64">
        <f>IFERROR(INDEX(MgAmenNombre,MATCH(SUBSTITUTE($H1272,"*","-"),MgAmenClave,0)),"")</f>
        <v/>
      </c>
      <c r="J1272" s="28">
        <f>IFERROR(INDEX(MgAmenGrupo,MATCH(SUBSTITUTE($H1272,"*","-"),MgAmenClave,0)),"")</f>
        <v/>
      </c>
      <c r="K1272" s="64">
        <f>IFERROR(INDEX('1. Matriz de Activos'!$Q$6:$Q$239,MATCH($C1272,MgActId,0)),"")</f>
        <v/>
      </c>
      <c r="L1272" s="64">
        <f>IFERROR(INDEX('1. Matriz de Activos'!$R$6:$R$239,MATCH($C1272,MgActId,0)),"")</f>
        <v/>
      </c>
      <c r="M1272" s="64">
        <f>IFERROR(INDEX('1. Matriz de Activos'!$S$6:$S$239,MATCH($C1272,MgActId,0)),"")</f>
        <v/>
      </c>
      <c r="N1272" s="28">
        <f>IFERROR(INDEX(MgAmenDegD,MATCH(SUBSTITUTE($H1272,"*","-"),MgAmenClave,0)),"No aplica")</f>
        <v/>
      </c>
      <c r="O1272" s="28">
        <f>IFERROR(INDEX(MgAmenDegI,MATCH(SUBSTITUTE($H1272,"*","-"),MgAmenClave,0)),"No aplica")</f>
        <v/>
      </c>
      <c r="P1272" s="28">
        <f>IFERROR(INDEX(MgAmenDegC,MATCH(SUBSTITUTE($H1272,"*","-"),MgAmenClave,0)),"No aplica")</f>
        <v/>
      </c>
      <c r="Q1272" s="29">
        <f>IFERROR(VLOOKUP(K1272,MgValor,2,0)*VLOOKUP(N1272,MgDeg,2,0),0)</f>
        <v/>
      </c>
      <c r="R1272" s="29">
        <f>IFERROR(VLOOKUP(L1272,MgValor,2,0)*VLOOKUP(O1272,MgDeg,2,0),0)</f>
        <v/>
      </c>
      <c r="S1272" s="29">
        <f>IFERROR(VLOOKUP(M1272,MgValor,2,0)*VLOOKUP(P1272,MgDeg,2,0),0)</f>
        <v/>
      </c>
      <c r="T1272" s="30">
        <f>MAX(Q1272:S1272)</f>
        <v/>
      </c>
      <c r="U1272" s="28">
        <f>IFERROR(LOOKUP(T1272,{0;0.5;1.5;3;4.5},{"Despreciable";"Bajo";"Medio";"Alto";"Muy alto"}),"")</f>
        <v/>
      </c>
      <c r="V1272" s="13">
        <f>IFERROR(INDEX(MgAmenFrec,MATCH(SUBSTITUTE($H1272,"*","-"),MgAmenClave,0)),"")</f>
        <v/>
      </c>
      <c r="W1272" s="28">
        <f>IFERROR(LOOKUP(X1272,{0;0.01;0.1;1;10;100},{"Muy baja";"Muy baja";"Baja";"Media";"Alta";"Muy alta"}),"")</f>
        <v/>
      </c>
      <c r="X1272" s="31">
        <f>IFERROR(VLOOKUP(V1272,MgFrec,2,0),0)</f>
        <v/>
      </c>
      <c r="Y1272" s="30">
        <f>T1272*X1272</f>
        <v/>
      </c>
      <c r="Z1272" s="28">
        <f>IFERROR(LOOKUP(Y1272,{0;0.5;5;25},{"Bajo";"Medio";"Alto";"Crítico"}),"")</f>
        <v/>
      </c>
      <c r="AA1272" s="64">
        <f>IF(T1272&gt;=3,IF(X1272&gt;=1,"Zona 1 — Crítica: impacto alto y ocurre al menos una vez al año","Zona 4 — Catastrófica poco probable: impacto alto pero excepcional"),IF(AND(T1272&lt;1.5,X1272&lt;1),"Zona 3 — Asumible: impacto bajo y muy poco frecuente","Zona 2 — Atención: riesgo intermedio"))</f>
        <v/>
      </c>
      <c r="AB1272" s="64">
        <f>IFERROR(INDEX(MgAmenCtrl,MATCH(SUBSTITUTE($H1272,"*","-"),MgAmenClave,0)),"")</f>
        <v/>
      </c>
      <c r="AC1272" s="20" t="n"/>
      <c r="AD1272" s="31">
        <f>IFERROR($X1272*(1-IF($AC1272="",$AL1272,VLOOKUP($AC1272,MgMad,2,0))),"")</f>
        <v/>
      </c>
      <c r="AE1272" s="28">
        <f>IFERROR(LOOKUP(AD1272,{0;0.01;0.1;1;10;100},{"Muy baja";"Muy baja";"Baja";"Media";"Alta";"Muy alta"}),"")</f>
        <v/>
      </c>
      <c r="AF1272" s="30">
        <f>T1272*AD1272</f>
        <v/>
      </c>
      <c r="AG1272" s="28">
        <f>IFERROR(LOOKUP(AF1272,{0;0.5;5;25},{"Bajo";"Medio";"Alto";"Crítico"}),"")</f>
        <v/>
      </c>
      <c r="AH1272" s="28">
        <f>IF(AG1272="","",IF(OR(AG1272="Crítico",AG1272="Alto"),"Mitigar",IF(AG1272="Medio","Mitigar","Aceptar y monitorear")))</f>
        <v/>
      </c>
      <c r="AI1272" s="21" t="n"/>
      <c r="AJ1272" s="21" t="n"/>
      <c r="AK1272" s="20" t="n"/>
      <c r="AL1272" s="77">
        <f>IFERROR(INDEX(MgAmenEfic,MATCH(SUBSTITUTE($H1272,"*","-"),MgAmenClave,0)),0)</f>
        <v/>
      </c>
    </row>
    <row r="1273" hidden="1" ht="90" customHeight="1" s="54">
      <c r="B1273" s="59" t="inlineStr">
        <is>
          <t>R-1268</t>
        </is>
      </c>
      <c r="C1273" s="59" t="inlineStr">
        <is>
          <t>GH-026</t>
        </is>
      </c>
      <c r="D1273" s="64">
        <f>IFERROR(INDEX(MgNombre,MATCH($C1273,MgActId,0)),"")</f>
        <v/>
      </c>
      <c r="E1273" s="64">
        <f>IFERROR(INDEX(MgProceso,MATCH($C1273,MgActId,0)),"")</f>
        <v/>
      </c>
      <c r="F1273" s="64">
        <f>IFERROR(INDEX(MgTipo,MATCH($C1273,MgActId,0)),"")</f>
        <v/>
      </c>
      <c r="G1273" s="64">
        <f>IFERROR(INDEX(MgSubtipo,MATCH($C1273,MgActId,0)),"")</f>
        <v/>
      </c>
      <c r="H1273" s="59" t="inlineStr">
        <is>
          <t>E.14</t>
        </is>
      </c>
      <c r="I1273" s="64">
        <f>IFERROR(INDEX(MgAmenNombre,MATCH(SUBSTITUTE($H1273,"*","-"),MgAmenClave,0)),"")</f>
        <v/>
      </c>
      <c r="J1273" s="28">
        <f>IFERROR(INDEX(MgAmenGrupo,MATCH(SUBSTITUTE($H1273,"*","-"),MgAmenClave,0)),"")</f>
        <v/>
      </c>
      <c r="K1273" s="64">
        <f>IFERROR(INDEX('1. Matriz de Activos'!$Q$6:$Q$239,MATCH($C1273,MgActId,0)),"")</f>
        <v/>
      </c>
      <c r="L1273" s="64">
        <f>IFERROR(INDEX('1. Matriz de Activos'!$R$6:$R$239,MATCH($C1273,MgActId,0)),"")</f>
        <v/>
      </c>
      <c r="M1273" s="64">
        <f>IFERROR(INDEX('1. Matriz de Activos'!$S$6:$S$239,MATCH($C1273,MgActId,0)),"")</f>
        <v/>
      </c>
      <c r="N1273" s="28">
        <f>IFERROR(INDEX(MgAmenDegD,MATCH(SUBSTITUTE($H1273,"*","-"),MgAmenClave,0)),"No aplica")</f>
        <v/>
      </c>
      <c r="O1273" s="28">
        <f>IFERROR(INDEX(MgAmenDegI,MATCH(SUBSTITUTE($H1273,"*","-"),MgAmenClave,0)),"No aplica")</f>
        <v/>
      </c>
      <c r="P1273" s="28">
        <f>IFERROR(INDEX(MgAmenDegC,MATCH(SUBSTITUTE($H1273,"*","-"),MgAmenClave,0)),"No aplica")</f>
        <v/>
      </c>
      <c r="Q1273" s="29">
        <f>IFERROR(VLOOKUP(K1273,MgValor,2,0)*VLOOKUP(N1273,MgDeg,2,0),0)</f>
        <v/>
      </c>
      <c r="R1273" s="29">
        <f>IFERROR(VLOOKUP(L1273,MgValor,2,0)*VLOOKUP(O1273,MgDeg,2,0),0)</f>
        <v/>
      </c>
      <c r="S1273" s="29">
        <f>IFERROR(VLOOKUP(M1273,MgValor,2,0)*VLOOKUP(P1273,MgDeg,2,0),0)</f>
        <v/>
      </c>
      <c r="T1273" s="30">
        <f>MAX(Q1273:S1273)</f>
        <v/>
      </c>
      <c r="U1273" s="28">
        <f>IFERROR(LOOKUP(T1273,{0;0.5;1.5;3;4.5},{"Despreciable";"Bajo";"Medio";"Alto";"Muy alto"}),"")</f>
        <v/>
      </c>
      <c r="V1273" s="13">
        <f>IFERROR(INDEX(MgAmenFrec,MATCH(SUBSTITUTE($H1273,"*","-"),MgAmenClave,0)),"")</f>
        <v/>
      </c>
      <c r="W1273" s="28">
        <f>IFERROR(LOOKUP(X1273,{0;0.01;0.1;1;10;100},{"Muy baja";"Muy baja";"Baja";"Media";"Alta";"Muy alta"}),"")</f>
        <v/>
      </c>
      <c r="X1273" s="31">
        <f>IFERROR(VLOOKUP(V1273,MgFrec,2,0),0)</f>
        <v/>
      </c>
      <c r="Y1273" s="30">
        <f>T1273*X1273</f>
        <v/>
      </c>
      <c r="Z1273" s="28">
        <f>IFERROR(LOOKUP(Y1273,{0;0.5;5;25},{"Bajo";"Medio";"Alto";"Crítico"}),"")</f>
        <v/>
      </c>
      <c r="AA1273" s="64">
        <f>IF(T1273&gt;=3,IF(X1273&gt;=1,"Zona 1 — Crítica: impacto alto y ocurre al menos una vez al año","Zona 4 — Catastrófica poco probable: impacto alto pero excepcional"),IF(AND(T1273&lt;1.5,X1273&lt;1),"Zona 3 — Asumible: impacto bajo y muy poco frecuente","Zona 2 — Atención: riesgo intermedio"))</f>
        <v/>
      </c>
      <c r="AB1273" s="64">
        <f>IFERROR(INDEX(MgAmenCtrl,MATCH(SUBSTITUTE($H1273,"*","-"),MgAmenClave,0)),"")</f>
        <v/>
      </c>
      <c r="AC1273" s="20" t="n"/>
      <c r="AD1273" s="31">
        <f>IFERROR($X1273*(1-IF($AC1273="",$AL1273,VLOOKUP($AC1273,MgMad,2,0))),"")</f>
        <v/>
      </c>
      <c r="AE1273" s="28">
        <f>IFERROR(LOOKUP(AD1273,{0;0.01;0.1;1;10;100},{"Muy baja";"Muy baja";"Baja";"Media";"Alta";"Muy alta"}),"")</f>
        <v/>
      </c>
      <c r="AF1273" s="30">
        <f>T1273*AD1273</f>
        <v/>
      </c>
      <c r="AG1273" s="28">
        <f>IFERROR(LOOKUP(AF1273,{0;0.5;5;25},{"Bajo";"Medio";"Alto";"Crítico"}),"")</f>
        <v/>
      </c>
      <c r="AH1273" s="28">
        <f>IF(AG1273="","",IF(OR(AG1273="Crítico",AG1273="Alto"),"Mitigar",IF(AG1273="Medio","Mitigar","Aceptar y monitorear")))</f>
        <v/>
      </c>
      <c r="AI1273" s="21" t="n"/>
      <c r="AJ1273" s="21" t="n"/>
      <c r="AK1273" s="20" t="n"/>
      <c r="AL1273" s="77">
        <f>IFERROR(INDEX(MgAmenEfic,MATCH(SUBSTITUTE($H1273,"*","-"),MgAmenClave,0)),0)</f>
        <v/>
      </c>
    </row>
    <row r="1274" hidden="1" ht="90" customHeight="1" s="54">
      <c r="B1274" s="59" t="inlineStr">
        <is>
          <t>R-1269</t>
        </is>
      </c>
      <c r="C1274" s="59" t="inlineStr">
        <is>
          <t>GH-026</t>
        </is>
      </c>
      <c r="D1274" s="64">
        <f>IFERROR(INDEX(MgNombre,MATCH($C1274,MgActId,0)),"")</f>
        <v/>
      </c>
      <c r="E1274" s="64">
        <f>IFERROR(INDEX(MgProceso,MATCH($C1274,MgActId,0)),"")</f>
        <v/>
      </c>
      <c r="F1274" s="64">
        <f>IFERROR(INDEX(MgTipo,MATCH($C1274,MgActId,0)),"")</f>
        <v/>
      </c>
      <c r="G1274" s="64">
        <f>IFERROR(INDEX(MgSubtipo,MATCH($C1274,MgActId,0)),"")</f>
        <v/>
      </c>
      <c r="H1274" s="59" t="inlineStr">
        <is>
          <t>E.15</t>
        </is>
      </c>
      <c r="I1274" s="64">
        <f>IFERROR(INDEX(MgAmenNombre,MATCH(SUBSTITUTE($H1274,"*","-"),MgAmenClave,0)),"")</f>
        <v/>
      </c>
      <c r="J1274" s="28">
        <f>IFERROR(INDEX(MgAmenGrupo,MATCH(SUBSTITUTE($H1274,"*","-"),MgAmenClave,0)),"")</f>
        <v/>
      </c>
      <c r="K1274" s="64">
        <f>IFERROR(INDEX('1. Matriz de Activos'!$Q$6:$Q$239,MATCH($C1274,MgActId,0)),"")</f>
        <v/>
      </c>
      <c r="L1274" s="64">
        <f>IFERROR(INDEX('1. Matriz de Activos'!$R$6:$R$239,MATCH($C1274,MgActId,0)),"")</f>
        <v/>
      </c>
      <c r="M1274" s="64">
        <f>IFERROR(INDEX('1. Matriz de Activos'!$S$6:$S$239,MATCH($C1274,MgActId,0)),"")</f>
        <v/>
      </c>
      <c r="N1274" s="28">
        <f>IFERROR(INDEX(MgAmenDegD,MATCH(SUBSTITUTE($H1274,"*","-"),MgAmenClave,0)),"No aplica")</f>
        <v/>
      </c>
      <c r="O1274" s="28">
        <f>IFERROR(INDEX(MgAmenDegI,MATCH(SUBSTITUTE($H1274,"*","-"),MgAmenClave,0)),"No aplica")</f>
        <v/>
      </c>
      <c r="P1274" s="28">
        <f>IFERROR(INDEX(MgAmenDegC,MATCH(SUBSTITUTE($H1274,"*","-"),MgAmenClave,0)),"No aplica")</f>
        <v/>
      </c>
      <c r="Q1274" s="29">
        <f>IFERROR(VLOOKUP(K1274,MgValor,2,0)*VLOOKUP(N1274,MgDeg,2,0),0)</f>
        <v/>
      </c>
      <c r="R1274" s="29">
        <f>IFERROR(VLOOKUP(L1274,MgValor,2,0)*VLOOKUP(O1274,MgDeg,2,0),0)</f>
        <v/>
      </c>
      <c r="S1274" s="29">
        <f>IFERROR(VLOOKUP(M1274,MgValor,2,0)*VLOOKUP(P1274,MgDeg,2,0),0)</f>
        <v/>
      </c>
      <c r="T1274" s="30">
        <f>MAX(Q1274:S1274)</f>
        <v/>
      </c>
      <c r="U1274" s="28">
        <f>IFERROR(LOOKUP(T1274,{0;0.5;1.5;3;4.5},{"Despreciable";"Bajo";"Medio";"Alto";"Muy alto"}),"")</f>
        <v/>
      </c>
      <c r="V1274" s="13">
        <f>IFERROR(INDEX(MgAmenFrec,MATCH(SUBSTITUTE($H1274,"*","-"),MgAmenClave,0)),"")</f>
        <v/>
      </c>
      <c r="W1274" s="28">
        <f>IFERROR(LOOKUP(X1274,{0;0.01;0.1;1;10;100},{"Muy baja";"Muy baja";"Baja";"Media";"Alta";"Muy alta"}),"")</f>
        <v/>
      </c>
      <c r="X1274" s="31">
        <f>IFERROR(VLOOKUP(V1274,MgFrec,2,0),0)</f>
        <v/>
      </c>
      <c r="Y1274" s="30">
        <f>T1274*X1274</f>
        <v/>
      </c>
      <c r="Z1274" s="28">
        <f>IFERROR(LOOKUP(Y1274,{0;0.5;5;25},{"Bajo";"Medio";"Alto";"Crítico"}),"")</f>
        <v/>
      </c>
      <c r="AA1274" s="64">
        <f>IF(T1274&gt;=3,IF(X1274&gt;=1,"Zona 1 — Crítica: impacto alto y ocurre al menos una vez al año","Zona 4 — Catastrófica poco probable: impacto alto pero excepcional"),IF(AND(T1274&lt;1.5,X1274&lt;1),"Zona 3 — Asumible: impacto bajo y muy poco frecuente","Zona 2 — Atención: riesgo intermedio"))</f>
        <v/>
      </c>
      <c r="AB1274" s="64">
        <f>IFERROR(INDEX(MgAmenCtrl,MATCH(SUBSTITUTE($H1274,"*","-"),MgAmenClave,0)),"")</f>
        <v/>
      </c>
      <c r="AC1274" s="20" t="n"/>
      <c r="AD1274" s="31">
        <f>IFERROR($X1274*(1-IF($AC1274="",$AL1274,VLOOKUP($AC1274,MgMad,2,0))),"")</f>
        <v/>
      </c>
      <c r="AE1274" s="28">
        <f>IFERROR(LOOKUP(AD1274,{0;0.01;0.1;1;10;100},{"Muy baja";"Muy baja";"Baja";"Media";"Alta";"Muy alta"}),"")</f>
        <v/>
      </c>
      <c r="AF1274" s="30">
        <f>T1274*AD1274</f>
        <v/>
      </c>
      <c r="AG1274" s="28">
        <f>IFERROR(LOOKUP(AF1274,{0;0.5;5;25},{"Bajo";"Medio";"Alto";"Crítico"}),"")</f>
        <v/>
      </c>
      <c r="AH1274" s="28">
        <f>IF(AG1274="","",IF(OR(AG1274="Crítico",AG1274="Alto"),"Mitigar",IF(AG1274="Medio","Mitigar","Aceptar y monitorear")))</f>
        <v/>
      </c>
      <c r="AI1274" s="21" t="n"/>
      <c r="AJ1274" s="21" t="n"/>
      <c r="AK1274" s="20" t="n"/>
      <c r="AL1274" s="77">
        <f>IFERROR(INDEX(MgAmenEfic,MATCH(SUBSTITUTE($H1274,"*","-"),MgAmenClave,0)),0)</f>
        <v/>
      </c>
    </row>
    <row r="1275" hidden="1" ht="60" customHeight="1" s="54">
      <c r="B1275" s="59" t="inlineStr">
        <is>
          <t>R-1270</t>
        </is>
      </c>
      <c r="C1275" s="59" t="inlineStr">
        <is>
          <t>GH-026</t>
        </is>
      </c>
      <c r="D1275" s="64">
        <f>IFERROR(INDEX(MgNombre,MATCH($C1275,MgActId,0)),"")</f>
        <v/>
      </c>
      <c r="E1275" s="64">
        <f>IFERROR(INDEX(MgProceso,MATCH($C1275,MgActId,0)),"")</f>
        <v/>
      </c>
      <c r="F1275" s="64">
        <f>IFERROR(INDEX(MgTipo,MATCH($C1275,MgActId,0)),"")</f>
        <v/>
      </c>
      <c r="G1275" s="64">
        <f>IFERROR(INDEX(MgSubtipo,MATCH($C1275,MgActId,0)),"")</f>
        <v/>
      </c>
      <c r="H1275" s="59" t="inlineStr">
        <is>
          <t>E.18</t>
        </is>
      </c>
      <c r="I1275" s="64">
        <f>IFERROR(INDEX(MgAmenNombre,MATCH(SUBSTITUTE($H1275,"*","-"),MgAmenClave,0)),"")</f>
        <v/>
      </c>
      <c r="J1275" s="28">
        <f>IFERROR(INDEX(MgAmenGrupo,MATCH(SUBSTITUTE($H1275,"*","-"),MgAmenClave,0)),"")</f>
        <v/>
      </c>
      <c r="K1275" s="64">
        <f>IFERROR(INDEX('1. Matriz de Activos'!$Q$6:$Q$239,MATCH($C1275,MgActId,0)),"")</f>
        <v/>
      </c>
      <c r="L1275" s="64">
        <f>IFERROR(INDEX('1. Matriz de Activos'!$R$6:$R$239,MATCH($C1275,MgActId,0)),"")</f>
        <v/>
      </c>
      <c r="M1275" s="64">
        <f>IFERROR(INDEX('1. Matriz de Activos'!$S$6:$S$239,MATCH($C1275,MgActId,0)),"")</f>
        <v/>
      </c>
      <c r="N1275" s="28">
        <f>IFERROR(INDEX(MgAmenDegD,MATCH(SUBSTITUTE($H1275,"*","-"),MgAmenClave,0)),"No aplica")</f>
        <v/>
      </c>
      <c r="O1275" s="28">
        <f>IFERROR(INDEX(MgAmenDegI,MATCH(SUBSTITUTE($H1275,"*","-"),MgAmenClave,0)),"No aplica")</f>
        <v/>
      </c>
      <c r="P1275" s="28">
        <f>IFERROR(INDEX(MgAmenDegC,MATCH(SUBSTITUTE($H1275,"*","-"),MgAmenClave,0)),"No aplica")</f>
        <v/>
      </c>
      <c r="Q1275" s="29">
        <f>IFERROR(VLOOKUP(K1275,MgValor,2,0)*VLOOKUP(N1275,MgDeg,2,0),0)</f>
        <v/>
      </c>
      <c r="R1275" s="29">
        <f>IFERROR(VLOOKUP(L1275,MgValor,2,0)*VLOOKUP(O1275,MgDeg,2,0),0)</f>
        <v/>
      </c>
      <c r="S1275" s="29">
        <f>IFERROR(VLOOKUP(M1275,MgValor,2,0)*VLOOKUP(P1275,MgDeg,2,0),0)</f>
        <v/>
      </c>
      <c r="T1275" s="30">
        <f>MAX(Q1275:S1275)</f>
        <v/>
      </c>
      <c r="U1275" s="28">
        <f>IFERROR(LOOKUP(T1275,{0;0.5;1.5;3;4.5},{"Despreciable";"Bajo";"Medio";"Alto";"Muy alto"}),"")</f>
        <v/>
      </c>
      <c r="V1275" s="13">
        <f>IFERROR(INDEX(MgAmenFrec,MATCH(SUBSTITUTE($H1275,"*","-"),MgAmenClave,0)),"")</f>
        <v/>
      </c>
      <c r="W1275" s="28">
        <f>IFERROR(LOOKUP(X1275,{0;0.01;0.1;1;10;100},{"Muy baja";"Muy baja";"Baja";"Media";"Alta";"Muy alta"}),"")</f>
        <v/>
      </c>
      <c r="X1275" s="31">
        <f>IFERROR(VLOOKUP(V1275,MgFrec,2,0),0)</f>
        <v/>
      </c>
      <c r="Y1275" s="30">
        <f>T1275*X1275</f>
        <v/>
      </c>
      <c r="Z1275" s="28">
        <f>IFERROR(LOOKUP(Y1275,{0;0.5;5;25},{"Bajo";"Medio";"Alto";"Crítico"}),"")</f>
        <v/>
      </c>
      <c r="AA1275" s="64">
        <f>IF(T1275&gt;=3,IF(X1275&gt;=1,"Zona 1 — Crítica: impacto alto y ocurre al menos una vez al año","Zona 4 — Catastrófica poco probable: impacto alto pero excepcional"),IF(AND(T1275&lt;1.5,X1275&lt;1),"Zona 3 — Asumible: impacto bajo y muy poco frecuente","Zona 2 — Atención: riesgo intermedio"))</f>
        <v/>
      </c>
      <c r="AB1275" s="64">
        <f>IFERROR(INDEX(MgAmenCtrl,MATCH(SUBSTITUTE($H1275,"*","-"),MgAmenClave,0)),"")</f>
        <v/>
      </c>
      <c r="AC1275" s="20" t="n"/>
      <c r="AD1275" s="31">
        <f>IFERROR($X1275*(1-IF($AC1275="",$AL1275,VLOOKUP($AC1275,MgMad,2,0))),"")</f>
        <v/>
      </c>
      <c r="AE1275" s="28">
        <f>IFERROR(LOOKUP(AD1275,{0;0.01;0.1;1;10;100},{"Muy baja";"Muy baja";"Baja";"Media";"Alta";"Muy alta"}),"")</f>
        <v/>
      </c>
      <c r="AF1275" s="30">
        <f>T1275*AD1275</f>
        <v/>
      </c>
      <c r="AG1275" s="28">
        <f>IFERROR(LOOKUP(AF1275,{0;0.5;5;25},{"Bajo";"Medio";"Alto";"Crítico"}),"")</f>
        <v/>
      </c>
      <c r="AH1275" s="28">
        <f>IF(AG1275="","",IF(OR(AG1275="Crítico",AG1275="Alto"),"Mitigar",IF(AG1275="Medio","Mitigar","Aceptar y monitorear")))</f>
        <v/>
      </c>
      <c r="AI1275" s="21" t="n"/>
      <c r="AJ1275" s="21" t="n"/>
      <c r="AK1275" s="20" t="n"/>
      <c r="AL1275" s="77">
        <f>IFERROR(INDEX(MgAmenEfic,MATCH(SUBSTITUTE($H1275,"*","-"),MgAmenClave,0)),0)</f>
        <v/>
      </c>
    </row>
    <row r="1276" hidden="1" ht="105" customHeight="1" s="54">
      <c r="B1276" s="59" t="inlineStr">
        <is>
          <t>R-1271</t>
        </is>
      </c>
      <c r="C1276" s="59" t="inlineStr">
        <is>
          <t>GH-026</t>
        </is>
      </c>
      <c r="D1276" s="64">
        <f>IFERROR(INDEX(MgNombre,MATCH($C1276,MgActId,0)),"")</f>
        <v/>
      </c>
      <c r="E1276" s="64">
        <f>IFERROR(INDEX(MgProceso,MATCH($C1276,MgActId,0)),"")</f>
        <v/>
      </c>
      <c r="F1276" s="64">
        <f>IFERROR(INDEX(MgTipo,MATCH($C1276,MgActId,0)),"")</f>
        <v/>
      </c>
      <c r="G1276" s="64">
        <f>IFERROR(INDEX(MgSubtipo,MATCH($C1276,MgActId,0)),"")</f>
        <v/>
      </c>
      <c r="H1276" s="59" t="inlineStr">
        <is>
          <t>E.19</t>
        </is>
      </c>
      <c r="I1276" s="64">
        <f>IFERROR(INDEX(MgAmenNombre,MATCH(SUBSTITUTE($H1276,"*","-"),MgAmenClave,0)),"")</f>
        <v/>
      </c>
      <c r="J1276" s="28">
        <f>IFERROR(INDEX(MgAmenGrupo,MATCH(SUBSTITUTE($H1276,"*","-"),MgAmenClave,0)),"")</f>
        <v/>
      </c>
      <c r="K1276" s="64">
        <f>IFERROR(INDEX('1. Matriz de Activos'!$Q$6:$Q$239,MATCH($C1276,MgActId,0)),"")</f>
        <v/>
      </c>
      <c r="L1276" s="64">
        <f>IFERROR(INDEX('1. Matriz de Activos'!$R$6:$R$239,MATCH($C1276,MgActId,0)),"")</f>
        <v/>
      </c>
      <c r="M1276" s="64">
        <f>IFERROR(INDEX('1. Matriz de Activos'!$S$6:$S$239,MATCH($C1276,MgActId,0)),"")</f>
        <v/>
      </c>
      <c r="N1276" s="28">
        <f>IFERROR(INDEX(MgAmenDegD,MATCH(SUBSTITUTE($H1276,"*","-"),MgAmenClave,0)),"No aplica")</f>
        <v/>
      </c>
      <c r="O1276" s="28">
        <f>IFERROR(INDEX(MgAmenDegI,MATCH(SUBSTITUTE($H1276,"*","-"),MgAmenClave,0)),"No aplica")</f>
        <v/>
      </c>
      <c r="P1276" s="28">
        <f>IFERROR(INDEX(MgAmenDegC,MATCH(SUBSTITUTE($H1276,"*","-"),MgAmenClave,0)),"No aplica")</f>
        <v/>
      </c>
      <c r="Q1276" s="29">
        <f>IFERROR(VLOOKUP(K1276,MgValor,2,0)*VLOOKUP(N1276,MgDeg,2,0),0)</f>
        <v/>
      </c>
      <c r="R1276" s="29">
        <f>IFERROR(VLOOKUP(L1276,MgValor,2,0)*VLOOKUP(O1276,MgDeg,2,0),0)</f>
        <v/>
      </c>
      <c r="S1276" s="29">
        <f>IFERROR(VLOOKUP(M1276,MgValor,2,0)*VLOOKUP(P1276,MgDeg,2,0),0)</f>
        <v/>
      </c>
      <c r="T1276" s="30">
        <f>MAX(Q1276:S1276)</f>
        <v/>
      </c>
      <c r="U1276" s="28">
        <f>IFERROR(LOOKUP(T1276,{0;0.5;1.5;3;4.5},{"Despreciable";"Bajo";"Medio";"Alto";"Muy alto"}),"")</f>
        <v/>
      </c>
      <c r="V1276" s="13">
        <f>IFERROR(INDEX(MgAmenFrec,MATCH(SUBSTITUTE($H1276,"*","-"),MgAmenClave,0)),"")</f>
        <v/>
      </c>
      <c r="W1276" s="28">
        <f>IFERROR(LOOKUP(X1276,{0;0.01;0.1;1;10;100},{"Muy baja";"Muy baja";"Baja";"Media";"Alta";"Muy alta"}),"")</f>
        <v/>
      </c>
      <c r="X1276" s="31">
        <f>IFERROR(VLOOKUP(V1276,MgFrec,2,0),0)</f>
        <v/>
      </c>
      <c r="Y1276" s="30">
        <f>T1276*X1276</f>
        <v/>
      </c>
      <c r="Z1276" s="28">
        <f>IFERROR(LOOKUP(Y1276,{0;0.5;5;25},{"Bajo";"Medio";"Alto";"Crítico"}),"")</f>
        <v/>
      </c>
      <c r="AA1276" s="64">
        <f>IF(T1276&gt;=3,IF(X1276&gt;=1,"Zona 1 — Crítica: impacto alto y ocurre al menos una vez al año","Zona 4 — Catastrófica poco probable: impacto alto pero excepcional"),IF(AND(T1276&lt;1.5,X1276&lt;1),"Zona 3 — Asumible: impacto bajo y muy poco frecuente","Zona 2 — Atención: riesgo intermedio"))</f>
        <v/>
      </c>
      <c r="AB1276" s="64">
        <f>IFERROR(INDEX(MgAmenCtrl,MATCH(SUBSTITUTE($H1276,"*","-"),MgAmenClave,0)),"")</f>
        <v/>
      </c>
      <c r="AC1276" s="20" t="n"/>
      <c r="AD1276" s="31">
        <f>IFERROR($X1276*(1-IF($AC1276="",$AL1276,VLOOKUP($AC1276,MgMad,2,0))),"")</f>
        <v/>
      </c>
      <c r="AE1276" s="28">
        <f>IFERROR(LOOKUP(AD1276,{0;0.01;0.1;1;10;100},{"Muy baja";"Muy baja";"Baja";"Media";"Alta";"Muy alta"}),"")</f>
        <v/>
      </c>
      <c r="AF1276" s="30">
        <f>T1276*AD1276</f>
        <v/>
      </c>
      <c r="AG1276" s="28">
        <f>IFERROR(LOOKUP(AF1276,{0;0.5;5;25},{"Bajo";"Medio";"Alto";"Crítico"}),"")</f>
        <v/>
      </c>
      <c r="AH1276" s="28">
        <f>IF(AG1276="","",IF(OR(AG1276="Crítico",AG1276="Alto"),"Mitigar",IF(AG1276="Medio","Mitigar","Aceptar y monitorear")))</f>
        <v/>
      </c>
      <c r="AI1276" s="21" t="n"/>
      <c r="AJ1276" s="21" t="n"/>
      <c r="AK1276" s="20" t="n"/>
      <c r="AL1276" s="77">
        <f>IFERROR(INDEX(MgAmenEfic,MATCH(SUBSTITUTE($H1276,"*","-"),MgAmenClave,0)),0)</f>
        <v/>
      </c>
    </row>
    <row r="1277" hidden="1" ht="60" customHeight="1" s="54">
      <c r="B1277" s="59" t="inlineStr">
        <is>
          <t>R-1272</t>
        </is>
      </c>
      <c r="C1277" s="59" t="inlineStr">
        <is>
          <t>GH-026</t>
        </is>
      </c>
      <c r="D1277" s="64">
        <f>IFERROR(INDEX(MgNombre,MATCH($C1277,MgActId,0)),"")</f>
        <v/>
      </c>
      <c r="E1277" s="64">
        <f>IFERROR(INDEX(MgProceso,MATCH($C1277,MgActId,0)),"")</f>
        <v/>
      </c>
      <c r="F1277" s="64">
        <f>IFERROR(INDEX(MgTipo,MATCH($C1277,MgActId,0)),"")</f>
        <v/>
      </c>
      <c r="G1277" s="64">
        <f>IFERROR(INDEX(MgSubtipo,MATCH($C1277,MgActId,0)),"")</f>
        <v/>
      </c>
      <c r="H1277" s="59" t="inlineStr">
        <is>
          <t>A.3</t>
        </is>
      </c>
      <c r="I1277" s="64">
        <f>IFERROR(INDEX(MgAmenNombre,MATCH(SUBSTITUTE($H1277,"*","-"),MgAmenClave,0)),"")</f>
        <v/>
      </c>
      <c r="J1277" s="28">
        <f>IFERROR(INDEX(MgAmenGrupo,MATCH(SUBSTITUTE($H1277,"*","-"),MgAmenClave,0)),"")</f>
        <v/>
      </c>
      <c r="K1277" s="64">
        <f>IFERROR(INDEX('1. Matriz de Activos'!$Q$6:$Q$239,MATCH($C1277,MgActId,0)),"")</f>
        <v/>
      </c>
      <c r="L1277" s="64">
        <f>IFERROR(INDEX('1. Matriz de Activos'!$R$6:$R$239,MATCH($C1277,MgActId,0)),"")</f>
        <v/>
      </c>
      <c r="M1277" s="64">
        <f>IFERROR(INDEX('1. Matriz de Activos'!$S$6:$S$239,MATCH($C1277,MgActId,0)),"")</f>
        <v/>
      </c>
      <c r="N1277" s="28">
        <f>IFERROR(INDEX(MgAmenDegD,MATCH(SUBSTITUTE($H1277,"*","-"),MgAmenClave,0)),"No aplica")</f>
        <v/>
      </c>
      <c r="O1277" s="28">
        <f>IFERROR(INDEX(MgAmenDegI,MATCH(SUBSTITUTE($H1277,"*","-"),MgAmenClave,0)),"No aplica")</f>
        <v/>
      </c>
      <c r="P1277" s="28">
        <f>IFERROR(INDEX(MgAmenDegC,MATCH(SUBSTITUTE($H1277,"*","-"),MgAmenClave,0)),"No aplica")</f>
        <v/>
      </c>
      <c r="Q1277" s="29">
        <f>IFERROR(VLOOKUP(K1277,MgValor,2,0)*VLOOKUP(N1277,MgDeg,2,0),0)</f>
        <v/>
      </c>
      <c r="R1277" s="29">
        <f>IFERROR(VLOOKUP(L1277,MgValor,2,0)*VLOOKUP(O1277,MgDeg,2,0),0)</f>
        <v/>
      </c>
      <c r="S1277" s="29">
        <f>IFERROR(VLOOKUP(M1277,MgValor,2,0)*VLOOKUP(P1277,MgDeg,2,0),0)</f>
        <v/>
      </c>
      <c r="T1277" s="30">
        <f>MAX(Q1277:S1277)</f>
        <v/>
      </c>
      <c r="U1277" s="28">
        <f>IFERROR(LOOKUP(T1277,{0;0.5;1.5;3;4.5},{"Despreciable";"Bajo";"Medio";"Alto";"Muy alto"}),"")</f>
        <v/>
      </c>
      <c r="V1277" s="13">
        <f>IFERROR(INDEX(MgAmenFrec,MATCH(SUBSTITUTE($H1277,"*","-"),MgAmenClave,0)),"")</f>
        <v/>
      </c>
      <c r="W1277" s="28">
        <f>IFERROR(LOOKUP(X1277,{0;0.01;0.1;1;10;100},{"Muy baja";"Muy baja";"Baja";"Media";"Alta";"Muy alta"}),"")</f>
        <v/>
      </c>
      <c r="X1277" s="31">
        <f>IFERROR(VLOOKUP(V1277,MgFrec,2,0),0)</f>
        <v/>
      </c>
      <c r="Y1277" s="30">
        <f>T1277*X1277</f>
        <v/>
      </c>
      <c r="Z1277" s="28">
        <f>IFERROR(LOOKUP(Y1277,{0;0.5;5;25},{"Bajo";"Medio";"Alto";"Crítico"}),"")</f>
        <v/>
      </c>
      <c r="AA1277" s="64">
        <f>IF(T1277&gt;=3,IF(X1277&gt;=1,"Zona 1 — Crítica: impacto alto y ocurre al menos una vez al año","Zona 4 — Catastrófica poco probable: impacto alto pero excepcional"),IF(AND(T1277&lt;1.5,X1277&lt;1),"Zona 3 — Asumible: impacto bajo y muy poco frecuente","Zona 2 — Atención: riesgo intermedio"))</f>
        <v/>
      </c>
      <c r="AB1277" s="64">
        <f>IFERROR(INDEX(MgAmenCtrl,MATCH(SUBSTITUTE($H1277,"*","-"),MgAmenClave,0)),"")</f>
        <v/>
      </c>
      <c r="AC1277" s="20" t="n"/>
      <c r="AD1277" s="31">
        <f>IFERROR($X1277*(1-IF($AC1277="",$AL1277,VLOOKUP($AC1277,MgMad,2,0))),"")</f>
        <v/>
      </c>
      <c r="AE1277" s="28">
        <f>IFERROR(LOOKUP(AD1277,{0;0.01;0.1;1;10;100},{"Muy baja";"Muy baja";"Baja";"Media";"Alta";"Muy alta"}),"")</f>
        <v/>
      </c>
      <c r="AF1277" s="30">
        <f>T1277*AD1277</f>
        <v/>
      </c>
      <c r="AG1277" s="28">
        <f>IFERROR(LOOKUP(AF1277,{0;0.5;5;25},{"Bajo";"Medio";"Alto";"Crítico"}),"")</f>
        <v/>
      </c>
      <c r="AH1277" s="28">
        <f>IF(AG1277="","",IF(OR(AG1277="Crítico",AG1277="Alto"),"Mitigar",IF(AG1277="Medio","Mitigar","Aceptar y monitorear")))</f>
        <v/>
      </c>
      <c r="AI1277" s="21" t="n"/>
      <c r="AJ1277" s="21" t="n"/>
      <c r="AK1277" s="20" t="n"/>
      <c r="AL1277" s="77">
        <f>IFERROR(INDEX(MgAmenEfic,MATCH(SUBSTITUTE($H1277,"*","-"),MgAmenClave,0)),0)</f>
        <v/>
      </c>
    </row>
    <row r="1278" hidden="1" ht="60" customHeight="1" s="54">
      <c r="B1278" s="59" t="inlineStr">
        <is>
          <t>R-1273</t>
        </is>
      </c>
      <c r="C1278" s="59" t="inlineStr">
        <is>
          <t>GH-026</t>
        </is>
      </c>
      <c r="D1278" s="64">
        <f>IFERROR(INDEX(MgNombre,MATCH($C1278,MgActId,0)),"")</f>
        <v/>
      </c>
      <c r="E1278" s="64">
        <f>IFERROR(INDEX(MgProceso,MATCH($C1278,MgActId,0)),"")</f>
        <v/>
      </c>
      <c r="F1278" s="64">
        <f>IFERROR(INDEX(MgTipo,MATCH($C1278,MgActId,0)),"")</f>
        <v/>
      </c>
      <c r="G1278" s="64">
        <f>IFERROR(INDEX(MgSubtipo,MATCH($C1278,MgActId,0)),"")</f>
        <v/>
      </c>
      <c r="H1278" s="59" t="inlineStr">
        <is>
          <t>A.4</t>
        </is>
      </c>
      <c r="I1278" s="64">
        <f>IFERROR(INDEX(MgAmenNombre,MATCH(SUBSTITUTE($H1278,"*","-"),MgAmenClave,0)),"")</f>
        <v/>
      </c>
      <c r="J1278" s="28">
        <f>IFERROR(INDEX(MgAmenGrupo,MATCH(SUBSTITUTE($H1278,"*","-"),MgAmenClave,0)),"")</f>
        <v/>
      </c>
      <c r="K1278" s="64">
        <f>IFERROR(INDEX('1. Matriz de Activos'!$Q$6:$Q$239,MATCH($C1278,MgActId,0)),"")</f>
        <v/>
      </c>
      <c r="L1278" s="64">
        <f>IFERROR(INDEX('1. Matriz de Activos'!$R$6:$R$239,MATCH($C1278,MgActId,0)),"")</f>
        <v/>
      </c>
      <c r="M1278" s="64">
        <f>IFERROR(INDEX('1. Matriz de Activos'!$S$6:$S$239,MATCH($C1278,MgActId,0)),"")</f>
        <v/>
      </c>
      <c r="N1278" s="28">
        <f>IFERROR(INDEX(MgAmenDegD,MATCH(SUBSTITUTE($H1278,"*","-"),MgAmenClave,0)),"No aplica")</f>
        <v/>
      </c>
      <c r="O1278" s="28">
        <f>IFERROR(INDEX(MgAmenDegI,MATCH(SUBSTITUTE($H1278,"*","-"),MgAmenClave,0)),"No aplica")</f>
        <v/>
      </c>
      <c r="P1278" s="28">
        <f>IFERROR(INDEX(MgAmenDegC,MATCH(SUBSTITUTE($H1278,"*","-"),MgAmenClave,0)),"No aplica")</f>
        <v/>
      </c>
      <c r="Q1278" s="29">
        <f>IFERROR(VLOOKUP(K1278,MgValor,2,0)*VLOOKUP(N1278,MgDeg,2,0),0)</f>
        <v/>
      </c>
      <c r="R1278" s="29">
        <f>IFERROR(VLOOKUP(L1278,MgValor,2,0)*VLOOKUP(O1278,MgDeg,2,0),0)</f>
        <v/>
      </c>
      <c r="S1278" s="29">
        <f>IFERROR(VLOOKUP(M1278,MgValor,2,0)*VLOOKUP(P1278,MgDeg,2,0),0)</f>
        <v/>
      </c>
      <c r="T1278" s="30">
        <f>MAX(Q1278:S1278)</f>
        <v/>
      </c>
      <c r="U1278" s="28">
        <f>IFERROR(LOOKUP(T1278,{0;0.5;1.5;3;4.5},{"Despreciable";"Bajo";"Medio";"Alto";"Muy alto"}),"")</f>
        <v/>
      </c>
      <c r="V1278" s="13">
        <f>IFERROR(INDEX(MgAmenFrec,MATCH(SUBSTITUTE($H1278,"*","-"),MgAmenClave,0)),"")</f>
        <v/>
      </c>
      <c r="W1278" s="28">
        <f>IFERROR(LOOKUP(X1278,{0;0.01;0.1;1;10;100},{"Muy baja";"Muy baja";"Baja";"Media";"Alta";"Muy alta"}),"")</f>
        <v/>
      </c>
      <c r="X1278" s="31">
        <f>IFERROR(VLOOKUP(V1278,MgFrec,2,0),0)</f>
        <v/>
      </c>
      <c r="Y1278" s="30">
        <f>T1278*X1278</f>
        <v/>
      </c>
      <c r="Z1278" s="28">
        <f>IFERROR(LOOKUP(Y1278,{0;0.5;5;25},{"Bajo";"Medio";"Alto";"Crítico"}),"")</f>
        <v/>
      </c>
      <c r="AA1278" s="64">
        <f>IF(T1278&gt;=3,IF(X1278&gt;=1,"Zona 1 — Crítica: impacto alto y ocurre al menos una vez al año","Zona 4 — Catastrófica poco probable: impacto alto pero excepcional"),IF(AND(T1278&lt;1.5,X1278&lt;1),"Zona 3 — Asumible: impacto bajo y muy poco frecuente","Zona 2 — Atención: riesgo intermedio"))</f>
        <v/>
      </c>
      <c r="AB1278" s="64">
        <f>IFERROR(INDEX(MgAmenCtrl,MATCH(SUBSTITUTE($H1278,"*","-"),MgAmenClave,0)),"")</f>
        <v/>
      </c>
      <c r="AC1278" s="20" t="n"/>
      <c r="AD1278" s="31">
        <f>IFERROR($X1278*(1-IF($AC1278="",$AL1278,VLOOKUP($AC1278,MgMad,2,0))),"")</f>
        <v/>
      </c>
      <c r="AE1278" s="28">
        <f>IFERROR(LOOKUP(AD1278,{0;0.01;0.1;1;10;100},{"Muy baja";"Muy baja";"Baja";"Media";"Alta";"Muy alta"}),"")</f>
        <v/>
      </c>
      <c r="AF1278" s="30">
        <f>T1278*AD1278</f>
        <v/>
      </c>
      <c r="AG1278" s="28">
        <f>IFERROR(LOOKUP(AF1278,{0;0.5;5;25},{"Bajo";"Medio";"Alto";"Crítico"}),"")</f>
        <v/>
      </c>
      <c r="AH1278" s="28">
        <f>IF(AG1278="","",IF(OR(AG1278="Crítico",AG1278="Alto"),"Mitigar",IF(AG1278="Medio","Mitigar","Aceptar y monitorear")))</f>
        <v/>
      </c>
      <c r="AI1278" s="21" t="n"/>
      <c r="AJ1278" s="21" t="n"/>
      <c r="AK1278" s="20" t="n"/>
      <c r="AL1278" s="77">
        <f>IFERROR(INDEX(MgAmenEfic,MATCH(SUBSTITUTE($H1278,"*","-"),MgAmenClave,0)),0)</f>
        <v/>
      </c>
    </row>
    <row r="1279" hidden="1" ht="75" customHeight="1" s="54">
      <c r="B1279" s="59" t="inlineStr">
        <is>
          <t>R-1274</t>
        </is>
      </c>
      <c r="C1279" s="59" t="inlineStr">
        <is>
          <t>GH-026</t>
        </is>
      </c>
      <c r="D1279" s="64">
        <f>IFERROR(INDEX(MgNombre,MATCH($C1279,MgActId,0)),"")</f>
        <v/>
      </c>
      <c r="E1279" s="64">
        <f>IFERROR(INDEX(MgProceso,MATCH($C1279,MgActId,0)),"")</f>
        <v/>
      </c>
      <c r="F1279" s="64">
        <f>IFERROR(INDEX(MgTipo,MATCH($C1279,MgActId,0)),"")</f>
        <v/>
      </c>
      <c r="G1279" s="64">
        <f>IFERROR(INDEX(MgSubtipo,MATCH($C1279,MgActId,0)),"")</f>
        <v/>
      </c>
      <c r="H1279" s="59" t="inlineStr">
        <is>
          <t>A.5</t>
        </is>
      </c>
      <c r="I1279" s="64">
        <f>IFERROR(INDEX(MgAmenNombre,MATCH(SUBSTITUTE($H1279,"*","-"),MgAmenClave,0)),"")</f>
        <v/>
      </c>
      <c r="J1279" s="28">
        <f>IFERROR(INDEX(MgAmenGrupo,MATCH(SUBSTITUTE($H1279,"*","-"),MgAmenClave,0)),"")</f>
        <v/>
      </c>
      <c r="K1279" s="64">
        <f>IFERROR(INDEX('1. Matriz de Activos'!$Q$6:$Q$239,MATCH($C1279,MgActId,0)),"")</f>
        <v/>
      </c>
      <c r="L1279" s="64">
        <f>IFERROR(INDEX('1. Matriz de Activos'!$R$6:$R$239,MATCH($C1279,MgActId,0)),"")</f>
        <v/>
      </c>
      <c r="M1279" s="64">
        <f>IFERROR(INDEX('1. Matriz de Activos'!$S$6:$S$239,MATCH($C1279,MgActId,0)),"")</f>
        <v/>
      </c>
      <c r="N1279" s="28">
        <f>IFERROR(INDEX(MgAmenDegD,MATCH(SUBSTITUTE($H1279,"*","-"),MgAmenClave,0)),"No aplica")</f>
        <v/>
      </c>
      <c r="O1279" s="28">
        <f>IFERROR(INDEX(MgAmenDegI,MATCH(SUBSTITUTE($H1279,"*","-"),MgAmenClave,0)),"No aplica")</f>
        <v/>
      </c>
      <c r="P1279" s="28">
        <f>IFERROR(INDEX(MgAmenDegC,MATCH(SUBSTITUTE($H1279,"*","-"),MgAmenClave,0)),"No aplica")</f>
        <v/>
      </c>
      <c r="Q1279" s="29">
        <f>IFERROR(VLOOKUP(K1279,MgValor,2,0)*VLOOKUP(N1279,MgDeg,2,0),0)</f>
        <v/>
      </c>
      <c r="R1279" s="29">
        <f>IFERROR(VLOOKUP(L1279,MgValor,2,0)*VLOOKUP(O1279,MgDeg,2,0),0)</f>
        <v/>
      </c>
      <c r="S1279" s="29">
        <f>IFERROR(VLOOKUP(M1279,MgValor,2,0)*VLOOKUP(P1279,MgDeg,2,0),0)</f>
        <v/>
      </c>
      <c r="T1279" s="30">
        <f>MAX(Q1279:S1279)</f>
        <v/>
      </c>
      <c r="U1279" s="28">
        <f>IFERROR(LOOKUP(T1279,{0;0.5;1.5;3;4.5},{"Despreciable";"Bajo";"Medio";"Alto";"Muy alto"}),"")</f>
        <v/>
      </c>
      <c r="V1279" s="13">
        <f>IFERROR(INDEX(MgAmenFrec,MATCH(SUBSTITUTE($H1279,"*","-"),MgAmenClave,0)),"")</f>
        <v/>
      </c>
      <c r="W1279" s="28">
        <f>IFERROR(LOOKUP(X1279,{0;0.01;0.1;1;10;100},{"Muy baja";"Muy baja";"Baja";"Media";"Alta";"Muy alta"}),"")</f>
        <v/>
      </c>
      <c r="X1279" s="31">
        <f>IFERROR(VLOOKUP(V1279,MgFrec,2,0),0)</f>
        <v/>
      </c>
      <c r="Y1279" s="30">
        <f>T1279*X1279</f>
        <v/>
      </c>
      <c r="Z1279" s="28">
        <f>IFERROR(LOOKUP(Y1279,{0;0.5;5;25},{"Bajo";"Medio";"Alto";"Crítico"}),"")</f>
        <v/>
      </c>
      <c r="AA1279" s="64">
        <f>IF(T1279&gt;=3,IF(X1279&gt;=1,"Zona 1 — Crítica: impacto alto y ocurre al menos una vez al año","Zona 4 — Catastrófica poco probable: impacto alto pero excepcional"),IF(AND(T1279&lt;1.5,X1279&lt;1),"Zona 3 — Asumible: impacto bajo y muy poco frecuente","Zona 2 — Atención: riesgo intermedio"))</f>
        <v/>
      </c>
      <c r="AB1279" s="64">
        <f>IFERROR(INDEX(MgAmenCtrl,MATCH(SUBSTITUTE($H1279,"*","-"),MgAmenClave,0)),"")</f>
        <v/>
      </c>
      <c r="AC1279" s="20" t="n"/>
      <c r="AD1279" s="31">
        <f>IFERROR($X1279*(1-IF($AC1279="",$AL1279,VLOOKUP($AC1279,MgMad,2,0))),"")</f>
        <v/>
      </c>
      <c r="AE1279" s="28">
        <f>IFERROR(LOOKUP(AD1279,{0;0.01;0.1;1;10;100},{"Muy baja";"Muy baja";"Baja";"Media";"Alta";"Muy alta"}),"")</f>
        <v/>
      </c>
      <c r="AF1279" s="30">
        <f>T1279*AD1279</f>
        <v/>
      </c>
      <c r="AG1279" s="28">
        <f>IFERROR(LOOKUP(AF1279,{0;0.5;5;25},{"Bajo";"Medio";"Alto";"Crítico"}),"")</f>
        <v/>
      </c>
      <c r="AH1279" s="28">
        <f>IF(AG1279="","",IF(OR(AG1279="Crítico",AG1279="Alto"),"Mitigar",IF(AG1279="Medio","Mitigar","Aceptar y monitorear")))</f>
        <v/>
      </c>
      <c r="AI1279" s="21" t="n"/>
      <c r="AJ1279" s="21" t="n"/>
      <c r="AK1279" s="20" t="n"/>
      <c r="AL1279" s="77">
        <f>IFERROR(INDEX(MgAmenEfic,MATCH(SUBSTITUTE($H1279,"*","-"),MgAmenClave,0)),0)</f>
        <v/>
      </c>
    </row>
    <row r="1280" hidden="1" ht="105" customHeight="1" s="54">
      <c r="B1280" s="59" t="inlineStr">
        <is>
          <t>R-1275</t>
        </is>
      </c>
      <c r="C1280" s="59" t="inlineStr">
        <is>
          <t>GH-026</t>
        </is>
      </c>
      <c r="D1280" s="64">
        <f>IFERROR(INDEX(MgNombre,MATCH($C1280,MgActId,0)),"")</f>
        <v/>
      </c>
      <c r="E1280" s="64">
        <f>IFERROR(INDEX(MgProceso,MATCH($C1280,MgActId,0)),"")</f>
        <v/>
      </c>
      <c r="F1280" s="64">
        <f>IFERROR(INDEX(MgTipo,MATCH($C1280,MgActId,0)),"")</f>
        <v/>
      </c>
      <c r="G1280" s="64">
        <f>IFERROR(INDEX(MgSubtipo,MATCH($C1280,MgActId,0)),"")</f>
        <v/>
      </c>
      <c r="H1280" s="59" t="inlineStr">
        <is>
          <t>A.6</t>
        </is>
      </c>
      <c r="I1280" s="64">
        <f>IFERROR(INDEX(MgAmenNombre,MATCH(SUBSTITUTE($H1280,"*","-"),MgAmenClave,0)),"")</f>
        <v/>
      </c>
      <c r="J1280" s="28">
        <f>IFERROR(INDEX(MgAmenGrupo,MATCH(SUBSTITUTE($H1280,"*","-"),MgAmenClave,0)),"")</f>
        <v/>
      </c>
      <c r="K1280" s="64">
        <f>IFERROR(INDEX('1. Matriz de Activos'!$Q$6:$Q$239,MATCH($C1280,MgActId,0)),"")</f>
        <v/>
      </c>
      <c r="L1280" s="64">
        <f>IFERROR(INDEX('1. Matriz de Activos'!$R$6:$R$239,MATCH($C1280,MgActId,0)),"")</f>
        <v/>
      </c>
      <c r="M1280" s="64">
        <f>IFERROR(INDEX('1. Matriz de Activos'!$S$6:$S$239,MATCH($C1280,MgActId,0)),"")</f>
        <v/>
      </c>
      <c r="N1280" s="28">
        <f>IFERROR(INDEX(MgAmenDegD,MATCH(SUBSTITUTE($H1280,"*","-"),MgAmenClave,0)),"No aplica")</f>
        <v/>
      </c>
      <c r="O1280" s="28">
        <f>IFERROR(INDEX(MgAmenDegI,MATCH(SUBSTITUTE($H1280,"*","-"),MgAmenClave,0)),"No aplica")</f>
        <v/>
      </c>
      <c r="P1280" s="28">
        <f>IFERROR(INDEX(MgAmenDegC,MATCH(SUBSTITUTE($H1280,"*","-"),MgAmenClave,0)),"No aplica")</f>
        <v/>
      </c>
      <c r="Q1280" s="29">
        <f>IFERROR(VLOOKUP(K1280,MgValor,2,0)*VLOOKUP(N1280,MgDeg,2,0),0)</f>
        <v/>
      </c>
      <c r="R1280" s="29">
        <f>IFERROR(VLOOKUP(L1280,MgValor,2,0)*VLOOKUP(O1280,MgDeg,2,0),0)</f>
        <v/>
      </c>
      <c r="S1280" s="29">
        <f>IFERROR(VLOOKUP(M1280,MgValor,2,0)*VLOOKUP(P1280,MgDeg,2,0),0)</f>
        <v/>
      </c>
      <c r="T1280" s="30">
        <f>MAX(Q1280:S1280)</f>
        <v/>
      </c>
      <c r="U1280" s="28">
        <f>IFERROR(LOOKUP(T1280,{0;0.5;1.5;3;4.5},{"Despreciable";"Bajo";"Medio";"Alto";"Muy alto"}),"")</f>
        <v/>
      </c>
      <c r="V1280" s="13">
        <f>IFERROR(INDEX(MgAmenFrec,MATCH(SUBSTITUTE($H1280,"*","-"),MgAmenClave,0)),"")</f>
        <v/>
      </c>
      <c r="W1280" s="28">
        <f>IFERROR(LOOKUP(X1280,{0;0.01;0.1;1;10;100},{"Muy baja";"Muy baja";"Baja";"Media";"Alta";"Muy alta"}),"")</f>
        <v/>
      </c>
      <c r="X1280" s="31">
        <f>IFERROR(VLOOKUP(V1280,MgFrec,2,0),0)</f>
        <v/>
      </c>
      <c r="Y1280" s="30">
        <f>T1280*X1280</f>
        <v/>
      </c>
      <c r="Z1280" s="28">
        <f>IFERROR(LOOKUP(Y1280,{0;0.5;5;25},{"Bajo";"Medio";"Alto";"Crítico"}),"")</f>
        <v/>
      </c>
      <c r="AA1280" s="64">
        <f>IF(T1280&gt;=3,IF(X1280&gt;=1,"Zona 1 — Crítica: impacto alto y ocurre al menos una vez al año","Zona 4 — Catastrófica poco probable: impacto alto pero excepcional"),IF(AND(T1280&lt;1.5,X1280&lt;1),"Zona 3 — Asumible: impacto bajo y muy poco frecuente","Zona 2 — Atención: riesgo intermedio"))</f>
        <v/>
      </c>
      <c r="AB1280" s="64">
        <f>IFERROR(INDEX(MgAmenCtrl,MATCH(SUBSTITUTE($H1280,"*","-"),MgAmenClave,0)),"")</f>
        <v/>
      </c>
      <c r="AC1280" s="20" t="n"/>
      <c r="AD1280" s="31">
        <f>IFERROR($X1280*(1-IF($AC1280="",$AL1280,VLOOKUP($AC1280,MgMad,2,0))),"")</f>
        <v/>
      </c>
      <c r="AE1280" s="28">
        <f>IFERROR(LOOKUP(AD1280,{0;0.01;0.1;1;10;100},{"Muy baja";"Muy baja";"Baja";"Media";"Alta";"Muy alta"}),"")</f>
        <v/>
      </c>
      <c r="AF1280" s="30">
        <f>T1280*AD1280</f>
        <v/>
      </c>
      <c r="AG1280" s="28">
        <f>IFERROR(LOOKUP(AF1280,{0;0.5;5;25},{"Bajo";"Medio";"Alto";"Crítico"}),"")</f>
        <v/>
      </c>
      <c r="AH1280" s="28">
        <f>IF(AG1280="","",IF(OR(AG1280="Crítico",AG1280="Alto"),"Mitigar",IF(AG1280="Medio","Mitigar","Aceptar y monitorear")))</f>
        <v/>
      </c>
      <c r="AI1280" s="21" t="n"/>
      <c r="AJ1280" s="21" t="n"/>
      <c r="AK1280" s="20" t="n"/>
      <c r="AL1280" s="77">
        <f>IFERROR(INDEX(MgAmenEfic,MATCH(SUBSTITUTE($H1280,"*","-"),MgAmenClave,0)),0)</f>
        <v/>
      </c>
    </row>
    <row r="1281" hidden="1" ht="120" customHeight="1" s="54">
      <c r="B1281" s="59" t="inlineStr">
        <is>
          <t>R-1276</t>
        </is>
      </c>
      <c r="C1281" s="59" t="inlineStr">
        <is>
          <t>GH-026</t>
        </is>
      </c>
      <c r="D1281" s="64">
        <f>IFERROR(INDEX(MgNombre,MATCH($C1281,MgActId,0)),"")</f>
        <v/>
      </c>
      <c r="E1281" s="64">
        <f>IFERROR(INDEX(MgProceso,MATCH($C1281,MgActId,0)),"")</f>
        <v/>
      </c>
      <c r="F1281" s="64">
        <f>IFERROR(INDEX(MgTipo,MATCH($C1281,MgActId,0)),"")</f>
        <v/>
      </c>
      <c r="G1281" s="64">
        <f>IFERROR(INDEX(MgSubtipo,MATCH($C1281,MgActId,0)),"")</f>
        <v/>
      </c>
      <c r="H1281" s="59" t="inlineStr">
        <is>
          <t>A.11</t>
        </is>
      </c>
      <c r="I1281" s="64">
        <f>IFERROR(INDEX(MgAmenNombre,MATCH(SUBSTITUTE($H1281,"*","-"),MgAmenClave,0)),"")</f>
        <v/>
      </c>
      <c r="J1281" s="28">
        <f>IFERROR(INDEX(MgAmenGrupo,MATCH(SUBSTITUTE($H1281,"*","-"),MgAmenClave,0)),"")</f>
        <v/>
      </c>
      <c r="K1281" s="64">
        <f>IFERROR(INDEX('1. Matriz de Activos'!$Q$6:$Q$239,MATCH($C1281,MgActId,0)),"")</f>
        <v/>
      </c>
      <c r="L1281" s="64">
        <f>IFERROR(INDEX('1. Matriz de Activos'!$R$6:$R$239,MATCH($C1281,MgActId,0)),"")</f>
        <v/>
      </c>
      <c r="M1281" s="64">
        <f>IFERROR(INDEX('1. Matriz de Activos'!$S$6:$S$239,MATCH($C1281,MgActId,0)),"")</f>
        <v/>
      </c>
      <c r="N1281" s="28">
        <f>IFERROR(INDEX(MgAmenDegD,MATCH(SUBSTITUTE($H1281,"*","-"),MgAmenClave,0)),"No aplica")</f>
        <v/>
      </c>
      <c r="O1281" s="28">
        <f>IFERROR(INDEX(MgAmenDegI,MATCH(SUBSTITUTE($H1281,"*","-"),MgAmenClave,0)),"No aplica")</f>
        <v/>
      </c>
      <c r="P1281" s="28">
        <f>IFERROR(INDEX(MgAmenDegC,MATCH(SUBSTITUTE($H1281,"*","-"),MgAmenClave,0)),"No aplica")</f>
        <v/>
      </c>
      <c r="Q1281" s="29">
        <f>IFERROR(VLOOKUP(K1281,MgValor,2,0)*VLOOKUP(N1281,MgDeg,2,0),0)</f>
        <v/>
      </c>
      <c r="R1281" s="29">
        <f>IFERROR(VLOOKUP(L1281,MgValor,2,0)*VLOOKUP(O1281,MgDeg,2,0),0)</f>
        <v/>
      </c>
      <c r="S1281" s="29">
        <f>IFERROR(VLOOKUP(M1281,MgValor,2,0)*VLOOKUP(P1281,MgDeg,2,0),0)</f>
        <v/>
      </c>
      <c r="T1281" s="30">
        <f>MAX(Q1281:S1281)</f>
        <v/>
      </c>
      <c r="U1281" s="28">
        <f>IFERROR(LOOKUP(T1281,{0;0.5;1.5;3;4.5},{"Despreciable";"Bajo";"Medio";"Alto";"Muy alto"}),"")</f>
        <v/>
      </c>
      <c r="V1281" s="13">
        <f>IFERROR(INDEX(MgAmenFrec,MATCH(SUBSTITUTE($H1281,"*","-"),MgAmenClave,0)),"")</f>
        <v/>
      </c>
      <c r="W1281" s="28">
        <f>IFERROR(LOOKUP(X1281,{0;0.01;0.1;1;10;100},{"Muy baja";"Muy baja";"Baja";"Media";"Alta";"Muy alta"}),"")</f>
        <v/>
      </c>
      <c r="X1281" s="31">
        <f>IFERROR(VLOOKUP(V1281,MgFrec,2,0),0)</f>
        <v/>
      </c>
      <c r="Y1281" s="30">
        <f>T1281*X1281</f>
        <v/>
      </c>
      <c r="Z1281" s="28">
        <f>IFERROR(LOOKUP(Y1281,{0;0.5;5;25},{"Bajo";"Medio";"Alto";"Crítico"}),"")</f>
        <v/>
      </c>
      <c r="AA1281" s="64">
        <f>IF(T1281&gt;=3,IF(X1281&gt;=1,"Zona 1 — Crítica: impacto alto y ocurre al menos una vez al año","Zona 4 — Catastrófica poco probable: impacto alto pero excepcional"),IF(AND(T1281&lt;1.5,X1281&lt;1),"Zona 3 — Asumible: impacto bajo y muy poco frecuente","Zona 2 — Atención: riesgo intermedio"))</f>
        <v/>
      </c>
      <c r="AB1281" s="64">
        <f>IFERROR(INDEX(MgAmenCtrl,MATCH(SUBSTITUTE($H1281,"*","-"),MgAmenClave,0)),"")</f>
        <v/>
      </c>
      <c r="AC1281" s="20" t="n"/>
      <c r="AD1281" s="31">
        <f>IFERROR($X1281*(1-IF($AC1281="",$AL1281,VLOOKUP($AC1281,MgMad,2,0))),"")</f>
        <v/>
      </c>
      <c r="AE1281" s="28">
        <f>IFERROR(LOOKUP(AD1281,{0;0.01;0.1;1;10;100},{"Muy baja";"Muy baja";"Baja";"Media";"Alta";"Muy alta"}),"")</f>
        <v/>
      </c>
      <c r="AF1281" s="30">
        <f>T1281*AD1281</f>
        <v/>
      </c>
      <c r="AG1281" s="28">
        <f>IFERROR(LOOKUP(AF1281,{0;0.5;5;25},{"Bajo";"Medio";"Alto";"Crítico"}),"")</f>
        <v/>
      </c>
      <c r="AH1281" s="28">
        <f>IF(AG1281="","",IF(OR(AG1281="Crítico",AG1281="Alto"),"Mitigar",IF(AG1281="Medio","Mitigar","Aceptar y monitorear")))</f>
        <v/>
      </c>
      <c r="AI1281" s="21" t="n"/>
      <c r="AJ1281" s="21" t="n"/>
      <c r="AK1281" s="20" t="n"/>
      <c r="AL1281" s="77">
        <f>IFERROR(INDEX(MgAmenEfic,MATCH(SUBSTITUTE($H1281,"*","-"),MgAmenClave,0)),0)</f>
        <v/>
      </c>
    </row>
    <row r="1282" hidden="1" ht="90" customHeight="1" s="54">
      <c r="B1282" s="59" t="inlineStr">
        <is>
          <t>R-1277</t>
        </is>
      </c>
      <c r="C1282" s="59" t="inlineStr">
        <is>
          <t>GH-026</t>
        </is>
      </c>
      <c r="D1282" s="64">
        <f>IFERROR(INDEX(MgNombre,MATCH($C1282,MgActId,0)),"")</f>
        <v/>
      </c>
      <c r="E1282" s="64">
        <f>IFERROR(INDEX(MgProceso,MATCH($C1282,MgActId,0)),"")</f>
        <v/>
      </c>
      <c r="F1282" s="64">
        <f>IFERROR(INDEX(MgTipo,MATCH($C1282,MgActId,0)),"")</f>
        <v/>
      </c>
      <c r="G1282" s="64">
        <f>IFERROR(INDEX(MgSubtipo,MATCH($C1282,MgActId,0)),"")</f>
        <v/>
      </c>
      <c r="H1282" s="59" t="inlineStr">
        <is>
          <t>A.13</t>
        </is>
      </c>
      <c r="I1282" s="64">
        <f>IFERROR(INDEX(MgAmenNombre,MATCH(SUBSTITUTE($H1282,"*","-"),MgAmenClave,0)),"")</f>
        <v/>
      </c>
      <c r="J1282" s="28">
        <f>IFERROR(INDEX(MgAmenGrupo,MATCH(SUBSTITUTE($H1282,"*","-"),MgAmenClave,0)),"")</f>
        <v/>
      </c>
      <c r="K1282" s="64">
        <f>IFERROR(INDEX('1. Matriz de Activos'!$Q$6:$Q$239,MATCH($C1282,MgActId,0)),"")</f>
        <v/>
      </c>
      <c r="L1282" s="64">
        <f>IFERROR(INDEX('1. Matriz de Activos'!$R$6:$R$239,MATCH($C1282,MgActId,0)),"")</f>
        <v/>
      </c>
      <c r="M1282" s="64">
        <f>IFERROR(INDEX('1. Matriz de Activos'!$S$6:$S$239,MATCH($C1282,MgActId,0)),"")</f>
        <v/>
      </c>
      <c r="N1282" s="28">
        <f>IFERROR(INDEX(MgAmenDegD,MATCH(SUBSTITUTE($H1282,"*","-"),MgAmenClave,0)),"No aplica")</f>
        <v/>
      </c>
      <c r="O1282" s="28">
        <f>IFERROR(INDEX(MgAmenDegI,MATCH(SUBSTITUTE($H1282,"*","-"),MgAmenClave,0)),"No aplica")</f>
        <v/>
      </c>
      <c r="P1282" s="28">
        <f>IFERROR(INDEX(MgAmenDegC,MATCH(SUBSTITUTE($H1282,"*","-"),MgAmenClave,0)),"No aplica")</f>
        <v/>
      </c>
      <c r="Q1282" s="29">
        <f>IFERROR(VLOOKUP(K1282,MgValor,2,0)*VLOOKUP(N1282,MgDeg,2,0),0)</f>
        <v/>
      </c>
      <c r="R1282" s="29">
        <f>IFERROR(VLOOKUP(L1282,MgValor,2,0)*VLOOKUP(O1282,MgDeg,2,0),0)</f>
        <v/>
      </c>
      <c r="S1282" s="29">
        <f>IFERROR(VLOOKUP(M1282,MgValor,2,0)*VLOOKUP(P1282,MgDeg,2,0),0)</f>
        <v/>
      </c>
      <c r="T1282" s="30">
        <f>MAX(Q1282:S1282)</f>
        <v/>
      </c>
      <c r="U1282" s="28">
        <f>IFERROR(LOOKUP(T1282,{0;0.5;1.5;3;4.5},{"Despreciable";"Bajo";"Medio";"Alto";"Muy alto"}),"")</f>
        <v/>
      </c>
      <c r="V1282" s="13">
        <f>IFERROR(INDEX(MgAmenFrec,MATCH(SUBSTITUTE($H1282,"*","-"),MgAmenClave,0)),"")</f>
        <v/>
      </c>
      <c r="W1282" s="28">
        <f>IFERROR(LOOKUP(X1282,{0;0.01;0.1;1;10;100},{"Muy baja";"Muy baja";"Baja";"Media";"Alta";"Muy alta"}),"")</f>
        <v/>
      </c>
      <c r="X1282" s="31">
        <f>IFERROR(VLOOKUP(V1282,MgFrec,2,0),0)</f>
        <v/>
      </c>
      <c r="Y1282" s="30">
        <f>T1282*X1282</f>
        <v/>
      </c>
      <c r="Z1282" s="28">
        <f>IFERROR(LOOKUP(Y1282,{0;0.5;5;25},{"Bajo";"Medio";"Alto";"Crítico"}),"")</f>
        <v/>
      </c>
      <c r="AA1282" s="64">
        <f>IF(T1282&gt;=3,IF(X1282&gt;=1,"Zona 1 — Crítica: impacto alto y ocurre al menos una vez al año","Zona 4 — Catastrófica poco probable: impacto alto pero excepcional"),IF(AND(T1282&lt;1.5,X1282&lt;1),"Zona 3 — Asumible: impacto bajo y muy poco frecuente","Zona 2 — Atención: riesgo intermedio"))</f>
        <v/>
      </c>
      <c r="AB1282" s="64">
        <f>IFERROR(INDEX(MgAmenCtrl,MATCH(SUBSTITUTE($H1282,"*","-"),MgAmenClave,0)),"")</f>
        <v/>
      </c>
      <c r="AC1282" s="20" t="n"/>
      <c r="AD1282" s="31">
        <f>IFERROR($X1282*(1-IF($AC1282="",$AL1282,VLOOKUP($AC1282,MgMad,2,0))),"")</f>
        <v/>
      </c>
      <c r="AE1282" s="28">
        <f>IFERROR(LOOKUP(AD1282,{0;0.01;0.1;1;10;100},{"Muy baja";"Muy baja";"Baja";"Media";"Alta";"Muy alta"}),"")</f>
        <v/>
      </c>
      <c r="AF1282" s="30">
        <f>T1282*AD1282</f>
        <v/>
      </c>
      <c r="AG1282" s="28">
        <f>IFERROR(LOOKUP(AF1282,{0;0.5;5;25},{"Bajo";"Medio";"Alto";"Crítico"}),"")</f>
        <v/>
      </c>
      <c r="AH1282" s="28">
        <f>IF(AG1282="","",IF(OR(AG1282="Crítico",AG1282="Alto"),"Mitigar",IF(AG1282="Medio","Mitigar","Aceptar y monitorear")))</f>
        <v/>
      </c>
      <c r="AI1282" s="21" t="n"/>
      <c r="AJ1282" s="21" t="n"/>
      <c r="AK1282" s="20" t="n"/>
      <c r="AL1282" s="77">
        <f>IFERROR(INDEX(MgAmenEfic,MATCH(SUBSTITUTE($H1282,"*","-"),MgAmenClave,0)),0)</f>
        <v/>
      </c>
    </row>
    <row r="1283" hidden="1" ht="60" customHeight="1" s="54">
      <c r="B1283" s="59" t="inlineStr">
        <is>
          <t>R-1278</t>
        </is>
      </c>
      <c r="C1283" s="59" t="inlineStr">
        <is>
          <t>GH-026</t>
        </is>
      </c>
      <c r="D1283" s="64">
        <f>IFERROR(INDEX(MgNombre,MATCH($C1283,MgActId,0)),"")</f>
        <v/>
      </c>
      <c r="E1283" s="64">
        <f>IFERROR(INDEX(MgProceso,MATCH($C1283,MgActId,0)),"")</f>
        <v/>
      </c>
      <c r="F1283" s="64">
        <f>IFERROR(INDEX(MgTipo,MATCH($C1283,MgActId,0)),"")</f>
        <v/>
      </c>
      <c r="G1283" s="64">
        <f>IFERROR(INDEX(MgSubtipo,MATCH($C1283,MgActId,0)),"")</f>
        <v/>
      </c>
      <c r="H1283" s="59" t="inlineStr">
        <is>
          <t>A.15</t>
        </is>
      </c>
      <c r="I1283" s="64">
        <f>IFERROR(INDEX(MgAmenNombre,MATCH(SUBSTITUTE($H1283,"*","-"),MgAmenClave,0)),"")</f>
        <v/>
      </c>
      <c r="J1283" s="28">
        <f>IFERROR(INDEX(MgAmenGrupo,MATCH(SUBSTITUTE($H1283,"*","-"),MgAmenClave,0)),"")</f>
        <v/>
      </c>
      <c r="K1283" s="64">
        <f>IFERROR(INDEX('1. Matriz de Activos'!$Q$6:$Q$239,MATCH($C1283,MgActId,0)),"")</f>
        <v/>
      </c>
      <c r="L1283" s="64">
        <f>IFERROR(INDEX('1. Matriz de Activos'!$R$6:$R$239,MATCH($C1283,MgActId,0)),"")</f>
        <v/>
      </c>
      <c r="M1283" s="64">
        <f>IFERROR(INDEX('1. Matriz de Activos'!$S$6:$S$239,MATCH($C1283,MgActId,0)),"")</f>
        <v/>
      </c>
      <c r="N1283" s="28">
        <f>IFERROR(INDEX(MgAmenDegD,MATCH(SUBSTITUTE($H1283,"*","-"),MgAmenClave,0)),"No aplica")</f>
        <v/>
      </c>
      <c r="O1283" s="28">
        <f>IFERROR(INDEX(MgAmenDegI,MATCH(SUBSTITUTE($H1283,"*","-"),MgAmenClave,0)),"No aplica")</f>
        <v/>
      </c>
      <c r="P1283" s="28">
        <f>IFERROR(INDEX(MgAmenDegC,MATCH(SUBSTITUTE($H1283,"*","-"),MgAmenClave,0)),"No aplica")</f>
        <v/>
      </c>
      <c r="Q1283" s="29">
        <f>IFERROR(VLOOKUP(K1283,MgValor,2,0)*VLOOKUP(N1283,MgDeg,2,0),0)</f>
        <v/>
      </c>
      <c r="R1283" s="29">
        <f>IFERROR(VLOOKUP(L1283,MgValor,2,0)*VLOOKUP(O1283,MgDeg,2,0),0)</f>
        <v/>
      </c>
      <c r="S1283" s="29">
        <f>IFERROR(VLOOKUP(M1283,MgValor,2,0)*VLOOKUP(P1283,MgDeg,2,0),0)</f>
        <v/>
      </c>
      <c r="T1283" s="30">
        <f>MAX(Q1283:S1283)</f>
        <v/>
      </c>
      <c r="U1283" s="28">
        <f>IFERROR(LOOKUP(T1283,{0;0.5;1.5;3;4.5},{"Despreciable";"Bajo";"Medio";"Alto";"Muy alto"}),"")</f>
        <v/>
      </c>
      <c r="V1283" s="13">
        <f>IFERROR(INDEX(MgAmenFrec,MATCH(SUBSTITUTE($H1283,"*","-"),MgAmenClave,0)),"")</f>
        <v/>
      </c>
      <c r="W1283" s="28">
        <f>IFERROR(LOOKUP(X1283,{0;0.01;0.1;1;10;100},{"Muy baja";"Muy baja";"Baja";"Media";"Alta";"Muy alta"}),"")</f>
        <v/>
      </c>
      <c r="X1283" s="31">
        <f>IFERROR(VLOOKUP(V1283,MgFrec,2,0),0)</f>
        <v/>
      </c>
      <c r="Y1283" s="30">
        <f>T1283*X1283</f>
        <v/>
      </c>
      <c r="Z1283" s="28">
        <f>IFERROR(LOOKUP(Y1283,{0;0.5;5;25},{"Bajo";"Medio";"Alto";"Crítico"}),"")</f>
        <v/>
      </c>
      <c r="AA1283" s="64">
        <f>IF(T1283&gt;=3,IF(X1283&gt;=1,"Zona 1 — Crítica: impacto alto y ocurre al menos una vez al año","Zona 4 — Catastrófica poco probable: impacto alto pero excepcional"),IF(AND(T1283&lt;1.5,X1283&lt;1),"Zona 3 — Asumible: impacto bajo y muy poco frecuente","Zona 2 — Atención: riesgo intermedio"))</f>
        <v/>
      </c>
      <c r="AB1283" s="64">
        <f>IFERROR(INDEX(MgAmenCtrl,MATCH(SUBSTITUTE($H1283,"*","-"),MgAmenClave,0)),"")</f>
        <v/>
      </c>
      <c r="AC1283" s="20" t="n"/>
      <c r="AD1283" s="31">
        <f>IFERROR($X1283*(1-IF($AC1283="",$AL1283,VLOOKUP($AC1283,MgMad,2,0))),"")</f>
        <v/>
      </c>
      <c r="AE1283" s="28">
        <f>IFERROR(LOOKUP(AD1283,{0;0.01;0.1;1;10;100},{"Muy baja";"Muy baja";"Baja";"Media";"Alta";"Muy alta"}),"")</f>
        <v/>
      </c>
      <c r="AF1283" s="30">
        <f>T1283*AD1283</f>
        <v/>
      </c>
      <c r="AG1283" s="28">
        <f>IFERROR(LOOKUP(AF1283,{0;0.5;5;25},{"Bajo";"Medio";"Alto";"Crítico"}),"")</f>
        <v/>
      </c>
      <c r="AH1283" s="28">
        <f>IF(AG1283="","",IF(OR(AG1283="Crítico",AG1283="Alto"),"Mitigar",IF(AG1283="Medio","Mitigar","Aceptar y monitorear")))</f>
        <v/>
      </c>
      <c r="AI1283" s="21" t="n"/>
      <c r="AJ1283" s="21" t="n"/>
      <c r="AK1283" s="20" t="n"/>
      <c r="AL1283" s="77">
        <f>IFERROR(INDEX(MgAmenEfic,MATCH(SUBSTITUTE($H1283,"*","-"),MgAmenClave,0)),0)</f>
        <v/>
      </c>
    </row>
    <row r="1284" hidden="1" ht="60" customHeight="1" s="54">
      <c r="B1284" s="59" t="inlineStr">
        <is>
          <t>R-1279</t>
        </is>
      </c>
      <c r="C1284" s="59" t="inlineStr">
        <is>
          <t>GH-026</t>
        </is>
      </c>
      <c r="D1284" s="64">
        <f>IFERROR(INDEX(MgNombre,MATCH($C1284,MgActId,0)),"")</f>
        <v/>
      </c>
      <c r="E1284" s="64">
        <f>IFERROR(INDEX(MgProceso,MATCH($C1284,MgActId,0)),"")</f>
        <v/>
      </c>
      <c r="F1284" s="64">
        <f>IFERROR(INDEX(MgTipo,MATCH($C1284,MgActId,0)),"")</f>
        <v/>
      </c>
      <c r="G1284" s="64">
        <f>IFERROR(INDEX(MgSubtipo,MATCH($C1284,MgActId,0)),"")</f>
        <v/>
      </c>
      <c r="H1284" s="59" t="inlineStr">
        <is>
          <t>A.18</t>
        </is>
      </c>
      <c r="I1284" s="64">
        <f>IFERROR(INDEX(MgAmenNombre,MATCH(SUBSTITUTE($H1284,"*","-"),MgAmenClave,0)),"")</f>
        <v/>
      </c>
      <c r="J1284" s="28">
        <f>IFERROR(INDEX(MgAmenGrupo,MATCH(SUBSTITUTE($H1284,"*","-"),MgAmenClave,0)),"")</f>
        <v/>
      </c>
      <c r="K1284" s="64">
        <f>IFERROR(INDEX('1. Matriz de Activos'!$Q$6:$Q$239,MATCH($C1284,MgActId,0)),"")</f>
        <v/>
      </c>
      <c r="L1284" s="64">
        <f>IFERROR(INDEX('1. Matriz de Activos'!$R$6:$R$239,MATCH($C1284,MgActId,0)),"")</f>
        <v/>
      </c>
      <c r="M1284" s="64">
        <f>IFERROR(INDEX('1. Matriz de Activos'!$S$6:$S$239,MATCH($C1284,MgActId,0)),"")</f>
        <v/>
      </c>
      <c r="N1284" s="28">
        <f>IFERROR(INDEX(MgAmenDegD,MATCH(SUBSTITUTE($H1284,"*","-"),MgAmenClave,0)),"No aplica")</f>
        <v/>
      </c>
      <c r="O1284" s="28">
        <f>IFERROR(INDEX(MgAmenDegI,MATCH(SUBSTITUTE($H1284,"*","-"),MgAmenClave,0)),"No aplica")</f>
        <v/>
      </c>
      <c r="P1284" s="28">
        <f>IFERROR(INDEX(MgAmenDegC,MATCH(SUBSTITUTE($H1284,"*","-"),MgAmenClave,0)),"No aplica")</f>
        <v/>
      </c>
      <c r="Q1284" s="29">
        <f>IFERROR(VLOOKUP(K1284,MgValor,2,0)*VLOOKUP(N1284,MgDeg,2,0),0)</f>
        <v/>
      </c>
      <c r="R1284" s="29">
        <f>IFERROR(VLOOKUP(L1284,MgValor,2,0)*VLOOKUP(O1284,MgDeg,2,0),0)</f>
        <v/>
      </c>
      <c r="S1284" s="29">
        <f>IFERROR(VLOOKUP(M1284,MgValor,2,0)*VLOOKUP(P1284,MgDeg,2,0),0)</f>
        <v/>
      </c>
      <c r="T1284" s="30">
        <f>MAX(Q1284:S1284)</f>
        <v/>
      </c>
      <c r="U1284" s="28">
        <f>IFERROR(LOOKUP(T1284,{0;0.5;1.5;3;4.5},{"Despreciable";"Bajo";"Medio";"Alto";"Muy alto"}),"")</f>
        <v/>
      </c>
      <c r="V1284" s="13">
        <f>IFERROR(INDEX(MgAmenFrec,MATCH(SUBSTITUTE($H1284,"*","-"),MgAmenClave,0)),"")</f>
        <v/>
      </c>
      <c r="W1284" s="28">
        <f>IFERROR(LOOKUP(X1284,{0;0.01;0.1;1;10;100},{"Muy baja";"Muy baja";"Baja";"Media";"Alta";"Muy alta"}),"")</f>
        <v/>
      </c>
      <c r="X1284" s="31">
        <f>IFERROR(VLOOKUP(V1284,MgFrec,2,0),0)</f>
        <v/>
      </c>
      <c r="Y1284" s="30">
        <f>T1284*X1284</f>
        <v/>
      </c>
      <c r="Z1284" s="28">
        <f>IFERROR(LOOKUP(Y1284,{0;0.5;5;25},{"Bajo";"Medio";"Alto";"Crítico"}),"")</f>
        <v/>
      </c>
      <c r="AA1284" s="64">
        <f>IF(T1284&gt;=3,IF(X1284&gt;=1,"Zona 1 — Crítica: impacto alto y ocurre al menos una vez al año","Zona 4 — Catastrófica poco probable: impacto alto pero excepcional"),IF(AND(T1284&lt;1.5,X1284&lt;1),"Zona 3 — Asumible: impacto bajo y muy poco frecuente","Zona 2 — Atención: riesgo intermedio"))</f>
        <v/>
      </c>
      <c r="AB1284" s="64">
        <f>IFERROR(INDEX(MgAmenCtrl,MATCH(SUBSTITUTE($H1284,"*","-"),MgAmenClave,0)),"")</f>
        <v/>
      </c>
      <c r="AC1284" s="20" t="n"/>
      <c r="AD1284" s="31">
        <f>IFERROR($X1284*(1-IF($AC1284="",$AL1284,VLOOKUP($AC1284,MgMad,2,0))),"")</f>
        <v/>
      </c>
      <c r="AE1284" s="28">
        <f>IFERROR(LOOKUP(AD1284,{0;0.01;0.1;1;10;100},{"Muy baja";"Muy baja";"Baja";"Media";"Alta";"Muy alta"}),"")</f>
        <v/>
      </c>
      <c r="AF1284" s="30">
        <f>T1284*AD1284</f>
        <v/>
      </c>
      <c r="AG1284" s="28">
        <f>IFERROR(LOOKUP(AF1284,{0;0.5;5;25},{"Bajo";"Medio";"Alto";"Crítico"}),"")</f>
        <v/>
      </c>
      <c r="AH1284" s="28">
        <f>IF(AG1284="","",IF(OR(AG1284="Crítico",AG1284="Alto"),"Mitigar",IF(AG1284="Medio","Mitigar","Aceptar y monitorear")))</f>
        <v/>
      </c>
      <c r="AI1284" s="21" t="n"/>
      <c r="AJ1284" s="21" t="n"/>
      <c r="AK1284" s="20" t="n"/>
      <c r="AL1284" s="77">
        <f>IFERROR(INDEX(MgAmenEfic,MATCH(SUBSTITUTE($H1284,"*","-"),MgAmenClave,0)),0)</f>
        <v/>
      </c>
    </row>
    <row r="1285" hidden="1" ht="120" customHeight="1" s="54">
      <c r="B1285" s="59" t="inlineStr">
        <is>
          <t>R-1280</t>
        </is>
      </c>
      <c r="C1285" s="59" t="inlineStr">
        <is>
          <t>GH-026</t>
        </is>
      </c>
      <c r="D1285" s="64">
        <f>IFERROR(INDEX(MgNombre,MATCH($C1285,MgActId,0)),"")</f>
        <v/>
      </c>
      <c r="E1285" s="64">
        <f>IFERROR(INDEX(MgProceso,MATCH($C1285,MgActId,0)),"")</f>
        <v/>
      </c>
      <c r="F1285" s="64">
        <f>IFERROR(INDEX(MgTipo,MATCH($C1285,MgActId,0)),"")</f>
        <v/>
      </c>
      <c r="G1285" s="64">
        <f>IFERROR(INDEX(MgSubtipo,MATCH($C1285,MgActId,0)),"")</f>
        <v/>
      </c>
      <c r="H1285" s="59" t="inlineStr">
        <is>
          <t>A.19</t>
        </is>
      </c>
      <c r="I1285" s="64">
        <f>IFERROR(INDEX(MgAmenNombre,MATCH(SUBSTITUTE($H1285,"*","-"),MgAmenClave,0)),"")</f>
        <v/>
      </c>
      <c r="J1285" s="28">
        <f>IFERROR(INDEX(MgAmenGrupo,MATCH(SUBSTITUTE($H1285,"*","-"),MgAmenClave,0)),"")</f>
        <v/>
      </c>
      <c r="K1285" s="64">
        <f>IFERROR(INDEX('1. Matriz de Activos'!$Q$6:$Q$239,MATCH($C1285,MgActId,0)),"")</f>
        <v/>
      </c>
      <c r="L1285" s="64">
        <f>IFERROR(INDEX('1. Matriz de Activos'!$R$6:$R$239,MATCH($C1285,MgActId,0)),"")</f>
        <v/>
      </c>
      <c r="M1285" s="64">
        <f>IFERROR(INDEX('1. Matriz de Activos'!$S$6:$S$239,MATCH($C1285,MgActId,0)),"")</f>
        <v/>
      </c>
      <c r="N1285" s="28">
        <f>IFERROR(INDEX(MgAmenDegD,MATCH(SUBSTITUTE($H1285,"*","-"),MgAmenClave,0)),"No aplica")</f>
        <v/>
      </c>
      <c r="O1285" s="28">
        <f>IFERROR(INDEX(MgAmenDegI,MATCH(SUBSTITUTE($H1285,"*","-"),MgAmenClave,0)),"No aplica")</f>
        <v/>
      </c>
      <c r="P1285" s="28">
        <f>IFERROR(INDEX(MgAmenDegC,MATCH(SUBSTITUTE($H1285,"*","-"),MgAmenClave,0)),"No aplica")</f>
        <v/>
      </c>
      <c r="Q1285" s="29">
        <f>IFERROR(VLOOKUP(K1285,MgValor,2,0)*VLOOKUP(N1285,MgDeg,2,0),0)</f>
        <v/>
      </c>
      <c r="R1285" s="29">
        <f>IFERROR(VLOOKUP(L1285,MgValor,2,0)*VLOOKUP(O1285,MgDeg,2,0),0)</f>
        <v/>
      </c>
      <c r="S1285" s="29">
        <f>IFERROR(VLOOKUP(M1285,MgValor,2,0)*VLOOKUP(P1285,MgDeg,2,0),0)</f>
        <v/>
      </c>
      <c r="T1285" s="30">
        <f>MAX(Q1285:S1285)</f>
        <v/>
      </c>
      <c r="U1285" s="28">
        <f>IFERROR(LOOKUP(T1285,{0;0.5;1.5;3;4.5},{"Despreciable";"Bajo";"Medio";"Alto";"Muy alto"}),"")</f>
        <v/>
      </c>
      <c r="V1285" s="13">
        <f>IFERROR(INDEX(MgAmenFrec,MATCH(SUBSTITUTE($H1285,"*","-"),MgAmenClave,0)),"")</f>
        <v/>
      </c>
      <c r="W1285" s="28">
        <f>IFERROR(LOOKUP(X1285,{0;0.01;0.1;1;10;100},{"Muy baja";"Muy baja";"Baja";"Media";"Alta";"Muy alta"}),"")</f>
        <v/>
      </c>
      <c r="X1285" s="31">
        <f>IFERROR(VLOOKUP(V1285,MgFrec,2,0),0)</f>
        <v/>
      </c>
      <c r="Y1285" s="30">
        <f>T1285*X1285</f>
        <v/>
      </c>
      <c r="Z1285" s="28">
        <f>IFERROR(LOOKUP(Y1285,{0;0.5;5;25},{"Bajo";"Medio";"Alto";"Crítico"}),"")</f>
        <v/>
      </c>
      <c r="AA1285" s="64">
        <f>IF(T1285&gt;=3,IF(X1285&gt;=1,"Zona 1 — Crítica: impacto alto y ocurre al menos una vez al año","Zona 4 — Catastrófica poco probable: impacto alto pero excepcional"),IF(AND(T1285&lt;1.5,X1285&lt;1),"Zona 3 — Asumible: impacto bajo y muy poco frecuente","Zona 2 — Atención: riesgo intermedio"))</f>
        <v/>
      </c>
      <c r="AB1285" s="64">
        <f>IFERROR(INDEX(MgAmenCtrl,MATCH(SUBSTITUTE($H1285,"*","-"),MgAmenClave,0)),"")</f>
        <v/>
      </c>
      <c r="AC1285" s="20" t="n"/>
      <c r="AD1285" s="31">
        <f>IFERROR($X1285*(1-IF($AC1285="",$AL1285,VLOOKUP($AC1285,MgMad,2,0))),"")</f>
        <v/>
      </c>
      <c r="AE1285" s="28">
        <f>IFERROR(LOOKUP(AD1285,{0;0.01;0.1;1;10;100},{"Muy baja";"Muy baja";"Baja";"Media";"Alta";"Muy alta"}),"")</f>
        <v/>
      </c>
      <c r="AF1285" s="30">
        <f>T1285*AD1285</f>
        <v/>
      </c>
      <c r="AG1285" s="28">
        <f>IFERROR(LOOKUP(AF1285,{0;0.5;5;25},{"Bajo";"Medio";"Alto";"Crítico"}),"")</f>
        <v/>
      </c>
      <c r="AH1285" s="28">
        <f>IF(AG1285="","",IF(OR(AG1285="Crítico",AG1285="Alto"),"Mitigar",IF(AG1285="Medio","Mitigar","Aceptar y monitorear")))</f>
        <v/>
      </c>
      <c r="AI1285" s="21" t="n"/>
      <c r="AJ1285" s="21" t="n"/>
      <c r="AK1285" s="20" t="n"/>
      <c r="AL1285" s="77">
        <f>IFERROR(INDEX(MgAmenEfic,MATCH(SUBSTITUTE($H1285,"*","-"),MgAmenClave,0)),0)</f>
        <v/>
      </c>
    </row>
    <row r="1286" hidden="1" ht="105" customHeight="1" s="54">
      <c r="B1286" s="59" t="inlineStr">
        <is>
          <t>R-1281</t>
        </is>
      </c>
      <c r="C1286" s="59" t="inlineStr">
        <is>
          <t>GH-050</t>
        </is>
      </c>
      <c r="D1286" s="64">
        <f>IFERROR(INDEX(MgNombre,MATCH($C1286,MgActId,0)),"")</f>
        <v/>
      </c>
      <c r="E1286" s="64">
        <f>IFERROR(INDEX(MgProceso,MATCH($C1286,MgActId,0)),"")</f>
        <v/>
      </c>
      <c r="F1286" s="64">
        <f>IFERROR(INDEX(MgTipo,MATCH($C1286,MgActId,0)),"")</f>
        <v/>
      </c>
      <c r="G1286" s="64">
        <f>IFERROR(INDEX(MgSubtipo,MATCH($C1286,MgActId,0)),"")</f>
        <v/>
      </c>
      <c r="H1286" s="59" t="inlineStr">
        <is>
          <t>E.1</t>
        </is>
      </c>
      <c r="I1286" s="64">
        <f>IFERROR(INDEX(MgAmenNombre,MATCH(SUBSTITUTE($H1286,"*","-"),MgAmenClave,0)),"")</f>
        <v/>
      </c>
      <c r="J1286" s="28">
        <f>IFERROR(INDEX(MgAmenGrupo,MATCH(SUBSTITUTE($H1286,"*","-"),MgAmenClave,0)),"")</f>
        <v/>
      </c>
      <c r="K1286" s="64">
        <f>IFERROR(INDEX('1. Matriz de Activos'!$Q$6:$Q$239,MATCH($C1286,MgActId,0)),"")</f>
        <v/>
      </c>
      <c r="L1286" s="64">
        <f>IFERROR(INDEX('1. Matriz de Activos'!$R$6:$R$239,MATCH($C1286,MgActId,0)),"")</f>
        <v/>
      </c>
      <c r="M1286" s="64">
        <f>IFERROR(INDEX('1. Matriz de Activos'!$S$6:$S$239,MATCH($C1286,MgActId,0)),"")</f>
        <v/>
      </c>
      <c r="N1286" s="28">
        <f>IFERROR(INDEX(MgAmenDegD,MATCH(SUBSTITUTE($H1286,"*","-"),MgAmenClave,0)),"No aplica")</f>
        <v/>
      </c>
      <c r="O1286" s="28">
        <f>IFERROR(INDEX(MgAmenDegI,MATCH(SUBSTITUTE($H1286,"*","-"),MgAmenClave,0)),"No aplica")</f>
        <v/>
      </c>
      <c r="P1286" s="28">
        <f>IFERROR(INDEX(MgAmenDegC,MATCH(SUBSTITUTE($H1286,"*","-"),MgAmenClave,0)),"No aplica")</f>
        <v/>
      </c>
      <c r="Q1286" s="29">
        <f>IFERROR(VLOOKUP(K1286,MgValor,2,0)*VLOOKUP(N1286,MgDeg,2,0),0)</f>
        <v/>
      </c>
      <c r="R1286" s="29">
        <f>IFERROR(VLOOKUP(L1286,MgValor,2,0)*VLOOKUP(O1286,MgDeg,2,0),0)</f>
        <v/>
      </c>
      <c r="S1286" s="29">
        <f>IFERROR(VLOOKUP(M1286,MgValor,2,0)*VLOOKUP(P1286,MgDeg,2,0),0)</f>
        <v/>
      </c>
      <c r="T1286" s="30">
        <f>MAX(Q1286:S1286)</f>
        <v/>
      </c>
      <c r="U1286" s="28">
        <f>IFERROR(LOOKUP(T1286,{0;0.5;1.5;3;4.5},{"Despreciable";"Bajo";"Medio";"Alto";"Muy alto"}),"")</f>
        <v/>
      </c>
      <c r="V1286" s="13">
        <f>IFERROR(INDEX(MgAmenFrec,MATCH(SUBSTITUTE($H1286,"*","-"),MgAmenClave,0)),"")</f>
        <v/>
      </c>
      <c r="W1286" s="28">
        <f>IFERROR(LOOKUP(X1286,{0;0.01;0.1;1;10;100},{"Muy baja";"Muy baja";"Baja";"Media";"Alta";"Muy alta"}),"")</f>
        <v/>
      </c>
      <c r="X1286" s="31">
        <f>IFERROR(VLOOKUP(V1286,MgFrec,2,0),0)</f>
        <v/>
      </c>
      <c r="Y1286" s="30">
        <f>T1286*X1286</f>
        <v/>
      </c>
      <c r="Z1286" s="28">
        <f>IFERROR(LOOKUP(Y1286,{0;0.5;5;25},{"Bajo";"Medio";"Alto";"Crítico"}),"")</f>
        <v/>
      </c>
      <c r="AA1286" s="64">
        <f>IF(T1286&gt;=3,IF(X1286&gt;=1,"Zona 1 — Crítica: impacto alto y ocurre al menos una vez al año","Zona 4 — Catastrófica poco probable: impacto alto pero excepcional"),IF(AND(T1286&lt;1.5,X1286&lt;1),"Zona 3 — Asumible: impacto bajo y muy poco frecuente","Zona 2 — Atención: riesgo intermedio"))</f>
        <v/>
      </c>
      <c r="AB1286" s="64">
        <f>IFERROR(INDEX(MgAmenCtrl,MATCH(SUBSTITUTE($H1286,"*","-"),MgAmenClave,0)),"")</f>
        <v/>
      </c>
      <c r="AC1286" s="20" t="n"/>
      <c r="AD1286" s="31">
        <f>IFERROR($X1286*(1-IF($AC1286="",$AL1286,VLOOKUP($AC1286,MgMad,2,0))),"")</f>
        <v/>
      </c>
      <c r="AE1286" s="28">
        <f>IFERROR(LOOKUP(AD1286,{0;0.01;0.1;1;10;100},{"Muy baja";"Muy baja";"Baja";"Media";"Alta";"Muy alta"}),"")</f>
        <v/>
      </c>
      <c r="AF1286" s="30">
        <f>T1286*AD1286</f>
        <v/>
      </c>
      <c r="AG1286" s="28">
        <f>IFERROR(LOOKUP(AF1286,{0;0.5;5;25},{"Bajo";"Medio";"Alto";"Crítico"}),"")</f>
        <v/>
      </c>
      <c r="AH1286" s="28">
        <f>IF(AG1286="","",IF(OR(AG1286="Crítico",AG1286="Alto"),"Mitigar",IF(AG1286="Medio","Mitigar","Aceptar y monitorear")))</f>
        <v/>
      </c>
      <c r="AI1286" s="21" t="n"/>
      <c r="AJ1286" s="21" t="n"/>
      <c r="AK1286" s="20" t="n"/>
      <c r="AL1286" s="77">
        <f>IFERROR(INDEX(MgAmenEfic,MATCH(SUBSTITUTE($H1286,"*","-"),MgAmenClave,0)),0)</f>
        <v/>
      </c>
    </row>
    <row r="1287" hidden="1" ht="120" customHeight="1" s="54">
      <c r="B1287" s="59" t="inlineStr">
        <is>
          <t>R-1282</t>
        </is>
      </c>
      <c r="C1287" s="59" t="inlineStr">
        <is>
          <t>GH-050</t>
        </is>
      </c>
      <c r="D1287" s="64">
        <f>IFERROR(INDEX(MgNombre,MATCH($C1287,MgActId,0)),"")</f>
        <v/>
      </c>
      <c r="E1287" s="64">
        <f>IFERROR(INDEX(MgProceso,MATCH($C1287,MgActId,0)),"")</f>
        <v/>
      </c>
      <c r="F1287" s="64">
        <f>IFERROR(INDEX(MgTipo,MATCH($C1287,MgActId,0)),"")</f>
        <v/>
      </c>
      <c r="G1287" s="64">
        <f>IFERROR(INDEX(MgSubtipo,MATCH($C1287,MgActId,0)),"")</f>
        <v/>
      </c>
      <c r="H1287" s="59" t="inlineStr">
        <is>
          <t>E.2</t>
        </is>
      </c>
      <c r="I1287" s="64">
        <f>IFERROR(INDEX(MgAmenNombre,MATCH(SUBSTITUTE($H1287,"*","-"),MgAmenClave,0)),"")</f>
        <v/>
      </c>
      <c r="J1287" s="28">
        <f>IFERROR(INDEX(MgAmenGrupo,MATCH(SUBSTITUTE($H1287,"*","-"),MgAmenClave,0)),"")</f>
        <v/>
      </c>
      <c r="K1287" s="64">
        <f>IFERROR(INDEX('1. Matriz de Activos'!$Q$6:$Q$239,MATCH($C1287,MgActId,0)),"")</f>
        <v/>
      </c>
      <c r="L1287" s="64">
        <f>IFERROR(INDEX('1. Matriz de Activos'!$R$6:$R$239,MATCH($C1287,MgActId,0)),"")</f>
        <v/>
      </c>
      <c r="M1287" s="64">
        <f>IFERROR(INDEX('1. Matriz de Activos'!$S$6:$S$239,MATCH($C1287,MgActId,0)),"")</f>
        <v/>
      </c>
      <c r="N1287" s="28">
        <f>IFERROR(INDEX(MgAmenDegD,MATCH(SUBSTITUTE($H1287,"*","-"),MgAmenClave,0)),"No aplica")</f>
        <v/>
      </c>
      <c r="O1287" s="28">
        <f>IFERROR(INDEX(MgAmenDegI,MATCH(SUBSTITUTE($H1287,"*","-"),MgAmenClave,0)),"No aplica")</f>
        <v/>
      </c>
      <c r="P1287" s="28">
        <f>IFERROR(INDEX(MgAmenDegC,MATCH(SUBSTITUTE($H1287,"*","-"),MgAmenClave,0)),"No aplica")</f>
        <v/>
      </c>
      <c r="Q1287" s="29">
        <f>IFERROR(VLOOKUP(K1287,MgValor,2,0)*VLOOKUP(N1287,MgDeg,2,0),0)</f>
        <v/>
      </c>
      <c r="R1287" s="29">
        <f>IFERROR(VLOOKUP(L1287,MgValor,2,0)*VLOOKUP(O1287,MgDeg,2,0),0)</f>
        <v/>
      </c>
      <c r="S1287" s="29">
        <f>IFERROR(VLOOKUP(M1287,MgValor,2,0)*VLOOKUP(P1287,MgDeg,2,0),0)</f>
        <v/>
      </c>
      <c r="T1287" s="30">
        <f>MAX(Q1287:S1287)</f>
        <v/>
      </c>
      <c r="U1287" s="28">
        <f>IFERROR(LOOKUP(T1287,{0;0.5;1.5;3;4.5},{"Despreciable";"Bajo";"Medio";"Alto";"Muy alto"}),"")</f>
        <v/>
      </c>
      <c r="V1287" s="13">
        <f>IFERROR(INDEX(MgAmenFrec,MATCH(SUBSTITUTE($H1287,"*","-"),MgAmenClave,0)),"")</f>
        <v/>
      </c>
      <c r="W1287" s="28">
        <f>IFERROR(LOOKUP(X1287,{0;0.01;0.1;1;10;100},{"Muy baja";"Muy baja";"Baja";"Media";"Alta";"Muy alta"}),"")</f>
        <v/>
      </c>
      <c r="X1287" s="31">
        <f>IFERROR(VLOOKUP(V1287,MgFrec,2,0),0)</f>
        <v/>
      </c>
      <c r="Y1287" s="30">
        <f>T1287*X1287</f>
        <v/>
      </c>
      <c r="Z1287" s="28">
        <f>IFERROR(LOOKUP(Y1287,{0;0.5;5;25},{"Bajo";"Medio";"Alto";"Crítico"}),"")</f>
        <v/>
      </c>
      <c r="AA1287" s="64">
        <f>IF(T1287&gt;=3,IF(X1287&gt;=1,"Zona 1 — Crítica: impacto alto y ocurre al menos una vez al año","Zona 4 — Catastrófica poco probable: impacto alto pero excepcional"),IF(AND(T1287&lt;1.5,X1287&lt;1),"Zona 3 — Asumible: impacto bajo y muy poco frecuente","Zona 2 — Atención: riesgo intermedio"))</f>
        <v/>
      </c>
      <c r="AB1287" s="64">
        <f>IFERROR(INDEX(MgAmenCtrl,MATCH(SUBSTITUTE($H1287,"*","-"),MgAmenClave,0)),"")</f>
        <v/>
      </c>
      <c r="AC1287" s="20" t="n"/>
      <c r="AD1287" s="31">
        <f>IFERROR($X1287*(1-IF($AC1287="",$AL1287,VLOOKUP($AC1287,MgMad,2,0))),"")</f>
        <v/>
      </c>
      <c r="AE1287" s="28">
        <f>IFERROR(LOOKUP(AD1287,{0;0.01;0.1;1;10;100},{"Muy baja";"Muy baja";"Baja";"Media";"Alta";"Muy alta"}),"")</f>
        <v/>
      </c>
      <c r="AF1287" s="30">
        <f>T1287*AD1287</f>
        <v/>
      </c>
      <c r="AG1287" s="28">
        <f>IFERROR(LOOKUP(AF1287,{0;0.5;5;25},{"Bajo";"Medio";"Alto";"Crítico"}),"")</f>
        <v/>
      </c>
      <c r="AH1287" s="28">
        <f>IF(AG1287="","",IF(OR(AG1287="Crítico",AG1287="Alto"),"Mitigar",IF(AG1287="Medio","Mitigar","Aceptar y monitorear")))</f>
        <v/>
      </c>
      <c r="AI1287" s="21" t="n"/>
      <c r="AJ1287" s="21" t="n"/>
      <c r="AK1287" s="20" t="n"/>
      <c r="AL1287" s="77">
        <f>IFERROR(INDEX(MgAmenEfic,MATCH(SUBSTITUTE($H1287,"*","-"),MgAmenClave,0)),0)</f>
        <v/>
      </c>
    </row>
    <row r="1288" hidden="1" ht="75" customHeight="1" s="54">
      <c r="B1288" s="59" t="inlineStr">
        <is>
          <t>R-1283</t>
        </is>
      </c>
      <c r="C1288" s="59" t="inlineStr">
        <is>
          <t>GH-050</t>
        </is>
      </c>
      <c r="D1288" s="64">
        <f>IFERROR(INDEX(MgNombre,MATCH($C1288,MgActId,0)),"")</f>
        <v/>
      </c>
      <c r="E1288" s="64">
        <f>IFERROR(INDEX(MgProceso,MATCH($C1288,MgActId,0)),"")</f>
        <v/>
      </c>
      <c r="F1288" s="64">
        <f>IFERROR(INDEX(MgTipo,MATCH($C1288,MgActId,0)),"")</f>
        <v/>
      </c>
      <c r="G1288" s="64">
        <f>IFERROR(INDEX(MgSubtipo,MATCH($C1288,MgActId,0)),"")</f>
        <v/>
      </c>
      <c r="H1288" s="59" t="inlineStr">
        <is>
          <t>E.3</t>
        </is>
      </c>
      <c r="I1288" s="64">
        <f>IFERROR(INDEX(MgAmenNombre,MATCH(SUBSTITUTE($H1288,"*","-"),MgAmenClave,0)),"")</f>
        <v/>
      </c>
      <c r="J1288" s="28">
        <f>IFERROR(INDEX(MgAmenGrupo,MATCH(SUBSTITUTE($H1288,"*","-"),MgAmenClave,0)),"")</f>
        <v/>
      </c>
      <c r="K1288" s="64">
        <f>IFERROR(INDEX('1. Matriz de Activos'!$Q$6:$Q$239,MATCH($C1288,MgActId,0)),"")</f>
        <v/>
      </c>
      <c r="L1288" s="64">
        <f>IFERROR(INDEX('1. Matriz de Activos'!$R$6:$R$239,MATCH($C1288,MgActId,0)),"")</f>
        <v/>
      </c>
      <c r="M1288" s="64">
        <f>IFERROR(INDEX('1. Matriz de Activos'!$S$6:$S$239,MATCH($C1288,MgActId,0)),"")</f>
        <v/>
      </c>
      <c r="N1288" s="28">
        <f>IFERROR(INDEX(MgAmenDegD,MATCH(SUBSTITUTE($H1288,"*","-"),MgAmenClave,0)),"No aplica")</f>
        <v/>
      </c>
      <c r="O1288" s="28">
        <f>IFERROR(INDEX(MgAmenDegI,MATCH(SUBSTITUTE($H1288,"*","-"),MgAmenClave,0)),"No aplica")</f>
        <v/>
      </c>
      <c r="P1288" s="28">
        <f>IFERROR(INDEX(MgAmenDegC,MATCH(SUBSTITUTE($H1288,"*","-"),MgAmenClave,0)),"No aplica")</f>
        <v/>
      </c>
      <c r="Q1288" s="29">
        <f>IFERROR(VLOOKUP(K1288,MgValor,2,0)*VLOOKUP(N1288,MgDeg,2,0),0)</f>
        <v/>
      </c>
      <c r="R1288" s="29">
        <f>IFERROR(VLOOKUP(L1288,MgValor,2,0)*VLOOKUP(O1288,MgDeg,2,0),0)</f>
        <v/>
      </c>
      <c r="S1288" s="29">
        <f>IFERROR(VLOOKUP(M1288,MgValor,2,0)*VLOOKUP(P1288,MgDeg,2,0),0)</f>
        <v/>
      </c>
      <c r="T1288" s="30">
        <f>MAX(Q1288:S1288)</f>
        <v/>
      </c>
      <c r="U1288" s="28">
        <f>IFERROR(LOOKUP(T1288,{0;0.5;1.5;3;4.5},{"Despreciable";"Bajo";"Medio";"Alto";"Muy alto"}),"")</f>
        <v/>
      </c>
      <c r="V1288" s="13">
        <f>IFERROR(INDEX(MgAmenFrec,MATCH(SUBSTITUTE($H1288,"*","-"),MgAmenClave,0)),"")</f>
        <v/>
      </c>
      <c r="W1288" s="28">
        <f>IFERROR(LOOKUP(X1288,{0;0.01;0.1;1;10;100},{"Muy baja";"Muy baja";"Baja";"Media";"Alta";"Muy alta"}),"")</f>
        <v/>
      </c>
      <c r="X1288" s="31">
        <f>IFERROR(VLOOKUP(V1288,MgFrec,2,0),0)</f>
        <v/>
      </c>
      <c r="Y1288" s="30">
        <f>T1288*X1288</f>
        <v/>
      </c>
      <c r="Z1288" s="28">
        <f>IFERROR(LOOKUP(Y1288,{0;0.5;5;25},{"Bajo";"Medio";"Alto";"Crítico"}),"")</f>
        <v/>
      </c>
      <c r="AA1288" s="64">
        <f>IF(T1288&gt;=3,IF(X1288&gt;=1,"Zona 1 — Crítica: impacto alto y ocurre al menos una vez al año","Zona 4 — Catastrófica poco probable: impacto alto pero excepcional"),IF(AND(T1288&lt;1.5,X1288&lt;1),"Zona 3 — Asumible: impacto bajo y muy poco frecuente","Zona 2 — Atención: riesgo intermedio"))</f>
        <v/>
      </c>
      <c r="AB1288" s="64">
        <f>IFERROR(INDEX(MgAmenCtrl,MATCH(SUBSTITUTE($H1288,"*","-"),MgAmenClave,0)),"")</f>
        <v/>
      </c>
      <c r="AC1288" s="20" t="n"/>
      <c r="AD1288" s="31">
        <f>IFERROR($X1288*(1-IF($AC1288="",$AL1288,VLOOKUP($AC1288,MgMad,2,0))),"")</f>
        <v/>
      </c>
      <c r="AE1288" s="28">
        <f>IFERROR(LOOKUP(AD1288,{0;0.01;0.1;1;10;100},{"Muy baja";"Muy baja";"Baja";"Media";"Alta";"Muy alta"}),"")</f>
        <v/>
      </c>
      <c r="AF1288" s="30">
        <f>T1288*AD1288</f>
        <v/>
      </c>
      <c r="AG1288" s="28">
        <f>IFERROR(LOOKUP(AF1288,{0;0.5;5;25},{"Bajo";"Medio";"Alto";"Crítico"}),"")</f>
        <v/>
      </c>
      <c r="AH1288" s="28">
        <f>IF(AG1288="","",IF(OR(AG1288="Crítico",AG1288="Alto"),"Mitigar",IF(AG1288="Medio","Mitigar","Aceptar y monitorear")))</f>
        <v/>
      </c>
      <c r="AI1288" s="21" t="n"/>
      <c r="AJ1288" s="21" t="n"/>
      <c r="AK1288" s="20" t="n"/>
      <c r="AL1288" s="77">
        <f>IFERROR(INDEX(MgAmenEfic,MATCH(SUBSTITUTE($H1288,"*","-"),MgAmenClave,0)),0)</f>
        <v/>
      </c>
    </row>
    <row r="1289" hidden="1" ht="75" customHeight="1" s="54">
      <c r="B1289" s="59" t="inlineStr">
        <is>
          <t>R-1284</t>
        </is>
      </c>
      <c r="C1289" s="59" t="inlineStr">
        <is>
          <t>GH-050</t>
        </is>
      </c>
      <c r="D1289" s="64">
        <f>IFERROR(INDEX(MgNombre,MATCH($C1289,MgActId,0)),"")</f>
        <v/>
      </c>
      <c r="E1289" s="64">
        <f>IFERROR(INDEX(MgProceso,MATCH($C1289,MgActId,0)),"")</f>
        <v/>
      </c>
      <c r="F1289" s="64">
        <f>IFERROR(INDEX(MgTipo,MATCH($C1289,MgActId,0)),"")</f>
        <v/>
      </c>
      <c r="G1289" s="64">
        <f>IFERROR(INDEX(MgSubtipo,MATCH($C1289,MgActId,0)),"")</f>
        <v/>
      </c>
      <c r="H1289" s="59" t="inlineStr">
        <is>
          <t>E.4</t>
        </is>
      </c>
      <c r="I1289" s="64">
        <f>IFERROR(INDEX(MgAmenNombre,MATCH(SUBSTITUTE($H1289,"*","-"),MgAmenClave,0)),"")</f>
        <v/>
      </c>
      <c r="J1289" s="28">
        <f>IFERROR(INDEX(MgAmenGrupo,MATCH(SUBSTITUTE($H1289,"*","-"),MgAmenClave,0)),"")</f>
        <v/>
      </c>
      <c r="K1289" s="64">
        <f>IFERROR(INDEX('1. Matriz de Activos'!$Q$6:$Q$239,MATCH($C1289,MgActId,0)),"")</f>
        <v/>
      </c>
      <c r="L1289" s="64">
        <f>IFERROR(INDEX('1. Matriz de Activos'!$R$6:$R$239,MATCH($C1289,MgActId,0)),"")</f>
        <v/>
      </c>
      <c r="M1289" s="64">
        <f>IFERROR(INDEX('1. Matriz de Activos'!$S$6:$S$239,MATCH($C1289,MgActId,0)),"")</f>
        <v/>
      </c>
      <c r="N1289" s="28">
        <f>IFERROR(INDEX(MgAmenDegD,MATCH(SUBSTITUTE($H1289,"*","-"),MgAmenClave,0)),"No aplica")</f>
        <v/>
      </c>
      <c r="O1289" s="28">
        <f>IFERROR(INDEX(MgAmenDegI,MATCH(SUBSTITUTE($H1289,"*","-"),MgAmenClave,0)),"No aplica")</f>
        <v/>
      </c>
      <c r="P1289" s="28">
        <f>IFERROR(INDEX(MgAmenDegC,MATCH(SUBSTITUTE($H1289,"*","-"),MgAmenClave,0)),"No aplica")</f>
        <v/>
      </c>
      <c r="Q1289" s="29">
        <f>IFERROR(VLOOKUP(K1289,MgValor,2,0)*VLOOKUP(N1289,MgDeg,2,0),0)</f>
        <v/>
      </c>
      <c r="R1289" s="29">
        <f>IFERROR(VLOOKUP(L1289,MgValor,2,0)*VLOOKUP(O1289,MgDeg,2,0),0)</f>
        <v/>
      </c>
      <c r="S1289" s="29">
        <f>IFERROR(VLOOKUP(M1289,MgValor,2,0)*VLOOKUP(P1289,MgDeg,2,0),0)</f>
        <v/>
      </c>
      <c r="T1289" s="30">
        <f>MAX(Q1289:S1289)</f>
        <v/>
      </c>
      <c r="U1289" s="28">
        <f>IFERROR(LOOKUP(T1289,{0;0.5;1.5;3;4.5},{"Despreciable";"Bajo";"Medio";"Alto";"Muy alto"}),"")</f>
        <v/>
      </c>
      <c r="V1289" s="13">
        <f>IFERROR(INDEX(MgAmenFrec,MATCH(SUBSTITUTE($H1289,"*","-"),MgAmenClave,0)),"")</f>
        <v/>
      </c>
      <c r="W1289" s="28">
        <f>IFERROR(LOOKUP(X1289,{0;0.01;0.1;1;10;100},{"Muy baja";"Muy baja";"Baja";"Media";"Alta";"Muy alta"}),"")</f>
        <v/>
      </c>
      <c r="X1289" s="31">
        <f>IFERROR(VLOOKUP(V1289,MgFrec,2,0),0)</f>
        <v/>
      </c>
      <c r="Y1289" s="30">
        <f>T1289*X1289</f>
        <v/>
      </c>
      <c r="Z1289" s="28">
        <f>IFERROR(LOOKUP(Y1289,{0;0.5;5;25},{"Bajo";"Medio";"Alto";"Crítico"}),"")</f>
        <v/>
      </c>
      <c r="AA1289" s="64">
        <f>IF(T1289&gt;=3,IF(X1289&gt;=1,"Zona 1 — Crítica: impacto alto y ocurre al menos una vez al año","Zona 4 — Catastrófica poco probable: impacto alto pero excepcional"),IF(AND(T1289&lt;1.5,X1289&lt;1),"Zona 3 — Asumible: impacto bajo y muy poco frecuente","Zona 2 — Atención: riesgo intermedio"))</f>
        <v/>
      </c>
      <c r="AB1289" s="64">
        <f>IFERROR(INDEX(MgAmenCtrl,MATCH(SUBSTITUTE($H1289,"*","-"),MgAmenClave,0)),"")</f>
        <v/>
      </c>
      <c r="AC1289" s="20" t="n"/>
      <c r="AD1289" s="31">
        <f>IFERROR($X1289*(1-IF($AC1289="",$AL1289,VLOOKUP($AC1289,MgMad,2,0))),"")</f>
        <v/>
      </c>
      <c r="AE1289" s="28">
        <f>IFERROR(LOOKUP(AD1289,{0;0.01;0.1;1;10;100},{"Muy baja";"Muy baja";"Baja";"Media";"Alta";"Muy alta"}),"")</f>
        <v/>
      </c>
      <c r="AF1289" s="30">
        <f>T1289*AD1289</f>
        <v/>
      </c>
      <c r="AG1289" s="28">
        <f>IFERROR(LOOKUP(AF1289,{0;0.5;5;25},{"Bajo";"Medio";"Alto";"Crítico"}),"")</f>
        <v/>
      </c>
      <c r="AH1289" s="28">
        <f>IF(AG1289="","",IF(OR(AG1289="Crítico",AG1289="Alto"),"Mitigar",IF(AG1289="Medio","Mitigar","Aceptar y monitorear")))</f>
        <v/>
      </c>
      <c r="AI1289" s="21" t="n"/>
      <c r="AJ1289" s="21" t="n"/>
      <c r="AK1289" s="20" t="n"/>
      <c r="AL1289" s="77">
        <f>IFERROR(INDEX(MgAmenEfic,MATCH(SUBSTITUTE($H1289,"*","-"),MgAmenClave,0)),0)</f>
        <v/>
      </c>
    </row>
    <row r="1290" hidden="1" ht="90" customHeight="1" s="54">
      <c r="B1290" s="59" t="inlineStr">
        <is>
          <t>R-1285</t>
        </is>
      </c>
      <c r="C1290" s="59" t="inlineStr">
        <is>
          <t>GH-050</t>
        </is>
      </c>
      <c r="D1290" s="64">
        <f>IFERROR(INDEX(MgNombre,MATCH($C1290,MgActId,0)),"")</f>
        <v/>
      </c>
      <c r="E1290" s="64">
        <f>IFERROR(INDEX(MgProceso,MATCH($C1290,MgActId,0)),"")</f>
        <v/>
      </c>
      <c r="F1290" s="64">
        <f>IFERROR(INDEX(MgTipo,MATCH($C1290,MgActId,0)),"")</f>
        <v/>
      </c>
      <c r="G1290" s="64">
        <f>IFERROR(INDEX(MgSubtipo,MATCH($C1290,MgActId,0)),"")</f>
        <v/>
      </c>
      <c r="H1290" s="59" t="inlineStr">
        <is>
          <t>E.14</t>
        </is>
      </c>
      <c r="I1290" s="64">
        <f>IFERROR(INDEX(MgAmenNombre,MATCH(SUBSTITUTE($H1290,"*","-"),MgAmenClave,0)),"")</f>
        <v/>
      </c>
      <c r="J1290" s="28">
        <f>IFERROR(INDEX(MgAmenGrupo,MATCH(SUBSTITUTE($H1290,"*","-"),MgAmenClave,0)),"")</f>
        <v/>
      </c>
      <c r="K1290" s="64">
        <f>IFERROR(INDEX('1. Matriz de Activos'!$Q$6:$Q$239,MATCH($C1290,MgActId,0)),"")</f>
        <v/>
      </c>
      <c r="L1290" s="64">
        <f>IFERROR(INDEX('1. Matriz de Activos'!$R$6:$R$239,MATCH($C1290,MgActId,0)),"")</f>
        <v/>
      </c>
      <c r="M1290" s="64">
        <f>IFERROR(INDEX('1. Matriz de Activos'!$S$6:$S$239,MATCH($C1290,MgActId,0)),"")</f>
        <v/>
      </c>
      <c r="N1290" s="28">
        <f>IFERROR(INDEX(MgAmenDegD,MATCH(SUBSTITUTE($H1290,"*","-"),MgAmenClave,0)),"No aplica")</f>
        <v/>
      </c>
      <c r="O1290" s="28">
        <f>IFERROR(INDEX(MgAmenDegI,MATCH(SUBSTITUTE($H1290,"*","-"),MgAmenClave,0)),"No aplica")</f>
        <v/>
      </c>
      <c r="P1290" s="28">
        <f>IFERROR(INDEX(MgAmenDegC,MATCH(SUBSTITUTE($H1290,"*","-"),MgAmenClave,0)),"No aplica")</f>
        <v/>
      </c>
      <c r="Q1290" s="29">
        <f>IFERROR(VLOOKUP(K1290,MgValor,2,0)*VLOOKUP(N1290,MgDeg,2,0),0)</f>
        <v/>
      </c>
      <c r="R1290" s="29">
        <f>IFERROR(VLOOKUP(L1290,MgValor,2,0)*VLOOKUP(O1290,MgDeg,2,0),0)</f>
        <v/>
      </c>
      <c r="S1290" s="29">
        <f>IFERROR(VLOOKUP(M1290,MgValor,2,0)*VLOOKUP(P1290,MgDeg,2,0),0)</f>
        <v/>
      </c>
      <c r="T1290" s="30">
        <f>MAX(Q1290:S1290)</f>
        <v/>
      </c>
      <c r="U1290" s="28">
        <f>IFERROR(LOOKUP(T1290,{0;0.5;1.5;3;4.5},{"Despreciable";"Bajo";"Medio";"Alto";"Muy alto"}),"")</f>
        <v/>
      </c>
      <c r="V1290" s="13">
        <f>IFERROR(INDEX(MgAmenFrec,MATCH(SUBSTITUTE($H1290,"*","-"),MgAmenClave,0)),"")</f>
        <v/>
      </c>
      <c r="W1290" s="28">
        <f>IFERROR(LOOKUP(X1290,{0;0.01;0.1;1;10;100},{"Muy baja";"Muy baja";"Baja";"Media";"Alta";"Muy alta"}),"")</f>
        <v/>
      </c>
      <c r="X1290" s="31">
        <f>IFERROR(VLOOKUP(V1290,MgFrec,2,0),0)</f>
        <v/>
      </c>
      <c r="Y1290" s="30">
        <f>T1290*X1290</f>
        <v/>
      </c>
      <c r="Z1290" s="28">
        <f>IFERROR(LOOKUP(Y1290,{0;0.5;5;25},{"Bajo";"Medio";"Alto";"Crítico"}),"")</f>
        <v/>
      </c>
      <c r="AA1290" s="64">
        <f>IF(T1290&gt;=3,IF(X1290&gt;=1,"Zona 1 — Crítica: impacto alto y ocurre al menos una vez al año","Zona 4 — Catastrófica poco probable: impacto alto pero excepcional"),IF(AND(T1290&lt;1.5,X1290&lt;1),"Zona 3 — Asumible: impacto bajo y muy poco frecuente","Zona 2 — Atención: riesgo intermedio"))</f>
        <v/>
      </c>
      <c r="AB1290" s="64">
        <f>IFERROR(INDEX(MgAmenCtrl,MATCH(SUBSTITUTE($H1290,"*","-"),MgAmenClave,0)),"")</f>
        <v/>
      </c>
      <c r="AC1290" s="20" t="n"/>
      <c r="AD1290" s="31">
        <f>IFERROR($X1290*(1-IF($AC1290="",$AL1290,VLOOKUP($AC1290,MgMad,2,0))),"")</f>
        <v/>
      </c>
      <c r="AE1290" s="28">
        <f>IFERROR(LOOKUP(AD1290,{0;0.01;0.1;1;10;100},{"Muy baja";"Muy baja";"Baja";"Media";"Alta";"Muy alta"}),"")</f>
        <v/>
      </c>
      <c r="AF1290" s="30">
        <f>T1290*AD1290</f>
        <v/>
      </c>
      <c r="AG1290" s="28">
        <f>IFERROR(LOOKUP(AF1290,{0;0.5;5;25},{"Bajo";"Medio";"Alto";"Crítico"}),"")</f>
        <v/>
      </c>
      <c r="AH1290" s="28">
        <f>IF(AG1290="","",IF(OR(AG1290="Crítico",AG1290="Alto"),"Mitigar",IF(AG1290="Medio","Mitigar","Aceptar y monitorear")))</f>
        <v/>
      </c>
      <c r="AI1290" s="21" t="n"/>
      <c r="AJ1290" s="21" t="n"/>
      <c r="AK1290" s="20" t="n"/>
      <c r="AL1290" s="77">
        <f>IFERROR(INDEX(MgAmenEfic,MATCH(SUBSTITUTE($H1290,"*","-"),MgAmenClave,0)),0)</f>
        <v/>
      </c>
    </row>
    <row r="1291" hidden="1" ht="90" customHeight="1" s="54">
      <c r="B1291" s="59" t="inlineStr">
        <is>
          <t>R-1286</t>
        </is>
      </c>
      <c r="C1291" s="59" t="inlineStr">
        <is>
          <t>GH-050</t>
        </is>
      </c>
      <c r="D1291" s="64">
        <f>IFERROR(INDEX(MgNombre,MATCH($C1291,MgActId,0)),"")</f>
        <v/>
      </c>
      <c r="E1291" s="64">
        <f>IFERROR(INDEX(MgProceso,MATCH($C1291,MgActId,0)),"")</f>
        <v/>
      </c>
      <c r="F1291" s="64">
        <f>IFERROR(INDEX(MgTipo,MATCH($C1291,MgActId,0)),"")</f>
        <v/>
      </c>
      <c r="G1291" s="64">
        <f>IFERROR(INDEX(MgSubtipo,MATCH($C1291,MgActId,0)),"")</f>
        <v/>
      </c>
      <c r="H1291" s="59" t="inlineStr">
        <is>
          <t>E.15</t>
        </is>
      </c>
      <c r="I1291" s="64">
        <f>IFERROR(INDEX(MgAmenNombre,MATCH(SUBSTITUTE($H1291,"*","-"),MgAmenClave,0)),"")</f>
        <v/>
      </c>
      <c r="J1291" s="28">
        <f>IFERROR(INDEX(MgAmenGrupo,MATCH(SUBSTITUTE($H1291,"*","-"),MgAmenClave,0)),"")</f>
        <v/>
      </c>
      <c r="K1291" s="64">
        <f>IFERROR(INDEX('1. Matriz de Activos'!$Q$6:$Q$239,MATCH($C1291,MgActId,0)),"")</f>
        <v/>
      </c>
      <c r="L1291" s="64">
        <f>IFERROR(INDEX('1. Matriz de Activos'!$R$6:$R$239,MATCH($C1291,MgActId,0)),"")</f>
        <v/>
      </c>
      <c r="M1291" s="64">
        <f>IFERROR(INDEX('1. Matriz de Activos'!$S$6:$S$239,MATCH($C1291,MgActId,0)),"")</f>
        <v/>
      </c>
      <c r="N1291" s="28">
        <f>IFERROR(INDEX(MgAmenDegD,MATCH(SUBSTITUTE($H1291,"*","-"),MgAmenClave,0)),"No aplica")</f>
        <v/>
      </c>
      <c r="O1291" s="28">
        <f>IFERROR(INDEX(MgAmenDegI,MATCH(SUBSTITUTE($H1291,"*","-"),MgAmenClave,0)),"No aplica")</f>
        <v/>
      </c>
      <c r="P1291" s="28">
        <f>IFERROR(INDEX(MgAmenDegC,MATCH(SUBSTITUTE($H1291,"*","-"),MgAmenClave,0)),"No aplica")</f>
        <v/>
      </c>
      <c r="Q1291" s="29">
        <f>IFERROR(VLOOKUP(K1291,MgValor,2,0)*VLOOKUP(N1291,MgDeg,2,0),0)</f>
        <v/>
      </c>
      <c r="R1291" s="29">
        <f>IFERROR(VLOOKUP(L1291,MgValor,2,0)*VLOOKUP(O1291,MgDeg,2,0),0)</f>
        <v/>
      </c>
      <c r="S1291" s="29">
        <f>IFERROR(VLOOKUP(M1291,MgValor,2,0)*VLOOKUP(P1291,MgDeg,2,0),0)</f>
        <v/>
      </c>
      <c r="T1291" s="30">
        <f>MAX(Q1291:S1291)</f>
        <v/>
      </c>
      <c r="U1291" s="28">
        <f>IFERROR(LOOKUP(T1291,{0;0.5;1.5;3;4.5},{"Despreciable";"Bajo";"Medio";"Alto";"Muy alto"}),"")</f>
        <v/>
      </c>
      <c r="V1291" s="13">
        <f>IFERROR(INDEX(MgAmenFrec,MATCH(SUBSTITUTE($H1291,"*","-"),MgAmenClave,0)),"")</f>
        <v/>
      </c>
      <c r="W1291" s="28">
        <f>IFERROR(LOOKUP(X1291,{0;0.01;0.1;1;10;100},{"Muy baja";"Muy baja";"Baja";"Media";"Alta";"Muy alta"}),"")</f>
        <v/>
      </c>
      <c r="X1291" s="31">
        <f>IFERROR(VLOOKUP(V1291,MgFrec,2,0),0)</f>
        <v/>
      </c>
      <c r="Y1291" s="30">
        <f>T1291*X1291</f>
        <v/>
      </c>
      <c r="Z1291" s="28">
        <f>IFERROR(LOOKUP(Y1291,{0;0.5;5;25},{"Bajo";"Medio";"Alto";"Crítico"}),"")</f>
        <v/>
      </c>
      <c r="AA1291" s="64">
        <f>IF(T1291&gt;=3,IF(X1291&gt;=1,"Zona 1 — Crítica: impacto alto y ocurre al menos una vez al año","Zona 4 — Catastrófica poco probable: impacto alto pero excepcional"),IF(AND(T1291&lt;1.5,X1291&lt;1),"Zona 3 — Asumible: impacto bajo y muy poco frecuente","Zona 2 — Atención: riesgo intermedio"))</f>
        <v/>
      </c>
      <c r="AB1291" s="64">
        <f>IFERROR(INDEX(MgAmenCtrl,MATCH(SUBSTITUTE($H1291,"*","-"),MgAmenClave,0)),"")</f>
        <v/>
      </c>
      <c r="AC1291" s="20" t="n"/>
      <c r="AD1291" s="31">
        <f>IFERROR($X1291*(1-IF($AC1291="",$AL1291,VLOOKUP($AC1291,MgMad,2,0))),"")</f>
        <v/>
      </c>
      <c r="AE1291" s="28">
        <f>IFERROR(LOOKUP(AD1291,{0;0.01;0.1;1;10;100},{"Muy baja";"Muy baja";"Baja";"Media";"Alta";"Muy alta"}),"")</f>
        <v/>
      </c>
      <c r="AF1291" s="30">
        <f>T1291*AD1291</f>
        <v/>
      </c>
      <c r="AG1291" s="28">
        <f>IFERROR(LOOKUP(AF1291,{0;0.5;5;25},{"Bajo";"Medio";"Alto";"Crítico"}),"")</f>
        <v/>
      </c>
      <c r="AH1291" s="28">
        <f>IF(AG1291="","",IF(OR(AG1291="Crítico",AG1291="Alto"),"Mitigar",IF(AG1291="Medio","Mitigar","Aceptar y monitorear")))</f>
        <v/>
      </c>
      <c r="AI1291" s="21" t="n"/>
      <c r="AJ1291" s="21" t="n"/>
      <c r="AK1291" s="20" t="n"/>
      <c r="AL1291" s="77">
        <f>IFERROR(INDEX(MgAmenEfic,MATCH(SUBSTITUTE($H1291,"*","-"),MgAmenClave,0)),0)</f>
        <v/>
      </c>
    </row>
    <row r="1292" hidden="1" ht="60" customHeight="1" s="54">
      <c r="B1292" s="59" t="inlineStr">
        <is>
          <t>R-1287</t>
        </is>
      </c>
      <c r="C1292" s="59" t="inlineStr">
        <is>
          <t>GH-050</t>
        </is>
      </c>
      <c r="D1292" s="64">
        <f>IFERROR(INDEX(MgNombre,MATCH($C1292,MgActId,0)),"")</f>
        <v/>
      </c>
      <c r="E1292" s="64">
        <f>IFERROR(INDEX(MgProceso,MATCH($C1292,MgActId,0)),"")</f>
        <v/>
      </c>
      <c r="F1292" s="64">
        <f>IFERROR(INDEX(MgTipo,MATCH($C1292,MgActId,0)),"")</f>
        <v/>
      </c>
      <c r="G1292" s="64">
        <f>IFERROR(INDEX(MgSubtipo,MATCH($C1292,MgActId,0)),"")</f>
        <v/>
      </c>
      <c r="H1292" s="59" t="inlineStr">
        <is>
          <t>E.18</t>
        </is>
      </c>
      <c r="I1292" s="64">
        <f>IFERROR(INDEX(MgAmenNombre,MATCH(SUBSTITUTE($H1292,"*","-"),MgAmenClave,0)),"")</f>
        <v/>
      </c>
      <c r="J1292" s="28">
        <f>IFERROR(INDEX(MgAmenGrupo,MATCH(SUBSTITUTE($H1292,"*","-"),MgAmenClave,0)),"")</f>
        <v/>
      </c>
      <c r="K1292" s="64">
        <f>IFERROR(INDEX('1. Matriz de Activos'!$Q$6:$Q$239,MATCH($C1292,MgActId,0)),"")</f>
        <v/>
      </c>
      <c r="L1292" s="64">
        <f>IFERROR(INDEX('1. Matriz de Activos'!$R$6:$R$239,MATCH($C1292,MgActId,0)),"")</f>
        <v/>
      </c>
      <c r="M1292" s="64">
        <f>IFERROR(INDEX('1. Matriz de Activos'!$S$6:$S$239,MATCH($C1292,MgActId,0)),"")</f>
        <v/>
      </c>
      <c r="N1292" s="28">
        <f>IFERROR(INDEX(MgAmenDegD,MATCH(SUBSTITUTE($H1292,"*","-"),MgAmenClave,0)),"No aplica")</f>
        <v/>
      </c>
      <c r="O1292" s="28">
        <f>IFERROR(INDEX(MgAmenDegI,MATCH(SUBSTITUTE($H1292,"*","-"),MgAmenClave,0)),"No aplica")</f>
        <v/>
      </c>
      <c r="P1292" s="28">
        <f>IFERROR(INDEX(MgAmenDegC,MATCH(SUBSTITUTE($H1292,"*","-"),MgAmenClave,0)),"No aplica")</f>
        <v/>
      </c>
      <c r="Q1292" s="29">
        <f>IFERROR(VLOOKUP(K1292,MgValor,2,0)*VLOOKUP(N1292,MgDeg,2,0),0)</f>
        <v/>
      </c>
      <c r="R1292" s="29">
        <f>IFERROR(VLOOKUP(L1292,MgValor,2,0)*VLOOKUP(O1292,MgDeg,2,0),0)</f>
        <v/>
      </c>
      <c r="S1292" s="29">
        <f>IFERROR(VLOOKUP(M1292,MgValor,2,0)*VLOOKUP(P1292,MgDeg,2,0),0)</f>
        <v/>
      </c>
      <c r="T1292" s="30">
        <f>MAX(Q1292:S1292)</f>
        <v/>
      </c>
      <c r="U1292" s="28">
        <f>IFERROR(LOOKUP(T1292,{0;0.5;1.5;3;4.5},{"Despreciable";"Bajo";"Medio";"Alto";"Muy alto"}),"")</f>
        <v/>
      </c>
      <c r="V1292" s="13">
        <f>IFERROR(INDEX(MgAmenFrec,MATCH(SUBSTITUTE($H1292,"*","-"),MgAmenClave,0)),"")</f>
        <v/>
      </c>
      <c r="W1292" s="28">
        <f>IFERROR(LOOKUP(X1292,{0;0.01;0.1;1;10;100},{"Muy baja";"Muy baja";"Baja";"Media";"Alta";"Muy alta"}),"")</f>
        <v/>
      </c>
      <c r="X1292" s="31">
        <f>IFERROR(VLOOKUP(V1292,MgFrec,2,0),0)</f>
        <v/>
      </c>
      <c r="Y1292" s="30">
        <f>T1292*X1292</f>
        <v/>
      </c>
      <c r="Z1292" s="28">
        <f>IFERROR(LOOKUP(Y1292,{0;0.5;5;25},{"Bajo";"Medio";"Alto";"Crítico"}),"")</f>
        <v/>
      </c>
      <c r="AA1292" s="64">
        <f>IF(T1292&gt;=3,IF(X1292&gt;=1,"Zona 1 — Crítica: impacto alto y ocurre al menos una vez al año","Zona 4 — Catastrófica poco probable: impacto alto pero excepcional"),IF(AND(T1292&lt;1.5,X1292&lt;1),"Zona 3 — Asumible: impacto bajo y muy poco frecuente","Zona 2 — Atención: riesgo intermedio"))</f>
        <v/>
      </c>
      <c r="AB1292" s="64">
        <f>IFERROR(INDEX(MgAmenCtrl,MATCH(SUBSTITUTE($H1292,"*","-"),MgAmenClave,0)),"")</f>
        <v/>
      </c>
      <c r="AC1292" s="20" t="n"/>
      <c r="AD1292" s="31">
        <f>IFERROR($X1292*(1-IF($AC1292="",$AL1292,VLOOKUP($AC1292,MgMad,2,0))),"")</f>
        <v/>
      </c>
      <c r="AE1292" s="28">
        <f>IFERROR(LOOKUP(AD1292,{0;0.01;0.1;1;10;100},{"Muy baja";"Muy baja";"Baja";"Media";"Alta";"Muy alta"}),"")</f>
        <v/>
      </c>
      <c r="AF1292" s="30">
        <f>T1292*AD1292</f>
        <v/>
      </c>
      <c r="AG1292" s="28">
        <f>IFERROR(LOOKUP(AF1292,{0;0.5;5;25},{"Bajo";"Medio";"Alto";"Crítico"}),"")</f>
        <v/>
      </c>
      <c r="AH1292" s="28">
        <f>IF(AG1292="","",IF(OR(AG1292="Crítico",AG1292="Alto"),"Mitigar",IF(AG1292="Medio","Mitigar","Aceptar y monitorear")))</f>
        <v/>
      </c>
      <c r="AI1292" s="21" t="n"/>
      <c r="AJ1292" s="21" t="n"/>
      <c r="AK1292" s="20" t="n"/>
      <c r="AL1292" s="77">
        <f>IFERROR(INDEX(MgAmenEfic,MATCH(SUBSTITUTE($H1292,"*","-"),MgAmenClave,0)),0)</f>
        <v/>
      </c>
    </row>
    <row r="1293" hidden="1" ht="105" customHeight="1" s="54">
      <c r="B1293" s="59" t="inlineStr">
        <is>
          <t>R-1288</t>
        </is>
      </c>
      <c r="C1293" s="59" t="inlineStr">
        <is>
          <t>GH-050</t>
        </is>
      </c>
      <c r="D1293" s="64">
        <f>IFERROR(INDEX(MgNombre,MATCH($C1293,MgActId,0)),"")</f>
        <v/>
      </c>
      <c r="E1293" s="64">
        <f>IFERROR(INDEX(MgProceso,MATCH($C1293,MgActId,0)),"")</f>
        <v/>
      </c>
      <c r="F1293" s="64">
        <f>IFERROR(INDEX(MgTipo,MATCH($C1293,MgActId,0)),"")</f>
        <v/>
      </c>
      <c r="G1293" s="64">
        <f>IFERROR(INDEX(MgSubtipo,MATCH($C1293,MgActId,0)),"")</f>
        <v/>
      </c>
      <c r="H1293" s="59" t="inlineStr">
        <is>
          <t>E.19</t>
        </is>
      </c>
      <c r="I1293" s="64">
        <f>IFERROR(INDEX(MgAmenNombre,MATCH(SUBSTITUTE($H1293,"*","-"),MgAmenClave,0)),"")</f>
        <v/>
      </c>
      <c r="J1293" s="28">
        <f>IFERROR(INDEX(MgAmenGrupo,MATCH(SUBSTITUTE($H1293,"*","-"),MgAmenClave,0)),"")</f>
        <v/>
      </c>
      <c r="K1293" s="64">
        <f>IFERROR(INDEX('1. Matriz de Activos'!$Q$6:$Q$239,MATCH($C1293,MgActId,0)),"")</f>
        <v/>
      </c>
      <c r="L1293" s="64">
        <f>IFERROR(INDEX('1. Matriz de Activos'!$R$6:$R$239,MATCH($C1293,MgActId,0)),"")</f>
        <v/>
      </c>
      <c r="M1293" s="64">
        <f>IFERROR(INDEX('1. Matriz de Activos'!$S$6:$S$239,MATCH($C1293,MgActId,0)),"")</f>
        <v/>
      </c>
      <c r="N1293" s="28">
        <f>IFERROR(INDEX(MgAmenDegD,MATCH(SUBSTITUTE($H1293,"*","-"),MgAmenClave,0)),"No aplica")</f>
        <v/>
      </c>
      <c r="O1293" s="28">
        <f>IFERROR(INDEX(MgAmenDegI,MATCH(SUBSTITUTE($H1293,"*","-"),MgAmenClave,0)),"No aplica")</f>
        <v/>
      </c>
      <c r="P1293" s="28">
        <f>IFERROR(INDEX(MgAmenDegC,MATCH(SUBSTITUTE($H1293,"*","-"),MgAmenClave,0)),"No aplica")</f>
        <v/>
      </c>
      <c r="Q1293" s="29">
        <f>IFERROR(VLOOKUP(K1293,MgValor,2,0)*VLOOKUP(N1293,MgDeg,2,0),0)</f>
        <v/>
      </c>
      <c r="R1293" s="29">
        <f>IFERROR(VLOOKUP(L1293,MgValor,2,0)*VLOOKUP(O1293,MgDeg,2,0),0)</f>
        <v/>
      </c>
      <c r="S1293" s="29">
        <f>IFERROR(VLOOKUP(M1293,MgValor,2,0)*VLOOKUP(P1293,MgDeg,2,0),0)</f>
        <v/>
      </c>
      <c r="T1293" s="30">
        <f>MAX(Q1293:S1293)</f>
        <v/>
      </c>
      <c r="U1293" s="28">
        <f>IFERROR(LOOKUP(T1293,{0;0.5;1.5;3;4.5},{"Despreciable";"Bajo";"Medio";"Alto";"Muy alto"}),"")</f>
        <v/>
      </c>
      <c r="V1293" s="13">
        <f>IFERROR(INDEX(MgAmenFrec,MATCH(SUBSTITUTE($H1293,"*","-"),MgAmenClave,0)),"")</f>
        <v/>
      </c>
      <c r="W1293" s="28">
        <f>IFERROR(LOOKUP(X1293,{0;0.01;0.1;1;10;100},{"Muy baja";"Muy baja";"Baja";"Media";"Alta";"Muy alta"}),"")</f>
        <v/>
      </c>
      <c r="X1293" s="31">
        <f>IFERROR(VLOOKUP(V1293,MgFrec,2,0),0)</f>
        <v/>
      </c>
      <c r="Y1293" s="30">
        <f>T1293*X1293</f>
        <v/>
      </c>
      <c r="Z1293" s="28">
        <f>IFERROR(LOOKUP(Y1293,{0;0.5;5;25},{"Bajo";"Medio";"Alto";"Crítico"}),"")</f>
        <v/>
      </c>
      <c r="AA1293" s="64">
        <f>IF(T1293&gt;=3,IF(X1293&gt;=1,"Zona 1 — Crítica: impacto alto y ocurre al menos una vez al año","Zona 4 — Catastrófica poco probable: impacto alto pero excepcional"),IF(AND(T1293&lt;1.5,X1293&lt;1),"Zona 3 — Asumible: impacto bajo y muy poco frecuente","Zona 2 — Atención: riesgo intermedio"))</f>
        <v/>
      </c>
      <c r="AB1293" s="64">
        <f>IFERROR(INDEX(MgAmenCtrl,MATCH(SUBSTITUTE($H1293,"*","-"),MgAmenClave,0)),"")</f>
        <v/>
      </c>
      <c r="AC1293" s="20" t="n"/>
      <c r="AD1293" s="31">
        <f>IFERROR($X1293*(1-IF($AC1293="",$AL1293,VLOOKUP($AC1293,MgMad,2,0))),"")</f>
        <v/>
      </c>
      <c r="AE1293" s="28">
        <f>IFERROR(LOOKUP(AD1293,{0;0.01;0.1;1;10;100},{"Muy baja";"Muy baja";"Baja";"Media";"Alta";"Muy alta"}),"")</f>
        <v/>
      </c>
      <c r="AF1293" s="30">
        <f>T1293*AD1293</f>
        <v/>
      </c>
      <c r="AG1293" s="28">
        <f>IFERROR(LOOKUP(AF1293,{0;0.5;5;25},{"Bajo";"Medio";"Alto";"Crítico"}),"")</f>
        <v/>
      </c>
      <c r="AH1293" s="28">
        <f>IF(AG1293="","",IF(OR(AG1293="Crítico",AG1293="Alto"),"Mitigar",IF(AG1293="Medio","Mitigar","Aceptar y monitorear")))</f>
        <v/>
      </c>
      <c r="AI1293" s="21" t="n"/>
      <c r="AJ1293" s="21" t="n"/>
      <c r="AK1293" s="20" t="n"/>
      <c r="AL1293" s="77">
        <f>IFERROR(INDEX(MgAmenEfic,MATCH(SUBSTITUTE($H1293,"*","-"),MgAmenClave,0)),0)</f>
        <v/>
      </c>
    </row>
    <row r="1294" hidden="1" ht="60" customHeight="1" s="54">
      <c r="B1294" s="59" t="inlineStr">
        <is>
          <t>R-1289</t>
        </is>
      </c>
      <c r="C1294" s="59" t="inlineStr">
        <is>
          <t>GH-050</t>
        </is>
      </c>
      <c r="D1294" s="64">
        <f>IFERROR(INDEX(MgNombre,MATCH($C1294,MgActId,0)),"")</f>
        <v/>
      </c>
      <c r="E1294" s="64">
        <f>IFERROR(INDEX(MgProceso,MATCH($C1294,MgActId,0)),"")</f>
        <v/>
      </c>
      <c r="F1294" s="64">
        <f>IFERROR(INDEX(MgTipo,MATCH($C1294,MgActId,0)),"")</f>
        <v/>
      </c>
      <c r="G1294" s="64">
        <f>IFERROR(INDEX(MgSubtipo,MATCH($C1294,MgActId,0)),"")</f>
        <v/>
      </c>
      <c r="H1294" s="59" t="inlineStr">
        <is>
          <t>A.3</t>
        </is>
      </c>
      <c r="I1294" s="64">
        <f>IFERROR(INDEX(MgAmenNombre,MATCH(SUBSTITUTE($H1294,"*","-"),MgAmenClave,0)),"")</f>
        <v/>
      </c>
      <c r="J1294" s="28">
        <f>IFERROR(INDEX(MgAmenGrupo,MATCH(SUBSTITUTE($H1294,"*","-"),MgAmenClave,0)),"")</f>
        <v/>
      </c>
      <c r="K1294" s="64">
        <f>IFERROR(INDEX('1. Matriz de Activos'!$Q$6:$Q$239,MATCH($C1294,MgActId,0)),"")</f>
        <v/>
      </c>
      <c r="L1294" s="64">
        <f>IFERROR(INDEX('1. Matriz de Activos'!$R$6:$R$239,MATCH($C1294,MgActId,0)),"")</f>
        <v/>
      </c>
      <c r="M1294" s="64">
        <f>IFERROR(INDEX('1. Matriz de Activos'!$S$6:$S$239,MATCH($C1294,MgActId,0)),"")</f>
        <v/>
      </c>
      <c r="N1294" s="28">
        <f>IFERROR(INDEX(MgAmenDegD,MATCH(SUBSTITUTE($H1294,"*","-"),MgAmenClave,0)),"No aplica")</f>
        <v/>
      </c>
      <c r="O1294" s="28">
        <f>IFERROR(INDEX(MgAmenDegI,MATCH(SUBSTITUTE($H1294,"*","-"),MgAmenClave,0)),"No aplica")</f>
        <v/>
      </c>
      <c r="P1294" s="28">
        <f>IFERROR(INDEX(MgAmenDegC,MATCH(SUBSTITUTE($H1294,"*","-"),MgAmenClave,0)),"No aplica")</f>
        <v/>
      </c>
      <c r="Q1294" s="29">
        <f>IFERROR(VLOOKUP(K1294,MgValor,2,0)*VLOOKUP(N1294,MgDeg,2,0),0)</f>
        <v/>
      </c>
      <c r="R1294" s="29">
        <f>IFERROR(VLOOKUP(L1294,MgValor,2,0)*VLOOKUP(O1294,MgDeg,2,0),0)</f>
        <v/>
      </c>
      <c r="S1294" s="29">
        <f>IFERROR(VLOOKUP(M1294,MgValor,2,0)*VLOOKUP(P1294,MgDeg,2,0),0)</f>
        <v/>
      </c>
      <c r="T1294" s="30">
        <f>MAX(Q1294:S1294)</f>
        <v/>
      </c>
      <c r="U1294" s="28">
        <f>IFERROR(LOOKUP(T1294,{0;0.5;1.5;3;4.5},{"Despreciable";"Bajo";"Medio";"Alto";"Muy alto"}),"")</f>
        <v/>
      </c>
      <c r="V1294" s="13">
        <f>IFERROR(INDEX(MgAmenFrec,MATCH(SUBSTITUTE($H1294,"*","-"),MgAmenClave,0)),"")</f>
        <v/>
      </c>
      <c r="W1294" s="28">
        <f>IFERROR(LOOKUP(X1294,{0;0.01;0.1;1;10;100},{"Muy baja";"Muy baja";"Baja";"Media";"Alta";"Muy alta"}),"")</f>
        <v/>
      </c>
      <c r="X1294" s="31">
        <f>IFERROR(VLOOKUP(V1294,MgFrec,2,0),0)</f>
        <v/>
      </c>
      <c r="Y1294" s="30">
        <f>T1294*X1294</f>
        <v/>
      </c>
      <c r="Z1294" s="28">
        <f>IFERROR(LOOKUP(Y1294,{0;0.5;5;25},{"Bajo";"Medio";"Alto";"Crítico"}),"")</f>
        <v/>
      </c>
      <c r="AA1294" s="64">
        <f>IF(T1294&gt;=3,IF(X1294&gt;=1,"Zona 1 — Crítica: impacto alto y ocurre al menos una vez al año","Zona 4 — Catastrófica poco probable: impacto alto pero excepcional"),IF(AND(T1294&lt;1.5,X1294&lt;1),"Zona 3 — Asumible: impacto bajo y muy poco frecuente","Zona 2 — Atención: riesgo intermedio"))</f>
        <v/>
      </c>
      <c r="AB1294" s="64">
        <f>IFERROR(INDEX(MgAmenCtrl,MATCH(SUBSTITUTE($H1294,"*","-"),MgAmenClave,0)),"")</f>
        <v/>
      </c>
      <c r="AC1294" s="20" t="n"/>
      <c r="AD1294" s="31">
        <f>IFERROR($X1294*(1-IF($AC1294="",$AL1294,VLOOKUP($AC1294,MgMad,2,0))),"")</f>
        <v/>
      </c>
      <c r="AE1294" s="28">
        <f>IFERROR(LOOKUP(AD1294,{0;0.01;0.1;1;10;100},{"Muy baja";"Muy baja";"Baja";"Media";"Alta";"Muy alta"}),"")</f>
        <v/>
      </c>
      <c r="AF1294" s="30">
        <f>T1294*AD1294</f>
        <v/>
      </c>
      <c r="AG1294" s="28">
        <f>IFERROR(LOOKUP(AF1294,{0;0.5;5;25},{"Bajo";"Medio";"Alto";"Crítico"}),"")</f>
        <v/>
      </c>
      <c r="AH1294" s="28">
        <f>IF(AG1294="","",IF(OR(AG1294="Crítico",AG1294="Alto"),"Mitigar",IF(AG1294="Medio","Mitigar","Aceptar y monitorear")))</f>
        <v/>
      </c>
      <c r="AI1294" s="21" t="n"/>
      <c r="AJ1294" s="21" t="n"/>
      <c r="AK1294" s="20" t="n"/>
      <c r="AL1294" s="77">
        <f>IFERROR(INDEX(MgAmenEfic,MATCH(SUBSTITUTE($H1294,"*","-"),MgAmenClave,0)),0)</f>
        <v/>
      </c>
    </row>
    <row r="1295" hidden="1" ht="60" customHeight="1" s="54">
      <c r="B1295" s="59" t="inlineStr">
        <is>
          <t>R-1290</t>
        </is>
      </c>
      <c r="C1295" s="59" t="inlineStr">
        <is>
          <t>GH-050</t>
        </is>
      </c>
      <c r="D1295" s="64">
        <f>IFERROR(INDEX(MgNombre,MATCH($C1295,MgActId,0)),"")</f>
        <v/>
      </c>
      <c r="E1295" s="64">
        <f>IFERROR(INDEX(MgProceso,MATCH($C1295,MgActId,0)),"")</f>
        <v/>
      </c>
      <c r="F1295" s="64">
        <f>IFERROR(INDEX(MgTipo,MATCH($C1295,MgActId,0)),"")</f>
        <v/>
      </c>
      <c r="G1295" s="64">
        <f>IFERROR(INDEX(MgSubtipo,MATCH($C1295,MgActId,0)),"")</f>
        <v/>
      </c>
      <c r="H1295" s="59" t="inlineStr">
        <is>
          <t>A.4</t>
        </is>
      </c>
      <c r="I1295" s="64">
        <f>IFERROR(INDEX(MgAmenNombre,MATCH(SUBSTITUTE($H1295,"*","-"),MgAmenClave,0)),"")</f>
        <v/>
      </c>
      <c r="J1295" s="28">
        <f>IFERROR(INDEX(MgAmenGrupo,MATCH(SUBSTITUTE($H1295,"*","-"),MgAmenClave,0)),"")</f>
        <v/>
      </c>
      <c r="K1295" s="64">
        <f>IFERROR(INDEX('1. Matriz de Activos'!$Q$6:$Q$239,MATCH($C1295,MgActId,0)),"")</f>
        <v/>
      </c>
      <c r="L1295" s="64">
        <f>IFERROR(INDEX('1. Matriz de Activos'!$R$6:$R$239,MATCH($C1295,MgActId,0)),"")</f>
        <v/>
      </c>
      <c r="M1295" s="64">
        <f>IFERROR(INDEX('1. Matriz de Activos'!$S$6:$S$239,MATCH($C1295,MgActId,0)),"")</f>
        <v/>
      </c>
      <c r="N1295" s="28">
        <f>IFERROR(INDEX(MgAmenDegD,MATCH(SUBSTITUTE($H1295,"*","-"),MgAmenClave,0)),"No aplica")</f>
        <v/>
      </c>
      <c r="O1295" s="28">
        <f>IFERROR(INDEX(MgAmenDegI,MATCH(SUBSTITUTE($H1295,"*","-"),MgAmenClave,0)),"No aplica")</f>
        <v/>
      </c>
      <c r="P1295" s="28">
        <f>IFERROR(INDEX(MgAmenDegC,MATCH(SUBSTITUTE($H1295,"*","-"),MgAmenClave,0)),"No aplica")</f>
        <v/>
      </c>
      <c r="Q1295" s="29">
        <f>IFERROR(VLOOKUP(K1295,MgValor,2,0)*VLOOKUP(N1295,MgDeg,2,0),0)</f>
        <v/>
      </c>
      <c r="R1295" s="29">
        <f>IFERROR(VLOOKUP(L1295,MgValor,2,0)*VLOOKUP(O1295,MgDeg,2,0),0)</f>
        <v/>
      </c>
      <c r="S1295" s="29">
        <f>IFERROR(VLOOKUP(M1295,MgValor,2,0)*VLOOKUP(P1295,MgDeg,2,0),0)</f>
        <v/>
      </c>
      <c r="T1295" s="30">
        <f>MAX(Q1295:S1295)</f>
        <v/>
      </c>
      <c r="U1295" s="28">
        <f>IFERROR(LOOKUP(T1295,{0;0.5;1.5;3;4.5},{"Despreciable";"Bajo";"Medio";"Alto";"Muy alto"}),"")</f>
        <v/>
      </c>
      <c r="V1295" s="13">
        <f>IFERROR(INDEX(MgAmenFrec,MATCH(SUBSTITUTE($H1295,"*","-"),MgAmenClave,0)),"")</f>
        <v/>
      </c>
      <c r="W1295" s="28">
        <f>IFERROR(LOOKUP(X1295,{0;0.01;0.1;1;10;100},{"Muy baja";"Muy baja";"Baja";"Media";"Alta";"Muy alta"}),"")</f>
        <v/>
      </c>
      <c r="X1295" s="31">
        <f>IFERROR(VLOOKUP(V1295,MgFrec,2,0),0)</f>
        <v/>
      </c>
      <c r="Y1295" s="30">
        <f>T1295*X1295</f>
        <v/>
      </c>
      <c r="Z1295" s="28">
        <f>IFERROR(LOOKUP(Y1295,{0;0.5;5;25},{"Bajo";"Medio";"Alto";"Crítico"}),"")</f>
        <v/>
      </c>
      <c r="AA1295" s="64">
        <f>IF(T1295&gt;=3,IF(X1295&gt;=1,"Zona 1 — Crítica: impacto alto y ocurre al menos una vez al año","Zona 4 — Catastrófica poco probable: impacto alto pero excepcional"),IF(AND(T1295&lt;1.5,X1295&lt;1),"Zona 3 — Asumible: impacto bajo y muy poco frecuente","Zona 2 — Atención: riesgo intermedio"))</f>
        <v/>
      </c>
      <c r="AB1295" s="64">
        <f>IFERROR(INDEX(MgAmenCtrl,MATCH(SUBSTITUTE($H1295,"*","-"),MgAmenClave,0)),"")</f>
        <v/>
      </c>
      <c r="AC1295" s="20" t="n"/>
      <c r="AD1295" s="31">
        <f>IFERROR($X1295*(1-IF($AC1295="",$AL1295,VLOOKUP($AC1295,MgMad,2,0))),"")</f>
        <v/>
      </c>
      <c r="AE1295" s="28">
        <f>IFERROR(LOOKUP(AD1295,{0;0.01;0.1;1;10;100},{"Muy baja";"Muy baja";"Baja";"Media";"Alta";"Muy alta"}),"")</f>
        <v/>
      </c>
      <c r="AF1295" s="30">
        <f>T1295*AD1295</f>
        <v/>
      </c>
      <c r="AG1295" s="28">
        <f>IFERROR(LOOKUP(AF1295,{0;0.5;5;25},{"Bajo";"Medio";"Alto";"Crítico"}),"")</f>
        <v/>
      </c>
      <c r="AH1295" s="28">
        <f>IF(AG1295="","",IF(OR(AG1295="Crítico",AG1295="Alto"),"Mitigar",IF(AG1295="Medio","Mitigar","Aceptar y monitorear")))</f>
        <v/>
      </c>
      <c r="AI1295" s="21" t="n"/>
      <c r="AJ1295" s="21" t="n"/>
      <c r="AK1295" s="20" t="n"/>
      <c r="AL1295" s="77">
        <f>IFERROR(INDEX(MgAmenEfic,MATCH(SUBSTITUTE($H1295,"*","-"),MgAmenClave,0)),0)</f>
        <v/>
      </c>
    </row>
    <row r="1296" hidden="1" ht="75" customHeight="1" s="54">
      <c r="B1296" s="59" t="inlineStr">
        <is>
          <t>R-1291</t>
        </is>
      </c>
      <c r="C1296" s="59" t="inlineStr">
        <is>
          <t>GH-050</t>
        </is>
      </c>
      <c r="D1296" s="64">
        <f>IFERROR(INDEX(MgNombre,MATCH($C1296,MgActId,0)),"")</f>
        <v/>
      </c>
      <c r="E1296" s="64">
        <f>IFERROR(INDEX(MgProceso,MATCH($C1296,MgActId,0)),"")</f>
        <v/>
      </c>
      <c r="F1296" s="64">
        <f>IFERROR(INDEX(MgTipo,MATCH($C1296,MgActId,0)),"")</f>
        <v/>
      </c>
      <c r="G1296" s="64">
        <f>IFERROR(INDEX(MgSubtipo,MATCH($C1296,MgActId,0)),"")</f>
        <v/>
      </c>
      <c r="H1296" s="59" t="inlineStr">
        <is>
          <t>A.5</t>
        </is>
      </c>
      <c r="I1296" s="64">
        <f>IFERROR(INDEX(MgAmenNombre,MATCH(SUBSTITUTE($H1296,"*","-"),MgAmenClave,0)),"")</f>
        <v/>
      </c>
      <c r="J1296" s="28">
        <f>IFERROR(INDEX(MgAmenGrupo,MATCH(SUBSTITUTE($H1296,"*","-"),MgAmenClave,0)),"")</f>
        <v/>
      </c>
      <c r="K1296" s="64">
        <f>IFERROR(INDEX('1. Matriz de Activos'!$Q$6:$Q$239,MATCH($C1296,MgActId,0)),"")</f>
        <v/>
      </c>
      <c r="L1296" s="64">
        <f>IFERROR(INDEX('1. Matriz de Activos'!$R$6:$R$239,MATCH($C1296,MgActId,0)),"")</f>
        <v/>
      </c>
      <c r="M1296" s="64">
        <f>IFERROR(INDEX('1. Matriz de Activos'!$S$6:$S$239,MATCH($C1296,MgActId,0)),"")</f>
        <v/>
      </c>
      <c r="N1296" s="28">
        <f>IFERROR(INDEX(MgAmenDegD,MATCH(SUBSTITUTE($H1296,"*","-"),MgAmenClave,0)),"No aplica")</f>
        <v/>
      </c>
      <c r="O1296" s="28">
        <f>IFERROR(INDEX(MgAmenDegI,MATCH(SUBSTITUTE($H1296,"*","-"),MgAmenClave,0)),"No aplica")</f>
        <v/>
      </c>
      <c r="P1296" s="28">
        <f>IFERROR(INDEX(MgAmenDegC,MATCH(SUBSTITUTE($H1296,"*","-"),MgAmenClave,0)),"No aplica")</f>
        <v/>
      </c>
      <c r="Q1296" s="29">
        <f>IFERROR(VLOOKUP(K1296,MgValor,2,0)*VLOOKUP(N1296,MgDeg,2,0),0)</f>
        <v/>
      </c>
      <c r="R1296" s="29">
        <f>IFERROR(VLOOKUP(L1296,MgValor,2,0)*VLOOKUP(O1296,MgDeg,2,0),0)</f>
        <v/>
      </c>
      <c r="S1296" s="29">
        <f>IFERROR(VLOOKUP(M1296,MgValor,2,0)*VLOOKUP(P1296,MgDeg,2,0),0)</f>
        <v/>
      </c>
      <c r="T1296" s="30">
        <f>MAX(Q1296:S1296)</f>
        <v/>
      </c>
      <c r="U1296" s="28">
        <f>IFERROR(LOOKUP(T1296,{0;0.5;1.5;3;4.5},{"Despreciable";"Bajo";"Medio";"Alto";"Muy alto"}),"")</f>
        <v/>
      </c>
      <c r="V1296" s="13">
        <f>IFERROR(INDEX(MgAmenFrec,MATCH(SUBSTITUTE($H1296,"*","-"),MgAmenClave,0)),"")</f>
        <v/>
      </c>
      <c r="W1296" s="28">
        <f>IFERROR(LOOKUP(X1296,{0;0.01;0.1;1;10;100},{"Muy baja";"Muy baja";"Baja";"Media";"Alta";"Muy alta"}),"")</f>
        <v/>
      </c>
      <c r="X1296" s="31">
        <f>IFERROR(VLOOKUP(V1296,MgFrec,2,0),0)</f>
        <v/>
      </c>
      <c r="Y1296" s="30">
        <f>T1296*X1296</f>
        <v/>
      </c>
      <c r="Z1296" s="28">
        <f>IFERROR(LOOKUP(Y1296,{0;0.5;5;25},{"Bajo";"Medio";"Alto";"Crítico"}),"")</f>
        <v/>
      </c>
      <c r="AA1296" s="64">
        <f>IF(T1296&gt;=3,IF(X1296&gt;=1,"Zona 1 — Crítica: impacto alto y ocurre al menos una vez al año","Zona 4 — Catastrófica poco probable: impacto alto pero excepcional"),IF(AND(T1296&lt;1.5,X1296&lt;1),"Zona 3 — Asumible: impacto bajo y muy poco frecuente","Zona 2 — Atención: riesgo intermedio"))</f>
        <v/>
      </c>
      <c r="AB1296" s="64">
        <f>IFERROR(INDEX(MgAmenCtrl,MATCH(SUBSTITUTE($H1296,"*","-"),MgAmenClave,0)),"")</f>
        <v/>
      </c>
      <c r="AC1296" s="20" t="n"/>
      <c r="AD1296" s="31">
        <f>IFERROR($X1296*(1-IF($AC1296="",$AL1296,VLOOKUP($AC1296,MgMad,2,0))),"")</f>
        <v/>
      </c>
      <c r="AE1296" s="28">
        <f>IFERROR(LOOKUP(AD1296,{0;0.01;0.1;1;10;100},{"Muy baja";"Muy baja";"Baja";"Media";"Alta";"Muy alta"}),"")</f>
        <v/>
      </c>
      <c r="AF1296" s="30">
        <f>T1296*AD1296</f>
        <v/>
      </c>
      <c r="AG1296" s="28">
        <f>IFERROR(LOOKUP(AF1296,{0;0.5;5;25},{"Bajo";"Medio";"Alto";"Crítico"}),"")</f>
        <v/>
      </c>
      <c r="AH1296" s="28">
        <f>IF(AG1296="","",IF(OR(AG1296="Crítico",AG1296="Alto"),"Mitigar",IF(AG1296="Medio","Mitigar","Aceptar y monitorear")))</f>
        <v/>
      </c>
      <c r="AI1296" s="21" t="n"/>
      <c r="AJ1296" s="21" t="n"/>
      <c r="AK1296" s="20" t="n"/>
      <c r="AL1296" s="77">
        <f>IFERROR(INDEX(MgAmenEfic,MATCH(SUBSTITUTE($H1296,"*","-"),MgAmenClave,0)),0)</f>
        <v/>
      </c>
    </row>
    <row r="1297" hidden="1" ht="105" customHeight="1" s="54">
      <c r="B1297" s="59" t="inlineStr">
        <is>
          <t>R-1292</t>
        </is>
      </c>
      <c r="C1297" s="59" t="inlineStr">
        <is>
          <t>GH-050</t>
        </is>
      </c>
      <c r="D1297" s="64">
        <f>IFERROR(INDEX(MgNombre,MATCH($C1297,MgActId,0)),"")</f>
        <v/>
      </c>
      <c r="E1297" s="64">
        <f>IFERROR(INDEX(MgProceso,MATCH($C1297,MgActId,0)),"")</f>
        <v/>
      </c>
      <c r="F1297" s="64">
        <f>IFERROR(INDEX(MgTipo,MATCH($C1297,MgActId,0)),"")</f>
        <v/>
      </c>
      <c r="G1297" s="64">
        <f>IFERROR(INDEX(MgSubtipo,MATCH($C1297,MgActId,0)),"")</f>
        <v/>
      </c>
      <c r="H1297" s="59" t="inlineStr">
        <is>
          <t>A.6</t>
        </is>
      </c>
      <c r="I1297" s="64">
        <f>IFERROR(INDEX(MgAmenNombre,MATCH(SUBSTITUTE($H1297,"*","-"),MgAmenClave,0)),"")</f>
        <v/>
      </c>
      <c r="J1297" s="28">
        <f>IFERROR(INDEX(MgAmenGrupo,MATCH(SUBSTITUTE($H1297,"*","-"),MgAmenClave,0)),"")</f>
        <v/>
      </c>
      <c r="K1297" s="64">
        <f>IFERROR(INDEX('1. Matriz de Activos'!$Q$6:$Q$239,MATCH($C1297,MgActId,0)),"")</f>
        <v/>
      </c>
      <c r="L1297" s="64">
        <f>IFERROR(INDEX('1. Matriz de Activos'!$R$6:$R$239,MATCH($C1297,MgActId,0)),"")</f>
        <v/>
      </c>
      <c r="M1297" s="64">
        <f>IFERROR(INDEX('1. Matriz de Activos'!$S$6:$S$239,MATCH($C1297,MgActId,0)),"")</f>
        <v/>
      </c>
      <c r="N1297" s="28">
        <f>IFERROR(INDEX(MgAmenDegD,MATCH(SUBSTITUTE($H1297,"*","-"),MgAmenClave,0)),"No aplica")</f>
        <v/>
      </c>
      <c r="O1297" s="28">
        <f>IFERROR(INDEX(MgAmenDegI,MATCH(SUBSTITUTE($H1297,"*","-"),MgAmenClave,0)),"No aplica")</f>
        <v/>
      </c>
      <c r="P1297" s="28">
        <f>IFERROR(INDEX(MgAmenDegC,MATCH(SUBSTITUTE($H1297,"*","-"),MgAmenClave,0)),"No aplica")</f>
        <v/>
      </c>
      <c r="Q1297" s="29">
        <f>IFERROR(VLOOKUP(K1297,MgValor,2,0)*VLOOKUP(N1297,MgDeg,2,0),0)</f>
        <v/>
      </c>
      <c r="R1297" s="29">
        <f>IFERROR(VLOOKUP(L1297,MgValor,2,0)*VLOOKUP(O1297,MgDeg,2,0),0)</f>
        <v/>
      </c>
      <c r="S1297" s="29">
        <f>IFERROR(VLOOKUP(M1297,MgValor,2,0)*VLOOKUP(P1297,MgDeg,2,0),0)</f>
        <v/>
      </c>
      <c r="T1297" s="30">
        <f>MAX(Q1297:S1297)</f>
        <v/>
      </c>
      <c r="U1297" s="28">
        <f>IFERROR(LOOKUP(T1297,{0;0.5;1.5;3;4.5},{"Despreciable";"Bajo";"Medio";"Alto";"Muy alto"}),"")</f>
        <v/>
      </c>
      <c r="V1297" s="13">
        <f>IFERROR(INDEX(MgAmenFrec,MATCH(SUBSTITUTE($H1297,"*","-"),MgAmenClave,0)),"")</f>
        <v/>
      </c>
      <c r="W1297" s="28">
        <f>IFERROR(LOOKUP(X1297,{0;0.01;0.1;1;10;100},{"Muy baja";"Muy baja";"Baja";"Media";"Alta";"Muy alta"}),"")</f>
        <v/>
      </c>
      <c r="X1297" s="31">
        <f>IFERROR(VLOOKUP(V1297,MgFrec,2,0),0)</f>
        <v/>
      </c>
      <c r="Y1297" s="30">
        <f>T1297*X1297</f>
        <v/>
      </c>
      <c r="Z1297" s="28">
        <f>IFERROR(LOOKUP(Y1297,{0;0.5;5;25},{"Bajo";"Medio";"Alto";"Crítico"}),"")</f>
        <v/>
      </c>
      <c r="AA1297" s="64">
        <f>IF(T1297&gt;=3,IF(X1297&gt;=1,"Zona 1 — Crítica: impacto alto y ocurre al menos una vez al año","Zona 4 — Catastrófica poco probable: impacto alto pero excepcional"),IF(AND(T1297&lt;1.5,X1297&lt;1),"Zona 3 — Asumible: impacto bajo y muy poco frecuente","Zona 2 — Atención: riesgo intermedio"))</f>
        <v/>
      </c>
      <c r="AB1297" s="64">
        <f>IFERROR(INDEX(MgAmenCtrl,MATCH(SUBSTITUTE($H1297,"*","-"),MgAmenClave,0)),"")</f>
        <v/>
      </c>
      <c r="AC1297" s="20" t="n"/>
      <c r="AD1297" s="31">
        <f>IFERROR($X1297*(1-IF($AC1297="",$AL1297,VLOOKUP($AC1297,MgMad,2,0))),"")</f>
        <v/>
      </c>
      <c r="AE1297" s="28">
        <f>IFERROR(LOOKUP(AD1297,{0;0.01;0.1;1;10;100},{"Muy baja";"Muy baja";"Baja";"Media";"Alta";"Muy alta"}),"")</f>
        <v/>
      </c>
      <c r="AF1297" s="30">
        <f>T1297*AD1297</f>
        <v/>
      </c>
      <c r="AG1297" s="28">
        <f>IFERROR(LOOKUP(AF1297,{0;0.5;5;25},{"Bajo";"Medio";"Alto";"Crítico"}),"")</f>
        <v/>
      </c>
      <c r="AH1297" s="28">
        <f>IF(AG1297="","",IF(OR(AG1297="Crítico",AG1297="Alto"),"Mitigar",IF(AG1297="Medio","Mitigar","Aceptar y monitorear")))</f>
        <v/>
      </c>
      <c r="AI1297" s="21" t="n"/>
      <c r="AJ1297" s="21" t="n"/>
      <c r="AK1297" s="20" t="n"/>
      <c r="AL1297" s="77">
        <f>IFERROR(INDEX(MgAmenEfic,MATCH(SUBSTITUTE($H1297,"*","-"),MgAmenClave,0)),0)</f>
        <v/>
      </c>
    </row>
    <row r="1298" hidden="1" ht="120" customHeight="1" s="54">
      <c r="B1298" s="59" t="inlineStr">
        <is>
          <t>R-1293</t>
        </is>
      </c>
      <c r="C1298" s="59" t="inlineStr">
        <is>
          <t>GH-050</t>
        </is>
      </c>
      <c r="D1298" s="64">
        <f>IFERROR(INDEX(MgNombre,MATCH($C1298,MgActId,0)),"")</f>
        <v/>
      </c>
      <c r="E1298" s="64">
        <f>IFERROR(INDEX(MgProceso,MATCH($C1298,MgActId,0)),"")</f>
        <v/>
      </c>
      <c r="F1298" s="64">
        <f>IFERROR(INDEX(MgTipo,MATCH($C1298,MgActId,0)),"")</f>
        <v/>
      </c>
      <c r="G1298" s="64">
        <f>IFERROR(INDEX(MgSubtipo,MATCH($C1298,MgActId,0)),"")</f>
        <v/>
      </c>
      <c r="H1298" s="59" t="inlineStr">
        <is>
          <t>A.11</t>
        </is>
      </c>
      <c r="I1298" s="64">
        <f>IFERROR(INDEX(MgAmenNombre,MATCH(SUBSTITUTE($H1298,"*","-"),MgAmenClave,0)),"")</f>
        <v/>
      </c>
      <c r="J1298" s="28">
        <f>IFERROR(INDEX(MgAmenGrupo,MATCH(SUBSTITUTE($H1298,"*","-"),MgAmenClave,0)),"")</f>
        <v/>
      </c>
      <c r="K1298" s="64">
        <f>IFERROR(INDEX('1. Matriz de Activos'!$Q$6:$Q$239,MATCH($C1298,MgActId,0)),"")</f>
        <v/>
      </c>
      <c r="L1298" s="64">
        <f>IFERROR(INDEX('1. Matriz de Activos'!$R$6:$R$239,MATCH($C1298,MgActId,0)),"")</f>
        <v/>
      </c>
      <c r="M1298" s="64">
        <f>IFERROR(INDEX('1. Matriz de Activos'!$S$6:$S$239,MATCH($C1298,MgActId,0)),"")</f>
        <v/>
      </c>
      <c r="N1298" s="28">
        <f>IFERROR(INDEX(MgAmenDegD,MATCH(SUBSTITUTE($H1298,"*","-"),MgAmenClave,0)),"No aplica")</f>
        <v/>
      </c>
      <c r="O1298" s="28">
        <f>IFERROR(INDEX(MgAmenDegI,MATCH(SUBSTITUTE($H1298,"*","-"),MgAmenClave,0)),"No aplica")</f>
        <v/>
      </c>
      <c r="P1298" s="28">
        <f>IFERROR(INDEX(MgAmenDegC,MATCH(SUBSTITUTE($H1298,"*","-"),MgAmenClave,0)),"No aplica")</f>
        <v/>
      </c>
      <c r="Q1298" s="29">
        <f>IFERROR(VLOOKUP(K1298,MgValor,2,0)*VLOOKUP(N1298,MgDeg,2,0),0)</f>
        <v/>
      </c>
      <c r="R1298" s="29">
        <f>IFERROR(VLOOKUP(L1298,MgValor,2,0)*VLOOKUP(O1298,MgDeg,2,0),0)</f>
        <v/>
      </c>
      <c r="S1298" s="29">
        <f>IFERROR(VLOOKUP(M1298,MgValor,2,0)*VLOOKUP(P1298,MgDeg,2,0),0)</f>
        <v/>
      </c>
      <c r="T1298" s="30">
        <f>MAX(Q1298:S1298)</f>
        <v/>
      </c>
      <c r="U1298" s="28">
        <f>IFERROR(LOOKUP(T1298,{0;0.5;1.5;3;4.5},{"Despreciable";"Bajo";"Medio";"Alto";"Muy alto"}),"")</f>
        <v/>
      </c>
      <c r="V1298" s="13">
        <f>IFERROR(INDEX(MgAmenFrec,MATCH(SUBSTITUTE($H1298,"*","-"),MgAmenClave,0)),"")</f>
        <v/>
      </c>
      <c r="W1298" s="28">
        <f>IFERROR(LOOKUP(X1298,{0;0.01;0.1;1;10;100},{"Muy baja";"Muy baja";"Baja";"Media";"Alta";"Muy alta"}),"")</f>
        <v/>
      </c>
      <c r="X1298" s="31">
        <f>IFERROR(VLOOKUP(V1298,MgFrec,2,0),0)</f>
        <v/>
      </c>
      <c r="Y1298" s="30">
        <f>T1298*X1298</f>
        <v/>
      </c>
      <c r="Z1298" s="28">
        <f>IFERROR(LOOKUP(Y1298,{0;0.5;5;25},{"Bajo";"Medio";"Alto";"Crítico"}),"")</f>
        <v/>
      </c>
      <c r="AA1298" s="64">
        <f>IF(T1298&gt;=3,IF(X1298&gt;=1,"Zona 1 — Crítica: impacto alto y ocurre al menos una vez al año","Zona 4 — Catastrófica poco probable: impacto alto pero excepcional"),IF(AND(T1298&lt;1.5,X1298&lt;1),"Zona 3 — Asumible: impacto bajo y muy poco frecuente","Zona 2 — Atención: riesgo intermedio"))</f>
        <v/>
      </c>
      <c r="AB1298" s="64">
        <f>IFERROR(INDEX(MgAmenCtrl,MATCH(SUBSTITUTE($H1298,"*","-"),MgAmenClave,0)),"")</f>
        <v/>
      </c>
      <c r="AC1298" s="20" t="n"/>
      <c r="AD1298" s="31">
        <f>IFERROR($X1298*(1-IF($AC1298="",$AL1298,VLOOKUP($AC1298,MgMad,2,0))),"")</f>
        <v/>
      </c>
      <c r="AE1298" s="28">
        <f>IFERROR(LOOKUP(AD1298,{0;0.01;0.1;1;10;100},{"Muy baja";"Muy baja";"Baja";"Media";"Alta";"Muy alta"}),"")</f>
        <v/>
      </c>
      <c r="AF1298" s="30">
        <f>T1298*AD1298</f>
        <v/>
      </c>
      <c r="AG1298" s="28">
        <f>IFERROR(LOOKUP(AF1298,{0;0.5;5;25},{"Bajo";"Medio";"Alto";"Crítico"}),"")</f>
        <v/>
      </c>
      <c r="AH1298" s="28">
        <f>IF(AG1298="","",IF(OR(AG1298="Crítico",AG1298="Alto"),"Mitigar",IF(AG1298="Medio","Mitigar","Aceptar y monitorear")))</f>
        <v/>
      </c>
      <c r="AI1298" s="21" t="n"/>
      <c r="AJ1298" s="21" t="n"/>
      <c r="AK1298" s="20" t="n"/>
      <c r="AL1298" s="77">
        <f>IFERROR(INDEX(MgAmenEfic,MATCH(SUBSTITUTE($H1298,"*","-"),MgAmenClave,0)),0)</f>
        <v/>
      </c>
    </row>
    <row r="1299" hidden="1" ht="90" customHeight="1" s="54">
      <c r="B1299" s="59" t="inlineStr">
        <is>
          <t>R-1294</t>
        </is>
      </c>
      <c r="C1299" s="59" t="inlineStr">
        <is>
          <t>GH-050</t>
        </is>
      </c>
      <c r="D1299" s="64">
        <f>IFERROR(INDEX(MgNombre,MATCH($C1299,MgActId,0)),"")</f>
        <v/>
      </c>
      <c r="E1299" s="64">
        <f>IFERROR(INDEX(MgProceso,MATCH($C1299,MgActId,0)),"")</f>
        <v/>
      </c>
      <c r="F1299" s="64">
        <f>IFERROR(INDEX(MgTipo,MATCH($C1299,MgActId,0)),"")</f>
        <v/>
      </c>
      <c r="G1299" s="64">
        <f>IFERROR(INDEX(MgSubtipo,MATCH($C1299,MgActId,0)),"")</f>
        <v/>
      </c>
      <c r="H1299" s="59" t="inlineStr">
        <is>
          <t>A.13</t>
        </is>
      </c>
      <c r="I1299" s="64">
        <f>IFERROR(INDEX(MgAmenNombre,MATCH(SUBSTITUTE($H1299,"*","-"),MgAmenClave,0)),"")</f>
        <v/>
      </c>
      <c r="J1299" s="28">
        <f>IFERROR(INDEX(MgAmenGrupo,MATCH(SUBSTITUTE($H1299,"*","-"),MgAmenClave,0)),"")</f>
        <v/>
      </c>
      <c r="K1299" s="64">
        <f>IFERROR(INDEX('1. Matriz de Activos'!$Q$6:$Q$239,MATCH($C1299,MgActId,0)),"")</f>
        <v/>
      </c>
      <c r="L1299" s="64">
        <f>IFERROR(INDEX('1. Matriz de Activos'!$R$6:$R$239,MATCH($C1299,MgActId,0)),"")</f>
        <v/>
      </c>
      <c r="M1299" s="64">
        <f>IFERROR(INDEX('1. Matriz de Activos'!$S$6:$S$239,MATCH($C1299,MgActId,0)),"")</f>
        <v/>
      </c>
      <c r="N1299" s="28">
        <f>IFERROR(INDEX(MgAmenDegD,MATCH(SUBSTITUTE($H1299,"*","-"),MgAmenClave,0)),"No aplica")</f>
        <v/>
      </c>
      <c r="O1299" s="28">
        <f>IFERROR(INDEX(MgAmenDegI,MATCH(SUBSTITUTE($H1299,"*","-"),MgAmenClave,0)),"No aplica")</f>
        <v/>
      </c>
      <c r="P1299" s="28">
        <f>IFERROR(INDEX(MgAmenDegC,MATCH(SUBSTITUTE($H1299,"*","-"),MgAmenClave,0)),"No aplica")</f>
        <v/>
      </c>
      <c r="Q1299" s="29">
        <f>IFERROR(VLOOKUP(K1299,MgValor,2,0)*VLOOKUP(N1299,MgDeg,2,0),0)</f>
        <v/>
      </c>
      <c r="R1299" s="29">
        <f>IFERROR(VLOOKUP(L1299,MgValor,2,0)*VLOOKUP(O1299,MgDeg,2,0),0)</f>
        <v/>
      </c>
      <c r="S1299" s="29">
        <f>IFERROR(VLOOKUP(M1299,MgValor,2,0)*VLOOKUP(P1299,MgDeg,2,0),0)</f>
        <v/>
      </c>
      <c r="T1299" s="30">
        <f>MAX(Q1299:S1299)</f>
        <v/>
      </c>
      <c r="U1299" s="28">
        <f>IFERROR(LOOKUP(T1299,{0;0.5;1.5;3;4.5},{"Despreciable";"Bajo";"Medio";"Alto";"Muy alto"}),"")</f>
        <v/>
      </c>
      <c r="V1299" s="13">
        <f>IFERROR(INDEX(MgAmenFrec,MATCH(SUBSTITUTE($H1299,"*","-"),MgAmenClave,0)),"")</f>
        <v/>
      </c>
      <c r="W1299" s="28">
        <f>IFERROR(LOOKUP(X1299,{0;0.01;0.1;1;10;100},{"Muy baja";"Muy baja";"Baja";"Media";"Alta";"Muy alta"}),"")</f>
        <v/>
      </c>
      <c r="X1299" s="31">
        <f>IFERROR(VLOOKUP(V1299,MgFrec,2,0),0)</f>
        <v/>
      </c>
      <c r="Y1299" s="30">
        <f>T1299*X1299</f>
        <v/>
      </c>
      <c r="Z1299" s="28">
        <f>IFERROR(LOOKUP(Y1299,{0;0.5;5;25},{"Bajo";"Medio";"Alto";"Crítico"}),"")</f>
        <v/>
      </c>
      <c r="AA1299" s="64">
        <f>IF(T1299&gt;=3,IF(X1299&gt;=1,"Zona 1 — Crítica: impacto alto y ocurre al menos una vez al año","Zona 4 — Catastrófica poco probable: impacto alto pero excepcional"),IF(AND(T1299&lt;1.5,X1299&lt;1),"Zona 3 — Asumible: impacto bajo y muy poco frecuente","Zona 2 — Atención: riesgo intermedio"))</f>
        <v/>
      </c>
      <c r="AB1299" s="64">
        <f>IFERROR(INDEX(MgAmenCtrl,MATCH(SUBSTITUTE($H1299,"*","-"),MgAmenClave,0)),"")</f>
        <v/>
      </c>
      <c r="AC1299" s="20" t="n"/>
      <c r="AD1299" s="31">
        <f>IFERROR($X1299*(1-IF($AC1299="",$AL1299,VLOOKUP($AC1299,MgMad,2,0))),"")</f>
        <v/>
      </c>
      <c r="AE1299" s="28">
        <f>IFERROR(LOOKUP(AD1299,{0;0.01;0.1;1;10;100},{"Muy baja";"Muy baja";"Baja";"Media";"Alta";"Muy alta"}),"")</f>
        <v/>
      </c>
      <c r="AF1299" s="30">
        <f>T1299*AD1299</f>
        <v/>
      </c>
      <c r="AG1299" s="28">
        <f>IFERROR(LOOKUP(AF1299,{0;0.5;5;25},{"Bajo";"Medio";"Alto";"Crítico"}),"")</f>
        <v/>
      </c>
      <c r="AH1299" s="28">
        <f>IF(AG1299="","",IF(OR(AG1299="Crítico",AG1299="Alto"),"Mitigar",IF(AG1299="Medio","Mitigar","Aceptar y monitorear")))</f>
        <v/>
      </c>
      <c r="AI1299" s="21" t="n"/>
      <c r="AJ1299" s="21" t="n"/>
      <c r="AK1299" s="20" t="n"/>
      <c r="AL1299" s="77">
        <f>IFERROR(INDEX(MgAmenEfic,MATCH(SUBSTITUTE($H1299,"*","-"),MgAmenClave,0)),0)</f>
        <v/>
      </c>
    </row>
    <row r="1300" hidden="1" ht="60" customHeight="1" s="54">
      <c r="B1300" s="59" t="inlineStr">
        <is>
          <t>R-1295</t>
        </is>
      </c>
      <c r="C1300" s="59" t="inlineStr">
        <is>
          <t>GH-050</t>
        </is>
      </c>
      <c r="D1300" s="64">
        <f>IFERROR(INDEX(MgNombre,MATCH($C1300,MgActId,0)),"")</f>
        <v/>
      </c>
      <c r="E1300" s="64">
        <f>IFERROR(INDEX(MgProceso,MATCH($C1300,MgActId,0)),"")</f>
        <v/>
      </c>
      <c r="F1300" s="64">
        <f>IFERROR(INDEX(MgTipo,MATCH($C1300,MgActId,0)),"")</f>
        <v/>
      </c>
      <c r="G1300" s="64">
        <f>IFERROR(INDEX(MgSubtipo,MATCH($C1300,MgActId,0)),"")</f>
        <v/>
      </c>
      <c r="H1300" s="59" t="inlineStr">
        <is>
          <t>A.15</t>
        </is>
      </c>
      <c r="I1300" s="64">
        <f>IFERROR(INDEX(MgAmenNombre,MATCH(SUBSTITUTE($H1300,"*","-"),MgAmenClave,0)),"")</f>
        <v/>
      </c>
      <c r="J1300" s="28">
        <f>IFERROR(INDEX(MgAmenGrupo,MATCH(SUBSTITUTE($H1300,"*","-"),MgAmenClave,0)),"")</f>
        <v/>
      </c>
      <c r="K1300" s="64">
        <f>IFERROR(INDEX('1. Matriz de Activos'!$Q$6:$Q$239,MATCH($C1300,MgActId,0)),"")</f>
        <v/>
      </c>
      <c r="L1300" s="64">
        <f>IFERROR(INDEX('1. Matriz de Activos'!$R$6:$R$239,MATCH($C1300,MgActId,0)),"")</f>
        <v/>
      </c>
      <c r="M1300" s="64">
        <f>IFERROR(INDEX('1. Matriz de Activos'!$S$6:$S$239,MATCH($C1300,MgActId,0)),"")</f>
        <v/>
      </c>
      <c r="N1300" s="28">
        <f>IFERROR(INDEX(MgAmenDegD,MATCH(SUBSTITUTE($H1300,"*","-"),MgAmenClave,0)),"No aplica")</f>
        <v/>
      </c>
      <c r="O1300" s="28">
        <f>IFERROR(INDEX(MgAmenDegI,MATCH(SUBSTITUTE($H1300,"*","-"),MgAmenClave,0)),"No aplica")</f>
        <v/>
      </c>
      <c r="P1300" s="28">
        <f>IFERROR(INDEX(MgAmenDegC,MATCH(SUBSTITUTE($H1300,"*","-"),MgAmenClave,0)),"No aplica")</f>
        <v/>
      </c>
      <c r="Q1300" s="29">
        <f>IFERROR(VLOOKUP(K1300,MgValor,2,0)*VLOOKUP(N1300,MgDeg,2,0),0)</f>
        <v/>
      </c>
      <c r="R1300" s="29">
        <f>IFERROR(VLOOKUP(L1300,MgValor,2,0)*VLOOKUP(O1300,MgDeg,2,0),0)</f>
        <v/>
      </c>
      <c r="S1300" s="29">
        <f>IFERROR(VLOOKUP(M1300,MgValor,2,0)*VLOOKUP(P1300,MgDeg,2,0),0)</f>
        <v/>
      </c>
      <c r="T1300" s="30">
        <f>MAX(Q1300:S1300)</f>
        <v/>
      </c>
      <c r="U1300" s="28">
        <f>IFERROR(LOOKUP(T1300,{0;0.5;1.5;3;4.5},{"Despreciable";"Bajo";"Medio";"Alto";"Muy alto"}),"")</f>
        <v/>
      </c>
      <c r="V1300" s="13">
        <f>IFERROR(INDEX(MgAmenFrec,MATCH(SUBSTITUTE($H1300,"*","-"),MgAmenClave,0)),"")</f>
        <v/>
      </c>
      <c r="W1300" s="28">
        <f>IFERROR(LOOKUP(X1300,{0;0.01;0.1;1;10;100},{"Muy baja";"Muy baja";"Baja";"Media";"Alta";"Muy alta"}),"")</f>
        <v/>
      </c>
      <c r="X1300" s="31">
        <f>IFERROR(VLOOKUP(V1300,MgFrec,2,0),0)</f>
        <v/>
      </c>
      <c r="Y1300" s="30">
        <f>T1300*X1300</f>
        <v/>
      </c>
      <c r="Z1300" s="28">
        <f>IFERROR(LOOKUP(Y1300,{0;0.5;5;25},{"Bajo";"Medio";"Alto";"Crítico"}),"")</f>
        <v/>
      </c>
      <c r="AA1300" s="64">
        <f>IF(T1300&gt;=3,IF(X1300&gt;=1,"Zona 1 — Crítica: impacto alto y ocurre al menos una vez al año","Zona 4 — Catastrófica poco probable: impacto alto pero excepcional"),IF(AND(T1300&lt;1.5,X1300&lt;1),"Zona 3 — Asumible: impacto bajo y muy poco frecuente","Zona 2 — Atención: riesgo intermedio"))</f>
        <v/>
      </c>
      <c r="AB1300" s="64">
        <f>IFERROR(INDEX(MgAmenCtrl,MATCH(SUBSTITUTE($H1300,"*","-"),MgAmenClave,0)),"")</f>
        <v/>
      </c>
      <c r="AC1300" s="20" t="n"/>
      <c r="AD1300" s="31">
        <f>IFERROR($X1300*(1-IF($AC1300="",$AL1300,VLOOKUP($AC1300,MgMad,2,0))),"")</f>
        <v/>
      </c>
      <c r="AE1300" s="28">
        <f>IFERROR(LOOKUP(AD1300,{0;0.01;0.1;1;10;100},{"Muy baja";"Muy baja";"Baja";"Media";"Alta";"Muy alta"}),"")</f>
        <v/>
      </c>
      <c r="AF1300" s="30">
        <f>T1300*AD1300</f>
        <v/>
      </c>
      <c r="AG1300" s="28">
        <f>IFERROR(LOOKUP(AF1300,{0;0.5;5;25},{"Bajo";"Medio";"Alto";"Crítico"}),"")</f>
        <v/>
      </c>
      <c r="AH1300" s="28">
        <f>IF(AG1300="","",IF(OR(AG1300="Crítico",AG1300="Alto"),"Mitigar",IF(AG1300="Medio","Mitigar","Aceptar y monitorear")))</f>
        <v/>
      </c>
      <c r="AI1300" s="21" t="n"/>
      <c r="AJ1300" s="21" t="n"/>
      <c r="AK1300" s="20" t="n"/>
      <c r="AL1300" s="77">
        <f>IFERROR(INDEX(MgAmenEfic,MATCH(SUBSTITUTE($H1300,"*","-"),MgAmenClave,0)),0)</f>
        <v/>
      </c>
    </row>
    <row r="1301" hidden="1" ht="60" customHeight="1" s="54">
      <c r="B1301" s="59" t="inlineStr">
        <is>
          <t>R-1296</t>
        </is>
      </c>
      <c r="C1301" s="59" t="inlineStr">
        <is>
          <t>GH-050</t>
        </is>
      </c>
      <c r="D1301" s="64">
        <f>IFERROR(INDEX(MgNombre,MATCH($C1301,MgActId,0)),"")</f>
        <v/>
      </c>
      <c r="E1301" s="64">
        <f>IFERROR(INDEX(MgProceso,MATCH($C1301,MgActId,0)),"")</f>
        <v/>
      </c>
      <c r="F1301" s="64">
        <f>IFERROR(INDEX(MgTipo,MATCH($C1301,MgActId,0)),"")</f>
        <v/>
      </c>
      <c r="G1301" s="64">
        <f>IFERROR(INDEX(MgSubtipo,MATCH($C1301,MgActId,0)),"")</f>
        <v/>
      </c>
      <c r="H1301" s="59" t="inlineStr">
        <is>
          <t>A.18</t>
        </is>
      </c>
      <c r="I1301" s="64">
        <f>IFERROR(INDEX(MgAmenNombre,MATCH(SUBSTITUTE($H1301,"*","-"),MgAmenClave,0)),"")</f>
        <v/>
      </c>
      <c r="J1301" s="28">
        <f>IFERROR(INDEX(MgAmenGrupo,MATCH(SUBSTITUTE($H1301,"*","-"),MgAmenClave,0)),"")</f>
        <v/>
      </c>
      <c r="K1301" s="64">
        <f>IFERROR(INDEX('1. Matriz de Activos'!$Q$6:$Q$239,MATCH($C1301,MgActId,0)),"")</f>
        <v/>
      </c>
      <c r="L1301" s="64">
        <f>IFERROR(INDEX('1. Matriz de Activos'!$R$6:$R$239,MATCH($C1301,MgActId,0)),"")</f>
        <v/>
      </c>
      <c r="M1301" s="64">
        <f>IFERROR(INDEX('1. Matriz de Activos'!$S$6:$S$239,MATCH($C1301,MgActId,0)),"")</f>
        <v/>
      </c>
      <c r="N1301" s="28">
        <f>IFERROR(INDEX(MgAmenDegD,MATCH(SUBSTITUTE($H1301,"*","-"),MgAmenClave,0)),"No aplica")</f>
        <v/>
      </c>
      <c r="O1301" s="28">
        <f>IFERROR(INDEX(MgAmenDegI,MATCH(SUBSTITUTE($H1301,"*","-"),MgAmenClave,0)),"No aplica")</f>
        <v/>
      </c>
      <c r="P1301" s="28">
        <f>IFERROR(INDEX(MgAmenDegC,MATCH(SUBSTITUTE($H1301,"*","-"),MgAmenClave,0)),"No aplica")</f>
        <v/>
      </c>
      <c r="Q1301" s="29">
        <f>IFERROR(VLOOKUP(K1301,MgValor,2,0)*VLOOKUP(N1301,MgDeg,2,0),0)</f>
        <v/>
      </c>
      <c r="R1301" s="29">
        <f>IFERROR(VLOOKUP(L1301,MgValor,2,0)*VLOOKUP(O1301,MgDeg,2,0),0)</f>
        <v/>
      </c>
      <c r="S1301" s="29">
        <f>IFERROR(VLOOKUP(M1301,MgValor,2,0)*VLOOKUP(P1301,MgDeg,2,0),0)</f>
        <v/>
      </c>
      <c r="T1301" s="30">
        <f>MAX(Q1301:S1301)</f>
        <v/>
      </c>
      <c r="U1301" s="28">
        <f>IFERROR(LOOKUP(T1301,{0;0.5;1.5;3;4.5},{"Despreciable";"Bajo";"Medio";"Alto";"Muy alto"}),"")</f>
        <v/>
      </c>
      <c r="V1301" s="13">
        <f>IFERROR(INDEX(MgAmenFrec,MATCH(SUBSTITUTE($H1301,"*","-"),MgAmenClave,0)),"")</f>
        <v/>
      </c>
      <c r="W1301" s="28">
        <f>IFERROR(LOOKUP(X1301,{0;0.01;0.1;1;10;100},{"Muy baja";"Muy baja";"Baja";"Media";"Alta";"Muy alta"}),"")</f>
        <v/>
      </c>
      <c r="X1301" s="31">
        <f>IFERROR(VLOOKUP(V1301,MgFrec,2,0),0)</f>
        <v/>
      </c>
      <c r="Y1301" s="30">
        <f>T1301*X1301</f>
        <v/>
      </c>
      <c r="Z1301" s="28">
        <f>IFERROR(LOOKUP(Y1301,{0;0.5;5;25},{"Bajo";"Medio";"Alto";"Crítico"}),"")</f>
        <v/>
      </c>
      <c r="AA1301" s="64">
        <f>IF(T1301&gt;=3,IF(X1301&gt;=1,"Zona 1 — Crítica: impacto alto y ocurre al menos una vez al año","Zona 4 — Catastrófica poco probable: impacto alto pero excepcional"),IF(AND(T1301&lt;1.5,X1301&lt;1),"Zona 3 — Asumible: impacto bajo y muy poco frecuente","Zona 2 — Atención: riesgo intermedio"))</f>
        <v/>
      </c>
      <c r="AB1301" s="64">
        <f>IFERROR(INDEX(MgAmenCtrl,MATCH(SUBSTITUTE($H1301,"*","-"),MgAmenClave,0)),"")</f>
        <v/>
      </c>
      <c r="AC1301" s="20" t="n"/>
      <c r="AD1301" s="31">
        <f>IFERROR($X1301*(1-IF($AC1301="",$AL1301,VLOOKUP($AC1301,MgMad,2,0))),"")</f>
        <v/>
      </c>
      <c r="AE1301" s="28">
        <f>IFERROR(LOOKUP(AD1301,{0;0.01;0.1;1;10;100},{"Muy baja";"Muy baja";"Baja";"Media";"Alta";"Muy alta"}),"")</f>
        <v/>
      </c>
      <c r="AF1301" s="30">
        <f>T1301*AD1301</f>
        <v/>
      </c>
      <c r="AG1301" s="28">
        <f>IFERROR(LOOKUP(AF1301,{0;0.5;5;25},{"Bajo";"Medio";"Alto";"Crítico"}),"")</f>
        <v/>
      </c>
      <c r="AH1301" s="28">
        <f>IF(AG1301="","",IF(OR(AG1301="Crítico",AG1301="Alto"),"Mitigar",IF(AG1301="Medio","Mitigar","Aceptar y monitorear")))</f>
        <v/>
      </c>
      <c r="AI1301" s="21" t="n"/>
      <c r="AJ1301" s="21" t="n"/>
      <c r="AK1301" s="20" t="n"/>
      <c r="AL1301" s="77">
        <f>IFERROR(INDEX(MgAmenEfic,MATCH(SUBSTITUTE($H1301,"*","-"),MgAmenClave,0)),0)</f>
        <v/>
      </c>
    </row>
    <row r="1302" hidden="1" ht="120" customHeight="1" s="54">
      <c r="B1302" s="59" t="inlineStr">
        <is>
          <t>R-1297</t>
        </is>
      </c>
      <c r="C1302" s="59" t="inlineStr">
        <is>
          <t>GH-050</t>
        </is>
      </c>
      <c r="D1302" s="64">
        <f>IFERROR(INDEX(MgNombre,MATCH($C1302,MgActId,0)),"")</f>
        <v/>
      </c>
      <c r="E1302" s="64">
        <f>IFERROR(INDEX(MgProceso,MATCH($C1302,MgActId,0)),"")</f>
        <v/>
      </c>
      <c r="F1302" s="64">
        <f>IFERROR(INDEX(MgTipo,MATCH($C1302,MgActId,0)),"")</f>
        <v/>
      </c>
      <c r="G1302" s="64">
        <f>IFERROR(INDEX(MgSubtipo,MATCH($C1302,MgActId,0)),"")</f>
        <v/>
      </c>
      <c r="H1302" s="59" t="inlineStr">
        <is>
          <t>A.19</t>
        </is>
      </c>
      <c r="I1302" s="64">
        <f>IFERROR(INDEX(MgAmenNombre,MATCH(SUBSTITUTE($H1302,"*","-"),MgAmenClave,0)),"")</f>
        <v/>
      </c>
      <c r="J1302" s="28">
        <f>IFERROR(INDEX(MgAmenGrupo,MATCH(SUBSTITUTE($H1302,"*","-"),MgAmenClave,0)),"")</f>
        <v/>
      </c>
      <c r="K1302" s="64">
        <f>IFERROR(INDEX('1. Matriz de Activos'!$Q$6:$Q$239,MATCH($C1302,MgActId,0)),"")</f>
        <v/>
      </c>
      <c r="L1302" s="64">
        <f>IFERROR(INDEX('1. Matriz de Activos'!$R$6:$R$239,MATCH($C1302,MgActId,0)),"")</f>
        <v/>
      </c>
      <c r="M1302" s="64">
        <f>IFERROR(INDEX('1. Matriz de Activos'!$S$6:$S$239,MATCH($C1302,MgActId,0)),"")</f>
        <v/>
      </c>
      <c r="N1302" s="28">
        <f>IFERROR(INDEX(MgAmenDegD,MATCH(SUBSTITUTE($H1302,"*","-"),MgAmenClave,0)),"No aplica")</f>
        <v/>
      </c>
      <c r="O1302" s="28">
        <f>IFERROR(INDEX(MgAmenDegI,MATCH(SUBSTITUTE($H1302,"*","-"),MgAmenClave,0)),"No aplica")</f>
        <v/>
      </c>
      <c r="P1302" s="28">
        <f>IFERROR(INDEX(MgAmenDegC,MATCH(SUBSTITUTE($H1302,"*","-"),MgAmenClave,0)),"No aplica")</f>
        <v/>
      </c>
      <c r="Q1302" s="29">
        <f>IFERROR(VLOOKUP(K1302,MgValor,2,0)*VLOOKUP(N1302,MgDeg,2,0),0)</f>
        <v/>
      </c>
      <c r="R1302" s="29">
        <f>IFERROR(VLOOKUP(L1302,MgValor,2,0)*VLOOKUP(O1302,MgDeg,2,0),0)</f>
        <v/>
      </c>
      <c r="S1302" s="29">
        <f>IFERROR(VLOOKUP(M1302,MgValor,2,0)*VLOOKUP(P1302,MgDeg,2,0),0)</f>
        <v/>
      </c>
      <c r="T1302" s="30">
        <f>MAX(Q1302:S1302)</f>
        <v/>
      </c>
      <c r="U1302" s="28">
        <f>IFERROR(LOOKUP(T1302,{0;0.5;1.5;3;4.5},{"Despreciable";"Bajo";"Medio";"Alto";"Muy alto"}),"")</f>
        <v/>
      </c>
      <c r="V1302" s="13">
        <f>IFERROR(INDEX(MgAmenFrec,MATCH(SUBSTITUTE($H1302,"*","-"),MgAmenClave,0)),"")</f>
        <v/>
      </c>
      <c r="W1302" s="28">
        <f>IFERROR(LOOKUP(X1302,{0;0.01;0.1;1;10;100},{"Muy baja";"Muy baja";"Baja";"Media";"Alta";"Muy alta"}),"")</f>
        <v/>
      </c>
      <c r="X1302" s="31">
        <f>IFERROR(VLOOKUP(V1302,MgFrec,2,0),0)</f>
        <v/>
      </c>
      <c r="Y1302" s="30">
        <f>T1302*X1302</f>
        <v/>
      </c>
      <c r="Z1302" s="28">
        <f>IFERROR(LOOKUP(Y1302,{0;0.5;5;25},{"Bajo";"Medio";"Alto";"Crítico"}),"")</f>
        <v/>
      </c>
      <c r="AA1302" s="64">
        <f>IF(T1302&gt;=3,IF(X1302&gt;=1,"Zona 1 — Crítica: impacto alto y ocurre al menos una vez al año","Zona 4 — Catastrófica poco probable: impacto alto pero excepcional"),IF(AND(T1302&lt;1.5,X1302&lt;1),"Zona 3 — Asumible: impacto bajo y muy poco frecuente","Zona 2 — Atención: riesgo intermedio"))</f>
        <v/>
      </c>
      <c r="AB1302" s="64">
        <f>IFERROR(INDEX(MgAmenCtrl,MATCH(SUBSTITUTE($H1302,"*","-"),MgAmenClave,0)),"")</f>
        <v/>
      </c>
      <c r="AC1302" s="20" t="n"/>
      <c r="AD1302" s="31">
        <f>IFERROR($X1302*(1-IF($AC1302="",$AL1302,VLOOKUP($AC1302,MgMad,2,0))),"")</f>
        <v/>
      </c>
      <c r="AE1302" s="28">
        <f>IFERROR(LOOKUP(AD1302,{0;0.01;0.1;1;10;100},{"Muy baja";"Muy baja";"Baja";"Media";"Alta";"Muy alta"}),"")</f>
        <v/>
      </c>
      <c r="AF1302" s="30">
        <f>T1302*AD1302</f>
        <v/>
      </c>
      <c r="AG1302" s="28">
        <f>IFERROR(LOOKUP(AF1302,{0;0.5;5;25},{"Bajo";"Medio";"Alto";"Crítico"}),"")</f>
        <v/>
      </c>
      <c r="AH1302" s="28">
        <f>IF(AG1302="","",IF(OR(AG1302="Crítico",AG1302="Alto"),"Mitigar",IF(AG1302="Medio","Mitigar","Aceptar y monitorear")))</f>
        <v/>
      </c>
      <c r="AI1302" s="21" t="n"/>
      <c r="AJ1302" s="21" t="n"/>
      <c r="AK1302" s="20" t="n"/>
      <c r="AL1302" s="77">
        <f>IFERROR(INDEX(MgAmenEfic,MATCH(SUBSTITUTE($H1302,"*","-"),MgAmenClave,0)),0)</f>
        <v/>
      </c>
    </row>
    <row r="1303" hidden="1" ht="105" customHeight="1" s="54">
      <c r="B1303" s="59" t="inlineStr">
        <is>
          <t>R-1298</t>
        </is>
      </c>
      <c r="C1303" s="59" t="inlineStr">
        <is>
          <t>GH-018</t>
        </is>
      </c>
      <c r="D1303" s="64">
        <f>IFERROR(INDEX(MgNombre,MATCH($C1303,MgActId,0)),"")</f>
        <v/>
      </c>
      <c r="E1303" s="64">
        <f>IFERROR(INDEX(MgProceso,MATCH($C1303,MgActId,0)),"")</f>
        <v/>
      </c>
      <c r="F1303" s="64">
        <f>IFERROR(INDEX(MgTipo,MATCH($C1303,MgActId,0)),"")</f>
        <v/>
      </c>
      <c r="G1303" s="64">
        <f>IFERROR(INDEX(MgSubtipo,MATCH($C1303,MgActId,0)),"")</f>
        <v/>
      </c>
      <c r="H1303" s="59" t="inlineStr">
        <is>
          <t>E.1</t>
        </is>
      </c>
      <c r="I1303" s="64">
        <f>IFERROR(INDEX(MgAmenNombre,MATCH(SUBSTITUTE($H1303,"*","-"),MgAmenClave,0)),"")</f>
        <v/>
      </c>
      <c r="J1303" s="28">
        <f>IFERROR(INDEX(MgAmenGrupo,MATCH(SUBSTITUTE($H1303,"*","-"),MgAmenClave,0)),"")</f>
        <v/>
      </c>
      <c r="K1303" s="64">
        <f>IFERROR(INDEX('1. Matriz de Activos'!$Q$6:$Q$239,MATCH($C1303,MgActId,0)),"")</f>
        <v/>
      </c>
      <c r="L1303" s="64">
        <f>IFERROR(INDEX('1. Matriz de Activos'!$R$6:$R$239,MATCH($C1303,MgActId,0)),"")</f>
        <v/>
      </c>
      <c r="M1303" s="64">
        <f>IFERROR(INDEX('1. Matriz de Activos'!$S$6:$S$239,MATCH($C1303,MgActId,0)),"")</f>
        <v/>
      </c>
      <c r="N1303" s="28">
        <f>IFERROR(INDEX(MgAmenDegD,MATCH(SUBSTITUTE($H1303,"*","-"),MgAmenClave,0)),"No aplica")</f>
        <v/>
      </c>
      <c r="O1303" s="28">
        <f>IFERROR(INDEX(MgAmenDegI,MATCH(SUBSTITUTE($H1303,"*","-"),MgAmenClave,0)),"No aplica")</f>
        <v/>
      </c>
      <c r="P1303" s="28">
        <f>IFERROR(INDEX(MgAmenDegC,MATCH(SUBSTITUTE($H1303,"*","-"),MgAmenClave,0)),"No aplica")</f>
        <v/>
      </c>
      <c r="Q1303" s="29">
        <f>IFERROR(VLOOKUP(K1303,MgValor,2,0)*VLOOKUP(N1303,MgDeg,2,0),0)</f>
        <v/>
      </c>
      <c r="R1303" s="29">
        <f>IFERROR(VLOOKUP(L1303,MgValor,2,0)*VLOOKUP(O1303,MgDeg,2,0),0)</f>
        <v/>
      </c>
      <c r="S1303" s="29">
        <f>IFERROR(VLOOKUP(M1303,MgValor,2,0)*VLOOKUP(P1303,MgDeg,2,0),0)</f>
        <v/>
      </c>
      <c r="T1303" s="30">
        <f>MAX(Q1303:S1303)</f>
        <v/>
      </c>
      <c r="U1303" s="28">
        <f>IFERROR(LOOKUP(T1303,{0;0.5;1.5;3;4.5},{"Despreciable";"Bajo";"Medio";"Alto";"Muy alto"}),"")</f>
        <v/>
      </c>
      <c r="V1303" s="13">
        <f>IFERROR(INDEX(MgAmenFrec,MATCH(SUBSTITUTE($H1303,"*","-"),MgAmenClave,0)),"")</f>
        <v/>
      </c>
      <c r="W1303" s="28">
        <f>IFERROR(LOOKUP(X1303,{0;0.01;0.1;1;10;100},{"Muy baja";"Muy baja";"Baja";"Media";"Alta";"Muy alta"}),"")</f>
        <v/>
      </c>
      <c r="X1303" s="31">
        <f>IFERROR(VLOOKUP(V1303,MgFrec,2,0),0)</f>
        <v/>
      </c>
      <c r="Y1303" s="30">
        <f>T1303*X1303</f>
        <v/>
      </c>
      <c r="Z1303" s="28">
        <f>IFERROR(LOOKUP(Y1303,{0;0.5;5;25},{"Bajo";"Medio";"Alto";"Crítico"}),"")</f>
        <v/>
      </c>
      <c r="AA1303" s="64">
        <f>IF(T1303&gt;=3,IF(X1303&gt;=1,"Zona 1 — Crítica: impacto alto y ocurre al menos una vez al año","Zona 4 — Catastrófica poco probable: impacto alto pero excepcional"),IF(AND(T1303&lt;1.5,X1303&lt;1),"Zona 3 — Asumible: impacto bajo y muy poco frecuente","Zona 2 — Atención: riesgo intermedio"))</f>
        <v/>
      </c>
      <c r="AB1303" s="64">
        <f>IFERROR(INDEX(MgAmenCtrl,MATCH(SUBSTITUTE($H1303,"*","-"),MgAmenClave,0)),"")</f>
        <v/>
      </c>
      <c r="AC1303" s="20" t="n"/>
      <c r="AD1303" s="31">
        <f>IFERROR($X1303*(1-IF($AC1303="",$AL1303,VLOOKUP($AC1303,MgMad,2,0))),"")</f>
        <v/>
      </c>
      <c r="AE1303" s="28">
        <f>IFERROR(LOOKUP(AD1303,{0;0.01;0.1;1;10;100},{"Muy baja";"Muy baja";"Baja";"Media";"Alta";"Muy alta"}),"")</f>
        <v/>
      </c>
      <c r="AF1303" s="30">
        <f>T1303*AD1303</f>
        <v/>
      </c>
      <c r="AG1303" s="28">
        <f>IFERROR(LOOKUP(AF1303,{0;0.5;5;25},{"Bajo";"Medio";"Alto";"Crítico"}),"")</f>
        <v/>
      </c>
      <c r="AH1303" s="28">
        <f>IF(AG1303="","",IF(OR(AG1303="Crítico",AG1303="Alto"),"Mitigar",IF(AG1303="Medio","Mitigar","Aceptar y monitorear")))</f>
        <v/>
      </c>
      <c r="AI1303" s="21" t="n"/>
      <c r="AJ1303" s="21" t="n"/>
      <c r="AK1303" s="20" t="n"/>
      <c r="AL1303" s="77">
        <f>IFERROR(INDEX(MgAmenEfic,MATCH(SUBSTITUTE($H1303,"*","-"),MgAmenClave,0)),0)</f>
        <v/>
      </c>
    </row>
    <row r="1304" hidden="1" ht="120" customHeight="1" s="54">
      <c r="B1304" s="59" t="inlineStr">
        <is>
          <t>R-1299</t>
        </is>
      </c>
      <c r="C1304" s="59" t="inlineStr">
        <is>
          <t>GH-018</t>
        </is>
      </c>
      <c r="D1304" s="64">
        <f>IFERROR(INDEX(MgNombre,MATCH($C1304,MgActId,0)),"")</f>
        <v/>
      </c>
      <c r="E1304" s="64">
        <f>IFERROR(INDEX(MgProceso,MATCH($C1304,MgActId,0)),"")</f>
        <v/>
      </c>
      <c r="F1304" s="64">
        <f>IFERROR(INDEX(MgTipo,MATCH($C1304,MgActId,0)),"")</f>
        <v/>
      </c>
      <c r="G1304" s="64">
        <f>IFERROR(INDEX(MgSubtipo,MATCH($C1304,MgActId,0)),"")</f>
        <v/>
      </c>
      <c r="H1304" s="59" t="inlineStr">
        <is>
          <t>E.2</t>
        </is>
      </c>
      <c r="I1304" s="64">
        <f>IFERROR(INDEX(MgAmenNombre,MATCH(SUBSTITUTE($H1304,"*","-"),MgAmenClave,0)),"")</f>
        <v/>
      </c>
      <c r="J1304" s="28">
        <f>IFERROR(INDEX(MgAmenGrupo,MATCH(SUBSTITUTE($H1304,"*","-"),MgAmenClave,0)),"")</f>
        <v/>
      </c>
      <c r="K1304" s="64">
        <f>IFERROR(INDEX('1. Matriz de Activos'!$Q$6:$Q$239,MATCH($C1304,MgActId,0)),"")</f>
        <v/>
      </c>
      <c r="L1304" s="64">
        <f>IFERROR(INDEX('1. Matriz de Activos'!$R$6:$R$239,MATCH($C1304,MgActId,0)),"")</f>
        <v/>
      </c>
      <c r="M1304" s="64">
        <f>IFERROR(INDEX('1. Matriz de Activos'!$S$6:$S$239,MATCH($C1304,MgActId,0)),"")</f>
        <v/>
      </c>
      <c r="N1304" s="28">
        <f>IFERROR(INDEX(MgAmenDegD,MATCH(SUBSTITUTE($H1304,"*","-"),MgAmenClave,0)),"No aplica")</f>
        <v/>
      </c>
      <c r="O1304" s="28">
        <f>IFERROR(INDEX(MgAmenDegI,MATCH(SUBSTITUTE($H1304,"*","-"),MgAmenClave,0)),"No aplica")</f>
        <v/>
      </c>
      <c r="P1304" s="28">
        <f>IFERROR(INDEX(MgAmenDegC,MATCH(SUBSTITUTE($H1304,"*","-"),MgAmenClave,0)),"No aplica")</f>
        <v/>
      </c>
      <c r="Q1304" s="29">
        <f>IFERROR(VLOOKUP(K1304,MgValor,2,0)*VLOOKUP(N1304,MgDeg,2,0),0)</f>
        <v/>
      </c>
      <c r="R1304" s="29">
        <f>IFERROR(VLOOKUP(L1304,MgValor,2,0)*VLOOKUP(O1304,MgDeg,2,0),0)</f>
        <v/>
      </c>
      <c r="S1304" s="29">
        <f>IFERROR(VLOOKUP(M1304,MgValor,2,0)*VLOOKUP(P1304,MgDeg,2,0),0)</f>
        <v/>
      </c>
      <c r="T1304" s="30">
        <f>MAX(Q1304:S1304)</f>
        <v/>
      </c>
      <c r="U1304" s="28">
        <f>IFERROR(LOOKUP(T1304,{0;0.5;1.5;3;4.5},{"Despreciable";"Bajo";"Medio";"Alto";"Muy alto"}),"")</f>
        <v/>
      </c>
      <c r="V1304" s="13">
        <f>IFERROR(INDEX(MgAmenFrec,MATCH(SUBSTITUTE($H1304,"*","-"),MgAmenClave,0)),"")</f>
        <v/>
      </c>
      <c r="W1304" s="28">
        <f>IFERROR(LOOKUP(X1304,{0;0.01;0.1;1;10;100},{"Muy baja";"Muy baja";"Baja";"Media";"Alta";"Muy alta"}),"")</f>
        <v/>
      </c>
      <c r="X1304" s="31">
        <f>IFERROR(VLOOKUP(V1304,MgFrec,2,0),0)</f>
        <v/>
      </c>
      <c r="Y1304" s="30">
        <f>T1304*X1304</f>
        <v/>
      </c>
      <c r="Z1304" s="28">
        <f>IFERROR(LOOKUP(Y1304,{0;0.5;5;25},{"Bajo";"Medio";"Alto";"Crítico"}),"")</f>
        <v/>
      </c>
      <c r="AA1304" s="64">
        <f>IF(T1304&gt;=3,IF(X1304&gt;=1,"Zona 1 — Crítica: impacto alto y ocurre al menos una vez al año","Zona 4 — Catastrófica poco probable: impacto alto pero excepcional"),IF(AND(T1304&lt;1.5,X1304&lt;1),"Zona 3 — Asumible: impacto bajo y muy poco frecuente","Zona 2 — Atención: riesgo intermedio"))</f>
        <v/>
      </c>
      <c r="AB1304" s="64">
        <f>IFERROR(INDEX(MgAmenCtrl,MATCH(SUBSTITUTE($H1304,"*","-"),MgAmenClave,0)),"")</f>
        <v/>
      </c>
      <c r="AC1304" s="20" t="n"/>
      <c r="AD1304" s="31">
        <f>IFERROR($X1304*(1-IF($AC1304="",$AL1304,VLOOKUP($AC1304,MgMad,2,0))),"")</f>
        <v/>
      </c>
      <c r="AE1304" s="28">
        <f>IFERROR(LOOKUP(AD1304,{0;0.01;0.1;1;10;100},{"Muy baja";"Muy baja";"Baja";"Media";"Alta";"Muy alta"}),"")</f>
        <v/>
      </c>
      <c r="AF1304" s="30">
        <f>T1304*AD1304</f>
        <v/>
      </c>
      <c r="AG1304" s="28">
        <f>IFERROR(LOOKUP(AF1304,{0;0.5;5;25},{"Bajo";"Medio";"Alto";"Crítico"}),"")</f>
        <v/>
      </c>
      <c r="AH1304" s="28">
        <f>IF(AG1304="","",IF(OR(AG1304="Crítico",AG1304="Alto"),"Mitigar",IF(AG1304="Medio","Mitigar","Aceptar y monitorear")))</f>
        <v/>
      </c>
      <c r="AI1304" s="21" t="n"/>
      <c r="AJ1304" s="21" t="n"/>
      <c r="AK1304" s="20" t="n"/>
      <c r="AL1304" s="77">
        <f>IFERROR(INDEX(MgAmenEfic,MATCH(SUBSTITUTE($H1304,"*","-"),MgAmenClave,0)),0)</f>
        <v/>
      </c>
    </row>
    <row r="1305" hidden="1" ht="75" customHeight="1" s="54">
      <c r="B1305" s="59" t="inlineStr">
        <is>
          <t>R-1300</t>
        </is>
      </c>
      <c r="C1305" s="59" t="inlineStr">
        <is>
          <t>GH-018</t>
        </is>
      </c>
      <c r="D1305" s="64">
        <f>IFERROR(INDEX(MgNombre,MATCH($C1305,MgActId,0)),"")</f>
        <v/>
      </c>
      <c r="E1305" s="64">
        <f>IFERROR(INDEX(MgProceso,MATCH($C1305,MgActId,0)),"")</f>
        <v/>
      </c>
      <c r="F1305" s="64">
        <f>IFERROR(INDEX(MgTipo,MATCH($C1305,MgActId,0)),"")</f>
        <v/>
      </c>
      <c r="G1305" s="64">
        <f>IFERROR(INDEX(MgSubtipo,MATCH($C1305,MgActId,0)),"")</f>
        <v/>
      </c>
      <c r="H1305" s="59" t="inlineStr">
        <is>
          <t>E.3</t>
        </is>
      </c>
      <c r="I1305" s="64">
        <f>IFERROR(INDEX(MgAmenNombre,MATCH(SUBSTITUTE($H1305,"*","-"),MgAmenClave,0)),"")</f>
        <v/>
      </c>
      <c r="J1305" s="28">
        <f>IFERROR(INDEX(MgAmenGrupo,MATCH(SUBSTITUTE($H1305,"*","-"),MgAmenClave,0)),"")</f>
        <v/>
      </c>
      <c r="K1305" s="64">
        <f>IFERROR(INDEX('1. Matriz de Activos'!$Q$6:$Q$239,MATCH($C1305,MgActId,0)),"")</f>
        <v/>
      </c>
      <c r="L1305" s="64">
        <f>IFERROR(INDEX('1. Matriz de Activos'!$R$6:$R$239,MATCH($C1305,MgActId,0)),"")</f>
        <v/>
      </c>
      <c r="M1305" s="64">
        <f>IFERROR(INDEX('1. Matriz de Activos'!$S$6:$S$239,MATCH($C1305,MgActId,0)),"")</f>
        <v/>
      </c>
      <c r="N1305" s="28">
        <f>IFERROR(INDEX(MgAmenDegD,MATCH(SUBSTITUTE($H1305,"*","-"),MgAmenClave,0)),"No aplica")</f>
        <v/>
      </c>
      <c r="O1305" s="28">
        <f>IFERROR(INDEX(MgAmenDegI,MATCH(SUBSTITUTE($H1305,"*","-"),MgAmenClave,0)),"No aplica")</f>
        <v/>
      </c>
      <c r="P1305" s="28">
        <f>IFERROR(INDEX(MgAmenDegC,MATCH(SUBSTITUTE($H1305,"*","-"),MgAmenClave,0)),"No aplica")</f>
        <v/>
      </c>
      <c r="Q1305" s="29">
        <f>IFERROR(VLOOKUP(K1305,MgValor,2,0)*VLOOKUP(N1305,MgDeg,2,0),0)</f>
        <v/>
      </c>
      <c r="R1305" s="29">
        <f>IFERROR(VLOOKUP(L1305,MgValor,2,0)*VLOOKUP(O1305,MgDeg,2,0),0)</f>
        <v/>
      </c>
      <c r="S1305" s="29">
        <f>IFERROR(VLOOKUP(M1305,MgValor,2,0)*VLOOKUP(P1305,MgDeg,2,0),0)</f>
        <v/>
      </c>
      <c r="T1305" s="30">
        <f>MAX(Q1305:S1305)</f>
        <v/>
      </c>
      <c r="U1305" s="28">
        <f>IFERROR(LOOKUP(T1305,{0;0.5;1.5;3;4.5},{"Despreciable";"Bajo";"Medio";"Alto";"Muy alto"}),"")</f>
        <v/>
      </c>
      <c r="V1305" s="13">
        <f>IFERROR(INDEX(MgAmenFrec,MATCH(SUBSTITUTE($H1305,"*","-"),MgAmenClave,0)),"")</f>
        <v/>
      </c>
      <c r="W1305" s="28">
        <f>IFERROR(LOOKUP(X1305,{0;0.01;0.1;1;10;100},{"Muy baja";"Muy baja";"Baja";"Media";"Alta";"Muy alta"}),"")</f>
        <v/>
      </c>
      <c r="X1305" s="31">
        <f>IFERROR(VLOOKUP(V1305,MgFrec,2,0),0)</f>
        <v/>
      </c>
      <c r="Y1305" s="30">
        <f>T1305*X1305</f>
        <v/>
      </c>
      <c r="Z1305" s="28">
        <f>IFERROR(LOOKUP(Y1305,{0;0.5;5;25},{"Bajo";"Medio";"Alto";"Crítico"}),"")</f>
        <v/>
      </c>
      <c r="AA1305" s="64">
        <f>IF(T1305&gt;=3,IF(X1305&gt;=1,"Zona 1 — Crítica: impacto alto y ocurre al menos una vez al año","Zona 4 — Catastrófica poco probable: impacto alto pero excepcional"),IF(AND(T1305&lt;1.5,X1305&lt;1),"Zona 3 — Asumible: impacto bajo y muy poco frecuente","Zona 2 — Atención: riesgo intermedio"))</f>
        <v/>
      </c>
      <c r="AB1305" s="64">
        <f>IFERROR(INDEX(MgAmenCtrl,MATCH(SUBSTITUTE($H1305,"*","-"),MgAmenClave,0)),"")</f>
        <v/>
      </c>
      <c r="AC1305" s="20" t="n"/>
      <c r="AD1305" s="31">
        <f>IFERROR($X1305*(1-IF($AC1305="",$AL1305,VLOOKUP($AC1305,MgMad,2,0))),"")</f>
        <v/>
      </c>
      <c r="AE1305" s="28">
        <f>IFERROR(LOOKUP(AD1305,{0;0.01;0.1;1;10;100},{"Muy baja";"Muy baja";"Baja";"Media";"Alta";"Muy alta"}),"")</f>
        <v/>
      </c>
      <c r="AF1305" s="30">
        <f>T1305*AD1305</f>
        <v/>
      </c>
      <c r="AG1305" s="28">
        <f>IFERROR(LOOKUP(AF1305,{0;0.5;5;25},{"Bajo";"Medio";"Alto";"Crítico"}),"")</f>
        <v/>
      </c>
      <c r="AH1305" s="28">
        <f>IF(AG1305="","",IF(OR(AG1305="Crítico",AG1305="Alto"),"Mitigar",IF(AG1305="Medio","Mitigar","Aceptar y monitorear")))</f>
        <v/>
      </c>
      <c r="AI1305" s="21" t="n"/>
      <c r="AJ1305" s="21" t="n"/>
      <c r="AK1305" s="20" t="n"/>
      <c r="AL1305" s="77">
        <f>IFERROR(INDEX(MgAmenEfic,MATCH(SUBSTITUTE($H1305,"*","-"),MgAmenClave,0)),0)</f>
        <v/>
      </c>
    </row>
    <row r="1306" hidden="1" ht="75" customHeight="1" s="54">
      <c r="B1306" s="59" t="inlineStr">
        <is>
          <t>R-1301</t>
        </is>
      </c>
      <c r="C1306" s="59" t="inlineStr">
        <is>
          <t>GH-018</t>
        </is>
      </c>
      <c r="D1306" s="64">
        <f>IFERROR(INDEX(MgNombre,MATCH($C1306,MgActId,0)),"")</f>
        <v/>
      </c>
      <c r="E1306" s="64">
        <f>IFERROR(INDEX(MgProceso,MATCH($C1306,MgActId,0)),"")</f>
        <v/>
      </c>
      <c r="F1306" s="64">
        <f>IFERROR(INDEX(MgTipo,MATCH($C1306,MgActId,0)),"")</f>
        <v/>
      </c>
      <c r="G1306" s="64">
        <f>IFERROR(INDEX(MgSubtipo,MATCH($C1306,MgActId,0)),"")</f>
        <v/>
      </c>
      <c r="H1306" s="59" t="inlineStr">
        <is>
          <t>E.4</t>
        </is>
      </c>
      <c r="I1306" s="64">
        <f>IFERROR(INDEX(MgAmenNombre,MATCH(SUBSTITUTE($H1306,"*","-"),MgAmenClave,0)),"")</f>
        <v/>
      </c>
      <c r="J1306" s="28">
        <f>IFERROR(INDEX(MgAmenGrupo,MATCH(SUBSTITUTE($H1306,"*","-"),MgAmenClave,0)),"")</f>
        <v/>
      </c>
      <c r="K1306" s="64">
        <f>IFERROR(INDEX('1. Matriz de Activos'!$Q$6:$Q$239,MATCH($C1306,MgActId,0)),"")</f>
        <v/>
      </c>
      <c r="L1306" s="64">
        <f>IFERROR(INDEX('1. Matriz de Activos'!$R$6:$R$239,MATCH($C1306,MgActId,0)),"")</f>
        <v/>
      </c>
      <c r="M1306" s="64">
        <f>IFERROR(INDEX('1. Matriz de Activos'!$S$6:$S$239,MATCH($C1306,MgActId,0)),"")</f>
        <v/>
      </c>
      <c r="N1306" s="28">
        <f>IFERROR(INDEX(MgAmenDegD,MATCH(SUBSTITUTE($H1306,"*","-"),MgAmenClave,0)),"No aplica")</f>
        <v/>
      </c>
      <c r="O1306" s="28">
        <f>IFERROR(INDEX(MgAmenDegI,MATCH(SUBSTITUTE($H1306,"*","-"),MgAmenClave,0)),"No aplica")</f>
        <v/>
      </c>
      <c r="P1306" s="28">
        <f>IFERROR(INDEX(MgAmenDegC,MATCH(SUBSTITUTE($H1306,"*","-"),MgAmenClave,0)),"No aplica")</f>
        <v/>
      </c>
      <c r="Q1306" s="29">
        <f>IFERROR(VLOOKUP(K1306,MgValor,2,0)*VLOOKUP(N1306,MgDeg,2,0),0)</f>
        <v/>
      </c>
      <c r="R1306" s="29">
        <f>IFERROR(VLOOKUP(L1306,MgValor,2,0)*VLOOKUP(O1306,MgDeg,2,0),0)</f>
        <v/>
      </c>
      <c r="S1306" s="29">
        <f>IFERROR(VLOOKUP(M1306,MgValor,2,0)*VLOOKUP(P1306,MgDeg,2,0),0)</f>
        <v/>
      </c>
      <c r="T1306" s="30">
        <f>MAX(Q1306:S1306)</f>
        <v/>
      </c>
      <c r="U1306" s="28">
        <f>IFERROR(LOOKUP(T1306,{0;0.5;1.5;3;4.5},{"Despreciable";"Bajo";"Medio";"Alto";"Muy alto"}),"")</f>
        <v/>
      </c>
      <c r="V1306" s="13">
        <f>IFERROR(INDEX(MgAmenFrec,MATCH(SUBSTITUTE($H1306,"*","-"),MgAmenClave,0)),"")</f>
        <v/>
      </c>
      <c r="W1306" s="28">
        <f>IFERROR(LOOKUP(X1306,{0;0.01;0.1;1;10;100},{"Muy baja";"Muy baja";"Baja";"Media";"Alta";"Muy alta"}),"")</f>
        <v/>
      </c>
      <c r="X1306" s="31">
        <f>IFERROR(VLOOKUP(V1306,MgFrec,2,0),0)</f>
        <v/>
      </c>
      <c r="Y1306" s="30">
        <f>T1306*X1306</f>
        <v/>
      </c>
      <c r="Z1306" s="28">
        <f>IFERROR(LOOKUP(Y1306,{0;0.5;5;25},{"Bajo";"Medio";"Alto";"Crítico"}),"")</f>
        <v/>
      </c>
      <c r="AA1306" s="64">
        <f>IF(T1306&gt;=3,IF(X1306&gt;=1,"Zona 1 — Crítica: impacto alto y ocurre al menos una vez al año","Zona 4 — Catastrófica poco probable: impacto alto pero excepcional"),IF(AND(T1306&lt;1.5,X1306&lt;1),"Zona 3 — Asumible: impacto bajo y muy poco frecuente","Zona 2 — Atención: riesgo intermedio"))</f>
        <v/>
      </c>
      <c r="AB1306" s="64">
        <f>IFERROR(INDEX(MgAmenCtrl,MATCH(SUBSTITUTE($H1306,"*","-"),MgAmenClave,0)),"")</f>
        <v/>
      </c>
      <c r="AC1306" s="20" t="n"/>
      <c r="AD1306" s="31">
        <f>IFERROR($X1306*(1-IF($AC1306="",$AL1306,VLOOKUP($AC1306,MgMad,2,0))),"")</f>
        <v/>
      </c>
      <c r="AE1306" s="28">
        <f>IFERROR(LOOKUP(AD1306,{0;0.01;0.1;1;10;100},{"Muy baja";"Muy baja";"Baja";"Media";"Alta";"Muy alta"}),"")</f>
        <v/>
      </c>
      <c r="AF1306" s="30">
        <f>T1306*AD1306</f>
        <v/>
      </c>
      <c r="AG1306" s="28">
        <f>IFERROR(LOOKUP(AF1306,{0;0.5;5;25},{"Bajo";"Medio";"Alto";"Crítico"}),"")</f>
        <v/>
      </c>
      <c r="AH1306" s="28">
        <f>IF(AG1306="","",IF(OR(AG1306="Crítico",AG1306="Alto"),"Mitigar",IF(AG1306="Medio","Mitigar","Aceptar y monitorear")))</f>
        <v/>
      </c>
      <c r="AI1306" s="21" t="n"/>
      <c r="AJ1306" s="21" t="n"/>
      <c r="AK1306" s="20" t="n"/>
      <c r="AL1306" s="77">
        <f>IFERROR(INDEX(MgAmenEfic,MATCH(SUBSTITUTE($H1306,"*","-"),MgAmenClave,0)),0)</f>
        <v/>
      </c>
    </row>
    <row r="1307" hidden="1" ht="90" customHeight="1" s="54">
      <c r="B1307" s="59" t="inlineStr">
        <is>
          <t>R-1302</t>
        </is>
      </c>
      <c r="C1307" s="59" t="inlineStr">
        <is>
          <t>GH-018</t>
        </is>
      </c>
      <c r="D1307" s="64">
        <f>IFERROR(INDEX(MgNombre,MATCH($C1307,MgActId,0)),"")</f>
        <v/>
      </c>
      <c r="E1307" s="64">
        <f>IFERROR(INDEX(MgProceso,MATCH($C1307,MgActId,0)),"")</f>
        <v/>
      </c>
      <c r="F1307" s="64">
        <f>IFERROR(INDEX(MgTipo,MATCH($C1307,MgActId,0)),"")</f>
        <v/>
      </c>
      <c r="G1307" s="64">
        <f>IFERROR(INDEX(MgSubtipo,MATCH($C1307,MgActId,0)),"")</f>
        <v/>
      </c>
      <c r="H1307" s="59" t="inlineStr">
        <is>
          <t>E.14</t>
        </is>
      </c>
      <c r="I1307" s="64">
        <f>IFERROR(INDEX(MgAmenNombre,MATCH(SUBSTITUTE($H1307,"*","-"),MgAmenClave,0)),"")</f>
        <v/>
      </c>
      <c r="J1307" s="28">
        <f>IFERROR(INDEX(MgAmenGrupo,MATCH(SUBSTITUTE($H1307,"*","-"),MgAmenClave,0)),"")</f>
        <v/>
      </c>
      <c r="K1307" s="64">
        <f>IFERROR(INDEX('1. Matriz de Activos'!$Q$6:$Q$239,MATCH($C1307,MgActId,0)),"")</f>
        <v/>
      </c>
      <c r="L1307" s="64">
        <f>IFERROR(INDEX('1. Matriz de Activos'!$R$6:$R$239,MATCH($C1307,MgActId,0)),"")</f>
        <v/>
      </c>
      <c r="M1307" s="64">
        <f>IFERROR(INDEX('1. Matriz de Activos'!$S$6:$S$239,MATCH($C1307,MgActId,0)),"")</f>
        <v/>
      </c>
      <c r="N1307" s="28">
        <f>IFERROR(INDEX(MgAmenDegD,MATCH(SUBSTITUTE($H1307,"*","-"),MgAmenClave,0)),"No aplica")</f>
        <v/>
      </c>
      <c r="O1307" s="28">
        <f>IFERROR(INDEX(MgAmenDegI,MATCH(SUBSTITUTE($H1307,"*","-"),MgAmenClave,0)),"No aplica")</f>
        <v/>
      </c>
      <c r="P1307" s="28">
        <f>IFERROR(INDEX(MgAmenDegC,MATCH(SUBSTITUTE($H1307,"*","-"),MgAmenClave,0)),"No aplica")</f>
        <v/>
      </c>
      <c r="Q1307" s="29">
        <f>IFERROR(VLOOKUP(K1307,MgValor,2,0)*VLOOKUP(N1307,MgDeg,2,0),0)</f>
        <v/>
      </c>
      <c r="R1307" s="29">
        <f>IFERROR(VLOOKUP(L1307,MgValor,2,0)*VLOOKUP(O1307,MgDeg,2,0),0)</f>
        <v/>
      </c>
      <c r="S1307" s="29">
        <f>IFERROR(VLOOKUP(M1307,MgValor,2,0)*VLOOKUP(P1307,MgDeg,2,0),0)</f>
        <v/>
      </c>
      <c r="T1307" s="30">
        <f>MAX(Q1307:S1307)</f>
        <v/>
      </c>
      <c r="U1307" s="28">
        <f>IFERROR(LOOKUP(T1307,{0;0.5;1.5;3;4.5},{"Despreciable";"Bajo";"Medio";"Alto";"Muy alto"}),"")</f>
        <v/>
      </c>
      <c r="V1307" s="13">
        <f>IFERROR(INDEX(MgAmenFrec,MATCH(SUBSTITUTE($H1307,"*","-"),MgAmenClave,0)),"")</f>
        <v/>
      </c>
      <c r="W1307" s="28">
        <f>IFERROR(LOOKUP(X1307,{0;0.01;0.1;1;10;100},{"Muy baja";"Muy baja";"Baja";"Media";"Alta";"Muy alta"}),"")</f>
        <v/>
      </c>
      <c r="X1307" s="31">
        <f>IFERROR(VLOOKUP(V1307,MgFrec,2,0),0)</f>
        <v/>
      </c>
      <c r="Y1307" s="30">
        <f>T1307*X1307</f>
        <v/>
      </c>
      <c r="Z1307" s="28">
        <f>IFERROR(LOOKUP(Y1307,{0;0.5;5;25},{"Bajo";"Medio";"Alto";"Crítico"}),"")</f>
        <v/>
      </c>
      <c r="AA1307" s="64">
        <f>IF(T1307&gt;=3,IF(X1307&gt;=1,"Zona 1 — Crítica: impacto alto y ocurre al menos una vez al año","Zona 4 — Catastrófica poco probable: impacto alto pero excepcional"),IF(AND(T1307&lt;1.5,X1307&lt;1),"Zona 3 — Asumible: impacto bajo y muy poco frecuente","Zona 2 — Atención: riesgo intermedio"))</f>
        <v/>
      </c>
      <c r="AB1307" s="64">
        <f>IFERROR(INDEX(MgAmenCtrl,MATCH(SUBSTITUTE($H1307,"*","-"),MgAmenClave,0)),"")</f>
        <v/>
      </c>
      <c r="AC1307" s="20" t="n"/>
      <c r="AD1307" s="31">
        <f>IFERROR($X1307*(1-IF($AC1307="",$AL1307,VLOOKUP($AC1307,MgMad,2,0))),"")</f>
        <v/>
      </c>
      <c r="AE1307" s="28">
        <f>IFERROR(LOOKUP(AD1307,{0;0.01;0.1;1;10;100},{"Muy baja";"Muy baja";"Baja";"Media";"Alta";"Muy alta"}),"")</f>
        <v/>
      </c>
      <c r="AF1307" s="30">
        <f>T1307*AD1307</f>
        <v/>
      </c>
      <c r="AG1307" s="28">
        <f>IFERROR(LOOKUP(AF1307,{0;0.5;5;25},{"Bajo";"Medio";"Alto";"Crítico"}),"")</f>
        <v/>
      </c>
      <c r="AH1307" s="28">
        <f>IF(AG1307="","",IF(OR(AG1307="Crítico",AG1307="Alto"),"Mitigar",IF(AG1307="Medio","Mitigar","Aceptar y monitorear")))</f>
        <v/>
      </c>
      <c r="AI1307" s="21" t="n"/>
      <c r="AJ1307" s="21" t="n"/>
      <c r="AK1307" s="20" t="n"/>
      <c r="AL1307" s="77">
        <f>IFERROR(INDEX(MgAmenEfic,MATCH(SUBSTITUTE($H1307,"*","-"),MgAmenClave,0)),0)</f>
        <v/>
      </c>
    </row>
    <row r="1308" hidden="1" ht="90" customHeight="1" s="54">
      <c r="B1308" s="59" t="inlineStr">
        <is>
          <t>R-1303</t>
        </is>
      </c>
      <c r="C1308" s="59" t="inlineStr">
        <is>
          <t>GH-018</t>
        </is>
      </c>
      <c r="D1308" s="64">
        <f>IFERROR(INDEX(MgNombre,MATCH($C1308,MgActId,0)),"")</f>
        <v/>
      </c>
      <c r="E1308" s="64">
        <f>IFERROR(INDEX(MgProceso,MATCH($C1308,MgActId,0)),"")</f>
        <v/>
      </c>
      <c r="F1308" s="64">
        <f>IFERROR(INDEX(MgTipo,MATCH($C1308,MgActId,0)),"")</f>
        <v/>
      </c>
      <c r="G1308" s="64">
        <f>IFERROR(INDEX(MgSubtipo,MATCH($C1308,MgActId,0)),"")</f>
        <v/>
      </c>
      <c r="H1308" s="59" t="inlineStr">
        <is>
          <t>E.15</t>
        </is>
      </c>
      <c r="I1308" s="64">
        <f>IFERROR(INDEX(MgAmenNombre,MATCH(SUBSTITUTE($H1308,"*","-"),MgAmenClave,0)),"")</f>
        <v/>
      </c>
      <c r="J1308" s="28">
        <f>IFERROR(INDEX(MgAmenGrupo,MATCH(SUBSTITUTE($H1308,"*","-"),MgAmenClave,0)),"")</f>
        <v/>
      </c>
      <c r="K1308" s="64">
        <f>IFERROR(INDEX('1. Matriz de Activos'!$Q$6:$Q$239,MATCH($C1308,MgActId,0)),"")</f>
        <v/>
      </c>
      <c r="L1308" s="64">
        <f>IFERROR(INDEX('1. Matriz de Activos'!$R$6:$R$239,MATCH($C1308,MgActId,0)),"")</f>
        <v/>
      </c>
      <c r="M1308" s="64">
        <f>IFERROR(INDEX('1. Matriz de Activos'!$S$6:$S$239,MATCH($C1308,MgActId,0)),"")</f>
        <v/>
      </c>
      <c r="N1308" s="28">
        <f>IFERROR(INDEX(MgAmenDegD,MATCH(SUBSTITUTE($H1308,"*","-"),MgAmenClave,0)),"No aplica")</f>
        <v/>
      </c>
      <c r="O1308" s="28">
        <f>IFERROR(INDEX(MgAmenDegI,MATCH(SUBSTITUTE($H1308,"*","-"),MgAmenClave,0)),"No aplica")</f>
        <v/>
      </c>
      <c r="P1308" s="28">
        <f>IFERROR(INDEX(MgAmenDegC,MATCH(SUBSTITUTE($H1308,"*","-"),MgAmenClave,0)),"No aplica")</f>
        <v/>
      </c>
      <c r="Q1308" s="29">
        <f>IFERROR(VLOOKUP(K1308,MgValor,2,0)*VLOOKUP(N1308,MgDeg,2,0),0)</f>
        <v/>
      </c>
      <c r="R1308" s="29">
        <f>IFERROR(VLOOKUP(L1308,MgValor,2,0)*VLOOKUP(O1308,MgDeg,2,0),0)</f>
        <v/>
      </c>
      <c r="S1308" s="29">
        <f>IFERROR(VLOOKUP(M1308,MgValor,2,0)*VLOOKUP(P1308,MgDeg,2,0),0)</f>
        <v/>
      </c>
      <c r="T1308" s="30">
        <f>MAX(Q1308:S1308)</f>
        <v/>
      </c>
      <c r="U1308" s="28">
        <f>IFERROR(LOOKUP(T1308,{0;0.5;1.5;3;4.5},{"Despreciable";"Bajo";"Medio";"Alto";"Muy alto"}),"")</f>
        <v/>
      </c>
      <c r="V1308" s="13">
        <f>IFERROR(INDEX(MgAmenFrec,MATCH(SUBSTITUTE($H1308,"*","-"),MgAmenClave,0)),"")</f>
        <v/>
      </c>
      <c r="W1308" s="28">
        <f>IFERROR(LOOKUP(X1308,{0;0.01;0.1;1;10;100},{"Muy baja";"Muy baja";"Baja";"Media";"Alta";"Muy alta"}),"")</f>
        <v/>
      </c>
      <c r="X1308" s="31">
        <f>IFERROR(VLOOKUP(V1308,MgFrec,2,0),0)</f>
        <v/>
      </c>
      <c r="Y1308" s="30">
        <f>T1308*X1308</f>
        <v/>
      </c>
      <c r="Z1308" s="28">
        <f>IFERROR(LOOKUP(Y1308,{0;0.5;5;25},{"Bajo";"Medio";"Alto";"Crítico"}),"")</f>
        <v/>
      </c>
      <c r="AA1308" s="64">
        <f>IF(T1308&gt;=3,IF(X1308&gt;=1,"Zona 1 — Crítica: impacto alto y ocurre al menos una vez al año","Zona 4 — Catastrófica poco probable: impacto alto pero excepcional"),IF(AND(T1308&lt;1.5,X1308&lt;1),"Zona 3 — Asumible: impacto bajo y muy poco frecuente","Zona 2 — Atención: riesgo intermedio"))</f>
        <v/>
      </c>
      <c r="AB1308" s="64">
        <f>IFERROR(INDEX(MgAmenCtrl,MATCH(SUBSTITUTE($H1308,"*","-"),MgAmenClave,0)),"")</f>
        <v/>
      </c>
      <c r="AC1308" s="20" t="n"/>
      <c r="AD1308" s="31">
        <f>IFERROR($X1308*(1-IF($AC1308="",$AL1308,VLOOKUP($AC1308,MgMad,2,0))),"")</f>
        <v/>
      </c>
      <c r="AE1308" s="28">
        <f>IFERROR(LOOKUP(AD1308,{0;0.01;0.1;1;10;100},{"Muy baja";"Muy baja";"Baja";"Media";"Alta";"Muy alta"}),"")</f>
        <v/>
      </c>
      <c r="AF1308" s="30">
        <f>T1308*AD1308</f>
        <v/>
      </c>
      <c r="AG1308" s="28">
        <f>IFERROR(LOOKUP(AF1308,{0;0.5;5;25},{"Bajo";"Medio";"Alto";"Crítico"}),"")</f>
        <v/>
      </c>
      <c r="AH1308" s="28">
        <f>IF(AG1308="","",IF(OR(AG1308="Crítico",AG1308="Alto"),"Mitigar",IF(AG1308="Medio","Mitigar","Aceptar y monitorear")))</f>
        <v/>
      </c>
      <c r="AI1308" s="21" t="n"/>
      <c r="AJ1308" s="21" t="n"/>
      <c r="AK1308" s="20" t="n"/>
      <c r="AL1308" s="77">
        <f>IFERROR(INDEX(MgAmenEfic,MATCH(SUBSTITUTE($H1308,"*","-"),MgAmenClave,0)),0)</f>
        <v/>
      </c>
    </row>
    <row r="1309" hidden="1" ht="60" customHeight="1" s="54">
      <c r="B1309" s="59" t="inlineStr">
        <is>
          <t>R-1304</t>
        </is>
      </c>
      <c r="C1309" s="59" t="inlineStr">
        <is>
          <t>GH-018</t>
        </is>
      </c>
      <c r="D1309" s="64">
        <f>IFERROR(INDEX(MgNombre,MATCH($C1309,MgActId,0)),"")</f>
        <v/>
      </c>
      <c r="E1309" s="64">
        <f>IFERROR(INDEX(MgProceso,MATCH($C1309,MgActId,0)),"")</f>
        <v/>
      </c>
      <c r="F1309" s="64">
        <f>IFERROR(INDEX(MgTipo,MATCH($C1309,MgActId,0)),"")</f>
        <v/>
      </c>
      <c r="G1309" s="64">
        <f>IFERROR(INDEX(MgSubtipo,MATCH($C1309,MgActId,0)),"")</f>
        <v/>
      </c>
      <c r="H1309" s="59" t="inlineStr">
        <is>
          <t>E.18</t>
        </is>
      </c>
      <c r="I1309" s="64">
        <f>IFERROR(INDEX(MgAmenNombre,MATCH(SUBSTITUTE($H1309,"*","-"),MgAmenClave,0)),"")</f>
        <v/>
      </c>
      <c r="J1309" s="28">
        <f>IFERROR(INDEX(MgAmenGrupo,MATCH(SUBSTITUTE($H1309,"*","-"),MgAmenClave,0)),"")</f>
        <v/>
      </c>
      <c r="K1309" s="64">
        <f>IFERROR(INDEX('1. Matriz de Activos'!$Q$6:$Q$239,MATCH($C1309,MgActId,0)),"")</f>
        <v/>
      </c>
      <c r="L1309" s="64">
        <f>IFERROR(INDEX('1. Matriz de Activos'!$R$6:$R$239,MATCH($C1309,MgActId,0)),"")</f>
        <v/>
      </c>
      <c r="M1309" s="64">
        <f>IFERROR(INDEX('1. Matriz de Activos'!$S$6:$S$239,MATCH($C1309,MgActId,0)),"")</f>
        <v/>
      </c>
      <c r="N1309" s="28">
        <f>IFERROR(INDEX(MgAmenDegD,MATCH(SUBSTITUTE($H1309,"*","-"),MgAmenClave,0)),"No aplica")</f>
        <v/>
      </c>
      <c r="O1309" s="28">
        <f>IFERROR(INDEX(MgAmenDegI,MATCH(SUBSTITUTE($H1309,"*","-"),MgAmenClave,0)),"No aplica")</f>
        <v/>
      </c>
      <c r="P1309" s="28">
        <f>IFERROR(INDEX(MgAmenDegC,MATCH(SUBSTITUTE($H1309,"*","-"),MgAmenClave,0)),"No aplica")</f>
        <v/>
      </c>
      <c r="Q1309" s="29">
        <f>IFERROR(VLOOKUP(K1309,MgValor,2,0)*VLOOKUP(N1309,MgDeg,2,0),0)</f>
        <v/>
      </c>
      <c r="R1309" s="29">
        <f>IFERROR(VLOOKUP(L1309,MgValor,2,0)*VLOOKUP(O1309,MgDeg,2,0),0)</f>
        <v/>
      </c>
      <c r="S1309" s="29">
        <f>IFERROR(VLOOKUP(M1309,MgValor,2,0)*VLOOKUP(P1309,MgDeg,2,0),0)</f>
        <v/>
      </c>
      <c r="T1309" s="30">
        <f>MAX(Q1309:S1309)</f>
        <v/>
      </c>
      <c r="U1309" s="28">
        <f>IFERROR(LOOKUP(T1309,{0;0.5;1.5;3;4.5},{"Despreciable";"Bajo";"Medio";"Alto";"Muy alto"}),"")</f>
        <v/>
      </c>
      <c r="V1309" s="13">
        <f>IFERROR(INDEX(MgAmenFrec,MATCH(SUBSTITUTE($H1309,"*","-"),MgAmenClave,0)),"")</f>
        <v/>
      </c>
      <c r="W1309" s="28">
        <f>IFERROR(LOOKUP(X1309,{0;0.01;0.1;1;10;100},{"Muy baja";"Muy baja";"Baja";"Media";"Alta";"Muy alta"}),"")</f>
        <v/>
      </c>
      <c r="X1309" s="31">
        <f>IFERROR(VLOOKUP(V1309,MgFrec,2,0),0)</f>
        <v/>
      </c>
      <c r="Y1309" s="30">
        <f>T1309*X1309</f>
        <v/>
      </c>
      <c r="Z1309" s="28">
        <f>IFERROR(LOOKUP(Y1309,{0;0.5;5;25},{"Bajo";"Medio";"Alto";"Crítico"}),"")</f>
        <v/>
      </c>
      <c r="AA1309" s="64">
        <f>IF(T1309&gt;=3,IF(X1309&gt;=1,"Zona 1 — Crítica: impacto alto y ocurre al menos una vez al año","Zona 4 — Catastrófica poco probable: impacto alto pero excepcional"),IF(AND(T1309&lt;1.5,X1309&lt;1),"Zona 3 — Asumible: impacto bajo y muy poco frecuente","Zona 2 — Atención: riesgo intermedio"))</f>
        <v/>
      </c>
      <c r="AB1309" s="64">
        <f>IFERROR(INDEX(MgAmenCtrl,MATCH(SUBSTITUTE($H1309,"*","-"),MgAmenClave,0)),"")</f>
        <v/>
      </c>
      <c r="AC1309" s="20" t="n"/>
      <c r="AD1309" s="31">
        <f>IFERROR($X1309*(1-IF($AC1309="",$AL1309,VLOOKUP($AC1309,MgMad,2,0))),"")</f>
        <v/>
      </c>
      <c r="AE1309" s="28">
        <f>IFERROR(LOOKUP(AD1309,{0;0.01;0.1;1;10;100},{"Muy baja";"Muy baja";"Baja";"Media";"Alta";"Muy alta"}),"")</f>
        <v/>
      </c>
      <c r="AF1309" s="30">
        <f>T1309*AD1309</f>
        <v/>
      </c>
      <c r="AG1309" s="28">
        <f>IFERROR(LOOKUP(AF1309,{0;0.5;5;25},{"Bajo";"Medio";"Alto";"Crítico"}),"")</f>
        <v/>
      </c>
      <c r="AH1309" s="28">
        <f>IF(AG1309="","",IF(OR(AG1309="Crítico",AG1309="Alto"),"Mitigar",IF(AG1309="Medio","Mitigar","Aceptar y monitorear")))</f>
        <v/>
      </c>
      <c r="AI1309" s="21" t="n"/>
      <c r="AJ1309" s="21" t="n"/>
      <c r="AK1309" s="20" t="n"/>
      <c r="AL1309" s="77">
        <f>IFERROR(INDEX(MgAmenEfic,MATCH(SUBSTITUTE($H1309,"*","-"),MgAmenClave,0)),0)</f>
        <v/>
      </c>
    </row>
    <row r="1310" hidden="1" ht="105" customHeight="1" s="54">
      <c r="B1310" s="59" t="inlineStr">
        <is>
          <t>R-1305</t>
        </is>
      </c>
      <c r="C1310" s="59" t="inlineStr">
        <is>
          <t>GH-018</t>
        </is>
      </c>
      <c r="D1310" s="64">
        <f>IFERROR(INDEX(MgNombre,MATCH($C1310,MgActId,0)),"")</f>
        <v/>
      </c>
      <c r="E1310" s="64">
        <f>IFERROR(INDEX(MgProceso,MATCH($C1310,MgActId,0)),"")</f>
        <v/>
      </c>
      <c r="F1310" s="64">
        <f>IFERROR(INDEX(MgTipo,MATCH($C1310,MgActId,0)),"")</f>
        <v/>
      </c>
      <c r="G1310" s="64">
        <f>IFERROR(INDEX(MgSubtipo,MATCH($C1310,MgActId,0)),"")</f>
        <v/>
      </c>
      <c r="H1310" s="59" t="inlineStr">
        <is>
          <t>E.19</t>
        </is>
      </c>
      <c r="I1310" s="64">
        <f>IFERROR(INDEX(MgAmenNombre,MATCH(SUBSTITUTE($H1310,"*","-"),MgAmenClave,0)),"")</f>
        <v/>
      </c>
      <c r="J1310" s="28">
        <f>IFERROR(INDEX(MgAmenGrupo,MATCH(SUBSTITUTE($H1310,"*","-"),MgAmenClave,0)),"")</f>
        <v/>
      </c>
      <c r="K1310" s="64">
        <f>IFERROR(INDEX('1. Matriz de Activos'!$Q$6:$Q$239,MATCH($C1310,MgActId,0)),"")</f>
        <v/>
      </c>
      <c r="L1310" s="64">
        <f>IFERROR(INDEX('1. Matriz de Activos'!$R$6:$R$239,MATCH($C1310,MgActId,0)),"")</f>
        <v/>
      </c>
      <c r="M1310" s="64">
        <f>IFERROR(INDEX('1. Matriz de Activos'!$S$6:$S$239,MATCH($C1310,MgActId,0)),"")</f>
        <v/>
      </c>
      <c r="N1310" s="28">
        <f>IFERROR(INDEX(MgAmenDegD,MATCH(SUBSTITUTE($H1310,"*","-"),MgAmenClave,0)),"No aplica")</f>
        <v/>
      </c>
      <c r="O1310" s="28">
        <f>IFERROR(INDEX(MgAmenDegI,MATCH(SUBSTITUTE($H1310,"*","-"),MgAmenClave,0)),"No aplica")</f>
        <v/>
      </c>
      <c r="P1310" s="28">
        <f>IFERROR(INDEX(MgAmenDegC,MATCH(SUBSTITUTE($H1310,"*","-"),MgAmenClave,0)),"No aplica")</f>
        <v/>
      </c>
      <c r="Q1310" s="29">
        <f>IFERROR(VLOOKUP(K1310,MgValor,2,0)*VLOOKUP(N1310,MgDeg,2,0),0)</f>
        <v/>
      </c>
      <c r="R1310" s="29">
        <f>IFERROR(VLOOKUP(L1310,MgValor,2,0)*VLOOKUP(O1310,MgDeg,2,0),0)</f>
        <v/>
      </c>
      <c r="S1310" s="29">
        <f>IFERROR(VLOOKUP(M1310,MgValor,2,0)*VLOOKUP(P1310,MgDeg,2,0),0)</f>
        <v/>
      </c>
      <c r="T1310" s="30">
        <f>MAX(Q1310:S1310)</f>
        <v/>
      </c>
      <c r="U1310" s="28">
        <f>IFERROR(LOOKUP(T1310,{0;0.5;1.5;3;4.5},{"Despreciable";"Bajo";"Medio";"Alto";"Muy alto"}),"")</f>
        <v/>
      </c>
      <c r="V1310" s="13">
        <f>IFERROR(INDEX(MgAmenFrec,MATCH(SUBSTITUTE($H1310,"*","-"),MgAmenClave,0)),"")</f>
        <v/>
      </c>
      <c r="W1310" s="28">
        <f>IFERROR(LOOKUP(X1310,{0;0.01;0.1;1;10;100},{"Muy baja";"Muy baja";"Baja";"Media";"Alta";"Muy alta"}),"")</f>
        <v/>
      </c>
      <c r="X1310" s="31">
        <f>IFERROR(VLOOKUP(V1310,MgFrec,2,0),0)</f>
        <v/>
      </c>
      <c r="Y1310" s="30">
        <f>T1310*X1310</f>
        <v/>
      </c>
      <c r="Z1310" s="28">
        <f>IFERROR(LOOKUP(Y1310,{0;0.5;5;25},{"Bajo";"Medio";"Alto";"Crítico"}),"")</f>
        <v/>
      </c>
      <c r="AA1310" s="64">
        <f>IF(T1310&gt;=3,IF(X1310&gt;=1,"Zona 1 — Crítica: impacto alto y ocurre al menos una vez al año","Zona 4 — Catastrófica poco probable: impacto alto pero excepcional"),IF(AND(T1310&lt;1.5,X1310&lt;1),"Zona 3 — Asumible: impacto bajo y muy poco frecuente","Zona 2 — Atención: riesgo intermedio"))</f>
        <v/>
      </c>
      <c r="AB1310" s="64">
        <f>IFERROR(INDEX(MgAmenCtrl,MATCH(SUBSTITUTE($H1310,"*","-"),MgAmenClave,0)),"")</f>
        <v/>
      </c>
      <c r="AC1310" s="20" t="n"/>
      <c r="AD1310" s="31">
        <f>IFERROR($X1310*(1-IF($AC1310="",$AL1310,VLOOKUP($AC1310,MgMad,2,0))),"")</f>
        <v/>
      </c>
      <c r="AE1310" s="28">
        <f>IFERROR(LOOKUP(AD1310,{0;0.01;0.1;1;10;100},{"Muy baja";"Muy baja";"Baja";"Media";"Alta";"Muy alta"}),"")</f>
        <v/>
      </c>
      <c r="AF1310" s="30">
        <f>T1310*AD1310</f>
        <v/>
      </c>
      <c r="AG1310" s="28">
        <f>IFERROR(LOOKUP(AF1310,{0;0.5;5;25},{"Bajo";"Medio";"Alto";"Crítico"}),"")</f>
        <v/>
      </c>
      <c r="AH1310" s="28">
        <f>IF(AG1310="","",IF(OR(AG1310="Crítico",AG1310="Alto"),"Mitigar",IF(AG1310="Medio","Mitigar","Aceptar y monitorear")))</f>
        <v/>
      </c>
      <c r="AI1310" s="21" t="n"/>
      <c r="AJ1310" s="21" t="n"/>
      <c r="AK1310" s="20" t="n"/>
      <c r="AL1310" s="77">
        <f>IFERROR(INDEX(MgAmenEfic,MATCH(SUBSTITUTE($H1310,"*","-"),MgAmenClave,0)),0)</f>
        <v/>
      </c>
    </row>
    <row r="1311" hidden="1" ht="60" customHeight="1" s="54">
      <c r="B1311" s="59" t="inlineStr">
        <is>
          <t>R-1306</t>
        </is>
      </c>
      <c r="C1311" s="59" t="inlineStr">
        <is>
          <t>GH-018</t>
        </is>
      </c>
      <c r="D1311" s="64">
        <f>IFERROR(INDEX(MgNombre,MATCH($C1311,MgActId,0)),"")</f>
        <v/>
      </c>
      <c r="E1311" s="64">
        <f>IFERROR(INDEX(MgProceso,MATCH($C1311,MgActId,0)),"")</f>
        <v/>
      </c>
      <c r="F1311" s="64">
        <f>IFERROR(INDEX(MgTipo,MATCH($C1311,MgActId,0)),"")</f>
        <v/>
      </c>
      <c r="G1311" s="64">
        <f>IFERROR(INDEX(MgSubtipo,MATCH($C1311,MgActId,0)),"")</f>
        <v/>
      </c>
      <c r="H1311" s="59" t="inlineStr">
        <is>
          <t>A.3</t>
        </is>
      </c>
      <c r="I1311" s="64">
        <f>IFERROR(INDEX(MgAmenNombre,MATCH(SUBSTITUTE($H1311,"*","-"),MgAmenClave,0)),"")</f>
        <v/>
      </c>
      <c r="J1311" s="28">
        <f>IFERROR(INDEX(MgAmenGrupo,MATCH(SUBSTITUTE($H1311,"*","-"),MgAmenClave,0)),"")</f>
        <v/>
      </c>
      <c r="K1311" s="64">
        <f>IFERROR(INDEX('1. Matriz de Activos'!$Q$6:$Q$239,MATCH($C1311,MgActId,0)),"")</f>
        <v/>
      </c>
      <c r="L1311" s="64">
        <f>IFERROR(INDEX('1. Matriz de Activos'!$R$6:$R$239,MATCH($C1311,MgActId,0)),"")</f>
        <v/>
      </c>
      <c r="M1311" s="64">
        <f>IFERROR(INDEX('1. Matriz de Activos'!$S$6:$S$239,MATCH($C1311,MgActId,0)),"")</f>
        <v/>
      </c>
      <c r="N1311" s="28">
        <f>IFERROR(INDEX(MgAmenDegD,MATCH(SUBSTITUTE($H1311,"*","-"),MgAmenClave,0)),"No aplica")</f>
        <v/>
      </c>
      <c r="O1311" s="28">
        <f>IFERROR(INDEX(MgAmenDegI,MATCH(SUBSTITUTE($H1311,"*","-"),MgAmenClave,0)),"No aplica")</f>
        <v/>
      </c>
      <c r="P1311" s="28">
        <f>IFERROR(INDEX(MgAmenDegC,MATCH(SUBSTITUTE($H1311,"*","-"),MgAmenClave,0)),"No aplica")</f>
        <v/>
      </c>
      <c r="Q1311" s="29">
        <f>IFERROR(VLOOKUP(K1311,MgValor,2,0)*VLOOKUP(N1311,MgDeg,2,0),0)</f>
        <v/>
      </c>
      <c r="R1311" s="29">
        <f>IFERROR(VLOOKUP(L1311,MgValor,2,0)*VLOOKUP(O1311,MgDeg,2,0),0)</f>
        <v/>
      </c>
      <c r="S1311" s="29">
        <f>IFERROR(VLOOKUP(M1311,MgValor,2,0)*VLOOKUP(P1311,MgDeg,2,0),0)</f>
        <v/>
      </c>
      <c r="T1311" s="30">
        <f>MAX(Q1311:S1311)</f>
        <v/>
      </c>
      <c r="U1311" s="28">
        <f>IFERROR(LOOKUP(T1311,{0;0.5;1.5;3;4.5},{"Despreciable";"Bajo";"Medio";"Alto";"Muy alto"}),"")</f>
        <v/>
      </c>
      <c r="V1311" s="13">
        <f>IFERROR(INDEX(MgAmenFrec,MATCH(SUBSTITUTE($H1311,"*","-"),MgAmenClave,0)),"")</f>
        <v/>
      </c>
      <c r="W1311" s="28">
        <f>IFERROR(LOOKUP(X1311,{0;0.01;0.1;1;10;100},{"Muy baja";"Muy baja";"Baja";"Media";"Alta";"Muy alta"}),"")</f>
        <v/>
      </c>
      <c r="X1311" s="31">
        <f>IFERROR(VLOOKUP(V1311,MgFrec,2,0),0)</f>
        <v/>
      </c>
      <c r="Y1311" s="30">
        <f>T1311*X1311</f>
        <v/>
      </c>
      <c r="Z1311" s="28">
        <f>IFERROR(LOOKUP(Y1311,{0;0.5;5;25},{"Bajo";"Medio";"Alto";"Crítico"}),"")</f>
        <v/>
      </c>
      <c r="AA1311" s="64">
        <f>IF(T1311&gt;=3,IF(X1311&gt;=1,"Zona 1 — Crítica: impacto alto y ocurre al menos una vez al año","Zona 4 — Catastrófica poco probable: impacto alto pero excepcional"),IF(AND(T1311&lt;1.5,X1311&lt;1),"Zona 3 — Asumible: impacto bajo y muy poco frecuente","Zona 2 — Atención: riesgo intermedio"))</f>
        <v/>
      </c>
      <c r="AB1311" s="64">
        <f>IFERROR(INDEX(MgAmenCtrl,MATCH(SUBSTITUTE($H1311,"*","-"),MgAmenClave,0)),"")</f>
        <v/>
      </c>
      <c r="AC1311" s="20" t="n"/>
      <c r="AD1311" s="31">
        <f>IFERROR($X1311*(1-IF($AC1311="",$AL1311,VLOOKUP($AC1311,MgMad,2,0))),"")</f>
        <v/>
      </c>
      <c r="AE1311" s="28">
        <f>IFERROR(LOOKUP(AD1311,{0;0.01;0.1;1;10;100},{"Muy baja";"Muy baja";"Baja";"Media";"Alta";"Muy alta"}),"")</f>
        <v/>
      </c>
      <c r="AF1311" s="30">
        <f>T1311*AD1311</f>
        <v/>
      </c>
      <c r="AG1311" s="28">
        <f>IFERROR(LOOKUP(AF1311,{0;0.5;5;25},{"Bajo";"Medio";"Alto";"Crítico"}),"")</f>
        <v/>
      </c>
      <c r="AH1311" s="28">
        <f>IF(AG1311="","",IF(OR(AG1311="Crítico",AG1311="Alto"),"Mitigar",IF(AG1311="Medio","Mitigar","Aceptar y monitorear")))</f>
        <v/>
      </c>
      <c r="AI1311" s="21" t="n"/>
      <c r="AJ1311" s="21" t="n"/>
      <c r="AK1311" s="20" t="n"/>
      <c r="AL1311" s="77">
        <f>IFERROR(INDEX(MgAmenEfic,MATCH(SUBSTITUTE($H1311,"*","-"),MgAmenClave,0)),0)</f>
        <v/>
      </c>
    </row>
    <row r="1312" hidden="1" ht="60" customHeight="1" s="54">
      <c r="B1312" s="59" t="inlineStr">
        <is>
          <t>R-1307</t>
        </is>
      </c>
      <c r="C1312" s="59" t="inlineStr">
        <is>
          <t>GH-018</t>
        </is>
      </c>
      <c r="D1312" s="64">
        <f>IFERROR(INDEX(MgNombre,MATCH($C1312,MgActId,0)),"")</f>
        <v/>
      </c>
      <c r="E1312" s="64">
        <f>IFERROR(INDEX(MgProceso,MATCH($C1312,MgActId,0)),"")</f>
        <v/>
      </c>
      <c r="F1312" s="64">
        <f>IFERROR(INDEX(MgTipo,MATCH($C1312,MgActId,0)),"")</f>
        <v/>
      </c>
      <c r="G1312" s="64">
        <f>IFERROR(INDEX(MgSubtipo,MATCH($C1312,MgActId,0)),"")</f>
        <v/>
      </c>
      <c r="H1312" s="59" t="inlineStr">
        <is>
          <t>A.4</t>
        </is>
      </c>
      <c r="I1312" s="64">
        <f>IFERROR(INDEX(MgAmenNombre,MATCH(SUBSTITUTE($H1312,"*","-"),MgAmenClave,0)),"")</f>
        <v/>
      </c>
      <c r="J1312" s="28">
        <f>IFERROR(INDEX(MgAmenGrupo,MATCH(SUBSTITUTE($H1312,"*","-"),MgAmenClave,0)),"")</f>
        <v/>
      </c>
      <c r="K1312" s="64">
        <f>IFERROR(INDEX('1. Matriz de Activos'!$Q$6:$Q$239,MATCH($C1312,MgActId,0)),"")</f>
        <v/>
      </c>
      <c r="L1312" s="64">
        <f>IFERROR(INDEX('1. Matriz de Activos'!$R$6:$R$239,MATCH($C1312,MgActId,0)),"")</f>
        <v/>
      </c>
      <c r="M1312" s="64">
        <f>IFERROR(INDEX('1. Matriz de Activos'!$S$6:$S$239,MATCH($C1312,MgActId,0)),"")</f>
        <v/>
      </c>
      <c r="N1312" s="28">
        <f>IFERROR(INDEX(MgAmenDegD,MATCH(SUBSTITUTE($H1312,"*","-"),MgAmenClave,0)),"No aplica")</f>
        <v/>
      </c>
      <c r="O1312" s="28">
        <f>IFERROR(INDEX(MgAmenDegI,MATCH(SUBSTITUTE($H1312,"*","-"),MgAmenClave,0)),"No aplica")</f>
        <v/>
      </c>
      <c r="P1312" s="28">
        <f>IFERROR(INDEX(MgAmenDegC,MATCH(SUBSTITUTE($H1312,"*","-"),MgAmenClave,0)),"No aplica")</f>
        <v/>
      </c>
      <c r="Q1312" s="29">
        <f>IFERROR(VLOOKUP(K1312,MgValor,2,0)*VLOOKUP(N1312,MgDeg,2,0),0)</f>
        <v/>
      </c>
      <c r="R1312" s="29">
        <f>IFERROR(VLOOKUP(L1312,MgValor,2,0)*VLOOKUP(O1312,MgDeg,2,0),0)</f>
        <v/>
      </c>
      <c r="S1312" s="29">
        <f>IFERROR(VLOOKUP(M1312,MgValor,2,0)*VLOOKUP(P1312,MgDeg,2,0),0)</f>
        <v/>
      </c>
      <c r="T1312" s="30">
        <f>MAX(Q1312:S1312)</f>
        <v/>
      </c>
      <c r="U1312" s="28">
        <f>IFERROR(LOOKUP(T1312,{0;0.5;1.5;3;4.5},{"Despreciable";"Bajo";"Medio";"Alto";"Muy alto"}),"")</f>
        <v/>
      </c>
      <c r="V1312" s="13">
        <f>IFERROR(INDEX(MgAmenFrec,MATCH(SUBSTITUTE($H1312,"*","-"),MgAmenClave,0)),"")</f>
        <v/>
      </c>
      <c r="W1312" s="28">
        <f>IFERROR(LOOKUP(X1312,{0;0.01;0.1;1;10;100},{"Muy baja";"Muy baja";"Baja";"Media";"Alta";"Muy alta"}),"")</f>
        <v/>
      </c>
      <c r="X1312" s="31">
        <f>IFERROR(VLOOKUP(V1312,MgFrec,2,0),0)</f>
        <v/>
      </c>
      <c r="Y1312" s="30">
        <f>T1312*X1312</f>
        <v/>
      </c>
      <c r="Z1312" s="28">
        <f>IFERROR(LOOKUP(Y1312,{0;0.5;5;25},{"Bajo";"Medio";"Alto";"Crítico"}),"")</f>
        <v/>
      </c>
      <c r="AA1312" s="64">
        <f>IF(T1312&gt;=3,IF(X1312&gt;=1,"Zona 1 — Crítica: impacto alto y ocurre al menos una vez al año","Zona 4 — Catastrófica poco probable: impacto alto pero excepcional"),IF(AND(T1312&lt;1.5,X1312&lt;1),"Zona 3 — Asumible: impacto bajo y muy poco frecuente","Zona 2 — Atención: riesgo intermedio"))</f>
        <v/>
      </c>
      <c r="AB1312" s="64">
        <f>IFERROR(INDEX(MgAmenCtrl,MATCH(SUBSTITUTE($H1312,"*","-"),MgAmenClave,0)),"")</f>
        <v/>
      </c>
      <c r="AC1312" s="20" t="n"/>
      <c r="AD1312" s="31">
        <f>IFERROR($X1312*(1-IF($AC1312="",$AL1312,VLOOKUP($AC1312,MgMad,2,0))),"")</f>
        <v/>
      </c>
      <c r="AE1312" s="28">
        <f>IFERROR(LOOKUP(AD1312,{0;0.01;0.1;1;10;100},{"Muy baja";"Muy baja";"Baja";"Media";"Alta";"Muy alta"}),"")</f>
        <v/>
      </c>
      <c r="AF1312" s="30">
        <f>T1312*AD1312</f>
        <v/>
      </c>
      <c r="AG1312" s="28">
        <f>IFERROR(LOOKUP(AF1312,{0;0.5;5;25},{"Bajo";"Medio";"Alto";"Crítico"}),"")</f>
        <v/>
      </c>
      <c r="AH1312" s="28">
        <f>IF(AG1312="","",IF(OR(AG1312="Crítico",AG1312="Alto"),"Mitigar",IF(AG1312="Medio","Mitigar","Aceptar y monitorear")))</f>
        <v/>
      </c>
      <c r="AI1312" s="21" t="n"/>
      <c r="AJ1312" s="21" t="n"/>
      <c r="AK1312" s="20" t="n"/>
      <c r="AL1312" s="77">
        <f>IFERROR(INDEX(MgAmenEfic,MATCH(SUBSTITUTE($H1312,"*","-"),MgAmenClave,0)),0)</f>
        <v/>
      </c>
    </row>
    <row r="1313" hidden="1" ht="75" customHeight="1" s="54">
      <c r="B1313" s="59" t="inlineStr">
        <is>
          <t>R-1308</t>
        </is>
      </c>
      <c r="C1313" s="59" t="inlineStr">
        <is>
          <t>GH-018</t>
        </is>
      </c>
      <c r="D1313" s="64">
        <f>IFERROR(INDEX(MgNombre,MATCH($C1313,MgActId,0)),"")</f>
        <v/>
      </c>
      <c r="E1313" s="64">
        <f>IFERROR(INDEX(MgProceso,MATCH($C1313,MgActId,0)),"")</f>
        <v/>
      </c>
      <c r="F1313" s="64">
        <f>IFERROR(INDEX(MgTipo,MATCH($C1313,MgActId,0)),"")</f>
        <v/>
      </c>
      <c r="G1313" s="64">
        <f>IFERROR(INDEX(MgSubtipo,MATCH($C1313,MgActId,0)),"")</f>
        <v/>
      </c>
      <c r="H1313" s="59" t="inlineStr">
        <is>
          <t>A.5</t>
        </is>
      </c>
      <c r="I1313" s="64">
        <f>IFERROR(INDEX(MgAmenNombre,MATCH(SUBSTITUTE($H1313,"*","-"),MgAmenClave,0)),"")</f>
        <v/>
      </c>
      <c r="J1313" s="28">
        <f>IFERROR(INDEX(MgAmenGrupo,MATCH(SUBSTITUTE($H1313,"*","-"),MgAmenClave,0)),"")</f>
        <v/>
      </c>
      <c r="K1313" s="64">
        <f>IFERROR(INDEX('1. Matriz de Activos'!$Q$6:$Q$239,MATCH($C1313,MgActId,0)),"")</f>
        <v/>
      </c>
      <c r="L1313" s="64">
        <f>IFERROR(INDEX('1. Matriz de Activos'!$R$6:$R$239,MATCH($C1313,MgActId,0)),"")</f>
        <v/>
      </c>
      <c r="M1313" s="64">
        <f>IFERROR(INDEX('1. Matriz de Activos'!$S$6:$S$239,MATCH($C1313,MgActId,0)),"")</f>
        <v/>
      </c>
      <c r="N1313" s="28">
        <f>IFERROR(INDEX(MgAmenDegD,MATCH(SUBSTITUTE($H1313,"*","-"),MgAmenClave,0)),"No aplica")</f>
        <v/>
      </c>
      <c r="O1313" s="28">
        <f>IFERROR(INDEX(MgAmenDegI,MATCH(SUBSTITUTE($H1313,"*","-"),MgAmenClave,0)),"No aplica")</f>
        <v/>
      </c>
      <c r="P1313" s="28">
        <f>IFERROR(INDEX(MgAmenDegC,MATCH(SUBSTITUTE($H1313,"*","-"),MgAmenClave,0)),"No aplica")</f>
        <v/>
      </c>
      <c r="Q1313" s="29">
        <f>IFERROR(VLOOKUP(K1313,MgValor,2,0)*VLOOKUP(N1313,MgDeg,2,0),0)</f>
        <v/>
      </c>
      <c r="R1313" s="29">
        <f>IFERROR(VLOOKUP(L1313,MgValor,2,0)*VLOOKUP(O1313,MgDeg,2,0),0)</f>
        <v/>
      </c>
      <c r="S1313" s="29">
        <f>IFERROR(VLOOKUP(M1313,MgValor,2,0)*VLOOKUP(P1313,MgDeg,2,0),0)</f>
        <v/>
      </c>
      <c r="T1313" s="30">
        <f>MAX(Q1313:S1313)</f>
        <v/>
      </c>
      <c r="U1313" s="28">
        <f>IFERROR(LOOKUP(T1313,{0;0.5;1.5;3;4.5},{"Despreciable";"Bajo";"Medio";"Alto";"Muy alto"}),"")</f>
        <v/>
      </c>
      <c r="V1313" s="13">
        <f>IFERROR(INDEX(MgAmenFrec,MATCH(SUBSTITUTE($H1313,"*","-"),MgAmenClave,0)),"")</f>
        <v/>
      </c>
      <c r="W1313" s="28">
        <f>IFERROR(LOOKUP(X1313,{0;0.01;0.1;1;10;100},{"Muy baja";"Muy baja";"Baja";"Media";"Alta";"Muy alta"}),"")</f>
        <v/>
      </c>
      <c r="X1313" s="31">
        <f>IFERROR(VLOOKUP(V1313,MgFrec,2,0),0)</f>
        <v/>
      </c>
      <c r="Y1313" s="30">
        <f>T1313*X1313</f>
        <v/>
      </c>
      <c r="Z1313" s="28">
        <f>IFERROR(LOOKUP(Y1313,{0;0.5;5;25},{"Bajo";"Medio";"Alto";"Crítico"}),"")</f>
        <v/>
      </c>
      <c r="AA1313" s="64">
        <f>IF(T1313&gt;=3,IF(X1313&gt;=1,"Zona 1 — Crítica: impacto alto y ocurre al menos una vez al año","Zona 4 — Catastrófica poco probable: impacto alto pero excepcional"),IF(AND(T1313&lt;1.5,X1313&lt;1),"Zona 3 — Asumible: impacto bajo y muy poco frecuente","Zona 2 — Atención: riesgo intermedio"))</f>
        <v/>
      </c>
      <c r="AB1313" s="64">
        <f>IFERROR(INDEX(MgAmenCtrl,MATCH(SUBSTITUTE($H1313,"*","-"),MgAmenClave,0)),"")</f>
        <v/>
      </c>
      <c r="AC1313" s="20" t="n"/>
      <c r="AD1313" s="31">
        <f>IFERROR($X1313*(1-IF($AC1313="",$AL1313,VLOOKUP($AC1313,MgMad,2,0))),"")</f>
        <v/>
      </c>
      <c r="AE1313" s="28">
        <f>IFERROR(LOOKUP(AD1313,{0;0.01;0.1;1;10;100},{"Muy baja";"Muy baja";"Baja";"Media";"Alta";"Muy alta"}),"")</f>
        <v/>
      </c>
      <c r="AF1313" s="30">
        <f>T1313*AD1313</f>
        <v/>
      </c>
      <c r="AG1313" s="28">
        <f>IFERROR(LOOKUP(AF1313,{0;0.5;5;25},{"Bajo";"Medio";"Alto";"Crítico"}),"")</f>
        <v/>
      </c>
      <c r="AH1313" s="28">
        <f>IF(AG1313="","",IF(OR(AG1313="Crítico",AG1313="Alto"),"Mitigar",IF(AG1313="Medio","Mitigar","Aceptar y monitorear")))</f>
        <v/>
      </c>
      <c r="AI1313" s="21" t="n"/>
      <c r="AJ1313" s="21" t="n"/>
      <c r="AK1313" s="20" t="n"/>
      <c r="AL1313" s="77">
        <f>IFERROR(INDEX(MgAmenEfic,MATCH(SUBSTITUTE($H1313,"*","-"),MgAmenClave,0)),0)</f>
        <v/>
      </c>
    </row>
    <row r="1314" hidden="1" ht="105" customHeight="1" s="54">
      <c r="B1314" s="59" t="inlineStr">
        <is>
          <t>R-1309</t>
        </is>
      </c>
      <c r="C1314" s="59" t="inlineStr">
        <is>
          <t>GH-018</t>
        </is>
      </c>
      <c r="D1314" s="64">
        <f>IFERROR(INDEX(MgNombre,MATCH($C1314,MgActId,0)),"")</f>
        <v/>
      </c>
      <c r="E1314" s="64">
        <f>IFERROR(INDEX(MgProceso,MATCH($C1314,MgActId,0)),"")</f>
        <v/>
      </c>
      <c r="F1314" s="64">
        <f>IFERROR(INDEX(MgTipo,MATCH($C1314,MgActId,0)),"")</f>
        <v/>
      </c>
      <c r="G1314" s="64">
        <f>IFERROR(INDEX(MgSubtipo,MATCH($C1314,MgActId,0)),"")</f>
        <v/>
      </c>
      <c r="H1314" s="59" t="inlineStr">
        <is>
          <t>A.6</t>
        </is>
      </c>
      <c r="I1314" s="64">
        <f>IFERROR(INDEX(MgAmenNombre,MATCH(SUBSTITUTE($H1314,"*","-"),MgAmenClave,0)),"")</f>
        <v/>
      </c>
      <c r="J1314" s="28">
        <f>IFERROR(INDEX(MgAmenGrupo,MATCH(SUBSTITUTE($H1314,"*","-"),MgAmenClave,0)),"")</f>
        <v/>
      </c>
      <c r="K1314" s="64">
        <f>IFERROR(INDEX('1. Matriz de Activos'!$Q$6:$Q$239,MATCH($C1314,MgActId,0)),"")</f>
        <v/>
      </c>
      <c r="L1314" s="64">
        <f>IFERROR(INDEX('1. Matriz de Activos'!$R$6:$R$239,MATCH($C1314,MgActId,0)),"")</f>
        <v/>
      </c>
      <c r="M1314" s="64">
        <f>IFERROR(INDEX('1. Matriz de Activos'!$S$6:$S$239,MATCH($C1314,MgActId,0)),"")</f>
        <v/>
      </c>
      <c r="N1314" s="28">
        <f>IFERROR(INDEX(MgAmenDegD,MATCH(SUBSTITUTE($H1314,"*","-"),MgAmenClave,0)),"No aplica")</f>
        <v/>
      </c>
      <c r="O1314" s="28">
        <f>IFERROR(INDEX(MgAmenDegI,MATCH(SUBSTITUTE($H1314,"*","-"),MgAmenClave,0)),"No aplica")</f>
        <v/>
      </c>
      <c r="P1314" s="28">
        <f>IFERROR(INDEX(MgAmenDegC,MATCH(SUBSTITUTE($H1314,"*","-"),MgAmenClave,0)),"No aplica")</f>
        <v/>
      </c>
      <c r="Q1314" s="29">
        <f>IFERROR(VLOOKUP(K1314,MgValor,2,0)*VLOOKUP(N1314,MgDeg,2,0),0)</f>
        <v/>
      </c>
      <c r="R1314" s="29">
        <f>IFERROR(VLOOKUP(L1314,MgValor,2,0)*VLOOKUP(O1314,MgDeg,2,0),0)</f>
        <v/>
      </c>
      <c r="S1314" s="29">
        <f>IFERROR(VLOOKUP(M1314,MgValor,2,0)*VLOOKUP(P1314,MgDeg,2,0),0)</f>
        <v/>
      </c>
      <c r="T1314" s="30">
        <f>MAX(Q1314:S1314)</f>
        <v/>
      </c>
      <c r="U1314" s="28">
        <f>IFERROR(LOOKUP(T1314,{0;0.5;1.5;3;4.5},{"Despreciable";"Bajo";"Medio";"Alto";"Muy alto"}),"")</f>
        <v/>
      </c>
      <c r="V1314" s="13">
        <f>IFERROR(INDEX(MgAmenFrec,MATCH(SUBSTITUTE($H1314,"*","-"),MgAmenClave,0)),"")</f>
        <v/>
      </c>
      <c r="W1314" s="28">
        <f>IFERROR(LOOKUP(X1314,{0;0.01;0.1;1;10;100},{"Muy baja";"Muy baja";"Baja";"Media";"Alta";"Muy alta"}),"")</f>
        <v/>
      </c>
      <c r="X1314" s="31">
        <f>IFERROR(VLOOKUP(V1314,MgFrec,2,0),0)</f>
        <v/>
      </c>
      <c r="Y1314" s="30">
        <f>T1314*X1314</f>
        <v/>
      </c>
      <c r="Z1314" s="28">
        <f>IFERROR(LOOKUP(Y1314,{0;0.5;5;25},{"Bajo";"Medio";"Alto";"Crítico"}),"")</f>
        <v/>
      </c>
      <c r="AA1314" s="64">
        <f>IF(T1314&gt;=3,IF(X1314&gt;=1,"Zona 1 — Crítica: impacto alto y ocurre al menos una vez al año","Zona 4 — Catastrófica poco probable: impacto alto pero excepcional"),IF(AND(T1314&lt;1.5,X1314&lt;1),"Zona 3 — Asumible: impacto bajo y muy poco frecuente","Zona 2 — Atención: riesgo intermedio"))</f>
        <v/>
      </c>
      <c r="AB1314" s="64">
        <f>IFERROR(INDEX(MgAmenCtrl,MATCH(SUBSTITUTE($H1314,"*","-"),MgAmenClave,0)),"")</f>
        <v/>
      </c>
      <c r="AC1314" s="20" t="n"/>
      <c r="AD1314" s="31">
        <f>IFERROR($X1314*(1-IF($AC1314="",$AL1314,VLOOKUP($AC1314,MgMad,2,0))),"")</f>
        <v/>
      </c>
      <c r="AE1314" s="28">
        <f>IFERROR(LOOKUP(AD1314,{0;0.01;0.1;1;10;100},{"Muy baja";"Muy baja";"Baja";"Media";"Alta";"Muy alta"}),"")</f>
        <v/>
      </c>
      <c r="AF1314" s="30">
        <f>T1314*AD1314</f>
        <v/>
      </c>
      <c r="AG1314" s="28">
        <f>IFERROR(LOOKUP(AF1314,{0;0.5;5;25},{"Bajo";"Medio";"Alto";"Crítico"}),"")</f>
        <v/>
      </c>
      <c r="AH1314" s="28">
        <f>IF(AG1314="","",IF(OR(AG1314="Crítico",AG1314="Alto"),"Mitigar",IF(AG1314="Medio","Mitigar","Aceptar y monitorear")))</f>
        <v/>
      </c>
      <c r="AI1314" s="21" t="n"/>
      <c r="AJ1314" s="21" t="n"/>
      <c r="AK1314" s="20" t="n"/>
      <c r="AL1314" s="77">
        <f>IFERROR(INDEX(MgAmenEfic,MATCH(SUBSTITUTE($H1314,"*","-"),MgAmenClave,0)),0)</f>
        <v/>
      </c>
    </row>
    <row r="1315" hidden="1" ht="120" customHeight="1" s="54">
      <c r="B1315" s="59" t="inlineStr">
        <is>
          <t>R-1310</t>
        </is>
      </c>
      <c r="C1315" s="59" t="inlineStr">
        <is>
          <t>GH-018</t>
        </is>
      </c>
      <c r="D1315" s="64">
        <f>IFERROR(INDEX(MgNombre,MATCH($C1315,MgActId,0)),"")</f>
        <v/>
      </c>
      <c r="E1315" s="64">
        <f>IFERROR(INDEX(MgProceso,MATCH($C1315,MgActId,0)),"")</f>
        <v/>
      </c>
      <c r="F1315" s="64">
        <f>IFERROR(INDEX(MgTipo,MATCH($C1315,MgActId,0)),"")</f>
        <v/>
      </c>
      <c r="G1315" s="64">
        <f>IFERROR(INDEX(MgSubtipo,MATCH($C1315,MgActId,0)),"")</f>
        <v/>
      </c>
      <c r="H1315" s="59" t="inlineStr">
        <is>
          <t>A.11</t>
        </is>
      </c>
      <c r="I1315" s="64">
        <f>IFERROR(INDEX(MgAmenNombre,MATCH(SUBSTITUTE($H1315,"*","-"),MgAmenClave,0)),"")</f>
        <v/>
      </c>
      <c r="J1315" s="28">
        <f>IFERROR(INDEX(MgAmenGrupo,MATCH(SUBSTITUTE($H1315,"*","-"),MgAmenClave,0)),"")</f>
        <v/>
      </c>
      <c r="K1315" s="64">
        <f>IFERROR(INDEX('1. Matriz de Activos'!$Q$6:$Q$239,MATCH($C1315,MgActId,0)),"")</f>
        <v/>
      </c>
      <c r="L1315" s="64">
        <f>IFERROR(INDEX('1. Matriz de Activos'!$R$6:$R$239,MATCH($C1315,MgActId,0)),"")</f>
        <v/>
      </c>
      <c r="M1315" s="64">
        <f>IFERROR(INDEX('1. Matriz de Activos'!$S$6:$S$239,MATCH($C1315,MgActId,0)),"")</f>
        <v/>
      </c>
      <c r="N1315" s="28">
        <f>IFERROR(INDEX(MgAmenDegD,MATCH(SUBSTITUTE($H1315,"*","-"),MgAmenClave,0)),"No aplica")</f>
        <v/>
      </c>
      <c r="O1315" s="28">
        <f>IFERROR(INDEX(MgAmenDegI,MATCH(SUBSTITUTE($H1315,"*","-"),MgAmenClave,0)),"No aplica")</f>
        <v/>
      </c>
      <c r="P1315" s="28">
        <f>IFERROR(INDEX(MgAmenDegC,MATCH(SUBSTITUTE($H1315,"*","-"),MgAmenClave,0)),"No aplica")</f>
        <v/>
      </c>
      <c r="Q1315" s="29">
        <f>IFERROR(VLOOKUP(K1315,MgValor,2,0)*VLOOKUP(N1315,MgDeg,2,0),0)</f>
        <v/>
      </c>
      <c r="R1315" s="29">
        <f>IFERROR(VLOOKUP(L1315,MgValor,2,0)*VLOOKUP(O1315,MgDeg,2,0),0)</f>
        <v/>
      </c>
      <c r="S1315" s="29">
        <f>IFERROR(VLOOKUP(M1315,MgValor,2,0)*VLOOKUP(P1315,MgDeg,2,0),0)</f>
        <v/>
      </c>
      <c r="T1315" s="30">
        <f>MAX(Q1315:S1315)</f>
        <v/>
      </c>
      <c r="U1315" s="28">
        <f>IFERROR(LOOKUP(T1315,{0;0.5;1.5;3;4.5},{"Despreciable";"Bajo";"Medio";"Alto";"Muy alto"}),"")</f>
        <v/>
      </c>
      <c r="V1315" s="13">
        <f>IFERROR(INDEX(MgAmenFrec,MATCH(SUBSTITUTE($H1315,"*","-"),MgAmenClave,0)),"")</f>
        <v/>
      </c>
      <c r="W1315" s="28">
        <f>IFERROR(LOOKUP(X1315,{0;0.01;0.1;1;10;100},{"Muy baja";"Muy baja";"Baja";"Media";"Alta";"Muy alta"}),"")</f>
        <v/>
      </c>
      <c r="X1315" s="31">
        <f>IFERROR(VLOOKUP(V1315,MgFrec,2,0),0)</f>
        <v/>
      </c>
      <c r="Y1315" s="30">
        <f>T1315*X1315</f>
        <v/>
      </c>
      <c r="Z1315" s="28">
        <f>IFERROR(LOOKUP(Y1315,{0;0.5;5;25},{"Bajo";"Medio";"Alto";"Crítico"}),"")</f>
        <v/>
      </c>
      <c r="AA1315" s="64">
        <f>IF(T1315&gt;=3,IF(X1315&gt;=1,"Zona 1 — Crítica: impacto alto y ocurre al menos una vez al año","Zona 4 — Catastrófica poco probable: impacto alto pero excepcional"),IF(AND(T1315&lt;1.5,X1315&lt;1),"Zona 3 — Asumible: impacto bajo y muy poco frecuente","Zona 2 — Atención: riesgo intermedio"))</f>
        <v/>
      </c>
      <c r="AB1315" s="64">
        <f>IFERROR(INDEX(MgAmenCtrl,MATCH(SUBSTITUTE($H1315,"*","-"),MgAmenClave,0)),"")</f>
        <v/>
      </c>
      <c r="AC1315" s="20" t="n"/>
      <c r="AD1315" s="31">
        <f>IFERROR($X1315*(1-IF($AC1315="",$AL1315,VLOOKUP($AC1315,MgMad,2,0))),"")</f>
        <v/>
      </c>
      <c r="AE1315" s="28">
        <f>IFERROR(LOOKUP(AD1315,{0;0.01;0.1;1;10;100},{"Muy baja";"Muy baja";"Baja";"Media";"Alta";"Muy alta"}),"")</f>
        <v/>
      </c>
      <c r="AF1315" s="30">
        <f>T1315*AD1315</f>
        <v/>
      </c>
      <c r="AG1315" s="28">
        <f>IFERROR(LOOKUP(AF1315,{0;0.5;5;25},{"Bajo";"Medio";"Alto";"Crítico"}),"")</f>
        <v/>
      </c>
      <c r="AH1315" s="28">
        <f>IF(AG1315="","",IF(OR(AG1315="Crítico",AG1315="Alto"),"Mitigar",IF(AG1315="Medio","Mitigar","Aceptar y monitorear")))</f>
        <v/>
      </c>
      <c r="AI1315" s="21" t="n"/>
      <c r="AJ1315" s="21" t="n"/>
      <c r="AK1315" s="20" t="n"/>
      <c r="AL1315" s="77">
        <f>IFERROR(INDEX(MgAmenEfic,MATCH(SUBSTITUTE($H1315,"*","-"),MgAmenClave,0)),0)</f>
        <v/>
      </c>
    </row>
    <row r="1316" hidden="1" ht="90" customHeight="1" s="54">
      <c r="B1316" s="59" t="inlineStr">
        <is>
          <t>R-1311</t>
        </is>
      </c>
      <c r="C1316" s="59" t="inlineStr">
        <is>
          <t>GH-018</t>
        </is>
      </c>
      <c r="D1316" s="64">
        <f>IFERROR(INDEX(MgNombre,MATCH($C1316,MgActId,0)),"")</f>
        <v/>
      </c>
      <c r="E1316" s="64">
        <f>IFERROR(INDEX(MgProceso,MATCH($C1316,MgActId,0)),"")</f>
        <v/>
      </c>
      <c r="F1316" s="64">
        <f>IFERROR(INDEX(MgTipo,MATCH($C1316,MgActId,0)),"")</f>
        <v/>
      </c>
      <c r="G1316" s="64">
        <f>IFERROR(INDEX(MgSubtipo,MATCH($C1316,MgActId,0)),"")</f>
        <v/>
      </c>
      <c r="H1316" s="59" t="inlineStr">
        <is>
          <t>A.13</t>
        </is>
      </c>
      <c r="I1316" s="64">
        <f>IFERROR(INDEX(MgAmenNombre,MATCH(SUBSTITUTE($H1316,"*","-"),MgAmenClave,0)),"")</f>
        <v/>
      </c>
      <c r="J1316" s="28">
        <f>IFERROR(INDEX(MgAmenGrupo,MATCH(SUBSTITUTE($H1316,"*","-"),MgAmenClave,0)),"")</f>
        <v/>
      </c>
      <c r="K1316" s="64">
        <f>IFERROR(INDEX('1. Matriz de Activos'!$Q$6:$Q$239,MATCH($C1316,MgActId,0)),"")</f>
        <v/>
      </c>
      <c r="L1316" s="64">
        <f>IFERROR(INDEX('1. Matriz de Activos'!$R$6:$R$239,MATCH($C1316,MgActId,0)),"")</f>
        <v/>
      </c>
      <c r="M1316" s="64">
        <f>IFERROR(INDEX('1. Matriz de Activos'!$S$6:$S$239,MATCH($C1316,MgActId,0)),"")</f>
        <v/>
      </c>
      <c r="N1316" s="28">
        <f>IFERROR(INDEX(MgAmenDegD,MATCH(SUBSTITUTE($H1316,"*","-"),MgAmenClave,0)),"No aplica")</f>
        <v/>
      </c>
      <c r="O1316" s="28">
        <f>IFERROR(INDEX(MgAmenDegI,MATCH(SUBSTITUTE($H1316,"*","-"),MgAmenClave,0)),"No aplica")</f>
        <v/>
      </c>
      <c r="P1316" s="28">
        <f>IFERROR(INDEX(MgAmenDegC,MATCH(SUBSTITUTE($H1316,"*","-"),MgAmenClave,0)),"No aplica")</f>
        <v/>
      </c>
      <c r="Q1316" s="29">
        <f>IFERROR(VLOOKUP(K1316,MgValor,2,0)*VLOOKUP(N1316,MgDeg,2,0),0)</f>
        <v/>
      </c>
      <c r="R1316" s="29">
        <f>IFERROR(VLOOKUP(L1316,MgValor,2,0)*VLOOKUP(O1316,MgDeg,2,0),0)</f>
        <v/>
      </c>
      <c r="S1316" s="29">
        <f>IFERROR(VLOOKUP(M1316,MgValor,2,0)*VLOOKUP(P1316,MgDeg,2,0),0)</f>
        <v/>
      </c>
      <c r="T1316" s="30">
        <f>MAX(Q1316:S1316)</f>
        <v/>
      </c>
      <c r="U1316" s="28">
        <f>IFERROR(LOOKUP(T1316,{0;0.5;1.5;3;4.5},{"Despreciable";"Bajo";"Medio";"Alto";"Muy alto"}),"")</f>
        <v/>
      </c>
      <c r="V1316" s="13">
        <f>IFERROR(INDEX(MgAmenFrec,MATCH(SUBSTITUTE($H1316,"*","-"),MgAmenClave,0)),"")</f>
        <v/>
      </c>
      <c r="W1316" s="28">
        <f>IFERROR(LOOKUP(X1316,{0;0.01;0.1;1;10;100},{"Muy baja";"Muy baja";"Baja";"Media";"Alta";"Muy alta"}),"")</f>
        <v/>
      </c>
      <c r="X1316" s="31">
        <f>IFERROR(VLOOKUP(V1316,MgFrec,2,0),0)</f>
        <v/>
      </c>
      <c r="Y1316" s="30">
        <f>T1316*X1316</f>
        <v/>
      </c>
      <c r="Z1316" s="28">
        <f>IFERROR(LOOKUP(Y1316,{0;0.5;5;25},{"Bajo";"Medio";"Alto";"Crítico"}),"")</f>
        <v/>
      </c>
      <c r="AA1316" s="64">
        <f>IF(T1316&gt;=3,IF(X1316&gt;=1,"Zona 1 — Crítica: impacto alto y ocurre al menos una vez al año","Zona 4 — Catastrófica poco probable: impacto alto pero excepcional"),IF(AND(T1316&lt;1.5,X1316&lt;1),"Zona 3 — Asumible: impacto bajo y muy poco frecuente","Zona 2 — Atención: riesgo intermedio"))</f>
        <v/>
      </c>
      <c r="AB1316" s="64">
        <f>IFERROR(INDEX(MgAmenCtrl,MATCH(SUBSTITUTE($H1316,"*","-"),MgAmenClave,0)),"")</f>
        <v/>
      </c>
      <c r="AC1316" s="20" t="n"/>
      <c r="AD1316" s="31">
        <f>IFERROR($X1316*(1-IF($AC1316="",$AL1316,VLOOKUP($AC1316,MgMad,2,0))),"")</f>
        <v/>
      </c>
      <c r="AE1316" s="28">
        <f>IFERROR(LOOKUP(AD1316,{0;0.01;0.1;1;10;100},{"Muy baja";"Muy baja";"Baja";"Media";"Alta";"Muy alta"}),"")</f>
        <v/>
      </c>
      <c r="AF1316" s="30">
        <f>T1316*AD1316</f>
        <v/>
      </c>
      <c r="AG1316" s="28">
        <f>IFERROR(LOOKUP(AF1316,{0;0.5;5;25},{"Bajo";"Medio";"Alto";"Crítico"}),"")</f>
        <v/>
      </c>
      <c r="AH1316" s="28">
        <f>IF(AG1316="","",IF(OR(AG1316="Crítico",AG1316="Alto"),"Mitigar",IF(AG1316="Medio","Mitigar","Aceptar y monitorear")))</f>
        <v/>
      </c>
      <c r="AI1316" s="21" t="n"/>
      <c r="AJ1316" s="21" t="n"/>
      <c r="AK1316" s="20" t="n"/>
      <c r="AL1316" s="77">
        <f>IFERROR(INDEX(MgAmenEfic,MATCH(SUBSTITUTE($H1316,"*","-"),MgAmenClave,0)),0)</f>
        <v/>
      </c>
    </row>
    <row r="1317" hidden="1" ht="60" customHeight="1" s="54">
      <c r="B1317" s="59" t="inlineStr">
        <is>
          <t>R-1312</t>
        </is>
      </c>
      <c r="C1317" s="59" t="inlineStr">
        <is>
          <t>GH-018</t>
        </is>
      </c>
      <c r="D1317" s="64">
        <f>IFERROR(INDEX(MgNombre,MATCH($C1317,MgActId,0)),"")</f>
        <v/>
      </c>
      <c r="E1317" s="64">
        <f>IFERROR(INDEX(MgProceso,MATCH($C1317,MgActId,0)),"")</f>
        <v/>
      </c>
      <c r="F1317" s="64">
        <f>IFERROR(INDEX(MgTipo,MATCH($C1317,MgActId,0)),"")</f>
        <v/>
      </c>
      <c r="G1317" s="64">
        <f>IFERROR(INDEX(MgSubtipo,MATCH($C1317,MgActId,0)),"")</f>
        <v/>
      </c>
      <c r="H1317" s="59" t="inlineStr">
        <is>
          <t>A.15</t>
        </is>
      </c>
      <c r="I1317" s="64">
        <f>IFERROR(INDEX(MgAmenNombre,MATCH(SUBSTITUTE($H1317,"*","-"),MgAmenClave,0)),"")</f>
        <v/>
      </c>
      <c r="J1317" s="28">
        <f>IFERROR(INDEX(MgAmenGrupo,MATCH(SUBSTITUTE($H1317,"*","-"),MgAmenClave,0)),"")</f>
        <v/>
      </c>
      <c r="K1317" s="64">
        <f>IFERROR(INDEX('1. Matriz de Activos'!$Q$6:$Q$239,MATCH($C1317,MgActId,0)),"")</f>
        <v/>
      </c>
      <c r="L1317" s="64">
        <f>IFERROR(INDEX('1. Matriz de Activos'!$R$6:$R$239,MATCH($C1317,MgActId,0)),"")</f>
        <v/>
      </c>
      <c r="M1317" s="64">
        <f>IFERROR(INDEX('1. Matriz de Activos'!$S$6:$S$239,MATCH($C1317,MgActId,0)),"")</f>
        <v/>
      </c>
      <c r="N1317" s="28">
        <f>IFERROR(INDEX(MgAmenDegD,MATCH(SUBSTITUTE($H1317,"*","-"),MgAmenClave,0)),"No aplica")</f>
        <v/>
      </c>
      <c r="O1317" s="28">
        <f>IFERROR(INDEX(MgAmenDegI,MATCH(SUBSTITUTE($H1317,"*","-"),MgAmenClave,0)),"No aplica")</f>
        <v/>
      </c>
      <c r="P1317" s="28">
        <f>IFERROR(INDEX(MgAmenDegC,MATCH(SUBSTITUTE($H1317,"*","-"),MgAmenClave,0)),"No aplica")</f>
        <v/>
      </c>
      <c r="Q1317" s="29">
        <f>IFERROR(VLOOKUP(K1317,MgValor,2,0)*VLOOKUP(N1317,MgDeg,2,0),0)</f>
        <v/>
      </c>
      <c r="R1317" s="29">
        <f>IFERROR(VLOOKUP(L1317,MgValor,2,0)*VLOOKUP(O1317,MgDeg,2,0),0)</f>
        <v/>
      </c>
      <c r="S1317" s="29">
        <f>IFERROR(VLOOKUP(M1317,MgValor,2,0)*VLOOKUP(P1317,MgDeg,2,0),0)</f>
        <v/>
      </c>
      <c r="T1317" s="30">
        <f>MAX(Q1317:S1317)</f>
        <v/>
      </c>
      <c r="U1317" s="28">
        <f>IFERROR(LOOKUP(T1317,{0;0.5;1.5;3;4.5},{"Despreciable";"Bajo";"Medio";"Alto";"Muy alto"}),"")</f>
        <v/>
      </c>
      <c r="V1317" s="13">
        <f>IFERROR(INDEX(MgAmenFrec,MATCH(SUBSTITUTE($H1317,"*","-"),MgAmenClave,0)),"")</f>
        <v/>
      </c>
      <c r="W1317" s="28">
        <f>IFERROR(LOOKUP(X1317,{0;0.01;0.1;1;10;100},{"Muy baja";"Muy baja";"Baja";"Media";"Alta";"Muy alta"}),"")</f>
        <v/>
      </c>
      <c r="X1317" s="31">
        <f>IFERROR(VLOOKUP(V1317,MgFrec,2,0),0)</f>
        <v/>
      </c>
      <c r="Y1317" s="30">
        <f>T1317*X1317</f>
        <v/>
      </c>
      <c r="Z1317" s="28">
        <f>IFERROR(LOOKUP(Y1317,{0;0.5;5;25},{"Bajo";"Medio";"Alto";"Crítico"}),"")</f>
        <v/>
      </c>
      <c r="AA1317" s="64">
        <f>IF(T1317&gt;=3,IF(X1317&gt;=1,"Zona 1 — Crítica: impacto alto y ocurre al menos una vez al año","Zona 4 — Catastrófica poco probable: impacto alto pero excepcional"),IF(AND(T1317&lt;1.5,X1317&lt;1),"Zona 3 — Asumible: impacto bajo y muy poco frecuente","Zona 2 — Atención: riesgo intermedio"))</f>
        <v/>
      </c>
      <c r="AB1317" s="64">
        <f>IFERROR(INDEX(MgAmenCtrl,MATCH(SUBSTITUTE($H1317,"*","-"),MgAmenClave,0)),"")</f>
        <v/>
      </c>
      <c r="AC1317" s="20" t="n"/>
      <c r="AD1317" s="31">
        <f>IFERROR($X1317*(1-IF($AC1317="",$AL1317,VLOOKUP($AC1317,MgMad,2,0))),"")</f>
        <v/>
      </c>
      <c r="AE1317" s="28">
        <f>IFERROR(LOOKUP(AD1317,{0;0.01;0.1;1;10;100},{"Muy baja";"Muy baja";"Baja";"Media";"Alta";"Muy alta"}),"")</f>
        <v/>
      </c>
      <c r="AF1317" s="30">
        <f>T1317*AD1317</f>
        <v/>
      </c>
      <c r="AG1317" s="28">
        <f>IFERROR(LOOKUP(AF1317,{0;0.5;5;25},{"Bajo";"Medio";"Alto";"Crítico"}),"")</f>
        <v/>
      </c>
      <c r="AH1317" s="28">
        <f>IF(AG1317="","",IF(OR(AG1317="Crítico",AG1317="Alto"),"Mitigar",IF(AG1317="Medio","Mitigar","Aceptar y monitorear")))</f>
        <v/>
      </c>
      <c r="AI1317" s="21" t="n"/>
      <c r="AJ1317" s="21" t="n"/>
      <c r="AK1317" s="20" t="n"/>
      <c r="AL1317" s="77">
        <f>IFERROR(INDEX(MgAmenEfic,MATCH(SUBSTITUTE($H1317,"*","-"),MgAmenClave,0)),0)</f>
        <v/>
      </c>
    </row>
    <row r="1318" hidden="1" ht="60" customHeight="1" s="54">
      <c r="B1318" s="59" t="inlineStr">
        <is>
          <t>R-1313</t>
        </is>
      </c>
      <c r="C1318" s="59" t="inlineStr">
        <is>
          <t>GH-018</t>
        </is>
      </c>
      <c r="D1318" s="64">
        <f>IFERROR(INDEX(MgNombre,MATCH($C1318,MgActId,0)),"")</f>
        <v/>
      </c>
      <c r="E1318" s="64">
        <f>IFERROR(INDEX(MgProceso,MATCH($C1318,MgActId,0)),"")</f>
        <v/>
      </c>
      <c r="F1318" s="64">
        <f>IFERROR(INDEX(MgTipo,MATCH($C1318,MgActId,0)),"")</f>
        <v/>
      </c>
      <c r="G1318" s="64">
        <f>IFERROR(INDEX(MgSubtipo,MATCH($C1318,MgActId,0)),"")</f>
        <v/>
      </c>
      <c r="H1318" s="59" t="inlineStr">
        <is>
          <t>A.18</t>
        </is>
      </c>
      <c r="I1318" s="64">
        <f>IFERROR(INDEX(MgAmenNombre,MATCH(SUBSTITUTE($H1318,"*","-"),MgAmenClave,0)),"")</f>
        <v/>
      </c>
      <c r="J1318" s="28">
        <f>IFERROR(INDEX(MgAmenGrupo,MATCH(SUBSTITUTE($H1318,"*","-"),MgAmenClave,0)),"")</f>
        <v/>
      </c>
      <c r="K1318" s="64">
        <f>IFERROR(INDEX('1. Matriz de Activos'!$Q$6:$Q$239,MATCH($C1318,MgActId,0)),"")</f>
        <v/>
      </c>
      <c r="L1318" s="64">
        <f>IFERROR(INDEX('1. Matriz de Activos'!$R$6:$R$239,MATCH($C1318,MgActId,0)),"")</f>
        <v/>
      </c>
      <c r="M1318" s="64">
        <f>IFERROR(INDEX('1. Matriz de Activos'!$S$6:$S$239,MATCH($C1318,MgActId,0)),"")</f>
        <v/>
      </c>
      <c r="N1318" s="28">
        <f>IFERROR(INDEX(MgAmenDegD,MATCH(SUBSTITUTE($H1318,"*","-"),MgAmenClave,0)),"No aplica")</f>
        <v/>
      </c>
      <c r="O1318" s="28">
        <f>IFERROR(INDEX(MgAmenDegI,MATCH(SUBSTITUTE($H1318,"*","-"),MgAmenClave,0)),"No aplica")</f>
        <v/>
      </c>
      <c r="P1318" s="28">
        <f>IFERROR(INDEX(MgAmenDegC,MATCH(SUBSTITUTE($H1318,"*","-"),MgAmenClave,0)),"No aplica")</f>
        <v/>
      </c>
      <c r="Q1318" s="29">
        <f>IFERROR(VLOOKUP(K1318,MgValor,2,0)*VLOOKUP(N1318,MgDeg,2,0),0)</f>
        <v/>
      </c>
      <c r="R1318" s="29">
        <f>IFERROR(VLOOKUP(L1318,MgValor,2,0)*VLOOKUP(O1318,MgDeg,2,0),0)</f>
        <v/>
      </c>
      <c r="S1318" s="29">
        <f>IFERROR(VLOOKUP(M1318,MgValor,2,0)*VLOOKUP(P1318,MgDeg,2,0),0)</f>
        <v/>
      </c>
      <c r="T1318" s="30">
        <f>MAX(Q1318:S1318)</f>
        <v/>
      </c>
      <c r="U1318" s="28">
        <f>IFERROR(LOOKUP(T1318,{0;0.5;1.5;3;4.5},{"Despreciable";"Bajo";"Medio";"Alto";"Muy alto"}),"")</f>
        <v/>
      </c>
      <c r="V1318" s="13">
        <f>IFERROR(INDEX(MgAmenFrec,MATCH(SUBSTITUTE($H1318,"*","-"),MgAmenClave,0)),"")</f>
        <v/>
      </c>
      <c r="W1318" s="28">
        <f>IFERROR(LOOKUP(X1318,{0;0.01;0.1;1;10;100},{"Muy baja";"Muy baja";"Baja";"Media";"Alta";"Muy alta"}),"")</f>
        <v/>
      </c>
      <c r="X1318" s="31">
        <f>IFERROR(VLOOKUP(V1318,MgFrec,2,0),0)</f>
        <v/>
      </c>
      <c r="Y1318" s="30">
        <f>T1318*X1318</f>
        <v/>
      </c>
      <c r="Z1318" s="28">
        <f>IFERROR(LOOKUP(Y1318,{0;0.5;5;25},{"Bajo";"Medio";"Alto";"Crítico"}),"")</f>
        <v/>
      </c>
      <c r="AA1318" s="64">
        <f>IF(T1318&gt;=3,IF(X1318&gt;=1,"Zona 1 — Crítica: impacto alto y ocurre al menos una vez al año","Zona 4 — Catastrófica poco probable: impacto alto pero excepcional"),IF(AND(T1318&lt;1.5,X1318&lt;1),"Zona 3 — Asumible: impacto bajo y muy poco frecuente","Zona 2 — Atención: riesgo intermedio"))</f>
        <v/>
      </c>
      <c r="AB1318" s="64">
        <f>IFERROR(INDEX(MgAmenCtrl,MATCH(SUBSTITUTE($H1318,"*","-"),MgAmenClave,0)),"")</f>
        <v/>
      </c>
      <c r="AC1318" s="20" t="n"/>
      <c r="AD1318" s="31">
        <f>IFERROR($X1318*(1-IF($AC1318="",$AL1318,VLOOKUP($AC1318,MgMad,2,0))),"")</f>
        <v/>
      </c>
      <c r="AE1318" s="28">
        <f>IFERROR(LOOKUP(AD1318,{0;0.01;0.1;1;10;100},{"Muy baja";"Muy baja";"Baja";"Media";"Alta";"Muy alta"}),"")</f>
        <v/>
      </c>
      <c r="AF1318" s="30">
        <f>T1318*AD1318</f>
        <v/>
      </c>
      <c r="AG1318" s="28">
        <f>IFERROR(LOOKUP(AF1318,{0;0.5;5;25},{"Bajo";"Medio";"Alto";"Crítico"}),"")</f>
        <v/>
      </c>
      <c r="AH1318" s="28">
        <f>IF(AG1318="","",IF(OR(AG1318="Crítico",AG1318="Alto"),"Mitigar",IF(AG1318="Medio","Mitigar","Aceptar y monitorear")))</f>
        <v/>
      </c>
      <c r="AI1318" s="21" t="n"/>
      <c r="AJ1318" s="21" t="n"/>
      <c r="AK1318" s="20" t="n"/>
      <c r="AL1318" s="77">
        <f>IFERROR(INDEX(MgAmenEfic,MATCH(SUBSTITUTE($H1318,"*","-"),MgAmenClave,0)),0)</f>
        <v/>
      </c>
    </row>
    <row r="1319" hidden="1" ht="120" customHeight="1" s="54">
      <c r="B1319" s="59" t="inlineStr">
        <is>
          <t>R-1314</t>
        </is>
      </c>
      <c r="C1319" s="59" t="inlineStr">
        <is>
          <t>GH-018</t>
        </is>
      </c>
      <c r="D1319" s="64">
        <f>IFERROR(INDEX(MgNombre,MATCH($C1319,MgActId,0)),"")</f>
        <v/>
      </c>
      <c r="E1319" s="64">
        <f>IFERROR(INDEX(MgProceso,MATCH($C1319,MgActId,0)),"")</f>
        <v/>
      </c>
      <c r="F1319" s="64">
        <f>IFERROR(INDEX(MgTipo,MATCH($C1319,MgActId,0)),"")</f>
        <v/>
      </c>
      <c r="G1319" s="64">
        <f>IFERROR(INDEX(MgSubtipo,MATCH($C1319,MgActId,0)),"")</f>
        <v/>
      </c>
      <c r="H1319" s="59" t="inlineStr">
        <is>
          <t>A.19</t>
        </is>
      </c>
      <c r="I1319" s="64">
        <f>IFERROR(INDEX(MgAmenNombre,MATCH(SUBSTITUTE($H1319,"*","-"),MgAmenClave,0)),"")</f>
        <v/>
      </c>
      <c r="J1319" s="28">
        <f>IFERROR(INDEX(MgAmenGrupo,MATCH(SUBSTITUTE($H1319,"*","-"),MgAmenClave,0)),"")</f>
        <v/>
      </c>
      <c r="K1319" s="64">
        <f>IFERROR(INDEX('1. Matriz de Activos'!$Q$6:$Q$239,MATCH($C1319,MgActId,0)),"")</f>
        <v/>
      </c>
      <c r="L1319" s="64">
        <f>IFERROR(INDEX('1. Matriz de Activos'!$R$6:$R$239,MATCH($C1319,MgActId,0)),"")</f>
        <v/>
      </c>
      <c r="M1319" s="64">
        <f>IFERROR(INDEX('1. Matriz de Activos'!$S$6:$S$239,MATCH($C1319,MgActId,0)),"")</f>
        <v/>
      </c>
      <c r="N1319" s="28">
        <f>IFERROR(INDEX(MgAmenDegD,MATCH(SUBSTITUTE($H1319,"*","-"),MgAmenClave,0)),"No aplica")</f>
        <v/>
      </c>
      <c r="O1319" s="28">
        <f>IFERROR(INDEX(MgAmenDegI,MATCH(SUBSTITUTE($H1319,"*","-"),MgAmenClave,0)),"No aplica")</f>
        <v/>
      </c>
      <c r="P1319" s="28">
        <f>IFERROR(INDEX(MgAmenDegC,MATCH(SUBSTITUTE($H1319,"*","-"),MgAmenClave,0)),"No aplica")</f>
        <v/>
      </c>
      <c r="Q1319" s="29">
        <f>IFERROR(VLOOKUP(K1319,MgValor,2,0)*VLOOKUP(N1319,MgDeg,2,0),0)</f>
        <v/>
      </c>
      <c r="R1319" s="29">
        <f>IFERROR(VLOOKUP(L1319,MgValor,2,0)*VLOOKUP(O1319,MgDeg,2,0),0)</f>
        <v/>
      </c>
      <c r="S1319" s="29">
        <f>IFERROR(VLOOKUP(M1319,MgValor,2,0)*VLOOKUP(P1319,MgDeg,2,0),0)</f>
        <v/>
      </c>
      <c r="T1319" s="30">
        <f>MAX(Q1319:S1319)</f>
        <v/>
      </c>
      <c r="U1319" s="28">
        <f>IFERROR(LOOKUP(T1319,{0;0.5;1.5;3;4.5},{"Despreciable";"Bajo";"Medio";"Alto";"Muy alto"}),"")</f>
        <v/>
      </c>
      <c r="V1319" s="13">
        <f>IFERROR(INDEX(MgAmenFrec,MATCH(SUBSTITUTE($H1319,"*","-"),MgAmenClave,0)),"")</f>
        <v/>
      </c>
      <c r="W1319" s="28">
        <f>IFERROR(LOOKUP(X1319,{0;0.01;0.1;1;10;100},{"Muy baja";"Muy baja";"Baja";"Media";"Alta";"Muy alta"}),"")</f>
        <v/>
      </c>
      <c r="X1319" s="31">
        <f>IFERROR(VLOOKUP(V1319,MgFrec,2,0),0)</f>
        <v/>
      </c>
      <c r="Y1319" s="30">
        <f>T1319*X1319</f>
        <v/>
      </c>
      <c r="Z1319" s="28">
        <f>IFERROR(LOOKUP(Y1319,{0;0.5;5;25},{"Bajo";"Medio";"Alto";"Crítico"}),"")</f>
        <v/>
      </c>
      <c r="AA1319" s="64">
        <f>IF(T1319&gt;=3,IF(X1319&gt;=1,"Zona 1 — Crítica: impacto alto y ocurre al menos una vez al año","Zona 4 — Catastrófica poco probable: impacto alto pero excepcional"),IF(AND(T1319&lt;1.5,X1319&lt;1),"Zona 3 — Asumible: impacto bajo y muy poco frecuente","Zona 2 — Atención: riesgo intermedio"))</f>
        <v/>
      </c>
      <c r="AB1319" s="64">
        <f>IFERROR(INDEX(MgAmenCtrl,MATCH(SUBSTITUTE($H1319,"*","-"),MgAmenClave,0)),"")</f>
        <v/>
      </c>
      <c r="AC1319" s="20" t="n"/>
      <c r="AD1319" s="31">
        <f>IFERROR($X1319*(1-IF($AC1319="",$AL1319,VLOOKUP($AC1319,MgMad,2,0))),"")</f>
        <v/>
      </c>
      <c r="AE1319" s="28">
        <f>IFERROR(LOOKUP(AD1319,{0;0.01;0.1;1;10;100},{"Muy baja";"Muy baja";"Baja";"Media";"Alta";"Muy alta"}),"")</f>
        <v/>
      </c>
      <c r="AF1319" s="30">
        <f>T1319*AD1319</f>
        <v/>
      </c>
      <c r="AG1319" s="28">
        <f>IFERROR(LOOKUP(AF1319,{0;0.5;5;25},{"Bajo";"Medio";"Alto";"Crítico"}),"")</f>
        <v/>
      </c>
      <c r="AH1319" s="28">
        <f>IF(AG1319="","",IF(OR(AG1319="Crítico",AG1319="Alto"),"Mitigar",IF(AG1319="Medio","Mitigar","Aceptar y monitorear")))</f>
        <v/>
      </c>
      <c r="AI1319" s="21" t="n"/>
      <c r="AJ1319" s="21" t="n"/>
      <c r="AK1319" s="20" t="n"/>
      <c r="AL1319" s="77">
        <f>IFERROR(INDEX(MgAmenEfic,MATCH(SUBSTITUTE($H1319,"*","-"),MgAmenClave,0)),0)</f>
        <v/>
      </c>
    </row>
    <row r="1320" hidden="1" ht="105" customHeight="1" s="54">
      <c r="B1320" s="59" t="inlineStr">
        <is>
          <t>R-1315</t>
        </is>
      </c>
      <c r="C1320" s="59" t="inlineStr">
        <is>
          <t>GH-024</t>
        </is>
      </c>
      <c r="D1320" s="64">
        <f>IFERROR(INDEX(MgNombre,MATCH($C1320,MgActId,0)),"")</f>
        <v/>
      </c>
      <c r="E1320" s="64">
        <f>IFERROR(INDEX(MgProceso,MATCH($C1320,MgActId,0)),"")</f>
        <v/>
      </c>
      <c r="F1320" s="64">
        <f>IFERROR(INDEX(MgTipo,MATCH($C1320,MgActId,0)),"")</f>
        <v/>
      </c>
      <c r="G1320" s="64">
        <f>IFERROR(INDEX(MgSubtipo,MATCH($C1320,MgActId,0)),"")</f>
        <v/>
      </c>
      <c r="H1320" s="59" t="inlineStr">
        <is>
          <t>E.1</t>
        </is>
      </c>
      <c r="I1320" s="64">
        <f>IFERROR(INDEX(MgAmenNombre,MATCH(SUBSTITUTE($H1320,"*","-"),MgAmenClave,0)),"")</f>
        <v/>
      </c>
      <c r="J1320" s="28">
        <f>IFERROR(INDEX(MgAmenGrupo,MATCH(SUBSTITUTE($H1320,"*","-"),MgAmenClave,0)),"")</f>
        <v/>
      </c>
      <c r="K1320" s="64">
        <f>IFERROR(INDEX('1. Matriz de Activos'!$Q$6:$Q$239,MATCH($C1320,MgActId,0)),"")</f>
        <v/>
      </c>
      <c r="L1320" s="64">
        <f>IFERROR(INDEX('1. Matriz de Activos'!$R$6:$R$239,MATCH($C1320,MgActId,0)),"")</f>
        <v/>
      </c>
      <c r="M1320" s="64">
        <f>IFERROR(INDEX('1. Matriz de Activos'!$S$6:$S$239,MATCH($C1320,MgActId,0)),"")</f>
        <v/>
      </c>
      <c r="N1320" s="28">
        <f>IFERROR(INDEX(MgAmenDegD,MATCH(SUBSTITUTE($H1320,"*","-"),MgAmenClave,0)),"No aplica")</f>
        <v/>
      </c>
      <c r="O1320" s="28">
        <f>IFERROR(INDEX(MgAmenDegI,MATCH(SUBSTITUTE($H1320,"*","-"),MgAmenClave,0)),"No aplica")</f>
        <v/>
      </c>
      <c r="P1320" s="28">
        <f>IFERROR(INDEX(MgAmenDegC,MATCH(SUBSTITUTE($H1320,"*","-"),MgAmenClave,0)),"No aplica")</f>
        <v/>
      </c>
      <c r="Q1320" s="29">
        <f>IFERROR(VLOOKUP(K1320,MgValor,2,0)*VLOOKUP(N1320,MgDeg,2,0),0)</f>
        <v/>
      </c>
      <c r="R1320" s="29">
        <f>IFERROR(VLOOKUP(L1320,MgValor,2,0)*VLOOKUP(O1320,MgDeg,2,0),0)</f>
        <v/>
      </c>
      <c r="S1320" s="29">
        <f>IFERROR(VLOOKUP(M1320,MgValor,2,0)*VLOOKUP(P1320,MgDeg,2,0),0)</f>
        <v/>
      </c>
      <c r="T1320" s="30">
        <f>MAX(Q1320:S1320)</f>
        <v/>
      </c>
      <c r="U1320" s="28">
        <f>IFERROR(LOOKUP(T1320,{0;0.5;1.5;3;4.5},{"Despreciable";"Bajo";"Medio";"Alto";"Muy alto"}),"")</f>
        <v/>
      </c>
      <c r="V1320" s="13">
        <f>IFERROR(INDEX(MgAmenFrec,MATCH(SUBSTITUTE($H1320,"*","-"),MgAmenClave,0)),"")</f>
        <v/>
      </c>
      <c r="W1320" s="28">
        <f>IFERROR(LOOKUP(X1320,{0;0.01;0.1;1;10;100},{"Muy baja";"Muy baja";"Baja";"Media";"Alta";"Muy alta"}),"")</f>
        <v/>
      </c>
      <c r="X1320" s="31">
        <f>IFERROR(VLOOKUP(V1320,MgFrec,2,0),0)</f>
        <v/>
      </c>
      <c r="Y1320" s="30">
        <f>T1320*X1320</f>
        <v/>
      </c>
      <c r="Z1320" s="28">
        <f>IFERROR(LOOKUP(Y1320,{0;0.5;5;25},{"Bajo";"Medio";"Alto";"Crítico"}),"")</f>
        <v/>
      </c>
      <c r="AA1320" s="64">
        <f>IF(T1320&gt;=3,IF(X1320&gt;=1,"Zona 1 — Crítica: impacto alto y ocurre al menos una vez al año","Zona 4 — Catastrófica poco probable: impacto alto pero excepcional"),IF(AND(T1320&lt;1.5,X1320&lt;1),"Zona 3 — Asumible: impacto bajo y muy poco frecuente","Zona 2 — Atención: riesgo intermedio"))</f>
        <v/>
      </c>
      <c r="AB1320" s="64">
        <f>IFERROR(INDEX(MgAmenCtrl,MATCH(SUBSTITUTE($H1320,"*","-"),MgAmenClave,0)),"")</f>
        <v/>
      </c>
      <c r="AC1320" s="20" t="n"/>
      <c r="AD1320" s="31">
        <f>IFERROR($X1320*(1-IF($AC1320="",$AL1320,VLOOKUP($AC1320,MgMad,2,0))),"")</f>
        <v/>
      </c>
      <c r="AE1320" s="28">
        <f>IFERROR(LOOKUP(AD1320,{0;0.01;0.1;1;10;100},{"Muy baja";"Muy baja";"Baja";"Media";"Alta";"Muy alta"}),"")</f>
        <v/>
      </c>
      <c r="AF1320" s="30">
        <f>T1320*AD1320</f>
        <v/>
      </c>
      <c r="AG1320" s="28">
        <f>IFERROR(LOOKUP(AF1320,{0;0.5;5;25},{"Bajo";"Medio";"Alto";"Crítico"}),"")</f>
        <v/>
      </c>
      <c r="AH1320" s="28">
        <f>IF(AG1320="","",IF(OR(AG1320="Crítico",AG1320="Alto"),"Mitigar",IF(AG1320="Medio","Mitigar","Aceptar y monitorear")))</f>
        <v/>
      </c>
      <c r="AI1320" s="21" t="n"/>
      <c r="AJ1320" s="21" t="n"/>
      <c r="AK1320" s="20" t="n"/>
      <c r="AL1320" s="77">
        <f>IFERROR(INDEX(MgAmenEfic,MATCH(SUBSTITUTE($H1320,"*","-"),MgAmenClave,0)),0)</f>
        <v/>
      </c>
    </row>
    <row r="1321" hidden="1" ht="120" customHeight="1" s="54">
      <c r="B1321" s="59" t="inlineStr">
        <is>
          <t>R-1316</t>
        </is>
      </c>
      <c r="C1321" s="59" t="inlineStr">
        <is>
          <t>GH-024</t>
        </is>
      </c>
      <c r="D1321" s="64">
        <f>IFERROR(INDEX(MgNombre,MATCH($C1321,MgActId,0)),"")</f>
        <v/>
      </c>
      <c r="E1321" s="64">
        <f>IFERROR(INDEX(MgProceso,MATCH($C1321,MgActId,0)),"")</f>
        <v/>
      </c>
      <c r="F1321" s="64">
        <f>IFERROR(INDEX(MgTipo,MATCH($C1321,MgActId,0)),"")</f>
        <v/>
      </c>
      <c r="G1321" s="64">
        <f>IFERROR(INDEX(MgSubtipo,MATCH($C1321,MgActId,0)),"")</f>
        <v/>
      </c>
      <c r="H1321" s="59" t="inlineStr">
        <is>
          <t>E.2</t>
        </is>
      </c>
      <c r="I1321" s="64">
        <f>IFERROR(INDEX(MgAmenNombre,MATCH(SUBSTITUTE($H1321,"*","-"),MgAmenClave,0)),"")</f>
        <v/>
      </c>
      <c r="J1321" s="28">
        <f>IFERROR(INDEX(MgAmenGrupo,MATCH(SUBSTITUTE($H1321,"*","-"),MgAmenClave,0)),"")</f>
        <v/>
      </c>
      <c r="K1321" s="64">
        <f>IFERROR(INDEX('1. Matriz de Activos'!$Q$6:$Q$239,MATCH($C1321,MgActId,0)),"")</f>
        <v/>
      </c>
      <c r="L1321" s="64">
        <f>IFERROR(INDEX('1. Matriz de Activos'!$R$6:$R$239,MATCH($C1321,MgActId,0)),"")</f>
        <v/>
      </c>
      <c r="M1321" s="64">
        <f>IFERROR(INDEX('1. Matriz de Activos'!$S$6:$S$239,MATCH($C1321,MgActId,0)),"")</f>
        <v/>
      </c>
      <c r="N1321" s="28">
        <f>IFERROR(INDEX(MgAmenDegD,MATCH(SUBSTITUTE($H1321,"*","-"),MgAmenClave,0)),"No aplica")</f>
        <v/>
      </c>
      <c r="O1321" s="28">
        <f>IFERROR(INDEX(MgAmenDegI,MATCH(SUBSTITUTE($H1321,"*","-"),MgAmenClave,0)),"No aplica")</f>
        <v/>
      </c>
      <c r="P1321" s="28">
        <f>IFERROR(INDEX(MgAmenDegC,MATCH(SUBSTITUTE($H1321,"*","-"),MgAmenClave,0)),"No aplica")</f>
        <v/>
      </c>
      <c r="Q1321" s="29">
        <f>IFERROR(VLOOKUP(K1321,MgValor,2,0)*VLOOKUP(N1321,MgDeg,2,0),0)</f>
        <v/>
      </c>
      <c r="R1321" s="29">
        <f>IFERROR(VLOOKUP(L1321,MgValor,2,0)*VLOOKUP(O1321,MgDeg,2,0),0)</f>
        <v/>
      </c>
      <c r="S1321" s="29">
        <f>IFERROR(VLOOKUP(M1321,MgValor,2,0)*VLOOKUP(P1321,MgDeg,2,0),0)</f>
        <v/>
      </c>
      <c r="T1321" s="30">
        <f>MAX(Q1321:S1321)</f>
        <v/>
      </c>
      <c r="U1321" s="28">
        <f>IFERROR(LOOKUP(T1321,{0;0.5;1.5;3;4.5},{"Despreciable";"Bajo";"Medio";"Alto";"Muy alto"}),"")</f>
        <v/>
      </c>
      <c r="V1321" s="13">
        <f>IFERROR(INDEX(MgAmenFrec,MATCH(SUBSTITUTE($H1321,"*","-"),MgAmenClave,0)),"")</f>
        <v/>
      </c>
      <c r="W1321" s="28">
        <f>IFERROR(LOOKUP(X1321,{0;0.01;0.1;1;10;100},{"Muy baja";"Muy baja";"Baja";"Media";"Alta";"Muy alta"}),"")</f>
        <v/>
      </c>
      <c r="X1321" s="31">
        <f>IFERROR(VLOOKUP(V1321,MgFrec,2,0),0)</f>
        <v/>
      </c>
      <c r="Y1321" s="30">
        <f>T1321*X1321</f>
        <v/>
      </c>
      <c r="Z1321" s="28">
        <f>IFERROR(LOOKUP(Y1321,{0;0.5;5;25},{"Bajo";"Medio";"Alto";"Crítico"}),"")</f>
        <v/>
      </c>
      <c r="AA1321" s="64">
        <f>IF(T1321&gt;=3,IF(X1321&gt;=1,"Zona 1 — Crítica: impacto alto y ocurre al menos una vez al año","Zona 4 — Catastrófica poco probable: impacto alto pero excepcional"),IF(AND(T1321&lt;1.5,X1321&lt;1),"Zona 3 — Asumible: impacto bajo y muy poco frecuente","Zona 2 — Atención: riesgo intermedio"))</f>
        <v/>
      </c>
      <c r="AB1321" s="64">
        <f>IFERROR(INDEX(MgAmenCtrl,MATCH(SUBSTITUTE($H1321,"*","-"),MgAmenClave,0)),"")</f>
        <v/>
      </c>
      <c r="AC1321" s="20" t="n"/>
      <c r="AD1321" s="31">
        <f>IFERROR($X1321*(1-IF($AC1321="",$AL1321,VLOOKUP($AC1321,MgMad,2,0))),"")</f>
        <v/>
      </c>
      <c r="AE1321" s="28">
        <f>IFERROR(LOOKUP(AD1321,{0;0.01;0.1;1;10;100},{"Muy baja";"Muy baja";"Baja";"Media";"Alta";"Muy alta"}),"")</f>
        <v/>
      </c>
      <c r="AF1321" s="30">
        <f>T1321*AD1321</f>
        <v/>
      </c>
      <c r="AG1321" s="28">
        <f>IFERROR(LOOKUP(AF1321,{0;0.5;5;25},{"Bajo";"Medio";"Alto";"Crítico"}),"")</f>
        <v/>
      </c>
      <c r="AH1321" s="28">
        <f>IF(AG1321="","",IF(OR(AG1321="Crítico",AG1321="Alto"),"Mitigar",IF(AG1321="Medio","Mitigar","Aceptar y monitorear")))</f>
        <v/>
      </c>
      <c r="AI1321" s="21" t="n"/>
      <c r="AJ1321" s="21" t="n"/>
      <c r="AK1321" s="20" t="n"/>
      <c r="AL1321" s="77">
        <f>IFERROR(INDEX(MgAmenEfic,MATCH(SUBSTITUTE($H1321,"*","-"),MgAmenClave,0)),0)</f>
        <v/>
      </c>
    </row>
    <row r="1322" hidden="1" ht="75" customHeight="1" s="54">
      <c r="B1322" s="59" t="inlineStr">
        <is>
          <t>R-1317</t>
        </is>
      </c>
      <c r="C1322" s="59" t="inlineStr">
        <is>
          <t>GH-024</t>
        </is>
      </c>
      <c r="D1322" s="64">
        <f>IFERROR(INDEX(MgNombre,MATCH($C1322,MgActId,0)),"")</f>
        <v/>
      </c>
      <c r="E1322" s="64">
        <f>IFERROR(INDEX(MgProceso,MATCH($C1322,MgActId,0)),"")</f>
        <v/>
      </c>
      <c r="F1322" s="64">
        <f>IFERROR(INDEX(MgTipo,MATCH($C1322,MgActId,0)),"")</f>
        <v/>
      </c>
      <c r="G1322" s="64">
        <f>IFERROR(INDEX(MgSubtipo,MATCH($C1322,MgActId,0)),"")</f>
        <v/>
      </c>
      <c r="H1322" s="59" t="inlineStr">
        <is>
          <t>E.3</t>
        </is>
      </c>
      <c r="I1322" s="64">
        <f>IFERROR(INDEX(MgAmenNombre,MATCH(SUBSTITUTE($H1322,"*","-"),MgAmenClave,0)),"")</f>
        <v/>
      </c>
      <c r="J1322" s="28">
        <f>IFERROR(INDEX(MgAmenGrupo,MATCH(SUBSTITUTE($H1322,"*","-"),MgAmenClave,0)),"")</f>
        <v/>
      </c>
      <c r="K1322" s="64">
        <f>IFERROR(INDEX('1. Matriz de Activos'!$Q$6:$Q$239,MATCH($C1322,MgActId,0)),"")</f>
        <v/>
      </c>
      <c r="L1322" s="64">
        <f>IFERROR(INDEX('1. Matriz de Activos'!$R$6:$R$239,MATCH($C1322,MgActId,0)),"")</f>
        <v/>
      </c>
      <c r="M1322" s="64">
        <f>IFERROR(INDEX('1. Matriz de Activos'!$S$6:$S$239,MATCH($C1322,MgActId,0)),"")</f>
        <v/>
      </c>
      <c r="N1322" s="28">
        <f>IFERROR(INDEX(MgAmenDegD,MATCH(SUBSTITUTE($H1322,"*","-"),MgAmenClave,0)),"No aplica")</f>
        <v/>
      </c>
      <c r="O1322" s="28">
        <f>IFERROR(INDEX(MgAmenDegI,MATCH(SUBSTITUTE($H1322,"*","-"),MgAmenClave,0)),"No aplica")</f>
        <v/>
      </c>
      <c r="P1322" s="28">
        <f>IFERROR(INDEX(MgAmenDegC,MATCH(SUBSTITUTE($H1322,"*","-"),MgAmenClave,0)),"No aplica")</f>
        <v/>
      </c>
      <c r="Q1322" s="29">
        <f>IFERROR(VLOOKUP(K1322,MgValor,2,0)*VLOOKUP(N1322,MgDeg,2,0),0)</f>
        <v/>
      </c>
      <c r="R1322" s="29">
        <f>IFERROR(VLOOKUP(L1322,MgValor,2,0)*VLOOKUP(O1322,MgDeg,2,0),0)</f>
        <v/>
      </c>
      <c r="S1322" s="29">
        <f>IFERROR(VLOOKUP(M1322,MgValor,2,0)*VLOOKUP(P1322,MgDeg,2,0),0)</f>
        <v/>
      </c>
      <c r="T1322" s="30">
        <f>MAX(Q1322:S1322)</f>
        <v/>
      </c>
      <c r="U1322" s="28">
        <f>IFERROR(LOOKUP(T1322,{0;0.5;1.5;3;4.5},{"Despreciable";"Bajo";"Medio";"Alto";"Muy alto"}),"")</f>
        <v/>
      </c>
      <c r="V1322" s="13">
        <f>IFERROR(INDEX(MgAmenFrec,MATCH(SUBSTITUTE($H1322,"*","-"),MgAmenClave,0)),"")</f>
        <v/>
      </c>
      <c r="W1322" s="28">
        <f>IFERROR(LOOKUP(X1322,{0;0.01;0.1;1;10;100},{"Muy baja";"Muy baja";"Baja";"Media";"Alta";"Muy alta"}),"")</f>
        <v/>
      </c>
      <c r="X1322" s="31">
        <f>IFERROR(VLOOKUP(V1322,MgFrec,2,0),0)</f>
        <v/>
      </c>
      <c r="Y1322" s="30">
        <f>T1322*X1322</f>
        <v/>
      </c>
      <c r="Z1322" s="28">
        <f>IFERROR(LOOKUP(Y1322,{0;0.5;5;25},{"Bajo";"Medio";"Alto";"Crítico"}),"")</f>
        <v/>
      </c>
      <c r="AA1322" s="64">
        <f>IF(T1322&gt;=3,IF(X1322&gt;=1,"Zona 1 — Crítica: impacto alto y ocurre al menos una vez al año","Zona 4 — Catastrófica poco probable: impacto alto pero excepcional"),IF(AND(T1322&lt;1.5,X1322&lt;1),"Zona 3 — Asumible: impacto bajo y muy poco frecuente","Zona 2 — Atención: riesgo intermedio"))</f>
        <v/>
      </c>
      <c r="AB1322" s="64">
        <f>IFERROR(INDEX(MgAmenCtrl,MATCH(SUBSTITUTE($H1322,"*","-"),MgAmenClave,0)),"")</f>
        <v/>
      </c>
      <c r="AC1322" s="20" t="n"/>
      <c r="AD1322" s="31">
        <f>IFERROR($X1322*(1-IF($AC1322="",$AL1322,VLOOKUP($AC1322,MgMad,2,0))),"")</f>
        <v/>
      </c>
      <c r="AE1322" s="28">
        <f>IFERROR(LOOKUP(AD1322,{0;0.01;0.1;1;10;100},{"Muy baja";"Muy baja";"Baja";"Media";"Alta";"Muy alta"}),"")</f>
        <v/>
      </c>
      <c r="AF1322" s="30">
        <f>T1322*AD1322</f>
        <v/>
      </c>
      <c r="AG1322" s="28">
        <f>IFERROR(LOOKUP(AF1322,{0;0.5;5;25},{"Bajo";"Medio";"Alto";"Crítico"}),"")</f>
        <v/>
      </c>
      <c r="AH1322" s="28">
        <f>IF(AG1322="","",IF(OR(AG1322="Crítico",AG1322="Alto"),"Mitigar",IF(AG1322="Medio","Mitigar","Aceptar y monitorear")))</f>
        <v/>
      </c>
      <c r="AI1322" s="21" t="n"/>
      <c r="AJ1322" s="21" t="n"/>
      <c r="AK1322" s="20" t="n"/>
      <c r="AL1322" s="77">
        <f>IFERROR(INDEX(MgAmenEfic,MATCH(SUBSTITUTE($H1322,"*","-"),MgAmenClave,0)),0)</f>
        <v/>
      </c>
    </row>
    <row r="1323" hidden="1" ht="75" customHeight="1" s="54">
      <c r="B1323" s="59" t="inlineStr">
        <is>
          <t>R-1318</t>
        </is>
      </c>
      <c r="C1323" s="59" t="inlineStr">
        <is>
          <t>GH-024</t>
        </is>
      </c>
      <c r="D1323" s="64">
        <f>IFERROR(INDEX(MgNombre,MATCH($C1323,MgActId,0)),"")</f>
        <v/>
      </c>
      <c r="E1323" s="64">
        <f>IFERROR(INDEX(MgProceso,MATCH($C1323,MgActId,0)),"")</f>
        <v/>
      </c>
      <c r="F1323" s="64">
        <f>IFERROR(INDEX(MgTipo,MATCH($C1323,MgActId,0)),"")</f>
        <v/>
      </c>
      <c r="G1323" s="64">
        <f>IFERROR(INDEX(MgSubtipo,MATCH($C1323,MgActId,0)),"")</f>
        <v/>
      </c>
      <c r="H1323" s="59" t="inlineStr">
        <is>
          <t>E.4</t>
        </is>
      </c>
      <c r="I1323" s="64">
        <f>IFERROR(INDEX(MgAmenNombre,MATCH(SUBSTITUTE($H1323,"*","-"),MgAmenClave,0)),"")</f>
        <v/>
      </c>
      <c r="J1323" s="28">
        <f>IFERROR(INDEX(MgAmenGrupo,MATCH(SUBSTITUTE($H1323,"*","-"),MgAmenClave,0)),"")</f>
        <v/>
      </c>
      <c r="K1323" s="64">
        <f>IFERROR(INDEX('1. Matriz de Activos'!$Q$6:$Q$239,MATCH($C1323,MgActId,0)),"")</f>
        <v/>
      </c>
      <c r="L1323" s="64">
        <f>IFERROR(INDEX('1. Matriz de Activos'!$R$6:$R$239,MATCH($C1323,MgActId,0)),"")</f>
        <v/>
      </c>
      <c r="M1323" s="64">
        <f>IFERROR(INDEX('1. Matriz de Activos'!$S$6:$S$239,MATCH($C1323,MgActId,0)),"")</f>
        <v/>
      </c>
      <c r="N1323" s="28">
        <f>IFERROR(INDEX(MgAmenDegD,MATCH(SUBSTITUTE($H1323,"*","-"),MgAmenClave,0)),"No aplica")</f>
        <v/>
      </c>
      <c r="O1323" s="28">
        <f>IFERROR(INDEX(MgAmenDegI,MATCH(SUBSTITUTE($H1323,"*","-"),MgAmenClave,0)),"No aplica")</f>
        <v/>
      </c>
      <c r="P1323" s="28">
        <f>IFERROR(INDEX(MgAmenDegC,MATCH(SUBSTITUTE($H1323,"*","-"),MgAmenClave,0)),"No aplica")</f>
        <v/>
      </c>
      <c r="Q1323" s="29">
        <f>IFERROR(VLOOKUP(K1323,MgValor,2,0)*VLOOKUP(N1323,MgDeg,2,0),0)</f>
        <v/>
      </c>
      <c r="R1323" s="29">
        <f>IFERROR(VLOOKUP(L1323,MgValor,2,0)*VLOOKUP(O1323,MgDeg,2,0),0)</f>
        <v/>
      </c>
      <c r="S1323" s="29">
        <f>IFERROR(VLOOKUP(M1323,MgValor,2,0)*VLOOKUP(P1323,MgDeg,2,0),0)</f>
        <v/>
      </c>
      <c r="T1323" s="30">
        <f>MAX(Q1323:S1323)</f>
        <v/>
      </c>
      <c r="U1323" s="28">
        <f>IFERROR(LOOKUP(T1323,{0;0.5;1.5;3;4.5},{"Despreciable";"Bajo";"Medio";"Alto";"Muy alto"}),"")</f>
        <v/>
      </c>
      <c r="V1323" s="13">
        <f>IFERROR(INDEX(MgAmenFrec,MATCH(SUBSTITUTE($H1323,"*","-"),MgAmenClave,0)),"")</f>
        <v/>
      </c>
      <c r="W1323" s="28">
        <f>IFERROR(LOOKUP(X1323,{0;0.01;0.1;1;10;100},{"Muy baja";"Muy baja";"Baja";"Media";"Alta";"Muy alta"}),"")</f>
        <v/>
      </c>
      <c r="X1323" s="31">
        <f>IFERROR(VLOOKUP(V1323,MgFrec,2,0),0)</f>
        <v/>
      </c>
      <c r="Y1323" s="30">
        <f>T1323*X1323</f>
        <v/>
      </c>
      <c r="Z1323" s="28">
        <f>IFERROR(LOOKUP(Y1323,{0;0.5;5;25},{"Bajo";"Medio";"Alto";"Crítico"}),"")</f>
        <v/>
      </c>
      <c r="AA1323" s="64">
        <f>IF(T1323&gt;=3,IF(X1323&gt;=1,"Zona 1 — Crítica: impacto alto y ocurre al menos una vez al año","Zona 4 — Catastrófica poco probable: impacto alto pero excepcional"),IF(AND(T1323&lt;1.5,X1323&lt;1),"Zona 3 — Asumible: impacto bajo y muy poco frecuente","Zona 2 — Atención: riesgo intermedio"))</f>
        <v/>
      </c>
      <c r="AB1323" s="64">
        <f>IFERROR(INDEX(MgAmenCtrl,MATCH(SUBSTITUTE($H1323,"*","-"),MgAmenClave,0)),"")</f>
        <v/>
      </c>
      <c r="AC1323" s="20" t="n"/>
      <c r="AD1323" s="31">
        <f>IFERROR($X1323*(1-IF($AC1323="",$AL1323,VLOOKUP($AC1323,MgMad,2,0))),"")</f>
        <v/>
      </c>
      <c r="AE1323" s="28">
        <f>IFERROR(LOOKUP(AD1323,{0;0.01;0.1;1;10;100},{"Muy baja";"Muy baja";"Baja";"Media";"Alta";"Muy alta"}),"")</f>
        <v/>
      </c>
      <c r="AF1323" s="30">
        <f>T1323*AD1323</f>
        <v/>
      </c>
      <c r="AG1323" s="28">
        <f>IFERROR(LOOKUP(AF1323,{0;0.5;5;25},{"Bajo";"Medio";"Alto";"Crítico"}),"")</f>
        <v/>
      </c>
      <c r="AH1323" s="28">
        <f>IF(AG1323="","",IF(OR(AG1323="Crítico",AG1323="Alto"),"Mitigar",IF(AG1323="Medio","Mitigar","Aceptar y monitorear")))</f>
        <v/>
      </c>
      <c r="AI1323" s="21" t="n"/>
      <c r="AJ1323" s="21" t="n"/>
      <c r="AK1323" s="20" t="n"/>
      <c r="AL1323" s="77">
        <f>IFERROR(INDEX(MgAmenEfic,MATCH(SUBSTITUTE($H1323,"*","-"),MgAmenClave,0)),0)</f>
        <v/>
      </c>
    </row>
    <row r="1324" hidden="1" ht="90" customHeight="1" s="54">
      <c r="B1324" s="59" t="inlineStr">
        <is>
          <t>R-1319</t>
        </is>
      </c>
      <c r="C1324" s="59" t="inlineStr">
        <is>
          <t>GH-024</t>
        </is>
      </c>
      <c r="D1324" s="64">
        <f>IFERROR(INDEX(MgNombre,MATCH($C1324,MgActId,0)),"")</f>
        <v/>
      </c>
      <c r="E1324" s="64">
        <f>IFERROR(INDEX(MgProceso,MATCH($C1324,MgActId,0)),"")</f>
        <v/>
      </c>
      <c r="F1324" s="64">
        <f>IFERROR(INDEX(MgTipo,MATCH($C1324,MgActId,0)),"")</f>
        <v/>
      </c>
      <c r="G1324" s="64">
        <f>IFERROR(INDEX(MgSubtipo,MATCH($C1324,MgActId,0)),"")</f>
        <v/>
      </c>
      <c r="H1324" s="59" t="inlineStr">
        <is>
          <t>E.14</t>
        </is>
      </c>
      <c r="I1324" s="64">
        <f>IFERROR(INDEX(MgAmenNombre,MATCH(SUBSTITUTE($H1324,"*","-"),MgAmenClave,0)),"")</f>
        <v/>
      </c>
      <c r="J1324" s="28">
        <f>IFERROR(INDEX(MgAmenGrupo,MATCH(SUBSTITUTE($H1324,"*","-"),MgAmenClave,0)),"")</f>
        <v/>
      </c>
      <c r="K1324" s="64">
        <f>IFERROR(INDEX('1. Matriz de Activos'!$Q$6:$Q$239,MATCH($C1324,MgActId,0)),"")</f>
        <v/>
      </c>
      <c r="L1324" s="64">
        <f>IFERROR(INDEX('1. Matriz de Activos'!$R$6:$R$239,MATCH($C1324,MgActId,0)),"")</f>
        <v/>
      </c>
      <c r="M1324" s="64">
        <f>IFERROR(INDEX('1. Matriz de Activos'!$S$6:$S$239,MATCH($C1324,MgActId,0)),"")</f>
        <v/>
      </c>
      <c r="N1324" s="28">
        <f>IFERROR(INDEX(MgAmenDegD,MATCH(SUBSTITUTE($H1324,"*","-"),MgAmenClave,0)),"No aplica")</f>
        <v/>
      </c>
      <c r="O1324" s="28">
        <f>IFERROR(INDEX(MgAmenDegI,MATCH(SUBSTITUTE($H1324,"*","-"),MgAmenClave,0)),"No aplica")</f>
        <v/>
      </c>
      <c r="P1324" s="28">
        <f>IFERROR(INDEX(MgAmenDegC,MATCH(SUBSTITUTE($H1324,"*","-"),MgAmenClave,0)),"No aplica")</f>
        <v/>
      </c>
      <c r="Q1324" s="29">
        <f>IFERROR(VLOOKUP(K1324,MgValor,2,0)*VLOOKUP(N1324,MgDeg,2,0),0)</f>
        <v/>
      </c>
      <c r="R1324" s="29">
        <f>IFERROR(VLOOKUP(L1324,MgValor,2,0)*VLOOKUP(O1324,MgDeg,2,0),0)</f>
        <v/>
      </c>
      <c r="S1324" s="29">
        <f>IFERROR(VLOOKUP(M1324,MgValor,2,0)*VLOOKUP(P1324,MgDeg,2,0),0)</f>
        <v/>
      </c>
      <c r="T1324" s="30">
        <f>MAX(Q1324:S1324)</f>
        <v/>
      </c>
      <c r="U1324" s="28">
        <f>IFERROR(LOOKUP(T1324,{0;0.5;1.5;3;4.5},{"Despreciable";"Bajo";"Medio";"Alto";"Muy alto"}),"")</f>
        <v/>
      </c>
      <c r="V1324" s="13">
        <f>IFERROR(INDEX(MgAmenFrec,MATCH(SUBSTITUTE($H1324,"*","-"),MgAmenClave,0)),"")</f>
        <v/>
      </c>
      <c r="W1324" s="28">
        <f>IFERROR(LOOKUP(X1324,{0;0.01;0.1;1;10;100},{"Muy baja";"Muy baja";"Baja";"Media";"Alta";"Muy alta"}),"")</f>
        <v/>
      </c>
      <c r="X1324" s="31">
        <f>IFERROR(VLOOKUP(V1324,MgFrec,2,0),0)</f>
        <v/>
      </c>
      <c r="Y1324" s="30">
        <f>T1324*X1324</f>
        <v/>
      </c>
      <c r="Z1324" s="28">
        <f>IFERROR(LOOKUP(Y1324,{0;0.5;5;25},{"Bajo";"Medio";"Alto";"Crítico"}),"")</f>
        <v/>
      </c>
      <c r="AA1324" s="64">
        <f>IF(T1324&gt;=3,IF(X1324&gt;=1,"Zona 1 — Crítica: impacto alto y ocurre al menos una vez al año","Zona 4 — Catastrófica poco probable: impacto alto pero excepcional"),IF(AND(T1324&lt;1.5,X1324&lt;1),"Zona 3 — Asumible: impacto bajo y muy poco frecuente","Zona 2 — Atención: riesgo intermedio"))</f>
        <v/>
      </c>
      <c r="AB1324" s="64">
        <f>IFERROR(INDEX(MgAmenCtrl,MATCH(SUBSTITUTE($H1324,"*","-"),MgAmenClave,0)),"")</f>
        <v/>
      </c>
      <c r="AC1324" s="20" t="n"/>
      <c r="AD1324" s="31">
        <f>IFERROR($X1324*(1-IF($AC1324="",$AL1324,VLOOKUP($AC1324,MgMad,2,0))),"")</f>
        <v/>
      </c>
      <c r="AE1324" s="28">
        <f>IFERROR(LOOKUP(AD1324,{0;0.01;0.1;1;10;100},{"Muy baja";"Muy baja";"Baja";"Media";"Alta";"Muy alta"}),"")</f>
        <v/>
      </c>
      <c r="AF1324" s="30">
        <f>T1324*AD1324</f>
        <v/>
      </c>
      <c r="AG1324" s="28">
        <f>IFERROR(LOOKUP(AF1324,{0;0.5;5;25},{"Bajo";"Medio";"Alto";"Crítico"}),"")</f>
        <v/>
      </c>
      <c r="AH1324" s="28">
        <f>IF(AG1324="","",IF(OR(AG1324="Crítico",AG1324="Alto"),"Mitigar",IF(AG1324="Medio","Mitigar","Aceptar y monitorear")))</f>
        <v/>
      </c>
      <c r="AI1324" s="21" t="n"/>
      <c r="AJ1324" s="21" t="n"/>
      <c r="AK1324" s="20" t="n"/>
      <c r="AL1324" s="77">
        <f>IFERROR(INDEX(MgAmenEfic,MATCH(SUBSTITUTE($H1324,"*","-"),MgAmenClave,0)),0)</f>
        <v/>
      </c>
    </row>
    <row r="1325" hidden="1" ht="90" customHeight="1" s="54">
      <c r="B1325" s="59" t="inlineStr">
        <is>
          <t>R-1320</t>
        </is>
      </c>
      <c r="C1325" s="59" t="inlineStr">
        <is>
          <t>GH-024</t>
        </is>
      </c>
      <c r="D1325" s="64">
        <f>IFERROR(INDEX(MgNombre,MATCH($C1325,MgActId,0)),"")</f>
        <v/>
      </c>
      <c r="E1325" s="64">
        <f>IFERROR(INDEX(MgProceso,MATCH($C1325,MgActId,0)),"")</f>
        <v/>
      </c>
      <c r="F1325" s="64">
        <f>IFERROR(INDEX(MgTipo,MATCH($C1325,MgActId,0)),"")</f>
        <v/>
      </c>
      <c r="G1325" s="64">
        <f>IFERROR(INDEX(MgSubtipo,MATCH($C1325,MgActId,0)),"")</f>
        <v/>
      </c>
      <c r="H1325" s="59" t="inlineStr">
        <is>
          <t>E.15</t>
        </is>
      </c>
      <c r="I1325" s="64">
        <f>IFERROR(INDEX(MgAmenNombre,MATCH(SUBSTITUTE($H1325,"*","-"),MgAmenClave,0)),"")</f>
        <v/>
      </c>
      <c r="J1325" s="28">
        <f>IFERROR(INDEX(MgAmenGrupo,MATCH(SUBSTITUTE($H1325,"*","-"),MgAmenClave,0)),"")</f>
        <v/>
      </c>
      <c r="K1325" s="64">
        <f>IFERROR(INDEX('1. Matriz de Activos'!$Q$6:$Q$239,MATCH($C1325,MgActId,0)),"")</f>
        <v/>
      </c>
      <c r="L1325" s="64">
        <f>IFERROR(INDEX('1. Matriz de Activos'!$R$6:$R$239,MATCH($C1325,MgActId,0)),"")</f>
        <v/>
      </c>
      <c r="M1325" s="64">
        <f>IFERROR(INDEX('1. Matriz de Activos'!$S$6:$S$239,MATCH($C1325,MgActId,0)),"")</f>
        <v/>
      </c>
      <c r="N1325" s="28">
        <f>IFERROR(INDEX(MgAmenDegD,MATCH(SUBSTITUTE($H1325,"*","-"),MgAmenClave,0)),"No aplica")</f>
        <v/>
      </c>
      <c r="O1325" s="28">
        <f>IFERROR(INDEX(MgAmenDegI,MATCH(SUBSTITUTE($H1325,"*","-"),MgAmenClave,0)),"No aplica")</f>
        <v/>
      </c>
      <c r="P1325" s="28">
        <f>IFERROR(INDEX(MgAmenDegC,MATCH(SUBSTITUTE($H1325,"*","-"),MgAmenClave,0)),"No aplica")</f>
        <v/>
      </c>
      <c r="Q1325" s="29">
        <f>IFERROR(VLOOKUP(K1325,MgValor,2,0)*VLOOKUP(N1325,MgDeg,2,0),0)</f>
        <v/>
      </c>
      <c r="R1325" s="29">
        <f>IFERROR(VLOOKUP(L1325,MgValor,2,0)*VLOOKUP(O1325,MgDeg,2,0),0)</f>
        <v/>
      </c>
      <c r="S1325" s="29">
        <f>IFERROR(VLOOKUP(M1325,MgValor,2,0)*VLOOKUP(P1325,MgDeg,2,0),0)</f>
        <v/>
      </c>
      <c r="T1325" s="30">
        <f>MAX(Q1325:S1325)</f>
        <v/>
      </c>
      <c r="U1325" s="28">
        <f>IFERROR(LOOKUP(T1325,{0;0.5;1.5;3;4.5},{"Despreciable";"Bajo";"Medio";"Alto";"Muy alto"}),"")</f>
        <v/>
      </c>
      <c r="V1325" s="13">
        <f>IFERROR(INDEX(MgAmenFrec,MATCH(SUBSTITUTE($H1325,"*","-"),MgAmenClave,0)),"")</f>
        <v/>
      </c>
      <c r="W1325" s="28">
        <f>IFERROR(LOOKUP(X1325,{0;0.01;0.1;1;10;100},{"Muy baja";"Muy baja";"Baja";"Media";"Alta";"Muy alta"}),"")</f>
        <v/>
      </c>
      <c r="X1325" s="31">
        <f>IFERROR(VLOOKUP(V1325,MgFrec,2,0),0)</f>
        <v/>
      </c>
      <c r="Y1325" s="30">
        <f>T1325*X1325</f>
        <v/>
      </c>
      <c r="Z1325" s="28">
        <f>IFERROR(LOOKUP(Y1325,{0;0.5;5;25},{"Bajo";"Medio";"Alto";"Crítico"}),"")</f>
        <v/>
      </c>
      <c r="AA1325" s="64">
        <f>IF(T1325&gt;=3,IF(X1325&gt;=1,"Zona 1 — Crítica: impacto alto y ocurre al menos una vez al año","Zona 4 — Catastrófica poco probable: impacto alto pero excepcional"),IF(AND(T1325&lt;1.5,X1325&lt;1),"Zona 3 — Asumible: impacto bajo y muy poco frecuente","Zona 2 — Atención: riesgo intermedio"))</f>
        <v/>
      </c>
      <c r="AB1325" s="64">
        <f>IFERROR(INDEX(MgAmenCtrl,MATCH(SUBSTITUTE($H1325,"*","-"),MgAmenClave,0)),"")</f>
        <v/>
      </c>
      <c r="AC1325" s="20" t="n"/>
      <c r="AD1325" s="31">
        <f>IFERROR($X1325*(1-IF($AC1325="",$AL1325,VLOOKUP($AC1325,MgMad,2,0))),"")</f>
        <v/>
      </c>
      <c r="AE1325" s="28">
        <f>IFERROR(LOOKUP(AD1325,{0;0.01;0.1;1;10;100},{"Muy baja";"Muy baja";"Baja";"Media";"Alta";"Muy alta"}),"")</f>
        <v/>
      </c>
      <c r="AF1325" s="30">
        <f>T1325*AD1325</f>
        <v/>
      </c>
      <c r="AG1325" s="28">
        <f>IFERROR(LOOKUP(AF1325,{0;0.5;5;25},{"Bajo";"Medio";"Alto";"Crítico"}),"")</f>
        <v/>
      </c>
      <c r="AH1325" s="28">
        <f>IF(AG1325="","",IF(OR(AG1325="Crítico",AG1325="Alto"),"Mitigar",IF(AG1325="Medio","Mitigar","Aceptar y monitorear")))</f>
        <v/>
      </c>
      <c r="AI1325" s="21" t="n"/>
      <c r="AJ1325" s="21" t="n"/>
      <c r="AK1325" s="20" t="n"/>
      <c r="AL1325" s="77">
        <f>IFERROR(INDEX(MgAmenEfic,MATCH(SUBSTITUTE($H1325,"*","-"),MgAmenClave,0)),0)</f>
        <v/>
      </c>
    </row>
    <row r="1326" hidden="1" ht="60" customHeight="1" s="54">
      <c r="B1326" s="59" t="inlineStr">
        <is>
          <t>R-1321</t>
        </is>
      </c>
      <c r="C1326" s="59" t="inlineStr">
        <is>
          <t>GH-024</t>
        </is>
      </c>
      <c r="D1326" s="64">
        <f>IFERROR(INDEX(MgNombre,MATCH($C1326,MgActId,0)),"")</f>
        <v/>
      </c>
      <c r="E1326" s="64">
        <f>IFERROR(INDEX(MgProceso,MATCH($C1326,MgActId,0)),"")</f>
        <v/>
      </c>
      <c r="F1326" s="64">
        <f>IFERROR(INDEX(MgTipo,MATCH($C1326,MgActId,0)),"")</f>
        <v/>
      </c>
      <c r="G1326" s="64">
        <f>IFERROR(INDEX(MgSubtipo,MATCH($C1326,MgActId,0)),"")</f>
        <v/>
      </c>
      <c r="H1326" s="59" t="inlineStr">
        <is>
          <t>E.18</t>
        </is>
      </c>
      <c r="I1326" s="64">
        <f>IFERROR(INDEX(MgAmenNombre,MATCH(SUBSTITUTE($H1326,"*","-"),MgAmenClave,0)),"")</f>
        <v/>
      </c>
      <c r="J1326" s="28">
        <f>IFERROR(INDEX(MgAmenGrupo,MATCH(SUBSTITUTE($H1326,"*","-"),MgAmenClave,0)),"")</f>
        <v/>
      </c>
      <c r="K1326" s="64">
        <f>IFERROR(INDEX('1. Matriz de Activos'!$Q$6:$Q$239,MATCH($C1326,MgActId,0)),"")</f>
        <v/>
      </c>
      <c r="L1326" s="64">
        <f>IFERROR(INDEX('1. Matriz de Activos'!$R$6:$R$239,MATCH($C1326,MgActId,0)),"")</f>
        <v/>
      </c>
      <c r="M1326" s="64">
        <f>IFERROR(INDEX('1. Matriz de Activos'!$S$6:$S$239,MATCH($C1326,MgActId,0)),"")</f>
        <v/>
      </c>
      <c r="N1326" s="28">
        <f>IFERROR(INDEX(MgAmenDegD,MATCH(SUBSTITUTE($H1326,"*","-"),MgAmenClave,0)),"No aplica")</f>
        <v/>
      </c>
      <c r="O1326" s="28">
        <f>IFERROR(INDEX(MgAmenDegI,MATCH(SUBSTITUTE($H1326,"*","-"),MgAmenClave,0)),"No aplica")</f>
        <v/>
      </c>
      <c r="P1326" s="28">
        <f>IFERROR(INDEX(MgAmenDegC,MATCH(SUBSTITUTE($H1326,"*","-"),MgAmenClave,0)),"No aplica")</f>
        <v/>
      </c>
      <c r="Q1326" s="29">
        <f>IFERROR(VLOOKUP(K1326,MgValor,2,0)*VLOOKUP(N1326,MgDeg,2,0),0)</f>
        <v/>
      </c>
      <c r="R1326" s="29">
        <f>IFERROR(VLOOKUP(L1326,MgValor,2,0)*VLOOKUP(O1326,MgDeg,2,0),0)</f>
        <v/>
      </c>
      <c r="S1326" s="29">
        <f>IFERROR(VLOOKUP(M1326,MgValor,2,0)*VLOOKUP(P1326,MgDeg,2,0),0)</f>
        <v/>
      </c>
      <c r="T1326" s="30">
        <f>MAX(Q1326:S1326)</f>
        <v/>
      </c>
      <c r="U1326" s="28">
        <f>IFERROR(LOOKUP(T1326,{0;0.5;1.5;3;4.5},{"Despreciable";"Bajo";"Medio";"Alto";"Muy alto"}),"")</f>
        <v/>
      </c>
      <c r="V1326" s="13">
        <f>IFERROR(INDEX(MgAmenFrec,MATCH(SUBSTITUTE($H1326,"*","-"),MgAmenClave,0)),"")</f>
        <v/>
      </c>
      <c r="W1326" s="28">
        <f>IFERROR(LOOKUP(X1326,{0;0.01;0.1;1;10;100},{"Muy baja";"Muy baja";"Baja";"Media";"Alta";"Muy alta"}),"")</f>
        <v/>
      </c>
      <c r="X1326" s="31">
        <f>IFERROR(VLOOKUP(V1326,MgFrec,2,0),0)</f>
        <v/>
      </c>
      <c r="Y1326" s="30">
        <f>T1326*X1326</f>
        <v/>
      </c>
      <c r="Z1326" s="28">
        <f>IFERROR(LOOKUP(Y1326,{0;0.5;5;25},{"Bajo";"Medio";"Alto";"Crítico"}),"")</f>
        <v/>
      </c>
      <c r="AA1326" s="64">
        <f>IF(T1326&gt;=3,IF(X1326&gt;=1,"Zona 1 — Crítica: impacto alto y ocurre al menos una vez al año","Zona 4 — Catastrófica poco probable: impacto alto pero excepcional"),IF(AND(T1326&lt;1.5,X1326&lt;1),"Zona 3 — Asumible: impacto bajo y muy poco frecuente","Zona 2 — Atención: riesgo intermedio"))</f>
        <v/>
      </c>
      <c r="AB1326" s="64">
        <f>IFERROR(INDEX(MgAmenCtrl,MATCH(SUBSTITUTE($H1326,"*","-"),MgAmenClave,0)),"")</f>
        <v/>
      </c>
      <c r="AC1326" s="20" t="n"/>
      <c r="AD1326" s="31">
        <f>IFERROR($X1326*(1-IF($AC1326="",$AL1326,VLOOKUP($AC1326,MgMad,2,0))),"")</f>
        <v/>
      </c>
      <c r="AE1326" s="28">
        <f>IFERROR(LOOKUP(AD1326,{0;0.01;0.1;1;10;100},{"Muy baja";"Muy baja";"Baja";"Media";"Alta";"Muy alta"}),"")</f>
        <v/>
      </c>
      <c r="AF1326" s="30">
        <f>T1326*AD1326</f>
        <v/>
      </c>
      <c r="AG1326" s="28">
        <f>IFERROR(LOOKUP(AF1326,{0;0.5;5;25},{"Bajo";"Medio";"Alto";"Crítico"}),"")</f>
        <v/>
      </c>
      <c r="AH1326" s="28">
        <f>IF(AG1326="","",IF(OR(AG1326="Crítico",AG1326="Alto"),"Mitigar",IF(AG1326="Medio","Mitigar","Aceptar y monitorear")))</f>
        <v/>
      </c>
      <c r="AI1326" s="21" t="n"/>
      <c r="AJ1326" s="21" t="n"/>
      <c r="AK1326" s="20" t="n"/>
      <c r="AL1326" s="77">
        <f>IFERROR(INDEX(MgAmenEfic,MATCH(SUBSTITUTE($H1326,"*","-"),MgAmenClave,0)),0)</f>
        <v/>
      </c>
    </row>
    <row r="1327" hidden="1" ht="105" customHeight="1" s="54">
      <c r="B1327" s="59" t="inlineStr">
        <is>
          <t>R-1322</t>
        </is>
      </c>
      <c r="C1327" s="59" t="inlineStr">
        <is>
          <t>GH-024</t>
        </is>
      </c>
      <c r="D1327" s="64">
        <f>IFERROR(INDEX(MgNombre,MATCH($C1327,MgActId,0)),"")</f>
        <v/>
      </c>
      <c r="E1327" s="64">
        <f>IFERROR(INDEX(MgProceso,MATCH($C1327,MgActId,0)),"")</f>
        <v/>
      </c>
      <c r="F1327" s="64">
        <f>IFERROR(INDEX(MgTipo,MATCH($C1327,MgActId,0)),"")</f>
        <v/>
      </c>
      <c r="G1327" s="64">
        <f>IFERROR(INDEX(MgSubtipo,MATCH($C1327,MgActId,0)),"")</f>
        <v/>
      </c>
      <c r="H1327" s="59" t="inlineStr">
        <is>
          <t>E.19</t>
        </is>
      </c>
      <c r="I1327" s="64">
        <f>IFERROR(INDEX(MgAmenNombre,MATCH(SUBSTITUTE($H1327,"*","-"),MgAmenClave,0)),"")</f>
        <v/>
      </c>
      <c r="J1327" s="28">
        <f>IFERROR(INDEX(MgAmenGrupo,MATCH(SUBSTITUTE($H1327,"*","-"),MgAmenClave,0)),"")</f>
        <v/>
      </c>
      <c r="K1327" s="64">
        <f>IFERROR(INDEX('1. Matriz de Activos'!$Q$6:$Q$239,MATCH($C1327,MgActId,0)),"")</f>
        <v/>
      </c>
      <c r="L1327" s="64">
        <f>IFERROR(INDEX('1. Matriz de Activos'!$R$6:$R$239,MATCH($C1327,MgActId,0)),"")</f>
        <v/>
      </c>
      <c r="M1327" s="64">
        <f>IFERROR(INDEX('1. Matriz de Activos'!$S$6:$S$239,MATCH($C1327,MgActId,0)),"")</f>
        <v/>
      </c>
      <c r="N1327" s="28">
        <f>IFERROR(INDEX(MgAmenDegD,MATCH(SUBSTITUTE($H1327,"*","-"),MgAmenClave,0)),"No aplica")</f>
        <v/>
      </c>
      <c r="O1327" s="28">
        <f>IFERROR(INDEX(MgAmenDegI,MATCH(SUBSTITUTE($H1327,"*","-"),MgAmenClave,0)),"No aplica")</f>
        <v/>
      </c>
      <c r="P1327" s="28">
        <f>IFERROR(INDEX(MgAmenDegC,MATCH(SUBSTITUTE($H1327,"*","-"),MgAmenClave,0)),"No aplica")</f>
        <v/>
      </c>
      <c r="Q1327" s="29">
        <f>IFERROR(VLOOKUP(K1327,MgValor,2,0)*VLOOKUP(N1327,MgDeg,2,0),0)</f>
        <v/>
      </c>
      <c r="R1327" s="29">
        <f>IFERROR(VLOOKUP(L1327,MgValor,2,0)*VLOOKUP(O1327,MgDeg,2,0),0)</f>
        <v/>
      </c>
      <c r="S1327" s="29">
        <f>IFERROR(VLOOKUP(M1327,MgValor,2,0)*VLOOKUP(P1327,MgDeg,2,0),0)</f>
        <v/>
      </c>
      <c r="T1327" s="30">
        <f>MAX(Q1327:S1327)</f>
        <v/>
      </c>
      <c r="U1327" s="28">
        <f>IFERROR(LOOKUP(T1327,{0;0.5;1.5;3;4.5},{"Despreciable";"Bajo";"Medio";"Alto";"Muy alto"}),"")</f>
        <v/>
      </c>
      <c r="V1327" s="13">
        <f>IFERROR(INDEX(MgAmenFrec,MATCH(SUBSTITUTE($H1327,"*","-"),MgAmenClave,0)),"")</f>
        <v/>
      </c>
      <c r="W1327" s="28">
        <f>IFERROR(LOOKUP(X1327,{0;0.01;0.1;1;10;100},{"Muy baja";"Muy baja";"Baja";"Media";"Alta";"Muy alta"}),"")</f>
        <v/>
      </c>
      <c r="X1327" s="31">
        <f>IFERROR(VLOOKUP(V1327,MgFrec,2,0),0)</f>
        <v/>
      </c>
      <c r="Y1327" s="30">
        <f>T1327*X1327</f>
        <v/>
      </c>
      <c r="Z1327" s="28">
        <f>IFERROR(LOOKUP(Y1327,{0;0.5;5;25},{"Bajo";"Medio";"Alto";"Crítico"}),"")</f>
        <v/>
      </c>
      <c r="AA1327" s="64">
        <f>IF(T1327&gt;=3,IF(X1327&gt;=1,"Zona 1 — Crítica: impacto alto y ocurre al menos una vez al año","Zona 4 — Catastrófica poco probable: impacto alto pero excepcional"),IF(AND(T1327&lt;1.5,X1327&lt;1),"Zona 3 — Asumible: impacto bajo y muy poco frecuente","Zona 2 — Atención: riesgo intermedio"))</f>
        <v/>
      </c>
      <c r="AB1327" s="64">
        <f>IFERROR(INDEX(MgAmenCtrl,MATCH(SUBSTITUTE($H1327,"*","-"),MgAmenClave,0)),"")</f>
        <v/>
      </c>
      <c r="AC1327" s="20" t="n"/>
      <c r="AD1327" s="31">
        <f>IFERROR($X1327*(1-IF($AC1327="",$AL1327,VLOOKUP($AC1327,MgMad,2,0))),"")</f>
        <v/>
      </c>
      <c r="AE1327" s="28">
        <f>IFERROR(LOOKUP(AD1327,{0;0.01;0.1;1;10;100},{"Muy baja";"Muy baja";"Baja";"Media";"Alta";"Muy alta"}),"")</f>
        <v/>
      </c>
      <c r="AF1327" s="30">
        <f>T1327*AD1327</f>
        <v/>
      </c>
      <c r="AG1327" s="28">
        <f>IFERROR(LOOKUP(AF1327,{0;0.5;5;25},{"Bajo";"Medio";"Alto";"Crítico"}),"")</f>
        <v/>
      </c>
      <c r="AH1327" s="28">
        <f>IF(AG1327="","",IF(OR(AG1327="Crítico",AG1327="Alto"),"Mitigar",IF(AG1327="Medio","Mitigar","Aceptar y monitorear")))</f>
        <v/>
      </c>
      <c r="AI1327" s="21" t="n"/>
      <c r="AJ1327" s="21" t="n"/>
      <c r="AK1327" s="20" t="n"/>
      <c r="AL1327" s="77">
        <f>IFERROR(INDEX(MgAmenEfic,MATCH(SUBSTITUTE($H1327,"*","-"),MgAmenClave,0)),0)</f>
        <v/>
      </c>
    </row>
    <row r="1328" hidden="1" ht="60" customHeight="1" s="54">
      <c r="B1328" s="59" t="inlineStr">
        <is>
          <t>R-1323</t>
        </is>
      </c>
      <c r="C1328" s="59" t="inlineStr">
        <is>
          <t>GH-024</t>
        </is>
      </c>
      <c r="D1328" s="64">
        <f>IFERROR(INDEX(MgNombre,MATCH($C1328,MgActId,0)),"")</f>
        <v/>
      </c>
      <c r="E1328" s="64">
        <f>IFERROR(INDEX(MgProceso,MATCH($C1328,MgActId,0)),"")</f>
        <v/>
      </c>
      <c r="F1328" s="64">
        <f>IFERROR(INDEX(MgTipo,MATCH($C1328,MgActId,0)),"")</f>
        <v/>
      </c>
      <c r="G1328" s="64">
        <f>IFERROR(INDEX(MgSubtipo,MATCH($C1328,MgActId,0)),"")</f>
        <v/>
      </c>
      <c r="H1328" s="59" t="inlineStr">
        <is>
          <t>A.3</t>
        </is>
      </c>
      <c r="I1328" s="64">
        <f>IFERROR(INDEX(MgAmenNombre,MATCH(SUBSTITUTE($H1328,"*","-"),MgAmenClave,0)),"")</f>
        <v/>
      </c>
      <c r="J1328" s="28">
        <f>IFERROR(INDEX(MgAmenGrupo,MATCH(SUBSTITUTE($H1328,"*","-"),MgAmenClave,0)),"")</f>
        <v/>
      </c>
      <c r="K1328" s="64">
        <f>IFERROR(INDEX('1. Matriz de Activos'!$Q$6:$Q$239,MATCH($C1328,MgActId,0)),"")</f>
        <v/>
      </c>
      <c r="L1328" s="64">
        <f>IFERROR(INDEX('1. Matriz de Activos'!$R$6:$R$239,MATCH($C1328,MgActId,0)),"")</f>
        <v/>
      </c>
      <c r="M1328" s="64">
        <f>IFERROR(INDEX('1. Matriz de Activos'!$S$6:$S$239,MATCH($C1328,MgActId,0)),"")</f>
        <v/>
      </c>
      <c r="N1328" s="28">
        <f>IFERROR(INDEX(MgAmenDegD,MATCH(SUBSTITUTE($H1328,"*","-"),MgAmenClave,0)),"No aplica")</f>
        <v/>
      </c>
      <c r="O1328" s="28">
        <f>IFERROR(INDEX(MgAmenDegI,MATCH(SUBSTITUTE($H1328,"*","-"),MgAmenClave,0)),"No aplica")</f>
        <v/>
      </c>
      <c r="P1328" s="28">
        <f>IFERROR(INDEX(MgAmenDegC,MATCH(SUBSTITUTE($H1328,"*","-"),MgAmenClave,0)),"No aplica")</f>
        <v/>
      </c>
      <c r="Q1328" s="29">
        <f>IFERROR(VLOOKUP(K1328,MgValor,2,0)*VLOOKUP(N1328,MgDeg,2,0),0)</f>
        <v/>
      </c>
      <c r="R1328" s="29">
        <f>IFERROR(VLOOKUP(L1328,MgValor,2,0)*VLOOKUP(O1328,MgDeg,2,0),0)</f>
        <v/>
      </c>
      <c r="S1328" s="29">
        <f>IFERROR(VLOOKUP(M1328,MgValor,2,0)*VLOOKUP(P1328,MgDeg,2,0),0)</f>
        <v/>
      </c>
      <c r="T1328" s="30">
        <f>MAX(Q1328:S1328)</f>
        <v/>
      </c>
      <c r="U1328" s="28">
        <f>IFERROR(LOOKUP(T1328,{0;0.5;1.5;3;4.5},{"Despreciable";"Bajo";"Medio";"Alto";"Muy alto"}),"")</f>
        <v/>
      </c>
      <c r="V1328" s="13">
        <f>IFERROR(INDEX(MgAmenFrec,MATCH(SUBSTITUTE($H1328,"*","-"),MgAmenClave,0)),"")</f>
        <v/>
      </c>
      <c r="W1328" s="28">
        <f>IFERROR(LOOKUP(X1328,{0;0.01;0.1;1;10;100},{"Muy baja";"Muy baja";"Baja";"Media";"Alta";"Muy alta"}),"")</f>
        <v/>
      </c>
      <c r="X1328" s="31">
        <f>IFERROR(VLOOKUP(V1328,MgFrec,2,0),0)</f>
        <v/>
      </c>
      <c r="Y1328" s="30">
        <f>T1328*X1328</f>
        <v/>
      </c>
      <c r="Z1328" s="28">
        <f>IFERROR(LOOKUP(Y1328,{0;0.5;5;25},{"Bajo";"Medio";"Alto";"Crítico"}),"")</f>
        <v/>
      </c>
      <c r="AA1328" s="64">
        <f>IF(T1328&gt;=3,IF(X1328&gt;=1,"Zona 1 — Crítica: impacto alto y ocurre al menos una vez al año","Zona 4 — Catastrófica poco probable: impacto alto pero excepcional"),IF(AND(T1328&lt;1.5,X1328&lt;1),"Zona 3 — Asumible: impacto bajo y muy poco frecuente","Zona 2 — Atención: riesgo intermedio"))</f>
        <v/>
      </c>
      <c r="AB1328" s="64">
        <f>IFERROR(INDEX(MgAmenCtrl,MATCH(SUBSTITUTE($H1328,"*","-"),MgAmenClave,0)),"")</f>
        <v/>
      </c>
      <c r="AC1328" s="20" t="n"/>
      <c r="AD1328" s="31">
        <f>IFERROR($X1328*(1-IF($AC1328="",$AL1328,VLOOKUP($AC1328,MgMad,2,0))),"")</f>
        <v/>
      </c>
      <c r="AE1328" s="28">
        <f>IFERROR(LOOKUP(AD1328,{0;0.01;0.1;1;10;100},{"Muy baja";"Muy baja";"Baja";"Media";"Alta";"Muy alta"}),"")</f>
        <v/>
      </c>
      <c r="AF1328" s="30">
        <f>T1328*AD1328</f>
        <v/>
      </c>
      <c r="AG1328" s="28">
        <f>IFERROR(LOOKUP(AF1328,{0;0.5;5;25},{"Bajo";"Medio";"Alto";"Crítico"}),"")</f>
        <v/>
      </c>
      <c r="AH1328" s="28">
        <f>IF(AG1328="","",IF(OR(AG1328="Crítico",AG1328="Alto"),"Mitigar",IF(AG1328="Medio","Mitigar","Aceptar y monitorear")))</f>
        <v/>
      </c>
      <c r="AI1328" s="21" t="n"/>
      <c r="AJ1328" s="21" t="n"/>
      <c r="AK1328" s="20" t="n"/>
      <c r="AL1328" s="77">
        <f>IFERROR(INDEX(MgAmenEfic,MATCH(SUBSTITUTE($H1328,"*","-"),MgAmenClave,0)),0)</f>
        <v/>
      </c>
    </row>
    <row r="1329" hidden="1" ht="60" customHeight="1" s="54">
      <c r="B1329" s="59" t="inlineStr">
        <is>
          <t>R-1324</t>
        </is>
      </c>
      <c r="C1329" s="59" t="inlineStr">
        <is>
          <t>GH-024</t>
        </is>
      </c>
      <c r="D1329" s="64">
        <f>IFERROR(INDEX(MgNombre,MATCH($C1329,MgActId,0)),"")</f>
        <v/>
      </c>
      <c r="E1329" s="64">
        <f>IFERROR(INDEX(MgProceso,MATCH($C1329,MgActId,0)),"")</f>
        <v/>
      </c>
      <c r="F1329" s="64">
        <f>IFERROR(INDEX(MgTipo,MATCH($C1329,MgActId,0)),"")</f>
        <v/>
      </c>
      <c r="G1329" s="64">
        <f>IFERROR(INDEX(MgSubtipo,MATCH($C1329,MgActId,0)),"")</f>
        <v/>
      </c>
      <c r="H1329" s="59" t="inlineStr">
        <is>
          <t>A.4</t>
        </is>
      </c>
      <c r="I1329" s="64">
        <f>IFERROR(INDEX(MgAmenNombre,MATCH(SUBSTITUTE($H1329,"*","-"),MgAmenClave,0)),"")</f>
        <v/>
      </c>
      <c r="J1329" s="28">
        <f>IFERROR(INDEX(MgAmenGrupo,MATCH(SUBSTITUTE($H1329,"*","-"),MgAmenClave,0)),"")</f>
        <v/>
      </c>
      <c r="K1329" s="64">
        <f>IFERROR(INDEX('1. Matriz de Activos'!$Q$6:$Q$239,MATCH($C1329,MgActId,0)),"")</f>
        <v/>
      </c>
      <c r="L1329" s="64">
        <f>IFERROR(INDEX('1. Matriz de Activos'!$R$6:$R$239,MATCH($C1329,MgActId,0)),"")</f>
        <v/>
      </c>
      <c r="M1329" s="64">
        <f>IFERROR(INDEX('1. Matriz de Activos'!$S$6:$S$239,MATCH($C1329,MgActId,0)),"")</f>
        <v/>
      </c>
      <c r="N1329" s="28">
        <f>IFERROR(INDEX(MgAmenDegD,MATCH(SUBSTITUTE($H1329,"*","-"),MgAmenClave,0)),"No aplica")</f>
        <v/>
      </c>
      <c r="O1329" s="28">
        <f>IFERROR(INDEX(MgAmenDegI,MATCH(SUBSTITUTE($H1329,"*","-"),MgAmenClave,0)),"No aplica")</f>
        <v/>
      </c>
      <c r="P1329" s="28">
        <f>IFERROR(INDEX(MgAmenDegC,MATCH(SUBSTITUTE($H1329,"*","-"),MgAmenClave,0)),"No aplica")</f>
        <v/>
      </c>
      <c r="Q1329" s="29">
        <f>IFERROR(VLOOKUP(K1329,MgValor,2,0)*VLOOKUP(N1329,MgDeg,2,0),0)</f>
        <v/>
      </c>
      <c r="R1329" s="29">
        <f>IFERROR(VLOOKUP(L1329,MgValor,2,0)*VLOOKUP(O1329,MgDeg,2,0),0)</f>
        <v/>
      </c>
      <c r="S1329" s="29">
        <f>IFERROR(VLOOKUP(M1329,MgValor,2,0)*VLOOKUP(P1329,MgDeg,2,0),0)</f>
        <v/>
      </c>
      <c r="T1329" s="30">
        <f>MAX(Q1329:S1329)</f>
        <v/>
      </c>
      <c r="U1329" s="28">
        <f>IFERROR(LOOKUP(T1329,{0;0.5;1.5;3;4.5},{"Despreciable";"Bajo";"Medio";"Alto";"Muy alto"}),"")</f>
        <v/>
      </c>
      <c r="V1329" s="13">
        <f>IFERROR(INDEX(MgAmenFrec,MATCH(SUBSTITUTE($H1329,"*","-"),MgAmenClave,0)),"")</f>
        <v/>
      </c>
      <c r="W1329" s="28">
        <f>IFERROR(LOOKUP(X1329,{0;0.01;0.1;1;10;100},{"Muy baja";"Muy baja";"Baja";"Media";"Alta";"Muy alta"}),"")</f>
        <v/>
      </c>
      <c r="X1329" s="31">
        <f>IFERROR(VLOOKUP(V1329,MgFrec,2,0),0)</f>
        <v/>
      </c>
      <c r="Y1329" s="30">
        <f>T1329*X1329</f>
        <v/>
      </c>
      <c r="Z1329" s="28">
        <f>IFERROR(LOOKUP(Y1329,{0;0.5;5;25},{"Bajo";"Medio";"Alto";"Crítico"}),"")</f>
        <v/>
      </c>
      <c r="AA1329" s="64">
        <f>IF(T1329&gt;=3,IF(X1329&gt;=1,"Zona 1 — Crítica: impacto alto y ocurre al menos una vez al año","Zona 4 — Catastrófica poco probable: impacto alto pero excepcional"),IF(AND(T1329&lt;1.5,X1329&lt;1),"Zona 3 — Asumible: impacto bajo y muy poco frecuente","Zona 2 — Atención: riesgo intermedio"))</f>
        <v/>
      </c>
      <c r="AB1329" s="64">
        <f>IFERROR(INDEX(MgAmenCtrl,MATCH(SUBSTITUTE($H1329,"*","-"),MgAmenClave,0)),"")</f>
        <v/>
      </c>
      <c r="AC1329" s="20" t="n"/>
      <c r="AD1329" s="31">
        <f>IFERROR($X1329*(1-IF($AC1329="",$AL1329,VLOOKUP($AC1329,MgMad,2,0))),"")</f>
        <v/>
      </c>
      <c r="AE1329" s="28">
        <f>IFERROR(LOOKUP(AD1329,{0;0.01;0.1;1;10;100},{"Muy baja";"Muy baja";"Baja";"Media";"Alta";"Muy alta"}),"")</f>
        <v/>
      </c>
      <c r="AF1329" s="30">
        <f>T1329*AD1329</f>
        <v/>
      </c>
      <c r="AG1329" s="28">
        <f>IFERROR(LOOKUP(AF1329,{0;0.5;5;25},{"Bajo";"Medio";"Alto";"Crítico"}),"")</f>
        <v/>
      </c>
      <c r="AH1329" s="28">
        <f>IF(AG1329="","",IF(OR(AG1329="Crítico",AG1329="Alto"),"Mitigar",IF(AG1329="Medio","Mitigar","Aceptar y monitorear")))</f>
        <v/>
      </c>
      <c r="AI1329" s="21" t="n"/>
      <c r="AJ1329" s="21" t="n"/>
      <c r="AK1329" s="20" t="n"/>
      <c r="AL1329" s="77">
        <f>IFERROR(INDEX(MgAmenEfic,MATCH(SUBSTITUTE($H1329,"*","-"),MgAmenClave,0)),0)</f>
        <v/>
      </c>
    </row>
    <row r="1330" hidden="1" ht="75" customHeight="1" s="54">
      <c r="B1330" s="59" t="inlineStr">
        <is>
          <t>R-1325</t>
        </is>
      </c>
      <c r="C1330" s="59" t="inlineStr">
        <is>
          <t>GH-024</t>
        </is>
      </c>
      <c r="D1330" s="64">
        <f>IFERROR(INDEX(MgNombre,MATCH($C1330,MgActId,0)),"")</f>
        <v/>
      </c>
      <c r="E1330" s="64">
        <f>IFERROR(INDEX(MgProceso,MATCH($C1330,MgActId,0)),"")</f>
        <v/>
      </c>
      <c r="F1330" s="64">
        <f>IFERROR(INDEX(MgTipo,MATCH($C1330,MgActId,0)),"")</f>
        <v/>
      </c>
      <c r="G1330" s="64">
        <f>IFERROR(INDEX(MgSubtipo,MATCH($C1330,MgActId,0)),"")</f>
        <v/>
      </c>
      <c r="H1330" s="59" t="inlineStr">
        <is>
          <t>A.5</t>
        </is>
      </c>
      <c r="I1330" s="64">
        <f>IFERROR(INDEX(MgAmenNombre,MATCH(SUBSTITUTE($H1330,"*","-"),MgAmenClave,0)),"")</f>
        <v/>
      </c>
      <c r="J1330" s="28">
        <f>IFERROR(INDEX(MgAmenGrupo,MATCH(SUBSTITUTE($H1330,"*","-"),MgAmenClave,0)),"")</f>
        <v/>
      </c>
      <c r="K1330" s="64">
        <f>IFERROR(INDEX('1. Matriz de Activos'!$Q$6:$Q$239,MATCH($C1330,MgActId,0)),"")</f>
        <v/>
      </c>
      <c r="L1330" s="64">
        <f>IFERROR(INDEX('1. Matriz de Activos'!$R$6:$R$239,MATCH($C1330,MgActId,0)),"")</f>
        <v/>
      </c>
      <c r="M1330" s="64">
        <f>IFERROR(INDEX('1. Matriz de Activos'!$S$6:$S$239,MATCH($C1330,MgActId,0)),"")</f>
        <v/>
      </c>
      <c r="N1330" s="28">
        <f>IFERROR(INDEX(MgAmenDegD,MATCH(SUBSTITUTE($H1330,"*","-"),MgAmenClave,0)),"No aplica")</f>
        <v/>
      </c>
      <c r="O1330" s="28">
        <f>IFERROR(INDEX(MgAmenDegI,MATCH(SUBSTITUTE($H1330,"*","-"),MgAmenClave,0)),"No aplica")</f>
        <v/>
      </c>
      <c r="P1330" s="28">
        <f>IFERROR(INDEX(MgAmenDegC,MATCH(SUBSTITUTE($H1330,"*","-"),MgAmenClave,0)),"No aplica")</f>
        <v/>
      </c>
      <c r="Q1330" s="29">
        <f>IFERROR(VLOOKUP(K1330,MgValor,2,0)*VLOOKUP(N1330,MgDeg,2,0),0)</f>
        <v/>
      </c>
      <c r="R1330" s="29">
        <f>IFERROR(VLOOKUP(L1330,MgValor,2,0)*VLOOKUP(O1330,MgDeg,2,0),0)</f>
        <v/>
      </c>
      <c r="S1330" s="29">
        <f>IFERROR(VLOOKUP(M1330,MgValor,2,0)*VLOOKUP(P1330,MgDeg,2,0),0)</f>
        <v/>
      </c>
      <c r="T1330" s="30">
        <f>MAX(Q1330:S1330)</f>
        <v/>
      </c>
      <c r="U1330" s="28">
        <f>IFERROR(LOOKUP(T1330,{0;0.5;1.5;3;4.5},{"Despreciable";"Bajo";"Medio";"Alto";"Muy alto"}),"")</f>
        <v/>
      </c>
      <c r="V1330" s="13">
        <f>IFERROR(INDEX(MgAmenFrec,MATCH(SUBSTITUTE($H1330,"*","-"),MgAmenClave,0)),"")</f>
        <v/>
      </c>
      <c r="W1330" s="28">
        <f>IFERROR(LOOKUP(X1330,{0;0.01;0.1;1;10;100},{"Muy baja";"Muy baja";"Baja";"Media";"Alta";"Muy alta"}),"")</f>
        <v/>
      </c>
      <c r="X1330" s="31">
        <f>IFERROR(VLOOKUP(V1330,MgFrec,2,0),0)</f>
        <v/>
      </c>
      <c r="Y1330" s="30">
        <f>T1330*X1330</f>
        <v/>
      </c>
      <c r="Z1330" s="28">
        <f>IFERROR(LOOKUP(Y1330,{0;0.5;5;25},{"Bajo";"Medio";"Alto";"Crítico"}),"")</f>
        <v/>
      </c>
      <c r="AA1330" s="64">
        <f>IF(T1330&gt;=3,IF(X1330&gt;=1,"Zona 1 — Crítica: impacto alto y ocurre al menos una vez al año","Zona 4 — Catastrófica poco probable: impacto alto pero excepcional"),IF(AND(T1330&lt;1.5,X1330&lt;1),"Zona 3 — Asumible: impacto bajo y muy poco frecuente","Zona 2 — Atención: riesgo intermedio"))</f>
        <v/>
      </c>
      <c r="AB1330" s="64">
        <f>IFERROR(INDEX(MgAmenCtrl,MATCH(SUBSTITUTE($H1330,"*","-"),MgAmenClave,0)),"")</f>
        <v/>
      </c>
      <c r="AC1330" s="20" t="n"/>
      <c r="AD1330" s="31">
        <f>IFERROR($X1330*(1-IF($AC1330="",$AL1330,VLOOKUP($AC1330,MgMad,2,0))),"")</f>
        <v/>
      </c>
      <c r="AE1330" s="28">
        <f>IFERROR(LOOKUP(AD1330,{0;0.01;0.1;1;10;100},{"Muy baja";"Muy baja";"Baja";"Media";"Alta";"Muy alta"}),"")</f>
        <v/>
      </c>
      <c r="AF1330" s="30">
        <f>T1330*AD1330</f>
        <v/>
      </c>
      <c r="AG1330" s="28">
        <f>IFERROR(LOOKUP(AF1330,{0;0.5;5;25},{"Bajo";"Medio";"Alto";"Crítico"}),"")</f>
        <v/>
      </c>
      <c r="AH1330" s="28">
        <f>IF(AG1330="","",IF(OR(AG1330="Crítico",AG1330="Alto"),"Mitigar",IF(AG1330="Medio","Mitigar","Aceptar y monitorear")))</f>
        <v/>
      </c>
      <c r="AI1330" s="21" t="n"/>
      <c r="AJ1330" s="21" t="n"/>
      <c r="AK1330" s="20" t="n"/>
      <c r="AL1330" s="77">
        <f>IFERROR(INDEX(MgAmenEfic,MATCH(SUBSTITUTE($H1330,"*","-"),MgAmenClave,0)),0)</f>
        <v/>
      </c>
    </row>
    <row r="1331" hidden="1" ht="105" customHeight="1" s="54">
      <c r="B1331" s="59" t="inlineStr">
        <is>
          <t>R-1326</t>
        </is>
      </c>
      <c r="C1331" s="59" t="inlineStr">
        <is>
          <t>GH-024</t>
        </is>
      </c>
      <c r="D1331" s="64">
        <f>IFERROR(INDEX(MgNombre,MATCH($C1331,MgActId,0)),"")</f>
        <v/>
      </c>
      <c r="E1331" s="64">
        <f>IFERROR(INDEX(MgProceso,MATCH($C1331,MgActId,0)),"")</f>
        <v/>
      </c>
      <c r="F1331" s="64">
        <f>IFERROR(INDEX(MgTipo,MATCH($C1331,MgActId,0)),"")</f>
        <v/>
      </c>
      <c r="G1331" s="64">
        <f>IFERROR(INDEX(MgSubtipo,MATCH($C1331,MgActId,0)),"")</f>
        <v/>
      </c>
      <c r="H1331" s="59" t="inlineStr">
        <is>
          <t>A.6</t>
        </is>
      </c>
      <c r="I1331" s="64">
        <f>IFERROR(INDEX(MgAmenNombre,MATCH(SUBSTITUTE($H1331,"*","-"),MgAmenClave,0)),"")</f>
        <v/>
      </c>
      <c r="J1331" s="28">
        <f>IFERROR(INDEX(MgAmenGrupo,MATCH(SUBSTITUTE($H1331,"*","-"),MgAmenClave,0)),"")</f>
        <v/>
      </c>
      <c r="K1331" s="64">
        <f>IFERROR(INDEX('1. Matriz de Activos'!$Q$6:$Q$239,MATCH($C1331,MgActId,0)),"")</f>
        <v/>
      </c>
      <c r="L1331" s="64">
        <f>IFERROR(INDEX('1. Matriz de Activos'!$R$6:$R$239,MATCH($C1331,MgActId,0)),"")</f>
        <v/>
      </c>
      <c r="M1331" s="64">
        <f>IFERROR(INDEX('1. Matriz de Activos'!$S$6:$S$239,MATCH($C1331,MgActId,0)),"")</f>
        <v/>
      </c>
      <c r="N1331" s="28">
        <f>IFERROR(INDEX(MgAmenDegD,MATCH(SUBSTITUTE($H1331,"*","-"),MgAmenClave,0)),"No aplica")</f>
        <v/>
      </c>
      <c r="O1331" s="28">
        <f>IFERROR(INDEX(MgAmenDegI,MATCH(SUBSTITUTE($H1331,"*","-"),MgAmenClave,0)),"No aplica")</f>
        <v/>
      </c>
      <c r="P1331" s="28">
        <f>IFERROR(INDEX(MgAmenDegC,MATCH(SUBSTITUTE($H1331,"*","-"),MgAmenClave,0)),"No aplica")</f>
        <v/>
      </c>
      <c r="Q1331" s="29">
        <f>IFERROR(VLOOKUP(K1331,MgValor,2,0)*VLOOKUP(N1331,MgDeg,2,0),0)</f>
        <v/>
      </c>
      <c r="R1331" s="29">
        <f>IFERROR(VLOOKUP(L1331,MgValor,2,0)*VLOOKUP(O1331,MgDeg,2,0),0)</f>
        <v/>
      </c>
      <c r="S1331" s="29">
        <f>IFERROR(VLOOKUP(M1331,MgValor,2,0)*VLOOKUP(P1331,MgDeg,2,0),0)</f>
        <v/>
      </c>
      <c r="T1331" s="30">
        <f>MAX(Q1331:S1331)</f>
        <v/>
      </c>
      <c r="U1331" s="28">
        <f>IFERROR(LOOKUP(T1331,{0;0.5;1.5;3;4.5},{"Despreciable";"Bajo";"Medio";"Alto";"Muy alto"}),"")</f>
        <v/>
      </c>
      <c r="V1331" s="13">
        <f>IFERROR(INDEX(MgAmenFrec,MATCH(SUBSTITUTE($H1331,"*","-"),MgAmenClave,0)),"")</f>
        <v/>
      </c>
      <c r="W1331" s="28">
        <f>IFERROR(LOOKUP(X1331,{0;0.01;0.1;1;10;100},{"Muy baja";"Muy baja";"Baja";"Media";"Alta";"Muy alta"}),"")</f>
        <v/>
      </c>
      <c r="X1331" s="31">
        <f>IFERROR(VLOOKUP(V1331,MgFrec,2,0),0)</f>
        <v/>
      </c>
      <c r="Y1331" s="30">
        <f>T1331*X1331</f>
        <v/>
      </c>
      <c r="Z1331" s="28">
        <f>IFERROR(LOOKUP(Y1331,{0;0.5;5;25},{"Bajo";"Medio";"Alto";"Crítico"}),"")</f>
        <v/>
      </c>
      <c r="AA1331" s="64">
        <f>IF(T1331&gt;=3,IF(X1331&gt;=1,"Zona 1 — Crítica: impacto alto y ocurre al menos una vez al año","Zona 4 — Catastrófica poco probable: impacto alto pero excepcional"),IF(AND(T1331&lt;1.5,X1331&lt;1),"Zona 3 — Asumible: impacto bajo y muy poco frecuente","Zona 2 — Atención: riesgo intermedio"))</f>
        <v/>
      </c>
      <c r="AB1331" s="64">
        <f>IFERROR(INDEX(MgAmenCtrl,MATCH(SUBSTITUTE($H1331,"*","-"),MgAmenClave,0)),"")</f>
        <v/>
      </c>
      <c r="AC1331" s="20" t="n"/>
      <c r="AD1331" s="31">
        <f>IFERROR($X1331*(1-IF($AC1331="",$AL1331,VLOOKUP($AC1331,MgMad,2,0))),"")</f>
        <v/>
      </c>
      <c r="AE1331" s="28">
        <f>IFERROR(LOOKUP(AD1331,{0;0.01;0.1;1;10;100},{"Muy baja";"Muy baja";"Baja";"Media";"Alta";"Muy alta"}),"")</f>
        <v/>
      </c>
      <c r="AF1331" s="30">
        <f>T1331*AD1331</f>
        <v/>
      </c>
      <c r="AG1331" s="28">
        <f>IFERROR(LOOKUP(AF1331,{0;0.5;5;25},{"Bajo";"Medio";"Alto";"Crítico"}),"")</f>
        <v/>
      </c>
      <c r="AH1331" s="28">
        <f>IF(AG1331="","",IF(OR(AG1331="Crítico",AG1331="Alto"),"Mitigar",IF(AG1331="Medio","Mitigar","Aceptar y monitorear")))</f>
        <v/>
      </c>
      <c r="AI1331" s="21" t="n"/>
      <c r="AJ1331" s="21" t="n"/>
      <c r="AK1331" s="20" t="n"/>
      <c r="AL1331" s="77">
        <f>IFERROR(INDEX(MgAmenEfic,MATCH(SUBSTITUTE($H1331,"*","-"),MgAmenClave,0)),0)</f>
        <v/>
      </c>
    </row>
    <row r="1332" hidden="1" ht="120" customHeight="1" s="54">
      <c r="B1332" s="59" t="inlineStr">
        <is>
          <t>R-1327</t>
        </is>
      </c>
      <c r="C1332" s="59" t="inlineStr">
        <is>
          <t>GH-024</t>
        </is>
      </c>
      <c r="D1332" s="64">
        <f>IFERROR(INDEX(MgNombre,MATCH($C1332,MgActId,0)),"")</f>
        <v/>
      </c>
      <c r="E1332" s="64">
        <f>IFERROR(INDEX(MgProceso,MATCH($C1332,MgActId,0)),"")</f>
        <v/>
      </c>
      <c r="F1332" s="64">
        <f>IFERROR(INDEX(MgTipo,MATCH($C1332,MgActId,0)),"")</f>
        <v/>
      </c>
      <c r="G1332" s="64">
        <f>IFERROR(INDEX(MgSubtipo,MATCH($C1332,MgActId,0)),"")</f>
        <v/>
      </c>
      <c r="H1332" s="59" t="inlineStr">
        <is>
          <t>A.11</t>
        </is>
      </c>
      <c r="I1332" s="64">
        <f>IFERROR(INDEX(MgAmenNombre,MATCH(SUBSTITUTE($H1332,"*","-"),MgAmenClave,0)),"")</f>
        <v/>
      </c>
      <c r="J1332" s="28">
        <f>IFERROR(INDEX(MgAmenGrupo,MATCH(SUBSTITUTE($H1332,"*","-"),MgAmenClave,0)),"")</f>
        <v/>
      </c>
      <c r="K1332" s="64">
        <f>IFERROR(INDEX('1. Matriz de Activos'!$Q$6:$Q$239,MATCH($C1332,MgActId,0)),"")</f>
        <v/>
      </c>
      <c r="L1332" s="64">
        <f>IFERROR(INDEX('1. Matriz de Activos'!$R$6:$R$239,MATCH($C1332,MgActId,0)),"")</f>
        <v/>
      </c>
      <c r="M1332" s="64">
        <f>IFERROR(INDEX('1. Matriz de Activos'!$S$6:$S$239,MATCH($C1332,MgActId,0)),"")</f>
        <v/>
      </c>
      <c r="N1332" s="28">
        <f>IFERROR(INDEX(MgAmenDegD,MATCH(SUBSTITUTE($H1332,"*","-"),MgAmenClave,0)),"No aplica")</f>
        <v/>
      </c>
      <c r="O1332" s="28">
        <f>IFERROR(INDEX(MgAmenDegI,MATCH(SUBSTITUTE($H1332,"*","-"),MgAmenClave,0)),"No aplica")</f>
        <v/>
      </c>
      <c r="P1332" s="28">
        <f>IFERROR(INDEX(MgAmenDegC,MATCH(SUBSTITUTE($H1332,"*","-"),MgAmenClave,0)),"No aplica")</f>
        <v/>
      </c>
      <c r="Q1332" s="29">
        <f>IFERROR(VLOOKUP(K1332,MgValor,2,0)*VLOOKUP(N1332,MgDeg,2,0),0)</f>
        <v/>
      </c>
      <c r="R1332" s="29">
        <f>IFERROR(VLOOKUP(L1332,MgValor,2,0)*VLOOKUP(O1332,MgDeg,2,0),0)</f>
        <v/>
      </c>
      <c r="S1332" s="29">
        <f>IFERROR(VLOOKUP(M1332,MgValor,2,0)*VLOOKUP(P1332,MgDeg,2,0),0)</f>
        <v/>
      </c>
      <c r="T1332" s="30">
        <f>MAX(Q1332:S1332)</f>
        <v/>
      </c>
      <c r="U1332" s="28">
        <f>IFERROR(LOOKUP(T1332,{0;0.5;1.5;3;4.5},{"Despreciable";"Bajo";"Medio";"Alto";"Muy alto"}),"")</f>
        <v/>
      </c>
      <c r="V1332" s="13">
        <f>IFERROR(INDEX(MgAmenFrec,MATCH(SUBSTITUTE($H1332,"*","-"),MgAmenClave,0)),"")</f>
        <v/>
      </c>
      <c r="W1332" s="28">
        <f>IFERROR(LOOKUP(X1332,{0;0.01;0.1;1;10;100},{"Muy baja";"Muy baja";"Baja";"Media";"Alta";"Muy alta"}),"")</f>
        <v/>
      </c>
      <c r="X1332" s="31">
        <f>IFERROR(VLOOKUP(V1332,MgFrec,2,0),0)</f>
        <v/>
      </c>
      <c r="Y1332" s="30">
        <f>T1332*X1332</f>
        <v/>
      </c>
      <c r="Z1332" s="28">
        <f>IFERROR(LOOKUP(Y1332,{0;0.5;5;25},{"Bajo";"Medio";"Alto";"Crítico"}),"")</f>
        <v/>
      </c>
      <c r="AA1332" s="64">
        <f>IF(T1332&gt;=3,IF(X1332&gt;=1,"Zona 1 — Crítica: impacto alto y ocurre al menos una vez al año","Zona 4 — Catastrófica poco probable: impacto alto pero excepcional"),IF(AND(T1332&lt;1.5,X1332&lt;1),"Zona 3 — Asumible: impacto bajo y muy poco frecuente","Zona 2 — Atención: riesgo intermedio"))</f>
        <v/>
      </c>
      <c r="AB1332" s="64">
        <f>IFERROR(INDEX(MgAmenCtrl,MATCH(SUBSTITUTE($H1332,"*","-"),MgAmenClave,0)),"")</f>
        <v/>
      </c>
      <c r="AC1332" s="20" t="n"/>
      <c r="AD1332" s="31">
        <f>IFERROR($X1332*(1-IF($AC1332="",$AL1332,VLOOKUP($AC1332,MgMad,2,0))),"")</f>
        <v/>
      </c>
      <c r="AE1332" s="28">
        <f>IFERROR(LOOKUP(AD1332,{0;0.01;0.1;1;10;100},{"Muy baja";"Muy baja";"Baja";"Media";"Alta";"Muy alta"}),"")</f>
        <v/>
      </c>
      <c r="AF1332" s="30">
        <f>T1332*AD1332</f>
        <v/>
      </c>
      <c r="AG1332" s="28">
        <f>IFERROR(LOOKUP(AF1332,{0;0.5;5;25},{"Bajo";"Medio";"Alto";"Crítico"}),"")</f>
        <v/>
      </c>
      <c r="AH1332" s="28">
        <f>IF(AG1332="","",IF(OR(AG1332="Crítico",AG1332="Alto"),"Mitigar",IF(AG1332="Medio","Mitigar","Aceptar y monitorear")))</f>
        <v/>
      </c>
      <c r="AI1332" s="21" t="n"/>
      <c r="AJ1332" s="21" t="n"/>
      <c r="AK1332" s="20" t="n"/>
      <c r="AL1332" s="77">
        <f>IFERROR(INDEX(MgAmenEfic,MATCH(SUBSTITUTE($H1332,"*","-"),MgAmenClave,0)),0)</f>
        <v/>
      </c>
    </row>
    <row r="1333" hidden="1" ht="90" customHeight="1" s="54">
      <c r="B1333" s="59" t="inlineStr">
        <is>
          <t>R-1328</t>
        </is>
      </c>
      <c r="C1333" s="59" t="inlineStr">
        <is>
          <t>GH-024</t>
        </is>
      </c>
      <c r="D1333" s="64">
        <f>IFERROR(INDEX(MgNombre,MATCH($C1333,MgActId,0)),"")</f>
        <v/>
      </c>
      <c r="E1333" s="64">
        <f>IFERROR(INDEX(MgProceso,MATCH($C1333,MgActId,0)),"")</f>
        <v/>
      </c>
      <c r="F1333" s="64">
        <f>IFERROR(INDEX(MgTipo,MATCH($C1333,MgActId,0)),"")</f>
        <v/>
      </c>
      <c r="G1333" s="64">
        <f>IFERROR(INDEX(MgSubtipo,MATCH($C1333,MgActId,0)),"")</f>
        <v/>
      </c>
      <c r="H1333" s="59" t="inlineStr">
        <is>
          <t>A.13</t>
        </is>
      </c>
      <c r="I1333" s="64">
        <f>IFERROR(INDEX(MgAmenNombre,MATCH(SUBSTITUTE($H1333,"*","-"),MgAmenClave,0)),"")</f>
        <v/>
      </c>
      <c r="J1333" s="28">
        <f>IFERROR(INDEX(MgAmenGrupo,MATCH(SUBSTITUTE($H1333,"*","-"),MgAmenClave,0)),"")</f>
        <v/>
      </c>
      <c r="K1333" s="64">
        <f>IFERROR(INDEX('1. Matriz de Activos'!$Q$6:$Q$239,MATCH($C1333,MgActId,0)),"")</f>
        <v/>
      </c>
      <c r="L1333" s="64">
        <f>IFERROR(INDEX('1. Matriz de Activos'!$R$6:$R$239,MATCH($C1333,MgActId,0)),"")</f>
        <v/>
      </c>
      <c r="M1333" s="64">
        <f>IFERROR(INDEX('1. Matriz de Activos'!$S$6:$S$239,MATCH($C1333,MgActId,0)),"")</f>
        <v/>
      </c>
      <c r="N1333" s="28">
        <f>IFERROR(INDEX(MgAmenDegD,MATCH(SUBSTITUTE($H1333,"*","-"),MgAmenClave,0)),"No aplica")</f>
        <v/>
      </c>
      <c r="O1333" s="28">
        <f>IFERROR(INDEX(MgAmenDegI,MATCH(SUBSTITUTE($H1333,"*","-"),MgAmenClave,0)),"No aplica")</f>
        <v/>
      </c>
      <c r="P1333" s="28">
        <f>IFERROR(INDEX(MgAmenDegC,MATCH(SUBSTITUTE($H1333,"*","-"),MgAmenClave,0)),"No aplica")</f>
        <v/>
      </c>
      <c r="Q1333" s="29">
        <f>IFERROR(VLOOKUP(K1333,MgValor,2,0)*VLOOKUP(N1333,MgDeg,2,0),0)</f>
        <v/>
      </c>
      <c r="R1333" s="29">
        <f>IFERROR(VLOOKUP(L1333,MgValor,2,0)*VLOOKUP(O1333,MgDeg,2,0),0)</f>
        <v/>
      </c>
      <c r="S1333" s="29">
        <f>IFERROR(VLOOKUP(M1333,MgValor,2,0)*VLOOKUP(P1333,MgDeg,2,0),0)</f>
        <v/>
      </c>
      <c r="T1333" s="30">
        <f>MAX(Q1333:S1333)</f>
        <v/>
      </c>
      <c r="U1333" s="28">
        <f>IFERROR(LOOKUP(T1333,{0;0.5;1.5;3;4.5},{"Despreciable";"Bajo";"Medio";"Alto";"Muy alto"}),"")</f>
        <v/>
      </c>
      <c r="V1333" s="13">
        <f>IFERROR(INDEX(MgAmenFrec,MATCH(SUBSTITUTE($H1333,"*","-"),MgAmenClave,0)),"")</f>
        <v/>
      </c>
      <c r="W1333" s="28">
        <f>IFERROR(LOOKUP(X1333,{0;0.01;0.1;1;10;100},{"Muy baja";"Muy baja";"Baja";"Media";"Alta";"Muy alta"}),"")</f>
        <v/>
      </c>
      <c r="X1333" s="31">
        <f>IFERROR(VLOOKUP(V1333,MgFrec,2,0),0)</f>
        <v/>
      </c>
      <c r="Y1333" s="30">
        <f>T1333*X1333</f>
        <v/>
      </c>
      <c r="Z1333" s="28">
        <f>IFERROR(LOOKUP(Y1333,{0;0.5;5;25},{"Bajo";"Medio";"Alto";"Crítico"}),"")</f>
        <v/>
      </c>
      <c r="AA1333" s="64">
        <f>IF(T1333&gt;=3,IF(X1333&gt;=1,"Zona 1 — Crítica: impacto alto y ocurre al menos una vez al año","Zona 4 — Catastrófica poco probable: impacto alto pero excepcional"),IF(AND(T1333&lt;1.5,X1333&lt;1),"Zona 3 — Asumible: impacto bajo y muy poco frecuente","Zona 2 — Atención: riesgo intermedio"))</f>
        <v/>
      </c>
      <c r="AB1333" s="64">
        <f>IFERROR(INDEX(MgAmenCtrl,MATCH(SUBSTITUTE($H1333,"*","-"),MgAmenClave,0)),"")</f>
        <v/>
      </c>
      <c r="AC1333" s="20" t="n"/>
      <c r="AD1333" s="31">
        <f>IFERROR($X1333*(1-IF($AC1333="",$AL1333,VLOOKUP($AC1333,MgMad,2,0))),"")</f>
        <v/>
      </c>
      <c r="AE1333" s="28">
        <f>IFERROR(LOOKUP(AD1333,{0;0.01;0.1;1;10;100},{"Muy baja";"Muy baja";"Baja";"Media";"Alta";"Muy alta"}),"")</f>
        <v/>
      </c>
      <c r="AF1333" s="30">
        <f>T1333*AD1333</f>
        <v/>
      </c>
      <c r="AG1333" s="28">
        <f>IFERROR(LOOKUP(AF1333,{0;0.5;5;25},{"Bajo";"Medio";"Alto";"Crítico"}),"")</f>
        <v/>
      </c>
      <c r="AH1333" s="28">
        <f>IF(AG1333="","",IF(OR(AG1333="Crítico",AG1333="Alto"),"Mitigar",IF(AG1333="Medio","Mitigar","Aceptar y monitorear")))</f>
        <v/>
      </c>
      <c r="AI1333" s="21" t="n"/>
      <c r="AJ1333" s="21" t="n"/>
      <c r="AK1333" s="20" t="n"/>
      <c r="AL1333" s="77">
        <f>IFERROR(INDEX(MgAmenEfic,MATCH(SUBSTITUTE($H1333,"*","-"),MgAmenClave,0)),0)</f>
        <v/>
      </c>
    </row>
    <row r="1334" hidden="1" ht="60" customHeight="1" s="54">
      <c r="B1334" s="59" t="inlineStr">
        <is>
          <t>R-1329</t>
        </is>
      </c>
      <c r="C1334" s="59" t="inlineStr">
        <is>
          <t>GH-024</t>
        </is>
      </c>
      <c r="D1334" s="64">
        <f>IFERROR(INDEX(MgNombre,MATCH($C1334,MgActId,0)),"")</f>
        <v/>
      </c>
      <c r="E1334" s="64">
        <f>IFERROR(INDEX(MgProceso,MATCH($C1334,MgActId,0)),"")</f>
        <v/>
      </c>
      <c r="F1334" s="64">
        <f>IFERROR(INDEX(MgTipo,MATCH($C1334,MgActId,0)),"")</f>
        <v/>
      </c>
      <c r="G1334" s="64">
        <f>IFERROR(INDEX(MgSubtipo,MATCH($C1334,MgActId,0)),"")</f>
        <v/>
      </c>
      <c r="H1334" s="59" t="inlineStr">
        <is>
          <t>A.15</t>
        </is>
      </c>
      <c r="I1334" s="64">
        <f>IFERROR(INDEX(MgAmenNombre,MATCH(SUBSTITUTE($H1334,"*","-"),MgAmenClave,0)),"")</f>
        <v/>
      </c>
      <c r="J1334" s="28">
        <f>IFERROR(INDEX(MgAmenGrupo,MATCH(SUBSTITUTE($H1334,"*","-"),MgAmenClave,0)),"")</f>
        <v/>
      </c>
      <c r="K1334" s="64">
        <f>IFERROR(INDEX('1. Matriz de Activos'!$Q$6:$Q$239,MATCH($C1334,MgActId,0)),"")</f>
        <v/>
      </c>
      <c r="L1334" s="64">
        <f>IFERROR(INDEX('1. Matriz de Activos'!$R$6:$R$239,MATCH($C1334,MgActId,0)),"")</f>
        <v/>
      </c>
      <c r="M1334" s="64">
        <f>IFERROR(INDEX('1. Matriz de Activos'!$S$6:$S$239,MATCH($C1334,MgActId,0)),"")</f>
        <v/>
      </c>
      <c r="N1334" s="28">
        <f>IFERROR(INDEX(MgAmenDegD,MATCH(SUBSTITUTE($H1334,"*","-"),MgAmenClave,0)),"No aplica")</f>
        <v/>
      </c>
      <c r="O1334" s="28">
        <f>IFERROR(INDEX(MgAmenDegI,MATCH(SUBSTITUTE($H1334,"*","-"),MgAmenClave,0)),"No aplica")</f>
        <v/>
      </c>
      <c r="P1334" s="28">
        <f>IFERROR(INDEX(MgAmenDegC,MATCH(SUBSTITUTE($H1334,"*","-"),MgAmenClave,0)),"No aplica")</f>
        <v/>
      </c>
      <c r="Q1334" s="29">
        <f>IFERROR(VLOOKUP(K1334,MgValor,2,0)*VLOOKUP(N1334,MgDeg,2,0),0)</f>
        <v/>
      </c>
      <c r="R1334" s="29">
        <f>IFERROR(VLOOKUP(L1334,MgValor,2,0)*VLOOKUP(O1334,MgDeg,2,0),0)</f>
        <v/>
      </c>
      <c r="S1334" s="29">
        <f>IFERROR(VLOOKUP(M1334,MgValor,2,0)*VLOOKUP(P1334,MgDeg,2,0),0)</f>
        <v/>
      </c>
      <c r="T1334" s="30">
        <f>MAX(Q1334:S1334)</f>
        <v/>
      </c>
      <c r="U1334" s="28">
        <f>IFERROR(LOOKUP(T1334,{0;0.5;1.5;3;4.5},{"Despreciable";"Bajo";"Medio";"Alto";"Muy alto"}),"")</f>
        <v/>
      </c>
      <c r="V1334" s="13">
        <f>IFERROR(INDEX(MgAmenFrec,MATCH(SUBSTITUTE($H1334,"*","-"),MgAmenClave,0)),"")</f>
        <v/>
      </c>
      <c r="W1334" s="28">
        <f>IFERROR(LOOKUP(X1334,{0;0.01;0.1;1;10;100},{"Muy baja";"Muy baja";"Baja";"Media";"Alta";"Muy alta"}),"")</f>
        <v/>
      </c>
      <c r="X1334" s="31">
        <f>IFERROR(VLOOKUP(V1334,MgFrec,2,0),0)</f>
        <v/>
      </c>
      <c r="Y1334" s="30">
        <f>T1334*X1334</f>
        <v/>
      </c>
      <c r="Z1334" s="28">
        <f>IFERROR(LOOKUP(Y1334,{0;0.5;5;25},{"Bajo";"Medio";"Alto";"Crítico"}),"")</f>
        <v/>
      </c>
      <c r="AA1334" s="64">
        <f>IF(T1334&gt;=3,IF(X1334&gt;=1,"Zona 1 — Crítica: impacto alto y ocurre al menos una vez al año","Zona 4 — Catastrófica poco probable: impacto alto pero excepcional"),IF(AND(T1334&lt;1.5,X1334&lt;1),"Zona 3 — Asumible: impacto bajo y muy poco frecuente","Zona 2 — Atención: riesgo intermedio"))</f>
        <v/>
      </c>
      <c r="AB1334" s="64">
        <f>IFERROR(INDEX(MgAmenCtrl,MATCH(SUBSTITUTE($H1334,"*","-"),MgAmenClave,0)),"")</f>
        <v/>
      </c>
      <c r="AC1334" s="20" t="n"/>
      <c r="AD1334" s="31">
        <f>IFERROR($X1334*(1-IF($AC1334="",$AL1334,VLOOKUP($AC1334,MgMad,2,0))),"")</f>
        <v/>
      </c>
      <c r="AE1334" s="28">
        <f>IFERROR(LOOKUP(AD1334,{0;0.01;0.1;1;10;100},{"Muy baja";"Muy baja";"Baja";"Media";"Alta";"Muy alta"}),"")</f>
        <v/>
      </c>
      <c r="AF1334" s="30">
        <f>T1334*AD1334</f>
        <v/>
      </c>
      <c r="AG1334" s="28">
        <f>IFERROR(LOOKUP(AF1334,{0;0.5;5;25},{"Bajo";"Medio";"Alto";"Crítico"}),"")</f>
        <v/>
      </c>
      <c r="AH1334" s="28">
        <f>IF(AG1334="","",IF(OR(AG1334="Crítico",AG1334="Alto"),"Mitigar",IF(AG1334="Medio","Mitigar","Aceptar y monitorear")))</f>
        <v/>
      </c>
      <c r="AI1334" s="21" t="n"/>
      <c r="AJ1334" s="21" t="n"/>
      <c r="AK1334" s="20" t="n"/>
      <c r="AL1334" s="77">
        <f>IFERROR(INDEX(MgAmenEfic,MATCH(SUBSTITUTE($H1334,"*","-"),MgAmenClave,0)),0)</f>
        <v/>
      </c>
    </row>
    <row r="1335" hidden="1" ht="60" customHeight="1" s="54">
      <c r="B1335" s="59" t="inlineStr">
        <is>
          <t>R-1330</t>
        </is>
      </c>
      <c r="C1335" s="59" t="inlineStr">
        <is>
          <t>GH-024</t>
        </is>
      </c>
      <c r="D1335" s="64">
        <f>IFERROR(INDEX(MgNombre,MATCH($C1335,MgActId,0)),"")</f>
        <v/>
      </c>
      <c r="E1335" s="64">
        <f>IFERROR(INDEX(MgProceso,MATCH($C1335,MgActId,0)),"")</f>
        <v/>
      </c>
      <c r="F1335" s="64">
        <f>IFERROR(INDEX(MgTipo,MATCH($C1335,MgActId,0)),"")</f>
        <v/>
      </c>
      <c r="G1335" s="64">
        <f>IFERROR(INDEX(MgSubtipo,MATCH($C1335,MgActId,0)),"")</f>
        <v/>
      </c>
      <c r="H1335" s="59" t="inlineStr">
        <is>
          <t>A.18</t>
        </is>
      </c>
      <c r="I1335" s="64">
        <f>IFERROR(INDEX(MgAmenNombre,MATCH(SUBSTITUTE($H1335,"*","-"),MgAmenClave,0)),"")</f>
        <v/>
      </c>
      <c r="J1335" s="28">
        <f>IFERROR(INDEX(MgAmenGrupo,MATCH(SUBSTITUTE($H1335,"*","-"),MgAmenClave,0)),"")</f>
        <v/>
      </c>
      <c r="K1335" s="64">
        <f>IFERROR(INDEX('1. Matriz de Activos'!$Q$6:$Q$239,MATCH($C1335,MgActId,0)),"")</f>
        <v/>
      </c>
      <c r="L1335" s="64">
        <f>IFERROR(INDEX('1. Matriz de Activos'!$R$6:$R$239,MATCH($C1335,MgActId,0)),"")</f>
        <v/>
      </c>
      <c r="M1335" s="64">
        <f>IFERROR(INDEX('1. Matriz de Activos'!$S$6:$S$239,MATCH($C1335,MgActId,0)),"")</f>
        <v/>
      </c>
      <c r="N1335" s="28">
        <f>IFERROR(INDEX(MgAmenDegD,MATCH(SUBSTITUTE($H1335,"*","-"),MgAmenClave,0)),"No aplica")</f>
        <v/>
      </c>
      <c r="O1335" s="28">
        <f>IFERROR(INDEX(MgAmenDegI,MATCH(SUBSTITUTE($H1335,"*","-"),MgAmenClave,0)),"No aplica")</f>
        <v/>
      </c>
      <c r="P1335" s="28">
        <f>IFERROR(INDEX(MgAmenDegC,MATCH(SUBSTITUTE($H1335,"*","-"),MgAmenClave,0)),"No aplica")</f>
        <v/>
      </c>
      <c r="Q1335" s="29">
        <f>IFERROR(VLOOKUP(K1335,MgValor,2,0)*VLOOKUP(N1335,MgDeg,2,0),0)</f>
        <v/>
      </c>
      <c r="R1335" s="29">
        <f>IFERROR(VLOOKUP(L1335,MgValor,2,0)*VLOOKUP(O1335,MgDeg,2,0),0)</f>
        <v/>
      </c>
      <c r="S1335" s="29">
        <f>IFERROR(VLOOKUP(M1335,MgValor,2,0)*VLOOKUP(P1335,MgDeg,2,0),0)</f>
        <v/>
      </c>
      <c r="T1335" s="30">
        <f>MAX(Q1335:S1335)</f>
        <v/>
      </c>
      <c r="U1335" s="28">
        <f>IFERROR(LOOKUP(T1335,{0;0.5;1.5;3;4.5},{"Despreciable";"Bajo";"Medio";"Alto";"Muy alto"}),"")</f>
        <v/>
      </c>
      <c r="V1335" s="13">
        <f>IFERROR(INDEX(MgAmenFrec,MATCH(SUBSTITUTE($H1335,"*","-"),MgAmenClave,0)),"")</f>
        <v/>
      </c>
      <c r="W1335" s="28">
        <f>IFERROR(LOOKUP(X1335,{0;0.01;0.1;1;10;100},{"Muy baja";"Muy baja";"Baja";"Media";"Alta";"Muy alta"}),"")</f>
        <v/>
      </c>
      <c r="X1335" s="31">
        <f>IFERROR(VLOOKUP(V1335,MgFrec,2,0),0)</f>
        <v/>
      </c>
      <c r="Y1335" s="30">
        <f>T1335*X1335</f>
        <v/>
      </c>
      <c r="Z1335" s="28">
        <f>IFERROR(LOOKUP(Y1335,{0;0.5;5;25},{"Bajo";"Medio";"Alto";"Crítico"}),"")</f>
        <v/>
      </c>
      <c r="AA1335" s="64">
        <f>IF(T1335&gt;=3,IF(X1335&gt;=1,"Zona 1 — Crítica: impacto alto y ocurre al menos una vez al año","Zona 4 — Catastrófica poco probable: impacto alto pero excepcional"),IF(AND(T1335&lt;1.5,X1335&lt;1),"Zona 3 — Asumible: impacto bajo y muy poco frecuente","Zona 2 — Atención: riesgo intermedio"))</f>
        <v/>
      </c>
      <c r="AB1335" s="64">
        <f>IFERROR(INDEX(MgAmenCtrl,MATCH(SUBSTITUTE($H1335,"*","-"),MgAmenClave,0)),"")</f>
        <v/>
      </c>
      <c r="AC1335" s="20" t="n"/>
      <c r="AD1335" s="31">
        <f>IFERROR($X1335*(1-IF($AC1335="",$AL1335,VLOOKUP($AC1335,MgMad,2,0))),"")</f>
        <v/>
      </c>
      <c r="AE1335" s="28">
        <f>IFERROR(LOOKUP(AD1335,{0;0.01;0.1;1;10;100},{"Muy baja";"Muy baja";"Baja";"Media";"Alta";"Muy alta"}),"")</f>
        <v/>
      </c>
      <c r="AF1335" s="30">
        <f>T1335*AD1335</f>
        <v/>
      </c>
      <c r="AG1335" s="28">
        <f>IFERROR(LOOKUP(AF1335,{0;0.5;5;25},{"Bajo";"Medio";"Alto";"Crítico"}),"")</f>
        <v/>
      </c>
      <c r="AH1335" s="28">
        <f>IF(AG1335="","",IF(OR(AG1335="Crítico",AG1335="Alto"),"Mitigar",IF(AG1335="Medio","Mitigar","Aceptar y monitorear")))</f>
        <v/>
      </c>
      <c r="AI1335" s="21" t="n"/>
      <c r="AJ1335" s="21" t="n"/>
      <c r="AK1335" s="20" t="n"/>
      <c r="AL1335" s="77">
        <f>IFERROR(INDEX(MgAmenEfic,MATCH(SUBSTITUTE($H1335,"*","-"),MgAmenClave,0)),0)</f>
        <v/>
      </c>
    </row>
    <row r="1336" hidden="1" ht="120" customHeight="1" s="54">
      <c r="B1336" s="59" t="inlineStr">
        <is>
          <t>R-1331</t>
        </is>
      </c>
      <c r="C1336" s="59" t="inlineStr">
        <is>
          <t>GH-024</t>
        </is>
      </c>
      <c r="D1336" s="64">
        <f>IFERROR(INDEX(MgNombre,MATCH($C1336,MgActId,0)),"")</f>
        <v/>
      </c>
      <c r="E1336" s="64">
        <f>IFERROR(INDEX(MgProceso,MATCH($C1336,MgActId,0)),"")</f>
        <v/>
      </c>
      <c r="F1336" s="64">
        <f>IFERROR(INDEX(MgTipo,MATCH($C1336,MgActId,0)),"")</f>
        <v/>
      </c>
      <c r="G1336" s="64">
        <f>IFERROR(INDEX(MgSubtipo,MATCH($C1336,MgActId,0)),"")</f>
        <v/>
      </c>
      <c r="H1336" s="59" t="inlineStr">
        <is>
          <t>A.19</t>
        </is>
      </c>
      <c r="I1336" s="64">
        <f>IFERROR(INDEX(MgAmenNombre,MATCH(SUBSTITUTE($H1336,"*","-"),MgAmenClave,0)),"")</f>
        <v/>
      </c>
      <c r="J1336" s="28">
        <f>IFERROR(INDEX(MgAmenGrupo,MATCH(SUBSTITUTE($H1336,"*","-"),MgAmenClave,0)),"")</f>
        <v/>
      </c>
      <c r="K1336" s="64">
        <f>IFERROR(INDEX('1. Matriz de Activos'!$Q$6:$Q$239,MATCH($C1336,MgActId,0)),"")</f>
        <v/>
      </c>
      <c r="L1336" s="64">
        <f>IFERROR(INDEX('1. Matriz de Activos'!$R$6:$R$239,MATCH($C1336,MgActId,0)),"")</f>
        <v/>
      </c>
      <c r="M1336" s="64">
        <f>IFERROR(INDEX('1. Matriz de Activos'!$S$6:$S$239,MATCH($C1336,MgActId,0)),"")</f>
        <v/>
      </c>
      <c r="N1336" s="28">
        <f>IFERROR(INDEX(MgAmenDegD,MATCH(SUBSTITUTE($H1336,"*","-"),MgAmenClave,0)),"No aplica")</f>
        <v/>
      </c>
      <c r="O1336" s="28">
        <f>IFERROR(INDEX(MgAmenDegI,MATCH(SUBSTITUTE($H1336,"*","-"),MgAmenClave,0)),"No aplica")</f>
        <v/>
      </c>
      <c r="P1336" s="28">
        <f>IFERROR(INDEX(MgAmenDegC,MATCH(SUBSTITUTE($H1336,"*","-"),MgAmenClave,0)),"No aplica")</f>
        <v/>
      </c>
      <c r="Q1336" s="29">
        <f>IFERROR(VLOOKUP(K1336,MgValor,2,0)*VLOOKUP(N1336,MgDeg,2,0),0)</f>
        <v/>
      </c>
      <c r="R1336" s="29">
        <f>IFERROR(VLOOKUP(L1336,MgValor,2,0)*VLOOKUP(O1336,MgDeg,2,0),0)</f>
        <v/>
      </c>
      <c r="S1336" s="29">
        <f>IFERROR(VLOOKUP(M1336,MgValor,2,0)*VLOOKUP(P1336,MgDeg,2,0),0)</f>
        <v/>
      </c>
      <c r="T1336" s="30">
        <f>MAX(Q1336:S1336)</f>
        <v/>
      </c>
      <c r="U1336" s="28">
        <f>IFERROR(LOOKUP(T1336,{0;0.5;1.5;3;4.5},{"Despreciable";"Bajo";"Medio";"Alto";"Muy alto"}),"")</f>
        <v/>
      </c>
      <c r="V1336" s="13">
        <f>IFERROR(INDEX(MgAmenFrec,MATCH(SUBSTITUTE($H1336,"*","-"),MgAmenClave,0)),"")</f>
        <v/>
      </c>
      <c r="W1336" s="28">
        <f>IFERROR(LOOKUP(X1336,{0;0.01;0.1;1;10;100},{"Muy baja";"Muy baja";"Baja";"Media";"Alta";"Muy alta"}),"")</f>
        <v/>
      </c>
      <c r="X1336" s="31">
        <f>IFERROR(VLOOKUP(V1336,MgFrec,2,0),0)</f>
        <v/>
      </c>
      <c r="Y1336" s="30">
        <f>T1336*X1336</f>
        <v/>
      </c>
      <c r="Z1336" s="28">
        <f>IFERROR(LOOKUP(Y1336,{0;0.5;5;25},{"Bajo";"Medio";"Alto";"Crítico"}),"")</f>
        <v/>
      </c>
      <c r="AA1336" s="64">
        <f>IF(T1336&gt;=3,IF(X1336&gt;=1,"Zona 1 — Crítica: impacto alto y ocurre al menos una vez al año","Zona 4 — Catastrófica poco probable: impacto alto pero excepcional"),IF(AND(T1336&lt;1.5,X1336&lt;1),"Zona 3 — Asumible: impacto bajo y muy poco frecuente","Zona 2 — Atención: riesgo intermedio"))</f>
        <v/>
      </c>
      <c r="AB1336" s="64">
        <f>IFERROR(INDEX(MgAmenCtrl,MATCH(SUBSTITUTE($H1336,"*","-"),MgAmenClave,0)),"")</f>
        <v/>
      </c>
      <c r="AC1336" s="20" t="n"/>
      <c r="AD1336" s="31">
        <f>IFERROR($X1336*(1-IF($AC1336="",$AL1336,VLOOKUP($AC1336,MgMad,2,0))),"")</f>
        <v/>
      </c>
      <c r="AE1336" s="28">
        <f>IFERROR(LOOKUP(AD1336,{0;0.01;0.1;1;10;100},{"Muy baja";"Muy baja";"Baja";"Media";"Alta";"Muy alta"}),"")</f>
        <v/>
      </c>
      <c r="AF1336" s="30">
        <f>T1336*AD1336</f>
        <v/>
      </c>
      <c r="AG1336" s="28">
        <f>IFERROR(LOOKUP(AF1336,{0;0.5;5;25},{"Bajo";"Medio";"Alto";"Crítico"}),"")</f>
        <v/>
      </c>
      <c r="AH1336" s="28">
        <f>IF(AG1336="","",IF(OR(AG1336="Crítico",AG1336="Alto"),"Mitigar",IF(AG1336="Medio","Mitigar","Aceptar y monitorear")))</f>
        <v/>
      </c>
      <c r="AI1336" s="21" t="n"/>
      <c r="AJ1336" s="21" t="n"/>
      <c r="AK1336" s="20" t="n"/>
      <c r="AL1336" s="77">
        <f>IFERROR(INDEX(MgAmenEfic,MATCH(SUBSTITUTE($H1336,"*","-"),MgAmenClave,0)),0)</f>
        <v/>
      </c>
    </row>
    <row r="1337" hidden="1" ht="105" customHeight="1" s="54">
      <c r="B1337" s="59" t="inlineStr">
        <is>
          <t>R-1332</t>
        </is>
      </c>
      <c r="C1337" s="59" t="inlineStr">
        <is>
          <t>GH-005</t>
        </is>
      </c>
      <c r="D1337" s="64">
        <f>IFERROR(INDEX(MgNombre,MATCH($C1337,MgActId,0)),"")</f>
        <v/>
      </c>
      <c r="E1337" s="64">
        <f>IFERROR(INDEX(MgProceso,MATCH($C1337,MgActId,0)),"")</f>
        <v/>
      </c>
      <c r="F1337" s="64">
        <f>IFERROR(INDEX(MgTipo,MATCH($C1337,MgActId,0)),"")</f>
        <v/>
      </c>
      <c r="G1337" s="64">
        <f>IFERROR(INDEX(MgSubtipo,MATCH($C1337,MgActId,0)),"")</f>
        <v/>
      </c>
      <c r="H1337" s="59" t="inlineStr">
        <is>
          <t>E.1</t>
        </is>
      </c>
      <c r="I1337" s="64">
        <f>IFERROR(INDEX(MgAmenNombre,MATCH(SUBSTITUTE($H1337,"*","-"),MgAmenClave,0)),"")</f>
        <v/>
      </c>
      <c r="J1337" s="28">
        <f>IFERROR(INDEX(MgAmenGrupo,MATCH(SUBSTITUTE($H1337,"*","-"),MgAmenClave,0)),"")</f>
        <v/>
      </c>
      <c r="K1337" s="64">
        <f>IFERROR(INDEX('1. Matriz de Activos'!$Q$6:$Q$239,MATCH($C1337,MgActId,0)),"")</f>
        <v/>
      </c>
      <c r="L1337" s="64">
        <f>IFERROR(INDEX('1. Matriz de Activos'!$R$6:$R$239,MATCH($C1337,MgActId,0)),"")</f>
        <v/>
      </c>
      <c r="M1337" s="64">
        <f>IFERROR(INDEX('1. Matriz de Activos'!$S$6:$S$239,MATCH($C1337,MgActId,0)),"")</f>
        <v/>
      </c>
      <c r="N1337" s="28">
        <f>IFERROR(INDEX(MgAmenDegD,MATCH(SUBSTITUTE($H1337,"*","-"),MgAmenClave,0)),"No aplica")</f>
        <v/>
      </c>
      <c r="O1337" s="28">
        <f>IFERROR(INDEX(MgAmenDegI,MATCH(SUBSTITUTE($H1337,"*","-"),MgAmenClave,0)),"No aplica")</f>
        <v/>
      </c>
      <c r="P1337" s="28">
        <f>IFERROR(INDEX(MgAmenDegC,MATCH(SUBSTITUTE($H1337,"*","-"),MgAmenClave,0)),"No aplica")</f>
        <v/>
      </c>
      <c r="Q1337" s="29">
        <f>IFERROR(VLOOKUP(K1337,MgValor,2,0)*VLOOKUP(N1337,MgDeg,2,0),0)</f>
        <v/>
      </c>
      <c r="R1337" s="29">
        <f>IFERROR(VLOOKUP(L1337,MgValor,2,0)*VLOOKUP(O1337,MgDeg,2,0),0)</f>
        <v/>
      </c>
      <c r="S1337" s="29">
        <f>IFERROR(VLOOKUP(M1337,MgValor,2,0)*VLOOKUP(P1337,MgDeg,2,0),0)</f>
        <v/>
      </c>
      <c r="T1337" s="30">
        <f>MAX(Q1337:S1337)</f>
        <v/>
      </c>
      <c r="U1337" s="28">
        <f>IFERROR(LOOKUP(T1337,{0;0.5;1.5;3;4.5},{"Despreciable";"Bajo";"Medio";"Alto";"Muy alto"}),"")</f>
        <v/>
      </c>
      <c r="V1337" s="13">
        <f>IFERROR(INDEX(MgAmenFrec,MATCH(SUBSTITUTE($H1337,"*","-"),MgAmenClave,0)),"")</f>
        <v/>
      </c>
      <c r="W1337" s="28">
        <f>IFERROR(LOOKUP(X1337,{0;0.01;0.1;1;10;100},{"Muy baja";"Muy baja";"Baja";"Media";"Alta";"Muy alta"}),"")</f>
        <v/>
      </c>
      <c r="X1337" s="31">
        <f>IFERROR(VLOOKUP(V1337,MgFrec,2,0),0)</f>
        <v/>
      </c>
      <c r="Y1337" s="30">
        <f>T1337*X1337</f>
        <v/>
      </c>
      <c r="Z1337" s="28">
        <f>IFERROR(LOOKUP(Y1337,{0;0.5;5;25},{"Bajo";"Medio";"Alto";"Crítico"}),"")</f>
        <v/>
      </c>
      <c r="AA1337" s="64">
        <f>IF(T1337&gt;=3,IF(X1337&gt;=1,"Zona 1 — Crítica: impacto alto y ocurre al menos una vez al año","Zona 4 — Catastrófica poco probable: impacto alto pero excepcional"),IF(AND(T1337&lt;1.5,X1337&lt;1),"Zona 3 — Asumible: impacto bajo y muy poco frecuente","Zona 2 — Atención: riesgo intermedio"))</f>
        <v/>
      </c>
      <c r="AB1337" s="64">
        <f>IFERROR(INDEX(MgAmenCtrl,MATCH(SUBSTITUTE($H1337,"*","-"),MgAmenClave,0)),"")</f>
        <v/>
      </c>
      <c r="AC1337" s="20" t="n"/>
      <c r="AD1337" s="31">
        <f>IFERROR($X1337*(1-IF($AC1337="",$AL1337,VLOOKUP($AC1337,MgMad,2,0))),"")</f>
        <v/>
      </c>
      <c r="AE1337" s="28">
        <f>IFERROR(LOOKUP(AD1337,{0;0.01;0.1;1;10;100},{"Muy baja";"Muy baja";"Baja";"Media";"Alta";"Muy alta"}),"")</f>
        <v/>
      </c>
      <c r="AF1337" s="30">
        <f>T1337*AD1337</f>
        <v/>
      </c>
      <c r="AG1337" s="28">
        <f>IFERROR(LOOKUP(AF1337,{0;0.5;5;25},{"Bajo";"Medio";"Alto";"Crítico"}),"")</f>
        <v/>
      </c>
      <c r="AH1337" s="28">
        <f>IF(AG1337="","",IF(OR(AG1337="Crítico",AG1337="Alto"),"Mitigar",IF(AG1337="Medio","Mitigar","Aceptar y monitorear")))</f>
        <v/>
      </c>
      <c r="AI1337" s="21" t="n"/>
      <c r="AJ1337" s="21" t="n"/>
      <c r="AK1337" s="20" t="n"/>
      <c r="AL1337" s="77">
        <f>IFERROR(INDEX(MgAmenEfic,MATCH(SUBSTITUTE($H1337,"*","-"),MgAmenClave,0)),0)</f>
        <v/>
      </c>
    </row>
    <row r="1338" hidden="1" ht="120" customHeight="1" s="54">
      <c r="B1338" s="59" t="inlineStr">
        <is>
          <t>R-1333</t>
        </is>
      </c>
      <c r="C1338" s="59" t="inlineStr">
        <is>
          <t>GH-005</t>
        </is>
      </c>
      <c r="D1338" s="64">
        <f>IFERROR(INDEX(MgNombre,MATCH($C1338,MgActId,0)),"")</f>
        <v/>
      </c>
      <c r="E1338" s="64">
        <f>IFERROR(INDEX(MgProceso,MATCH($C1338,MgActId,0)),"")</f>
        <v/>
      </c>
      <c r="F1338" s="64">
        <f>IFERROR(INDEX(MgTipo,MATCH($C1338,MgActId,0)),"")</f>
        <v/>
      </c>
      <c r="G1338" s="64">
        <f>IFERROR(INDEX(MgSubtipo,MATCH($C1338,MgActId,0)),"")</f>
        <v/>
      </c>
      <c r="H1338" s="59" t="inlineStr">
        <is>
          <t>E.2</t>
        </is>
      </c>
      <c r="I1338" s="64">
        <f>IFERROR(INDEX(MgAmenNombre,MATCH(SUBSTITUTE($H1338,"*","-"),MgAmenClave,0)),"")</f>
        <v/>
      </c>
      <c r="J1338" s="28">
        <f>IFERROR(INDEX(MgAmenGrupo,MATCH(SUBSTITUTE($H1338,"*","-"),MgAmenClave,0)),"")</f>
        <v/>
      </c>
      <c r="K1338" s="64">
        <f>IFERROR(INDEX('1. Matriz de Activos'!$Q$6:$Q$239,MATCH($C1338,MgActId,0)),"")</f>
        <v/>
      </c>
      <c r="L1338" s="64">
        <f>IFERROR(INDEX('1. Matriz de Activos'!$R$6:$R$239,MATCH($C1338,MgActId,0)),"")</f>
        <v/>
      </c>
      <c r="M1338" s="64">
        <f>IFERROR(INDEX('1. Matriz de Activos'!$S$6:$S$239,MATCH($C1338,MgActId,0)),"")</f>
        <v/>
      </c>
      <c r="N1338" s="28">
        <f>IFERROR(INDEX(MgAmenDegD,MATCH(SUBSTITUTE($H1338,"*","-"),MgAmenClave,0)),"No aplica")</f>
        <v/>
      </c>
      <c r="O1338" s="28">
        <f>IFERROR(INDEX(MgAmenDegI,MATCH(SUBSTITUTE($H1338,"*","-"),MgAmenClave,0)),"No aplica")</f>
        <v/>
      </c>
      <c r="P1338" s="28">
        <f>IFERROR(INDEX(MgAmenDegC,MATCH(SUBSTITUTE($H1338,"*","-"),MgAmenClave,0)),"No aplica")</f>
        <v/>
      </c>
      <c r="Q1338" s="29">
        <f>IFERROR(VLOOKUP(K1338,MgValor,2,0)*VLOOKUP(N1338,MgDeg,2,0),0)</f>
        <v/>
      </c>
      <c r="R1338" s="29">
        <f>IFERROR(VLOOKUP(L1338,MgValor,2,0)*VLOOKUP(O1338,MgDeg,2,0),0)</f>
        <v/>
      </c>
      <c r="S1338" s="29">
        <f>IFERROR(VLOOKUP(M1338,MgValor,2,0)*VLOOKUP(P1338,MgDeg,2,0),0)</f>
        <v/>
      </c>
      <c r="T1338" s="30">
        <f>MAX(Q1338:S1338)</f>
        <v/>
      </c>
      <c r="U1338" s="28">
        <f>IFERROR(LOOKUP(T1338,{0;0.5;1.5;3;4.5},{"Despreciable";"Bajo";"Medio";"Alto";"Muy alto"}),"")</f>
        <v/>
      </c>
      <c r="V1338" s="13">
        <f>IFERROR(INDEX(MgAmenFrec,MATCH(SUBSTITUTE($H1338,"*","-"),MgAmenClave,0)),"")</f>
        <v/>
      </c>
      <c r="W1338" s="28">
        <f>IFERROR(LOOKUP(X1338,{0;0.01;0.1;1;10;100},{"Muy baja";"Muy baja";"Baja";"Media";"Alta";"Muy alta"}),"")</f>
        <v/>
      </c>
      <c r="X1338" s="31">
        <f>IFERROR(VLOOKUP(V1338,MgFrec,2,0),0)</f>
        <v/>
      </c>
      <c r="Y1338" s="30">
        <f>T1338*X1338</f>
        <v/>
      </c>
      <c r="Z1338" s="28">
        <f>IFERROR(LOOKUP(Y1338,{0;0.5;5;25},{"Bajo";"Medio";"Alto";"Crítico"}),"")</f>
        <v/>
      </c>
      <c r="AA1338" s="64">
        <f>IF(T1338&gt;=3,IF(X1338&gt;=1,"Zona 1 — Crítica: impacto alto y ocurre al menos una vez al año","Zona 4 — Catastrófica poco probable: impacto alto pero excepcional"),IF(AND(T1338&lt;1.5,X1338&lt;1),"Zona 3 — Asumible: impacto bajo y muy poco frecuente","Zona 2 — Atención: riesgo intermedio"))</f>
        <v/>
      </c>
      <c r="AB1338" s="64">
        <f>IFERROR(INDEX(MgAmenCtrl,MATCH(SUBSTITUTE($H1338,"*","-"),MgAmenClave,0)),"")</f>
        <v/>
      </c>
      <c r="AC1338" s="20" t="n"/>
      <c r="AD1338" s="31">
        <f>IFERROR($X1338*(1-IF($AC1338="",$AL1338,VLOOKUP($AC1338,MgMad,2,0))),"")</f>
        <v/>
      </c>
      <c r="AE1338" s="28">
        <f>IFERROR(LOOKUP(AD1338,{0;0.01;0.1;1;10;100},{"Muy baja";"Muy baja";"Baja";"Media";"Alta";"Muy alta"}),"")</f>
        <v/>
      </c>
      <c r="AF1338" s="30">
        <f>T1338*AD1338</f>
        <v/>
      </c>
      <c r="AG1338" s="28">
        <f>IFERROR(LOOKUP(AF1338,{0;0.5;5;25},{"Bajo";"Medio";"Alto";"Crítico"}),"")</f>
        <v/>
      </c>
      <c r="AH1338" s="28">
        <f>IF(AG1338="","",IF(OR(AG1338="Crítico",AG1338="Alto"),"Mitigar",IF(AG1338="Medio","Mitigar","Aceptar y monitorear")))</f>
        <v/>
      </c>
      <c r="AI1338" s="21" t="n"/>
      <c r="AJ1338" s="21" t="n"/>
      <c r="AK1338" s="20" t="n"/>
      <c r="AL1338" s="77">
        <f>IFERROR(INDEX(MgAmenEfic,MATCH(SUBSTITUTE($H1338,"*","-"),MgAmenClave,0)),0)</f>
        <v/>
      </c>
    </row>
    <row r="1339" hidden="1" ht="75" customHeight="1" s="54">
      <c r="B1339" s="59" t="inlineStr">
        <is>
          <t>R-1334</t>
        </is>
      </c>
      <c r="C1339" s="59" t="inlineStr">
        <is>
          <t>GH-005</t>
        </is>
      </c>
      <c r="D1339" s="64">
        <f>IFERROR(INDEX(MgNombre,MATCH($C1339,MgActId,0)),"")</f>
        <v/>
      </c>
      <c r="E1339" s="64">
        <f>IFERROR(INDEX(MgProceso,MATCH($C1339,MgActId,0)),"")</f>
        <v/>
      </c>
      <c r="F1339" s="64">
        <f>IFERROR(INDEX(MgTipo,MATCH($C1339,MgActId,0)),"")</f>
        <v/>
      </c>
      <c r="G1339" s="64">
        <f>IFERROR(INDEX(MgSubtipo,MATCH($C1339,MgActId,0)),"")</f>
        <v/>
      </c>
      <c r="H1339" s="59" t="inlineStr">
        <is>
          <t>E.3</t>
        </is>
      </c>
      <c r="I1339" s="64">
        <f>IFERROR(INDEX(MgAmenNombre,MATCH(SUBSTITUTE($H1339,"*","-"),MgAmenClave,0)),"")</f>
        <v/>
      </c>
      <c r="J1339" s="28">
        <f>IFERROR(INDEX(MgAmenGrupo,MATCH(SUBSTITUTE($H1339,"*","-"),MgAmenClave,0)),"")</f>
        <v/>
      </c>
      <c r="K1339" s="64">
        <f>IFERROR(INDEX('1. Matriz de Activos'!$Q$6:$Q$239,MATCH($C1339,MgActId,0)),"")</f>
        <v/>
      </c>
      <c r="L1339" s="64">
        <f>IFERROR(INDEX('1. Matriz de Activos'!$R$6:$R$239,MATCH($C1339,MgActId,0)),"")</f>
        <v/>
      </c>
      <c r="M1339" s="64">
        <f>IFERROR(INDEX('1. Matriz de Activos'!$S$6:$S$239,MATCH($C1339,MgActId,0)),"")</f>
        <v/>
      </c>
      <c r="N1339" s="28">
        <f>IFERROR(INDEX(MgAmenDegD,MATCH(SUBSTITUTE($H1339,"*","-"),MgAmenClave,0)),"No aplica")</f>
        <v/>
      </c>
      <c r="O1339" s="28">
        <f>IFERROR(INDEX(MgAmenDegI,MATCH(SUBSTITUTE($H1339,"*","-"),MgAmenClave,0)),"No aplica")</f>
        <v/>
      </c>
      <c r="P1339" s="28">
        <f>IFERROR(INDEX(MgAmenDegC,MATCH(SUBSTITUTE($H1339,"*","-"),MgAmenClave,0)),"No aplica")</f>
        <v/>
      </c>
      <c r="Q1339" s="29">
        <f>IFERROR(VLOOKUP(K1339,MgValor,2,0)*VLOOKUP(N1339,MgDeg,2,0),0)</f>
        <v/>
      </c>
      <c r="R1339" s="29">
        <f>IFERROR(VLOOKUP(L1339,MgValor,2,0)*VLOOKUP(O1339,MgDeg,2,0),0)</f>
        <v/>
      </c>
      <c r="S1339" s="29">
        <f>IFERROR(VLOOKUP(M1339,MgValor,2,0)*VLOOKUP(P1339,MgDeg,2,0),0)</f>
        <v/>
      </c>
      <c r="T1339" s="30">
        <f>MAX(Q1339:S1339)</f>
        <v/>
      </c>
      <c r="U1339" s="28">
        <f>IFERROR(LOOKUP(T1339,{0;0.5;1.5;3;4.5},{"Despreciable";"Bajo";"Medio";"Alto";"Muy alto"}),"")</f>
        <v/>
      </c>
      <c r="V1339" s="13">
        <f>IFERROR(INDEX(MgAmenFrec,MATCH(SUBSTITUTE($H1339,"*","-"),MgAmenClave,0)),"")</f>
        <v/>
      </c>
      <c r="W1339" s="28">
        <f>IFERROR(LOOKUP(X1339,{0;0.01;0.1;1;10;100},{"Muy baja";"Muy baja";"Baja";"Media";"Alta";"Muy alta"}),"")</f>
        <v/>
      </c>
      <c r="X1339" s="31">
        <f>IFERROR(VLOOKUP(V1339,MgFrec,2,0),0)</f>
        <v/>
      </c>
      <c r="Y1339" s="30">
        <f>T1339*X1339</f>
        <v/>
      </c>
      <c r="Z1339" s="28">
        <f>IFERROR(LOOKUP(Y1339,{0;0.5;5;25},{"Bajo";"Medio";"Alto";"Crítico"}),"")</f>
        <v/>
      </c>
      <c r="AA1339" s="64">
        <f>IF(T1339&gt;=3,IF(X1339&gt;=1,"Zona 1 — Crítica: impacto alto y ocurre al menos una vez al año","Zona 4 — Catastrófica poco probable: impacto alto pero excepcional"),IF(AND(T1339&lt;1.5,X1339&lt;1),"Zona 3 — Asumible: impacto bajo y muy poco frecuente","Zona 2 — Atención: riesgo intermedio"))</f>
        <v/>
      </c>
      <c r="AB1339" s="64">
        <f>IFERROR(INDEX(MgAmenCtrl,MATCH(SUBSTITUTE($H1339,"*","-"),MgAmenClave,0)),"")</f>
        <v/>
      </c>
      <c r="AC1339" s="20" t="n"/>
      <c r="AD1339" s="31">
        <f>IFERROR($X1339*(1-IF($AC1339="",$AL1339,VLOOKUP($AC1339,MgMad,2,0))),"")</f>
        <v/>
      </c>
      <c r="AE1339" s="28">
        <f>IFERROR(LOOKUP(AD1339,{0;0.01;0.1;1;10;100},{"Muy baja";"Muy baja";"Baja";"Media";"Alta";"Muy alta"}),"")</f>
        <v/>
      </c>
      <c r="AF1339" s="30">
        <f>T1339*AD1339</f>
        <v/>
      </c>
      <c r="AG1339" s="28">
        <f>IFERROR(LOOKUP(AF1339,{0;0.5;5;25},{"Bajo";"Medio";"Alto";"Crítico"}),"")</f>
        <v/>
      </c>
      <c r="AH1339" s="28">
        <f>IF(AG1339="","",IF(OR(AG1339="Crítico",AG1339="Alto"),"Mitigar",IF(AG1339="Medio","Mitigar","Aceptar y monitorear")))</f>
        <v/>
      </c>
      <c r="AI1339" s="21" t="n"/>
      <c r="AJ1339" s="21" t="n"/>
      <c r="AK1339" s="20" t="n"/>
      <c r="AL1339" s="77">
        <f>IFERROR(INDEX(MgAmenEfic,MATCH(SUBSTITUTE($H1339,"*","-"),MgAmenClave,0)),0)</f>
        <v/>
      </c>
    </row>
    <row r="1340" hidden="1" ht="75" customHeight="1" s="54">
      <c r="B1340" s="59" t="inlineStr">
        <is>
          <t>R-1335</t>
        </is>
      </c>
      <c r="C1340" s="59" t="inlineStr">
        <is>
          <t>GH-005</t>
        </is>
      </c>
      <c r="D1340" s="64">
        <f>IFERROR(INDEX(MgNombre,MATCH($C1340,MgActId,0)),"")</f>
        <v/>
      </c>
      <c r="E1340" s="64">
        <f>IFERROR(INDEX(MgProceso,MATCH($C1340,MgActId,0)),"")</f>
        <v/>
      </c>
      <c r="F1340" s="64">
        <f>IFERROR(INDEX(MgTipo,MATCH($C1340,MgActId,0)),"")</f>
        <v/>
      </c>
      <c r="G1340" s="64">
        <f>IFERROR(INDEX(MgSubtipo,MATCH($C1340,MgActId,0)),"")</f>
        <v/>
      </c>
      <c r="H1340" s="59" t="inlineStr">
        <is>
          <t>E.4</t>
        </is>
      </c>
      <c r="I1340" s="64">
        <f>IFERROR(INDEX(MgAmenNombre,MATCH(SUBSTITUTE($H1340,"*","-"),MgAmenClave,0)),"")</f>
        <v/>
      </c>
      <c r="J1340" s="28">
        <f>IFERROR(INDEX(MgAmenGrupo,MATCH(SUBSTITUTE($H1340,"*","-"),MgAmenClave,0)),"")</f>
        <v/>
      </c>
      <c r="K1340" s="64">
        <f>IFERROR(INDEX('1. Matriz de Activos'!$Q$6:$Q$239,MATCH($C1340,MgActId,0)),"")</f>
        <v/>
      </c>
      <c r="L1340" s="64">
        <f>IFERROR(INDEX('1. Matriz de Activos'!$R$6:$R$239,MATCH($C1340,MgActId,0)),"")</f>
        <v/>
      </c>
      <c r="M1340" s="64">
        <f>IFERROR(INDEX('1. Matriz de Activos'!$S$6:$S$239,MATCH($C1340,MgActId,0)),"")</f>
        <v/>
      </c>
      <c r="N1340" s="28">
        <f>IFERROR(INDEX(MgAmenDegD,MATCH(SUBSTITUTE($H1340,"*","-"),MgAmenClave,0)),"No aplica")</f>
        <v/>
      </c>
      <c r="O1340" s="28">
        <f>IFERROR(INDEX(MgAmenDegI,MATCH(SUBSTITUTE($H1340,"*","-"),MgAmenClave,0)),"No aplica")</f>
        <v/>
      </c>
      <c r="P1340" s="28">
        <f>IFERROR(INDEX(MgAmenDegC,MATCH(SUBSTITUTE($H1340,"*","-"),MgAmenClave,0)),"No aplica")</f>
        <v/>
      </c>
      <c r="Q1340" s="29">
        <f>IFERROR(VLOOKUP(K1340,MgValor,2,0)*VLOOKUP(N1340,MgDeg,2,0),0)</f>
        <v/>
      </c>
      <c r="R1340" s="29">
        <f>IFERROR(VLOOKUP(L1340,MgValor,2,0)*VLOOKUP(O1340,MgDeg,2,0),0)</f>
        <v/>
      </c>
      <c r="S1340" s="29">
        <f>IFERROR(VLOOKUP(M1340,MgValor,2,0)*VLOOKUP(P1340,MgDeg,2,0),0)</f>
        <v/>
      </c>
      <c r="T1340" s="30">
        <f>MAX(Q1340:S1340)</f>
        <v/>
      </c>
      <c r="U1340" s="28">
        <f>IFERROR(LOOKUP(T1340,{0;0.5;1.5;3;4.5},{"Despreciable";"Bajo";"Medio";"Alto";"Muy alto"}),"")</f>
        <v/>
      </c>
      <c r="V1340" s="13">
        <f>IFERROR(INDEX(MgAmenFrec,MATCH(SUBSTITUTE($H1340,"*","-"),MgAmenClave,0)),"")</f>
        <v/>
      </c>
      <c r="W1340" s="28">
        <f>IFERROR(LOOKUP(X1340,{0;0.01;0.1;1;10;100},{"Muy baja";"Muy baja";"Baja";"Media";"Alta";"Muy alta"}),"")</f>
        <v/>
      </c>
      <c r="X1340" s="31">
        <f>IFERROR(VLOOKUP(V1340,MgFrec,2,0),0)</f>
        <v/>
      </c>
      <c r="Y1340" s="30">
        <f>T1340*X1340</f>
        <v/>
      </c>
      <c r="Z1340" s="28">
        <f>IFERROR(LOOKUP(Y1340,{0;0.5;5;25},{"Bajo";"Medio";"Alto";"Crítico"}),"")</f>
        <v/>
      </c>
      <c r="AA1340" s="64">
        <f>IF(T1340&gt;=3,IF(X1340&gt;=1,"Zona 1 — Crítica: impacto alto y ocurre al menos una vez al año","Zona 4 — Catastrófica poco probable: impacto alto pero excepcional"),IF(AND(T1340&lt;1.5,X1340&lt;1),"Zona 3 — Asumible: impacto bajo y muy poco frecuente","Zona 2 — Atención: riesgo intermedio"))</f>
        <v/>
      </c>
      <c r="AB1340" s="64">
        <f>IFERROR(INDEX(MgAmenCtrl,MATCH(SUBSTITUTE($H1340,"*","-"),MgAmenClave,0)),"")</f>
        <v/>
      </c>
      <c r="AC1340" s="20" t="n"/>
      <c r="AD1340" s="31">
        <f>IFERROR($X1340*(1-IF($AC1340="",$AL1340,VLOOKUP($AC1340,MgMad,2,0))),"")</f>
        <v/>
      </c>
      <c r="AE1340" s="28">
        <f>IFERROR(LOOKUP(AD1340,{0;0.01;0.1;1;10;100},{"Muy baja";"Muy baja";"Baja";"Media";"Alta";"Muy alta"}),"")</f>
        <v/>
      </c>
      <c r="AF1340" s="30">
        <f>T1340*AD1340</f>
        <v/>
      </c>
      <c r="AG1340" s="28">
        <f>IFERROR(LOOKUP(AF1340,{0;0.5;5;25},{"Bajo";"Medio";"Alto";"Crítico"}),"")</f>
        <v/>
      </c>
      <c r="AH1340" s="28">
        <f>IF(AG1340="","",IF(OR(AG1340="Crítico",AG1340="Alto"),"Mitigar",IF(AG1340="Medio","Mitigar","Aceptar y monitorear")))</f>
        <v/>
      </c>
      <c r="AI1340" s="21" t="n"/>
      <c r="AJ1340" s="21" t="n"/>
      <c r="AK1340" s="20" t="n"/>
      <c r="AL1340" s="77">
        <f>IFERROR(INDEX(MgAmenEfic,MATCH(SUBSTITUTE($H1340,"*","-"),MgAmenClave,0)),0)</f>
        <v/>
      </c>
    </row>
    <row r="1341" hidden="1" ht="90" customHeight="1" s="54">
      <c r="B1341" s="59" t="inlineStr">
        <is>
          <t>R-1336</t>
        </is>
      </c>
      <c r="C1341" s="59" t="inlineStr">
        <is>
          <t>GH-005</t>
        </is>
      </c>
      <c r="D1341" s="64">
        <f>IFERROR(INDEX(MgNombre,MATCH($C1341,MgActId,0)),"")</f>
        <v/>
      </c>
      <c r="E1341" s="64">
        <f>IFERROR(INDEX(MgProceso,MATCH($C1341,MgActId,0)),"")</f>
        <v/>
      </c>
      <c r="F1341" s="64">
        <f>IFERROR(INDEX(MgTipo,MATCH($C1341,MgActId,0)),"")</f>
        <v/>
      </c>
      <c r="G1341" s="64">
        <f>IFERROR(INDEX(MgSubtipo,MATCH($C1341,MgActId,0)),"")</f>
        <v/>
      </c>
      <c r="H1341" s="59" t="inlineStr">
        <is>
          <t>E.14</t>
        </is>
      </c>
      <c r="I1341" s="64">
        <f>IFERROR(INDEX(MgAmenNombre,MATCH(SUBSTITUTE($H1341,"*","-"),MgAmenClave,0)),"")</f>
        <v/>
      </c>
      <c r="J1341" s="28">
        <f>IFERROR(INDEX(MgAmenGrupo,MATCH(SUBSTITUTE($H1341,"*","-"),MgAmenClave,0)),"")</f>
        <v/>
      </c>
      <c r="K1341" s="64">
        <f>IFERROR(INDEX('1. Matriz de Activos'!$Q$6:$Q$239,MATCH($C1341,MgActId,0)),"")</f>
        <v/>
      </c>
      <c r="L1341" s="64">
        <f>IFERROR(INDEX('1. Matriz de Activos'!$R$6:$R$239,MATCH($C1341,MgActId,0)),"")</f>
        <v/>
      </c>
      <c r="M1341" s="64">
        <f>IFERROR(INDEX('1. Matriz de Activos'!$S$6:$S$239,MATCH($C1341,MgActId,0)),"")</f>
        <v/>
      </c>
      <c r="N1341" s="28">
        <f>IFERROR(INDEX(MgAmenDegD,MATCH(SUBSTITUTE($H1341,"*","-"),MgAmenClave,0)),"No aplica")</f>
        <v/>
      </c>
      <c r="O1341" s="28">
        <f>IFERROR(INDEX(MgAmenDegI,MATCH(SUBSTITUTE($H1341,"*","-"),MgAmenClave,0)),"No aplica")</f>
        <v/>
      </c>
      <c r="P1341" s="28">
        <f>IFERROR(INDEX(MgAmenDegC,MATCH(SUBSTITUTE($H1341,"*","-"),MgAmenClave,0)),"No aplica")</f>
        <v/>
      </c>
      <c r="Q1341" s="29">
        <f>IFERROR(VLOOKUP(K1341,MgValor,2,0)*VLOOKUP(N1341,MgDeg,2,0),0)</f>
        <v/>
      </c>
      <c r="R1341" s="29">
        <f>IFERROR(VLOOKUP(L1341,MgValor,2,0)*VLOOKUP(O1341,MgDeg,2,0),0)</f>
        <v/>
      </c>
      <c r="S1341" s="29">
        <f>IFERROR(VLOOKUP(M1341,MgValor,2,0)*VLOOKUP(P1341,MgDeg,2,0),0)</f>
        <v/>
      </c>
      <c r="T1341" s="30">
        <f>MAX(Q1341:S1341)</f>
        <v/>
      </c>
      <c r="U1341" s="28">
        <f>IFERROR(LOOKUP(T1341,{0;0.5;1.5;3;4.5},{"Despreciable";"Bajo";"Medio";"Alto";"Muy alto"}),"")</f>
        <v/>
      </c>
      <c r="V1341" s="13">
        <f>IFERROR(INDEX(MgAmenFrec,MATCH(SUBSTITUTE($H1341,"*","-"),MgAmenClave,0)),"")</f>
        <v/>
      </c>
      <c r="W1341" s="28">
        <f>IFERROR(LOOKUP(X1341,{0;0.01;0.1;1;10;100},{"Muy baja";"Muy baja";"Baja";"Media";"Alta";"Muy alta"}),"")</f>
        <v/>
      </c>
      <c r="X1341" s="31">
        <f>IFERROR(VLOOKUP(V1341,MgFrec,2,0),0)</f>
        <v/>
      </c>
      <c r="Y1341" s="30">
        <f>T1341*X1341</f>
        <v/>
      </c>
      <c r="Z1341" s="28">
        <f>IFERROR(LOOKUP(Y1341,{0;0.5;5;25},{"Bajo";"Medio";"Alto";"Crítico"}),"")</f>
        <v/>
      </c>
      <c r="AA1341" s="64">
        <f>IF(T1341&gt;=3,IF(X1341&gt;=1,"Zona 1 — Crítica: impacto alto y ocurre al menos una vez al año","Zona 4 — Catastrófica poco probable: impacto alto pero excepcional"),IF(AND(T1341&lt;1.5,X1341&lt;1),"Zona 3 — Asumible: impacto bajo y muy poco frecuente","Zona 2 — Atención: riesgo intermedio"))</f>
        <v/>
      </c>
      <c r="AB1341" s="64">
        <f>IFERROR(INDEX(MgAmenCtrl,MATCH(SUBSTITUTE($H1341,"*","-"),MgAmenClave,0)),"")</f>
        <v/>
      </c>
      <c r="AC1341" s="20" t="n"/>
      <c r="AD1341" s="31">
        <f>IFERROR($X1341*(1-IF($AC1341="",$AL1341,VLOOKUP($AC1341,MgMad,2,0))),"")</f>
        <v/>
      </c>
      <c r="AE1341" s="28">
        <f>IFERROR(LOOKUP(AD1341,{0;0.01;0.1;1;10;100},{"Muy baja";"Muy baja";"Baja";"Media";"Alta";"Muy alta"}),"")</f>
        <v/>
      </c>
      <c r="AF1341" s="30">
        <f>T1341*AD1341</f>
        <v/>
      </c>
      <c r="AG1341" s="28">
        <f>IFERROR(LOOKUP(AF1341,{0;0.5;5;25},{"Bajo";"Medio";"Alto";"Crítico"}),"")</f>
        <v/>
      </c>
      <c r="AH1341" s="28">
        <f>IF(AG1341="","",IF(OR(AG1341="Crítico",AG1341="Alto"),"Mitigar",IF(AG1341="Medio","Mitigar","Aceptar y monitorear")))</f>
        <v/>
      </c>
      <c r="AI1341" s="21" t="n"/>
      <c r="AJ1341" s="21" t="n"/>
      <c r="AK1341" s="20" t="n"/>
      <c r="AL1341" s="77">
        <f>IFERROR(INDEX(MgAmenEfic,MATCH(SUBSTITUTE($H1341,"*","-"),MgAmenClave,0)),0)</f>
        <v/>
      </c>
    </row>
    <row r="1342" hidden="1" ht="90" customHeight="1" s="54">
      <c r="B1342" s="59" t="inlineStr">
        <is>
          <t>R-1337</t>
        </is>
      </c>
      <c r="C1342" s="59" t="inlineStr">
        <is>
          <t>GH-005</t>
        </is>
      </c>
      <c r="D1342" s="64">
        <f>IFERROR(INDEX(MgNombre,MATCH($C1342,MgActId,0)),"")</f>
        <v/>
      </c>
      <c r="E1342" s="64">
        <f>IFERROR(INDEX(MgProceso,MATCH($C1342,MgActId,0)),"")</f>
        <v/>
      </c>
      <c r="F1342" s="64">
        <f>IFERROR(INDEX(MgTipo,MATCH($C1342,MgActId,0)),"")</f>
        <v/>
      </c>
      <c r="G1342" s="64">
        <f>IFERROR(INDEX(MgSubtipo,MATCH($C1342,MgActId,0)),"")</f>
        <v/>
      </c>
      <c r="H1342" s="59" t="inlineStr">
        <is>
          <t>E.15</t>
        </is>
      </c>
      <c r="I1342" s="64">
        <f>IFERROR(INDEX(MgAmenNombre,MATCH(SUBSTITUTE($H1342,"*","-"),MgAmenClave,0)),"")</f>
        <v/>
      </c>
      <c r="J1342" s="28">
        <f>IFERROR(INDEX(MgAmenGrupo,MATCH(SUBSTITUTE($H1342,"*","-"),MgAmenClave,0)),"")</f>
        <v/>
      </c>
      <c r="K1342" s="64">
        <f>IFERROR(INDEX('1. Matriz de Activos'!$Q$6:$Q$239,MATCH($C1342,MgActId,0)),"")</f>
        <v/>
      </c>
      <c r="L1342" s="64">
        <f>IFERROR(INDEX('1. Matriz de Activos'!$R$6:$R$239,MATCH($C1342,MgActId,0)),"")</f>
        <v/>
      </c>
      <c r="M1342" s="64">
        <f>IFERROR(INDEX('1. Matriz de Activos'!$S$6:$S$239,MATCH($C1342,MgActId,0)),"")</f>
        <v/>
      </c>
      <c r="N1342" s="28">
        <f>IFERROR(INDEX(MgAmenDegD,MATCH(SUBSTITUTE($H1342,"*","-"),MgAmenClave,0)),"No aplica")</f>
        <v/>
      </c>
      <c r="O1342" s="28">
        <f>IFERROR(INDEX(MgAmenDegI,MATCH(SUBSTITUTE($H1342,"*","-"),MgAmenClave,0)),"No aplica")</f>
        <v/>
      </c>
      <c r="P1342" s="28">
        <f>IFERROR(INDEX(MgAmenDegC,MATCH(SUBSTITUTE($H1342,"*","-"),MgAmenClave,0)),"No aplica")</f>
        <v/>
      </c>
      <c r="Q1342" s="29">
        <f>IFERROR(VLOOKUP(K1342,MgValor,2,0)*VLOOKUP(N1342,MgDeg,2,0),0)</f>
        <v/>
      </c>
      <c r="R1342" s="29">
        <f>IFERROR(VLOOKUP(L1342,MgValor,2,0)*VLOOKUP(O1342,MgDeg,2,0),0)</f>
        <v/>
      </c>
      <c r="S1342" s="29">
        <f>IFERROR(VLOOKUP(M1342,MgValor,2,0)*VLOOKUP(P1342,MgDeg,2,0),0)</f>
        <v/>
      </c>
      <c r="T1342" s="30">
        <f>MAX(Q1342:S1342)</f>
        <v/>
      </c>
      <c r="U1342" s="28">
        <f>IFERROR(LOOKUP(T1342,{0;0.5;1.5;3;4.5},{"Despreciable";"Bajo";"Medio";"Alto";"Muy alto"}),"")</f>
        <v/>
      </c>
      <c r="V1342" s="13">
        <f>IFERROR(INDEX(MgAmenFrec,MATCH(SUBSTITUTE($H1342,"*","-"),MgAmenClave,0)),"")</f>
        <v/>
      </c>
      <c r="W1342" s="28">
        <f>IFERROR(LOOKUP(X1342,{0;0.01;0.1;1;10;100},{"Muy baja";"Muy baja";"Baja";"Media";"Alta";"Muy alta"}),"")</f>
        <v/>
      </c>
      <c r="X1342" s="31">
        <f>IFERROR(VLOOKUP(V1342,MgFrec,2,0),0)</f>
        <v/>
      </c>
      <c r="Y1342" s="30">
        <f>T1342*X1342</f>
        <v/>
      </c>
      <c r="Z1342" s="28">
        <f>IFERROR(LOOKUP(Y1342,{0;0.5;5;25},{"Bajo";"Medio";"Alto";"Crítico"}),"")</f>
        <v/>
      </c>
      <c r="AA1342" s="64">
        <f>IF(T1342&gt;=3,IF(X1342&gt;=1,"Zona 1 — Crítica: impacto alto y ocurre al menos una vez al año","Zona 4 — Catastrófica poco probable: impacto alto pero excepcional"),IF(AND(T1342&lt;1.5,X1342&lt;1),"Zona 3 — Asumible: impacto bajo y muy poco frecuente","Zona 2 — Atención: riesgo intermedio"))</f>
        <v/>
      </c>
      <c r="AB1342" s="64">
        <f>IFERROR(INDEX(MgAmenCtrl,MATCH(SUBSTITUTE($H1342,"*","-"),MgAmenClave,0)),"")</f>
        <v/>
      </c>
      <c r="AC1342" s="20" t="n"/>
      <c r="AD1342" s="31">
        <f>IFERROR($X1342*(1-IF($AC1342="",$AL1342,VLOOKUP($AC1342,MgMad,2,0))),"")</f>
        <v/>
      </c>
      <c r="AE1342" s="28">
        <f>IFERROR(LOOKUP(AD1342,{0;0.01;0.1;1;10;100},{"Muy baja";"Muy baja";"Baja";"Media";"Alta";"Muy alta"}),"")</f>
        <v/>
      </c>
      <c r="AF1342" s="30">
        <f>T1342*AD1342</f>
        <v/>
      </c>
      <c r="AG1342" s="28">
        <f>IFERROR(LOOKUP(AF1342,{0;0.5;5;25},{"Bajo";"Medio";"Alto";"Crítico"}),"")</f>
        <v/>
      </c>
      <c r="AH1342" s="28">
        <f>IF(AG1342="","",IF(OR(AG1342="Crítico",AG1342="Alto"),"Mitigar",IF(AG1342="Medio","Mitigar","Aceptar y monitorear")))</f>
        <v/>
      </c>
      <c r="AI1342" s="21" t="n"/>
      <c r="AJ1342" s="21" t="n"/>
      <c r="AK1342" s="20" t="n"/>
      <c r="AL1342" s="77">
        <f>IFERROR(INDEX(MgAmenEfic,MATCH(SUBSTITUTE($H1342,"*","-"),MgAmenClave,0)),0)</f>
        <v/>
      </c>
    </row>
    <row r="1343" hidden="1" ht="60" customHeight="1" s="54">
      <c r="B1343" s="59" t="inlineStr">
        <is>
          <t>R-1338</t>
        </is>
      </c>
      <c r="C1343" s="59" t="inlineStr">
        <is>
          <t>GH-005</t>
        </is>
      </c>
      <c r="D1343" s="64">
        <f>IFERROR(INDEX(MgNombre,MATCH($C1343,MgActId,0)),"")</f>
        <v/>
      </c>
      <c r="E1343" s="64">
        <f>IFERROR(INDEX(MgProceso,MATCH($C1343,MgActId,0)),"")</f>
        <v/>
      </c>
      <c r="F1343" s="64">
        <f>IFERROR(INDEX(MgTipo,MATCH($C1343,MgActId,0)),"")</f>
        <v/>
      </c>
      <c r="G1343" s="64">
        <f>IFERROR(INDEX(MgSubtipo,MATCH($C1343,MgActId,0)),"")</f>
        <v/>
      </c>
      <c r="H1343" s="59" t="inlineStr">
        <is>
          <t>E.18</t>
        </is>
      </c>
      <c r="I1343" s="64">
        <f>IFERROR(INDEX(MgAmenNombre,MATCH(SUBSTITUTE($H1343,"*","-"),MgAmenClave,0)),"")</f>
        <v/>
      </c>
      <c r="J1343" s="28">
        <f>IFERROR(INDEX(MgAmenGrupo,MATCH(SUBSTITUTE($H1343,"*","-"),MgAmenClave,0)),"")</f>
        <v/>
      </c>
      <c r="K1343" s="64">
        <f>IFERROR(INDEX('1. Matriz de Activos'!$Q$6:$Q$239,MATCH($C1343,MgActId,0)),"")</f>
        <v/>
      </c>
      <c r="L1343" s="64">
        <f>IFERROR(INDEX('1. Matriz de Activos'!$R$6:$R$239,MATCH($C1343,MgActId,0)),"")</f>
        <v/>
      </c>
      <c r="M1343" s="64">
        <f>IFERROR(INDEX('1. Matriz de Activos'!$S$6:$S$239,MATCH($C1343,MgActId,0)),"")</f>
        <v/>
      </c>
      <c r="N1343" s="28">
        <f>IFERROR(INDEX(MgAmenDegD,MATCH(SUBSTITUTE($H1343,"*","-"),MgAmenClave,0)),"No aplica")</f>
        <v/>
      </c>
      <c r="O1343" s="28">
        <f>IFERROR(INDEX(MgAmenDegI,MATCH(SUBSTITUTE($H1343,"*","-"),MgAmenClave,0)),"No aplica")</f>
        <v/>
      </c>
      <c r="P1343" s="28">
        <f>IFERROR(INDEX(MgAmenDegC,MATCH(SUBSTITUTE($H1343,"*","-"),MgAmenClave,0)),"No aplica")</f>
        <v/>
      </c>
      <c r="Q1343" s="29">
        <f>IFERROR(VLOOKUP(K1343,MgValor,2,0)*VLOOKUP(N1343,MgDeg,2,0),0)</f>
        <v/>
      </c>
      <c r="R1343" s="29">
        <f>IFERROR(VLOOKUP(L1343,MgValor,2,0)*VLOOKUP(O1343,MgDeg,2,0),0)</f>
        <v/>
      </c>
      <c r="S1343" s="29">
        <f>IFERROR(VLOOKUP(M1343,MgValor,2,0)*VLOOKUP(P1343,MgDeg,2,0),0)</f>
        <v/>
      </c>
      <c r="T1343" s="30">
        <f>MAX(Q1343:S1343)</f>
        <v/>
      </c>
      <c r="U1343" s="28">
        <f>IFERROR(LOOKUP(T1343,{0;0.5;1.5;3;4.5},{"Despreciable";"Bajo";"Medio";"Alto";"Muy alto"}),"")</f>
        <v/>
      </c>
      <c r="V1343" s="13">
        <f>IFERROR(INDEX(MgAmenFrec,MATCH(SUBSTITUTE($H1343,"*","-"),MgAmenClave,0)),"")</f>
        <v/>
      </c>
      <c r="W1343" s="28">
        <f>IFERROR(LOOKUP(X1343,{0;0.01;0.1;1;10;100},{"Muy baja";"Muy baja";"Baja";"Media";"Alta";"Muy alta"}),"")</f>
        <v/>
      </c>
      <c r="X1343" s="31">
        <f>IFERROR(VLOOKUP(V1343,MgFrec,2,0),0)</f>
        <v/>
      </c>
      <c r="Y1343" s="30">
        <f>T1343*X1343</f>
        <v/>
      </c>
      <c r="Z1343" s="28">
        <f>IFERROR(LOOKUP(Y1343,{0;0.5;5;25},{"Bajo";"Medio";"Alto";"Crítico"}),"")</f>
        <v/>
      </c>
      <c r="AA1343" s="64">
        <f>IF(T1343&gt;=3,IF(X1343&gt;=1,"Zona 1 — Crítica: impacto alto y ocurre al menos una vez al año","Zona 4 — Catastrófica poco probable: impacto alto pero excepcional"),IF(AND(T1343&lt;1.5,X1343&lt;1),"Zona 3 — Asumible: impacto bajo y muy poco frecuente","Zona 2 — Atención: riesgo intermedio"))</f>
        <v/>
      </c>
      <c r="AB1343" s="64">
        <f>IFERROR(INDEX(MgAmenCtrl,MATCH(SUBSTITUTE($H1343,"*","-"),MgAmenClave,0)),"")</f>
        <v/>
      </c>
      <c r="AC1343" s="20" t="n"/>
      <c r="AD1343" s="31">
        <f>IFERROR($X1343*(1-IF($AC1343="",$AL1343,VLOOKUP($AC1343,MgMad,2,0))),"")</f>
        <v/>
      </c>
      <c r="AE1343" s="28">
        <f>IFERROR(LOOKUP(AD1343,{0;0.01;0.1;1;10;100},{"Muy baja";"Muy baja";"Baja";"Media";"Alta";"Muy alta"}),"")</f>
        <v/>
      </c>
      <c r="AF1343" s="30">
        <f>T1343*AD1343</f>
        <v/>
      </c>
      <c r="AG1343" s="28">
        <f>IFERROR(LOOKUP(AF1343,{0;0.5;5;25},{"Bajo";"Medio";"Alto";"Crítico"}),"")</f>
        <v/>
      </c>
      <c r="AH1343" s="28">
        <f>IF(AG1343="","",IF(OR(AG1343="Crítico",AG1343="Alto"),"Mitigar",IF(AG1343="Medio","Mitigar","Aceptar y monitorear")))</f>
        <v/>
      </c>
      <c r="AI1343" s="21" t="n"/>
      <c r="AJ1343" s="21" t="n"/>
      <c r="AK1343" s="20" t="n"/>
      <c r="AL1343" s="77">
        <f>IFERROR(INDEX(MgAmenEfic,MATCH(SUBSTITUTE($H1343,"*","-"),MgAmenClave,0)),0)</f>
        <v/>
      </c>
    </row>
    <row r="1344" hidden="1" ht="105" customHeight="1" s="54">
      <c r="B1344" s="59" t="inlineStr">
        <is>
          <t>R-1339</t>
        </is>
      </c>
      <c r="C1344" s="59" t="inlineStr">
        <is>
          <t>GH-005</t>
        </is>
      </c>
      <c r="D1344" s="64">
        <f>IFERROR(INDEX(MgNombre,MATCH($C1344,MgActId,0)),"")</f>
        <v/>
      </c>
      <c r="E1344" s="64">
        <f>IFERROR(INDEX(MgProceso,MATCH($C1344,MgActId,0)),"")</f>
        <v/>
      </c>
      <c r="F1344" s="64">
        <f>IFERROR(INDEX(MgTipo,MATCH($C1344,MgActId,0)),"")</f>
        <v/>
      </c>
      <c r="G1344" s="64">
        <f>IFERROR(INDEX(MgSubtipo,MATCH($C1344,MgActId,0)),"")</f>
        <v/>
      </c>
      <c r="H1344" s="59" t="inlineStr">
        <is>
          <t>E.19</t>
        </is>
      </c>
      <c r="I1344" s="64">
        <f>IFERROR(INDEX(MgAmenNombre,MATCH(SUBSTITUTE($H1344,"*","-"),MgAmenClave,0)),"")</f>
        <v/>
      </c>
      <c r="J1344" s="28">
        <f>IFERROR(INDEX(MgAmenGrupo,MATCH(SUBSTITUTE($H1344,"*","-"),MgAmenClave,0)),"")</f>
        <v/>
      </c>
      <c r="K1344" s="64">
        <f>IFERROR(INDEX('1. Matriz de Activos'!$Q$6:$Q$239,MATCH($C1344,MgActId,0)),"")</f>
        <v/>
      </c>
      <c r="L1344" s="64">
        <f>IFERROR(INDEX('1. Matriz de Activos'!$R$6:$R$239,MATCH($C1344,MgActId,0)),"")</f>
        <v/>
      </c>
      <c r="M1344" s="64">
        <f>IFERROR(INDEX('1. Matriz de Activos'!$S$6:$S$239,MATCH($C1344,MgActId,0)),"")</f>
        <v/>
      </c>
      <c r="N1344" s="28">
        <f>IFERROR(INDEX(MgAmenDegD,MATCH(SUBSTITUTE($H1344,"*","-"),MgAmenClave,0)),"No aplica")</f>
        <v/>
      </c>
      <c r="O1344" s="28">
        <f>IFERROR(INDEX(MgAmenDegI,MATCH(SUBSTITUTE($H1344,"*","-"),MgAmenClave,0)),"No aplica")</f>
        <v/>
      </c>
      <c r="P1344" s="28">
        <f>IFERROR(INDEX(MgAmenDegC,MATCH(SUBSTITUTE($H1344,"*","-"),MgAmenClave,0)),"No aplica")</f>
        <v/>
      </c>
      <c r="Q1344" s="29">
        <f>IFERROR(VLOOKUP(K1344,MgValor,2,0)*VLOOKUP(N1344,MgDeg,2,0),0)</f>
        <v/>
      </c>
      <c r="R1344" s="29">
        <f>IFERROR(VLOOKUP(L1344,MgValor,2,0)*VLOOKUP(O1344,MgDeg,2,0),0)</f>
        <v/>
      </c>
      <c r="S1344" s="29">
        <f>IFERROR(VLOOKUP(M1344,MgValor,2,0)*VLOOKUP(P1344,MgDeg,2,0),0)</f>
        <v/>
      </c>
      <c r="T1344" s="30">
        <f>MAX(Q1344:S1344)</f>
        <v/>
      </c>
      <c r="U1344" s="28">
        <f>IFERROR(LOOKUP(T1344,{0;0.5;1.5;3;4.5},{"Despreciable";"Bajo";"Medio";"Alto";"Muy alto"}),"")</f>
        <v/>
      </c>
      <c r="V1344" s="13">
        <f>IFERROR(INDEX(MgAmenFrec,MATCH(SUBSTITUTE($H1344,"*","-"),MgAmenClave,0)),"")</f>
        <v/>
      </c>
      <c r="W1344" s="28">
        <f>IFERROR(LOOKUP(X1344,{0;0.01;0.1;1;10;100},{"Muy baja";"Muy baja";"Baja";"Media";"Alta";"Muy alta"}),"")</f>
        <v/>
      </c>
      <c r="X1344" s="31">
        <f>IFERROR(VLOOKUP(V1344,MgFrec,2,0),0)</f>
        <v/>
      </c>
      <c r="Y1344" s="30">
        <f>T1344*X1344</f>
        <v/>
      </c>
      <c r="Z1344" s="28">
        <f>IFERROR(LOOKUP(Y1344,{0;0.5;5;25},{"Bajo";"Medio";"Alto";"Crítico"}),"")</f>
        <v/>
      </c>
      <c r="AA1344" s="64">
        <f>IF(T1344&gt;=3,IF(X1344&gt;=1,"Zona 1 — Crítica: impacto alto y ocurre al menos una vez al año","Zona 4 — Catastrófica poco probable: impacto alto pero excepcional"),IF(AND(T1344&lt;1.5,X1344&lt;1),"Zona 3 — Asumible: impacto bajo y muy poco frecuente","Zona 2 — Atención: riesgo intermedio"))</f>
        <v/>
      </c>
      <c r="AB1344" s="64">
        <f>IFERROR(INDEX(MgAmenCtrl,MATCH(SUBSTITUTE($H1344,"*","-"),MgAmenClave,0)),"")</f>
        <v/>
      </c>
      <c r="AC1344" s="20" t="n"/>
      <c r="AD1344" s="31">
        <f>IFERROR($X1344*(1-IF($AC1344="",$AL1344,VLOOKUP($AC1344,MgMad,2,0))),"")</f>
        <v/>
      </c>
      <c r="AE1344" s="28">
        <f>IFERROR(LOOKUP(AD1344,{0;0.01;0.1;1;10;100},{"Muy baja";"Muy baja";"Baja";"Media";"Alta";"Muy alta"}),"")</f>
        <v/>
      </c>
      <c r="AF1344" s="30">
        <f>T1344*AD1344</f>
        <v/>
      </c>
      <c r="AG1344" s="28">
        <f>IFERROR(LOOKUP(AF1344,{0;0.5;5;25},{"Bajo";"Medio";"Alto";"Crítico"}),"")</f>
        <v/>
      </c>
      <c r="AH1344" s="28">
        <f>IF(AG1344="","",IF(OR(AG1344="Crítico",AG1344="Alto"),"Mitigar",IF(AG1344="Medio","Mitigar","Aceptar y monitorear")))</f>
        <v/>
      </c>
      <c r="AI1344" s="21" t="n"/>
      <c r="AJ1344" s="21" t="n"/>
      <c r="AK1344" s="20" t="n"/>
      <c r="AL1344" s="77">
        <f>IFERROR(INDEX(MgAmenEfic,MATCH(SUBSTITUTE($H1344,"*","-"),MgAmenClave,0)),0)</f>
        <v/>
      </c>
    </row>
    <row r="1345" hidden="1" ht="60" customHeight="1" s="54">
      <c r="B1345" s="59" t="inlineStr">
        <is>
          <t>R-1340</t>
        </is>
      </c>
      <c r="C1345" s="59" t="inlineStr">
        <is>
          <t>GH-005</t>
        </is>
      </c>
      <c r="D1345" s="64">
        <f>IFERROR(INDEX(MgNombre,MATCH($C1345,MgActId,0)),"")</f>
        <v/>
      </c>
      <c r="E1345" s="64">
        <f>IFERROR(INDEX(MgProceso,MATCH($C1345,MgActId,0)),"")</f>
        <v/>
      </c>
      <c r="F1345" s="64">
        <f>IFERROR(INDEX(MgTipo,MATCH($C1345,MgActId,0)),"")</f>
        <v/>
      </c>
      <c r="G1345" s="64">
        <f>IFERROR(INDEX(MgSubtipo,MATCH($C1345,MgActId,0)),"")</f>
        <v/>
      </c>
      <c r="H1345" s="59" t="inlineStr">
        <is>
          <t>A.3</t>
        </is>
      </c>
      <c r="I1345" s="64">
        <f>IFERROR(INDEX(MgAmenNombre,MATCH(SUBSTITUTE($H1345,"*","-"),MgAmenClave,0)),"")</f>
        <v/>
      </c>
      <c r="J1345" s="28">
        <f>IFERROR(INDEX(MgAmenGrupo,MATCH(SUBSTITUTE($H1345,"*","-"),MgAmenClave,0)),"")</f>
        <v/>
      </c>
      <c r="K1345" s="64">
        <f>IFERROR(INDEX('1. Matriz de Activos'!$Q$6:$Q$239,MATCH($C1345,MgActId,0)),"")</f>
        <v/>
      </c>
      <c r="L1345" s="64">
        <f>IFERROR(INDEX('1. Matriz de Activos'!$R$6:$R$239,MATCH($C1345,MgActId,0)),"")</f>
        <v/>
      </c>
      <c r="M1345" s="64">
        <f>IFERROR(INDEX('1. Matriz de Activos'!$S$6:$S$239,MATCH($C1345,MgActId,0)),"")</f>
        <v/>
      </c>
      <c r="N1345" s="28">
        <f>IFERROR(INDEX(MgAmenDegD,MATCH(SUBSTITUTE($H1345,"*","-"),MgAmenClave,0)),"No aplica")</f>
        <v/>
      </c>
      <c r="O1345" s="28">
        <f>IFERROR(INDEX(MgAmenDegI,MATCH(SUBSTITUTE($H1345,"*","-"),MgAmenClave,0)),"No aplica")</f>
        <v/>
      </c>
      <c r="P1345" s="28">
        <f>IFERROR(INDEX(MgAmenDegC,MATCH(SUBSTITUTE($H1345,"*","-"),MgAmenClave,0)),"No aplica")</f>
        <v/>
      </c>
      <c r="Q1345" s="29">
        <f>IFERROR(VLOOKUP(K1345,MgValor,2,0)*VLOOKUP(N1345,MgDeg,2,0),0)</f>
        <v/>
      </c>
      <c r="R1345" s="29">
        <f>IFERROR(VLOOKUP(L1345,MgValor,2,0)*VLOOKUP(O1345,MgDeg,2,0),0)</f>
        <v/>
      </c>
      <c r="S1345" s="29">
        <f>IFERROR(VLOOKUP(M1345,MgValor,2,0)*VLOOKUP(P1345,MgDeg,2,0),0)</f>
        <v/>
      </c>
      <c r="T1345" s="30">
        <f>MAX(Q1345:S1345)</f>
        <v/>
      </c>
      <c r="U1345" s="28">
        <f>IFERROR(LOOKUP(T1345,{0;0.5;1.5;3;4.5},{"Despreciable";"Bajo";"Medio";"Alto";"Muy alto"}),"")</f>
        <v/>
      </c>
      <c r="V1345" s="13">
        <f>IFERROR(INDEX(MgAmenFrec,MATCH(SUBSTITUTE($H1345,"*","-"),MgAmenClave,0)),"")</f>
        <v/>
      </c>
      <c r="W1345" s="28">
        <f>IFERROR(LOOKUP(X1345,{0;0.01;0.1;1;10;100},{"Muy baja";"Muy baja";"Baja";"Media";"Alta";"Muy alta"}),"")</f>
        <v/>
      </c>
      <c r="X1345" s="31">
        <f>IFERROR(VLOOKUP(V1345,MgFrec,2,0),0)</f>
        <v/>
      </c>
      <c r="Y1345" s="30">
        <f>T1345*X1345</f>
        <v/>
      </c>
      <c r="Z1345" s="28">
        <f>IFERROR(LOOKUP(Y1345,{0;0.5;5;25},{"Bajo";"Medio";"Alto";"Crítico"}),"")</f>
        <v/>
      </c>
      <c r="AA1345" s="64">
        <f>IF(T1345&gt;=3,IF(X1345&gt;=1,"Zona 1 — Crítica: impacto alto y ocurre al menos una vez al año","Zona 4 — Catastrófica poco probable: impacto alto pero excepcional"),IF(AND(T1345&lt;1.5,X1345&lt;1),"Zona 3 — Asumible: impacto bajo y muy poco frecuente","Zona 2 — Atención: riesgo intermedio"))</f>
        <v/>
      </c>
      <c r="AB1345" s="64">
        <f>IFERROR(INDEX(MgAmenCtrl,MATCH(SUBSTITUTE($H1345,"*","-"),MgAmenClave,0)),"")</f>
        <v/>
      </c>
      <c r="AC1345" s="20" t="n"/>
      <c r="AD1345" s="31">
        <f>IFERROR($X1345*(1-IF($AC1345="",$AL1345,VLOOKUP($AC1345,MgMad,2,0))),"")</f>
        <v/>
      </c>
      <c r="AE1345" s="28">
        <f>IFERROR(LOOKUP(AD1345,{0;0.01;0.1;1;10;100},{"Muy baja";"Muy baja";"Baja";"Media";"Alta";"Muy alta"}),"")</f>
        <v/>
      </c>
      <c r="AF1345" s="30">
        <f>T1345*AD1345</f>
        <v/>
      </c>
      <c r="AG1345" s="28">
        <f>IFERROR(LOOKUP(AF1345,{0;0.5;5;25},{"Bajo";"Medio";"Alto";"Crítico"}),"")</f>
        <v/>
      </c>
      <c r="AH1345" s="28">
        <f>IF(AG1345="","",IF(OR(AG1345="Crítico",AG1345="Alto"),"Mitigar",IF(AG1345="Medio","Mitigar","Aceptar y monitorear")))</f>
        <v/>
      </c>
      <c r="AI1345" s="21" t="n"/>
      <c r="AJ1345" s="21" t="n"/>
      <c r="AK1345" s="20" t="n"/>
      <c r="AL1345" s="77">
        <f>IFERROR(INDEX(MgAmenEfic,MATCH(SUBSTITUTE($H1345,"*","-"),MgAmenClave,0)),0)</f>
        <v/>
      </c>
    </row>
    <row r="1346" hidden="1" ht="60" customHeight="1" s="54">
      <c r="B1346" s="59" t="inlineStr">
        <is>
          <t>R-1341</t>
        </is>
      </c>
      <c r="C1346" s="59" t="inlineStr">
        <is>
          <t>GH-005</t>
        </is>
      </c>
      <c r="D1346" s="64">
        <f>IFERROR(INDEX(MgNombre,MATCH($C1346,MgActId,0)),"")</f>
        <v/>
      </c>
      <c r="E1346" s="64">
        <f>IFERROR(INDEX(MgProceso,MATCH($C1346,MgActId,0)),"")</f>
        <v/>
      </c>
      <c r="F1346" s="64">
        <f>IFERROR(INDEX(MgTipo,MATCH($C1346,MgActId,0)),"")</f>
        <v/>
      </c>
      <c r="G1346" s="64">
        <f>IFERROR(INDEX(MgSubtipo,MATCH($C1346,MgActId,0)),"")</f>
        <v/>
      </c>
      <c r="H1346" s="59" t="inlineStr">
        <is>
          <t>A.4</t>
        </is>
      </c>
      <c r="I1346" s="64">
        <f>IFERROR(INDEX(MgAmenNombre,MATCH(SUBSTITUTE($H1346,"*","-"),MgAmenClave,0)),"")</f>
        <v/>
      </c>
      <c r="J1346" s="28">
        <f>IFERROR(INDEX(MgAmenGrupo,MATCH(SUBSTITUTE($H1346,"*","-"),MgAmenClave,0)),"")</f>
        <v/>
      </c>
      <c r="K1346" s="64">
        <f>IFERROR(INDEX('1. Matriz de Activos'!$Q$6:$Q$239,MATCH($C1346,MgActId,0)),"")</f>
        <v/>
      </c>
      <c r="L1346" s="64">
        <f>IFERROR(INDEX('1. Matriz de Activos'!$R$6:$R$239,MATCH($C1346,MgActId,0)),"")</f>
        <v/>
      </c>
      <c r="M1346" s="64">
        <f>IFERROR(INDEX('1. Matriz de Activos'!$S$6:$S$239,MATCH($C1346,MgActId,0)),"")</f>
        <v/>
      </c>
      <c r="N1346" s="28">
        <f>IFERROR(INDEX(MgAmenDegD,MATCH(SUBSTITUTE($H1346,"*","-"),MgAmenClave,0)),"No aplica")</f>
        <v/>
      </c>
      <c r="O1346" s="28">
        <f>IFERROR(INDEX(MgAmenDegI,MATCH(SUBSTITUTE($H1346,"*","-"),MgAmenClave,0)),"No aplica")</f>
        <v/>
      </c>
      <c r="P1346" s="28">
        <f>IFERROR(INDEX(MgAmenDegC,MATCH(SUBSTITUTE($H1346,"*","-"),MgAmenClave,0)),"No aplica")</f>
        <v/>
      </c>
      <c r="Q1346" s="29">
        <f>IFERROR(VLOOKUP(K1346,MgValor,2,0)*VLOOKUP(N1346,MgDeg,2,0),0)</f>
        <v/>
      </c>
      <c r="R1346" s="29">
        <f>IFERROR(VLOOKUP(L1346,MgValor,2,0)*VLOOKUP(O1346,MgDeg,2,0),0)</f>
        <v/>
      </c>
      <c r="S1346" s="29">
        <f>IFERROR(VLOOKUP(M1346,MgValor,2,0)*VLOOKUP(P1346,MgDeg,2,0),0)</f>
        <v/>
      </c>
      <c r="T1346" s="30">
        <f>MAX(Q1346:S1346)</f>
        <v/>
      </c>
      <c r="U1346" s="28">
        <f>IFERROR(LOOKUP(T1346,{0;0.5;1.5;3;4.5},{"Despreciable";"Bajo";"Medio";"Alto";"Muy alto"}),"")</f>
        <v/>
      </c>
      <c r="V1346" s="13">
        <f>IFERROR(INDEX(MgAmenFrec,MATCH(SUBSTITUTE($H1346,"*","-"),MgAmenClave,0)),"")</f>
        <v/>
      </c>
      <c r="W1346" s="28">
        <f>IFERROR(LOOKUP(X1346,{0;0.01;0.1;1;10;100},{"Muy baja";"Muy baja";"Baja";"Media";"Alta";"Muy alta"}),"")</f>
        <v/>
      </c>
      <c r="X1346" s="31">
        <f>IFERROR(VLOOKUP(V1346,MgFrec,2,0),0)</f>
        <v/>
      </c>
      <c r="Y1346" s="30">
        <f>T1346*X1346</f>
        <v/>
      </c>
      <c r="Z1346" s="28">
        <f>IFERROR(LOOKUP(Y1346,{0;0.5;5;25},{"Bajo";"Medio";"Alto";"Crítico"}),"")</f>
        <v/>
      </c>
      <c r="AA1346" s="64">
        <f>IF(T1346&gt;=3,IF(X1346&gt;=1,"Zona 1 — Crítica: impacto alto y ocurre al menos una vez al año","Zona 4 — Catastrófica poco probable: impacto alto pero excepcional"),IF(AND(T1346&lt;1.5,X1346&lt;1),"Zona 3 — Asumible: impacto bajo y muy poco frecuente","Zona 2 — Atención: riesgo intermedio"))</f>
        <v/>
      </c>
      <c r="AB1346" s="64">
        <f>IFERROR(INDEX(MgAmenCtrl,MATCH(SUBSTITUTE($H1346,"*","-"),MgAmenClave,0)),"")</f>
        <v/>
      </c>
      <c r="AC1346" s="20" t="n"/>
      <c r="AD1346" s="31">
        <f>IFERROR($X1346*(1-IF($AC1346="",$AL1346,VLOOKUP($AC1346,MgMad,2,0))),"")</f>
        <v/>
      </c>
      <c r="AE1346" s="28">
        <f>IFERROR(LOOKUP(AD1346,{0;0.01;0.1;1;10;100},{"Muy baja";"Muy baja";"Baja";"Media";"Alta";"Muy alta"}),"")</f>
        <v/>
      </c>
      <c r="AF1346" s="30">
        <f>T1346*AD1346</f>
        <v/>
      </c>
      <c r="AG1346" s="28">
        <f>IFERROR(LOOKUP(AF1346,{0;0.5;5;25},{"Bajo";"Medio";"Alto";"Crítico"}),"")</f>
        <v/>
      </c>
      <c r="AH1346" s="28">
        <f>IF(AG1346="","",IF(OR(AG1346="Crítico",AG1346="Alto"),"Mitigar",IF(AG1346="Medio","Mitigar","Aceptar y monitorear")))</f>
        <v/>
      </c>
      <c r="AI1346" s="21" t="n"/>
      <c r="AJ1346" s="21" t="n"/>
      <c r="AK1346" s="20" t="n"/>
      <c r="AL1346" s="77">
        <f>IFERROR(INDEX(MgAmenEfic,MATCH(SUBSTITUTE($H1346,"*","-"),MgAmenClave,0)),0)</f>
        <v/>
      </c>
    </row>
    <row r="1347" hidden="1" ht="75" customHeight="1" s="54">
      <c r="B1347" s="59" t="inlineStr">
        <is>
          <t>R-1342</t>
        </is>
      </c>
      <c r="C1347" s="59" t="inlineStr">
        <is>
          <t>GH-005</t>
        </is>
      </c>
      <c r="D1347" s="64">
        <f>IFERROR(INDEX(MgNombre,MATCH($C1347,MgActId,0)),"")</f>
        <v/>
      </c>
      <c r="E1347" s="64">
        <f>IFERROR(INDEX(MgProceso,MATCH($C1347,MgActId,0)),"")</f>
        <v/>
      </c>
      <c r="F1347" s="64">
        <f>IFERROR(INDEX(MgTipo,MATCH($C1347,MgActId,0)),"")</f>
        <v/>
      </c>
      <c r="G1347" s="64">
        <f>IFERROR(INDEX(MgSubtipo,MATCH($C1347,MgActId,0)),"")</f>
        <v/>
      </c>
      <c r="H1347" s="59" t="inlineStr">
        <is>
          <t>A.5</t>
        </is>
      </c>
      <c r="I1347" s="64">
        <f>IFERROR(INDEX(MgAmenNombre,MATCH(SUBSTITUTE($H1347,"*","-"),MgAmenClave,0)),"")</f>
        <v/>
      </c>
      <c r="J1347" s="28">
        <f>IFERROR(INDEX(MgAmenGrupo,MATCH(SUBSTITUTE($H1347,"*","-"),MgAmenClave,0)),"")</f>
        <v/>
      </c>
      <c r="K1347" s="64">
        <f>IFERROR(INDEX('1. Matriz de Activos'!$Q$6:$Q$239,MATCH($C1347,MgActId,0)),"")</f>
        <v/>
      </c>
      <c r="L1347" s="64">
        <f>IFERROR(INDEX('1. Matriz de Activos'!$R$6:$R$239,MATCH($C1347,MgActId,0)),"")</f>
        <v/>
      </c>
      <c r="M1347" s="64">
        <f>IFERROR(INDEX('1. Matriz de Activos'!$S$6:$S$239,MATCH($C1347,MgActId,0)),"")</f>
        <v/>
      </c>
      <c r="N1347" s="28">
        <f>IFERROR(INDEX(MgAmenDegD,MATCH(SUBSTITUTE($H1347,"*","-"),MgAmenClave,0)),"No aplica")</f>
        <v/>
      </c>
      <c r="O1347" s="28">
        <f>IFERROR(INDEX(MgAmenDegI,MATCH(SUBSTITUTE($H1347,"*","-"),MgAmenClave,0)),"No aplica")</f>
        <v/>
      </c>
      <c r="P1347" s="28">
        <f>IFERROR(INDEX(MgAmenDegC,MATCH(SUBSTITUTE($H1347,"*","-"),MgAmenClave,0)),"No aplica")</f>
        <v/>
      </c>
      <c r="Q1347" s="29">
        <f>IFERROR(VLOOKUP(K1347,MgValor,2,0)*VLOOKUP(N1347,MgDeg,2,0),0)</f>
        <v/>
      </c>
      <c r="R1347" s="29">
        <f>IFERROR(VLOOKUP(L1347,MgValor,2,0)*VLOOKUP(O1347,MgDeg,2,0),0)</f>
        <v/>
      </c>
      <c r="S1347" s="29">
        <f>IFERROR(VLOOKUP(M1347,MgValor,2,0)*VLOOKUP(P1347,MgDeg,2,0),0)</f>
        <v/>
      </c>
      <c r="T1347" s="30">
        <f>MAX(Q1347:S1347)</f>
        <v/>
      </c>
      <c r="U1347" s="28">
        <f>IFERROR(LOOKUP(T1347,{0;0.5;1.5;3;4.5},{"Despreciable";"Bajo";"Medio";"Alto";"Muy alto"}),"")</f>
        <v/>
      </c>
      <c r="V1347" s="13">
        <f>IFERROR(INDEX(MgAmenFrec,MATCH(SUBSTITUTE($H1347,"*","-"),MgAmenClave,0)),"")</f>
        <v/>
      </c>
      <c r="W1347" s="28">
        <f>IFERROR(LOOKUP(X1347,{0;0.01;0.1;1;10;100},{"Muy baja";"Muy baja";"Baja";"Media";"Alta";"Muy alta"}),"")</f>
        <v/>
      </c>
      <c r="X1347" s="31">
        <f>IFERROR(VLOOKUP(V1347,MgFrec,2,0),0)</f>
        <v/>
      </c>
      <c r="Y1347" s="30">
        <f>T1347*X1347</f>
        <v/>
      </c>
      <c r="Z1347" s="28">
        <f>IFERROR(LOOKUP(Y1347,{0;0.5;5;25},{"Bajo";"Medio";"Alto";"Crítico"}),"")</f>
        <v/>
      </c>
      <c r="AA1347" s="64">
        <f>IF(T1347&gt;=3,IF(X1347&gt;=1,"Zona 1 — Crítica: impacto alto y ocurre al menos una vez al año","Zona 4 — Catastrófica poco probable: impacto alto pero excepcional"),IF(AND(T1347&lt;1.5,X1347&lt;1),"Zona 3 — Asumible: impacto bajo y muy poco frecuente","Zona 2 — Atención: riesgo intermedio"))</f>
        <v/>
      </c>
      <c r="AB1347" s="64">
        <f>IFERROR(INDEX(MgAmenCtrl,MATCH(SUBSTITUTE($H1347,"*","-"),MgAmenClave,0)),"")</f>
        <v/>
      </c>
      <c r="AC1347" s="20" t="n"/>
      <c r="AD1347" s="31">
        <f>IFERROR($X1347*(1-IF($AC1347="",$AL1347,VLOOKUP($AC1347,MgMad,2,0))),"")</f>
        <v/>
      </c>
      <c r="AE1347" s="28">
        <f>IFERROR(LOOKUP(AD1347,{0;0.01;0.1;1;10;100},{"Muy baja";"Muy baja";"Baja";"Media";"Alta";"Muy alta"}),"")</f>
        <v/>
      </c>
      <c r="AF1347" s="30">
        <f>T1347*AD1347</f>
        <v/>
      </c>
      <c r="AG1347" s="28">
        <f>IFERROR(LOOKUP(AF1347,{0;0.5;5;25},{"Bajo";"Medio";"Alto";"Crítico"}),"")</f>
        <v/>
      </c>
      <c r="AH1347" s="28">
        <f>IF(AG1347="","",IF(OR(AG1347="Crítico",AG1347="Alto"),"Mitigar",IF(AG1347="Medio","Mitigar","Aceptar y monitorear")))</f>
        <v/>
      </c>
      <c r="AI1347" s="21" t="n"/>
      <c r="AJ1347" s="21" t="n"/>
      <c r="AK1347" s="20" t="n"/>
      <c r="AL1347" s="77">
        <f>IFERROR(INDEX(MgAmenEfic,MATCH(SUBSTITUTE($H1347,"*","-"),MgAmenClave,0)),0)</f>
        <v/>
      </c>
    </row>
    <row r="1348" hidden="1" ht="105" customHeight="1" s="54">
      <c r="B1348" s="59" t="inlineStr">
        <is>
          <t>R-1343</t>
        </is>
      </c>
      <c r="C1348" s="59" t="inlineStr">
        <is>
          <t>GH-005</t>
        </is>
      </c>
      <c r="D1348" s="64">
        <f>IFERROR(INDEX(MgNombre,MATCH($C1348,MgActId,0)),"")</f>
        <v/>
      </c>
      <c r="E1348" s="64">
        <f>IFERROR(INDEX(MgProceso,MATCH($C1348,MgActId,0)),"")</f>
        <v/>
      </c>
      <c r="F1348" s="64">
        <f>IFERROR(INDEX(MgTipo,MATCH($C1348,MgActId,0)),"")</f>
        <v/>
      </c>
      <c r="G1348" s="64">
        <f>IFERROR(INDEX(MgSubtipo,MATCH($C1348,MgActId,0)),"")</f>
        <v/>
      </c>
      <c r="H1348" s="59" t="inlineStr">
        <is>
          <t>A.6</t>
        </is>
      </c>
      <c r="I1348" s="64">
        <f>IFERROR(INDEX(MgAmenNombre,MATCH(SUBSTITUTE($H1348,"*","-"),MgAmenClave,0)),"")</f>
        <v/>
      </c>
      <c r="J1348" s="28">
        <f>IFERROR(INDEX(MgAmenGrupo,MATCH(SUBSTITUTE($H1348,"*","-"),MgAmenClave,0)),"")</f>
        <v/>
      </c>
      <c r="K1348" s="64">
        <f>IFERROR(INDEX('1. Matriz de Activos'!$Q$6:$Q$239,MATCH($C1348,MgActId,0)),"")</f>
        <v/>
      </c>
      <c r="L1348" s="64">
        <f>IFERROR(INDEX('1. Matriz de Activos'!$R$6:$R$239,MATCH($C1348,MgActId,0)),"")</f>
        <v/>
      </c>
      <c r="M1348" s="64">
        <f>IFERROR(INDEX('1. Matriz de Activos'!$S$6:$S$239,MATCH($C1348,MgActId,0)),"")</f>
        <v/>
      </c>
      <c r="N1348" s="28">
        <f>IFERROR(INDEX(MgAmenDegD,MATCH(SUBSTITUTE($H1348,"*","-"),MgAmenClave,0)),"No aplica")</f>
        <v/>
      </c>
      <c r="O1348" s="28">
        <f>IFERROR(INDEX(MgAmenDegI,MATCH(SUBSTITUTE($H1348,"*","-"),MgAmenClave,0)),"No aplica")</f>
        <v/>
      </c>
      <c r="P1348" s="28">
        <f>IFERROR(INDEX(MgAmenDegC,MATCH(SUBSTITUTE($H1348,"*","-"),MgAmenClave,0)),"No aplica")</f>
        <v/>
      </c>
      <c r="Q1348" s="29">
        <f>IFERROR(VLOOKUP(K1348,MgValor,2,0)*VLOOKUP(N1348,MgDeg,2,0),0)</f>
        <v/>
      </c>
      <c r="R1348" s="29">
        <f>IFERROR(VLOOKUP(L1348,MgValor,2,0)*VLOOKUP(O1348,MgDeg,2,0),0)</f>
        <v/>
      </c>
      <c r="S1348" s="29">
        <f>IFERROR(VLOOKUP(M1348,MgValor,2,0)*VLOOKUP(P1348,MgDeg,2,0),0)</f>
        <v/>
      </c>
      <c r="T1348" s="30">
        <f>MAX(Q1348:S1348)</f>
        <v/>
      </c>
      <c r="U1348" s="28">
        <f>IFERROR(LOOKUP(T1348,{0;0.5;1.5;3;4.5},{"Despreciable";"Bajo";"Medio";"Alto";"Muy alto"}),"")</f>
        <v/>
      </c>
      <c r="V1348" s="13">
        <f>IFERROR(INDEX(MgAmenFrec,MATCH(SUBSTITUTE($H1348,"*","-"),MgAmenClave,0)),"")</f>
        <v/>
      </c>
      <c r="W1348" s="28">
        <f>IFERROR(LOOKUP(X1348,{0;0.01;0.1;1;10;100},{"Muy baja";"Muy baja";"Baja";"Media";"Alta";"Muy alta"}),"")</f>
        <v/>
      </c>
      <c r="X1348" s="31">
        <f>IFERROR(VLOOKUP(V1348,MgFrec,2,0),0)</f>
        <v/>
      </c>
      <c r="Y1348" s="30">
        <f>T1348*X1348</f>
        <v/>
      </c>
      <c r="Z1348" s="28">
        <f>IFERROR(LOOKUP(Y1348,{0;0.5;5;25},{"Bajo";"Medio";"Alto";"Crítico"}),"")</f>
        <v/>
      </c>
      <c r="AA1348" s="64">
        <f>IF(T1348&gt;=3,IF(X1348&gt;=1,"Zona 1 — Crítica: impacto alto y ocurre al menos una vez al año","Zona 4 — Catastrófica poco probable: impacto alto pero excepcional"),IF(AND(T1348&lt;1.5,X1348&lt;1),"Zona 3 — Asumible: impacto bajo y muy poco frecuente","Zona 2 — Atención: riesgo intermedio"))</f>
        <v/>
      </c>
      <c r="AB1348" s="64">
        <f>IFERROR(INDEX(MgAmenCtrl,MATCH(SUBSTITUTE($H1348,"*","-"),MgAmenClave,0)),"")</f>
        <v/>
      </c>
      <c r="AC1348" s="20" t="n"/>
      <c r="AD1348" s="31">
        <f>IFERROR($X1348*(1-IF($AC1348="",$AL1348,VLOOKUP($AC1348,MgMad,2,0))),"")</f>
        <v/>
      </c>
      <c r="AE1348" s="28">
        <f>IFERROR(LOOKUP(AD1348,{0;0.01;0.1;1;10;100},{"Muy baja";"Muy baja";"Baja";"Media";"Alta";"Muy alta"}),"")</f>
        <v/>
      </c>
      <c r="AF1348" s="30">
        <f>T1348*AD1348</f>
        <v/>
      </c>
      <c r="AG1348" s="28">
        <f>IFERROR(LOOKUP(AF1348,{0;0.5;5;25},{"Bajo";"Medio";"Alto";"Crítico"}),"")</f>
        <v/>
      </c>
      <c r="AH1348" s="28">
        <f>IF(AG1348="","",IF(OR(AG1348="Crítico",AG1348="Alto"),"Mitigar",IF(AG1348="Medio","Mitigar","Aceptar y monitorear")))</f>
        <v/>
      </c>
      <c r="AI1348" s="21" t="n"/>
      <c r="AJ1348" s="21" t="n"/>
      <c r="AK1348" s="20" t="n"/>
      <c r="AL1348" s="77">
        <f>IFERROR(INDEX(MgAmenEfic,MATCH(SUBSTITUTE($H1348,"*","-"),MgAmenClave,0)),0)</f>
        <v/>
      </c>
    </row>
    <row r="1349" hidden="1" ht="120" customHeight="1" s="54">
      <c r="B1349" s="59" t="inlineStr">
        <is>
          <t>R-1344</t>
        </is>
      </c>
      <c r="C1349" s="59" t="inlineStr">
        <is>
          <t>GH-005</t>
        </is>
      </c>
      <c r="D1349" s="64">
        <f>IFERROR(INDEX(MgNombre,MATCH($C1349,MgActId,0)),"")</f>
        <v/>
      </c>
      <c r="E1349" s="64">
        <f>IFERROR(INDEX(MgProceso,MATCH($C1349,MgActId,0)),"")</f>
        <v/>
      </c>
      <c r="F1349" s="64">
        <f>IFERROR(INDEX(MgTipo,MATCH($C1349,MgActId,0)),"")</f>
        <v/>
      </c>
      <c r="G1349" s="64">
        <f>IFERROR(INDEX(MgSubtipo,MATCH($C1349,MgActId,0)),"")</f>
        <v/>
      </c>
      <c r="H1349" s="59" t="inlineStr">
        <is>
          <t>A.11</t>
        </is>
      </c>
      <c r="I1349" s="64">
        <f>IFERROR(INDEX(MgAmenNombre,MATCH(SUBSTITUTE($H1349,"*","-"),MgAmenClave,0)),"")</f>
        <v/>
      </c>
      <c r="J1349" s="28">
        <f>IFERROR(INDEX(MgAmenGrupo,MATCH(SUBSTITUTE($H1349,"*","-"),MgAmenClave,0)),"")</f>
        <v/>
      </c>
      <c r="K1349" s="64">
        <f>IFERROR(INDEX('1. Matriz de Activos'!$Q$6:$Q$239,MATCH($C1349,MgActId,0)),"")</f>
        <v/>
      </c>
      <c r="L1349" s="64">
        <f>IFERROR(INDEX('1. Matriz de Activos'!$R$6:$R$239,MATCH($C1349,MgActId,0)),"")</f>
        <v/>
      </c>
      <c r="M1349" s="64">
        <f>IFERROR(INDEX('1. Matriz de Activos'!$S$6:$S$239,MATCH($C1349,MgActId,0)),"")</f>
        <v/>
      </c>
      <c r="N1349" s="28">
        <f>IFERROR(INDEX(MgAmenDegD,MATCH(SUBSTITUTE($H1349,"*","-"),MgAmenClave,0)),"No aplica")</f>
        <v/>
      </c>
      <c r="O1349" s="28">
        <f>IFERROR(INDEX(MgAmenDegI,MATCH(SUBSTITUTE($H1349,"*","-"),MgAmenClave,0)),"No aplica")</f>
        <v/>
      </c>
      <c r="P1349" s="28">
        <f>IFERROR(INDEX(MgAmenDegC,MATCH(SUBSTITUTE($H1349,"*","-"),MgAmenClave,0)),"No aplica")</f>
        <v/>
      </c>
      <c r="Q1349" s="29">
        <f>IFERROR(VLOOKUP(K1349,MgValor,2,0)*VLOOKUP(N1349,MgDeg,2,0),0)</f>
        <v/>
      </c>
      <c r="R1349" s="29">
        <f>IFERROR(VLOOKUP(L1349,MgValor,2,0)*VLOOKUP(O1349,MgDeg,2,0),0)</f>
        <v/>
      </c>
      <c r="S1349" s="29">
        <f>IFERROR(VLOOKUP(M1349,MgValor,2,0)*VLOOKUP(P1349,MgDeg,2,0),0)</f>
        <v/>
      </c>
      <c r="T1349" s="30">
        <f>MAX(Q1349:S1349)</f>
        <v/>
      </c>
      <c r="U1349" s="28">
        <f>IFERROR(LOOKUP(T1349,{0;0.5;1.5;3;4.5},{"Despreciable";"Bajo";"Medio";"Alto";"Muy alto"}),"")</f>
        <v/>
      </c>
      <c r="V1349" s="13">
        <f>IFERROR(INDEX(MgAmenFrec,MATCH(SUBSTITUTE($H1349,"*","-"),MgAmenClave,0)),"")</f>
        <v/>
      </c>
      <c r="W1349" s="28">
        <f>IFERROR(LOOKUP(X1349,{0;0.01;0.1;1;10;100},{"Muy baja";"Muy baja";"Baja";"Media";"Alta";"Muy alta"}),"")</f>
        <v/>
      </c>
      <c r="X1349" s="31">
        <f>IFERROR(VLOOKUP(V1349,MgFrec,2,0),0)</f>
        <v/>
      </c>
      <c r="Y1349" s="30">
        <f>T1349*X1349</f>
        <v/>
      </c>
      <c r="Z1349" s="28">
        <f>IFERROR(LOOKUP(Y1349,{0;0.5;5;25},{"Bajo";"Medio";"Alto";"Crítico"}),"")</f>
        <v/>
      </c>
      <c r="AA1349" s="64">
        <f>IF(T1349&gt;=3,IF(X1349&gt;=1,"Zona 1 — Crítica: impacto alto y ocurre al menos una vez al año","Zona 4 — Catastrófica poco probable: impacto alto pero excepcional"),IF(AND(T1349&lt;1.5,X1349&lt;1),"Zona 3 — Asumible: impacto bajo y muy poco frecuente","Zona 2 — Atención: riesgo intermedio"))</f>
        <v/>
      </c>
      <c r="AB1349" s="64">
        <f>IFERROR(INDEX(MgAmenCtrl,MATCH(SUBSTITUTE($H1349,"*","-"),MgAmenClave,0)),"")</f>
        <v/>
      </c>
      <c r="AC1349" s="20" t="n"/>
      <c r="AD1349" s="31">
        <f>IFERROR($X1349*(1-IF($AC1349="",$AL1349,VLOOKUP($AC1349,MgMad,2,0))),"")</f>
        <v/>
      </c>
      <c r="AE1349" s="28">
        <f>IFERROR(LOOKUP(AD1349,{0;0.01;0.1;1;10;100},{"Muy baja";"Muy baja";"Baja";"Media";"Alta";"Muy alta"}),"")</f>
        <v/>
      </c>
      <c r="AF1349" s="30">
        <f>T1349*AD1349</f>
        <v/>
      </c>
      <c r="AG1349" s="28">
        <f>IFERROR(LOOKUP(AF1349,{0;0.5;5;25},{"Bajo";"Medio";"Alto";"Crítico"}),"")</f>
        <v/>
      </c>
      <c r="AH1349" s="28">
        <f>IF(AG1349="","",IF(OR(AG1349="Crítico",AG1349="Alto"),"Mitigar",IF(AG1349="Medio","Mitigar","Aceptar y monitorear")))</f>
        <v/>
      </c>
      <c r="AI1349" s="21" t="n"/>
      <c r="AJ1349" s="21" t="n"/>
      <c r="AK1349" s="20" t="n"/>
      <c r="AL1349" s="77">
        <f>IFERROR(INDEX(MgAmenEfic,MATCH(SUBSTITUTE($H1349,"*","-"),MgAmenClave,0)),0)</f>
        <v/>
      </c>
    </row>
    <row r="1350" hidden="1" ht="90" customHeight="1" s="54">
      <c r="B1350" s="59" t="inlineStr">
        <is>
          <t>R-1345</t>
        </is>
      </c>
      <c r="C1350" s="59" t="inlineStr">
        <is>
          <t>GH-005</t>
        </is>
      </c>
      <c r="D1350" s="64">
        <f>IFERROR(INDEX(MgNombre,MATCH($C1350,MgActId,0)),"")</f>
        <v/>
      </c>
      <c r="E1350" s="64">
        <f>IFERROR(INDEX(MgProceso,MATCH($C1350,MgActId,0)),"")</f>
        <v/>
      </c>
      <c r="F1350" s="64">
        <f>IFERROR(INDEX(MgTipo,MATCH($C1350,MgActId,0)),"")</f>
        <v/>
      </c>
      <c r="G1350" s="64">
        <f>IFERROR(INDEX(MgSubtipo,MATCH($C1350,MgActId,0)),"")</f>
        <v/>
      </c>
      <c r="H1350" s="59" t="inlineStr">
        <is>
          <t>A.13</t>
        </is>
      </c>
      <c r="I1350" s="64">
        <f>IFERROR(INDEX(MgAmenNombre,MATCH(SUBSTITUTE($H1350,"*","-"),MgAmenClave,0)),"")</f>
        <v/>
      </c>
      <c r="J1350" s="28">
        <f>IFERROR(INDEX(MgAmenGrupo,MATCH(SUBSTITUTE($H1350,"*","-"),MgAmenClave,0)),"")</f>
        <v/>
      </c>
      <c r="K1350" s="64">
        <f>IFERROR(INDEX('1. Matriz de Activos'!$Q$6:$Q$239,MATCH($C1350,MgActId,0)),"")</f>
        <v/>
      </c>
      <c r="L1350" s="64">
        <f>IFERROR(INDEX('1. Matriz de Activos'!$R$6:$R$239,MATCH($C1350,MgActId,0)),"")</f>
        <v/>
      </c>
      <c r="M1350" s="64">
        <f>IFERROR(INDEX('1. Matriz de Activos'!$S$6:$S$239,MATCH($C1350,MgActId,0)),"")</f>
        <v/>
      </c>
      <c r="N1350" s="28">
        <f>IFERROR(INDEX(MgAmenDegD,MATCH(SUBSTITUTE($H1350,"*","-"),MgAmenClave,0)),"No aplica")</f>
        <v/>
      </c>
      <c r="O1350" s="28">
        <f>IFERROR(INDEX(MgAmenDegI,MATCH(SUBSTITUTE($H1350,"*","-"),MgAmenClave,0)),"No aplica")</f>
        <v/>
      </c>
      <c r="P1350" s="28">
        <f>IFERROR(INDEX(MgAmenDegC,MATCH(SUBSTITUTE($H1350,"*","-"),MgAmenClave,0)),"No aplica")</f>
        <v/>
      </c>
      <c r="Q1350" s="29">
        <f>IFERROR(VLOOKUP(K1350,MgValor,2,0)*VLOOKUP(N1350,MgDeg,2,0),0)</f>
        <v/>
      </c>
      <c r="R1350" s="29">
        <f>IFERROR(VLOOKUP(L1350,MgValor,2,0)*VLOOKUP(O1350,MgDeg,2,0),0)</f>
        <v/>
      </c>
      <c r="S1350" s="29">
        <f>IFERROR(VLOOKUP(M1350,MgValor,2,0)*VLOOKUP(P1350,MgDeg,2,0),0)</f>
        <v/>
      </c>
      <c r="T1350" s="30">
        <f>MAX(Q1350:S1350)</f>
        <v/>
      </c>
      <c r="U1350" s="28">
        <f>IFERROR(LOOKUP(T1350,{0;0.5;1.5;3;4.5},{"Despreciable";"Bajo";"Medio";"Alto";"Muy alto"}),"")</f>
        <v/>
      </c>
      <c r="V1350" s="13">
        <f>IFERROR(INDEX(MgAmenFrec,MATCH(SUBSTITUTE($H1350,"*","-"),MgAmenClave,0)),"")</f>
        <v/>
      </c>
      <c r="W1350" s="28">
        <f>IFERROR(LOOKUP(X1350,{0;0.01;0.1;1;10;100},{"Muy baja";"Muy baja";"Baja";"Media";"Alta";"Muy alta"}),"")</f>
        <v/>
      </c>
      <c r="X1350" s="31">
        <f>IFERROR(VLOOKUP(V1350,MgFrec,2,0),0)</f>
        <v/>
      </c>
      <c r="Y1350" s="30">
        <f>T1350*X1350</f>
        <v/>
      </c>
      <c r="Z1350" s="28">
        <f>IFERROR(LOOKUP(Y1350,{0;0.5;5;25},{"Bajo";"Medio";"Alto";"Crítico"}),"")</f>
        <v/>
      </c>
      <c r="AA1350" s="64">
        <f>IF(T1350&gt;=3,IF(X1350&gt;=1,"Zona 1 — Crítica: impacto alto y ocurre al menos una vez al año","Zona 4 — Catastrófica poco probable: impacto alto pero excepcional"),IF(AND(T1350&lt;1.5,X1350&lt;1),"Zona 3 — Asumible: impacto bajo y muy poco frecuente","Zona 2 — Atención: riesgo intermedio"))</f>
        <v/>
      </c>
      <c r="AB1350" s="64">
        <f>IFERROR(INDEX(MgAmenCtrl,MATCH(SUBSTITUTE($H1350,"*","-"),MgAmenClave,0)),"")</f>
        <v/>
      </c>
      <c r="AC1350" s="20" t="n"/>
      <c r="AD1350" s="31">
        <f>IFERROR($X1350*(1-IF($AC1350="",$AL1350,VLOOKUP($AC1350,MgMad,2,0))),"")</f>
        <v/>
      </c>
      <c r="AE1350" s="28">
        <f>IFERROR(LOOKUP(AD1350,{0;0.01;0.1;1;10;100},{"Muy baja";"Muy baja";"Baja";"Media";"Alta";"Muy alta"}),"")</f>
        <v/>
      </c>
      <c r="AF1350" s="30">
        <f>T1350*AD1350</f>
        <v/>
      </c>
      <c r="AG1350" s="28">
        <f>IFERROR(LOOKUP(AF1350,{0;0.5;5;25},{"Bajo";"Medio";"Alto";"Crítico"}),"")</f>
        <v/>
      </c>
      <c r="AH1350" s="28">
        <f>IF(AG1350="","",IF(OR(AG1350="Crítico",AG1350="Alto"),"Mitigar",IF(AG1350="Medio","Mitigar","Aceptar y monitorear")))</f>
        <v/>
      </c>
      <c r="AI1350" s="21" t="n"/>
      <c r="AJ1350" s="21" t="n"/>
      <c r="AK1350" s="20" t="n"/>
      <c r="AL1350" s="77">
        <f>IFERROR(INDEX(MgAmenEfic,MATCH(SUBSTITUTE($H1350,"*","-"),MgAmenClave,0)),0)</f>
        <v/>
      </c>
    </row>
    <row r="1351" hidden="1" ht="60" customHeight="1" s="54">
      <c r="B1351" s="59" t="inlineStr">
        <is>
          <t>R-1346</t>
        </is>
      </c>
      <c r="C1351" s="59" t="inlineStr">
        <is>
          <t>GH-005</t>
        </is>
      </c>
      <c r="D1351" s="64">
        <f>IFERROR(INDEX(MgNombre,MATCH($C1351,MgActId,0)),"")</f>
        <v/>
      </c>
      <c r="E1351" s="64">
        <f>IFERROR(INDEX(MgProceso,MATCH($C1351,MgActId,0)),"")</f>
        <v/>
      </c>
      <c r="F1351" s="64">
        <f>IFERROR(INDEX(MgTipo,MATCH($C1351,MgActId,0)),"")</f>
        <v/>
      </c>
      <c r="G1351" s="64">
        <f>IFERROR(INDEX(MgSubtipo,MATCH($C1351,MgActId,0)),"")</f>
        <v/>
      </c>
      <c r="H1351" s="59" t="inlineStr">
        <is>
          <t>A.15</t>
        </is>
      </c>
      <c r="I1351" s="64">
        <f>IFERROR(INDEX(MgAmenNombre,MATCH(SUBSTITUTE($H1351,"*","-"),MgAmenClave,0)),"")</f>
        <v/>
      </c>
      <c r="J1351" s="28">
        <f>IFERROR(INDEX(MgAmenGrupo,MATCH(SUBSTITUTE($H1351,"*","-"),MgAmenClave,0)),"")</f>
        <v/>
      </c>
      <c r="K1351" s="64">
        <f>IFERROR(INDEX('1. Matriz de Activos'!$Q$6:$Q$239,MATCH($C1351,MgActId,0)),"")</f>
        <v/>
      </c>
      <c r="L1351" s="64">
        <f>IFERROR(INDEX('1. Matriz de Activos'!$R$6:$R$239,MATCH($C1351,MgActId,0)),"")</f>
        <v/>
      </c>
      <c r="M1351" s="64">
        <f>IFERROR(INDEX('1. Matriz de Activos'!$S$6:$S$239,MATCH($C1351,MgActId,0)),"")</f>
        <v/>
      </c>
      <c r="N1351" s="28">
        <f>IFERROR(INDEX(MgAmenDegD,MATCH(SUBSTITUTE($H1351,"*","-"),MgAmenClave,0)),"No aplica")</f>
        <v/>
      </c>
      <c r="O1351" s="28">
        <f>IFERROR(INDEX(MgAmenDegI,MATCH(SUBSTITUTE($H1351,"*","-"),MgAmenClave,0)),"No aplica")</f>
        <v/>
      </c>
      <c r="P1351" s="28">
        <f>IFERROR(INDEX(MgAmenDegC,MATCH(SUBSTITUTE($H1351,"*","-"),MgAmenClave,0)),"No aplica")</f>
        <v/>
      </c>
      <c r="Q1351" s="29">
        <f>IFERROR(VLOOKUP(K1351,MgValor,2,0)*VLOOKUP(N1351,MgDeg,2,0),0)</f>
        <v/>
      </c>
      <c r="R1351" s="29">
        <f>IFERROR(VLOOKUP(L1351,MgValor,2,0)*VLOOKUP(O1351,MgDeg,2,0),0)</f>
        <v/>
      </c>
      <c r="S1351" s="29">
        <f>IFERROR(VLOOKUP(M1351,MgValor,2,0)*VLOOKUP(P1351,MgDeg,2,0),0)</f>
        <v/>
      </c>
      <c r="T1351" s="30">
        <f>MAX(Q1351:S1351)</f>
        <v/>
      </c>
      <c r="U1351" s="28">
        <f>IFERROR(LOOKUP(T1351,{0;0.5;1.5;3;4.5},{"Despreciable";"Bajo";"Medio";"Alto";"Muy alto"}),"")</f>
        <v/>
      </c>
      <c r="V1351" s="13">
        <f>IFERROR(INDEX(MgAmenFrec,MATCH(SUBSTITUTE($H1351,"*","-"),MgAmenClave,0)),"")</f>
        <v/>
      </c>
      <c r="W1351" s="28">
        <f>IFERROR(LOOKUP(X1351,{0;0.01;0.1;1;10;100},{"Muy baja";"Muy baja";"Baja";"Media";"Alta";"Muy alta"}),"")</f>
        <v/>
      </c>
      <c r="X1351" s="31">
        <f>IFERROR(VLOOKUP(V1351,MgFrec,2,0),0)</f>
        <v/>
      </c>
      <c r="Y1351" s="30">
        <f>T1351*X1351</f>
        <v/>
      </c>
      <c r="Z1351" s="28">
        <f>IFERROR(LOOKUP(Y1351,{0;0.5;5;25},{"Bajo";"Medio";"Alto";"Crítico"}),"")</f>
        <v/>
      </c>
      <c r="AA1351" s="64">
        <f>IF(T1351&gt;=3,IF(X1351&gt;=1,"Zona 1 — Crítica: impacto alto y ocurre al menos una vez al año","Zona 4 — Catastrófica poco probable: impacto alto pero excepcional"),IF(AND(T1351&lt;1.5,X1351&lt;1),"Zona 3 — Asumible: impacto bajo y muy poco frecuente","Zona 2 — Atención: riesgo intermedio"))</f>
        <v/>
      </c>
      <c r="AB1351" s="64">
        <f>IFERROR(INDEX(MgAmenCtrl,MATCH(SUBSTITUTE($H1351,"*","-"),MgAmenClave,0)),"")</f>
        <v/>
      </c>
      <c r="AC1351" s="20" t="n"/>
      <c r="AD1351" s="31">
        <f>IFERROR($X1351*(1-IF($AC1351="",$AL1351,VLOOKUP($AC1351,MgMad,2,0))),"")</f>
        <v/>
      </c>
      <c r="AE1351" s="28">
        <f>IFERROR(LOOKUP(AD1351,{0;0.01;0.1;1;10;100},{"Muy baja";"Muy baja";"Baja";"Media";"Alta";"Muy alta"}),"")</f>
        <v/>
      </c>
      <c r="AF1351" s="30">
        <f>T1351*AD1351</f>
        <v/>
      </c>
      <c r="AG1351" s="28">
        <f>IFERROR(LOOKUP(AF1351,{0;0.5;5;25},{"Bajo";"Medio";"Alto";"Crítico"}),"")</f>
        <v/>
      </c>
      <c r="AH1351" s="28">
        <f>IF(AG1351="","",IF(OR(AG1351="Crítico",AG1351="Alto"),"Mitigar",IF(AG1351="Medio","Mitigar","Aceptar y monitorear")))</f>
        <v/>
      </c>
      <c r="AI1351" s="21" t="n"/>
      <c r="AJ1351" s="21" t="n"/>
      <c r="AK1351" s="20" t="n"/>
      <c r="AL1351" s="77">
        <f>IFERROR(INDEX(MgAmenEfic,MATCH(SUBSTITUTE($H1351,"*","-"),MgAmenClave,0)),0)</f>
        <v/>
      </c>
    </row>
    <row r="1352" hidden="1" ht="60" customHeight="1" s="54">
      <c r="B1352" s="59" t="inlineStr">
        <is>
          <t>R-1347</t>
        </is>
      </c>
      <c r="C1352" s="59" t="inlineStr">
        <is>
          <t>GH-005</t>
        </is>
      </c>
      <c r="D1352" s="64">
        <f>IFERROR(INDEX(MgNombre,MATCH($C1352,MgActId,0)),"")</f>
        <v/>
      </c>
      <c r="E1352" s="64">
        <f>IFERROR(INDEX(MgProceso,MATCH($C1352,MgActId,0)),"")</f>
        <v/>
      </c>
      <c r="F1352" s="64">
        <f>IFERROR(INDEX(MgTipo,MATCH($C1352,MgActId,0)),"")</f>
        <v/>
      </c>
      <c r="G1352" s="64">
        <f>IFERROR(INDEX(MgSubtipo,MATCH($C1352,MgActId,0)),"")</f>
        <v/>
      </c>
      <c r="H1352" s="59" t="inlineStr">
        <is>
          <t>A.18</t>
        </is>
      </c>
      <c r="I1352" s="64">
        <f>IFERROR(INDEX(MgAmenNombre,MATCH(SUBSTITUTE($H1352,"*","-"),MgAmenClave,0)),"")</f>
        <v/>
      </c>
      <c r="J1352" s="28">
        <f>IFERROR(INDEX(MgAmenGrupo,MATCH(SUBSTITUTE($H1352,"*","-"),MgAmenClave,0)),"")</f>
        <v/>
      </c>
      <c r="K1352" s="64">
        <f>IFERROR(INDEX('1. Matriz de Activos'!$Q$6:$Q$239,MATCH($C1352,MgActId,0)),"")</f>
        <v/>
      </c>
      <c r="L1352" s="64">
        <f>IFERROR(INDEX('1. Matriz de Activos'!$R$6:$R$239,MATCH($C1352,MgActId,0)),"")</f>
        <v/>
      </c>
      <c r="M1352" s="64">
        <f>IFERROR(INDEX('1. Matriz de Activos'!$S$6:$S$239,MATCH($C1352,MgActId,0)),"")</f>
        <v/>
      </c>
      <c r="N1352" s="28">
        <f>IFERROR(INDEX(MgAmenDegD,MATCH(SUBSTITUTE($H1352,"*","-"),MgAmenClave,0)),"No aplica")</f>
        <v/>
      </c>
      <c r="O1352" s="28">
        <f>IFERROR(INDEX(MgAmenDegI,MATCH(SUBSTITUTE($H1352,"*","-"),MgAmenClave,0)),"No aplica")</f>
        <v/>
      </c>
      <c r="P1352" s="28">
        <f>IFERROR(INDEX(MgAmenDegC,MATCH(SUBSTITUTE($H1352,"*","-"),MgAmenClave,0)),"No aplica")</f>
        <v/>
      </c>
      <c r="Q1352" s="29">
        <f>IFERROR(VLOOKUP(K1352,MgValor,2,0)*VLOOKUP(N1352,MgDeg,2,0),0)</f>
        <v/>
      </c>
      <c r="R1352" s="29">
        <f>IFERROR(VLOOKUP(L1352,MgValor,2,0)*VLOOKUP(O1352,MgDeg,2,0),0)</f>
        <v/>
      </c>
      <c r="S1352" s="29">
        <f>IFERROR(VLOOKUP(M1352,MgValor,2,0)*VLOOKUP(P1352,MgDeg,2,0),0)</f>
        <v/>
      </c>
      <c r="T1352" s="30">
        <f>MAX(Q1352:S1352)</f>
        <v/>
      </c>
      <c r="U1352" s="28">
        <f>IFERROR(LOOKUP(T1352,{0;0.5;1.5;3;4.5},{"Despreciable";"Bajo";"Medio";"Alto";"Muy alto"}),"")</f>
        <v/>
      </c>
      <c r="V1352" s="13">
        <f>IFERROR(INDEX(MgAmenFrec,MATCH(SUBSTITUTE($H1352,"*","-"),MgAmenClave,0)),"")</f>
        <v/>
      </c>
      <c r="W1352" s="28">
        <f>IFERROR(LOOKUP(X1352,{0;0.01;0.1;1;10;100},{"Muy baja";"Muy baja";"Baja";"Media";"Alta";"Muy alta"}),"")</f>
        <v/>
      </c>
      <c r="X1352" s="31">
        <f>IFERROR(VLOOKUP(V1352,MgFrec,2,0),0)</f>
        <v/>
      </c>
      <c r="Y1352" s="30">
        <f>T1352*X1352</f>
        <v/>
      </c>
      <c r="Z1352" s="28">
        <f>IFERROR(LOOKUP(Y1352,{0;0.5;5;25},{"Bajo";"Medio";"Alto";"Crítico"}),"")</f>
        <v/>
      </c>
      <c r="AA1352" s="64">
        <f>IF(T1352&gt;=3,IF(X1352&gt;=1,"Zona 1 — Crítica: impacto alto y ocurre al menos una vez al año","Zona 4 — Catastrófica poco probable: impacto alto pero excepcional"),IF(AND(T1352&lt;1.5,X1352&lt;1),"Zona 3 — Asumible: impacto bajo y muy poco frecuente","Zona 2 — Atención: riesgo intermedio"))</f>
        <v/>
      </c>
      <c r="AB1352" s="64">
        <f>IFERROR(INDEX(MgAmenCtrl,MATCH(SUBSTITUTE($H1352,"*","-"),MgAmenClave,0)),"")</f>
        <v/>
      </c>
      <c r="AC1352" s="20" t="n"/>
      <c r="AD1352" s="31">
        <f>IFERROR($X1352*(1-IF($AC1352="",$AL1352,VLOOKUP($AC1352,MgMad,2,0))),"")</f>
        <v/>
      </c>
      <c r="AE1352" s="28">
        <f>IFERROR(LOOKUP(AD1352,{0;0.01;0.1;1;10;100},{"Muy baja";"Muy baja";"Baja";"Media";"Alta";"Muy alta"}),"")</f>
        <v/>
      </c>
      <c r="AF1352" s="30">
        <f>T1352*AD1352</f>
        <v/>
      </c>
      <c r="AG1352" s="28">
        <f>IFERROR(LOOKUP(AF1352,{0;0.5;5;25},{"Bajo";"Medio";"Alto";"Crítico"}),"")</f>
        <v/>
      </c>
      <c r="AH1352" s="28">
        <f>IF(AG1352="","",IF(OR(AG1352="Crítico",AG1352="Alto"),"Mitigar",IF(AG1352="Medio","Mitigar","Aceptar y monitorear")))</f>
        <v/>
      </c>
      <c r="AI1352" s="21" t="n"/>
      <c r="AJ1352" s="21" t="n"/>
      <c r="AK1352" s="20" t="n"/>
      <c r="AL1352" s="77">
        <f>IFERROR(INDEX(MgAmenEfic,MATCH(SUBSTITUTE($H1352,"*","-"),MgAmenClave,0)),0)</f>
        <v/>
      </c>
    </row>
    <row r="1353" hidden="1" ht="120" customHeight="1" s="54">
      <c r="B1353" s="59" t="inlineStr">
        <is>
          <t>R-1348</t>
        </is>
      </c>
      <c r="C1353" s="59" t="inlineStr">
        <is>
          <t>GH-005</t>
        </is>
      </c>
      <c r="D1353" s="64">
        <f>IFERROR(INDEX(MgNombre,MATCH($C1353,MgActId,0)),"")</f>
        <v/>
      </c>
      <c r="E1353" s="64">
        <f>IFERROR(INDEX(MgProceso,MATCH($C1353,MgActId,0)),"")</f>
        <v/>
      </c>
      <c r="F1353" s="64">
        <f>IFERROR(INDEX(MgTipo,MATCH($C1353,MgActId,0)),"")</f>
        <v/>
      </c>
      <c r="G1353" s="64">
        <f>IFERROR(INDEX(MgSubtipo,MATCH($C1353,MgActId,0)),"")</f>
        <v/>
      </c>
      <c r="H1353" s="59" t="inlineStr">
        <is>
          <t>A.19</t>
        </is>
      </c>
      <c r="I1353" s="64">
        <f>IFERROR(INDEX(MgAmenNombre,MATCH(SUBSTITUTE($H1353,"*","-"),MgAmenClave,0)),"")</f>
        <v/>
      </c>
      <c r="J1353" s="28">
        <f>IFERROR(INDEX(MgAmenGrupo,MATCH(SUBSTITUTE($H1353,"*","-"),MgAmenClave,0)),"")</f>
        <v/>
      </c>
      <c r="K1353" s="64">
        <f>IFERROR(INDEX('1. Matriz de Activos'!$Q$6:$Q$239,MATCH($C1353,MgActId,0)),"")</f>
        <v/>
      </c>
      <c r="L1353" s="64">
        <f>IFERROR(INDEX('1. Matriz de Activos'!$R$6:$R$239,MATCH($C1353,MgActId,0)),"")</f>
        <v/>
      </c>
      <c r="M1353" s="64">
        <f>IFERROR(INDEX('1. Matriz de Activos'!$S$6:$S$239,MATCH($C1353,MgActId,0)),"")</f>
        <v/>
      </c>
      <c r="N1353" s="28">
        <f>IFERROR(INDEX(MgAmenDegD,MATCH(SUBSTITUTE($H1353,"*","-"),MgAmenClave,0)),"No aplica")</f>
        <v/>
      </c>
      <c r="O1353" s="28">
        <f>IFERROR(INDEX(MgAmenDegI,MATCH(SUBSTITUTE($H1353,"*","-"),MgAmenClave,0)),"No aplica")</f>
        <v/>
      </c>
      <c r="P1353" s="28">
        <f>IFERROR(INDEX(MgAmenDegC,MATCH(SUBSTITUTE($H1353,"*","-"),MgAmenClave,0)),"No aplica")</f>
        <v/>
      </c>
      <c r="Q1353" s="29">
        <f>IFERROR(VLOOKUP(K1353,MgValor,2,0)*VLOOKUP(N1353,MgDeg,2,0),0)</f>
        <v/>
      </c>
      <c r="R1353" s="29">
        <f>IFERROR(VLOOKUP(L1353,MgValor,2,0)*VLOOKUP(O1353,MgDeg,2,0),0)</f>
        <v/>
      </c>
      <c r="S1353" s="29">
        <f>IFERROR(VLOOKUP(M1353,MgValor,2,0)*VLOOKUP(P1353,MgDeg,2,0),0)</f>
        <v/>
      </c>
      <c r="T1353" s="30">
        <f>MAX(Q1353:S1353)</f>
        <v/>
      </c>
      <c r="U1353" s="28">
        <f>IFERROR(LOOKUP(T1353,{0;0.5;1.5;3;4.5},{"Despreciable";"Bajo";"Medio";"Alto";"Muy alto"}),"")</f>
        <v/>
      </c>
      <c r="V1353" s="13">
        <f>IFERROR(INDEX(MgAmenFrec,MATCH(SUBSTITUTE($H1353,"*","-"),MgAmenClave,0)),"")</f>
        <v/>
      </c>
      <c r="W1353" s="28">
        <f>IFERROR(LOOKUP(X1353,{0;0.01;0.1;1;10;100},{"Muy baja";"Muy baja";"Baja";"Media";"Alta";"Muy alta"}),"")</f>
        <v/>
      </c>
      <c r="X1353" s="31">
        <f>IFERROR(VLOOKUP(V1353,MgFrec,2,0),0)</f>
        <v/>
      </c>
      <c r="Y1353" s="30">
        <f>T1353*X1353</f>
        <v/>
      </c>
      <c r="Z1353" s="28">
        <f>IFERROR(LOOKUP(Y1353,{0;0.5;5;25},{"Bajo";"Medio";"Alto";"Crítico"}),"")</f>
        <v/>
      </c>
      <c r="AA1353" s="64">
        <f>IF(T1353&gt;=3,IF(X1353&gt;=1,"Zona 1 — Crítica: impacto alto y ocurre al menos una vez al año","Zona 4 — Catastrófica poco probable: impacto alto pero excepcional"),IF(AND(T1353&lt;1.5,X1353&lt;1),"Zona 3 — Asumible: impacto bajo y muy poco frecuente","Zona 2 — Atención: riesgo intermedio"))</f>
        <v/>
      </c>
      <c r="AB1353" s="64">
        <f>IFERROR(INDEX(MgAmenCtrl,MATCH(SUBSTITUTE($H1353,"*","-"),MgAmenClave,0)),"")</f>
        <v/>
      </c>
      <c r="AC1353" s="20" t="n"/>
      <c r="AD1353" s="31">
        <f>IFERROR($X1353*(1-IF($AC1353="",$AL1353,VLOOKUP($AC1353,MgMad,2,0))),"")</f>
        <v/>
      </c>
      <c r="AE1353" s="28">
        <f>IFERROR(LOOKUP(AD1353,{0;0.01;0.1;1;10;100},{"Muy baja";"Muy baja";"Baja";"Media";"Alta";"Muy alta"}),"")</f>
        <v/>
      </c>
      <c r="AF1353" s="30">
        <f>T1353*AD1353</f>
        <v/>
      </c>
      <c r="AG1353" s="28">
        <f>IFERROR(LOOKUP(AF1353,{0;0.5;5;25},{"Bajo";"Medio";"Alto";"Crítico"}),"")</f>
        <v/>
      </c>
      <c r="AH1353" s="28">
        <f>IF(AG1353="","",IF(OR(AG1353="Crítico",AG1353="Alto"),"Mitigar",IF(AG1353="Medio","Mitigar","Aceptar y monitorear")))</f>
        <v/>
      </c>
      <c r="AI1353" s="21" t="n"/>
      <c r="AJ1353" s="21" t="n"/>
      <c r="AK1353" s="20" t="n"/>
      <c r="AL1353" s="77">
        <f>IFERROR(INDEX(MgAmenEfic,MATCH(SUBSTITUTE($H1353,"*","-"),MgAmenClave,0)),0)</f>
        <v/>
      </c>
    </row>
    <row r="1354" hidden="1" ht="105" customHeight="1" s="54">
      <c r="B1354" s="59" t="inlineStr">
        <is>
          <t>R-1349</t>
        </is>
      </c>
      <c r="C1354" s="59" t="inlineStr">
        <is>
          <t>GH-023</t>
        </is>
      </c>
      <c r="D1354" s="64">
        <f>IFERROR(INDEX(MgNombre,MATCH($C1354,MgActId,0)),"")</f>
        <v/>
      </c>
      <c r="E1354" s="64">
        <f>IFERROR(INDEX(MgProceso,MATCH($C1354,MgActId,0)),"")</f>
        <v/>
      </c>
      <c r="F1354" s="64">
        <f>IFERROR(INDEX(MgTipo,MATCH($C1354,MgActId,0)),"")</f>
        <v/>
      </c>
      <c r="G1354" s="64">
        <f>IFERROR(INDEX(MgSubtipo,MATCH($C1354,MgActId,0)),"")</f>
        <v/>
      </c>
      <c r="H1354" s="59" t="inlineStr">
        <is>
          <t>E.1</t>
        </is>
      </c>
      <c r="I1354" s="64">
        <f>IFERROR(INDEX(MgAmenNombre,MATCH(SUBSTITUTE($H1354,"*","-"),MgAmenClave,0)),"")</f>
        <v/>
      </c>
      <c r="J1354" s="28">
        <f>IFERROR(INDEX(MgAmenGrupo,MATCH(SUBSTITUTE($H1354,"*","-"),MgAmenClave,0)),"")</f>
        <v/>
      </c>
      <c r="K1354" s="64">
        <f>IFERROR(INDEX('1. Matriz de Activos'!$Q$6:$Q$239,MATCH($C1354,MgActId,0)),"")</f>
        <v/>
      </c>
      <c r="L1354" s="64">
        <f>IFERROR(INDEX('1. Matriz de Activos'!$R$6:$R$239,MATCH($C1354,MgActId,0)),"")</f>
        <v/>
      </c>
      <c r="M1354" s="64">
        <f>IFERROR(INDEX('1. Matriz de Activos'!$S$6:$S$239,MATCH($C1354,MgActId,0)),"")</f>
        <v/>
      </c>
      <c r="N1354" s="28">
        <f>IFERROR(INDEX(MgAmenDegD,MATCH(SUBSTITUTE($H1354,"*","-"),MgAmenClave,0)),"No aplica")</f>
        <v/>
      </c>
      <c r="O1354" s="28">
        <f>IFERROR(INDEX(MgAmenDegI,MATCH(SUBSTITUTE($H1354,"*","-"),MgAmenClave,0)),"No aplica")</f>
        <v/>
      </c>
      <c r="P1354" s="28">
        <f>IFERROR(INDEX(MgAmenDegC,MATCH(SUBSTITUTE($H1354,"*","-"),MgAmenClave,0)),"No aplica")</f>
        <v/>
      </c>
      <c r="Q1354" s="29">
        <f>IFERROR(VLOOKUP(K1354,MgValor,2,0)*VLOOKUP(N1354,MgDeg,2,0),0)</f>
        <v/>
      </c>
      <c r="R1354" s="29">
        <f>IFERROR(VLOOKUP(L1354,MgValor,2,0)*VLOOKUP(O1354,MgDeg,2,0),0)</f>
        <v/>
      </c>
      <c r="S1354" s="29">
        <f>IFERROR(VLOOKUP(M1354,MgValor,2,0)*VLOOKUP(P1354,MgDeg,2,0),0)</f>
        <v/>
      </c>
      <c r="T1354" s="30">
        <f>MAX(Q1354:S1354)</f>
        <v/>
      </c>
      <c r="U1354" s="28">
        <f>IFERROR(LOOKUP(T1354,{0;0.5;1.5;3;4.5},{"Despreciable";"Bajo";"Medio";"Alto";"Muy alto"}),"")</f>
        <v/>
      </c>
      <c r="V1354" s="13">
        <f>IFERROR(INDEX(MgAmenFrec,MATCH(SUBSTITUTE($H1354,"*","-"),MgAmenClave,0)),"")</f>
        <v/>
      </c>
      <c r="W1354" s="28">
        <f>IFERROR(LOOKUP(X1354,{0;0.01;0.1;1;10;100},{"Muy baja";"Muy baja";"Baja";"Media";"Alta";"Muy alta"}),"")</f>
        <v/>
      </c>
      <c r="X1354" s="31">
        <f>IFERROR(VLOOKUP(V1354,MgFrec,2,0),0)</f>
        <v/>
      </c>
      <c r="Y1354" s="30">
        <f>T1354*X1354</f>
        <v/>
      </c>
      <c r="Z1354" s="28">
        <f>IFERROR(LOOKUP(Y1354,{0;0.5;5;25},{"Bajo";"Medio";"Alto";"Crítico"}),"")</f>
        <v/>
      </c>
      <c r="AA1354" s="64">
        <f>IF(T1354&gt;=3,IF(X1354&gt;=1,"Zona 1 — Crítica: impacto alto y ocurre al menos una vez al año","Zona 4 — Catastrófica poco probable: impacto alto pero excepcional"),IF(AND(T1354&lt;1.5,X1354&lt;1),"Zona 3 — Asumible: impacto bajo y muy poco frecuente","Zona 2 — Atención: riesgo intermedio"))</f>
        <v/>
      </c>
      <c r="AB1354" s="64">
        <f>IFERROR(INDEX(MgAmenCtrl,MATCH(SUBSTITUTE($H1354,"*","-"),MgAmenClave,0)),"")</f>
        <v/>
      </c>
      <c r="AC1354" s="20" t="n"/>
      <c r="AD1354" s="31">
        <f>IFERROR($X1354*(1-IF($AC1354="",$AL1354,VLOOKUP($AC1354,MgMad,2,0))),"")</f>
        <v/>
      </c>
      <c r="AE1354" s="28">
        <f>IFERROR(LOOKUP(AD1354,{0;0.01;0.1;1;10;100},{"Muy baja";"Muy baja";"Baja";"Media";"Alta";"Muy alta"}),"")</f>
        <v/>
      </c>
      <c r="AF1354" s="30">
        <f>T1354*AD1354</f>
        <v/>
      </c>
      <c r="AG1354" s="28">
        <f>IFERROR(LOOKUP(AF1354,{0;0.5;5;25},{"Bajo";"Medio";"Alto";"Crítico"}),"")</f>
        <v/>
      </c>
      <c r="AH1354" s="28">
        <f>IF(AG1354="","",IF(OR(AG1354="Crítico",AG1354="Alto"),"Mitigar",IF(AG1354="Medio","Mitigar","Aceptar y monitorear")))</f>
        <v/>
      </c>
      <c r="AI1354" s="21" t="n"/>
      <c r="AJ1354" s="21" t="n"/>
      <c r="AK1354" s="20" t="n"/>
      <c r="AL1354" s="77">
        <f>IFERROR(INDEX(MgAmenEfic,MATCH(SUBSTITUTE($H1354,"*","-"),MgAmenClave,0)),0)</f>
        <v/>
      </c>
    </row>
    <row r="1355" hidden="1" ht="120" customHeight="1" s="54">
      <c r="B1355" s="59" t="inlineStr">
        <is>
          <t>R-1350</t>
        </is>
      </c>
      <c r="C1355" s="59" t="inlineStr">
        <is>
          <t>GH-023</t>
        </is>
      </c>
      <c r="D1355" s="64">
        <f>IFERROR(INDEX(MgNombre,MATCH($C1355,MgActId,0)),"")</f>
        <v/>
      </c>
      <c r="E1355" s="64">
        <f>IFERROR(INDEX(MgProceso,MATCH($C1355,MgActId,0)),"")</f>
        <v/>
      </c>
      <c r="F1355" s="64">
        <f>IFERROR(INDEX(MgTipo,MATCH($C1355,MgActId,0)),"")</f>
        <v/>
      </c>
      <c r="G1355" s="64">
        <f>IFERROR(INDEX(MgSubtipo,MATCH($C1355,MgActId,0)),"")</f>
        <v/>
      </c>
      <c r="H1355" s="59" t="inlineStr">
        <is>
          <t>E.2</t>
        </is>
      </c>
      <c r="I1355" s="64">
        <f>IFERROR(INDEX(MgAmenNombre,MATCH(SUBSTITUTE($H1355,"*","-"),MgAmenClave,0)),"")</f>
        <v/>
      </c>
      <c r="J1355" s="28">
        <f>IFERROR(INDEX(MgAmenGrupo,MATCH(SUBSTITUTE($H1355,"*","-"),MgAmenClave,0)),"")</f>
        <v/>
      </c>
      <c r="K1355" s="64">
        <f>IFERROR(INDEX('1. Matriz de Activos'!$Q$6:$Q$239,MATCH($C1355,MgActId,0)),"")</f>
        <v/>
      </c>
      <c r="L1355" s="64">
        <f>IFERROR(INDEX('1. Matriz de Activos'!$R$6:$R$239,MATCH($C1355,MgActId,0)),"")</f>
        <v/>
      </c>
      <c r="M1355" s="64">
        <f>IFERROR(INDEX('1. Matriz de Activos'!$S$6:$S$239,MATCH($C1355,MgActId,0)),"")</f>
        <v/>
      </c>
      <c r="N1355" s="28">
        <f>IFERROR(INDEX(MgAmenDegD,MATCH(SUBSTITUTE($H1355,"*","-"),MgAmenClave,0)),"No aplica")</f>
        <v/>
      </c>
      <c r="O1355" s="28">
        <f>IFERROR(INDEX(MgAmenDegI,MATCH(SUBSTITUTE($H1355,"*","-"),MgAmenClave,0)),"No aplica")</f>
        <v/>
      </c>
      <c r="P1355" s="28">
        <f>IFERROR(INDEX(MgAmenDegC,MATCH(SUBSTITUTE($H1355,"*","-"),MgAmenClave,0)),"No aplica")</f>
        <v/>
      </c>
      <c r="Q1355" s="29">
        <f>IFERROR(VLOOKUP(K1355,MgValor,2,0)*VLOOKUP(N1355,MgDeg,2,0),0)</f>
        <v/>
      </c>
      <c r="R1355" s="29">
        <f>IFERROR(VLOOKUP(L1355,MgValor,2,0)*VLOOKUP(O1355,MgDeg,2,0),0)</f>
        <v/>
      </c>
      <c r="S1355" s="29">
        <f>IFERROR(VLOOKUP(M1355,MgValor,2,0)*VLOOKUP(P1355,MgDeg,2,0),0)</f>
        <v/>
      </c>
      <c r="T1355" s="30">
        <f>MAX(Q1355:S1355)</f>
        <v/>
      </c>
      <c r="U1355" s="28">
        <f>IFERROR(LOOKUP(T1355,{0;0.5;1.5;3;4.5},{"Despreciable";"Bajo";"Medio";"Alto";"Muy alto"}),"")</f>
        <v/>
      </c>
      <c r="V1355" s="13">
        <f>IFERROR(INDEX(MgAmenFrec,MATCH(SUBSTITUTE($H1355,"*","-"),MgAmenClave,0)),"")</f>
        <v/>
      </c>
      <c r="W1355" s="28">
        <f>IFERROR(LOOKUP(X1355,{0;0.01;0.1;1;10;100},{"Muy baja";"Muy baja";"Baja";"Media";"Alta";"Muy alta"}),"")</f>
        <v/>
      </c>
      <c r="X1355" s="31">
        <f>IFERROR(VLOOKUP(V1355,MgFrec,2,0),0)</f>
        <v/>
      </c>
      <c r="Y1355" s="30">
        <f>T1355*X1355</f>
        <v/>
      </c>
      <c r="Z1355" s="28">
        <f>IFERROR(LOOKUP(Y1355,{0;0.5;5;25},{"Bajo";"Medio";"Alto";"Crítico"}),"")</f>
        <v/>
      </c>
      <c r="AA1355" s="64">
        <f>IF(T1355&gt;=3,IF(X1355&gt;=1,"Zona 1 — Crítica: impacto alto y ocurre al menos una vez al año","Zona 4 — Catastrófica poco probable: impacto alto pero excepcional"),IF(AND(T1355&lt;1.5,X1355&lt;1),"Zona 3 — Asumible: impacto bajo y muy poco frecuente","Zona 2 — Atención: riesgo intermedio"))</f>
        <v/>
      </c>
      <c r="AB1355" s="64">
        <f>IFERROR(INDEX(MgAmenCtrl,MATCH(SUBSTITUTE($H1355,"*","-"),MgAmenClave,0)),"")</f>
        <v/>
      </c>
      <c r="AC1355" s="20" t="n"/>
      <c r="AD1355" s="31">
        <f>IFERROR($X1355*(1-IF($AC1355="",$AL1355,VLOOKUP($AC1355,MgMad,2,0))),"")</f>
        <v/>
      </c>
      <c r="AE1355" s="28">
        <f>IFERROR(LOOKUP(AD1355,{0;0.01;0.1;1;10;100},{"Muy baja";"Muy baja";"Baja";"Media";"Alta";"Muy alta"}),"")</f>
        <v/>
      </c>
      <c r="AF1355" s="30">
        <f>T1355*AD1355</f>
        <v/>
      </c>
      <c r="AG1355" s="28">
        <f>IFERROR(LOOKUP(AF1355,{0;0.5;5;25},{"Bajo";"Medio";"Alto";"Crítico"}),"")</f>
        <v/>
      </c>
      <c r="AH1355" s="28">
        <f>IF(AG1355="","",IF(OR(AG1355="Crítico",AG1355="Alto"),"Mitigar",IF(AG1355="Medio","Mitigar","Aceptar y monitorear")))</f>
        <v/>
      </c>
      <c r="AI1355" s="21" t="n"/>
      <c r="AJ1355" s="21" t="n"/>
      <c r="AK1355" s="20" t="n"/>
      <c r="AL1355" s="77">
        <f>IFERROR(INDEX(MgAmenEfic,MATCH(SUBSTITUTE($H1355,"*","-"),MgAmenClave,0)),0)</f>
        <v/>
      </c>
    </row>
    <row r="1356" hidden="1" ht="75" customHeight="1" s="54">
      <c r="B1356" s="59" t="inlineStr">
        <is>
          <t>R-1351</t>
        </is>
      </c>
      <c r="C1356" s="59" t="inlineStr">
        <is>
          <t>GH-023</t>
        </is>
      </c>
      <c r="D1356" s="64">
        <f>IFERROR(INDEX(MgNombre,MATCH($C1356,MgActId,0)),"")</f>
        <v/>
      </c>
      <c r="E1356" s="64">
        <f>IFERROR(INDEX(MgProceso,MATCH($C1356,MgActId,0)),"")</f>
        <v/>
      </c>
      <c r="F1356" s="64">
        <f>IFERROR(INDEX(MgTipo,MATCH($C1356,MgActId,0)),"")</f>
        <v/>
      </c>
      <c r="G1356" s="64">
        <f>IFERROR(INDEX(MgSubtipo,MATCH($C1356,MgActId,0)),"")</f>
        <v/>
      </c>
      <c r="H1356" s="59" t="inlineStr">
        <is>
          <t>E.3</t>
        </is>
      </c>
      <c r="I1356" s="64">
        <f>IFERROR(INDEX(MgAmenNombre,MATCH(SUBSTITUTE($H1356,"*","-"),MgAmenClave,0)),"")</f>
        <v/>
      </c>
      <c r="J1356" s="28">
        <f>IFERROR(INDEX(MgAmenGrupo,MATCH(SUBSTITUTE($H1356,"*","-"),MgAmenClave,0)),"")</f>
        <v/>
      </c>
      <c r="K1356" s="64">
        <f>IFERROR(INDEX('1. Matriz de Activos'!$Q$6:$Q$239,MATCH($C1356,MgActId,0)),"")</f>
        <v/>
      </c>
      <c r="L1356" s="64">
        <f>IFERROR(INDEX('1. Matriz de Activos'!$R$6:$R$239,MATCH($C1356,MgActId,0)),"")</f>
        <v/>
      </c>
      <c r="M1356" s="64">
        <f>IFERROR(INDEX('1. Matriz de Activos'!$S$6:$S$239,MATCH($C1356,MgActId,0)),"")</f>
        <v/>
      </c>
      <c r="N1356" s="28">
        <f>IFERROR(INDEX(MgAmenDegD,MATCH(SUBSTITUTE($H1356,"*","-"),MgAmenClave,0)),"No aplica")</f>
        <v/>
      </c>
      <c r="O1356" s="28">
        <f>IFERROR(INDEX(MgAmenDegI,MATCH(SUBSTITUTE($H1356,"*","-"),MgAmenClave,0)),"No aplica")</f>
        <v/>
      </c>
      <c r="P1356" s="28">
        <f>IFERROR(INDEX(MgAmenDegC,MATCH(SUBSTITUTE($H1356,"*","-"),MgAmenClave,0)),"No aplica")</f>
        <v/>
      </c>
      <c r="Q1356" s="29">
        <f>IFERROR(VLOOKUP(K1356,MgValor,2,0)*VLOOKUP(N1356,MgDeg,2,0),0)</f>
        <v/>
      </c>
      <c r="R1356" s="29">
        <f>IFERROR(VLOOKUP(L1356,MgValor,2,0)*VLOOKUP(O1356,MgDeg,2,0),0)</f>
        <v/>
      </c>
      <c r="S1356" s="29">
        <f>IFERROR(VLOOKUP(M1356,MgValor,2,0)*VLOOKUP(P1356,MgDeg,2,0),0)</f>
        <v/>
      </c>
      <c r="T1356" s="30">
        <f>MAX(Q1356:S1356)</f>
        <v/>
      </c>
      <c r="U1356" s="28">
        <f>IFERROR(LOOKUP(T1356,{0;0.5;1.5;3;4.5},{"Despreciable";"Bajo";"Medio";"Alto";"Muy alto"}),"")</f>
        <v/>
      </c>
      <c r="V1356" s="13">
        <f>IFERROR(INDEX(MgAmenFrec,MATCH(SUBSTITUTE($H1356,"*","-"),MgAmenClave,0)),"")</f>
        <v/>
      </c>
      <c r="W1356" s="28">
        <f>IFERROR(LOOKUP(X1356,{0;0.01;0.1;1;10;100},{"Muy baja";"Muy baja";"Baja";"Media";"Alta";"Muy alta"}),"")</f>
        <v/>
      </c>
      <c r="X1356" s="31">
        <f>IFERROR(VLOOKUP(V1356,MgFrec,2,0),0)</f>
        <v/>
      </c>
      <c r="Y1356" s="30">
        <f>T1356*X1356</f>
        <v/>
      </c>
      <c r="Z1356" s="28">
        <f>IFERROR(LOOKUP(Y1356,{0;0.5;5;25},{"Bajo";"Medio";"Alto";"Crítico"}),"")</f>
        <v/>
      </c>
      <c r="AA1356" s="64">
        <f>IF(T1356&gt;=3,IF(X1356&gt;=1,"Zona 1 — Crítica: impacto alto y ocurre al menos una vez al año","Zona 4 — Catastrófica poco probable: impacto alto pero excepcional"),IF(AND(T1356&lt;1.5,X1356&lt;1),"Zona 3 — Asumible: impacto bajo y muy poco frecuente","Zona 2 — Atención: riesgo intermedio"))</f>
        <v/>
      </c>
      <c r="AB1356" s="64">
        <f>IFERROR(INDEX(MgAmenCtrl,MATCH(SUBSTITUTE($H1356,"*","-"),MgAmenClave,0)),"")</f>
        <v/>
      </c>
      <c r="AC1356" s="20" t="n"/>
      <c r="AD1356" s="31">
        <f>IFERROR($X1356*(1-IF($AC1356="",$AL1356,VLOOKUP($AC1356,MgMad,2,0))),"")</f>
        <v/>
      </c>
      <c r="AE1356" s="28">
        <f>IFERROR(LOOKUP(AD1356,{0;0.01;0.1;1;10;100},{"Muy baja";"Muy baja";"Baja";"Media";"Alta";"Muy alta"}),"")</f>
        <v/>
      </c>
      <c r="AF1356" s="30">
        <f>T1356*AD1356</f>
        <v/>
      </c>
      <c r="AG1356" s="28">
        <f>IFERROR(LOOKUP(AF1356,{0;0.5;5;25},{"Bajo";"Medio";"Alto";"Crítico"}),"")</f>
        <v/>
      </c>
      <c r="AH1356" s="28">
        <f>IF(AG1356="","",IF(OR(AG1356="Crítico",AG1356="Alto"),"Mitigar",IF(AG1356="Medio","Mitigar","Aceptar y monitorear")))</f>
        <v/>
      </c>
      <c r="AI1356" s="21" t="n"/>
      <c r="AJ1356" s="21" t="n"/>
      <c r="AK1356" s="20" t="n"/>
      <c r="AL1356" s="77">
        <f>IFERROR(INDEX(MgAmenEfic,MATCH(SUBSTITUTE($H1356,"*","-"),MgAmenClave,0)),0)</f>
        <v/>
      </c>
    </row>
    <row r="1357" hidden="1" ht="75" customHeight="1" s="54">
      <c r="B1357" s="59" t="inlineStr">
        <is>
          <t>R-1352</t>
        </is>
      </c>
      <c r="C1357" s="59" t="inlineStr">
        <is>
          <t>GH-023</t>
        </is>
      </c>
      <c r="D1357" s="64">
        <f>IFERROR(INDEX(MgNombre,MATCH($C1357,MgActId,0)),"")</f>
        <v/>
      </c>
      <c r="E1357" s="64">
        <f>IFERROR(INDEX(MgProceso,MATCH($C1357,MgActId,0)),"")</f>
        <v/>
      </c>
      <c r="F1357" s="64">
        <f>IFERROR(INDEX(MgTipo,MATCH($C1357,MgActId,0)),"")</f>
        <v/>
      </c>
      <c r="G1357" s="64">
        <f>IFERROR(INDEX(MgSubtipo,MATCH($C1357,MgActId,0)),"")</f>
        <v/>
      </c>
      <c r="H1357" s="59" t="inlineStr">
        <is>
          <t>E.4</t>
        </is>
      </c>
      <c r="I1357" s="64">
        <f>IFERROR(INDEX(MgAmenNombre,MATCH(SUBSTITUTE($H1357,"*","-"),MgAmenClave,0)),"")</f>
        <v/>
      </c>
      <c r="J1357" s="28">
        <f>IFERROR(INDEX(MgAmenGrupo,MATCH(SUBSTITUTE($H1357,"*","-"),MgAmenClave,0)),"")</f>
        <v/>
      </c>
      <c r="K1357" s="64">
        <f>IFERROR(INDEX('1. Matriz de Activos'!$Q$6:$Q$239,MATCH($C1357,MgActId,0)),"")</f>
        <v/>
      </c>
      <c r="L1357" s="64">
        <f>IFERROR(INDEX('1. Matriz de Activos'!$R$6:$R$239,MATCH($C1357,MgActId,0)),"")</f>
        <v/>
      </c>
      <c r="M1357" s="64">
        <f>IFERROR(INDEX('1. Matriz de Activos'!$S$6:$S$239,MATCH($C1357,MgActId,0)),"")</f>
        <v/>
      </c>
      <c r="N1357" s="28">
        <f>IFERROR(INDEX(MgAmenDegD,MATCH(SUBSTITUTE($H1357,"*","-"),MgAmenClave,0)),"No aplica")</f>
        <v/>
      </c>
      <c r="O1357" s="28">
        <f>IFERROR(INDEX(MgAmenDegI,MATCH(SUBSTITUTE($H1357,"*","-"),MgAmenClave,0)),"No aplica")</f>
        <v/>
      </c>
      <c r="P1357" s="28">
        <f>IFERROR(INDEX(MgAmenDegC,MATCH(SUBSTITUTE($H1357,"*","-"),MgAmenClave,0)),"No aplica")</f>
        <v/>
      </c>
      <c r="Q1357" s="29">
        <f>IFERROR(VLOOKUP(K1357,MgValor,2,0)*VLOOKUP(N1357,MgDeg,2,0),0)</f>
        <v/>
      </c>
      <c r="R1357" s="29">
        <f>IFERROR(VLOOKUP(L1357,MgValor,2,0)*VLOOKUP(O1357,MgDeg,2,0),0)</f>
        <v/>
      </c>
      <c r="S1357" s="29">
        <f>IFERROR(VLOOKUP(M1357,MgValor,2,0)*VLOOKUP(P1357,MgDeg,2,0),0)</f>
        <v/>
      </c>
      <c r="T1357" s="30">
        <f>MAX(Q1357:S1357)</f>
        <v/>
      </c>
      <c r="U1357" s="28">
        <f>IFERROR(LOOKUP(T1357,{0;0.5;1.5;3;4.5},{"Despreciable";"Bajo";"Medio";"Alto";"Muy alto"}),"")</f>
        <v/>
      </c>
      <c r="V1357" s="13">
        <f>IFERROR(INDEX(MgAmenFrec,MATCH(SUBSTITUTE($H1357,"*","-"),MgAmenClave,0)),"")</f>
        <v/>
      </c>
      <c r="W1357" s="28">
        <f>IFERROR(LOOKUP(X1357,{0;0.01;0.1;1;10;100},{"Muy baja";"Muy baja";"Baja";"Media";"Alta";"Muy alta"}),"")</f>
        <v/>
      </c>
      <c r="X1357" s="31">
        <f>IFERROR(VLOOKUP(V1357,MgFrec,2,0),0)</f>
        <v/>
      </c>
      <c r="Y1357" s="30">
        <f>T1357*X1357</f>
        <v/>
      </c>
      <c r="Z1357" s="28">
        <f>IFERROR(LOOKUP(Y1357,{0;0.5;5;25},{"Bajo";"Medio";"Alto";"Crítico"}),"")</f>
        <v/>
      </c>
      <c r="AA1357" s="64">
        <f>IF(T1357&gt;=3,IF(X1357&gt;=1,"Zona 1 — Crítica: impacto alto y ocurre al menos una vez al año","Zona 4 — Catastrófica poco probable: impacto alto pero excepcional"),IF(AND(T1357&lt;1.5,X1357&lt;1),"Zona 3 — Asumible: impacto bajo y muy poco frecuente","Zona 2 — Atención: riesgo intermedio"))</f>
        <v/>
      </c>
      <c r="AB1357" s="64">
        <f>IFERROR(INDEX(MgAmenCtrl,MATCH(SUBSTITUTE($H1357,"*","-"),MgAmenClave,0)),"")</f>
        <v/>
      </c>
      <c r="AC1357" s="20" t="n"/>
      <c r="AD1357" s="31">
        <f>IFERROR($X1357*(1-IF($AC1357="",$AL1357,VLOOKUP($AC1357,MgMad,2,0))),"")</f>
        <v/>
      </c>
      <c r="AE1357" s="28">
        <f>IFERROR(LOOKUP(AD1357,{0;0.01;0.1;1;10;100},{"Muy baja";"Muy baja";"Baja";"Media";"Alta";"Muy alta"}),"")</f>
        <v/>
      </c>
      <c r="AF1357" s="30">
        <f>T1357*AD1357</f>
        <v/>
      </c>
      <c r="AG1357" s="28">
        <f>IFERROR(LOOKUP(AF1357,{0;0.5;5;25},{"Bajo";"Medio";"Alto";"Crítico"}),"")</f>
        <v/>
      </c>
      <c r="AH1357" s="28">
        <f>IF(AG1357="","",IF(OR(AG1357="Crítico",AG1357="Alto"),"Mitigar",IF(AG1357="Medio","Mitigar","Aceptar y monitorear")))</f>
        <v/>
      </c>
      <c r="AI1357" s="21" t="n"/>
      <c r="AJ1357" s="21" t="n"/>
      <c r="AK1357" s="20" t="n"/>
      <c r="AL1357" s="77">
        <f>IFERROR(INDEX(MgAmenEfic,MATCH(SUBSTITUTE($H1357,"*","-"),MgAmenClave,0)),0)</f>
        <v/>
      </c>
    </row>
    <row r="1358" hidden="1" ht="90" customHeight="1" s="54">
      <c r="B1358" s="59" t="inlineStr">
        <is>
          <t>R-1353</t>
        </is>
      </c>
      <c r="C1358" s="59" t="inlineStr">
        <is>
          <t>GH-023</t>
        </is>
      </c>
      <c r="D1358" s="64">
        <f>IFERROR(INDEX(MgNombre,MATCH($C1358,MgActId,0)),"")</f>
        <v/>
      </c>
      <c r="E1358" s="64">
        <f>IFERROR(INDEX(MgProceso,MATCH($C1358,MgActId,0)),"")</f>
        <v/>
      </c>
      <c r="F1358" s="64">
        <f>IFERROR(INDEX(MgTipo,MATCH($C1358,MgActId,0)),"")</f>
        <v/>
      </c>
      <c r="G1358" s="64">
        <f>IFERROR(INDEX(MgSubtipo,MATCH($C1358,MgActId,0)),"")</f>
        <v/>
      </c>
      <c r="H1358" s="59" t="inlineStr">
        <is>
          <t>E.14</t>
        </is>
      </c>
      <c r="I1358" s="64">
        <f>IFERROR(INDEX(MgAmenNombre,MATCH(SUBSTITUTE($H1358,"*","-"),MgAmenClave,0)),"")</f>
        <v/>
      </c>
      <c r="J1358" s="28">
        <f>IFERROR(INDEX(MgAmenGrupo,MATCH(SUBSTITUTE($H1358,"*","-"),MgAmenClave,0)),"")</f>
        <v/>
      </c>
      <c r="K1358" s="64">
        <f>IFERROR(INDEX('1. Matriz de Activos'!$Q$6:$Q$239,MATCH($C1358,MgActId,0)),"")</f>
        <v/>
      </c>
      <c r="L1358" s="64">
        <f>IFERROR(INDEX('1. Matriz de Activos'!$R$6:$R$239,MATCH($C1358,MgActId,0)),"")</f>
        <v/>
      </c>
      <c r="M1358" s="64">
        <f>IFERROR(INDEX('1. Matriz de Activos'!$S$6:$S$239,MATCH($C1358,MgActId,0)),"")</f>
        <v/>
      </c>
      <c r="N1358" s="28">
        <f>IFERROR(INDEX(MgAmenDegD,MATCH(SUBSTITUTE($H1358,"*","-"),MgAmenClave,0)),"No aplica")</f>
        <v/>
      </c>
      <c r="O1358" s="28">
        <f>IFERROR(INDEX(MgAmenDegI,MATCH(SUBSTITUTE($H1358,"*","-"),MgAmenClave,0)),"No aplica")</f>
        <v/>
      </c>
      <c r="P1358" s="28">
        <f>IFERROR(INDEX(MgAmenDegC,MATCH(SUBSTITUTE($H1358,"*","-"),MgAmenClave,0)),"No aplica")</f>
        <v/>
      </c>
      <c r="Q1358" s="29">
        <f>IFERROR(VLOOKUP(K1358,MgValor,2,0)*VLOOKUP(N1358,MgDeg,2,0),0)</f>
        <v/>
      </c>
      <c r="R1358" s="29">
        <f>IFERROR(VLOOKUP(L1358,MgValor,2,0)*VLOOKUP(O1358,MgDeg,2,0),0)</f>
        <v/>
      </c>
      <c r="S1358" s="29">
        <f>IFERROR(VLOOKUP(M1358,MgValor,2,0)*VLOOKUP(P1358,MgDeg,2,0),0)</f>
        <v/>
      </c>
      <c r="T1358" s="30">
        <f>MAX(Q1358:S1358)</f>
        <v/>
      </c>
      <c r="U1358" s="28">
        <f>IFERROR(LOOKUP(T1358,{0;0.5;1.5;3;4.5},{"Despreciable";"Bajo";"Medio";"Alto";"Muy alto"}),"")</f>
        <v/>
      </c>
      <c r="V1358" s="13">
        <f>IFERROR(INDEX(MgAmenFrec,MATCH(SUBSTITUTE($H1358,"*","-"),MgAmenClave,0)),"")</f>
        <v/>
      </c>
      <c r="W1358" s="28">
        <f>IFERROR(LOOKUP(X1358,{0;0.01;0.1;1;10;100},{"Muy baja";"Muy baja";"Baja";"Media";"Alta";"Muy alta"}),"")</f>
        <v/>
      </c>
      <c r="X1358" s="31">
        <f>IFERROR(VLOOKUP(V1358,MgFrec,2,0),0)</f>
        <v/>
      </c>
      <c r="Y1358" s="30">
        <f>T1358*X1358</f>
        <v/>
      </c>
      <c r="Z1358" s="28">
        <f>IFERROR(LOOKUP(Y1358,{0;0.5;5;25},{"Bajo";"Medio";"Alto";"Crítico"}),"")</f>
        <v/>
      </c>
      <c r="AA1358" s="64">
        <f>IF(T1358&gt;=3,IF(X1358&gt;=1,"Zona 1 — Crítica: impacto alto y ocurre al menos una vez al año","Zona 4 — Catastrófica poco probable: impacto alto pero excepcional"),IF(AND(T1358&lt;1.5,X1358&lt;1),"Zona 3 — Asumible: impacto bajo y muy poco frecuente","Zona 2 — Atención: riesgo intermedio"))</f>
        <v/>
      </c>
      <c r="AB1358" s="64">
        <f>IFERROR(INDEX(MgAmenCtrl,MATCH(SUBSTITUTE($H1358,"*","-"),MgAmenClave,0)),"")</f>
        <v/>
      </c>
      <c r="AC1358" s="20" t="n"/>
      <c r="AD1358" s="31">
        <f>IFERROR($X1358*(1-IF($AC1358="",$AL1358,VLOOKUP($AC1358,MgMad,2,0))),"")</f>
        <v/>
      </c>
      <c r="AE1358" s="28">
        <f>IFERROR(LOOKUP(AD1358,{0;0.01;0.1;1;10;100},{"Muy baja";"Muy baja";"Baja";"Media";"Alta";"Muy alta"}),"")</f>
        <v/>
      </c>
      <c r="AF1358" s="30">
        <f>T1358*AD1358</f>
        <v/>
      </c>
      <c r="AG1358" s="28">
        <f>IFERROR(LOOKUP(AF1358,{0;0.5;5;25},{"Bajo";"Medio";"Alto";"Crítico"}),"")</f>
        <v/>
      </c>
      <c r="AH1358" s="28">
        <f>IF(AG1358="","",IF(OR(AG1358="Crítico",AG1358="Alto"),"Mitigar",IF(AG1358="Medio","Mitigar","Aceptar y monitorear")))</f>
        <v/>
      </c>
      <c r="AI1358" s="21" t="n"/>
      <c r="AJ1358" s="21" t="n"/>
      <c r="AK1358" s="20" t="n"/>
      <c r="AL1358" s="77">
        <f>IFERROR(INDEX(MgAmenEfic,MATCH(SUBSTITUTE($H1358,"*","-"),MgAmenClave,0)),0)</f>
        <v/>
      </c>
    </row>
    <row r="1359" hidden="1" ht="90" customHeight="1" s="54">
      <c r="B1359" s="59" t="inlineStr">
        <is>
          <t>R-1354</t>
        </is>
      </c>
      <c r="C1359" s="59" t="inlineStr">
        <is>
          <t>GH-023</t>
        </is>
      </c>
      <c r="D1359" s="64">
        <f>IFERROR(INDEX(MgNombre,MATCH($C1359,MgActId,0)),"")</f>
        <v/>
      </c>
      <c r="E1359" s="64">
        <f>IFERROR(INDEX(MgProceso,MATCH($C1359,MgActId,0)),"")</f>
        <v/>
      </c>
      <c r="F1359" s="64">
        <f>IFERROR(INDEX(MgTipo,MATCH($C1359,MgActId,0)),"")</f>
        <v/>
      </c>
      <c r="G1359" s="64">
        <f>IFERROR(INDEX(MgSubtipo,MATCH($C1359,MgActId,0)),"")</f>
        <v/>
      </c>
      <c r="H1359" s="59" t="inlineStr">
        <is>
          <t>E.15</t>
        </is>
      </c>
      <c r="I1359" s="64">
        <f>IFERROR(INDEX(MgAmenNombre,MATCH(SUBSTITUTE($H1359,"*","-"),MgAmenClave,0)),"")</f>
        <v/>
      </c>
      <c r="J1359" s="28">
        <f>IFERROR(INDEX(MgAmenGrupo,MATCH(SUBSTITUTE($H1359,"*","-"),MgAmenClave,0)),"")</f>
        <v/>
      </c>
      <c r="K1359" s="64">
        <f>IFERROR(INDEX('1. Matriz de Activos'!$Q$6:$Q$239,MATCH($C1359,MgActId,0)),"")</f>
        <v/>
      </c>
      <c r="L1359" s="64">
        <f>IFERROR(INDEX('1. Matriz de Activos'!$R$6:$R$239,MATCH($C1359,MgActId,0)),"")</f>
        <v/>
      </c>
      <c r="M1359" s="64">
        <f>IFERROR(INDEX('1. Matriz de Activos'!$S$6:$S$239,MATCH($C1359,MgActId,0)),"")</f>
        <v/>
      </c>
      <c r="N1359" s="28">
        <f>IFERROR(INDEX(MgAmenDegD,MATCH(SUBSTITUTE($H1359,"*","-"),MgAmenClave,0)),"No aplica")</f>
        <v/>
      </c>
      <c r="O1359" s="28">
        <f>IFERROR(INDEX(MgAmenDegI,MATCH(SUBSTITUTE($H1359,"*","-"),MgAmenClave,0)),"No aplica")</f>
        <v/>
      </c>
      <c r="P1359" s="28">
        <f>IFERROR(INDEX(MgAmenDegC,MATCH(SUBSTITUTE($H1359,"*","-"),MgAmenClave,0)),"No aplica")</f>
        <v/>
      </c>
      <c r="Q1359" s="29">
        <f>IFERROR(VLOOKUP(K1359,MgValor,2,0)*VLOOKUP(N1359,MgDeg,2,0),0)</f>
        <v/>
      </c>
      <c r="R1359" s="29">
        <f>IFERROR(VLOOKUP(L1359,MgValor,2,0)*VLOOKUP(O1359,MgDeg,2,0),0)</f>
        <v/>
      </c>
      <c r="S1359" s="29">
        <f>IFERROR(VLOOKUP(M1359,MgValor,2,0)*VLOOKUP(P1359,MgDeg,2,0),0)</f>
        <v/>
      </c>
      <c r="T1359" s="30">
        <f>MAX(Q1359:S1359)</f>
        <v/>
      </c>
      <c r="U1359" s="28">
        <f>IFERROR(LOOKUP(T1359,{0;0.5;1.5;3;4.5},{"Despreciable";"Bajo";"Medio";"Alto";"Muy alto"}),"")</f>
        <v/>
      </c>
      <c r="V1359" s="13">
        <f>IFERROR(INDEX(MgAmenFrec,MATCH(SUBSTITUTE($H1359,"*","-"),MgAmenClave,0)),"")</f>
        <v/>
      </c>
      <c r="W1359" s="28">
        <f>IFERROR(LOOKUP(X1359,{0;0.01;0.1;1;10;100},{"Muy baja";"Muy baja";"Baja";"Media";"Alta";"Muy alta"}),"")</f>
        <v/>
      </c>
      <c r="X1359" s="31">
        <f>IFERROR(VLOOKUP(V1359,MgFrec,2,0),0)</f>
        <v/>
      </c>
      <c r="Y1359" s="30">
        <f>T1359*X1359</f>
        <v/>
      </c>
      <c r="Z1359" s="28">
        <f>IFERROR(LOOKUP(Y1359,{0;0.5;5;25},{"Bajo";"Medio";"Alto";"Crítico"}),"")</f>
        <v/>
      </c>
      <c r="AA1359" s="64">
        <f>IF(T1359&gt;=3,IF(X1359&gt;=1,"Zona 1 — Crítica: impacto alto y ocurre al menos una vez al año","Zona 4 — Catastrófica poco probable: impacto alto pero excepcional"),IF(AND(T1359&lt;1.5,X1359&lt;1),"Zona 3 — Asumible: impacto bajo y muy poco frecuente","Zona 2 — Atención: riesgo intermedio"))</f>
        <v/>
      </c>
      <c r="AB1359" s="64">
        <f>IFERROR(INDEX(MgAmenCtrl,MATCH(SUBSTITUTE($H1359,"*","-"),MgAmenClave,0)),"")</f>
        <v/>
      </c>
      <c r="AC1359" s="20" t="n"/>
      <c r="AD1359" s="31">
        <f>IFERROR($X1359*(1-IF($AC1359="",$AL1359,VLOOKUP($AC1359,MgMad,2,0))),"")</f>
        <v/>
      </c>
      <c r="AE1359" s="28">
        <f>IFERROR(LOOKUP(AD1359,{0;0.01;0.1;1;10;100},{"Muy baja";"Muy baja";"Baja";"Media";"Alta";"Muy alta"}),"")</f>
        <v/>
      </c>
      <c r="AF1359" s="30">
        <f>T1359*AD1359</f>
        <v/>
      </c>
      <c r="AG1359" s="28">
        <f>IFERROR(LOOKUP(AF1359,{0;0.5;5;25},{"Bajo";"Medio";"Alto";"Crítico"}),"")</f>
        <v/>
      </c>
      <c r="AH1359" s="28">
        <f>IF(AG1359="","",IF(OR(AG1359="Crítico",AG1359="Alto"),"Mitigar",IF(AG1359="Medio","Mitigar","Aceptar y monitorear")))</f>
        <v/>
      </c>
      <c r="AI1359" s="21" t="n"/>
      <c r="AJ1359" s="21" t="n"/>
      <c r="AK1359" s="20" t="n"/>
      <c r="AL1359" s="77">
        <f>IFERROR(INDEX(MgAmenEfic,MATCH(SUBSTITUTE($H1359,"*","-"),MgAmenClave,0)),0)</f>
        <v/>
      </c>
    </row>
    <row r="1360" hidden="1" ht="60" customHeight="1" s="54">
      <c r="B1360" s="59" t="inlineStr">
        <is>
          <t>R-1355</t>
        </is>
      </c>
      <c r="C1360" s="59" t="inlineStr">
        <is>
          <t>GH-023</t>
        </is>
      </c>
      <c r="D1360" s="64">
        <f>IFERROR(INDEX(MgNombre,MATCH($C1360,MgActId,0)),"")</f>
        <v/>
      </c>
      <c r="E1360" s="64">
        <f>IFERROR(INDEX(MgProceso,MATCH($C1360,MgActId,0)),"")</f>
        <v/>
      </c>
      <c r="F1360" s="64">
        <f>IFERROR(INDEX(MgTipo,MATCH($C1360,MgActId,0)),"")</f>
        <v/>
      </c>
      <c r="G1360" s="64">
        <f>IFERROR(INDEX(MgSubtipo,MATCH($C1360,MgActId,0)),"")</f>
        <v/>
      </c>
      <c r="H1360" s="59" t="inlineStr">
        <is>
          <t>E.18</t>
        </is>
      </c>
      <c r="I1360" s="64">
        <f>IFERROR(INDEX(MgAmenNombre,MATCH(SUBSTITUTE($H1360,"*","-"),MgAmenClave,0)),"")</f>
        <v/>
      </c>
      <c r="J1360" s="28">
        <f>IFERROR(INDEX(MgAmenGrupo,MATCH(SUBSTITUTE($H1360,"*","-"),MgAmenClave,0)),"")</f>
        <v/>
      </c>
      <c r="K1360" s="64">
        <f>IFERROR(INDEX('1. Matriz de Activos'!$Q$6:$Q$239,MATCH($C1360,MgActId,0)),"")</f>
        <v/>
      </c>
      <c r="L1360" s="64">
        <f>IFERROR(INDEX('1. Matriz de Activos'!$R$6:$R$239,MATCH($C1360,MgActId,0)),"")</f>
        <v/>
      </c>
      <c r="M1360" s="64">
        <f>IFERROR(INDEX('1. Matriz de Activos'!$S$6:$S$239,MATCH($C1360,MgActId,0)),"")</f>
        <v/>
      </c>
      <c r="N1360" s="28">
        <f>IFERROR(INDEX(MgAmenDegD,MATCH(SUBSTITUTE($H1360,"*","-"),MgAmenClave,0)),"No aplica")</f>
        <v/>
      </c>
      <c r="O1360" s="28">
        <f>IFERROR(INDEX(MgAmenDegI,MATCH(SUBSTITUTE($H1360,"*","-"),MgAmenClave,0)),"No aplica")</f>
        <v/>
      </c>
      <c r="P1360" s="28">
        <f>IFERROR(INDEX(MgAmenDegC,MATCH(SUBSTITUTE($H1360,"*","-"),MgAmenClave,0)),"No aplica")</f>
        <v/>
      </c>
      <c r="Q1360" s="29">
        <f>IFERROR(VLOOKUP(K1360,MgValor,2,0)*VLOOKUP(N1360,MgDeg,2,0),0)</f>
        <v/>
      </c>
      <c r="R1360" s="29">
        <f>IFERROR(VLOOKUP(L1360,MgValor,2,0)*VLOOKUP(O1360,MgDeg,2,0),0)</f>
        <v/>
      </c>
      <c r="S1360" s="29">
        <f>IFERROR(VLOOKUP(M1360,MgValor,2,0)*VLOOKUP(P1360,MgDeg,2,0),0)</f>
        <v/>
      </c>
      <c r="T1360" s="30">
        <f>MAX(Q1360:S1360)</f>
        <v/>
      </c>
      <c r="U1360" s="28">
        <f>IFERROR(LOOKUP(T1360,{0;0.5;1.5;3;4.5},{"Despreciable";"Bajo";"Medio";"Alto";"Muy alto"}),"")</f>
        <v/>
      </c>
      <c r="V1360" s="13">
        <f>IFERROR(INDEX(MgAmenFrec,MATCH(SUBSTITUTE($H1360,"*","-"),MgAmenClave,0)),"")</f>
        <v/>
      </c>
      <c r="W1360" s="28">
        <f>IFERROR(LOOKUP(X1360,{0;0.01;0.1;1;10;100},{"Muy baja";"Muy baja";"Baja";"Media";"Alta";"Muy alta"}),"")</f>
        <v/>
      </c>
      <c r="X1360" s="31">
        <f>IFERROR(VLOOKUP(V1360,MgFrec,2,0),0)</f>
        <v/>
      </c>
      <c r="Y1360" s="30">
        <f>T1360*X1360</f>
        <v/>
      </c>
      <c r="Z1360" s="28">
        <f>IFERROR(LOOKUP(Y1360,{0;0.5;5;25},{"Bajo";"Medio";"Alto";"Crítico"}),"")</f>
        <v/>
      </c>
      <c r="AA1360" s="64">
        <f>IF(T1360&gt;=3,IF(X1360&gt;=1,"Zona 1 — Crítica: impacto alto y ocurre al menos una vez al año","Zona 4 — Catastrófica poco probable: impacto alto pero excepcional"),IF(AND(T1360&lt;1.5,X1360&lt;1),"Zona 3 — Asumible: impacto bajo y muy poco frecuente","Zona 2 — Atención: riesgo intermedio"))</f>
        <v/>
      </c>
      <c r="AB1360" s="64">
        <f>IFERROR(INDEX(MgAmenCtrl,MATCH(SUBSTITUTE($H1360,"*","-"),MgAmenClave,0)),"")</f>
        <v/>
      </c>
      <c r="AC1360" s="20" t="n"/>
      <c r="AD1360" s="31">
        <f>IFERROR($X1360*(1-IF($AC1360="",$AL1360,VLOOKUP($AC1360,MgMad,2,0))),"")</f>
        <v/>
      </c>
      <c r="AE1360" s="28">
        <f>IFERROR(LOOKUP(AD1360,{0;0.01;0.1;1;10;100},{"Muy baja";"Muy baja";"Baja";"Media";"Alta";"Muy alta"}),"")</f>
        <v/>
      </c>
      <c r="AF1360" s="30">
        <f>T1360*AD1360</f>
        <v/>
      </c>
      <c r="AG1360" s="28">
        <f>IFERROR(LOOKUP(AF1360,{0;0.5;5;25},{"Bajo";"Medio";"Alto";"Crítico"}),"")</f>
        <v/>
      </c>
      <c r="AH1360" s="28">
        <f>IF(AG1360="","",IF(OR(AG1360="Crítico",AG1360="Alto"),"Mitigar",IF(AG1360="Medio","Mitigar","Aceptar y monitorear")))</f>
        <v/>
      </c>
      <c r="AI1360" s="21" t="n"/>
      <c r="AJ1360" s="21" t="n"/>
      <c r="AK1360" s="20" t="n"/>
      <c r="AL1360" s="77">
        <f>IFERROR(INDEX(MgAmenEfic,MATCH(SUBSTITUTE($H1360,"*","-"),MgAmenClave,0)),0)</f>
        <v/>
      </c>
    </row>
    <row r="1361" hidden="1" ht="105" customHeight="1" s="54">
      <c r="B1361" s="59" t="inlineStr">
        <is>
          <t>R-1356</t>
        </is>
      </c>
      <c r="C1361" s="59" t="inlineStr">
        <is>
          <t>GH-023</t>
        </is>
      </c>
      <c r="D1361" s="64">
        <f>IFERROR(INDEX(MgNombre,MATCH($C1361,MgActId,0)),"")</f>
        <v/>
      </c>
      <c r="E1361" s="64">
        <f>IFERROR(INDEX(MgProceso,MATCH($C1361,MgActId,0)),"")</f>
        <v/>
      </c>
      <c r="F1361" s="64">
        <f>IFERROR(INDEX(MgTipo,MATCH($C1361,MgActId,0)),"")</f>
        <v/>
      </c>
      <c r="G1361" s="64">
        <f>IFERROR(INDEX(MgSubtipo,MATCH($C1361,MgActId,0)),"")</f>
        <v/>
      </c>
      <c r="H1361" s="59" t="inlineStr">
        <is>
          <t>E.19</t>
        </is>
      </c>
      <c r="I1361" s="64">
        <f>IFERROR(INDEX(MgAmenNombre,MATCH(SUBSTITUTE($H1361,"*","-"),MgAmenClave,0)),"")</f>
        <v/>
      </c>
      <c r="J1361" s="28">
        <f>IFERROR(INDEX(MgAmenGrupo,MATCH(SUBSTITUTE($H1361,"*","-"),MgAmenClave,0)),"")</f>
        <v/>
      </c>
      <c r="K1361" s="64">
        <f>IFERROR(INDEX('1. Matriz de Activos'!$Q$6:$Q$239,MATCH($C1361,MgActId,0)),"")</f>
        <v/>
      </c>
      <c r="L1361" s="64">
        <f>IFERROR(INDEX('1. Matriz de Activos'!$R$6:$R$239,MATCH($C1361,MgActId,0)),"")</f>
        <v/>
      </c>
      <c r="M1361" s="64">
        <f>IFERROR(INDEX('1. Matriz de Activos'!$S$6:$S$239,MATCH($C1361,MgActId,0)),"")</f>
        <v/>
      </c>
      <c r="N1361" s="28">
        <f>IFERROR(INDEX(MgAmenDegD,MATCH(SUBSTITUTE($H1361,"*","-"),MgAmenClave,0)),"No aplica")</f>
        <v/>
      </c>
      <c r="O1361" s="28">
        <f>IFERROR(INDEX(MgAmenDegI,MATCH(SUBSTITUTE($H1361,"*","-"),MgAmenClave,0)),"No aplica")</f>
        <v/>
      </c>
      <c r="P1361" s="28">
        <f>IFERROR(INDEX(MgAmenDegC,MATCH(SUBSTITUTE($H1361,"*","-"),MgAmenClave,0)),"No aplica")</f>
        <v/>
      </c>
      <c r="Q1361" s="29">
        <f>IFERROR(VLOOKUP(K1361,MgValor,2,0)*VLOOKUP(N1361,MgDeg,2,0),0)</f>
        <v/>
      </c>
      <c r="R1361" s="29">
        <f>IFERROR(VLOOKUP(L1361,MgValor,2,0)*VLOOKUP(O1361,MgDeg,2,0),0)</f>
        <v/>
      </c>
      <c r="S1361" s="29">
        <f>IFERROR(VLOOKUP(M1361,MgValor,2,0)*VLOOKUP(P1361,MgDeg,2,0),0)</f>
        <v/>
      </c>
      <c r="T1361" s="30">
        <f>MAX(Q1361:S1361)</f>
        <v/>
      </c>
      <c r="U1361" s="28">
        <f>IFERROR(LOOKUP(T1361,{0;0.5;1.5;3;4.5},{"Despreciable";"Bajo";"Medio";"Alto";"Muy alto"}),"")</f>
        <v/>
      </c>
      <c r="V1361" s="13">
        <f>IFERROR(INDEX(MgAmenFrec,MATCH(SUBSTITUTE($H1361,"*","-"),MgAmenClave,0)),"")</f>
        <v/>
      </c>
      <c r="W1361" s="28">
        <f>IFERROR(LOOKUP(X1361,{0;0.01;0.1;1;10;100},{"Muy baja";"Muy baja";"Baja";"Media";"Alta";"Muy alta"}),"")</f>
        <v/>
      </c>
      <c r="X1361" s="31">
        <f>IFERROR(VLOOKUP(V1361,MgFrec,2,0),0)</f>
        <v/>
      </c>
      <c r="Y1361" s="30">
        <f>T1361*X1361</f>
        <v/>
      </c>
      <c r="Z1361" s="28">
        <f>IFERROR(LOOKUP(Y1361,{0;0.5;5;25},{"Bajo";"Medio";"Alto";"Crítico"}),"")</f>
        <v/>
      </c>
      <c r="AA1361" s="64">
        <f>IF(T1361&gt;=3,IF(X1361&gt;=1,"Zona 1 — Crítica: impacto alto y ocurre al menos una vez al año","Zona 4 — Catastrófica poco probable: impacto alto pero excepcional"),IF(AND(T1361&lt;1.5,X1361&lt;1),"Zona 3 — Asumible: impacto bajo y muy poco frecuente","Zona 2 — Atención: riesgo intermedio"))</f>
        <v/>
      </c>
      <c r="AB1361" s="64">
        <f>IFERROR(INDEX(MgAmenCtrl,MATCH(SUBSTITUTE($H1361,"*","-"),MgAmenClave,0)),"")</f>
        <v/>
      </c>
      <c r="AC1361" s="20" t="n"/>
      <c r="AD1361" s="31">
        <f>IFERROR($X1361*(1-IF($AC1361="",$AL1361,VLOOKUP($AC1361,MgMad,2,0))),"")</f>
        <v/>
      </c>
      <c r="AE1361" s="28">
        <f>IFERROR(LOOKUP(AD1361,{0;0.01;0.1;1;10;100},{"Muy baja";"Muy baja";"Baja";"Media";"Alta";"Muy alta"}),"")</f>
        <v/>
      </c>
      <c r="AF1361" s="30">
        <f>T1361*AD1361</f>
        <v/>
      </c>
      <c r="AG1361" s="28">
        <f>IFERROR(LOOKUP(AF1361,{0;0.5;5;25},{"Bajo";"Medio";"Alto";"Crítico"}),"")</f>
        <v/>
      </c>
      <c r="AH1361" s="28">
        <f>IF(AG1361="","",IF(OR(AG1361="Crítico",AG1361="Alto"),"Mitigar",IF(AG1361="Medio","Mitigar","Aceptar y monitorear")))</f>
        <v/>
      </c>
      <c r="AI1361" s="21" t="n"/>
      <c r="AJ1361" s="21" t="n"/>
      <c r="AK1361" s="20" t="n"/>
      <c r="AL1361" s="77">
        <f>IFERROR(INDEX(MgAmenEfic,MATCH(SUBSTITUTE($H1361,"*","-"),MgAmenClave,0)),0)</f>
        <v/>
      </c>
    </row>
    <row r="1362" hidden="1" ht="60" customHeight="1" s="54">
      <c r="B1362" s="59" t="inlineStr">
        <is>
          <t>R-1357</t>
        </is>
      </c>
      <c r="C1362" s="59" t="inlineStr">
        <is>
          <t>GH-023</t>
        </is>
      </c>
      <c r="D1362" s="64">
        <f>IFERROR(INDEX(MgNombre,MATCH($C1362,MgActId,0)),"")</f>
        <v/>
      </c>
      <c r="E1362" s="64">
        <f>IFERROR(INDEX(MgProceso,MATCH($C1362,MgActId,0)),"")</f>
        <v/>
      </c>
      <c r="F1362" s="64">
        <f>IFERROR(INDEX(MgTipo,MATCH($C1362,MgActId,0)),"")</f>
        <v/>
      </c>
      <c r="G1362" s="64">
        <f>IFERROR(INDEX(MgSubtipo,MATCH($C1362,MgActId,0)),"")</f>
        <v/>
      </c>
      <c r="H1362" s="59" t="inlineStr">
        <is>
          <t>A.3</t>
        </is>
      </c>
      <c r="I1362" s="64">
        <f>IFERROR(INDEX(MgAmenNombre,MATCH(SUBSTITUTE($H1362,"*","-"),MgAmenClave,0)),"")</f>
        <v/>
      </c>
      <c r="J1362" s="28">
        <f>IFERROR(INDEX(MgAmenGrupo,MATCH(SUBSTITUTE($H1362,"*","-"),MgAmenClave,0)),"")</f>
        <v/>
      </c>
      <c r="K1362" s="64">
        <f>IFERROR(INDEX('1. Matriz de Activos'!$Q$6:$Q$239,MATCH($C1362,MgActId,0)),"")</f>
        <v/>
      </c>
      <c r="L1362" s="64">
        <f>IFERROR(INDEX('1. Matriz de Activos'!$R$6:$R$239,MATCH($C1362,MgActId,0)),"")</f>
        <v/>
      </c>
      <c r="M1362" s="64">
        <f>IFERROR(INDEX('1. Matriz de Activos'!$S$6:$S$239,MATCH($C1362,MgActId,0)),"")</f>
        <v/>
      </c>
      <c r="N1362" s="28">
        <f>IFERROR(INDEX(MgAmenDegD,MATCH(SUBSTITUTE($H1362,"*","-"),MgAmenClave,0)),"No aplica")</f>
        <v/>
      </c>
      <c r="O1362" s="28">
        <f>IFERROR(INDEX(MgAmenDegI,MATCH(SUBSTITUTE($H1362,"*","-"),MgAmenClave,0)),"No aplica")</f>
        <v/>
      </c>
      <c r="P1362" s="28">
        <f>IFERROR(INDEX(MgAmenDegC,MATCH(SUBSTITUTE($H1362,"*","-"),MgAmenClave,0)),"No aplica")</f>
        <v/>
      </c>
      <c r="Q1362" s="29">
        <f>IFERROR(VLOOKUP(K1362,MgValor,2,0)*VLOOKUP(N1362,MgDeg,2,0),0)</f>
        <v/>
      </c>
      <c r="R1362" s="29">
        <f>IFERROR(VLOOKUP(L1362,MgValor,2,0)*VLOOKUP(O1362,MgDeg,2,0),0)</f>
        <v/>
      </c>
      <c r="S1362" s="29">
        <f>IFERROR(VLOOKUP(M1362,MgValor,2,0)*VLOOKUP(P1362,MgDeg,2,0),0)</f>
        <v/>
      </c>
      <c r="T1362" s="30">
        <f>MAX(Q1362:S1362)</f>
        <v/>
      </c>
      <c r="U1362" s="28">
        <f>IFERROR(LOOKUP(T1362,{0;0.5;1.5;3;4.5},{"Despreciable";"Bajo";"Medio";"Alto";"Muy alto"}),"")</f>
        <v/>
      </c>
      <c r="V1362" s="13">
        <f>IFERROR(INDEX(MgAmenFrec,MATCH(SUBSTITUTE($H1362,"*","-"),MgAmenClave,0)),"")</f>
        <v/>
      </c>
      <c r="W1362" s="28">
        <f>IFERROR(LOOKUP(X1362,{0;0.01;0.1;1;10;100},{"Muy baja";"Muy baja";"Baja";"Media";"Alta";"Muy alta"}),"")</f>
        <v/>
      </c>
      <c r="X1362" s="31">
        <f>IFERROR(VLOOKUP(V1362,MgFrec,2,0),0)</f>
        <v/>
      </c>
      <c r="Y1362" s="30">
        <f>T1362*X1362</f>
        <v/>
      </c>
      <c r="Z1362" s="28">
        <f>IFERROR(LOOKUP(Y1362,{0;0.5;5;25},{"Bajo";"Medio";"Alto";"Crítico"}),"")</f>
        <v/>
      </c>
      <c r="AA1362" s="64">
        <f>IF(T1362&gt;=3,IF(X1362&gt;=1,"Zona 1 — Crítica: impacto alto y ocurre al menos una vez al año","Zona 4 — Catastrófica poco probable: impacto alto pero excepcional"),IF(AND(T1362&lt;1.5,X1362&lt;1),"Zona 3 — Asumible: impacto bajo y muy poco frecuente","Zona 2 — Atención: riesgo intermedio"))</f>
        <v/>
      </c>
      <c r="AB1362" s="64">
        <f>IFERROR(INDEX(MgAmenCtrl,MATCH(SUBSTITUTE($H1362,"*","-"),MgAmenClave,0)),"")</f>
        <v/>
      </c>
      <c r="AC1362" s="20" t="n"/>
      <c r="AD1362" s="31">
        <f>IFERROR($X1362*(1-IF($AC1362="",$AL1362,VLOOKUP($AC1362,MgMad,2,0))),"")</f>
        <v/>
      </c>
      <c r="AE1362" s="28">
        <f>IFERROR(LOOKUP(AD1362,{0;0.01;0.1;1;10;100},{"Muy baja";"Muy baja";"Baja";"Media";"Alta";"Muy alta"}),"")</f>
        <v/>
      </c>
      <c r="AF1362" s="30">
        <f>T1362*AD1362</f>
        <v/>
      </c>
      <c r="AG1362" s="28">
        <f>IFERROR(LOOKUP(AF1362,{0;0.5;5;25},{"Bajo";"Medio";"Alto";"Crítico"}),"")</f>
        <v/>
      </c>
      <c r="AH1362" s="28">
        <f>IF(AG1362="","",IF(OR(AG1362="Crítico",AG1362="Alto"),"Mitigar",IF(AG1362="Medio","Mitigar","Aceptar y monitorear")))</f>
        <v/>
      </c>
      <c r="AI1362" s="21" t="n"/>
      <c r="AJ1362" s="21" t="n"/>
      <c r="AK1362" s="20" t="n"/>
      <c r="AL1362" s="77">
        <f>IFERROR(INDEX(MgAmenEfic,MATCH(SUBSTITUTE($H1362,"*","-"),MgAmenClave,0)),0)</f>
        <v/>
      </c>
    </row>
    <row r="1363" hidden="1" ht="60" customHeight="1" s="54">
      <c r="B1363" s="59" t="inlineStr">
        <is>
          <t>R-1358</t>
        </is>
      </c>
      <c r="C1363" s="59" t="inlineStr">
        <is>
          <t>GH-023</t>
        </is>
      </c>
      <c r="D1363" s="64">
        <f>IFERROR(INDEX(MgNombre,MATCH($C1363,MgActId,0)),"")</f>
        <v/>
      </c>
      <c r="E1363" s="64">
        <f>IFERROR(INDEX(MgProceso,MATCH($C1363,MgActId,0)),"")</f>
        <v/>
      </c>
      <c r="F1363" s="64">
        <f>IFERROR(INDEX(MgTipo,MATCH($C1363,MgActId,0)),"")</f>
        <v/>
      </c>
      <c r="G1363" s="64">
        <f>IFERROR(INDEX(MgSubtipo,MATCH($C1363,MgActId,0)),"")</f>
        <v/>
      </c>
      <c r="H1363" s="59" t="inlineStr">
        <is>
          <t>A.4</t>
        </is>
      </c>
      <c r="I1363" s="64">
        <f>IFERROR(INDEX(MgAmenNombre,MATCH(SUBSTITUTE($H1363,"*","-"),MgAmenClave,0)),"")</f>
        <v/>
      </c>
      <c r="J1363" s="28">
        <f>IFERROR(INDEX(MgAmenGrupo,MATCH(SUBSTITUTE($H1363,"*","-"),MgAmenClave,0)),"")</f>
        <v/>
      </c>
      <c r="K1363" s="64">
        <f>IFERROR(INDEX('1. Matriz de Activos'!$Q$6:$Q$239,MATCH($C1363,MgActId,0)),"")</f>
        <v/>
      </c>
      <c r="L1363" s="64">
        <f>IFERROR(INDEX('1. Matriz de Activos'!$R$6:$R$239,MATCH($C1363,MgActId,0)),"")</f>
        <v/>
      </c>
      <c r="M1363" s="64">
        <f>IFERROR(INDEX('1. Matriz de Activos'!$S$6:$S$239,MATCH($C1363,MgActId,0)),"")</f>
        <v/>
      </c>
      <c r="N1363" s="28">
        <f>IFERROR(INDEX(MgAmenDegD,MATCH(SUBSTITUTE($H1363,"*","-"),MgAmenClave,0)),"No aplica")</f>
        <v/>
      </c>
      <c r="O1363" s="28">
        <f>IFERROR(INDEX(MgAmenDegI,MATCH(SUBSTITUTE($H1363,"*","-"),MgAmenClave,0)),"No aplica")</f>
        <v/>
      </c>
      <c r="P1363" s="28">
        <f>IFERROR(INDEX(MgAmenDegC,MATCH(SUBSTITUTE($H1363,"*","-"),MgAmenClave,0)),"No aplica")</f>
        <v/>
      </c>
      <c r="Q1363" s="29">
        <f>IFERROR(VLOOKUP(K1363,MgValor,2,0)*VLOOKUP(N1363,MgDeg,2,0),0)</f>
        <v/>
      </c>
      <c r="R1363" s="29">
        <f>IFERROR(VLOOKUP(L1363,MgValor,2,0)*VLOOKUP(O1363,MgDeg,2,0),0)</f>
        <v/>
      </c>
      <c r="S1363" s="29">
        <f>IFERROR(VLOOKUP(M1363,MgValor,2,0)*VLOOKUP(P1363,MgDeg,2,0),0)</f>
        <v/>
      </c>
      <c r="T1363" s="30">
        <f>MAX(Q1363:S1363)</f>
        <v/>
      </c>
      <c r="U1363" s="28">
        <f>IFERROR(LOOKUP(T1363,{0;0.5;1.5;3;4.5},{"Despreciable";"Bajo";"Medio";"Alto";"Muy alto"}),"")</f>
        <v/>
      </c>
      <c r="V1363" s="13">
        <f>IFERROR(INDEX(MgAmenFrec,MATCH(SUBSTITUTE($H1363,"*","-"),MgAmenClave,0)),"")</f>
        <v/>
      </c>
      <c r="W1363" s="28">
        <f>IFERROR(LOOKUP(X1363,{0;0.01;0.1;1;10;100},{"Muy baja";"Muy baja";"Baja";"Media";"Alta";"Muy alta"}),"")</f>
        <v/>
      </c>
      <c r="X1363" s="31">
        <f>IFERROR(VLOOKUP(V1363,MgFrec,2,0),0)</f>
        <v/>
      </c>
      <c r="Y1363" s="30">
        <f>T1363*X1363</f>
        <v/>
      </c>
      <c r="Z1363" s="28">
        <f>IFERROR(LOOKUP(Y1363,{0;0.5;5;25},{"Bajo";"Medio";"Alto";"Crítico"}),"")</f>
        <v/>
      </c>
      <c r="AA1363" s="64">
        <f>IF(T1363&gt;=3,IF(X1363&gt;=1,"Zona 1 — Crítica: impacto alto y ocurre al menos una vez al año","Zona 4 — Catastrófica poco probable: impacto alto pero excepcional"),IF(AND(T1363&lt;1.5,X1363&lt;1),"Zona 3 — Asumible: impacto bajo y muy poco frecuente","Zona 2 — Atención: riesgo intermedio"))</f>
        <v/>
      </c>
      <c r="AB1363" s="64">
        <f>IFERROR(INDEX(MgAmenCtrl,MATCH(SUBSTITUTE($H1363,"*","-"),MgAmenClave,0)),"")</f>
        <v/>
      </c>
      <c r="AC1363" s="20" t="n"/>
      <c r="AD1363" s="31">
        <f>IFERROR($X1363*(1-IF($AC1363="",$AL1363,VLOOKUP($AC1363,MgMad,2,0))),"")</f>
        <v/>
      </c>
      <c r="AE1363" s="28">
        <f>IFERROR(LOOKUP(AD1363,{0;0.01;0.1;1;10;100},{"Muy baja";"Muy baja";"Baja";"Media";"Alta";"Muy alta"}),"")</f>
        <v/>
      </c>
      <c r="AF1363" s="30">
        <f>T1363*AD1363</f>
        <v/>
      </c>
      <c r="AG1363" s="28">
        <f>IFERROR(LOOKUP(AF1363,{0;0.5;5;25},{"Bajo";"Medio";"Alto";"Crítico"}),"")</f>
        <v/>
      </c>
      <c r="AH1363" s="28">
        <f>IF(AG1363="","",IF(OR(AG1363="Crítico",AG1363="Alto"),"Mitigar",IF(AG1363="Medio","Mitigar","Aceptar y monitorear")))</f>
        <v/>
      </c>
      <c r="AI1363" s="21" t="n"/>
      <c r="AJ1363" s="21" t="n"/>
      <c r="AK1363" s="20" t="n"/>
      <c r="AL1363" s="77">
        <f>IFERROR(INDEX(MgAmenEfic,MATCH(SUBSTITUTE($H1363,"*","-"),MgAmenClave,0)),0)</f>
        <v/>
      </c>
    </row>
    <row r="1364" hidden="1" ht="75" customHeight="1" s="54">
      <c r="B1364" s="59" t="inlineStr">
        <is>
          <t>R-1359</t>
        </is>
      </c>
      <c r="C1364" s="59" t="inlineStr">
        <is>
          <t>GH-023</t>
        </is>
      </c>
      <c r="D1364" s="64">
        <f>IFERROR(INDEX(MgNombre,MATCH($C1364,MgActId,0)),"")</f>
        <v/>
      </c>
      <c r="E1364" s="64">
        <f>IFERROR(INDEX(MgProceso,MATCH($C1364,MgActId,0)),"")</f>
        <v/>
      </c>
      <c r="F1364" s="64">
        <f>IFERROR(INDEX(MgTipo,MATCH($C1364,MgActId,0)),"")</f>
        <v/>
      </c>
      <c r="G1364" s="64">
        <f>IFERROR(INDEX(MgSubtipo,MATCH($C1364,MgActId,0)),"")</f>
        <v/>
      </c>
      <c r="H1364" s="59" t="inlineStr">
        <is>
          <t>A.5</t>
        </is>
      </c>
      <c r="I1364" s="64">
        <f>IFERROR(INDEX(MgAmenNombre,MATCH(SUBSTITUTE($H1364,"*","-"),MgAmenClave,0)),"")</f>
        <v/>
      </c>
      <c r="J1364" s="28">
        <f>IFERROR(INDEX(MgAmenGrupo,MATCH(SUBSTITUTE($H1364,"*","-"),MgAmenClave,0)),"")</f>
        <v/>
      </c>
      <c r="K1364" s="64">
        <f>IFERROR(INDEX('1. Matriz de Activos'!$Q$6:$Q$239,MATCH($C1364,MgActId,0)),"")</f>
        <v/>
      </c>
      <c r="L1364" s="64">
        <f>IFERROR(INDEX('1. Matriz de Activos'!$R$6:$R$239,MATCH($C1364,MgActId,0)),"")</f>
        <v/>
      </c>
      <c r="M1364" s="64">
        <f>IFERROR(INDEX('1. Matriz de Activos'!$S$6:$S$239,MATCH($C1364,MgActId,0)),"")</f>
        <v/>
      </c>
      <c r="N1364" s="28">
        <f>IFERROR(INDEX(MgAmenDegD,MATCH(SUBSTITUTE($H1364,"*","-"),MgAmenClave,0)),"No aplica")</f>
        <v/>
      </c>
      <c r="O1364" s="28">
        <f>IFERROR(INDEX(MgAmenDegI,MATCH(SUBSTITUTE($H1364,"*","-"),MgAmenClave,0)),"No aplica")</f>
        <v/>
      </c>
      <c r="P1364" s="28">
        <f>IFERROR(INDEX(MgAmenDegC,MATCH(SUBSTITUTE($H1364,"*","-"),MgAmenClave,0)),"No aplica")</f>
        <v/>
      </c>
      <c r="Q1364" s="29">
        <f>IFERROR(VLOOKUP(K1364,MgValor,2,0)*VLOOKUP(N1364,MgDeg,2,0),0)</f>
        <v/>
      </c>
      <c r="R1364" s="29">
        <f>IFERROR(VLOOKUP(L1364,MgValor,2,0)*VLOOKUP(O1364,MgDeg,2,0),0)</f>
        <v/>
      </c>
      <c r="S1364" s="29">
        <f>IFERROR(VLOOKUP(M1364,MgValor,2,0)*VLOOKUP(P1364,MgDeg,2,0),0)</f>
        <v/>
      </c>
      <c r="T1364" s="30">
        <f>MAX(Q1364:S1364)</f>
        <v/>
      </c>
      <c r="U1364" s="28">
        <f>IFERROR(LOOKUP(T1364,{0;0.5;1.5;3;4.5},{"Despreciable";"Bajo";"Medio";"Alto";"Muy alto"}),"")</f>
        <v/>
      </c>
      <c r="V1364" s="13">
        <f>IFERROR(INDEX(MgAmenFrec,MATCH(SUBSTITUTE($H1364,"*","-"),MgAmenClave,0)),"")</f>
        <v/>
      </c>
      <c r="W1364" s="28">
        <f>IFERROR(LOOKUP(X1364,{0;0.01;0.1;1;10;100},{"Muy baja";"Muy baja";"Baja";"Media";"Alta";"Muy alta"}),"")</f>
        <v/>
      </c>
      <c r="X1364" s="31">
        <f>IFERROR(VLOOKUP(V1364,MgFrec,2,0),0)</f>
        <v/>
      </c>
      <c r="Y1364" s="30">
        <f>T1364*X1364</f>
        <v/>
      </c>
      <c r="Z1364" s="28">
        <f>IFERROR(LOOKUP(Y1364,{0;0.5;5;25},{"Bajo";"Medio";"Alto";"Crítico"}),"")</f>
        <v/>
      </c>
      <c r="AA1364" s="64">
        <f>IF(T1364&gt;=3,IF(X1364&gt;=1,"Zona 1 — Crítica: impacto alto y ocurre al menos una vez al año","Zona 4 — Catastrófica poco probable: impacto alto pero excepcional"),IF(AND(T1364&lt;1.5,X1364&lt;1),"Zona 3 — Asumible: impacto bajo y muy poco frecuente","Zona 2 — Atención: riesgo intermedio"))</f>
        <v/>
      </c>
      <c r="AB1364" s="64">
        <f>IFERROR(INDEX(MgAmenCtrl,MATCH(SUBSTITUTE($H1364,"*","-"),MgAmenClave,0)),"")</f>
        <v/>
      </c>
      <c r="AC1364" s="20" t="n"/>
      <c r="AD1364" s="31">
        <f>IFERROR($X1364*(1-IF($AC1364="",$AL1364,VLOOKUP($AC1364,MgMad,2,0))),"")</f>
        <v/>
      </c>
      <c r="AE1364" s="28">
        <f>IFERROR(LOOKUP(AD1364,{0;0.01;0.1;1;10;100},{"Muy baja";"Muy baja";"Baja";"Media";"Alta";"Muy alta"}),"")</f>
        <v/>
      </c>
      <c r="AF1364" s="30">
        <f>T1364*AD1364</f>
        <v/>
      </c>
      <c r="AG1364" s="28">
        <f>IFERROR(LOOKUP(AF1364,{0;0.5;5;25},{"Bajo";"Medio";"Alto";"Crítico"}),"")</f>
        <v/>
      </c>
      <c r="AH1364" s="28">
        <f>IF(AG1364="","",IF(OR(AG1364="Crítico",AG1364="Alto"),"Mitigar",IF(AG1364="Medio","Mitigar","Aceptar y monitorear")))</f>
        <v/>
      </c>
      <c r="AI1364" s="21" t="n"/>
      <c r="AJ1364" s="21" t="n"/>
      <c r="AK1364" s="20" t="n"/>
      <c r="AL1364" s="77">
        <f>IFERROR(INDEX(MgAmenEfic,MATCH(SUBSTITUTE($H1364,"*","-"),MgAmenClave,0)),0)</f>
        <v/>
      </c>
    </row>
    <row r="1365" hidden="1" ht="105" customHeight="1" s="54">
      <c r="B1365" s="59" t="inlineStr">
        <is>
          <t>R-1360</t>
        </is>
      </c>
      <c r="C1365" s="59" t="inlineStr">
        <is>
          <t>GH-023</t>
        </is>
      </c>
      <c r="D1365" s="64">
        <f>IFERROR(INDEX(MgNombre,MATCH($C1365,MgActId,0)),"")</f>
        <v/>
      </c>
      <c r="E1365" s="64">
        <f>IFERROR(INDEX(MgProceso,MATCH($C1365,MgActId,0)),"")</f>
        <v/>
      </c>
      <c r="F1365" s="64">
        <f>IFERROR(INDEX(MgTipo,MATCH($C1365,MgActId,0)),"")</f>
        <v/>
      </c>
      <c r="G1365" s="64">
        <f>IFERROR(INDEX(MgSubtipo,MATCH($C1365,MgActId,0)),"")</f>
        <v/>
      </c>
      <c r="H1365" s="59" t="inlineStr">
        <is>
          <t>A.6</t>
        </is>
      </c>
      <c r="I1365" s="64">
        <f>IFERROR(INDEX(MgAmenNombre,MATCH(SUBSTITUTE($H1365,"*","-"),MgAmenClave,0)),"")</f>
        <v/>
      </c>
      <c r="J1365" s="28">
        <f>IFERROR(INDEX(MgAmenGrupo,MATCH(SUBSTITUTE($H1365,"*","-"),MgAmenClave,0)),"")</f>
        <v/>
      </c>
      <c r="K1365" s="64">
        <f>IFERROR(INDEX('1. Matriz de Activos'!$Q$6:$Q$239,MATCH($C1365,MgActId,0)),"")</f>
        <v/>
      </c>
      <c r="L1365" s="64">
        <f>IFERROR(INDEX('1. Matriz de Activos'!$R$6:$R$239,MATCH($C1365,MgActId,0)),"")</f>
        <v/>
      </c>
      <c r="M1365" s="64">
        <f>IFERROR(INDEX('1. Matriz de Activos'!$S$6:$S$239,MATCH($C1365,MgActId,0)),"")</f>
        <v/>
      </c>
      <c r="N1365" s="28">
        <f>IFERROR(INDEX(MgAmenDegD,MATCH(SUBSTITUTE($H1365,"*","-"),MgAmenClave,0)),"No aplica")</f>
        <v/>
      </c>
      <c r="O1365" s="28">
        <f>IFERROR(INDEX(MgAmenDegI,MATCH(SUBSTITUTE($H1365,"*","-"),MgAmenClave,0)),"No aplica")</f>
        <v/>
      </c>
      <c r="P1365" s="28">
        <f>IFERROR(INDEX(MgAmenDegC,MATCH(SUBSTITUTE($H1365,"*","-"),MgAmenClave,0)),"No aplica")</f>
        <v/>
      </c>
      <c r="Q1365" s="29">
        <f>IFERROR(VLOOKUP(K1365,MgValor,2,0)*VLOOKUP(N1365,MgDeg,2,0),0)</f>
        <v/>
      </c>
      <c r="R1365" s="29">
        <f>IFERROR(VLOOKUP(L1365,MgValor,2,0)*VLOOKUP(O1365,MgDeg,2,0),0)</f>
        <v/>
      </c>
      <c r="S1365" s="29">
        <f>IFERROR(VLOOKUP(M1365,MgValor,2,0)*VLOOKUP(P1365,MgDeg,2,0),0)</f>
        <v/>
      </c>
      <c r="T1365" s="30">
        <f>MAX(Q1365:S1365)</f>
        <v/>
      </c>
      <c r="U1365" s="28">
        <f>IFERROR(LOOKUP(T1365,{0;0.5;1.5;3;4.5},{"Despreciable";"Bajo";"Medio";"Alto";"Muy alto"}),"")</f>
        <v/>
      </c>
      <c r="V1365" s="13">
        <f>IFERROR(INDEX(MgAmenFrec,MATCH(SUBSTITUTE($H1365,"*","-"),MgAmenClave,0)),"")</f>
        <v/>
      </c>
      <c r="W1365" s="28">
        <f>IFERROR(LOOKUP(X1365,{0;0.01;0.1;1;10;100},{"Muy baja";"Muy baja";"Baja";"Media";"Alta";"Muy alta"}),"")</f>
        <v/>
      </c>
      <c r="X1365" s="31">
        <f>IFERROR(VLOOKUP(V1365,MgFrec,2,0),0)</f>
        <v/>
      </c>
      <c r="Y1365" s="30">
        <f>T1365*X1365</f>
        <v/>
      </c>
      <c r="Z1365" s="28">
        <f>IFERROR(LOOKUP(Y1365,{0;0.5;5;25},{"Bajo";"Medio";"Alto";"Crítico"}),"")</f>
        <v/>
      </c>
      <c r="AA1365" s="64">
        <f>IF(T1365&gt;=3,IF(X1365&gt;=1,"Zona 1 — Crítica: impacto alto y ocurre al menos una vez al año","Zona 4 — Catastrófica poco probable: impacto alto pero excepcional"),IF(AND(T1365&lt;1.5,X1365&lt;1),"Zona 3 — Asumible: impacto bajo y muy poco frecuente","Zona 2 — Atención: riesgo intermedio"))</f>
        <v/>
      </c>
      <c r="AB1365" s="64">
        <f>IFERROR(INDEX(MgAmenCtrl,MATCH(SUBSTITUTE($H1365,"*","-"),MgAmenClave,0)),"")</f>
        <v/>
      </c>
      <c r="AC1365" s="20" t="n"/>
      <c r="AD1365" s="31">
        <f>IFERROR($X1365*(1-IF($AC1365="",$AL1365,VLOOKUP($AC1365,MgMad,2,0))),"")</f>
        <v/>
      </c>
      <c r="AE1365" s="28">
        <f>IFERROR(LOOKUP(AD1365,{0;0.01;0.1;1;10;100},{"Muy baja";"Muy baja";"Baja";"Media";"Alta";"Muy alta"}),"")</f>
        <v/>
      </c>
      <c r="AF1365" s="30">
        <f>T1365*AD1365</f>
        <v/>
      </c>
      <c r="AG1365" s="28">
        <f>IFERROR(LOOKUP(AF1365,{0;0.5;5;25},{"Bajo";"Medio";"Alto";"Crítico"}),"")</f>
        <v/>
      </c>
      <c r="AH1365" s="28">
        <f>IF(AG1365="","",IF(OR(AG1365="Crítico",AG1365="Alto"),"Mitigar",IF(AG1365="Medio","Mitigar","Aceptar y monitorear")))</f>
        <v/>
      </c>
      <c r="AI1365" s="21" t="n"/>
      <c r="AJ1365" s="21" t="n"/>
      <c r="AK1365" s="20" t="n"/>
      <c r="AL1365" s="77">
        <f>IFERROR(INDEX(MgAmenEfic,MATCH(SUBSTITUTE($H1365,"*","-"),MgAmenClave,0)),0)</f>
        <v/>
      </c>
    </row>
    <row r="1366" hidden="1" ht="120" customHeight="1" s="54">
      <c r="B1366" s="59" t="inlineStr">
        <is>
          <t>R-1361</t>
        </is>
      </c>
      <c r="C1366" s="59" t="inlineStr">
        <is>
          <t>GH-023</t>
        </is>
      </c>
      <c r="D1366" s="64">
        <f>IFERROR(INDEX(MgNombre,MATCH($C1366,MgActId,0)),"")</f>
        <v/>
      </c>
      <c r="E1366" s="64">
        <f>IFERROR(INDEX(MgProceso,MATCH($C1366,MgActId,0)),"")</f>
        <v/>
      </c>
      <c r="F1366" s="64">
        <f>IFERROR(INDEX(MgTipo,MATCH($C1366,MgActId,0)),"")</f>
        <v/>
      </c>
      <c r="G1366" s="64">
        <f>IFERROR(INDEX(MgSubtipo,MATCH($C1366,MgActId,0)),"")</f>
        <v/>
      </c>
      <c r="H1366" s="59" t="inlineStr">
        <is>
          <t>A.11</t>
        </is>
      </c>
      <c r="I1366" s="64">
        <f>IFERROR(INDEX(MgAmenNombre,MATCH(SUBSTITUTE($H1366,"*","-"),MgAmenClave,0)),"")</f>
        <v/>
      </c>
      <c r="J1366" s="28">
        <f>IFERROR(INDEX(MgAmenGrupo,MATCH(SUBSTITUTE($H1366,"*","-"),MgAmenClave,0)),"")</f>
        <v/>
      </c>
      <c r="K1366" s="64">
        <f>IFERROR(INDEX('1. Matriz de Activos'!$Q$6:$Q$239,MATCH($C1366,MgActId,0)),"")</f>
        <v/>
      </c>
      <c r="L1366" s="64">
        <f>IFERROR(INDEX('1. Matriz de Activos'!$R$6:$R$239,MATCH($C1366,MgActId,0)),"")</f>
        <v/>
      </c>
      <c r="M1366" s="64">
        <f>IFERROR(INDEX('1. Matriz de Activos'!$S$6:$S$239,MATCH($C1366,MgActId,0)),"")</f>
        <v/>
      </c>
      <c r="N1366" s="28">
        <f>IFERROR(INDEX(MgAmenDegD,MATCH(SUBSTITUTE($H1366,"*","-"),MgAmenClave,0)),"No aplica")</f>
        <v/>
      </c>
      <c r="O1366" s="28">
        <f>IFERROR(INDEX(MgAmenDegI,MATCH(SUBSTITUTE($H1366,"*","-"),MgAmenClave,0)),"No aplica")</f>
        <v/>
      </c>
      <c r="P1366" s="28">
        <f>IFERROR(INDEX(MgAmenDegC,MATCH(SUBSTITUTE($H1366,"*","-"),MgAmenClave,0)),"No aplica")</f>
        <v/>
      </c>
      <c r="Q1366" s="29">
        <f>IFERROR(VLOOKUP(K1366,MgValor,2,0)*VLOOKUP(N1366,MgDeg,2,0),0)</f>
        <v/>
      </c>
      <c r="R1366" s="29">
        <f>IFERROR(VLOOKUP(L1366,MgValor,2,0)*VLOOKUP(O1366,MgDeg,2,0),0)</f>
        <v/>
      </c>
      <c r="S1366" s="29">
        <f>IFERROR(VLOOKUP(M1366,MgValor,2,0)*VLOOKUP(P1366,MgDeg,2,0),0)</f>
        <v/>
      </c>
      <c r="T1366" s="30">
        <f>MAX(Q1366:S1366)</f>
        <v/>
      </c>
      <c r="U1366" s="28">
        <f>IFERROR(LOOKUP(T1366,{0;0.5;1.5;3;4.5},{"Despreciable";"Bajo";"Medio";"Alto";"Muy alto"}),"")</f>
        <v/>
      </c>
      <c r="V1366" s="13">
        <f>IFERROR(INDEX(MgAmenFrec,MATCH(SUBSTITUTE($H1366,"*","-"),MgAmenClave,0)),"")</f>
        <v/>
      </c>
      <c r="W1366" s="28">
        <f>IFERROR(LOOKUP(X1366,{0;0.01;0.1;1;10;100},{"Muy baja";"Muy baja";"Baja";"Media";"Alta";"Muy alta"}),"")</f>
        <v/>
      </c>
      <c r="X1366" s="31">
        <f>IFERROR(VLOOKUP(V1366,MgFrec,2,0),0)</f>
        <v/>
      </c>
      <c r="Y1366" s="30">
        <f>T1366*X1366</f>
        <v/>
      </c>
      <c r="Z1366" s="28">
        <f>IFERROR(LOOKUP(Y1366,{0;0.5;5;25},{"Bajo";"Medio";"Alto";"Crítico"}),"")</f>
        <v/>
      </c>
      <c r="AA1366" s="64">
        <f>IF(T1366&gt;=3,IF(X1366&gt;=1,"Zona 1 — Crítica: impacto alto y ocurre al menos una vez al año","Zona 4 — Catastrófica poco probable: impacto alto pero excepcional"),IF(AND(T1366&lt;1.5,X1366&lt;1),"Zona 3 — Asumible: impacto bajo y muy poco frecuente","Zona 2 — Atención: riesgo intermedio"))</f>
        <v/>
      </c>
      <c r="AB1366" s="64">
        <f>IFERROR(INDEX(MgAmenCtrl,MATCH(SUBSTITUTE($H1366,"*","-"),MgAmenClave,0)),"")</f>
        <v/>
      </c>
      <c r="AC1366" s="20" t="n"/>
      <c r="AD1366" s="31">
        <f>IFERROR($X1366*(1-IF($AC1366="",$AL1366,VLOOKUP($AC1366,MgMad,2,0))),"")</f>
        <v/>
      </c>
      <c r="AE1366" s="28">
        <f>IFERROR(LOOKUP(AD1366,{0;0.01;0.1;1;10;100},{"Muy baja";"Muy baja";"Baja";"Media";"Alta";"Muy alta"}),"")</f>
        <v/>
      </c>
      <c r="AF1366" s="30">
        <f>T1366*AD1366</f>
        <v/>
      </c>
      <c r="AG1366" s="28">
        <f>IFERROR(LOOKUP(AF1366,{0;0.5;5;25},{"Bajo";"Medio";"Alto";"Crítico"}),"")</f>
        <v/>
      </c>
      <c r="AH1366" s="28">
        <f>IF(AG1366="","",IF(OR(AG1366="Crítico",AG1366="Alto"),"Mitigar",IF(AG1366="Medio","Mitigar","Aceptar y monitorear")))</f>
        <v/>
      </c>
      <c r="AI1366" s="21" t="n"/>
      <c r="AJ1366" s="21" t="n"/>
      <c r="AK1366" s="20" t="n"/>
      <c r="AL1366" s="77">
        <f>IFERROR(INDEX(MgAmenEfic,MATCH(SUBSTITUTE($H1366,"*","-"),MgAmenClave,0)),0)</f>
        <v/>
      </c>
    </row>
    <row r="1367" hidden="1" ht="90" customHeight="1" s="54">
      <c r="B1367" s="59" t="inlineStr">
        <is>
          <t>R-1362</t>
        </is>
      </c>
      <c r="C1367" s="59" t="inlineStr">
        <is>
          <t>GH-023</t>
        </is>
      </c>
      <c r="D1367" s="64">
        <f>IFERROR(INDEX(MgNombre,MATCH($C1367,MgActId,0)),"")</f>
        <v/>
      </c>
      <c r="E1367" s="64">
        <f>IFERROR(INDEX(MgProceso,MATCH($C1367,MgActId,0)),"")</f>
        <v/>
      </c>
      <c r="F1367" s="64">
        <f>IFERROR(INDEX(MgTipo,MATCH($C1367,MgActId,0)),"")</f>
        <v/>
      </c>
      <c r="G1367" s="64">
        <f>IFERROR(INDEX(MgSubtipo,MATCH($C1367,MgActId,0)),"")</f>
        <v/>
      </c>
      <c r="H1367" s="59" t="inlineStr">
        <is>
          <t>A.13</t>
        </is>
      </c>
      <c r="I1367" s="64">
        <f>IFERROR(INDEX(MgAmenNombre,MATCH(SUBSTITUTE($H1367,"*","-"),MgAmenClave,0)),"")</f>
        <v/>
      </c>
      <c r="J1367" s="28">
        <f>IFERROR(INDEX(MgAmenGrupo,MATCH(SUBSTITUTE($H1367,"*","-"),MgAmenClave,0)),"")</f>
        <v/>
      </c>
      <c r="K1367" s="64">
        <f>IFERROR(INDEX('1. Matriz de Activos'!$Q$6:$Q$239,MATCH($C1367,MgActId,0)),"")</f>
        <v/>
      </c>
      <c r="L1367" s="64">
        <f>IFERROR(INDEX('1. Matriz de Activos'!$R$6:$R$239,MATCH($C1367,MgActId,0)),"")</f>
        <v/>
      </c>
      <c r="M1367" s="64">
        <f>IFERROR(INDEX('1. Matriz de Activos'!$S$6:$S$239,MATCH($C1367,MgActId,0)),"")</f>
        <v/>
      </c>
      <c r="N1367" s="28">
        <f>IFERROR(INDEX(MgAmenDegD,MATCH(SUBSTITUTE($H1367,"*","-"),MgAmenClave,0)),"No aplica")</f>
        <v/>
      </c>
      <c r="O1367" s="28">
        <f>IFERROR(INDEX(MgAmenDegI,MATCH(SUBSTITUTE($H1367,"*","-"),MgAmenClave,0)),"No aplica")</f>
        <v/>
      </c>
      <c r="P1367" s="28">
        <f>IFERROR(INDEX(MgAmenDegC,MATCH(SUBSTITUTE($H1367,"*","-"),MgAmenClave,0)),"No aplica")</f>
        <v/>
      </c>
      <c r="Q1367" s="29">
        <f>IFERROR(VLOOKUP(K1367,MgValor,2,0)*VLOOKUP(N1367,MgDeg,2,0),0)</f>
        <v/>
      </c>
      <c r="R1367" s="29">
        <f>IFERROR(VLOOKUP(L1367,MgValor,2,0)*VLOOKUP(O1367,MgDeg,2,0),0)</f>
        <v/>
      </c>
      <c r="S1367" s="29">
        <f>IFERROR(VLOOKUP(M1367,MgValor,2,0)*VLOOKUP(P1367,MgDeg,2,0),0)</f>
        <v/>
      </c>
      <c r="T1367" s="30">
        <f>MAX(Q1367:S1367)</f>
        <v/>
      </c>
      <c r="U1367" s="28">
        <f>IFERROR(LOOKUP(T1367,{0;0.5;1.5;3;4.5},{"Despreciable";"Bajo";"Medio";"Alto";"Muy alto"}),"")</f>
        <v/>
      </c>
      <c r="V1367" s="13">
        <f>IFERROR(INDEX(MgAmenFrec,MATCH(SUBSTITUTE($H1367,"*","-"),MgAmenClave,0)),"")</f>
        <v/>
      </c>
      <c r="W1367" s="28">
        <f>IFERROR(LOOKUP(X1367,{0;0.01;0.1;1;10;100},{"Muy baja";"Muy baja";"Baja";"Media";"Alta";"Muy alta"}),"")</f>
        <v/>
      </c>
      <c r="X1367" s="31">
        <f>IFERROR(VLOOKUP(V1367,MgFrec,2,0),0)</f>
        <v/>
      </c>
      <c r="Y1367" s="30">
        <f>T1367*X1367</f>
        <v/>
      </c>
      <c r="Z1367" s="28">
        <f>IFERROR(LOOKUP(Y1367,{0;0.5;5;25},{"Bajo";"Medio";"Alto";"Crítico"}),"")</f>
        <v/>
      </c>
      <c r="AA1367" s="64">
        <f>IF(T1367&gt;=3,IF(X1367&gt;=1,"Zona 1 — Crítica: impacto alto y ocurre al menos una vez al año","Zona 4 — Catastrófica poco probable: impacto alto pero excepcional"),IF(AND(T1367&lt;1.5,X1367&lt;1),"Zona 3 — Asumible: impacto bajo y muy poco frecuente","Zona 2 — Atención: riesgo intermedio"))</f>
        <v/>
      </c>
      <c r="AB1367" s="64">
        <f>IFERROR(INDEX(MgAmenCtrl,MATCH(SUBSTITUTE($H1367,"*","-"),MgAmenClave,0)),"")</f>
        <v/>
      </c>
      <c r="AC1367" s="20" t="n"/>
      <c r="AD1367" s="31">
        <f>IFERROR($X1367*(1-IF($AC1367="",$AL1367,VLOOKUP($AC1367,MgMad,2,0))),"")</f>
        <v/>
      </c>
      <c r="AE1367" s="28">
        <f>IFERROR(LOOKUP(AD1367,{0;0.01;0.1;1;10;100},{"Muy baja";"Muy baja";"Baja";"Media";"Alta";"Muy alta"}),"")</f>
        <v/>
      </c>
      <c r="AF1367" s="30">
        <f>T1367*AD1367</f>
        <v/>
      </c>
      <c r="AG1367" s="28">
        <f>IFERROR(LOOKUP(AF1367,{0;0.5;5;25},{"Bajo";"Medio";"Alto";"Crítico"}),"")</f>
        <v/>
      </c>
      <c r="AH1367" s="28">
        <f>IF(AG1367="","",IF(OR(AG1367="Crítico",AG1367="Alto"),"Mitigar",IF(AG1367="Medio","Mitigar","Aceptar y monitorear")))</f>
        <v/>
      </c>
      <c r="AI1367" s="21" t="n"/>
      <c r="AJ1367" s="21" t="n"/>
      <c r="AK1367" s="20" t="n"/>
      <c r="AL1367" s="77">
        <f>IFERROR(INDEX(MgAmenEfic,MATCH(SUBSTITUTE($H1367,"*","-"),MgAmenClave,0)),0)</f>
        <v/>
      </c>
    </row>
    <row r="1368" hidden="1" ht="60" customHeight="1" s="54">
      <c r="B1368" s="59" t="inlineStr">
        <is>
          <t>R-1363</t>
        </is>
      </c>
      <c r="C1368" s="59" t="inlineStr">
        <is>
          <t>GH-023</t>
        </is>
      </c>
      <c r="D1368" s="64">
        <f>IFERROR(INDEX(MgNombre,MATCH($C1368,MgActId,0)),"")</f>
        <v/>
      </c>
      <c r="E1368" s="64">
        <f>IFERROR(INDEX(MgProceso,MATCH($C1368,MgActId,0)),"")</f>
        <v/>
      </c>
      <c r="F1368" s="64">
        <f>IFERROR(INDEX(MgTipo,MATCH($C1368,MgActId,0)),"")</f>
        <v/>
      </c>
      <c r="G1368" s="64">
        <f>IFERROR(INDEX(MgSubtipo,MATCH($C1368,MgActId,0)),"")</f>
        <v/>
      </c>
      <c r="H1368" s="59" t="inlineStr">
        <is>
          <t>A.15</t>
        </is>
      </c>
      <c r="I1368" s="64">
        <f>IFERROR(INDEX(MgAmenNombre,MATCH(SUBSTITUTE($H1368,"*","-"),MgAmenClave,0)),"")</f>
        <v/>
      </c>
      <c r="J1368" s="28">
        <f>IFERROR(INDEX(MgAmenGrupo,MATCH(SUBSTITUTE($H1368,"*","-"),MgAmenClave,0)),"")</f>
        <v/>
      </c>
      <c r="K1368" s="64">
        <f>IFERROR(INDEX('1. Matriz de Activos'!$Q$6:$Q$239,MATCH($C1368,MgActId,0)),"")</f>
        <v/>
      </c>
      <c r="L1368" s="64">
        <f>IFERROR(INDEX('1. Matriz de Activos'!$R$6:$R$239,MATCH($C1368,MgActId,0)),"")</f>
        <v/>
      </c>
      <c r="M1368" s="64">
        <f>IFERROR(INDEX('1. Matriz de Activos'!$S$6:$S$239,MATCH($C1368,MgActId,0)),"")</f>
        <v/>
      </c>
      <c r="N1368" s="28">
        <f>IFERROR(INDEX(MgAmenDegD,MATCH(SUBSTITUTE($H1368,"*","-"),MgAmenClave,0)),"No aplica")</f>
        <v/>
      </c>
      <c r="O1368" s="28">
        <f>IFERROR(INDEX(MgAmenDegI,MATCH(SUBSTITUTE($H1368,"*","-"),MgAmenClave,0)),"No aplica")</f>
        <v/>
      </c>
      <c r="P1368" s="28">
        <f>IFERROR(INDEX(MgAmenDegC,MATCH(SUBSTITUTE($H1368,"*","-"),MgAmenClave,0)),"No aplica")</f>
        <v/>
      </c>
      <c r="Q1368" s="29">
        <f>IFERROR(VLOOKUP(K1368,MgValor,2,0)*VLOOKUP(N1368,MgDeg,2,0),0)</f>
        <v/>
      </c>
      <c r="R1368" s="29">
        <f>IFERROR(VLOOKUP(L1368,MgValor,2,0)*VLOOKUP(O1368,MgDeg,2,0),0)</f>
        <v/>
      </c>
      <c r="S1368" s="29">
        <f>IFERROR(VLOOKUP(M1368,MgValor,2,0)*VLOOKUP(P1368,MgDeg,2,0),0)</f>
        <v/>
      </c>
      <c r="T1368" s="30">
        <f>MAX(Q1368:S1368)</f>
        <v/>
      </c>
      <c r="U1368" s="28">
        <f>IFERROR(LOOKUP(T1368,{0;0.5;1.5;3;4.5},{"Despreciable";"Bajo";"Medio";"Alto";"Muy alto"}),"")</f>
        <v/>
      </c>
      <c r="V1368" s="13">
        <f>IFERROR(INDEX(MgAmenFrec,MATCH(SUBSTITUTE($H1368,"*","-"),MgAmenClave,0)),"")</f>
        <v/>
      </c>
      <c r="W1368" s="28">
        <f>IFERROR(LOOKUP(X1368,{0;0.01;0.1;1;10;100},{"Muy baja";"Muy baja";"Baja";"Media";"Alta";"Muy alta"}),"")</f>
        <v/>
      </c>
      <c r="X1368" s="31">
        <f>IFERROR(VLOOKUP(V1368,MgFrec,2,0),0)</f>
        <v/>
      </c>
      <c r="Y1368" s="30">
        <f>T1368*X1368</f>
        <v/>
      </c>
      <c r="Z1368" s="28">
        <f>IFERROR(LOOKUP(Y1368,{0;0.5;5;25},{"Bajo";"Medio";"Alto";"Crítico"}),"")</f>
        <v/>
      </c>
      <c r="AA1368" s="64">
        <f>IF(T1368&gt;=3,IF(X1368&gt;=1,"Zona 1 — Crítica: impacto alto y ocurre al menos una vez al año","Zona 4 — Catastrófica poco probable: impacto alto pero excepcional"),IF(AND(T1368&lt;1.5,X1368&lt;1),"Zona 3 — Asumible: impacto bajo y muy poco frecuente","Zona 2 — Atención: riesgo intermedio"))</f>
        <v/>
      </c>
      <c r="AB1368" s="64">
        <f>IFERROR(INDEX(MgAmenCtrl,MATCH(SUBSTITUTE($H1368,"*","-"),MgAmenClave,0)),"")</f>
        <v/>
      </c>
      <c r="AC1368" s="20" t="n"/>
      <c r="AD1368" s="31">
        <f>IFERROR($X1368*(1-IF($AC1368="",$AL1368,VLOOKUP($AC1368,MgMad,2,0))),"")</f>
        <v/>
      </c>
      <c r="AE1368" s="28">
        <f>IFERROR(LOOKUP(AD1368,{0;0.01;0.1;1;10;100},{"Muy baja";"Muy baja";"Baja";"Media";"Alta";"Muy alta"}),"")</f>
        <v/>
      </c>
      <c r="AF1368" s="30">
        <f>T1368*AD1368</f>
        <v/>
      </c>
      <c r="AG1368" s="28">
        <f>IFERROR(LOOKUP(AF1368,{0;0.5;5;25},{"Bajo";"Medio";"Alto";"Crítico"}),"")</f>
        <v/>
      </c>
      <c r="AH1368" s="28">
        <f>IF(AG1368="","",IF(OR(AG1368="Crítico",AG1368="Alto"),"Mitigar",IF(AG1368="Medio","Mitigar","Aceptar y monitorear")))</f>
        <v/>
      </c>
      <c r="AI1368" s="21" t="n"/>
      <c r="AJ1368" s="21" t="n"/>
      <c r="AK1368" s="20" t="n"/>
      <c r="AL1368" s="77">
        <f>IFERROR(INDEX(MgAmenEfic,MATCH(SUBSTITUTE($H1368,"*","-"),MgAmenClave,0)),0)</f>
        <v/>
      </c>
    </row>
    <row r="1369" hidden="1" ht="60" customHeight="1" s="54">
      <c r="B1369" s="59" t="inlineStr">
        <is>
          <t>R-1364</t>
        </is>
      </c>
      <c r="C1369" s="59" t="inlineStr">
        <is>
          <t>GH-023</t>
        </is>
      </c>
      <c r="D1369" s="64">
        <f>IFERROR(INDEX(MgNombre,MATCH($C1369,MgActId,0)),"")</f>
        <v/>
      </c>
      <c r="E1369" s="64">
        <f>IFERROR(INDEX(MgProceso,MATCH($C1369,MgActId,0)),"")</f>
        <v/>
      </c>
      <c r="F1369" s="64">
        <f>IFERROR(INDEX(MgTipo,MATCH($C1369,MgActId,0)),"")</f>
        <v/>
      </c>
      <c r="G1369" s="64">
        <f>IFERROR(INDEX(MgSubtipo,MATCH($C1369,MgActId,0)),"")</f>
        <v/>
      </c>
      <c r="H1369" s="59" t="inlineStr">
        <is>
          <t>A.18</t>
        </is>
      </c>
      <c r="I1369" s="64">
        <f>IFERROR(INDEX(MgAmenNombre,MATCH(SUBSTITUTE($H1369,"*","-"),MgAmenClave,0)),"")</f>
        <v/>
      </c>
      <c r="J1369" s="28">
        <f>IFERROR(INDEX(MgAmenGrupo,MATCH(SUBSTITUTE($H1369,"*","-"),MgAmenClave,0)),"")</f>
        <v/>
      </c>
      <c r="K1369" s="64">
        <f>IFERROR(INDEX('1. Matriz de Activos'!$Q$6:$Q$239,MATCH($C1369,MgActId,0)),"")</f>
        <v/>
      </c>
      <c r="L1369" s="64">
        <f>IFERROR(INDEX('1. Matriz de Activos'!$R$6:$R$239,MATCH($C1369,MgActId,0)),"")</f>
        <v/>
      </c>
      <c r="M1369" s="64">
        <f>IFERROR(INDEX('1. Matriz de Activos'!$S$6:$S$239,MATCH($C1369,MgActId,0)),"")</f>
        <v/>
      </c>
      <c r="N1369" s="28">
        <f>IFERROR(INDEX(MgAmenDegD,MATCH(SUBSTITUTE($H1369,"*","-"),MgAmenClave,0)),"No aplica")</f>
        <v/>
      </c>
      <c r="O1369" s="28">
        <f>IFERROR(INDEX(MgAmenDegI,MATCH(SUBSTITUTE($H1369,"*","-"),MgAmenClave,0)),"No aplica")</f>
        <v/>
      </c>
      <c r="P1369" s="28">
        <f>IFERROR(INDEX(MgAmenDegC,MATCH(SUBSTITUTE($H1369,"*","-"),MgAmenClave,0)),"No aplica")</f>
        <v/>
      </c>
      <c r="Q1369" s="29">
        <f>IFERROR(VLOOKUP(K1369,MgValor,2,0)*VLOOKUP(N1369,MgDeg,2,0),0)</f>
        <v/>
      </c>
      <c r="R1369" s="29">
        <f>IFERROR(VLOOKUP(L1369,MgValor,2,0)*VLOOKUP(O1369,MgDeg,2,0),0)</f>
        <v/>
      </c>
      <c r="S1369" s="29">
        <f>IFERROR(VLOOKUP(M1369,MgValor,2,0)*VLOOKUP(P1369,MgDeg,2,0),0)</f>
        <v/>
      </c>
      <c r="T1369" s="30">
        <f>MAX(Q1369:S1369)</f>
        <v/>
      </c>
      <c r="U1369" s="28">
        <f>IFERROR(LOOKUP(T1369,{0;0.5;1.5;3;4.5},{"Despreciable";"Bajo";"Medio";"Alto";"Muy alto"}),"")</f>
        <v/>
      </c>
      <c r="V1369" s="13">
        <f>IFERROR(INDEX(MgAmenFrec,MATCH(SUBSTITUTE($H1369,"*","-"),MgAmenClave,0)),"")</f>
        <v/>
      </c>
      <c r="W1369" s="28">
        <f>IFERROR(LOOKUP(X1369,{0;0.01;0.1;1;10;100},{"Muy baja";"Muy baja";"Baja";"Media";"Alta";"Muy alta"}),"")</f>
        <v/>
      </c>
      <c r="X1369" s="31">
        <f>IFERROR(VLOOKUP(V1369,MgFrec,2,0),0)</f>
        <v/>
      </c>
      <c r="Y1369" s="30">
        <f>T1369*X1369</f>
        <v/>
      </c>
      <c r="Z1369" s="28">
        <f>IFERROR(LOOKUP(Y1369,{0;0.5;5;25},{"Bajo";"Medio";"Alto";"Crítico"}),"")</f>
        <v/>
      </c>
      <c r="AA1369" s="64">
        <f>IF(T1369&gt;=3,IF(X1369&gt;=1,"Zona 1 — Crítica: impacto alto y ocurre al menos una vez al año","Zona 4 — Catastrófica poco probable: impacto alto pero excepcional"),IF(AND(T1369&lt;1.5,X1369&lt;1),"Zona 3 — Asumible: impacto bajo y muy poco frecuente","Zona 2 — Atención: riesgo intermedio"))</f>
        <v/>
      </c>
      <c r="AB1369" s="64">
        <f>IFERROR(INDEX(MgAmenCtrl,MATCH(SUBSTITUTE($H1369,"*","-"),MgAmenClave,0)),"")</f>
        <v/>
      </c>
      <c r="AC1369" s="20" t="n"/>
      <c r="AD1369" s="31">
        <f>IFERROR($X1369*(1-IF($AC1369="",$AL1369,VLOOKUP($AC1369,MgMad,2,0))),"")</f>
        <v/>
      </c>
      <c r="AE1369" s="28">
        <f>IFERROR(LOOKUP(AD1369,{0;0.01;0.1;1;10;100},{"Muy baja";"Muy baja";"Baja";"Media";"Alta";"Muy alta"}),"")</f>
        <v/>
      </c>
      <c r="AF1369" s="30">
        <f>T1369*AD1369</f>
        <v/>
      </c>
      <c r="AG1369" s="28">
        <f>IFERROR(LOOKUP(AF1369,{0;0.5;5;25},{"Bajo";"Medio";"Alto";"Crítico"}),"")</f>
        <v/>
      </c>
      <c r="AH1369" s="28">
        <f>IF(AG1369="","",IF(OR(AG1369="Crítico",AG1369="Alto"),"Mitigar",IF(AG1369="Medio","Mitigar","Aceptar y monitorear")))</f>
        <v/>
      </c>
      <c r="AI1369" s="21" t="n"/>
      <c r="AJ1369" s="21" t="n"/>
      <c r="AK1369" s="20" t="n"/>
      <c r="AL1369" s="77">
        <f>IFERROR(INDEX(MgAmenEfic,MATCH(SUBSTITUTE($H1369,"*","-"),MgAmenClave,0)),0)</f>
        <v/>
      </c>
    </row>
    <row r="1370" hidden="1" ht="120" customHeight="1" s="54">
      <c r="B1370" s="59" t="inlineStr">
        <is>
          <t>R-1365</t>
        </is>
      </c>
      <c r="C1370" s="59" t="inlineStr">
        <is>
          <t>GH-023</t>
        </is>
      </c>
      <c r="D1370" s="64">
        <f>IFERROR(INDEX(MgNombre,MATCH($C1370,MgActId,0)),"")</f>
        <v/>
      </c>
      <c r="E1370" s="64">
        <f>IFERROR(INDEX(MgProceso,MATCH($C1370,MgActId,0)),"")</f>
        <v/>
      </c>
      <c r="F1370" s="64">
        <f>IFERROR(INDEX(MgTipo,MATCH($C1370,MgActId,0)),"")</f>
        <v/>
      </c>
      <c r="G1370" s="64">
        <f>IFERROR(INDEX(MgSubtipo,MATCH($C1370,MgActId,0)),"")</f>
        <v/>
      </c>
      <c r="H1370" s="59" t="inlineStr">
        <is>
          <t>A.19</t>
        </is>
      </c>
      <c r="I1370" s="64">
        <f>IFERROR(INDEX(MgAmenNombre,MATCH(SUBSTITUTE($H1370,"*","-"),MgAmenClave,0)),"")</f>
        <v/>
      </c>
      <c r="J1370" s="28">
        <f>IFERROR(INDEX(MgAmenGrupo,MATCH(SUBSTITUTE($H1370,"*","-"),MgAmenClave,0)),"")</f>
        <v/>
      </c>
      <c r="K1370" s="64">
        <f>IFERROR(INDEX('1. Matriz de Activos'!$Q$6:$Q$239,MATCH($C1370,MgActId,0)),"")</f>
        <v/>
      </c>
      <c r="L1370" s="64">
        <f>IFERROR(INDEX('1. Matriz de Activos'!$R$6:$R$239,MATCH($C1370,MgActId,0)),"")</f>
        <v/>
      </c>
      <c r="M1370" s="64">
        <f>IFERROR(INDEX('1. Matriz de Activos'!$S$6:$S$239,MATCH($C1370,MgActId,0)),"")</f>
        <v/>
      </c>
      <c r="N1370" s="28">
        <f>IFERROR(INDEX(MgAmenDegD,MATCH(SUBSTITUTE($H1370,"*","-"),MgAmenClave,0)),"No aplica")</f>
        <v/>
      </c>
      <c r="O1370" s="28">
        <f>IFERROR(INDEX(MgAmenDegI,MATCH(SUBSTITUTE($H1370,"*","-"),MgAmenClave,0)),"No aplica")</f>
        <v/>
      </c>
      <c r="P1370" s="28">
        <f>IFERROR(INDEX(MgAmenDegC,MATCH(SUBSTITUTE($H1370,"*","-"),MgAmenClave,0)),"No aplica")</f>
        <v/>
      </c>
      <c r="Q1370" s="29">
        <f>IFERROR(VLOOKUP(K1370,MgValor,2,0)*VLOOKUP(N1370,MgDeg,2,0),0)</f>
        <v/>
      </c>
      <c r="R1370" s="29">
        <f>IFERROR(VLOOKUP(L1370,MgValor,2,0)*VLOOKUP(O1370,MgDeg,2,0),0)</f>
        <v/>
      </c>
      <c r="S1370" s="29">
        <f>IFERROR(VLOOKUP(M1370,MgValor,2,0)*VLOOKUP(P1370,MgDeg,2,0),0)</f>
        <v/>
      </c>
      <c r="T1370" s="30">
        <f>MAX(Q1370:S1370)</f>
        <v/>
      </c>
      <c r="U1370" s="28">
        <f>IFERROR(LOOKUP(T1370,{0;0.5;1.5;3;4.5},{"Despreciable";"Bajo";"Medio";"Alto";"Muy alto"}),"")</f>
        <v/>
      </c>
      <c r="V1370" s="13">
        <f>IFERROR(INDEX(MgAmenFrec,MATCH(SUBSTITUTE($H1370,"*","-"),MgAmenClave,0)),"")</f>
        <v/>
      </c>
      <c r="W1370" s="28">
        <f>IFERROR(LOOKUP(X1370,{0;0.01;0.1;1;10;100},{"Muy baja";"Muy baja";"Baja";"Media";"Alta";"Muy alta"}),"")</f>
        <v/>
      </c>
      <c r="X1370" s="31">
        <f>IFERROR(VLOOKUP(V1370,MgFrec,2,0),0)</f>
        <v/>
      </c>
      <c r="Y1370" s="30">
        <f>T1370*X1370</f>
        <v/>
      </c>
      <c r="Z1370" s="28">
        <f>IFERROR(LOOKUP(Y1370,{0;0.5;5;25},{"Bajo";"Medio";"Alto";"Crítico"}),"")</f>
        <v/>
      </c>
      <c r="AA1370" s="64">
        <f>IF(T1370&gt;=3,IF(X1370&gt;=1,"Zona 1 — Crítica: impacto alto y ocurre al menos una vez al año","Zona 4 — Catastrófica poco probable: impacto alto pero excepcional"),IF(AND(T1370&lt;1.5,X1370&lt;1),"Zona 3 — Asumible: impacto bajo y muy poco frecuente","Zona 2 — Atención: riesgo intermedio"))</f>
        <v/>
      </c>
      <c r="AB1370" s="64">
        <f>IFERROR(INDEX(MgAmenCtrl,MATCH(SUBSTITUTE($H1370,"*","-"),MgAmenClave,0)),"")</f>
        <v/>
      </c>
      <c r="AC1370" s="20" t="n"/>
      <c r="AD1370" s="31">
        <f>IFERROR($X1370*(1-IF($AC1370="",$AL1370,VLOOKUP($AC1370,MgMad,2,0))),"")</f>
        <v/>
      </c>
      <c r="AE1370" s="28">
        <f>IFERROR(LOOKUP(AD1370,{0;0.01;0.1;1;10;100},{"Muy baja";"Muy baja";"Baja";"Media";"Alta";"Muy alta"}),"")</f>
        <v/>
      </c>
      <c r="AF1370" s="30">
        <f>T1370*AD1370</f>
        <v/>
      </c>
      <c r="AG1370" s="28">
        <f>IFERROR(LOOKUP(AF1370,{0;0.5;5;25},{"Bajo";"Medio";"Alto";"Crítico"}),"")</f>
        <v/>
      </c>
      <c r="AH1370" s="28">
        <f>IF(AG1370="","",IF(OR(AG1370="Crítico",AG1370="Alto"),"Mitigar",IF(AG1370="Medio","Mitigar","Aceptar y monitorear")))</f>
        <v/>
      </c>
      <c r="AI1370" s="21" t="n"/>
      <c r="AJ1370" s="21" t="n"/>
      <c r="AK1370" s="20" t="n"/>
      <c r="AL1370" s="77">
        <f>IFERROR(INDEX(MgAmenEfic,MATCH(SUBSTITUTE($H1370,"*","-"),MgAmenClave,0)),0)</f>
        <v/>
      </c>
    </row>
    <row r="1371" hidden="1" ht="105" customHeight="1" s="54">
      <c r="B1371" s="59" t="inlineStr">
        <is>
          <t>R-1366</t>
        </is>
      </c>
      <c r="C1371" s="59" t="inlineStr">
        <is>
          <t>GH-048</t>
        </is>
      </c>
      <c r="D1371" s="64">
        <f>IFERROR(INDEX(MgNombre,MATCH($C1371,MgActId,0)),"")</f>
        <v/>
      </c>
      <c r="E1371" s="64">
        <f>IFERROR(INDEX(MgProceso,MATCH($C1371,MgActId,0)),"")</f>
        <v/>
      </c>
      <c r="F1371" s="64">
        <f>IFERROR(INDEX(MgTipo,MATCH($C1371,MgActId,0)),"")</f>
        <v/>
      </c>
      <c r="G1371" s="64">
        <f>IFERROR(INDEX(MgSubtipo,MATCH($C1371,MgActId,0)),"")</f>
        <v/>
      </c>
      <c r="H1371" s="59" t="inlineStr">
        <is>
          <t>E.1</t>
        </is>
      </c>
      <c r="I1371" s="64">
        <f>IFERROR(INDEX(MgAmenNombre,MATCH(SUBSTITUTE($H1371,"*","-"),MgAmenClave,0)),"")</f>
        <v/>
      </c>
      <c r="J1371" s="28">
        <f>IFERROR(INDEX(MgAmenGrupo,MATCH(SUBSTITUTE($H1371,"*","-"),MgAmenClave,0)),"")</f>
        <v/>
      </c>
      <c r="K1371" s="64">
        <f>IFERROR(INDEX('1. Matriz de Activos'!$Q$6:$Q$239,MATCH($C1371,MgActId,0)),"")</f>
        <v/>
      </c>
      <c r="L1371" s="64">
        <f>IFERROR(INDEX('1. Matriz de Activos'!$R$6:$R$239,MATCH($C1371,MgActId,0)),"")</f>
        <v/>
      </c>
      <c r="M1371" s="64">
        <f>IFERROR(INDEX('1. Matriz de Activos'!$S$6:$S$239,MATCH($C1371,MgActId,0)),"")</f>
        <v/>
      </c>
      <c r="N1371" s="28">
        <f>IFERROR(INDEX(MgAmenDegD,MATCH(SUBSTITUTE($H1371,"*","-"),MgAmenClave,0)),"No aplica")</f>
        <v/>
      </c>
      <c r="O1371" s="28">
        <f>IFERROR(INDEX(MgAmenDegI,MATCH(SUBSTITUTE($H1371,"*","-"),MgAmenClave,0)),"No aplica")</f>
        <v/>
      </c>
      <c r="P1371" s="28">
        <f>IFERROR(INDEX(MgAmenDegC,MATCH(SUBSTITUTE($H1371,"*","-"),MgAmenClave,0)),"No aplica")</f>
        <v/>
      </c>
      <c r="Q1371" s="29">
        <f>IFERROR(VLOOKUP(K1371,MgValor,2,0)*VLOOKUP(N1371,MgDeg,2,0),0)</f>
        <v/>
      </c>
      <c r="R1371" s="29">
        <f>IFERROR(VLOOKUP(L1371,MgValor,2,0)*VLOOKUP(O1371,MgDeg,2,0),0)</f>
        <v/>
      </c>
      <c r="S1371" s="29">
        <f>IFERROR(VLOOKUP(M1371,MgValor,2,0)*VLOOKUP(P1371,MgDeg,2,0),0)</f>
        <v/>
      </c>
      <c r="T1371" s="30">
        <f>MAX(Q1371:S1371)</f>
        <v/>
      </c>
      <c r="U1371" s="28">
        <f>IFERROR(LOOKUP(T1371,{0;0.5;1.5;3;4.5},{"Despreciable";"Bajo";"Medio";"Alto";"Muy alto"}),"")</f>
        <v/>
      </c>
      <c r="V1371" s="13">
        <f>IFERROR(INDEX(MgAmenFrec,MATCH(SUBSTITUTE($H1371,"*","-"),MgAmenClave,0)),"")</f>
        <v/>
      </c>
      <c r="W1371" s="28">
        <f>IFERROR(LOOKUP(X1371,{0;0.01;0.1;1;10;100},{"Muy baja";"Muy baja";"Baja";"Media";"Alta";"Muy alta"}),"")</f>
        <v/>
      </c>
      <c r="X1371" s="31">
        <f>IFERROR(VLOOKUP(V1371,MgFrec,2,0),0)</f>
        <v/>
      </c>
      <c r="Y1371" s="30">
        <f>T1371*X1371</f>
        <v/>
      </c>
      <c r="Z1371" s="28">
        <f>IFERROR(LOOKUP(Y1371,{0;0.5;5;25},{"Bajo";"Medio";"Alto";"Crítico"}),"")</f>
        <v/>
      </c>
      <c r="AA1371" s="64">
        <f>IF(T1371&gt;=3,IF(X1371&gt;=1,"Zona 1 — Crítica: impacto alto y ocurre al menos una vez al año","Zona 4 — Catastrófica poco probable: impacto alto pero excepcional"),IF(AND(T1371&lt;1.5,X1371&lt;1),"Zona 3 — Asumible: impacto bajo y muy poco frecuente","Zona 2 — Atención: riesgo intermedio"))</f>
        <v/>
      </c>
      <c r="AB1371" s="64">
        <f>IFERROR(INDEX(MgAmenCtrl,MATCH(SUBSTITUTE($H1371,"*","-"),MgAmenClave,0)),"")</f>
        <v/>
      </c>
      <c r="AC1371" s="20" t="n"/>
      <c r="AD1371" s="31">
        <f>IFERROR($X1371*(1-IF($AC1371="",$AL1371,VLOOKUP($AC1371,MgMad,2,0))),"")</f>
        <v/>
      </c>
      <c r="AE1371" s="28">
        <f>IFERROR(LOOKUP(AD1371,{0;0.01;0.1;1;10;100},{"Muy baja";"Muy baja";"Baja";"Media";"Alta";"Muy alta"}),"")</f>
        <v/>
      </c>
      <c r="AF1371" s="30">
        <f>T1371*AD1371</f>
        <v/>
      </c>
      <c r="AG1371" s="28">
        <f>IFERROR(LOOKUP(AF1371,{0;0.5;5;25},{"Bajo";"Medio";"Alto";"Crítico"}),"")</f>
        <v/>
      </c>
      <c r="AH1371" s="28">
        <f>IF(AG1371="","",IF(OR(AG1371="Crítico",AG1371="Alto"),"Mitigar",IF(AG1371="Medio","Mitigar","Aceptar y monitorear")))</f>
        <v/>
      </c>
      <c r="AI1371" s="21" t="n"/>
      <c r="AJ1371" s="21" t="n"/>
      <c r="AK1371" s="20" t="n"/>
      <c r="AL1371" s="77">
        <f>IFERROR(INDEX(MgAmenEfic,MATCH(SUBSTITUTE($H1371,"*","-"),MgAmenClave,0)),0)</f>
        <v/>
      </c>
    </row>
    <row r="1372" hidden="1" ht="120" customHeight="1" s="54">
      <c r="B1372" s="59" t="inlineStr">
        <is>
          <t>R-1367</t>
        </is>
      </c>
      <c r="C1372" s="59" t="inlineStr">
        <is>
          <t>GH-048</t>
        </is>
      </c>
      <c r="D1372" s="64">
        <f>IFERROR(INDEX(MgNombre,MATCH($C1372,MgActId,0)),"")</f>
        <v/>
      </c>
      <c r="E1372" s="64">
        <f>IFERROR(INDEX(MgProceso,MATCH($C1372,MgActId,0)),"")</f>
        <v/>
      </c>
      <c r="F1372" s="64">
        <f>IFERROR(INDEX(MgTipo,MATCH($C1372,MgActId,0)),"")</f>
        <v/>
      </c>
      <c r="G1372" s="64">
        <f>IFERROR(INDEX(MgSubtipo,MATCH($C1372,MgActId,0)),"")</f>
        <v/>
      </c>
      <c r="H1372" s="59" t="inlineStr">
        <is>
          <t>E.2</t>
        </is>
      </c>
      <c r="I1372" s="64">
        <f>IFERROR(INDEX(MgAmenNombre,MATCH(SUBSTITUTE($H1372,"*","-"),MgAmenClave,0)),"")</f>
        <v/>
      </c>
      <c r="J1372" s="28">
        <f>IFERROR(INDEX(MgAmenGrupo,MATCH(SUBSTITUTE($H1372,"*","-"),MgAmenClave,0)),"")</f>
        <v/>
      </c>
      <c r="K1372" s="64">
        <f>IFERROR(INDEX('1. Matriz de Activos'!$Q$6:$Q$239,MATCH($C1372,MgActId,0)),"")</f>
        <v/>
      </c>
      <c r="L1372" s="64">
        <f>IFERROR(INDEX('1. Matriz de Activos'!$R$6:$R$239,MATCH($C1372,MgActId,0)),"")</f>
        <v/>
      </c>
      <c r="M1372" s="64">
        <f>IFERROR(INDEX('1. Matriz de Activos'!$S$6:$S$239,MATCH($C1372,MgActId,0)),"")</f>
        <v/>
      </c>
      <c r="N1372" s="28">
        <f>IFERROR(INDEX(MgAmenDegD,MATCH(SUBSTITUTE($H1372,"*","-"),MgAmenClave,0)),"No aplica")</f>
        <v/>
      </c>
      <c r="O1372" s="28">
        <f>IFERROR(INDEX(MgAmenDegI,MATCH(SUBSTITUTE($H1372,"*","-"),MgAmenClave,0)),"No aplica")</f>
        <v/>
      </c>
      <c r="P1372" s="28">
        <f>IFERROR(INDEX(MgAmenDegC,MATCH(SUBSTITUTE($H1372,"*","-"),MgAmenClave,0)),"No aplica")</f>
        <v/>
      </c>
      <c r="Q1372" s="29">
        <f>IFERROR(VLOOKUP(K1372,MgValor,2,0)*VLOOKUP(N1372,MgDeg,2,0),0)</f>
        <v/>
      </c>
      <c r="R1372" s="29">
        <f>IFERROR(VLOOKUP(L1372,MgValor,2,0)*VLOOKUP(O1372,MgDeg,2,0),0)</f>
        <v/>
      </c>
      <c r="S1372" s="29">
        <f>IFERROR(VLOOKUP(M1372,MgValor,2,0)*VLOOKUP(P1372,MgDeg,2,0),0)</f>
        <v/>
      </c>
      <c r="T1372" s="30">
        <f>MAX(Q1372:S1372)</f>
        <v/>
      </c>
      <c r="U1372" s="28">
        <f>IFERROR(LOOKUP(T1372,{0;0.5;1.5;3;4.5},{"Despreciable";"Bajo";"Medio";"Alto";"Muy alto"}),"")</f>
        <v/>
      </c>
      <c r="V1372" s="13">
        <f>IFERROR(INDEX(MgAmenFrec,MATCH(SUBSTITUTE($H1372,"*","-"),MgAmenClave,0)),"")</f>
        <v/>
      </c>
      <c r="W1372" s="28">
        <f>IFERROR(LOOKUP(X1372,{0;0.01;0.1;1;10;100},{"Muy baja";"Muy baja";"Baja";"Media";"Alta";"Muy alta"}),"")</f>
        <v/>
      </c>
      <c r="X1372" s="31">
        <f>IFERROR(VLOOKUP(V1372,MgFrec,2,0),0)</f>
        <v/>
      </c>
      <c r="Y1372" s="30">
        <f>T1372*X1372</f>
        <v/>
      </c>
      <c r="Z1372" s="28">
        <f>IFERROR(LOOKUP(Y1372,{0;0.5;5;25},{"Bajo";"Medio";"Alto";"Crítico"}),"")</f>
        <v/>
      </c>
      <c r="AA1372" s="64">
        <f>IF(T1372&gt;=3,IF(X1372&gt;=1,"Zona 1 — Crítica: impacto alto y ocurre al menos una vez al año","Zona 4 — Catastrófica poco probable: impacto alto pero excepcional"),IF(AND(T1372&lt;1.5,X1372&lt;1),"Zona 3 — Asumible: impacto bajo y muy poco frecuente","Zona 2 — Atención: riesgo intermedio"))</f>
        <v/>
      </c>
      <c r="AB1372" s="64">
        <f>IFERROR(INDEX(MgAmenCtrl,MATCH(SUBSTITUTE($H1372,"*","-"),MgAmenClave,0)),"")</f>
        <v/>
      </c>
      <c r="AC1372" s="20" t="n"/>
      <c r="AD1372" s="31">
        <f>IFERROR($X1372*(1-IF($AC1372="",$AL1372,VLOOKUP($AC1372,MgMad,2,0))),"")</f>
        <v/>
      </c>
      <c r="AE1372" s="28">
        <f>IFERROR(LOOKUP(AD1372,{0;0.01;0.1;1;10;100},{"Muy baja";"Muy baja";"Baja";"Media";"Alta";"Muy alta"}),"")</f>
        <v/>
      </c>
      <c r="AF1372" s="30">
        <f>T1372*AD1372</f>
        <v/>
      </c>
      <c r="AG1372" s="28">
        <f>IFERROR(LOOKUP(AF1372,{0;0.5;5;25},{"Bajo";"Medio";"Alto";"Crítico"}),"")</f>
        <v/>
      </c>
      <c r="AH1372" s="28">
        <f>IF(AG1372="","",IF(OR(AG1372="Crítico",AG1372="Alto"),"Mitigar",IF(AG1372="Medio","Mitigar","Aceptar y monitorear")))</f>
        <v/>
      </c>
      <c r="AI1372" s="21" t="n"/>
      <c r="AJ1372" s="21" t="n"/>
      <c r="AK1372" s="20" t="n"/>
      <c r="AL1372" s="77">
        <f>IFERROR(INDEX(MgAmenEfic,MATCH(SUBSTITUTE($H1372,"*","-"),MgAmenClave,0)),0)</f>
        <v/>
      </c>
    </row>
    <row r="1373" hidden="1" ht="75" customHeight="1" s="54">
      <c r="B1373" s="59" t="inlineStr">
        <is>
          <t>R-1368</t>
        </is>
      </c>
      <c r="C1373" s="59" t="inlineStr">
        <is>
          <t>GH-048</t>
        </is>
      </c>
      <c r="D1373" s="64">
        <f>IFERROR(INDEX(MgNombre,MATCH($C1373,MgActId,0)),"")</f>
        <v/>
      </c>
      <c r="E1373" s="64">
        <f>IFERROR(INDEX(MgProceso,MATCH($C1373,MgActId,0)),"")</f>
        <v/>
      </c>
      <c r="F1373" s="64">
        <f>IFERROR(INDEX(MgTipo,MATCH($C1373,MgActId,0)),"")</f>
        <v/>
      </c>
      <c r="G1373" s="64">
        <f>IFERROR(INDEX(MgSubtipo,MATCH($C1373,MgActId,0)),"")</f>
        <v/>
      </c>
      <c r="H1373" s="59" t="inlineStr">
        <is>
          <t>E.3</t>
        </is>
      </c>
      <c r="I1373" s="64">
        <f>IFERROR(INDEX(MgAmenNombre,MATCH(SUBSTITUTE($H1373,"*","-"),MgAmenClave,0)),"")</f>
        <v/>
      </c>
      <c r="J1373" s="28">
        <f>IFERROR(INDEX(MgAmenGrupo,MATCH(SUBSTITUTE($H1373,"*","-"),MgAmenClave,0)),"")</f>
        <v/>
      </c>
      <c r="K1373" s="64">
        <f>IFERROR(INDEX('1. Matriz de Activos'!$Q$6:$Q$239,MATCH($C1373,MgActId,0)),"")</f>
        <v/>
      </c>
      <c r="L1373" s="64">
        <f>IFERROR(INDEX('1. Matriz de Activos'!$R$6:$R$239,MATCH($C1373,MgActId,0)),"")</f>
        <v/>
      </c>
      <c r="M1373" s="64">
        <f>IFERROR(INDEX('1. Matriz de Activos'!$S$6:$S$239,MATCH($C1373,MgActId,0)),"")</f>
        <v/>
      </c>
      <c r="N1373" s="28">
        <f>IFERROR(INDEX(MgAmenDegD,MATCH(SUBSTITUTE($H1373,"*","-"),MgAmenClave,0)),"No aplica")</f>
        <v/>
      </c>
      <c r="O1373" s="28">
        <f>IFERROR(INDEX(MgAmenDegI,MATCH(SUBSTITUTE($H1373,"*","-"),MgAmenClave,0)),"No aplica")</f>
        <v/>
      </c>
      <c r="P1373" s="28">
        <f>IFERROR(INDEX(MgAmenDegC,MATCH(SUBSTITUTE($H1373,"*","-"),MgAmenClave,0)),"No aplica")</f>
        <v/>
      </c>
      <c r="Q1373" s="29">
        <f>IFERROR(VLOOKUP(K1373,MgValor,2,0)*VLOOKUP(N1373,MgDeg,2,0),0)</f>
        <v/>
      </c>
      <c r="R1373" s="29">
        <f>IFERROR(VLOOKUP(L1373,MgValor,2,0)*VLOOKUP(O1373,MgDeg,2,0),0)</f>
        <v/>
      </c>
      <c r="S1373" s="29">
        <f>IFERROR(VLOOKUP(M1373,MgValor,2,0)*VLOOKUP(P1373,MgDeg,2,0),0)</f>
        <v/>
      </c>
      <c r="T1373" s="30">
        <f>MAX(Q1373:S1373)</f>
        <v/>
      </c>
      <c r="U1373" s="28">
        <f>IFERROR(LOOKUP(T1373,{0;0.5;1.5;3;4.5},{"Despreciable";"Bajo";"Medio";"Alto";"Muy alto"}),"")</f>
        <v/>
      </c>
      <c r="V1373" s="13">
        <f>IFERROR(INDEX(MgAmenFrec,MATCH(SUBSTITUTE($H1373,"*","-"),MgAmenClave,0)),"")</f>
        <v/>
      </c>
      <c r="W1373" s="28">
        <f>IFERROR(LOOKUP(X1373,{0;0.01;0.1;1;10;100},{"Muy baja";"Muy baja";"Baja";"Media";"Alta";"Muy alta"}),"")</f>
        <v/>
      </c>
      <c r="X1373" s="31">
        <f>IFERROR(VLOOKUP(V1373,MgFrec,2,0),0)</f>
        <v/>
      </c>
      <c r="Y1373" s="30">
        <f>T1373*X1373</f>
        <v/>
      </c>
      <c r="Z1373" s="28">
        <f>IFERROR(LOOKUP(Y1373,{0;0.5;5;25},{"Bajo";"Medio";"Alto";"Crítico"}),"")</f>
        <v/>
      </c>
      <c r="AA1373" s="64">
        <f>IF(T1373&gt;=3,IF(X1373&gt;=1,"Zona 1 — Crítica: impacto alto y ocurre al menos una vez al año","Zona 4 — Catastrófica poco probable: impacto alto pero excepcional"),IF(AND(T1373&lt;1.5,X1373&lt;1),"Zona 3 — Asumible: impacto bajo y muy poco frecuente","Zona 2 — Atención: riesgo intermedio"))</f>
        <v/>
      </c>
      <c r="AB1373" s="64">
        <f>IFERROR(INDEX(MgAmenCtrl,MATCH(SUBSTITUTE($H1373,"*","-"),MgAmenClave,0)),"")</f>
        <v/>
      </c>
      <c r="AC1373" s="20" t="n"/>
      <c r="AD1373" s="31">
        <f>IFERROR($X1373*(1-IF($AC1373="",$AL1373,VLOOKUP($AC1373,MgMad,2,0))),"")</f>
        <v/>
      </c>
      <c r="AE1373" s="28">
        <f>IFERROR(LOOKUP(AD1373,{0;0.01;0.1;1;10;100},{"Muy baja";"Muy baja";"Baja";"Media";"Alta";"Muy alta"}),"")</f>
        <v/>
      </c>
      <c r="AF1373" s="30">
        <f>T1373*AD1373</f>
        <v/>
      </c>
      <c r="AG1373" s="28">
        <f>IFERROR(LOOKUP(AF1373,{0;0.5;5;25},{"Bajo";"Medio";"Alto";"Crítico"}),"")</f>
        <v/>
      </c>
      <c r="AH1373" s="28">
        <f>IF(AG1373="","",IF(OR(AG1373="Crítico",AG1373="Alto"),"Mitigar",IF(AG1373="Medio","Mitigar","Aceptar y monitorear")))</f>
        <v/>
      </c>
      <c r="AI1373" s="21" t="n"/>
      <c r="AJ1373" s="21" t="n"/>
      <c r="AK1373" s="20" t="n"/>
      <c r="AL1373" s="77">
        <f>IFERROR(INDEX(MgAmenEfic,MATCH(SUBSTITUTE($H1373,"*","-"),MgAmenClave,0)),0)</f>
        <v/>
      </c>
    </row>
    <row r="1374" hidden="1" ht="75" customHeight="1" s="54">
      <c r="B1374" s="59" t="inlineStr">
        <is>
          <t>R-1369</t>
        </is>
      </c>
      <c r="C1374" s="59" t="inlineStr">
        <is>
          <t>GH-048</t>
        </is>
      </c>
      <c r="D1374" s="64">
        <f>IFERROR(INDEX(MgNombre,MATCH($C1374,MgActId,0)),"")</f>
        <v/>
      </c>
      <c r="E1374" s="64">
        <f>IFERROR(INDEX(MgProceso,MATCH($C1374,MgActId,0)),"")</f>
        <v/>
      </c>
      <c r="F1374" s="64">
        <f>IFERROR(INDEX(MgTipo,MATCH($C1374,MgActId,0)),"")</f>
        <v/>
      </c>
      <c r="G1374" s="64">
        <f>IFERROR(INDEX(MgSubtipo,MATCH($C1374,MgActId,0)),"")</f>
        <v/>
      </c>
      <c r="H1374" s="59" t="inlineStr">
        <is>
          <t>E.4</t>
        </is>
      </c>
      <c r="I1374" s="64">
        <f>IFERROR(INDEX(MgAmenNombre,MATCH(SUBSTITUTE($H1374,"*","-"),MgAmenClave,0)),"")</f>
        <v/>
      </c>
      <c r="J1374" s="28">
        <f>IFERROR(INDEX(MgAmenGrupo,MATCH(SUBSTITUTE($H1374,"*","-"),MgAmenClave,0)),"")</f>
        <v/>
      </c>
      <c r="K1374" s="64">
        <f>IFERROR(INDEX('1. Matriz de Activos'!$Q$6:$Q$239,MATCH($C1374,MgActId,0)),"")</f>
        <v/>
      </c>
      <c r="L1374" s="64">
        <f>IFERROR(INDEX('1. Matriz de Activos'!$R$6:$R$239,MATCH($C1374,MgActId,0)),"")</f>
        <v/>
      </c>
      <c r="M1374" s="64">
        <f>IFERROR(INDEX('1. Matriz de Activos'!$S$6:$S$239,MATCH($C1374,MgActId,0)),"")</f>
        <v/>
      </c>
      <c r="N1374" s="28">
        <f>IFERROR(INDEX(MgAmenDegD,MATCH(SUBSTITUTE($H1374,"*","-"),MgAmenClave,0)),"No aplica")</f>
        <v/>
      </c>
      <c r="O1374" s="28">
        <f>IFERROR(INDEX(MgAmenDegI,MATCH(SUBSTITUTE($H1374,"*","-"),MgAmenClave,0)),"No aplica")</f>
        <v/>
      </c>
      <c r="P1374" s="28">
        <f>IFERROR(INDEX(MgAmenDegC,MATCH(SUBSTITUTE($H1374,"*","-"),MgAmenClave,0)),"No aplica")</f>
        <v/>
      </c>
      <c r="Q1374" s="29">
        <f>IFERROR(VLOOKUP(K1374,MgValor,2,0)*VLOOKUP(N1374,MgDeg,2,0),0)</f>
        <v/>
      </c>
      <c r="R1374" s="29">
        <f>IFERROR(VLOOKUP(L1374,MgValor,2,0)*VLOOKUP(O1374,MgDeg,2,0),0)</f>
        <v/>
      </c>
      <c r="S1374" s="29">
        <f>IFERROR(VLOOKUP(M1374,MgValor,2,0)*VLOOKUP(P1374,MgDeg,2,0),0)</f>
        <v/>
      </c>
      <c r="T1374" s="30">
        <f>MAX(Q1374:S1374)</f>
        <v/>
      </c>
      <c r="U1374" s="28">
        <f>IFERROR(LOOKUP(T1374,{0;0.5;1.5;3;4.5},{"Despreciable";"Bajo";"Medio";"Alto";"Muy alto"}),"")</f>
        <v/>
      </c>
      <c r="V1374" s="13">
        <f>IFERROR(INDEX(MgAmenFrec,MATCH(SUBSTITUTE($H1374,"*","-"),MgAmenClave,0)),"")</f>
        <v/>
      </c>
      <c r="W1374" s="28">
        <f>IFERROR(LOOKUP(X1374,{0;0.01;0.1;1;10;100},{"Muy baja";"Muy baja";"Baja";"Media";"Alta";"Muy alta"}),"")</f>
        <v/>
      </c>
      <c r="X1374" s="31">
        <f>IFERROR(VLOOKUP(V1374,MgFrec,2,0),0)</f>
        <v/>
      </c>
      <c r="Y1374" s="30">
        <f>T1374*X1374</f>
        <v/>
      </c>
      <c r="Z1374" s="28">
        <f>IFERROR(LOOKUP(Y1374,{0;0.5;5;25},{"Bajo";"Medio";"Alto";"Crítico"}),"")</f>
        <v/>
      </c>
      <c r="AA1374" s="64">
        <f>IF(T1374&gt;=3,IF(X1374&gt;=1,"Zona 1 — Crítica: impacto alto y ocurre al menos una vez al año","Zona 4 — Catastrófica poco probable: impacto alto pero excepcional"),IF(AND(T1374&lt;1.5,X1374&lt;1),"Zona 3 — Asumible: impacto bajo y muy poco frecuente","Zona 2 — Atención: riesgo intermedio"))</f>
        <v/>
      </c>
      <c r="AB1374" s="64">
        <f>IFERROR(INDEX(MgAmenCtrl,MATCH(SUBSTITUTE($H1374,"*","-"),MgAmenClave,0)),"")</f>
        <v/>
      </c>
      <c r="AC1374" s="20" t="n"/>
      <c r="AD1374" s="31">
        <f>IFERROR($X1374*(1-IF($AC1374="",$AL1374,VLOOKUP($AC1374,MgMad,2,0))),"")</f>
        <v/>
      </c>
      <c r="AE1374" s="28">
        <f>IFERROR(LOOKUP(AD1374,{0;0.01;0.1;1;10;100},{"Muy baja";"Muy baja";"Baja";"Media";"Alta";"Muy alta"}),"")</f>
        <v/>
      </c>
      <c r="AF1374" s="30">
        <f>T1374*AD1374</f>
        <v/>
      </c>
      <c r="AG1374" s="28">
        <f>IFERROR(LOOKUP(AF1374,{0;0.5;5;25},{"Bajo";"Medio";"Alto";"Crítico"}),"")</f>
        <v/>
      </c>
      <c r="AH1374" s="28">
        <f>IF(AG1374="","",IF(OR(AG1374="Crítico",AG1374="Alto"),"Mitigar",IF(AG1374="Medio","Mitigar","Aceptar y monitorear")))</f>
        <v/>
      </c>
      <c r="AI1374" s="21" t="n"/>
      <c r="AJ1374" s="21" t="n"/>
      <c r="AK1374" s="20" t="n"/>
      <c r="AL1374" s="77">
        <f>IFERROR(INDEX(MgAmenEfic,MATCH(SUBSTITUTE($H1374,"*","-"),MgAmenClave,0)),0)</f>
        <v/>
      </c>
    </row>
    <row r="1375" hidden="1" ht="90" customHeight="1" s="54">
      <c r="B1375" s="59" t="inlineStr">
        <is>
          <t>R-1370</t>
        </is>
      </c>
      <c r="C1375" s="59" t="inlineStr">
        <is>
          <t>GH-048</t>
        </is>
      </c>
      <c r="D1375" s="64">
        <f>IFERROR(INDEX(MgNombre,MATCH($C1375,MgActId,0)),"")</f>
        <v/>
      </c>
      <c r="E1375" s="64">
        <f>IFERROR(INDEX(MgProceso,MATCH($C1375,MgActId,0)),"")</f>
        <v/>
      </c>
      <c r="F1375" s="64">
        <f>IFERROR(INDEX(MgTipo,MATCH($C1375,MgActId,0)),"")</f>
        <v/>
      </c>
      <c r="G1375" s="64">
        <f>IFERROR(INDEX(MgSubtipo,MATCH($C1375,MgActId,0)),"")</f>
        <v/>
      </c>
      <c r="H1375" s="59" t="inlineStr">
        <is>
          <t>E.14</t>
        </is>
      </c>
      <c r="I1375" s="64">
        <f>IFERROR(INDEX(MgAmenNombre,MATCH(SUBSTITUTE($H1375,"*","-"),MgAmenClave,0)),"")</f>
        <v/>
      </c>
      <c r="J1375" s="28">
        <f>IFERROR(INDEX(MgAmenGrupo,MATCH(SUBSTITUTE($H1375,"*","-"),MgAmenClave,0)),"")</f>
        <v/>
      </c>
      <c r="K1375" s="64">
        <f>IFERROR(INDEX('1. Matriz de Activos'!$Q$6:$Q$239,MATCH($C1375,MgActId,0)),"")</f>
        <v/>
      </c>
      <c r="L1375" s="64">
        <f>IFERROR(INDEX('1. Matriz de Activos'!$R$6:$R$239,MATCH($C1375,MgActId,0)),"")</f>
        <v/>
      </c>
      <c r="M1375" s="64">
        <f>IFERROR(INDEX('1. Matriz de Activos'!$S$6:$S$239,MATCH($C1375,MgActId,0)),"")</f>
        <v/>
      </c>
      <c r="N1375" s="28">
        <f>IFERROR(INDEX(MgAmenDegD,MATCH(SUBSTITUTE($H1375,"*","-"),MgAmenClave,0)),"No aplica")</f>
        <v/>
      </c>
      <c r="O1375" s="28">
        <f>IFERROR(INDEX(MgAmenDegI,MATCH(SUBSTITUTE($H1375,"*","-"),MgAmenClave,0)),"No aplica")</f>
        <v/>
      </c>
      <c r="P1375" s="28">
        <f>IFERROR(INDEX(MgAmenDegC,MATCH(SUBSTITUTE($H1375,"*","-"),MgAmenClave,0)),"No aplica")</f>
        <v/>
      </c>
      <c r="Q1375" s="29">
        <f>IFERROR(VLOOKUP(K1375,MgValor,2,0)*VLOOKUP(N1375,MgDeg,2,0),0)</f>
        <v/>
      </c>
      <c r="R1375" s="29">
        <f>IFERROR(VLOOKUP(L1375,MgValor,2,0)*VLOOKUP(O1375,MgDeg,2,0),0)</f>
        <v/>
      </c>
      <c r="S1375" s="29">
        <f>IFERROR(VLOOKUP(M1375,MgValor,2,0)*VLOOKUP(P1375,MgDeg,2,0),0)</f>
        <v/>
      </c>
      <c r="T1375" s="30">
        <f>MAX(Q1375:S1375)</f>
        <v/>
      </c>
      <c r="U1375" s="28">
        <f>IFERROR(LOOKUP(T1375,{0;0.5;1.5;3;4.5},{"Despreciable";"Bajo";"Medio";"Alto";"Muy alto"}),"")</f>
        <v/>
      </c>
      <c r="V1375" s="13">
        <f>IFERROR(INDEX(MgAmenFrec,MATCH(SUBSTITUTE($H1375,"*","-"),MgAmenClave,0)),"")</f>
        <v/>
      </c>
      <c r="W1375" s="28">
        <f>IFERROR(LOOKUP(X1375,{0;0.01;0.1;1;10;100},{"Muy baja";"Muy baja";"Baja";"Media";"Alta";"Muy alta"}),"")</f>
        <v/>
      </c>
      <c r="X1375" s="31">
        <f>IFERROR(VLOOKUP(V1375,MgFrec,2,0),0)</f>
        <v/>
      </c>
      <c r="Y1375" s="30">
        <f>T1375*X1375</f>
        <v/>
      </c>
      <c r="Z1375" s="28">
        <f>IFERROR(LOOKUP(Y1375,{0;0.5;5;25},{"Bajo";"Medio";"Alto";"Crítico"}),"")</f>
        <v/>
      </c>
      <c r="AA1375" s="64">
        <f>IF(T1375&gt;=3,IF(X1375&gt;=1,"Zona 1 — Crítica: impacto alto y ocurre al menos una vez al año","Zona 4 — Catastrófica poco probable: impacto alto pero excepcional"),IF(AND(T1375&lt;1.5,X1375&lt;1),"Zona 3 — Asumible: impacto bajo y muy poco frecuente","Zona 2 — Atención: riesgo intermedio"))</f>
        <v/>
      </c>
      <c r="AB1375" s="64">
        <f>IFERROR(INDEX(MgAmenCtrl,MATCH(SUBSTITUTE($H1375,"*","-"),MgAmenClave,0)),"")</f>
        <v/>
      </c>
      <c r="AC1375" s="20" t="n"/>
      <c r="AD1375" s="31">
        <f>IFERROR($X1375*(1-IF($AC1375="",$AL1375,VLOOKUP($AC1375,MgMad,2,0))),"")</f>
        <v/>
      </c>
      <c r="AE1375" s="28">
        <f>IFERROR(LOOKUP(AD1375,{0;0.01;0.1;1;10;100},{"Muy baja";"Muy baja";"Baja";"Media";"Alta";"Muy alta"}),"")</f>
        <v/>
      </c>
      <c r="AF1375" s="30">
        <f>T1375*AD1375</f>
        <v/>
      </c>
      <c r="AG1375" s="28">
        <f>IFERROR(LOOKUP(AF1375,{0;0.5;5;25},{"Bajo";"Medio";"Alto";"Crítico"}),"")</f>
        <v/>
      </c>
      <c r="AH1375" s="28">
        <f>IF(AG1375="","",IF(OR(AG1375="Crítico",AG1375="Alto"),"Mitigar",IF(AG1375="Medio","Mitigar","Aceptar y monitorear")))</f>
        <v/>
      </c>
      <c r="AI1375" s="21" t="n"/>
      <c r="AJ1375" s="21" t="n"/>
      <c r="AK1375" s="20" t="n"/>
      <c r="AL1375" s="77">
        <f>IFERROR(INDEX(MgAmenEfic,MATCH(SUBSTITUTE($H1375,"*","-"),MgAmenClave,0)),0)</f>
        <v/>
      </c>
    </row>
    <row r="1376" hidden="1" ht="90" customHeight="1" s="54">
      <c r="B1376" s="59" t="inlineStr">
        <is>
          <t>R-1371</t>
        </is>
      </c>
      <c r="C1376" s="59" t="inlineStr">
        <is>
          <t>GH-048</t>
        </is>
      </c>
      <c r="D1376" s="64">
        <f>IFERROR(INDEX(MgNombre,MATCH($C1376,MgActId,0)),"")</f>
        <v/>
      </c>
      <c r="E1376" s="64">
        <f>IFERROR(INDEX(MgProceso,MATCH($C1376,MgActId,0)),"")</f>
        <v/>
      </c>
      <c r="F1376" s="64">
        <f>IFERROR(INDEX(MgTipo,MATCH($C1376,MgActId,0)),"")</f>
        <v/>
      </c>
      <c r="G1376" s="64">
        <f>IFERROR(INDEX(MgSubtipo,MATCH($C1376,MgActId,0)),"")</f>
        <v/>
      </c>
      <c r="H1376" s="59" t="inlineStr">
        <is>
          <t>E.15</t>
        </is>
      </c>
      <c r="I1376" s="64">
        <f>IFERROR(INDEX(MgAmenNombre,MATCH(SUBSTITUTE($H1376,"*","-"),MgAmenClave,0)),"")</f>
        <v/>
      </c>
      <c r="J1376" s="28">
        <f>IFERROR(INDEX(MgAmenGrupo,MATCH(SUBSTITUTE($H1376,"*","-"),MgAmenClave,0)),"")</f>
        <v/>
      </c>
      <c r="K1376" s="64">
        <f>IFERROR(INDEX('1. Matriz de Activos'!$Q$6:$Q$239,MATCH($C1376,MgActId,0)),"")</f>
        <v/>
      </c>
      <c r="L1376" s="64">
        <f>IFERROR(INDEX('1. Matriz de Activos'!$R$6:$R$239,MATCH($C1376,MgActId,0)),"")</f>
        <v/>
      </c>
      <c r="M1376" s="64">
        <f>IFERROR(INDEX('1. Matriz de Activos'!$S$6:$S$239,MATCH($C1376,MgActId,0)),"")</f>
        <v/>
      </c>
      <c r="N1376" s="28">
        <f>IFERROR(INDEX(MgAmenDegD,MATCH(SUBSTITUTE($H1376,"*","-"),MgAmenClave,0)),"No aplica")</f>
        <v/>
      </c>
      <c r="O1376" s="28">
        <f>IFERROR(INDEX(MgAmenDegI,MATCH(SUBSTITUTE($H1376,"*","-"),MgAmenClave,0)),"No aplica")</f>
        <v/>
      </c>
      <c r="P1376" s="28">
        <f>IFERROR(INDEX(MgAmenDegC,MATCH(SUBSTITUTE($H1376,"*","-"),MgAmenClave,0)),"No aplica")</f>
        <v/>
      </c>
      <c r="Q1376" s="29">
        <f>IFERROR(VLOOKUP(K1376,MgValor,2,0)*VLOOKUP(N1376,MgDeg,2,0),0)</f>
        <v/>
      </c>
      <c r="R1376" s="29">
        <f>IFERROR(VLOOKUP(L1376,MgValor,2,0)*VLOOKUP(O1376,MgDeg,2,0),0)</f>
        <v/>
      </c>
      <c r="S1376" s="29">
        <f>IFERROR(VLOOKUP(M1376,MgValor,2,0)*VLOOKUP(P1376,MgDeg,2,0),0)</f>
        <v/>
      </c>
      <c r="T1376" s="30">
        <f>MAX(Q1376:S1376)</f>
        <v/>
      </c>
      <c r="U1376" s="28">
        <f>IFERROR(LOOKUP(T1376,{0;0.5;1.5;3;4.5},{"Despreciable";"Bajo";"Medio";"Alto";"Muy alto"}),"")</f>
        <v/>
      </c>
      <c r="V1376" s="13">
        <f>IFERROR(INDEX(MgAmenFrec,MATCH(SUBSTITUTE($H1376,"*","-"),MgAmenClave,0)),"")</f>
        <v/>
      </c>
      <c r="W1376" s="28">
        <f>IFERROR(LOOKUP(X1376,{0;0.01;0.1;1;10;100},{"Muy baja";"Muy baja";"Baja";"Media";"Alta";"Muy alta"}),"")</f>
        <v/>
      </c>
      <c r="X1376" s="31">
        <f>IFERROR(VLOOKUP(V1376,MgFrec,2,0),0)</f>
        <v/>
      </c>
      <c r="Y1376" s="30">
        <f>T1376*X1376</f>
        <v/>
      </c>
      <c r="Z1376" s="28">
        <f>IFERROR(LOOKUP(Y1376,{0;0.5;5;25},{"Bajo";"Medio";"Alto";"Crítico"}),"")</f>
        <v/>
      </c>
      <c r="AA1376" s="64">
        <f>IF(T1376&gt;=3,IF(X1376&gt;=1,"Zona 1 — Crítica: impacto alto y ocurre al menos una vez al año","Zona 4 — Catastrófica poco probable: impacto alto pero excepcional"),IF(AND(T1376&lt;1.5,X1376&lt;1),"Zona 3 — Asumible: impacto bajo y muy poco frecuente","Zona 2 — Atención: riesgo intermedio"))</f>
        <v/>
      </c>
      <c r="AB1376" s="64">
        <f>IFERROR(INDEX(MgAmenCtrl,MATCH(SUBSTITUTE($H1376,"*","-"),MgAmenClave,0)),"")</f>
        <v/>
      </c>
      <c r="AC1376" s="20" t="n"/>
      <c r="AD1376" s="31">
        <f>IFERROR($X1376*(1-IF($AC1376="",$AL1376,VLOOKUP($AC1376,MgMad,2,0))),"")</f>
        <v/>
      </c>
      <c r="AE1376" s="28">
        <f>IFERROR(LOOKUP(AD1376,{0;0.01;0.1;1;10;100},{"Muy baja";"Muy baja";"Baja";"Media";"Alta";"Muy alta"}),"")</f>
        <v/>
      </c>
      <c r="AF1376" s="30">
        <f>T1376*AD1376</f>
        <v/>
      </c>
      <c r="AG1376" s="28">
        <f>IFERROR(LOOKUP(AF1376,{0;0.5;5;25},{"Bajo";"Medio";"Alto";"Crítico"}),"")</f>
        <v/>
      </c>
      <c r="AH1376" s="28">
        <f>IF(AG1376="","",IF(OR(AG1376="Crítico",AG1376="Alto"),"Mitigar",IF(AG1376="Medio","Mitigar","Aceptar y monitorear")))</f>
        <v/>
      </c>
      <c r="AI1376" s="21" t="n"/>
      <c r="AJ1376" s="21" t="n"/>
      <c r="AK1376" s="20" t="n"/>
      <c r="AL1376" s="77">
        <f>IFERROR(INDEX(MgAmenEfic,MATCH(SUBSTITUTE($H1376,"*","-"),MgAmenClave,0)),0)</f>
        <v/>
      </c>
    </row>
    <row r="1377" hidden="1" ht="60" customHeight="1" s="54">
      <c r="B1377" s="59" t="inlineStr">
        <is>
          <t>R-1372</t>
        </is>
      </c>
      <c r="C1377" s="59" t="inlineStr">
        <is>
          <t>GH-048</t>
        </is>
      </c>
      <c r="D1377" s="64">
        <f>IFERROR(INDEX(MgNombre,MATCH($C1377,MgActId,0)),"")</f>
        <v/>
      </c>
      <c r="E1377" s="64">
        <f>IFERROR(INDEX(MgProceso,MATCH($C1377,MgActId,0)),"")</f>
        <v/>
      </c>
      <c r="F1377" s="64">
        <f>IFERROR(INDEX(MgTipo,MATCH($C1377,MgActId,0)),"")</f>
        <v/>
      </c>
      <c r="G1377" s="64">
        <f>IFERROR(INDEX(MgSubtipo,MATCH($C1377,MgActId,0)),"")</f>
        <v/>
      </c>
      <c r="H1377" s="59" t="inlineStr">
        <is>
          <t>E.18</t>
        </is>
      </c>
      <c r="I1377" s="64">
        <f>IFERROR(INDEX(MgAmenNombre,MATCH(SUBSTITUTE($H1377,"*","-"),MgAmenClave,0)),"")</f>
        <v/>
      </c>
      <c r="J1377" s="28">
        <f>IFERROR(INDEX(MgAmenGrupo,MATCH(SUBSTITUTE($H1377,"*","-"),MgAmenClave,0)),"")</f>
        <v/>
      </c>
      <c r="K1377" s="64">
        <f>IFERROR(INDEX('1. Matriz de Activos'!$Q$6:$Q$239,MATCH($C1377,MgActId,0)),"")</f>
        <v/>
      </c>
      <c r="L1377" s="64">
        <f>IFERROR(INDEX('1. Matriz de Activos'!$R$6:$R$239,MATCH($C1377,MgActId,0)),"")</f>
        <v/>
      </c>
      <c r="M1377" s="64">
        <f>IFERROR(INDEX('1. Matriz de Activos'!$S$6:$S$239,MATCH($C1377,MgActId,0)),"")</f>
        <v/>
      </c>
      <c r="N1377" s="28">
        <f>IFERROR(INDEX(MgAmenDegD,MATCH(SUBSTITUTE($H1377,"*","-"),MgAmenClave,0)),"No aplica")</f>
        <v/>
      </c>
      <c r="O1377" s="28">
        <f>IFERROR(INDEX(MgAmenDegI,MATCH(SUBSTITUTE($H1377,"*","-"),MgAmenClave,0)),"No aplica")</f>
        <v/>
      </c>
      <c r="P1377" s="28">
        <f>IFERROR(INDEX(MgAmenDegC,MATCH(SUBSTITUTE($H1377,"*","-"),MgAmenClave,0)),"No aplica")</f>
        <v/>
      </c>
      <c r="Q1377" s="29">
        <f>IFERROR(VLOOKUP(K1377,MgValor,2,0)*VLOOKUP(N1377,MgDeg,2,0),0)</f>
        <v/>
      </c>
      <c r="R1377" s="29">
        <f>IFERROR(VLOOKUP(L1377,MgValor,2,0)*VLOOKUP(O1377,MgDeg,2,0),0)</f>
        <v/>
      </c>
      <c r="S1377" s="29">
        <f>IFERROR(VLOOKUP(M1377,MgValor,2,0)*VLOOKUP(P1377,MgDeg,2,0),0)</f>
        <v/>
      </c>
      <c r="T1377" s="30">
        <f>MAX(Q1377:S1377)</f>
        <v/>
      </c>
      <c r="U1377" s="28">
        <f>IFERROR(LOOKUP(T1377,{0;0.5;1.5;3;4.5},{"Despreciable";"Bajo";"Medio";"Alto";"Muy alto"}),"")</f>
        <v/>
      </c>
      <c r="V1377" s="13">
        <f>IFERROR(INDEX(MgAmenFrec,MATCH(SUBSTITUTE($H1377,"*","-"),MgAmenClave,0)),"")</f>
        <v/>
      </c>
      <c r="W1377" s="28">
        <f>IFERROR(LOOKUP(X1377,{0;0.01;0.1;1;10;100},{"Muy baja";"Muy baja";"Baja";"Media";"Alta";"Muy alta"}),"")</f>
        <v/>
      </c>
      <c r="X1377" s="31">
        <f>IFERROR(VLOOKUP(V1377,MgFrec,2,0),0)</f>
        <v/>
      </c>
      <c r="Y1377" s="30">
        <f>T1377*X1377</f>
        <v/>
      </c>
      <c r="Z1377" s="28">
        <f>IFERROR(LOOKUP(Y1377,{0;0.5;5;25},{"Bajo";"Medio";"Alto";"Crítico"}),"")</f>
        <v/>
      </c>
      <c r="AA1377" s="64">
        <f>IF(T1377&gt;=3,IF(X1377&gt;=1,"Zona 1 — Crítica: impacto alto y ocurre al menos una vez al año","Zona 4 — Catastrófica poco probable: impacto alto pero excepcional"),IF(AND(T1377&lt;1.5,X1377&lt;1),"Zona 3 — Asumible: impacto bajo y muy poco frecuente","Zona 2 — Atención: riesgo intermedio"))</f>
        <v/>
      </c>
      <c r="AB1377" s="64">
        <f>IFERROR(INDEX(MgAmenCtrl,MATCH(SUBSTITUTE($H1377,"*","-"),MgAmenClave,0)),"")</f>
        <v/>
      </c>
      <c r="AC1377" s="20" t="n"/>
      <c r="AD1377" s="31">
        <f>IFERROR($X1377*(1-IF($AC1377="",$AL1377,VLOOKUP($AC1377,MgMad,2,0))),"")</f>
        <v/>
      </c>
      <c r="AE1377" s="28">
        <f>IFERROR(LOOKUP(AD1377,{0;0.01;0.1;1;10;100},{"Muy baja";"Muy baja";"Baja";"Media";"Alta";"Muy alta"}),"")</f>
        <v/>
      </c>
      <c r="AF1377" s="30">
        <f>T1377*AD1377</f>
        <v/>
      </c>
      <c r="AG1377" s="28">
        <f>IFERROR(LOOKUP(AF1377,{0;0.5;5;25},{"Bajo";"Medio";"Alto";"Crítico"}),"")</f>
        <v/>
      </c>
      <c r="AH1377" s="28">
        <f>IF(AG1377="","",IF(OR(AG1377="Crítico",AG1377="Alto"),"Mitigar",IF(AG1377="Medio","Mitigar","Aceptar y monitorear")))</f>
        <v/>
      </c>
      <c r="AI1377" s="21" t="n"/>
      <c r="AJ1377" s="21" t="n"/>
      <c r="AK1377" s="20" t="n"/>
      <c r="AL1377" s="77">
        <f>IFERROR(INDEX(MgAmenEfic,MATCH(SUBSTITUTE($H1377,"*","-"),MgAmenClave,0)),0)</f>
        <v/>
      </c>
    </row>
    <row r="1378" hidden="1" ht="105" customHeight="1" s="54">
      <c r="B1378" s="59" t="inlineStr">
        <is>
          <t>R-1373</t>
        </is>
      </c>
      <c r="C1378" s="59" t="inlineStr">
        <is>
          <t>GH-048</t>
        </is>
      </c>
      <c r="D1378" s="64">
        <f>IFERROR(INDEX(MgNombre,MATCH($C1378,MgActId,0)),"")</f>
        <v/>
      </c>
      <c r="E1378" s="64">
        <f>IFERROR(INDEX(MgProceso,MATCH($C1378,MgActId,0)),"")</f>
        <v/>
      </c>
      <c r="F1378" s="64">
        <f>IFERROR(INDEX(MgTipo,MATCH($C1378,MgActId,0)),"")</f>
        <v/>
      </c>
      <c r="G1378" s="64">
        <f>IFERROR(INDEX(MgSubtipo,MATCH($C1378,MgActId,0)),"")</f>
        <v/>
      </c>
      <c r="H1378" s="59" t="inlineStr">
        <is>
          <t>E.19</t>
        </is>
      </c>
      <c r="I1378" s="64">
        <f>IFERROR(INDEX(MgAmenNombre,MATCH(SUBSTITUTE($H1378,"*","-"),MgAmenClave,0)),"")</f>
        <v/>
      </c>
      <c r="J1378" s="28">
        <f>IFERROR(INDEX(MgAmenGrupo,MATCH(SUBSTITUTE($H1378,"*","-"),MgAmenClave,0)),"")</f>
        <v/>
      </c>
      <c r="K1378" s="64">
        <f>IFERROR(INDEX('1. Matriz de Activos'!$Q$6:$Q$239,MATCH($C1378,MgActId,0)),"")</f>
        <v/>
      </c>
      <c r="L1378" s="64">
        <f>IFERROR(INDEX('1. Matriz de Activos'!$R$6:$R$239,MATCH($C1378,MgActId,0)),"")</f>
        <v/>
      </c>
      <c r="M1378" s="64">
        <f>IFERROR(INDEX('1. Matriz de Activos'!$S$6:$S$239,MATCH($C1378,MgActId,0)),"")</f>
        <v/>
      </c>
      <c r="N1378" s="28">
        <f>IFERROR(INDEX(MgAmenDegD,MATCH(SUBSTITUTE($H1378,"*","-"),MgAmenClave,0)),"No aplica")</f>
        <v/>
      </c>
      <c r="O1378" s="28">
        <f>IFERROR(INDEX(MgAmenDegI,MATCH(SUBSTITUTE($H1378,"*","-"),MgAmenClave,0)),"No aplica")</f>
        <v/>
      </c>
      <c r="P1378" s="28">
        <f>IFERROR(INDEX(MgAmenDegC,MATCH(SUBSTITUTE($H1378,"*","-"),MgAmenClave,0)),"No aplica")</f>
        <v/>
      </c>
      <c r="Q1378" s="29">
        <f>IFERROR(VLOOKUP(K1378,MgValor,2,0)*VLOOKUP(N1378,MgDeg,2,0),0)</f>
        <v/>
      </c>
      <c r="R1378" s="29">
        <f>IFERROR(VLOOKUP(L1378,MgValor,2,0)*VLOOKUP(O1378,MgDeg,2,0),0)</f>
        <v/>
      </c>
      <c r="S1378" s="29">
        <f>IFERROR(VLOOKUP(M1378,MgValor,2,0)*VLOOKUP(P1378,MgDeg,2,0),0)</f>
        <v/>
      </c>
      <c r="T1378" s="30">
        <f>MAX(Q1378:S1378)</f>
        <v/>
      </c>
      <c r="U1378" s="28">
        <f>IFERROR(LOOKUP(T1378,{0;0.5;1.5;3;4.5},{"Despreciable";"Bajo";"Medio";"Alto";"Muy alto"}),"")</f>
        <v/>
      </c>
      <c r="V1378" s="13">
        <f>IFERROR(INDEX(MgAmenFrec,MATCH(SUBSTITUTE($H1378,"*","-"),MgAmenClave,0)),"")</f>
        <v/>
      </c>
      <c r="W1378" s="28">
        <f>IFERROR(LOOKUP(X1378,{0;0.01;0.1;1;10;100},{"Muy baja";"Muy baja";"Baja";"Media";"Alta";"Muy alta"}),"")</f>
        <v/>
      </c>
      <c r="X1378" s="31">
        <f>IFERROR(VLOOKUP(V1378,MgFrec,2,0),0)</f>
        <v/>
      </c>
      <c r="Y1378" s="30">
        <f>T1378*X1378</f>
        <v/>
      </c>
      <c r="Z1378" s="28">
        <f>IFERROR(LOOKUP(Y1378,{0;0.5;5;25},{"Bajo";"Medio";"Alto";"Crítico"}),"")</f>
        <v/>
      </c>
      <c r="AA1378" s="64">
        <f>IF(T1378&gt;=3,IF(X1378&gt;=1,"Zona 1 — Crítica: impacto alto y ocurre al menos una vez al año","Zona 4 — Catastrófica poco probable: impacto alto pero excepcional"),IF(AND(T1378&lt;1.5,X1378&lt;1),"Zona 3 — Asumible: impacto bajo y muy poco frecuente","Zona 2 — Atención: riesgo intermedio"))</f>
        <v/>
      </c>
      <c r="AB1378" s="64">
        <f>IFERROR(INDEX(MgAmenCtrl,MATCH(SUBSTITUTE($H1378,"*","-"),MgAmenClave,0)),"")</f>
        <v/>
      </c>
      <c r="AC1378" s="20" t="n"/>
      <c r="AD1378" s="31">
        <f>IFERROR($X1378*(1-IF($AC1378="",$AL1378,VLOOKUP($AC1378,MgMad,2,0))),"")</f>
        <v/>
      </c>
      <c r="AE1378" s="28">
        <f>IFERROR(LOOKUP(AD1378,{0;0.01;0.1;1;10;100},{"Muy baja";"Muy baja";"Baja";"Media";"Alta";"Muy alta"}),"")</f>
        <v/>
      </c>
      <c r="AF1378" s="30">
        <f>T1378*AD1378</f>
        <v/>
      </c>
      <c r="AG1378" s="28">
        <f>IFERROR(LOOKUP(AF1378,{0;0.5;5;25},{"Bajo";"Medio";"Alto";"Crítico"}),"")</f>
        <v/>
      </c>
      <c r="AH1378" s="28">
        <f>IF(AG1378="","",IF(OR(AG1378="Crítico",AG1378="Alto"),"Mitigar",IF(AG1378="Medio","Mitigar","Aceptar y monitorear")))</f>
        <v/>
      </c>
      <c r="AI1378" s="21" t="n"/>
      <c r="AJ1378" s="21" t="n"/>
      <c r="AK1378" s="20" t="n"/>
      <c r="AL1378" s="77">
        <f>IFERROR(INDEX(MgAmenEfic,MATCH(SUBSTITUTE($H1378,"*","-"),MgAmenClave,0)),0)</f>
        <v/>
      </c>
    </row>
    <row r="1379" hidden="1" ht="60" customHeight="1" s="54">
      <c r="B1379" s="59" t="inlineStr">
        <is>
          <t>R-1374</t>
        </is>
      </c>
      <c r="C1379" s="59" t="inlineStr">
        <is>
          <t>GH-048</t>
        </is>
      </c>
      <c r="D1379" s="64">
        <f>IFERROR(INDEX(MgNombre,MATCH($C1379,MgActId,0)),"")</f>
        <v/>
      </c>
      <c r="E1379" s="64">
        <f>IFERROR(INDEX(MgProceso,MATCH($C1379,MgActId,0)),"")</f>
        <v/>
      </c>
      <c r="F1379" s="64">
        <f>IFERROR(INDEX(MgTipo,MATCH($C1379,MgActId,0)),"")</f>
        <v/>
      </c>
      <c r="G1379" s="64">
        <f>IFERROR(INDEX(MgSubtipo,MATCH($C1379,MgActId,0)),"")</f>
        <v/>
      </c>
      <c r="H1379" s="59" t="inlineStr">
        <is>
          <t>A.3</t>
        </is>
      </c>
      <c r="I1379" s="64">
        <f>IFERROR(INDEX(MgAmenNombre,MATCH(SUBSTITUTE($H1379,"*","-"),MgAmenClave,0)),"")</f>
        <v/>
      </c>
      <c r="J1379" s="28">
        <f>IFERROR(INDEX(MgAmenGrupo,MATCH(SUBSTITUTE($H1379,"*","-"),MgAmenClave,0)),"")</f>
        <v/>
      </c>
      <c r="K1379" s="64">
        <f>IFERROR(INDEX('1. Matriz de Activos'!$Q$6:$Q$239,MATCH($C1379,MgActId,0)),"")</f>
        <v/>
      </c>
      <c r="L1379" s="64">
        <f>IFERROR(INDEX('1. Matriz de Activos'!$R$6:$R$239,MATCH($C1379,MgActId,0)),"")</f>
        <v/>
      </c>
      <c r="M1379" s="64">
        <f>IFERROR(INDEX('1. Matriz de Activos'!$S$6:$S$239,MATCH($C1379,MgActId,0)),"")</f>
        <v/>
      </c>
      <c r="N1379" s="28">
        <f>IFERROR(INDEX(MgAmenDegD,MATCH(SUBSTITUTE($H1379,"*","-"),MgAmenClave,0)),"No aplica")</f>
        <v/>
      </c>
      <c r="O1379" s="28">
        <f>IFERROR(INDEX(MgAmenDegI,MATCH(SUBSTITUTE($H1379,"*","-"),MgAmenClave,0)),"No aplica")</f>
        <v/>
      </c>
      <c r="P1379" s="28">
        <f>IFERROR(INDEX(MgAmenDegC,MATCH(SUBSTITUTE($H1379,"*","-"),MgAmenClave,0)),"No aplica")</f>
        <v/>
      </c>
      <c r="Q1379" s="29">
        <f>IFERROR(VLOOKUP(K1379,MgValor,2,0)*VLOOKUP(N1379,MgDeg,2,0),0)</f>
        <v/>
      </c>
      <c r="R1379" s="29">
        <f>IFERROR(VLOOKUP(L1379,MgValor,2,0)*VLOOKUP(O1379,MgDeg,2,0),0)</f>
        <v/>
      </c>
      <c r="S1379" s="29">
        <f>IFERROR(VLOOKUP(M1379,MgValor,2,0)*VLOOKUP(P1379,MgDeg,2,0),0)</f>
        <v/>
      </c>
      <c r="T1379" s="30">
        <f>MAX(Q1379:S1379)</f>
        <v/>
      </c>
      <c r="U1379" s="28">
        <f>IFERROR(LOOKUP(T1379,{0;0.5;1.5;3;4.5},{"Despreciable";"Bajo";"Medio";"Alto";"Muy alto"}),"")</f>
        <v/>
      </c>
      <c r="V1379" s="13">
        <f>IFERROR(INDEX(MgAmenFrec,MATCH(SUBSTITUTE($H1379,"*","-"),MgAmenClave,0)),"")</f>
        <v/>
      </c>
      <c r="W1379" s="28">
        <f>IFERROR(LOOKUP(X1379,{0;0.01;0.1;1;10;100},{"Muy baja";"Muy baja";"Baja";"Media";"Alta";"Muy alta"}),"")</f>
        <v/>
      </c>
      <c r="X1379" s="31">
        <f>IFERROR(VLOOKUP(V1379,MgFrec,2,0),0)</f>
        <v/>
      </c>
      <c r="Y1379" s="30">
        <f>T1379*X1379</f>
        <v/>
      </c>
      <c r="Z1379" s="28">
        <f>IFERROR(LOOKUP(Y1379,{0;0.5;5;25},{"Bajo";"Medio";"Alto";"Crítico"}),"")</f>
        <v/>
      </c>
      <c r="AA1379" s="64">
        <f>IF(T1379&gt;=3,IF(X1379&gt;=1,"Zona 1 — Crítica: impacto alto y ocurre al menos una vez al año","Zona 4 — Catastrófica poco probable: impacto alto pero excepcional"),IF(AND(T1379&lt;1.5,X1379&lt;1),"Zona 3 — Asumible: impacto bajo y muy poco frecuente","Zona 2 — Atención: riesgo intermedio"))</f>
        <v/>
      </c>
      <c r="AB1379" s="64">
        <f>IFERROR(INDEX(MgAmenCtrl,MATCH(SUBSTITUTE($H1379,"*","-"),MgAmenClave,0)),"")</f>
        <v/>
      </c>
      <c r="AC1379" s="20" t="n"/>
      <c r="AD1379" s="31">
        <f>IFERROR($X1379*(1-IF($AC1379="",$AL1379,VLOOKUP($AC1379,MgMad,2,0))),"")</f>
        <v/>
      </c>
      <c r="AE1379" s="28">
        <f>IFERROR(LOOKUP(AD1379,{0;0.01;0.1;1;10;100},{"Muy baja";"Muy baja";"Baja";"Media";"Alta";"Muy alta"}),"")</f>
        <v/>
      </c>
      <c r="AF1379" s="30">
        <f>T1379*AD1379</f>
        <v/>
      </c>
      <c r="AG1379" s="28">
        <f>IFERROR(LOOKUP(AF1379,{0;0.5;5;25},{"Bajo";"Medio";"Alto";"Crítico"}),"")</f>
        <v/>
      </c>
      <c r="AH1379" s="28">
        <f>IF(AG1379="","",IF(OR(AG1379="Crítico",AG1379="Alto"),"Mitigar",IF(AG1379="Medio","Mitigar","Aceptar y monitorear")))</f>
        <v/>
      </c>
      <c r="AI1379" s="21" t="n"/>
      <c r="AJ1379" s="21" t="n"/>
      <c r="AK1379" s="20" t="n"/>
      <c r="AL1379" s="77">
        <f>IFERROR(INDEX(MgAmenEfic,MATCH(SUBSTITUTE($H1379,"*","-"),MgAmenClave,0)),0)</f>
        <v/>
      </c>
    </row>
    <row r="1380" hidden="1" ht="60" customHeight="1" s="54">
      <c r="B1380" s="59" t="inlineStr">
        <is>
          <t>R-1375</t>
        </is>
      </c>
      <c r="C1380" s="59" t="inlineStr">
        <is>
          <t>GH-048</t>
        </is>
      </c>
      <c r="D1380" s="64">
        <f>IFERROR(INDEX(MgNombre,MATCH($C1380,MgActId,0)),"")</f>
        <v/>
      </c>
      <c r="E1380" s="64">
        <f>IFERROR(INDEX(MgProceso,MATCH($C1380,MgActId,0)),"")</f>
        <v/>
      </c>
      <c r="F1380" s="64">
        <f>IFERROR(INDEX(MgTipo,MATCH($C1380,MgActId,0)),"")</f>
        <v/>
      </c>
      <c r="G1380" s="64">
        <f>IFERROR(INDEX(MgSubtipo,MATCH($C1380,MgActId,0)),"")</f>
        <v/>
      </c>
      <c r="H1380" s="59" t="inlineStr">
        <is>
          <t>A.4</t>
        </is>
      </c>
      <c r="I1380" s="64">
        <f>IFERROR(INDEX(MgAmenNombre,MATCH(SUBSTITUTE($H1380,"*","-"),MgAmenClave,0)),"")</f>
        <v/>
      </c>
      <c r="J1380" s="28">
        <f>IFERROR(INDEX(MgAmenGrupo,MATCH(SUBSTITUTE($H1380,"*","-"),MgAmenClave,0)),"")</f>
        <v/>
      </c>
      <c r="K1380" s="64">
        <f>IFERROR(INDEX('1. Matriz de Activos'!$Q$6:$Q$239,MATCH($C1380,MgActId,0)),"")</f>
        <v/>
      </c>
      <c r="L1380" s="64">
        <f>IFERROR(INDEX('1. Matriz de Activos'!$R$6:$R$239,MATCH($C1380,MgActId,0)),"")</f>
        <v/>
      </c>
      <c r="M1380" s="64">
        <f>IFERROR(INDEX('1. Matriz de Activos'!$S$6:$S$239,MATCH($C1380,MgActId,0)),"")</f>
        <v/>
      </c>
      <c r="N1380" s="28">
        <f>IFERROR(INDEX(MgAmenDegD,MATCH(SUBSTITUTE($H1380,"*","-"),MgAmenClave,0)),"No aplica")</f>
        <v/>
      </c>
      <c r="O1380" s="28">
        <f>IFERROR(INDEX(MgAmenDegI,MATCH(SUBSTITUTE($H1380,"*","-"),MgAmenClave,0)),"No aplica")</f>
        <v/>
      </c>
      <c r="P1380" s="28">
        <f>IFERROR(INDEX(MgAmenDegC,MATCH(SUBSTITUTE($H1380,"*","-"),MgAmenClave,0)),"No aplica")</f>
        <v/>
      </c>
      <c r="Q1380" s="29">
        <f>IFERROR(VLOOKUP(K1380,MgValor,2,0)*VLOOKUP(N1380,MgDeg,2,0),0)</f>
        <v/>
      </c>
      <c r="R1380" s="29">
        <f>IFERROR(VLOOKUP(L1380,MgValor,2,0)*VLOOKUP(O1380,MgDeg,2,0),0)</f>
        <v/>
      </c>
      <c r="S1380" s="29">
        <f>IFERROR(VLOOKUP(M1380,MgValor,2,0)*VLOOKUP(P1380,MgDeg,2,0),0)</f>
        <v/>
      </c>
      <c r="T1380" s="30">
        <f>MAX(Q1380:S1380)</f>
        <v/>
      </c>
      <c r="U1380" s="28">
        <f>IFERROR(LOOKUP(T1380,{0;0.5;1.5;3;4.5},{"Despreciable";"Bajo";"Medio";"Alto";"Muy alto"}),"")</f>
        <v/>
      </c>
      <c r="V1380" s="13">
        <f>IFERROR(INDEX(MgAmenFrec,MATCH(SUBSTITUTE($H1380,"*","-"),MgAmenClave,0)),"")</f>
        <v/>
      </c>
      <c r="W1380" s="28">
        <f>IFERROR(LOOKUP(X1380,{0;0.01;0.1;1;10;100},{"Muy baja";"Muy baja";"Baja";"Media";"Alta";"Muy alta"}),"")</f>
        <v/>
      </c>
      <c r="X1380" s="31">
        <f>IFERROR(VLOOKUP(V1380,MgFrec,2,0),0)</f>
        <v/>
      </c>
      <c r="Y1380" s="30">
        <f>T1380*X1380</f>
        <v/>
      </c>
      <c r="Z1380" s="28">
        <f>IFERROR(LOOKUP(Y1380,{0;0.5;5;25},{"Bajo";"Medio";"Alto";"Crítico"}),"")</f>
        <v/>
      </c>
      <c r="AA1380" s="64">
        <f>IF(T1380&gt;=3,IF(X1380&gt;=1,"Zona 1 — Crítica: impacto alto y ocurre al menos una vez al año","Zona 4 — Catastrófica poco probable: impacto alto pero excepcional"),IF(AND(T1380&lt;1.5,X1380&lt;1),"Zona 3 — Asumible: impacto bajo y muy poco frecuente","Zona 2 — Atención: riesgo intermedio"))</f>
        <v/>
      </c>
      <c r="AB1380" s="64">
        <f>IFERROR(INDEX(MgAmenCtrl,MATCH(SUBSTITUTE($H1380,"*","-"),MgAmenClave,0)),"")</f>
        <v/>
      </c>
      <c r="AC1380" s="20" t="n"/>
      <c r="AD1380" s="31">
        <f>IFERROR($X1380*(1-IF($AC1380="",$AL1380,VLOOKUP($AC1380,MgMad,2,0))),"")</f>
        <v/>
      </c>
      <c r="AE1380" s="28">
        <f>IFERROR(LOOKUP(AD1380,{0;0.01;0.1;1;10;100},{"Muy baja";"Muy baja";"Baja";"Media";"Alta";"Muy alta"}),"")</f>
        <v/>
      </c>
      <c r="AF1380" s="30">
        <f>T1380*AD1380</f>
        <v/>
      </c>
      <c r="AG1380" s="28">
        <f>IFERROR(LOOKUP(AF1380,{0;0.5;5;25},{"Bajo";"Medio";"Alto";"Crítico"}),"")</f>
        <v/>
      </c>
      <c r="AH1380" s="28">
        <f>IF(AG1380="","",IF(OR(AG1380="Crítico",AG1380="Alto"),"Mitigar",IF(AG1380="Medio","Mitigar","Aceptar y monitorear")))</f>
        <v/>
      </c>
      <c r="AI1380" s="21" t="n"/>
      <c r="AJ1380" s="21" t="n"/>
      <c r="AK1380" s="20" t="n"/>
      <c r="AL1380" s="77">
        <f>IFERROR(INDEX(MgAmenEfic,MATCH(SUBSTITUTE($H1380,"*","-"),MgAmenClave,0)),0)</f>
        <v/>
      </c>
    </row>
    <row r="1381" hidden="1" ht="75" customHeight="1" s="54">
      <c r="B1381" s="59" t="inlineStr">
        <is>
          <t>R-1376</t>
        </is>
      </c>
      <c r="C1381" s="59" t="inlineStr">
        <is>
          <t>GH-048</t>
        </is>
      </c>
      <c r="D1381" s="64">
        <f>IFERROR(INDEX(MgNombre,MATCH($C1381,MgActId,0)),"")</f>
        <v/>
      </c>
      <c r="E1381" s="64">
        <f>IFERROR(INDEX(MgProceso,MATCH($C1381,MgActId,0)),"")</f>
        <v/>
      </c>
      <c r="F1381" s="64">
        <f>IFERROR(INDEX(MgTipo,MATCH($C1381,MgActId,0)),"")</f>
        <v/>
      </c>
      <c r="G1381" s="64">
        <f>IFERROR(INDEX(MgSubtipo,MATCH($C1381,MgActId,0)),"")</f>
        <v/>
      </c>
      <c r="H1381" s="59" t="inlineStr">
        <is>
          <t>A.5</t>
        </is>
      </c>
      <c r="I1381" s="64">
        <f>IFERROR(INDEX(MgAmenNombre,MATCH(SUBSTITUTE($H1381,"*","-"),MgAmenClave,0)),"")</f>
        <v/>
      </c>
      <c r="J1381" s="28">
        <f>IFERROR(INDEX(MgAmenGrupo,MATCH(SUBSTITUTE($H1381,"*","-"),MgAmenClave,0)),"")</f>
        <v/>
      </c>
      <c r="K1381" s="64">
        <f>IFERROR(INDEX('1. Matriz de Activos'!$Q$6:$Q$239,MATCH($C1381,MgActId,0)),"")</f>
        <v/>
      </c>
      <c r="L1381" s="64">
        <f>IFERROR(INDEX('1. Matriz de Activos'!$R$6:$R$239,MATCH($C1381,MgActId,0)),"")</f>
        <v/>
      </c>
      <c r="M1381" s="64">
        <f>IFERROR(INDEX('1. Matriz de Activos'!$S$6:$S$239,MATCH($C1381,MgActId,0)),"")</f>
        <v/>
      </c>
      <c r="N1381" s="28">
        <f>IFERROR(INDEX(MgAmenDegD,MATCH(SUBSTITUTE($H1381,"*","-"),MgAmenClave,0)),"No aplica")</f>
        <v/>
      </c>
      <c r="O1381" s="28">
        <f>IFERROR(INDEX(MgAmenDegI,MATCH(SUBSTITUTE($H1381,"*","-"),MgAmenClave,0)),"No aplica")</f>
        <v/>
      </c>
      <c r="P1381" s="28">
        <f>IFERROR(INDEX(MgAmenDegC,MATCH(SUBSTITUTE($H1381,"*","-"),MgAmenClave,0)),"No aplica")</f>
        <v/>
      </c>
      <c r="Q1381" s="29">
        <f>IFERROR(VLOOKUP(K1381,MgValor,2,0)*VLOOKUP(N1381,MgDeg,2,0),0)</f>
        <v/>
      </c>
      <c r="R1381" s="29">
        <f>IFERROR(VLOOKUP(L1381,MgValor,2,0)*VLOOKUP(O1381,MgDeg,2,0),0)</f>
        <v/>
      </c>
      <c r="S1381" s="29">
        <f>IFERROR(VLOOKUP(M1381,MgValor,2,0)*VLOOKUP(P1381,MgDeg,2,0),0)</f>
        <v/>
      </c>
      <c r="T1381" s="30">
        <f>MAX(Q1381:S1381)</f>
        <v/>
      </c>
      <c r="U1381" s="28">
        <f>IFERROR(LOOKUP(T1381,{0;0.5;1.5;3;4.5},{"Despreciable";"Bajo";"Medio";"Alto";"Muy alto"}),"")</f>
        <v/>
      </c>
      <c r="V1381" s="13">
        <f>IFERROR(INDEX(MgAmenFrec,MATCH(SUBSTITUTE($H1381,"*","-"),MgAmenClave,0)),"")</f>
        <v/>
      </c>
      <c r="W1381" s="28">
        <f>IFERROR(LOOKUP(X1381,{0;0.01;0.1;1;10;100},{"Muy baja";"Muy baja";"Baja";"Media";"Alta";"Muy alta"}),"")</f>
        <v/>
      </c>
      <c r="X1381" s="31">
        <f>IFERROR(VLOOKUP(V1381,MgFrec,2,0),0)</f>
        <v/>
      </c>
      <c r="Y1381" s="30">
        <f>T1381*X1381</f>
        <v/>
      </c>
      <c r="Z1381" s="28">
        <f>IFERROR(LOOKUP(Y1381,{0;0.5;5;25},{"Bajo";"Medio";"Alto";"Crítico"}),"")</f>
        <v/>
      </c>
      <c r="AA1381" s="64">
        <f>IF(T1381&gt;=3,IF(X1381&gt;=1,"Zona 1 — Crítica: impacto alto y ocurre al menos una vez al año","Zona 4 — Catastrófica poco probable: impacto alto pero excepcional"),IF(AND(T1381&lt;1.5,X1381&lt;1),"Zona 3 — Asumible: impacto bajo y muy poco frecuente","Zona 2 — Atención: riesgo intermedio"))</f>
        <v/>
      </c>
      <c r="AB1381" s="64">
        <f>IFERROR(INDEX(MgAmenCtrl,MATCH(SUBSTITUTE($H1381,"*","-"),MgAmenClave,0)),"")</f>
        <v/>
      </c>
      <c r="AC1381" s="20" t="n"/>
      <c r="AD1381" s="31">
        <f>IFERROR($X1381*(1-IF($AC1381="",$AL1381,VLOOKUP($AC1381,MgMad,2,0))),"")</f>
        <v/>
      </c>
      <c r="AE1381" s="28">
        <f>IFERROR(LOOKUP(AD1381,{0;0.01;0.1;1;10;100},{"Muy baja";"Muy baja";"Baja";"Media";"Alta";"Muy alta"}),"")</f>
        <v/>
      </c>
      <c r="AF1381" s="30">
        <f>T1381*AD1381</f>
        <v/>
      </c>
      <c r="AG1381" s="28">
        <f>IFERROR(LOOKUP(AF1381,{0;0.5;5;25},{"Bajo";"Medio";"Alto";"Crítico"}),"")</f>
        <v/>
      </c>
      <c r="AH1381" s="28">
        <f>IF(AG1381="","",IF(OR(AG1381="Crítico",AG1381="Alto"),"Mitigar",IF(AG1381="Medio","Mitigar","Aceptar y monitorear")))</f>
        <v/>
      </c>
      <c r="AI1381" s="21" t="n"/>
      <c r="AJ1381" s="21" t="n"/>
      <c r="AK1381" s="20" t="n"/>
      <c r="AL1381" s="77">
        <f>IFERROR(INDEX(MgAmenEfic,MATCH(SUBSTITUTE($H1381,"*","-"),MgAmenClave,0)),0)</f>
        <v/>
      </c>
    </row>
    <row r="1382" hidden="1" ht="105" customHeight="1" s="54">
      <c r="B1382" s="59" t="inlineStr">
        <is>
          <t>R-1377</t>
        </is>
      </c>
      <c r="C1382" s="59" t="inlineStr">
        <is>
          <t>GH-048</t>
        </is>
      </c>
      <c r="D1382" s="64">
        <f>IFERROR(INDEX(MgNombre,MATCH($C1382,MgActId,0)),"")</f>
        <v/>
      </c>
      <c r="E1382" s="64">
        <f>IFERROR(INDEX(MgProceso,MATCH($C1382,MgActId,0)),"")</f>
        <v/>
      </c>
      <c r="F1382" s="64">
        <f>IFERROR(INDEX(MgTipo,MATCH($C1382,MgActId,0)),"")</f>
        <v/>
      </c>
      <c r="G1382" s="64">
        <f>IFERROR(INDEX(MgSubtipo,MATCH($C1382,MgActId,0)),"")</f>
        <v/>
      </c>
      <c r="H1382" s="59" t="inlineStr">
        <is>
          <t>A.6</t>
        </is>
      </c>
      <c r="I1382" s="64">
        <f>IFERROR(INDEX(MgAmenNombre,MATCH(SUBSTITUTE($H1382,"*","-"),MgAmenClave,0)),"")</f>
        <v/>
      </c>
      <c r="J1382" s="28">
        <f>IFERROR(INDEX(MgAmenGrupo,MATCH(SUBSTITUTE($H1382,"*","-"),MgAmenClave,0)),"")</f>
        <v/>
      </c>
      <c r="K1382" s="64">
        <f>IFERROR(INDEX('1. Matriz de Activos'!$Q$6:$Q$239,MATCH($C1382,MgActId,0)),"")</f>
        <v/>
      </c>
      <c r="L1382" s="64">
        <f>IFERROR(INDEX('1. Matriz de Activos'!$R$6:$R$239,MATCH($C1382,MgActId,0)),"")</f>
        <v/>
      </c>
      <c r="M1382" s="64">
        <f>IFERROR(INDEX('1. Matriz de Activos'!$S$6:$S$239,MATCH($C1382,MgActId,0)),"")</f>
        <v/>
      </c>
      <c r="N1382" s="28">
        <f>IFERROR(INDEX(MgAmenDegD,MATCH(SUBSTITUTE($H1382,"*","-"),MgAmenClave,0)),"No aplica")</f>
        <v/>
      </c>
      <c r="O1382" s="28">
        <f>IFERROR(INDEX(MgAmenDegI,MATCH(SUBSTITUTE($H1382,"*","-"),MgAmenClave,0)),"No aplica")</f>
        <v/>
      </c>
      <c r="P1382" s="28">
        <f>IFERROR(INDEX(MgAmenDegC,MATCH(SUBSTITUTE($H1382,"*","-"),MgAmenClave,0)),"No aplica")</f>
        <v/>
      </c>
      <c r="Q1382" s="29">
        <f>IFERROR(VLOOKUP(K1382,MgValor,2,0)*VLOOKUP(N1382,MgDeg,2,0),0)</f>
        <v/>
      </c>
      <c r="R1382" s="29">
        <f>IFERROR(VLOOKUP(L1382,MgValor,2,0)*VLOOKUP(O1382,MgDeg,2,0),0)</f>
        <v/>
      </c>
      <c r="S1382" s="29">
        <f>IFERROR(VLOOKUP(M1382,MgValor,2,0)*VLOOKUP(P1382,MgDeg,2,0),0)</f>
        <v/>
      </c>
      <c r="T1382" s="30">
        <f>MAX(Q1382:S1382)</f>
        <v/>
      </c>
      <c r="U1382" s="28">
        <f>IFERROR(LOOKUP(T1382,{0;0.5;1.5;3;4.5},{"Despreciable";"Bajo";"Medio";"Alto";"Muy alto"}),"")</f>
        <v/>
      </c>
      <c r="V1382" s="13">
        <f>IFERROR(INDEX(MgAmenFrec,MATCH(SUBSTITUTE($H1382,"*","-"),MgAmenClave,0)),"")</f>
        <v/>
      </c>
      <c r="W1382" s="28">
        <f>IFERROR(LOOKUP(X1382,{0;0.01;0.1;1;10;100},{"Muy baja";"Muy baja";"Baja";"Media";"Alta";"Muy alta"}),"")</f>
        <v/>
      </c>
      <c r="X1382" s="31">
        <f>IFERROR(VLOOKUP(V1382,MgFrec,2,0),0)</f>
        <v/>
      </c>
      <c r="Y1382" s="30">
        <f>T1382*X1382</f>
        <v/>
      </c>
      <c r="Z1382" s="28">
        <f>IFERROR(LOOKUP(Y1382,{0;0.5;5;25},{"Bajo";"Medio";"Alto";"Crítico"}),"")</f>
        <v/>
      </c>
      <c r="AA1382" s="64">
        <f>IF(T1382&gt;=3,IF(X1382&gt;=1,"Zona 1 — Crítica: impacto alto y ocurre al menos una vez al año","Zona 4 — Catastrófica poco probable: impacto alto pero excepcional"),IF(AND(T1382&lt;1.5,X1382&lt;1),"Zona 3 — Asumible: impacto bajo y muy poco frecuente","Zona 2 — Atención: riesgo intermedio"))</f>
        <v/>
      </c>
      <c r="AB1382" s="64">
        <f>IFERROR(INDEX(MgAmenCtrl,MATCH(SUBSTITUTE($H1382,"*","-"),MgAmenClave,0)),"")</f>
        <v/>
      </c>
      <c r="AC1382" s="20" t="n"/>
      <c r="AD1382" s="31">
        <f>IFERROR($X1382*(1-IF($AC1382="",$AL1382,VLOOKUP($AC1382,MgMad,2,0))),"")</f>
        <v/>
      </c>
      <c r="AE1382" s="28">
        <f>IFERROR(LOOKUP(AD1382,{0;0.01;0.1;1;10;100},{"Muy baja";"Muy baja";"Baja";"Media";"Alta";"Muy alta"}),"")</f>
        <v/>
      </c>
      <c r="AF1382" s="30">
        <f>T1382*AD1382</f>
        <v/>
      </c>
      <c r="AG1382" s="28">
        <f>IFERROR(LOOKUP(AF1382,{0;0.5;5;25},{"Bajo";"Medio";"Alto";"Crítico"}),"")</f>
        <v/>
      </c>
      <c r="AH1382" s="28">
        <f>IF(AG1382="","",IF(OR(AG1382="Crítico",AG1382="Alto"),"Mitigar",IF(AG1382="Medio","Mitigar","Aceptar y monitorear")))</f>
        <v/>
      </c>
      <c r="AI1382" s="21" t="n"/>
      <c r="AJ1382" s="21" t="n"/>
      <c r="AK1382" s="20" t="n"/>
      <c r="AL1382" s="77">
        <f>IFERROR(INDEX(MgAmenEfic,MATCH(SUBSTITUTE($H1382,"*","-"),MgAmenClave,0)),0)</f>
        <v/>
      </c>
    </row>
    <row r="1383" hidden="1" ht="120" customHeight="1" s="54">
      <c r="B1383" s="59" t="inlineStr">
        <is>
          <t>R-1378</t>
        </is>
      </c>
      <c r="C1383" s="59" t="inlineStr">
        <is>
          <t>GH-048</t>
        </is>
      </c>
      <c r="D1383" s="64">
        <f>IFERROR(INDEX(MgNombre,MATCH($C1383,MgActId,0)),"")</f>
        <v/>
      </c>
      <c r="E1383" s="64">
        <f>IFERROR(INDEX(MgProceso,MATCH($C1383,MgActId,0)),"")</f>
        <v/>
      </c>
      <c r="F1383" s="64">
        <f>IFERROR(INDEX(MgTipo,MATCH($C1383,MgActId,0)),"")</f>
        <v/>
      </c>
      <c r="G1383" s="64">
        <f>IFERROR(INDEX(MgSubtipo,MATCH($C1383,MgActId,0)),"")</f>
        <v/>
      </c>
      <c r="H1383" s="59" t="inlineStr">
        <is>
          <t>A.11</t>
        </is>
      </c>
      <c r="I1383" s="64">
        <f>IFERROR(INDEX(MgAmenNombre,MATCH(SUBSTITUTE($H1383,"*","-"),MgAmenClave,0)),"")</f>
        <v/>
      </c>
      <c r="J1383" s="28">
        <f>IFERROR(INDEX(MgAmenGrupo,MATCH(SUBSTITUTE($H1383,"*","-"),MgAmenClave,0)),"")</f>
        <v/>
      </c>
      <c r="K1383" s="64">
        <f>IFERROR(INDEX('1. Matriz de Activos'!$Q$6:$Q$239,MATCH($C1383,MgActId,0)),"")</f>
        <v/>
      </c>
      <c r="L1383" s="64">
        <f>IFERROR(INDEX('1. Matriz de Activos'!$R$6:$R$239,MATCH($C1383,MgActId,0)),"")</f>
        <v/>
      </c>
      <c r="M1383" s="64">
        <f>IFERROR(INDEX('1. Matriz de Activos'!$S$6:$S$239,MATCH($C1383,MgActId,0)),"")</f>
        <v/>
      </c>
      <c r="N1383" s="28">
        <f>IFERROR(INDEX(MgAmenDegD,MATCH(SUBSTITUTE($H1383,"*","-"),MgAmenClave,0)),"No aplica")</f>
        <v/>
      </c>
      <c r="O1383" s="28">
        <f>IFERROR(INDEX(MgAmenDegI,MATCH(SUBSTITUTE($H1383,"*","-"),MgAmenClave,0)),"No aplica")</f>
        <v/>
      </c>
      <c r="P1383" s="28">
        <f>IFERROR(INDEX(MgAmenDegC,MATCH(SUBSTITUTE($H1383,"*","-"),MgAmenClave,0)),"No aplica")</f>
        <v/>
      </c>
      <c r="Q1383" s="29">
        <f>IFERROR(VLOOKUP(K1383,MgValor,2,0)*VLOOKUP(N1383,MgDeg,2,0),0)</f>
        <v/>
      </c>
      <c r="R1383" s="29">
        <f>IFERROR(VLOOKUP(L1383,MgValor,2,0)*VLOOKUP(O1383,MgDeg,2,0),0)</f>
        <v/>
      </c>
      <c r="S1383" s="29">
        <f>IFERROR(VLOOKUP(M1383,MgValor,2,0)*VLOOKUP(P1383,MgDeg,2,0),0)</f>
        <v/>
      </c>
      <c r="T1383" s="30">
        <f>MAX(Q1383:S1383)</f>
        <v/>
      </c>
      <c r="U1383" s="28">
        <f>IFERROR(LOOKUP(T1383,{0;0.5;1.5;3;4.5},{"Despreciable";"Bajo";"Medio";"Alto";"Muy alto"}),"")</f>
        <v/>
      </c>
      <c r="V1383" s="13">
        <f>IFERROR(INDEX(MgAmenFrec,MATCH(SUBSTITUTE($H1383,"*","-"),MgAmenClave,0)),"")</f>
        <v/>
      </c>
      <c r="W1383" s="28">
        <f>IFERROR(LOOKUP(X1383,{0;0.01;0.1;1;10;100},{"Muy baja";"Muy baja";"Baja";"Media";"Alta";"Muy alta"}),"")</f>
        <v/>
      </c>
      <c r="X1383" s="31">
        <f>IFERROR(VLOOKUP(V1383,MgFrec,2,0),0)</f>
        <v/>
      </c>
      <c r="Y1383" s="30">
        <f>T1383*X1383</f>
        <v/>
      </c>
      <c r="Z1383" s="28">
        <f>IFERROR(LOOKUP(Y1383,{0;0.5;5;25},{"Bajo";"Medio";"Alto";"Crítico"}),"")</f>
        <v/>
      </c>
      <c r="AA1383" s="64">
        <f>IF(T1383&gt;=3,IF(X1383&gt;=1,"Zona 1 — Crítica: impacto alto y ocurre al menos una vez al año","Zona 4 — Catastrófica poco probable: impacto alto pero excepcional"),IF(AND(T1383&lt;1.5,X1383&lt;1),"Zona 3 — Asumible: impacto bajo y muy poco frecuente","Zona 2 — Atención: riesgo intermedio"))</f>
        <v/>
      </c>
      <c r="AB1383" s="64">
        <f>IFERROR(INDEX(MgAmenCtrl,MATCH(SUBSTITUTE($H1383,"*","-"),MgAmenClave,0)),"")</f>
        <v/>
      </c>
      <c r="AC1383" s="20" t="n"/>
      <c r="AD1383" s="31">
        <f>IFERROR($X1383*(1-IF($AC1383="",$AL1383,VLOOKUP($AC1383,MgMad,2,0))),"")</f>
        <v/>
      </c>
      <c r="AE1383" s="28">
        <f>IFERROR(LOOKUP(AD1383,{0;0.01;0.1;1;10;100},{"Muy baja";"Muy baja";"Baja";"Media";"Alta";"Muy alta"}),"")</f>
        <v/>
      </c>
      <c r="AF1383" s="30">
        <f>T1383*AD1383</f>
        <v/>
      </c>
      <c r="AG1383" s="28">
        <f>IFERROR(LOOKUP(AF1383,{0;0.5;5;25},{"Bajo";"Medio";"Alto";"Crítico"}),"")</f>
        <v/>
      </c>
      <c r="AH1383" s="28">
        <f>IF(AG1383="","",IF(OR(AG1383="Crítico",AG1383="Alto"),"Mitigar",IF(AG1383="Medio","Mitigar","Aceptar y monitorear")))</f>
        <v/>
      </c>
      <c r="AI1383" s="21" t="n"/>
      <c r="AJ1383" s="21" t="n"/>
      <c r="AK1383" s="20" t="n"/>
      <c r="AL1383" s="77">
        <f>IFERROR(INDEX(MgAmenEfic,MATCH(SUBSTITUTE($H1383,"*","-"),MgAmenClave,0)),0)</f>
        <v/>
      </c>
    </row>
    <row r="1384" hidden="1" ht="90" customHeight="1" s="54">
      <c r="B1384" s="59" t="inlineStr">
        <is>
          <t>R-1379</t>
        </is>
      </c>
      <c r="C1384" s="59" t="inlineStr">
        <is>
          <t>GH-048</t>
        </is>
      </c>
      <c r="D1384" s="64">
        <f>IFERROR(INDEX(MgNombre,MATCH($C1384,MgActId,0)),"")</f>
        <v/>
      </c>
      <c r="E1384" s="64">
        <f>IFERROR(INDEX(MgProceso,MATCH($C1384,MgActId,0)),"")</f>
        <v/>
      </c>
      <c r="F1384" s="64">
        <f>IFERROR(INDEX(MgTipo,MATCH($C1384,MgActId,0)),"")</f>
        <v/>
      </c>
      <c r="G1384" s="64">
        <f>IFERROR(INDEX(MgSubtipo,MATCH($C1384,MgActId,0)),"")</f>
        <v/>
      </c>
      <c r="H1384" s="59" t="inlineStr">
        <is>
          <t>A.13</t>
        </is>
      </c>
      <c r="I1384" s="64">
        <f>IFERROR(INDEX(MgAmenNombre,MATCH(SUBSTITUTE($H1384,"*","-"),MgAmenClave,0)),"")</f>
        <v/>
      </c>
      <c r="J1384" s="28">
        <f>IFERROR(INDEX(MgAmenGrupo,MATCH(SUBSTITUTE($H1384,"*","-"),MgAmenClave,0)),"")</f>
        <v/>
      </c>
      <c r="K1384" s="64">
        <f>IFERROR(INDEX('1. Matriz de Activos'!$Q$6:$Q$239,MATCH($C1384,MgActId,0)),"")</f>
        <v/>
      </c>
      <c r="L1384" s="64">
        <f>IFERROR(INDEX('1. Matriz de Activos'!$R$6:$R$239,MATCH($C1384,MgActId,0)),"")</f>
        <v/>
      </c>
      <c r="M1384" s="64">
        <f>IFERROR(INDEX('1. Matriz de Activos'!$S$6:$S$239,MATCH($C1384,MgActId,0)),"")</f>
        <v/>
      </c>
      <c r="N1384" s="28">
        <f>IFERROR(INDEX(MgAmenDegD,MATCH(SUBSTITUTE($H1384,"*","-"),MgAmenClave,0)),"No aplica")</f>
        <v/>
      </c>
      <c r="O1384" s="28">
        <f>IFERROR(INDEX(MgAmenDegI,MATCH(SUBSTITUTE($H1384,"*","-"),MgAmenClave,0)),"No aplica")</f>
        <v/>
      </c>
      <c r="P1384" s="28">
        <f>IFERROR(INDEX(MgAmenDegC,MATCH(SUBSTITUTE($H1384,"*","-"),MgAmenClave,0)),"No aplica")</f>
        <v/>
      </c>
      <c r="Q1384" s="29">
        <f>IFERROR(VLOOKUP(K1384,MgValor,2,0)*VLOOKUP(N1384,MgDeg,2,0),0)</f>
        <v/>
      </c>
      <c r="R1384" s="29">
        <f>IFERROR(VLOOKUP(L1384,MgValor,2,0)*VLOOKUP(O1384,MgDeg,2,0),0)</f>
        <v/>
      </c>
      <c r="S1384" s="29">
        <f>IFERROR(VLOOKUP(M1384,MgValor,2,0)*VLOOKUP(P1384,MgDeg,2,0),0)</f>
        <v/>
      </c>
      <c r="T1384" s="30">
        <f>MAX(Q1384:S1384)</f>
        <v/>
      </c>
      <c r="U1384" s="28">
        <f>IFERROR(LOOKUP(T1384,{0;0.5;1.5;3;4.5},{"Despreciable";"Bajo";"Medio";"Alto";"Muy alto"}),"")</f>
        <v/>
      </c>
      <c r="V1384" s="13">
        <f>IFERROR(INDEX(MgAmenFrec,MATCH(SUBSTITUTE($H1384,"*","-"),MgAmenClave,0)),"")</f>
        <v/>
      </c>
      <c r="W1384" s="28">
        <f>IFERROR(LOOKUP(X1384,{0;0.01;0.1;1;10;100},{"Muy baja";"Muy baja";"Baja";"Media";"Alta";"Muy alta"}),"")</f>
        <v/>
      </c>
      <c r="X1384" s="31">
        <f>IFERROR(VLOOKUP(V1384,MgFrec,2,0),0)</f>
        <v/>
      </c>
      <c r="Y1384" s="30">
        <f>T1384*X1384</f>
        <v/>
      </c>
      <c r="Z1384" s="28">
        <f>IFERROR(LOOKUP(Y1384,{0;0.5;5;25},{"Bajo";"Medio";"Alto";"Crítico"}),"")</f>
        <v/>
      </c>
      <c r="AA1384" s="64">
        <f>IF(T1384&gt;=3,IF(X1384&gt;=1,"Zona 1 — Crítica: impacto alto y ocurre al menos una vez al año","Zona 4 — Catastrófica poco probable: impacto alto pero excepcional"),IF(AND(T1384&lt;1.5,X1384&lt;1),"Zona 3 — Asumible: impacto bajo y muy poco frecuente","Zona 2 — Atención: riesgo intermedio"))</f>
        <v/>
      </c>
      <c r="AB1384" s="64">
        <f>IFERROR(INDEX(MgAmenCtrl,MATCH(SUBSTITUTE($H1384,"*","-"),MgAmenClave,0)),"")</f>
        <v/>
      </c>
      <c r="AC1384" s="20" t="n"/>
      <c r="AD1384" s="31">
        <f>IFERROR($X1384*(1-IF($AC1384="",$AL1384,VLOOKUP($AC1384,MgMad,2,0))),"")</f>
        <v/>
      </c>
      <c r="AE1384" s="28">
        <f>IFERROR(LOOKUP(AD1384,{0;0.01;0.1;1;10;100},{"Muy baja";"Muy baja";"Baja";"Media";"Alta";"Muy alta"}),"")</f>
        <v/>
      </c>
      <c r="AF1384" s="30">
        <f>T1384*AD1384</f>
        <v/>
      </c>
      <c r="AG1384" s="28">
        <f>IFERROR(LOOKUP(AF1384,{0;0.5;5;25},{"Bajo";"Medio";"Alto";"Crítico"}),"")</f>
        <v/>
      </c>
      <c r="AH1384" s="28">
        <f>IF(AG1384="","",IF(OR(AG1384="Crítico",AG1384="Alto"),"Mitigar",IF(AG1384="Medio","Mitigar","Aceptar y monitorear")))</f>
        <v/>
      </c>
      <c r="AI1384" s="21" t="n"/>
      <c r="AJ1384" s="21" t="n"/>
      <c r="AK1384" s="20" t="n"/>
      <c r="AL1384" s="77">
        <f>IFERROR(INDEX(MgAmenEfic,MATCH(SUBSTITUTE($H1384,"*","-"),MgAmenClave,0)),0)</f>
        <v/>
      </c>
    </row>
    <row r="1385" hidden="1" ht="60" customHeight="1" s="54">
      <c r="B1385" s="59" t="inlineStr">
        <is>
          <t>R-1380</t>
        </is>
      </c>
      <c r="C1385" s="59" t="inlineStr">
        <is>
          <t>GH-048</t>
        </is>
      </c>
      <c r="D1385" s="64">
        <f>IFERROR(INDEX(MgNombre,MATCH($C1385,MgActId,0)),"")</f>
        <v/>
      </c>
      <c r="E1385" s="64">
        <f>IFERROR(INDEX(MgProceso,MATCH($C1385,MgActId,0)),"")</f>
        <v/>
      </c>
      <c r="F1385" s="64">
        <f>IFERROR(INDEX(MgTipo,MATCH($C1385,MgActId,0)),"")</f>
        <v/>
      </c>
      <c r="G1385" s="64">
        <f>IFERROR(INDEX(MgSubtipo,MATCH($C1385,MgActId,0)),"")</f>
        <v/>
      </c>
      <c r="H1385" s="59" t="inlineStr">
        <is>
          <t>A.15</t>
        </is>
      </c>
      <c r="I1385" s="64">
        <f>IFERROR(INDEX(MgAmenNombre,MATCH(SUBSTITUTE($H1385,"*","-"),MgAmenClave,0)),"")</f>
        <v/>
      </c>
      <c r="J1385" s="28">
        <f>IFERROR(INDEX(MgAmenGrupo,MATCH(SUBSTITUTE($H1385,"*","-"),MgAmenClave,0)),"")</f>
        <v/>
      </c>
      <c r="K1385" s="64">
        <f>IFERROR(INDEX('1. Matriz de Activos'!$Q$6:$Q$239,MATCH($C1385,MgActId,0)),"")</f>
        <v/>
      </c>
      <c r="L1385" s="64">
        <f>IFERROR(INDEX('1. Matriz de Activos'!$R$6:$R$239,MATCH($C1385,MgActId,0)),"")</f>
        <v/>
      </c>
      <c r="M1385" s="64">
        <f>IFERROR(INDEX('1. Matriz de Activos'!$S$6:$S$239,MATCH($C1385,MgActId,0)),"")</f>
        <v/>
      </c>
      <c r="N1385" s="28">
        <f>IFERROR(INDEX(MgAmenDegD,MATCH(SUBSTITUTE($H1385,"*","-"),MgAmenClave,0)),"No aplica")</f>
        <v/>
      </c>
      <c r="O1385" s="28">
        <f>IFERROR(INDEX(MgAmenDegI,MATCH(SUBSTITUTE($H1385,"*","-"),MgAmenClave,0)),"No aplica")</f>
        <v/>
      </c>
      <c r="P1385" s="28">
        <f>IFERROR(INDEX(MgAmenDegC,MATCH(SUBSTITUTE($H1385,"*","-"),MgAmenClave,0)),"No aplica")</f>
        <v/>
      </c>
      <c r="Q1385" s="29">
        <f>IFERROR(VLOOKUP(K1385,MgValor,2,0)*VLOOKUP(N1385,MgDeg,2,0),0)</f>
        <v/>
      </c>
      <c r="R1385" s="29">
        <f>IFERROR(VLOOKUP(L1385,MgValor,2,0)*VLOOKUP(O1385,MgDeg,2,0),0)</f>
        <v/>
      </c>
      <c r="S1385" s="29">
        <f>IFERROR(VLOOKUP(M1385,MgValor,2,0)*VLOOKUP(P1385,MgDeg,2,0),0)</f>
        <v/>
      </c>
      <c r="T1385" s="30">
        <f>MAX(Q1385:S1385)</f>
        <v/>
      </c>
      <c r="U1385" s="28">
        <f>IFERROR(LOOKUP(T1385,{0;0.5;1.5;3;4.5},{"Despreciable";"Bajo";"Medio";"Alto";"Muy alto"}),"")</f>
        <v/>
      </c>
      <c r="V1385" s="13">
        <f>IFERROR(INDEX(MgAmenFrec,MATCH(SUBSTITUTE($H1385,"*","-"),MgAmenClave,0)),"")</f>
        <v/>
      </c>
      <c r="W1385" s="28">
        <f>IFERROR(LOOKUP(X1385,{0;0.01;0.1;1;10;100},{"Muy baja";"Muy baja";"Baja";"Media";"Alta";"Muy alta"}),"")</f>
        <v/>
      </c>
      <c r="X1385" s="31">
        <f>IFERROR(VLOOKUP(V1385,MgFrec,2,0),0)</f>
        <v/>
      </c>
      <c r="Y1385" s="30">
        <f>T1385*X1385</f>
        <v/>
      </c>
      <c r="Z1385" s="28">
        <f>IFERROR(LOOKUP(Y1385,{0;0.5;5;25},{"Bajo";"Medio";"Alto";"Crítico"}),"")</f>
        <v/>
      </c>
      <c r="AA1385" s="64">
        <f>IF(T1385&gt;=3,IF(X1385&gt;=1,"Zona 1 — Crítica: impacto alto y ocurre al menos una vez al año","Zona 4 — Catastrófica poco probable: impacto alto pero excepcional"),IF(AND(T1385&lt;1.5,X1385&lt;1),"Zona 3 — Asumible: impacto bajo y muy poco frecuente","Zona 2 — Atención: riesgo intermedio"))</f>
        <v/>
      </c>
      <c r="AB1385" s="64">
        <f>IFERROR(INDEX(MgAmenCtrl,MATCH(SUBSTITUTE($H1385,"*","-"),MgAmenClave,0)),"")</f>
        <v/>
      </c>
      <c r="AC1385" s="20" t="n"/>
      <c r="AD1385" s="31">
        <f>IFERROR($X1385*(1-IF($AC1385="",$AL1385,VLOOKUP($AC1385,MgMad,2,0))),"")</f>
        <v/>
      </c>
      <c r="AE1385" s="28">
        <f>IFERROR(LOOKUP(AD1385,{0;0.01;0.1;1;10;100},{"Muy baja";"Muy baja";"Baja";"Media";"Alta";"Muy alta"}),"")</f>
        <v/>
      </c>
      <c r="AF1385" s="30">
        <f>T1385*AD1385</f>
        <v/>
      </c>
      <c r="AG1385" s="28">
        <f>IFERROR(LOOKUP(AF1385,{0;0.5;5;25},{"Bajo";"Medio";"Alto";"Crítico"}),"")</f>
        <v/>
      </c>
      <c r="AH1385" s="28">
        <f>IF(AG1385="","",IF(OR(AG1385="Crítico",AG1385="Alto"),"Mitigar",IF(AG1385="Medio","Mitigar","Aceptar y monitorear")))</f>
        <v/>
      </c>
      <c r="AI1385" s="21" t="n"/>
      <c r="AJ1385" s="21" t="n"/>
      <c r="AK1385" s="20" t="n"/>
      <c r="AL1385" s="77">
        <f>IFERROR(INDEX(MgAmenEfic,MATCH(SUBSTITUTE($H1385,"*","-"),MgAmenClave,0)),0)</f>
        <v/>
      </c>
    </row>
    <row r="1386" hidden="1" ht="60" customHeight="1" s="54">
      <c r="B1386" s="59" t="inlineStr">
        <is>
          <t>R-1381</t>
        </is>
      </c>
      <c r="C1386" s="59" t="inlineStr">
        <is>
          <t>GH-048</t>
        </is>
      </c>
      <c r="D1386" s="64">
        <f>IFERROR(INDEX(MgNombre,MATCH($C1386,MgActId,0)),"")</f>
        <v/>
      </c>
      <c r="E1386" s="64">
        <f>IFERROR(INDEX(MgProceso,MATCH($C1386,MgActId,0)),"")</f>
        <v/>
      </c>
      <c r="F1386" s="64">
        <f>IFERROR(INDEX(MgTipo,MATCH($C1386,MgActId,0)),"")</f>
        <v/>
      </c>
      <c r="G1386" s="64">
        <f>IFERROR(INDEX(MgSubtipo,MATCH($C1386,MgActId,0)),"")</f>
        <v/>
      </c>
      <c r="H1386" s="59" t="inlineStr">
        <is>
          <t>A.18</t>
        </is>
      </c>
      <c r="I1386" s="64">
        <f>IFERROR(INDEX(MgAmenNombre,MATCH(SUBSTITUTE($H1386,"*","-"),MgAmenClave,0)),"")</f>
        <v/>
      </c>
      <c r="J1386" s="28">
        <f>IFERROR(INDEX(MgAmenGrupo,MATCH(SUBSTITUTE($H1386,"*","-"),MgAmenClave,0)),"")</f>
        <v/>
      </c>
      <c r="K1386" s="64">
        <f>IFERROR(INDEX('1. Matriz de Activos'!$Q$6:$Q$239,MATCH($C1386,MgActId,0)),"")</f>
        <v/>
      </c>
      <c r="L1386" s="64">
        <f>IFERROR(INDEX('1. Matriz de Activos'!$R$6:$R$239,MATCH($C1386,MgActId,0)),"")</f>
        <v/>
      </c>
      <c r="M1386" s="64">
        <f>IFERROR(INDEX('1. Matriz de Activos'!$S$6:$S$239,MATCH($C1386,MgActId,0)),"")</f>
        <v/>
      </c>
      <c r="N1386" s="28">
        <f>IFERROR(INDEX(MgAmenDegD,MATCH(SUBSTITUTE($H1386,"*","-"),MgAmenClave,0)),"No aplica")</f>
        <v/>
      </c>
      <c r="O1386" s="28">
        <f>IFERROR(INDEX(MgAmenDegI,MATCH(SUBSTITUTE($H1386,"*","-"),MgAmenClave,0)),"No aplica")</f>
        <v/>
      </c>
      <c r="P1386" s="28">
        <f>IFERROR(INDEX(MgAmenDegC,MATCH(SUBSTITUTE($H1386,"*","-"),MgAmenClave,0)),"No aplica")</f>
        <v/>
      </c>
      <c r="Q1386" s="29">
        <f>IFERROR(VLOOKUP(K1386,MgValor,2,0)*VLOOKUP(N1386,MgDeg,2,0),0)</f>
        <v/>
      </c>
      <c r="R1386" s="29">
        <f>IFERROR(VLOOKUP(L1386,MgValor,2,0)*VLOOKUP(O1386,MgDeg,2,0),0)</f>
        <v/>
      </c>
      <c r="S1386" s="29">
        <f>IFERROR(VLOOKUP(M1386,MgValor,2,0)*VLOOKUP(P1386,MgDeg,2,0),0)</f>
        <v/>
      </c>
      <c r="T1386" s="30">
        <f>MAX(Q1386:S1386)</f>
        <v/>
      </c>
      <c r="U1386" s="28">
        <f>IFERROR(LOOKUP(T1386,{0;0.5;1.5;3;4.5},{"Despreciable";"Bajo";"Medio";"Alto";"Muy alto"}),"")</f>
        <v/>
      </c>
      <c r="V1386" s="13">
        <f>IFERROR(INDEX(MgAmenFrec,MATCH(SUBSTITUTE($H1386,"*","-"),MgAmenClave,0)),"")</f>
        <v/>
      </c>
      <c r="W1386" s="28">
        <f>IFERROR(LOOKUP(X1386,{0;0.01;0.1;1;10;100},{"Muy baja";"Muy baja";"Baja";"Media";"Alta";"Muy alta"}),"")</f>
        <v/>
      </c>
      <c r="X1386" s="31">
        <f>IFERROR(VLOOKUP(V1386,MgFrec,2,0),0)</f>
        <v/>
      </c>
      <c r="Y1386" s="30">
        <f>T1386*X1386</f>
        <v/>
      </c>
      <c r="Z1386" s="28">
        <f>IFERROR(LOOKUP(Y1386,{0;0.5;5;25},{"Bajo";"Medio";"Alto";"Crítico"}),"")</f>
        <v/>
      </c>
      <c r="AA1386" s="64">
        <f>IF(T1386&gt;=3,IF(X1386&gt;=1,"Zona 1 — Crítica: impacto alto y ocurre al menos una vez al año","Zona 4 — Catastrófica poco probable: impacto alto pero excepcional"),IF(AND(T1386&lt;1.5,X1386&lt;1),"Zona 3 — Asumible: impacto bajo y muy poco frecuente","Zona 2 — Atención: riesgo intermedio"))</f>
        <v/>
      </c>
      <c r="AB1386" s="64">
        <f>IFERROR(INDEX(MgAmenCtrl,MATCH(SUBSTITUTE($H1386,"*","-"),MgAmenClave,0)),"")</f>
        <v/>
      </c>
      <c r="AC1386" s="20" t="n"/>
      <c r="AD1386" s="31">
        <f>IFERROR($X1386*(1-IF($AC1386="",$AL1386,VLOOKUP($AC1386,MgMad,2,0))),"")</f>
        <v/>
      </c>
      <c r="AE1386" s="28">
        <f>IFERROR(LOOKUP(AD1386,{0;0.01;0.1;1;10;100},{"Muy baja";"Muy baja";"Baja";"Media";"Alta";"Muy alta"}),"")</f>
        <v/>
      </c>
      <c r="AF1386" s="30">
        <f>T1386*AD1386</f>
        <v/>
      </c>
      <c r="AG1386" s="28">
        <f>IFERROR(LOOKUP(AF1386,{0;0.5;5;25},{"Bajo";"Medio";"Alto";"Crítico"}),"")</f>
        <v/>
      </c>
      <c r="AH1386" s="28">
        <f>IF(AG1386="","",IF(OR(AG1386="Crítico",AG1386="Alto"),"Mitigar",IF(AG1386="Medio","Mitigar","Aceptar y monitorear")))</f>
        <v/>
      </c>
      <c r="AI1386" s="21" t="n"/>
      <c r="AJ1386" s="21" t="n"/>
      <c r="AK1386" s="20" t="n"/>
      <c r="AL1386" s="77">
        <f>IFERROR(INDEX(MgAmenEfic,MATCH(SUBSTITUTE($H1386,"*","-"),MgAmenClave,0)),0)</f>
        <v/>
      </c>
    </row>
    <row r="1387" hidden="1" ht="120" customHeight="1" s="54">
      <c r="B1387" s="59" t="inlineStr">
        <is>
          <t>R-1382</t>
        </is>
      </c>
      <c r="C1387" s="59" t="inlineStr">
        <is>
          <t>GH-048</t>
        </is>
      </c>
      <c r="D1387" s="64">
        <f>IFERROR(INDEX(MgNombre,MATCH($C1387,MgActId,0)),"")</f>
        <v/>
      </c>
      <c r="E1387" s="64">
        <f>IFERROR(INDEX(MgProceso,MATCH($C1387,MgActId,0)),"")</f>
        <v/>
      </c>
      <c r="F1387" s="64">
        <f>IFERROR(INDEX(MgTipo,MATCH($C1387,MgActId,0)),"")</f>
        <v/>
      </c>
      <c r="G1387" s="64">
        <f>IFERROR(INDEX(MgSubtipo,MATCH($C1387,MgActId,0)),"")</f>
        <v/>
      </c>
      <c r="H1387" s="59" t="inlineStr">
        <is>
          <t>A.19</t>
        </is>
      </c>
      <c r="I1387" s="64">
        <f>IFERROR(INDEX(MgAmenNombre,MATCH(SUBSTITUTE($H1387,"*","-"),MgAmenClave,0)),"")</f>
        <v/>
      </c>
      <c r="J1387" s="28">
        <f>IFERROR(INDEX(MgAmenGrupo,MATCH(SUBSTITUTE($H1387,"*","-"),MgAmenClave,0)),"")</f>
        <v/>
      </c>
      <c r="K1387" s="64">
        <f>IFERROR(INDEX('1. Matriz de Activos'!$Q$6:$Q$239,MATCH($C1387,MgActId,0)),"")</f>
        <v/>
      </c>
      <c r="L1387" s="64">
        <f>IFERROR(INDEX('1. Matriz de Activos'!$R$6:$R$239,MATCH($C1387,MgActId,0)),"")</f>
        <v/>
      </c>
      <c r="M1387" s="64">
        <f>IFERROR(INDEX('1. Matriz de Activos'!$S$6:$S$239,MATCH($C1387,MgActId,0)),"")</f>
        <v/>
      </c>
      <c r="N1387" s="28">
        <f>IFERROR(INDEX(MgAmenDegD,MATCH(SUBSTITUTE($H1387,"*","-"),MgAmenClave,0)),"No aplica")</f>
        <v/>
      </c>
      <c r="O1387" s="28">
        <f>IFERROR(INDEX(MgAmenDegI,MATCH(SUBSTITUTE($H1387,"*","-"),MgAmenClave,0)),"No aplica")</f>
        <v/>
      </c>
      <c r="P1387" s="28">
        <f>IFERROR(INDEX(MgAmenDegC,MATCH(SUBSTITUTE($H1387,"*","-"),MgAmenClave,0)),"No aplica")</f>
        <v/>
      </c>
      <c r="Q1387" s="29">
        <f>IFERROR(VLOOKUP(K1387,MgValor,2,0)*VLOOKUP(N1387,MgDeg,2,0),0)</f>
        <v/>
      </c>
      <c r="R1387" s="29">
        <f>IFERROR(VLOOKUP(L1387,MgValor,2,0)*VLOOKUP(O1387,MgDeg,2,0),0)</f>
        <v/>
      </c>
      <c r="S1387" s="29">
        <f>IFERROR(VLOOKUP(M1387,MgValor,2,0)*VLOOKUP(P1387,MgDeg,2,0),0)</f>
        <v/>
      </c>
      <c r="T1387" s="30">
        <f>MAX(Q1387:S1387)</f>
        <v/>
      </c>
      <c r="U1387" s="28">
        <f>IFERROR(LOOKUP(T1387,{0;0.5;1.5;3;4.5},{"Despreciable";"Bajo";"Medio";"Alto";"Muy alto"}),"")</f>
        <v/>
      </c>
      <c r="V1387" s="13">
        <f>IFERROR(INDEX(MgAmenFrec,MATCH(SUBSTITUTE($H1387,"*","-"),MgAmenClave,0)),"")</f>
        <v/>
      </c>
      <c r="W1387" s="28">
        <f>IFERROR(LOOKUP(X1387,{0;0.01;0.1;1;10;100},{"Muy baja";"Muy baja";"Baja";"Media";"Alta";"Muy alta"}),"")</f>
        <v/>
      </c>
      <c r="X1387" s="31">
        <f>IFERROR(VLOOKUP(V1387,MgFrec,2,0),0)</f>
        <v/>
      </c>
      <c r="Y1387" s="30">
        <f>T1387*X1387</f>
        <v/>
      </c>
      <c r="Z1387" s="28">
        <f>IFERROR(LOOKUP(Y1387,{0;0.5;5;25},{"Bajo";"Medio";"Alto";"Crítico"}),"")</f>
        <v/>
      </c>
      <c r="AA1387" s="64">
        <f>IF(T1387&gt;=3,IF(X1387&gt;=1,"Zona 1 — Crítica: impacto alto y ocurre al menos una vez al año","Zona 4 — Catastrófica poco probable: impacto alto pero excepcional"),IF(AND(T1387&lt;1.5,X1387&lt;1),"Zona 3 — Asumible: impacto bajo y muy poco frecuente","Zona 2 — Atención: riesgo intermedio"))</f>
        <v/>
      </c>
      <c r="AB1387" s="64">
        <f>IFERROR(INDEX(MgAmenCtrl,MATCH(SUBSTITUTE($H1387,"*","-"),MgAmenClave,0)),"")</f>
        <v/>
      </c>
      <c r="AC1387" s="20" t="n"/>
      <c r="AD1387" s="31">
        <f>IFERROR($X1387*(1-IF($AC1387="",$AL1387,VLOOKUP($AC1387,MgMad,2,0))),"")</f>
        <v/>
      </c>
      <c r="AE1387" s="28">
        <f>IFERROR(LOOKUP(AD1387,{0;0.01;0.1;1;10;100},{"Muy baja";"Muy baja";"Baja";"Media";"Alta";"Muy alta"}),"")</f>
        <v/>
      </c>
      <c r="AF1387" s="30">
        <f>T1387*AD1387</f>
        <v/>
      </c>
      <c r="AG1387" s="28">
        <f>IFERROR(LOOKUP(AF1387,{0;0.5;5;25},{"Bajo";"Medio";"Alto";"Crítico"}),"")</f>
        <v/>
      </c>
      <c r="AH1387" s="28">
        <f>IF(AG1387="","",IF(OR(AG1387="Crítico",AG1387="Alto"),"Mitigar",IF(AG1387="Medio","Mitigar","Aceptar y monitorear")))</f>
        <v/>
      </c>
      <c r="AI1387" s="21" t="n"/>
      <c r="AJ1387" s="21" t="n"/>
      <c r="AK1387" s="20" t="n"/>
      <c r="AL1387" s="77">
        <f>IFERROR(INDEX(MgAmenEfic,MATCH(SUBSTITUTE($H1387,"*","-"),MgAmenClave,0)),0)</f>
        <v/>
      </c>
    </row>
    <row r="1388" hidden="1" ht="105" customHeight="1" s="54">
      <c r="B1388" s="59" t="inlineStr">
        <is>
          <t>R-1383</t>
        </is>
      </c>
      <c r="C1388" s="59" t="inlineStr">
        <is>
          <t>GH-040</t>
        </is>
      </c>
      <c r="D1388" s="64">
        <f>IFERROR(INDEX(MgNombre,MATCH($C1388,MgActId,0)),"")</f>
        <v/>
      </c>
      <c r="E1388" s="64">
        <f>IFERROR(INDEX(MgProceso,MATCH($C1388,MgActId,0)),"")</f>
        <v/>
      </c>
      <c r="F1388" s="64">
        <f>IFERROR(INDEX(MgTipo,MATCH($C1388,MgActId,0)),"")</f>
        <v/>
      </c>
      <c r="G1388" s="64">
        <f>IFERROR(INDEX(MgSubtipo,MATCH($C1388,MgActId,0)),"")</f>
        <v/>
      </c>
      <c r="H1388" s="59" t="inlineStr">
        <is>
          <t>E.1</t>
        </is>
      </c>
      <c r="I1388" s="64">
        <f>IFERROR(INDEX(MgAmenNombre,MATCH(SUBSTITUTE($H1388,"*","-"),MgAmenClave,0)),"")</f>
        <v/>
      </c>
      <c r="J1388" s="28">
        <f>IFERROR(INDEX(MgAmenGrupo,MATCH(SUBSTITUTE($H1388,"*","-"),MgAmenClave,0)),"")</f>
        <v/>
      </c>
      <c r="K1388" s="64">
        <f>IFERROR(INDEX('1. Matriz de Activos'!$Q$6:$Q$239,MATCH($C1388,MgActId,0)),"")</f>
        <v/>
      </c>
      <c r="L1388" s="64">
        <f>IFERROR(INDEX('1. Matriz de Activos'!$R$6:$R$239,MATCH($C1388,MgActId,0)),"")</f>
        <v/>
      </c>
      <c r="M1388" s="64">
        <f>IFERROR(INDEX('1. Matriz de Activos'!$S$6:$S$239,MATCH($C1388,MgActId,0)),"")</f>
        <v/>
      </c>
      <c r="N1388" s="28">
        <f>IFERROR(INDEX(MgAmenDegD,MATCH(SUBSTITUTE($H1388,"*","-"),MgAmenClave,0)),"No aplica")</f>
        <v/>
      </c>
      <c r="O1388" s="28">
        <f>IFERROR(INDEX(MgAmenDegI,MATCH(SUBSTITUTE($H1388,"*","-"),MgAmenClave,0)),"No aplica")</f>
        <v/>
      </c>
      <c r="P1388" s="28">
        <f>IFERROR(INDEX(MgAmenDegC,MATCH(SUBSTITUTE($H1388,"*","-"),MgAmenClave,0)),"No aplica")</f>
        <v/>
      </c>
      <c r="Q1388" s="29">
        <f>IFERROR(VLOOKUP(K1388,MgValor,2,0)*VLOOKUP(N1388,MgDeg,2,0),0)</f>
        <v/>
      </c>
      <c r="R1388" s="29">
        <f>IFERROR(VLOOKUP(L1388,MgValor,2,0)*VLOOKUP(O1388,MgDeg,2,0),0)</f>
        <v/>
      </c>
      <c r="S1388" s="29">
        <f>IFERROR(VLOOKUP(M1388,MgValor,2,0)*VLOOKUP(P1388,MgDeg,2,0),0)</f>
        <v/>
      </c>
      <c r="T1388" s="30">
        <f>MAX(Q1388:S1388)</f>
        <v/>
      </c>
      <c r="U1388" s="28">
        <f>IFERROR(LOOKUP(T1388,{0;0.5;1.5;3;4.5},{"Despreciable";"Bajo";"Medio";"Alto";"Muy alto"}),"")</f>
        <v/>
      </c>
      <c r="V1388" s="13">
        <f>IFERROR(INDEX(MgAmenFrec,MATCH(SUBSTITUTE($H1388,"*","-"),MgAmenClave,0)),"")</f>
        <v/>
      </c>
      <c r="W1388" s="28">
        <f>IFERROR(LOOKUP(X1388,{0;0.01;0.1;1;10;100},{"Muy baja";"Muy baja";"Baja";"Media";"Alta";"Muy alta"}),"")</f>
        <v/>
      </c>
      <c r="X1388" s="31">
        <f>IFERROR(VLOOKUP(V1388,MgFrec,2,0),0)</f>
        <v/>
      </c>
      <c r="Y1388" s="30">
        <f>T1388*X1388</f>
        <v/>
      </c>
      <c r="Z1388" s="28">
        <f>IFERROR(LOOKUP(Y1388,{0;0.5;5;25},{"Bajo";"Medio";"Alto";"Crítico"}),"")</f>
        <v/>
      </c>
      <c r="AA1388" s="64">
        <f>IF(T1388&gt;=3,IF(X1388&gt;=1,"Zona 1 — Crítica: impacto alto y ocurre al menos una vez al año","Zona 4 — Catastrófica poco probable: impacto alto pero excepcional"),IF(AND(T1388&lt;1.5,X1388&lt;1),"Zona 3 — Asumible: impacto bajo y muy poco frecuente","Zona 2 — Atención: riesgo intermedio"))</f>
        <v/>
      </c>
      <c r="AB1388" s="64">
        <f>IFERROR(INDEX(MgAmenCtrl,MATCH(SUBSTITUTE($H1388,"*","-"),MgAmenClave,0)),"")</f>
        <v/>
      </c>
      <c r="AC1388" s="20" t="n"/>
      <c r="AD1388" s="31">
        <f>IFERROR($X1388*(1-IF($AC1388="",$AL1388,VLOOKUP($AC1388,MgMad,2,0))),"")</f>
        <v/>
      </c>
      <c r="AE1388" s="28">
        <f>IFERROR(LOOKUP(AD1388,{0;0.01;0.1;1;10;100},{"Muy baja";"Muy baja";"Baja";"Media";"Alta";"Muy alta"}),"")</f>
        <v/>
      </c>
      <c r="AF1388" s="30">
        <f>T1388*AD1388</f>
        <v/>
      </c>
      <c r="AG1388" s="28">
        <f>IFERROR(LOOKUP(AF1388,{0;0.5;5;25},{"Bajo";"Medio";"Alto";"Crítico"}),"")</f>
        <v/>
      </c>
      <c r="AH1388" s="28">
        <f>IF(AG1388="","",IF(OR(AG1388="Crítico",AG1388="Alto"),"Mitigar",IF(AG1388="Medio","Mitigar","Aceptar y monitorear")))</f>
        <v/>
      </c>
      <c r="AI1388" s="21" t="n"/>
      <c r="AJ1388" s="21" t="n"/>
      <c r="AK1388" s="20" t="n"/>
      <c r="AL1388" s="77">
        <f>IFERROR(INDEX(MgAmenEfic,MATCH(SUBSTITUTE($H1388,"*","-"),MgAmenClave,0)),0)</f>
        <v/>
      </c>
    </row>
    <row r="1389" hidden="1" ht="120" customHeight="1" s="54">
      <c r="B1389" s="59" t="inlineStr">
        <is>
          <t>R-1384</t>
        </is>
      </c>
      <c r="C1389" s="59" t="inlineStr">
        <is>
          <t>GH-040</t>
        </is>
      </c>
      <c r="D1389" s="64">
        <f>IFERROR(INDEX(MgNombre,MATCH($C1389,MgActId,0)),"")</f>
        <v/>
      </c>
      <c r="E1389" s="64">
        <f>IFERROR(INDEX(MgProceso,MATCH($C1389,MgActId,0)),"")</f>
        <v/>
      </c>
      <c r="F1389" s="64">
        <f>IFERROR(INDEX(MgTipo,MATCH($C1389,MgActId,0)),"")</f>
        <v/>
      </c>
      <c r="G1389" s="64">
        <f>IFERROR(INDEX(MgSubtipo,MATCH($C1389,MgActId,0)),"")</f>
        <v/>
      </c>
      <c r="H1389" s="59" t="inlineStr">
        <is>
          <t>E.2</t>
        </is>
      </c>
      <c r="I1389" s="64">
        <f>IFERROR(INDEX(MgAmenNombre,MATCH(SUBSTITUTE($H1389,"*","-"),MgAmenClave,0)),"")</f>
        <v/>
      </c>
      <c r="J1389" s="28">
        <f>IFERROR(INDEX(MgAmenGrupo,MATCH(SUBSTITUTE($H1389,"*","-"),MgAmenClave,0)),"")</f>
        <v/>
      </c>
      <c r="K1389" s="64">
        <f>IFERROR(INDEX('1. Matriz de Activos'!$Q$6:$Q$239,MATCH($C1389,MgActId,0)),"")</f>
        <v/>
      </c>
      <c r="L1389" s="64">
        <f>IFERROR(INDEX('1. Matriz de Activos'!$R$6:$R$239,MATCH($C1389,MgActId,0)),"")</f>
        <v/>
      </c>
      <c r="M1389" s="64">
        <f>IFERROR(INDEX('1. Matriz de Activos'!$S$6:$S$239,MATCH($C1389,MgActId,0)),"")</f>
        <v/>
      </c>
      <c r="N1389" s="28">
        <f>IFERROR(INDEX(MgAmenDegD,MATCH(SUBSTITUTE($H1389,"*","-"),MgAmenClave,0)),"No aplica")</f>
        <v/>
      </c>
      <c r="O1389" s="28">
        <f>IFERROR(INDEX(MgAmenDegI,MATCH(SUBSTITUTE($H1389,"*","-"),MgAmenClave,0)),"No aplica")</f>
        <v/>
      </c>
      <c r="P1389" s="28">
        <f>IFERROR(INDEX(MgAmenDegC,MATCH(SUBSTITUTE($H1389,"*","-"),MgAmenClave,0)),"No aplica")</f>
        <v/>
      </c>
      <c r="Q1389" s="29">
        <f>IFERROR(VLOOKUP(K1389,MgValor,2,0)*VLOOKUP(N1389,MgDeg,2,0),0)</f>
        <v/>
      </c>
      <c r="R1389" s="29">
        <f>IFERROR(VLOOKUP(L1389,MgValor,2,0)*VLOOKUP(O1389,MgDeg,2,0),0)</f>
        <v/>
      </c>
      <c r="S1389" s="29">
        <f>IFERROR(VLOOKUP(M1389,MgValor,2,0)*VLOOKUP(P1389,MgDeg,2,0),0)</f>
        <v/>
      </c>
      <c r="T1389" s="30">
        <f>MAX(Q1389:S1389)</f>
        <v/>
      </c>
      <c r="U1389" s="28">
        <f>IFERROR(LOOKUP(T1389,{0;0.5;1.5;3;4.5},{"Despreciable";"Bajo";"Medio";"Alto";"Muy alto"}),"")</f>
        <v/>
      </c>
      <c r="V1389" s="13">
        <f>IFERROR(INDEX(MgAmenFrec,MATCH(SUBSTITUTE($H1389,"*","-"),MgAmenClave,0)),"")</f>
        <v/>
      </c>
      <c r="W1389" s="28">
        <f>IFERROR(LOOKUP(X1389,{0;0.01;0.1;1;10;100},{"Muy baja";"Muy baja";"Baja";"Media";"Alta";"Muy alta"}),"")</f>
        <v/>
      </c>
      <c r="X1389" s="31">
        <f>IFERROR(VLOOKUP(V1389,MgFrec,2,0),0)</f>
        <v/>
      </c>
      <c r="Y1389" s="30">
        <f>T1389*X1389</f>
        <v/>
      </c>
      <c r="Z1389" s="28">
        <f>IFERROR(LOOKUP(Y1389,{0;0.5;5;25},{"Bajo";"Medio";"Alto";"Crítico"}),"")</f>
        <v/>
      </c>
      <c r="AA1389" s="64">
        <f>IF(T1389&gt;=3,IF(X1389&gt;=1,"Zona 1 — Crítica: impacto alto y ocurre al menos una vez al año","Zona 4 — Catastrófica poco probable: impacto alto pero excepcional"),IF(AND(T1389&lt;1.5,X1389&lt;1),"Zona 3 — Asumible: impacto bajo y muy poco frecuente","Zona 2 — Atención: riesgo intermedio"))</f>
        <v/>
      </c>
      <c r="AB1389" s="64">
        <f>IFERROR(INDEX(MgAmenCtrl,MATCH(SUBSTITUTE($H1389,"*","-"),MgAmenClave,0)),"")</f>
        <v/>
      </c>
      <c r="AC1389" s="20" t="n"/>
      <c r="AD1389" s="31">
        <f>IFERROR($X1389*(1-IF($AC1389="",$AL1389,VLOOKUP($AC1389,MgMad,2,0))),"")</f>
        <v/>
      </c>
      <c r="AE1389" s="28">
        <f>IFERROR(LOOKUP(AD1389,{0;0.01;0.1;1;10;100},{"Muy baja";"Muy baja";"Baja";"Media";"Alta";"Muy alta"}),"")</f>
        <v/>
      </c>
      <c r="AF1389" s="30">
        <f>T1389*AD1389</f>
        <v/>
      </c>
      <c r="AG1389" s="28">
        <f>IFERROR(LOOKUP(AF1389,{0;0.5;5;25},{"Bajo";"Medio";"Alto";"Crítico"}),"")</f>
        <v/>
      </c>
      <c r="AH1389" s="28">
        <f>IF(AG1389="","",IF(OR(AG1389="Crítico",AG1389="Alto"),"Mitigar",IF(AG1389="Medio","Mitigar","Aceptar y monitorear")))</f>
        <v/>
      </c>
      <c r="AI1389" s="21" t="n"/>
      <c r="AJ1389" s="21" t="n"/>
      <c r="AK1389" s="20" t="n"/>
      <c r="AL1389" s="77">
        <f>IFERROR(INDEX(MgAmenEfic,MATCH(SUBSTITUTE($H1389,"*","-"),MgAmenClave,0)),0)</f>
        <v/>
      </c>
    </row>
    <row r="1390" hidden="1" ht="75" customHeight="1" s="54">
      <c r="B1390" s="59" t="inlineStr">
        <is>
          <t>R-1385</t>
        </is>
      </c>
      <c r="C1390" s="59" t="inlineStr">
        <is>
          <t>GH-040</t>
        </is>
      </c>
      <c r="D1390" s="64">
        <f>IFERROR(INDEX(MgNombre,MATCH($C1390,MgActId,0)),"")</f>
        <v/>
      </c>
      <c r="E1390" s="64">
        <f>IFERROR(INDEX(MgProceso,MATCH($C1390,MgActId,0)),"")</f>
        <v/>
      </c>
      <c r="F1390" s="64">
        <f>IFERROR(INDEX(MgTipo,MATCH($C1390,MgActId,0)),"")</f>
        <v/>
      </c>
      <c r="G1390" s="64">
        <f>IFERROR(INDEX(MgSubtipo,MATCH($C1390,MgActId,0)),"")</f>
        <v/>
      </c>
      <c r="H1390" s="59" t="inlineStr">
        <is>
          <t>E.3</t>
        </is>
      </c>
      <c r="I1390" s="64">
        <f>IFERROR(INDEX(MgAmenNombre,MATCH(SUBSTITUTE($H1390,"*","-"),MgAmenClave,0)),"")</f>
        <v/>
      </c>
      <c r="J1390" s="28">
        <f>IFERROR(INDEX(MgAmenGrupo,MATCH(SUBSTITUTE($H1390,"*","-"),MgAmenClave,0)),"")</f>
        <v/>
      </c>
      <c r="K1390" s="64">
        <f>IFERROR(INDEX('1. Matriz de Activos'!$Q$6:$Q$239,MATCH($C1390,MgActId,0)),"")</f>
        <v/>
      </c>
      <c r="L1390" s="64">
        <f>IFERROR(INDEX('1. Matriz de Activos'!$R$6:$R$239,MATCH($C1390,MgActId,0)),"")</f>
        <v/>
      </c>
      <c r="M1390" s="64">
        <f>IFERROR(INDEX('1. Matriz de Activos'!$S$6:$S$239,MATCH($C1390,MgActId,0)),"")</f>
        <v/>
      </c>
      <c r="N1390" s="28">
        <f>IFERROR(INDEX(MgAmenDegD,MATCH(SUBSTITUTE($H1390,"*","-"),MgAmenClave,0)),"No aplica")</f>
        <v/>
      </c>
      <c r="O1390" s="28">
        <f>IFERROR(INDEX(MgAmenDegI,MATCH(SUBSTITUTE($H1390,"*","-"),MgAmenClave,0)),"No aplica")</f>
        <v/>
      </c>
      <c r="P1390" s="28">
        <f>IFERROR(INDEX(MgAmenDegC,MATCH(SUBSTITUTE($H1390,"*","-"),MgAmenClave,0)),"No aplica")</f>
        <v/>
      </c>
      <c r="Q1390" s="29">
        <f>IFERROR(VLOOKUP(K1390,MgValor,2,0)*VLOOKUP(N1390,MgDeg,2,0),0)</f>
        <v/>
      </c>
      <c r="R1390" s="29">
        <f>IFERROR(VLOOKUP(L1390,MgValor,2,0)*VLOOKUP(O1390,MgDeg,2,0),0)</f>
        <v/>
      </c>
      <c r="S1390" s="29">
        <f>IFERROR(VLOOKUP(M1390,MgValor,2,0)*VLOOKUP(P1390,MgDeg,2,0),0)</f>
        <v/>
      </c>
      <c r="T1390" s="30">
        <f>MAX(Q1390:S1390)</f>
        <v/>
      </c>
      <c r="U1390" s="28">
        <f>IFERROR(LOOKUP(T1390,{0;0.5;1.5;3;4.5},{"Despreciable";"Bajo";"Medio";"Alto";"Muy alto"}),"")</f>
        <v/>
      </c>
      <c r="V1390" s="13">
        <f>IFERROR(INDEX(MgAmenFrec,MATCH(SUBSTITUTE($H1390,"*","-"),MgAmenClave,0)),"")</f>
        <v/>
      </c>
      <c r="W1390" s="28">
        <f>IFERROR(LOOKUP(X1390,{0;0.01;0.1;1;10;100},{"Muy baja";"Muy baja";"Baja";"Media";"Alta";"Muy alta"}),"")</f>
        <v/>
      </c>
      <c r="X1390" s="31">
        <f>IFERROR(VLOOKUP(V1390,MgFrec,2,0),0)</f>
        <v/>
      </c>
      <c r="Y1390" s="30">
        <f>T1390*X1390</f>
        <v/>
      </c>
      <c r="Z1390" s="28">
        <f>IFERROR(LOOKUP(Y1390,{0;0.5;5;25},{"Bajo";"Medio";"Alto";"Crítico"}),"")</f>
        <v/>
      </c>
      <c r="AA1390" s="64">
        <f>IF(T1390&gt;=3,IF(X1390&gt;=1,"Zona 1 — Crítica: impacto alto y ocurre al menos una vez al año","Zona 4 — Catastrófica poco probable: impacto alto pero excepcional"),IF(AND(T1390&lt;1.5,X1390&lt;1),"Zona 3 — Asumible: impacto bajo y muy poco frecuente","Zona 2 — Atención: riesgo intermedio"))</f>
        <v/>
      </c>
      <c r="AB1390" s="64">
        <f>IFERROR(INDEX(MgAmenCtrl,MATCH(SUBSTITUTE($H1390,"*","-"),MgAmenClave,0)),"")</f>
        <v/>
      </c>
      <c r="AC1390" s="20" t="n"/>
      <c r="AD1390" s="31">
        <f>IFERROR($X1390*(1-IF($AC1390="",$AL1390,VLOOKUP($AC1390,MgMad,2,0))),"")</f>
        <v/>
      </c>
      <c r="AE1390" s="28">
        <f>IFERROR(LOOKUP(AD1390,{0;0.01;0.1;1;10;100},{"Muy baja";"Muy baja";"Baja";"Media";"Alta";"Muy alta"}),"")</f>
        <v/>
      </c>
      <c r="AF1390" s="30">
        <f>T1390*AD1390</f>
        <v/>
      </c>
      <c r="AG1390" s="28">
        <f>IFERROR(LOOKUP(AF1390,{0;0.5;5;25},{"Bajo";"Medio";"Alto";"Crítico"}),"")</f>
        <v/>
      </c>
      <c r="AH1390" s="28">
        <f>IF(AG1390="","",IF(OR(AG1390="Crítico",AG1390="Alto"),"Mitigar",IF(AG1390="Medio","Mitigar","Aceptar y monitorear")))</f>
        <v/>
      </c>
      <c r="AI1390" s="21" t="n"/>
      <c r="AJ1390" s="21" t="n"/>
      <c r="AK1390" s="20" t="n"/>
      <c r="AL1390" s="77">
        <f>IFERROR(INDEX(MgAmenEfic,MATCH(SUBSTITUTE($H1390,"*","-"),MgAmenClave,0)),0)</f>
        <v/>
      </c>
    </row>
    <row r="1391" hidden="1" ht="75" customHeight="1" s="54">
      <c r="B1391" s="59" t="inlineStr">
        <is>
          <t>R-1386</t>
        </is>
      </c>
      <c r="C1391" s="59" t="inlineStr">
        <is>
          <t>GH-040</t>
        </is>
      </c>
      <c r="D1391" s="64">
        <f>IFERROR(INDEX(MgNombre,MATCH($C1391,MgActId,0)),"")</f>
        <v/>
      </c>
      <c r="E1391" s="64">
        <f>IFERROR(INDEX(MgProceso,MATCH($C1391,MgActId,0)),"")</f>
        <v/>
      </c>
      <c r="F1391" s="64">
        <f>IFERROR(INDEX(MgTipo,MATCH($C1391,MgActId,0)),"")</f>
        <v/>
      </c>
      <c r="G1391" s="64">
        <f>IFERROR(INDEX(MgSubtipo,MATCH($C1391,MgActId,0)),"")</f>
        <v/>
      </c>
      <c r="H1391" s="59" t="inlineStr">
        <is>
          <t>E.4</t>
        </is>
      </c>
      <c r="I1391" s="64">
        <f>IFERROR(INDEX(MgAmenNombre,MATCH(SUBSTITUTE($H1391,"*","-"),MgAmenClave,0)),"")</f>
        <v/>
      </c>
      <c r="J1391" s="28">
        <f>IFERROR(INDEX(MgAmenGrupo,MATCH(SUBSTITUTE($H1391,"*","-"),MgAmenClave,0)),"")</f>
        <v/>
      </c>
      <c r="K1391" s="64">
        <f>IFERROR(INDEX('1. Matriz de Activos'!$Q$6:$Q$239,MATCH($C1391,MgActId,0)),"")</f>
        <v/>
      </c>
      <c r="L1391" s="64">
        <f>IFERROR(INDEX('1. Matriz de Activos'!$R$6:$R$239,MATCH($C1391,MgActId,0)),"")</f>
        <v/>
      </c>
      <c r="M1391" s="64">
        <f>IFERROR(INDEX('1. Matriz de Activos'!$S$6:$S$239,MATCH($C1391,MgActId,0)),"")</f>
        <v/>
      </c>
      <c r="N1391" s="28">
        <f>IFERROR(INDEX(MgAmenDegD,MATCH(SUBSTITUTE($H1391,"*","-"),MgAmenClave,0)),"No aplica")</f>
        <v/>
      </c>
      <c r="O1391" s="28">
        <f>IFERROR(INDEX(MgAmenDegI,MATCH(SUBSTITUTE($H1391,"*","-"),MgAmenClave,0)),"No aplica")</f>
        <v/>
      </c>
      <c r="P1391" s="28">
        <f>IFERROR(INDEX(MgAmenDegC,MATCH(SUBSTITUTE($H1391,"*","-"),MgAmenClave,0)),"No aplica")</f>
        <v/>
      </c>
      <c r="Q1391" s="29">
        <f>IFERROR(VLOOKUP(K1391,MgValor,2,0)*VLOOKUP(N1391,MgDeg,2,0),0)</f>
        <v/>
      </c>
      <c r="R1391" s="29">
        <f>IFERROR(VLOOKUP(L1391,MgValor,2,0)*VLOOKUP(O1391,MgDeg,2,0),0)</f>
        <v/>
      </c>
      <c r="S1391" s="29">
        <f>IFERROR(VLOOKUP(M1391,MgValor,2,0)*VLOOKUP(P1391,MgDeg,2,0),0)</f>
        <v/>
      </c>
      <c r="T1391" s="30">
        <f>MAX(Q1391:S1391)</f>
        <v/>
      </c>
      <c r="U1391" s="28">
        <f>IFERROR(LOOKUP(T1391,{0;0.5;1.5;3;4.5},{"Despreciable";"Bajo";"Medio";"Alto";"Muy alto"}),"")</f>
        <v/>
      </c>
      <c r="V1391" s="13">
        <f>IFERROR(INDEX(MgAmenFrec,MATCH(SUBSTITUTE($H1391,"*","-"),MgAmenClave,0)),"")</f>
        <v/>
      </c>
      <c r="W1391" s="28">
        <f>IFERROR(LOOKUP(X1391,{0;0.01;0.1;1;10;100},{"Muy baja";"Muy baja";"Baja";"Media";"Alta";"Muy alta"}),"")</f>
        <v/>
      </c>
      <c r="X1391" s="31">
        <f>IFERROR(VLOOKUP(V1391,MgFrec,2,0),0)</f>
        <v/>
      </c>
      <c r="Y1391" s="30">
        <f>T1391*X1391</f>
        <v/>
      </c>
      <c r="Z1391" s="28">
        <f>IFERROR(LOOKUP(Y1391,{0;0.5;5;25},{"Bajo";"Medio";"Alto";"Crítico"}),"")</f>
        <v/>
      </c>
      <c r="AA1391" s="64">
        <f>IF(T1391&gt;=3,IF(X1391&gt;=1,"Zona 1 — Crítica: impacto alto y ocurre al menos una vez al año","Zona 4 — Catastrófica poco probable: impacto alto pero excepcional"),IF(AND(T1391&lt;1.5,X1391&lt;1),"Zona 3 — Asumible: impacto bajo y muy poco frecuente","Zona 2 — Atención: riesgo intermedio"))</f>
        <v/>
      </c>
      <c r="AB1391" s="64">
        <f>IFERROR(INDEX(MgAmenCtrl,MATCH(SUBSTITUTE($H1391,"*","-"),MgAmenClave,0)),"")</f>
        <v/>
      </c>
      <c r="AC1391" s="20" t="n"/>
      <c r="AD1391" s="31">
        <f>IFERROR($X1391*(1-IF($AC1391="",$AL1391,VLOOKUP($AC1391,MgMad,2,0))),"")</f>
        <v/>
      </c>
      <c r="AE1391" s="28">
        <f>IFERROR(LOOKUP(AD1391,{0;0.01;0.1;1;10;100},{"Muy baja";"Muy baja";"Baja";"Media";"Alta";"Muy alta"}),"")</f>
        <v/>
      </c>
      <c r="AF1391" s="30">
        <f>T1391*AD1391</f>
        <v/>
      </c>
      <c r="AG1391" s="28">
        <f>IFERROR(LOOKUP(AF1391,{0;0.5;5;25},{"Bajo";"Medio";"Alto";"Crítico"}),"")</f>
        <v/>
      </c>
      <c r="AH1391" s="28">
        <f>IF(AG1391="","",IF(OR(AG1391="Crítico",AG1391="Alto"),"Mitigar",IF(AG1391="Medio","Mitigar","Aceptar y monitorear")))</f>
        <v/>
      </c>
      <c r="AI1391" s="21" t="n"/>
      <c r="AJ1391" s="21" t="n"/>
      <c r="AK1391" s="20" t="n"/>
      <c r="AL1391" s="77">
        <f>IFERROR(INDEX(MgAmenEfic,MATCH(SUBSTITUTE($H1391,"*","-"),MgAmenClave,0)),0)</f>
        <v/>
      </c>
    </row>
    <row r="1392" hidden="1" ht="90" customHeight="1" s="54">
      <c r="B1392" s="59" t="inlineStr">
        <is>
          <t>R-1387</t>
        </is>
      </c>
      <c r="C1392" s="59" t="inlineStr">
        <is>
          <t>GH-040</t>
        </is>
      </c>
      <c r="D1392" s="64">
        <f>IFERROR(INDEX(MgNombre,MATCH($C1392,MgActId,0)),"")</f>
        <v/>
      </c>
      <c r="E1392" s="64">
        <f>IFERROR(INDEX(MgProceso,MATCH($C1392,MgActId,0)),"")</f>
        <v/>
      </c>
      <c r="F1392" s="64">
        <f>IFERROR(INDEX(MgTipo,MATCH($C1392,MgActId,0)),"")</f>
        <v/>
      </c>
      <c r="G1392" s="64">
        <f>IFERROR(INDEX(MgSubtipo,MATCH($C1392,MgActId,0)),"")</f>
        <v/>
      </c>
      <c r="H1392" s="59" t="inlineStr">
        <is>
          <t>E.14</t>
        </is>
      </c>
      <c r="I1392" s="64">
        <f>IFERROR(INDEX(MgAmenNombre,MATCH(SUBSTITUTE($H1392,"*","-"),MgAmenClave,0)),"")</f>
        <v/>
      </c>
      <c r="J1392" s="28">
        <f>IFERROR(INDEX(MgAmenGrupo,MATCH(SUBSTITUTE($H1392,"*","-"),MgAmenClave,0)),"")</f>
        <v/>
      </c>
      <c r="K1392" s="64">
        <f>IFERROR(INDEX('1. Matriz de Activos'!$Q$6:$Q$239,MATCH($C1392,MgActId,0)),"")</f>
        <v/>
      </c>
      <c r="L1392" s="64">
        <f>IFERROR(INDEX('1. Matriz de Activos'!$R$6:$R$239,MATCH($C1392,MgActId,0)),"")</f>
        <v/>
      </c>
      <c r="M1392" s="64">
        <f>IFERROR(INDEX('1. Matriz de Activos'!$S$6:$S$239,MATCH($C1392,MgActId,0)),"")</f>
        <v/>
      </c>
      <c r="N1392" s="28">
        <f>IFERROR(INDEX(MgAmenDegD,MATCH(SUBSTITUTE($H1392,"*","-"),MgAmenClave,0)),"No aplica")</f>
        <v/>
      </c>
      <c r="O1392" s="28">
        <f>IFERROR(INDEX(MgAmenDegI,MATCH(SUBSTITUTE($H1392,"*","-"),MgAmenClave,0)),"No aplica")</f>
        <v/>
      </c>
      <c r="P1392" s="28">
        <f>IFERROR(INDEX(MgAmenDegC,MATCH(SUBSTITUTE($H1392,"*","-"),MgAmenClave,0)),"No aplica")</f>
        <v/>
      </c>
      <c r="Q1392" s="29">
        <f>IFERROR(VLOOKUP(K1392,MgValor,2,0)*VLOOKUP(N1392,MgDeg,2,0),0)</f>
        <v/>
      </c>
      <c r="R1392" s="29">
        <f>IFERROR(VLOOKUP(L1392,MgValor,2,0)*VLOOKUP(O1392,MgDeg,2,0),0)</f>
        <v/>
      </c>
      <c r="S1392" s="29">
        <f>IFERROR(VLOOKUP(M1392,MgValor,2,0)*VLOOKUP(P1392,MgDeg,2,0),0)</f>
        <v/>
      </c>
      <c r="T1392" s="30">
        <f>MAX(Q1392:S1392)</f>
        <v/>
      </c>
      <c r="U1392" s="28">
        <f>IFERROR(LOOKUP(T1392,{0;0.5;1.5;3;4.5},{"Despreciable";"Bajo";"Medio";"Alto";"Muy alto"}),"")</f>
        <v/>
      </c>
      <c r="V1392" s="13">
        <f>IFERROR(INDEX(MgAmenFrec,MATCH(SUBSTITUTE($H1392,"*","-"),MgAmenClave,0)),"")</f>
        <v/>
      </c>
      <c r="W1392" s="28">
        <f>IFERROR(LOOKUP(X1392,{0;0.01;0.1;1;10;100},{"Muy baja";"Muy baja";"Baja";"Media";"Alta";"Muy alta"}),"")</f>
        <v/>
      </c>
      <c r="X1392" s="31">
        <f>IFERROR(VLOOKUP(V1392,MgFrec,2,0),0)</f>
        <v/>
      </c>
      <c r="Y1392" s="30">
        <f>T1392*X1392</f>
        <v/>
      </c>
      <c r="Z1392" s="28">
        <f>IFERROR(LOOKUP(Y1392,{0;0.5;5;25},{"Bajo";"Medio";"Alto";"Crítico"}),"")</f>
        <v/>
      </c>
      <c r="AA1392" s="64">
        <f>IF(T1392&gt;=3,IF(X1392&gt;=1,"Zona 1 — Crítica: impacto alto y ocurre al menos una vez al año","Zona 4 — Catastrófica poco probable: impacto alto pero excepcional"),IF(AND(T1392&lt;1.5,X1392&lt;1),"Zona 3 — Asumible: impacto bajo y muy poco frecuente","Zona 2 — Atención: riesgo intermedio"))</f>
        <v/>
      </c>
      <c r="AB1392" s="64">
        <f>IFERROR(INDEX(MgAmenCtrl,MATCH(SUBSTITUTE($H1392,"*","-"),MgAmenClave,0)),"")</f>
        <v/>
      </c>
      <c r="AC1392" s="20" t="n"/>
      <c r="AD1392" s="31">
        <f>IFERROR($X1392*(1-IF($AC1392="",$AL1392,VLOOKUP($AC1392,MgMad,2,0))),"")</f>
        <v/>
      </c>
      <c r="AE1392" s="28">
        <f>IFERROR(LOOKUP(AD1392,{0;0.01;0.1;1;10;100},{"Muy baja";"Muy baja";"Baja";"Media";"Alta";"Muy alta"}),"")</f>
        <v/>
      </c>
      <c r="AF1392" s="30">
        <f>T1392*AD1392</f>
        <v/>
      </c>
      <c r="AG1392" s="28">
        <f>IFERROR(LOOKUP(AF1392,{0;0.5;5;25},{"Bajo";"Medio";"Alto";"Crítico"}),"")</f>
        <v/>
      </c>
      <c r="AH1392" s="28">
        <f>IF(AG1392="","",IF(OR(AG1392="Crítico",AG1392="Alto"),"Mitigar",IF(AG1392="Medio","Mitigar","Aceptar y monitorear")))</f>
        <v/>
      </c>
      <c r="AI1392" s="21" t="n"/>
      <c r="AJ1392" s="21" t="n"/>
      <c r="AK1392" s="20" t="n"/>
      <c r="AL1392" s="77">
        <f>IFERROR(INDEX(MgAmenEfic,MATCH(SUBSTITUTE($H1392,"*","-"),MgAmenClave,0)),0)</f>
        <v/>
      </c>
    </row>
    <row r="1393" hidden="1" ht="90" customHeight="1" s="54">
      <c r="B1393" s="59" t="inlineStr">
        <is>
          <t>R-1388</t>
        </is>
      </c>
      <c r="C1393" s="59" t="inlineStr">
        <is>
          <t>GH-040</t>
        </is>
      </c>
      <c r="D1393" s="64">
        <f>IFERROR(INDEX(MgNombre,MATCH($C1393,MgActId,0)),"")</f>
        <v/>
      </c>
      <c r="E1393" s="64">
        <f>IFERROR(INDEX(MgProceso,MATCH($C1393,MgActId,0)),"")</f>
        <v/>
      </c>
      <c r="F1393" s="64">
        <f>IFERROR(INDEX(MgTipo,MATCH($C1393,MgActId,0)),"")</f>
        <v/>
      </c>
      <c r="G1393" s="64">
        <f>IFERROR(INDEX(MgSubtipo,MATCH($C1393,MgActId,0)),"")</f>
        <v/>
      </c>
      <c r="H1393" s="59" t="inlineStr">
        <is>
          <t>E.15</t>
        </is>
      </c>
      <c r="I1393" s="64">
        <f>IFERROR(INDEX(MgAmenNombre,MATCH(SUBSTITUTE($H1393,"*","-"),MgAmenClave,0)),"")</f>
        <v/>
      </c>
      <c r="J1393" s="28">
        <f>IFERROR(INDEX(MgAmenGrupo,MATCH(SUBSTITUTE($H1393,"*","-"),MgAmenClave,0)),"")</f>
        <v/>
      </c>
      <c r="K1393" s="64">
        <f>IFERROR(INDEX('1. Matriz de Activos'!$Q$6:$Q$239,MATCH($C1393,MgActId,0)),"")</f>
        <v/>
      </c>
      <c r="L1393" s="64">
        <f>IFERROR(INDEX('1. Matriz de Activos'!$R$6:$R$239,MATCH($C1393,MgActId,0)),"")</f>
        <v/>
      </c>
      <c r="M1393" s="64">
        <f>IFERROR(INDEX('1. Matriz de Activos'!$S$6:$S$239,MATCH($C1393,MgActId,0)),"")</f>
        <v/>
      </c>
      <c r="N1393" s="28">
        <f>IFERROR(INDEX(MgAmenDegD,MATCH(SUBSTITUTE($H1393,"*","-"),MgAmenClave,0)),"No aplica")</f>
        <v/>
      </c>
      <c r="O1393" s="28">
        <f>IFERROR(INDEX(MgAmenDegI,MATCH(SUBSTITUTE($H1393,"*","-"),MgAmenClave,0)),"No aplica")</f>
        <v/>
      </c>
      <c r="P1393" s="28">
        <f>IFERROR(INDEX(MgAmenDegC,MATCH(SUBSTITUTE($H1393,"*","-"),MgAmenClave,0)),"No aplica")</f>
        <v/>
      </c>
      <c r="Q1393" s="29">
        <f>IFERROR(VLOOKUP(K1393,MgValor,2,0)*VLOOKUP(N1393,MgDeg,2,0),0)</f>
        <v/>
      </c>
      <c r="R1393" s="29">
        <f>IFERROR(VLOOKUP(L1393,MgValor,2,0)*VLOOKUP(O1393,MgDeg,2,0),0)</f>
        <v/>
      </c>
      <c r="S1393" s="29">
        <f>IFERROR(VLOOKUP(M1393,MgValor,2,0)*VLOOKUP(P1393,MgDeg,2,0),0)</f>
        <v/>
      </c>
      <c r="T1393" s="30">
        <f>MAX(Q1393:S1393)</f>
        <v/>
      </c>
      <c r="U1393" s="28">
        <f>IFERROR(LOOKUP(T1393,{0;0.5;1.5;3;4.5},{"Despreciable";"Bajo";"Medio";"Alto";"Muy alto"}),"")</f>
        <v/>
      </c>
      <c r="V1393" s="13">
        <f>IFERROR(INDEX(MgAmenFrec,MATCH(SUBSTITUTE($H1393,"*","-"),MgAmenClave,0)),"")</f>
        <v/>
      </c>
      <c r="W1393" s="28">
        <f>IFERROR(LOOKUP(X1393,{0;0.01;0.1;1;10;100},{"Muy baja";"Muy baja";"Baja";"Media";"Alta";"Muy alta"}),"")</f>
        <v/>
      </c>
      <c r="X1393" s="31">
        <f>IFERROR(VLOOKUP(V1393,MgFrec,2,0),0)</f>
        <v/>
      </c>
      <c r="Y1393" s="30">
        <f>T1393*X1393</f>
        <v/>
      </c>
      <c r="Z1393" s="28">
        <f>IFERROR(LOOKUP(Y1393,{0;0.5;5;25},{"Bajo";"Medio";"Alto";"Crítico"}),"")</f>
        <v/>
      </c>
      <c r="AA1393" s="64">
        <f>IF(T1393&gt;=3,IF(X1393&gt;=1,"Zona 1 — Crítica: impacto alto y ocurre al menos una vez al año","Zona 4 — Catastrófica poco probable: impacto alto pero excepcional"),IF(AND(T1393&lt;1.5,X1393&lt;1),"Zona 3 — Asumible: impacto bajo y muy poco frecuente","Zona 2 — Atención: riesgo intermedio"))</f>
        <v/>
      </c>
      <c r="AB1393" s="64">
        <f>IFERROR(INDEX(MgAmenCtrl,MATCH(SUBSTITUTE($H1393,"*","-"),MgAmenClave,0)),"")</f>
        <v/>
      </c>
      <c r="AC1393" s="20" t="n"/>
      <c r="AD1393" s="31">
        <f>IFERROR($X1393*(1-IF($AC1393="",$AL1393,VLOOKUP($AC1393,MgMad,2,0))),"")</f>
        <v/>
      </c>
      <c r="AE1393" s="28">
        <f>IFERROR(LOOKUP(AD1393,{0;0.01;0.1;1;10;100},{"Muy baja";"Muy baja";"Baja";"Media";"Alta";"Muy alta"}),"")</f>
        <v/>
      </c>
      <c r="AF1393" s="30">
        <f>T1393*AD1393</f>
        <v/>
      </c>
      <c r="AG1393" s="28">
        <f>IFERROR(LOOKUP(AF1393,{0;0.5;5;25},{"Bajo";"Medio";"Alto";"Crítico"}),"")</f>
        <v/>
      </c>
      <c r="AH1393" s="28">
        <f>IF(AG1393="","",IF(OR(AG1393="Crítico",AG1393="Alto"),"Mitigar",IF(AG1393="Medio","Mitigar","Aceptar y monitorear")))</f>
        <v/>
      </c>
      <c r="AI1393" s="21" t="n"/>
      <c r="AJ1393" s="21" t="n"/>
      <c r="AK1393" s="20" t="n"/>
      <c r="AL1393" s="77">
        <f>IFERROR(INDEX(MgAmenEfic,MATCH(SUBSTITUTE($H1393,"*","-"),MgAmenClave,0)),0)</f>
        <v/>
      </c>
    </row>
    <row r="1394" hidden="1" ht="60" customHeight="1" s="54">
      <c r="B1394" s="59" t="inlineStr">
        <is>
          <t>R-1389</t>
        </is>
      </c>
      <c r="C1394" s="59" t="inlineStr">
        <is>
          <t>GH-040</t>
        </is>
      </c>
      <c r="D1394" s="64">
        <f>IFERROR(INDEX(MgNombre,MATCH($C1394,MgActId,0)),"")</f>
        <v/>
      </c>
      <c r="E1394" s="64">
        <f>IFERROR(INDEX(MgProceso,MATCH($C1394,MgActId,0)),"")</f>
        <v/>
      </c>
      <c r="F1394" s="64">
        <f>IFERROR(INDEX(MgTipo,MATCH($C1394,MgActId,0)),"")</f>
        <v/>
      </c>
      <c r="G1394" s="64">
        <f>IFERROR(INDEX(MgSubtipo,MATCH($C1394,MgActId,0)),"")</f>
        <v/>
      </c>
      <c r="H1394" s="59" t="inlineStr">
        <is>
          <t>E.18</t>
        </is>
      </c>
      <c r="I1394" s="64">
        <f>IFERROR(INDEX(MgAmenNombre,MATCH(SUBSTITUTE($H1394,"*","-"),MgAmenClave,0)),"")</f>
        <v/>
      </c>
      <c r="J1394" s="28">
        <f>IFERROR(INDEX(MgAmenGrupo,MATCH(SUBSTITUTE($H1394,"*","-"),MgAmenClave,0)),"")</f>
        <v/>
      </c>
      <c r="K1394" s="64">
        <f>IFERROR(INDEX('1. Matriz de Activos'!$Q$6:$Q$239,MATCH($C1394,MgActId,0)),"")</f>
        <v/>
      </c>
      <c r="L1394" s="64">
        <f>IFERROR(INDEX('1. Matriz de Activos'!$R$6:$R$239,MATCH($C1394,MgActId,0)),"")</f>
        <v/>
      </c>
      <c r="M1394" s="64">
        <f>IFERROR(INDEX('1. Matriz de Activos'!$S$6:$S$239,MATCH($C1394,MgActId,0)),"")</f>
        <v/>
      </c>
      <c r="N1394" s="28">
        <f>IFERROR(INDEX(MgAmenDegD,MATCH(SUBSTITUTE($H1394,"*","-"),MgAmenClave,0)),"No aplica")</f>
        <v/>
      </c>
      <c r="O1394" s="28">
        <f>IFERROR(INDEX(MgAmenDegI,MATCH(SUBSTITUTE($H1394,"*","-"),MgAmenClave,0)),"No aplica")</f>
        <v/>
      </c>
      <c r="P1394" s="28">
        <f>IFERROR(INDEX(MgAmenDegC,MATCH(SUBSTITUTE($H1394,"*","-"),MgAmenClave,0)),"No aplica")</f>
        <v/>
      </c>
      <c r="Q1394" s="29">
        <f>IFERROR(VLOOKUP(K1394,MgValor,2,0)*VLOOKUP(N1394,MgDeg,2,0),0)</f>
        <v/>
      </c>
      <c r="R1394" s="29">
        <f>IFERROR(VLOOKUP(L1394,MgValor,2,0)*VLOOKUP(O1394,MgDeg,2,0),0)</f>
        <v/>
      </c>
      <c r="S1394" s="29">
        <f>IFERROR(VLOOKUP(M1394,MgValor,2,0)*VLOOKUP(P1394,MgDeg,2,0),0)</f>
        <v/>
      </c>
      <c r="T1394" s="30">
        <f>MAX(Q1394:S1394)</f>
        <v/>
      </c>
      <c r="U1394" s="28">
        <f>IFERROR(LOOKUP(T1394,{0;0.5;1.5;3;4.5},{"Despreciable";"Bajo";"Medio";"Alto";"Muy alto"}),"")</f>
        <v/>
      </c>
      <c r="V1394" s="13">
        <f>IFERROR(INDEX(MgAmenFrec,MATCH(SUBSTITUTE($H1394,"*","-"),MgAmenClave,0)),"")</f>
        <v/>
      </c>
      <c r="W1394" s="28">
        <f>IFERROR(LOOKUP(X1394,{0;0.01;0.1;1;10;100},{"Muy baja";"Muy baja";"Baja";"Media";"Alta";"Muy alta"}),"")</f>
        <v/>
      </c>
      <c r="X1394" s="31">
        <f>IFERROR(VLOOKUP(V1394,MgFrec,2,0),0)</f>
        <v/>
      </c>
      <c r="Y1394" s="30">
        <f>T1394*X1394</f>
        <v/>
      </c>
      <c r="Z1394" s="28">
        <f>IFERROR(LOOKUP(Y1394,{0;0.5;5;25},{"Bajo";"Medio";"Alto";"Crítico"}),"")</f>
        <v/>
      </c>
      <c r="AA1394" s="64">
        <f>IF(T1394&gt;=3,IF(X1394&gt;=1,"Zona 1 — Crítica: impacto alto y ocurre al menos una vez al año","Zona 4 — Catastrófica poco probable: impacto alto pero excepcional"),IF(AND(T1394&lt;1.5,X1394&lt;1),"Zona 3 — Asumible: impacto bajo y muy poco frecuente","Zona 2 — Atención: riesgo intermedio"))</f>
        <v/>
      </c>
      <c r="AB1394" s="64">
        <f>IFERROR(INDEX(MgAmenCtrl,MATCH(SUBSTITUTE($H1394,"*","-"),MgAmenClave,0)),"")</f>
        <v/>
      </c>
      <c r="AC1394" s="20" t="n"/>
      <c r="AD1394" s="31">
        <f>IFERROR($X1394*(1-IF($AC1394="",$AL1394,VLOOKUP($AC1394,MgMad,2,0))),"")</f>
        <v/>
      </c>
      <c r="AE1394" s="28">
        <f>IFERROR(LOOKUP(AD1394,{0;0.01;0.1;1;10;100},{"Muy baja";"Muy baja";"Baja";"Media";"Alta";"Muy alta"}),"")</f>
        <v/>
      </c>
      <c r="AF1394" s="30">
        <f>T1394*AD1394</f>
        <v/>
      </c>
      <c r="AG1394" s="28">
        <f>IFERROR(LOOKUP(AF1394,{0;0.5;5;25},{"Bajo";"Medio";"Alto";"Crítico"}),"")</f>
        <v/>
      </c>
      <c r="AH1394" s="28">
        <f>IF(AG1394="","",IF(OR(AG1394="Crítico",AG1394="Alto"),"Mitigar",IF(AG1394="Medio","Mitigar","Aceptar y monitorear")))</f>
        <v/>
      </c>
      <c r="AI1394" s="21" t="n"/>
      <c r="AJ1394" s="21" t="n"/>
      <c r="AK1394" s="20" t="n"/>
      <c r="AL1394" s="77">
        <f>IFERROR(INDEX(MgAmenEfic,MATCH(SUBSTITUTE($H1394,"*","-"),MgAmenClave,0)),0)</f>
        <v/>
      </c>
    </row>
    <row r="1395" hidden="1" ht="105" customHeight="1" s="54">
      <c r="B1395" s="59" t="inlineStr">
        <is>
          <t>R-1390</t>
        </is>
      </c>
      <c r="C1395" s="59" t="inlineStr">
        <is>
          <t>GH-040</t>
        </is>
      </c>
      <c r="D1395" s="64">
        <f>IFERROR(INDEX(MgNombre,MATCH($C1395,MgActId,0)),"")</f>
        <v/>
      </c>
      <c r="E1395" s="64">
        <f>IFERROR(INDEX(MgProceso,MATCH($C1395,MgActId,0)),"")</f>
        <v/>
      </c>
      <c r="F1395" s="64">
        <f>IFERROR(INDEX(MgTipo,MATCH($C1395,MgActId,0)),"")</f>
        <v/>
      </c>
      <c r="G1395" s="64">
        <f>IFERROR(INDEX(MgSubtipo,MATCH($C1395,MgActId,0)),"")</f>
        <v/>
      </c>
      <c r="H1395" s="59" t="inlineStr">
        <is>
          <t>E.19</t>
        </is>
      </c>
      <c r="I1395" s="64">
        <f>IFERROR(INDEX(MgAmenNombre,MATCH(SUBSTITUTE($H1395,"*","-"),MgAmenClave,0)),"")</f>
        <v/>
      </c>
      <c r="J1395" s="28">
        <f>IFERROR(INDEX(MgAmenGrupo,MATCH(SUBSTITUTE($H1395,"*","-"),MgAmenClave,0)),"")</f>
        <v/>
      </c>
      <c r="K1395" s="64">
        <f>IFERROR(INDEX('1. Matriz de Activos'!$Q$6:$Q$239,MATCH($C1395,MgActId,0)),"")</f>
        <v/>
      </c>
      <c r="L1395" s="64">
        <f>IFERROR(INDEX('1. Matriz de Activos'!$R$6:$R$239,MATCH($C1395,MgActId,0)),"")</f>
        <v/>
      </c>
      <c r="M1395" s="64">
        <f>IFERROR(INDEX('1. Matriz de Activos'!$S$6:$S$239,MATCH($C1395,MgActId,0)),"")</f>
        <v/>
      </c>
      <c r="N1395" s="28">
        <f>IFERROR(INDEX(MgAmenDegD,MATCH(SUBSTITUTE($H1395,"*","-"),MgAmenClave,0)),"No aplica")</f>
        <v/>
      </c>
      <c r="O1395" s="28">
        <f>IFERROR(INDEX(MgAmenDegI,MATCH(SUBSTITUTE($H1395,"*","-"),MgAmenClave,0)),"No aplica")</f>
        <v/>
      </c>
      <c r="P1395" s="28">
        <f>IFERROR(INDEX(MgAmenDegC,MATCH(SUBSTITUTE($H1395,"*","-"),MgAmenClave,0)),"No aplica")</f>
        <v/>
      </c>
      <c r="Q1395" s="29">
        <f>IFERROR(VLOOKUP(K1395,MgValor,2,0)*VLOOKUP(N1395,MgDeg,2,0),0)</f>
        <v/>
      </c>
      <c r="R1395" s="29">
        <f>IFERROR(VLOOKUP(L1395,MgValor,2,0)*VLOOKUP(O1395,MgDeg,2,0),0)</f>
        <v/>
      </c>
      <c r="S1395" s="29">
        <f>IFERROR(VLOOKUP(M1395,MgValor,2,0)*VLOOKUP(P1395,MgDeg,2,0),0)</f>
        <v/>
      </c>
      <c r="T1395" s="30">
        <f>MAX(Q1395:S1395)</f>
        <v/>
      </c>
      <c r="U1395" s="28">
        <f>IFERROR(LOOKUP(T1395,{0;0.5;1.5;3;4.5},{"Despreciable";"Bajo";"Medio";"Alto";"Muy alto"}),"")</f>
        <v/>
      </c>
      <c r="V1395" s="13">
        <f>IFERROR(INDEX(MgAmenFrec,MATCH(SUBSTITUTE($H1395,"*","-"),MgAmenClave,0)),"")</f>
        <v/>
      </c>
      <c r="W1395" s="28">
        <f>IFERROR(LOOKUP(X1395,{0;0.01;0.1;1;10;100},{"Muy baja";"Muy baja";"Baja";"Media";"Alta";"Muy alta"}),"")</f>
        <v/>
      </c>
      <c r="X1395" s="31">
        <f>IFERROR(VLOOKUP(V1395,MgFrec,2,0),0)</f>
        <v/>
      </c>
      <c r="Y1395" s="30">
        <f>T1395*X1395</f>
        <v/>
      </c>
      <c r="Z1395" s="28">
        <f>IFERROR(LOOKUP(Y1395,{0;0.5;5;25},{"Bajo";"Medio";"Alto";"Crítico"}),"")</f>
        <v/>
      </c>
      <c r="AA1395" s="64">
        <f>IF(T1395&gt;=3,IF(X1395&gt;=1,"Zona 1 — Crítica: impacto alto y ocurre al menos una vez al año","Zona 4 — Catastrófica poco probable: impacto alto pero excepcional"),IF(AND(T1395&lt;1.5,X1395&lt;1),"Zona 3 — Asumible: impacto bajo y muy poco frecuente","Zona 2 — Atención: riesgo intermedio"))</f>
        <v/>
      </c>
      <c r="AB1395" s="64">
        <f>IFERROR(INDEX(MgAmenCtrl,MATCH(SUBSTITUTE($H1395,"*","-"),MgAmenClave,0)),"")</f>
        <v/>
      </c>
      <c r="AC1395" s="20" t="n"/>
      <c r="AD1395" s="31">
        <f>IFERROR($X1395*(1-IF($AC1395="",$AL1395,VLOOKUP($AC1395,MgMad,2,0))),"")</f>
        <v/>
      </c>
      <c r="AE1395" s="28">
        <f>IFERROR(LOOKUP(AD1395,{0;0.01;0.1;1;10;100},{"Muy baja";"Muy baja";"Baja";"Media";"Alta";"Muy alta"}),"")</f>
        <v/>
      </c>
      <c r="AF1395" s="30">
        <f>T1395*AD1395</f>
        <v/>
      </c>
      <c r="AG1395" s="28">
        <f>IFERROR(LOOKUP(AF1395,{0;0.5;5;25},{"Bajo";"Medio";"Alto";"Crítico"}),"")</f>
        <v/>
      </c>
      <c r="AH1395" s="28">
        <f>IF(AG1395="","",IF(OR(AG1395="Crítico",AG1395="Alto"),"Mitigar",IF(AG1395="Medio","Mitigar","Aceptar y monitorear")))</f>
        <v/>
      </c>
      <c r="AI1395" s="21" t="n"/>
      <c r="AJ1395" s="21" t="n"/>
      <c r="AK1395" s="20" t="n"/>
      <c r="AL1395" s="77">
        <f>IFERROR(INDEX(MgAmenEfic,MATCH(SUBSTITUTE($H1395,"*","-"),MgAmenClave,0)),0)</f>
        <v/>
      </c>
    </row>
    <row r="1396" hidden="1" ht="60" customHeight="1" s="54">
      <c r="B1396" s="59" t="inlineStr">
        <is>
          <t>R-1391</t>
        </is>
      </c>
      <c r="C1396" s="59" t="inlineStr">
        <is>
          <t>GH-040</t>
        </is>
      </c>
      <c r="D1396" s="64">
        <f>IFERROR(INDEX(MgNombre,MATCH($C1396,MgActId,0)),"")</f>
        <v/>
      </c>
      <c r="E1396" s="64">
        <f>IFERROR(INDEX(MgProceso,MATCH($C1396,MgActId,0)),"")</f>
        <v/>
      </c>
      <c r="F1396" s="64">
        <f>IFERROR(INDEX(MgTipo,MATCH($C1396,MgActId,0)),"")</f>
        <v/>
      </c>
      <c r="G1396" s="64">
        <f>IFERROR(INDEX(MgSubtipo,MATCH($C1396,MgActId,0)),"")</f>
        <v/>
      </c>
      <c r="H1396" s="59" t="inlineStr">
        <is>
          <t>A.3</t>
        </is>
      </c>
      <c r="I1396" s="64">
        <f>IFERROR(INDEX(MgAmenNombre,MATCH(SUBSTITUTE($H1396,"*","-"),MgAmenClave,0)),"")</f>
        <v/>
      </c>
      <c r="J1396" s="28">
        <f>IFERROR(INDEX(MgAmenGrupo,MATCH(SUBSTITUTE($H1396,"*","-"),MgAmenClave,0)),"")</f>
        <v/>
      </c>
      <c r="K1396" s="64">
        <f>IFERROR(INDEX('1. Matriz de Activos'!$Q$6:$Q$239,MATCH($C1396,MgActId,0)),"")</f>
        <v/>
      </c>
      <c r="L1396" s="64">
        <f>IFERROR(INDEX('1. Matriz de Activos'!$R$6:$R$239,MATCH($C1396,MgActId,0)),"")</f>
        <v/>
      </c>
      <c r="M1396" s="64">
        <f>IFERROR(INDEX('1. Matriz de Activos'!$S$6:$S$239,MATCH($C1396,MgActId,0)),"")</f>
        <v/>
      </c>
      <c r="N1396" s="28">
        <f>IFERROR(INDEX(MgAmenDegD,MATCH(SUBSTITUTE($H1396,"*","-"),MgAmenClave,0)),"No aplica")</f>
        <v/>
      </c>
      <c r="O1396" s="28">
        <f>IFERROR(INDEX(MgAmenDegI,MATCH(SUBSTITUTE($H1396,"*","-"),MgAmenClave,0)),"No aplica")</f>
        <v/>
      </c>
      <c r="P1396" s="28">
        <f>IFERROR(INDEX(MgAmenDegC,MATCH(SUBSTITUTE($H1396,"*","-"),MgAmenClave,0)),"No aplica")</f>
        <v/>
      </c>
      <c r="Q1396" s="29">
        <f>IFERROR(VLOOKUP(K1396,MgValor,2,0)*VLOOKUP(N1396,MgDeg,2,0),0)</f>
        <v/>
      </c>
      <c r="R1396" s="29">
        <f>IFERROR(VLOOKUP(L1396,MgValor,2,0)*VLOOKUP(O1396,MgDeg,2,0),0)</f>
        <v/>
      </c>
      <c r="S1396" s="29">
        <f>IFERROR(VLOOKUP(M1396,MgValor,2,0)*VLOOKUP(P1396,MgDeg,2,0),0)</f>
        <v/>
      </c>
      <c r="T1396" s="30">
        <f>MAX(Q1396:S1396)</f>
        <v/>
      </c>
      <c r="U1396" s="28">
        <f>IFERROR(LOOKUP(T1396,{0;0.5;1.5;3;4.5},{"Despreciable";"Bajo";"Medio";"Alto";"Muy alto"}),"")</f>
        <v/>
      </c>
      <c r="V1396" s="13">
        <f>IFERROR(INDEX(MgAmenFrec,MATCH(SUBSTITUTE($H1396,"*","-"),MgAmenClave,0)),"")</f>
        <v/>
      </c>
      <c r="W1396" s="28">
        <f>IFERROR(LOOKUP(X1396,{0;0.01;0.1;1;10;100},{"Muy baja";"Muy baja";"Baja";"Media";"Alta";"Muy alta"}),"")</f>
        <v/>
      </c>
      <c r="X1396" s="31">
        <f>IFERROR(VLOOKUP(V1396,MgFrec,2,0),0)</f>
        <v/>
      </c>
      <c r="Y1396" s="30">
        <f>T1396*X1396</f>
        <v/>
      </c>
      <c r="Z1396" s="28">
        <f>IFERROR(LOOKUP(Y1396,{0;0.5;5;25},{"Bajo";"Medio";"Alto";"Crítico"}),"")</f>
        <v/>
      </c>
      <c r="AA1396" s="64">
        <f>IF(T1396&gt;=3,IF(X1396&gt;=1,"Zona 1 — Crítica: impacto alto y ocurre al menos una vez al año","Zona 4 — Catastrófica poco probable: impacto alto pero excepcional"),IF(AND(T1396&lt;1.5,X1396&lt;1),"Zona 3 — Asumible: impacto bajo y muy poco frecuente","Zona 2 — Atención: riesgo intermedio"))</f>
        <v/>
      </c>
      <c r="AB1396" s="64">
        <f>IFERROR(INDEX(MgAmenCtrl,MATCH(SUBSTITUTE($H1396,"*","-"),MgAmenClave,0)),"")</f>
        <v/>
      </c>
      <c r="AC1396" s="20" t="n"/>
      <c r="AD1396" s="31">
        <f>IFERROR($X1396*(1-IF($AC1396="",$AL1396,VLOOKUP($AC1396,MgMad,2,0))),"")</f>
        <v/>
      </c>
      <c r="AE1396" s="28">
        <f>IFERROR(LOOKUP(AD1396,{0;0.01;0.1;1;10;100},{"Muy baja";"Muy baja";"Baja";"Media";"Alta";"Muy alta"}),"")</f>
        <v/>
      </c>
      <c r="AF1396" s="30">
        <f>T1396*AD1396</f>
        <v/>
      </c>
      <c r="AG1396" s="28">
        <f>IFERROR(LOOKUP(AF1396,{0;0.5;5;25},{"Bajo";"Medio";"Alto";"Crítico"}),"")</f>
        <v/>
      </c>
      <c r="AH1396" s="28">
        <f>IF(AG1396="","",IF(OR(AG1396="Crítico",AG1396="Alto"),"Mitigar",IF(AG1396="Medio","Mitigar","Aceptar y monitorear")))</f>
        <v/>
      </c>
      <c r="AI1396" s="21" t="n"/>
      <c r="AJ1396" s="21" t="n"/>
      <c r="AK1396" s="20" t="n"/>
      <c r="AL1396" s="77">
        <f>IFERROR(INDEX(MgAmenEfic,MATCH(SUBSTITUTE($H1396,"*","-"),MgAmenClave,0)),0)</f>
        <v/>
      </c>
    </row>
    <row r="1397" hidden="1" ht="60" customHeight="1" s="54">
      <c r="B1397" s="59" t="inlineStr">
        <is>
          <t>R-1392</t>
        </is>
      </c>
      <c r="C1397" s="59" t="inlineStr">
        <is>
          <t>GH-040</t>
        </is>
      </c>
      <c r="D1397" s="64">
        <f>IFERROR(INDEX(MgNombre,MATCH($C1397,MgActId,0)),"")</f>
        <v/>
      </c>
      <c r="E1397" s="64">
        <f>IFERROR(INDEX(MgProceso,MATCH($C1397,MgActId,0)),"")</f>
        <v/>
      </c>
      <c r="F1397" s="64">
        <f>IFERROR(INDEX(MgTipo,MATCH($C1397,MgActId,0)),"")</f>
        <v/>
      </c>
      <c r="G1397" s="64">
        <f>IFERROR(INDEX(MgSubtipo,MATCH($C1397,MgActId,0)),"")</f>
        <v/>
      </c>
      <c r="H1397" s="59" t="inlineStr">
        <is>
          <t>A.4</t>
        </is>
      </c>
      <c r="I1397" s="64">
        <f>IFERROR(INDEX(MgAmenNombre,MATCH(SUBSTITUTE($H1397,"*","-"),MgAmenClave,0)),"")</f>
        <v/>
      </c>
      <c r="J1397" s="28">
        <f>IFERROR(INDEX(MgAmenGrupo,MATCH(SUBSTITUTE($H1397,"*","-"),MgAmenClave,0)),"")</f>
        <v/>
      </c>
      <c r="K1397" s="64">
        <f>IFERROR(INDEX('1. Matriz de Activos'!$Q$6:$Q$239,MATCH($C1397,MgActId,0)),"")</f>
        <v/>
      </c>
      <c r="L1397" s="64">
        <f>IFERROR(INDEX('1. Matriz de Activos'!$R$6:$R$239,MATCH($C1397,MgActId,0)),"")</f>
        <v/>
      </c>
      <c r="M1397" s="64">
        <f>IFERROR(INDEX('1. Matriz de Activos'!$S$6:$S$239,MATCH($C1397,MgActId,0)),"")</f>
        <v/>
      </c>
      <c r="N1397" s="28">
        <f>IFERROR(INDEX(MgAmenDegD,MATCH(SUBSTITUTE($H1397,"*","-"),MgAmenClave,0)),"No aplica")</f>
        <v/>
      </c>
      <c r="O1397" s="28">
        <f>IFERROR(INDEX(MgAmenDegI,MATCH(SUBSTITUTE($H1397,"*","-"),MgAmenClave,0)),"No aplica")</f>
        <v/>
      </c>
      <c r="P1397" s="28">
        <f>IFERROR(INDEX(MgAmenDegC,MATCH(SUBSTITUTE($H1397,"*","-"),MgAmenClave,0)),"No aplica")</f>
        <v/>
      </c>
      <c r="Q1397" s="29">
        <f>IFERROR(VLOOKUP(K1397,MgValor,2,0)*VLOOKUP(N1397,MgDeg,2,0),0)</f>
        <v/>
      </c>
      <c r="R1397" s="29">
        <f>IFERROR(VLOOKUP(L1397,MgValor,2,0)*VLOOKUP(O1397,MgDeg,2,0),0)</f>
        <v/>
      </c>
      <c r="S1397" s="29">
        <f>IFERROR(VLOOKUP(M1397,MgValor,2,0)*VLOOKUP(P1397,MgDeg,2,0),0)</f>
        <v/>
      </c>
      <c r="T1397" s="30">
        <f>MAX(Q1397:S1397)</f>
        <v/>
      </c>
      <c r="U1397" s="28">
        <f>IFERROR(LOOKUP(T1397,{0;0.5;1.5;3;4.5},{"Despreciable";"Bajo";"Medio";"Alto";"Muy alto"}),"")</f>
        <v/>
      </c>
      <c r="V1397" s="13">
        <f>IFERROR(INDEX(MgAmenFrec,MATCH(SUBSTITUTE($H1397,"*","-"),MgAmenClave,0)),"")</f>
        <v/>
      </c>
      <c r="W1397" s="28">
        <f>IFERROR(LOOKUP(X1397,{0;0.01;0.1;1;10;100},{"Muy baja";"Muy baja";"Baja";"Media";"Alta";"Muy alta"}),"")</f>
        <v/>
      </c>
      <c r="X1397" s="31">
        <f>IFERROR(VLOOKUP(V1397,MgFrec,2,0),0)</f>
        <v/>
      </c>
      <c r="Y1397" s="30">
        <f>T1397*X1397</f>
        <v/>
      </c>
      <c r="Z1397" s="28">
        <f>IFERROR(LOOKUP(Y1397,{0;0.5;5;25},{"Bajo";"Medio";"Alto";"Crítico"}),"")</f>
        <v/>
      </c>
      <c r="AA1397" s="64">
        <f>IF(T1397&gt;=3,IF(X1397&gt;=1,"Zona 1 — Crítica: impacto alto y ocurre al menos una vez al año","Zona 4 — Catastrófica poco probable: impacto alto pero excepcional"),IF(AND(T1397&lt;1.5,X1397&lt;1),"Zona 3 — Asumible: impacto bajo y muy poco frecuente","Zona 2 — Atención: riesgo intermedio"))</f>
        <v/>
      </c>
      <c r="AB1397" s="64">
        <f>IFERROR(INDEX(MgAmenCtrl,MATCH(SUBSTITUTE($H1397,"*","-"),MgAmenClave,0)),"")</f>
        <v/>
      </c>
      <c r="AC1397" s="20" t="n"/>
      <c r="AD1397" s="31">
        <f>IFERROR($X1397*(1-IF($AC1397="",$AL1397,VLOOKUP($AC1397,MgMad,2,0))),"")</f>
        <v/>
      </c>
      <c r="AE1397" s="28">
        <f>IFERROR(LOOKUP(AD1397,{0;0.01;0.1;1;10;100},{"Muy baja";"Muy baja";"Baja";"Media";"Alta";"Muy alta"}),"")</f>
        <v/>
      </c>
      <c r="AF1397" s="30">
        <f>T1397*AD1397</f>
        <v/>
      </c>
      <c r="AG1397" s="28">
        <f>IFERROR(LOOKUP(AF1397,{0;0.5;5;25},{"Bajo";"Medio";"Alto";"Crítico"}),"")</f>
        <v/>
      </c>
      <c r="AH1397" s="28">
        <f>IF(AG1397="","",IF(OR(AG1397="Crítico",AG1397="Alto"),"Mitigar",IF(AG1397="Medio","Mitigar","Aceptar y monitorear")))</f>
        <v/>
      </c>
      <c r="AI1397" s="21" t="n"/>
      <c r="AJ1397" s="21" t="n"/>
      <c r="AK1397" s="20" t="n"/>
      <c r="AL1397" s="77">
        <f>IFERROR(INDEX(MgAmenEfic,MATCH(SUBSTITUTE($H1397,"*","-"),MgAmenClave,0)),0)</f>
        <v/>
      </c>
    </row>
    <row r="1398" hidden="1" ht="75" customHeight="1" s="54">
      <c r="B1398" s="59" t="inlineStr">
        <is>
          <t>R-1393</t>
        </is>
      </c>
      <c r="C1398" s="59" t="inlineStr">
        <is>
          <t>GH-040</t>
        </is>
      </c>
      <c r="D1398" s="64">
        <f>IFERROR(INDEX(MgNombre,MATCH($C1398,MgActId,0)),"")</f>
        <v/>
      </c>
      <c r="E1398" s="64">
        <f>IFERROR(INDEX(MgProceso,MATCH($C1398,MgActId,0)),"")</f>
        <v/>
      </c>
      <c r="F1398" s="64">
        <f>IFERROR(INDEX(MgTipo,MATCH($C1398,MgActId,0)),"")</f>
        <v/>
      </c>
      <c r="G1398" s="64">
        <f>IFERROR(INDEX(MgSubtipo,MATCH($C1398,MgActId,0)),"")</f>
        <v/>
      </c>
      <c r="H1398" s="59" t="inlineStr">
        <is>
          <t>A.5</t>
        </is>
      </c>
      <c r="I1398" s="64">
        <f>IFERROR(INDEX(MgAmenNombre,MATCH(SUBSTITUTE($H1398,"*","-"),MgAmenClave,0)),"")</f>
        <v/>
      </c>
      <c r="J1398" s="28">
        <f>IFERROR(INDEX(MgAmenGrupo,MATCH(SUBSTITUTE($H1398,"*","-"),MgAmenClave,0)),"")</f>
        <v/>
      </c>
      <c r="K1398" s="64">
        <f>IFERROR(INDEX('1. Matriz de Activos'!$Q$6:$Q$239,MATCH($C1398,MgActId,0)),"")</f>
        <v/>
      </c>
      <c r="L1398" s="64">
        <f>IFERROR(INDEX('1. Matriz de Activos'!$R$6:$R$239,MATCH($C1398,MgActId,0)),"")</f>
        <v/>
      </c>
      <c r="M1398" s="64">
        <f>IFERROR(INDEX('1. Matriz de Activos'!$S$6:$S$239,MATCH($C1398,MgActId,0)),"")</f>
        <v/>
      </c>
      <c r="N1398" s="28">
        <f>IFERROR(INDEX(MgAmenDegD,MATCH(SUBSTITUTE($H1398,"*","-"),MgAmenClave,0)),"No aplica")</f>
        <v/>
      </c>
      <c r="O1398" s="28">
        <f>IFERROR(INDEX(MgAmenDegI,MATCH(SUBSTITUTE($H1398,"*","-"),MgAmenClave,0)),"No aplica")</f>
        <v/>
      </c>
      <c r="P1398" s="28">
        <f>IFERROR(INDEX(MgAmenDegC,MATCH(SUBSTITUTE($H1398,"*","-"),MgAmenClave,0)),"No aplica")</f>
        <v/>
      </c>
      <c r="Q1398" s="29">
        <f>IFERROR(VLOOKUP(K1398,MgValor,2,0)*VLOOKUP(N1398,MgDeg,2,0),0)</f>
        <v/>
      </c>
      <c r="R1398" s="29">
        <f>IFERROR(VLOOKUP(L1398,MgValor,2,0)*VLOOKUP(O1398,MgDeg,2,0),0)</f>
        <v/>
      </c>
      <c r="S1398" s="29">
        <f>IFERROR(VLOOKUP(M1398,MgValor,2,0)*VLOOKUP(P1398,MgDeg,2,0),0)</f>
        <v/>
      </c>
      <c r="T1398" s="30">
        <f>MAX(Q1398:S1398)</f>
        <v/>
      </c>
      <c r="U1398" s="28">
        <f>IFERROR(LOOKUP(T1398,{0;0.5;1.5;3;4.5},{"Despreciable";"Bajo";"Medio";"Alto";"Muy alto"}),"")</f>
        <v/>
      </c>
      <c r="V1398" s="13">
        <f>IFERROR(INDEX(MgAmenFrec,MATCH(SUBSTITUTE($H1398,"*","-"),MgAmenClave,0)),"")</f>
        <v/>
      </c>
      <c r="W1398" s="28">
        <f>IFERROR(LOOKUP(X1398,{0;0.01;0.1;1;10;100},{"Muy baja";"Muy baja";"Baja";"Media";"Alta";"Muy alta"}),"")</f>
        <v/>
      </c>
      <c r="X1398" s="31">
        <f>IFERROR(VLOOKUP(V1398,MgFrec,2,0),0)</f>
        <v/>
      </c>
      <c r="Y1398" s="30">
        <f>T1398*X1398</f>
        <v/>
      </c>
      <c r="Z1398" s="28">
        <f>IFERROR(LOOKUP(Y1398,{0;0.5;5;25},{"Bajo";"Medio";"Alto";"Crítico"}),"")</f>
        <v/>
      </c>
      <c r="AA1398" s="64">
        <f>IF(T1398&gt;=3,IF(X1398&gt;=1,"Zona 1 — Crítica: impacto alto y ocurre al menos una vez al año","Zona 4 — Catastrófica poco probable: impacto alto pero excepcional"),IF(AND(T1398&lt;1.5,X1398&lt;1),"Zona 3 — Asumible: impacto bajo y muy poco frecuente","Zona 2 — Atención: riesgo intermedio"))</f>
        <v/>
      </c>
      <c r="AB1398" s="64">
        <f>IFERROR(INDEX(MgAmenCtrl,MATCH(SUBSTITUTE($H1398,"*","-"),MgAmenClave,0)),"")</f>
        <v/>
      </c>
      <c r="AC1398" s="20" t="n"/>
      <c r="AD1398" s="31">
        <f>IFERROR($X1398*(1-IF($AC1398="",$AL1398,VLOOKUP($AC1398,MgMad,2,0))),"")</f>
        <v/>
      </c>
      <c r="AE1398" s="28">
        <f>IFERROR(LOOKUP(AD1398,{0;0.01;0.1;1;10;100},{"Muy baja";"Muy baja";"Baja";"Media";"Alta";"Muy alta"}),"")</f>
        <v/>
      </c>
      <c r="AF1398" s="30">
        <f>T1398*AD1398</f>
        <v/>
      </c>
      <c r="AG1398" s="28">
        <f>IFERROR(LOOKUP(AF1398,{0;0.5;5;25},{"Bajo";"Medio";"Alto";"Crítico"}),"")</f>
        <v/>
      </c>
      <c r="AH1398" s="28">
        <f>IF(AG1398="","",IF(OR(AG1398="Crítico",AG1398="Alto"),"Mitigar",IF(AG1398="Medio","Mitigar","Aceptar y monitorear")))</f>
        <v/>
      </c>
      <c r="AI1398" s="21" t="n"/>
      <c r="AJ1398" s="21" t="n"/>
      <c r="AK1398" s="20" t="n"/>
      <c r="AL1398" s="77">
        <f>IFERROR(INDEX(MgAmenEfic,MATCH(SUBSTITUTE($H1398,"*","-"),MgAmenClave,0)),0)</f>
        <v/>
      </c>
    </row>
    <row r="1399" hidden="1" ht="105" customHeight="1" s="54">
      <c r="B1399" s="59" t="inlineStr">
        <is>
          <t>R-1394</t>
        </is>
      </c>
      <c r="C1399" s="59" t="inlineStr">
        <is>
          <t>GH-040</t>
        </is>
      </c>
      <c r="D1399" s="64">
        <f>IFERROR(INDEX(MgNombre,MATCH($C1399,MgActId,0)),"")</f>
        <v/>
      </c>
      <c r="E1399" s="64">
        <f>IFERROR(INDEX(MgProceso,MATCH($C1399,MgActId,0)),"")</f>
        <v/>
      </c>
      <c r="F1399" s="64">
        <f>IFERROR(INDEX(MgTipo,MATCH($C1399,MgActId,0)),"")</f>
        <v/>
      </c>
      <c r="G1399" s="64">
        <f>IFERROR(INDEX(MgSubtipo,MATCH($C1399,MgActId,0)),"")</f>
        <v/>
      </c>
      <c r="H1399" s="59" t="inlineStr">
        <is>
          <t>A.6</t>
        </is>
      </c>
      <c r="I1399" s="64">
        <f>IFERROR(INDEX(MgAmenNombre,MATCH(SUBSTITUTE($H1399,"*","-"),MgAmenClave,0)),"")</f>
        <v/>
      </c>
      <c r="J1399" s="28">
        <f>IFERROR(INDEX(MgAmenGrupo,MATCH(SUBSTITUTE($H1399,"*","-"),MgAmenClave,0)),"")</f>
        <v/>
      </c>
      <c r="K1399" s="64">
        <f>IFERROR(INDEX('1. Matriz de Activos'!$Q$6:$Q$239,MATCH($C1399,MgActId,0)),"")</f>
        <v/>
      </c>
      <c r="L1399" s="64">
        <f>IFERROR(INDEX('1. Matriz de Activos'!$R$6:$R$239,MATCH($C1399,MgActId,0)),"")</f>
        <v/>
      </c>
      <c r="M1399" s="64">
        <f>IFERROR(INDEX('1. Matriz de Activos'!$S$6:$S$239,MATCH($C1399,MgActId,0)),"")</f>
        <v/>
      </c>
      <c r="N1399" s="28">
        <f>IFERROR(INDEX(MgAmenDegD,MATCH(SUBSTITUTE($H1399,"*","-"),MgAmenClave,0)),"No aplica")</f>
        <v/>
      </c>
      <c r="O1399" s="28">
        <f>IFERROR(INDEX(MgAmenDegI,MATCH(SUBSTITUTE($H1399,"*","-"),MgAmenClave,0)),"No aplica")</f>
        <v/>
      </c>
      <c r="P1399" s="28">
        <f>IFERROR(INDEX(MgAmenDegC,MATCH(SUBSTITUTE($H1399,"*","-"),MgAmenClave,0)),"No aplica")</f>
        <v/>
      </c>
      <c r="Q1399" s="29">
        <f>IFERROR(VLOOKUP(K1399,MgValor,2,0)*VLOOKUP(N1399,MgDeg,2,0),0)</f>
        <v/>
      </c>
      <c r="R1399" s="29">
        <f>IFERROR(VLOOKUP(L1399,MgValor,2,0)*VLOOKUP(O1399,MgDeg,2,0),0)</f>
        <v/>
      </c>
      <c r="S1399" s="29">
        <f>IFERROR(VLOOKUP(M1399,MgValor,2,0)*VLOOKUP(P1399,MgDeg,2,0),0)</f>
        <v/>
      </c>
      <c r="T1399" s="30">
        <f>MAX(Q1399:S1399)</f>
        <v/>
      </c>
      <c r="U1399" s="28">
        <f>IFERROR(LOOKUP(T1399,{0;0.5;1.5;3;4.5},{"Despreciable";"Bajo";"Medio";"Alto";"Muy alto"}),"")</f>
        <v/>
      </c>
      <c r="V1399" s="13">
        <f>IFERROR(INDEX(MgAmenFrec,MATCH(SUBSTITUTE($H1399,"*","-"),MgAmenClave,0)),"")</f>
        <v/>
      </c>
      <c r="W1399" s="28">
        <f>IFERROR(LOOKUP(X1399,{0;0.01;0.1;1;10;100},{"Muy baja";"Muy baja";"Baja";"Media";"Alta";"Muy alta"}),"")</f>
        <v/>
      </c>
      <c r="X1399" s="31">
        <f>IFERROR(VLOOKUP(V1399,MgFrec,2,0),0)</f>
        <v/>
      </c>
      <c r="Y1399" s="30">
        <f>T1399*X1399</f>
        <v/>
      </c>
      <c r="Z1399" s="28">
        <f>IFERROR(LOOKUP(Y1399,{0;0.5;5;25},{"Bajo";"Medio";"Alto";"Crítico"}),"")</f>
        <v/>
      </c>
      <c r="AA1399" s="64">
        <f>IF(T1399&gt;=3,IF(X1399&gt;=1,"Zona 1 — Crítica: impacto alto y ocurre al menos una vez al año","Zona 4 — Catastrófica poco probable: impacto alto pero excepcional"),IF(AND(T1399&lt;1.5,X1399&lt;1),"Zona 3 — Asumible: impacto bajo y muy poco frecuente","Zona 2 — Atención: riesgo intermedio"))</f>
        <v/>
      </c>
      <c r="AB1399" s="64">
        <f>IFERROR(INDEX(MgAmenCtrl,MATCH(SUBSTITUTE($H1399,"*","-"),MgAmenClave,0)),"")</f>
        <v/>
      </c>
      <c r="AC1399" s="20" t="n"/>
      <c r="AD1399" s="31">
        <f>IFERROR($X1399*(1-IF($AC1399="",$AL1399,VLOOKUP($AC1399,MgMad,2,0))),"")</f>
        <v/>
      </c>
      <c r="AE1399" s="28">
        <f>IFERROR(LOOKUP(AD1399,{0;0.01;0.1;1;10;100},{"Muy baja";"Muy baja";"Baja";"Media";"Alta";"Muy alta"}),"")</f>
        <v/>
      </c>
      <c r="AF1399" s="30">
        <f>T1399*AD1399</f>
        <v/>
      </c>
      <c r="AG1399" s="28">
        <f>IFERROR(LOOKUP(AF1399,{0;0.5;5;25},{"Bajo";"Medio";"Alto";"Crítico"}),"")</f>
        <v/>
      </c>
      <c r="AH1399" s="28">
        <f>IF(AG1399="","",IF(OR(AG1399="Crítico",AG1399="Alto"),"Mitigar",IF(AG1399="Medio","Mitigar","Aceptar y monitorear")))</f>
        <v/>
      </c>
      <c r="AI1399" s="21" t="n"/>
      <c r="AJ1399" s="21" t="n"/>
      <c r="AK1399" s="20" t="n"/>
      <c r="AL1399" s="77">
        <f>IFERROR(INDEX(MgAmenEfic,MATCH(SUBSTITUTE($H1399,"*","-"),MgAmenClave,0)),0)</f>
        <v/>
      </c>
    </row>
    <row r="1400" hidden="1" ht="120" customHeight="1" s="54">
      <c r="B1400" s="59" t="inlineStr">
        <is>
          <t>R-1395</t>
        </is>
      </c>
      <c r="C1400" s="59" t="inlineStr">
        <is>
          <t>GH-040</t>
        </is>
      </c>
      <c r="D1400" s="64">
        <f>IFERROR(INDEX(MgNombre,MATCH($C1400,MgActId,0)),"")</f>
        <v/>
      </c>
      <c r="E1400" s="64">
        <f>IFERROR(INDEX(MgProceso,MATCH($C1400,MgActId,0)),"")</f>
        <v/>
      </c>
      <c r="F1400" s="64">
        <f>IFERROR(INDEX(MgTipo,MATCH($C1400,MgActId,0)),"")</f>
        <v/>
      </c>
      <c r="G1400" s="64">
        <f>IFERROR(INDEX(MgSubtipo,MATCH($C1400,MgActId,0)),"")</f>
        <v/>
      </c>
      <c r="H1400" s="59" t="inlineStr">
        <is>
          <t>A.11</t>
        </is>
      </c>
      <c r="I1400" s="64">
        <f>IFERROR(INDEX(MgAmenNombre,MATCH(SUBSTITUTE($H1400,"*","-"),MgAmenClave,0)),"")</f>
        <v/>
      </c>
      <c r="J1400" s="28">
        <f>IFERROR(INDEX(MgAmenGrupo,MATCH(SUBSTITUTE($H1400,"*","-"),MgAmenClave,0)),"")</f>
        <v/>
      </c>
      <c r="K1400" s="64">
        <f>IFERROR(INDEX('1. Matriz de Activos'!$Q$6:$Q$239,MATCH($C1400,MgActId,0)),"")</f>
        <v/>
      </c>
      <c r="L1400" s="64">
        <f>IFERROR(INDEX('1. Matriz de Activos'!$R$6:$R$239,MATCH($C1400,MgActId,0)),"")</f>
        <v/>
      </c>
      <c r="M1400" s="64">
        <f>IFERROR(INDEX('1. Matriz de Activos'!$S$6:$S$239,MATCH($C1400,MgActId,0)),"")</f>
        <v/>
      </c>
      <c r="N1400" s="28">
        <f>IFERROR(INDEX(MgAmenDegD,MATCH(SUBSTITUTE($H1400,"*","-"),MgAmenClave,0)),"No aplica")</f>
        <v/>
      </c>
      <c r="O1400" s="28">
        <f>IFERROR(INDEX(MgAmenDegI,MATCH(SUBSTITUTE($H1400,"*","-"),MgAmenClave,0)),"No aplica")</f>
        <v/>
      </c>
      <c r="P1400" s="28">
        <f>IFERROR(INDEX(MgAmenDegC,MATCH(SUBSTITUTE($H1400,"*","-"),MgAmenClave,0)),"No aplica")</f>
        <v/>
      </c>
      <c r="Q1400" s="29">
        <f>IFERROR(VLOOKUP(K1400,MgValor,2,0)*VLOOKUP(N1400,MgDeg,2,0),0)</f>
        <v/>
      </c>
      <c r="R1400" s="29">
        <f>IFERROR(VLOOKUP(L1400,MgValor,2,0)*VLOOKUP(O1400,MgDeg,2,0),0)</f>
        <v/>
      </c>
      <c r="S1400" s="29">
        <f>IFERROR(VLOOKUP(M1400,MgValor,2,0)*VLOOKUP(P1400,MgDeg,2,0),0)</f>
        <v/>
      </c>
      <c r="T1400" s="30">
        <f>MAX(Q1400:S1400)</f>
        <v/>
      </c>
      <c r="U1400" s="28">
        <f>IFERROR(LOOKUP(T1400,{0;0.5;1.5;3;4.5},{"Despreciable";"Bajo";"Medio";"Alto";"Muy alto"}),"")</f>
        <v/>
      </c>
      <c r="V1400" s="13">
        <f>IFERROR(INDEX(MgAmenFrec,MATCH(SUBSTITUTE($H1400,"*","-"),MgAmenClave,0)),"")</f>
        <v/>
      </c>
      <c r="W1400" s="28">
        <f>IFERROR(LOOKUP(X1400,{0;0.01;0.1;1;10;100},{"Muy baja";"Muy baja";"Baja";"Media";"Alta";"Muy alta"}),"")</f>
        <v/>
      </c>
      <c r="X1400" s="31">
        <f>IFERROR(VLOOKUP(V1400,MgFrec,2,0),0)</f>
        <v/>
      </c>
      <c r="Y1400" s="30">
        <f>T1400*X1400</f>
        <v/>
      </c>
      <c r="Z1400" s="28">
        <f>IFERROR(LOOKUP(Y1400,{0;0.5;5;25},{"Bajo";"Medio";"Alto";"Crítico"}),"")</f>
        <v/>
      </c>
      <c r="AA1400" s="64">
        <f>IF(T1400&gt;=3,IF(X1400&gt;=1,"Zona 1 — Crítica: impacto alto y ocurre al menos una vez al año","Zona 4 — Catastrófica poco probable: impacto alto pero excepcional"),IF(AND(T1400&lt;1.5,X1400&lt;1),"Zona 3 — Asumible: impacto bajo y muy poco frecuente","Zona 2 — Atención: riesgo intermedio"))</f>
        <v/>
      </c>
      <c r="AB1400" s="64">
        <f>IFERROR(INDEX(MgAmenCtrl,MATCH(SUBSTITUTE($H1400,"*","-"),MgAmenClave,0)),"")</f>
        <v/>
      </c>
      <c r="AC1400" s="20" t="n"/>
      <c r="AD1400" s="31">
        <f>IFERROR($X1400*(1-IF($AC1400="",$AL1400,VLOOKUP($AC1400,MgMad,2,0))),"")</f>
        <v/>
      </c>
      <c r="AE1400" s="28">
        <f>IFERROR(LOOKUP(AD1400,{0;0.01;0.1;1;10;100},{"Muy baja";"Muy baja";"Baja";"Media";"Alta";"Muy alta"}),"")</f>
        <v/>
      </c>
      <c r="AF1400" s="30">
        <f>T1400*AD1400</f>
        <v/>
      </c>
      <c r="AG1400" s="28">
        <f>IFERROR(LOOKUP(AF1400,{0;0.5;5;25},{"Bajo";"Medio";"Alto";"Crítico"}),"")</f>
        <v/>
      </c>
      <c r="AH1400" s="28">
        <f>IF(AG1400="","",IF(OR(AG1400="Crítico",AG1400="Alto"),"Mitigar",IF(AG1400="Medio","Mitigar","Aceptar y monitorear")))</f>
        <v/>
      </c>
      <c r="AI1400" s="21" t="n"/>
      <c r="AJ1400" s="21" t="n"/>
      <c r="AK1400" s="20" t="n"/>
      <c r="AL1400" s="77">
        <f>IFERROR(INDEX(MgAmenEfic,MATCH(SUBSTITUTE($H1400,"*","-"),MgAmenClave,0)),0)</f>
        <v/>
      </c>
    </row>
    <row r="1401" hidden="1" ht="90" customHeight="1" s="54">
      <c r="B1401" s="59" t="inlineStr">
        <is>
          <t>R-1396</t>
        </is>
      </c>
      <c r="C1401" s="59" t="inlineStr">
        <is>
          <t>GH-040</t>
        </is>
      </c>
      <c r="D1401" s="64">
        <f>IFERROR(INDEX(MgNombre,MATCH($C1401,MgActId,0)),"")</f>
        <v/>
      </c>
      <c r="E1401" s="64">
        <f>IFERROR(INDEX(MgProceso,MATCH($C1401,MgActId,0)),"")</f>
        <v/>
      </c>
      <c r="F1401" s="64">
        <f>IFERROR(INDEX(MgTipo,MATCH($C1401,MgActId,0)),"")</f>
        <v/>
      </c>
      <c r="G1401" s="64">
        <f>IFERROR(INDEX(MgSubtipo,MATCH($C1401,MgActId,0)),"")</f>
        <v/>
      </c>
      <c r="H1401" s="59" t="inlineStr">
        <is>
          <t>A.13</t>
        </is>
      </c>
      <c r="I1401" s="64">
        <f>IFERROR(INDEX(MgAmenNombre,MATCH(SUBSTITUTE($H1401,"*","-"),MgAmenClave,0)),"")</f>
        <v/>
      </c>
      <c r="J1401" s="28">
        <f>IFERROR(INDEX(MgAmenGrupo,MATCH(SUBSTITUTE($H1401,"*","-"),MgAmenClave,0)),"")</f>
        <v/>
      </c>
      <c r="K1401" s="64">
        <f>IFERROR(INDEX('1. Matriz de Activos'!$Q$6:$Q$239,MATCH($C1401,MgActId,0)),"")</f>
        <v/>
      </c>
      <c r="L1401" s="64">
        <f>IFERROR(INDEX('1. Matriz de Activos'!$R$6:$R$239,MATCH($C1401,MgActId,0)),"")</f>
        <v/>
      </c>
      <c r="M1401" s="64">
        <f>IFERROR(INDEX('1. Matriz de Activos'!$S$6:$S$239,MATCH($C1401,MgActId,0)),"")</f>
        <v/>
      </c>
      <c r="N1401" s="28">
        <f>IFERROR(INDEX(MgAmenDegD,MATCH(SUBSTITUTE($H1401,"*","-"),MgAmenClave,0)),"No aplica")</f>
        <v/>
      </c>
      <c r="O1401" s="28">
        <f>IFERROR(INDEX(MgAmenDegI,MATCH(SUBSTITUTE($H1401,"*","-"),MgAmenClave,0)),"No aplica")</f>
        <v/>
      </c>
      <c r="P1401" s="28">
        <f>IFERROR(INDEX(MgAmenDegC,MATCH(SUBSTITUTE($H1401,"*","-"),MgAmenClave,0)),"No aplica")</f>
        <v/>
      </c>
      <c r="Q1401" s="29">
        <f>IFERROR(VLOOKUP(K1401,MgValor,2,0)*VLOOKUP(N1401,MgDeg,2,0),0)</f>
        <v/>
      </c>
      <c r="R1401" s="29">
        <f>IFERROR(VLOOKUP(L1401,MgValor,2,0)*VLOOKUP(O1401,MgDeg,2,0),0)</f>
        <v/>
      </c>
      <c r="S1401" s="29">
        <f>IFERROR(VLOOKUP(M1401,MgValor,2,0)*VLOOKUP(P1401,MgDeg,2,0),0)</f>
        <v/>
      </c>
      <c r="T1401" s="30">
        <f>MAX(Q1401:S1401)</f>
        <v/>
      </c>
      <c r="U1401" s="28">
        <f>IFERROR(LOOKUP(T1401,{0;0.5;1.5;3;4.5},{"Despreciable";"Bajo";"Medio";"Alto";"Muy alto"}),"")</f>
        <v/>
      </c>
      <c r="V1401" s="13">
        <f>IFERROR(INDEX(MgAmenFrec,MATCH(SUBSTITUTE($H1401,"*","-"),MgAmenClave,0)),"")</f>
        <v/>
      </c>
      <c r="W1401" s="28">
        <f>IFERROR(LOOKUP(X1401,{0;0.01;0.1;1;10;100},{"Muy baja";"Muy baja";"Baja";"Media";"Alta";"Muy alta"}),"")</f>
        <v/>
      </c>
      <c r="X1401" s="31">
        <f>IFERROR(VLOOKUP(V1401,MgFrec,2,0),0)</f>
        <v/>
      </c>
      <c r="Y1401" s="30">
        <f>T1401*X1401</f>
        <v/>
      </c>
      <c r="Z1401" s="28">
        <f>IFERROR(LOOKUP(Y1401,{0;0.5;5;25},{"Bajo";"Medio";"Alto";"Crítico"}),"")</f>
        <v/>
      </c>
      <c r="AA1401" s="64">
        <f>IF(T1401&gt;=3,IF(X1401&gt;=1,"Zona 1 — Crítica: impacto alto y ocurre al menos una vez al año","Zona 4 — Catastrófica poco probable: impacto alto pero excepcional"),IF(AND(T1401&lt;1.5,X1401&lt;1),"Zona 3 — Asumible: impacto bajo y muy poco frecuente","Zona 2 — Atención: riesgo intermedio"))</f>
        <v/>
      </c>
      <c r="AB1401" s="64">
        <f>IFERROR(INDEX(MgAmenCtrl,MATCH(SUBSTITUTE($H1401,"*","-"),MgAmenClave,0)),"")</f>
        <v/>
      </c>
      <c r="AC1401" s="20" t="n"/>
      <c r="AD1401" s="31">
        <f>IFERROR($X1401*(1-IF($AC1401="",$AL1401,VLOOKUP($AC1401,MgMad,2,0))),"")</f>
        <v/>
      </c>
      <c r="AE1401" s="28">
        <f>IFERROR(LOOKUP(AD1401,{0;0.01;0.1;1;10;100},{"Muy baja";"Muy baja";"Baja";"Media";"Alta";"Muy alta"}),"")</f>
        <v/>
      </c>
      <c r="AF1401" s="30">
        <f>T1401*AD1401</f>
        <v/>
      </c>
      <c r="AG1401" s="28">
        <f>IFERROR(LOOKUP(AF1401,{0;0.5;5;25},{"Bajo";"Medio";"Alto";"Crítico"}),"")</f>
        <v/>
      </c>
      <c r="AH1401" s="28">
        <f>IF(AG1401="","",IF(OR(AG1401="Crítico",AG1401="Alto"),"Mitigar",IF(AG1401="Medio","Mitigar","Aceptar y monitorear")))</f>
        <v/>
      </c>
      <c r="AI1401" s="21" t="n"/>
      <c r="AJ1401" s="21" t="n"/>
      <c r="AK1401" s="20" t="n"/>
      <c r="AL1401" s="77">
        <f>IFERROR(INDEX(MgAmenEfic,MATCH(SUBSTITUTE($H1401,"*","-"),MgAmenClave,0)),0)</f>
        <v/>
      </c>
    </row>
    <row r="1402" hidden="1" ht="60" customHeight="1" s="54">
      <c r="B1402" s="59" t="inlineStr">
        <is>
          <t>R-1397</t>
        </is>
      </c>
      <c r="C1402" s="59" t="inlineStr">
        <is>
          <t>GH-040</t>
        </is>
      </c>
      <c r="D1402" s="64">
        <f>IFERROR(INDEX(MgNombre,MATCH($C1402,MgActId,0)),"")</f>
        <v/>
      </c>
      <c r="E1402" s="64">
        <f>IFERROR(INDEX(MgProceso,MATCH($C1402,MgActId,0)),"")</f>
        <v/>
      </c>
      <c r="F1402" s="64">
        <f>IFERROR(INDEX(MgTipo,MATCH($C1402,MgActId,0)),"")</f>
        <v/>
      </c>
      <c r="G1402" s="64">
        <f>IFERROR(INDEX(MgSubtipo,MATCH($C1402,MgActId,0)),"")</f>
        <v/>
      </c>
      <c r="H1402" s="59" t="inlineStr">
        <is>
          <t>A.15</t>
        </is>
      </c>
      <c r="I1402" s="64">
        <f>IFERROR(INDEX(MgAmenNombre,MATCH(SUBSTITUTE($H1402,"*","-"),MgAmenClave,0)),"")</f>
        <v/>
      </c>
      <c r="J1402" s="28">
        <f>IFERROR(INDEX(MgAmenGrupo,MATCH(SUBSTITUTE($H1402,"*","-"),MgAmenClave,0)),"")</f>
        <v/>
      </c>
      <c r="K1402" s="64">
        <f>IFERROR(INDEX('1. Matriz de Activos'!$Q$6:$Q$239,MATCH($C1402,MgActId,0)),"")</f>
        <v/>
      </c>
      <c r="L1402" s="64">
        <f>IFERROR(INDEX('1. Matriz de Activos'!$R$6:$R$239,MATCH($C1402,MgActId,0)),"")</f>
        <v/>
      </c>
      <c r="M1402" s="64">
        <f>IFERROR(INDEX('1. Matriz de Activos'!$S$6:$S$239,MATCH($C1402,MgActId,0)),"")</f>
        <v/>
      </c>
      <c r="N1402" s="28">
        <f>IFERROR(INDEX(MgAmenDegD,MATCH(SUBSTITUTE($H1402,"*","-"),MgAmenClave,0)),"No aplica")</f>
        <v/>
      </c>
      <c r="O1402" s="28">
        <f>IFERROR(INDEX(MgAmenDegI,MATCH(SUBSTITUTE($H1402,"*","-"),MgAmenClave,0)),"No aplica")</f>
        <v/>
      </c>
      <c r="P1402" s="28">
        <f>IFERROR(INDEX(MgAmenDegC,MATCH(SUBSTITUTE($H1402,"*","-"),MgAmenClave,0)),"No aplica")</f>
        <v/>
      </c>
      <c r="Q1402" s="29">
        <f>IFERROR(VLOOKUP(K1402,MgValor,2,0)*VLOOKUP(N1402,MgDeg,2,0),0)</f>
        <v/>
      </c>
      <c r="R1402" s="29">
        <f>IFERROR(VLOOKUP(L1402,MgValor,2,0)*VLOOKUP(O1402,MgDeg,2,0),0)</f>
        <v/>
      </c>
      <c r="S1402" s="29">
        <f>IFERROR(VLOOKUP(M1402,MgValor,2,0)*VLOOKUP(P1402,MgDeg,2,0),0)</f>
        <v/>
      </c>
      <c r="T1402" s="30">
        <f>MAX(Q1402:S1402)</f>
        <v/>
      </c>
      <c r="U1402" s="28">
        <f>IFERROR(LOOKUP(T1402,{0;0.5;1.5;3;4.5},{"Despreciable";"Bajo";"Medio";"Alto";"Muy alto"}),"")</f>
        <v/>
      </c>
      <c r="V1402" s="13">
        <f>IFERROR(INDEX(MgAmenFrec,MATCH(SUBSTITUTE($H1402,"*","-"),MgAmenClave,0)),"")</f>
        <v/>
      </c>
      <c r="W1402" s="28">
        <f>IFERROR(LOOKUP(X1402,{0;0.01;0.1;1;10;100},{"Muy baja";"Muy baja";"Baja";"Media";"Alta";"Muy alta"}),"")</f>
        <v/>
      </c>
      <c r="X1402" s="31">
        <f>IFERROR(VLOOKUP(V1402,MgFrec,2,0),0)</f>
        <v/>
      </c>
      <c r="Y1402" s="30">
        <f>T1402*X1402</f>
        <v/>
      </c>
      <c r="Z1402" s="28">
        <f>IFERROR(LOOKUP(Y1402,{0;0.5;5;25},{"Bajo";"Medio";"Alto";"Crítico"}),"")</f>
        <v/>
      </c>
      <c r="AA1402" s="64">
        <f>IF(T1402&gt;=3,IF(X1402&gt;=1,"Zona 1 — Crítica: impacto alto y ocurre al menos una vez al año","Zona 4 — Catastrófica poco probable: impacto alto pero excepcional"),IF(AND(T1402&lt;1.5,X1402&lt;1),"Zona 3 — Asumible: impacto bajo y muy poco frecuente","Zona 2 — Atención: riesgo intermedio"))</f>
        <v/>
      </c>
      <c r="AB1402" s="64">
        <f>IFERROR(INDEX(MgAmenCtrl,MATCH(SUBSTITUTE($H1402,"*","-"),MgAmenClave,0)),"")</f>
        <v/>
      </c>
      <c r="AC1402" s="20" t="n"/>
      <c r="AD1402" s="31">
        <f>IFERROR($X1402*(1-IF($AC1402="",$AL1402,VLOOKUP($AC1402,MgMad,2,0))),"")</f>
        <v/>
      </c>
      <c r="AE1402" s="28">
        <f>IFERROR(LOOKUP(AD1402,{0;0.01;0.1;1;10;100},{"Muy baja";"Muy baja";"Baja";"Media";"Alta";"Muy alta"}),"")</f>
        <v/>
      </c>
      <c r="AF1402" s="30">
        <f>T1402*AD1402</f>
        <v/>
      </c>
      <c r="AG1402" s="28">
        <f>IFERROR(LOOKUP(AF1402,{0;0.5;5;25},{"Bajo";"Medio";"Alto";"Crítico"}),"")</f>
        <v/>
      </c>
      <c r="AH1402" s="28">
        <f>IF(AG1402="","",IF(OR(AG1402="Crítico",AG1402="Alto"),"Mitigar",IF(AG1402="Medio","Mitigar","Aceptar y monitorear")))</f>
        <v/>
      </c>
      <c r="AI1402" s="21" t="n"/>
      <c r="AJ1402" s="21" t="n"/>
      <c r="AK1402" s="20" t="n"/>
      <c r="AL1402" s="77">
        <f>IFERROR(INDEX(MgAmenEfic,MATCH(SUBSTITUTE($H1402,"*","-"),MgAmenClave,0)),0)</f>
        <v/>
      </c>
    </row>
    <row r="1403" hidden="1" ht="60" customHeight="1" s="54">
      <c r="B1403" s="59" t="inlineStr">
        <is>
          <t>R-1398</t>
        </is>
      </c>
      <c r="C1403" s="59" t="inlineStr">
        <is>
          <t>GH-040</t>
        </is>
      </c>
      <c r="D1403" s="64">
        <f>IFERROR(INDEX(MgNombre,MATCH($C1403,MgActId,0)),"")</f>
        <v/>
      </c>
      <c r="E1403" s="64">
        <f>IFERROR(INDEX(MgProceso,MATCH($C1403,MgActId,0)),"")</f>
        <v/>
      </c>
      <c r="F1403" s="64">
        <f>IFERROR(INDEX(MgTipo,MATCH($C1403,MgActId,0)),"")</f>
        <v/>
      </c>
      <c r="G1403" s="64">
        <f>IFERROR(INDEX(MgSubtipo,MATCH($C1403,MgActId,0)),"")</f>
        <v/>
      </c>
      <c r="H1403" s="59" t="inlineStr">
        <is>
          <t>A.18</t>
        </is>
      </c>
      <c r="I1403" s="64">
        <f>IFERROR(INDEX(MgAmenNombre,MATCH(SUBSTITUTE($H1403,"*","-"),MgAmenClave,0)),"")</f>
        <v/>
      </c>
      <c r="J1403" s="28">
        <f>IFERROR(INDEX(MgAmenGrupo,MATCH(SUBSTITUTE($H1403,"*","-"),MgAmenClave,0)),"")</f>
        <v/>
      </c>
      <c r="K1403" s="64">
        <f>IFERROR(INDEX('1. Matriz de Activos'!$Q$6:$Q$239,MATCH($C1403,MgActId,0)),"")</f>
        <v/>
      </c>
      <c r="L1403" s="64">
        <f>IFERROR(INDEX('1. Matriz de Activos'!$R$6:$R$239,MATCH($C1403,MgActId,0)),"")</f>
        <v/>
      </c>
      <c r="M1403" s="64">
        <f>IFERROR(INDEX('1. Matriz de Activos'!$S$6:$S$239,MATCH($C1403,MgActId,0)),"")</f>
        <v/>
      </c>
      <c r="N1403" s="28">
        <f>IFERROR(INDEX(MgAmenDegD,MATCH(SUBSTITUTE($H1403,"*","-"),MgAmenClave,0)),"No aplica")</f>
        <v/>
      </c>
      <c r="O1403" s="28">
        <f>IFERROR(INDEX(MgAmenDegI,MATCH(SUBSTITUTE($H1403,"*","-"),MgAmenClave,0)),"No aplica")</f>
        <v/>
      </c>
      <c r="P1403" s="28">
        <f>IFERROR(INDEX(MgAmenDegC,MATCH(SUBSTITUTE($H1403,"*","-"),MgAmenClave,0)),"No aplica")</f>
        <v/>
      </c>
      <c r="Q1403" s="29">
        <f>IFERROR(VLOOKUP(K1403,MgValor,2,0)*VLOOKUP(N1403,MgDeg,2,0),0)</f>
        <v/>
      </c>
      <c r="R1403" s="29">
        <f>IFERROR(VLOOKUP(L1403,MgValor,2,0)*VLOOKUP(O1403,MgDeg,2,0),0)</f>
        <v/>
      </c>
      <c r="S1403" s="29">
        <f>IFERROR(VLOOKUP(M1403,MgValor,2,0)*VLOOKUP(P1403,MgDeg,2,0),0)</f>
        <v/>
      </c>
      <c r="T1403" s="30">
        <f>MAX(Q1403:S1403)</f>
        <v/>
      </c>
      <c r="U1403" s="28">
        <f>IFERROR(LOOKUP(T1403,{0;0.5;1.5;3;4.5},{"Despreciable";"Bajo";"Medio";"Alto";"Muy alto"}),"")</f>
        <v/>
      </c>
      <c r="V1403" s="13">
        <f>IFERROR(INDEX(MgAmenFrec,MATCH(SUBSTITUTE($H1403,"*","-"),MgAmenClave,0)),"")</f>
        <v/>
      </c>
      <c r="W1403" s="28">
        <f>IFERROR(LOOKUP(X1403,{0;0.01;0.1;1;10;100},{"Muy baja";"Muy baja";"Baja";"Media";"Alta";"Muy alta"}),"")</f>
        <v/>
      </c>
      <c r="X1403" s="31">
        <f>IFERROR(VLOOKUP(V1403,MgFrec,2,0),0)</f>
        <v/>
      </c>
      <c r="Y1403" s="30">
        <f>T1403*X1403</f>
        <v/>
      </c>
      <c r="Z1403" s="28">
        <f>IFERROR(LOOKUP(Y1403,{0;0.5;5;25},{"Bajo";"Medio";"Alto";"Crítico"}),"")</f>
        <v/>
      </c>
      <c r="AA1403" s="64">
        <f>IF(T1403&gt;=3,IF(X1403&gt;=1,"Zona 1 — Crítica: impacto alto y ocurre al menos una vez al año","Zona 4 — Catastrófica poco probable: impacto alto pero excepcional"),IF(AND(T1403&lt;1.5,X1403&lt;1),"Zona 3 — Asumible: impacto bajo y muy poco frecuente","Zona 2 — Atención: riesgo intermedio"))</f>
        <v/>
      </c>
      <c r="AB1403" s="64">
        <f>IFERROR(INDEX(MgAmenCtrl,MATCH(SUBSTITUTE($H1403,"*","-"),MgAmenClave,0)),"")</f>
        <v/>
      </c>
      <c r="AC1403" s="20" t="n"/>
      <c r="AD1403" s="31">
        <f>IFERROR($X1403*(1-IF($AC1403="",$AL1403,VLOOKUP($AC1403,MgMad,2,0))),"")</f>
        <v/>
      </c>
      <c r="AE1403" s="28">
        <f>IFERROR(LOOKUP(AD1403,{0;0.01;0.1;1;10;100},{"Muy baja";"Muy baja";"Baja";"Media";"Alta";"Muy alta"}),"")</f>
        <v/>
      </c>
      <c r="AF1403" s="30">
        <f>T1403*AD1403</f>
        <v/>
      </c>
      <c r="AG1403" s="28">
        <f>IFERROR(LOOKUP(AF1403,{0;0.5;5;25},{"Bajo";"Medio";"Alto";"Crítico"}),"")</f>
        <v/>
      </c>
      <c r="AH1403" s="28">
        <f>IF(AG1403="","",IF(OR(AG1403="Crítico",AG1403="Alto"),"Mitigar",IF(AG1403="Medio","Mitigar","Aceptar y monitorear")))</f>
        <v/>
      </c>
      <c r="AI1403" s="21" t="n"/>
      <c r="AJ1403" s="21" t="n"/>
      <c r="AK1403" s="20" t="n"/>
      <c r="AL1403" s="77">
        <f>IFERROR(INDEX(MgAmenEfic,MATCH(SUBSTITUTE($H1403,"*","-"),MgAmenClave,0)),0)</f>
        <v/>
      </c>
    </row>
    <row r="1404" hidden="1" ht="120" customHeight="1" s="54">
      <c r="B1404" s="59" t="inlineStr">
        <is>
          <t>R-1399</t>
        </is>
      </c>
      <c r="C1404" s="59" t="inlineStr">
        <is>
          <t>GH-040</t>
        </is>
      </c>
      <c r="D1404" s="64">
        <f>IFERROR(INDEX(MgNombre,MATCH($C1404,MgActId,0)),"")</f>
        <v/>
      </c>
      <c r="E1404" s="64">
        <f>IFERROR(INDEX(MgProceso,MATCH($C1404,MgActId,0)),"")</f>
        <v/>
      </c>
      <c r="F1404" s="64">
        <f>IFERROR(INDEX(MgTipo,MATCH($C1404,MgActId,0)),"")</f>
        <v/>
      </c>
      <c r="G1404" s="64">
        <f>IFERROR(INDEX(MgSubtipo,MATCH($C1404,MgActId,0)),"")</f>
        <v/>
      </c>
      <c r="H1404" s="59" t="inlineStr">
        <is>
          <t>A.19</t>
        </is>
      </c>
      <c r="I1404" s="64">
        <f>IFERROR(INDEX(MgAmenNombre,MATCH(SUBSTITUTE($H1404,"*","-"),MgAmenClave,0)),"")</f>
        <v/>
      </c>
      <c r="J1404" s="28">
        <f>IFERROR(INDEX(MgAmenGrupo,MATCH(SUBSTITUTE($H1404,"*","-"),MgAmenClave,0)),"")</f>
        <v/>
      </c>
      <c r="K1404" s="64">
        <f>IFERROR(INDEX('1. Matriz de Activos'!$Q$6:$Q$239,MATCH($C1404,MgActId,0)),"")</f>
        <v/>
      </c>
      <c r="L1404" s="64">
        <f>IFERROR(INDEX('1. Matriz de Activos'!$R$6:$R$239,MATCH($C1404,MgActId,0)),"")</f>
        <v/>
      </c>
      <c r="M1404" s="64">
        <f>IFERROR(INDEX('1. Matriz de Activos'!$S$6:$S$239,MATCH($C1404,MgActId,0)),"")</f>
        <v/>
      </c>
      <c r="N1404" s="28">
        <f>IFERROR(INDEX(MgAmenDegD,MATCH(SUBSTITUTE($H1404,"*","-"),MgAmenClave,0)),"No aplica")</f>
        <v/>
      </c>
      <c r="O1404" s="28">
        <f>IFERROR(INDEX(MgAmenDegI,MATCH(SUBSTITUTE($H1404,"*","-"),MgAmenClave,0)),"No aplica")</f>
        <v/>
      </c>
      <c r="P1404" s="28">
        <f>IFERROR(INDEX(MgAmenDegC,MATCH(SUBSTITUTE($H1404,"*","-"),MgAmenClave,0)),"No aplica")</f>
        <v/>
      </c>
      <c r="Q1404" s="29">
        <f>IFERROR(VLOOKUP(K1404,MgValor,2,0)*VLOOKUP(N1404,MgDeg,2,0),0)</f>
        <v/>
      </c>
      <c r="R1404" s="29">
        <f>IFERROR(VLOOKUP(L1404,MgValor,2,0)*VLOOKUP(O1404,MgDeg,2,0),0)</f>
        <v/>
      </c>
      <c r="S1404" s="29">
        <f>IFERROR(VLOOKUP(M1404,MgValor,2,0)*VLOOKUP(P1404,MgDeg,2,0),0)</f>
        <v/>
      </c>
      <c r="T1404" s="30">
        <f>MAX(Q1404:S1404)</f>
        <v/>
      </c>
      <c r="U1404" s="28">
        <f>IFERROR(LOOKUP(T1404,{0;0.5;1.5;3;4.5},{"Despreciable";"Bajo";"Medio";"Alto";"Muy alto"}),"")</f>
        <v/>
      </c>
      <c r="V1404" s="13">
        <f>IFERROR(INDEX(MgAmenFrec,MATCH(SUBSTITUTE($H1404,"*","-"),MgAmenClave,0)),"")</f>
        <v/>
      </c>
      <c r="W1404" s="28">
        <f>IFERROR(LOOKUP(X1404,{0;0.01;0.1;1;10;100},{"Muy baja";"Muy baja";"Baja";"Media";"Alta";"Muy alta"}),"")</f>
        <v/>
      </c>
      <c r="X1404" s="31">
        <f>IFERROR(VLOOKUP(V1404,MgFrec,2,0),0)</f>
        <v/>
      </c>
      <c r="Y1404" s="30">
        <f>T1404*X1404</f>
        <v/>
      </c>
      <c r="Z1404" s="28">
        <f>IFERROR(LOOKUP(Y1404,{0;0.5;5;25},{"Bajo";"Medio";"Alto";"Crítico"}),"")</f>
        <v/>
      </c>
      <c r="AA1404" s="64">
        <f>IF(T1404&gt;=3,IF(X1404&gt;=1,"Zona 1 — Crítica: impacto alto y ocurre al menos una vez al año","Zona 4 — Catastrófica poco probable: impacto alto pero excepcional"),IF(AND(T1404&lt;1.5,X1404&lt;1),"Zona 3 — Asumible: impacto bajo y muy poco frecuente","Zona 2 — Atención: riesgo intermedio"))</f>
        <v/>
      </c>
      <c r="AB1404" s="64">
        <f>IFERROR(INDEX(MgAmenCtrl,MATCH(SUBSTITUTE($H1404,"*","-"),MgAmenClave,0)),"")</f>
        <v/>
      </c>
      <c r="AC1404" s="20" t="n"/>
      <c r="AD1404" s="31">
        <f>IFERROR($X1404*(1-IF($AC1404="",$AL1404,VLOOKUP($AC1404,MgMad,2,0))),"")</f>
        <v/>
      </c>
      <c r="AE1404" s="28">
        <f>IFERROR(LOOKUP(AD1404,{0;0.01;0.1;1;10;100},{"Muy baja";"Muy baja";"Baja";"Media";"Alta";"Muy alta"}),"")</f>
        <v/>
      </c>
      <c r="AF1404" s="30">
        <f>T1404*AD1404</f>
        <v/>
      </c>
      <c r="AG1404" s="28">
        <f>IFERROR(LOOKUP(AF1404,{0;0.5;5;25},{"Bajo";"Medio";"Alto";"Crítico"}),"")</f>
        <v/>
      </c>
      <c r="AH1404" s="28">
        <f>IF(AG1404="","",IF(OR(AG1404="Crítico",AG1404="Alto"),"Mitigar",IF(AG1404="Medio","Mitigar","Aceptar y monitorear")))</f>
        <v/>
      </c>
      <c r="AI1404" s="21" t="n"/>
      <c r="AJ1404" s="21" t="n"/>
      <c r="AK1404" s="20" t="n"/>
      <c r="AL1404" s="77">
        <f>IFERROR(INDEX(MgAmenEfic,MATCH(SUBSTITUTE($H1404,"*","-"),MgAmenClave,0)),0)</f>
        <v/>
      </c>
    </row>
    <row r="1405" hidden="1" ht="105" customHeight="1" s="54">
      <c r="B1405" s="59" t="inlineStr">
        <is>
          <t>R-1400</t>
        </is>
      </c>
      <c r="C1405" s="59" t="inlineStr">
        <is>
          <t>GH-003</t>
        </is>
      </c>
      <c r="D1405" s="64">
        <f>IFERROR(INDEX(MgNombre,MATCH($C1405,MgActId,0)),"")</f>
        <v/>
      </c>
      <c r="E1405" s="64">
        <f>IFERROR(INDEX(MgProceso,MATCH($C1405,MgActId,0)),"")</f>
        <v/>
      </c>
      <c r="F1405" s="64">
        <f>IFERROR(INDEX(MgTipo,MATCH($C1405,MgActId,0)),"")</f>
        <v/>
      </c>
      <c r="G1405" s="64">
        <f>IFERROR(INDEX(MgSubtipo,MATCH($C1405,MgActId,0)),"")</f>
        <v/>
      </c>
      <c r="H1405" s="59" t="inlineStr">
        <is>
          <t>E.1</t>
        </is>
      </c>
      <c r="I1405" s="64">
        <f>IFERROR(INDEX(MgAmenNombre,MATCH(SUBSTITUTE($H1405,"*","-"),MgAmenClave,0)),"")</f>
        <v/>
      </c>
      <c r="J1405" s="28">
        <f>IFERROR(INDEX(MgAmenGrupo,MATCH(SUBSTITUTE($H1405,"*","-"),MgAmenClave,0)),"")</f>
        <v/>
      </c>
      <c r="K1405" s="64">
        <f>IFERROR(INDEX('1. Matriz de Activos'!$Q$6:$Q$239,MATCH($C1405,MgActId,0)),"")</f>
        <v/>
      </c>
      <c r="L1405" s="64">
        <f>IFERROR(INDEX('1. Matriz de Activos'!$R$6:$R$239,MATCH($C1405,MgActId,0)),"")</f>
        <v/>
      </c>
      <c r="M1405" s="64">
        <f>IFERROR(INDEX('1. Matriz de Activos'!$S$6:$S$239,MATCH($C1405,MgActId,0)),"")</f>
        <v/>
      </c>
      <c r="N1405" s="28">
        <f>IFERROR(INDEX(MgAmenDegD,MATCH(SUBSTITUTE($H1405,"*","-"),MgAmenClave,0)),"No aplica")</f>
        <v/>
      </c>
      <c r="O1405" s="28">
        <f>IFERROR(INDEX(MgAmenDegI,MATCH(SUBSTITUTE($H1405,"*","-"),MgAmenClave,0)),"No aplica")</f>
        <v/>
      </c>
      <c r="P1405" s="28">
        <f>IFERROR(INDEX(MgAmenDegC,MATCH(SUBSTITUTE($H1405,"*","-"),MgAmenClave,0)),"No aplica")</f>
        <v/>
      </c>
      <c r="Q1405" s="29">
        <f>IFERROR(VLOOKUP(K1405,MgValor,2,0)*VLOOKUP(N1405,MgDeg,2,0),0)</f>
        <v/>
      </c>
      <c r="R1405" s="29">
        <f>IFERROR(VLOOKUP(L1405,MgValor,2,0)*VLOOKUP(O1405,MgDeg,2,0),0)</f>
        <v/>
      </c>
      <c r="S1405" s="29">
        <f>IFERROR(VLOOKUP(M1405,MgValor,2,0)*VLOOKUP(P1405,MgDeg,2,0),0)</f>
        <v/>
      </c>
      <c r="T1405" s="30">
        <f>MAX(Q1405:S1405)</f>
        <v/>
      </c>
      <c r="U1405" s="28">
        <f>IFERROR(LOOKUP(T1405,{0;0.5;1.5;3;4.5},{"Despreciable";"Bajo";"Medio";"Alto";"Muy alto"}),"")</f>
        <v/>
      </c>
      <c r="V1405" s="13">
        <f>IFERROR(INDEX(MgAmenFrec,MATCH(SUBSTITUTE($H1405,"*","-"),MgAmenClave,0)),"")</f>
        <v/>
      </c>
      <c r="W1405" s="28">
        <f>IFERROR(LOOKUP(X1405,{0;0.01;0.1;1;10;100},{"Muy baja";"Muy baja";"Baja";"Media";"Alta";"Muy alta"}),"")</f>
        <v/>
      </c>
      <c r="X1405" s="31">
        <f>IFERROR(VLOOKUP(V1405,MgFrec,2,0),0)</f>
        <v/>
      </c>
      <c r="Y1405" s="30">
        <f>T1405*X1405</f>
        <v/>
      </c>
      <c r="Z1405" s="28">
        <f>IFERROR(LOOKUP(Y1405,{0;0.5;5;25},{"Bajo";"Medio";"Alto";"Crítico"}),"")</f>
        <v/>
      </c>
      <c r="AA1405" s="64">
        <f>IF(T1405&gt;=3,IF(X1405&gt;=1,"Zona 1 — Crítica: impacto alto y ocurre al menos una vez al año","Zona 4 — Catastrófica poco probable: impacto alto pero excepcional"),IF(AND(T1405&lt;1.5,X1405&lt;1),"Zona 3 — Asumible: impacto bajo y muy poco frecuente","Zona 2 — Atención: riesgo intermedio"))</f>
        <v/>
      </c>
      <c r="AB1405" s="64">
        <f>IFERROR(INDEX(MgAmenCtrl,MATCH(SUBSTITUTE($H1405,"*","-"),MgAmenClave,0)),"")</f>
        <v/>
      </c>
      <c r="AC1405" s="20" t="n"/>
      <c r="AD1405" s="31">
        <f>IFERROR($X1405*(1-IF($AC1405="",$AL1405,VLOOKUP($AC1405,MgMad,2,0))),"")</f>
        <v/>
      </c>
      <c r="AE1405" s="28">
        <f>IFERROR(LOOKUP(AD1405,{0;0.01;0.1;1;10;100},{"Muy baja";"Muy baja";"Baja";"Media";"Alta";"Muy alta"}),"")</f>
        <v/>
      </c>
      <c r="AF1405" s="30">
        <f>T1405*AD1405</f>
        <v/>
      </c>
      <c r="AG1405" s="28">
        <f>IFERROR(LOOKUP(AF1405,{0;0.5;5;25},{"Bajo";"Medio";"Alto";"Crítico"}),"")</f>
        <v/>
      </c>
      <c r="AH1405" s="28">
        <f>IF(AG1405="","",IF(OR(AG1405="Crítico",AG1405="Alto"),"Mitigar",IF(AG1405="Medio","Mitigar","Aceptar y monitorear")))</f>
        <v/>
      </c>
      <c r="AI1405" s="21" t="n"/>
      <c r="AJ1405" s="21" t="n"/>
      <c r="AK1405" s="20" t="n"/>
      <c r="AL1405" s="77">
        <f>IFERROR(INDEX(MgAmenEfic,MATCH(SUBSTITUTE($H1405,"*","-"),MgAmenClave,0)),0)</f>
        <v/>
      </c>
    </row>
    <row r="1406" hidden="1" ht="120" customHeight="1" s="54">
      <c r="B1406" s="59" t="inlineStr">
        <is>
          <t>R-1401</t>
        </is>
      </c>
      <c r="C1406" s="59" t="inlineStr">
        <is>
          <t>GH-003</t>
        </is>
      </c>
      <c r="D1406" s="64">
        <f>IFERROR(INDEX(MgNombre,MATCH($C1406,MgActId,0)),"")</f>
        <v/>
      </c>
      <c r="E1406" s="64">
        <f>IFERROR(INDEX(MgProceso,MATCH($C1406,MgActId,0)),"")</f>
        <v/>
      </c>
      <c r="F1406" s="64">
        <f>IFERROR(INDEX(MgTipo,MATCH($C1406,MgActId,0)),"")</f>
        <v/>
      </c>
      <c r="G1406" s="64">
        <f>IFERROR(INDEX(MgSubtipo,MATCH($C1406,MgActId,0)),"")</f>
        <v/>
      </c>
      <c r="H1406" s="59" t="inlineStr">
        <is>
          <t>E.2</t>
        </is>
      </c>
      <c r="I1406" s="64">
        <f>IFERROR(INDEX(MgAmenNombre,MATCH(SUBSTITUTE($H1406,"*","-"),MgAmenClave,0)),"")</f>
        <v/>
      </c>
      <c r="J1406" s="28">
        <f>IFERROR(INDEX(MgAmenGrupo,MATCH(SUBSTITUTE($H1406,"*","-"),MgAmenClave,0)),"")</f>
        <v/>
      </c>
      <c r="K1406" s="64">
        <f>IFERROR(INDEX('1. Matriz de Activos'!$Q$6:$Q$239,MATCH($C1406,MgActId,0)),"")</f>
        <v/>
      </c>
      <c r="L1406" s="64">
        <f>IFERROR(INDEX('1. Matriz de Activos'!$R$6:$R$239,MATCH($C1406,MgActId,0)),"")</f>
        <v/>
      </c>
      <c r="M1406" s="64">
        <f>IFERROR(INDEX('1. Matriz de Activos'!$S$6:$S$239,MATCH($C1406,MgActId,0)),"")</f>
        <v/>
      </c>
      <c r="N1406" s="28">
        <f>IFERROR(INDEX(MgAmenDegD,MATCH(SUBSTITUTE($H1406,"*","-"),MgAmenClave,0)),"No aplica")</f>
        <v/>
      </c>
      <c r="O1406" s="28">
        <f>IFERROR(INDEX(MgAmenDegI,MATCH(SUBSTITUTE($H1406,"*","-"),MgAmenClave,0)),"No aplica")</f>
        <v/>
      </c>
      <c r="P1406" s="28">
        <f>IFERROR(INDEX(MgAmenDegC,MATCH(SUBSTITUTE($H1406,"*","-"),MgAmenClave,0)),"No aplica")</f>
        <v/>
      </c>
      <c r="Q1406" s="29">
        <f>IFERROR(VLOOKUP(K1406,MgValor,2,0)*VLOOKUP(N1406,MgDeg,2,0),0)</f>
        <v/>
      </c>
      <c r="R1406" s="29">
        <f>IFERROR(VLOOKUP(L1406,MgValor,2,0)*VLOOKUP(O1406,MgDeg,2,0),0)</f>
        <v/>
      </c>
      <c r="S1406" s="29">
        <f>IFERROR(VLOOKUP(M1406,MgValor,2,0)*VLOOKUP(P1406,MgDeg,2,0),0)</f>
        <v/>
      </c>
      <c r="T1406" s="30">
        <f>MAX(Q1406:S1406)</f>
        <v/>
      </c>
      <c r="U1406" s="28">
        <f>IFERROR(LOOKUP(T1406,{0;0.5;1.5;3;4.5},{"Despreciable";"Bajo";"Medio";"Alto";"Muy alto"}),"")</f>
        <v/>
      </c>
      <c r="V1406" s="13">
        <f>IFERROR(INDEX(MgAmenFrec,MATCH(SUBSTITUTE($H1406,"*","-"),MgAmenClave,0)),"")</f>
        <v/>
      </c>
      <c r="W1406" s="28">
        <f>IFERROR(LOOKUP(X1406,{0;0.01;0.1;1;10;100},{"Muy baja";"Muy baja";"Baja";"Media";"Alta";"Muy alta"}),"")</f>
        <v/>
      </c>
      <c r="X1406" s="31">
        <f>IFERROR(VLOOKUP(V1406,MgFrec,2,0),0)</f>
        <v/>
      </c>
      <c r="Y1406" s="30">
        <f>T1406*X1406</f>
        <v/>
      </c>
      <c r="Z1406" s="28">
        <f>IFERROR(LOOKUP(Y1406,{0;0.5;5;25},{"Bajo";"Medio";"Alto";"Crítico"}),"")</f>
        <v/>
      </c>
      <c r="AA1406" s="64">
        <f>IF(T1406&gt;=3,IF(X1406&gt;=1,"Zona 1 — Crítica: impacto alto y ocurre al menos una vez al año","Zona 4 — Catastrófica poco probable: impacto alto pero excepcional"),IF(AND(T1406&lt;1.5,X1406&lt;1),"Zona 3 — Asumible: impacto bajo y muy poco frecuente","Zona 2 — Atención: riesgo intermedio"))</f>
        <v/>
      </c>
      <c r="AB1406" s="64">
        <f>IFERROR(INDEX(MgAmenCtrl,MATCH(SUBSTITUTE($H1406,"*","-"),MgAmenClave,0)),"")</f>
        <v/>
      </c>
      <c r="AC1406" s="20" t="n"/>
      <c r="AD1406" s="31">
        <f>IFERROR($X1406*(1-IF($AC1406="",$AL1406,VLOOKUP($AC1406,MgMad,2,0))),"")</f>
        <v/>
      </c>
      <c r="AE1406" s="28">
        <f>IFERROR(LOOKUP(AD1406,{0;0.01;0.1;1;10;100},{"Muy baja";"Muy baja";"Baja";"Media";"Alta";"Muy alta"}),"")</f>
        <v/>
      </c>
      <c r="AF1406" s="30">
        <f>T1406*AD1406</f>
        <v/>
      </c>
      <c r="AG1406" s="28">
        <f>IFERROR(LOOKUP(AF1406,{0;0.5;5;25},{"Bajo";"Medio";"Alto";"Crítico"}),"")</f>
        <v/>
      </c>
      <c r="AH1406" s="28">
        <f>IF(AG1406="","",IF(OR(AG1406="Crítico",AG1406="Alto"),"Mitigar",IF(AG1406="Medio","Mitigar","Aceptar y monitorear")))</f>
        <v/>
      </c>
      <c r="AI1406" s="21" t="n"/>
      <c r="AJ1406" s="21" t="n"/>
      <c r="AK1406" s="20" t="n"/>
      <c r="AL1406" s="77">
        <f>IFERROR(INDEX(MgAmenEfic,MATCH(SUBSTITUTE($H1406,"*","-"),MgAmenClave,0)),0)</f>
        <v/>
      </c>
    </row>
    <row r="1407" hidden="1" ht="75" customHeight="1" s="54">
      <c r="B1407" s="59" t="inlineStr">
        <is>
          <t>R-1402</t>
        </is>
      </c>
      <c r="C1407" s="59" t="inlineStr">
        <is>
          <t>GH-003</t>
        </is>
      </c>
      <c r="D1407" s="64">
        <f>IFERROR(INDEX(MgNombre,MATCH($C1407,MgActId,0)),"")</f>
        <v/>
      </c>
      <c r="E1407" s="64">
        <f>IFERROR(INDEX(MgProceso,MATCH($C1407,MgActId,0)),"")</f>
        <v/>
      </c>
      <c r="F1407" s="64">
        <f>IFERROR(INDEX(MgTipo,MATCH($C1407,MgActId,0)),"")</f>
        <v/>
      </c>
      <c r="G1407" s="64">
        <f>IFERROR(INDEX(MgSubtipo,MATCH($C1407,MgActId,0)),"")</f>
        <v/>
      </c>
      <c r="H1407" s="59" t="inlineStr">
        <is>
          <t>E.3</t>
        </is>
      </c>
      <c r="I1407" s="64">
        <f>IFERROR(INDEX(MgAmenNombre,MATCH(SUBSTITUTE($H1407,"*","-"),MgAmenClave,0)),"")</f>
        <v/>
      </c>
      <c r="J1407" s="28">
        <f>IFERROR(INDEX(MgAmenGrupo,MATCH(SUBSTITUTE($H1407,"*","-"),MgAmenClave,0)),"")</f>
        <v/>
      </c>
      <c r="K1407" s="64">
        <f>IFERROR(INDEX('1. Matriz de Activos'!$Q$6:$Q$239,MATCH($C1407,MgActId,0)),"")</f>
        <v/>
      </c>
      <c r="L1407" s="64">
        <f>IFERROR(INDEX('1. Matriz de Activos'!$R$6:$R$239,MATCH($C1407,MgActId,0)),"")</f>
        <v/>
      </c>
      <c r="M1407" s="64">
        <f>IFERROR(INDEX('1. Matriz de Activos'!$S$6:$S$239,MATCH($C1407,MgActId,0)),"")</f>
        <v/>
      </c>
      <c r="N1407" s="28">
        <f>IFERROR(INDEX(MgAmenDegD,MATCH(SUBSTITUTE($H1407,"*","-"),MgAmenClave,0)),"No aplica")</f>
        <v/>
      </c>
      <c r="O1407" s="28">
        <f>IFERROR(INDEX(MgAmenDegI,MATCH(SUBSTITUTE($H1407,"*","-"),MgAmenClave,0)),"No aplica")</f>
        <v/>
      </c>
      <c r="P1407" s="28">
        <f>IFERROR(INDEX(MgAmenDegC,MATCH(SUBSTITUTE($H1407,"*","-"),MgAmenClave,0)),"No aplica")</f>
        <v/>
      </c>
      <c r="Q1407" s="29">
        <f>IFERROR(VLOOKUP(K1407,MgValor,2,0)*VLOOKUP(N1407,MgDeg,2,0),0)</f>
        <v/>
      </c>
      <c r="R1407" s="29">
        <f>IFERROR(VLOOKUP(L1407,MgValor,2,0)*VLOOKUP(O1407,MgDeg,2,0),0)</f>
        <v/>
      </c>
      <c r="S1407" s="29">
        <f>IFERROR(VLOOKUP(M1407,MgValor,2,0)*VLOOKUP(P1407,MgDeg,2,0),0)</f>
        <v/>
      </c>
      <c r="T1407" s="30">
        <f>MAX(Q1407:S1407)</f>
        <v/>
      </c>
      <c r="U1407" s="28">
        <f>IFERROR(LOOKUP(T1407,{0;0.5;1.5;3;4.5},{"Despreciable";"Bajo";"Medio";"Alto";"Muy alto"}),"")</f>
        <v/>
      </c>
      <c r="V1407" s="13">
        <f>IFERROR(INDEX(MgAmenFrec,MATCH(SUBSTITUTE($H1407,"*","-"),MgAmenClave,0)),"")</f>
        <v/>
      </c>
      <c r="W1407" s="28">
        <f>IFERROR(LOOKUP(X1407,{0;0.01;0.1;1;10;100},{"Muy baja";"Muy baja";"Baja";"Media";"Alta";"Muy alta"}),"")</f>
        <v/>
      </c>
      <c r="X1407" s="31">
        <f>IFERROR(VLOOKUP(V1407,MgFrec,2,0),0)</f>
        <v/>
      </c>
      <c r="Y1407" s="30">
        <f>T1407*X1407</f>
        <v/>
      </c>
      <c r="Z1407" s="28">
        <f>IFERROR(LOOKUP(Y1407,{0;0.5;5;25},{"Bajo";"Medio";"Alto";"Crítico"}),"")</f>
        <v/>
      </c>
      <c r="AA1407" s="64">
        <f>IF(T1407&gt;=3,IF(X1407&gt;=1,"Zona 1 — Crítica: impacto alto y ocurre al menos una vez al año","Zona 4 — Catastrófica poco probable: impacto alto pero excepcional"),IF(AND(T1407&lt;1.5,X1407&lt;1),"Zona 3 — Asumible: impacto bajo y muy poco frecuente","Zona 2 — Atención: riesgo intermedio"))</f>
        <v/>
      </c>
      <c r="AB1407" s="64">
        <f>IFERROR(INDEX(MgAmenCtrl,MATCH(SUBSTITUTE($H1407,"*","-"),MgAmenClave,0)),"")</f>
        <v/>
      </c>
      <c r="AC1407" s="20" t="n"/>
      <c r="AD1407" s="31">
        <f>IFERROR($X1407*(1-IF($AC1407="",$AL1407,VLOOKUP($AC1407,MgMad,2,0))),"")</f>
        <v/>
      </c>
      <c r="AE1407" s="28">
        <f>IFERROR(LOOKUP(AD1407,{0;0.01;0.1;1;10;100},{"Muy baja";"Muy baja";"Baja";"Media";"Alta";"Muy alta"}),"")</f>
        <v/>
      </c>
      <c r="AF1407" s="30">
        <f>T1407*AD1407</f>
        <v/>
      </c>
      <c r="AG1407" s="28">
        <f>IFERROR(LOOKUP(AF1407,{0;0.5;5;25},{"Bajo";"Medio";"Alto";"Crítico"}),"")</f>
        <v/>
      </c>
      <c r="AH1407" s="28">
        <f>IF(AG1407="","",IF(OR(AG1407="Crítico",AG1407="Alto"),"Mitigar",IF(AG1407="Medio","Mitigar","Aceptar y monitorear")))</f>
        <v/>
      </c>
      <c r="AI1407" s="21" t="n"/>
      <c r="AJ1407" s="21" t="n"/>
      <c r="AK1407" s="20" t="n"/>
      <c r="AL1407" s="77">
        <f>IFERROR(INDEX(MgAmenEfic,MATCH(SUBSTITUTE($H1407,"*","-"),MgAmenClave,0)),0)</f>
        <v/>
      </c>
    </row>
    <row r="1408" hidden="1" ht="75" customHeight="1" s="54">
      <c r="B1408" s="59" t="inlineStr">
        <is>
          <t>R-1403</t>
        </is>
      </c>
      <c r="C1408" s="59" t="inlineStr">
        <is>
          <t>GH-003</t>
        </is>
      </c>
      <c r="D1408" s="64">
        <f>IFERROR(INDEX(MgNombre,MATCH($C1408,MgActId,0)),"")</f>
        <v/>
      </c>
      <c r="E1408" s="64">
        <f>IFERROR(INDEX(MgProceso,MATCH($C1408,MgActId,0)),"")</f>
        <v/>
      </c>
      <c r="F1408" s="64">
        <f>IFERROR(INDEX(MgTipo,MATCH($C1408,MgActId,0)),"")</f>
        <v/>
      </c>
      <c r="G1408" s="64">
        <f>IFERROR(INDEX(MgSubtipo,MATCH($C1408,MgActId,0)),"")</f>
        <v/>
      </c>
      <c r="H1408" s="59" t="inlineStr">
        <is>
          <t>E.4</t>
        </is>
      </c>
      <c r="I1408" s="64">
        <f>IFERROR(INDEX(MgAmenNombre,MATCH(SUBSTITUTE($H1408,"*","-"),MgAmenClave,0)),"")</f>
        <v/>
      </c>
      <c r="J1408" s="28">
        <f>IFERROR(INDEX(MgAmenGrupo,MATCH(SUBSTITUTE($H1408,"*","-"),MgAmenClave,0)),"")</f>
        <v/>
      </c>
      <c r="K1408" s="64">
        <f>IFERROR(INDEX('1. Matriz de Activos'!$Q$6:$Q$239,MATCH($C1408,MgActId,0)),"")</f>
        <v/>
      </c>
      <c r="L1408" s="64">
        <f>IFERROR(INDEX('1. Matriz de Activos'!$R$6:$R$239,MATCH($C1408,MgActId,0)),"")</f>
        <v/>
      </c>
      <c r="M1408" s="64">
        <f>IFERROR(INDEX('1. Matriz de Activos'!$S$6:$S$239,MATCH($C1408,MgActId,0)),"")</f>
        <v/>
      </c>
      <c r="N1408" s="28">
        <f>IFERROR(INDEX(MgAmenDegD,MATCH(SUBSTITUTE($H1408,"*","-"),MgAmenClave,0)),"No aplica")</f>
        <v/>
      </c>
      <c r="O1408" s="28">
        <f>IFERROR(INDEX(MgAmenDegI,MATCH(SUBSTITUTE($H1408,"*","-"),MgAmenClave,0)),"No aplica")</f>
        <v/>
      </c>
      <c r="P1408" s="28">
        <f>IFERROR(INDEX(MgAmenDegC,MATCH(SUBSTITUTE($H1408,"*","-"),MgAmenClave,0)),"No aplica")</f>
        <v/>
      </c>
      <c r="Q1408" s="29">
        <f>IFERROR(VLOOKUP(K1408,MgValor,2,0)*VLOOKUP(N1408,MgDeg,2,0),0)</f>
        <v/>
      </c>
      <c r="R1408" s="29">
        <f>IFERROR(VLOOKUP(L1408,MgValor,2,0)*VLOOKUP(O1408,MgDeg,2,0),0)</f>
        <v/>
      </c>
      <c r="S1408" s="29">
        <f>IFERROR(VLOOKUP(M1408,MgValor,2,0)*VLOOKUP(P1408,MgDeg,2,0),0)</f>
        <v/>
      </c>
      <c r="T1408" s="30">
        <f>MAX(Q1408:S1408)</f>
        <v/>
      </c>
      <c r="U1408" s="28">
        <f>IFERROR(LOOKUP(T1408,{0;0.5;1.5;3;4.5},{"Despreciable";"Bajo";"Medio";"Alto";"Muy alto"}),"")</f>
        <v/>
      </c>
      <c r="V1408" s="13">
        <f>IFERROR(INDEX(MgAmenFrec,MATCH(SUBSTITUTE($H1408,"*","-"),MgAmenClave,0)),"")</f>
        <v/>
      </c>
      <c r="W1408" s="28">
        <f>IFERROR(LOOKUP(X1408,{0;0.01;0.1;1;10;100},{"Muy baja";"Muy baja";"Baja";"Media";"Alta";"Muy alta"}),"")</f>
        <v/>
      </c>
      <c r="X1408" s="31">
        <f>IFERROR(VLOOKUP(V1408,MgFrec,2,0),0)</f>
        <v/>
      </c>
      <c r="Y1408" s="30">
        <f>T1408*X1408</f>
        <v/>
      </c>
      <c r="Z1408" s="28">
        <f>IFERROR(LOOKUP(Y1408,{0;0.5;5;25},{"Bajo";"Medio";"Alto";"Crítico"}),"")</f>
        <v/>
      </c>
      <c r="AA1408" s="64">
        <f>IF(T1408&gt;=3,IF(X1408&gt;=1,"Zona 1 — Crítica: impacto alto y ocurre al menos una vez al año","Zona 4 — Catastrófica poco probable: impacto alto pero excepcional"),IF(AND(T1408&lt;1.5,X1408&lt;1),"Zona 3 — Asumible: impacto bajo y muy poco frecuente","Zona 2 — Atención: riesgo intermedio"))</f>
        <v/>
      </c>
      <c r="AB1408" s="64">
        <f>IFERROR(INDEX(MgAmenCtrl,MATCH(SUBSTITUTE($H1408,"*","-"),MgAmenClave,0)),"")</f>
        <v/>
      </c>
      <c r="AC1408" s="20" t="n"/>
      <c r="AD1408" s="31">
        <f>IFERROR($X1408*(1-IF($AC1408="",$AL1408,VLOOKUP($AC1408,MgMad,2,0))),"")</f>
        <v/>
      </c>
      <c r="AE1408" s="28">
        <f>IFERROR(LOOKUP(AD1408,{0;0.01;0.1;1;10;100},{"Muy baja";"Muy baja";"Baja";"Media";"Alta";"Muy alta"}),"")</f>
        <v/>
      </c>
      <c r="AF1408" s="30">
        <f>T1408*AD1408</f>
        <v/>
      </c>
      <c r="AG1408" s="28">
        <f>IFERROR(LOOKUP(AF1408,{0;0.5;5;25},{"Bajo";"Medio";"Alto";"Crítico"}),"")</f>
        <v/>
      </c>
      <c r="AH1408" s="28">
        <f>IF(AG1408="","",IF(OR(AG1408="Crítico",AG1408="Alto"),"Mitigar",IF(AG1408="Medio","Mitigar","Aceptar y monitorear")))</f>
        <v/>
      </c>
      <c r="AI1408" s="21" t="n"/>
      <c r="AJ1408" s="21" t="n"/>
      <c r="AK1408" s="20" t="n"/>
      <c r="AL1408" s="77">
        <f>IFERROR(INDEX(MgAmenEfic,MATCH(SUBSTITUTE($H1408,"*","-"),MgAmenClave,0)),0)</f>
        <v/>
      </c>
    </row>
    <row r="1409" hidden="1" ht="90" customHeight="1" s="54">
      <c r="B1409" s="59" t="inlineStr">
        <is>
          <t>R-1404</t>
        </is>
      </c>
      <c r="C1409" s="59" t="inlineStr">
        <is>
          <t>GH-003</t>
        </is>
      </c>
      <c r="D1409" s="64">
        <f>IFERROR(INDEX(MgNombre,MATCH($C1409,MgActId,0)),"")</f>
        <v/>
      </c>
      <c r="E1409" s="64">
        <f>IFERROR(INDEX(MgProceso,MATCH($C1409,MgActId,0)),"")</f>
        <v/>
      </c>
      <c r="F1409" s="64">
        <f>IFERROR(INDEX(MgTipo,MATCH($C1409,MgActId,0)),"")</f>
        <v/>
      </c>
      <c r="G1409" s="64">
        <f>IFERROR(INDEX(MgSubtipo,MATCH($C1409,MgActId,0)),"")</f>
        <v/>
      </c>
      <c r="H1409" s="59" t="inlineStr">
        <is>
          <t>E.14</t>
        </is>
      </c>
      <c r="I1409" s="64">
        <f>IFERROR(INDEX(MgAmenNombre,MATCH(SUBSTITUTE($H1409,"*","-"),MgAmenClave,0)),"")</f>
        <v/>
      </c>
      <c r="J1409" s="28">
        <f>IFERROR(INDEX(MgAmenGrupo,MATCH(SUBSTITUTE($H1409,"*","-"),MgAmenClave,0)),"")</f>
        <v/>
      </c>
      <c r="K1409" s="64">
        <f>IFERROR(INDEX('1. Matriz de Activos'!$Q$6:$Q$239,MATCH($C1409,MgActId,0)),"")</f>
        <v/>
      </c>
      <c r="L1409" s="64">
        <f>IFERROR(INDEX('1. Matriz de Activos'!$R$6:$R$239,MATCH($C1409,MgActId,0)),"")</f>
        <v/>
      </c>
      <c r="M1409" s="64">
        <f>IFERROR(INDEX('1. Matriz de Activos'!$S$6:$S$239,MATCH($C1409,MgActId,0)),"")</f>
        <v/>
      </c>
      <c r="N1409" s="28">
        <f>IFERROR(INDEX(MgAmenDegD,MATCH(SUBSTITUTE($H1409,"*","-"),MgAmenClave,0)),"No aplica")</f>
        <v/>
      </c>
      <c r="O1409" s="28">
        <f>IFERROR(INDEX(MgAmenDegI,MATCH(SUBSTITUTE($H1409,"*","-"),MgAmenClave,0)),"No aplica")</f>
        <v/>
      </c>
      <c r="P1409" s="28">
        <f>IFERROR(INDEX(MgAmenDegC,MATCH(SUBSTITUTE($H1409,"*","-"),MgAmenClave,0)),"No aplica")</f>
        <v/>
      </c>
      <c r="Q1409" s="29">
        <f>IFERROR(VLOOKUP(K1409,MgValor,2,0)*VLOOKUP(N1409,MgDeg,2,0),0)</f>
        <v/>
      </c>
      <c r="R1409" s="29">
        <f>IFERROR(VLOOKUP(L1409,MgValor,2,0)*VLOOKUP(O1409,MgDeg,2,0),0)</f>
        <v/>
      </c>
      <c r="S1409" s="29">
        <f>IFERROR(VLOOKUP(M1409,MgValor,2,0)*VLOOKUP(P1409,MgDeg,2,0),0)</f>
        <v/>
      </c>
      <c r="T1409" s="30">
        <f>MAX(Q1409:S1409)</f>
        <v/>
      </c>
      <c r="U1409" s="28">
        <f>IFERROR(LOOKUP(T1409,{0;0.5;1.5;3;4.5},{"Despreciable";"Bajo";"Medio";"Alto";"Muy alto"}),"")</f>
        <v/>
      </c>
      <c r="V1409" s="13">
        <f>IFERROR(INDEX(MgAmenFrec,MATCH(SUBSTITUTE($H1409,"*","-"),MgAmenClave,0)),"")</f>
        <v/>
      </c>
      <c r="W1409" s="28">
        <f>IFERROR(LOOKUP(X1409,{0;0.01;0.1;1;10;100},{"Muy baja";"Muy baja";"Baja";"Media";"Alta";"Muy alta"}),"")</f>
        <v/>
      </c>
      <c r="X1409" s="31">
        <f>IFERROR(VLOOKUP(V1409,MgFrec,2,0),0)</f>
        <v/>
      </c>
      <c r="Y1409" s="30">
        <f>T1409*X1409</f>
        <v/>
      </c>
      <c r="Z1409" s="28">
        <f>IFERROR(LOOKUP(Y1409,{0;0.5;5;25},{"Bajo";"Medio";"Alto";"Crítico"}),"")</f>
        <v/>
      </c>
      <c r="AA1409" s="64">
        <f>IF(T1409&gt;=3,IF(X1409&gt;=1,"Zona 1 — Crítica: impacto alto y ocurre al menos una vez al año","Zona 4 — Catastrófica poco probable: impacto alto pero excepcional"),IF(AND(T1409&lt;1.5,X1409&lt;1),"Zona 3 — Asumible: impacto bajo y muy poco frecuente","Zona 2 — Atención: riesgo intermedio"))</f>
        <v/>
      </c>
      <c r="AB1409" s="64">
        <f>IFERROR(INDEX(MgAmenCtrl,MATCH(SUBSTITUTE($H1409,"*","-"),MgAmenClave,0)),"")</f>
        <v/>
      </c>
      <c r="AC1409" s="20" t="n"/>
      <c r="AD1409" s="31">
        <f>IFERROR($X1409*(1-IF($AC1409="",$AL1409,VLOOKUP($AC1409,MgMad,2,0))),"")</f>
        <v/>
      </c>
      <c r="AE1409" s="28">
        <f>IFERROR(LOOKUP(AD1409,{0;0.01;0.1;1;10;100},{"Muy baja";"Muy baja";"Baja";"Media";"Alta";"Muy alta"}),"")</f>
        <v/>
      </c>
      <c r="AF1409" s="30">
        <f>T1409*AD1409</f>
        <v/>
      </c>
      <c r="AG1409" s="28">
        <f>IFERROR(LOOKUP(AF1409,{0;0.5;5;25},{"Bajo";"Medio";"Alto";"Crítico"}),"")</f>
        <v/>
      </c>
      <c r="AH1409" s="28">
        <f>IF(AG1409="","",IF(OR(AG1409="Crítico",AG1409="Alto"),"Mitigar",IF(AG1409="Medio","Mitigar","Aceptar y monitorear")))</f>
        <v/>
      </c>
      <c r="AI1409" s="21" t="n"/>
      <c r="AJ1409" s="21" t="n"/>
      <c r="AK1409" s="20" t="n"/>
      <c r="AL1409" s="77">
        <f>IFERROR(INDEX(MgAmenEfic,MATCH(SUBSTITUTE($H1409,"*","-"),MgAmenClave,0)),0)</f>
        <v/>
      </c>
    </row>
    <row r="1410" hidden="1" ht="90" customHeight="1" s="54">
      <c r="B1410" s="59" t="inlineStr">
        <is>
          <t>R-1405</t>
        </is>
      </c>
      <c r="C1410" s="59" t="inlineStr">
        <is>
          <t>GH-003</t>
        </is>
      </c>
      <c r="D1410" s="64">
        <f>IFERROR(INDEX(MgNombre,MATCH($C1410,MgActId,0)),"")</f>
        <v/>
      </c>
      <c r="E1410" s="64">
        <f>IFERROR(INDEX(MgProceso,MATCH($C1410,MgActId,0)),"")</f>
        <v/>
      </c>
      <c r="F1410" s="64">
        <f>IFERROR(INDEX(MgTipo,MATCH($C1410,MgActId,0)),"")</f>
        <v/>
      </c>
      <c r="G1410" s="64">
        <f>IFERROR(INDEX(MgSubtipo,MATCH($C1410,MgActId,0)),"")</f>
        <v/>
      </c>
      <c r="H1410" s="59" t="inlineStr">
        <is>
          <t>E.15</t>
        </is>
      </c>
      <c r="I1410" s="64">
        <f>IFERROR(INDEX(MgAmenNombre,MATCH(SUBSTITUTE($H1410,"*","-"),MgAmenClave,0)),"")</f>
        <v/>
      </c>
      <c r="J1410" s="28">
        <f>IFERROR(INDEX(MgAmenGrupo,MATCH(SUBSTITUTE($H1410,"*","-"),MgAmenClave,0)),"")</f>
        <v/>
      </c>
      <c r="K1410" s="64">
        <f>IFERROR(INDEX('1. Matriz de Activos'!$Q$6:$Q$239,MATCH($C1410,MgActId,0)),"")</f>
        <v/>
      </c>
      <c r="L1410" s="64">
        <f>IFERROR(INDEX('1. Matriz de Activos'!$R$6:$R$239,MATCH($C1410,MgActId,0)),"")</f>
        <v/>
      </c>
      <c r="M1410" s="64">
        <f>IFERROR(INDEX('1. Matriz de Activos'!$S$6:$S$239,MATCH($C1410,MgActId,0)),"")</f>
        <v/>
      </c>
      <c r="N1410" s="28">
        <f>IFERROR(INDEX(MgAmenDegD,MATCH(SUBSTITUTE($H1410,"*","-"),MgAmenClave,0)),"No aplica")</f>
        <v/>
      </c>
      <c r="O1410" s="28">
        <f>IFERROR(INDEX(MgAmenDegI,MATCH(SUBSTITUTE($H1410,"*","-"),MgAmenClave,0)),"No aplica")</f>
        <v/>
      </c>
      <c r="P1410" s="28">
        <f>IFERROR(INDEX(MgAmenDegC,MATCH(SUBSTITUTE($H1410,"*","-"),MgAmenClave,0)),"No aplica")</f>
        <v/>
      </c>
      <c r="Q1410" s="29">
        <f>IFERROR(VLOOKUP(K1410,MgValor,2,0)*VLOOKUP(N1410,MgDeg,2,0),0)</f>
        <v/>
      </c>
      <c r="R1410" s="29">
        <f>IFERROR(VLOOKUP(L1410,MgValor,2,0)*VLOOKUP(O1410,MgDeg,2,0),0)</f>
        <v/>
      </c>
      <c r="S1410" s="29">
        <f>IFERROR(VLOOKUP(M1410,MgValor,2,0)*VLOOKUP(P1410,MgDeg,2,0),0)</f>
        <v/>
      </c>
      <c r="T1410" s="30">
        <f>MAX(Q1410:S1410)</f>
        <v/>
      </c>
      <c r="U1410" s="28">
        <f>IFERROR(LOOKUP(T1410,{0;0.5;1.5;3;4.5},{"Despreciable";"Bajo";"Medio";"Alto";"Muy alto"}),"")</f>
        <v/>
      </c>
      <c r="V1410" s="13">
        <f>IFERROR(INDEX(MgAmenFrec,MATCH(SUBSTITUTE($H1410,"*","-"),MgAmenClave,0)),"")</f>
        <v/>
      </c>
      <c r="W1410" s="28">
        <f>IFERROR(LOOKUP(X1410,{0;0.01;0.1;1;10;100},{"Muy baja";"Muy baja";"Baja";"Media";"Alta";"Muy alta"}),"")</f>
        <v/>
      </c>
      <c r="X1410" s="31">
        <f>IFERROR(VLOOKUP(V1410,MgFrec,2,0),0)</f>
        <v/>
      </c>
      <c r="Y1410" s="30">
        <f>T1410*X1410</f>
        <v/>
      </c>
      <c r="Z1410" s="28">
        <f>IFERROR(LOOKUP(Y1410,{0;0.5;5;25},{"Bajo";"Medio";"Alto";"Crítico"}),"")</f>
        <v/>
      </c>
      <c r="AA1410" s="64">
        <f>IF(T1410&gt;=3,IF(X1410&gt;=1,"Zona 1 — Crítica: impacto alto y ocurre al menos una vez al año","Zona 4 — Catastrófica poco probable: impacto alto pero excepcional"),IF(AND(T1410&lt;1.5,X1410&lt;1),"Zona 3 — Asumible: impacto bajo y muy poco frecuente","Zona 2 — Atención: riesgo intermedio"))</f>
        <v/>
      </c>
      <c r="AB1410" s="64">
        <f>IFERROR(INDEX(MgAmenCtrl,MATCH(SUBSTITUTE($H1410,"*","-"),MgAmenClave,0)),"")</f>
        <v/>
      </c>
      <c r="AC1410" s="20" t="n"/>
      <c r="AD1410" s="31">
        <f>IFERROR($X1410*(1-IF($AC1410="",$AL1410,VLOOKUP($AC1410,MgMad,2,0))),"")</f>
        <v/>
      </c>
      <c r="AE1410" s="28">
        <f>IFERROR(LOOKUP(AD1410,{0;0.01;0.1;1;10;100},{"Muy baja";"Muy baja";"Baja";"Media";"Alta";"Muy alta"}),"")</f>
        <v/>
      </c>
      <c r="AF1410" s="30">
        <f>T1410*AD1410</f>
        <v/>
      </c>
      <c r="AG1410" s="28">
        <f>IFERROR(LOOKUP(AF1410,{0;0.5;5;25},{"Bajo";"Medio";"Alto";"Crítico"}),"")</f>
        <v/>
      </c>
      <c r="AH1410" s="28">
        <f>IF(AG1410="","",IF(OR(AG1410="Crítico",AG1410="Alto"),"Mitigar",IF(AG1410="Medio","Mitigar","Aceptar y monitorear")))</f>
        <v/>
      </c>
      <c r="AI1410" s="21" t="n"/>
      <c r="AJ1410" s="21" t="n"/>
      <c r="AK1410" s="20" t="n"/>
      <c r="AL1410" s="77">
        <f>IFERROR(INDEX(MgAmenEfic,MATCH(SUBSTITUTE($H1410,"*","-"),MgAmenClave,0)),0)</f>
        <v/>
      </c>
    </row>
    <row r="1411" hidden="1" ht="60" customHeight="1" s="54">
      <c r="B1411" s="59" t="inlineStr">
        <is>
          <t>R-1406</t>
        </is>
      </c>
      <c r="C1411" s="59" t="inlineStr">
        <is>
          <t>GH-003</t>
        </is>
      </c>
      <c r="D1411" s="64">
        <f>IFERROR(INDEX(MgNombre,MATCH($C1411,MgActId,0)),"")</f>
        <v/>
      </c>
      <c r="E1411" s="64">
        <f>IFERROR(INDEX(MgProceso,MATCH($C1411,MgActId,0)),"")</f>
        <v/>
      </c>
      <c r="F1411" s="64">
        <f>IFERROR(INDEX(MgTipo,MATCH($C1411,MgActId,0)),"")</f>
        <v/>
      </c>
      <c r="G1411" s="64">
        <f>IFERROR(INDEX(MgSubtipo,MATCH($C1411,MgActId,0)),"")</f>
        <v/>
      </c>
      <c r="H1411" s="59" t="inlineStr">
        <is>
          <t>E.18</t>
        </is>
      </c>
      <c r="I1411" s="64">
        <f>IFERROR(INDEX(MgAmenNombre,MATCH(SUBSTITUTE($H1411,"*","-"),MgAmenClave,0)),"")</f>
        <v/>
      </c>
      <c r="J1411" s="28">
        <f>IFERROR(INDEX(MgAmenGrupo,MATCH(SUBSTITUTE($H1411,"*","-"),MgAmenClave,0)),"")</f>
        <v/>
      </c>
      <c r="K1411" s="64">
        <f>IFERROR(INDEX('1. Matriz de Activos'!$Q$6:$Q$239,MATCH($C1411,MgActId,0)),"")</f>
        <v/>
      </c>
      <c r="L1411" s="64">
        <f>IFERROR(INDEX('1. Matriz de Activos'!$R$6:$R$239,MATCH($C1411,MgActId,0)),"")</f>
        <v/>
      </c>
      <c r="M1411" s="64">
        <f>IFERROR(INDEX('1. Matriz de Activos'!$S$6:$S$239,MATCH($C1411,MgActId,0)),"")</f>
        <v/>
      </c>
      <c r="N1411" s="28">
        <f>IFERROR(INDEX(MgAmenDegD,MATCH(SUBSTITUTE($H1411,"*","-"),MgAmenClave,0)),"No aplica")</f>
        <v/>
      </c>
      <c r="O1411" s="28">
        <f>IFERROR(INDEX(MgAmenDegI,MATCH(SUBSTITUTE($H1411,"*","-"),MgAmenClave,0)),"No aplica")</f>
        <v/>
      </c>
      <c r="P1411" s="28">
        <f>IFERROR(INDEX(MgAmenDegC,MATCH(SUBSTITUTE($H1411,"*","-"),MgAmenClave,0)),"No aplica")</f>
        <v/>
      </c>
      <c r="Q1411" s="29">
        <f>IFERROR(VLOOKUP(K1411,MgValor,2,0)*VLOOKUP(N1411,MgDeg,2,0),0)</f>
        <v/>
      </c>
      <c r="R1411" s="29">
        <f>IFERROR(VLOOKUP(L1411,MgValor,2,0)*VLOOKUP(O1411,MgDeg,2,0),0)</f>
        <v/>
      </c>
      <c r="S1411" s="29">
        <f>IFERROR(VLOOKUP(M1411,MgValor,2,0)*VLOOKUP(P1411,MgDeg,2,0),0)</f>
        <v/>
      </c>
      <c r="T1411" s="30">
        <f>MAX(Q1411:S1411)</f>
        <v/>
      </c>
      <c r="U1411" s="28">
        <f>IFERROR(LOOKUP(T1411,{0;0.5;1.5;3;4.5},{"Despreciable";"Bajo";"Medio";"Alto";"Muy alto"}),"")</f>
        <v/>
      </c>
      <c r="V1411" s="13">
        <f>IFERROR(INDEX(MgAmenFrec,MATCH(SUBSTITUTE($H1411,"*","-"),MgAmenClave,0)),"")</f>
        <v/>
      </c>
      <c r="W1411" s="28">
        <f>IFERROR(LOOKUP(X1411,{0;0.01;0.1;1;10;100},{"Muy baja";"Muy baja";"Baja";"Media";"Alta";"Muy alta"}),"")</f>
        <v/>
      </c>
      <c r="X1411" s="31">
        <f>IFERROR(VLOOKUP(V1411,MgFrec,2,0),0)</f>
        <v/>
      </c>
      <c r="Y1411" s="30">
        <f>T1411*X1411</f>
        <v/>
      </c>
      <c r="Z1411" s="28">
        <f>IFERROR(LOOKUP(Y1411,{0;0.5;5;25},{"Bajo";"Medio";"Alto";"Crítico"}),"")</f>
        <v/>
      </c>
      <c r="AA1411" s="64">
        <f>IF(T1411&gt;=3,IF(X1411&gt;=1,"Zona 1 — Crítica: impacto alto y ocurre al menos una vez al año","Zona 4 — Catastrófica poco probable: impacto alto pero excepcional"),IF(AND(T1411&lt;1.5,X1411&lt;1),"Zona 3 — Asumible: impacto bajo y muy poco frecuente","Zona 2 — Atención: riesgo intermedio"))</f>
        <v/>
      </c>
      <c r="AB1411" s="64">
        <f>IFERROR(INDEX(MgAmenCtrl,MATCH(SUBSTITUTE($H1411,"*","-"),MgAmenClave,0)),"")</f>
        <v/>
      </c>
      <c r="AC1411" s="20" t="n"/>
      <c r="AD1411" s="31">
        <f>IFERROR($X1411*(1-IF($AC1411="",$AL1411,VLOOKUP($AC1411,MgMad,2,0))),"")</f>
        <v/>
      </c>
      <c r="AE1411" s="28">
        <f>IFERROR(LOOKUP(AD1411,{0;0.01;0.1;1;10;100},{"Muy baja";"Muy baja";"Baja";"Media";"Alta";"Muy alta"}),"")</f>
        <v/>
      </c>
      <c r="AF1411" s="30">
        <f>T1411*AD1411</f>
        <v/>
      </c>
      <c r="AG1411" s="28">
        <f>IFERROR(LOOKUP(AF1411,{0;0.5;5;25},{"Bajo";"Medio";"Alto";"Crítico"}),"")</f>
        <v/>
      </c>
      <c r="AH1411" s="28">
        <f>IF(AG1411="","",IF(OR(AG1411="Crítico",AG1411="Alto"),"Mitigar",IF(AG1411="Medio","Mitigar","Aceptar y monitorear")))</f>
        <v/>
      </c>
      <c r="AI1411" s="21" t="n"/>
      <c r="AJ1411" s="21" t="n"/>
      <c r="AK1411" s="20" t="n"/>
      <c r="AL1411" s="77">
        <f>IFERROR(INDEX(MgAmenEfic,MATCH(SUBSTITUTE($H1411,"*","-"),MgAmenClave,0)),0)</f>
        <v/>
      </c>
    </row>
    <row r="1412" hidden="1" ht="105" customHeight="1" s="54">
      <c r="B1412" s="59" t="inlineStr">
        <is>
          <t>R-1407</t>
        </is>
      </c>
      <c r="C1412" s="59" t="inlineStr">
        <is>
          <t>GH-003</t>
        </is>
      </c>
      <c r="D1412" s="64">
        <f>IFERROR(INDEX(MgNombre,MATCH($C1412,MgActId,0)),"")</f>
        <v/>
      </c>
      <c r="E1412" s="64">
        <f>IFERROR(INDEX(MgProceso,MATCH($C1412,MgActId,0)),"")</f>
        <v/>
      </c>
      <c r="F1412" s="64">
        <f>IFERROR(INDEX(MgTipo,MATCH($C1412,MgActId,0)),"")</f>
        <v/>
      </c>
      <c r="G1412" s="64">
        <f>IFERROR(INDEX(MgSubtipo,MATCH($C1412,MgActId,0)),"")</f>
        <v/>
      </c>
      <c r="H1412" s="59" t="inlineStr">
        <is>
          <t>E.19</t>
        </is>
      </c>
      <c r="I1412" s="64">
        <f>IFERROR(INDEX(MgAmenNombre,MATCH(SUBSTITUTE($H1412,"*","-"),MgAmenClave,0)),"")</f>
        <v/>
      </c>
      <c r="J1412" s="28">
        <f>IFERROR(INDEX(MgAmenGrupo,MATCH(SUBSTITUTE($H1412,"*","-"),MgAmenClave,0)),"")</f>
        <v/>
      </c>
      <c r="K1412" s="64">
        <f>IFERROR(INDEX('1. Matriz de Activos'!$Q$6:$Q$239,MATCH($C1412,MgActId,0)),"")</f>
        <v/>
      </c>
      <c r="L1412" s="64">
        <f>IFERROR(INDEX('1. Matriz de Activos'!$R$6:$R$239,MATCH($C1412,MgActId,0)),"")</f>
        <v/>
      </c>
      <c r="M1412" s="64">
        <f>IFERROR(INDEX('1. Matriz de Activos'!$S$6:$S$239,MATCH($C1412,MgActId,0)),"")</f>
        <v/>
      </c>
      <c r="N1412" s="28">
        <f>IFERROR(INDEX(MgAmenDegD,MATCH(SUBSTITUTE($H1412,"*","-"),MgAmenClave,0)),"No aplica")</f>
        <v/>
      </c>
      <c r="O1412" s="28">
        <f>IFERROR(INDEX(MgAmenDegI,MATCH(SUBSTITUTE($H1412,"*","-"),MgAmenClave,0)),"No aplica")</f>
        <v/>
      </c>
      <c r="P1412" s="28">
        <f>IFERROR(INDEX(MgAmenDegC,MATCH(SUBSTITUTE($H1412,"*","-"),MgAmenClave,0)),"No aplica")</f>
        <v/>
      </c>
      <c r="Q1412" s="29">
        <f>IFERROR(VLOOKUP(K1412,MgValor,2,0)*VLOOKUP(N1412,MgDeg,2,0),0)</f>
        <v/>
      </c>
      <c r="R1412" s="29">
        <f>IFERROR(VLOOKUP(L1412,MgValor,2,0)*VLOOKUP(O1412,MgDeg,2,0),0)</f>
        <v/>
      </c>
      <c r="S1412" s="29">
        <f>IFERROR(VLOOKUP(M1412,MgValor,2,0)*VLOOKUP(P1412,MgDeg,2,0),0)</f>
        <v/>
      </c>
      <c r="T1412" s="30">
        <f>MAX(Q1412:S1412)</f>
        <v/>
      </c>
      <c r="U1412" s="28">
        <f>IFERROR(LOOKUP(T1412,{0;0.5;1.5;3;4.5},{"Despreciable";"Bajo";"Medio";"Alto";"Muy alto"}),"")</f>
        <v/>
      </c>
      <c r="V1412" s="13">
        <f>IFERROR(INDEX(MgAmenFrec,MATCH(SUBSTITUTE($H1412,"*","-"),MgAmenClave,0)),"")</f>
        <v/>
      </c>
      <c r="W1412" s="28">
        <f>IFERROR(LOOKUP(X1412,{0;0.01;0.1;1;10;100},{"Muy baja";"Muy baja";"Baja";"Media";"Alta";"Muy alta"}),"")</f>
        <v/>
      </c>
      <c r="X1412" s="31">
        <f>IFERROR(VLOOKUP(V1412,MgFrec,2,0),0)</f>
        <v/>
      </c>
      <c r="Y1412" s="30">
        <f>T1412*X1412</f>
        <v/>
      </c>
      <c r="Z1412" s="28">
        <f>IFERROR(LOOKUP(Y1412,{0;0.5;5;25},{"Bajo";"Medio";"Alto";"Crítico"}),"")</f>
        <v/>
      </c>
      <c r="AA1412" s="64">
        <f>IF(T1412&gt;=3,IF(X1412&gt;=1,"Zona 1 — Crítica: impacto alto y ocurre al menos una vez al año","Zona 4 — Catastrófica poco probable: impacto alto pero excepcional"),IF(AND(T1412&lt;1.5,X1412&lt;1),"Zona 3 — Asumible: impacto bajo y muy poco frecuente","Zona 2 — Atención: riesgo intermedio"))</f>
        <v/>
      </c>
      <c r="AB1412" s="64">
        <f>IFERROR(INDEX(MgAmenCtrl,MATCH(SUBSTITUTE($H1412,"*","-"),MgAmenClave,0)),"")</f>
        <v/>
      </c>
      <c r="AC1412" s="20" t="n"/>
      <c r="AD1412" s="31">
        <f>IFERROR($X1412*(1-IF($AC1412="",$AL1412,VLOOKUP($AC1412,MgMad,2,0))),"")</f>
        <v/>
      </c>
      <c r="AE1412" s="28">
        <f>IFERROR(LOOKUP(AD1412,{0;0.01;0.1;1;10;100},{"Muy baja";"Muy baja";"Baja";"Media";"Alta";"Muy alta"}),"")</f>
        <v/>
      </c>
      <c r="AF1412" s="30">
        <f>T1412*AD1412</f>
        <v/>
      </c>
      <c r="AG1412" s="28">
        <f>IFERROR(LOOKUP(AF1412,{0;0.5;5;25},{"Bajo";"Medio";"Alto";"Crítico"}),"")</f>
        <v/>
      </c>
      <c r="AH1412" s="28">
        <f>IF(AG1412="","",IF(OR(AG1412="Crítico",AG1412="Alto"),"Mitigar",IF(AG1412="Medio","Mitigar","Aceptar y monitorear")))</f>
        <v/>
      </c>
      <c r="AI1412" s="21" t="n"/>
      <c r="AJ1412" s="21" t="n"/>
      <c r="AK1412" s="20" t="n"/>
      <c r="AL1412" s="77">
        <f>IFERROR(INDEX(MgAmenEfic,MATCH(SUBSTITUTE($H1412,"*","-"),MgAmenClave,0)),0)</f>
        <v/>
      </c>
    </row>
    <row r="1413" hidden="1" ht="60" customHeight="1" s="54">
      <c r="B1413" s="59" t="inlineStr">
        <is>
          <t>R-1408</t>
        </is>
      </c>
      <c r="C1413" s="59" t="inlineStr">
        <is>
          <t>GH-003</t>
        </is>
      </c>
      <c r="D1413" s="64">
        <f>IFERROR(INDEX(MgNombre,MATCH($C1413,MgActId,0)),"")</f>
        <v/>
      </c>
      <c r="E1413" s="64">
        <f>IFERROR(INDEX(MgProceso,MATCH($C1413,MgActId,0)),"")</f>
        <v/>
      </c>
      <c r="F1413" s="64">
        <f>IFERROR(INDEX(MgTipo,MATCH($C1413,MgActId,0)),"")</f>
        <v/>
      </c>
      <c r="G1413" s="64">
        <f>IFERROR(INDEX(MgSubtipo,MATCH($C1413,MgActId,0)),"")</f>
        <v/>
      </c>
      <c r="H1413" s="59" t="inlineStr">
        <is>
          <t>A.3</t>
        </is>
      </c>
      <c r="I1413" s="64">
        <f>IFERROR(INDEX(MgAmenNombre,MATCH(SUBSTITUTE($H1413,"*","-"),MgAmenClave,0)),"")</f>
        <v/>
      </c>
      <c r="J1413" s="28">
        <f>IFERROR(INDEX(MgAmenGrupo,MATCH(SUBSTITUTE($H1413,"*","-"),MgAmenClave,0)),"")</f>
        <v/>
      </c>
      <c r="K1413" s="64">
        <f>IFERROR(INDEX('1. Matriz de Activos'!$Q$6:$Q$239,MATCH($C1413,MgActId,0)),"")</f>
        <v/>
      </c>
      <c r="L1413" s="64">
        <f>IFERROR(INDEX('1. Matriz de Activos'!$R$6:$R$239,MATCH($C1413,MgActId,0)),"")</f>
        <v/>
      </c>
      <c r="M1413" s="64">
        <f>IFERROR(INDEX('1. Matriz de Activos'!$S$6:$S$239,MATCH($C1413,MgActId,0)),"")</f>
        <v/>
      </c>
      <c r="N1413" s="28">
        <f>IFERROR(INDEX(MgAmenDegD,MATCH(SUBSTITUTE($H1413,"*","-"),MgAmenClave,0)),"No aplica")</f>
        <v/>
      </c>
      <c r="O1413" s="28">
        <f>IFERROR(INDEX(MgAmenDegI,MATCH(SUBSTITUTE($H1413,"*","-"),MgAmenClave,0)),"No aplica")</f>
        <v/>
      </c>
      <c r="P1413" s="28">
        <f>IFERROR(INDEX(MgAmenDegC,MATCH(SUBSTITUTE($H1413,"*","-"),MgAmenClave,0)),"No aplica")</f>
        <v/>
      </c>
      <c r="Q1413" s="29">
        <f>IFERROR(VLOOKUP(K1413,MgValor,2,0)*VLOOKUP(N1413,MgDeg,2,0),0)</f>
        <v/>
      </c>
      <c r="R1413" s="29">
        <f>IFERROR(VLOOKUP(L1413,MgValor,2,0)*VLOOKUP(O1413,MgDeg,2,0),0)</f>
        <v/>
      </c>
      <c r="S1413" s="29">
        <f>IFERROR(VLOOKUP(M1413,MgValor,2,0)*VLOOKUP(P1413,MgDeg,2,0),0)</f>
        <v/>
      </c>
      <c r="T1413" s="30">
        <f>MAX(Q1413:S1413)</f>
        <v/>
      </c>
      <c r="U1413" s="28">
        <f>IFERROR(LOOKUP(T1413,{0;0.5;1.5;3;4.5},{"Despreciable";"Bajo";"Medio";"Alto";"Muy alto"}),"")</f>
        <v/>
      </c>
      <c r="V1413" s="13">
        <f>IFERROR(INDEX(MgAmenFrec,MATCH(SUBSTITUTE($H1413,"*","-"),MgAmenClave,0)),"")</f>
        <v/>
      </c>
      <c r="W1413" s="28">
        <f>IFERROR(LOOKUP(X1413,{0;0.01;0.1;1;10;100},{"Muy baja";"Muy baja";"Baja";"Media";"Alta";"Muy alta"}),"")</f>
        <v/>
      </c>
      <c r="X1413" s="31">
        <f>IFERROR(VLOOKUP(V1413,MgFrec,2,0),0)</f>
        <v/>
      </c>
      <c r="Y1413" s="30">
        <f>T1413*X1413</f>
        <v/>
      </c>
      <c r="Z1413" s="28">
        <f>IFERROR(LOOKUP(Y1413,{0;0.5;5;25},{"Bajo";"Medio";"Alto";"Crítico"}),"")</f>
        <v/>
      </c>
      <c r="AA1413" s="64">
        <f>IF(T1413&gt;=3,IF(X1413&gt;=1,"Zona 1 — Crítica: impacto alto y ocurre al menos una vez al año","Zona 4 — Catastrófica poco probable: impacto alto pero excepcional"),IF(AND(T1413&lt;1.5,X1413&lt;1),"Zona 3 — Asumible: impacto bajo y muy poco frecuente","Zona 2 — Atención: riesgo intermedio"))</f>
        <v/>
      </c>
      <c r="AB1413" s="64">
        <f>IFERROR(INDEX(MgAmenCtrl,MATCH(SUBSTITUTE($H1413,"*","-"),MgAmenClave,0)),"")</f>
        <v/>
      </c>
      <c r="AC1413" s="20" t="n"/>
      <c r="AD1413" s="31">
        <f>IFERROR($X1413*(1-IF($AC1413="",$AL1413,VLOOKUP($AC1413,MgMad,2,0))),"")</f>
        <v/>
      </c>
      <c r="AE1413" s="28">
        <f>IFERROR(LOOKUP(AD1413,{0;0.01;0.1;1;10;100},{"Muy baja";"Muy baja";"Baja";"Media";"Alta";"Muy alta"}),"")</f>
        <v/>
      </c>
      <c r="AF1413" s="30">
        <f>T1413*AD1413</f>
        <v/>
      </c>
      <c r="AG1413" s="28">
        <f>IFERROR(LOOKUP(AF1413,{0;0.5;5;25},{"Bajo";"Medio";"Alto";"Crítico"}),"")</f>
        <v/>
      </c>
      <c r="AH1413" s="28">
        <f>IF(AG1413="","",IF(OR(AG1413="Crítico",AG1413="Alto"),"Mitigar",IF(AG1413="Medio","Mitigar","Aceptar y monitorear")))</f>
        <v/>
      </c>
      <c r="AI1413" s="21" t="n"/>
      <c r="AJ1413" s="21" t="n"/>
      <c r="AK1413" s="20" t="n"/>
      <c r="AL1413" s="77">
        <f>IFERROR(INDEX(MgAmenEfic,MATCH(SUBSTITUTE($H1413,"*","-"),MgAmenClave,0)),0)</f>
        <v/>
      </c>
    </row>
    <row r="1414" hidden="1" ht="60" customHeight="1" s="54">
      <c r="B1414" s="59" t="inlineStr">
        <is>
          <t>R-1409</t>
        </is>
      </c>
      <c r="C1414" s="59" t="inlineStr">
        <is>
          <t>GH-003</t>
        </is>
      </c>
      <c r="D1414" s="64">
        <f>IFERROR(INDEX(MgNombre,MATCH($C1414,MgActId,0)),"")</f>
        <v/>
      </c>
      <c r="E1414" s="64">
        <f>IFERROR(INDEX(MgProceso,MATCH($C1414,MgActId,0)),"")</f>
        <v/>
      </c>
      <c r="F1414" s="64">
        <f>IFERROR(INDEX(MgTipo,MATCH($C1414,MgActId,0)),"")</f>
        <v/>
      </c>
      <c r="G1414" s="64">
        <f>IFERROR(INDEX(MgSubtipo,MATCH($C1414,MgActId,0)),"")</f>
        <v/>
      </c>
      <c r="H1414" s="59" t="inlineStr">
        <is>
          <t>A.4</t>
        </is>
      </c>
      <c r="I1414" s="64">
        <f>IFERROR(INDEX(MgAmenNombre,MATCH(SUBSTITUTE($H1414,"*","-"),MgAmenClave,0)),"")</f>
        <v/>
      </c>
      <c r="J1414" s="28">
        <f>IFERROR(INDEX(MgAmenGrupo,MATCH(SUBSTITUTE($H1414,"*","-"),MgAmenClave,0)),"")</f>
        <v/>
      </c>
      <c r="K1414" s="64">
        <f>IFERROR(INDEX('1. Matriz de Activos'!$Q$6:$Q$239,MATCH($C1414,MgActId,0)),"")</f>
        <v/>
      </c>
      <c r="L1414" s="64">
        <f>IFERROR(INDEX('1. Matriz de Activos'!$R$6:$R$239,MATCH($C1414,MgActId,0)),"")</f>
        <v/>
      </c>
      <c r="M1414" s="64">
        <f>IFERROR(INDEX('1. Matriz de Activos'!$S$6:$S$239,MATCH($C1414,MgActId,0)),"")</f>
        <v/>
      </c>
      <c r="N1414" s="28">
        <f>IFERROR(INDEX(MgAmenDegD,MATCH(SUBSTITUTE($H1414,"*","-"),MgAmenClave,0)),"No aplica")</f>
        <v/>
      </c>
      <c r="O1414" s="28">
        <f>IFERROR(INDEX(MgAmenDegI,MATCH(SUBSTITUTE($H1414,"*","-"),MgAmenClave,0)),"No aplica")</f>
        <v/>
      </c>
      <c r="P1414" s="28">
        <f>IFERROR(INDEX(MgAmenDegC,MATCH(SUBSTITUTE($H1414,"*","-"),MgAmenClave,0)),"No aplica")</f>
        <v/>
      </c>
      <c r="Q1414" s="29">
        <f>IFERROR(VLOOKUP(K1414,MgValor,2,0)*VLOOKUP(N1414,MgDeg,2,0),0)</f>
        <v/>
      </c>
      <c r="R1414" s="29">
        <f>IFERROR(VLOOKUP(L1414,MgValor,2,0)*VLOOKUP(O1414,MgDeg,2,0),0)</f>
        <v/>
      </c>
      <c r="S1414" s="29">
        <f>IFERROR(VLOOKUP(M1414,MgValor,2,0)*VLOOKUP(P1414,MgDeg,2,0),0)</f>
        <v/>
      </c>
      <c r="T1414" s="30">
        <f>MAX(Q1414:S1414)</f>
        <v/>
      </c>
      <c r="U1414" s="28">
        <f>IFERROR(LOOKUP(T1414,{0;0.5;1.5;3;4.5},{"Despreciable";"Bajo";"Medio";"Alto";"Muy alto"}),"")</f>
        <v/>
      </c>
      <c r="V1414" s="13">
        <f>IFERROR(INDEX(MgAmenFrec,MATCH(SUBSTITUTE($H1414,"*","-"),MgAmenClave,0)),"")</f>
        <v/>
      </c>
      <c r="W1414" s="28">
        <f>IFERROR(LOOKUP(X1414,{0;0.01;0.1;1;10;100},{"Muy baja";"Muy baja";"Baja";"Media";"Alta";"Muy alta"}),"")</f>
        <v/>
      </c>
      <c r="X1414" s="31">
        <f>IFERROR(VLOOKUP(V1414,MgFrec,2,0),0)</f>
        <v/>
      </c>
      <c r="Y1414" s="30">
        <f>T1414*X1414</f>
        <v/>
      </c>
      <c r="Z1414" s="28">
        <f>IFERROR(LOOKUP(Y1414,{0;0.5;5;25},{"Bajo";"Medio";"Alto";"Crítico"}),"")</f>
        <v/>
      </c>
      <c r="AA1414" s="64">
        <f>IF(T1414&gt;=3,IF(X1414&gt;=1,"Zona 1 — Crítica: impacto alto y ocurre al menos una vez al año","Zona 4 — Catastrófica poco probable: impacto alto pero excepcional"),IF(AND(T1414&lt;1.5,X1414&lt;1),"Zona 3 — Asumible: impacto bajo y muy poco frecuente","Zona 2 — Atención: riesgo intermedio"))</f>
        <v/>
      </c>
      <c r="AB1414" s="64">
        <f>IFERROR(INDEX(MgAmenCtrl,MATCH(SUBSTITUTE($H1414,"*","-"),MgAmenClave,0)),"")</f>
        <v/>
      </c>
      <c r="AC1414" s="20" t="n"/>
      <c r="AD1414" s="31">
        <f>IFERROR($X1414*(1-IF($AC1414="",$AL1414,VLOOKUP($AC1414,MgMad,2,0))),"")</f>
        <v/>
      </c>
      <c r="AE1414" s="28">
        <f>IFERROR(LOOKUP(AD1414,{0;0.01;0.1;1;10;100},{"Muy baja";"Muy baja";"Baja";"Media";"Alta";"Muy alta"}),"")</f>
        <v/>
      </c>
      <c r="AF1414" s="30">
        <f>T1414*AD1414</f>
        <v/>
      </c>
      <c r="AG1414" s="28">
        <f>IFERROR(LOOKUP(AF1414,{0;0.5;5;25},{"Bajo";"Medio";"Alto";"Crítico"}),"")</f>
        <v/>
      </c>
      <c r="AH1414" s="28">
        <f>IF(AG1414="","",IF(OR(AG1414="Crítico",AG1414="Alto"),"Mitigar",IF(AG1414="Medio","Mitigar","Aceptar y monitorear")))</f>
        <v/>
      </c>
      <c r="AI1414" s="21" t="n"/>
      <c r="AJ1414" s="21" t="n"/>
      <c r="AK1414" s="20" t="n"/>
      <c r="AL1414" s="77">
        <f>IFERROR(INDEX(MgAmenEfic,MATCH(SUBSTITUTE($H1414,"*","-"),MgAmenClave,0)),0)</f>
        <v/>
      </c>
    </row>
    <row r="1415" hidden="1" ht="75" customHeight="1" s="54">
      <c r="B1415" s="59" t="inlineStr">
        <is>
          <t>R-1410</t>
        </is>
      </c>
      <c r="C1415" s="59" t="inlineStr">
        <is>
          <t>GH-003</t>
        </is>
      </c>
      <c r="D1415" s="64">
        <f>IFERROR(INDEX(MgNombre,MATCH($C1415,MgActId,0)),"")</f>
        <v/>
      </c>
      <c r="E1415" s="64">
        <f>IFERROR(INDEX(MgProceso,MATCH($C1415,MgActId,0)),"")</f>
        <v/>
      </c>
      <c r="F1415" s="64">
        <f>IFERROR(INDEX(MgTipo,MATCH($C1415,MgActId,0)),"")</f>
        <v/>
      </c>
      <c r="G1415" s="64">
        <f>IFERROR(INDEX(MgSubtipo,MATCH($C1415,MgActId,0)),"")</f>
        <v/>
      </c>
      <c r="H1415" s="59" t="inlineStr">
        <is>
          <t>A.5</t>
        </is>
      </c>
      <c r="I1415" s="64">
        <f>IFERROR(INDEX(MgAmenNombre,MATCH(SUBSTITUTE($H1415,"*","-"),MgAmenClave,0)),"")</f>
        <v/>
      </c>
      <c r="J1415" s="28">
        <f>IFERROR(INDEX(MgAmenGrupo,MATCH(SUBSTITUTE($H1415,"*","-"),MgAmenClave,0)),"")</f>
        <v/>
      </c>
      <c r="K1415" s="64">
        <f>IFERROR(INDEX('1. Matriz de Activos'!$Q$6:$Q$239,MATCH($C1415,MgActId,0)),"")</f>
        <v/>
      </c>
      <c r="L1415" s="64">
        <f>IFERROR(INDEX('1. Matriz de Activos'!$R$6:$R$239,MATCH($C1415,MgActId,0)),"")</f>
        <v/>
      </c>
      <c r="M1415" s="64">
        <f>IFERROR(INDEX('1. Matriz de Activos'!$S$6:$S$239,MATCH($C1415,MgActId,0)),"")</f>
        <v/>
      </c>
      <c r="N1415" s="28">
        <f>IFERROR(INDEX(MgAmenDegD,MATCH(SUBSTITUTE($H1415,"*","-"),MgAmenClave,0)),"No aplica")</f>
        <v/>
      </c>
      <c r="O1415" s="28">
        <f>IFERROR(INDEX(MgAmenDegI,MATCH(SUBSTITUTE($H1415,"*","-"),MgAmenClave,0)),"No aplica")</f>
        <v/>
      </c>
      <c r="P1415" s="28">
        <f>IFERROR(INDEX(MgAmenDegC,MATCH(SUBSTITUTE($H1415,"*","-"),MgAmenClave,0)),"No aplica")</f>
        <v/>
      </c>
      <c r="Q1415" s="29">
        <f>IFERROR(VLOOKUP(K1415,MgValor,2,0)*VLOOKUP(N1415,MgDeg,2,0),0)</f>
        <v/>
      </c>
      <c r="R1415" s="29">
        <f>IFERROR(VLOOKUP(L1415,MgValor,2,0)*VLOOKUP(O1415,MgDeg,2,0),0)</f>
        <v/>
      </c>
      <c r="S1415" s="29">
        <f>IFERROR(VLOOKUP(M1415,MgValor,2,0)*VLOOKUP(P1415,MgDeg,2,0),0)</f>
        <v/>
      </c>
      <c r="T1415" s="30">
        <f>MAX(Q1415:S1415)</f>
        <v/>
      </c>
      <c r="U1415" s="28">
        <f>IFERROR(LOOKUP(T1415,{0;0.5;1.5;3;4.5},{"Despreciable";"Bajo";"Medio";"Alto";"Muy alto"}),"")</f>
        <v/>
      </c>
      <c r="V1415" s="13">
        <f>IFERROR(INDEX(MgAmenFrec,MATCH(SUBSTITUTE($H1415,"*","-"),MgAmenClave,0)),"")</f>
        <v/>
      </c>
      <c r="W1415" s="28">
        <f>IFERROR(LOOKUP(X1415,{0;0.01;0.1;1;10;100},{"Muy baja";"Muy baja";"Baja";"Media";"Alta";"Muy alta"}),"")</f>
        <v/>
      </c>
      <c r="X1415" s="31">
        <f>IFERROR(VLOOKUP(V1415,MgFrec,2,0),0)</f>
        <v/>
      </c>
      <c r="Y1415" s="30">
        <f>T1415*X1415</f>
        <v/>
      </c>
      <c r="Z1415" s="28">
        <f>IFERROR(LOOKUP(Y1415,{0;0.5;5;25},{"Bajo";"Medio";"Alto";"Crítico"}),"")</f>
        <v/>
      </c>
      <c r="AA1415" s="64">
        <f>IF(T1415&gt;=3,IF(X1415&gt;=1,"Zona 1 — Crítica: impacto alto y ocurre al menos una vez al año","Zona 4 — Catastrófica poco probable: impacto alto pero excepcional"),IF(AND(T1415&lt;1.5,X1415&lt;1),"Zona 3 — Asumible: impacto bajo y muy poco frecuente","Zona 2 — Atención: riesgo intermedio"))</f>
        <v/>
      </c>
      <c r="AB1415" s="64">
        <f>IFERROR(INDEX(MgAmenCtrl,MATCH(SUBSTITUTE($H1415,"*","-"),MgAmenClave,0)),"")</f>
        <v/>
      </c>
      <c r="AC1415" s="20" t="n"/>
      <c r="AD1415" s="31">
        <f>IFERROR($X1415*(1-IF($AC1415="",$AL1415,VLOOKUP($AC1415,MgMad,2,0))),"")</f>
        <v/>
      </c>
      <c r="AE1415" s="28">
        <f>IFERROR(LOOKUP(AD1415,{0;0.01;0.1;1;10;100},{"Muy baja";"Muy baja";"Baja";"Media";"Alta";"Muy alta"}),"")</f>
        <v/>
      </c>
      <c r="AF1415" s="30">
        <f>T1415*AD1415</f>
        <v/>
      </c>
      <c r="AG1415" s="28">
        <f>IFERROR(LOOKUP(AF1415,{0;0.5;5;25},{"Bajo";"Medio";"Alto";"Crítico"}),"")</f>
        <v/>
      </c>
      <c r="AH1415" s="28">
        <f>IF(AG1415="","",IF(OR(AG1415="Crítico",AG1415="Alto"),"Mitigar",IF(AG1415="Medio","Mitigar","Aceptar y monitorear")))</f>
        <v/>
      </c>
      <c r="AI1415" s="21" t="n"/>
      <c r="AJ1415" s="21" t="n"/>
      <c r="AK1415" s="20" t="n"/>
      <c r="AL1415" s="77">
        <f>IFERROR(INDEX(MgAmenEfic,MATCH(SUBSTITUTE($H1415,"*","-"),MgAmenClave,0)),0)</f>
        <v/>
      </c>
    </row>
    <row r="1416" hidden="1" ht="105" customHeight="1" s="54">
      <c r="B1416" s="59" t="inlineStr">
        <is>
          <t>R-1411</t>
        </is>
      </c>
      <c r="C1416" s="59" t="inlineStr">
        <is>
          <t>GH-003</t>
        </is>
      </c>
      <c r="D1416" s="64">
        <f>IFERROR(INDEX(MgNombre,MATCH($C1416,MgActId,0)),"")</f>
        <v/>
      </c>
      <c r="E1416" s="64">
        <f>IFERROR(INDEX(MgProceso,MATCH($C1416,MgActId,0)),"")</f>
        <v/>
      </c>
      <c r="F1416" s="64">
        <f>IFERROR(INDEX(MgTipo,MATCH($C1416,MgActId,0)),"")</f>
        <v/>
      </c>
      <c r="G1416" s="64">
        <f>IFERROR(INDEX(MgSubtipo,MATCH($C1416,MgActId,0)),"")</f>
        <v/>
      </c>
      <c r="H1416" s="59" t="inlineStr">
        <is>
          <t>A.6</t>
        </is>
      </c>
      <c r="I1416" s="64">
        <f>IFERROR(INDEX(MgAmenNombre,MATCH(SUBSTITUTE($H1416,"*","-"),MgAmenClave,0)),"")</f>
        <v/>
      </c>
      <c r="J1416" s="28">
        <f>IFERROR(INDEX(MgAmenGrupo,MATCH(SUBSTITUTE($H1416,"*","-"),MgAmenClave,0)),"")</f>
        <v/>
      </c>
      <c r="K1416" s="64">
        <f>IFERROR(INDEX('1. Matriz de Activos'!$Q$6:$Q$239,MATCH($C1416,MgActId,0)),"")</f>
        <v/>
      </c>
      <c r="L1416" s="64">
        <f>IFERROR(INDEX('1. Matriz de Activos'!$R$6:$R$239,MATCH($C1416,MgActId,0)),"")</f>
        <v/>
      </c>
      <c r="M1416" s="64">
        <f>IFERROR(INDEX('1. Matriz de Activos'!$S$6:$S$239,MATCH($C1416,MgActId,0)),"")</f>
        <v/>
      </c>
      <c r="N1416" s="28">
        <f>IFERROR(INDEX(MgAmenDegD,MATCH(SUBSTITUTE($H1416,"*","-"),MgAmenClave,0)),"No aplica")</f>
        <v/>
      </c>
      <c r="O1416" s="28">
        <f>IFERROR(INDEX(MgAmenDegI,MATCH(SUBSTITUTE($H1416,"*","-"),MgAmenClave,0)),"No aplica")</f>
        <v/>
      </c>
      <c r="P1416" s="28">
        <f>IFERROR(INDEX(MgAmenDegC,MATCH(SUBSTITUTE($H1416,"*","-"),MgAmenClave,0)),"No aplica")</f>
        <v/>
      </c>
      <c r="Q1416" s="29">
        <f>IFERROR(VLOOKUP(K1416,MgValor,2,0)*VLOOKUP(N1416,MgDeg,2,0),0)</f>
        <v/>
      </c>
      <c r="R1416" s="29">
        <f>IFERROR(VLOOKUP(L1416,MgValor,2,0)*VLOOKUP(O1416,MgDeg,2,0),0)</f>
        <v/>
      </c>
      <c r="S1416" s="29">
        <f>IFERROR(VLOOKUP(M1416,MgValor,2,0)*VLOOKUP(P1416,MgDeg,2,0),0)</f>
        <v/>
      </c>
      <c r="T1416" s="30">
        <f>MAX(Q1416:S1416)</f>
        <v/>
      </c>
      <c r="U1416" s="28">
        <f>IFERROR(LOOKUP(T1416,{0;0.5;1.5;3;4.5},{"Despreciable";"Bajo";"Medio";"Alto";"Muy alto"}),"")</f>
        <v/>
      </c>
      <c r="V1416" s="13">
        <f>IFERROR(INDEX(MgAmenFrec,MATCH(SUBSTITUTE($H1416,"*","-"),MgAmenClave,0)),"")</f>
        <v/>
      </c>
      <c r="W1416" s="28">
        <f>IFERROR(LOOKUP(X1416,{0;0.01;0.1;1;10;100},{"Muy baja";"Muy baja";"Baja";"Media";"Alta";"Muy alta"}),"")</f>
        <v/>
      </c>
      <c r="X1416" s="31">
        <f>IFERROR(VLOOKUP(V1416,MgFrec,2,0),0)</f>
        <v/>
      </c>
      <c r="Y1416" s="30">
        <f>T1416*X1416</f>
        <v/>
      </c>
      <c r="Z1416" s="28">
        <f>IFERROR(LOOKUP(Y1416,{0;0.5;5;25},{"Bajo";"Medio";"Alto";"Crítico"}),"")</f>
        <v/>
      </c>
      <c r="AA1416" s="64">
        <f>IF(T1416&gt;=3,IF(X1416&gt;=1,"Zona 1 — Crítica: impacto alto y ocurre al menos una vez al año","Zona 4 — Catastrófica poco probable: impacto alto pero excepcional"),IF(AND(T1416&lt;1.5,X1416&lt;1),"Zona 3 — Asumible: impacto bajo y muy poco frecuente","Zona 2 — Atención: riesgo intermedio"))</f>
        <v/>
      </c>
      <c r="AB1416" s="64">
        <f>IFERROR(INDEX(MgAmenCtrl,MATCH(SUBSTITUTE($H1416,"*","-"),MgAmenClave,0)),"")</f>
        <v/>
      </c>
      <c r="AC1416" s="20" t="n"/>
      <c r="AD1416" s="31">
        <f>IFERROR($X1416*(1-IF($AC1416="",$AL1416,VLOOKUP($AC1416,MgMad,2,0))),"")</f>
        <v/>
      </c>
      <c r="AE1416" s="28">
        <f>IFERROR(LOOKUP(AD1416,{0;0.01;0.1;1;10;100},{"Muy baja";"Muy baja";"Baja";"Media";"Alta";"Muy alta"}),"")</f>
        <v/>
      </c>
      <c r="AF1416" s="30">
        <f>T1416*AD1416</f>
        <v/>
      </c>
      <c r="AG1416" s="28">
        <f>IFERROR(LOOKUP(AF1416,{0;0.5;5;25},{"Bajo";"Medio";"Alto";"Crítico"}),"")</f>
        <v/>
      </c>
      <c r="AH1416" s="28">
        <f>IF(AG1416="","",IF(OR(AG1416="Crítico",AG1416="Alto"),"Mitigar",IF(AG1416="Medio","Mitigar","Aceptar y monitorear")))</f>
        <v/>
      </c>
      <c r="AI1416" s="21" t="n"/>
      <c r="AJ1416" s="21" t="n"/>
      <c r="AK1416" s="20" t="n"/>
      <c r="AL1416" s="77">
        <f>IFERROR(INDEX(MgAmenEfic,MATCH(SUBSTITUTE($H1416,"*","-"),MgAmenClave,0)),0)</f>
        <v/>
      </c>
    </row>
    <row r="1417" hidden="1" ht="120" customHeight="1" s="54">
      <c r="B1417" s="59" t="inlineStr">
        <is>
          <t>R-1412</t>
        </is>
      </c>
      <c r="C1417" s="59" t="inlineStr">
        <is>
          <t>GH-003</t>
        </is>
      </c>
      <c r="D1417" s="64">
        <f>IFERROR(INDEX(MgNombre,MATCH($C1417,MgActId,0)),"")</f>
        <v/>
      </c>
      <c r="E1417" s="64">
        <f>IFERROR(INDEX(MgProceso,MATCH($C1417,MgActId,0)),"")</f>
        <v/>
      </c>
      <c r="F1417" s="64">
        <f>IFERROR(INDEX(MgTipo,MATCH($C1417,MgActId,0)),"")</f>
        <v/>
      </c>
      <c r="G1417" s="64">
        <f>IFERROR(INDEX(MgSubtipo,MATCH($C1417,MgActId,0)),"")</f>
        <v/>
      </c>
      <c r="H1417" s="59" t="inlineStr">
        <is>
          <t>A.11</t>
        </is>
      </c>
      <c r="I1417" s="64">
        <f>IFERROR(INDEX(MgAmenNombre,MATCH(SUBSTITUTE($H1417,"*","-"),MgAmenClave,0)),"")</f>
        <v/>
      </c>
      <c r="J1417" s="28">
        <f>IFERROR(INDEX(MgAmenGrupo,MATCH(SUBSTITUTE($H1417,"*","-"),MgAmenClave,0)),"")</f>
        <v/>
      </c>
      <c r="K1417" s="64">
        <f>IFERROR(INDEX('1. Matriz de Activos'!$Q$6:$Q$239,MATCH($C1417,MgActId,0)),"")</f>
        <v/>
      </c>
      <c r="L1417" s="64">
        <f>IFERROR(INDEX('1. Matriz de Activos'!$R$6:$R$239,MATCH($C1417,MgActId,0)),"")</f>
        <v/>
      </c>
      <c r="M1417" s="64">
        <f>IFERROR(INDEX('1. Matriz de Activos'!$S$6:$S$239,MATCH($C1417,MgActId,0)),"")</f>
        <v/>
      </c>
      <c r="N1417" s="28">
        <f>IFERROR(INDEX(MgAmenDegD,MATCH(SUBSTITUTE($H1417,"*","-"),MgAmenClave,0)),"No aplica")</f>
        <v/>
      </c>
      <c r="O1417" s="28">
        <f>IFERROR(INDEX(MgAmenDegI,MATCH(SUBSTITUTE($H1417,"*","-"),MgAmenClave,0)),"No aplica")</f>
        <v/>
      </c>
      <c r="P1417" s="28">
        <f>IFERROR(INDEX(MgAmenDegC,MATCH(SUBSTITUTE($H1417,"*","-"),MgAmenClave,0)),"No aplica")</f>
        <v/>
      </c>
      <c r="Q1417" s="29">
        <f>IFERROR(VLOOKUP(K1417,MgValor,2,0)*VLOOKUP(N1417,MgDeg,2,0),0)</f>
        <v/>
      </c>
      <c r="R1417" s="29">
        <f>IFERROR(VLOOKUP(L1417,MgValor,2,0)*VLOOKUP(O1417,MgDeg,2,0),0)</f>
        <v/>
      </c>
      <c r="S1417" s="29">
        <f>IFERROR(VLOOKUP(M1417,MgValor,2,0)*VLOOKUP(P1417,MgDeg,2,0),0)</f>
        <v/>
      </c>
      <c r="T1417" s="30">
        <f>MAX(Q1417:S1417)</f>
        <v/>
      </c>
      <c r="U1417" s="28">
        <f>IFERROR(LOOKUP(T1417,{0;0.5;1.5;3;4.5},{"Despreciable";"Bajo";"Medio";"Alto";"Muy alto"}),"")</f>
        <v/>
      </c>
      <c r="V1417" s="13">
        <f>IFERROR(INDEX(MgAmenFrec,MATCH(SUBSTITUTE($H1417,"*","-"),MgAmenClave,0)),"")</f>
        <v/>
      </c>
      <c r="W1417" s="28">
        <f>IFERROR(LOOKUP(X1417,{0;0.01;0.1;1;10;100},{"Muy baja";"Muy baja";"Baja";"Media";"Alta";"Muy alta"}),"")</f>
        <v/>
      </c>
      <c r="X1417" s="31">
        <f>IFERROR(VLOOKUP(V1417,MgFrec,2,0),0)</f>
        <v/>
      </c>
      <c r="Y1417" s="30">
        <f>T1417*X1417</f>
        <v/>
      </c>
      <c r="Z1417" s="28">
        <f>IFERROR(LOOKUP(Y1417,{0;0.5;5;25},{"Bajo";"Medio";"Alto";"Crítico"}),"")</f>
        <v/>
      </c>
      <c r="AA1417" s="64">
        <f>IF(T1417&gt;=3,IF(X1417&gt;=1,"Zona 1 — Crítica: impacto alto y ocurre al menos una vez al año","Zona 4 — Catastrófica poco probable: impacto alto pero excepcional"),IF(AND(T1417&lt;1.5,X1417&lt;1),"Zona 3 — Asumible: impacto bajo y muy poco frecuente","Zona 2 — Atención: riesgo intermedio"))</f>
        <v/>
      </c>
      <c r="AB1417" s="64">
        <f>IFERROR(INDEX(MgAmenCtrl,MATCH(SUBSTITUTE($H1417,"*","-"),MgAmenClave,0)),"")</f>
        <v/>
      </c>
      <c r="AC1417" s="20" t="n"/>
      <c r="AD1417" s="31">
        <f>IFERROR($X1417*(1-IF($AC1417="",$AL1417,VLOOKUP($AC1417,MgMad,2,0))),"")</f>
        <v/>
      </c>
      <c r="AE1417" s="28">
        <f>IFERROR(LOOKUP(AD1417,{0;0.01;0.1;1;10;100},{"Muy baja";"Muy baja";"Baja";"Media";"Alta";"Muy alta"}),"")</f>
        <v/>
      </c>
      <c r="AF1417" s="30">
        <f>T1417*AD1417</f>
        <v/>
      </c>
      <c r="AG1417" s="28">
        <f>IFERROR(LOOKUP(AF1417,{0;0.5;5;25},{"Bajo";"Medio";"Alto";"Crítico"}),"")</f>
        <v/>
      </c>
      <c r="AH1417" s="28">
        <f>IF(AG1417="","",IF(OR(AG1417="Crítico",AG1417="Alto"),"Mitigar",IF(AG1417="Medio","Mitigar","Aceptar y monitorear")))</f>
        <v/>
      </c>
      <c r="AI1417" s="21" t="n"/>
      <c r="AJ1417" s="21" t="n"/>
      <c r="AK1417" s="20" t="n"/>
      <c r="AL1417" s="77">
        <f>IFERROR(INDEX(MgAmenEfic,MATCH(SUBSTITUTE($H1417,"*","-"),MgAmenClave,0)),0)</f>
        <v/>
      </c>
    </row>
    <row r="1418" hidden="1" ht="90" customHeight="1" s="54">
      <c r="B1418" s="59" t="inlineStr">
        <is>
          <t>R-1413</t>
        </is>
      </c>
      <c r="C1418" s="59" t="inlineStr">
        <is>
          <t>GH-003</t>
        </is>
      </c>
      <c r="D1418" s="64">
        <f>IFERROR(INDEX(MgNombre,MATCH($C1418,MgActId,0)),"")</f>
        <v/>
      </c>
      <c r="E1418" s="64">
        <f>IFERROR(INDEX(MgProceso,MATCH($C1418,MgActId,0)),"")</f>
        <v/>
      </c>
      <c r="F1418" s="64">
        <f>IFERROR(INDEX(MgTipo,MATCH($C1418,MgActId,0)),"")</f>
        <v/>
      </c>
      <c r="G1418" s="64">
        <f>IFERROR(INDEX(MgSubtipo,MATCH($C1418,MgActId,0)),"")</f>
        <v/>
      </c>
      <c r="H1418" s="59" t="inlineStr">
        <is>
          <t>A.13</t>
        </is>
      </c>
      <c r="I1418" s="64">
        <f>IFERROR(INDEX(MgAmenNombre,MATCH(SUBSTITUTE($H1418,"*","-"),MgAmenClave,0)),"")</f>
        <v/>
      </c>
      <c r="J1418" s="28">
        <f>IFERROR(INDEX(MgAmenGrupo,MATCH(SUBSTITUTE($H1418,"*","-"),MgAmenClave,0)),"")</f>
        <v/>
      </c>
      <c r="K1418" s="64">
        <f>IFERROR(INDEX('1. Matriz de Activos'!$Q$6:$Q$239,MATCH($C1418,MgActId,0)),"")</f>
        <v/>
      </c>
      <c r="L1418" s="64">
        <f>IFERROR(INDEX('1. Matriz de Activos'!$R$6:$R$239,MATCH($C1418,MgActId,0)),"")</f>
        <v/>
      </c>
      <c r="M1418" s="64">
        <f>IFERROR(INDEX('1. Matriz de Activos'!$S$6:$S$239,MATCH($C1418,MgActId,0)),"")</f>
        <v/>
      </c>
      <c r="N1418" s="28">
        <f>IFERROR(INDEX(MgAmenDegD,MATCH(SUBSTITUTE($H1418,"*","-"),MgAmenClave,0)),"No aplica")</f>
        <v/>
      </c>
      <c r="O1418" s="28">
        <f>IFERROR(INDEX(MgAmenDegI,MATCH(SUBSTITUTE($H1418,"*","-"),MgAmenClave,0)),"No aplica")</f>
        <v/>
      </c>
      <c r="P1418" s="28">
        <f>IFERROR(INDEX(MgAmenDegC,MATCH(SUBSTITUTE($H1418,"*","-"),MgAmenClave,0)),"No aplica")</f>
        <v/>
      </c>
      <c r="Q1418" s="29">
        <f>IFERROR(VLOOKUP(K1418,MgValor,2,0)*VLOOKUP(N1418,MgDeg,2,0),0)</f>
        <v/>
      </c>
      <c r="R1418" s="29">
        <f>IFERROR(VLOOKUP(L1418,MgValor,2,0)*VLOOKUP(O1418,MgDeg,2,0),0)</f>
        <v/>
      </c>
      <c r="S1418" s="29">
        <f>IFERROR(VLOOKUP(M1418,MgValor,2,0)*VLOOKUP(P1418,MgDeg,2,0),0)</f>
        <v/>
      </c>
      <c r="T1418" s="30">
        <f>MAX(Q1418:S1418)</f>
        <v/>
      </c>
      <c r="U1418" s="28">
        <f>IFERROR(LOOKUP(T1418,{0;0.5;1.5;3;4.5},{"Despreciable";"Bajo";"Medio";"Alto";"Muy alto"}),"")</f>
        <v/>
      </c>
      <c r="V1418" s="13">
        <f>IFERROR(INDEX(MgAmenFrec,MATCH(SUBSTITUTE($H1418,"*","-"),MgAmenClave,0)),"")</f>
        <v/>
      </c>
      <c r="W1418" s="28">
        <f>IFERROR(LOOKUP(X1418,{0;0.01;0.1;1;10;100},{"Muy baja";"Muy baja";"Baja";"Media";"Alta";"Muy alta"}),"")</f>
        <v/>
      </c>
      <c r="X1418" s="31">
        <f>IFERROR(VLOOKUP(V1418,MgFrec,2,0),0)</f>
        <v/>
      </c>
      <c r="Y1418" s="30">
        <f>T1418*X1418</f>
        <v/>
      </c>
      <c r="Z1418" s="28">
        <f>IFERROR(LOOKUP(Y1418,{0;0.5;5;25},{"Bajo";"Medio";"Alto";"Crítico"}),"")</f>
        <v/>
      </c>
      <c r="AA1418" s="64">
        <f>IF(T1418&gt;=3,IF(X1418&gt;=1,"Zona 1 — Crítica: impacto alto y ocurre al menos una vez al año","Zona 4 — Catastrófica poco probable: impacto alto pero excepcional"),IF(AND(T1418&lt;1.5,X1418&lt;1),"Zona 3 — Asumible: impacto bajo y muy poco frecuente","Zona 2 — Atención: riesgo intermedio"))</f>
        <v/>
      </c>
      <c r="AB1418" s="64">
        <f>IFERROR(INDEX(MgAmenCtrl,MATCH(SUBSTITUTE($H1418,"*","-"),MgAmenClave,0)),"")</f>
        <v/>
      </c>
      <c r="AC1418" s="20" t="n"/>
      <c r="AD1418" s="31">
        <f>IFERROR($X1418*(1-IF($AC1418="",$AL1418,VLOOKUP($AC1418,MgMad,2,0))),"")</f>
        <v/>
      </c>
      <c r="AE1418" s="28">
        <f>IFERROR(LOOKUP(AD1418,{0;0.01;0.1;1;10;100},{"Muy baja";"Muy baja";"Baja";"Media";"Alta";"Muy alta"}),"")</f>
        <v/>
      </c>
      <c r="AF1418" s="30">
        <f>T1418*AD1418</f>
        <v/>
      </c>
      <c r="AG1418" s="28">
        <f>IFERROR(LOOKUP(AF1418,{0;0.5;5;25},{"Bajo";"Medio";"Alto";"Crítico"}),"")</f>
        <v/>
      </c>
      <c r="AH1418" s="28">
        <f>IF(AG1418="","",IF(OR(AG1418="Crítico",AG1418="Alto"),"Mitigar",IF(AG1418="Medio","Mitigar","Aceptar y monitorear")))</f>
        <v/>
      </c>
      <c r="AI1418" s="21" t="n"/>
      <c r="AJ1418" s="21" t="n"/>
      <c r="AK1418" s="20" t="n"/>
      <c r="AL1418" s="77">
        <f>IFERROR(INDEX(MgAmenEfic,MATCH(SUBSTITUTE($H1418,"*","-"),MgAmenClave,0)),0)</f>
        <v/>
      </c>
    </row>
    <row r="1419" hidden="1" ht="60" customHeight="1" s="54">
      <c r="B1419" s="59" t="inlineStr">
        <is>
          <t>R-1414</t>
        </is>
      </c>
      <c r="C1419" s="59" t="inlineStr">
        <is>
          <t>GH-003</t>
        </is>
      </c>
      <c r="D1419" s="64">
        <f>IFERROR(INDEX(MgNombre,MATCH($C1419,MgActId,0)),"")</f>
        <v/>
      </c>
      <c r="E1419" s="64">
        <f>IFERROR(INDEX(MgProceso,MATCH($C1419,MgActId,0)),"")</f>
        <v/>
      </c>
      <c r="F1419" s="64">
        <f>IFERROR(INDEX(MgTipo,MATCH($C1419,MgActId,0)),"")</f>
        <v/>
      </c>
      <c r="G1419" s="64">
        <f>IFERROR(INDEX(MgSubtipo,MATCH($C1419,MgActId,0)),"")</f>
        <v/>
      </c>
      <c r="H1419" s="59" t="inlineStr">
        <is>
          <t>A.15</t>
        </is>
      </c>
      <c r="I1419" s="64">
        <f>IFERROR(INDEX(MgAmenNombre,MATCH(SUBSTITUTE($H1419,"*","-"),MgAmenClave,0)),"")</f>
        <v/>
      </c>
      <c r="J1419" s="28">
        <f>IFERROR(INDEX(MgAmenGrupo,MATCH(SUBSTITUTE($H1419,"*","-"),MgAmenClave,0)),"")</f>
        <v/>
      </c>
      <c r="K1419" s="64">
        <f>IFERROR(INDEX('1. Matriz de Activos'!$Q$6:$Q$239,MATCH($C1419,MgActId,0)),"")</f>
        <v/>
      </c>
      <c r="L1419" s="64">
        <f>IFERROR(INDEX('1. Matriz de Activos'!$R$6:$R$239,MATCH($C1419,MgActId,0)),"")</f>
        <v/>
      </c>
      <c r="M1419" s="64">
        <f>IFERROR(INDEX('1. Matriz de Activos'!$S$6:$S$239,MATCH($C1419,MgActId,0)),"")</f>
        <v/>
      </c>
      <c r="N1419" s="28">
        <f>IFERROR(INDEX(MgAmenDegD,MATCH(SUBSTITUTE($H1419,"*","-"),MgAmenClave,0)),"No aplica")</f>
        <v/>
      </c>
      <c r="O1419" s="28">
        <f>IFERROR(INDEX(MgAmenDegI,MATCH(SUBSTITUTE($H1419,"*","-"),MgAmenClave,0)),"No aplica")</f>
        <v/>
      </c>
      <c r="P1419" s="28">
        <f>IFERROR(INDEX(MgAmenDegC,MATCH(SUBSTITUTE($H1419,"*","-"),MgAmenClave,0)),"No aplica")</f>
        <v/>
      </c>
      <c r="Q1419" s="29">
        <f>IFERROR(VLOOKUP(K1419,MgValor,2,0)*VLOOKUP(N1419,MgDeg,2,0),0)</f>
        <v/>
      </c>
      <c r="R1419" s="29">
        <f>IFERROR(VLOOKUP(L1419,MgValor,2,0)*VLOOKUP(O1419,MgDeg,2,0),0)</f>
        <v/>
      </c>
      <c r="S1419" s="29">
        <f>IFERROR(VLOOKUP(M1419,MgValor,2,0)*VLOOKUP(P1419,MgDeg,2,0),0)</f>
        <v/>
      </c>
      <c r="T1419" s="30">
        <f>MAX(Q1419:S1419)</f>
        <v/>
      </c>
      <c r="U1419" s="28">
        <f>IFERROR(LOOKUP(T1419,{0;0.5;1.5;3;4.5},{"Despreciable";"Bajo";"Medio";"Alto";"Muy alto"}),"")</f>
        <v/>
      </c>
      <c r="V1419" s="13">
        <f>IFERROR(INDEX(MgAmenFrec,MATCH(SUBSTITUTE($H1419,"*","-"),MgAmenClave,0)),"")</f>
        <v/>
      </c>
      <c r="W1419" s="28">
        <f>IFERROR(LOOKUP(X1419,{0;0.01;0.1;1;10;100},{"Muy baja";"Muy baja";"Baja";"Media";"Alta";"Muy alta"}),"")</f>
        <v/>
      </c>
      <c r="X1419" s="31">
        <f>IFERROR(VLOOKUP(V1419,MgFrec,2,0),0)</f>
        <v/>
      </c>
      <c r="Y1419" s="30">
        <f>T1419*X1419</f>
        <v/>
      </c>
      <c r="Z1419" s="28">
        <f>IFERROR(LOOKUP(Y1419,{0;0.5;5;25},{"Bajo";"Medio";"Alto";"Crítico"}),"")</f>
        <v/>
      </c>
      <c r="AA1419" s="64">
        <f>IF(T1419&gt;=3,IF(X1419&gt;=1,"Zona 1 — Crítica: impacto alto y ocurre al menos una vez al año","Zona 4 — Catastrófica poco probable: impacto alto pero excepcional"),IF(AND(T1419&lt;1.5,X1419&lt;1),"Zona 3 — Asumible: impacto bajo y muy poco frecuente","Zona 2 — Atención: riesgo intermedio"))</f>
        <v/>
      </c>
      <c r="AB1419" s="64">
        <f>IFERROR(INDEX(MgAmenCtrl,MATCH(SUBSTITUTE($H1419,"*","-"),MgAmenClave,0)),"")</f>
        <v/>
      </c>
      <c r="AC1419" s="20" t="n"/>
      <c r="AD1419" s="31">
        <f>IFERROR($X1419*(1-IF($AC1419="",$AL1419,VLOOKUP($AC1419,MgMad,2,0))),"")</f>
        <v/>
      </c>
      <c r="AE1419" s="28">
        <f>IFERROR(LOOKUP(AD1419,{0;0.01;0.1;1;10;100},{"Muy baja";"Muy baja";"Baja";"Media";"Alta";"Muy alta"}),"")</f>
        <v/>
      </c>
      <c r="AF1419" s="30">
        <f>T1419*AD1419</f>
        <v/>
      </c>
      <c r="AG1419" s="28">
        <f>IFERROR(LOOKUP(AF1419,{0;0.5;5;25},{"Bajo";"Medio";"Alto";"Crítico"}),"")</f>
        <v/>
      </c>
      <c r="AH1419" s="28">
        <f>IF(AG1419="","",IF(OR(AG1419="Crítico",AG1419="Alto"),"Mitigar",IF(AG1419="Medio","Mitigar","Aceptar y monitorear")))</f>
        <v/>
      </c>
      <c r="AI1419" s="21" t="n"/>
      <c r="AJ1419" s="21" t="n"/>
      <c r="AK1419" s="20" t="n"/>
      <c r="AL1419" s="77">
        <f>IFERROR(INDEX(MgAmenEfic,MATCH(SUBSTITUTE($H1419,"*","-"),MgAmenClave,0)),0)</f>
        <v/>
      </c>
    </row>
    <row r="1420" hidden="1" ht="60" customHeight="1" s="54">
      <c r="B1420" s="59" t="inlineStr">
        <is>
          <t>R-1415</t>
        </is>
      </c>
      <c r="C1420" s="59" t="inlineStr">
        <is>
          <t>GH-003</t>
        </is>
      </c>
      <c r="D1420" s="64">
        <f>IFERROR(INDEX(MgNombre,MATCH($C1420,MgActId,0)),"")</f>
        <v/>
      </c>
      <c r="E1420" s="64">
        <f>IFERROR(INDEX(MgProceso,MATCH($C1420,MgActId,0)),"")</f>
        <v/>
      </c>
      <c r="F1420" s="64">
        <f>IFERROR(INDEX(MgTipo,MATCH($C1420,MgActId,0)),"")</f>
        <v/>
      </c>
      <c r="G1420" s="64">
        <f>IFERROR(INDEX(MgSubtipo,MATCH($C1420,MgActId,0)),"")</f>
        <v/>
      </c>
      <c r="H1420" s="59" t="inlineStr">
        <is>
          <t>A.18</t>
        </is>
      </c>
      <c r="I1420" s="64">
        <f>IFERROR(INDEX(MgAmenNombre,MATCH(SUBSTITUTE($H1420,"*","-"),MgAmenClave,0)),"")</f>
        <v/>
      </c>
      <c r="J1420" s="28">
        <f>IFERROR(INDEX(MgAmenGrupo,MATCH(SUBSTITUTE($H1420,"*","-"),MgAmenClave,0)),"")</f>
        <v/>
      </c>
      <c r="K1420" s="64">
        <f>IFERROR(INDEX('1. Matriz de Activos'!$Q$6:$Q$239,MATCH($C1420,MgActId,0)),"")</f>
        <v/>
      </c>
      <c r="L1420" s="64">
        <f>IFERROR(INDEX('1. Matriz de Activos'!$R$6:$R$239,MATCH($C1420,MgActId,0)),"")</f>
        <v/>
      </c>
      <c r="M1420" s="64">
        <f>IFERROR(INDEX('1. Matriz de Activos'!$S$6:$S$239,MATCH($C1420,MgActId,0)),"")</f>
        <v/>
      </c>
      <c r="N1420" s="28">
        <f>IFERROR(INDEX(MgAmenDegD,MATCH(SUBSTITUTE($H1420,"*","-"),MgAmenClave,0)),"No aplica")</f>
        <v/>
      </c>
      <c r="O1420" s="28">
        <f>IFERROR(INDEX(MgAmenDegI,MATCH(SUBSTITUTE($H1420,"*","-"),MgAmenClave,0)),"No aplica")</f>
        <v/>
      </c>
      <c r="P1420" s="28">
        <f>IFERROR(INDEX(MgAmenDegC,MATCH(SUBSTITUTE($H1420,"*","-"),MgAmenClave,0)),"No aplica")</f>
        <v/>
      </c>
      <c r="Q1420" s="29">
        <f>IFERROR(VLOOKUP(K1420,MgValor,2,0)*VLOOKUP(N1420,MgDeg,2,0),0)</f>
        <v/>
      </c>
      <c r="R1420" s="29">
        <f>IFERROR(VLOOKUP(L1420,MgValor,2,0)*VLOOKUP(O1420,MgDeg,2,0),0)</f>
        <v/>
      </c>
      <c r="S1420" s="29">
        <f>IFERROR(VLOOKUP(M1420,MgValor,2,0)*VLOOKUP(P1420,MgDeg,2,0),0)</f>
        <v/>
      </c>
      <c r="T1420" s="30">
        <f>MAX(Q1420:S1420)</f>
        <v/>
      </c>
      <c r="U1420" s="28">
        <f>IFERROR(LOOKUP(T1420,{0;0.5;1.5;3;4.5},{"Despreciable";"Bajo";"Medio";"Alto";"Muy alto"}),"")</f>
        <v/>
      </c>
      <c r="V1420" s="13">
        <f>IFERROR(INDEX(MgAmenFrec,MATCH(SUBSTITUTE($H1420,"*","-"),MgAmenClave,0)),"")</f>
        <v/>
      </c>
      <c r="W1420" s="28">
        <f>IFERROR(LOOKUP(X1420,{0;0.01;0.1;1;10;100},{"Muy baja";"Muy baja";"Baja";"Media";"Alta";"Muy alta"}),"")</f>
        <v/>
      </c>
      <c r="X1420" s="31">
        <f>IFERROR(VLOOKUP(V1420,MgFrec,2,0),0)</f>
        <v/>
      </c>
      <c r="Y1420" s="30">
        <f>T1420*X1420</f>
        <v/>
      </c>
      <c r="Z1420" s="28">
        <f>IFERROR(LOOKUP(Y1420,{0;0.5;5;25},{"Bajo";"Medio";"Alto";"Crítico"}),"")</f>
        <v/>
      </c>
      <c r="AA1420" s="64">
        <f>IF(T1420&gt;=3,IF(X1420&gt;=1,"Zona 1 — Crítica: impacto alto y ocurre al menos una vez al año","Zona 4 — Catastrófica poco probable: impacto alto pero excepcional"),IF(AND(T1420&lt;1.5,X1420&lt;1),"Zona 3 — Asumible: impacto bajo y muy poco frecuente","Zona 2 — Atención: riesgo intermedio"))</f>
        <v/>
      </c>
      <c r="AB1420" s="64">
        <f>IFERROR(INDEX(MgAmenCtrl,MATCH(SUBSTITUTE($H1420,"*","-"),MgAmenClave,0)),"")</f>
        <v/>
      </c>
      <c r="AC1420" s="20" t="n"/>
      <c r="AD1420" s="31">
        <f>IFERROR($X1420*(1-IF($AC1420="",$AL1420,VLOOKUP($AC1420,MgMad,2,0))),"")</f>
        <v/>
      </c>
      <c r="AE1420" s="28">
        <f>IFERROR(LOOKUP(AD1420,{0;0.01;0.1;1;10;100},{"Muy baja";"Muy baja";"Baja";"Media";"Alta";"Muy alta"}),"")</f>
        <v/>
      </c>
      <c r="AF1420" s="30">
        <f>T1420*AD1420</f>
        <v/>
      </c>
      <c r="AG1420" s="28">
        <f>IFERROR(LOOKUP(AF1420,{0;0.5;5;25},{"Bajo";"Medio";"Alto";"Crítico"}),"")</f>
        <v/>
      </c>
      <c r="AH1420" s="28">
        <f>IF(AG1420="","",IF(OR(AG1420="Crítico",AG1420="Alto"),"Mitigar",IF(AG1420="Medio","Mitigar","Aceptar y monitorear")))</f>
        <v/>
      </c>
      <c r="AI1420" s="21" t="n"/>
      <c r="AJ1420" s="21" t="n"/>
      <c r="AK1420" s="20" t="n"/>
      <c r="AL1420" s="77">
        <f>IFERROR(INDEX(MgAmenEfic,MATCH(SUBSTITUTE($H1420,"*","-"),MgAmenClave,0)),0)</f>
        <v/>
      </c>
    </row>
    <row r="1421" hidden="1" ht="120" customHeight="1" s="54">
      <c r="B1421" s="59" t="inlineStr">
        <is>
          <t>R-1416</t>
        </is>
      </c>
      <c r="C1421" s="59" t="inlineStr">
        <is>
          <t>GH-003</t>
        </is>
      </c>
      <c r="D1421" s="64">
        <f>IFERROR(INDEX(MgNombre,MATCH($C1421,MgActId,0)),"")</f>
        <v/>
      </c>
      <c r="E1421" s="64">
        <f>IFERROR(INDEX(MgProceso,MATCH($C1421,MgActId,0)),"")</f>
        <v/>
      </c>
      <c r="F1421" s="64">
        <f>IFERROR(INDEX(MgTipo,MATCH($C1421,MgActId,0)),"")</f>
        <v/>
      </c>
      <c r="G1421" s="64">
        <f>IFERROR(INDEX(MgSubtipo,MATCH($C1421,MgActId,0)),"")</f>
        <v/>
      </c>
      <c r="H1421" s="59" t="inlineStr">
        <is>
          <t>A.19</t>
        </is>
      </c>
      <c r="I1421" s="64">
        <f>IFERROR(INDEX(MgAmenNombre,MATCH(SUBSTITUTE($H1421,"*","-"),MgAmenClave,0)),"")</f>
        <v/>
      </c>
      <c r="J1421" s="28">
        <f>IFERROR(INDEX(MgAmenGrupo,MATCH(SUBSTITUTE($H1421,"*","-"),MgAmenClave,0)),"")</f>
        <v/>
      </c>
      <c r="K1421" s="64">
        <f>IFERROR(INDEX('1. Matriz de Activos'!$Q$6:$Q$239,MATCH($C1421,MgActId,0)),"")</f>
        <v/>
      </c>
      <c r="L1421" s="64">
        <f>IFERROR(INDEX('1. Matriz de Activos'!$R$6:$R$239,MATCH($C1421,MgActId,0)),"")</f>
        <v/>
      </c>
      <c r="M1421" s="64">
        <f>IFERROR(INDEX('1. Matriz de Activos'!$S$6:$S$239,MATCH($C1421,MgActId,0)),"")</f>
        <v/>
      </c>
      <c r="N1421" s="28">
        <f>IFERROR(INDEX(MgAmenDegD,MATCH(SUBSTITUTE($H1421,"*","-"),MgAmenClave,0)),"No aplica")</f>
        <v/>
      </c>
      <c r="O1421" s="28">
        <f>IFERROR(INDEX(MgAmenDegI,MATCH(SUBSTITUTE($H1421,"*","-"),MgAmenClave,0)),"No aplica")</f>
        <v/>
      </c>
      <c r="P1421" s="28">
        <f>IFERROR(INDEX(MgAmenDegC,MATCH(SUBSTITUTE($H1421,"*","-"),MgAmenClave,0)),"No aplica")</f>
        <v/>
      </c>
      <c r="Q1421" s="29">
        <f>IFERROR(VLOOKUP(K1421,MgValor,2,0)*VLOOKUP(N1421,MgDeg,2,0),0)</f>
        <v/>
      </c>
      <c r="R1421" s="29">
        <f>IFERROR(VLOOKUP(L1421,MgValor,2,0)*VLOOKUP(O1421,MgDeg,2,0),0)</f>
        <v/>
      </c>
      <c r="S1421" s="29">
        <f>IFERROR(VLOOKUP(M1421,MgValor,2,0)*VLOOKUP(P1421,MgDeg,2,0),0)</f>
        <v/>
      </c>
      <c r="T1421" s="30">
        <f>MAX(Q1421:S1421)</f>
        <v/>
      </c>
      <c r="U1421" s="28">
        <f>IFERROR(LOOKUP(T1421,{0;0.5;1.5;3;4.5},{"Despreciable";"Bajo";"Medio";"Alto";"Muy alto"}),"")</f>
        <v/>
      </c>
      <c r="V1421" s="13">
        <f>IFERROR(INDEX(MgAmenFrec,MATCH(SUBSTITUTE($H1421,"*","-"),MgAmenClave,0)),"")</f>
        <v/>
      </c>
      <c r="W1421" s="28">
        <f>IFERROR(LOOKUP(X1421,{0;0.01;0.1;1;10;100},{"Muy baja";"Muy baja";"Baja";"Media";"Alta";"Muy alta"}),"")</f>
        <v/>
      </c>
      <c r="X1421" s="31">
        <f>IFERROR(VLOOKUP(V1421,MgFrec,2,0),0)</f>
        <v/>
      </c>
      <c r="Y1421" s="30">
        <f>T1421*X1421</f>
        <v/>
      </c>
      <c r="Z1421" s="28">
        <f>IFERROR(LOOKUP(Y1421,{0;0.5;5;25},{"Bajo";"Medio";"Alto";"Crítico"}),"")</f>
        <v/>
      </c>
      <c r="AA1421" s="64">
        <f>IF(T1421&gt;=3,IF(X1421&gt;=1,"Zona 1 — Crítica: impacto alto y ocurre al menos una vez al año","Zona 4 — Catastrófica poco probable: impacto alto pero excepcional"),IF(AND(T1421&lt;1.5,X1421&lt;1),"Zona 3 — Asumible: impacto bajo y muy poco frecuente","Zona 2 — Atención: riesgo intermedio"))</f>
        <v/>
      </c>
      <c r="AB1421" s="64">
        <f>IFERROR(INDEX(MgAmenCtrl,MATCH(SUBSTITUTE($H1421,"*","-"),MgAmenClave,0)),"")</f>
        <v/>
      </c>
      <c r="AC1421" s="20" t="n"/>
      <c r="AD1421" s="31">
        <f>IFERROR($X1421*(1-IF($AC1421="",$AL1421,VLOOKUP($AC1421,MgMad,2,0))),"")</f>
        <v/>
      </c>
      <c r="AE1421" s="28">
        <f>IFERROR(LOOKUP(AD1421,{0;0.01;0.1;1;10;100},{"Muy baja";"Muy baja";"Baja";"Media";"Alta";"Muy alta"}),"")</f>
        <v/>
      </c>
      <c r="AF1421" s="30">
        <f>T1421*AD1421</f>
        <v/>
      </c>
      <c r="AG1421" s="28">
        <f>IFERROR(LOOKUP(AF1421,{0;0.5;5;25},{"Bajo";"Medio";"Alto";"Crítico"}),"")</f>
        <v/>
      </c>
      <c r="AH1421" s="28">
        <f>IF(AG1421="","",IF(OR(AG1421="Crítico",AG1421="Alto"),"Mitigar",IF(AG1421="Medio","Mitigar","Aceptar y monitorear")))</f>
        <v/>
      </c>
      <c r="AI1421" s="21" t="n"/>
      <c r="AJ1421" s="21" t="n"/>
      <c r="AK1421" s="20" t="n"/>
      <c r="AL1421" s="77">
        <f>IFERROR(INDEX(MgAmenEfic,MATCH(SUBSTITUTE($H1421,"*","-"),MgAmenClave,0)),0)</f>
        <v/>
      </c>
    </row>
    <row r="1422" hidden="1" ht="105" customHeight="1" s="54">
      <c r="B1422" s="59" t="inlineStr">
        <is>
          <t>R-1417</t>
        </is>
      </c>
      <c r="C1422" s="59" t="inlineStr">
        <is>
          <t>GH-046</t>
        </is>
      </c>
      <c r="D1422" s="64">
        <f>IFERROR(INDEX(MgNombre,MATCH($C1422,MgActId,0)),"")</f>
        <v/>
      </c>
      <c r="E1422" s="64">
        <f>IFERROR(INDEX(MgProceso,MATCH($C1422,MgActId,0)),"")</f>
        <v/>
      </c>
      <c r="F1422" s="64">
        <f>IFERROR(INDEX(MgTipo,MATCH($C1422,MgActId,0)),"")</f>
        <v/>
      </c>
      <c r="G1422" s="64">
        <f>IFERROR(INDEX(MgSubtipo,MATCH($C1422,MgActId,0)),"")</f>
        <v/>
      </c>
      <c r="H1422" s="59" t="inlineStr">
        <is>
          <t>E.1</t>
        </is>
      </c>
      <c r="I1422" s="64">
        <f>IFERROR(INDEX(MgAmenNombre,MATCH(SUBSTITUTE($H1422,"*","-"),MgAmenClave,0)),"")</f>
        <v/>
      </c>
      <c r="J1422" s="28">
        <f>IFERROR(INDEX(MgAmenGrupo,MATCH(SUBSTITUTE($H1422,"*","-"),MgAmenClave,0)),"")</f>
        <v/>
      </c>
      <c r="K1422" s="64">
        <f>IFERROR(INDEX('1. Matriz de Activos'!$Q$6:$Q$239,MATCH($C1422,MgActId,0)),"")</f>
        <v/>
      </c>
      <c r="L1422" s="64">
        <f>IFERROR(INDEX('1. Matriz de Activos'!$R$6:$R$239,MATCH($C1422,MgActId,0)),"")</f>
        <v/>
      </c>
      <c r="M1422" s="64">
        <f>IFERROR(INDEX('1. Matriz de Activos'!$S$6:$S$239,MATCH($C1422,MgActId,0)),"")</f>
        <v/>
      </c>
      <c r="N1422" s="28">
        <f>IFERROR(INDEX(MgAmenDegD,MATCH(SUBSTITUTE($H1422,"*","-"),MgAmenClave,0)),"No aplica")</f>
        <v/>
      </c>
      <c r="O1422" s="28">
        <f>IFERROR(INDEX(MgAmenDegI,MATCH(SUBSTITUTE($H1422,"*","-"),MgAmenClave,0)),"No aplica")</f>
        <v/>
      </c>
      <c r="P1422" s="28">
        <f>IFERROR(INDEX(MgAmenDegC,MATCH(SUBSTITUTE($H1422,"*","-"),MgAmenClave,0)),"No aplica")</f>
        <v/>
      </c>
      <c r="Q1422" s="29">
        <f>IFERROR(VLOOKUP(K1422,MgValor,2,0)*VLOOKUP(N1422,MgDeg,2,0),0)</f>
        <v/>
      </c>
      <c r="R1422" s="29">
        <f>IFERROR(VLOOKUP(L1422,MgValor,2,0)*VLOOKUP(O1422,MgDeg,2,0),0)</f>
        <v/>
      </c>
      <c r="S1422" s="29">
        <f>IFERROR(VLOOKUP(M1422,MgValor,2,0)*VLOOKUP(P1422,MgDeg,2,0),0)</f>
        <v/>
      </c>
      <c r="T1422" s="30">
        <f>MAX(Q1422:S1422)</f>
        <v/>
      </c>
      <c r="U1422" s="28">
        <f>IFERROR(LOOKUP(T1422,{0;0.5;1.5;3;4.5},{"Despreciable";"Bajo";"Medio";"Alto";"Muy alto"}),"")</f>
        <v/>
      </c>
      <c r="V1422" s="13">
        <f>IFERROR(INDEX(MgAmenFrec,MATCH(SUBSTITUTE($H1422,"*","-"),MgAmenClave,0)),"")</f>
        <v/>
      </c>
      <c r="W1422" s="28">
        <f>IFERROR(LOOKUP(X1422,{0;0.01;0.1;1;10;100},{"Muy baja";"Muy baja";"Baja";"Media";"Alta";"Muy alta"}),"")</f>
        <v/>
      </c>
      <c r="X1422" s="31">
        <f>IFERROR(VLOOKUP(V1422,MgFrec,2,0),0)</f>
        <v/>
      </c>
      <c r="Y1422" s="30">
        <f>T1422*X1422</f>
        <v/>
      </c>
      <c r="Z1422" s="28">
        <f>IFERROR(LOOKUP(Y1422,{0;0.5;5;25},{"Bajo";"Medio";"Alto";"Crítico"}),"")</f>
        <v/>
      </c>
      <c r="AA1422" s="64">
        <f>IF(T1422&gt;=3,IF(X1422&gt;=1,"Zona 1 — Crítica: impacto alto y ocurre al menos una vez al año","Zona 4 — Catastrófica poco probable: impacto alto pero excepcional"),IF(AND(T1422&lt;1.5,X1422&lt;1),"Zona 3 — Asumible: impacto bajo y muy poco frecuente","Zona 2 — Atención: riesgo intermedio"))</f>
        <v/>
      </c>
      <c r="AB1422" s="64">
        <f>IFERROR(INDEX(MgAmenCtrl,MATCH(SUBSTITUTE($H1422,"*","-"),MgAmenClave,0)),"")</f>
        <v/>
      </c>
      <c r="AC1422" s="20" t="n"/>
      <c r="AD1422" s="31">
        <f>IFERROR($X1422*(1-IF($AC1422="",$AL1422,VLOOKUP($AC1422,MgMad,2,0))),"")</f>
        <v/>
      </c>
      <c r="AE1422" s="28">
        <f>IFERROR(LOOKUP(AD1422,{0;0.01;0.1;1;10;100},{"Muy baja";"Muy baja";"Baja";"Media";"Alta";"Muy alta"}),"")</f>
        <v/>
      </c>
      <c r="AF1422" s="30">
        <f>T1422*AD1422</f>
        <v/>
      </c>
      <c r="AG1422" s="28">
        <f>IFERROR(LOOKUP(AF1422,{0;0.5;5;25},{"Bajo";"Medio";"Alto";"Crítico"}),"")</f>
        <v/>
      </c>
      <c r="AH1422" s="28">
        <f>IF(AG1422="","",IF(OR(AG1422="Crítico",AG1422="Alto"),"Mitigar",IF(AG1422="Medio","Mitigar","Aceptar y monitorear")))</f>
        <v/>
      </c>
      <c r="AI1422" s="21" t="n"/>
      <c r="AJ1422" s="21" t="n"/>
      <c r="AK1422" s="20" t="n"/>
      <c r="AL1422" s="77">
        <f>IFERROR(INDEX(MgAmenEfic,MATCH(SUBSTITUTE($H1422,"*","-"),MgAmenClave,0)),0)</f>
        <v/>
      </c>
    </row>
    <row r="1423" hidden="1" ht="120" customHeight="1" s="54">
      <c r="B1423" s="59" t="inlineStr">
        <is>
          <t>R-1418</t>
        </is>
      </c>
      <c r="C1423" s="59" t="inlineStr">
        <is>
          <t>GH-046</t>
        </is>
      </c>
      <c r="D1423" s="64">
        <f>IFERROR(INDEX(MgNombre,MATCH($C1423,MgActId,0)),"")</f>
        <v/>
      </c>
      <c r="E1423" s="64">
        <f>IFERROR(INDEX(MgProceso,MATCH($C1423,MgActId,0)),"")</f>
        <v/>
      </c>
      <c r="F1423" s="64">
        <f>IFERROR(INDEX(MgTipo,MATCH($C1423,MgActId,0)),"")</f>
        <v/>
      </c>
      <c r="G1423" s="64">
        <f>IFERROR(INDEX(MgSubtipo,MATCH($C1423,MgActId,0)),"")</f>
        <v/>
      </c>
      <c r="H1423" s="59" t="inlineStr">
        <is>
          <t>E.2</t>
        </is>
      </c>
      <c r="I1423" s="64">
        <f>IFERROR(INDEX(MgAmenNombre,MATCH(SUBSTITUTE($H1423,"*","-"),MgAmenClave,0)),"")</f>
        <v/>
      </c>
      <c r="J1423" s="28">
        <f>IFERROR(INDEX(MgAmenGrupo,MATCH(SUBSTITUTE($H1423,"*","-"),MgAmenClave,0)),"")</f>
        <v/>
      </c>
      <c r="K1423" s="64">
        <f>IFERROR(INDEX('1. Matriz de Activos'!$Q$6:$Q$239,MATCH($C1423,MgActId,0)),"")</f>
        <v/>
      </c>
      <c r="L1423" s="64">
        <f>IFERROR(INDEX('1. Matriz de Activos'!$R$6:$R$239,MATCH($C1423,MgActId,0)),"")</f>
        <v/>
      </c>
      <c r="M1423" s="64">
        <f>IFERROR(INDEX('1. Matriz de Activos'!$S$6:$S$239,MATCH($C1423,MgActId,0)),"")</f>
        <v/>
      </c>
      <c r="N1423" s="28">
        <f>IFERROR(INDEX(MgAmenDegD,MATCH(SUBSTITUTE($H1423,"*","-"),MgAmenClave,0)),"No aplica")</f>
        <v/>
      </c>
      <c r="O1423" s="28">
        <f>IFERROR(INDEX(MgAmenDegI,MATCH(SUBSTITUTE($H1423,"*","-"),MgAmenClave,0)),"No aplica")</f>
        <v/>
      </c>
      <c r="P1423" s="28">
        <f>IFERROR(INDEX(MgAmenDegC,MATCH(SUBSTITUTE($H1423,"*","-"),MgAmenClave,0)),"No aplica")</f>
        <v/>
      </c>
      <c r="Q1423" s="29">
        <f>IFERROR(VLOOKUP(K1423,MgValor,2,0)*VLOOKUP(N1423,MgDeg,2,0),0)</f>
        <v/>
      </c>
      <c r="R1423" s="29">
        <f>IFERROR(VLOOKUP(L1423,MgValor,2,0)*VLOOKUP(O1423,MgDeg,2,0),0)</f>
        <v/>
      </c>
      <c r="S1423" s="29">
        <f>IFERROR(VLOOKUP(M1423,MgValor,2,0)*VLOOKUP(P1423,MgDeg,2,0),0)</f>
        <v/>
      </c>
      <c r="T1423" s="30">
        <f>MAX(Q1423:S1423)</f>
        <v/>
      </c>
      <c r="U1423" s="28">
        <f>IFERROR(LOOKUP(T1423,{0;0.5;1.5;3;4.5},{"Despreciable";"Bajo";"Medio";"Alto";"Muy alto"}),"")</f>
        <v/>
      </c>
      <c r="V1423" s="13">
        <f>IFERROR(INDEX(MgAmenFrec,MATCH(SUBSTITUTE($H1423,"*","-"),MgAmenClave,0)),"")</f>
        <v/>
      </c>
      <c r="W1423" s="28">
        <f>IFERROR(LOOKUP(X1423,{0;0.01;0.1;1;10;100},{"Muy baja";"Muy baja";"Baja";"Media";"Alta";"Muy alta"}),"")</f>
        <v/>
      </c>
      <c r="X1423" s="31">
        <f>IFERROR(VLOOKUP(V1423,MgFrec,2,0),0)</f>
        <v/>
      </c>
      <c r="Y1423" s="30">
        <f>T1423*X1423</f>
        <v/>
      </c>
      <c r="Z1423" s="28">
        <f>IFERROR(LOOKUP(Y1423,{0;0.5;5;25},{"Bajo";"Medio";"Alto";"Crítico"}),"")</f>
        <v/>
      </c>
      <c r="AA1423" s="64">
        <f>IF(T1423&gt;=3,IF(X1423&gt;=1,"Zona 1 — Crítica: impacto alto y ocurre al menos una vez al año","Zona 4 — Catastrófica poco probable: impacto alto pero excepcional"),IF(AND(T1423&lt;1.5,X1423&lt;1),"Zona 3 — Asumible: impacto bajo y muy poco frecuente","Zona 2 — Atención: riesgo intermedio"))</f>
        <v/>
      </c>
      <c r="AB1423" s="64">
        <f>IFERROR(INDEX(MgAmenCtrl,MATCH(SUBSTITUTE($H1423,"*","-"),MgAmenClave,0)),"")</f>
        <v/>
      </c>
      <c r="AC1423" s="20" t="n"/>
      <c r="AD1423" s="31">
        <f>IFERROR($X1423*(1-IF($AC1423="",$AL1423,VLOOKUP($AC1423,MgMad,2,0))),"")</f>
        <v/>
      </c>
      <c r="AE1423" s="28">
        <f>IFERROR(LOOKUP(AD1423,{0;0.01;0.1;1;10;100},{"Muy baja";"Muy baja";"Baja";"Media";"Alta";"Muy alta"}),"")</f>
        <v/>
      </c>
      <c r="AF1423" s="30">
        <f>T1423*AD1423</f>
        <v/>
      </c>
      <c r="AG1423" s="28">
        <f>IFERROR(LOOKUP(AF1423,{0;0.5;5;25},{"Bajo";"Medio";"Alto";"Crítico"}),"")</f>
        <v/>
      </c>
      <c r="AH1423" s="28">
        <f>IF(AG1423="","",IF(OR(AG1423="Crítico",AG1423="Alto"),"Mitigar",IF(AG1423="Medio","Mitigar","Aceptar y monitorear")))</f>
        <v/>
      </c>
      <c r="AI1423" s="21" t="n"/>
      <c r="AJ1423" s="21" t="n"/>
      <c r="AK1423" s="20" t="n"/>
      <c r="AL1423" s="77">
        <f>IFERROR(INDEX(MgAmenEfic,MATCH(SUBSTITUTE($H1423,"*","-"),MgAmenClave,0)),0)</f>
        <v/>
      </c>
    </row>
    <row r="1424" hidden="1" ht="75" customHeight="1" s="54">
      <c r="B1424" s="59" t="inlineStr">
        <is>
          <t>R-1419</t>
        </is>
      </c>
      <c r="C1424" s="59" t="inlineStr">
        <is>
          <t>GH-046</t>
        </is>
      </c>
      <c r="D1424" s="64">
        <f>IFERROR(INDEX(MgNombre,MATCH($C1424,MgActId,0)),"")</f>
        <v/>
      </c>
      <c r="E1424" s="64">
        <f>IFERROR(INDEX(MgProceso,MATCH($C1424,MgActId,0)),"")</f>
        <v/>
      </c>
      <c r="F1424" s="64">
        <f>IFERROR(INDEX(MgTipo,MATCH($C1424,MgActId,0)),"")</f>
        <v/>
      </c>
      <c r="G1424" s="64">
        <f>IFERROR(INDEX(MgSubtipo,MATCH($C1424,MgActId,0)),"")</f>
        <v/>
      </c>
      <c r="H1424" s="59" t="inlineStr">
        <is>
          <t>E.3</t>
        </is>
      </c>
      <c r="I1424" s="64">
        <f>IFERROR(INDEX(MgAmenNombre,MATCH(SUBSTITUTE($H1424,"*","-"),MgAmenClave,0)),"")</f>
        <v/>
      </c>
      <c r="J1424" s="28">
        <f>IFERROR(INDEX(MgAmenGrupo,MATCH(SUBSTITUTE($H1424,"*","-"),MgAmenClave,0)),"")</f>
        <v/>
      </c>
      <c r="K1424" s="64">
        <f>IFERROR(INDEX('1. Matriz de Activos'!$Q$6:$Q$239,MATCH($C1424,MgActId,0)),"")</f>
        <v/>
      </c>
      <c r="L1424" s="64">
        <f>IFERROR(INDEX('1. Matriz de Activos'!$R$6:$R$239,MATCH($C1424,MgActId,0)),"")</f>
        <v/>
      </c>
      <c r="M1424" s="64">
        <f>IFERROR(INDEX('1. Matriz de Activos'!$S$6:$S$239,MATCH($C1424,MgActId,0)),"")</f>
        <v/>
      </c>
      <c r="N1424" s="28">
        <f>IFERROR(INDEX(MgAmenDegD,MATCH(SUBSTITUTE($H1424,"*","-"),MgAmenClave,0)),"No aplica")</f>
        <v/>
      </c>
      <c r="O1424" s="28">
        <f>IFERROR(INDEX(MgAmenDegI,MATCH(SUBSTITUTE($H1424,"*","-"),MgAmenClave,0)),"No aplica")</f>
        <v/>
      </c>
      <c r="P1424" s="28">
        <f>IFERROR(INDEX(MgAmenDegC,MATCH(SUBSTITUTE($H1424,"*","-"),MgAmenClave,0)),"No aplica")</f>
        <v/>
      </c>
      <c r="Q1424" s="29">
        <f>IFERROR(VLOOKUP(K1424,MgValor,2,0)*VLOOKUP(N1424,MgDeg,2,0),0)</f>
        <v/>
      </c>
      <c r="R1424" s="29">
        <f>IFERROR(VLOOKUP(L1424,MgValor,2,0)*VLOOKUP(O1424,MgDeg,2,0),0)</f>
        <v/>
      </c>
      <c r="S1424" s="29">
        <f>IFERROR(VLOOKUP(M1424,MgValor,2,0)*VLOOKUP(P1424,MgDeg,2,0),0)</f>
        <v/>
      </c>
      <c r="T1424" s="30">
        <f>MAX(Q1424:S1424)</f>
        <v/>
      </c>
      <c r="U1424" s="28">
        <f>IFERROR(LOOKUP(T1424,{0;0.5;1.5;3;4.5},{"Despreciable";"Bajo";"Medio";"Alto";"Muy alto"}),"")</f>
        <v/>
      </c>
      <c r="V1424" s="13">
        <f>IFERROR(INDEX(MgAmenFrec,MATCH(SUBSTITUTE($H1424,"*","-"),MgAmenClave,0)),"")</f>
        <v/>
      </c>
      <c r="W1424" s="28">
        <f>IFERROR(LOOKUP(X1424,{0;0.01;0.1;1;10;100},{"Muy baja";"Muy baja";"Baja";"Media";"Alta";"Muy alta"}),"")</f>
        <v/>
      </c>
      <c r="X1424" s="31">
        <f>IFERROR(VLOOKUP(V1424,MgFrec,2,0),0)</f>
        <v/>
      </c>
      <c r="Y1424" s="30">
        <f>T1424*X1424</f>
        <v/>
      </c>
      <c r="Z1424" s="28">
        <f>IFERROR(LOOKUP(Y1424,{0;0.5;5;25},{"Bajo";"Medio";"Alto";"Crítico"}),"")</f>
        <v/>
      </c>
      <c r="AA1424" s="64">
        <f>IF(T1424&gt;=3,IF(X1424&gt;=1,"Zona 1 — Crítica: impacto alto y ocurre al menos una vez al año","Zona 4 — Catastrófica poco probable: impacto alto pero excepcional"),IF(AND(T1424&lt;1.5,X1424&lt;1),"Zona 3 — Asumible: impacto bajo y muy poco frecuente","Zona 2 — Atención: riesgo intermedio"))</f>
        <v/>
      </c>
      <c r="AB1424" s="64">
        <f>IFERROR(INDEX(MgAmenCtrl,MATCH(SUBSTITUTE($H1424,"*","-"),MgAmenClave,0)),"")</f>
        <v/>
      </c>
      <c r="AC1424" s="20" t="n"/>
      <c r="AD1424" s="31">
        <f>IFERROR($X1424*(1-IF($AC1424="",$AL1424,VLOOKUP($AC1424,MgMad,2,0))),"")</f>
        <v/>
      </c>
      <c r="AE1424" s="28">
        <f>IFERROR(LOOKUP(AD1424,{0;0.01;0.1;1;10;100},{"Muy baja";"Muy baja";"Baja";"Media";"Alta";"Muy alta"}),"")</f>
        <v/>
      </c>
      <c r="AF1424" s="30">
        <f>T1424*AD1424</f>
        <v/>
      </c>
      <c r="AG1424" s="28">
        <f>IFERROR(LOOKUP(AF1424,{0;0.5;5;25},{"Bajo";"Medio";"Alto";"Crítico"}),"")</f>
        <v/>
      </c>
      <c r="AH1424" s="28">
        <f>IF(AG1424="","",IF(OR(AG1424="Crítico",AG1424="Alto"),"Mitigar",IF(AG1424="Medio","Mitigar","Aceptar y monitorear")))</f>
        <v/>
      </c>
      <c r="AI1424" s="21" t="n"/>
      <c r="AJ1424" s="21" t="n"/>
      <c r="AK1424" s="20" t="n"/>
      <c r="AL1424" s="77">
        <f>IFERROR(INDEX(MgAmenEfic,MATCH(SUBSTITUTE($H1424,"*","-"),MgAmenClave,0)),0)</f>
        <v/>
      </c>
    </row>
    <row r="1425" hidden="1" ht="75" customHeight="1" s="54">
      <c r="B1425" s="59" t="inlineStr">
        <is>
          <t>R-1420</t>
        </is>
      </c>
      <c r="C1425" s="59" t="inlineStr">
        <is>
          <t>GH-046</t>
        </is>
      </c>
      <c r="D1425" s="64">
        <f>IFERROR(INDEX(MgNombre,MATCH($C1425,MgActId,0)),"")</f>
        <v/>
      </c>
      <c r="E1425" s="64">
        <f>IFERROR(INDEX(MgProceso,MATCH($C1425,MgActId,0)),"")</f>
        <v/>
      </c>
      <c r="F1425" s="64">
        <f>IFERROR(INDEX(MgTipo,MATCH($C1425,MgActId,0)),"")</f>
        <v/>
      </c>
      <c r="G1425" s="64">
        <f>IFERROR(INDEX(MgSubtipo,MATCH($C1425,MgActId,0)),"")</f>
        <v/>
      </c>
      <c r="H1425" s="59" t="inlineStr">
        <is>
          <t>E.4</t>
        </is>
      </c>
      <c r="I1425" s="64">
        <f>IFERROR(INDEX(MgAmenNombre,MATCH(SUBSTITUTE($H1425,"*","-"),MgAmenClave,0)),"")</f>
        <v/>
      </c>
      <c r="J1425" s="28">
        <f>IFERROR(INDEX(MgAmenGrupo,MATCH(SUBSTITUTE($H1425,"*","-"),MgAmenClave,0)),"")</f>
        <v/>
      </c>
      <c r="K1425" s="64">
        <f>IFERROR(INDEX('1. Matriz de Activos'!$Q$6:$Q$239,MATCH($C1425,MgActId,0)),"")</f>
        <v/>
      </c>
      <c r="L1425" s="64">
        <f>IFERROR(INDEX('1. Matriz de Activos'!$R$6:$R$239,MATCH($C1425,MgActId,0)),"")</f>
        <v/>
      </c>
      <c r="M1425" s="64">
        <f>IFERROR(INDEX('1. Matriz de Activos'!$S$6:$S$239,MATCH($C1425,MgActId,0)),"")</f>
        <v/>
      </c>
      <c r="N1425" s="28">
        <f>IFERROR(INDEX(MgAmenDegD,MATCH(SUBSTITUTE($H1425,"*","-"),MgAmenClave,0)),"No aplica")</f>
        <v/>
      </c>
      <c r="O1425" s="28">
        <f>IFERROR(INDEX(MgAmenDegI,MATCH(SUBSTITUTE($H1425,"*","-"),MgAmenClave,0)),"No aplica")</f>
        <v/>
      </c>
      <c r="P1425" s="28">
        <f>IFERROR(INDEX(MgAmenDegC,MATCH(SUBSTITUTE($H1425,"*","-"),MgAmenClave,0)),"No aplica")</f>
        <v/>
      </c>
      <c r="Q1425" s="29">
        <f>IFERROR(VLOOKUP(K1425,MgValor,2,0)*VLOOKUP(N1425,MgDeg,2,0),0)</f>
        <v/>
      </c>
      <c r="R1425" s="29">
        <f>IFERROR(VLOOKUP(L1425,MgValor,2,0)*VLOOKUP(O1425,MgDeg,2,0),0)</f>
        <v/>
      </c>
      <c r="S1425" s="29">
        <f>IFERROR(VLOOKUP(M1425,MgValor,2,0)*VLOOKUP(P1425,MgDeg,2,0),0)</f>
        <v/>
      </c>
      <c r="T1425" s="30">
        <f>MAX(Q1425:S1425)</f>
        <v/>
      </c>
      <c r="U1425" s="28">
        <f>IFERROR(LOOKUP(T1425,{0;0.5;1.5;3;4.5},{"Despreciable";"Bajo";"Medio";"Alto";"Muy alto"}),"")</f>
        <v/>
      </c>
      <c r="V1425" s="13">
        <f>IFERROR(INDEX(MgAmenFrec,MATCH(SUBSTITUTE($H1425,"*","-"),MgAmenClave,0)),"")</f>
        <v/>
      </c>
      <c r="W1425" s="28">
        <f>IFERROR(LOOKUP(X1425,{0;0.01;0.1;1;10;100},{"Muy baja";"Muy baja";"Baja";"Media";"Alta";"Muy alta"}),"")</f>
        <v/>
      </c>
      <c r="X1425" s="31">
        <f>IFERROR(VLOOKUP(V1425,MgFrec,2,0),0)</f>
        <v/>
      </c>
      <c r="Y1425" s="30">
        <f>T1425*X1425</f>
        <v/>
      </c>
      <c r="Z1425" s="28">
        <f>IFERROR(LOOKUP(Y1425,{0;0.5;5;25},{"Bajo";"Medio";"Alto";"Crítico"}),"")</f>
        <v/>
      </c>
      <c r="AA1425" s="64">
        <f>IF(T1425&gt;=3,IF(X1425&gt;=1,"Zona 1 — Crítica: impacto alto y ocurre al menos una vez al año","Zona 4 — Catastrófica poco probable: impacto alto pero excepcional"),IF(AND(T1425&lt;1.5,X1425&lt;1),"Zona 3 — Asumible: impacto bajo y muy poco frecuente","Zona 2 — Atención: riesgo intermedio"))</f>
        <v/>
      </c>
      <c r="AB1425" s="64">
        <f>IFERROR(INDEX(MgAmenCtrl,MATCH(SUBSTITUTE($H1425,"*","-"),MgAmenClave,0)),"")</f>
        <v/>
      </c>
      <c r="AC1425" s="20" t="n"/>
      <c r="AD1425" s="31">
        <f>IFERROR($X1425*(1-IF($AC1425="",$AL1425,VLOOKUP($AC1425,MgMad,2,0))),"")</f>
        <v/>
      </c>
      <c r="AE1425" s="28">
        <f>IFERROR(LOOKUP(AD1425,{0;0.01;0.1;1;10;100},{"Muy baja";"Muy baja";"Baja";"Media";"Alta";"Muy alta"}),"")</f>
        <v/>
      </c>
      <c r="AF1425" s="30">
        <f>T1425*AD1425</f>
        <v/>
      </c>
      <c r="AG1425" s="28">
        <f>IFERROR(LOOKUP(AF1425,{0;0.5;5;25},{"Bajo";"Medio";"Alto";"Crítico"}),"")</f>
        <v/>
      </c>
      <c r="AH1425" s="28">
        <f>IF(AG1425="","",IF(OR(AG1425="Crítico",AG1425="Alto"),"Mitigar",IF(AG1425="Medio","Mitigar","Aceptar y monitorear")))</f>
        <v/>
      </c>
      <c r="AI1425" s="21" t="n"/>
      <c r="AJ1425" s="21" t="n"/>
      <c r="AK1425" s="20" t="n"/>
      <c r="AL1425" s="77">
        <f>IFERROR(INDEX(MgAmenEfic,MATCH(SUBSTITUTE($H1425,"*","-"),MgAmenClave,0)),0)</f>
        <v/>
      </c>
    </row>
    <row r="1426" hidden="1" ht="90" customHeight="1" s="54">
      <c r="B1426" s="59" t="inlineStr">
        <is>
          <t>R-1421</t>
        </is>
      </c>
      <c r="C1426" s="59" t="inlineStr">
        <is>
          <t>GH-046</t>
        </is>
      </c>
      <c r="D1426" s="64">
        <f>IFERROR(INDEX(MgNombre,MATCH($C1426,MgActId,0)),"")</f>
        <v/>
      </c>
      <c r="E1426" s="64">
        <f>IFERROR(INDEX(MgProceso,MATCH($C1426,MgActId,0)),"")</f>
        <v/>
      </c>
      <c r="F1426" s="64">
        <f>IFERROR(INDEX(MgTipo,MATCH($C1426,MgActId,0)),"")</f>
        <v/>
      </c>
      <c r="G1426" s="64">
        <f>IFERROR(INDEX(MgSubtipo,MATCH($C1426,MgActId,0)),"")</f>
        <v/>
      </c>
      <c r="H1426" s="59" t="inlineStr">
        <is>
          <t>E.14</t>
        </is>
      </c>
      <c r="I1426" s="64">
        <f>IFERROR(INDEX(MgAmenNombre,MATCH(SUBSTITUTE($H1426,"*","-"),MgAmenClave,0)),"")</f>
        <v/>
      </c>
      <c r="J1426" s="28">
        <f>IFERROR(INDEX(MgAmenGrupo,MATCH(SUBSTITUTE($H1426,"*","-"),MgAmenClave,0)),"")</f>
        <v/>
      </c>
      <c r="K1426" s="64">
        <f>IFERROR(INDEX('1. Matriz de Activos'!$Q$6:$Q$239,MATCH($C1426,MgActId,0)),"")</f>
        <v/>
      </c>
      <c r="L1426" s="64">
        <f>IFERROR(INDEX('1. Matriz de Activos'!$R$6:$R$239,MATCH($C1426,MgActId,0)),"")</f>
        <v/>
      </c>
      <c r="M1426" s="64">
        <f>IFERROR(INDEX('1. Matriz de Activos'!$S$6:$S$239,MATCH($C1426,MgActId,0)),"")</f>
        <v/>
      </c>
      <c r="N1426" s="28">
        <f>IFERROR(INDEX(MgAmenDegD,MATCH(SUBSTITUTE($H1426,"*","-"),MgAmenClave,0)),"No aplica")</f>
        <v/>
      </c>
      <c r="O1426" s="28">
        <f>IFERROR(INDEX(MgAmenDegI,MATCH(SUBSTITUTE($H1426,"*","-"),MgAmenClave,0)),"No aplica")</f>
        <v/>
      </c>
      <c r="P1426" s="28">
        <f>IFERROR(INDEX(MgAmenDegC,MATCH(SUBSTITUTE($H1426,"*","-"),MgAmenClave,0)),"No aplica")</f>
        <v/>
      </c>
      <c r="Q1426" s="29">
        <f>IFERROR(VLOOKUP(K1426,MgValor,2,0)*VLOOKUP(N1426,MgDeg,2,0),0)</f>
        <v/>
      </c>
      <c r="R1426" s="29">
        <f>IFERROR(VLOOKUP(L1426,MgValor,2,0)*VLOOKUP(O1426,MgDeg,2,0),0)</f>
        <v/>
      </c>
      <c r="S1426" s="29">
        <f>IFERROR(VLOOKUP(M1426,MgValor,2,0)*VLOOKUP(P1426,MgDeg,2,0),0)</f>
        <v/>
      </c>
      <c r="T1426" s="30">
        <f>MAX(Q1426:S1426)</f>
        <v/>
      </c>
      <c r="U1426" s="28">
        <f>IFERROR(LOOKUP(T1426,{0;0.5;1.5;3;4.5},{"Despreciable";"Bajo";"Medio";"Alto";"Muy alto"}),"")</f>
        <v/>
      </c>
      <c r="V1426" s="13">
        <f>IFERROR(INDEX(MgAmenFrec,MATCH(SUBSTITUTE($H1426,"*","-"),MgAmenClave,0)),"")</f>
        <v/>
      </c>
      <c r="W1426" s="28">
        <f>IFERROR(LOOKUP(X1426,{0;0.01;0.1;1;10;100},{"Muy baja";"Muy baja";"Baja";"Media";"Alta";"Muy alta"}),"")</f>
        <v/>
      </c>
      <c r="X1426" s="31">
        <f>IFERROR(VLOOKUP(V1426,MgFrec,2,0),0)</f>
        <v/>
      </c>
      <c r="Y1426" s="30">
        <f>T1426*X1426</f>
        <v/>
      </c>
      <c r="Z1426" s="28">
        <f>IFERROR(LOOKUP(Y1426,{0;0.5;5;25},{"Bajo";"Medio";"Alto";"Crítico"}),"")</f>
        <v/>
      </c>
      <c r="AA1426" s="64">
        <f>IF(T1426&gt;=3,IF(X1426&gt;=1,"Zona 1 — Crítica: impacto alto y ocurre al menos una vez al año","Zona 4 — Catastrófica poco probable: impacto alto pero excepcional"),IF(AND(T1426&lt;1.5,X1426&lt;1),"Zona 3 — Asumible: impacto bajo y muy poco frecuente","Zona 2 — Atención: riesgo intermedio"))</f>
        <v/>
      </c>
      <c r="AB1426" s="64">
        <f>IFERROR(INDEX(MgAmenCtrl,MATCH(SUBSTITUTE($H1426,"*","-"),MgAmenClave,0)),"")</f>
        <v/>
      </c>
      <c r="AC1426" s="20" t="n"/>
      <c r="AD1426" s="31">
        <f>IFERROR($X1426*(1-IF($AC1426="",$AL1426,VLOOKUP($AC1426,MgMad,2,0))),"")</f>
        <v/>
      </c>
      <c r="AE1426" s="28">
        <f>IFERROR(LOOKUP(AD1426,{0;0.01;0.1;1;10;100},{"Muy baja";"Muy baja";"Baja";"Media";"Alta";"Muy alta"}),"")</f>
        <v/>
      </c>
      <c r="AF1426" s="30">
        <f>T1426*AD1426</f>
        <v/>
      </c>
      <c r="AG1426" s="28">
        <f>IFERROR(LOOKUP(AF1426,{0;0.5;5;25},{"Bajo";"Medio";"Alto";"Crítico"}),"")</f>
        <v/>
      </c>
      <c r="AH1426" s="28">
        <f>IF(AG1426="","",IF(OR(AG1426="Crítico",AG1426="Alto"),"Mitigar",IF(AG1426="Medio","Mitigar","Aceptar y monitorear")))</f>
        <v/>
      </c>
      <c r="AI1426" s="21" t="n"/>
      <c r="AJ1426" s="21" t="n"/>
      <c r="AK1426" s="20" t="n"/>
      <c r="AL1426" s="77">
        <f>IFERROR(INDEX(MgAmenEfic,MATCH(SUBSTITUTE($H1426,"*","-"),MgAmenClave,0)),0)</f>
        <v/>
      </c>
    </row>
    <row r="1427" hidden="1" ht="90" customHeight="1" s="54">
      <c r="B1427" s="59" t="inlineStr">
        <is>
          <t>R-1422</t>
        </is>
      </c>
      <c r="C1427" s="59" t="inlineStr">
        <is>
          <t>GH-046</t>
        </is>
      </c>
      <c r="D1427" s="64">
        <f>IFERROR(INDEX(MgNombre,MATCH($C1427,MgActId,0)),"")</f>
        <v/>
      </c>
      <c r="E1427" s="64">
        <f>IFERROR(INDEX(MgProceso,MATCH($C1427,MgActId,0)),"")</f>
        <v/>
      </c>
      <c r="F1427" s="64">
        <f>IFERROR(INDEX(MgTipo,MATCH($C1427,MgActId,0)),"")</f>
        <v/>
      </c>
      <c r="G1427" s="64">
        <f>IFERROR(INDEX(MgSubtipo,MATCH($C1427,MgActId,0)),"")</f>
        <v/>
      </c>
      <c r="H1427" s="59" t="inlineStr">
        <is>
          <t>E.15</t>
        </is>
      </c>
      <c r="I1427" s="64">
        <f>IFERROR(INDEX(MgAmenNombre,MATCH(SUBSTITUTE($H1427,"*","-"),MgAmenClave,0)),"")</f>
        <v/>
      </c>
      <c r="J1427" s="28">
        <f>IFERROR(INDEX(MgAmenGrupo,MATCH(SUBSTITUTE($H1427,"*","-"),MgAmenClave,0)),"")</f>
        <v/>
      </c>
      <c r="K1427" s="64">
        <f>IFERROR(INDEX('1. Matriz de Activos'!$Q$6:$Q$239,MATCH($C1427,MgActId,0)),"")</f>
        <v/>
      </c>
      <c r="L1427" s="64">
        <f>IFERROR(INDEX('1. Matriz de Activos'!$R$6:$R$239,MATCH($C1427,MgActId,0)),"")</f>
        <v/>
      </c>
      <c r="M1427" s="64">
        <f>IFERROR(INDEX('1. Matriz de Activos'!$S$6:$S$239,MATCH($C1427,MgActId,0)),"")</f>
        <v/>
      </c>
      <c r="N1427" s="28">
        <f>IFERROR(INDEX(MgAmenDegD,MATCH(SUBSTITUTE($H1427,"*","-"),MgAmenClave,0)),"No aplica")</f>
        <v/>
      </c>
      <c r="O1427" s="28">
        <f>IFERROR(INDEX(MgAmenDegI,MATCH(SUBSTITUTE($H1427,"*","-"),MgAmenClave,0)),"No aplica")</f>
        <v/>
      </c>
      <c r="P1427" s="28">
        <f>IFERROR(INDEX(MgAmenDegC,MATCH(SUBSTITUTE($H1427,"*","-"),MgAmenClave,0)),"No aplica")</f>
        <v/>
      </c>
      <c r="Q1427" s="29">
        <f>IFERROR(VLOOKUP(K1427,MgValor,2,0)*VLOOKUP(N1427,MgDeg,2,0),0)</f>
        <v/>
      </c>
      <c r="R1427" s="29">
        <f>IFERROR(VLOOKUP(L1427,MgValor,2,0)*VLOOKUP(O1427,MgDeg,2,0),0)</f>
        <v/>
      </c>
      <c r="S1427" s="29">
        <f>IFERROR(VLOOKUP(M1427,MgValor,2,0)*VLOOKUP(P1427,MgDeg,2,0),0)</f>
        <v/>
      </c>
      <c r="T1427" s="30">
        <f>MAX(Q1427:S1427)</f>
        <v/>
      </c>
      <c r="U1427" s="28">
        <f>IFERROR(LOOKUP(T1427,{0;0.5;1.5;3;4.5},{"Despreciable";"Bajo";"Medio";"Alto";"Muy alto"}),"")</f>
        <v/>
      </c>
      <c r="V1427" s="13">
        <f>IFERROR(INDEX(MgAmenFrec,MATCH(SUBSTITUTE($H1427,"*","-"),MgAmenClave,0)),"")</f>
        <v/>
      </c>
      <c r="W1427" s="28">
        <f>IFERROR(LOOKUP(X1427,{0;0.01;0.1;1;10;100},{"Muy baja";"Muy baja";"Baja";"Media";"Alta";"Muy alta"}),"")</f>
        <v/>
      </c>
      <c r="X1427" s="31">
        <f>IFERROR(VLOOKUP(V1427,MgFrec,2,0),0)</f>
        <v/>
      </c>
      <c r="Y1427" s="30">
        <f>T1427*X1427</f>
        <v/>
      </c>
      <c r="Z1427" s="28">
        <f>IFERROR(LOOKUP(Y1427,{0;0.5;5;25},{"Bajo";"Medio";"Alto";"Crítico"}),"")</f>
        <v/>
      </c>
      <c r="AA1427" s="64">
        <f>IF(T1427&gt;=3,IF(X1427&gt;=1,"Zona 1 — Crítica: impacto alto y ocurre al menos una vez al año","Zona 4 — Catastrófica poco probable: impacto alto pero excepcional"),IF(AND(T1427&lt;1.5,X1427&lt;1),"Zona 3 — Asumible: impacto bajo y muy poco frecuente","Zona 2 — Atención: riesgo intermedio"))</f>
        <v/>
      </c>
      <c r="AB1427" s="64">
        <f>IFERROR(INDEX(MgAmenCtrl,MATCH(SUBSTITUTE($H1427,"*","-"),MgAmenClave,0)),"")</f>
        <v/>
      </c>
      <c r="AC1427" s="20" t="n"/>
      <c r="AD1427" s="31">
        <f>IFERROR($X1427*(1-IF($AC1427="",$AL1427,VLOOKUP($AC1427,MgMad,2,0))),"")</f>
        <v/>
      </c>
      <c r="AE1427" s="28">
        <f>IFERROR(LOOKUP(AD1427,{0;0.01;0.1;1;10;100},{"Muy baja";"Muy baja";"Baja";"Media";"Alta";"Muy alta"}),"")</f>
        <v/>
      </c>
      <c r="AF1427" s="30">
        <f>T1427*AD1427</f>
        <v/>
      </c>
      <c r="AG1427" s="28">
        <f>IFERROR(LOOKUP(AF1427,{0;0.5;5;25},{"Bajo";"Medio";"Alto";"Crítico"}),"")</f>
        <v/>
      </c>
      <c r="AH1427" s="28">
        <f>IF(AG1427="","",IF(OR(AG1427="Crítico",AG1427="Alto"),"Mitigar",IF(AG1427="Medio","Mitigar","Aceptar y monitorear")))</f>
        <v/>
      </c>
      <c r="AI1427" s="21" t="n"/>
      <c r="AJ1427" s="21" t="n"/>
      <c r="AK1427" s="20" t="n"/>
      <c r="AL1427" s="77">
        <f>IFERROR(INDEX(MgAmenEfic,MATCH(SUBSTITUTE($H1427,"*","-"),MgAmenClave,0)),0)</f>
        <v/>
      </c>
    </row>
    <row r="1428" hidden="1" ht="60" customHeight="1" s="54">
      <c r="B1428" s="59" t="inlineStr">
        <is>
          <t>R-1423</t>
        </is>
      </c>
      <c r="C1428" s="59" t="inlineStr">
        <is>
          <t>GH-046</t>
        </is>
      </c>
      <c r="D1428" s="64">
        <f>IFERROR(INDEX(MgNombre,MATCH($C1428,MgActId,0)),"")</f>
        <v/>
      </c>
      <c r="E1428" s="64">
        <f>IFERROR(INDEX(MgProceso,MATCH($C1428,MgActId,0)),"")</f>
        <v/>
      </c>
      <c r="F1428" s="64">
        <f>IFERROR(INDEX(MgTipo,MATCH($C1428,MgActId,0)),"")</f>
        <v/>
      </c>
      <c r="G1428" s="64">
        <f>IFERROR(INDEX(MgSubtipo,MATCH($C1428,MgActId,0)),"")</f>
        <v/>
      </c>
      <c r="H1428" s="59" t="inlineStr">
        <is>
          <t>E.18</t>
        </is>
      </c>
      <c r="I1428" s="64">
        <f>IFERROR(INDEX(MgAmenNombre,MATCH(SUBSTITUTE($H1428,"*","-"),MgAmenClave,0)),"")</f>
        <v/>
      </c>
      <c r="J1428" s="28">
        <f>IFERROR(INDEX(MgAmenGrupo,MATCH(SUBSTITUTE($H1428,"*","-"),MgAmenClave,0)),"")</f>
        <v/>
      </c>
      <c r="K1428" s="64">
        <f>IFERROR(INDEX('1. Matriz de Activos'!$Q$6:$Q$239,MATCH($C1428,MgActId,0)),"")</f>
        <v/>
      </c>
      <c r="L1428" s="64">
        <f>IFERROR(INDEX('1. Matriz de Activos'!$R$6:$R$239,MATCH($C1428,MgActId,0)),"")</f>
        <v/>
      </c>
      <c r="M1428" s="64">
        <f>IFERROR(INDEX('1. Matriz de Activos'!$S$6:$S$239,MATCH($C1428,MgActId,0)),"")</f>
        <v/>
      </c>
      <c r="N1428" s="28">
        <f>IFERROR(INDEX(MgAmenDegD,MATCH(SUBSTITUTE($H1428,"*","-"),MgAmenClave,0)),"No aplica")</f>
        <v/>
      </c>
      <c r="O1428" s="28">
        <f>IFERROR(INDEX(MgAmenDegI,MATCH(SUBSTITUTE($H1428,"*","-"),MgAmenClave,0)),"No aplica")</f>
        <v/>
      </c>
      <c r="P1428" s="28">
        <f>IFERROR(INDEX(MgAmenDegC,MATCH(SUBSTITUTE($H1428,"*","-"),MgAmenClave,0)),"No aplica")</f>
        <v/>
      </c>
      <c r="Q1428" s="29">
        <f>IFERROR(VLOOKUP(K1428,MgValor,2,0)*VLOOKUP(N1428,MgDeg,2,0),0)</f>
        <v/>
      </c>
      <c r="R1428" s="29">
        <f>IFERROR(VLOOKUP(L1428,MgValor,2,0)*VLOOKUP(O1428,MgDeg,2,0),0)</f>
        <v/>
      </c>
      <c r="S1428" s="29">
        <f>IFERROR(VLOOKUP(M1428,MgValor,2,0)*VLOOKUP(P1428,MgDeg,2,0),0)</f>
        <v/>
      </c>
      <c r="T1428" s="30">
        <f>MAX(Q1428:S1428)</f>
        <v/>
      </c>
      <c r="U1428" s="28">
        <f>IFERROR(LOOKUP(T1428,{0;0.5;1.5;3;4.5},{"Despreciable";"Bajo";"Medio";"Alto";"Muy alto"}),"")</f>
        <v/>
      </c>
      <c r="V1428" s="13">
        <f>IFERROR(INDEX(MgAmenFrec,MATCH(SUBSTITUTE($H1428,"*","-"),MgAmenClave,0)),"")</f>
        <v/>
      </c>
      <c r="W1428" s="28">
        <f>IFERROR(LOOKUP(X1428,{0;0.01;0.1;1;10;100},{"Muy baja";"Muy baja";"Baja";"Media";"Alta";"Muy alta"}),"")</f>
        <v/>
      </c>
      <c r="X1428" s="31">
        <f>IFERROR(VLOOKUP(V1428,MgFrec,2,0),0)</f>
        <v/>
      </c>
      <c r="Y1428" s="30">
        <f>T1428*X1428</f>
        <v/>
      </c>
      <c r="Z1428" s="28">
        <f>IFERROR(LOOKUP(Y1428,{0;0.5;5;25},{"Bajo";"Medio";"Alto";"Crítico"}),"")</f>
        <v/>
      </c>
      <c r="AA1428" s="64">
        <f>IF(T1428&gt;=3,IF(X1428&gt;=1,"Zona 1 — Crítica: impacto alto y ocurre al menos una vez al año","Zona 4 — Catastrófica poco probable: impacto alto pero excepcional"),IF(AND(T1428&lt;1.5,X1428&lt;1),"Zona 3 — Asumible: impacto bajo y muy poco frecuente","Zona 2 — Atención: riesgo intermedio"))</f>
        <v/>
      </c>
      <c r="AB1428" s="64">
        <f>IFERROR(INDEX(MgAmenCtrl,MATCH(SUBSTITUTE($H1428,"*","-"),MgAmenClave,0)),"")</f>
        <v/>
      </c>
      <c r="AC1428" s="20" t="n"/>
      <c r="AD1428" s="31">
        <f>IFERROR($X1428*(1-IF($AC1428="",$AL1428,VLOOKUP($AC1428,MgMad,2,0))),"")</f>
        <v/>
      </c>
      <c r="AE1428" s="28">
        <f>IFERROR(LOOKUP(AD1428,{0;0.01;0.1;1;10;100},{"Muy baja";"Muy baja";"Baja";"Media";"Alta";"Muy alta"}),"")</f>
        <v/>
      </c>
      <c r="AF1428" s="30">
        <f>T1428*AD1428</f>
        <v/>
      </c>
      <c r="AG1428" s="28">
        <f>IFERROR(LOOKUP(AF1428,{0;0.5;5;25},{"Bajo";"Medio";"Alto";"Crítico"}),"")</f>
        <v/>
      </c>
      <c r="AH1428" s="28">
        <f>IF(AG1428="","",IF(OR(AG1428="Crítico",AG1428="Alto"),"Mitigar",IF(AG1428="Medio","Mitigar","Aceptar y monitorear")))</f>
        <v/>
      </c>
      <c r="AI1428" s="21" t="n"/>
      <c r="AJ1428" s="21" t="n"/>
      <c r="AK1428" s="20" t="n"/>
      <c r="AL1428" s="77">
        <f>IFERROR(INDEX(MgAmenEfic,MATCH(SUBSTITUTE($H1428,"*","-"),MgAmenClave,0)),0)</f>
        <v/>
      </c>
    </row>
    <row r="1429" hidden="1" ht="105" customHeight="1" s="54">
      <c r="B1429" s="59" t="inlineStr">
        <is>
          <t>R-1424</t>
        </is>
      </c>
      <c r="C1429" s="59" t="inlineStr">
        <is>
          <t>GH-046</t>
        </is>
      </c>
      <c r="D1429" s="64">
        <f>IFERROR(INDEX(MgNombre,MATCH($C1429,MgActId,0)),"")</f>
        <v/>
      </c>
      <c r="E1429" s="64">
        <f>IFERROR(INDEX(MgProceso,MATCH($C1429,MgActId,0)),"")</f>
        <v/>
      </c>
      <c r="F1429" s="64">
        <f>IFERROR(INDEX(MgTipo,MATCH($C1429,MgActId,0)),"")</f>
        <v/>
      </c>
      <c r="G1429" s="64">
        <f>IFERROR(INDEX(MgSubtipo,MATCH($C1429,MgActId,0)),"")</f>
        <v/>
      </c>
      <c r="H1429" s="59" t="inlineStr">
        <is>
          <t>E.19</t>
        </is>
      </c>
      <c r="I1429" s="64">
        <f>IFERROR(INDEX(MgAmenNombre,MATCH(SUBSTITUTE($H1429,"*","-"),MgAmenClave,0)),"")</f>
        <v/>
      </c>
      <c r="J1429" s="28">
        <f>IFERROR(INDEX(MgAmenGrupo,MATCH(SUBSTITUTE($H1429,"*","-"),MgAmenClave,0)),"")</f>
        <v/>
      </c>
      <c r="K1429" s="64">
        <f>IFERROR(INDEX('1. Matriz de Activos'!$Q$6:$Q$239,MATCH($C1429,MgActId,0)),"")</f>
        <v/>
      </c>
      <c r="L1429" s="64">
        <f>IFERROR(INDEX('1. Matriz de Activos'!$R$6:$R$239,MATCH($C1429,MgActId,0)),"")</f>
        <v/>
      </c>
      <c r="M1429" s="64">
        <f>IFERROR(INDEX('1. Matriz de Activos'!$S$6:$S$239,MATCH($C1429,MgActId,0)),"")</f>
        <v/>
      </c>
      <c r="N1429" s="28">
        <f>IFERROR(INDEX(MgAmenDegD,MATCH(SUBSTITUTE($H1429,"*","-"),MgAmenClave,0)),"No aplica")</f>
        <v/>
      </c>
      <c r="O1429" s="28">
        <f>IFERROR(INDEX(MgAmenDegI,MATCH(SUBSTITUTE($H1429,"*","-"),MgAmenClave,0)),"No aplica")</f>
        <v/>
      </c>
      <c r="P1429" s="28">
        <f>IFERROR(INDEX(MgAmenDegC,MATCH(SUBSTITUTE($H1429,"*","-"),MgAmenClave,0)),"No aplica")</f>
        <v/>
      </c>
      <c r="Q1429" s="29">
        <f>IFERROR(VLOOKUP(K1429,MgValor,2,0)*VLOOKUP(N1429,MgDeg,2,0),0)</f>
        <v/>
      </c>
      <c r="R1429" s="29">
        <f>IFERROR(VLOOKUP(L1429,MgValor,2,0)*VLOOKUP(O1429,MgDeg,2,0),0)</f>
        <v/>
      </c>
      <c r="S1429" s="29">
        <f>IFERROR(VLOOKUP(M1429,MgValor,2,0)*VLOOKUP(P1429,MgDeg,2,0),0)</f>
        <v/>
      </c>
      <c r="T1429" s="30">
        <f>MAX(Q1429:S1429)</f>
        <v/>
      </c>
      <c r="U1429" s="28">
        <f>IFERROR(LOOKUP(T1429,{0;0.5;1.5;3;4.5},{"Despreciable";"Bajo";"Medio";"Alto";"Muy alto"}),"")</f>
        <v/>
      </c>
      <c r="V1429" s="13">
        <f>IFERROR(INDEX(MgAmenFrec,MATCH(SUBSTITUTE($H1429,"*","-"),MgAmenClave,0)),"")</f>
        <v/>
      </c>
      <c r="W1429" s="28">
        <f>IFERROR(LOOKUP(X1429,{0;0.01;0.1;1;10;100},{"Muy baja";"Muy baja";"Baja";"Media";"Alta";"Muy alta"}),"")</f>
        <v/>
      </c>
      <c r="X1429" s="31">
        <f>IFERROR(VLOOKUP(V1429,MgFrec,2,0),0)</f>
        <v/>
      </c>
      <c r="Y1429" s="30">
        <f>T1429*X1429</f>
        <v/>
      </c>
      <c r="Z1429" s="28">
        <f>IFERROR(LOOKUP(Y1429,{0;0.5;5;25},{"Bajo";"Medio";"Alto";"Crítico"}),"")</f>
        <v/>
      </c>
      <c r="AA1429" s="64">
        <f>IF(T1429&gt;=3,IF(X1429&gt;=1,"Zona 1 — Crítica: impacto alto y ocurre al menos una vez al año","Zona 4 — Catastrófica poco probable: impacto alto pero excepcional"),IF(AND(T1429&lt;1.5,X1429&lt;1),"Zona 3 — Asumible: impacto bajo y muy poco frecuente","Zona 2 — Atención: riesgo intermedio"))</f>
        <v/>
      </c>
      <c r="AB1429" s="64">
        <f>IFERROR(INDEX(MgAmenCtrl,MATCH(SUBSTITUTE($H1429,"*","-"),MgAmenClave,0)),"")</f>
        <v/>
      </c>
      <c r="AC1429" s="20" t="n"/>
      <c r="AD1429" s="31">
        <f>IFERROR($X1429*(1-IF($AC1429="",$AL1429,VLOOKUP($AC1429,MgMad,2,0))),"")</f>
        <v/>
      </c>
      <c r="AE1429" s="28">
        <f>IFERROR(LOOKUP(AD1429,{0;0.01;0.1;1;10;100},{"Muy baja";"Muy baja";"Baja";"Media";"Alta";"Muy alta"}),"")</f>
        <v/>
      </c>
      <c r="AF1429" s="30">
        <f>T1429*AD1429</f>
        <v/>
      </c>
      <c r="AG1429" s="28">
        <f>IFERROR(LOOKUP(AF1429,{0;0.5;5;25},{"Bajo";"Medio";"Alto";"Crítico"}),"")</f>
        <v/>
      </c>
      <c r="AH1429" s="28">
        <f>IF(AG1429="","",IF(OR(AG1429="Crítico",AG1429="Alto"),"Mitigar",IF(AG1429="Medio","Mitigar","Aceptar y monitorear")))</f>
        <v/>
      </c>
      <c r="AI1429" s="21" t="n"/>
      <c r="AJ1429" s="21" t="n"/>
      <c r="AK1429" s="20" t="n"/>
      <c r="AL1429" s="77">
        <f>IFERROR(INDEX(MgAmenEfic,MATCH(SUBSTITUTE($H1429,"*","-"),MgAmenClave,0)),0)</f>
        <v/>
      </c>
    </row>
    <row r="1430" hidden="1" ht="60" customHeight="1" s="54">
      <c r="B1430" s="59" t="inlineStr">
        <is>
          <t>R-1425</t>
        </is>
      </c>
      <c r="C1430" s="59" t="inlineStr">
        <is>
          <t>GH-046</t>
        </is>
      </c>
      <c r="D1430" s="64">
        <f>IFERROR(INDEX(MgNombre,MATCH($C1430,MgActId,0)),"")</f>
        <v/>
      </c>
      <c r="E1430" s="64">
        <f>IFERROR(INDEX(MgProceso,MATCH($C1430,MgActId,0)),"")</f>
        <v/>
      </c>
      <c r="F1430" s="64">
        <f>IFERROR(INDEX(MgTipo,MATCH($C1430,MgActId,0)),"")</f>
        <v/>
      </c>
      <c r="G1430" s="64">
        <f>IFERROR(INDEX(MgSubtipo,MATCH($C1430,MgActId,0)),"")</f>
        <v/>
      </c>
      <c r="H1430" s="59" t="inlineStr">
        <is>
          <t>A.3</t>
        </is>
      </c>
      <c r="I1430" s="64">
        <f>IFERROR(INDEX(MgAmenNombre,MATCH(SUBSTITUTE($H1430,"*","-"),MgAmenClave,0)),"")</f>
        <v/>
      </c>
      <c r="J1430" s="28">
        <f>IFERROR(INDEX(MgAmenGrupo,MATCH(SUBSTITUTE($H1430,"*","-"),MgAmenClave,0)),"")</f>
        <v/>
      </c>
      <c r="K1430" s="64">
        <f>IFERROR(INDEX('1. Matriz de Activos'!$Q$6:$Q$239,MATCH($C1430,MgActId,0)),"")</f>
        <v/>
      </c>
      <c r="L1430" s="64">
        <f>IFERROR(INDEX('1. Matriz de Activos'!$R$6:$R$239,MATCH($C1430,MgActId,0)),"")</f>
        <v/>
      </c>
      <c r="M1430" s="64">
        <f>IFERROR(INDEX('1. Matriz de Activos'!$S$6:$S$239,MATCH($C1430,MgActId,0)),"")</f>
        <v/>
      </c>
      <c r="N1430" s="28">
        <f>IFERROR(INDEX(MgAmenDegD,MATCH(SUBSTITUTE($H1430,"*","-"),MgAmenClave,0)),"No aplica")</f>
        <v/>
      </c>
      <c r="O1430" s="28">
        <f>IFERROR(INDEX(MgAmenDegI,MATCH(SUBSTITUTE($H1430,"*","-"),MgAmenClave,0)),"No aplica")</f>
        <v/>
      </c>
      <c r="P1430" s="28">
        <f>IFERROR(INDEX(MgAmenDegC,MATCH(SUBSTITUTE($H1430,"*","-"),MgAmenClave,0)),"No aplica")</f>
        <v/>
      </c>
      <c r="Q1430" s="29">
        <f>IFERROR(VLOOKUP(K1430,MgValor,2,0)*VLOOKUP(N1430,MgDeg,2,0),0)</f>
        <v/>
      </c>
      <c r="R1430" s="29">
        <f>IFERROR(VLOOKUP(L1430,MgValor,2,0)*VLOOKUP(O1430,MgDeg,2,0),0)</f>
        <v/>
      </c>
      <c r="S1430" s="29">
        <f>IFERROR(VLOOKUP(M1430,MgValor,2,0)*VLOOKUP(P1430,MgDeg,2,0),0)</f>
        <v/>
      </c>
      <c r="T1430" s="30">
        <f>MAX(Q1430:S1430)</f>
        <v/>
      </c>
      <c r="U1430" s="28">
        <f>IFERROR(LOOKUP(T1430,{0;0.5;1.5;3;4.5},{"Despreciable";"Bajo";"Medio";"Alto";"Muy alto"}),"")</f>
        <v/>
      </c>
      <c r="V1430" s="13">
        <f>IFERROR(INDEX(MgAmenFrec,MATCH(SUBSTITUTE($H1430,"*","-"),MgAmenClave,0)),"")</f>
        <v/>
      </c>
      <c r="W1430" s="28">
        <f>IFERROR(LOOKUP(X1430,{0;0.01;0.1;1;10;100},{"Muy baja";"Muy baja";"Baja";"Media";"Alta";"Muy alta"}),"")</f>
        <v/>
      </c>
      <c r="X1430" s="31">
        <f>IFERROR(VLOOKUP(V1430,MgFrec,2,0),0)</f>
        <v/>
      </c>
      <c r="Y1430" s="30">
        <f>T1430*X1430</f>
        <v/>
      </c>
      <c r="Z1430" s="28">
        <f>IFERROR(LOOKUP(Y1430,{0;0.5;5;25},{"Bajo";"Medio";"Alto";"Crítico"}),"")</f>
        <v/>
      </c>
      <c r="AA1430" s="64">
        <f>IF(T1430&gt;=3,IF(X1430&gt;=1,"Zona 1 — Crítica: impacto alto y ocurre al menos una vez al año","Zona 4 — Catastrófica poco probable: impacto alto pero excepcional"),IF(AND(T1430&lt;1.5,X1430&lt;1),"Zona 3 — Asumible: impacto bajo y muy poco frecuente","Zona 2 — Atención: riesgo intermedio"))</f>
        <v/>
      </c>
      <c r="AB1430" s="64">
        <f>IFERROR(INDEX(MgAmenCtrl,MATCH(SUBSTITUTE($H1430,"*","-"),MgAmenClave,0)),"")</f>
        <v/>
      </c>
      <c r="AC1430" s="20" t="n"/>
      <c r="AD1430" s="31">
        <f>IFERROR($X1430*(1-IF($AC1430="",$AL1430,VLOOKUP($AC1430,MgMad,2,0))),"")</f>
        <v/>
      </c>
      <c r="AE1430" s="28">
        <f>IFERROR(LOOKUP(AD1430,{0;0.01;0.1;1;10;100},{"Muy baja";"Muy baja";"Baja";"Media";"Alta";"Muy alta"}),"")</f>
        <v/>
      </c>
      <c r="AF1430" s="30">
        <f>T1430*AD1430</f>
        <v/>
      </c>
      <c r="AG1430" s="28">
        <f>IFERROR(LOOKUP(AF1430,{0;0.5;5;25},{"Bajo";"Medio";"Alto";"Crítico"}),"")</f>
        <v/>
      </c>
      <c r="AH1430" s="28">
        <f>IF(AG1430="","",IF(OR(AG1430="Crítico",AG1430="Alto"),"Mitigar",IF(AG1430="Medio","Mitigar","Aceptar y monitorear")))</f>
        <v/>
      </c>
      <c r="AI1430" s="21" t="n"/>
      <c r="AJ1430" s="21" t="n"/>
      <c r="AK1430" s="20" t="n"/>
      <c r="AL1430" s="77">
        <f>IFERROR(INDEX(MgAmenEfic,MATCH(SUBSTITUTE($H1430,"*","-"),MgAmenClave,0)),0)</f>
        <v/>
      </c>
    </row>
    <row r="1431" hidden="1" ht="60" customHeight="1" s="54">
      <c r="B1431" s="59" t="inlineStr">
        <is>
          <t>R-1426</t>
        </is>
      </c>
      <c r="C1431" s="59" t="inlineStr">
        <is>
          <t>GH-046</t>
        </is>
      </c>
      <c r="D1431" s="64">
        <f>IFERROR(INDEX(MgNombre,MATCH($C1431,MgActId,0)),"")</f>
        <v/>
      </c>
      <c r="E1431" s="64">
        <f>IFERROR(INDEX(MgProceso,MATCH($C1431,MgActId,0)),"")</f>
        <v/>
      </c>
      <c r="F1431" s="64">
        <f>IFERROR(INDEX(MgTipo,MATCH($C1431,MgActId,0)),"")</f>
        <v/>
      </c>
      <c r="G1431" s="64">
        <f>IFERROR(INDEX(MgSubtipo,MATCH($C1431,MgActId,0)),"")</f>
        <v/>
      </c>
      <c r="H1431" s="59" t="inlineStr">
        <is>
          <t>A.4</t>
        </is>
      </c>
      <c r="I1431" s="64">
        <f>IFERROR(INDEX(MgAmenNombre,MATCH(SUBSTITUTE($H1431,"*","-"),MgAmenClave,0)),"")</f>
        <v/>
      </c>
      <c r="J1431" s="28">
        <f>IFERROR(INDEX(MgAmenGrupo,MATCH(SUBSTITUTE($H1431,"*","-"),MgAmenClave,0)),"")</f>
        <v/>
      </c>
      <c r="K1431" s="64">
        <f>IFERROR(INDEX('1. Matriz de Activos'!$Q$6:$Q$239,MATCH($C1431,MgActId,0)),"")</f>
        <v/>
      </c>
      <c r="L1431" s="64">
        <f>IFERROR(INDEX('1. Matriz de Activos'!$R$6:$R$239,MATCH($C1431,MgActId,0)),"")</f>
        <v/>
      </c>
      <c r="M1431" s="64">
        <f>IFERROR(INDEX('1. Matriz de Activos'!$S$6:$S$239,MATCH($C1431,MgActId,0)),"")</f>
        <v/>
      </c>
      <c r="N1431" s="28">
        <f>IFERROR(INDEX(MgAmenDegD,MATCH(SUBSTITUTE($H1431,"*","-"),MgAmenClave,0)),"No aplica")</f>
        <v/>
      </c>
      <c r="O1431" s="28">
        <f>IFERROR(INDEX(MgAmenDegI,MATCH(SUBSTITUTE($H1431,"*","-"),MgAmenClave,0)),"No aplica")</f>
        <v/>
      </c>
      <c r="P1431" s="28">
        <f>IFERROR(INDEX(MgAmenDegC,MATCH(SUBSTITUTE($H1431,"*","-"),MgAmenClave,0)),"No aplica")</f>
        <v/>
      </c>
      <c r="Q1431" s="29">
        <f>IFERROR(VLOOKUP(K1431,MgValor,2,0)*VLOOKUP(N1431,MgDeg,2,0),0)</f>
        <v/>
      </c>
      <c r="R1431" s="29">
        <f>IFERROR(VLOOKUP(L1431,MgValor,2,0)*VLOOKUP(O1431,MgDeg,2,0),0)</f>
        <v/>
      </c>
      <c r="S1431" s="29">
        <f>IFERROR(VLOOKUP(M1431,MgValor,2,0)*VLOOKUP(P1431,MgDeg,2,0),0)</f>
        <v/>
      </c>
      <c r="T1431" s="30">
        <f>MAX(Q1431:S1431)</f>
        <v/>
      </c>
      <c r="U1431" s="28">
        <f>IFERROR(LOOKUP(T1431,{0;0.5;1.5;3;4.5},{"Despreciable";"Bajo";"Medio";"Alto";"Muy alto"}),"")</f>
        <v/>
      </c>
      <c r="V1431" s="13">
        <f>IFERROR(INDEX(MgAmenFrec,MATCH(SUBSTITUTE($H1431,"*","-"),MgAmenClave,0)),"")</f>
        <v/>
      </c>
      <c r="W1431" s="28">
        <f>IFERROR(LOOKUP(X1431,{0;0.01;0.1;1;10;100},{"Muy baja";"Muy baja";"Baja";"Media";"Alta";"Muy alta"}),"")</f>
        <v/>
      </c>
      <c r="X1431" s="31">
        <f>IFERROR(VLOOKUP(V1431,MgFrec,2,0),0)</f>
        <v/>
      </c>
      <c r="Y1431" s="30">
        <f>T1431*X1431</f>
        <v/>
      </c>
      <c r="Z1431" s="28">
        <f>IFERROR(LOOKUP(Y1431,{0;0.5;5;25},{"Bajo";"Medio";"Alto";"Crítico"}),"")</f>
        <v/>
      </c>
      <c r="AA1431" s="64">
        <f>IF(T1431&gt;=3,IF(X1431&gt;=1,"Zona 1 — Crítica: impacto alto y ocurre al menos una vez al año","Zona 4 — Catastrófica poco probable: impacto alto pero excepcional"),IF(AND(T1431&lt;1.5,X1431&lt;1),"Zona 3 — Asumible: impacto bajo y muy poco frecuente","Zona 2 — Atención: riesgo intermedio"))</f>
        <v/>
      </c>
      <c r="AB1431" s="64">
        <f>IFERROR(INDEX(MgAmenCtrl,MATCH(SUBSTITUTE($H1431,"*","-"),MgAmenClave,0)),"")</f>
        <v/>
      </c>
      <c r="AC1431" s="20" t="n"/>
      <c r="AD1431" s="31">
        <f>IFERROR($X1431*(1-IF($AC1431="",$AL1431,VLOOKUP($AC1431,MgMad,2,0))),"")</f>
        <v/>
      </c>
      <c r="AE1431" s="28">
        <f>IFERROR(LOOKUP(AD1431,{0;0.01;0.1;1;10;100},{"Muy baja";"Muy baja";"Baja";"Media";"Alta";"Muy alta"}),"")</f>
        <v/>
      </c>
      <c r="AF1431" s="30">
        <f>T1431*AD1431</f>
        <v/>
      </c>
      <c r="AG1431" s="28">
        <f>IFERROR(LOOKUP(AF1431,{0;0.5;5;25},{"Bajo";"Medio";"Alto";"Crítico"}),"")</f>
        <v/>
      </c>
      <c r="AH1431" s="28">
        <f>IF(AG1431="","",IF(OR(AG1431="Crítico",AG1431="Alto"),"Mitigar",IF(AG1431="Medio","Mitigar","Aceptar y monitorear")))</f>
        <v/>
      </c>
      <c r="AI1431" s="21" t="n"/>
      <c r="AJ1431" s="21" t="n"/>
      <c r="AK1431" s="20" t="n"/>
      <c r="AL1431" s="77">
        <f>IFERROR(INDEX(MgAmenEfic,MATCH(SUBSTITUTE($H1431,"*","-"),MgAmenClave,0)),0)</f>
        <v/>
      </c>
    </row>
    <row r="1432" hidden="1" ht="75" customHeight="1" s="54">
      <c r="B1432" s="59" t="inlineStr">
        <is>
          <t>R-1427</t>
        </is>
      </c>
      <c r="C1432" s="59" t="inlineStr">
        <is>
          <t>GH-046</t>
        </is>
      </c>
      <c r="D1432" s="64">
        <f>IFERROR(INDEX(MgNombre,MATCH($C1432,MgActId,0)),"")</f>
        <v/>
      </c>
      <c r="E1432" s="64">
        <f>IFERROR(INDEX(MgProceso,MATCH($C1432,MgActId,0)),"")</f>
        <v/>
      </c>
      <c r="F1432" s="64">
        <f>IFERROR(INDEX(MgTipo,MATCH($C1432,MgActId,0)),"")</f>
        <v/>
      </c>
      <c r="G1432" s="64">
        <f>IFERROR(INDEX(MgSubtipo,MATCH($C1432,MgActId,0)),"")</f>
        <v/>
      </c>
      <c r="H1432" s="59" t="inlineStr">
        <is>
          <t>A.5</t>
        </is>
      </c>
      <c r="I1432" s="64">
        <f>IFERROR(INDEX(MgAmenNombre,MATCH(SUBSTITUTE($H1432,"*","-"),MgAmenClave,0)),"")</f>
        <v/>
      </c>
      <c r="J1432" s="28">
        <f>IFERROR(INDEX(MgAmenGrupo,MATCH(SUBSTITUTE($H1432,"*","-"),MgAmenClave,0)),"")</f>
        <v/>
      </c>
      <c r="K1432" s="64">
        <f>IFERROR(INDEX('1. Matriz de Activos'!$Q$6:$Q$239,MATCH($C1432,MgActId,0)),"")</f>
        <v/>
      </c>
      <c r="L1432" s="64">
        <f>IFERROR(INDEX('1. Matriz de Activos'!$R$6:$R$239,MATCH($C1432,MgActId,0)),"")</f>
        <v/>
      </c>
      <c r="M1432" s="64">
        <f>IFERROR(INDEX('1. Matriz de Activos'!$S$6:$S$239,MATCH($C1432,MgActId,0)),"")</f>
        <v/>
      </c>
      <c r="N1432" s="28">
        <f>IFERROR(INDEX(MgAmenDegD,MATCH(SUBSTITUTE($H1432,"*","-"),MgAmenClave,0)),"No aplica")</f>
        <v/>
      </c>
      <c r="O1432" s="28">
        <f>IFERROR(INDEX(MgAmenDegI,MATCH(SUBSTITUTE($H1432,"*","-"),MgAmenClave,0)),"No aplica")</f>
        <v/>
      </c>
      <c r="P1432" s="28">
        <f>IFERROR(INDEX(MgAmenDegC,MATCH(SUBSTITUTE($H1432,"*","-"),MgAmenClave,0)),"No aplica")</f>
        <v/>
      </c>
      <c r="Q1432" s="29">
        <f>IFERROR(VLOOKUP(K1432,MgValor,2,0)*VLOOKUP(N1432,MgDeg,2,0),0)</f>
        <v/>
      </c>
      <c r="R1432" s="29">
        <f>IFERROR(VLOOKUP(L1432,MgValor,2,0)*VLOOKUP(O1432,MgDeg,2,0),0)</f>
        <v/>
      </c>
      <c r="S1432" s="29">
        <f>IFERROR(VLOOKUP(M1432,MgValor,2,0)*VLOOKUP(P1432,MgDeg,2,0),0)</f>
        <v/>
      </c>
      <c r="T1432" s="30">
        <f>MAX(Q1432:S1432)</f>
        <v/>
      </c>
      <c r="U1432" s="28">
        <f>IFERROR(LOOKUP(T1432,{0;0.5;1.5;3;4.5},{"Despreciable";"Bajo";"Medio";"Alto";"Muy alto"}),"")</f>
        <v/>
      </c>
      <c r="V1432" s="13">
        <f>IFERROR(INDEX(MgAmenFrec,MATCH(SUBSTITUTE($H1432,"*","-"),MgAmenClave,0)),"")</f>
        <v/>
      </c>
      <c r="W1432" s="28">
        <f>IFERROR(LOOKUP(X1432,{0;0.01;0.1;1;10;100},{"Muy baja";"Muy baja";"Baja";"Media";"Alta";"Muy alta"}),"")</f>
        <v/>
      </c>
      <c r="X1432" s="31">
        <f>IFERROR(VLOOKUP(V1432,MgFrec,2,0),0)</f>
        <v/>
      </c>
      <c r="Y1432" s="30">
        <f>T1432*X1432</f>
        <v/>
      </c>
      <c r="Z1432" s="28">
        <f>IFERROR(LOOKUP(Y1432,{0;0.5;5;25},{"Bajo";"Medio";"Alto";"Crítico"}),"")</f>
        <v/>
      </c>
      <c r="AA1432" s="64">
        <f>IF(T1432&gt;=3,IF(X1432&gt;=1,"Zona 1 — Crítica: impacto alto y ocurre al menos una vez al año","Zona 4 — Catastrófica poco probable: impacto alto pero excepcional"),IF(AND(T1432&lt;1.5,X1432&lt;1),"Zona 3 — Asumible: impacto bajo y muy poco frecuente","Zona 2 — Atención: riesgo intermedio"))</f>
        <v/>
      </c>
      <c r="AB1432" s="64">
        <f>IFERROR(INDEX(MgAmenCtrl,MATCH(SUBSTITUTE($H1432,"*","-"),MgAmenClave,0)),"")</f>
        <v/>
      </c>
      <c r="AC1432" s="20" t="n"/>
      <c r="AD1432" s="31">
        <f>IFERROR($X1432*(1-IF($AC1432="",$AL1432,VLOOKUP($AC1432,MgMad,2,0))),"")</f>
        <v/>
      </c>
      <c r="AE1432" s="28">
        <f>IFERROR(LOOKUP(AD1432,{0;0.01;0.1;1;10;100},{"Muy baja";"Muy baja";"Baja";"Media";"Alta";"Muy alta"}),"")</f>
        <v/>
      </c>
      <c r="AF1432" s="30">
        <f>T1432*AD1432</f>
        <v/>
      </c>
      <c r="AG1432" s="28">
        <f>IFERROR(LOOKUP(AF1432,{0;0.5;5;25},{"Bajo";"Medio";"Alto";"Crítico"}),"")</f>
        <v/>
      </c>
      <c r="AH1432" s="28">
        <f>IF(AG1432="","",IF(OR(AG1432="Crítico",AG1432="Alto"),"Mitigar",IF(AG1432="Medio","Mitigar","Aceptar y monitorear")))</f>
        <v/>
      </c>
      <c r="AI1432" s="21" t="n"/>
      <c r="AJ1432" s="21" t="n"/>
      <c r="AK1432" s="20" t="n"/>
      <c r="AL1432" s="77">
        <f>IFERROR(INDEX(MgAmenEfic,MATCH(SUBSTITUTE($H1432,"*","-"),MgAmenClave,0)),0)</f>
        <v/>
      </c>
    </row>
    <row r="1433" hidden="1" ht="105" customHeight="1" s="54">
      <c r="B1433" s="59" t="inlineStr">
        <is>
          <t>R-1428</t>
        </is>
      </c>
      <c r="C1433" s="59" t="inlineStr">
        <is>
          <t>GH-046</t>
        </is>
      </c>
      <c r="D1433" s="64">
        <f>IFERROR(INDEX(MgNombre,MATCH($C1433,MgActId,0)),"")</f>
        <v/>
      </c>
      <c r="E1433" s="64">
        <f>IFERROR(INDEX(MgProceso,MATCH($C1433,MgActId,0)),"")</f>
        <v/>
      </c>
      <c r="F1433" s="64">
        <f>IFERROR(INDEX(MgTipo,MATCH($C1433,MgActId,0)),"")</f>
        <v/>
      </c>
      <c r="G1433" s="64">
        <f>IFERROR(INDEX(MgSubtipo,MATCH($C1433,MgActId,0)),"")</f>
        <v/>
      </c>
      <c r="H1433" s="59" t="inlineStr">
        <is>
          <t>A.6</t>
        </is>
      </c>
      <c r="I1433" s="64">
        <f>IFERROR(INDEX(MgAmenNombre,MATCH(SUBSTITUTE($H1433,"*","-"),MgAmenClave,0)),"")</f>
        <v/>
      </c>
      <c r="J1433" s="28">
        <f>IFERROR(INDEX(MgAmenGrupo,MATCH(SUBSTITUTE($H1433,"*","-"),MgAmenClave,0)),"")</f>
        <v/>
      </c>
      <c r="K1433" s="64">
        <f>IFERROR(INDEX('1. Matriz de Activos'!$Q$6:$Q$239,MATCH($C1433,MgActId,0)),"")</f>
        <v/>
      </c>
      <c r="L1433" s="64">
        <f>IFERROR(INDEX('1. Matriz de Activos'!$R$6:$R$239,MATCH($C1433,MgActId,0)),"")</f>
        <v/>
      </c>
      <c r="M1433" s="64">
        <f>IFERROR(INDEX('1. Matriz de Activos'!$S$6:$S$239,MATCH($C1433,MgActId,0)),"")</f>
        <v/>
      </c>
      <c r="N1433" s="28">
        <f>IFERROR(INDEX(MgAmenDegD,MATCH(SUBSTITUTE($H1433,"*","-"),MgAmenClave,0)),"No aplica")</f>
        <v/>
      </c>
      <c r="O1433" s="28">
        <f>IFERROR(INDEX(MgAmenDegI,MATCH(SUBSTITUTE($H1433,"*","-"),MgAmenClave,0)),"No aplica")</f>
        <v/>
      </c>
      <c r="P1433" s="28">
        <f>IFERROR(INDEX(MgAmenDegC,MATCH(SUBSTITUTE($H1433,"*","-"),MgAmenClave,0)),"No aplica")</f>
        <v/>
      </c>
      <c r="Q1433" s="29">
        <f>IFERROR(VLOOKUP(K1433,MgValor,2,0)*VLOOKUP(N1433,MgDeg,2,0),0)</f>
        <v/>
      </c>
      <c r="R1433" s="29">
        <f>IFERROR(VLOOKUP(L1433,MgValor,2,0)*VLOOKUP(O1433,MgDeg,2,0),0)</f>
        <v/>
      </c>
      <c r="S1433" s="29">
        <f>IFERROR(VLOOKUP(M1433,MgValor,2,0)*VLOOKUP(P1433,MgDeg,2,0),0)</f>
        <v/>
      </c>
      <c r="T1433" s="30">
        <f>MAX(Q1433:S1433)</f>
        <v/>
      </c>
      <c r="U1433" s="28">
        <f>IFERROR(LOOKUP(T1433,{0;0.5;1.5;3;4.5},{"Despreciable";"Bajo";"Medio";"Alto";"Muy alto"}),"")</f>
        <v/>
      </c>
      <c r="V1433" s="13">
        <f>IFERROR(INDEX(MgAmenFrec,MATCH(SUBSTITUTE($H1433,"*","-"),MgAmenClave,0)),"")</f>
        <v/>
      </c>
      <c r="W1433" s="28">
        <f>IFERROR(LOOKUP(X1433,{0;0.01;0.1;1;10;100},{"Muy baja";"Muy baja";"Baja";"Media";"Alta";"Muy alta"}),"")</f>
        <v/>
      </c>
      <c r="X1433" s="31">
        <f>IFERROR(VLOOKUP(V1433,MgFrec,2,0),0)</f>
        <v/>
      </c>
      <c r="Y1433" s="30">
        <f>T1433*X1433</f>
        <v/>
      </c>
      <c r="Z1433" s="28">
        <f>IFERROR(LOOKUP(Y1433,{0;0.5;5;25},{"Bajo";"Medio";"Alto";"Crítico"}),"")</f>
        <v/>
      </c>
      <c r="AA1433" s="64">
        <f>IF(T1433&gt;=3,IF(X1433&gt;=1,"Zona 1 — Crítica: impacto alto y ocurre al menos una vez al año","Zona 4 — Catastrófica poco probable: impacto alto pero excepcional"),IF(AND(T1433&lt;1.5,X1433&lt;1),"Zona 3 — Asumible: impacto bajo y muy poco frecuente","Zona 2 — Atención: riesgo intermedio"))</f>
        <v/>
      </c>
      <c r="AB1433" s="64">
        <f>IFERROR(INDEX(MgAmenCtrl,MATCH(SUBSTITUTE($H1433,"*","-"),MgAmenClave,0)),"")</f>
        <v/>
      </c>
      <c r="AC1433" s="20" t="n"/>
      <c r="AD1433" s="31">
        <f>IFERROR($X1433*(1-IF($AC1433="",$AL1433,VLOOKUP($AC1433,MgMad,2,0))),"")</f>
        <v/>
      </c>
      <c r="AE1433" s="28">
        <f>IFERROR(LOOKUP(AD1433,{0;0.01;0.1;1;10;100},{"Muy baja";"Muy baja";"Baja";"Media";"Alta";"Muy alta"}),"")</f>
        <v/>
      </c>
      <c r="AF1433" s="30">
        <f>T1433*AD1433</f>
        <v/>
      </c>
      <c r="AG1433" s="28">
        <f>IFERROR(LOOKUP(AF1433,{0;0.5;5;25},{"Bajo";"Medio";"Alto";"Crítico"}),"")</f>
        <v/>
      </c>
      <c r="AH1433" s="28">
        <f>IF(AG1433="","",IF(OR(AG1433="Crítico",AG1433="Alto"),"Mitigar",IF(AG1433="Medio","Mitigar","Aceptar y monitorear")))</f>
        <v/>
      </c>
      <c r="AI1433" s="21" t="n"/>
      <c r="AJ1433" s="21" t="n"/>
      <c r="AK1433" s="20" t="n"/>
      <c r="AL1433" s="77">
        <f>IFERROR(INDEX(MgAmenEfic,MATCH(SUBSTITUTE($H1433,"*","-"),MgAmenClave,0)),0)</f>
        <v/>
      </c>
    </row>
    <row r="1434" hidden="1" ht="120" customHeight="1" s="54">
      <c r="B1434" s="59" t="inlineStr">
        <is>
          <t>R-1429</t>
        </is>
      </c>
      <c r="C1434" s="59" t="inlineStr">
        <is>
          <t>GH-046</t>
        </is>
      </c>
      <c r="D1434" s="64">
        <f>IFERROR(INDEX(MgNombre,MATCH($C1434,MgActId,0)),"")</f>
        <v/>
      </c>
      <c r="E1434" s="64">
        <f>IFERROR(INDEX(MgProceso,MATCH($C1434,MgActId,0)),"")</f>
        <v/>
      </c>
      <c r="F1434" s="64">
        <f>IFERROR(INDEX(MgTipo,MATCH($C1434,MgActId,0)),"")</f>
        <v/>
      </c>
      <c r="G1434" s="64">
        <f>IFERROR(INDEX(MgSubtipo,MATCH($C1434,MgActId,0)),"")</f>
        <v/>
      </c>
      <c r="H1434" s="59" t="inlineStr">
        <is>
          <t>A.11</t>
        </is>
      </c>
      <c r="I1434" s="64">
        <f>IFERROR(INDEX(MgAmenNombre,MATCH(SUBSTITUTE($H1434,"*","-"),MgAmenClave,0)),"")</f>
        <v/>
      </c>
      <c r="J1434" s="28">
        <f>IFERROR(INDEX(MgAmenGrupo,MATCH(SUBSTITUTE($H1434,"*","-"),MgAmenClave,0)),"")</f>
        <v/>
      </c>
      <c r="K1434" s="64">
        <f>IFERROR(INDEX('1. Matriz de Activos'!$Q$6:$Q$239,MATCH($C1434,MgActId,0)),"")</f>
        <v/>
      </c>
      <c r="L1434" s="64">
        <f>IFERROR(INDEX('1. Matriz de Activos'!$R$6:$R$239,MATCH($C1434,MgActId,0)),"")</f>
        <v/>
      </c>
      <c r="M1434" s="64">
        <f>IFERROR(INDEX('1. Matriz de Activos'!$S$6:$S$239,MATCH($C1434,MgActId,0)),"")</f>
        <v/>
      </c>
      <c r="N1434" s="28">
        <f>IFERROR(INDEX(MgAmenDegD,MATCH(SUBSTITUTE($H1434,"*","-"),MgAmenClave,0)),"No aplica")</f>
        <v/>
      </c>
      <c r="O1434" s="28">
        <f>IFERROR(INDEX(MgAmenDegI,MATCH(SUBSTITUTE($H1434,"*","-"),MgAmenClave,0)),"No aplica")</f>
        <v/>
      </c>
      <c r="P1434" s="28">
        <f>IFERROR(INDEX(MgAmenDegC,MATCH(SUBSTITUTE($H1434,"*","-"),MgAmenClave,0)),"No aplica")</f>
        <v/>
      </c>
      <c r="Q1434" s="29">
        <f>IFERROR(VLOOKUP(K1434,MgValor,2,0)*VLOOKUP(N1434,MgDeg,2,0),0)</f>
        <v/>
      </c>
      <c r="R1434" s="29">
        <f>IFERROR(VLOOKUP(L1434,MgValor,2,0)*VLOOKUP(O1434,MgDeg,2,0),0)</f>
        <v/>
      </c>
      <c r="S1434" s="29">
        <f>IFERROR(VLOOKUP(M1434,MgValor,2,0)*VLOOKUP(P1434,MgDeg,2,0),0)</f>
        <v/>
      </c>
      <c r="T1434" s="30">
        <f>MAX(Q1434:S1434)</f>
        <v/>
      </c>
      <c r="U1434" s="28">
        <f>IFERROR(LOOKUP(T1434,{0;0.5;1.5;3;4.5},{"Despreciable";"Bajo";"Medio";"Alto";"Muy alto"}),"")</f>
        <v/>
      </c>
      <c r="V1434" s="13">
        <f>IFERROR(INDEX(MgAmenFrec,MATCH(SUBSTITUTE($H1434,"*","-"),MgAmenClave,0)),"")</f>
        <v/>
      </c>
      <c r="W1434" s="28">
        <f>IFERROR(LOOKUP(X1434,{0;0.01;0.1;1;10;100},{"Muy baja";"Muy baja";"Baja";"Media";"Alta";"Muy alta"}),"")</f>
        <v/>
      </c>
      <c r="X1434" s="31">
        <f>IFERROR(VLOOKUP(V1434,MgFrec,2,0),0)</f>
        <v/>
      </c>
      <c r="Y1434" s="30">
        <f>T1434*X1434</f>
        <v/>
      </c>
      <c r="Z1434" s="28">
        <f>IFERROR(LOOKUP(Y1434,{0;0.5;5;25},{"Bajo";"Medio";"Alto";"Crítico"}),"")</f>
        <v/>
      </c>
      <c r="AA1434" s="64">
        <f>IF(T1434&gt;=3,IF(X1434&gt;=1,"Zona 1 — Crítica: impacto alto y ocurre al menos una vez al año","Zona 4 — Catastrófica poco probable: impacto alto pero excepcional"),IF(AND(T1434&lt;1.5,X1434&lt;1),"Zona 3 — Asumible: impacto bajo y muy poco frecuente","Zona 2 — Atención: riesgo intermedio"))</f>
        <v/>
      </c>
      <c r="AB1434" s="64">
        <f>IFERROR(INDEX(MgAmenCtrl,MATCH(SUBSTITUTE($H1434,"*","-"),MgAmenClave,0)),"")</f>
        <v/>
      </c>
      <c r="AC1434" s="20" t="n"/>
      <c r="AD1434" s="31">
        <f>IFERROR($X1434*(1-IF($AC1434="",$AL1434,VLOOKUP($AC1434,MgMad,2,0))),"")</f>
        <v/>
      </c>
      <c r="AE1434" s="28">
        <f>IFERROR(LOOKUP(AD1434,{0;0.01;0.1;1;10;100},{"Muy baja";"Muy baja";"Baja";"Media";"Alta";"Muy alta"}),"")</f>
        <v/>
      </c>
      <c r="AF1434" s="30">
        <f>T1434*AD1434</f>
        <v/>
      </c>
      <c r="AG1434" s="28">
        <f>IFERROR(LOOKUP(AF1434,{0;0.5;5;25},{"Bajo";"Medio";"Alto";"Crítico"}),"")</f>
        <v/>
      </c>
      <c r="AH1434" s="28">
        <f>IF(AG1434="","",IF(OR(AG1434="Crítico",AG1434="Alto"),"Mitigar",IF(AG1434="Medio","Mitigar","Aceptar y monitorear")))</f>
        <v/>
      </c>
      <c r="AI1434" s="21" t="n"/>
      <c r="AJ1434" s="21" t="n"/>
      <c r="AK1434" s="20" t="n"/>
      <c r="AL1434" s="77">
        <f>IFERROR(INDEX(MgAmenEfic,MATCH(SUBSTITUTE($H1434,"*","-"),MgAmenClave,0)),0)</f>
        <v/>
      </c>
    </row>
    <row r="1435" hidden="1" ht="90" customHeight="1" s="54">
      <c r="B1435" s="59" t="inlineStr">
        <is>
          <t>R-1430</t>
        </is>
      </c>
      <c r="C1435" s="59" t="inlineStr">
        <is>
          <t>GH-046</t>
        </is>
      </c>
      <c r="D1435" s="64">
        <f>IFERROR(INDEX(MgNombre,MATCH($C1435,MgActId,0)),"")</f>
        <v/>
      </c>
      <c r="E1435" s="64">
        <f>IFERROR(INDEX(MgProceso,MATCH($C1435,MgActId,0)),"")</f>
        <v/>
      </c>
      <c r="F1435" s="64">
        <f>IFERROR(INDEX(MgTipo,MATCH($C1435,MgActId,0)),"")</f>
        <v/>
      </c>
      <c r="G1435" s="64">
        <f>IFERROR(INDEX(MgSubtipo,MATCH($C1435,MgActId,0)),"")</f>
        <v/>
      </c>
      <c r="H1435" s="59" t="inlineStr">
        <is>
          <t>A.13</t>
        </is>
      </c>
      <c r="I1435" s="64">
        <f>IFERROR(INDEX(MgAmenNombre,MATCH(SUBSTITUTE($H1435,"*","-"),MgAmenClave,0)),"")</f>
        <v/>
      </c>
      <c r="J1435" s="28">
        <f>IFERROR(INDEX(MgAmenGrupo,MATCH(SUBSTITUTE($H1435,"*","-"),MgAmenClave,0)),"")</f>
        <v/>
      </c>
      <c r="K1435" s="64">
        <f>IFERROR(INDEX('1. Matriz de Activos'!$Q$6:$Q$239,MATCH($C1435,MgActId,0)),"")</f>
        <v/>
      </c>
      <c r="L1435" s="64">
        <f>IFERROR(INDEX('1. Matriz de Activos'!$R$6:$R$239,MATCH($C1435,MgActId,0)),"")</f>
        <v/>
      </c>
      <c r="M1435" s="64">
        <f>IFERROR(INDEX('1. Matriz de Activos'!$S$6:$S$239,MATCH($C1435,MgActId,0)),"")</f>
        <v/>
      </c>
      <c r="N1435" s="28">
        <f>IFERROR(INDEX(MgAmenDegD,MATCH(SUBSTITUTE($H1435,"*","-"),MgAmenClave,0)),"No aplica")</f>
        <v/>
      </c>
      <c r="O1435" s="28">
        <f>IFERROR(INDEX(MgAmenDegI,MATCH(SUBSTITUTE($H1435,"*","-"),MgAmenClave,0)),"No aplica")</f>
        <v/>
      </c>
      <c r="P1435" s="28">
        <f>IFERROR(INDEX(MgAmenDegC,MATCH(SUBSTITUTE($H1435,"*","-"),MgAmenClave,0)),"No aplica")</f>
        <v/>
      </c>
      <c r="Q1435" s="29">
        <f>IFERROR(VLOOKUP(K1435,MgValor,2,0)*VLOOKUP(N1435,MgDeg,2,0),0)</f>
        <v/>
      </c>
      <c r="R1435" s="29">
        <f>IFERROR(VLOOKUP(L1435,MgValor,2,0)*VLOOKUP(O1435,MgDeg,2,0),0)</f>
        <v/>
      </c>
      <c r="S1435" s="29">
        <f>IFERROR(VLOOKUP(M1435,MgValor,2,0)*VLOOKUP(P1435,MgDeg,2,0),0)</f>
        <v/>
      </c>
      <c r="T1435" s="30">
        <f>MAX(Q1435:S1435)</f>
        <v/>
      </c>
      <c r="U1435" s="28">
        <f>IFERROR(LOOKUP(T1435,{0;0.5;1.5;3;4.5},{"Despreciable";"Bajo";"Medio";"Alto";"Muy alto"}),"")</f>
        <v/>
      </c>
      <c r="V1435" s="13">
        <f>IFERROR(INDEX(MgAmenFrec,MATCH(SUBSTITUTE($H1435,"*","-"),MgAmenClave,0)),"")</f>
        <v/>
      </c>
      <c r="W1435" s="28">
        <f>IFERROR(LOOKUP(X1435,{0;0.01;0.1;1;10;100},{"Muy baja";"Muy baja";"Baja";"Media";"Alta";"Muy alta"}),"")</f>
        <v/>
      </c>
      <c r="X1435" s="31">
        <f>IFERROR(VLOOKUP(V1435,MgFrec,2,0),0)</f>
        <v/>
      </c>
      <c r="Y1435" s="30">
        <f>T1435*X1435</f>
        <v/>
      </c>
      <c r="Z1435" s="28">
        <f>IFERROR(LOOKUP(Y1435,{0;0.5;5;25},{"Bajo";"Medio";"Alto";"Crítico"}),"")</f>
        <v/>
      </c>
      <c r="AA1435" s="64">
        <f>IF(T1435&gt;=3,IF(X1435&gt;=1,"Zona 1 — Crítica: impacto alto y ocurre al menos una vez al año","Zona 4 — Catastrófica poco probable: impacto alto pero excepcional"),IF(AND(T1435&lt;1.5,X1435&lt;1),"Zona 3 — Asumible: impacto bajo y muy poco frecuente","Zona 2 — Atención: riesgo intermedio"))</f>
        <v/>
      </c>
      <c r="AB1435" s="64">
        <f>IFERROR(INDEX(MgAmenCtrl,MATCH(SUBSTITUTE($H1435,"*","-"),MgAmenClave,0)),"")</f>
        <v/>
      </c>
      <c r="AC1435" s="20" t="n"/>
      <c r="AD1435" s="31">
        <f>IFERROR($X1435*(1-IF($AC1435="",$AL1435,VLOOKUP($AC1435,MgMad,2,0))),"")</f>
        <v/>
      </c>
      <c r="AE1435" s="28">
        <f>IFERROR(LOOKUP(AD1435,{0;0.01;0.1;1;10;100},{"Muy baja";"Muy baja";"Baja";"Media";"Alta";"Muy alta"}),"")</f>
        <v/>
      </c>
      <c r="AF1435" s="30">
        <f>T1435*AD1435</f>
        <v/>
      </c>
      <c r="AG1435" s="28">
        <f>IFERROR(LOOKUP(AF1435,{0;0.5;5;25},{"Bajo";"Medio";"Alto";"Crítico"}),"")</f>
        <v/>
      </c>
      <c r="AH1435" s="28">
        <f>IF(AG1435="","",IF(OR(AG1435="Crítico",AG1435="Alto"),"Mitigar",IF(AG1435="Medio","Mitigar","Aceptar y monitorear")))</f>
        <v/>
      </c>
      <c r="AI1435" s="21" t="n"/>
      <c r="AJ1435" s="21" t="n"/>
      <c r="AK1435" s="20" t="n"/>
      <c r="AL1435" s="77">
        <f>IFERROR(INDEX(MgAmenEfic,MATCH(SUBSTITUTE($H1435,"*","-"),MgAmenClave,0)),0)</f>
        <v/>
      </c>
    </row>
    <row r="1436" hidden="1" ht="60" customHeight="1" s="54">
      <c r="B1436" s="59" t="inlineStr">
        <is>
          <t>R-1431</t>
        </is>
      </c>
      <c r="C1436" s="59" t="inlineStr">
        <is>
          <t>GH-046</t>
        </is>
      </c>
      <c r="D1436" s="64">
        <f>IFERROR(INDEX(MgNombre,MATCH($C1436,MgActId,0)),"")</f>
        <v/>
      </c>
      <c r="E1436" s="64">
        <f>IFERROR(INDEX(MgProceso,MATCH($C1436,MgActId,0)),"")</f>
        <v/>
      </c>
      <c r="F1436" s="64">
        <f>IFERROR(INDEX(MgTipo,MATCH($C1436,MgActId,0)),"")</f>
        <v/>
      </c>
      <c r="G1436" s="64">
        <f>IFERROR(INDEX(MgSubtipo,MATCH($C1436,MgActId,0)),"")</f>
        <v/>
      </c>
      <c r="H1436" s="59" t="inlineStr">
        <is>
          <t>A.15</t>
        </is>
      </c>
      <c r="I1436" s="64">
        <f>IFERROR(INDEX(MgAmenNombre,MATCH(SUBSTITUTE($H1436,"*","-"),MgAmenClave,0)),"")</f>
        <v/>
      </c>
      <c r="J1436" s="28">
        <f>IFERROR(INDEX(MgAmenGrupo,MATCH(SUBSTITUTE($H1436,"*","-"),MgAmenClave,0)),"")</f>
        <v/>
      </c>
      <c r="K1436" s="64">
        <f>IFERROR(INDEX('1. Matriz de Activos'!$Q$6:$Q$239,MATCH($C1436,MgActId,0)),"")</f>
        <v/>
      </c>
      <c r="L1436" s="64">
        <f>IFERROR(INDEX('1. Matriz de Activos'!$R$6:$R$239,MATCH($C1436,MgActId,0)),"")</f>
        <v/>
      </c>
      <c r="M1436" s="64">
        <f>IFERROR(INDEX('1. Matriz de Activos'!$S$6:$S$239,MATCH($C1436,MgActId,0)),"")</f>
        <v/>
      </c>
      <c r="N1436" s="28">
        <f>IFERROR(INDEX(MgAmenDegD,MATCH(SUBSTITUTE($H1436,"*","-"),MgAmenClave,0)),"No aplica")</f>
        <v/>
      </c>
      <c r="O1436" s="28">
        <f>IFERROR(INDEX(MgAmenDegI,MATCH(SUBSTITUTE($H1436,"*","-"),MgAmenClave,0)),"No aplica")</f>
        <v/>
      </c>
      <c r="P1436" s="28">
        <f>IFERROR(INDEX(MgAmenDegC,MATCH(SUBSTITUTE($H1436,"*","-"),MgAmenClave,0)),"No aplica")</f>
        <v/>
      </c>
      <c r="Q1436" s="29">
        <f>IFERROR(VLOOKUP(K1436,MgValor,2,0)*VLOOKUP(N1436,MgDeg,2,0),0)</f>
        <v/>
      </c>
      <c r="R1436" s="29">
        <f>IFERROR(VLOOKUP(L1436,MgValor,2,0)*VLOOKUP(O1436,MgDeg,2,0),0)</f>
        <v/>
      </c>
      <c r="S1436" s="29">
        <f>IFERROR(VLOOKUP(M1436,MgValor,2,0)*VLOOKUP(P1436,MgDeg,2,0),0)</f>
        <v/>
      </c>
      <c r="T1436" s="30">
        <f>MAX(Q1436:S1436)</f>
        <v/>
      </c>
      <c r="U1436" s="28">
        <f>IFERROR(LOOKUP(T1436,{0;0.5;1.5;3;4.5},{"Despreciable";"Bajo";"Medio";"Alto";"Muy alto"}),"")</f>
        <v/>
      </c>
      <c r="V1436" s="13">
        <f>IFERROR(INDEX(MgAmenFrec,MATCH(SUBSTITUTE($H1436,"*","-"),MgAmenClave,0)),"")</f>
        <v/>
      </c>
      <c r="W1436" s="28">
        <f>IFERROR(LOOKUP(X1436,{0;0.01;0.1;1;10;100},{"Muy baja";"Muy baja";"Baja";"Media";"Alta";"Muy alta"}),"")</f>
        <v/>
      </c>
      <c r="X1436" s="31">
        <f>IFERROR(VLOOKUP(V1436,MgFrec,2,0),0)</f>
        <v/>
      </c>
      <c r="Y1436" s="30">
        <f>T1436*X1436</f>
        <v/>
      </c>
      <c r="Z1436" s="28">
        <f>IFERROR(LOOKUP(Y1436,{0;0.5;5;25},{"Bajo";"Medio";"Alto";"Crítico"}),"")</f>
        <v/>
      </c>
      <c r="AA1436" s="64">
        <f>IF(T1436&gt;=3,IF(X1436&gt;=1,"Zona 1 — Crítica: impacto alto y ocurre al menos una vez al año","Zona 4 — Catastrófica poco probable: impacto alto pero excepcional"),IF(AND(T1436&lt;1.5,X1436&lt;1),"Zona 3 — Asumible: impacto bajo y muy poco frecuente","Zona 2 — Atención: riesgo intermedio"))</f>
        <v/>
      </c>
      <c r="AB1436" s="64">
        <f>IFERROR(INDEX(MgAmenCtrl,MATCH(SUBSTITUTE($H1436,"*","-"),MgAmenClave,0)),"")</f>
        <v/>
      </c>
      <c r="AC1436" s="20" t="n"/>
      <c r="AD1436" s="31">
        <f>IFERROR($X1436*(1-IF($AC1436="",$AL1436,VLOOKUP($AC1436,MgMad,2,0))),"")</f>
        <v/>
      </c>
      <c r="AE1436" s="28">
        <f>IFERROR(LOOKUP(AD1436,{0;0.01;0.1;1;10;100},{"Muy baja";"Muy baja";"Baja";"Media";"Alta";"Muy alta"}),"")</f>
        <v/>
      </c>
      <c r="AF1436" s="30">
        <f>T1436*AD1436</f>
        <v/>
      </c>
      <c r="AG1436" s="28">
        <f>IFERROR(LOOKUP(AF1436,{0;0.5;5;25},{"Bajo";"Medio";"Alto";"Crítico"}),"")</f>
        <v/>
      </c>
      <c r="AH1436" s="28">
        <f>IF(AG1436="","",IF(OR(AG1436="Crítico",AG1436="Alto"),"Mitigar",IF(AG1436="Medio","Mitigar","Aceptar y monitorear")))</f>
        <v/>
      </c>
      <c r="AI1436" s="21" t="n"/>
      <c r="AJ1436" s="21" t="n"/>
      <c r="AK1436" s="20" t="n"/>
      <c r="AL1436" s="77">
        <f>IFERROR(INDEX(MgAmenEfic,MATCH(SUBSTITUTE($H1436,"*","-"),MgAmenClave,0)),0)</f>
        <v/>
      </c>
    </row>
    <row r="1437" hidden="1" ht="60" customHeight="1" s="54">
      <c r="B1437" s="59" t="inlineStr">
        <is>
          <t>R-1432</t>
        </is>
      </c>
      <c r="C1437" s="59" t="inlineStr">
        <is>
          <t>GH-046</t>
        </is>
      </c>
      <c r="D1437" s="64">
        <f>IFERROR(INDEX(MgNombre,MATCH($C1437,MgActId,0)),"")</f>
        <v/>
      </c>
      <c r="E1437" s="64">
        <f>IFERROR(INDEX(MgProceso,MATCH($C1437,MgActId,0)),"")</f>
        <v/>
      </c>
      <c r="F1437" s="64">
        <f>IFERROR(INDEX(MgTipo,MATCH($C1437,MgActId,0)),"")</f>
        <v/>
      </c>
      <c r="G1437" s="64">
        <f>IFERROR(INDEX(MgSubtipo,MATCH($C1437,MgActId,0)),"")</f>
        <v/>
      </c>
      <c r="H1437" s="59" t="inlineStr">
        <is>
          <t>A.18</t>
        </is>
      </c>
      <c r="I1437" s="64">
        <f>IFERROR(INDEX(MgAmenNombre,MATCH(SUBSTITUTE($H1437,"*","-"),MgAmenClave,0)),"")</f>
        <v/>
      </c>
      <c r="J1437" s="28">
        <f>IFERROR(INDEX(MgAmenGrupo,MATCH(SUBSTITUTE($H1437,"*","-"),MgAmenClave,0)),"")</f>
        <v/>
      </c>
      <c r="K1437" s="64">
        <f>IFERROR(INDEX('1. Matriz de Activos'!$Q$6:$Q$239,MATCH($C1437,MgActId,0)),"")</f>
        <v/>
      </c>
      <c r="L1437" s="64">
        <f>IFERROR(INDEX('1. Matriz de Activos'!$R$6:$R$239,MATCH($C1437,MgActId,0)),"")</f>
        <v/>
      </c>
      <c r="M1437" s="64">
        <f>IFERROR(INDEX('1. Matriz de Activos'!$S$6:$S$239,MATCH($C1437,MgActId,0)),"")</f>
        <v/>
      </c>
      <c r="N1437" s="28">
        <f>IFERROR(INDEX(MgAmenDegD,MATCH(SUBSTITUTE($H1437,"*","-"),MgAmenClave,0)),"No aplica")</f>
        <v/>
      </c>
      <c r="O1437" s="28">
        <f>IFERROR(INDEX(MgAmenDegI,MATCH(SUBSTITUTE($H1437,"*","-"),MgAmenClave,0)),"No aplica")</f>
        <v/>
      </c>
      <c r="P1437" s="28">
        <f>IFERROR(INDEX(MgAmenDegC,MATCH(SUBSTITUTE($H1437,"*","-"),MgAmenClave,0)),"No aplica")</f>
        <v/>
      </c>
      <c r="Q1437" s="29">
        <f>IFERROR(VLOOKUP(K1437,MgValor,2,0)*VLOOKUP(N1437,MgDeg,2,0),0)</f>
        <v/>
      </c>
      <c r="R1437" s="29">
        <f>IFERROR(VLOOKUP(L1437,MgValor,2,0)*VLOOKUP(O1437,MgDeg,2,0),0)</f>
        <v/>
      </c>
      <c r="S1437" s="29">
        <f>IFERROR(VLOOKUP(M1437,MgValor,2,0)*VLOOKUP(P1437,MgDeg,2,0),0)</f>
        <v/>
      </c>
      <c r="T1437" s="30">
        <f>MAX(Q1437:S1437)</f>
        <v/>
      </c>
      <c r="U1437" s="28">
        <f>IFERROR(LOOKUP(T1437,{0;0.5;1.5;3;4.5},{"Despreciable";"Bajo";"Medio";"Alto";"Muy alto"}),"")</f>
        <v/>
      </c>
      <c r="V1437" s="13">
        <f>IFERROR(INDEX(MgAmenFrec,MATCH(SUBSTITUTE($H1437,"*","-"),MgAmenClave,0)),"")</f>
        <v/>
      </c>
      <c r="W1437" s="28">
        <f>IFERROR(LOOKUP(X1437,{0;0.01;0.1;1;10;100},{"Muy baja";"Muy baja";"Baja";"Media";"Alta";"Muy alta"}),"")</f>
        <v/>
      </c>
      <c r="X1437" s="31">
        <f>IFERROR(VLOOKUP(V1437,MgFrec,2,0),0)</f>
        <v/>
      </c>
      <c r="Y1437" s="30">
        <f>T1437*X1437</f>
        <v/>
      </c>
      <c r="Z1437" s="28">
        <f>IFERROR(LOOKUP(Y1437,{0;0.5;5;25},{"Bajo";"Medio";"Alto";"Crítico"}),"")</f>
        <v/>
      </c>
      <c r="AA1437" s="64">
        <f>IF(T1437&gt;=3,IF(X1437&gt;=1,"Zona 1 — Crítica: impacto alto y ocurre al menos una vez al año","Zona 4 — Catastrófica poco probable: impacto alto pero excepcional"),IF(AND(T1437&lt;1.5,X1437&lt;1),"Zona 3 — Asumible: impacto bajo y muy poco frecuente","Zona 2 — Atención: riesgo intermedio"))</f>
        <v/>
      </c>
      <c r="AB1437" s="64">
        <f>IFERROR(INDEX(MgAmenCtrl,MATCH(SUBSTITUTE($H1437,"*","-"),MgAmenClave,0)),"")</f>
        <v/>
      </c>
      <c r="AC1437" s="20" t="n"/>
      <c r="AD1437" s="31">
        <f>IFERROR($X1437*(1-IF($AC1437="",$AL1437,VLOOKUP($AC1437,MgMad,2,0))),"")</f>
        <v/>
      </c>
      <c r="AE1437" s="28">
        <f>IFERROR(LOOKUP(AD1437,{0;0.01;0.1;1;10;100},{"Muy baja";"Muy baja";"Baja";"Media";"Alta";"Muy alta"}),"")</f>
        <v/>
      </c>
      <c r="AF1437" s="30">
        <f>T1437*AD1437</f>
        <v/>
      </c>
      <c r="AG1437" s="28">
        <f>IFERROR(LOOKUP(AF1437,{0;0.5;5;25},{"Bajo";"Medio";"Alto";"Crítico"}),"")</f>
        <v/>
      </c>
      <c r="AH1437" s="28">
        <f>IF(AG1437="","",IF(OR(AG1437="Crítico",AG1437="Alto"),"Mitigar",IF(AG1437="Medio","Mitigar","Aceptar y monitorear")))</f>
        <v/>
      </c>
      <c r="AI1437" s="21" t="n"/>
      <c r="AJ1437" s="21" t="n"/>
      <c r="AK1437" s="20" t="n"/>
      <c r="AL1437" s="77">
        <f>IFERROR(INDEX(MgAmenEfic,MATCH(SUBSTITUTE($H1437,"*","-"),MgAmenClave,0)),0)</f>
        <v/>
      </c>
    </row>
    <row r="1438" hidden="1" ht="120" customHeight="1" s="54">
      <c r="B1438" s="59" t="inlineStr">
        <is>
          <t>R-1433</t>
        </is>
      </c>
      <c r="C1438" s="59" t="inlineStr">
        <is>
          <t>GH-046</t>
        </is>
      </c>
      <c r="D1438" s="64">
        <f>IFERROR(INDEX(MgNombre,MATCH($C1438,MgActId,0)),"")</f>
        <v/>
      </c>
      <c r="E1438" s="64">
        <f>IFERROR(INDEX(MgProceso,MATCH($C1438,MgActId,0)),"")</f>
        <v/>
      </c>
      <c r="F1438" s="64">
        <f>IFERROR(INDEX(MgTipo,MATCH($C1438,MgActId,0)),"")</f>
        <v/>
      </c>
      <c r="G1438" s="64">
        <f>IFERROR(INDEX(MgSubtipo,MATCH($C1438,MgActId,0)),"")</f>
        <v/>
      </c>
      <c r="H1438" s="59" t="inlineStr">
        <is>
          <t>A.19</t>
        </is>
      </c>
      <c r="I1438" s="64">
        <f>IFERROR(INDEX(MgAmenNombre,MATCH(SUBSTITUTE($H1438,"*","-"),MgAmenClave,0)),"")</f>
        <v/>
      </c>
      <c r="J1438" s="28">
        <f>IFERROR(INDEX(MgAmenGrupo,MATCH(SUBSTITUTE($H1438,"*","-"),MgAmenClave,0)),"")</f>
        <v/>
      </c>
      <c r="K1438" s="64">
        <f>IFERROR(INDEX('1. Matriz de Activos'!$Q$6:$Q$239,MATCH($C1438,MgActId,0)),"")</f>
        <v/>
      </c>
      <c r="L1438" s="64">
        <f>IFERROR(INDEX('1. Matriz de Activos'!$R$6:$R$239,MATCH($C1438,MgActId,0)),"")</f>
        <v/>
      </c>
      <c r="M1438" s="64">
        <f>IFERROR(INDEX('1. Matriz de Activos'!$S$6:$S$239,MATCH($C1438,MgActId,0)),"")</f>
        <v/>
      </c>
      <c r="N1438" s="28">
        <f>IFERROR(INDEX(MgAmenDegD,MATCH(SUBSTITUTE($H1438,"*","-"),MgAmenClave,0)),"No aplica")</f>
        <v/>
      </c>
      <c r="O1438" s="28">
        <f>IFERROR(INDEX(MgAmenDegI,MATCH(SUBSTITUTE($H1438,"*","-"),MgAmenClave,0)),"No aplica")</f>
        <v/>
      </c>
      <c r="P1438" s="28">
        <f>IFERROR(INDEX(MgAmenDegC,MATCH(SUBSTITUTE($H1438,"*","-"),MgAmenClave,0)),"No aplica")</f>
        <v/>
      </c>
      <c r="Q1438" s="29">
        <f>IFERROR(VLOOKUP(K1438,MgValor,2,0)*VLOOKUP(N1438,MgDeg,2,0),0)</f>
        <v/>
      </c>
      <c r="R1438" s="29">
        <f>IFERROR(VLOOKUP(L1438,MgValor,2,0)*VLOOKUP(O1438,MgDeg,2,0),0)</f>
        <v/>
      </c>
      <c r="S1438" s="29">
        <f>IFERROR(VLOOKUP(M1438,MgValor,2,0)*VLOOKUP(P1438,MgDeg,2,0),0)</f>
        <v/>
      </c>
      <c r="T1438" s="30">
        <f>MAX(Q1438:S1438)</f>
        <v/>
      </c>
      <c r="U1438" s="28">
        <f>IFERROR(LOOKUP(T1438,{0;0.5;1.5;3;4.5},{"Despreciable";"Bajo";"Medio";"Alto";"Muy alto"}),"")</f>
        <v/>
      </c>
      <c r="V1438" s="13">
        <f>IFERROR(INDEX(MgAmenFrec,MATCH(SUBSTITUTE($H1438,"*","-"),MgAmenClave,0)),"")</f>
        <v/>
      </c>
      <c r="W1438" s="28">
        <f>IFERROR(LOOKUP(X1438,{0;0.01;0.1;1;10;100},{"Muy baja";"Muy baja";"Baja";"Media";"Alta";"Muy alta"}),"")</f>
        <v/>
      </c>
      <c r="X1438" s="31">
        <f>IFERROR(VLOOKUP(V1438,MgFrec,2,0),0)</f>
        <v/>
      </c>
      <c r="Y1438" s="30">
        <f>T1438*X1438</f>
        <v/>
      </c>
      <c r="Z1438" s="28">
        <f>IFERROR(LOOKUP(Y1438,{0;0.5;5;25},{"Bajo";"Medio";"Alto";"Crítico"}),"")</f>
        <v/>
      </c>
      <c r="AA1438" s="64">
        <f>IF(T1438&gt;=3,IF(X1438&gt;=1,"Zona 1 — Crítica: impacto alto y ocurre al menos una vez al año","Zona 4 — Catastrófica poco probable: impacto alto pero excepcional"),IF(AND(T1438&lt;1.5,X1438&lt;1),"Zona 3 — Asumible: impacto bajo y muy poco frecuente","Zona 2 — Atención: riesgo intermedio"))</f>
        <v/>
      </c>
      <c r="AB1438" s="64">
        <f>IFERROR(INDEX(MgAmenCtrl,MATCH(SUBSTITUTE($H1438,"*","-"),MgAmenClave,0)),"")</f>
        <v/>
      </c>
      <c r="AC1438" s="20" t="n"/>
      <c r="AD1438" s="31">
        <f>IFERROR($X1438*(1-IF($AC1438="",$AL1438,VLOOKUP($AC1438,MgMad,2,0))),"")</f>
        <v/>
      </c>
      <c r="AE1438" s="28">
        <f>IFERROR(LOOKUP(AD1438,{0;0.01;0.1;1;10;100},{"Muy baja";"Muy baja";"Baja";"Media";"Alta";"Muy alta"}),"")</f>
        <v/>
      </c>
      <c r="AF1438" s="30">
        <f>T1438*AD1438</f>
        <v/>
      </c>
      <c r="AG1438" s="28">
        <f>IFERROR(LOOKUP(AF1438,{0;0.5;5;25},{"Bajo";"Medio";"Alto";"Crítico"}),"")</f>
        <v/>
      </c>
      <c r="AH1438" s="28">
        <f>IF(AG1438="","",IF(OR(AG1438="Crítico",AG1438="Alto"),"Mitigar",IF(AG1438="Medio","Mitigar","Aceptar y monitorear")))</f>
        <v/>
      </c>
      <c r="AI1438" s="21" t="n"/>
      <c r="AJ1438" s="21" t="n"/>
      <c r="AK1438" s="20" t="n"/>
      <c r="AL1438" s="77">
        <f>IFERROR(INDEX(MgAmenEfic,MATCH(SUBSTITUTE($H1438,"*","-"),MgAmenClave,0)),0)</f>
        <v/>
      </c>
    </row>
    <row r="1439" hidden="1" ht="105" customHeight="1" s="54">
      <c r="B1439" s="59" t="inlineStr">
        <is>
          <t>R-1434</t>
        </is>
      </c>
      <c r="C1439" s="59" t="inlineStr">
        <is>
          <t>GH-043</t>
        </is>
      </c>
      <c r="D1439" s="64">
        <f>IFERROR(INDEX(MgNombre,MATCH($C1439,MgActId,0)),"")</f>
        <v/>
      </c>
      <c r="E1439" s="64">
        <f>IFERROR(INDEX(MgProceso,MATCH($C1439,MgActId,0)),"")</f>
        <v/>
      </c>
      <c r="F1439" s="64">
        <f>IFERROR(INDEX(MgTipo,MATCH($C1439,MgActId,0)),"")</f>
        <v/>
      </c>
      <c r="G1439" s="64">
        <f>IFERROR(INDEX(MgSubtipo,MATCH($C1439,MgActId,0)),"")</f>
        <v/>
      </c>
      <c r="H1439" s="59" t="inlineStr">
        <is>
          <t>E.1</t>
        </is>
      </c>
      <c r="I1439" s="64">
        <f>IFERROR(INDEX(MgAmenNombre,MATCH(SUBSTITUTE($H1439,"*","-"),MgAmenClave,0)),"")</f>
        <v/>
      </c>
      <c r="J1439" s="28">
        <f>IFERROR(INDEX(MgAmenGrupo,MATCH(SUBSTITUTE($H1439,"*","-"),MgAmenClave,0)),"")</f>
        <v/>
      </c>
      <c r="K1439" s="64">
        <f>IFERROR(INDEX('1. Matriz de Activos'!$Q$6:$Q$239,MATCH($C1439,MgActId,0)),"")</f>
        <v/>
      </c>
      <c r="L1439" s="64">
        <f>IFERROR(INDEX('1. Matriz de Activos'!$R$6:$R$239,MATCH($C1439,MgActId,0)),"")</f>
        <v/>
      </c>
      <c r="M1439" s="64">
        <f>IFERROR(INDEX('1. Matriz de Activos'!$S$6:$S$239,MATCH($C1439,MgActId,0)),"")</f>
        <v/>
      </c>
      <c r="N1439" s="28">
        <f>IFERROR(INDEX(MgAmenDegD,MATCH(SUBSTITUTE($H1439,"*","-"),MgAmenClave,0)),"No aplica")</f>
        <v/>
      </c>
      <c r="O1439" s="28">
        <f>IFERROR(INDEX(MgAmenDegI,MATCH(SUBSTITUTE($H1439,"*","-"),MgAmenClave,0)),"No aplica")</f>
        <v/>
      </c>
      <c r="P1439" s="28">
        <f>IFERROR(INDEX(MgAmenDegC,MATCH(SUBSTITUTE($H1439,"*","-"),MgAmenClave,0)),"No aplica")</f>
        <v/>
      </c>
      <c r="Q1439" s="29">
        <f>IFERROR(VLOOKUP(K1439,MgValor,2,0)*VLOOKUP(N1439,MgDeg,2,0),0)</f>
        <v/>
      </c>
      <c r="R1439" s="29">
        <f>IFERROR(VLOOKUP(L1439,MgValor,2,0)*VLOOKUP(O1439,MgDeg,2,0),0)</f>
        <v/>
      </c>
      <c r="S1439" s="29">
        <f>IFERROR(VLOOKUP(M1439,MgValor,2,0)*VLOOKUP(P1439,MgDeg,2,0),0)</f>
        <v/>
      </c>
      <c r="T1439" s="30">
        <f>MAX(Q1439:S1439)</f>
        <v/>
      </c>
      <c r="U1439" s="28">
        <f>IFERROR(LOOKUP(T1439,{0;0.5;1.5;3;4.5},{"Despreciable";"Bajo";"Medio";"Alto";"Muy alto"}),"")</f>
        <v/>
      </c>
      <c r="V1439" s="13">
        <f>IFERROR(INDEX(MgAmenFrec,MATCH(SUBSTITUTE($H1439,"*","-"),MgAmenClave,0)),"")</f>
        <v/>
      </c>
      <c r="W1439" s="28">
        <f>IFERROR(LOOKUP(X1439,{0;0.01;0.1;1;10;100},{"Muy baja";"Muy baja";"Baja";"Media";"Alta";"Muy alta"}),"")</f>
        <v/>
      </c>
      <c r="X1439" s="31">
        <f>IFERROR(VLOOKUP(V1439,MgFrec,2,0),0)</f>
        <v/>
      </c>
      <c r="Y1439" s="30">
        <f>T1439*X1439</f>
        <v/>
      </c>
      <c r="Z1439" s="28">
        <f>IFERROR(LOOKUP(Y1439,{0;0.5;5;25},{"Bajo";"Medio";"Alto";"Crítico"}),"")</f>
        <v/>
      </c>
      <c r="AA1439" s="64">
        <f>IF(T1439&gt;=3,IF(X1439&gt;=1,"Zona 1 — Crítica: impacto alto y ocurre al menos una vez al año","Zona 4 — Catastrófica poco probable: impacto alto pero excepcional"),IF(AND(T1439&lt;1.5,X1439&lt;1),"Zona 3 — Asumible: impacto bajo y muy poco frecuente","Zona 2 — Atención: riesgo intermedio"))</f>
        <v/>
      </c>
      <c r="AB1439" s="64">
        <f>IFERROR(INDEX(MgAmenCtrl,MATCH(SUBSTITUTE($H1439,"*","-"),MgAmenClave,0)),"")</f>
        <v/>
      </c>
      <c r="AC1439" s="20" t="n"/>
      <c r="AD1439" s="31">
        <f>IFERROR($X1439*(1-IF($AC1439="",$AL1439,VLOOKUP($AC1439,MgMad,2,0))),"")</f>
        <v/>
      </c>
      <c r="AE1439" s="28">
        <f>IFERROR(LOOKUP(AD1439,{0;0.01;0.1;1;10;100},{"Muy baja";"Muy baja";"Baja";"Media";"Alta";"Muy alta"}),"")</f>
        <v/>
      </c>
      <c r="AF1439" s="30">
        <f>T1439*AD1439</f>
        <v/>
      </c>
      <c r="AG1439" s="28">
        <f>IFERROR(LOOKUP(AF1439,{0;0.5;5;25},{"Bajo";"Medio";"Alto";"Crítico"}),"")</f>
        <v/>
      </c>
      <c r="AH1439" s="28">
        <f>IF(AG1439="","",IF(OR(AG1439="Crítico",AG1439="Alto"),"Mitigar",IF(AG1439="Medio","Mitigar","Aceptar y monitorear")))</f>
        <v/>
      </c>
      <c r="AI1439" s="21" t="n"/>
      <c r="AJ1439" s="21" t="n"/>
      <c r="AK1439" s="20" t="n"/>
      <c r="AL1439" s="77">
        <f>IFERROR(INDEX(MgAmenEfic,MATCH(SUBSTITUTE($H1439,"*","-"),MgAmenClave,0)),0)</f>
        <v/>
      </c>
    </row>
    <row r="1440" hidden="1" ht="120" customHeight="1" s="54">
      <c r="B1440" s="59" t="inlineStr">
        <is>
          <t>R-1435</t>
        </is>
      </c>
      <c r="C1440" s="59" t="inlineStr">
        <is>
          <t>GH-043</t>
        </is>
      </c>
      <c r="D1440" s="64">
        <f>IFERROR(INDEX(MgNombre,MATCH($C1440,MgActId,0)),"")</f>
        <v/>
      </c>
      <c r="E1440" s="64">
        <f>IFERROR(INDEX(MgProceso,MATCH($C1440,MgActId,0)),"")</f>
        <v/>
      </c>
      <c r="F1440" s="64">
        <f>IFERROR(INDEX(MgTipo,MATCH($C1440,MgActId,0)),"")</f>
        <v/>
      </c>
      <c r="G1440" s="64">
        <f>IFERROR(INDEX(MgSubtipo,MATCH($C1440,MgActId,0)),"")</f>
        <v/>
      </c>
      <c r="H1440" s="59" t="inlineStr">
        <is>
          <t>E.2</t>
        </is>
      </c>
      <c r="I1440" s="64">
        <f>IFERROR(INDEX(MgAmenNombre,MATCH(SUBSTITUTE($H1440,"*","-"),MgAmenClave,0)),"")</f>
        <v/>
      </c>
      <c r="J1440" s="28">
        <f>IFERROR(INDEX(MgAmenGrupo,MATCH(SUBSTITUTE($H1440,"*","-"),MgAmenClave,0)),"")</f>
        <v/>
      </c>
      <c r="K1440" s="64">
        <f>IFERROR(INDEX('1. Matriz de Activos'!$Q$6:$Q$239,MATCH($C1440,MgActId,0)),"")</f>
        <v/>
      </c>
      <c r="L1440" s="64">
        <f>IFERROR(INDEX('1. Matriz de Activos'!$R$6:$R$239,MATCH($C1440,MgActId,0)),"")</f>
        <v/>
      </c>
      <c r="M1440" s="64">
        <f>IFERROR(INDEX('1. Matriz de Activos'!$S$6:$S$239,MATCH($C1440,MgActId,0)),"")</f>
        <v/>
      </c>
      <c r="N1440" s="28">
        <f>IFERROR(INDEX(MgAmenDegD,MATCH(SUBSTITUTE($H1440,"*","-"),MgAmenClave,0)),"No aplica")</f>
        <v/>
      </c>
      <c r="O1440" s="28">
        <f>IFERROR(INDEX(MgAmenDegI,MATCH(SUBSTITUTE($H1440,"*","-"),MgAmenClave,0)),"No aplica")</f>
        <v/>
      </c>
      <c r="P1440" s="28">
        <f>IFERROR(INDEX(MgAmenDegC,MATCH(SUBSTITUTE($H1440,"*","-"),MgAmenClave,0)),"No aplica")</f>
        <v/>
      </c>
      <c r="Q1440" s="29">
        <f>IFERROR(VLOOKUP(K1440,MgValor,2,0)*VLOOKUP(N1440,MgDeg,2,0),0)</f>
        <v/>
      </c>
      <c r="R1440" s="29">
        <f>IFERROR(VLOOKUP(L1440,MgValor,2,0)*VLOOKUP(O1440,MgDeg,2,0),0)</f>
        <v/>
      </c>
      <c r="S1440" s="29">
        <f>IFERROR(VLOOKUP(M1440,MgValor,2,0)*VLOOKUP(P1440,MgDeg,2,0),0)</f>
        <v/>
      </c>
      <c r="T1440" s="30">
        <f>MAX(Q1440:S1440)</f>
        <v/>
      </c>
      <c r="U1440" s="28">
        <f>IFERROR(LOOKUP(T1440,{0;0.5;1.5;3;4.5},{"Despreciable";"Bajo";"Medio";"Alto";"Muy alto"}),"")</f>
        <v/>
      </c>
      <c r="V1440" s="13">
        <f>IFERROR(INDEX(MgAmenFrec,MATCH(SUBSTITUTE($H1440,"*","-"),MgAmenClave,0)),"")</f>
        <v/>
      </c>
      <c r="W1440" s="28">
        <f>IFERROR(LOOKUP(X1440,{0;0.01;0.1;1;10;100},{"Muy baja";"Muy baja";"Baja";"Media";"Alta";"Muy alta"}),"")</f>
        <v/>
      </c>
      <c r="X1440" s="31">
        <f>IFERROR(VLOOKUP(V1440,MgFrec,2,0),0)</f>
        <v/>
      </c>
      <c r="Y1440" s="30">
        <f>T1440*X1440</f>
        <v/>
      </c>
      <c r="Z1440" s="28">
        <f>IFERROR(LOOKUP(Y1440,{0;0.5;5;25},{"Bajo";"Medio";"Alto";"Crítico"}),"")</f>
        <v/>
      </c>
      <c r="AA1440" s="64">
        <f>IF(T1440&gt;=3,IF(X1440&gt;=1,"Zona 1 — Crítica: impacto alto y ocurre al menos una vez al año","Zona 4 — Catastrófica poco probable: impacto alto pero excepcional"),IF(AND(T1440&lt;1.5,X1440&lt;1),"Zona 3 — Asumible: impacto bajo y muy poco frecuente","Zona 2 — Atención: riesgo intermedio"))</f>
        <v/>
      </c>
      <c r="AB1440" s="64">
        <f>IFERROR(INDEX(MgAmenCtrl,MATCH(SUBSTITUTE($H1440,"*","-"),MgAmenClave,0)),"")</f>
        <v/>
      </c>
      <c r="AC1440" s="20" t="n"/>
      <c r="AD1440" s="31">
        <f>IFERROR($X1440*(1-IF($AC1440="",$AL1440,VLOOKUP($AC1440,MgMad,2,0))),"")</f>
        <v/>
      </c>
      <c r="AE1440" s="28">
        <f>IFERROR(LOOKUP(AD1440,{0;0.01;0.1;1;10;100},{"Muy baja";"Muy baja";"Baja";"Media";"Alta";"Muy alta"}),"")</f>
        <v/>
      </c>
      <c r="AF1440" s="30">
        <f>T1440*AD1440</f>
        <v/>
      </c>
      <c r="AG1440" s="28">
        <f>IFERROR(LOOKUP(AF1440,{0;0.5;5;25},{"Bajo";"Medio";"Alto";"Crítico"}),"")</f>
        <v/>
      </c>
      <c r="AH1440" s="28">
        <f>IF(AG1440="","",IF(OR(AG1440="Crítico",AG1440="Alto"),"Mitigar",IF(AG1440="Medio","Mitigar","Aceptar y monitorear")))</f>
        <v/>
      </c>
      <c r="AI1440" s="21" t="n"/>
      <c r="AJ1440" s="21" t="n"/>
      <c r="AK1440" s="20" t="n"/>
      <c r="AL1440" s="77">
        <f>IFERROR(INDEX(MgAmenEfic,MATCH(SUBSTITUTE($H1440,"*","-"),MgAmenClave,0)),0)</f>
        <v/>
      </c>
    </row>
    <row r="1441" hidden="1" ht="75" customHeight="1" s="54">
      <c r="B1441" s="59" t="inlineStr">
        <is>
          <t>R-1436</t>
        </is>
      </c>
      <c r="C1441" s="59" t="inlineStr">
        <is>
          <t>GH-043</t>
        </is>
      </c>
      <c r="D1441" s="64">
        <f>IFERROR(INDEX(MgNombre,MATCH($C1441,MgActId,0)),"")</f>
        <v/>
      </c>
      <c r="E1441" s="64">
        <f>IFERROR(INDEX(MgProceso,MATCH($C1441,MgActId,0)),"")</f>
        <v/>
      </c>
      <c r="F1441" s="64">
        <f>IFERROR(INDEX(MgTipo,MATCH($C1441,MgActId,0)),"")</f>
        <v/>
      </c>
      <c r="G1441" s="64">
        <f>IFERROR(INDEX(MgSubtipo,MATCH($C1441,MgActId,0)),"")</f>
        <v/>
      </c>
      <c r="H1441" s="59" t="inlineStr">
        <is>
          <t>E.3</t>
        </is>
      </c>
      <c r="I1441" s="64">
        <f>IFERROR(INDEX(MgAmenNombre,MATCH(SUBSTITUTE($H1441,"*","-"),MgAmenClave,0)),"")</f>
        <v/>
      </c>
      <c r="J1441" s="28">
        <f>IFERROR(INDEX(MgAmenGrupo,MATCH(SUBSTITUTE($H1441,"*","-"),MgAmenClave,0)),"")</f>
        <v/>
      </c>
      <c r="K1441" s="64">
        <f>IFERROR(INDEX('1. Matriz de Activos'!$Q$6:$Q$239,MATCH($C1441,MgActId,0)),"")</f>
        <v/>
      </c>
      <c r="L1441" s="64">
        <f>IFERROR(INDEX('1. Matriz de Activos'!$R$6:$R$239,MATCH($C1441,MgActId,0)),"")</f>
        <v/>
      </c>
      <c r="M1441" s="64">
        <f>IFERROR(INDEX('1. Matriz de Activos'!$S$6:$S$239,MATCH($C1441,MgActId,0)),"")</f>
        <v/>
      </c>
      <c r="N1441" s="28">
        <f>IFERROR(INDEX(MgAmenDegD,MATCH(SUBSTITUTE($H1441,"*","-"),MgAmenClave,0)),"No aplica")</f>
        <v/>
      </c>
      <c r="O1441" s="28">
        <f>IFERROR(INDEX(MgAmenDegI,MATCH(SUBSTITUTE($H1441,"*","-"),MgAmenClave,0)),"No aplica")</f>
        <v/>
      </c>
      <c r="P1441" s="28">
        <f>IFERROR(INDEX(MgAmenDegC,MATCH(SUBSTITUTE($H1441,"*","-"),MgAmenClave,0)),"No aplica")</f>
        <v/>
      </c>
      <c r="Q1441" s="29">
        <f>IFERROR(VLOOKUP(K1441,MgValor,2,0)*VLOOKUP(N1441,MgDeg,2,0),0)</f>
        <v/>
      </c>
      <c r="R1441" s="29">
        <f>IFERROR(VLOOKUP(L1441,MgValor,2,0)*VLOOKUP(O1441,MgDeg,2,0),0)</f>
        <v/>
      </c>
      <c r="S1441" s="29">
        <f>IFERROR(VLOOKUP(M1441,MgValor,2,0)*VLOOKUP(P1441,MgDeg,2,0),0)</f>
        <v/>
      </c>
      <c r="T1441" s="30">
        <f>MAX(Q1441:S1441)</f>
        <v/>
      </c>
      <c r="U1441" s="28">
        <f>IFERROR(LOOKUP(T1441,{0;0.5;1.5;3;4.5},{"Despreciable";"Bajo";"Medio";"Alto";"Muy alto"}),"")</f>
        <v/>
      </c>
      <c r="V1441" s="13">
        <f>IFERROR(INDEX(MgAmenFrec,MATCH(SUBSTITUTE($H1441,"*","-"),MgAmenClave,0)),"")</f>
        <v/>
      </c>
      <c r="W1441" s="28">
        <f>IFERROR(LOOKUP(X1441,{0;0.01;0.1;1;10;100},{"Muy baja";"Muy baja";"Baja";"Media";"Alta";"Muy alta"}),"")</f>
        <v/>
      </c>
      <c r="X1441" s="31">
        <f>IFERROR(VLOOKUP(V1441,MgFrec,2,0),0)</f>
        <v/>
      </c>
      <c r="Y1441" s="30">
        <f>T1441*X1441</f>
        <v/>
      </c>
      <c r="Z1441" s="28">
        <f>IFERROR(LOOKUP(Y1441,{0;0.5;5;25},{"Bajo";"Medio";"Alto";"Crítico"}),"")</f>
        <v/>
      </c>
      <c r="AA1441" s="64">
        <f>IF(T1441&gt;=3,IF(X1441&gt;=1,"Zona 1 — Crítica: impacto alto y ocurre al menos una vez al año","Zona 4 — Catastrófica poco probable: impacto alto pero excepcional"),IF(AND(T1441&lt;1.5,X1441&lt;1),"Zona 3 — Asumible: impacto bajo y muy poco frecuente","Zona 2 — Atención: riesgo intermedio"))</f>
        <v/>
      </c>
      <c r="AB1441" s="64">
        <f>IFERROR(INDEX(MgAmenCtrl,MATCH(SUBSTITUTE($H1441,"*","-"),MgAmenClave,0)),"")</f>
        <v/>
      </c>
      <c r="AC1441" s="20" t="n"/>
      <c r="AD1441" s="31">
        <f>IFERROR($X1441*(1-IF($AC1441="",$AL1441,VLOOKUP($AC1441,MgMad,2,0))),"")</f>
        <v/>
      </c>
      <c r="AE1441" s="28">
        <f>IFERROR(LOOKUP(AD1441,{0;0.01;0.1;1;10;100},{"Muy baja";"Muy baja";"Baja";"Media";"Alta";"Muy alta"}),"")</f>
        <v/>
      </c>
      <c r="AF1441" s="30">
        <f>T1441*AD1441</f>
        <v/>
      </c>
      <c r="AG1441" s="28">
        <f>IFERROR(LOOKUP(AF1441,{0;0.5;5;25},{"Bajo";"Medio";"Alto";"Crítico"}),"")</f>
        <v/>
      </c>
      <c r="AH1441" s="28">
        <f>IF(AG1441="","",IF(OR(AG1441="Crítico",AG1441="Alto"),"Mitigar",IF(AG1441="Medio","Mitigar","Aceptar y monitorear")))</f>
        <v/>
      </c>
      <c r="AI1441" s="21" t="n"/>
      <c r="AJ1441" s="21" t="n"/>
      <c r="AK1441" s="20" t="n"/>
      <c r="AL1441" s="77">
        <f>IFERROR(INDEX(MgAmenEfic,MATCH(SUBSTITUTE($H1441,"*","-"),MgAmenClave,0)),0)</f>
        <v/>
      </c>
    </row>
    <row r="1442" hidden="1" ht="75" customHeight="1" s="54">
      <c r="B1442" s="59" t="inlineStr">
        <is>
          <t>R-1437</t>
        </is>
      </c>
      <c r="C1442" s="59" t="inlineStr">
        <is>
          <t>GH-043</t>
        </is>
      </c>
      <c r="D1442" s="64">
        <f>IFERROR(INDEX(MgNombre,MATCH($C1442,MgActId,0)),"")</f>
        <v/>
      </c>
      <c r="E1442" s="64">
        <f>IFERROR(INDEX(MgProceso,MATCH($C1442,MgActId,0)),"")</f>
        <v/>
      </c>
      <c r="F1442" s="64">
        <f>IFERROR(INDEX(MgTipo,MATCH($C1442,MgActId,0)),"")</f>
        <v/>
      </c>
      <c r="G1442" s="64">
        <f>IFERROR(INDEX(MgSubtipo,MATCH($C1442,MgActId,0)),"")</f>
        <v/>
      </c>
      <c r="H1442" s="59" t="inlineStr">
        <is>
          <t>E.4</t>
        </is>
      </c>
      <c r="I1442" s="64">
        <f>IFERROR(INDEX(MgAmenNombre,MATCH(SUBSTITUTE($H1442,"*","-"),MgAmenClave,0)),"")</f>
        <v/>
      </c>
      <c r="J1442" s="28">
        <f>IFERROR(INDEX(MgAmenGrupo,MATCH(SUBSTITUTE($H1442,"*","-"),MgAmenClave,0)),"")</f>
        <v/>
      </c>
      <c r="K1442" s="64">
        <f>IFERROR(INDEX('1. Matriz de Activos'!$Q$6:$Q$239,MATCH($C1442,MgActId,0)),"")</f>
        <v/>
      </c>
      <c r="L1442" s="64">
        <f>IFERROR(INDEX('1. Matriz de Activos'!$R$6:$R$239,MATCH($C1442,MgActId,0)),"")</f>
        <v/>
      </c>
      <c r="M1442" s="64">
        <f>IFERROR(INDEX('1. Matriz de Activos'!$S$6:$S$239,MATCH($C1442,MgActId,0)),"")</f>
        <v/>
      </c>
      <c r="N1442" s="28">
        <f>IFERROR(INDEX(MgAmenDegD,MATCH(SUBSTITUTE($H1442,"*","-"),MgAmenClave,0)),"No aplica")</f>
        <v/>
      </c>
      <c r="O1442" s="28">
        <f>IFERROR(INDEX(MgAmenDegI,MATCH(SUBSTITUTE($H1442,"*","-"),MgAmenClave,0)),"No aplica")</f>
        <v/>
      </c>
      <c r="P1442" s="28">
        <f>IFERROR(INDEX(MgAmenDegC,MATCH(SUBSTITUTE($H1442,"*","-"),MgAmenClave,0)),"No aplica")</f>
        <v/>
      </c>
      <c r="Q1442" s="29">
        <f>IFERROR(VLOOKUP(K1442,MgValor,2,0)*VLOOKUP(N1442,MgDeg,2,0),0)</f>
        <v/>
      </c>
      <c r="R1442" s="29">
        <f>IFERROR(VLOOKUP(L1442,MgValor,2,0)*VLOOKUP(O1442,MgDeg,2,0),0)</f>
        <v/>
      </c>
      <c r="S1442" s="29">
        <f>IFERROR(VLOOKUP(M1442,MgValor,2,0)*VLOOKUP(P1442,MgDeg,2,0),0)</f>
        <v/>
      </c>
      <c r="T1442" s="30">
        <f>MAX(Q1442:S1442)</f>
        <v/>
      </c>
      <c r="U1442" s="28">
        <f>IFERROR(LOOKUP(T1442,{0;0.5;1.5;3;4.5},{"Despreciable";"Bajo";"Medio";"Alto";"Muy alto"}),"")</f>
        <v/>
      </c>
      <c r="V1442" s="13">
        <f>IFERROR(INDEX(MgAmenFrec,MATCH(SUBSTITUTE($H1442,"*","-"),MgAmenClave,0)),"")</f>
        <v/>
      </c>
      <c r="W1442" s="28">
        <f>IFERROR(LOOKUP(X1442,{0;0.01;0.1;1;10;100},{"Muy baja";"Muy baja";"Baja";"Media";"Alta";"Muy alta"}),"")</f>
        <v/>
      </c>
      <c r="X1442" s="31">
        <f>IFERROR(VLOOKUP(V1442,MgFrec,2,0),0)</f>
        <v/>
      </c>
      <c r="Y1442" s="30">
        <f>T1442*X1442</f>
        <v/>
      </c>
      <c r="Z1442" s="28">
        <f>IFERROR(LOOKUP(Y1442,{0;0.5;5;25},{"Bajo";"Medio";"Alto";"Crítico"}),"")</f>
        <v/>
      </c>
      <c r="AA1442" s="64">
        <f>IF(T1442&gt;=3,IF(X1442&gt;=1,"Zona 1 — Crítica: impacto alto y ocurre al menos una vez al año","Zona 4 — Catastrófica poco probable: impacto alto pero excepcional"),IF(AND(T1442&lt;1.5,X1442&lt;1),"Zona 3 — Asumible: impacto bajo y muy poco frecuente","Zona 2 — Atención: riesgo intermedio"))</f>
        <v/>
      </c>
      <c r="AB1442" s="64">
        <f>IFERROR(INDEX(MgAmenCtrl,MATCH(SUBSTITUTE($H1442,"*","-"),MgAmenClave,0)),"")</f>
        <v/>
      </c>
      <c r="AC1442" s="20" t="n"/>
      <c r="AD1442" s="31">
        <f>IFERROR($X1442*(1-IF($AC1442="",$AL1442,VLOOKUP($AC1442,MgMad,2,0))),"")</f>
        <v/>
      </c>
      <c r="AE1442" s="28">
        <f>IFERROR(LOOKUP(AD1442,{0;0.01;0.1;1;10;100},{"Muy baja";"Muy baja";"Baja";"Media";"Alta";"Muy alta"}),"")</f>
        <v/>
      </c>
      <c r="AF1442" s="30">
        <f>T1442*AD1442</f>
        <v/>
      </c>
      <c r="AG1442" s="28">
        <f>IFERROR(LOOKUP(AF1442,{0;0.5;5;25},{"Bajo";"Medio";"Alto";"Crítico"}),"")</f>
        <v/>
      </c>
      <c r="AH1442" s="28">
        <f>IF(AG1442="","",IF(OR(AG1442="Crítico",AG1442="Alto"),"Mitigar",IF(AG1442="Medio","Mitigar","Aceptar y monitorear")))</f>
        <v/>
      </c>
      <c r="AI1442" s="21" t="n"/>
      <c r="AJ1442" s="21" t="n"/>
      <c r="AK1442" s="20" t="n"/>
      <c r="AL1442" s="77">
        <f>IFERROR(INDEX(MgAmenEfic,MATCH(SUBSTITUTE($H1442,"*","-"),MgAmenClave,0)),0)</f>
        <v/>
      </c>
    </row>
    <row r="1443" hidden="1" ht="90" customHeight="1" s="54">
      <c r="B1443" s="59" t="inlineStr">
        <is>
          <t>R-1438</t>
        </is>
      </c>
      <c r="C1443" s="59" t="inlineStr">
        <is>
          <t>GH-043</t>
        </is>
      </c>
      <c r="D1443" s="64">
        <f>IFERROR(INDEX(MgNombre,MATCH($C1443,MgActId,0)),"")</f>
        <v/>
      </c>
      <c r="E1443" s="64">
        <f>IFERROR(INDEX(MgProceso,MATCH($C1443,MgActId,0)),"")</f>
        <v/>
      </c>
      <c r="F1443" s="64">
        <f>IFERROR(INDEX(MgTipo,MATCH($C1443,MgActId,0)),"")</f>
        <v/>
      </c>
      <c r="G1443" s="64">
        <f>IFERROR(INDEX(MgSubtipo,MATCH($C1443,MgActId,0)),"")</f>
        <v/>
      </c>
      <c r="H1443" s="59" t="inlineStr">
        <is>
          <t>E.14</t>
        </is>
      </c>
      <c r="I1443" s="64">
        <f>IFERROR(INDEX(MgAmenNombre,MATCH(SUBSTITUTE($H1443,"*","-"),MgAmenClave,0)),"")</f>
        <v/>
      </c>
      <c r="J1443" s="28">
        <f>IFERROR(INDEX(MgAmenGrupo,MATCH(SUBSTITUTE($H1443,"*","-"),MgAmenClave,0)),"")</f>
        <v/>
      </c>
      <c r="K1443" s="64">
        <f>IFERROR(INDEX('1. Matriz de Activos'!$Q$6:$Q$239,MATCH($C1443,MgActId,0)),"")</f>
        <v/>
      </c>
      <c r="L1443" s="64">
        <f>IFERROR(INDEX('1. Matriz de Activos'!$R$6:$R$239,MATCH($C1443,MgActId,0)),"")</f>
        <v/>
      </c>
      <c r="M1443" s="64">
        <f>IFERROR(INDEX('1. Matriz de Activos'!$S$6:$S$239,MATCH($C1443,MgActId,0)),"")</f>
        <v/>
      </c>
      <c r="N1443" s="28">
        <f>IFERROR(INDEX(MgAmenDegD,MATCH(SUBSTITUTE($H1443,"*","-"),MgAmenClave,0)),"No aplica")</f>
        <v/>
      </c>
      <c r="O1443" s="28">
        <f>IFERROR(INDEX(MgAmenDegI,MATCH(SUBSTITUTE($H1443,"*","-"),MgAmenClave,0)),"No aplica")</f>
        <v/>
      </c>
      <c r="P1443" s="28">
        <f>IFERROR(INDEX(MgAmenDegC,MATCH(SUBSTITUTE($H1443,"*","-"),MgAmenClave,0)),"No aplica")</f>
        <v/>
      </c>
      <c r="Q1443" s="29">
        <f>IFERROR(VLOOKUP(K1443,MgValor,2,0)*VLOOKUP(N1443,MgDeg,2,0),0)</f>
        <v/>
      </c>
      <c r="R1443" s="29">
        <f>IFERROR(VLOOKUP(L1443,MgValor,2,0)*VLOOKUP(O1443,MgDeg,2,0),0)</f>
        <v/>
      </c>
      <c r="S1443" s="29">
        <f>IFERROR(VLOOKUP(M1443,MgValor,2,0)*VLOOKUP(P1443,MgDeg,2,0),0)</f>
        <v/>
      </c>
      <c r="T1443" s="30">
        <f>MAX(Q1443:S1443)</f>
        <v/>
      </c>
      <c r="U1443" s="28">
        <f>IFERROR(LOOKUP(T1443,{0;0.5;1.5;3;4.5},{"Despreciable";"Bajo";"Medio";"Alto";"Muy alto"}),"")</f>
        <v/>
      </c>
      <c r="V1443" s="13">
        <f>IFERROR(INDEX(MgAmenFrec,MATCH(SUBSTITUTE($H1443,"*","-"),MgAmenClave,0)),"")</f>
        <v/>
      </c>
      <c r="W1443" s="28">
        <f>IFERROR(LOOKUP(X1443,{0;0.01;0.1;1;10;100},{"Muy baja";"Muy baja";"Baja";"Media";"Alta";"Muy alta"}),"")</f>
        <v/>
      </c>
      <c r="X1443" s="31">
        <f>IFERROR(VLOOKUP(V1443,MgFrec,2,0),0)</f>
        <v/>
      </c>
      <c r="Y1443" s="30">
        <f>T1443*X1443</f>
        <v/>
      </c>
      <c r="Z1443" s="28">
        <f>IFERROR(LOOKUP(Y1443,{0;0.5;5;25},{"Bajo";"Medio";"Alto";"Crítico"}),"")</f>
        <v/>
      </c>
      <c r="AA1443" s="64">
        <f>IF(T1443&gt;=3,IF(X1443&gt;=1,"Zona 1 — Crítica: impacto alto y ocurre al menos una vez al año","Zona 4 — Catastrófica poco probable: impacto alto pero excepcional"),IF(AND(T1443&lt;1.5,X1443&lt;1),"Zona 3 — Asumible: impacto bajo y muy poco frecuente","Zona 2 — Atención: riesgo intermedio"))</f>
        <v/>
      </c>
      <c r="AB1443" s="64">
        <f>IFERROR(INDEX(MgAmenCtrl,MATCH(SUBSTITUTE($H1443,"*","-"),MgAmenClave,0)),"")</f>
        <v/>
      </c>
      <c r="AC1443" s="20" t="n"/>
      <c r="AD1443" s="31">
        <f>IFERROR($X1443*(1-IF($AC1443="",$AL1443,VLOOKUP($AC1443,MgMad,2,0))),"")</f>
        <v/>
      </c>
      <c r="AE1443" s="28">
        <f>IFERROR(LOOKUP(AD1443,{0;0.01;0.1;1;10;100},{"Muy baja";"Muy baja";"Baja";"Media";"Alta";"Muy alta"}),"")</f>
        <v/>
      </c>
      <c r="AF1443" s="30">
        <f>T1443*AD1443</f>
        <v/>
      </c>
      <c r="AG1443" s="28">
        <f>IFERROR(LOOKUP(AF1443,{0;0.5;5;25},{"Bajo";"Medio";"Alto";"Crítico"}),"")</f>
        <v/>
      </c>
      <c r="AH1443" s="28">
        <f>IF(AG1443="","",IF(OR(AG1443="Crítico",AG1443="Alto"),"Mitigar",IF(AG1443="Medio","Mitigar","Aceptar y monitorear")))</f>
        <v/>
      </c>
      <c r="AI1443" s="21" t="n"/>
      <c r="AJ1443" s="21" t="n"/>
      <c r="AK1443" s="20" t="n"/>
      <c r="AL1443" s="77">
        <f>IFERROR(INDEX(MgAmenEfic,MATCH(SUBSTITUTE($H1443,"*","-"),MgAmenClave,0)),0)</f>
        <v/>
      </c>
    </row>
    <row r="1444" hidden="1" ht="90" customHeight="1" s="54">
      <c r="B1444" s="59" t="inlineStr">
        <is>
          <t>R-1439</t>
        </is>
      </c>
      <c r="C1444" s="59" t="inlineStr">
        <is>
          <t>GH-043</t>
        </is>
      </c>
      <c r="D1444" s="64">
        <f>IFERROR(INDEX(MgNombre,MATCH($C1444,MgActId,0)),"")</f>
        <v/>
      </c>
      <c r="E1444" s="64">
        <f>IFERROR(INDEX(MgProceso,MATCH($C1444,MgActId,0)),"")</f>
        <v/>
      </c>
      <c r="F1444" s="64">
        <f>IFERROR(INDEX(MgTipo,MATCH($C1444,MgActId,0)),"")</f>
        <v/>
      </c>
      <c r="G1444" s="64">
        <f>IFERROR(INDEX(MgSubtipo,MATCH($C1444,MgActId,0)),"")</f>
        <v/>
      </c>
      <c r="H1444" s="59" t="inlineStr">
        <is>
          <t>E.15</t>
        </is>
      </c>
      <c r="I1444" s="64">
        <f>IFERROR(INDEX(MgAmenNombre,MATCH(SUBSTITUTE($H1444,"*","-"),MgAmenClave,0)),"")</f>
        <v/>
      </c>
      <c r="J1444" s="28">
        <f>IFERROR(INDEX(MgAmenGrupo,MATCH(SUBSTITUTE($H1444,"*","-"),MgAmenClave,0)),"")</f>
        <v/>
      </c>
      <c r="K1444" s="64">
        <f>IFERROR(INDEX('1. Matriz de Activos'!$Q$6:$Q$239,MATCH($C1444,MgActId,0)),"")</f>
        <v/>
      </c>
      <c r="L1444" s="64">
        <f>IFERROR(INDEX('1. Matriz de Activos'!$R$6:$R$239,MATCH($C1444,MgActId,0)),"")</f>
        <v/>
      </c>
      <c r="M1444" s="64">
        <f>IFERROR(INDEX('1. Matriz de Activos'!$S$6:$S$239,MATCH($C1444,MgActId,0)),"")</f>
        <v/>
      </c>
      <c r="N1444" s="28">
        <f>IFERROR(INDEX(MgAmenDegD,MATCH(SUBSTITUTE($H1444,"*","-"),MgAmenClave,0)),"No aplica")</f>
        <v/>
      </c>
      <c r="O1444" s="28">
        <f>IFERROR(INDEX(MgAmenDegI,MATCH(SUBSTITUTE($H1444,"*","-"),MgAmenClave,0)),"No aplica")</f>
        <v/>
      </c>
      <c r="P1444" s="28">
        <f>IFERROR(INDEX(MgAmenDegC,MATCH(SUBSTITUTE($H1444,"*","-"),MgAmenClave,0)),"No aplica")</f>
        <v/>
      </c>
      <c r="Q1444" s="29">
        <f>IFERROR(VLOOKUP(K1444,MgValor,2,0)*VLOOKUP(N1444,MgDeg,2,0),0)</f>
        <v/>
      </c>
      <c r="R1444" s="29">
        <f>IFERROR(VLOOKUP(L1444,MgValor,2,0)*VLOOKUP(O1444,MgDeg,2,0),0)</f>
        <v/>
      </c>
      <c r="S1444" s="29">
        <f>IFERROR(VLOOKUP(M1444,MgValor,2,0)*VLOOKUP(P1444,MgDeg,2,0),0)</f>
        <v/>
      </c>
      <c r="T1444" s="30">
        <f>MAX(Q1444:S1444)</f>
        <v/>
      </c>
      <c r="U1444" s="28">
        <f>IFERROR(LOOKUP(T1444,{0;0.5;1.5;3;4.5},{"Despreciable";"Bajo";"Medio";"Alto";"Muy alto"}),"")</f>
        <v/>
      </c>
      <c r="V1444" s="13">
        <f>IFERROR(INDEX(MgAmenFrec,MATCH(SUBSTITUTE($H1444,"*","-"),MgAmenClave,0)),"")</f>
        <v/>
      </c>
      <c r="W1444" s="28">
        <f>IFERROR(LOOKUP(X1444,{0;0.01;0.1;1;10;100},{"Muy baja";"Muy baja";"Baja";"Media";"Alta";"Muy alta"}),"")</f>
        <v/>
      </c>
      <c r="X1444" s="31">
        <f>IFERROR(VLOOKUP(V1444,MgFrec,2,0),0)</f>
        <v/>
      </c>
      <c r="Y1444" s="30">
        <f>T1444*X1444</f>
        <v/>
      </c>
      <c r="Z1444" s="28">
        <f>IFERROR(LOOKUP(Y1444,{0;0.5;5;25},{"Bajo";"Medio";"Alto";"Crítico"}),"")</f>
        <v/>
      </c>
      <c r="AA1444" s="64">
        <f>IF(T1444&gt;=3,IF(X1444&gt;=1,"Zona 1 — Crítica: impacto alto y ocurre al menos una vez al año","Zona 4 — Catastrófica poco probable: impacto alto pero excepcional"),IF(AND(T1444&lt;1.5,X1444&lt;1),"Zona 3 — Asumible: impacto bajo y muy poco frecuente","Zona 2 — Atención: riesgo intermedio"))</f>
        <v/>
      </c>
      <c r="AB1444" s="64">
        <f>IFERROR(INDEX(MgAmenCtrl,MATCH(SUBSTITUTE($H1444,"*","-"),MgAmenClave,0)),"")</f>
        <v/>
      </c>
      <c r="AC1444" s="20" t="n"/>
      <c r="AD1444" s="31">
        <f>IFERROR($X1444*(1-IF($AC1444="",$AL1444,VLOOKUP($AC1444,MgMad,2,0))),"")</f>
        <v/>
      </c>
      <c r="AE1444" s="28">
        <f>IFERROR(LOOKUP(AD1444,{0;0.01;0.1;1;10;100},{"Muy baja";"Muy baja";"Baja";"Media";"Alta";"Muy alta"}),"")</f>
        <v/>
      </c>
      <c r="AF1444" s="30">
        <f>T1444*AD1444</f>
        <v/>
      </c>
      <c r="AG1444" s="28">
        <f>IFERROR(LOOKUP(AF1444,{0;0.5;5;25},{"Bajo";"Medio";"Alto";"Crítico"}),"")</f>
        <v/>
      </c>
      <c r="AH1444" s="28">
        <f>IF(AG1444="","",IF(OR(AG1444="Crítico",AG1444="Alto"),"Mitigar",IF(AG1444="Medio","Mitigar","Aceptar y monitorear")))</f>
        <v/>
      </c>
      <c r="AI1444" s="21" t="n"/>
      <c r="AJ1444" s="21" t="n"/>
      <c r="AK1444" s="20" t="n"/>
      <c r="AL1444" s="77">
        <f>IFERROR(INDEX(MgAmenEfic,MATCH(SUBSTITUTE($H1444,"*","-"),MgAmenClave,0)),0)</f>
        <v/>
      </c>
    </row>
    <row r="1445" hidden="1" ht="60" customHeight="1" s="54">
      <c r="B1445" s="59" t="inlineStr">
        <is>
          <t>R-1440</t>
        </is>
      </c>
      <c r="C1445" s="59" t="inlineStr">
        <is>
          <t>GH-043</t>
        </is>
      </c>
      <c r="D1445" s="64">
        <f>IFERROR(INDEX(MgNombre,MATCH($C1445,MgActId,0)),"")</f>
        <v/>
      </c>
      <c r="E1445" s="64">
        <f>IFERROR(INDEX(MgProceso,MATCH($C1445,MgActId,0)),"")</f>
        <v/>
      </c>
      <c r="F1445" s="64">
        <f>IFERROR(INDEX(MgTipo,MATCH($C1445,MgActId,0)),"")</f>
        <v/>
      </c>
      <c r="G1445" s="64">
        <f>IFERROR(INDEX(MgSubtipo,MATCH($C1445,MgActId,0)),"")</f>
        <v/>
      </c>
      <c r="H1445" s="59" t="inlineStr">
        <is>
          <t>E.18</t>
        </is>
      </c>
      <c r="I1445" s="64">
        <f>IFERROR(INDEX(MgAmenNombre,MATCH(SUBSTITUTE($H1445,"*","-"),MgAmenClave,0)),"")</f>
        <v/>
      </c>
      <c r="J1445" s="28">
        <f>IFERROR(INDEX(MgAmenGrupo,MATCH(SUBSTITUTE($H1445,"*","-"),MgAmenClave,0)),"")</f>
        <v/>
      </c>
      <c r="K1445" s="64">
        <f>IFERROR(INDEX('1. Matriz de Activos'!$Q$6:$Q$239,MATCH($C1445,MgActId,0)),"")</f>
        <v/>
      </c>
      <c r="L1445" s="64">
        <f>IFERROR(INDEX('1. Matriz de Activos'!$R$6:$R$239,MATCH($C1445,MgActId,0)),"")</f>
        <v/>
      </c>
      <c r="M1445" s="64">
        <f>IFERROR(INDEX('1. Matriz de Activos'!$S$6:$S$239,MATCH($C1445,MgActId,0)),"")</f>
        <v/>
      </c>
      <c r="N1445" s="28">
        <f>IFERROR(INDEX(MgAmenDegD,MATCH(SUBSTITUTE($H1445,"*","-"),MgAmenClave,0)),"No aplica")</f>
        <v/>
      </c>
      <c r="O1445" s="28">
        <f>IFERROR(INDEX(MgAmenDegI,MATCH(SUBSTITUTE($H1445,"*","-"),MgAmenClave,0)),"No aplica")</f>
        <v/>
      </c>
      <c r="P1445" s="28">
        <f>IFERROR(INDEX(MgAmenDegC,MATCH(SUBSTITUTE($H1445,"*","-"),MgAmenClave,0)),"No aplica")</f>
        <v/>
      </c>
      <c r="Q1445" s="29">
        <f>IFERROR(VLOOKUP(K1445,MgValor,2,0)*VLOOKUP(N1445,MgDeg,2,0),0)</f>
        <v/>
      </c>
      <c r="R1445" s="29">
        <f>IFERROR(VLOOKUP(L1445,MgValor,2,0)*VLOOKUP(O1445,MgDeg,2,0),0)</f>
        <v/>
      </c>
      <c r="S1445" s="29">
        <f>IFERROR(VLOOKUP(M1445,MgValor,2,0)*VLOOKUP(P1445,MgDeg,2,0),0)</f>
        <v/>
      </c>
      <c r="T1445" s="30">
        <f>MAX(Q1445:S1445)</f>
        <v/>
      </c>
      <c r="U1445" s="28">
        <f>IFERROR(LOOKUP(T1445,{0;0.5;1.5;3;4.5},{"Despreciable";"Bajo";"Medio";"Alto";"Muy alto"}),"")</f>
        <v/>
      </c>
      <c r="V1445" s="13">
        <f>IFERROR(INDEX(MgAmenFrec,MATCH(SUBSTITUTE($H1445,"*","-"),MgAmenClave,0)),"")</f>
        <v/>
      </c>
      <c r="W1445" s="28">
        <f>IFERROR(LOOKUP(X1445,{0;0.01;0.1;1;10;100},{"Muy baja";"Muy baja";"Baja";"Media";"Alta";"Muy alta"}),"")</f>
        <v/>
      </c>
      <c r="X1445" s="31">
        <f>IFERROR(VLOOKUP(V1445,MgFrec,2,0),0)</f>
        <v/>
      </c>
      <c r="Y1445" s="30">
        <f>T1445*X1445</f>
        <v/>
      </c>
      <c r="Z1445" s="28">
        <f>IFERROR(LOOKUP(Y1445,{0;0.5;5;25},{"Bajo";"Medio";"Alto";"Crítico"}),"")</f>
        <v/>
      </c>
      <c r="AA1445" s="64">
        <f>IF(T1445&gt;=3,IF(X1445&gt;=1,"Zona 1 — Crítica: impacto alto y ocurre al menos una vez al año","Zona 4 — Catastrófica poco probable: impacto alto pero excepcional"),IF(AND(T1445&lt;1.5,X1445&lt;1),"Zona 3 — Asumible: impacto bajo y muy poco frecuente","Zona 2 — Atención: riesgo intermedio"))</f>
        <v/>
      </c>
      <c r="AB1445" s="64">
        <f>IFERROR(INDEX(MgAmenCtrl,MATCH(SUBSTITUTE($H1445,"*","-"),MgAmenClave,0)),"")</f>
        <v/>
      </c>
      <c r="AC1445" s="20" t="n"/>
      <c r="AD1445" s="31">
        <f>IFERROR($X1445*(1-IF($AC1445="",$AL1445,VLOOKUP($AC1445,MgMad,2,0))),"")</f>
        <v/>
      </c>
      <c r="AE1445" s="28">
        <f>IFERROR(LOOKUP(AD1445,{0;0.01;0.1;1;10;100},{"Muy baja";"Muy baja";"Baja";"Media";"Alta";"Muy alta"}),"")</f>
        <v/>
      </c>
      <c r="AF1445" s="30">
        <f>T1445*AD1445</f>
        <v/>
      </c>
      <c r="AG1445" s="28">
        <f>IFERROR(LOOKUP(AF1445,{0;0.5;5;25},{"Bajo";"Medio";"Alto";"Crítico"}),"")</f>
        <v/>
      </c>
      <c r="AH1445" s="28">
        <f>IF(AG1445="","",IF(OR(AG1445="Crítico",AG1445="Alto"),"Mitigar",IF(AG1445="Medio","Mitigar","Aceptar y monitorear")))</f>
        <v/>
      </c>
      <c r="AI1445" s="21" t="n"/>
      <c r="AJ1445" s="21" t="n"/>
      <c r="AK1445" s="20" t="n"/>
      <c r="AL1445" s="77">
        <f>IFERROR(INDEX(MgAmenEfic,MATCH(SUBSTITUTE($H1445,"*","-"),MgAmenClave,0)),0)</f>
        <v/>
      </c>
    </row>
    <row r="1446" hidden="1" ht="105" customHeight="1" s="54">
      <c r="B1446" s="59" t="inlineStr">
        <is>
          <t>R-1441</t>
        </is>
      </c>
      <c r="C1446" s="59" t="inlineStr">
        <is>
          <t>GH-043</t>
        </is>
      </c>
      <c r="D1446" s="64">
        <f>IFERROR(INDEX(MgNombre,MATCH($C1446,MgActId,0)),"")</f>
        <v/>
      </c>
      <c r="E1446" s="64">
        <f>IFERROR(INDEX(MgProceso,MATCH($C1446,MgActId,0)),"")</f>
        <v/>
      </c>
      <c r="F1446" s="64">
        <f>IFERROR(INDEX(MgTipo,MATCH($C1446,MgActId,0)),"")</f>
        <v/>
      </c>
      <c r="G1446" s="64">
        <f>IFERROR(INDEX(MgSubtipo,MATCH($C1446,MgActId,0)),"")</f>
        <v/>
      </c>
      <c r="H1446" s="59" t="inlineStr">
        <is>
          <t>E.19</t>
        </is>
      </c>
      <c r="I1446" s="64">
        <f>IFERROR(INDEX(MgAmenNombre,MATCH(SUBSTITUTE($H1446,"*","-"),MgAmenClave,0)),"")</f>
        <v/>
      </c>
      <c r="J1446" s="28">
        <f>IFERROR(INDEX(MgAmenGrupo,MATCH(SUBSTITUTE($H1446,"*","-"),MgAmenClave,0)),"")</f>
        <v/>
      </c>
      <c r="K1446" s="64">
        <f>IFERROR(INDEX('1. Matriz de Activos'!$Q$6:$Q$239,MATCH($C1446,MgActId,0)),"")</f>
        <v/>
      </c>
      <c r="L1446" s="64">
        <f>IFERROR(INDEX('1. Matriz de Activos'!$R$6:$R$239,MATCH($C1446,MgActId,0)),"")</f>
        <v/>
      </c>
      <c r="M1446" s="64">
        <f>IFERROR(INDEX('1. Matriz de Activos'!$S$6:$S$239,MATCH($C1446,MgActId,0)),"")</f>
        <v/>
      </c>
      <c r="N1446" s="28">
        <f>IFERROR(INDEX(MgAmenDegD,MATCH(SUBSTITUTE($H1446,"*","-"),MgAmenClave,0)),"No aplica")</f>
        <v/>
      </c>
      <c r="O1446" s="28">
        <f>IFERROR(INDEX(MgAmenDegI,MATCH(SUBSTITUTE($H1446,"*","-"),MgAmenClave,0)),"No aplica")</f>
        <v/>
      </c>
      <c r="P1446" s="28">
        <f>IFERROR(INDEX(MgAmenDegC,MATCH(SUBSTITUTE($H1446,"*","-"),MgAmenClave,0)),"No aplica")</f>
        <v/>
      </c>
      <c r="Q1446" s="29">
        <f>IFERROR(VLOOKUP(K1446,MgValor,2,0)*VLOOKUP(N1446,MgDeg,2,0),0)</f>
        <v/>
      </c>
      <c r="R1446" s="29">
        <f>IFERROR(VLOOKUP(L1446,MgValor,2,0)*VLOOKUP(O1446,MgDeg,2,0),0)</f>
        <v/>
      </c>
      <c r="S1446" s="29">
        <f>IFERROR(VLOOKUP(M1446,MgValor,2,0)*VLOOKUP(P1446,MgDeg,2,0),0)</f>
        <v/>
      </c>
      <c r="T1446" s="30">
        <f>MAX(Q1446:S1446)</f>
        <v/>
      </c>
      <c r="U1446" s="28">
        <f>IFERROR(LOOKUP(T1446,{0;0.5;1.5;3;4.5},{"Despreciable";"Bajo";"Medio";"Alto";"Muy alto"}),"")</f>
        <v/>
      </c>
      <c r="V1446" s="13">
        <f>IFERROR(INDEX(MgAmenFrec,MATCH(SUBSTITUTE($H1446,"*","-"),MgAmenClave,0)),"")</f>
        <v/>
      </c>
      <c r="W1446" s="28">
        <f>IFERROR(LOOKUP(X1446,{0;0.01;0.1;1;10;100},{"Muy baja";"Muy baja";"Baja";"Media";"Alta";"Muy alta"}),"")</f>
        <v/>
      </c>
      <c r="X1446" s="31">
        <f>IFERROR(VLOOKUP(V1446,MgFrec,2,0),0)</f>
        <v/>
      </c>
      <c r="Y1446" s="30">
        <f>T1446*X1446</f>
        <v/>
      </c>
      <c r="Z1446" s="28">
        <f>IFERROR(LOOKUP(Y1446,{0;0.5;5;25},{"Bajo";"Medio";"Alto";"Crítico"}),"")</f>
        <v/>
      </c>
      <c r="AA1446" s="64">
        <f>IF(T1446&gt;=3,IF(X1446&gt;=1,"Zona 1 — Crítica: impacto alto y ocurre al menos una vez al año","Zona 4 — Catastrófica poco probable: impacto alto pero excepcional"),IF(AND(T1446&lt;1.5,X1446&lt;1),"Zona 3 — Asumible: impacto bajo y muy poco frecuente","Zona 2 — Atención: riesgo intermedio"))</f>
        <v/>
      </c>
      <c r="AB1446" s="64">
        <f>IFERROR(INDEX(MgAmenCtrl,MATCH(SUBSTITUTE($H1446,"*","-"),MgAmenClave,0)),"")</f>
        <v/>
      </c>
      <c r="AC1446" s="20" t="n"/>
      <c r="AD1446" s="31">
        <f>IFERROR($X1446*(1-IF($AC1446="",$AL1446,VLOOKUP($AC1446,MgMad,2,0))),"")</f>
        <v/>
      </c>
      <c r="AE1446" s="28">
        <f>IFERROR(LOOKUP(AD1446,{0;0.01;0.1;1;10;100},{"Muy baja";"Muy baja";"Baja";"Media";"Alta";"Muy alta"}),"")</f>
        <v/>
      </c>
      <c r="AF1446" s="30">
        <f>T1446*AD1446</f>
        <v/>
      </c>
      <c r="AG1446" s="28">
        <f>IFERROR(LOOKUP(AF1446,{0;0.5;5;25},{"Bajo";"Medio";"Alto";"Crítico"}),"")</f>
        <v/>
      </c>
      <c r="AH1446" s="28">
        <f>IF(AG1446="","",IF(OR(AG1446="Crítico",AG1446="Alto"),"Mitigar",IF(AG1446="Medio","Mitigar","Aceptar y monitorear")))</f>
        <v/>
      </c>
      <c r="AI1446" s="21" t="n"/>
      <c r="AJ1446" s="21" t="n"/>
      <c r="AK1446" s="20" t="n"/>
      <c r="AL1446" s="77">
        <f>IFERROR(INDEX(MgAmenEfic,MATCH(SUBSTITUTE($H1446,"*","-"),MgAmenClave,0)),0)</f>
        <v/>
      </c>
    </row>
    <row r="1447" hidden="1" ht="60" customHeight="1" s="54">
      <c r="B1447" s="59" t="inlineStr">
        <is>
          <t>R-1442</t>
        </is>
      </c>
      <c r="C1447" s="59" t="inlineStr">
        <is>
          <t>GH-043</t>
        </is>
      </c>
      <c r="D1447" s="64">
        <f>IFERROR(INDEX(MgNombre,MATCH($C1447,MgActId,0)),"")</f>
        <v/>
      </c>
      <c r="E1447" s="64">
        <f>IFERROR(INDEX(MgProceso,MATCH($C1447,MgActId,0)),"")</f>
        <v/>
      </c>
      <c r="F1447" s="64">
        <f>IFERROR(INDEX(MgTipo,MATCH($C1447,MgActId,0)),"")</f>
        <v/>
      </c>
      <c r="G1447" s="64">
        <f>IFERROR(INDEX(MgSubtipo,MATCH($C1447,MgActId,0)),"")</f>
        <v/>
      </c>
      <c r="H1447" s="59" t="inlineStr">
        <is>
          <t>A.3</t>
        </is>
      </c>
      <c r="I1447" s="64">
        <f>IFERROR(INDEX(MgAmenNombre,MATCH(SUBSTITUTE($H1447,"*","-"),MgAmenClave,0)),"")</f>
        <v/>
      </c>
      <c r="J1447" s="28">
        <f>IFERROR(INDEX(MgAmenGrupo,MATCH(SUBSTITUTE($H1447,"*","-"),MgAmenClave,0)),"")</f>
        <v/>
      </c>
      <c r="K1447" s="64">
        <f>IFERROR(INDEX('1. Matriz de Activos'!$Q$6:$Q$239,MATCH($C1447,MgActId,0)),"")</f>
        <v/>
      </c>
      <c r="L1447" s="64">
        <f>IFERROR(INDEX('1. Matriz de Activos'!$R$6:$R$239,MATCH($C1447,MgActId,0)),"")</f>
        <v/>
      </c>
      <c r="M1447" s="64">
        <f>IFERROR(INDEX('1. Matriz de Activos'!$S$6:$S$239,MATCH($C1447,MgActId,0)),"")</f>
        <v/>
      </c>
      <c r="N1447" s="28">
        <f>IFERROR(INDEX(MgAmenDegD,MATCH(SUBSTITUTE($H1447,"*","-"),MgAmenClave,0)),"No aplica")</f>
        <v/>
      </c>
      <c r="O1447" s="28">
        <f>IFERROR(INDEX(MgAmenDegI,MATCH(SUBSTITUTE($H1447,"*","-"),MgAmenClave,0)),"No aplica")</f>
        <v/>
      </c>
      <c r="P1447" s="28">
        <f>IFERROR(INDEX(MgAmenDegC,MATCH(SUBSTITUTE($H1447,"*","-"),MgAmenClave,0)),"No aplica")</f>
        <v/>
      </c>
      <c r="Q1447" s="29">
        <f>IFERROR(VLOOKUP(K1447,MgValor,2,0)*VLOOKUP(N1447,MgDeg,2,0),0)</f>
        <v/>
      </c>
      <c r="R1447" s="29">
        <f>IFERROR(VLOOKUP(L1447,MgValor,2,0)*VLOOKUP(O1447,MgDeg,2,0),0)</f>
        <v/>
      </c>
      <c r="S1447" s="29">
        <f>IFERROR(VLOOKUP(M1447,MgValor,2,0)*VLOOKUP(P1447,MgDeg,2,0),0)</f>
        <v/>
      </c>
      <c r="T1447" s="30">
        <f>MAX(Q1447:S1447)</f>
        <v/>
      </c>
      <c r="U1447" s="28">
        <f>IFERROR(LOOKUP(T1447,{0;0.5;1.5;3;4.5},{"Despreciable";"Bajo";"Medio";"Alto";"Muy alto"}),"")</f>
        <v/>
      </c>
      <c r="V1447" s="13">
        <f>IFERROR(INDEX(MgAmenFrec,MATCH(SUBSTITUTE($H1447,"*","-"),MgAmenClave,0)),"")</f>
        <v/>
      </c>
      <c r="W1447" s="28">
        <f>IFERROR(LOOKUP(X1447,{0;0.01;0.1;1;10;100},{"Muy baja";"Muy baja";"Baja";"Media";"Alta";"Muy alta"}),"")</f>
        <v/>
      </c>
      <c r="X1447" s="31">
        <f>IFERROR(VLOOKUP(V1447,MgFrec,2,0),0)</f>
        <v/>
      </c>
      <c r="Y1447" s="30">
        <f>T1447*X1447</f>
        <v/>
      </c>
      <c r="Z1447" s="28">
        <f>IFERROR(LOOKUP(Y1447,{0;0.5;5;25},{"Bajo";"Medio";"Alto";"Crítico"}),"")</f>
        <v/>
      </c>
      <c r="AA1447" s="64">
        <f>IF(T1447&gt;=3,IF(X1447&gt;=1,"Zona 1 — Crítica: impacto alto y ocurre al menos una vez al año","Zona 4 — Catastrófica poco probable: impacto alto pero excepcional"),IF(AND(T1447&lt;1.5,X1447&lt;1),"Zona 3 — Asumible: impacto bajo y muy poco frecuente","Zona 2 — Atención: riesgo intermedio"))</f>
        <v/>
      </c>
      <c r="AB1447" s="64">
        <f>IFERROR(INDEX(MgAmenCtrl,MATCH(SUBSTITUTE($H1447,"*","-"),MgAmenClave,0)),"")</f>
        <v/>
      </c>
      <c r="AC1447" s="20" t="n"/>
      <c r="AD1447" s="31">
        <f>IFERROR($X1447*(1-IF($AC1447="",$AL1447,VLOOKUP($AC1447,MgMad,2,0))),"")</f>
        <v/>
      </c>
      <c r="AE1447" s="28">
        <f>IFERROR(LOOKUP(AD1447,{0;0.01;0.1;1;10;100},{"Muy baja";"Muy baja";"Baja";"Media";"Alta";"Muy alta"}),"")</f>
        <v/>
      </c>
      <c r="AF1447" s="30">
        <f>T1447*AD1447</f>
        <v/>
      </c>
      <c r="AG1447" s="28">
        <f>IFERROR(LOOKUP(AF1447,{0;0.5;5;25},{"Bajo";"Medio";"Alto";"Crítico"}),"")</f>
        <v/>
      </c>
      <c r="AH1447" s="28">
        <f>IF(AG1447="","",IF(OR(AG1447="Crítico",AG1447="Alto"),"Mitigar",IF(AG1447="Medio","Mitigar","Aceptar y monitorear")))</f>
        <v/>
      </c>
      <c r="AI1447" s="21" t="n"/>
      <c r="AJ1447" s="21" t="n"/>
      <c r="AK1447" s="20" t="n"/>
      <c r="AL1447" s="77">
        <f>IFERROR(INDEX(MgAmenEfic,MATCH(SUBSTITUTE($H1447,"*","-"),MgAmenClave,0)),0)</f>
        <v/>
      </c>
    </row>
    <row r="1448" hidden="1" ht="60" customHeight="1" s="54">
      <c r="B1448" s="59" t="inlineStr">
        <is>
          <t>R-1443</t>
        </is>
      </c>
      <c r="C1448" s="59" t="inlineStr">
        <is>
          <t>GH-043</t>
        </is>
      </c>
      <c r="D1448" s="64">
        <f>IFERROR(INDEX(MgNombre,MATCH($C1448,MgActId,0)),"")</f>
        <v/>
      </c>
      <c r="E1448" s="64">
        <f>IFERROR(INDEX(MgProceso,MATCH($C1448,MgActId,0)),"")</f>
        <v/>
      </c>
      <c r="F1448" s="64">
        <f>IFERROR(INDEX(MgTipo,MATCH($C1448,MgActId,0)),"")</f>
        <v/>
      </c>
      <c r="G1448" s="64">
        <f>IFERROR(INDEX(MgSubtipo,MATCH($C1448,MgActId,0)),"")</f>
        <v/>
      </c>
      <c r="H1448" s="59" t="inlineStr">
        <is>
          <t>A.4</t>
        </is>
      </c>
      <c r="I1448" s="64">
        <f>IFERROR(INDEX(MgAmenNombre,MATCH(SUBSTITUTE($H1448,"*","-"),MgAmenClave,0)),"")</f>
        <v/>
      </c>
      <c r="J1448" s="28">
        <f>IFERROR(INDEX(MgAmenGrupo,MATCH(SUBSTITUTE($H1448,"*","-"),MgAmenClave,0)),"")</f>
        <v/>
      </c>
      <c r="K1448" s="64">
        <f>IFERROR(INDEX('1. Matriz de Activos'!$Q$6:$Q$239,MATCH($C1448,MgActId,0)),"")</f>
        <v/>
      </c>
      <c r="L1448" s="64">
        <f>IFERROR(INDEX('1. Matriz de Activos'!$R$6:$R$239,MATCH($C1448,MgActId,0)),"")</f>
        <v/>
      </c>
      <c r="M1448" s="64">
        <f>IFERROR(INDEX('1. Matriz de Activos'!$S$6:$S$239,MATCH($C1448,MgActId,0)),"")</f>
        <v/>
      </c>
      <c r="N1448" s="28">
        <f>IFERROR(INDEX(MgAmenDegD,MATCH(SUBSTITUTE($H1448,"*","-"),MgAmenClave,0)),"No aplica")</f>
        <v/>
      </c>
      <c r="O1448" s="28">
        <f>IFERROR(INDEX(MgAmenDegI,MATCH(SUBSTITUTE($H1448,"*","-"),MgAmenClave,0)),"No aplica")</f>
        <v/>
      </c>
      <c r="P1448" s="28">
        <f>IFERROR(INDEX(MgAmenDegC,MATCH(SUBSTITUTE($H1448,"*","-"),MgAmenClave,0)),"No aplica")</f>
        <v/>
      </c>
      <c r="Q1448" s="29">
        <f>IFERROR(VLOOKUP(K1448,MgValor,2,0)*VLOOKUP(N1448,MgDeg,2,0),0)</f>
        <v/>
      </c>
      <c r="R1448" s="29">
        <f>IFERROR(VLOOKUP(L1448,MgValor,2,0)*VLOOKUP(O1448,MgDeg,2,0),0)</f>
        <v/>
      </c>
      <c r="S1448" s="29">
        <f>IFERROR(VLOOKUP(M1448,MgValor,2,0)*VLOOKUP(P1448,MgDeg,2,0),0)</f>
        <v/>
      </c>
      <c r="T1448" s="30">
        <f>MAX(Q1448:S1448)</f>
        <v/>
      </c>
      <c r="U1448" s="28">
        <f>IFERROR(LOOKUP(T1448,{0;0.5;1.5;3;4.5},{"Despreciable";"Bajo";"Medio";"Alto";"Muy alto"}),"")</f>
        <v/>
      </c>
      <c r="V1448" s="13">
        <f>IFERROR(INDEX(MgAmenFrec,MATCH(SUBSTITUTE($H1448,"*","-"),MgAmenClave,0)),"")</f>
        <v/>
      </c>
      <c r="W1448" s="28">
        <f>IFERROR(LOOKUP(X1448,{0;0.01;0.1;1;10;100},{"Muy baja";"Muy baja";"Baja";"Media";"Alta";"Muy alta"}),"")</f>
        <v/>
      </c>
      <c r="X1448" s="31">
        <f>IFERROR(VLOOKUP(V1448,MgFrec,2,0),0)</f>
        <v/>
      </c>
      <c r="Y1448" s="30">
        <f>T1448*X1448</f>
        <v/>
      </c>
      <c r="Z1448" s="28">
        <f>IFERROR(LOOKUP(Y1448,{0;0.5;5;25},{"Bajo";"Medio";"Alto";"Crítico"}),"")</f>
        <v/>
      </c>
      <c r="AA1448" s="64">
        <f>IF(T1448&gt;=3,IF(X1448&gt;=1,"Zona 1 — Crítica: impacto alto y ocurre al menos una vez al año","Zona 4 — Catastrófica poco probable: impacto alto pero excepcional"),IF(AND(T1448&lt;1.5,X1448&lt;1),"Zona 3 — Asumible: impacto bajo y muy poco frecuente","Zona 2 — Atención: riesgo intermedio"))</f>
        <v/>
      </c>
      <c r="AB1448" s="64">
        <f>IFERROR(INDEX(MgAmenCtrl,MATCH(SUBSTITUTE($H1448,"*","-"),MgAmenClave,0)),"")</f>
        <v/>
      </c>
      <c r="AC1448" s="20" t="n"/>
      <c r="AD1448" s="31">
        <f>IFERROR($X1448*(1-IF($AC1448="",$AL1448,VLOOKUP($AC1448,MgMad,2,0))),"")</f>
        <v/>
      </c>
      <c r="AE1448" s="28">
        <f>IFERROR(LOOKUP(AD1448,{0;0.01;0.1;1;10;100},{"Muy baja";"Muy baja";"Baja";"Media";"Alta";"Muy alta"}),"")</f>
        <v/>
      </c>
      <c r="AF1448" s="30">
        <f>T1448*AD1448</f>
        <v/>
      </c>
      <c r="AG1448" s="28">
        <f>IFERROR(LOOKUP(AF1448,{0;0.5;5;25},{"Bajo";"Medio";"Alto";"Crítico"}),"")</f>
        <v/>
      </c>
      <c r="AH1448" s="28">
        <f>IF(AG1448="","",IF(OR(AG1448="Crítico",AG1448="Alto"),"Mitigar",IF(AG1448="Medio","Mitigar","Aceptar y monitorear")))</f>
        <v/>
      </c>
      <c r="AI1448" s="21" t="n"/>
      <c r="AJ1448" s="21" t="n"/>
      <c r="AK1448" s="20" t="n"/>
      <c r="AL1448" s="77">
        <f>IFERROR(INDEX(MgAmenEfic,MATCH(SUBSTITUTE($H1448,"*","-"),MgAmenClave,0)),0)</f>
        <v/>
      </c>
    </row>
    <row r="1449" hidden="1" ht="75" customHeight="1" s="54">
      <c r="B1449" s="59" t="inlineStr">
        <is>
          <t>R-1444</t>
        </is>
      </c>
      <c r="C1449" s="59" t="inlineStr">
        <is>
          <t>GH-043</t>
        </is>
      </c>
      <c r="D1449" s="64">
        <f>IFERROR(INDEX(MgNombre,MATCH($C1449,MgActId,0)),"")</f>
        <v/>
      </c>
      <c r="E1449" s="64">
        <f>IFERROR(INDEX(MgProceso,MATCH($C1449,MgActId,0)),"")</f>
        <v/>
      </c>
      <c r="F1449" s="64">
        <f>IFERROR(INDEX(MgTipo,MATCH($C1449,MgActId,0)),"")</f>
        <v/>
      </c>
      <c r="G1449" s="64">
        <f>IFERROR(INDEX(MgSubtipo,MATCH($C1449,MgActId,0)),"")</f>
        <v/>
      </c>
      <c r="H1449" s="59" t="inlineStr">
        <is>
          <t>A.5</t>
        </is>
      </c>
      <c r="I1449" s="64">
        <f>IFERROR(INDEX(MgAmenNombre,MATCH(SUBSTITUTE($H1449,"*","-"),MgAmenClave,0)),"")</f>
        <v/>
      </c>
      <c r="J1449" s="28">
        <f>IFERROR(INDEX(MgAmenGrupo,MATCH(SUBSTITUTE($H1449,"*","-"),MgAmenClave,0)),"")</f>
        <v/>
      </c>
      <c r="K1449" s="64">
        <f>IFERROR(INDEX('1. Matriz de Activos'!$Q$6:$Q$239,MATCH($C1449,MgActId,0)),"")</f>
        <v/>
      </c>
      <c r="L1449" s="64">
        <f>IFERROR(INDEX('1. Matriz de Activos'!$R$6:$R$239,MATCH($C1449,MgActId,0)),"")</f>
        <v/>
      </c>
      <c r="M1449" s="64">
        <f>IFERROR(INDEX('1. Matriz de Activos'!$S$6:$S$239,MATCH($C1449,MgActId,0)),"")</f>
        <v/>
      </c>
      <c r="N1449" s="28">
        <f>IFERROR(INDEX(MgAmenDegD,MATCH(SUBSTITUTE($H1449,"*","-"),MgAmenClave,0)),"No aplica")</f>
        <v/>
      </c>
      <c r="O1449" s="28">
        <f>IFERROR(INDEX(MgAmenDegI,MATCH(SUBSTITUTE($H1449,"*","-"),MgAmenClave,0)),"No aplica")</f>
        <v/>
      </c>
      <c r="P1449" s="28">
        <f>IFERROR(INDEX(MgAmenDegC,MATCH(SUBSTITUTE($H1449,"*","-"),MgAmenClave,0)),"No aplica")</f>
        <v/>
      </c>
      <c r="Q1449" s="29">
        <f>IFERROR(VLOOKUP(K1449,MgValor,2,0)*VLOOKUP(N1449,MgDeg,2,0),0)</f>
        <v/>
      </c>
      <c r="R1449" s="29">
        <f>IFERROR(VLOOKUP(L1449,MgValor,2,0)*VLOOKUP(O1449,MgDeg,2,0),0)</f>
        <v/>
      </c>
      <c r="S1449" s="29">
        <f>IFERROR(VLOOKUP(M1449,MgValor,2,0)*VLOOKUP(P1449,MgDeg,2,0),0)</f>
        <v/>
      </c>
      <c r="T1449" s="30">
        <f>MAX(Q1449:S1449)</f>
        <v/>
      </c>
      <c r="U1449" s="28">
        <f>IFERROR(LOOKUP(T1449,{0;0.5;1.5;3;4.5},{"Despreciable";"Bajo";"Medio";"Alto";"Muy alto"}),"")</f>
        <v/>
      </c>
      <c r="V1449" s="13">
        <f>IFERROR(INDEX(MgAmenFrec,MATCH(SUBSTITUTE($H1449,"*","-"),MgAmenClave,0)),"")</f>
        <v/>
      </c>
      <c r="W1449" s="28">
        <f>IFERROR(LOOKUP(X1449,{0;0.01;0.1;1;10;100},{"Muy baja";"Muy baja";"Baja";"Media";"Alta";"Muy alta"}),"")</f>
        <v/>
      </c>
      <c r="X1449" s="31">
        <f>IFERROR(VLOOKUP(V1449,MgFrec,2,0),0)</f>
        <v/>
      </c>
      <c r="Y1449" s="30">
        <f>T1449*X1449</f>
        <v/>
      </c>
      <c r="Z1449" s="28">
        <f>IFERROR(LOOKUP(Y1449,{0;0.5;5;25},{"Bajo";"Medio";"Alto";"Crítico"}),"")</f>
        <v/>
      </c>
      <c r="AA1449" s="64">
        <f>IF(T1449&gt;=3,IF(X1449&gt;=1,"Zona 1 — Crítica: impacto alto y ocurre al menos una vez al año","Zona 4 — Catastrófica poco probable: impacto alto pero excepcional"),IF(AND(T1449&lt;1.5,X1449&lt;1),"Zona 3 — Asumible: impacto bajo y muy poco frecuente","Zona 2 — Atención: riesgo intermedio"))</f>
        <v/>
      </c>
      <c r="AB1449" s="64">
        <f>IFERROR(INDEX(MgAmenCtrl,MATCH(SUBSTITUTE($H1449,"*","-"),MgAmenClave,0)),"")</f>
        <v/>
      </c>
      <c r="AC1449" s="20" t="n"/>
      <c r="AD1449" s="31">
        <f>IFERROR($X1449*(1-IF($AC1449="",$AL1449,VLOOKUP($AC1449,MgMad,2,0))),"")</f>
        <v/>
      </c>
      <c r="AE1449" s="28">
        <f>IFERROR(LOOKUP(AD1449,{0;0.01;0.1;1;10;100},{"Muy baja";"Muy baja";"Baja";"Media";"Alta";"Muy alta"}),"")</f>
        <v/>
      </c>
      <c r="AF1449" s="30">
        <f>T1449*AD1449</f>
        <v/>
      </c>
      <c r="AG1449" s="28">
        <f>IFERROR(LOOKUP(AF1449,{0;0.5;5;25},{"Bajo";"Medio";"Alto";"Crítico"}),"")</f>
        <v/>
      </c>
      <c r="AH1449" s="28">
        <f>IF(AG1449="","",IF(OR(AG1449="Crítico",AG1449="Alto"),"Mitigar",IF(AG1449="Medio","Mitigar","Aceptar y monitorear")))</f>
        <v/>
      </c>
      <c r="AI1449" s="21" t="n"/>
      <c r="AJ1449" s="21" t="n"/>
      <c r="AK1449" s="20" t="n"/>
      <c r="AL1449" s="77">
        <f>IFERROR(INDEX(MgAmenEfic,MATCH(SUBSTITUTE($H1449,"*","-"),MgAmenClave,0)),0)</f>
        <v/>
      </c>
    </row>
    <row r="1450" hidden="1" ht="105" customHeight="1" s="54">
      <c r="B1450" s="59" t="inlineStr">
        <is>
          <t>R-1445</t>
        </is>
      </c>
      <c r="C1450" s="59" t="inlineStr">
        <is>
          <t>GH-043</t>
        </is>
      </c>
      <c r="D1450" s="64">
        <f>IFERROR(INDEX(MgNombre,MATCH($C1450,MgActId,0)),"")</f>
        <v/>
      </c>
      <c r="E1450" s="64">
        <f>IFERROR(INDEX(MgProceso,MATCH($C1450,MgActId,0)),"")</f>
        <v/>
      </c>
      <c r="F1450" s="64">
        <f>IFERROR(INDEX(MgTipo,MATCH($C1450,MgActId,0)),"")</f>
        <v/>
      </c>
      <c r="G1450" s="64">
        <f>IFERROR(INDEX(MgSubtipo,MATCH($C1450,MgActId,0)),"")</f>
        <v/>
      </c>
      <c r="H1450" s="59" t="inlineStr">
        <is>
          <t>A.6</t>
        </is>
      </c>
      <c r="I1450" s="64">
        <f>IFERROR(INDEX(MgAmenNombre,MATCH(SUBSTITUTE($H1450,"*","-"),MgAmenClave,0)),"")</f>
        <v/>
      </c>
      <c r="J1450" s="28">
        <f>IFERROR(INDEX(MgAmenGrupo,MATCH(SUBSTITUTE($H1450,"*","-"),MgAmenClave,0)),"")</f>
        <v/>
      </c>
      <c r="K1450" s="64">
        <f>IFERROR(INDEX('1. Matriz de Activos'!$Q$6:$Q$239,MATCH($C1450,MgActId,0)),"")</f>
        <v/>
      </c>
      <c r="L1450" s="64">
        <f>IFERROR(INDEX('1. Matriz de Activos'!$R$6:$R$239,MATCH($C1450,MgActId,0)),"")</f>
        <v/>
      </c>
      <c r="M1450" s="64">
        <f>IFERROR(INDEX('1. Matriz de Activos'!$S$6:$S$239,MATCH($C1450,MgActId,0)),"")</f>
        <v/>
      </c>
      <c r="N1450" s="28">
        <f>IFERROR(INDEX(MgAmenDegD,MATCH(SUBSTITUTE($H1450,"*","-"),MgAmenClave,0)),"No aplica")</f>
        <v/>
      </c>
      <c r="O1450" s="28">
        <f>IFERROR(INDEX(MgAmenDegI,MATCH(SUBSTITUTE($H1450,"*","-"),MgAmenClave,0)),"No aplica")</f>
        <v/>
      </c>
      <c r="P1450" s="28">
        <f>IFERROR(INDEX(MgAmenDegC,MATCH(SUBSTITUTE($H1450,"*","-"),MgAmenClave,0)),"No aplica")</f>
        <v/>
      </c>
      <c r="Q1450" s="29">
        <f>IFERROR(VLOOKUP(K1450,MgValor,2,0)*VLOOKUP(N1450,MgDeg,2,0),0)</f>
        <v/>
      </c>
      <c r="R1450" s="29">
        <f>IFERROR(VLOOKUP(L1450,MgValor,2,0)*VLOOKUP(O1450,MgDeg,2,0),0)</f>
        <v/>
      </c>
      <c r="S1450" s="29">
        <f>IFERROR(VLOOKUP(M1450,MgValor,2,0)*VLOOKUP(P1450,MgDeg,2,0),0)</f>
        <v/>
      </c>
      <c r="T1450" s="30">
        <f>MAX(Q1450:S1450)</f>
        <v/>
      </c>
      <c r="U1450" s="28">
        <f>IFERROR(LOOKUP(T1450,{0;0.5;1.5;3;4.5},{"Despreciable";"Bajo";"Medio";"Alto";"Muy alto"}),"")</f>
        <v/>
      </c>
      <c r="V1450" s="13">
        <f>IFERROR(INDEX(MgAmenFrec,MATCH(SUBSTITUTE($H1450,"*","-"),MgAmenClave,0)),"")</f>
        <v/>
      </c>
      <c r="W1450" s="28">
        <f>IFERROR(LOOKUP(X1450,{0;0.01;0.1;1;10;100},{"Muy baja";"Muy baja";"Baja";"Media";"Alta";"Muy alta"}),"")</f>
        <v/>
      </c>
      <c r="X1450" s="31">
        <f>IFERROR(VLOOKUP(V1450,MgFrec,2,0),0)</f>
        <v/>
      </c>
      <c r="Y1450" s="30">
        <f>T1450*X1450</f>
        <v/>
      </c>
      <c r="Z1450" s="28">
        <f>IFERROR(LOOKUP(Y1450,{0;0.5;5;25},{"Bajo";"Medio";"Alto";"Crítico"}),"")</f>
        <v/>
      </c>
      <c r="AA1450" s="64">
        <f>IF(T1450&gt;=3,IF(X1450&gt;=1,"Zona 1 — Crítica: impacto alto y ocurre al menos una vez al año","Zona 4 — Catastrófica poco probable: impacto alto pero excepcional"),IF(AND(T1450&lt;1.5,X1450&lt;1),"Zona 3 — Asumible: impacto bajo y muy poco frecuente","Zona 2 — Atención: riesgo intermedio"))</f>
        <v/>
      </c>
      <c r="AB1450" s="64">
        <f>IFERROR(INDEX(MgAmenCtrl,MATCH(SUBSTITUTE($H1450,"*","-"),MgAmenClave,0)),"")</f>
        <v/>
      </c>
      <c r="AC1450" s="20" t="n"/>
      <c r="AD1450" s="31">
        <f>IFERROR($X1450*(1-IF($AC1450="",$AL1450,VLOOKUP($AC1450,MgMad,2,0))),"")</f>
        <v/>
      </c>
      <c r="AE1450" s="28">
        <f>IFERROR(LOOKUP(AD1450,{0;0.01;0.1;1;10;100},{"Muy baja";"Muy baja";"Baja";"Media";"Alta";"Muy alta"}),"")</f>
        <v/>
      </c>
      <c r="AF1450" s="30">
        <f>T1450*AD1450</f>
        <v/>
      </c>
      <c r="AG1450" s="28">
        <f>IFERROR(LOOKUP(AF1450,{0;0.5;5;25},{"Bajo";"Medio";"Alto";"Crítico"}),"")</f>
        <v/>
      </c>
      <c r="AH1450" s="28">
        <f>IF(AG1450="","",IF(OR(AG1450="Crítico",AG1450="Alto"),"Mitigar",IF(AG1450="Medio","Mitigar","Aceptar y monitorear")))</f>
        <v/>
      </c>
      <c r="AI1450" s="21" t="n"/>
      <c r="AJ1450" s="21" t="n"/>
      <c r="AK1450" s="20" t="n"/>
      <c r="AL1450" s="77">
        <f>IFERROR(INDEX(MgAmenEfic,MATCH(SUBSTITUTE($H1450,"*","-"),MgAmenClave,0)),0)</f>
        <v/>
      </c>
    </row>
    <row r="1451" hidden="1" ht="120" customHeight="1" s="54">
      <c r="B1451" s="59" t="inlineStr">
        <is>
          <t>R-1446</t>
        </is>
      </c>
      <c r="C1451" s="59" t="inlineStr">
        <is>
          <t>GH-043</t>
        </is>
      </c>
      <c r="D1451" s="64">
        <f>IFERROR(INDEX(MgNombre,MATCH($C1451,MgActId,0)),"")</f>
        <v/>
      </c>
      <c r="E1451" s="64">
        <f>IFERROR(INDEX(MgProceso,MATCH($C1451,MgActId,0)),"")</f>
        <v/>
      </c>
      <c r="F1451" s="64">
        <f>IFERROR(INDEX(MgTipo,MATCH($C1451,MgActId,0)),"")</f>
        <v/>
      </c>
      <c r="G1451" s="64">
        <f>IFERROR(INDEX(MgSubtipo,MATCH($C1451,MgActId,0)),"")</f>
        <v/>
      </c>
      <c r="H1451" s="59" t="inlineStr">
        <is>
          <t>A.11</t>
        </is>
      </c>
      <c r="I1451" s="64">
        <f>IFERROR(INDEX(MgAmenNombre,MATCH(SUBSTITUTE($H1451,"*","-"),MgAmenClave,0)),"")</f>
        <v/>
      </c>
      <c r="J1451" s="28">
        <f>IFERROR(INDEX(MgAmenGrupo,MATCH(SUBSTITUTE($H1451,"*","-"),MgAmenClave,0)),"")</f>
        <v/>
      </c>
      <c r="K1451" s="64">
        <f>IFERROR(INDEX('1. Matriz de Activos'!$Q$6:$Q$239,MATCH($C1451,MgActId,0)),"")</f>
        <v/>
      </c>
      <c r="L1451" s="64">
        <f>IFERROR(INDEX('1. Matriz de Activos'!$R$6:$R$239,MATCH($C1451,MgActId,0)),"")</f>
        <v/>
      </c>
      <c r="M1451" s="64">
        <f>IFERROR(INDEX('1. Matriz de Activos'!$S$6:$S$239,MATCH($C1451,MgActId,0)),"")</f>
        <v/>
      </c>
      <c r="N1451" s="28">
        <f>IFERROR(INDEX(MgAmenDegD,MATCH(SUBSTITUTE($H1451,"*","-"),MgAmenClave,0)),"No aplica")</f>
        <v/>
      </c>
      <c r="O1451" s="28">
        <f>IFERROR(INDEX(MgAmenDegI,MATCH(SUBSTITUTE($H1451,"*","-"),MgAmenClave,0)),"No aplica")</f>
        <v/>
      </c>
      <c r="P1451" s="28">
        <f>IFERROR(INDEX(MgAmenDegC,MATCH(SUBSTITUTE($H1451,"*","-"),MgAmenClave,0)),"No aplica")</f>
        <v/>
      </c>
      <c r="Q1451" s="29">
        <f>IFERROR(VLOOKUP(K1451,MgValor,2,0)*VLOOKUP(N1451,MgDeg,2,0),0)</f>
        <v/>
      </c>
      <c r="R1451" s="29">
        <f>IFERROR(VLOOKUP(L1451,MgValor,2,0)*VLOOKUP(O1451,MgDeg,2,0),0)</f>
        <v/>
      </c>
      <c r="S1451" s="29">
        <f>IFERROR(VLOOKUP(M1451,MgValor,2,0)*VLOOKUP(P1451,MgDeg,2,0),0)</f>
        <v/>
      </c>
      <c r="T1451" s="30">
        <f>MAX(Q1451:S1451)</f>
        <v/>
      </c>
      <c r="U1451" s="28">
        <f>IFERROR(LOOKUP(T1451,{0;0.5;1.5;3;4.5},{"Despreciable";"Bajo";"Medio";"Alto";"Muy alto"}),"")</f>
        <v/>
      </c>
      <c r="V1451" s="13">
        <f>IFERROR(INDEX(MgAmenFrec,MATCH(SUBSTITUTE($H1451,"*","-"),MgAmenClave,0)),"")</f>
        <v/>
      </c>
      <c r="W1451" s="28">
        <f>IFERROR(LOOKUP(X1451,{0;0.01;0.1;1;10;100},{"Muy baja";"Muy baja";"Baja";"Media";"Alta";"Muy alta"}),"")</f>
        <v/>
      </c>
      <c r="X1451" s="31">
        <f>IFERROR(VLOOKUP(V1451,MgFrec,2,0),0)</f>
        <v/>
      </c>
      <c r="Y1451" s="30">
        <f>T1451*X1451</f>
        <v/>
      </c>
      <c r="Z1451" s="28">
        <f>IFERROR(LOOKUP(Y1451,{0;0.5;5;25},{"Bajo";"Medio";"Alto";"Crítico"}),"")</f>
        <v/>
      </c>
      <c r="AA1451" s="64">
        <f>IF(T1451&gt;=3,IF(X1451&gt;=1,"Zona 1 — Crítica: impacto alto y ocurre al menos una vez al año","Zona 4 — Catastrófica poco probable: impacto alto pero excepcional"),IF(AND(T1451&lt;1.5,X1451&lt;1),"Zona 3 — Asumible: impacto bajo y muy poco frecuente","Zona 2 — Atención: riesgo intermedio"))</f>
        <v/>
      </c>
      <c r="AB1451" s="64">
        <f>IFERROR(INDEX(MgAmenCtrl,MATCH(SUBSTITUTE($H1451,"*","-"),MgAmenClave,0)),"")</f>
        <v/>
      </c>
      <c r="AC1451" s="20" t="n"/>
      <c r="AD1451" s="31">
        <f>IFERROR($X1451*(1-IF($AC1451="",$AL1451,VLOOKUP($AC1451,MgMad,2,0))),"")</f>
        <v/>
      </c>
      <c r="AE1451" s="28">
        <f>IFERROR(LOOKUP(AD1451,{0;0.01;0.1;1;10;100},{"Muy baja";"Muy baja";"Baja";"Media";"Alta";"Muy alta"}),"")</f>
        <v/>
      </c>
      <c r="AF1451" s="30">
        <f>T1451*AD1451</f>
        <v/>
      </c>
      <c r="AG1451" s="28">
        <f>IFERROR(LOOKUP(AF1451,{0;0.5;5;25},{"Bajo";"Medio";"Alto";"Crítico"}),"")</f>
        <v/>
      </c>
      <c r="AH1451" s="28">
        <f>IF(AG1451="","",IF(OR(AG1451="Crítico",AG1451="Alto"),"Mitigar",IF(AG1451="Medio","Mitigar","Aceptar y monitorear")))</f>
        <v/>
      </c>
      <c r="AI1451" s="21" t="n"/>
      <c r="AJ1451" s="21" t="n"/>
      <c r="AK1451" s="20" t="n"/>
      <c r="AL1451" s="77">
        <f>IFERROR(INDEX(MgAmenEfic,MATCH(SUBSTITUTE($H1451,"*","-"),MgAmenClave,0)),0)</f>
        <v/>
      </c>
    </row>
    <row r="1452" hidden="1" ht="90" customHeight="1" s="54">
      <c r="B1452" s="59" t="inlineStr">
        <is>
          <t>R-1447</t>
        </is>
      </c>
      <c r="C1452" s="59" t="inlineStr">
        <is>
          <t>GH-043</t>
        </is>
      </c>
      <c r="D1452" s="64">
        <f>IFERROR(INDEX(MgNombre,MATCH($C1452,MgActId,0)),"")</f>
        <v/>
      </c>
      <c r="E1452" s="64">
        <f>IFERROR(INDEX(MgProceso,MATCH($C1452,MgActId,0)),"")</f>
        <v/>
      </c>
      <c r="F1452" s="64">
        <f>IFERROR(INDEX(MgTipo,MATCH($C1452,MgActId,0)),"")</f>
        <v/>
      </c>
      <c r="G1452" s="64">
        <f>IFERROR(INDEX(MgSubtipo,MATCH($C1452,MgActId,0)),"")</f>
        <v/>
      </c>
      <c r="H1452" s="59" t="inlineStr">
        <is>
          <t>A.13</t>
        </is>
      </c>
      <c r="I1452" s="64">
        <f>IFERROR(INDEX(MgAmenNombre,MATCH(SUBSTITUTE($H1452,"*","-"),MgAmenClave,0)),"")</f>
        <v/>
      </c>
      <c r="J1452" s="28">
        <f>IFERROR(INDEX(MgAmenGrupo,MATCH(SUBSTITUTE($H1452,"*","-"),MgAmenClave,0)),"")</f>
        <v/>
      </c>
      <c r="K1452" s="64">
        <f>IFERROR(INDEX('1. Matriz de Activos'!$Q$6:$Q$239,MATCH($C1452,MgActId,0)),"")</f>
        <v/>
      </c>
      <c r="L1452" s="64">
        <f>IFERROR(INDEX('1. Matriz de Activos'!$R$6:$R$239,MATCH($C1452,MgActId,0)),"")</f>
        <v/>
      </c>
      <c r="M1452" s="64">
        <f>IFERROR(INDEX('1. Matriz de Activos'!$S$6:$S$239,MATCH($C1452,MgActId,0)),"")</f>
        <v/>
      </c>
      <c r="N1452" s="28">
        <f>IFERROR(INDEX(MgAmenDegD,MATCH(SUBSTITUTE($H1452,"*","-"),MgAmenClave,0)),"No aplica")</f>
        <v/>
      </c>
      <c r="O1452" s="28">
        <f>IFERROR(INDEX(MgAmenDegI,MATCH(SUBSTITUTE($H1452,"*","-"),MgAmenClave,0)),"No aplica")</f>
        <v/>
      </c>
      <c r="P1452" s="28">
        <f>IFERROR(INDEX(MgAmenDegC,MATCH(SUBSTITUTE($H1452,"*","-"),MgAmenClave,0)),"No aplica")</f>
        <v/>
      </c>
      <c r="Q1452" s="29">
        <f>IFERROR(VLOOKUP(K1452,MgValor,2,0)*VLOOKUP(N1452,MgDeg,2,0),0)</f>
        <v/>
      </c>
      <c r="R1452" s="29">
        <f>IFERROR(VLOOKUP(L1452,MgValor,2,0)*VLOOKUP(O1452,MgDeg,2,0),0)</f>
        <v/>
      </c>
      <c r="S1452" s="29">
        <f>IFERROR(VLOOKUP(M1452,MgValor,2,0)*VLOOKUP(P1452,MgDeg,2,0),0)</f>
        <v/>
      </c>
      <c r="T1452" s="30">
        <f>MAX(Q1452:S1452)</f>
        <v/>
      </c>
      <c r="U1452" s="28">
        <f>IFERROR(LOOKUP(T1452,{0;0.5;1.5;3;4.5},{"Despreciable";"Bajo";"Medio";"Alto";"Muy alto"}),"")</f>
        <v/>
      </c>
      <c r="V1452" s="13">
        <f>IFERROR(INDEX(MgAmenFrec,MATCH(SUBSTITUTE($H1452,"*","-"),MgAmenClave,0)),"")</f>
        <v/>
      </c>
      <c r="W1452" s="28">
        <f>IFERROR(LOOKUP(X1452,{0;0.01;0.1;1;10;100},{"Muy baja";"Muy baja";"Baja";"Media";"Alta";"Muy alta"}),"")</f>
        <v/>
      </c>
      <c r="X1452" s="31">
        <f>IFERROR(VLOOKUP(V1452,MgFrec,2,0),0)</f>
        <v/>
      </c>
      <c r="Y1452" s="30">
        <f>T1452*X1452</f>
        <v/>
      </c>
      <c r="Z1452" s="28">
        <f>IFERROR(LOOKUP(Y1452,{0;0.5;5;25},{"Bajo";"Medio";"Alto";"Crítico"}),"")</f>
        <v/>
      </c>
      <c r="AA1452" s="64">
        <f>IF(T1452&gt;=3,IF(X1452&gt;=1,"Zona 1 — Crítica: impacto alto y ocurre al menos una vez al año","Zona 4 — Catastrófica poco probable: impacto alto pero excepcional"),IF(AND(T1452&lt;1.5,X1452&lt;1),"Zona 3 — Asumible: impacto bajo y muy poco frecuente","Zona 2 — Atención: riesgo intermedio"))</f>
        <v/>
      </c>
      <c r="AB1452" s="64">
        <f>IFERROR(INDEX(MgAmenCtrl,MATCH(SUBSTITUTE($H1452,"*","-"),MgAmenClave,0)),"")</f>
        <v/>
      </c>
      <c r="AC1452" s="20" t="n"/>
      <c r="AD1452" s="31">
        <f>IFERROR($X1452*(1-IF($AC1452="",$AL1452,VLOOKUP($AC1452,MgMad,2,0))),"")</f>
        <v/>
      </c>
      <c r="AE1452" s="28">
        <f>IFERROR(LOOKUP(AD1452,{0;0.01;0.1;1;10;100},{"Muy baja";"Muy baja";"Baja";"Media";"Alta";"Muy alta"}),"")</f>
        <v/>
      </c>
      <c r="AF1452" s="30">
        <f>T1452*AD1452</f>
        <v/>
      </c>
      <c r="AG1452" s="28">
        <f>IFERROR(LOOKUP(AF1452,{0;0.5;5;25},{"Bajo";"Medio";"Alto";"Crítico"}),"")</f>
        <v/>
      </c>
      <c r="AH1452" s="28">
        <f>IF(AG1452="","",IF(OR(AG1452="Crítico",AG1452="Alto"),"Mitigar",IF(AG1452="Medio","Mitigar","Aceptar y monitorear")))</f>
        <v/>
      </c>
      <c r="AI1452" s="21" t="n"/>
      <c r="AJ1452" s="21" t="n"/>
      <c r="AK1452" s="20" t="n"/>
      <c r="AL1452" s="77">
        <f>IFERROR(INDEX(MgAmenEfic,MATCH(SUBSTITUTE($H1452,"*","-"),MgAmenClave,0)),0)</f>
        <v/>
      </c>
    </row>
    <row r="1453" hidden="1" ht="60" customHeight="1" s="54">
      <c r="B1453" s="59" t="inlineStr">
        <is>
          <t>R-1448</t>
        </is>
      </c>
      <c r="C1453" s="59" t="inlineStr">
        <is>
          <t>GH-043</t>
        </is>
      </c>
      <c r="D1453" s="64">
        <f>IFERROR(INDEX(MgNombre,MATCH($C1453,MgActId,0)),"")</f>
        <v/>
      </c>
      <c r="E1453" s="64">
        <f>IFERROR(INDEX(MgProceso,MATCH($C1453,MgActId,0)),"")</f>
        <v/>
      </c>
      <c r="F1453" s="64">
        <f>IFERROR(INDEX(MgTipo,MATCH($C1453,MgActId,0)),"")</f>
        <v/>
      </c>
      <c r="G1453" s="64">
        <f>IFERROR(INDEX(MgSubtipo,MATCH($C1453,MgActId,0)),"")</f>
        <v/>
      </c>
      <c r="H1453" s="59" t="inlineStr">
        <is>
          <t>A.15</t>
        </is>
      </c>
      <c r="I1453" s="64">
        <f>IFERROR(INDEX(MgAmenNombre,MATCH(SUBSTITUTE($H1453,"*","-"),MgAmenClave,0)),"")</f>
        <v/>
      </c>
      <c r="J1453" s="28">
        <f>IFERROR(INDEX(MgAmenGrupo,MATCH(SUBSTITUTE($H1453,"*","-"),MgAmenClave,0)),"")</f>
        <v/>
      </c>
      <c r="K1453" s="64">
        <f>IFERROR(INDEX('1. Matriz de Activos'!$Q$6:$Q$239,MATCH($C1453,MgActId,0)),"")</f>
        <v/>
      </c>
      <c r="L1453" s="64">
        <f>IFERROR(INDEX('1. Matriz de Activos'!$R$6:$R$239,MATCH($C1453,MgActId,0)),"")</f>
        <v/>
      </c>
      <c r="M1453" s="64">
        <f>IFERROR(INDEX('1. Matriz de Activos'!$S$6:$S$239,MATCH($C1453,MgActId,0)),"")</f>
        <v/>
      </c>
      <c r="N1453" s="28">
        <f>IFERROR(INDEX(MgAmenDegD,MATCH(SUBSTITUTE($H1453,"*","-"),MgAmenClave,0)),"No aplica")</f>
        <v/>
      </c>
      <c r="O1453" s="28">
        <f>IFERROR(INDEX(MgAmenDegI,MATCH(SUBSTITUTE($H1453,"*","-"),MgAmenClave,0)),"No aplica")</f>
        <v/>
      </c>
      <c r="P1453" s="28">
        <f>IFERROR(INDEX(MgAmenDegC,MATCH(SUBSTITUTE($H1453,"*","-"),MgAmenClave,0)),"No aplica")</f>
        <v/>
      </c>
      <c r="Q1453" s="29">
        <f>IFERROR(VLOOKUP(K1453,MgValor,2,0)*VLOOKUP(N1453,MgDeg,2,0),0)</f>
        <v/>
      </c>
      <c r="R1453" s="29">
        <f>IFERROR(VLOOKUP(L1453,MgValor,2,0)*VLOOKUP(O1453,MgDeg,2,0),0)</f>
        <v/>
      </c>
      <c r="S1453" s="29">
        <f>IFERROR(VLOOKUP(M1453,MgValor,2,0)*VLOOKUP(P1453,MgDeg,2,0),0)</f>
        <v/>
      </c>
      <c r="T1453" s="30">
        <f>MAX(Q1453:S1453)</f>
        <v/>
      </c>
      <c r="U1453" s="28">
        <f>IFERROR(LOOKUP(T1453,{0;0.5;1.5;3;4.5},{"Despreciable";"Bajo";"Medio";"Alto";"Muy alto"}),"")</f>
        <v/>
      </c>
      <c r="V1453" s="13">
        <f>IFERROR(INDEX(MgAmenFrec,MATCH(SUBSTITUTE($H1453,"*","-"),MgAmenClave,0)),"")</f>
        <v/>
      </c>
      <c r="W1453" s="28">
        <f>IFERROR(LOOKUP(X1453,{0;0.01;0.1;1;10;100},{"Muy baja";"Muy baja";"Baja";"Media";"Alta";"Muy alta"}),"")</f>
        <v/>
      </c>
      <c r="X1453" s="31">
        <f>IFERROR(VLOOKUP(V1453,MgFrec,2,0),0)</f>
        <v/>
      </c>
      <c r="Y1453" s="30">
        <f>T1453*X1453</f>
        <v/>
      </c>
      <c r="Z1453" s="28">
        <f>IFERROR(LOOKUP(Y1453,{0;0.5;5;25},{"Bajo";"Medio";"Alto";"Crítico"}),"")</f>
        <v/>
      </c>
      <c r="AA1453" s="64">
        <f>IF(T1453&gt;=3,IF(X1453&gt;=1,"Zona 1 — Crítica: impacto alto y ocurre al menos una vez al año","Zona 4 — Catastrófica poco probable: impacto alto pero excepcional"),IF(AND(T1453&lt;1.5,X1453&lt;1),"Zona 3 — Asumible: impacto bajo y muy poco frecuente","Zona 2 — Atención: riesgo intermedio"))</f>
        <v/>
      </c>
      <c r="AB1453" s="64">
        <f>IFERROR(INDEX(MgAmenCtrl,MATCH(SUBSTITUTE($H1453,"*","-"),MgAmenClave,0)),"")</f>
        <v/>
      </c>
      <c r="AC1453" s="20" t="n"/>
      <c r="AD1453" s="31">
        <f>IFERROR($X1453*(1-IF($AC1453="",$AL1453,VLOOKUP($AC1453,MgMad,2,0))),"")</f>
        <v/>
      </c>
      <c r="AE1453" s="28">
        <f>IFERROR(LOOKUP(AD1453,{0;0.01;0.1;1;10;100},{"Muy baja";"Muy baja";"Baja";"Media";"Alta";"Muy alta"}),"")</f>
        <v/>
      </c>
      <c r="AF1453" s="30">
        <f>T1453*AD1453</f>
        <v/>
      </c>
      <c r="AG1453" s="28">
        <f>IFERROR(LOOKUP(AF1453,{0;0.5;5;25},{"Bajo";"Medio";"Alto";"Crítico"}),"")</f>
        <v/>
      </c>
      <c r="AH1453" s="28">
        <f>IF(AG1453="","",IF(OR(AG1453="Crítico",AG1453="Alto"),"Mitigar",IF(AG1453="Medio","Mitigar","Aceptar y monitorear")))</f>
        <v/>
      </c>
      <c r="AI1453" s="21" t="n"/>
      <c r="AJ1453" s="21" t="n"/>
      <c r="AK1453" s="20" t="n"/>
      <c r="AL1453" s="77">
        <f>IFERROR(INDEX(MgAmenEfic,MATCH(SUBSTITUTE($H1453,"*","-"),MgAmenClave,0)),0)</f>
        <v/>
      </c>
    </row>
    <row r="1454" hidden="1" ht="60" customHeight="1" s="54">
      <c r="B1454" s="59" t="inlineStr">
        <is>
          <t>R-1449</t>
        </is>
      </c>
      <c r="C1454" s="59" t="inlineStr">
        <is>
          <t>GH-043</t>
        </is>
      </c>
      <c r="D1454" s="64">
        <f>IFERROR(INDEX(MgNombre,MATCH($C1454,MgActId,0)),"")</f>
        <v/>
      </c>
      <c r="E1454" s="64">
        <f>IFERROR(INDEX(MgProceso,MATCH($C1454,MgActId,0)),"")</f>
        <v/>
      </c>
      <c r="F1454" s="64">
        <f>IFERROR(INDEX(MgTipo,MATCH($C1454,MgActId,0)),"")</f>
        <v/>
      </c>
      <c r="G1454" s="64">
        <f>IFERROR(INDEX(MgSubtipo,MATCH($C1454,MgActId,0)),"")</f>
        <v/>
      </c>
      <c r="H1454" s="59" t="inlineStr">
        <is>
          <t>A.18</t>
        </is>
      </c>
      <c r="I1454" s="64">
        <f>IFERROR(INDEX(MgAmenNombre,MATCH(SUBSTITUTE($H1454,"*","-"),MgAmenClave,0)),"")</f>
        <v/>
      </c>
      <c r="J1454" s="28">
        <f>IFERROR(INDEX(MgAmenGrupo,MATCH(SUBSTITUTE($H1454,"*","-"),MgAmenClave,0)),"")</f>
        <v/>
      </c>
      <c r="K1454" s="64">
        <f>IFERROR(INDEX('1. Matriz de Activos'!$Q$6:$Q$239,MATCH($C1454,MgActId,0)),"")</f>
        <v/>
      </c>
      <c r="L1454" s="64">
        <f>IFERROR(INDEX('1. Matriz de Activos'!$R$6:$R$239,MATCH($C1454,MgActId,0)),"")</f>
        <v/>
      </c>
      <c r="M1454" s="64">
        <f>IFERROR(INDEX('1. Matriz de Activos'!$S$6:$S$239,MATCH($C1454,MgActId,0)),"")</f>
        <v/>
      </c>
      <c r="N1454" s="28">
        <f>IFERROR(INDEX(MgAmenDegD,MATCH(SUBSTITUTE($H1454,"*","-"),MgAmenClave,0)),"No aplica")</f>
        <v/>
      </c>
      <c r="O1454" s="28">
        <f>IFERROR(INDEX(MgAmenDegI,MATCH(SUBSTITUTE($H1454,"*","-"),MgAmenClave,0)),"No aplica")</f>
        <v/>
      </c>
      <c r="P1454" s="28">
        <f>IFERROR(INDEX(MgAmenDegC,MATCH(SUBSTITUTE($H1454,"*","-"),MgAmenClave,0)),"No aplica")</f>
        <v/>
      </c>
      <c r="Q1454" s="29">
        <f>IFERROR(VLOOKUP(K1454,MgValor,2,0)*VLOOKUP(N1454,MgDeg,2,0),0)</f>
        <v/>
      </c>
      <c r="R1454" s="29">
        <f>IFERROR(VLOOKUP(L1454,MgValor,2,0)*VLOOKUP(O1454,MgDeg,2,0),0)</f>
        <v/>
      </c>
      <c r="S1454" s="29">
        <f>IFERROR(VLOOKUP(M1454,MgValor,2,0)*VLOOKUP(P1454,MgDeg,2,0),0)</f>
        <v/>
      </c>
      <c r="T1454" s="30">
        <f>MAX(Q1454:S1454)</f>
        <v/>
      </c>
      <c r="U1454" s="28">
        <f>IFERROR(LOOKUP(T1454,{0;0.5;1.5;3;4.5},{"Despreciable";"Bajo";"Medio";"Alto";"Muy alto"}),"")</f>
        <v/>
      </c>
      <c r="V1454" s="13">
        <f>IFERROR(INDEX(MgAmenFrec,MATCH(SUBSTITUTE($H1454,"*","-"),MgAmenClave,0)),"")</f>
        <v/>
      </c>
      <c r="W1454" s="28">
        <f>IFERROR(LOOKUP(X1454,{0;0.01;0.1;1;10;100},{"Muy baja";"Muy baja";"Baja";"Media";"Alta";"Muy alta"}),"")</f>
        <v/>
      </c>
      <c r="X1454" s="31">
        <f>IFERROR(VLOOKUP(V1454,MgFrec,2,0),0)</f>
        <v/>
      </c>
      <c r="Y1454" s="30">
        <f>T1454*X1454</f>
        <v/>
      </c>
      <c r="Z1454" s="28">
        <f>IFERROR(LOOKUP(Y1454,{0;0.5;5;25},{"Bajo";"Medio";"Alto";"Crítico"}),"")</f>
        <v/>
      </c>
      <c r="AA1454" s="64">
        <f>IF(T1454&gt;=3,IF(X1454&gt;=1,"Zona 1 — Crítica: impacto alto y ocurre al menos una vez al año","Zona 4 — Catastrófica poco probable: impacto alto pero excepcional"),IF(AND(T1454&lt;1.5,X1454&lt;1),"Zona 3 — Asumible: impacto bajo y muy poco frecuente","Zona 2 — Atención: riesgo intermedio"))</f>
        <v/>
      </c>
      <c r="AB1454" s="64">
        <f>IFERROR(INDEX(MgAmenCtrl,MATCH(SUBSTITUTE($H1454,"*","-"),MgAmenClave,0)),"")</f>
        <v/>
      </c>
      <c r="AC1454" s="20" t="n"/>
      <c r="AD1454" s="31">
        <f>IFERROR($X1454*(1-IF($AC1454="",$AL1454,VLOOKUP($AC1454,MgMad,2,0))),"")</f>
        <v/>
      </c>
      <c r="AE1454" s="28">
        <f>IFERROR(LOOKUP(AD1454,{0;0.01;0.1;1;10;100},{"Muy baja";"Muy baja";"Baja";"Media";"Alta";"Muy alta"}),"")</f>
        <v/>
      </c>
      <c r="AF1454" s="30">
        <f>T1454*AD1454</f>
        <v/>
      </c>
      <c r="AG1454" s="28">
        <f>IFERROR(LOOKUP(AF1454,{0;0.5;5;25},{"Bajo";"Medio";"Alto";"Crítico"}),"")</f>
        <v/>
      </c>
      <c r="AH1454" s="28">
        <f>IF(AG1454="","",IF(OR(AG1454="Crítico",AG1454="Alto"),"Mitigar",IF(AG1454="Medio","Mitigar","Aceptar y monitorear")))</f>
        <v/>
      </c>
      <c r="AI1454" s="21" t="n"/>
      <c r="AJ1454" s="21" t="n"/>
      <c r="AK1454" s="20" t="n"/>
      <c r="AL1454" s="77">
        <f>IFERROR(INDEX(MgAmenEfic,MATCH(SUBSTITUTE($H1454,"*","-"),MgAmenClave,0)),0)</f>
        <v/>
      </c>
    </row>
    <row r="1455" hidden="1" ht="120" customHeight="1" s="54">
      <c r="B1455" s="59" t="inlineStr">
        <is>
          <t>R-1450</t>
        </is>
      </c>
      <c r="C1455" s="59" t="inlineStr">
        <is>
          <t>GH-043</t>
        </is>
      </c>
      <c r="D1455" s="64">
        <f>IFERROR(INDEX(MgNombre,MATCH($C1455,MgActId,0)),"")</f>
        <v/>
      </c>
      <c r="E1455" s="64">
        <f>IFERROR(INDEX(MgProceso,MATCH($C1455,MgActId,0)),"")</f>
        <v/>
      </c>
      <c r="F1455" s="64">
        <f>IFERROR(INDEX(MgTipo,MATCH($C1455,MgActId,0)),"")</f>
        <v/>
      </c>
      <c r="G1455" s="64">
        <f>IFERROR(INDEX(MgSubtipo,MATCH($C1455,MgActId,0)),"")</f>
        <v/>
      </c>
      <c r="H1455" s="59" t="inlineStr">
        <is>
          <t>A.19</t>
        </is>
      </c>
      <c r="I1455" s="64">
        <f>IFERROR(INDEX(MgAmenNombre,MATCH(SUBSTITUTE($H1455,"*","-"),MgAmenClave,0)),"")</f>
        <v/>
      </c>
      <c r="J1455" s="28">
        <f>IFERROR(INDEX(MgAmenGrupo,MATCH(SUBSTITUTE($H1455,"*","-"),MgAmenClave,0)),"")</f>
        <v/>
      </c>
      <c r="K1455" s="64">
        <f>IFERROR(INDEX('1. Matriz de Activos'!$Q$6:$Q$239,MATCH($C1455,MgActId,0)),"")</f>
        <v/>
      </c>
      <c r="L1455" s="64">
        <f>IFERROR(INDEX('1. Matriz de Activos'!$R$6:$R$239,MATCH($C1455,MgActId,0)),"")</f>
        <v/>
      </c>
      <c r="M1455" s="64">
        <f>IFERROR(INDEX('1. Matriz de Activos'!$S$6:$S$239,MATCH($C1455,MgActId,0)),"")</f>
        <v/>
      </c>
      <c r="N1455" s="28">
        <f>IFERROR(INDEX(MgAmenDegD,MATCH(SUBSTITUTE($H1455,"*","-"),MgAmenClave,0)),"No aplica")</f>
        <v/>
      </c>
      <c r="O1455" s="28">
        <f>IFERROR(INDEX(MgAmenDegI,MATCH(SUBSTITUTE($H1455,"*","-"),MgAmenClave,0)),"No aplica")</f>
        <v/>
      </c>
      <c r="P1455" s="28">
        <f>IFERROR(INDEX(MgAmenDegC,MATCH(SUBSTITUTE($H1455,"*","-"),MgAmenClave,0)),"No aplica")</f>
        <v/>
      </c>
      <c r="Q1455" s="29">
        <f>IFERROR(VLOOKUP(K1455,MgValor,2,0)*VLOOKUP(N1455,MgDeg,2,0),0)</f>
        <v/>
      </c>
      <c r="R1455" s="29">
        <f>IFERROR(VLOOKUP(L1455,MgValor,2,0)*VLOOKUP(O1455,MgDeg,2,0),0)</f>
        <v/>
      </c>
      <c r="S1455" s="29">
        <f>IFERROR(VLOOKUP(M1455,MgValor,2,0)*VLOOKUP(P1455,MgDeg,2,0),0)</f>
        <v/>
      </c>
      <c r="T1455" s="30">
        <f>MAX(Q1455:S1455)</f>
        <v/>
      </c>
      <c r="U1455" s="28">
        <f>IFERROR(LOOKUP(T1455,{0;0.5;1.5;3;4.5},{"Despreciable";"Bajo";"Medio";"Alto";"Muy alto"}),"")</f>
        <v/>
      </c>
      <c r="V1455" s="13">
        <f>IFERROR(INDEX(MgAmenFrec,MATCH(SUBSTITUTE($H1455,"*","-"),MgAmenClave,0)),"")</f>
        <v/>
      </c>
      <c r="W1455" s="28">
        <f>IFERROR(LOOKUP(X1455,{0;0.01;0.1;1;10;100},{"Muy baja";"Muy baja";"Baja";"Media";"Alta";"Muy alta"}),"")</f>
        <v/>
      </c>
      <c r="X1455" s="31">
        <f>IFERROR(VLOOKUP(V1455,MgFrec,2,0),0)</f>
        <v/>
      </c>
      <c r="Y1455" s="30">
        <f>T1455*X1455</f>
        <v/>
      </c>
      <c r="Z1455" s="28">
        <f>IFERROR(LOOKUP(Y1455,{0;0.5;5;25},{"Bajo";"Medio";"Alto";"Crítico"}),"")</f>
        <v/>
      </c>
      <c r="AA1455" s="64">
        <f>IF(T1455&gt;=3,IF(X1455&gt;=1,"Zona 1 — Crítica: impacto alto y ocurre al menos una vez al año","Zona 4 — Catastrófica poco probable: impacto alto pero excepcional"),IF(AND(T1455&lt;1.5,X1455&lt;1),"Zona 3 — Asumible: impacto bajo y muy poco frecuente","Zona 2 — Atención: riesgo intermedio"))</f>
        <v/>
      </c>
      <c r="AB1455" s="64">
        <f>IFERROR(INDEX(MgAmenCtrl,MATCH(SUBSTITUTE($H1455,"*","-"),MgAmenClave,0)),"")</f>
        <v/>
      </c>
      <c r="AC1455" s="20" t="n"/>
      <c r="AD1455" s="31">
        <f>IFERROR($X1455*(1-IF($AC1455="",$AL1455,VLOOKUP($AC1455,MgMad,2,0))),"")</f>
        <v/>
      </c>
      <c r="AE1455" s="28">
        <f>IFERROR(LOOKUP(AD1455,{0;0.01;0.1;1;10;100},{"Muy baja";"Muy baja";"Baja";"Media";"Alta";"Muy alta"}),"")</f>
        <v/>
      </c>
      <c r="AF1455" s="30">
        <f>T1455*AD1455</f>
        <v/>
      </c>
      <c r="AG1455" s="28">
        <f>IFERROR(LOOKUP(AF1455,{0;0.5;5;25},{"Bajo";"Medio";"Alto";"Crítico"}),"")</f>
        <v/>
      </c>
      <c r="AH1455" s="28">
        <f>IF(AG1455="","",IF(OR(AG1455="Crítico",AG1455="Alto"),"Mitigar",IF(AG1455="Medio","Mitigar","Aceptar y monitorear")))</f>
        <v/>
      </c>
      <c r="AI1455" s="21" t="n"/>
      <c r="AJ1455" s="21" t="n"/>
      <c r="AK1455" s="20" t="n"/>
      <c r="AL1455" s="77">
        <f>IFERROR(INDEX(MgAmenEfic,MATCH(SUBSTITUTE($H1455,"*","-"),MgAmenClave,0)),0)</f>
        <v/>
      </c>
    </row>
    <row r="1456" hidden="1" ht="105" customHeight="1" s="54">
      <c r="B1456" s="59" t="inlineStr">
        <is>
          <t>R-1451</t>
        </is>
      </c>
      <c r="C1456" s="59" t="inlineStr">
        <is>
          <t>GH-041</t>
        </is>
      </c>
      <c r="D1456" s="64">
        <f>IFERROR(INDEX(MgNombre,MATCH($C1456,MgActId,0)),"")</f>
        <v/>
      </c>
      <c r="E1456" s="64">
        <f>IFERROR(INDEX(MgProceso,MATCH($C1456,MgActId,0)),"")</f>
        <v/>
      </c>
      <c r="F1456" s="64">
        <f>IFERROR(INDEX(MgTipo,MATCH($C1456,MgActId,0)),"")</f>
        <v/>
      </c>
      <c r="G1456" s="64">
        <f>IFERROR(INDEX(MgSubtipo,MATCH($C1456,MgActId,0)),"")</f>
        <v/>
      </c>
      <c r="H1456" s="59" t="inlineStr">
        <is>
          <t>E.1</t>
        </is>
      </c>
      <c r="I1456" s="64">
        <f>IFERROR(INDEX(MgAmenNombre,MATCH(SUBSTITUTE($H1456,"*","-"),MgAmenClave,0)),"")</f>
        <v/>
      </c>
      <c r="J1456" s="28">
        <f>IFERROR(INDEX(MgAmenGrupo,MATCH(SUBSTITUTE($H1456,"*","-"),MgAmenClave,0)),"")</f>
        <v/>
      </c>
      <c r="K1456" s="64">
        <f>IFERROR(INDEX('1. Matriz de Activos'!$Q$6:$Q$239,MATCH($C1456,MgActId,0)),"")</f>
        <v/>
      </c>
      <c r="L1456" s="64">
        <f>IFERROR(INDEX('1. Matriz de Activos'!$R$6:$R$239,MATCH($C1456,MgActId,0)),"")</f>
        <v/>
      </c>
      <c r="M1456" s="64">
        <f>IFERROR(INDEX('1. Matriz de Activos'!$S$6:$S$239,MATCH($C1456,MgActId,0)),"")</f>
        <v/>
      </c>
      <c r="N1456" s="28">
        <f>IFERROR(INDEX(MgAmenDegD,MATCH(SUBSTITUTE($H1456,"*","-"),MgAmenClave,0)),"No aplica")</f>
        <v/>
      </c>
      <c r="O1456" s="28">
        <f>IFERROR(INDEX(MgAmenDegI,MATCH(SUBSTITUTE($H1456,"*","-"),MgAmenClave,0)),"No aplica")</f>
        <v/>
      </c>
      <c r="P1456" s="28">
        <f>IFERROR(INDEX(MgAmenDegC,MATCH(SUBSTITUTE($H1456,"*","-"),MgAmenClave,0)),"No aplica")</f>
        <v/>
      </c>
      <c r="Q1456" s="29">
        <f>IFERROR(VLOOKUP(K1456,MgValor,2,0)*VLOOKUP(N1456,MgDeg,2,0),0)</f>
        <v/>
      </c>
      <c r="R1456" s="29">
        <f>IFERROR(VLOOKUP(L1456,MgValor,2,0)*VLOOKUP(O1456,MgDeg,2,0),0)</f>
        <v/>
      </c>
      <c r="S1456" s="29">
        <f>IFERROR(VLOOKUP(M1456,MgValor,2,0)*VLOOKUP(P1456,MgDeg,2,0),0)</f>
        <v/>
      </c>
      <c r="T1456" s="30">
        <f>MAX(Q1456:S1456)</f>
        <v/>
      </c>
      <c r="U1456" s="28">
        <f>IFERROR(LOOKUP(T1456,{0;0.5;1.5;3;4.5},{"Despreciable";"Bajo";"Medio";"Alto";"Muy alto"}),"")</f>
        <v/>
      </c>
      <c r="V1456" s="13">
        <f>IFERROR(INDEX(MgAmenFrec,MATCH(SUBSTITUTE($H1456,"*","-"),MgAmenClave,0)),"")</f>
        <v/>
      </c>
      <c r="W1456" s="28">
        <f>IFERROR(LOOKUP(X1456,{0;0.01;0.1;1;10;100},{"Muy baja";"Muy baja";"Baja";"Media";"Alta";"Muy alta"}),"")</f>
        <v/>
      </c>
      <c r="X1456" s="31">
        <f>IFERROR(VLOOKUP(V1456,MgFrec,2,0),0)</f>
        <v/>
      </c>
      <c r="Y1456" s="30">
        <f>T1456*X1456</f>
        <v/>
      </c>
      <c r="Z1456" s="28">
        <f>IFERROR(LOOKUP(Y1456,{0;0.5;5;25},{"Bajo";"Medio";"Alto";"Crítico"}),"")</f>
        <v/>
      </c>
      <c r="AA1456" s="64">
        <f>IF(T1456&gt;=3,IF(X1456&gt;=1,"Zona 1 — Crítica: impacto alto y ocurre al menos una vez al año","Zona 4 — Catastrófica poco probable: impacto alto pero excepcional"),IF(AND(T1456&lt;1.5,X1456&lt;1),"Zona 3 — Asumible: impacto bajo y muy poco frecuente","Zona 2 — Atención: riesgo intermedio"))</f>
        <v/>
      </c>
      <c r="AB1456" s="64">
        <f>IFERROR(INDEX(MgAmenCtrl,MATCH(SUBSTITUTE($H1456,"*","-"),MgAmenClave,0)),"")</f>
        <v/>
      </c>
      <c r="AC1456" s="20" t="n"/>
      <c r="AD1456" s="31">
        <f>IFERROR($X1456*(1-IF($AC1456="",$AL1456,VLOOKUP($AC1456,MgMad,2,0))),"")</f>
        <v/>
      </c>
      <c r="AE1456" s="28">
        <f>IFERROR(LOOKUP(AD1456,{0;0.01;0.1;1;10;100},{"Muy baja";"Muy baja";"Baja";"Media";"Alta";"Muy alta"}),"")</f>
        <v/>
      </c>
      <c r="AF1456" s="30">
        <f>T1456*AD1456</f>
        <v/>
      </c>
      <c r="AG1456" s="28">
        <f>IFERROR(LOOKUP(AF1456,{0;0.5;5;25},{"Bajo";"Medio";"Alto";"Crítico"}),"")</f>
        <v/>
      </c>
      <c r="AH1456" s="28">
        <f>IF(AG1456="","",IF(OR(AG1456="Crítico",AG1456="Alto"),"Mitigar",IF(AG1456="Medio","Mitigar","Aceptar y monitorear")))</f>
        <v/>
      </c>
      <c r="AI1456" s="21" t="n"/>
      <c r="AJ1456" s="21" t="n"/>
      <c r="AK1456" s="20" t="n"/>
      <c r="AL1456" s="77">
        <f>IFERROR(INDEX(MgAmenEfic,MATCH(SUBSTITUTE($H1456,"*","-"),MgAmenClave,0)),0)</f>
        <v/>
      </c>
    </row>
    <row r="1457" hidden="1" ht="120" customHeight="1" s="54">
      <c r="B1457" s="59" t="inlineStr">
        <is>
          <t>R-1452</t>
        </is>
      </c>
      <c r="C1457" s="59" t="inlineStr">
        <is>
          <t>GH-041</t>
        </is>
      </c>
      <c r="D1457" s="64">
        <f>IFERROR(INDEX(MgNombre,MATCH($C1457,MgActId,0)),"")</f>
        <v/>
      </c>
      <c r="E1457" s="64">
        <f>IFERROR(INDEX(MgProceso,MATCH($C1457,MgActId,0)),"")</f>
        <v/>
      </c>
      <c r="F1457" s="64">
        <f>IFERROR(INDEX(MgTipo,MATCH($C1457,MgActId,0)),"")</f>
        <v/>
      </c>
      <c r="G1457" s="64">
        <f>IFERROR(INDEX(MgSubtipo,MATCH($C1457,MgActId,0)),"")</f>
        <v/>
      </c>
      <c r="H1457" s="59" t="inlineStr">
        <is>
          <t>E.2</t>
        </is>
      </c>
      <c r="I1457" s="64">
        <f>IFERROR(INDEX(MgAmenNombre,MATCH(SUBSTITUTE($H1457,"*","-"),MgAmenClave,0)),"")</f>
        <v/>
      </c>
      <c r="J1457" s="28">
        <f>IFERROR(INDEX(MgAmenGrupo,MATCH(SUBSTITUTE($H1457,"*","-"),MgAmenClave,0)),"")</f>
        <v/>
      </c>
      <c r="K1457" s="64">
        <f>IFERROR(INDEX('1. Matriz de Activos'!$Q$6:$Q$239,MATCH($C1457,MgActId,0)),"")</f>
        <v/>
      </c>
      <c r="L1457" s="64">
        <f>IFERROR(INDEX('1. Matriz de Activos'!$R$6:$R$239,MATCH($C1457,MgActId,0)),"")</f>
        <v/>
      </c>
      <c r="M1457" s="64">
        <f>IFERROR(INDEX('1. Matriz de Activos'!$S$6:$S$239,MATCH($C1457,MgActId,0)),"")</f>
        <v/>
      </c>
      <c r="N1457" s="28">
        <f>IFERROR(INDEX(MgAmenDegD,MATCH(SUBSTITUTE($H1457,"*","-"),MgAmenClave,0)),"No aplica")</f>
        <v/>
      </c>
      <c r="O1457" s="28">
        <f>IFERROR(INDEX(MgAmenDegI,MATCH(SUBSTITUTE($H1457,"*","-"),MgAmenClave,0)),"No aplica")</f>
        <v/>
      </c>
      <c r="P1457" s="28">
        <f>IFERROR(INDEX(MgAmenDegC,MATCH(SUBSTITUTE($H1457,"*","-"),MgAmenClave,0)),"No aplica")</f>
        <v/>
      </c>
      <c r="Q1457" s="29">
        <f>IFERROR(VLOOKUP(K1457,MgValor,2,0)*VLOOKUP(N1457,MgDeg,2,0),0)</f>
        <v/>
      </c>
      <c r="R1457" s="29">
        <f>IFERROR(VLOOKUP(L1457,MgValor,2,0)*VLOOKUP(O1457,MgDeg,2,0),0)</f>
        <v/>
      </c>
      <c r="S1457" s="29">
        <f>IFERROR(VLOOKUP(M1457,MgValor,2,0)*VLOOKUP(P1457,MgDeg,2,0),0)</f>
        <v/>
      </c>
      <c r="T1457" s="30">
        <f>MAX(Q1457:S1457)</f>
        <v/>
      </c>
      <c r="U1457" s="28">
        <f>IFERROR(LOOKUP(T1457,{0;0.5;1.5;3;4.5},{"Despreciable";"Bajo";"Medio";"Alto";"Muy alto"}),"")</f>
        <v/>
      </c>
      <c r="V1457" s="13">
        <f>IFERROR(INDEX(MgAmenFrec,MATCH(SUBSTITUTE($H1457,"*","-"),MgAmenClave,0)),"")</f>
        <v/>
      </c>
      <c r="W1457" s="28">
        <f>IFERROR(LOOKUP(X1457,{0;0.01;0.1;1;10;100},{"Muy baja";"Muy baja";"Baja";"Media";"Alta";"Muy alta"}),"")</f>
        <v/>
      </c>
      <c r="X1457" s="31">
        <f>IFERROR(VLOOKUP(V1457,MgFrec,2,0),0)</f>
        <v/>
      </c>
      <c r="Y1457" s="30">
        <f>T1457*X1457</f>
        <v/>
      </c>
      <c r="Z1457" s="28">
        <f>IFERROR(LOOKUP(Y1457,{0;0.5;5;25},{"Bajo";"Medio";"Alto";"Crítico"}),"")</f>
        <v/>
      </c>
      <c r="AA1457" s="64">
        <f>IF(T1457&gt;=3,IF(X1457&gt;=1,"Zona 1 — Crítica: impacto alto y ocurre al menos una vez al año","Zona 4 — Catastrófica poco probable: impacto alto pero excepcional"),IF(AND(T1457&lt;1.5,X1457&lt;1),"Zona 3 — Asumible: impacto bajo y muy poco frecuente","Zona 2 — Atención: riesgo intermedio"))</f>
        <v/>
      </c>
      <c r="AB1457" s="64">
        <f>IFERROR(INDEX(MgAmenCtrl,MATCH(SUBSTITUTE($H1457,"*","-"),MgAmenClave,0)),"")</f>
        <v/>
      </c>
      <c r="AC1457" s="20" t="n"/>
      <c r="AD1457" s="31">
        <f>IFERROR($X1457*(1-IF($AC1457="",$AL1457,VLOOKUP($AC1457,MgMad,2,0))),"")</f>
        <v/>
      </c>
      <c r="AE1457" s="28">
        <f>IFERROR(LOOKUP(AD1457,{0;0.01;0.1;1;10;100},{"Muy baja";"Muy baja";"Baja";"Media";"Alta";"Muy alta"}),"")</f>
        <v/>
      </c>
      <c r="AF1457" s="30">
        <f>T1457*AD1457</f>
        <v/>
      </c>
      <c r="AG1457" s="28">
        <f>IFERROR(LOOKUP(AF1457,{0;0.5;5;25},{"Bajo";"Medio";"Alto";"Crítico"}),"")</f>
        <v/>
      </c>
      <c r="AH1457" s="28">
        <f>IF(AG1457="","",IF(OR(AG1457="Crítico",AG1457="Alto"),"Mitigar",IF(AG1457="Medio","Mitigar","Aceptar y monitorear")))</f>
        <v/>
      </c>
      <c r="AI1457" s="21" t="n"/>
      <c r="AJ1457" s="21" t="n"/>
      <c r="AK1457" s="20" t="n"/>
      <c r="AL1457" s="77">
        <f>IFERROR(INDEX(MgAmenEfic,MATCH(SUBSTITUTE($H1457,"*","-"),MgAmenClave,0)),0)</f>
        <v/>
      </c>
    </row>
    <row r="1458" hidden="1" ht="75" customHeight="1" s="54">
      <c r="B1458" s="59" t="inlineStr">
        <is>
          <t>R-1453</t>
        </is>
      </c>
      <c r="C1458" s="59" t="inlineStr">
        <is>
          <t>GH-041</t>
        </is>
      </c>
      <c r="D1458" s="64">
        <f>IFERROR(INDEX(MgNombre,MATCH($C1458,MgActId,0)),"")</f>
        <v/>
      </c>
      <c r="E1458" s="64">
        <f>IFERROR(INDEX(MgProceso,MATCH($C1458,MgActId,0)),"")</f>
        <v/>
      </c>
      <c r="F1458" s="64">
        <f>IFERROR(INDEX(MgTipo,MATCH($C1458,MgActId,0)),"")</f>
        <v/>
      </c>
      <c r="G1458" s="64">
        <f>IFERROR(INDEX(MgSubtipo,MATCH($C1458,MgActId,0)),"")</f>
        <v/>
      </c>
      <c r="H1458" s="59" t="inlineStr">
        <is>
          <t>E.3</t>
        </is>
      </c>
      <c r="I1458" s="64">
        <f>IFERROR(INDEX(MgAmenNombre,MATCH(SUBSTITUTE($H1458,"*","-"),MgAmenClave,0)),"")</f>
        <v/>
      </c>
      <c r="J1458" s="28">
        <f>IFERROR(INDEX(MgAmenGrupo,MATCH(SUBSTITUTE($H1458,"*","-"),MgAmenClave,0)),"")</f>
        <v/>
      </c>
      <c r="K1458" s="64">
        <f>IFERROR(INDEX('1. Matriz de Activos'!$Q$6:$Q$239,MATCH($C1458,MgActId,0)),"")</f>
        <v/>
      </c>
      <c r="L1458" s="64">
        <f>IFERROR(INDEX('1. Matriz de Activos'!$R$6:$R$239,MATCH($C1458,MgActId,0)),"")</f>
        <v/>
      </c>
      <c r="M1458" s="64">
        <f>IFERROR(INDEX('1. Matriz de Activos'!$S$6:$S$239,MATCH($C1458,MgActId,0)),"")</f>
        <v/>
      </c>
      <c r="N1458" s="28">
        <f>IFERROR(INDEX(MgAmenDegD,MATCH(SUBSTITUTE($H1458,"*","-"),MgAmenClave,0)),"No aplica")</f>
        <v/>
      </c>
      <c r="O1458" s="28">
        <f>IFERROR(INDEX(MgAmenDegI,MATCH(SUBSTITUTE($H1458,"*","-"),MgAmenClave,0)),"No aplica")</f>
        <v/>
      </c>
      <c r="P1458" s="28">
        <f>IFERROR(INDEX(MgAmenDegC,MATCH(SUBSTITUTE($H1458,"*","-"),MgAmenClave,0)),"No aplica")</f>
        <v/>
      </c>
      <c r="Q1458" s="29">
        <f>IFERROR(VLOOKUP(K1458,MgValor,2,0)*VLOOKUP(N1458,MgDeg,2,0),0)</f>
        <v/>
      </c>
      <c r="R1458" s="29">
        <f>IFERROR(VLOOKUP(L1458,MgValor,2,0)*VLOOKUP(O1458,MgDeg,2,0),0)</f>
        <v/>
      </c>
      <c r="S1458" s="29">
        <f>IFERROR(VLOOKUP(M1458,MgValor,2,0)*VLOOKUP(P1458,MgDeg,2,0),0)</f>
        <v/>
      </c>
      <c r="T1458" s="30">
        <f>MAX(Q1458:S1458)</f>
        <v/>
      </c>
      <c r="U1458" s="28">
        <f>IFERROR(LOOKUP(T1458,{0;0.5;1.5;3;4.5},{"Despreciable";"Bajo";"Medio";"Alto";"Muy alto"}),"")</f>
        <v/>
      </c>
      <c r="V1458" s="13">
        <f>IFERROR(INDEX(MgAmenFrec,MATCH(SUBSTITUTE($H1458,"*","-"),MgAmenClave,0)),"")</f>
        <v/>
      </c>
      <c r="W1458" s="28">
        <f>IFERROR(LOOKUP(X1458,{0;0.01;0.1;1;10;100},{"Muy baja";"Muy baja";"Baja";"Media";"Alta";"Muy alta"}),"")</f>
        <v/>
      </c>
      <c r="X1458" s="31">
        <f>IFERROR(VLOOKUP(V1458,MgFrec,2,0),0)</f>
        <v/>
      </c>
      <c r="Y1458" s="30">
        <f>T1458*X1458</f>
        <v/>
      </c>
      <c r="Z1458" s="28">
        <f>IFERROR(LOOKUP(Y1458,{0;0.5;5;25},{"Bajo";"Medio";"Alto";"Crítico"}),"")</f>
        <v/>
      </c>
      <c r="AA1458" s="64">
        <f>IF(T1458&gt;=3,IF(X1458&gt;=1,"Zona 1 — Crítica: impacto alto y ocurre al menos una vez al año","Zona 4 — Catastrófica poco probable: impacto alto pero excepcional"),IF(AND(T1458&lt;1.5,X1458&lt;1),"Zona 3 — Asumible: impacto bajo y muy poco frecuente","Zona 2 — Atención: riesgo intermedio"))</f>
        <v/>
      </c>
      <c r="AB1458" s="64">
        <f>IFERROR(INDEX(MgAmenCtrl,MATCH(SUBSTITUTE($H1458,"*","-"),MgAmenClave,0)),"")</f>
        <v/>
      </c>
      <c r="AC1458" s="20" t="n"/>
      <c r="AD1458" s="31">
        <f>IFERROR($X1458*(1-IF($AC1458="",$AL1458,VLOOKUP($AC1458,MgMad,2,0))),"")</f>
        <v/>
      </c>
      <c r="AE1458" s="28">
        <f>IFERROR(LOOKUP(AD1458,{0;0.01;0.1;1;10;100},{"Muy baja";"Muy baja";"Baja";"Media";"Alta";"Muy alta"}),"")</f>
        <v/>
      </c>
      <c r="AF1458" s="30">
        <f>T1458*AD1458</f>
        <v/>
      </c>
      <c r="AG1458" s="28">
        <f>IFERROR(LOOKUP(AF1458,{0;0.5;5;25},{"Bajo";"Medio";"Alto";"Crítico"}),"")</f>
        <v/>
      </c>
      <c r="AH1458" s="28">
        <f>IF(AG1458="","",IF(OR(AG1458="Crítico",AG1458="Alto"),"Mitigar",IF(AG1458="Medio","Mitigar","Aceptar y monitorear")))</f>
        <v/>
      </c>
      <c r="AI1458" s="21" t="n"/>
      <c r="AJ1458" s="21" t="n"/>
      <c r="AK1458" s="20" t="n"/>
      <c r="AL1458" s="77">
        <f>IFERROR(INDEX(MgAmenEfic,MATCH(SUBSTITUTE($H1458,"*","-"),MgAmenClave,0)),0)</f>
        <v/>
      </c>
    </row>
    <row r="1459" hidden="1" ht="75" customHeight="1" s="54">
      <c r="B1459" s="59" t="inlineStr">
        <is>
          <t>R-1454</t>
        </is>
      </c>
      <c r="C1459" s="59" t="inlineStr">
        <is>
          <t>GH-041</t>
        </is>
      </c>
      <c r="D1459" s="64">
        <f>IFERROR(INDEX(MgNombre,MATCH($C1459,MgActId,0)),"")</f>
        <v/>
      </c>
      <c r="E1459" s="64">
        <f>IFERROR(INDEX(MgProceso,MATCH($C1459,MgActId,0)),"")</f>
        <v/>
      </c>
      <c r="F1459" s="64">
        <f>IFERROR(INDEX(MgTipo,MATCH($C1459,MgActId,0)),"")</f>
        <v/>
      </c>
      <c r="G1459" s="64">
        <f>IFERROR(INDEX(MgSubtipo,MATCH($C1459,MgActId,0)),"")</f>
        <v/>
      </c>
      <c r="H1459" s="59" t="inlineStr">
        <is>
          <t>E.4</t>
        </is>
      </c>
      <c r="I1459" s="64">
        <f>IFERROR(INDEX(MgAmenNombre,MATCH(SUBSTITUTE($H1459,"*","-"),MgAmenClave,0)),"")</f>
        <v/>
      </c>
      <c r="J1459" s="28">
        <f>IFERROR(INDEX(MgAmenGrupo,MATCH(SUBSTITUTE($H1459,"*","-"),MgAmenClave,0)),"")</f>
        <v/>
      </c>
      <c r="K1459" s="64">
        <f>IFERROR(INDEX('1. Matriz de Activos'!$Q$6:$Q$239,MATCH($C1459,MgActId,0)),"")</f>
        <v/>
      </c>
      <c r="L1459" s="64">
        <f>IFERROR(INDEX('1. Matriz de Activos'!$R$6:$R$239,MATCH($C1459,MgActId,0)),"")</f>
        <v/>
      </c>
      <c r="M1459" s="64">
        <f>IFERROR(INDEX('1. Matriz de Activos'!$S$6:$S$239,MATCH($C1459,MgActId,0)),"")</f>
        <v/>
      </c>
      <c r="N1459" s="28">
        <f>IFERROR(INDEX(MgAmenDegD,MATCH(SUBSTITUTE($H1459,"*","-"),MgAmenClave,0)),"No aplica")</f>
        <v/>
      </c>
      <c r="O1459" s="28">
        <f>IFERROR(INDEX(MgAmenDegI,MATCH(SUBSTITUTE($H1459,"*","-"),MgAmenClave,0)),"No aplica")</f>
        <v/>
      </c>
      <c r="P1459" s="28">
        <f>IFERROR(INDEX(MgAmenDegC,MATCH(SUBSTITUTE($H1459,"*","-"),MgAmenClave,0)),"No aplica")</f>
        <v/>
      </c>
      <c r="Q1459" s="29">
        <f>IFERROR(VLOOKUP(K1459,MgValor,2,0)*VLOOKUP(N1459,MgDeg,2,0),0)</f>
        <v/>
      </c>
      <c r="R1459" s="29">
        <f>IFERROR(VLOOKUP(L1459,MgValor,2,0)*VLOOKUP(O1459,MgDeg,2,0),0)</f>
        <v/>
      </c>
      <c r="S1459" s="29">
        <f>IFERROR(VLOOKUP(M1459,MgValor,2,0)*VLOOKUP(P1459,MgDeg,2,0),0)</f>
        <v/>
      </c>
      <c r="T1459" s="30">
        <f>MAX(Q1459:S1459)</f>
        <v/>
      </c>
      <c r="U1459" s="28">
        <f>IFERROR(LOOKUP(T1459,{0;0.5;1.5;3;4.5},{"Despreciable";"Bajo";"Medio";"Alto";"Muy alto"}),"")</f>
        <v/>
      </c>
      <c r="V1459" s="13">
        <f>IFERROR(INDEX(MgAmenFrec,MATCH(SUBSTITUTE($H1459,"*","-"),MgAmenClave,0)),"")</f>
        <v/>
      </c>
      <c r="W1459" s="28">
        <f>IFERROR(LOOKUP(X1459,{0;0.01;0.1;1;10;100},{"Muy baja";"Muy baja";"Baja";"Media";"Alta";"Muy alta"}),"")</f>
        <v/>
      </c>
      <c r="X1459" s="31">
        <f>IFERROR(VLOOKUP(V1459,MgFrec,2,0),0)</f>
        <v/>
      </c>
      <c r="Y1459" s="30">
        <f>T1459*X1459</f>
        <v/>
      </c>
      <c r="Z1459" s="28">
        <f>IFERROR(LOOKUP(Y1459,{0;0.5;5;25},{"Bajo";"Medio";"Alto";"Crítico"}),"")</f>
        <v/>
      </c>
      <c r="AA1459" s="64">
        <f>IF(T1459&gt;=3,IF(X1459&gt;=1,"Zona 1 — Crítica: impacto alto y ocurre al menos una vez al año","Zona 4 — Catastrófica poco probable: impacto alto pero excepcional"),IF(AND(T1459&lt;1.5,X1459&lt;1),"Zona 3 — Asumible: impacto bajo y muy poco frecuente","Zona 2 — Atención: riesgo intermedio"))</f>
        <v/>
      </c>
      <c r="AB1459" s="64">
        <f>IFERROR(INDEX(MgAmenCtrl,MATCH(SUBSTITUTE($H1459,"*","-"),MgAmenClave,0)),"")</f>
        <v/>
      </c>
      <c r="AC1459" s="20" t="n"/>
      <c r="AD1459" s="31">
        <f>IFERROR($X1459*(1-IF($AC1459="",$AL1459,VLOOKUP($AC1459,MgMad,2,0))),"")</f>
        <v/>
      </c>
      <c r="AE1459" s="28">
        <f>IFERROR(LOOKUP(AD1459,{0;0.01;0.1;1;10;100},{"Muy baja";"Muy baja";"Baja";"Media";"Alta";"Muy alta"}),"")</f>
        <v/>
      </c>
      <c r="AF1459" s="30">
        <f>T1459*AD1459</f>
        <v/>
      </c>
      <c r="AG1459" s="28">
        <f>IFERROR(LOOKUP(AF1459,{0;0.5;5;25},{"Bajo";"Medio";"Alto";"Crítico"}),"")</f>
        <v/>
      </c>
      <c r="AH1459" s="28">
        <f>IF(AG1459="","",IF(OR(AG1459="Crítico",AG1459="Alto"),"Mitigar",IF(AG1459="Medio","Mitigar","Aceptar y monitorear")))</f>
        <v/>
      </c>
      <c r="AI1459" s="21" t="n"/>
      <c r="AJ1459" s="21" t="n"/>
      <c r="AK1459" s="20" t="n"/>
      <c r="AL1459" s="77">
        <f>IFERROR(INDEX(MgAmenEfic,MATCH(SUBSTITUTE($H1459,"*","-"),MgAmenClave,0)),0)</f>
        <v/>
      </c>
    </row>
    <row r="1460" hidden="1" ht="90" customHeight="1" s="54">
      <c r="B1460" s="59" t="inlineStr">
        <is>
          <t>R-1455</t>
        </is>
      </c>
      <c r="C1460" s="59" t="inlineStr">
        <is>
          <t>GH-041</t>
        </is>
      </c>
      <c r="D1460" s="64">
        <f>IFERROR(INDEX(MgNombre,MATCH($C1460,MgActId,0)),"")</f>
        <v/>
      </c>
      <c r="E1460" s="64">
        <f>IFERROR(INDEX(MgProceso,MATCH($C1460,MgActId,0)),"")</f>
        <v/>
      </c>
      <c r="F1460" s="64">
        <f>IFERROR(INDEX(MgTipo,MATCH($C1460,MgActId,0)),"")</f>
        <v/>
      </c>
      <c r="G1460" s="64">
        <f>IFERROR(INDEX(MgSubtipo,MATCH($C1460,MgActId,0)),"")</f>
        <v/>
      </c>
      <c r="H1460" s="59" t="inlineStr">
        <is>
          <t>E.14</t>
        </is>
      </c>
      <c r="I1460" s="64">
        <f>IFERROR(INDEX(MgAmenNombre,MATCH(SUBSTITUTE($H1460,"*","-"),MgAmenClave,0)),"")</f>
        <v/>
      </c>
      <c r="J1460" s="28">
        <f>IFERROR(INDEX(MgAmenGrupo,MATCH(SUBSTITUTE($H1460,"*","-"),MgAmenClave,0)),"")</f>
        <v/>
      </c>
      <c r="K1460" s="64">
        <f>IFERROR(INDEX('1. Matriz de Activos'!$Q$6:$Q$239,MATCH($C1460,MgActId,0)),"")</f>
        <v/>
      </c>
      <c r="L1460" s="64">
        <f>IFERROR(INDEX('1. Matriz de Activos'!$R$6:$R$239,MATCH($C1460,MgActId,0)),"")</f>
        <v/>
      </c>
      <c r="M1460" s="64">
        <f>IFERROR(INDEX('1. Matriz de Activos'!$S$6:$S$239,MATCH($C1460,MgActId,0)),"")</f>
        <v/>
      </c>
      <c r="N1460" s="28">
        <f>IFERROR(INDEX(MgAmenDegD,MATCH(SUBSTITUTE($H1460,"*","-"),MgAmenClave,0)),"No aplica")</f>
        <v/>
      </c>
      <c r="O1460" s="28">
        <f>IFERROR(INDEX(MgAmenDegI,MATCH(SUBSTITUTE($H1460,"*","-"),MgAmenClave,0)),"No aplica")</f>
        <v/>
      </c>
      <c r="P1460" s="28">
        <f>IFERROR(INDEX(MgAmenDegC,MATCH(SUBSTITUTE($H1460,"*","-"),MgAmenClave,0)),"No aplica")</f>
        <v/>
      </c>
      <c r="Q1460" s="29">
        <f>IFERROR(VLOOKUP(K1460,MgValor,2,0)*VLOOKUP(N1460,MgDeg,2,0),0)</f>
        <v/>
      </c>
      <c r="R1460" s="29">
        <f>IFERROR(VLOOKUP(L1460,MgValor,2,0)*VLOOKUP(O1460,MgDeg,2,0),0)</f>
        <v/>
      </c>
      <c r="S1460" s="29">
        <f>IFERROR(VLOOKUP(M1460,MgValor,2,0)*VLOOKUP(P1460,MgDeg,2,0),0)</f>
        <v/>
      </c>
      <c r="T1460" s="30">
        <f>MAX(Q1460:S1460)</f>
        <v/>
      </c>
      <c r="U1460" s="28">
        <f>IFERROR(LOOKUP(T1460,{0;0.5;1.5;3;4.5},{"Despreciable";"Bajo";"Medio";"Alto";"Muy alto"}),"")</f>
        <v/>
      </c>
      <c r="V1460" s="13">
        <f>IFERROR(INDEX(MgAmenFrec,MATCH(SUBSTITUTE($H1460,"*","-"),MgAmenClave,0)),"")</f>
        <v/>
      </c>
      <c r="W1460" s="28">
        <f>IFERROR(LOOKUP(X1460,{0;0.01;0.1;1;10;100},{"Muy baja";"Muy baja";"Baja";"Media";"Alta";"Muy alta"}),"")</f>
        <v/>
      </c>
      <c r="X1460" s="31">
        <f>IFERROR(VLOOKUP(V1460,MgFrec,2,0),0)</f>
        <v/>
      </c>
      <c r="Y1460" s="30">
        <f>T1460*X1460</f>
        <v/>
      </c>
      <c r="Z1460" s="28">
        <f>IFERROR(LOOKUP(Y1460,{0;0.5;5;25},{"Bajo";"Medio";"Alto";"Crítico"}),"")</f>
        <v/>
      </c>
      <c r="AA1460" s="64">
        <f>IF(T1460&gt;=3,IF(X1460&gt;=1,"Zona 1 — Crítica: impacto alto y ocurre al menos una vez al año","Zona 4 — Catastrófica poco probable: impacto alto pero excepcional"),IF(AND(T1460&lt;1.5,X1460&lt;1),"Zona 3 — Asumible: impacto bajo y muy poco frecuente","Zona 2 — Atención: riesgo intermedio"))</f>
        <v/>
      </c>
      <c r="AB1460" s="64">
        <f>IFERROR(INDEX(MgAmenCtrl,MATCH(SUBSTITUTE($H1460,"*","-"),MgAmenClave,0)),"")</f>
        <v/>
      </c>
      <c r="AC1460" s="20" t="n"/>
      <c r="AD1460" s="31">
        <f>IFERROR($X1460*(1-IF($AC1460="",$AL1460,VLOOKUP($AC1460,MgMad,2,0))),"")</f>
        <v/>
      </c>
      <c r="AE1460" s="28">
        <f>IFERROR(LOOKUP(AD1460,{0;0.01;0.1;1;10;100},{"Muy baja";"Muy baja";"Baja";"Media";"Alta";"Muy alta"}),"")</f>
        <v/>
      </c>
      <c r="AF1460" s="30">
        <f>T1460*AD1460</f>
        <v/>
      </c>
      <c r="AG1460" s="28">
        <f>IFERROR(LOOKUP(AF1460,{0;0.5;5;25},{"Bajo";"Medio";"Alto";"Crítico"}),"")</f>
        <v/>
      </c>
      <c r="AH1460" s="28">
        <f>IF(AG1460="","",IF(OR(AG1460="Crítico",AG1460="Alto"),"Mitigar",IF(AG1460="Medio","Mitigar","Aceptar y monitorear")))</f>
        <v/>
      </c>
      <c r="AI1460" s="21" t="n"/>
      <c r="AJ1460" s="21" t="n"/>
      <c r="AK1460" s="20" t="n"/>
      <c r="AL1460" s="77">
        <f>IFERROR(INDEX(MgAmenEfic,MATCH(SUBSTITUTE($H1460,"*","-"),MgAmenClave,0)),0)</f>
        <v/>
      </c>
    </row>
    <row r="1461" hidden="1" ht="90" customHeight="1" s="54">
      <c r="B1461" s="59" t="inlineStr">
        <is>
          <t>R-1456</t>
        </is>
      </c>
      <c r="C1461" s="59" t="inlineStr">
        <is>
          <t>GH-041</t>
        </is>
      </c>
      <c r="D1461" s="64">
        <f>IFERROR(INDEX(MgNombre,MATCH($C1461,MgActId,0)),"")</f>
        <v/>
      </c>
      <c r="E1461" s="64">
        <f>IFERROR(INDEX(MgProceso,MATCH($C1461,MgActId,0)),"")</f>
        <v/>
      </c>
      <c r="F1461" s="64">
        <f>IFERROR(INDEX(MgTipo,MATCH($C1461,MgActId,0)),"")</f>
        <v/>
      </c>
      <c r="G1461" s="64">
        <f>IFERROR(INDEX(MgSubtipo,MATCH($C1461,MgActId,0)),"")</f>
        <v/>
      </c>
      <c r="H1461" s="59" t="inlineStr">
        <is>
          <t>E.15</t>
        </is>
      </c>
      <c r="I1461" s="64">
        <f>IFERROR(INDEX(MgAmenNombre,MATCH(SUBSTITUTE($H1461,"*","-"),MgAmenClave,0)),"")</f>
        <v/>
      </c>
      <c r="J1461" s="28">
        <f>IFERROR(INDEX(MgAmenGrupo,MATCH(SUBSTITUTE($H1461,"*","-"),MgAmenClave,0)),"")</f>
        <v/>
      </c>
      <c r="K1461" s="64">
        <f>IFERROR(INDEX('1. Matriz de Activos'!$Q$6:$Q$239,MATCH($C1461,MgActId,0)),"")</f>
        <v/>
      </c>
      <c r="L1461" s="64">
        <f>IFERROR(INDEX('1. Matriz de Activos'!$R$6:$R$239,MATCH($C1461,MgActId,0)),"")</f>
        <v/>
      </c>
      <c r="M1461" s="64">
        <f>IFERROR(INDEX('1. Matriz de Activos'!$S$6:$S$239,MATCH($C1461,MgActId,0)),"")</f>
        <v/>
      </c>
      <c r="N1461" s="28">
        <f>IFERROR(INDEX(MgAmenDegD,MATCH(SUBSTITUTE($H1461,"*","-"),MgAmenClave,0)),"No aplica")</f>
        <v/>
      </c>
      <c r="O1461" s="28">
        <f>IFERROR(INDEX(MgAmenDegI,MATCH(SUBSTITUTE($H1461,"*","-"),MgAmenClave,0)),"No aplica")</f>
        <v/>
      </c>
      <c r="P1461" s="28">
        <f>IFERROR(INDEX(MgAmenDegC,MATCH(SUBSTITUTE($H1461,"*","-"),MgAmenClave,0)),"No aplica")</f>
        <v/>
      </c>
      <c r="Q1461" s="29">
        <f>IFERROR(VLOOKUP(K1461,MgValor,2,0)*VLOOKUP(N1461,MgDeg,2,0),0)</f>
        <v/>
      </c>
      <c r="R1461" s="29">
        <f>IFERROR(VLOOKUP(L1461,MgValor,2,0)*VLOOKUP(O1461,MgDeg,2,0),0)</f>
        <v/>
      </c>
      <c r="S1461" s="29">
        <f>IFERROR(VLOOKUP(M1461,MgValor,2,0)*VLOOKUP(P1461,MgDeg,2,0),0)</f>
        <v/>
      </c>
      <c r="T1461" s="30">
        <f>MAX(Q1461:S1461)</f>
        <v/>
      </c>
      <c r="U1461" s="28">
        <f>IFERROR(LOOKUP(T1461,{0;0.5;1.5;3;4.5},{"Despreciable";"Bajo";"Medio";"Alto";"Muy alto"}),"")</f>
        <v/>
      </c>
      <c r="V1461" s="13">
        <f>IFERROR(INDEX(MgAmenFrec,MATCH(SUBSTITUTE($H1461,"*","-"),MgAmenClave,0)),"")</f>
        <v/>
      </c>
      <c r="W1461" s="28">
        <f>IFERROR(LOOKUP(X1461,{0;0.01;0.1;1;10;100},{"Muy baja";"Muy baja";"Baja";"Media";"Alta";"Muy alta"}),"")</f>
        <v/>
      </c>
      <c r="X1461" s="31">
        <f>IFERROR(VLOOKUP(V1461,MgFrec,2,0),0)</f>
        <v/>
      </c>
      <c r="Y1461" s="30">
        <f>T1461*X1461</f>
        <v/>
      </c>
      <c r="Z1461" s="28">
        <f>IFERROR(LOOKUP(Y1461,{0;0.5;5;25},{"Bajo";"Medio";"Alto";"Crítico"}),"")</f>
        <v/>
      </c>
      <c r="AA1461" s="64">
        <f>IF(T1461&gt;=3,IF(X1461&gt;=1,"Zona 1 — Crítica: impacto alto y ocurre al menos una vez al año","Zona 4 — Catastrófica poco probable: impacto alto pero excepcional"),IF(AND(T1461&lt;1.5,X1461&lt;1),"Zona 3 — Asumible: impacto bajo y muy poco frecuente","Zona 2 — Atención: riesgo intermedio"))</f>
        <v/>
      </c>
      <c r="AB1461" s="64">
        <f>IFERROR(INDEX(MgAmenCtrl,MATCH(SUBSTITUTE($H1461,"*","-"),MgAmenClave,0)),"")</f>
        <v/>
      </c>
      <c r="AC1461" s="20" t="n"/>
      <c r="AD1461" s="31">
        <f>IFERROR($X1461*(1-IF($AC1461="",$AL1461,VLOOKUP($AC1461,MgMad,2,0))),"")</f>
        <v/>
      </c>
      <c r="AE1461" s="28">
        <f>IFERROR(LOOKUP(AD1461,{0;0.01;0.1;1;10;100},{"Muy baja";"Muy baja";"Baja";"Media";"Alta";"Muy alta"}),"")</f>
        <v/>
      </c>
      <c r="AF1461" s="30">
        <f>T1461*AD1461</f>
        <v/>
      </c>
      <c r="AG1461" s="28">
        <f>IFERROR(LOOKUP(AF1461,{0;0.5;5;25},{"Bajo";"Medio";"Alto";"Crítico"}),"")</f>
        <v/>
      </c>
      <c r="AH1461" s="28">
        <f>IF(AG1461="","",IF(OR(AG1461="Crítico",AG1461="Alto"),"Mitigar",IF(AG1461="Medio","Mitigar","Aceptar y monitorear")))</f>
        <v/>
      </c>
      <c r="AI1461" s="21" t="n"/>
      <c r="AJ1461" s="21" t="n"/>
      <c r="AK1461" s="20" t="n"/>
      <c r="AL1461" s="77">
        <f>IFERROR(INDEX(MgAmenEfic,MATCH(SUBSTITUTE($H1461,"*","-"),MgAmenClave,0)),0)</f>
        <v/>
      </c>
    </row>
    <row r="1462" hidden="1" ht="60" customHeight="1" s="54">
      <c r="B1462" s="59" t="inlineStr">
        <is>
          <t>R-1457</t>
        </is>
      </c>
      <c r="C1462" s="59" t="inlineStr">
        <is>
          <t>GH-041</t>
        </is>
      </c>
      <c r="D1462" s="64">
        <f>IFERROR(INDEX(MgNombre,MATCH($C1462,MgActId,0)),"")</f>
        <v/>
      </c>
      <c r="E1462" s="64">
        <f>IFERROR(INDEX(MgProceso,MATCH($C1462,MgActId,0)),"")</f>
        <v/>
      </c>
      <c r="F1462" s="64">
        <f>IFERROR(INDEX(MgTipo,MATCH($C1462,MgActId,0)),"")</f>
        <v/>
      </c>
      <c r="G1462" s="64">
        <f>IFERROR(INDEX(MgSubtipo,MATCH($C1462,MgActId,0)),"")</f>
        <v/>
      </c>
      <c r="H1462" s="59" t="inlineStr">
        <is>
          <t>E.18</t>
        </is>
      </c>
      <c r="I1462" s="64">
        <f>IFERROR(INDEX(MgAmenNombre,MATCH(SUBSTITUTE($H1462,"*","-"),MgAmenClave,0)),"")</f>
        <v/>
      </c>
      <c r="J1462" s="28">
        <f>IFERROR(INDEX(MgAmenGrupo,MATCH(SUBSTITUTE($H1462,"*","-"),MgAmenClave,0)),"")</f>
        <v/>
      </c>
      <c r="K1462" s="64">
        <f>IFERROR(INDEX('1. Matriz de Activos'!$Q$6:$Q$239,MATCH($C1462,MgActId,0)),"")</f>
        <v/>
      </c>
      <c r="L1462" s="64">
        <f>IFERROR(INDEX('1. Matriz de Activos'!$R$6:$R$239,MATCH($C1462,MgActId,0)),"")</f>
        <v/>
      </c>
      <c r="M1462" s="64">
        <f>IFERROR(INDEX('1. Matriz de Activos'!$S$6:$S$239,MATCH($C1462,MgActId,0)),"")</f>
        <v/>
      </c>
      <c r="N1462" s="28">
        <f>IFERROR(INDEX(MgAmenDegD,MATCH(SUBSTITUTE($H1462,"*","-"),MgAmenClave,0)),"No aplica")</f>
        <v/>
      </c>
      <c r="O1462" s="28">
        <f>IFERROR(INDEX(MgAmenDegI,MATCH(SUBSTITUTE($H1462,"*","-"),MgAmenClave,0)),"No aplica")</f>
        <v/>
      </c>
      <c r="P1462" s="28">
        <f>IFERROR(INDEX(MgAmenDegC,MATCH(SUBSTITUTE($H1462,"*","-"),MgAmenClave,0)),"No aplica")</f>
        <v/>
      </c>
      <c r="Q1462" s="29">
        <f>IFERROR(VLOOKUP(K1462,MgValor,2,0)*VLOOKUP(N1462,MgDeg,2,0),0)</f>
        <v/>
      </c>
      <c r="R1462" s="29">
        <f>IFERROR(VLOOKUP(L1462,MgValor,2,0)*VLOOKUP(O1462,MgDeg,2,0),0)</f>
        <v/>
      </c>
      <c r="S1462" s="29">
        <f>IFERROR(VLOOKUP(M1462,MgValor,2,0)*VLOOKUP(P1462,MgDeg,2,0),0)</f>
        <v/>
      </c>
      <c r="T1462" s="30">
        <f>MAX(Q1462:S1462)</f>
        <v/>
      </c>
      <c r="U1462" s="28">
        <f>IFERROR(LOOKUP(T1462,{0;0.5;1.5;3;4.5},{"Despreciable";"Bajo";"Medio";"Alto";"Muy alto"}),"")</f>
        <v/>
      </c>
      <c r="V1462" s="13">
        <f>IFERROR(INDEX(MgAmenFrec,MATCH(SUBSTITUTE($H1462,"*","-"),MgAmenClave,0)),"")</f>
        <v/>
      </c>
      <c r="W1462" s="28">
        <f>IFERROR(LOOKUP(X1462,{0;0.01;0.1;1;10;100},{"Muy baja";"Muy baja";"Baja";"Media";"Alta";"Muy alta"}),"")</f>
        <v/>
      </c>
      <c r="X1462" s="31">
        <f>IFERROR(VLOOKUP(V1462,MgFrec,2,0),0)</f>
        <v/>
      </c>
      <c r="Y1462" s="30">
        <f>T1462*X1462</f>
        <v/>
      </c>
      <c r="Z1462" s="28">
        <f>IFERROR(LOOKUP(Y1462,{0;0.5;5;25},{"Bajo";"Medio";"Alto";"Crítico"}),"")</f>
        <v/>
      </c>
      <c r="AA1462" s="64">
        <f>IF(T1462&gt;=3,IF(X1462&gt;=1,"Zona 1 — Crítica: impacto alto y ocurre al menos una vez al año","Zona 4 — Catastrófica poco probable: impacto alto pero excepcional"),IF(AND(T1462&lt;1.5,X1462&lt;1),"Zona 3 — Asumible: impacto bajo y muy poco frecuente","Zona 2 — Atención: riesgo intermedio"))</f>
        <v/>
      </c>
      <c r="AB1462" s="64">
        <f>IFERROR(INDEX(MgAmenCtrl,MATCH(SUBSTITUTE($H1462,"*","-"),MgAmenClave,0)),"")</f>
        <v/>
      </c>
      <c r="AC1462" s="20" t="n"/>
      <c r="AD1462" s="31">
        <f>IFERROR($X1462*(1-IF($AC1462="",$AL1462,VLOOKUP($AC1462,MgMad,2,0))),"")</f>
        <v/>
      </c>
      <c r="AE1462" s="28">
        <f>IFERROR(LOOKUP(AD1462,{0;0.01;0.1;1;10;100},{"Muy baja";"Muy baja";"Baja";"Media";"Alta";"Muy alta"}),"")</f>
        <v/>
      </c>
      <c r="AF1462" s="30">
        <f>T1462*AD1462</f>
        <v/>
      </c>
      <c r="AG1462" s="28">
        <f>IFERROR(LOOKUP(AF1462,{0;0.5;5;25},{"Bajo";"Medio";"Alto";"Crítico"}),"")</f>
        <v/>
      </c>
      <c r="AH1462" s="28">
        <f>IF(AG1462="","",IF(OR(AG1462="Crítico",AG1462="Alto"),"Mitigar",IF(AG1462="Medio","Mitigar","Aceptar y monitorear")))</f>
        <v/>
      </c>
      <c r="AI1462" s="21" t="n"/>
      <c r="AJ1462" s="21" t="n"/>
      <c r="AK1462" s="20" t="n"/>
      <c r="AL1462" s="77">
        <f>IFERROR(INDEX(MgAmenEfic,MATCH(SUBSTITUTE($H1462,"*","-"),MgAmenClave,0)),0)</f>
        <v/>
      </c>
    </row>
    <row r="1463" hidden="1" ht="105" customHeight="1" s="54">
      <c r="B1463" s="59" t="inlineStr">
        <is>
          <t>R-1458</t>
        </is>
      </c>
      <c r="C1463" s="59" t="inlineStr">
        <is>
          <t>GH-041</t>
        </is>
      </c>
      <c r="D1463" s="64">
        <f>IFERROR(INDEX(MgNombre,MATCH($C1463,MgActId,0)),"")</f>
        <v/>
      </c>
      <c r="E1463" s="64">
        <f>IFERROR(INDEX(MgProceso,MATCH($C1463,MgActId,0)),"")</f>
        <v/>
      </c>
      <c r="F1463" s="64">
        <f>IFERROR(INDEX(MgTipo,MATCH($C1463,MgActId,0)),"")</f>
        <v/>
      </c>
      <c r="G1463" s="64">
        <f>IFERROR(INDEX(MgSubtipo,MATCH($C1463,MgActId,0)),"")</f>
        <v/>
      </c>
      <c r="H1463" s="59" t="inlineStr">
        <is>
          <t>E.19</t>
        </is>
      </c>
      <c r="I1463" s="64">
        <f>IFERROR(INDEX(MgAmenNombre,MATCH(SUBSTITUTE($H1463,"*","-"),MgAmenClave,0)),"")</f>
        <v/>
      </c>
      <c r="J1463" s="28">
        <f>IFERROR(INDEX(MgAmenGrupo,MATCH(SUBSTITUTE($H1463,"*","-"),MgAmenClave,0)),"")</f>
        <v/>
      </c>
      <c r="K1463" s="64">
        <f>IFERROR(INDEX('1. Matriz de Activos'!$Q$6:$Q$239,MATCH($C1463,MgActId,0)),"")</f>
        <v/>
      </c>
      <c r="L1463" s="64">
        <f>IFERROR(INDEX('1. Matriz de Activos'!$R$6:$R$239,MATCH($C1463,MgActId,0)),"")</f>
        <v/>
      </c>
      <c r="M1463" s="64">
        <f>IFERROR(INDEX('1. Matriz de Activos'!$S$6:$S$239,MATCH($C1463,MgActId,0)),"")</f>
        <v/>
      </c>
      <c r="N1463" s="28">
        <f>IFERROR(INDEX(MgAmenDegD,MATCH(SUBSTITUTE($H1463,"*","-"),MgAmenClave,0)),"No aplica")</f>
        <v/>
      </c>
      <c r="O1463" s="28">
        <f>IFERROR(INDEX(MgAmenDegI,MATCH(SUBSTITUTE($H1463,"*","-"),MgAmenClave,0)),"No aplica")</f>
        <v/>
      </c>
      <c r="P1463" s="28">
        <f>IFERROR(INDEX(MgAmenDegC,MATCH(SUBSTITUTE($H1463,"*","-"),MgAmenClave,0)),"No aplica")</f>
        <v/>
      </c>
      <c r="Q1463" s="29">
        <f>IFERROR(VLOOKUP(K1463,MgValor,2,0)*VLOOKUP(N1463,MgDeg,2,0),0)</f>
        <v/>
      </c>
      <c r="R1463" s="29">
        <f>IFERROR(VLOOKUP(L1463,MgValor,2,0)*VLOOKUP(O1463,MgDeg,2,0),0)</f>
        <v/>
      </c>
      <c r="S1463" s="29">
        <f>IFERROR(VLOOKUP(M1463,MgValor,2,0)*VLOOKUP(P1463,MgDeg,2,0),0)</f>
        <v/>
      </c>
      <c r="T1463" s="30">
        <f>MAX(Q1463:S1463)</f>
        <v/>
      </c>
      <c r="U1463" s="28">
        <f>IFERROR(LOOKUP(T1463,{0;0.5;1.5;3;4.5},{"Despreciable";"Bajo";"Medio";"Alto";"Muy alto"}),"")</f>
        <v/>
      </c>
      <c r="V1463" s="13">
        <f>IFERROR(INDEX(MgAmenFrec,MATCH(SUBSTITUTE($H1463,"*","-"),MgAmenClave,0)),"")</f>
        <v/>
      </c>
      <c r="W1463" s="28">
        <f>IFERROR(LOOKUP(X1463,{0;0.01;0.1;1;10;100},{"Muy baja";"Muy baja";"Baja";"Media";"Alta";"Muy alta"}),"")</f>
        <v/>
      </c>
      <c r="X1463" s="31">
        <f>IFERROR(VLOOKUP(V1463,MgFrec,2,0),0)</f>
        <v/>
      </c>
      <c r="Y1463" s="30">
        <f>T1463*X1463</f>
        <v/>
      </c>
      <c r="Z1463" s="28">
        <f>IFERROR(LOOKUP(Y1463,{0;0.5;5;25},{"Bajo";"Medio";"Alto";"Crítico"}),"")</f>
        <v/>
      </c>
      <c r="AA1463" s="64">
        <f>IF(T1463&gt;=3,IF(X1463&gt;=1,"Zona 1 — Crítica: impacto alto y ocurre al menos una vez al año","Zona 4 — Catastrófica poco probable: impacto alto pero excepcional"),IF(AND(T1463&lt;1.5,X1463&lt;1),"Zona 3 — Asumible: impacto bajo y muy poco frecuente","Zona 2 — Atención: riesgo intermedio"))</f>
        <v/>
      </c>
      <c r="AB1463" s="64">
        <f>IFERROR(INDEX(MgAmenCtrl,MATCH(SUBSTITUTE($H1463,"*","-"),MgAmenClave,0)),"")</f>
        <v/>
      </c>
      <c r="AC1463" s="20" t="n"/>
      <c r="AD1463" s="31">
        <f>IFERROR($X1463*(1-IF($AC1463="",$AL1463,VLOOKUP($AC1463,MgMad,2,0))),"")</f>
        <v/>
      </c>
      <c r="AE1463" s="28">
        <f>IFERROR(LOOKUP(AD1463,{0;0.01;0.1;1;10;100},{"Muy baja";"Muy baja";"Baja";"Media";"Alta";"Muy alta"}),"")</f>
        <v/>
      </c>
      <c r="AF1463" s="30">
        <f>T1463*AD1463</f>
        <v/>
      </c>
      <c r="AG1463" s="28">
        <f>IFERROR(LOOKUP(AF1463,{0;0.5;5;25},{"Bajo";"Medio";"Alto";"Crítico"}),"")</f>
        <v/>
      </c>
      <c r="AH1463" s="28">
        <f>IF(AG1463="","",IF(OR(AG1463="Crítico",AG1463="Alto"),"Mitigar",IF(AG1463="Medio","Mitigar","Aceptar y monitorear")))</f>
        <v/>
      </c>
      <c r="AI1463" s="21" t="n"/>
      <c r="AJ1463" s="21" t="n"/>
      <c r="AK1463" s="20" t="n"/>
      <c r="AL1463" s="77">
        <f>IFERROR(INDEX(MgAmenEfic,MATCH(SUBSTITUTE($H1463,"*","-"),MgAmenClave,0)),0)</f>
        <v/>
      </c>
    </row>
    <row r="1464" hidden="1" ht="60" customHeight="1" s="54">
      <c r="B1464" s="59" t="inlineStr">
        <is>
          <t>R-1459</t>
        </is>
      </c>
      <c r="C1464" s="59" t="inlineStr">
        <is>
          <t>GH-041</t>
        </is>
      </c>
      <c r="D1464" s="64">
        <f>IFERROR(INDEX(MgNombre,MATCH($C1464,MgActId,0)),"")</f>
        <v/>
      </c>
      <c r="E1464" s="64">
        <f>IFERROR(INDEX(MgProceso,MATCH($C1464,MgActId,0)),"")</f>
        <v/>
      </c>
      <c r="F1464" s="64">
        <f>IFERROR(INDEX(MgTipo,MATCH($C1464,MgActId,0)),"")</f>
        <v/>
      </c>
      <c r="G1464" s="64">
        <f>IFERROR(INDEX(MgSubtipo,MATCH($C1464,MgActId,0)),"")</f>
        <v/>
      </c>
      <c r="H1464" s="59" t="inlineStr">
        <is>
          <t>A.3</t>
        </is>
      </c>
      <c r="I1464" s="64">
        <f>IFERROR(INDEX(MgAmenNombre,MATCH(SUBSTITUTE($H1464,"*","-"),MgAmenClave,0)),"")</f>
        <v/>
      </c>
      <c r="J1464" s="28">
        <f>IFERROR(INDEX(MgAmenGrupo,MATCH(SUBSTITUTE($H1464,"*","-"),MgAmenClave,0)),"")</f>
        <v/>
      </c>
      <c r="K1464" s="64">
        <f>IFERROR(INDEX('1. Matriz de Activos'!$Q$6:$Q$239,MATCH($C1464,MgActId,0)),"")</f>
        <v/>
      </c>
      <c r="L1464" s="64">
        <f>IFERROR(INDEX('1. Matriz de Activos'!$R$6:$R$239,MATCH($C1464,MgActId,0)),"")</f>
        <v/>
      </c>
      <c r="M1464" s="64">
        <f>IFERROR(INDEX('1. Matriz de Activos'!$S$6:$S$239,MATCH($C1464,MgActId,0)),"")</f>
        <v/>
      </c>
      <c r="N1464" s="28">
        <f>IFERROR(INDEX(MgAmenDegD,MATCH(SUBSTITUTE($H1464,"*","-"),MgAmenClave,0)),"No aplica")</f>
        <v/>
      </c>
      <c r="O1464" s="28">
        <f>IFERROR(INDEX(MgAmenDegI,MATCH(SUBSTITUTE($H1464,"*","-"),MgAmenClave,0)),"No aplica")</f>
        <v/>
      </c>
      <c r="P1464" s="28">
        <f>IFERROR(INDEX(MgAmenDegC,MATCH(SUBSTITUTE($H1464,"*","-"),MgAmenClave,0)),"No aplica")</f>
        <v/>
      </c>
      <c r="Q1464" s="29">
        <f>IFERROR(VLOOKUP(K1464,MgValor,2,0)*VLOOKUP(N1464,MgDeg,2,0),0)</f>
        <v/>
      </c>
      <c r="R1464" s="29">
        <f>IFERROR(VLOOKUP(L1464,MgValor,2,0)*VLOOKUP(O1464,MgDeg,2,0),0)</f>
        <v/>
      </c>
      <c r="S1464" s="29">
        <f>IFERROR(VLOOKUP(M1464,MgValor,2,0)*VLOOKUP(P1464,MgDeg,2,0),0)</f>
        <v/>
      </c>
      <c r="T1464" s="30">
        <f>MAX(Q1464:S1464)</f>
        <v/>
      </c>
      <c r="U1464" s="28">
        <f>IFERROR(LOOKUP(T1464,{0;0.5;1.5;3;4.5},{"Despreciable";"Bajo";"Medio";"Alto";"Muy alto"}),"")</f>
        <v/>
      </c>
      <c r="V1464" s="13">
        <f>IFERROR(INDEX(MgAmenFrec,MATCH(SUBSTITUTE($H1464,"*","-"),MgAmenClave,0)),"")</f>
        <v/>
      </c>
      <c r="W1464" s="28">
        <f>IFERROR(LOOKUP(X1464,{0;0.01;0.1;1;10;100},{"Muy baja";"Muy baja";"Baja";"Media";"Alta";"Muy alta"}),"")</f>
        <v/>
      </c>
      <c r="X1464" s="31">
        <f>IFERROR(VLOOKUP(V1464,MgFrec,2,0),0)</f>
        <v/>
      </c>
      <c r="Y1464" s="30">
        <f>T1464*X1464</f>
        <v/>
      </c>
      <c r="Z1464" s="28">
        <f>IFERROR(LOOKUP(Y1464,{0;0.5;5;25},{"Bajo";"Medio";"Alto";"Crítico"}),"")</f>
        <v/>
      </c>
      <c r="AA1464" s="64">
        <f>IF(T1464&gt;=3,IF(X1464&gt;=1,"Zona 1 — Crítica: impacto alto y ocurre al menos una vez al año","Zona 4 — Catastrófica poco probable: impacto alto pero excepcional"),IF(AND(T1464&lt;1.5,X1464&lt;1),"Zona 3 — Asumible: impacto bajo y muy poco frecuente","Zona 2 — Atención: riesgo intermedio"))</f>
        <v/>
      </c>
      <c r="AB1464" s="64">
        <f>IFERROR(INDEX(MgAmenCtrl,MATCH(SUBSTITUTE($H1464,"*","-"),MgAmenClave,0)),"")</f>
        <v/>
      </c>
      <c r="AC1464" s="20" t="n"/>
      <c r="AD1464" s="31">
        <f>IFERROR($X1464*(1-IF($AC1464="",$AL1464,VLOOKUP($AC1464,MgMad,2,0))),"")</f>
        <v/>
      </c>
      <c r="AE1464" s="28">
        <f>IFERROR(LOOKUP(AD1464,{0;0.01;0.1;1;10;100},{"Muy baja";"Muy baja";"Baja";"Media";"Alta";"Muy alta"}),"")</f>
        <v/>
      </c>
      <c r="AF1464" s="30">
        <f>T1464*AD1464</f>
        <v/>
      </c>
      <c r="AG1464" s="28">
        <f>IFERROR(LOOKUP(AF1464,{0;0.5;5;25},{"Bajo";"Medio";"Alto";"Crítico"}),"")</f>
        <v/>
      </c>
      <c r="AH1464" s="28">
        <f>IF(AG1464="","",IF(OR(AG1464="Crítico",AG1464="Alto"),"Mitigar",IF(AG1464="Medio","Mitigar","Aceptar y monitorear")))</f>
        <v/>
      </c>
      <c r="AI1464" s="21" t="n"/>
      <c r="AJ1464" s="21" t="n"/>
      <c r="AK1464" s="20" t="n"/>
      <c r="AL1464" s="77">
        <f>IFERROR(INDEX(MgAmenEfic,MATCH(SUBSTITUTE($H1464,"*","-"),MgAmenClave,0)),0)</f>
        <v/>
      </c>
    </row>
    <row r="1465" hidden="1" ht="60" customHeight="1" s="54">
      <c r="B1465" s="59" t="inlineStr">
        <is>
          <t>R-1460</t>
        </is>
      </c>
      <c r="C1465" s="59" t="inlineStr">
        <is>
          <t>GH-041</t>
        </is>
      </c>
      <c r="D1465" s="64">
        <f>IFERROR(INDEX(MgNombre,MATCH($C1465,MgActId,0)),"")</f>
        <v/>
      </c>
      <c r="E1465" s="64">
        <f>IFERROR(INDEX(MgProceso,MATCH($C1465,MgActId,0)),"")</f>
        <v/>
      </c>
      <c r="F1465" s="64">
        <f>IFERROR(INDEX(MgTipo,MATCH($C1465,MgActId,0)),"")</f>
        <v/>
      </c>
      <c r="G1465" s="64">
        <f>IFERROR(INDEX(MgSubtipo,MATCH($C1465,MgActId,0)),"")</f>
        <v/>
      </c>
      <c r="H1465" s="59" t="inlineStr">
        <is>
          <t>A.4</t>
        </is>
      </c>
      <c r="I1465" s="64">
        <f>IFERROR(INDEX(MgAmenNombre,MATCH(SUBSTITUTE($H1465,"*","-"),MgAmenClave,0)),"")</f>
        <v/>
      </c>
      <c r="J1465" s="28">
        <f>IFERROR(INDEX(MgAmenGrupo,MATCH(SUBSTITUTE($H1465,"*","-"),MgAmenClave,0)),"")</f>
        <v/>
      </c>
      <c r="K1465" s="64">
        <f>IFERROR(INDEX('1. Matriz de Activos'!$Q$6:$Q$239,MATCH($C1465,MgActId,0)),"")</f>
        <v/>
      </c>
      <c r="L1465" s="64">
        <f>IFERROR(INDEX('1. Matriz de Activos'!$R$6:$R$239,MATCH($C1465,MgActId,0)),"")</f>
        <v/>
      </c>
      <c r="M1465" s="64">
        <f>IFERROR(INDEX('1. Matriz de Activos'!$S$6:$S$239,MATCH($C1465,MgActId,0)),"")</f>
        <v/>
      </c>
      <c r="N1465" s="28">
        <f>IFERROR(INDEX(MgAmenDegD,MATCH(SUBSTITUTE($H1465,"*","-"),MgAmenClave,0)),"No aplica")</f>
        <v/>
      </c>
      <c r="O1465" s="28">
        <f>IFERROR(INDEX(MgAmenDegI,MATCH(SUBSTITUTE($H1465,"*","-"),MgAmenClave,0)),"No aplica")</f>
        <v/>
      </c>
      <c r="P1465" s="28">
        <f>IFERROR(INDEX(MgAmenDegC,MATCH(SUBSTITUTE($H1465,"*","-"),MgAmenClave,0)),"No aplica")</f>
        <v/>
      </c>
      <c r="Q1465" s="29">
        <f>IFERROR(VLOOKUP(K1465,MgValor,2,0)*VLOOKUP(N1465,MgDeg,2,0),0)</f>
        <v/>
      </c>
      <c r="R1465" s="29">
        <f>IFERROR(VLOOKUP(L1465,MgValor,2,0)*VLOOKUP(O1465,MgDeg,2,0),0)</f>
        <v/>
      </c>
      <c r="S1465" s="29">
        <f>IFERROR(VLOOKUP(M1465,MgValor,2,0)*VLOOKUP(P1465,MgDeg,2,0),0)</f>
        <v/>
      </c>
      <c r="T1465" s="30">
        <f>MAX(Q1465:S1465)</f>
        <v/>
      </c>
      <c r="U1465" s="28">
        <f>IFERROR(LOOKUP(T1465,{0;0.5;1.5;3;4.5},{"Despreciable";"Bajo";"Medio";"Alto";"Muy alto"}),"")</f>
        <v/>
      </c>
      <c r="V1465" s="13">
        <f>IFERROR(INDEX(MgAmenFrec,MATCH(SUBSTITUTE($H1465,"*","-"),MgAmenClave,0)),"")</f>
        <v/>
      </c>
      <c r="W1465" s="28">
        <f>IFERROR(LOOKUP(X1465,{0;0.01;0.1;1;10;100},{"Muy baja";"Muy baja";"Baja";"Media";"Alta";"Muy alta"}),"")</f>
        <v/>
      </c>
      <c r="X1465" s="31">
        <f>IFERROR(VLOOKUP(V1465,MgFrec,2,0),0)</f>
        <v/>
      </c>
      <c r="Y1465" s="30">
        <f>T1465*X1465</f>
        <v/>
      </c>
      <c r="Z1465" s="28">
        <f>IFERROR(LOOKUP(Y1465,{0;0.5;5;25},{"Bajo";"Medio";"Alto";"Crítico"}),"")</f>
        <v/>
      </c>
      <c r="AA1465" s="64">
        <f>IF(T1465&gt;=3,IF(X1465&gt;=1,"Zona 1 — Crítica: impacto alto y ocurre al menos una vez al año","Zona 4 — Catastrófica poco probable: impacto alto pero excepcional"),IF(AND(T1465&lt;1.5,X1465&lt;1),"Zona 3 — Asumible: impacto bajo y muy poco frecuente","Zona 2 — Atención: riesgo intermedio"))</f>
        <v/>
      </c>
      <c r="AB1465" s="64">
        <f>IFERROR(INDEX(MgAmenCtrl,MATCH(SUBSTITUTE($H1465,"*","-"),MgAmenClave,0)),"")</f>
        <v/>
      </c>
      <c r="AC1465" s="20" t="n"/>
      <c r="AD1465" s="31">
        <f>IFERROR($X1465*(1-IF($AC1465="",$AL1465,VLOOKUP($AC1465,MgMad,2,0))),"")</f>
        <v/>
      </c>
      <c r="AE1465" s="28">
        <f>IFERROR(LOOKUP(AD1465,{0;0.01;0.1;1;10;100},{"Muy baja";"Muy baja";"Baja";"Media";"Alta";"Muy alta"}),"")</f>
        <v/>
      </c>
      <c r="AF1465" s="30">
        <f>T1465*AD1465</f>
        <v/>
      </c>
      <c r="AG1465" s="28">
        <f>IFERROR(LOOKUP(AF1465,{0;0.5;5;25},{"Bajo";"Medio";"Alto";"Crítico"}),"")</f>
        <v/>
      </c>
      <c r="AH1465" s="28">
        <f>IF(AG1465="","",IF(OR(AG1465="Crítico",AG1465="Alto"),"Mitigar",IF(AG1465="Medio","Mitigar","Aceptar y monitorear")))</f>
        <v/>
      </c>
      <c r="AI1465" s="21" t="n"/>
      <c r="AJ1465" s="21" t="n"/>
      <c r="AK1465" s="20" t="n"/>
      <c r="AL1465" s="77">
        <f>IFERROR(INDEX(MgAmenEfic,MATCH(SUBSTITUTE($H1465,"*","-"),MgAmenClave,0)),0)</f>
        <v/>
      </c>
    </row>
    <row r="1466" hidden="1" ht="75" customHeight="1" s="54">
      <c r="B1466" s="59" t="inlineStr">
        <is>
          <t>R-1461</t>
        </is>
      </c>
      <c r="C1466" s="59" t="inlineStr">
        <is>
          <t>GH-041</t>
        </is>
      </c>
      <c r="D1466" s="64">
        <f>IFERROR(INDEX(MgNombre,MATCH($C1466,MgActId,0)),"")</f>
        <v/>
      </c>
      <c r="E1466" s="64">
        <f>IFERROR(INDEX(MgProceso,MATCH($C1466,MgActId,0)),"")</f>
        <v/>
      </c>
      <c r="F1466" s="64">
        <f>IFERROR(INDEX(MgTipo,MATCH($C1466,MgActId,0)),"")</f>
        <v/>
      </c>
      <c r="G1466" s="64">
        <f>IFERROR(INDEX(MgSubtipo,MATCH($C1466,MgActId,0)),"")</f>
        <v/>
      </c>
      <c r="H1466" s="59" t="inlineStr">
        <is>
          <t>A.5</t>
        </is>
      </c>
      <c r="I1466" s="64">
        <f>IFERROR(INDEX(MgAmenNombre,MATCH(SUBSTITUTE($H1466,"*","-"),MgAmenClave,0)),"")</f>
        <v/>
      </c>
      <c r="J1466" s="28">
        <f>IFERROR(INDEX(MgAmenGrupo,MATCH(SUBSTITUTE($H1466,"*","-"),MgAmenClave,0)),"")</f>
        <v/>
      </c>
      <c r="K1466" s="64">
        <f>IFERROR(INDEX('1. Matriz de Activos'!$Q$6:$Q$239,MATCH($C1466,MgActId,0)),"")</f>
        <v/>
      </c>
      <c r="L1466" s="64">
        <f>IFERROR(INDEX('1. Matriz de Activos'!$R$6:$R$239,MATCH($C1466,MgActId,0)),"")</f>
        <v/>
      </c>
      <c r="M1466" s="64">
        <f>IFERROR(INDEX('1. Matriz de Activos'!$S$6:$S$239,MATCH($C1466,MgActId,0)),"")</f>
        <v/>
      </c>
      <c r="N1466" s="28">
        <f>IFERROR(INDEX(MgAmenDegD,MATCH(SUBSTITUTE($H1466,"*","-"),MgAmenClave,0)),"No aplica")</f>
        <v/>
      </c>
      <c r="O1466" s="28">
        <f>IFERROR(INDEX(MgAmenDegI,MATCH(SUBSTITUTE($H1466,"*","-"),MgAmenClave,0)),"No aplica")</f>
        <v/>
      </c>
      <c r="P1466" s="28">
        <f>IFERROR(INDEX(MgAmenDegC,MATCH(SUBSTITUTE($H1466,"*","-"),MgAmenClave,0)),"No aplica")</f>
        <v/>
      </c>
      <c r="Q1466" s="29">
        <f>IFERROR(VLOOKUP(K1466,MgValor,2,0)*VLOOKUP(N1466,MgDeg,2,0),0)</f>
        <v/>
      </c>
      <c r="R1466" s="29">
        <f>IFERROR(VLOOKUP(L1466,MgValor,2,0)*VLOOKUP(O1466,MgDeg,2,0),0)</f>
        <v/>
      </c>
      <c r="S1466" s="29">
        <f>IFERROR(VLOOKUP(M1466,MgValor,2,0)*VLOOKUP(P1466,MgDeg,2,0),0)</f>
        <v/>
      </c>
      <c r="T1466" s="30">
        <f>MAX(Q1466:S1466)</f>
        <v/>
      </c>
      <c r="U1466" s="28">
        <f>IFERROR(LOOKUP(T1466,{0;0.5;1.5;3;4.5},{"Despreciable";"Bajo";"Medio";"Alto";"Muy alto"}),"")</f>
        <v/>
      </c>
      <c r="V1466" s="13">
        <f>IFERROR(INDEX(MgAmenFrec,MATCH(SUBSTITUTE($H1466,"*","-"),MgAmenClave,0)),"")</f>
        <v/>
      </c>
      <c r="W1466" s="28">
        <f>IFERROR(LOOKUP(X1466,{0;0.01;0.1;1;10;100},{"Muy baja";"Muy baja";"Baja";"Media";"Alta";"Muy alta"}),"")</f>
        <v/>
      </c>
      <c r="X1466" s="31">
        <f>IFERROR(VLOOKUP(V1466,MgFrec,2,0),0)</f>
        <v/>
      </c>
      <c r="Y1466" s="30">
        <f>T1466*X1466</f>
        <v/>
      </c>
      <c r="Z1466" s="28">
        <f>IFERROR(LOOKUP(Y1466,{0;0.5;5;25},{"Bajo";"Medio";"Alto";"Crítico"}),"")</f>
        <v/>
      </c>
      <c r="AA1466" s="64">
        <f>IF(T1466&gt;=3,IF(X1466&gt;=1,"Zona 1 — Crítica: impacto alto y ocurre al menos una vez al año","Zona 4 — Catastrófica poco probable: impacto alto pero excepcional"),IF(AND(T1466&lt;1.5,X1466&lt;1),"Zona 3 — Asumible: impacto bajo y muy poco frecuente","Zona 2 — Atención: riesgo intermedio"))</f>
        <v/>
      </c>
      <c r="AB1466" s="64">
        <f>IFERROR(INDEX(MgAmenCtrl,MATCH(SUBSTITUTE($H1466,"*","-"),MgAmenClave,0)),"")</f>
        <v/>
      </c>
      <c r="AC1466" s="20" t="n"/>
      <c r="AD1466" s="31">
        <f>IFERROR($X1466*(1-IF($AC1466="",$AL1466,VLOOKUP($AC1466,MgMad,2,0))),"")</f>
        <v/>
      </c>
      <c r="AE1466" s="28">
        <f>IFERROR(LOOKUP(AD1466,{0;0.01;0.1;1;10;100},{"Muy baja";"Muy baja";"Baja";"Media";"Alta";"Muy alta"}),"")</f>
        <v/>
      </c>
      <c r="AF1466" s="30">
        <f>T1466*AD1466</f>
        <v/>
      </c>
      <c r="AG1466" s="28">
        <f>IFERROR(LOOKUP(AF1466,{0;0.5;5;25},{"Bajo";"Medio";"Alto";"Crítico"}),"")</f>
        <v/>
      </c>
      <c r="AH1466" s="28">
        <f>IF(AG1466="","",IF(OR(AG1466="Crítico",AG1466="Alto"),"Mitigar",IF(AG1466="Medio","Mitigar","Aceptar y monitorear")))</f>
        <v/>
      </c>
      <c r="AI1466" s="21" t="n"/>
      <c r="AJ1466" s="21" t="n"/>
      <c r="AK1466" s="20" t="n"/>
      <c r="AL1466" s="77">
        <f>IFERROR(INDEX(MgAmenEfic,MATCH(SUBSTITUTE($H1466,"*","-"),MgAmenClave,0)),0)</f>
        <v/>
      </c>
    </row>
    <row r="1467" hidden="1" ht="105" customHeight="1" s="54">
      <c r="B1467" s="59" t="inlineStr">
        <is>
          <t>R-1462</t>
        </is>
      </c>
      <c r="C1467" s="59" t="inlineStr">
        <is>
          <t>GH-041</t>
        </is>
      </c>
      <c r="D1467" s="64">
        <f>IFERROR(INDEX(MgNombre,MATCH($C1467,MgActId,0)),"")</f>
        <v/>
      </c>
      <c r="E1467" s="64">
        <f>IFERROR(INDEX(MgProceso,MATCH($C1467,MgActId,0)),"")</f>
        <v/>
      </c>
      <c r="F1467" s="64">
        <f>IFERROR(INDEX(MgTipo,MATCH($C1467,MgActId,0)),"")</f>
        <v/>
      </c>
      <c r="G1467" s="64">
        <f>IFERROR(INDEX(MgSubtipo,MATCH($C1467,MgActId,0)),"")</f>
        <v/>
      </c>
      <c r="H1467" s="59" t="inlineStr">
        <is>
          <t>A.6</t>
        </is>
      </c>
      <c r="I1467" s="64">
        <f>IFERROR(INDEX(MgAmenNombre,MATCH(SUBSTITUTE($H1467,"*","-"),MgAmenClave,0)),"")</f>
        <v/>
      </c>
      <c r="J1467" s="28">
        <f>IFERROR(INDEX(MgAmenGrupo,MATCH(SUBSTITUTE($H1467,"*","-"),MgAmenClave,0)),"")</f>
        <v/>
      </c>
      <c r="K1467" s="64">
        <f>IFERROR(INDEX('1. Matriz de Activos'!$Q$6:$Q$239,MATCH($C1467,MgActId,0)),"")</f>
        <v/>
      </c>
      <c r="L1467" s="64">
        <f>IFERROR(INDEX('1. Matriz de Activos'!$R$6:$R$239,MATCH($C1467,MgActId,0)),"")</f>
        <v/>
      </c>
      <c r="M1467" s="64">
        <f>IFERROR(INDEX('1. Matriz de Activos'!$S$6:$S$239,MATCH($C1467,MgActId,0)),"")</f>
        <v/>
      </c>
      <c r="N1467" s="28">
        <f>IFERROR(INDEX(MgAmenDegD,MATCH(SUBSTITUTE($H1467,"*","-"),MgAmenClave,0)),"No aplica")</f>
        <v/>
      </c>
      <c r="O1467" s="28">
        <f>IFERROR(INDEX(MgAmenDegI,MATCH(SUBSTITUTE($H1467,"*","-"),MgAmenClave,0)),"No aplica")</f>
        <v/>
      </c>
      <c r="P1467" s="28">
        <f>IFERROR(INDEX(MgAmenDegC,MATCH(SUBSTITUTE($H1467,"*","-"),MgAmenClave,0)),"No aplica")</f>
        <v/>
      </c>
      <c r="Q1467" s="29">
        <f>IFERROR(VLOOKUP(K1467,MgValor,2,0)*VLOOKUP(N1467,MgDeg,2,0),0)</f>
        <v/>
      </c>
      <c r="R1467" s="29">
        <f>IFERROR(VLOOKUP(L1467,MgValor,2,0)*VLOOKUP(O1467,MgDeg,2,0),0)</f>
        <v/>
      </c>
      <c r="S1467" s="29">
        <f>IFERROR(VLOOKUP(M1467,MgValor,2,0)*VLOOKUP(P1467,MgDeg,2,0),0)</f>
        <v/>
      </c>
      <c r="T1467" s="30">
        <f>MAX(Q1467:S1467)</f>
        <v/>
      </c>
      <c r="U1467" s="28">
        <f>IFERROR(LOOKUP(T1467,{0;0.5;1.5;3;4.5},{"Despreciable";"Bajo";"Medio";"Alto";"Muy alto"}),"")</f>
        <v/>
      </c>
      <c r="V1467" s="13">
        <f>IFERROR(INDEX(MgAmenFrec,MATCH(SUBSTITUTE($H1467,"*","-"),MgAmenClave,0)),"")</f>
        <v/>
      </c>
      <c r="W1467" s="28">
        <f>IFERROR(LOOKUP(X1467,{0;0.01;0.1;1;10;100},{"Muy baja";"Muy baja";"Baja";"Media";"Alta";"Muy alta"}),"")</f>
        <v/>
      </c>
      <c r="X1467" s="31">
        <f>IFERROR(VLOOKUP(V1467,MgFrec,2,0),0)</f>
        <v/>
      </c>
      <c r="Y1467" s="30">
        <f>T1467*X1467</f>
        <v/>
      </c>
      <c r="Z1467" s="28">
        <f>IFERROR(LOOKUP(Y1467,{0;0.5;5;25},{"Bajo";"Medio";"Alto";"Crítico"}),"")</f>
        <v/>
      </c>
      <c r="AA1467" s="64">
        <f>IF(T1467&gt;=3,IF(X1467&gt;=1,"Zona 1 — Crítica: impacto alto y ocurre al menos una vez al año","Zona 4 — Catastrófica poco probable: impacto alto pero excepcional"),IF(AND(T1467&lt;1.5,X1467&lt;1),"Zona 3 — Asumible: impacto bajo y muy poco frecuente","Zona 2 — Atención: riesgo intermedio"))</f>
        <v/>
      </c>
      <c r="AB1467" s="64">
        <f>IFERROR(INDEX(MgAmenCtrl,MATCH(SUBSTITUTE($H1467,"*","-"),MgAmenClave,0)),"")</f>
        <v/>
      </c>
      <c r="AC1467" s="20" t="n"/>
      <c r="AD1467" s="31">
        <f>IFERROR($X1467*(1-IF($AC1467="",$AL1467,VLOOKUP($AC1467,MgMad,2,0))),"")</f>
        <v/>
      </c>
      <c r="AE1467" s="28">
        <f>IFERROR(LOOKUP(AD1467,{0;0.01;0.1;1;10;100},{"Muy baja";"Muy baja";"Baja";"Media";"Alta";"Muy alta"}),"")</f>
        <v/>
      </c>
      <c r="AF1467" s="30">
        <f>T1467*AD1467</f>
        <v/>
      </c>
      <c r="AG1467" s="28">
        <f>IFERROR(LOOKUP(AF1467,{0;0.5;5;25},{"Bajo";"Medio";"Alto";"Crítico"}),"")</f>
        <v/>
      </c>
      <c r="AH1467" s="28">
        <f>IF(AG1467="","",IF(OR(AG1467="Crítico",AG1467="Alto"),"Mitigar",IF(AG1467="Medio","Mitigar","Aceptar y monitorear")))</f>
        <v/>
      </c>
      <c r="AI1467" s="21" t="n"/>
      <c r="AJ1467" s="21" t="n"/>
      <c r="AK1467" s="20" t="n"/>
      <c r="AL1467" s="77">
        <f>IFERROR(INDEX(MgAmenEfic,MATCH(SUBSTITUTE($H1467,"*","-"),MgAmenClave,0)),0)</f>
        <v/>
      </c>
    </row>
    <row r="1468" hidden="1" ht="120" customHeight="1" s="54">
      <c r="B1468" s="59" t="inlineStr">
        <is>
          <t>R-1463</t>
        </is>
      </c>
      <c r="C1468" s="59" t="inlineStr">
        <is>
          <t>GH-041</t>
        </is>
      </c>
      <c r="D1468" s="64">
        <f>IFERROR(INDEX(MgNombre,MATCH($C1468,MgActId,0)),"")</f>
        <v/>
      </c>
      <c r="E1468" s="64">
        <f>IFERROR(INDEX(MgProceso,MATCH($C1468,MgActId,0)),"")</f>
        <v/>
      </c>
      <c r="F1468" s="64">
        <f>IFERROR(INDEX(MgTipo,MATCH($C1468,MgActId,0)),"")</f>
        <v/>
      </c>
      <c r="G1468" s="64">
        <f>IFERROR(INDEX(MgSubtipo,MATCH($C1468,MgActId,0)),"")</f>
        <v/>
      </c>
      <c r="H1468" s="59" t="inlineStr">
        <is>
          <t>A.11</t>
        </is>
      </c>
      <c r="I1468" s="64">
        <f>IFERROR(INDEX(MgAmenNombre,MATCH(SUBSTITUTE($H1468,"*","-"),MgAmenClave,0)),"")</f>
        <v/>
      </c>
      <c r="J1468" s="28">
        <f>IFERROR(INDEX(MgAmenGrupo,MATCH(SUBSTITUTE($H1468,"*","-"),MgAmenClave,0)),"")</f>
        <v/>
      </c>
      <c r="K1468" s="64">
        <f>IFERROR(INDEX('1. Matriz de Activos'!$Q$6:$Q$239,MATCH($C1468,MgActId,0)),"")</f>
        <v/>
      </c>
      <c r="L1468" s="64">
        <f>IFERROR(INDEX('1. Matriz de Activos'!$R$6:$R$239,MATCH($C1468,MgActId,0)),"")</f>
        <v/>
      </c>
      <c r="M1468" s="64">
        <f>IFERROR(INDEX('1. Matriz de Activos'!$S$6:$S$239,MATCH($C1468,MgActId,0)),"")</f>
        <v/>
      </c>
      <c r="N1468" s="28">
        <f>IFERROR(INDEX(MgAmenDegD,MATCH(SUBSTITUTE($H1468,"*","-"),MgAmenClave,0)),"No aplica")</f>
        <v/>
      </c>
      <c r="O1468" s="28">
        <f>IFERROR(INDEX(MgAmenDegI,MATCH(SUBSTITUTE($H1468,"*","-"),MgAmenClave,0)),"No aplica")</f>
        <v/>
      </c>
      <c r="P1468" s="28">
        <f>IFERROR(INDEX(MgAmenDegC,MATCH(SUBSTITUTE($H1468,"*","-"),MgAmenClave,0)),"No aplica")</f>
        <v/>
      </c>
      <c r="Q1468" s="29">
        <f>IFERROR(VLOOKUP(K1468,MgValor,2,0)*VLOOKUP(N1468,MgDeg,2,0),0)</f>
        <v/>
      </c>
      <c r="R1468" s="29">
        <f>IFERROR(VLOOKUP(L1468,MgValor,2,0)*VLOOKUP(O1468,MgDeg,2,0),0)</f>
        <v/>
      </c>
      <c r="S1468" s="29">
        <f>IFERROR(VLOOKUP(M1468,MgValor,2,0)*VLOOKUP(P1468,MgDeg,2,0),0)</f>
        <v/>
      </c>
      <c r="T1468" s="30">
        <f>MAX(Q1468:S1468)</f>
        <v/>
      </c>
      <c r="U1468" s="28">
        <f>IFERROR(LOOKUP(T1468,{0;0.5;1.5;3;4.5},{"Despreciable";"Bajo";"Medio";"Alto";"Muy alto"}),"")</f>
        <v/>
      </c>
      <c r="V1468" s="13">
        <f>IFERROR(INDEX(MgAmenFrec,MATCH(SUBSTITUTE($H1468,"*","-"),MgAmenClave,0)),"")</f>
        <v/>
      </c>
      <c r="W1468" s="28">
        <f>IFERROR(LOOKUP(X1468,{0;0.01;0.1;1;10;100},{"Muy baja";"Muy baja";"Baja";"Media";"Alta";"Muy alta"}),"")</f>
        <v/>
      </c>
      <c r="X1468" s="31">
        <f>IFERROR(VLOOKUP(V1468,MgFrec,2,0),0)</f>
        <v/>
      </c>
      <c r="Y1468" s="30">
        <f>T1468*X1468</f>
        <v/>
      </c>
      <c r="Z1468" s="28">
        <f>IFERROR(LOOKUP(Y1468,{0;0.5;5;25},{"Bajo";"Medio";"Alto";"Crítico"}),"")</f>
        <v/>
      </c>
      <c r="AA1468" s="64">
        <f>IF(T1468&gt;=3,IF(X1468&gt;=1,"Zona 1 — Crítica: impacto alto y ocurre al menos una vez al año","Zona 4 — Catastrófica poco probable: impacto alto pero excepcional"),IF(AND(T1468&lt;1.5,X1468&lt;1),"Zona 3 — Asumible: impacto bajo y muy poco frecuente","Zona 2 — Atención: riesgo intermedio"))</f>
        <v/>
      </c>
      <c r="AB1468" s="64">
        <f>IFERROR(INDEX(MgAmenCtrl,MATCH(SUBSTITUTE($H1468,"*","-"),MgAmenClave,0)),"")</f>
        <v/>
      </c>
      <c r="AC1468" s="20" t="n"/>
      <c r="AD1468" s="31">
        <f>IFERROR($X1468*(1-IF($AC1468="",$AL1468,VLOOKUP($AC1468,MgMad,2,0))),"")</f>
        <v/>
      </c>
      <c r="AE1468" s="28">
        <f>IFERROR(LOOKUP(AD1468,{0;0.01;0.1;1;10;100},{"Muy baja";"Muy baja";"Baja";"Media";"Alta";"Muy alta"}),"")</f>
        <v/>
      </c>
      <c r="AF1468" s="30">
        <f>T1468*AD1468</f>
        <v/>
      </c>
      <c r="AG1468" s="28">
        <f>IFERROR(LOOKUP(AF1468,{0;0.5;5;25},{"Bajo";"Medio";"Alto";"Crítico"}),"")</f>
        <v/>
      </c>
      <c r="AH1468" s="28">
        <f>IF(AG1468="","",IF(OR(AG1468="Crítico",AG1468="Alto"),"Mitigar",IF(AG1468="Medio","Mitigar","Aceptar y monitorear")))</f>
        <v/>
      </c>
      <c r="AI1468" s="21" t="n"/>
      <c r="AJ1468" s="21" t="n"/>
      <c r="AK1468" s="20" t="n"/>
      <c r="AL1468" s="77">
        <f>IFERROR(INDEX(MgAmenEfic,MATCH(SUBSTITUTE($H1468,"*","-"),MgAmenClave,0)),0)</f>
        <v/>
      </c>
    </row>
    <row r="1469" hidden="1" ht="90" customHeight="1" s="54">
      <c r="B1469" s="59" t="inlineStr">
        <is>
          <t>R-1464</t>
        </is>
      </c>
      <c r="C1469" s="59" t="inlineStr">
        <is>
          <t>GH-041</t>
        </is>
      </c>
      <c r="D1469" s="64">
        <f>IFERROR(INDEX(MgNombre,MATCH($C1469,MgActId,0)),"")</f>
        <v/>
      </c>
      <c r="E1469" s="64">
        <f>IFERROR(INDEX(MgProceso,MATCH($C1469,MgActId,0)),"")</f>
        <v/>
      </c>
      <c r="F1469" s="64">
        <f>IFERROR(INDEX(MgTipo,MATCH($C1469,MgActId,0)),"")</f>
        <v/>
      </c>
      <c r="G1469" s="64">
        <f>IFERROR(INDEX(MgSubtipo,MATCH($C1469,MgActId,0)),"")</f>
        <v/>
      </c>
      <c r="H1469" s="59" t="inlineStr">
        <is>
          <t>A.13</t>
        </is>
      </c>
      <c r="I1469" s="64">
        <f>IFERROR(INDEX(MgAmenNombre,MATCH(SUBSTITUTE($H1469,"*","-"),MgAmenClave,0)),"")</f>
        <v/>
      </c>
      <c r="J1469" s="28">
        <f>IFERROR(INDEX(MgAmenGrupo,MATCH(SUBSTITUTE($H1469,"*","-"),MgAmenClave,0)),"")</f>
        <v/>
      </c>
      <c r="K1469" s="64">
        <f>IFERROR(INDEX('1. Matriz de Activos'!$Q$6:$Q$239,MATCH($C1469,MgActId,0)),"")</f>
        <v/>
      </c>
      <c r="L1469" s="64">
        <f>IFERROR(INDEX('1. Matriz de Activos'!$R$6:$R$239,MATCH($C1469,MgActId,0)),"")</f>
        <v/>
      </c>
      <c r="M1469" s="64">
        <f>IFERROR(INDEX('1. Matriz de Activos'!$S$6:$S$239,MATCH($C1469,MgActId,0)),"")</f>
        <v/>
      </c>
      <c r="N1469" s="28">
        <f>IFERROR(INDEX(MgAmenDegD,MATCH(SUBSTITUTE($H1469,"*","-"),MgAmenClave,0)),"No aplica")</f>
        <v/>
      </c>
      <c r="O1469" s="28">
        <f>IFERROR(INDEX(MgAmenDegI,MATCH(SUBSTITUTE($H1469,"*","-"),MgAmenClave,0)),"No aplica")</f>
        <v/>
      </c>
      <c r="P1469" s="28">
        <f>IFERROR(INDEX(MgAmenDegC,MATCH(SUBSTITUTE($H1469,"*","-"),MgAmenClave,0)),"No aplica")</f>
        <v/>
      </c>
      <c r="Q1469" s="29">
        <f>IFERROR(VLOOKUP(K1469,MgValor,2,0)*VLOOKUP(N1469,MgDeg,2,0),0)</f>
        <v/>
      </c>
      <c r="R1469" s="29">
        <f>IFERROR(VLOOKUP(L1469,MgValor,2,0)*VLOOKUP(O1469,MgDeg,2,0),0)</f>
        <v/>
      </c>
      <c r="S1469" s="29">
        <f>IFERROR(VLOOKUP(M1469,MgValor,2,0)*VLOOKUP(P1469,MgDeg,2,0),0)</f>
        <v/>
      </c>
      <c r="T1469" s="30">
        <f>MAX(Q1469:S1469)</f>
        <v/>
      </c>
      <c r="U1469" s="28">
        <f>IFERROR(LOOKUP(T1469,{0;0.5;1.5;3;4.5},{"Despreciable";"Bajo";"Medio";"Alto";"Muy alto"}),"")</f>
        <v/>
      </c>
      <c r="V1469" s="13">
        <f>IFERROR(INDEX(MgAmenFrec,MATCH(SUBSTITUTE($H1469,"*","-"),MgAmenClave,0)),"")</f>
        <v/>
      </c>
      <c r="W1469" s="28">
        <f>IFERROR(LOOKUP(X1469,{0;0.01;0.1;1;10;100},{"Muy baja";"Muy baja";"Baja";"Media";"Alta";"Muy alta"}),"")</f>
        <v/>
      </c>
      <c r="X1469" s="31">
        <f>IFERROR(VLOOKUP(V1469,MgFrec,2,0),0)</f>
        <v/>
      </c>
      <c r="Y1469" s="30">
        <f>T1469*X1469</f>
        <v/>
      </c>
      <c r="Z1469" s="28">
        <f>IFERROR(LOOKUP(Y1469,{0;0.5;5;25},{"Bajo";"Medio";"Alto";"Crítico"}),"")</f>
        <v/>
      </c>
      <c r="AA1469" s="64">
        <f>IF(T1469&gt;=3,IF(X1469&gt;=1,"Zona 1 — Crítica: impacto alto y ocurre al menos una vez al año","Zona 4 — Catastrófica poco probable: impacto alto pero excepcional"),IF(AND(T1469&lt;1.5,X1469&lt;1),"Zona 3 — Asumible: impacto bajo y muy poco frecuente","Zona 2 — Atención: riesgo intermedio"))</f>
        <v/>
      </c>
      <c r="AB1469" s="64">
        <f>IFERROR(INDEX(MgAmenCtrl,MATCH(SUBSTITUTE($H1469,"*","-"),MgAmenClave,0)),"")</f>
        <v/>
      </c>
      <c r="AC1469" s="20" t="n"/>
      <c r="AD1469" s="31">
        <f>IFERROR($X1469*(1-IF($AC1469="",$AL1469,VLOOKUP($AC1469,MgMad,2,0))),"")</f>
        <v/>
      </c>
      <c r="AE1469" s="28">
        <f>IFERROR(LOOKUP(AD1469,{0;0.01;0.1;1;10;100},{"Muy baja";"Muy baja";"Baja";"Media";"Alta";"Muy alta"}),"")</f>
        <v/>
      </c>
      <c r="AF1469" s="30">
        <f>T1469*AD1469</f>
        <v/>
      </c>
      <c r="AG1469" s="28">
        <f>IFERROR(LOOKUP(AF1469,{0;0.5;5;25},{"Bajo";"Medio";"Alto";"Crítico"}),"")</f>
        <v/>
      </c>
      <c r="AH1469" s="28">
        <f>IF(AG1469="","",IF(OR(AG1469="Crítico",AG1469="Alto"),"Mitigar",IF(AG1469="Medio","Mitigar","Aceptar y monitorear")))</f>
        <v/>
      </c>
      <c r="AI1469" s="21" t="n"/>
      <c r="AJ1469" s="21" t="n"/>
      <c r="AK1469" s="20" t="n"/>
      <c r="AL1469" s="77">
        <f>IFERROR(INDEX(MgAmenEfic,MATCH(SUBSTITUTE($H1469,"*","-"),MgAmenClave,0)),0)</f>
        <v/>
      </c>
    </row>
    <row r="1470" hidden="1" ht="60" customHeight="1" s="54">
      <c r="B1470" s="59" t="inlineStr">
        <is>
          <t>R-1465</t>
        </is>
      </c>
      <c r="C1470" s="59" t="inlineStr">
        <is>
          <t>GH-041</t>
        </is>
      </c>
      <c r="D1470" s="64">
        <f>IFERROR(INDEX(MgNombre,MATCH($C1470,MgActId,0)),"")</f>
        <v/>
      </c>
      <c r="E1470" s="64">
        <f>IFERROR(INDEX(MgProceso,MATCH($C1470,MgActId,0)),"")</f>
        <v/>
      </c>
      <c r="F1470" s="64">
        <f>IFERROR(INDEX(MgTipo,MATCH($C1470,MgActId,0)),"")</f>
        <v/>
      </c>
      <c r="G1470" s="64">
        <f>IFERROR(INDEX(MgSubtipo,MATCH($C1470,MgActId,0)),"")</f>
        <v/>
      </c>
      <c r="H1470" s="59" t="inlineStr">
        <is>
          <t>A.15</t>
        </is>
      </c>
      <c r="I1470" s="64">
        <f>IFERROR(INDEX(MgAmenNombre,MATCH(SUBSTITUTE($H1470,"*","-"),MgAmenClave,0)),"")</f>
        <v/>
      </c>
      <c r="J1470" s="28">
        <f>IFERROR(INDEX(MgAmenGrupo,MATCH(SUBSTITUTE($H1470,"*","-"),MgAmenClave,0)),"")</f>
        <v/>
      </c>
      <c r="K1470" s="64">
        <f>IFERROR(INDEX('1. Matriz de Activos'!$Q$6:$Q$239,MATCH($C1470,MgActId,0)),"")</f>
        <v/>
      </c>
      <c r="L1470" s="64">
        <f>IFERROR(INDEX('1. Matriz de Activos'!$R$6:$R$239,MATCH($C1470,MgActId,0)),"")</f>
        <v/>
      </c>
      <c r="M1470" s="64">
        <f>IFERROR(INDEX('1. Matriz de Activos'!$S$6:$S$239,MATCH($C1470,MgActId,0)),"")</f>
        <v/>
      </c>
      <c r="N1470" s="28">
        <f>IFERROR(INDEX(MgAmenDegD,MATCH(SUBSTITUTE($H1470,"*","-"),MgAmenClave,0)),"No aplica")</f>
        <v/>
      </c>
      <c r="O1470" s="28">
        <f>IFERROR(INDEX(MgAmenDegI,MATCH(SUBSTITUTE($H1470,"*","-"),MgAmenClave,0)),"No aplica")</f>
        <v/>
      </c>
      <c r="P1470" s="28">
        <f>IFERROR(INDEX(MgAmenDegC,MATCH(SUBSTITUTE($H1470,"*","-"),MgAmenClave,0)),"No aplica")</f>
        <v/>
      </c>
      <c r="Q1470" s="29">
        <f>IFERROR(VLOOKUP(K1470,MgValor,2,0)*VLOOKUP(N1470,MgDeg,2,0),0)</f>
        <v/>
      </c>
      <c r="R1470" s="29">
        <f>IFERROR(VLOOKUP(L1470,MgValor,2,0)*VLOOKUP(O1470,MgDeg,2,0),0)</f>
        <v/>
      </c>
      <c r="S1470" s="29">
        <f>IFERROR(VLOOKUP(M1470,MgValor,2,0)*VLOOKUP(P1470,MgDeg,2,0),0)</f>
        <v/>
      </c>
      <c r="T1470" s="30">
        <f>MAX(Q1470:S1470)</f>
        <v/>
      </c>
      <c r="U1470" s="28">
        <f>IFERROR(LOOKUP(T1470,{0;0.5;1.5;3;4.5},{"Despreciable";"Bajo";"Medio";"Alto";"Muy alto"}),"")</f>
        <v/>
      </c>
      <c r="V1470" s="13">
        <f>IFERROR(INDEX(MgAmenFrec,MATCH(SUBSTITUTE($H1470,"*","-"),MgAmenClave,0)),"")</f>
        <v/>
      </c>
      <c r="W1470" s="28">
        <f>IFERROR(LOOKUP(X1470,{0;0.01;0.1;1;10;100},{"Muy baja";"Muy baja";"Baja";"Media";"Alta";"Muy alta"}),"")</f>
        <v/>
      </c>
      <c r="X1470" s="31">
        <f>IFERROR(VLOOKUP(V1470,MgFrec,2,0),0)</f>
        <v/>
      </c>
      <c r="Y1470" s="30">
        <f>T1470*X1470</f>
        <v/>
      </c>
      <c r="Z1470" s="28">
        <f>IFERROR(LOOKUP(Y1470,{0;0.5;5;25},{"Bajo";"Medio";"Alto";"Crítico"}),"")</f>
        <v/>
      </c>
      <c r="AA1470" s="64">
        <f>IF(T1470&gt;=3,IF(X1470&gt;=1,"Zona 1 — Crítica: impacto alto y ocurre al menos una vez al año","Zona 4 — Catastrófica poco probable: impacto alto pero excepcional"),IF(AND(T1470&lt;1.5,X1470&lt;1),"Zona 3 — Asumible: impacto bajo y muy poco frecuente","Zona 2 — Atención: riesgo intermedio"))</f>
        <v/>
      </c>
      <c r="AB1470" s="64">
        <f>IFERROR(INDEX(MgAmenCtrl,MATCH(SUBSTITUTE($H1470,"*","-"),MgAmenClave,0)),"")</f>
        <v/>
      </c>
      <c r="AC1470" s="20" t="n"/>
      <c r="AD1470" s="31">
        <f>IFERROR($X1470*(1-IF($AC1470="",$AL1470,VLOOKUP($AC1470,MgMad,2,0))),"")</f>
        <v/>
      </c>
      <c r="AE1470" s="28">
        <f>IFERROR(LOOKUP(AD1470,{0;0.01;0.1;1;10;100},{"Muy baja";"Muy baja";"Baja";"Media";"Alta";"Muy alta"}),"")</f>
        <v/>
      </c>
      <c r="AF1470" s="30">
        <f>T1470*AD1470</f>
        <v/>
      </c>
      <c r="AG1470" s="28">
        <f>IFERROR(LOOKUP(AF1470,{0;0.5;5;25},{"Bajo";"Medio";"Alto";"Crítico"}),"")</f>
        <v/>
      </c>
      <c r="AH1470" s="28">
        <f>IF(AG1470="","",IF(OR(AG1470="Crítico",AG1470="Alto"),"Mitigar",IF(AG1470="Medio","Mitigar","Aceptar y monitorear")))</f>
        <v/>
      </c>
      <c r="AI1470" s="21" t="n"/>
      <c r="AJ1470" s="21" t="n"/>
      <c r="AK1470" s="20" t="n"/>
      <c r="AL1470" s="77">
        <f>IFERROR(INDEX(MgAmenEfic,MATCH(SUBSTITUTE($H1470,"*","-"),MgAmenClave,0)),0)</f>
        <v/>
      </c>
    </row>
    <row r="1471" hidden="1" ht="60" customHeight="1" s="54">
      <c r="B1471" s="59" t="inlineStr">
        <is>
          <t>R-1466</t>
        </is>
      </c>
      <c r="C1471" s="59" t="inlineStr">
        <is>
          <t>GH-041</t>
        </is>
      </c>
      <c r="D1471" s="64">
        <f>IFERROR(INDEX(MgNombre,MATCH($C1471,MgActId,0)),"")</f>
        <v/>
      </c>
      <c r="E1471" s="64">
        <f>IFERROR(INDEX(MgProceso,MATCH($C1471,MgActId,0)),"")</f>
        <v/>
      </c>
      <c r="F1471" s="64">
        <f>IFERROR(INDEX(MgTipo,MATCH($C1471,MgActId,0)),"")</f>
        <v/>
      </c>
      <c r="G1471" s="64">
        <f>IFERROR(INDEX(MgSubtipo,MATCH($C1471,MgActId,0)),"")</f>
        <v/>
      </c>
      <c r="H1471" s="59" t="inlineStr">
        <is>
          <t>A.18</t>
        </is>
      </c>
      <c r="I1471" s="64">
        <f>IFERROR(INDEX(MgAmenNombre,MATCH(SUBSTITUTE($H1471,"*","-"),MgAmenClave,0)),"")</f>
        <v/>
      </c>
      <c r="J1471" s="28">
        <f>IFERROR(INDEX(MgAmenGrupo,MATCH(SUBSTITUTE($H1471,"*","-"),MgAmenClave,0)),"")</f>
        <v/>
      </c>
      <c r="K1471" s="64">
        <f>IFERROR(INDEX('1. Matriz de Activos'!$Q$6:$Q$239,MATCH($C1471,MgActId,0)),"")</f>
        <v/>
      </c>
      <c r="L1471" s="64">
        <f>IFERROR(INDEX('1. Matriz de Activos'!$R$6:$R$239,MATCH($C1471,MgActId,0)),"")</f>
        <v/>
      </c>
      <c r="M1471" s="64">
        <f>IFERROR(INDEX('1. Matriz de Activos'!$S$6:$S$239,MATCH($C1471,MgActId,0)),"")</f>
        <v/>
      </c>
      <c r="N1471" s="28">
        <f>IFERROR(INDEX(MgAmenDegD,MATCH(SUBSTITUTE($H1471,"*","-"),MgAmenClave,0)),"No aplica")</f>
        <v/>
      </c>
      <c r="O1471" s="28">
        <f>IFERROR(INDEX(MgAmenDegI,MATCH(SUBSTITUTE($H1471,"*","-"),MgAmenClave,0)),"No aplica")</f>
        <v/>
      </c>
      <c r="P1471" s="28">
        <f>IFERROR(INDEX(MgAmenDegC,MATCH(SUBSTITUTE($H1471,"*","-"),MgAmenClave,0)),"No aplica")</f>
        <v/>
      </c>
      <c r="Q1471" s="29">
        <f>IFERROR(VLOOKUP(K1471,MgValor,2,0)*VLOOKUP(N1471,MgDeg,2,0),0)</f>
        <v/>
      </c>
      <c r="R1471" s="29">
        <f>IFERROR(VLOOKUP(L1471,MgValor,2,0)*VLOOKUP(O1471,MgDeg,2,0),0)</f>
        <v/>
      </c>
      <c r="S1471" s="29">
        <f>IFERROR(VLOOKUP(M1471,MgValor,2,0)*VLOOKUP(P1471,MgDeg,2,0),0)</f>
        <v/>
      </c>
      <c r="T1471" s="30">
        <f>MAX(Q1471:S1471)</f>
        <v/>
      </c>
      <c r="U1471" s="28">
        <f>IFERROR(LOOKUP(T1471,{0;0.5;1.5;3;4.5},{"Despreciable";"Bajo";"Medio";"Alto";"Muy alto"}),"")</f>
        <v/>
      </c>
      <c r="V1471" s="13">
        <f>IFERROR(INDEX(MgAmenFrec,MATCH(SUBSTITUTE($H1471,"*","-"),MgAmenClave,0)),"")</f>
        <v/>
      </c>
      <c r="W1471" s="28">
        <f>IFERROR(LOOKUP(X1471,{0;0.01;0.1;1;10;100},{"Muy baja";"Muy baja";"Baja";"Media";"Alta";"Muy alta"}),"")</f>
        <v/>
      </c>
      <c r="X1471" s="31">
        <f>IFERROR(VLOOKUP(V1471,MgFrec,2,0),0)</f>
        <v/>
      </c>
      <c r="Y1471" s="30">
        <f>T1471*X1471</f>
        <v/>
      </c>
      <c r="Z1471" s="28">
        <f>IFERROR(LOOKUP(Y1471,{0;0.5;5;25},{"Bajo";"Medio";"Alto";"Crítico"}),"")</f>
        <v/>
      </c>
      <c r="AA1471" s="64">
        <f>IF(T1471&gt;=3,IF(X1471&gt;=1,"Zona 1 — Crítica: impacto alto y ocurre al menos una vez al año","Zona 4 — Catastrófica poco probable: impacto alto pero excepcional"),IF(AND(T1471&lt;1.5,X1471&lt;1),"Zona 3 — Asumible: impacto bajo y muy poco frecuente","Zona 2 — Atención: riesgo intermedio"))</f>
        <v/>
      </c>
      <c r="AB1471" s="64">
        <f>IFERROR(INDEX(MgAmenCtrl,MATCH(SUBSTITUTE($H1471,"*","-"),MgAmenClave,0)),"")</f>
        <v/>
      </c>
      <c r="AC1471" s="20" t="n"/>
      <c r="AD1471" s="31">
        <f>IFERROR($X1471*(1-IF($AC1471="",$AL1471,VLOOKUP($AC1471,MgMad,2,0))),"")</f>
        <v/>
      </c>
      <c r="AE1471" s="28">
        <f>IFERROR(LOOKUP(AD1471,{0;0.01;0.1;1;10;100},{"Muy baja";"Muy baja";"Baja";"Media";"Alta";"Muy alta"}),"")</f>
        <v/>
      </c>
      <c r="AF1471" s="30">
        <f>T1471*AD1471</f>
        <v/>
      </c>
      <c r="AG1471" s="28">
        <f>IFERROR(LOOKUP(AF1471,{0;0.5;5;25},{"Bajo";"Medio";"Alto";"Crítico"}),"")</f>
        <v/>
      </c>
      <c r="AH1471" s="28">
        <f>IF(AG1471="","",IF(OR(AG1471="Crítico",AG1471="Alto"),"Mitigar",IF(AG1471="Medio","Mitigar","Aceptar y monitorear")))</f>
        <v/>
      </c>
      <c r="AI1471" s="21" t="n"/>
      <c r="AJ1471" s="21" t="n"/>
      <c r="AK1471" s="20" t="n"/>
      <c r="AL1471" s="77">
        <f>IFERROR(INDEX(MgAmenEfic,MATCH(SUBSTITUTE($H1471,"*","-"),MgAmenClave,0)),0)</f>
        <v/>
      </c>
    </row>
    <row r="1472" hidden="1" ht="120" customHeight="1" s="54">
      <c r="B1472" s="59" t="inlineStr">
        <is>
          <t>R-1467</t>
        </is>
      </c>
      <c r="C1472" s="59" t="inlineStr">
        <is>
          <t>GH-041</t>
        </is>
      </c>
      <c r="D1472" s="64">
        <f>IFERROR(INDEX(MgNombre,MATCH($C1472,MgActId,0)),"")</f>
        <v/>
      </c>
      <c r="E1472" s="64">
        <f>IFERROR(INDEX(MgProceso,MATCH($C1472,MgActId,0)),"")</f>
        <v/>
      </c>
      <c r="F1472" s="64">
        <f>IFERROR(INDEX(MgTipo,MATCH($C1472,MgActId,0)),"")</f>
        <v/>
      </c>
      <c r="G1472" s="64">
        <f>IFERROR(INDEX(MgSubtipo,MATCH($C1472,MgActId,0)),"")</f>
        <v/>
      </c>
      <c r="H1472" s="59" t="inlineStr">
        <is>
          <t>A.19</t>
        </is>
      </c>
      <c r="I1472" s="64">
        <f>IFERROR(INDEX(MgAmenNombre,MATCH(SUBSTITUTE($H1472,"*","-"),MgAmenClave,0)),"")</f>
        <v/>
      </c>
      <c r="J1472" s="28">
        <f>IFERROR(INDEX(MgAmenGrupo,MATCH(SUBSTITUTE($H1472,"*","-"),MgAmenClave,0)),"")</f>
        <v/>
      </c>
      <c r="K1472" s="64">
        <f>IFERROR(INDEX('1. Matriz de Activos'!$Q$6:$Q$239,MATCH($C1472,MgActId,0)),"")</f>
        <v/>
      </c>
      <c r="L1472" s="64">
        <f>IFERROR(INDEX('1. Matriz de Activos'!$R$6:$R$239,MATCH($C1472,MgActId,0)),"")</f>
        <v/>
      </c>
      <c r="M1472" s="64">
        <f>IFERROR(INDEX('1. Matriz de Activos'!$S$6:$S$239,MATCH($C1472,MgActId,0)),"")</f>
        <v/>
      </c>
      <c r="N1472" s="28">
        <f>IFERROR(INDEX(MgAmenDegD,MATCH(SUBSTITUTE($H1472,"*","-"),MgAmenClave,0)),"No aplica")</f>
        <v/>
      </c>
      <c r="O1472" s="28">
        <f>IFERROR(INDEX(MgAmenDegI,MATCH(SUBSTITUTE($H1472,"*","-"),MgAmenClave,0)),"No aplica")</f>
        <v/>
      </c>
      <c r="P1472" s="28">
        <f>IFERROR(INDEX(MgAmenDegC,MATCH(SUBSTITUTE($H1472,"*","-"),MgAmenClave,0)),"No aplica")</f>
        <v/>
      </c>
      <c r="Q1472" s="29">
        <f>IFERROR(VLOOKUP(K1472,MgValor,2,0)*VLOOKUP(N1472,MgDeg,2,0),0)</f>
        <v/>
      </c>
      <c r="R1472" s="29">
        <f>IFERROR(VLOOKUP(L1472,MgValor,2,0)*VLOOKUP(O1472,MgDeg,2,0),0)</f>
        <v/>
      </c>
      <c r="S1472" s="29">
        <f>IFERROR(VLOOKUP(M1472,MgValor,2,0)*VLOOKUP(P1472,MgDeg,2,0),0)</f>
        <v/>
      </c>
      <c r="T1472" s="30">
        <f>MAX(Q1472:S1472)</f>
        <v/>
      </c>
      <c r="U1472" s="28">
        <f>IFERROR(LOOKUP(T1472,{0;0.5;1.5;3;4.5},{"Despreciable";"Bajo";"Medio";"Alto";"Muy alto"}),"")</f>
        <v/>
      </c>
      <c r="V1472" s="13">
        <f>IFERROR(INDEX(MgAmenFrec,MATCH(SUBSTITUTE($H1472,"*","-"),MgAmenClave,0)),"")</f>
        <v/>
      </c>
      <c r="W1472" s="28">
        <f>IFERROR(LOOKUP(X1472,{0;0.01;0.1;1;10;100},{"Muy baja";"Muy baja";"Baja";"Media";"Alta";"Muy alta"}),"")</f>
        <v/>
      </c>
      <c r="X1472" s="31">
        <f>IFERROR(VLOOKUP(V1472,MgFrec,2,0),0)</f>
        <v/>
      </c>
      <c r="Y1472" s="30">
        <f>T1472*X1472</f>
        <v/>
      </c>
      <c r="Z1472" s="28">
        <f>IFERROR(LOOKUP(Y1472,{0;0.5;5;25},{"Bajo";"Medio";"Alto";"Crítico"}),"")</f>
        <v/>
      </c>
      <c r="AA1472" s="64">
        <f>IF(T1472&gt;=3,IF(X1472&gt;=1,"Zona 1 — Crítica: impacto alto y ocurre al menos una vez al año","Zona 4 — Catastrófica poco probable: impacto alto pero excepcional"),IF(AND(T1472&lt;1.5,X1472&lt;1),"Zona 3 — Asumible: impacto bajo y muy poco frecuente","Zona 2 — Atención: riesgo intermedio"))</f>
        <v/>
      </c>
      <c r="AB1472" s="64">
        <f>IFERROR(INDEX(MgAmenCtrl,MATCH(SUBSTITUTE($H1472,"*","-"),MgAmenClave,0)),"")</f>
        <v/>
      </c>
      <c r="AC1472" s="20" t="n"/>
      <c r="AD1472" s="31">
        <f>IFERROR($X1472*(1-IF($AC1472="",$AL1472,VLOOKUP($AC1472,MgMad,2,0))),"")</f>
        <v/>
      </c>
      <c r="AE1472" s="28">
        <f>IFERROR(LOOKUP(AD1472,{0;0.01;0.1;1;10;100},{"Muy baja";"Muy baja";"Baja";"Media";"Alta";"Muy alta"}),"")</f>
        <v/>
      </c>
      <c r="AF1472" s="30">
        <f>T1472*AD1472</f>
        <v/>
      </c>
      <c r="AG1472" s="28">
        <f>IFERROR(LOOKUP(AF1472,{0;0.5;5;25},{"Bajo";"Medio";"Alto";"Crítico"}),"")</f>
        <v/>
      </c>
      <c r="AH1472" s="28">
        <f>IF(AG1472="","",IF(OR(AG1472="Crítico",AG1472="Alto"),"Mitigar",IF(AG1472="Medio","Mitigar","Aceptar y monitorear")))</f>
        <v/>
      </c>
      <c r="AI1472" s="21" t="n"/>
      <c r="AJ1472" s="21" t="n"/>
      <c r="AK1472" s="20" t="n"/>
      <c r="AL1472" s="77">
        <f>IFERROR(INDEX(MgAmenEfic,MATCH(SUBSTITUTE($H1472,"*","-"),MgAmenClave,0)),0)</f>
        <v/>
      </c>
    </row>
    <row r="1473" hidden="1" ht="105" customHeight="1" s="54">
      <c r="B1473" s="59" t="inlineStr">
        <is>
          <t>R-1468</t>
        </is>
      </c>
      <c r="C1473" s="59" t="inlineStr">
        <is>
          <t>GH-013</t>
        </is>
      </c>
      <c r="D1473" s="64">
        <f>IFERROR(INDEX(MgNombre,MATCH($C1473,MgActId,0)),"")</f>
        <v/>
      </c>
      <c r="E1473" s="64">
        <f>IFERROR(INDEX(MgProceso,MATCH($C1473,MgActId,0)),"")</f>
        <v/>
      </c>
      <c r="F1473" s="64">
        <f>IFERROR(INDEX(MgTipo,MATCH($C1473,MgActId,0)),"")</f>
        <v/>
      </c>
      <c r="G1473" s="64">
        <f>IFERROR(INDEX(MgSubtipo,MATCH($C1473,MgActId,0)),"")</f>
        <v/>
      </c>
      <c r="H1473" s="59" t="inlineStr">
        <is>
          <t>E.1</t>
        </is>
      </c>
      <c r="I1473" s="64">
        <f>IFERROR(INDEX(MgAmenNombre,MATCH(SUBSTITUTE($H1473,"*","-"),MgAmenClave,0)),"")</f>
        <v/>
      </c>
      <c r="J1473" s="28">
        <f>IFERROR(INDEX(MgAmenGrupo,MATCH(SUBSTITUTE($H1473,"*","-"),MgAmenClave,0)),"")</f>
        <v/>
      </c>
      <c r="K1473" s="64">
        <f>IFERROR(INDEX('1. Matriz de Activos'!$Q$6:$Q$239,MATCH($C1473,MgActId,0)),"")</f>
        <v/>
      </c>
      <c r="L1473" s="64">
        <f>IFERROR(INDEX('1. Matriz de Activos'!$R$6:$R$239,MATCH($C1473,MgActId,0)),"")</f>
        <v/>
      </c>
      <c r="M1473" s="64">
        <f>IFERROR(INDEX('1. Matriz de Activos'!$S$6:$S$239,MATCH($C1473,MgActId,0)),"")</f>
        <v/>
      </c>
      <c r="N1473" s="28">
        <f>IFERROR(INDEX(MgAmenDegD,MATCH(SUBSTITUTE($H1473,"*","-"),MgAmenClave,0)),"No aplica")</f>
        <v/>
      </c>
      <c r="O1473" s="28">
        <f>IFERROR(INDEX(MgAmenDegI,MATCH(SUBSTITUTE($H1473,"*","-"),MgAmenClave,0)),"No aplica")</f>
        <v/>
      </c>
      <c r="P1473" s="28">
        <f>IFERROR(INDEX(MgAmenDegC,MATCH(SUBSTITUTE($H1473,"*","-"),MgAmenClave,0)),"No aplica")</f>
        <v/>
      </c>
      <c r="Q1473" s="29">
        <f>IFERROR(VLOOKUP(K1473,MgValor,2,0)*VLOOKUP(N1473,MgDeg,2,0),0)</f>
        <v/>
      </c>
      <c r="R1473" s="29">
        <f>IFERROR(VLOOKUP(L1473,MgValor,2,0)*VLOOKUP(O1473,MgDeg,2,0),0)</f>
        <v/>
      </c>
      <c r="S1473" s="29">
        <f>IFERROR(VLOOKUP(M1473,MgValor,2,0)*VLOOKUP(P1473,MgDeg,2,0),0)</f>
        <v/>
      </c>
      <c r="T1473" s="30">
        <f>MAX(Q1473:S1473)</f>
        <v/>
      </c>
      <c r="U1473" s="28">
        <f>IFERROR(LOOKUP(T1473,{0;0.5;1.5;3;4.5},{"Despreciable";"Bajo";"Medio";"Alto";"Muy alto"}),"")</f>
        <v/>
      </c>
      <c r="V1473" s="13">
        <f>IFERROR(INDEX(MgAmenFrec,MATCH(SUBSTITUTE($H1473,"*","-"),MgAmenClave,0)),"")</f>
        <v/>
      </c>
      <c r="W1473" s="28">
        <f>IFERROR(LOOKUP(X1473,{0;0.01;0.1;1;10;100},{"Muy baja";"Muy baja";"Baja";"Media";"Alta";"Muy alta"}),"")</f>
        <v/>
      </c>
      <c r="X1473" s="31">
        <f>IFERROR(VLOOKUP(V1473,MgFrec,2,0),0)</f>
        <v/>
      </c>
      <c r="Y1473" s="30">
        <f>T1473*X1473</f>
        <v/>
      </c>
      <c r="Z1473" s="28">
        <f>IFERROR(LOOKUP(Y1473,{0;0.5;5;25},{"Bajo";"Medio";"Alto";"Crítico"}),"")</f>
        <v/>
      </c>
      <c r="AA1473" s="64">
        <f>IF(T1473&gt;=3,IF(X1473&gt;=1,"Zona 1 — Crítica: impacto alto y ocurre al menos una vez al año","Zona 4 — Catastrófica poco probable: impacto alto pero excepcional"),IF(AND(T1473&lt;1.5,X1473&lt;1),"Zona 3 — Asumible: impacto bajo y muy poco frecuente","Zona 2 — Atención: riesgo intermedio"))</f>
        <v/>
      </c>
      <c r="AB1473" s="64">
        <f>IFERROR(INDEX(MgAmenCtrl,MATCH(SUBSTITUTE($H1473,"*","-"),MgAmenClave,0)),"")</f>
        <v/>
      </c>
      <c r="AC1473" s="20" t="n"/>
      <c r="AD1473" s="31">
        <f>IFERROR($X1473*(1-IF($AC1473="",$AL1473,VLOOKUP($AC1473,MgMad,2,0))),"")</f>
        <v/>
      </c>
      <c r="AE1473" s="28">
        <f>IFERROR(LOOKUP(AD1473,{0;0.01;0.1;1;10;100},{"Muy baja";"Muy baja";"Baja";"Media";"Alta";"Muy alta"}),"")</f>
        <v/>
      </c>
      <c r="AF1473" s="30">
        <f>T1473*AD1473</f>
        <v/>
      </c>
      <c r="AG1473" s="28">
        <f>IFERROR(LOOKUP(AF1473,{0;0.5;5;25},{"Bajo";"Medio";"Alto";"Crítico"}),"")</f>
        <v/>
      </c>
      <c r="AH1473" s="28">
        <f>IF(AG1473="","",IF(OR(AG1473="Crítico",AG1473="Alto"),"Mitigar",IF(AG1473="Medio","Mitigar","Aceptar y monitorear")))</f>
        <v/>
      </c>
      <c r="AI1473" s="21" t="n"/>
      <c r="AJ1473" s="21" t="n"/>
      <c r="AK1473" s="20" t="n"/>
      <c r="AL1473" s="77">
        <f>IFERROR(INDEX(MgAmenEfic,MATCH(SUBSTITUTE($H1473,"*","-"),MgAmenClave,0)),0)</f>
        <v/>
      </c>
    </row>
    <row r="1474" hidden="1" ht="120" customHeight="1" s="54">
      <c r="B1474" s="59" t="inlineStr">
        <is>
          <t>R-1469</t>
        </is>
      </c>
      <c r="C1474" s="59" t="inlineStr">
        <is>
          <t>GH-013</t>
        </is>
      </c>
      <c r="D1474" s="64">
        <f>IFERROR(INDEX(MgNombre,MATCH($C1474,MgActId,0)),"")</f>
        <v/>
      </c>
      <c r="E1474" s="64">
        <f>IFERROR(INDEX(MgProceso,MATCH($C1474,MgActId,0)),"")</f>
        <v/>
      </c>
      <c r="F1474" s="64">
        <f>IFERROR(INDEX(MgTipo,MATCH($C1474,MgActId,0)),"")</f>
        <v/>
      </c>
      <c r="G1474" s="64">
        <f>IFERROR(INDEX(MgSubtipo,MATCH($C1474,MgActId,0)),"")</f>
        <v/>
      </c>
      <c r="H1474" s="59" t="inlineStr">
        <is>
          <t>E.2</t>
        </is>
      </c>
      <c r="I1474" s="64">
        <f>IFERROR(INDEX(MgAmenNombre,MATCH(SUBSTITUTE($H1474,"*","-"),MgAmenClave,0)),"")</f>
        <v/>
      </c>
      <c r="J1474" s="28">
        <f>IFERROR(INDEX(MgAmenGrupo,MATCH(SUBSTITUTE($H1474,"*","-"),MgAmenClave,0)),"")</f>
        <v/>
      </c>
      <c r="K1474" s="64">
        <f>IFERROR(INDEX('1. Matriz de Activos'!$Q$6:$Q$239,MATCH($C1474,MgActId,0)),"")</f>
        <v/>
      </c>
      <c r="L1474" s="64">
        <f>IFERROR(INDEX('1. Matriz de Activos'!$R$6:$R$239,MATCH($C1474,MgActId,0)),"")</f>
        <v/>
      </c>
      <c r="M1474" s="64">
        <f>IFERROR(INDEX('1. Matriz de Activos'!$S$6:$S$239,MATCH($C1474,MgActId,0)),"")</f>
        <v/>
      </c>
      <c r="N1474" s="28">
        <f>IFERROR(INDEX(MgAmenDegD,MATCH(SUBSTITUTE($H1474,"*","-"),MgAmenClave,0)),"No aplica")</f>
        <v/>
      </c>
      <c r="O1474" s="28">
        <f>IFERROR(INDEX(MgAmenDegI,MATCH(SUBSTITUTE($H1474,"*","-"),MgAmenClave,0)),"No aplica")</f>
        <v/>
      </c>
      <c r="P1474" s="28">
        <f>IFERROR(INDEX(MgAmenDegC,MATCH(SUBSTITUTE($H1474,"*","-"),MgAmenClave,0)),"No aplica")</f>
        <v/>
      </c>
      <c r="Q1474" s="29">
        <f>IFERROR(VLOOKUP(K1474,MgValor,2,0)*VLOOKUP(N1474,MgDeg,2,0),0)</f>
        <v/>
      </c>
      <c r="R1474" s="29">
        <f>IFERROR(VLOOKUP(L1474,MgValor,2,0)*VLOOKUP(O1474,MgDeg,2,0),0)</f>
        <v/>
      </c>
      <c r="S1474" s="29">
        <f>IFERROR(VLOOKUP(M1474,MgValor,2,0)*VLOOKUP(P1474,MgDeg,2,0),0)</f>
        <v/>
      </c>
      <c r="T1474" s="30">
        <f>MAX(Q1474:S1474)</f>
        <v/>
      </c>
      <c r="U1474" s="28">
        <f>IFERROR(LOOKUP(T1474,{0;0.5;1.5;3;4.5},{"Despreciable";"Bajo";"Medio";"Alto";"Muy alto"}),"")</f>
        <v/>
      </c>
      <c r="V1474" s="13">
        <f>IFERROR(INDEX(MgAmenFrec,MATCH(SUBSTITUTE($H1474,"*","-"),MgAmenClave,0)),"")</f>
        <v/>
      </c>
      <c r="W1474" s="28">
        <f>IFERROR(LOOKUP(X1474,{0;0.01;0.1;1;10;100},{"Muy baja";"Muy baja";"Baja";"Media";"Alta";"Muy alta"}),"")</f>
        <v/>
      </c>
      <c r="X1474" s="31">
        <f>IFERROR(VLOOKUP(V1474,MgFrec,2,0),0)</f>
        <v/>
      </c>
      <c r="Y1474" s="30">
        <f>T1474*X1474</f>
        <v/>
      </c>
      <c r="Z1474" s="28">
        <f>IFERROR(LOOKUP(Y1474,{0;0.5;5;25},{"Bajo";"Medio";"Alto";"Crítico"}),"")</f>
        <v/>
      </c>
      <c r="AA1474" s="64">
        <f>IF(T1474&gt;=3,IF(X1474&gt;=1,"Zona 1 — Crítica: impacto alto y ocurre al menos una vez al año","Zona 4 — Catastrófica poco probable: impacto alto pero excepcional"),IF(AND(T1474&lt;1.5,X1474&lt;1),"Zona 3 — Asumible: impacto bajo y muy poco frecuente","Zona 2 — Atención: riesgo intermedio"))</f>
        <v/>
      </c>
      <c r="AB1474" s="64">
        <f>IFERROR(INDEX(MgAmenCtrl,MATCH(SUBSTITUTE($H1474,"*","-"),MgAmenClave,0)),"")</f>
        <v/>
      </c>
      <c r="AC1474" s="20" t="n"/>
      <c r="AD1474" s="31">
        <f>IFERROR($X1474*(1-IF($AC1474="",$AL1474,VLOOKUP($AC1474,MgMad,2,0))),"")</f>
        <v/>
      </c>
      <c r="AE1474" s="28">
        <f>IFERROR(LOOKUP(AD1474,{0;0.01;0.1;1;10;100},{"Muy baja";"Muy baja";"Baja";"Media";"Alta";"Muy alta"}),"")</f>
        <v/>
      </c>
      <c r="AF1474" s="30">
        <f>T1474*AD1474</f>
        <v/>
      </c>
      <c r="AG1474" s="28">
        <f>IFERROR(LOOKUP(AF1474,{0;0.5;5;25},{"Bajo";"Medio";"Alto";"Crítico"}),"")</f>
        <v/>
      </c>
      <c r="AH1474" s="28">
        <f>IF(AG1474="","",IF(OR(AG1474="Crítico",AG1474="Alto"),"Mitigar",IF(AG1474="Medio","Mitigar","Aceptar y monitorear")))</f>
        <v/>
      </c>
      <c r="AI1474" s="21" t="n"/>
      <c r="AJ1474" s="21" t="n"/>
      <c r="AK1474" s="20" t="n"/>
      <c r="AL1474" s="77">
        <f>IFERROR(INDEX(MgAmenEfic,MATCH(SUBSTITUTE($H1474,"*","-"),MgAmenClave,0)),0)</f>
        <v/>
      </c>
    </row>
    <row r="1475" hidden="1" ht="75" customHeight="1" s="54">
      <c r="B1475" s="59" t="inlineStr">
        <is>
          <t>R-1470</t>
        </is>
      </c>
      <c r="C1475" s="59" t="inlineStr">
        <is>
          <t>GH-013</t>
        </is>
      </c>
      <c r="D1475" s="64">
        <f>IFERROR(INDEX(MgNombre,MATCH($C1475,MgActId,0)),"")</f>
        <v/>
      </c>
      <c r="E1475" s="64">
        <f>IFERROR(INDEX(MgProceso,MATCH($C1475,MgActId,0)),"")</f>
        <v/>
      </c>
      <c r="F1475" s="64">
        <f>IFERROR(INDEX(MgTipo,MATCH($C1475,MgActId,0)),"")</f>
        <v/>
      </c>
      <c r="G1475" s="64">
        <f>IFERROR(INDEX(MgSubtipo,MATCH($C1475,MgActId,0)),"")</f>
        <v/>
      </c>
      <c r="H1475" s="59" t="inlineStr">
        <is>
          <t>E.3</t>
        </is>
      </c>
      <c r="I1475" s="64">
        <f>IFERROR(INDEX(MgAmenNombre,MATCH(SUBSTITUTE($H1475,"*","-"),MgAmenClave,0)),"")</f>
        <v/>
      </c>
      <c r="J1475" s="28">
        <f>IFERROR(INDEX(MgAmenGrupo,MATCH(SUBSTITUTE($H1475,"*","-"),MgAmenClave,0)),"")</f>
        <v/>
      </c>
      <c r="K1475" s="64">
        <f>IFERROR(INDEX('1. Matriz de Activos'!$Q$6:$Q$239,MATCH($C1475,MgActId,0)),"")</f>
        <v/>
      </c>
      <c r="L1475" s="64">
        <f>IFERROR(INDEX('1. Matriz de Activos'!$R$6:$R$239,MATCH($C1475,MgActId,0)),"")</f>
        <v/>
      </c>
      <c r="M1475" s="64">
        <f>IFERROR(INDEX('1. Matriz de Activos'!$S$6:$S$239,MATCH($C1475,MgActId,0)),"")</f>
        <v/>
      </c>
      <c r="N1475" s="28">
        <f>IFERROR(INDEX(MgAmenDegD,MATCH(SUBSTITUTE($H1475,"*","-"),MgAmenClave,0)),"No aplica")</f>
        <v/>
      </c>
      <c r="O1475" s="28">
        <f>IFERROR(INDEX(MgAmenDegI,MATCH(SUBSTITUTE($H1475,"*","-"),MgAmenClave,0)),"No aplica")</f>
        <v/>
      </c>
      <c r="P1475" s="28">
        <f>IFERROR(INDEX(MgAmenDegC,MATCH(SUBSTITUTE($H1475,"*","-"),MgAmenClave,0)),"No aplica")</f>
        <v/>
      </c>
      <c r="Q1475" s="29">
        <f>IFERROR(VLOOKUP(K1475,MgValor,2,0)*VLOOKUP(N1475,MgDeg,2,0),0)</f>
        <v/>
      </c>
      <c r="R1475" s="29">
        <f>IFERROR(VLOOKUP(L1475,MgValor,2,0)*VLOOKUP(O1475,MgDeg,2,0),0)</f>
        <v/>
      </c>
      <c r="S1475" s="29">
        <f>IFERROR(VLOOKUP(M1475,MgValor,2,0)*VLOOKUP(P1475,MgDeg,2,0),0)</f>
        <v/>
      </c>
      <c r="T1475" s="30">
        <f>MAX(Q1475:S1475)</f>
        <v/>
      </c>
      <c r="U1475" s="28">
        <f>IFERROR(LOOKUP(T1475,{0;0.5;1.5;3;4.5},{"Despreciable";"Bajo";"Medio";"Alto";"Muy alto"}),"")</f>
        <v/>
      </c>
      <c r="V1475" s="13">
        <f>IFERROR(INDEX(MgAmenFrec,MATCH(SUBSTITUTE($H1475,"*","-"),MgAmenClave,0)),"")</f>
        <v/>
      </c>
      <c r="W1475" s="28">
        <f>IFERROR(LOOKUP(X1475,{0;0.01;0.1;1;10;100},{"Muy baja";"Muy baja";"Baja";"Media";"Alta";"Muy alta"}),"")</f>
        <v/>
      </c>
      <c r="X1475" s="31">
        <f>IFERROR(VLOOKUP(V1475,MgFrec,2,0),0)</f>
        <v/>
      </c>
      <c r="Y1475" s="30">
        <f>T1475*X1475</f>
        <v/>
      </c>
      <c r="Z1475" s="28">
        <f>IFERROR(LOOKUP(Y1475,{0;0.5;5;25},{"Bajo";"Medio";"Alto";"Crítico"}),"")</f>
        <v/>
      </c>
      <c r="AA1475" s="64">
        <f>IF(T1475&gt;=3,IF(X1475&gt;=1,"Zona 1 — Crítica: impacto alto y ocurre al menos una vez al año","Zona 4 — Catastrófica poco probable: impacto alto pero excepcional"),IF(AND(T1475&lt;1.5,X1475&lt;1),"Zona 3 — Asumible: impacto bajo y muy poco frecuente","Zona 2 — Atención: riesgo intermedio"))</f>
        <v/>
      </c>
      <c r="AB1475" s="64">
        <f>IFERROR(INDEX(MgAmenCtrl,MATCH(SUBSTITUTE($H1475,"*","-"),MgAmenClave,0)),"")</f>
        <v/>
      </c>
      <c r="AC1475" s="20" t="n"/>
      <c r="AD1475" s="31">
        <f>IFERROR($X1475*(1-IF($AC1475="",$AL1475,VLOOKUP($AC1475,MgMad,2,0))),"")</f>
        <v/>
      </c>
      <c r="AE1475" s="28">
        <f>IFERROR(LOOKUP(AD1475,{0;0.01;0.1;1;10;100},{"Muy baja";"Muy baja";"Baja";"Media";"Alta";"Muy alta"}),"")</f>
        <v/>
      </c>
      <c r="AF1475" s="30">
        <f>T1475*AD1475</f>
        <v/>
      </c>
      <c r="AG1475" s="28">
        <f>IFERROR(LOOKUP(AF1475,{0;0.5;5;25},{"Bajo";"Medio";"Alto";"Crítico"}),"")</f>
        <v/>
      </c>
      <c r="AH1475" s="28">
        <f>IF(AG1475="","",IF(OR(AG1475="Crítico",AG1475="Alto"),"Mitigar",IF(AG1475="Medio","Mitigar","Aceptar y monitorear")))</f>
        <v/>
      </c>
      <c r="AI1475" s="21" t="n"/>
      <c r="AJ1475" s="21" t="n"/>
      <c r="AK1475" s="20" t="n"/>
      <c r="AL1475" s="77">
        <f>IFERROR(INDEX(MgAmenEfic,MATCH(SUBSTITUTE($H1475,"*","-"),MgAmenClave,0)),0)</f>
        <v/>
      </c>
    </row>
    <row r="1476" hidden="1" ht="75" customHeight="1" s="54">
      <c r="B1476" s="59" t="inlineStr">
        <is>
          <t>R-1471</t>
        </is>
      </c>
      <c r="C1476" s="59" t="inlineStr">
        <is>
          <t>GH-013</t>
        </is>
      </c>
      <c r="D1476" s="64">
        <f>IFERROR(INDEX(MgNombre,MATCH($C1476,MgActId,0)),"")</f>
        <v/>
      </c>
      <c r="E1476" s="64">
        <f>IFERROR(INDEX(MgProceso,MATCH($C1476,MgActId,0)),"")</f>
        <v/>
      </c>
      <c r="F1476" s="64">
        <f>IFERROR(INDEX(MgTipo,MATCH($C1476,MgActId,0)),"")</f>
        <v/>
      </c>
      <c r="G1476" s="64">
        <f>IFERROR(INDEX(MgSubtipo,MATCH($C1476,MgActId,0)),"")</f>
        <v/>
      </c>
      <c r="H1476" s="59" t="inlineStr">
        <is>
          <t>E.4</t>
        </is>
      </c>
      <c r="I1476" s="64">
        <f>IFERROR(INDEX(MgAmenNombre,MATCH(SUBSTITUTE($H1476,"*","-"),MgAmenClave,0)),"")</f>
        <v/>
      </c>
      <c r="J1476" s="28">
        <f>IFERROR(INDEX(MgAmenGrupo,MATCH(SUBSTITUTE($H1476,"*","-"),MgAmenClave,0)),"")</f>
        <v/>
      </c>
      <c r="K1476" s="64">
        <f>IFERROR(INDEX('1. Matriz de Activos'!$Q$6:$Q$239,MATCH($C1476,MgActId,0)),"")</f>
        <v/>
      </c>
      <c r="L1476" s="64">
        <f>IFERROR(INDEX('1. Matriz de Activos'!$R$6:$R$239,MATCH($C1476,MgActId,0)),"")</f>
        <v/>
      </c>
      <c r="M1476" s="64">
        <f>IFERROR(INDEX('1. Matriz de Activos'!$S$6:$S$239,MATCH($C1476,MgActId,0)),"")</f>
        <v/>
      </c>
      <c r="N1476" s="28">
        <f>IFERROR(INDEX(MgAmenDegD,MATCH(SUBSTITUTE($H1476,"*","-"),MgAmenClave,0)),"No aplica")</f>
        <v/>
      </c>
      <c r="O1476" s="28">
        <f>IFERROR(INDEX(MgAmenDegI,MATCH(SUBSTITUTE($H1476,"*","-"),MgAmenClave,0)),"No aplica")</f>
        <v/>
      </c>
      <c r="P1476" s="28">
        <f>IFERROR(INDEX(MgAmenDegC,MATCH(SUBSTITUTE($H1476,"*","-"),MgAmenClave,0)),"No aplica")</f>
        <v/>
      </c>
      <c r="Q1476" s="29">
        <f>IFERROR(VLOOKUP(K1476,MgValor,2,0)*VLOOKUP(N1476,MgDeg,2,0),0)</f>
        <v/>
      </c>
      <c r="R1476" s="29">
        <f>IFERROR(VLOOKUP(L1476,MgValor,2,0)*VLOOKUP(O1476,MgDeg,2,0),0)</f>
        <v/>
      </c>
      <c r="S1476" s="29">
        <f>IFERROR(VLOOKUP(M1476,MgValor,2,0)*VLOOKUP(P1476,MgDeg,2,0),0)</f>
        <v/>
      </c>
      <c r="T1476" s="30">
        <f>MAX(Q1476:S1476)</f>
        <v/>
      </c>
      <c r="U1476" s="28">
        <f>IFERROR(LOOKUP(T1476,{0;0.5;1.5;3;4.5},{"Despreciable";"Bajo";"Medio";"Alto";"Muy alto"}),"")</f>
        <v/>
      </c>
      <c r="V1476" s="13">
        <f>IFERROR(INDEX(MgAmenFrec,MATCH(SUBSTITUTE($H1476,"*","-"),MgAmenClave,0)),"")</f>
        <v/>
      </c>
      <c r="W1476" s="28">
        <f>IFERROR(LOOKUP(X1476,{0;0.01;0.1;1;10;100},{"Muy baja";"Muy baja";"Baja";"Media";"Alta";"Muy alta"}),"")</f>
        <v/>
      </c>
      <c r="X1476" s="31">
        <f>IFERROR(VLOOKUP(V1476,MgFrec,2,0),0)</f>
        <v/>
      </c>
      <c r="Y1476" s="30">
        <f>T1476*X1476</f>
        <v/>
      </c>
      <c r="Z1476" s="28">
        <f>IFERROR(LOOKUP(Y1476,{0;0.5;5;25},{"Bajo";"Medio";"Alto";"Crítico"}),"")</f>
        <v/>
      </c>
      <c r="AA1476" s="64">
        <f>IF(T1476&gt;=3,IF(X1476&gt;=1,"Zona 1 — Crítica: impacto alto y ocurre al menos una vez al año","Zona 4 — Catastrófica poco probable: impacto alto pero excepcional"),IF(AND(T1476&lt;1.5,X1476&lt;1),"Zona 3 — Asumible: impacto bajo y muy poco frecuente","Zona 2 — Atención: riesgo intermedio"))</f>
        <v/>
      </c>
      <c r="AB1476" s="64">
        <f>IFERROR(INDEX(MgAmenCtrl,MATCH(SUBSTITUTE($H1476,"*","-"),MgAmenClave,0)),"")</f>
        <v/>
      </c>
      <c r="AC1476" s="20" t="n"/>
      <c r="AD1476" s="31">
        <f>IFERROR($X1476*(1-IF($AC1476="",$AL1476,VLOOKUP($AC1476,MgMad,2,0))),"")</f>
        <v/>
      </c>
      <c r="AE1476" s="28">
        <f>IFERROR(LOOKUP(AD1476,{0;0.01;0.1;1;10;100},{"Muy baja";"Muy baja";"Baja";"Media";"Alta";"Muy alta"}),"")</f>
        <v/>
      </c>
      <c r="AF1476" s="30">
        <f>T1476*AD1476</f>
        <v/>
      </c>
      <c r="AG1476" s="28">
        <f>IFERROR(LOOKUP(AF1476,{0;0.5;5;25},{"Bajo";"Medio";"Alto";"Crítico"}),"")</f>
        <v/>
      </c>
      <c r="AH1476" s="28">
        <f>IF(AG1476="","",IF(OR(AG1476="Crítico",AG1476="Alto"),"Mitigar",IF(AG1476="Medio","Mitigar","Aceptar y monitorear")))</f>
        <v/>
      </c>
      <c r="AI1476" s="21" t="n"/>
      <c r="AJ1476" s="21" t="n"/>
      <c r="AK1476" s="20" t="n"/>
      <c r="AL1476" s="77">
        <f>IFERROR(INDEX(MgAmenEfic,MATCH(SUBSTITUTE($H1476,"*","-"),MgAmenClave,0)),0)</f>
        <v/>
      </c>
    </row>
    <row r="1477" hidden="1" ht="90" customHeight="1" s="54">
      <c r="B1477" s="59" t="inlineStr">
        <is>
          <t>R-1472</t>
        </is>
      </c>
      <c r="C1477" s="59" t="inlineStr">
        <is>
          <t>GH-013</t>
        </is>
      </c>
      <c r="D1477" s="64">
        <f>IFERROR(INDEX(MgNombre,MATCH($C1477,MgActId,0)),"")</f>
        <v/>
      </c>
      <c r="E1477" s="64">
        <f>IFERROR(INDEX(MgProceso,MATCH($C1477,MgActId,0)),"")</f>
        <v/>
      </c>
      <c r="F1477" s="64">
        <f>IFERROR(INDEX(MgTipo,MATCH($C1477,MgActId,0)),"")</f>
        <v/>
      </c>
      <c r="G1477" s="64">
        <f>IFERROR(INDEX(MgSubtipo,MATCH($C1477,MgActId,0)),"")</f>
        <v/>
      </c>
      <c r="H1477" s="59" t="inlineStr">
        <is>
          <t>E.14</t>
        </is>
      </c>
      <c r="I1477" s="64">
        <f>IFERROR(INDEX(MgAmenNombre,MATCH(SUBSTITUTE($H1477,"*","-"),MgAmenClave,0)),"")</f>
        <v/>
      </c>
      <c r="J1477" s="28">
        <f>IFERROR(INDEX(MgAmenGrupo,MATCH(SUBSTITUTE($H1477,"*","-"),MgAmenClave,0)),"")</f>
        <v/>
      </c>
      <c r="K1477" s="64">
        <f>IFERROR(INDEX('1. Matriz de Activos'!$Q$6:$Q$239,MATCH($C1477,MgActId,0)),"")</f>
        <v/>
      </c>
      <c r="L1477" s="64">
        <f>IFERROR(INDEX('1. Matriz de Activos'!$R$6:$R$239,MATCH($C1477,MgActId,0)),"")</f>
        <v/>
      </c>
      <c r="M1477" s="64">
        <f>IFERROR(INDEX('1. Matriz de Activos'!$S$6:$S$239,MATCH($C1477,MgActId,0)),"")</f>
        <v/>
      </c>
      <c r="N1477" s="28">
        <f>IFERROR(INDEX(MgAmenDegD,MATCH(SUBSTITUTE($H1477,"*","-"),MgAmenClave,0)),"No aplica")</f>
        <v/>
      </c>
      <c r="O1477" s="28">
        <f>IFERROR(INDEX(MgAmenDegI,MATCH(SUBSTITUTE($H1477,"*","-"),MgAmenClave,0)),"No aplica")</f>
        <v/>
      </c>
      <c r="P1477" s="28">
        <f>IFERROR(INDEX(MgAmenDegC,MATCH(SUBSTITUTE($H1477,"*","-"),MgAmenClave,0)),"No aplica")</f>
        <v/>
      </c>
      <c r="Q1477" s="29">
        <f>IFERROR(VLOOKUP(K1477,MgValor,2,0)*VLOOKUP(N1477,MgDeg,2,0),0)</f>
        <v/>
      </c>
      <c r="R1477" s="29">
        <f>IFERROR(VLOOKUP(L1477,MgValor,2,0)*VLOOKUP(O1477,MgDeg,2,0),0)</f>
        <v/>
      </c>
      <c r="S1477" s="29">
        <f>IFERROR(VLOOKUP(M1477,MgValor,2,0)*VLOOKUP(P1477,MgDeg,2,0),0)</f>
        <v/>
      </c>
      <c r="T1477" s="30">
        <f>MAX(Q1477:S1477)</f>
        <v/>
      </c>
      <c r="U1477" s="28">
        <f>IFERROR(LOOKUP(T1477,{0;0.5;1.5;3;4.5},{"Despreciable";"Bajo";"Medio";"Alto";"Muy alto"}),"")</f>
        <v/>
      </c>
      <c r="V1477" s="13">
        <f>IFERROR(INDEX(MgAmenFrec,MATCH(SUBSTITUTE($H1477,"*","-"),MgAmenClave,0)),"")</f>
        <v/>
      </c>
      <c r="W1477" s="28">
        <f>IFERROR(LOOKUP(X1477,{0;0.01;0.1;1;10;100},{"Muy baja";"Muy baja";"Baja";"Media";"Alta";"Muy alta"}),"")</f>
        <v/>
      </c>
      <c r="X1477" s="31">
        <f>IFERROR(VLOOKUP(V1477,MgFrec,2,0),0)</f>
        <v/>
      </c>
      <c r="Y1477" s="30">
        <f>T1477*X1477</f>
        <v/>
      </c>
      <c r="Z1477" s="28">
        <f>IFERROR(LOOKUP(Y1477,{0;0.5;5;25},{"Bajo";"Medio";"Alto";"Crítico"}),"")</f>
        <v/>
      </c>
      <c r="AA1477" s="64">
        <f>IF(T1477&gt;=3,IF(X1477&gt;=1,"Zona 1 — Crítica: impacto alto y ocurre al menos una vez al año","Zona 4 — Catastrófica poco probable: impacto alto pero excepcional"),IF(AND(T1477&lt;1.5,X1477&lt;1),"Zona 3 — Asumible: impacto bajo y muy poco frecuente","Zona 2 — Atención: riesgo intermedio"))</f>
        <v/>
      </c>
      <c r="AB1477" s="64">
        <f>IFERROR(INDEX(MgAmenCtrl,MATCH(SUBSTITUTE($H1477,"*","-"),MgAmenClave,0)),"")</f>
        <v/>
      </c>
      <c r="AC1477" s="20" t="n"/>
      <c r="AD1477" s="31">
        <f>IFERROR($X1477*(1-IF($AC1477="",$AL1477,VLOOKUP($AC1477,MgMad,2,0))),"")</f>
        <v/>
      </c>
      <c r="AE1477" s="28">
        <f>IFERROR(LOOKUP(AD1477,{0;0.01;0.1;1;10;100},{"Muy baja";"Muy baja";"Baja";"Media";"Alta";"Muy alta"}),"")</f>
        <v/>
      </c>
      <c r="AF1477" s="30">
        <f>T1477*AD1477</f>
        <v/>
      </c>
      <c r="AG1477" s="28">
        <f>IFERROR(LOOKUP(AF1477,{0;0.5;5;25},{"Bajo";"Medio";"Alto";"Crítico"}),"")</f>
        <v/>
      </c>
      <c r="AH1477" s="28">
        <f>IF(AG1477="","",IF(OR(AG1477="Crítico",AG1477="Alto"),"Mitigar",IF(AG1477="Medio","Mitigar","Aceptar y monitorear")))</f>
        <v/>
      </c>
      <c r="AI1477" s="21" t="n"/>
      <c r="AJ1477" s="21" t="n"/>
      <c r="AK1477" s="20" t="n"/>
      <c r="AL1477" s="77">
        <f>IFERROR(INDEX(MgAmenEfic,MATCH(SUBSTITUTE($H1477,"*","-"),MgAmenClave,0)),0)</f>
        <v/>
      </c>
    </row>
    <row r="1478" hidden="1" ht="90" customHeight="1" s="54">
      <c r="B1478" s="59" t="inlineStr">
        <is>
          <t>R-1473</t>
        </is>
      </c>
      <c r="C1478" s="59" t="inlineStr">
        <is>
          <t>GH-013</t>
        </is>
      </c>
      <c r="D1478" s="64">
        <f>IFERROR(INDEX(MgNombre,MATCH($C1478,MgActId,0)),"")</f>
        <v/>
      </c>
      <c r="E1478" s="64">
        <f>IFERROR(INDEX(MgProceso,MATCH($C1478,MgActId,0)),"")</f>
        <v/>
      </c>
      <c r="F1478" s="64">
        <f>IFERROR(INDEX(MgTipo,MATCH($C1478,MgActId,0)),"")</f>
        <v/>
      </c>
      <c r="G1478" s="64">
        <f>IFERROR(INDEX(MgSubtipo,MATCH($C1478,MgActId,0)),"")</f>
        <v/>
      </c>
      <c r="H1478" s="59" t="inlineStr">
        <is>
          <t>E.15</t>
        </is>
      </c>
      <c r="I1478" s="64">
        <f>IFERROR(INDEX(MgAmenNombre,MATCH(SUBSTITUTE($H1478,"*","-"),MgAmenClave,0)),"")</f>
        <v/>
      </c>
      <c r="J1478" s="28">
        <f>IFERROR(INDEX(MgAmenGrupo,MATCH(SUBSTITUTE($H1478,"*","-"),MgAmenClave,0)),"")</f>
        <v/>
      </c>
      <c r="K1478" s="64">
        <f>IFERROR(INDEX('1. Matriz de Activos'!$Q$6:$Q$239,MATCH($C1478,MgActId,0)),"")</f>
        <v/>
      </c>
      <c r="L1478" s="64">
        <f>IFERROR(INDEX('1. Matriz de Activos'!$R$6:$R$239,MATCH($C1478,MgActId,0)),"")</f>
        <v/>
      </c>
      <c r="M1478" s="64">
        <f>IFERROR(INDEX('1. Matriz de Activos'!$S$6:$S$239,MATCH($C1478,MgActId,0)),"")</f>
        <v/>
      </c>
      <c r="N1478" s="28">
        <f>IFERROR(INDEX(MgAmenDegD,MATCH(SUBSTITUTE($H1478,"*","-"),MgAmenClave,0)),"No aplica")</f>
        <v/>
      </c>
      <c r="O1478" s="28">
        <f>IFERROR(INDEX(MgAmenDegI,MATCH(SUBSTITUTE($H1478,"*","-"),MgAmenClave,0)),"No aplica")</f>
        <v/>
      </c>
      <c r="P1478" s="28">
        <f>IFERROR(INDEX(MgAmenDegC,MATCH(SUBSTITUTE($H1478,"*","-"),MgAmenClave,0)),"No aplica")</f>
        <v/>
      </c>
      <c r="Q1478" s="29">
        <f>IFERROR(VLOOKUP(K1478,MgValor,2,0)*VLOOKUP(N1478,MgDeg,2,0),0)</f>
        <v/>
      </c>
      <c r="R1478" s="29">
        <f>IFERROR(VLOOKUP(L1478,MgValor,2,0)*VLOOKUP(O1478,MgDeg,2,0),0)</f>
        <v/>
      </c>
      <c r="S1478" s="29">
        <f>IFERROR(VLOOKUP(M1478,MgValor,2,0)*VLOOKUP(P1478,MgDeg,2,0),0)</f>
        <v/>
      </c>
      <c r="T1478" s="30">
        <f>MAX(Q1478:S1478)</f>
        <v/>
      </c>
      <c r="U1478" s="28">
        <f>IFERROR(LOOKUP(T1478,{0;0.5;1.5;3;4.5},{"Despreciable";"Bajo";"Medio";"Alto";"Muy alto"}),"")</f>
        <v/>
      </c>
      <c r="V1478" s="13">
        <f>IFERROR(INDEX(MgAmenFrec,MATCH(SUBSTITUTE($H1478,"*","-"),MgAmenClave,0)),"")</f>
        <v/>
      </c>
      <c r="W1478" s="28">
        <f>IFERROR(LOOKUP(X1478,{0;0.01;0.1;1;10;100},{"Muy baja";"Muy baja";"Baja";"Media";"Alta";"Muy alta"}),"")</f>
        <v/>
      </c>
      <c r="X1478" s="31">
        <f>IFERROR(VLOOKUP(V1478,MgFrec,2,0),0)</f>
        <v/>
      </c>
      <c r="Y1478" s="30">
        <f>T1478*X1478</f>
        <v/>
      </c>
      <c r="Z1478" s="28">
        <f>IFERROR(LOOKUP(Y1478,{0;0.5;5;25},{"Bajo";"Medio";"Alto";"Crítico"}),"")</f>
        <v/>
      </c>
      <c r="AA1478" s="64">
        <f>IF(T1478&gt;=3,IF(X1478&gt;=1,"Zona 1 — Crítica: impacto alto y ocurre al menos una vez al año","Zona 4 — Catastrófica poco probable: impacto alto pero excepcional"),IF(AND(T1478&lt;1.5,X1478&lt;1),"Zona 3 — Asumible: impacto bajo y muy poco frecuente","Zona 2 — Atención: riesgo intermedio"))</f>
        <v/>
      </c>
      <c r="AB1478" s="64">
        <f>IFERROR(INDEX(MgAmenCtrl,MATCH(SUBSTITUTE($H1478,"*","-"),MgAmenClave,0)),"")</f>
        <v/>
      </c>
      <c r="AC1478" s="20" t="n"/>
      <c r="AD1478" s="31">
        <f>IFERROR($X1478*(1-IF($AC1478="",$AL1478,VLOOKUP($AC1478,MgMad,2,0))),"")</f>
        <v/>
      </c>
      <c r="AE1478" s="28">
        <f>IFERROR(LOOKUP(AD1478,{0;0.01;0.1;1;10;100},{"Muy baja";"Muy baja";"Baja";"Media";"Alta";"Muy alta"}),"")</f>
        <v/>
      </c>
      <c r="AF1478" s="30">
        <f>T1478*AD1478</f>
        <v/>
      </c>
      <c r="AG1478" s="28">
        <f>IFERROR(LOOKUP(AF1478,{0;0.5;5;25},{"Bajo";"Medio";"Alto";"Crítico"}),"")</f>
        <v/>
      </c>
      <c r="AH1478" s="28">
        <f>IF(AG1478="","",IF(OR(AG1478="Crítico",AG1478="Alto"),"Mitigar",IF(AG1478="Medio","Mitigar","Aceptar y monitorear")))</f>
        <v/>
      </c>
      <c r="AI1478" s="21" t="n"/>
      <c r="AJ1478" s="21" t="n"/>
      <c r="AK1478" s="20" t="n"/>
      <c r="AL1478" s="77">
        <f>IFERROR(INDEX(MgAmenEfic,MATCH(SUBSTITUTE($H1478,"*","-"),MgAmenClave,0)),0)</f>
        <v/>
      </c>
    </row>
    <row r="1479" hidden="1" ht="60" customHeight="1" s="54">
      <c r="B1479" s="59" t="inlineStr">
        <is>
          <t>R-1474</t>
        </is>
      </c>
      <c r="C1479" s="59" t="inlineStr">
        <is>
          <t>GH-013</t>
        </is>
      </c>
      <c r="D1479" s="64">
        <f>IFERROR(INDEX(MgNombre,MATCH($C1479,MgActId,0)),"")</f>
        <v/>
      </c>
      <c r="E1479" s="64">
        <f>IFERROR(INDEX(MgProceso,MATCH($C1479,MgActId,0)),"")</f>
        <v/>
      </c>
      <c r="F1479" s="64">
        <f>IFERROR(INDEX(MgTipo,MATCH($C1479,MgActId,0)),"")</f>
        <v/>
      </c>
      <c r="G1479" s="64">
        <f>IFERROR(INDEX(MgSubtipo,MATCH($C1479,MgActId,0)),"")</f>
        <v/>
      </c>
      <c r="H1479" s="59" t="inlineStr">
        <is>
          <t>E.18</t>
        </is>
      </c>
      <c r="I1479" s="64">
        <f>IFERROR(INDEX(MgAmenNombre,MATCH(SUBSTITUTE($H1479,"*","-"),MgAmenClave,0)),"")</f>
        <v/>
      </c>
      <c r="J1479" s="28">
        <f>IFERROR(INDEX(MgAmenGrupo,MATCH(SUBSTITUTE($H1479,"*","-"),MgAmenClave,0)),"")</f>
        <v/>
      </c>
      <c r="K1479" s="64">
        <f>IFERROR(INDEX('1. Matriz de Activos'!$Q$6:$Q$239,MATCH($C1479,MgActId,0)),"")</f>
        <v/>
      </c>
      <c r="L1479" s="64">
        <f>IFERROR(INDEX('1. Matriz de Activos'!$R$6:$R$239,MATCH($C1479,MgActId,0)),"")</f>
        <v/>
      </c>
      <c r="M1479" s="64">
        <f>IFERROR(INDEX('1. Matriz de Activos'!$S$6:$S$239,MATCH($C1479,MgActId,0)),"")</f>
        <v/>
      </c>
      <c r="N1479" s="28">
        <f>IFERROR(INDEX(MgAmenDegD,MATCH(SUBSTITUTE($H1479,"*","-"),MgAmenClave,0)),"No aplica")</f>
        <v/>
      </c>
      <c r="O1479" s="28">
        <f>IFERROR(INDEX(MgAmenDegI,MATCH(SUBSTITUTE($H1479,"*","-"),MgAmenClave,0)),"No aplica")</f>
        <v/>
      </c>
      <c r="P1479" s="28">
        <f>IFERROR(INDEX(MgAmenDegC,MATCH(SUBSTITUTE($H1479,"*","-"),MgAmenClave,0)),"No aplica")</f>
        <v/>
      </c>
      <c r="Q1479" s="29">
        <f>IFERROR(VLOOKUP(K1479,MgValor,2,0)*VLOOKUP(N1479,MgDeg,2,0),0)</f>
        <v/>
      </c>
      <c r="R1479" s="29">
        <f>IFERROR(VLOOKUP(L1479,MgValor,2,0)*VLOOKUP(O1479,MgDeg,2,0),0)</f>
        <v/>
      </c>
      <c r="S1479" s="29">
        <f>IFERROR(VLOOKUP(M1479,MgValor,2,0)*VLOOKUP(P1479,MgDeg,2,0),0)</f>
        <v/>
      </c>
      <c r="T1479" s="30">
        <f>MAX(Q1479:S1479)</f>
        <v/>
      </c>
      <c r="U1479" s="28">
        <f>IFERROR(LOOKUP(T1479,{0;0.5;1.5;3;4.5},{"Despreciable";"Bajo";"Medio";"Alto";"Muy alto"}),"")</f>
        <v/>
      </c>
      <c r="V1479" s="13">
        <f>IFERROR(INDEX(MgAmenFrec,MATCH(SUBSTITUTE($H1479,"*","-"),MgAmenClave,0)),"")</f>
        <v/>
      </c>
      <c r="W1479" s="28">
        <f>IFERROR(LOOKUP(X1479,{0;0.01;0.1;1;10;100},{"Muy baja";"Muy baja";"Baja";"Media";"Alta";"Muy alta"}),"")</f>
        <v/>
      </c>
      <c r="X1479" s="31">
        <f>IFERROR(VLOOKUP(V1479,MgFrec,2,0),0)</f>
        <v/>
      </c>
      <c r="Y1479" s="30">
        <f>T1479*X1479</f>
        <v/>
      </c>
      <c r="Z1479" s="28">
        <f>IFERROR(LOOKUP(Y1479,{0;0.5;5;25},{"Bajo";"Medio";"Alto";"Crítico"}),"")</f>
        <v/>
      </c>
      <c r="AA1479" s="64">
        <f>IF(T1479&gt;=3,IF(X1479&gt;=1,"Zona 1 — Crítica: impacto alto y ocurre al menos una vez al año","Zona 4 — Catastrófica poco probable: impacto alto pero excepcional"),IF(AND(T1479&lt;1.5,X1479&lt;1),"Zona 3 — Asumible: impacto bajo y muy poco frecuente","Zona 2 — Atención: riesgo intermedio"))</f>
        <v/>
      </c>
      <c r="AB1479" s="64">
        <f>IFERROR(INDEX(MgAmenCtrl,MATCH(SUBSTITUTE($H1479,"*","-"),MgAmenClave,0)),"")</f>
        <v/>
      </c>
      <c r="AC1479" s="20" t="n"/>
      <c r="AD1479" s="31">
        <f>IFERROR($X1479*(1-IF($AC1479="",$AL1479,VLOOKUP($AC1479,MgMad,2,0))),"")</f>
        <v/>
      </c>
      <c r="AE1479" s="28">
        <f>IFERROR(LOOKUP(AD1479,{0;0.01;0.1;1;10;100},{"Muy baja";"Muy baja";"Baja";"Media";"Alta";"Muy alta"}),"")</f>
        <v/>
      </c>
      <c r="AF1479" s="30">
        <f>T1479*AD1479</f>
        <v/>
      </c>
      <c r="AG1479" s="28">
        <f>IFERROR(LOOKUP(AF1479,{0;0.5;5;25},{"Bajo";"Medio";"Alto";"Crítico"}),"")</f>
        <v/>
      </c>
      <c r="AH1479" s="28">
        <f>IF(AG1479="","",IF(OR(AG1479="Crítico",AG1479="Alto"),"Mitigar",IF(AG1479="Medio","Mitigar","Aceptar y monitorear")))</f>
        <v/>
      </c>
      <c r="AI1479" s="21" t="n"/>
      <c r="AJ1479" s="21" t="n"/>
      <c r="AK1479" s="20" t="n"/>
      <c r="AL1479" s="77">
        <f>IFERROR(INDEX(MgAmenEfic,MATCH(SUBSTITUTE($H1479,"*","-"),MgAmenClave,0)),0)</f>
        <v/>
      </c>
    </row>
    <row r="1480" hidden="1" ht="105" customHeight="1" s="54">
      <c r="B1480" s="59" t="inlineStr">
        <is>
          <t>R-1475</t>
        </is>
      </c>
      <c r="C1480" s="59" t="inlineStr">
        <is>
          <t>GH-013</t>
        </is>
      </c>
      <c r="D1480" s="64">
        <f>IFERROR(INDEX(MgNombre,MATCH($C1480,MgActId,0)),"")</f>
        <v/>
      </c>
      <c r="E1480" s="64">
        <f>IFERROR(INDEX(MgProceso,MATCH($C1480,MgActId,0)),"")</f>
        <v/>
      </c>
      <c r="F1480" s="64">
        <f>IFERROR(INDEX(MgTipo,MATCH($C1480,MgActId,0)),"")</f>
        <v/>
      </c>
      <c r="G1480" s="64">
        <f>IFERROR(INDEX(MgSubtipo,MATCH($C1480,MgActId,0)),"")</f>
        <v/>
      </c>
      <c r="H1480" s="59" t="inlineStr">
        <is>
          <t>E.19</t>
        </is>
      </c>
      <c r="I1480" s="64">
        <f>IFERROR(INDEX(MgAmenNombre,MATCH(SUBSTITUTE($H1480,"*","-"),MgAmenClave,0)),"")</f>
        <v/>
      </c>
      <c r="J1480" s="28">
        <f>IFERROR(INDEX(MgAmenGrupo,MATCH(SUBSTITUTE($H1480,"*","-"),MgAmenClave,0)),"")</f>
        <v/>
      </c>
      <c r="K1480" s="64">
        <f>IFERROR(INDEX('1. Matriz de Activos'!$Q$6:$Q$239,MATCH($C1480,MgActId,0)),"")</f>
        <v/>
      </c>
      <c r="L1480" s="64">
        <f>IFERROR(INDEX('1. Matriz de Activos'!$R$6:$R$239,MATCH($C1480,MgActId,0)),"")</f>
        <v/>
      </c>
      <c r="M1480" s="64">
        <f>IFERROR(INDEX('1. Matriz de Activos'!$S$6:$S$239,MATCH($C1480,MgActId,0)),"")</f>
        <v/>
      </c>
      <c r="N1480" s="28">
        <f>IFERROR(INDEX(MgAmenDegD,MATCH(SUBSTITUTE($H1480,"*","-"),MgAmenClave,0)),"No aplica")</f>
        <v/>
      </c>
      <c r="O1480" s="28">
        <f>IFERROR(INDEX(MgAmenDegI,MATCH(SUBSTITUTE($H1480,"*","-"),MgAmenClave,0)),"No aplica")</f>
        <v/>
      </c>
      <c r="P1480" s="28">
        <f>IFERROR(INDEX(MgAmenDegC,MATCH(SUBSTITUTE($H1480,"*","-"),MgAmenClave,0)),"No aplica")</f>
        <v/>
      </c>
      <c r="Q1480" s="29">
        <f>IFERROR(VLOOKUP(K1480,MgValor,2,0)*VLOOKUP(N1480,MgDeg,2,0),0)</f>
        <v/>
      </c>
      <c r="R1480" s="29">
        <f>IFERROR(VLOOKUP(L1480,MgValor,2,0)*VLOOKUP(O1480,MgDeg,2,0),0)</f>
        <v/>
      </c>
      <c r="S1480" s="29">
        <f>IFERROR(VLOOKUP(M1480,MgValor,2,0)*VLOOKUP(P1480,MgDeg,2,0),0)</f>
        <v/>
      </c>
      <c r="T1480" s="30">
        <f>MAX(Q1480:S1480)</f>
        <v/>
      </c>
      <c r="U1480" s="28">
        <f>IFERROR(LOOKUP(T1480,{0;0.5;1.5;3;4.5},{"Despreciable";"Bajo";"Medio";"Alto";"Muy alto"}),"")</f>
        <v/>
      </c>
      <c r="V1480" s="13">
        <f>IFERROR(INDEX(MgAmenFrec,MATCH(SUBSTITUTE($H1480,"*","-"),MgAmenClave,0)),"")</f>
        <v/>
      </c>
      <c r="W1480" s="28">
        <f>IFERROR(LOOKUP(X1480,{0;0.01;0.1;1;10;100},{"Muy baja";"Muy baja";"Baja";"Media";"Alta";"Muy alta"}),"")</f>
        <v/>
      </c>
      <c r="X1480" s="31">
        <f>IFERROR(VLOOKUP(V1480,MgFrec,2,0),0)</f>
        <v/>
      </c>
      <c r="Y1480" s="30">
        <f>T1480*X1480</f>
        <v/>
      </c>
      <c r="Z1480" s="28">
        <f>IFERROR(LOOKUP(Y1480,{0;0.5;5;25},{"Bajo";"Medio";"Alto";"Crítico"}),"")</f>
        <v/>
      </c>
      <c r="AA1480" s="64">
        <f>IF(T1480&gt;=3,IF(X1480&gt;=1,"Zona 1 — Crítica: impacto alto y ocurre al menos una vez al año","Zona 4 — Catastrófica poco probable: impacto alto pero excepcional"),IF(AND(T1480&lt;1.5,X1480&lt;1),"Zona 3 — Asumible: impacto bajo y muy poco frecuente","Zona 2 — Atención: riesgo intermedio"))</f>
        <v/>
      </c>
      <c r="AB1480" s="64">
        <f>IFERROR(INDEX(MgAmenCtrl,MATCH(SUBSTITUTE($H1480,"*","-"),MgAmenClave,0)),"")</f>
        <v/>
      </c>
      <c r="AC1480" s="20" t="n"/>
      <c r="AD1480" s="31">
        <f>IFERROR($X1480*(1-IF($AC1480="",$AL1480,VLOOKUP($AC1480,MgMad,2,0))),"")</f>
        <v/>
      </c>
      <c r="AE1480" s="28">
        <f>IFERROR(LOOKUP(AD1480,{0;0.01;0.1;1;10;100},{"Muy baja";"Muy baja";"Baja";"Media";"Alta";"Muy alta"}),"")</f>
        <v/>
      </c>
      <c r="AF1480" s="30">
        <f>T1480*AD1480</f>
        <v/>
      </c>
      <c r="AG1480" s="28">
        <f>IFERROR(LOOKUP(AF1480,{0;0.5;5;25},{"Bajo";"Medio";"Alto";"Crítico"}),"")</f>
        <v/>
      </c>
      <c r="AH1480" s="28">
        <f>IF(AG1480="","",IF(OR(AG1480="Crítico",AG1480="Alto"),"Mitigar",IF(AG1480="Medio","Mitigar","Aceptar y monitorear")))</f>
        <v/>
      </c>
      <c r="AI1480" s="21" t="n"/>
      <c r="AJ1480" s="21" t="n"/>
      <c r="AK1480" s="20" t="n"/>
      <c r="AL1480" s="77">
        <f>IFERROR(INDEX(MgAmenEfic,MATCH(SUBSTITUTE($H1480,"*","-"),MgAmenClave,0)),0)</f>
        <v/>
      </c>
    </row>
    <row r="1481" hidden="1" ht="60" customHeight="1" s="54">
      <c r="B1481" s="59" t="inlineStr">
        <is>
          <t>R-1476</t>
        </is>
      </c>
      <c r="C1481" s="59" t="inlineStr">
        <is>
          <t>GH-013</t>
        </is>
      </c>
      <c r="D1481" s="64">
        <f>IFERROR(INDEX(MgNombre,MATCH($C1481,MgActId,0)),"")</f>
        <v/>
      </c>
      <c r="E1481" s="64">
        <f>IFERROR(INDEX(MgProceso,MATCH($C1481,MgActId,0)),"")</f>
        <v/>
      </c>
      <c r="F1481" s="64">
        <f>IFERROR(INDEX(MgTipo,MATCH($C1481,MgActId,0)),"")</f>
        <v/>
      </c>
      <c r="G1481" s="64">
        <f>IFERROR(INDEX(MgSubtipo,MATCH($C1481,MgActId,0)),"")</f>
        <v/>
      </c>
      <c r="H1481" s="59" t="inlineStr">
        <is>
          <t>A.3</t>
        </is>
      </c>
      <c r="I1481" s="64">
        <f>IFERROR(INDEX(MgAmenNombre,MATCH(SUBSTITUTE($H1481,"*","-"),MgAmenClave,0)),"")</f>
        <v/>
      </c>
      <c r="J1481" s="28">
        <f>IFERROR(INDEX(MgAmenGrupo,MATCH(SUBSTITUTE($H1481,"*","-"),MgAmenClave,0)),"")</f>
        <v/>
      </c>
      <c r="K1481" s="64">
        <f>IFERROR(INDEX('1. Matriz de Activos'!$Q$6:$Q$239,MATCH($C1481,MgActId,0)),"")</f>
        <v/>
      </c>
      <c r="L1481" s="64">
        <f>IFERROR(INDEX('1. Matriz de Activos'!$R$6:$R$239,MATCH($C1481,MgActId,0)),"")</f>
        <v/>
      </c>
      <c r="M1481" s="64">
        <f>IFERROR(INDEX('1. Matriz de Activos'!$S$6:$S$239,MATCH($C1481,MgActId,0)),"")</f>
        <v/>
      </c>
      <c r="N1481" s="28">
        <f>IFERROR(INDEX(MgAmenDegD,MATCH(SUBSTITUTE($H1481,"*","-"),MgAmenClave,0)),"No aplica")</f>
        <v/>
      </c>
      <c r="O1481" s="28">
        <f>IFERROR(INDEX(MgAmenDegI,MATCH(SUBSTITUTE($H1481,"*","-"),MgAmenClave,0)),"No aplica")</f>
        <v/>
      </c>
      <c r="P1481" s="28">
        <f>IFERROR(INDEX(MgAmenDegC,MATCH(SUBSTITUTE($H1481,"*","-"),MgAmenClave,0)),"No aplica")</f>
        <v/>
      </c>
      <c r="Q1481" s="29">
        <f>IFERROR(VLOOKUP(K1481,MgValor,2,0)*VLOOKUP(N1481,MgDeg,2,0),0)</f>
        <v/>
      </c>
      <c r="R1481" s="29">
        <f>IFERROR(VLOOKUP(L1481,MgValor,2,0)*VLOOKUP(O1481,MgDeg,2,0),0)</f>
        <v/>
      </c>
      <c r="S1481" s="29">
        <f>IFERROR(VLOOKUP(M1481,MgValor,2,0)*VLOOKUP(P1481,MgDeg,2,0),0)</f>
        <v/>
      </c>
      <c r="T1481" s="30">
        <f>MAX(Q1481:S1481)</f>
        <v/>
      </c>
      <c r="U1481" s="28">
        <f>IFERROR(LOOKUP(T1481,{0;0.5;1.5;3;4.5},{"Despreciable";"Bajo";"Medio";"Alto";"Muy alto"}),"")</f>
        <v/>
      </c>
      <c r="V1481" s="13">
        <f>IFERROR(INDEX(MgAmenFrec,MATCH(SUBSTITUTE($H1481,"*","-"),MgAmenClave,0)),"")</f>
        <v/>
      </c>
      <c r="W1481" s="28">
        <f>IFERROR(LOOKUP(X1481,{0;0.01;0.1;1;10;100},{"Muy baja";"Muy baja";"Baja";"Media";"Alta";"Muy alta"}),"")</f>
        <v/>
      </c>
      <c r="X1481" s="31">
        <f>IFERROR(VLOOKUP(V1481,MgFrec,2,0),0)</f>
        <v/>
      </c>
      <c r="Y1481" s="30">
        <f>T1481*X1481</f>
        <v/>
      </c>
      <c r="Z1481" s="28">
        <f>IFERROR(LOOKUP(Y1481,{0;0.5;5;25},{"Bajo";"Medio";"Alto";"Crítico"}),"")</f>
        <v/>
      </c>
      <c r="AA1481" s="64">
        <f>IF(T1481&gt;=3,IF(X1481&gt;=1,"Zona 1 — Crítica: impacto alto y ocurre al menos una vez al año","Zona 4 — Catastrófica poco probable: impacto alto pero excepcional"),IF(AND(T1481&lt;1.5,X1481&lt;1),"Zona 3 — Asumible: impacto bajo y muy poco frecuente","Zona 2 — Atención: riesgo intermedio"))</f>
        <v/>
      </c>
      <c r="AB1481" s="64">
        <f>IFERROR(INDEX(MgAmenCtrl,MATCH(SUBSTITUTE($H1481,"*","-"),MgAmenClave,0)),"")</f>
        <v/>
      </c>
      <c r="AC1481" s="20" t="n"/>
      <c r="AD1481" s="31">
        <f>IFERROR($X1481*(1-IF($AC1481="",$AL1481,VLOOKUP($AC1481,MgMad,2,0))),"")</f>
        <v/>
      </c>
      <c r="AE1481" s="28">
        <f>IFERROR(LOOKUP(AD1481,{0;0.01;0.1;1;10;100},{"Muy baja";"Muy baja";"Baja";"Media";"Alta";"Muy alta"}),"")</f>
        <v/>
      </c>
      <c r="AF1481" s="30">
        <f>T1481*AD1481</f>
        <v/>
      </c>
      <c r="AG1481" s="28">
        <f>IFERROR(LOOKUP(AF1481,{0;0.5;5;25},{"Bajo";"Medio";"Alto";"Crítico"}),"")</f>
        <v/>
      </c>
      <c r="AH1481" s="28">
        <f>IF(AG1481="","",IF(OR(AG1481="Crítico",AG1481="Alto"),"Mitigar",IF(AG1481="Medio","Mitigar","Aceptar y monitorear")))</f>
        <v/>
      </c>
      <c r="AI1481" s="21" t="n"/>
      <c r="AJ1481" s="21" t="n"/>
      <c r="AK1481" s="20" t="n"/>
      <c r="AL1481" s="77">
        <f>IFERROR(INDEX(MgAmenEfic,MATCH(SUBSTITUTE($H1481,"*","-"),MgAmenClave,0)),0)</f>
        <v/>
      </c>
    </row>
    <row r="1482" hidden="1" ht="60" customHeight="1" s="54">
      <c r="B1482" s="59" t="inlineStr">
        <is>
          <t>R-1477</t>
        </is>
      </c>
      <c r="C1482" s="59" t="inlineStr">
        <is>
          <t>GH-013</t>
        </is>
      </c>
      <c r="D1482" s="64">
        <f>IFERROR(INDEX(MgNombre,MATCH($C1482,MgActId,0)),"")</f>
        <v/>
      </c>
      <c r="E1482" s="64">
        <f>IFERROR(INDEX(MgProceso,MATCH($C1482,MgActId,0)),"")</f>
        <v/>
      </c>
      <c r="F1482" s="64">
        <f>IFERROR(INDEX(MgTipo,MATCH($C1482,MgActId,0)),"")</f>
        <v/>
      </c>
      <c r="G1482" s="64">
        <f>IFERROR(INDEX(MgSubtipo,MATCH($C1482,MgActId,0)),"")</f>
        <v/>
      </c>
      <c r="H1482" s="59" t="inlineStr">
        <is>
          <t>A.4</t>
        </is>
      </c>
      <c r="I1482" s="64">
        <f>IFERROR(INDEX(MgAmenNombre,MATCH(SUBSTITUTE($H1482,"*","-"),MgAmenClave,0)),"")</f>
        <v/>
      </c>
      <c r="J1482" s="28">
        <f>IFERROR(INDEX(MgAmenGrupo,MATCH(SUBSTITUTE($H1482,"*","-"),MgAmenClave,0)),"")</f>
        <v/>
      </c>
      <c r="K1482" s="64">
        <f>IFERROR(INDEX('1. Matriz de Activos'!$Q$6:$Q$239,MATCH($C1482,MgActId,0)),"")</f>
        <v/>
      </c>
      <c r="L1482" s="64">
        <f>IFERROR(INDEX('1. Matriz de Activos'!$R$6:$R$239,MATCH($C1482,MgActId,0)),"")</f>
        <v/>
      </c>
      <c r="M1482" s="64">
        <f>IFERROR(INDEX('1. Matriz de Activos'!$S$6:$S$239,MATCH($C1482,MgActId,0)),"")</f>
        <v/>
      </c>
      <c r="N1482" s="28">
        <f>IFERROR(INDEX(MgAmenDegD,MATCH(SUBSTITUTE($H1482,"*","-"),MgAmenClave,0)),"No aplica")</f>
        <v/>
      </c>
      <c r="O1482" s="28">
        <f>IFERROR(INDEX(MgAmenDegI,MATCH(SUBSTITUTE($H1482,"*","-"),MgAmenClave,0)),"No aplica")</f>
        <v/>
      </c>
      <c r="P1482" s="28">
        <f>IFERROR(INDEX(MgAmenDegC,MATCH(SUBSTITUTE($H1482,"*","-"),MgAmenClave,0)),"No aplica")</f>
        <v/>
      </c>
      <c r="Q1482" s="29">
        <f>IFERROR(VLOOKUP(K1482,MgValor,2,0)*VLOOKUP(N1482,MgDeg,2,0),0)</f>
        <v/>
      </c>
      <c r="R1482" s="29">
        <f>IFERROR(VLOOKUP(L1482,MgValor,2,0)*VLOOKUP(O1482,MgDeg,2,0),0)</f>
        <v/>
      </c>
      <c r="S1482" s="29">
        <f>IFERROR(VLOOKUP(M1482,MgValor,2,0)*VLOOKUP(P1482,MgDeg,2,0),0)</f>
        <v/>
      </c>
      <c r="T1482" s="30">
        <f>MAX(Q1482:S1482)</f>
        <v/>
      </c>
      <c r="U1482" s="28">
        <f>IFERROR(LOOKUP(T1482,{0;0.5;1.5;3;4.5},{"Despreciable";"Bajo";"Medio";"Alto";"Muy alto"}),"")</f>
        <v/>
      </c>
      <c r="V1482" s="13">
        <f>IFERROR(INDEX(MgAmenFrec,MATCH(SUBSTITUTE($H1482,"*","-"),MgAmenClave,0)),"")</f>
        <v/>
      </c>
      <c r="W1482" s="28">
        <f>IFERROR(LOOKUP(X1482,{0;0.01;0.1;1;10;100},{"Muy baja";"Muy baja";"Baja";"Media";"Alta";"Muy alta"}),"")</f>
        <v/>
      </c>
      <c r="X1482" s="31">
        <f>IFERROR(VLOOKUP(V1482,MgFrec,2,0),0)</f>
        <v/>
      </c>
      <c r="Y1482" s="30">
        <f>T1482*X1482</f>
        <v/>
      </c>
      <c r="Z1482" s="28">
        <f>IFERROR(LOOKUP(Y1482,{0;0.5;5;25},{"Bajo";"Medio";"Alto";"Crítico"}),"")</f>
        <v/>
      </c>
      <c r="AA1482" s="64">
        <f>IF(T1482&gt;=3,IF(X1482&gt;=1,"Zona 1 — Crítica: impacto alto y ocurre al menos una vez al año","Zona 4 — Catastrófica poco probable: impacto alto pero excepcional"),IF(AND(T1482&lt;1.5,X1482&lt;1),"Zona 3 — Asumible: impacto bajo y muy poco frecuente","Zona 2 — Atención: riesgo intermedio"))</f>
        <v/>
      </c>
      <c r="AB1482" s="64">
        <f>IFERROR(INDEX(MgAmenCtrl,MATCH(SUBSTITUTE($H1482,"*","-"),MgAmenClave,0)),"")</f>
        <v/>
      </c>
      <c r="AC1482" s="20" t="n"/>
      <c r="AD1482" s="31">
        <f>IFERROR($X1482*(1-IF($AC1482="",$AL1482,VLOOKUP($AC1482,MgMad,2,0))),"")</f>
        <v/>
      </c>
      <c r="AE1482" s="28">
        <f>IFERROR(LOOKUP(AD1482,{0;0.01;0.1;1;10;100},{"Muy baja";"Muy baja";"Baja";"Media";"Alta";"Muy alta"}),"")</f>
        <v/>
      </c>
      <c r="AF1482" s="30">
        <f>T1482*AD1482</f>
        <v/>
      </c>
      <c r="AG1482" s="28">
        <f>IFERROR(LOOKUP(AF1482,{0;0.5;5;25},{"Bajo";"Medio";"Alto";"Crítico"}),"")</f>
        <v/>
      </c>
      <c r="AH1482" s="28">
        <f>IF(AG1482="","",IF(OR(AG1482="Crítico",AG1482="Alto"),"Mitigar",IF(AG1482="Medio","Mitigar","Aceptar y monitorear")))</f>
        <v/>
      </c>
      <c r="AI1482" s="21" t="n"/>
      <c r="AJ1482" s="21" t="n"/>
      <c r="AK1482" s="20" t="n"/>
      <c r="AL1482" s="77">
        <f>IFERROR(INDEX(MgAmenEfic,MATCH(SUBSTITUTE($H1482,"*","-"),MgAmenClave,0)),0)</f>
        <v/>
      </c>
    </row>
    <row r="1483" hidden="1" ht="75" customHeight="1" s="54">
      <c r="B1483" s="59" t="inlineStr">
        <is>
          <t>R-1478</t>
        </is>
      </c>
      <c r="C1483" s="59" t="inlineStr">
        <is>
          <t>GH-013</t>
        </is>
      </c>
      <c r="D1483" s="64">
        <f>IFERROR(INDEX(MgNombre,MATCH($C1483,MgActId,0)),"")</f>
        <v/>
      </c>
      <c r="E1483" s="64">
        <f>IFERROR(INDEX(MgProceso,MATCH($C1483,MgActId,0)),"")</f>
        <v/>
      </c>
      <c r="F1483" s="64">
        <f>IFERROR(INDEX(MgTipo,MATCH($C1483,MgActId,0)),"")</f>
        <v/>
      </c>
      <c r="G1483" s="64">
        <f>IFERROR(INDEX(MgSubtipo,MATCH($C1483,MgActId,0)),"")</f>
        <v/>
      </c>
      <c r="H1483" s="59" t="inlineStr">
        <is>
          <t>A.5</t>
        </is>
      </c>
      <c r="I1483" s="64">
        <f>IFERROR(INDEX(MgAmenNombre,MATCH(SUBSTITUTE($H1483,"*","-"),MgAmenClave,0)),"")</f>
        <v/>
      </c>
      <c r="J1483" s="28">
        <f>IFERROR(INDEX(MgAmenGrupo,MATCH(SUBSTITUTE($H1483,"*","-"),MgAmenClave,0)),"")</f>
        <v/>
      </c>
      <c r="K1483" s="64">
        <f>IFERROR(INDEX('1. Matriz de Activos'!$Q$6:$Q$239,MATCH($C1483,MgActId,0)),"")</f>
        <v/>
      </c>
      <c r="L1483" s="64">
        <f>IFERROR(INDEX('1. Matriz de Activos'!$R$6:$R$239,MATCH($C1483,MgActId,0)),"")</f>
        <v/>
      </c>
      <c r="M1483" s="64">
        <f>IFERROR(INDEX('1. Matriz de Activos'!$S$6:$S$239,MATCH($C1483,MgActId,0)),"")</f>
        <v/>
      </c>
      <c r="N1483" s="28">
        <f>IFERROR(INDEX(MgAmenDegD,MATCH(SUBSTITUTE($H1483,"*","-"),MgAmenClave,0)),"No aplica")</f>
        <v/>
      </c>
      <c r="O1483" s="28">
        <f>IFERROR(INDEX(MgAmenDegI,MATCH(SUBSTITUTE($H1483,"*","-"),MgAmenClave,0)),"No aplica")</f>
        <v/>
      </c>
      <c r="P1483" s="28">
        <f>IFERROR(INDEX(MgAmenDegC,MATCH(SUBSTITUTE($H1483,"*","-"),MgAmenClave,0)),"No aplica")</f>
        <v/>
      </c>
      <c r="Q1483" s="29">
        <f>IFERROR(VLOOKUP(K1483,MgValor,2,0)*VLOOKUP(N1483,MgDeg,2,0),0)</f>
        <v/>
      </c>
      <c r="R1483" s="29">
        <f>IFERROR(VLOOKUP(L1483,MgValor,2,0)*VLOOKUP(O1483,MgDeg,2,0),0)</f>
        <v/>
      </c>
      <c r="S1483" s="29">
        <f>IFERROR(VLOOKUP(M1483,MgValor,2,0)*VLOOKUP(P1483,MgDeg,2,0),0)</f>
        <v/>
      </c>
      <c r="T1483" s="30">
        <f>MAX(Q1483:S1483)</f>
        <v/>
      </c>
      <c r="U1483" s="28">
        <f>IFERROR(LOOKUP(T1483,{0;0.5;1.5;3;4.5},{"Despreciable";"Bajo";"Medio";"Alto";"Muy alto"}),"")</f>
        <v/>
      </c>
      <c r="V1483" s="13">
        <f>IFERROR(INDEX(MgAmenFrec,MATCH(SUBSTITUTE($H1483,"*","-"),MgAmenClave,0)),"")</f>
        <v/>
      </c>
      <c r="W1483" s="28">
        <f>IFERROR(LOOKUP(X1483,{0;0.01;0.1;1;10;100},{"Muy baja";"Muy baja";"Baja";"Media";"Alta";"Muy alta"}),"")</f>
        <v/>
      </c>
      <c r="X1483" s="31">
        <f>IFERROR(VLOOKUP(V1483,MgFrec,2,0),0)</f>
        <v/>
      </c>
      <c r="Y1483" s="30">
        <f>T1483*X1483</f>
        <v/>
      </c>
      <c r="Z1483" s="28">
        <f>IFERROR(LOOKUP(Y1483,{0;0.5;5;25},{"Bajo";"Medio";"Alto";"Crítico"}),"")</f>
        <v/>
      </c>
      <c r="AA1483" s="64">
        <f>IF(T1483&gt;=3,IF(X1483&gt;=1,"Zona 1 — Crítica: impacto alto y ocurre al menos una vez al año","Zona 4 — Catastrófica poco probable: impacto alto pero excepcional"),IF(AND(T1483&lt;1.5,X1483&lt;1),"Zona 3 — Asumible: impacto bajo y muy poco frecuente","Zona 2 — Atención: riesgo intermedio"))</f>
        <v/>
      </c>
      <c r="AB1483" s="64">
        <f>IFERROR(INDEX(MgAmenCtrl,MATCH(SUBSTITUTE($H1483,"*","-"),MgAmenClave,0)),"")</f>
        <v/>
      </c>
      <c r="AC1483" s="20" t="n"/>
      <c r="AD1483" s="31">
        <f>IFERROR($X1483*(1-IF($AC1483="",$AL1483,VLOOKUP($AC1483,MgMad,2,0))),"")</f>
        <v/>
      </c>
      <c r="AE1483" s="28">
        <f>IFERROR(LOOKUP(AD1483,{0;0.01;0.1;1;10;100},{"Muy baja";"Muy baja";"Baja";"Media";"Alta";"Muy alta"}),"")</f>
        <v/>
      </c>
      <c r="AF1483" s="30">
        <f>T1483*AD1483</f>
        <v/>
      </c>
      <c r="AG1483" s="28">
        <f>IFERROR(LOOKUP(AF1483,{0;0.5;5;25},{"Bajo";"Medio";"Alto";"Crítico"}),"")</f>
        <v/>
      </c>
      <c r="AH1483" s="28">
        <f>IF(AG1483="","",IF(OR(AG1483="Crítico",AG1483="Alto"),"Mitigar",IF(AG1483="Medio","Mitigar","Aceptar y monitorear")))</f>
        <v/>
      </c>
      <c r="AI1483" s="21" t="n"/>
      <c r="AJ1483" s="21" t="n"/>
      <c r="AK1483" s="20" t="n"/>
      <c r="AL1483" s="77">
        <f>IFERROR(INDEX(MgAmenEfic,MATCH(SUBSTITUTE($H1483,"*","-"),MgAmenClave,0)),0)</f>
        <v/>
      </c>
    </row>
    <row r="1484" hidden="1" ht="105" customHeight="1" s="54">
      <c r="B1484" s="59" t="inlineStr">
        <is>
          <t>R-1479</t>
        </is>
      </c>
      <c r="C1484" s="59" t="inlineStr">
        <is>
          <t>GH-013</t>
        </is>
      </c>
      <c r="D1484" s="64">
        <f>IFERROR(INDEX(MgNombre,MATCH($C1484,MgActId,0)),"")</f>
        <v/>
      </c>
      <c r="E1484" s="64">
        <f>IFERROR(INDEX(MgProceso,MATCH($C1484,MgActId,0)),"")</f>
        <v/>
      </c>
      <c r="F1484" s="64">
        <f>IFERROR(INDEX(MgTipo,MATCH($C1484,MgActId,0)),"")</f>
        <v/>
      </c>
      <c r="G1484" s="64">
        <f>IFERROR(INDEX(MgSubtipo,MATCH($C1484,MgActId,0)),"")</f>
        <v/>
      </c>
      <c r="H1484" s="59" t="inlineStr">
        <is>
          <t>A.6</t>
        </is>
      </c>
      <c r="I1484" s="64">
        <f>IFERROR(INDEX(MgAmenNombre,MATCH(SUBSTITUTE($H1484,"*","-"),MgAmenClave,0)),"")</f>
        <v/>
      </c>
      <c r="J1484" s="28">
        <f>IFERROR(INDEX(MgAmenGrupo,MATCH(SUBSTITUTE($H1484,"*","-"),MgAmenClave,0)),"")</f>
        <v/>
      </c>
      <c r="K1484" s="64">
        <f>IFERROR(INDEX('1. Matriz de Activos'!$Q$6:$Q$239,MATCH($C1484,MgActId,0)),"")</f>
        <v/>
      </c>
      <c r="L1484" s="64">
        <f>IFERROR(INDEX('1. Matriz de Activos'!$R$6:$R$239,MATCH($C1484,MgActId,0)),"")</f>
        <v/>
      </c>
      <c r="M1484" s="64">
        <f>IFERROR(INDEX('1. Matriz de Activos'!$S$6:$S$239,MATCH($C1484,MgActId,0)),"")</f>
        <v/>
      </c>
      <c r="N1484" s="28">
        <f>IFERROR(INDEX(MgAmenDegD,MATCH(SUBSTITUTE($H1484,"*","-"),MgAmenClave,0)),"No aplica")</f>
        <v/>
      </c>
      <c r="O1484" s="28">
        <f>IFERROR(INDEX(MgAmenDegI,MATCH(SUBSTITUTE($H1484,"*","-"),MgAmenClave,0)),"No aplica")</f>
        <v/>
      </c>
      <c r="P1484" s="28">
        <f>IFERROR(INDEX(MgAmenDegC,MATCH(SUBSTITUTE($H1484,"*","-"),MgAmenClave,0)),"No aplica")</f>
        <v/>
      </c>
      <c r="Q1484" s="29">
        <f>IFERROR(VLOOKUP(K1484,MgValor,2,0)*VLOOKUP(N1484,MgDeg,2,0),0)</f>
        <v/>
      </c>
      <c r="R1484" s="29">
        <f>IFERROR(VLOOKUP(L1484,MgValor,2,0)*VLOOKUP(O1484,MgDeg,2,0),0)</f>
        <v/>
      </c>
      <c r="S1484" s="29">
        <f>IFERROR(VLOOKUP(M1484,MgValor,2,0)*VLOOKUP(P1484,MgDeg,2,0),0)</f>
        <v/>
      </c>
      <c r="T1484" s="30">
        <f>MAX(Q1484:S1484)</f>
        <v/>
      </c>
      <c r="U1484" s="28">
        <f>IFERROR(LOOKUP(T1484,{0;0.5;1.5;3;4.5},{"Despreciable";"Bajo";"Medio";"Alto";"Muy alto"}),"")</f>
        <v/>
      </c>
      <c r="V1484" s="13">
        <f>IFERROR(INDEX(MgAmenFrec,MATCH(SUBSTITUTE($H1484,"*","-"),MgAmenClave,0)),"")</f>
        <v/>
      </c>
      <c r="W1484" s="28">
        <f>IFERROR(LOOKUP(X1484,{0;0.01;0.1;1;10;100},{"Muy baja";"Muy baja";"Baja";"Media";"Alta";"Muy alta"}),"")</f>
        <v/>
      </c>
      <c r="X1484" s="31">
        <f>IFERROR(VLOOKUP(V1484,MgFrec,2,0),0)</f>
        <v/>
      </c>
      <c r="Y1484" s="30">
        <f>T1484*X1484</f>
        <v/>
      </c>
      <c r="Z1484" s="28">
        <f>IFERROR(LOOKUP(Y1484,{0;0.5;5;25},{"Bajo";"Medio";"Alto";"Crítico"}),"")</f>
        <v/>
      </c>
      <c r="AA1484" s="64">
        <f>IF(T1484&gt;=3,IF(X1484&gt;=1,"Zona 1 — Crítica: impacto alto y ocurre al menos una vez al año","Zona 4 — Catastrófica poco probable: impacto alto pero excepcional"),IF(AND(T1484&lt;1.5,X1484&lt;1),"Zona 3 — Asumible: impacto bajo y muy poco frecuente","Zona 2 — Atención: riesgo intermedio"))</f>
        <v/>
      </c>
      <c r="AB1484" s="64">
        <f>IFERROR(INDEX(MgAmenCtrl,MATCH(SUBSTITUTE($H1484,"*","-"),MgAmenClave,0)),"")</f>
        <v/>
      </c>
      <c r="AC1484" s="20" t="n"/>
      <c r="AD1484" s="31">
        <f>IFERROR($X1484*(1-IF($AC1484="",$AL1484,VLOOKUP($AC1484,MgMad,2,0))),"")</f>
        <v/>
      </c>
      <c r="AE1484" s="28">
        <f>IFERROR(LOOKUP(AD1484,{0;0.01;0.1;1;10;100},{"Muy baja";"Muy baja";"Baja";"Media";"Alta";"Muy alta"}),"")</f>
        <v/>
      </c>
      <c r="AF1484" s="30">
        <f>T1484*AD1484</f>
        <v/>
      </c>
      <c r="AG1484" s="28">
        <f>IFERROR(LOOKUP(AF1484,{0;0.5;5;25},{"Bajo";"Medio";"Alto";"Crítico"}),"")</f>
        <v/>
      </c>
      <c r="AH1484" s="28">
        <f>IF(AG1484="","",IF(OR(AG1484="Crítico",AG1484="Alto"),"Mitigar",IF(AG1484="Medio","Mitigar","Aceptar y monitorear")))</f>
        <v/>
      </c>
      <c r="AI1484" s="21" t="n"/>
      <c r="AJ1484" s="21" t="n"/>
      <c r="AK1484" s="20" t="n"/>
      <c r="AL1484" s="77">
        <f>IFERROR(INDEX(MgAmenEfic,MATCH(SUBSTITUTE($H1484,"*","-"),MgAmenClave,0)),0)</f>
        <v/>
      </c>
    </row>
    <row r="1485" hidden="1" ht="120" customHeight="1" s="54">
      <c r="B1485" s="59" t="inlineStr">
        <is>
          <t>R-1480</t>
        </is>
      </c>
      <c r="C1485" s="59" t="inlineStr">
        <is>
          <t>GH-013</t>
        </is>
      </c>
      <c r="D1485" s="64">
        <f>IFERROR(INDEX(MgNombre,MATCH($C1485,MgActId,0)),"")</f>
        <v/>
      </c>
      <c r="E1485" s="64">
        <f>IFERROR(INDEX(MgProceso,MATCH($C1485,MgActId,0)),"")</f>
        <v/>
      </c>
      <c r="F1485" s="64">
        <f>IFERROR(INDEX(MgTipo,MATCH($C1485,MgActId,0)),"")</f>
        <v/>
      </c>
      <c r="G1485" s="64">
        <f>IFERROR(INDEX(MgSubtipo,MATCH($C1485,MgActId,0)),"")</f>
        <v/>
      </c>
      <c r="H1485" s="59" t="inlineStr">
        <is>
          <t>A.11</t>
        </is>
      </c>
      <c r="I1485" s="64">
        <f>IFERROR(INDEX(MgAmenNombre,MATCH(SUBSTITUTE($H1485,"*","-"),MgAmenClave,0)),"")</f>
        <v/>
      </c>
      <c r="J1485" s="28">
        <f>IFERROR(INDEX(MgAmenGrupo,MATCH(SUBSTITUTE($H1485,"*","-"),MgAmenClave,0)),"")</f>
        <v/>
      </c>
      <c r="K1485" s="64">
        <f>IFERROR(INDEX('1. Matriz de Activos'!$Q$6:$Q$239,MATCH($C1485,MgActId,0)),"")</f>
        <v/>
      </c>
      <c r="L1485" s="64">
        <f>IFERROR(INDEX('1. Matriz de Activos'!$R$6:$R$239,MATCH($C1485,MgActId,0)),"")</f>
        <v/>
      </c>
      <c r="M1485" s="64">
        <f>IFERROR(INDEX('1. Matriz de Activos'!$S$6:$S$239,MATCH($C1485,MgActId,0)),"")</f>
        <v/>
      </c>
      <c r="N1485" s="28">
        <f>IFERROR(INDEX(MgAmenDegD,MATCH(SUBSTITUTE($H1485,"*","-"),MgAmenClave,0)),"No aplica")</f>
        <v/>
      </c>
      <c r="O1485" s="28">
        <f>IFERROR(INDEX(MgAmenDegI,MATCH(SUBSTITUTE($H1485,"*","-"),MgAmenClave,0)),"No aplica")</f>
        <v/>
      </c>
      <c r="P1485" s="28">
        <f>IFERROR(INDEX(MgAmenDegC,MATCH(SUBSTITUTE($H1485,"*","-"),MgAmenClave,0)),"No aplica")</f>
        <v/>
      </c>
      <c r="Q1485" s="29">
        <f>IFERROR(VLOOKUP(K1485,MgValor,2,0)*VLOOKUP(N1485,MgDeg,2,0),0)</f>
        <v/>
      </c>
      <c r="R1485" s="29">
        <f>IFERROR(VLOOKUP(L1485,MgValor,2,0)*VLOOKUP(O1485,MgDeg,2,0),0)</f>
        <v/>
      </c>
      <c r="S1485" s="29">
        <f>IFERROR(VLOOKUP(M1485,MgValor,2,0)*VLOOKUP(P1485,MgDeg,2,0),0)</f>
        <v/>
      </c>
      <c r="T1485" s="30">
        <f>MAX(Q1485:S1485)</f>
        <v/>
      </c>
      <c r="U1485" s="28">
        <f>IFERROR(LOOKUP(T1485,{0;0.5;1.5;3;4.5},{"Despreciable";"Bajo";"Medio";"Alto";"Muy alto"}),"")</f>
        <v/>
      </c>
      <c r="V1485" s="13">
        <f>IFERROR(INDEX(MgAmenFrec,MATCH(SUBSTITUTE($H1485,"*","-"),MgAmenClave,0)),"")</f>
        <v/>
      </c>
      <c r="W1485" s="28">
        <f>IFERROR(LOOKUP(X1485,{0;0.01;0.1;1;10;100},{"Muy baja";"Muy baja";"Baja";"Media";"Alta";"Muy alta"}),"")</f>
        <v/>
      </c>
      <c r="X1485" s="31">
        <f>IFERROR(VLOOKUP(V1485,MgFrec,2,0),0)</f>
        <v/>
      </c>
      <c r="Y1485" s="30">
        <f>T1485*X1485</f>
        <v/>
      </c>
      <c r="Z1485" s="28">
        <f>IFERROR(LOOKUP(Y1485,{0;0.5;5;25},{"Bajo";"Medio";"Alto";"Crítico"}),"")</f>
        <v/>
      </c>
      <c r="AA1485" s="64">
        <f>IF(T1485&gt;=3,IF(X1485&gt;=1,"Zona 1 — Crítica: impacto alto y ocurre al menos una vez al año","Zona 4 — Catastrófica poco probable: impacto alto pero excepcional"),IF(AND(T1485&lt;1.5,X1485&lt;1),"Zona 3 — Asumible: impacto bajo y muy poco frecuente","Zona 2 — Atención: riesgo intermedio"))</f>
        <v/>
      </c>
      <c r="AB1485" s="64">
        <f>IFERROR(INDEX(MgAmenCtrl,MATCH(SUBSTITUTE($H1485,"*","-"),MgAmenClave,0)),"")</f>
        <v/>
      </c>
      <c r="AC1485" s="20" t="n"/>
      <c r="AD1485" s="31">
        <f>IFERROR($X1485*(1-IF($AC1485="",$AL1485,VLOOKUP($AC1485,MgMad,2,0))),"")</f>
        <v/>
      </c>
      <c r="AE1485" s="28">
        <f>IFERROR(LOOKUP(AD1485,{0;0.01;0.1;1;10;100},{"Muy baja";"Muy baja";"Baja";"Media";"Alta";"Muy alta"}),"")</f>
        <v/>
      </c>
      <c r="AF1485" s="30">
        <f>T1485*AD1485</f>
        <v/>
      </c>
      <c r="AG1485" s="28">
        <f>IFERROR(LOOKUP(AF1485,{0;0.5;5;25},{"Bajo";"Medio";"Alto";"Crítico"}),"")</f>
        <v/>
      </c>
      <c r="AH1485" s="28">
        <f>IF(AG1485="","",IF(OR(AG1485="Crítico",AG1485="Alto"),"Mitigar",IF(AG1485="Medio","Mitigar","Aceptar y monitorear")))</f>
        <v/>
      </c>
      <c r="AI1485" s="21" t="n"/>
      <c r="AJ1485" s="21" t="n"/>
      <c r="AK1485" s="20" t="n"/>
      <c r="AL1485" s="77">
        <f>IFERROR(INDEX(MgAmenEfic,MATCH(SUBSTITUTE($H1485,"*","-"),MgAmenClave,0)),0)</f>
        <v/>
      </c>
    </row>
    <row r="1486" hidden="1" ht="90" customHeight="1" s="54">
      <c r="B1486" s="59" t="inlineStr">
        <is>
          <t>R-1481</t>
        </is>
      </c>
      <c r="C1486" s="59" t="inlineStr">
        <is>
          <t>GH-013</t>
        </is>
      </c>
      <c r="D1486" s="64">
        <f>IFERROR(INDEX(MgNombre,MATCH($C1486,MgActId,0)),"")</f>
        <v/>
      </c>
      <c r="E1486" s="64">
        <f>IFERROR(INDEX(MgProceso,MATCH($C1486,MgActId,0)),"")</f>
        <v/>
      </c>
      <c r="F1486" s="64">
        <f>IFERROR(INDEX(MgTipo,MATCH($C1486,MgActId,0)),"")</f>
        <v/>
      </c>
      <c r="G1486" s="64">
        <f>IFERROR(INDEX(MgSubtipo,MATCH($C1486,MgActId,0)),"")</f>
        <v/>
      </c>
      <c r="H1486" s="59" t="inlineStr">
        <is>
          <t>A.13</t>
        </is>
      </c>
      <c r="I1486" s="64">
        <f>IFERROR(INDEX(MgAmenNombre,MATCH(SUBSTITUTE($H1486,"*","-"),MgAmenClave,0)),"")</f>
        <v/>
      </c>
      <c r="J1486" s="28">
        <f>IFERROR(INDEX(MgAmenGrupo,MATCH(SUBSTITUTE($H1486,"*","-"),MgAmenClave,0)),"")</f>
        <v/>
      </c>
      <c r="K1486" s="64">
        <f>IFERROR(INDEX('1. Matriz de Activos'!$Q$6:$Q$239,MATCH($C1486,MgActId,0)),"")</f>
        <v/>
      </c>
      <c r="L1486" s="64">
        <f>IFERROR(INDEX('1. Matriz de Activos'!$R$6:$R$239,MATCH($C1486,MgActId,0)),"")</f>
        <v/>
      </c>
      <c r="M1486" s="64">
        <f>IFERROR(INDEX('1. Matriz de Activos'!$S$6:$S$239,MATCH($C1486,MgActId,0)),"")</f>
        <v/>
      </c>
      <c r="N1486" s="28">
        <f>IFERROR(INDEX(MgAmenDegD,MATCH(SUBSTITUTE($H1486,"*","-"),MgAmenClave,0)),"No aplica")</f>
        <v/>
      </c>
      <c r="O1486" s="28">
        <f>IFERROR(INDEX(MgAmenDegI,MATCH(SUBSTITUTE($H1486,"*","-"),MgAmenClave,0)),"No aplica")</f>
        <v/>
      </c>
      <c r="P1486" s="28">
        <f>IFERROR(INDEX(MgAmenDegC,MATCH(SUBSTITUTE($H1486,"*","-"),MgAmenClave,0)),"No aplica")</f>
        <v/>
      </c>
      <c r="Q1486" s="29">
        <f>IFERROR(VLOOKUP(K1486,MgValor,2,0)*VLOOKUP(N1486,MgDeg,2,0),0)</f>
        <v/>
      </c>
      <c r="R1486" s="29">
        <f>IFERROR(VLOOKUP(L1486,MgValor,2,0)*VLOOKUP(O1486,MgDeg,2,0),0)</f>
        <v/>
      </c>
      <c r="S1486" s="29">
        <f>IFERROR(VLOOKUP(M1486,MgValor,2,0)*VLOOKUP(P1486,MgDeg,2,0),0)</f>
        <v/>
      </c>
      <c r="T1486" s="30">
        <f>MAX(Q1486:S1486)</f>
        <v/>
      </c>
      <c r="U1486" s="28">
        <f>IFERROR(LOOKUP(T1486,{0;0.5;1.5;3;4.5},{"Despreciable";"Bajo";"Medio";"Alto";"Muy alto"}),"")</f>
        <v/>
      </c>
      <c r="V1486" s="13">
        <f>IFERROR(INDEX(MgAmenFrec,MATCH(SUBSTITUTE($H1486,"*","-"),MgAmenClave,0)),"")</f>
        <v/>
      </c>
      <c r="W1486" s="28">
        <f>IFERROR(LOOKUP(X1486,{0;0.01;0.1;1;10;100},{"Muy baja";"Muy baja";"Baja";"Media";"Alta";"Muy alta"}),"")</f>
        <v/>
      </c>
      <c r="X1486" s="31">
        <f>IFERROR(VLOOKUP(V1486,MgFrec,2,0),0)</f>
        <v/>
      </c>
      <c r="Y1486" s="30">
        <f>T1486*X1486</f>
        <v/>
      </c>
      <c r="Z1486" s="28">
        <f>IFERROR(LOOKUP(Y1486,{0;0.5;5;25},{"Bajo";"Medio";"Alto";"Crítico"}),"")</f>
        <v/>
      </c>
      <c r="AA1486" s="64">
        <f>IF(T1486&gt;=3,IF(X1486&gt;=1,"Zona 1 — Crítica: impacto alto y ocurre al menos una vez al año","Zona 4 — Catastrófica poco probable: impacto alto pero excepcional"),IF(AND(T1486&lt;1.5,X1486&lt;1),"Zona 3 — Asumible: impacto bajo y muy poco frecuente","Zona 2 — Atención: riesgo intermedio"))</f>
        <v/>
      </c>
      <c r="AB1486" s="64">
        <f>IFERROR(INDEX(MgAmenCtrl,MATCH(SUBSTITUTE($H1486,"*","-"),MgAmenClave,0)),"")</f>
        <v/>
      </c>
      <c r="AC1486" s="20" t="n"/>
      <c r="AD1486" s="31">
        <f>IFERROR($X1486*(1-IF($AC1486="",$AL1486,VLOOKUP($AC1486,MgMad,2,0))),"")</f>
        <v/>
      </c>
      <c r="AE1486" s="28">
        <f>IFERROR(LOOKUP(AD1486,{0;0.01;0.1;1;10;100},{"Muy baja";"Muy baja";"Baja";"Media";"Alta";"Muy alta"}),"")</f>
        <v/>
      </c>
      <c r="AF1486" s="30">
        <f>T1486*AD1486</f>
        <v/>
      </c>
      <c r="AG1486" s="28">
        <f>IFERROR(LOOKUP(AF1486,{0;0.5;5;25},{"Bajo";"Medio";"Alto";"Crítico"}),"")</f>
        <v/>
      </c>
      <c r="AH1486" s="28">
        <f>IF(AG1486="","",IF(OR(AG1486="Crítico",AG1486="Alto"),"Mitigar",IF(AG1486="Medio","Mitigar","Aceptar y monitorear")))</f>
        <v/>
      </c>
      <c r="AI1486" s="21" t="n"/>
      <c r="AJ1486" s="21" t="n"/>
      <c r="AK1486" s="20" t="n"/>
      <c r="AL1486" s="77">
        <f>IFERROR(INDEX(MgAmenEfic,MATCH(SUBSTITUTE($H1486,"*","-"),MgAmenClave,0)),0)</f>
        <v/>
      </c>
    </row>
    <row r="1487" hidden="1" ht="60" customHeight="1" s="54">
      <c r="B1487" s="59" t="inlineStr">
        <is>
          <t>R-1482</t>
        </is>
      </c>
      <c r="C1487" s="59" t="inlineStr">
        <is>
          <t>GH-013</t>
        </is>
      </c>
      <c r="D1487" s="64">
        <f>IFERROR(INDEX(MgNombre,MATCH($C1487,MgActId,0)),"")</f>
        <v/>
      </c>
      <c r="E1487" s="64">
        <f>IFERROR(INDEX(MgProceso,MATCH($C1487,MgActId,0)),"")</f>
        <v/>
      </c>
      <c r="F1487" s="64">
        <f>IFERROR(INDEX(MgTipo,MATCH($C1487,MgActId,0)),"")</f>
        <v/>
      </c>
      <c r="G1487" s="64">
        <f>IFERROR(INDEX(MgSubtipo,MATCH($C1487,MgActId,0)),"")</f>
        <v/>
      </c>
      <c r="H1487" s="59" t="inlineStr">
        <is>
          <t>A.15</t>
        </is>
      </c>
      <c r="I1487" s="64">
        <f>IFERROR(INDEX(MgAmenNombre,MATCH(SUBSTITUTE($H1487,"*","-"),MgAmenClave,0)),"")</f>
        <v/>
      </c>
      <c r="J1487" s="28">
        <f>IFERROR(INDEX(MgAmenGrupo,MATCH(SUBSTITUTE($H1487,"*","-"),MgAmenClave,0)),"")</f>
        <v/>
      </c>
      <c r="K1487" s="64">
        <f>IFERROR(INDEX('1. Matriz de Activos'!$Q$6:$Q$239,MATCH($C1487,MgActId,0)),"")</f>
        <v/>
      </c>
      <c r="L1487" s="64">
        <f>IFERROR(INDEX('1. Matriz de Activos'!$R$6:$R$239,MATCH($C1487,MgActId,0)),"")</f>
        <v/>
      </c>
      <c r="M1487" s="64">
        <f>IFERROR(INDEX('1. Matriz de Activos'!$S$6:$S$239,MATCH($C1487,MgActId,0)),"")</f>
        <v/>
      </c>
      <c r="N1487" s="28">
        <f>IFERROR(INDEX(MgAmenDegD,MATCH(SUBSTITUTE($H1487,"*","-"),MgAmenClave,0)),"No aplica")</f>
        <v/>
      </c>
      <c r="O1487" s="28">
        <f>IFERROR(INDEX(MgAmenDegI,MATCH(SUBSTITUTE($H1487,"*","-"),MgAmenClave,0)),"No aplica")</f>
        <v/>
      </c>
      <c r="P1487" s="28">
        <f>IFERROR(INDEX(MgAmenDegC,MATCH(SUBSTITUTE($H1487,"*","-"),MgAmenClave,0)),"No aplica")</f>
        <v/>
      </c>
      <c r="Q1487" s="29">
        <f>IFERROR(VLOOKUP(K1487,MgValor,2,0)*VLOOKUP(N1487,MgDeg,2,0),0)</f>
        <v/>
      </c>
      <c r="R1487" s="29">
        <f>IFERROR(VLOOKUP(L1487,MgValor,2,0)*VLOOKUP(O1487,MgDeg,2,0),0)</f>
        <v/>
      </c>
      <c r="S1487" s="29">
        <f>IFERROR(VLOOKUP(M1487,MgValor,2,0)*VLOOKUP(P1487,MgDeg,2,0),0)</f>
        <v/>
      </c>
      <c r="T1487" s="30">
        <f>MAX(Q1487:S1487)</f>
        <v/>
      </c>
      <c r="U1487" s="28">
        <f>IFERROR(LOOKUP(T1487,{0;0.5;1.5;3;4.5},{"Despreciable";"Bajo";"Medio";"Alto";"Muy alto"}),"")</f>
        <v/>
      </c>
      <c r="V1487" s="13">
        <f>IFERROR(INDEX(MgAmenFrec,MATCH(SUBSTITUTE($H1487,"*","-"),MgAmenClave,0)),"")</f>
        <v/>
      </c>
      <c r="W1487" s="28">
        <f>IFERROR(LOOKUP(X1487,{0;0.01;0.1;1;10;100},{"Muy baja";"Muy baja";"Baja";"Media";"Alta";"Muy alta"}),"")</f>
        <v/>
      </c>
      <c r="X1487" s="31">
        <f>IFERROR(VLOOKUP(V1487,MgFrec,2,0),0)</f>
        <v/>
      </c>
      <c r="Y1487" s="30">
        <f>T1487*X1487</f>
        <v/>
      </c>
      <c r="Z1487" s="28">
        <f>IFERROR(LOOKUP(Y1487,{0;0.5;5;25},{"Bajo";"Medio";"Alto";"Crítico"}),"")</f>
        <v/>
      </c>
      <c r="AA1487" s="64">
        <f>IF(T1487&gt;=3,IF(X1487&gt;=1,"Zona 1 — Crítica: impacto alto y ocurre al menos una vez al año","Zona 4 — Catastrófica poco probable: impacto alto pero excepcional"),IF(AND(T1487&lt;1.5,X1487&lt;1),"Zona 3 — Asumible: impacto bajo y muy poco frecuente","Zona 2 — Atención: riesgo intermedio"))</f>
        <v/>
      </c>
      <c r="AB1487" s="64">
        <f>IFERROR(INDEX(MgAmenCtrl,MATCH(SUBSTITUTE($H1487,"*","-"),MgAmenClave,0)),"")</f>
        <v/>
      </c>
      <c r="AC1487" s="20" t="n"/>
      <c r="AD1487" s="31">
        <f>IFERROR($X1487*(1-IF($AC1487="",$AL1487,VLOOKUP($AC1487,MgMad,2,0))),"")</f>
        <v/>
      </c>
      <c r="AE1487" s="28">
        <f>IFERROR(LOOKUP(AD1487,{0;0.01;0.1;1;10;100},{"Muy baja";"Muy baja";"Baja";"Media";"Alta";"Muy alta"}),"")</f>
        <v/>
      </c>
      <c r="AF1487" s="30">
        <f>T1487*AD1487</f>
        <v/>
      </c>
      <c r="AG1487" s="28">
        <f>IFERROR(LOOKUP(AF1487,{0;0.5;5;25},{"Bajo";"Medio";"Alto";"Crítico"}),"")</f>
        <v/>
      </c>
      <c r="AH1487" s="28">
        <f>IF(AG1487="","",IF(OR(AG1487="Crítico",AG1487="Alto"),"Mitigar",IF(AG1487="Medio","Mitigar","Aceptar y monitorear")))</f>
        <v/>
      </c>
      <c r="AI1487" s="21" t="n"/>
      <c r="AJ1487" s="21" t="n"/>
      <c r="AK1487" s="20" t="n"/>
      <c r="AL1487" s="77">
        <f>IFERROR(INDEX(MgAmenEfic,MATCH(SUBSTITUTE($H1487,"*","-"),MgAmenClave,0)),0)</f>
        <v/>
      </c>
    </row>
    <row r="1488" hidden="1" ht="60" customHeight="1" s="54">
      <c r="B1488" s="59" t="inlineStr">
        <is>
          <t>R-1483</t>
        </is>
      </c>
      <c r="C1488" s="59" t="inlineStr">
        <is>
          <t>GH-013</t>
        </is>
      </c>
      <c r="D1488" s="64">
        <f>IFERROR(INDEX(MgNombre,MATCH($C1488,MgActId,0)),"")</f>
        <v/>
      </c>
      <c r="E1488" s="64">
        <f>IFERROR(INDEX(MgProceso,MATCH($C1488,MgActId,0)),"")</f>
        <v/>
      </c>
      <c r="F1488" s="64">
        <f>IFERROR(INDEX(MgTipo,MATCH($C1488,MgActId,0)),"")</f>
        <v/>
      </c>
      <c r="G1488" s="64">
        <f>IFERROR(INDEX(MgSubtipo,MATCH($C1488,MgActId,0)),"")</f>
        <v/>
      </c>
      <c r="H1488" s="59" t="inlineStr">
        <is>
          <t>A.18</t>
        </is>
      </c>
      <c r="I1488" s="64">
        <f>IFERROR(INDEX(MgAmenNombre,MATCH(SUBSTITUTE($H1488,"*","-"),MgAmenClave,0)),"")</f>
        <v/>
      </c>
      <c r="J1488" s="28">
        <f>IFERROR(INDEX(MgAmenGrupo,MATCH(SUBSTITUTE($H1488,"*","-"),MgAmenClave,0)),"")</f>
        <v/>
      </c>
      <c r="K1488" s="64">
        <f>IFERROR(INDEX('1. Matriz de Activos'!$Q$6:$Q$239,MATCH($C1488,MgActId,0)),"")</f>
        <v/>
      </c>
      <c r="L1488" s="64">
        <f>IFERROR(INDEX('1. Matriz de Activos'!$R$6:$R$239,MATCH($C1488,MgActId,0)),"")</f>
        <v/>
      </c>
      <c r="M1488" s="64">
        <f>IFERROR(INDEX('1. Matriz de Activos'!$S$6:$S$239,MATCH($C1488,MgActId,0)),"")</f>
        <v/>
      </c>
      <c r="N1488" s="28">
        <f>IFERROR(INDEX(MgAmenDegD,MATCH(SUBSTITUTE($H1488,"*","-"),MgAmenClave,0)),"No aplica")</f>
        <v/>
      </c>
      <c r="O1488" s="28">
        <f>IFERROR(INDEX(MgAmenDegI,MATCH(SUBSTITUTE($H1488,"*","-"),MgAmenClave,0)),"No aplica")</f>
        <v/>
      </c>
      <c r="P1488" s="28">
        <f>IFERROR(INDEX(MgAmenDegC,MATCH(SUBSTITUTE($H1488,"*","-"),MgAmenClave,0)),"No aplica")</f>
        <v/>
      </c>
      <c r="Q1488" s="29">
        <f>IFERROR(VLOOKUP(K1488,MgValor,2,0)*VLOOKUP(N1488,MgDeg,2,0),0)</f>
        <v/>
      </c>
      <c r="R1488" s="29">
        <f>IFERROR(VLOOKUP(L1488,MgValor,2,0)*VLOOKUP(O1488,MgDeg,2,0),0)</f>
        <v/>
      </c>
      <c r="S1488" s="29">
        <f>IFERROR(VLOOKUP(M1488,MgValor,2,0)*VLOOKUP(P1488,MgDeg,2,0),0)</f>
        <v/>
      </c>
      <c r="T1488" s="30">
        <f>MAX(Q1488:S1488)</f>
        <v/>
      </c>
      <c r="U1488" s="28">
        <f>IFERROR(LOOKUP(T1488,{0;0.5;1.5;3;4.5},{"Despreciable";"Bajo";"Medio";"Alto";"Muy alto"}),"")</f>
        <v/>
      </c>
      <c r="V1488" s="13">
        <f>IFERROR(INDEX(MgAmenFrec,MATCH(SUBSTITUTE($H1488,"*","-"),MgAmenClave,0)),"")</f>
        <v/>
      </c>
      <c r="W1488" s="28">
        <f>IFERROR(LOOKUP(X1488,{0;0.01;0.1;1;10;100},{"Muy baja";"Muy baja";"Baja";"Media";"Alta";"Muy alta"}),"")</f>
        <v/>
      </c>
      <c r="X1488" s="31">
        <f>IFERROR(VLOOKUP(V1488,MgFrec,2,0),0)</f>
        <v/>
      </c>
      <c r="Y1488" s="30">
        <f>T1488*X1488</f>
        <v/>
      </c>
      <c r="Z1488" s="28">
        <f>IFERROR(LOOKUP(Y1488,{0;0.5;5;25},{"Bajo";"Medio";"Alto";"Crítico"}),"")</f>
        <v/>
      </c>
      <c r="AA1488" s="64">
        <f>IF(T1488&gt;=3,IF(X1488&gt;=1,"Zona 1 — Crítica: impacto alto y ocurre al menos una vez al año","Zona 4 — Catastrófica poco probable: impacto alto pero excepcional"),IF(AND(T1488&lt;1.5,X1488&lt;1),"Zona 3 — Asumible: impacto bajo y muy poco frecuente","Zona 2 — Atención: riesgo intermedio"))</f>
        <v/>
      </c>
      <c r="AB1488" s="64">
        <f>IFERROR(INDEX(MgAmenCtrl,MATCH(SUBSTITUTE($H1488,"*","-"),MgAmenClave,0)),"")</f>
        <v/>
      </c>
      <c r="AC1488" s="20" t="n"/>
      <c r="AD1488" s="31">
        <f>IFERROR($X1488*(1-IF($AC1488="",$AL1488,VLOOKUP($AC1488,MgMad,2,0))),"")</f>
        <v/>
      </c>
      <c r="AE1488" s="28">
        <f>IFERROR(LOOKUP(AD1488,{0;0.01;0.1;1;10;100},{"Muy baja";"Muy baja";"Baja";"Media";"Alta";"Muy alta"}),"")</f>
        <v/>
      </c>
      <c r="AF1488" s="30">
        <f>T1488*AD1488</f>
        <v/>
      </c>
      <c r="AG1488" s="28">
        <f>IFERROR(LOOKUP(AF1488,{0;0.5;5;25},{"Bajo";"Medio";"Alto";"Crítico"}),"")</f>
        <v/>
      </c>
      <c r="AH1488" s="28">
        <f>IF(AG1488="","",IF(OR(AG1488="Crítico",AG1488="Alto"),"Mitigar",IF(AG1488="Medio","Mitigar","Aceptar y monitorear")))</f>
        <v/>
      </c>
      <c r="AI1488" s="21" t="n"/>
      <c r="AJ1488" s="21" t="n"/>
      <c r="AK1488" s="20" t="n"/>
      <c r="AL1488" s="77">
        <f>IFERROR(INDEX(MgAmenEfic,MATCH(SUBSTITUTE($H1488,"*","-"),MgAmenClave,0)),0)</f>
        <v/>
      </c>
    </row>
    <row r="1489" hidden="1" ht="120" customHeight="1" s="54">
      <c r="B1489" s="59" t="inlineStr">
        <is>
          <t>R-1484</t>
        </is>
      </c>
      <c r="C1489" s="59" t="inlineStr">
        <is>
          <t>GH-013</t>
        </is>
      </c>
      <c r="D1489" s="64">
        <f>IFERROR(INDEX(MgNombre,MATCH($C1489,MgActId,0)),"")</f>
        <v/>
      </c>
      <c r="E1489" s="64">
        <f>IFERROR(INDEX(MgProceso,MATCH($C1489,MgActId,0)),"")</f>
        <v/>
      </c>
      <c r="F1489" s="64">
        <f>IFERROR(INDEX(MgTipo,MATCH($C1489,MgActId,0)),"")</f>
        <v/>
      </c>
      <c r="G1489" s="64">
        <f>IFERROR(INDEX(MgSubtipo,MATCH($C1489,MgActId,0)),"")</f>
        <v/>
      </c>
      <c r="H1489" s="59" t="inlineStr">
        <is>
          <t>A.19</t>
        </is>
      </c>
      <c r="I1489" s="64">
        <f>IFERROR(INDEX(MgAmenNombre,MATCH(SUBSTITUTE($H1489,"*","-"),MgAmenClave,0)),"")</f>
        <v/>
      </c>
      <c r="J1489" s="28">
        <f>IFERROR(INDEX(MgAmenGrupo,MATCH(SUBSTITUTE($H1489,"*","-"),MgAmenClave,0)),"")</f>
        <v/>
      </c>
      <c r="K1489" s="64">
        <f>IFERROR(INDEX('1. Matriz de Activos'!$Q$6:$Q$239,MATCH($C1489,MgActId,0)),"")</f>
        <v/>
      </c>
      <c r="L1489" s="64">
        <f>IFERROR(INDEX('1. Matriz de Activos'!$R$6:$R$239,MATCH($C1489,MgActId,0)),"")</f>
        <v/>
      </c>
      <c r="M1489" s="64">
        <f>IFERROR(INDEX('1. Matriz de Activos'!$S$6:$S$239,MATCH($C1489,MgActId,0)),"")</f>
        <v/>
      </c>
      <c r="N1489" s="28">
        <f>IFERROR(INDEX(MgAmenDegD,MATCH(SUBSTITUTE($H1489,"*","-"),MgAmenClave,0)),"No aplica")</f>
        <v/>
      </c>
      <c r="O1489" s="28">
        <f>IFERROR(INDEX(MgAmenDegI,MATCH(SUBSTITUTE($H1489,"*","-"),MgAmenClave,0)),"No aplica")</f>
        <v/>
      </c>
      <c r="P1489" s="28">
        <f>IFERROR(INDEX(MgAmenDegC,MATCH(SUBSTITUTE($H1489,"*","-"),MgAmenClave,0)),"No aplica")</f>
        <v/>
      </c>
      <c r="Q1489" s="29">
        <f>IFERROR(VLOOKUP(K1489,MgValor,2,0)*VLOOKUP(N1489,MgDeg,2,0),0)</f>
        <v/>
      </c>
      <c r="R1489" s="29">
        <f>IFERROR(VLOOKUP(L1489,MgValor,2,0)*VLOOKUP(O1489,MgDeg,2,0),0)</f>
        <v/>
      </c>
      <c r="S1489" s="29">
        <f>IFERROR(VLOOKUP(M1489,MgValor,2,0)*VLOOKUP(P1489,MgDeg,2,0),0)</f>
        <v/>
      </c>
      <c r="T1489" s="30">
        <f>MAX(Q1489:S1489)</f>
        <v/>
      </c>
      <c r="U1489" s="28">
        <f>IFERROR(LOOKUP(T1489,{0;0.5;1.5;3;4.5},{"Despreciable";"Bajo";"Medio";"Alto";"Muy alto"}),"")</f>
        <v/>
      </c>
      <c r="V1489" s="13">
        <f>IFERROR(INDEX(MgAmenFrec,MATCH(SUBSTITUTE($H1489,"*","-"),MgAmenClave,0)),"")</f>
        <v/>
      </c>
      <c r="W1489" s="28">
        <f>IFERROR(LOOKUP(X1489,{0;0.01;0.1;1;10;100},{"Muy baja";"Muy baja";"Baja";"Media";"Alta";"Muy alta"}),"")</f>
        <v/>
      </c>
      <c r="X1489" s="31">
        <f>IFERROR(VLOOKUP(V1489,MgFrec,2,0),0)</f>
        <v/>
      </c>
      <c r="Y1489" s="30">
        <f>T1489*X1489</f>
        <v/>
      </c>
      <c r="Z1489" s="28">
        <f>IFERROR(LOOKUP(Y1489,{0;0.5;5;25},{"Bajo";"Medio";"Alto";"Crítico"}),"")</f>
        <v/>
      </c>
      <c r="AA1489" s="64">
        <f>IF(T1489&gt;=3,IF(X1489&gt;=1,"Zona 1 — Crítica: impacto alto y ocurre al menos una vez al año","Zona 4 — Catastrófica poco probable: impacto alto pero excepcional"),IF(AND(T1489&lt;1.5,X1489&lt;1),"Zona 3 — Asumible: impacto bajo y muy poco frecuente","Zona 2 — Atención: riesgo intermedio"))</f>
        <v/>
      </c>
      <c r="AB1489" s="64">
        <f>IFERROR(INDEX(MgAmenCtrl,MATCH(SUBSTITUTE($H1489,"*","-"),MgAmenClave,0)),"")</f>
        <v/>
      </c>
      <c r="AC1489" s="20" t="n"/>
      <c r="AD1489" s="31">
        <f>IFERROR($X1489*(1-IF($AC1489="",$AL1489,VLOOKUP($AC1489,MgMad,2,0))),"")</f>
        <v/>
      </c>
      <c r="AE1489" s="28">
        <f>IFERROR(LOOKUP(AD1489,{0;0.01;0.1;1;10;100},{"Muy baja";"Muy baja";"Baja";"Media";"Alta";"Muy alta"}),"")</f>
        <v/>
      </c>
      <c r="AF1489" s="30">
        <f>T1489*AD1489</f>
        <v/>
      </c>
      <c r="AG1489" s="28">
        <f>IFERROR(LOOKUP(AF1489,{0;0.5;5;25},{"Bajo";"Medio";"Alto";"Crítico"}),"")</f>
        <v/>
      </c>
      <c r="AH1489" s="28">
        <f>IF(AG1489="","",IF(OR(AG1489="Crítico",AG1489="Alto"),"Mitigar",IF(AG1489="Medio","Mitigar","Aceptar y monitorear")))</f>
        <v/>
      </c>
      <c r="AI1489" s="21" t="n"/>
      <c r="AJ1489" s="21" t="n"/>
      <c r="AK1489" s="20" t="n"/>
      <c r="AL1489" s="77">
        <f>IFERROR(INDEX(MgAmenEfic,MATCH(SUBSTITUTE($H1489,"*","-"),MgAmenClave,0)),0)</f>
        <v/>
      </c>
    </row>
    <row r="1490" hidden="1" ht="105" customHeight="1" s="54">
      <c r="B1490" s="59" t="inlineStr">
        <is>
          <t>R-1485</t>
        </is>
      </c>
      <c r="C1490" s="59" t="inlineStr">
        <is>
          <t>GH-010</t>
        </is>
      </c>
      <c r="D1490" s="64">
        <f>IFERROR(INDEX(MgNombre,MATCH($C1490,MgActId,0)),"")</f>
        <v/>
      </c>
      <c r="E1490" s="64">
        <f>IFERROR(INDEX(MgProceso,MATCH($C1490,MgActId,0)),"")</f>
        <v/>
      </c>
      <c r="F1490" s="64">
        <f>IFERROR(INDEX(MgTipo,MATCH($C1490,MgActId,0)),"")</f>
        <v/>
      </c>
      <c r="G1490" s="64">
        <f>IFERROR(INDEX(MgSubtipo,MATCH($C1490,MgActId,0)),"")</f>
        <v/>
      </c>
      <c r="H1490" s="59" t="inlineStr">
        <is>
          <t>E.1</t>
        </is>
      </c>
      <c r="I1490" s="64">
        <f>IFERROR(INDEX(MgAmenNombre,MATCH(SUBSTITUTE($H1490,"*","-"),MgAmenClave,0)),"")</f>
        <v/>
      </c>
      <c r="J1490" s="28">
        <f>IFERROR(INDEX(MgAmenGrupo,MATCH(SUBSTITUTE($H1490,"*","-"),MgAmenClave,0)),"")</f>
        <v/>
      </c>
      <c r="K1490" s="64">
        <f>IFERROR(INDEX('1. Matriz de Activos'!$Q$6:$Q$239,MATCH($C1490,MgActId,0)),"")</f>
        <v/>
      </c>
      <c r="L1490" s="64">
        <f>IFERROR(INDEX('1. Matriz de Activos'!$R$6:$R$239,MATCH($C1490,MgActId,0)),"")</f>
        <v/>
      </c>
      <c r="M1490" s="64">
        <f>IFERROR(INDEX('1. Matriz de Activos'!$S$6:$S$239,MATCH($C1490,MgActId,0)),"")</f>
        <v/>
      </c>
      <c r="N1490" s="28">
        <f>IFERROR(INDEX(MgAmenDegD,MATCH(SUBSTITUTE($H1490,"*","-"),MgAmenClave,0)),"No aplica")</f>
        <v/>
      </c>
      <c r="O1490" s="28">
        <f>IFERROR(INDEX(MgAmenDegI,MATCH(SUBSTITUTE($H1490,"*","-"),MgAmenClave,0)),"No aplica")</f>
        <v/>
      </c>
      <c r="P1490" s="28">
        <f>IFERROR(INDEX(MgAmenDegC,MATCH(SUBSTITUTE($H1490,"*","-"),MgAmenClave,0)),"No aplica")</f>
        <v/>
      </c>
      <c r="Q1490" s="29">
        <f>IFERROR(VLOOKUP(K1490,MgValor,2,0)*VLOOKUP(N1490,MgDeg,2,0),0)</f>
        <v/>
      </c>
      <c r="R1490" s="29">
        <f>IFERROR(VLOOKUP(L1490,MgValor,2,0)*VLOOKUP(O1490,MgDeg,2,0),0)</f>
        <v/>
      </c>
      <c r="S1490" s="29">
        <f>IFERROR(VLOOKUP(M1490,MgValor,2,0)*VLOOKUP(P1490,MgDeg,2,0),0)</f>
        <v/>
      </c>
      <c r="T1490" s="30">
        <f>MAX(Q1490:S1490)</f>
        <v/>
      </c>
      <c r="U1490" s="28">
        <f>IFERROR(LOOKUP(T1490,{0;0.5;1.5;3;4.5},{"Despreciable";"Bajo";"Medio";"Alto";"Muy alto"}),"")</f>
        <v/>
      </c>
      <c r="V1490" s="13">
        <f>IFERROR(INDEX(MgAmenFrec,MATCH(SUBSTITUTE($H1490,"*","-"),MgAmenClave,0)),"")</f>
        <v/>
      </c>
      <c r="W1490" s="28">
        <f>IFERROR(LOOKUP(X1490,{0;0.01;0.1;1;10;100},{"Muy baja";"Muy baja";"Baja";"Media";"Alta";"Muy alta"}),"")</f>
        <v/>
      </c>
      <c r="X1490" s="31">
        <f>IFERROR(VLOOKUP(V1490,MgFrec,2,0),0)</f>
        <v/>
      </c>
      <c r="Y1490" s="30">
        <f>T1490*X1490</f>
        <v/>
      </c>
      <c r="Z1490" s="28">
        <f>IFERROR(LOOKUP(Y1490,{0;0.5;5;25},{"Bajo";"Medio";"Alto";"Crítico"}),"")</f>
        <v/>
      </c>
      <c r="AA1490" s="64">
        <f>IF(T1490&gt;=3,IF(X1490&gt;=1,"Zona 1 — Crítica: impacto alto y ocurre al menos una vez al año","Zona 4 — Catastrófica poco probable: impacto alto pero excepcional"),IF(AND(T1490&lt;1.5,X1490&lt;1),"Zona 3 — Asumible: impacto bajo y muy poco frecuente","Zona 2 — Atención: riesgo intermedio"))</f>
        <v/>
      </c>
      <c r="AB1490" s="64">
        <f>IFERROR(INDEX(MgAmenCtrl,MATCH(SUBSTITUTE($H1490,"*","-"),MgAmenClave,0)),"")</f>
        <v/>
      </c>
      <c r="AC1490" s="20" t="n"/>
      <c r="AD1490" s="31">
        <f>IFERROR($X1490*(1-IF($AC1490="",$AL1490,VLOOKUP($AC1490,MgMad,2,0))),"")</f>
        <v/>
      </c>
      <c r="AE1490" s="28">
        <f>IFERROR(LOOKUP(AD1490,{0;0.01;0.1;1;10;100},{"Muy baja";"Muy baja";"Baja";"Media";"Alta";"Muy alta"}),"")</f>
        <v/>
      </c>
      <c r="AF1490" s="30">
        <f>T1490*AD1490</f>
        <v/>
      </c>
      <c r="AG1490" s="28">
        <f>IFERROR(LOOKUP(AF1490,{0;0.5;5;25},{"Bajo";"Medio";"Alto";"Crítico"}),"")</f>
        <v/>
      </c>
      <c r="AH1490" s="28">
        <f>IF(AG1490="","",IF(OR(AG1490="Crítico",AG1490="Alto"),"Mitigar",IF(AG1490="Medio","Mitigar","Aceptar y monitorear")))</f>
        <v/>
      </c>
      <c r="AI1490" s="21" t="n"/>
      <c r="AJ1490" s="21" t="n"/>
      <c r="AK1490" s="20" t="n"/>
      <c r="AL1490" s="77">
        <f>IFERROR(INDEX(MgAmenEfic,MATCH(SUBSTITUTE($H1490,"*","-"),MgAmenClave,0)),0)</f>
        <v/>
      </c>
    </row>
    <row r="1491" hidden="1" ht="120" customHeight="1" s="54">
      <c r="B1491" s="59" t="inlineStr">
        <is>
          <t>R-1486</t>
        </is>
      </c>
      <c r="C1491" s="59" t="inlineStr">
        <is>
          <t>GH-010</t>
        </is>
      </c>
      <c r="D1491" s="64">
        <f>IFERROR(INDEX(MgNombre,MATCH($C1491,MgActId,0)),"")</f>
        <v/>
      </c>
      <c r="E1491" s="64">
        <f>IFERROR(INDEX(MgProceso,MATCH($C1491,MgActId,0)),"")</f>
        <v/>
      </c>
      <c r="F1491" s="64">
        <f>IFERROR(INDEX(MgTipo,MATCH($C1491,MgActId,0)),"")</f>
        <v/>
      </c>
      <c r="G1491" s="64">
        <f>IFERROR(INDEX(MgSubtipo,MATCH($C1491,MgActId,0)),"")</f>
        <v/>
      </c>
      <c r="H1491" s="59" t="inlineStr">
        <is>
          <t>E.2</t>
        </is>
      </c>
      <c r="I1491" s="64">
        <f>IFERROR(INDEX(MgAmenNombre,MATCH(SUBSTITUTE($H1491,"*","-"),MgAmenClave,0)),"")</f>
        <v/>
      </c>
      <c r="J1491" s="28">
        <f>IFERROR(INDEX(MgAmenGrupo,MATCH(SUBSTITUTE($H1491,"*","-"),MgAmenClave,0)),"")</f>
        <v/>
      </c>
      <c r="K1491" s="64">
        <f>IFERROR(INDEX('1. Matriz de Activos'!$Q$6:$Q$239,MATCH($C1491,MgActId,0)),"")</f>
        <v/>
      </c>
      <c r="L1491" s="64">
        <f>IFERROR(INDEX('1. Matriz de Activos'!$R$6:$R$239,MATCH($C1491,MgActId,0)),"")</f>
        <v/>
      </c>
      <c r="M1491" s="64">
        <f>IFERROR(INDEX('1. Matriz de Activos'!$S$6:$S$239,MATCH($C1491,MgActId,0)),"")</f>
        <v/>
      </c>
      <c r="N1491" s="28">
        <f>IFERROR(INDEX(MgAmenDegD,MATCH(SUBSTITUTE($H1491,"*","-"),MgAmenClave,0)),"No aplica")</f>
        <v/>
      </c>
      <c r="O1491" s="28">
        <f>IFERROR(INDEX(MgAmenDegI,MATCH(SUBSTITUTE($H1491,"*","-"),MgAmenClave,0)),"No aplica")</f>
        <v/>
      </c>
      <c r="P1491" s="28">
        <f>IFERROR(INDEX(MgAmenDegC,MATCH(SUBSTITUTE($H1491,"*","-"),MgAmenClave,0)),"No aplica")</f>
        <v/>
      </c>
      <c r="Q1491" s="29">
        <f>IFERROR(VLOOKUP(K1491,MgValor,2,0)*VLOOKUP(N1491,MgDeg,2,0),0)</f>
        <v/>
      </c>
      <c r="R1491" s="29">
        <f>IFERROR(VLOOKUP(L1491,MgValor,2,0)*VLOOKUP(O1491,MgDeg,2,0),0)</f>
        <v/>
      </c>
      <c r="S1491" s="29">
        <f>IFERROR(VLOOKUP(M1491,MgValor,2,0)*VLOOKUP(P1491,MgDeg,2,0),0)</f>
        <v/>
      </c>
      <c r="T1491" s="30">
        <f>MAX(Q1491:S1491)</f>
        <v/>
      </c>
      <c r="U1491" s="28">
        <f>IFERROR(LOOKUP(T1491,{0;0.5;1.5;3;4.5},{"Despreciable";"Bajo";"Medio";"Alto";"Muy alto"}),"")</f>
        <v/>
      </c>
      <c r="V1491" s="13">
        <f>IFERROR(INDEX(MgAmenFrec,MATCH(SUBSTITUTE($H1491,"*","-"),MgAmenClave,0)),"")</f>
        <v/>
      </c>
      <c r="W1491" s="28">
        <f>IFERROR(LOOKUP(X1491,{0;0.01;0.1;1;10;100},{"Muy baja";"Muy baja";"Baja";"Media";"Alta";"Muy alta"}),"")</f>
        <v/>
      </c>
      <c r="X1491" s="31">
        <f>IFERROR(VLOOKUP(V1491,MgFrec,2,0),0)</f>
        <v/>
      </c>
      <c r="Y1491" s="30">
        <f>T1491*X1491</f>
        <v/>
      </c>
      <c r="Z1491" s="28">
        <f>IFERROR(LOOKUP(Y1491,{0;0.5;5;25},{"Bajo";"Medio";"Alto";"Crítico"}),"")</f>
        <v/>
      </c>
      <c r="AA1491" s="64">
        <f>IF(T1491&gt;=3,IF(X1491&gt;=1,"Zona 1 — Crítica: impacto alto y ocurre al menos una vez al año","Zona 4 — Catastrófica poco probable: impacto alto pero excepcional"),IF(AND(T1491&lt;1.5,X1491&lt;1),"Zona 3 — Asumible: impacto bajo y muy poco frecuente","Zona 2 — Atención: riesgo intermedio"))</f>
        <v/>
      </c>
      <c r="AB1491" s="64">
        <f>IFERROR(INDEX(MgAmenCtrl,MATCH(SUBSTITUTE($H1491,"*","-"),MgAmenClave,0)),"")</f>
        <v/>
      </c>
      <c r="AC1491" s="20" t="n"/>
      <c r="AD1491" s="31">
        <f>IFERROR($X1491*(1-IF($AC1491="",$AL1491,VLOOKUP($AC1491,MgMad,2,0))),"")</f>
        <v/>
      </c>
      <c r="AE1491" s="28">
        <f>IFERROR(LOOKUP(AD1491,{0;0.01;0.1;1;10;100},{"Muy baja";"Muy baja";"Baja";"Media";"Alta";"Muy alta"}),"")</f>
        <v/>
      </c>
      <c r="AF1491" s="30">
        <f>T1491*AD1491</f>
        <v/>
      </c>
      <c r="AG1491" s="28">
        <f>IFERROR(LOOKUP(AF1491,{0;0.5;5;25},{"Bajo";"Medio";"Alto";"Crítico"}),"")</f>
        <v/>
      </c>
      <c r="AH1491" s="28">
        <f>IF(AG1491="","",IF(OR(AG1491="Crítico",AG1491="Alto"),"Mitigar",IF(AG1491="Medio","Mitigar","Aceptar y monitorear")))</f>
        <v/>
      </c>
      <c r="AI1491" s="21" t="n"/>
      <c r="AJ1491" s="21" t="n"/>
      <c r="AK1491" s="20" t="n"/>
      <c r="AL1491" s="77">
        <f>IFERROR(INDEX(MgAmenEfic,MATCH(SUBSTITUTE($H1491,"*","-"),MgAmenClave,0)),0)</f>
        <v/>
      </c>
    </row>
    <row r="1492" hidden="1" ht="75" customHeight="1" s="54">
      <c r="B1492" s="59" t="inlineStr">
        <is>
          <t>R-1487</t>
        </is>
      </c>
      <c r="C1492" s="59" t="inlineStr">
        <is>
          <t>GH-010</t>
        </is>
      </c>
      <c r="D1492" s="64">
        <f>IFERROR(INDEX(MgNombre,MATCH($C1492,MgActId,0)),"")</f>
        <v/>
      </c>
      <c r="E1492" s="64">
        <f>IFERROR(INDEX(MgProceso,MATCH($C1492,MgActId,0)),"")</f>
        <v/>
      </c>
      <c r="F1492" s="64">
        <f>IFERROR(INDEX(MgTipo,MATCH($C1492,MgActId,0)),"")</f>
        <v/>
      </c>
      <c r="G1492" s="64">
        <f>IFERROR(INDEX(MgSubtipo,MATCH($C1492,MgActId,0)),"")</f>
        <v/>
      </c>
      <c r="H1492" s="59" t="inlineStr">
        <is>
          <t>E.3</t>
        </is>
      </c>
      <c r="I1492" s="64">
        <f>IFERROR(INDEX(MgAmenNombre,MATCH(SUBSTITUTE($H1492,"*","-"),MgAmenClave,0)),"")</f>
        <v/>
      </c>
      <c r="J1492" s="28">
        <f>IFERROR(INDEX(MgAmenGrupo,MATCH(SUBSTITUTE($H1492,"*","-"),MgAmenClave,0)),"")</f>
        <v/>
      </c>
      <c r="K1492" s="64">
        <f>IFERROR(INDEX('1. Matriz de Activos'!$Q$6:$Q$239,MATCH($C1492,MgActId,0)),"")</f>
        <v/>
      </c>
      <c r="L1492" s="64">
        <f>IFERROR(INDEX('1. Matriz de Activos'!$R$6:$R$239,MATCH($C1492,MgActId,0)),"")</f>
        <v/>
      </c>
      <c r="M1492" s="64">
        <f>IFERROR(INDEX('1. Matriz de Activos'!$S$6:$S$239,MATCH($C1492,MgActId,0)),"")</f>
        <v/>
      </c>
      <c r="N1492" s="28">
        <f>IFERROR(INDEX(MgAmenDegD,MATCH(SUBSTITUTE($H1492,"*","-"),MgAmenClave,0)),"No aplica")</f>
        <v/>
      </c>
      <c r="O1492" s="28">
        <f>IFERROR(INDEX(MgAmenDegI,MATCH(SUBSTITUTE($H1492,"*","-"),MgAmenClave,0)),"No aplica")</f>
        <v/>
      </c>
      <c r="P1492" s="28">
        <f>IFERROR(INDEX(MgAmenDegC,MATCH(SUBSTITUTE($H1492,"*","-"),MgAmenClave,0)),"No aplica")</f>
        <v/>
      </c>
      <c r="Q1492" s="29">
        <f>IFERROR(VLOOKUP(K1492,MgValor,2,0)*VLOOKUP(N1492,MgDeg,2,0),0)</f>
        <v/>
      </c>
      <c r="R1492" s="29">
        <f>IFERROR(VLOOKUP(L1492,MgValor,2,0)*VLOOKUP(O1492,MgDeg,2,0),0)</f>
        <v/>
      </c>
      <c r="S1492" s="29">
        <f>IFERROR(VLOOKUP(M1492,MgValor,2,0)*VLOOKUP(P1492,MgDeg,2,0),0)</f>
        <v/>
      </c>
      <c r="T1492" s="30">
        <f>MAX(Q1492:S1492)</f>
        <v/>
      </c>
      <c r="U1492" s="28">
        <f>IFERROR(LOOKUP(T1492,{0;0.5;1.5;3;4.5},{"Despreciable";"Bajo";"Medio";"Alto";"Muy alto"}),"")</f>
        <v/>
      </c>
      <c r="V1492" s="13">
        <f>IFERROR(INDEX(MgAmenFrec,MATCH(SUBSTITUTE($H1492,"*","-"),MgAmenClave,0)),"")</f>
        <v/>
      </c>
      <c r="W1492" s="28">
        <f>IFERROR(LOOKUP(X1492,{0;0.01;0.1;1;10;100},{"Muy baja";"Muy baja";"Baja";"Media";"Alta";"Muy alta"}),"")</f>
        <v/>
      </c>
      <c r="X1492" s="31">
        <f>IFERROR(VLOOKUP(V1492,MgFrec,2,0),0)</f>
        <v/>
      </c>
      <c r="Y1492" s="30">
        <f>T1492*X1492</f>
        <v/>
      </c>
      <c r="Z1492" s="28">
        <f>IFERROR(LOOKUP(Y1492,{0;0.5;5;25},{"Bajo";"Medio";"Alto";"Crítico"}),"")</f>
        <v/>
      </c>
      <c r="AA1492" s="64">
        <f>IF(T1492&gt;=3,IF(X1492&gt;=1,"Zona 1 — Crítica: impacto alto y ocurre al menos una vez al año","Zona 4 — Catastrófica poco probable: impacto alto pero excepcional"),IF(AND(T1492&lt;1.5,X1492&lt;1),"Zona 3 — Asumible: impacto bajo y muy poco frecuente","Zona 2 — Atención: riesgo intermedio"))</f>
        <v/>
      </c>
      <c r="AB1492" s="64">
        <f>IFERROR(INDEX(MgAmenCtrl,MATCH(SUBSTITUTE($H1492,"*","-"),MgAmenClave,0)),"")</f>
        <v/>
      </c>
      <c r="AC1492" s="20" t="n"/>
      <c r="AD1492" s="31">
        <f>IFERROR($X1492*(1-IF($AC1492="",$AL1492,VLOOKUP($AC1492,MgMad,2,0))),"")</f>
        <v/>
      </c>
      <c r="AE1492" s="28">
        <f>IFERROR(LOOKUP(AD1492,{0;0.01;0.1;1;10;100},{"Muy baja";"Muy baja";"Baja";"Media";"Alta";"Muy alta"}),"")</f>
        <v/>
      </c>
      <c r="AF1492" s="30">
        <f>T1492*AD1492</f>
        <v/>
      </c>
      <c r="AG1492" s="28">
        <f>IFERROR(LOOKUP(AF1492,{0;0.5;5;25},{"Bajo";"Medio";"Alto";"Crítico"}),"")</f>
        <v/>
      </c>
      <c r="AH1492" s="28">
        <f>IF(AG1492="","",IF(OR(AG1492="Crítico",AG1492="Alto"),"Mitigar",IF(AG1492="Medio","Mitigar","Aceptar y monitorear")))</f>
        <v/>
      </c>
      <c r="AI1492" s="21" t="n"/>
      <c r="AJ1492" s="21" t="n"/>
      <c r="AK1492" s="20" t="n"/>
      <c r="AL1492" s="77">
        <f>IFERROR(INDEX(MgAmenEfic,MATCH(SUBSTITUTE($H1492,"*","-"),MgAmenClave,0)),0)</f>
        <v/>
      </c>
    </row>
    <row r="1493" hidden="1" ht="75" customHeight="1" s="54">
      <c r="B1493" s="59" t="inlineStr">
        <is>
          <t>R-1488</t>
        </is>
      </c>
      <c r="C1493" s="59" t="inlineStr">
        <is>
          <t>GH-010</t>
        </is>
      </c>
      <c r="D1493" s="64">
        <f>IFERROR(INDEX(MgNombre,MATCH($C1493,MgActId,0)),"")</f>
        <v/>
      </c>
      <c r="E1493" s="64">
        <f>IFERROR(INDEX(MgProceso,MATCH($C1493,MgActId,0)),"")</f>
        <v/>
      </c>
      <c r="F1493" s="64">
        <f>IFERROR(INDEX(MgTipo,MATCH($C1493,MgActId,0)),"")</f>
        <v/>
      </c>
      <c r="G1493" s="64">
        <f>IFERROR(INDEX(MgSubtipo,MATCH($C1493,MgActId,0)),"")</f>
        <v/>
      </c>
      <c r="H1493" s="59" t="inlineStr">
        <is>
          <t>E.4</t>
        </is>
      </c>
      <c r="I1493" s="64">
        <f>IFERROR(INDEX(MgAmenNombre,MATCH(SUBSTITUTE($H1493,"*","-"),MgAmenClave,0)),"")</f>
        <v/>
      </c>
      <c r="J1493" s="28">
        <f>IFERROR(INDEX(MgAmenGrupo,MATCH(SUBSTITUTE($H1493,"*","-"),MgAmenClave,0)),"")</f>
        <v/>
      </c>
      <c r="K1493" s="64">
        <f>IFERROR(INDEX('1. Matriz de Activos'!$Q$6:$Q$239,MATCH($C1493,MgActId,0)),"")</f>
        <v/>
      </c>
      <c r="L1493" s="64">
        <f>IFERROR(INDEX('1. Matriz de Activos'!$R$6:$R$239,MATCH($C1493,MgActId,0)),"")</f>
        <v/>
      </c>
      <c r="M1493" s="64">
        <f>IFERROR(INDEX('1. Matriz de Activos'!$S$6:$S$239,MATCH($C1493,MgActId,0)),"")</f>
        <v/>
      </c>
      <c r="N1493" s="28">
        <f>IFERROR(INDEX(MgAmenDegD,MATCH(SUBSTITUTE($H1493,"*","-"),MgAmenClave,0)),"No aplica")</f>
        <v/>
      </c>
      <c r="O1493" s="28">
        <f>IFERROR(INDEX(MgAmenDegI,MATCH(SUBSTITUTE($H1493,"*","-"),MgAmenClave,0)),"No aplica")</f>
        <v/>
      </c>
      <c r="P1493" s="28">
        <f>IFERROR(INDEX(MgAmenDegC,MATCH(SUBSTITUTE($H1493,"*","-"),MgAmenClave,0)),"No aplica")</f>
        <v/>
      </c>
      <c r="Q1493" s="29">
        <f>IFERROR(VLOOKUP(K1493,MgValor,2,0)*VLOOKUP(N1493,MgDeg,2,0),0)</f>
        <v/>
      </c>
      <c r="R1493" s="29">
        <f>IFERROR(VLOOKUP(L1493,MgValor,2,0)*VLOOKUP(O1493,MgDeg,2,0),0)</f>
        <v/>
      </c>
      <c r="S1493" s="29">
        <f>IFERROR(VLOOKUP(M1493,MgValor,2,0)*VLOOKUP(P1493,MgDeg,2,0),0)</f>
        <v/>
      </c>
      <c r="T1493" s="30">
        <f>MAX(Q1493:S1493)</f>
        <v/>
      </c>
      <c r="U1493" s="28">
        <f>IFERROR(LOOKUP(T1493,{0;0.5;1.5;3;4.5},{"Despreciable";"Bajo";"Medio";"Alto";"Muy alto"}),"")</f>
        <v/>
      </c>
      <c r="V1493" s="13">
        <f>IFERROR(INDEX(MgAmenFrec,MATCH(SUBSTITUTE($H1493,"*","-"),MgAmenClave,0)),"")</f>
        <v/>
      </c>
      <c r="W1493" s="28">
        <f>IFERROR(LOOKUP(X1493,{0;0.01;0.1;1;10;100},{"Muy baja";"Muy baja";"Baja";"Media";"Alta";"Muy alta"}),"")</f>
        <v/>
      </c>
      <c r="X1493" s="31">
        <f>IFERROR(VLOOKUP(V1493,MgFrec,2,0),0)</f>
        <v/>
      </c>
      <c r="Y1493" s="30">
        <f>T1493*X1493</f>
        <v/>
      </c>
      <c r="Z1493" s="28">
        <f>IFERROR(LOOKUP(Y1493,{0;0.5;5;25},{"Bajo";"Medio";"Alto";"Crítico"}),"")</f>
        <v/>
      </c>
      <c r="AA1493" s="64">
        <f>IF(T1493&gt;=3,IF(X1493&gt;=1,"Zona 1 — Crítica: impacto alto y ocurre al menos una vez al año","Zona 4 — Catastrófica poco probable: impacto alto pero excepcional"),IF(AND(T1493&lt;1.5,X1493&lt;1),"Zona 3 — Asumible: impacto bajo y muy poco frecuente","Zona 2 — Atención: riesgo intermedio"))</f>
        <v/>
      </c>
      <c r="AB1493" s="64">
        <f>IFERROR(INDEX(MgAmenCtrl,MATCH(SUBSTITUTE($H1493,"*","-"),MgAmenClave,0)),"")</f>
        <v/>
      </c>
      <c r="AC1493" s="20" t="n"/>
      <c r="AD1493" s="31">
        <f>IFERROR($X1493*(1-IF($AC1493="",$AL1493,VLOOKUP($AC1493,MgMad,2,0))),"")</f>
        <v/>
      </c>
      <c r="AE1493" s="28">
        <f>IFERROR(LOOKUP(AD1493,{0;0.01;0.1;1;10;100},{"Muy baja";"Muy baja";"Baja";"Media";"Alta";"Muy alta"}),"")</f>
        <v/>
      </c>
      <c r="AF1493" s="30">
        <f>T1493*AD1493</f>
        <v/>
      </c>
      <c r="AG1493" s="28">
        <f>IFERROR(LOOKUP(AF1493,{0;0.5;5;25},{"Bajo";"Medio";"Alto";"Crítico"}),"")</f>
        <v/>
      </c>
      <c r="AH1493" s="28">
        <f>IF(AG1493="","",IF(OR(AG1493="Crítico",AG1493="Alto"),"Mitigar",IF(AG1493="Medio","Mitigar","Aceptar y monitorear")))</f>
        <v/>
      </c>
      <c r="AI1493" s="21" t="n"/>
      <c r="AJ1493" s="21" t="n"/>
      <c r="AK1493" s="20" t="n"/>
      <c r="AL1493" s="77">
        <f>IFERROR(INDEX(MgAmenEfic,MATCH(SUBSTITUTE($H1493,"*","-"),MgAmenClave,0)),0)</f>
        <v/>
      </c>
    </row>
    <row r="1494" hidden="1" ht="90" customHeight="1" s="54">
      <c r="B1494" s="59" t="inlineStr">
        <is>
          <t>R-1489</t>
        </is>
      </c>
      <c r="C1494" s="59" t="inlineStr">
        <is>
          <t>GH-010</t>
        </is>
      </c>
      <c r="D1494" s="64">
        <f>IFERROR(INDEX(MgNombre,MATCH($C1494,MgActId,0)),"")</f>
        <v/>
      </c>
      <c r="E1494" s="64">
        <f>IFERROR(INDEX(MgProceso,MATCH($C1494,MgActId,0)),"")</f>
        <v/>
      </c>
      <c r="F1494" s="64">
        <f>IFERROR(INDEX(MgTipo,MATCH($C1494,MgActId,0)),"")</f>
        <v/>
      </c>
      <c r="G1494" s="64">
        <f>IFERROR(INDEX(MgSubtipo,MATCH($C1494,MgActId,0)),"")</f>
        <v/>
      </c>
      <c r="H1494" s="59" t="inlineStr">
        <is>
          <t>E.14</t>
        </is>
      </c>
      <c r="I1494" s="64">
        <f>IFERROR(INDEX(MgAmenNombre,MATCH(SUBSTITUTE($H1494,"*","-"),MgAmenClave,0)),"")</f>
        <v/>
      </c>
      <c r="J1494" s="28">
        <f>IFERROR(INDEX(MgAmenGrupo,MATCH(SUBSTITUTE($H1494,"*","-"),MgAmenClave,0)),"")</f>
        <v/>
      </c>
      <c r="K1494" s="64">
        <f>IFERROR(INDEX('1. Matriz de Activos'!$Q$6:$Q$239,MATCH($C1494,MgActId,0)),"")</f>
        <v/>
      </c>
      <c r="L1494" s="64">
        <f>IFERROR(INDEX('1. Matriz de Activos'!$R$6:$R$239,MATCH($C1494,MgActId,0)),"")</f>
        <v/>
      </c>
      <c r="M1494" s="64">
        <f>IFERROR(INDEX('1. Matriz de Activos'!$S$6:$S$239,MATCH($C1494,MgActId,0)),"")</f>
        <v/>
      </c>
      <c r="N1494" s="28">
        <f>IFERROR(INDEX(MgAmenDegD,MATCH(SUBSTITUTE($H1494,"*","-"),MgAmenClave,0)),"No aplica")</f>
        <v/>
      </c>
      <c r="O1494" s="28">
        <f>IFERROR(INDEX(MgAmenDegI,MATCH(SUBSTITUTE($H1494,"*","-"),MgAmenClave,0)),"No aplica")</f>
        <v/>
      </c>
      <c r="P1494" s="28">
        <f>IFERROR(INDEX(MgAmenDegC,MATCH(SUBSTITUTE($H1494,"*","-"),MgAmenClave,0)),"No aplica")</f>
        <v/>
      </c>
      <c r="Q1494" s="29">
        <f>IFERROR(VLOOKUP(K1494,MgValor,2,0)*VLOOKUP(N1494,MgDeg,2,0),0)</f>
        <v/>
      </c>
      <c r="R1494" s="29">
        <f>IFERROR(VLOOKUP(L1494,MgValor,2,0)*VLOOKUP(O1494,MgDeg,2,0),0)</f>
        <v/>
      </c>
      <c r="S1494" s="29">
        <f>IFERROR(VLOOKUP(M1494,MgValor,2,0)*VLOOKUP(P1494,MgDeg,2,0),0)</f>
        <v/>
      </c>
      <c r="T1494" s="30">
        <f>MAX(Q1494:S1494)</f>
        <v/>
      </c>
      <c r="U1494" s="28">
        <f>IFERROR(LOOKUP(T1494,{0;0.5;1.5;3;4.5},{"Despreciable";"Bajo";"Medio";"Alto";"Muy alto"}),"")</f>
        <v/>
      </c>
      <c r="V1494" s="13">
        <f>IFERROR(INDEX(MgAmenFrec,MATCH(SUBSTITUTE($H1494,"*","-"),MgAmenClave,0)),"")</f>
        <v/>
      </c>
      <c r="W1494" s="28">
        <f>IFERROR(LOOKUP(X1494,{0;0.01;0.1;1;10;100},{"Muy baja";"Muy baja";"Baja";"Media";"Alta";"Muy alta"}),"")</f>
        <v/>
      </c>
      <c r="X1494" s="31">
        <f>IFERROR(VLOOKUP(V1494,MgFrec,2,0),0)</f>
        <v/>
      </c>
      <c r="Y1494" s="30">
        <f>T1494*X1494</f>
        <v/>
      </c>
      <c r="Z1494" s="28">
        <f>IFERROR(LOOKUP(Y1494,{0;0.5;5;25},{"Bajo";"Medio";"Alto";"Crítico"}),"")</f>
        <v/>
      </c>
      <c r="AA1494" s="64">
        <f>IF(T1494&gt;=3,IF(X1494&gt;=1,"Zona 1 — Crítica: impacto alto y ocurre al menos una vez al año","Zona 4 — Catastrófica poco probable: impacto alto pero excepcional"),IF(AND(T1494&lt;1.5,X1494&lt;1),"Zona 3 — Asumible: impacto bajo y muy poco frecuente","Zona 2 — Atención: riesgo intermedio"))</f>
        <v/>
      </c>
      <c r="AB1494" s="64">
        <f>IFERROR(INDEX(MgAmenCtrl,MATCH(SUBSTITUTE($H1494,"*","-"),MgAmenClave,0)),"")</f>
        <v/>
      </c>
      <c r="AC1494" s="20" t="n"/>
      <c r="AD1494" s="31">
        <f>IFERROR($X1494*(1-IF($AC1494="",$AL1494,VLOOKUP($AC1494,MgMad,2,0))),"")</f>
        <v/>
      </c>
      <c r="AE1494" s="28">
        <f>IFERROR(LOOKUP(AD1494,{0;0.01;0.1;1;10;100},{"Muy baja";"Muy baja";"Baja";"Media";"Alta";"Muy alta"}),"")</f>
        <v/>
      </c>
      <c r="AF1494" s="30">
        <f>T1494*AD1494</f>
        <v/>
      </c>
      <c r="AG1494" s="28">
        <f>IFERROR(LOOKUP(AF1494,{0;0.5;5;25},{"Bajo";"Medio";"Alto";"Crítico"}),"")</f>
        <v/>
      </c>
      <c r="AH1494" s="28">
        <f>IF(AG1494="","",IF(OR(AG1494="Crítico",AG1494="Alto"),"Mitigar",IF(AG1494="Medio","Mitigar","Aceptar y monitorear")))</f>
        <v/>
      </c>
      <c r="AI1494" s="21" t="n"/>
      <c r="AJ1494" s="21" t="n"/>
      <c r="AK1494" s="20" t="n"/>
      <c r="AL1494" s="77">
        <f>IFERROR(INDEX(MgAmenEfic,MATCH(SUBSTITUTE($H1494,"*","-"),MgAmenClave,0)),0)</f>
        <v/>
      </c>
    </row>
    <row r="1495" hidden="1" ht="90" customHeight="1" s="54">
      <c r="B1495" s="59" t="inlineStr">
        <is>
          <t>R-1490</t>
        </is>
      </c>
      <c r="C1495" s="59" t="inlineStr">
        <is>
          <t>GH-010</t>
        </is>
      </c>
      <c r="D1495" s="64">
        <f>IFERROR(INDEX(MgNombre,MATCH($C1495,MgActId,0)),"")</f>
        <v/>
      </c>
      <c r="E1495" s="64">
        <f>IFERROR(INDEX(MgProceso,MATCH($C1495,MgActId,0)),"")</f>
        <v/>
      </c>
      <c r="F1495" s="64">
        <f>IFERROR(INDEX(MgTipo,MATCH($C1495,MgActId,0)),"")</f>
        <v/>
      </c>
      <c r="G1495" s="64">
        <f>IFERROR(INDEX(MgSubtipo,MATCH($C1495,MgActId,0)),"")</f>
        <v/>
      </c>
      <c r="H1495" s="59" t="inlineStr">
        <is>
          <t>E.15</t>
        </is>
      </c>
      <c r="I1495" s="64">
        <f>IFERROR(INDEX(MgAmenNombre,MATCH(SUBSTITUTE($H1495,"*","-"),MgAmenClave,0)),"")</f>
        <v/>
      </c>
      <c r="J1495" s="28">
        <f>IFERROR(INDEX(MgAmenGrupo,MATCH(SUBSTITUTE($H1495,"*","-"),MgAmenClave,0)),"")</f>
        <v/>
      </c>
      <c r="K1495" s="64">
        <f>IFERROR(INDEX('1. Matriz de Activos'!$Q$6:$Q$239,MATCH($C1495,MgActId,0)),"")</f>
        <v/>
      </c>
      <c r="L1495" s="64">
        <f>IFERROR(INDEX('1. Matriz de Activos'!$R$6:$R$239,MATCH($C1495,MgActId,0)),"")</f>
        <v/>
      </c>
      <c r="M1495" s="64">
        <f>IFERROR(INDEX('1. Matriz de Activos'!$S$6:$S$239,MATCH($C1495,MgActId,0)),"")</f>
        <v/>
      </c>
      <c r="N1495" s="28">
        <f>IFERROR(INDEX(MgAmenDegD,MATCH(SUBSTITUTE($H1495,"*","-"),MgAmenClave,0)),"No aplica")</f>
        <v/>
      </c>
      <c r="O1495" s="28">
        <f>IFERROR(INDEX(MgAmenDegI,MATCH(SUBSTITUTE($H1495,"*","-"),MgAmenClave,0)),"No aplica")</f>
        <v/>
      </c>
      <c r="P1495" s="28">
        <f>IFERROR(INDEX(MgAmenDegC,MATCH(SUBSTITUTE($H1495,"*","-"),MgAmenClave,0)),"No aplica")</f>
        <v/>
      </c>
      <c r="Q1495" s="29">
        <f>IFERROR(VLOOKUP(K1495,MgValor,2,0)*VLOOKUP(N1495,MgDeg,2,0),0)</f>
        <v/>
      </c>
      <c r="R1495" s="29">
        <f>IFERROR(VLOOKUP(L1495,MgValor,2,0)*VLOOKUP(O1495,MgDeg,2,0),0)</f>
        <v/>
      </c>
      <c r="S1495" s="29">
        <f>IFERROR(VLOOKUP(M1495,MgValor,2,0)*VLOOKUP(P1495,MgDeg,2,0),0)</f>
        <v/>
      </c>
      <c r="T1495" s="30">
        <f>MAX(Q1495:S1495)</f>
        <v/>
      </c>
      <c r="U1495" s="28">
        <f>IFERROR(LOOKUP(T1495,{0;0.5;1.5;3;4.5},{"Despreciable";"Bajo";"Medio";"Alto";"Muy alto"}),"")</f>
        <v/>
      </c>
      <c r="V1495" s="13">
        <f>IFERROR(INDEX(MgAmenFrec,MATCH(SUBSTITUTE($H1495,"*","-"),MgAmenClave,0)),"")</f>
        <v/>
      </c>
      <c r="W1495" s="28">
        <f>IFERROR(LOOKUP(X1495,{0;0.01;0.1;1;10;100},{"Muy baja";"Muy baja";"Baja";"Media";"Alta";"Muy alta"}),"")</f>
        <v/>
      </c>
      <c r="X1495" s="31">
        <f>IFERROR(VLOOKUP(V1495,MgFrec,2,0),0)</f>
        <v/>
      </c>
      <c r="Y1495" s="30">
        <f>T1495*X1495</f>
        <v/>
      </c>
      <c r="Z1495" s="28">
        <f>IFERROR(LOOKUP(Y1495,{0;0.5;5;25},{"Bajo";"Medio";"Alto";"Crítico"}),"")</f>
        <v/>
      </c>
      <c r="AA1495" s="64">
        <f>IF(T1495&gt;=3,IF(X1495&gt;=1,"Zona 1 — Crítica: impacto alto y ocurre al menos una vez al año","Zona 4 — Catastrófica poco probable: impacto alto pero excepcional"),IF(AND(T1495&lt;1.5,X1495&lt;1),"Zona 3 — Asumible: impacto bajo y muy poco frecuente","Zona 2 — Atención: riesgo intermedio"))</f>
        <v/>
      </c>
      <c r="AB1495" s="64">
        <f>IFERROR(INDEX(MgAmenCtrl,MATCH(SUBSTITUTE($H1495,"*","-"),MgAmenClave,0)),"")</f>
        <v/>
      </c>
      <c r="AC1495" s="20" t="n"/>
      <c r="AD1495" s="31">
        <f>IFERROR($X1495*(1-IF($AC1495="",$AL1495,VLOOKUP($AC1495,MgMad,2,0))),"")</f>
        <v/>
      </c>
      <c r="AE1495" s="28">
        <f>IFERROR(LOOKUP(AD1495,{0;0.01;0.1;1;10;100},{"Muy baja";"Muy baja";"Baja";"Media";"Alta";"Muy alta"}),"")</f>
        <v/>
      </c>
      <c r="AF1495" s="30">
        <f>T1495*AD1495</f>
        <v/>
      </c>
      <c r="AG1495" s="28">
        <f>IFERROR(LOOKUP(AF1495,{0;0.5;5;25},{"Bajo";"Medio";"Alto";"Crítico"}),"")</f>
        <v/>
      </c>
      <c r="AH1495" s="28">
        <f>IF(AG1495="","",IF(OR(AG1495="Crítico",AG1495="Alto"),"Mitigar",IF(AG1495="Medio","Mitigar","Aceptar y monitorear")))</f>
        <v/>
      </c>
      <c r="AI1495" s="21" t="n"/>
      <c r="AJ1495" s="21" t="n"/>
      <c r="AK1495" s="20" t="n"/>
      <c r="AL1495" s="77">
        <f>IFERROR(INDEX(MgAmenEfic,MATCH(SUBSTITUTE($H1495,"*","-"),MgAmenClave,0)),0)</f>
        <v/>
      </c>
    </row>
    <row r="1496" hidden="1" ht="60" customHeight="1" s="54">
      <c r="B1496" s="59" t="inlineStr">
        <is>
          <t>R-1491</t>
        </is>
      </c>
      <c r="C1496" s="59" t="inlineStr">
        <is>
          <t>GH-010</t>
        </is>
      </c>
      <c r="D1496" s="64">
        <f>IFERROR(INDEX(MgNombre,MATCH($C1496,MgActId,0)),"")</f>
        <v/>
      </c>
      <c r="E1496" s="64">
        <f>IFERROR(INDEX(MgProceso,MATCH($C1496,MgActId,0)),"")</f>
        <v/>
      </c>
      <c r="F1496" s="64">
        <f>IFERROR(INDEX(MgTipo,MATCH($C1496,MgActId,0)),"")</f>
        <v/>
      </c>
      <c r="G1496" s="64">
        <f>IFERROR(INDEX(MgSubtipo,MATCH($C1496,MgActId,0)),"")</f>
        <v/>
      </c>
      <c r="H1496" s="59" t="inlineStr">
        <is>
          <t>E.18</t>
        </is>
      </c>
      <c r="I1496" s="64">
        <f>IFERROR(INDEX(MgAmenNombre,MATCH(SUBSTITUTE($H1496,"*","-"),MgAmenClave,0)),"")</f>
        <v/>
      </c>
      <c r="J1496" s="28">
        <f>IFERROR(INDEX(MgAmenGrupo,MATCH(SUBSTITUTE($H1496,"*","-"),MgAmenClave,0)),"")</f>
        <v/>
      </c>
      <c r="K1496" s="64">
        <f>IFERROR(INDEX('1. Matriz de Activos'!$Q$6:$Q$239,MATCH($C1496,MgActId,0)),"")</f>
        <v/>
      </c>
      <c r="L1496" s="64">
        <f>IFERROR(INDEX('1. Matriz de Activos'!$R$6:$R$239,MATCH($C1496,MgActId,0)),"")</f>
        <v/>
      </c>
      <c r="M1496" s="64">
        <f>IFERROR(INDEX('1. Matriz de Activos'!$S$6:$S$239,MATCH($C1496,MgActId,0)),"")</f>
        <v/>
      </c>
      <c r="N1496" s="28">
        <f>IFERROR(INDEX(MgAmenDegD,MATCH(SUBSTITUTE($H1496,"*","-"),MgAmenClave,0)),"No aplica")</f>
        <v/>
      </c>
      <c r="O1496" s="28">
        <f>IFERROR(INDEX(MgAmenDegI,MATCH(SUBSTITUTE($H1496,"*","-"),MgAmenClave,0)),"No aplica")</f>
        <v/>
      </c>
      <c r="P1496" s="28">
        <f>IFERROR(INDEX(MgAmenDegC,MATCH(SUBSTITUTE($H1496,"*","-"),MgAmenClave,0)),"No aplica")</f>
        <v/>
      </c>
      <c r="Q1496" s="29">
        <f>IFERROR(VLOOKUP(K1496,MgValor,2,0)*VLOOKUP(N1496,MgDeg,2,0),0)</f>
        <v/>
      </c>
      <c r="R1496" s="29">
        <f>IFERROR(VLOOKUP(L1496,MgValor,2,0)*VLOOKUP(O1496,MgDeg,2,0),0)</f>
        <v/>
      </c>
      <c r="S1496" s="29">
        <f>IFERROR(VLOOKUP(M1496,MgValor,2,0)*VLOOKUP(P1496,MgDeg,2,0),0)</f>
        <v/>
      </c>
      <c r="T1496" s="30">
        <f>MAX(Q1496:S1496)</f>
        <v/>
      </c>
      <c r="U1496" s="28">
        <f>IFERROR(LOOKUP(T1496,{0;0.5;1.5;3;4.5},{"Despreciable";"Bajo";"Medio";"Alto";"Muy alto"}),"")</f>
        <v/>
      </c>
      <c r="V1496" s="13">
        <f>IFERROR(INDEX(MgAmenFrec,MATCH(SUBSTITUTE($H1496,"*","-"),MgAmenClave,0)),"")</f>
        <v/>
      </c>
      <c r="W1496" s="28">
        <f>IFERROR(LOOKUP(X1496,{0;0.01;0.1;1;10;100},{"Muy baja";"Muy baja";"Baja";"Media";"Alta";"Muy alta"}),"")</f>
        <v/>
      </c>
      <c r="X1496" s="31">
        <f>IFERROR(VLOOKUP(V1496,MgFrec,2,0),0)</f>
        <v/>
      </c>
      <c r="Y1496" s="30">
        <f>T1496*X1496</f>
        <v/>
      </c>
      <c r="Z1496" s="28">
        <f>IFERROR(LOOKUP(Y1496,{0;0.5;5;25},{"Bajo";"Medio";"Alto";"Crítico"}),"")</f>
        <v/>
      </c>
      <c r="AA1496" s="64">
        <f>IF(T1496&gt;=3,IF(X1496&gt;=1,"Zona 1 — Crítica: impacto alto y ocurre al menos una vez al año","Zona 4 — Catastrófica poco probable: impacto alto pero excepcional"),IF(AND(T1496&lt;1.5,X1496&lt;1),"Zona 3 — Asumible: impacto bajo y muy poco frecuente","Zona 2 — Atención: riesgo intermedio"))</f>
        <v/>
      </c>
      <c r="AB1496" s="64">
        <f>IFERROR(INDEX(MgAmenCtrl,MATCH(SUBSTITUTE($H1496,"*","-"),MgAmenClave,0)),"")</f>
        <v/>
      </c>
      <c r="AC1496" s="20" t="n"/>
      <c r="AD1496" s="31">
        <f>IFERROR($X1496*(1-IF($AC1496="",$AL1496,VLOOKUP($AC1496,MgMad,2,0))),"")</f>
        <v/>
      </c>
      <c r="AE1496" s="28">
        <f>IFERROR(LOOKUP(AD1496,{0;0.01;0.1;1;10;100},{"Muy baja";"Muy baja";"Baja";"Media";"Alta";"Muy alta"}),"")</f>
        <v/>
      </c>
      <c r="AF1496" s="30">
        <f>T1496*AD1496</f>
        <v/>
      </c>
      <c r="AG1496" s="28">
        <f>IFERROR(LOOKUP(AF1496,{0;0.5;5;25},{"Bajo";"Medio";"Alto";"Crítico"}),"")</f>
        <v/>
      </c>
      <c r="AH1496" s="28">
        <f>IF(AG1496="","",IF(OR(AG1496="Crítico",AG1496="Alto"),"Mitigar",IF(AG1496="Medio","Mitigar","Aceptar y monitorear")))</f>
        <v/>
      </c>
      <c r="AI1496" s="21" t="n"/>
      <c r="AJ1496" s="21" t="n"/>
      <c r="AK1496" s="20" t="n"/>
      <c r="AL1496" s="77">
        <f>IFERROR(INDEX(MgAmenEfic,MATCH(SUBSTITUTE($H1496,"*","-"),MgAmenClave,0)),0)</f>
        <v/>
      </c>
    </row>
    <row r="1497" hidden="1" ht="105" customHeight="1" s="54">
      <c r="B1497" s="59" t="inlineStr">
        <is>
          <t>R-1492</t>
        </is>
      </c>
      <c r="C1497" s="59" t="inlineStr">
        <is>
          <t>GH-010</t>
        </is>
      </c>
      <c r="D1497" s="64">
        <f>IFERROR(INDEX(MgNombre,MATCH($C1497,MgActId,0)),"")</f>
        <v/>
      </c>
      <c r="E1497" s="64">
        <f>IFERROR(INDEX(MgProceso,MATCH($C1497,MgActId,0)),"")</f>
        <v/>
      </c>
      <c r="F1497" s="64">
        <f>IFERROR(INDEX(MgTipo,MATCH($C1497,MgActId,0)),"")</f>
        <v/>
      </c>
      <c r="G1497" s="64">
        <f>IFERROR(INDEX(MgSubtipo,MATCH($C1497,MgActId,0)),"")</f>
        <v/>
      </c>
      <c r="H1497" s="59" t="inlineStr">
        <is>
          <t>E.19</t>
        </is>
      </c>
      <c r="I1497" s="64">
        <f>IFERROR(INDEX(MgAmenNombre,MATCH(SUBSTITUTE($H1497,"*","-"),MgAmenClave,0)),"")</f>
        <v/>
      </c>
      <c r="J1497" s="28">
        <f>IFERROR(INDEX(MgAmenGrupo,MATCH(SUBSTITUTE($H1497,"*","-"),MgAmenClave,0)),"")</f>
        <v/>
      </c>
      <c r="K1497" s="64">
        <f>IFERROR(INDEX('1. Matriz de Activos'!$Q$6:$Q$239,MATCH($C1497,MgActId,0)),"")</f>
        <v/>
      </c>
      <c r="L1497" s="64">
        <f>IFERROR(INDEX('1. Matriz de Activos'!$R$6:$R$239,MATCH($C1497,MgActId,0)),"")</f>
        <v/>
      </c>
      <c r="M1497" s="64">
        <f>IFERROR(INDEX('1. Matriz de Activos'!$S$6:$S$239,MATCH($C1497,MgActId,0)),"")</f>
        <v/>
      </c>
      <c r="N1497" s="28">
        <f>IFERROR(INDEX(MgAmenDegD,MATCH(SUBSTITUTE($H1497,"*","-"),MgAmenClave,0)),"No aplica")</f>
        <v/>
      </c>
      <c r="O1497" s="28">
        <f>IFERROR(INDEX(MgAmenDegI,MATCH(SUBSTITUTE($H1497,"*","-"),MgAmenClave,0)),"No aplica")</f>
        <v/>
      </c>
      <c r="P1497" s="28">
        <f>IFERROR(INDEX(MgAmenDegC,MATCH(SUBSTITUTE($H1497,"*","-"),MgAmenClave,0)),"No aplica")</f>
        <v/>
      </c>
      <c r="Q1497" s="29">
        <f>IFERROR(VLOOKUP(K1497,MgValor,2,0)*VLOOKUP(N1497,MgDeg,2,0),0)</f>
        <v/>
      </c>
      <c r="R1497" s="29">
        <f>IFERROR(VLOOKUP(L1497,MgValor,2,0)*VLOOKUP(O1497,MgDeg,2,0),0)</f>
        <v/>
      </c>
      <c r="S1497" s="29">
        <f>IFERROR(VLOOKUP(M1497,MgValor,2,0)*VLOOKUP(P1497,MgDeg,2,0),0)</f>
        <v/>
      </c>
      <c r="T1497" s="30">
        <f>MAX(Q1497:S1497)</f>
        <v/>
      </c>
      <c r="U1497" s="28">
        <f>IFERROR(LOOKUP(T1497,{0;0.5;1.5;3;4.5},{"Despreciable";"Bajo";"Medio";"Alto";"Muy alto"}),"")</f>
        <v/>
      </c>
      <c r="V1497" s="13">
        <f>IFERROR(INDEX(MgAmenFrec,MATCH(SUBSTITUTE($H1497,"*","-"),MgAmenClave,0)),"")</f>
        <v/>
      </c>
      <c r="W1497" s="28">
        <f>IFERROR(LOOKUP(X1497,{0;0.01;0.1;1;10;100},{"Muy baja";"Muy baja";"Baja";"Media";"Alta";"Muy alta"}),"")</f>
        <v/>
      </c>
      <c r="X1497" s="31">
        <f>IFERROR(VLOOKUP(V1497,MgFrec,2,0),0)</f>
        <v/>
      </c>
      <c r="Y1497" s="30">
        <f>T1497*X1497</f>
        <v/>
      </c>
      <c r="Z1497" s="28">
        <f>IFERROR(LOOKUP(Y1497,{0;0.5;5;25},{"Bajo";"Medio";"Alto";"Crítico"}),"")</f>
        <v/>
      </c>
      <c r="AA1497" s="64">
        <f>IF(T1497&gt;=3,IF(X1497&gt;=1,"Zona 1 — Crítica: impacto alto y ocurre al menos una vez al año","Zona 4 — Catastrófica poco probable: impacto alto pero excepcional"),IF(AND(T1497&lt;1.5,X1497&lt;1),"Zona 3 — Asumible: impacto bajo y muy poco frecuente","Zona 2 — Atención: riesgo intermedio"))</f>
        <v/>
      </c>
      <c r="AB1497" s="64">
        <f>IFERROR(INDEX(MgAmenCtrl,MATCH(SUBSTITUTE($H1497,"*","-"),MgAmenClave,0)),"")</f>
        <v/>
      </c>
      <c r="AC1497" s="20" t="n"/>
      <c r="AD1497" s="31">
        <f>IFERROR($X1497*(1-IF($AC1497="",$AL1497,VLOOKUP($AC1497,MgMad,2,0))),"")</f>
        <v/>
      </c>
      <c r="AE1497" s="28">
        <f>IFERROR(LOOKUP(AD1497,{0;0.01;0.1;1;10;100},{"Muy baja";"Muy baja";"Baja";"Media";"Alta";"Muy alta"}),"")</f>
        <v/>
      </c>
      <c r="AF1497" s="30">
        <f>T1497*AD1497</f>
        <v/>
      </c>
      <c r="AG1497" s="28">
        <f>IFERROR(LOOKUP(AF1497,{0;0.5;5;25},{"Bajo";"Medio";"Alto";"Crítico"}),"")</f>
        <v/>
      </c>
      <c r="AH1497" s="28">
        <f>IF(AG1497="","",IF(OR(AG1497="Crítico",AG1497="Alto"),"Mitigar",IF(AG1497="Medio","Mitigar","Aceptar y monitorear")))</f>
        <v/>
      </c>
      <c r="AI1497" s="21" t="n"/>
      <c r="AJ1497" s="21" t="n"/>
      <c r="AK1497" s="20" t="n"/>
      <c r="AL1497" s="77">
        <f>IFERROR(INDEX(MgAmenEfic,MATCH(SUBSTITUTE($H1497,"*","-"),MgAmenClave,0)),0)</f>
        <v/>
      </c>
    </row>
    <row r="1498" hidden="1" ht="60" customHeight="1" s="54">
      <c r="B1498" s="59" t="inlineStr">
        <is>
          <t>R-1493</t>
        </is>
      </c>
      <c r="C1498" s="59" t="inlineStr">
        <is>
          <t>GH-010</t>
        </is>
      </c>
      <c r="D1498" s="64">
        <f>IFERROR(INDEX(MgNombre,MATCH($C1498,MgActId,0)),"")</f>
        <v/>
      </c>
      <c r="E1498" s="64">
        <f>IFERROR(INDEX(MgProceso,MATCH($C1498,MgActId,0)),"")</f>
        <v/>
      </c>
      <c r="F1498" s="64">
        <f>IFERROR(INDEX(MgTipo,MATCH($C1498,MgActId,0)),"")</f>
        <v/>
      </c>
      <c r="G1498" s="64">
        <f>IFERROR(INDEX(MgSubtipo,MATCH($C1498,MgActId,0)),"")</f>
        <v/>
      </c>
      <c r="H1498" s="59" t="inlineStr">
        <is>
          <t>A.3</t>
        </is>
      </c>
      <c r="I1498" s="64">
        <f>IFERROR(INDEX(MgAmenNombre,MATCH(SUBSTITUTE($H1498,"*","-"),MgAmenClave,0)),"")</f>
        <v/>
      </c>
      <c r="J1498" s="28">
        <f>IFERROR(INDEX(MgAmenGrupo,MATCH(SUBSTITUTE($H1498,"*","-"),MgAmenClave,0)),"")</f>
        <v/>
      </c>
      <c r="K1498" s="64">
        <f>IFERROR(INDEX('1. Matriz de Activos'!$Q$6:$Q$239,MATCH($C1498,MgActId,0)),"")</f>
        <v/>
      </c>
      <c r="L1498" s="64">
        <f>IFERROR(INDEX('1. Matriz de Activos'!$R$6:$R$239,MATCH($C1498,MgActId,0)),"")</f>
        <v/>
      </c>
      <c r="M1498" s="64">
        <f>IFERROR(INDEX('1. Matriz de Activos'!$S$6:$S$239,MATCH($C1498,MgActId,0)),"")</f>
        <v/>
      </c>
      <c r="N1498" s="28">
        <f>IFERROR(INDEX(MgAmenDegD,MATCH(SUBSTITUTE($H1498,"*","-"),MgAmenClave,0)),"No aplica")</f>
        <v/>
      </c>
      <c r="O1498" s="28">
        <f>IFERROR(INDEX(MgAmenDegI,MATCH(SUBSTITUTE($H1498,"*","-"),MgAmenClave,0)),"No aplica")</f>
        <v/>
      </c>
      <c r="P1498" s="28">
        <f>IFERROR(INDEX(MgAmenDegC,MATCH(SUBSTITUTE($H1498,"*","-"),MgAmenClave,0)),"No aplica")</f>
        <v/>
      </c>
      <c r="Q1498" s="29">
        <f>IFERROR(VLOOKUP(K1498,MgValor,2,0)*VLOOKUP(N1498,MgDeg,2,0),0)</f>
        <v/>
      </c>
      <c r="R1498" s="29">
        <f>IFERROR(VLOOKUP(L1498,MgValor,2,0)*VLOOKUP(O1498,MgDeg,2,0),0)</f>
        <v/>
      </c>
      <c r="S1498" s="29">
        <f>IFERROR(VLOOKUP(M1498,MgValor,2,0)*VLOOKUP(P1498,MgDeg,2,0),0)</f>
        <v/>
      </c>
      <c r="T1498" s="30">
        <f>MAX(Q1498:S1498)</f>
        <v/>
      </c>
      <c r="U1498" s="28">
        <f>IFERROR(LOOKUP(T1498,{0;0.5;1.5;3;4.5},{"Despreciable";"Bajo";"Medio";"Alto";"Muy alto"}),"")</f>
        <v/>
      </c>
      <c r="V1498" s="13">
        <f>IFERROR(INDEX(MgAmenFrec,MATCH(SUBSTITUTE($H1498,"*","-"),MgAmenClave,0)),"")</f>
        <v/>
      </c>
      <c r="W1498" s="28">
        <f>IFERROR(LOOKUP(X1498,{0;0.01;0.1;1;10;100},{"Muy baja";"Muy baja";"Baja";"Media";"Alta";"Muy alta"}),"")</f>
        <v/>
      </c>
      <c r="X1498" s="31">
        <f>IFERROR(VLOOKUP(V1498,MgFrec,2,0),0)</f>
        <v/>
      </c>
      <c r="Y1498" s="30">
        <f>T1498*X1498</f>
        <v/>
      </c>
      <c r="Z1498" s="28">
        <f>IFERROR(LOOKUP(Y1498,{0;0.5;5;25},{"Bajo";"Medio";"Alto";"Crítico"}),"")</f>
        <v/>
      </c>
      <c r="AA1498" s="64">
        <f>IF(T1498&gt;=3,IF(X1498&gt;=1,"Zona 1 — Crítica: impacto alto y ocurre al menos una vez al año","Zona 4 — Catastrófica poco probable: impacto alto pero excepcional"),IF(AND(T1498&lt;1.5,X1498&lt;1),"Zona 3 — Asumible: impacto bajo y muy poco frecuente","Zona 2 — Atención: riesgo intermedio"))</f>
        <v/>
      </c>
      <c r="AB1498" s="64">
        <f>IFERROR(INDEX(MgAmenCtrl,MATCH(SUBSTITUTE($H1498,"*","-"),MgAmenClave,0)),"")</f>
        <v/>
      </c>
      <c r="AC1498" s="20" t="n"/>
      <c r="AD1498" s="31">
        <f>IFERROR($X1498*(1-IF($AC1498="",$AL1498,VLOOKUP($AC1498,MgMad,2,0))),"")</f>
        <v/>
      </c>
      <c r="AE1498" s="28">
        <f>IFERROR(LOOKUP(AD1498,{0;0.01;0.1;1;10;100},{"Muy baja";"Muy baja";"Baja";"Media";"Alta";"Muy alta"}),"")</f>
        <v/>
      </c>
      <c r="AF1498" s="30">
        <f>T1498*AD1498</f>
        <v/>
      </c>
      <c r="AG1498" s="28">
        <f>IFERROR(LOOKUP(AF1498,{0;0.5;5;25},{"Bajo";"Medio";"Alto";"Crítico"}),"")</f>
        <v/>
      </c>
      <c r="AH1498" s="28">
        <f>IF(AG1498="","",IF(OR(AG1498="Crítico",AG1498="Alto"),"Mitigar",IF(AG1498="Medio","Mitigar","Aceptar y monitorear")))</f>
        <v/>
      </c>
      <c r="AI1498" s="21" t="n"/>
      <c r="AJ1498" s="21" t="n"/>
      <c r="AK1498" s="20" t="n"/>
      <c r="AL1498" s="77">
        <f>IFERROR(INDEX(MgAmenEfic,MATCH(SUBSTITUTE($H1498,"*","-"),MgAmenClave,0)),0)</f>
        <v/>
      </c>
    </row>
    <row r="1499" hidden="1" ht="60" customHeight="1" s="54">
      <c r="B1499" s="59" t="inlineStr">
        <is>
          <t>R-1494</t>
        </is>
      </c>
      <c r="C1499" s="59" t="inlineStr">
        <is>
          <t>GH-010</t>
        </is>
      </c>
      <c r="D1499" s="64">
        <f>IFERROR(INDEX(MgNombre,MATCH($C1499,MgActId,0)),"")</f>
        <v/>
      </c>
      <c r="E1499" s="64">
        <f>IFERROR(INDEX(MgProceso,MATCH($C1499,MgActId,0)),"")</f>
        <v/>
      </c>
      <c r="F1499" s="64">
        <f>IFERROR(INDEX(MgTipo,MATCH($C1499,MgActId,0)),"")</f>
        <v/>
      </c>
      <c r="G1499" s="64">
        <f>IFERROR(INDEX(MgSubtipo,MATCH($C1499,MgActId,0)),"")</f>
        <v/>
      </c>
      <c r="H1499" s="59" t="inlineStr">
        <is>
          <t>A.4</t>
        </is>
      </c>
      <c r="I1499" s="64">
        <f>IFERROR(INDEX(MgAmenNombre,MATCH(SUBSTITUTE($H1499,"*","-"),MgAmenClave,0)),"")</f>
        <v/>
      </c>
      <c r="J1499" s="28">
        <f>IFERROR(INDEX(MgAmenGrupo,MATCH(SUBSTITUTE($H1499,"*","-"),MgAmenClave,0)),"")</f>
        <v/>
      </c>
      <c r="K1499" s="64">
        <f>IFERROR(INDEX('1. Matriz de Activos'!$Q$6:$Q$239,MATCH($C1499,MgActId,0)),"")</f>
        <v/>
      </c>
      <c r="L1499" s="64">
        <f>IFERROR(INDEX('1. Matriz de Activos'!$R$6:$R$239,MATCH($C1499,MgActId,0)),"")</f>
        <v/>
      </c>
      <c r="M1499" s="64">
        <f>IFERROR(INDEX('1. Matriz de Activos'!$S$6:$S$239,MATCH($C1499,MgActId,0)),"")</f>
        <v/>
      </c>
      <c r="N1499" s="28">
        <f>IFERROR(INDEX(MgAmenDegD,MATCH(SUBSTITUTE($H1499,"*","-"),MgAmenClave,0)),"No aplica")</f>
        <v/>
      </c>
      <c r="O1499" s="28">
        <f>IFERROR(INDEX(MgAmenDegI,MATCH(SUBSTITUTE($H1499,"*","-"),MgAmenClave,0)),"No aplica")</f>
        <v/>
      </c>
      <c r="P1499" s="28">
        <f>IFERROR(INDEX(MgAmenDegC,MATCH(SUBSTITUTE($H1499,"*","-"),MgAmenClave,0)),"No aplica")</f>
        <v/>
      </c>
      <c r="Q1499" s="29">
        <f>IFERROR(VLOOKUP(K1499,MgValor,2,0)*VLOOKUP(N1499,MgDeg,2,0),0)</f>
        <v/>
      </c>
      <c r="R1499" s="29">
        <f>IFERROR(VLOOKUP(L1499,MgValor,2,0)*VLOOKUP(O1499,MgDeg,2,0),0)</f>
        <v/>
      </c>
      <c r="S1499" s="29">
        <f>IFERROR(VLOOKUP(M1499,MgValor,2,0)*VLOOKUP(P1499,MgDeg,2,0),0)</f>
        <v/>
      </c>
      <c r="T1499" s="30">
        <f>MAX(Q1499:S1499)</f>
        <v/>
      </c>
      <c r="U1499" s="28">
        <f>IFERROR(LOOKUP(T1499,{0;0.5;1.5;3;4.5},{"Despreciable";"Bajo";"Medio";"Alto";"Muy alto"}),"")</f>
        <v/>
      </c>
      <c r="V1499" s="13">
        <f>IFERROR(INDEX(MgAmenFrec,MATCH(SUBSTITUTE($H1499,"*","-"),MgAmenClave,0)),"")</f>
        <v/>
      </c>
      <c r="W1499" s="28">
        <f>IFERROR(LOOKUP(X1499,{0;0.01;0.1;1;10;100},{"Muy baja";"Muy baja";"Baja";"Media";"Alta";"Muy alta"}),"")</f>
        <v/>
      </c>
      <c r="X1499" s="31">
        <f>IFERROR(VLOOKUP(V1499,MgFrec,2,0),0)</f>
        <v/>
      </c>
      <c r="Y1499" s="30">
        <f>T1499*X1499</f>
        <v/>
      </c>
      <c r="Z1499" s="28">
        <f>IFERROR(LOOKUP(Y1499,{0;0.5;5;25},{"Bajo";"Medio";"Alto";"Crítico"}),"")</f>
        <v/>
      </c>
      <c r="AA1499" s="64">
        <f>IF(T1499&gt;=3,IF(X1499&gt;=1,"Zona 1 — Crítica: impacto alto y ocurre al menos una vez al año","Zona 4 — Catastrófica poco probable: impacto alto pero excepcional"),IF(AND(T1499&lt;1.5,X1499&lt;1),"Zona 3 — Asumible: impacto bajo y muy poco frecuente","Zona 2 — Atención: riesgo intermedio"))</f>
        <v/>
      </c>
      <c r="AB1499" s="64">
        <f>IFERROR(INDEX(MgAmenCtrl,MATCH(SUBSTITUTE($H1499,"*","-"),MgAmenClave,0)),"")</f>
        <v/>
      </c>
      <c r="AC1499" s="20" t="n"/>
      <c r="AD1499" s="31">
        <f>IFERROR($X1499*(1-IF($AC1499="",$AL1499,VLOOKUP($AC1499,MgMad,2,0))),"")</f>
        <v/>
      </c>
      <c r="AE1499" s="28">
        <f>IFERROR(LOOKUP(AD1499,{0;0.01;0.1;1;10;100},{"Muy baja";"Muy baja";"Baja";"Media";"Alta";"Muy alta"}),"")</f>
        <v/>
      </c>
      <c r="AF1499" s="30">
        <f>T1499*AD1499</f>
        <v/>
      </c>
      <c r="AG1499" s="28">
        <f>IFERROR(LOOKUP(AF1499,{0;0.5;5;25},{"Bajo";"Medio";"Alto";"Crítico"}),"")</f>
        <v/>
      </c>
      <c r="AH1499" s="28">
        <f>IF(AG1499="","",IF(OR(AG1499="Crítico",AG1499="Alto"),"Mitigar",IF(AG1499="Medio","Mitigar","Aceptar y monitorear")))</f>
        <v/>
      </c>
      <c r="AI1499" s="21" t="n"/>
      <c r="AJ1499" s="21" t="n"/>
      <c r="AK1499" s="20" t="n"/>
      <c r="AL1499" s="77">
        <f>IFERROR(INDEX(MgAmenEfic,MATCH(SUBSTITUTE($H1499,"*","-"),MgAmenClave,0)),0)</f>
        <v/>
      </c>
    </row>
    <row r="1500" hidden="1" ht="75" customHeight="1" s="54">
      <c r="B1500" s="59" t="inlineStr">
        <is>
          <t>R-1495</t>
        </is>
      </c>
      <c r="C1500" s="59" t="inlineStr">
        <is>
          <t>GH-010</t>
        </is>
      </c>
      <c r="D1500" s="64">
        <f>IFERROR(INDEX(MgNombre,MATCH($C1500,MgActId,0)),"")</f>
        <v/>
      </c>
      <c r="E1500" s="64">
        <f>IFERROR(INDEX(MgProceso,MATCH($C1500,MgActId,0)),"")</f>
        <v/>
      </c>
      <c r="F1500" s="64">
        <f>IFERROR(INDEX(MgTipo,MATCH($C1500,MgActId,0)),"")</f>
        <v/>
      </c>
      <c r="G1500" s="64">
        <f>IFERROR(INDEX(MgSubtipo,MATCH($C1500,MgActId,0)),"")</f>
        <v/>
      </c>
      <c r="H1500" s="59" t="inlineStr">
        <is>
          <t>A.5</t>
        </is>
      </c>
      <c r="I1500" s="64">
        <f>IFERROR(INDEX(MgAmenNombre,MATCH(SUBSTITUTE($H1500,"*","-"),MgAmenClave,0)),"")</f>
        <v/>
      </c>
      <c r="J1500" s="28">
        <f>IFERROR(INDEX(MgAmenGrupo,MATCH(SUBSTITUTE($H1500,"*","-"),MgAmenClave,0)),"")</f>
        <v/>
      </c>
      <c r="K1500" s="64">
        <f>IFERROR(INDEX('1. Matriz de Activos'!$Q$6:$Q$239,MATCH($C1500,MgActId,0)),"")</f>
        <v/>
      </c>
      <c r="L1500" s="64">
        <f>IFERROR(INDEX('1. Matriz de Activos'!$R$6:$R$239,MATCH($C1500,MgActId,0)),"")</f>
        <v/>
      </c>
      <c r="M1500" s="64">
        <f>IFERROR(INDEX('1. Matriz de Activos'!$S$6:$S$239,MATCH($C1500,MgActId,0)),"")</f>
        <v/>
      </c>
      <c r="N1500" s="28">
        <f>IFERROR(INDEX(MgAmenDegD,MATCH(SUBSTITUTE($H1500,"*","-"),MgAmenClave,0)),"No aplica")</f>
        <v/>
      </c>
      <c r="O1500" s="28">
        <f>IFERROR(INDEX(MgAmenDegI,MATCH(SUBSTITUTE($H1500,"*","-"),MgAmenClave,0)),"No aplica")</f>
        <v/>
      </c>
      <c r="P1500" s="28">
        <f>IFERROR(INDEX(MgAmenDegC,MATCH(SUBSTITUTE($H1500,"*","-"),MgAmenClave,0)),"No aplica")</f>
        <v/>
      </c>
      <c r="Q1500" s="29">
        <f>IFERROR(VLOOKUP(K1500,MgValor,2,0)*VLOOKUP(N1500,MgDeg,2,0),0)</f>
        <v/>
      </c>
      <c r="R1500" s="29">
        <f>IFERROR(VLOOKUP(L1500,MgValor,2,0)*VLOOKUP(O1500,MgDeg,2,0),0)</f>
        <v/>
      </c>
      <c r="S1500" s="29">
        <f>IFERROR(VLOOKUP(M1500,MgValor,2,0)*VLOOKUP(P1500,MgDeg,2,0),0)</f>
        <v/>
      </c>
      <c r="T1500" s="30">
        <f>MAX(Q1500:S1500)</f>
        <v/>
      </c>
      <c r="U1500" s="28">
        <f>IFERROR(LOOKUP(T1500,{0;0.5;1.5;3;4.5},{"Despreciable";"Bajo";"Medio";"Alto";"Muy alto"}),"")</f>
        <v/>
      </c>
      <c r="V1500" s="13">
        <f>IFERROR(INDEX(MgAmenFrec,MATCH(SUBSTITUTE($H1500,"*","-"),MgAmenClave,0)),"")</f>
        <v/>
      </c>
      <c r="W1500" s="28">
        <f>IFERROR(LOOKUP(X1500,{0;0.01;0.1;1;10;100},{"Muy baja";"Muy baja";"Baja";"Media";"Alta";"Muy alta"}),"")</f>
        <v/>
      </c>
      <c r="X1500" s="31">
        <f>IFERROR(VLOOKUP(V1500,MgFrec,2,0),0)</f>
        <v/>
      </c>
      <c r="Y1500" s="30">
        <f>T1500*X1500</f>
        <v/>
      </c>
      <c r="Z1500" s="28">
        <f>IFERROR(LOOKUP(Y1500,{0;0.5;5;25},{"Bajo";"Medio";"Alto";"Crítico"}),"")</f>
        <v/>
      </c>
      <c r="AA1500" s="64">
        <f>IF(T1500&gt;=3,IF(X1500&gt;=1,"Zona 1 — Crítica: impacto alto y ocurre al menos una vez al año","Zona 4 — Catastrófica poco probable: impacto alto pero excepcional"),IF(AND(T1500&lt;1.5,X1500&lt;1),"Zona 3 — Asumible: impacto bajo y muy poco frecuente","Zona 2 — Atención: riesgo intermedio"))</f>
        <v/>
      </c>
      <c r="AB1500" s="64">
        <f>IFERROR(INDEX(MgAmenCtrl,MATCH(SUBSTITUTE($H1500,"*","-"),MgAmenClave,0)),"")</f>
        <v/>
      </c>
      <c r="AC1500" s="20" t="n"/>
      <c r="AD1500" s="31">
        <f>IFERROR($X1500*(1-IF($AC1500="",$AL1500,VLOOKUP($AC1500,MgMad,2,0))),"")</f>
        <v/>
      </c>
      <c r="AE1500" s="28">
        <f>IFERROR(LOOKUP(AD1500,{0;0.01;0.1;1;10;100},{"Muy baja";"Muy baja";"Baja";"Media";"Alta";"Muy alta"}),"")</f>
        <v/>
      </c>
      <c r="AF1500" s="30">
        <f>T1500*AD1500</f>
        <v/>
      </c>
      <c r="AG1500" s="28">
        <f>IFERROR(LOOKUP(AF1500,{0;0.5;5;25},{"Bajo";"Medio";"Alto";"Crítico"}),"")</f>
        <v/>
      </c>
      <c r="AH1500" s="28">
        <f>IF(AG1500="","",IF(OR(AG1500="Crítico",AG1500="Alto"),"Mitigar",IF(AG1500="Medio","Mitigar","Aceptar y monitorear")))</f>
        <v/>
      </c>
      <c r="AI1500" s="21" t="n"/>
      <c r="AJ1500" s="21" t="n"/>
      <c r="AK1500" s="20" t="n"/>
      <c r="AL1500" s="77">
        <f>IFERROR(INDEX(MgAmenEfic,MATCH(SUBSTITUTE($H1500,"*","-"),MgAmenClave,0)),0)</f>
        <v/>
      </c>
    </row>
    <row r="1501" hidden="1" ht="105" customHeight="1" s="54">
      <c r="B1501" s="59" t="inlineStr">
        <is>
          <t>R-1496</t>
        </is>
      </c>
      <c r="C1501" s="59" t="inlineStr">
        <is>
          <t>GH-010</t>
        </is>
      </c>
      <c r="D1501" s="64">
        <f>IFERROR(INDEX(MgNombre,MATCH($C1501,MgActId,0)),"")</f>
        <v/>
      </c>
      <c r="E1501" s="64">
        <f>IFERROR(INDEX(MgProceso,MATCH($C1501,MgActId,0)),"")</f>
        <v/>
      </c>
      <c r="F1501" s="64">
        <f>IFERROR(INDEX(MgTipo,MATCH($C1501,MgActId,0)),"")</f>
        <v/>
      </c>
      <c r="G1501" s="64">
        <f>IFERROR(INDEX(MgSubtipo,MATCH($C1501,MgActId,0)),"")</f>
        <v/>
      </c>
      <c r="H1501" s="59" t="inlineStr">
        <is>
          <t>A.6</t>
        </is>
      </c>
      <c r="I1501" s="64">
        <f>IFERROR(INDEX(MgAmenNombre,MATCH(SUBSTITUTE($H1501,"*","-"),MgAmenClave,0)),"")</f>
        <v/>
      </c>
      <c r="J1501" s="28">
        <f>IFERROR(INDEX(MgAmenGrupo,MATCH(SUBSTITUTE($H1501,"*","-"),MgAmenClave,0)),"")</f>
        <v/>
      </c>
      <c r="K1501" s="64">
        <f>IFERROR(INDEX('1. Matriz de Activos'!$Q$6:$Q$239,MATCH($C1501,MgActId,0)),"")</f>
        <v/>
      </c>
      <c r="L1501" s="64">
        <f>IFERROR(INDEX('1. Matriz de Activos'!$R$6:$R$239,MATCH($C1501,MgActId,0)),"")</f>
        <v/>
      </c>
      <c r="M1501" s="64">
        <f>IFERROR(INDEX('1. Matriz de Activos'!$S$6:$S$239,MATCH($C1501,MgActId,0)),"")</f>
        <v/>
      </c>
      <c r="N1501" s="28">
        <f>IFERROR(INDEX(MgAmenDegD,MATCH(SUBSTITUTE($H1501,"*","-"),MgAmenClave,0)),"No aplica")</f>
        <v/>
      </c>
      <c r="O1501" s="28">
        <f>IFERROR(INDEX(MgAmenDegI,MATCH(SUBSTITUTE($H1501,"*","-"),MgAmenClave,0)),"No aplica")</f>
        <v/>
      </c>
      <c r="P1501" s="28">
        <f>IFERROR(INDEX(MgAmenDegC,MATCH(SUBSTITUTE($H1501,"*","-"),MgAmenClave,0)),"No aplica")</f>
        <v/>
      </c>
      <c r="Q1501" s="29">
        <f>IFERROR(VLOOKUP(K1501,MgValor,2,0)*VLOOKUP(N1501,MgDeg,2,0),0)</f>
        <v/>
      </c>
      <c r="R1501" s="29">
        <f>IFERROR(VLOOKUP(L1501,MgValor,2,0)*VLOOKUP(O1501,MgDeg,2,0),0)</f>
        <v/>
      </c>
      <c r="S1501" s="29">
        <f>IFERROR(VLOOKUP(M1501,MgValor,2,0)*VLOOKUP(P1501,MgDeg,2,0),0)</f>
        <v/>
      </c>
      <c r="T1501" s="30">
        <f>MAX(Q1501:S1501)</f>
        <v/>
      </c>
      <c r="U1501" s="28">
        <f>IFERROR(LOOKUP(T1501,{0;0.5;1.5;3;4.5},{"Despreciable";"Bajo";"Medio";"Alto";"Muy alto"}),"")</f>
        <v/>
      </c>
      <c r="V1501" s="13">
        <f>IFERROR(INDEX(MgAmenFrec,MATCH(SUBSTITUTE($H1501,"*","-"),MgAmenClave,0)),"")</f>
        <v/>
      </c>
      <c r="W1501" s="28">
        <f>IFERROR(LOOKUP(X1501,{0;0.01;0.1;1;10;100},{"Muy baja";"Muy baja";"Baja";"Media";"Alta";"Muy alta"}),"")</f>
        <v/>
      </c>
      <c r="X1501" s="31">
        <f>IFERROR(VLOOKUP(V1501,MgFrec,2,0),0)</f>
        <v/>
      </c>
      <c r="Y1501" s="30">
        <f>T1501*X1501</f>
        <v/>
      </c>
      <c r="Z1501" s="28">
        <f>IFERROR(LOOKUP(Y1501,{0;0.5;5;25},{"Bajo";"Medio";"Alto";"Crítico"}),"")</f>
        <v/>
      </c>
      <c r="AA1501" s="64">
        <f>IF(T1501&gt;=3,IF(X1501&gt;=1,"Zona 1 — Crítica: impacto alto y ocurre al menos una vez al año","Zona 4 — Catastrófica poco probable: impacto alto pero excepcional"),IF(AND(T1501&lt;1.5,X1501&lt;1),"Zona 3 — Asumible: impacto bajo y muy poco frecuente","Zona 2 — Atención: riesgo intermedio"))</f>
        <v/>
      </c>
      <c r="AB1501" s="64">
        <f>IFERROR(INDEX(MgAmenCtrl,MATCH(SUBSTITUTE($H1501,"*","-"),MgAmenClave,0)),"")</f>
        <v/>
      </c>
      <c r="AC1501" s="20" t="n"/>
      <c r="AD1501" s="31">
        <f>IFERROR($X1501*(1-IF($AC1501="",$AL1501,VLOOKUP($AC1501,MgMad,2,0))),"")</f>
        <v/>
      </c>
      <c r="AE1501" s="28">
        <f>IFERROR(LOOKUP(AD1501,{0;0.01;0.1;1;10;100},{"Muy baja";"Muy baja";"Baja";"Media";"Alta";"Muy alta"}),"")</f>
        <v/>
      </c>
      <c r="AF1501" s="30">
        <f>T1501*AD1501</f>
        <v/>
      </c>
      <c r="AG1501" s="28">
        <f>IFERROR(LOOKUP(AF1501,{0;0.5;5;25},{"Bajo";"Medio";"Alto";"Crítico"}),"")</f>
        <v/>
      </c>
      <c r="AH1501" s="28">
        <f>IF(AG1501="","",IF(OR(AG1501="Crítico",AG1501="Alto"),"Mitigar",IF(AG1501="Medio","Mitigar","Aceptar y monitorear")))</f>
        <v/>
      </c>
      <c r="AI1501" s="21" t="n"/>
      <c r="AJ1501" s="21" t="n"/>
      <c r="AK1501" s="20" t="n"/>
      <c r="AL1501" s="77">
        <f>IFERROR(INDEX(MgAmenEfic,MATCH(SUBSTITUTE($H1501,"*","-"),MgAmenClave,0)),0)</f>
        <v/>
      </c>
    </row>
    <row r="1502" hidden="1" ht="120" customHeight="1" s="54">
      <c r="B1502" s="59" t="inlineStr">
        <is>
          <t>R-1497</t>
        </is>
      </c>
      <c r="C1502" s="59" t="inlineStr">
        <is>
          <t>GH-010</t>
        </is>
      </c>
      <c r="D1502" s="64">
        <f>IFERROR(INDEX(MgNombre,MATCH($C1502,MgActId,0)),"")</f>
        <v/>
      </c>
      <c r="E1502" s="64">
        <f>IFERROR(INDEX(MgProceso,MATCH($C1502,MgActId,0)),"")</f>
        <v/>
      </c>
      <c r="F1502" s="64">
        <f>IFERROR(INDEX(MgTipo,MATCH($C1502,MgActId,0)),"")</f>
        <v/>
      </c>
      <c r="G1502" s="64">
        <f>IFERROR(INDEX(MgSubtipo,MATCH($C1502,MgActId,0)),"")</f>
        <v/>
      </c>
      <c r="H1502" s="59" t="inlineStr">
        <is>
          <t>A.11</t>
        </is>
      </c>
      <c r="I1502" s="64">
        <f>IFERROR(INDEX(MgAmenNombre,MATCH(SUBSTITUTE($H1502,"*","-"),MgAmenClave,0)),"")</f>
        <v/>
      </c>
      <c r="J1502" s="28">
        <f>IFERROR(INDEX(MgAmenGrupo,MATCH(SUBSTITUTE($H1502,"*","-"),MgAmenClave,0)),"")</f>
        <v/>
      </c>
      <c r="K1502" s="64">
        <f>IFERROR(INDEX('1. Matriz de Activos'!$Q$6:$Q$239,MATCH($C1502,MgActId,0)),"")</f>
        <v/>
      </c>
      <c r="L1502" s="64">
        <f>IFERROR(INDEX('1. Matriz de Activos'!$R$6:$R$239,MATCH($C1502,MgActId,0)),"")</f>
        <v/>
      </c>
      <c r="M1502" s="64">
        <f>IFERROR(INDEX('1. Matriz de Activos'!$S$6:$S$239,MATCH($C1502,MgActId,0)),"")</f>
        <v/>
      </c>
      <c r="N1502" s="28">
        <f>IFERROR(INDEX(MgAmenDegD,MATCH(SUBSTITUTE($H1502,"*","-"),MgAmenClave,0)),"No aplica")</f>
        <v/>
      </c>
      <c r="O1502" s="28">
        <f>IFERROR(INDEX(MgAmenDegI,MATCH(SUBSTITUTE($H1502,"*","-"),MgAmenClave,0)),"No aplica")</f>
        <v/>
      </c>
      <c r="P1502" s="28">
        <f>IFERROR(INDEX(MgAmenDegC,MATCH(SUBSTITUTE($H1502,"*","-"),MgAmenClave,0)),"No aplica")</f>
        <v/>
      </c>
      <c r="Q1502" s="29">
        <f>IFERROR(VLOOKUP(K1502,MgValor,2,0)*VLOOKUP(N1502,MgDeg,2,0),0)</f>
        <v/>
      </c>
      <c r="R1502" s="29">
        <f>IFERROR(VLOOKUP(L1502,MgValor,2,0)*VLOOKUP(O1502,MgDeg,2,0),0)</f>
        <v/>
      </c>
      <c r="S1502" s="29">
        <f>IFERROR(VLOOKUP(M1502,MgValor,2,0)*VLOOKUP(P1502,MgDeg,2,0),0)</f>
        <v/>
      </c>
      <c r="T1502" s="30">
        <f>MAX(Q1502:S1502)</f>
        <v/>
      </c>
      <c r="U1502" s="28">
        <f>IFERROR(LOOKUP(T1502,{0;0.5;1.5;3;4.5},{"Despreciable";"Bajo";"Medio";"Alto";"Muy alto"}),"")</f>
        <v/>
      </c>
      <c r="V1502" s="13">
        <f>IFERROR(INDEX(MgAmenFrec,MATCH(SUBSTITUTE($H1502,"*","-"),MgAmenClave,0)),"")</f>
        <v/>
      </c>
      <c r="W1502" s="28">
        <f>IFERROR(LOOKUP(X1502,{0;0.01;0.1;1;10;100},{"Muy baja";"Muy baja";"Baja";"Media";"Alta";"Muy alta"}),"")</f>
        <v/>
      </c>
      <c r="X1502" s="31">
        <f>IFERROR(VLOOKUP(V1502,MgFrec,2,0),0)</f>
        <v/>
      </c>
      <c r="Y1502" s="30">
        <f>T1502*X1502</f>
        <v/>
      </c>
      <c r="Z1502" s="28">
        <f>IFERROR(LOOKUP(Y1502,{0;0.5;5;25},{"Bajo";"Medio";"Alto";"Crítico"}),"")</f>
        <v/>
      </c>
      <c r="AA1502" s="64">
        <f>IF(T1502&gt;=3,IF(X1502&gt;=1,"Zona 1 — Crítica: impacto alto y ocurre al menos una vez al año","Zona 4 — Catastrófica poco probable: impacto alto pero excepcional"),IF(AND(T1502&lt;1.5,X1502&lt;1),"Zona 3 — Asumible: impacto bajo y muy poco frecuente","Zona 2 — Atención: riesgo intermedio"))</f>
        <v/>
      </c>
      <c r="AB1502" s="64">
        <f>IFERROR(INDEX(MgAmenCtrl,MATCH(SUBSTITUTE($H1502,"*","-"),MgAmenClave,0)),"")</f>
        <v/>
      </c>
      <c r="AC1502" s="20" t="n"/>
      <c r="AD1502" s="31">
        <f>IFERROR($X1502*(1-IF($AC1502="",$AL1502,VLOOKUP($AC1502,MgMad,2,0))),"")</f>
        <v/>
      </c>
      <c r="AE1502" s="28">
        <f>IFERROR(LOOKUP(AD1502,{0;0.01;0.1;1;10;100},{"Muy baja";"Muy baja";"Baja";"Media";"Alta";"Muy alta"}),"")</f>
        <v/>
      </c>
      <c r="AF1502" s="30">
        <f>T1502*AD1502</f>
        <v/>
      </c>
      <c r="AG1502" s="28">
        <f>IFERROR(LOOKUP(AF1502,{0;0.5;5;25},{"Bajo";"Medio";"Alto";"Crítico"}),"")</f>
        <v/>
      </c>
      <c r="AH1502" s="28">
        <f>IF(AG1502="","",IF(OR(AG1502="Crítico",AG1502="Alto"),"Mitigar",IF(AG1502="Medio","Mitigar","Aceptar y monitorear")))</f>
        <v/>
      </c>
      <c r="AI1502" s="21" t="n"/>
      <c r="AJ1502" s="21" t="n"/>
      <c r="AK1502" s="20" t="n"/>
      <c r="AL1502" s="77">
        <f>IFERROR(INDEX(MgAmenEfic,MATCH(SUBSTITUTE($H1502,"*","-"),MgAmenClave,0)),0)</f>
        <v/>
      </c>
    </row>
    <row r="1503" hidden="1" ht="90" customHeight="1" s="54">
      <c r="B1503" s="59" t="inlineStr">
        <is>
          <t>R-1498</t>
        </is>
      </c>
      <c r="C1503" s="59" t="inlineStr">
        <is>
          <t>GH-010</t>
        </is>
      </c>
      <c r="D1503" s="64">
        <f>IFERROR(INDEX(MgNombre,MATCH($C1503,MgActId,0)),"")</f>
        <v/>
      </c>
      <c r="E1503" s="64">
        <f>IFERROR(INDEX(MgProceso,MATCH($C1503,MgActId,0)),"")</f>
        <v/>
      </c>
      <c r="F1503" s="64">
        <f>IFERROR(INDEX(MgTipo,MATCH($C1503,MgActId,0)),"")</f>
        <v/>
      </c>
      <c r="G1503" s="64">
        <f>IFERROR(INDEX(MgSubtipo,MATCH($C1503,MgActId,0)),"")</f>
        <v/>
      </c>
      <c r="H1503" s="59" t="inlineStr">
        <is>
          <t>A.13</t>
        </is>
      </c>
      <c r="I1503" s="64">
        <f>IFERROR(INDEX(MgAmenNombre,MATCH(SUBSTITUTE($H1503,"*","-"),MgAmenClave,0)),"")</f>
        <v/>
      </c>
      <c r="J1503" s="28">
        <f>IFERROR(INDEX(MgAmenGrupo,MATCH(SUBSTITUTE($H1503,"*","-"),MgAmenClave,0)),"")</f>
        <v/>
      </c>
      <c r="K1503" s="64">
        <f>IFERROR(INDEX('1. Matriz de Activos'!$Q$6:$Q$239,MATCH($C1503,MgActId,0)),"")</f>
        <v/>
      </c>
      <c r="L1503" s="64">
        <f>IFERROR(INDEX('1. Matriz de Activos'!$R$6:$R$239,MATCH($C1503,MgActId,0)),"")</f>
        <v/>
      </c>
      <c r="M1503" s="64">
        <f>IFERROR(INDEX('1. Matriz de Activos'!$S$6:$S$239,MATCH($C1503,MgActId,0)),"")</f>
        <v/>
      </c>
      <c r="N1503" s="28">
        <f>IFERROR(INDEX(MgAmenDegD,MATCH(SUBSTITUTE($H1503,"*","-"),MgAmenClave,0)),"No aplica")</f>
        <v/>
      </c>
      <c r="O1503" s="28">
        <f>IFERROR(INDEX(MgAmenDegI,MATCH(SUBSTITUTE($H1503,"*","-"),MgAmenClave,0)),"No aplica")</f>
        <v/>
      </c>
      <c r="P1503" s="28">
        <f>IFERROR(INDEX(MgAmenDegC,MATCH(SUBSTITUTE($H1503,"*","-"),MgAmenClave,0)),"No aplica")</f>
        <v/>
      </c>
      <c r="Q1503" s="29">
        <f>IFERROR(VLOOKUP(K1503,MgValor,2,0)*VLOOKUP(N1503,MgDeg,2,0),0)</f>
        <v/>
      </c>
      <c r="R1503" s="29">
        <f>IFERROR(VLOOKUP(L1503,MgValor,2,0)*VLOOKUP(O1503,MgDeg,2,0),0)</f>
        <v/>
      </c>
      <c r="S1503" s="29">
        <f>IFERROR(VLOOKUP(M1503,MgValor,2,0)*VLOOKUP(P1503,MgDeg,2,0),0)</f>
        <v/>
      </c>
      <c r="T1503" s="30">
        <f>MAX(Q1503:S1503)</f>
        <v/>
      </c>
      <c r="U1503" s="28">
        <f>IFERROR(LOOKUP(T1503,{0;0.5;1.5;3;4.5},{"Despreciable";"Bajo";"Medio";"Alto";"Muy alto"}),"")</f>
        <v/>
      </c>
      <c r="V1503" s="13">
        <f>IFERROR(INDEX(MgAmenFrec,MATCH(SUBSTITUTE($H1503,"*","-"),MgAmenClave,0)),"")</f>
        <v/>
      </c>
      <c r="W1503" s="28">
        <f>IFERROR(LOOKUP(X1503,{0;0.01;0.1;1;10;100},{"Muy baja";"Muy baja";"Baja";"Media";"Alta";"Muy alta"}),"")</f>
        <v/>
      </c>
      <c r="X1503" s="31">
        <f>IFERROR(VLOOKUP(V1503,MgFrec,2,0),0)</f>
        <v/>
      </c>
      <c r="Y1503" s="30">
        <f>T1503*X1503</f>
        <v/>
      </c>
      <c r="Z1503" s="28">
        <f>IFERROR(LOOKUP(Y1503,{0;0.5;5;25},{"Bajo";"Medio";"Alto";"Crítico"}),"")</f>
        <v/>
      </c>
      <c r="AA1503" s="64">
        <f>IF(T1503&gt;=3,IF(X1503&gt;=1,"Zona 1 — Crítica: impacto alto y ocurre al menos una vez al año","Zona 4 — Catastrófica poco probable: impacto alto pero excepcional"),IF(AND(T1503&lt;1.5,X1503&lt;1),"Zona 3 — Asumible: impacto bajo y muy poco frecuente","Zona 2 — Atención: riesgo intermedio"))</f>
        <v/>
      </c>
      <c r="AB1503" s="64">
        <f>IFERROR(INDEX(MgAmenCtrl,MATCH(SUBSTITUTE($H1503,"*","-"),MgAmenClave,0)),"")</f>
        <v/>
      </c>
      <c r="AC1503" s="20" t="n"/>
      <c r="AD1503" s="31">
        <f>IFERROR($X1503*(1-IF($AC1503="",$AL1503,VLOOKUP($AC1503,MgMad,2,0))),"")</f>
        <v/>
      </c>
      <c r="AE1503" s="28">
        <f>IFERROR(LOOKUP(AD1503,{0;0.01;0.1;1;10;100},{"Muy baja";"Muy baja";"Baja";"Media";"Alta";"Muy alta"}),"")</f>
        <v/>
      </c>
      <c r="AF1503" s="30">
        <f>T1503*AD1503</f>
        <v/>
      </c>
      <c r="AG1503" s="28">
        <f>IFERROR(LOOKUP(AF1503,{0;0.5;5;25},{"Bajo";"Medio";"Alto";"Crítico"}),"")</f>
        <v/>
      </c>
      <c r="AH1503" s="28">
        <f>IF(AG1503="","",IF(OR(AG1503="Crítico",AG1503="Alto"),"Mitigar",IF(AG1503="Medio","Mitigar","Aceptar y monitorear")))</f>
        <v/>
      </c>
      <c r="AI1503" s="21" t="n"/>
      <c r="AJ1503" s="21" t="n"/>
      <c r="AK1503" s="20" t="n"/>
      <c r="AL1503" s="77">
        <f>IFERROR(INDEX(MgAmenEfic,MATCH(SUBSTITUTE($H1503,"*","-"),MgAmenClave,0)),0)</f>
        <v/>
      </c>
    </row>
    <row r="1504" hidden="1" ht="60" customHeight="1" s="54">
      <c r="B1504" s="59" t="inlineStr">
        <is>
          <t>R-1499</t>
        </is>
      </c>
      <c r="C1504" s="59" t="inlineStr">
        <is>
          <t>GH-010</t>
        </is>
      </c>
      <c r="D1504" s="64">
        <f>IFERROR(INDEX(MgNombre,MATCH($C1504,MgActId,0)),"")</f>
        <v/>
      </c>
      <c r="E1504" s="64">
        <f>IFERROR(INDEX(MgProceso,MATCH($C1504,MgActId,0)),"")</f>
        <v/>
      </c>
      <c r="F1504" s="64">
        <f>IFERROR(INDEX(MgTipo,MATCH($C1504,MgActId,0)),"")</f>
        <v/>
      </c>
      <c r="G1504" s="64">
        <f>IFERROR(INDEX(MgSubtipo,MATCH($C1504,MgActId,0)),"")</f>
        <v/>
      </c>
      <c r="H1504" s="59" t="inlineStr">
        <is>
          <t>A.15</t>
        </is>
      </c>
      <c r="I1504" s="64">
        <f>IFERROR(INDEX(MgAmenNombre,MATCH(SUBSTITUTE($H1504,"*","-"),MgAmenClave,0)),"")</f>
        <v/>
      </c>
      <c r="J1504" s="28">
        <f>IFERROR(INDEX(MgAmenGrupo,MATCH(SUBSTITUTE($H1504,"*","-"),MgAmenClave,0)),"")</f>
        <v/>
      </c>
      <c r="K1504" s="64">
        <f>IFERROR(INDEX('1. Matriz de Activos'!$Q$6:$Q$239,MATCH($C1504,MgActId,0)),"")</f>
        <v/>
      </c>
      <c r="L1504" s="64">
        <f>IFERROR(INDEX('1. Matriz de Activos'!$R$6:$R$239,MATCH($C1504,MgActId,0)),"")</f>
        <v/>
      </c>
      <c r="M1504" s="64">
        <f>IFERROR(INDEX('1. Matriz de Activos'!$S$6:$S$239,MATCH($C1504,MgActId,0)),"")</f>
        <v/>
      </c>
      <c r="N1504" s="28">
        <f>IFERROR(INDEX(MgAmenDegD,MATCH(SUBSTITUTE($H1504,"*","-"),MgAmenClave,0)),"No aplica")</f>
        <v/>
      </c>
      <c r="O1504" s="28">
        <f>IFERROR(INDEX(MgAmenDegI,MATCH(SUBSTITUTE($H1504,"*","-"),MgAmenClave,0)),"No aplica")</f>
        <v/>
      </c>
      <c r="P1504" s="28">
        <f>IFERROR(INDEX(MgAmenDegC,MATCH(SUBSTITUTE($H1504,"*","-"),MgAmenClave,0)),"No aplica")</f>
        <v/>
      </c>
      <c r="Q1504" s="29">
        <f>IFERROR(VLOOKUP(K1504,MgValor,2,0)*VLOOKUP(N1504,MgDeg,2,0),0)</f>
        <v/>
      </c>
      <c r="R1504" s="29">
        <f>IFERROR(VLOOKUP(L1504,MgValor,2,0)*VLOOKUP(O1504,MgDeg,2,0),0)</f>
        <v/>
      </c>
      <c r="S1504" s="29">
        <f>IFERROR(VLOOKUP(M1504,MgValor,2,0)*VLOOKUP(P1504,MgDeg,2,0),0)</f>
        <v/>
      </c>
      <c r="T1504" s="30">
        <f>MAX(Q1504:S1504)</f>
        <v/>
      </c>
      <c r="U1504" s="28">
        <f>IFERROR(LOOKUP(T1504,{0;0.5;1.5;3;4.5},{"Despreciable";"Bajo";"Medio";"Alto";"Muy alto"}),"")</f>
        <v/>
      </c>
      <c r="V1504" s="13">
        <f>IFERROR(INDEX(MgAmenFrec,MATCH(SUBSTITUTE($H1504,"*","-"),MgAmenClave,0)),"")</f>
        <v/>
      </c>
      <c r="W1504" s="28">
        <f>IFERROR(LOOKUP(X1504,{0;0.01;0.1;1;10;100},{"Muy baja";"Muy baja";"Baja";"Media";"Alta";"Muy alta"}),"")</f>
        <v/>
      </c>
      <c r="X1504" s="31">
        <f>IFERROR(VLOOKUP(V1504,MgFrec,2,0),0)</f>
        <v/>
      </c>
      <c r="Y1504" s="30">
        <f>T1504*X1504</f>
        <v/>
      </c>
      <c r="Z1504" s="28">
        <f>IFERROR(LOOKUP(Y1504,{0;0.5;5;25},{"Bajo";"Medio";"Alto";"Crítico"}),"")</f>
        <v/>
      </c>
      <c r="AA1504" s="64">
        <f>IF(T1504&gt;=3,IF(X1504&gt;=1,"Zona 1 — Crítica: impacto alto y ocurre al menos una vez al año","Zona 4 — Catastrófica poco probable: impacto alto pero excepcional"),IF(AND(T1504&lt;1.5,X1504&lt;1),"Zona 3 — Asumible: impacto bajo y muy poco frecuente","Zona 2 — Atención: riesgo intermedio"))</f>
        <v/>
      </c>
      <c r="AB1504" s="64">
        <f>IFERROR(INDEX(MgAmenCtrl,MATCH(SUBSTITUTE($H1504,"*","-"),MgAmenClave,0)),"")</f>
        <v/>
      </c>
      <c r="AC1504" s="20" t="n"/>
      <c r="AD1504" s="31">
        <f>IFERROR($X1504*(1-IF($AC1504="",$AL1504,VLOOKUP($AC1504,MgMad,2,0))),"")</f>
        <v/>
      </c>
      <c r="AE1504" s="28">
        <f>IFERROR(LOOKUP(AD1504,{0;0.01;0.1;1;10;100},{"Muy baja";"Muy baja";"Baja";"Media";"Alta";"Muy alta"}),"")</f>
        <v/>
      </c>
      <c r="AF1504" s="30">
        <f>T1504*AD1504</f>
        <v/>
      </c>
      <c r="AG1504" s="28">
        <f>IFERROR(LOOKUP(AF1504,{0;0.5;5;25},{"Bajo";"Medio";"Alto";"Crítico"}),"")</f>
        <v/>
      </c>
      <c r="AH1504" s="28">
        <f>IF(AG1504="","",IF(OR(AG1504="Crítico",AG1504="Alto"),"Mitigar",IF(AG1504="Medio","Mitigar","Aceptar y monitorear")))</f>
        <v/>
      </c>
      <c r="AI1504" s="21" t="n"/>
      <c r="AJ1504" s="21" t="n"/>
      <c r="AK1504" s="20" t="n"/>
      <c r="AL1504" s="77">
        <f>IFERROR(INDEX(MgAmenEfic,MATCH(SUBSTITUTE($H1504,"*","-"),MgAmenClave,0)),0)</f>
        <v/>
      </c>
    </row>
    <row r="1505" hidden="1" ht="60" customHeight="1" s="54">
      <c r="B1505" s="59" t="inlineStr">
        <is>
          <t>R-1500</t>
        </is>
      </c>
      <c r="C1505" s="59" t="inlineStr">
        <is>
          <t>GH-010</t>
        </is>
      </c>
      <c r="D1505" s="64">
        <f>IFERROR(INDEX(MgNombre,MATCH($C1505,MgActId,0)),"")</f>
        <v/>
      </c>
      <c r="E1505" s="64">
        <f>IFERROR(INDEX(MgProceso,MATCH($C1505,MgActId,0)),"")</f>
        <v/>
      </c>
      <c r="F1505" s="64">
        <f>IFERROR(INDEX(MgTipo,MATCH($C1505,MgActId,0)),"")</f>
        <v/>
      </c>
      <c r="G1505" s="64">
        <f>IFERROR(INDEX(MgSubtipo,MATCH($C1505,MgActId,0)),"")</f>
        <v/>
      </c>
      <c r="H1505" s="59" t="inlineStr">
        <is>
          <t>A.18</t>
        </is>
      </c>
      <c r="I1505" s="64">
        <f>IFERROR(INDEX(MgAmenNombre,MATCH(SUBSTITUTE($H1505,"*","-"),MgAmenClave,0)),"")</f>
        <v/>
      </c>
      <c r="J1505" s="28">
        <f>IFERROR(INDEX(MgAmenGrupo,MATCH(SUBSTITUTE($H1505,"*","-"),MgAmenClave,0)),"")</f>
        <v/>
      </c>
      <c r="K1505" s="64">
        <f>IFERROR(INDEX('1. Matriz de Activos'!$Q$6:$Q$239,MATCH($C1505,MgActId,0)),"")</f>
        <v/>
      </c>
      <c r="L1505" s="64">
        <f>IFERROR(INDEX('1. Matriz de Activos'!$R$6:$R$239,MATCH($C1505,MgActId,0)),"")</f>
        <v/>
      </c>
      <c r="M1505" s="64">
        <f>IFERROR(INDEX('1. Matriz de Activos'!$S$6:$S$239,MATCH($C1505,MgActId,0)),"")</f>
        <v/>
      </c>
      <c r="N1505" s="28">
        <f>IFERROR(INDEX(MgAmenDegD,MATCH(SUBSTITUTE($H1505,"*","-"),MgAmenClave,0)),"No aplica")</f>
        <v/>
      </c>
      <c r="O1505" s="28">
        <f>IFERROR(INDEX(MgAmenDegI,MATCH(SUBSTITUTE($H1505,"*","-"),MgAmenClave,0)),"No aplica")</f>
        <v/>
      </c>
      <c r="P1505" s="28">
        <f>IFERROR(INDEX(MgAmenDegC,MATCH(SUBSTITUTE($H1505,"*","-"),MgAmenClave,0)),"No aplica")</f>
        <v/>
      </c>
      <c r="Q1505" s="29">
        <f>IFERROR(VLOOKUP(K1505,MgValor,2,0)*VLOOKUP(N1505,MgDeg,2,0),0)</f>
        <v/>
      </c>
      <c r="R1505" s="29">
        <f>IFERROR(VLOOKUP(L1505,MgValor,2,0)*VLOOKUP(O1505,MgDeg,2,0),0)</f>
        <v/>
      </c>
      <c r="S1505" s="29">
        <f>IFERROR(VLOOKUP(M1505,MgValor,2,0)*VLOOKUP(P1505,MgDeg,2,0),0)</f>
        <v/>
      </c>
      <c r="T1505" s="30">
        <f>MAX(Q1505:S1505)</f>
        <v/>
      </c>
      <c r="U1505" s="28">
        <f>IFERROR(LOOKUP(T1505,{0;0.5;1.5;3;4.5},{"Despreciable";"Bajo";"Medio";"Alto";"Muy alto"}),"")</f>
        <v/>
      </c>
      <c r="V1505" s="13">
        <f>IFERROR(INDEX(MgAmenFrec,MATCH(SUBSTITUTE($H1505,"*","-"),MgAmenClave,0)),"")</f>
        <v/>
      </c>
      <c r="W1505" s="28">
        <f>IFERROR(LOOKUP(X1505,{0;0.01;0.1;1;10;100},{"Muy baja";"Muy baja";"Baja";"Media";"Alta";"Muy alta"}),"")</f>
        <v/>
      </c>
      <c r="X1505" s="31">
        <f>IFERROR(VLOOKUP(V1505,MgFrec,2,0),0)</f>
        <v/>
      </c>
      <c r="Y1505" s="30">
        <f>T1505*X1505</f>
        <v/>
      </c>
      <c r="Z1505" s="28">
        <f>IFERROR(LOOKUP(Y1505,{0;0.5;5;25},{"Bajo";"Medio";"Alto";"Crítico"}),"")</f>
        <v/>
      </c>
      <c r="AA1505" s="64">
        <f>IF(T1505&gt;=3,IF(X1505&gt;=1,"Zona 1 — Crítica: impacto alto y ocurre al menos una vez al año","Zona 4 — Catastrófica poco probable: impacto alto pero excepcional"),IF(AND(T1505&lt;1.5,X1505&lt;1),"Zona 3 — Asumible: impacto bajo y muy poco frecuente","Zona 2 — Atención: riesgo intermedio"))</f>
        <v/>
      </c>
      <c r="AB1505" s="64">
        <f>IFERROR(INDEX(MgAmenCtrl,MATCH(SUBSTITUTE($H1505,"*","-"),MgAmenClave,0)),"")</f>
        <v/>
      </c>
      <c r="AC1505" s="20" t="n"/>
      <c r="AD1505" s="31">
        <f>IFERROR($X1505*(1-IF($AC1505="",$AL1505,VLOOKUP($AC1505,MgMad,2,0))),"")</f>
        <v/>
      </c>
      <c r="AE1505" s="28">
        <f>IFERROR(LOOKUP(AD1505,{0;0.01;0.1;1;10;100},{"Muy baja";"Muy baja";"Baja";"Media";"Alta";"Muy alta"}),"")</f>
        <v/>
      </c>
      <c r="AF1505" s="30">
        <f>T1505*AD1505</f>
        <v/>
      </c>
      <c r="AG1505" s="28">
        <f>IFERROR(LOOKUP(AF1505,{0;0.5;5;25},{"Bajo";"Medio";"Alto";"Crítico"}),"")</f>
        <v/>
      </c>
      <c r="AH1505" s="28">
        <f>IF(AG1505="","",IF(OR(AG1505="Crítico",AG1505="Alto"),"Mitigar",IF(AG1505="Medio","Mitigar","Aceptar y monitorear")))</f>
        <v/>
      </c>
      <c r="AI1505" s="21" t="n"/>
      <c r="AJ1505" s="21" t="n"/>
      <c r="AK1505" s="20" t="n"/>
      <c r="AL1505" s="77">
        <f>IFERROR(INDEX(MgAmenEfic,MATCH(SUBSTITUTE($H1505,"*","-"),MgAmenClave,0)),0)</f>
        <v/>
      </c>
    </row>
    <row r="1506" hidden="1" ht="120" customHeight="1" s="54">
      <c r="B1506" s="59" t="inlineStr">
        <is>
          <t>R-1501</t>
        </is>
      </c>
      <c r="C1506" s="59" t="inlineStr">
        <is>
          <t>GH-010</t>
        </is>
      </c>
      <c r="D1506" s="64">
        <f>IFERROR(INDEX(MgNombre,MATCH($C1506,MgActId,0)),"")</f>
        <v/>
      </c>
      <c r="E1506" s="64">
        <f>IFERROR(INDEX(MgProceso,MATCH($C1506,MgActId,0)),"")</f>
        <v/>
      </c>
      <c r="F1506" s="64">
        <f>IFERROR(INDEX(MgTipo,MATCH($C1506,MgActId,0)),"")</f>
        <v/>
      </c>
      <c r="G1506" s="64">
        <f>IFERROR(INDEX(MgSubtipo,MATCH($C1506,MgActId,0)),"")</f>
        <v/>
      </c>
      <c r="H1506" s="59" t="inlineStr">
        <is>
          <t>A.19</t>
        </is>
      </c>
      <c r="I1506" s="64">
        <f>IFERROR(INDEX(MgAmenNombre,MATCH(SUBSTITUTE($H1506,"*","-"),MgAmenClave,0)),"")</f>
        <v/>
      </c>
      <c r="J1506" s="28">
        <f>IFERROR(INDEX(MgAmenGrupo,MATCH(SUBSTITUTE($H1506,"*","-"),MgAmenClave,0)),"")</f>
        <v/>
      </c>
      <c r="K1506" s="64">
        <f>IFERROR(INDEX('1. Matriz de Activos'!$Q$6:$Q$239,MATCH($C1506,MgActId,0)),"")</f>
        <v/>
      </c>
      <c r="L1506" s="64">
        <f>IFERROR(INDEX('1. Matriz de Activos'!$R$6:$R$239,MATCH($C1506,MgActId,0)),"")</f>
        <v/>
      </c>
      <c r="M1506" s="64">
        <f>IFERROR(INDEX('1. Matriz de Activos'!$S$6:$S$239,MATCH($C1506,MgActId,0)),"")</f>
        <v/>
      </c>
      <c r="N1506" s="28">
        <f>IFERROR(INDEX(MgAmenDegD,MATCH(SUBSTITUTE($H1506,"*","-"),MgAmenClave,0)),"No aplica")</f>
        <v/>
      </c>
      <c r="O1506" s="28">
        <f>IFERROR(INDEX(MgAmenDegI,MATCH(SUBSTITUTE($H1506,"*","-"),MgAmenClave,0)),"No aplica")</f>
        <v/>
      </c>
      <c r="P1506" s="28">
        <f>IFERROR(INDEX(MgAmenDegC,MATCH(SUBSTITUTE($H1506,"*","-"),MgAmenClave,0)),"No aplica")</f>
        <v/>
      </c>
      <c r="Q1506" s="29">
        <f>IFERROR(VLOOKUP(K1506,MgValor,2,0)*VLOOKUP(N1506,MgDeg,2,0),0)</f>
        <v/>
      </c>
      <c r="R1506" s="29">
        <f>IFERROR(VLOOKUP(L1506,MgValor,2,0)*VLOOKUP(O1506,MgDeg,2,0),0)</f>
        <v/>
      </c>
      <c r="S1506" s="29">
        <f>IFERROR(VLOOKUP(M1506,MgValor,2,0)*VLOOKUP(P1506,MgDeg,2,0),0)</f>
        <v/>
      </c>
      <c r="T1506" s="30">
        <f>MAX(Q1506:S1506)</f>
        <v/>
      </c>
      <c r="U1506" s="28">
        <f>IFERROR(LOOKUP(T1506,{0;0.5;1.5;3;4.5},{"Despreciable";"Bajo";"Medio";"Alto";"Muy alto"}),"")</f>
        <v/>
      </c>
      <c r="V1506" s="13">
        <f>IFERROR(INDEX(MgAmenFrec,MATCH(SUBSTITUTE($H1506,"*","-"),MgAmenClave,0)),"")</f>
        <v/>
      </c>
      <c r="W1506" s="28">
        <f>IFERROR(LOOKUP(X1506,{0;0.01;0.1;1;10;100},{"Muy baja";"Muy baja";"Baja";"Media";"Alta";"Muy alta"}),"")</f>
        <v/>
      </c>
      <c r="X1506" s="31">
        <f>IFERROR(VLOOKUP(V1506,MgFrec,2,0),0)</f>
        <v/>
      </c>
      <c r="Y1506" s="30">
        <f>T1506*X1506</f>
        <v/>
      </c>
      <c r="Z1506" s="28">
        <f>IFERROR(LOOKUP(Y1506,{0;0.5;5;25},{"Bajo";"Medio";"Alto";"Crítico"}),"")</f>
        <v/>
      </c>
      <c r="AA1506" s="64">
        <f>IF(T1506&gt;=3,IF(X1506&gt;=1,"Zona 1 — Crítica: impacto alto y ocurre al menos una vez al año","Zona 4 — Catastrófica poco probable: impacto alto pero excepcional"),IF(AND(T1506&lt;1.5,X1506&lt;1),"Zona 3 — Asumible: impacto bajo y muy poco frecuente","Zona 2 — Atención: riesgo intermedio"))</f>
        <v/>
      </c>
      <c r="AB1506" s="64">
        <f>IFERROR(INDEX(MgAmenCtrl,MATCH(SUBSTITUTE($H1506,"*","-"),MgAmenClave,0)),"")</f>
        <v/>
      </c>
      <c r="AC1506" s="20" t="n"/>
      <c r="AD1506" s="31">
        <f>IFERROR($X1506*(1-IF($AC1506="",$AL1506,VLOOKUP($AC1506,MgMad,2,0))),"")</f>
        <v/>
      </c>
      <c r="AE1506" s="28">
        <f>IFERROR(LOOKUP(AD1506,{0;0.01;0.1;1;10;100},{"Muy baja";"Muy baja";"Baja";"Media";"Alta";"Muy alta"}),"")</f>
        <v/>
      </c>
      <c r="AF1506" s="30">
        <f>T1506*AD1506</f>
        <v/>
      </c>
      <c r="AG1506" s="28">
        <f>IFERROR(LOOKUP(AF1506,{0;0.5;5;25},{"Bajo";"Medio";"Alto";"Crítico"}),"")</f>
        <v/>
      </c>
      <c r="AH1506" s="28">
        <f>IF(AG1506="","",IF(OR(AG1506="Crítico",AG1506="Alto"),"Mitigar",IF(AG1506="Medio","Mitigar","Aceptar y monitorear")))</f>
        <v/>
      </c>
      <c r="AI1506" s="21" t="n"/>
      <c r="AJ1506" s="21" t="n"/>
      <c r="AK1506" s="20" t="n"/>
      <c r="AL1506" s="77">
        <f>IFERROR(INDEX(MgAmenEfic,MATCH(SUBSTITUTE($H1506,"*","-"),MgAmenClave,0)),0)</f>
        <v/>
      </c>
    </row>
    <row r="1507" hidden="1" ht="105" customHeight="1" s="54">
      <c r="B1507" s="59" t="inlineStr">
        <is>
          <t>R-1502</t>
        </is>
      </c>
      <c r="C1507" s="59" t="inlineStr">
        <is>
          <t>GH-012</t>
        </is>
      </c>
      <c r="D1507" s="64">
        <f>IFERROR(INDEX(MgNombre,MATCH($C1507,MgActId,0)),"")</f>
        <v/>
      </c>
      <c r="E1507" s="64">
        <f>IFERROR(INDEX(MgProceso,MATCH($C1507,MgActId,0)),"")</f>
        <v/>
      </c>
      <c r="F1507" s="64">
        <f>IFERROR(INDEX(MgTipo,MATCH($C1507,MgActId,0)),"")</f>
        <v/>
      </c>
      <c r="G1507" s="64">
        <f>IFERROR(INDEX(MgSubtipo,MATCH($C1507,MgActId,0)),"")</f>
        <v/>
      </c>
      <c r="H1507" s="59" t="inlineStr">
        <is>
          <t>E.1</t>
        </is>
      </c>
      <c r="I1507" s="64">
        <f>IFERROR(INDEX(MgAmenNombre,MATCH(SUBSTITUTE($H1507,"*","-"),MgAmenClave,0)),"")</f>
        <v/>
      </c>
      <c r="J1507" s="28">
        <f>IFERROR(INDEX(MgAmenGrupo,MATCH(SUBSTITUTE($H1507,"*","-"),MgAmenClave,0)),"")</f>
        <v/>
      </c>
      <c r="K1507" s="64">
        <f>IFERROR(INDEX('1. Matriz de Activos'!$Q$6:$Q$239,MATCH($C1507,MgActId,0)),"")</f>
        <v/>
      </c>
      <c r="L1507" s="64">
        <f>IFERROR(INDEX('1. Matriz de Activos'!$R$6:$R$239,MATCH($C1507,MgActId,0)),"")</f>
        <v/>
      </c>
      <c r="M1507" s="64">
        <f>IFERROR(INDEX('1. Matriz de Activos'!$S$6:$S$239,MATCH($C1507,MgActId,0)),"")</f>
        <v/>
      </c>
      <c r="N1507" s="28">
        <f>IFERROR(INDEX(MgAmenDegD,MATCH(SUBSTITUTE($H1507,"*","-"),MgAmenClave,0)),"No aplica")</f>
        <v/>
      </c>
      <c r="O1507" s="28">
        <f>IFERROR(INDEX(MgAmenDegI,MATCH(SUBSTITUTE($H1507,"*","-"),MgAmenClave,0)),"No aplica")</f>
        <v/>
      </c>
      <c r="P1507" s="28">
        <f>IFERROR(INDEX(MgAmenDegC,MATCH(SUBSTITUTE($H1507,"*","-"),MgAmenClave,0)),"No aplica")</f>
        <v/>
      </c>
      <c r="Q1507" s="29">
        <f>IFERROR(VLOOKUP(K1507,MgValor,2,0)*VLOOKUP(N1507,MgDeg,2,0),0)</f>
        <v/>
      </c>
      <c r="R1507" s="29">
        <f>IFERROR(VLOOKUP(L1507,MgValor,2,0)*VLOOKUP(O1507,MgDeg,2,0),0)</f>
        <v/>
      </c>
      <c r="S1507" s="29">
        <f>IFERROR(VLOOKUP(M1507,MgValor,2,0)*VLOOKUP(P1507,MgDeg,2,0),0)</f>
        <v/>
      </c>
      <c r="T1507" s="30">
        <f>MAX(Q1507:S1507)</f>
        <v/>
      </c>
      <c r="U1507" s="28">
        <f>IFERROR(LOOKUP(T1507,{0;0.5;1.5;3;4.5},{"Despreciable";"Bajo";"Medio";"Alto";"Muy alto"}),"")</f>
        <v/>
      </c>
      <c r="V1507" s="13">
        <f>IFERROR(INDEX(MgAmenFrec,MATCH(SUBSTITUTE($H1507,"*","-"),MgAmenClave,0)),"")</f>
        <v/>
      </c>
      <c r="W1507" s="28">
        <f>IFERROR(LOOKUP(X1507,{0;0.01;0.1;1;10;100},{"Muy baja";"Muy baja";"Baja";"Media";"Alta";"Muy alta"}),"")</f>
        <v/>
      </c>
      <c r="X1507" s="31">
        <f>IFERROR(VLOOKUP(V1507,MgFrec,2,0),0)</f>
        <v/>
      </c>
      <c r="Y1507" s="30">
        <f>T1507*X1507</f>
        <v/>
      </c>
      <c r="Z1507" s="28">
        <f>IFERROR(LOOKUP(Y1507,{0;0.5;5;25},{"Bajo";"Medio";"Alto";"Crítico"}),"")</f>
        <v/>
      </c>
      <c r="AA1507" s="64">
        <f>IF(T1507&gt;=3,IF(X1507&gt;=1,"Zona 1 — Crítica: impacto alto y ocurre al menos una vez al año","Zona 4 — Catastrófica poco probable: impacto alto pero excepcional"),IF(AND(T1507&lt;1.5,X1507&lt;1),"Zona 3 — Asumible: impacto bajo y muy poco frecuente","Zona 2 — Atención: riesgo intermedio"))</f>
        <v/>
      </c>
      <c r="AB1507" s="64">
        <f>IFERROR(INDEX(MgAmenCtrl,MATCH(SUBSTITUTE($H1507,"*","-"),MgAmenClave,0)),"")</f>
        <v/>
      </c>
      <c r="AC1507" s="20" t="n"/>
      <c r="AD1507" s="31">
        <f>IFERROR($X1507*(1-IF($AC1507="",$AL1507,VLOOKUP($AC1507,MgMad,2,0))),"")</f>
        <v/>
      </c>
      <c r="AE1507" s="28">
        <f>IFERROR(LOOKUP(AD1507,{0;0.01;0.1;1;10;100},{"Muy baja";"Muy baja";"Baja";"Media";"Alta";"Muy alta"}),"")</f>
        <v/>
      </c>
      <c r="AF1507" s="30">
        <f>T1507*AD1507</f>
        <v/>
      </c>
      <c r="AG1507" s="28">
        <f>IFERROR(LOOKUP(AF1507,{0;0.5;5;25},{"Bajo";"Medio";"Alto";"Crítico"}),"")</f>
        <v/>
      </c>
      <c r="AH1507" s="28">
        <f>IF(AG1507="","",IF(OR(AG1507="Crítico",AG1507="Alto"),"Mitigar",IF(AG1507="Medio","Mitigar","Aceptar y monitorear")))</f>
        <v/>
      </c>
      <c r="AI1507" s="21" t="n"/>
      <c r="AJ1507" s="21" t="n"/>
      <c r="AK1507" s="20" t="n"/>
      <c r="AL1507" s="77">
        <f>IFERROR(INDEX(MgAmenEfic,MATCH(SUBSTITUTE($H1507,"*","-"),MgAmenClave,0)),0)</f>
        <v/>
      </c>
    </row>
    <row r="1508" hidden="1" ht="120" customHeight="1" s="54">
      <c r="B1508" s="59" t="inlineStr">
        <is>
          <t>R-1503</t>
        </is>
      </c>
      <c r="C1508" s="59" t="inlineStr">
        <is>
          <t>GH-012</t>
        </is>
      </c>
      <c r="D1508" s="64">
        <f>IFERROR(INDEX(MgNombre,MATCH($C1508,MgActId,0)),"")</f>
        <v/>
      </c>
      <c r="E1508" s="64">
        <f>IFERROR(INDEX(MgProceso,MATCH($C1508,MgActId,0)),"")</f>
        <v/>
      </c>
      <c r="F1508" s="64">
        <f>IFERROR(INDEX(MgTipo,MATCH($C1508,MgActId,0)),"")</f>
        <v/>
      </c>
      <c r="G1508" s="64">
        <f>IFERROR(INDEX(MgSubtipo,MATCH($C1508,MgActId,0)),"")</f>
        <v/>
      </c>
      <c r="H1508" s="59" t="inlineStr">
        <is>
          <t>E.2</t>
        </is>
      </c>
      <c r="I1508" s="64">
        <f>IFERROR(INDEX(MgAmenNombre,MATCH(SUBSTITUTE($H1508,"*","-"),MgAmenClave,0)),"")</f>
        <v/>
      </c>
      <c r="J1508" s="28">
        <f>IFERROR(INDEX(MgAmenGrupo,MATCH(SUBSTITUTE($H1508,"*","-"),MgAmenClave,0)),"")</f>
        <v/>
      </c>
      <c r="K1508" s="64">
        <f>IFERROR(INDEX('1. Matriz de Activos'!$Q$6:$Q$239,MATCH($C1508,MgActId,0)),"")</f>
        <v/>
      </c>
      <c r="L1508" s="64">
        <f>IFERROR(INDEX('1. Matriz de Activos'!$R$6:$R$239,MATCH($C1508,MgActId,0)),"")</f>
        <v/>
      </c>
      <c r="M1508" s="64">
        <f>IFERROR(INDEX('1. Matriz de Activos'!$S$6:$S$239,MATCH($C1508,MgActId,0)),"")</f>
        <v/>
      </c>
      <c r="N1508" s="28">
        <f>IFERROR(INDEX(MgAmenDegD,MATCH(SUBSTITUTE($H1508,"*","-"),MgAmenClave,0)),"No aplica")</f>
        <v/>
      </c>
      <c r="O1508" s="28">
        <f>IFERROR(INDEX(MgAmenDegI,MATCH(SUBSTITUTE($H1508,"*","-"),MgAmenClave,0)),"No aplica")</f>
        <v/>
      </c>
      <c r="P1508" s="28">
        <f>IFERROR(INDEX(MgAmenDegC,MATCH(SUBSTITUTE($H1508,"*","-"),MgAmenClave,0)),"No aplica")</f>
        <v/>
      </c>
      <c r="Q1508" s="29">
        <f>IFERROR(VLOOKUP(K1508,MgValor,2,0)*VLOOKUP(N1508,MgDeg,2,0),0)</f>
        <v/>
      </c>
      <c r="R1508" s="29">
        <f>IFERROR(VLOOKUP(L1508,MgValor,2,0)*VLOOKUP(O1508,MgDeg,2,0),0)</f>
        <v/>
      </c>
      <c r="S1508" s="29">
        <f>IFERROR(VLOOKUP(M1508,MgValor,2,0)*VLOOKUP(P1508,MgDeg,2,0),0)</f>
        <v/>
      </c>
      <c r="T1508" s="30">
        <f>MAX(Q1508:S1508)</f>
        <v/>
      </c>
      <c r="U1508" s="28">
        <f>IFERROR(LOOKUP(T1508,{0;0.5;1.5;3;4.5},{"Despreciable";"Bajo";"Medio";"Alto";"Muy alto"}),"")</f>
        <v/>
      </c>
      <c r="V1508" s="13">
        <f>IFERROR(INDEX(MgAmenFrec,MATCH(SUBSTITUTE($H1508,"*","-"),MgAmenClave,0)),"")</f>
        <v/>
      </c>
      <c r="W1508" s="28">
        <f>IFERROR(LOOKUP(X1508,{0;0.01;0.1;1;10;100},{"Muy baja";"Muy baja";"Baja";"Media";"Alta";"Muy alta"}),"")</f>
        <v/>
      </c>
      <c r="X1508" s="31">
        <f>IFERROR(VLOOKUP(V1508,MgFrec,2,0),0)</f>
        <v/>
      </c>
      <c r="Y1508" s="30">
        <f>T1508*X1508</f>
        <v/>
      </c>
      <c r="Z1508" s="28">
        <f>IFERROR(LOOKUP(Y1508,{0;0.5;5;25},{"Bajo";"Medio";"Alto";"Crítico"}),"")</f>
        <v/>
      </c>
      <c r="AA1508" s="64">
        <f>IF(T1508&gt;=3,IF(X1508&gt;=1,"Zona 1 — Crítica: impacto alto y ocurre al menos una vez al año","Zona 4 — Catastrófica poco probable: impacto alto pero excepcional"),IF(AND(T1508&lt;1.5,X1508&lt;1),"Zona 3 — Asumible: impacto bajo y muy poco frecuente","Zona 2 — Atención: riesgo intermedio"))</f>
        <v/>
      </c>
      <c r="AB1508" s="64">
        <f>IFERROR(INDEX(MgAmenCtrl,MATCH(SUBSTITUTE($H1508,"*","-"),MgAmenClave,0)),"")</f>
        <v/>
      </c>
      <c r="AC1508" s="20" t="n"/>
      <c r="AD1508" s="31">
        <f>IFERROR($X1508*(1-IF($AC1508="",$AL1508,VLOOKUP($AC1508,MgMad,2,0))),"")</f>
        <v/>
      </c>
      <c r="AE1508" s="28">
        <f>IFERROR(LOOKUP(AD1508,{0;0.01;0.1;1;10;100},{"Muy baja";"Muy baja";"Baja";"Media";"Alta";"Muy alta"}),"")</f>
        <v/>
      </c>
      <c r="AF1508" s="30">
        <f>T1508*AD1508</f>
        <v/>
      </c>
      <c r="AG1508" s="28">
        <f>IFERROR(LOOKUP(AF1508,{0;0.5;5;25},{"Bajo";"Medio";"Alto";"Crítico"}),"")</f>
        <v/>
      </c>
      <c r="AH1508" s="28">
        <f>IF(AG1508="","",IF(OR(AG1508="Crítico",AG1508="Alto"),"Mitigar",IF(AG1508="Medio","Mitigar","Aceptar y monitorear")))</f>
        <v/>
      </c>
      <c r="AI1508" s="21" t="n"/>
      <c r="AJ1508" s="21" t="n"/>
      <c r="AK1508" s="20" t="n"/>
      <c r="AL1508" s="77">
        <f>IFERROR(INDEX(MgAmenEfic,MATCH(SUBSTITUTE($H1508,"*","-"),MgAmenClave,0)),0)</f>
        <v/>
      </c>
    </row>
    <row r="1509" hidden="1" ht="75" customHeight="1" s="54">
      <c r="B1509" s="59" t="inlineStr">
        <is>
          <t>R-1504</t>
        </is>
      </c>
      <c r="C1509" s="59" t="inlineStr">
        <is>
          <t>GH-012</t>
        </is>
      </c>
      <c r="D1509" s="64">
        <f>IFERROR(INDEX(MgNombre,MATCH($C1509,MgActId,0)),"")</f>
        <v/>
      </c>
      <c r="E1509" s="64">
        <f>IFERROR(INDEX(MgProceso,MATCH($C1509,MgActId,0)),"")</f>
        <v/>
      </c>
      <c r="F1509" s="64">
        <f>IFERROR(INDEX(MgTipo,MATCH($C1509,MgActId,0)),"")</f>
        <v/>
      </c>
      <c r="G1509" s="64">
        <f>IFERROR(INDEX(MgSubtipo,MATCH($C1509,MgActId,0)),"")</f>
        <v/>
      </c>
      <c r="H1509" s="59" t="inlineStr">
        <is>
          <t>E.3</t>
        </is>
      </c>
      <c r="I1509" s="64">
        <f>IFERROR(INDEX(MgAmenNombre,MATCH(SUBSTITUTE($H1509,"*","-"),MgAmenClave,0)),"")</f>
        <v/>
      </c>
      <c r="J1509" s="28">
        <f>IFERROR(INDEX(MgAmenGrupo,MATCH(SUBSTITUTE($H1509,"*","-"),MgAmenClave,0)),"")</f>
        <v/>
      </c>
      <c r="K1509" s="64">
        <f>IFERROR(INDEX('1. Matriz de Activos'!$Q$6:$Q$239,MATCH($C1509,MgActId,0)),"")</f>
        <v/>
      </c>
      <c r="L1509" s="64">
        <f>IFERROR(INDEX('1. Matriz de Activos'!$R$6:$R$239,MATCH($C1509,MgActId,0)),"")</f>
        <v/>
      </c>
      <c r="M1509" s="64">
        <f>IFERROR(INDEX('1. Matriz de Activos'!$S$6:$S$239,MATCH($C1509,MgActId,0)),"")</f>
        <v/>
      </c>
      <c r="N1509" s="28">
        <f>IFERROR(INDEX(MgAmenDegD,MATCH(SUBSTITUTE($H1509,"*","-"),MgAmenClave,0)),"No aplica")</f>
        <v/>
      </c>
      <c r="O1509" s="28">
        <f>IFERROR(INDEX(MgAmenDegI,MATCH(SUBSTITUTE($H1509,"*","-"),MgAmenClave,0)),"No aplica")</f>
        <v/>
      </c>
      <c r="P1509" s="28">
        <f>IFERROR(INDEX(MgAmenDegC,MATCH(SUBSTITUTE($H1509,"*","-"),MgAmenClave,0)),"No aplica")</f>
        <v/>
      </c>
      <c r="Q1509" s="29">
        <f>IFERROR(VLOOKUP(K1509,MgValor,2,0)*VLOOKUP(N1509,MgDeg,2,0),0)</f>
        <v/>
      </c>
      <c r="R1509" s="29">
        <f>IFERROR(VLOOKUP(L1509,MgValor,2,0)*VLOOKUP(O1509,MgDeg,2,0),0)</f>
        <v/>
      </c>
      <c r="S1509" s="29">
        <f>IFERROR(VLOOKUP(M1509,MgValor,2,0)*VLOOKUP(P1509,MgDeg,2,0),0)</f>
        <v/>
      </c>
      <c r="T1509" s="30">
        <f>MAX(Q1509:S1509)</f>
        <v/>
      </c>
      <c r="U1509" s="28">
        <f>IFERROR(LOOKUP(T1509,{0;0.5;1.5;3;4.5},{"Despreciable";"Bajo";"Medio";"Alto";"Muy alto"}),"")</f>
        <v/>
      </c>
      <c r="V1509" s="13">
        <f>IFERROR(INDEX(MgAmenFrec,MATCH(SUBSTITUTE($H1509,"*","-"),MgAmenClave,0)),"")</f>
        <v/>
      </c>
      <c r="W1509" s="28">
        <f>IFERROR(LOOKUP(X1509,{0;0.01;0.1;1;10;100},{"Muy baja";"Muy baja";"Baja";"Media";"Alta";"Muy alta"}),"")</f>
        <v/>
      </c>
      <c r="X1509" s="31">
        <f>IFERROR(VLOOKUP(V1509,MgFrec,2,0),0)</f>
        <v/>
      </c>
      <c r="Y1509" s="30">
        <f>T1509*X1509</f>
        <v/>
      </c>
      <c r="Z1509" s="28">
        <f>IFERROR(LOOKUP(Y1509,{0;0.5;5;25},{"Bajo";"Medio";"Alto";"Crítico"}),"")</f>
        <v/>
      </c>
      <c r="AA1509" s="64">
        <f>IF(T1509&gt;=3,IF(X1509&gt;=1,"Zona 1 — Crítica: impacto alto y ocurre al menos una vez al año","Zona 4 — Catastrófica poco probable: impacto alto pero excepcional"),IF(AND(T1509&lt;1.5,X1509&lt;1),"Zona 3 — Asumible: impacto bajo y muy poco frecuente","Zona 2 — Atención: riesgo intermedio"))</f>
        <v/>
      </c>
      <c r="AB1509" s="64">
        <f>IFERROR(INDEX(MgAmenCtrl,MATCH(SUBSTITUTE($H1509,"*","-"),MgAmenClave,0)),"")</f>
        <v/>
      </c>
      <c r="AC1509" s="20" t="n"/>
      <c r="AD1509" s="31">
        <f>IFERROR($X1509*(1-IF($AC1509="",$AL1509,VLOOKUP($AC1509,MgMad,2,0))),"")</f>
        <v/>
      </c>
      <c r="AE1509" s="28">
        <f>IFERROR(LOOKUP(AD1509,{0;0.01;0.1;1;10;100},{"Muy baja";"Muy baja";"Baja";"Media";"Alta";"Muy alta"}),"")</f>
        <v/>
      </c>
      <c r="AF1509" s="30">
        <f>T1509*AD1509</f>
        <v/>
      </c>
      <c r="AG1509" s="28">
        <f>IFERROR(LOOKUP(AF1509,{0;0.5;5;25},{"Bajo";"Medio";"Alto";"Crítico"}),"")</f>
        <v/>
      </c>
      <c r="AH1509" s="28">
        <f>IF(AG1509="","",IF(OR(AG1509="Crítico",AG1509="Alto"),"Mitigar",IF(AG1509="Medio","Mitigar","Aceptar y monitorear")))</f>
        <v/>
      </c>
      <c r="AI1509" s="21" t="n"/>
      <c r="AJ1509" s="21" t="n"/>
      <c r="AK1509" s="20" t="n"/>
      <c r="AL1509" s="77">
        <f>IFERROR(INDEX(MgAmenEfic,MATCH(SUBSTITUTE($H1509,"*","-"),MgAmenClave,0)),0)</f>
        <v/>
      </c>
    </row>
    <row r="1510" hidden="1" ht="75" customHeight="1" s="54">
      <c r="B1510" s="59" t="inlineStr">
        <is>
          <t>R-1505</t>
        </is>
      </c>
      <c r="C1510" s="59" t="inlineStr">
        <is>
          <t>GH-012</t>
        </is>
      </c>
      <c r="D1510" s="64">
        <f>IFERROR(INDEX(MgNombre,MATCH($C1510,MgActId,0)),"")</f>
        <v/>
      </c>
      <c r="E1510" s="64">
        <f>IFERROR(INDEX(MgProceso,MATCH($C1510,MgActId,0)),"")</f>
        <v/>
      </c>
      <c r="F1510" s="64">
        <f>IFERROR(INDEX(MgTipo,MATCH($C1510,MgActId,0)),"")</f>
        <v/>
      </c>
      <c r="G1510" s="64">
        <f>IFERROR(INDEX(MgSubtipo,MATCH($C1510,MgActId,0)),"")</f>
        <v/>
      </c>
      <c r="H1510" s="59" t="inlineStr">
        <is>
          <t>E.4</t>
        </is>
      </c>
      <c r="I1510" s="64">
        <f>IFERROR(INDEX(MgAmenNombre,MATCH(SUBSTITUTE($H1510,"*","-"),MgAmenClave,0)),"")</f>
        <v/>
      </c>
      <c r="J1510" s="28">
        <f>IFERROR(INDEX(MgAmenGrupo,MATCH(SUBSTITUTE($H1510,"*","-"),MgAmenClave,0)),"")</f>
        <v/>
      </c>
      <c r="K1510" s="64">
        <f>IFERROR(INDEX('1. Matriz de Activos'!$Q$6:$Q$239,MATCH($C1510,MgActId,0)),"")</f>
        <v/>
      </c>
      <c r="L1510" s="64">
        <f>IFERROR(INDEX('1. Matriz de Activos'!$R$6:$R$239,MATCH($C1510,MgActId,0)),"")</f>
        <v/>
      </c>
      <c r="M1510" s="64">
        <f>IFERROR(INDEX('1. Matriz de Activos'!$S$6:$S$239,MATCH($C1510,MgActId,0)),"")</f>
        <v/>
      </c>
      <c r="N1510" s="28">
        <f>IFERROR(INDEX(MgAmenDegD,MATCH(SUBSTITUTE($H1510,"*","-"),MgAmenClave,0)),"No aplica")</f>
        <v/>
      </c>
      <c r="O1510" s="28">
        <f>IFERROR(INDEX(MgAmenDegI,MATCH(SUBSTITUTE($H1510,"*","-"),MgAmenClave,0)),"No aplica")</f>
        <v/>
      </c>
      <c r="P1510" s="28">
        <f>IFERROR(INDEX(MgAmenDegC,MATCH(SUBSTITUTE($H1510,"*","-"),MgAmenClave,0)),"No aplica")</f>
        <v/>
      </c>
      <c r="Q1510" s="29">
        <f>IFERROR(VLOOKUP(K1510,MgValor,2,0)*VLOOKUP(N1510,MgDeg,2,0),0)</f>
        <v/>
      </c>
      <c r="R1510" s="29">
        <f>IFERROR(VLOOKUP(L1510,MgValor,2,0)*VLOOKUP(O1510,MgDeg,2,0),0)</f>
        <v/>
      </c>
      <c r="S1510" s="29">
        <f>IFERROR(VLOOKUP(M1510,MgValor,2,0)*VLOOKUP(P1510,MgDeg,2,0),0)</f>
        <v/>
      </c>
      <c r="T1510" s="30">
        <f>MAX(Q1510:S1510)</f>
        <v/>
      </c>
      <c r="U1510" s="28">
        <f>IFERROR(LOOKUP(T1510,{0;0.5;1.5;3;4.5},{"Despreciable";"Bajo";"Medio";"Alto";"Muy alto"}),"")</f>
        <v/>
      </c>
      <c r="V1510" s="13">
        <f>IFERROR(INDEX(MgAmenFrec,MATCH(SUBSTITUTE($H1510,"*","-"),MgAmenClave,0)),"")</f>
        <v/>
      </c>
      <c r="W1510" s="28">
        <f>IFERROR(LOOKUP(X1510,{0;0.01;0.1;1;10;100},{"Muy baja";"Muy baja";"Baja";"Media";"Alta";"Muy alta"}),"")</f>
        <v/>
      </c>
      <c r="X1510" s="31">
        <f>IFERROR(VLOOKUP(V1510,MgFrec,2,0),0)</f>
        <v/>
      </c>
      <c r="Y1510" s="30">
        <f>T1510*X1510</f>
        <v/>
      </c>
      <c r="Z1510" s="28">
        <f>IFERROR(LOOKUP(Y1510,{0;0.5;5;25},{"Bajo";"Medio";"Alto";"Crítico"}),"")</f>
        <v/>
      </c>
      <c r="AA1510" s="64">
        <f>IF(T1510&gt;=3,IF(X1510&gt;=1,"Zona 1 — Crítica: impacto alto y ocurre al menos una vez al año","Zona 4 — Catastrófica poco probable: impacto alto pero excepcional"),IF(AND(T1510&lt;1.5,X1510&lt;1),"Zona 3 — Asumible: impacto bajo y muy poco frecuente","Zona 2 — Atención: riesgo intermedio"))</f>
        <v/>
      </c>
      <c r="AB1510" s="64">
        <f>IFERROR(INDEX(MgAmenCtrl,MATCH(SUBSTITUTE($H1510,"*","-"),MgAmenClave,0)),"")</f>
        <v/>
      </c>
      <c r="AC1510" s="20" t="n"/>
      <c r="AD1510" s="31">
        <f>IFERROR($X1510*(1-IF($AC1510="",$AL1510,VLOOKUP($AC1510,MgMad,2,0))),"")</f>
        <v/>
      </c>
      <c r="AE1510" s="28">
        <f>IFERROR(LOOKUP(AD1510,{0;0.01;0.1;1;10;100},{"Muy baja";"Muy baja";"Baja";"Media";"Alta";"Muy alta"}),"")</f>
        <v/>
      </c>
      <c r="AF1510" s="30">
        <f>T1510*AD1510</f>
        <v/>
      </c>
      <c r="AG1510" s="28">
        <f>IFERROR(LOOKUP(AF1510,{0;0.5;5;25},{"Bajo";"Medio";"Alto";"Crítico"}),"")</f>
        <v/>
      </c>
      <c r="AH1510" s="28">
        <f>IF(AG1510="","",IF(OR(AG1510="Crítico",AG1510="Alto"),"Mitigar",IF(AG1510="Medio","Mitigar","Aceptar y monitorear")))</f>
        <v/>
      </c>
      <c r="AI1510" s="21" t="n"/>
      <c r="AJ1510" s="21" t="n"/>
      <c r="AK1510" s="20" t="n"/>
      <c r="AL1510" s="77">
        <f>IFERROR(INDEX(MgAmenEfic,MATCH(SUBSTITUTE($H1510,"*","-"),MgAmenClave,0)),0)</f>
        <v/>
      </c>
    </row>
    <row r="1511" hidden="1" ht="90" customHeight="1" s="54">
      <c r="B1511" s="59" t="inlineStr">
        <is>
          <t>R-1506</t>
        </is>
      </c>
      <c r="C1511" s="59" t="inlineStr">
        <is>
          <t>GH-012</t>
        </is>
      </c>
      <c r="D1511" s="64">
        <f>IFERROR(INDEX(MgNombre,MATCH($C1511,MgActId,0)),"")</f>
        <v/>
      </c>
      <c r="E1511" s="64">
        <f>IFERROR(INDEX(MgProceso,MATCH($C1511,MgActId,0)),"")</f>
        <v/>
      </c>
      <c r="F1511" s="64">
        <f>IFERROR(INDEX(MgTipo,MATCH($C1511,MgActId,0)),"")</f>
        <v/>
      </c>
      <c r="G1511" s="64">
        <f>IFERROR(INDEX(MgSubtipo,MATCH($C1511,MgActId,0)),"")</f>
        <v/>
      </c>
      <c r="H1511" s="59" t="inlineStr">
        <is>
          <t>E.14</t>
        </is>
      </c>
      <c r="I1511" s="64">
        <f>IFERROR(INDEX(MgAmenNombre,MATCH(SUBSTITUTE($H1511,"*","-"),MgAmenClave,0)),"")</f>
        <v/>
      </c>
      <c r="J1511" s="28">
        <f>IFERROR(INDEX(MgAmenGrupo,MATCH(SUBSTITUTE($H1511,"*","-"),MgAmenClave,0)),"")</f>
        <v/>
      </c>
      <c r="K1511" s="64">
        <f>IFERROR(INDEX('1. Matriz de Activos'!$Q$6:$Q$239,MATCH($C1511,MgActId,0)),"")</f>
        <v/>
      </c>
      <c r="L1511" s="64">
        <f>IFERROR(INDEX('1. Matriz de Activos'!$R$6:$R$239,MATCH($C1511,MgActId,0)),"")</f>
        <v/>
      </c>
      <c r="M1511" s="64">
        <f>IFERROR(INDEX('1. Matriz de Activos'!$S$6:$S$239,MATCH($C1511,MgActId,0)),"")</f>
        <v/>
      </c>
      <c r="N1511" s="28">
        <f>IFERROR(INDEX(MgAmenDegD,MATCH(SUBSTITUTE($H1511,"*","-"),MgAmenClave,0)),"No aplica")</f>
        <v/>
      </c>
      <c r="O1511" s="28">
        <f>IFERROR(INDEX(MgAmenDegI,MATCH(SUBSTITUTE($H1511,"*","-"),MgAmenClave,0)),"No aplica")</f>
        <v/>
      </c>
      <c r="P1511" s="28">
        <f>IFERROR(INDEX(MgAmenDegC,MATCH(SUBSTITUTE($H1511,"*","-"),MgAmenClave,0)),"No aplica")</f>
        <v/>
      </c>
      <c r="Q1511" s="29">
        <f>IFERROR(VLOOKUP(K1511,MgValor,2,0)*VLOOKUP(N1511,MgDeg,2,0),0)</f>
        <v/>
      </c>
      <c r="R1511" s="29">
        <f>IFERROR(VLOOKUP(L1511,MgValor,2,0)*VLOOKUP(O1511,MgDeg,2,0),0)</f>
        <v/>
      </c>
      <c r="S1511" s="29">
        <f>IFERROR(VLOOKUP(M1511,MgValor,2,0)*VLOOKUP(P1511,MgDeg,2,0),0)</f>
        <v/>
      </c>
      <c r="T1511" s="30">
        <f>MAX(Q1511:S1511)</f>
        <v/>
      </c>
      <c r="U1511" s="28">
        <f>IFERROR(LOOKUP(T1511,{0;0.5;1.5;3;4.5},{"Despreciable";"Bajo";"Medio";"Alto";"Muy alto"}),"")</f>
        <v/>
      </c>
      <c r="V1511" s="13">
        <f>IFERROR(INDEX(MgAmenFrec,MATCH(SUBSTITUTE($H1511,"*","-"),MgAmenClave,0)),"")</f>
        <v/>
      </c>
      <c r="W1511" s="28">
        <f>IFERROR(LOOKUP(X1511,{0;0.01;0.1;1;10;100},{"Muy baja";"Muy baja";"Baja";"Media";"Alta";"Muy alta"}),"")</f>
        <v/>
      </c>
      <c r="X1511" s="31">
        <f>IFERROR(VLOOKUP(V1511,MgFrec,2,0),0)</f>
        <v/>
      </c>
      <c r="Y1511" s="30">
        <f>T1511*X1511</f>
        <v/>
      </c>
      <c r="Z1511" s="28">
        <f>IFERROR(LOOKUP(Y1511,{0;0.5;5;25},{"Bajo";"Medio";"Alto";"Crítico"}),"")</f>
        <v/>
      </c>
      <c r="AA1511" s="64">
        <f>IF(T1511&gt;=3,IF(X1511&gt;=1,"Zona 1 — Crítica: impacto alto y ocurre al menos una vez al año","Zona 4 — Catastrófica poco probable: impacto alto pero excepcional"),IF(AND(T1511&lt;1.5,X1511&lt;1),"Zona 3 — Asumible: impacto bajo y muy poco frecuente","Zona 2 — Atención: riesgo intermedio"))</f>
        <v/>
      </c>
      <c r="AB1511" s="64">
        <f>IFERROR(INDEX(MgAmenCtrl,MATCH(SUBSTITUTE($H1511,"*","-"),MgAmenClave,0)),"")</f>
        <v/>
      </c>
      <c r="AC1511" s="20" t="n"/>
      <c r="AD1511" s="31">
        <f>IFERROR($X1511*(1-IF($AC1511="",$AL1511,VLOOKUP($AC1511,MgMad,2,0))),"")</f>
        <v/>
      </c>
      <c r="AE1511" s="28">
        <f>IFERROR(LOOKUP(AD1511,{0;0.01;0.1;1;10;100},{"Muy baja";"Muy baja";"Baja";"Media";"Alta";"Muy alta"}),"")</f>
        <v/>
      </c>
      <c r="AF1511" s="30">
        <f>T1511*AD1511</f>
        <v/>
      </c>
      <c r="AG1511" s="28">
        <f>IFERROR(LOOKUP(AF1511,{0;0.5;5;25},{"Bajo";"Medio";"Alto";"Crítico"}),"")</f>
        <v/>
      </c>
      <c r="AH1511" s="28">
        <f>IF(AG1511="","",IF(OR(AG1511="Crítico",AG1511="Alto"),"Mitigar",IF(AG1511="Medio","Mitigar","Aceptar y monitorear")))</f>
        <v/>
      </c>
      <c r="AI1511" s="21" t="n"/>
      <c r="AJ1511" s="21" t="n"/>
      <c r="AK1511" s="20" t="n"/>
      <c r="AL1511" s="77">
        <f>IFERROR(INDEX(MgAmenEfic,MATCH(SUBSTITUTE($H1511,"*","-"),MgAmenClave,0)),0)</f>
        <v/>
      </c>
    </row>
    <row r="1512" hidden="1" ht="90" customHeight="1" s="54">
      <c r="B1512" s="59" t="inlineStr">
        <is>
          <t>R-1507</t>
        </is>
      </c>
      <c r="C1512" s="59" t="inlineStr">
        <is>
          <t>GH-012</t>
        </is>
      </c>
      <c r="D1512" s="64">
        <f>IFERROR(INDEX(MgNombre,MATCH($C1512,MgActId,0)),"")</f>
        <v/>
      </c>
      <c r="E1512" s="64">
        <f>IFERROR(INDEX(MgProceso,MATCH($C1512,MgActId,0)),"")</f>
        <v/>
      </c>
      <c r="F1512" s="64">
        <f>IFERROR(INDEX(MgTipo,MATCH($C1512,MgActId,0)),"")</f>
        <v/>
      </c>
      <c r="G1512" s="64">
        <f>IFERROR(INDEX(MgSubtipo,MATCH($C1512,MgActId,0)),"")</f>
        <v/>
      </c>
      <c r="H1512" s="59" t="inlineStr">
        <is>
          <t>E.15</t>
        </is>
      </c>
      <c r="I1512" s="64">
        <f>IFERROR(INDEX(MgAmenNombre,MATCH(SUBSTITUTE($H1512,"*","-"),MgAmenClave,0)),"")</f>
        <v/>
      </c>
      <c r="J1512" s="28">
        <f>IFERROR(INDEX(MgAmenGrupo,MATCH(SUBSTITUTE($H1512,"*","-"),MgAmenClave,0)),"")</f>
        <v/>
      </c>
      <c r="K1512" s="64">
        <f>IFERROR(INDEX('1. Matriz de Activos'!$Q$6:$Q$239,MATCH($C1512,MgActId,0)),"")</f>
        <v/>
      </c>
      <c r="L1512" s="64">
        <f>IFERROR(INDEX('1. Matriz de Activos'!$R$6:$R$239,MATCH($C1512,MgActId,0)),"")</f>
        <v/>
      </c>
      <c r="M1512" s="64">
        <f>IFERROR(INDEX('1. Matriz de Activos'!$S$6:$S$239,MATCH($C1512,MgActId,0)),"")</f>
        <v/>
      </c>
      <c r="N1512" s="28">
        <f>IFERROR(INDEX(MgAmenDegD,MATCH(SUBSTITUTE($H1512,"*","-"),MgAmenClave,0)),"No aplica")</f>
        <v/>
      </c>
      <c r="O1512" s="28">
        <f>IFERROR(INDEX(MgAmenDegI,MATCH(SUBSTITUTE($H1512,"*","-"),MgAmenClave,0)),"No aplica")</f>
        <v/>
      </c>
      <c r="P1512" s="28">
        <f>IFERROR(INDEX(MgAmenDegC,MATCH(SUBSTITUTE($H1512,"*","-"),MgAmenClave,0)),"No aplica")</f>
        <v/>
      </c>
      <c r="Q1512" s="29">
        <f>IFERROR(VLOOKUP(K1512,MgValor,2,0)*VLOOKUP(N1512,MgDeg,2,0),0)</f>
        <v/>
      </c>
      <c r="R1512" s="29">
        <f>IFERROR(VLOOKUP(L1512,MgValor,2,0)*VLOOKUP(O1512,MgDeg,2,0),0)</f>
        <v/>
      </c>
      <c r="S1512" s="29">
        <f>IFERROR(VLOOKUP(M1512,MgValor,2,0)*VLOOKUP(P1512,MgDeg,2,0),0)</f>
        <v/>
      </c>
      <c r="T1512" s="30">
        <f>MAX(Q1512:S1512)</f>
        <v/>
      </c>
      <c r="U1512" s="28">
        <f>IFERROR(LOOKUP(T1512,{0;0.5;1.5;3;4.5},{"Despreciable";"Bajo";"Medio";"Alto";"Muy alto"}),"")</f>
        <v/>
      </c>
      <c r="V1512" s="13">
        <f>IFERROR(INDEX(MgAmenFrec,MATCH(SUBSTITUTE($H1512,"*","-"),MgAmenClave,0)),"")</f>
        <v/>
      </c>
      <c r="W1512" s="28">
        <f>IFERROR(LOOKUP(X1512,{0;0.01;0.1;1;10;100},{"Muy baja";"Muy baja";"Baja";"Media";"Alta";"Muy alta"}),"")</f>
        <v/>
      </c>
      <c r="X1512" s="31">
        <f>IFERROR(VLOOKUP(V1512,MgFrec,2,0),0)</f>
        <v/>
      </c>
      <c r="Y1512" s="30">
        <f>T1512*X1512</f>
        <v/>
      </c>
      <c r="Z1512" s="28">
        <f>IFERROR(LOOKUP(Y1512,{0;0.5;5;25},{"Bajo";"Medio";"Alto";"Crítico"}),"")</f>
        <v/>
      </c>
      <c r="AA1512" s="64">
        <f>IF(T1512&gt;=3,IF(X1512&gt;=1,"Zona 1 — Crítica: impacto alto y ocurre al menos una vez al año","Zona 4 — Catastrófica poco probable: impacto alto pero excepcional"),IF(AND(T1512&lt;1.5,X1512&lt;1),"Zona 3 — Asumible: impacto bajo y muy poco frecuente","Zona 2 — Atención: riesgo intermedio"))</f>
        <v/>
      </c>
      <c r="AB1512" s="64">
        <f>IFERROR(INDEX(MgAmenCtrl,MATCH(SUBSTITUTE($H1512,"*","-"),MgAmenClave,0)),"")</f>
        <v/>
      </c>
      <c r="AC1512" s="20" t="n"/>
      <c r="AD1512" s="31">
        <f>IFERROR($X1512*(1-IF($AC1512="",$AL1512,VLOOKUP($AC1512,MgMad,2,0))),"")</f>
        <v/>
      </c>
      <c r="AE1512" s="28">
        <f>IFERROR(LOOKUP(AD1512,{0;0.01;0.1;1;10;100},{"Muy baja";"Muy baja";"Baja";"Media";"Alta";"Muy alta"}),"")</f>
        <v/>
      </c>
      <c r="AF1512" s="30">
        <f>T1512*AD1512</f>
        <v/>
      </c>
      <c r="AG1512" s="28">
        <f>IFERROR(LOOKUP(AF1512,{0;0.5;5;25},{"Bajo";"Medio";"Alto";"Crítico"}),"")</f>
        <v/>
      </c>
      <c r="AH1512" s="28">
        <f>IF(AG1512="","",IF(OR(AG1512="Crítico",AG1512="Alto"),"Mitigar",IF(AG1512="Medio","Mitigar","Aceptar y monitorear")))</f>
        <v/>
      </c>
      <c r="AI1512" s="21" t="n"/>
      <c r="AJ1512" s="21" t="n"/>
      <c r="AK1512" s="20" t="n"/>
      <c r="AL1512" s="77">
        <f>IFERROR(INDEX(MgAmenEfic,MATCH(SUBSTITUTE($H1512,"*","-"),MgAmenClave,0)),0)</f>
        <v/>
      </c>
    </row>
    <row r="1513" hidden="1" ht="60" customHeight="1" s="54">
      <c r="B1513" s="59" t="inlineStr">
        <is>
          <t>R-1508</t>
        </is>
      </c>
      <c r="C1513" s="59" t="inlineStr">
        <is>
          <t>GH-012</t>
        </is>
      </c>
      <c r="D1513" s="64">
        <f>IFERROR(INDEX(MgNombre,MATCH($C1513,MgActId,0)),"")</f>
        <v/>
      </c>
      <c r="E1513" s="64">
        <f>IFERROR(INDEX(MgProceso,MATCH($C1513,MgActId,0)),"")</f>
        <v/>
      </c>
      <c r="F1513" s="64">
        <f>IFERROR(INDEX(MgTipo,MATCH($C1513,MgActId,0)),"")</f>
        <v/>
      </c>
      <c r="G1513" s="64">
        <f>IFERROR(INDEX(MgSubtipo,MATCH($C1513,MgActId,0)),"")</f>
        <v/>
      </c>
      <c r="H1513" s="59" t="inlineStr">
        <is>
          <t>E.18</t>
        </is>
      </c>
      <c r="I1513" s="64">
        <f>IFERROR(INDEX(MgAmenNombre,MATCH(SUBSTITUTE($H1513,"*","-"),MgAmenClave,0)),"")</f>
        <v/>
      </c>
      <c r="J1513" s="28">
        <f>IFERROR(INDEX(MgAmenGrupo,MATCH(SUBSTITUTE($H1513,"*","-"),MgAmenClave,0)),"")</f>
        <v/>
      </c>
      <c r="K1513" s="64">
        <f>IFERROR(INDEX('1. Matriz de Activos'!$Q$6:$Q$239,MATCH($C1513,MgActId,0)),"")</f>
        <v/>
      </c>
      <c r="L1513" s="64">
        <f>IFERROR(INDEX('1. Matriz de Activos'!$R$6:$R$239,MATCH($C1513,MgActId,0)),"")</f>
        <v/>
      </c>
      <c r="M1513" s="64">
        <f>IFERROR(INDEX('1. Matriz de Activos'!$S$6:$S$239,MATCH($C1513,MgActId,0)),"")</f>
        <v/>
      </c>
      <c r="N1513" s="28">
        <f>IFERROR(INDEX(MgAmenDegD,MATCH(SUBSTITUTE($H1513,"*","-"),MgAmenClave,0)),"No aplica")</f>
        <v/>
      </c>
      <c r="O1513" s="28">
        <f>IFERROR(INDEX(MgAmenDegI,MATCH(SUBSTITUTE($H1513,"*","-"),MgAmenClave,0)),"No aplica")</f>
        <v/>
      </c>
      <c r="P1513" s="28">
        <f>IFERROR(INDEX(MgAmenDegC,MATCH(SUBSTITUTE($H1513,"*","-"),MgAmenClave,0)),"No aplica")</f>
        <v/>
      </c>
      <c r="Q1513" s="29">
        <f>IFERROR(VLOOKUP(K1513,MgValor,2,0)*VLOOKUP(N1513,MgDeg,2,0),0)</f>
        <v/>
      </c>
      <c r="R1513" s="29">
        <f>IFERROR(VLOOKUP(L1513,MgValor,2,0)*VLOOKUP(O1513,MgDeg,2,0),0)</f>
        <v/>
      </c>
      <c r="S1513" s="29">
        <f>IFERROR(VLOOKUP(M1513,MgValor,2,0)*VLOOKUP(P1513,MgDeg,2,0),0)</f>
        <v/>
      </c>
      <c r="T1513" s="30">
        <f>MAX(Q1513:S1513)</f>
        <v/>
      </c>
      <c r="U1513" s="28">
        <f>IFERROR(LOOKUP(T1513,{0;0.5;1.5;3;4.5},{"Despreciable";"Bajo";"Medio";"Alto";"Muy alto"}),"")</f>
        <v/>
      </c>
      <c r="V1513" s="13">
        <f>IFERROR(INDEX(MgAmenFrec,MATCH(SUBSTITUTE($H1513,"*","-"),MgAmenClave,0)),"")</f>
        <v/>
      </c>
      <c r="W1513" s="28">
        <f>IFERROR(LOOKUP(X1513,{0;0.01;0.1;1;10;100},{"Muy baja";"Muy baja";"Baja";"Media";"Alta";"Muy alta"}),"")</f>
        <v/>
      </c>
      <c r="X1513" s="31">
        <f>IFERROR(VLOOKUP(V1513,MgFrec,2,0),0)</f>
        <v/>
      </c>
      <c r="Y1513" s="30">
        <f>T1513*X1513</f>
        <v/>
      </c>
      <c r="Z1513" s="28">
        <f>IFERROR(LOOKUP(Y1513,{0;0.5;5;25},{"Bajo";"Medio";"Alto";"Crítico"}),"")</f>
        <v/>
      </c>
      <c r="AA1513" s="64">
        <f>IF(T1513&gt;=3,IF(X1513&gt;=1,"Zona 1 — Crítica: impacto alto y ocurre al menos una vez al año","Zona 4 — Catastrófica poco probable: impacto alto pero excepcional"),IF(AND(T1513&lt;1.5,X1513&lt;1),"Zona 3 — Asumible: impacto bajo y muy poco frecuente","Zona 2 — Atención: riesgo intermedio"))</f>
        <v/>
      </c>
      <c r="AB1513" s="64">
        <f>IFERROR(INDEX(MgAmenCtrl,MATCH(SUBSTITUTE($H1513,"*","-"),MgAmenClave,0)),"")</f>
        <v/>
      </c>
      <c r="AC1513" s="20" t="n"/>
      <c r="AD1513" s="31">
        <f>IFERROR($X1513*(1-IF($AC1513="",$AL1513,VLOOKUP($AC1513,MgMad,2,0))),"")</f>
        <v/>
      </c>
      <c r="AE1513" s="28">
        <f>IFERROR(LOOKUP(AD1513,{0;0.01;0.1;1;10;100},{"Muy baja";"Muy baja";"Baja";"Media";"Alta";"Muy alta"}),"")</f>
        <v/>
      </c>
      <c r="AF1513" s="30">
        <f>T1513*AD1513</f>
        <v/>
      </c>
      <c r="AG1513" s="28">
        <f>IFERROR(LOOKUP(AF1513,{0;0.5;5;25},{"Bajo";"Medio";"Alto";"Crítico"}),"")</f>
        <v/>
      </c>
      <c r="AH1513" s="28">
        <f>IF(AG1513="","",IF(OR(AG1513="Crítico",AG1513="Alto"),"Mitigar",IF(AG1513="Medio","Mitigar","Aceptar y monitorear")))</f>
        <v/>
      </c>
      <c r="AI1513" s="21" t="n"/>
      <c r="AJ1513" s="21" t="n"/>
      <c r="AK1513" s="20" t="n"/>
      <c r="AL1513" s="77">
        <f>IFERROR(INDEX(MgAmenEfic,MATCH(SUBSTITUTE($H1513,"*","-"),MgAmenClave,0)),0)</f>
        <v/>
      </c>
    </row>
    <row r="1514" hidden="1" ht="105" customHeight="1" s="54">
      <c r="B1514" s="59" t="inlineStr">
        <is>
          <t>R-1509</t>
        </is>
      </c>
      <c r="C1514" s="59" t="inlineStr">
        <is>
          <t>GH-012</t>
        </is>
      </c>
      <c r="D1514" s="64">
        <f>IFERROR(INDEX(MgNombre,MATCH($C1514,MgActId,0)),"")</f>
        <v/>
      </c>
      <c r="E1514" s="64">
        <f>IFERROR(INDEX(MgProceso,MATCH($C1514,MgActId,0)),"")</f>
        <v/>
      </c>
      <c r="F1514" s="64">
        <f>IFERROR(INDEX(MgTipo,MATCH($C1514,MgActId,0)),"")</f>
        <v/>
      </c>
      <c r="G1514" s="64">
        <f>IFERROR(INDEX(MgSubtipo,MATCH($C1514,MgActId,0)),"")</f>
        <v/>
      </c>
      <c r="H1514" s="59" t="inlineStr">
        <is>
          <t>E.19</t>
        </is>
      </c>
      <c r="I1514" s="64">
        <f>IFERROR(INDEX(MgAmenNombre,MATCH(SUBSTITUTE($H1514,"*","-"),MgAmenClave,0)),"")</f>
        <v/>
      </c>
      <c r="J1514" s="28">
        <f>IFERROR(INDEX(MgAmenGrupo,MATCH(SUBSTITUTE($H1514,"*","-"),MgAmenClave,0)),"")</f>
        <v/>
      </c>
      <c r="K1514" s="64">
        <f>IFERROR(INDEX('1. Matriz de Activos'!$Q$6:$Q$239,MATCH($C1514,MgActId,0)),"")</f>
        <v/>
      </c>
      <c r="L1514" s="64">
        <f>IFERROR(INDEX('1. Matriz de Activos'!$R$6:$R$239,MATCH($C1514,MgActId,0)),"")</f>
        <v/>
      </c>
      <c r="M1514" s="64">
        <f>IFERROR(INDEX('1. Matriz de Activos'!$S$6:$S$239,MATCH($C1514,MgActId,0)),"")</f>
        <v/>
      </c>
      <c r="N1514" s="28">
        <f>IFERROR(INDEX(MgAmenDegD,MATCH(SUBSTITUTE($H1514,"*","-"),MgAmenClave,0)),"No aplica")</f>
        <v/>
      </c>
      <c r="O1514" s="28">
        <f>IFERROR(INDEX(MgAmenDegI,MATCH(SUBSTITUTE($H1514,"*","-"),MgAmenClave,0)),"No aplica")</f>
        <v/>
      </c>
      <c r="P1514" s="28">
        <f>IFERROR(INDEX(MgAmenDegC,MATCH(SUBSTITUTE($H1514,"*","-"),MgAmenClave,0)),"No aplica")</f>
        <v/>
      </c>
      <c r="Q1514" s="29">
        <f>IFERROR(VLOOKUP(K1514,MgValor,2,0)*VLOOKUP(N1514,MgDeg,2,0),0)</f>
        <v/>
      </c>
      <c r="R1514" s="29">
        <f>IFERROR(VLOOKUP(L1514,MgValor,2,0)*VLOOKUP(O1514,MgDeg,2,0),0)</f>
        <v/>
      </c>
      <c r="S1514" s="29">
        <f>IFERROR(VLOOKUP(M1514,MgValor,2,0)*VLOOKUP(P1514,MgDeg,2,0),0)</f>
        <v/>
      </c>
      <c r="T1514" s="30">
        <f>MAX(Q1514:S1514)</f>
        <v/>
      </c>
      <c r="U1514" s="28">
        <f>IFERROR(LOOKUP(T1514,{0;0.5;1.5;3;4.5},{"Despreciable";"Bajo";"Medio";"Alto";"Muy alto"}),"")</f>
        <v/>
      </c>
      <c r="V1514" s="13">
        <f>IFERROR(INDEX(MgAmenFrec,MATCH(SUBSTITUTE($H1514,"*","-"),MgAmenClave,0)),"")</f>
        <v/>
      </c>
      <c r="W1514" s="28">
        <f>IFERROR(LOOKUP(X1514,{0;0.01;0.1;1;10;100},{"Muy baja";"Muy baja";"Baja";"Media";"Alta";"Muy alta"}),"")</f>
        <v/>
      </c>
      <c r="X1514" s="31">
        <f>IFERROR(VLOOKUP(V1514,MgFrec,2,0),0)</f>
        <v/>
      </c>
      <c r="Y1514" s="30">
        <f>T1514*X1514</f>
        <v/>
      </c>
      <c r="Z1514" s="28">
        <f>IFERROR(LOOKUP(Y1514,{0;0.5;5;25},{"Bajo";"Medio";"Alto";"Crítico"}),"")</f>
        <v/>
      </c>
      <c r="AA1514" s="64">
        <f>IF(T1514&gt;=3,IF(X1514&gt;=1,"Zona 1 — Crítica: impacto alto y ocurre al menos una vez al año","Zona 4 — Catastrófica poco probable: impacto alto pero excepcional"),IF(AND(T1514&lt;1.5,X1514&lt;1),"Zona 3 — Asumible: impacto bajo y muy poco frecuente","Zona 2 — Atención: riesgo intermedio"))</f>
        <v/>
      </c>
      <c r="AB1514" s="64">
        <f>IFERROR(INDEX(MgAmenCtrl,MATCH(SUBSTITUTE($H1514,"*","-"),MgAmenClave,0)),"")</f>
        <v/>
      </c>
      <c r="AC1514" s="20" t="n"/>
      <c r="AD1514" s="31">
        <f>IFERROR($X1514*(1-IF($AC1514="",$AL1514,VLOOKUP($AC1514,MgMad,2,0))),"")</f>
        <v/>
      </c>
      <c r="AE1514" s="28">
        <f>IFERROR(LOOKUP(AD1514,{0;0.01;0.1;1;10;100},{"Muy baja";"Muy baja";"Baja";"Media";"Alta";"Muy alta"}),"")</f>
        <v/>
      </c>
      <c r="AF1514" s="30">
        <f>T1514*AD1514</f>
        <v/>
      </c>
      <c r="AG1514" s="28">
        <f>IFERROR(LOOKUP(AF1514,{0;0.5;5;25},{"Bajo";"Medio";"Alto";"Crítico"}),"")</f>
        <v/>
      </c>
      <c r="AH1514" s="28">
        <f>IF(AG1514="","",IF(OR(AG1514="Crítico",AG1514="Alto"),"Mitigar",IF(AG1514="Medio","Mitigar","Aceptar y monitorear")))</f>
        <v/>
      </c>
      <c r="AI1514" s="21" t="n"/>
      <c r="AJ1514" s="21" t="n"/>
      <c r="AK1514" s="20" t="n"/>
      <c r="AL1514" s="77">
        <f>IFERROR(INDEX(MgAmenEfic,MATCH(SUBSTITUTE($H1514,"*","-"),MgAmenClave,0)),0)</f>
        <v/>
      </c>
    </row>
    <row r="1515" hidden="1" ht="60" customHeight="1" s="54">
      <c r="B1515" s="59" t="inlineStr">
        <is>
          <t>R-1510</t>
        </is>
      </c>
      <c r="C1515" s="59" t="inlineStr">
        <is>
          <t>GH-012</t>
        </is>
      </c>
      <c r="D1515" s="64">
        <f>IFERROR(INDEX(MgNombre,MATCH($C1515,MgActId,0)),"")</f>
        <v/>
      </c>
      <c r="E1515" s="64">
        <f>IFERROR(INDEX(MgProceso,MATCH($C1515,MgActId,0)),"")</f>
        <v/>
      </c>
      <c r="F1515" s="64">
        <f>IFERROR(INDEX(MgTipo,MATCH($C1515,MgActId,0)),"")</f>
        <v/>
      </c>
      <c r="G1515" s="64">
        <f>IFERROR(INDEX(MgSubtipo,MATCH($C1515,MgActId,0)),"")</f>
        <v/>
      </c>
      <c r="H1515" s="59" t="inlineStr">
        <is>
          <t>A.3</t>
        </is>
      </c>
      <c r="I1515" s="64">
        <f>IFERROR(INDEX(MgAmenNombre,MATCH(SUBSTITUTE($H1515,"*","-"),MgAmenClave,0)),"")</f>
        <v/>
      </c>
      <c r="J1515" s="28">
        <f>IFERROR(INDEX(MgAmenGrupo,MATCH(SUBSTITUTE($H1515,"*","-"),MgAmenClave,0)),"")</f>
        <v/>
      </c>
      <c r="K1515" s="64">
        <f>IFERROR(INDEX('1. Matriz de Activos'!$Q$6:$Q$239,MATCH($C1515,MgActId,0)),"")</f>
        <v/>
      </c>
      <c r="L1515" s="64">
        <f>IFERROR(INDEX('1. Matriz de Activos'!$R$6:$R$239,MATCH($C1515,MgActId,0)),"")</f>
        <v/>
      </c>
      <c r="M1515" s="64">
        <f>IFERROR(INDEX('1. Matriz de Activos'!$S$6:$S$239,MATCH($C1515,MgActId,0)),"")</f>
        <v/>
      </c>
      <c r="N1515" s="28">
        <f>IFERROR(INDEX(MgAmenDegD,MATCH(SUBSTITUTE($H1515,"*","-"),MgAmenClave,0)),"No aplica")</f>
        <v/>
      </c>
      <c r="O1515" s="28">
        <f>IFERROR(INDEX(MgAmenDegI,MATCH(SUBSTITUTE($H1515,"*","-"),MgAmenClave,0)),"No aplica")</f>
        <v/>
      </c>
      <c r="P1515" s="28">
        <f>IFERROR(INDEX(MgAmenDegC,MATCH(SUBSTITUTE($H1515,"*","-"),MgAmenClave,0)),"No aplica")</f>
        <v/>
      </c>
      <c r="Q1515" s="29">
        <f>IFERROR(VLOOKUP(K1515,MgValor,2,0)*VLOOKUP(N1515,MgDeg,2,0),0)</f>
        <v/>
      </c>
      <c r="R1515" s="29">
        <f>IFERROR(VLOOKUP(L1515,MgValor,2,0)*VLOOKUP(O1515,MgDeg,2,0),0)</f>
        <v/>
      </c>
      <c r="S1515" s="29">
        <f>IFERROR(VLOOKUP(M1515,MgValor,2,0)*VLOOKUP(P1515,MgDeg,2,0),0)</f>
        <v/>
      </c>
      <c r="T1515" s="30">
        <f>MAX(Q1515:S1515)</f>
        <v/>
      </c>
      <c r="U1515" s="28">
        <f>IFERROR(LOOKUP(T1515,{0;0.5;1.5;3;4.5},{"Despreciable";"Bajo";"Medio";"Alto";"Muy alto"}),"")</f>
        <v/>
      </c>
      <c r="V1515" s="13">
        <f>IFERROR(INDEX(MgAmenFrec,MATCH(SUBSTITUTE($H1515,"*","-"),MgAmenClave,0)),"")</f>
        <v/>
      </c>
      <c r="W1515" s="28">
        <f>IFERROR(LOOKUP(X1515,{0;0.01;0.1;1;10;100},{"Muy baja";"Muy baja";"Baja";"Media";"Alta";"Muy alta"}),"")</f>
        <v/>
      </c>
      <c r="X1515" s="31">
        <f>IFERROR(VLOOKUP(V1515,MgFrec,2,0),0)</f>
        <v/>
      </c>
      <c r="Y1515" s="30">
        <f>T1515*X1515</f>
        <v/>
      </c>
      <c r="Z1515" s="28">
        <f>IFERROR(LOOKUP(Y1515,{0;0.5;5;25},{"Bajo";"Medio";"Alto";"Crítico"}),"")</f>
        <v/>
      </c>
      <c r="AA1515" s="64">
        <f>IF(T1515&gt;=3,IF(X1515&gt;=1,"Zona 1 — Crítica: impacto alto y ocurre al menos una vez al año","Zona 4 — Catastrófica poco probable: impacto alto pero excepcional"),IF(AND(T1515&lt;1.5,X1515&lt;1),"Zona 3 — Asumible: impacto bajo y muy poco frecuente","Zona 2 — Atención: riesgo intermedio"))</f>
        <v/>
      </c>
      <c r="AB1515" s="64">
        <f>IFERROR(INDEX(MgAmenCtrl,MATCH(SUBSTITUTE($H1515,"*","-"),MgAmenClave,0)),"")</f>
        <v/>
      </c>
      <c r="AC1515" s="20" t="n"/>
      <c r="AD1515" s="31">
        <f>IFERROR($X1515*(1-IF($AC1515="",$AL1515,VLOOKUP($AC1515,MgMad,2,0))),"")</f>
        <v/>
      </c>
      <c r="AE1515" s="28">
        <f>IFERROR(LOOKUP(AD1515,{0;0.01;0.1;1;10;100},{"Muy baja";"Muy baja";"Baja";"Media";"Alta";"Muy alta"}),"")</f>
        <v/>
      </c>
      <c r="AF1515" s="30">
        <f>T1515*AD1515</f>
        <v/>
      </c>
      <c r="AG1515" s="28">
        <f>IFERROR(LOOKUP(AF1515,{0;0.5;5;25},{"Bajo";"Medio";"Alto";"Crítico"}),"")</f>
        <v/>
      </c>
      <c r="AH1515" s="28">
        <f>IF(AG1515="","",IF(OR(AG1515="Crítico",AG1515="Alto"),"Mitigar",IF(AG1515="Medio","Mitigar","Aceptar y monitorear")))</f>
        <v/>
      </c>
      <c r="AI1515" s="21" t="n"/>
      <c r="AJ1515" s="21" t="n"/>
      <c r="AK1515" s="20" t="n"/>
      <c r="AL1515" s="77">
        <f>IFERROR(INDEX(MgAmenEfic,MATCH(SUBSTITUTE($H1515,"*","-"),MgAmenClave,0)),0)</f>
        <v/>
      </c>
    </row>
    <row r="1516" hidden="1" ht="60" customHeight="1" s="54">
      <c r="B1516" s="59" t="inlineStr">
        <is>
          <t>R-1511</t>
        </is>
      </c>
      <c r="C1516" s="59" t="inlineStr">
        <is>
          <t>GH-012</t>
        </is>
      </c>
      <c r="D1516" s="64">
        <f>IFERROR(INDEX(MgNombre,MATCH($C1516,MgActId,0)),"")</f>
        <v/>
      </c>
      <c r="E1516" s="64">
        <f>IFERROR(INDEX(MgProceso,MATCH($C1516,MgActId,0)),"")</f>
        <v/>
      </c>
      <c r="F1516" s="64">
        <f>IFERROR(INDEX(MgTipo,MATCH($C1516,MgActId,0)),"")</f>
        <v/>
      </c>
      <c r="G1516" s="64">
        <f>IFERROR(INDEX(MgSubtipo,MATCH($C1516,MgActId,0)),"")</f>
        <v/>
      </c>
      <c r="H1516" s="59" t="inlineStr">
        <is>
          <t>A.4</t>
        </is>
      </c>
      <c r="I1516" s="64">
        <f>IFERROR(INDEX(MgAmenNombre,MATCH(SUBSTITUTE($H1516,"*","-"),MgAmenClave,0)),"")</f>
        <v/>
      </c>
      <c r="J1516" s="28">
        <f>IFERROR(INDEX(MgAmenGrupo,MATCH(SUBSTITUTE($H1516,"*","-"),MgAmenClave,0)),"")</f>
        <v/>
      </c>
      <c r="K1516" s="64">
        <f>IFERROR(INDEX('1. Matriz de Activos'!$Q$6:$Q$239,MATCH($C1516,MgActId,0)),"")</f>
        <v/>
      </c>
      <c r="L1516" s="64">
        <f>IFERROR(INDEX('1. Matriz de Activos'!$R$6:$R$239,MATCH($C1516,MgActId,0)),"")</f>
        <v/>
      </c>
      <c r="M1516" s="64">
        <f>IFERROR(INDEX('1. Matriz de Activos'!$S$6:$S$239,MATCH($C1516,MgActId,0)),"")</f>
        <v/>
      </c>
      <c r="N1516" s="28">
        <f>IFERROR(INDEX(MgAmenDegD,MATCH(SUBSTITUTE($H1516,"*","-"),MgAmenClave,0)),"No aplica")</f>
        <v/>
      </c>
      <c r="O1516" s="28">
        <f>IFERROR(INDEX(MgAmenDegI,MATCH(SUBSTITUTE($H1516,"*","-"),MgAmenClave,0)),"No aplica")</f>
        <v/>
      </c>
      <c r="P1516" s="28">
        <f>IFERROR(INDEX(MgAmenDegC,MATCH(SUBSTITUTE($H1516,"*","-"),MgAmenClave,0)),"No aplica")</f>
        <v/>
      </c>
      <c r="Q1516" s="29">
        <f>IFERROR(VLOOKUP(K1516,MgValor,2,0)*VLOOKUP(N1516,MgDeg,2,0),0)</f>
        <v/>
      </c>
      <c r="R1516" s="29">
        <f>IFERROR(VLOOKUP(L1516,MgValor,2,0)*VLOOKUP(O1516,MgDeg,2,0),0)</f>
        <v/>
      </c>
      <c r="S1516" s="29">
        <f>IFERROR(VLOOKUP(M1516,MgValor,2,0)*VLOOKUP(P1516,MgDeg,2,0),0)</f>
        <v/>
      </c>
      <c r="T1516" s="30">
        <f>MAX(Q1516:S1516)</f>
        <v/>
      </c>
      <c r="U1516" s="28">
        <f>IFERROR(LOOKUP(T1516,{0;0.5;1.5;3;4.5},{"Despreciable";"Bajo";"Medio";"Alto";"Muy alto"}),"")</f>
        <v/>
      </c>
      <c r="V1516" s="13">
        <f>IFERROR(INDEX(MgAmenFrec,MATCH(SUBSTITUTE($H1516,"*","-"),MgAmenClave,0)),"")</f>
        <v/>
      </c>
      <c r="W1516" s="28">
        <f>IFERROR(LOOKUP(X1516,{0;0.01;0.1;1;10;100},{"Muy baja";"Muy baja";"Baja";"Media";"Alta";"Muy alta"}),"")</f>
        <v/>
      </c>
      <c r="X1516" s="31">
        <f>IFERROR(VLOOKUP(V1516,MgFrec,2,0),0)</f>
        <v/>
      </c>
      <c r="Y1516" s="30">
        <f>T1516*X1516</f>
        <v/>
      </c>
      <c r="Z1516" s="28">
        <f>IFERROR(LOOKUP(Y1516,{0;0.5;5;25},{"Bajo";"Medio";"Alto";"Crítico"}),"")</f>
        <v/>
      </c>
      <c r="AA1516" s="64">
        <f>IF(T1516&gt;=3,IF(X1516&gt;=1,"Zona 1 — Crítica: impacto alto y ocurre al menos una vez al año","Zona 4 — Catastrófica poco probable: impacto alto pero excepcional"),IF(AND(T1516&lt;1.5,X1516&lt;1),"Zona 3 — Asumible: impacto bajo y muy poco frecuente","Zona 2 — Atención: riesgo intermedio"))</f>
        <v/>
      </c>
      <c r="AB1516" s="64">
        <f>IFERROR(INDEX(MgAmenCtrl,MATCH(SUBSTITUTE($H1516,"*","-"),MgAmenClave,0)),"")</f>
        <v/>
      </c>
      <c r="AC1516" s="20" t="n"/>
      <c r="AD1516" s="31">
        <f>IFERROR($X1516*(1-IF($AC1516="",$AL1516,VLOOKUP($AC1516,MgMad,2,0))),"")</f>
        <v/>
      </c>
      <c r="AE1516" s="28">
        <f>IFERROR(LOOKUP(AD1516,{0;0.01;0.1;1;10;100},{"Muy baja";"Muy baja";"Baja";"Media";"Alta";"Muy alta"}),"")</f>
        <v/>
      </c>
      <c r="AF1516" s="30">
        <f>T1516*AD1516</f>
        <v/>
      </c>
      <c r="AG1516" s="28">
        <f>IFERROR(LOOKUP(AF1516,{0;0.5;5;25},{"Bajo";"Medio";"Alto";"Crítico"}),"")</f>
        <v/>
      </c>
      <c r="AH1516" s="28">
        <f>IF(AG1516="","",IF(OR(AG1516="Crítico",AG1516="Alto"),"Mitigar",IF(AG1516="Medio","Mitigar","Aceptar y monitorear")))</f>
        <v/>
      </c>
      <c r="AI1516" s="21" t="n"/>
      <c r="AJ1516" s="21" t="n"/>
      <c r="AK1516" s="20" t="n"/>
      <c r="AL1516" s="77">
        <f>IFERROR(INDEX(MgAmenEfic,MATCH(SUBSTITUTE($H1516,"*","-"),MgAmenClave,0)),0)</f>
        <v/>
      </c>
    </row>
    <row r="1517" hidden="1" ht="75" customHeight="1" s="54">
      <c r="B1517" s="59" t="inlineStr">
        <is>
          <t>R-1512</t>
        </is>
      </c>
      <c r="C1517" s="59" t="inlineStr">
        <is>
          <t>GH-012</t>
        </is>
      </c>
      <c r="D1517" s="64">
        <f>IFERROR(INDEX(MgNombre,MATCH($C1517,MgActId,0)),"")</f>
        <v/>
      </c>
      <c r="E1517" s="64">
        <f>IFERROR(INDEX(MgProceso,MATCH($C1517,MgActId,0)),"")</f>
        <v/>
      </c>
      <c r="F1517" s="64">
        <f>IFERROR(INDEX(MgTipo,MATCH($C1517,MgActId,0)),"")</f>
        <v/>
      </c>
      <c r="G1517" s="64">
        <f>IFERROR(INDEX(MgSubtipo,MATCH($C1517,MgActId,0)),"")</f>
        <v/>
      </c>
      <c r="H1517" s="59" t="inlineStr">
        <is>
          <t>A.5</t>
        </is>
      </c>
      <c r="I1517" s="64">
        <f>IFERROR(INDEX(MgAmenNombre,MATCH(SUBSTITUTE($H1517,"*","-"),MgAmenClave,0)),"")</f>
        <v/>
      </c>
      <c r="J1517" s="28">
        <f>IFERROR(INDEX(MgAmenGrupo,MATCH(SUBSTITUTE($H1517,"*","-"),MgAmenClave,0)),"")</f>
        <v/>
      </c>
      <c r="K1517" s="64">
        <f>IFERROR(INDEX('1. Matriz de Activos'!$Q$6:$Q$239,MATCH($C1517,MgActId,0)),"")</f>
        <v/>
      </c>
      <c r="L1517" s="64">
        <f>IFERROR(INDEX('1. Matriz de Activos'!$R$6:$R$239,MATCH($C1517,MgActId,0)),"")</f>
        <v/>
      </c>
      <c r="M1517" s="64">
        <f>IFERROR(INDEX('1. Matriz de Activos'!$S$6:$S$239,MATCH($C1517,MgActId,0)),"")</f>
        <v/>
      </c>
      <c r="N1517" s="28">
        <f>IFERROR(INDEX(MgAmenDegD,MATCH(SUBSTITUTE($H1517,"*","-"),MgAmenClave,0)),"No aplica")</f>
        <v/>
      </c>
      <c r="O1517" s="28">
        <f>IFERROR(INDEX(MgAmenDegI,MATCH(SUBSTITUTE($H1517,"*","-"),MgAmenClave,0)),"No aplica")</f>
        <v/>
      </c>
      <c r="P1517" s="28">
        <f>IFERROR(INDEX(MgAmenDegC,MATCH(SUBSTITUTE($H1517,"*","-"),MgAmenClave,0)),"No aplica")</f>
        <v/>
      </c>
      <c r="Q1517" s="29">
        <f>IFERROR(VLOOKUP(K1517,MgValor,2,0)*VLOOKUP(N1517,MgDeg,2,0),0)</f>
        <v/>
      </c>
      <c r="R1517" s="29">
        <f>IFERROR(VLOOKUP(L1517,MgValor,2,0)*VLOOKUP(O1517,MgDeg,2,0),0)</f>
        <v/>
      </c>
      <c r="S1517" s="29">
        <f>IFERROR(VLOOKUP(M1517,MgValor,2,0)*VLOOKUP(P1517,MgDeg,2,0),0)</f>
        <v/>
      </c>
      <c r="T1517" s="30">
        <f>MAX(Q1517:S1517)</f>
        <v/>
      </c>
      <c r="U1517" s="28">
        <f>IFERROR(LOOKUP(T1517,{0;0.5;1.5;3;4.5},{"Despreciable";"Bajo";"Medio";"Alto";"Muy alto"}),"")</f>
        <v/>
      </c>
      <c r="V1517" s="13">
        <f>IFERROR(INDEX(MgAmenFrec,MATCH(SUBSTITUTE($H1517,"*","-"),MgAmenClave,0)),"")</f>
        <v/>
      </c>
      <c r="W1517" s="28">
        <f>IFERROR(LOOKUP(X1517,{0;0.01;0.1;1;10;100},{"Muy baja";"Muy baja";"Baja";"Media";"Alta";"Muy alta"}),"")</f>
        <v/>
      </c>
      <c r="X1517" s="31">
        <f>IFERROR(VLOOKUP(V1517,MgFrec,2,0),0)</f>
        <v/>
      </c>
      <c r="Y1517" s="30">
        <f>T1517*X1517</f>
        <v/>
      </c>
      <c r="Z1517" s="28">
        <f>IFERROR(LOOKUP(Y1517,{0;0.5;5;25},{"Bajo";"Medio";"Alto";"Crítico"}),"")</f>
        <v/>
      </c>
      <c r="AA1517" s="64">
        <f>IF(T1517&gt;=3,IF(X1517&gt;=1,"Zona 1 — Crítica: impacto alto y ocurre al menos una vez al año","Zona 4 — Catastrófica poco probable: impacto alto pero excepcional"),IF(AND(T1517&lt;1.5,X1517&lt;1),"Zona 3 — Asumible: impacto bajo y muy poco frecuente","Zona 2 — Atención: riesgo intermedio"))</f>
        <v/>
      </c>
      <c r="AB1517" s="64">
        <f>IFERROR(INDEX(MgAmenCtrl,MATCH(SUBSTITUTE($H1517,"*","-"),MgAmenClave,0)),"")</f>
        <v/>
      </c>
      <c r="AC1517" s="20" t="n"/>
      <c r="AD1517" s="31">
        <f>IFERROR($X1517*(1-IF($AC1517="",$AL1517,VLOOKUP($AC1517,MgMad,2,0))),"")</f>
        <v/>
      </c>
      <c r="AE1517" s="28">
        <f>IFERROR(LOOKUP(AD1517,{0;0.01;0.1;1;10;100},{"Muy baja";"Muy baja";"Baja";"Media";"Alta";"Muy alta"}),"")</f>
        <v/>
      </c>
      <c r="AF1517" s="30">
        <f>T1517*AD1517</f>
        <v/>
      </c>
      <c r="AG1517" s="28">
        <f>IFERROR(LOOKUP(AF1517,{0;0.5;5;25},{"Bajo";"Medio";"Alto";"Crítico"}),"")</f>
        <v/>
      </c>
      <c r="AH1517" s="28">
        <f>IF(AG1517="","",IF(OR(AG1517="Crítico",AG1517="Alto"),"Mitigar",IF(AG1517="Medio","Mitigar","Aceptar y monitorear")))</f>
        <v/>
      </c>
      <c r="AI1517" s="21" t="n"/>
      <c r="AJ1517" s="21" t="n"/>
      <c r="AK1517" s="20" t="n"/>
      <c r="AL1517" s="77">
        <f>IFERROR(INDEX(MgAmenEfic,MATCH(SUBSTITUTE($H1517,"*","-"),MgAmenClave,0)),0)</f>
        <v/>
      </c>
    </row>
    <row r="1518" hidden="1" ht="105" customHeight="1" s="54">
      <c r="B1518" s="59" t="inlineStr">
        <is>
          <t>R-1513</t>
        </is>
      </c>
      <c r="C1518" s="59" t="inlineStr">
        <is>
          <t>GH-012</t>
        </is>
      </c>
      <c r="D1518" s="64">
        <f>IFERROR(INDEX(MgNombre,MATCH($C1518,MgActId,0)),"")</f>
        <v/>
      </c>
      <c r="E1518" s="64">
        <f>IFERROR(INDEX(MgProceso,MATCH($C1518,MgActId,0)),"")</f>
        <v/>
      </c>
      <c r="F1518" s="64">
        <f>IFERROR(INDEX(MgTipo,MATCH($C1518,MgActId,0)),"")</f>
        <v/>
      </c>
      <c r="G1518" s="64">
        <f>IFERROR(INDEX(MgSubtipo,MATCH($C1518,MgActId,0)),"")</f>
        <v/>
      </c>
      <c r="H1518" s="59" t="inlineStr">
        <is>
          <t>A.6</t>
        </is>
      </c>
      <c r="I1518" s="64">
        <f>IFERROR(INDEX(MgAmenNombre,MATCH(SUBSTITUTE($H1518,"*","-"),MgAmenClave,0)),"")</f>
        <v/>
      </c>
      <c r="J1518" s="28">
        <f>IFERROR(INDEX(MgAmenGrupo,MATCH(SUBSTITUTE($H1518,"*","-"),MgAmenClave,0)),"")</f>
        <v/>
      </c>
      <c r="K1518" s="64">
        <f>IFERROR(INDEX('1. Matriz de Activos'!$Q$6:$Q$239,MATCH($C1518,MgActId,0)),"")</f>
        <v/>
      </c>
      <c r="L1518" s="64">
        <f>IFERROR(INDEX('1. Matriz de Activos'!$R$6:$R$239,MATCH($C1518,MgActId,0)),"")</f>
        <v/>
      </c>
      <c r="M1518" s="64">
        <f>IFERROR(INDEX('1. Matriz de Activos'!$S$6:$S$239,MATCH($C1518,MgActId,0)),"")</f>
        <v/>
      </c>
      <c r="N1518" s="28">
        <f>IFERROR(INDEX(MgAmenDegD,MATCH(SUBSTITUTE($H1518,"*","-"),MgAmenClave,0)),"No aplica")</f>
        <v/>
      </c>
      <c r="O1518" s="28">
        <f>IFERROR(INDEX(MgAmenDegI,MATCH(SUBSTITUTE($H1518,"*","-"),MgAmenClave,0)),"No aplica")</f>
        <v/>
      </c>
      <c r="P1518" s="28">
        <f>IFERROR(INDEX(MgAmenDegC,MATCH(SUBSTITUTE($H1518,"*","-"),MgAmenClave,0)),"No aplica")</f>
        <v/>
      </c>
      <c r="Q1518" s="29">
        <f>IFERROR(VLOOKUP(K1518,MgValor,2,0)*VLOOKUP(N1518,MgDeg,2,0),0)</f>
        <v/>
      </c>
      <c r="R1518" s="29">
        <f>IFERROR(VLOOKUP(L1518,MgValor,2,0)*VLOOKUP(O1518,MgDeg,2,0),0)</f>
        <v/>
      </c>
      <c r="S1518" s="29">
        <f>IFERROR(VLOOKUP(M1518,MgValor,2,0)*VLOOKUP(P1518,MgDeg,2,0),0)</f>
        <v/>
      </c>
      <c r="T1518" s="30">
        <f>MAX(Q1518:S1518)</f>
        <v/>
      </c>
      <c r="U1518" s="28">
        <f>IFERROR(LOOKUP(T1518,{0;0.5;1.5;3;4.5},{"Despreciable";"Bajo";"Medio";"Alto";"Muy alto"}),"")</f>
        <v/>
      </c>
      <c r="V1518" s="13">
        <f>IFERROR(INDEX(MgAmenFrec,MATCH(SUBSTITUTE($H1518,"*","-"),MgAmenClave,0)),"")</f>
        <v/>
      </c>
      <c r="W1518" s="28">
        <f>IFERROR(LOOKUP(X1518,{0;0.01;0.1;1;10;100},{"Muy baja";"Muy baja";"Baja";"Media";"Alta";"Muy alta"}),"")</f>
        <v/>
      </c>
      <c r="X1518" s="31">
        <f>IFERROR(VLOOKUP(V1518,MgFrec,2,0),0)</f>
        <v/>
      </c>
      <c r="Y1518" s="30">
        <f>T1518*X1518</f>
        <v/>
      </c>
      <c r="Z1518" s="28">
        <f>IFERROR(LOOKUP(Y1518,{0;0.5;5;25},{"Bajo";"Medio";"Alto";"Crítico"}),"")</f>
        <v/>
      </c>
      <c r="AA1518" s="64">
        <f>IF(T1518&gt;=3,IF(X1518&gt;=1,"Zona 1 — Crítica: impacto alto y ocurre al menos una vez al año","Zona 4 — Catastrófica poco probable: impacto alto pero excepcional"),IF(AND(T1518&lt;1.5,X1518&lt;1),"Zona 3 — Asumible: impacto bajo y muy poco frecuente","Zona 2 — Atención: riesgo intermedio"))</f>
        <v/>
      </c>
      <c r="AB1518" s="64">
        <f>IFERROR(INDEX(MgAmenCtrl,MATCH(SUBSTITUTE($H1518,"*","-"),MgAmenClave,0)),"")</f>
        <v/>
      </c>
      <c r="AC1518" s="20" t="n"/>
      <c r="AD1518" s="31">
        <f>IFERROR($X1518*(1-IF($AC1518="",$AL1518,VLOOKUP($AC1518,MgMad,2,0))),"")</f>
        <v/>
      </c>
      <c r="AE1518" s="28">
        <f>IFERROR(LOOKUP(AD1518,{0;0.01;0.1;1;10;100},{"Muy baja";"Muy baja";"Baja";"Media";"Alta";"Muy alta"}),"")</f>
        <v/>
      </c>
      <c r="AF1518" s="30">
        <f>T1518*AD1518</f>
        <v/>
      </c>
      <c r="AG1518" s="28">
        <f>IFERROR(LOOKUP(AF1518,{0;0.5;5;25},{"Bajo";"Medio";"Alto";"Crítico"}),"")</f>
        <v/>
      </c>
      <c r="AH1518" s="28">
        <f>IF(AG1518="","",IF(OR(AG1518="Crítico",AG1518="Alto"),"Mitigar",IF(AG1518="Medio","Mitigar","Aceptar y monitorear")))</f>
        <v/>
      </c>
      <c r="AI1518" s="21" t="n"/>
      <c r="AJ1518" s="21" t="n"/>
      <c r="AK1518" s="20" t="n"/>
      <c r="AL1518" s="77">
        <f>IFERROR(INDEX(MgAmenEfic,MATCH(SUBSTITUTE($H1518,"*","-"),MgAmenClave,0)),0)</f>
        <v/>
      </c>
    </row>
    <row r="1519" hidden="1" ht="120" customHeight="1" s="54">
      <c r="B1519" s="59" t="inlineStr">
        <is>
          <t>R-1514</t>
        </is>
      </c>
      <c r="C1519" s="59" t="inlineStr">
        <is>
          <t>GH-012</t>
        </is>
      </c>
      <c r="D1519" s="64">
        <f>IFERROR(INDEX(MgNombre,MATCH($C1519,MgActId,0)),"")</f>
        <v/>
      </c>
      <c r="E1519" s="64">
        <f>IFERROR(INDEX(MgProceso,MATCH($C1519,MgActId,0)),"")</f>
        <v/>
      </c>
      <c r="F1519" s="64">
        <f>IFERROR(INDEX(MgTipo,MATCH($C1519,MgActId,0)),"")</f>
        <v/>
      </c>
      <c r="G1519" s="64">
        <f>IFERROR(INDEX(MgSubtipo,MATCH($C1519,MgActId,0)),"")</f>
        <v/>
      </c>
      <c r="H1519" s="59" t="inlineStr">
        <is>
          <t>A.11</t>
        </is>
      </c>
      <c r="I1519" s="64">
        <f>IFERROR(INDEX(MgAmenNombre,MATCH(SUBSTITUTE($H1519,"*","-"),MgAmenClave,0)),"")</f>
        <v/>
      </c>
      <c r="J1519" s="28">
        <f>IFERROR(INDEX(MgAmenGrupo,MATCH(SUBSTITUTE($H1519,"*","-"),MgAmenClave,0)),"")</f>
        <v/>
      </c>
      <c r="K1519" s="64">
        <f>IFERROR(INDEX('1. Matriz de Activos'!$Q$6:$Q$239,MATCH($C1519,MgActId,0)),"")</f>
        <v/>
      </c>
      <c r="L1519" s="64">
        <f>IFERROR(INDEX('1. Matriz de Activos'!$R$6:$R$239,MATCH($C1519,MgActId,0)),"")</f>
        <v/>
      </c>
      <c r="M1519" s="64">
        <f>IFERROR(INDEX('1. Matriz de Activos'!$S$6:$S$239,MATCH($C1519,MgActId,0)),"")</f>
        <v/>
      </c>
      <c r="N1519" s="28">
        <f>IFERROR(INDEX(MgAmenDegD,MATCH(SUBSTITUTE($H1519,"*","-"),MgAmenClave,0)),"No aplica")</f>
        <v/>
      </c>
      <c r="O1519" s="28">
        <f>IFERROR(INDEX(MgAmenDegI,MATCH(SUBSTITUTE($H1519,"*","-"),MgAmenClave,0)),"No aplica")</f>
        <v/>
      </c>
      <c r="P1519" s="28">
        <f>IFERROR(INDEX(MgAmenDegC,MATCH(SUBSTITUTE($H1519,"*","-"),MgAmenClave,0)),"No aplica")</f>
        <v/>
      </c>
      <c r="Q1519" s="29">
        <f>IFERROR(VLOOKUP(K1519,MgValor,2,0)*VLOOKUP(N1519,MgDeg,2,0),0)</f>
        <v/>
      </c>
      <c r="R1519" s="29">
        <f>IFERROR(VLOOKUP(L1519,MgValor,2,0)*VLOOKUP(O1519,MgDeg,2,0),0)</f>
        <v/>
      </c>
      <c r="S1519" s="29">
        <f>IFERROR(VLOOKUP(M1519,MgValor,2,0)*VLOOKUP(P1519,MgDeg,2,0),0)</f>
        <v/>
      </c>
      <c r="T1519" s="30">
        <f>MAX(Q1519:S1519)</f>
        <v/>
      </c>
      <c r="U1519" s="28">
        <f>IFERROR(LOOKUP(T1519,{0;0.5;1.5;3;4.5},{"Despreciable";"Bajo";"Medio";"Alto";"Muy alto"}),"")</f>
        <v/>
      </c>
      <c r="V1519" s="13">
        <f>IFERROR(INDEX(MgAmenFrec,MATCH(SUBSTITUTE($H1519,"*","-"),MgAmenClave,0)),"")</f>
        <v/>
      </c>
      <c r="W1519" s="28">
        <f>IFERROR(LOOKUP(X1519,{0;0.01;0.1;1;10;100},{"Muy baja";"Muy baja";"Baja";"Media";"Alta";"Muy alta"}),"")</f>
        <v/>
      </c>
      <c r="X1519" s="31">
        <f>IFERROR(VLOOKUP(V1519,MgFrec,2,0),0)</f>
        <v/>
      </c>
      <c r="Y1519" s="30">
        <f>T1519*X1519</f>
        <v/>
      </c>
      <c r="Z1519" s="28">
        <f>IFERROR(LOOKUP(Y1519,{0;0.5;5;25},{"Bajo";"Medio";"Alto";"Crítico"}),"")</f>
        <v/>
      </c>
      <c r="AA1519" s="64">
        <f>IF(T1519&gt;=3,IF(X1519&gt;=1,"Zona 1 — Crítica: impacto alto y ocurre al menos una vez al año","Zona 4 — Catastrófica poco probable: impacto alto pero excepcional"),IF(AND(T1519&lt;1.5,X1519&lt;1),"Zona 3 — Asumible: impacto bajo y muy poco frecuente","Zona 2 — Atención: riesgo intermedio"))</f>
        <v/>
      </c>
      <c r="AB1519" s="64">
        <f>IFERROR(INDEX(MgAmenCtrl,MATCH(SUBSTITUTE($H1519,"*","-"),MgAmenClave,0)),"")</f>
        <v/>
      </c>
      <c r="AC1519" s="20" t="n"/>
      <c r="AD1519" s="31">
        <f>IFERROR($X1519*(1-IF($AC1519="",$AL1519,VLOOKUP($AC1519,MgMad,2,0))),"")</f>
        <v/>
      </c>
      <c r="AE1519" s="28">
        <f>IFERROR(LOOKUP(AD1519,{0;0.01;0.1;1;10;100},{"Muy baja";"Muy baja";"Baja";"Media";"Alta";"Muy alta"}),"")</f>
        <v/>
      </c>
      <c r="AF1519" s="30">
        <f>T1519*AD1519</f>
        <v/>
      </c>
      <c r="AG1519" s="28">
        <f>IFERROR(LOOKUP(AF1519,{0;0.5;5;25},{"Bajo";"Medio";"Alto";"Crítico"}),"")</f>
        <v/>
      </c>
      <c r="AH1519" s="28">
        <f>IF(AG1519="","",IF(OR(AG1519="Crítico",AG1519="Alto"),"Mitigar",IF(AG1519="Medio","Mitigar","Aceptar y monitorear")))</f>
        <v/>
      </c>
      <c r="AI1519" s="21" t="n"/>
      <c r="AJ1519" s="21" t="n"/>
      <c r="AK1519" s="20" t="n"/>
      <c r="AL1519" s="77">
        <f>IFERROR(INDEX(MgAmenEfic,MATCH(SUBSTITUTE($H1519,"*","-"),MgAmenClave,0)),0)</f>
        <v/>
      </c>
    </row>
    <row r="1520" hidden="1" ht="90" customHeight="1" s="54">
      <c r="B1520" s="59" t="inlineStr">
        <is>
          <t>R-1515</t>
        </is>
      </c>
      <c r="C1520" s="59" t="inlineStr">
        <is>
          <t>GH-012</t>
        </is>
      </c>
      <c r="D1520" s="64">
        <f>IFERROR(INDEX(MgNombre,MATCH($C1520,MgActId,0)),"")</f>
        <v/>
      </c>
      <c r="E1520" s="64">
        <f>IFERROR(INDEX(MgProceso,MATCH($C1520,MgActId,0)),"")</f>
        <v/>
      </c>
      <c r="F1520" s="64">
        <f>IFERROR(INDEX(MgTipo,MATCH($C1520,MgActId,0)),"")</f>
        <v/>
      </c>
      <c r="G1520" s="64">
        <f>IFERROR(INDEX(MgSubtipo,MATCH($C1520,MgActId,0)),"")</f>
        <v/>
      </c>
      <c r="H1520" s="59" t="inlineStr">
        <is>
          <t>A.13</t>
        </is>
      </c>
      <c r="I1520" s="64">
        <f>IFERROR(INDEX(MgAmenNombre,MATCH(SUBSTITUTE($H1520,"*","-"),MgAmenClave,0)),"")</f>
        <v/>
      </c>
      <c r="J1520" s="28">
        <f>IFERROR(INDEX(MgAmenGrupo,MATCH(SUBSTITUTE($H1520,"*","-"),MgAmenClave,0)),"")</f>
        <v/>
      </c>
      <c r="K1520" s="64">
        <f>IFERROR(INDEX('1. Matriz de Activos'!$Q$6:$Q$239,MATCH($C1520,MgActId,0)),"")</f>
        <v/>
      </c>
      <c r="L1520" s="64">
        <f>IFERROR(INDEX('1. Matriz de Activos'!$R$6:$R$239,MATCH($C1520,MgActId,0)),"")</f>
        <v/>
      </c>
      <c r="M1520" s="64">
        <f>IFERROR(INDEX('1. Matriz de Activos'!$S$6:$S$239,MATCH($C1520,MgActId,0)),"")</f>
        <v/>
      </c>
      <c r="N1520" s="28">
        <f>IFERROR(INDEX(MgAmenDegD,MATCH(SUBSTITUTE($H1520,"*","-"),MgAmenClave,0)),"No aplica")</f>
        <v/>
      </c>
      <c r="O1520" s="28">
        <f>IFERROR(INDEX(MgAmenDegI,MATCH(SUBSTITUTE($H1520,"*","-"),MgAmenClave,0)),"No aplica")</f>
        <v/>
      </c>
      <c r="P1520" s="28">
        <f>IFERROR(INDEX(MgAmenDegC,MATCH(SUBSTITUTE($H1520,"*","-"),MgAmenClave,0)),"No aplica")</f>
        <v/>
      </c>
      <c r="Q1520" s="29">
        <f>IFERROR(VLOOKUP(K1520,MgValor,2,0)*VLOOKUP(N1520,MgDeg,2,0),0)</f>
        <v/>
      </c>
      <c r="R1520" s="29">
        <f>IFERROR(VLOOKUP(L1520,MgValor,2,0)*VLOOKUP(O1520,MgDeg,2,0),0)</f>
        <v/>
      </c>
      <c r="S1520" s="29">
        <f>IFERROR(VLOOKUP(M1520,MgValor,2,0)*VLOOKUP(P1520,MgDeg,2,0),0)</f>
        <v/>
      </c>
      <c r="T1520" s="30">
        <f>MAX(Q1520:S1520)</f>
        <v/>
      </c>
      <c r="U1520" s="28">
        <f>IFERROR(LOOKUP(T1520,{0;0.5;1.5;3;4.5},{"Despreciable";"Bajo";"Medio";"Alto";"Muy alto"}),"")</f>
        <v/>
      </c>
      <c r="V1520" s="13">
        <f>IFERROR(INDEX(MgAmenFrec,MATCH(SUBSTITUTE($H1520,"*","-"),MgAmenClave,0)),"")</f>
        <v/>
      </c>
      <c r="W1520" s="28">
        <f>IFERROR(LOOKUP(X1520,{0;0.01;0.1;1;10;100},{"Muy baja";"Muy baja";"Baja";"Media";"Alta";"Muy alta"}),"")</f>
        <v/>
      </c>
      <c r="X1520" s="31">
        <f>IFERROR(VLOOKUP(V1520,MgFrec,2,0),0)</f>
        <v/>
      </c>
      <c r="Y1520" s="30">
        <f>T1520*X1520</f>
        <v/>
      </c>
      <c r="Z1520" s="28">
        <f>IFERROR(LOOKUP(Y1520,{0;0.5;5;25},{"Bajo";"Medio";"Alto";"Crítico"}),"")</f>
        <v/>
      </c>
      <c r="AA1520" s="64">
        <f>IF(T1520&gt;=3,IF(X1520&gt;=1,"Zona 1 — Crítica: impacto alto y ocurre al menos una vez al año","Zona 4 — Catastrófica poco probable: impacto alto pero excepcional"),IF(AND(T1520&lt;1.5,X1520&lt;1),"Zona 3 — Asumible: impacto bajo y muy poco frecuente","Zona 2 — Atención: riesgo intermedio"))</f>
        <v/>
      </c>
      <c r="AB1520" s="64">
        <f>IFERROR(INDEX(MgAmenCtrl,MATCH(SUBSTITUTE($H1520,"*","-"),MgAmenClave,0)),"")</f>
        <v/>
      </c>
      <c r="AC1520" s="20" t="n"/>
      <c r="AD1520" s="31">
        <f>IFERROR($X1520*(1-IF($AC1520="",$AL1520,VLOOKUP($AC1520,MgMad,2,0))),"")</f>
        <v/>
      </c>
      <c r="AE1520" s="28">
        <f>IFERROR(LOOKUP(AD1520,{0;0.01;0.1;1;10;100},{"Muy baja";"Muy baja";"Baja";"Media";"Alta";"Muy alta"}),"")</f>
        <v/>
      </c>
      <c r="AF1520" s="30">
        <f>T1520*AD1520</f>
        <v/>
      </c>
      <c r="AG1520" s="28">
        <f>IFERROR(LOOKUP(AF1520,{0;0.5;5;25},{"Bajo";"Medio";"Alto";"Crítico"}),"")</f>
        <v/>
      </c>
      <c r="AH1520" s="28">
        <f>IF(AG1520="","",IF(OR(AG1520="Crítico",AG1520="Alto"),"Mitigar",IF(AG1520="Medio","Mitigar","Aceptar y monitorear")))</f>
        <v/>
      </c>
      <c r="AI1520" s="21" t="n"/>
      <c r="AJ1520" s="21" t="n"/>
      <c r="AK1520" s="20" t="n"/>
      <c r="AL1520" s="77">
        <f>IFERROR(INDEX(MgAmenEfic,MATCH(SUBSTITUTE($H1520,"*","-"),MgAmenClave,0)),0)</f>
        <v/>
      </c>
    </row>
    <row r="1521" hidden="1" ht="60" customHeight="1" s="54">
      <c r="B1521" s="59" t="inlineStr">
        <is>
          <t>R-1516</t>
        </is>
      </c>
      <c r="C1521" s="59" t="inlineStr">
        <is>
          <t>GH-012</t>
        </is>
      </c>
      <c r="D1521" s="64">
        <f>IFERROR(INDEX(MgNombre,MATCH($C1521,MgActId,0)),"")</f>
        <v/>
      </c>
      <c r="E1521" s="64">
        <f>IFERROR(INDEX(MgProceso,MATCH($C1521,MgActId,0)),"")</f>
        <v/>
      </c>
      <c r="F1521" s="64">
        <f>IFERROR(INDEX(MgTipo,MATCH($C1521,MgActId,0)),"")</f>
        <v/>
      </c>
      <c r="G1521" s="64">
        <f>IFERROR(INDEX(MgSubtipo,MATCH($C1521,MgActId,0)),"")</f>
        <v/>
      </c>
      <c r="H1521" s="59" t="inlineStr">
        <is>
          <t>A.15</t>
        </is>
      </c>
      <c r="I1521" s="64">
        <f>IFERROR(INDEX(MgAmenNombre,MATCH(SUBSTITUTE($H1521,"*","-"),MgAmenClave,0)),"")</f>
        <v/>
      </c>
      <c r="J1521" s="28">
        <f>IFERROR(INDEX(MgAmenGrupo,MATCH(SUBSTITUTE($H1521,"*","-"),MgAmenClave,0)),"")</f>
        <v/>
      </c>
      <c r="K1521" s="64">
        <f>IFERROR(INDEX('1. Matriz de Activos'!$Q$6:$Q$239,MATCH($C1521,MgActId,0)),"")</f>
        <v/>
      </c>
      <c r="L1521" s="64">
        <f>IFERROR(INDEX('1. Matriz de Activos'!$R$6:$R$239,MATCH($C1521,MgActId,0)),"")</f>
        <v/>
      </c>
      <c r="M1521" s="64">
        <f>IFERROR(INDEX('1. Matriz de Activos'!$S$6:$S$239,MATCH($C1521,MgActId,0)),"")</f>
        <v/>
      </c>
      <c r="N1521" s="28">
        <f>IFERROR(INDEX(MgAmenDegD,MATCH(SUBSTITUTE($H1521,"*","-"),MgAmenClave,0)),"No aplica")</f>
        <v/>
      </c>
      <c r="O1521" s="28">
        <f>IFERROR(INDEX(MgAmenDegI,MATCH(SUBSTITUTE($H1521,"*","-"),MgAmenClave,0)),"No aplica")</f>
        <v/>
      </c>
      <c r="P1521" s="28">
        <f>IFERROR(INDEX(MgAmenDegC,MATCH(SUBSTITUTE($H1521,"*","-"),MgAmenClave,0)),"No aplica")</f>
        <v/>
      </c>
      <c r="Q1521" s="29">
        <f>IFERROR(VLOOKUP(K1521,MgValor,2,0)*VLOOKUP(N1521,MgDeg,2,0),0)</f>
        <v/>
      </c>
      <c r="R1521" s="29">
        <f>IFERROR(VLOOKUP(L1521,MgValor,2,0)*VLOOKUP(O1521,MgDeg,2,0),0)</f>
        <v/>
      </c>
      <c r="S1521" s="29">
        <f>IFERROR(VLOOKUP(M1521,MgValor,2,0)*VLOOKUP(P1521,MgDeg,2,0),0)</f>
        <v/>
      </c>
      <c r="T1521" s="30">
        <f>MAX(Q1521:S1521)</f>
        <v/>
      </c>
      <c r="U1521" s="28">
        <f>IFERROR(LOOKUP(T1521,{0;0.5;1.5;3;4.5},{"Despreciable";"Bajo";"Medio";"Alto";"Muy alto"}),"")</f>
        <v/>
      </c>
      <c r="V1521" s="13">
        <f>IFERROR(INDEX(MgAmenFrec,MATCH(SUBSTITUTE($H1521,"*","-"),MgAmenClave,0)),"")</f>
        <v/>
      </c>
      <c r="W1521" s="28">
        <f>IFERROR(LOOKUP(X1521,{0;0.01;0.1;1;10;100},{"Muy baja";"Muy baja";"Baja";"Media";"Alta";"Muy alta"}),"")</f>
        <v/>
      </c>
      <c r="X1521" s="31">
        <f>IFERROR(VLOOKUP(V1521,MgFrec,2,0),0)</f>
        <v/>
      </c>
      <c r="Y1521" s="30">
        <f>T1521*X1521</f>
        <v/>
      </c>
      <c r="Z1521" s="28">
        <f>IFERROR(LOOKUP(Y1521,{0;0.5;5;25},{"Bajo";"Medio";"Alto";"Crítico"}),"")</f>
        <v/>
      </c>
      <c r="AA1521" s="64">
        <f>IF(T1521&gt;=3,IF(X1521&gt;=1,"Zona 1 — Crítica: impacto alto y ocurre al menos una vez al año","Zona 4 — Catastrófica poco probable: impacto alto pero excepcional"),IF(AND(T1521&lt;1.5,X1521&lt;1),"Zona 3 — Asumible: impacto bajo y muy poco frecuente","Zona 2 — Atención: riesgo intermedio"))</f>
        <v/>
      </c>
      <c r="AB1521" s="64">
        <f>IFERROR(INDEX(MgAmenCtrl,MATCH(SUBSTITUTE($H1521,"*","-"),MgAmenClave,0)),"")</f>
        <v/>
      </c>
      <c r="AC1521" s="20" t="n"/>
      <c r="AD1521" s="31">
        <f>IFERROR($X1521*(1-IF($AC1521="",$AL1521,VLOOKUP($AC1521,MgMad,2,0))),"")</f>
        <v/>
      </c>
      <c r="AE1521" s="28">
        <f>IFERROR(LOOKUP(AD1521,{0;0.01;0.1;1;10;100},{"Muy baja";"Muy baja";"Baja";"Media";"Alta";"Muy alta"}),"")</f>
        <v/>
      </c>
      <c r="AF1521" s="30">
        <f>T1521*AD1521</f>
        <v/>
      </c>
      <c r="AG1521" s="28">
        <f>IFERROR(LOOKUP(AF1521,{0;0.5;5;25},{"Bajo";"Medio";"Alto";"Crítico"}),"")</f>
        <v/>
      </c>
      <c r="AH1521" s="28">
        <f>IF(AG1521="","",IF(OR(AG1521="Crítico",AG1521="Alto"),"Mitigar",IF(AG1521="Medio","Mitigar","Aceptar y monitorear")))</f>
        <v/>
      </c>
      <c r="AI1521" s="21" t="n"/>
      <c r="AJ1521" s="21" t="n"/>
      <c r="AK1521" s="20" t="n"/>
      <c r="AL1521" s="77">
        <f>IFERROR(INDEX(MgAmenEfic,MATCH(SUBSTITUTE($H1521,"*","-"),MgAmenClave,0)),0)</f>
        <v/>
      </c>
    </row>
    <row r="1522" hidden="1" ht="60" customHeight="1" s="54">
      <c r="B1522" s="59" t="inlineStr">
        <is>
          <t>R-1517</t>
        </is>
      </c>
      <c r="C1522" s="59" t="inlineStr">
        <is>
          <t>GH-012</t>
        </is>
      </c>
      <c r="D1522" s="64">
        <f>IFERROR(INDEX(MgNombre,MATCH($C1522,MgActId,0)),"")</f>
        <v/>
      </c>
      <c r="E1522" s="64">
        <f>IFERROR(INDEX(MgProceso,MATCH($C1522,MgActId,0)),"")</f>
        <v/>
      </c>
      <c r="F1522" s="64">
        <f>IFERROR(INDEX(MgTipo,MATCH($C1522,MgActId,0)),"")</f>
        <v/>
      </c>
      <c r="G1522" s="64">
        <f>IFERROR(INDEX(MgSubtipo,MATCH($C1522,MgActId,0)),"")</f>
        <v/>
      </c>
      <c r="H1522" s="59" t="inlineStr">
        <is>
          <t>A.18</t>
        </is>
      </c>
      <c r="I1522" s="64">
        <f>IFERROR(INDEX(MgAmenNombre,MATCH(SUBSTITUTE($H1522,"*","-"),MgAmenClave,0)),"")</f>
        <v/>
      </c>
      <c r="J1522" s="28">
        <f>IFERROR(INDEX(MgAmenGrupo,MATCH(SUBSTITUTE($H1522,"*","-"),MgAmenClave,0)),"")</f>
        <v/>
      </c>
      <c r="K1522" s="64">
        <f>IFERROR(INDEX('1. Matriz de Activos'!$Q$6:$Q$239,MATCH($C1522,MgActId,0)),"")</f>
        <v/>
      </c>
      <c r="L1522" s="64">
        <f>IFERROR(INDEX('1. Matriz de Activos'!$R$6:$R$239,MATCH($C1522,MgActId,0)),"")</f>
        <v/>
      </c>
      <c r="M1522" s="64">
        <f>IFERROR(INDEX('1. Matriz de Activos'!$S$6:$S$239,MATCH($C1522,MgActId,0)),"")</f>
        <v/>
      </c>
      <c r="N1522" s="28">
        <f>IFERROR(INDEX(MgAmenDegD,MATCH(SUBSTITUTE($H1522,"*","-"),MgAmenClave,0)),"No aplica")</f>
        <v/>
      </c>
      <c r="O1522" s="28">
        <f>IFERROR(INDEX(MgAmenDegI,MATCH(SUBSTITUTE($H1522,"*","-"),MgAmenClave,0)),"No aplica")</f>
        <v/>
      </c>
      <c r="P1522" s="28">
        <f>IFERROR(INDEX(MgAmenDegC,MATCH(SUBSTITUTE($H1522,"*","-"),MgAmenClave,0)),"No aplica")</f>
        <v/>
      </c>
      <c r="Q1522" s="29">
        <f>IFERROR(VLOOKUP(K1522,MgValor,2,0)*VLOOKUP(N1522,MgDeg,2,0),0)</f>
        <v/>
      </c>
      <c r="R1522" s="29">
        <f>IFERROR(VLOOKUP(L1522,MgValor,2,0)*VLOOKUP(O1522,MgDeg,2,0),0)</f>
        <v/>
      </c>
      <c r="S1522" s="29">
        <f>IFERROR(VLOOKUP(M1522,MgValor,2,0)*VLOOKUP(P1522,MgDeg,2,0),0)</f>
        <v/>
      </c>
      <c r="T1522" s="30">
        <f>MAX(Q1522:S1522)</f>
        <v/>
      </c>
      <c r="U1522" s="28">
        <f>IFERROR(LOOKUP(T1522,{0;0.5;1.5;3;4.5},{"Despreciable";"Bajo";"Medio";"Alto";"Muy alto"}),"")</f>
        <v/>
      </c>
      <c r="V1522" s="13">
        <f>IFERROR(INDEX(MgAmenFrec,MATCH(SUBSTITUTE($H1522,"*","-"),MgAmenClave,0)),"")</f>
        <v/>
      </c>
      <c r="W1522" s="28">
        <f>IFERROR(LOOKUP(X1522,{0;0.01;0.1;1;10;100},{"Muy baja";"Muy baja";"Baja";"Media";"Alta";"Muy alta"}),"")</f>
        <v/>
      </c>
      <c r="X1522" s="31">
        <f>IFERROR(VLOOKUP(V1522,MgFrec,2,0),0)</f>
        <v/>
      </c>
      <c r="Y1522" s="30">
        <f>T1522*X1522</f>
        <v/>
      </c>
      <c r="Z1522" s="28">
        <f>IFERROR(LOOKUP(Y1522,{0;0.5;5;25},{"Bajo";"Medio";"Alto";"Crítico"}),"")</f>
        <v/>
      </c>
      <c r="AA1522" s="64">
        <f>IF(T1522&gt;=3,IF(X1522&gt;=1,"Zona 1 — Crítica: impacto alto y ocurre al menos una vez al año","Zona 4 — Catastrófica poco probable: impacto alto pero excepcional"),IF(AND(T1522&lt;1.5,X1522&lt;1),"Zona 3 — Asumible: impacto bajo y muy poco frecuente","Zona 2 — Atención: riesgo intermedio"))</f>
        <v/>
      </c>
      <c r="AB1522" s="64">
        <f>IFERROR(INDEX(MgAmenCtrl,MATCH(SUBSTITUTE($H1522,"*","-"),MgAmenClave,0)),"")</f>
        <v/>
      </c>
      <c r="AC1522" s="20" t="n"/>
      <c r="AD1522" s="31">
        <f>IFERROR($X1522*(1-IF($AC1522="",$AL1522,VLOOKUP($AC1522,MgMad,2,0))),"")</f>
        <v/>
      </c>
      <c r="AE1522" s="28">
        <f>IFERROR(LOOKUP(AD1522,{0;0.01;0.1;1;10;100},{"Muy baja";"Muy baja";"Baja";"Media";"Alta";"Muy alta"}),"")</f>
        <v/>
      </c>
      <c r="AF1522" s="30">
        <f>T1522*AD1522</f>
        <v/>
      </c>
      <c r="AG1522" s="28">
        <f>IFERROR(LOOKUP(AF1522,{0;0.5;5;25},{"Bajo";"Medio";"Alto";"Crítico"}),"")</f>
        <v/>
      </c>
      <c r="AH1522" s="28">
        <f>IF(AG1522="","",IF(OR(AG1522="Crítico",AG1522="Alto"),"Mitigar",IF(AG1522="Medio","Mitigar","Aceptar y monitorear")))</f>
        <v/>
      </c>
      <c r="AI1522" s="21" t="n"/>
      <c r="AJ1522" s="21" t="n"/>
      <c r="AK1522" s="20" t="n"/>
      <c r="AL1522" s="77">
        <f>IFERROR(INDEX(MgAmenEfic,MATCH(SUBSTITUTE($H1522,"*","-"),MgAmenClave,0)),0)</f>
        <v/>
      </c>
    </row>
    <row r="1523" hidden="1" ht="120" customHeight="1" s="54">
      <c r="B1523" s="59" t="inlineStr">
        <is>
          <t>R-1518</t>
        </is>
      </c>
      <c r="C1523" s="59" t="inlineStr">
        <is>
          <t>GH-012</t>
        </is>
      </c>
      <c r="D1523" s="64">
        <f>IFERROR(INDEX(MgNombre,MATCH($C1523,MgActId,0)),"")</f>
        <v/>
      </c>
      <c r="E1523" s="64">
        <f>IFERROR(INDEX(MgProceso,MATCH($C1523,MgActId,0)),"")</f>
        <v/>
      </c>
      <c r="F1523" s="64">
        <f>IFERROR(INDEX(MgTipo,MATCH($C1523,MgActId,0)),"")</f>
        <v/>
      </c>
      <c r="G1523" s="64">
        <f>IFERROR(INDEX(MgSubtipo,MATCH($C1523,MgActId,0)),"")</f>
        <v/>
      </c>
      <c r="H1523" s="59" t="inlineStr">
        <is>
          <t>A.19</t>
        </is>
      </c>
      <c r="I1523" s="64">
        <f>IFERROR(INDEX(MgAmenNombre,MATCH(SUBSTITUTE($H1523,"*","-"),MgAmenClave,0)),"")</f>
        <v/>
      </c>
      <c r="J1523" s="28">
        <f>IFERROR(INDEX(MgAmenGrupo,MATCH(SUBSTITUTE($H1523,"*","-"),MgAmenClave,0)),"")</f>
        <v/>
      </c>
      <c r="K1523" s="64">
        <f>IFERROR(INDEX('1. Matriz de Activos'!$Q$6:$Q$239,MATCH($C1523,MgActId,0)),"")</f>
        <v/>
      </c>
      <c r="L1523" s="64">
        <f>IFERROR(INDEX('1. Matriz de Activos'!$R$6:$R$239,MATCH($C1523,MgActId,0)),"")</f>
        <v/>
      </c>
      <c r="M1523" s="64">
        <f>IFERROR(INDEX('1. Matriz de Activos'!$S$6:$S$239,MATCH($C1523,MgActId,0)),"")</f>
        <v/>
      </c>
      <c r="N1523" s="28">
        <f>IFERROR(INDEX(MgAmenDegD,MATCH(SUBSTITUTE($H1523,"*","-"),MgAmenClave,0)),"No aplica")</f>
        <v/>
      </c>
      <c r="O1523" s="28">
        <f>IFERROR(INDEX(MgAmenDegI,MATCH(SUBSTITUTE($H1523,"*","-"),MgAmenClave,0)),"No aplica")</f>
        <v/>
      </c>
      <c r="P1523" s="28">
        <f>IFERROR(INDEX(MgAmenDegC,MATCH(SUBSTITUTE($H1523,"*","-"),MgAmenClave,0)),"No aplica")</f>
        <v/>
      </c>
      <c r="Q1523" s="29">
        <f>IFERROR(VLOOKUP(K1523,MgValor,2,0)*VLOOKUP(N1523,MgDeg,2,0),0)</f>
        <v/>
      </c>
      <c r="R1523" s="29">
        <f>IFERROR(VLOOKUP(L1523,MgValor,2,0)*VLOOKUP(O1523,MgDeg,2,0),0)</f>
        <v/>
      </c>
      <c r="S1523" s="29">
        <f>IFERROR(VLOOKUP(M1523,MgValor,2,0)*VLOOKUP(P1523,MgDeg,2,0),0)</f>
        <v/>
      </c>
      <c r="T1523" s="30">
        <f>MAX(Q1523:S1523)</f>
        <v/>
      </c>
      <c r="U1523" s="28">
        <f>IFERROR(LOOKUP(T1523,{0;0.5;1.5;3;4.5},{"Despreciable";"Bajo";"Medio";"Alto";"Muy alto"}),"")</f>
        <v/>
      </c>
      <c r="V1523" s="13">
        <f>IFERROR(INDEX(MgAmenFrec,MATCH(SUBSTITUTE($H1523,"*","-"),MgAmenClave,0)),"")</f>
        <v/>
      </c>
      <c r="W1523" s="28">
        <f>IFERROR(LOOKUP(X1523,{0;0.01;0.1;1;10;100},{"Muy baja";"Muy baja";"Baja";"Media";"Alta";"Muy alta"}),"")</f>
        <v/>
      </c>
      <c r="X1523" s="31">
        <f>IFERROR(VLOOKUP(V1523,MgFrec,2,0),0)</f>
        <v/>
      </c>
      <c r="Y1523" s="30">
        <f>T1523*X1523</f>
        <v/>
      </c>
      <c r="Z1523" s="28">
        <f>IFERROR(LOOKUP(Y1523,{0;0.5;5;25},{"Bajo";"Medio";"Alto";"Crítico"}),"")</f>
        <v/>
      </c>
      <c r="AA1523" s="64">
        <f>IF(T1523&gt;=3,IF(X1523&gt;=1,"Zona 1 — Crítica: impacto alto y ocurre al menos una vez al año","Zona 4 — Catastrófica poco probable: impacto alto pero excepcional"),IF(AND(T1523&lt;1.5,X1523&lt;1),"Zona 3 — Asumible: impacto bajo y muy poco frecuente","Zona 2 — Atención: riesgo intermedio"))</f>
        <v/>
      </c>
      <c r="AB1523" s="64">
        <f>IFERROR(INDEX(MgAmenCtrl,MATCH(SUBSTITUTE($H1523,"*","-"),MgAmenClave,0)),"")</f>
        <v/>
      </c>
      <c r="AC1523" s="20" t="n"/>
      <c r="AD1523" s="31">
        <f>IFERROR($X1523*(1-IF($AC1523="",$AL1523,VLOOKUP($AC1523,MgMad,2,0))),"")</f>
        <v/>
      </c>
      <c r="AE1523" s="28">
        <f>IFERROR(LOOKUP(AD1523,{0;0.01;0.1;1;10;100},{"Muy baja";"Muy baja";"Baja";"Media";"Alta";"Muy alta"}),"")</f>
        <v/>
      </c>
      <c r="AF1523" s="30">
        <f>T1523*AD1523</f>
        <v/>
      </c>
      <c r="AG1523" s="28">
        <f>IFERROR(LOOKUP(AF1523,{0;0.5;5;25},{"Bajo";"Medio";"Alto";"Crítico"}),"")</f>
        <v/>
      </c>
      <c r="AH1523" s="28">
        <f>IF(AG1523="","",IF(OR(AG1523="Crítico",AG1523="Alto"),"Mitigar",IF(AG1523="Medio","Mitigar","Aceptar y monitorear")))</f>
        <v/>
      </c>
      <c r="AI1523" s="21" t="n"/>
      <c r="AJ1523" s="21" t="n"/>
      <c r="AK1523" s="20" t="n"/>
      <c r="AL1523" s="77">
        <f>IFERROR(INDEX(MgAmenEfic,MATCH(SUBSTITUTE($H1523,"*","-"),MgAmenClave,0)),0)</f>
        <v/>
      </c>
    </row>
    <row r="1524" hidden="1" ht="105" customHeight="1" s="54">
      <c r="B1524" s="59" t="inlineStr">
        <is>
          <t>R-1519</t>
        </is>
      </c>
      <c r="C1524" s="59" t="inlineStr">
        <is>
          <t>GH-011</t>
        </is>
      </c>
      <c r="D1524" s="64">
        <f>IFERROR(INDEX(MgNombre,MATCH($C1524,MgActId,0)),"")</f>
        <v/>
      </c>
      <c r="E1524" s="64">
        <f>IFERROR(INDEX(MgProceso,MATCH($C1524,MgActId,0)),"")</f>
        <v/>
      </c>
      <c r="F1524" s="64">
        <f>IFERROR(INDEX(MgTipo,MATCH($C1524,MgActId,0)),"")</f>
        <v/>
      </c>
      <c r="G1524" s="64">
        <f>IFERROR(INDEX(MgSubtipo,MATCH($C1524,MgActId,0)),"")</f>
        <v/>
      </c>
      <c r="H1524" s="59" t="inlineStr">
        <is>
          <t>E.1</t>
        </is>
      </c>
      <c r="I1524" s="64">
        <f>IFERROR(INDEX(MgAmenNombre,MATCH(SUBSTITUTE($H1524,"*","-"),MgAmenClave,0)),"")</f>
        <v/>
      </c>
      <c r="J1524" s="28">
        <f>IFERROR(INDEX(MgAmenGrupo,MATCH(SUBSTITUTE($H1524,"*","-"),MgAmenClave,0)),"")</f>
        <v/>
      </c>
      <c r="K1524" s="64">
        <f>IFERROR(INDEX('1. Matriz de Activos'!$Q$6:$Q$239,MATCH($C1524,MgActId,0)),"")</f>
        <v/>
      </c>
      <c r="L1524" s="64">
        <f>IFERROR(INDEX('1. Matriz de Activos'!$R$6:$R$239,MATCH($C1524,MgActId,0)),"")</f>
        <v/>
      </c>
      <c r="M1524" s="64">
        <f>IFERROR(INDEX('1. Matriz de Activos'!$S$6:$S$239,MATCH($C1524,MgActId,0)),"")</f>
        <v/>
      </c>
      <c r="N1524" s="28">
        <f>IFERROR(INDEX(MgAmenDegD,MATCH(SUBSTITUTE($H1524,"*","-"),MgAmenClave,0)),"No aplica")</f>
        <v/>
      </c>
      <c r="O1524" s="28">
        <f>IFERROR(INDEX(MgAmenDegI,MATCH(SUBSTITUTE($H1524,"*","-"),MgAmenClave,0)),"No aplica")</f>
        <v/>
      </c>
      <c r="P1524" s="28">
        <f>IFERROR(INDEX(MgAmenDegC,MATCH(SUBSTITUTE($H1524,"*","-"),MgAmenClave,0)),"No aplica")</f>
        <v/>
      </c>
      <c r="Q1524" s="29">
        <f>IFERROR(VLOOKUP(K1524,MgValor,2,0)*VLOOKUP(N1524,MgDeg,2,0),0)</f>
        <v/>
      </c>
      <c r="R1524" s="29">
        <f>IFERROR(VLOOKUP(L1524,MgValor,2,0)*VLOOKUP(O1524,MgDeg,2,0),0)</f>
        <v/>
      </c>
      <c r="S1524" s="29">
        <f>IFERROR(VLOOKUP(M1524,MgValor,2,0)*VLOOKUP(P1524,MgDeg,2,0),0)</f>
        <v/>
      </c>
      <c r="T1524" s="30">
        <f>MAX(Q1524:S1524)</f>
        <v/>
      </c>
      <c r="U1524" s="28">
        <f>IFERROR(LOOKUP(T1524,{0;0.5;1.5;3;4.5},{"Despreciable";"Bajo";"Medio";"Alto";"Muy alto"}),"")</f>
        <v/>
      </c>
      <c r="V1524" s="13">
        <f>IFERROR(INDEX(MgAmenFrec,MATCH(SUBSTITUTE($H1524,"*","-"),MgAmenClave,0)),"")</f>
        <v/>
      </c>
      <c r="W1524" s="28">
        <f>IFERROR(LOOKUP(X1524,{0;0.01;0.1;1;10;100},{"Muy baja";"Muy baja";"Baja";"Media";"Alta";"Muy alta"}),"")</f>
        <v/>
      </c>
      <c r="X1524" s="31">
        <f>IFERROR(VLOOKUP(V1524,MgFrec,2,0),0)</f>
        <v/>
      </c>
      <c r="Y1524" s="30">
        <f>T1524*X1524</f>
        <v/>
      </c>
      <c r="Z1524" s="28">
        <f>IFERROR(LOOKUP(Y1524,{0;0.5;5;25},{"Bajo";"Medio";"Alto";"Crítico"}),"")</f>
        <v/>
      </c>
      <c r="AA1524" s="64">
        <f>IF(T1524&gt;=3,IF(X1524&gt;=1,"Zona 1 — Crítica: impacto alto y ocurre al menos una vez al año","Zona 4 — Catastrófica poco probable: impacto alto pero excepcional"),IF(AND(T1524&lt;1.5,X1524&lt;1),"Zona 3 — Asumible: impacto bajo y muy poco frecuente","Zona 2 — Atención: riesgo intermedio"))</f>
        <v/>
      </c>
      <c r="AB1524" s="64">
        <f>IFERROR(INDEX(MgAmenCtrl,MATCH(SUBSTITUTE($H1524,"*","-"),MgAmenClave,0)),"")</f>
        <v/>
      </c>
      <c r="AC1524" s="20" t="n"/>
      <c r="AD1524" s="31">
        <f>IFERROR($X1524*(1-IF($AC1524="",$AL1524,VLOOKUP($AC1524,MgMad,2,0))),"")</f>
        <v/>
      </c>
      <c r="AE1524" s="28">
        <f>IFERROR(LOOKUP(AD1524,{0;0.01;0.1;1;10;100},{"Muy baja";"Muy baja";"Baja";"Media";"Alta";"Muy alta"}),"")</f>
        <v/>
      </c>
      <c r="AF1524" s="30">
        <f>T1524*AD1524</f>
        <v/>
      </c>
      <c r="AG1524" s="28">
        <f>IFERROR(LOOKUP(AF1524,{0;0.5;5;25},{"Bajo";"Medio";"Alto";"Crítico"}),"")</f>
        <v/>
      </c>
      <c r="AH1524" s="28">
        <f>IF(AG1524="","",IF(OR(AG1524="Crítico",AG1524="Alto"),"Mitigar",IF(AG1524="Medio","Mitigar","Aceptar y monitorear")))</f>
        <v/>
      </c>
      <c r="AI1524" s="21" t="n"/>
      <c r="AJ1524" s="21" t="n"/>
      <c r="AK1524" s="20" t="n"/>
      <c r="AL1524" s="77">
        <f>IFERROR(INDEX(MgAmenEfic,MATCH(SUBSTITUTE($H1524,"*","-"),MgAmenClave,0)),0)</f>
        <v/>
      </c>
    </row>
    <row r="1525" hidden="1" ht="120" customHeight="1" s="54">
      <c r="B1525" s="59" t="inlineStr">
        <is>
          <t>R-1520</t>
        </is>
      </c>
      <c r="C1525" s="59" t="inlineStr">
        <is>
          <t>GH-011</t>
        </is>
      </c>
      <c r="D1525" s="64">
        <f>IFERROR(INDEX(MgNombre,MATCH($C1525,MgActId,0)),"")</f>
        <v/>
      </c>
      <c r="E1525" s="64">
        <f>IFERROR(INDEX(MgProceso,MATCH($C1525,MgActId,0)),"")</f>
        <v/>
      </c>
      <c r="F1525" s="64">
        <f>IFERROR(INDEX(MgTipo,MATCH($C1525,MgActId,0)),"")</f>
        <v/>
      </c>
      <c r="G1525" s="64">
        <f>IFERROR(INDEX(MgSubtipo,MATCH($C1525,MgActId,0)),"")</f>
        <v/>
      </c>
      <c r="H1525" s="59" t="inlineStr">
        <is>
          <t>E.2</t>
        </is>
      </c>
      <c r="I1525" s="64">
        <f>IFERROR(INDEX(MgAmenNombre,MATCH(SUBSTITUTE($H1525,"*","-"),MgAmenClave,0)),"")</f>
        <v/>
      </c>
      <c r="J1525" s="28">
        <f>IFERROR(INDEX(MgAmenGrupo,MATCH(SUBSTITUTE($H1525,"*","-"),MgAmenClave,0)),"")</f>
        <v/>
      </c>
      <c r="K1525" s="64">
        <f>IFERROR(INDEX('1. Matriz de Activos'!$Q$6:$Q$239,MATCH($C1525,MgActId,0)),"")</f>
        <v/>
      </c>
      <c r="L1525" s="64">
        <f>IFERROR(INDEX('1. Matriz de Activos'!$R$6:$R$239,MATCH($C1525,MgActId,0)),"")</f>
        <v/>
      </c>
      <c r="M1525" s="64">
        <f>IFERROR(INDEX('1. Matriz de Activos'!$S$6:$S$239,MATCH($C1525,MgActId,0)),"")</f>
        <v/>
      </c>
      <c r="N1525" s="28">
        <f>IFERROR(INDEX(MgAmenDegD,MATCH(SUBSTITUTE($H1525,"*","-"),MgAmenClave,0)),"No aplica")</f>
        <v/>
      </c>
      <c r="O1525" s="28">
        <f>IFERROR(INDEX(MgAmenDegI,MATCH(SUBSTITUTE($H1525,"*","-"),MgAmenClave,0)),"No aplica")</f>
        <v/>
      </c>
      <c r="P1525" s="28">
        <f>IFERROR(INDEX(MgAmenDegC,MATCH(SUBSTITUTE($H1525,"*","-"),MgAmenClave,0)),"No aplica")</f>
        <v/>
      </c>
      <c r="Q1525" s="29">
        <f>IFERROR(VLOOKUP(K1525,MgValor,2,0)*VLOOKUP(N1525,MgDeg,2,0),0)</f>
        <v/>
      </c>
      <c r="R1525" s="29">
        <f>IFERROR(VLOOKUP(L1525,MgValor,2,0)*VLOOKUP(O1525,MgDeg,2,0),0)</f>
        <v/>
      </c>
      <c r="S1525" s="29">
        <f>IFERROR(VLOOKUP(M1525,MgValor,2,0)*VLOOKUP(P1525,MgDeg,2,0),0)</f>
        <v/>
      </c>
      <c r="T1525" s="30">
        <f>MAX(Q1525:S1525)</f>
        <v/>
      </c>
      <c r="U1525" s="28">
        <f>IFERROR(LOOKUP(T1525,{0;0.5;1.5;3;4.5},{"Despreciable";"Bajo";"Medio";"Alto";"Muy alto"}),"")</f>
        <v/>
      </c>
      <c r="V1525" s="13">
        <f>IFERROR(INDEX(MgAmenFrec,MATCH(SUBSTITUTE($H1525,"*","-"),MgAmenClave,0)),"")</f>
        <v/>
      </c>
      <c r="W1525" s="28">
        <f>IFERROR(LOOKUP(X1525,{0;0.01;0.1;1;10;100},{"Muy baja";"Muy baja";"Baja";"Media";"Alta";"Muy alta"}),"")</f>
        <v/>
      </c>
      <c r="X1525" s="31">
        <f>IFERROR(VLOOKUP(V1525,MgFrec,2,0),0)</f>
        <v/>
      </c>
      <c r="Y1525" s="30">
        <f>T1525*X1525</f>
        <v/>
      </c>
      <c r="Z1525" s="28">
        <f>IFERROR(LOOKUP(Y1525,{0;0.5;5;25},{"Bajo";"Medio";"Alto";"Crítico"}),"")</f>
        <v/>
      </c>
      <c r="AA1525" s="64">
        <f>IF(T1525&gt;=3,IF(X1525&gt;=1,"Zona 1 — Crítica: impacto alto y ocurre al menos una vez al año","Zona 4 — Catastrófica poco probable: impacto alto pero excepcional"),IF(AND(T1525&lt;1.5,X1525&lt;1),"Zona 3 — Asumible: impacto bajo y muy poco frecuente","Zona 2 — Atención: riesgo intermedio"))</f>
        <v/>
      </c>
      <c r="AB1525" s="64">
        <f>IFERROR(INDEX(MgAmenCtrl,MATCH(SUBSTITUTE($H1525,"*","-"),MgAmenClave,0)),"")</f>
        <v/>
      </c>
      <c r="AC1525" s="20" t="n"/>
      <c r="AD1525" s="31">
        <f>IFERROR($X1525*(1-IF($AC1525="",$AL1525,VLOOKUP($AC1525,MgMad,2,0))),"")</f>
        <v/>
      </c>
      <c r="AE1525" s="28">
        <f>IFERROR(LOOKUP(AD1525,{0;0.01;0.1;1;10;100},{"Muy baja";"Muy baja";"Baja";"Media";"Alta";"Muy alta"}),"")</f>
        <v/>
      </c>
      <c r="AF1525" s="30">
        <f>T1525*AD1525</f>
        <v/>
      </c>
      <c r="AG1525" s="28">
        <f>IFERROR(LOOKUP(AF1525,{0;0.5;5;25},{"Bajo";"Medio";"Alto";"Crítico"}),"")</f>
        <v/>
      </c>
      <c r="AH1525" s="28">
        <f>IF(AG1525="","",IF(OR(AG1525="Crítico",AG1525="Alto"),"Mitigar",IF(AG1525="Medio","Mitigar","Aceptar y monitorear")))</f>
        <v/>
      </c>
      <c r="AI1525" s="21" t="n"/>
      <c r="AJ1525" s="21" t="n"/>
      <c r="AK1525" s="20" t="n"/>
      <c r="AL1525" s="77">
        <f>IFERROR(INDEX(MgAmenEfic,MATCH(SUBSTITUTE($H1525,"*","-"),MgAmenClave,0)),0)</f>
        <v/>
      </c>
    </row>
    <row r="1526" hidden="1" ht="75" customHeight="1" s="54">
      <c r="B1526" s="59" t="inlineStr">
        <is>
          <t>R-1521</t>
        </is>
      </c>
      <c r="C1526" s="59" t="inlineStr">
        <is>
          <t>GH-011</t>
        </is>
      </c>
      <c r="D1526" s="64">
        <f>IFERROR(INDEX(MgNombre,MATCH($C1526,MgActId,0)),"")</f>
        <v/>
      </c>
      <c r="E1526" s="64">
        <f>IFERROR(INDEX(MgProceso,MATCH($C1526,MgActId,0)),"")</f>
        <v/>
      </c>
      <c r="F1526" s="64">
        <f>IFERROR(INDEX(MgTipo,MATCH($C1526,MgActId,0)),"")</f>
        <v/>
      </c>
      <c r="G1526" s="64">
        <f>IFERROR(INDEX(MgSubtipo,MATCH($C1526,MgActId,0)),"")</f>
        <v/>
      </c>
      <c r="H1526" s="59" t="inlineStr">
        <is>
          <t>E.3</t>
        </is>
      </c>
      <c r="I1526" s="64">
        <f>IFERROR(INDEX(MgAmenNombre,MATCH(SUBSTITUTE($H1526,"*","-"),MgAmenClave,0)),"")</f>
        <v/>
      </c>
      <c r="J1526" s="28">
        <f>IFERROR(INDEX(MgAmenGrupo,MATCH(SUBSTITUTE($H1526,"*","-"),MgAmenClave,0)),"")</f>
        <v/>
      </c>
      <c r="K1526" s="64">
        <f>IFERROR(INDEX('1. Matriz de Activos'!$Q$6:$Q$239,MATCH($C1526,MgActId,0)),"")</f>
        <v/>
      </c>
      <c r="L1526" s="64">
        <f>IFERROR(INDEX('1. Matriz de Activos'!$R$6:$R$239,MATCH($C1526,MgActId,0)),"")</f>
        <v/>
      </c>
      <c r="M1526" s="64">
        <f>IFERROR(INDEX('1. Matriz de Activos'!$S$6:$S$239,MATCH($C1526,MgActId,0)),"")</f>
        <v/>
      </c>
      <c r="N1526" s="28">
        <f>IFERROR(INDEX(MgAmenDegD,MATCH(SUBSTITUTE($H1526,"*","-"),MgAmenClave,0)),"No aplica")</f>
        <v/>
      </c>
      <c r="O1526" s="28">
        <f>IFERROR(INDEX(MgAmenDegI,MATCH(SUBSTITUTE($H1526,"*","-"),MgAmenClave,0)),"No aplica")</f>
        <v/>
      </c>
      <c r="P1526" s="28">
        <f>IFERROR(INDEX(MgAmenDegC,MATCH(SUBSTITUTE($H1526,"*","-"),MgAmenClave,0)),"No aplica")</f>
        <v/>
      </c>
      <c r="Q1526" s="29">
        <f>IFERROR(VLOOKUP(K1526,MgValor,2,0)*VLOOKUP(N1526,MgDeg,2,0),0)</f>
        <v/>
      </c>
      <c r="R1526" s="29">
        <f>IFERROR(VLOOKUP(L1526,MgValor,2,0)*VLOOKUP(O1526,MgDeg,2,0),0)</f>
        <v/>
      </c>
      <c r="S1526" s="29">
        <f>IFERROR(VLOOKUP(M1526,MgValor,2,0)*VLOOKUP(P1526,MgDeg,2,0),0)</f>
        <v/>
      </c>
      <c r="T1526" s="30">
        <f>MAX(Q1526:S1526)</f>
        <v/>
      </c>
      <c r="U1526" s="28">
        <f>IFERROR(LOOKUP(T1526,{0;0.5;1.5;3;4.5},{"Despreciable";"Bajo";"Medio";"Alto";"Muy alto"}),"")</f>
        <v/>
      </c>
      <c r="V1526" s="13">
        <f>IFERROR(INDEX(MgAmenFrec,MATCH(SUBSTITUTE($H1526,"*","-"),MgAmenClave,0)),"")</f>
        <v/>
      </c>
      <c r="W1526" s="28">
        <f>IFERROR(LOOKUP(X1526,{0;0.01;0.1;1;10;100},{"Muy baja";"Muy baja";"Baja";"Media";"Alta";"Muy alta"}),"")</f>
        <v/>
      </c>
      <c r="X1526" s="31">
        <f>IFERROR(VLOOKUP(V1526,MgFrec,2,0),0)</f>
        <v/>
      </c>
      <c r="Y1526" s="30">
        <f>T1526*X1526</f>
        <v/>
      </c>
      <c r="Z1526" s="28">
        <f>IFERROR(LOOKUP(Y1526,{0;0.5;5;25},{"Bajo";"Medio";"Alto";"Crítico"}),"")</f>
        <v/>
      </c>
      <c r="AA1526" s="64">
        <f>IF(T1526&gt;=3,IF(X1526&gt;=1,"Zona 1 — Crítica: impacto alto y ocurre al menos una vez al año","Zona 4 — Catastrófica poco probable: impacto alto pero excepcional"),IF(AND(T1526&lt;1.5,X1526&lt;1),"Zona 3 — Asumible: impacto bajo y muy poco frecuente","Zona 2 — Atención: riesgo intermedio"))</f>
        <v/>
      </c>
      <c r="AB1526" s="64">
        <f>IFERROR(INDEX(MgAmenCtrl,MATCH(SUBSTITUTE($H1526,"*","-"),MgAmenClave,0)),"")</f>
        <v/>
      </c>
      <c r="AC1526" s="20" t="n"/>
      <c r="AD1526" s="31">
        <f>IFERROR($X1526*(1-IF($AC1526="",$AL1526,VLOOKUP($AC1526,MgMad,2,0))),"")</f>
        <v/>
      </c>
      <c r="AE1526" s="28">
        <f>IFERROR(LOOKUP(AD1526,{0;0.01;0.1;1;10;100},{"Muy baja";"Muy baja";"Baja";"Media";"Alta";"Muy alta"}),"")</f>
        <v/>
      </c>
      <c r="AF1526" s="30">
        <f>T1526*AD1526</f>
        <v/>
      </c>
      <c r="AG1526" s="28">
        <f>IFERROR(LOOKUP(AF1526,{0;0.5;5;25},{"Bajo";"Medio";"Alto";"Crítico"}),"")</f>
        <v/>
      </c>
      <c r="AH1526" s="28">
        <f>IF(AG1526="","",IF(OR(AG1526="Crítico",AG1526="Alto"),"Mitigar",IF(AG1526="Medio","Mitigar","Aceptar y monitorear")))</f>
        <v/>
      </c>
      <c r="AI1526" s="21" t="n"/>
      <c r="AJ1526" s="21" t="n"/>
      <c r="AK1526" s="20" t="n"/>
      <c r="AL1526" s="77">
        <f>IFERROR(INDEX(MgAmenEfic,MATCH(SUBSTITUTE($H1526,"*","-"),MgAmenClave,0)),0)</f>
        <v/>
      </c>
    </row>
    <row r="1527" hidden="1" ht="75" customHeight="1" s="54">
      <c r="B1527" s="59" t="inlineStr">
        <is>
          <t>R-1522</t>
        </is>
      </c>
      <c r="C1527" s="59" t="inlineStr">
        <is>
          <t>GH-011</t>
        </is>
      </c>
      <c r="D1527" s="64">
        <f>IFERROR(INDEX(MgNombre,MATCH($C1527,MgActId,0)),"")</f>
        <v/>
      </c>
      <c r="E1527" s="64">
        <f>IFERROR(INDEX(MgProceso,MATCH($C1527,MgActId,0)),"")</f>
        <v/>
      </c>
      <c r="F1527" s="64">
        <f>IFERROR(INDEX(MgTipo,MATCH($C1527,MgActId,0)),"")</f>
        <v/>
      </c>
      <c r="G1527" s="64">
        <f>IFERROR(INDEX(MgSubtipo,MATCH($C1527,MgActId,0)),"")</f>
        <v/>
      </c>
      <c r="H1527" s="59" t="inlineStr">
        <is>
          <t>E.4</t>
        </is>
      </c>
      <c r="I1527" s="64">
        <f>IFERROR(INDEX(MgAmenNombre,MATCH(SUBSTITUTE($H1527,"*","-"),MgAmenClave,0)),"")</f>
        <v/>
      </c>
      <c r="J1527" s="28">
        <f>IFERROR(INDEX(MgAmenGrupo,MATCH(SUBSTITUTE($H1527,"*","-"),MgAmenClave,0)),"")</f>
        <v/>
      </c>
      <c r="K1527" s="64">
        <f>IFERROR(INDEX('1. Matriz de Activos'!$Q$6:$Q$239,MATCH($C1527,MgActId,0)),"")</f>
        <v/>
      </c>
      <c r="L1527" s="64">
        <f>IFERROR(INDEX('1. Matriz de Activos'!$R$6:$R$239,MATCH($C1527,MgActId,0)),"")</f>
        <v/>
      </c>
      <c r="M1527" s="64">
        <f>IFERROR(INDEX('1. Matriz de Activos'!$S$6:$S$239,MATCH($C1527,MgActId,0)),"")</f>
        <v/>
      </c>
      <c r="N1527" s="28">
        <f>IFERROR(INDEX(MgAmenDegD,MATCH(SUBSTITUTE($H1527,"*","-"),MgAmenClave,0)),"No aplica")</f>
        <v/>
      </c>
      <c r="O1527" s="28">
        <f>IFERROR(INDEX(MgAmenDegI,MATCH(SUBSTITUTE($H1527,"*","-"),MgAmenClave,0)),"No aplica")</f>
        <v/>
      </c>
      <c r="P1527" s="28">
        <f>IFERROR(INDEX(MgAmenDegC,MATCH(SUBSTITUTE($H1527,"*","-"),MgAmenClave,0)),"No aplica")</f>
        <v/>
      </c>
      <c r="Q1527" s="29">
        <f>IFERROR(VLOOKUP(K1527,MgValor,2,0)*VLOOKUP(N1527,MgDeg,2,0),0)</f>
        <v/>
      </c>
      <c r="R1527" s="29">
        <f>IFERROR(VLOOKUP(L1527,MgValor,2,0)*VLOOKUP(O1527,MgDeg,2,0),0)</f>
        <v/>
      </c>
      <c r="S1527" s="29">
        <f>IFERROR(VLOOKUP(M1527,MgValor,2,0)*VLOOKUP(P1527,MgDeg,2,0),0)</f>
        <v/>
      </c>
      <c r="T1527" s="30">
        <f>MAX(Q1527:S1527)</f>
        <v/>
      </c>
      <c r="U1527" s="28">
        <f>IFERROR(LOOKUP(T1527,{0;0.5;1.5;3;4.5},{"Despreciable";"Bajo";"Medio";"Alto";"Muy alto"}),"")</f>
        <v/>
      </c>
      <c r="V1527" s="13">
        <f>IFERROR(INDEX(MgAmenFrec,MATCH(SUBSTITUTE($H1527,"*","-"),MgAmenClave,0)),"")</f>
        <v/>
      </c>
      <c r="W1527" s="28">
        <f>IFERROR(LOOKUP(X1527,{0;0.01;0.1;1;10;100},{"Muy baja";"Muy baja";"Baja";"Media";"Alta";"Muy alta"}),"")</f>
        <v/>
      </c>
      <c r="X1527" s="31">
        <f>IFERROR(VLOOKUP(V1527,MgFrec,2,0),0)</f>
        <v/>
      </c>
      <c r="Y1527" s="30">
        <f>T1527*X1527</f>
        <v/>
      </c>
      <c r="Z1527" s="28">
        <f>IFERROR(LOOKUP(Y1527,{0;0.5;5;25},{"Bajo";"Medio";"Alto";"Crítico"}),"")</f>
        <v/>
      </c>
      <c r="AA1527" s="64">
        <f>IF(T1527&gt;=3,IF(X1527&gt;=1,"Zona 1 — Crítica: impacto alto y ocurre al menos una vez al año","Zona 4 — Catastrófica poco probable: impacto alto pero excepcional"),IF(AND(T1527&lt;1.5,X1527&lt;1),"Zona 3 — Asumible: impacto bajo y muy poco frecuente","Zona 2 — Atención: riesgo intermedio"))</f>
        <v/>
      </c>
      <c r="AB1527" s="64">
        <f>IFERROR(INDEX(MgAmenCtrl,MATCH(SUBSTITUTE($H1527,"*","-"),MgAmenClave,0)),"")</f>
        <v/>
      </c>
      <c r="AC1527" s="20" t="n"/>
      <c r="AD1527" s="31">
        <f>IFERROR($X1527*(1-IF($AC1527="",$AL1527,VLOOKUP($AC1527,MgMad,2,0))),"")</f>
        <v/>
      </c>
      <c r="AE1527" s="28">
        <f>IFERROR(LOOKUP(AD1527,{0;0.01;0.1;1;10;100},{"Muy baja";"Muy baja";"Baja";"Media";"Alta";"Muy alta"}),"")</f>
        <v/>
      </c>
      <c r="AF1527" s="30">
        <f>T1527*AD1527</f>
        <v/>
      </c>
      <c r="AG1527" s="28">
        <f>IFERROR(LOOKUP(AF1527,{0;0.5;5;25},{"Bajo";"Medio";"Alto";"Crítico"}),"")</f>
        <v/>
      </c>
      <c r="AH1527" s="28">
        <f>IF(AG1527="","",IF(OR(AG1527="Crítico",AG1527="Alto"),"Mitigar",IF(AG1527="Medio","Mitigar","Aceptar y monitorear")))</f>
        <v/>
      </c>
      <c r="AI1527" s="21" t="n"/>
      <c r="AJ1527" s="21" t="n"/>
      <c r="AK1527" s="20" t="n"/>
      <c r="AL1527" s="77">
        <f>IFERROR(INDEX(MgAmenEfic,MATCH(SUBSTITUTE($H1527,"*","-"),MgAmenClave,0)),0)</f>
        <v/>
      </c>
    </row>
    <row r="1528" hidden="1" ht="90" customHeight="1" s="54">
      <c r="B1528" s="59" t="inlineStr">
        <is>
          <t>R-1523</t>
        </is>
      </c>
      <c r="C1528" s="59" t="inlineStr">
        <is>
          <t>GH-011</t>
        </is>
      </c>
      <c r="D1528" s="64">
        <f>IFERROR(INDEX(MgNombre,MATCH($C1528,MgActId,0)),"")</f>
        <v/>
      </c>
      <c r="E1528" s="64">
        <f>IFERROR(INDEX(MgProceso,MATCH($C1528,MgActId,0)),"")</f>
        <v/>
      </c>
      <c r="F1528" s="64">
        <f>IFERROR(INDEX(MgTipo,MATCH($C1528,MgActId,0)),"")</f>
        <v/>
      </c>
      <c r="G1528" s="64">
        <f>IFERROR(INDEX(MgSubtipo,MATCH($C1528,MgActId,0)),"")</f>
        <v/>
      </c>
      <c r="H1528" s="59" t="inlineStr">
        <is>
          <t>E.14</t>
        </is>
      </c>
      <c r="I1528" s="64">
        <f>IFERROR(INDEX(MgAmenNombre,MATCH(SUBSTITUTE($H1528,"*","-"),MgAmenClave,0)),"")</f>
        <v/>
      </c>
      <c r="J1528" s="28">
        <f>IFERROR(INDEX(MgAmenGrupo,MATCH(SUBSTITUTE($H1528,"*","-"),MgAmenClave,0)),"")</f>
        <v/>
      </c>
      <c r="K1528" s="64">
        <f>IFERROR(INDEX('1. Matriz de Activos'!$Q$6:$Q$239,MATCH($C1528,MgActId,0)),"")</f>
        <v/>
      </c>
      <c r="L1528" s="64">
        <f>IFERROR(INDEX('1. Matriz de Activos'!$R$6:$R$239,MATCH($C1528,MgActId,0)),"")</f>
        <v/>
      </c>
      <c r="M1528" s="64">
        <f>IFERROR(INDEX('1. Matriz de Activos'!$S$6:$S$239,MATCH($C1528,MgActId,0)),"")</f>
        <v/>
      </c>
      <c r="N1528" s="28">
        <f>IFERROR(INDEX(MgAmenDegD,MATCH(SUBSTITUTE($H1528,"*","-"),MgAmenClave,0)),"No aplica")</f>
        <v/>
      </c>
      <c r="O1528" s="28">
        <f>IFERROR(INDEX(MgAmenDegI,MATCH(SUBSTITUTE($H1528,"*","-"),MgAmenClave,0)),"No aplica")</f>
        <v/>
      </c>
      <c r="P1528" s="28">
        <f>IFERROR(INDEX(MgAmenDegC,MATCH(SUBSTITUTE($H1528,"*","-"),MgAmenClave,0)),"No aplica")</f>
        <v/>
      </c>
      <c r="Q1528" s="29">
        <f>IFERROR(VLOOKUP(K1528,MgValor,2,0)*VLOOKUP(N1528,MgDeg,2,0),0)</f>
        <v/>
      </c>
      <c r="R1528" s="29">
        <f>IFERROR(VLOOKUP(L1528,MgValor,2,0)*VLOOKUP(O1528,MgDeg,2,0),0)</f>
        <v/>
      </c>
      <c r="S1528" s="29">
        <f>IFERROR(VLOOKUP(M1528,MgValor,2,0)*VLOOKUP(P1528,MgDeg,2,0),0)</f>
        <v/>
      </c>
      <c r="T1528" s="30">
        <f>MAX(Q1528:S1528)</f>
        <v/>
      </c>
      <c r="U1528" s="28">
        <f>IFERROR(LOOKUP(T1528,{0;0.5;1.5;3;4.5},{"Despreciable";"Bajo";"Medio";"Alto";"Muy alto"}),"")</f>
        <v/>
      </c>
      <c r="V1528" s="13">
        <f>IFERROR(INDEX(MgAmenFrec,MATCH(SUBSTITUTE($H1528,"*","-"),MgAmenClave,0)),"")</f>
        <v/>
      </c>
      <c r="W1528" s="28">
        <f>IFERROR(LOOKUP(X1528,{0;0.01;0.1;1;10;100},{"Muy baja";"Muy baja";"Baja";"Media";"Alta";"Muy alta"}),"")</f>
        <v/>
      </c>
      <c r="X1528" s="31">
        <f>IFERROR(VLOOKUP(V1528,MgFrec,2,0),0)</f>
        <v/>
      </c>
      <c r="Y1528" s="30">
        <f>T1528*X1528</f>
        <v/>
      </c>
      <c r="Z1528" s="28">
        <f>IFERROR(LOOKUP(Y1528,{0;0.5;5;25},{"Bajo";"Medio";"Alto";"Crítico"}),"")</f>
        <v/>
      </c>
      <c r="AA1528" s="64">
        <f>IF(T1528&gt;=3,IF(X1528&gt;=1,"Zona 1 — Crítica: impacto alto y ocurre al menos una vez al año","Zona 4 — Catastrófica poco probable: impacto alto pero excepcional"),IF(AND(T1528&lt;1.5,X1528&lt;1),"Zona 3 — Asumible: impacto bajo y muy poco frecuente","Zona 2 — Atención: riesgo intermedio"))</f>
        <v/>
      </c>
      <c r="AB1528" s="64">
        <f>IFERROR(INDEX(MgAmenCtrl,MATCH(SUBSTITUTE($H1528,"*","-"),MgAmenClave,0)),"")</f>
        <v/>
      </c>
      <c r="AC1528" s="20" t="n"/>
      <c r="AD1528" s="31">
        <f>IFERROR($X1528*(1-IF($AC1528="",$AL1528,VLOOKUP($AC1528,MgMad,2,0))),"")</f>
        <v/>
      </c>
      <c r="AE1528" s="28">
        <f>IFERROR(LOOKUP(AD1528,{0;0.01;0.1;1;10;100},{"Muy baja";"Muy baja";"Baja";"Media";"Alta";"Muy alta"}),"")</f>
        <v/>
      </c>
      <c r="AF1528" s="30">
        <f>T1528*AD1528</f>
        <v/>
      </c>
      <c r="AG1528" s="28">
        <f>IFERROR(LOOKUP(AF1528,{0;0.5;5;25},{"Bajo";"Medio";"Alto";"Crítico"}),"")</f>
        <v/>
      </c>
      <c r="AH1528" s="28">
        <f>IF(AG1528="","",IF(OR(AG1528="Crítico",AG1528="Alto"),"Mitigar",IF(AG1528="Medio","Mitigar","Aceptar y monitorear")))</f>
        <v/>
      </c>
      <c r="AI1528" s="21" t="n"/>
      <c r="AJ1528" s="21" t="n"/>
      <c r="AK1528" s="20" t="n"/>
      <c r="AL1528" s="77">
        <f>IFERROR(INDEX(MgAmenEfic,MATCH(SUBSTITUTE($H1528,"*","-"),MgAmenClave,0)),0)</f>
        <v/>
      </c>
    </row>
    <row r="1529" hidden="1" ht="90" customHeight="1" s="54">
      <c r="B1529" s="59" t="inlineStr">
        <is>
          <t>R-1524</t>
        </is>
      </c>
      <c r="C1529" s="59" t="inlineStr">
        <is>
          <t>GH-011</t>
        </is>
      </c>
      <c r="D1529" s="64">
        <f>IFERROR(INDEX(MgNombre,MATCH($C1529,MgActId,0)),"")</f>
        <v/>
      </c>
      <c r="E1529" s="64">
        <f>IFERROR(INDEX(MgProceso,MATCH($C1529,MgActId,0)),"")</f>
        <v/>
      </c>
      <c r="F1529" s="64">
        <f>IFERROR(INDEX(MgTipo,MATCH($C1529,MgActId,0)),"")</f>
        <v/>
      </c>
      <c r="G1529" s="64">
        <f>IFERROR(INDEX(MgSubtipo,MATCH($C1529,MgActId,0)),"")</f>
        <v/>
      </c>
      <c r="H1529" s="59" t="inlineStr">
        <is>
          <t>E.15</t>
        </is>
      </c>
      <c r="I1529" s="64">
        <f>IFERROR(INDEX(MgAmenNombre,MATCH(SUBSTITUTE($H1529,"*","-"),MgAmenClave,0)),"")</f>
        <v/>
      </c>
      <c r="J1529" s="28">
        <f>IFERROR(INDEX(MgAmenGrupo,MATCH(SUBSTITUTE($H1529,"*","-"),MgAmenClave,0)),"")</f>
        <v/>
      </c>
      <c r="K1529" s="64">
        <f>IFERROR(INDEX('1. Matriz de Activos'!$Q$6:$Q$239,MATCH($C1529,MgActId,0)),"")</f>
        <v/>
      </c>
      <c r="L1529" s="64">
        <f>IFERROR(INDEX('1. Matriz de Activos'!$R$6:$R$239,MATCH($C1529,MgActId,0)),"")</f>
        <v/>
      </c>
      <c r="M1529" s="64">
        <f>IFERROR(INDEX('1. Matriz de Activos'!$S$6:$S$239,MATCH($C1529,MgActId,0)),"")</f>
        <v/>
      </c>
      <c r="N1529" s="28">
        <f>IFERROR(INDEX(MgAmenDegD,MATCH(SUBSTITUTE($H1529,"*","-"),MgAmenClave,0)),"No aplica")</f>
        <v/>
      </c>
      <c r="O1529" s="28">
        <f>IFERROR(INDEX(MgAmenDegI,MATCH(SUBSTITUTE($H1529,"*","-"),MgAmenClave,0)),"No aplica")</f>
        <v/>
      </c>
      <c r="P1529" s="28">
        <f>IFERROR(INDEX(MgAmenDegC,MATCH(SUBSTITUTE($H1529,"*","-"),MgAmenClave,0)),"No aplica")</f>
        <v/>
      </c>
      <c r="Q1529" s="29">
        <f>IFERROR(VLOOKUP(K1529,MgValor,2,0)*VLOOKUP(N1529,MgDeg,2,0),0)</f>
        <v/>
      </c>
      <c r="R1529" s="29">
        <f>IFERROR(VLOOKUP(L1529,MgValor,2,0)*VLOOKUP(O1529,MgDeg,2,0),0)</f>
        <v/>
      </c>
      <c r="S1529" s="29">
        <f>IFERROR(VLOOKUP(M1529,MgValor,2,0)*VLOOKUP(P1529,MgDeg,2,0),0)</f>
        <v/>
      </c>
      <c r="T1529" s="30">
        <f>MAX(Q1529:S1529)</f>
        <v/>
      </c>
      <c r="U1529" s="28">
        <f>IFERROR(LOOKUP(T1529,{0;0.5;1.5;3;4.5},{"Despreciable";"Bajo";"Medio";"Alto";"Muy alto"}),"")</f>
        <v/>
      </c>
      <c r="V1529" s="13">
        <f>IFERROR(INDEX(MgAmenFrec,MATCH(SUBSTITUTE($H1529,"*","-"),MgAmenClave,0)),"")</f>
        <v/>
      </c>
      <c r="W1529" s="28">
        <f>IFERROR(LOOKUP(X1529,{0;0.01;0.1;1;10;100},{"Muy baja";"Muy baja";"Baja";"Media";"Alta";"Muy alta"}),"")</f>
        <v/>
      </c>
      <c r="X1529" s="31">
        <f>IFERROR(VLOOKUP(V1529,MgFrec,2,0),0)</f>
        <v/>
      </c>
      <c r="Y1529" s="30">
        <f>T1529*X1529</f>
        <v/>
      </c>
      <c r="Z1529" s="28">
        <f>IFERROR(LOOKUP(Y1529,{0;0.5;5;25},{"Bajo";"Medio";"Alto";"Crítico"}),"")</f>
        <v/>
      </c>
      <c r="AA1529" s="64">
        <f>IF(T1529&gt;=3,IF(X1529&gt;=1,"Zona 1 — Crítica: impacto alto y ocurre al menos una vez al año","Zona 4 — Catastrófica poco probable: impacto alto pero excepcional"),IF(AND(T1529&lt;1.5,X1529&lt;1),"Zona 3 — Asumible: impacto bajo y muy poco frecuente","Zona 2 — Atención: riesgo intermedio"))</f>
        <v/>
      </c>
      <c r="AB1529" s="64">
        <f>IFERROR(INDEX(MgAmenCtrl,MATCH(SUBSTITUTE($H1529,"*","-"),MgAmenClave,0)),"")</f>
        <v/>
      </c>
      <c r="AC1529" s="20" t="n"/>
      <c r="AD1529" s="31">
        <f>IFERROR($X1529*(1-IF($AC1529="",$AL1529,VLOOKUP($AC1529,MgMad,2,0))),"")</f>
        <v/>
      </c>
      <c r="AE1529" s="28">
        <f>IFERROR(LOOKUP(AD1529,{0;0.01;0.1;1;10;100},{"Muy baja";"Muy baja";"Baja";"Media";"Alta";"Muy alta"}),"")</f>
        <v/>
      </c>
      <c r="AF1529" s="30">
        <f>T1529*AD1529</f>
        <v/>
      </c>
      <c r="AG1529" s="28">
        <f>IFERROR(LOOKUP(AF1529,{0;0.5;5;25},{"Bajo";"Medio";"Alto";"Crítico"}),"")</f>
        <v/>
      </c>
      <c r="AH1529" s="28">
        <f>IF(AG1529="","",IF(OR(AG1529="Crítico",AG1529="Alto"),"Mitigar",IF(AG1529="Medio","Mitigar","Aceptar y monitorear")))</f>
        <v/>
      </c>
      <c r="AI1529" s="21" t="n"/>
      <c r="AJ1529" s="21" t="n"/>
      <c r="AK1529" s="20" t="n"/>
      <c r="AL1529" s="77">
        <f>IFERROR(INDEX(MgAmenEfic,MATCH(SUBSTITUTE($H1529,"*","-"),MgAmenClave,0)),0)</f>
        <v/>
      </c>
    </row>
    <row r="1530" hidden="1" ht="60" customHeight="1" s="54">
      <c r="B1530" s="59" t="inlineStr">
        <is>
          <t>R-1525</t>
        </is>
      </c>
      <c r="C1530" s="59" t="inlineStr">
        <is>
          <t>GH-011</t>
        </is>
      </c>
      <c r="D1530" s="64">
        <f>IFERROR(INDEX(MgNombre,MATCH($C1530,MgActId,0)),"")</f>
        <v/>
      </c>
      <c r="E1530" s="64">
        <f>IFERROR(INDEX(MgProceso,MATCH($C1530,MgActId,0)),"")</f>
        <v/>
      </c>
      <c r="F1530" s="64">
        <f>IFERROR(INDEX(MgTipo,MATCH($C1530,MgActId,0)),"")</f>
        <v/>
      </c>
      <c r="G1530" s="64">
        <f>IFERROR(INDEX(MgSubtipo,MATCH($C1530,MgActId,0)),"")</f>
        <v/>
      </c>
      <c r="H1530" s="59" t="inlineStr">
        <is>
          <t>E.18</t>
        </is>
      </c>
      <c r="I1530" s="64">
        <f>IFERROR(INDEX(MgAmenNombre,MATCH(SUBSTITUTE($H1530,"*","-"),MgAmenClave,0)),"")</f>
        <v/>
      </c>
      <c r="J1530" s="28">
        <f>IFERROR(INDEX(MgAmenGrupo,MATCH(SUBSTITUTE($H1530,"*","-"),MgAmenClave,0)),"")</f>
        <v/>
      </c>
      <c r="K1530" s="64">
        <f>IFERROR(INDEX('1. Matriz de Activos'!$Q$6:$Q$239,MATCH($C1530,MgActId,0)),"")</f>
        <v/>
      </c>
      <c r="L1530" s="64">
        <f>IFERROR(INDEX('1. Matriz de Activos'!$R$6:$R$239,MATCH($C1530,MgActId,0)),"")</f>
        <v/>
      </c>
      <c r="M1530" s="64">
        <f>IFERROR(INDEX('1. Matriz de Activos'!$S$6:$S$239,MATCH($C1530,MgActId,0)),"")</f>
        <v/>
      </c>
      <c r="N1530" s="28">
        <f>IFERROR(INDEX(MgAmenDegD,MATCH(SUBSTITUTE($H1530,"*","-"),MgAmenClave,0)),"No aplica")</f>
        <v/>
      </c>
      <c r="O1530" s="28">
        <f>IFERROR(INDEX(MgAmenDegI,MATCH(SUBSTITUTE($H1530,"*","-"),MgAmenClave,0)),"No aplica")</f>
        <v/>
      </c>
      <c r="P1530" s="28">
        <f>IFERROR(INDEX(MgAmenDegC,MATCH(SUBSTITUTE($H1530,"*","-"),MgAmenClave,0)),"No aplica")</f>
        <v/>
      </c>
      <c r="Q1530" s="29">
        <f>IFERROR(VLOOKUP(K1530,MgValor,2,0)*VLOOKUP(N1530,MgDeg,2,0),0)</f>
        <v/>
      </c>
      <c r="R1530" s="29">
        <f>IFERROR(VLOOKUP(L1530,MgValor,2,0)*VLOOKUP(O1530,MgDeg,2,0),0)</f>
        <v/>
      </c>
      <c r="S1530" s="29">
        <f>IFERROR(VLOOKUP(M1530,MgValor,2,0)*VLOOKUP(P1530,MgDeg,2,0),0)</f>
        <v/>
      </c>
      <c r="T1530" s="30">
        <f>MAX(Q1530:S1530)</f>
        <v/>
      </c>
      <c r="U1530" s="28">
        <f>IFERROR(LOOKUP(T1530,{0;0.5;1.5;3;4.5},{"Despreciable";"Bajo";"Medio";"Alto";"Muy alto"}),"")</f>
        <v/>
      </c>
      <c r="V1530" s="13">
        <f>IFERROR(INDEX(MgAmenFrec,MATCH(SUBSTITUTE($H1530,"*","-"),MgAmenClave,0)),"")</f>
        <v/>
      </c>
      <c r="W1530" s="28">
        <f>IFERROR(LOOKUP(X1530,{0;0.01;0.1;1;10;100},{"Muy baja";"Muy baja";"Baja";"Media";"Alta";"Muy alta"}),"")</f>
        <v/>
      </c>
      <c r="X1530" s="31">
        <f>IFERROR(VLOOKUP(V1530,MgFrec,2,0),0)</f>
        <v/>
      </c>
      <c r="Y1530" s="30">
        <f>T1530*X1530</f>
        <v/>
      </c>
      <c r="Z1530" s="28">
        <f>IFERROR(LOOKUP(Y1530,{0;0.5;5;25},{"Bajo";"Medio";"Alto";"Crítico"}),"")</f>
        <v/>
      </c>
      <c r="AA1530" s="64">
        <f>IF(T1530&gt;=3,IF(X1530&gt;=1,"Zona 1 — Crítica: impacto alto y ocurre al menos una vez al año","Zona 4 — Catastrófica poco probable: impacto alto pero excepcional"),IF(AND(T1530&lt;1.5,X1530&lt;1),"Zona 3 — Asumible: impacto bajo y muy poco frecuente","Zona 2 — Atención: riesgo intermedio"))</f>
        <v/>
      </c>
      <c r="AB1530" s="64">
        <f>IFERROR(INDEX(MgAmenCtrl,MATCH(SUBSTITUTE($H1530,"*","-"),MgAmenClave,0)),"")</f>
        <v/>
      </c>
      <c r="AC1530" s="20" t="n"/>
      <c r="AD1530" s="31">
        <f>IFERROR($X1530*(1-IF($AC1530="",$AL1530,VLOOKUP($AC1530,MgMad,2,0))),"")</f>
        <v/>
      </c>
      <c r="AE1530" s="28">
        <f>IFERROR(LOOKUP(AD1530,{0;0.01;0.1;1;10;100},{"Muy baja";"Muy baja";"Baja";"Media";"Alta";"Muy alta"}),"")</f>
        <v/>
      </c>
      <c r="AF1530" s="30">
        <f>T1530*AD1530</f>
        <v/>
      </c>
      <c r="AG1530" s="28">
        <f>IFERROR(LOOKUP(AF1530,{0;0.5;5;25},{"Bajo";"Medio";"Alto";"Crítico"}),"")</f>
        <v/>
      </c>
      <c r="AH1530" s="28">
        <f>IF(AG1530="","",IF(OR(AG1530="Crítico",AG1530="Alto"),"Mitigar",IF(AG1530="Medio","Mitigar","Aceptar y monitorear")))</f>
        <v/>
      </c>
      <c r="AI1530" s="21" t="n"/>
      <c r="AJ1530" s="21" t="n"/>
      <c r="AK1530" s="20" t="n"/>
      <c r="AL1530" s="77">
        <f>IFERROR(INDEX(MgAmenEfic,MATCH(SUBSTITUTE($H1530,"*","-"),MgAmenClave,0)),0)</f>
        <v/>
      </c>
    </row>
    <row r="1531" hidden="1" ht="105" customHeight="1" s="54">
      <c r="B1531" s="59" t="inlineStr">
        <is>
          <t>R-1526</t>
        </is>
      </c>
      <c r="C1531" s="59" t="inlineStr">
        <is>
          <t>GH-011</t>
        </is>
      </c>
      <c r="D1531" s="64">
        <f>IFERROR(INDEX(MgNombre,MATCH($C1531,MgActId,0)),"")</f>
        <v/>
      </c>
      <c r="E1531" s="64">
        <f>IFERROR(INDEX(MgProceso,MATCH($C1531,MgActId,0)),"")</f>
        <v/>
      </c>
      <c r="F1531" s="64">
        <f>IFERROR(INDEX(MgTipo,MATCH($C1531,MgActId,0)),"")</f>
        <v/>
      </c>
      <c r="G1531" s="64">
        <f>IFERROR(INDEX(MgSubtipo,MATCH($C1531,MgActId,0)),"")</f>
        <v/>
      </c>
      <c r="H1531" s="59" t="inlineStr">
        <is>
          <t>E.19</t>
        </is>
      </c>
      <c r="I1531" s="64">
        <f>IFERROR(INDEX(MgAmenNombre,MATCH(SUBSTITUTE($H1531,"*","-"),MgAmenClave,0)),"")</f>
        <v/>
      </c>
      <c r="J1531" s="28">
        <f>IFERROR(INDEX(MgAmenGrupo,MATCH(SUBSTITUTE($H1531,"*","-"),MgAmenClave,0)),"")</f>
        <v/>
      </c>
      <c r="K1531" s="64">
        <f>IFERROR(INDEX('1. Matriz de Activos'!$Q$6:$Q$239,MATCH($C1531,MgActId,0)),"")</f>
        <v/>
      </c>
      <c r="L1531" s="64">
        <f>IFERROR(INDEX('1. Matriz de Activos'!$R$6:$R$239,MATCH($C1531,MgActId,0)),"")</f>
        <v/>
      </c>
      <c r="M1531" s="64">
        <f>IFERROR(INDEX('1. Matriz de Activos'!$S$6:$S$239,MATCH($C1531,MgActId,0)),"")</f>
        <v/>
      </c>
      <c r="N1531" s="28">
        <f>IFERROR(INDEX(MgAmenDegD,MATCH(SUBSTITUTE($H1531,"*","-"),MgAmenClave,0)),"No aplica")</f>
        <v/>
      </c>
      <c r="O1531" s="28">
        <f>IFERROR(INDEX(MgAmenDegI,MATCH(SUBSTITUTE($H1531,"*","-"),MgAmenClave,0)),"No aplica")</f>
        <v/>
      </c>
      <c r="P1531" s="28">
        <f>IFERROR(INDEX(MgAmenDegC,MATCH(SUBSTITUTE($H1531,"*","-"),MgAmenClave,0)),"No aplica")</f>
        <v/>
      </c>
      <c r="Q1531" s="29">
        <f>IFERROR(VLOOKUP(K1531,MgValor,2,0)*VLOOKUP(N1531,MgDeg,2,0),0)</f>
        <v/>
      </c>
      <c r="R1531" s="29">
        <f>IFERROR(VLOOKUP(L1531,MgValor,2,0)*VLOOKUP(O1531,MgDeg,2,0),0)</f>
        <v/>
      </c>
      <c r="S1531" s="29">
        <f>IFERROR(VLOOKUP(M1531,MgValor,2,0)*VLOOKUP(P1531,MgDeg,2,0),0)</f>
        <v/>
      </c>
      <c r="T1531" s="30">
        <f>MAX(Q1531:S1531)</f>
        <v/>
      </c>
      <c r="U1531" s="28">
        <f>IFERROR(LOOKUP(T1531,{0;0.5;1.5;3;4.5},{"Despreciable";"Bajo";"Medio";"Alto";"Muy alto"}),"")</f>
        <v/>
      </c>
      <c r="V1531" s="13">
        <f>IFERROR(INDEX(MgAmenFrec,MATCH(SUBSTITUTE($H1531,"*","-"),MgAmenClave,0)),"")</f>
        <v/>
      </c>
      <c r="W1531" s="28">
        <f>IFERROR(LOOKUP(X1531,{0;0.01;0.1;1;10;100},{"Muy baja";"Muy baja";"Baja";"Media";"Alta";"Muy alta"}),"")</f>
        <v/>
      </c>
      <c r="X1531" s="31">
        <f>IFERROR(VLOOKUP(V1531,MgFrec,2,0),0)</f>
        <v/>
      </c>
      <c r="Y1531" s="30">
        <f>T1531*X1531</f>
        <v/>
      </c>
      <c r="Z1531" s="28">
        <f>IFERROR(LOOKUP(Y1531,{0;0.5;5;25},{"Bajo";"Medio";"Alto";"Crítico"}),"")</f>
        <v/>
      </c>
      <c r="AA1531" s="64">
        <f>IF(T1531&gt;=3,IF(X1531&gt;=1,"Zona 1 — Crítica: impacto alto y ocurre al menos una vez al año","Zona 4 — Catastrófica poco probable: impacto alto pero excepcional"),IF(AND(T1531&lt;1.5,X1531&lt;1),"Zona 3 — Asumible: impacto bajo y muy poco frecuente","Zona 2 — Atención: riesgo intermedio"))</f>
        <v/>
      </c>
      <c r="AB1531" s="64">
        <f>IFERROR(INDEX(MgAmenCtrl,MATCH(SUBSTITUTE($H1531,"*","-"),MgAmenClave,0)),"")</f>
        <v/>
      </c>
      <c r="AC1531" s="20" t="n"/>
      <c r="AD1531" s="31">
        <f>IFERROR($X1531*(1-IF($AC1531="",$AL1531,VLOOKUP($AC1531,MgMad,2,0))),"")</f>
        <v/>
      </c>
      <c r="AE1531" s="28">
        <f>IFERROR(LOOKUP(AD1531,{0;0.01;0.1;1;10;100},{"Muy baja";"Muy baja";"Baja";"Media";"Alta";"Muy alta"}),"")</f>
        <v/>
      </c>
      <c r="AF1531" s="30">
        <f>T1531*AD1531</f>
        <v/>
      </c>
      <c r="AG1531" s="28">
        <f>IFERROR(LOOKUP(AF1531,{0;0.5;5;25},{"Bajo";"Medio";"Alto";"Crítico"}),"")</f>
        <v/>
      </c>
      <c r="AH1531" s="28">
        <f>IF(AG1531="","",IF(OR(AG1531="Crítico",AG1531="Alto"),"Mitigar",IF(AG1531="Medio","Mitigar","Aceptar y monitorear")))</f>
        <v/>
      </c>
      <c r="AI1531" s="21" t="n"/>
      <c r="AJ1531" s="21" t="n"/>
      <c r="AK1531" s="20" t="n"/>
      <c r="AL1531" s="77">
        <f>IFERROR(INDEX(MgAmenEfic,MATCH(SUBSTITUTE($H1531,"*","-"),MgAmenClave,0)),0)</f>
        <v/>
      </c>
    </row>
    <row r="1532" hidden="1" ht="60" customHeight="1" s="54">
      <c r="B1532" s="59" t="inlineStr">
        <is>
          <t>R-1527</t>
        </is>
      </c>
      <c r="C1532" s="59" t="inlineStr">
        <is>
          <t>GH-011</t>
        </is>
      </c>
      <c r="D1532" s="64">
        <f>IFERROR(INDEX(MgNombre,MATCH($C1532,MgActId,0)),"")</f>
        <v/>
      </c>
      <c r="E1532" s="64">
        <f>IFERROR(INDEX(MgProceso,MATCH($C1532,MgActId,0)),"")</f>
        <v/>
      </c>
      <c r="F1532" s="64">
        <f>IFERROR(INDEX(MgTipo,MATCH($C1532,MgActId,0)),"")</f>
        <v/>
      </c>
      <c r="G1532" s="64">
        <f>IFERROR(INDEX(MgSubtipo,MATCH($C1532,MgActId,0)),"")</f>
        <v/>
      </c>
      <c r="H1532" s="59" t="inlineStr">
        <is>
          <t>A.3</t>
        </is>
      </c>
      <c r="I1532" s="64">
        <f>IFERROR(INDEX(MgAmenNombre,MATCH(SUBSTITUTE($H1532,"*","-"),MgAmenClave,0)),"")</f>
        <v/>
      </c>
      <c r="J1532" s="28">
        <f>IFERROR(INDEX(MgAmenGrupo,MATCH(SUBSTITUTE($H1532,"*","-"),MgAmenClave,0)),"")</f>
        <v/>
      </c>
      <c r="K1532" s="64">
        <f>IFERROR(INDEX('1. Matriz de Activos'!$Q$6:$Q$239,MATCH($C1532,MgActId,0)),"")</f>
        <v/>
      </c>
      <c r="L1532" s="64">
        <f>IFERROR(INDEX('1. Matriz de Activos'!$R$6:$R$239,MATCH($C1532,MgActId,0)),"")</f>
        <v/>
      </c>
      <c r="M1532" s="64">
        <f>IFERROR(INDEX('1. Matriz de Activos'!$S$6:$S$239,MATCH($C1532,MgActId,0)),"")</f>
        <v/>
      </c>
      <c r="N1532" s="28">
        <f>IFERROR(INDEX(MgAmenDegD,MATCH(SUBSTITUTE($H1532,"*","-"),MgAmenClave,0)),"No aplica")</f>
        <v/>
      </c>
      <c r="O1532" s="28">
        <f>IFERROR(INDEX(MgAmenDegI,MATCH(SUBSTITUTE($H1532,"*","-"),MgAmenClave,0)),"No aplica")</f>
        <v/>
      </c>
      <c r="P1532" s="28">
        <f>IFERROR(INDEX(MgAmenDegC,MATCH(SUBSTITUTE($H1532,"*","-"),MgAmenClave,0)),"No aplica")</f>
        <v/>
      </c>
      <c r="Q1532" s="29">
        <f>IFERROR(VLOOKUP(K1532,MgValor,2,0)*VLOOKUP(N1532,MgDeg,2,0),0)</f>
        <v/>
      </c>
      <c r="R1532" s="29">
        <f>IFERROR(VLOOKUP(L1532,MgValor,2,0)*VLOOKUP(O1532,MgDeg,2,0),0)</f>
        <v/>
      </c>
      <c r="S1532" s="29">
        <f>IFERROR(VLOOKUP(M1532,MgValor,2,0)*VLOOKUP(P1532,MgDeg,2,0),0)</f>
        <v/>
      </c>
      <c r="T1532" s="30">
        <f>MAX(Q1532:S1532)</f>
        <v/>
      </c>
      <c r="U1532" s="28">
        <f>IFERROR(LOOKUP(T1532,{0;0.5;1.5;3;4.5},{"Despreciable";"Bajo";"Medio";"Alto";"Muy alto"}),"")</f>
        <v/>
      </c>
      <c r="V1532" s="13">
        <f>IFERROR(INDEX(MgAmenFrec,MATCH(SUBSTITUTE($H1532,"*","-"),MgAmenClave,0)),"")</f>
        <v/>
      </c>
      <c r="W1532" s="28">
        <f>IFERROR(LOOKUP(X1532,{0;0.01;0.1;1;10;100},{"Muy baja";"Muy baja";"Baja";"Media";"Alta";"Muy alta"}),"")</f>
        <v/>
      </c>
      <c r="X1532" s="31">
        <f>IFERROR(VLOOKUP(V1532,MgFrec,2,0),0)</f>
        <v/>
      </c>
      <c r="Y1532" s="30">
        <f>T1532*X1532</f>
        <v/>
      </c>
      <c r="Z1532" s="28">
        <f>IFERROR(LOOKUP(Y1532,{0;0.5;5;25},{"Bajo";"Medio";"Alto";"Crítico"}),"")</f>
        <v/>
      </c>
      <c r="AA1532" s="64">
        <f>IF(T1532&gt;=3,IF(X1532&gt;=1,"Zona 1 — Crítica: impacto alto y ocurre al menos una vez al año","Zona 4 — Catastrófica poco probable: impacto alto pero excepcional"),IF(AND(T1532&lt;1.5,X1532&lt;1),"Zona 3 — Asumible: impacto bajo y muy poco frecuente","Zona 2 — Atención: riesgo intermedio"))</f>
        <v/>
      </c>
      <c r="AB1532" s="64">
        <f>IFERROR(INDEX(MgAmenCtrl,MATCH(SUBSTITUTE($H1532,"*","-"),MgAmenClave,0)),"")</f>
        <v/>
      </c>
      <c r="AC1532" s="20" t="n"/>
      <c r="AD1532" s="31">
        <f>IFERROR($X1532*(1-IF($AC1532="",$AL1532,VLOOKUP($AC1532,MgMad,2,0))),"")</f>
        <v/>
      </c>
      <c r="AE1532" s="28">
        <f>IFERROR(LOOKUP(AD1532,{0;0.01;0.1;1;10;100},{"Muy baja";"Muy baja";"Baja";"Media";"Alta";"Muy alta"}),"")</f>
        <v/>
      </c>
      <c r="AF1532" s="30">
        <f>T1532*AD1532</f>
        <v/>
      </c>
      <c r="AG1532" s="28">
        <f>IFERROR(LOOKUP(AF1532,{0;0.5;5;25},{"Bajo";"Medio";"Alto";"Crítico"}),"")</f>
        <v/>
      </c>
      <c r="AH1532" s="28">
        <f>IF(AG1532="","",IF(OR(AG1532="Crítico",AG1532="Alto"),"Mitigar",IF(AG1532="Medio","Mitigar","Aceptar y monitorear")))</f>
        <v/>
      </c>
      <c r="AI1532" s="21" t="n"/>
      <c r="AJ1532" s="21" t="n"/>
      <c r="AK1532" s="20" t="n"/>
      <c r="AL1532" s="77">
        <f>IFERROR(INDEX(MgAmenEfic,MATCH(SUBSTITUTE($H1532,"*","-"),MgAmenClave,0)),0)</f>
        <v/>
      </c>
    </row>
    <row r="1533" hidden="1" ht="60" customHeight="1" s="54">
      <c r="B1533" s="59" t="inlineStr">
        <is>
          <t>R-1528</t>
        </is>
      </c>
      <c r="C1533" s="59" t="inlineStr">
        <is>
          <t>GH-011</t>
        </is>
      </c>
      <c r="D1533" s="64">
        <f>IFERROR(INDEX(MgNombre,MATCH($C1533,MgActId,0)),"")</f>
        <v/>
      </c>
      <c r="E1533" s="64">
        <f>IFERROR(INDEX(MgProceso,MATCH($C1533,MgActId,0)),"")</f>
        <v/>
      </c>
      <c r="F1533" s="64">
        <f>IFERROR(INDEX(MgTipo,MATCH($C1533,MgActId,0)),"")</f>
        <v/>
      </c>
      <c r="G1533" s="64">
        <f>IFERROR(INDEX(MgSubtipo,MATCH($C1533,MgActId,0)),"")</f>
        <v/>
      </c>
      <c r="H1533" s="59" t="inlineStr">
        <is>
          <t>A.4</t>
        </is>
      </c>
      <c r="I1533" s="64">
        <f>IFERROR(INDEX(MgAmenNombre,MATCH(SUBSTITUTE($H1533,"*","-"),MgAmenClave,0)),"")</f>
        <v/>
      </c>
      <c r="J1533" s="28">
        <f>IFERROR(INDEX(MgAmenGrupo,MATCH(SUBSTITUTE($H1533,"*","-"),MgAmenClave,0)),"")</f>
        <v/>
      </c>
      <c r="K1533" s="64">
        <f>IFERROR(INDEX('1. Matriz de Activos'!$Q$6:$Q$239,MATCH($C1533,MgActId,0)),"")</f>
        <v/>
      </c>
      <c r="L1533" s="64">
        <f>IFERROR(INDEX('1. Matriz de Activos'!$R$6:$R$239,MATCH($C1533,MgActId,0)),"")</f>
        <v/>
      </c>
      <c r="M1533" s="64">
        <f>IFERROR(INDEX('1. Matriz de Activos'!$S$6:$S$239,MATCH($C1533,MgActId,0)),"")</f>
        <v/>
      </c>
      <c r="N1533" s="28">
        <f>IFERROR(INDEX(MgAmenDegD,MATCH(SUBSTITUTE($H1533,"*","-"),MgAmenClave,0)),"No aplica")</f>
        <v/>
      </c>
      <c r="O1533" s="28">
        <f>IFERROR(INDEX(MgAmenDegI,MATCH(SUBSTITUTE($H1533,"*","-"),MgAmenClave,0)),"No aplica")</f>
        <v/>
      </c>
      <c r="P1533" s="28">
        <f>IFERROR(INDEX(MgAmenDegC,MATCH(SUBSTITUTE($H1533,"*","-"),MgAmenClave,0)),"No aplica")</f>
        <v/>
      </c>
      <c r="Q1533" s="29">
        <f>IFERROR(VLOOKUP(K1533,MgValor,2,0)*VLOOKUP(N1533,MgDeg,2,0),0)</f>
        <v/>
      </c>
      <c r="R1533" s="29">
        <f>IFERROR(VLOOKUP(L1533,MgValor,2,0)*VLOOKUP(O1533,MgDeg,2,0),0)</f>
        <v/>
      </c>
      <c r="S1533" s="29">
        <f>IFERROR(VLOOKUP(M1533,MgValor,2,0)*VLOOKUP(P1533,MgDeg,2,0),0)</f>
        <v/>
      </c>
      <c r="T1533" s="30">
        <f>MAX(Q1533:S1533)</f>
        <v/>
      </c>
      <c r="U1533" s="28">
        <f>IFERROR(LOOKUP(T1533,{0;0.5;1.5;3;4.5},{"Despreciable";"Bajo";"Medio";"Alto";"Muy alto"}),"")</f>
        <v/>
      </c>
      <c r="V1533" s="13">
        <f>IFERROR(INDEX(MgAmenFrec,MATCH(SUBSTITUTE($H1533,"*","-"),MgAmenClave,0)),"")</f>
        <v/>
      </c>
      <c r="W1533" s="28">
        <f>IFERROR(LOOKUP(X1533,{0;0.01;0.1;1;10;100},{"Muy baja";"Muy baja";"Baja";"Media";"Alta";"Muy alta"}),"")</f>
        <v/>
      </c>
      <c r="X1533" s="31">
        <f>IFERROR(VLOOKUP(V1533,MgFrec,2,0),0)</f>
        <v/>
      </c>
      <c r="Y1533" s="30">
        <f>T1533*X1533</f>
        <v/>
      </c>
      <c r="Z1533" s="28">
        <f>IFERROR(LOOKUP(Y1533,{0;0.5;5;25},{"Bajo";"Medio";"Alto";"Crítico"}),"")</f>
        <v/>
      </c>
      <c r="AA1533" s="64">
        <f>IF(T1533&gt;=3,IF(X1533&gt;=1,"Zona 1 — Crítica: impacto alto y ocurre al menos una vez al año","Zona 4 — Catastrófica poco probable: impacto alto pero excepcional"),IF(AND(T1533&lt;1.5,X1533&lt;1),"Zona 3 — Asumible: impacto bajo y muy poco frecuente","Zona 2 — Atención: riesgo intermedio"))</f>
        <v/>
      </c>
      <c r="AB1533" s="64">
        <f>IFERROR(INDEX(MgAmenCtrl,MATCH(SUBSTITUTE($H1533,"*","-"),MgAmenClave,0)),"")</f>
        <v/>
      </c>
      <c r="AC1533" s="20" t="n"/>
      <c r="AD1533" s="31">
        <f>IFERROR($X1533*(1-IF($AC1533="",$AL1533,VLOOKUP($AC1533,MgMad,2,0))),"")</f>
        <v/>
      </c>
      <c r="AE1533" s="28">
        <f>IFERROR(LOOKUP(AD1533,{0;0.01;0.1;1;10;100},{"Muy baja";"Muy baja";"Baja";"Media";"Alta";"Muy alta"}),"")</f>
        <v/>
      </c>
      <c r="AF1533" s="30">
        <f>T1533*AD1533</f>
        <v/>
      </c>
      <c r="AG1533" s="28">
        <f>IFERROR(LOOKUP(AF1533,{0;0.5;5;25},{"Bajo";"Medio";"Alto";"Crítico"}),"")</f>
        <v/>
      </c>
      <c r="AH1533" s="28">
        <f>IF(AG1533="","",IF(OR(AG1533="Crítico",AG1533="Alto"),"Mitigar",IF(AG1533="Medio","Mitigar","Aceptar y monitorear")))</f>
        <v/>
      </c>
      <c r="AI1533" s="21" t="n"/>
      <c r="AJ1533" s="21" t="n"/>
      <c r="AK1533" s="20" t="n"/>
      <c r="AL1533" s="77">
        <f>IFERROR(INDEX(MgAmenEfic,MATCH(SUBSTITUTE($H1533,"*","-"),MgAmenClave,0)),0)</f>
        <v/>
      </c>
    </row>
    <row r="1534" hidden="1" ht="75" customHeight="1" s="54">
      <c r="B1534" s="59" t="inlineStr">
        <is>
          <t>R-1529</t>
        </is>
      </c>
      <c r="C1534" s="59" t="inlineStr">
        <is>
          <t>GH-011</t>
        </is>
      </c>
      <c r="D1534" s="64">
        <f>IFERROR(INDEX(MgNombre,MATCH($C1534,MgActId,0)),"")</f>
        <v/>
      </c>
      <c r="E1534" s="64">
        <f>IFERROR(INDEX(MgProceso,MATCH($C1534,MgActId,0)),"")</f>
        <v/>
      </c>
      <c r="F1534" s="64">
        <f>IFERROR(INDEX(MgTipo,MATCH($C1534,MgActId,0)),"")</f>
        <v/>
      </c>
      <c r="G1534" s="64">
        <f>IFERROR(INDEX(MgSubtipo,MATCH($C1534,MgActId,0)),"")</f>
        <v/>
      </c>
      <c r="H1534" s="59" t="inlineStr">
        <is>
          <t>A.5</t>
        </is>
      </c>
      <c r="I1534" s="64">
        <f>IFERROR(INDEX(MgAmenNombre,MATCH(SUBSTITUTE($H1534,"*","-"),MgAmenClave,0)),"")</f>
        <v/>
      </c>
      <c r="J1534" s="28">
        <f>IFERROR(INDEX(MgAmenGrupo,MATCH(SUBSTITUTE($H1534,"*","-"),MgAmenClave,0)),"")</f>
        <v/>
      </c>
      <c r="K1534" s="64">
        <f>IFERROR(INDEX('1. Matriz de Activos'!$Q$6:$Q$239,MATCH($C1534,MgActId,0)),"")</f>
        <v/>
      </c>
      <c r="L1534" s="64">
        <f>IFERROR(INDEX('1. Matriz de Activos'!$R$6:$R$239,MATCH($C1534,MgActId,0)),"")</f>
        <v/>
      </c>
      <c r="M1534" s="64">
        <f>IFERROR(INDEX('1. Matriz de Activos'!$S$6:$S$239,MATCH($C1534,MgActId,0)),"")</f>
        <v/>
      </c>
      <c r="N1534" s="28">
        <f>IFERROR(INDEX(MgAmenDegD,MATCH(SUBSTITUTE($H1534,"*","-"),MgAmenClave,0)),"No aplica")</f>
        <v/>
      </c>
      <c r="O1534" s="28">
        <f>IFERROR(INDEX(MgAmenDegI,MATCH(SUBSTITUTE($H1534,"*","-"),MgAmenClave,0)),"No aplica")</f>
        <v/>
      </c>
      <c r="P1534" s="28">
        <f>IFERROR(INDEX(MgAmenDegC,MATCH(SUBSTITUTE($H1534,"*","-"),MgAmenClave,0)),"No aplica")</f>
        <v/>
      </c>
      <c r="Q1534" s="29">
        <f>IFERROR(VLOOKUP(K1534,MgValor,2,0)*VLOOKUP(N1534,MgDeg,2,0),0)</f>
        <v/>
      </c>
      <c r="R1534" s="29">
        <f>IFERROR(VLOOKUP(L1534,MgValor,2,0)*VLOOKUP(O1534,MgDeg,2,0),0)</f>
        <v/>
      </c>
      <c r="S1534" s="29">
        <f>IFERROR(VLOOKUP(M1534,MgValor,2,0)*VLOOKUP(P1534,MgDeg,2,0),0)</f>
        <v/>
      </c>
      <c r="T1534" s="30">
        <f>MAX(Q1534:S1534)</f>
        <v/>
      </c>
      <c r="U1534" s="28">
        <f>IFERROR(LOOKUP(T1534,{0;0.5;1.5;3;4.5},{"Despreciable";"Bajo";"Medio";"Alto";"Muy alto"}),"")</f>
        <v/>
      </c>
      <c r="V1534" s="13">
        <f>IFERROR(INDEX(MgAmenFrec,MATCH(SUBSTITUTE($H1534,"*","-"),MgAmenClave,0)),"")</f>
        <v/>
      </c>
      <c r="W1534" s="28">
        <f>IFERROR(LOOKUP(X1534,{0;0.01;0.1;1;10;100},{"Muy baja";"Muy baja";"Baja";"Media";"Alta";"Muy alta"}),"")</f>
        <v/>
      </c>
      <c r="X1534" s="31">
        <f>IFERROR(VLOOKUP(V1534,MgFrec,2,0),0)</f>
        <v/>
      </c>
      <c r="Y1534" s="30">
        <f>T1534*X1534</f>
        <v/>
      </c>
      <c r="Z1534" s="28">
        <f>IFERROR(LOOKUP(Y1534,{0;0.5;5;25},{"Bajo";"Medio";"Alto";"Crítico"}),"")</f>
        <v/>
      </c>
      <c r="AA1534" s="64">
        <f>IF(T1534&gt;=3,IF(X1534&gt;=1,"Zona 1 — Crítica: impacto alto y ocurre al menos una vez al año","Zona 4 — Catastrófica poco probable: impacto alto pero excepcional"),IF(AND(T1534&lt;1.5,X1534&lt;1),"Zona 3 — Asumible: impacto bajo y muy poco frecuente","Zona 2 — Atención: riesgo intermedio"))</f>
        <v/>
      </c>
      <c r="AB1534" s="64">
        <f>IFERROR(INDEX(MgAmenCtrl,MATCH(SUBSTITUTE($H1534,"*","-"),MgAmenClave,0)),"")</f>
        <v/>
      </c>
      <c r="AC1534" s="20" t="n"/>
      <c r="AD1534" s="31">
        <f>IFERROR($X1534*(1-IF($AC1534="",$AL1534,VLOOKUP($AC1534,MgMad,2,0))),"")</f>
        <v/>
      </c>
      <c r="AE1534" s="28">
        <f>IFERROR(LOOKUP(AD1534,{0;0.01;0.1;1;10;100},{"Muy baja";"Muy baja";"Baja";"Media";"Alta";"Muy alta"}),"")</f>
        <v/>
      </c>
      <c r="AF1534" s="30">
        <f>T1534*AD1534</f>
        <v/>
      </c>
      <c r="AG1534" s="28">
        <f>IFERROR(LOOKUP(AF1534,{0;0.5;5;25},{"Bajo";"Medio";"Alto";"Crítico"}),"")</f>
        <v/>
      </c>
      <c r="AH1534" s="28">
        <f>IF(AG1534="","",IF(OR(AG1534="Crítico",AG1534="Alto"),"Mitigar",IF(AG1534="Medio","Mitigar","Aceptar y monitorear")))</f>
        <v/>
      </c>
      <c r="AI1534" s="21" t="n"/>
      <c r="AJ1534" s="21" t="n"/>
      <c r="AK1534" s="20" t="n"/>
      <c r="AL1534" s="77">
        <f>IFERROR(INDEX(MgAmenEfic,MATCH(SUBSTITUTE($H1534,"*","-"),MgAmenClave,0)),0)</f>
        <v/>
      </c>
    </row>
    <row r="1535" hidden="1" ht="105" customHeight="1" s="54">
      <c r="B1535" s="59" t="inlineStr">
        <is>
          <t>R-1530</t>
        </is>
      </c>
      <c r="C1535" s="59" t="inlineStr">
        <is>
          <t>GH-011</t>
        </is>
      </c>
      <c r="D1535" s="64">
        <f>IFERROR(INDEX(MgNombre,MATCH($C1535,MgActId,0)),"")</f>
        <v/>
      </c>
      <c r="E1535" s="64">
        <f>IFERROR(INDEX(MgProceso,MATCH($C1535,MgActId,0)),"")</f>
        <v/>
      </c>
      <c r="F1535" s="64">
        <f>IFERROR(INDEX(MgTipo,MATCH($C1535,MgActId,0)),"")</f>
        <v/>
      </c>
      <c r="G1535" s="64">
        <f>IFERROR(INDEX(MgSubtipo,MATCH($C1535,MgActId,0)),"")</f>
        <v/>
      </c>
      <c r="H1535" s="59" t="inlineStr">
        <is>
          <t>A.6</t>
        </is>
      </c>
      <c r="I1535" s="64">
        <f>IFERROR(INDEX(MgAmenNombre,MATCH(SUBSTITUTE($H1535,"*","-"),MgAmenClave,0)),"")</f>
        <v/>
      </c>
      <c r="J1535" s="28">
        <f>IFERROR(INDEX(MgAmenGrupo,MATCH(SUBSTITUTE($H1535,"*","-"),MgAmenClave,0)),"")</f>
        <v/>
      </c>
      <c r="K1535" s="64">
        <f>IFERROR(INDEX('1. Matriz de Activos'!$Q$6:$Q$239,MATCH($C1535,MgActId,0)),"")</f>
        <v/>
      </c>
      <c r="L1535" s="64">
        <f>IFERROR(INDEX('1. Matriz de Activos'!$R$6:$R$239,MATCH($C1535,MgActId,0)),"")</f>
        <v/>
      </c>
      <c r="M1535" s="64">
        <f>IFERROR(INDEX('1. Matriz de Activos'!$S$6:$S$239,MATCH($C1535,MgActId,0)),"")</f>
        <v/>
      </c>
      <c r="N1535" s="28">
        <f>IFERROR(INDEX(MgAmenDegD,MATCH(SUBSTITUTE($H1535,"*","-"),MgAmenClave,0)),"No aplica")</f>
        <v/>
      </c>
      <c r="O1535" s="28">
        <f>IFERROR(INDEX(MgAmenDegI,MATCH(SUBSTITUTE($H1535,"*","-"),MgAmenClave,0)),"No aplica")</f>
        <v/>
      </c>
      <c r="P1535" s="28">
        <f>IFERROR(INDEX(MgAmenDegC,MATCH(SUBSTITUTE($H1535,"*","-"),MgAmenClave,0)),"No aplica")</f>
        <v/>
      </c>
      <c r="Q1535" s="29">
        <f>IFERROR(VLOOKUP(K1535,MgValor,2,0)*VLOOKUP(N1535,MgDeg,2,0),0)</f>
        <v/>
      </c>
      <c r="R1535" s="29">
        <f>IFERROR(VLOOKUP(L1535,MgValor,2,0)*VLOOKUP(O1535,MgDeg,2,0),0)</f>
        <v/>
      </c>
      <c r="S1535" s="29">
        <f>IFERROR(VLOOKUP(M1535,MgValor,2,0)*VLOOKUP(P1535,MgDeg,2,0),0)</f>
        <v/>
      </c>
      <c r="T1535" s="30">
        <f>MAX(Q1535:S1535)</f>
        <v/>
      </c>
      <c r="U1535" s="28">
        <f>IFERROR(LOOKUP(T1535,{0;0.5;1.5;3;4.5},{"Despreciable";"Bajo";"Medio";"Alto";"Muy alto"}),"")</f>
        <v/>
      </c>
      <c r="V1535" s="13">
        <f>IFERROR(INDEX(MgAmenFrec,MATCH(SUBSTITUTE($H1535,"*","-"),MgAmenClave,0)),"")</f>
        <v/>
      </c>
      <c r="W1535" s="28">
        <f>IFERROR(LOOKUP(X1535,{0;0.01;0.1;1;10;100},{"Muy baja";"Muy baja";"Baja";"Media";"Alta";"Muy alta"}),"")</f>
        <v/>
      </c>
      <c r="X1535" s="31">
        <f>IFERROR(VLOOKUP(V1535,MgFrec,2,0),0)</f>
        <v/>
      </c>
      <c r="Y1535" s="30">
        <f>T1535*X1535</f>
        <v/>
      </c>
      <c r="Z1535" s="28">
        <f>IFERROR(LOOKUP(Y1535,{0;0.5;5;25},{"Bajo";"Medio";"Alto";"Crítico"}),"")</f>
        <v/>
      </c>
      <c r="AA1535" s="64">
        <f>IF(T1535&gt;=3,IF(X1535&gt;=1,"Zona 1 — Crítica: impacto alto y ocurre al menos una vez al año","Zona 4 — Catastrófica poco probable: impacto alto pero excepcional"),IF(AND(T1535&lt;1.5,X1535&lt;1),"Zona 3 — Asumible: impacto bajo y muy poco frecuente","Zona 2 — Atención: riesgo intermedio"))</f>
        <v/>
      </c>
      <c r="AB1535" s="64">
        <f>IFERROR(INDEX(MgAmenCtrl,MATCH(SUBSTITUTE($H1535,"*","-"),MgAmenClave,0)),"")</f>
        <v/>
      </c>
      <c r="AC1535" s="20" t="n"/>
      <c r="AD1535" s="31">
        <f>IFERROR($X1535*(1-IF($AC1535="",$AL1535,VLOOKUP($AC1535,MgMad,2,0))),"")</f>
        <v/>
      </c>
      <c r="AE1535" s="28">
        <f>IFERROR(LOOKUP(AD1535,{0;0.01;0.1;1;10;100},{"Muy baja";"Muy baja";"Baja";"Media";"Alta";"Muy alta"}),"")</f>
        <v/>
      </c>
      <c r="AF1535" s="30">
        <f>T1535*AD1535</f>
        <v/>
      </c>
      <c r="AG1535" s="28">
        <f>IFERROR(LOOKUP(AF1535,{0;0.5;5;25},{"Bajo";"Medio";"Alto";"Crítico"}),"")</f>
        <v/>
      </c>
      <c r="AH1535" s="28">
        <f>IF(AG1535="","",IF(OR(AG1535="Crítico",AG1535="Alto"),"Mitigar",IF(AG1535="Medio","Mitigar","Aceptar y monitorear")))</f>
        <v/>
      </c>
      <c r="AI1535" s="21" t="n"/>
      <c r="AJ1535" s="21" t="n"/>
      <c r="AK1535" s="20" t="n"/>
      <c r="AL1535" s="77">
        <f>IFERROR(INDEX(MgAmenEfic,MATCH(SUBSTITUTE($H1535,"*","-"),MgAmenClave,0)),0)</f>
        <v/>
      </c>
    </row>
    <row r="1536" hidden="1" ht="120" customHeight="1" s="54">
      <c r="B1536" s="59" t="inlineStr">
        <is>
          <t>R-1531</t>
        </is>
      </c>
      <c r="C1536" s="59" t="inlineStr">
        <is>
          <t>GH-011</t>
        </is>
      </c>
      <c r="D1536" s="64">
        <f>IFERROR(INDEX(MgNombre,MATCH($C1536,MgActId,0)),"")</f>
        <v/>
      </c>
      <c r="E1536" s="64">
        <f>IFERROR(INDEX(MgProceso,MATCH($C1536,MgActId,0)),"")</f>
        <v/>
      </c>
      <c r="F1536" s="64">
        <f>IFERROR(INDEX(MgTipo,MATCH($C1536,MgActId,0)),"")</f>
        <v/>
      </c>
      <c r="G1536" s="64">
        <f>IFERROR(INDEX(MgSubtipo,MATCH($C1536,MgActId,0)),"")</f>
        <v/>
      </c>
      <c r="H1536" s="59" t="inlineStr">
        <is>
          <t>A.11</t>
        </is>
      </c>
      <c r="I1536" s="64">
        <f>IFERROR(INDEX(MgAmenNombre,MATCH(SUBSTITUTE($H1536,"*","-"),MgAmenClave,0)),"")</f>
        <v/>
      </c>
      <c r="J1536" s="28">
        <f>IFERROR(INDEX(MgAmenGrupo,MATCH(SUBSTITUTE($H1536,"*","-"),MgAmenClave,0)),"")</f>
        <v/>
      </c>
      <c r="K1536" s="64">
        <f>IFERROR(INDEX('1. Matriz de Activos'!$Q$6:$Q$239,MATCH($C1536,MgActId,0)),"")</f>
        <v/>
      </c>
      <c r="L1536" s="64">
        <f>IFERROR(INDEX('1. Matriz de Activos'!$R$6:$R$239,MATCH($C1536,MgActId,0)),"")</f>
        <v/>
      </c>
      <c r="M1536" s="64">
        <f>IFERROR(INDEX('1. Matriz de Activos'!$S$6:$S$239,MATCH($C1536,MgActId,0)),"")</f>
        <v/>
      </c>
      <c r="N1536" s="28">
        <f>IFERROR(INDEX(MgAmenDegD,MATCH(SUBSTITUTE($H1536,"*","-"),MgAmenClave,0)),"No aplica")</f>
        <v/>
      </c>
      <c r="O1536" s="28">
        <f>IFERROR(INDEX(MgAmenDegI,MATCH(SUBSTITUTE($H1536,"*","-"),MgAmenClave,0)),"No aplica")</f>
        <v/>
      </c>
      <c r="P1536" s="28">
        <f>IFERROR(INDEX(MgAmenDegC,MATCH(SUBSTITUTE($H1536,"*","-"),MgAmenClave,0)),"No aplica")</f>
        <v/>
      </c>
      <c r="Q1536" s="29">
        <f>IFERROR(VLOOKUP(K1536,MgValor,2,0)*VLOOKUP(N1536,MgDeg,2,0),0)</f>
        <v/>
      </c>
      <c r="R1536" s="29">
        <f>IFERROR(VLOOKUP(L1536,MgValor,2,0)*VLOOKUP(O1536,MgDeg,2,0),0)</f>
        <v/>
      </c>
      <c r="S1536" s="29">
        <f>IFERROR(VLOOKUP(M1536,MgValor,2,0)*VLOOKUP(P1536,MgDeg,2,0),0)</f>
        <v/>
      </c>
      <c r="T1536" s="30">
        <f>MAX(Q1536:S1536)</f>
        <v/>
      </c>
      <c r="U1536" s="28">
        <f>IFERROR(LOOKUP(T1536,{0;0.5;1.5;3;4.5},{"Despreciable";"Bajo";"Medio";"Alto";"Muy alto"}),"")</f>
        <v/>
      </c>
      <c r="V1536" s="13">
        <f>IFERROR(INDEX(MgAmenFrec,MATCH(SUBSTITUTE($H1536,"*","-"),MgAmenClave,0)),"")</f>
        <v/>
      </c>
      <c r="W1536" s="28">
        <f>IFERROR(LOOKUP(X1536,{0;0.01;0.1;1;10;100},{"Muy baja";"Muy baja";"Baja";"Media";"Alta";"Muy alta"}),"")</f>
        <v/>
      </c>
      <c r="X1536" s="31">
        <f>IFERROR(VLOOKUP(V1536,MgFrec,2,0),0)</f>
        <v/>
      </c>
      <c r="Y1536" s="30">
        <f>T1536*X1536</f>
        <v/>
      </c>
      <c r="Z1536" s="28">
        <f>IFERROR(LOOKUP(Y1536,{0;0.5;5;25},{"Bajo";"Medio";"Alto";"Crítico"}),"")</f>
        <v/>
      </c>
      <c r="AA1536" s="64">
        <f>IF(T1536&gt;=3,IF(X1536&gt;=1,"Zona 1 — Crítica: impacto alto y ocurre al menos una vez al año","Zona 4 — Catastrófica poco probable: impacto alto pero excepcional"),IF(AND(T1536&lt;1.5,X1536&lt;1),"Zona 3 — Asumible: impacto bajo y muy poco frecuente","Zona 2 — Atención: riesgo intermedio"))</f>
        <v/>
      </c>
      <c r="AB1536" s="64">
        <f>IFERROR(INDEX(MgAmenCtrl,MATCH(SUBSTITUTE($H1536,"*","-"),MgAmenClave,0)),"")</f>
        <v/>
      </c>
      <c r="AC1536" s="20" t="n"/>
      <c r="AD1536" s="31">
        <f>IFERROR($X1536*(1-IF($AC1536="",$AL1536,VLOOKUP($AC1536,MgMad,2,0))),"")</f>
        <v/>
      </c>
      <c r="AE1536" s="28">
        <f>IFERROR(LOOKUP(AD1536,{0;0.01;0.1;1;10;100},{"Muy baja";"Muy baja";"Baja";"Media";"Alta";"Muy alta"}),"")</f>
        <v/>
      </c>
      <c r="AF1536" s="30">
        <f>T1536*AD1536</f>
        <v/>
      </c>
      <c r="AG1536" s="28">
        <f>IFERROR(LOOKUP(AF1536,{0;0.5;5;25},{"Bajo";"Medio";"Alto";"Crítico"}),"")</f>
        <v/>
      </c>
      <c r="AH1536" s="28">
        <f>IF(AG1536="","",IF(OR(AG1536="Crítico",AG1536="Alto"),"Mitigar",IF(AG1536="Medio","Mitigar","Aceptar y monitorear")))</f>
        <v/>
      </c>
      <c r="AI1536" s="21" t="n"/>
      <c r="AJ1536" s="21" t="n"/>
      <c r="AK1536" s="20" t="n"/>
      <c r="AL1536" s="77">
        <f>IFERROR(INDEX(MgAmenEfic,MATCH(SUBSTITUTE($H1536,"*","-"),MgAmenClave,0)),0)</f>
        <v/>
      </c>
    </row>
    <row r="1537" hidden="1" ht="90" customHeight="1" s="54">
      <c r="B1537" s="59" t="inlineStr">
        <is>
          <t>R-1532</t>
        </is>
      </c>
      <c r="C1537" s="59" t="inlineStr">
        <is>
          <t>GH-011</t>
        </is>
      </c>
      <c r="D1537" s="64">
        <f>IFERROR(INDEX(MgNombre,MATCH($C1537,MgActId,0)),"")</f>
        <v/>
      </c>
      <c r="E1537" s="64">
        <f>IFERROR(INDEX(MgProceso,MATCH($C1537,MgActId,0)),"")</f>
        <v/>
      </c>
      <c r="F1537" s="64">
        <f>IFERROR(INDEX(MgTipo,MATCH($C1537,MgActId,0)),"")</f>
        <v/>
      </c>
      <c r="G1537" s="64">
        <f>IFERROR(INDEX(MgSubtipo,MATCH($C1537,MgActId,0)),"")</f>
        <v/>
      </c>
      <c r="H1537" s="59" t="inlineStr">
        <is>
          <t>A.13</t>
        </is>
      </c>
      <c r="I1537" s="64">
        <f>IFERROR(INDEX(MgAmenNombre,MATCH(SUBSTITUTE($H1537,"*","-"),MgAmenClave,0)),"")</f>
        <v/>
      </c>
      <c r="J1537" s="28">
        <f>IFERROR(INDEX(MgAmenGrupo,MATCH(SUBSTITUTE($H1537,"*","-"),MgAmenClave,0)),"")</f>
        <v/>
      </c>
      <c r="K1537" s="64">
        <f>IFERROR(INDEX('1. Matriz de Activos'!$Q$6:$Q$239,MATCH($C1537,MgActId,0)),"")</f>
        <v/>
      </c>
      <c r="L1537" s="64">
        <f>IFERROR(INDEX('1. Matriz de Activos'!$R$6:$R$239,MATCH($C1537,MgActId,0)),"")</f>
        <v/>
      </c>
      <c r="M1537" s="64">
        <f>IFERROR(INDEX('1. Matriz de Activos'!$S$6:$S$239,MATCH($C1537,MgActId,0)),"")</f>
        <v/>
      </c>
      <c r="N1537" s="28">
        <f>IFERROR(INDEX(MgAmenDegD,MATCH(SUBSTITUTE($H1537,"*","-"),MgAmenClave,0)),"No aplica")</f>
        <v/>
      </c>
      <c r="O1537" s="28">
        <f>IFERROR(INDEX(MgAmenDegI,MATCH(SUBSTITUTE($H1537,"*","-"),MgAmenClave,0)),"No aplica")</f>
        <v/>
      </c>
      <c r="P1537" s="28">
        <f>IFERROR(INDEX(MgAmenDegC,MATCH(SUBSTITUTE($H1537,"*","-"),MgAmenClave,0)),"No aplica")</f>
        <v/>
      </c>
      <c r="Q1537" s="29">
        <f>IFERROR(VLOOKUP(K1537,MgValor,2,0)*VLOOKUP(N1537,MgDeg,2,0),0)</f>
        <v/>
      </c>
      <c r="R1537" s="29">
        <f>IFERROR(VLOOKUP(L1537,MgValor,2,0)*VLOOKUP(O1537,MgDeg,2,0),0)</f>
        <v/>
      </c>
      <c r="S1537" s="29">
        <f>IFERROR(VLOOKUP(M1537,MgValor,2,0)*VLOOKUP(P1537,MgDeg,2,0),0)</f>
        <v/>
      </c>
      <c r="T1537" s="30">
        <f>MAX(Q1537:S1537)</f>
        <v/>
      </c>
      <c r="U1537" s="28">
        <f>IFERROR(LOOKUP(T1537,{0;0.5;1.5;3;4.5},{"Despreciable";"Bajo";"Medio";"Alto";"Muy alto"}),"")</f>
        <v/>
      </c>
      <c r="V1537" s="13">
        <f>IFERROR(INDEX(MgAmenFrec,MATCH(SUBSTITUTE($H1537,"*","-"),MgAmenClave,0)),"")</f>
        <v/>
      </c>
      <c r="W1537" s="28">
        <f>IFERROR(LOOKUP(X1537,{0;0.01;0.1;1;10;100},{"Muy baja";"Muy baja";"Baja";"Media";"Alta";"Muy alta"}),"")</f>
        <v/>
      </c>
      <c r="X1537" s="31">
        <f>IFERROR(VLOOKUP(V1537,MgFrec,2,0),0)</f>
        <v/>
      </c>
      <c r="Y1537" s="30">
        <f>T1537*X1537</f>
        <v/>
      </c>
      <c r="Z1537" s="28">
        <f>IFERROR(LOOKUP(Y1537,{0;0.5;5;25},{"Bajo";"Medio";"Alto";"Crítico"}),"")</f>
        <v/>
      </c>
      <c r="AA1537" s="64">
        <f>IF(T1537&gt;=3,IF(X1537&gt;=1,"Zona 1 — Crítica: impacto alto y ocurre al menos una vez al año","Zona 4 — Catastrófica poco probable: impacto alto pero excepcional"),IF(AND(T1537&lt;1.5,X1537&lt;1),"Zona 3 — Asumible: impacto bajo y muy poco frecuente","Zona 2 — Atención: riesgo intermedio"))</f>
        <v/>
      </c>
      <c r="AB1537" s="64">
        <f>IFERROR(INDEX(MgAmenCtrl,MATCH(SUBSTITUTE($H1537,"*","-"),MgAmenClave,0)),"")</f>
        <v/>
      </c>
      <c r="AC1537" s="20" t="n"/>
      <c r="AD1537" s="31">
        <f>IFERROR($X1537*(1-IF($AC1537="",$AL1537,VLOOKUP($AC1537,MgMad,2,0))),"")</f>
        <v/>
      </c>
      <c r="AE1537" s="28">
        <f>IFERROR(LOOKUP(AD1537,{0;0.01;0.1;1;10;100},{"Muy baja";"Muy baja";"Baja";"Media";"Alta";"Muy alta"}),"")</f>
        <v/>
      </c>
      <c r="AF1537" s="30">
        <f>T1537*AD1537</f>
        <v/>
      </c>
      <c r="AG1537" s="28">
        <f>IFERROR(LOOKUP(AF1537,{0;0.5;5;25},{"Bajo";"Medio";"Alto";"Crítico"}),"")</f>
        <v/>
      </c>
      <c r="AH1537" s="28">
        <f>IF(AG1537="","",IF(OR(AG1537="Crítico",AG1537="Alto"),"Mitigar",IF(AG1537="Medio","Mitigar","Aceptar y monitorear")))</f>
        <v/>
      </c>
      <c r="AI1537" s="21" t="n"/>
      <c r="AJ1537" s="21" t="n"/>
      <c r="AK1537" s="20" t="n"/>
      <c r="AL1537" s="77">
        <f>IFERROR(INDEX(MgAmenEfic,MATCH(SUBSTITUTE($H1537,"*","-"),MgAmenClave,0)),0)</f>
        <v/>
      </c>
    </row>
    <row r="1538" hidden="1" ht="60" customHeight="1" s="54">
      <c r="B1538" s="59" t="inlineStr">
        <is>
          <t>R-1533</t>
        </is>
      </c>
      <c r="C1538" s="59" t="inlineStr">
        <is>
          <t>GH-011</t>
        </is>
      </c>
      <c r="D1538" s="64">
        <f>IFERROR(INDEX(MgNombre,MATCH($C1538,MgActId,0)),"")</f>
        <v/>
      </c>
      <c r="E1538" s="64">
        <f>IFERROR(INDEX(MgProceso,MATCH($C1538,MgActId,0)),"")</f>
        <v/>
      </c>
      <c r="F1538" s="64">
        <f>IFERROR(INDEX(MgTipo,MATCH($C1538,MgActId,0)),"")</f>
        <v/>
      </c>
      <c r="G1538" s="64">
        <f>IFERROR(INDEX(MgSubtipo,MATCH($C1538,MgActId,0)),"")</f>
        <v/>
      </c>
      <c r="H1538" s="59" t="inlineStr">
        <is>
          <t>A.15</t>
        </is>
      </c>
      <c r="I1538" s="64">
        <f>IFERROR(INDEX(MgAmenNombre,MATCH(SUBSTITUTE($H1538,"*","-"),MgAmenClave,0)),"")</f>
        <v/>
      </c>
      <c r="J1538" s="28">
        <f>IFERROR(INDEX(MgAmenGrupo,MATCH(SUBSTITUTE($H1538,"*","-"),MgAmenClave,0)),"")</f>
        <v/>
      </c>
      <c r="K1538" s="64">
        <f>IFERROR(INDEX('1. Matriz de Activos'!$Q$6:$Q$239,MATCH($C1538,MgActId,0)),"")</f>
        <v/>
      </c>
      <c r="L1538" s="64">
        <f>IFERROR(INDEX('1. Matriz de Activos'!$R$6:$R$239,MATCH($C1538,MgActId,0)),"")</f>
        <v/>
      </c>
      <c r="M1538" s="64">
        <f>IFERROR(INDEX('1. Matriz de Activos'!$S$6:$S$239,MATCH($C1538,MgActId,0)),"")</f>
        <v/>
      </c>
      <c r="N1538" s="28">
        <f>IFERROR(INDEX(MgAmenDegD,MATCH(SUBSTITUTE($H1538,"*","-"),MgAmenClave,0)),"No aplica")</f>
        <v/>
      </c>
      <c r="O1538" s="28">
        <f>IFERROR(INDEX(MgAmenDegI,MATCH(SUBSTITUTE($H1538,"*","-"),MgAmenClave,0)),"No aplica")</f>
        <v/>
      </c>
      <c r="P1538" s="28">
        <f>IFERROR(INDEX(MgAmenDegC,MATCH(SUBSTITUTE($H1538,"*","-"),MgAmenClave,0)),"No aplica")</f>
        <v/>
      </c>
      <c r="Q1538" s="29">
        <f>IFERROR(VLOOKUP(K1538,MgValor,2,0)*VLOOKUP(N1538,MgDeg,2,0),0)</f>
        <v/>
      </c>
      <c r="R1538" s="29">
        <f>IFERROR(VLOOKUP(L1538,MgValor,2,0)*VLOOKUP(O1538,MgDeg,2,0),0)</f>
        <v/>
      </c>
      <c r="S1538" s="29">
        <f>IFERROR(VLOOKUP(M1538,MgValor,2,0)*VLOOKUP(P1538,MgDeg,2,0),0)</f>
        <v/>
      </c>
      <c r="T1538" s="30">
        <f>MAX(Q1538:S1538)</f>
        <v/>
      </c>
      <c r="U1538" s="28">
        <f>IFERROR(LOOKUP(T1538,{0;0.5;1.5;3;4.5},{"Despreciable";"Bajo";"Medio";"Alto";"Muy alto"}),"")</f>
        <v/>
      </c>
      <c r="V1538" s="13">
        <f>IFERROR(INDEX(MgAmenFrec,MATCH(SUBSTITUTE($H1538,"*","-"),MgAmenClave,0)),"")</f>
        <v/>
      </c>
      <c r="W1538" s="28">
        <f>IFERROR(LOOKUP(X1538,{0;0.01;0.1;1;10;100},{"Muy baja";"Muy baja";"Baja";"Media";"Alta";"Muy alta"}),"")</f>
        <v/>
      </c>
      <c r="X1538" s="31">
        <f>IFERROR(VLOOKUP(V1538,MgFrec,2,0),0)</f>
        <v/>
      </c>
      <c r="Y1538" s="30">
        <f>T1538*X1538</f>
        <v/>
      </c>
      <c r="Z1538" s="28">
        <f>IFERROR(LOOKUP(Y1538,{0;0.5;5;25},{"Bajo";"Medio";"Alto";"Crítico"}),"")</f>
        <v/>
      </c>
      <c r="AA1538" s="64">
        <f>IF(T1538&gt;=3,IF(X1538&gt;=1,"Zona 1 — Crítica: impacto alto y ocurre al menos una vez al año","Zona 4 — Catastrófica poco probable: impacto alto pero excepcional"),IF(AND(T1538&lt;1.5,X1538&lt;1),"Zona 3 — Asumible: impacto bajo y muy poco frecuente","Zona 2 — Atención: riesgo intermedio"))</f>
        <v/>
      </c>
      <c r="AB1538" s="64">
        <f>IFERROR(INDEX(MgAmenCtrl,MATCH(SUBSTITUTE($H1538,"*","-"),MgAmenClave,0)),"")</f>
        <v/>
      </c>
      <c r="AC1538" s="20" t="n"/>
      <c r="AD1538" s="31">
        <f>IFERROR($X1538*(1-IF($AC1538="",$AL1538,VLOOKUP($AC1538,MgMad,2,0))),"")</f>
        <v/>
      </c>
      <c r="AE1538" s="28">
        <f>IFERROR(LOOKUP(AD1538,{0;0.01;0.1;1;10;100},{"Muy baja";"Muy baja";"Baja";"Media";"Alta";"Muy alta"}),"")</f>
        <v/>
      </c>
      <c r="AF1538" s="30">
        <f>T1538*AD1538</f>
        <v/>
      </c>
      <c r="AG1538" s="28">
        <f>IFERROR(LOOKUP(AF1538,{0;0.5;5;25},{"Bajo";"Medio";"Alto";"Crítico"}),"")</f>
        <v/>
      </c>
      <c r="AH1538" s="28">
        <f>IF(AG1538="","",IF(OR(AG1538="Crítico",AG1538="Alto"),"Mitigar",IF(AG1538="Medio","Mitigar","Aceptar y monitorear")))</f>
        <v/>
      </c>
      <c r="AI1538" s="21" t="n"/>
      <c r="AJ1538" s="21" t="n"/>
      <c r="AK1538" s="20" t="n"/>
      <c r="AL1538" s="77">
        <f>IFERROR(INDEX(MgAmenEfic,MATCH(SUBSTITUTE($H1538,"*","-"),MgAmenClave,0)),0)</f>
        <v/>
      </c>
    </row>
    <row r="1539" hidden="1" ht="60" customHeight="1" s="54">
      <c r="B1539" s="59" t="inlineStr">
        <is>
          <t>R-1534</t>
        </is>
      </c>
      <c r="C1539" s="59" t="inlineStr">
        <is>
          <t>GH-011</t>
        </is>
      </c>
      <c r="D1539" s="64">
        <f>IFERROR(INDEX(MgNombre,MATCH($C1539,MgActId,0)),"")</f>
        <v/>
      </c>
      <c r="E1539" s="64">
        <f>IFERROR(INDEX(MgProceso,MATCH($C1539,MgActId,0)),"")</f>
        <v/>
      </c>
      <c r="F1539" s="64">
        <f>IFERROR(INDEX(MgTipo,MATCH($C1539,MgActId,0)),"")</f>
        <v/>
      </c>
      <c r="G1539" s="64">
        <f>IFERROR(INDEX(MgSubtipo,MATCH($C1539,MgActId,0)),"")</f>
        <v/>
      </c>
      <c r="H1539" s="59" t="inlineStr">
        <is>
          <t>A.18</t>
        </is>
      </c>
      <c r="I1539" s="64">
        <f>IFERROR(INDEX(MgAmenNombre,MATCH(SUBSTITUTE($H1539,"*","-"),MgAmenClave,0)),"")</f>
        <v/>
      </c>
      <c r="J1539" s="28">
        <f>IFERROR(INDEX(MgAmenGrupo,MATCH(SUBSTITUTE($H1539,"*","-"),MgAmenClave,0)),"")</f>
        <v/>
      </c>
      <c r="K1539" s="64">
        <f>IFERROR(INDEX('1. Matriz de Activos'!$Q$6:$Q$239,MATCH($C1539,MgActId,0)),"")</f>
        <v/>
      </c>
      <c r="L1539" s="64">
        <f>IFERROR(INDEX('1. Matriz de Activos'!$R$6:$R$239,MATCH($C1539,MgActId,0)),"")</f>
        <v/>
      </c>
      <c r="M1539" s="64">
        <f>IFERROR(INDEX('1. Matriz de Activos'!$S$6:$S$239,MATCH($C1539,MgActId,0)),"")</f>
        <v/>
      </c>
      <c r="N1539" s="28">
        <f>IFERROR(INDEX(MgAmenDegD,MATCH(SUBSTITUTE($H1539,"*","-"),MgAmenClave,0)),"No aplica")</f>
        <v/>
      </c>
      <c r="O1539" s="28">
        <f>IFERROR(INDEX(MgAmenDegI,MATCH(SUBSTITUTE($H1539,"*","-"),MgAmenClave,0)),"No aplica")</f>
        <v/>
      </c>
      <c r="P1539" s="28">
        <f>IFERROR(INDEX(MgAmenDegC,MATCH(SUBSTITUTE($H1539,"*","-"),MgAmenClave,0)),"No aplica")</f>
        <v/>
      </c>
      <c r="Q1539" s="29">
        <f>IFERROR(VLOOKUP(K1539,MgValor,2,0)*VLOOKUP(N1539,MgDeg,2,0),0)</f>
        <v/>
      </c>
      <c r="R1539" s="29">
        <f>IFERROR(VLOOKUP(L1539,MgValor,2,0)*VLOOKUP(O1539,MgDeg,2,0),0)</f>
        <v/>
      </c>
      <c r="S1539" s="29">
        <f>IFERROR(VLOOKUP(M1539,MgValor,2,0)*VLOOKUP(P1539,MgDeg,2,0),0)</f>
        <v/>
      </c>
      <c r="T1539" s="30">
        <f>MAX(Q1539:S1539)</f>
        <v/>
      </c>
      <c r="U1539" s="28">
        <f>IFERROR(LOOKUP(T1539,{0;0.5;1.5;3;4.5},{"Despreciable";"Bajo";"Medio";"Alto";"Muy alto"}),"")</f>
        <v/>
      </c>
      <c r="V1539" s="13">
        <f>IFERROR(INDEX(MgAmenFrec,MATCH(SUBSTITUTE($H1539,"*","-"),MgAmenClave,0)),"")</f>
        <v/>
      </c>
      <c r="W1539" s="28">
        <f>IFERROR(LOOKUP(X1539,{0;0.01;0.1;1;10;100},{"Muy baja";"Muy baja";"Baja";"Media";"Alta";"Muy alta"}),"")</f>
        <v/>
      </c>
      <c r="X1539" s="31">
        <f>IFERROR(VLOOKUP(V1539,MgFrec,2,0),0)</f>
        <v/>
      </c>
      <c r="Y1539" s="30">
        <f>T1539*X1539</f>
        <v/>
      </c>
      <c r="Z1539" s="28">
        <f>IFERROR(LOOKUP(Y1539,{0;0.5;5;25},{"Bajo";"Medio";"Alto";"Crítico"}),"")</f>
        <v/>
      </c>
      <c r="AA1539" s="64">
        <f>IF(T1539&gt;=3,IF(X1539&gt;=1,"Zona 1 — Crítica: impacto alto y ocurre al menos una vez al año","Zona 4 — Catastrófica poco probable: impacto alto pero excepcional"),IF(AND(T1539&lt;1.5,X1539&lt;1),"Zona 3 — Asumible: impacto bajo y muy poco frecuente","Zona 2 — Atención: riesgo intermedio"))</f>
        <v/>
      </c>
      <c r="AB1539" s="64">
        <f>IFERROR(INDEX(MgAmenCtrl,MATCH(SUBSTITUTE($H1539,"*","-"),MgAmenClave,0)),"")</f>
        <v/>
      </c>
      <c r="AC1539" s="20" t="n"/>
      <c r="AD1539" s="31">
        <f>IFERROR($X1539*(1-IF($AC1539="",$AL1539,VLOOKUP($AC1539,MgMad,2,0))),"")</f>
        <v/>
      </c>
      <c r="AE1539" s="28">
        <f>IFERROR(LOOKUP(AD1539,{0;0.01;0.1;1;10;100},{"Muy baja";"Muy baja";"Baja";"Media";"Alta";"Muy alta"}),"")</f>
        <v/>
      </c>
      <c r="AF1539" s="30">
        <f>T1539*AD1539</f>
        <v/>
      </c>
      <c r="AG1539" s="28">
        <f>IFERROR(LOOKUP(AF1539,{0;0.5;5;25},{"Bajo";"Medio";"Alto";"Crítico"}),"")</f>
        <v/>
      </c>
      <c r="AH1539" s="28">
        <f>IF(AG1539="","",IF(OR(AG1539="Crítico",AG1539="Alto"),"Mitigar",IF(AG1539="Medio","Mitigar","Aceptar y monitorear")))</f>
        <v/>
      </c>
      <c r="AI1539" s="21" t="n"/>
      <c r="AJ1539" s="21" t="n"/>
      <c r="AK1539" s="20" t="n"/>
      <c r="AL1539" s="77">
        <f>IFERROR(INDEX(MgAmenEfic,MATCH(SUBSTITUTE($H1539,"*","-"),MgAmenClave,0)),0)</f>
        <v/>
      </c>
    </row>
    <row r="1540" hidden="1" ht="120" customHeight="1" s="54">
      <c r="B1540" s="59" t="inlineStr">
        <is>
          <t>R-1535</t>
        </is>
      </c>
      <c r="C1540" s="59" t="inlineStr">
        <is>
          <t>GH-011</t>
        </is>
      </c>
      <c r="D1540" s="64">
        <f>IFERROR(INDEX(MgNombre,MATCH($C1540,MgActId,0)),"")</f>
        <v/>
      </c>
      <c r="E1540" s="64">
        <f>IFERROR(INDEX(MgProceso,MATCH($C1540,MgActId,0)),"")</f>
        <v/>
      </c>
      <c r="F1540" s="64">
        <f>IFERROR(INDEX(MgTipo,MATCH($C1540,MgActId,0)),"")</f>
        <v/>
      </c>
      <c r="G1540" s="64">
        <f>IFERROR(INDEX(MgSubtipo,MATCH($C1540,MgActId,0)),"")</f>
        <v/>
      </c>
      <c r="H1540" s="59" t="inlineStr">
        <is>
          <t>A.19</t>
        </is>
      </c>
      <c r="I1540" s="64">
        <f>IFERROR(INDEX(MgAmenNombre,MATCH(SUBSTITUTE($H1540,"*","-"),MgAmenClave,0)),"")</f>
        <v/>
      </c>
      <c r="J1540" s="28">
        <f>IFERROR(INDEX(MgAmenGrupo,MATCH(SUBSTITUTE($H1540,"*","-"),MgAmenClave,0)),"")</f>
        <v/>
      </c>
      <c r="K1540" s="64">
        <f>IFERROR(INDEX('1. Matriz de Activos'!$Q$6:$Q$239,MATCH($C1540,MgActId,0)),"")</f>
        <v/>
      </c>
      <c r="L1540" s="64">
        <f>IFERROR(INDEX('1. Matriz de Activos'!$R$6:$R$239,MATCH($C1540,MgActId,0)),"")</f>
        <v/>
      </c>
      <c r="M1540" s="64">
        <f>IFERROR(INDEX('1. Matriz de Activos'!$S$6:$S$239,MATCH($C1540,MgActId,0)),"")</f>
        <v/>
      </c>
      <c r="N1540" s="28">
        <f>IFERROR(INDEX(MgAmenDegD,MATCH(SUBSTITUTE($H1540,"*","-"),MgAmenClave,0)),"No aplica")</f>
        <v/>
      </c>
      <c r="O1540" s="28">
        <f>IFERROR(INDEX(MgAmenDegI,MATCH(SUBSTITUTE($H1540,"*","-"),MgAmenClave,0)),"No aplica")</f>
        <v/>
      </c>
      <c r="P1540" s="28">
        <f>IFERROR(INDEX(MgAmenDegC,MATCH(SUBSTITUTE($H1540,"*","-"),MgAmenClave,0)),"No aplica")</f>
        <v/>
      </c>
      <c r="Q1540" s="29">
        <f>IFERROR(VLOOKUP(K1540,MgValor,2,0)*VLOOKUP(N1540,MgDeg,2,0),0)</f>
        <v/>
      </c>
      <c r="R1540" s="29">
        <f>IFERROR(VLOOKUP(L1540,MgValor,2,0)*VLOOKUP(O1540,MgDeg,2,0),0)</f>
        <v/>
      </c>
      <c r="S1540" s="29">
        <f>IFERROR(VLOOKUP(M1540,MgValor,2,0)*VLOOKUP(P1540,MgDeg,2,0),0)</f>
        <v/>
      </c>
      <c r="T1540" s="30">
        <f>MAX(Q1540:S1540)</f>
        <v/>
      </c>
      <c r="U1540" s="28">
        <f>IFERROR(LOOKUP(T1540,{0;0.5;1.5;3;4.5},{"Despreciable";"Bajo";"Medio";"Alto";"Muy alto"}),"")</f>
        <v/>
      </c>
      <c r="V1540" s="13">
        <f>IFERROR(INDEX(MgAmenFrec,MATCH(SUBSTITUTE($H1540,"*","-"),MgAmenClave,0)),"")</f>
        <v/>
      </c>
      <c r="W1540" s="28">
        <f>IFERROR(LOOKUP(X1540,{0;0.01;0.1;1;10;100},{"Muy baja";"Muy baja";"Baja";"Media";"Alta";"Muy alta"}),"")</f>
        <v/>
      </c>
      <c r="X1540" s="31">
        <f>IFERROR(VLOOKUP(V1540,MgFrec,2,0),0)</f>
        <v/>
      </c>
      <c r="Y1540" s="30">
        <f>T1540*X1540</f>
        <v/>
      </c>
      <c r="Z1540" s="28">
        <f>IFERROR(LOOKUP(Y1540,{0;0.5;5;25},{"Bajo";"Medio";"Alto";"Crítico"}),"")</f>
        <v/>
      </c>
      <c r="AA1540" s="64">
        <f>IF(T1540&gt;=3,IF(X1540&gt;=1,"Zona 1 — Crítica: impacto alto y ocurre al menos una vez al año","Zona 4 — Catastrófica poco probable: impacto alto pero excepcional"),IF(AND(T1540&lt;1.5,X1540&lt;1),"Zona 3 — Asumible: impacto bajo y muy poco frecuente","Zona 2 — Atención: riesgo intermedio"))</f>
        <v/>
      </c>
      <c r="AB1540" s="64">
        <f>IFERROR(INDEX(MgAmenCtrl,MATCH(SUBSTITUTE($H1540,"*","-"),MgAmenClave,0)),"")</f>
        <v/>
      </c>
      <c r="AC1540" s="20" t="n"/>
      <c r="AD1540" s="31">
        <f>IFERROR($X1540*(1-IF($AC1540="",$AL1540,VLOOKUP($AC1540,MgMad,2,0))),"")</f>
        <v/>
      </c>
      <c r="AE1540" s="28">
        <f>IFERROR(LOOKUP(AD1540,{0;0.01;0.1;1;10;100},{"Muy baja";"Muy baja";"Baja";"Media";"Alta";"Muy alta"}),"")</f>
        <v/>
      </c>
      <c r="AF1540" s="30">
        <f>T1540*AD1540</f>
        <v/>
      </c>
      <c r="AG1540" s="28">
        <f>IFERROR(LOOKUP(AF1540,{0;0.5;5;25},{"Bajo";"Medio";"Alto";"Crítico"}),"")</f>
        <v/>
      </c>
      <c r="AH1540" s="28">
        <f>IF(AG1540="","",IF(OR(AG1540="Crítico",AG1540="Alto"),"Mitigar",IF(AG1540="Medio","Mitigar","Aceptar y monitorear")))</f>
        <v/>
      </c>
      <c r="AI1540" s="21" t="n"/>
      <c r="AJ1540" s="21" t="n"/>
      <c r="AK1540" s="20" t="n"/>
      <c r="AL1540" s="77">
        <f>IFERROR(INDEX(MgAmenEfic,MATCH(SUBSTITUTE($H1540,"*","-"),MgAmenClave,0)),0)</f>
        <v/>
      </c>
    </row>
    <row r="1541" hidden="1" ht="105" customHeight="1" s="54">
      <c r="B1541" s="59" t="inlineStr">
        <is>
          <t>R-1536</t>
        </is>
      </c>
      <c r="C1541" s="59" t="inlineStr">
        <is>
          <t>GH-051</t>
        </is>
      </c>
      <c r="D1541" s="64">
        <f>IFERROR(INDEX(MgNombre,MATCH($C1541,MgActId,0)),"")</f>
        <v/>
      </c>
      <c r="E1541" s="64">
        <f>IFERROR(INDEX(MgProceso,MATCH($C1541,MgActId,0)),"")</f>
        <v/>
      </c>
      <c r="F1541" s="64">
        <f>IFERROR(INDEX(MgTipo,MATCH($C1541,MgActId,0)),"")</f>
        <v/>
      </c>
      <c r="G1541" s="64">
        <f>IFERROR(INDEX(MgSubtipo,MATCH($C1541,MgActId,0)),"")</f>
        <v/>
      </c>
      <c r="H1541" s="59" t="inlineStr">
        <is>
          <t>E.1</t>
        </is>
      </c>
      <c r="I1541" s="64">
        <f>IFERROR(INDEX(MgAmenNombre,MATCH(SUBSTITUTE($H1541,"*","-"),MgAmenClave,0)),"")</f>
        <v/>
      </c>
      <c r="J1541" s="28">
        <f>IFERROR(INDEX(MgAmenGrupo,MATCH(SUBSTITUTE($H1541,"*","-"),MgAmenClave,0)),"")</f>
        <v/>
      </c>
      <c r="K1541" s="64">
        <f>IFERROR(INDEX('1. Matriz de Activos'!$Q$6:$Q$239,MATCH($C1541,MgActId,0)),"")</f>
        <v/>
      </c>
      <c r="L1541" s="64">
        <f>IFERROR(INDEX('1. Matriz de Activos'!$R$6:$R$239,MATCH($C1541,MgActId,0)),"")</f>
        <v/>
      </c>
      <c r="M1541" s="64">
        <f>IFERROR(INDEX('1. Matriz de Activos'!$S$6:$S$239,MATCH($C1541,MgActId,0)),"")</f>
        <v/>
      </c>
      <c r="N1541" s="28">
        <f>IFERROR(INDEX(MgAmenDegD,MATCH(SUBSTITUTE($H1541,"*","-"),MgAmenClave,0)),"No aplica")</f>
        <v/>
      </c>
      <c r="O1541" s="28">
        <f>IFERROR(INDEX(MgAmenDegI,MATCH(SUBSTITUTE($H1541,"*","-"),MgAmenClave,0)),"No aplica")</f>
        <v/>
      </c>
      <c r="P1541" s="28">
        <f>IFERROR(INDEX(MgAmenDegC,MATCH(SUBSTITUTE($H1541,"*","-"),MgAmenClave,0)),"No aplica")</f>
        <v/>
      </c>
      <c r="Q1541" s="29">
        <f>IFERROR(VLOOKUP(K1541,MgValor,2,0)*VLOOKUP(N1541,MgDeg,2,0),0)</f>
        <v/>
      </c>
      <c r="R1541" s="29">
        <f>IFERROR(VLOOKUP(L1541,MgValor,2,0)*VLOOKUP(O1541,MgDeg,2,0),0)</f>
        <v/>
      </c>
      <c r="S1541" s="29">
        <f>IFERROR(VLOOKUP(M1541,MgValor,2,0)*VLOOKUP(P1541,MgDeg,2,0),0)</f>
        <v/>
      </c>
      <c r="T1541" s="30">
        <f>MAX(Q1541:S1541)</f>
        <v/>
      </c>
      <c r="U1541" s="28">
        <f>IFERROR(LOOKUP(T1541,{0;0.5;1.5;3;4.5},{"Despreciable";"Bajo";"Medio";"Alto";"Muy alto"}),"")</f>
        <v/>
      </c>
      <c r="V1541" s="13">
        <f>IFERROR(INDEX(MgAmenFrec,MATCH(SUBSTITUTE($H1541,"*","-"),MgAmenClave,0)),"")</f>
        <v/>
      </c>
      <c r="W1541" s="28">
        <f>IFERROR(LOOKUP(X1541,{0;0.01;0.1;1;10;100},{"Muy baja";"Muy baja";"Baja";"Media";"Alta";"Muy alta"}),"")</f>
        <v/>
      </c>
      <c r="X1541" s="31">
        <f>IFERROR(VLOOKUP(V1541,MgFrec,2,0),0)</f>
        <v/>
      </c>
      <c r="Y1541" s="30">
        <f>T1541*X1541</f>
        <v/>
      </c>
      <c r="Z1541" s="28">
        <f>IFERROR(LOOKUP(Y1541,{0;0.5;5;25},{"Bajo";"Medio";"Alto";"Crítico"}),"")</f>
        <v/>
      </c>
      <c r="AA1541" s="64">
        <f>IF(T1541&gt;=3,IF(X1541&gt;=1,"Zona 1 — Crítica: impacto alto y ocurre al menos una vez al año","Zona 4 — Catastrófica poco probable: impacto alto pero excepcional"),IF(AND(T1541&lt;1.5,X1541&lt;1),"Zona 3 — Asumible: impacto bajo y muy poco frecuente","Zona 2 — Atención: riesgo intermedio"))</f>
        <v/>
      </c>
      <c r="AB1541" s="64">
        <f>IFERROR(INDEX(MgAmenCtrl,MATCH(SUBSTITUTE($H1541,"*","-"),MgAmenClave,0)),"")</f>
        <v/>
      </c>
      <c r="AC1541" s="20" t="n"/>
      <c r="AD1541" s="31">
        <f>IFERROR($X1541*(1-IF($AC1541="",$AL1541,VLOOKUP($AC1541,MgMad,2,0))),"")</f>
        <v/>
      </c>
      <c r="AE1541" s="28">
        <f>IFERROR(LOOKUP(AD1541,{0;0.01;0.1;1;10;100},{"Muy baja";"Muy baja";"Baja";"Media";"Alta";"Muy alta"}),"")</f>
        <v/>
      </c>
      <c r="AF1541" s="30">
        <f>T1541*AD1541</f>
        <v/>
      </c>
      <c r="AG1541" s="28">
        <f>IFERROR(LOOKUP(AF1541,{0;0.5;5;25},{"Bajo";"Medio";"Alto";"Crítico"}),"")</f>
        <v/>
      </c>
      <c r="AH1541" s="28">
        <f>IF(AG1541="","",IF(OR(AG1541="Crítico",AG1541="Alto"),"Mitigar",IF(AG1541="Medio","Mitigar","Aceptar y monitorear")))</f>
        <v/>
      </c>
      <c r="AI1541" s="21" t="n"/>
      <c r="AJ1541" s="21" t="n"/>
      <c r="AK1541" s="20" t="n"/>
      <c r="AL1541" s="77">
        <f>IFERROR(INDEX(MgAmenEfic,MATCH(SUBSTITUTE($H1541,"*","-"),MgAmenClave,0)),0)</f>
        <v/>
      </c>
    </row>
    <row r="1542" hidden="1" ht="120" customHeight="1" s="54">
      <c r="B1542" s="59" t="inlineStr">
        <is>
          <t>R-1537</t>
        </is>
      </c>
      <c r="C1542" s="59" t="inlineStr">
        <is>
          <t>GH-051</t>
        </is>
      </c>
      <c r="D1542" s="64">
        <f>IFERROR(INDEX(MgNombre,MATCH($C1542,MgActId,0)),"")</f>
        <v/>
      </c>
      <c r="E1542" s="64">
        <f>IFERROR(INDEX(MgProceso,MATCH($C1542,MgActId,0)),"")</f>
        <v/>
      </c>
      <c r="F1542" s="64">
        <f>IFERROR(INDEX(MgTipo,MATCH($C1542,MgActId,0)),"")</f>
        <v/>
      </c>
      <c r="G1542" s="64">
        <f>IFERROR(INDEX(MgSubtipo,MATCH($C1542,MgActId,0)),"")</f>
        <v/>
      </c>
      <c r="H1542" s="59" t="inlineStr">
        <is>
          <t>E.2</t>
        </is>
      </c>
      <c r="I1542" s="64">
        <f>IFERROR(INDEX(MgAmenNombre,MATCH(SUBSTITUTE($H1542,"*","-"),MgAmenClave,0)),"")</f>
        <v/>
      </c>
      <c r="J1542" s="28">
        <f>IFERROR(INDEX(MgAmenGrupo,MATCH(SUBSTITUTE($H1542,"*","-"),MgAmenClave,0)),"")</f>
        <v/>
      </c>
      <c r="K1542" s="64">
        <f>IFERROR(INDEX('1. Matriz de Activos'!$Q$6:$Q$239,MATCH($C1542,MgActId,0)),"")</f>
        <v/>
      </c>
      <c r="L1542" s="64">
        <f>IFERROR(INDEX('1. Matriz de Activos'!$R$6:$R$239,MATCH($C1542,MgActId,0)),"")</f>
        <v/>
      </c>
      <c r="M1542" s="64">
        <f>IFERROR(INDEX('1. Matriz de Activos'!$S$6:$S$239,MATCH($C1542,MgActId,0)),"")</f>
        <v/>
      </c>
      <c r="N1542" s="28">
        <f>IFERROR(INDEX(MgAmenDegD,MATCH(SUBSTITUTE($H1542,"*","-"),MgAmenClave,0)),"No aplica")</f>
        <v/>
      </c>
      <c r="O1542" s="28">
        <f>IFERROR(INDEX(MgAmenDegI,MATCH(SUBSTITUTE($H1542,"*","-"),MgAmenClave,0)),"No aplica")</f>
        <v/>
      </c>
      <c r="P1542" s="28">
        <f>IFERROR(INDEX(MgAmenDegC,MATCH(SUBSTITUTE($H1542,"*","-"),MgAmenClave,0)),"No aplica")</f>
        <v/>
      </c>
      <c r="Q1542" s="29">
        <f>IFERROR(VLOOKUP(K1542,MgValor,2,0)*VLOOKUP(N1542,MgDeg,2,0),0)</f>
        <v/>
      </c>
      <c r="R1542" s="29">
        <f>IFERROR(VLOOKUP(L1542,MgValor,2,0)*VLOOKUP(O1542,MgDeg,2,0),0)</f>
        <v/>
      </c>
      <c r="S1542" s="29">
        <f>IFERROR(VLOOKUP(M1542,MgValor,2,0)*VLOOKUP(P1542,MgDeg,2,0),0)</f>
        <v/>
      </c>
      <c r="T1542" s="30">
        <f>MAX(Q1542:S1542)</f>
        <v/>
      </c>
      <c r="U1542" s="28">
        <f>IFERROR(LOOKUP(T1542,{0;0.5;1.5;3;4.5},{"Despreciable";"Bajo";"Medio";"Alto";"Muy alto"}),"")</f>
        <v/>
      </c>
      <c r="V1542" s="13">
        <f>IFERROR(INDEX(MgAmenFrec,MATCH(SUBSTITUTE($H1542,"*","-"),MgAmenClave,0)),"")</f>
        <v/>
      </c>
      <c r="W1542" s="28">
        <f>IFERROR(LOOKUP(X1542,{0;0.01;0.1;1;10;100},{"Muy baja";"Muy baja";"Baja";"Media";"Alta";"Muy alta"}),"")</f>
        <v/>
      </c>
      <c r="X1542" s="31">
        <f>IFERROR(VLOOKUP(V1542,MgFrec,2,0),0)</f>
        <v/>
      </c>
      <c r="Y1542" s="30">
        <f>T1542*X1542</f>
        <v/>
      </c>
      <c r="Z1542" s="28">
        <f>IFERROR(LOOKUP(Y1542,{0;0.5;5;25},{"Bajo";"Medio";"Alto";"Crítico"}),"")</f>
        <v/>
      </c>
      <c r="AA1542" s="64">
        <f>IF(T1542&gt;=3,IF(X1542&gt;=1,"Zona 1 — Crítica: impacto alto y ocurre al menos una vez al año","Zona 4 — Catastrófica poco probable: impacto alto pero excepcional"),IF(AND(T1542&lt;1.5,X1542&lt;1),"Zona 3 — Asumible: impacto bajo y muy poco frecuente","Zona 2 — Atención: riesgo intermedio"))</f>
        <v/>
      </c>
      <c r="AB1542" s="64">
        <f>IFERROR(INDEX(MgAmenCtrl,MATCH(SUBSTITUTE($H1542,"*","-"),MgAmenClave,0)),"")</f>
        <v/>
      </c>
      <c r="AC1542" s="20" t="n"/>
      <c r="AD1542" s="31">
        <f>IFERROR($X1542*(1-IF($AC1542="",$AL1542,VLOOKUP($AC1542,MgMad,2,0))),"")</f>
        <v/>
      </c>
      <c r="AE1542" s="28">
        <f>IFERROR(LOOKUP(AD1542,{0;0.01;0.1;1;10;100},{"Muy baja";"Muy baja";"Baja";"Media";"Alta";"Muy alta"}),"")</f>
        <v/>
      </c>
      <c r="AF1542" s="30">
        <f>T1542*AD1542</f>
        <v/>
      </c>
      <c r="AG1542" s="28">
        <f>IFERROR(LOOKUP(AF1542,{0;0.5;5;25},{"Bajo";"Medio";"Alto";"Crítico"}),"")</f>
        <v/>
      </c>
      <c r="AH1542" s="28">
        <f>IF(AG1542="","",IF(OR(AG1542="Crítico",AG1542="Alto"),"Mitigar",IF(AG1542="Medio","Mitigar","Aceptar y monitorear")))</f>
        <v/>
      </c>
      <c r="AI1542" s="21" t="n"/>
      <c r="AJ1542" s="21" t="n"/>
      <c r="AK1542" s="20" t="n"/>
      <c r="AL1542" s="77">
        <f>IFERROR(INDEX(MgAmenEfic,MATCH(SUBSTITUTE($H1542,"*","-"),MgAmenClave,0)),0)</f>
        <v/>
      </c>
    </row>
    <row r="1543" hidden="1" ht="75" customHeight="1" s="54">
      <c r="B1543" s="59" t="inlineStr">
        <is>
          <t>R-1538</t>
        </is>
      </c>
      <c r="C1543" s="59" t="inlineStr">
        <is>
          <t>GH-051</t>
        </is>
      </c>
      <c r="D1543" s="64">
        <f>IFERROR(INDEX(MgNombre,MATCH($C1543,MgActId,0)),"")</f>
        <v/>
      </c>
      <c r="E1543" s="64">
        <f>IFERROR(INDEX(MgProceso,MATCH($C1543,MgActId,0)),"")</f>
        <v/>
      </c>
      <c r="F1543" s="64">
        <f>IFERROR(INDEX(MgTipo,MATCH($C1543,MgActId,0)),"")</f>
        <v/>
      </c>
      <c r="G1543" s="64">
        <f>IFERROR(INDEX(MgSubtipo,MATCH($C1543,MgActId,0)),"")</f>
        <v/>
      </c>
      <c r="H1543" s="59" t="inlineStr">
        <is>
          <t>E.3</t>
        </is>
      </c>
      <c r="I1543" s="64">
        <f>IFERROR(INDEX(MgAmenNombre,MATCH(SUBSTITUTE($H1543,"*","-"),MgAmenClave,0)),"")</f>
        <v/>
      </c>
      <c r="J1543" s="28">
        <f>IFERROR(INDEX(MgAmenGrupo,MATCH(SUBSTITUTE($H1543,"*","-"),MgAmenClave,0)),"")</f>
        <v/>
      </c>
      <c r="K1543" s="64">
        <f>IFERROR(INDEX('1. Matriz de Activos'!$Q$6:$Q$239,MATCH($C1543,MgActId,0)),"")</f>
        <v/>
      </c>
      <c r="L1543" s="64">
        <f>IFERROR(INDEX('1. Matriz de Activos'!$R$6:$R$239,MATCH($C1543,MgActId,0)),"")</f>
        <v/>
      </c>
      <c r="M1543" s="64">
        <f>IFERROR(INDEX('1. Matriz de Activos'!$S$6:$S$239,MATCH($C1543,MgActId,0)),"")</f>
        <v/>
      </c>
      <c r="N1543" s="28">
        <f>IFERROR(INDEX(MgAmenDegD,MATCH(SUBSTITUTE($H1543,"*","-"),MgAmenClave,0)),"No aplica")</f>
        <v/>
      </c>
      <c r="O1543" s="28">
        <f>IFERROR(INDEX(MgAmenDegI,MATCH(SUBSTITUTE($H1543,"*","-"),MgAmenClave,0)),"No aplica")</f>
        <v/>
      </c>
      <c r="P1543" s="28">
        <f>IFERROR(INDEX(MgAmenDegC,MATCH(SUBSTITUTE($H1543,"*","-"),MgAmenClave,0)),"No aplica")</f>
        <v/>
      </c>
      <c r="Q1543" s="29">
        <f>IFERROR(VLOOKUP(K1543,MgValor,2,0)*VLOOKUP(N1543,MgDeg,2,0),0)</f>
        <v/>
      </c>
      <c r="R1543" s="29">
        <f>IFERROR(VLOOKUP(L1543,MgValor,2,0)*VLOOKUP(O1543,MgDeg,2,0),0)</f>
        <v/>
      </c>
      <c r="S1543" s="29">
        <f>IFERROR(VLOOKUP(M1543,MgValor,2,0)*VLOOKUP(P1543,MgDeg,2,0),0)</f>
        <v/>
      </c>
      <c r="T1543" s="30">
        <f>MAX(Q1543:S1543)</f>
        <v/>
      </c>
      <c r="U1543" s="28">
        <f>IFERROR(LOOKUP(T1543,{0;0.5;1.5;3;4.5},{"Despreciable";"Bajo";"Medio";"Alto";"Muy alto"}),"")</f>
        <v/>
      </c>
      <c r="V1543" s="13">
        <f>IFERROR(INDEX(MgAmenFrec,MATCH(SUBSTITUTE($H1543,"*","-"),MgAmenClave,0)),"")</f>
        <v/>
      </c>
      <c r="W1543" s="28">
        <f>IFERROR(LOOKUP(X1543,{0;0.01;0.1;1;10;100},{"Muy baja";"Muy baja";"Baja";"Media";"Alta";"Muy alta"}),"")</f>
        <v/>
      </c>
      <c r="X1543" s="31">
        <f>IFERROR(VLOOKUP(V1543,MgFrec,2,0),0)</f>
        <v/>
      </c>
      <c r="Y1543" s="30">
        <f>T1543*X1543</f>
        <v/>
      </c>
      <c r="Z1543" s="28">
        <f>IFERROR(LOOKUP(Y1543,{0;0.5;5;25},{"Bajo";"Medio";"Alto";"Crítico"}),"")</f>
        <v/>
      </c>
      <c r="AA1543" s="64">
        <f>IF(T1543&gt;=3,IF(X1543&gt;=1,"Zona 1 — Crítica: impacto alto y ocurre al menos una vez al año","Zona 4 — Catastrófica poco probable: impacto alto pero excepcional"),IF(AND(T1543&lt;1.5,X1543&lt;1),"Zona 3 — Asumible: impacto bajo y muy poco frecuente","Zona 2 — Atención: riesgo intermedio"))</f>
        <v/>
      </c>
      <c r="AB1543" s="64">
        <f>IFERROR(INDEX(MgAmenCtrl,MATCH(SUBSTITUTE($H1543,"*","-"),MgAmenClave,0)),"")</f>
        <v/>
      </c>
      <c r="AC1543" s="20" t="n"/>
      <c r="AD1543" s="31">
        <f>IFERROR($X1543*(1-IF($AC1543="",$AL1543,VLOOKUP($AC1543,MgMad,2,0))),"")</f>
        <v/>
      </c>
      <c r="AE1543" s="28">
        <f>IFERROR(LOOKUP(AD1543,{0;0.01;0.1;1;10;100},{"Muy baja";"Muy baja";"Baja";"Media";"Alta";"Muy alta"}),"")</f>
        <v/>
      </c>
      <c r="AF1543" s="30">
        <f>T1543*AD1543</f>
        <v/>
      </c>
      <c r="AG1543" s="28">
        <f>IFERROR(LOOKUP(AF1543,{0;0.5;5;25},{"Bajo";"Medio";"Alto";"Crítico"}),"")</f>
        <v/>
      </c>
      <c r="AH1543" s="28">
        <f>IF(AG1543="","",IF(OR(AG1543="Crítico",AG1543="Alto"),"Mitigar",IF(AG1543="Medio","Mitigar","Aceptar y monitorear")))</f>
        <v/>
      </c>
      <c r="AI1543" s="21" t="n"/>
      <c r="AJ1543" s="21" t="n"/>
      <c r="AK1543" s="20" t="n"/>
      <c r="AL1543" s="77">
        <f>IFERROR(INDEX(MgAmenEfic,MATCH(SUBSTITUTE($H1543,"*","-"),MgAmenClave,0)),0)</f>
        <v/>
      </c>
    </row>
    <row r="1544" hidden="1" ht="75" customHeight="1" s="54">
      <c r="B1544" s="59" t="inlineStr">
        <is>
          <t>R-1539</t>
        </is>
      </c>
      <c r="C1544" s="59" t="inlineStr">
        <is>
          <t>GH-051</t>
        </is>
      </c>
      <c r="D1544" s="64">
        <f>IFERROR(INDEX(MgNombre,MATCH($C1544,MgActId,0)),"")</f>
        <v/>
      </c>
      <c r="E1544" s="64">
        <f>IFERROR(INDEX(MgProceso,MATCH($C1544,MgActId,0)),"")</f>
        <v/>
      </c>
      <c r="F1544" s="64">
        <f>IFERROR(INDEX(MgTipo,MATCH($C1544,MgActId,0)),"")</f>
        <v/>
      </c>
      <c r="G1544" s="64">
        <f>IFERROR(INDEX(MgSubtipo,MATCH($C1544,MgActId,0)),"")</f>
        <v/>
      </c>
      <c r="H1544" s="59" t="inlineStr">
        <is>
          <t>E.4</t>
        </is>
      </c>
      <c r="I1544" s="64">
        <f>IFERROR(INDEX(MgAmenNombre,MATCH(SUBSTITUTE($H1544,"*","-"),MgAmenClave,0)),"")</f>
        <v/>
      </c>
      <c r="J1544" s="28">
        <f>IFERROR(INDEX(MgAmenGrupo,MATCH(SUBSTITUTE($H1544,"*","-"),MgAmenClave,0)),"")</f>
        <v/>
      </c>
      <c r="K1544" s="64">
        <f>IFERROR(INDEX('1. Matriz de Activos'!$Q$6:$Q$239,MATCH($C1544,MgActId,0)),"")</f>
        <v/>
      </c>
      <c r="L1544" s="64">
        <f>IFERROR(INDEX('1. Matriz de Activos'!$R$6:$R$239,MATCH($C1544,MgActId,0)),"")</f>
        <v/>
      </c>
      <c r="M1544" s="64">
        <f>IFERROR(INDEX('1. Matriz de Activos'!$S$6:$S$239,MATCH($C1544,MgActId,0)),"")</f>
        <v/>
      </c>
      <c r="N1544" s="28">
        <f>IFERROR(INDEX(MgAmenDegD,MATCH(SUBSTITUTE($H1544,"*","-"),MgAmenClave,0)),"No aplica")</f>
        <v/>
      </c>
      <c r="O1544" s="28">
        <f>IFERROR(INDEX(MgAmenDegI,MATCH(SUBSTITUTE($H1544,"*","-"),MgAmenClave,0)),"No aplica")</f>
        <v/>
      </c>
      <c r="P1544" s="28">
        <f>IFERROR(INDEX(MgAmenDegC,MATCH(SUBSTITUTE($H1544,"*","-"),MgAmenClave,0)),"No aplica")</f>
        <v/>
      </c>
      <c r="Q1544" s="29">
        <f>IFERROR(VLOOKUP(K1544,MgValor,2,0)*VLOOKUP(N1544,MgDeg,2,0),0)</f>
        <v/>
      </c>
      <c r="R1544" s="29">
        <f>IFERROR(VLOOKUP(L1544,MgValor,2,0)*VLOOKUP(O1544,MgDeg,2,0),0)</f>
        <v/>
      </c>
      <c r="S1544" s="29">
        <f>IFERROR(VLOOKUP(M1544,MgValor,2,0)*VLOOKUP(P1544,MgDeg,2,0),0)</f>
        <v/>
      </c>
      <c r="T1544" s="30">
        <f>MAX(Q1544:S1544)</f>
        <v/>
      </c>
      <c r="U1544" s="28">
        <f>IFERROR(LOOKUP(T1544,{0;0.5;1.5;3;4.5},{"Despreciable";"Bajo";"Medio";"Alto";"Muy alto"}),"")</f>
        <v/>
      </c>
      <c r="V1544" s="13">
        <f>IFERROR(INDEX(MgAmenFrec,MATCH(SUBSTITUTE($H1544,"*","-"),MgAmenClave,0)),"")</f>
        <v/>
      </c>
      <c r="W1544" s="28">
        <f>IFERROR(LOOKUP(X1544,{0;0.01;0.1;1;10;100},{"Muy baja";"Muy baja";"Baja";"Media";"Alta";"Muy alta"}),"")</f>
        <v/>
      </c>
      <c r="X1544" s="31">
        <f>IFERROR(VLOOKUP(V1544,MgFrec,2,0),0)</f>
        <v/>
      </c>
      <c r="Y1544" s="30">
        <f>T1544*X1544</f>
        <v/>
      </c>
      <c r="Z1544" s="28">
        <f>IFERROR(LOOKUP(Y1544,{0;0.5;5;25},{"Bajo";"Medio";"Alto";"Crítico"}),"")</f>
        <v/>
      </c>
      <c r="AA1544" s="64">
        <f>IF(T1544&gt;=3,IF(X1544&gt;=1,"Zona 1 — Crítica: impacto alto y ocurre al menos una vez al año","Zona 4 — Catastrófica poco probable: impacto alto pero excepcional"),IF(AND(T1544&lt;1.5,X1544&lt;1),"Zona 3 — Asumible: impacto bajo y muy poco frecuente","Zona 2 — Atención: riesgo intermedio"))</f>
        <v/>
      </c>
      <c r="AB1544" s="64">
        <f>IFERROR(INDEX(MgAmenCtrl,MATCH(SUBSTITUTE($H1544,"*","-"),MgAmenClave,0)),"")</f>
        <v/>
      </c>
      <c r="AC1544" s="20" t="n"/>
      <c r="AD1544" s="31">
        <f>IFERROR($X1544*(1-IF($AC1544="",$AL1544,VLOOKUP($AC1544,MgMad,2,0))),"")</f>
        <v/>
      </c>
      <c r="AE1544" s="28">
        <f>IFERROR(LOOKUP(AD1544,{0;0.01;0.1;1;10;100},{"Muy baja";"Muy baja";"Baja";"Media";"Alta";"Muy alta"}),"")</f>
        <v/>
      </c>
      <c r="AF1544" s="30">
        <f>T1544*AD1544</f>
        <v/>
      </c>
      <c r="AG1544" s="28">
        <f>IFERROR(LOOKUP(AF1544,{0;0.5;5;25},{"Bajo";"Medio";"Alto";"Crítico"}),"")</f>
        <v/>
      </c>
      <c r="AH1544" s="28">
        <f>IF(AG1544="","",IF(OR(AG1544="Crítico",AG1544="Alto"),"Mitigar",IF(AG1544="Medio","Mitigar","Aceptar y monitorear")))</f>
        <v/>
      </c>
      <c r="AI1544" s="21" t="n"/>
      <c r="AJ1544" s="21" t="n"/>
      <c r="AK1544" s="20" t="n"/>
      <c r="AL1544" s="77">
        <f>IFERROR(INDEX(MgAmenEfic,MATCH(SUBSTITUTE($H1544,"*","-"),MgAmenClave,0)),0)</f>
        <v/>
      </c>
    </row>
    <row r="1545" hidden="1" ht="90" customHeight="1" s="54">
      <c r="B1545" s="59" t="inlineStr">
        <is>
          <t>R-1540</t>
        </is>
      </c>
      <c r="C1545" s="59" t="inlineStr">
        <is>
          <t>GH-051</t>
        </is>
      </c>
      <c r="D1545" s="64">
        <f>IFERROR(INDEX(MgNombre,MATCH($C1545,MgActId,0)),"")</f>
        <v/>
      </c>
      <c r="E1545" s="64">
        <f>IFERROR(INDEX(MgProceso,MATCH($C1545,MgActId,0)),"")</f>
        <v/>
      </c>
      <c r="F1545" s="64">
        <f>IFERROR(INDEX(MgTipo,MATCH($C1545,MgActId,0)),"")</f>
        <v/>
      </c>
      <c r="G1545" s="64">
        <f>IFERROR(INDEX(MgSubtipo,MATCH($C1545,MgActId,0)),"")</f>
        <v/>
      </c>
      <c r="H1545" s="59" t="inlineStr">
        <is>
          <t>E.14</t>
        </is>
      </c>
      <c r="I1545" s="64">
        <f>IFERROR(INDEX(MgAmenNombre,MATCH(SUBSTITUTE($H1545,"*","-"),MgAmenClave,0)),"")</f>
        <v/>
      </c>
      <c r="J1545" s="28">
        <f>IFERROR(INDEX(MgAmenGrupo,MATCH(SUBSTITUTE($H1545,"*","-"),MgAmenClave,0)),"")</f>
        <v/>
      </c>
      <c r="K1545" s="64">
        <f>IFERROR(INDEX('1. Matriz de Activos'!$Q$6:$Q$239,MATCH($C1545,MgActId,0)),"")</f>
        <v/>
      </c>
      <c r="L1545" s="64">
        <f>IFERROR(INDEX('1. Matriz de Activos'!$R$6:$R$239,MATCH($C1545,MgActId,0)),"")</f>
        <v/>
      </c>
      <c r="M1545" s="64">
        <f>IFERROR(INDEX('1. Matriz de Activos'!$S$6:$S$239,MATCH($C1545,MgActId,0)),"")</f>
        <v/>
      </c>
      <c r="N1545" s="28">
        <f>IFERROR(INDEX(MgAmenDegD,MATCH(SUBSTITUTE($H1545,"*","-"),MgAmenClave,0)),"No aplica")</f>
        <v/>
      </c>
      <c r="O1545" s="28">
        <f>IFERROR(INDEX(MgAmenDegI,MATCH(SUBSTITUTE($H1545,"*","-"),MgAmenClave,0)),"No aplica")</f>
        <v/>
      </c>
      <c r="P1545" s="28">
        <f>IFERROR(INDEX(MgAmenDegC,MATCH(SUBSTITUTE($H1545,"*","-"),MgAmenClave,0)),"No aplica")</f>
        <v/>
      </c>
      <c r="Q1545" s="29">
        <f>IFERROR(VLOOKUP(K1545,MgValor,2,0)*VLOOKUP(N1545,MgDeg,2,0),0)</f>
        <v/>
      </c>
      <c r="R1545" s="29">
        <f>IFERROR(VLOOKUP(L1545,MgValor,2,0)*VLOOKUP(O1545,MgDeg,2,0),0)</f>
        <v/>
      </c>
      <c r="S1545" s="29">
        <f>IFERROR(VLOOKUP(M1545,MgValor,2,0)*VLOOKUP(P1545,MgDeg,2,0),0)</f>
        <v/>
      </c>
      <c r="T1545" s="30">
        <f>MAX(Q1545:S1545)</f>
        <v/>
      </c>
      <c r="U1545" s="28">
        <f>IFERROR(LOOKUP(T1545,{0;0.5;1.5;3;4.5},{"Despreciable";"Bajo";"Medio";"Alto";"Muy alto"}),"")</f>
        <v/>
      </c>
      <c r="V1545" s="13">
        <f>IFERROR(INDEX(MgAmenFrec,MATCH(SUBSTITUTE($H1545,"*","-"),MgAmenClave,0)),"")</f>
        <v/>
      </c>
      <c r="W1545" s="28">
        <f>IFERROR(LOOKUP(X1545,{0;0.01;0.1;1;10;100},{"Muy baja";"Muy baja";"Baja";"Media";"Alta";"Muy alta"}),"")</f>
        <v/>
      </c>
      <c r="X1545" s="31">
        <f>IFERROR(VLOOKUP(V1545,MgFrec,2,0),0)</f>
        <v/>
      </c>
      <c r="Y1545" s="30">
        <f>T1545*X1545</f>
        <v/>
      </c>
      <c r="Z1545" s="28">
        <f>IFERROR(LOOKUP(Y1545,{0;0.5;5;25},{"Bajo";"Medio";"Alto";"Crítico"}),"")</f>
        <v/>
      </c>
      <c r="AA1545" s="64">
        <f>IF(T1545&gt;=3,IF(X1545&gt;=1,"Zona 1 — Crítica: impacto alto y ocurre al menos una vez al año","Zona 4 — Catastrófica poco probable: impacto alto pero excepcional"),IF(AND(T1545&lt;1.5,X1545&lt;1),"Zona 3 — Asumible: impacto bajo y muy poco frecuente","Zona 2 — Atención: riesgo intermedio"))</f>
        <v/>
      </c>
      <c r="AB1545" s="64">
        <f>IFERROR(INDEX(MgAmenCtrl,MATCH(SUBSTITUTE($H1545,"*","-"),MgAmenClave,0)),"")</f>
        <v/>
      </c>
      <c r="AC1545" s="20" t="n"/>
      <c r="AD1545" s="31">
        <f>IFERROR($X1545*(1-IF($AC1545="",$AL1545,VLOOKUP($AC1545,MgMad,2,0))),"")</f>
        <v/>
      </c>
      <c r="AE1545" s="28">
        <f>IFERROR(LOOKUP(AD1545,{0;0.01;0.1;1;10;100},{"Muy baja";"Muy baja";"Baja";"Media";"Alta";"Muy alta"}),"")</f>
        <v/>
      </c>
      <c r="AF1545" s="30">
        <f>T1545*AD1545</f>
        <v/>
      </c>
      <c r="AG1545" s="28">
        <f>IFERROR(LOOKUP(AF1545,{0;0.5;5;25},{"Bajo";"Medio";"Alto";"Crítico"}),"")</f>
        <v/>
      </c>
      <c r="AH1545" s="28">
        <f>IF(AG1545="","",IF(OR(AG1545="Crítico",AG1545="Alto"),"Mitigar",IF(AG1545="Medio","Mitigar","Aceptar y monitorear")))</f>
        <v/>
      </c>
      <c r="AI1545" s="21" t="n"/>
      <c r="AJ1545" s="21" t="n"/>
      <c r="AK1545" s="20" t="n"/>
      <c r="AL1545" s="77">
        <f>IFERROR(INDEX(MgAmenEfic,MATCH(SUBSTITUTE($H1545,"*","-"),MgAmenClave,0)),0)</f>
        <v/>
      </c>
    </row>
    <row r="1546" hidden="1" ht="90" customHeight="1" s="54">
      <c r="B1546" s="59" t="inlineStr">
        <is>
          <t>R-1541</t>
        </is>
      </c>
      <c r="C1546" s="59" t="inlineStr">
        <is>
          <t>GH-051</t>
        </is>
      </c>
      <c r="D1546" s="64">
        <f>IFERROR(INDEX(MgNombre,MATCH($C1546,MgActId,0)),"")</f>
        <v/>
      </c>
      <c r="E1546" s="64">
        <f>IFERROR(INDEX(MgProceso,MATCH($C1546,MgActId,0)),"")</f>
        <v/>
      </c>
      <c r="F1546" s="64">
        <f>IFERROR(INDEX(MgTipo,MATCH($C1546,MgActId,0)),"")</f>
        <v/>
      </c>
      <c r="G1546" s="64">
        <f>IFERROR(INDEX(MgSubtipo,MATCH($C1546,MgActId,0)),"")</f>
        <v/>
      </c>
      <c r="H1546" s="59" t="inlineStr">
        <is>
          <t>E.15</t>
        </is>
      </c>
      <c r="I1546" s="64">
        <f>IFERROR(INDEX(MgAmenNombre,MATCH(SUBSTITUTE($H1546,"*","-"),MgAmenClave,0)),"")</f>
        <v/>
      </c>
      <c r="J1546" s="28">
        <f>IFERROR(INDEX(MgAmenGrupo,MATCH(SUBSTITUTE($H1546,"*","-"),MgAmenClave,0)),"")</f>
        <v/>
      </c>
      <c r="K1546" s="64">
        <f>IFERROR(INDEX('1. Matriz de Activos'!$Q$6:$Q$239,MATCH($C1546,MgActId,0)),"")</f>
        <v/>
      </c>
      <c r="L1546" s="64">
        <f>IFERROR(INDEX('1. Matriz de Activos'!$R$6:$R$239,MATCH($C1546,MgActId,0)),"")</f>
        <v/>
      </c>
      <c r="M1546" s="64">
        <f>IFERROR(INDEX('1. Matriz de Activos'!$S$6:$S$239,MATCH($C1546,MgActId,0)),"")</f>
        <v/>
      </c>
      <c r="N1546" s="28">
        <f>IFERROR(INDEX(MgAmenDegD,MATCH(SUBSTITUTE($H1546,"*","-"),MgAmenClave,0)),"No aplica")</f>
        <v/>
      </c>
      <c r="O1546" s="28">
        <f>IFERROR(INDEX(MgAmenDegI,MATCH(SUBSTITUTE($H1546,"*","-"),MgAmenClave,0)),"No aplica")</f>
        <v/>
      </c>
      <c r="P1546" s="28">
        <f>IFERROR(INDEX(MgAmenDegC,MATCH(SUBSTITUTE($H1546,"*","-"),MgAmenClave,0)),"No aplica")</f>
        <v/>
      </c>
      <c r="Q1546" s="29">
        <f>IFERROR(VLOOKUP(K1546,MgValor,2,0)*VLOOKUP(N1546,MgDeg,2,0),0)</f>
        <v/>
      </c>
      <c r="R1546" s="29">
        <f>IFERROR(VLOOKUP(L1546,MgValor,2,0)*VLOOKUP(O1546,MgDeg,2,0),0)</f>
        <v/>
      </c>
      <c r="S1546" s="29">
        <f>IFERROR(VLOOKUP(M1546,MgValor,2,0)*VLOOKUP(P1546,MgDeg,2,0),0)</f>
        <v/>
      </c>
      <c r="T1546" s="30">
        <f>MAX(Q1546:S1546)</f>
        <v/>
      </c>
      <c r="U1546" s="28">
        <f>IFERROR(LOOKUP(T1546,{0;0.5;1.5;3;4.5},{"Despreciable";"Bajo";"Medio";"Alto";"Muy alto"}),"")</f>
        <v/>
      </c>
      <c r="V1546" s="13">
        <f>IFERROR(INDEX(MgAmenFrec,MATCH(SUBSTITUTE($H1546,"*","-"),MgAmenClave,0)),"")</f>
        <v/>
      </c>
      <c r="W1546" s="28">
        <f>IFERROR(LOOKUP(X1546,{0;0.01;0.1;1;10;100},{"Muy baja";"Muy baja";"Baja";"Media";"Alta";"Muy alta"}),"")</f>
        <v/>
      </c>
      <c r="X1546" s="31">
        <f>IFERROR(VLOOKUP(V1546,MgFrec,2,0),0)</f>
        <v/>
      </c>
      <c r="Y1546" s="30">
        <f>T1546*X1546</f>
        <v/>
      </c>
      <c r="Z1546" s="28">
        <f>IFERROR(LOOKUP(Y1546,{0;0.5;5;25},{"Bajo";"Medio";"Alto";"Crítico"}),"")</f>
        <v/>
      </c>
      <c r="AA1546" s="64">
        <f>IF(T1546&gt;=3,IF(X1546&gt;=1,"Zona 1 — Crítica: impacto alto y ocurre al menos una vez al año","Zona 4 — Catastrófica poco probable: impacto alto pero excepcional"),IF(AND(T1546&lt;1.5,X1546&lt;1),"Zona 3 — Asumible: impacto bajo y muy poco frecuente","Zona 2 — Atención: riesgo intermedio"))</f>
        <v/>
      </c>
      <c r="AB1546" s="64">
        <f>IFERROR(INDEX(MgAmenCtrl,MATCH(SUBSTITUTE($H1546,"*","-"),MgAmenClave,0)),"")</f>
        <v/>
      </c>
      <c r="AC1546" s="20" t="n"/>
      <c r="AD1546" s="31">
        <f>IFERROR($X1546*(1-IF($AC1546="",$AL1546,VLOOKUP($AC1546,MgMad,2,0))),"")</f>
        <v/>
      </c>
      <c r="AE1546" s="28">
        <f>IFERROR(LOOKUP(AD1546,{0;0.01;0.1;1;10;100},{"Muy baja";"Muy baja";"Baja";"Media";"Alta";"Muy alta"}),"")</f>
        <v/>
      </c>
      <c r="AF1546" s="30">
        <f>T1546*AD1546</f>
        <v/>
      </c>
      <c r="AG1546" s="28">
        <f>IFERROR(LOOKUP(AF1546,{0;0.5;5;25},{"Bajo";"Medio";"Alto";"Crítico"}),"")</f>
        <v/>
      </c>
      <c r="AH1546" s="28">
        <f>IF(AG1546="","",IF(OR(AG1546="Crítico",AG1546="Alto"),"Mitigar",IF(AG1546="Medio","Mitigar","Aceptar y monitorear")))</f>
        <v/>
      </c>
      <c r="AI1546" s="21" t="n"/>
      <c r="AJ1546" s="21" t="n"/>
      <c r="AK1546" s="20" t="n"/>
      <c r="AL1546" s="77">
        <f>IFERROR(INDEX(MgAmenEfic,MATCH(SUBSTITUTE($H1546,"*","-"),MgAmenClave,0)),0)</f>
        <v/>
      </c>
    </row>
    <row r="1547" hidden="1" ht="60" customHeight="1" s="54">
      <c r="B1547" s="59" t="inlineStr">
        <is>
          <t>R-1542</t>
        </is>
      </c>
      <c r="C1547" s="59" t="inlineStr">
        <is>
          <t>GH-051</t>
        </is>
      </c>
      <c r="D1547" s="64">
        <f>IFERROR(INDEX(MgNombre,MATCH($C1547,MgActId,0)),"")</f>
        <v/>
      </c>
      <c r="E1547" s="64">
        <f>IFERROR(INDEX(MgProceso,MATCH($C1547,MgActId,0)),"")</f>
        <v/>
      </c>
      <c r="F1547" s="64">
        <f>IFERROR(INDEX(MgTipo,MATCH($C1547,MgActId,0)),"")</f>
        <v/>
      </c>
      <c r="G1547" s="64">
        <f>IFERROR(INDEX(MgSubtipo,MATCH($C1547,MgActId,0)),"")</f>
        <v/>
      </c>
      <c r="H1547" s="59" t="inlineStr">
        <is>
          <t>E.18</t>
        </is>
      </c>
      <c r="I1547" s="64">
        <f>IFERROR(INDEX(MgAmenNombre,MATCH(SUBSTITUTE($H1547,"*","-"),MgAmenClave,0)),"")</f>
        <v/>
      </c>
      <c r="J1547" s="28">
        <f>IFERROR(INDEX(MgAmenGrupo,MATCH(SUBSTITUTE($H1547,"*","-"),MgAmenClave,0)),"")</f>
        <v/>
      </c>
      <c r="K1547" s="64">
        <f>IFERROR(INDEX('1. Matriz de Activos'!$Q$6:$Q$239,MATCH($C1547,MgActId,0)),"")</f>
        <v/>
      </c>
      <c r="L1547" s="64">
        <f>IFERROR(INDEX('1. Matriz de Activos'!$R$6:$R$239,MATCH($C1547,MgActId,0)),"")</f>
        <v/>
      </c>
      <c r="M1547" s="64">
        <f>IFERROR(INDEX('1. Matriz de Activos'!$S$6:$S$239,MATCH($C1547,MgActId,0)),"")</f>
        <v/>
      </c>
      <c r="N1547" s="28">
        <f>IFERROR(INDEX(MgAmenDegD,MATCH(SUBSTITUTE($H1547,"*","-"),MgAmenClave,0)),"No aplica")</f>
        <v/>
      </c>
      <c r="O1547" s="28">
        <f>IFERROR(INDEX(MgAmenDegI,MATCH(SUBSTITUTE($H1547,"*","-"),MgAmenClave,0)),"No aplica")</f>
        <v/>
      </c>
      <c r="P1547" s="28">
        <f>IFERROR(INDEX(MgAmenDegC,MATCH(SUBSTITUTE($H1547,"*","-"),MgAmenClave,0)),"No aplica")</f>
        <v/>
      </c>
      <c r="Q1547" s="29">
        <f>IFERROR(VLOOKUP(K1547,MgValor,2,0)*VLOOKUP(N1547,MgDeg,2,0),0)</f>
        <v/>
      </c>
      <c r="R1547" s="29">
        <f>IFERROR(VLOOKUP(L1547,MgValor,2,0)*VLOOKUP(O1547,MgDeg,2,0),0)</f>
        <v/>
      </c>
      <c r="S1547" s="29">
        <f>IFERROR(VLOOKUP(M1547,MgValor,2,0)*VLOOKUP(P1547,MgDeg,2,0),0)</f>
        <v/>
      </c>
      <c r="T1547" s="30">
        <f>MAX(Q1547:S1547)</f>
        <v/>
      </c>
      <c r="U1547" s="28">
        <f>IFERROR(LOOKUP(T1547,{0;0.5;1.5;3;4.5},{"Despreciable";"Bajo";"Medio";"Alto";"Muy alto"}),"")</f>
        <v/>
      </c>
      <c r="V1547" s="13">
        <f>IFERROR(INDEX(MgAmenFrec,MATCH(SUBSTITUTE($H1547,"*","-"),MgAmenClave,0)),"")</f>
        <v/>
      </c>
      <c r="W1547" s="28">
        <f>IFERROR(LOOKUP(X1547,{0;0.01;0.1;1;10;100},{"Muy baja";"Muy baja";"Baja";"Media";"Alta";"Muy alta"}),"")</f>
        <v/>
      </c>
      <c r="X1547" s="31">
        <f>IFERROR(VLOOKUP(V1547,MgFrec,2,0),0)</f>
        <v/>
      </c>
      <c r="Y1547" s="30">
        <f>T1547*X1547</f>
        <v/>
      </c>
      <c r="Z1547" s="28">
        <f>IFERROR(LOOKUP(Y1547,{0;0.5;5;25},{"Bajo";"Medio";"Alto";"Crítico"}),"")</f>
        <v/>
      </c>
      <c r="AA1547" s="64">
        <f>IF(T1547&gt;=3,IF(X1547&gt;=1,"Zona 1 — Crítica: impacto alto y ocurre al menos una vez al año","Zona 4 — Catastrófica poco probable: impacto alto pero excepcional"),IF(AND(T1547&lt;1.5,X1547&lt;1),"Zona 3 — Asumible: impacto bajo y muy poco frecuente","Zona 2 — Atención: riesgo intermedio"))</f>
        <v/>
      </c>
      <c r="AB1547" s="64">
        <f>IFERROR(INDEX(MgAmenCtrl,MATCH(SUBSTITUTE($H1547,"*","-"),MgAmenClave,0)),"")</f>
        <v/>
      </c>
      <c r="AC1547" s="20" t="n"/>
      <c r="AD1547" s="31">
        <f>IFERROR($X1547*(1-IF($AC1547="",$AL1547,VLOOKUP($AC1547,MgMad,2,0))),"")</f>
        <v/>
      </c>
      <c r="AE1547" s="28">
        <f>IFERROR(LOOKUP(AD1547,{0;0.01;0.1;1;10;100},{"Muy baja";"Muy baja";"Baja";"Media";"Alta";"Muy alta"}),"")</f>
        <v/>
      </c>
      <c r="AF1547" s="30">
        <f>T1547*AD1547</f>
        <v/>
      </c>
      <c r="AG1547" s="28">
        <f>IFERROR(LOOKUP(AF1547,{0;0.5;5;25},{"Bajo";"Medio";"Alto";"Crítico"}),"")</f>
        <v/>
      </c>
      <c r="AH1547" s="28">
        <f>IF(AG1547="","",IF(OR(AG1547="Crítico",AG1547="Alto"),"Mitigar",IF(AG1547="Medio","Mitigar","Aceptar y monitorear")))</f>
        <v/>
      </c>
      <c r="AI1547" s="21" t="n"/>
      <c r="AJ1547" s="21" t="n"/>
      <c r="AK1547" s="20" t="n"/>
      <c r="AL1547" s="77">
        <f>IFERROR(INDEX(MgAmenEfic,MATCH(SUBSTITUTE($H1547,"*","-"),MgAmenClave,0)),0)</f>
        <v/>
      </c>
    </row>
    <row r="1548" hidden="1" ht="105" customHeight="1" s="54">
      <c r="B1548" s="59" t="inlineStr">
        <is>
          <t>R-1543</t>
        </is>
      </c>
      <c r="C1548" s="59" t="inlineStr">
        <is>
          <t>GH-051</t>
        </is>
      </c>
      <c r="D1548" s="64">
        <f>IFERROR(INDEX(MgNombre,MATCH($C1548,MgActId,0)),"")</f>
        <v/>
      </c>
      <c r="E1548" s="64">
        <f>IFERROR(INDEX(MgProceso,MATCH($C1548,MgActId,0)),"")</f>
        <v/>
      </c>
      <c r="F1548" s="64">
        <f>IFERROR(INDEX(MgTipo,MATCH($C1548,MgActId,0)),"")</f>
        <v/>
      </c>
      <c r="G1548" s="64">
        <f>IFERROR(INDEX(MgSubtipo,MATCH($C1548,MgActId,0)),"")</f>
        <v/>
      </c>
      <c r="H1548" s="59" t="inlineStr">
        <is>
          <t>E.19</t>
        </is>
      </c>
      <c r="I1548" s="64">
        <f>IFERROR(INDEX(MgAmenNombre,MATCH(SUBSTITUTE($H1548,"*","-"),MgAmenClave,0)),"")</f>
        <v/>
      </c>
      <c r="J1548" s="28">
        <f>IFERROR(INDEX(MgAmenGrupo,MATCH(SUBSTITUTE($H1548,"*","-"),MgAmenClave,0)),"")</f>
        <v/>
      </c>
      <c r="K1548" s="64">
        <f>IFERROR(INDEX('1. Matriz de Activos'!$Q$6:$Q$239,MATCH($C1548,MgActId,0)),"")</f>
        <v/>
      </c>
      <c r="L1548" s="64">
        <f>IFERROR(INDEX('1. Matriz de Activos'!$R$6:$R$239,MATCH($C1548,MgActId,0)),"")</f>
        <v/>
      </c>
      <c r="M1548" s="64">
        <f>IFERROR(INDEX('1. Matriz de Activos'!$S$6:$S$239,MATCH($C1548,MgActId,0)),"")</f>
        <v/>
      </c>
      <c r="N1548" s="28">
        <f>IFERROR(INDEX(MgAmenDegD,MATCH(SUBSTITUTE($H1548,"*","-"),MgAmenClave,0)),"No aplica")</f>
        <v/>
      </c>
      <c r="O1548" s="28">
        <f>IFERROR(INDEX(MgAmenDegI,MATCH(SUBSTITUTE($H1548,"*","-"),MgAmenClave,0)),"No aplica")</f>
        <v/>
      </c>
      <c r="P1548" s="28">
        <f>IFERROR(INDEX(MgAmenDegC,MATCH(SUBSTITUTE($H1548,"*","-"),MgAmenClave,0)),"No aplica")</f>
        <v/>
      </c>
      <c r="Q1548" s="29">
        <f>IFERROR(VLOOKUP(K1548,MgValor,2,0)*VLOOKUP(N1548,MgDeg,2,0),0)</f>
        <v/>
      </c>
      <c r="R1548" s="29">
        <f>IFERROR(VLOOKUP(L1548,MgValor,2,0)*VLOOKUP(O1548,MgDeg,2,0),0)</f>
        <v/>
      </c>
      <c r="S1548" s="29">
        <f>IFERROR(VLOOKUP(M1548,MgValor,2,0)*VLOOKUP(P1548,MgDeg,2,0),0)</f>
        <v/>
      </c>
      <c r="T1548" s="30">
        <f>MAX(Q1548:S1548)</f>
        <v/>
      </c>
      <c r="U1548" s="28">
        <f>IFERROR(LOOKUP(T1548,{0;0.5;1.5;3;4.5},{"Despreciable";"Bajo";"Medio";"Alto";"Muy alto"}),"")</f>
        <v/>
      </c>
      <c r="V1548" s="13">
        <f>IFERROR(INDEX(MgAmenFrec,MATCH(SUBSTITUTE($H1548,"*","-"),MgAmenClave,0)),"")</f>
        <v/>
      </c>
      <c r="W1548" s="28">
        <f>IFERROR(LOOKUP(X1548,{0;0.01;0.1;1;10;100},{"Muy baja";"Muy baja";"Baja";"Media";"Alta";"Muy alta"}),"")</f>
        <v/>
      </c>
      <c r="X1548" s="31">
        <f>IFERROR(VLOOKUP(V1548,MgFrec,2,0),0)</f>
        <v/>
      </c>
      <c r="Y1548" s="30">
        <f>T1548*X1548</f>
        <v/>
      </c>
      <c r="Z1548" s="28">
        <f>IFERROR(LOOKUP(Y1548,{0;0.5;5;25},{"Bajo";"Medio";"Alto";"Crítico"}),"")</f>
        <v/>
      </c>
      <c r="AA1548" s="64">
        <f>IF(T1548&gt;=3,IF(X1548&gt;=1,"Zona 1 — Crítica: impacto alto y ocurre al menos una vez al año","Zona 4 — Catastrófica poco probable: impacto alto pero excepcional"),IF(AND(T1548&lt;1.5,X1548&lt;1),"Zona 3 — Asumible: impacto bajo y muy poco frecuente","Zona 2 — Atención: riesgo intermedio"))</f>
        <v/>
      </c>
      <c r="AB1548" s="64">
        <f>IFERROR(INDEX(MgAmenCtrl,MATCH(SUBSTITUTE($H1548,"*","-"),MgAmenClave,0)),"")</f>
        <v/>
      </c>
      <c r="AC1548" s="20" t="n"/>
      <c r="AD1548" s="31">
        <f>IFERROR($X1548*(1-IF($AC1548="",$AL1548,VLOOKUP($AC1548,MgMad,2,0))),"")</f>
        <v/>
      </c>
      <c r="AE1548" s="28">
        <f>IFERROR(LOOKUP(AD1548,{0;0.01;0.1;1;10;100},{"Muy baja";"Muy baja";"Baja";"Media";"Alta";"Muy alta"}),"")</f>
        <v/>
      </c>
      <c r="AF1548" s="30">
        <f>T1548*AD1548</f>
        <v/>
      </c>
      <c r="AG1548" s="28">
        <f>IFERROR(LOOKUP(AF1548,{0;0.5;5;25},{"Bajo";"Medio";"Alto";"Crítico"}),"")</f>
        <v/>
      </c>
      <c r="AH1548" s="28">
        <f>IF(AG1548="","",IF(OR(AG1548="Crítico",AG1548="Alto"),"Mitigar",IF(AG1548="Medio","Mitigar","Aceptar y monitorear")))</f>
        <v/>
      </c>
      <c r="AI1548" s="21" t="n"/>
      <c r="AJ1548" s="21" t="n"/>
      <c r="AK1548" s="20" t="n"/>
      <c r="AL1548" s="77">
        <f>IFERROR(INDEX(MgAmenEfic,MATCH(SUBSTITUTE($H1548,"*","-"),MgAmenClave,0)),0)</f>
        <v/>
      </c>
    </row>
    <row r="1549" hidden="1" ht="60" customHeight="1" s="54">
      <c r="B1549" s="59" t="inlineStr">
        <is>
          <t>R-1544</t>
        </is>
      </c>
      <c r="C1549" s="59" t="inlineStr">
        <is>
          <t>GH-051</t>
        </is>
      </c>
      <c r="D1549" s="64">
        <f>IFERROR(INDEX(MgNombre,MATCH($C1549,MgActId,0)),"")</f>
        <v/>
      </c>
      <c r="E1549" s="64">
        <f>IFERROR(INDEX(MgProceso,MATCH($C1549,MgActId,0)),"")</f>
        <v/>
      </c>
      <c r="F1549" s="64">
        <f>IFERROR(INDEX(MgTipo,MATCH($C1549,MgActId,0)),"")</f>
        <v/>
      </c>
      <c r="G1549" s="64">
        <f>IFERROR(INDEX(MgSubtipo,MATCH($C1549,MgActId,0)),"")</f>
        <v/>
      </c>
      <c r="H1549" s="59" t="inlineStr">
        <is>
          <t>A.3</t>
        </is>
      </c>
      <c r="I1549" s="64">
        <f>IFERROR(INDEX(MgAmenNombre,MATCH(SUBSTITUTE($H1549,"*","-"),MgAmenClave,0)),"")</f>
        <v/>
      </c>
      <c r="J1549" s="28">
        <f>IFERROR(INDEX(MgAmenGrupo,MATCH(SUBSTITUTE($H1549,"*","-"),MgAmenClave,0)),"")</f>
        <v/>
      </c>
      <c r="K1549" s="64">
        <f>IFERROR(INDEX('1. Matriz de Activos'!$Q$6:$Q$239,MATCH($C1549,MgActId,0)),"")</f>
        <v/>
      </c>
      <c r="L1549" s="64">
        <f>IFERROR(INDEX('1. Matriz de Activos'!$R$6:$R$239,MATCH($C1549,MgActId,0)),"")</f>
        <v/>
      </c>
      <c r="M1549" s="64">
        <f>IFERROR(INDEX('1. Matriz de Activos'!$S$6:$S$239,MATCH($C1549,MgActId,0)),"")</f>
        <v/>
      </c>
      <c r="N1549" s="28">
        <f>IFERROR(INDEX(MgAmenDegD,MATCH(SUBSTITUTE($H1549,"*","-"),MgAmenClave,0)),"No aplica")</f>
        <v/>
      </c>
      <c r="O1549" s="28">
        <f>IFERROR(INDEX(MgAmenDegI,MATCH(SUBSTITUTE($H1549,"*","-"),MgAmenClave,0)),"No aplica")</f>
        <v/>
      </c>
      <c r="P1549" s="28">
        <f>IFERROR(INDEX(MgAmenDegC,MATCH(SUBSTITUTE($H1549,"*","-"),MgAmenClave,0)),"No aplica")</f>
        <v/>
      </c>
      <c r="Q1549" s="29">
        <f>IFERROR(VLOOKUP(K1549,MgValor,2,0)*VLOOKUP(N1549,MgDeg,2,0),0)</f>
        <v/>
      </c>
      <c r="R1549" s="29">
        <f>IFERROR(VLOOKUP(L1549,MgValor,2,0)*VLOOKUP(O1549,MgDeg,2,0),0)</f>
        <v/>
      </c>
      <c r="S1549" s="29">
        <f>IFERROR(VLOOKUP(M1549,MgValor,2,0)*VLOOKUP(P1549,MgDeg,2,0),0)</f>
        <v/>
      </c>
      <c r="T1549" s="30">
        <f>MAX(Q1549:S1549)</f>
        <v/>
      </c>
      <c r="U1549" s="28">
        <f>IFERROR(LOOKUP(T1549,{0;0.5;1.5;3;4.5},{"Despreciable";"Bajo";"Medio";"Alto";"Muy alto"}),"")</f>
        <v/>
      </c>
      <c r="V1549" s="13">
        <f>IFERROR(INDEX(MgAmenFrec,MATCH(SUBSTITUTE($H1549,"*","-"),MgAmenClave,0)),"")</f>
        <v/>
      </c>
      <c r="W1549" s="28">
        <f>IFERROR(LOOKUP(X1549,{0;0.01;0.1;1;10;100},{"Muy baja";"Muy baja";"Baja";"Media";"Alta";"Muy alta"}),"")</f>
        <v/>
      </c>
      <c r="X1549" s="31">
        <f>IFERROR(VLOOKUP(V1549,MgFrec,2,0),0)</f>
        <v/>
      </c>
      <c r="Y1549" s="30">
        <f>T1549*X1549</f>
        <v/>
      </c>
      <c r="Z1549" s="28">
        <f>IFERROR(LOOKUP(Y1549,{0;0.5;5;25},{"Bajo";"Medio";"Alto";"Crítico"}),"")</f>
        <v/>
      </c>
      <c r="AA1549" s="64">
        <f>IF(T1549&gt;=3,IF(X1549&gt;=1,"Zona 1 — Crítica: impacto alto y ocurre al menos una vez al año","Zona 4 — Catastrófica poco probable: impacto alto pero excepcional"),IF(AND(T1549&lt;1.5,X1549&lt;1),"Zona 3 — Asumible: impacto bajo y muy poco frecuente","Zona 2 — Atención: riesgo intermedio"))</f>
        <v/>
      </c>
      <c r="AB1549" s="64">
        <f>IFERROR(INDEX(MgAmenCtrl,MATCH(SUBSTITUTE($H1549,"*","-"),MgAmenClave,0)),"")</f>
        <v/>
      </c>
      <c r="AC1549" s="20" t="n"/>
      <c r="AD1549" s="31">
        <f>IFERROR($X1549*(1-IF($AC1549="",$AL1549,VLOOKUP($AC1549,MgMad,2,0))),"")</f>
        <v/>
      </c>
      <c r="AE1549" s="28">
        <f>IFERROR(LOOKUP(AD1549,{0;0.01;0.1;1;10;100},{"Muy baja";"Muy baja";"Baja";"Media";"Alta";"Muy alta"}),"")</f>
        <v/>
      </c>
      <c r="AF1549" s="30">
        <f>T1549*AD1549</f>
        <v/>
      </c>
      <c r="AG1549" s="28">
        <f>IFERROR(LOOKUP(AF1549,{0;0.5;5;25},{"Bajo";"Medio";"Alto";"Crítico"}),"")</f>
        <v/>
      </c>
      <c r="AH1549" s="28">
        <f>IF(AG1549="","",IF(OR(AG1549="Crítico",AG1549="Alto"),"Mitigar",IF(AG1549="Medio","Mitigar","Aceptar y monitorear")))</f>
        <v/>
      </c>
      <c r="AI1549" s="21" t="n"/>
      <c r="AJ1549" s="21" t="n"/>
      <c r="AK1549" s="20" t="n"/>
      <c r="AL1549" s="77">
        <f>IFERROR(INDEX(MgAmenEfic,MATCH(SUBSTITUTE($H1549,"*","-"),MgAmenClave,0)),0)</f>
        <v/>
      </c>
    </row>
    <row r="1550" hidden="1" ht="60" customHeight="1" s="54">
      <c r="B1550" s="59" t="inlineStr">
        <is>
          <t>R-1545</t>
        </is>
      </c>
      <c r="C1550" s="59" t="inlineStr">
        <is>
          <t>GH-051</t>
        </is>
      </c>
      <c r="D1550" s="64">
        <f>IFERROR(INDEX(MgNombre,MATCH($C1550,MgActId,0)),"")</f>
        <v/>
      </c>
      <c r="E1550" s="64">
        <f>IFERROR(INDEX(MgProceso,MATCH($C1550,MgActId,0)),"")</f>
        <v/>
      </c>
      <c r="F1550" s="64">
        <f>IFERROR(INDEX(MgTipo,MATCH($C1550,MgActId,0)),"")</f>
        <v/>
      </c>
      <c r="G1550" s="64">
        <f>IFERROR(INDEX(MgSubtipo,MATCH($C1550,MgActId,0)),"")</f>
        <v/>
      </c>
      <c r="H1550" s="59" t="inlineStr">
        <is>
          <t>A.4</t>
        </is>
      </c>
      <c r="I1550" s="64">
        <f>IFERROR(INDEX(MgAmenNombre,MATCH(SUBSTITUTE($H1550,"*","-"),MgAmenClave,0)),"")</f>
        <v/>
      </c>
      <c r="J1550" s="28">
        <f>IFERROR(INDEX(MgAmenGrupo,MATCH(SUBSTITUTE($H1550,"*","-"),MgAmenClave,0)),"")</f>
        <v/>
      </c>
      <c r="K1550" s="64">
        <f>IFERROR(INDEX('1. Matriz de Activos'!$Q$6:$Q$239,MATCH($C1550,MgActId,0)),"")</f>
        <v/>
      </c>
      <c r="L1550" s="64">
        <f>IFERROR(INDEX('1. Matriz de Activos'!$R$6:$R$239,MATCH($C1550,MgActId,0)),"")</f>
        <v/>
      </c>
      <c r="M1550" s="64">
        <f>IFERROR(INDEX('1. Matriz de Activos'!$S$6:$S$239,MATCH($C1550,MgActId,0)),"")</f>
        <v/>
      </c>
      <c r="N1550" s="28">
        <f>IFERROR(INDEX(MgAmenDegD,MATCH(SUBSTITUTE($H1550,"*","-"),MgAmenClave,0)),"No aplica")</f>
        <v/>
      </c>
      <c r="O1550" s="28">
        <f>IFERROR(INDEX(MgAmenDegI,MATCH(SUBSTITUTE($H1550,"*","-"),MgAmenClave,0)),"No aplica")</f>
        <v/>
      </c>
      <c r="P1550" s="28">
        <f>IFERROR(INDEX(MgAmenDegC,MATCH(SUBSTITUTE($H1550,"*","-"),MgAmenClave,0)),"No aplica")</f>
        <v/>
      </c>
      <c r="Q1550" s="29">
        <f>IFERROR(VLOOKUP(K1550,MgValor,2,0)*VLOOKUP(N1550,MgDeg,2,0),0)</f>
        <v/>
      </c>
      <c r="R1550" s="29">
        <f>IFERROR(VLOOKUP(L1550,MgValor,2,0)*VLOOKUP(O1550,MgDeg,2,0),0)</f>
        <v/>
      </c>
      <c r="S1550" s="29">
        <f>IFERROR(VLOOKUP(M1550,MgValor,2,0)*VLOOKUP(P1550,MgDeg,2,0),0)</f>
        <v/>
      </c>
      <c r="T1550" s="30">
        <f>MAX(Q1550:S1550)</f>
        <v/>
      </c>
      <c r="U1550" s="28">
        <f>IFERROR(LOOKUP(T1550,{0;0.5;1.5;3;4.5},{"Despreciable";"Bajo";"Medio";"Alto";"Muy alto"}),"")</f>
        <v/>
      </c>
      <c r="V1550" s="13">
        <f>IFERROR(INDEX(MgAmenFrec,MATCH(SUBSTITUTE($H1550,"*","-"),MgAmenClave,0)),"")</f>
        <v/>
      </c>
      <c r="W1550" s="28">
        <f>IFERROR(LOOKUP(X1550,{0;0.01;0.1;1;10;100},{"Muy baja";"Muy baja";"Baja";"Media";"Alta";"Muy alta"}),"")</f>
        <v/>
      </c>
      <c r="X1550" s="31">
        <f>IFERROR(VLOOKUP(V1550,MgFrec,2,0),0)</f>
        <v/>
      </c>
      <c r="Y1550" s="30">
        <f>T1550*X1550</f>
        <v/>
      </c>
      <c r="Z1550" s="28">
        <f>IFERROR(LOOKUP(Y1550,{0;0.5;5;25},{"Bajo";"Medio";"Alto";"Crítico"}),"")</f>
        <v/>
      </c>
      <c r="AA1550" s="64">
        <f>IF(T1550&gt;=3,IF(X1550&gt;=1,"Zona 1 — Crítica: impacto alto y ocurre al menos una vez al año","Zona 4 — Catastrófica poco probable: impacto alto pero excepcional"),IF(AND(T1550&lt;1.5,X1550&lt;1),"Zona 3 — Asumible: impacto bajo y muy poco frecuente","Zona 2 — Atención: riesgo intermedio"))</f>
        <v/>
      </c>
      <c r="AB1550" s="64">
        <f>IFERROR(INDEX(MgAmenCtrl,MATCH(SUBSTITUTE($H1550,"*","-"),MgAmenClave,0)),"")</f>
        <v/>
      </c>
      <c r="AC1550" s="20" t="n"/>
      <c r="AD1550" s="31">
        <f>IFERROR($X1550*(1-IF($AC1550="",$AL1550,VLOOKUP($AC1550,MgMad,2,0))),"")</f>
        <v/>
      </c>
      <c r="AE1550" s="28">
        <f>IFERROR(LOOKUP(AD1550,{0;0.01;0.1;1;10;100},{"Muy baja";"Muy baja";"Baja";"Media";"Alta";"Muy alta"}),"")</f>
        <v/>
      </c>
      <c r="AF1550" s="30">
        <f>T1550*AD1550</f>
        <v/>
      </c>
      <c r="AG1550" s="28">
        <f>IFERROR(LOOKUP(AF1550,{0;0.5;5;25},{"Bajo";"Medio";"Alto";"Crítico"}),"")</f>
        <v/>
      </c>
      <c r="AH1550" s="28">
        <f>IF(AG1550="","",IF(OR(AG1550="Crítico",AG1550="Alto"),"Mitigar",IF(AG1550="Medio","Mitigar","Aceptar y monitorear")))</f>
        <v/>
      </c>
      <c r="AI1550" s="21" t="n"/>
      <c r="AJ1550" s="21" t="n"/>
      <c r="AK1550" s="20" t="n"/>
      <c r="AL1550" s="77">
        <f>IFERROR(INDEX(MgAmenEfic,MATCH(SUBSTITUTE($H1550,"*","-"),MgAmenClave,0)),0)</f>
        <v/>
      </c>
    </row>
    <row r="1551" hidden="1" ht="75" customHeight="1" s="54">
      <c r="B1551" s="59" t="inlineStr">
        <is>
          <t>R-1546</t>
        </is>
      </c>
      <c r="C1551" s="59" t="inlineStr">
        <is>
          <t>GH-051</t>
        </is>
      </c>
      <c r="D1551" s="64">
        <f>IFERROR(INDEX(MgNombre,MATCH($C1551,MgActId,0)),"")</f>
        <v/>
      </c>
      <c r="E1551" s="64">
        <f>IFERROR(INDEX(MgProceso,MATCH($C1551,MgActId,0)),"")</f>
        <v/>
      </c>
      <c r="F1551" s="64">
        <f>IFERROR(INDEX(MgTipo,MATCH($C1551,MgActId,0)),"")</f>
        <v/>
      </c>
      <c r="G1551" s="64">
        <f>IFERROR(INDEX(MgSubtipo,MATCH($C1551,MgActId,0)),"")</f>
        <v/>
      </c>
      <c r="H1551" s="59" t="inlineStr">
        <is>
          <t>A.5</t>
        </is>
      </c>
      <c r="I1551" s="64">
        <f>IFERROR(INDEX(MgAmenNombre,MATCH(SUBSTITUTE($H1551,"*","-"),MgAmenClave,0)),"")</f>
        <v/>
      </c>
      <c r="J1551" s="28">
        <f>IFERROR(INDEX(MgAmenGrupo,MATCH(SUBSTITUTE($H1551,"*","-"),MgAmenClave,0)),"")</f>
        <v/>
      </c>
      <c r="K1551" s="64">
        <f>IFERROR(INDEX('1. Matriz de Activos'!$Q$6:$Q$239,MATCH($C1551,MgActId,0)),"")</f>
        <v/>
      </c>
      <c r="L1551" s="64">
        <f>IFERROR(INDEX('1. Matriz de Activos'!$R$6:$R$239,MATCH($C1551,MgActId,0)),"")</f>
        <v/>
      </c>
      <c r="M1551" s="64">
        <f>IFERROR(INDEX('1. Matriz de Activos'!$S$6:$S$239,MATCH($C1551,MgActId,0)),"")</f>
        <v/>
      </c>
      <c r="N1551" s="28">
        <f>IFERROR(INDEX(MgAmenDegD,MATCH(SUBSTITUTE($H1551,"*","-"),MgAmenClave,0)),"No aplica")</f>
        <v/>
      </c>
      <c r="O1551" s="28">
        <f>IFERROR(INDEX(MgAmenDegI,MATCH(SUBSTITUTE($H1551,"*","-"),MgAmenClave,0)),"No aplica")</f>
        <v/>
      </c>
      <c r="P1551" s="28">
        <f>IFERROR(INDEX(MgAmenDegC,MATCH(SUBSTITUTE($H1551,"*","-"),MgAmenClave,0)),"No aplica")</f>
        <v/>
      </c>
      <c r="Q1551" s="29">
        <f>IFERROR(VLOOKUP(K1551,MgValor,2,0)*VLOOKUP(N1551,MgDeg,2,0),0)</f>
        <v/>
      </c>
      <c r="R1551" s="29">
        <f>IFERROR(VLOOKUP(L1551,MgValor,2,0)*VLOOKUP(O1551,MgDeg,2,0),0)</f>
        <v/>
      </c>
      <c r="S1551" s="29">
        <f>IFERROR(VLOOKUP(M1551,MgValor,2,0)*VLOOKUP(P1551,MgDeg,2,0),0)</f>
        <v/>
      </c>
      <c r="T1551" s="30">
        <f>MAX(Q1551:S1551)</f>
        <v/>
      </c>
      <c r="U1551" s="28">
        <f>IFERROR(LOOKUP(T1551,{0;0.5;1.5;3;4.5},{"Despreciable";"Bajo";"Medio";"Alto";"Muy alto"}),"")</f>
        <v/>
      </c>
      <c r="V1551" s="13">
        <f>IFERROR(INDEX(MgAmenFrec,MATCH(SUBSTITUTE($H1551,"*","-"),MgAmenClave,0)),"")</f>
        <v/>
      </c>
      <c r="W1551" s="28">
        <f>IFERROR(LOOKUP(X1551,{0;0.01;0.1;1;10;100},{"Muy baja";"Muy baja";"Baja";"Media";"Alta";"Muy alta"}),"")</f>
        <v/>
      </c>
      <c r="X1551" s="31">
        <f>IFERROR(VLOOKUP(V1551,MgFrec,2,0),0)</f>
        <v/>
      </c>
      <c r="Y1551" s="30">
        <f>T1551*X1551</f>
        <v/>
      </c>
      <c r="Z1551" s="28">
        <f>IFERROR(LOOKUP(Y1551,{0;0.5;5;25},{"Bajo";"Medio";"Alto";"Crítico"}),"")</f>
        <v/>
      </c>
      <c r="AA1551" s="64">
        <f>IF(T1551&gt;=3,IF(X1551&gt;=1,"Zona 1 — Crítica: impacto alto y ocurre al menos una vez al año","Zona 4 — Catastrófica poco probable: impacto alto pero excepcional"),IF(AND(T1551&lt;1.5,X1551&lt;1),"Zona 3 — Asumible: impacto bajo y muy poco frecuente","Zona 2 — Atención: riesgo intermedio"))</f>
        <v/>
      </c>
      <c r="AB1551" s="64">
        <f>IFERROR(INDEX(MgAmenCtrl,MATCH(SUBSTITUTE($H1551,"*","-"),MgAmenClave,0)),"")</f>
        <v/>
      </c>
      <c r="AC1551" s="20" t="n"/>
      <c r="AD1551" s="31">
        <f>IFERROR($X1551*(1-IF($AC1551="",$AL1551,VLOOKUP($AC1551,MgMad,2,0))),"")</f>
        <v/>
      </c>
      <c r="AE1551" s="28">
        <f>IFERROR(LOOKUP(AD1551,{0;0.01;0.1;1;10;100},{"Muy baja";"Muy baja";"Baja";"Media";"Alta";"Muy alta"}),"")</f>
        <v/>
      </c>
      <c r="AF1551" s="30">
        <f>T1551*AD1551</f>
        <v/>
      </c>
      <c r="AG1551" s="28">
        <f>IFERROR(LOOKUP(AF1551,{0;0.5;5;25},{"Bajo";"Medio";"Alto";"Crítico"}),"")</f>
        <v/>
      </c>
      <c r="AH1551" s="28">
        <f>IF(AG1551="","",IF(OR(AG1551="Crítico",AG1551="Alto"),"Mitigar",IF(AG1551="Medio","Mitigar","Aceptar y monitorear")))</f>
        <v/>
      </c>
      <c r="AI1551" s="21" t="n"/>
      <c r="AJ1551" s="21" t="n"/>
      <c r="AK1551" s="20" t="n"/>
      <c r="AL1551" s="77">
        <f>IFERROR(INDEX(MgAmenEfic,MATCH(SUBSTITUTE($H1551,"*","-"),MgAmenClave,0)),0)</f>
        <v/>
      </c>
    </row>
    <row r="1552" hidden="1" ht="105" customHeight="1" s="54">
      <c r="B1552" s="59" t="inlineStr">
        <is>
          <t>R-1547</t>
        </is>
      </c>
      <c r="C1552" s="59" t="inlineStr">
        <is>
          <t>GH-051</t>
        </is>
      </c>
      <c r="D1552" s="64">
        <f>IFERROR(INDEX(MgNombre,MATCH($C1552,MgActId,0)),"")</f>
        <v/>
      </c>
      <c r="E1552" s="64">
        <f>IFERROR(INDEX(MgProceso,MATCH($C1552,MgActId,0)),"")</f>
        <v/>
      </c>
      <c r="F1552" s="64">
        <f>IFERROR(INDEX(MgTipo,MATCH($C1552,MgActId,0)),"")</f>
        <v/>
      </c>
      <c r="G1552" s="64">
        <f>IFERROR(INDEX(MgSubtipo,MATCH($C1552,MgActId,0)),"")</f>
        <v/>
      </c>
      <c r="H1552" s="59" t="inlineStr">
        <is>
          <t>A.6</t>
        </is>
      </c>
      <c r="I1552" s="64">
        <f>IFERROR(INDEX(MgAmenNombre,MATCH(SUBSTITUTE($H1552,"*","-"),MgAmenClave,0)),"")</f>
        <v/>
      </c>
      <c r="J1552" s="28">
        <f>IFERROR(INDEX(MgAmenGrupo,MATCH(SUBSTITUTE($H1552,"*","-"),MgAmenClave,0)),"")</f>
        <v/>
      </c>
      <c r="K1552" s="64">
        <f>IFERROR(INDEX('1. Matriz de Activos'!$Q$6:$Q$239,MATCH($C1552,MgActId,0)),"")</f>
        <v/>
      </c>
      <c r="L1552" s="64">
        <f>IFERROR(INDEX('1. Matriz de Activos'!$R$6:$R$239,MATCH($C1552,MgActId,0)),"")</f>
        <v/>
      </c>
      <c r="M1552" s="64">
        <f>IFERROR(INDEX('1. Matriz de Activos'!$S$6:$S$239,MATCH($C1552,MgActId,0)),"")</f>
        <v/>
      </c>
      <c r="N1552" s="28">
        <f>IFERROR(INDEX(MgAmenDegD,MATCH(SUBSTITUTE($H1552,"*","-"),MgAmenClave,0)),"No aplica")</f>
        <v/>
      </c>
      <c r="O1552" s="28">
        <f>IFERROR(INDEX(MgAmenDegI,MATCH(SUBSTITUTE($H1552,"*","-"),MgAmenClave,0)),"No aplica")</f>
        <v/>
      </c>
      <c r="P1552" s="28">
        <f>IFERROR(INDEX(MgAmenDegC,MATCH(SUBSTITUTE($H1552,"*","-"),MgAmenClave,0)),"No aplica")</f>
        <v/>
      </c>
      <c r="Q1552" s="29">
        <f>IFERROR(VLOOKUP(K1552,MgValor,2,0)*VLOOKUP(N1552,MgDeg,2,0),0)</f>
        <v/>
      </c>
      <c r="R1552" s="29">
        <f>IFERROR(VLOOKUP(L1552,MgValor,2,0)*VLOOKUP(O1552,MgDeg,2,0),0)</f>
        <v/>
      </c>
      <c r="S1552" s="29">
        <f>IFERROR(VLOOKUP(M1552,MgValor,2,0)*VLOOKUP(P1552,MgDeg,2,0),0)</f>
        <v/>
      </c>
      <c r="T1552" s="30">
        <f>MAX(Q1552:S1552)</f>
        <v/>
      </c>
      <c r="U1552" s="28">
        <f>IFERROR(LOOKUP(T1552,{0;0.5;1.5;3;4.5},{"Despreciable";"Bajo";"Medio";"Alto";"Muy alto"}),"")</f>
        <v/>
      </c>
      <c r="V1552" s="13">
        <f>IFERROR(INDEX(MgAmenFrec,MATCH(SUBSTITUTE($H1552,"*","-"),MgAmenClave,0)),"")</f>
        <v/>
      </c>
      <c r="W1552" s="28">
        <f>IFERROR(LOOKUP(X1552,{0;0.01;0.1;1;10;100},{"Muy baja";"Muy baja";"Baja";"Media";"Alta";"Muy alta"}),"")</f>
        <v/>
      </c>
      <c r="X1552" s="31">
        <f>IFERROR(VLOOKUP(V1552,MgFrec,2,0),0)</f>
        <v/>
      </c>
      <c r="Y1552" s="30">
        <f>T1552*X1552</f>
        <v/>
      </c>
      <c r="Z1552" s="28">
        <f>IFERROR(LOOKUP(Y1552,{0;0.5;5;25},{"Bajo";"Medio";"Alto";"Crítico"}),"")</f>
        <v/>
      </c>
      <c r="AA1552" s="64">
        <f>IF(T1552&gt;=3,IF(X1552&gt;=1,"Zona 1 — Crítica: impacto alto y ocurre al menos una vez al año","Zona 4 — Catastrófica poco probable: impacto alto pero excepcional"),IF(AND(T1552&lt;1.5,X1552&lt;1),"Zona 3 — Asumible: impacto bajo y muy poco frecuente","Zona 2 — Atención: riesgo intermedio"))</f>
        <v/>
      </c>
      <c r="AB1552" s="64">
        <f>IFERROR(INDEX(MgAmenCtrl,MATCH(SUBSTITUTE($H1552,"*","-"),MgAmenClave,0)),"")</f>
        <v/>
      </c>
      <c r="AC1552" s="20" t="n"/>
      <c r="AD1552" s="31">
        <f>IFERROR($X1552*(1-IF($AC1552="",$AL1552,VLOOKUP($AC1552,MgMad,2,0))),"")</f>
        <v/>
      </c>
      <c r="AE1552" s="28">
        <f>IFERROR(LOOKUP(AD1552,{0;0.01;0.1;1;10;100},{"Muy baja";"Muy baja";"Baja";"Media";"Alta";"Muy alta"}),"")</f>
        <v/>
      </c>
      <c r="AF1552" s="30">
        <f>T1552*AD1552</f>
        <v/>
      </c>
      <c r="AG1552" s="28">
        <f>IFERROR(LOOKUP(AF1552,{0;0.5;5;25},{"Bajo";"Medio";"Alto";"Crítico"}),"")</f>
        <v/>
      </c>
      <c r="AH1552" s="28">
        <f>IF(AG1552="","",IF(OR(AG1552="Crítico",AG1552="Alto"),"Mitigar",IF(AG1552="Medio","Mitigar","Aceptar y monitorear")))</f>
        <v/>
      </c>
      <c r="AI1552" s="21" t="n"/>
      <c r="AJ1552" s="21" t="n"/>
      <c r="AK1552" s="20" t="n"/>
      <c r="AL1552" s="77">
        <f>IFERROR(INDEX(MgAmenEfic,MATCH(SUBSTITUTE($H1552,"*","-"),MgAmenClave,0)),0)</f>
        <v/>
      </c>
    </row>
    <row r="1553" hidden="1" ht="120" customHeight="1" s="54">
      <c r="B1553" s="59" t="inlineStr">
        <is>
          <t>R-1548</t>
        </is>
      </c>
      <c r="C1553" s="59" t="inlineStr">
        <is>
          <t>GH-051</t>
        </is>
      </c>
      <c r="D1553" s="64">
        <f>IFERROR(INDEX(MgNombre,MATCH($C1553,MgActId,0)),"")</f>
        <v/>
      </c>
      <c r="E1553" s="64">
        <f>IFERROR(INDEX(MgProceso,MATCH($C1553,MgActId,0)),"")</f>
        <v/>
      </c>
      <c r="F1553" s="64">
        <f>IFERROR(INDEX(MgTipo,MATCH($C1553,MgActId,0)),"")</f>
        <v/>
      </c>
      <c r="G1553" s="64">
        <f>IFERROR(INDEX(MgSubtipo,MATCH($C1553,MgActId,0)),"")</f>
        <v/>
      </c>
      <c r="H1553" s="59" t="inlineStr">
        <is>
          <t>A.11</t>
        </is>
      </c>
      <c r="I1553" s="64">
        <f>IFERROR(INDEX(MgAmenNombre,MATCH(SUBSTITUTE($H1553,"*","-"),MgAmenClave,0)),"")</f>
        <v/>
      </c>
      <c r="J1553" s="28">
        <f>IFERROR(INDEX(MgAmenGrupo,MATCH(SUBSTITUTE($H1553,"*","-"),MgAmenClave,0)),"")</f>
        <v/>
      </c>
      <c r="K1553" s="64">
        <f>IFERROR(INDEX('1. Matriz de Activos'!$Q$6:$Q$239,MATCH($C1553,MgActId,0)),"")</f>
        <v/>
      </c>
      <c r="L1553" s="64">
        <f>IFERROR(INDEX('1. Matriz de Activos'!$R$6:$R$239,MATCH($C1553,MgActId,0)),"")</f>
        <v/>
      </c>
      <c r="M1553" s="64">
        <f>IFERROR(INDEX('1. Matriz de Activos'!$S$6:$S$239,MATCH($C1553,MgActId,0)),"")</f>
        <v/>
      </c>
      <c r="N1553" s="28">
        <f>IFERROR(INDEX(MgAmenDegD,MATCH(SUBSTITUTE($H1553,"*","-"),MgAmenClave,0)),"No aplica")</f>
        <v/>
      </c>
      <c r="O1553" s="28">
        <f>IFERROR(INDEX(MgAmenDegI,MATCH(SUBSTITUTE($H1553,"*","-"),MgAmenClave,0)),"No aplica")</f>
        <v/>
      </c>
      <c r="P1553" s="28">
        <f>IFERROR(INDEX(MgAmenDegC,MATCH(SUBSTITUTE($H1553,"*","-"),MgAmenClave,0)),"No aplica")</f>
        <v/>
      </c>
      <c r="Q1553" s="29">
        <f>IFERROR(VLOOKUP(K1553,MgValor,2,0)*VLOOKUP(N1553,MgDeg,2,0),0)</f>
        <v/>
      </c>
      <c r="R1553" s="29">
        <f>IFERROR(VLOOKUP(L1553,MgValor,2,0)*VLOOKUP(O1553,MgDeg,2,0),0)</f>
        <v/>
      </c>
      <c r="S1553" s="29">
        <f>IFERROR(VLOOKUP(M1553,MgValor,2,0)*VLOOKUP(P1553,MgDeg,2,0),0)</f>
        <v/>
      </c>
      <c r="T1553" s="30">
        <f>MAX(Q1553:S1553)</f>
        <v/>
      </c>
      <c r="U1553" s="28">
        <f>IFERROR(LOOKUP(T1553,{0;0.5;1.5;3;4.5},{"Despreciable";"Bajo";"Medio";"Alto";"Muy alto"}),"")</f>
        <v/>
      </c>
      <c r="V1553" s="13">
        <f>IFERROR(INDEX(MgAmenFrec,MATCH(SUBSTITUTE($H1553,"*","-"),MgAmenClave,0)),"")</f>
        <v/>
      </c>
      <c r="W1553" s="28">
        <f>IFERROR(LOOKUP(X1553,{0;0.01;0.1;1;10;100},{"Muy baja";"Muy baja";"Baja";"Media";"Alta";"Muy alta"}),"")</f>
        <v/>
      </c>
      <c r="X1553" s="31">
        <f>IFERROR(VLOOKUP(V1553,MgFrec,2,0),0)</f>
        <v/>
      </c>
      <c r="Y1553" s="30">
        <f>T1553*X1553</f>
        <v/>
      </c>
      <c r="Z1553" s="28">
        <f>IFERROR(LOOKUP(Y1553,{0;0.5;5;25},{"Bajo";"Medio";"Alto";"Crítico"}),"")</f>
        <v/>
      </c>
      <c r="AA1553" s="64">
        <f>IF(T1553&gt;=3,IF(X1553&gt;=1,"Zona 1 — Crítica: impacto alto y ocurre al menos una vez al año","Zona 4 — Catastrófica poco probable: impacto alto pero excepcional"),IF(AND(T1553&lt;1.5,X1553&lt;1),"Zona 3 — Asumible: impacto bajo y muy poco frecuente","Zona 2 — Atención: riesgo intermedio"))</f>
        <v/>
      </c>
      <c r="AB1553" s="64">
        <f>IFERROR(INDEX(MgAmenCtrl,MATCH(SUBSTITUTE($H1553,"*","-"),MgAmenClave,0)),"")</f>
        <v/>
      </c>
      <c r="AC1553" s="20" t="n"/>
      <c r="AD1553" s="31">
        <f>IFERROR($X1553*(1-IF($AC1553="",$AL1553,VLOOKUP($AC1553,MgMad,2,0))),"")</f>
        <v/>
      </c>
      <c r="AE1553" s="28">
        <f>IFERROR(LOOKUP(AD1553,{0;0.01;0.1;1;10;100},{"Muy baja";"Muy baja";"Baja";"Media";"Alta";"Muy alta"}),"")</f>
        <v/>
      </c>
      <c r="AF1553" s="30">
        <f>T1553*AD1553</f>
        <v/>
      </c>
      <c r="AG1553" s="28">
        <f>IFERROR(LOOKUP(AF1553,{0;0.5;5;25},{"Bajo";"Medio";"Alto";"Crítico"}),"")</f>
        <v/>
      </c>
      <c r="AH1553" s="28">
        <f>IF(AG1553="","",IF(OR(AG1553="Crítico",AG1553="Alto"),"Mitigar",IF(AG1553="Medio","Mitigar","Aceptar y monitorear")))</f>
        <v/>
      </c>
      <c r="AI1553" s="21" t="n"/>
      <c r="AJ1553" s="21" t="n"/>
      <c r="AK1553" s="20" t="n"/>
      <c r="AL1553" s="77">
        <f>IFERROR(INDEX(MgAmenEfic,MATCH(SUBSTITUTE($H1553,"*","-"),MgAmenClave,0)),0)</f>
        <v/>
      </c>
    </row>
    <row r="1554" hidden="1" ht="90" customHeight="1" s="54">
      <c r="B1554" s="59" t="inlineStr">
        <is>
          <t>R-1549</t>
        </is>
      </c>
      <c r="C1554" s="59" t="inlineStr">
        <is>
          <t>GH-051</t>
        </is>
      </c>
      <c r="D1554" s="64">
        <f>IFERROR(INDEX(MgNombre,MATCH($C1554,MgActId,0)),"")</f>
        <v/>
      </c>
      <c r="E1554" s="64">
        <f>IFERROR(INDEX(MgProceso,MATCH($C1554,MgActId,0)),"")</f>
        <v/>
      </c>
      <c r="F1554" s="64">
        <f>IFERROR(INDEX(MgTipo,MATCH($C1554,MgActId,0)),"")</f>
        <v/>
      </c>
      <c r="G1554" s="64">
        <f>IFERROR(INDEX(MgSubtipo,MATCH($C1554,MgActId,0)),"")</f>
        <v/>
      </c>
      <c r="H1554" s="59" t="inlineStr">
        <is>
          <t>A.13</t>
        </is>
      </c>
      <c r="I1554" s="64">
        <f>IFERROR(INDEX(MgAmenNombre,MATCH(SUBSTITUTE($H1554,"*","-"),MgAmenClave,0)),"")</f>
        <v/>
      </c>
      <c r="J1554" s="28">
        <f>IFERROR(INDEX(MgAmenGrupo,MATCH(SUBSTITUTE($H1554,"*","-"),MgAmenClave,0)),"")</f>
        <v/>
      </c>
      <c r="K1554" s="64">
        <f>IFERROR(INDEX('1. Matriz de Activos'!$Q$6:$Q$239,MATCH($C1554,MgActId,0)),"")</f>
        <v/>
      </c>
      <c r="L1554" s="64">
        <f>IFERROR(INDEX('1. Matriz de Activos'!$R$6:$R$239,MATCH($C1554,MgActId,0)),"")</f>
        <v/>
      </c>
      <c r="M1554" s="64">
        <f>IFERROR(INDEX('1. Matriz de Activos'!$S$6:$S$239,MATCH($C1554,MgActId,0)),"")</f>
        <v/>
      </c>
      <c r="N1554" s="28">
        <f>IFERROR(INDEX(MgAmenDegD,MATCH(SUBSTITUTE($H1554,"*","-"),MgAmenClave,0)),"No aplica")</f>
        <v/>
      </c>
      <c r="O1554" s="28">
        <f>IFERROR(INDEX(MgAmenDegI,MATCH(SUBSTITUTE($H1554,"*","-"),MgAmenClave,0)),"No aplica")</f>
        <v/>
      </c>
      <c r="P1554" s="28">
        <f>IFERROR(INDEX(MgAmenDegC,MATCH(SUBSTITUTE($H1554,"*","-"),MgAmenClave,0)),"No aplica")</f>
        <v/>
      </c>
      <c r="Q1554" s="29">
        <f>IFERROR(VLOOKUP(K1554,MgValor,2,0)*VLOOKUP(N1554,MgDeg,2,0),0)</f>
        <v/>
      </c>
      <c r="R1554" s="29">
        <f>IFERROR(VLOOKUP(L1554,MgValor,2,0)*VLOOKUP(O1554,MgDeg,2,0),0)</f>
        <v/>
      </c>
      <c r="S1554" s="29">
        <f>IFERROR(VLOOKUP(M1554,MgValor,2,0)*VLOOKUP(P1554,MgDeg,2,0),0)</f>
        <v/>
      </c>
      <c r="T1554" s="30">
        <f>MAX(Q1554:S1554)</f>
        <v/>
      </c>
      <c r="U1554" s="28">
        <f>IFERROR(LOOKUP(T1554,{0;0.5;1.5;3;4.5},{"Despreciable";"Bajo";"Medio";"Alto";"Muy alto"}),"")</f>
        <v/>
      </c>
      <c r="V1554" s="13">
        <f>IFERROR(INDEX(MgAmenFrec,MATCH(SUBSTITUTE($H1554,"*","-"),MgAmenClave,0)),"")</f>
        <v/>
      </c>
      <c r="W1554" s="28">
        <f>IFERROR(LOOKUP(X1554,{0;0.01;0.1;1;10;100},{"Muy baja";"Muy baja";"Baja";"Media";"Alta";"Muy alta"}),"")</f>
        <v/>
      </c>
      <c r="X1554" s="31">
        <f>IFERROR(VLOOKUP(V1554,MgFrec,2,0),0)</f>
        <v/>
      </c>
      <c r="Y1554" s="30">
        <f>T1554*X1554</f>
        <v/>
      </c>
      <c r="Z1554" s="28">
        <f>IFERROR(LOOKUP(Y1554,{0;0.5;5;25},{"Bajo";"Medio";"Alto";"Crítico"}),"")</f>
        <v/>
      </c>
      <c r="AA1554" s="64">
        <f>IF(T1554&gt;=3,IF(X1554&gt;=1,"Zona 1 — Crítica: impacto alto y ocurre al menos una vez al año","Zona 4 — Catastrófica poco probable: impacto alto pero excepcional"),IF(AND(T1554&lt;1.5,X1554&lt;1),"Zona 3 — Asumible: impacto bajo y muy poco frecuente","Zona 2 — Atención: riesgo intermedio"))</f>
        <v/>
      </c>
      <c r="AB1554" s="64">
        <f>IFERROR(INDEX(MgAmenCtrl,MATCH(SUBSTITUTE($H1554,"*","-"),MgAmenClave,0)),"")</f>
        <v/>
      </c>
      <c r="AC1554" s="20" t="n"/>
      <c r="AD1554" s="31">
        <f>IFERROR($X1554*(1-IF($AC1554="",$AL1554,VLOOKUP($AC1554,MgMad,2,0))),"")</f>
        <v/>
      </c>
      <c r="AE1554" s="28">
        <f>IFERROR(LOOKUP(AD1554,{0;0.01;0.1;1;10;100},{"Muy baja";"Muy baja";"Baja";"Media";"Alta";"Muy alta"}),"")</f>
        <v/>
      </c>
      <c r="AF1554" s="30">
        <f>T1554*AD1554</f>
        <v/>
      </c>
      <c r="AG1554" s="28">
        <f>IFERROR(LOOKUP(AF1554,{0;0.5;5;25},{"Bajo";"Medio";"Alto";"Crítico"}),"")</f>
        <v/>
      </c>
      <c r="AH1554" s="28">
        <f>IF(AG1554="","",IF(OR(AG1554="Crítico",AG1554="Alto"),"Mitigar",IF(AG1554="Medio","Mitigar","Aceptar y monitorear")))</f>
        <v/>
      </c>
      <c r="AI1554" s="21" t="n"/>
      <c r="AJ1554" s="21" t="n"/>
      <c r="AK1554" s="20" t="n"/>
      <c r="AL1554" s="77">
        <f>IFERROR(INDEX(MgAmenEfic,MATCH(SUBSTITUTE($H1554,"*","-"),MgAmenClave,0)),0)</f>
        <v/>
      </c>
    </row>
    <row r="1555" hidden="1" ht="60" customHeight="1" s="54">
      <c r="B1555" s="59" t="inlineStr">
        <is>
          <t>R-1550</t>
        </is>
      </c>
      <c r="C1555" s="59" t="inlineStr">
        <is>
          <t>GH-051</t>
        </is>
      </c>
      <c r="D1555" s="64">
        <f>IFERROR(INDEX(MgNombre,MATCH($C1555,MgActId,0)),"")</f>
        <v/>
      </c>
      <c r="E1555" s="64">
        <f>IFERROR(INDEX(MgProceso,MATCH($C1555,MgActId,0)),"")</f>
        <v/>
      </c>
      <c r="F1555" s="64">
        <f>IFERROR(INDEX(MgTipo,MATCH($C1555,MgActId,0)),"")</f>
        <v/>
      </c>
      <c r="G1555" s="64">
        <f>IFERROR(INDEX(MgSubtipo,MATCH($C1555,MgActId,0)),"")</f>
        <v/>
      </c>
      <c r="H1555" s="59" t="inlineStr">
        <is>
          <t>A.15</t>
        </is>
      </c>
      <c r="I1555" s="64">
        <f>IFERROR(INDEX(MgAmenNombre,MATCH(SUBSTITUTE($H1555,"*","-"),MgAmenClave,0)),"")</f>
        <v/>
      </c>
      <c r="J1555" s="28">
        <f>IFERROR(INDEX(MgAmenGrupo,MATCH(SUBSTITUTE($H1555,"*","-"),MgAmenClave,0)),"")</f>
        <v/>
      </c>
      <c r="K1555" s="64">
        <f>IFERROR(INDEX('1. Matriz de Activos'!$Q$6:$Q$239,MATCH($C1555,MgActId,0)),"")</f>
        <v/>
      </c>
      <c r="L1555" s="64">
        <f>IFERROR(INDEX('1. Matriz de Activos'!$R$6:$R$239,MATCH($C1555,MgActId,0)),"")</f>
        <v/>
      </c>
      <c r="M1555" s="64">
        <f>IFERROR(INDEX('1. Matriz de Activos'!$S$6:$S$239,MATCH($C1555,MgActId,0)),"")</f>
        <v/>
      </c>
      <c r="N1555" s="28">
        <f>IFERROR(INDEX(MgAmenDegD,MATCH(SUBSTITUTE($H1555,"*","-"),MgAmenClave,0)),"No aplica")</f>
        <v/>
      </c>
      <c r="O1555" s="28">
        <f>IFERROR(INDEX(MgAmenDegI,MATCH(SUBSTITUTE($H1555,"*","-"),MgAmenClave,0)),"No aplica")</f>
        <v/>
      </c>
      <c r="P1555" s="28">
        <f>IFERROR(INDEX(MgAmenDegC,MATCH(SUBSTITUTE($H1555,"*","-"),MgAmenClave,0)),"No aplica")</f>
        <v/>
      </c>
      <c r="Q1555" s="29">
        <f>IFERROR(VLOOKUP(K1555,MgValor,2,0)*VLOOKUP(N1555,MgDeg,2,0),0)</f>
        <v/>
      </c>
      <c r="R1555" s="29">
        <f>IFERROR(VLOOKUP(L1555,MgValor,2,0)*VLOOKUP(O1555,MgDeg,2,0),0)</f>
        <v/>
      </c>
      <c r="S1555" s="29">
        <f>IFERROR(VLOOKUP(M1555,MgValor,2,0)*VLOOKUP(P1555,MgDeg,2,0),0)</f>
        <v/>
      </c>
      <c r="T1555" s="30">
        <f>MAX(Q1555:S1555)</f>
        <v/>
      </c>
      <c r="U1555" s="28">
        <f>IFERROR(LOOKUP(T1555,{0;0.5;1.5;3;4.5},{"Despreciable";"Bajo";"Medio";"Alto";"Muy alto"}),"")</f>
        <v/>
      </c>
      <c r="V1555" s="13">
        <f>IFERROR(INDEX(MgAmenFrec,MATCH(SUBSTITUTE($H1555,"*","-"),MgAmenClave,0)),"")</f>
        <v/>
      </c>
      <c r="W1555" s="28">
        <f>IFERROR(LOOKUP(X1555,{0;0.01;0.1;1;10;100},{"Muy baja";"Muy baja";"Baja";"Media";"Alta";"Muy alta"}),"")</f>
        <v/>
      </c>
      <c r="X1555" s="31">
        <f>IFERROR(VLOOKUP(V1555,MgFrec,2,0),0)</f>
        <v/>
      </c>
      <c r="Y1555" s="30">
        <f>T1555*X1555</f>
        <v/>
      </c>
      <c r="Z1555" s="28">
        <f>IFERROR(LOOKUP(Y1555,{0;0.5;5;25},{"Bajo";"Medio";"Alto";"Crítico"}),"")</f>
        <v/>
      </c>
      <c r="AA1555" s="64">
        <f>IF(T1555&gt;=3,IF(X1555&gt;=1,"Zona 1 — Crítica: impacto alto y ocurre al menos una vez al año","Zona 4 — Catastrófica poco probable: impacto alto pero excepcional"),IF(AND(T1555&lt;1.5,X1555&lt;1),"Zona 3 — Asumible: impacto bajo y muy poco frecuente","Zona 2 — Atención: riesgo intermedio"))</f>
        <v/>
      </c>
      <c r="AB1555" s="64">
        <f>IFERROR(INDEX(MgAmenCtrl,MATCH(SUBSTITUTE($H1555,"*","-"),MgAmenClave,0)),"")</f>
        <v/>
      </c>
      <c r="AC1555" s="20" t="n"/>
      <c r="AD1555" s="31">
        <f>IFERROR($X1555*(1-IF($AC1555="",$AL1555,VLOOKUP($AC1555,MgMad,2,0))),"")</f>
        <v/>
      </c>
      <c r="AE1555" s="28">
        <f>IFERROR(LOOKUP(AD1555,{0;0.01;0.1;1;10;100},{"Muy baja";"Muy baja";"Baja";"Media";"Alta";"Muy alta"}),"")</f>
        <v/>
      </c>
      <c r="AF1555" s="30">
        <f>T1555*AD1555</f>
        <v/>
      </c>
      <c r="AG1555" s="28">
        <f>IFERROR(LOOKUP(AF1555,{0;0.5;5;25},{"Bajo";"Medio";"Alto";"Crítico"}),"")</f>
        <v/>
      </c>
      <c r="AH1555" s="28">
        <f>IF(AG1555="","",IF(OR(AG1555="Crítico",AG1555="Alto"),"Mitigar",IF(AG1555="Medio","Mitigar","Aceptar y monitorear")))</f>
        <v/>
      </c>
      <c r="AI1555" s="21" t="n"/>
      <c r="AJ1555" s="21" t="n"/>
      <c r="AK1555" s="20" t="n"/>
      <c r="AL1555" s="77">
        <f>IFERROR(INDEX(MgAmenEfic,MATCH(SUBSTITUTE($H1555,"*","-"),MgAmenClave,0)),0)</f>
        <v/>
      </c>
    </row>
    <row r="1556" hidden="1" ht="60" customHeight="1" s="54">
      <c r="B1556" s="59" t="inlineStr">
        <is>
          <t>R-1551</t>
        </is>
      </c>
      <c r="C1556" s="59" t="inlineStr">
        <is>
          <t>GH-051</t>
        </is>
      </c>
      <c r="D1556" s="64">
        <f>IFERROR(INDEX(MgNombre,MATCH($C1556,MgActId,0)),"")</f>
        <v/>
      </c>
      <c r="E1556" s="64">
        <f>IFERROR(INDEX(MgProceso,MATCH($C1556,MgActId,0)),"")</f>
        <v/>
      </c>
      <c r="F1556" s="64">
        <f>IFERROR(INDEX(MgTipo,MATCH($C1556,MgActId,0)),"")</f>
        <v/>
      </c>
      <c r="G1556" s="64">
        <f>IFERROR(INDEX(MgSubtipo,MATCH($C1556,MgActId,0)),"")</f>
        <v/>
      </c>
      <c r="H1556" s="59" t="inlineStr">
        <is>
          <t>A.18</t>
        </is>
      </c>
      <c r="I1556" s="64">
        <f>IFERROR(INDEX(MgAmenNombre,MATCH(SUBSTITUTE($H1556,"*","-"),MgAmenClave,0)),"")</f>
        <v/>
      </c>
      <c r="J1556" s="28">
        <f>IFERROR(INDEX(MgAmenGrupo,MATCH(SUBSTITUTE($H1556,"*","-"),MgAmenClave,0)),"")</f>
        <v/>
      </c>
      <c r="K1556" s="64">
        <f>IFERROR(INDEX('1. Matriz de Activos'!$Q$6:$Q$239,MATCH($C1556,MgActId,0)),"")</f>
        <v/>
      </c>
      <c r="L1556" s="64">
        <f>IFERROR(INDEX('1. Matriz de Activos'!$R$6:$R$239,MATCH($C1556,MgActId,0)),"")</f>
        <v/>
      </c>
      <c r="M1556" s="64">
        <f>IFERROR(INDEX('1. Matriz de Activos'!$S$6:$S$239,MATCH($C1556,MgActId,0)),"")</f>
        <v/>
      </c>
      <c r="N1556" s="28">
        <f>IFERROR(INDEX(MgAmenDegD,MATCH(SUBSTITUTE($H1556,"*","-"),MgAmenClave,0)),"No aplica")</f>
        <v/>
      </c>
      <c r="O1556" s="28">
        <f>IFERROR(INDEX(MgAmenDegI,MATCH(SUBSTITUTE($H1556,"*","-"),MgAmenClave,0)),"No aplica")</f>
        <v/>
      </c>
      <c r="P1556" s="28">
        <f>IFERROR(INDEX(MgAmenDegC,MATCH(SUBSTITUTE($H1556,"*","-"),MgAmenClave,0)),"No aplica")</f>
        <v/>
      </c>
      <c r="Q1556" s="29">
        <f>IFERROR(VLOOKUP(K1556,MgValor,2,0)*VLOOKUP(N1556,MgDeg,2,0),0)</f>
        <v/>
      </c>
      <c r="R1556" s="29">
        <f>IFERROR(VLOOKUP(L1556,MgValor,2,0)*VLOOKUP(O1556,MgDeg,2,0),0)</f>
        <v/>
      </c>
      <c r="S1556" s="29">
        <f>IFERROR(VLOOKUP(M1556,MgValor,2,0)*VLOOKUP(P1556,MgDeg,2,0),0)</f>
        <v/>
      </c>
      <c r="T1556" s="30">
        <f>MAX(Q1556:S1556)</f>
        <v/>
      </c>
      <c r="U1556" s="28">
        <f>IFERROR(LOOKUP(T1556,{0;0.5;1.5;3;4.5},{"Despreciable";"Bajo";"Medio";"Alto";"Muy alto"}),"")</f>
        <v/>
      </c>
      <c r="V1556" s="13">
        <f>IFERROR(INDEX(MgAmenFrec,MATCH(SUBSTITUTE($H1556,"*","-"),MgAmenClave,0)),"")</f>
        <v/>
      </c>
      <c r="W1556" s="28">
        <f>IFERROR(LOOKUP(X1556,{0;0.01;0.1;1;10;100},{"Muy baja";"Muy baja";"Baja";"Media";"Alta";"Muy alta"}),"")</f>
        <v/>
      </c>
      <c r="X1556" s="31">
        <f>IFERROR(VLOOKUP(V1556,MgFrec,2,0),0)</f>
        <v/>
      </c>
      <c r="Y1556" s="30">
        <f>T1556*X1556</f>
        <v/>
      </c>
      <c r="Z1556" s="28">
        <f>IFERROR(LOOKUP(Y1556,{0;0.5;5;25},{"Bajo";"Medio";"Alto";"Crítico"}),"")</f>
        <v/>
      </c>
      <c r="AA1556" s="64">
        <f>IF(T1556&gt;=3,IF(X1556&gt;=1,"Zona 1 — Crítica: impacto alto y ocurre al menos una vez al año","Zona 4 — Catastrófica poco probable: impacto alto pero excepcional"),IF(AND(T1556&lt;1.5,X1556&lt;1),"Zona 3 — Asumible: impacto bajo y muy poco frecuente","Zona 2 — Atención: riesgo intermedio"))</f>
        <v/>
      </c>
      <c r="AB1556" s="64">
        <f>IFERROR(INDEX(MgAmenCtrl,MATCH(SUBSTITUTE($H1556,"*","-"),MgAmenClave,0)),"")</f>
        <v/>
      </c>
      <c r="AC1556" s="20" t="n"/>
      <c r="AD1556" s="31">
        <f>IFERROR($X1556*(1-IF($AC1556="",$AL1556,VLOOKUP($AC1556,MgMad,2,0))),"")</f>
        <v/>
      </c>
      <c r="AE1556" s="28">
        <f>IFERROR(LOOKUP(AD1556,{0;0.01;0.1;1;10;100},{"Muy baja";"Muy baja";"Baja";"Media";"Alta";"Muy alta"}),"")</f>
        <v/>
      </c>
      <c r="AF1556" s="30">
        <f>T1556*AD1556</f>
        <v/>
      </c>
      <c r="AG1556" s="28">
        <f>IFERROR(LOOKUP(AF1556,{0;0.5;5;25},{"Bajo";"Medio";"Alto";"Crítico"}),"")</f>
        <v/>
      </c>
      <c r="AH1556" s="28">
        <f>IF(AG1556="","",IF(OR(AG1556="Crítico",AG1556="Alto"),"Mitigar",IF(AG1556="Medio","Mitigar","Aceptar y monitorear")))</f>
        <v/>
      </c>
      <c r="AI1556" s="21" t="n"/>
      <c r="AJ1556" s="21" t="n"/>
      <c r="AK1556" s="20" t="n"/>
      <c r="AL1556" s="77">
        <f>IFERROR(INDEX(MgAmenEfic,MATCH(SUBSTITUTE($H1556,"*","-"),MgAmenClave,0)),0)</f>
        <v/>
      </c>
    </row>
    <row r="1557" hidden="1" ht="120" customHeight="1" s="54">
      <c r="B1557" s="59" t="inlineStr">
        <is>
          <t>R-1552</t>
        </is>
      </c>
      <c r="C1557" s="59" t="inlineStr">
        <is>
          <t>GH-051</t>
        </is>
      </c>
      <c r="D1557" s="64">
        <f>IFERROR(INDEX(MgNombre,MATCH($C1557,MgActId,0)),"")</f>
        <v/>
      </c>
      <c r="E1557" s="64">
        <f>IFERROR(INDEX(MgProceso,MATCH($C1557,MgActId,0)),"")</f>
        <v/>
      </c>
      <c r="F1557" s="64">
        <f>IFERROR(INDEX(MgTipo,MATCH($C1557,MgActId,0)),"")</f>
        <v/>
      </c>
      <c r="G1557" s="64">
        <f>IFERROR(INDEX(MgSubtipo,MATCH($C1557,MgActId,0)),"")</f>
        <v/>
      </c>
      <c r="H1557" s="59" t="inlineStr">
        <is>
          <t>A.19</t>
        </is>
      </c>
      <c r="I1557" s="64">
        <f>IFERROR(INDEX(MgAmenNombre,MATCH(SUBSTITUTE($H1557,"*","-"),MgAmenClave,0)),"")</f>
        <v/>
      </c>
      <c r="J1557" s="28">
        <f>IFERROR(INDEX(MgAmenGrupo,MATCH(SUBSTITUTE($H1557,"*","-"),MgAmenClave,0)),"")</f>
        <v/>
      </c>
      <c r="K1557" s="64">
        <f>IFERROR(INDEX('1. Matriz de Activos'!$Q$6:$Q$239,MATCH($C1557,MgActId,0)),"")</f>
        <v/>
      </c>
      <c r="L1557" s="64">
        <f>IFERROR(INDEX('1. Matriz de Activos'!$R$6:$R$239,MATCH($C1557,MgActId,0)),"")</f>
        <v/>
      </c>
      <c r="M1557" s="64">
        <f>IFERROR(INDEX('1. Matriz de Activos'!$S$6:$S$239,MATCH($C1557,MgActId,0)),"")</f>
        <v/>
      </c>
      <c r="N1557" s="28">
        <f>IFERROR(INDEX(MgAmenDegD,MATCH(SUBSTITUTE($H1557,"*","-"),MgAmenClave,0)),"No aplica")</f>
        <v/>
      </c>
      <c r="O1557" s="28">
        <f>IFERROR(INDEX(MgAmenDegI,MATCH(SUBSTITUTE($H1557,"*","-"),MgAmenClave,0)),"No aplica")</f>
        <v/>
      </c>
      <c r="P1557" s="28">
        <f>IFERROR(INDEX(MgAmenDegC,MATCH(SUBSTITUTE($H1557,"*","-"),MgAmenClave,0)),"No aplica")</f>
        <v/>
      </c>
      <c r="Q1557" s="29">
        <f>IFERROR(VLOOKUP(K1557,MgValor,2,0)*VLOOKUP(N1557,MgDeg,2,0),0)</f>
        <v/>
      </c>
      <c r="R1557" s="29">
        <f>IFERROR(VLOOKUP(L1557,MgValor,2,0)*VLOOKUP(O1557,MgDeg,2,0),0)</f>
        <v/>
      </c>
      <c r="S1557" s="29">
        <f>IFERROR(VLOOKUP(M1557,MgValor,2,0)*VLOOKUP(P1557,MgDeg,2,0),0)</f>
        <v/>
      </c>
      <c r="T1557" s="30">
        <f>MAX(Q1557:S1557)</f>
        <v/>
      </c>
      <c r="U1557" s="28">
        <f>IFERROR(LOOKUP(T1557,{0;0.5;1.5;3;4.5},{"Despreciable";"Bajo";"Medio";"Alto";"Muy alto"}),"")</f>
        <v/>
      </c>
      <c r="V1557" s="13">
        <f>IFERROR(INDEX(MgAmenFrec,MATCH(SUBSTITUTE($H1557,"*","-"),MgAmenClave,0)),"")</f>
        <v/>
      </c>
      <c r="W1557" s="28">
        <f>IFERROR(LOOKUP(X1557,{0;0.01;0.1;1;10;100},{"Muy baja";"Muy baja";"Baja";"Media";"Alta";"Muy alta"}),"")</f>
        <v/>
      </c>
      <c r="X1557" s="31">
        <f>IFERROR(VLOOKUP(V1557,MgFrec,2,0),0)</f>
        <v/>
      </c>
      <c r="Y1557" s="30">
        <f>T1557*X1557</f>
        <v/>
      </c>
      <c r="Z1557" s="28">
        <f>IFERROR(LOOKUP(Y1557,{0;0.5;5;25},{"Bajo";"Medio";"Alto";"Crítico"}),"")</f>
        <v/>
      </c>
      <c r="AA1557" s="64">
        <f>IF(T1557&gt;=3,IF(X1557&gt;=1,"Zona 1 — Crítica: impacto alto y ocurre al menos una vez al año","Zona 4 — Catastrófica poco probable: impacto alto pero excepcional"),IF(AND(T1557&lt;1.5,X1557&lt;1),"Zona 3 — Asumible: impacto bajo y muy poco frecuente","Zona 2 — Atención: riesgo intermedio"))</f>
        <v/>
      </c>
      <c r="AB1557" s="64">
        <f>IFERROR(INDEX(MgAmenCtrl,MATCH(SUBSTITUTE($H1557,"*","-"),MgAmenClave,0)),"")</f>
        <v/>
      </c>
      <c r="AC1557" s="20" t="n"/>
      <c r="AD1557" s="31">
        <f>IFERROR($X1557*(1-IF($AC1557="",$AL1557,VLOOKUP($AC1557,MgMad,2,0))),"")</f>
        <v/>
      </c>
      <c r="AE1557" s="28">
        <f>IFERROR(LOOKUP(AD1557,{0;0.01;0.1;1;10;100},{"Muy baja";"Muy baja";"Baja";"Media";"Alta";"Muy alta"}),"")</f>
        <v/>
      </c>
      <c r="AF1557" s="30">
        <f>T1557*AD1557</f>
        <v/>
      </c>
      <c r="AG1557" s="28">
        <f>IFERROR(LOOKUP(AF1557,{0;0.5;5;25},{"Bajo";"Medio";"Alto";"Crítico"}),"")</f>
        <v/>
      </c>
      <c r="AH1557" s="28">
        <f>IF(AG1557="","",IF(OR(AG1557="Crítico",AG1557="Alto"),"Mitigar",IF(AG1557="Medio","Mitigar","Aceptar y monitorear")))</f>
        <v/>
      </c>
      <c r="AI1557" s="21" t="n"/>
      <c r="AJ1557" s="21" t="n"/>
      <c r="AK1557" s="20" t="n"/>
      <c r="AL1557" s="77">
        <f>IFERROR(INDEX(MgAmenEfic,MATCH(SUBSTITUTE($H1557,"*","-"),MgAmenClave,0)),0)</f>
        <v/>
      </c>
    </row>
    <row r="1558" hidden="1" ht="90" customHeight="1" s="54">
      <c r="B1558" s="59" t="inlineStr">
        <is>
          <t>R-1553</t>
        </is>
      </c>
      <c r="C1558" s="59" t="inlineStr">
        <is>
          <t>FIN-25</t>
        </is>
      </c>
      <c r="D1558" s="64">
        <f>IFERROR(INDEX(MgNombre,MATCH($C1558,MgActId,0)),"")</f>
        <v/>
      </c>
      <c r="E1558" s="64">
        <f>IFERROR(INDEX(MgProceso,MATCH($C1558,MgActId,0)),"")</f>
        <v/>
      </c>
      <c r="F1558" s="64">
        <f>IFERROR(INDEX(MgTipo,MATCH($C1558,MgActId,0)),"")</f>
        <v/>
      </c>
      <c r="G1558" s="64">
        <f>IFERROR(INDEX(MgSubtipo,MATCH($C1558,MgActId,0)),"")</f>
        <v/>
      </c>
      <c r="H1558" s="59" t="inlineStr">
        <is>
          <t>N.1</t>
        </is>
      </c>
      <c r="I1558" s="64">
        <f>IFERROR(INDEX(MgAmenNombre,MATCH(SUBSTITUTE($H1558,"*","-"),MgAmenClave,0)),"")</f>
        <v/>
      </c>
      <c r="J1558" s="28">
        <f>IFERROR(INDEX(MgAmenGrupo,MATCH(SUBSTITUTE($H1558,"*","-"),MgAmenClave,0)),"")</f>
        <v/>
      </c>
      <c r="K1558" s="64">
        <f>IFERROR(INDEX('1. Matriz de Activos'!$Q$6:$Q$239,MATCH($C1558,MgActId,0)),"")</f>
        <v/>
      </c>
      <c r="L1558" s="64">
        <f>IFERROR(INDEX('1. Matriz de Activos'!$R$6:$R$239,MATCH($C1558,MgActId,0)),"")</f>
        <v/>
      </c>
      <c r="M1558" s="64">
        <f>IFERROR(INDEX('1. Matriz de Activos'!$S$6:$S$239,MATCH($C1558,MgActId,0)),"")</f>
        <v/>
      </c>
      <c r="N1558" s="28">
        <f>IFERROR(INDEX(MgAmenDegD,MATCH(SUBSTITUTE($H1558,"*","-"),MgAmenClave,0)),"No aplica")</f>
        <v/>
      </c>
      <c r="O1558" s="28">
        <f>IFERROR(INDEX(MgAmenDegI,MATCH(SUBSTITUTE($H1558,"*","-"),MgAmenClave,0)),"No aplica")</f>
        <v/>
      </c>
      <c r="P1558" s="28">
        <f>IFERROR(INDEX(MgAmenDegC,MATCH(SUBSTITUTE($H1558,"*","-"),MgAmenClave,0)),"No aplica")</f>
        <v/>
      </c>
      <c r="Q1558" s="29">
        <f>IFERROR(VLOOKUP(K1558,MgValor,2,0)*VLOOKUP(N1558,MgDeg,2,0),0)</f>
        <v/>
      </c>
      <c r="R1558" s="29">
        <f>IFERROR(VLOOKUP(L1558,MgValor,2,0)*VLOOKUP(O1558,MgDeg,2,0),0)</f>
        <v/>
      </c>
      <c r="S1558" s="29">
        <f>IFERROR(VLOOKUP(M1558,MgValor,2,0)*VLOOKUP(P1558,MgDeg,2,0),0)</f>
        <v/>
      </c>
      <c r="T1558" s="30">
        <f>MAX(Q1558:S1558)</f>
        <v/>
      </c>
      <c r="U1558" s="28">
        <f>IFERROR(LOOKUP(T1558,{0;0.5;1.5;3;4.5},{"Despreciable";"Bajo";"Medio";"Alto";"Muy alto"}),"")</f>
        <v/>
      </c>
      <c r="V1558" s="13">
        <f>IFERROR(INDEX(MgAmenFrec,MATCH(SUBSTITUTE($H1558,"*","-"),MgAmenClave,0)),"")</f>
        <v/>
      </c>
      <c r="W1558" s="28">
        <f>IFERROR(LOOKUP(X1558,{0;0.01;0.1;1;10;100},{"Muy baja";"Muy baja";"Baja";"Media";"Alta";"Muy alta"}),"")</f>
        <v/>
      </c>
      <c r="X1558" s="31">
        <f>IFERROR(VLOOKUP(V1558,MgFrec,2,0),0)</f>
        <v/>
      </c>
      <c r="Y1558" s="30">
        <f>T1558*X1558</f>
        <v/>
      </c>
      <c r="Z1558" s="28">
        <f>IFERROR(LOOKUP(Y1558,{0;0.5;5;25},{"Bajo";"Medio";"Alto";"Crítico"}),"")</f>
        <v/>
      </c>
      <c r="AA1558" s="64">
        <f>IF(T1558&gt;=3,IF(X1558&gt;=1,"Zona 1 — Crítica: impacto alto y ocurre al menos una vez al año","Zona 4 — Catastrófica poco probable: impacto alto pero excepcional"),IF(AND(T1558&lt;1.5,X1558&lt;1),"Zona 3 — Asumible: impacto bajo y muy poco frecuente","Zona 2 — Atención: riesgo intermedio"))</f>
        <v/>
      </c>
      <c r="AB1558" s="64">
        <f>IFERROR(INDEX(MgAmenCtrl,MATCH(SUBSTITUTE($H1558,"*","-"),MgAmenClave,0)),"")</f>
        <v/>
      </c>
      <c r="AC1558" s="20" t="n"/>
      <c r="AD1558" s="31">
        <f>IFERROR($X1558*(1-IF($AC1558="",$AL1558,VLOOKUP($AC1558,MgMad,2,0))),"")</f>
        <v/>
      </c>
      <c r="AE1558" s="28">
        <f>IFERROR(LOOKUP(AD1558,{0;0.01;0.1;1;10;100},{"Muy baja";"Muy baja";"Baja";"Media";"Alta";"Muy alta"}),"")</f>
        <v/>
      </c>
      <c r="AF1558" s="30">
        <f>T1558*AD1558</f>
        <v/>
      </c>
      <c r="AG1558" s="28">
        <f>IFERROR(LOOKUP(AF1558,{0;0.5;5;25},{"Bajo";"Medio";"Alto";"Crítico"}),"")</f>
        <v/>
      </c>
      <c r="AH1558" s="28">
        <f>IF(AG1558="","",IF(OR(AG1558="Crítico",AG1558="Alto"),"Mitigar",IF(AG1558="Medio","Mitigar","Aceptar y monitorear")))</f>
        <v/>
      </c>
      <c r="AI1558" s="21" t="n"/>
      <c r="AJ1558" s="21" t="n"/>
      <c r="AK1558" s="20" t="n"/>
      <c r="AL1558" s="77">
        <f>IFERROR(INDEX(MgAmenEfic,MATCH(SUBSTITUTE($H1558,"*","-"),MgAmenClave,0)),0)</f>
        <v/>
      </c>
    </row>
    <row r="1559" hidden="1" ht="60" customHeight="1" s="54">
      <c r="B1559" s="59" t="inlineStr">
        <is>
          <t>R-1554</t>
        </is>
      </c>
      <c r="C1559" s="59" t="inlineStr">
        <is>
          <t>FIN-25</t>
        </is>
      </c>
      <c r="D1559" s="64">
        <f>IFERROR(INDEX(MgNombre,MATCH($C1559,MgActId,0)),"")</f>
        <v/>
      </c>
      <c r="E1559" s="64">
        <f>IFERROR(INDEX(MgProceso,MATCH($C1559,MgActId,0)),"")</f>
        <v/>
      </c>
      <c r="F1559" s="64">
        <f>IFERROR(INDEX(MgTipo,MATCH($C1559,MgActId,0)),"")</f>
        <v/>
      </c>
      <c r="G1559" s="64">
        <f>IFERROR(INDEX(MgSubtipo,MATCH($C1559,MgActId,0)),"")</f>
        <v/>
      </c>
      <c r="H1559" s="59" t="inlineStr">
        <is>
          <t>N.2</t>
        </is>
      </c>
      <c r="I1559" s="64">
        <f>IFERROR(INDEX(MgAmenNombre,MATCH(SUBSTITUTE($H1559,"*","-"),MgAmenClave,0)),"")</f>
        <v/>
      </c>
      <c r="J1559" s="28">
        <f>IFERROR(INDEX(MgAmenGrupo,MATCH(SUBSTITUTE($H1559,"*","-"),MgAmenClave,0)),"")</f>
        <v/>
      </c>
      <c r="K1559" s="64">
        <f>IFERROR(INDEX('1. Matriz de Activos'!$Q$6:$Q$239,MATCH($C1559,MgActId,0)),"")</f>
        <v/>
      </c>
      <c r="L1559" s="64">
        <f>IFERROR(INDEX('1. Matriz de Activos'!$R$6:$R$239,MATCH($C1559,MgActId,0)),"")</f>
        <v/>
      </c>
      <c r="M1559" s="64">
        <f>IFERROR(INDEX('1. Matriz de Activos'!$S$6:$S$239,MATCH($C1559,MgActId,0)),"")</f>
        <v/>
      </c>
      <c r="N1559" s="28">
        <f>IFERROR(INDEX(MgAmenDegD,MATCH(SUBSTITUTE($H1559,"*","-"),MgAmenClave,0)),"No aplica")</f>
        <v/>
      </c>
      <c r="O1559" s="28">
        <f>IFERROR(INDEX(MgAmenDegI,MATCH(SUBSTITUTE($H1559,"*","-"),MgAmenClave,0)),"No aplica")</f>
        <v/>
      </c>
      <c r="P1559" s="28">
        <f>IFERROR(INDEX(MgAmenDegC,MATCH(SUBSTITUTE($H1559,"*","-"),MgAmenClave,0)),"No aplica")</f>
        <v/>
      </c>
      <c r="Q1559" s="29">
        <f>IFERROR(VLOOKUP(K1559,MgValor,2,0)*VLOOKUP(N1559,MgDeg,2,0),0)</f>
        <v/>
      </c>
      <c r="R1559" s="29">
        <f>IFERROR(VLOOKUP(L1559,MgValor,2,0)*VLOOKUP(O1559,MgDeg,2,0),0)</f>
        <v/>
      </c>
      <c r="S1559" s="29">
        <f>IFERROR(VLOOKUP(M1559,MgValor,2,0)*VLOOKUP(P1559,MgDeg,2,0),0)</f>
        <v/>
      </c>
      <c r="T1559" s="30">
        <f>MAX(Q1559:S1559)</f>
        <v/>
      </c>
      <c r="U1559" s="28">
        <f>IFERROR(LOOKUP(T1559,{0;0.5;1.5;3;4.5},{"Despreciable";"Bajo";"Medio";"Alto";"Muy alto"}),"")</f>
        <v/>
      </c>
      <c r="V1559" s="13">
        <f>IFERROR(INDEX(MgAmenFrec,MATCH(SUBSTITUTE($H1559,"*","-"),MgAmenClave,0)),"")</f>
        <v/>
      </c>
      <c r="W1559" s="28">
        <f>IFERROR(LOOKUP(X1559,{0;0.01;0.1;1;10;100},{"Muy baja";"Muy baja";"Baja";"Media";"Alta";"Muy alta"}),"")</f>
        <v/>
      </c>
      <c r="X1559" s="31">
        <f>IFERROR(VLOOKUP(V1559,MgFrec,2,0),0)</f>
        <v/>
      </c>
      <c r="Y1559" s="30">
        <f>T1559*X1559</f>
        <v/>
      </c>
      <c r="Z1559" s="28">
        <f>IFERROR(LOOKUP(Y1559,{0;0.5;5;25},{"Bajo";"Medio";"Alto";"Crítico"}),"")</f>
        <v/>
      </c>
      <c r="AA1559" s="64">
        <f>IF(T1559&gt;=3,IF(X1559&gt;=1,"Zona 1 — Crítica: impacto alto y ocurre al menos una vez al año","Zona 4 — Catastrófica poco probable: impacto alto pero excepcional"),IF(AND(T1559&lt;1.5,X1559&lt;1),"Zona 3 — Asumible: impacto bajo y muy poco frecuente","Zona 2 — Atención: riesgo intermedio"))</f>
        <v/>
      </c>
      <c r="AB1559" s="64">
        <f>IFERROR(INDEX(MgAmenCtrl,MATCH(SUBSTITUTE($H1559,"*","-"),MgAmenClave,0)),"")</f>
        <v/>
      </c>
      <c r="AC1559" s="20" t="n"/>
      <c r="AD1559" s="31">
        <f>IFERROR($X1559*(1-IF($AC1559="",$AL1559,VLOOKUP($AC1559,MgMad,2,0))),"")</f>
        <v/>
      </c>
      <c r="AE1559" s="28">
        <f>IFERROR(LOOKUP(AD1559,{0;0.01;0.1;1;10;100},{"Muy baja";"Muy baja";"Baja";"Media";"Alta";"Muy alta"}),"")</f>
        <v/>
      </c>
      <c r="AF1559" s="30">
        <f>T1559*AD1559</f>
        <v/>
      </c>
      <c r="AG1559" s="28">
        <f>IFERROR(LOOKUP(AF1559,{0;0.5;5;25},{"Bajo";"Medio";"Alto";"Crítico"}),"")</f>
        <v/>
      </c>
      <c r="AH1559" s="28">
        <f>IF(AG1559="","",IF(OR(AG1559="Crítico",AG1559="Alto"),"Mitigar",IF(AG1559="Medio","Mitigar","Aceptar y monitorear")))</f>
        <v/>
      </c>
      <c r="AI1559" s="21" t="n"/>
      <c r="AJ1559" s="21" t="n"/>
      <c r="AK1559" s="20" t="n"/>
      <c r="AL1559" s="77">
        <f>IFERROR(INDEX(MgAmenEfic,MATCH(SUBSTITUTE($H1559,"*","-"),MgAmenClave,0)),0)</f>
        <v/>
      </c>
    </row>
    <row r="1560" hidden="1" ht="75" customHeight="1" s="54">
      <c r="B1560" s="59" t="inlineStr">
        <is>
          <t>R-1555</t>
        </is>
      </c>
      <c r="C1560" s="59" t="inlineStr">
        <is>
          <t>FIN-25</t>
        </is>
      </c>
      <c r="D1560" s="64">
        <f>IFERROR(INDEX(MgNombre,MATCH($C1560,MgActId,0)),"")</f>
        <v/>
      </c>
      <c r="E1560" s="64">
        <f>IFERROR(INDEX(MgProceso,MATCH($C1560,MgActId,0)),"")</f>
        <v/>
      </c>
      <c r="F1560" s="64">
        <f>IFERROR(INDEX(MgTipo,MATCH($C1560,MgActId,0)),"")</f>
        <v/>
      </c>
      <c r="G1560" s="64">
        <f>IFERROR(INDEX(MgSubtipo,MATCH($C1560,MgActId,0)),"")</f>
        <v/>
      </c>
      <c r="H1560" s="59" t="inlineStr">
        <is>
          <t>N.*</t>
        </is>
      </c>
      <c r="I1560" s="64">
        <f>IFERROR(INDEX(MgAmenNombre,MATCH(SUBSTITUTE($H1560,"*","-"),MgAmenClave,0)),"")</f>
        <v/>
      </c>
      <c r="J1560" s="28">
        <f>IFERROR(INDEX(MgAmenGrupo,MATCH(SUBSTITUTE($H1560,"*","-"),MgAmenClave,0)),"")</f>
        <v/>
      </c>
      <c r="K1560" s="64">
        <f>IFERROR(INDEX('1. Matriz de Activos'!$Q$6:$Q$239,MATCH($C1560,MgActId,0)),"")</f>
        <v/>
      </c>
      <c r="L1560" s="64">
        <f>IFERROR(INDEX('1. Matriz de Activos'!$R$6:$R$239,MATCH($C1560,MgActId,0)),"")</f>
        <v/>
      </c>
      <c r="M1560" s="64">
        <f>IFERROR(INDEX('1. Matriz de Activos'!$S$6:$S$239,MATCH($C1560,MgActId,0)),"")</f>
        <v/>
      </c>
      <c r="N1560" s="28">
        <f>IFERROR(INDEX(MgAmenDegD,MATCH(SUBSTITUTE($H1560,"*","-"),MgAmenClave,0)),"No aplica")</f>
        <v/>
      </c>
      <c r="O1560" s="28">
        <f>IFERROR(INDEX(MgAmenDegI,MATCH(SUBSTITUTE($H1560,"*","-"),MgAmenClave,0)),"No aplica")</f>
        <v/>
      </c>
      <c r="P1560" s="28">
        <f>IFERROR(INDEX(MgAmenDegC,MATCH(SUBSTITUTE($H1560,"*","-"),MgAmenClave,0)),"No aplica")</f>
        <v/>
      </c>
      <c r="Q1560" s="29">
        <f>IFERROR(VLOOKUP(K1560,MgValor,2,0)*VLOOKUP(N1560,MgDeg,2,0),0)</f>
        <v/>
      </c>
      <c r="R1560" s="29">
        <f>IFERROR(VLOOKUP(L1560,MgValor,2,0)*VLOOKUP(O1560,MgDeg,2,0),0)</f>
        <v/>
      </c>
      <c r="S1560" s="29">
        <f>IFERROR(VLOOKUP(M1560,MgValor,2,0)*VLOOKUP(P1560,MgDeg,2,0),0)</f>
        <v/>
      </c>
      <c r="T1560" s="30">
        <f>MAX(Q1560:S1560)</f>
        <v/>
      </c>
      <c r="U1560" s="28">
        <f>IFERROR(LOOKUP(T1560,{0;0.5;1.5;3;4.5},{"Despreciable";"Bajo";"Medio";"Alto";"Muy alto"}),"")</f>
        <v/>
      </c>
      <c r="V1560" s="13">
        <f>IFERROR(INDEX(MgAmenFrec,MATCH(SUBSTITUTE($H1560,"*","-"),MgAmenClave,0)),"")</f>
        <v/>
      </c>
      <c r="W1560" s="28">
        <f>IFERROR(LOOKUP(X1560,{0;0.01;0.1;1;10;100},{"Muy baja";"Muy baja";"Baja";"Media";"Alta";"Muy alta"}),"")</f>
        <v/>
      </c>
      <c r="X1560" s="31">
        <f>IFERROR(VLOOKUP(V1560,MgFrec,2,0),0)</f>
        <v/>
      </c>
      <c r="Y1560" s="30">
        <f>T1560*X1560</f>
        <v/>
      </c>
      <c r="Z1560" s="28">
        <f>IFERROR(LOOKUP(Y1560,{0;0.5;5;25},{"Bajo";"Medio";"Alto";"Crítico"}),"")</f>
        <v/>
      </c>
      <c r="AA1560" s="64">
        <f>IF(T1560&gt;=3,IF(X1560&gt;=1,"Zona 1 — Crítica: impacto alto y ocurre al menos una vez al año","Zona 4 — Catastrófica poco probable: impacto alto pero excepcional"),IF(AND(T1560&lt;1.5,X1560&lt;1),"Zona 3 — Asumible: impacto bajo y muy poco frecuente","Zona 2 — Atención: riesgo intermedio"))</f>
        <v/>
      </c>
      <c r="AB1560" s="64">
        <f>IFERROR(INDEX(MgAmenCtrl,MATCH(SUBSTITUTE($H1560,"*","-"),MgAmenClave,0)),"")</f>
        <v/>
      </c>
      <c r="AC1560" s="20" t="n"/>
      <c r="AD1560" s="31">
        <f>IFERROR($X1560*(1-IF($AC1560="",$AL1560,VLOOKUP($AC1560,MgMad,2,0))),"")</f>
        <v/>
      </c>
      <c r="AE1560" s="28">
        <f>IFERROR(LOOKUP(AD1560,{0;0.01;0.1;1;10;100},{"Muy baja";"Muy baja";"Baja";"Media";"Alta";"Muy alta"}),"")</f>
        <v/>
      </c>
      <c r="AF1560" s="30">
        <f>T1560*AD1560</f>
        <v/>
      </c>
      <c r="AG1560" s="28">
        <f>IFERROR(LOOKUP(AF1560,{0;0.5;5;25},{"Bajo";"Medio";"Alto";"Crítico"}),"")</f>
        <v/>
      </c>
      <c r="AH1560" s="28">
        <f>IF(AG1560="","",IF(OR(AG1560="Crítico",AG1560="Alto"),"Mitigar",IF(AG1560="Medio","Mitigar","Aceptar y monitorear")))</f>
        <v/>
      </c>
      <c r="AI1560" s="21" t="n"/>
      <c r="AJ1560" s="21" t="n"/>
      <c r="AK1560" s="20" t="n"/>
      <c r="AL1560" s="77">
        <f>IFERROR(INDEX(MgAmenEfic,MATCH(SUBSTITUTE($H1560,"*","-"),MgAmenClave,0)),0)</f>
        <v/>
      </c>
    </row>
    <row r="1561" hidden="1" ht="75" customHeight="1" s="54">
      <c r="B1561" s="59" t="inlineStr">
        <is>
          <t>R-1556</t>
        </is>
      </c>
      <c r="C1561" s="59" t="inlineStr">
        <is>
          <t>FIN-25</t>
        </is>
      </c>
      <c r="D1561" s="64">
        <f>IFERROR(INDEX(MgNombre,MATCH($C1561,MgActId,0)),"")</f>
        <v/>
      </c>
      <c r="E1561" s="64">
        <f>IFERROR(INDEX(MgProceso,MATCH($C1561,MgActId,0)),"")</f>
        <v/>
      </c>
      <c r="F1561" s="64">
        <f>IFERROR(INDEX(MgTipo,MATCH($C1561,MgActId,0)),"")</f>
        <v/>
      </c>
      <c r="G1561" s="64">
        <f>IFERROR(INDEX(MgSubtipo,MATCH($C1561,MgActId,0)),"")</f>
        <v/>
      </c>
      <c r="H1561" s="59" t="inlineStr">
        <is>
          <t>I.1</t>
        </is>
      </c>
      <c r="I1561" s="64">
        <f>IFERROR(INDEX(MgAmenNombre,MATCH(SUBSTITUTE($H1561,"*","-"),MgAmenClave,0)),"")</f>
        <v/>
      </c>
      <c r="J1561" s="28">
        <f>IFERROR(INDEX(MgAmenGrupo,MATCH(SUBSTITUTE($H1561,"*","-"),MgAmenClave,0)),"")</f>
        <v/>
      </c>
      <c r="K1561" s="64">
        <f>IFERROR(INDEX('1. Matriz de Activos'!$Q$6:$Q$239,MATCH($C1561,MgActId,0)),"")</f>
        <v/>
      </c>
      <c r="L1561" s="64">
        <f>IFERROR(INDEX('1. Matriz de Activos'!$R$6:$R$239,MATCH($C1561,MgActId,0)),"")</f>
        <v/>
      </c>
      <c r="M1561" s="64">
        <f>IFERROR(INDEX('1. Matriz de Activos'!$S$6:$S$239,MATCH($C1561,MgActId,0)),"")</f>
        <v/>
      </c>
      <c r="N1561" s="28">
        <f>IFERROR(INDEX(MgAmenDegD,MATCH(SUBSTITUTE($H1561,"*","-"),MgAmenClave,0)),"No aplica")</f>
        <v/>
      </c>
      <c r="O1561" s="28">
        <f>IFERROR(INDEX(MgAmenDegI,MATCH(SUBSTITUTE($H1561,"*","-"),MgAmenClave,0)),"No aplica")</f>
        <v/>
      </c>
      <c r="P1561" s="28">
        <f>IFERROR(INDEX(MgAmenDegC,MATCH(SUBSTITUTE($H1561,"*","-"),MgAmenClave,0)),"No aplica")</f>
        <v/>
      </c>
      <c r="Q1561" s="29">
        <f>IFERROR(VLOOKUP(K1561,MgValor,2,0)*VLOOKUP(N1561,MgDeg,2,0),0)</f>
        <v/>
      </c>
      <c r="R1561" s="29">
        <f>IFERROR(VLOOKUP(L1561,MgValor,2,0)*VLOOKUP(O1561,MgDeg,2,0),0)</f>
        <v/>
      </c>
      <c r="S1561" s="29">
        <f>IFERROR(VLOOKUP(M1561,MgValor,2,0)*VLOOKUP(P1561,MgDeg,2,0),0)</f>
        <v/>
      </c>
      <c r="T1561" s="30">
        <f>MAX(Q1561:S1561)</f>
        <v/>
      </c>
      <c r="U1561" s="28">
        <f>IFERROR(LOOKUP(T1561,{0;0.5;1.5;3;4.5},{"Despreciable";"Bajo";"Medio";"Alto";"Muy alto"}),"")</f>
        <v/>
      </c>
      <c r="V1561" s="13">
        <f>IFERROR(INDEX(MgAmenFrec,MATCH(SUBSTITUTE($H1561,"*","-"),MgAmenClave,0)),"")</f>
        <v/>
      </c>
      <c r="W1561" s="28">
        <f>IFERROR(LOOKUP(X1561,{0;0.01;0.1;1;10;100},{"Muy baja";"Muy baja";"Baja";"Media";"Alta";"Muy alta"}),"")</f>
        <v/>
      </c>
      <c r="X1561" s="31">
        <f>IFERROR(VLOOKUP(V1561,MgFrec,2,0),0)</f>
        <v/>
      </c>
      <c r="Y1561" s="30">
        <f>T1561*X1561</f>
        <v/>
      </c>
      <c r="Z1561" s="28">
        <f>IFERROR(LOOKUP(Y1561,{0;0.5;5;25},{"Bajo";"Medio";"Alto";"Crítico"}),"")</f>
        <v/>
      </c>
      <c r="AA1561" s="64">
        <f>IF(T1561&gt;=3,IF(X1561&gt;=1,"Zona 1 — Crítica: impacto alto y ocurre al menos una vez al año","Zona 4 — Catastrófica poco probable: impacto alto pero excepcional"),IF(AND(T1561&lt;1.5,X1561&lt;1),"Zona 3 — Asumible: impacto bajo y muy poco frecuente","Zona 2 — Atención: riesgo intermedio"))</f>
        <v/>
      </c>
      <c r="AB1561" s="64">
        <f>IFERROR(INDEX(MgAmenCtrl,MATCH(SUBSTITUTE($H1561,"*","-"),MgAmenClave,0)),"")</f>
        <v/>
      </c>
      <c r="AC1561" s="20" t="n"/>
      <c r="AD1561" s="31">
        <f>IFERROR($X1561*(1-IF($AC1561="",$AL1561,VLOOKUP($AC1561,MgMad,2,0))),"")</f>
        <v/>
      </c>
      <c r="AE1561" s="28">
        <f>IFERROR(LOOKUP(AD1561,{0;0.01;0.1;1;10;100},{"Muy baja";"Muy baja";"Baja";"Media";"Alta";"Muy alta"}),"")</f>
        <v/>
      </c>
      <c r="AF1561" s="30">
        <f>T1561*AD1561</f>
        <v/>
      </c>
      <c r="AG1561" s="28">
        <f>IFERROR(LOOKUP(AF1561,{0;0.5;5;25},{"Bajo";"Medio";"Alto";"Crítico"}),"")</f>
        <v/>
      </c>
      <c r="AH1561" s="28">
        <f>IF(AG1561="","",IF(OR(AG1561="Crítico",AG1561="Alto"),"Mitigar",IF(AG1561="Medio","Mitigar","Aceptar y monitorear")))</f>
        <v/>
      </c>
      <c r="AI1561" s="21" t="n"/>
      <c r="AJ1561" s="21" t="n"/>
      <c r="AK1561" s="20" t="n"/>
      <c r="AL1561" s="77">
        <f>IFERROR(INDEX(MgAmenEfic,MATCH(SUBSTITUTE($H1561,"*","-"),MgAmenClave,0)),0)</f>
        <v/>
      </c>
    </row>
    <row r="1562" hidden="1" ht="45" customHeight="1" s="54">
      <c r="B1562" s="59" t="inlineStr">
        <is>
          <t>R-1557</t>
        </is>
      </c>
      <c r="C1562" s="59" t="inlineStr">
        <is>
          <t>FIN-25</t>
        </is>
      </c>
      <c r="D1562" s="64">
        <f>IFERROR(INDEX(MgNombre,MATCH($C1562,MgActId,0)),"")</f>
        <v/>
      </c>
      <c r="E1562" s="64">
        <f>IFERROR(INDEX(MgProceso,MATCH($C1562,MgActId,0)),"")</f>
        <v/>
      </c>
      <c r="F1562" s="64">
        <f>IFERROR(INDEX(MgTipo,MATCH($C1562,MgActId,0)),"")</f>
        <v/>
      </c>
      <c r="G1562" s="64">
        <f>IFERROR(INDEX(MgSubtipo,MATCH($C1562,MgActId,0)),"")</f>
        <v/>
      </c>
      <c r="H1562" s="59" t="inlineStr">
        <is>
          <t>I.2</t>
        </is>
      </c>
      <c r="I1562" s="64">
        <f>IFERROR(INDEX(MgAmenNombre,MATCH(SUBSTITUTE($H1562,"*","-"),MgAmenClave,0)),"")</f>
        <v/>
      </c>
      <c r="J1562" s="28">
        <f>IFERROR(INDEX(MgAmenGrupo,MATCH(SUBSTITUTE($H1562,"*","-"),MgAmenClave,0)),"")</f>
        <v/>
      </c>
      <c r="K1562" s="64">
        <f>IFERROR(INDEX('1. Matriz de Activos'!$Q$6:$Q$239,MATCH($C1562,MgActId,0)),"")</f>
        <v/>
      </c>
      <c r="L1562" s="64">
        <f>IFERROR(INDEX('1. Matriz de Activos'!$R$6:$R$239,MATCH($C1562,MgActId,0)),"")</f>
        <v/>
      </c>
      <c r="M1562" s="64">
        <f>IFERROR(INDEX('1. Matriz de Activos'!$S$6:$S$239,MATCH($C1562,MgActId,0)),"")</f>
        <v/>
      </c>
      <c r="N1562" s="28">
        <f>IFERROR(INDEX(MgAmenDegD,MATCH(SUBSTITUTE($H1562,"*","-"),MgAmenClave,0)),"No aplica")</f>
        <v/>
      </c>
      <c r="O1562" s="28">
        <f>IFERROR(INDEX(MgAmenDegI,MATCH(SUBSTITUTE($H1562,"*","-"),MgAmenClave,0)),"No aplica")</f>
        <v/>
      </c>
      <c r="P1562" s="28">
        <f>IFERROR(INDEX(MgAmenDegC,MATCH(SUBSTITUTE($H1562,"*","-"),MgAmenClave,0)),"No aplica")</f>
        <v/>
      </c>
      <c r="Q1562" s="29">
        <f>IFERROR(VLOOKUP(K1562,MgValor,2,0)*VLOOKUP(N1562,MgDeg,2,0),0)</f>
        <v/>
      </c>
      <c r="R1562" s="29">
        <f>IFERROR(VLOOKUP(L1562,MgValor,2,0)*VLOOKUP(O1562,MgDeg,2,0),0)</f>
        <v/>
      </c>
      <c r="S1562" s="29">
        <f>IFERROR(VLOOKUP(M1562,MgValor,2,0)*VLOOKUP(P1562,MgDeg,2,0),0)</f>
        <v/>
      </c>
      <c r="T1562" s="30">
        <f>MAX(Q1562:S1562)</f>
        <v/>
      </c>
      <c r="U1562" s="28">
        <f>IFERROR(LOOKUP(T1562,{0;0.5;1.5;3;4.5},{"Despreciable";"Bajo";"Medio";"Alto";"Muy alto"}),"")</f>
        <v/>
      </c>
      <c r="V1562" s="13">
        <f>IFERROR(INDEX(MgAmenFrec,MATCH(SUBSTITUTE($H1562,"*","-"),MgAmenClave,0)),"")</f>
        <v/>
      </c>
      <c r="W1562" s="28">
        <f>IFERROR(LOOKUP(X1562,{0;0.01;0.1;1;10;100},{"Muy baja";"Muy baja";"Baja";"Media";"Alta";"Muy alta"}),"")</f>
        <v/>
      </c>
      <c r="X1562" s="31">
        <f>IFERROR(VLOOKUP(V1562,MgFrec,2,0),0)</f>
        <v/>
      </c>
      <c r="Y1562" s="30">
        <f>T1562*X1562</f>
        <v/>
      </c>
      <c r="Z1562" s="28">
        <f>IFERROR(LOOKUP(Y1562,{0;0.5;5;25},{"Bajo";"Medio";"Alto";"Crítico"}),"")</f>
        <v/>
      </c>
      <c r="AA1562" s="64">
        <f>IF(T1562&gt;=3,IF(X1562&gt;=1,"Zona 1 — Crítica: impacto alto y ocurre al menos una vez al año","Zona 4 — Catastrófica poco probable: impacto alto pero excepcional"),IF(AND(T1562&lt;1.5,X1562&lt;1),"Zona 3 — Asumible: impacto bajo y muy poco frecuente","Zona 2 — Atención: riesgo intermedio"))</f>
        <v/>
      </c>
      <c r="AB1562" s="64">
        <f>IFERROR(INDEX(MgAmenCtrl,MATCH(SUBSTITUTE($H1562,"*","-"),MgAmenClave,0)),"")</f>
        <v/>
      </c>
      <c r="AC1562" s="20" t="n"/>
      <c r="AD1562" s="31">
        <f>IFERROR($X1562*(1-IF($AC1562="",$AL1562,VLOOKUP($AC1562,MgMad,2,0))),"")</f>
        <v/>
      </c>
      <c r="AE1562" s="28">
        <f>IFERROR(LOOKUP(AD1562,{0;0.01;0.1;1;10;100},{"Muy baja";"Muy baja";"Baja";"Media";"Alta";"Muy alta"}),"")</f>
        <v/>
      </c>
      <c r="AF1562" s="30">
        <f>T1562*AD1562</f>
        <v/>
      </c>
      <c r="AG1562" s="28">
        <f>IFERROR(LOOKUP(AF1562,{0;0.5;5;25},{"Bajo";"Medio";"Alto";"Crítico"}),"")</f>
        <v/>
      </c>
      <c r="AH1562" s="28">
        <f>IF(AG1562="","",IF(OR(AG1562="Crítico",AG1562="Alto"),"Mitigar",IF(AG1562="Medio","Mitigar","Aceptar y monitorear")))</f>
        <v/>
      </c>
      <c r="AI1562" s="21" t="n"/>
      <c r="AJ1562" s="21" t="n"/>
      <c r="AK1562" s="20" t="n"/>
      <c r="AL1562" s="77">
        <f>IFERROR(INDEX(MgAmenEfic,MATCH(SUBSTITUTE($H1562,"*","-"),MgAmenClave,0)),0)</f>
        <v/>
      </c>
    </row>
    <row r="1563" hidden="1" ht="60" customHeight="1" s="54">
      <c r="B1563" s="59" t="inlineStr">
        <is>
          <t>R-1558</t>
        </is>
      </c>
      <c r="C1563" s="59" t="inlineStr">
        <is>
          <t>FIN-25</t>
        </is>
      </c>
      <c r="D1563" s="64">
        <f>IFERROR(INDEX(MgNombre,MATCH($C1563,MgActId,0)),"")</f>
        <v/>
      </c>
      <c r="E1563" s="64">
        <f>IFERROR(INDEX(MgProceso,MATCH($C1563,MgActId,0)),"")</f>
        <v/>
      </c>
      <c r="F1563" s="64">
        <f>IFERROR(INDEX(MgTipo,MATCH($C1563,MgActId,0)),"")</f>
        <v/>
      </c>
      <c r="G1563" s="64">
        <f>IFERROR(INDEX(MgSubtipo,MATCH($C1563,MgActId,0)),"")</f>
        <v/>
      </c>
      <c r="H1563" s="59" t="inlineStr">
        <is>
          <t>I.*</t>
        </is>
      </c>
      <c r="I1563" s="64">
        <f>IFERROR(INDEX(MgAmenNombre,MATCH(SUBSTITUTE($H1563,"*","-"),MgAmenClave,0)),"")</f>
        <v/>
      </c>
      <c r="J1563" s="28">
        <f>IFERROR(INDEX(MgAmenGrupo,MATCH(SUBSTITUTE($H1563,"*","-"),MgAmenClave,0)),"")</f>
        <v/>
      </c>
      <c r="K1563" s="64">
        <f>IFERROR(INDEX('1. Matriz de Activos'!$Q$6:$Q$239,MATCH($C1563,MgActId,0)),"")</f>
        <v/>
      </c>
      <c r="L1563" s="64">
        <f>IFERROR(INDEX('1. Matriz de Activos'!$R$6:$R$239,MATCH($C1563,MgActId,0)),"")</f>
        <v/>
      </c>
      <c r="M1563" s="64">
        <f>IFERROR(INDEX('1. Matriz de Activos'!$S$6:$S$239,MATCH($C1563,MgActId,0)),"")</f>
        <v/>
      </c>
      <c r="N1563" s="28">
        <f>IFERROR(INDEX(MgAmenDegD,MATCH(SUBSTITUTE($H1563,"*","-"),MgAmenClave,0)),"No aplica")</f>
        <v/>
      </c>
      <c r="O1563" s="28">
        <f>IFERROR(INDEX(MgAmenDegI,MATCH(SUBSTITUTE($H1563,"*","-"),MgAmenClave,0)),"No aplica")</f>
        <v/>
      </c>
      <c r="P1563" s="28">
        <f>IFERROR(INDEX(MgAmenDegC,MATCH(SUBSTITUTE($H1563,"*","-"),MgAmenClave,0)),"No aplica")</f>
        <v/>
      </c>
      <c r="Q1563" s="29">
        <f>IFERROR(VLOOKUP(K1563,MgValor,2,0)*VLOOKUP(N1563,MgDeg,2,0),0)</f>
        <v/>
      </c>
      <c r="R1563" s="29">
        <f>IFERROR(VLOOKUP(L1563,MgValor,2,0)*VLOOKUP(O1563,MgDeg,2,0),0)</f>
        <v/>
      </c>
      <c r="S1563" s="29">
        <f>IFERROR(VLOOKUP(M1563,MgValor,2,0)*VLOOKUP(P1563,MgDeg,2,0),0)</f>
        <v/>
      </c>
      <c r="T1563" s="30">
        <f>MAX(Q1563:S1563)</f>
        <v/>
      </c>
      <c r="U1563" s="28">
        <f>IFERROR(LOOKUP(T1563,{0;0.5;1.5;3;4.5},{"Despreciable";"Bajo";"Medio";"Alto";"Muy alto"}),"")</f>
        <v/>
      </c>
      <c r="V1563" s="13">
        <f>IFERROR(INDEX(MgAmenFrec,MATCH(SUBSTITUTE($H1563,"*","-"),MgAmenClave,0)),"")</f>
        <v/>
      </c>
      <c r="W1563" s="28">
        <f>IFERROR(LOOKUP(X1563,{0;0.01;0.1;1;10;100},{"Muy baja";"Muy baja";"Baja";"Media";"Alta";"Muy alta"}),"")</f>
        <v/>
      </c>
      <c r="X1563" s="31">
        <f>IFERROR(VLOOKUP(V1563,MgFrec,2,0),0)</f>
        <v/>
      </c>
      <c r="Y1563" s="30">
        <f>T1563*X1563</f>
        <v/>
      </c>
      <c r="Z1563" s="28">
        <f>IFERROR(LOOKUP(Y1563,{0;0.5;5;25},{"Bajo";"Medio";"Alto";"Crítico"}),"")</f>
        <v/>
      </c>
      <c r="AA1563" s="64">
        <f>IF(T1563&gt;=3,IF(X1563&gt;=1,"Zona 1 — Crítica: impacto alto y ocurre al menos una vez al año","Zona 4 — Catastrófica poco probable: impacto alto pero excepcional"),IF(AND(T1563&lt;1.5,X1563&lt;1),"Zona 3 — Asumible: impacto bajo y muy poco frecuente","Zona 2 — Atención: riesgo intermedio"))</f>
        <v/>
      </c>
      <c r="AB1563" s="64">
        <f>IFERROR(INDEX(MgAmenCtrl,MATCH(SUBSTITUTE($H1563,"*","-"),MgAmenClave,0)),"")</f>
        <v/>
      </c>
      <c r="AC1563" s="20" t="n"/>
      <c r="AD1563" s="31">
        <f>IFERROR($X1563*(1-IF($AC1563="",$AL1563,VLOOKUP($AC1563,MgMad,2,0))),"")</f>
        <v/>
      </c>
      <c r="AE1563" s="28">
        <f>IFERROR(LOOKUP(AD1563,{0;0.01;0.1;1;10;100},{"Muy baja";"Muy baja";"Baja";"Media";"Alta";"Muy alta"}),"")</f>
        <v/>
      </c>
      <c r="AF1563" s="30">
        <f>T1563*AD1563</f>
        <v/>
      </c>
      <c r="AG1563" s="28">
        <f>IFERROR(LOOKUP(AF1563,{0;0.5;5;25},{"Bajo";"Medio";"Alto";"Crítico"}),"")</f>
        <v/>
      </c>
      <c r="AH1563" s="28">
        <f>IF(AG1563="","",IF(OR(AG1563="Crítico",AG1563="Alto"),"Mitigar",IF(AG1563="Medio","Mitigar","Aceptar y monitorear")))</f>
        <v/>
      </c>
      <c r="AI1563" s="21" t="n"/>
      <c r="AJ1563" s="21" t="n"/>
      <c r="AK1563" s="20" t="n"/>
      <c r="AL1563" s="77">
        <f>IFERROR(INDEX(MgAmenEfic,MATCH(SUBSTITUTE($H1563,"*","-"),MgAmenClave,0)),0)</f>
        <v/>
      </c>
    </row>
    <row r="1564" hidden="1" ht="45" customHeight="1" s="54">
      <c r="B1564" s="59" t="inlineStr">
        <is>
          <t>R-1559</t>
        </is>
      </c>
      <c r="C1564" s="59" t="inlineStr">
        <is>
          <t>FIN-25</t>
        </is>
      </c>
      <c r="D1564" s="64">
        <f>IFERROR(INDEX(MgNombre,MATCH($C1564,MgActId,0)),"")</f>
        <v/>
      </c>
      <c r="E1564" s="64">
        <f>IFERROR(INDEX(MgProceso,MATCH($C1564,MgActId,0)),"")</f>
        <v/>
      </c>
      <c r="F1564" s="64">
        <f>IFERROR(INDEX(MgTipo,MATCH($C1564,MgActId,0)),"")</f>
        <v/>
      </c>
      <c r="G1564" s="64">
        <f>IFERROR(INDEX(MgSubtipo,MATCH($C1564,MgActId,0)),"")</f>
        <v/>
      </c>
      <c r="H1564" s="59" t="inlineStr">
        <is>
          <t>I.3</t>
        </is>
      </c>
      <c r="I1564" s="64">
        <f>IFERROR(INDEX(MgAmenNombre,MATCH(SUBSTITUTE($H1564,"*","-"),MgAmenClave,0)),"")</f>
        <v/>
      </c>
      <c r="J1564" s="28">
        <f>IFERROR(INDEX(MgAmenGrupo,MATCH(SUBSTITUTE($H1564,"*","-"),MgAmenClave,0)),"")</f>
        <v/>
      </c>
      <c r="K1564" s="64">
        <f>IFERROR(INDEX('1. Matriz de Activos'!$Q$6:$Q$239,MATCH($C1564,MgActId,0)),"")</f>
        <v/>
      </c>
      <c r="L1564" s="64">
        <f>IFERROR(INDEX('1. Matriz de Activos'!$R$6:$R$239,MATCH($C1564,MgActId,0)),"")</f>
        <v/>
      </c>
      <c r="M1564" s="64">
        <f>IFERROR(INDEX('1. Matriz de Activos'!$S$6:$S$239,MATCH($C1564,MgActId,0)),"")</f>
        <v/>
      </c>
      <c r="N1564" s="28">
        <f>IFERROR(INDEX(MgAmenDegD,MATCH(SUBSTITUTE($H1564,"*","-"),MgAmenClave,0)),"No aplica")</f>
        <v/>
      </c>
      <c r="O1564" s="28">
        <f>IFERROR(INDEX(MgAmenDegI,MATCH(SUBSTITUTE($H1564,"*","-"),MgAmenClave,0)),"No aplica")</f>
        <v/>
      </c>
      <c r="P1564" s="28">
        <f>IFERROR(INDEX(MgAmenDegC,MATCH(SUBSTITUTE($H1564,"*","-"),MgAmenClave,0)),"No aplica")</f>
        <v/>
      </c>
      <c r="Q1564" s="29">
        <f>IFERROR(VLOOKUP(K1564,MgValor,2,0)*VLOOKUP(N1564,MgDeg,2,0),0)</f>
        <v/>
      </c>
      <c r="R1564" s="29">
        <f>IFERROR(VLOOKUP(L1564,MgValor,2,0)*VLOOKUP(O1564,MgDeg,2,0),0)</f>
        <v/>
      </c>
      <c r="S1564" s="29">
        <f>IFERROR(VLOOKUP(M1564,MgValor,2,0)*VLOOKUP(P1564,MgDeg,2,0),0)</f>
        <v/>
      </c>
      <c r="T1564" s="30">
        <f>MAX(Q1564:S1564)</f>
        <v/>
      </c>
      <c r="U1564" s="28">
        <f>IFERROR(LOOKUP(T1564,{0;0.5;1.5;3;4.5},{"Despreciable";"Bajo";"Medio";"Alto";"Muy alto"}),"")</f>
        <v/>
      </c>
      <c r="V1564" s="13">
        <f>IFERROR(INDEX(MgAmenFrec,MATCH(SUBSTITUTE($H1564,"*","-"),MgAmenClave,0)),"")</f>
        <v/>
      </c>
      <c r="W1564" s="28">
        <f>IFERROR(LOOKUP(X1564,{0;0.01;0.1;1;10;100},{"Muy baja";"Muy baja";"Baja";"Media";"Alta";"Muy alta"}),"")</f>
        <v/>
      </c>
      <c r="X1564" s="31">
        <f>IFERROR(VLOOKUP(V1564,MgFrec,2,0),0)</f>
        <v/>
      </c>
      <c r="Y1564" s="30">
        <f>T1564*X1564</f>
        <v/>
      </c>
      <c r="Z1564" s="28">
        <f>IFERROR(LOOKUP(Y1564,{0;0.5;5;25},{"Bajo";"Medio";"Alto";"Crítico"}),"")</f>
        <v/>
      </c>
      <c r="AA1564" s="64">
        <f>IF(T1564&gt;=3,IF(X1564&gt;=1,"Zona 1 — Crítica: impacto alto y ocurre al menos una vez al año","Zona 4 — Catastrófica poco probable: impacto alto pero excepcional"),IF(AND(T1564&lt;1.5,X1564&lt;1),"Zona 3 — Asumible: impacto bajo y muy poco frecuente","Zona 2 — Atención: riesgo intermedio"))</f>
        <v/>
      </c>
      <c r="AB1564" s="64">
        <f>IFERROR(INDEX(MgAmenCtrl,MATCH(SUBSTITUTE($H1564,"*","-"),MgAmenClave,0)),"")</f>
        <v/>
      </c>
      <c r="AC1564" s="20" t="n"/>
      <c r="AD1564" s="31">
        <f>IFERROR($X1564*(1-IF($AC1564="",$AL1564,VLOOKUP($AC1564,MgMad,2,0))),"")</f>
        <v/>
      </c>
      <c r="AE1564" s="28">
        <f>IFERROR(LOOKUP(AD1564,{0;0.01;0.1;1;10;100},{"Muy baja";"Muy baja";"Baja";"Media";"Alta";"Muy alta"}),"")</f>
        <v/>
      </c>
      <c r="AF1564" s="30">
        <f>T1564*AD1564</f>
        <v/>
      </c>
      <c r="AG1564" s="28">
        <f>IFERROR(LOOKUP(AF1564,{0;0.5;5;25},{"Bajo";"Medio";"Alto";"Crítico"}),"")</f>
        <v/>
      </c>
      <c r="AH1564" s="28">
        <f>IF(AG1564="","",IF(OR(AG1564="Crítico",AG1564="Alto"),"Mitigar",IF(AG1564="Medio","Mitigar","Aceptar y monitorear")))</f>
        <v/>
      </c>
      <c r="AI1564" s="21" t="n"/>
      <c r="AJ1564" s="21" t="n"/>
      <c r="AK1564" s="20" t="n"/>
      <c r="AL1564" s="77">
        <f>IFERROR(INDEX(MgAmenEfic,MATCH(SUBSTITUTE($H1564,"*","-"),MgAmenClave,0)),0)</f>
        <v/>
      </c>
    </row>
    <row r="1565" hidden="1" ht="45" customHeight="1" s="54">
      <c r="B1565" s="59" t="inlineStr">
        <is>
          <t>R-1560</t>
        </is>
      </c>
      <c r="C1565" s="59" t="inlineStr">
        <is>
          <t>FIN-25</t>
        </is>
      </c>
      <c r="D1565" s="64">
        <f>IFERROR(INDEX(MgNombre,MATCH($C1565,MgActId,0)),"")</f>
        <v/>
      </c>
      <c r="E1565" s="64">
        <f>IFERROR(INDEX(MgProceso,MATCH($C1565,MgActId,0)),"")</f>
        <v/>
      </c>
      <c r="F1565" s="64">
        <f>IFERROR(INDEX(MgTipo,MATCH($C1565,MgActId,0)),"")</f>
        <v/>
      </c>
      <c r="G1565" s="64">
        <f>IFERROR(INDEX(MgSubtipo,MATCH($C1565,MgActId,0)),"")</f>
        <v/>
      </c>
      <c r="H1565" s="59" t="inlineStr">
        <is>
          <t>I.4</t>
        </is>
      </c>
      <c r="I1565" s="64">
        <f>IFERROR(INDEX(MgAmenNombre,MATCH(SUBSTITUTE($H1565,"*","-"),MgAmenClave,0)),"")</f>
        <v/>
      </c>
      <c r="J1565" s="28">
        <f>IFERROR(INDEX(MgAmenGrupo,MATCH(SUBSTITUTE($H1565,"*","-"),MgAmenClave,0)),"")</f>
        <v/>
      </c>
      <c r="K1565" s="64">
        <f>IFERROR(INDEX('1. Matriz de Activos'!$Q$6:$Q$239,MATCH($C1565,MgActId,0)),"")</f>
        <v/>
      </c>
      <c r="L1565" s="64">
        <f>IFERROR(INDEX('1. Matriz de Activos'!$R$6:$R$239,MATCH($C1565,MgActId,0)),"")</f>
        <v/>
      </c>
      <c r="M1565" s="64">
        <f>IFERROR(INDEX('1. Matriz de Activos'!$S$6:$S$239,MATCH($C1565,MgActId,0)),"")</f>
        <v/>
      </c>
      <c r="N1565" s="28">
        <f>IFERROR(INDEX(MgAmenDegD,MATCH(SUBSTITUTE($H1565,"*","-"),MgAmenClave,0)),"No aplica")</f>
        <v/>
      </c>
      <c r="O1565" s="28">
        <f>IFERROR(INDEX(MgAmenDegI,MATCH(SUBSTITUTE($H1565,"*","-"),MgAmenClave,0)),"No aplica")</f>
        <v/>
      </c>
      <c r="P1565" s="28">
        <f>IFERROR(INDEX(MgAmenDegC,MATCH(SUBSTITUTE($H1565,"*","-"),MgAmenClave,0)),"No aplica")</f>
        <v/>
      </c>
      <c r="Q1565" s="29">
        <f>IFERROR(VLOOKUP(K1565,MgValor,2,0)*VLOOKUP(N1565,MgDeg,2,0),0)</f>
        <v/>
      </c>
      <c r="R1565" s="29">
        <f>IFERROR(VLOOKUP(L1565,MgValor,2,0)*VLOOKUP(O1565,MgDeg,2,0),0)</f>
        <v/>
      </c>
      <c r="S1565" s="29">
        <f>IFERROR(VLOOKUP(M1565,MgValor,2,0)*VLOOKUP(P1565,MgDeg,2,0),0)</f>
        <v/>
      </c>
      <c r="T1565" s="30">
        <f>MAX(Q1565:S1565)</f>
        <v/>
      </c>
      <c r="U1565" s="28">
        <f>IFERROR(LOOKUP(T1565,{0;0.5;1.5;3;4.5},{"Despreciable";"Bajo";"Medio";"Alto";"Muy alto"}),"")</f>
        <v/>
      </c>
      <c r="V1565" s="13">
        <f>IFERROR(INDEX(MgAmenFrec,MATCH(SUBSTITUTE($H1565,"*","-"),MgAmenClave,0)),"")</f>
        <v/>
      </c>
      <c r="W1565" s="28">
        <f>IFERROR(LOOKUP(X1565,{0;0.01;0.1;1;10;100},{"Muy baja";"Muy baja";"Baja";"Media";"Alta";"Muy alta"}),"")</f>
        <v/>
      </c>
      <c r="X1565" s="31">
        <f>IFERROR(VLOOKUP(V1565,MgFrec,2,0),0)</f>
        <v/>
      </c>
      <c r="Y1565" s="30">
        <f>T1565*X1565</f>
        <v/>
      </c>
      <c r="Z1565" s="28">
        <f>IFERROR(LOOKUP(Y1565,{0;0.5;5;25},{"Bajo";"Medio";"Alto";"Crítico"}),"")</f>
        <v/>
      </c>
      <c r="AA1565" s="64">
        <f>IF(T1565&gt;=3,IF(X1565&gt;=1,"Zona 1 — Crítica: impacto alto y ocurre al menos una vez al año","Zona 4 — Catastrófica poco probable: impacto alto pero excepcional"),IF(AND(T1565&lt;1.5,X1565&lt;1),"Zona 3 — Asumible: impacto bajo y muy poco frecuente","Zona 2 — Atención: riesgo intermedio"))</f>
        <v/>
      </c>
      <c r="AB1565" s="64">
        <f>IFERROR(INDEX(MgAmenCtrl,MATCH(SUBSTITUTE($H1565,"*","-"),MgAmenClave,0)),"")</f>
        <v/>
      </c>
      <c r="AC1565" s="20" t="n"/>
      <c r="AD1565" s="31">
        <f>IFERROR($X1565*(1-IF($AC1565="",$AL1565,VLOOKUP($AC1565,MgMad,2,0))),"")</f>
        <v/>
      </c>
      <c r="AE1565" s="28">
        <f>IFERROR(LOOKUP(AD1565,{0;0.01;0.1;1;10;100},{"Muy baja";"Muy baja";"Baja";"Media";"Alta";"Muy alta"}),"")</f>
        <v/>
      </c>
      <c r="AF1565" s="30">
        <f>T1565*AD1565</f>
        <v/>
      </c>
      <c r="AG1565" s="28">
        <f>IFERROR(LOOKUP(AF1565,{0;0.5;5;25},{"Bajo";"Medio";"Alto";"Crítico"}),"")</f>
        <v/>
      </c>
      <c r="AH1565" s="28">
        <f>IF(AG1565="","",IF(OR(AG1565="Crítico",AG1565="Alto"),"Mitigar",IF(AG1565="Medio","Mitigar","Aceptar y monitorear")))</f>
        <v/>
      </c>
      <c r="AI1565" s="21" t="n"/>
      <c r="AJ1565" s="21" t="n"/>
      <c r="AK1565" s="20" t="n"/>
      <c r="AL1565" s="77">
        <f>IFERROR(INDEX(MgAmenEfic,MATCH(SUBSTITUTE($H1565,"*","-"),MgAmenClave,0)),0)</f>
        <v/>
      </c>
    </row>
    <row r="1566" hidden="1" ht="75" customHeight="1" s="54">
      <c r="B1566" s="59" t="inlineStr">
        <is>
          <t>R-1561</t>
        </is>
      </c>
      <c r="C1566" s="59" t="inlineStr">
        <is>
          <t>FIN-25</t>
        </is>
      </c>
      <c r="D1566" s="64">
        <f>IFERROR(INDEX(MgNombre,MATCH($C1566,MgActId,0)),"")</f>
        <v/>
      </c>
      <c r="E1566" s="64">
        <f>IFERROR(INDEX(MgProceso,MATCH($C1566,MgActId,0)),"")</f>
        <v/>
      </c>
      <c r="F1566" s="64">
        <f>IFERROR(INDEX(MgTipo,MATCH($C1566,MgActId,0)),"")</f>
        <v/>
      </c>
      <c r="G1566" s="64">
        <f>IFERROR(INDEX(MgSubtipo,MATCH($C1566,MgActId,0)),"")</f>
        <v/>
      </c>
      <c r="H1566" s="59" t="inlineStr">
        <is>
          <t>I.5</t>
        </is>
      </c>
      <c r="I1566" s="64">
        <f>IFERROR(INDEX(MgAmenNombre,MATCH(SUBSTITUTE($H1566,"*","-"),MgAmenClave,0)),"")</f>
        <v/>
      </c>
      <c r="J1566" s="28">
        <f>IFERROR(INDEX(MgAmenGrupo,MATCH(SUBSTITUTE($H1566,"*","-"),MgAmenClave,0)),"")</f>
        <v/>
      </c>
      <c r="K1566" s="64">
        <f>IFERROR(INDEX('1. Matriz de Activos'!$Q$6:$Q$239,MATCH($C1566,MgActId,0)),"")</f>
        <v/>
      </c>
      <c r="L1566" s="64">
        <f>IFERROR(INDEX('1. Matriz de Activos'!$R$6:$R$239,MATCH($C1566,MgActId,0)),"")</f>
        <v/>
      </c>
      <c r="M1566" s="64">
        <f>IFERROR(INDEX('1. Matriz de Activos'!$S$6:$S$239,MATCH($C1566,MgActId,0)),"")</f>
        <v/>
      </c>
      <c r="N1566" s="28">
        <f>IFERROR(INDEX(MgAmenDegD,MATCH(SUBSTITUTE($H1566,"*","-"),MgAmenClave,0)),"No aplica")</f>
        <v/>
      </c>
      <c r="O1566" s="28">
        <f>IFERROR(INDEX(MgAmenDegI,MATCH(SUBSTITUTE($H1566,"*","-"),MgAmenClave,0)),"No aplica")</f>
        <v/>
      </c>
      <c r="P1566" s="28">
        <f>IFERROR(INDEX(MgAmenDegC,MATCH(SUBSTITUTE($H1566,"*","-"),MgAmenClave,0)),"No aplica")</f>
        <v/>
      </c>
      <c r="Q1566" s="29">
        <f>IFERROR(VLOOKUP(K1566,MgValor,2,0)*VLOOKUP(N1566,MgDeg,2,0),0)</f>
        <v/>
      </c>
      <c r="R1566" s="29">
        <f>IFERROR(VLOOKUP(L1566,MgValor,2,0)*VLOOKUP(O1566,MgDeg,2,0),0)</f>
        <v/>
      </c>
      <c r="S1566" s="29">
        <f>IFERROR(VLOOKUP(M1566,MgValor,2,0)*VLOOKUP(P1566,MgDeg,2,0),0)</f>
        <v/>
      </c>
      <c r="T1566" s="30">
        <f>MAX(Q1566:S1566)</f>
        <v/>
      </c>
      <c r="U1566" s="28">
        <f>IFERROR(LOOKUP(T1566,{0;0.5;1.5;3;4.5},{"Despreciable";"Bajo";"Medio";"Alto";"Muy alto"}),"")</f>
        <v/>
      </c>
      <c r="V1566" s="13">
        <f>IFERROR(INDEX(MgAmenFrec,MATCH(SUBSTITUTE($H1566,"*","-"),MgAmenClave,0)),"")</f>
        <v/>
      </c>
      <c r="W1566" s="28">
        <f>IFERROR(LOOKUP(X1566,{0;0.01;0.1;1;10;100},{"Muy baja";"Muy baja";"Baja";"Media";"Alta";"Muy alta"}),"")</f>
        <v/>
      </c>
      <c r="X1566" s="31">
        <f>IFERROR(VLOOKUP(V1566,MgFrec,2,0),0)</f>
        <v/>
      </c>
      <c r="Y1566" s="30">
        <f>T1566*X1566</f>
        <v/>
      </c>
      <c r="Z1566" s="28">
        <f>IFERROR(LOOKUP(Y1566,{0;0.5;5;25},{"Bajo";"Medio";"Alto";"Crítico"}),"")</f>
        <v/>
      </c>
      <c r="AA1566" s="64">
        <f>IF(T1566&gt;=3,IF(X1566&gt;=1,"Zona 1 — Crítica: impacto alto y ocurre al menos una vez al año","Zona 4 — Catastrófica poco probable: impacto alto pero excepcional"),IF(AND(T1566&lt;1.5,X1566&lt;1),"Zona 3 — Asumible: impacto bajo y muy poco frecuente","Zona 2 — Atención: riesgo intermedio"))</f>
        <v/>
      </c>
      <c r="AB1566" s="64">
        <f>IFERROR(INDEX(MgAmenCtrl,MATCH(SUBSTITUTE($H1566,"*","-"),MgAmenClave,0)),"")</f>
        <v/>
      </c>
      <c r="AC1566" s="20" t="n"/>
      <c r="AD1566" s="31">
        <f>IFERROR($X1566*(1-IF($AC1566="",$AL1566,VLOOKUP($AC1566,MgMad,2,0))),"")</f>
        <v/>
      </c>
      <c r="AE1566" s="28">
        <f>IFERROR(LOOKUP(AD1566,{0;0.01;0.1;1;10;100},{"Muy baja";"Muy baja";"Baja";"Media";"Alta";"Muy alta"}),"")</f>
        <v/>
      </c>
      <c r="AF1566" s="30">
        <f>T1566*AD1566</f>
        <v/>
      </c>
      <c r="AG1566" s="28">
        <f>IFERROR(LOOKUP(AF1566,{0;0.5;5;25},{"Bajo";"Medio";"Alto";"Crítico"}),"")</f>
        <v/>
      </c>
      <c r="AH1566" s="28">
        <f>IF(AG1566="","",IF(OR(AG1566="Crítico",AG1566="Alto"),"Mitigar",IF(AG1566="Medio","Mitigar","Aceptar y monitorear")))</f>
        <v/>
      </c>
      <c r="AI1566" s="21" t="n"/>
      <c r="AJ1566" s="21" t="n"/>
      <c r="AK1566" s="20" t="n"/>
      <c r="AL1566" s="77">
        <f>IFERROR(INDEX(MgAmenEfic,MATCH(SUBSTITUTE($H1566,"*","-"),MgAmenClave,0)),0)</f>
        <v/>
      </c>
    </row>
    <row r="1567" hidden="1" ht="60" customHeight="1" s="54">
      <c r="B1567" s="59" t="inlineStr">
        <is>
          <t>R-1562</t>
        </is>
      </c>
      <c r="C1567" s="59" t="inlineStr">
        <is>
          <t>FIN-25</t>
        </is>
      </c>
      <c r="D1567" s="64">
        <f>IFERROR(INDEX(MgNombre,MATCH($C1567,MgActId,0)),"")</f>
        <v/>
      </c>
      <c r="E1567" s="64">
        <f>IFERROR(INDEX(MgProceso,MATCH($C1567,MgActId,0)),"")</f>
        <v/>
      </c>
      <c r="F1567" s="64">
        <f>IFERROR(INDEX(MgTipo,MATCH($C1567,MgActId,0)),"")</f>
        <v/>
      </c>
      <c r="G1567" s="64">
        <f>IFERROR(INDEX(MgSubtipo,MATCH($C1567,MgActId,0)),"")</f>
        <v/>
      </c>
      <c r="H1567" s="59" t="inlineStr">
        <is>
          <t>I.6</t>
        </is>
      </c>
      <c r="I1567" s="64">
        <f>IFERROR(INDEX(MgAmenNombre,MATCH(SUBSTITUTE($H1567,"*","-"),MgAmenClave,0)),"")</f>
        <v/>
      </c>
      <c r="J1567" s="28">
        <f>IFERROR(INDEX(MgAmenGrupo,MATCH(SUBSTITUTE($H1567,"*","-"),MgAmenClave,0)),"")</f>
        <v/>
      </c>
      <c r="K1567" s="64">
        <f>IFERROR(INDEX('1. Matriz de Activos'!$Q$6:$Q$239,MATCH($C1567,MgActId,0)),"")</f>
        <v/>
      </c>
      <c r="L1567" s="64">
        <f>IFERROR(INDEX('1. Matriz de Activos'!$R$6:$R$239,MATCH($C1567,MgActId,0)),"")</f>
        <v/>
      </c>
      <c r="M1567" s="64">
        <f>IFERROR(INDEX('1. Matriz de Activos'!$S$6:$S$239,MATCH($C1567,MgActId,0)),"")</f>
        <v/>
      </c>
      <c r="N1567" s="28">
        <f>IFERROR(INDEX(MgAmenDegD,MATCH(SUBSTITUTE($H1567,"*","-"),MgAmenClave,0)),"No aplica")</f>
        <v/>
      </c>
      <c r="O1567" s="28">
        <f>IFERROR(INDEX(MgAmenDegI,MATCH(SUBSTITUTE($H1567,"*","-"),MgAmenClave,0)),"No aplica")</f>
        <v/>
      </c>
      <c r="P1567" s="28">
        <f>IFERROR(INDEX(MgAmenDegC,MATCH(SUBSTITUTE($H1567,"*","-"),MgAmenClave,0)),"No aplica")</f>
        <v/>
      </c>
      <c r="Q1567" s="29">
        <f>IFERROR(VLOOKUP(K1567,MgValor,2,0)*VLOOKUP(N1567,MgDeg,2,0),0)</f>
        <v/>
      </c>
      <c r="R1567" s="29">
        <f>IFERROR(VLOOKUP(L1567,MgValor,2,0)*VLOOKUP(O1567,MgDeg,2,0),0)</f>
        <v/>
      </c>
      <c r="S1567" s="29">
        <f>IFERROR(VLOOKUP(M1567,MgValor,2,0)*VLOOKUP(P1567,MgDeg,2,0),0)</f>
        <v/>
      </c>
      <c r="T1567" s="30">
        <f>MAX(Q1567:S1567)</f>
        <v/>
      </c>
      <c r="U1567" s="28">
        <f>IFERROR(LOOKUP(T1567,{0;0.5;1.5;3;4.5},{"Despreciable";"Bajo";"Medio";"Alto";"Muy alto"}),"")</f>
        <v/>
      </c>
      <c r="V1567" s="13">
        <f>IFERROR(INDEX(MgAmenFrec,MATCH(SUBSTITUTE($H1567,"*","-"),MgAmenClave,0)),"")</f>
        <v/>
      </c>
      <c r="W1567" s="28">
        <f>IFERROR(LOOKUP(X1567,{0;0.01;0.1;1;10;100},{"Muy baja";"Muy baja";"Baja";"Media";"Alta";"Muy alta"}),"")</f>
        <v/>
      </c>
      <c r="X1567" s="31">
        <f>IFERROR(VLOOKUP(V1567,MgFrec,2,0),0)</f>
        <v/>
      </c>
      <c r="Y1567" s="30">
        <f>T1567*X1567</f>
        <v/>
      </c>
      <c r="Z1567" s="28">
        <f>IFERROR(LOOKUP(Y1567,{0;0.5;5;25},{"Bajo";"Medio";"Alto";"Crítico"}),"")</f>
        <v/>
      </c>
      <c r="AA1567" s="64">
        <f>IF(T1567&gt;=3,IF(X1567&gt;=1,"Zona 1 — Crítica: impacto alto y ocurre al menos una vez al año","Zona 4 — Catastrófica poco probable: impacto alto pero excepcional"),IF(AND(T1567&lt;1.5,X1567&lt;1),"Zona 3 — Asumible: impacto bajo y muy poco frecuente","Zona 2 — Atención: riesgo intermedio"))</f>
        <v/>
      </c>
      <c r="AB1567" s="64">
        <f>IFERROR(INDEX(MgAmenCtrl,MATCH(SUBSTITUTE($H1567,"*","-"),MgAmenClave,0)),"")</f>
        <v/>
      </c>
      <c r="AC1567" s="20" t="n"/>
      <c r="AD1567" s="31">
        <f>IFERROR($X1567*(1-IF($AC1567="",$AL1567,VLOOKUP($AC1567,MgMad,2,0))),"")</f>
        <v/>
      </c>
      <c r="AE1567" s="28">
        <f>IFERROR(LOOKUP(AD1567,{0;0.01;0.1;1;10;100},{"Muy baja";"Muy baja";"Baja";"Media";"Alta";"Muy alta"}),"")</f>
        <v/>
      </c>
      <c r="AF1567" s="30">
        <f>T1567*AD1567</f>
        <v/>
      </c>
      <c r="AG1567" s="28">
        <f>IFERROR(LOOKUP(AF1567,{0;0.5;5;25},{"Bajo";"Medio";"Alto";"Crítico"}),"")</f>
        <v/>
      </c>
      <c r="AH1567" s="28">
        <f>IF(AG1567="","",IF(OR(AG1567="Crítico",AG1567="Alto"),"Mitigar",IF(AG1567="Medio","Mitigar","Aceptar y monitorear")))</f>
        <v/>
      </c>
      <c r="AI1567" s="21" t="n"/>
      <c r="AJ1567" s="21" t="n"/>
      <c r="AK1567" s="20" t="n"/>
      <c r="AL1567" s="77">
        <f>IFERROR(INDEX(MgAmenEfic,MATCH(SUBSTITUTE($H1567,"*","-"),MgAmenClave,0)),0)</f>
        <v/>
      </c>
    </row>
    <row r="1568" hidden="1" ht="45" customHeight="1" s="54">
      <c r="B1568" s="59" t="inlineStr">
        <is>
          <t>R-1563</t>
        </is>
      </c>
      <c r="C1568" s="59" t="inlineStr">
        <is>
          <t>FIN-25</t>
        </is>
      </c>
      <c r="D1568" s="64">
        <f>IFERROR(INDEX(MgNombre,MATCH($C1568,MgActId,0)),"")</f>
        <v/>
      </c>
      <c r="E1568" s="64">
        <f>IFERROR(INDEX(MgProceso,MATCH($C1568,MgActId,0)),"")</f>
        <v/>
      </c>
      <c r="F1568" s="64">
        <f>IFERROR(INDEX(MgTipo,MATCH($C1568,MgActId,0)),"")</f>
        <v/>
      </c>
      <c r="G1568" s="64">
        <f>IFERROR(INDEX(MgSubtipo,MATCH($C1568,MgActId,0)),"")</f>
        <v/>
      </c>
      <c r="H1568" s="59" t="inlineStr">
        <is>
          <t>I.7</t>
        </is>
      </c>
      <c r="I1568" s="64">
        <f>IFERROR(INDEX(MgAmenNombre,MATCH(SUBSTITUTE($H1568,"*","-"),MgAmenClave,0)),"")</f>
        <v/>
      </c>
      <c r="J1568" s="28">
        <f>IFERROR(INDEX(MgAmenGrupo,MATCH(SUBSTITUTE($H1568,"*","-"),MgAmenClave,0)),"")</f>
        <v/>
      </c>
      <c r="K1568" s="64">
        <f>IFERROR(INDEX('1. Matriz de Activos'!$Q$6:$Q$239,MATCH($C1568,MgActId,0)),"")</f>
        <v/>
      </c>
      <c r="L1568" s="64">
        <f>IFERROR(INDEX('1. Matriz de Activos'!$R$6:$R$239,MATCH($C1568,MgActId,0)),"")</f>
        <v/>
      </c>
      <c r="M1568" s="64">
        <f>IFERROR(INDEX('1. Matriz de Activos'!$S$6:$S$239,MATCH($C1568,MgActId,0)),"")</f>
        <v/>
      </c>
      <c r="N1568" s="28">
        <f>IFERROR(INDEX(MgAmenDegD,MATCH(SUBSTITUTE($H1568,"*","-"),MgAmenClave,0)),"No aplica")</f>
        <v/>
      </c>
      <c r="O1568" s="28">
        <f>IFERROR(INDEX(MgAmenDegI,MATCH(SUBSTITUTE($H1568,"*","-"),MgAmenClave,0)),"No aplica")</f>
        <v/>
      </c>
      <c r="P1568" s="28">
        <f>IFERROR(INDEX(MgAmenDegC,MATCH(SUBSTITUTE($H1568,"*","-"),MgAmenClave,0)),"No aplica")</f>
        <v/>
      </c>
      <c r="Q1568" s="29">
        <f>IFERROR(VLOOKUP(K1568,MgValor,2,0)*VLOOKUP(N1568,MgDeg,2,0),0)</f>
        <v/>
      </c>
      <c r="R1568" s="29">
        <f>IFERROR(VLOOKUP(L1568,MgValor,2,0)*VLOOKUP(O1568,MgDeg,2,0),0)</f>
        <v/>
      </c>
      <c r="S1568" s="29">
        <f>IFERROR(VLOOKUP(M1568,MgValor,2,0)*VLOOKUP(P1568,MgDeg,2,0),0)</f>
        <v/>
      </c>
      <c r="T1568" s="30">
        <f>MAX(Q1568:S1568)</f>
        <v/>
      </c>
      <c r="U1568" s="28">
        <f>IFERROR(LOOKUP(T1568,{0;0.5;1.5;3;4.5},{"Despreciable";"Bajo";"Medio";"Alto";"Muy alto"}),"")</f>
        <v/>
      </c>
      <c r="V1568" s="13">
        <f>IFERROR(INDEX(MgAmenFrec,MATCH(SUBSTITUTE($H1568,"*","-"),MgAmenClave,0)),"")</f>
        <v/>
      </c>
      <c r="W1568" s="28">
        <f>IFERROR(LOOKUP(X1568,{0;0.01;0.1;1;10;100},{"Muy baja";"Muy baja";"Baja";"Media";"Alta";"Muy alta"}),"")</f>
        <v/>
      </c>
      <c r="X1568" s="31">
        <f>IFERROR(VLOOKUP(V1568,MgFrec,2,0),0)</f>
        <v/>
      </c>
      <c r="Y1568" s="30">
        <f>T1568*X1568</f>
        <v/>
      </c>
      <c r="Z1568" s="28">
        <f>IFERROR(LOOKUP(Y1568,{0;0.5;5;25},{"Bajo";"Medio";"Alto";"Crítico"}),"")</f>
        <v/>
      </c>
      <c r="AA1568" s="64">
        <f>IF(T1568&gt;=3,IF(X1568&gt;=1,"Zona 1 — Crítica: impacto alto y ocurre al menos una vez al año","Zona 4 — Catastrófica poco probable: impacto alto pero excepcional"),IF(AND(T1568&lt;1.5,X1568&lt;1),"Zona 3 — Asumible: impacto bajo y muy poco frecuente","Zona 2 — Atención: riesgo intermedio"))</f>
        <v/>
      </c>
      <c r="AB1568" s="64">
        <f>IFERROR(INDEX(MgAmenCtrl,MATCH(SUBSTITUTE($H1568,"*","-"),MgAmenClave,0)),"")</f>
        <v/>
      </c>
      <c r="AC1568" s="20" t="n"/>
      <c r="AD1568" s="31">
        <f>IFERROR($X1568*(1-IF($AC1568="",$AL1568,VLOOKUP($AC1568,MgMad,2,0))),"")</f>
        <v/>
      </c>
      <c r="AE1568" s="28">
        <f>IFERROR(LOOKUP(AD1568,{0;0.01;0.1;1;10;100},{"Muy baja";"Muy baja";"Baja";"Media";"Alta";"Muy alta"}),"")</f>
        <v/>
      </c>
      <c r="AF1568" s="30">
        <f>T1568*AD1568</f>
        <v/>
      </c>
      <c r="AG1568" s="28">
        <f>IFERROR(LOOKUP(AF1568,{0;0.5;5;25},{"Bajo";"Medio";"Alto";"Crítico"}),"")</f>
        <v/>
      </c>
      <c r="AH1568" s="28">
        <f>IF(AG1568="","",IF(OR(AG1568="Crítico",AG1568="Alto"),"Mitigar",IF(AG1568="Medio","Mitigar","Aceptar y monitorear")))</f>
        <v/>
      </c>
      <c r="AI1568" s="21" t="n"/>
      <c r="AJ1568" s="21" t="n"/>
      <c r="AK1568" s="20" t="n"/>
      <c r="AL1568" s="77">
        <f>IFERROR(INDEX(MgAmenEfic,MATCH(SUBSTITUTE($H1568,"*","-"),MgAmenClave,0)),0)</f>
        <v/>
      </c>
    </row>
    <row r="1569" hidden="1" ht="45" customHeight="1" s="54">
      <c r="B1569" s="59" t="inlineStr">
        <is>
          <t>R-1564</t>
        </is>
      </c>
      <c r="C1569" s="59" t="inlineStr">
        <is>
          <t>FIN-25</t>
        </is>
      </c>
      <c r="D1569" s="64">
        <f>IFERROR(INDEX(MgNombre,MATCH($C1569,MgActId,0)),"")</f>
        <v/>
      </c>
      <c r="E1569" s="64">
        <f>IFERROR(INDEX(MgProceso,MATCH($C1569,MgActId,0)),"")</f>
        <v/>
      </c>
      <c r="F1569" s="64">
        <f>IFERROR(INDEX(MgTipo,MATCH($C1569,MgActId,0)),"")</f>
        <v/>
      </c>
      <c r="G1569" s="64">
        <f>IFERROR(INDEX(MgSubtipo,MATCH($C1569,MgActId,0)),"")</f>
        <v/>
      </c>
      <c r="H1569" s="59" t="inlineStr">
        <is>
          <t>I.11</t>
        </is>
      </c>
      <c r="I1569" s="64">
        <f>IFERROR(INDEX(MgAmenNombre,MATCH(SUBSTITUTE($H1569,"*","-"),MgAmenClave,0)),"")</f>
        <v/>
      </c>
      <c r="J1569" s="28">
        <f>IFERROR(INDEX(MgAmenGrupo,MATCH(SUBSTITUTE($H1569,"*","-"),MgAmenClave,0)),"")</f>
        <v/>
      </c>
      <c r="K1569" s="64">
        <f>IFERROR(INDEX('1. Matriz de Activos'!$Q$6:$Q$239,MATCH($C1569,MgActId,0)),"")</f>
        <v/>
      </c>
      <c r="L1569" s="64">
        <f>IFERROR(INDEX('1. Matriz de Activos'!$R$6:$R$239,MATCH($C1569,MgActId,0)),"")</f>
        <v/>
      </c>
      <c r="M1569" s="64">
        <f>IFERROR(INDEX('1. Matriz de Activos'!$S$6:$S$239,MATCH($C1569,MgActId,0)),"")</f>
        <v/>
      </c>
      <c r="N1569" s="28">
        <f>IFERROR(INDEX(MgAmenDegD,MATCH(SUBSTITUTE($H1569,"*","-"),MgAmenClave,0)),"No aplica")</f>
        <v/>
      </c>
      <c r="O1569" s="28">
        <f>IFERROR(INDEX(MgAmenDegI,MATCH(SUBSTITUTE($H1569,"*","-"),MgAmenClave,0)),"No aplica")</f>
        <v/>
      </c>
      <c r="P1569" s="28">
        <f>IFERROR(INDEX(MgAmenDegC,MATCH(SUBSTITUTE($H1569,"*","-"),MgAmenClave,0)),"No aplica")</f>
        <v/>
      </c>
      <c r="Q1569" s="29">
        <f>IFERROR(VLOOKUP(K1569,MgValor,2,0)*VLOOKUP(N1569,MgDeg,2,0),0)</f>
        <v/>
      </c>
      <c r="R1569" s="29">
        <f>IFERROR(VLOOKUP(L1569,MgValor,2,0)*VLOOKUP(O1569,MgDeg,2,0),0)</f>
        <v/>
      </c>
      <c r="S1569" s="29">
        <f>IFERROR(VLOOKUP(M1569,MgValor,2,0)*VLOOKUP(P1569,MgDeg,2,0),0)</f>
        <v/>
      </c>
      <c r="T1569" s="30">
        <f>MAX(Q1569:S1569)</f>
        <v/>
      </c>
      <c r="U1569" s="28">
        <f>IFERROR(LOOKUP(T1569,{0;0.5;1.5;3;4.5},{"Despreciable";"Bajo";"Medio";"Alto";"Muy alto"}),"")</f>
        <v/>
      </c>
      <c r="V1569" s="13">
        <f>IFERROR(INDEX(MgAmenFrec,MATCH(SUBSTITUTE($H1569,"*","-"),MgAmenClave,0)),"")</f>
        <v/>
      </c>
      <c r="W1569" s="28">
        <f>IFERROR(LOOKUP(X1569,{0;0.01;0.1;1;10;100},{"Muy baja";"Muy baja";"Baja";"Media";"Alta";"Muy alta"}),"")</f>
        <v/>
      </c>
      <c r="X1569" s="31">
        <f>IFERROR(VLOOKUP(V1569,MgFrec,2,0),0)</f>
        <v/>
      </c>
      <c r="Y1569" s="30">
        <f>T1569*X1569</f>
        <v/>
      </c>
      <c r="Z1569" s="28">
        <f>IFERROR(LOOKUP(Y1569,{0;0.5;5;25},{"Bajo";"Medio";"Alto";"Crítico"}),"")</f>
        <v/>
      </c>
      <c r="AA1569" s="64">
        <f>IF(T1569&gt;=3,IF(X1569&gt;=1,"Zona 1 — Crítica: impacto alto y ocurre al menos una vez al año","Zona 4 — Catastrófica poco probable: impacto alto pero excepcional"),IF(AND(T1569&lt;1.5,X1569&lt;1),"Zona 3 — Asumible: impacto bajo y muy poco frecuente","Zona 2 — Atención: riesgo intermedio"))</f>
        <v/>
      </c>
      <c r="AB1569" s="64">
        <f>IFERROR(INDEX(MgAmenCtrl,MATCH(SUBSTITUTE($H1569,"*","-"),MgAmenClave,0)),"")</f>
        <v/>
      </c>
      <c r="AC1569" s="20" t="n"/>
      <c r="AD1569" s="31">
        <f>IFERROR($X1569*(1-IF($AC1569="",$AL1569,VLOOKUP($AC1569,MgMad,2,0))),"")</f>
        <v/>
      </c>
      <c r="AE1569" s="28">
        <f>IFERROR(LOOKUP(AD1569,{0;0.01;0.1;1;10;100},{"Muy baja";"Muy baja";"Baja";"Media";"Alta";"Muy alta"}),"")</f>
        <v/>
      </c>
      <c r="AF1569" s="30">
        <f>T1569*AD1569</f>
        <v/>
      </c>
      <c r="AG1569" s="28">
        <f>IFERROR(LOOKUP(AF1569,{0;0.5;5;25},{"Bajo";"Medio";"Alto";"Crítico"}),"")</f>
        <v/>
      </c>
      <c r="AH1569" s="28">
        <f>IF(AG1569="","",IF(OR(AG1569="Crítico",AG1569="Alto"),"Mitigar",IF(AG1569="Medio","Mitigar","Aceptar y monitorear")))</f>
        <v/>
      </c>
      <c r="AI1569" s="21" t="n"/>
      <c r="AJ1569" s="21" t="n"/>
      <c r="AK1569" s="20" t="n"/>
      <c r="AL1569" s="77">
        <f>IFERROR(INDEX(MgAmenEfic,MATCH(SUBSTITUTE($H1569,"*","-"),MgAmenClave,0)),0)</f>
        <v/>
      </c>
    </row>
    <row r="1570" hidden="1" ht="120" customHeight="1" s="54">
      <c r="B1570" s="59" t="inlineStr">
        <is>
          <t>R-1565</t>
        </is>
      </c>
      <c r="C1570" s="59" t="inlineStr">
        <is>
          <t>FIN-25</t>
        </is>
      </c>
      <c r="D1570" s="64">
        <f>IFERROR(INDEX(MgNombre,MATCH($C1570,MgActId,0)),"")</f>
        <v/>
      </c>
      <c r="E1570" s="64">
        <f>IFERROR(INDEX(MgProceso,MATCH($C1570,MgActId,0)),"")</f>
        <v/>
      </c>
      <c r="F1570" s="64">
        <f>IFERROR(INDEX(MgTipo,MATCH($C1570,MgActId,0)),"")</f>
        <v/>
      </c>
      <c r="G1570" s="64">
        <f>IFERROR(INDEX(MgSubtipo,MATCH($C1570,MgActId,0)),"")</f>
        <v/>
      </c>
      <c r="H1570" s="59" t="inlineStr">
        <is>
          <t>E.2</t>
        </is>
      </c>
      <c r="I1570" s="64">
        <f>IFERROR(INDEX(MgAmenNombre,MATCH(SUBSTITUTE($H1570,"*","-"),MgAmenClave,0)),"")</f>
        <v/>
      </c>
      <c r="J1570" s="28">
        <f>IFERROR(INDEX(MgAmenGrupo,MATCH(SUBSTITUTE($H1570,"*","-"),MgAmenClave,0)),"")</f>
        <v/>
      </c>
      <c r="K1570" s="64">
        <f>IFERROR(INDEX('1. Matriz de Activos'!$Q$6:$Q$239,MATCH($C1570,MgActId,0)),"")</f>
        <v/>
      </c>
      <c r="L1570" s="64">
        <f>IFERROR(INDEX('1. Matriz de Activos'!$R$6:$R$239,MATCH($C1570,MgActId,0)),"")</f>
        <v/>
      </c>
      <c r="M1570" s="64">
        <f>IFERROR(INDEX('1. Matriz de Activos'!$S$6:$S$239,MATCH($C1570,MgActId,0)),"")</f>
        <v/>
      </c>
      <c r="N1570" s="28">
        <f>IFERROR(INDEX(MgAmenDegD,MATCH(SUBSTITUTE($H1570,"*","-"),MgAmenClave,0)),"No aplica")</f>
        <v/>
      </c>
      <c r="O1570" s="28">
        <f>IFERROR(INDEX(MgAmenDegI,MATCH(SUBSTITUTE($H1570,"*","-"),MgAmenClave,0)),"No aplica")</f>
        <v/>
      </c>
      <c r="P1570" s="28">
        <f>IFERROR(INDEX(MgAmenDegC,MATCH(SUBSTITUTE($H1570,"*","-"),MgAmenClave,0)),"No aplica")</f>
        <v/>
      </c>
      <c r="Q1570" s="29">
        <f>IFERROR(VLOOKUP(K1570,MgValor,2,0)*VLOOKUP(N1570,MgDeg,2,0),0)</f>
        <v/>
      </c>
      <c r="R1570" s="29">
        <f>IFERROR(VLOOKUP(L1570,MgValor,2,0)*VLOOKUP(O1570,MgDeg,2,0),0)</f>
        <v/>
      </c>
      <c r="S1570" s="29">
        <f>IFERROR(VLOOKUP(M1570,MgValor,2,0)*VLOOKUP(P1570,MgDeg,2,0),0)</f>
        <v/>
      </c>
      <c r="T1570" s="30">
        <f>MAX(Q1570:S1570)</f>
        <v/>
      </c>
      <c r="U1570" s="28">
        <f>IFERROR(LOOKUP(T1570,{0;0.5;1.5;3;4.5},{"Despreciable";"Bajo";"Medio";"Alto";"Muy alto"}),"")</f>
        <v/>
      </c>
      <c r="V1570" s="13">
        <f>IFERROR(INDEX(MgAmenFrec,MATCH(SUBSTITUTE($H1570,"*","-"),MgAmenClave,0)),"")</f>
        <v/>
      </c>
      <c r="W1570" s="28">
        <f>IFERROR(LOOKUP(X1570,{0;0.01;0.1;1;10;100},{"Muy baja";"Muy baja";"Baja";"Media";"Alta";"Muy alta"}),"")</f>
        <v/>
      </c>
      <c r="X1570" s="31">
        <f>IFERROR(VLOOKUP(V1570,MgFrec,2,0),0)</f>
        <v/>
      </c>
      <c r="Y1570" s="30">
        <f>T1570*X1570</f>
        <v/>
      </c>
      <c r="Z1570" s="28">
        <f>IFERROR(LOOKUP(Y1570,{0;0.5;5;25},{"Bajo";"Medio";"Alto";"Crítico"}),"")</f>
        <v/>
      </c>
      <c r="AA1570" s="64">
        <f>IF(T1570&gt;=3,IF(X1570&gt;=1,"Zona 1 — Crítica: impacto alto y ocurre al menos una vez al año","Zona 4 — Catastrófica poco probable: impacto alto pero excepcional"),IF(AND(T1570&lt;1.5,X1570&lt;1),"Zona 3 — Asumible: impacto bajo y muy poco frecuente","Zona 2 — Atención: riesgo intermedio"))</f>
        <v/>
      </c>
      <c r="AB1570" s="64">
        <f>IFERROR(INDEX(MgAmenCtrl,MATCH(SUBSTITUTE($H1570,"*","-"),MgAmenClave,0)),"")</f>
        <v/>
      </c>
      <c r="AC1570" s="20" t="n"/>
      <c r="AD1570" s="31">
        <f>IFERROR($X1570*(1-IF($AC1570="",$AL1570,VLOOKUP($AC1570,MgMad,2,0))),"")</f>
        <v/>
      </c>
      <c r="AE1570" s="28">
        <f>IFERROR(LOOKUP(AD1570,{0;0.01;0.1;1;10;100},{"Muy baja";"Muy baja";"Baja";"Media";"Alta";"Muy alta"}),"")</f>
        <v/>
      </c>
      <c r="AF1570" s="30">
        <f>T1570*AD1570</f>
        <v/>
      </c>
      <c r="AG1570" s="28">
        <f>IFERROR(LOOKUP(AF1570,{0;0.5;5;25},{"Bajo";"Medio";"Alto";"Crítico"}),"")</f>
        <v/>
      </c>
      <c r="AH1570" s="28">
        <f>IF(AG1570="","",IF(OR(AG1570="Crítico",AG1570="Alto"),"Mitigar",IF(AG1570="Medio","Mitigar","Aceptar y monitorear")))</f>
        <v/>
      </c>
      <c r="AI1570" s="21" t="n"/>
      <c r="AJ1570" s="21" t="n"/>
      <c r="AK1570" s="20" t="n"/>
      <c r="AL1570" s="77">
        <f>IFERROR(INDEX(MgAmenEfic,MATCH(SUBSTITUTE($H1570,"*","-"),MgAmenClave,0)),0)</f>
        <v/>
      </c>
    </row>
    <row r="1571" hidden="1" ht="90" customHeight="1" s="54">
      <c r="B1571" s="59" t="inlineStr">
        <is>
          <t>R-1566</t>
        </is>
      </c>
      <c r="C1571" s="59" t="inlineStr">
        <is>
          <t>FIN-25</t>
        </is>
      </c>
      <c r="D1571" s="64">
        <f>IFERROR(INDEX(MgNombre,MATCH($C1571,MgActId,0)),"")</f>
        <v/>
      </c>
      <c r="E1571" s="64">
        <f>IFERROR(INDEX(MgProceso,MATCH($C1571,MgActId,0)),"")</f>
        <v/>
      </c>
      <c r="F1571" s="64">
        <f>IFERROR(INDEX(MgTipo,MATCH($C1571,MgActId,0)),"")</f>
        <v/>
      </c>
      <c r="G1571" s="64">
        <f>IFERROR(INDEX(MgSubtipo,MATCH($C1571,MgActId,0)),"")</f>
        <v/>
      </c>
      <c r="H1571" s="59" t="inlineStr">
        <is>
          <t>E.14</t>
        </is>
      </c>
      <c r="I1571" s="64">
        <f>IFERROR(INDEX(MgAmenNombre,MATCH(SUBSTITUTE($H1571,"*","-"),MgAmenClave,0)),"")</f>
        <v/>
      </c>
      <c r="J1571" s="28">
        <f>IFERROR(INDEX(MgAmenGrupo,MATCH(SUBSTITUTE($H1571,"*","-"),MgAmenClave,0)),"")</f>
        <v/>
      </c>
      <c r="K1571" s="64">
        <f>IFERROR(INDEX('1. Matriz de Activos'!$Q$6:$Q$239,MATCH($C1571,MgActId,0)),"")</f>
        <v/>
      </c>
      <c r="L1571" s="64">
        <f>IFERROR(INDEX('1. Matriz de Activos'!$R$6:$R$239,MATCH($C1571,MgActId,0)),"")</f>
        <v/>
      </c>
      <c r="M1571" s="64">
        <f>IFERROR(INDEX('1. Matriz de Activos'!$S$6:$S$239,MATCH($C1571,MgActId,0)),"")</f>
        <v/>
      </c>
      <c r="N1571" s="28">
        <f>IFERROR(INDEX(MgAmenDegD,MATCH(SUBSTITUTE($H1571,"*","-"),MgAmenClave,0)),"No aplica")</f>
        <v/>
      </c>
      <c r="O1571" s="28">
        <f>IFERROR(INDEX(MgAmenDegI,MATCH(SUBSTITUTE($H1571,"*","-"),MgAmenClave,0)),"No aplica")</f>
        <v/>
      </c>
      <c r="P1571" s="28">
        <f>IFERROR(INDEX(MgAmenDegC,MATCH(SUBSTITUTE($H1571,"*","-"),MgAmenClave,0)),"No aplica")</f>
        <v/>
      </c>
      <c r="Q1571" s="29">
        <f>IFERROR(VLOOKUP(K1571,MgValor,2,0)*VLOOKUP(N1571,MgDeg,2,0),0)</f>
        <v/>
      </c>
      <c r="R1571" s="29">
        <f>IFERROR(VLOOKUP(L1571,MgValor,2,0)*VLOOKUP(O1571,MgDeg,2,0),0)</f>
        <v/>
      </c>
      <c r="S1571" s="29">
        <f>IFERROR(VLOOKUP(M1571,MgValor,2,0)*VLOOKUP(P1571,MgDeg,2,0),0)</f>
        <v/>
      </c>
      <c r="T1571" s="30">
        <f>MAX(Q1571:S1571)</f>
        <v/>
      </c>
      <c r="U1571" s="28">
        <f>IFERROR(LOOKUP(T1571,{0;0.5;1.5;3;4.5},{"Despreciable";"Bajo";"Medio";"Alto";"Muy alto"}),"")</f>
        <v/>
      </c>
      <c r="V1571" s="13">
        <f>IFERROR(INDEX(MgAmenFrec,MATCH(SUBSTITUTE($H1571,"*","-"),MgAmenClave,0)),"")</f>
        <v/>
      </c>
      <c r="W1571" s="28">
        <f>IFERROR(LOOKUP(X1571,{0;0.01;0.1;1;10;100},{"Muy baja";"Muy baja";"Baja";"Media";"Alta";"Muy alta"}),"")</f>
        <v/>
      </c>
      <c r="X1571" s="31">
        <f>IFERROR(VLOOKUP(V1571,MgFrec,2,0),0)</f>
        <v/>
      </c>
      <c r="Y1571" s="30">
        <f>T1571*X1571</f>
        <v/>
      </c>
      <c r="Z1571" s="28">
        <f>IFERROR(LOOKUP(Y1571,{0;0.5;5;25},{"Bajo";"Medio";"Alto";"Crítico"}),"")</f>
        <v/>
      </c>
      <c r="AA1571" s="64">
        <f>IF(T1571&gt;=3,IF(X1571&gt;=1,"Zona 1 — Crítica: impacto alto y ocurre al menos una vez al año","Zona 4 — Catastrófica poco probable: impacto alto pero excepcional"),IF(AND(T1571&lt;1.5,X1571&lt;1),"Zona 3 — Asumible: impacto bajo y muy poco frecuente","Zona 2 — Atención: riesgo intermedio"))</f>
        <v/>
      </c>
      <c r="AB1571" s="64">
        <f>IFERROR(INDEX(MgAmenCtrl,MATCH(SUBSTITUTE($H1571,"*","-"),MgAmenClave,0)),"")</f>
        <v/>
      </c>
      <c r="AC1571" s="20" t="n"/>
      <c r="AD1571" s="31">
        <f>IFERROR($X1571*(1-IF($AC1571="",$AL1571,VLOOKUP($AC1571,MgMad,2,0))),"")</f>
        <v/>
      </c>
      <c r="AE1571" s="28">
        <f>IFERROR(LOOKUP(AD1571,{0;0.01;0.1;1;10;100},{"Muy baja";"Muy baja";"Baja";"Media";"Alta";"Muy alta"}),"")</f>
        <v/>
      </c>
      <c r="AF1571" s="30">
        <f>T1571*AD1571</f>
        <v/>
      </c>
      <c r="AG1571" s="28">
        <f>IFERROR(LOOKUP(AF1571,{0;0.5;5;25},{"Bajo";"Medio";"Alto";"Crítico"}),"")</f>
        <v/>
      </c>
      <c r="AH1571" s="28">
        <f>IF(AG1571="","",IF(OR(AG1571="Crítico",AG1571="Alto"),"Mitigar",IF(AG1571="Medio","Mitigar","Aceptar y monitorear")))</f>
        <v/>
      </c>
      <c r="AI1571" s="21" t="n"/>
      <c r="AJ1571" s="21" t="n"/>
      <c r="AK1571" s="20" t="n"/>
      <c r="AL1571" s="77">
        <f>IFERROR(INDEX(MgAmenEfic,MATCH(SUBSTITUTE($H1571,"*","-"),MgAmenClave,0)),0)</f>
        <v/>
      </c>
    </row>
    <row r="1572" hidden="1" ht="105" customHeight="1" s="54">
      <c r="B1572" s="59" t="inlineStr">
        <is>
          <t>R-1567</t>
        </is>
      </c>
      <c r="C1572" s="59" t="inlineStr">
        <is>
          <t>FIN-25</t>
        </is>
      </c>
      <c r="D1572" s="64">
        <f>IFERROR(INDEX(MgNombre,MATCH($C1572,MgActId,0)),"")</f>
        <v/>
      </c>
      <c r="E1572" s="64">
        <f>IFERROR(INDEX(MgProceso,MATCH($C1572,MgActId,0)),"")</f>
        <v/>
      </c>
      <c r="F1572" s="64">
        <f>IFERROR(INDEX(MgTipo,MATCH($C1572,MgActId,0)),"")</f>
        <v/>
      </c>
      <c r="G1572" s="64">
        <f>IFERROR(INDEX(MgSubtipo,MATCH($C1572,MgActId,0)),"")</f>
        <v/>
      </c>
      <c r="H1572" s="59" t="inlineStr">
        <is>
          <t>E.19</t>
        </is>
      </c>
      <c r="I1572" s="64">
        <f>IFERROR(INDEX(MgAmenNombre,MATCH(SUBSTITUTE($H1572,"*","-"),MgAmenClave,0)),"")</f>
        <v/>
      </c>
      <c r="J1572" s="28">
        <f>IFERROR(INDEX(MgAmenGrupo,MATCH(SUBSTITUTE($H1572,"*","-"),MgAmenClave,0)),"")</f>
        <v/>
      </c>
      <c r="K1572" s="64">
        <f>IFERROR(INDEX('1. Matriz de Activos'!$Q$6:$Q$239,MATCH($C1572,MgActId,0)),"")</f>
        <v/>
      </c>
      <c r="L1572" s="64">
        <f>IFERROR(INDEX('1. Matriz de Activos'!$R$6:$R$239,MATCH($C1572,MgActId,0)),"")</f>
        <v/>
      </c>
      <c r="M1572" s="64">
        <f>IFERROR(INDEX('1. Matriz de Activos'!$S$6:$S$239,MATCH($C1572,MgActId,0)),"")</f>
        <v/>
      </c>
      <c r="N1572" s="28">
        <f>IFERROR(INDEX(MgAmenDegD,MATCH(SUBSTITUTE($H1572,"*","-"),MgAmenClave,0)),"No aplica")</f>
        <v/>
      </c>
      <c r="O1572" s="28">
        <f>IFERROR(INDEX(MgAmenDegI,MATCH(SUBSTITUTE($H1572,"*","-"),MgAmenClave,0)),"No aplica")</f>
        <v/>
      </c>
      <c r="P1572" s="28">
        <f>IFERROR(INDEX(MgAmenDegC,MATCH(SUBSTITUTE($H1572,"*","-"),MgAmenClave,0)),"No aplica")</f>
        <v/>
      </c>
      <c r="Q1572" s="29">
        <f>IFERROR(VLOOKUP(K1572,MgValor,2,0)*VLOOKUP(N1572,MgDeg,2,0),0)</f>
        <v/>
      </c>
      <c r="R1572" s="29">
        <f>IFERROR(VLOOKUP(L1572,MgValor,2,0)*VLOOKUP(O1572,MgDeg,2,0),0)</f>
        <v/>
      </c>
      <c r="S1572" s="29">
        <f>IFERROR(VLOOKUP(M1572,MgValor,2,0)*VLOOKUP(P1572,MgDeg,2,0),0)</f>
        <v/>
      </c>
      <c r="T1572" s="30">
        <f>MAX(Q1572:S1572)</f>
        <v/>
      </c>
      <c r="U1572" s="28">
        <f>IFERROR(LOOKUP(T1572,{0;0.5;1.5;3;4.5},{"Despreciable";"Bajo";"Medio";"Alto";"Muy alto"}),"")</f>
        <v/>
      </c>
      <c r="V1572" s="13">
        <f>IFERROR(INDEX(MgAmenFrec,MATCH(SUBSTITUTE($H1572,"*","-"),MgAmenClave,0)),"")</f>
        <v/>
      </c>
      <c r="W1572" s="28">
        <f>IFERROR(LOOKUP(X1572,{0;0.01;0.1;1;10;100},{"Muy baja";"Muy baja";"Baja";"Media";"Alta";"Muy alta"}),"")</f>
        <v/>
      </c>
      <c r="X1572" s="31">
        <f>IFERROR(VLOOKUP(V1572,MgFrec,2,0),0)</f>
        <v/>
      </c>
      <c r="Y1572" s="30">
        <f>T1572*X1572</f>
        <v/>
      </c>
      <c r="Z1572" s="28">
        <f>IFERROR(LOOKUP(Y1572,{0;0.5;5;25},{"Bajo";"Medio";"Alto";"Crítico"}),"")</f>
        <v/>
      </c>
      <c r="AA1572" s="64">
        <f>IF(T1572&gt;=3,IF(X1572&gt;=1,"Zona 1 — Crítica: impacto alto y ocurre al menos una vez al año","Zona 4 — Catastrófica poco probable: impacto alto pero excepcional"),IF(AND(T1572&lt;1.5,X1572&lt;1),"Zona 3 — Asumible: impacto bajo y muy poco frecuente","Zona 2 — Atención: riesgo intermedio"))</f>
        <v/>
      </c>
      <c r="AB1572" s="64">
        <f>IFERROR(INDEX(MgAmenCtrl,MATCH(SUBSTITUTE($H1572,"*","-"),MgAmenClave,0)),"")</f>
        <v/>
      </c>
      <c r="AC1572" s="20" t="n"/>
      <c r="AD1572" s="31">
        <f>IFERROR($X1572*(1-IF($AC1572="",$AL1572,VLOOKUP($AC1572,MgMad,2,0))),"")</f>
        <v/>
      </c>
      <c r="AE1572" s="28">
        <f>IFERROR(LOOKUP(AD1572,{0;0.01;0.1;1;10;100},{"Muy baja";"Muy baja";"Baja";"Media";"Alta";"Muy alta"}),"")</f>
        <v/>
      </c>
      <c r="AF1572" s="30">
        <f>T1572*AD1572</f>
        <v/>
      </c>
      <c r="AG1572" s="28">
        <f>IFERROR(LOOKUP(AF1572,{0;0.5;5;25},{"Bajo";"Medio";"Alto";"Crítico"}),"")</f>
        <v/>
      </c>
      <c r="AH1572" s="28">
        <f>IF(AG1572="","",IF(OR(AG1572="Crítico",AG1572="Alto"),"Mitigar",IF(AG1572="Medio","Mitigar","Aceptar y monitorear")))</f>
        <v/>
      </c>
      <c r="AI1572" s="21" t="n"/>
      <c r="AJ1572" s="21" t="n"/>
      <c r="AK1572" s="20" t="n"/>
      <c r="AL1572" s="77">
        <f>IFERROR(INDEX(MgAmenEfic,MATCH(SUBSTITUTE($H1572,"*","-"),MgAmenClave,0)),0)</f>
        <v/>
      </c>
    </row>
    <row r="1573" hidden="1" ht="45" customHeight="1" s="54">
      <c r="B1573" s="59" t="inlineStr">
        <is>
          <t>R-1568</t>
        </is>
      </c>
      <c r="C1573" s="59" t="inlineStr">
        <is>
          <t>FIN-25</t>
        </is>
      </c>
      <c r="D1573" s="64">
        <f>IFERROR(INDEX(MgNombre,MATCH($C1573,MgActId,0)),"")</f>
        <v/>
      </c>
      <c r="E1573" s="64">
        <f>IFERROR(INDEX(MgProceso,MATCH($C1573,MgActId,0)),"")</f>
        <v/>
      </c>
      <c r="F1573" s="64">
        <f>IFERROR(INDEX(MgTipo,MATCH($C1573,MgActId,0)),"")</f>
        <v/>
      </c>
      <c r="G1573" s="64">
        <f>IFERROR(INDEX(MgSubtipo,MATCH($C1573,MgActId,0)),"")</f>
        <v/>
      </c>
      <c r="H1573" s="59" t="inlineStr">
        <is>
          <t>E.23</t>
        </is>
      </c>
      <c r="I1573" s="64">
        <f>IFERROR(INDEX(MgAmenNombre,MATCH(SUBSTITUTE($H1573,"*","-"),MgAmenClave,0)),"")</f>
        <v/>
      </c>
      <c r="J1573" s="28">
        <f>IFERROR(INDEX(MgAmenGrupo,MATCH(SUBSTITUTE($H1573,"*","-"),MgAmenClave,0)),"")</f>
        <v/>
      </c>
      <c r="K1573" s="64">
        <f>IFERROR(INDEX('1. Matriz de Activos'!$Q$6:$Q$239,MATCH($C1573,MgActId,0)),"")</f>
        <v/>
      </c>
      <c r="L1573" s="64">
        <f>IFERROR(INDEX('1. Matriz de Activos'!$R$6:$R$239,MATCH($C1573,MgActId,0)),"")</f>
        <v/>
      </c>
      <c r="M1573" s="64">
        <f>IFERROR(INDEX('1. Matriz de Activos'!$S$6:$S$239,MATCH($C1573,MgActId,0)),"")</f>
        <v/>
      </c>
      <c r="N1573" s="28">
        <f>IFERROR(INDEX(MgAmenDegD,MATCH(SUBSTITUTE($H1573,"*","-"),MgAmenClave,0)),"No aplica")</f>
        <v/>
      </c>
      <c r="O1573" s="28">
        <f>IFERROR(INDEX(MgAmenDegI,MATCH(SUBSTITUTE($H1573,"*","-"),MgAmenClave,0)),"No aplica")</f>
        <v/>
      </c>
      <c r="P1573" s="28">
        <f>IFERROR(INDEX(MgAmenDegC,MATCH(SUBSTITUTE($H1573,"*","-"),MgAmenClave,0)),"No aplica")</f>
        <v/>
      </c>
      <c r="Q1573" s="29">
        <f>IFERROR(VLOOKUP(K1573,MgValor,2,0)*VLOOKUP(N1573,MgDeg,2,0),0)</f>
        <v/>
      </c>
      <c r="R1573" s="29">
        <f>IFERROR(VLOOKUP(L1573,MgValor,2,0)*VLOOKUP(O1573,MgDeg,2,0),0)</f>
        <v/>
      </c>
      <c r="S1573" s="29">
        <f>IFERROR(VLOOKUP(M1573,MgValor,2,0)*VLOOKUP(P1573,MgDeg,2,0),0)</f>
        <v/>
      </c>
      <c r="T1573" s="30">
        <f>MAX(Q1573:S1573)</f>
        <v/>
      </c>
      <c r="U1573" s="28">
        <f>IFERROR(LOOKUP(T1573,{0;0.5;1.5;3;4.5},{"Despreciable";"Bajo";"Medio";"Alto";"Muy alto"}),"")</f>
        <v/>
      </c>
      <c r="V1573" s="13">
        <f>IFERROR(INDEX(MgAmenFrec,MATCH(SUBSTITUTE($H1573,"*","-"),MgAmenClave,0)),"")</f>
        <v/>
      </c>
      <c r="W1573" s="28">
        <f>IFERROR(LOOKUP(X1573,{0;0.01;0.1;1;10;100},{"Muy baja";"Muy baja";"Baja";"Media";"Alta";"Muy alta"}),"")</f>
        <v/>
      </c>
      <c r="X1573" s="31">
        <f>IFERROR(VLOOKUP(V1573,MgFrec,2,0),0)</f>
        <v/>
      </c>
      <c r="Y1573" s="30">
        <f>T1573*X1573</f>
        <v/>
      </c>
      <c r="Z1573" s="28">
        <f>IFERROR(LOOKUP(Y1573,{0;0.5;5;25},{"Bajo";"Medio";"Alto";"Crítico"}),"")</f>
        <v/>
      </c>
      <c r="AA1573" s="64">
        <f>IF(T1573&gt;=3,IF(X1573&gt;=1,"Zona 1 — Crítica: impacto alto y ocurre al menos una vez al año","Zona 4 — Catastrófica poco probable: impacto alto pero excepcional"),IF(AND(T1573&lt;1.5,X1573&lt;1),"Zona 3 — Asumible: impacto bajo y muy poco frecuente","Zona 2 — Atención: riesgo intermedio"))</f>
        <v/>
      </c>
      <c r="AB1573" s="64">
        <f>IFERROR(INDEX(MgAmenCtrl,MATCH(SUBSTITUTE($H1573,"*","-"),MgAmenClave,0)),"")</f>
        <v/>
      </c>
      <c r="AC1573" s="20" t="n"/>
      <c r="AD1573" s="31">
        <f>IFERROR($X1573*(1-IF($AC1573="",$AL1573,VLOOKUP($AC1573,MgMad,2,0))),"")</f>
        <v/>
      </c>
      <c r="AE1573" s="28">
        <f>IFERROR(LOOKUP(AD1573,{0;0.01;0.1;1;10;100},{"Muy baja";"Muy baja";"Baja";"Media";"Alta";"Muy alta"}),"")</f>
        <v/>
      </c>
      <c r="AF1573" s="30">
        <f>T1573*AD1573</f>
        <v/>
      </c>
      <c r="AG1573" s="28">
        <f>IFERROR(LOOKUP(AF1573,{0;0.5;5;25},{"Bajo";"Medio";"Alto";"Crítico"}),"")</f>
        <v/>
      </c>
      <c r="AH1573" s="28">
        <f>IF(AG1573="","",IF(OR(AG1573="Crítico",AG1573="Alto"),"Mitigar",IF(AG1573="Medio","Mitigar","Aceptar y monitorear")))</f>
        <v/>
      </c>
      <c r="AI1573" s="21" t="n"/>
      <c r="AJ1573" s="21" t="n"/>
      <c r="AK1573" s="20" t="n"/>
      <c r="AL1573" s="77">
        <f>IFERROR(INDEX(MgAmenEfic,MATCH(SUBSTITUTE($H1573,"*","-"),MgAmenClave,0)),0)</f>
        <v/>
      </c>
    </row>
    <row r="1574" hidden="1" ht="45" customHeight="1" s="54">
      <c r="B1574" s="59" t="inlineStr">
        <is>
          <t>R-1569</t>
        </is>
      </c>
      <c r="C1574" s="59" t="inlineStr">
        <is>
          <t>FIN-25</t>
        </is>
      </c>
      <c r="D1574" s="64">
        <f>IFERROR(INDEX(MgNombre,MATCH($C1574,MgActId,0)),"")</f>
        <v/>
      </c>
      <c r="E1574" s="64">
        <f>IFERROR(INDEX(MgProceso,MATCH($C1574,MgActId,0)),"")</f>
        <v/>
      </c>
      <c r="F1574" s="64">
        <f>IFERROR(INDEX(MgTipo,MATCH($C1574,MgActId,0)),"")</f>
        <v/>
      </c>
      <c r="G1574" s="64">
        <f>IFERROR(INDEX(MgSubtipo,MATCH($C1574,MgActId,0)),"")</f>
        <v/>
      </c>
      <c r="H1574" s="59" t="inlineStr">
        <is>
          <t>E.24</t>
        </is>
      </c>
      <c r="I1574" s="64">
        <f>IFERROR(INDEX(MgAmenNombre,MATCH(SUBSTITUTE($H1574,"*","-"),MgAmenClave,0)),"")</f>
        <v/>
      </c>
      <c r="J1574" s="28">
        <f>IFERROR(INDEX(MgAmenGrupo,MATCH(SUBSTITUTE($H1574,"*","-"),MgAmenClave,0)),"")</f>
        <v/>
      </c>
      <c r="K1574" s="64">
        <f>IFERROR(INDEX('1. Matriz de Activos'!$Q$6:$Q$239,MATCH($C1574,MgActId,0)),"")</f>
        <v/>
      </c>
      <c r="L1574" s="64">
        <f>IFERROR(INDEX('1. Matriz de Activos'!$R$6:$R$239,MATCH($C1574,MgActId,0)),"")</f>
        <v/>
      </c>
      <c r="M1574" s="64">
        <f>IFERROR(INDEX('1. Matriz de Activos'!$S$6:$S$239,MATCH($C1574,MgActId,0)),"")</f>
        <v/>
      </c>
      <c r="N1574" s="28">
        <f>IFERROR(INDEX(MgAmenDegD,MATCH(SUBSTITUTE($H1574,"*","-"),MgAmenClave,0)),"No aplica")</f>
        <v/>
      </c>
      <c r="O1574" s="28">
        <f>IFERROR(INDEX(MgAmenDegI,MATCH(SUBSTITUTE($H1574,"*","-"),MgAmenClave,0)),"No aplica")</f>
        <v/>
      </c>
      <c r="P1574" s="28">
        <f>IFERROR(INDEX(MgAmenDegC,MATCH(SUBSTITUTE($H1574,"*","-"),MgAmenClave,0)),"No aplica")</f>
        <v/>
      </c>
      <c r="Q1574" s="29">
        <f>IFERROR(VLOOKUP(K1574,MgValor,2,0)*VLOOKUP(N1574,MgDeg,2,0),0)</f>
        <v/>
      </c>
      <c r="R1574" s="29">
        <f>IFERROR(VLOOKUP(L1574,MgValor,2,0)*VLOOKUP(O1574,MgDeg,2,0),0)</f>
        <v/>
      </c>
      <c r="S1574" s="29">
        <f>IFERROR(VLOOKUP(M1574,MgValor,2,0)*VLOOKUP(P1574,MgDeg,2,0),0)</f>
        <v/>
      </c>
      <c r="T1574" s="30">
        <f>MAX(Q1574:S1574)</f>
        <v/>
      </c>
      <c r="U1574" s="28">
        <f>IFERROR(LOOKUP(T1574,{0;0.5;1.5;3;4.5},{"Despreciable";"Bajo";"Medio";"Alto";"Muy alto"}),"")</f>
        <v/>
      </c>
      <c r="V1574" s="13">
        <f>IFERROR(INDEX(MgAmenFrec,MATCH(SUBSTITUTE($H1574,"*","-"),MgAmenClave,0)),"")</f>
        <v/>
      </c>
      <c r="W1574" s="28">
        <f>IFERROR(LOOKUP(X1574,{0;0.01;0.1;1;10;100},{"Muy baja";"Muy baja";"Baja";"Media";"Alta";"Muy alta"}),"")</f>
        <v/>
      </c>
      <c r="X1574" s="31">
        <f>IFERROR(VLOOKUP(V1574,MgFrec,2,0),0)</f>
        <v/>
      </c>
      <c r="Y1574" s="30">
        <f>T1574*X1574</f>
        <v/>
      </c>
      <c r="Z1574" s="28">
        <f>IFERROR(LOOKUP(Y1574,{0;0.5;5;25},{"Bajo";"Medio";"Alto";"Crítico"}),"")</f>
        <v/>
      </c>
      <c r="AA1574" s="64">
        <f>IF(T1574&gt;=3,IF(X1574&gt;=1,"Zona 1 — Crítica: impacto alto y ocurre al menos una vez al año","Zona 4 — Catastrófica poco probable: impacto alto pero excepcional"),IF(AND(T1574&lt;1.5,X1574&lt;1),"Zona 3 — Asumible: impacto bajo y muy poco frecuente","Zona 2 — Atención: riesgo intermedio"))</f>
        <v/>
      </c>
      <c r="AB1574" s="64">
        <f>IFERROR(INDEX(MgAmenCtrl,MATCH(SUBSTITUTE($H1574,"*","-"),MgAmenClave,0)),"")</f>
        <v/>
      </c>
      <c r="AC1574" s="20" t="n"/>
      <c r="AD1574" s="31">
        <f>IFERROR($X1574*(1-IF($AC1574="",$AL1574,VLOOKUP($AC1574,MgMad,2,0))),"")</f>
        <v/>
      </c>
      <c r="AE1574" s="28">
        <f>IFERROR(LOOKUP(AD1574,{0;0.01;0.1;1;10;100},{"Muy baja";"Muy baja";"Baja";"Media";"Alta";"Muy alta"}),"")</f>
        <v/>
      </c>
      <c r="AF1574" s="30">
        <f>T1574*AD1574</f>
        <v/>
      </c>
      <c r="AG1574" s="28">
        <f>IFERROR(LOOKUP(AF1574,{0;0.5;5;25},{"Bajo";"Medio";"Alto";"Crítico"}),"")</f>
        <v/>
      </c>
      <c r="AH1574" s="28">
        <f>IF(AG1574="","",IF(OR(AG1574="Crítico",AG1574="Alto"),"Mitigar",IF(AG1574="Medio","Mitigar","Aceptar y monitorear")))</f>
        <v/>
      </c>
      <c r="AI1574" s="21" t="n"/>
      <c r="AJ1574" s="21" t="n"/>
      <c r="AK1574" s="20" t="n"/>
      <c r="AL1574" s="77">
        <f>IFERROR(INDEX(MgAmenEfic,MATCH(SUBSTITUTE($H1574,"*","-"),MgAmenClave,0)),0)</f>
        <v/>
      </c>
    </row>
    <row r="1575" hidden="1" ht="75" customHeight="1" s="54">
      <c r="B1575" s="59" t="inlineStr">
        <is>
          <t>R-1570</t>
        </is>
      </c>
      <c r="C1575" s="59" t="inlineStr">
        <is>
          <t>FIN-25</t>
        </is>
      </c>
      <c r="D1575" s="64">
        <f>IFERROR(INDEX(MgNombre,MATCH($C1575,MgActId,0)),"")</f>
        <v/>
      </c>
      <c r="E1575" s="64">
        <f>IFERROR(INDEX(MgProceso,MATCH($C1575,MgActId,0)),"")</f>
        <v/>
      </c>
      <c r="F1575" s="64">
        <f>IFERROR(INDEX(MgTipo,MATCH($C1575,MgActId,0)),"")</f>
        <v/>
      </c>
      <c r="G1575" s="64">
        <f>IFERROR(INDEX(MgSubtipo,MATCH($C1575,MgActId,0)),"")</f>
        <v/>
      </c>
      <c r="H1575" s="59" t="inlineStr">
        <is>
          <t>E.25</t>
        </is>
      </c>
      <c r="I1575" s="64">
        <f>IFERROR(INDEX(MgAmenNombre,MATCH(SUBSTITUTE($H1575,"*","-"),MgAmenClave,0)),"")</f>
        <v/>
      </c>
      <c r="J1575" s="28">
        <f>IFERROR(INDEX(MgAmenGrupo,MATCH(SUBSTITUTE($H1575,"*","-"),MgAmenClave,0)),"")</f>
        <v/>
      </c>
      <c r="K1575" s="64">
        <f>IFERROR(INDEX('1. Matriz de Activos'!$Q$6:$Q$239,MATCH($C1575,MgActId,0)),"")</f>
        <v/>
      </c>
      <c r="L1575" s="64">
        <f>IFERROR(INDEX('1. Matriz de Activos'!$R$6:$R$239,MATCH($C1575,MgActId,0)),"")</f>
        <v/>
      </c>
      <c r="M1575" s="64">
        <f>IFERROR(INDEX('1. Matriz de Activos'!$S$6:$S$239,MATCH($C1575,MgActId,0)),"")</f>
        <v/>
      </c>
      <c r="N1575" s="28">
        <f>IFERROR(INDEX(MgAmenDegD,MATCH(SUBSTITUTE($H1575,"*","-"),MgAmenClave,0)),"No aplica")</f>
        <v/>
      </c>
      <c r="O1575" s="28">
        <f>IFERROR(INDEX(MgAmenDegI,MATCH(SUBSTITUTE($H1575,"*","-"),MgAmenClave,0)),"No aplica")</f>
        <v/>
      </c>
      <c r="P1575" s="28">
        <f>IFERROR(INDEX(MgAmenDegC,MATCH(SUBSTITUTE($H1575,"*","-"),MgAmenClave,0)),"No aplica")</f>
        <v/>
      </c>
      <c r="Q1575" s="29">
        <f>IFERROR(VLOOKUP(K1575,MgValor,2,0)*VLOOKUP(N1575,MgDeg,2,0),0)</f>
        <v/>
      </c>
      <c r="R1575" s="29">
        <f>IFERROR(VLOOKUP(L1575,MgValor,2,0)*VLOOKUP(O1575,MgDeg,2,0),0)</f>
        <v/>
      </c>
      <c r="S1575" s="29">
        <f>IFERROR(VLOOKUP(M1575,MgValor,2,0)*VLOOKUP(P1575,MgDeg,2,0),0)</f>
        <v/>
      </c>
      <c r="T1575" s="30">
        <f>MAX(Q1575:S1575)</f>
        <v/>
      </c>
      <c r="U1575" s="28">
        <f>IFERROR(LOOKUP(T1575,{0;0.5;1.5;3;4.5},{"Despreciable";"Bajo";"Medio";"Alto";"Muy alto"}),"")</f>
        <v/>
      </c>
      <c r="V1575" s="13">
        <f>IFERROR(INDEX(MgAmenFrec,MATCH(SUBSTITUTE($H1575,"*","-"),MgAmenClave,0)),"")</f>
        <v/>
      </c>
      <c r="W1575" s="28">
        <f>IFERROR(LOOKUP(X1575,{0;0.01;0.1;1;10;100},{"Muy baja";"Muy baja";"Baja";"Media";"Alta";"Muy alta"}),"")</f>
        <v/>
      </c>
      <c r="X1575" s="31">
        <f>IFERROR(VLOOKUP(V1575,MgFrec,2,0),0)</f>
        <v/>
      </c>
      <c r="Y1575" s="30">
        <f>T1575*X1575</f>
        <v/>
      </c>
      <c r="Z1575" s="28">
        <f>IFERROR(LOOKUP(Y1575,{0;0.5;5;25},{"Bajo";"Medio";"Alto";"Crítico"}),"")</f>
        <v/>
      </c>
      <c r="AA1575" s="64">
        <f>IF(T1575&gt;=3,IF(X1575&gt;=1,"Zona 1 — Crítica: impacto alto y ocurre al menos una vez al año","Zona 4 — Catastrófica poco probable: impacto alto pero excepcional"),IF(AND(T1575&lt;1.5,X1575&lt;1),"Zona 3 — Asumible: impacto bajo y muy poco frecuente","Zona 2 — Atención: riesgo intermedio"))</f>
        <v/>
      </c>
      <c r="AB1575" s="64">
        <f>IFERROR(INDEX(MgAmenCtrl,MATCH(SUBSTITUTE($H1575,"*","-"),MgAmenClave,0)),"")</f>
        <v/>
      </c>
      <c r="AC1575" s="20" t="n"/>
      <c r="AD1575" s="31">
        <f>IFERROR($X1575*(1-IF($AC1575="",$AL1575,VLOOKUP($AC1575,MgMad,2,0))),"")</f>
        <v/>
      </c>
      <c r="AE1575" s="28">
        <f>IFERROR(LOOKUP(AD1575,{0;0.01;0.1;1;10;100},{"Muy baja";"Muy baja";"Baja";"Media";"Alta";"Muy alta"}),"")</f>
        <v/>
      </c>
      <c r="AF1575" s="30">
        <f>T1575*AD1575</f>
        <v/>
      </c>
      <c r="AG1575" s="28">
        <f>IFERROR(LOOKUP(AF1575,{0;0.5;5;25},{"Bajo";"Medio";"Alto";"Crítico"}),"")</f>
        <v/>
      </c>
      <c r="AH1575" s="28">
        <f>IF(AG1575="","",IF(OR(AG1575="Crítico",AG1575="Alto"),"Mitigar",IF(AG1575="Medio","Mitigar","Aceptar y monitorear")))</f>
        <v/>
      </c>
      <c r="AI1575" s="21" t="n"/>
      <c r="AJ1575" s="21" t="n"/>
      <c r="AK1575" s="20" t="n"/>
      <c r="AL1575" s="77">
        <f>IFERROR(INDEX(MgAmenEfic,MATCH(SUBSTITUTE($H1575,"*","-"),MgAmenClave,0)),0)</f>
        <v/>
      </c>
    </row>
    <row r="1576" hidden="1" ht="105" customHeight="1" s="54">
      <c r="B1576" s="59" t="inlineStr">
        <is>
          <t>R-1571</t>
        </is>
      </c>
      <c r="C1576" s="59" t="inlineStr">
        <is>
          <t>FIN-25</t>
        </is>
      </c>
      <c r="D1576" s="64">
        <f>IFERROR(INDEX(MgNombre,MATCH($C1576,MgActId,0)),"")</f>
        <v/>
      </c>
      <c r="E1576" s="64">
        <f>IFERROR(INDEX(MgProceso,MATCH($C1576,MgActId,0)),"")</f>
        <v/>
      </c>
      <c r="F1576" s="64">
        <f>IFERROR(INDEX(MgTipo,MATCH($C1576,MgActId,0)),"")</f>
        <v/>
      </c>
      <c r="G1576" s="64">
        <f>IFERROR(INDEX(MgSubtipo,MATCH($C1576,MgActId,0)),"")</f>
        <v/>
      </c>
      <c r="H1576" s="59" t="inlineStr">
        <is>
          <t>A.6</t>
        </is>
      </c>
      <c r="I1576" s="64">
        <f>IFERROR(INDEX(MgAmenNombre,MATCH(SUBSTITUTE($H1576,"*","-"),MgAmenClave,0)),"")</f>
        <v/>
      </c>
      <c r="J1576" s="28">
        <f>IFERROR(INDEX(MgAmenGrupo,MATCH(SUBSTITUTE($H1576,"*","-"),MgAmenClave,0)),"")</f>
        <v/>
      </c>
      <c r="K1576" s="64">
        <f>IFERROR(INDEX('1. Matriz de Activos'!$Q$6:$Q$239,MATCH($C1576,MgActId,0)),"")</f>
        <v/>
      </c>
      <c r="L1576" s="64">
        <f>IFERROR(INDEX('1. Matriz de Activos'!$R$6:$R$239,MATCH($C1576,MgActId,0)),"")</f>
        <v/>
      </c>
      <c r="M1576" s="64">
        <f>IFERROR(INDEX('1. Matriz de Activos'!$S$6:$S$239,MATCH($C1576,MgActId,0)),"")</f>
        <v/>
      </c>
      <c r="N1576" s="28">
        <f>IFERROR(INDEX(MgAmenDegD,MATCH(SUBSTITUTE($H1576,"*","-"),MgAmenClave,0)),"No aplica")</f>
        <v/>
      </c>
      <c r="O1576" s="28">
        <f>IFERROR(INDEX(MgAmenDegI,MATCH(SUBSTITUTE($H1576,"*","-"),MgAmenClave,0)),"No aplica")</f>
        <v/>
      </c>
      <c r="P1576" s="28">
        <f>IFERROR(INDEX(MgAmenDegC,MATCH(SUBSTITUTE($H1576,"*","-"),MgAmenClave,0)),"No aplica")</f>
        <v/>
      </c>
      <c r="Q1576" s="29">
        <f>IFERROR(VLOOKUP(K1576,MgValor,2,0)*VLOOKUP(N1576,MgDeg,2,0),0)</f>
        <v/>
      </c>
      <c r="R1576" s="29">
        <f>IFERROR(VLOOKUP(L1576,MgValor,2,0)*VLOOKUP(O1576,MgDeg,2,0),0)</f>
        <v/>
      </c>
      <c r="S1576" s="29">
        <f>IFERROR(VLOOKUP(M1576,MgValor,2,0)*VLOOKUP(P1576,MgDeg,2,0),0)</f>
        <v/>
      </c>
      <c r="T1576" s="30">
        <f>MAX(Q1576:S1576)</f>
        <v/>
      </c>
      <c r="U1576" s="28">
        <f>IFERROR(LOOKUP(T1576,{0;0.5;1.5;3;4.5},{"Despreciable";"Bajo";"Medio";"Alto";"Muy alto"}),"")</f>
        <v/>
      </c>
      <c r="V1576" s="13">
        <f>IFERROR(INDEX(MgAmenFrec,MATCH(SUBSTITUTE($H1576,"*","-"),MgAmenClave,0)),"")</f>
        <v/>
      </c>
      <c r="W1576" s="28">
        <f>IFERROR(LOOKUP(X1576,{0;0.01;0.1;1;10;100},{"Muy baja";"Muy baja";"Baja";"Media";"Alta";"Muy alta"}),"")</f>
        <v/>
      </c>
      <c r="X1576" s="31">
        <f>IFERROR(VLOOKUP(V1576,MgFrec,2,0),0)</f>
        <v/>
      </c>
      <c r="Y1576" s="30">
        <f>T1576*X1576</f>
        <v/>
      </c>
      <c r="Z1576" s="28">
        <f>IFERROR(LOOKUP(Y1576,{0;0.5;5;25},{"Bajo";"Medio";"Alto";"Crítico"}),"")</f>
        <v/>
      </c>
      <c r="AA1576" s="64">
        <f>IF(T1576&gt;=3,IF(X1576&gt;=1,"Zona 1 — Crítica: impacto alto y ocurre al menos una vez al año","Zona 4 — Catastrófica poco probable: impacto alto pero excepcional"),IF(AND(T1576&lt;1.5,X1576&lt;1),"Zona 3 — Asumible: impacto bajo y muy poco frecuente","Zona 2 — Atención: riesgo intermedio"))</f>
        <v/>
      </c>
      <c r="AB1576" s="64">
        <f>IFERROR(INDEX(MgAmenCtrl,MATCH(SUBSTITUTE($H1576,"*","-"),MgAmenClave,0)),"")</f>
        <v/>
      </c>
      <c r="AC1576" s="20" t="n"/>
      <c r="AD1576" s="31">
        <f>IFERROR($X1576*(1-IF($AC1576="",$AL1576,VLOOKUP($AC1576,MgMad,2,0))),"")</f>
        <v/>
      </c>
      <c r="AE1576" s="28">
        <f>IFERROR(LOOKUP(AD1576,{0;0.01;0.1;1;10;100},{"Muy baja";"Muy baja";"Baja";"Media";"Alta";"Muy alta"}),"")</f>
        <v/>
      </c>
      <c r="AF1576" s="30">
        <f>T1576*AD1576</f>
        <v/>
      </c>
      <c r="AG1576" s="28">
        <f>IFERROR(LOOKUP(AF1576,{0;0.5;5;25},{"Bajo";"Medio";"Alto";"Crítico"}),"")</f>
        <v/>
      </c>
      <c r="AH1576" s="28">
        <f>IF(AG1576="","",IF(OR(AG1576="Crítico",AG1576="Alto"),"Mitigar",IF(AG1576="Medio","Mitigar","Aceptar y monitorear")))</f>
        <v/>
      </c>
      <c r="AI1576" s="21" t="n"/>
      <c r="AJ1576" s="21" t="n"/>
      <c r="AK1576" s="20" t="n"/>
      <c r="AL1576" s="77">
        <f>IFERROR(INDEX(MgAmenEfic,MATCH(SUBSTITUTE($H1576,"*","-"),MgAmenClave,0)),0)</f>
        <v/>
      </c>
    </row>
    <row r="1577" hidden="1" ht="60" customHeight="1" s="54">
      <c r="B1577" s="59" t="inlineStr">
        <is>
          <t>R-1572</t>
        </is>
      </c>
      <c r="C1577" s="59" t="inlineStr">
        <is>
          <t>FIN-25</t>
        </is>
      </c>
      <c r="D1577" s="64">
        <f>IFERROR(INDEX(MgNombre,MATCH($C1577,MgActId,0)),"")</f>
        <v/>
      </c>
      <c r="E1577" s="64">
        <f>IFERROR(INDEX(MgProceso,MATCH($C1577,MgActId,0)),"")</f>
        <v/>
      </c>
      <c r="F1577" s="64">
        <f>IFERROR(INDEX(MgTipo,MATCH($C1577,MgActId,0)),"")</f>
        <v/>
      </c>
      <c r="G1577" s="64">
        <f>IFERROR(INDEX(MgSubtipo,MATCH($C1577,MgActId,0)),"")</f>
        <v/>
      </c>
      <c r="H1577" s="59" t="inlineStr">
        <is>
          <t>A.7</t>
        </is>
      </c>
      <c r="I1577" s="64">
        <f>IFERROR(INDEX(MgAmenNombre,MATCH(SUBSTITUTE($H1577,"*","-"),MgAmenClave,0)),"")</f>
        <v/>
      </c>
      <c r="J1577" s="28">
        <f>IFERROR(INDEX(MgAmenGrupo,MATCH(SUBSTITUTE($H1577,"*","-"),MgAmenClave,0)),"")</f>
        <v/>
      </c>
      <c r="K1577" s="64">
        <f>IFERROR(INDEX('1. Matriz de Activos'!$Q$6:$Q$239,MATCH($C1577,MgActId,0)),"")</f>
        <v/>
      </c>
      <c r="L1577" s="64">
        <f>IFERROR(INDEX('1. Matriz de Activos'!$R$6:$R$239,MATCH($C1577,MgActId,0)),"")</f>
        <v/>
      </c>
      <c r="M1577" s="64">
        <f>IFERROR(INDEX('1. Matriz de Activos'!$S$6:$S$239,MATCH($C1577,MgActId,0)),"")</f>
        <v/>
      </c>
      <c r="N1577" s="28">
        <f>IFERROR(INDEX(MgAmenDegD,MATCH(SUBSTITUTE($H1577,"*","-"),MgAmenClave,0)),"No aplica")</f>
        <v/>
      </c>
      <c r="O1577" s="28">
        <f>IFERROR(INDEX(MgAmenDegI,MATCH(SUBSTITUTE($H1577,"*","-"),MgAmenClave,0)),"No aplica")</f>
        <v/>
      </c>
      <c r="P1577" s="28">
        <f>IFERROR(INDEX(MgAmenDegC,MATCH(SUBSTITUTE($H1577,"*","-"),MgAmenClave,0)),"No aplica")</f>
        <v/>
      </c>
      <c r="Q1577" s="29">
        <f>IFERROR(VLOOKUP(K1577,MgValor,2,0)*VLOOKUP(N1577,MgDeg,2,0),0)</f>
        <v/>
      </c>
      <c r="R1577" s="29">
        <f>IFERROR(VLOOKUP(L1577,MgValor,2,0)*VLOOKUP(O1577,MgDeg,2,0),0)</f>
        <v/>
      </c>
      <c r="S1577" s="29">
        <f>IFERROR(VLOOKUP(M1577,MgValor,2,0)*VLOOKUP(P1577,MgDeg,2,0),0)</f>
        <v/>
      </c>
      <c r="T1577" s="30">
        <f>MAX(Q1577:S1577)</f>
        <v/>
      </c>
      <c r="U1577" s="28">
        <f>IFERROR(LOOKUP(T1577,{0;0.5;1.5;3;4.5},{"Despreciable";"Bajo";"Medio";"Alto";"Muy alto"}),"")</f>
        <v/>
      </c>
      <c r="V1577" s="13">
        <f>IFERROR(INDEX(MgAmenFrec,MATCH(SUBSTITUTE($H1577,"*","-"),MgAmenClave,0)),"")</f>
        <v/>
      </c>
      <c r="W1577" s="28">
        <f>IFERROR(LOOKUP(X1577,{0;0.01;0.1;1;10;100},{"Muy baja";"Muy baja";"Baja";"Media";"Alta";"Muy alta"}),"")</f>
        <v/>
      </c>
      <c r="X1577" s="31">
        <f>IFERROR(VLOOKUP(V1577,MgFrec,2,0),0)</f>
        <v/>
      </c>
      <c r="Y1577" s="30">
        <f>T1577*X1577</f>
        <v/>
      </c>
      <c r="Z1577" s="28">
        <f>IFERROR(LOOKUP(Y1577,{0;0.5;5;25},{"Bajo";"Medio";"Alto";"Crítico"}),"")</f>
        <v/>
      </c>
      <c r="AA1577" s="64">
        <f>IF(T1577&gt;=3,IF(X1577&gt;=1,"Zona 1 — Crítica: impacto alto y ocurre al menos una vez al año","Zona 4 — Catastrófica poco probable: impacto alto pero excepcional"),IF(AND(T1577&lt;1.5,X1577&lt;1),"Zona 3 — Asumible: impacto bajo y muy poco frecuente","Zona 2 — Atención: riesgo intermedio"))</f>
        <v/>
      </c>
      <c r="AB1577" s="64">
        <f>IFERROR(INDEX(MgAmenCtrl,MATCH(SUBSTITUTE($H1577,"*","-"),MgAmenClave,0)),"")</f>
        <v/>
      </c>
      <c r="AC1577" s="20" t="n"/>
      <c r="AD1577" s="31">
        <f>IFERROR($X1577*(1-IF($AC1577="",$AL1577,VLOOKUP($AC1577,MgMad,2,0))),"")</f>
        <v/>
      </c>
      <c r="AE1577" s="28">
        <f>IFERROR(LOOKUP(AD1577,{0;0.01;0.1;1;10;100},{"Muy baja";"Muy baja";"Baja";"Media";"Alta";"Muy alta"}),"")</f>
        <v/>
      </c>
      <c r="AF1577" s="30">
        <f>T1577*AD1577</f>
        <v/>
      </c>
      <c r="AG1577" s="28">
        <f>IFERROR(LOOKUP(AF1577,{0;0.5;5;25},{"Bajo";"Medio";"Alto";"Crítico"}),"")</f>
        <v/>
      </c>
      <c r="AH1577" s="28">
        <f>IF(AG1577="","",IF(OR(AG1577="Crítico",AG1577="Alto"),"Mitigar",IF(AG1577="Medio","Mitigar","Aceptar y monitorear")))</f>
        <v/>
      </c>
      <c r="AI1577" s="21" t="n"/>
      <c r="AJ1577" s="21" t="n"/>
      <c r="AK1577" s="20" t="n"/>
      <c r="AL1577" s="77">
        <f>IFERROR(INDEX(MgAmenEfic,MATCH(SUBSTITUTE($H1577,"*","-"),MgAmenClave,0)),0)</f>
        <v/>
      </c>
    </row>
    <row r="1578" hidden="1" ht="120" customHeight="1" s="54">
      <c r="B1578" s="59" t="inlineStr">
        <is>
          <t>R-1573</t>
        </is>
      </c>
      <c r="C1578" s="59" t="inlineStr">
        <is>
          <t>FIN-25</t>
        </is>
      </c>
      <c r="D1578" s="64">
        <f>IFERROR(INDEX(MgNombre,MATCH($C1578,MgActId,0)),"")</f>
        <v/>
      </c>
      <c r="E1578" s="64">
        <f>IFERROR(INDEX(MgProceso,MATCH($C1578,MgActId,0)),"")</f>
        <v/>
      </c>
      <c r="F1578" s="64">
        <f>IFERROR(INDEX(MgTipo,MATCH($C1578,MgActId,0)),"")</f>
        <v/>
      </c>
      <c r="G1578" s="64">
        <f>IFERROR(INDEX(MgSubtipo,MATCH($C1578,MgActId,0)),"")</f>
        <v/>
      </c>
      <c r="H1578" s="59" t="inlineStr">
        <is>
          <t>A.11</t>
        </is>
      </c>
      <c r="I1578" s="64">
        <f>IFERROR(INDEX(MgAmenNombre,MATCH(SUBSTITUTE($H1578,"*","-"),MgAmenClave,0)),"")</f>
        <v/>
      </c>
      <c r="J1578" s="28">
        <f>IFERROR(INDEX(MgAmenGrupo,MATCH(SUBSTITUTE($H1578,"*","-"),MgAmenClave,0)),"")</f>
        <v/>
      </c>
      <c r="K1578" s="64">
        <f>IFERROR(INDEX('1. Matriz de Activos'!$Q$6:$Q$239,MATCH($C1578,MgActId,0)),"")</f>
        <v/>
      </c>
      <c r="L1578" s="64">
        <f>IFERROR(INDEX('1. Matriz de Activos'!$R$6:$R$239,MATCH($C1578,MgActId,0)),"")</f>
        <v/>
      </c>
      <c r="M1578" s="64">
        <f>IFERROR(INDEX('1. Matriz de Activos'!$S$6:$S$239,MATCH($C1578,MgActId,0)),"")</f>
        <v/>
      </c>
      <c r="N1578" s="28">
        <f>IFERROR(INDEX(MgAmenDegD,MATCH(SUBSTITUTE($H1578,"*","-"),MgAmenClave,0)),"No aplica")</f>
        <v/>
      </c>
      <c r="O1578" s="28">
        <f>IFERROR(INDEX(MgAmenDegI,MATCH(SUBSTITUTE($H1578,"*","-"),MgAmenClave,0)),"No aplica")</f>
        <v/>
      </c>
      <c r="P1578" s="28">
        <f>IFERROR(INDEX(MgAmenDegC,MATCH(SUBSTITUTE($H1578,"*","-"),MgAmenClave,0)),"No aplica")</f>
        <v/>
      </c>
      <c r="Q1578" s="29">
        <f>IFERROR(VLOOKUP(K1578,MgValor,2,0)*VLOOKUP(N1578,MgDeg,2,0),0)</f>
        <v/>
      </c>
      <c r="R1578" s="29">
        <f>IFERROR(VLOOKUP(L1578,MgValor,2,0)*VLOOKUP(O1578,MgDeg,2,0),0)</f>
        <v/>
      </c>
      <c r="S1578" s="29">
        <f>IFERROR(VLOOKUP(M1578,MgValor,2,0)*VLOOKUP(P1578,MgDeg,2,0),0)</f>
        <v/>
      </c>
      <c r="T1578" s="30">
        <f>MAX(Q1578:S1578)</f>
        <v/>
      </c>
      <c r="U1578" s="28">
        <f>IFERROR(LOOKUP(T1578,{0;0.5;1.5;3;4.5},{"Despreciable";"Bajo";"Medio";"Alto";"Muy alto"}),"")</f>
        <v/>
      </c>
      <c r="V1578" s="13">
        <f>IFERROR(INDEX(MgAmenFrec,MATCH(SUBSTITUTE($H1578,"*","-"),MgAmenClave,0)),"")</f>
        <v/>
      </c>
      <c r="W1578" s="28">
        <f>IFERROR(LOOKUP(X1578,{0;0.01;0.1;1;10;100},{"Muy baja";"Muy baja";"Baja";"Media";"Alta";"Muy alta"}),"")</f>
        <v/>
      </c>
      <c r="X1578" s="31">
        <f>IFERROR(VLOOKUP(V1578,MgFrec,2,0),0)</f>
        <v/>
      </c>
      <c r="Y1578" s="30">
        <f>T1578*X1578</f>
        <v/>
      </c>
      <c r="Z1578" s="28">
        <f>IFERROR(LOOKUP(Y1578,{0;0.5;5;25},{"Bajo";"Medio";"Alto";"Crítico"}),"")</f>
        <v/>
      </c>
      <c r="AA1578" s="64">
        <f>IF(T1578&gt;=3,IF(X1578&gt;=1,"Zona 1 — Crítica: impacto alto y ocurre al menos una vez al año","Zona 4 — Catastrófica poco probable: impacto alto pero excepcional"),IF(AND(T1578&lt;1.5,X1578&lt;1),"Zona 3 — Asumible: impacto bajo y muy poco frecuente","Zona 2 — Atención: riesgo intermedio"))</f>
        <v/>
      </c>
      <c r="AB1578" s="64">
        <f>IFERROR(INDEX(MgAmenCtrl,MATCH(SUBSTITUTE($H1578,"*","-"),MgAmenClave,0)),"")</f>
        <v/>
      </c>
      <c r="AC1578" s="20" t="n"/>
      <c r="AD1578" s="31">
        <f>IFERROR($X1578*(1-IF($AC1578="",$AL1578,VLOOKUP($AC1578,MgMad,2,0))),"")</f>
        <v/>
      </c>
      <c r="AE1578" s="28">
        <f>IFERROR(LOOKUP(AD1578,{0;0.01;0.1;1;10;100},{"Muy baja";"Muy baja";"Baja";"Media";"Alta";"Muy alta"}),"")</f>
        <v/>
      </c>
      <c r="AF1578" s="30">
        <f>T1578*AD1578</f>
        <v/>
      </c>
      <c r="AG1578" s="28">
        <f>IFERROR(LOOKUP(AF1578,{0;0.5;5;25},{"Bajo";"Medio";"Alto";"Crítico"}),"")</f>
        <v/>
      </c>
      <c r="AH1578" s="28">
        <f>IF(AG1578="","",IF(OR(AG1578="Crítico",AG1578="Alto"),"Mitigar",IF(AG1578="Medio","Mitigar","Aceptar y monitorear")))</f>
        <v/>
      </c>
      <c r="AI1578" s="21" t="n"/>
      <c r="AJ1578" s="21" t="n"/>
      <c r="AK1578" s="20" t="n"/>
      <c r="AL1578" s="77">
        <f>IFERROR(INDEX(MgAmenEfic,MATCH(SUBSTITUTE($H1578,"*","-"),MgAmenClave,0)),0)</f>
        <v/>
      </c>
    </row>
    <row r="1579" hidden="1" ht="60" customHeight="1" s="54">
      <c r="B1579" s="59" t="inlineStr">
        <is>
          <t>R-1574</t>
        </is>
      </c>
      <c r="C1579" s="59" t="inlineStr">
        <is>
          <t>FIN-25</t>
        </is>
      </c>
      <c r="D1579" s="64">
        <f>IFERROR(INDEX(MgNombre,MATCH($C1579,MgActId,0)),"")</f>
        <v/>
      </c>
      <c r="E1579" s="64">
        <f>IFERROR(INDEX(MgProceso,MATCH($C1579,MgActId,0)),"")</f>
        <v/>
      </c>
      <c r="F1579" s="64">
        <f>IFERROR(INDEX(MgTipo,MATCH($C1579,MgActId,0)),"")</f>
        <v/>
      </c>
      <c r="G1579" s="64">
        <f>IFERROR(INDEX(MgSubtipo,MATCH($C1579,MgActId,0)),"")</f>
        <v/>
      </c>
      <c r="H1579" s="59" t="inlineStr">
        <is>
          <t>A.23</t>
        </is>
      </c>
      <c r="I1579" s="64">
        <f>IFERROR(INDEX(MgAmenNombre,MATCH(SUBSTITUTE($H1579,"*","-"),MgAmenClave,0)),"")</f>
        <v/>
      </c>
      <c r="J1579" s="28">
        <f>IFERROR(INDEX(MgAmenGrupo,MATCH(SUBSTITUTE($H1579,"*","-"),MgAmenClave,0)),"")</f>
        <v/>
      </c>
      <c r="K1579" s="64">
        <f>IFERROR(INDEX('1. Matriz de Activos'!$Q$6:$Q$239,MATCH($C1579,MgActId,0)),"")</f>
        <v/>
      </c>
      <c r="L1579" s="64">
        <f>IFERROR(INDEX('1. Matriz de Activos'!$R$6:$R$239,MATCH($C1579,MgActId,0)),"")</f>
        <v/>
      </c>
      <c r="M1579" s="64">
        <f>IFERROR(INDEX('1. Matriz de Activos'!$S$6:$S$239,MATCH($C1579,MgActId,0)),"")</f>
        <v/>
      </c>
      <c r="N1579" s="28">
        <f>IFERROR(INDEX(MgAmenDegD,MATCH(SUBSTITUTE($H1579,"*","-"),MgAmenClave,0)),"No aplica")</f>
        <v/>
      </c>
      <c r="O1579" s="28">
        <f>IFERROR(INDEX(MgAmenDegI,MATCH(SUBSTITUTE($H1579,"*","-"),MgAmenClave,0)),"No aplica")</f>
        <v/>
      </c>
      <c r="P1579" s="28">
        <f>IFERROR(INDEX(MgAmenDegC,MATCH(SUBSTITUTE($H1579,"*","-"),MgAmenClave,0)),"No aplica")</f>
        <v/>
      </c>
      <c r="Q1579" s="29">
        <f>IFERROR(VLOOKUP(K1579,MgValor,2,0)*VLOOKUP(N1579,MgDeg,2,0),0)</f>
        <v/>
      </c>
      <c r="R1579" s="29">
        <f>IFERROR(VLOOKUP(L1579,MgValor,2,0)*VLOOKUP(O1579,MgDeg,2,0),0)</f>
        <v/>
      </c>
      <c r="S1579" s="29">
        <f>IFERROR(VLOOKUP(M1579,MgValor,2,0)*VLOOKUP(P1579,MgDeg,2,0),0)</f>
        <v/>
      </c>
      <c r="T1579" s="30">
        <f>MAX(Q1579:S1579)</f>
        <v/>
      </c>
      <c r="U1579" s="28">
        <f>IFERROR(LOOKUP(T1579,{0;0.5;1.5;3;4.5},{"Despreciable";"Bajo";"Medio";"Alto";"Muy alto"}),"")</f>
        <v/>
      </c>
      <c r="V1579" s="13">
        <f>IFERROR(INDEX(MgAmenFrec,MATCH(SUBSTITUTE($H1579,"*","-"),MgAmenClave,0)),"")</f>
        <v/>
      </c>
      <c r="W1579" s="28">
        <f>IFERROR(LOOKUP(X1579,{0;0.01;0.1;1;10;100},{"Muy baja";"Muy baja";"Baja";"Media";"Alta";"Muy alta"}),"")</f>
        <v/>
      </c>
      <c r="X1579" s="31">
        <f>IFERROR(VLOOKUP(V1579,MgFrec,2,0),0)</f>
        <v/>
      </c>
      <c r="Y1579" s="30">
        <f>T1579*X1579</f>
        <v/>
      </c>
      <c r="Z1579" s="28">
        <f>IFERROR(LOOKUP(Y1579,{0;0.5;5;25},{"Bajo";"Medio";"Alto";"Crítico"}),"")</f>
        <v/>
      </c>
      <c r="AA1579" s="64">
        <f>IF(T1579&gt;=3,IF(X1579&gt;=1,"Zona 1 — Crítica: impacto alto y ocurre al menos una vez al año","Zona 4 — Catastrófica poco probable: impacto alto pero excepcional"),IF(AND(T1579&lt;1.5,X1579&lt;1),"Zona 3 — Asumible: impacto bajo y muy poco frecuente","Zona 2 — Atención: riesgo intermedio"))</f>
        <v/>
      </c>
      <c r="AB1579" s="64">
        <f>IFERROR(INDEX(MgAmenCtrl,MATCH(SUBSTITUTE($H1579,"*","-"),MgAmenClave,0)),"")</f>
        <v/>
      </c>
      <c r="AC1579" s="20" t="n"/>
      <c r="AD1579" s="31">
        <f>IFERROR($X1579*(1-IF($AC1579="",$AL1579,VLOOKUP($AC1579,MgMad,2,0))),"")</f>
        <v/>
      </c>
      <c r="AE1579" s="28">
        <f>IFERROR(LOOKUP(AD1579,{0;0.01;0.1;1;10;100},{"Muy baja";"Muy baja";"Baja";"Media";"Alta";"Muy alta"}),"")</f>
        <v/>
      </c>
      <c r="AF1579" s="30">
        <f>T1579*AD1579</f>
        <v/>
      </c>
      <c r="AG1579" s="28">
        <f>IFERROR(LOOKUP(AF1579,{0;0.5;5;25},{"Bajo";"Medio";"Alto";"Crítico"}),"")</f>
        <v/>
      </c>
      <c r="AH1579" s="28">
        <f>IF(AG1579="","",IF(OR(AG1579="Crítico",AG1579="Alto"),"Mitigar",IF(AG1579="Medio","Mitigar","Aceptar y monitorear")))</f>
        <v/>
      </c>
      <c r="AI1579" s="21" t="n"/>
      <c r="AJ1579" s="21" t="n"/>
      <c r="AK1579" s="20" t="n"/>
      <c r="AL1579" s="77">
        <f>IFERROR(INDEX(MgAmenEfic,MATCH(SUBSTITUTE($H1579,"*","-"),MgAmenClave,0)),0)</f>
        <v/>
      </c>
    </row>
    <row r="1580" hidden="1" ht="60" customHeight="1" s="54">
      <c r="B1580" s="59" t="inlineStr">
        <is>
          <t>R-1575</t>
        </is>
      </c>
      <c r="C1580" s="59" t="inlineStr">
        <is>
          <t>FIN-25</t>
        </is>
      </c>
      <c r="D1580" s="64">
        <f>IFERROR(INDEX(MgNombre,MATCH($C1580,MgActId,0)),"")</f>
        <v/>
      </c>
      <c r="E1580" s="64">
        <f>IFERROR(INDEX(MgProceso,MATCH($C1580,MgActId,0)),"")</f>
        <v/>
      </c>
      <c r="F1580" s="64">
        <f>IFERROR(INDEX(MgTipo,MATCH($C1580,MgActId,0)),"")</f>
        <v/>
      </c>
      <c r="G1580" s="64">
        <f>IFERROR(INDEX(MgSubtipo,MATCH($C1580,MgActId,0)),"")</f>
        <v/>
      </c>
      <c r="H1580" s="59" t="inlineStr">
        <is>
          <t>A.24</t>
        </is>
      </c>
      <c r="I1580" s="64">
        <f>IFERROR(INDEX(MgAmenNombre,MATCH(SUBSTITUTE($H1580,"*","-"),MgAmenClave,0)),"")</f>
        <v/>
      </c>
      <c r="J1580" s="28">
        <f>IFERROR(INDEX(MgAmenGrupo,MATCH(SUBSTITUTE($H1580,"*","-"),MgAmenClave,0)),"")</f>
        <v/>
      </c>
      <c r="K1580" s="64">
        <f>IFERROR(INDEX('1. Matriz de Activos'!$Q$6:$Q$239,MATCH($C1580,MgActId,0)),"")</f>
        <v/>
      </c>
      <c r="L1580" s="64">
        <f>IFERROR(INDEX('1. Matriz de Activos'!$R$6:$R$239,MATCH($C1580,MgActId,0)),"")</f>
        <v/>
      </c>
      <c r="M1580" s="64">
        <f>IFERROR(INDEX('1. Matriz de Activos'!$S$6:$S$239,MATCH($C1580,MgActId,0)),"")</f>
        <v/>
      </c>
      <c r="N1580" s="28">
        <f>IFERROR(INDEX(MgAmenDegD,MATCH(SUBSTITUTE($H1580,"*","-"),MgAmenClave,0)),"No aplica")</f>
        <v/>
      </c>
      <c r="O1580" s="28">
        <f>IFERROR(INDEX(MgAmenDegI,MATCH(SUBSTITUTE($H1580,"*","-"),MgAmenClave,0)),"No aplica")</f>
        <v/>
      </c>
      <c r="P1580" s="28">
        <f>IFERROR(INDEX(MgAmenDegC,MATCH(SUBSTITUTE($H1580,"*","-"),MgAmenClave,0)),"No aplica")</f>
        <v/>
      </c>
      <c r="Q1580" s="29">
        <f>IFERROR(VLOOKUP(K1580,MgValor,2,0)*VLOOKUP(N1580,MgDeg,2,0),0)</f>
        <v/>
      </c>
      <c r="R1580" s="29">
        <f>IFERROR(VLOOKUP(L1580,MgValor,2,0)*VLOOKUP(O1580,MgDeg,2,0),0)</f>
        <v/>
      </c>
      <c r="S1580" s="29">
        <f>IFERROR(VLOOKUP(M1580,MgValor,2,0)*VLOOKUP(P1580,MgDeg,2,0),0)</f>
        <v/>
      </c>
      <c r="T1580" s="30">
        <f>MAX(Q1580:S1580)</f>
        <v/>
      </c>
      <c r="U1580" s="28">
        <f>IFERROR(LOOKUP(T1580,{0;0.5;1.5;3;4.5},{"Despreciable";"Bajo";"Medio";"Alto";"Muy alto"}),"")</f>
        <v/>
      </c>
      <c r="V1580" s="13">
        <f>IFERROR(INDEX(MgAmenFrec,MATCH(SUBSTITUTE($H1580,"*","-"),MgAmenClave,0)),"")</f>
        <v/>
      </c>
      <c r="W1580" s="28">
        <f>IFERROR(LOOKUP(X1580,{0;0.01;0.1;1;10;100},{"Muy baja";"Muy baja";"Baja";"Media";"Alta";"Muy alta"}),"")</f>
        <v/>
      </c>
      <c r="X1580" s="31">
        <f>IFERROR(VLOOKUP(V1580,MgFrec,2,0),0)</f>
        <v/>
      </c>
      <c r="Y1580" s="30">
        <f>T1580*X1580</f>
        <v/>
      </c>
      <c r="Z1580" s="28">
        <f>IFERROR(LOOKUP(Y1580,{0;0.5;5;25},{"Bajo";"Medio";"Alto";"Crítico"}),"")</f>
        <v/>
      </c>
      <c r="AA1580" s="64">
        <f>IF(T1580&gt;=3,IF(X1580&gt;=1,"Zona 1 — Crítica: impacto alto y ocurre al menos una vez al año","Zona 4 — Catastrófica poco probable: impacto alto pero excepcional"),IF(AND(T1580&lt;1.5,X1580&lt;1),"Zona 3 — Asumible: impacto bajo y muy poco frecuente","Zona 2 — Atención: riesgo intermedio"))</f>
        <v/>
      </c>
      <c r="AB1580" s="64">
        <f>IFERROR(INDEX(MgAmenCtrl,MATCH(SUBSTITUTE($H1580,"*","-"),MgAmenClave,0)),"")</f>
        <v/>
      </c>
      <c r="AC1580" s="20" t="n"/>
      <c r="AD1580" s="31">
        <f>IFERROR($X1580*(1-IF($AC1580="",$AL1580,VLOOKUP($AC1580,MgMad,2,0))),"")</f>
        <v/>
      </c>
      <c r="AE1580" s="28">
        <f>IFERROR(LOOKUP(AD1580,{0;0.01;0.1;1;10;100},{"Muy baja";"Muy baja";"Baja";"Media";"Alta";"Muy alta"}),"")</f>
        <v/>
      </c>
      <c r="AF1580" s="30">
        <f>T1580*AD1580</f>
        <v/>
      </c>
      <c r="AG1580" s="28">
        <f>IFERROR(LOOKUP(AF1580,{0;0.5;5;25},{"Bajo";"Medio";"Alto";"Crítico"}),"")</f>
        <v/>
      </c>
      <c r="AH1580" s="28">
        <f>IF(AG1580="","",IF(OR(AG1580="Crítico",AG1580="Alto"),"Mitigar",IF(AG1580="Medio","Mitigar","Aceptar y monitorear")))</f>
        <v/>
      </c>
      <c r="AI1580" s="21" t="n"/>
      <c r="AJ1580" s="21" t="n"/>
      <c r="AK1580" s="20" t="n"/>
      <c r="AL1580" s="77">
        <f>IFERROR(INDEX(MgAmenEfic,MATCH(SUBSTITUTE($H1580,"*","-"),MgAmenClave,0)),0)</f>
        <v/>
      </c>
    </row>
    <row r="1581" hidden="1" ht="75" customHeight="1" s="54">
      <c r="B1581" s="59" t="inlineStr">
        <is>
          <t>R-1576</t>
        </is>
      </c>
      <c r="C1581" s="59" t="inlineStr">
        <is>
          <t>FIN-25</t>
        </is>
      </c>
      <c r="D1581" s="64">
        <f>IFERROR(INDEX(MgNombre,MATCH($C1581,MgActId,0)),"")</f>
        <v/>
      </c>
      <c r="E1581" s="64">
        <f>IFERROR(INDEX(MgProceso,MATCH($C1581,MgActId,0)),"")</f>
        <v/>
      </c>
      <c r="F1581" s="64">
        <f>IFERROR(INDEX(MgTipo,MATCH($C1581,MgActId,0)),"")</f>
        <v/>
      </c>
      <c r="G1581" s="64">
        <f>IFERROR(INDEX(MgSubtipo,MATCH($C1581,MgActId,0)),"")</f>
        <v/>
      </c>
      <c r="H1581" s="59" t="inlineStr">
        <is>
          <t>A.25</t>
        </is>
      </c>
      <c r="I1581" s="64">
        <f>IFERROR(INDEX(MgAmenNombre,MATCH(SUBSTITUTE($H1581,"*","-"),MgAmenClave,0)),"")</f>
        <v/>
      </c>
      <c r="J1581" s="28">
        <f>IFERROR(INDEX(MgAmenGrupo,MATCH(SUBSTITUTE($H1581,"*","-"),MgAmenClave,0)),"")</f>
        <v/>
      </c>
      <c r="K1581" s="64">
        <f>IFERROR(INDEX('1. Matriz de Activos'!$Q$6:$Q$239,MATCH($C1581,MgActId,0)),"")</f>
        <v/>
      </c>
      <c r="L1581" s="64">
        <f>IFERROR(INDEX('1. Matriz de Activos'!$R$6:$R$239,MATCH($C1581,MgActId,0)),"")</f>
        <v/>
      </c>
      <c r="M1581" s="64">
        <f>IFERROR(INDEX('1. Matriz de Activos'!$S$6:$S$239,MATCH($C1581,MgActId,0)),"")</f>
        <v/>
      </c>
      <c r="N1581" s="28">
        <f>IFERROR(INDEX(MgAmenDegD,MATCH(SUBSTITUTE($H1581,"*","-"),MgAmenClave,0)),"No aplica")</f>
        <v/>
      </c>
      <c r="O1581" s="28">
        <f>IFERROR(INDEX(MgAmenDegI,MATCH(SUBSTITUTE($H1581,"*","-"),MgAmenClave,0)),"No aplica")</f>
        <v/>
      </c>
      <c r="P1581" s="28">
        <f>IFERROR(INDEX(MgAmenDegC,MATCH(SUBSTITUTE($H1581,"*","-"),MgAmenClave,0)),"No aplica")</f>
        <v/>
      </c>
      <c r="Q1581" s="29">
        <f>IFERROR(VLOOKUP(K1581,MgValor,2,0)*VLOOKUP(N1581,MgDeg,2,0),0)</f>
        <v/>
      </c>
      <c r="R1581" s="29">
        <f>IFERROR(VLOOKUP(L1581,MgValor,2,0)*VLOOKUP(O1581,MgDeg,2,0),0)</f>
        <v/>
      </c>
      <c r="S1581" s="29">
        <f>IFERROR(VLOOKUP(M1581,MgValor,2,0)*VLOOKUP(P1581,MgDeg,2,0),0)</f>
        <v/>
      </c>
      <c r="T1581" s="30">
        <f>MAX(Q1581:S1581)</f>
        <v/>
      </c>
      <c r="U1581" s="28">
        <f>IFERROR(LOOKUP(T1581,{0;0.5;1.5;3;4.5},{"Despreciable";"Bajo";"Medio";"Alto";"Muy alto"}),"")</f>
        <v/>
      </c>
      <c r="V1581" s="13">
        <f>IFERROR(INDEX(MgAmenFrec,MATCH(SUBSTITUTE($H1581,"*","-"),MgAmenClave,0)),"")</f>
        <v/>
      </c>
      <c r="W1581" s="28">
        <f>IFERROR(LOOKUP(X1581,{0;0.01;0.1;1;10;100},{"Muy baja";"Muy baja";"Baja";"Media";"Alta";"Muy alta"}),"")</f>
        <v/>
      </c>
      <c r="X1581" s="31">
        <f>IFERROR(VLOOKUP(V1581,MgFrec,2,0),0)</f>
        <v/>
      </c>
      <c r="Y1581" s="30">
        <f>T1581*X1581</f>
        <v/>
      </c>
      <c r="Z1581" s="28">
        <f>IFERROR(LOOKUP(Y1581,{0;0.5;5;25},{"Bajo";"Medio";"Alto";"Crítico"}),"")</f>
        <v/>
      </c>
      <c r="AA1581" s="64">
        <f>IF(T1581&gt;=3,IF(X1581&gt;=1,"Zona 1 — Crítica: impacto alto y ocurre al menos una vez al año","Zona 4 — Catastrófica poco probable: impacto alto pero excepcional"),IF(AND(T1581&lt;1.5,X1581&lt;1),"Zona 3 — Asumible: impacto bajo y muy poco frecuente","Zona 2 — Atención: riesgo intermedio"))</f>
        <v/>
      </c>
      <c r="AB1581" s="64">
        <f>IFERROR(INDEX(MgAmenCtrl,MATCH(SUBSTITUTE($H1581,"*","-"),MgAmenClave,0)),"")</f>
        <v/>
      </c>
      <c r="AC1581" s="20" t="n"/>
      <c r="AD1581" s="31">
        <f>IFERROR($X1581*(1-IF($AC1581="",$AL1581,VLOOKUP($AC1581,MgMad,2,0))),"")</f>
        <v/>
      </c>
      <c r="AE1581" s="28">
        <f>IFERROR(LOOKUP(AD1581,{0;0.01;0.1;1;10;100},{"Muy baja";"Muy baja";"Baja";"Media";"Alta";"Muy alta"}),"")</f>
        <v/>
      </c>
      <c r="AF1581" s="30">
        <f>T1581*AD1581</f>
        <v/>
      </c>
      <c r="AG1581" s="28">
        <f>IFERROR(LOOKUP(AF1581,{0;0.5;5;25},{"Bajo";"Medio";"Alto";"Crítico"}),"")</f>
        <v/>
      </c>
      <c r="AH1581" s="28">
        <f>IF(AG1581="","",IF(OR(AG1581="Crítico",AG1581="Alto"),"Mitigar",IF(AG1581="Medio","Mitigar","Aceptar y monitorear")))</f>
        <v/>
      </c>
      <c r="AI1581" s="21" t="n"/>
      <c r="AJ1581" s="21" t="n"/>
      <c r="AK1581" s="20" t="n"/>
      <c r="AL1581" s="77">
        <f>IFERROR(INDEX(MgAmenEfic,MATCH(SUBSTITUTE($H1581,"*","-"),MgAmenClave,0)),0)</f>
        <v/>
      </c>
    </row>
    <row r="1582" hidden="1" ht="60" customHeight="1" s="54">
      <c r="B1582" s="59" t="inlineStr">
        <is>
          <t>R-1577</t>
        </is>
      </c>
      <c r="C1582" s="59" t="inlineStr">
        <is>
          <t>FIN-25</t>
        </is>
      </c>
      <c r="D1582" s="64">
        <f>IFERROR(INDEX(MgNombre,MATCH($C1582,MgActId,0)),"")</f>
        <v/>
      </c>
      <c r="E1582" s="64">
        <f>IFERROR(INDEX(MgProceso,MATCH($C1582,MgActId,0)),"")</f>
        <v/>
      </c>
      <c r="F1582" s="64">
        <f>IFERROR(INDEX(MgTipo,MATCH($C1582,MgActId,0)),"")</f>
        <v/>
      </c>
      <c r="G1582" s="64">
        <f>IFERROR(INDEX(MgSubtipo,MATCH($C1582,MgActId,0)),"")</f>
        <v/>
      </c>
      <c r="H1582" s="59" t="inlineStr">
        <is>
          <t>A.26</t>
        </is>
      </c>
      <c r="I1582" s="64">
        <f>IFERROR(INDEX(MgAmenNombre,MATCH(SUBSTITUTE($H1582,"*","-"),MgAmenClave,0)),"")</f>
        <v/>
      </c>
      <c r="J1582" s="28">
        <f>IFERROR(INDEX(MgAmenGrupo,MATCH(SUBSTITUTE($H1582,"*","-"),MgAmenClave,0)),"")</f>
        <v/>
      </c>
      <c r="K1582" s="64">
        <f>IFERROR(INDEX('1. Matriz de Activos'!$Q$6:$Q$239,MATCH($C1582,MgActId,0)),"")</f>
        <v/>
      </c>
      <c r="L1582" s="64">
        <f>IFERROR(INDEX('1. Matriz de Activos'!$R$6:$R$239,MATCH($C1582,MgActId,0)),"")</f>
        <v/>
      </c>
      <c r="M1582" s="64">
        <f>IFERROR(INDEX('1. Matriz de Activos'!$S$6:$S$239,MATCH($C1582,MgActId,0)),"")</f>
        <v/>
      </c>
      <c r="N1582" s="28">
        <f>IFERROR(INDEX(MgAmenDegD,MATCH(SUBSTITUTE($H1582,"*","-"),MgAmenClave,0)),"No aplica")</f>
        <v/>
      </c>
      <c r="O1582" s="28">
        <f>IFERROR(INDEX(MgAmenDegI,MATCH(SUBSTITUTE($H1582,"*","-"),MgAmenClave,0)),"No aplica")</f>
        <v/>
      </c>
      <c r="P1582" s="28">
        <f>IFERROR(INDEX(MgAmenDegC,MATCH(SUBSTITUTE($H1582,"*","-"),MgAmenClave,0)),"No aplica")</f>
        <v/>
      </c>
      <c r="Q1582" s="29">
        <f>IFERROR(VLOOKUP(K1582,MgValor,2,0)*VLOOKUP(N1582,MgDeg,2,0),0)</f>
        <v/>
      </c>
      <c r="R1582" s="29">
        <f>IFERROR(VLOOKUP(L1582,MgValor,2,0)*VLOOKUP(O1582,MgDeg,2,0),0)</f>
        <v/>
      </c>
      <c r="S1582" s="29">
        <f>IFERROR(VLOOKUP(M1582,MgValor,2,0)*VLOOKUP(P1582,MgDeg,2,0),0)</f>
        <v/>
      </c>
      <c r="T1582" s="30">
        <f>MAX(Q1582:S1582)</f>
        <v/>
      </c>
      <c r="U1582" s="28">
        <f>IFERROR(LOOKUP(T1582,{0;0.5;1.5;3;4.5},{"Despreciable";"Bajo";"Medio";"Alto";"Muy alto"}),"")</f>
        <v/>
      </c>
      <c r="V1582" s="13">
        <f>IFERROR(INDEX(MgAmenFrec,MATCH(SUBSTITUTE($H1582,"*","-"),MgAmenClave,0)),"")</f>
        <v/>
      </c>
      <c r="W1582" s="28">
        <f>IFERROR(LOOKUP(X1582,{0;0.01;0.1;1;10;100},{"Muy baja";"Muy baja";"Baja";"Media";"Alta";"Muy alta"}),"")</f>
        <v/>
      </c>
      <c r="X1582" s="31">
        <f>IFERROR(VLOOKUP(V1582,MgFrec,2,0),0)</f>
        <v/>
      </c>
      <c r="Y1582" s="30">
        <f>T1582*X1582</f>
        <v/>
      </c>
      <c r="Z1582" s="28">
        <f>IFERROR(LOOKUP(Y1582,{0;0.5;5;25},{"Bajo";"Medio";"Alto";"Crítico"}),"")</f>
        <v/>
      </c>
      <c r="AA1582" s="64">
        <f>IF(T1582&gt;=3,IF(X1582&gt;=1,"Zona 1 — Crítica: impacto alto y ocurre al menos una vez al año","Zona 4 — Catastrófica poco probable: impacto alto pero excepcional"),IF(AND(T1582&lt;1.5,X1582&lt;1),"Zona 3 — Asumible: impacto bajo y muy poco frecuente","Zona 2 — Atención: riesgo intermedio"))</f>
        <v/>
      </c>
      <c r="AB1582" s="64">
        <f>IFERROR(INDEX(MgAmenCtrl,MATCH(SUBSTITUTE($H1582,"*","-"),MgAmenClave,0)),"")</f>
        <v/>
      </c>
      <c r="AC1582" s="20" t="n"/>
      <c r="AD1582" s="31">
        <f>IFERROR($X1582*(1-IF($AC1582="",$AL1582,VLOOKUP($AC1582,MgMad,2,0))),"")</f>
        <v/>
      </c>
      <c r="AE1582" s="28">
        <f>IFERROR(LOOKUP(AD1582,{0;0.01;0.1;1;10;100},{"Muy baja";"Muy baja";"Baja";"Media";"Alta";"Muy alta"}),"")</f>
        <v/>
      </c>
      <c r="AF1582" s="30">
        <f>T1582*AD1582</f>
        <v/>
      </c>
      <c r="AG1582" s="28">
        <f>IFERROR(LOOKUP(AF1582,{0;0.5;5;25},{"Bajo";"Medio";"Alto";"Crítico"}),"")</f>
        <v/>
      </c>
      <c r="AH1582" s="28">
        <f>IF(AG1582="","",IF(OR(AG1582="Crítico",AG1582="Alto"),"Mitigar",IF(AG1582="Medio","Mitigar","Aceptar y monitorear")))</f>
        <v/>
      </c>
      <c r="AI1582" s="21" t="n"/>
      <c r="AJ1582" s="21" t="n"/>
      <c r="AK1582" s="20" t="n"/>
      <c r="AL1582" s="77">
        <f>IFERROR(INDEX(MgAmenEfic,MATCH(SUBSTITUTE($H1582,"*","-"),MgAmenClave,0)),0)</f>
        <v/>
      </c>
    </row>
    <row r="1583" hidden="1" ht="90" customHeight="1" s="54">
      <c r="B1583" s="59" t="inlineStr">
        <is>
          <t>R-1578</t>
        </is>
      </c>
      <c r="C1583" s="59" t="inlineStr">
        <is>
          <t>TEC-004</t>
        </is>
      </c>
      <c r="D1583" s="64">
        <f>IFERROR(INDEX(MgNombre,MATCH($C1583,MgActId,0)),"")</f>
        <v/>
      </c>
      <c r="E1583" s="64">
        <f>IFERROR(INDEX(MgProceso,MATCH($C1583,MgActId,0)),"")</f>
        <v/>
      </c>
      <c r="F1583" s="64">
        <f>IFERROR(INDEX(MgTipo,MATCH($C1583,MgActId,0)),"")</f>
        <v/>
      </c>
      <c r="G1583" s="64">
        <f>IFERROR(INDEX(MgSubtipo,MATCH($C1583,MgActId,0)),"")</f>
        <v/>
      </c>
      <c r="H1583" s="59" t="inlineStr">
        <is>
          <t>N.1</t>
        </is>
      </c>
      <c r="I1583" s="64">
        <f>IFERROR(INDEX(MgAmenNombre,MATCH(SUBSTITUTE($H1583,"*","-"),MgAmenClave,0)),"")</f>
        <v/>
      </c>
      <c r="J1583" s="28">
        <f>IFERROR(INDEX(MgAmenGrupo,MATCH(SUBSTITUTE($H1583,"*","-"),MgAmenClave,0)),"")</f>
        <v/>
      </c>
      <c r="K1583" s="64">
        <f>IFERROR(INDEX('1. Matriz de Activos'!$Q$6:$Q$239,MATCH($C1583,MgActId,0)),"")</f>
        <v/>
      </c>
      <c r="L1583" s="64">
        <f>IFERROR(INDEX('1. Matriz de Activos'!$R$6:$R$239,MATCH($C1583,MgActId,0)),"")</f>
        <v/>
      </c>
      <c r="M1583" s="64">
        <f>IFERROR(INDEX('1. Matriz de Activos'!$S$6:$S$239,MATCH($C1583,MgActId,0)),"")</f>
        <v/>
      </c>
      <c r="N1583" s="28">
        <f>IFERROR(INDEX(MgAmenDegD,MATCH(SUBSTITUTE($H1583,"*","-"),MgAmenClave,0)),"No aplica")</f>
        <v/>
      </c>
      <c r="O1583" s="28">
        <f>IFERROR(INDEX(MgAmenDegI,MATCH(SUBSTITUTE($H1583,"*","-"),MgAmenClave,0)),"No aplica")</f>
        <v/>
      </c>
      <c r="P1583" s="28">
        <f>IFERROR(INDEX(MgAmenDegC,MATCH(SUBSTITUTE($H1583,"*","-"),MgAmenClave,0)),"No aplica")</f>
        <v/>
      </c>
      <c r="Q1583" s="29">
        <f>IFERROR(VLOOKUP(K1583,MgValor,2,0)*VLOOKUP(N1583,MgDeg,2,0),0)</f>
        <v/>
      </c>
      <c r="R1583" s="29">
        <f>IFERROR(VLOOKUP(L1583,MgValor,2,0)*VLOOKUP(O1583,MgDeg,2,0),0)</f>
        <v/>
      </c>
      <c r="S1583" s="29">
        <f>IFERROR(VLOOKUP(M1583,MgValor,2,0)*VLOOKUP(P1583,MgDeg,2,0),0)</f>
        <v/>
      </c>
      <c r="T1583" s="30">
        <f>MAX(Q1583:S1583)</f>
        <v/>
      </c>
      <c r="U1583" s="28">
        <f>IFERROR(LOOKUP(T1583,{0;0.5;1.5;3;4.5},{"Despreciable";"Bajo";"Medio";"Alto";"Muy alto"}),"")</f>
        <v/>
      </c>
      <c r="V1583" s="13">
        <f>IFERROR(INDEX(MgAmenFrec,MATCH(SUBSTITUTE($H1583,"*","-"),MgAmenClave,0)),"")</f>
        <v/>
      </c>
      <c r="W1583" s="28">
        <f>IFERROR(LOOKUP(X1583,{0;0.01;0.1;1;10;100},{"Muy baja";"Muy baja";"Baja";"Media";"Alta";"Muy alta"}),"")</f>
        <v/>
      </c>
      <c r="X1583" s="31">
        <f>IFERROR(VLOOKUP(V1583,MgFrec,2,0),0)</f>
        <v/>
      </c>
      <c r="Y1583" s="30">
        <f>T1583*X1583</f>
        <v/>
      </c>
      <c r="Z1583" s="28">
        <f>IFERROR(LOOKUP(Y1583,{0;0.5;5;25},{"Bajo";"Medio";"Alto";"Crítico"}),"")</f>
        <v/>
      </c>
      <c r="AA1583" s="64">
        <f>IF(T1583&gt;=3,IF(X1583&gt;=1,"Zona 1 — Crítica: impacto alto y ocurre al menos una vez al año","Zona 4 — Catastrófica poco probable: impacto alto pero excepcional"),IF(AND(T1583&lt;1.5,X1583&lt;1),"Zona 3 — Asumible: impacto bajo y muy poco frecuente","Zona 2 — Atención: riesgo intermedio"))</f>
        <v/>
      </c>
      <c r="AB1583" s="64">
        <f>IFERROR(INDEX(MgAmenCtrl,MATCH(SUBSTITUTE($H1583,"*","-"),MgAmenClave,0)),"")</f>
        <v/>
      </c>
      <c r="AC1583" s="20" t="n"/>
      <c r="AD1583" s="31">
        <f>IFERROR($X1583*(1-IF($AC1583="",$AL1583,VLOOKUP($AC1583,MgMad,2,0))),"")</f>
        <v/>
      </c>
      <c r="AE1583" s="28">
        <f>IFERROR(LOOKUP(AD1583,{0;0.01;0.1;1;10;100},{"Muy baja";"Muy baja";"Baja";"Media";"Alta";"Muy alta"}),"")</f>
        <v/>
      </c>
      <c r="AF1583" s="30">
        <f>T1583*AD1583</f>
        <v/>
      </c>
      <c r="AG1583" s="28">
        <f>IFERROR(LOOKUP(AF1583,{0;0.5;5;25},{"Bajo";"Medio";"Alto";"Crítico"}),"")</f>
        <v/>
      </c>
      <c r="AH1583" s="28">
        <f>IF(AG1583="","",IF(OR(AG1583="Crítico",AG1583="Alto"),"Mitigar",IF(AG1583="Medio","Mitigar","Aceptar y monitorear")))</f>
        <v/>
      </c>
      <c r="AI1583" s="21" t="n"/>
      <c r="AJ1583" s="21" t="n"/>
      <c r="AK1583" s="20" t="n"/>
      <c r="AL1583" s="77">
        <f>IFERROR(INDEX(MgAmenEfic,MATCH(SUBSTITUTE($H1583,"*","-"),MgAmenClave,0)),0)</f>
        <v/>
      </c>
    </row>
    <row r="1584" hidden="1" ht="60" customHeight="1" s="54">
      <c r="B1584" s="59" t="inlineStr">
        <is>
          <t>R-1579</t>
        </is>
      </c>
      <c r="C1584" s="59" t="inlineStr">
        <is>
          <t>TEC-004</t>
        </is>
      </c>
      <c r="D1584" s="64">
        <f>IFERROR(INDEX(MgNombre,MATCH($C1584,MgActId,0)),"")</f>
        <v/>
      </c>
      <c r="E1584" s="64">
        <f>IFERROR(INDEX(MgProceso,MATCH($C1584,MgActId,0)),"")</f>
        <v/>
      </c>
      <c r="F1584" s="64">
        <f>IFERROR(INDEX(MgTipo,MATCH($C1584,MgActId,0)),"")</f>
        <v/>
      </c>
      <c r="G1584" s="64">
        <f>IFERROR(INDEX(MgSubtipo,MATCH($C1584,MgActId,0)),"")</f>
        <v/>
      </c>
      <c r="H1584" s="59" t="inlineStr">
        <is>
          <t>N.2</t>
        </is>
      </c>
      <c r="I1584" s="64">
        <f>IFERROR(INDEX(MgAmenNombre,MATCH(SUBSTITUTE($H1584,"*","-"),MgAmenClave,0)),"")</f>
        <v/>
      </c>
      <c r="J1584" s="28">
        <f>IFERROR(INDEX(MgAmenGrupo,MATCH(SUBSTITUTE($H1584,"*","-"),MgAmenClave,0)),"")</f>
        <v/>
      </c>
      <c r="K1584" s="64">
        <f>IFERROR(INDEX('1. Matriz de Activos'!$Q$6:$Q$239,MATCH($C1584,MgActId,0)),"")</f>
        <v/>
      </c>
      <c r="L1584" s="64">
        <f>IFERROR(INDEX('1. Matriz de Activos'!$R$6:$R$239,MATCH($C1584,MgActId,0)),"")</f>
        <v/>
      </c>
      <c r="M1584" s="64">
        <f>IFERROR(INDEX('1. Matriz de Activos'!$S$6:$S$239,MATCH($C1584,MgActId,0)),"")</f>
        <v/>
      </c>
      <c r="N1584" s="28">
        <f>IFERROR(INDEX(MgAmenDegD,MATCH(SUBSTITUTE($H1584,"*","-"),MgAmenClave,0)),"No aplica")</f>
        <v/>
      </c>
      <c r="O1584" s="28">
        <f>IFERROR(INDEX(MgAmenDegI,MATCH(SUBSTITUTE($H1584,"*","-"),MgAmenClave,0)),"No aplica")</f>
        <v/>
      </c>
      <c r="P1584" s="28">
        <f>IFERROR(INDEX(MgAmenDegC,MATCH(SUBSTITUTE($H1584,"*","-"),MgAmenClave,0)),"No aplica")</f>
        <v/>
      </c>
      <c r="Q1584" s="29">
        <f>IFERROR(VLOOKUP(K1584,MgValor,2,0)*VLOOKUP(N1584,MgDeg,2,0),0)</f>
        <v/>
      </c>
      <c r="R1584" s="29">
        <f>IFERROR(VLOOKUP(L1584,MgValor,2,0)*VLOOKUP(O1584,MgDeg,2,0),0)</f>
        <v/>
      </c>
      <c r="S1584" s="29">
        <f>IFERROR(VLOOKUP(M1584,MgValor,2,0)*VLOOKUP(P1584,MgDeg,2,0),0)</f>
        <v/>
      </c>
      <c r="T1584" s="30">
        <f>MAX(Q1584:S1584)</f>
        <v/>
      </c>
      <c r="U1584" s="28">
        <f>IFERROR(LOOKUP(T1584,{0;0.5;1.5;3;4.5},{"Despreciable";"Bajo";"Medio";"Alto";"Muy alto"}),"")</f>
        <v/>
      </c>
      <c r="V1584" s="13">
        <f>IFERROR(INDEX(MgAmenFrec,MATCH(SUBSTITUTE($H1584,"*","-"),MgAmenClave,0)),"")</f>
        <v/>
      </c>
      <c r="W1584" s="28">
        <f>IFERROR(LOOKUP(X1584,{0;0.01;0.1;1;10;100},{"Muy baja";"Muy baja";"Baja";"Media";"Alta";"Muy alta"}),"")</f>
        <v/>
      </c>
      <c r="X1584" s="31">
        <f>IFERROR(VLOOKUP(V1584,MgFrec,2,0),0)</f>
        <v/>
      </c>
      <c r="Y1584" s="30">
        <f>T1584*X1584</f>
        <v/>
      </c>
      <c r="Z1584" s="28">
        <f>IFERROR(LOOKUP(Y1584,{0;0.5;5;25},{"Bajo";"Medio";"Alto";"Crítico"}),"")</f>
        <v/>
      </c>
      <c r="AA1584" s="64">
        <f>IF(T1584&gt;=3,IF(X1584&gt;=1,"Zona 1 — Crítica: impacto alto y ocurre al menos una vez al año","Zona 4 — Catastrófica poco probable: impacto alto pero excepcional"),IF(AND(T1584&lt;1.5,X1584&lt;1),"Zona 3 — Asumible: impacto bajo y muy poco frecuente","Zona 2 — Atención: riesgo intermedio"))</f>
        <v/>
      </c>
      <c r="AB1584" s="64">
        <f>IFERROR(INDEX(MgAmenCtrl,MATCH(SUBSTITUTE($H1584,"*","-"),MgAmenClave,0)),"")</f>
        <v/>
      </c>
      <c r="AC1584" s="20" t="n"/>
      <c r="AD1584" s="31">
        <f>IFERROR($X1584*(1-IF($AC1584="",$AL1584,VLOOKUP($AC1584,MgMad,2,0))),"")</f>
        <v/>
      </c>
      <c r="AE1584" s="28">
        <f>IFERROR(LOOKUP(AD1584,{0;0.01;0.1;1;10;100},{"Muy baja";"Muy baja";"Baja";"Media";"Alta";"Muy alta"}),"")</f>
        <v/>
      </c>
      <c r="AF1584" s="30">
        <f>T1584*AD1584</f>
        <v/>
      </c>
      <c r="AG1584" s="28">
        <f>IFERROR(LOOKUP(AF1584,{0;0.5;5;25},{"Bajo";"Medio";"Alto";"Crítico"}),"")</f>
        <v/>
      </c>
      <c r="AH1584" s="28">
        <f>IF(AG1584="","",IF(OR(AG1584="Crítico",AG1584="Alto"),"Mitigar",IF(AG1584="Medio","Mitigar","Aceptar y monitorear")))</f>
        <v/>
      </c>
      <c r="AI1584" s="21" t="n"/>
      <c r="AJ1584" s="21" t="n"/>
      <c r="AK1584" s="20" t="n"/>
      <c r="AL1584" s="77">
        <f>IFERROR(INDEX(MgAmenEfic,MATCH(SUBSTITUTE($H1584,"*","-"),MgAmenClave,0)),0)</f>
        <v/>
      </c>
    </row>
    <row r="1585" hidden="1" ht="75" customHeight="1" s="54">
      <c r="B1585" s="59" t="inlineStr">
        <is>
          <t>R-1580</t>
        </is>
      </c>
      <c r="C1585" s="59" t="inlineStr">
        <is>
          <t>TEC-004</t>
        </is>
      </c>
      <c r="D1585" s="64">
        <f>IFERROR(INDEX(MgNombre,MATCH($C1585,MgActId,0)),"")</f>
        <v/>
      </c>
      <c r="E1585" s="64">
        <f>IFERROR(INDEX(MgProceso,MATCH($C1585,MgActId,0)),"")</f>
        <v/>
      </c>
      <c r="F1585" s="64">
        <f>IFERROR(INDEX(MgTipo,MATCH($C1585,MgActId,0)),"")</f>
        <v/>
      </c>
      <c r="G1585" s="64">
        <f>IFERROR(INDEX(MgSubtipo,MATCH($C1585,MgActId,0)),"")</f>
        <v/>
      </c>
      <c r="H1585" s="59" t="inlineStr">
        <is>
          <t>N.*</t>
        </is>
      </c>
      <c r="I1585" s="64">
        <f>IFERROR(INDEX(MgAmenNombre,MATCH(SUBSTITUTE($H1585,"*","-"),MgAmenClave,0)),"")</f>
        <v/>
      </c>
      <c r="J1585" s="28">
        <f>IFERROR(INDEX(MgAmenGrupo,MATCH(SUBSTITUTE($H1585,"*","-"),MgAmenClave,0)),"")</f>
        <v/>
      </c>
      <c r="K1585" s="64">
        <f>IFERROR(INDEX('1. Matriz de Activos'!$Q$6:$Q$239,MATCH($C1585,MgActId,0)),"")</f>
        <v/>
      </c>
      <c r="L1585" s="64">
        <f>IFERROR(INDEX('1. Matriz de Activos'!$R$6:$R$239,MATCH($C1585,MgActId,0)),"")</f>
        <v/>
      </c>
      <c r="M1585" s="64">
        <f>IFERROR(INDEX('1. Matriz de Activos'!$S$6:$S$239,MATCH($C1585,MgActId,0)),"")</f>
        <v/>
      </c>
      <c r="N1585" s="28">
        <f>IFERROR(INDEX(MgAmenDegD,MATCH(SUBSTITUTE($H1585,"*","-"),MgAmenClave,0)),"No aplica")</f>
        <v/>
      </c>
      <c r="O1585" s="28">
        <f>IFERROR(INDEX(MgAmenDegI,MATCH(SUBSTITUTE($H1585,"*","-"),MgAmenClave,0)),"No aplica")</f>
        <v/>
      </c>
      <c r="P1585" s="28">
        <f>IFERROR(INDEX(MgAmenDegC,MATCH(SUBSTITUTE($H1585,"*","-"),MgAmenClave,0)),"No aplica")</f>
        <v/>
      </c>
      <c r="Q1585" s="29">
        <f>IFERROR(VLOOKUP(K1585,MgValor,2,0)*VLOOKUP(N1585,MgDeg,2,0),0)</f>
        <v/>
      </c>
      <c r="R1585" s="29">
        <f>IFERROR(VLOOKUP(L1585,MgValor,2,0)*VLOOKUP(O1585,MgDeg,2,0),0)</f>
        <v/>
      </c>
      <c r="S1585" s="29">
        <f>IFERROR(VLOOKUP(M1585,MgValor,2,0)*VLOOKUP(P1585,MgDeg,2,0),0)</f>
        <v/>
      </c>
      <c r="T1585" s="30">
        <f>MAX(Q1585:S1585)</f>
        <v/>
      </c>
      <c r="U1585" s="28">
        <f>IFERROR(LOOKUP(T1585,{0;0.5;1.5;3;4.5},{"Despreciable";"Bajo";"Medio";"Alto";"Muy alto"}),"")</f>
        <v/>
      </c>
      <c r="V1585" s="13">
        <f>IFERROR(INDEX(MgAmenFrec,MATCH(SUBSTITUTE($H1585,"*","-"),MgAmenClave,0)),"")</f>
        <v/>
      </c>
      <c r="W1585" s="28">
        <f>IFERROR(LOOKUP(X1585,{0;0.01;0.1;1;10;100},{"Muy baja";"Muy baja";"Baja";"Media";"Alta";"Muy alta"}),"")</f>
        <v/>
      </c>
      <c r="X1585" s="31">
        <f>IFERROR(VLOOKUP(V1585,MgFrec,2,0),0)</f>
        <v/>
      </c>
      <c r="Y1585" s="30">
        <f>T1585*X1585</f>
        <v/>
      </c>
      <c r="Z1585" s="28">
        <f>IFERROR(LOOKUP(Y1585,{0;0.5;5;25},{"Bajo";"Medio";"Alto";"Crítico"}),"")</f>
        <v/>
      </c>
      <c r="AA1585" s="64">
        <f>IF(T1585&gt;=3,IF(X1585&gt;=1,"Zona 1 — Crítica: impacto alto y ocurre al menos una vez al año","Zona 4 — Catastrófica poco probable: impacto alto pero excepcional"),IF(AND(T1585&lt;1.5,X1585&lt;1),"Zona 3 — Asumible: impacto bajo y muy poco frecuente","Zona 2 — Atención: riesgo intermedio"))</f>
        <v/>
      </c>
      <c r="AB1585" s="64">
        <f>IFERROR(INDEX(MgAmenCtrl,MATCH(SUBSTITUTE($H1585,"*","-"),MgAmenClave,0)),"")</f>
        <v/>
      </c>
      <c r="AC1585" s="20" t="n"/>
      <c r="AD1585" s="31">
        <f>IFERROR($X1585*(1-IF($AC1585="",$AL1585,VLOOKUP($AC1585,MgMad,2,0))),"")</f>
        <v/>
      </c>
      <c r="AE1585" s="28">
        <f>IFERROR(LOOKUP(AD1585,{0;0.01;0.1;1;10;100},{"Muy baja";"Muy baja";"Baja";"Media";"Alta";"Muy alta"}),"")</f>
        <v/>
      </c>
      <c r="AF1585" s="30">
        <f>T1585*AD1585</f>
        <v/>
      </c>
      <c r="AG1585" s="28">
        <f>IFERROR(LOOKUP(AF1585,{0;0.5;5;25},{"Bajo";"Medio";"Alto";"Crítico"}),"")</f>
        <v/>
      </c>
      <c r="AH1585" s="28">
        <f>IF(AG1585="","",IF(OR(AG1585="Crítico",AG1585="Alto"),"Mitigar",IF(AG1585="Medio","Mitigar","Aceptar y monitorear")))</f>
        <v/>
      </c>
      <c r="AI1585" s="21" t="n"/>
      <c r="AJ1585" s="21" t="n"/>
      <c r="AK1585" s="20" t="n"/>
      <c r="AL1585" s="77">
        <f>IFERROR(INDEX(MgAmenEfic,MATCH(SUBSTITUTE($H1585,"*","-"),MgAmenClave,0)),0)</f>
        <v/>
      </c>
    </row>
    <row r="1586" hidden="1" ht="75" customHeight="1" s="54">
      <c r="B1586" s="59" t="inlineStr">
        <is>
          <t>R-1581</t>
        </is>
      </c>
      <c r="C1586" s="59" t="inlineStr">
        <is>
          <t>TEC-004</t>
        </is>
      </c>
      <c r="D1586" s="64">
        <f>IFERROR(INDEX(MgNombre,MATCH($C1586,MgActId,0)),"")</f>
        <v/>
      </c>
      <c r="E1586" s="64">
        <f>IFERROR(INDEX(MgProceso,MATCH($C1586,MgActId,0)),"")</f>
        <v/>
      </c>
      <c r="F1586" s="64">
        <f>IFERROR(INDEX(MgTipo,MATCH($C1586,MgActId,0)),"")</f>
        <v/>
      </c>
      <c r="G1586" s="64">
        <f>IFERROR(INDEX(MgSubtipo,MATCH($C1586,MgActId,0)),"")</f>
        <v/>
      </c>
      <c r="H1586" s="59" t="inlineStr">
        <is>
          <t>I.1</t>
        </is>
      </c>
      <c r="I1586" s="64">
        <f>IFERROR(INDEX(MgAmenNombre,MATCH(SUBSTITUTE($H1586,"*","-"),MgAmenClave,0)),"")</f>
        <v/>
      </c>
      <c r="J1586" s="28">
        <f>IFERROR(INDEX(MgAmenGrupo,MATCH(SUBSTITUTE($H1586,"*","-"),MgAmenClave,0)),"")</f>
        <v/>
      </c>
      <c r="K1586" s="64">
        <f>IFERROR(INDEX('1. Matriz de Activos'!$Q$6:$Q$239,MATCH($C1586,MgActId,0)),"")</f>
        <v/>
      </c>
      <c r="L1586" s="64">
        <f>IFERROR(INDEX('1. Matriz de Activos'!$R$6:$R$239,MATCH($C1586,MgActId,0)),"")</f>
        <v/>
      </c>
      <c r="M1586" s="64">
        <f>IFERROR(INDEX('1. Matriz de Activos'!$S$6:$S$239,MATCH($C1586,MgActId,0)),"")</f>
        <v/>
      </c>
      <c r="N1586" s="28">
        <f>IFERROR(INDEX(MgAmenDegD,MATCH(SUBSTITUTE($H1586,"*","-"),MgAmenClave,0)),"No aplica")</f>
        <v/>
      </c>
      <c r="O1586" s="28">
        <f>IFERROR(INDEX(MgAmenDegI,MATCH(SUBSTITUTE($H1586,"*","-"),MgAmenClave,0)),"No aplica")</f>
        <v/>
      </c>
      <c r="P1586" s="28">
        <f>IFERROR(INDEX(MgAmenDegC,MATCH(SUBSTITUTE($H1586,"*","-"),MgAmenClave,0)),"No aplica")</f>
        <v/>
      </c>
      <c r="Q1586" s="29">
        <f>IFERROR(VLOOKUP(K1586,MgValor,2,0)*VLOOKUP(N1586,MgDeg,2,0),0)</f>
        <v/>
      </c>
      <c r="R1586" s="29">
        <f>IFERROR(VLOOKUP(L1586,MgValor,2,0)*VLOOKUP(O1586,MgDeg,2,0),0)</f>
        <v/>
      </c>
      <c r="S1586" s="29">
        <f>IFERROR(VLOOKUP(M1586,MgValor,2,0)*VLOOKUP(P1586,MgDeg,2,0),0)</f>
        <v/>
      </c>
      <c r="T1586" s="30">
        <f>MAX(Q1586:S1586)</f>
        <v/>
      </c>
      <c r="U1586" s="28">
        <f>IFERROR(LOOKUP(T1586,{0;0.5;1.5;3;4.5},{"Despreciable";"Bajo";"Medio";"Alto";"Muy alto"}),"")</f>
        <v/>
      </c>
      <c r="V1586" s="13">
        <f>IFERROR(INDEX(MgAmenFrec,MATCH(SUBSTITUTE($H1586,"*","-"),MgAmenClave,0)),"")</f>
        <v/>
      </c>
      <c r="W1586" s="28">
        <f>IFERROR(LOOKUP(X1586,{0;0.01;0.1;1;10;100},{"Muy baja";"Muy baja";"Baja";"Media";"Alta";"Muy alta"}),"")</f>
        <v/>
      </c>
      <c r="X1586" s="31">
        <f>IFERROR(VLOOKUP(V1586,MgFrec,2,0),0)</f>
        <v/>
      </c>
      <c r="Y1586" s="30">
        <f>T1586*X1586</f>
        <v/>
      </c>
      <c r="Z1586" s="28">
        <f>IFERROR(LOOKUP(Y1586,{0;0.5;5;25},{"Bajo";"Medio";"Alto";"Crítico"}),"")</f>
        <v/>
      </c>
      <c r="AA1586" s="64">
        <f>IF(T1586&gt;=3,IF(X1586&gt;=1,"Zona 1 — Crítica: impacto alto y ocurre al menos una vez al año","Zona 4 — Catastrófica poco probable: impacto alto pero excepcional"),IF(AND(T1586&lt;1.5,X1586&lt;1),"Zona 3 — Asumible: impacto bajo y muy poco frecuente","Zona 2 — Atención: riesgo intermedio"))</f>
        <v/>
      </c>
      <c r="AB1586" s="64">
        <f>IFERROR(INDEX(MgAmenCtrl,MATCH(SUBSTITUTE($H1586,"*","-"),MgAmenClave,0)),"")</f>
        <v/>
      </c>
      <c r="AC1586" s="20" t="n"/>
      <c r="AD1586" s="31">
        <f>IFERROR($X1586*(1-IF($AC1586="",$AL1586,VLOOKUP($AC1586,MgMad,2,0))),"")</f>
        <v/>
      </c>
      <c r="AE1586" s="28">
        <f>IFERROR(LOOKUP(AD1586,{0;0.01;0.1;1;10;100},{"Muy baja";"Muy baja";"Baja";"Media";"Alta";"Muy alta"}),"")</f>
        <v/>
      </c>
      <c r="AF1586" s="30">
        <f>T1586*AD1586</f>
        <v/>
      </c>
      <c r="AG1586" s="28">
        <f>IFERROR(LOOKUP(AF1586,{0;0.5;5;25},{"Bajo";"Medio";"Alto";"Crítico"}),"")</f>
        <v/>
      </c>
      <c r="AH1586" s="28">
        <f>IF(AG1586="","",IF(OR(AG1586="Crítico",AG1586="Alto"),"Mitigar",IF(AG1586="Medio","Mitigar","Aceptar y monitorear")))</f>
        <v/>
      </c>
      <c r="AI1586" s="21" t="n"/>
      <c r="AJ1586" s="21" t="n"/>
      <c r="AK1586" s="20" t="n"/>
      <c r="AL1586" s="77">
        <f>IFERROR(INDEX(MgAmenEfic,MATCH(SUBSTITUTE($H1586,"*","-"),MgAmenClave,0)),0)</f>
        <v/>
      </c>
    </row>
    <row r="1587" hidden="1" ht="45" customHeight="1" s="54">
      <c r="B1587" s="59" t="inlineStr">
        <is>
          <t>R-1582</t>
        </is>
      </c>
      <c r="C1587" s="59" t="inlineStr">
        <is>
          <t>TEC-004</t>
        </is>
      </c>
      <c r="D1587" s="64">
        <f>IFERROR(INDEX(MgNombre,MATCH($C1587,MgActId,0)),"")</f>
        <v/>
      </c>
      <c r="E1587" s="64">
        <f>IFERROR(INDEX(MgProceso,MATCH($C1587,MgActId,0)),"")</f>
        <v/>
      </c>
      <c r="F1587" s="64">
        <f>IFERROR(INDEX(MgTipo,MATCH($C1587,MgActId,0)),"")</f>
        <v/>
      </c>
      <c r="G1587" s="64">
        <f>IFERROR(INDEX(MgSubtipo,MATCH($C1587,MgActId,0)),"")</f>
        <v/>
      </c>
      <c r="H1587" s="59" t="inlineStr">
        <is>
          <t>I.2</t>
        </is>
      </c>
      <c r="I1587" s="64">
        <f>IFERROR(INDEX(MgAmenNombre,MATCH(SUBSTITUTE($H1587,"*","-"),MgAmenClave,0)),"")</f>
        <v/>
      </c>
      <c r="J1587" s="28">
        <f>IFERROR(INDEX(MgAmenGrupo,MATCH(SUBSTITUTE($H1587,"*","-"),MgAmenClave,0)),"")</f>
        <v/>
      </c>
      <c r="K1587" s="64">
        <f>IFERROR(INDEX('1. Matriz de Activos'!$Q$6:$Q$239,MATCH($C1587,MgActId,0)),"")</f>
        <v/>
      </c>
      <c r="L1587" s="64">
        <f>IFERROR(INDEX('1. Matriz de Activos'!$R$6:$R$239,MATCH($C1587,MgActId,0)),"")</f>
        <v/>
      </c>
      <c r="M1587" s="64">
        <f>IFERROR(INDEX('1. Matriz de Activos'!$S$6:$S$239,MATCH($C1587,MgActId,0)),"")</f>
        <v/>
      </c>
      <c r="N1587" s="28">
        <f>IFERROR(INDEX(MgAmenDegD,MATCH(SUBSTITUTE($H1587,"*","-"),MgAmenClave,0)),"No aplica")</f>
        <v/>
      </c>
      <c r="O1587" s="28">
        <f>IFERROR(INDEX(MgAmenDegI,MATCH(SUBSTITUTE($H1587,"*","-"),MgAmenClave,0)),"No aplica")</f>
        <v/>
      </c>
      <c r="P1587" s="28">
        <f>IFERROR(INDEX(MgAmenDegC,MATCH(SUBSTITUTE($H1587,"*","-"),MgAmenClave,0)),"No aplica")</f>
        <v/>
      </c>
      <c r="Q1587" s="29">
        <f>IFERROR(VLOOKUP(K1587,MgValor,2,0)*VLOOKUP(N1587,MgDeg,2,0),0)</f>
        <v/>
      </c>
      <c r="R1587" s="29">
        <f>IFERROR(VLOOKUP(L1587,MgValor,2,0)*VLOOKUP(O1587,MgDeg,2,0),0)</f>
        <v/>
      </c>
      <c r="S1587" s="29">
        <f>IFERROR(VLOOKUP(M1587,MgValor,2,0)*VLOOKUP(P1587,MgDeg,2,0),0)</f>
        <v/>
      </c>
      <c r="T1587" s="30">
        <f>MAX(Q1587:S1587)</f>
        <v/>
      </c>
      <c r="U1587" s="28">
        <f>IFERROR(LOOKUP(T1587,{0;0.5;1.5;3;4.5},{"Despreciable";"Bajo";"Medio";"Alto";"Muy alto"}),"")</f>
        <v/>
      </c>
      <c r="V1587" s="13">
        <f>IFERROR(INDEX(MgAmenFrec,MATCH(SUBSTITUTE($H1587,"*","-"),MgAmenClave,0)),"")</f>
        <v/>
      </c>
      <c r="W1587" s="28">
        <f>IFERROR(LOOKUP(X1587,{0;0.01;0.1;1;10;100},{"Muy baja";"Muy baja";"Baja";"Media";"Alta";"Muy alta"}),"")</f>
        <v/>
      </c>
      <c r="X1587" s="31">
        <f>IFERROR(VLOOKUP(V1587,MgFrec,2,0),0)</f>
        <v/>
      </c>
      <c r="Y1587" s="30">
        <f>T1587*X1587</f>
        <v/>
      </c>
      <c r="Z1587" s="28">
        <f>IFERROR(LOOKUP(Y1587,{0;0.5;5;25},{"Bajo";"Medio";"Alto";"Crítico"}),"")</f>
        <v/>
      </c>
      <c r="AA1587" s="64">
        <f>IF(T1587&gt;=3,IF(X1587&gt;=1,"Zona 1 — Crítica: impacto alto y ocurre al menos una vez al año","Zona 4 — Catastrófica poco probable: impacto alto pero excepcional"),IF(AND(T1587&lt;1.5,X1587&lt;1),"Zona 3 — Asumible: impacto bajo y muy poco frecuente","Zona 2 — Atención: riesgo intermedio"))</f>
        <v/>
      </c>
      <c r="AB1587" s="64">
        <f>IFERROR(INDEX(MgAmenCtrl,MATCH(SUBSTITUTE($H1587,"*","-"),MgAmenClave,0)),"")</f>
        <v/>
      </c>
      <c r="AC1587" s="20" t="n"/>
      <c r="AD1587" s="31">
        <f>IFERROR($X1587*(1-IF($AC1587="",$AL1587,VLOOKUP($AC1587,MgMad,2,0))),"")</f>
        <v/>
      </c>
      <c r="AE1587" s="28">
        <f>IFERROR(LOOKUP(AD1587,{0;0.01;0.1;1;10;100},{"Muy baja";"Muy baja";"Baja";"Media";"Alta";"Muy alta"}),"")</f>
        <v/>
      </c>
      <c r="AF1587" s="30">
        <f>T1587*AD1587</f>
        <v/>
      </c>
      <c r="AG1587" s="28">
        <f>IFERROR(LOOKUP(AF1587,{0;0.5;5;25},{"Bajo";"Medio";"Alto";"Crítico"}),"")</f>
        <v/>
      </c>
      <c r="AH1587" s="28">
        <f>IF(AG1587="","",IF(OR(AG1587="Crítico",AG1587="Alto"),"Mitigar",IF(AG1587="Medio","Mitigar","Aceptar y monitorear")))</f>
        <v/>
      </c>
      <c r="AI1587" s="21" t="n"/>
      <c r="AJ1587" s="21" t="n"/>
      <c r="AK1587" s="20" t="n"/>
      <c r="AL1587" s="77">
        <f>IFERROR(INDEX(MgAmenEfic,MATCH(SUBSTITUTE($H1587,"*","-"),MgAmenClave,0)),0)</f>
        <v/>
      </c>
    </row>
    <row r="1588" hidden="1" ht="60" customHeight="1" s="54">
      <c r="B1588" s="59" t="inlineStr">
        <is>
          <t>R-1583</t>
        </is>
      </c>
      <c r="C1588" s="59" t="inlineStr">
        <is>
          <t>TEC-004</t>
        </is>
      </c>
      <c r="D1588" s="64">
        <f>IFERROR(INDEX(MgNombre,MATCH($C1588,MgActId,0)),"")</f>
        <v/>
      </c>
      <c r="E1588" s="64">
        <f>IFERROR(INDEX(MgProceso,MATCH($C1588,MgActId,0)),"")</f>
        <v/>
      </c>
      <c r="F1588" s="64">
        <f>IFERROR(INDEX(MgTipo,MATCH($C1588,MgActId,0)),"")</f>
        <v/>
      </c>
      <c r="G1588" s="64">
        <f>IFERROR(INDEX(MgSubtipo,MATCH($C1588,MgActId,0)),"")</f>
        <v/>
      </c>
      <c r="H1588" s="59" t="inlineStr">
        <is>
          <t>I.*</t>
        </is>
      </c>
      <c r="I1588" s="64">
        <f>IFERROR(INDEX(MgAmenNombre,MATCH(SUBSTITUTE($H1588,"*","-"),MgAmenClave,0)),"")</f>
        <v/>
      </c>
      <c r="J1588" s="28">
        <f>IFERROR(INDEX(MgAmenGrupo,MATCH(SUBSTITUTE($H1588,"*","-"),MgAmenClave,0)),"")</f>
        <v/>
      </c>
      <c r="K1588" s="64">
        <f>IFERROR(INDEX('1. Matriz de Activos'!$Q$6:$Q$239,MATCH($C1588,MgActId,0)),"")</f>
        <v/>
      </c>
      <c r="L1588" s="64">
        <f>IFERROR(INDEX('1. Matriz de Activos'!$R$6:$R$239,MATCH($C1588,MgActId,0)),"")</f>
        <v/>
      </c>
      <c r="M1588" s="64">
        <f>IFERROR(INDEX('1. Matriz de Activos'!$S$6:$S$239,MATCH($C1588,MgActId,0)),"")</f>
        <v/>
      </c>
      <c r="N1588" s="28">
        <f>IFERROR(INDEX(MgAmenDegD,MATCH(SUBSTITUTE($H1588,"*","-"),MgAmenClave,0)),"No aplica")</f>
        <v/>
      </c>
      <c r="O1588" s="28">
        <f>IFERROR(INDEX(MgAmenDegI,MATCH(SUBSTITUTE($H1588,"*","-"),MgAmenClave,0)),"No aplica")</f>
        <v/>
      </c>
      <c r="P1588" s="28">
        <f>IFERROR(INDEX(MgAmenDegC,MATCH(SUBSTITUTE($H1588,"*","-"),MgAmenClave,0)),"No aplica")</f>
        <v/>
      </c>
      <c r="Q1588" s="29">
        <f>IFERROR(VLOOKUP(K1588,MgValor,2,0)*VLOOKUP(N1588,MgDeg,2,0),0)</f>
        <v/>
      </c>
      <c r="R1588" s="29">
        <f>IFERROR(VLOOKUP(L1588,MgValor,2,0)*VLOOKUP(O1588,MgDeg,2,0),0)</f>
        <v/>
      </c>
      <c r="S1588" s="29">
        <f>IFERROR(VLOOKUP(M1588,MgValor,2,0)*VLOOKUP(P1588,MgDeg,2,0),0)</f>
        <v/>
      </c>
      <c r="T1588" s="30">
        <f>MAX(Q1588:S1588)</f>
        <v/>
      </c>
      <c r="U1588" s="28">
        <f>IFERROR(LOOKUP(T1588,{0;0.5;1.5;3;4.5},{"Despreciable";"Bajo";"Medio";"Alto";"Muy alto"}),"")</f>
        <v/>
      </c>
      <c r="V1588" s="13">
        <f>IFERROR(INDEX(MgAmenFrec,MATCH(SUBSTITUTE($H1588,"*","-"),MgAmenClave,0)),"")</f>
        <v/>
      </c>
      <c r="W1588" s="28">
        <f>IFERROR(LOOKUP(X1588,{0;0.01;0.1;1;10;100},{"Muy baja";"Muy baja";"Baja";"Media";"Alta";"Muy alta"}),"")</f>
        <v/>
      </c>
      <c r="X1588" s="31">
        <f>IFERROR(VLOOKUP(V1588,MgFrec,2,0),0)</f>
        <v/>
      </c>
      <c r="Y1588" s="30">
        <f>T1588*X1588</f>
        <v/>
      </c>
      <c r="Z1588" s="28">
        <f>IFERROR(LOOKUP(Y1588,{0;0.5;5;25},{"Bajo";"Medio";"Alto";"Crítico"}),"")</f>
        <v/>
      </c>
      <c r="AA1588" s="64">
        <f>IF(T1588&gt;=3,IF(X1588&gt;=1,"Zona 1 — Crítica: impacto alto y ocurre al menos una vez al año","Zona 4 — Catastrófica poco probable: impacto alto pero excepcional"),IF(AND(T1588&lt;1.5,X1588&lt;1),"Zona 3 — Asumible: impacto bajo y muy poco frecuente","Zona 2 — Atención: riesgo intermedio"))</f>
        <v/>
      </c>
      <c r="AB1588" s="64">
        <f>IFERROR(INDEX(MgAmenCtrl,MATCH(SUBSTITUTE($H1588,"*","-"),MgAmenClave,0)),"")</f>
        <v/>
      </c>
      <c r="AC1588" s="20" t="n"/>
      <c r="AD1588" s="31">
        <f>IFERROR($X1588*(1-IF($AC1588="",$AL1588,VLOOKUP($AC1588,MgMad,2,0))),"")</f>
        <v/>
      </c>
      <c r="AE1588" s="28">
        <f>IFERROR(LOOKUP(AD1588,{0;0.01;0.1;1;10;100},{"Muy baja";"Muy baja";"Baja";"Media";"Alta";"Muy alta"}),"")</f>
        <v/>
      </c>
      <c r="AF1588" s="30">
        <f>T1588*AD1588</f>
        <v/>
      </c>
      <c r="AG1588" s="28">
        <f>IFERROR(LOOKUP(AF1588,{0;0.5;5;25},{"Bajo";"Medio";"Alto";"Crítico"}),"")</f>
        <v/>
      </c>
      <c r="AH1588" s="28">
        <f>IF(AG1588="","",IF(OR(AG1588="Crítico",AG1588="Alto"),"Mitigar",IF(AG1588="Medio","Mitigar","Aceptar y monitorear")))</f>
        <v/>
      </c>
      <c r="AI1588" s="21" t="n"/>
      <c r="AJ1588" s="21" t="n"/>
      <c r="AK1588" s="20" t="n"/>
      <c r="AL1588" s="77">
        <f>IFERROR(INDEX(MgAmenEfic,MATCH(SUBSTITUTE($H1588,"*","-"),MgAmenClave,0)),0)</f>
        <v/>
      </c>
    </row>
    <row r="1589" hidden="1" ht="45" customHeight="1" s="54">
      <c r="B1589" s="59" t="inlineStr">
        <is>
          <t>R-1584</t>
        </is>
      </c>
      <c r="C1589" s="59" t="inlineStr">
        <is>
          <t>TEC-004</t>
        </is>
      </c>
      <c r="D1589" s="64">
        <f>IFERROR(INDEX(MgNombre,MATCH($C1589,MgActId,0)),"")</f>
        <v/>
      </c>
      <c r="E1589" s="64">
        <f>IFERROR(INDEX(MgProceso,MATCH($C1589,MgActId,0)),"")</f>
        <v/>
      </c>
      <c r="F1589" s="64">
        <f>IFERROR(INDEX(MgTipo,MATCH($C1589,MgActId,0)),"")</f>
        <v/>
      </c>
      <c r="G1589" s="64">
        <f>IFERROR(INDEX(MgSubtipo,MATCH($C1589,MgActId,0)),"")</f>
        <v/>
      </c>
      <c r="H1589" s="59" t="inlineStr">
        <is>
          <t>I.3</t>
        </is>
      </c>
      <c r="I1589" s="64">
        <f>IFERROR(INDEX(MgAmenNombre,MATCH(SUBSTITUTE($H1589,"*","-"),MgAmenClave,0)),"")</f>
        <v/>
      </c>
      <c r="J1589" s="28">
        <f>IFERROR(INDEX(MgAmenGrupo,MATCH(SUBSTITUTE($H1589,"*","-"),MgAmenClave,0)),"")</f>
        <v/>
      </c>
      <c r="K1589" s="64">
        <f>IFERROR(INDEX('1. Matriz de Activos'!$Q$6:$Q$239,MATCH($C1589,MgActId,0)),"")</f>
        <v/>
      </c>
      <c r="L1589" s="64">
        <f>IFERROR(INDEX('1. Matriz de Activos'!$R$6:$R$239,MATCH($C1589,MgActId,0)),"")</f>
        <v/>
      </c>
      <c r="M1589" s="64">
        <f>IFERROR(INDEX('1. Matriz de Activos'!$S$6:$S$239,MATCH($C1589,MgActId,0)),"")</f>
        <v/>
      </c>
      <c r="N1589" s="28">
        <f>IFERROR(INDEX(MgAmenDegD,MATCH(SUBSTITUTE($H1589,"*","-"),MgAmenClave,0)),"No aplica")</f>
        <v/>
      </c>
      <c r="O1589" s="28">
        <f>IFERROR(INDEX(MgAmenDegI,MATCH(SUBSTITUTE($H1589,"*","-"),MgAmenClave,0)),"No aplica")</f>
        <v/>
      </c>
      <c r="P1589" s="28">
        <f>IFERROR(INDEX(MgAmenDegC,MATCH(SUBSTITUTE($H1589,"*","-"),MgAmenClave,0)),"No aplica")</f>
        <v/>
      </c>
      <c r="Q1589" s="29">
        <f>IFERROR(VLOOKUP(K1589,MgValor,2,0)*VLOOKUP(N1589,MgDeg,2,0),0)</f>
        <v/>
      </c>
      <c r="R1589" s="29">
        <f>IFERROR(VLOOKUP(L1589,MgValor,2,0)*VLOOKUP(O1589,MgDeg,2,0),0)</f>
        <v/>
      </c>
      <c r="S1589" s="29">
        <f>IFERROR(VLOOKUP(M1589,MgValor,2,0)*VLOOKUP(P1589,MgDeg,2,0),0)</f>
        <v/>
      </c>
      <c r="T1589" s="30">
        <f>MAX(Q1589:S1589)</f>
        <v/>
      </c>
      <c r="U1589" s="28">
        <f>IFERROR(LOOKUP(T1589,{0;0.5;1.5;3;4.5},{"Despreciable";"Bajo";"Medio";"Alto";"Muy alto"}),"")</f>
        <v/>
      </c>
      <c r="V1589" s="13">
        <f>IFERROR(INDEX(MgAmenFrec,MATCH(SUBSTITUTE($H1589,"*","-"),MgAmenClave,0)),"")</f>
        <v/>
      </c>
      <c r="W1589" s="28">
        <f>IFERROR(LOOKUP(X1589,{0;0.01;0.1;1;10;100},{"Muy baja";"Muy baja";"Baja";"Media";"Alta";"Muy alta"}),"")</f>
        <v/>
      </c>
      <c r="X1589" s="31">
        <f>IFERROR(VLOOKUP(V1589,MgFrec,2,0),0)</f>
        <v/>
      </c>
      <c r="Y1589" s="30">
        <f>T1589*X1589</f>
        <v/>
      </c>
      <c r="Z1589" s="28">
        <f>IFERROR(LOOKUP(Y1589,{0;0.5;5;25},{"Bajo";"Medio";"Alto";"Crítico"}),"")</f>
        <v/>
      </c>
      <c r="AA1589" s="64">
        <f>IF(T1589&gt;=3,IF(X1589&gt;=1,"Zona 1 — Crítica: impacto alto y ocurre al menos una vez al año","Zona 4 — Catastrófica poco probable: impacto alto pero excepcional"),IF(AND(T1589&lt;1.5,X1589&lt;1),"Zona 3 — Asumible: impacto bajo y muy poco frecuente","Zona 2 — Atención: riesgo intermedio"))</f>
        <v/>
      </c>
      <c r="AB1589" s="64">
        <f>IFERROR(INDEX(MgAmenCtrl,MATCH(SUBSTITUTE($H1589,"*","-"),MgAmenClave,0)),"")</f>
        <v/>
      </c>
      <c r="AC1589" s="20" t="n"/>
      <c r="AD1589" s="31">
        <f>IFERROR($X1589*(1-IF($AC1589="",$AL1589,VLOOKUP($AC1589,MgMad,2,0))),"")</f>
        <v/>
      </c>
      <c r="AE1589" s="28">
        <f>IFERROR(LOOKUP(AD1589,{0;0.01;0.1;1;10;100},{"Muy baja";"Muy baja";"Baja";"Media";"Alta";"Muy alta"}),"")</f>
        <v/>
      </c>
      <c r="AF1589" s="30">
        <f>T1589*AD1589</f>
        <v/>
      </c>
      <c r="AG1589" s="28">
        <f>IFERROR(LOOKUP(AF1589,{0;0.5;5;25},{"Bajo";"Medio";"Alto";"Crítico"}),"")</f>
        <v/>
      </c>
      <c r="AH1589" s="28">
        <f>IF(AG1589="","",IF(OR(AG1589="Crítico",AG1589="Alto"),"Mitigar",IF(AG1589="Medio","Mitigar","Aceptar y monitorear")))</f>
        <v/>
      </c>
      <c r="AI1589" s="21" t="n"/>
      <c r="AJ1589" s="21" t="n"/>
      <c r="AK1589" s="20" t="n"/>
      <c r="AL1589" s="77">
        <f>IFERROR(INDEX(MgAmenEfic,MATCH(SUBSTITUTE($H1589,"*","-"),MgAmenClave,0)),0)</f>
        <v/>
      </c>
    </row>
    <row r="1590" hidden="1" ht="45" customHeight="1" s="54">
      <c r="B1590" s="59" t="inlineStr">
        <is>
          <t>R-1585</t>
        </is>
      </c>
      <c r="C1590" s="59" t="inlineStr">
        <is>
          <t>TEC-004</t>
        </is>
      </c>
      <c r="D1590" s="64">
        <f>IFERROR(INDEX(MgNombre,MATCH($C1590,MgActId,0)),"")</f>
        <v/>
      </c>
      <c r="E1590" s="64">
        <f>IFERROR(INDEX(MgProceso,MATCH($C1590,MgActId,0)),"")</f>
        <v/>
      </c>
      <c r="F1590" s="64">
        <f>IFERROR(INDEX(MgTipo,MATCH($C1590,MgActId,0)),"")</f>
        <v/>
      </c>
      <c r="G1590" s="64">
        <f>IFERROR(INDEX(MgSubtipo,MATCH($C1590,MgActId,0)),"")</f>
        <v/>
      </c>
      <c r="H1590" s="59" t="inlineStr">
        <is>
          <t>I.4</t>
        </is>
      </c>
      <c r="I1590" s="64">
        <f>IFERROR(INDEX(MgAmenNombre,MATCH(SUBSTITUTE($H1590,"*","-"),MgAmenClave,0)),"")</f>
        <v/>
      </c>
      <c r="J1590" s="28">
        <f>IFERROR(INDEX(MgAmenGrupo,MATCH(SUBSTITUTE($H1590,"*","-"),MgAmenClave,0)),"")</f>
        <v/>
      </c>
      <c r="K1590" s="64">
        <f>IFERROR(INDEX('1. Matriz de Activos'!$Q$6:$Q$239,MATCH($C1590,MgActId,0)),"")</f>
        <v/>
      </c>
      <c r="L1590" s="64">
        <f>IFERROR(INDEX('1. Matriz de Activos'!$R$6:$R$239,MATCH($C1590,MgActId,0)),"")</f>
        <v/>
      </c>
      <c r="M1590" s="64">
        <f>IFERROR(INDEX('1. Matriz de Activos'!$S$6:$S$239,MATCH($C1590,MgActId,0)),"")</f>
        <v/>
      </c>
      <c r="N1590" s="28">
        <f>IFERROR(INDEX(MgAmenDegD,MATCH(SUBSTITUTE($H1590,"*","-"),MgAmenClave,0)),"No aplica")</f>
        <v/>
      </c>
      <c r="O1590" s="28">
        <f>IFERROR(INDEX(MgAmenDegI,MATCH(SUBSTITUTE($H1590,"*","-"),MgAmenClave,0)),"No aplica")</f>
        <v/>
      </c>
      <c r="P1590" s="28">
        <f>IFERROR(INDEX(MgAmenDegC,MATCH(SUBSTITUTE($H1590,"*","-"),MgAmenClave,0)),"No aplica")</f>
        <v/>
      </c>
      <c r="Q1590" s="29">
        <f>IFERROR(VLOOKUP(K1590,MgValor,2,0)*VLOOKUP(N1590,MgDeg,2,0),0)</f>
        <v/>
      </c>
      <c r="R1590" s="29">
        <f>IFERROR(VLOOKUP(L1590,MgValor,2,0)*VLOOKUP(O1590,MgDeg,2,0),0)</f>
        <v/>
      </c>
      <c r="S1590" s="29">
        <f>IFERROR(VLOOKUP(M1590,MgValor,2,0)*VLOOKUP(P1590,MgDeg,2,0),0)</f>
        <v/>
      </c>
      <c r="T1590" s="30">
        <f>MAX(Q1590:S1590)</f>
        <v/>
      </c>
      <c r="U1590" s="28">
        <f>IFERROR(LOOKUP(T1590,{0;0.5;1.5;3;4.5},{"Despreciable";"Bajo";"Medio";"Alto";"Muy alto"}),"")</f>
        <v/>
      </c>
      <c r="V1590" s="13">
        <f>IFERROR(INDEX(MgAmenFrec,MATCH(SUBSTITUTE($H1590,"*","-"),MgAmenClave,0)),"")</f>
        <v/>
      </c>
      <c r="W1590" s="28">
        <f>IFERROR(LOOKUP(X1590,{0;0.01;0.1;1;10;100},{"Muy baja";"Muy baja";"Baja";"Media";"Alta";"Muy alta"}),"")</f>
        <v/>
      </c>
      <c r="X1590" s="31">
        <f>IFERROR(VLOOKUP(V1590,MgFrec,2,0),0)</f>
        <v/>
      </c>
      <c r="Y1590" s="30">
        <f>T1590*X1590</f>
        <v/>
      </c>
      <c r="Z1590" s="28">
        <f>IFERROR(LOOKUP(Y1590,{0;0.5;5;25},{"Bajo";"Medio";"Alto";"Crítico"}),"")</f>
        <v/>
      </c>
      <c r="AA1590" s="64">
        <f>IF(T1590&gt;=3,IF(X1590&gt;=1,"Zona 1 — Crítica: impacto alto y ocurre al menos una vez al año","Zona 4 — Catastrófica poco probable: impacto alto pero excepcional"),IF(AND(T1590&lt;1.5,X1590&lt;1),"Zona 3 — Asumible: impacto bajo y muy poco frecuente","Zona 2 — Atención: riesgo intermedio"))</f>
        <v/>
      </c>
      <c r="AB1590" s="64">
        <f>IFERROR(INDEX(MgAmenCtrl,MATCH(SUBSTITUTE($H1590,"*","-"),MgAmenClave,0)),"")</f>
        <v/>
      </c>
      <c r="AC1590" s="20" t="n"/>
      <c r="AD1590" s="31">
        <f>IFERROR($X1590*(1-IF($AC1590="",$AL1590,VLOOKUP($AC1590,MgMad,2,0))),"")</f>
        <v/>
      </c>
      <c r="AE1590" s="28">
        <f>IFERROR(LOOKUP(AD1590,{0;0.01;0.1;1;10;100},{"Muy baja";"Muy baja";"Baja";"Media";"Alta";"Muy alta"}),"")</f>
        <v/>
      </c>
      <c r="AF1590" s="30">
        <f>T1590*AD1590</f>
        <v/>
      </c>
      <c r="AG1590" s="28">
        <f>IFERROR(LOOKUP(AF1590,{0;0.5;5;25},{"Bajo";"Medio";"Alto";"Crítico"}),"")</f>
        <v/>
      </c>
      <c r="AH1590" s="28">
        <f>IF(AG1590="","",IF(OR(AG1590="Crítico",AG1590="Alto"),"Mitigar",IF(AG1590="Medio","Mitigar","Aceptar y monitorear")))</f>
        <v/>
      </c>
      <c r="AI1590" s="21" t="n"/>
      <c r="AJ1590" s="21" t="n"/>
      <c r="AK1590" s="20" t="n"/>
      <c r="AL1590" s="77">
        <f>IFERROR(INDEX(MgAmenEfic,MATCH(SUBSTITUTE($H1590,"*","-"),MgAmenClave,0)),0)</f>
        <v/>
      </c>
    </row>
    <row r="1591" hidden="1" ht="75" customHeight="1" s="54">
      <c r="B1591" s="59" t="inlineStr">
        <is>
          <t>R-1586</t>
        </is>
      </c>
      <c r="C1591" s="59" t="inlineStr">
        <is>
          <t>TEC-004</t>
        </is>
      </c>
      <c r="D1591" s="64">
        <f>IFERROR(INDEX(MgNombre,MATCH($C1591,MgActId,0)),"")</f>
        <v/>
      </c>
      <c r="E1591" s="64">
        <f>IFERROR(INDEX(MgProceso,MATCH($C1591,MgActId,0)),"")</f>
        <v/>
      </c>
      <c r="F1591" s="64">
        <f>IFERROR(INDEX(MgTipo,MATCH($C1591,MgActId,0)),"")</f>
        <v/>
      </c>
      <c r="G1591" s="64">
        <f>IFERROR(INDEX(MgSubtipo,MATCH($C1591,MgActId,0)),"")</f>
        <v/>
      </c>
      <c r="H1591" s="59" t="inlineStr">
        <is>
          <t>I.5</t>
        </is>
      </c>
      <c r="I1591" s="64">
        <f>IFERROR(INDEX(MgAmenNombre,MATCH(SUBSTITUTE($H1591,"*","-"),MgAmenClave,0)),"")</f>
        <v/>
      </c>
      <c r="J1591" s="28">
        <f>IFERROR(INDEX(MgAmenGrupo,MATCH(SUBSTITUTE($H1591,"*","-"),MgAmenClave,0)),"")</f>
        <v/>
      </c>
      <c r="K1591" s="64">
        <f>IFERROR(INDEX('1. Matriz de Activos'!$Q$6:$Q$239,MATCH($C1591,MgActId,0)),"")</f>
        <v/>
      </c>
      <c r="L1591" s="64">
        <f>IFERROR(INDEX('1. Matriz de Activos'!$R$6:$R$239,MATCH($C1591,MgActId,0)),"")</f>
        <v/>
      </c>
      <c r="M1591" s="64">
        <f>IFERROR(INDEX('1. Matriz de Activos'!$S$6:$S$239,MATCH($C1591,MgActId,0)),"")</f>
        <v/>
      </c>
      <c r="N1591" s="28">
        <f>IFERROR(INDEX(MgAmenDegD,MATCH(SUBSTITUTE($H1591,"*","-"),MgAmenClave,0)),"No aplica")</f>
        <v/>
      </c>
      <c r="O1591" s="28">
        <f>IFERROR(INDEX(MgAmenDegI,MATCH(SUBSTITUTE($H1591,"*","-"),MgAmenClave,0)),"No aplica")</f>
        <v/>
      </c>
      <c r="P1591" s="28">
        <f>IFERROR(INDEX(MgAmenDegC,MATCH(SUBSTITUTE($H1591,"*","-"),MgAmenClave,0)),"No aplica")</f>
        <v/>
      </c>
      <c r="Q1591" s="29">
        <f>IFERROR(VLOOKUP(K1591,MgValor,2,0)*VLOOKUP(N1591,MgDeg,2,0),0)</f>
        <v/>
      </c>
      <c r="R1591" s="29">
        <f>IFERROR(VLOOKUP(L1591,MgValor,2,0)*VLOOKUP(O1591,MgDeg,2,0),0)</f>
        <v/>
      </c>
      <c r="S1591" s="29">
        <f>IFERROR(VLOOKUP(M1591,MgValor,2,0)*VLOOKUP(P1591,MgDeg,2,0),0)</f>
        <v/>
      </c>
      <c r="T1591" s="30">
        <f>MAX(Q1591:S1591)</f>
        <v/>
      </c>
      <c r="U1591" s="28">
        <f>IFERROR(LOOKUP(T1591,{0;0.5;1.5;3;4.5},{"Despreciable";"Bajo";"Medio";"Alto";"Muy alto"}),"")</f>
        <v/>
      </c>
      <c r="V1591" s="13">
        <f>IFERROR(INDEX(MgAmenFrec,MATCH(SUBSTITUTE($H1591,"*","-"),MgAmenClave,0)),"")</f>
        <v/>
      </c>
      <c r="W1591" s="28">
        <f>IFERROR(LOOKUP(X1591,{0;0.01;0.1;1;10;100},{"Muy baja";"Muy baja";"Baja";"Media";"Alta";"Muy alta"}),"")</f>
        <v/>
      </c>
      <c r="X1591" s="31">
        <f>IFERROR(VLOOKUP(V1591,MgFrec,2,0),0)</f>
        <v/>
      </c>
      <c r="Y1591" s="30">
        <f>T1591*X1591</f>
        <v/>
      </c>
      <c r="Z1591" s="28">
        <f>IFERROR(LOOKUP(Y1591,{0;0.5;5;25},{"Bajo";"Medio";"Alto";"Crítico"}),"")</f>
        <v/>
      </c>
      <c r="AA1591" s="64">
        <f>IF(T1591&gt;=3,IF(X1591&gt;=1,"Zona 1 — Crítica: impacto alto y ocurre al menos una vez al año","Zona 4 — Catastrófica poco probable: impacto alto pero excepcional"),IF(AND(T1591&lt;1.5,X1591&lt;1),"Zona 3 — Asumible: impacto bajo y muy poco frecuente","Zona 2 — Atención: riesgo intermedio"))</f>
        <v/>
      </c>
      <c r="AB1591" s="64">
        <f>IFERROR(INDEX(MgAmenCtrl,MATCH(SUBSTITUTE($H1591,"*","-"),MgAmenClave,0)),"")</f>
        <v/>
      </c>
      <c r="AC1591" s="20" t="n"/>
      <c r="AD1591" s="31">
        <f>IFERROR($X1591*(1-IF($AC1591="",$AL1591,VLOOKUP($AC1591,MgMad,2,0))),"")</f>
        <v/>
      </c>
      <c r="AE1591" s="28">
        <f>IFERROR(LOOKUP(AD1591,{0;0.01;0.1;1;10;100},{"Muy baja";"Muy baja";"Baja";"Media";"Alta";"Muy alta"}),"")</f>
        <v/>
      </c>
      <c r="AF1591" s="30">
        <f>T1591*AD1591</f>
        <v/>
      </c>
      <c r="AG1591" s="28">
        <f>IFERROR(LOOKUP(AF1591,{0;0.5;5;25},{"Bajo";"Medio";"Alto";"Crítico"}),"")</f>
        <v/>
      </c>
      <c r="AH1591" s="28">
        <f>IF(AG1591="","",IF(OR(AG1591="Crítico",AG1591="Alto"),"Mitigar",IF(AG1591="Medio","Mitigar","Aceptar y monitorear")))</f>
        <v/>
      </c>
      <c r="AI1591" s="21" t="n"/>
      <c r="AJ1591" s="21" t="n"/>
      <c r="AK1591" s="20" t="n"/>
      <c r="AL1591" s="77">
        <f>IFERROR(INDEX(MgAmenEfic,MATCH(SUBSTITUTE($H1591,"*","-"),MgAmenClave,0)),0)</f>
        <v/>
      </c>
    </row>
    <row r="1592" hidden="1" ht="60" customHeight="1" s="54">
      <c r="B1592" s="59" t="inlineStr">
        <is>
          <t>R-1587</t>
        </is>
      </c>
      <c r="C1592" s="59" t="inlineStr">
        <is>
          <t>TEC-004</t>
        </is>
      </c>
      <c r="D1592" s="64">
        <f>IFERROR(INDEX(MgNombre,MATCH($C1592,MgActId,0)),"")</f>
        <v/>
      </c>
      <c r="E1592" s="64">
        <f>IFERROR(INDEX(MgProceso,MATCH($C1592,MgActId,0)),"")</f>
        <v/>
      </c>
      <c r="F1592" s="64">
        <f>IFERROR(INDEX(MgTipo,MATCH($C1592,MgActId,0)),"")</f>
        <v/>
      </c>
      <c r="G1592" s="64">
        <f>IFERROR(INDEX(MgSubtipo,MATCH($C1592,MgActId,0)),"")</f>
        <v/>
      </c>
      <c r="H1592" s="59" t="inlineStr">
        <is>
          <t>I.6</t>
        </is>
      </c>
      <c r="I1592" s="64">
        <f>IFERROR(INDEX(MgAmenNombre,MATCH(SUBSTITUTE($H1592,"*","-"),MgAmenClave,0)),"")</f>
        <v/>
      </c>
      <c r="J1592" s="28">
        <f>IFERROR(INDEX(MgAmenGrupo,MATCH(SUBSTITUTE($H1592,"*","-"),MgAmenClave,0)),"")</f>
        <v/>
      </c>
      <c r="K1592" s="64">
        <f>IFERROR(INDEX('1. Matriz de Activos'!$Q$6:$Q$239,MATCH($C1592,MgActId,0)),"")</f>
        <v/>
      </c>
      <c r="L1592" s="64">
        <f>IFERROR(INDEX('1. Matriz de Activos'!$R$6:$R$239,MATCH($C1592,MgActId,0)),"")</f>
        <v/>
      </c>
      <c r="M1592" s="64">
        <f>IFERROR(INDEX('1. Matriz de Activos'!$S$6:$S$239,MATCH($C1592,MgActId,0)),"")</f>
        <v/>
      </c>
      <c r="N1592" s="28">
        <f>IFERROR(INDEX(MgAmenDegD,MATCH(SUBSTITUTE($H1592,"*","-"),MgAmenClave,0)),"No aplica")</f>
        <v/>
      </c>
      <c r="O1592" s="28">
        <f>IFERROR(INDEX(MgAmenDegI,MATCH(SUBSTITUTE($H1592,"*","-"),MgAmenClave,0)),"No aplica")</f>
        <v/>
      </c>
      <c r="P1592" s="28">
        <f>IFERROR(INDEX(MgAmenDegC,MATCH(SUBSTITUTE($H1592,"*","-"),MgAmenClave,0)),"No aplica")</f>
        <v/>
      </c>
      <c r="Q1592" s="29">
        <f>IFERROR(VLOOKUP(K1592,MgValor,2,0)*VLOOKUP(N1592,MgDeg,2,0),0)</f>
        <v/>
      </c>
      <c r="R1592" s="29">
        <f>IFERROR(VLOOKUP(L1592,MgValor,2,0)*VLOOKUP(O1592,MgDeg,2,0),0)</f>
        <v/>
      </c>
      <c r="S1592" s="29">
        <f>IFERROR(VLOOKUP(M1592,MgValor,2,0)*VLOOKUP(P1592,MgDeg,2,0),0)</f>
        <v/>
      </c>
      <c r="T1592" s="30">
        <f>MAX(Q1592:S1592)</f>
        <v/>
      </c>
      <c r="U1592" s="28">
        <f>IFERROR(LOOKUP(T1592,{0;0.5;1.5;3;4.5},{"Despreciable";"Bajo";"Medio";"Alto";"Muy alto"}),"")</f>
        <v/>
      </c>
      <c r="V1592" s="13">
        <f>IFERROR(INDEX(MgAmenFrec,MATCH(SUBSTITUTE($H1592,"*","-"),MgAmenClave,0)),"")</f>
        <v/>
      </c>
      <c r="W1592" s="28">
        <f>IFERROR(LOOKUP(X1592,{0;0.01;0.1;1;10;100},{"Muy baja";"Muy baja";"Baja";"Media";"Alta";"Muy alta"}),"")</f>
        <v/>
      </c>
      <c r="X1592" s="31">
        <f>IFERROR(VLOOKUP(V1592,MgFrec,2,0),0)</f>
        <v/>
      </c>
      <c r="Y1592" s="30">
        <f>T1592*X1592</f>
        <v/>
      </c>
      <c r="Z1592" s="28">
        <f>IFERROR(LOOKUP(Y1592,{0;0.5;5;25},{"Bajo";"Medio";"Alto";"Crítico"}),"")</f>
        <v/>
      </c>
      <c r="AA1592" s="64">
        <f>IF(T1592&gt;=3,IF(X1592&gt;=1,"Zona 1 — Crítica: impacto alto y ocurre al menos una vez al año","Zona 4 — Catastrófica poco probable: impacto alto pero excepcional"),IF(AND(T1592&lt;1.5,X1592&lt;1),"Zona 3 — Asumible: impacto bajo y muy poco frecuente","Zona 2 — Atención: riesgo intermedio"))</f>
        <v/>
      </c>
      <c r="AB1592" s="64">
        <f>IFERROR(INDEX(MgAmenCtrl,MATCH(SUBSTITUTE($H1592,"*","-"),MgAmenClave,0)),"")</f>
        <v/>
      </c>
      <c r="AC1592" s="20" t="n"/>
      <c r="AD1592" s="31">
        <f>IFERROR($X1592*(1-IF($AC1592="",$AL1592,VLOOKUP($AC1592,MgMad,2,0))),"")</f>
        <v/>
      </c>
      <c r="AE1592" s="28">
        <f>IFERROR(LOOKUP(AD1592,{0;0.01;0.1;1;10;100},{"Muy baja";"Muy baja";"Baja";"Media";"Alta";"Muy alta"}),"")</f>
        <v/>
      </c>
      <c r="AF1592" s="30">
        <f>T1592*AD1592</f>
        <v/>
      </c>
      <c r="AG1592" s="28">
        <f>IFERROR(LOOKUP(AF1592,{0;0.5;5;25},{"Bajo";"Medio";"Alto";"Crítico"}),"")</f>
        <v/>
      </c>
      <c r="AH1592" s="28">
        <f>IF(AG1592="","",IF(OR(AG1592="Crítico",AG1592="Alto"),"Mitigar",IF(AG1592="Medio","Mitigar","Aceptar y monitorear")))</f>
        <v/>
      </c>
      <c r="AI1592" s="21" t="n"/>
      <c r="AJ1592" s="21" t="n"/>
      <c r="AK1592" s="20" t="n"/>
      <c r="AL1592" s="77">
        <f>IFERROR(INDEX(MgAmenEfic,MATCH(SUBSTITUTE($H1592,"*","-"),MgAmenClave,0)),0)</f>
        <v/>
      </c>
    </row>
    <row r="1593" hidden="1" ht="45" customHeight="1" s="54">
      <c r="B1593" s="59" t="inlineStr">
        <is>
          <t>R-1588</t>
        </is>
      </c>
      <c r="C1593" s="59" t="inlineStr">
        <is>
          <t>TEC-004</t>
        </is>
      </c>
      <c r="D1593" s="64">
        <f>IFERROR(INDEX(MgNombre,MATCH($C1593,MgActId,0)),"")</f>
        <v/>
      </c>
      <c r="E1593" s="64">
        <f>IFERROR(INDEX(MgProceso,MATCH($C1593,MgActId,0)),"")</f>
        <v/>
      </c>
      <c r="F1593" s="64">
        <f>IFERROR(INDEX(MgTipo,MATCH($C1593,MgActId,0)),"")</f>
        <v/>
      </c>
      <c r="G1593" s="64">
        <f>IFERROR(INDEX(MgSubtipo,MATCH($C1593,MgActId,0)),"")</f>
        <v/>
      </c>
      <c r="H1593" s="59" t="inlineStr">
        <is>
          <t>I.7</t>
        </is>
      </c>
      <c r="I1593" s="64">
        <f>IFERROR(INDEX(MgAmenNombre,MATCH(SUBSTITUTE($H1593,"*","-"),MgAmenClave,0)),"")</f>
        <v/>
      </c>
      <c r="J1593" s="28">
        <f>IFERROR(INDEX(MgAmenGrupo,MATCH(SUBSTITUTE($H1593,"*","-"),MgAmenClave,0)),"")</f>
        <v/>
      </c>
      <c r="K1593" s="64">
        <f>IFERROR(INDEX('1. Matriz de Activos'!$Q$6:$Q$239,MATCH($C1593,MgActId,0)),"")</f>
        <v/>
      </c>
      <c r="L1593" s="64">
        <f>IFERROR(INDEX('1. Matriz de Activos'!$R$6:$R$239,MATCH($C1593,MgActId,0)),"")</f>
        <v/>
      </c>
      <c r="M1593" s="64">
        <f>IFERROR(INDEX('1. Matriz de Activos'!$S$6:$S$239,MATCH($C1593,MgActId,0)),"")</f>
        <v/>
      </c>
      <c r="N1593" s="28">
        <f>IFERROR(INDEX(MgAmenDegD,MATCH(SUBSTITUTE($H1593,"*","-"),MgAmenClave,0)),"No aplica")</f>
        <v/>
      </c>
      <c r="O1593" s="28">
        <f>IFERROR(INDEX(MgAmenDegI,MATCH(SUBSTITUTE($H1593,"*","-"),MgAmenClave,0)),"No aplica")</f>
        <v/>
      </c>
      <c r="P1593" s="28">
        <f>IFERROR(INDEX(MgAmenDegC,MATCH(SUBSTITUTE($H1593,"*","-"),MgAmenClave,0)),"No aplica")</f>
        <v/>
      </c>
      <c r="Q1593" s="29">
        <f>IFERROR(VLOOKUP(K1593,MgValor,2,0)*VLOOKUP(N1593,MgDeg,2,0),0)</f>
        <v/>
      </c>
      <c r="R1593" s="29">
        <f>IFERROR(VLOOKUP(L1593,MgValor,2,0)*VLOOKUP(O1593,MgDeg,2,0),0)</f>
        <v/>
      </c>
      <c r="S1593" s="29">
        <f>IFERROR(VLOOKUP(M1593,MgValor,2,0)*VLOOKUP(P1593,MgDeg,2,0),0)</f>
        <v/>
      </c>
      <c r="T1593" s="30">
        <f>MAX(Q1593:S1593)</f>
        <v/>
      </c>
      <c r="U1593" s="28">
        <f>IFERROR(LOOKUP(T1593,{0;0.5;1.5;3;4.5},{"Despreciable";"Bajo";"Medio";"Alto";"Muy alto"}),"")</f>
        <v/>
      </c>
      <c r="V1593" s="13">
        <f>IFERROR(INDEX(MgAmenFrec,MATCH(SUBSTITUTE($H1593,"*","-"),MgAmenClave,0)),"")</f>
        <v/>
      </c>
      <c r="W1593" s="28">
        <f>IFERROR(LOOKUP(X1593,{0;0.01;0.1;1;10;100},{"Muy baja";"Muy baja";"Baja";"Media";"Alta";"Muy alta"}),"")</f>
        <v/>
      </c>
      <c r="X1593" s="31">
        <f>IFERROR(VLOOKUP(V1593,MgFrec,2,0),0)</f>
        <v/>
      </c>
      <c r="Y1593" s="30">
        <f>T1593*X1593</f>
        <v/>
      </c>
      <c r="Z1593" s="28">
        <f>IFERROR(LOOKUP(Y1593,{0;0.5;5;25},{"Bajo";"Medio";"Alto";"Crítico"}),"")</f>
        <v/>
      </c>
      <c r="AA1593" s="64">
        <f>IF(T1593&gt;=3,IF(X1593&gt;=1,"Zona 1 — Crítica: impacto alto y ocurre al menos una vez al año","Zona 4 — Catastrófica poco probable: impacto alto pero excepcional"),IF(AND(T1593&lt;1.5,X1593&lt;1),"Zona 3 — Asumible: impacto bajo y muy poco frecuente","Zona 2 — Atención: riesgo intermedio"))</f>
        <v/>
      </c>
      <c r="AB1593" s="64">
        <f>IFERROR(INDEX(MgAmenCtrl,MATCH(SUBSTITUTE($H1593,"*","-"),MgAmenClave,0)),"")</f>
        <v/>
      </c>
      <c r="AC1593" s="20" t="n"/>
      <c r="AD1593" s="31">
        <f>IFERROR($X1593*(1-IF($AC1593="",$AL1593,VLOOKUP($AC1593,MgMad,2,0))),"")</f>
        <v/>
      </c>
      <c r="AE1593" s="28">
        <f>IFERROR(LOOKUP(AD1593,{0;0.01;0.1;1;10;100},{"Muy baja";"Muy baja";"Baja";"Media";"Alta";"Muy alta"}),"")</f>
        <v/>
      </c>
      <c r="AF1593" s="30">
        <f>T1593*AD1593</f>
        <v/>
      </c>
      <c r="AG1593" s="28">
        <f>IFERROR(LOOKUP(AF1593,{0;0.5;5;25},{"Bajo";"Medio";"Alto";"Crítico"}),"")</f>
        <v/>
      </c>
      <c r="AH1593" s="28">
        <f>IF(AG1593="","",IF(OR(AG1593="Crítico",AG1593="Alto"),"Mitigar",IF(AG1593="Medio","Mitigar","Aceptar y monitorear")))</f>
        <v/>
      </c>
      <c r="AI1593" s="21" t="n"/>
      <c r="AJ1593" s="21" t="n"/>
      <c r="AK1593" s="20" t="n"/>
      <c r="AL1593" s="77">
        <f>IFERROR(INDEX(MgAmenEfic,MATCH(SUBSTITUTE($H1593,"*","-"),MgAmenClave,0)),0)</f>
        <v/>
      </c>
    </row>
    <row r="1594" hidden="1" ht="45" customHeight="1" s="54">
      <c r="B1594" s="59" t="inlineStr">
        <is>
          <t>R-1589</t>
        </is>
      </c>
      <c r="C1594" s="59" t="inlineStr">
        <is>
          <t>TEC-004</t>
        </is>
      </c>
      <c r="D1594" s="64">
        <f>IFERROR(INDEX(MgNombre,MATCH($C1594,MgActId,0)),"")</f>
        <v/>
      </c>
      <c r="E1594" s="64">
        <f>IFERROR(INDEX(MgProceso,MATCH($C1594,MgActId,0)),"")</f>
        <v/>
      </c>
      <c r="F1594" s="64">
        <f>IFERROR(INDEX(MgTipo,MATCH($C1594,MgActId,0)),"")</f>
        <v/>
      </c>
      <c r="G1594" s="64">
        <f>IFERROR(INDEX(MgSubtipo,MATCH($C1594,MgActId,0)),"")</f>
        <v/>
      </c>
      <c r="H1594" s="59" t="inlineStr">
        <is>
          <t>I.11</t>
        </is>
      </c>
      <c r="I1594" s="64">
        <f>IFERROR(INDEX(MgAmenNombre,MATCH(SUBSTITUTE($H1594,"*","-"),MgAmenClave,0)),"")</f>
        <v/>
      </c>
      <c r="J1594" s="28">
        <f>IFERROR(INDEX(MgAmenGrupo,MATCH(SUBSTITUTE($H1594,"*","-"),MgAmenClave,0)),"")</f>
        <v/>
      </c>
      <c r="K1594" s="64">
        <f>IFERROR(INDEX('1. Matriz de Activos'!$Q$6:$Q$239,MATCH($C1594,MgActId,0)),"")</f>
        <v/>
      </c>
      <c r="L1594" s="64">
        <f>IFERROR(INDEX('1. Matriz de Activos'!$R$6:$R$239,MATCH($C1594,MgActId,0)),"")</f>
        <v/>
      </c>
      <c r="M1594" s="64">
        <f>IFERROR(INDEX('1. Matriz de Activos'!$S$6:$S$239,MATCH($C1594,MgActId,0)),"")</f>
        <v/>
      </c>
      <c r="N1594" s="28">
        <f>IFERROR(INDEX(MgAmenDegD,MATCH(SUBSTITUTE($H1594,"*","-"),MgAmenClave,0)),"No aplica")</f>
        <v/>
      </c>
      <c r="O1594" s="28">
        <f>IFERROR(INDEX(MgAmenDegI,MATCH(SUBSTITUTE($H1594,"*","-"),MgAmenClave,0)),"No aplica")</f>
        <v/>
      </c>
      <c r="P1594" s="28">
        <f>IFERROR(INDEX(MgAmenDegC,MATCH(SUBSTITUTE($H1594,"*","-"),MgAmenClave,0)),"No aplica")</f>
        <v/>
      </c>
      <c r="Q1594" s="29">
        <f>IFERROR(VLOOKUP(K1594,MgValor,2,0)*VLOOKUP(N1594,MgDeg,2,0),0)</f>
        <v/>
      </c>
      <c r="R1594" s="29">
        <f>IFERROR(VLOOKUP(L1594,MgValor,2,0)*VLOOKUP(O1594,MgDeg,2,0),0)</f>
        <v/>
      </c>
      <c r="S1594" s="29">
        <f>IFERROR(VLOOKUP(M1594,MgValor,2,0)*VLOOKUP(P1594,MgDeg,2,0),0)</f>
        <v/>
      </c>
      <c r="T1594" s="30">
        <f>MAX(Q1594:S1594)</f>
        <v/>
      </c>
      <c r="U1594" s="28">
        <f>IFERROR(LOOKUP(T1594,{0;0.5;1.5;3;4.5},{"Despreciable";"Bajo";"Medio";"Alto";"Muy alto"}),"")</f>
        <v/>
      </c>
      <c r="V1594" s="13">
        <f>IFERROR(INDEX(MgAmenFrec,MATCH(SUBSTITUTE($H1594,"*","-"),MgAmenClave,0)),"")</f>
        <v/>
      </c>
      <c r="W1594" s="28">
        <f>IFERROR(LOOKUP(X1594,{0;0.01;0.1;1;10;100},{"Muy baja";"Muy baja";"Baja";"Media";"Alta";"Muy alta"}),"")</f>
        <v/>
      </c>
      <c r="X1594" s="31">
        <f>IFERROR(VLOOKUP(V1594,MgFrec,2,0),0)</f>
        <v/>
      </c>
      <c r="Y1594" s="30">
        <f>T1594*X1594</f>
        <v/>
      </c>
      <c r="Z1594" s="28">
        <f>IFERROR(LOOKUP(Y1594,{0;0.5;5;25},{"Bajo";"Medio";"Alto";"Crítico"}),"")</f>
        <v/>
      </c>
      <c r="AA1594" s="64">
        <f>IF(T1594&gt;=3,IF(X1594&gt;=1,"Zona 1 — Crítica: impacto alto y ocurre al menos una vez al año","Zona 4 — Catastrófica poco probable: impacto alto pero excepcional"),IF(AND(T1594&lt;1.5,X1594&lt;1),"Zona 3 — Asumible: impacto bajo y muy poco frecuente","Zona 2 — Atención: riesgo intermedio"))</f>
        <v/>
      </c>
      <c r="AB1594" s="64">
        <f>IFERROR(INDEX(MgAmenCtrl,MATCH(SUBSTITUTE($H1594,"*","-"),MgAmenClave,0)),"")</f>
        <v/>
      </c>
      <c r="AC1594" s="20" t="n"/>
      <c r="AD1594" s="31">
        <f>IFERROR($X1594*(1-IF($AC1594="",$AL1594,VLOOKUP($AC1594,MgMad,2,0))),"")</f>
        <v/>
      </c>
      <c r="AE1594" s="28">
        <f>IFERROR(LOOKUP(AD1594,{0;0.01;0.1;1;10;100},{"Muy baja";"Muy baja";"Baja";"Media";"Alta";"Muy alta"}),"")</f>
        <v/>
      </c>
      <c r="AF1594" s="30">
        <f>T1594*AD1594</f>
        <v/>
      </c>
      <c r="AG1594" s="28">
        <f>IFERROR(LOOKUP(AF1594,{0;0.5;5;25},{"Bajo";"Medio";"Alto";"Crítico"}),"")</f>
        <v/>
      </c>
      <c r="AH1594" s="28">
        <f>IF(AG1594="","",IF(OR(AG1594="Crítico",AG1594="Alto"),"Mitigar",IF(AG1594="Medio","Mitigar","Aceptar y monitorear")))</f>
        <v/>
      </c>
      <c r="AI1594" s="21" t="n"/>
      <c r="AJ1594" s="21" t="n"/>
      <c r="AK1594" s="20" t="n"/>
      <c r="AL1594" s="77">
        <f>IFERROR(INDEX(MgAmenEfic,MATCH(SUBSTITUTE($H1594,"*","-"),MgAmenClave,0)),0)</f>
        <v/>
      </c>
    </row>
    <row r="1595" hidden="1" ht="120" customHeight="1" s="54">
      <c r="B1595" s="59" t="inlineStr">
        <is>
          <t>R-1590</t>
        </is>
      </c>
      <c r="C1595" s="59" t="inlineStr">
        <is>
          <t>TEC-004</t>
        </is>
      </c>
      <c r="D1595" s="64">
        <f>IFERROR(INDEX(MgNombre,MATCH($C1595,MgActId,0)),"")</f>
        <v/>
      </c>
      <c r="E1595" s="64">
        <f>IFERROR(INDEX(MgProceso,MATCH($C1595,MgActId,0)),"")</f>
        <v/>
      </c>
      <c r="F1595" s="64">
        <f>IFERROR(INDEX(MgTipo,MATCH($C1595,MgActId,0)),"")</f>
        <v/>
      </c>
      <c r="G1595" s="64">
        <f>IFERROR(INDEX(MgSubtipo,MATCH($C1595,MgActId,0)),"")</f>
        <v/>
      </c>
      <c r="H1595" s="59" t="inlineStr">
        <is>
          <t>E.2</t>
        </is>
      </c>
      <c r="I1595" s="64">
        <f>IFERROR(INDEX(MgAmenNombre,MATCH(SUBSTITUTE($H1595,"*","-"),MgAmenClave,0)),"")</f>
        <v/>
      </c>
      <c r="J1595" s="28">
        <f>IFERROR(INDEX(MgAmenGrupo,MATCH(SUBSTITUTE($H1595,"*","-"),MgAmenClave,0)),"")</f>
        <v/>
      </c>
      <c r="K1595" s="64">
        <f>IFERROR(INDEX('1. Matriz de Activos'!$Q$6:$Q$239,MATCH($C1595,MgActId,0)),"")</f>
        <v/>
      </c>
      <c r="L1595" s="64">
        <f>IFERROR(INDEX('1. Matriz de Activos'!$R$6:$R$239,MATCH($C1595,MgActId,0)),"")</f>
        <v/>
      </c>
      <c r="M1595" s="64">
        <f>IFERROR(INDEX('1. Matriz de Activos'!$S$6:$S$239,MATCH($C1595,MgActId,0)),"")</f>
        <v/>
      </c>
      <c r="N1595" s="28">
        <f>IFERROR(INDEX(MgAmenDegD,MATCH(SUBSTITUTE($H1595,"*","-"),MgAmenClave,0)),"No aplica")</f>
        <v/>
      </c>
      <c r="O1595" s="28">
        <f>IFERROR(INDEX(MgAmenDegI,MATCH(SUBSTITUTE($H1595,"*","-"),MgAmenClave,0)),"No aplica")</f>
        <v/>
      </c>
      <c r="P1595" s="28">
        <f>IFERROR(INDEX(MgAmenDegC,MATCH(SUBSTITUTE($H1595,"*","-"),MgAmenClave,0)),"No aplica")</f>
        <v/>
      </c>
      <c r="Q1595" s="29">
        <f>IFERROR(VLOOKUP(K1595,MgValor,2,0)*VLOOKUP(N1595,MgDeg,2,0),0)</f>
        <v/>
      </c>
      <c r="R1595" s="29">
        <f>IFERROR(VLOOKUP(L1595,MgValor,2,0)*VLOOKUP(O1595,MgDeg,2,0),0)</f>
        <v/>
      </c>
      <c r="S1595" s="29">
        <f>IFERROR(VLOOKUP(M1595,MgValor,2,0)*VLOOKUP(P1595,MgDeg,2,0),0)</f>
        <v/>
      </c>
      <c r="T1595" s="30">
        <f>MAX(Q1595:S1595)</f>
        <v/>
      </c>
      <c r="U1595" s="28">
        <f>IFERROR(LOOKUP(T1595,{0;0.5;1.5;3;4.5},{"Despreciable";"Bajo";"Medio";"Alto";"Muy alto"}),"")</f>
        <v/>
      </c>
      <c r="V1595" s="13">
        <f>IFERROR(INDEX(MgAmenFrec,MATCH(SUBSTITUTE($H1595,"*","-"),MgAmenClave,0)),"")</f>
        <v/>
      </c>
      <c r="W1595" s="28">
        <f>IFERROR(LOOKUP(X1595,{0;0.01;0.1;1;10;100},{"Muy baja";"Muy baja";"Baja";"Media";"Alta";"Muy alta"}),"")</f>
        <v/>
      </c>
      <c r="X1595" s="31">
        <f>IFERROR(VLOOKUP(V1595,MgFrec,2,0),0)</f>
        <v/>
      </c>
      <c r="Y1595" s="30">
        <f>T1595*X1595</f>
        <v/>
      </c>
      <c r="Z1595" s="28">
        <f>IFERROR(LOOKUP(Y1595,{0;0.5;5;25},{"Bajo";"Medio";"Alto";"Crítico"}),"")</f>
        <v/>
      </c>
      <c r="AA1595" s="64">
        <f>IF(T1595&gt;=3,IF(X1595&gt;=1,"Zona 1 — Crítica: impacto alto y ocurre al menos una vez al año","Zona 4 — Catastrófica poco probable: impacto alto pero excepcional"),IF(AND(T1595&lt;1.5,X1595&lt;1),"Zona 3 — Asumible: impacto bajo y muy poco frecuente","Zona 2 — Atención: riesgo intermedio"))</f>
        <v/>
      </c>
      <c r="AB1595" s="64">
        <f>IFERROR(INDEX(MgAmenCtrl,MATCH(SUBSTITUTE($H1595,"*","-"),MgAmenClave,0)),"")</f>
        <v/>
      </c>
      <c r="AC1595" s="20" t="n"/>
      <c r="AD1595" s="31">
        <f>IFERROR($X1595*(1-IF($AC1595="",$AL1595,VLOOKUP($AC1595,MgMad,2,0))),"")</f>
        <v/>
      </c>
      <c r="AE1595" s="28">
        <f>IFERROR(LOOKUP(AD1595,{0;0.01;0.1;1;10;100},{"Muy baja";"Muy baja";"Baja";"Media";"Alta";"Muy alta"}),"")</f>
        <v/>
      </c>
      <c r="AF1595" s="30">
        <f>T1595*AD1595</f>
        <v/>
      </c>
      <c r="AG1595" s="28">
        <f>IFERROR(LOOKUP(AF1595,{0;0.5;5;25},{"Bajo";"Medio";"Alto";"Crítico"}),"")</f>
        <v/>
      </c>
      <c r="AH1595" s="28">
        <f>IF(AG1595="","",IF(OR(AG1595="Crítico",AG1595="Alto"),"Mitigar",IF(AG1595="Medio","Mitigar","Aceptar y monitorear")))</f>
        <v/>
      </c>
      <c r="AI1595" s="21" t="n"/>
      <c r="AJ1595" s="21" t="n"/>
      <c r="AK1595" s="20" t="n"/>
      <c r="AL1595" s="77">
        <f>IFERROR(INDEX(MgAmenEfic,MATCH(SUBSTITUTE($H1595,"*","-"),MgAmenClave,0)),0)</f>
        <v/>
      </c>
    </row>
    <row r="1596" hidden="1" ht="90" customHeight="1" s="54">
      <c r="B1596" s="59" t="inlineStr">
        <is>
          <t>R-1591</t>
        </is>
      </c>
      <c r="C1596" s="59" t="inlineStr">
        <is>
          <t>TEC-004</t>
        </is>
      </c>
      <c r="D1596" s="64">
        <f>IFERROR(INDEX(MgNombre,MATCH($C1596,MgActId,0)),"")</f>
        <v/>
      </c>
      <c r="E1596" s="64">
        <f>IFERROR(INDEX(MgProceso,MATCH($C1596,MgActId,0)),"")</f>
        <v/>
      </c>
      <c r="F1596" s="64">
        <f>IFERROR(INDEX(MgTipo,MATCH($C1596,MgActId,0)),"")</f>
        <v/>
      </c>
      <c r="G1596" s="64">
        <f>IFERROR(INDEX(MgSubtipo,MATCH($C1596,MgActId,0)),"")</f>
        <v/>
      </c>
      <c r="H1596" s="59" t="inlineStr">
        <is>
          <t>E.14</t>
        </is>
      </c>
      <c r="I1596" s="64">
        <f>IFERROR(INDEX(MgAmenNombre,MATCH(SUBSTITUTE($H1596,"*","-"),MgAmenClave,0)),"")</f>
        <v/>
      </c>
      <c r="J1596" s="28">
        <f>IFERROR(INDEX(MgAmenGrupo,MATCH(SUBSTITUTE($H1596,"*","-"),MgAmenClave,0)),"")</f>
        <v/>
      </c>
      <c r="K1596" s="64">
        <f>IFERROR(INDEX('1. Matriz de Activos'!$Q$6:$Q$239,MATCH($C1596,MgActId,0)),"")</f>
        <v/>
      </c>
      <c r="L1596" s="64">
        <f>IFERROR(INDEX('1. Matriz de Activos'!$R$6:$R$239,MATCH($C1596,MgActId,0)),"")</f>
        <v/>
      </c>
      <c r="M1596" s="64">
        <f>IFERROR(INDEX('1. Matriz de Activos'!$S$6:$S$239,MATCH($C1596,MgActId,0)),"")</f>
        <v/>
      </c>
      <c r="N1596" s="28">
        <f>IFERROR(INDEX(MgAmenDegD,MATCH(SUBSTITUTE($H1596,"*","-"),MgAmenClave,0)),"No aplica")</f>
        <v/>
      </c>
      <c r="O1596" s="28">
        <f>IFERROR(INDEX(MgAmenDegI,MATCH(SUBSTITUTE($H1596,"*","-"),MgAmenClave,0)),"No aplica")</f>
        <v/>
      </c>
      <c r="P1596" s="28">
        <f>IFERROR(INDEX(MgAmenDegC,MATCH(SUBSTITUTE($H1596,"*","-"),MgAmenClave,0)),"No aplica")</f>
        <v/>
      </c>
      <c r="Q1596" s="29">
        <f>IFERROR(VLOOKUP(K1596,MgValor,2,0)*VLOOKUP(N1596,MgDeg,2,0),0)</f>
        <v/>
      </c>
      <c r="R1596" s="29">
        <f>IFERROR(VLOOKUP(L1596,MgValor,2,0)*VLOOKUP(O1596,MgDeg,2,0),0)</f>
        <v/>
      </c>
      <c r="S1596" s="29">
        <f>IFERROR(VLOOKUP(M1596,MgValor,2,0)*VLOOKUP(P1596,MgDeg,2,0),0)</f>
        <v/>
      </c>
      <c r="T1596" s="30">
        <f>MAX(Q1596:S1596)</f>
        <v/>
      </c>
      <c r="U1596" s="28">
        <f>IFERROR(LOOKUP(T1596,{0;0.5;1.5;3;4.5},{"Despreciable";"Bajo";"Medio";"Alto";"Muy alto"}),"")</f>
        <v/>
      </c>
      <c r="V1596" s="13">
        <f>IFERROR(INDEX(MgAmenFrec,MATCH(SUBSTITUTE($H1596,"*","-"),MgAmenClave,0)),"")</f>
        <v/>
      </c>
      <c r="W1596" s="28">
        <f>IFERROR(LOOKUP(X1596,{0;0.01;0.1;1;10;100},{"Muy baja";"Muy baja";"Baja";"Media";"Alta";"Muy alta"}),"")</f>
        <v/>
      </c>
      <c r="X1596" s="31">
        <f>IFERROR(VLOOKUP(V1596,MgFrec,2,0),0)</f>
        <v/>
      </c>
      <c r="Y1596" s="30">
        <f>T1596*X1596</f>
        <v/>
      </c>
      <c r="Z1596" s="28">
        <f>IFERROR(LOOKUP(Y1596,{0;0.5;5;25},{"Bajo";"Medio";"Alto";"Crítico"}),"")</f>
        <v/>
      </c>
      <c r="AA1596" s="64">
        <f>IF(T1596&gt;=3,IF(X1596&gt;=1,"Zona 1 — Crítica: impacto alto y ocurre al menos una vez al año","Zona 4 — Catastrófica poco probable: impacto alto pero excepcional"),IF(AND(T1596&lt;1.5,X1596&lt;1),"Zona 3 — Asumible: impacto bajo y muy poco frecuente","Zona 2 — Atención: riesgo intermedio"))</f>
        <v/>
      </c>
      <c r="AB1596" s="64">
        <f>IFERROR(INDEX(MgAmenCtrl,MATCH(SUBSTITUTE($H1596,"*","-"),MgAmenClave,0)),"")</f>
        <v/>
      </c>
      <c r="AC1596" s="20" t="n"/>
      <c r="AD1596" s="31">
        <f>IFERROR($X1596*(1-IF($AC1596="",$AL1596,VLOOKUP($AC1596,MgMad,2,0))),"")</f>
        <v/>
      </c>
      <c r="AE1596" s="28">
        <f>IFERROR(LOOKUP(AD1596,{0;0.01;0.1;1;10;100},{"Muy baja";"Muy baja";"Baja";"Media";"Alta";"Muy alta"}),"")</f>
        <v/>
      </c>
      <c r="AF1596" s="30">
        <f>T1596*AD1596</f>
        <v/>
      </c>
      <c r="AG1596" s="28">
        <f>IFERROR(LOOKUP(AF1596,{0;0.5;5;25},{"Bajo";"Medio";"Alto";"Crítico"}),"")</f>
        <v/>
      </c>
      <c r="AH1596" s="28">
        <f>IF(AG1596="","",IF(OR(AG1596="Crítico",AG1596="Alto"),"Mitigar",IF(AG1596="Medio","Mitigar","Aceptar y monitorear")))</f>
        <v/>
      </c>
      <c r="AI1596" s="21" t="n"/>
      <c r="AJ1596" s="21" t="n"/>
      <c r="AK1596" s="20" t="n"/>
      <c r="AL1596" s="77">
        <f>IFERROR(INDEX(MgAmenEfic,MATCH(SUBSTITUTE($H1596,"*","-"),MgAmenClave,0)),0)</f>
        <v/>
      </c>
    </row>
    <row r="1597" hidden="1" ht="105" customHeight="1" s="54">
      <c r="B1597" s="59" t="inlineStr">
        <is>
          <t>R-1592</t>
        </is>
      </c>
      <c r="C1597" s="59" t="inlineStr">
        <is>
          <t>TEC-004</t>
        </is>
      </c>
      <c r="D1597" s="64">
        <f>IFERROR(INDEX(MgNombre,MATCH($C1597,MgActId,0)),"")</f>
        <v/>
      </c>
      <c r="E1597" s="64">
        <f>IFERROR(INDEX(MgProceso,MATCH($C1597,MgActId,0)),"")</f>
        <v/>
      </c>
      <c r="F1597" s="64">
        <f>IFERROR(INDEX(MgTipo,MATCH($C1597,MgActId,0)),"")</f>
        <v/>
      </c>
      <c r="G1597" s="64">
        <f>IFERROR(INDEX(MgSubtipo,MATCH($C1597,MgActId,0)),"")</f>
        <v/>
      </c>
      <c r="H1597" s="59" t="inlineStr">
        <is>
          <t>E.19</t>
        </is>
      </c>
      <c r="I1597" s="64">
        <f>IFERROR(INDEX(MgAmenNombre,MATCH(SUBSTITUTE($H1597,"*","-"),MgAmenClave,0)),"")</f>
        <v/>
      </c>
      <c r="J1597" s="28">
        <f>IFERROR(INDEX(MgAmenGrupo,MATCH(SUBSTITUTE($H1597,"*","-"),MgAmenClave,0)),"")</f>
        <v/>
      </c>
      <c r="K1597" s="64">
        <f>IFERROR(INDEX('1. Matriz de Activos'!$Q$6:$Q$239,MATCH($C1597,MgActId,0)),"")</f>
        <v/>
      </c>
      <c r="L1597" s="64">
        <f>IFERROR(INDEX('1. Matriz de Activos'!$R$6:$R$239,MATCH($C1597,MgActId,0)),"")</f>
        <v/>
      </c>
      <c r="M1597" s="64">
        <f>IFERROR(INDEX('1. Matriz de Activos'!$S$6:$S$239,MATCH($C1597,MgActId,0)),"")</f>
        <v/>
      </c>
      <c r="N1597" s="28">
        <f>IFERROR(INDEX(MgAmenDegD,MATCH(SUBSTITUTE($H1597,"*","-"),MgAmenClave,0)),"No aplica")</f>
        <v/>
      </c>
      <c r="O1597" s="28">
        <f>IFERROR(INDEX(MgAmenDegI,MATCH(SUBSTITUTE($H1597,"*","-"),MgAmenClave,0)),"No aplica")</f>
        <v/>
      </c>
      <c r="P1597" s="28">
        <f>IFERROR(INDEX(MgAmenDegC,MATCH(SUBSTITUTE($H1597,"*","-"),MgAmenClave,0)),"No aplica")</f>
        <v/>
      </c>
      <c r="Q1597" s="29">
        <f>IFERROR(VLOOKUP(K1597,MgValor,2,0)*VLOOKUP(N1597,MgDeg,2,0),0)</f>
        <v/>
      </c>
      <c r="R1597" s="29">
        <f>IFERROR(VLOOKUP(L1597,MgValor,2,0)*VLOOKUP(O1597,MgDeg,2,0),0)</f>
        <v/>
      </c>
      <c r="S1597" s="29">
        <f>IFERROR(VLOOKUP(M1597,MgValor,2,0)*VLOOKUP(P1597,MgDeg,2,0),0)</f>
        <v/>
      </c>
      <c r="T1597" s="30">
        <f>MAX(Q1597:S1597)</f>
        <v/>
      </c>
      <c r="U1597" s="28">
        <f>IFERROR(LOOKUP(T1597,{0;0.5;1.5;3;4.5},{"Despreciable";"Bajo";"Medio";"Alto";"Muy alto"}),"")</f>
        <v/>
      </c>
      <c r="V1597" s="13">
        <f>IFERROR(INDEX(MgAmenFrec,MATCH(SUBSTITUTE($H1597,"*","-"),MgAmenClave,0)),"")</f>
        <v/>
      </c>
      <c r="W1597" s="28">
        <f>IFERROR(LOOKUP(X1597,{0;0.01;0.1;1;10;100},{"Muy baja";"Muy baja";"Baja";"Media";"Alta";"Muy alta"}),"")</f>
        <v/>
      </c>
      <c r="X1597" s="31">
        <f>IFERROR(VLOOKUP(V1597,MgFrec,2,0),0)</f>
        <v/>
      </c>
      <c r="Y1597" s="30">
        <f>T1597*X1597</f>
        <v/>
      </c>
      <c r="Z1597" s="28">
        <f>IFERROR(LOOKUP(Y1597,{0;0.5;5;25},{"Bajo";"Medio";"Alto";"Crítico"}),"")</f>
        <v/>
      </c>
      <c r="AA1597" s="64">
        <f>IF(T1597&gt;=3,IF(X1597&gt;=1,"Zona 1 — Crítica: impacto alto y ocurre al menos una vez al año","Zona 4 — Catastrófica poco probable: impacto alto pero excepcional"),IF(AND(T1597&lt;1.5,X1597&lt;1),"Zona 3 — Asumible: impacto bajo y muy poco frecuente","Zona 2 — Atención: riesgo intermedio"))</f>
        <v/>
      </c>
      <c r="AB1597" s="64">
        <f>IFERROR(INDEX(MgAmenCtrl,MATCH(SUBSTITUTE($H1597,"*","-"),MgAmenClave,0)),"")</f>
        <v/>
      </c>
      <c r="AC1597" s="20" t="n"/>
      <c r="AD1597" s="31">
        <f>IFERROR($X1597*(1-IF($AC1597="",$AL1597,VLOOKUP($AC1597,MgMad,2,0))),"")</f>
        <v/>
      </c>
      <c r="AE1597" s="28">
        <f>IFERROR(LOOKUP(AD1597,{0;0.01;0.1;1;10;100},{"Muy baja";"Muy baja";"Baja";"Media";"Alta";"Muy alta"}),"")</f>
        <v/>
      </c>
      <c r="AF1597" s="30">
        <f>T1597*AD1597</f>
        <v/>
      </c>
      <c r="AG1597" s="28">
        <f>IFERROR(LOOKUP(AF1597,{0;0.5;5;25},{"Bajo";"Medio";"Alto";"Crítico"}),"")</f>
        <v/>
      </c>
      <c r="AH1597" s="28">
        <f>IF(AG1597="","",IF(OR(AG1597="Crítico",AG1597="Alto"),"Mitigar",IF(AG1597="Medio","Mitigar","Aceptar y monitorear")))</f>
        <v/>
      </c>
      <c r="AI1597" s="21" t="n"/>
      <c r="AJ1597" s="21" t="n"/>
      <c r="AK1597" s="20" t="n"/>
      <c r="AL1597" s="77">
        <f>IFERROR(INDEX(MgAmenEfic,MATCH(SUBSTITUTE($H1597,"*","-"),MgAmenClave,0)),0)</f>
        <v/>
      </c>
    </row>
    <row r="1598" hidden="1" ht="45" customHeight="1" s="54">
      <c r="B1598" s="59" t="inlineStr">
        <is>
          <t>R-1593</t>
        </is>
      </c>
      <c r="C1598" s="59" t="inlineStr">
        <is>
          <t>TEC-004</t>
        </is>
      </c>
      <c r="D1598" s="64">
        <f>IFERROR(INDEX(MgNombre,MATCH($C1598,MgActId,0)),"")</f>
        <v/>
      </c>
      <c r="E1598" s="64">
        <f>IFERROR(INDEX(MgProceso,MATCH($C1598,MgActId,0)),"")</f>
        <v/>
      </c>
      <c r="F1598" s="64">
        <f>IFERROR(INDEX(MgTipo,MATCH($C1598,MgActId,0)),"")</f>
        <v/>
      </c>
      <c r="G1598" s="64">
        <f>IFERROR(INDEX(MgSubtipo,MATCH($C1598,MgActId,0)),"")</f>
        <v/>
      </c>
      <c r="H1598" s="59" t="inlineStr">
        <is>
          <t>E.23</t>
        </is>
      </c>
      <c r="I1598" s="64">
        <f>IFERROR(INDEX(MgAmenNombre,MATCH(SUBSTITUTE($H1598,"*","-"),MgAmenClave,0)),"")</f>
        <v/>
      </c>
      <c r="J1598" s="28">
        <f>IFERROR(INDEX(MgAmenGrupo,MATCH(SUBSTITUTE($H1598,"*","-"),MgAmenClave,0)),"")</f>
        <v/>
      </c>
      <c r="K1598" s="64">
        <f>IFERROR(INDEX('1. Matriz de Activos'!$Q$6:$Q$239,MATCH($C1598,MgActId,0)),"")</f>
        <v/>
      </c>
      <c r="L1598" s="64">
        <f>IFERROR(INDEX('1. Matriz de Activos'!$R$6:$R$239,MATCH($C1598,MgActId,0)),"")</f>
        <v/>
      </c>
      <c r="M1598" s="64">
        <f>IFERROR(INDEX('1. Matriz de Activos'!$S$6:$S$239,MATCH($C1598,MgActId,0)),"")</f>
        <v/>
      </c>
      <c r="N1598" s="28">
        <f>IFERROR(INDEX(MgAmenDegD,MATCH(SUBSTITUTE($H1598,"*","-"),MgAmenClave,0)),"No aplica")</f>
        <v/>
      </c>
      <c r="O1598" s="28">
        <f>IFERROR(INDEX(MgAmenDegI,MATCH(SUBSTITUTE($H1598,"*","-"),MgAmenClave,0)),"No aplica")</f>
        <v/>
      </c>
      <c r="P1598" s="28">
        <f>IFERROR(INDEX(MgAmenDegC,MATCH(SUBSTITUTE($H1598,"*","-"),MgAmenClave,0)),"No aplica")</f>
        <v/>
      </c>
      <c r="Q1598" s="29">
        <f>IFERROR(VLOOKUP(K1598,MgValor,2,0)*VLOOKUP(N1598,MgDeg,2,0),0)</f>
        <v/>
      </c>
      <c r="R1598" s="29">
        <f>IFERROR(VLOOKUP(L1598,MgValor,2,0)*VLOOKUP(O1598,MgDeg,2,0),0)</f>
        <v/>
      </c>
      <c r="S1598" s="29">
        <f>IFERROR(VLOOKUP(M1598,MgValor,2,0)*VLOOKUP(P1598,MgDeg,2,0),0)</f>
        <v/>
      </c>
      <c r="T1598" s="30">
        <f>MAX(Q1598:S1598)</f>
        <v/>
      </c>
      <c r="U1598" s="28">
        <f>IFERROR(LOOKUP(T1598,{0;0.5;1.5;3;4.5},{"Despreciable";"Bajo";"Medio";"Alto";"Muy alto"}),"")</f>
        <v/>
      </c>
      <c r="V1598" s="13">
        <f>IFERROR(INDEX(MgAmenFrec,MATCH(SUBSTITUTE($H1598,"*","-"),MgAmenClave,0)),"")</f>
        <v/>
      </c>
      <c r="W1598" s="28">
        <f>IFERROR(LOOKUP(X1598,{0;0.01;0.1;1;10;100},{"Muy baja";"Muy baja";"Baja";"Media";"Alta";"Muy alta"}),"")</f>
        <v/>
      </c>
      <c r="X1598" s="31">
        <f>IFERROR(VLOOKUP(V1598,MgFrec,2,0),0)</f>
        <v/>
      </c>
      <c r="Y1598" s="30">
        <f>T1598*X1598</f>
        <v/>
      </c>
      <c r="Z1598" s="28">
        <f>IFERROR(LOOKUP(Y1598,{0;0.5;5;25},{"Bajo";"Medio";"Alto";"Crítico"}),"")</f>
        <v/>
      </c>
      <c r="AA1598" s="64">
        <f>IF(T1598&gt;=3,IF(X1598&gt;=1,"Zona 1 — Crítica: impacto alto y ocurre al menos una vez al año","Zona 4 — Catastrófica poco probable: impacto alto pero excepcional"),IF(AND(T1598&lt;1.5,X1598&lt;1),"Zona 3 — Asumible: impacto bajo y muy poco frecuente","Zona 2 — Atención: riesgo intermedio"))</f>
        <v/>
      </c>
      <c r="AB1598" s="64">
        <f>IFERROR(INDEX(MgAmenCtrl,MATCH(SUBSTITUTE($H1598,"*","-"),MgAmenClave,0)),"")</f>
        <v/>
      </c>
      <c r="AC1598" s="20" t="n"/>
      <c r="AD1598" s="31">
        <f>IFERROR($X1598*(1-IF($AC1598="",$AL1598,VLOOKUP($AC1598,MgMad,2,0))),"")</f>
        <v/>
      </c>
      <c r="AE1598" s="28">
        <f>IFERROR(LOOKUP(AD1598,{0;0.01;0.1;1;10;100},{"Muy baja";"Muy baja";"Baja";"Media";"Alta";"Muy alta"}),"")</f>
        <v/>
      </c>
      <c r="AF1598" s="30">
        <f>T1598*AD1598</f>
        <v/>
      </c>
      <c r="AG1598" s="28">
        <f>IFERROR(LOOKUP(AF1598,{0;0.5;5;25},{"Bajo";"Medio";"Alto";"Crítico"}),"")</f>
        <v/>
      </c>
      <c r="AH1598" s="28">
        <f>IF(AG1598="","",IF(OR(AG1598="Crítico",AG1598="Alto"),"Mitigar",IF(AG1598="Medio","Mitigar","Aceptar y monitorear")))</f>
        <v/>
      </c>
      <c r="AI1598" s="21" t="n"/>
      <c r="AJ1598" s="21" t="n"/>
      <c r="AK1598" s="20" t="n"/>
      <c r="AL1598" s="77">
        <f>IFERROR(INDEX(MgAmenEfic,MATCH(SUBSTITUTE($H1598,"*","-"),MgAmenClave,0)),0)</f>
        <v/>
      </c>
    </row>
    <row r="1599" hidden="1" ht="45" customHeight="1" s="54">
      <c r="B1599" s="59" t="inlineStr">
        <is>
          <t>R-1594</t>
        </is>
      </c>
      <c r="C1599" s="59" t="inlineStr">
        <is>
          <t>TEC-004</t>
        </is>
      </c>
      <c r="D1599" s="64">
        <f>IFERROR(INDEX(MgNombre,MATCH($C1599,MgActId,0)),"")</f>
        <v/>
      </c>
      <c r="E1599" s="64">
        <f>IFERROR(INDEX(MgProceso,MATCH($C1599,MgActId,0)),"")</f>
        <v/>
      </c>
      <c r="F1599" s="64">
        <f>IFERROR(INDEX(MgTipo,MATCH($C1599,MgActId,0)),"")</f>
        <v/>
      </c>
      <c r="G1599" s="64">
        <f>IFERROR(INDEX(MgSubtipo,MATCH($C1599,MgActId,0)),"")</f>
        <v/>
      </c>
      <c r="H1599" s="59" t="inlineStr">
        <is>
          <t>E.24</t>
        </is>
      </c>
      <c r="I1599" s="64">
        <f>IFERROR(INDEX(MgAmenNombre,MATCH(SUBSTITUTE($H1599,"*","-"),MgAmenClave,0)),"")</f>
        <v/>
      </c>
      <c r="J1599" s="28">
        <f>IFERROR(INDEX(MgAmenGrupo,MATCH(SUBSTITUTE($H1599,"*","-"),MgAmenClave,0)),"")</f>
        <v/>
      </c>
      <c r="K1599" s="64">
        <f>IFERROR(INDEX('1. Matriz de Activos'!$Q$6:$Q$239,MATCH($C1599,MgActId,0)),"")</f>
        <v/>
      </c>
      <c r="L1599" s="64">
        <f>IFERROR(INDEX('1. Matriz de Activos'!$R$6:$R$239,MATCH($C1599,MgActId,0)),"")</f>
        <v/>
      </c>
      <c r="M1599" s="64">
        <f>IFERROR(INDEX('1. Matriz de Activos'!$S$6:$S$239,MATCH($C1599,MgActId,0)),"")</f>
        <v/>
      </c>
      <c r="N1599" s="28">
        <f>IFERROR(INDEX(MgAmenDegD,MATCH(SUBSTITUTE($H1599,"*","-"),MgAmenClave,0)),"No aplica")</f>
        <v/>
      </c>
      <c r="O1599" s="28">
        <f>IFERROR(INDEX(MgAmenDegI,MATCH(SUBSTITUTE($H1599,"*","-"),MgAmenClave,0)),"No aplica")</f>
        <v/>
      </c>
      <c r="P1599" s="28">
        <f>IFERROR(INDEX(MgAmenDegC,MATCH(SUBSTITUTE($H1599,"*","-"),MgAmenClave,0)),"No aplica")</f>
        <v/>
      </c>
      <c r="Q1599" s="29">
        <f>IFERROR(VLOOKUP(K1599,MgValor,2,0)*VLOOKUP(N1599,MgDeg,2,0),0)</f>
        <v/>
      </c>
      <c r="R1599" s="29">
        <f>IFERROR(VLOOKUP(L1599,MgValor,2,0)*VLOOKUP(O1599,MgDeg,2,0),0)</f>
        <v/>
      </c>
      <c r="S1599" s="29">
        <f>IFERROR(VLOOKUP(M1599,MgValor,2,0)*VLOOKUP(P1599,MgDeg,2,0),0)</f>
        <v/>
      </c>
      <c r="T1599" s="30">
        <f>MAX(Q1599:S1599)</f>
        <v/>
      </c>
      <c r="U1599" s="28">
        <f>IFERROR(LOOKUP(T1599,{0;0.5;1.5;3;4.5},{"Despreciable";"Bajo";"Medio";"Alto";"Muy alto"}),"")</f>
        <v/>
      </c>
      <c r="V1599" s="13">
        <f>IFERROR(INDEX(MgAmenFrec,MATCH(SUBSTITUTE($H1599,"*","-"),MgAmenClave,0)),"")</f>
        <v/>
      </c>
      <c r="W1599" s="28">
        <f>IFERROR(LOOKUP(X1599,{0;0.01;0.1;1;10;100},{"Muy baja";"Muy baja";"Baja";"Media";"Alta";"Muy alta"}),"")</f>
        <v/>
      </c>
      <c r="X1599" s="31">
        <f>IFERROR(VLOOKUP(V1599,MgFrec,2,0),0)</f>
        <v/>
      </c>
      <c r="Y1599" s="30">
        <f>T1599*X1599</f>
        <v/>
      </c>
      <c r="Z1599" s="28">
        <f>IFERROR(LOOKUP(Y1599,{0;0.5;5;25},{"Bajo";"Medio";"Alto";"Crítico"}),"")</f>
        <v/>
      </c>
      <c r="AA1599" s="64">
        <f>IF(T1599&gt;=3,IF(X1599&gt;=1,"Zona 1 — Crítica: impacto alto y ocurre al menos una vez al año","Zona 4 — Catastrófica poco probable: impacto alto pero excepcional"),IF(AND(T1599&lt;1.5,X1599&lt;1),"Zona 3 — Asumible: impacto bajo y muy poco frecuente","Zona 2 — Atención: riesgo intermedio"))</f>
        <v/>
      </c>
      <c r="AB1599" s="64">
        <f>IFERROR(INDEX(MgAmenCtrl,MATCH(SUBSTITUTE($H1599,"*","-"),MgAmenClave,0)),"")</f>
        <v/>
      </c>
      <c r="AC1599" s="20" t="n"/>
      <c r="AD1599" s="31">
        <f>IFERROR($X1599*(1-IF($AC1599="",$AL1599,VLOOKUP($AC1599,MgMad,2,0))),"")</f>
        <v/>
      </c>
      <c r="AE1599" s="28">
        <f>IFERROR(LOOKUP(AD1599,{0;0.01;0.1;1;10;100},{"Muy baja";"Muy baja";"Baja";"Media";"Alta";"Muy alta"}),"")</f>
        <v/>
      </c>
      <c r="AF1599" s="30">
        <f>T1599*AD1599</f>
        <v/>
      </c>
      <c r="AG1599" s="28">
        <f>IFERROR(LOOKUP(AF1599,{0;0.5;5;25},{"Bajo";"Medio";"Alto";"Crítico"}),"")</f>
        <v/>
      </c>
      <c r="AH1599" s="28">
        <f>IF(AG1599="","",IF(OR(AG1599="Crítico",AG1599="Alto"),"Mitigar",IF(AG1599="Medio","Mitigar","Aceptar y monitorear")))</f>
        <v/>
      </c>
      <c r="AI1599" s="21" t="n"/>
      <c r="AJ1599" s="21" t="n"/>
      <c r="AK1599" s="20" t="n"/>
      <c r="AL1599" s="77">
        <f>IFERROR(INDEX(MgAmenEfic,MATCH(SUBSTITUTE($H1599,"*","-"),MgAmenClave,0)),0)</f>
        <v/>
      </c>
    </row>
    <row r="1600" hidden="1" ht="75" customHeight="1" s="54">
      <c r="B1600" s="59" t="inlineStr">
        <is>
          <t>R-1595</t>
        </is>
      </c>
      <c r="C1600" s="59" t="inlineStr">
        <is>
          <t>TEC-004</t>
        </is>
      </c>
      <c r="D1600" s="64">
        <f>IFERROR(INDEX(MgNombre,MATCH($C1600,MgActId,0)),"")</f>
        <v/>
      </c>
      <c r="E1600" s="64">
        <f>IFERROR(INDEX(MgProceso,MATCH($C1600,MgActId,0)),"")</f>
        <v/>
      </c>
      <c r="F1600" s="64">
        <f>IFERROR(INDEX(MgTipo,MATCH($C1600,MgActId,0)),"")</f>
        <v/>
      </c>
      <c r="G1600" s="64">
        <f>IFERROR(INDEX(MgSubtipo,MATCH($C1600,MgActId,0)),"")</f>
        <v/>
      </c>
      <c r="H1600" s="59" t="inlineStr">
        <is>
          <t>E.25</t>
        </is>
      </c>
      <c r="I1600" s="64">
        <f>IFERROR(INDEX(MgAmenNombre,MATCH(SUBSTITUTE($H1600,"*","-"),MgAmenClave,0)),"")</f>
        <v/>
      </c>
      <c r="J1600" s="28">
        <f>IFERROR(INDEX(MgAmenGrupo,MATCH(SUBSTITUTE($H1600,"*","-"),MgAmenClave,0)),"")</f>
        <v/>
      </c>
      <c r="K1600" s="64">
        <f>IFERROR(INDEX('1. Matriz de Activos'!$Q$6:$Q$239,MATCH($C1600,MgActId,0)),"")</f>
        <v/>
      </c>
      <c r="L1600" s="64">
        <f>IFERROR(INDEX('1. Matriz de Activos'!$R$6:$R$239,MATCH($C1600,MgActId,0)),"")</f>
        <v/>
      </c>
      <c r="M1600" s="64">
        <f>IFERROR(INDEX('1. Matriz de Activos'!$S$6:$S$239,MATCH($C1600,MgActId,0)),"")</f>
        <v/>
      </c>
      <c r="N1600" s="28">
        <f>IFERROR(INDEX(MgAmenDegD,MATCH(SUBSTITUTE($H1600,"*","-"),MgAmenClave,0)),"No aplica")</f>
        <v/>
      </c>
      <c r="O1600" s="28">
        <f>IFERROR(INDEX(MgAmenDegI,MATCH(SUBSTITUTE($H1600,"*","-"),MgAmenClave,0)),"No aplica")</f>
        <v/>
      </c>
      <c r="P1600" s="28">
        <f>IFERROR(INDEX(MgAmenDegC,MATCH(SUBSTITUTE($H1600,"*","-"),MgAmenClave,0)),"No aplica")</f>
        <v/>
      </c>
      <c r="Q1600" s="29">
        <f>IFERROR(VLOOKUP(K1600,MgValor,2,0)*VLOOKUP(N1600,MgDeg,2,0),0)</f>
        <v/>
      </c>
      <c r="R1600" s="29">
        <f>IFERROR(VLOOKUP(L1600,MgValor,2,0)*VLOOKUP(O1600,MgDeg,2,0),0)</f>
        <v/>
      </c>
      <c r="S1600" s="29">
        <f>IFERROR(VLOOKUP(M1600,MgValor,2,0)*VLOOKUP(P1600,MgDeg,2,0),0)</f>
        <v/>
      </c>
      <c r="T1600" s="30">
        <f>MAX(Q1600:S1600)</f>
        <v/>
      </c>
      <c r="U1600" s="28">
        <f>IFERROR(LOOKUP(T1600,{0;0.5;1.5;3;4.5},{"Despreciable";"Bajo";"Medio";"Alto";"Muy alto"}),"")</f>
        <v/>
      </c>
      <c r="V1600" s="13">
        <f>IFERROR(INDEX(MgAmenFrec,MATCH(SUBSTITUTE($H1600,"*","-"),MgAmenClave,0)),"")</f>
        <v/>
      </c>
      <c r="W1600" s="28">
        <f>IFERROR(LOOKUP(X1600,{0;0.01;0.1;1;10;100},{"Muy baja";"Muy baja";"Baja";"Media";"Alta";"Muy alta"}),"")</f>
        <v/>
      </c>
      <c r="X1600" s="31">
        <f>IFERROR(VLOOKUP(V1600,MgFrec,2,0),0)</f>
        <v/>
      </c>
      <c r="Y1600" s="30">
        <f>T1600*X1600</f>
        <v/>
      </c>
      <c r="Z1600" s="28">
        <f>IFERROR(LOOKUP(Y1600,{0;0.5;5;25},{"Bajo";"Medio";"Alto";"Crítico"}),"")</f>
        <v/>
      </c>
      <c r="AA1600" s="64">
        <f>IF(T1600&gt;=3,IF(X1600&gt;=1,"Zona 1 — Crítica: impacto alto y ocurre al menos una vez al año","Zona 4 — Catastrófica poco probable: impacto alto pero excepcional"),IF(AND(T1600&lt;1.5,X1600&lt;1),"Zona 3 — Asumible: impacto bajo y muy poco frecuente","Zona 2 — Atención: riesgo intermedio"))</f>
        <v/>
      </c>
      <c r="AB1600" s="64">
        <f>IFERROR(INDEX(MgAmenCtrl,MATCH(SUBSTITUTE($H1600,"*","-"),MgAmenClave,0)),"")</f>
        <v/>
      </c>
      <c r="AC1600" s="20" t="n"/>
      <c r="AD1600" s="31">
        <f>IFERROR($X1600*(1-IF($AC1600="",$AL1600,VLOOKUP($AC1600,MgMad,2,0))),"")</f>
        <v/>
      </c>
      <c r="AE1600" s="28">
        <f>IFERROR(LOOKUP(AD1600,{0;0.01;0.1;1;10;100},{"Muy baja";"Muy baja";"Baja";"Media";"Alta";"Muy alta"}),"")</f>
        <v/>
      </c>
      <c r="AF1600" s="30">
        <f>T1600*AD1600</f>
        <v/>
      </c>
      <c r="AG1600" s="28">
        <f>IFERROR(LOOKUP(AF1600,{0;0.5;5;25},{"Bajo";"Medio";"Alto";"Crítico"}),"")</f>
        <v/>
      </c>
      <c r="AH1600" s="28">
        <f>IF(AG1600="","",IF(OR(AG1600="Crítico",AG1600="Alto"),"Mitigar",IF(AG1600="Medio","Mitigar","Aceptar y monitorear")))</f>
        <v/>
      </c>
      <c r="AI1600" s="21" t="n"/>
      <c r="AJ1600" s="21" t="n"/>
      <c r="AK1600" s="20" t="n"/>
      <c r="AL1600" s="77">
        <f>IFERROR(INDEX(MgAmenEfic,MATCH(SUBSTITUTE($H1600,"*","-"),MgAmenClave,0)),0)</f>
        <v/>
      </c>
    </row>
    <row r="1601" hidden="1" ht="105" customHeight="1" s="54">
      <c r="B1601" s="59" t="inlineStr">
        <is>
          <t>R-1596</t>
        </is>
      </c>
      <c r="C1601" s="59" t="inlineStr">
        <is>
          <t>TEC-004</t>
        </is>
      </c>
      <c r="D1601" s="64">
        <f>IFERROR(INDEX(MgNombre,MATCH($C1601,MgActId,0)),"")</f>
        <v/>
      </c>
      <c r="E1601" s="64">
        <f>IFERROR(INDEX(MgProceso,MATCH($C1601,MgActId,0)),"")</f>
        <v/>
      </c>
      <c r="F1601" s="64">
        <f>IFERROR(INDEX(MgTipo,MATCH($C1601,MgActId,0)),"")</f>
        <v/>
      </c>
      <c r="G1601" s="64">
        <f>IFERROR(INDEX(MgSubtipo,MATCH($C1601,MgActId,0)),"")</f>
        <v/>
      </c>
      <c r="H1601" s="59" t="inlineStr">
        <is>
          <t>A.6</t>
        </is>
      </c>
      <c r="I1601" s="64">
        <f>IFERROR(INDEX(MgAmenNombre,MATCH(SUBSTITUTE($H1601,"*","-"),MgAmenClave,0)),"")</f>
        <v/>
      </c>
      <c r="J1601" s="28">
        <f>IFERROR(INDEX(MgAmenGrupo,MATCH(SUBSTITUTE($H1601,"*","-"),MgAmenClave,0)),"")</f>
        <v/>
      </c>
      <c r="K1601" s="64">
        <f>IFERROR(INDEX('1. Matriz de Activos'!$Q$6:$Q$239,MATCH($C1601,MgActId,0)),"")</f>
        <v/>
      </c>
      <c r="L1601" s="64">
        <f>IFERROR(INDEX('1. Matriz de Activos'!$R$6:$R$239,MATCH($C1601,MgActId,0)),"")</f>
        <v/>
      </c>
      <c r="M1601" s="64">
        <f>IFERROR(INDEX('1. Matriz de Activos'!$S$6:$S$239,MATCH($C1601,MgActId,0)),"")</f>
        <v/>
      </c>
      <c r="N1601" s="28">
        <f>IFERROR(INDEX(MgAmenDegD,MATCH(SUBSTITUTE($H1601,"*","-"),MgAmenClave,0)),"No aplica")</f>
        <v/>
      </c>
      <c r="O1601" s="28">
        <f>IFERROR(INDEX(MgAmenDegI,MATCH(SUBSTITUTE($H1601,"*","-"),MgAmenClave,0)),"No aplica")</f>
        <v/>
      </c>
      <c r="P1601" s="28">
        <f>IFERROR(INDEX(MgAmenDegC,MATCH(SUBSTITUTE($H1601,"*","-"),MgAmenClave,0)),"No aplica")</f>
        <v/>
      </c>
      <c r="Q1601" s="29">
        <f>IFERROR(VLOOKUP(K1601,MgValor,2,0)*VLOOKUP(N1601,MgDeg,2,0),0)</f>
        <v/>
      </c>
      <c r="R1601" s="29">
        <f>IFERROR(VLOOKUP(L1601,MgValor,2,0)*VLOOKUP(O1601,MgDeg,2,0),0)</f>
        <v/>
      </c>
      <c r="S1601" s="29">
        <f>IFERROR(VLOOKUP(M1601,MgValor,2,0)*VLOOKUP(P1601,MgDeg,2,0),0)</f>
        <v/>
      </c>
      <c r="T1601" s="30">
        <f>MAX(Q1601:S1601)</f>
        <v/>
      </c>
      <c r="U1601" s="28">
        <f>IFERROR(LOOKUP(T1601,{0;0.5;1.5;3;4.5},{"Despreciable";"Bajo";"Medio";"Alto";"Muy alto"}),"")</f>
        <v/>
      </c>
      <c r="V1601" s="13">
        <f>IFERROR(INDEX(MgAmenFrec,MATCH(SUBSTITUTE($H1601,"*","-"),MgAmenClave,0)),"")</f>
        <v/>
      </c>
      <c r="W1601" s="28">
        <f>IFERROR(LOOKUP(X1601,{0;0.01;0.1;1;10;100},{"Muy baja";"Muy baja";"Baja";"Media";"Alta";"Muy alta"}),"")</f>
        <v/>
      </c>
      <c r="X1601" s="31">
        <f>IFERROR(VLOOKUP(V1601,MgFrec,2,0),0)</f>
        <v/>
      </c>
      <c r="Y1601" s="30">
        <f>T1601*X1601</f>
        <v/>
      </c>
      <c r="Z1601" s="28">
        <f>IFERROR(LOOKUP(Y1601,{0;0.5;5;25},{"Bajo";"Medio";"Alto";"Crítico"}),"")</f>
        <v/>
      </c>
      <c r="AA1601" s="64">
        <f>IF(T1601&gt;=3,IF(X1601&gt;=1,"Zona 1 — Crítica: impacto alto y ocurre al menos una vez al año","Zona 4 — Catastrófica poco probable: impacto alto pero excepcional"),IF(AND(T1601&lt;1.5,X1601&lt;1),"Zona 3 — Asumible: impacto bajo y muy poco frecuente","Zona 2 — Atención: riesgo intermedio"))</f>
        <v/>
      </c>
      <c r="AB1601" s="64">
        <f>IFERROR(INDEX(MgAmenCtrl,MATCH(SUBSTITUTE($H1601,"*","-"),MgAmenClave,0)),"")</f>
        <v/>
      </c>
      <c r="AC1601" s="20" t="n"/>
      <c r="AD1601" s="31">
        <f>IFERROR($X1601*(1-IF($AC1601="",$AL1601,VLOOKUP($AC1601,MgMad,2,0))),"")</f>
        <v/>
      </c>
      <c r="AE1601" s="28">
        <f>IFERROR(LOOKUP(AD1601,{0;0.01;0.1;1;10;100},{"Muy baja";"Muy baja";"Baja";"Media";"Alta";"Muy alta"}),"")</f>
        <v/>
      </c>
      <c r="AF1601" s="30">
        <f>T1601*AD1601</f>
        <v/>
      </c>
      <c r="AG1601" s="28">
        <f>IFERROR(LOOKUP(AF1601,{0;0.5;5;25},{"Bajo";"Medio";"Alto";"Crítico"}),"")</f>
        <v/>
      </c>
      <c r="AH1601" s="28">
        <f>IF(AG1601="","",IF(OR(AG1601="Crítico",AG1601="Alto"),"Mitigar",IF(AG1601="Medio","Mitigar","Aceptar y monitorear")))</f>
        <v/>
      </c>
      <c r="AI1601" s="21" t="n"/>
      <c r="AJ1601" s="21" t="n"/>
      <c r="AK1601" s="20" t="n"/>
      <c r="AL1601" s="77">
        <f>IFERROR(INDEX(MgAmenEfic,MATCH(SUBSTITUTE($H1601,"*","-"),MgAmenClave,0)),0)</f>
        <v/>
      </c>
    </row>
    <row r="1602" hidden="1" ht="60" customHeight="1" s="54">
      <c r="B1602" s="59" t="inlineStr">
        <is>
          <t>R-1597</t>
        </is>
      </c>
      <c r="C1602" s="59" t="inlineStr">
        <is>
          <t>TEC-004</t>
        </is>
      </c>
      <c r="D1602" s="64">
        <f>IFERROR(INDEX(MgNombre,MATCH($C1602,MgActId,0)),"")</f>
        <v/>
      </c>
      <c r="E1602" s="64">
        <f>IFERROR(INDEX(MgProceso,MATCH($C1602,MgActId,0)),"")</f>
        <v/>
      </c>
      <c r="F1602" s="64">
        <f>IFERROR(INDEX(MgTipo,MATCH($C1602,MgActId,0)),"")</f>
        <v/>
      </c>
      <c r="G1602" s="64">
        <f>IFERROR(INDEX(MgSubtipo,MATCH($C1602,MgActId,0)),"")</f>
        <v/>
      </c>
      <c r="H1602" s="59" t="inlineStr">
        <is>
          <t>A.7</t>
        </is>
      </c>
      <c r="I1602" s="64">
        <f>IFERROR(INDEX(MgAmenNombre,MATCH(SUBSTITUTE($H1602,"*","-"),MgAmenClave,0)),"")</f>
        <v/>
      </c>
      <c r="J1602" s="28">
        <f>IFERROR(INDEX(MgAmenGrupo,MATCH(SUBSTITUTE($H1602,"*","-"),MgAmenClave,0)),"")</f>
        <v/>
      </c>
      <c r="K1602" s="64">
        <f>IFERROR(INDEX('1. Matriz de Activos'!$Q$6:$Q$239,MATCH($C1602,MgActId,0)),"")</f>
        <v/>
      </c>
      <c r="L1602" s="64">
        <f>IFERROR(INDEX('1. Matriz de Activos'!$R$6:$R$239,MATCH($C1602,MgActId,0)),"")</f>
        <v/>
      </c>
      <c r="M1602" s="64">
        <f>IFERROR(INDEX('1. Matriz de Activos'!$S$6:$S$239,MATCH($C1602,MgActId,0)),"")</f>
        <v/>
      </c>
      <c r="N1602" s="28">
        <f>IFERROR(INDEX(MgAmenDegD,MATCH(SUBSTITUTE($H1602,"*","-"),MgAmenClave,0)),"No aplica")</f>
        <v/>
      </c>
      <c r="O1602" s="28">
        <f>IFERROR(INDEX(MgAmenDegI,MATCH(SUBSTITUTE($H1602,"*","-"),MgAmenClave,0)),"No aplica")</f>
        <v/>
      </c>
      <c r="P1602" s="28">
        <f>IFERROR(INDEX(MgAmenDegC,MATCH(SUBSTITUTE($H1602,"*","-"),MgAmenClave,0)),"No aplica")</f>
        <v/>
      </c>
      <c r="Q1602" s="29">
        <f>IFERROR(VLOOKUP(K1602,MgValor,2,0)*VLOOKUP(N1602,MgDeg,2,0),0)</f>
        <v/>
      </c>
      <c r="R1602" s="29">
        <f>IFERROR(VLOOKUP(L1602,MgValor,2,0)*VLOOKUP(O1602,MgDeg,2,0),0)</f>
        <v/>
      </c>
      <c r="S1602" s="29">
        <f>IFERROR(VLOOKUP(M1602,MgValor,2,0)*VLOOKUP(P1602,MgDeg,2,0),0)</f>
        <v/>
      </c>
      <c r="T1602" s="30">
        <f>MAX(Q1602:S1602)</f>
        <v/>
      </c>
      <c r="U1602" s="28">
        <f>IFERROR(LOOKUP(T1602,{0;0.5;1.5;3;4.5},{"Despreciable";"Bajo";"Medio";"Alto";"Muy alto"}),"")</f>
        <v/>
      </c>
      <c r="V1602" s="13">
        <f>IFERROR(INDEX(MgAmenFrec,MATCH(SUBSTITUTE($H1602,"*","-"),MgAmenClave,0)),"")</f>
        <v/>
      </c>
      <c r="W1602" s="28">
        <f>IFERROR(LOOKUP(X1602,{0;0.01;0.1;1;10;100},{"Muy baja";"Muy baja";"Baja";"Media";"Alta";"Muy alta"}),"")</f>
        <v/>
      </c>
      <c r="X1602" s="31">
        <f>IFERROR(VLOOKUP(V1602,MgFrec,2,0),0)</f>
        <v/>
      </c>
      <c r="Y1602" s="30">
        <f>T1602*X1602</f>
        <v/>
      </c>
      <c r="Z1602" s="28">
        <f>IFERROR(LOOKUP(Y1602,{0;0.5;5;25},{"Bajo";"Medio";"Alto";"Crítico"}),"")</f>
        <v/>
      </c>
      <c r="AA1602" s="64">
        <f>IF(T1602&gt;=3,IF(X1602&gt;=1,"Zona 1 — Crítica: impacto alto y ocurre al menos una vez al año","Zona 4 — Catastrófica poco probable: impacto alto pero excepcional"),IF(AND(T1602&lt;1.5,X1602&lt;1),"Zona 3 — Asumible: impacto bajo y muy poco frecuente","Zona 2 — Atención: riesgo intermedio"))</f>
        <v/>
      </c>
      <c r="AB1602" s="64">
        <f>IFERROR(INDEX(MgAmenCtrl,MATCH(SUBSTITUTE($H1602,"*","-"),MgAmenClave,0)),"")</f>
        <v/>
      </c>
      <c r="AC1602" s="20" t="n"/>
      <c r="AD1602" s="31">
        <f>IFERROR($X1602*(1-IF($AC1602="",$AL1602,VLOOKUP($AC1602,MgMad,2,0))),"")</f>
        <v/>
      </c>
      <c r="AE1602" s="28">
        <f>IFERROR(LOOKUP(AD1602,{0;0.01;0.1;1;10;100},{"Muy baja";"Muy baja";"Baja";"Media";"Alta";"Muy alta"}),"")</f>
        <v/>
      </c>
      <c r="AF1602" s="30">
        <f>T1602*AD1602</f>
        <v/>
      </c>
      <c r="AG1602" s="28">
        <f>IFERROR(LOOKUP(AF1602,{0;0.5;5;25},{"Bajo";"Medio";"Alto";"Crítico"}),"")</f>
        <v/>
      </c>
      <c r="AH1602" s="28">
        <f>IF(AG1602="","",IF(OR(AG1602="Crítico",AG1602="Alto"),"Mitigar",IF(AG1602="Medio","Mitigar","Aceptar y monitorear")))</f>
        <v/>
      </c>
      <c r="AI1602" s="21" t="n"/>
      <c r="AJ1602" s="21" t="n"/>
      <c r="AK1602" s="20" t="n"/>
      <c r="AL1602" s="77">
        <f>IFERROR(INDEX(MgAmenEfic,MATCH(SUBSTITUTE($H1602,"*","-"),MgAmenClave,0)),0)</f>
        <v/>
      </c>
    </row>
    <row r="1603" hidden="1" ht="120" customHeight="1" s="54">
      <c r="B1603" s="59" t="inlineStr">
        <is>
          <t>R-1598</t>
        </is>
      </c>
      <c r="C1603" s="59" t="inlineStr">
        <is>
          <t>TEC-004</t>
        </is>
      </c>
      <c r="D1603" s="64">
        <f>IFERROR(INDEX(MgNombre,MATCH($C1603,MgActId,0)),"")</f>
        <v/>
      </c>
      <c r="E1603" s="64">
        <f>IFERROR(INDEX(MgProceso,MATCH($C1603,MgActId,0)),"")</f>
        <v/>
      </c>
      <c r="F1603" s="64">
        <f>IFERROR(INDEX(MgTipo,MATCH($C1603,MgActId,0)),"")</f>
        <v/>
      </c>
      <c r="G1603" s="64">
        <f>IFERROR(INDEX(MgSubtipo,MATCH($C1603,MgActId,0)),"")</f>
        <v/>
      </c>
      <c r="H1603" s="59" t="inlineStr">
        <is>
          <t>A.11</t>
        </is>
      </c>
      <c r="I1603" s="64">
        <f>IFERROR(INDEX(MgAmenNombre,MATCH(SUBSTITUTE($H1603,"*","-"),MgAmenClave,0)),"")</f>
        <v/>
      </c>
      <c r="J1603" s="28">
        <f>IFERROR(INDEX(MgAmenGrupo,MATCH(SUBSTITUTE($H1603,"*","-"),MgAmenClave,0)),"")</f>
        <v/>
      </c>
      <c r="K1603" s="64">
        <f>IFERROR(INDEX('1. Matriz de Activos'!$Q$6:$Q$239,MATCH($C1603,MgActId,0)),"")</f>
        <v/>
      </c>
      <c r="L1603" s="64">
        <f>IFERROR(INDEX('1. Matriz de Activos'!$R$6:$R$239,MATCH($C1603,MgActId,0)),"")</f>
        <v/>
      </c>
      <c r="M1603" s="64">
        <f>IFERROR(INDEX('1. Matriz de Activos'!$S$6:$S$239,MATCH($C1603,MgActId,0)),"")</f>
        <v/>
      </c>
      <c r="N1603" s="28">
        <f>IFERROR(INDEX(MgAmenDegD,MATCH(SUBSTITUTE($H1603,"*","-"),MgAmenClave,0)),"No aplica")</f>
        <v/>
      </c>
      <c r="O1603" s="28">
        <f>IFERROR(INDEX(MgAmenDegI,MATCH(SUBSTITUTE($H1603,"*","-"),MgAmenClave,0)),"No aplica")</f>
        <v/>
      </c>
      <c r="P1603" s="28">
        <f>IFERROR(INDEX(MgAmenDegC,MATCH(SUBSTITUTE($H1603,"*","-"),MgAmenClave,0)),"No aplica")</f>
        <v/>
      </c>
      <c r="Q1603" s="29">
        <f>IFERROR(VLOOKUP(K1603,MgValor,2,0)*VLOOKUP(N1603,MgDeg,2,0),0)</f>
        <v/>
      </c>
      <c r="R1603" s="29">
        <f>IFERROR(VLOOKUP(L1603,MgValor,2,0)*VLOOKUP(O1603,MgDeg,2,0),0)</f>
        <v/>
      </c>
      <c r="S1603" s="29">
        <f>IFERROR(VLOOKUP(M1603,MgValor,2,0)*VLOOKUP(P1603,MgDeg,2,0),0)</f>
        <v/>
      </c>
      <c r="T1603" s="30">
        <f>MAX(Q1603:S1603)</f>
        <v/>
      </c>
      <c r="U1603" s="28">
        <f>IFERROR(LOOKUP(T1603,{0;0.5;1.5;3;4.5},{"Despreciable";"Bajo";"Medio";"Alto";"Muy alto"}),"")</f>
        <v/>
      </c>
      <c r="V1603" s="13">
        <f>IFERROR(INDEX(MgAmenFrec,MATCH(SUBSTITUTE($H1603,"*","-"),MgAmenClave,0)),"")</f>
        <v/>
      </c>
      <c r="W1603" s="28">
        <f>IFERROR(LOOKUP(X1603,{0;0.01;0.1;1;10;100},{"Muy baja";"Muy baja";"Baja";"Media";"Alta";"Muy alta"}),"")</f>
        <v/>
      </c>
      <c r="X1603" s="31">
        <f>IFERROR(VLOOKUP(V1603,MgFrec,2,0),0)</f>
        <v/>
      </c>
      <c r="Y1603" s="30">
        <f>T1603*X1603</f>
        <v/>
      </c>
      <c r="Z1603" s="28">
        <f>IFERROR(LOOKUP(Y1603,{0;0.5;5;25},{"Bajo";"Medio";"Alto";"Crítico"}),"")</f>
        <v/>
      </c>
      <c r="AA1603" s="64">
        <f>IF(T1603&gt;=3,IF(X1603&gt;=1,"Zona 1 — Crítica: impacto alto y ocurre al menos una vez al año","Zona 4 — Catastrófica poco probable: impacto alto pero excepcional"),IF(AND(T1603&lt;1.5,X1603&lt;1),"Zona 3 — Asumible: impacto bajo y muy poco frecuente","Zona 2 — Atención: riesgo intermedio"))</f>
        <v/>
      </c>
      <c r="AB1603" s="64">
        <f>IFERROR(INDEX(MgAmenCtrl,MATCH(SUBSTITUTE($H1603,"*","-"),MgAmenClave,0)),"")</f>
        <v/>
      </c>
      <c r="AC1603" s="20" t="n"/>
      <c r="AD1603" s="31">
        <f>IFERROR($X1603*(1-IF($AC1603="",$AL1603,VLOOKUP($AC1603,MgMad,2,0))),"")</f>
        <v/>
      </c>
      <c r="AE1603" s="28">
        <f>IFERROR(LOOKUP(AD1603,{0;0.01;0.1;1;10;100},{"Muy baja";"Muy baja";"Baja";"Media";"Alta";"Muy alta"}),"")</f>
        <v/>
      </c>
      <c r="AF1603" s="30">
        <f>T1603*AD1603</f>
        <v/>
      </c>
      <c r="AG1603" s="28">
        <f>IFERROR(LOOKUP(AF1603,{0;0.5;5;25},{"Bajo";"Medio";"Alto";"Crítico"}),"")</f>
        <v/>
      </c>
      <c r="AH1603" s="28">
        <f>IF(AG1603="","",IF(OR(AG1603="Crítico",AG1603="Alto"),"Mitigar",IF(AG1603="Medio","Mitigar","Aceptar y monitorear")))</f>
        <v/>
      </c>
      <c r="AI1603" s="21" t="n"/>
      <c r="AJ1603" s="21" t="n"/>
      <c r="AK1603" s="20" t="n"/>
      <c r="AL1603" s="77">
        <f>IFERROR(INDEX(MgAmenEfic,MATCH(SUBSTITUTE($H1603,"*","-"),MgAmenClave,0)),0)</f>
        <v/>
      </c>
    </row>
    <row r="1604" hidden="1" ht="60" customHeight="1" s="54">
      <c r="B1604" s="59" t="inlineStr">
        <is>
          <t>R-1599</t>
        </is>
      </c>
      <c r="C1604" s="59" t="inlineStr">
        <is>
          <t>TEC-004</t>
        </is>
      </c>
      <c r="D1604" s="64">
        <f>IFERROR(INDEX(MgNombre,MATCH($C1604,MgActId,0)),"")</f>
        <v/>
      </c>
      <c r="E1604" s="64">
        <f>IFERROR(INDEX(MgProceso,MATCH($C1604,MgActId,0)),"")</f>
        <v/>
      </c>
      <c r="F1604" s="64">
        <f>IFERROR(INDEX(MgTipo,MATCH($C1604,MgActId,0)),"")</f>
        <v/>
      </c>
      <c r="G1604" s="64">
        <f>IFERROR(INDEX(MgSubtipo,MATCH($C1604,MgActId,0)),"")</f>
        <v/>
      </c>
      <c r="H1604" s="59" t="inlineStr">
        <is>
          <t>A.23</t>
        </is>
      </c>
      <c r="I1604" s="64">
        <f>IFERROR(INDEX(MgAmenNombre,MATCH(SUBSTITUTE($H1604,"*","-"),MgAmenClave,0)),"")</f>
        <v/>
      </c>
      <c r="J1604" s="28">
        <f>IFERROR(INDEX(MgAmenGrupo,MATCH(SUBSTITUTE($H1604,"*","-"),MgAmenClave,0)),"")</f>
        <v/>
      </c>
      <c r="K1604" s="64">
        <f>IFERROR(INDEX('1. Matriz de Activos'!$Q$6:$Q$239,MATCH($C1604,MgActId,0)),"")</f>
        <v/>
      </c>
      <c r="L1604" s="64">
        <f>IFERROR(INDEX('1. Matriz de Activos'!$R$6:$R$239,MATCH($C1604,MgActId,0)),"")</f>
        <v/>
      </c>
      <c r="M1604" s="64">
        <f>IFERROR(INDEX('1. Matriz de Activos'!$S$6:$S$239,MATCH($C1604,MgActId,0)),"")</f>
        <v/>
      </c>
      <c r="N1604" s="28">
        <f>IFERROR(INDEX(MgAmenDegD,MATCH(SUBSTITUTE($H1604,"*","-"),MgAmenClave,0)),"No aplica")</f>
        <v/>
      </c>
      <c r="O1604" s="28">
        <f>IFERROR(INDEX(MgAmenDegI,MATCH(SUBSTITUTE($H1604,"*","-"),MgAmenClave,0)),"No aplica")</f>
        <v/>
      </c>
      <c r="P1604" s="28">
        <f>IFERROR(INDEX(MgAmenDegC,MATCH(SUBSTITUTE($H1604,"*","-"),MgAmenClave,0)),"No aplica")</f>
        <v/>
      </c>
      <c r="Q1604" s="29">
        <f>IFERROR(VLOOKUP(K1604,MgValor,2,0)*VLOOKUP(N1604,MgDeg,2,0),0)</f>
        <v/>
      </c>
      <c r="R1604" s="29">
        <f>IFERROR(VLOOKUP(L1604,MgValor,2,0)*VLOOKUP(O1604,MgDeg,2,0),0)</f>
        <v/>
      </c>
      <c r="S1604" s="29">
        <f>IFERROR(VLOOKUP(M1604,MgValor,2,0)*VLOOKUP(P1604,MgDeg,2,0),0)</f>
        <v/>
      </c>
      <c r="T1604" s="30">
        <f>MAX(Q1604:S1604)</f>
        <v/>
      </c>
      <c r="U1604" s="28">
        <f>IFERROR(LOOKUP(T1604,{0;0.5;1.5;3;4.5},{"Despreciable";"Bajo";"Medio";"Alto";"Muy alto"}),"")</f>
        <v/>
      </c>
      <c r="V1604" s="13">
        <f>IFERROR(INDEX(MgAmenFrec,MATCH(SUBSTITUTE($H1604,"*","-"),MgAmenClave,0)),"")</f>
        <v/>
      </c>
      <c r="W1604" s="28">
        <f>IFERROR(LOOKUP(X1604,{0;0.01;0.1;1;10;100},{"Muy baja";"Muy baja";"Baja";"Media";"Alta";"Muy alta"}),"")</f>
        <v/>
      </c>
      <c r="X1604" s="31">
        <f>IFERROR(VLOOKUP(V1604,MgFrec,2,0),0)</f>
        <v/>
      </c>
      <c r="Y1604" s="30">
        <f>T1604*X1604</f>
        <v/>
      </c>
      <c r="Z1604" s="28">
        <f>IFERROR(LOOKUP(Y1604,{0;0.5;5;25},{"Bajo";"Medio";"Alto";"Crítico"}),"")</f>
        <v/>
      </c>
      <c r="AA1604" s="64">
        <f>IF(T1604&gt;=3,IF(X1604&gt;=1,"Zona 1 — Crítica: impacto alto y ocurre al menos una vez al año","Zona 4 — Catastrófica poco probable: impacto alto pero excepcional"),IF(AND(T1604&lt;1.5,X1604&lt;1),"Zona 3 — Asumible: impacto bajo y muy poco frecuente","Zona 2 — Atención: riesgo intermedio"))</f>
        <v/>
      </c>
      <c r="AB1604" s="64">
        <f>IFERROR(INDEX(MgAmenCtrl,MATCH(SUBSTITUTE($H1604,"*","-"),MgAmenClave,0)),"")</f>
        <v/>
      </c>
      <c r="AC1604" s="20" t="n"/>
      <c r="AD1604" s="31">
        <f>IFERROR($X1604*(1-IF($AC1604="",$AL1604,VLOOKUP($AC1604,MgMad,2,0))),"")</f>
        <v/>
      </c>
      <c r="AE1604" s="28">
        <f>IFERROR(LOOKUP(AD1604,{0;0.01;0.1;1;10;100},{"Muy baja";"Muy baja";"Baja";"Media";"Alta";"Muy alta"}),"")</f>
        <v/>
      </c>
      <c r="AF1604" s="30">
        <f>T1604*AD1604</f>
        <v/>
      </c>
      <c r="AG1604" s="28">
        <f>IFERROR(LOOKUP(AF1604,{0;0.5;5;25},{"Bajo";"Medio";"Alto";"Crítico"}),"")</f>
        <v/>
      </c>
      <c r="AH1604" s="28">
        <f>IF(AG1604="","",IF(OR(AG1604="Crítico",AG1604="Alto"),"Mitigar",IF(AG1604="Medio","Mitigar","Aceptar y monitorear")))</f>
        <v/>
      </c>
      <c r="AI1604" s="21" t="n"/>
      <c r="AJ1604" s="21" t="n"/>
      <c r="AK1604" s="20" t="n"/>
      <c r="AL1604" s="77">
        <f>IFERROR(INDEX(MgAmenEfic,MATCH(SUBSTITUTE($H1604,"*","-"),MgAmenClave,0)),0)</f>
        <v/>
      </c>
    </row>
    <row r="1605" hidden="1" ht="60" customHeight="1" s="54">
      <c r="B1605" s="59" t="inlineStr">
        <is>
          <t>R-1600</t>
        </is>
      </c>
      <c r="C1605" s="59" t="inlineStr">
        <is>
          <t>TEC-004</t>
        </is>
      </c>
      <c r="D1605" s="64">
        <f>IFERROR(INDEX(MgNombre,MATCH($C1605,MgActId,0)),"")</f>
        <v/>
      </c>
      <c r="E1605" s="64">
        <f>IFERROR(INDEX(MgProceso,MATCH($C1605,MgActId,0)),"")</f>
        <v/>
      </c>
      <c r="F1605" s="64">
        <f>IFERROR(INDEX(MgTipo,MATCH($C1605,MgActId,0)),"")</f>
        <v/>
      </c>
      <c r="G1605" s="64">
        <f>IFERROR(INDEX(MgSubtipo,MATCH($C1605,MgActId,0)),"")</f>
        <v/>
      </c>
      <c r="H1605" s="59" t="inlineStr">
        <is>
          <t>A.24</t>
        </is>
      </c>
      <c r="I1605" s="64">
        <f>IFERROR(INDEX(MgAmenNombre,MATCH(SUBSTITUTE($H1605,"*","-"),MgAmenClave,0)),"")</f>
        <v/>
      </c>
      <c r="J1605" s="28">
        <f>IFERROR(INDEX(MgAmenGrupo,MATCH(SUBSTITUTE($H1605,"*","-"),MgAmenClave,0)),"")</f>
        <v/>
      </c>
      <c r="K1605" s="64">
        <f>IFERROR(INDEX('1. Matriz de Activos'!$Q$6:$Q$239,MATCH($C1605,MgActId,0)),"")</f>
        <v/>
      </c>
      <c r="L1605" s="64">
        <f>IFERROR(INDEX('1. Matriz de Activos'!$R$6:$R$239,MATCH($C1605,MgActId,0)),"")</f>
        <v/>
      </c>
      <c r="M1605" s="64">
        <f>IFERROR(INDEX('1. Matriz de Activos'!$S$6:$S$239,MATCH($C1605,MgActId,0)),"")</f>
        <v/>
      </c>
      <c r="N1605" s="28">
        <f>IFERROR(INDEX(MgAmenDegD,MATCH(SUBSTITUTE($H1605,"*","-"),MgAmenClave,0)),"No aplica")</f>
        <v/>
      </c>
      <c r="O1605" s="28">
        <f>IFERROR(INDEX(MgAmenDegI,MATCH(SUBSTITUTE($H1605,"*","-"),MgAmenClave,0)),"No aplica")</f>
        <v/>
      </c>
      <c r="P1605" s="28">
        <f>IFERROR(INDEX(MgAmenDegC,MATCH(SUBSTITUTE($H1605,"*","-"),MgAmenClave,0)),"No aplica")</f>
        <v/>
      </c>
      <c r="Q1605" s="29">
        <f>IFERROR(VLOOKUP(K1605,MgValor,2,0)*VLOOKUP(N1605,MgDeg,2,0),0)</f>
        <v/>
      </c>
      <c r="R1605" s="29">
        <f>IFERROR(VLOOKUP(L1605,MgValor,2,0)*VLOOKUP(O1605,MgDeg,2,0),0)</f>
        <v/>
      </c>
      <c r="S1605" s="29">
        <f>IFERROR(VLOOKUP(M1605,MgValor,2,0)*VLOOKUP(P1605,MgDeg,2,0),0)</f>
        <v/>
      </c>
      <c r="T1605" s="30">
        <f>MAX(Q1605:S1605)</f>
        <v/>
      </c>
      <c r="U1605" s="28">
        <f>IFERROR(LOOKUP(T1605,{0;0.5;1.5;3;4.5},{"Despreciable";"Bajo";"Medio";"Alto";"Muy alto"}),"")</f>
        <v/>
      </c>
      <c r="V1605" s="13">
        <f>IFERROR(INDEX(MgAmenFrec,MATCH(SUBSTITUTE($H1605,"*","-"),MgAmenClave,0)),"")</f>
        <v/>
      </c>
      <c r="W1605" s="28">
        <f>IFERROR(LOOKUP(X1605,{0;0.01;0.1;1;10;100},{"Muy baja";"Muy baja";"Baja";"Media";"Alta";"Muy alta"}),"")</f>
        <v/>
      </c>
      <c r="X1605" s="31">
        <f>IFERROR(VLOOKUP(V1605,MgFrec,2,0),0)</f>
        <v/>
      </c>
      <c r="Y1605" s="30">
        <f>T1605*X1605</f>
        <v/>
      </c>
      <c r="Z1605" s="28">
        <f>IFERROR(LOOKUP(Y1605,{0;0.5;5;25},{"Bajo";"Medio";"Alto";"Crítico"}),"")</f>
        <v/>
      </c>
      <c r="AA1605" s="64">
        <f>IF(T1605&gt;=3,IF(X1605&gt;=1,"Zona 1 — Crítica: impacto alto y ocurre al menos una vez al año","Zona 4 — Catastrófica poco probable: impacto alto pero excepcional"),IF(AND(T1605&lt;1.5,X1605&lt;1),"Zona 3 — Asumible: impacto bajo y muy poco frecuente","Zona 2 — Atención: riesgo intermedio"))</f>
        <v/>
      </c>
      <c r="AB1605" s="64">
        <f>IFERROR(INDEX(MgAmenCtrl,MATCH(SUBSTITUTE($H1605,"*","-"),MgAmenClave,0)),"")</f>
        <v/>
      </c>
      <c r="AC1605" s="20" t="n"/>
      <c r="AD1605" s="31">
        <f>IFERROR($X1605*(1-IF($AC1605="",$AL1605,VLOOKUP($AC1605,MgMad,2,0))),"")</f>
        <v/>
      </c>
      <c r="AE1605" s="28">
        <f>IFERROR(LOOKUP(AD1605,{0;0.01;0.1;1;10;100},{"Muy baja";"Muy baja";"Baja";"Media";"Alta";"Muy alta"}),"")</f>
        <v/>
      </c>
      <c r="AF1605" s="30">
        <f>T1605*AD1605</f>
        <v/>
      </c>
      <c r="AG1605" s="28">
        <f>IFERROR(LOOKUP(AF1605,{0;0.5;5;25},{"Bajo";"Medio";"Alto";"Crítico"}),"")</f>
        <v/>
      </c>
      <c r="AH1605" s="28">
        <f>IF(AG1605="","",IF(OR(AG1605="Crítico",AG1605="Alto"),"Mitigar",IF(AG1605="Medio","Mitigar","Aceptar y monitorear")))</f>
        <v/>
      </c>
      <c r="AI1605" s="21" t="n"/>
      <c r="AJ1605" s="21" t="n"/>
      <c r="AK1605" s="20" t="n"/>
      <c r="AL1605" s="77">
        <f>IFERROR(INDEX(MgAmenEfic,MATCH(SUBSTITUTE($H1605,"*","-"),MgAmenClave,0)),0)</f>
        <v/>
      </c>
    </row>
    <row r="1606" hidden="1" ht="75" customHeight="1" s="54">
      <c r="B1606" s="59" t="inlineStr">
        <is>
          <t>R-1601</t>
        </is>
      </c>
      <c r="C1606" s="59" t="inlineStr">
        <is>
          <t>TEC-004</t>
        </is>
      </c>
      <c r="D1606" s="64">
        <f>IFERROR(INDEX(MgNombre,MATCH($C1606,MgActId,0)),"")</f>
        <v/>
      </c>
      <c r="E1606" s="64">
        <f>IFERROR(INDEX(MgProceso,MATCH($C1606,MgActId,0)),"")</f>
        <v/>
      </c>
      <c r="F1606" s="64">
        <f>IFERROR(INDEX(MgTipo,MATCH($C1606,MgActId,0)),"")</f>
        <v/>
      </c>
      <c r="G1606" s="64">
        <f>IFERROR(INDEX(MgSubtipo,MATCH($C1606,MgActId,0)),"")</f>
        <v/>
      </c>
      <c r="H1606" s="59" t="inlineStr">
        <is>
          <t>A.25</t>
        </is>
      </c>
      <c r="I1606" s="64">
        <f>IFERROR(INDEX(MgAmenNombre,MATCH(SUBSTITUTE($H1606,"*","-"),MgAmenClave,0)),"")</f>
        <v/>
      </c>
      <c r="J1606" s="28">
        <f>IFERROR(INDEX(MgAmenGrupo,MATCH(SUBSTITUTE($H1606,"*","-"),MgAmenClave,0)),"")</f>
        <v/>
      </c>
      <c r="K1606" s="64">
        <f>IFERROR(INDEX('1. Matriz de Activos'!$Q$6:$Q$239,MATCH($C1606,MgActId,0)),"")</f>
        <v/>
      </c>
      <c r="L1606" s="64">
        <f>IFERROR(INDEX('1. Matriz de Activos'!$R$6:$R$239,MATCH($C1606,MgActId,0)),"")</f>
        <v/>
      </c>
      <c r="M1606" s="64">
        <f>IFERROR(INDEX('1. Matriz de Activos'!$S$6:$S$239,MATCH($C1606,MgActId,0)),"")</f>
        <v/>
      </c>
      <c r="N1606" s="28">
        <f>IFERROR(INDEX(MgAmenDegD,MATCH(SUBSTITUTE($H1606,"*","-"),MgAmenClave,0)),"No aplica")</f>
        <v/>
      </c>
      <c r="O1606" s="28">
        <f>IFERROR(INDEX(MgAmenDegI,MATCH(SUBSTITUTE($H1606,"*","-"),MgAmenClave,0)),"No aplica")</f>
        <v/>
      </c>
      <c r="P1606" s="28">
        <f>IFERROR(INDEX(MgAmenDegC,MATCH(SUBSTITUTE($H1606,"*","-"),MgAmenClave,0)),"No aplica")</f>
        <v/>
      </c>
      <c r="Q1606" s="29">
        <f>IFERROR(VLOOKUP(K1606,MgValor,2,0)*VLOOKUP(N1606,MgDeg,2,0),0)</f>
        <v/>
      </c>
      <c r="R1606" s="29">
        <f>IFERROR(VLOOKUP(L1606,MgValor,2,0)*VLOOKUP(O1606,MgDeg,2,0),0)</f>
        <v/>
      </c>
      <c r="S1606" s="29">
        <f>IFERROR(VLOOKUP(M1606,MgValor,2,0)*VLOOKUP(P1606,MgDeg,2,0),0)</f>
        <v/>
      </c>
      <c r="T1606" s="30">
        <f>MAX(Q1606:S1606)</f>
        <v/>
      </c>
      <c r="U1606" s="28">
        <f>IFERROR(LOOKUP(T1606,{0;0.5;1.5;3;4.5},{"Despreciable";"Bajo";"Medio";"Alto";"Muy alto"}),"")</f>
        <v/>
      </c>
      <c r="V1606" s="13">
        <f>IFERROR(INDEX(MgAmenFrec,MATCH(SUBSTITUTE($H1606,"*","-"),MgAmenClave,0)),"")</f>
        <v/>
      </c>
      <c r="W1606" s="28">
        <f>IFERROR(LOOKUP(X1606,{0;0.01;0.1;1;10;100},{"Muy baja";"Muy baja";"Baja";"Media";"Alta";"Muy alta"}),"")</f>
        <v/>
      </c>
      <c r="X1606" s="31">
        <f>IFERROR(VLOOKUP(V1606,MgFrec,2,0),0)</f>
        <v/>
      </c>
      <c r="Y1606" s="30">
        <f>T1606*X1606</f>
        <v/>
      </c>
      <c r="Z1606" s="28">
        <f>IFERROR(LOOKUP(Y1606,{0;0.5;5;25},{"Bajo";"Medio";"Alto";"Crítico"}),"")</f>
        <v/>
      </c>
      <c r="AA1606" s="64">
        <f>IF(T1606&gt;=3,IF(X1606&gt;=1,"Zona 1 — Crítica: impacto alto y ocurre al menos una vez al año","Zona 4 — Catastrófica poco probable: impacto alto pero excepcional"),IF(AND(T1606&lt;1.5,X1606&lt;1),"Zona 3 — Asumible: impacto bajo y muy poco frecuente","Zona 2 — Atención: riesgo intermedio"))</f>
        <v/>
      </c>
      <c r="AB1606" s="64">
        <f>IFERROR(INDEX(MgAmenCtrl,MATCH(SUBSTITUTE($H1606,"*","-"),MgAmenClave,0)),"")</f>
        <v/>
      </c>
      <c r="AC1606" s="20" t="n"/>
      <c r="AD1606" s="31">
        <f>IFERROR($X1606*(1-IF($AC1606="",$AL1606,VLOOKUP($AC1606,MgMad,2,0))),"")</f>
        <v/>
      </c>
      <c r="AE1606" s="28">
        <f>IFERROR(LOOKUP(AD1606,{0;0.01;0.1;1;10;100},{"Muy baja";"Muy baja";"Baja";"Media";"Alta";"Muy alta"}),"")</f>
        <v/>
      </c>
      <c r="AF1606" s="30">
        <f>T1606*AD1606</f>
        <v/>
      </c>
      <c r="AG1606" s="28">
        <f>IFERROR(LOOKUP(AF1606,{0;0.5;5;25},{"Bajo";"Medio";"Alto";"Crítico"}),"")</f>
        <v/>
      </c>
      <c r="AH1606" s="28">
        <f>IF(AG1606="","",IF(OR(AG1606="Crítico",AG1606="Alto"),"Mitigar",IF(AG1606="Medio","Mitigar","Aceptar y monitorear")))</f>
        <v/>
      </c>
      <c r="AI1606" s="21" t="n"/>
      <c r="AJ1606" s="21" t="n"/>
      <c r="AK1606" s="20" t="n"/>
      <c r="AL1606" s="77">
        <f>IFERROR(INDEX(MgAmenEfic,MATCH(SUBSTITUTE($H1606,"*","-"),MgAmenClave,0)),0)</f>
        <v/>
      </c>
    </row>
    <row r="1607" hidden="1" ht="60" customHeight="1" s="54">
      <c r="B1607" s="59" t="inlineStr">
        <is>
          <t>R-1602</t>
        </is>
      </c>
      <c r="C1607" s="59" t="inlineStr">
        <is>
          <t>TEC-004</t>
        </is>
      </c>
      <c r="D1607" s="64">
        <f>IFERROR(INDEX(MgNombre,MATCH($C1607,MgActId,0)),"")</f>
        <v/>
      </c>
      <c r="E1607" s="64">
        <f>IFERROR(INDEX(MgProceso,MATCH($C1607,MgActId,0)),"")</f>
        <v/>
      </c>
      <c r="F1607" s="64">
        <f>IFERROR(INDEX(MgTipo,MATCH($C1607,MgActId,0)),"")</f>
        <v/>
      </c>
      <c r="G1607" s="64">
        <f>IFERROR(INDEX(MgSubtipo,MATCH($C1607,MgActId,0)),"")</f>
        <v/>
      </c>
      <c r="H1607" s="59" t="inlineStr">
        <is>
          <t>A.26</t>
        </is>
      </c>
      <c r="I1607" s="64">
        <f>IFERROR(INDEX(MgAmenNombre,MATCH(SUBSTITUTE($H1607,"*","-"),MgAmenClave,0)),"")</f>
        <v/>
      </c>
      <c r="J1607" s="28">
        <f>IFERROR(INDEX(MgAmenGrupo,MATCH(SUBSTITUTE($H1607,"*","-"),MgAmenClave,0)),"")</f>
        <v/>
      </c>
      <c r="K1607" s="64">
        <f>IFERROR(INDEX('1. Matriz de Activos'!$Q$6:$Q$239,MATCH($C1607,MgActId,0)),"")</f>
        <v/>
      </c>
      <c r="L1607" s="64">
        <f>IFERROR(INDEX('1. Matriz de Activos'!$R$6:$R$239,MATCH($C1607,MgActId,0)),"")</f>
        <v/>
      </c>
      <c r="M1607" s="64">
        <f>IFERROR(INDEX('1. Matriz de Activos'!$S$6:$S$239,MATCH($C1607,MgActId,0)),"")</f>
        <v/>
      </c>
      <c r="N1607" s="28">
        <f>IFERROR(INDEX(MgAmenDegD,MATCH(SUBSTITUTE($H1607,"*","-"),MgAmenClave,0)),"No aplica")</f>
        <v/>
      </c>
      <c r="O1607" s="28">
        <f>IFERROR(INDEX(MgAmenDegI,MATCH(SUBSTITUTE($H1607,"*","-"),MgAmenClave,0)),"No aplica")</f>
        <v/>
      </c>
      <c r="P1607" s="28">
        <f>IFERROR(INDEX(MgAmenDegC,MATCH(SUBSTITUTE($H1607,"*","-"),MgAmenClave,0)),"No aplica")</f>
        <v/>
      </c>
      <c r="Q1607" s="29">
        <f>IFERROR(VLOOKUP(K1607,MgValor,2,0)*VLOOKUP(N1607,MgDeg,2,0),0)</f>
        <v/>
      </c>
      <c r="R1607" s="29">
        <f>IFERROR(VLOOKUP(L1607,MgValor,2,0)*VLOOKUP(O1607,MgDeg,2,0),0)</f>
        <v/>
      </c>
      <c r="S1607" s="29">
        <f>IFERROR(VLOOKUP(M1607,MgValor,2,0)*VLOOKUP(P1607,MgDeg,2,0),0)</f>
        <v/>
      </c>
      <c r="T1607" s="30">
        <f>MAX(Q1607:S1607)</f>
        <v/>
      </c>
      <c r="U1607" s="28">
        <f>IFERROR(LOOKUP(T1607,{0;0.5;1.5;3;4.5},{"Despreciable";"Bajo";"Medio";"Alto";"Muy alto"}),"")</f>
        <v/>
      </c>
      <c r="V1607" s="13">
        <f>IFERROR(INDEX(MgAmenFrec,MATCH(SUBSTITUTE($H1607,"*","-"),MgAmenClave,0)),"")</f>
        <v/>
      </c>
      <c r="W1607" s="28">
        <f>IFERROR(LOOKUP(X1607,{0;0.01;0.1;1;10;100},{"Muy baja";"Muy baja";"Baja";"Media";"Alta";"Muy alta"}),"")</f>
        <v/>
      </c>
      <c r="X1607" s="31">
        <f>IFERROR(VLOOKUP(V1607,MgFrec,2,0),0)</f>
        <v/>
      </c>
      <c r="Y1607" s="30">
        <f>T1607*X1607</f>
        <v/>
      </c>
      <c r="Z1607" s="28">
        <f>IFERROR(LOOKUP(Y1607,{0;0.5;5;25},{"Bajo";"Medio";"Alto";"Crítico"}),"")</f>
        <v/>
      </c>
      <c r="AA1607" s="64">
        <f>IF(T1607&gt;=3,IF(X1607&gt;=1,"Zona 1 — Crítica: impacto alto y ocurre al menos una vez al año","Zona 4 — Catastrófica poco probable: impacto alto pero excepcional"),IF(AND(T1607&lt;1.5,X1607&lt;1),"Zona 3 — Asumible: impacto bajo y muy poco frecuente","Zona 2 — Atención: riesgo intermedio"))</f>
        <v/>
      </c>
      <c r="AB1607" s="64">
        <f>IFERROR(INDEX(MgAmenCtrl,MATCH(SUBSTITUTE($H1607,"*","-"),MgAmenClave,0)),"")</f>
        <v/>
      </c>
      <c r="AC1607" s="20" t="n"/>
      <c r="AD1607" s="31">
        <f>IFERROR($X1607*(1-IF($AC1607="",$AL1607,VLOOKUP($AC1607,MgMad,2,0))),"")</f>
        <v/>
      </c>
      <c r="AE1607" s="28">
        <f>IFERROR(LOOKUP(AD1607,{0;0.01;0.1;1;10;100},{"Muy baja";"Muy baja";"Baja";"Media";"Alta";"Muy alta"}),"")</f>
        <v/>
      </c>
      <c r="AF1607" s="30">
        <f>T1607*AD1607</f>
        <v/>
      </c>
      <c r="AG1607" s="28">
        <f>IFERROR(LOOKUP(AF1607,{0;0.5;5;25},{"Bajo";"Medio";"Alto";"Crítico"}),"")</f>
        <v/>
      </c>
      <c r="AH1607" s="28">
        <f>IF(AG1607="","",IF(OR(AG1607="Crítico",AG1607="Alto"),"Mitigar",IF(AG1607="Medio","Mitigar","Aceptar y monitorear")))</f>
        <v/>
      </c>
      <c r="AI1607" s="21" t="n"/>
      <c r="AJ1607" s="21" t="n"/>
      <c r="AK1607" s="20" t="n"/>
      <c r="AL1607" s="77">
        <f>IFERROR(INDEX(MgAmenEfic,MATCH(SUBSTITUTE($H1607,"*","-"),MgAmenClave,0)),0)</f>
        <v/>
      </c>
    </row>
    <row r="1608" hidden="1" ht="90" customHeight="1" s="54">
      <c r="B1608" s="59" t="inlineStr">
        <is>
          <t>R-1603</t>
        </is>
      </c>
      <c r="C1608" s="59" t="inlineStr">
        <is>
          <t>TEC-015</t>
        </is>
      </c>
      <c r="D1608" s="64">
        <f>IFERROR(INDEX(MgNombre,MATCH($C1608,MgActId,0)),"")</f>
        <v/>
      </c>
      <c r="E1608" s="64">
        <f>IFERROR(INDEX(MgProceso,MATCH($C1608,MgActId,0)),"")</f>
        <v/>
      </c>
      <c r="F1608" s="64">
        <f>IFERROR(INDEX(MgTipo,MATCH($C1608,MgActId,0)),"")</f>
        <v/>
      </c>
      <c r="G1608" s="64">
        <f>IFERROR(INDEX(MgSubtipo,MATCH($C1608,MgActId,0)),"")</f>
        <v/>
      </c>
      <c r="H1608" s="59" t="inlineStr">
        <is>
          <t>N.1</t>
        </is>
      </c>
      <c r="I1608" s="64">
        <f>IFERROR(INDEX(MgAmenNombre,MATCH(SUBSTITUTE($H1608,"*","-"),MgAmenClave,0)),"")</f>
        <v/>
      </c>
      <c r="J1608" s="28">
        <f>IFERROR(INDEX(MgAmenGrupo,MATCH(SUBSTITUTE($H1608,"*","-"),MgAmenClave,0)),"")</f>
        <v/>
      </c>
      <c r="K1608" s="64">
        <f>IFERROR(INDEX('1. Matriz de Activos'!$Q$6:$Q$239,MATCH($C1608,MgActId,0)),"")</f>
        <v/>
      </c>
      <c r="L1608" s="64">
        <f>IFERROR(INDEX('1. Matriz de Activos'!$R$6:$R$239,MATCH($C1608,MgActId,0)),"")</f>
        <v/>
      </c>
      <c r="M1608" s="64">
        <f>IFERROR(INDEX('1. Matriz de Activos'!$S$6:$S$239,MATCH($C1608,MgActId,0)),"")</f>
        <v/>
      </c>
      <c r="N1608" s="28">
        <f>IFERROR(INDEX(MgAmenDegD,MATCH(SUBSTITUTE($H1608,"*","-"),MgAmenClave,0)),"No aplica")</f>
        <v/>
      </c>
      <c r="O1608" s="28">
        <f>IFERROR(INDEX(MgAmenDegI,MATCH(SUBSTITUTE($H1608,"*","-"),MgAmenClave,0)),"No aplica")</f>
        <v/>
      </c>
      <c r="P1608" s="28">
        <f>IFERROR(INDEX(MgAmenDegC,MATCH(SUBSTITUTE($H1608,"*","-"),MgAmenClave,0)),"No aplica")</f>
        <v/>
      </c>
      <c r="Q1608" s="29">
        <f>IFERROR(VLOOKUP(K1608,MgValor,2,0)*VLOOKUP(N1608,MgDeg,2,0),0)</f>
        <v/>
      </c>
      <c r="R1608" s="29">
        <f>IFERROR(VLOOKUP(L1608,MgValor,2,0)*VLOOKUP(O1608,MgDeg,2,0),0)</f>
        <v/>
      </c>
      <c r="S1608" s="29">
        <f>IFERROR(VLOOKUP(M1608,MgValor,2,0)*VLOOKUP(P1608,MgDeg,2,0),0)</f>
        <v/>
      </c>
      <c r="T1608" s="30">
        <f>MAX(Q1608:S1608)</f>
        <v/>
      </c>
      <c r="U1608" s="28">
        <f>IFERROR(LOOKUP(T1608,{0;0.5;1.5;3;4.5},{"Despreciable";"Bajo";"Medio";"Alto";"Muy alto"}),"")</f>
        <v/>
      </c>
      <c r="V1608" s="13">
        <f>IFERROR(INDEX(MgAmenFrec,MATCH(SUBSTITUTE($H1608,"*","-"),MgAmenClave,0)),"")</f>
        <v/>
      </c>
      <c r="W1608" s="28">
        <f>IFERROR(LOOKUP(X1608,{0;0.01;0.1;1;10;100},{"Muy baja";"Muy baja";"Baja";"Media";"Alta";"Muy alta"}),"")</f>
        <v/>
      </c>
      <c r="X1608" s="31">
        <f>IFERROR(VLOOKUP(V1608,MgFrec,2,0),0)</f>
        <v/>
      </c>
      <c r="Y1608" s="30">
        <f>T1608*X1608</f>
        <v/>
      </c>
      <c r="Z1608" s="28">
        <f>IFERROR(LOOKUP(Y1608,{0;0.5;5;25},{"Bajo";"Medio";"Alto";"Crítico"}),"")</f>
        <v/>
      </c>
      <c r="AA1608" s="64">
        <f>IF(T1608&gt;=3,IF(X1608&gt;=1,"Zona 1 — Crítica: impacto alto y ocurre al menos una vez al año","Zona 4 — Catastrófica poco probable: impacto alto pero excepcional"),IF(AND(T1608&lt;1.5,X1608&lt;1),"Zona 3 — Asumible: impacto bajo y muy poco frecuente","Zona 2 — Atención: riesgo intermedio"))</f>
        <v/>
      </c>
      <c r="AB1608" s="64">
        <f>IFERROR(INDEX(MgAmenCtrl,MATCH(SUBSTITUTE($H1608,"*","-"),MgAmenClave,0)),"")</f>
        <v/>
      </c>
      <c r="AC1608" s="20" t="n"/>
      <c r="AD1608" s="31">
        <f>IFERROR($X1608*(1-IF($AC1608="",$AL1608,VLOOKUP($AC1608,MgMad,2,0))),"")</f>
        <v/>
      </c>
      <c r="AE1608" s="28">
        <f>IFERROR(LOOKUP(AD1608,{0;0.01;0.1;1;10;100},{"Muy baja";"Muy baja";"Baja";"Media";"Alta";"Muy alta"}),"")</f>
        <v/>
      </c>
      <c r="AF1608" s="30">
        <f>T1608*AD1608</f>
        <v/>
      </c>
      <c r="AG1608" s="28">
        <f>IFERROR(LOOKUP(AF1608,{0;0.5;5;25},{"Bajo";"Medio";"Alto";"Crítico"}),"")</f>
        <v/>
      </c>
      <c r="AH1608" s="28">
        <f>IF(AG1608="","",IF(OR(AG1608="Crítico",AG1608="Alto"),"Mitigar",IF(AG1608="Medio","Mitigar","Aceptar y monitorear")))</f>
        <v/>
      </c>
      <c r="AI1608" s="21" t="n"/>
      <c r="AJ1608" s="21" t="n"/>
      <c r="AK1608" s="20" t="n"/>
      <c r="AL1608" s="77">
        <f>IFERROR(INDEX(MgAmenEfic,MATCH(SUBSTITUTE($H1608,"*","-"),MgAmenClave,0)),0)</f>
        <v/>
      </c>
    </row>
    <row r="1609" hidden="1" ht="60" customHeight="1" s="54">
      <c r="B1609" s="59" t="inlineStr">
        <is>
          <t>R-1604</t>
        </is>
      </c>
      <c r="C1609" s="59" t="inlineStr">
        <is>
          <t>TEC-015</t>
        </is>
      </c>
      <c r="D1609" s="64">
        <f>IFERROR(INDEX(MgNombre,MATCH($C1609,MgActId,0)),"")</f>
        <v/>
      </c>
      <c r="E1609" s="64">
        <f>IFERROR(INDEX(MgProceso,MATCH($C1609,MgActId,0)),"")</f>
        <v/>
      </c>
      <c r="F1609" s="64">
        <f>IFERROR(INDEX(MgTipo,MATCH($C1609,MgActId,0)),"")</f>
        <v/>
      </c>
      <c r="G1609" s="64">
        <f>IFERROR(INDEX(MgSubtipo,MATCH($C1609,MgActId,0)),"")</f>
        <v/>
      </c>
      <c r="H1609" s="59" t="inlineStr">
        <is>
          <t>N.2</t>
        </is>
      </c>
      <c r="I1609" s="64">
        <f>IFERROR(INDEX(MgAmenNombre,MATCH(SUBSTITUTE($H1609,"*","-"),MgAmenClave,0)),"")</f>
        <v/>
      </c>
      <c r="J1609" s="28">
        <f>IFERROR(INDEX(MgAmenGrupo,MATCH(SUBSTITUTE($H1609,"*","-"),MgAmenClave,0)),"")</f>
        <v/>
      </c>
      <c r="K1609" s="64">
        <f>IFERROR(INDEX('1. Matriz de Activos'!$Q$6:$Q$239,MATCH($C1609,MgActId,0)),"")</f>
        <v/>
      </c>
      <c r="L1609" s="64">
        <f>IFERROR(INDEX('1. Matriz de Activos'!$R$6:$R$239,MATCH($C1609,MgActId,0)),"")</f>
        <v/>
      </c>
      <c r="M1609" s="64">
        <f>IFERROR(INDEX('1. Matriz de Activos'!$S$6:$S$239,MATCH($C1609,MgActId,0)),"")</f>
        <v/>
      </c>
      <c r="N1609" s="28">
        <f>IFERROR(INDEX(MgAmenDegD,MATCH(SUBSTITUTE($H1609,"*","-"),MgAmenClave,0)),"No aplica")</f>
        <v/>
      </c>
      <c r="O1609" s="28">
        <f>IFERROR(INDEX(MgAmenDegI,MATCH(SUBSTITUTE($H1609,"*","-"),MgAmenClave,0)),"No aplica")</f>
        <v/>
      </c>
      <c r="P1609" s="28">
        <f>IFERROR(INDEX(MgAmenDegC,MATCH(SUBSTITUTE($H1609,"*","-"),MgAmenClave,0)),"No aplica")</f>
        <v/>
      </c>
      <c r="Q1609" s="29">
        <f>IFERROR(VLOOKUP(K1609,MgValor,2,0)*VLOOKUP(N1609,MgDeg,2,0),0)</f>
        <v/>
      </c>
      <c r="R1609" s="29">
        <f>IFERROR(VLOOKUP(L1609,MgValor,2,0)*VLOOKUP(O1609,MgDeg,2,0),0)</f>
        <v/>
      </c>
      <c r="S1609" s="29">
        <f>IFERROR(VLOOKUP(M1609,MgValor,2,0)*VLOOKUP(P1609,MgDeg,2,0),0)</f>
        <v/>
      </c>
      <c r="T1609" s="30">
        <f>MAX(Q1609:S1609)</f>
        <v/>
      </c>
      <c r="U1609" s="28">
        <f>IFERROR(LOOKUP(T1609,{0;0.5;1.5;3;4.5},{"Despreciable";"Bajo";"Medio";"Alto";"Muy alto"}),"")</f>
        <v/>
      </c>
      <c r="V1609" s="13">
        <f>IFERROR(INDEX(MgAmenFrec,MATCH(SUBSTITUTE($H1609,"*","-"),MgAmenClave,0)),"")</f>
        <v/>
      </c>
      <c r="W1609" s="28">
        <f>IFERROR(LOOKUP(X1609,{0;0.01;0.1;1;10;100},{"Muy baja";"Muy baja";"Baja";"Media";"Alta";"Muy alta"}),"")</f>
        <v/>
      </c>
      <c r="X1609" s="31">
        <f>IFERROR(VLOOKUP(V1609,MgFrec,2,0),0)</f>
        <v/>
      </c>
      <c r="Y1609" s="30">
        <f>T1609*X1609</f>
        <v/>
      </c>
      <c r="Z1609" s="28">
        <f>IFERROR(LOOKUP(Y1609,{0;0.5;5;25},{"Bajo";"Medio";"Alto";"Crítico"}),"")</f>
        <v/>
      </c>
      <c r="AA1609" s="64">
        <f>IF(T1609&gt;=3,IF(X1609&gt;=1,"Zona 1 — Crítica: impacto alto y ocurre al menos una vez al año","Zona 4 — Catastrófica poco probable: impacto alto pero excepcional"),IF(AND(T1609&lt;1.5,X1609&lt;1),"Zona 3 — Asumible: impacto bajo y muy poco frecuente","Zona 2 — Atención: riesgo intermedio"))</f>
        <v/>
      </c>
      <c r="AB1609" s="64">
        <f>IFERROR(INDEX(MgAmenCtrl,MATCH(SUBSTITUTE($H1609,"*","-"),MgAmenClave,0)),"")</f>
        <v/>
      </c>
      <c r="AC1609" s="20" t="n"/>
      <c r="AD1609" s="31">
        <f>IFERROR($X1609*(1-IF($AC1609="",$AL1609,VLOOKUP($AC1609,MgMad,2,0))),"")</f>
        <v/>
      </c>
      <c r="AE1609" s="28">
        <f>IFERROR(LOOKUP(AD1609,{0;0.01;0.1;1;10;100},{"Muy baja";"Muy baja";"Baja";"Media";"Alta";"Muy alta"}),"")</f>
        <v/>
      </c>
      <c r="AF1609" s="30">
        <f>T1609*AD1609</f>
        <v/>
      </c>
      <c r="AG1609" s="28">
        <f>IFERROR(LOOKUP(AF1609,{0;0.5;5;25},{"Bajo";"Medio";"Alto";"Crítico"}),"")</f>
        <v/>
      </c>
      <c r="AH1609" s="28">
        <f>IF(AG1609="","",IF(OR(AG1609="Crítico",AG1609="Alto"),"Mitigar",IF(AG1609="Medio","Mitigar","Aceptar y monitorear")))</f>
        <v/>
      </c>
      <c r="AI1609" s="21" t="n"/>
      <c r="AJ1609" s="21" t="n"/>
      <c r="AK1609" s="20" t="n"/>
      <c r="AL1609" s="77">
        <f>IFERROR(INDEX(MgAmenEfic,MATCH(SUBSTITUTE($H1609,"*","-"),MgAmenClave,0)),0)</f>
        <v/>
      </c>
    </row>
    <row r="1610" hidden="1" ht="75" customHeight="1" s="54">
      <c r="B1610" s="59" t="inlineStr">
        <is>
          <t>R-1605</t>
        </is>
      </c>
      <c r="C1610" s="59" t="inlineStr">
        <is>
          <t>TEC-015</t>
        </is>
      </c>
      <c r="D1610" s="64">
        <f>IFERROR(INDEX(MgNombre,MATCH($C1610,MgActId,0)),"")</f>
        <v/>
      </c>
      <c r="E1610" s="64">
        <f>IFERROR(INDEX(MgProceso,MATCH($C1610,MgActId,0)),"")</f>
        <v/>
      </c>
      <c r="F1610" s="64">
        <f>IFERROR(INDEX(MgTipo,MATCH($C1610,MgActId,0)),"")</f>
        <v/>
      </c>
      <c r="G1610" s="64">
        <f>IFERROR(INDEX(MgSubtipo,MATCH($C1610,MgActId,0)),"")</f>
        <v/>
      </c>
      <c r="H1610" s="59" t="inlineStr">
        <is>
          <t>N.*</t>
        </is>
      </c>
      <c r="I1610" s="64">
        <f>IFERROR(INDEX(MgAmenNombre,MATCH(SUBSTITUTE($H1610,"*","-"),MgAmenClave,0)),"")</f>
        <v/>
      </c>
      <c r="J1610" s="28">
        <f>IFERROR(INDEX(MgAmenGrupo,MATCH(SUBSTITUTE($H1610,"*","-"),MgAmenClave,0)),"")</f>
        <v/>
      </c>
      <c r="K1610" s="64">
        <f>IFERROR(INDEX('1. Matriz de Activos'!$Q$6:$Q$239,MATCH($C1610,MgActId,0)),"")</f>
        <v/>
      </c>
      <c r="L1610" s="64">
        <f>IFERROR(INDEX('1. Matriz de Activos'!$R$6:$R$239,MATCH($C1610,MgActId,0)),"")</f>
        <v/>
      </c>
      <c r="M1610" s="64">
        <f>IFERROR(INDEX('1. Matriz de Activos'!$S$6:$S$239,MATCH($C1610,MgActId,0)),"")</f>
        <v/>
      </c>
      <c r="N1610" s="28">
        <f>IFERROR(INDEX(MgAmenDegD,MATCH(SUBSTITUTE($H1610,"*","-"),MgAmenClave,0)),"No aplica")</f>
        <v/>
      </c>
      <c r="O1610" s="28">
        <f>IFERROR(INDEX(MgAmenDegI,MATCH(SUBSTITUTE($H1610,"*","-"),MgAmenClave,0)),"No aplica")</f>
        <v/>
      </c>
      <c r="P1610" s="28">
        <f>IFERROR(INDEX(MgAmenDegC,MATCH(SUBSTITUTE($H1610,"*","-"),MgAmenClave,0)),"No aplica")</f>
        <v/>
      </c>
      <c r="Q1610" s="29">
        <f>IFERROR(VLOOKUP(K1610,MgValor,2,0)*VLOOKUP(N1610,MgDeg,2,0),0)</f>
        <v/>
      </c>
      <c r="R1610" s="29">
        <f>IFERROR(VLOOKUP(L1610,MgValor,2,0)*VLOOKUP(O1610,MgDeg,2,0),0)</f>
        <v/>
      </c>
      <c r="S1610" s="29">
        <f>IFERROR(VLOOKUP(M1610,MgValor,2,0)*VLOOKUP(P1610,MgDeg,2,0),0)</f>
        <v/>
      </c>
      <c r="T1610" s="30">
        <f>MAX(Q1610:S1610)</f>
        <v/>
      </c>
      <c r="U1610" s="28">
        <f>IFERROR(LOOKUP(T1610,{0;0.5;1.5;3;4.5},{"Despreciable";"Bajo";"Medio";"Alto";"Muy alto"}),"")</f>
        <v/>
      </c>
      <c r="V1610" s="13">
        <f>IFERROR(INDEX(MgAmenFrec,MATCH(SUBSTITUTE($H1610,"*","-"),MgAmenClave,0)),"")</f>
        <v/>
      </c>
      <c r="W1610" s="28">
        <f>IFERROR(LOOKUP(X1610,{0;0.01;0.1;1;10;100},{"Muy baja";"Muy baja";"Baja";"Media";"Alta";"Muy alta"}),"")</f>
        <v/>
      </c>
      <c r="X1610" s="31">
        <f>IFERROR(VLOOKUP(V1610,MgFrec,2,0),0)</f>
        <v/>
      </c>
      <c r="Y1610" s="30">
        <f>T1610*X1610</f>
        <v/>
      </c>
      <c r="Z1610" s="28">
        <f>IFERROR(LOOKUP(Y1610,{0;0.5;5;25},{"Bajo";"Medio";"Alto";"Crítico"}),"")</f>
        <v/>
      </c>
      <c r="AA1610" s="64">
        <f>IF(T1610&gt;=3,IF(X1610&gt;=1,"Zona 1 — Crítica: impacto alto y ocurre al menos una vez al año","Zona 4 — Catastrófica poco probable: impacto alto pero excepcional"),IF(AND(T1610&lt;1.5,X1610&lt;1),"Zona 3 — Asumible: impacto bajo y muy poco frecuente","Zona 2 — Atención: riesgo intermedio"))</f>
        <v/>
      </c>
      <c r="AB1610" s="64">
        <f>IFERROR(INDEX(MgAmenCtrl,MATCH(SUBSTITUTE($H1610,"*","-"),MgAmenClave,0)),"")</f>
        <v/>
      </c>
      <c r="AC1610" s="20" t="n"/>
      <c r="AD1610" s="31">
        <f>IFERROR($X1610*(1-IF($AC1610="",$AL1610,VLOOKUP($AC1610,MgMad,2,0))),"")</f>
        <v/>
      </c>
      <c r="AE1610" s="28">
        <f>IFERROR(LOOKUP(AD1610,{0;0.01;0.1;1;10;100},{"Muy baja";"Muy baja";"Baja";"Media";"Alta";"Muy alta"}),"")</f>
        <v/>
      </c>
      <c r="AF1610" s="30">
        <f>T1610*AD1610</f>
        <v/>
      </c>
      <c r="AG1610" s="28">
        <f>IFERROR(LOOKUP(AF1610,{0;0.5;5;25},{"Bajo";"Medio";"Alto";"Crítico"}),"")</f>
        <v/>
      </c>
      <c r="AH1610" s="28">
        <f>IF(AG1610="","",IF(OR(AG1610="Crítico",AG1610="Alto"),"Mitigar",IF(AG1610="Medio","Mitigar","Aceptar y monitorear")))</f>
        <v/>
      </c>
      <c r="AI1610" s="21" t="n"/>
      <c r="AJ1610" s="21" t="n"/>
      <c r="AK1610" s="20" t="n"/>
      <c r="AL1610" s="77">
        <f>IFERROR(INDEX(MgAmenEfic,MATCH(SUBSTITUTE($H1610,"*","-"),MgAmenClave,0)),0)</f>
        <v/>
      </c>
    </row>
    <row r="1611" hidden="1" ht="75" customHeight="1" s="54">
      <c r="B1611" s="59" t="inlineStr">
        <is>
          <t>R-1606</t>
        </is>
      </c>
      <c r="C1611" s="59" t="inlineStr">
        <is>
          <t>TEC-015</t>
        </is>
      </c>
      <c r="D1611" s="64">
        <f>IFERROR(INDEX(MgNombre,MATCH($C1611,MgActId,0)),"")</f>
        <v/>
      </c>
      <c r="E1611" s="64">
        <f>IFERROR(INDEX(MgProceso,MATCH($C1611,MgActId,0)),"")</f>
        <v/>
      </c>
      <c r="F1611" s="64">
        <f>IFERROR(INDEX(MgTipo,MATCH($C1611,MgActId,0)),"")</f>
        <v/>
      </c>
      <c r="G1611" s="64">
        <f>IFERROR(INDEX(MgSubtipo,MATCH($C1611,MgActId,0)),"")</f>
        <v/>
      </c>
      <c r="H1611" s="59" t="inlineStr">
        <is>
          <t>I.1</t>
        </is>
      </c>
      <c r="I1611" s="64">
        <f>IFERROR(INDEX(MgAmenNombre,MATCH(SUBSTITUTE($H1611,"*","-"),MgAmenClave,0)),"")</f>
        <v/>
      </c>
      <c r="J1611" s="28">
        <f>IFERROR(INDEX(MgAmenGrupo,MATCH(SUBSTITUTE($H1611,"*","-"),MgAmenClave,0)),"")</f>
        <v/>
      </c>
      <c r="K1611" s="64">
        <f>IFERROR(INDEX('1. Matriz de Activos'!$Q$6:$Q$239,MATCH($C1611,MgActId,0)),"")</f>
        <v/>
      </c>
      <c r="L1611" s="64">
        <f>IFERROR(INDEX('1. Matriz de Activos'!$R$6:$R$239,MATCH($C1611,MgActId,0)),"")</f>
        <v/>
      </c>
      <c r="M1611" s="64">
        <f>IFERROR(INDEX('1. Matriz de Activos'!$S$6:$S$239,MATCH($C1611,MgActId,0)),"")</f>
        <v/>
      </c>
      <c r="N1611" s="28">
        <f>IFERROR(INDEX(MgAmenDegD,MATCH(SUBSTITUTE($H1611,"*","-"),MgAmenClave,0)),"No aplica")</f>
        <v/>
      </c>
      <c r="O1611" s="28">
        <f>IFERROR(INDEX(MgAmenDegI,MATCH(SUBSTITUTE($H1611,"*","-"),MgAmenClave,0)),"No aplica")</f>
        <v/>
      </c>
      <c r="P1611" s="28">
        <f>IFERROR(INDEX(MgAmenDegC,MATCH(SUBSTITUTE($H1611,"*","-"),MgAmenClave,0)),"No aplica")</f>
        <v/>
      </c>
      <c r="Q1611" s="29">
        <f>IFERROR(VLOOKUP(K1611,MgValor,2,0)*VLOOKUP(N1611,MgDeg,2,0),0)</f>
        <v/>
      </c>
      <c r="R1611" s="29">
        <f>IFERROR(VLOOKUP(L1611,MgValor,2,0)*VLOOKUP(O1611,MgDeg,2,0),0)</f>
        <v/>
      </c>
      <c r="S1611" s="29">
        <f>IFERROR(VLOOKUP(M1611,MgValor,2,0)*VLOOKUP(P1611,MgDeg,2,0),0)</f>
        <v/>
      </c>
      <c r="T1611" s="30">
        <f>MAX(Q1611:S1611)</f>
        <v/>
      </c>
      <c r="U1611" s="28">
        <f>IFERROR(LOOKUP(T1611,{0;0.5;1.5;3;4.5},{"Despreciable";"Bajo";"Medio";"Alto";"Muy alto"}),"")</f>
        <v/>
      </c>
      <c r="V1611" s="13">
        <f>IFERROR(INDEX(MgAmenFrec,MATCH(SUBSTITUTE($H1611,"*","-"),MgAmenClave,0)),"")</f>
        <v/>
      </c>
      <c r="W1611" s="28">
        <f>IFERROR(LOOKUP(X1611,{0;0.01;0.1;1;10;100},{"Muy baja";"Muy baja";"Baja";"Media";"Alta";"Muy alta"}),"")</f>
        <v/>
      </c>
      <c r="X1611" s="31">
        <f>IFERROR(VLOOKUP(V1611,MgFrec,2,0),0)</f>
        <v/>
      </c>
      <c r="Y1611" s="30">
        <f>T1611*X1611</f>
        <v/>
      </c>
      <c r="Z1611" s="28">
        <f>IFERROR(LOOKUP(Y1611,{0;0.5;5;25},{"Bajo";"Medio";"Alto";"Crítico"}),"")</f>
        <v/>
      </c>
      <c r="AA1611" s="64">
        <f>IF(T1611&gt;=3,IF(X1611&gt;=1,"Zona 1 — Crítica: impacto alto y ocurre al menos una vez al año","Zona 4 — Catastrófica poco probable: impacto alto pero excepcional"),IF(AND(T1611&lt;1.5,X1611&lt;1),"Zona 3 — Asumible: impacto bajo y muy poco frecuente","Zona 2 — Atención: riesgo intermedio"))</f>
        <v/>
      </c>
      <c r="AB1611" s="64">
        <f>IFERROR(INDEX(MgAmenCtrl,MATCH(SUBSTITUTE($H1611,"*","-"),MgAmenClave,0)),"")</f>
        <v/>
      </c>
      <c r="AC1611" s="20" t="n"/>
      <c r="AD1611" s="31">
        <f>IFERROR($X1611*(1-IF($AC1611="",$AL1611,VLOOKUP($AC1611,MgMad,2,0))),"")</f>
        <v/>
      </c>
      <c r="AE1611" s="28">
        <f>IFERROR(LOOKUP(AD1611,{0;0.01;0.1;1;10;100},{"Muy baja";"Muy baja";"Baja";"Media";"Alta";"Muy alta"}),"")</f>
        <v/>
      </c>
      <c r="AF1611" s="30">
        <f>T1611*AD1611</f>
        <v/>
      </c>
      <c r="AG1611" s="28">
        <f>IFERROR(LOOKUP(AF1611,{0;0.5;5;25},{"Bajo";"Medio";"Alto";"Crítico"}),"")</f>
        <v/>
      </c>
      <c r="AH1611" s="28">
        <f>IF(AG1611="","",IF(OR(AG1611="Crítico",AG1611="Alto"),"Mitigar",IF(AG1611="Medio","Mitigar","Aceptar y monitorear")))</f>
        <v/>
      </c>
      <c r="AI1611" s="21" t="n"/>
      <c r="AJ1611" s="21" t="n"/>
      <c r="AK1611" s="20" t="n"/>
      <c r="AL1611" s="77">
        <f>IFERROR(INDEX(MgAmenEfic,MATCH(SUBSTITUTE($H1611,"*","-"),MgAmenClave,0)),0)</f>
        <v/>
      </c>
    </row>
    <row r="1612" hidden="1" ht="45" customHeight="1" s="54">
      <c r="B1612" s="59" t="inlineStr">
        <is>
          <t>R-1607</t>
        </is>
      </c>
      <c r="C1612" s="59" t="inlineStr">
        <is>
          <t>TEC-015</t>
        </is>
      </c>
      <c r="D1612" s="64">
        <f>IFERROR(INDEX(MgNombre,MATCH($C1612,MgActId,0)),"")</f>
        <v/>
      </c>
      <c r="E1612" s="64">
        <f>IFERROR(INDEX(MgProceso,MATCH($C1612,MgActId,0)),"")</f>
        <v/>
      </c>
      <c r="F1612" s="64">
        <f>IFERROR(INDEX(MgTipo,MATCH($C1612,MgActId,0)),"")</f>
        <v/>
      </c>
      <c r="G1612" s="64">
        <f>IFERROR(INDEX(MgSubtipo,MATCH($C1612,MgActId,0)),"")</f>
        <v/>
      </c>
      <c r="H1612" s="59" t="inlineStr">
        <is>
          <t>I.2</t>
        </is>
      </c>
      <c r="I1612" s="64">
        <f>IFERROR(INDEX(MgAmenNombre,MATCH(SUBSTITUTE($H1612,"*","-"),MgAmenClave,0)),"")</f>
        <v/>
      </c>
      <c r="J1612" s="28">
        <f>IFERROR(INDEX(MgAmenGrupo,MATCH(SUBSTITUTE($H1612,"*","-"),MgAmenClave,0)),"")</f>
        <v/>
      </c>
      <c r="K1612" s="64">
        <f>IFERROR(INDEX('1. Matriz de Activos'!$Q$6:$Q$239,MATCH($C1612,MgActId,0)),"")</f>
        <v/>
      </c>
      <c r="L1612" s="64">
        <f>IFERROR(INDEX('1. Matriz de Activos'!$R$6:$R$239,MATCH($C1612,MgActId,0)),"")</f>
        <v/>
      </c>
      <c r="M1612" s="64">
        <f>IFERROR(INDEX('1. Matriz de Activos'!$S$6:$S$239,MATCH($C1612,MgActId,0)),"")</f>
        <v/>
      </c>
      <c r="N1612" s="28">
        <f>IFERROR(INDEX(MgAmenDegD,MATCH(SUBSTITUTE($H1612,"*","-"),MgAmenClave,0)),"No aplica")</f>
        <v/>
      </c>
      <c r="O1612" s="28">
        <f>IFERROR(INDEX(MgAmenDegI,MATCH(SUBSTITUTE($H1612,"*","-"),MgAmenClave,0)),"No aplica")</f>
        <v/>
      </c>
      <c r="P1612" s="28">
        <f>IFERROR(INDEX(MgAmenDegC,MATCH(SUBSTITUTE($H1612,"*","-"),MgAmenClave,0)),"No aplica")</f>
        <v/>
      </c>
      <c r="Q1612" s="29">
        <f>IFERROR(VLOOKUP(K1612,MgValor,2,0)*VLOOKUP(N1612,MgDeg,2,0),0)</f>
        <v/>
      </c>
      <c r="R1612" s="29">
        <f>IFERROR(VLOOKUP(L1612,MgValor,2,0)*VLOOKUP(O1612,MgDeg,2,0),0)</f>
        <v/>
      </c>
      <c r="S1612" s="29">
        <f>IFERROR(VLOOKUP(M1612,MgValor,2,0)*VLOOKUP(P1612,MgDeg,2,0),0)</f>
        <v/>
      </c>
      <c r="T1612" s="30">
        <f>MAX(Q1612:S1612)</f>
        <v/>
      </c>
      <c r="U1612" s="28">
        <f>IFERROR(LOOKUP(T1612,{0;0.5;1.5;3;4.5},{"Despreciable";"Bajo";"Medio";"Alto";"Muy alto"}),"")</f>
        <v/>
      </c>
      <c r="V1612" s="13">
        <f>IFERROR(INDEX(MgAmenFrec,MATCH(SUBSTITUTE($H1612,"*","-"),MgAmenClave,0)),"")</f>
        <v/>
      </c>
      <c r="W1612" s="28">
        <f>IFERROR(LOOKUP(X1612,{0;0.01;0.1;1;10;100},{"Muy baja";"Muy baja";"Baja";"Media";"Alta";"Muy alta"}),"")</f>
        <v/>
      </c>
      <c r="X1612" s="31">
        <f>IFERROR(VLOOKUP(V1612,MgFrec,2,0),0)</f>
        <v/>
      </c>
      <c r="Y1612" s="30">
        <f>T1612*X1612</f>
        <v/>
      </c>
      <c r="Z1612" s="28">
        <f>IFERROR(LOOKUP(Y1612,{0;0.5;5;25},{"Bajo";"Medio";"Alto";"Crítico"}),"")</f>
        <v/>
      </c>
      <c r="AA1612" s="64">
        <f>IF(T1612&gt;=3,IF(X1612&gt;=1,"Zona 1 — Crítica: impacto alto y ocurre al menos una vez al año","Zona 4 — Catastrófica poco probable: impacto alto pero excepcional"),IF(AND(T1612&lt;1.5,X1612&lt;1),"Zona 3 — Asumible: impacto bajo y muy poco frecuente","Zona 2 — Atención: riesgo intermedio"))</f>
        <v/>
      </c>
      <c r="AB1612" s="64">
        <f>IFERROR(INDEX(MgAmenCtrl,MATCH(SUBSTITUTE($H1612,"*","-"),MgAmenClave,0)),"")</f>
        <v/>
      </c>
      <c r="AC1612" s="20" t="n"/>
      <c r="AD1612" s="31">
        <f>IFERROR($X1612*(1-IF($AC1612="",$AL1612,VLOOKUP($AC1612,MgMad,2,0))),"")</f>
        <v/>
      </c>
      <c r="AE1612" s="28">
        <f>IFERROR(LOOKUP(AD1612,{0;0.01;0.1;1;10;100},{"Muy baja";"Muy baja";"Baja";"Media";"Alta";"Muy alta"}),"")</f>
        <v/>
      </c>
      <c r="AF1612" s="30">
        <f>T1612*AD1612</f>
        <v/>
      </c>
      <c r="AG1612" s="28">
        <f>IFERROR(LOOKUP(AF1612,{0;0.5;5;25},{"Bajo";"Medio";"Alto";"Crítico"}),"")</f>
        <v/>
      </c>
      <c r="AH1612" s="28">
        <f>IF(AG1612="","",IF(OR(AG1612="Crítico",AG1612="Alto"),"Mitigar",IF(AG1612="Medio","Mitigar","Aceptar y monitorear")))</f>
        <v/>
      </c>
      <c r="AI1612" s="21" t="n"/>
      <c r="AJ1612" s="21" t="n"/>
      <c r="AK1612" s="20" t="n"/>
      <c r="AL1612" s="77">
        <f>IFERROR(INDEX(MgAmenEfic,MATCH(SUBSTITUTE($H1612,"*","-"),MgAmenClave,0)),0)</f>
        <v/>
      </c>
    </row>
    <row r="1613" hidden="1" ht="60" customHeight="1" s="54">
      <c r="B1613" s="59" t="inlineStr">
        <is>
          <t>R-1608</t>
        </is>
      </c>
      <c r="C1613" s="59" t="inlineStr">
        <is>
          <t>TEC-015</t>
        </is>
      </c>
      <c r="D1613" s="64">
        <f>IFERROR(INDEX(MgNombre,MATCH($C1613,MgActId,0)),"")</f>
        <v/>
      </c>
      <c r="E1613" s="64">
        <f>IFERROR(INDEX(MgProceso,MATCH($C1613,MgActId,0)),"")</f>
        <v/>
      </c>
      <c r="F1613" s="64">
        <f>IFERROR(INDEX(MgTipo,MATCH($C1613,MgActId,0)),"")</f>
        <v/>
      </c>
      <c r="G1613" s="64">
        <f>IFERROR(INDEX(MgSubtipo,MATCH($C1613,MgActId,0)),"")</f>
        <v/>
      </c>
      <c r="H1613" s="59" t="inlineStr">
        <is>
          <t>I.*</t>
        </is>
      </c>
      <c r="I1613" s="64">
        <f>IFERROR(INDEX(MgAmenNombre,MATCH(SUBSTITUTE($H1613,"*","-"),MgAmenClave,0)),"")</f>
        <v/>
      </c>
      <c r="J1613" s="28">
        <f>IFERROR(INDEX(MgAmenGrupo,MATCH(SUBSTITUTE($H1613,"*","-"),MgAmenClave,0)),"")</f>
        <v/>
      </c>
      <c r="K1613" s="64">
        <f>IFERROR(INDEX('1. Matriz de Activos'!$Q$6:$Q$239,MATCH($C1613,MgActId,0)),"")</f>
        <v/>
      </c>
      <c r="L1613" s="64">
        <f>IFERROR(INDEX('1. Matriz de Activos'!$R$6:$R$239,MATCH($C1613,MgActId,0)),"")</f>
        <v/>
      </c>
      <c r="M1613" s="64">
        <f>IFERROR(INDEX('1. Matriz de Activos'!$S$6:$S$239,MATCH($C1613,MgActId,0)),"")</f>
        <v/>
      </c>
      <c r="N1613" s="28">
        <f>IFERROR(INDEX(MgAmenDegD,MATCH(SUBSTITUTE($H1613,"*","-"),MgAmenClave,0)),"No aplica")</f>
        <v/>
      </c>
      <c r="O1613" s="28">
        <f>IFERROR(INDEX(MgAmenDegI,MATCH(SUBSTITUTE($H1613,"*","-"),MgAmenClave,0)),"No aplica")</f>
        <v/>
      </c>
      <c r="P1613" s="28">
        <f>IFERROR(INDEX(MgAmenDegC,MATCH(SUBSTITUTE($H1613,"*","-"),MgAmenClave,0)),"No aplica")</f>
        <v/>
      </c>
      <c r="Q1613" s="29">
        <f>IFERROR(VLOOKUP(K1613,MgValor,2,0)*VLOOKUP(N1613,MgDeg,2,0),0)</f>
        <v/>
      </c>
      <c r="R1613" s="29">
        <f>IFERROR(VLOOKUP(L1613,MgValor,2,0)*VLOOKUP(O1613,MgDeg,2,0),0)</f>
        <v/>
      </c>
      <c r="S1613" s="29">
        <f>IFERROR(VLOOKUP(M1613,MgValor,2,0)*VLOOKUP(P1613,MgDeg,2,0),0)</f>
        <v/>
      </c>
      <c r="T1613" s="30">
        <f>MAX(Q1613:S1613)</f>
        <v/>
      </c>
      <c r="U1613" s="28">
        <f>IFERROR(LOOKUP(T1613,{0;0.5;1.5;3;4.5},{"Despreciable";"Bajo";"Medio";"Alto";"Muy alto"}),"")</f>
        <v/>
      </c>
      <c r="V1613" s="13">
        <f>IFERROR(INDEX(MgAmenFrec,MATCH(SUBSTITUTE($H1613,"*","-"),MgAmenClave,0)),"")</f>
        <v/>
      </c>
      <c r="W1613" s="28">
        <f>IFERROR(LOOKUP(X1613,{0;0.01;0.1;1;10;100},{"Muy baja";"Muy baja";"Baja";"Media";"Alta";"Muy alta"}),"")</f>
        <v/>
      </c>
      <c r="X1613" s="31">
        <f>IFERROR(VLOOKUP(V1613,MgFrec,2,0),0)</f>
        <v/>
      </c>
      <c r="Y1613" s="30">
        <f>T1613*X1613</f>
        <v/>
      </c>
      <c r="Z1613" s="28">
        <f>IFERROR(LOOKUP(Y1613,{0;0.5;5;25},{"Bajo";"Medio";"Alto";"Crítico"}),"")</f>
        <v/>
      </c>
      <c r="AA1613" s="64">
        <f>IF(T1613&gt;=3,IF(X1613&gt;=1,"Zona 1 — Crítica: impacto alto y ocurre al menos una vez al año","Zona 4 — Catastrófica poco probable: impacto alto pero excepcional"),IF(AND(T1613&lt;1.5,X1613&lt;1),"Zona 3 — Asumible: impacto bajo y muy poco frecuente","Zona 2 — Atención: riesgo intermedio"))</f>
        <v/>
      </c>
      <c r="AB1613" s="64">
        <f>IFERROR(INDEX(MgAmenCtrl,MATCH(SUBSTITUTE($H1613,"*","-"),MgAmenClave,0)),"")</f>
        <v/>
      </c>
      <c r="AC1613" s="20" t="n"/>
      <c r="AD1613" s="31">
        <f>IFERROR($X1613*(1-IF($AC1613="",$AL1613,VLOOKUP($AC1613,MgMad,2,0))),"")</f>
        <v/>
      </c>
      <c r="AE1613" s="28">
        <f>IFERROR(LOOKUP(AD1613,{0;0.01;0.1;1;10;100},{"Muy baja";"Muy baja";"Baja";"Media";"Alta";"Muy alta"}),"")</f>
        <v/>
      </c>
      <c r="AF1613" s="30">
        <f>T1613*AD1613</f>
        <v/>
      </c>
      <c r="AG1613" s="28">
        <f>IFERROR(LOOKUP(AF1613,{0;0.5;5;25},{"Bajo";"Medio";"Alto";"Crítico"}),"")</f>
        <v/>
      </c>
      <c r="AH1613" s="28">
        <f>IF(AG1613="","",IF(OR(AG1613="Crítico",AG1613="Alto"),"Mitigar",IF(AG1613="Medio","Mitigar","Aceptar y monitorear")))</f>
        <v/>
      </c>
      <c r="AI1613" s="21" t="n"/>
      <c r="AJ1613" s="21" t="n"/>
      <c r="AK1613" s="20" t="n"/>
      <c r="AL1613" s="77">
        <f>IFERROR(INDEX(MgAmenEfic,MATCH(SUBSTITUTE($H1613,"*","-"),MgAmenClave,0)),0)</f>
        <v/>
      </c>
    </row>
    <row r="1614" hidden="1" ht="45" customHeight="1" s="54">
      <c r="B1614" s="59" t="inlineStr">
        <is>
          <t>R-1609</t>
        </is>
      </c>
      <c r="C1614" s="59" t="inlineStr">
        <is>
          <t>TEC-015</t>
        </is>
      </c>
      <c r="D1614" s="64">
        <f>IFERROR(INDEX(MgNombre,MATCH($C1614,MgActId,0)),"")</f>
        <v/>
      </c>
      <c r="E1614" s="64">
        <f>IFERROR(INDEX(MgProceso,MATCH($C1614,MgActId,0)),"")</f>
        <v/>
      </c>
      <c r="F1614" s="64">
        <f>IFERROR(INDEX(MgTipo,MATCH($C1614,MgActId,0)),"")</f>
        <v/>
      </c>
      <c r="G1614" s="64">
        <f>IFERROR(INDEX(MgSubtipo,MATCH($C1614,MgActId,0)),"")</f>
        <v/>
      </c>
      <c r="H1614" s="59" t="inlineStr">
        <is>
          <t>I.3</t>
        </is>
      </c>
      <c r="I1614" s="64">
        <f>IFERROR(INDEX(MgAmenNombre,MATCH(SUBSTITUTE($H1614,"*","-"),MgAmenClave,0)),"")</f>
        <v/>
      </c>
      <c r="J1614" s="28">
        <f>IFERROR(INDEX(MgAmenGrupo,MATCH(SUBSTITUTE($H1614,"*","-"),MgAmenClave,0)),"")</f>
        <v/>
      </c>
      <c r="K1614" s="64">
        <f>IFERROR(INDEX('1. Matriz de Activos'!$Q$6:$Q$239,MATCH($C1614,MgActId,0)),"")</f>
        <v/>
      </c>
      <c r="L1614" s="64">
        <f>IFERROR(INDEX('1. Matriz de Activos'!$R$6:$R$239,MATCH($C1614,MgActId,0)),"")</f>
        <v/>
      </c>
      <c r="M1614" s="64">
        <f>IFERROR(INDEX('1. Matriz de Activos'!$S$6:$S$239,MATCH($C1614,MgActId,0)),"")</f>
        <v/>
      </c>
      <c r="N1614" s="28">
        <f>IFERROR(INDEX(MgAmenDegD,MATCH(SUBSTITUTE($H1614,"*","-"),MgAmenClave,0)),"No aplica")</f>
        <v/>
      </c>
      <c r="O1614" s="28">
        <f>IFERROR(INDEX(MgAmenDegI,MATCH(SUBSTITUTE($H1614,"*","-"),MgAmenClave,0)),"No aplica")</f>
        <v/>
      </c>
      <c r="P1614" s="28">
        <f>IFERROR(INDEX(MgAmenDegC,MATCH(SUBSTITUTE($H1614,"*","-"),MgAmenClave,0)),"No aplica")</f>
        <v/>
      </c>
      <c r="Q1614" s="29">
        <f>IFERROR(VLOOKUP(K1614,MgValor,2,0)*VLOOKUP(N1614,MgDeg,2,0),0)</f>
        <v/>
      </c>
      <c r="R1614" s="29">
        <f>IFERROR(VLOOKUP(L1614,MgValor,2,0)*VLOOKUP(O1614,MgDeg,2,0),0)</f>
        <v/>
      </c>
      <c r="S1614" s="29">
        <f>IFERROR(VLOOKUP(M1614,MgValor,2,0)*VLOOKUP(P1614,MgDeg,2,0),0)</f>
        <v/>
      </c>
      <c r="T1614" s="30">
        <f>MAX(Q1614:S1614)</f>
        <v/>
      </c>
      <c r="U1614" s="28">
        <f>IFERROR(LOOKUP(T1614,{0;0.5;1.5;3;4.5},{"Despreciable";"Bajo";"Medio";"Alto";"Muy alto"}),"")</f>
        <v/>
      </c>
      <c r="V1614" s="13">
        <f>IFERROR(INDEX(MgAmenFrec,MATCH(SUBSTITUTE($H1614,"*","-"),MgAmenClave,0)),"")</f>
        <v/>
      </c>
      <c r="W1614" s="28">
        <f>IFERROR(LOOKUP(X1614,{0;0.01;0.1;1;10;100},{"Muy baja";"Muy baja";"Baja";"Media";"Alta";"Muy alta"}),"")</f>
        <v/>
      </c>
      <c r="X1614" s="31">
        <f>IFERROR(VLOOKUP(V1614,MgFrec,2,0),0)</f>
        <v/>
      </c>
      <c r="Y1614" s="30">
        <f>T1614*X1614</f>
        <v/>
      </c>
      <c r="Z1614" s="28">
        <f>IFERROR(LOOKUP(Y1614,{0;0.5;5;25},{"Bajo";"Medio";"Alto";"Crítico"}),"")</f>
        <v/>
      </c>
      <c r="AA1614" s="64">
        <f>IF(T1614&gt;=3,IF(X1614&gt;=1,"Zona 1 — Crítica: impacto alto y ocurre al menos una vez al año","Zona 4 — Catastrófica poco probable: impacto alto pero excepcional"),IF(AND(T1614&lt;1.5,X1614&lt;1),"Zona 3 — Asumible: impacto bajo y muy poco frecuente","Zona 2 — Atención: riesgo intermedio"))</f>
        <v/>
      </c>
      <c r="AB1614" s="64">
        <f>IFERROR(INDEX(MgAmenCtrl,MATCH(SUBSTITUTE($H1614,"*","-"),MgAmenClave,0)),"")</f>
        <v/>
      </c>
      <c r="AC1614" s="20" t="n"/>
      <c r="AD1614" s="31">
        <f>IFERROR($X1614*(1-IF($AC1614="",$AL1614,VLOOKUP($AC1614,MgMad,2,0))),"")</f>
        <v/>
      </c>
      <c r="AE1614" s="28">
        <f>IFERROR(LOOKUP(AD1614,{0;0.01;0.1;1;10;100},{"Muy baja";"Muy baja";"Baja";"Media";"Alta";"Muy alta"}),"")</f>
        <v/>
      </c>
      <c r="AF1614" s="30">
        <f>T1614*AD1614</f>
        <v/>
      </c>
      <c r="AG1614" s="28">
        <f>IFERROR(LOOKUP(AF1614,{0;0.5;5;25},{"Bajo";"Medio";"Alto";"Crítico"}),"")</f>
        <v/>
      </c>
      <c r="AH1614" s="28">
        <f>IF(AG1614="","",IF(OR(AG1614="Crítico",AG1614="Alto"),"Mitigar",IF(AG1614="Medio","Mitigar","Aceptar y monitorear")))</f>
        <v/>
      </c>
      <c r="AI1614" s="21" t="n"/>
      <c r="AJ1614" s="21" t="n"/>
      <c r="AK1614" s="20" t="n"/>
      <c r="AL1614" s="77">
        <f>IFERROR(INDEX(MgAmenEfic,MATCH(SUBSTITUTE($H1614,"*","-"),MgAmenClave,0)),0)</f>
        <v/>
      </c>
    </row>
    <row r="1615" hidden="1" ht="45" customHeight="1" s="54">
      <c r="B1615" s="59" t="inlineStr">
        <is>
          <t>R-1610</t>
        </is>
      </c>
      <c r="C1615" s="59" t="inlineStr">
        <is>
          <t>TEC-015</t>
        </is>
      </c>
      <c r="D1615" s="64">
        <f>IFERROR(INDEX(MgNombre,MATCH($C1615,MgActId,0)),"")</f>
        <v/>
      </c>
      <c r="E1615" s="64">
        <f>IFERROR(INDEX(MgProceso,MATCH($C1615,MgActId,0)),"")</f>
        <v/>
      </c>
      <c r="F1615" s="64">
        <f>IFERROR(INDEX(MgTipo,MATCH($C1615,MgActId,0)),"")</f>
        <v/>
      </c>
      <c r="G1615" s="64">
        <f>IFERROR(INDEX(MgSubtipo,MATCH($C1615,MgActId,0)),"")</f>
        <v/>
      </c>
      <c r="H1615" s="59" t="inlineStr">
        <is>
          <t>I.4</t>
        </is>
      </c>
      <c r="I1615" s="64">
        <f>IFERROR(INDEX(MgAmenNombre,MATCH(SUBSTITUTE($H1615,"*","-"),MgAmenClave,0)),"")</f>
        <v/>
      </c>
      <c r="J1615" s="28">
        <f>IFERROR(INDEX(MgAmenGrupo,MATCH(SUBSTITUTE($H1615,"*","-"),MgAmenClave,0)),"")</f>
        <v/>
      </c>
      <c r="K1615" s="64">
        <f>IFERROR(INDEX('1. Matriz de Activos'!$Q$6:$Q$239,MATCH($C1615,MgActId,0)),"")</f>
        <v/>
      </c>
      <c r="L1615" s="64">
        <f>IFERROR(INDEX('1. Matriz de Activos'!$R$6:$R$239,MATCH($C1615,MgActId,0)),"")</f>
        <v/>
      </c>
      <c r="M1615" s="64">
        <f>IFERROR(INDEX('1. Matriz de Activos'!$S$6:$S$239,MATCH($C1615,MgActId,0)),"")</f>
        <v/>
      </c>
      <c r="N1615" s="28">
        <f>IFERROR(INDEX(MgAmenDegD,MATCH(SUBSTITUTE($H1615,"*","-"),MgAmenClave,0)),"No aplica")</f>
        <v/>
      </c>
      <c r="O1615" s="28">
        <f>IFERROR(INDEX(MgAmenDegI,MATCH(SUBSTITUTE($H1615,"*","-"),MgAmenClave,0)),"No aplica")</f>
        <v/>
      </c>
      <c r="P1615" s="28">
        <f>IFERROR(INDEX(MgAmenDegC,MATCH(SUBSTITUTE($H1615,"*","-"),MgAmenClave,0)),"No aplica")</f>
        <v/>
      </c>
      <c r="Q1615" s="29">
        <f>IFERROR(VLOOKUP(K1615,MgValor,2,0)*VLOOKUP(N1615,MgDeg,2,0),0)</f>
        <v/>
      </c>
      <c r="R1615" s="29">
        <f>IFERROR(VLOOKUP(L1615,MgValor,2,0)*VLOOKUP(O1615,MgDeg,2,0),0)</f>
        <v/>
      </c>
      <c r="S1615" s="29">
        <f>IFERROR(VLOOKUP(M1615,MgValor,2,0)*VLOOKUP(P1615,MgDeg,2,0),0)</f>
        <v/>
      </c>
      <c r="T1615" s="30">
        <f>MAX(Q1615:S1615)</f>
        <v/>
      </c>
      <c r="U1615" s="28">
        <f>IFERROR(LOOKUP(T1615,{0;0.5;1.5;3;4.5},{"Despreciable";"Bajo";"Medio";"Alto";"Muy alto"}),"")</f>
        <v/>
      </c>
      <c r="V1615" s="13">
        <f>IFERROR(INDEX(MgAmenFrec,MATCH(SUBSTITUTE($H1615,"*","-"),MgAmenClave,0)),"")</f>
        <v/>
      </c>
      <c r="W1615" s="28">
        <f>IFERROR(LOOKUP(X1615,{0;0.01;0.1;1;10;100},{"Muy baja";"Muy baja";"Baja";"Media";"Alta";"Muy alta"}),"")</f>
        <v/>
      </c>
      <c r="X1615" s="31">
        <f>IFERROR(VLOOKUP(V1615,MgFrec,2,0),0)</f>
        <v/>
      </c>
      <c r="Y1615" s="30">
        <f>T1615*X1615</f>
        <v/>
      </c>
      <c r="Z1615" s="28">
        <f>IFERROR(LOOKUP(Y1615,{0;0.5;5;25},{"Bajo";"Medio";"Alto";"Crítico"}),"")</f>
        <v/>
      </c>
      <c r="AA1615" s="64">
        <f>IF(T1615&gt;=3,IF(X1615&gt;=1,"Zona 1 — Crítica: impacto alto y ocurre al menos una vez al año","Zona 4 — Catastrófica poco probable: impacto alto pero excepcional"),IF(AND(T1615&lt;1.5,X1615&lt;1),"Zona 3 — Asumible: impacto bajo y muy poco frecuente","Zona 2 — Atención: riesgo intermedio"))</f>
        <v/>
      </c>
      <c r="AB1615" s="64">
        <f>IFERROR(INDEX(MgAmenCtrl,MATCH(SUBSTITUTE($H1615,"*","-"),MgAmenClave,0)),"")</f>
        <v/>
      </c>
      <c r="AC1615" s="20" t="n"/>
      <c r="AD1615" s="31">
        <f>IFERROR($X1615*(1-IF($AC1615="",$AL1615,VLOOKUP($AC1615,MgMad,2,0))),"")</f>
        <v/>
      </c>
      <c r="AE1615" s="28">
        <f>IFERROR(LOOKUP(AD1615,{0;0.01;0.1;1;10;100},{"Muy baja";"Muy baja";"Baja";"Media";"Alta";"Muy alta"}),"")</f>
        <v/>
      </c>
      <c r="AF1615" s="30">
        <f>T1615*AD1615</f>
        <v/>
      </c>
      <c r="AG1615" s="28">
        <f>IFERROR(LOOKUP(AF1615,{0;0.5;5;25},{"Bajo";"Medio";"Alto";"Crítico"}),"")</f>
        <v/>
      </c>
      <c r="AH1615" s="28">
        <f>IF(AG1615="","",IF(OR(AG1615="Crítico",AG1615="Alto"),"Mitigar",IF(AG1615="Medio","Mitigar","Aceptar y monitorear")))</f>
        <v/>
      </c>
      <c r="AI1615" s="21" t="n"/>
      <c r="AJ1615" s="21" t="n"/>
      <c r="AK1615" s="20" t="n"/>
      <c r="AL1615" s="77">
        <f>IFERROR(INDEX(MgAmenEfic,MATCH(SUBSTITUTE($H1615,"*","-"),MgAmenClave,0)),0)</f>
        <v/>
      </c>
    </row>
    <row r="1616" hidden="1" ht="75" customHeight="1" s="54">
      <c r="B1616" s="59" t="inlineStr">
        <is>
          <t>R-1611</t>
        </is>
      </c>
      <c r="C1616" s="59" t="inlineStr">
        <is>
          <t>TEC-015</t>
        </is>
      </c>
      <c r="D1616" s="64">
        <f>IFERROR(INDEX(MgNombre,MATCH($C1616,MgActId,0)),"")</f>
        <v/>
      </c>
      <c r="E1616" s="64">
        <f>IFERROR(INDEX(MgProceso,MATCH($C1616,MgActId,0)),"")</f>
        <v/>
      </c>
      <c r="F1616" s="64">
        <f>IFERROR(INDEX(MgTipo,MATCH($C1616,MgActId,0)),"")</f>
        <v/>
      </c>
      <c r="G1616" s="64">
        <f>IFERROR(INDEX(MgSubtipo,MATCH($C1616,MgActId,0)),"")</f>
        <v/>
      </c>
      <c r="H1616" s="59" t="inlineStr">
        <is>
          <t>I.5</t>
        </is>
      </c>
      <c r="I1616" s="64">
        <f>IFERROR(INDEX(MgAmenNombre,MATCH(SUBSTITUTE($H1616,"*","-"),MgAmenClave,0)),"")</f>
        <v/>
      </c>
      <c r="J1616" s="28">
        <f>IFERROR(INDEX(MgAmenGrupo,MATCH(SUBSTITUTE($H1616,"*","-"),MgAmenClave,0)),"")</f>
        <v/>
      </c>
      <c r="K1616" s="64">
        <f>IFERROR(INDEX('1. Matriz de Activos'!$Q$6:$Q$239,MATCH($C1616,MgActId,0)),"")</f>
        <v/>
      </c>
      <c r="L1616" s="64">
        <f>IFERROR(INDEX('1. Matriz de Activos'!$R$6:$R$239,MATCH($C1616,MgActId,0)),"")</f>
        <v/>
      </c>
      <c r="M1616" s="64">
        <f>IFERROR(INDEX('1. Matriz de Activos'!$S$6:$S$239,MATCH($C1616,MgActId,0)),"")</f>
        <v/>
      </c>
      <c r="N1616" s="28">
        <f>IFERROR(INDEX(MgAmenDegD,MATCH(SUBSTITUTE($H1616,"*","-"),MgAmenClave,0)),"No aplica")</f>
        <v/>
      </c>
      <c r="O1616" s="28">
        <f>IFERROR(INDEX(MgAmenDegI,MATCH(SUBSTITUTE($H1616,"*","-"),MgAmenClave,0)),"No aplica")</f>
        <v/>
      </c>
      <c r="P1616" s="28">
        <f>IFERROR(INDEX(MgAmenDegC,MATCH(SUBSTITUTE($H1616,"*","-"),MgAmenClave,0)),"No aplica")</f>
        <v/>
      </c>
      <c r="Q1616" s="29">
        <f>IFERROR(VLOOKUP(K1616,MgValor,2,0)*VLOOKUP(N1616,MgDeg,2,0),0)</f>
        <v/>
      </c>
      <c r="R1616" s="29">
        <f>IFERROR(VLOOKUP(L1616,MgValor,2,0)*VLOOKUP(O1616,MgDeg,2,0),0)</f>
        <v/>
      </c>
      <c r="S1616" s="29">
        <f>IFERROR(VLOOKUP(M1616,MgValor,2,0)*VLOOKUP(P1616,MgDeg,2,0),0)</f>
        <v/>
      </c>
      <c r="T1616" s="30">
        <f>MAX(Q1616:S1616)</f>
        <v/>
      </c>
      <c r="U1616" s="28">
        <f>IFERROR(LOOKUP(T1616,{0;0.5;1.5;3;4.5},{"Despreciable";"Bajo";"Medio";"Alto";"Muy alto"}),"")</f>
        <v/>
      </c>
      <c r="V1616" s="13">
        <f>IFERROR(INDEX(MgAmenFrec,MATCH(SUBSTITUTE($H1616,"*","-"),MgAmenClave,0)),"")</f>
        <v/>
      </c>
      <c r="W1616" s="28">
        <f>IFERROR(LOOKUP(X1616,{0;0.01;0.1;1;10;100},{"Muy baja";"Muy baja";"Baja";"Media";"Alta";"Muy alta"}),"")</f>
        <v/>
      </c>
      <c r="X1616" s="31">
        <f>IFERROR(VLOOKUP(V1616,MgFrec,2,0),0)</f>
        <v/>
      </c>
      <c r="Y1616" s="30">
        <f>T1616*X1616</f>
        <v/>
      </c>
      <c r="Z1616" s="28">
        <f>IFERROR(LOOKUP(Y1616,{0;0.5;5;25},{"Bajo";"Medio";"Alto";"Crítico"}),"")</f>
        <v/>
      </c>
      <c r="AA1616" s="64">
        <f>IF(T1616&gt;=3,IF(X1616&gt;=1,"Zona 1 — Crítica: impacto alto y ocurre al menos una vez al año","Zona 4 — Catastrófica poco probable: impacto alto pero excepcional"),IF(AND(T1616&lt;1.5,X1616&lt;1),"Zona 3 — Asumible: impacto bajo y muy poco frecuente","Zona 2 — Atención: riesgo intermedio"))</f>
        <v/>
      </c>
      <c r="AB1616" s="64">
        <f>IFERROR(INDEX(MgAmenCtrl,MATCH(SUBSTITUTE($H1616,"*","-"),MgAmenClave,0)),"")</f>
        <v/>
      </c>
      <c r="AC1616" s="20" t="n"/>
      <c r="AD1616" s="31">
        <f>IFERROR($X1616*(1-IF($AC1616="",$AL1616,VLOOKUP($AC1616,MgMad,2,0))),"")</f>
        <v/>
      </c>
      <c r="AE1616" s="28">
        <f>IFERROR(LOOKUP(AD1616,{0;0.01;0.1;1;10;100},{"Muy baja";"Muy baja";"Baja";"Media";"Alta";"Muy alta"}),"")</f>
        <v/>
      </c>
      <c r="AF1616" s="30">
        <f>T1616*AD1616</f>
        <v/>
      </c>
      <c r="AG1616" s="28">
        <f>IFERROR(LOOKUP(AF1616,{0;0.5;5;25},{"Bajo";"Medio";"Alto";"Crítico"}),"")</f>
        <v/>
      </c>
      <c r="AH1616" s="28">
        <f>IF(AG1616="","",IF(OR(AG1616="Crítico",AG1616="Alto"),"Mitigar",IF(AG1616="Medio","Mitigar","Aceptar y monitorear")))</f>
        <v/>
      </c>
      <c r="AI1616" s="21" t="n"/>
      <c r="AJ1616" s="21" t="n"/>
      <c r="AK1616" s="20" t="n"/>
      <c r="AL1616" s="77">
        <f>IFERROR(INDEX(MgAmenEfic,MATCH(SUBSTITUTE($H1616,"*","-"),MgAmenClave,0)),0)</f>
        <v/>
      </c>
    </row>
    <row r="1617" hidden="1" ht="60" customHeight="1" s="54">
      <c r="B1617" s="59" t="inlineStr">
        <is>
          <t>R-1612</t>
        </is>
      </c>
      <c r="C1617" s="59" t="inlineStr">
        <is>
          <t>TEC-015</t>
        </is>
      </c>
      <c r="D1617" s="64">
        <f>IFERROR(INDEX(MgNombre,MATCH($C1617,MgActId,0)),"")</f>
        <v/>
      </c>
      <c r="E1617" s="64">
        <f>IFERROR(INDEX(MgProceso,MATCH($C1617,MgActId,0)),"")</f>
        <v/>
      </c>
      <c r="F1617" s="64">
        <f>IFERROR(INDEX(MgTipo,MATCH($C1617,MgActId,0)),"")</f>
        <v/>
      </c>
      <c r="G1617" s="64">
        <f>IFERROR(INDEX(MgSubtipo,MATCH($C1617,MgActId,0)),"")</f>
        <v/>
      </c>
      <c r="H1617" s="59" t="inlineStr">
        <is>
          <t>I.6</t>
        </is>
      </c>
      <c r="I1617" s="64">
        <f>IFERROR(INDEX(MgAmenNombre,MATCH(SUBSTITUTE($H1617,"*","-"),MgAmenClave,0)),"")</f>
        <v/>
      </c>
      <c r="J1617" s="28">
        <f>IFERROR(INDEX(MgAmenGrupo,MATCH(SUBSTITUTE($H1617,"*","-"),MgAmenClave,0)),"")</f>
        <v/>
      </c>
      <c r="K1617" s="64">
        <f>IFERROR(INDEX('1. Matriz de Activos'!$Q$6:$Q$239,MATCH($C1617,MgActId,0)),"")</f>
        <v/>
      </c>
      <c r="L1617" s="64">
        <f>IFERROR(INDEX('1. Matriz de Activos'!$R$6:$R$239,MATCH($C1617,MgActId,0)),"")</f>
        <v/>
      </c>
      <c r="M1617" s="64">
        <f>IFERROR(INDEX('1. Matriz de Activos'!$S$6:$S$239,MATCH($C1617,MgActId,0)),"")</f>
        <v/>
      </c>
      <c r="N1617" s="28">
        <f>IFERROR(INDEX(MgAmenDegD,MATCH(SUBSTITUTE($H1617,"*","-"),MgAmenClave,0)),"No aplica")</f>
        <v/>
      </c>
      <c r="O1617" s="28">
        <f>IFERROR(INDEX(MgAmenDegI,MATCH(SUBSTITUTE($H1617,"*","-"),MgAmenClave,0)),"No aplica")</f>
        <v/>
      </c>
      <c r="P1617" s="28">
        <f>IFERROR(INDEX(MgAmenDegC,MATCH(SUBSTITUTE($H1617,"*","-"),MgAmenClave,0)),"No aplica")</f>
        <v/>
      </c>
      <c r="Q1617" s="29">
        <f>IFERROR(VLOOKUP(K1617,MgValor,2,0)*VLOOKUP(N1617,MgDeg,2,0),0)</f>
        <v/>
      </c>
      <c r="R1617" s="29">
        <f>IFERROR(VLOOKUP(L1617,MgValor,2,0)*VLOOKUP(O1617,MgDeg,2,0),0)</f>
        <v/>
      </c>
      <c r="S1617" s="29">
        <f>IFERROR(VLOOKUP(M1617,MgValor,2,0)*VLOOKUP(P1617,MgDeg,2,0),0)</f>
        <v/>
      </c>
      <c r="T1617" s="30">
        <f>MAX(Q1617:S1617)</f>
        <v/>
      </c>
      <c r="U1617" s="28">
        <f>IFERROR(LOOKUP(T1617,{0;0.5;1.5;3;4.5},{"Despreciable";"Bajo";"Medio";"Alto";"Muy alto"}),"")</f>
        <v/>
      </c>
      <c r="V1617" s="13">
        <f>IFERROR(INDEX(MgAmenFrec,MATCH(SUBSTITUTE($H1617,"*","-"),MgAmenClave,0)),"")</f>
        <v/>
      </c>
      <c r="W1617" s="28">
        <f>IFERROR(LOOKUP(X1617,{0;0.01;0.1;1;10;100},{"Muy baja";"Muy baja";"Baja";"Media";"Alta";"Muy alta"}),"")</f>
        <v/>
      </c>
      <c r="X1617" s="31">
        <f>IFERROR(VLOOKUP(V1617,MgFrec,2,0),0)</f>
        <v/>
      </c>
      <c r="Y1617" s="30">
        <f>T1617*X1617</f>
        <v/>
      </c>
      <c r="Z1617" s="28">
        <f>IFERROR(LOOKUP(Y1617,{0;0.5;5;25},{"Bajo";"Medio";"Alto";"Crítico"}),"")</f>
        <v/>
      </c>
      <c r="AA1617" s="64">
        <f>IF(T1617&gt;=3,IF(X1617&gt;=1,"Zona 1 — Crítica: impacto alto y ocurre al menos una vez al año","Zona 4 — Catastrófica poco probable: impacto alto pero excepcional"),IF(AND(T1617&lt;1.5,X1617&lt;1),"Zona 3 — Asumible: impacto bajo y muy poco frecuente","Zona 2 — Atención: riesgo intermedio"))</f>
        <v/>
      </c>
      <c r="AB1617" s="64">
        <f>IFERROR(INDEX(MgAmenCtrl,MATCH(SUBSTITUTE($H1617,"*","-"),MgAmenClave,0)),"")</f>
        <v/>
      </c>
      <c r="AC1617" s="20" t="n"/>
      <c r="AD1617" s="31">
        <f>IFERROR($X1617*(1-IF($AC1617="",$AL1617,VLOOKUP($AC1617,MgMad,2,0))),"")</f>
        <v/>
      </c>
      <c r="AE1617" s="28">
        <f>IFERROR(LOOKUP(AD1617,{0;0.01;0.1;1;10;100},{"Muy baja";"Muy baja";"Baja";"Media";"Alta";"Muy alta"}),"")</f>
        <v/>
      </c>
      <c r="AF1617" s="30">
        <f>T1617*AD1617</f>
        <v/>
      </c>
      <c r="AG1617" s="28">
        <f>IFERROR(LOOKUP(AF1617,{0;0.5;5;25},{"Bajo";"Medio";"Alto";"Crítico"}),"")</f>
        <v/>
      </c>
      <c r="AH1617" s="28">
        <f>IF(AG1617="","",IF(OR(AG1617="Crítico",AG1617="Alto"),"Mitigar",IF(AG1617="Medio","Mitigar","Aceptar y monitorear")))</f>
        <v/>
      </c>
      <c r="AI1617" s="21" t="n"/>
      <c r="AJ1617" s="21" t="n"/>
      <c r="AK1617" s="20" t="n"/>
      <c r="AL1617" s="77">
        <f>IFERROR(INDEX(MgAmenEfic,MATCH(SUBSTITUTE($H1617,"*","-"),MgAmenClave,0)),0)</f>
        <v/>
      </c>
    </row>
    <row r="1618" hidden="1" ht="45" customHeight="1" s="54">
      <c r="B1618" s="59" t="inlineStr">
        <is>
          <t>R-1613</t>
        </is>
      </c>
      <c r="C1618" s="59" t="inlineStr">
        <is>
          <t>TEC-015</t>
        </is>
      </c>
      <c r="D1618" s="64">
        <f>IFERROR(INDEX(MgNombre,MATCH($C1618,MgActId,0)),"")</f>
        <v/>
      </c>
      <c r="E1618" s="64">
        <f>IFERROR(INDEX(MgProceso,MATCH($C1618,MgActId,0)),"")</f>
        <v/>
      </c>
      <c r="F1618" s="64">
        <f>IFERROR(INDEX(MgTipo,MATCH($C1618,MgActId,0)),"")</f>
        <v/>
      </c>
      <c r="G1618" s="64">
        <f>IFERROR(INDEX(MgSubtipo,MATCH($C1618,MgActId,0)),"")</f>
        <v/>
      </c>
      <c r="H1618" s="59" t="inlineStr">
        <is>
          <t>I.7</t>
        </is>
      </c>
      <c r="I1618" s="64">
        <f>IFERROR(INDEX(MgAmenNombre,MATCH(SUBSTITUTE($H1618,"*","-"),MgAmenClave,0)),"")</f>
        <v/>
      </c>
      <c r="J1618" s="28">
        <f>IFERROR(INDEX(MgAmenGrupo,MATCH(SUBSTITUTE($H1618,"*","-"),MgAmenClave,0)),"")</f>
        <v/>
      </c>
      <c r="K1618" s="64">
        <f>IFERROR(INDEX('1. Matriz de Activos'!$Q$6:$Q$239,MATCH($C1618,MgActId,0)),"")</f>
        <v/>
      </c>
      <c r="L1618" s="64">
        <f>IFERROR(INDEX('1. Matriz de Activos'!$R$6:$R$239,MATCH($C1618,MgActId,0)),"")</f>
        <v/>
      </c>
      <c r="M1618" s="64">
        <f>IFERROR(INDEX('1. Matriz de Activos'!$S$6:$S$239,MATCH($C1618,MgActId,0)),"")</f>
        <v/>
      </c>
      <c r="N1618" s="28">
        <f>IFERROR(INDEX(MgAmenDegD,MATCH(SUBSTITUTE($H1618,"*","-"),MgAmenClave,0)),"No aplica")</f>
        <v/>
      </c>
      <c r="O1618" s="28">
        <f>IFERROR(INDEX(MgAmenDegI,MATCH(SUBSTITUTE($H1618,"*","-"),MgAmenClave,0)),"No aplica")</f>
        <v/>
      </c>
      <c r="P1618" s="28">
        <f>IFERROR(INDEX(MgAmenDegC,MATCH(SUBSTITUTE($H1618,"*","-"),MgAmenClave,0)),"No aplica")</f>
        <v/>
      </c>
      <c r="Q1618" s="29">
        <f>IFERROR(VLOOKUP(K1618,MgValor,2,0)*VLOOKUP(N1618,MgDeg,2,0),0)</f>
        <v/>
      </c>
      <c r="R1618" s="29">
        <f>IFERROR(VLOOKUP(L1618,MgValor,2,0)*VLOOKUP(O1618,MgDeg,2,0),0)</f>
        <v/>
      </c>
      <c r="S1618" s="29">
        <f>IFERROR(VLOOKUP(M1618,MgValor,2,0)*VLOOKUP(P1618,MgDeg,2,0),0)</f>
        <v/>
      </c>
      <c r="T1618" s="30">
        <f>MAX(Q1618:S1618)</f>
        <v/>
      </c>
      <c r="U1618" s="28">
        <f>IFERROR(LOOKUP(T1618,{0;0.5;1.5;3;4.5},{"Despreciable";"Bajo";"Medio";"Alto";"Muy alto"}),"")</f>
        <v/>
      </c>
      <c r="V1618" s="13">
        <f>IFERROR(INDEX(MgAmenFrec,MATCH(SUBSTITUTE($H1618,"*","-"),MgAmenClave,0)),"")</f>
        <v/>
      </c>
      <c r="W1618" s="28">
        <f>IFERROR(LOOKUP(X1618,{0;0.01;0.1;1;10;100},{"Muy baja";"Muy baja";"Baja";"Media";"Alta";"Muy alta"}),"")</f>
        <v/>
      </c>
      <c r="X1618" s="31">
        <f>IFERROR(VLOOKUP(V1618,MgFrec,2,0),0)</f>
        <v/>
      </c>
      <c r="Y1618" s="30">
        <f>T1618*X1618</f>
        <v/>
      </c>
      <c r="Z1618" s="28">
        <f>IFERROR(LOOKUP(Y1618,{0;0.5;5;25},{"Bajo";"Medio";"Alto";"Crítico"}),"")</f>
        <v/>
      </c>
      <c r="AA1618" s="64">
        <f>IF(T1618&gt;=3,IF(X1618&gt;=1,"Zona 1 — Crítica: impacto alto y ocurre al menos una vez al año","Zona 4 — Catastrófica poco probable: impacto alto pero excepcional"),IF(AND(T1618&lt;1.5,X1618&lt;1),"Zona 3 — Asumible: impacto bajo y muy poco frecuente","Zona 2 — Atención: riesgo intermedio"))</f>
        <v/>
      </c>
      <c r="AB1618" s="64">
        <f>IFERROR(INDEX(MgAmenCtrl,MATCH(SUBSTITUTE($H1618,"*","-"),MgAmenClave,0)),"")</f>
        <v/>
      </c>
      <c r="AC1618" s="20" t="n"/>
      <c r="AD1618" s="31">
        <f>IFERROR($X1618*(1-IF($AC1618="",$AL1618,VLOOKUP($AC1618,MgMad,2,0))),"")</f>
        <v/>
      </c>
      <c r="AE1618" s="28">
        <f>IFERROR(LOOKUP(AD1618,{0;0.01;0.1;1;10;100},{"Muy baja";"Muy baja";"Baja";"Media";"Alta";"Muy alta"}),"")</f>
        <v/>
      </c>
      <c r="AF1618" s="30">
        <f>T1618*AD1618</f>
        <v/>
      </c>
      <c r="AG1618" s="28">
        <f>IFERROR(LOOKUP(AF1618,{0;0.5;5;25},{"Bajo";"Medio";"Alto";"Crítico"}),"")</f>
        <v/>
      </c>
      <c r="AH1618" s="28">
        <f>IF(AG1618="","",IF(OR(AG1618="Crítico",AG1618="Alto"),"Mitigar",IF(AG1618="Medio","Mitigar","Aceptar y monitorear")))</f>
        <v/>
      </c>
      <c r="AI1618" s="21" t="n"/>
      <c r="AJ1618" s="21" t="n"/>
      <c r="AK1618" s="20" t="n"/>
      <c r="AL1618" s="77">
        <f>IFERROR(INDEX(MgAmenEfic,MATCH(SUBSTITUTE($H1618,"*","-"),MgAmenClave,0)),0)</f>
        <v/>
      </c>
    </row>
    <row r="1619" hidden="1" ht="45" customHeight="1" s="54">
      <c r="B1619" s="59" t="inlineStr">
        <is>
          <t>R-1614</t>
        </is>
      </c>
      <c r="C1619" s="59" t="inlineStr">
        <is>
          <t>TEC-015</t>
        </is>
      </c>
      <c r="D1619" s="64">
        <f>IFERROR(INDEX(MgNombre,MATCH($C1619,MgActId,0)),"")</f>
        <v/>
      </c>
      <c r="E1619" s="64">
        <f>IFERROR(INDEX(MgProceso,MATCH($C1619,MgActId,0)),"")</f>
        <v/>
      </c>
      <c r="F1619" s="64">
        <f>IFERROR(INDEX(MgTipo,MATCH($C1619,MgActId,0)),"")</f>
        <v/>
      </c>
      <c r="G1619" s="64">
        <f>IFERROR(INDEX(MgSubtipo,MATCH($C1619,MgActId,0)),"")</f>
        <v/>
      </c>
      <c r="H1619" s="59" t="inlineStr">
        <is>
          <t>I.11</t>
        </is>
      </c>
      <c r="I1619" s="64">
        <f>IFERROR(INDEX(MgAmenNombre,MATCH(SUBSTITUTE($H1619,"*","-"),MgAmenClave,0)),"")</f>
        <v/>
      </c>
      <c r="J1619" s="28">
        <f>IFERROR(INDEX(MgAmenGrupo,MATCH(SUBSTITUTE($H1619,"*","-"),MgAmenClave,0)),"")</f>
        <v/>
      </c>
      <c r="K1619" s="64">
        <f>IFERROR(INDEX('1. Matriz de Activos'!$Q$6:$Q$239,MATCH($C1619,MgActId,0)),"")</f>
        <v/>
      </c>
      <c r="L1619" s="64">
        <f>IFERROR(INDEX('1. Matriz de Activos'!$R$6:$R$239,MATCH($C1619,MgActId,0)),"")</f>
        <v/>
      </c>
      <c r="M1619" s="64">
        <f>IFERROR(INDEX('1. Matriz de Activos'!$S$6:$S$239,MATCH($C1619,MgActId,0)),"")</f>
        <v/>
      </c>
      <c r="N1619" s="28">
        <f>IFERROR(INDEX(MgAmenDegD,MATCH(SUBSTITUTE($H1619,"*","-"),MgAmenClave,0)),"No aplica")</f>
        <v/>
      </c>
      <c r="O1619" s="28">
        <f>IFERROR(INDEX(MgAmenDegI,MATCH(SUBSTITUTE($H1619,"*","-"),MgAmenClave,0)),"No aplica")</f>
        <v/>
      </c>
      <c r="P1619" s="28">
        <f>IFERROR(INDEX(MgAmenDegC,MATCH(SUBSTITUTE($H1619,"*","-"),MgAmenClave,0)),"No aplica")</f>
        <v/>
      </c>
      <c r="Q1619" s="29">
        <f>IFERROR(VLOOKUP(K1619,MgValor,2,0)*VLOOKUP(N1619,MgDeg,2,0),0)</f>
        <v/>
      </c>
      <c r="R1619" s="29">
        <f>IFERROR(VLOOKUP(L1619,MgValor,2,0)*VLOOKUP(O1619,MgDeg,2,0),0)</f>
        <v/>
      </c>
      <c r="S1619" s="29">
        <f>IFERROR(VLOOKUP(M1619,MgValor,2,0)*VLOOKUP(P1619,MgDeg,2,0),0)</f>
        <v/>
      </c>
      <c r="T1619" s="30">
        <f>MAX(Q1619:S1619)</f>
        <v/>
      </c>
      <c r="U1619" s="28">
        <f>IFERROR(LOOKUP(T1619,{0;0.5;1.5;3;4.5},{"Despreciable";"Bajo";"Medio";"Alto";"Muy alto"}),"")</f>
        <v/>
      </c>
      <c r="V1619" s="13">
        <f>IFERROR(INDEX(MgAmenFrec,MATCH(SUBSTITUTE($H1619,"*","-"),MgAmenClave,0)),"")</f>
        <v/>
      </c>
      <c r="W1619" s="28">
        <f>IFERROR(LOOKUP(X1619,{0;0.01;0.1;1;10;100},{"Muy baja";"Muy baja";"Baja";"Media";"Alta";"Muy alta"}),"")</f>
        <v/>
      </c>
      <c r="X1619" s="31">
        <f>IFERROR(VLOOKUP(V1619,MgFrec,2,0),0)</f>
        <v/>
      </c>
      <c r="Y1619" s="30">
        <f>T1619*X1619</f>
        <v/>
      </c>
      <c r="Z1619" s="28">
        <f>IFERROR(LOOKUP(Y1619,{0;0.5;5;25},{"Bajo";"Medio";"Alto";"Crítico"}),"")</f>
        <v/>
      </c>
      <c r="AA1619" s="64">
        <f>IF(T1619&gt;=3,IF(X1619&gt;=1,"Zona 1 — Crítica: impacto alto y ocurre al menos una vez al año","Zona 4 — Catastrófica poco probable: impacto alto pero excepcional"),IF(AND(T1619&lt;1.5,X1619&lt;1),"Zona 3 — Asumible: impacto bajo y muy poco frecuente","Zona 2 — Atención: riesgo intermedio"))</f>
        <v/>
      </c>
      <c r="AB1619" s="64">
        <f>IFERROR(INDEX(MgAmenCtrl,MATCH(SUBSTITUTE($H1619,"*","-"),MgAmenClave,0)),"")</f>
        <v/>
      </c>
      <c r="AC1619" s="20" t="n"/>
      <c r="AD1619" s="31">
        <f>IFERROR($X1619*(1-IF($AC1619="",$AL1619,VLOOKUP($AC1619,MgMad,2,0))),"")</f>
        <v/>
      </c>
      <c r="AE1619" s="28">
        <f>IFERROR(LOOKUP(AD1619,{0;0.01;0.1;1;10;100},{"Muy baja";"Muy baja";"Baja";"Media";"Alta";"Muy alta"}),"")</f>
        <v/>
      </c>
      <c r="AF1619" s="30">
        <f>T1619*AD1619</f>
        <v/>
      </c>
      <c r="AG1619" s="28">
        <f>IFERROR(LOOKUP(AF1619,{0;0.5;5;25},{"Bajo";"Medio";"Alto";"Crítico"}),"")</f>
        <v/>
      </c>
      <c r="AH1619" s="28">
        <f>IF(AG1619="","",IF(OR(AG1619="Crítico",AG1619="Alto"),"Mitigar",IF(AG1619="Medio","Mitigar","Aceptar y monitorear")))</f>
        <v/>
      </c>
      <c r="AI1619" s="21" t="n"/>
      <c r="AJ1619" s="21" t="n"/>
      <c r="AK1619" s="20" t="n"/>
      <c r="AL1619" s="77">
        <f>IFERROR(INDEX(MgAmenEfic,MATCH(SUBSTITUTE($H1619,"*","-"),MgAmenClave,0)),0)</f>
        <v/>
      </c>
    </row>
    <row r="1620" hidden="1" ht="120" customHeight="1" s="54">
      <c r="B1620" s="59" t="inlineStr">
        <is>
          <t>R-1615</t>
        </is>
      </c>
      <c r="C1620" s="59" t="inlineStr">
        <is>
          <t>TEC-015</t>
        </is>
      </c>
      <c r="D1620" s="64">
        <f>IFERROR(INDEX(MgNombre,MATCH($C1620,MgActId,0)),"")</f>
        <v/>
      </c>
      <c r="E1620" s="64">
        <f>IFERROR(INDEX(MgProceso,MATCH($C1620,MgActId,0)),"")</f>
        <v/>
      </c>
      <c r="F1620" s="64">
        <f>IFERROR(INDEX(MgTipo,MATCH($C1620,MgActId,0)),"")</f>
        <v/>
      </c>
      <c r="G1620" s="64">
        <f>IFERROR(INDEX(MgSubtipo,MATCH($C1620,MgActId,0)),"")</f>
        <v/>
      </c>
      <c r="H1620" s="59" t="inlineStr">
        <is>
          <t>E.2</t>
        </is>
      </c>
      <c r="I1620" s="64">
        <f>IFERROR(INDEX(MgAmenNombre,MATCH(SUBSTITUTE($H1620,"*","-"),MgAmenClave,0)),"")</f>
        <v/>
      </c>
      <c r="J1620" s="28">
        <f>IFERROR(INDEX(MgAmenGrupo,MATCH(SUBSTITUTE($H1620,"*","-"),MgAmenClave,0)),"")</f>
        <v/>
      </c>
      <c r="K1620" s="64">
        <f>IFERROR(INDEX('1. Matriz de Activos'!$Q$6:$Q$239,MATCH($C1620,MgActId,0)),"")</f>
        <v/>
      </c>
      <c r="L1620" s="64">
        <f>IFERROR(INDEX('1. Matriz de Activos'!$R$6:$R$239,MATCH($C1620,MgActId,0)),"")</f>
        <v/>
      </c>
      <c r="M1620" s="64">
        <f>IFERROR(INDEX('1. Matriz de Activos'!$S$6:$S$239,MATCH($C1620,MgActId,0)),"")</f>
        <v/>
      </c>
      <c r="N1620" s="28">
        <f>IFERROR(INDEX(MgAmenDegD,MATCH(SUBSTITUTE($H1620,"*","-"),MgAmenClave,0)),"No aplica")</f>
        <v/>
      </c>
      <c r="O1620" s="28">
        <f>IFERROR(INDEX(MgAmenDegI,MATCH(SUBSTITUTE($H1620,"*","-"),MgAmenClave,0)),"No aplica")</f>
        <v/>
      </c>
      <c r="P1620" s="28">
        <f>IFERROR(INDEX(MgAmenDegC,MATCH(SUBSTITUTE($H1620,"*","-"),MgAmenClave,0)),"No aplica")</f>
        <v/>
      </c>
      <c r="Q1620" s="29">
        <f>IFERROR(VLOOKUP(K1620,MgValor,2,0)*VLOOKUP(N1620,MgDeg,2,0),0)</f>
        <v/>
      </c>
      <c r="R1620" s="29">
        <f>IFERROR(VLOOKUP(L1620,MgValor,2,0)*VLOOKUP(O1620,MgDeg,2,0),0)</f>
        <v/>
      </c>
      <c r="S1620" s="29">
        <f>IFERROR(VLOOKUP(M1620,MgValor,2,0)*VLOOKUP(P1620,MgDeg,2,0),0)</f>
        <v/>
      </c>
      <c r="T1620" s="30">
        <f>MAX(Q1620:S1620)</f>
        <v/>
      </c>
      <c r="U1620" s="28">
        <f>IFERROR(LOOKUP(T1620,{0;0.5;1.5;3;4.5},{"Despreciable";"Bajo";"Medio";"Alto";"Muy alto"}),"")</f>
        <v/>
      </c>
      <c r="V1620" s="13">
        <f>IFERROR(INDEX(MgAmenFrec,MATCH(SUBSTITUTE($H1620,"*","-"),MgAmenClave,0)),"")</f>
        <v/>
      </c>
      <c r="W1620" s="28">
        <f>IFERROR(LOOKUP(X1620,{0;0.01;0.1;1;10;100},{"Muy baja";"Muy baja";"Baja";"Media";"Alta";"Muy alta"}),"")</f>
        <v/>
      </c>
      <c r="X1620" s="31">
        <f>IFERROR(VLOOKUP(V1620,MgFrec,2,0),0)</f>
        <v/>
      </c>
      <c r="Y1620" s="30">
        <f>T1620*X1620</f>
        <v/>
      </c>
      <c r="Z1620" s="28">
        <f>IFERROR(LOOKUP(Y1620,{0;0.5;5;25},{"Bajo";"Medio";"Alto";"Crítico"}),"")</f>
        <v/>
      </c>
      <c r="AA1620" s="64">
        <f>IF(T1620&gt;=3,IF(X1620&gt;=1,"Zona 1 — Crítica: impacto alto y ocurre al menos una vez al año","Zona 4 — Catastrófica poco probable: impacto alto pero excepcional"),IF(AND(T1620&lt;1.5,X1620&lt;1),"Zona 3 — Asumible: impacto bajo y muy poco frecuente","Zona 2 — Atención: riesgo intermedio"))</f>
        <v/>
      </c>
      <c r="AB1620" s="64">
        <f>IFERROR(INDEX(MgAmenCtrl,MATCH(SUBSTITUTE($H1620,"*","-"),MgAmenClave,0)),"")</f>
        <v/>
      </c>
      <c r="AC1620" s="20" t="n"/>
      <c r="AD1620" s="31">
        <f>IFERROR($X1620*(1-IF($AC1620="",$AL1620,VLOOKUP($AC1620,MgMad,2,0))),"")</f>
        <v/>
      </c>
      <c r="AE1620" s="28">
        <f>IFERROR(LOOKUP(AD1620,{0;0.01;0.1;1;10;100},{"Muy baja";"Muy baja";"Baja";"Media";"Alta";"Muy alta"}),"")</f>
        <v/>
      </c>
      <c r="AF1620" s="30">
        <f>T1620*AD1620</f>
        <v/>
      </c>
      <c r="AG1620" s="28">
        <f>IFERROR(LOOKUP(AF1620,{0;0.5;5;25},{"Bajo";"Medio";"Alto";"Crítico"}),"")</f>
        <v/>
      </c>
      <c r="AH1620" s="28">
        <f>IF(AG1620="","",IF(OR(AG1620="Crítico",AG1620="Alto"),"Mitigar",IF(AG1620="Medio","Mitigar","Aceptar y monitorear")))</f>
        <v/>
      </c>
      <c r="AI1620" s="21" t="n"/>
      <c r="AJ1620" s="21" t="n"/>
      <c r="AK1620" s="20" t="n"/>
      <c r="AL1620" s="77">
        <f>IFERROR(INDEX(MgAmenEfic,MATCH(SUBSTITUTE($H1620,"*","-"),MgAmenClave,0)),0)</f>
        <v/>
      </c>
    </row>
    <row r="1621" hidden="1" ht="90" customHeight="1" s="54">
      <c r="B1621" s="59" t="inlineStr">
        <is>
          <t>R-1616</t>
        </is>
      </c>
      <c r="C1621" s="59" t="inlineStr">
        <is>
          <t>TEC-015</t>
        </is>
      </c>
      <c r="D1621" s="64">
        <f>IFERROR(INDEX(MgNombre,MATCH($C1621,MgActId,0)),"")</f>
        <v/>
      </c>
      <c r="E1621" s="64">
        <f>IFERROR(INDEX(MgProceso,MATCH($C1621,MgActId,0)),"")</f>
        <v/>
      </c>
      <c r="F1621" s="64">
        <f>IFERROR(INDEX(MgTipo,MATCH($C1621,MgActId,0)),"")</f>
        <v/>
      </c>
      <c r="G1621" s="64">
        <f>IFERROR(INDEX(MgSubtipo,MATCH($C1621,MgActId,0)),"")</f>
        <v/>
      </c>
      <c r="H1621" s="59" t="inlineStr">
        <is>
          <t>E.14</t>
        </is>
      </c>
      <c r="I1621" s="64">
        <f>IFERROR(INDEX(MgAmenNombre,MATCH(SUBSTITUTE($H1621,"*","-"),MgAmenClave,0)),"")</f>
        <v/>
      </c>
      <c r="J1621" s="28">
        <f>IFERROR(INDEX(MgAmenGrupo,MATCH(SUBSTITUTE($H1621,"*","-"),MgAmenClave,0)),"")</f>
        <v/>
      </c>
      <c r="K1621" s="64">
        <f>IFERROR(INDEX('1. Matriz de Activos'!$Q$6:$Q$239,MATCH($C1621,MgActId,0)),"")</f>
        <v/>
      </c>
      <c r="L1621" s="64">
        <f>IFERROR(INDEX('1. Matriz de Activos'!$R$6:$R$239,MATCH($C1621,MgActId,0)),"")</f>
        <v/>
      </c>
      <c r="M1621" s="64">
        <f>IFERROR(INDEX('1. Matriz de Activos'!$S$6:$S$239,MATCH($C1621,MgActId,0)),"")</f>
        <v/>
      </c>
      <c r="N1621" s="28">
        <f>IFERROR(INDEX(MgAmenDegD,MATCH(SUBSTITUTE($H1621,"*","-"),MgAmenClave,0)),"No aplica")</f>
        <v/>
      </c>
      <c r="O1621" s="28">
        <f>IFERROR(INDEX(MgAmenDegI,MATCH(SUBSTITUTE($H1621,"*","-"),MgAmenClave,0)),"No aplica")</f>
        <v/>
      </c>
      <c r="P1621" s="28">
        <f>IFERROR(INDEX(MgAmenDegC,MATCH(SUBSTITUTE($H1621,"*","-"),MgAmenClave,0)),"No aplica")</f>
        <v/>
      </c>
      <c r="Q1621" s="29">
        <f>IFERROR(VLOOKUP(K1621,MgValor,2,0)*VLOOKUP(N1621,MgDeg,2,0),0)</f>
        <v/>
      </c>
      <c r="R1621" s="29">
        <f>IFERROR(VLOOKUP(L1621,MgValor,2,0)*VLOOKUP(O1621,MgDeg,2,0),0)</f>
        <v/>
      </c>
      <c r="S1621" s="29">
        <f>IFERROR(VLOOKUP(M1621,MgValor,2,0)*VLOOKUP(P1621,MgDeg,2,0),0)</f>
        <v/>
      </c>
      <c r="T1621" s="30">
        <f>MAX(Q1621:S1621)</f>
        <v/>
      </c>
      <c r="U1621" s="28">
        <f>IFERROR(LOOKUP(T1621,{0;0.5;1.5;3;4.5},{"Despreciable";"Bajo";"Medio";"Alto";"Muy alto"}),"")</f>
        <v/>
      </c>
      <c r="V1621" s="13">
        <f>IFERROR(INDEX(MgAmenFrec,MATCH(SUBSTITUTE($H1621,"*","-"),MgAmenClave,0)),"")</f>
        <v/>
      </c>
      <c r="W1621" s="28">
        <f>IFERROR(LOOKUP(X1621,{0;0.01;0.1;1;10;100},{"Muy baja";"Muy baja";"Baja";"Media";"Alta";"Muy alta"}),"")</f>
        <v/>
      </c>
      <c r="X1621" s="31">
        <f>IFERROR(VLOOKUP(V1621,MgFrec,2,0),0)</f>
        <v/>
      </c>
      <c r="Y1621" s="30">
        <f>T1621*X1621</f>
        <v/>
      </c>
      <c r="Z1621" s="28">
        <f>IFERROR(LOOKUP(Y1621,{0;0.5;5;25},{"Bajo";"Medio";"Alto";"Crítico"}),"")</f>
        <v/>
      </c>
      <c r="AA1621" s="64">
        <f>IF(T1621&gt;=3,IF(X1621&gt;=1,"Zona 1 — Crítica: impacto alto y ocurre al menos una vez al año","Zona 4 — Catastrófica poco probable: impacto alto pero excepcional"),IF(AND(T1621&lt;1.5,X1621&lt;1),"Zona 3 — Asumible: impacto bajo y muy poco frecuente","Zona 2 — Atención: riesgo intermedio"))</f>
        <v/>
      </c>
      <c r="AB1621" s="64">
        <f>IFERROR(INDEX(MgAmenCtrl,MATCH(SUBSTITUTE($H1621,"*","-"),MgAmenClave,0)),"")</f>
        <v/>
      </c>
      <c r="AC1621" s="20" t="n"/>
      <c r="AD1621" s="31">
        <f>IFERROR($X1621*(1-IF($AC1621="",$AL1621,VLOOKUP($AC1621,MgMad,2,0))),"")</f>
        <v/>
      </c>
      <c r="AE1621" s="28">
        <f>IFERROR(LOOKUP(AD1621,{0;0.01;0.1;1;10;100},{"Muy baja";"Muy baja";"Baja";"Media";"Alta";"Muy alta"}),"")</f>
        <v/>
      </c>
      <c r="AF1621" s="30">
        <f>T1621*AD1621</f>
        <v/>
      </c>
      <c r="AG1621" s="28">
        <f>IFERROR(LOOKUP(AF1621,{0;0.5;5;25},{"Bajo";"Medio";"Alto";"Crítico"}),"")</f>
        <v/>
      </c>
      <c r="AH1621" s="28">
        <f>IF(AG1621="","",IF(OR(AG1621="Crítico",AG1621="Alto"),"Mitigar",IF(AG1621="Medio","Mitigar","Aceptar y monitorear")))</f>
        <v/>
      </c>
      <c r="AI1621" s="21" t="n"/>
      <c r="AJ1621" s="21" t="n"/>
      <c r="AK1621" s="20" t="n"/>
      <c r="AL1621" s="77">
        <f>IFERROR(INDEX(MgAmenEfic,MATCH(SUBSTITUTE($H1621,"*","-"),MgAmenClave,0)),0)</f>
        <v/>
      </c>
    </row>
    <row r="1622" hidden="1" ht="105" customHeight="1" s="54">
      <c r="B1622" s="59" t="inlineStr">
        <is>
          <t>R-1617</t>
        </is>
      </c>
      <c r="C1622" s="59" t="inlineStr">
        <is>
          <t>TEC-015</t>
        </is>
      </c>
      <c r="D1622" s="64">
        <f>IFERROR(INDEX(MgNombre,MATCH($C1622,MgActId,0)),"")</f>
        <v/>
      </c>
      <c r="E1622" s="64">
        <f>IFERROR(INDEX(MgProceso,MATCH($C1622,MgActId,0)),"")</f>
        <v/>
      </c>
      <c r="F1622" s="64">
        <f>IFERROR(INDEX(MgTipo,MATCH($C1622,MgActId,0)),"")</f>
        <v/>
      </c>
      <c r="G1622" s="64">
        <f>IFERROR(INDEX(MgSubtipo,MATCH($C1622,MgActId,0)),"")</f>
        <v/>
      </c>
      <c r="H1622" s="59" t="inlineStr">
        <is>
          <t>E.19</t>
        </is>
      </c>
      <c r="I1622" s="64">
        <f>IFERROR(INDEX(MgAmenNombre,MATCH(SUBSTITUTE($H1622,"*","-"),MgAmenClave,0)),"")</f>
        <v/>
      </c>
      <c r="J1622" s="28">
        <f>IFERROR(INDEX(MgAmenGrupo,MATCH(SUBSTITUTE($H1622,"*","-"),MgAmenClave,0)),"")</f>
        <v/>
      </c>
      <c r="K1622" s="64">
        <f>IFERROR(INDEX('1. Matriz de Activos'!$Q$6:$Q$239,MATCH($C1622,MgActId,0)),"")</f>
        <v/>
      </c>
      <c r="L1622" s="64">
        <f>IFERROR(INDEX('1. Matriz de Activos'!$R$6:$R$239,MATCH($C1622,MgActId,0)),"")</f>
        <v/>
      </c>
      <c r="M1622" s="64">
        <f>IFERROR(INDEX('1. Matriz de Activos'!$S$6:$S$239,MATCH($C1622,MgActId,0)),"")</f>
        <v/>
      </c>
      <c r="N1622" s="28">
        <f>IFERROR(INDEX(MgAmenDegD,MATCH(SUBSTITUTE($H1622,"*","-"),MgAmenClave,0)),"No aplica")</f>
        <v/>
      </c>
      <c r="O1622" s="28">
        <f>IFERROR(INDEX(MgAmenDegI,MATCH(SUBSTITUTE($H1622,"*","-"),MgAmenClave,0)),"No aplica")</f>
        <v/>
      </c>
      <c r="P1622" s="28">
        <f>IFERROR(INDEX(MgAmenDegC,MATCH(SUBSTITUTE($H1622,"*","-"),MgAmenClave,0)),"No aplica")</f>
        <v/>
      </c>
      <c r="Q1622" s="29">
        <f>IFERROR(VLOOKUP(K1622,MgValor,2,0)*VLOOKUP(N1622,MgDeg,2,0),0)</f>
        <v/>
      </c>
      <c r="R1622" s="29">
        <f>IFERROR(VLOOKUP(L1622,MgValor,2,0)*VLOOKUP(O1622,MgDeg,2,0),0)</f>
        <v/>
      </c>
      <c r="S1622" s="29">
        <f>IFERROR(VLOOKUP(M1622,MgValor,2,0)*VLOOKUP(P1622,MgDeg,2,0),0)</f>
        <v/>
      </c>
      <c r="T1622" s="30">
        <f>MAX(Q1622:S1622)</f>
        <v/>
      </c>
      <c r="U1622" s="28">
        <f>IFERROR(LOOKUP(T1622,{0;0.5;1.5;3;4.5},{"Despreciable";"Bajo";"Medio";"Alto";"Muy alto"}),"")</f>
        <v/>
      </c>
      <c r="V1622" s="13">
        <f>IFERROR(INDEX(MgAmenFrec,MATCH(SUBSTITUTE($H1622,"*","-"),MgAmenClave,0)),"")</f>
        <v/>
      </c>
      <c r="W1622" s="28">
        <f>IFERROR(LOOKUP(X1622,{0;0.01;0.1;1;10;100},{"Muy baja";"Muy baja";"Baja";"Media";"Alta";"Muy alta"}),"")</f>
        <v/>
      </c>
      <c r="X1622" s="31">
        <f>IFERROR(VLOOKUP(V1622,MgFrec,2,0),0)</f>
        <v/>
      </c>
      <c r="Y1622" s="30">
        <f>T1622*X1622</f>
        <v/>
      </c>
      <c r="Z1622" s="28">
        <f>IFERROR(LOOKUP(Y1622,{0;0.5;5;25},{"Bajo";"Medio";"Alto";"Crítico"}),"")</f>
        <v/>
      </c>
      <c r="AA1622" s="64">
        <f>IF(T1622&gt;=3,IF(X1622&gt;=1,"Zona 1 — Crítica: impacto alto y ocurre al menos una vez al año","Zona 4 — Catastrófica poco probable: impacto alto pero excepcional"),IF(AND(T1622&lt;1.5,X1622&lt;1),"Zona 3 — Asumible: impacto bajo y muy poco frecuente","Zona 2 — Atención: riesgo intermedio"))</f>
        <v/>
      </c>
      <c r="AB1622" s="64">
        <f>IFERROR(INDEX(MgAmenCtrl,MATCH(SUBSTITUTE($H1622,"*","-"),MgAmenClave,0)),"")</f>
        <v/>
      </c>
      <c r="AC1622" s="20" t="n"/>
      <c r="AD1622" s="31">
        <f>IFERROR($X1622*(1-IF($AC1622="",$AL1622,VLOOKUP($AC1622,MgMad,2,0))),"")</f>
        <v/>
      </c>
      <c r="AE1622" s="28">
        <f>IFERROR(LOOKUP(AD1622,{0;0.01;0.1;1;10;100},{"Muy baja";"Muy baja";"Baja";"Media";"Alta";"Muy alta"}),"")</f>
        <v/>
      </c>
      <c r="AF1622" s="30">
        <f>T1622*AD1622</f>
        <v/>
      </c>
      <c r="AG1622" s="28">
        <f>IFERROR(LOOKUP(AF1622,{0;0.5;5;25},{"Bajo";"Medio";"Alto";"Crítico"}),"")</f>
        <v/>
      </c>
      <c r="AH1622" s="28">
        <f>IF(AG1622="","",IF(OR(AG1622="Crítico",AG1622="Alto"),"Mitigar",IF(AG1622="Medio","Mitigar","Aceptar y monitorear")))</f>
        <v/>
      </c>
      <c r="AI1622" s="21" t="n"/>
      <c r="AJ1622" s="21" t="n"/>
      <c r="AK1622" s="20" t="n"/>
      <c r="AL1622" s="77">
        <f>IFERROR(INDEX(MgAmenEfic,MATCH(SUBSTITUTE($H1622,"*","-"),MgAmenClave,0)),0)</f>
        <v/>
      </c>
    </row>
    <row r="1623" hidden="1" ht="45" customHeight="1" s="54">
      <c r="B1623" s="59" t="inlineStr">
        <is>
          <t>R-1618</t>
        </is>
      </c>
      <c r="C1623" s="59" t="inlineStr">
        <is>
          <t>TEC-015</t>
        </is>
      </c>
      <c r="D1623" s="64">
        <f>IFERROR(INDEX(MgNombre,MATCH($C1623,MgActId,0)),"")</f>
        <v/>
      </c>
      <c r="E1623" s="64">
        <f>IFERROR(INDEX(MgProceso,MATCH($C1623,MgActId,0)),"")</f>
        <v/>
      </c>
      <c r="F1623" s="64">
        <f>IFERROR(INDEX(MgTipo,MATCH($C1623,MgActId,0)),"")</f>
        <v/>
      </c>
      <c r="G1623" s="64">
        <f>IFERROR(INDEX(MgSubtipo,MATCH($C1623,MgActId,0)),"")</f>
        <v/>
      </c>
      <c r="H1623" s="59" t="inlineStr">
        <is>
          <t>E.23</t>
        </is>
      </c>
      <c r="I1623" s="64">
        <f>IFERROR(INDEX(MgAmenNombre,MATCH(SUBSTITUTE($H1623,"*","-"),MgAmenClave,0)),"")</f>
        <v/>
      </c>
      <c r="J1623" s="28">
        <f>IFERROR(INDEX(MgAmenGrupo,MATCH(SUBSTITUTE($H1623,"*","-"),MgAmenClave,0)),"")</f>
        <v/>
      </c>
      <c r="K1623" s="64">
        <f>IFERROR(INDEX('1. Matriz de Activos'!$Q$6:$Q$239,MATCH($C1623,MgActId,0)),"")</f>
        <v/>
      </c>
      <c r="L1623" s="64">
        <f>IFERROR(INDEX('1. Matriz de Activos'!$R$6:$R$239,MATCH($C1623,MgActId,0)),"")</f>
        <v/>
      </c>
      <c r="M1623" s="64">
        <f>IFERROR(INDEX('1. Matriz de Activos'!$S$6:$S$239,MATCH($C1623,MgActId,0)),"")</f>
        <v/>
      </c>
      <c r="N1623" s="28">
        <f>IFERROR(INDEX(MgAmenDegD,MATCH(SUBSTITUTE($H1623,"*","-"),MgAmenClave,0)),"No aplica")</f>
        <v/>
      </c>
      <c r="O1623" s="28">
        <f>IFERROR(INDEX(MgAmenDegI,MATCH(SUBSTITUTE($H1623,"*","-"),MgAmenClave,0)),"No aplica")</f>
        <v/>
      </c>
      <c r="P1623" s="28">
        <f>IFERROR(INDEX(MgAmenDegC,MATCH(SUBSTITUTE($H1623,"*","-"),MgAmenClave,0)),"No aplica")</f>
        <v/>
      </c>
      <c r="Q1623" s="29">
        <f>IFERROR(VLOOKUP(K1623,MgValor,2,0)*VLOOKUP(N1623,MgDeg,2,0),0)</f>
        <v/>
      </c>
      <c r="R1623" s="29">
        <f>IFERROR(VLOOKUP(L1623,MgValor,2,0)*VLOOKUP(O1623,MgDeg,2,0),0)</f>
        <v/>
      </c>
      <c r="S1623" s="29">
        <f>IFERROR(VLOOKUP(M1623,MgValor,2,0)*VLOOKUP(P1623,MgDeg,2,0),0)</f>
        <v/>
      </c>
      <c r="T1623" s="30">
        <f>MAX(Q1623:S1623)</f>
        <v/>
      </c>
      <c r="U1623" s="28">
        <f>IFERROR(LOOKUP(T1623,{0;0.5;1.5;3;4.5},{"Despreciable";"Bajo";"Medio";"Alto";"Muy alto"}),"")</f>
        <v/>
      </c>
      <c r="V1623" s="13">
        <f>IFERROR(INDEX(MgAmenFrec,MATCH(SUBSTITUTE($H1623,"*","-"),MgAmenClave,0)),"")</f>
        <v/>
      </c>
      <c r="W1623" s="28">
        <f>IFERROR(LOOKUP(X1623,{0;0.01;0.1;1;10;100},{"Muy baja";"Muy baja";"Baja";"Media";"Alta";"Muy alta"}),"")</f>
        <v/>
      </c>
      <c r="X1623" s="31">
        <f>IFERROR(VLOOKUP(V1623,MgFrec,2,0),0)</f>
        <v/>
      </c>
      <c r="Y1623" s="30">
        <f>T1623*X1623</f>
        <v/>
      </c>
      <c r="Z1623" s="28">
        <f>IFERROR(LOOKUP(Y1623,{0;0.5;5;25},{"Bajo";"Medio";"Alto";"Crítico"}),"")</f>
        <v/>
      </c>
      <c r="AA1623" s="64">
        <f>IF(T1623&gt;=3,IF(X1623&gt;=1,"Zona 1 — Crítica: impacto alto y ocurre al menos una vez al año","Zona 4 — Catastrófica poco probable: impacto alto pero excepcional"),IF(AND(T1623&lt;1.5,X1623&lt;1),"Zona 3 — Asumible: impacto bajo y muy poco frecuente","Zona 2 — Atención: riesgo intermedio"))</f>
        <v/>
      </c>
      <c r="AB1623" s="64">
        <f>IFERROR(INDEX(MgAmenCtrl,MATCH(SUBSTITUTE($H1623,"*","-"),MgAmenClave,0)),"")</f>
        <v/>
      </c>
      <c r="AC1623" s="20" t="n"/>
      <c r="AD1623" s="31">
        <f>IFERROR($X1623*(1-IF($AC1623="",$AL1623,VLOOKUP($AC1623,MgMad,2,0))),"")</f>
        <v/>
      </c>
      <c r="AE1623" s="28">
        <f>IFERROR(LOOKUP(AD1623,{0;0.01;0.1;1;10;100},{"Muy baja";"Muy baja";"Baja";"Media";"Alta";"Muy alta"}),"")</f>
        <v/>
      </c>
      <c r="AF1623" s="30">
        <f>T1623*AD1623</f>
        <v/>
      </c>
      <c r="AG1623" s="28">
        <f>IFERROR(LOOKUP(AF1623,{0;0.5;5;25},{"Bajo";"Medio";"Alto";"Crítico"}),"")</f>
        <v/>
      </c>
      <c r="AH1623" s="28">
        <f>IF(AG1623="","",IF(OR(AG1623="Crítico",AG1623="Alto"),"Mitigar",IF(AG1623="Medio","Mitigar","Aceptar y monitorear")))</f>
        <v/>
      </c>
      <c r="AI1623" s="21" t="n"/>
      <c r="AJ1623" s="21" t="n"/>
      <c r="AK1623" s="20" t="n"/>
      <c r="AL1623" s="77">
        <f>IFERROR(INDEX(MgAmenEfic,MATCH(SUBSTITUTE($H1623,"*","-"),MgAmenClave,0)),0)</f>
        <v/>
      </c>
    </row>
    <row r="1624" hidden="1" ht="45" customHeight="1" s="54">
      <c r="B1624" s="59" t="inlineStr">
        <is>
          <t>R-1619</t>
        </is>
      </c>
      <c r="C1624" s="59" t="inlineStr">
        <is>
          <t>TEC-015</t>
        </is>
      </c>
      <c r="D1624" s="64">
        <f>IFERROR(INDEX(MgNombre,MATCH($C1624,MgActId,0)),"")</f>
        <v/>
      </c>
      <c r="E1624" s="64">
        <f>IFERROR(INDEX(MgProceso,MATCH($C1624,MgActId,0)),"")</f>
        <v/>
      </c>
      <c r="F1624" s="64">
        <f>IFERROR(INDEX(MgTipo,MATCH($C1624,MgActId,0)),"")</f>
        <v/>
      </c>
      <c r="G1624" s="64">
        <f>IFERROR(INDEX(MgSubtipo,MATCH($C1624,MgActId,0)),"")</f>
        <v/>
      </c>
      <c r="H1624" s="59" t="inlineStr">
        <is>
          <t>E.24</t>
        </is>
      </c>
      <c r="I1624" s="64">
        <f>IFERROR(INDEX(MgAmenNombre,MATCH(SUBSTITUTE($H1624,"*","-"),MgAmenClave,0)),"")</f>
        <v/>
      </c>
      <c r="J1624" s="28">
        <f>IFERROR(INDEX(MgAmenGrupo,MATCH(SUBSTITUTE($H1624,"*","-"),MgAmenClave,0)),"")</f>
        <v/>
      </c>
      <c r="K1624" s="64">
        <f>IFERROR(INDEX('1. Matriz de Activos'!$Q$6:$Q$239,MATCH($C1624,MgActId,0)),"")</f>
        <v/>
      </c>
      <c r="L1624" s="64">
        <f>IFERROR(INDEX('1. Matriz de Activos'!$R$6:$R$239,MATCH($C1624,MgActId,0)),"")</f>
        <v/>
      </c>
      <c r="M1624" s="64">
        <f>IFERROR(INDEX('1. Matriz de Activos'!$S$6:$S$239,MATCH($C1624,MgActId,0)),"")</f>
        <v/>
      </c>
      <c r="N1624" s="28">
        <f>IFERROR(INDEX(MgAmenDegD,MATCH(SUBSTITUTE($H1624,"*","-"),MgAmenClave,0)),"No aplica")</f>
        <v/>
      </c>
      <c r="O1624" s="28">
        <f>IFERROR(INDEX(MgAmenDegI,MATCH(SUBSTITUTE($H1624,"*","-"),MgAmenClave,0)),"No aplica")</f>
        <v/>
      </c>
      <c r="P1624" s="28">
        <f>IFERROR(INDEX(MgAmenDegC,MATCH(SUBSTITUTE($H1624,"*","-"),MgAmenClave,0)),"No aplica")</f>
        <v/>
      </c>
      <c r="Q1624" s="29">
        <f>IFERROR(VLOOKUP(K1624,MgValor,2,0)*VLOOKUP(N1624,MgDeg,2,0),0)</f>
        <v/>
      </c>
      <c r="R1624" s="29">
        <f>IFERROR(VLOOKUP(L1624,MgValor,2,0)*VLOOKUP(O1624,MgDeg,2,0),0)</f>
        <v/>
      </c>
      <c r="S1624" s="29">
        <f>IFERROR(VLOOKUP(M1624,MgValor,2,0)*VLOOKUP(P1624,MgDeg,2,0),0)</f>
        <v/>
      </c>
      <c r="T1624" s="30">
        <f>MAX(Q1624:S1624)</f>
        <v/>
      </c>
      <c r="U1624" s="28">
        <f>IFERROR(LOOKUP(T1624,{0;0.5;1.5;3;4.5},{"Despreciable";"Bajo";"Medio";"Alto";"Muy alto"}),"")</f>
        <v/>
      </c>
      <c r="V1624" s="13">
        <f>IFERROR(INDEX(MgAmenFrec,MATCH(SUBSTITUTE($H1624,"*","-"),MgAmenClave,0)),"")</f>
        <v/>
      </c>
      <c r="W1624" s="28">
        <f>IFERROR(LOOKUP(X1624,{0;0.01;0.1;1;10;100},{"Muy baja";"Muy baja";"Baja";"Media";"Alta";"Muy alta"}),"")</f>
        <v/>
      </c>
      <c r="X1624" s="31">
        <f>IFERROR(VLOOKUP(V1624,MgFrec,2,0),0)</f>
        <v/>
      </c>
      <c r="Y1624" s="30">
        <f>T1624*X1624</f>
        <v/>
      </c>
      <c r="Z1624" s="28">
        <f>IFERROR(LOOKUP(Y1624,{0;0.5;5;25},{"Bajo";"Medio";"Alto";"Crítico"}),"")</f>
        <v/>
      </c>
      <c r="AA1624" s="64">
        <f>IF(T1624&gt;=3,IF(X1624&gt;=1,"Zona 1 — Crítica: impacto alto y ocurre al menos una vez al año","Zona 4 — Catastrófica poco probable: impacto alto pero excepcional"),IF(AND(T1624&lt;1.5,X1624&lt;1),"Zona 3 — Asumible: impacto bajo y muy poco frecuente","Zona 2 — Atención: riesgo intermedio"))</f>
        <v/>
      </c>
      <c r="AB1624" s="64">
        <f>IFERROR(INDEX(MgAmenCtrl,MATCH(SUBSTITUTE($H1624,"*","-"),MgAmenClave,0)),"")</f>
        <v/>
      </c>
      <c r="AC1624" s="20" t="n"/>
      <c r="AD1624" s="31">
        <f>IFERROR($X1624*(1-IF($AC1624="",$AL1624,VLOOKUP($AC1624,MgMad,2,0))),"")</f>
        <v/>
      </c>
      <c r="AE1624" s="28">
        <f>IFERROR(LOOKUP(AD1624,{0;0.01;0.1;1;10;100},{"Muy baja";"Muy baja";"Baja";"Media";"Alta";"Muy alta"}),"")</f>
        <v/>
      </c>
      <c r="AF1624" s="30">
        <f>T1624*AD1624</f>
        <v/>
      </c>
      <c r="AG1624" s="28">
        <f>IFERROR(LOOKUP(AF1624,{0;0.5;5;25},{"Bajo";"Medio";"Alto";"Crítico"}),"")</f>
        <v/>
      </c>
      <c r="AH1624" s="28">
        <f>IF(AG1624="","",IF(OR(AG1624="Crítico",AG1624="Alto"),"Mitigar",IF(AG1624="Medio","Mitigar","Aceptar y monitorear")))</f>
        <v/>
      </c>
      <c r="AI1624" s="21" t="n"/>
      <c r="AJ1624" s="21" t="n"/>
      <c r="AK1624" s="20" t="n"/>
      <c r="AL1624" s="77">
        <f>IFERROR(INDEX(MgAmenEfic,MATCH(SUBSTITUTE($H1624,"*","-"),MgAmenClave,0)),0)</f>
        <v/>
      </c>
    </row>
    <row r="1625" hidden="1" ht="75" customHeight="1" s="54">
      <c r="B1625" s="59" t="inlineStr">
        <is>
          <t>R-1620</t>
        </is>
      </c>
      <c r="C1625" s="59" t="inlineStr">
        <is>
          <t>TEC-015</t>
        </is>
      </c>
      <c r="D1625" s="64">
        <f>IFERROR(INDEX(MgNombre,MATCH($C1625,MgActId,0)),"")</f>
        <v/>
      </c>
      <c r="E1625" s="64">
        <f>IFERROR(INDEX(MgProceso,MATCH($C1625,MgActId,0)),"")</f>
        <v/>
      </c>
      <c r="F1625" s="64">
        <f>IFERROR(INDEX(MgTipo,MATCH($C1625,MgActId,0)),"")</f>
        <v/>
      </c>
      <c r="G1625" s="64">
        <f>IFERROR(INDEX(MgSubtipo,MATCH($C1625,MgActId,0)),"")</f>
        <v/>
      </c>
      <c r="H1625" s="59" t="inlineStr">
        <is>
          <t>E.25</t>
        </is>
      </c>
      <c r="I1625" s="64">
        <f>IFERROR(INDEX(MgAmenNombre,MATCH(SUBSTITUTE($H1625,"*","-"),MgAmenClave,0)),"")</f>
        <v/>
      </c>
      <c r="J1625" s="28">
        <f>IFERROR(INDEX(MgAmenGrupo,MATCH(SUBSTITUTE($H1625,"*","-"),MgAmenClave,0)),"")</f>
        <v/>
      </c>
      <c r="K1625" s="64">
        <f>IFERROR(INDEX('1. Matriz de Activos'!$Q$6:$Q$239,MATCH($C1625,MgActId,0)),"")</f>
        <v/>
      </c>
      <c r="L1625" s="64">
        <f>IFERROR(INDEX('1. Matriz de Activos'!$R$6:$R$239,MATCH($C1625,MgActId,0)),"")</f>
        <v/>
      </c>
      <c r="M1625" s="64">
        <f>IFERROR(INDEX('1. Matriz de Activos'!$S$6:$S$239,MATCH($C1625,MgActId,0)),"")</f>
        <v/>
      </c>
      <c r="N1625" s="28">
        <f>IFERROR(INDEX(MgAmenDegD,MATCH(SUBSTITUTE($H1625,"*","-"),MgAmenClave,0)),"No aplica")</f>
        <v/>
      </c>
      <c r="O1625" s="28">
        <f>IFERROR(INDEX(MgAmenDegI,MATCH(SUBSTITUTE($H1625,"*","-"),MgAmenClave,0)),"No aplica")</f>
        <v/>
      </c>
      <c r="P1625" s="28">
        <f>IFERROR(INDEX(MgAmenDegC,MATCH(SUBSTITUTE($H1625,"*","-"),MgAmenClave,0)),"No aplica")</f>
        <v/>
      </c>
      <c r="Q1625" s="29">
        <f>IFERROR(VLOOKUP(K1625,MgValor,2,0)*VLOOKUP(N1625,MgDeg,2,0),0)</f>
        <v/>
      </c>
      <c r="R1625" s="29">
        <f>IFERROR(VLOOKUP(L1625,MgValor,2,0)*VLOOKUP(O1625,MgDeg,2,0),0)</f>
        <v/>
      </c>
      <c r="S1625" s="29">
        <f>IFERROR(VLOOKUP(M1625,MgValor,2,0)*VLOOKUP(P1625,MgDeg,2,0),0)</f>
        <v/>
      </c>
      <c r="T1625" s="30">
        <f>MAX(Q1625:S1625)</f>
        <v/>
      </c>
      <c r="U1625" s="28">
        <f>IFERROR(LOOKUP(T1625,{0;0.5;1.5;3;4.5},{"Despreciable";"Bajo";"Medio";"Alto";"Muy alto"}),"")</f>
        <v/>
      </c>
      <c r="V1625" s="13">
        <f>IFERROR(INDEX(MgAmenFrec,MATCH(SUBSTITUTE($H1625,"*","-"),MgAmenClave,0)),"")</f>
        <v/>
      </c>
      <c r="W1625" s="28">
        <f>IFERROR(LOOKUP(X1625,{0;0.01;0.1;1;10;100},{"Muy baja";"Muy baja";"Baja";"Media";"Alta";"Muy alta"}),"")</f>
        <v/>
      </c>
      <c r="X1625" s="31">
        <f>IFERROR(VLOOKUP(V1625,MgFrec,2,0),0)</f>
        <v/>
      </c>
      <c r="Y1625" s="30">
        <f>T1625*X1625</f>
        <v/>
      </c>
      <c r="Z1625" s="28">
        <f>IFERROR(LOOKUP(Y1625,{0;0.5;5;25},{"Bajo";"Medio";"Alto";"Crítico"}),"")</f>
        <v/>
      </c>
      <c r="AA1625" s="64">
        <f>IF(T1625&gt;=3,IF(X1625&gt;=1,"Zona 1 — Crítica: impacto alto y ocurre al menos una vez al año","Zona 4 — Catastrófica poco probable: impacto alto pero excepcional"),IF(AND(T1625&lt;1.5,X1625&lt;1),"Zona 3 — Asumible: impacto bajo y muy poco frecuente","Zona 2 — Atención: riesgo intermedio"))</f>
        <v/>
      </c>
      <c r="AB1625" s="64">
        <f>IFERROR(INDEX(MgAmenCtrl,MATCH(SUBSTITUTE($H1625,"*","-"),MgAmenClave,0)),"")</f>
        <v/>
      </c>
      <c r="AC1625" s="20" t="n"/>
      <c r="AD1625" s="31">
        <f>IFERROR($X1625*(1-IF($AC1625="",$AL1625,VLOOKUP($AC1625,MgMad,2,0))),"")</f>
        <v/>
      </c>
      <c r="AE1625" s="28">
        <f>IFERROR(LOOKUP(AD1625,{0;0.01;0.1;1;10;100},{"Muy baja";"Muy baja";"Baja";"Media";"Alta";"Muy alta"}),"")</f>
        <v/>
      </c>
      <c r="AF1625" s="30">
        <f>T1625*AD1625</f>
        <v/>
      </c>
      <c r="AG1625" s="28">
        <f>IFERROR(LOOKUP(AF1625,{0;0.5;5;25},{"Bajo";"Medio";"Alto";"Crítico"}),"")</f>
        <v/>
      </c>
      <c r="AH1625" s="28">
        <f>IF(AG1625="","",IF(OR(AG1625="Crítico",AG1625="Alto"),"Mitigar",IF(AG1625="Medio","Mitigar","Aceptar y monitorear")))</f>
        <v/>
      </c>
      <c r="AI1625" s="21" t="n"/>
      <c r="AJ1625" s="21" t="n"/>
      <c r="AK1625" s="20" t="n"/>
      <c r="AL1625" s="77">
        <f>IFERROR(INDEX(MgAmenEfic,MATCH(SUBSTITUTE($H1625,"*","-"),MgAmenClave,0)),0)</f>
        <v/>
      </c>
    </row>
    <row r="1626" hidden="1" ht="105" customHeight="1" s="54">
      <c r="B1626" s="59" t="inlineStr">
        <is>
          <t>R-1621</t>
        </is>
      </c>
      <c r="C1626" s="59" t="inlineStr">
        <is>
          <t>TEC-015</t>
        </is>
      </c>
      <c r="D1626" s="64">
        <f>IFERROR(INDEX(MgNombre,MATCH($C1626,MgActId,0)),"")</f>
        <v/>
      </c>
      <c r="E1626" s="64">
        <f>IFERROR(INDEX(MgProceso,MATCH($C1626,MgActId,0)),"")</f>
        <v/>
      </c>
      <c r="F1626" s="64">
        <f>IFERROR(INDEX(MgTipo,MATCH($C1626,MgActId,0)),"")</f>
        <v/>
      </c>
      <c r="G1626" s="64">
        <f>IFERROR(INDEX(MgSubtipo,MATCH($C1626,MgActId,0)),"")</f>
        <v/>
      </c>
      <c r="H1626" s="59" t="inlineStr">
        <is>
          <t>A.6</t>
        </is>
      </c>
      <c r="I1626" s="64">
        <f>IFERROR(INDEX(MgAmenNombre,MATCH(SUBSTITUTE($H1626,"*","-"),MgAmenClave,0)),"")</f>
        <v/>
      </c>
      <c r="J1626" s="28">
        <f>IFERROR(INDEX(MgAmenGrupo,MATCH(SUBSTITUTE($H1626,"*","-"),MgAmenClave,0)),"")</f>
        <v/>
      </c>
      <c r="K1626" s="64">
        <f>IFERROR(INDEX('1. Matriz de Activos'!$Q$6:$Q$239,MATCH($C1626,MgActId,0)),"")</f>
        <v/>
      </c>
      <c r="L1626" s="64">
        <f>IFERROR(INDEX('1. Matriz de Activos'!$R$6:$R$239,MATCH($C1626,MgActId,0)),"")</f>
        <v/>
      </c>
      <c r="M1626" s="64">
        <f>IFERROR(INDEX('1. Matriz de Activos'!$S$6:$S$239,MATCH($C1626,MgActId,0)),"")</f>
        <v/>
      </c>
      <c r="N1626" s="28">
        <f>IFERROR(INDEX(MgAmenDegD,MATCH(SUBSTITUTE($H1626,"*","-"),MgAmenClave,0)),"No aplica")</f>
        <v/>
      </c>
      <c r="O1626" s="28">
        <f>IFERROR(INDEX(MgAmenDegI,MATCH(SUBSTITUTE($H1626,"*","-"),MgAmenClave,0)),"No aplica")</f>
        <v/>
      </c>
      <c r="P1626" s="28">
        <f>IFERROR(INDEX(MgAmenDegC,MATCH(SUBSTITUTE($H1626,"*","-"),MgAmenClave,0)),"No aplica")</f>
        <v/>
      </c>
      <c r="Q1626" s="29">
        <f>IFERROR(VLOOKUP(K1626,MgValor,2,0)*VLOOKUP(N1626,MgDeg,2,0),0)</f>
        <v/>
      </c>
      <c r="R1626" s="29">
        <f>IFERROR(VLOOKUP(L1626,MgValor,2,0)*VLOOKUP(O1626,MgDeg,2,0),0)</f>
        <v/>
      </c>
      <c r="S1626" s="29">
        <f>IFERROR(VLOOKUP(M1626,MgValor,2,0)*VLOOKUP(P1626,MgDeg,2,0),0)</f>
        <v/>
      </c>
      <c r="T1626" s="30">
        <f>MAX(Q1626:S1626)</f>
        <v/>
      </c>
      <c r="U1626" s="28">
        <f>IFERROR(LOOKUP(T1626,{0;0.5;1.5;3;4.5},{"Despreciable";"Bajo";"Medio";"Alto";"Muy alto"}),"")</f>
        <v/>
      </c>
      <c r="V1626" s="13">
        <f>IFERROR(INDEX(MgAmenFrec,MATCH(SUBSTITUTE($H1626,"*","-"),MgAmenClave,0)),"")</f>
        <v/>
      </c>
      <c r="W1626" s="28">
        <f>IFERROR(LOOKUP(X1626,{0;0.01;0.1;1;10;100},{"Muy baja";"Muy baja";"Baja";"Media";"Alta";"Muy alta"}),"")</f>
        <v/>
      </c>
      <c r="X1626" s="31">
        <f>IFERROR(VLOOKUP(V1626,MgFrec,2,0),0)</f>
        <v/>
      </c>
      <c r="Y1626" s="30">
        <f>T1626*X1626</f>
        <v/>
      </c>
      <c r="Z1626" s="28">
        <f>IFERROR(LOOKUP(Y1626,{0;0.5;5;25},{"Bajo";"Medio";"Alto";"Crítico"}),"")</f>
        <v/>
      </c>
      <c r="AA1626" s="64">
        <f>IF(T1626&gt;=3,IF(X1626&gt;=1,"Zona 1 — Crítica: impacto alto y ocurre al menos una vez al año","Zona 4 — Catastrófica poco probable: impacto alto pero excepcional"),IF(AND(T1626&lt;1.5,X1626&lt;1),"Zona 3 — Asumible: impacto bajo y muy poco frecuente","Zona 2 — Atención: riesgo intermedio"))</f>
        <v/>
      </c>
      <c r="AB1626" s="64">
        <f>IFERROR(INDEX(MgAmenCtrl,MATCH(SUBSTITUTE($H1626,"*","-"),MgAmenClave,0)),"")</f>
        <v/>
      </c>
      <c r="AC1626" s="20" t="n"/>
      <c r="AD1626" s="31">
        <f>IFERROR($X1626*(1-IF($AC1626="",$AL1626,VLOOKUP($AC1626,MgMad,2,0))),"")</f>
        <v/>
      </c>
      <c r="AE1626" s="28">
        <f>IFERROR(LOOKUP(AD1626,{0;0.01;0.1;1;10;100},{"Muy baja";"Muy baja";"Baja";"Media";"Alta";"Muy alta"}),"")</f>
        <v/>
      </c>
      <c r="AF1626" s="30">
        <f>T1626*AD1626</f>
        <v/>
      </c>
      <c r="AG1626" s="28">
        <f>IFERROR(LOOKUP(AF1626,{0;0.5;5;25},{"Bajo";"Medio";"Alto";"Crítico"}),"")</f>
        <v/>
      </c>
      <c r="AH1626" s="28">
        <f>IF(AG1626="","",IF(OR(AG1626="Crítico",AG1626="Alto"),"Mitigar",IF(AG1626="Medio","Mitigar","Aceptar y monitorear")))</f>
        <v/>
      </c>
      <c r="AI1626" s="21" t="n"/>
      <c r="AJ1626" s="21" t="n"/>
      <c r="AK1626" s="20" t="n"/>
      <c r="AL1626" s="77">
        <f>IFERROR(INDEX(MgAmenEfic,MATCH(SUBSTITUTE($H1626,"*","-"),MgAmenClave,0)),0)</f>
        <v/>
      </c>
    </row>
    <row r="1627" hidden="1" ht="60" customHeight="1" s="54">
      <c r="B1627" s="59" t="inlineStr">
        <is>
          <t>R-1622</t>
        </is>
      </c>
      <c r="C1627" s="59" t="inlineStr">
        <is>
          <t>TEC-015</t>
        </is>
      </c>
      <c r="D1627" s="64">
        <f>IFERROR(INDEX(MgNombre,MATCH($C1627,MgActId,0)),"")</f>
        <v/>
      </c>
      <c r="E1627" s="64">
        <f>IFERROR(INDEX(MgProceso,MATCH($C1627,MgActId,0)),"")</f>
        <v/>
      </c>
      <c r="F1627" s="64">
        <f>IFERROR(INDEX(MgTipo,MATCH($C1627,MgActId,0)),"")</f>
        <v/>
      </c>
      <c r="G1627" s="64">
        <f>IFERROR(INDEX(MgSubtipo,MATCH($C1627,MgActId,0)),"")</f>
        <v/>
      </c>
      <c r="H1627" s="59" t="inlineStr">
        <is>
          <t>A.7</t>
        </is>
      </c>
      <c r="I1627" s="64">
        <f>IFERROR(INDEX(MgAmenNombre,MATCH(SUBSTITUTE($H1627,"*","-"),MgAmenClave,0)),"")</f>
        <v/>
      </c>
      <c r="J1627" s="28">
        <f>IFERROR(INDEX(MgAmenGrupo,MATCH(SUBSTITUTE($H1627,"*","-"),MgAmenClave,0)),"")</f>
        <v/>
      </c>
      <c r="K1627" s="64">
        <f>IFERROR(INDEX('1. Matriz de Activos'!$Q$6:$Q$239,MATCH($C1627,MgActId,0)),"")</f>
        <v/>
      </c>
      <c r="L1627" s="64">
        <f>IFERROR(INDEX('1. Matriz de Activos'!$R$6:$R$239,MATCH($C1627,MgActId,0)),"")</f>
        <v/>
      </c>
      <c r="M1627" s="64">
        <f>IFERROR(INDEX('1. Matriz de Activos'!$S$6:$S$239,MATCH($C1627,MgActId,0)),"")</f>
        <v/>
      </c>
      <c r="N1627" s="28">
        <f>IFERROR(INDEX(MgAmenDegD,MATCH(SUBSTITUTE($H1627,"*","-"),MgAmenClave,0)),"No aplica")</f>
        <v/>
      </c>
      <c r="O1627" s="28">
        <f>IFERROR(INDEX(MgAmenDegI,MATCH(SUBSTITUTE($H1627,"*","-"),MgAmenClave,0)),"No aplica")</f>
        <v/>
      </c>
      <c r="P1627" s="28">
        <f>IFERROR(INDEX(MgAmenDegC,MATCH(SUBSTITUTE($H1627,"*","-"),MgAmenClave,0)),"No aplica")</f>
        <v/>
      </c>
      <c r="Q1627" s="29">
        <f>IFERROR(VLOOKUP(K1627,MgValor,2,0)*VLOOKUP(N1627,MgDeg,2,0),0)</f>
        <v/>
      </c>
      <c r="R1627" s="29">
        <f>IFERROR(VLOOKUP(L1627,MgValor,2,0)*VLOOKUP(O1627,MgDeg,2,0),0)</f>
        <v/>
      </c>
      <c r="S1627" s="29">
        <f>IFERROR(VLOOKUP(M1627,MgValor,2,0)*VLOOKUP(P1627,MgDeg,2,0),0)</f>
        <v/>
      </c>
      <c r="T1627" s="30">
        <f>MAX(Q1627:S1627)</f>
        <v/>
      </c>
      <c r="U1627" s="28">
        <f>IFERROR(LOOKUP(T1627,{0;0.5;1.5;3;4.5},{"Despreciable";"Bajo";"Medio";"Alto";"Muy alto"}),"")</f>
        <v/>
      </c>
      <c r="V1627" s="13">
        <f>IFERROR(INDEX(MgAmenFrec,MATCH(SUBSTITUTE($H1627,"*","-"),MgAmenClave,0)),"")</f>
        <v/>
      </c>
      <c r="W1627" s="28">
        <f>IFERROR(LOOKUP(X1627,{0;0.01;0.1;1;10;100},{"Muy baja";"Muy baja";"Baja";"Media";"Alta";"Muy alta"}),"")</f>
        <v/>
      </c>
      <c r="X1627" s="31">
        <f>IFERROR(VLOOKUP(V1627,MgFrec,2,0),0)</f>
        <v/>
      </c>
      <c r="Y1627" s="30">
        <f>T1627*X1627</f>
        <v/>
      </c>
      <c r="Z1627" s="28">
        <f>IFERROR(LOOKUP(Y1627,{0;0.5;5;25},{"Bajo";"Medio";"Alto";"Crítico"}),"")</f>
        <v/>
      </c>
      <c r="AA1627" s="64">
        <f>IF(T1627&gt;=3,IF(X1627&gt;=1,"Zona 1 — Crítica: impacto alto y ocurre al menos una vez al año","Zona 4 — Catastrófica poco probable: impacto alto pero excepcional"),IF(AND(T1627&lt;1.5,X1627&lt;1),"Zona 3 — Asumible: impacto bajo y muy poco frecuente","Zona 2 — Atención: riesgo intermedio"))</f>
        <v/>
      </c>
      <c r="AB1627" s="64">
        <f>IFERROR(INDEX(MgAmenCtrl,MATCH(SUBSTITUTE($H1627,"*","-"),MgAmenClave,0)),"")</f>
        <v/>
      </c>
      <c r="AC1627" s="20" t="n"/>
      <c r="AD1627" s="31">
        <f>IFERROR($X1627*(1-IF($AC1627="",$AL1627,VLOOKUP($AC1627,MgMad,2,0))),"")</f>
        <v/>
      </c>
      <c r="AE1627" s="28">
        <f>IFERROR(LOOKUP(AD1627,{0;0.01;0.1;1;10;100},{"Muy baja";"Muy baja";"Baja";"Media";"Alta";"Muy alta"}),"")</f>
        <v/>
      </c>
      <c r="AF1627" s="30">
        <f>T1627*AD1627</f>
        <v/>
      </c>
      <c r="AG1627" s="28">
        <f>IFERROR(LOOKUP(AF1627,{0;0.5;5;25},{"Bajo";"Medio";"Alto";"Crítico"}),"")</f>
        <v/>
      </c>
      <c r="AH1627" s="28">
        <f>IF(AG1627="","",IF(OR(AG1627="Crítico",AG1627="Alto"),"Mitigar",IF(AG1627="Medio","Mitigar","Aceptar y monitorear")))</f>
        <v/>
      </c>
      <c r="AI1627" s="21" t="n"/>
      <c r="AJ1627" s="21" t="n"/>
      <c r="AK1627" s="20" t="n"/>
      <c r="AL1627" s="77">
        <f>IFERROR(INDEX(MgAmenEfic,MATCH(SUBSTITUTE($H1627,"*","-"),MgAmenClave,0)),0)</f>
        <v/>
      </c>
    </row>
    <row r="1628" hidden="1" ht="120" customHeight="1" s="54">
      <c r="B1628" s="59" t="inlineStr">
        <is>
          <t>R-1623</t>
        </is>
      </c>
      <c r="C1628" s="59" t="inlineStr">
        <is>
          <t>TEC-015</t>
        </is>
      </c>
      <c r="D1628" s="64">
        <f>IFERROR(INDEX(MgNombre,MATCH($C1628,MgActId,0)),"")</f>
        <v/>
      </c>
      <c r="E1628" s="64">
        <f>IFERROR(INDEX(MgProceso,MATCH($C1628,MgActId,0)),"")</f>
        <v/>
      </c>
      <c r="F1628" s="64">
        <f>IFERROR(INDEX(MgTipo,MATCH($C1628,MgActId,0)),"")</f>
        <v/>
      </c>
      <c r="G1628" s="64">
        <f>IFERROR(INDEX(MgSubtipo,MATCH($C1628,MgActId,0)),"")</f>
        <v/>
      </c>
      <c r="H1628" s="59" t="inlineStr">
        <is>
          <t>A.11</t>
        </is>
      </c>
      <c r="I1628" s="64">
        <f>IFERROR(INDEX(MgAmenNombre,MATCH(SUBSTITUTE($H1628,"*","-"),MgAmenClave,0)),"")</f>
        <v/>
      </c>
      <c r="J1628" s="28">
        <f>IFERROR(INDEX(MgAmenGrupo,MATCH(SUBSTITUTE($H1628,"*","-"),MgAmenClave,0)),"")</f>
        <v/>
      </c>
      <c r="K1628" s="64">
        <f>IFERROR(INDEX('1. Matriz de Activos'!$Q$6:$Q$239,MATCH($C1628,MgActId,0)),"")</f>
        <v/>
      </c>
      <c r="L1628" s="64">
        <f>IFERROR(INDEX('1. Matriz de Activos'!$R$6:$R$239,MATCH($C1628,MgActId,0)),"")</f>
        <v/>
      </c>
      <c r="M1628" s="64">
        <f>IFERROR(INDEX('1. Matriz de Activos'!$S$6:$S$239,MATCH($C1628,MgActId,0)),"")</f>
        <v/>
      </c>
      <c r="N1628" s="28">
        <f>IFERROR(INDEX(MgAmenDegD,MATCH(SUBSTITUTE($H1628,"*","-"),MgAmenClave,0)),"No aplica")</f>
        <v/>
      </c>
      <c r="O1628" s="28">
        <f>IFERROR(INDEX(MgAmenDegI,MATCH(SUBSTITUTE($H1628,"*","-"),MgAmenClave,0)),"No aplica")</f>
        <v/>
      </c>
      <c r="P1628" s="28">
        <f>IFERROR(INDEX(MgAmenDegC,MATCH(SUBSTITUTE($H1628,"*","-"),MgAmenClave,0)),"No aplica")</f>
        <v/>
      </c>
      <c r="Q1628" s="29">
        <f>IFERROR(VLOOKUP(K1628,MgValor,2,0)*VLOOKUP(N1628,MgDeg,2,0),0)</f>
        <v/>
      </c>
      <c r="R1628" s="29">
        <f>IFERROR(VLOOKUP(L1628,MgValor,2,0)*VLOOKUP(O1628,MgDeg,2,0),0)</f>
        <v/>
      </c>
      <c r="S1628" s="29">
        <f>IFERROR(VLOOKUP(M1628,MgValor,2,0)*VLOOKUP(P1628,MgDeg,2,0),0)</f>
        <v/>
      </c>
      <c r="T1628" s="30">
        <f>MAX(Q1628:S1628)</f>
        <v/>
      </c>
      <c r="U1628" s="28">
        <f>IFERROR(LOOKUP(T1628,{0;0.5;1.5;3;4.5},{"Despreciable";"Bajo";"Medio";"Alto";"Muy alto"}),"")</f>
        <v/>
      </c>
      <c r="V1628" s="13">
        <f>IFERROR(INDEX(MgAmenFrec,MATCH(SUBSTITUTE($H1628,"*","-"),MgAmenClave,0)),"")</f>
        <v/>
      </c>
      <c r="W1628" s="28">
        <f>IFERROR(LOOKUP(X1628,{0;0.01;0.1;1;10;100},{"Muy baja";"Muy baja";"Baja";"Media";"Alta";"Muy alta"}),"")</f>
        <v/>
      </c>
      <c r="X1628" s="31">
        <f>IFERROR(VLOOKUP(V1628,MgFrec,2,0),0)</f>
        <v/>
      </c>
      <c r="Y1628" s="30">
        <f>T1628*X1628</f>
        <v/>
      </c>
      <c r="Z1628" s="28">
        <f>IFERROR(LOOKUP(Y1628,{0;0.5;5;25},{"Bajo";"Medio";"Alto";"Crítico"}),"")</f>
        <v/>
      </c>
      <c r="AA1628" s="64">
        <f>IF(T1628&gt;=3,IF(X1628&gt;=1,"Zona 1 — Crítica: impacto alto y ocurre al menos una vez al año","Zona 4 — Catastrófica poco probable: impacto alto pero excepcional"),IF(AND(T1628&lt;1.5,X1628&lt;1),"Zona 3 — Asumible: impacto bajo y muy poco frecuente","Zona 2 — Atención: riesgo intermedio"))</f>
        <v/>
      </c>
      <c r="AB1628" s="64">
        <f>IFERROR(INDEX(MgAmenCtrl,MATCH(SUBSTITUTE($H1628,"*","-"),MgAmenClave,0)),"")</f>
        <v/>
      </c>
      <c r="AC1628" s="20" t="n"/>
      <c r="AD1628" s="31">
        <f>IFERROR($X1628*(1-IF($AC1628="",$AL1628,VLOOKUP($AC1628,MgMad,2,0))),"")</f>
        <v/>
      </c>
      <c r="AE1628" s="28">
        <f>IFERROR(LOOKUP(AD1628,{0;0.01;0.1;1;10;100},{"Muy baja";"Muy baja";"Baja";"Media";"Alta";"Muy alta"}),"")</f>
        <v/>
      </c>
      <c r="AF1628" s="30">
        <f>T1628*AD1628</f>
        <v/>
      </c>
      <c r="AG1628" s="28">
        <f>IFERROR(LOOKUP(AF1628,{0;0.5;5;25},{"Bajo";"Medio";"Alto";"Crítico"}),"")</f>
        <v/>
      </c>
      <c r="AH1628" s="28">
        <f>IF(AG1628="","",IF(OR(AG1628="Crítico",AG1628="Alto"),"Mitigar",IF(AG1628="Medio","Mitigar","Aceptar y monitorear")))</f>
        <v/>
      </c>
      <c r="AI1628" s="21" t="n"/>
      <c r="AJ1628" s="21" t="n"/>
      <c r="AK1628" s="20" t="n"/>
      <c r="AL1628" s="77">
        <f>IFERROR(INDEX(MgAmenEfic,MATCH(SUBSTITUTE($H1628,"*","-"),MgAmenClave,0)),0)</f>
        <v/>
      </c>
    </row>
    <row r="1629" hidden="1" ht="60" customHeight="1" s="54">
      <c r="B1629" s="59" t="inlineStr">
        <is>
          <t>R-1624</t>
        </is>
      </c>
      <c r="C1629" s="59" t="inlineStr">
        <is>
          <t>TEC-015</t>
        </is>
      </c>
      <c r="D1629" s="64">
        <f>IFERROR(INDEX(MgNombre,MATCH($C1629,MgActId,0)),"")</f>
        <v/>
      </c>
      <c r="E1629" s="64">
        <f>IFERROR(INDEX(MgProceso,MATCH($C1629,MgActId,0)),"")</f>
        <v/>
      </c>
      <c r="F1629" s="64">
        <f>IFERROR(INDEX(MgTipo,MATCH($C1629,MgActId,0)),"")</f>
        <v/>
      </c>
      <c r="G1629" s="64">
        <f>IFERROR(INDEX(MgSubtipo,MATCH($C1629,MgActId,0)),"")</f>
        <v/>
      </c>
      <c r="H1629" s="59" t="inlineStr">
        <is>
          <t>A.23</t>
        </is>
      </c>
      <c r="I1629" s="64">
        <f>IFERROR(INDEX(MgAmenNombre,MATCH(SUBSTITUTE($H1629,"*","-"),MgAmenClave,0)),"")</f>
        <v/>
      </c>
      <c r="J1629" s="28">
        <f>IFERROR(INDEX(MgAmenGrupo,MATCH(SUBSTITUTE($H1629,"*","-"),MgAmenClave,0)),"")</f>
        <v/>
      </c>
      <c r="K1629" s="64">
        <f>IFERROR(INDEX('1. Matriz de Activos'!$Q$6:$Q$239,MATCH($C1629,MgActId,0)),"")</f>
        <v/>
      </c>
      <c r="L1629" s="64">
        <f>IFERROR(INDEX('1. Matriz de Activos'!$R$6:$R$239,MATCH($C1629,MgActId,0)),"")</f>
        <v/>
      </c>
      <c r="M1629" s="64">
        <f>IFERROR(INDEX('1. Matriz de Activos'!$S$6:$S$239,MATCH($C1629,MgActId,0)),"")</f>
        <v/>
      </c>
      <c r="N1629" s="28">
        <f>IFERROR(INDEX(MgAmenDegD,MATCH(SUBSTITUTE($H1629,"*","-"),MgAmenClave,0)),"No aplica")</f>
        <v/>
      </c>
      <c r="O1629" s="28">
        <f>IFERROR(INDEX(MgAmenDegI,MATCH(SUBSTITUTE($H1629,"*","-"),MgAmenClave,0)),"No aplica")</f>
        <v/>
      </c>
      <c r="P1629" s="28">
        <f>IFERROR(INDEX(MgAmenDegC,MATCH(SUBSTITUTE($H1629,"*","-"),MgAmenClave,0)),"No aplica")</f>
        <v/>
      </c>
      <c r="Q1629" s="29">
        <f>IFERROR(VLOOKUP(K1629,MgValor,2,0)*VLOOKUP(N1629,MgDeg,2,0),0)</f>
        <v/>
      </c>
      <c r="R1629" s="29">
        <f>IFERROR(VLOOKUP(L1629,MgValor,2,0)*VLOOKUP(O1629,MgDeg,2,0),0)</f>
        <v/>
      </c>
      <c r="S1629" s="29">
        <f>IFERROR(VLOOKUP(M1629,MgValor,2,0)*VLOOKUP(P1629,MgDeg,2,0),0)</f>
        <v/>
      </c>
      <c r="T1629" s="30">
        <f>MAX(Q1629:S1629)</f>
        <v/>
      </c>
      <c r="U1629" s="28">
        <f>IFERROR(LOOKUP(T1629,{0;0.5;1.5;3;4.5},{"Despreciable";"Bajo";"Medio";"Alto";"Muy alto"}),"")</f>
        <v/>
      </c>
      <c r="V1629" s="13">
        <f>IFERROR(INDEX(MgAmenFrec,MATCH(SUBSTITUTE($H1629,"*","-"),MgAmenClave,0)),"")</f>
        <v/>
      </c>
      <c r="W1629" s="28">
        <f>IFERROR(LOOKUP(X1629,{0;0.01;0.1;1;10;100},{"Muy baja";"Muy baja";"Baja";"Media";"Alta";"Muy alta"}),"")</f>
        <v/>
      </c>
      <c r="X1629" s="31">
        <f>IFERROR(VLOOKUP(V1629,MgFrec,2,0),0)</f>
        <v/>
      </c>
      <c r="Y1629" s="30">
        <f>T1629*X1629</f>
        <v/>
      </c>
      <c r="Z1629" s="28">
        <f>IFERROR(LOOKUP(Y1629,{0;0.5;5;25},{"Bajo";"Medio";"Alto";"Crítico"}),"")</f>
        <v/>
      </c>
      <c r="AA1629" s="64">
        <f>IF(T1629&gt;=3,IF(X1629&gt;=1,"Zona 1 — Crítica: impacto alto y ocurre al menos una vez al año","Zona 4 — Catastrófica poco probable: impacto alto pero excepcional"),IF(AND(T1629&lt;1.5,X1629&lt;1),"Zona 3 — Asumible: impacto bajo y muy poco frecuente","Zona 2 — Atención: riesgo intermedio"))</f>
        <v/>
      </c>
      <c r="AB1629" s="64">
        <f>IFERROR(INDEX(MgAmenCtrl,MATCH(SUBSTITUTE($H1629,"*","-"),MgAmenClave,0)),"")</f>
        <v/>
      </c>
      <c r="AC1629" s="20" t="n"/>
      <c r="AD1629" s="31">
        <f>IFERROR($X1629*(1-IF($AC1629="",$AL1629,VLOOKUP($AC1629,MgMad,2,0))),"")</f>
        <v/>
      </c>
      <c r="AE1629" s="28">
        <f>IFERROR(LOOKUP(AD1629,{0;0.01;0.1;1;10;100},{"Muy baja";"Muy baja";"Baja";"Media";"Alta";"Muy alta"}),"")</f>
        <v/>
      </c>
      <c r="AF1629" s="30">
        <f>T1629*AD1629</f>
        <v/>
      </c>
      <c r="AG1629" s="28">
        <f>IFERROR(LOOKUP(AF1629,{0;0.5;5;25},{"Bajo";"Medio";"Alto";"Crítico"}),"")</f>
        <v/>
      </c>
      <c r="AH1629" s="28">
        <f>IF(AG1629="","",IF(OR(AG1629="Crítico",AG1629="Alto"),"Mitigar",IF(AG1629="Medio","Mitigar","Aceptar y monitorear")))</f>
        <v/>
      </c>
      <c r="AI1629" s="21" t="n"/>
      <c r="AJ1629" s="21" t="n"/>
      <c r="AK1629" s="20" t="n"/>
      <c r="AL1629" s="77">
        <f>IFERROR(INDEX(MgAmenEfic,MATCH(SUBSTITUTE($H1629,"*","-"),MgAmenClave,0)),0)</f>
        <v/>
      </c>
    </row>
    <row r="1630" hidden="1" ht="60" customHeight="1" s="54">
      <c r="B1630" s="59" t="inlineStr">
        <is>
          <t>R-1625</t>
        </is>
      </c>
      <c r="C1630" s="59" t="inlineStr">
        <is>
          <t>TEC-015</t>
        </is>
      </c>
      <c r="D1630" s="64">
        <f>IFERROR(INDEX(MgNombre,MATCH($C1630,MgActId,0)),"")</f>
        <v/>
      </c>
      <c r="E1630" s="64">
        <f>IFERROR(INDEX(MgProceso,MATCH($C1630,MgActId,0)),"")</f>
        <v/>
      </c>
      <c r="F1630" s="64">
        <f>IFERROR(INDEX(MgTipo,MATCH($C1630,MgActId,0)),"")</f>
        <v/>
      </c>
      <c r="G1630" s="64">
        <f>IFERROR(INDEX(MgSubtipo,MATCH($C1630,MgActId,0)),"")</f>
        <v/>
      </c>
      <c r="H1630" s="59" t="inlineStr">
        <is>
          <t>A.24</t>
        </is>
      </c>
      <c r="I1630" s="64">
        <f>IFERROR(INDEX(MgAmenNombre,MATCH(SUBSTITUTE($H1630,"*","-"),MgAmenClave,0)),"")</f>
        <v/>
      </c>
      <c r="J1630" s="28">
        <f>IFERROR(INDEX(MgAmenGrupo,MATCH(SUBSTITUTE($H1630,"*","-"),MgAmenClave,0)),"")</f>
        <v/>
      </c>
      <c r="K1630" s="64">
        <f>IFERROR(INDEX('1. Matriz de Activos'!$Q$6:$Q$239,MATCH($C1630,MgActId,0)),"")</f>
        <v/>
      </c>
      <c r="L1630" s="64">
        <f>IFERROR(INDEX('1. Matriz de Activos'!$R$6:$R$239,MATCH($C1630,MgActId,0)),"")</f>
        <v/>
      </c>
      <c r="M1630" s="64">
        <f>IFERROR(INDEX('1. Matriz de Activos'!$S$6:$S$239,MATCH($C1630,MgActId,0)),"")</f>
        <v/>
      </c>
      <c r="N1630" s="28">
        <f>IFERROR(INDEX(MgAmenDegD,MATCH(SUBSTITUTE($H1630,"*","-"),MgAmenClave,0)),"No aplica")</f>
        <v/>
      </c>
      <c r="O1630" s="28">
        <f>IFERROR(INDEX(MgAmenDegI,MATCH(SUBSTITUTE($H1630,"*","-"),MgAmenClave,0)),"No aplica")</f>
        <v/>
      </c>
      <c r="P1630" s="28">
        <f>IFERROR(INDEX(MgAmenDegC,MATCH(SUBSTITUTE($H1630,"*","-"),MgAmenClave,0)),"No aplica")</f>
        <v/>
      </c>
      <c r="Q1630" s="29">
        <f>IFERROR(VLOOKUP(K1630,MgValor,2,0)*VLOOKUP(N1630,MgDeg,2,0),0)</f>
        <v/>
      </c>
      <c r="R1630" s="29">
        <f>IFERROR(VLOOKUP(L1630,MgValor,2,0)*VLOOKUP(O1630,MgDeg,2,0),0)</f>
        <v/>
      </c>
      <c r="S1630" s="29">
        <f>IFERROR(VLOOKUP(M1630,MgValor,2,0)*VLOOKUP(P1630,MgDeg,2,0),0)</f>
        <v/>
      </c>
      <c r="T1630" s="30">
        <f>MAX(Q1630:S1630)</f>
        <v/>
      </c>
      <c r="U1630" s="28">
        <f>IFERROR(LOOKUP(T1630,{0;0.5;1.5;3;4.5},{"Despreciable";"Bajo";"Medio";"Alto";"Muy alto"}),"")</f>
        <v/>
      </c>
      <c r="V1630" s="13">
        <f>IFERROR(INDEX(MgAmenFrec,MATCH(SUBSTITUTE($H1630,"*","-"),MgAmenClave,0)),"")</f>
        <v/>
      </c>
      <c r="W1630" s="28">
        <f>IFERROR(LOOKUP(X1630,{0;0.01;0.1;1;10;100},{"Muy baja";"Muy baja";"Baja";"Media";"Alta";"Muy alta"}),"")</f>
        <v/>
      </c>
      <c r="X1630" s="31">
        <f>IFERROR(VLOOKUP(V1630,MgFrec,2,0),0)</f>
        <v/>
      </c>
      <c r="Y1630" s="30">
        <f>T1630*X1630</f>
        <v/>
      </c>
      <c r="Z1630" s="28">
        <f>IFERROR(LOOKUP(Y1630,{0;0.5;5;25},{"Bajo";"Medio";"Alto";"Crítico"}),"")</f>
        <v/>
      </c>
      <c r="AA1630" s="64">
        <f>IF(T1630&gt;=3,IF(X1630&gt;=1,"Zona 1 — Crítica: impacto alto y ocurre al menos una vez al año","Zona 4 — Catastrófica poco probable: impacto alto pero excepcional"),IF(AND(T1630&lt;1.5,X1630&lt;1),"Zona 3 — Asumible: impacto bajo y muy poco frecuente","Zona 2 — Atención: riesgo intermedio"))</f>
        <v/>
      </c>
      <c r="AB1630" s="64">
        <f>IFERROR(INDEX(MgAmenCtrl,MATCH(SUBSTITUTE($H1630,"*","-"),MgAmenClave,0)),"")</f>
        <v/>
      </c>
      <c r="AC1630" s="20" t="n"/>
      <c r="AD1630" s="31">
        <f>IFERROR($X1630*(1-IF($AC1630="",$AL1630,VLOOKUP($AC1630,MgMad,2,0))),"")</f>
        <v/>
      </c>
      <c r="AE1630" s="28">
        <f>IFERROR(LOOKUP(AD1630,{0;0.01;0.1;1;10;100},{"Muy baja";"Muy baja";"Baja";"Media";"Alta";"Muy alta"}),"")</f>
        <v/>
      </c>
      <c r="AF1630" s="30">
        <f>T1630*AD1630</f>
        <v/>
      </c>
      <c r="AG1630" s="28">
        <f>IFERROR(LOOKUP(AF1630,{0;0.5;5;25},{"Bajo";"Medio";"Alto";"Crítico"}),"")</f>
        <v/>
      </c>
      <c r="AH1630" s="28">
        <f>IF(AG1630="","",IF(OR(AG1630="Crítico",AG1630="Alto"),"Mitigar",IF(AG1630="Medio","Mitigar","Aceptar y monitorear")))</f>
        <v/>
      </c>
      <c r="AI1630" s="21" t="n"/>
      <c r="AJ1630" s="21" t="n"/>
      <c r="AK1630" s="20" t="n"/>
      <c r="AL1630" s="77">
        <f>IFERROR(INDEX(MgAmenEfic,MATCH(SUBSTITUTE($H1630,"*","-"),MgAmenClave,0)),0)</f>
        <v/>
      </c>
    </row>
    <row r="1631" hidden="1" ht="75" customHeight="1" s="54">
      <c r="B1631" s="59" t="inlineStr">
        <is>
          <t>R-1626</t>
        </is>
      </c>
      <c r="C1631" s="59" t="inlineStr">
        <is>
          <t>TEC-015</t>
        </is>
      </c>
      <c r="D1631" s="64">
        <f>IFERROR(INDEX(MgNombre,MATCH($C1631,MgActId,0)),"")</f>
        <v/>
      </c>
      <c r="E1631" s="64">
        <f>IFERROR(INDEX(MgProceso,MATCH($C1631,MgActId,0)),"")</f>
        <v/>
      </c>
      <c r="F1631" s="64">
        <f>IFERROR(INDEX(MgTipo,MATCH($C1631,MgActId,0)),"")</f>
        <v/>
      </c>
      <c r="G1631" s="64">
        <f>IFERROR(INDEX(MgSubtipo,MATCH($C1631,MgActId,0)),"")</f>
        <v/>
      </c>
      <c r="H1631" s="59" t="inlineStr">
        <is>
          <t>A.25</t>
        </is>
      </c>
      <c r="I1631" s="64">
        <f>IFERROR(INDEX(MgAmenNombre,MATCH(SUBSTITUTE($H1631,"*","-"),MgAmenClave,0)),"")</f>
        <v/>
      </c>
      <c r="J1631" s="28">
        <f>IFERROR(INDEX(MgAmenGrupo,MATCH(SUBSTITUTE($H1631,"*","-"),MgAmenClave,0)),"")</f>
        <v/>
      </c>
      <c r="K1631" s="64">
        <f>IFERROR(INDEX('1. Matriz de Activos'!$Q$6:$Q$239,MATCH($C1631,MgActId,0)),"")</f>
        <v/>
      </c>
      <c r="L1631" s="64">
        <f>IFERROR(INDEX('1. Matriz de Activos'!$R$6:$R$239,MATCH($C1631,MgActId,0)),"")</f>
        <v/>
      </c>
      <c r="M1631" s="64">
        <f>IFERROR(INDEX('1. Matriz de Activos'!$S$6:$S$239,MATCH($C1631,MgActId,0)),"")</f>
        <v/>
      </c>
      <c r="N1631" s="28">
        <f>IFERROR(INDEX(MgAmenDegD,MATCH(SUBSTITUTE($H1631,"*","-"),MgAmenClave,0)),"No aplica")</f>
        <v/>
      </c>
      <c r="O1631" s="28">
        <f>IFERROR(INDEX(MgAmenDegI,MATCH(SUBSTITUTE($H1631,"*","-"),MgAmenClave,0)),"No aplica")</f>
        <v/>
      </c>
      <c r="P1631" s="28">
        <f>IFERROR(INDEX(MgAmenDegC,MATCH(SUBSTITUTE($H1631,"*","-"),MgAmenClave,0)),"No aplica")</f>
        <v/>
      </c>
      <c r="Q1631" s="29">
        <f>IFERROR(VLOOKUP(K1631,MgValor,2,0)*VLOOKUP(N1631,MgDeg,2,0),0)</f>
        <v/>
      </c>
      <c r="R1631" s="29">
        <f>IFERROR(VLOOKUP(L1631,MgValor,2,0)*VLOOKUP(O1631,MgDeg,2,0),0)</f>
        <v/>
      </c>
      <c r="S1631" s="29">
        <f>IFERROR(VLOOKUP(M1631,MgValor,2,0)*VLOOKUP(P1631,MgDeg,2,0),0)</f>
        <v/>
      </c>
      <c r="T1631" s="30">
        <f>MAX(Q1631:S1631)</f>
        <v/>
      </c>
      <c r="U1631" s="28">
        <f>IFERROR(LOOKUP(T1631,{0;0.5;1.5;3;4.5},{"Despreciable";"Bajo";"Medio";"Alto";"Muy alto"}),"")</f>
        <v/>
      </c>
      <c r="V1631" s="13">
        <f>IFERROR(INDEX(MgAmenFrec,MATCH(SUBSTITUTE($H1631,"*","-"),MgAmenClave,0)),"")</f>
        <v/>
      </c>
      <c r="W1631" s="28">
        <f>IFERROR(LOOKUP(X1631,{0;0.01;0.1;1;10;100},{"Muy baja";"Muy baja";"Baja";"Media";"Alta";"Muy alta"}),"")</f>
        <v/>
      </c>
      <c r="X1631" s="31">
        <f>IFERROR(VLOOKUP(V1631,MgFrec,2,0),0)</f>
        <v/>
      </c>
      <c r="Y1631" s="30">
        <f>T1631*X1631</f>
        <v/>
      </c>
      <c r="Z1631" s="28">
        <f>IFERROR(LOOKUP(Y1631,{0;0.5;5;25},{"Bajo";"Medio";"Alto";"Crítico"}),"")</f>
        <v/>
      </c>
      <c r="AA1631" s="64">
        <f>IF(T1631&gt;=3,IF(X1631&gt;=1,"Zona 1 — Crítica: impacto alto y ocurre al menos una vez al año","Zona 4 — Catastrófica poco probable: impacto alto pero excepcional"),IF(AND(T1631&lt;1.5,X1631&lt;1),"Zona 3 — Asumible: impacto bajo y muy poco frecuente","Zona 2 — Atención: riesgo intermedio"))</f>
        <v/>
      </c>
      <c r="AB1631" s="64">
        <f>IFERROR(INDEX(MgAmenCtrl,MATCH(SUBSTITUTE($H1631,"*","-"),MgAmenClave,0)),"")</f>
        <v/>
      </c>
      <c r="AC1631" s="20" t="n"/>
      <c r="AD1631" s="31">
        <f>IFERROR($X1631*(1-IF($AC1631="",$AL1631,VLOOKUP($AC1631,MgMad,2,0))),"")</f>
        <v/>
      </c>
      <c r="AE1631" s="28">
        <f>IFERROR(LOOKUP(AD1631,{0;0.01;0.1;1;10;100},{"Muy baja";"Muy baja";"Baja";"Media";"Alta";"Muy alta"}),"")</f>
        <v/>
      </c>
      <c r="AF1631" s="30">
        <f>T1631*AD1631</f>
        <v/>
      </c>
      <c r="AG1631" s="28">
        <f>IFERROR(LOOKUP(AF1631,{0;0.5;5;25},{"Bajo";"Medio";"Alto";"Crítico"}),"")</f>
        <v/>
      </c>
      <c r="AH1631" s="28">
        <f>IF(AG1631="","",IF(OR(AG1631="Crítico",AG1631="Alto"),"Mitigar",IF(AG1631="Medio","Mitigar","Aceptar y monitorear")))</f>
        <v/>
      </c>
      <c r="AI1631" s="21" t="n"/>
      <c r="AJ1631" s="21" t="n"/>
      <c r="AK1631" s="20" t="n"/>
      <c r="AL1631" s="77">
        <f>IFERROR(INDEX(MgAmenEfic,MATCH(SUBSTITUTE($H1631,"*","-"),MgAmenClave,0)),0)</f>
        <v/>
      </c>
    </row>
    <row r="1632" hidden="1" ht="60" customHeight="1" s="54">
      <c r="B1632" s="59" t="inlineStr">
        <is>
          <t>R-1627</t>
        </is>
      </c>
      <c r="C1632" s="59" t="inlineStr">
        <is>
          <t>TEC-015</t>
        </is>
      </c>
      <c r="D1632" s="64">
        <f>IFERROR(INDEX(MgNombre,MATCH($C1632,MgActId,0)),"")</f>
        <v/>
      </c>
      <c r="E1632" s="64">
        <f>IFERROR(INDEX(MgProceso,MATCH($C1632,MgActId,0)),"")</f>
        <v/>
      </c>
      <c r="F1632" s="64">
        <f>IFERROR(INDEX(MgTipo,MATCH($C1632,MgActId,0)),"")</f>
        <v/>
      </c>
      <c r="G1632" s="64">
        <f>IFERROR(INDEX(MgSubtipo,MATCH($C1632,MgActId,0)),"")</f>
        <v/>
      </c>
      <c r="H1632" s="59" t="inlineStr">
        <is>
          <t>A.26</t>
        </is>
      </c>
      <c r="I1632" s="64">
        <f>IFERROR(INDEX(MgAmenNombre,MATCH(SUBSTITUTE($H1632,"*","-"),MgAmenClave,0)),"")</f>
        <v/>
      </c>
      <c r="J1632" s="28">
        <f>IFERROR(INDEX(MgAmenGrupo,MATCH(SUBSTITUTE($H1632,"*","-"),MgAmenClave,0)),"")</f>
        <v/>
      </c>
      <c r="K1632" s="64">
        <f>IFERROR(INDEX('1. Matriz de Activos'!$Q$6:$Q$239,MATCH($C1632,MgActId,0)),"")</f>
        <v/>
      </c>
      <c r="L1632" s="64">
        <f>IFERROR(INDEX('1. Matriz de Activos'!$R$6:$R$239,MATCH($C1632,MgActId,0)),"")</f>
        <v/>
      </c>
      <c r="M1632" s="64">
        <f>IFERROR(INDEX('1. Matriz de Activos'!$S$6:$S$239,MATCH($C1632,MgActId,0)),"")</f>
        <v/>
      </c>
      <c r="N1632" s="28">
        <f>IFERROR(INDEX(MgAmenDegD,MATCH(SUBSTITUTE($H1632,"*","-"),MgAmenClave,0)),"No aplica")</f>
        <v/>
      </c>
      <c r="O1632" s="28">
        <f>IFERROR(INDEX(MgAmenDegI,MATCH(SUBSTITUTE($H1632,"*","-"),MgAmenClave,0)),"No aplica")</f>
        <v/>
      </c>
      <c r="P1632" s="28">
        <f>IFERROR(INDEX(MgAmenDegC,MATCH(SUBSTITUTE($H1632,"*","-"),MgAmenClave,0)),"No aplica")</f>
        <v/>
      </c>
      <c r="Q1632" s="29">
        <f>IFERROR(VLOOKUP(K1632,MgValor,2,0)*VLOOKUP(N1632,MgDeg,2,0),0)</f>
        <v/>
      </c>
      <c r="R1632" s="29">
        <f>IFERROR(VLOOKUP(L1632,MgValor,2,0)*VLOOKUP(O1632,MgDeg,2,0),0)</f>
        <v/>
      </c>
      <c r="S1632" s="29">
        <f>IFERROR(VLOOKUP(M1632,MgValor,2,0)*VLOOKUP(P1632,MgDeg,2,0),0)</f>
        <v/>
      </c>
      <c r="T1632" s="30">
        <f>MAX(Q1632:S1632)</f>
        <v/>
      </c>
      <c r="U1632" s="28">
        <f>IFERROR(LOOKUP(T1632,{0;0.5;1.5;3;4.5},{"Despreciable";"Bajo";"Medio";"Alto";"Muy alto"}),"")</f>
        <v/>
      </c>
      <c r="V1632" s="13">
        <f>IFERROR(INDEX(MgAmenFrec,MATCH(SUBSTITUTE($H1632,"*","-"),MgAmenClave,0)),"")</f>
        <v/>
      </c>
      <c r="W1632" s="28">
        <f>IFERROR(LOOKUP(X1632,{0;0.01;0.1;1;10;100},{"Muy baja";"Muy baja";"Baja";"Media";"Alta";"Muy alta"}),"")</f>
        <v/>
      </c>
      <c r="X1632" s="31">
        <f>IFERROR(VLOOKUP(V1632,MgFrec,2,0),0)</f>
        <v/>
      </c>
      <c r="Y1632" s="30">
        <f>T1632*X1632</f>
        <v/>
      </c>
      <c r="Z1632" s="28">
        <f>IFERROR(LOOKUP(Y1632,{0;0.5;5;25},{"Bajo";"Medio";"Alto";"Crítico"}),"")</f>
        <v/>
      </c>
      <c r="AA1632" s="64">
        <f>IF(T1632&gt;=3,IF(X1632&gt;=1,"Zona 1 — Crítica: impacto alto y ocurre al menos una vez al año","Zona 4 — Catastrófica poco probable: impacto alto pero excepcional"),IF(AND(T1632&lt;1.5,X1632&lt;1),"Zona 3 — Asumible: impacto bajo y muy poco frecuente","Zona 2 — Atención: riesgo intermedio"))</f>
        <v/>
      </c>
      <c r="AB1632" s="64">
        <f>IFERROR(INDEX(MgAmenCtrl,MATCH(SUBSTITUTE($H1632,"*","-"),MgAmenClave,0)),"")</f>
        <v/>
      </c>
      <c r="AC1632" s="20" t="n"/>
      <c r="AD1632" s="31">
        <f>IFERROR($X1632*(1-IF($AC1632="",$AL1632,VLOOKUP($AC1632,MgMad,2,0))),"")</f>
        <v/>
      </c>
      <c r="AE1632" s="28">
        <f>IFERROR(LOOKUP(AD1632,{0;0.01;0.1;1;10;100},{"Muy baja";"Muy baja";"Baja";"Media";"Alta";"Muy alta"}),"")</f>
        <v/>
      </c>
      <c r="AF1632" s="30">
        <f>T1632*AD1632</f>
        <v/>
      </c>
      <c r="AG1632" s="28">
        <f>IFERROR(LOOKUP(AF1632,{0;0.5;5;25},{"Bajo";"Medio";"Alto";"Crítico"}),"")</f>
        <v/>
      </c>
      <c r="AH1632" s="28">
        <f>IF(AG1632="","",IF(OR(AG1632="Crítico",AG1632="Alto"),"Mitigar",IF(AG1632="Medio","Mitigar","Aceptar y monitorear")))</f>
        <v/>
      </c>
      <c r="AI1632" s="21" t="n"/>
      <c r="AJ1632" s="21" t="n"/>
      <c r="AK1632" s="20" t="n"/>
      <c r="AL1632" s="77">
        <f>IFERROR(INDEX(MgAmenEfic,MATCH(SUBSTITUTE($H1632,"*","-"),MgAmenClave,0)),0)</f>
        <v/>
      </c>
    </row>
    <row r="1633" hidden="1" ht="90" customHeight="1" s="54">
      <c r="B1633" s="59" t="inlineStr">
        <is>
          <t>R-1628</t>
        </is>
      </c>
      <c r="C1633" s="59" t="inlineStr">
        <is>
          <t>TEC-007</t>
        </is>
      </c>
      <c r="D1633" s="64">
        <f>IFERROR(INDEX(MgNombre,MATCH($C1633,MgActId,0)),"")</f>
        <v/>
      </c>
      <c r="E1633" s="64">
        <f>IFERROR(INDEX(MgProceso,MATCH($C1633,MgActId,0)),"")</f>
        <v/>
      </c>
      <c r="F1633" s="64">
        <f>IFERROR(INDEX(MgTipo,MATCH($C1633,MgActId,0)),"")</f>
        <v/>
      </c>
      <c r="G1633" s="64">
        <f>IFERROR(INDEX(MgSubtipo,MATCH($C1633,MgActId,0)),"")</f>
        <v/>
      </c>
      <c r="H1633" s="59" t="inlineStr">
        <is>
          <t>N.1</t>
        </is>
      </c>
      <c r="I1633" s="64">
        <f>IFERROR(INDEX(MgAmenNombre,MATCH(SUBSTITUTE($H1633,"*","-"),MgAmenClave,0)),"")</f>
        <v/>
      </c>
      <c r="J1633" s="28">
        <f>IFERROR(INDEX(MgAmenGrupo,MATCH(SUBSTITUTE($H1633,"*","-"),MgAmenClave,0)),"")</f>
        <v/>
      </c>
      <c r="K1633" s="64">
        <f>IFERROR(INDEX('1. Matriz de Activos'!$Q$6:$Q$239,MATCH($C1633,MgActId,0)),"")</f>
        <v/>
      </c>
      <c r="L1633" s="64">
        <f>IFERROR(INDEX('1. Matriz de Activos'!$R$6:$R$239,MATCH($C1633,MgActId,0)),"")</f>
        <v/>
      </c>
      <c r="M1633" s="64">
        <f>IFERROR(INDEX('1. Matriz de Activos'!$S$6:$S$239,MATCH($C1633,MgActId,0)),"")</f>
        <v/>
      </c>
      <c r="N1633" s="28">
        <f>IFERROR(INDEX(MgAmenDegD,MATCH(SUBSTITUTE($H1633,"*","-"),MgAmenClave,0)),"No aplica")</f>
        <v/>
      </c>
      <c r="O1633" s="28">
        <f>IFERROR(INDEX(MgAmenDegI,MATCH(SUBSTITUTE($H1633,"*","-"),MgAmenClave,0)),"No aplica")</f>
        <v/>
      </c>
      <c r="P1633" s="28">
        <f>IFERROR(INDEX(MgAmenDegC,MATCH(SUBSTITUTE($H1633,"*","-"),MgAmenClave,0)),"No aplica")</f>
        <v/>
      </c>
      <c r="Q1633" s="29">
        <f>IFERROR(VLOOKUP(K1633,MgValor,2,0)*VLOOKUP(N1633,MgDeg,2,0),0)</f>
        <v/>
      </c>
      <c r="R1633" s="29">
        <f>IFERROR(VLOOKUP(L1633,MgValor,2,0)*VLOOKUP(O1633,MgDeg,2,0),0)</f>
        <v/>
      </c>
      <c r="S1633" s="29">
        <f>IFERROR(VLOOKUP(M1633,MgValor,2,0)*VLOOKUP(P1633,MgDeg,2,0),0)</f>
        <v/>
      </c>
      <c r="T1633" s="30">
        <f>MAX(Q1633:S1633)</f>
        <v/>
      </c>
      <c r="U1633" s="28">
        <f>IFERROR(LOOKUP(T1633,{0;0.5;1.5;3;4.5},{"Despreciable";"Bajo";"Medio";"Alto";"Muy alto"}),"")</f>
        <v/>
      </c>
      <c r="V1633" s="13">
        <f>IFERROR(INDEX(MgAmenFrec,MATCH(SUBSTITUTE($H1633,"*","-"),MgAmenClave,0)),"")</f>
        <v/>
      </c>
      <c r="W1633" s="28">
        <f>IFERROR(LOOKUP(X1633,{0;0.01;0.1;1;10;100},{"Muy baja";"Muy baja";"Baja";"Media";"Alta";"Muy alta"}),"")</f>
        <v/>
      </c>
      <c r="X1633" s="31">
        <f>IFERROR(VLOOKUP(V1633,MgFrec,2,0),0)</f>
        <v/>
      </c>
      <c r="Y1633" s="30">
        <f>T1633*X1633</f>
        <v/>
      </c>
      <c r="Z1633" s="28">
        <f>IFERROR(LOOKUP(Y1633,{0;0.5;5;25},{"Bajo";"Medio";"Alto";"Crítico"}),"")</f>
        <v/>
      </c>
      <c r="AA1633" s="64">
        <f>IF(T1633&gt;=3,IF(X1633&gt;=1,"Zona 1 — Crítica: impacto alto y ocurre al menos una vez al año","Zona 4 — Catastrófica poco probable: impacto alto pero excepcional"),IF(AND(T1633&lt;1.5,X1633&lt;1),"Zona 3 — Asumible: impacto bajo y muy poco frecuente","Zona 2 — Atención: riesgo intermedio"))</f>
        <v/>
      </c>
      <c r="AB1633" s="64">
        <f>IFERROR(INDEX(MgAmenCtrl,MATCH(SUBSTITUTE($H1633,"*","-"),MgAmenClave,0)),"")</f>
        <v/>
      </c>
      <c r="AC1633" s="20" t="n"/>
      <c r="AD1633" s="31">
        <f>IFERROR($X1633*(1-IF($AC1633="",$AL1633,VLOOKUP($AC1633,MgMad,2,0))),"")</f>
        <v/>
      </c>
      <c r="AE1633" s="28">
        <f>IFERROR(LOOKUP(AD1633,{0;0.01;0.1;1;10;100},{"Muy baja";"Muy baja";"Baja";"Media";"Alta";"Muy alta"}),"")</f>
        <v/>
      </c>
      <c r="AF1633" s="30">
        <f>T1633*AD1633</f>
        <v/>
      </c>
      <c r="AG1633" s="28">
        <f>IFERROR(LOOKUP(AF1633,{0;0.5;5;25},{"Bajo";"Medio";"Alto";"Crítico"}),"")</f>
        <v/>
      </c>
      <c r="AH1633" s="28">
        <f>IF(AG1633="","",IF(OR(AG1633="Crítico",AG1633="Alto"),"Mitigar",IF(AG1633="Medio","Mitigar","Aceptar y monitorear")))</f>
        <v/>
      </c>
      <c r="AI1633" s="21" t="n"/>
      <c r="AJ1633" s="21" t="n"/>
      <c r="AK1633" s="20" t="n"/>
      <c r="AL1633" s="77">
        <f>IFERROR(INDEX(MgAmenEfic,MATCH(SUBSTITUTE($H1633,"*","-"),MgAmenClave,0)),0)</f>
        <v/>
      </c>
    </row>
    <row r="1634" hidden="1" ht="60" customHeight="1" s="54">
      <c r="B1634" s="59" t="inlineStr">
        <is>
          <t>R-1629</t>
        </is>
      </c>
      <c r="C1634" s="59" t="inlineStr">
        <is>
          <t>TEC-007</t>
        </is>
      </c>
      <c r="D1634" s="64">
        <f>IFERROR(INDEX(MgNombre,MATCH($C1634,MgActId,0)),"")</f>
        <v/>
      </c>
      <c r="E1634" s="64">
        <f>IFERROR(INDEX(MgProceso,MATCH($C1634,MgActId,0)),"")</f>
        <v/>
      </c>
      <c r="F1634" s="64">
        <f>IFERROR(INDEX(MgTipo,MATCH($C1634,MgActId,0)),"")</f>
        <v/>
      </c>
      <c r="G1634" s="64">
        <f>IFERROR(INDEX(MgSubtipo,MATCH($C1634,MgActId,0)),"")</f>
        <v/>
      </c>
      <c r="H1634" s="59" t="inlineStr">
        <is>
          <t>N.2</t>
        </is>
      </c>
      <c r="I1634" s="64">
        <f>IFERROR(INDEX(MgAmenNombre,MATCH(SUBSTITUTE($H1634,"*","-"),MgAmenClave,0)),"")</f>
        <v/>
      </c>
      <c r="J1634" s="28">
        <f>IFERROR(INDEX(MgAmenGrupo,MATCH(SUBSTITUTE($H1634,"*","-"),MgAmenClave,0)),"")</f>
        <v/>
      </c>
      <c r="K1634" s="64">
        <f>IFERROR(INDEX('1. Matriz de Activos'!$Q$6:$Q$239,MATCH($C1634,MgActId,0)),"")</f>
        <v/>
      </c>
      <c r="L1634" s="64">
        <f>IFERROR(INDEX('1. Matriz de Activos'!$R$6:$R$239,MATCH($C1634,MgActId,0)),"")</f>
        <v/>
      </c>
      <c r="M1634" s="64">
        <f>IFERROR(INDEX('1. Matriz de Activos'!$S$6:$S$239,MATCH($C1634,MgActId,0)),"")</f>
        <v/>
      </c>
      <c r="N1634" s="28">
        <f>IFERROR(INDEX(MgAmenDegD,MATCH(SUBSTITUTE($H1634,"*","-"),MgAmenClave,0)),"No aplica")</f>
        <v/>
      </c>
      <c r="O1634" s="28">
        <f>IFERROR(INDEX(MgAmenDegI,MATCH(SUBSTITUTE($H1634,"*","-"),MgAmenClave,0)),"No aplica")</f>
        <v/>
      </c>
      <c r="P1634" s="28">
        <f>IFERROR(INDEX(MgAmenDegC,MATCH(SUBSTITUTE($H1634,"*","-"),MgAmenClave,0)),"No aplica")</f>
        <v/>
      </c>
      <c r="Q1634" s="29">
        <f>IFERROR(VLOOKUP(K1634,MgValor,2,0)*VLOOKUP(N1634,MgDeg,2,0),0)</f>
        <v/>
      </c>
      <c r="R1634" s="29">
        <f>IFERROR(VLOOKUP(L1634,MgValor,2,0)*VLOOKUP(O1634,MgDeg,2,0),0)</f>
        <v/>
      </c>
      <c r="S1634" s="29">
        <f>IFERROR(VLOOKUP(M1634,MgValor,2,0)*VLOOKUP(P1634,MgDeg,2,0),0)</f>
        <v/>
      </c>
      <c r="T1634" s="30">
        <f>MAX(Q1634:S1634)</f>
        <v/>
      </c>
      <c r="U1634" s="28">
        <f>IFERROR(LOOKUP(T1634,{0;0.5;1.5;3;4.5},{"Despreciable";"Bajo";"Medio";"Alto";"Muy alto"}),"")</f>
        <v/>
      </c>
      <c r="V1634" s="13">
        <f>IFERROR(INDEX(MgAmenFrec,MATCH(SUBSTITUTE($H1634,"*","-"),MgAmenClave,0)),"")</f>
        <v/>
      </c>
      <c r="W1634" s="28">
        <f>IFERROR(LOOKUP(X1634,{0;0.01;0.1;1;10;100},{"Muy baja";"Muy baja";"Baja";"Media";"Alta";"Muy alta"}),"")</f>
        <v/>
      </c>
      <c r="X1634" s="31">
        <f>IFERROR(VLOOKUP(V1634,MgFrec,2,0),0)</f>
        <v/>
      </c>
      <c r="Y1634" s="30">
        <f>T1634*X1634</f>
        <v/>
      </c>
      <c r="Z1634" s="28">
        <f>IFERROR(LOOKUP(Y1634,{0;0.5;5;25},{"Bajo";"Medio";"Alto";"Crítico"}),"")</f>
        <v/>
      </c>
      <c r="AA1634" s="64">
        <f>IF(T1634&gt;=3,IF(X1634&gt;=1,"Zona 1 — Crítica: impacto alto y ocurre al menos una vez al año","Zona 4 — Catastrófica poco probable: impacto alto pero excepcional"),IF(AND(T1634&lt;1.5,X1634&lt;1),"Zona 3 — Asumible: impacto bajo y muy poco frecuente","Zona 2 — Atención: riesgo intermedio"))</f>
        <v/>
      </c>
      <c r="AB1634" s="64">
        <f>IFERROR(INDEX(MgAmenCtrl,MATCH(SUBSTITUTE($H1634,"*","-"),MgAmenClave,0)),"")</f>
        <v/>
      </c>
      <c r="AC1634" s="20" t="n"/>
      <c r="AD1634" s="31">
        <f>IFERROR($X1634*(1-IF($AC1634="",$AL1634,VLOOKUP($AC1634,MgMad,2,0))),"")</f>
        <v/>
      </c>
      <c r="AE1634" s="28">
        <f>IFERROR(LOOKUP(AD1634,{0;0.01;0.1;1;10;100},{"Muy baja";"Muy baja";"Baja";"Media";"Alta";"Muy alta"}),"")</f>
        <v/>
      </c>
      <c r="AF1634" s="30">
        <f>T1634*AD1634</f>
        <v/>
      </c>
      <c r="AG1634" s="28">
        <f>IFERROR(LOOKUP(AF1634,{0;0.5;5;25},{"Bajo";"Medio";"Alto";"Crítico"}),"")</f>
        <v/>
      </c>
      <c r="AH1634" s="28">
        <f>IF(AG1634="","",IF(OR(AG1634="Crítico",AG1634="Alto"),"Mitigar",IF(AG1634="Medio","Mitigar","Aceptar y monitorear")))</f>
        <v/>
      </c>
      <c r="AI1634" s="21" t="n"/>
      <c r="AJ1634" s="21" t="n"/>
      <c r="AK1634" s="20" t="n"/>
      <c r="AL1634" s="77">
        <f>IFERROR(INDEX(MgAmenEfic,MATCH(SUBSTITUTE($H1634,"*","-"),MgAmenClave,0)),0)</f>
        <v/>
      </c>
    </row>
    <row r="1635" hidden="1" ht="75" customHeight="1" s="54">
      <c r="B1635" s="59" t="inlineStr">
        <is>
          <t>R-1630</t>
        </is>
      </c>
      <c r="C1635" s="59" t="inlineStr">
        <is>
          <t>TEC-007</t>
        </is>
      </c>
      <c r="D1635" s="64">
        <f>IFERROR(INDEX(MgNombre,MATCH($C1635,MgActId,0)),"")</f>
        <v/>
      </c>
      <c r="E1635" s="64">
        <f>IFERROR(INDEX(MgProceso,MATCH($C1635,MgActId,0)),"")</f>
        <v/>
      </c>
      <c r="F1635" s="64">
        <f>IFERROR(INDEX(MgTipo,MATCH($C1635,MgActId,0)),"")</f>
        <v/>
      </c>
      <c r="G1635" s="64">
        <f>IFERROR(INDEX(MgSubtipo,MATCH($C1635,MgActId,0)),"")</f>
        <v/>
      </c>
      <c r="H1635" s="59" t="inlineStr">
        <is>
          <t>N.*</t>
        </is>
      </c>
      <c r="I1635" s="64">
        <f>IFERROR(INDEX(MgAmenNombre,MATCH(SUBSTITUTE($H1635,"*","-"),MgAmenClave,0)),"")</f>
        <v/>
      </c>
      <c r="J1635" s="28">
        <f>IFERROR(INDEX(MgAmenGrupo,MATCH(SUBSTITUTE($H1635,"*","-"),MgAmenClave,0)),"")</f>
        <v/>
      </c>
      <c r="K1635" s="64">
        <f>IFERROR(INDEX('1. Matriz de Activos'!$Q$6:$Q$239,MATCH($C1635,MgActId,0)),"")</f>
        <v/>
      </c>
      <c r="L1635" s="64">
        <f>IFERROR(INDEX('1. Matriz de Activos'!$R$6:$R$239,MATCH($C1635,MgActId,0)),"")</f>
        <v/>
      </c>
      <c r="M1635" s="64">
        <f>IFERROR(INDEX('1. Matriz de Activos'!$S$6:$S$239,MATCH($C1635,MgActId,0)),"")</f>
        <v/>
      </c>
      <c r="N1635" s="28">
        <f>IFERROR(INDEX(MgAmenDegD,MATCH(SUBSTITUTE($H1635,"*","-"),MgAmenClave,0)),"No aplica")</f>
        <v/>
      </c>
      <c r="O1635" s="28">
        <f>IFERROR(INDEX(MgAmenDegI,MATCH(SUBSTITUTE($H1635,"*","-"),MgAmenClave,0)),"No aplica")</f>
        <v/>
      </c>
      <c r="P1635" s="28">
        <f>IFERROR(INDEX(MgAmenDegC,MATCH(SUBSTITUTE($H1635,"*","-"),MgAmenClave,0)),"No aplica")</f>
        <v/>
      </c>
      <c r="Q1635" s="29">
        <f>IFERROR(VLOOKUP(K1635,MgValor,2,0)*VLOOKUP(N1635,MgDeg,2,0),0)</f>
        <v/>
      </c>
      <c r="R1635" s="29">
        <f>IFERROR(VLOOKUP(L1635,MgValor,2,0)*VLOOKUP(O1635,MgDeg,2,0),0)</f>
        <v/>
      </c>
      <c r="S1635" s="29">
        <f>IFERROR(VLOOKUP(M1635,MgValor,2,0)*VLOOKUP(P1635,MgDeg,2,0),0)</f>
        <v/>
      </c>
      <c r="T1635" s="30">
        <f>MAX(Q1635:S1635)</f>
        <v/>
      </c>
      <c r="U1635" s="28">
        <f>IFERROR(LOOKUP(T1635,{0;0.5;1.5;3;4.5},{"Despreciable";"Bajo";"Medio";"Alto";"Muy alto"}),"")</f>
        <v/>
      </c>
      <c r="V1635" s="13">
        <f>IFERROR(INDEX(MgAmenFrec,MATCH(SUBSTITUTE($H1635,"*","-"),MgAmenClave,0)),"")</f>
        <v/>
      </c>
      <c r="W1635" s="28">
        <f>IFERROR(LOOKUP(X1635,{0;0.01;0.1;1;10;100},{"Muy baja";"Muy baja";"Baja";"Media";"Alta";"Muy alta"}),"")</f>
        <v/>
      </c>
      <c r="X1635" s="31">
        <f>IFERROR(VLOOKUP(V1635,MgFrec,2,0),0)</f>
        <v/>
      </c>
      <c r="Y1635" s="30">
        <f>T1635*X1635</f>
        <v/>
      </c>
      <c r="Z1635" s="28">
        <f>IFERROR(LOOKUP(Y1635,{0;0.5;5;25},{"Bajo";"Medio";"Alto";"Crítico"}),"")</f>
        <v/>
      </c>
      <c r="AA1635" s="64">
        <f>IF(T1635&gt;=3,IF(X1635&gt;=1,"Zona 1 — Crítica: impacto alto y ocurre al menos una vez al año","Zona 4 — Catastrófica poco probable: impacto alto pero excepcional"),IF(AND(T1635&lt;1.5,X1635&lt;1),"Zona 3 — Asumible: impacto bajo y muy poco frecuente","Zona 2 — Atención: riesgo intermedio"))</f>
        <v/>
      </c>
      <c r="AB1635" s="64">
        <f>IFERROR(INDEX(MgAmenCtrl,MATCH(SUBSTITUTE($H1635,"*","-"),MgAmenClave,0)),"")</f>
        <v/>
      </c>
      <c r="AC1635" s="20" t="n"/>
      <c r="AD1635" s="31">
        <f>IFERROR($X1635*(1-IF($AC1635="",$AL1635,VLOOKUP($AC1635,MgMad,2,0))),"")</f>
        <v/>
      </c>
      <c r="AE1635" s="28">
        <f>IFERROR(LOOKUP(AD1635,{0;0.01;0.1;1;10;100},{"Muy baja";"Muy baja";"Baja";"Media";"Alta";"Muy alta"}),"")</f>
        <v/>
      </c>
      <c r="AF1635" s="30">
        <f>T1635*AD1635</f>
        <v/>
      </c>
      <c r="AG1635" s="28">
        <f>IFERROR(LOOKUP(AF1635,{0;0.5;5;25},{"Bajo";"Medio";"Alto";"Crítico"}),"")</f>
        <v/>
      </c>
      <c r="AH1635" s="28">
        <f>IF(AG1635="","",IF(OR(AG1635="Crítico",AG1635="Alto"),"Mitigar",IF(AG1635="Medio","Mitigar","Aceptar y monitorear")))</f>
        <v/>
      </c>
      <c r="AI1635" s="21" t="n"/>
      <c r="AJ1635" s="21" t="n"/>
      <c r="AK1635" s="20" t="n"/>
      <c r="AL1635" s="77">
        <f>IFERROR(INDEX(MgAmenEfic,MATCH(SUBSTITUTE($H1635,"*","-"),MgAmenClave,0)),0)</f>
        <v/>
      </c>
    </row>
    <row r="1636" hidden="1" ht="75" customHeight="1" s="54">
      <c r="B1636" s="59" t="inlineStr">
        <is>
          <t>R-1631</t>
        </is>
      </c>
      <c r="C1636" s="59" t="inlineStr">
        <is>
          <t>TEC-007</t>
        </is>
      </c>
      <c r="D1636" s="64">
        <f>IFERROR(INDEX(MgNombre,MATCH($C1636,MgActId,0)),"")</f>
        <v/>
      </c>
      <c r="E1636" s="64">
        <f>IFERROR(INDEX(MgProceso,MATCH($C1636,MgActId,0)),"")</f>
        <v/>
      </c>
      <c r="F1636" s="64">
        <f>IFERROR(INDEX(MgTipo,MATCH($C1636,MgActId,0)),"")</f>
        <v/>
      </c>
      <c r="G1636" s="64">
        <f>IFERROR(INDEX(MgSubtipo,MATCH($C1636,MgActId,0)),"")</f>
        <v/>
      </c>
      <c r="H1636" s="59" t="inlineStr">
        <is>
          <t>I.1</t>
        </is>
      </c>
      <c r="I1636" s="64">
        <f>IFERROR(INDEX(MgAmenNombre,MATCH(SUBSTITUTE($H1636,"*","-"),MgAmenClave,0)),"")</f>
        <v/>
      </c>
      <c r="J1636" s="28">
        <f>IFERROR(INDEX(MgAmenGrupo,MATCH(SUBSTITUTE($H1636,"*","-"),MgAmenClave,0)),"")</f>
        <v/>
      </c>
      <c r="K1636" s="64">
        <f>IFERROR(INDEX('1. Matriz de Activos'!$Q$6:$Q$239,MATCH($C1636,MgActId,0)),"")</f>
        <v/>
      </c>
      <c r="L1636" s="64">
        <f>IFERROR(INDEX('1. Matriz de Activos'!$R$6:$R$239,MATCH($C1636,MgActId,0)),"")</f>
        <v/>
      </c>
      <c r="M1636" s="64">
        <f>IFERROR(INDEX('1. Matriz de Activos'!$S$6:$S$239,MATCH($C1636,MgActId,0)),"")</f>
        <v/>
      </c>
      <c r="N1636" s="28">
        <f>IFERROR(INDEX(MgAmenDegD,MATCH(SUBSTITUTE($H1636,"*","-"),MgAmenClave,0)),"No aplica")</f>
        <v/>
      </c>
      <c r="O1636" s="28">
        <f>IFERROR(INDEX(MgAmenDegI,MATCH(SUBSTITUTE($H1636,"*","-"),MgAmenClave,0)),"No aplica")</f>
        <v/>
      </c>
      <c r="P1636" s="28">
        <f>IFERROR(INDEX(MgAmenDegC,MATCH(SUBSTITUTE($H1636,"*","-"),MgAmenClave,0)),"No aplica")</f>
        <v/>
      </c>
      <c r="Q1636" s="29">
        <f>IFERROR(VLOOKUP(K1636,MgValor,2,0)*VLOOKUP(N1636,MgDeg,2,0),0)</f>
        <v/>
      </c>
      <c r="R1636" s="29">
        <f>IFERROR(VLOOKUP(L1636,MgValor,2,0)*VLOOKUP(O1636,MgDeg,2,0),0)</f>
        <v/>
      </c>
      <c r="S1636" s="29">
        <f>IFERROR(VLOOKUP(M1636,MgValor,2,0)*VLOOKUP(P1636,MgDeg,2,0),0)</f>
        <v/>
      </c>
      <c r="T1636" s="30">
        <f>MAX(Q1636:S1636)</f>
        <v/>
      </c>
      <c r="U1636" s="28">
        <f>IFERROR(LOOKUP(T1636,{0;0.5;1.5;3;4.5},{"Despreciable";"Bajo";"Medio";"Alto";"Muy alto"}),"")</f>
        <v/>
      </c>
      <c r="V1636" s="13">
        <f>IFERROR(INDEX(MgAmenFrec,MATCH(SUBSTITUTE($H1636,"*","-"),MgAmenClave,0)),"")</f>
        <v/>
      </c>
      <c r="W1636" s="28">
        <f>IFERROR(LOOKUP(X1636,{0;0.01;0.1;1;10;100},{"Muy baja";"Muy baja";"Baja";"Media";"Alta";"Muy alta"}),"")</f>
        <v/>
      </c>
      <c r="X1636" s="31">
        <f>IFERROR(VLOOKUP(V1636,MgFrec,2,0),0)</f>
        <v/>
      </c>
      <c r="Y1636" s="30">
        <f>T1636*X1636</f>
        <v/>
      </c>
      <c r="Z1636" s="28">
        <f>IFERROR(LOOKUP(Y1636,{0;0.5;5;25},{"Bajo";"Medio";"Alto";"Crítico"}),"")</f>
        <v/>
      </c>
      <c r="AA1636" s="64">
        <f>IF(T1636&gt;=3,IF(X1636&gt;=1,"Zona 1 — Crítica: impacto alto y ocurre al menos una vez al año","Zona 4 — Catastrófica poco probable: impacto alto pero excepcional"),IF(AND(T1636&lt;1.5,X1636&lt;1),"Zona 3 — Asumible: impacto bajo y muy poco frecuente","Zona 2 — Atención: riesgo intermedio"))</f>
        <v/>
      </c>
      <c r="AB1636" s="64">
        <f>IFERROR(INDEX(MgAmenCtrl,MATCH(SUBSTITUTE($H1636,"*","-"),MgAmenClave,0)),"")</f>
        <v/>
      </c>
      <c r="AC1636" s="20" t="n"/>
      <c r="AD1636" s="31">
        <f>IFERROR($X1636*(1-IF($AC1636="",$AL1636,VLOOKUP($AC1636,MgMad,2,0))),"")</f>
        <v/>
      </c>
      <c r="AE1636" s="28">
        <f>IFERROR(LOOKUP(AD1636,{0;0.01;0.1;1;10;100},{"Muy baja";"Muy baja";"Baja";"Media";"Alta";"Muy alta"}),"")</f>
        <v/>
      </c>
      <c r="AF1636" s="30">
        <f>T1636*AD1636</f>
        <v/>
      </c>
      <c r="AG1636" s="28">
        <f>IFERROR(LOOKUP(AF1636,{0;0.5;5;25},{"Bajo";"Medio";"Alto";"Crítico"}),"")</f>
        <v/>
      </c>
      <c r="AH1636" s="28">
        <f>IF(AG1636="","",IF(OR(AG1636="Crítico",AG1636="Alto"),"Mitigar",IF(AG1636="Medio","Mitigar","Aceptar y monitorear")))</f>
        <v/>
      </c>
      <c r="AI1636" s="21" t="n"/>
      <c r="AJ1636" s="21" t="n"/>
      <c r="AK1636" s="20" t="n"/>
      <c r="AL1636" s="77">
        <f>IFERROR(INDEX(MgAmenEfic,MATCH(SUBSTITUTE($H1636,"*","-"),MgAmenClave,0)),0)</f>
        <v/>
      </c>
    </row>
    <row r="1637" hidden="1" ht="45" customHeight="1" s="54">
      <c r="B1637" s="59" t="inlineStr">
        <is>
          <t>R-1632</t>
        </is>
      </c>
      <c r="C1637" s="59" t="inlineStr">
        <is>
          <t>TEC-007</t>
        </is>
      </c>
      <c r="D1637" s="64">
        <f>IFERROR(INDEX(MgNombre,MATCH($C1637,MgActId,0)),"")</f>
        <v/>
      </c>
      <c r="E1637" s="64">
        <f>IFERROR(INDEX(MgProceso,MATCH($C1637,MgActId,0)),"")</f>
        <v/>
      </c>
      <c r="F1637" s="64">
        <f>IFERROR(INDEX(MgTipo,MATCH($C1637,MgActId,0)),"")</f>
        <v/>
      </c>
      <c r="G1637" s="64">
        <f>IFERROR(INDEX(MgSubtipo,MATCH($C1637,MgActId,0)),"")</f>
        <v/>
      </c>
      <c r="H1637" s="59" t="inlineStr">
        <is>
          <t>I.2</t>
        </is>
      </c>
      <c r="I1637" s="64">
        <f>IFERROR(INDEX(MgAmenNombre,MATCH(SUBSTITUTE($H1637,"*","-"),MgAmenClave,0)),"")</f>
        <v/>
      </c>
      <c r="J1637" s="28">
        <f>IFERROR(INDEX(MgAmenGrupo,MATCH(SUBSTITUTE($H1637,"*","-"),MgAmenClave,0)),"")</f>
        <v/>
      </c>
      <c r="K1637" s="64">
        <f>IFERROR(INDEX('1. Matriz de Activos'!$Q$6:$Q$239,MATCH($C1637,MgActId,0)),"")</f>
        <v/>
      </c>
      <c r="L1637" s="64">
        <f>IFERROR(INDEX('1. Matriz de Activos'!$R$6:$R$239,MATCH($C1637,MgActId,0)),"")</f>
        <v/>
      </c>
      <c r="M1637" s="64">
        <f>IFERROR(INDEX('1. Matriz de Activos'!$S$6:$S$239,MATCH($C1637,MgActId,0)),"")</f>
        <v/>
      </c>
      <c r="N1637" s="28">
        <f>IFERROR(INDEX(MgAmenDegD,MATCH(SUBSTITUTE($H1637,"*","-"),MgAmenClave,0)),"No aplica")</f>
        <v/>
      </c>
      <c r="O1637" s="28">
        <f>IFERROR(INDEX(MgAmenDegI,MATCH(SUBSTITUTE($H1637,"*","-"),MgAmenClave,0)),"No aplica")</f>
        <v/>
      </c>
      <c r="P1637" s="28">
        <f>IFERROR(INDEX(MgAmenDegC,MATCH(SUBSTITUTE($H1637,"*","-"),MgAmenClave,0)),"No aplica")</f>
        <v/>
      </c>
      <c r="Q1637" s="29">
        <f>IFERROR(VLOOKUP(K1637,MgValor,2,0)*VLOOKUP(N1637,MgDeg,2,0),0)</f>
        <v/>
      </c>
      <c r="R1637" s="29">
        <f>IFERROR(VLOOKUP(L1637,MgValor,2,0)*VLOOKUP(O1637,MgDeg,2,0),0)</f>
        <v/>
      </c>
      <c r="S1637" s="29">
        <f>IFERROR(VLOOKUP(M1637,MgValor,2,0)*VLOOKUP(P1637,MgDeg,2,0),0)</f>
        <v/>
      </c>
      <c r="T1637" s="30">
        <f>MAX(Q1637:S1637)</f>
        <v/>
      </c>
      <c r="U1637" s="28">
        <f>IFERROR(LOOKUP(T1637,{0;0.5;1.5;3;4.5},{"Despreciable";"Bajo";"Medio";"Alto";"Muy alto"}),"")</f>
        <v/>
      </c>
      <c r="V1637" s="13">
        <f>IFERROR(INDEX(MgAmenFrec,MATCH(SUBSTITUTE($H1637,"*","-"),MgAmenClave,0)),"")</f>
        <v/>
      </c>
      <c r="W1637" s="28">
        <f>IFERROR(LOOKUP(X1637,{0;0.01;0.1;1;10;100},{"Muy baja";"Muy baja";"Baja";"Media";"Alta";"Muy alta"}),"")</f>
        <v/>
      </c>
      <c r="X1637" s="31">
        <f>IFERROR(VLOOKUP(V1637,MgFrec,2,0),0)</f>
        <v/>
      </c>
      <c r="Y1637" s="30">
        <f>T1637*X1637</f>
        <v/>
      </c>
      <c r="Z1637" s="28">
        <f>IFERROR(LOOKUP(Y1637,{0;0.5;5;25},{"Bajo";"Medio";"Alto";"Crítico"}),"")</f>
        <v/>
      </c>
      <c r="AA1637" s="64">
        <f>IF(T1637&gt;=3,IF(X1637&gt;=1,"Zona 1 — Crítica: impacto alto y ocurre al menos una vez al año","Zona 4 — Catastrófica poco probable: impacto alto pero excepcional"),IF(AND(T1637&lt;1.5,X1637&lt;1),"Zona 3 — Asumible: impacto bajo y muy poco frecuente","Zona 2 — Atención: riesgo intermedio"))</f>
        <v/>
      </c>
      <c r="AB1637" s="64">
        <f>IFERROR(INDEX(MgAmenCtrl,MATCH(SUBSTITUTE($H1637,"*","-"),MgAmenClave,0)),"")</f>
        <v/>
      </c>
      <c r="AC1637" s="20" t="n"/>
      <c r="AD1637" s="31">
        <f>IFERROR($X1637*(1-IF($AC1637="",$AL1637,VLOOKUP($AC1637,MgMad,2,0))),"")</f>
        <v/>
      </c>
      <c r="AE1637" s="28">
        <f>IFERROR(LOOKUP(AD1637,{0;0.01;0.1;1;10;100},{"Muy baja";"Muy baja";"Baja";"Media";"Alta";"Muy alta"}),"")</f>
        <v/>
      </c>
      <c r="AF1637" s="30">
        <f>T1637*AD1637</f>
        <v/>
      </c>
      <c r="AG1637" s="28">
        <f>IFERROR(LOOKUP(AF1637,{0;0.5;5;25},{"Bajo";"Medio";"Alto";"Crítico"}),"")</f>
        <v/>
      </c>
      <c r="AH1637" s="28">
        <f>IF(AG1637="","",IF(OR(AG1637="Crítico",AG1637="Alto"),"Mitigar",IF(AG1637="Medio","Mitigar","Aceptar y monitorear")))</f>
        <v/>
      </c>
      <c r="AI1637" s="21" t="n"/>
      <c r="AJ1637" s="21" t="n"/>
      <c r="AK1637" s="20" t="n"/>
      <c r="AL1637" s="77">
        <f>IFERROR(INDEX(MgAmenEfic,MATCH(SUBSTITUTE($H1637,"*","-"),MgAmenClave,0)),0)</f>
        <v/>
      </c>
    </row>
    <row r="1638" hidden="1" ht="60" customHeight="1" s="54">
      <c r="B1638" s="59" t="inlineStr">
        <is>
          <t>R-1633</t>
        </is>
      </c>
      <c r="C1638" s="59" t="inlineStr">
        <is>
          <t>TEC-007</t>
        </is>
      </c>
      <c r="D1638" s="64">
        <f>IFERROR(INDEX(MgNombre,MATCH($C1638,MgActId,0)),"")</f>
        <v/>
      </c>
      <c r="E1638" s="64">
        <f>IFERROR(INDEX(MgProceso,MATCH($C1638,MgActId,0)),"")</f>
        <v/>
      </c>
      <c r="F1638" s="64">
        <f>IFERROR(INDEX(MgTipo,MATCH($C1638,MgActId,0)),"")</f>
        <v/>
      </c>
      <c r="G1638" s="64">
        <f>IFERROR(INDEX(MgSubtipo,MATCH($C1638,MgActId,0)),"")</f>
        <v/>
      </c>
      <c r="H1638" s="59" t="inlineStr">
        <is>
          <t>I.*</t>
        </is>
      </c>
      <c r="I1638" s="64">
        <f>IFERROR(INDEX(MgAmenNombre,MATCH(SUBSTITUTE($H1638,"*","-"),MgAmenClave,0)),"")</f>
        <v/>
      </c>
      <c r="J1638" s="28">
        <f>IFERROR(INDEX(MgAmenGrupo,MATCH(SUBSTITUTE($H1638,"*","-"),MgAmenClave,0)),"")</f>
        <v/>
      </c>
      <c r="K1638" s="64">
        <f>IFERROR(INDEX('1. Matriz de Activos'!$Q$6:$Q$239,MATCH($C1638,MgActId,0)),"")</f>
        <v/>
      </c>
      <c r="L1638" s="64">
        <f>IFERROR(INDEX('1. Matriz de Activos'!$R$6:$R$239,MATCH($C1638,MgActId,0)),"")</f>
        <v/>
      </c>
      <c r="M1638" s="64">
        <f>IFERROR(INDEX('1. Matriz de Activos'!$S$6:$S$239,MATCH($C1638,MgActId,0)),"")</f>
        <v/>
      </c>
      <c r="N1638" s="28">
        <f>IFERROR(INDEX(MgAmenDegD,MATCH(SUBSTITUTE($H1638,"*","-"),MgAmenClave,0)),"No aplica")</f>
        <v/>
      </c>
      <c r="O1638" s="28">
        <f>IFERROR(INDEX(MgAmenDegI,MATCH(SUBSTITUTE($H1638,"*","-"),MgAmenClave,0)),"No aplica")</f>
        <v/>
      </c>
      <c r="P1638" s="28">
        <f>IFERROR(INDEX(MgAmenDegC,MATCH(SUBSTITUTE($H1638,"*","-"),MgAmenClave,0)),"No aplica")</f>
        <v/>
      </c>
      <c r="Q1638" s="29">
        <f>IFERROR(VLOOKUP(K1638,MgValor,2,0)*VLOOKUP(N1638,MgDeg,2,0),0)</f>
        <v/>
      </c>
      <c r="R1638" s="29">
        <f>IFERROR(VLOOKUP(L1638,MgValor,2,0)*VLOOKUP(O1638,MgDeg,2,0),0)</f>
        <v/>
      </c>
      <c r="S1638" s="29">
        <f>IFERROR(VLOOKUP(M1638,MgValor,2,0)*VLOOKUP(P1638,MgDeg,2,0),0)</f>
        <v/>
      </c>
      <c r="T1638" s="30">
        <f>MAX(Q1638:S1638)</f>
        <v/>
      </c>
      <c r="U1638" s="28">
        <f>IFERROR(LOOKUP(T1638,{0;0.5;1.5;3;4.5},{"Despreciable";"Bajo";"Medio";"Alto";"Muy alto"}),"")</f>
        <v/>
      </c>
      <c r="V1638" s="13">
        <f>IFERROR(INDEX(MgAmenFrec,MATCH(SUBSTITUTE($H1638,"*","-"),MgAmenClave,0)),"")</f>
        <v/>
      </c>
      <c r="W1638" s="28">
        <f>IFERROR(LOOKUP(X1638,{0;0.01;0.1;1;10;100},{"Muy baja";"Muy baja";"Baja";"Media";"Alta";"Muy alta"}),"")</f>
        <v/>
      </c>
      <c r="X1638" s="31">
        <f>IFERROR(VLOOKUP(V1638,MgFrec,2,0),0)</f>
        <v/>
      </c>
      <c r="Y1638" s="30">
        <f>T1638*X1638</f>
        <v/>
      </c>
      <c r="Z1638" s="28">
        <f>IFERROR(LOOKUP(Y1638,{0;0.5;5;25},{"Bajo";"Medio";"Alto";"Crítico"}),"")</f>
        <v/>
      </c>
      <c r="AA1638" s="64">
        <f>IF(T1638&gt;=3,IF(X1638&gt;=1,"Zona 1 — Crítica: impacto alto y ocurre al menos una vez al año","Zona 4 — Catastrófica poco probable: impacto alto pero excepcional"),IF(AND(T1638&lt;1.5,X1638&lt;1),"Zona 3 — Asumible: impacto bajo y muy poco frecuente","Zona 2 — Atención: riesgo intermedio"))</f>
        <v/>
      </c>
      <c r="AB1638" s="64">
        <f>IFERROR(INDEX(MgAmenCtrl,MATCH(SUBSTITUTE($H1638,"*","-"),MgAmenClave,0)),"")</f>
        <v/>
      </c>
      <c r="AC1638" s="20" t="n"/>
      <c r="AD1638" s="31">
        <f>IFERROR($X1638*(1-IF($AC1638="",$AL1638,VLOOKUP($AC1638,MgMad,2,0))),"")</f>
        <v/>
      </c>
      <c r="AE1638" s="28">
        <f>IFERROR(LOOKUP(AD1638,{0;0.01;0.1;1;10;100},{"Muy baja";"Muy baja";"Baja";"Media";"Alta";"Muy alta"}),"")</f>
        <v/>
      </c>
      <c r="AF1638" s="30">
        <f>T1638*AD1638</f>
        <v/>
      </c>
      <c r="AG1638" s="28">
        <f>IFERROR(LOOKUP(AF1638,{0;0.5;5;25},{"Bajo";"Medio";"Alto";"Crítico"}),"")</f>
        <v/>
      </c>
      <c r="AH1638" s="28">
        <f>IF(AG1638="","",IF(OR(AG1638="Crítico",AG1638="Alto"),"Mitigar",IF(AG1638="Medio","Mitigar","Aceptar y monitorear")))</f>
        <v/>
      </c>
      <c r="AI1638" s="21" t="n"/>
      <c r="AJ1638" s="21" t="n"/>
      <c r="AK1638" s="20" t="n"/>
      <c r="AL1638" s="77">
        <f>IFERROR(INDEX(MgAmenEfic,MATCH(SUBSTITUTE($H1638,"*","-"),MgAmenClave,0)),0)</f>
        <v/>
      </c>
    </row>
    <row r="1639" hidden="1" ht="45" customHeight="1" s="54">
      <c r="B1639" s="59" t="inlineStr">
        <is>
          <t>R-1634</t>
        </is>
      </c>
      <c r="C1639" s="59" t="inlineStr">
        <is>
          <t>TEC-007</t>
        </is>
      </c>
      <c r="D1639" s="64">
        <f>IFERROR(INDEX(MgNombre,MATCH($C1639,MgActId,0)),"")</f>
        <v/>
      </c>
      <c r="E1639" s="64">
        <f>IFERROR(INDEX(MgProceso,MATCH($C1639,MgActId,0)),"")</f>
        <v/>
      </c>
      <c r="F1639" s="64">
        <f>IFERROR(INDEX(MgTipo,MATCH($C1639,MgActId,0)),"")</f>
        <v/>
      </c>
      <c r="G1639" s="64">
        <f>IFERROR(INDEX(MgSubtipo,MATCH($C1639,MgActId,0)),"")</f>
        <v/>
      </c>
      <c r="H1639" s="59" t="inlineStr">
        <is>
          <t>I.3</t>
        </is>
      </c>
      <c r="I1639" s="64">
        <f>IFERROR(INDEX(MgAmenNombre,MATCH(SUBSTITUTE($H1639,"*","-"),MgAmenClave,0)),"")</f>
        <v/>
      </c>
      <c r="J1639" s="28">
        <f>IFERROR(INDEX(MgAmenGrupo,MATCH(SUBSTITUTE($H1639,"*","-"),MgAmenClave,0)),"")</f>
        <v/>
      </c>
      <c r="K1639" s="64">
        <f>IFERROR(INDEX('1. Matriz de Activos'!$Q$6:$Q$239,MATCH($C1639,MgActId,0)),"")</f>
        <v/>
      </c>
      <c r="L1639" s="64">
        <f>IFERROR(INDEX('1. Matriz de Activos'!$R$6:$R$239,MATCH($C1639,MgActId,0)),"")</f>
        <v/>
      </c>
      <c r="M1639" s="64">
        <f>IFERROR(INDEX('1. Matriz de Activos'!$S$6:$S$239,MATCH($C1639,MgActId,0)),"")</f>
        <v/>
      </c>
      <c r="N1639" s="28">
        <f>IFERROR(INDEX(MgAmenDegD,MATCH(SUBSTITUTE($H1639,"*","-"),MgAmenClave,0)),"No aplica")</f>
        <v/>
      </c>
      <c r="O1639" s="28">
        <f>IFERROR(INDEX(MgAmenDegI,MATCH(SUBSTITUTE($H1639,"*","-"),MgAmenClave,0)),"No aplica")</f>
        <v/>
      </c>
      <c r="P1639" s="28">
        <f>IFERROR(INDEX(MgAmenDegC,MATCH(SUBSTITUTE($H1639,"*","-"),MgAmenClave,0)),"No aplica")</f>
        <v/>
      </c>
      <c r="Q1639" s="29">
        <f>IFERROR(VLOOKUP(K1639,MgValor,2,0)*VLOOKUP(N1639,MgDeg,2,0),0)</f>
        <v/>
      </c>
      <c r="R1639" s="29">
        <f>IFERROR(VLOOKUP(L1639,MgValor,2,0)*VLOOKUP(O1639,MgDeg,2,0),0)</f>
        <v/>
      </c>
      <c r="S1639" s="29">
        <f>IFERROR(VLOOKUP(M1639,MgValor,2,0)*VLOOKUP(P1639,MgDeg,2,0),0)</f>
        <v/>
      </c>
      <c r="T1639" s="30">
        <f>MAX(Q1639:S1639)</f>
        <v/>
      </c>
      <c r="U1639" s="28">
        <f>IFERROR(LOOKUP(T1639,{0;0.5;1.5;3;4.5},{"Despreciable";"Bajo";"Medio";"Alto";"Muy alto"}),"")</f>
        <v/>
      </c>
      <c r="V1639" s="13">
        <f>IFERROR(INDEX(MgAmenFrec,MATCH(SUBSTITUTE($H1639,"*","-"),MgAmenClave,0)),"")</f>
        <v/>
      </c>
      <c r="W1639" s="28">
        <f>IFERROR(LOOKUP(X1639,{0;0.01;0.1;1;10;100},{"Muy baja";"Muy baja";"Baja";"Media";"Alta";"Muy alta"}),"")</f>
        <v/>
      </c>
      <c r="X1639" s="31">
        <f>IFERROR(VLOOKUP(V1639,MgFrec,2,0),0)</f>
        <v/>
      </c>
      <c r="Y1639" s="30">
        <f>T1639*X1639</f>
        <v/>
      </c>
      <c r="Z1639" s="28">
        <f>IFERROR(LOOKUP(Y1639,{0;0.5;5;25},{"Bajo";"Medio";"Alto";"Crítico"}),"")</f>
        <v/>
      </c>
      <c r="AA1639" s="64">
        <f>IF(T1639&gt;=3,IF(X1639&gt;=1,"Zona 1 — Crítica: impacto alto y ocurre al menos una vez al año","Zona 4 — Catastrófica poco probable: impacto alto pero excepcional"),IF(AND(T1639&lt;1.5,X1639&lt;1),"Zona 3 — Asumible: impacto bajo y muy poco frecuente","Zona 2 — Atención: riesgo intermedio"))</f>
        <v/>
      </c>
      <c r="AB1639" s="64">
        <f>IFERROR(INDEX(MgAmenCtrl,MATCH(SUBSTITUTE($H1639,"*","-"),MgAmenClave,0)),"")</f>
        <v/>
      </c>
      <c r="AC1639" s="20" t="n"/>
      <c r="AD1639" s="31">
        <f>IFERROR($X1639*(1-IF($AC1639="",$AL1639,VLOOKUP($AC1639,MgMad,2,0))),"")</f>
        <v/>
      </c>
      <c r="AE1639" s="28">
        <f>IFERROR(LOOKUP(AD1639,{0;0.01;0.1;1;10;100},{"Muy baja";"Muy baja";"Baja";"Media";"Alta";"Muy alta"}),"")</f>
        <v/>
      </c>
      <c r="AF1639" s="30">
        <f>T1639*AD1639</f>
        <v/>
      </c>
      <c r="AG1639" s="28">
        <f>IFERROR(LOOKUP(AF1639,{0;0.5;5;25},{"Bajo";"Medio";"Alto";"Crítico"}),"")</f>
        <v/>
      </c>
      <c r="AH1639" s="28">
        <f>IF(AG1639="","",IF(OR(AG1639="Crítico",AG1639="Alto"),"Mitigar",IF(AG1639="Medio","Mitigar","Aceptar y monitorear")))</f>
        <v/>
      </c>
      <c r="AI1639" s="21" t="n"/>
      <c r="AJ1639" s="21" t="n"/>
      <c r="AK1639" s="20" t="n"/>
      <c r="AL1639" s="77">
        <f>IFERROR(INDEX(MgAmenEfic,MATCH(SUBSTITUTE($H1639,"*","-"),MgAmenClave,0)),0)</f>
        <v/>
      </c>
    </row>
    <row r="1640" hidden="1" ht="45" customHeight="1" s="54">
      <c r="B1640" s="59" t="inlineStr">
        <is>
          <t>R-1635</t>
        </is>
      </c>
      <c r="C1640" s="59" t="inlineStr">
        <is>
          <t>TEC-007</t>
        </is>
      </c>
      <c r="D1640" s="64">
        <f>IFERROR(INDEX(MgNombre,MATCH($C1640,MgActId,0)),"")</f>
        <v/>
      </c>
      <c r="E1640" s="64">
        <f>IFERROR(INDEX(MgProceso,MATCH($C1640,MgActId,0)),"")</f>
        <v/>
      </c>
      <c r="F1640" s="64">
        <f>IFERROR(INDEX(MgTipo,MATCH($C1640,MgActId,0)),"")</f>
        <v/>
      </c>
      <c r="G1640" s="64">
        <f>IFERROR(INDEX(MgSubtipo,MATCH($C1640,MgActId,0)),"")</f>
        <v/>
      </c>
      <c r="H1640" s="59" t="inlineStr">
        <is>
          <t>I.4</t>
        </is>
      </c>
      <c r="I1640" s="64">
        <f>IFERROR(INDEX(MgAmenNombre,MATCH(SUBSTITUTE($H1640,"*","-"),MgAmenClave,0)),"")</f>
        <v/>
      </c>
      <c r="J1640" s="28">
        <f>IFERROR(INDEX(MgAmenGrupo,MATCH(SUBSTITUTE($H1640,"*","-"),MgAmenClave,0)),"")</f>
        <v/>
      </c>
      <c r="K1640" s="64">
        <f>IFERROR(INDEX('1. Matriz de Activos'!$Q$6:$Q$239,MATCH($C1640,MgActId,0)),"")</f>
        <v/>
      </c>
      <c r="L1640" s="64">
        <f>IFERROR(INDEX('1. Matriz de Activos'!$R$6:$R$239,MATCH($C1640,MgActId,0)),"")</f>
        <v/>
      </c>
      <c r="M1640" s="64">
        <f>IFERROR(INDEX('1. Matriz de Activos'!$S$6:$S$239,MATCH($C1640,MgActId,0)),"")</f>
        <v/>
      </c>
      <c r="N1640" s="28">
        <f>IFERROR(INDEX(MgAmenDegD,MATCH(SUBSTITUTE($H1640,"*","-"),MgAmenClave,0)),"No aplica")</f>
        <v/>
      </c>
      <c r="O1640" s="28">
        <f>IFERROR(INDEX(MgAmenDegI,MATCH(SUBSTITUTE($H1640,"*","-"),MgAmenClave,0)),"No aplica")</f>
        <v/>
      </c>
      <c r="P1640" s="28">
        <f>IFERROR(INDEX(MgAmenDegC,MATCH(SUBSTITUTE($H1640,"*","-"),MgAmenClave,0)),"No aplica")</f>
        <v/>
      </c>
      <c r="Q1640" s="29">
        <f>IFERROR(VLOOKUP(K1640,MgValor,2,0)*VLOOKUP(N1640,MgDeg,2,0),0)</f>
        <v/>
      </c>
      <c r="R1640" s="29">
        <f>IFERROR(VLOOKUP(L1640,MgValor,2,0)*VLOOKUP(O1640,MgDeg,2,0),0)</f>
        <v/>
      </c>
      <c r="S1640" s="29">
        <f>IFERROR(VLOOKUP(M1640,MgValor,2,0)*VLOOKUP(P1640,MgDeg,2,0),0)</f>
        <v/>
      </c>
      <c r="T1640" s="30">
        <f>MAX(Q1640:S1640)</f>
        <v/>
      </c>
      <c r="U1640" s="28">
        <f>IFERROR(LOOKUP(T1640,{0;0.5;1.5;3;4.5},{"Despreciable";"Bajo";"Medio";"Alto";"Muy alto"}),"")</f>
        <v/>
      </c>
      <c r="V1640" s="13">
        <f>IFERROR(INDEX(MgAmenFrec,MATCH(SUBSTITUTE($H1640,"*","-"),MgAmenClave,0)),"")</f>
        <v/>
      </c>
      <c r="W1640" s="28">
        <f>IFERROR(LOOKUP(X1640,{0;0.01;0.1;1;10;100},{"Muy baja";"Muy baja";"Baja";"Media";"Alta";"Muy alta"}),"")</f>
        <v/>
      </c>
      <c r="X1640" s="31">
        <f>IFERROR(VLOOKUP(V1640,MgFrec,2,0),0)</f>
        <v/>
      </c>
      <c r="Y1640" s="30">
        <f>T1640*X1640</f>
        <v/>
      </c>
      <c r="Z1640" s="28">
        <f>IFERROR(LOOKUP(Y1640,{0;0.5;5;25},{"Bajo";"Medio";"Alto";"Crítico"}),"")</f>
        <v/>
      </c>
      <c r="AA1640" s="64">
        <f>IF(T1640&gt;=3,IF(X1640&gt;=1,"Zona 1 — Crítica: impacto alto y ocurre al menos una vez al año","Zona 4 — Catastrófica poco probable: impacto alto pero excepcional"),IF(AND(T1640&lt;1.5,X1640&lt;1),"Zona 3 — Asumible: impacto bajo y muy poco frecuente","Zona 2 — Atención: riesgo intermedio"))</f>
        <v/>
      </c>
      <c r="AB1640" s="64">
        <f>IFERROR(INDEX(MgAmenCtrl,MATCH(SUBSTITUTE($H1640,"*","-"),MgAmenClave,0)),"")</f>
        <v/>
      </c>
      <c r="AC1640" s="20" t="n"/>
      <c r="AD1640" s="31">
        <f>IFERROR($X1640*(1-IF($AC1640="",$AL1640,VLOOKUP($AC1640,MgMad,2,0))),"")</f>
        <v/>
      </c>
      <c r="AE1640" s="28">
        <f>IFERROR(LOOKUP(AD1640,{0;0.01;0.1;1;10;100},{"Muy baja";"Muy baja";"Baja";"Media";"Alta";"Muy alta"}),"")</f>
        <v/>
      </c>
      <c r="AF1640" s="30">
        <f>T1640*AD1640</f>
        <v/>
      </c>
      <c r="AG1640" s="28">
        <f>IFERROR(LOOKUP(AF1640,{0;0.5;5;25},{"Bajo";"Medio";"Alto";"Crítico"}),"")</f>
        <v/>
      </c>
      <c r="AH1640" s="28">
        <f>IF(AG1640="","",IF(OR(AG1640="Crítico",AG1640="Alto"),"Mitigar",IF(AG1640="Medio","Mitigar","Aceptar y monitorear")))</f>
        <v/>
      </c>
      <c r="AI1640" s="21" t="n"/>
      <c r="AJ1640" s="21" t="n"/>
      <c r="AK1640" s="20" t="n"/>
      <c r="AL1640" s="77">
        <f>IFERROR(INDEX(MgAmenEfic,MATCH(SUBSTITUTE($H1640,"*","-"),MgAmenClave,0)),0)</f>
        <v/>
      </c>
    </row>
    <row r="1641" hidden="1" ht="75" customHeight="1" s="54">
      <c r="B1641" s="59" t="inlineStr">
        <is>
          <t>R-1636</t>
        </is>
      </c>
      <c r="C1641" s="59" t="inlineStr">
        <is>
          <t>TEC-007</t>
        </is>
      </c>
      <c r="D1641" s="64">
        <f>IFERROR(INDEX(MgNombre,MATCH($C1641,MgActId,0)),"")</f>
        <v/>
      </c>
      <c r="E1641" s="64">
        <f>IFERROR(INDEX(MgProceso,MATCH($C1641,MgActId,0)),"")</f>
        <v/>
      </c>
      <c r="F1641" s="64">
        <f>IFERROR(INDEX(MgTipo,MATCH($C1641,MgActId,0)),"")</f>
        <v/>
      </c>
      <c r="G1641" s="64">
        <f>IFERROR(INDEX(MgSubtipo,MATCH($C1641,MgActId,0)),"")</f>
        <v/>
      </c>
      <c r="H1641" s="59" t="inlineStr">
        <is>
          <t>I.5</t>
        </is>
      </c>
      <c r="I1641" s="64">
        <f>IFERROR(INDEX(MgAmenNombre,MATCH(SUBSTITUTE($H1641,"*","-"),MgAmenClave,0)),"")</f>
        <v/>
      </c>
      <c r="J1641" s="28">
        <f>IFERROR(INDEX(MgAmenGrupo,MATCH(SUBSTITUTE($H1641,"*","-"),MgAmenClave,0)),"")</f>
        <v/>
      </c>
      <c r="K1641" s="64">
        <f>IFERROR(INDEX('1. Matriz de Activos'!$Q$6:$Q$239,MATCH($C1641,MgActId,0)),"")</f>
        <v/>
      </c>
      <c r="L1641" s="64">
        <f>IFERROR(INDEX('1. Matriz de Activos'!$R$6:$R$239,MATCH($C1641,MgActId,0)),"")</f>
        <v/>
      </c>
      <c r="M1641" s="64">
        <f>IFERROR(INDEX('1. Matriz de Activos'!$S$6:$S$239,MATCH($C1641,MgActId,0)),"")</f>
        <v/>
      </c>
      <c r="N1641" s="28">
        <f>IFERROR(INDEX(MgAmenDegD,MATCH(SUBSTITUTE($H1641,"*","-"),MgAmenClave,0)),"No aplica")</f>
        <v/>
      </c>
      <c r="O1641" s="28">
        <f>IFERROR(INDEX(MgAmenDegI,MATCH(SUBSTITUTE($H1641,"*","-"),MgAmenClave,0)),"No aplica")</f>
        <v/>
      </c>
      <c r="P1641" s="28">
        <f>IFERROR(INDEX(MgAmenDegC,MATCH(SUBSTITUTE($H1641,"*","-"),MgAmenClave,0)),"No aplica")</f>
        <v/>
      </c>
      <c r="Q1641" s="29">
        <f>IFERROR(VLOOKUP(K1641,MgValor,2,0)*VLOOKUP(N1641,MgDeg,2,0),0)</f>
        <v/>
      </c>
      <c r="R1641" s="29">
        <f>IFERROR(VLOOKUP(L1641,MgValor,2,0)*VLOOKUP(O1641,MgDeg,2,0),0)</f>
        <v/>
      </c>
      <c r="S1641" s="29">
        <f>IFERROR(VLOOKUP(M1641,MgValor,2,0)*VLOOKUP(P1641,MgDeg,2,0),0)</f>
        <v/>
      </c>
      <c r="T1641" s="30">
        <f>MAX(Q1641:S1641)</f>
        <v/>
      </c>
      <c r="U1641" s="28">
        <f>IFERROR(LOOKUP(T1641,{0;0.5;1.5;3;4.5},{"Despreciable";"Bajo";"Medio";"Alto";"Muy alto"}),"")</f>
        <v/>
      </c>
      <c r="V1641" s="13">
        <f>IFERROR(INDEX(MgAmenFrec,MATCH(SUBSTITUTE($H1641,"*","-"),MgAmenClave,0)),"")</f>
        <v/>
      </c>
      <c r="W1641" s="28">
        <f>IFERROR(LOOKUP(X1641,{0;0.01;0.1;1;10;100},{"Muy baja";"Muy baja";"Baja";"Media";"Alta";"Muy alta"}),"")</f>
        <v/>
      </c>
      <c r="X1641" s="31">
        <f>IFERROR(VLOOKUP(V1641,MgFrec,2,0),0)</f>
        <v/>
      </c>
      <c r="Y1641" s="30">
        <f>T1641*X1641</f>
        <v/>
      </c>
      <c r="Z1641" s="28">
        <f>IFERROR(LOOKUP(Y1641,{0;0.5;5;25},{"Bajo";"Medio";"Alto";"Crítico"}),"")</f>
        <v/>
      </c>
      <c r="AA1641" s="64">
        <f>IF(T1641&gt;=3,IF(X1641&gt;=1,"Zona 1 — Crítica: impacto alto y ocurre al menos una vez al año","Zona 4 — Catastrófica poco probable: impacto alto pero excepcional"),IF(AND(T1641&lt;1.5,X1641&lt;1),"Zona 3 — Asumible: impacto bajo y muy poco frecuente","Zona 2 — Atención: riesgo intermedio"))</f>
        <v/>
      </c>
      <c r="AB1641" s="64">
        <f>IFERROR(INDEX(MgAmenCtrl,MATCH(SUBSTITUTE($H1641,"*","-"),MgAmenClave,0)),"")</f>
        <v/>
      </c>
      <c r="AC1641" s="20" t="n"/>
      <c r="AD1641" s="31">
        <f>IFERROR($X1641*(1-IF($AC1641="",$AL1641,VLOOKUP($AC1641,MgMad,2,0))),"")</f>
        <v/>
      </c>
      <c r="AE1641" s="28">
        <f>IFERROR(LOOKUP(AD1641,{0;0.01;0.1;1;10;100},{"Muy baja";"Muy baja";"Baja";"Media";"Alta";"Muy alta"}),"")</f>
        <v/>
      </c>
      <c r="AF1641" s="30">
        <f>T1641*AD1641</f>
        <v/>
      </c>
      <c r="AG1641" s="28">
        <f>IFERROR(LOOKUP(AF1641,{0;0.5;5;25},{"Bajo";"Medio";"Alto";"Crítico"}),"")</f>
        <v/>
      </c>
      <c r="AH1641" s="28">
        <f>IF(AG1641="","",IF(OR(AG1641="Crítico",AG1641="Alto"),"Mitigar",IF(AG1641="Medio","Mitigar","Aceptar y monitorear")))</f>
        <v/>
      </c>
      <c r="AI1641" s="21" t="n"/>
      <c r="AJ1641" s="21" t="n"/>
      <c r="AK1641" s="20" t="n"/>
      <c r="AL1641" s="77">
        <f>IFERROR(INDEX(MgAmenEfic,MATCH(SUBSTITUTE($H1641,"*","-"),MgAmenClave,0)),0)</f>
        <v/>
      </c>
    </row>
    <row r="1642" hidden="1" ht="60" customHeight="1" s="54">
      <c r="B1642" s="59" t="inlineStr">
        <is>
          <t>R-1637</t>
        </is>
      </c>
      <c r="C1642" s="59" t="inlineStr">
        <is>
          <t>TEC-007</t>
        </is>
      </c>
      <c r="D1642" s="64">
        <f>IFERROR(INDEX(MgNombre,MATCH($C1642,MgActId,0)),"")</f>
        <v/>
      </c>
      <c r="E1642" s="64">
        <f>IFERROR(INDEX(MgProceso,MATCH($C1642,MgActId,0)),"")</f>
        <v/>
      </c>
      <c r="F1642" s="64">
        <f>IFERROR(INDEX(MgTipo,MATCH($C1642,MgActId,0)),"")</f>
        <v/>
      </c>
      <c r="G1642" s="64">
        <f>IFERROR(INDEX(MgSubtipo,MATCH($C1642,MgActId,0)),"")</f>
        <v/>
      </c>
      <c r="H1642" s="59" t="inlineStr">
        <is>
          <t>I.6</t>
        </is>
      </c>
      <c r="I1642" s="64">
        <f>IFERROR(INDEX(MgAmenNombre,MATCH(SUBSTITUTE($H1642,"*","-"),MgAmenClave,0)),"")</f>
        <v/>
      </c>
      <c r="J1642" s="28">
        <f>IFERROR(INDEX(MgAmenGrupo,MATCH(SUBSTITUTE($H1642,"*","-"),MgAmenClave,0)),"")</f>
        <v/>
      </c>
      <c r="K1642" s="64">
        <f>IFERROR(INDEX('1. Matriz de Activos'!$Q$6:$Q$239,MATCH($C1642,MgActId,0)),"")</f>
        <v/>
      </c>
      <c r="L1642" s="64">
        <f>IFERROR(INDEX('1. Matriz de Activos'!$R$6:$R$239,MATCH($C1642,MgActId,0)),"")</f>
        <v/>
      </c>
      <c r="M1642" s="64">
        <f>IFERROR(INDEX('1. Matriz de Activos'!$S$6:$S$239,MATCH($C1642,MgActId,0)),"")</f>
        <v/>
      </c>
      <c r="N1642" s="28">
        <f>IFERROR(INDEX(MgAmenDegD,MATCH(SUBSTITUTE($H1642,"*","-"),MgAmenClave,0)),"No aplica")</f>
        <v/>
      </c>
      <c r="O1642" s="28">
        <f>IFERROR(INDEX(MgAmenDegI,MATCH(SUBSTITUTE($H1642,"*","-"),MgAmenClave,0)),"No aplica")</f>
        <v/>
      </c>
      <c r="P1642" s="28">
        <f>IFERROR(INDEX(MgAmenDegC,MATCH(SUBSTITUTE($H1642,"*","-"),MgAmenClave,0)),"No aplica")</f>
        <v/>
      </c>
      <c r="Q1642" s="29">
        <f>IFERROR(VLOOKUP(K1642,MgValor,2,0)*VLOOKUP(N1642,MgDeg,2,0),0)</f>
        <v/>
      </c>
      <c r="R1642" s="29">
        <f>IFERROR(VLOOKUP(L1642,MgValor,2,0)*VLOOKUP(O1642,MgDeg,2,0),0)</f>
        <v/>
      </c>
      <c r="S1642" s="29">
        <f>IFERROR(VLOOKUP(M1642,MgValor,2,0)*VLOOKUP(P1642,MgDeg,2,0),0)</f>
        <v/>
      </c>
      <c r="T1642" s="30">
        <f>MAX(Q1642:S1642)</f>
        <v/>
      </c>
      <c r="U1642" s="28">
        <f>IFERROR(LOOKUP(T1642,{0;0.5;1.5;3;4.5},{"Despreciable";"Bajo";"Medio";"Alto";"Muy alto"}),"")</f>
        <v/>
      </c>
      <c r="V1642" s="13">
        <f>IFERROR(INDEX(MgAmenFrec,MATCH(SUBSTITUTE($H1642,"*","-"),MgAmenClave,0)),"")</f>
        <v/>
      </c>
      <c r="W1642" s="28">
        <f>IFERROR(LOOKUP(X1642,{0;0.01;0.1;1;10;100},{"Muy baja";"Muy baja";"Baja";"Media";"Alta";"Muy alta"}),"")</f>
        <v/>
      </c>
      <c r="X1642" s="31">
        <f>IFERROR(VLOOKUP(V1642,MgFrec,2,0),0)</f>
        <v/>
      </c>
      <c r="Y1642" s="30">
        <f>T1642*X1642</f>
        <v/>
      </c>
      <c r="Z1642" s="28">
        <f>IFERROR(LOOKUP(Y1642,{0;0.5;5;25},{"Bajo";"Medio";"Alto";"Crítico"}),"")</f>
        <v/>
      </c>
      <c r="AA1642" s="64">
        <f>IF(T1642&gt;=3,IF(X1642&gt;=1,"Zona 1 — Crítica: impacto alto y ocurre al menos una vez al año","Zona 4 — Catastrófica poco probable: impacto alto pero excepcional"),IF(AND(T1642&lt;1.5,X1642&lt;1),"Zona 3 — Asumible: impacto bajo y muy poco frecuente","Zona 2 — Atención: riesgo intermedio"))</f>
        <v/>
      </c>
      <c r="AB1642" s="64">
        <f>IFERROR(INDEX(MgAmenCtrl,MATCH(SUBSTITUTE($H1642,"*","-"),MgAmenClave,0)),"")</f>
        <v/>
      </c>
      <c r="AC1642" s="20" t="n"/>
      <c r="AD1642" s="31">
        <f>IFERROR($X1642*(1-IF($AC1642="",$AL1642,VLOOKUP($AC1642,MgMad,2,0))),"")</f>
        <v/>
      </c>
      <c r="AE1642" s="28">
        <f>IFERROR(LOOKUP(AD1642,{0;0.01;0.1;1;10;100},{"Muy baja";"Muy baja";"Baja";"Media";"Alta";"Muy alta"}),"")</f>
        <v/>
      </c>
      <c r="AF1642" s="30">
        <f>T1642*AD1642</f>
        <v/>
      </c>
      <c r="AG1642" s="28">
        <f>IFERROR(LOOKUP(AF1642,{0;0.5;5;25},{"Bajo";"Medio";"Alto";"Crítico"}),"")</f>
        <v/>
      </c>
      <c r="AH1642" s="28">
        <f>IF(AG1642="","",IF(OR(AG1642="Crítico",AG1642="Alto"),"Mitigar",IF(AG1642="Medio","Mitigar","Aceptar y monitorear")))</f>
        <v/>
      </c>
      <c r="AI1642" s="21" t="n"/>
      <c r="AJ1642" s="21" t="n"/>
      <c r="AK1642" s="20" t="n"/>
      <c r="AL1642" s="77">
        <f>IFERROR(INDEX(MgAmenEfic,MATCH(SUBSTITUTE($H1642,"*","-"),MgAmenClave,0)),0)</f>
        <v/>
      </c>
    </row>
    <row r="1643" hidden="1" ht="45" customHeight="1" s="54">
      <c r="B1643" s="59" t="inlineStr">
        <is>
          <t>R-1638</t>
        </is>
      </c>
      <c r="C1643" s="59" t="inlineStr">
        <is>
          <t>TEC-007</t>
        </is>
      </c>
      <c r="D1643" s="64">
        <f>IFERROR(INDEX(MgNombre,MATCH($C1643,MgActId,0)),"")</f>
        <v/>
      </c>
      <c r="E1643" s="64">
        <f>IFERROR(INDEX(MgProceso,MATCH($C1643,MgActId,0)),"")</f>
        <v/>
      </c>
      <c r="F1643" s="64">
        <f>IFERROR(INDEX(MgTipo,MATCH($C1643,MgActId,0)),"")</f>
        <v/>
      </c>
      <c r="G1643" s="64">
        <f>IFERROR(INDEX(MgSubtipo,MATCH($C1643,MgActId,0)),"")</f>
        <v/>
      </c>
      <c r="H1643" s="59" t="inlineStr">
        <is>
          <t>I.7</t>
        </is>
      </c>
      <c r="I1643" s="64">
        <f>IFERROR(INDEX(MgAmenNombre,MATCH(SUBSTITUTE($H1643,"*","-"),MgAmenClave,0)),"")</f>
        <v/>
      </c>
      <c r="J1643" s="28">
        <f>IFERROR(INDEX(MgAmenGrupo,MATCH(SUBSTITUTE($H1643,"*","-"),MgAmenClave,0)),"")</f>
        <v/>
      </c>
      <c r="K1643" s="64">
        <f>IFERROR(INDEX('1. Matriz de Activos'!$Q$6:$Q$239,MATCH($C1643,MgActId,0)),"")</f>
        <v/>
      </c>
      <c r="L1643" s="64">
        <f>IFERROR(INDEX('1. Matriz de Activos'!$R$6:$R$239,MATCH($C1643,MgActId,0)),"")</f>
        <v/>
      </c>
      <c r="M1643" s="64">
        <f>IFERROR(INDEX('1. Matriz de Activos'!$S$6:$S$239,MATCH($C1643,MgActId,0)),"")</f>
        <v/>
      </c>
      <c r="N1643" s="28">
        <f>IFERROR(INDEX(MgAmenDegD,MATCH(SUBSTITUTE($H1643,"*","-"),MgAmenClave,0)),"No aplica")</f>
        <v/>
      </c>
      <c r="O1643" s="28">
        <f>IFERROR(INDEX(MgAmenDegI,MATCH(SUBSTITUTE($H1643,"*","-"),MgAmenClave,0)),"No aplica")</f>
        <v/>
      </c>
      <c r="P1643" s="28">
        <f>IFERROR(INDEX(MgAmenDegC,MATCH(SUBSTITUTE($H1643,"*","-"),MgAmenClave,0)),"No aplica")</f>
        <v/>
      </c>
      <c r="Q1643" s="29">
        <f>IFERROR(VLOOKUP(K1643,MgValor,2,0)*VLOOKUP(N1643,MgDeg,2,0),0)</f>
        <v/>
      </c>
      <c r="R1643" s="29">
        <f>IFERROR(VLOOKUP(L1643,MgValor,2,0)*VLOOKUP(O1643,MgDeg,2,0),0)</f>
        <v/>
      </c>
      <c r="S1643" s="29">
        <f>IFERROR(VLOOKUP(M1643,MgValor,2,0)*VLOOKUP(P1643,MgDeg,2,0),0)</f>
        <v/>
      </c>
      <c r="T1643" s="30">
        <f>MAX(Q1643:S1643)</f>
        <v/>
      </c>
      <c r="U1643" s="28">
        <f>IFERROR(LOOKUP(T1643,{0;0.5;1.5;3;4.5},{"Despreciable";"Bajo";"Medio";"Alto";"Muy alto"}),"")</f>
        <v/>
      </c>
      <c r="V1643" s="13">
        <f>IFERROR(INDEX(MgAmenFrec,MATCH(SUBSTITUTE($H1643,"*","-"),MgAmenClave,0)),"")</f>
        <v/>
      </c>
      <c r="W1643" s="28">
        <f>IFERROR(LOOKUP(X1643,{0;0.01;0.1;1;10;100},{"Muy baja";"Muy baja";"Baja";"Media";"Alta";"Muy alta"}),"")</f>
        <v/>
      </c>
      <c r="X1643" s="31">
        <f>IFERROR(VLOOKUP(V1643,MgFrec,2,0),0)</f>
        <v/>
      </c>
      <c r="Y1643" s="30">
        <f>T1643*X1643</f>
        <v/>
      </c>
      <c r="Z1643" s="28">
        <f>IFERROR(LOOKUP(Y1643,{0;0.5;5;25},{"Bajo";"Medio";"Alto";"Crítico"}),"")</f>
        <v/>
      </c>
      <c r="AA1643" s="64">
        <f>IF(T1643&gt;=3,IF(X1643&gt;=1,"Zona 1 — Crítica: impacto alto y ocurre al menos una vez al año","Zona 4 — Catastrófica poco probable: impacto alto pero excepcional"),IF(AND(T1643&lt;1.5,X1643&lt;1),"Zona 3 — Asumible: impacto bajo y muy poco frecuente","Zona 2 — Atención: riesgo intermedio"))</f>
        <v/>
      </c>
      <c r="AB1643" s="64">
        <f>IFERROR(INDEX(MgAmenCtrl,MATCH(SUBSTITUTE($H1643,"*","-"),MgAmenClave,0)),"")</f>
        <v/>
      </c>
      <c r="AC1643" s="20" t="n"/>
      <c r="AD1643" s="31">
        <f>IFERROR($X1643*(1-IF($AC1643="",$AL1643,VLOOKUP($AC1643,MgMad,2,0))),"")</f>
        <v/>
      </c>
      <c r="AE1643" s="28">
        <f>IFERROR(LOOKUP(AD1643,{0;0.01;0.1;1;10;100},{"Muy baja";"Muy baja";"Baja";"Media";"Alta";"Muy alta"}),"")</f>
        <v/>
      </c>
      <c r="AF1643" s="30">
        <f>T1643*AD1643</f>
        <v/>
      </c>
      <c r="AG1643" s="28">
        <f>IFERROR(LOOKUP(AF1643,{0;0.5;5;25},{"Bajo";"Medio";"Alto";"Crítico"}),"")</f>
        <v/>
      </c>
      <c r="AH1643" s="28">
        <f>IF(AG1643="","",IF(OR(AG1643="Crítico",AG1643="Alto"),"Mitigar",IF(AG1643="Medio","Mitigar","Aceptar y monitorear")))</f>
        <v/>
      </c>
      <c r="AI1643" s="21" t="n"/>
      <c r="AJ1643" s="21" t="n"/>
      <c r="AK1643" s="20" t="n"/>
      <c r="AL1643" s="77">
        <f>IFERROR(INDEX(MgAmenEfic,MATCH(SUBSTITUTE($H1643,"*","-"),MgAmenClave,0)),0)</f>
        <v/>
      </c>
    </row>
    <row r="1644" hidden="1" ht="45" customHeight="1" s="54">
      <c r="B1644" s="59" t="inlineStr">
        <is>
          <t>R-1639</t>
        </is>
      </c>
      <c r="C1644" s="59" t="inlineStr">
        <is>
          <t>TEC-007</t>
        </is>
      </c>
      <c r="D1644" s="64">
        <f>IFERROR(INDEX(MgNombre,MATCH($C1644,MgActId,0)),"")</f>
        <v/>
      </c>
      <c r="E1644" s="64">
        <f>IFERROR(INDEX(MgProceso,MATCH($C1644,MgActId,0)),"")</f>
        <v/>
      </c>
      <c r="F1644" s="64">
        <f>IFERROR(INDEX(MgTipo,MATCH($C1644,MgActId,0)),"")</f>
        <v/>
      </c>
      <c r="G1644" s="64">
        <f>IFERROR(INDEX(MgSubtipo,MATCH($C1644,MgActId,0)),"")</f>
        <v/>
      </c>
      <c r="H1644" s="59" t="inlineStr">
        <is>
          <t>I.11</t>
        </is>
      </c>
      <c r="I1644" s="64">
        <f>IFERROR(INDEX(MgAmenNombre,MATCH(SUBSTITUTE($H1644,"*","-"),MgAmenClave,0)),"")</f>
        <v/>
      </c>
      <c r="J1644" s="28">
        <f>IFERROR(INDEX(MgAmenGrupo,MATCH(SUBSTITUTE($H1644,"*","-"),MgAmenClave,0)),"")</f>
        <v/>
      </c>
      <c r="K1644" s="64">
        <f>IFERROR(INDEX('1. Matriz de Activos'!$Q$6:$Q$239,MATCH($C1644,MgActId,0)),"")</f>
        <v/>
      </c>
      <c r="L1644" s="64">
        <f>IFERROR(INDEX('1. Matriz de Activos'!$R$6:$R$239,MATCH($C1644,MgActId,0)),"")</f>
        <v/>
      </c>
      <c r="M1644" s="64">
        <f>IFERROR(INDEX('1. Matriz de Activos'!$S$6:$S$239,MATCH($C1644,MgActId,0)),"")</f>
        <v/>
      </c>
      <c r="N1644" s="28">
        <f>IFERROR(INDEX(MgAmenDegD,MATCH(SUBSTITUTE($H1644,"*","-"),MgAmenClave,0)),"No aplica")</f>
        <v/>
      </c>
      <c r="O1644" s="28">
        <f>IFERROR(INDEX(MgAmenDegI,MATCH(SUBSTITUTE($H1644,"*","-"),MgAmenClave,0)),"No aplica")</f>
        <v/>
      </c>
      <c r="P1644" s="28">
        <f>IFERROR(INDEX(MgAmenDegC,MATCH(SUBSTITUTE($H1644,"*","-"),MgAmenClave,0)),"No aplica")</f>
        <v/>
      </c>
      <c r="Q1644" s="29">
        <f>IFERROR(VLOOKUP(K1644,MgValor,2,0)*VLOOKUP(N1644,MgDeg,2,0),0)</f>
        <v/>
      </c>
      <c r="R1644" s="29">
        <f>IFERROR(VLOOKUP(L1644,MgValor,2,0)*VLOOKUP(O1644,MgDeg,2,0),0)</f>
        <v/>
      </c>
      <c r="S1644" s="29">
        <f>IFERROR(VLOOKUP(M1644,MgValor,2,0)*VLOOKUP(P1644,MgDeg,2,0),0)</f>
        <v/>
      </c>
      <c r="T1644" s="30">
        <f>MAX(Q1644:S1644)</f>
        <v/>
      </c>
      <c r="U1644" s="28">
        <f>IFERROR(LOOKUP(T1644,{0;0.5;1.5;3;4.5},{"Despreciable";"Bajo";"Medio";"Alto";"Muy alto"}),"")</f>
        <v/>
      </c>
      <c r="V1644" s="13">
        <f>IFERROR(INDEX(MgAmenFrec,MATCH(SUBSTITUTE($H1644,"*","-"),MgAmenClave,0)),"")</f>
        <v/>
      </c>
      <c r="W1644" s="28">
        <f>IFERROR(LOOKUP(X1644,{0;0.01;0.1;1;10;100},{"Muy baja";"Muy baja";"Baja";"Media";"Alta";"Muy alta"}),"")</f>
        <v/>
      </c>
      <c r="X1644" s="31">
        <f>IFERROR(VLOOKUP(V1644,MgFrec,2,0),0)</f>
        <v/>
      </c>
      <c r="Y1644" s="30">
        <f>T1644*X1644</f>
        <v/>
      </c>
      <c r="Z1644" s="28">
        <f>IFERROR(LOOKUP(Y1644,{0;0.5;5;25},{"Bajo";"Medio";"Alto";"Crítico"}),"")</f>
        <v/>
      </c>
      <c r="AA1644" s="64">
        <f>IF(T1644&gt;=3,IF(X1644&gt;=1,"Zona 1 — Crítica: impacto alto y ocurre al menos una vez al año","Zona 4 — Catastrófica poco probable: impacto alto pero excepcional"),IF(AND(T1644&lt;1.5,X1644&lt;1),"Zona 3 — Asumible: impacto bajo y muy poco frecuente","Zona 2 — Atención: riesgo intermedio"))</f>
        <v/>
      </c>
      <c r="AB1644" s="64">
        <f>IFERROR(INDEX(MgAmenCtrl,MATCH(SUBSTITUTE($H1644,"*","-"),MgAmenClave,0)),"")</f>
        <v/>
      </c>
      <c r="AC1644" s="20" t="n"/>
      <c r="AD1644" s="31">
        <f>IFERROR($X1644*(1-IF($AC1644="",$AL1644,VLOOKUP($AC1644,MgMad,2,0))),"")</f>
        <v/>
      </c>
      <c r="AE1644" s="28">
        <f>IFERROR(LOOKUP(AD1644,{0;0.01;0.1;1;10;100},{"Muy baja";"Muy baja";"Baja";"Media";"Alta";"Muy alta"}),"")</f>
        <v/>
      </c>
      <c r="AF1644" s="30">
        <f>T1644*AD1644</f>
        <v/>
      </c>
      <c r="AG1644" s="28">
        <f>IFERROR(LOOKUP(AF1644,{0;0.5;5;25},{"Bajo";"Medio";"Alto";"Crítico"}),"")</f>
        <v/>
      </c>
      <c r="AH1644" s="28">
        <f>IF(AG1644="","",IF(OR(AG1644="Crítico",AG1644="Alto"),"Mitigar",IF(AG1644="Medio","Mitigar","Aceptar y monitorear")))</f>
        <v/>
      </c>
      <c r="AI1644" s="21" t="n"/>
      <c r="AJ1644" s="21" t="n"/>
      <c r="AK1644" s="20" t="n"/>
      <c r="AL1644" s="77">
        <f>IFERROR(INDEX(MgAmenEfic,MATCH(SUBSTITUTE($H1644,"*","-"),MgAmenClave,0)),0)</f>
        <v/>
      </c>
    </row>
    <row r="1645" hidden="1" ht="120" customHeight="1" s="54">
      <c r="B1645" s="59" t="inlineStr">
        <is>
          <t>R-1640</t>
        </is>
      </c>
      <c r="C1645" s="59" t="inlineStr">
        <is>
          <t>TEC-007</t>
        </is>
      </c>
      <c r="D1645" s="64">
        <f>IFERROR(INDEX(MgNombre,MATCH($C1645,MgActId,0)),"")</f>
        <v/>
      </c>
      <c r="E1645" s="64">
        <f>IFERROR(INDEX(MgProceso,MATCH($C1645,MgActId,0)),"")</f>
        <v/>
      </c>
      <c r="F1645" s="64">
        <f>IFERROR(INDEX(MgTipo,MATCH($C1645,MgActId,0)),"")</f>
        <v/>
      </c>
      <c r="G1645" s="64">
        <f>IFERROR(INDEX(MgSubtipo,MATCH($C1645,MgActId,0)),"")</f>
        <v/>
      </c>
      <c r="H1645" s="59" t="inlineStr">
        <is>
          <t>E.2</t>
        </is>
      </c>
      <c r="I1645" s="64">
        <f>IFERROR(INDEX(MgAmenNombre,MATCH(SUBSTITUTE($H1645,"*","-"),MgAmenClave,0)),"")</f>
        <v/>
      </c>
      <c r="J1645" s="28">
        <f>IFERROR(INDEX(MgAmenGrupo,MATCH(SUBSTITUTE($H1645,"*","-"),MgAmenClave,0)),"")</f>
        <v/>
      </c>
      <c r="K1645" s="64">
        <f>IFERROR(INDEX('1. Matriz de Activos'!$Q$6:$Q$239,MATCH($C1645,MgActId,0)),"")</f>
        <v/>
      </c>
      <c r="L1645" s="64">
        <f>IFERROR(INDEX('1. Matriz de Activos'!$R$6:$R$239,MATCH($C1645,MgActId,0)),"")</f>
        <v/>
      </c>
      <c r="M1645" s="64">
        <f>IFERROR(INDEX('1. Matriz de Activos'!$S$6:$S$239,MATCH($C1645,MgActId,0)),"")</f>
        <v/>
      </c>
      <c r="N1645" s="28">
        <f>IFERROR(INDEX(MgAmenDegD,MATCH(SUBSTITUTE($H1645,"*","-"),MgAmenClave,0)),"No aplica")</f>
        <v/>
      </c>
      <c r="O1645" s="28">
        <f>IFERROR(INDEX(MgAmenDegI,MATCH(SUBSTITUTE($H1645,"*","-"),MgAmenClave,0)),"No aplica")</f>
        <v/>
      </c>
      <c r="P1645" s="28">
        <f>IFERROR(INDEX(MgAmenDegC,MATCH(SUBSTITUTE($H1645,"*","-"),MgAmenClave,0)),"No aplica")</f>
        <v/>
      </c>
      <c r="Q1645" s="29">
        <f>IFERROR(VLOOKUP(K1645,MgValor,2,0)*VLOOKUP(N1645,MgDeg,2,0),0)</f>
        <v/>
      </c>
      <c r="R1645" s="29">
        <f>IFERROR(VLOOKUP(L1645,MgValor,2,0)*VLOOKUP(O1645,MgDeg,2,0),0)</f>
        <v/>
      </c>
      <c r="S1645" s="29">
        <f>IFERROR(VLOOKUP(M1645,MgValor,2,0)*VLOOKUP(P1645,MgDeg,2,0),0)</f>
        <v/>
      </c>
      <c r="T1645" s="30">
        <f>MAX(Q1645:S1645)</f>
        <v/>
      </c>
      <c r="U1645" s="28">
        <f>IFERROR(LOOKUP(T1645,{0;0.5;1.5;3;4.5},{"Despreciable";"Bajo";"Medio";"Alto";"Muy alto"}),"")</f>
        <v/>
      </c>
      <c r="V1645" s="13">
        <f>IFERROR(INDEX(MgAmenFrec,MATCH(SUBSTITUTE($H1645,"*","-"),MgAmenClave,0)),"")</f>
        <v/>
      </c>
      <c r="W1645" s="28">
        <f>IFERROR(LOOKUP(X1645,{0;0.01;0.1;1;10;100},{"Muy baja";"Muy baja";"Baja";"Media";"Alta";"Muy alta"}),"")</f>
        <v/>
      </c>
      <c r="X1645" s="31">
        <f>IFERROR(VLOOKUP(V1645,MgFrec,2,0),0)</f>
        <v/>
      </c>
      <c r="Y1645" s="30">
        <f>T1645*X1645</f>
        <v/>
      </c>
      <c r="Z1645" s="28">
        <f>IFERROR(LOOKUP(Y1645,{0;0.5;5;25},{"Bajo";"Medio";"Alto";"Crítico"}),"")</f>
        <v/>
      </c>
      <c r="AA1645" s="64">
        <f>IF(T1645&gt;=3,IF(X1645&gt;=1,"Zona 1 — Crítica: impacto alto y ocurre al menos una vez al año","Zona 4 — Catastrófica poco probable: impacto alto pero excepcional"),IF(AND(T1645&lt;1.5,X1645&lt;1),"Zona 3 — Asumible: impacto bajo y muy poco frecuente","Zona 2 — Atención: riesgo intermedio"))</f>
        <v/>
      </c>
      <c r="AB1645" s="64">
        <f>IFERROR(INDEX(MgAmenCtrl,MATCH(SUBSTITUTE($H1645,"*","-"),MgAmenClave,0)),"")</f>
        <v/>
      </c>
      <c r="AC1645" s="20" t="n"/>
      <c r="AD1645" s="31">
        <f>IFERROR($X1645*(1-IF($AC1645="",$AL1645,VLOOKUP($AC1645,MgMad,2,0))),"")</f>
        <v/>
      </c>
      <c r="AE1645" s="28">
        <f>IFERROR(LOOKUP(AD1645,{0;0.01;0.1;1;10;100},{"Muy baja";"Muy baja";"Baja";"Media";"Alta";"Muy alta"}),"")</f>
        <v/>
      </c>
      <c r="AF1645" s="30">
        <f>T1645*AD1645</f>
        <v/>
      </c>
      <c r="AG1645" s="28">
        <f>IFERROR(LOOKUP(AF1645,{0;0.5;5;25},{"Bajo";"Medio";"Alto";"Crítico"}),"")</f>
        <v/>
      </c>
      <c r="AH1645" s="28">
        <f>IF(AG1645="","",IF(OR(AG1645="Crítico",AG1645="Alto"),"Mitigar",IF(AG1645="Medio","Mitigar","Aceptar y monitorear")))</f>
        <v/>
      </c>
      <c r="AI1645" s="21" t="n"/>
      <c r="AJ1645" s="21" t="n"/>
      <c r="AK1645" s="20" t="n"/>
      <c r="AL1645" s="77">
        <f>IFERROR(INDEX(MgAmenEfic,MATCH(SUBSTITUTE($H1645,"*","-"),MgAmenClave,0)),0)</f>
        <v/>
      </c>
    </row>
    <row r="1646" hidden="1" ht="90" customHeight="1" s="54">
      <c r="B1646" s="59" t="inlineStr">
        <is>
          <t>R-1641</t>
        </is>
      </c>
      <c r="C1646" s="59" t="inlineStr">
        <is>
          <t>TEC-007</t>
        </is>
      </c>
      <c r="D1646" s="64">
        <f>IFERROR(INDEX(MgNombre,MATCH($C1646,MgActId,0)),"")</f>
        <v/>
      </c>
      <c r="E1646" s="64">
        <f>IFERROR(INDEX(MgProceso,MATCH($C1646,MgActId,0)),"")</f>
        <v/>
      </c>
      <c r="F1646" s="64">
        <f>IFERROR(INDEX(MgTipo,MATCH($C1646,MgActId,0)),"")</f>
        <v/>
      </c>
      <c r="G1646" s="64">
        <f>IFERROR(INDEX(MgSubtipo,MATCH($C1646,MgActId,0)),"")</f>
        <v/>
      </c>
      <c r="H1646" s="59" t="inlineStr">
        <is>
          <t>E.14</t>
        </is>
      </c>
      <c r="I1646" s="64">
        <f>IFERROR(INDEX(MgAmenNombre,MATCH(SUBSTITUTE($H1646,"*","-"),MgAmenClave,0)),"")</f>
        <v/>
      </c>
      <c r="J1646" s="28">
        <f>IFERROR(INDEX(MgAmenGrupo,MATCH(SUBSTITUTE($H1646,"*","-"),MgAmenClave,0)),"")</f>
        <v/>
      </c>
      <c r="K1646" s="64">
        <f>IFERROR(INDEX('1. Matriz de Activos'!$Q$6:$Q$239,MATCH($C1646,MgActId,0)),"")</f>
        <v/>
      </c>
      <c r="L1646" s="64">
        <f>IFERROR(INDEX('1. Matriz de Activos'!$R$6:$R$239,MATCH($C1646,MgActId,0)),"")</f>
        <v/>
      </c>
      <c r="M1646" s="64">
        <f>IFERROR(INDEX('1. Matriz de Activos'!$S$6:$S$239,MATCH($C1646,MgActId,0)),"")</f>
        <v/>
      </c>
      <c r="N1646" s="28">
        <f>IFERROR(INDEX(MgAmenDegD,MATCH(SUBSTITUTE($H1646,"*","-"),MgAmenClave,0)),"No aplica")</f>
        <v/>
      </c>
      <c r="O1646" s="28">
        <f>IFERROR(INDEX(MgAmenDegI,MATCH(SUBSTITUTE($H1646,"*","-"),MgAmenClave,0)),"No aplica")</f>
        <v/>
      </c>
      <c r="P1646" s="28">
        <f>IFERROR(INDEX(MgAmenDegC,MATCH(SUBSTITUTE($H1646,"*","-"),MgAmenClave,0)),"No aplica")</f>
        <v/>
      </c>
      <c r="Q1646" s="29">
        <f>IFERROR(VLOOKUP(K1646,MgValor,2,0)*VLOOKUP(N1646,MgDeg,2,0),0)</f>
        <v/>
      </c>
      <c r="R1646" s="29">
        <f>IFERROR(VLOOKUP(L1646,MgValor,2,0)*VLOOKUP(O1646,MgDeg,2,0),0)</f>
        <v/>
      </c>
      <c r="S1646" s="29">
        <f>IFERROR(VLOOKUP(M1646,MgValor,2,0)*VLOOKUP(P1646,MgDeg,2,0),0)</f>
        <v/>
      </c>
      <c r="T1646" s="30">
        <f>MAX(Q1646:S1646)</f>
        <v/>
      </c>
      <c r="U1646" s="28">
        <f>IFERROR(LOOKUP(T1646,{0;0.5;1.5;3;4.5},{"Despreciable";"Bajo";"Medio";"Alto";"Muy alto"}),"")</f>
        <v/>
      </c>
      <c r="V1646" s="13">
        <f>IFERROR(INDEX(MgAmenFrec,MATCH(SUBSTITUTE($H1646,"*","-"),MgAmenClave,0)),"")</f>
        <v/>
      </c>
      <c r="W1646" s="28">
        <f>IFERROR(LOOKUP(X1646,{0;0.01;0.1;1;10;100},{"Muy baja";"Muy baja";"Baja";"Media";"Alta";"Muy alta"}),"")</f>
        <v/>
      </c>
      <c r="X1646" s="31">
        <f>IFERROR(VLOOKUP(V1646,MgFrec,2,0),0)</f>
        <v/>
      </c>
      <c r="Y1646" s="30">
        <f>T1646*X1646</f>
        <v/>
      </c>
      <c r="Z1646" s="28">
        <f>IFERROR(LOOKUP(Y1646,{0;0.5;5;25},{"Bajo";"Medio";"Alto";"Crítico"}),"")</f>
        <v/>
      </c>
      <c r="AA1646" s="64">
        <f>IF(T1646&gt;=3,IF(X1646&gt;=1,"Zona 1 — Crítica: impacto alto y ocurre al menos una vez al año","Zona 4 — Catastrófica poco probable: impacto alto pero excepcional"),IF(AND(T1646&lt;1.5,X1646&lt;1),"Zona 3 — Asumible: impacto bajo y muy poco frecuente","Zona 2 — Atención: riesgo intermedio"))</f>
        <v/>
      </c>
      <c r="AB1646" s="64">
        <f>IFERROR(INDEX(MgAmenCtrl,MATCH(SUBSTITUTE($H1646,"*","-"),MgAmenClave,0)),"")</f>
        <v/>
      </c>
      <c r="AC1646" s="20" t="n"/>
      <c r="AD1646" s="31">
        <f>IFERROR($X1646*(1-IF($AC1646="",$AL1646,VLOOKUP($AC1646,MgMad,2,0))),"")</f>
        <v/>
      </c>
      <c r="AE1646" s="28">
        <f>IFERROR(LOOKUP(AD1646,{0;0.01;0.1;1;10;100},{"Muy baja";"Muy baja";"Baja";"Media";"Alta";"Muy alta"}),"")</f>
        <v/>
      </c>
      <c r="AF1646" s="30">
        <f>T1646*AD1646</f>
        <v/>
      </c>
      <c r="AG1646" s="28">
        <f>IFERROR(LOOKUP(AF1646,{0;0.5;5;25},{"Bajo";"Medio";"Alto";"Crítico"}),"")</f>
        <v/>
      </c>
      <c r="AH1646" s="28">
        <f>IF(AG1646="","",IF(OR(AG1646="Crítico",AG1646="Alto"),"Mitigar",IF(AG1646="Medio","Mitigar","Aceptar y monitorear")))</f>
        <v/>
      </c>
      <c r="AI1646" s="21" t="n"/>
      <c r="AJ1646" s="21" t="n"/>
      <c r="AK1646" s="20" t="n"/>
      <c r="AL1646" s="77">
        <f>IFERROR(INDEX(MgAmenEfic,MATCH(SUBSTITUTE($H1646,"*","-"),MgAmenClave,0)),0)</f>
        <v/>
      </c>
    </row>
    <row r="1647" hidden="1" ht="105" customHeight="1" s="54">
      <c r="B1647" s="59" t="inlineStr">
        <is>
          <t>R-1642</t>
        </is>
      </c>
      <c r="C1647" s="59" t="inlineStr">
        <is>
          <t>TEC-007</t>
        </is>
      </c>
      <c r="D1647" s="64">
        <f>IFERROR(INDEX(MgNombre,MATCH($C1647,MgActId,0)),"")</f>
        <v/>
      </c>
      <c r="E1647" s="64">
        <f>IFERROR(INDEX(MgProceso,MATCH($C1647,MgActId,0)),"")</f>
        <v/>
      </c>
      <c r="F1647" s="64">
        <f>IFERROR(INDEX(MgTipo,MATCH($C1647,MgActId,0)),"")</f>
        <v/>
      </c>
      <c r="G1647" s="64">
        <f>IFERROR(INDEX(MgSubtipo,MATCH($C1647,MgActId,0)),"")</f>
        <v/>
      </c>
      <c r="H1647" s="59" t="inlineStr">
        <is>
          <t>E.19</t>
        </is>
      </c>
      <c r="I1647" s="64">
        <f>IFERROR(INDEX(MgAmenNombre,MATCH(SUBSTITUTE($H1647,"*","-"),MgAmenClave,0)),"")</f>
        <v/>
      </c>
      <c r="J1647" s="28">
        <f>IFERROR(INDEX(MgAmenGrupo,MATCH(SUBSTITUTE($H1647,"*","-"),MgAmenClave,0)),"")</f>
        <v/>
      </c>
      <c r="K1647" s="64">
        <f>IFERROR(INDEX('1. Matriz de Activos'!$Q$6:$Q$239,MATCH($C1647,MgActId,0)),"")</f>
        <v/>
      </c>
      <c r="L1647" s="64">
        <f>IFERROR(INDEX('1. Matriz de Activos'!$R$6:$R$239,MATCH($C1647,MgActId,0)),"")</f>
        <v/>
      </c>
      <c r="M1647" s="64">
        <f>IFERROR(INDEX('1. Matriz de Activos'!$S$6:$S$239,MATCH($C1647,MgActId,0)),"")</f>
        <v/>
      </c>
      <c r="N1647" s="28">
        <f>IFERROR(INDEX(MgAmenDegD,MATCH(SUBSTITUTE($H1647,"*","-"),MgAmenClave,0)),"No aplica")</f>
        <v/>
      </c>
      <c r="O1647" s="28">
        <f>IFERROR(INDEX(MgAmenDegI,MATCH(SUBSTITUTE($H1647,"*","-"),MgAmenClave,0)),"No aplica")</f>
        <v/>
      </c>
      <c r="P1647" s="28">
        <f>IFERROR(INDEX(MgAmenDegC,MATCH(SUBSTITUTE($H1647,"*","-"),MgAmenClave,0)),"No aplica")</f>
        <v/>
      </c>
      <c r="Q1647" s="29">
        <f>IFERROR(VLOOKUP(K1647,MgValor,2,0)*VLOOKUP(N1647,MgDeg,2,0),0)</f>
        <v/>
      </c>
      <c r="R1647" s="29">
        <f>IFERROR(VLOOKUP(L1647,MgValor,2,0)*VLOOKUP(O1647,MgDeg,2,0),0)</f>
        <v/>
      </c>
      <c r="S1647" s="29">
        <f>IFERROR(VLOOKUP(M1647,MgValor,2,0)*VLOOKUP(P1647,MgDeg,2,0),0)</f>
        <v/>
      </c>
      <c r="T1647" s="30">
        <f>MAX(Q1647:S1647)</f>
        <v/>
      </c>
      <c r="U1647" s="28">
        <f>IFERROR(LOOKUP(T1647,{0;0.5;1.5;3;4.5},{"Despreciable";"Bajo";"Medio";"Alto";"Muy alto"}),"")</f>
        <v/>
      </c>
      <c r="V1647" s="13">
        <f>IFERROR(INDEX(MgAmenFrec,MATCH(SUBSTITUTE($H1647,"*","-"),MgAmenClave,0)),"")</f>
        <v/>
      </c>
      <c r="W1647" s="28">
        <f>IFERROR(LOOKUP(X1647,{0;0.01;0.1;1;10;100},{"Muy baja";"Muy baja";"Baja";"Media";"Alta";"Muy alta"}),"")</f>
        <v/>
      </c>
      <c r="X1647" s="31">
        <f>IFERROR(VLOOKUP(V1647,MgFrec,2,0),0)</f>
        <v/>
      </c>
      <c r="Y1647" s="30">
        <f>T1647*X1647</f>
        <v/>
      </c>
      <c r="Z1647" s="28">
        <f>IFERROR(LOOKUP(Y1647,{0;0.5;5;25},{"Bajo";"Medio";"Alto";"Crítico"}),"")</f>
        <v/>
      </c>
      <c r="AA1647" s="64">
        <f>IF(T1647&gt;=3,IF(X1647&gt;=1,"Zona 1 — Crítica: impacto alto y ocurre al menos una vez al año","Zona 4 — Catastrófica poco probable: impacto alto pero excepcional"),IF(AND(T1647&lt;1.5,X1647&lt;1),"Zona 3 — Asumible: impacto bajo y muy poco frecuente","Zona 2 — Atención: riesgo intermedio"))</f>
        <v/>
      </c>
      <c r="AB1647" s="64">
        <f>IFERROR(INDEX(MgAmenCtrl,MATCH(SUBSTITUTE($H1647,"*","-"),MgAmenClave,0)),"")</f>
        <v/>
      </c>
      <c r="AC1647" s="20" t="n"/>
      <c r="AD1647" s="31">
        <f>IFERROR($X1647*(1-IF($AC1647="",$AL1647,VLOOKUP($AC1647,MgMad,2,0))),"")</f>
        <v/>
      </c>
      <c r="AE1647" s="28">
        <f>IFERROR(LOOKUP(AD1647,{0;0.01;0.1;1;10;100},{"Muy baja";"Muy baja";"Baja";"Media";"Alta";"Muy alta"}),"")</f>
        <v/>
      </c>
      <c r="AF1647" s="30">
        <f>T1647*AD1647</f>
        <v/>
      </c>
      <c r="AG1647" s="28">
        <f>IFERROR(LOOKUP(AF1647,{0;0.5;5;25},{"Bajo";"Medio";"Alto";"Crítico"}),"")</f>
        <v/>
      </c>
      <c r="AH1647" s="28">
        <f>IF(AG1647="","",IF(OR(AG1647="Crítico",AG1647="Alto"),"Mitigar",IF(AG1647="Medio","Mitigar","Aceptar y monitorear")))</f>
        <v/>
      </c>
      <c r="AI1647" s="21" t="n"/>
      <c r="AJ1647" s="21" t="n"/>
      <c r="AK1647" s="20" t="n"/>
      <c r="AL1647" s="77">
        <f>IFERROR(INDEX(MgAmenEfic,MATCH(SUBSTITUTE($H1647,"*","-"),MgAmenClave,0)),0)</f>
        <v/>
      </c>
    </row>
    <row r="1648" hidden="1" ht="45" customHeight="1" s="54">
      <c r="B1648" s="59" t="inlineStr">
        <is>
          <t>R-1643</t>
        </is>
      </c>
      <c r="C1648" s="59" t="inlineStr">
        <is>
          <t>TEC-007</t>
        </is>
      </c>
      <c r="D1648" s="64">
        <f>IFERROR(INDEX(MgNombre,MATCH($C1648,MgActId,0)),"")</f>
        <v/>
      </c>
      <c r="E1648" s="64">
        <f>IFERROR(INDEX(MgProceso,MATCH($C1648,MgActId,0)),"")</f>
        <v/>
      </c>
      <c r="F1648" s="64">
        <f>IFERROR(INDEX(MgTipo,MATCH($C1648,MgActId,0)),"")</f>
        <v/>
      </c>
      <c r="G1648" s="64">
        <f>IFERROR(INDEX(MgSubtipo,MATCH($C1648,MgActId,0)),"")</f>
        <v/>
      </c>
      <c r="H1648" s="59" t="inlineStr">
        <is>
          <t>E.23</t>
        </is>
      </c>
      <c r="I1648" s="64">
        <f>IFERROR(INDEX(MgAmenNombre,MATCH(SUBSTITUTE($H1648,"*","-"),MgAmenClave,0)),"")</f>
        <v/>
      </c>
      <c r="J1648" s="28">
        <f>IFERROR(INDEX(MgAmenGrupo,MATCH(SUBSTITUTE($H1648,"*","-"),MgAmenClave,0)),"")</f>
        <v/>
      </c>
      <c r="K1648" s="64">
        <f>IFERROR(INDEX('1. Matriz de Activos'!$Q$6:$Q$239,MATCH($C1648,MgActId,0)),"")</f>
        <v/>
      </c>
      <c r="L1648" s="64">
        <f>IFERROR(INDEX('1. Matriz de Activos'!$R$6:$R$239,MATCH($C1648,MgActId,0)),"")</f>
        <v/>
      </c>
      <c r="M1648" s="64">
        <f>IFERROR(INDEX('1. Matriz de Activos'!$S$6:$S$239,MATCH($C1648,MgActId,0)),"")</f>
        <v/>
      </c>
      <c r="N1648" s="28">
        <f>IFERROR(INDEX(MgAmenDegD,MATCH(SUBSTITUTE($H1648,"*","-"),MgAmenClave,0)),"No aplica")</f>
        <v/>
      </c>
      <c r="O1648" s="28">
        <f>IFERROR(INDEX(MgAmenDegI,MATCH(SUBSTITUTE($H1648,"*","-"),MgAmenClave,0)),"No aplica")</f>
        <v/>
      </c>
      <c r="P1648" s="28">
        <f>IFERROR(INDEX(MgAmenDegC,MATCH(SUBSTITUTE($H1648,"*","-"),MgAmenClave,0)),"No aplica")</f>
        <v/>
      </c>
      <c r="Q1648" s="29">
        <f>IFERROR(VLOOKUP(K1648,MgValor,2,0)*VLOOKUP(N1648,MgDeg,2,0),0)</f>
        <v/>
      </c>
      <c r="R1648" s="29">
        <f>IFERROR(VLOOKUP(L1648,MgValor,2,0)*VLOOKUP(O1648,MgDeg,2,0),0)</f>
        <v/>
      </c>
      <c r="S1648" s="29">
        <f>IFERROR(VLOOKUP(M1648,MgValor,2,0)*VLOOKUP(P1648,MgDeg,2,0),0)</f>
        <v/>
      </c>
      <c r="T1648" s="30">
        <f>MAX(Q1648:S1648)</f>
        <v/>
      </c>
      <c r="U1648" s="28">
        <f>IFERROR(LOOKUP(T1648,{0;0.5;1.5;3;4.5},{"Despreciable";"Bajo";"Medio";"Alto";"Muy alto"}),"")</f>
        <v/>
      </c>
      <c r="V1648" s="13">
        <f>IFERROR(INDEX(MgAmenFrec,MATCH(SUBSTITUTE($H1648,"*","-"),MgAmenClave,0)),"")</f>
        <v/>
      </c>
      <c r="W1648" s="28">
        <f>IFERROR(LOOKUP(X1648,{0;0.01;0.1;1;10;100},{"Muy baja";"Muy baja";"Baja";"Media";"Alta";"Muy alta"}),"")</f>
        <v/>
      </c>
      <c r="X1648" s="31">
        <f>IFERROR(VLOOKUP(V1648,MgFrec,2,0),0)</f>
        <v/>
      </c>
      <c r="Y1648" s="30">
        <f>T1648*X1648</f>
        <v/>
      </c>
      <c r="Z1648" s="28">
        <f>IFERROR(LOOKUP(Y1648,{0;0.5;5;25},{"Bajo";"Medio";"Alto";"Crítico"}),"")</f>
        <v/>
      </c>
      <c r="AA1648" s="64">
        <f>IF(T1648&gt;=3,IF(X1648&gt;=1,"Zona 1 — Crítica: impacto alto y ocurre al menos una vez al año","Zona 4 — Catastrófica poco probable: impacto alto pero excepcional"),IF(AND(T1648&lt;1.5,X1648&lt;1),"Zona 3 — Asumible: impacto bajo y muy poco frecuente","Zona 2 — Atención: riesgo intermedio"))</f>
        <v/>
      </c>
      <c r="AB1648" s="64">
        <f>IFERROR(INDEX(MgAmenCtrl,MATCH(SUBSTITUTE($H1648,"*","-"),MgAmenClave,0)),"")</f>
        <v/>
      </c>
      <c r="AC1648" s="20" t="n"/>
      <c r="AD1648" s="31">
        <f>IFERROR($X1648*(1-IF($AC1648="",$AL1648,VLOOKUP($AC1648,MgMad,2,0))),"")</f>
        <v/>
      </c>
      <c r="AE1648" s="28">
        <f>IFERROR(LOOKUP(AD1648,{0;0.01;0.1;1;10;100},{"Muy baja";"Muy baja";"Baja";"Media";"Alta";"Muy alta"}),"")</f>
        <v/>
      </c>
      <c r="AF1648" s="30">
        <f>T1648*AD1648</f>
        <v/>
      </c>
      <c r="AG1648" s="28">
        <f>IFERROR(LOOKUP(AF1648,{0;0.5;5;25},{"Bajo";"Medio";"Alto";"Crítico"}),"")</f>
        <v/>
      </c>
      <c r="AH1648" s="28">
        <f>IF(AG1648="","",IF(OR(AG1648="Crítico",AG1648="Alto"),"Mitigar",IF(AG1648="Medio","Mitigar","Aceptar y monitorear")))</f>
        <v/>
      </c>
      <c r="AI1648" s="21" t="n"/>
      <c r="AJ1648" s="21" t="n"/>
      <c r="AK1648" s="20" t="n"/>
      <c r="AL1648" s="77">
        <f>IFERROR(INDEX(MgAmenEfic,MATCH(SUBSTITUTE($H1648,"*","-"),MgAmenClave,0)),0)</f>
        <v/>
      </c>
    </row>
    <row r="1649" hidden="1" ht="45" customHeight="1" s="54">
      <c r="B1649" s="59" t="inlineStr">
        <is>
          <t>R-1644</t>
        </is>
      </c>
      <c r="C1649" s="59" t="inlineStr">
        <is>
          <t>TEC-007</t>
        </is>
      </c>
      <c r="D1649" s="64">
        <f>IFERROR(INDEX(MgNombre,MATCH($C1649,MgActId,0)),"")</f>
        <v/>
      </c>
      <c r="E1649" s="64">
        <f>IFERROR(INDEX(MgProceso,MATCH($C1649,MgActId,0)),"")</f>
        <v/>
      </c>
      <c r="F1649" s="64">
        <f>IFERROR(INDEX(MgTipo,MATCH($C1649,MgActId,0)),"")</f>
        <v/>
      </c>
      <c r="G1649" s="64">
        <f>IFERROR(INDEX(MgSubtipo,MATCH($C1649,MgActId,0)),"")</f>
        <v/>
      </c>
      <c r="H1649" s="59" t="inlineStr">
        <is>
          <t>E.24</t>
        </is>
      </c>
      <c r="I1649" s="64">
        <f>IFERROR(INDEX(MgAmenNombre,MATCH(SUBSTITUTE($H1649,"*","-"),MgAmenClave,0)),"")</f>
        <v/>
      </c>
      <c r="J1649" s="28">
        <f>IFERROR(INDEX(MgAmenGrupo,MATCH(SUBSTITUTE($H1649,"*","-"),MgAmenClave,0)),"")</f>
        <v/>
      </c>
      <c r="K1649" s="64">
        <f>IFERROR(INDEX('1. Matriz de Activos'!$Q$6:$Q$239,MATCH($C1649,MgActId,0)),"")</f>
        <v/>
      </c>
      <c r="L1649" s="64">
        <f>IFERROR(INDEX('1. Matriz de Activos'!$R$6:$R$239,MATCH($C1649,MgActId,0)),"")</f>
        <v/>
      </c>
      <c r="M1649" s="64">
        <f>IFERROR(INDEX('1. Matriz de Activos'!$S$6:$S$239,MATCH($C1649,MgActId,0)),"")</f>
        <v/>
      </c>
      <c r="N1649" s="28">
        <f>IFERROR(INDEX(MgAmenDegD,MATCH(SUBSTITUTE($H1649,"*","-"),MgAmenClave,0)),"No aplica")</f>
        <v/>
      </c>
      <c r="O1649" s="28">
        <f>IFERROR(INDEX(MgAmenDegI,MATCH(SUBSTITUTE($H1649,"*","-"),MgAmenClave,0)),"No aplica")</f>
        <v/>
      </c>
      <c r="P1649" s="28">
        <f>IFERROR(INDEX(MgAmenDegC,MATCH(SUBSTITUTE($H1649,"*","-"),MgAmenClave,0)),"No aplica")</f>
        <v/>
      </c>
      <c r="Q1649" s="29">
        <f>IFERROR(VLOOKUP(K1649,MgValor,2,0)*VLOOKUP(N1649,MgDeg,2,0),0)</f>
        <v/>
      </c>
      <c r="R1649" s="29">
        <f>IFERROR(VLOOKUP(L1649,MgValor,2,0)*VLOOKUP(O1649,MgDeg,2,0),0)</f>
        <v/>
      </c>
      <c r="S1649" s="29">
        <f>IFERROR(VLOOKUP(M1649,MgValor,2,0)*VLOOKUP(P1649,MgDeg,2,0),0)</f>
        <v/>
      </c>
      <c r="T1649" s="30">
        <f>MAX(Q1649:S1649)</f>
        <v/>
      </c>
      <c r="U1649" s="28">
        <f>IFERROR(LOOKUP(T1649,{0;0.5;1.5;3;4.5},{"Despreciable";"Bajo";"Medio";"Alto";"Muy alto"}),"")</f>
        <v/>
      </c>
      <c r="V1649" s="13">
        <f>IFERROR(INDEX(MgAmenFrec,MATCH(SUBSTITUTE($H1649,"*","-"),MgAmenClave,0)),"")</f>
        <v/>
      </c>
      <c r="W1649" s="28">
        <f>IFERROR(LOOKUP(X1649,{0;0.01;0.1;1;10;100},{"Muy baja";"Muy baja";"Baja";"Media";"Alta";"Muy alta"}),"")</f>
        <v/>
      </c>
      <c r="X1649" s="31">
        <f>IFERROR(VLOOKUP(V1649,MgFrec,2,0),0)</f>
        <v/>
      </c>
      <c r="Y1649" s="30">
        <f>T1649*X1649</f>
        <v/>
      </c>
      <c r="Z1649" s="28">
        <f>IFERROR(LOOKUP(Y1649,{0;0.5;5;25},{"Bajo";"Medio";"Alto";"Crítico"}),"")</f>
        <v/>
      </c>
      <c r="AA1649" s="64">
        <f>IF(T1649&gt;=3,IF(X1649&gt;=1,"Zona 1 — Crítica: impacto alto y ocurre al menos una vez al año","Zona 4 — Catastrófica poco probable: impacto alto pero excepcional"),IF(AND(T1649&lt;1.5,X1649&lt;1),"Zona 3 — Asumible: impacto bajo y muy poco frecuente","Zona 2 — Atención: riesgo intermedio"))</f>
        <v/>
      </c>
      <c r="AB1649" s="64">
        <f>IFERROR(INDEX(MgAmenCtrl,MATCH(SUBSTITUTE($H1649,"*","-"),MgAmenClave,0)),"")</f>
        <v/>
      </c>
      <c r="AC1649" s="20" t="n"/>
      <c r="AD1649" s="31">
        <f>IFERROR($X1649*(1-IF($AC1649="",$AL1649,VLOOKUP($AC1649,MgMad,2,0))),"")</f>
        <v/>
      </c>
      <c r="AE1649" s="28">
        <f>IFERROR(LOOKUP(AD1649,{0;0.01;0.1;1;10;100},{"Muy baja";"Muy baja";"Baja";"Media";"Alta";"Muy alta"}),"")</f>
        <v/>
      </c>
      <c r="AF1649" s="30">
        <f>T1649*AD1649</f>
        <v/>
      </c>
      <c r="AG1649" s="28">
        <f>IFERROR(LOOKUP(AF1649,{0;0.5;5;25},{"Bajo";"Medio";"Alto";"Crítico"}),"")</f>
        <v/>
      </c>
      <c r="AH1649" s="28">
        <f>IF(AG1649="","",IF(OR(AG1649="Crítico",AG1649="Alto"),"Mitigar",IF(AG1649="Medio","Mitigar","Aceptar y monitorear")))</f>
        <v/>
      </c>
      <c r="AI1649" s="21" t="n"/>
      <c r="AJ1649" s="21" t="n"/>
      <c r="AK1649" s="20" t="n"/>
      <c r="AL1649" s="77">
        <f>IFERROR(INDEX(MgAmenEfic,MATCH(SUBSTITUTE($H1649,"*","-"),MgAmenClave,0)),0)</f>
        <v/>
      </c>
    </row>
    <row r="1650" hidden="1" ht="75" customHeight="1" s="54">
      <c r="B1650" s="59" t="inlineStr">
        <is>
          <t>R-1645</t>
        </is>
      </c>
      <c r="C1650" s="59" t="inlineStr">
        <is>
          <t>TEC-007</t>
        </is>
      </c>
      <c r="D1650" s="64">
        <f>IFERROR(INDEX(MgNombre,MATCH($C1650,MgActId,0)),"")</f>
        <v/>
      </c>
      <c r="E1650" s="64">
        <f>IFERROR(INDEX(MgProceso,MATCH($C1650,MgActId,0)),"")</f>
        <v/>
      </c>
      <c r="F1650" s="64">
        <f>IFERROR(INDEX(MgTipo,MATCH($C1650,MgActId,0)),"")</f>
        <v/>
      </c>
      <c r="G1650" s="64">
        <f>IFERROR(INDEX(MgSubtipo,MATCH($C1650,MgActId,0)),"")</f>
        <v/>
      </c>
      <c r="H1650" s="59" t="inlineStr">
        <is>
          <t>E.25</t>
        </is>
      </c>
      <c r="I1650" s="64">
        <f>IFERROR(INDEX(MgAmenNombre,MATCH(SUBSTITUTE($H1650,"*","-"),MgAmenClave,0)),"")</f>
        <v/>
      </c>
      <c r="J1650" s="28">
        <f>IFERROR(INDEX(MgAmenGrupo,MATCH(SUBSTITUTE($H1650,"*","-"),MgAmenClave,0)),"")</f>
        <v/>
      </c>
      <c r="K1650" s="64">
        <f>IFERROR(INDEX('1. Matriz de Activos'!$Q$6:$Q$239,MATCH($C1650,MgActId,0)),"")</f>
        <v/>
      </c>
      <c r="L1650" s="64">
        <f>IFERROR(INDEX('1. Matriz de Activos'!$R$6:$R$239,MATCH($C1650,MgActId,0)),"")</f>
        <v/>
      </c>
      <c r="M1650" s="64">
        <f>IFERROR(INDEX('1. Matriz de Activos'!$S$6:$S$239,MATCH($C1650,MgActId,0)),"")</f>
        <v/>
      </c>
      <c r="N1650" s="28">
        <f>IFERROR(INDEX(MgAmenDegD,MATCH(SUBSTITUTE($H1650,"*","-"),MgAmenClave,0)),"No aplica")</f>
        <v/>
      </c>
      <c r="O1650" s="28">
        <f>IFERROR(INDEX(MgAmenDegI,MATCH(SUBSTITUTE($H1650,"*","-"),MgAmenClave,0)),"No aplica")</f>
        <v/>
      </c>
      <c r="P1650" s="28">
        <f>IFERROR(INDEX(MgAmenDegC,MATCH(SUBSTITUTE($H1650,"*","-"),MgAmenClave,0)),"No aplica")</f>
        <v/>
      </c>
      <c r="Q1650" s="29">
        <f>IFERROR(VLOOKUP(K1650,MgValor,2,0)*VLOOKUP(N1650,MgDeg,2,0),0)</f>
        <v/>
      </c>
      <c r="R1650" s="29">
        <f>IFERROR(VLOOKUP(L1650,MgValor,2,0)*VLOOKUP(O1650,MgDeg,2,0),0)</f>
        <v/>
      </c>
      <c r="S1650" s="29">
        <f>IFERROR(VLOOKUP(M1650,MgValor,2,0)*VLOOKUP(P1650,MgDeg,2,0),0)</f>
        <v/>
      </c>
      <c r="T1650" s="30">
        <f>MAX(Q1650:S1650)</f>
        <v/>
      </c>
      <c r="U1650" s="28">
        <f>IFERROR(LOOKUP(T1650,{0;0.5;1.5;3;4.5},{"Despreciable";"Bajo";"Medio";"Alto";"Muy alto"}),"")</f>
        <v/>
      </c>
      <c r="V1650" s="13">
        <f>IFERROR(INDEX(MgAmenFrec,MATCH(SUBSTITUTE($H1650,"*","-"),MgAmenClave,0)),"")</f>
        <v/>
      </c>
      <c r="W1650" s="28">
        <f>IFERROR(LOOKUP(X1650,{0;0.01;0.1;1;10;100},{"Muy baja";"Muy baja";"Baja";"Media";"Alta";"Muy alta"}),"")</f>
        <v/>
      </c>
      <c r="X1650" s="31">
        <f>IFERROR(VLOOKUP(V1650,MgFrec,2,0),0)</f>
        <v/>
      </c>
      <c r="Y1650" s="30">
        <f>T1650*X1650</f>
        <v/>
      </c>
      <c r="Z1650" s="28">
        <f>IFERROR(LOOKUP(Y1650,{0;0.5;5;25},{"Bajo";"Medio";"Alto";"Crítico"}),"")</f>
        <v/>
      </c>
      <c r="AA1650" s="64">
        <f>IF(T1650&gt;=3,IF(X1650&gt;=1,"Zona 1 — Crítica: impacto alto y ocurre al menos una vez al año","Zona 4 — Catastrófica poco probable: impacto alto pero excepcional"),IF(AND(T1650&lt;1.5,X1650&lt;1),"Zona 3 — Asumible: impacto bajo y muy poco frecuente","Zona 2 — Atención: riesgo intermedio"))</f>
        <v/>
      </c>
      <c r="AB1650" s="64">
        <f>IFERROR(INDEX(MgAmenCtrl,MATCH(SUBSTITUTE($H1650,"*","-"),MgAmenClave,0)),"")</f>
        <v/>
      </c>
      <c r="AC1650" s="20" t="n"/>
      <c r="AD1650" s="31">
        <f>IFERROR($X1650*(1-IF($AC1650="",$AL1650,VLOOKUP($AC1650,MgMad,2,0))),"")</f>
        <v/>
      </c>
      <c r="AE1650" s="28">
        <f>IFERROR(LOOKUP(AD1650,{0;0.01;0.1;1;10;100},{"Muy baja";"Muy baja";"Baja";"Media";"Alta";"Muy alta"}),"")</f>
        <v/>
      </c>
      <c r="AF1650" s="30">
        <f>T1650*AD1650</f>
        <v/>
      </c>
      <c r="AG1650" s="28">
        <f>IFERROR(LOOKUP(AF1650,{0;0.5;5;25},{"Bajo";"Medio";"Alto";"Crítico"}),"")</f>
        <v/>
      </c>
      <c r="AH1650" s="28">
        <f>IF(AG1650="","",IF(OR(AG1650="Crítico",AG1650="Alto"),"Mitigar",IF(AG1650="Medio","Mitigar","Aceptar y monitorear")))</f>
        <v/>
      </c>
      <c r="AI1650" s="21" t="n"/>
      <c r="AJ1650" s="21" t="n"/>
      <c r="AK1650" s="20" t="n"/>
      <c r="AL1650" s="77">
        <f>IFERROR(INDEX(MgAmenEfic,MATCH(SUBSTITUTE($H1650,"*","-"),MgAmenClave,0)),0)</f>
        <v/>
      </c>
    </row>
    <row r="1651" hidden="1" ht="105" customHeight="1" s="54">
      <c r="B1651" s="59" t="inlineStr">
        <is>
          <t>R-1646</t>
        </is>
      </c>
      <c r="C1651" s="59" t="inlineStr">
        <is>
          <t>TEC-007</t>
        </is>
      </c>
      <c r="D1651" s="64">
        <f>IFERROR(INDEX(MgNombre,MATCH($C1651,MgActId,0)),"")</f>
        <v/>
      </c>
      <c r="E1651" s="64">
        <f>IFERROR(INDEX(MgProceso,MATCH($C1651,MgActId,0)),"")</f>
        <v/>
      </c>
      <c r="F1651" s="64">
        <f>IFERROR(INDEX(MgTipo,MATCH($C1651,MgActId,0)),"")</f>
        <v/>
      </c>
      <c r="G1651" s="64">
        <f>IFERROR(INDEX(MgSubtipo,MATCH($C1651,MgActId,0)),"")</f>
        <v/>
      </c>
      <c r="H1651" s="59" t="inlineStr">
        <is>
          <t>A.6</t>
        </is>
      </c>
      <c r="I1651" s="64">
        <f>IFERROR(INDEX(MgAmenNombre,MATCH(SUBSTITUTE($H1651,"*","-"),MgAmenClave,0)),"")</f>
        <v/>
      </c>
      <c r="J1651" s="28">
        <f>IFERROR(INDEX(MgAmenGrupo,MATCH(SUBSTITUTE($H1651,"*","-"),MgAmenClave,0)),"")</f>
        <v/>
      </c>
      <c r="K1651" s="64">
        <f>IFERROR(INDEX('1. Matriz de Activos'!$Q$6:$Q$239,MATCH($C1651,MgActId,0)),"")</f>
        <v/>
      </c>
      <c r="L1651" s="64">
        <f>IFERROR(INDEX('1. Matriz de Activos'!$R$6:$R$239,MATCH($C1651,MgActId,0)),"")</f>
        <v/>
      </c>
      <c r="M1651" s="64">
        <f>IFERROR(INDEX('1. Matriz de Activos'!$S$6:$S$239,MATCH($C1651,MgActId,0)),"")</f>
        <v/>
      </c>
      <c r="N1651" s="28">
        <f>IFERROR(INDEX(MgAmenDegD,MATCH(SUBSTITUTE($H1651,"*","-"),MgAmenClave,0)),"No aplica")</f>
        <v/>
      </c>
      <c r="O1651" s="28">
        <f>IFERROR(INDEX(MgAmenDegI,MATCH(SUBSTITUTE($H1651,"*","-"),MgAmenClave,0)),"No aplica")</f>
        <v/>
      </c>
      <c r="P1651" s="28">
        <f>IFERROR(INDEX(MgAmenDegC,MATCH(SUBSTITUTE($H1651,"*","-"),MgAmenClave,0)),"No aplica")</f>
        <v/>
      </c>
      <c r="Q1651" s="29">
        <f>IFERROR(VLOOKUP(K1651,MgValor,2,0)*VLOOKUP(N1651,MgDeg,2,0),0)</f>
        <v/>
      </c>
      <c r="R1651" s="29">
        <f>IFERROR(VLOOKUP(L1651,MgValor,2,0)*VLOOKUP(O1651,MgDeg,2,0),0)</f>
        <v/>
      </c>
      <c r="S1651" s="29">
        <f>IFERROR(VLOOKUP(M1651,MgValor,2,0)*VLOOKUP(P1651,MgDeg,2,0),0)</f>
        <v/>
      </c>
      <c r="T1651" s="30">
        <f>MAX(Q1651:S1651)</f>
        <v/>
      </c>
      <c r="U1651" s="28">
        <f>IFERROR(LOOKUP(T1651,{0;0.5;1.5;3;4.5},{"Despreciable";"Bajo";"Medio";"Alto";"Muy alto"}),"")</f>
        <v/>
      </c>
      <c r="V1651" s="13">
        <f>IFERROR(INDEX(MgAmenFrec,MATCH(SUBSTITUTE($H1651,"*","-"),MgAmenClave,0)),"")</f>
        <v/>
      </c>
      <c r="W1651" s="28">
        <f>IFERROR(LOOKUP(X1651,{0;0.01;0.1;1;10;100},{"Muy baja";"Muy baja";"Baja";"Media";"Alta";"Muy alta"}),"")</f>
        <v/>
      </c>
      <c r="X1651" s="31">
        <f>IFERROR(VLOOKUP(V1651,MgFrec,2,0),0)</f>
        <v/>
      </c>
      <c r="Y1651" s="30">
        <f>T1651*X1651</f>
        <v/>
      </c>
      <c r="Z1651" s="28">
        <f>IFERROR(LOOKUP(Y1651,{0;0.5;5;25},{"Bajo";"Medio";"Alto";"Crítico"}),"")</f>
        <v/>
      </c>
      <c r="AA1651" s="64">
        <f>IF(T1651&gt;=3,IF(X1651&gt;=1,"Zona 1 — Crítica: impacto alto y ocurre al menos una vez al año","Zona 4 — Catastrófica poco probable: impacto alto pero excepcional"),IF(AND(T1651&lt;1.5,X1651&lt;1),"Zona 3 — Asumible: impacto bajo y muy poco frecuente","Zona 2 — Atención: riesgo intermedio"))</f>
        <v/>
      </c>
      <c r="AB1651" s="64">
        <f>IFERROR(INDEX(MgAmenCtrl,MATCH(SUBSTITUTE($H1651,"*","-"),MgAmenClave,0)),"")</f>
        <v/>
      </c>
      <c r="AC1651" s="20" t="n"/>
      <c r="AD1651" s="31">
        <f>IFERROR($X1651*(1-IF($AC1651="",$AL1651,VLOOKUP($AC1651,MgMad,2,0))),"")</f>
        <v/>
      </c>
      <c r="AE1651" s="28">
        <f>IFERROR(LOOKUP(AD1651,{0;0.01;0.1;1;10;100},{"Muy baja";"Muy baja";"Baja";"Media";"Alta";"Muy alta"}),"")</f>
        <v/>
      </c>
      <c r="AF1651" s="30">
        <f>T1651*AD1651</f>
        <v/>
      </c>
      <c r="AG1651" s="28">
        <f>IFERROR(LOOKUP(AF1651,{0;0.5;5;25},{"Bajo";"Medio";"Alto";"Crítico"}),"")</f>
        <v/>
      </c>
      <c r="AH1651" s="28">
        <f>IF(AG1651="","",IF(OR(AG1651="Crítico",AG1651="Alto"),"Mitigar",IF(AG1651="Medio","Mitigar","Aceptar y monitorear")))</f>
        <v/>
      </c>
      <c r="AI1651" s="21" t="n"/>
      <c r="AJ1651" s="21" t="n"/>
      <c r="AK1651" s="20" t="n"/>
      <c r="AL1651" s="77">
        <f>IFERROR(INDEX(MgAmenEfic,MATCH(SUBSTITUTE($H1651,"*","-"),MgAmenClave,0)),0)</f>
        <v/>
      </c>
    </row>
    <row r="1652" hidden="1" ht="60" customHeight="1" s="54">
      <c r="B1652" s="59" t="inlineStr">
        <is>
          <t>R-1647</t>
        </is>
      </c>
      <c r="C1652" s="59" t="inlineStr">
        <is>
          <t>TEC-007</t>
        </is>
      </c>
      <c r="D1652" s="64">
        <f>IFERROR(INDEX(MgNombre,MATCH($C1652,MgActId,0)),"")</f>
        <v/>
      </c>
      <c r="E1652" s="64">
        <f>IFERROR(INDEX(MgProceso,MATCH($C1652,MgActId,0)),"")</f>
        <v/>
      </c>
      <c r="F1652" s="64">
        <f>IFERROR(INDEX(MgTipo,MATCH($C1652,MgActId,0)),"")</f>
        <v/>
      </c>
      <c r="G1652" s="64">
        <f>IFERROR(INDEX(MgSubtipo,MATCH($C1652,MgActId,0)),"")</f>
        <v/>
      </c>
      <c r="H1652" s="59" t="inlineStr">
        <is>
          <t>A.7</t>
        </is>
      </c>
      <c r="I1652" s="64">
        <f>IFERROR(INDEX(MgAmenNombre,MATCH(SUBSTITUTE($H1652,"*","-"),MgAmenClave,0)),"")</f>
        <v/>
      </c>
      <c r="J1652" s="28">
        <f>IFERROR(INDEX(MgAmenGrupo,MATCH(SUBSTITUTE($H1652,"*","-"),MgAmenClave,0)),"")</f>
        <v/>
      </c>
      <c r="K1652" s="64">
        <f>IFERROR(INDEX('1. Matriz de Activos'!$Q$6:$Q$239,MATCH($C1652,MgActId,0)),"")</f>
        <v/>
      </c>
      <c r="L1652" s="64">
        <f>IFERROR(INDEX('1. Matriz de Activos'!$R$6:$R$239,MATCH($C1652,MgActId,0)),"")</f>
        <v/>
      </c>
      <c r="M1652" s="64">
        <f>IFERROR(INDEX('1. Matriz de Activos'!$S$6:$S$239,MATCH($C1652,MgActId,0)),"")</f>
        <v/>
      </c>
      <c r="N1652" s="28">
        <f>IFERROR(INDEX(MgAmenDegD,MATCH(SUBSTITUTE($H1652,"*","-"),MgAmenClave,0)),"No aplica")</f>
        <v/>
      </c>
      <c r="O1652" s="28">
        <f>IFERROR(INDEX(MgAmenDegI,MATCH(SUBSTITUTE($H1652,"*","-"),MgAmenClave,0)),"No aplica")</f>
        <v/>
      </c>
      <c r="P1652" s="28">
        <f>IFERROR(INDEX(MgAmenDegC,MATCH(SUBSTITUTE($H1652,"*","-"),MgAmenClave,0)),"No aplica")</f>
        <v/>
      </c>
      <c r="Q1652" s="29">
        <f>IFERROR(VLOOKUP(K1652,MgValor,2,0)*VLOOKUP(N1652,MgDeg,2,0),0)</f>
        <v/>
      </c>
      <c r="R1652" s="29">
        <f>IFERROR(VLOOKUP(L1652,MgValor,2,0)*VLOOKUP(O1652,MgDeg,2,0),0)</f>
        <v/>
      </c>
      <c r="S1652" s="29">
        <f>IFERROR(VLOOKUP(M1652,MgValor,2,0)*VLOOKUP(P1652,MgDeg,2,0),0)</f>
        <v/>
      </c>
      <c r="T1652" s="30">
        <f>MAX(Q1652:S1652)</f>
        <v/>
      </c>
      <c r="U1652" s="28">
        <f>IFERROR(LOOKUP(T1652,{0;0.5;1.5;3;4.5},{"Despreciable";"Bajo";"Medio";"Alto";"Muy alto"}),"")</f>
        <v/>
      </c>
      <c r="V1652" s="13">
        <f>IFERROR(INDEX(MgAmenFrec,MATCH(SUBSTITUTE($H1652,"*","-"),MgAmenClave,0)),"")</f>
        <v/>
      </c>
      <c r="W1652" s="28">
        <f>IFERROR(LOOKUP(X1652,{0;0.01;0.1;1;10;100},{"Muy baja";"Muy baja";"Baja";"Media";"Alta";"Muy alta"}),"")</f>
        <v/>
      </c>
      <c r="X1652" s="31">
        <f>IFERROR(VLOOKUP(V1652,MgFrec,2,0),0)</f>
        <v/>
      </c>
      <c r="Y1652" s="30">
        <f>T1652*X1652</f>
        <v/>
      </c>
      <c r="Z1652" s="28">
        <f>IFERROR(LOOKUP(Y1652,{0;0.5;5;25},{"Bajo";"Medio";"Alto";"Crítico"}),"")</f>
        <v/>
      </c>
      <c r="AA1652" s="64">
        <f>IF(T1652&gt;=3,IF(X1652&gt;=1,"Zona 1 — Crítica: impacto alto y ocurre al menos una vez al año","Zona 4 — Catastrófica poco probable: impacto alto pero excepcional"),IF(AND(T1652&lt;1.5,X1652&lt;1),"Zona 3 — Asumible: impacto bajo y muy poco frecuente","Zona 2 — Atención: riesgo intermedio"))</f>
        <v/>
      </c>
      <c r="AB1652" s="64">
        <f>IFERROR(INDEX(MgAmenCtrl,MATCH(SUBSTITUTE($H1652,"*","-"),MgAmenClave,0)),"")</f>
        <v/>
      </c>
      <c r="AC1652" s="20" t="n"/>
      <c r="AD1652" s="31">
        <f>IFERROR($X1652*(1-IF($AC1652="",$AL1652,VLOOKUP($AC1652,MgMad,2,0))),"")</f>
        <v/>
      </c>
      <c r="AE1652" s="28">
        <f>IFERROR(LOOKUP(AD1652,{0;0.01;0.1;1;10;100},{"Muy baja";"Muy baja";"Baja";"Media";"Alta";"Muy alta"}),"")</f>
        <v/>
      </c>
      <c r="AF1652" s="30">
        <f>T1652*AD1652</f>
        <v/>
      </c>
      <c r="AG1652" s="28">
        <f>IFERROR(LOOKUP(AF1652,{0;0.5;5;25},{"Bajo";"Medio";"Alto";"Crítico"}),"")</f>
        <v/>
      </c>
      <c r="AH1652" s="28">
        <f>IF(AG1652="","",IF(OR(AG1652="Crítico",AG1652="Alto"),"Mitigar",IF(AG1652="Medio","Mitigar","Aceptar y monitorear")))</f>
        <v/>
      </c>
      <c r="AI1652" s="21" t="n"/>
      <c r="AJ1652" s="21" t="n"/>
      <c r="AK1652" s="20" t="n"/>
      <c r="AL1652" s="77">
        <f>IFERROR(INDEX(MgAmenEfic,MATCH(SUBSTITUTE($H1652,"*","-"),MgAmenClave,0)),0)</f>
        <v/>
      </c>
    </row>
    <row r="1653" hidden="1" ht="120" customHeight="1" s="54">
      <c r="B1653" s="59" t="inlineStr">
        <is>
          <t>R-1648</t>
        </is>
      </c>
      <c r="C1653" s="59" t="inlineStr">
        <is>
          <t>TEC-007</t>
        </is>
      </c>
      <c r="D1653" s="64">
        <f>IFERROR(INDEX(MgNombre,MATCH($C1653,MgActId,0)),"")</f>
        <v/>
      </c>
      <c r="E1653" s="64">
        <f>IFERROR(INDEX(MgProceso,MATCH($C1653,MgActId,0)),"")</f>
        <v/>
      </c>
      <c r="F1653" s="64">
        <f>IFERROR(INDEX(MgTipo,MATCH($C1653,MgActId,0)),"")</f>
        <v/>
      </c>
      <c r="G1653" s="64">
        <f>IFERROR(INDEX(MgSubtipo,MATCH($C1653,MgActId,0)),"")</f>
        <v/>
      </c>
      <c r="H1653" s="59" t="inlineStr">
        <is>
          <t>A.11</t>
        </is>
      </c>
      <c r="I1653" s="64">
        <f>IFERROR(INDEX(MgAmenNombre,MATCH(SUBSTITUTE($H1653,"*","-"),MgAmenClave,0)),"")</f>
        <v/>
      </c>
      <c r="J1653" s="28">
        <f>IFERROR(INDEX(MgAmenGrupo,MATCH(SUBSTITUTE($H1653,"*","-"),MgAmenClave,0)),"")</f>
        <v/>
      </c>
      <c r="K1653" s="64">
        <f>IFERROR(INDEX('1. Matriz de Activos'!$Q$6:$Q$239,MATCH($C1653,MgActId,0)),"")</f>
        <v/>
      </c>
      <c r="L1653" s="64">
        <f>IFERROR(INDEX('1. Matriz de Activos'!$R$6:$R$239,MATCH($C1653,MgActId,0)),"")</f>
        <v/>
      </c>
      <c r="M1653" s="64">
        <f>IFERROR(INDEX('1. Matriz de Activos'!$S$6:$S$239,MATCH($C1653,MgActId,0)),"")</f>
        <v/>
      </c>
      <c r="N1653" s="28">
        <f>IFERROR(INDEX(MgAmenDegD,MATCH(SUBSTITUTE($H1653,"*","-"),MgAmenClave,0)),"No aplica")</f>
        <v/>
      </c>
      <c r="O1653" s="28">
        <f>IFERROR(INDEX(MgAmenDegI,MATCH(SUBSTITUTE($H1653,"*","-"),MgAmenClave,0)),"No aplica")</f>
        <v/>
      </c>
      <c r="P1653" s="28">
        <f>IFERROR(INDEX(MgAmenDegC,MATCH(SUBSTITUTE($H1653,"*","-"),MgAmenClave,0)),"No aplica")</f>
        <v/>
      </c>
      <c r="Q1653" s="29">
        <f>IFERROR(VLOOKUP(K1653,MgValor,2,0)*VLOOKUP(N1653,MgDeg,2,0),0)</f>
        <v/>
      </c>
      <c r="R1653" s="29">
        <f>IFERROR(VLOOKUP(L1653,MgValor,2,0)*VLOOKUP(O1653,MgDeg,2,0),0)</f>
        <v/>
      </c>
      <c r="S1653" s="29">
        <f>IFERROR(VLOOKUP(M1653,MgValor,2,0)*VLOOKUP(P1653,MgDeg,2,0),0)</f>
        <v/>
      </c>
      <c r="T1653" s="30">
        <f>MAX(Q1653:S1653)</f>
        <v/>
      </c>
      <c r="U1653" s="28">
        <f>IFERROR(LOOKUP(T1653,{0;0.5;1.5;3;4.5},{"Despreciable";"Bajo";"Medio";"Alto";"Muy alto"}),"")</f>
        <v/>
      </c>
      <c r="V1653" s="13">
        <f>IFERROR(INDEX(MgAmenFrec,MATCH(SUBSTITUTE($H1653,"*","-"),MgAmenClave,0)),"")</f>
        <v/>
      </c>
      <c r="W1653" s="28">
        <f>IFERROR(LOOKUP(X1653,{0;0.01;0.1;1;10;100},{"Muy baja";"Muy baja";"Baja";"Media";"Alta";"Muy alta"}),"")</f>
        <v/>
      </c>
      <c r="X1653" s="31">
        <f>IFERROR(VLOOKUP(V1653,MgFrec,2,0),0)</f>
        <v/>
      </c>
      <c r="Y1653" s="30">
        <f>T1653*X1653</f>
        <v/>
      </c>
      <c r="Z1653" s="28">
        <f>IFERROR(LOOKUP(Y1653,{0;0.5;5;25},{"Bajo";"Medio";"Alto";"Crítico"}),"")</f>
        <v/>
      </c>
      <c r="AA1653" s="64">
        <f>IF(T1653&gt;=3,IF(X1653&gt;=1,"Zona 1 — Crítica: impacto alto y ocurre al menos una vez al año","Zona 4 — Catastrófica poco probable: impacto alto pero excepcional"),IF(AND(T1653&lt;1.5,X1653&lt;1),"Zona 3 — Asumible: impacto bajo y muy poco frecuente","Zona 2 — Atención: riesgo intermedio"))</f>
        <v/>
      </c>
      <c r="AB1653" s="64">
        <f>IFERROR(INDEX(MgAmenCtrl,MATCH(SUBSTITUTE($H1653,"*","-"),MgAmenClave,0)),"")</f>
        <v/>
      </c>
      <c r="AC1653" s="20" t="n"/>
      <c r="AD1653" s="31">
        <f>IFERROR($X1653*(1-IF($AC1653="",$AL1653,VLOOKUP($AC1653,MgMad,2,0))),"")</f>
        <v/>
      </c>
      <c r="AE1653" s="28">
        <f>IFERROR(LOOKUP(AD1653,{0;0.01;0.1;1;10;100},{"Muy baja";"Muy baja";"Baja";"Media";"Alta";"Muy alta"}),"")</f>
        <v/>
      </c>
      <c r="AF1653" s="30">
        <f>T1653*AD1653</f>
        <v/>
      </c>
      <c r="AG1653" s="28">
        <f>IFERROR(LOOKUP(AF1653,{0;0.5;5;25},{"Bajo";"Medio";"Alto";"Crítico"}),"")</f>
        <v/>
      </c>
      <c r="AH1653" s="28">
        <f>IF(AG1653="","",IF(OR(AG1653="Crítico",AG1653="Alto"),"Mitigar",IF(AG1653="Medio","Mitigar","Aceptar y monitorear")))</f>
        <v/>
      </c>
      <c r="AI1653" s="21" t="n"/>
      <c r="AJ1653" s="21" t="n"/>
      <c r="AK1653" s="20" t="n"/>
      <c r="AL1653" s="77">
        <f>IFERROR(INDEX(MgAmenEfic,MATCH(SUBSTITUTE($H1653,"*","-"),MgAmenClave,0)),0)</f>
        <v/>
      </c>
    </row>
    <row r="1654" hidden="1" ht="60" customHeight="1" s="54">
      <c r="B1654" s="59" t="inlineStr">
        <is>
          <t>R-1649</t>
        </is>
      </c>
      <c r="C1654" s="59" t="inlineStr">
        <is>
          <t>TEC-007</t>
        </is>
      </c>
      <c r="D1654" s="64">
        <f>IFERROR(INDEX(MgNombre,MATCH($C1654,MgActId,0)),"")</f>
        <v/>
      </c>
      <c r="E1654" s="64">
        <f>IFERROR(INDEX(MgProceso,MATCH($C1654,MgActId,0)),"")</f>
        <v/>
      </c>
      <c r="F1654" s="64">
        <f>IFERROR(INDEX(MgTipo,MATCH($C1654,MgActId,0)),"")</f>
        <v/>
      </c>
      <c r="G1654" s="64">
        <f>IFERROR(INDEX(MgSubtipo,MATCH($C1654,MgActId,0)),"")</f>
        <v/>
      </c>
      <c r="H1654" s="59" t="inlineStr">
        <is>
          <t>A.23</t>
        </is>
      </c>
      <c r="I1654" s="64">
        <f>IFERROR(INDEX(MgAmenNombre,MATCH(SUBSTITUTE($H1654,"*","-"),MgAmenClave,0)),"")</f>
        <v/>
      </c>
      <c r="J1654" s="28">
        <f>IFERROR(INDEX(MgAmenGrupo,MATCH(SUBSTITUTE($H1654,"*","-"),MgAmenClave,0)),"")</f>
        <v/>
      </c>
      <c r="K1654" s="64">
        <f>IFERROR(INDEX('1. Matriz de Activos'!$Q$6:$Q$239,MATCH($C1654,MgActId,0)),"")</f>
        <v/>
      </c>
      <c r="L1654" s="64">
        <f>IFERROR(INDEX('1. Matriz de Activos'!$R$6:$R$239,MATCH($C1654,MgActId,0)),"")</f>
        <v/>
      </c>
      <c r="M1654" s="64">
        <f>IFERROR(INDEX('1. Matriz de Activos'!$S$6:$S$239,MATCH($C1654,MgActId,0)),"")</f>
        <v/>
      </c>
      <c r="N1654" s="28">
        <f>IFERROR(INDEX(MgAmenDegD,MATCH(SUBSTITUTE($H1654,"*","-"),MgAmenClave,0)),"No aplica")</f>
        <v/>
      </c>
      <c r="O1654" s="28">
        <f>IFERROR(INDEX(MgAmenDegI,MATCH(SUBSTITUTE($H1654,"*","-"),MgAmenClave,0)),"No aplica")</f>
        <v/>
      </c>
      <c r="P1654" s="28">
        <f>IFERROR(INDEX(MgAmenDegC,MATCH(SUBSTITUTE($H1654,"*","-"),MgAmenClave,0)),"No aplica")</f>
        <v/>
      </c>
      <c r="Q1654" s="29">
        <f>IFERROR(VLOOKUP(K1654,MgValor,2,0)*VLOOKUP(N1654,MgDeg,2,0),0)</f>
        <v/>
      </c>
      <c r="R1654" s="29">
        <f>IFERROR(VLOOKUP(L1654,MgValor,2,0)*VLOOKUP(O1654,MgDeg,2,0),0)</f>
        <v/>
      </c>
      <c r="S1654" s="29">
        <f>IFERROR(VLOOKUP(M1654,MgValor,2,0)*VLOOKUP(P1654,MgDeg,2,0),0)</f>
        <v/>
      </c>
      <c r="T1654" s="30">
        <f>MAX(Q1654:S1654)</f>
        <v/>
      </c>
      <c r="U1654" s="28">
        <f>IFERROR(LOOKUP(T1654,{0;0.5;1.5;3;4.5},{"Despreciable";"Bajo";"Medio";"Alto";"Muy alto"}),"")</f>
        <v/>
      </c>
      <c r="V1654" s="13">
        <f>IFERROR(INDEX(MgAmenFrec,MATCH(SUBSTITUTE($H1654,"*","-"),MgAmenClave,0)),"")</f>
        <v/>
      </c>
      <c r="W1654" s="28">
        <f>IFERROR(LOOKUP(X1654,{0;0.01;0.1;1;10;100},{"Muy baja";"Muy baja";"Baja";"Media";"Alta";"Muy alta"}),"")</f>
        <v/>
      </c>
      <c r="X1654" s="31">
        <f>IFERROR(VLOOKUP(V1654,MgFrec,2,0),0)</f>
        <v/>
      </c>
      <c r="Y1654" s="30">
        <f>T1654*X1654</f>
        <v/>
      </c>
      <c r="Z1654" s="28">
        <f>IFERROR(LOOKUP(Y1654,{0;0.5;5;25},{"Bajo";"Medio";"Alto";"Crítico"}),"")</f>
        <v/>
      </c>
      <c r="AA1654" s="64">
        <f>IF(T1654&gt;=3,IF(X1654&gt;=1,"Zona 1 — Crítica: impacto alto y ocurre al menos una vez al año","Zona 4 — Catastrófica poco probable: impacto alto pero excepcional"),IF(AND(T1654&lt;1.5,X1654&lt;1),"Zona 3 — Asumible: impacto bajo y muy poco frecuente","Zona 2 — Atención: riesgo intermedio"))</f>
        <v/>
      </c>
      <c r="AB1654" s="64">
        <f>IFERROR(INDEX(MgAmenCtrl,MATCH(SUBSTITUTE($H1654,"*","-"),MgAmenClave,0)),"")</f>
        <v/>
      </c>
      <c r="AC1654" s="20" t="n"/>
      <c r="AD1654" s="31">
        <f>IFERROR($X1654*(1-IF($AC1654="",$AL1654,VLOOKUP($AC1654,MgMad,2,0))),"")</f>
        <v/>
      </c>
      <c r="AE1654" s="28">
        <f>IFERROR(LOOKUP(AD1654,{0;0.01;0.1;1;10;100},{"Muy baja";"Muy baja";"Baja";"Media";"Alta";"Muy alta"}),"")</f>
        <v/>
      </c>
      <c r="AF1654" s="30">
        <f>T1654*AD1654</f>
        <v/>
      </c>
      <c r="AG1654" s="28">
        <f>IFERROR(LOOKUP(AF1654,{0;0.5;5;25},{"Bajo";"Medio";"Alto";"Crítico"}),"")</f>
        <v/>
      </c>
      <c r="AH1654" s="28">
        <f>IF(AG1654="","",IF(OR(AG1654="Crítico",AG1654="Alto"),"Mitigar",IF(AG1654="Medio","Mitigar","Aceptar y monitorear")))</f>
        <v/>
      </c>
      <c r="AI1654" s="21" t="n"/>
      <c r="AJ1654" s="21" t="n"/>
      <c r="AK1654" s="20" t="n"/>
      <c r="AL1654" s="77">
        <f>IFERROR(INDEX(MgAmenEfic,MATCH(SUBSTITUTE($H1654,"*","-"),MgAmenClave,0)),0)</f>
        <v/>
      </c>
    </row>
    <row r="1655" hidden="1" ht="60" customHeight="1" s="54">
      <c r="B1655" s="59" t="inlineStr">
        <is>
          <t>R-1650</t>
        </is>
      </c>
      <c r="C1655" s="59" t="inlineStr">
        <is>
          <t>TEC-007</t>
        </is>
      </c>
      <c r="D1655" s="64">
        <f>IFERROR(INDEX(MgNombre,MATCH($C1655,MgActId,0)),"")</f>
        <v/>
      </c>
      <c r="E1655" s="64">
        <f>IFERROR(INDEX(MgProceso,MATCH($C1655,MgActId,0)),"")</f>
        <v/>
      </c>
      <c r="F1655" s="64">
        <f>IFERROR(INDEX(MgTipo,MATCH($C1655,MgActId,0)),"")</f>
        <v/>
      </c>
      <c r="G1655" s="64">
        <f>IFERROR(INDEX(MgSubtipo,MATCH($C1655,MgActId,0)),"")</f>
        <v/>
      </c>
      <c r="H1655" s="59" t="inlineStr">
        <is>
          <t>A.24</t>
        </is>
      </c>
      <c r="I1655" s="64">
        <f>IFERROR(INDEX(MgAmenNombre,MATCH(SUBSTITUTE($H1655,"*","-"),MgAmenClave,0)),"")</f>
        <v/>
      </c>
      <c r="J1655" s="28">
        <f>IFERROR(INDEX(MgAmenGrupo,MATCH(SUBSTITUTE($H1655,"*","-"),MgAmenClave,0)),"")</f>
        <v/>
      </c>
      <c r="K1655" s="64">
        <f>IFERROR(INDEX('1. Matriz de Activos'!$Q$6:$Q$239,MATCH($C1655,MgActId,0)),"")</f>
        <v/>
      </c>
      <c r="L1655" s="64">
        <f>IFERROR(INDEX('1. Matriz de Activos'!$R$6:$R$239,MATCH($C1655,MgActId,0)),"")</f>
        <v/>
      </c>
      <c r="M1655" s="64">
        <f>IFERROR(INDEX('1. Matriz de Activos'!$S$6:$S$239,MATCH($C1655,MgActId,0)),"")</f>
        <v/>
      </c>
      <c r="N1655" s="28">
        <f>IFERROR(INDEX(MgAmenDegD,MATCH(SUBSTITUTE($H1655,"*","-"),MgAmenClave,0)),"No aplica")</f>
        <v/>
      </c>
      <c r="O1655" s="28">
        <f>IFERROR(INDEX(MgAmenDegI,MATCH(SUBSTITUTE($H1655,"*","-"),MgAmenClave,0)),"No aplica")</f>
        <v/>
      </c>
      <c r="P1655" s="28">
        <f>IFERROR(INDEX(MgAmenDegC,MATCH(SUBSTITUTE($H1655,"*","-"),MgAmenClave,0)),"No aplica")</f>
        <v/>
      </c>
      <c r="Q1655" s="29">
        <f>IFERROR(VLOOKUP(K1655,MgValor,2,0)*VLOOKUP(N1655,MgDeg,2,0),0)</f>
        <v/>
      </c>
      <c r="R1655" s="29">
        <f>IFERROR(VLOOKUP(L1655,MgValor,2,0)*VLOOKUP(O1655,MgDeg,2,0),0)</f>
        <v/>
      </c>
      <c r="S1655" s="29">
        <f>IFERROR(VLOOKUP(M1655,MgValor,2,0)*VLOOKUP(P1655,MgDeg,2,0),0)</f>
        <v/>
      </c>
      <c r="T1655" s="30">
        <f>MAX(Q1655:S1655)</f>
        <v/>
      </c>
      <c r="U1655" s="28">
        <f>IFERROR(LOOKUP(T1655,{0;0.5;1.5;3;4.5},{"Despreciable";"Bajo";"Medio";"Alto";"Muy alto"}),"")</f>
        <v/>
      </c>
      <c r="V1655" s="13">
        <f>IFERROR(INDEX(MgAmenFrec,MATCH(SUBSTITUTE($H1655,"*","-"),MgAmenClave,0)),"")</f>
        <v/>
      </c>
      <c r="W1655" s="28">
        <f>IFERROR(LOOKUP(X1655,{0;0.01;0.1;1;10;100},{"Muy baja";"Muy baja";"Baja";"Media";"Alta";"Muy alta"}),"")</f>
        <v/>
      </c>
      <c r="X1655" s="31">
        <f>IFERROR(VLOOKUP(V1655,MgFrec,2,0),0)</f>
        <v/>
      </c>
      <c r="Y1655" s="30">
        <f>T1655*X1655</f>
        <v/>
      </c>
      <c r="Z1655" s="28">
        <f>IFERROR(LOOKUP(Y1655,{0;0.5;5;25},{"Bajo";"Medio";"Alto";"Crítico"}),"")</f>
        <v/>
      </c>
      <c r="AA1655" s="64">
        <f>IF(T1655&gt;=3,IF(X1655&gt;=1,"Zona 1 — Crítica: impacto alto y ocurre al menos una vez al año","Zona 4 — Catastrófica poco probable: impacto alto pero excepcional"),IF(AND(T1655&lt;1.5,X1655&lt;1),"Zona 3 — Asumible: impacto bajo y muy poco frecuente","Zona 2 — Atención: riesgo intermedio"))</f>
        <v/>
      </c>
      <c r="AB1655" s="64">
        <f>IFERROR(INDEX(MgAmenCtrl,MATCH(SUBSTITUTE($H1655,"*","-"),MgAmenClave,0)),"")</f>
        <v/>
      </c>
      <c r="AC1655" s="20" t="n"/>
      <c r="AD1655" s="31">
        <f>IFERROR($X1655*(1-IF($AC1655="",$AL1655,VLOOKUP($AC1655,MgMad,2,0))),"")</f>
        <v/>
      </c>
      <c r="AE1655" s="28">
        <f>IFERROR(LOOKUP(AD1655,{0;0.01;0.1;1;10;100},{"Muy baja";"Muy baja";"Baja";"Media";"Alta";"Muy alta"}),"")</f>
        <v/>
      </c>
      <c r="AF1655" s="30">
        <f>T1655*AD1655</f>
        <v/>
      </c>
      <c r="AG1655" s="28">
        <f>IFERROR(LOOKUP(AF1655,{0;0.5;5;25},{"Bajo";"Medio";"Alto";"Crítico"}),"")</f>
        <v/>
      </c>
      <c r="AH1655" s="28">
        <f>IF(AG1655="","",IF(OR(AG1655="Crítico",AG1655="Alto"),"Mitigar",IF(AG1655="Medio","Mitigar","Aceptar y monitorear")))</f>
        <v/>
      </c>
      <c r="AI1655" s="21" t="n"/>
      <c r="AJ1655" s="21" t="n"/>
      <c r="AK1655" s="20" t="n"/>
      <c r="AL1655" s="77">
        <f>IFERROR(INDEX(MgAmenEfic,MATCH(SUBSTITUTE($H1655,"*","-"),MgAmenClave,0)),0)</f>
        <v/>
      </c>
    </row>
    <row r="1656" hidden="1" ht="75" customHeight="1" s="54">
      <c r="B1656" s="59" t="inlineStr">
        <is>
          <t>R-1651</t>
        </is>
      </c>
      <c r="C1656" s="59" t="inlineStr">
        <is>
          <t>TEC-007</t>
        </is>
      </c>
      <c r="D1656" s="64">
        <f>IFERROR(INDEX(MgNombre,MATCH($C1656,MgActId,0)),"")</f>
        <v/>
      </c>
      <c r="E1656" s="64">
        <f>IFERROR(INDEX(MgProceso,MATCH($C1656,MgActId,0)),"")</f>
        <v/>
      </c>
      <c r="F1656" s="64">
        <f>IFERROR(INDEX(MgTipo,MATCH($C1656,MgActId,0)),"")</f>
        <v/>
      </c>
      <c r="G1656" s="64">
        <f>IFERROR(INDEX(MgSubtipo,MATCH($C1656,MgActId,0)),"")</f>
        <v/>
      </c>
      <c r="H1656" s="59" t="inlineStr">
        <is>
          <t>A.25</t>
        </is>
      </c>
      <c r="I1656" s="64">
        <f>IFERROR(INDEX(MgAmenNombre,MATCH(SUBSTITUTE($H1656,"*","-"),MgAmenClave,0)),"")</f>
        <v/>
      </c>
      <c r="J1656" s="28">
        <f>IFERROR(INDEX(MgAmenGrupo,MATCH(SUBSTITUTE($H1656,"*","-"),MgAmenClave,0)),"")</f>
        <v/>
      </c>
      <c r="K1656" s="64">
        <f>IFERROR(INDEX('1. Matriz de Activos'!$Q$6:$Q$239,MATCH($C1656,MgActId,0)),"")</f>
        <v/>
      </c>
      <c r="L1656" s="64">
        <f>IFERROR(INDEX('1. Matriz de Activos'!$R$6:$R$239,MATCH($C1656,MgActId,0)),"")</f>
        <v/>
      </c>
      <c r="M1656" s="64">
        <f>IFERROR(INDEX('1. Matriz de Activos'!$S$6:$S$239,MATCH($C1656,MgActId,0)),"")</f>
        <v/>
      </c>
      <c r="N1656" s="28">
        <f>IFERROR(INDEX(MgAmenDegD,MATCH(SUBSTITUTE($H1656,"*","-"),MgAmenClave,0)),"No aplica")</f>
        <v/>
      </c>
      <c r="O1656" s="28">
        <f>IFERROR(INDEX(MgAmenDegI,MATCH(SUBSTITUTE($H1656,"*","-"),MgAmenClave,0)),"No aplica")</f>
        <v/>
      </c>
      <c r="P1656" s="28">
        <f>IFERROR(INDEX(MgAmenDegC,MATCH(SUBSTITUTE($H1656,"*","-"),MgAmenClave,0)),"No aplica")</f>
        <v/>
      </c>
      <c r="Q1656" s="29">
        <f>IFERROR(VLOOKUP(K1656,MgValor,2,0)*VLOOKUP(N1656,MgDeg,2,0),0)</f>
        <v/>
      </c>
      <c r="R1656" s="29">
        <f>IFERROR(VLOOKUP(L1656,MgValor,2,0)*VLOOKUP(O1656,MgDeg,2,0),0)</f>
        <v/>
      </c>
      <c r="S1656" s="29">
        <f>IFERROR(VLOOKUP(M1656,MgValor,2,0)*VLOOKUP(P1656,MgDeg,2,0),0)</f>
        <v/>
      </c>
      <c r="T1656" s="30">
        <f>MAX(Q1656:S1656)</f>
        <v/>
      </c>
      <c r="U1656" s="28">
        <f>IFERROR(LOOKUP(T1656,{0;0.5;1.5;3;4.5},{"Despreciable";"Bajo";"Medio";"Alto";"Muy alto"}),"")</f>
        <v/>
      </c>
      <c r="V1656" s="13">
        <f>IFERROR(INDEX(MgAmenFrec,MATCH(SUBSTITUTE($H1656,"*","-"),MgAmenClave,0)),"")</f>
        <v/>
      </c>
      <c r="W1656" s="28">
        <f>IFERROR(LOOKUP(X1656,{0;0.01;0.1;1;10;100},{"Muy baja";"Muy baja";"Baja";"Media";"Alta";"Muy alta"}),"")</f>
        <v/>
      </c>
      <c r="X1656" s="31">
        <f>IFERROR(VLOOKUP(V1656,MgFrec,2,0),0)</f>
        <v/>
      </c>
      <c r="Y1656" s="30">
        <f>T1656*X1656</f>
        <v/>
      </c>
      <c r="Z1656" s="28">
        <f>IFERROR(LOOKUP(Y1656,{0;0.5;5;25},{"Bajo";"Medio";"Alto";"Crítico"}),"")</f>
        <v/>
      </c>
      <c r="AA1656" s="64">
        <f>IF(T1656&gt;=3,IF(X1656&gt;=1,"Zona 1 — Crítica: impacto alto y ocurre al menos una vez al año","Zona 4 — Catastrófica poco probable: impacto alto pero excepcional"),IF(AND(T1656&lt;1.5,X1656&lt;1),"Zona 3 — Asumible: impacto bajo y muy poco frecuente","Zona 2 — Atención: riesgo intermedio"))</f>
        <v/>
      </c>
      <c r="AB1656" s="64">
        <f>IFERROR(INDEX(MgAmenCtrl,MATCH(SUBSTITUTE($H1656,"*","-"),MgAmenClave,0)),"")</f>
        <v/>
      </c>
      <c r="AC1656" s="20" t="n"/>
      <c r="AD1656" s="31">
        <f>IFERROR($X1656*(1-IF($AC1656="",$AL1656,VLOOKUP($AC1656,MgMad,2,0))),"")</f>
        <v/>
      </c>
      <c r="AE1656" s="28">
        <f>IFERROR(LOOKUP(AD1656,{0;0.01;0.1;1;10;100},{"Muy baja";"Muy baja";"Baja";"Media";"Alta";"Muy alta"}),"")</f>
        <v/>
      </c>
      <c r="AF1656" s="30">
        <f>T1656*AD1656</f>
        <v/>
      </c>
      <c r="AG1656" s="28">
        <f>IFERROR(LOOKUP(AF1656,{0;0.5;5;25},{"Bajo";"Medio";"Alto";"Crítico"}),"")</f>
        <v/>
      </c>
      <c r="AH1656" s="28">
        <f>IF(AG1656="","",IF(OR(AG1656="Crítico",AG1656="Alto"),"Mitigar",IF(AG1656="Medio","Mitigar","Aceptar y monitorear")))</f>
        <v/>
      </c>
      <c r="AI1656" s="21" t="n"/>
      <c r="AJ1656" s="21" t="n"/>
      <c r="AK1656" s="20" t="n"/>
      <c r="AL1656" s="77">
        <f>IFERROR(INDEX(MgAmenEfic,MATCH(SUBSTITUTE($H1656,"*","-"),MgAmenClave,0)),0)</f>
        <v/>
      </c>
    </row>
    <row r="1657" hidden="1" ht="60" customHeight="1" s="54">
      <c r="B1657" s="59" t="inlineStr">
        <is>
          <t>R-1652</t>
        </is>
      </c>
      <c r="C1657" s="59" t="inlineStr">
        <is>
          <t>TEC-007</t>
        </is>
      </c>
      <c r="D1657" s="64">
        <f>IFERROR(INDEX(MgNombre,MATCH($C1657,MgActId,0)),"")</f>
        <v/>
      </c>
      <c r="E1657" s="64">
        <f>IFERROR(INDEX(MgProceso,MATCH($C1657,MgActId,0)),"")</f>
        <v/>
      </c>
      <c r="F1657" s="64">
        <f>IFERROR(INDEX(MgTipo,MATCH($C1657,MgActId,0)),"")</f>
        <v/>
      </c>
      <c r="G1657" s="64">
        <f>IFERROR(INDEX(MgSubtipo,MATCH($C1657,MgActId,0)),"")</f>
        <v/>
      </c>
      <c r="H1657" s="59" t="inlineStr">
        <is>
          <t>A.26</t>
        </is>
      </c>
      <c r="I1657" s="64">
        <f>IFERROR(INDEX(MgAmenNombre,MATCH(SUBSTITUTE($H1657,"*","-"),MgAmenClave,0)),"")</f>
        <v/>
      </c>
      <c r="J1657" s="28">
        <f>IFERROR(INDEX(MgAmenGrupo,MATCH(SUBSTITUTE($H1657,"*","-"),MgAmenClave,0)),"")</f>
        <v/>
      </c>
      <c r="K1657" s="64">
        <f>IFERROR(INDEX('1. Matriz de Activos'!$Q$6:$Q$239,MATCH($C1657,MgActId,0)),"")</f>
        <v/>
      </c>
      <c r="L1657" s="64">
        <f>IFERROR(INDEX('1. Matriz de Activos'!$R$6:$R$239,MATCH($C1657,MgActId,0)),"")</f>
        <v/>
      </c>
      <c r="M1657" s="64">
        <f>IFERROR(INDEX('1. Matriz de Activos'!$S$6:$S$239,MATCH($C1657,MgActId,0)),"")</f>
        <v/>
      </c>
      <c r="N1657" s="28">
        <f>IFERROR(INDEX(MgAmenDegD,MATCH(SUBSTITUTE($H1657,"*","-"),MgAmenClave,0)),"No aplica")</f>
        <v/>
      </c>
      <c r="O1657" s="28">
        <f>IFERROR(INDEX(MgAmenDegI,MATCH(SUBSTITUTE($H1657,"*","-"),MgAmenClave,0)),"No aplica")</f>
        <v/>
      </c>
      <c r="P1657" s="28">
        <f>IFERROR(INDEX(MgAmenDegC,MATCH(SUBSTITUTE($H1657,"*","-"),MgAmenClave,0)),"No aplica")</f>
        <v/>
      </c>
      <c r="Q1657" s="29">
        <f>IFERROR(VLOOKUP(K1657,MgValor,2,0)*VLOOKUP(N1657,MgDeg,2,0),0)</f>
        <v/>
      </c>
      <c r="R1657" s="29">
        <f>IFERROR(VLOOKUP(L1657,MgValor,2,0)*VLOOKUP(O1657,MgDeg,2,0),0)</f>
        <v/>
      </c>
      <c r="S1657" s="29">
        <f>IFERROR(VLOOKUP(M1657,MgValor,2,0)*VLOOKUP(P1657,MgDeg,2,0),0)</f>
        <v/>
      </c>
      <c r="T1657" s="30">
        <f>MAX(Q1657:S1657)</f>
        <v/>
      </c>
      <c r="U1657" s="28">
        <f>IFERROR(LOOKUP(T1657,{0;0.5;1.5;3;4.5},{"Despreciable";"Bajo";"Medio";"Alto";"Muy alto"}),"")</f>
        <v/>
      </c>
      <c r="V1657" s="13">
        <f>IFERROR(INDEX(MgAmenFrec,MATCH(SUBSTITUTE($H1657,"*","-"),MgAmenClave,0)),"")</f>
        <v/>
      </c>
      <c r="W1657" s="28">
        <f>IFERROR(LOOKUP(X1657,{0;0.01;0.1;1;10;100},{"Muy baja";"Muy baja";"Baja";"Media";"Alta";"Muy alta"}),"")</f>
        <v/>
      </c>
      <c r="X1657" s="31">
        <f>IFERROR(VLOOKUP(V1657,MgFrec,2,0),0)</f>
        <v/>
      </c>
      <c r="Y1657" s="30">
        <f>T1657*X1657</f>
        <v/>
      </c>
      <c r="Z1657" s="28">
        <f>IFERROR(LOOKUP(Y1657,{0;0.5;5;25},{"Bajo";"Medio";"Alto";"Crítico"}),"")</f>
        <v/>
      </c>
      <c r="AA1657" s="64">
        <f>IF(T1657&gt;=3,IF(X1657&gt;=1,"Zona 1 — Crítica: impacto alto y ocurre al menos una vez al año","Zona 4 — Catastrófica poco probable: impacto alto pero excepcional"),IF(AND(T1657&lt;1.5,X1657&lt;1),"Zona 3 — Asumible: impacto bajo y muy poco frecuente","Zona 2 — Atención: riesgo intermedio"))</f>
        <v/>
      </c>
      <c r="AB1657" s="64">
        <f>IFERROR(INDEX(MgAmenCtrl,MATCH(SUBSTITUTE($H1657,"*","-"),MgAmenClave,0)),"")</f>
        <v/>
      </c>
      <c r="AC1657" s="20" t="n"/>
      <c r="AD1657" s="31">
        <f>IFERROR($X1657*(1-IF($AC1657="",$AL1657,VLOOKUP($AC1657,MgMad,2,0))),"")</f>
        <v/>
      </c>
      <c r="AE1657" s="28">
        <f>IFERROR(LOOKUP(AD1657,{0;0.01;0.1;1;10;100},{"Muy baja";"Muy baja";"Baja";"Media";"Alta";"Muy alta"}),"")</f>
        <v/>
      </c>
      <c r="AF1657" s="30">
        <f>T1657*AD1657</f>
        <v/>
      </c>
      <c r="AG1657" s="28">
        <f>IFERROR(LOOKUP(AF1657,{0;0.5;5;25},{"Bajo";"Medio";"Alto";"Crítico"}),"")</f>
        <v/>
      </c>
      <c r="AH1657" s="28">
        <f>IF(AG1657="","",IF(OR(AG1657="Crítico",AG1657="Alto"),"Mitigar",IF(AG1657="Medio","Mitigar","Aceptar y monitorear")))</f>
        <v/>
      </c>
      <c r="AI1657" s="21" t="n"/>
      <c r="AJ1657" s="21" t="n"/>
      <c r="AK1657" s="20" t="n"/>
      <c r="AL1657" s="77">
        <f>IFERROR(INDEX(MgAmenEfic,MATCH(SUBSTITUTE($H1657,"*","-"),MgAmenClave,0)),0)</f>
        <v/>
      </c>
    </row>
    <row r="1658" hidden="1" ht="90" customHeight="1" s="54">
      <c r="B1658" s="59" t="inlineStr">
        <is>
          <t>R-1653</t>
        </is>
      </c>
      <c r="C1658" s="59" t="inlineStr">
        <is>
          <t>TEC-005</t>
        </is>
      </c>
      <c r="D1658" s="64">
        <f>IFERROR(INDEX(MgNombre,MATCH($C1658,MgActId,0)),"")</f>
        <v/>
      </c>
      <c r="E1658" s="64">
        <f>IFERROR(INDEX(MgProceso,MATCH($C1658,MgActId,0)),"")</f>
        <v/>
      </c>
      <c r="F1658" s="64">
        <f>IFERROR(INDEX(MgTipo,MATCH($C1658,MgActId,0)),"")</f>
        <v/>
      </c>
      <c r="G1658" s="64">
        <f>IFERROR(INDEX(MgSubtipo,MATCH($C1658,MgActId,0)),"")</f>
        <v/>
      </c>
      <c r="H1658" s="59" t="inlineStr">
        <is>
          <t>N.1</t>
        </is>
      </c>
      <c r="I1658" s="64">
        <f>IFERROR(INDEX(MgAmenNombre,MATCH(SUBSTITUTE($H1658,"*","-"),MgAmenClave,0)),"")</f>
        <v/>
      </c>
      <c r="J1658" s="28">
        <f>IFERROR(INDEX(MgAmenGrupo,MATCH(SUBSTITUTE($H1658,"*","-"),MgAmenClave,0)),"")</f>
        <v/>
      </c>
      <c r="K1658" s="64">
        <f>IFERROR(INDEX('1. Matriz de Activos'!$Q$6:$Q$239,MATCH($C1658,MgActId,0)),"")</f>
        <v/>
      </c>
      <c r="L1658" s="64">
        <f>IFERROR(INDEX('1. Matriz de Activos'!$R$6:$R$239,MATCH($C1658,MgActId,0)),"")</f>
        <v/>
      </c>
      <c r="M1658" s="64">
        <f>IFERROR(INDEX('1. Matriz de Activos'!$S$6:$S$239,MATCH($C1658,MgActId,0)),"")</f>
        <v/>
      </c>
      <c r="N1658" s="28">
        <f>IFERROR(INDEX(MgAmenDegD,MATCH(SUBSTITUTE($H1658,"*","-"),MgAmenClave,0)),"No aplica")</f>
        <v/>
      </c>
      <c r="O1658" s="28">
        <f>IFERROR(INDEX(MgAmenDegI,MATCH(SUBSTITUTE($H1658,"*","-"),MgAmenClave,0)),"No aplica")</f>
        <v/>
      </c>
      <c r="P1658" s="28">
        <f>IFERROR(INDEX(MgAmenDegC,MATCH(SUBSTITUTE($H1658,"*","-"),MgAmenClave,0)),"No aplica")</f>
        <v/>
      </c>
      <c r="Q1658" s="29">
        <f>IFERROR(VLOOKUP(K1658,MgValor,2,0)*VLOOKUP(N1658,MgDeg,2,0),0)</f>
        <v/>
      </c>
      <c r="R1658" s="29">
        <f>IFERROR(VLOOKUP(L1658,MgValor,2,0)*VLOOKUP(O1658,MgDeg,2,0),0)</f>
        <v/>
      </c>
      <c r="S1658" s="29">
        <f>IFERROR(VLOOKUP(M1658,MgValor,2,0)*VLOOKUP(P1658,MgDeg,2,0),0)</f>
        <v/>
      </c>
      <c r="T1658" s="30">
        <f>MAX(Q1658:S1658)</f>
        <v/>
      </c>
      <c r="U1658" s="28">
        <f>IFERROR(LOOKUP(T1658,{0;0.5;1.5;3;4.5},{"Despreciable";"Bajo";"Medio";"Alto";"Muy alto"}),"")</f>
        <v/>
      </c>
      <c r="V1658" s="13">
        <f>IFERROR(INDEX(MgAmenFrec,MATCH(SUBSTITUTE($H1658,"*","-"),MgAmenClave,0)),"")</f>
        <v/>
      </c>
      <c r="W1658" s="28">
        <f>IFERROR(LOOKUP(X1658,{0;0.01;0.1;1;10;100},{"Muy baja";"Muy baja";"Baja";"Media";"Alta";"Muy alta"}),"")</f>
        <v/>
      </c>
      <c r="X1658" s="31">
        <f>IFERROR(VLOOKUP(V1658,MgFrec,2,0),0)</f>
        <v/>
      </c>
      <c r="Y1658" s="30">
        <f>T1658*X1658</f>
        <v/>
      </c>
      <c r="Z1658" s="28">
        <f>IFERROR(LOOKUP(Y1658,{0;0.5;5;25},{"Bajo";"Medio";"Alto";"Crítico"}),"")</f>
        <v/>
      </c>
      <c r="AA1658" s="64">
        <f>IF(T1658&gt;=3,IF(X1658&gt;=1,"Zona 1 — Crítica: impacto alto y ocurre al menos una vez al año","Zona 4 — Catastrófica poco probable: impacto alto pero excepcional"),IF(AND(T1658&lt;1.5,X1658&lt;1),"Zona 3 — Asumible: impacto bajo y muy poco frecuente","Zona 2 — Atención: riesgo intermedio"))</f>
        <v/>
      </c>
      <c r="AB1658" s="64">
        <f>IFERROR(INDEX(MgAmenCtrl,MATCH(SUBSTITUTE($H1658,"*","-"),MgAmenClave,0)),"")</f>
        <v/>
      </c>
      <c r="AC1658" s="20" t="n"/>
      <c r="AD1658" s="31">
        <f>IFERROR($X1658*(1-IF($AC1658="",$AL1658,VLOOKUP($AC1658,MgMad,2,0))),"")</f>
        <v/>
      </c>
      <c r="AE1658" s="28">
        <f>IFERROR(LOOKUP(AD1658,{0;0.01;0.1;1;10;100},{"Muy baja";"Muy baja";"Baja";"Media";"Alta";"Muy alta"}),"")</f>
        <v/>
      </c>
      <c r="AF1658" s="30">
        <f>T1658*AD1658</f>
        <v/>
      </c>
      <c r="AG1658" s="28">
        <f>IFERROR(LOOKUP(AF1658,{0;0.5;5;25},{"Bajo";"Medio";"Alto";"Crítico"}),"")</f>
        <v/>
      </c>
      <c r="AH1658" s="28">
        <f>IF(AG1658="","",IF(OR(AG1658="Crítico",AG1658="Alto"),"Mitigar",IF(AG1658="Medio","Mitigar","Aceptar y monitorear")))</f>
        <v/>
      </c>
      <c r="AI1658" s="21" t="n"/>
      <c r="AJ1658" s="21" t="n"/>
      <c r="AK1658" s="20" t="n"/>
      <c r="AL1658" s="77">
        <f>IFERROR(INDEX(MgAmenEfic,MATCH(SUBSTITUTE($H1658,"*","-"),MgAmenClave,0)),0)</f>
        <v/>
      </c>
    </row>
    <row r="1659" hidden="1" ht="60" customHeight="1" s="54">
      <c r="B1659" s="59" t="inlineStr">
        <is>
          <t>R-1654</t>
        </is>
      </c>
      <c r="C1659" s="59" t="inlineStr">
        <is>
          <t>TEC-005</t>
        </is>
      </c>
      <c r="D1659" s="64">
        <f>IFERROR(INDEX(MgNombre,MATCH($C1659,MgActId,0)),"")</f>
        <v/>
      </c>
      <c r="E1659" s="64">
        <f>IFERROR(INDEX(MgProceso,MATCH($C1659,MgActId,0)),"")</f>
        <v/>
      </c>
      <c r="F1659" s="64">
        <f>IFERROR(INDEX(MgTipo,MATCH($C1659,MgActId,0)),"")</f>
        <v/>
      </c>
      <c r="G1659" s="64">
        <f>IFERROR(INDEX(MgSubtipo,MATCH($C1659,MgActId,0)),"")</f>
        <v/>
      </c>
      <c r="H1659" s="59" t="inlineStr">
        <is>
          <t>N.2</t>
        </is>
      </c>
      <c r="I1659" s="64">
        <f>IFERROR(INDEX(MgAmenNombre,MATCH(SUBSTITUTE($H1659,"*","-"),MgAmenClave,0)),"")</f>
        <v/>
      </c>
      <c r="J1659" s="28">
        <f>IFERROR(INDEX(MgAmenGrupo,MATCH(SUBSTITUTE($H1659,"*","-"),MgAmenClave,0)),"")</f>
        <v/>
      </c>
      <c r="K1659" s="64">
        <f>IFERROR(INDEX('1. Matriz de Activos'!$Q$6:$Q$239,MATCH($C1659,MgActId,0)),"")</f>
        <v/>
      </c>
      <c r="L1659" s="64">
        <f>IFERROR(INDEX('1. Matriz de Activos'!$R$6:$R$239,MATCH($C1659,MgActId,0)),"")</f>
        <v/>
      </c>
      <c r="M1659" s="64">
        <f>IFERROR(INDEX('1. Matriz de Activos'!$S$6:$S$239,MATCH($C1659,MgActId,0)),"")</f>
        <v/>
      </c>
      <c r="N1659" s="28">
        <f>IFERROR(INDEX(MgAmenDegD,MATCH(SUBSTITUTE($H1659,"*","-"),MgAmenClave,0)),"No aplica")</f>
        <v/>
      </c>
      <c r="O1659" s="28">
        <f>IFERROR(INDEX(MgAmenDegI,MATCH(SUBSTITUTE($H1659,"*","-"),MgAmenClave,0)),"No aplica")</f>
        <v/>
      </c>
      <c r="P1659" s="28">
        <f>IFERROR(INDEX(MgAmenDegC,MATCH(SUBSTITUTE($H1659,"*","-"),MgAmenClave,0)),"No aplica")</f>
        <v/>
      </c>
      <c r="Q1659" s="29">
        <f>IFERROR(VLOOKUP(K1659,MgValor,2,0)*VLOOKUP(N1659,MgDeg,2,0),0)</f>
        <v/>
      </c>
      <c r="R1659" s="29">
        <f>IFERROR(VLOOKUP(L1659,MgValor,2,0)*VLOOKUP(O1659,MgDeg,2,0),0)</f>
        <v/>
      </c>
      <c r="S1659" s="29">
        <f>IFERROR(VLOOKUP(M1659,MgValor,2,0)*VLOOKUP(P1659,MgDeg,2,0),0)</f>
        <v/>
      </c>
      <c r="T1659" s="30">
        <f>MAX(Q1659:S1659)</f>
        <v/>
      </c>
      <c r="U1659" s="28">
        <f>IFERROR(LOOKUP(T1659,{0;0.5;1.5;3;4.5},{"Despreciable";"Bajo";"Medio";"Alto";"Muy alto"}),"")</f>
        <v/>
      </c>
      <c r="V1659" s="13">
        <f>IFERROR(INDEX(MgAmenFrec,MATCH(SUBSTITUTE($H1659,"*","-"),MgAmenClave,0)),"")</f>
        <v/>
      </c>
      <c r="W1659" s="28">
        <f>IFERROR(LOOKUP(X1659,{0;0.01;0.1;1;10;100},{"Muy baja";"Muy baja";"Baja";"Media";"Alta";"Muy alta"}),"")</f>
        <v/>
      </c>
      <c r="X1659" s="31">
        <f>IFERROR(VLOOKUP(V1659,MgFrec,2,0),0)</f>
        <v/>
      </c>
      <c r="Y1659" s="30">
        <f>T1659*X1659</f>
        <v/>
      </c>
      <c r="Z1659" s="28">
        <f>IFERROR(LOOKUP(Y1659,{0;0.5;5;25},{"Bajo";"Medio";"Alto";"Crítico"}),"")</f>
        <v/>
      </c>
      <c r="AA1659" s="64">
        <f>IF(T1659&gt;=3,IF(X1659&gt;=1,"Zona 1 — Crítica: impacto alto y ocurre al menos una vez al año","Zona 4 — Catastrófica poco probable: impacto alto pero excepcional"),IF(AND(T1659&lt;1.5,X1659&lt;1),"Zona 3 — Asumible: impacto bajo y muy poco frecuente","Zona 2 — Atención: riesgo intermedio"))</f>
        <v/>
      </c>
      <c r="AB1659" s="64">
        <f>IFERROR(INDEX(MgAmenCtrl,MATCH(SUBSTITUTE($H1659,"*","-"),MgAmenClave,0)),"")</f>
        <v/>
      </c>
      <c r="AC1659" s="20" t="n"/>
      <c r="AD1659" s="31">
        <f>IFERROR($X1659*(1-IF($AC1659="",$AL1659,VLOOKUP($AC1659,MgMad,2,0))),"")</f>
        <v/>
      </c>
      <c r="AE1659" s="28">
        <f>IFERROR(LOOKUP(AD1659,{0;0.01;0.1;1;10;100},{"Muy baja";"Muy baja";"Baja";"Media";"Alta";"Muy alta"}),"")</f>
        <v/>
      </c>
      <c r="AF1659" s="30">
        <f>T1659*AD1659</f>
        <v/>
      </c>
      <c r="AG1659" s="28">
        <f>IFERROR(LOOKUP(AF1659,{0;0.5;5;25},{"Bajo";"Medio";"Alto";"Crítico"}),"")</f>
        <v/>
      </c>
      <c r="AH1659" s="28">
        <f>IF(AG1659="","",IF(OR(AG1659="Crítico",AG1659="Alto"),"Mitigar",IF(AG1659="Medio","Mitigar","Aceptar y monitorear")))</f>
        <v/>
      </c>
      <c r="AI1659" s="21" t="n"/>
      <c r="AJ1659" s="21" t="n"/>
      <c r="AK1659" s="20" t="n"/>
      <c r="AL1659" s="77">
        <f>IFERROR(INDEX(MgAmenEfic,MATCH(SUBSTITUTE($H1659,"*","-"),MgAmenClave,0)),0)</f>
        <v/>
      </c>
    </row>
    <row r="1660" hidden="1" ht="75" customHeight="1" s="54">
      <c r="B1660" s="59" t="inlineStr">
        <is>
          <t>R-1655</t>
        </is>
      </c>
      <c r="C1660" s="59" t="inlineStr">
        <is>
          <t>TEC-005</t>
        </is>
      </c>
      <c r="D1660" s="64">
        <f>IFERROR(INDEX(MgNombre,MATCH($C1660,MgActId,0)),"")</f>
        <v/>
      </c>
      <c r="E1660" s="64">
        <f>IFERROR(INDEX(MgProceso,MATCH($C1660,MgActId,0)),"")</f>
        <v/>
      </c>
      <c r="F1660" s="64">
        <f>IFERROR(INDEX(MgTipo,MATCH($C1660,MgActId,0)),"")</f>
        <v/>
      </c>
      <c r="G1660" s="64">
        <f>IFERROR(INDEX(MgSubtipo,MATCH($C1660,MgActId,0)),"")</f>
        <v/>
      </c>
      <c r="H1660" s="59" t="inlineStr">
        <is>
          <t>N.*</t>
        </is>
      </c>
      <c r="I1660" s="64">
        <f>IFERROR(INDEX(MgAmenNombre,MATCH(SUBSTITUTE($H1660,"*","-"),MgAmenClave,0)),"")</f>
        <v/>
      </c>
      <c r="J1660" s="28">
        <f>IFERROR(INDEX(MgAmenGrupo,MATCH(SUBSTITUTE($H1660,"*","-"),MgAmenClave,0)),"")</f>
        <v/>
      </c>
      <c r="K1660" s="64">
        <f>IFERROR(INDEX('1. Matriz de Activos'!$Q$6:$Q$239,MATCH($C1660,MgActId,0)),"")</f>
        <v/>
      </c>
      <c r="L1660" s="64">
        <f>IFERROR(INDEX('1. Matriz de Activos'!$R$6:$R$239,MATCH($C1660,MgActId,0)),"")</f>
        <v/>
      </c>
      <c r="M1660" s="64">
        <f>IFERROR(INDEX('1. Matriz de Activos'!$S$6:$S$239,MATCH($C1660,MgActId,0)),"")</f>
        <v/>
      </c>
      <c r="N1660" s="28">
        <f>IFERROR(INDEX(MgAmenDegD,MATCH(SUBSTITUTE($H1660,"*","-"),MgAmenClave,0)),"No aplica")</f>
        <v/>
      </c>
      <c r="O1660" s="28">
        <f>IFERROR(INDEX(MgAmenDegI,MATCH(SUBSTITUTE($H1660,"*","-"),MgAmenClave,0)),"No aplica")</f>
        <v/>
      </c>
      <c r="P1660" s="28">
        <f>IFERROR(INDEX(MgAmenDegC,MATCH(SUBSTITUTE($H1660,"*","-"),MgAmenClave,0)),"No aplica")</f>
        <v/>
      </c>
      <c r="Q1660" s="29">
        <f>IFERROR(VLOOKUP(K1660,MgValor,2,0)*VLOOKUP(N1660,MgDeg,2,0),0)</f>
        <v/>
      </c>
      <c r="R1660" s="29">
        <f>IFERROR(VLOOKUP(L1660,MgValor,2,0)*VLOOKUP(O1660,MgDeg,2,0),0)</f>
        <v/>
      </c>
      <c r="S1660" s="29">
        <f>IFERROR(VLOOKUP(M1660,MgValor,2,0)*VLOOKUP(P1660,MgDeg,2,0),0)</f>
        <v/>
      </c>
      <c r="T1660" s="30">
        <f>MAX(Q1660:S1660)</f>
        <v/>
      </c>
      <c r="U1660" s="28">
        <f>IFERROR(LOOKUP(T1660,{0;0.5;1.5;3;4.5},{"Despreciable";"Bajo";"Medio";"Alto";"Muy alto"}),"")</f>
        <v/>
      </c>
      <c r="V1660" s="13">
        <f>IFERROR(INDEX(MgAmenFrec,MATCH(SUBSTITUTE($H1660,"*","-"),MgAmenClave,0)),"")</f>
        <v/>
      </c>
      <c r="W1660" s="28">
        <f>IFERROR(LOOKUP(X1660,{0;0.01;0.1;1;10;100},{"Muy baja";"Muy baja";"Baja";"Media";"Alta";"Muy alta"}),"")</f>
        <v/>
      </c>
      <c r="X1660" s="31">
        <f>IFERROR(VLOOKUP(V1660,MgFrec,2,0),0)</f>
        <v/>
      </c>
      <c r="Y1660" s="30">
        <f>T1660*X1660</f>
        <v/>
      </c>
      <c r="Z1660" s="28">
        <f>IFERROR(LOOKUP(Y1660,{0;0.5;5;25},{"Bajo";"Medio";"Alto";"Crítico"}),"")</f>
        <v/>
      </c>
      <c r="AA1660" s="64">
        <f>IF(T1660&gt;=3,IF(X1660&gt;=1,"Zona 1 — Crítica: impacto alto y ocurre al menos una vez al año","Zona 4 — Catastrófica poco probable: impacto alto pero excepcional"),IF(AND(T1660&lt;1.5,X1660&lt;1),"Zona 3 — Asumible: impacto bajo y muy poco frecuente","Zona 2 — Atención: riesgo intermedio"))</f>
        <v/>
      </c>
      <c r="AB1660" s="64">
        <f>IFERROR(INDEX(MgAmenCtrl,MATCH(SUBSTITUTE($H1660,"*","-"),MgAmenClave,0)),"")</f>
        <v/>
      </c>
      <c r="AC1660" s="20" t="n"/>
      <c r="AD1660" s="31">
        <f>IFERROR($X1660*(1-IF($AC1660="",$AL1660,VLOOKUP($AC1660,MgMad,2,0))),"")</f>
        <v/>
      </c>
      <c r="AE1660" s="28">
        <f>IFERROR(LOOKUP(AD1660,{0;0.01;0.1;1;10;100},{"Muy baja";"Muy baja";"Baja";"Media";"Alta";"Muy alta"}),"")</f>
        <v/>
      </c>
      <c r="AF1660" s="30">
        <f>T1660*AD1660</f>
        <v/>
      </c>
      <c r="AG1660" s="28">
        <f>IFERROR(LOOKUP(AF1660,{0;0.5;5;25},{"Bajo";"Medio";"Alto";"Crítico"}),"")</f>
        <v/>
      </c>
      <c r="AH1660" s="28">
        <f>IF(AG1660="","",IF(OR(AG1660="Crítico",AG1660="Alto"),"Mitigar",IF(AG1660="Medio","Mitigar","Aceptar y monitorear")))</f>
        <v/>
      </c>
      <c r="AI1660" s="21" t="n"/>
      <c r="AJ1660" s="21" t="n"/>
      <c r="AK1660" s="20" t="n"/>
      <c r="AL1660" s="77">
        <f>IFERROR(INDEX(MgAmenEfic,MATCH(SUBSTITUTE($H1660,"*","-"),MgAmenClave,0)),0)</f>
        <v/>
      </c>
    </row>
    <row r="1661" hidden="1" ht="75" customHeight="1" s="54">
      <c r="B1661" s="59" t="inlineStr">
        <is>
          <t>R-1656</t>
        </is>
      </c>
      <c r="C1661" s="59" t="inlineStr">
        <is>
          <t>TEC-005</t>
        </is>
      </c>
      <c r="D1661" s="64">
        <f>IFERROR(INDEX(MgNombre,MATCH($C1661,MgActId,0)),"")</f>
        <v/>
      </c>
      <c r="E1661" s="64">
        <f>IFERROR(INDEX(MgProceso,MATCH($C1661,MgActId,0)),"")</f>
        <v/>
      </c>
      <c r="F1661" s="64">
        <f>IFERROR(INDEX(MgTipo,MATCH($C1661,MgActId,0)),"")</f>
        <v/>
      </c>
      <c r="G1661" s="64">
        <f>IFERROR(INDEX(MgSubtipo,MATCH($C1661,MgActId,0)),"")</f>
        <v/>
      </c>
      <c r="H1661" s="59" t="inlineStr">
        <is>
          <t>I.1</t>
        </is>
      </c>
      <c r="I1661" s="64">
        <f>IFERROR(INDEX(MgAmenNombre,MATCH(SUBSTITUTE($H1661,"*","-"),MgAmenClave,0)),"")</f>
        <v/>
      </c>
      <c r="J1661" s="28">
        <f>IFERROR(INDEX(MgAmenGrupo,MATCH(SUBSTITUTE($H1661,"*","-"),MgAmenClave,0)),"")</f>
        <v/>
      </c>
      <c r="K1661" s="64">
        <f>IFERROR(INDEX('1. Matriz de Activos'!$Q$6:$Q$239,MATCH($C1661,MgActId,0)),"")</f>
        <v/>
      </c>
      <c r="L1661" s="64">
        <f>IFERROR(INDEX('1. Matriz de Activos'!$R$6:$R$239,MATCH($C1661,MgActId,0)),"")</f>
        <v/>
      </c>
      <c r="M1661" s="64">
        <f>IFERROR(INDEX('1. Matriz de Activos'!$S$6:$S$239,MATCH($C1661,MgActId,0)),"")</f>
        <v/>
      </c>
      <c r="N1661" s="28">
        <f>IFERROR(INDEX(MgAmenDegD,MATCH(SUBSTITUTE($H1661,"*","-"),MgAmenClave,0)),"No aplica")</f>
        <v/>
      </c>
      <c r="O1661" s="28">
        <f>IFERROR(INDEX(MgAmenDegI,MATCH(SUBSTITUTE($H1661,"*","-"),MgAmenClave,0)),"No aplica")</f>
        <v/>
      </c>
      <c r="P1661" s="28">
        <f>IFERROR(INDEX(MgAmenDegC,MATCH(SUBSTITUTE($H1661,"*","-"),MgAmenClave,0)),"No aplica")</f>
        <v/>
      </c>
      <c r="Q1661" s="29">
        <f>IFERROR(VLOOKUP(K1661,MgValor,2,0)*VLOOKUP(N1661,MgDeg,2,0),0)</f>
        <v/>
      </c>
      <c r="R1661" s="29">
        <f>IFERROR(VLOOKUP(L1661,MgValor,2,0)*VLOOKUP(O1661,MgDeg,2,0),0)</f>
        <v/>
      </c>
      <c r="S1661" s="29">
        <f>IFERROR(VLOOKUP(M1661,MgValor,2,0)*VLOOKUP(P1661,MgDeg,2,0),0)</f>
        <v/>
      </c>
      <c r="T1661" s="30">
        <f>MAX(Q1661:S1661)</f>
        <v/>
      </c>
      <c r="U1661" s="28">
        <f>IFERROR(LOOKUP(T1661,{0;0.5;1.5;3;4.5},{"Despreciable";"Bajo";"Medio";"Alto";"Muy alto"}),"")</f>
        <v/>
      </c>
      <c r="V1661" s="13">
        <f>IFERROR(INDEX(MgAmenFrec,MATCH(SUBSTITUTE($H1661,"*","-"),MgAmenClave,0)),"")</f>
        <v/>
      </c>
      <c r="W1661" s="28">
        <f>IFERROR(LOOKUP(X1661,{0;0.01;0.1;1;10;100},{"Muy baja";"Muy baja";"Baja";"Media";"Alta";"Muy alta"}),"")</f>
        <v/>
      </c>
      <c r="X1661" s="31">
        <f>IFERROR(VLOOKUP(V1661,MgFrec,2,0),0)</f>
        <v/>
      </c>
      <c r="Y1661" s="30">
        <f>T1661*X1661</f>
        <v/>
      </c>
      <c r="Z1661" s="28">
        <f>IFERROR(LOOKUP(Y1661,{0;0.5;5;25},{"Bajo";"Medio";"Alto";"Crítico"}),"")</f>
        <v/>
      </c>
      <c r="AA1661" s="64">
        <f>IF(T1661&gt;=3,IF(X1661&gt;=1,"Zona 1 — Crítica: impacto alto y ocurre al menos una vez al año","Zona 4 — Catastrófica poco probable: impacto alto pero excepcional"),IF(AND(T1661&lt;1.5,X1661&lt;1),"Zona 3 — Asumible: impacto bajo y muy poco frecuente","Zona 2 — Atención: riesgo intermedio"))</f>
        <v/>
      </c>
      <c r="AB1661" s="64">
        <f>IFERROR(INDEX(MgAmenCtrl,MATCH(SUBSTITUTE($H1661,"*","-"),MgAmenClave,0)),"")</f>
        <v/>
      </c>
      <c r="AC1661" s="20" t="n"/>
      <c r="AD1661" s="31">
        <f>IFERROR($X1661*(1-IF($AC1661="",$AL1661,VLOOKUP($AC1661,MgMad,2,0))),"")</f>
        <v/>
      </c>
      <c r="AE1661" s="28">
        <f>IFERROR(LOOKUP(AD1661,{0;0.01;0.1;1;10;100},{"Muy baja";"Muy baja";"Baja";"Media";"Alta";"Muy alta"}),"")</f>
        <v/>
      </c>
      <c r="AF1661" s="30">
        <f>T1661*AD1661</f>
        <v/>
      </c>
      <c r="AG1661" s="28">
        <f>IFERROR(LOOKUP(AF1661,{0;0.5;5;25},{"Bajo";"Medio";"Alto";"Crítico"}),"")</f>
        <v/>
      </c>
      <c r="AH1661" s="28">
        <f>IF(AG1661="","",IF(OR(AG1661="Crítico",AG1661="Alto"),"Mitigar",IF(AG1661="Medio","Mitigar","Aceptar y monitorear")))</f>
        <v/>
      </c>
      <c r="AI1661" s="21" t="n"/>
      <c r="AJ1661" s="21" t="n"/>
      <c r="AK1661" s="20" t="n"/>
      <c r="AL1661" s="77">
        <f>IFERROR(INDEX(MgAmenEfic,MATCH(SUBSTITUTE($H1661,"*","-"),MgAmenClave,0)),0)</f>
        <v/>
      </c>
    </row>
    <row r="1662" hidden="1" ht="45" customHeight="1" s="54">
      <c r="B1662" s="59" t="inlineStr">
        <is>
          <t>R-1657</t>
        </is>
      </c>
      <c r="C1662" s="59" t="inlineStr">
        <is>
          <t>TEC-005</t>
        </is>
      </c>
      <c r="D1662" s="64">
        <f>IFERROR(INDEX(MgNombre,MATCH($C1662,MgActId,0)),"")</f>
        <v/>
      </c>
      <c r="E1662" s="64">
        <f>IFERROR(INDEX(MgProceso,MATCH($C1662,MgActId,0)),"")</f>
        <v/>
      </c>
      <c r="F1662" s="64">
        <f>IFERROR(INDEX(MgTipo,MATCH($C1662,MgActId,0)),"")</f>
        <v/>
      </c>
      <c r="G1662" s="64">
        <f>IFERROR(INDEX(MgSubtipo,MATCH($C1662,MgActId,0)),"")</f>
        <v/>
      </c>
      <c r="H1662" s="59" t="inlineStr">
        <is>
          <t>I.2</t>
        </is>
      </c>
      <c r="I1662" s="64">
        <f>IFERROR(INDEX(MgAmenNombre,MATCH(SUBSTITUTE($H1662,"*","-"),MgAmenClave,0)),"")</f>
        <v/>
      </c>
      <c r="J1662" s="28">
        <f>IFERROR(INDEX(MgAmenGrupo,MATCH(SUBSTITUTE($H1662,"*","-"),MgAmenClave,0)),"")</f>
        <v/>
      </c>
      <c r="K1662" s="64">
        <f>IFERROR(INDEX('1. Matriz de Activos'!$Q$6:$Q$239,MATCH($C1662,MgActId,0)),"")</f>
        <v/>
      </c>
      <c r="L1662" s="64">
        <f>IFERROR(INDEX('1. Matriz de Activos'!$R$6:$R$239,MATCH($C1662,MgActId,0)),"")</f>
        <v/>
      </c>
      <c r="M1662" s="64">
        <f>IFERROR(INDEX('1. Matriz de Activos'!$S$6:$S$239,MATCH($C1662,MgActId,0)),"")</f>
        <v/>
      </c>
      <c r="N1662" s="28">
        <f>IFERROR(INDEX(MgAmenDegD,MATCH(SUBSTITUTE($H1662,"*","-"),MgAmenClave,0)),"No aplica")</f>
        <v/>
      </c>
      <c r="O1662" s="28">
        <f>IFERROR(INDEX(MgAmenDegI,MATCH(SUBSTITUTE($H1662,"*","-"),MgAmenClave,0)),"No aplica")</f>
        <v/>
      </c>
      <c r="P1662" s="28">
        <f>IFERROR(INDEX(MgAmenDegC,MATCH(SUBSTITUTE($H1662,"*","-"),MgAmenClave,0)),"No aplica")</f>
        <v/>
      </c>
      <c r="Q1662" s="29">
        <f>IFERROR(VLOOKUP(K1662,MgValor,2,0)*VLOOKUP(N1662,MgDeg,2,0),0)</f>
        <v/>
      </c>
      <c r="R1662" s="29">
        <f>IFERROR(VLOOKUP(L1662,MgValor,2,0)*VLOOKUP(O1662,MgDeg,2,0),0)</f>
        <v/>
      </c>
      <c r="S1662" s="29">
        <f>IFERROR(VLOOKUP(M1662,MgValor,2,0)*VLOOKUP(P1662,MgDeg,2,0),0)</f>
        <v/>
      </c>
      <c r="T1662" s="30">
        <f>MAX(Q1662:S1662)</f>
        <v/>
      </c>
      <c r="U1662" s="28">
        <f>IFERROR(LOOKUP(T1662,{0;0.5;1.5;3;4.5},{"Despreciable";"Bajo";"Medio";"Alto";"Muy alto"}),"")</f>
        <v/>
      </c>
      <c r="V1662" s="13">
        <f>IFERROR(INDEX(MgAmenFrec,MATCH(SUBSTITUTE($H1662,"*","-"),MgAmenClave,0)),"")</f>
        <v/>
      </c>
      <c r="W1662" s="28">
        <f>IFERROR(LOOKUP(X1662,{0;0.01;0.1;1;10;100},{"Muy baja";"Muy baja";"Baja";"Media";"Alta";"Muy alta"}),"")</f>
        <v/>
      </c>
      <c r="X1662" s="31">
        <f>IFERROR(VLOOKUP(V1662,MgFrec,2,0),0)</f>
        <v/>
      </c>
      <c r="Y1662" s="30">
        <f>T1662*X1662</f>
        <v/>
      </c>
      <c r="Z1662" s="28">
        <f>IFERROR(LOOKUP(Y1662,{0;0.5;5;25},{"Bajo";"Medio";"Alto";"Crítico"}),"")</f>
        <v/>
      </c>
      <c r="AA1662" s="64">
        <f>IF(T1662&gt;=3,IF(X1662&gt;=1,"Zona 1 — Crítica: impacto alto y ocurre al menos una vez al año","Zona 4 — Catastrófica poco probable: impacto alto pero excepcional"),IF(AND(T1662&lt;1.5,X1662&lt;1),"Zona 3 — Asumible: impacto bajo y muy poco frecuente","Zona 2 — Atención: riesgo intermedio"))</f>
        <v/>
      </c>
      <c r="AB1662" s="64">
        <f>IFERROR(INDEX(MgAmenCtrl,MATCH(SUBSTITUTE($H1662,"*","-"),MgAmenClave,0)),"")</f>
        <v/>
      </c>
      <c r="AC1662" s="20" t="n"/>
      <c r="AD1662" s="31">
        <f>IFERROR($X1662*(1-IF($AC1662="",$AL1662,VLOOKUP($AC1662,MgMad,2,0))),"")</f>
        <v/>
      </c>
      <c r="AE1662" s="28">
        <f>IFERROR(LOOKUP(AD1662,{0;0.01;0.1;1;10;100},{"Muy baja";"Muy baja";"Baja";"Media";"Alta";"Muy alta"}),"")</f>
        <v/>
      </c>
      <c r="AF1662" s="30">
        <f>T1662*AD1662</f>
        <v/>
      </c>
      <c r="AG1662" s="28">
        <f>IFERROR(LOOKUP(AF1662,{0;0.5;5;25},{"Bajo";"Medio";"Alto";"Crítico"}),"")</f>
        <v/>
      </c>
      <c r="AH1662" s="28">
        <f>IF(AG1662="","",IF(OR(AG1662="Crítico",AG1662="Alto"),"Mitigar",IF(AG1662="Medio","Mitigar","Aceptar y monitorear")))</f>
        <v/>
      </c>
      <c r="AI1662" s="21" t="n"/>
      <c r="AJ1662" s="21" t="n"/>
      <c r="AK1662" s="20" t="n"/>
      <c r="AL1662" s="77">
        <f>IFERROR(INDEX(MgAmenEfic,MATCH(SUBSTITUTE($H1662,"*","-"),MgAmenClave,0)),0)</f>
        <v/>
      </c>
    </row>
    <row r="1663" hidden="1" ht="60" customHeight="1" s="54">
      <c r="B1663" s="59" t="inlineStr">
        <is>
          <t>R-1658</t>
        </is>
      </c>
      <c r="C1663" s="59" t="inlineStr">
        <is>
          <t>TEC-005</t>
        </is>
      </c>
      <c r="D1663" s="64">
        <f>IFERROR(INDEX(MgNombre,MATCH($C1663,MgActId,0)),"")</f>
        <v/>
      </c>
      <c r="E1663" s="64">
        <f>IFERROR(INDEX(MgProceso,MATCH($C1663,MgActId,0)),"")</f>
        <v/>
      </c>
      <c r="F1663" s="64">
        <f>IFERROR(INDEX(MgTipo,MATCH($C1663,MgActId,0)),"")</f>
        <v/>
      </c>
      <c r="G1663" s="64">
        <f>IFERROR(INDEX(MgSubtipo,MATCH($C1663,MgActId,0)),"")</f>
        <v/>
      </c>
      <c r="H1663" s="59" t="inlineStr">
        <is>
          <t>I.*</t>
        </is>
      </c>
      <c r="I1663" s="64">
        <f>IFERROR(INDEX(MgAmenNombre,MATCH(SUBSTITUTE($H1663,"*","-"),MgAmenClave,0)),"")</f>
        <v/>
      </c>
      <c r="J1663" s="28">
        <f>IFERROR(INDEX(MgAmenGrupo,MATCH(SUBSTITUTE($H1663,"*","-"),MgAmenClave,0)),"")</f>
        <v/>
      </c>
      <c r="K1663" s="64">
        <f>IFERROR(INDEX('1. Matriz de Activos'!$Q$6:$Q$239,MATCH($C1663,MgActId,0)),"")</f>
        <v/>
      </c>
      <c r="L1663" s="64">
        <f>IFERROR(INDEX('1. Matriz de Activos'!$R$6:$R$239,MATCH($C1663,MgActId,0)),"")</f>
        <v/>
      </c>
      <c r="M1663" s="64">
        <f>IFERROR(INDEX('1. Matriz de Activos'!$S$6:$S$239,MATCH($C1663,MgActId,0)),"")</f>
        <v/>
      </c>
      <c r="N1663" s="28">
        <f>IFERROR(INDEX(MgAmenDegD,MATCH(SUBSTITUTE($H1663,"*","-"),MgAmenClave,0)),"No aplica")</f>
        <v/>
      </c>
      <c r="O1663" s="28">
        <f>IFERROR(INDEX(MgAmenDegI,MATCH(SUBSTITUTE($H1663,"*","-"),MgAmenClave,0)),"No aplica")</f>
        <v/>
      </c>
      <c r="P1663" s="28">
        <f>IFERROR(INDEX(MgAmenDegC,MATCH(SUBSTITUTE($H1663,"*","-"),MgAmenClave,0)),"No aplica")</f>
        <v/>
      </c>
      <c r="Q1663" s="29">
        <f>IFERROR(VLOOKUP(K1663,MgValor,2,0)*VLOOKUP(N1663,MgDeg,2,0),0)</f>
        <v/>
      </c>
      <c r="R1663" s="29">
        <f>IFERROR(VLOOKUP(L1663,MgValor,2,0)*VLOOKUP(O1663,MgDeg,2,0),0)</f>
        <v/>
      </c>
      <c r="S1663" s="29">
        <f>IFERROR(VLOOKUP(M1663,MgValor,2,0)*VLOOKUP(P1663,MgDeg,2,0),0)</f>
        <v/>
      </c>
      <c r="T1663" s="30">
        <f>MAX(Q1663:S1663)</f>
        <v/>
      </c>
      <c r="U1663" s="28">
        <f>IFERROR(LOOKUP(T1663,{0;0.5;1.5;3;4.5},{"Despreciable";"Bajo";"Medio";"Alto";"Muy alto"}),"")</f>
        <v/>
      </c>
      <c r="V1663" s="13">
        <f>IFERROR(INDEX(MgAmenFrec,MATCH(SUBSTITUTE($H1663,"*","-"),MgAmenClave,0)),"")</f>
        <v/>
      </c>
      <c r="W1663" s="28">
        <f>IFERROR(LOOKUP(X1663,{0;0.01;0.1;1;10;100},{"Muy baja";"Muy baja";"Baja";"Media";"Alta";"Muy alta"}),"")</f>
        <v/>
      </c>
      <c r="X1663" s="31">
        <f>IFERROR(VLOOKUP(V1663,MgFrec,2,0),0)</f>
        <v/>
      </c>
      <c r="Y1663" s="30">
        <f>T1663*X1663</f>
        <v/>
      </c>
      <c r="Z1663" s="28">
        <f>IFERROR(LOOKUP(Y1663,{0;0.5;5;25},{"Bajo";"Medio";"Alto";"Crítico"}),"")</f>
        <v/>
      </c>
      <c r="AA1663" s="64">
        <f>IF(T1663&gt;=3,IF(X1663&gt;=1,"Zona 1 — Crítica: impacto alto y ocurre al menos una vez al año","Zona 4 — Catastrófica poco probable: impacto alto pero excepcional"),IF(AND(T1663&lt;1.5,X1663&lt;1),"Zona 3 — Asumible: impacto bajo y muy poco frecuente","Zona 2 — Atención: riesgo intermedio"))</f>
        <v/>
      </c>
      <c r="AB1663" s="64">
        <f>IFERROR(INDEX(MgAmenCtrl,MATCH(SUBSTITUTE($H1663,"*","-"),MgAmenClave,0)),"")</f>
        <v/>
      </c>
      <c r="AC1663" s="20" t="n"/>
      <c r="AD1663" s="31">
        <f>IFERROR($X1663*(1-IF($AC1663="",$AL1663,VLOOKUP($AC1663,MgMad,2,0))),"")</f>
        <v/>
      </c>
      <c r="AE1663" s="28">
        <f>IFERROR(LOOKUP(AD1663,{0;0.01;0.1;1;10;100},{"Muy baja";"Muy baja";"Baja";"Media";"Alta";"Muy alta"}),"")</f>
        <v/>
      </c>
      <c r="AF1663" s="30">
        <f>T1663*AD1663</f>
        <v/>
      </c>
      <c r="AG1663" s="28">
        <f>IFERROR(LOOKUP(AF1663,{0;0.5;5;25},{"Bajo";"Medio";"Alto";"Crítico"}),"")</f>
        <v/>
      </c>
      <c r="AH1663" s="28">
        <f>IF(AG1663="","",IF(OR(AG1663="Crítico",AG1663="Alto"),"Mitigar",IF(AG1663="Medio","Mitigar","Aceptar y monitorear")))</f>
        <v/>
      </c>
      <c r="AI1663" s="21" t="n"/>
      <c r="AJ1663" s="21" t="n"/>
      <c r="AK1663" s="20" t="n"/>
      <c r="AL1663" s="77">
        <f>IFERROR(INDEX(MgAmenEfic,MATCH(SUBSTITUTE($H1663,"*","-"),MgAmenClave,0)),0)</f>
        <v/>
      </c>
    </row>
    <row r="1664" hidden="1" ht="45" customHeight="1" s="54">
      <c r="B1664" s="59" t="inlineStr">
        <is>
          <t>R-1659</t>
        </is>
      </c>
      <c r="C1664" s="59" t="inlineStr">
        <is>
          <t>TEC-005</t>
        </is>
      </c>
      <c r="D1664" s="64">
        <f>IFERROR(INDEX(MgNombre,MATCH($C1664,MgActId,0)),"")</f>
        <v/>
      </c>
      <c r="E1664" s="64">
        <f>IFERROR(INDEX(MgProceso,MATCH($C1664,MgActId,0)),"")</f>
        <v/>
      </c>
      <c r="F1664" s="64">
        <f>IFERROR(INDEX(MgTipo,MATCH($C1664,MgActId,0)),"")</f>
        <v/>
      </c>
      <c r="G1664" s="64">
        <f>IFERROR(INDEX(MgSubtipo,MATCH($C1664,MgActId,0)),"")</f>
        <v/>
      </c>
      <c r="H1664" s="59" t="inlineStr">
        <is>
          <t>I.3</t>
        </is>
      </c>
      <c r="I1664" s="64">
        <f>IFERROR(INDEX(MgAmenNombre,MATCH(SUBSTITUTE($H1664,"*","-"),MgAmenClave,0)),"")</f>
        <v/>
      </c>
      <c r="J1664" s="28">
        <f>IFERROR(INDEX(MgAmenGrupo,MATCH(SUBSTITUTE($H1664,"*","-"),MgAmenClave,0)),"")</f>
        <v/>
      </c>
      <c r="K1664" s="64">
        <f>IFERROR(INDEX('1. Matriz de Activos'!$Q$6:$Q$239,MATCH($C1664,MgActId,0)),"")</f>
        <v/>
      </c>
      <c r="L1664" s="64">
        <f>IFERROR(INDEX('1. Matriz de Activos'!$R$6:$R$239,MATCH($C1664,MgActId,0)),"")</f>
        <v/>
      </c>
      <c r="M1664" s="64">
        <f>IFERROR(INDEX('1. Matriz de Activos'!$S$6:$S$239,MATCH($C1664,MgActId,0)),"")</f>
        <v/>
      </c>
      <c r="N1664" s="28">
        <f>IFERROR(INDEX(MgAmenDegD,MATCH(SUBSTITUTE($H1664,"*","-"),MgAmenClave,0)),"No aplica")</f>
        <v/>
      </c>
      <c r="O1664" s="28">
        <f>IFERROR(INDEX(MgAmenDegI,MATCH(SUBSTITUTE($H1664,"*","-"),MgAmenClave,0)),"No aplica")</f>
        <v/>
      </c>
      <c r="P1664" s="28">
        <f>IFERROR(INDEX(MgAmenDegC,MATCH(SUBSTITUTE($H1664,"*","-"),MgAmenClave,0)),"No aplica")</f>
        <v/>
      </c>
      <c r="Q1664" s="29">
        <f>IFERROR(VLOOKUP(K1664,MgValor,2,0)*VLOOKUP(N1664,MgDeg,2,0),0)</f>
        <v/>
      </c>
      <c r="R1664" s="29">
        <f>IFERROR(VLOOKUP(L1664,MgValor,2,0)*VLOOKUP(O1664,MgDeg,2,0),0)</f>
        <v/>
      </c>
      <c r="S1664" s="29">
        <f>IFERROR(VLOOKUP(M1664,MgValor,2,0)*VLOOKUP(P1664,MgDeg,2,0),0)</f>
        <v/>
      </c>
      <c r="T1664" s="30">
        <f>MAX(Q1664:S1664)</f>
        <v/>
      </c>
      <c r="U1664" s="28">
        <f>IFERROR(LOOKUP(T1664,{0;0.5;1.5;3;4.5},{"Despreciable";"Bajo";"Medio";"Alto";"Muy alto"}),"")</f>
        <v/>
      </c>
      <c r="V1664" s="13">
        <f>IFERROR(INDEX(MgAmenFrec,MATCH(SUBSTITUTE($H1664,"*","-"),MgAmenClave,0)),"")</f>
        <v/>
      </c>
      <c r="W1664" s="28">
        <f>IFERROR(LOOKUP(X1664,{0;0.01;0.1;1;10;100},{"Muy baja";"Muy baja";"Baja";"Media";"Alta";"Muy alta"}),"")</f>
        <v/>
      </c>
      <c r="X1664" s="31">
        <f>IFERROR(VLOOKUP(V1664,MgFrec,2,0),0)</f>
        <v/>
      </c>
      <c r="Y1664" s="30">
        <f>T1664*X1664</f>
        <v/>
      </c>
      <c r="Z1664" s="28">
        <f>IFERROR(LOOKUP(Y1664,{0;0.5;5;25},{"Bajo";"Medio";"Alto";"Crítico"}),"")</f>
        <v/>
      </c>
      <c r="AA1664" s="64">
        <f>IF(T1664&gt;=3,IF(X1664&gt;=1,"Zona 1 — Crítica: impacto alto y ocurre al menos una vez al año","Zona 4 — Catastrófica poco probable: impacto alto pero excepcional"),IF(AND(T1664&lt;1.5,X1664&lt;1),"Zona 3 — Asumible: impacto bajo y muy poco frecuente","Zona 2 — Atención: riesgo intermedio"))</f>
        <v/>
      </c>
      <c r="AB1664" s="64">
        <f>IFERROR(INDEX(MgAmenCtrl,MATCH(SUBSTITUTE($H1664,"*","-"),MgAmenClave,0)),"")</f>
        <v/>
      </c>
      <c r="AC1664" s="20" t="n"/>
      <c r="AD1664" s="31">
        <f>IFERROR($X1664*(1-IF($AC1664="",$AL1664,VLOOKUP($AC1664,MgMad,2,0))),"")</f>
        <v/>
      </c>
      <c r="AE1664" s="28">
        <f>IFERROR(LOOKUP(AD1664,{0;0.01;0.1;1;10;100},{"Muy baja";"Muy baja";"Baja";"Media";"Alta";"Muy alta"}),"")</f>
        <v/>
      </c>
      <c r="AF1664" s="30">
        <f>T1664*AD1664</f>
        <v/>
      </c>
      <c r="AG1664" s="28">
        <f>IFERROR(LOOKUP(AF1664,{0;0.5;5;25},{"Bajo";"Medio";"Alto";"Crítico"}),"")</f>
        <v/>
      </c>
      <c r="AH1664" s="28">
        <f>IF(AG1664="","",IF(OR(AG1664="Crítico",AG1664="Alto"),"Mitigar",IF(AG1664="Medio","Mitigar","Aceptar y monitorear")))</f>
        <v/>
      </c>
      <c r="AI1664" s="21" t="n"/>
      <c r="AJ1664" s="21" t="n"/>
      <c r="AK1664" s="20" t="n"/>
      <c r="AL1664" s="77">
        <f>IFERROR(INDEX(MgAmenEfic,MATCH(SUBSTITUTE($H1664,"*","-"),MgAmenClave,0)),0)</f>
        <v/>
      </c>
    </row>
    <row r="1665" hidden="1" ht="45" customHeight="1" s="54">
      <c r="B1665" s="59" t="inlineStr">
        <is>
          <t>R-1660</t>
        </is>
      </c>
      <c r="C1665" s="59" t="inlineStr">
        <is>
          <t>TEC-005</t>
        </is>
      </c>
      <c r="D1665" s="64">
        <f>IFERROR(INDEX(MgNombre,MATCH($C1665,MgActId,0)),"")</f>
        <v/>
      </c>
      <c r="E1665" s="64">
        <f>IFERROR(INDEX(MgProceso,MATCH($C1665,MgActId,0)),"")</f>
        <v/>
      </c>
      <c r="F1665" s="64">
        <f>IFERROR(INDEX(MgTipo,MATCH($C1665,MgActId,0)),"")</f>
        <v/>
      </c>
      <c r="G1665" s="64">
        <f>IFERROR(INDEX(MgSubtipo,MATCH($C1665,MgActId,0)),"")</f>
        <v/>
      </c>
      <c r="H1665" s="59" t="inlineStr">
        <is>
          <t>I.4</t>
        </is>
      </c>
      <c r="I1665" s="64">
        <f>IFERROR(INDEX(MgAmenNombre,MATCH(SUBSTITUTE($H1665,"*","-"),MgAmenClave,0)),"")</f>
        <v/>
      </c>
      <c r="J1665" s="28">
        <f>IFERROR(INDEX(MgAmenGrupo,MATCH(SUBSTITUTE($H1665,"*","-"),MgAmenClave,0)),"")</f>
        <v/>
      </c>
      <c r="K1665" s="64">
        <f>IFERROR(INDEX('1. Matriz de Activos'!$Q$6:$Q$239,MATCH($C1665,MgActId,0)),"")</f>
        <v/>
      </c>
      <c r="L1665" s="64">
        <f>IFERROR(INDEX('1. Matriz de Activos'!$R$6:$R$239,MATCH($C1665,MgActId,0)),"")</f>
        <v/>
      </c>
      <c r="M1665" s="64">
        <f>IFERROR(INDEX('1. Matriz de Activos'!$S$6:$S$239,MATCH($C1665,MgActId,0)),"")</f>
        <v/>
      </c>
      <c r="N1665" s="28">
        <f>IFERROR(INDEX(MgAmenDegD,MATCH(SUBSTITUTE($H1665,"*","-"),MgAmenClave,0)),"No aplica")</f>
        <v/>
      </c>
      <c r="O1665" s="28">
        <f>IFERROR(INDEX(MgAmenDegI,MATCH(SUBSTITUTE($H1665,"*","-"),MgAmenClave,0)),"No aplica")</f>
        <v/>
      </c>
      <c r="P1665" s="28">
        <f>IFERROR(INDEX(MgAmenDegC,MATCH(SUBSTITUTE($H1665,"*","-"),MgAmenClave,0)),"No aplica")</f>
        <v/>
      </c>
      <c r="Q1665" s="29">
        <f>IFERROR(VLOOKUP(K1665,MgValor,2,0)*VLOOKUP(N1665,MgDeg,2,0),0)</f>
        <v/>
      </c>
      <c r="R1665" s="29">
        <f>IFERROR(VLOOKUP(L1665,MgValor,2,0)*VLOOKUP(O1665,MgDeg,2,0),0)</f>
        <v/>
      </c>
      <c r="S1665" s="29">
        <f>IFERROR(VLOOKUP(M1665,MgValor,2,0)*VLOOKUP(P1665,MgDeg,2,0),0)</f>
        <v/>
      </c>
      <c r="T1665" s="30">
        <f>MAX(Q1665:S1665)</f>
        <v/>
      </c>
      <c r="U1665" s="28">
        <f>IFERROR(LOOKUP(T1665,{0;0.5;1.5;3;4.5},{"Despreciable";"Bajo";"Medio";"Alto";"Muy alto"}),"")</f>
        <v/>
      </c>
      <c r="V1665" s="13">
        <f>IFERROR(INDEX(MgAmenFrec,MATCH(SUBSTITUTE($H1665,"*","-"),MgAmenClave,0)),"")</f>
        <v/>
      </c>
      <c r="W1665" s="28">
        <f>IFERROR(LOOKUP(X1665,{0;0.01;0.1;1;10;100},{"Muy baja";"Muy baja";"Baja";"Media";"Alta";"Muy alta"}),"")</f>
        <v/>
      </c>
      <c r="X1665" s="31">
        <f>IFERROR(VLOOKUP(V1665,MgFrec,2,0),0)</f>
        <v/>
      </c>
      <c r="Y1665" s="30">
        <f>T1665*X1665</f>
        <v/>
      </c>
      <c r="Z1665" s="28">
        <f>IFERROR(LOOKUP(Y1665,{0;0.5;5;25},{"Bajo";"Medio";"Alto";"Crítico"}),"")</f>
        <v/>
      </c>
      <c r="AA1665" s="64">
        <f>IF(T1665&gt;=3,IF(X1665&gt;=1,"Zona 1 — Crítica: impacto alto y ocurre al menos una vez al año","Zona 4 — Catastrófica poco probable: impacto alto pero excepcional"),IF(AND(T1665&lt;1.5,X1665&lt;1),"Zona 3 — Asumible: impacto bajo y muy poco frecuente","Zona 2 — Atención: riesgo intermedio"))</f>
        <v/>
      </c>
      <c r="AB1665" s="64">
        <f>IFERROR(INDEX(MgAmenCtrl,MATCH(SUBSTITUTE($H1665,"*","-"),MgAmenClave,0)),"")</f>
        <v/>
      </c>
      <c r="AC1665" s="20" t="n"/>
      <c r="AD1665" s="31">
        <f>IFERROR($X1665*(1-IF($AC1665="",$AL1665,VLOOKUP($AC1665,MgMad,2,0))),"")</f>
        <v/>
      </c>
      <c r="AE1665" s="28">
        <f>IFERROR(LOOKUP(AD1665,{0;0.01;0.1;1;10;100},{"Muy baja";"Muy baja";"Baja";"Media";"Alta";"Muy alta"}),"")</f>
        <v/>
      </c>
      <c r="AF1665" s="30">
        <f>T1665*AD1665</f>
        <v/>
      </c>
      <c r="AG1665" s="28">
        <f>IFERROR(LOOKUP(AF1665,{0;0.5;5;25},{"Bajo";"Medio";"Alto";"Crítico"}),"")</f>
        <v/>
      </c>
      <c r="AH1665" s="28">
        <f>IF(AG1665="","",IF(OR(AG1665="Crítico",AG1665="Alto"),"Mitigar",IF(AG1665="Medio","Mitigar","Aceptar y monitorear")))</f>
        <v/>
      </c>
      <c r="AI1665" s="21" t="n"/>
      <c r="AJ1665" s="21" t="n"/>
      <c r="AK1665" s="20" t="n"/>
      <c r="AL1665" s="77">
        <f>IFERROR(INDEX(MgAmenEfic,MATCH(SUBSTITUTE($H1665,"*","-"),MgAmenClave,0)),0)</f>
        <v/>
      </c>
    </row>
    <row r="1666" hidden="1" ht="75" customHeight="1" s="54">
      <c r="B1666" s="59" t="inlineStr">
        <is>
          <t>R-1661</t>
        </is>
      </c>
      <c r="C1666" s="59" t="inlineStr">
        <is>
          <t>TEC-005</t>
        </is>
      </c>
      <c r="D1666" s="64">
        <f>IFERROR(INDEX(MgNombre,MATCH($C1666,MgActId,0)),"")</f>
        <v/>
      </c>
      <c r="E1666" s="64">
        <f>IFERROR(INDEX(MgProceso,MATCH($C1666,MgActId,0)),"")</f>
        <v/>
      </c>
      <c r="F1666" s="64">
        <f>IFERROR(INDEX(MgTipo,MATCH($C1666,MgActId,0)),"")</f>
        <v/>
      </c>
      <c r="G1666" s="64">
        <f>IFERROR(INDEX(MgSubtipo,MATCH($C1666,MgActId,0)),"")</f>
        <v/>
      </c>
      <c r="H1666" s="59" t="inlineStr">
        <is>
          <t>I.5</t>
        </is>
      </c>
      <c r="I1666" s="64">
        <f>IFERROR(INDEX(MgAmenNombre,MATCH(SUBSTITUTE($H1666,"*","-"),MgAmenClave,0)),"")</f>
        <v/>
      </c>
      <c r="J1666" s="28">
        <f>IFERROR(INDEX(MgAmenGrupo,MATCH(SUBSTITUTE($H1666,"*","-"),MgAmenClave,0)),"")</f>
        <v/>
      </c>
      <c r="K1666" s="64">
        <f>IFERROR(INDEX('1. Matriz de Activos'!$Q$6:$Q$239,MATCH($C1666,MgActId,0)),"")</f>
        <v/>
      </c>
      <c r="L1666" s="64">
        <f>IFERROR(INDEX('1. Matriz de Activos'!$R$6:$R$239,MATCH($C1666,MgActId,0)),"")</f>
        <v/>
      </c>
      <c r="M1666" s="64">
        <f>IFERROR(INDEX('1. Matriz de Activos'!$S$6:$S$239,MATCH($C1666,MgActId,0)),"")</f>
        <v/>
      </c>
      <c r="N1666" s="28">
        <f>IFERROR(INDEX(MgAmenDegD,MATCH(SUBSTITUTE($H1666,"*","-"),MgAmenClave,0)),"No aplica")</f>
        <v/>
      </c>
      <c r="O1666" s="28">
        <f>IFERROR(INDEX(MgAmenDegI,MATCH(SUBSTITUTE($H1666,"*","-"),MgAmenClave,0)),"No aplica")</f>
        <v/>
      </c>
      <c r="P1666" s="28">
        <f>IFERROR(INDEX(MgAmenDegC,MATCH(SUBSTITUTE($H1666,"*","-"),MgAmenClave,0)),"No aplica")</f>
        <v/>
      </c>
      <c r="Q1666" s="29">
        <f>IFERROR(VLOOKUP(K1666,MgValor,2,0)*VLOOKUP(N1666,MgDeg,2,0),0)</f>
        <v/>
      </c>
      <c r="R1666" s="29">
        <f>IFERROR(VLOOKUP(L1666,MgValor,2,0)*VLOOKUP(O1666,MgDeg,2,0),0)</f>
        <v/>
      </c>
      <c r="S1666" s="29">
        <f>IFERROR(VLOOKUP(M1666,MgValor,2,0)*VLOOKUP(P1666,MgDeg,2,0),0)</f>
        <v/>
      </c>
      <c r="T1666" s="30">
        <f>MAX(Q1666:S1666)</f>
        <v/>
      </c>
      <c r="U1666" s="28">
        <f>IFERROR(LOOKUP(T1666,{0;0.5;1.5;3;4.5},{"Despreciable";"Bajo";"Medio";"Alto";"Muy alto"}),"")</f>
        <v/>
      </c>
      <c r="V1666" s="13">
        <f>IFERROR(INDEX(MgAmenFrec,MATCH(SUBSTITUTE($H1666,"*","-"),MgAmenClave,0)),"")</f>
        <v/>
      </c>
      <c r="W1666" s="28">
        <f>IFERROR(LOOKUP(X1666,{0;0.01;0.1;1;10;100},{"Muy baja";"Muy baja";"Baja";"Media";"Alta";"Muy alta"}),"")</f>
        <v/>
      </c>
      <c r="X1666" s="31">
        <f>IFERROR(VLOOKUP(V1666,MgFrec,2,0),0)</f>
        <v/>
      </c>
      <c r="Y1666" s="30">
        <f>T1666*X1666</f>
        <v/>
      </c>
      <c r="Z1666" s="28">
        <f>IFERROR(LOOKUP(Y1666,{0;0.5;5;25},{"Bajo";"Medio";"Alto";"Crítico"}),"")</f>
        <v/>
      </c>
      <c r="AA1666" s="64">
        <f>IF(T1666&gt;=3,IF(X1666&gt;=1,"Zona 1 — Crítica: impacto alto y ocurre al menos una vez al año","Zona 4 — Catastrófica poco probable: impacto alto pero excepcional"),IF(AND(T1666&lt;1.5,X1666&lt;1),"Zona 3 — Asumible: impacto bajo y muy poco frecuente","Zona 2 — Atención: riesgo intermedio"))</f>
        <v/>
      </c>
      <c r="AB1666" s="64">
        <f>IFERROR(INDEX(MgAmenCtrl,MATCH(SUBSTITUTE($H1666,"*","-"),MgAmenClave,0)),"")</f>
        <v/>
      </c>
      <c r="AC1666" s="20" t="n"/>
      <c r="AD1666" s="31">
        <f>IFERROR($X1666*(1-IF($AC1666="",$AL1666,VLOOKUP($AC1666,MgMad,2,0))),"")</f>
        <v/>
      </c>
      <c r="AE1666" s="28">
        <f>IFERROR(LOOKUP(AD1666,{0;0.01;0.1;1;10;100},{"Muy baja";"Muy baja";"Baja";"Media";"Alta";"Muy alta"}),"")</f>
        <v/>
      </c>
      <c r="AF1666" s="30">
        <f>T1666*AD1666</f>
        <v/>
      </c>
      <c r="AG1666" s="28">
        <f>IFERROR(LOOKUP(AF1666,{0;0.5;5;25},{"Bajo";"Medio";"Alto";"Crítico"}),"")</f>
        <v/>
      </c>
      <c r="AH1666" s="28">
        <f>IF(AG1666="","",IF(OR(AG1666="Crítico",AG1666="Alto"),"Mitigar",IF(AG1666="Medio","Mitigar","Aceptar y monitorear")))</f>
        <v/>
      </c>
      <c r="AI1666" s="21" t="n"/>
      <c r="AJ1666" s="21" t="n"/>
      <c r="AK1666" s="20" t="n"/>
      <c r="AL1666" s="77">
        <f>IFERROR(INDEX(MgAmenEfic,MATCH(SUBSTITUTE($H1666,"*","-"),MgAmenClave,0)),0)</f>
        <v/>
      </c>
    </row>
    <row r="1667" hidden="1" ht="60" customHeight="1" s="54">
      <c r="B1667" s="59" t="inlineStr">
        <is>
          <t>R-1662</t>
        </is>
      </c>
      <c r="C1667" s="59" t="inlineStr">
        <is>
          <t>TEC-005</t>
        </is>
      </c>
      <c r="D1667" s="64">
        <f>IFERROR(INDEX(MgNombre,MATCH($C1667,MgActId,0)),"")</f>
        <v/>
      </c>
      <c r="E1667" s="64">
        <f>IFERROR(INDEX(MgProceso,MATCH($C1667,MgActId,0)),"")</f>
        <v/>
      </c>
      <c r="F1667" s="64">
        <f>IFERROR(INDEX(MgTipo,MATCH($C1667,MgActId,0)),"")</f>
        <v/>
      </c>
      <c r="G1667" s="64">
        <f>IFERROR(INDEX(MgSubtipo,MATCH($C1667,MgActId,0)),"")</f>
        <v/>
      </c>
      <c r="H1667" s="59" t="inlineStr">
        <is>
          <t>I.6</t>
        </is>
      </c>
      <c r="I1667" s="64">
        <f>IFERROR(INDEX(MgAmenNombre,MATCH(SUBSTITUTE($H1667,"*","-"),MgAmenClave,0)),"")</f>
        <v/>
      </c>
      <c r="J1667" s="28">
        <f>IFERROR(INDEX(MgAmenGrupo,MATCH(SUBSTITUTE($H1667,"*","-"),MgAmenClave,0)),"")</f>
        <v/>
      </c>
      <c r="K1667" s="64">
        <f>IFERROR(INDEX('1. Matriz de Activos'!$Q$6:$Q$239,MATCH($C1667,MgActId,0)),"")</f>
        <v/>
      </c>
      <c r="L1667" s="64">
        <f>IFERROR(INDEX('1. Matriz de Activos'!$R$6:$R$239,MATCH($C1667,MgActId,0)),"")</f>
        <v/>
      </c>
      <c r="M1667" s="64">
        <f>IFERROR(INDEX('1. Matriz de Activos'!$S$6:$S$239,MATCH($C1667,MgActId,0)),"")</f>
        <v/>
      </c>
      <c r="N1667" s="28">
        <f>IFERROR(INDEX(MgAmenDegD,MATCH(SUBSTITUTE($H1667,"*","-"),MgAmenClave,0)),"No aplica")</f>
        <v/>
      </c>
      <c r="O1667" s="28">
        <f>IFERROR(INDEX(MgAmenDegI,MATCH(SUBSTITUTE($H1667,"*","-"),MgAmenClave,0)),"No aplica")</f>
        <v/>
      </c>
      <c r="P1667" s="28">
        <f>IFERROR(INDEX(MgAmenDegC,MATCH(SUBSTITUTE($H1667,"*","-"),MgAmenClave,0)),"No aplica")</f>
        <v/>
      </c>
      <c r="Q1667" s="29">
        <f>IFERROR(VLOOKUP(K1667,MgValor,2,0)*VLOOKUP(N1667,MgDeg,2,0),0)</f>
        <v/>
      </c>
      <c r="R1667" s="29">
        <f>IFERROR(VLOOKUP(L1667,MgValor,2,0)*VLOOKUP(O1667,MgDeg,2,0),0)</f>
        <v/>
      </c>
      <c r="S1667" s="29">
        <f>IFERROR(VLOOKUP(M1667,MgValor,2,0)*VLOOKUP(P1667,MgDeg,2,0),0)</f>
        <v/>
      </c>
      <c r="T1667" s="30">
        <f>MAX(Q1667:S1667)</f>
        <v/>
      </c>
      <c r="U1667" s="28">
        <f>IFERROR(LOOKUP(T1667,{0;0.5;1.5;3;4.5},{"Despreciable";"Bajo";"Medio";"Alto";"Muy alto"}),"")</f>
        <v/>
      </c>
      <c r="V1667" s="13">
        <f>IFERROR(INDEX(MgAmenFrec,MATCH(SUBSTITUTE($H1667,"*","-"),MgAmenClave,0)),"")</f>
        <v/>
      </c>
      <c r="W1667" s="28">
        <f>IFERROR(LOOKUP(X1667,{0;0.01;0.1;1;10;100},{"Muy baja";"Muy baja";"Baja";"Media";"Alta";"Muy alta"}),"")</f>
        <v/>
      </c>
      <c r="X1667" s="31">
        <f>IFERROR(VLOOKUP(V1667,MgFrec,2,0),0)</f>
        <v/>
      </c>
      <c r="Y1667" s="30">
        <f>T1667*X1667</f>
        <v/>
      </c>
      <c r="Z1667" s="28">
        <f>IFERROR(LOOKUP(Y1667,{0;0.5;5;25},{"Bajo";"Medio";"Alto";"Crítico"}),"")</f>
        <v/>
      </c>
      <c r="AA1667" s="64">
        <f>IF(T1667&gt;=3,IF(X1667&gt;=1,"Zona 1 — Crítica: impacto alto y ocurre al menos una vez al año","Zona 4 — Catastrófica poco probable: impacto alto pero excepcional"),IF(AND(T1667&lt;1.5,X1667&lt;1),"Zona 3 — Asumible: impacto bajo y muy poco frecuente","Zona 2 — Atención: riesgo intermedio"))</f>
        <v/>
      </c>
      <c r="AB1667" s="64">
        <f>IFERROR(INDEX(MgAmenCtrl,MATCH(SUBSTITUTE($H1667,"*","-"),MgAmenClave,0)),"")</f>
        <v/>
      </c>
      <c r="AC1667" s="20" t="n"/>
      <c r="AD1667" s="31">
        <f>IFERROR($X1667*(1-IF($AC1667="",$AL1667,VLOOKUP($AC1667,MgMad,2,0))),"")</f>
        <v/>
      </c>
      <c r="AE1667" s="28">
        <f>IFERROR(LOOKUP(AD1667,{0;0.01;0.1;1;10;100},{"Muy baja";"Muy baja";"Baja";"Media";"Alta";"Muy alta"}),"")</f>
        <v/>
      </c>
      <c r="AF1667" s="30">
        <f>T1667*AD1667</f>
        <v/>
      </c>
      <c r="AG1667" s="28">
        <f>IFERROR(LOOKUP(AF1667,{0;0.5;5;25},{"Bajo";"Medio";"Alto";"Crítico"}),"")</f>
        <v/>
      </c>
      <c r="AH1667" s="28">
        <f>IF(AG1667="","",IF(OR(AG1667="Crítico",AG1667="Alto"),"Mitigar",IF(AG1667="Medio","Mitigar","Aceptar y monitorear")))</f>
        <v/>
      </c>
      <c r="AI1667" s="21" t="n"/>
      <c r="AJ1667" s="21" t="n"/>
      <c r="AK1667" s="20" t="n"/>
      <c r="AL1667" s="77">
        <f>IFERROR(INDEX(MgAmenEfic,MATCH(SUBSTITUTE($H1667,"*","-"),MgAmenClave,0)),0)</f>
        <v/>
      </c>
    </row>
    <row r="1668" hidden="1" ht="45" customHeight="1" s="54">
      <c r="B1668" s="59" t="inlineStr">
        <is>
          <t>R-1663</t>
        </is>
      </c>
      <c r="C1668" s="59" t="inlineStr">
        <is>
          <t>TEC-005</t>
        </is>
      </c>
      <c r="D1668" s="64">
        <f>IFERROR(INDEX(MgNombre,MATCH($C1668,MgActId,0)),"")</f>
        <v/>
      </c>
      <c r="E1668" s="64">
        <f>IFERROR(INDEX(MgProceso,MATCH($C1668,MgActId,0)),"")</f>
        <v/>
      </c>
      <c r="F1668" s="64">
        <f>IFERROR(INDEX(MgTipo,MATCH($C1668,MgActId,0)),"")</f>
        <v/>
      </c>
      <c r="G1668" s="64">
        <f>IFERROR(INDEX(MgSubtipo,MATCH($C1668,MgActId,0)),"")</f>
        <v/>
      </c>
      <c r="H1668" s="59" t="inlineStr">
        <is>
          <t>I.7</t>
        </is>
      </c>
      <c r="I1668" s="64">
        <f>IFERROR(INDEX(MgAmenNombre,MATCH(SUBSTITUTE($H1668,"*","-"),MgAmenClave,0)),"")</f>
        <v/>
      </c>
      <c r="J1668" s="28">
        <f>IFERROR(INDEX(MgAmenGrupo,MATCH(SUBSTITUTE($H1668,"*","-"),MgAmenClave,0)),"")</f>
        <v/>
      </c>
      <c r="K1668" s="64">
        <f>IFERROR(INDEX('1. Matriz de Activos'!$Q$6:$Q$239,MATCH($C1668,MgActId,0)),"")</f>
        <v/>
      </c>
      <c r="L1668" s="64">
        <f>IFERROR(INDEX('1. Matriz de Activos'!$R$6:$R$239,MATCH($C1668,MgActId,0)),"")</f>
        <v/>
      </c>
      <c r="M1668" s="64">
        <f>IFERROR(INDEX('1. Matriz de Activos'!$S$6:$S$239,MATCH($C1668,MgActId,0)),"")</f>
        <v/>
      </c>
      <c r="N1668" s="28">
        <f>IFERROR(INDEX(MgAmenDegD,MATCH(SUBSTITUTE($H1668,"*","-"),MgAmenClave,0)),"No aplica")</f>
        <v/>
      </c>
      <c r="O1668" s="28">
        <f>IFERROR(INDEX(MgAmenDegI,MATCH(SUBSTITUTE($H1668,"*","-"),MgAmenClave,0)),"No aplica")</f>
        <v/>
      </c>
      <c r="P1668" s="28">
        <f>IFERROR(INDEX(MgAmenDegC,MATCH(SUBSTITUTE($H1668,"*","-"),MgAmenClave,0)),"No aplica")</f>
        <v/>
      </c>
      <c r="Q1668" s="29">
        <f>IFERROR(VLOOKUP(K1668,MgValor,2,0)*VLOOKUP(N1668,MgDeg,2,0),0)</f>
        <v/>
      </c>
      <c r="R1668" s="29">
        <f>IFERROR(VLOOKUP(L1668,MgValor,2,0)*VLOOKUP(O1668,MgDeg,2,0),0)</f>
        <v/>
      </c>
      <c r="S1668" s="29">
        <f>IFERROR(VLOOKUP(M1668,MgValor,2,0)*VLOOKUP(P1668,MgDeg,2,0),0)</f>
        <v/>
      </c>
      <c r="T1668" s="30">
        <f>MAX(Q1668:S1668)</f>
        <v/>
      </c>
      <c r="U1668" s="28">
        <f>IFERROR(LOOKUP(T1668,{0;0.5;1.5;3;4.5},{"Despreciable";"Bajo";"Medio";"Alto";"Muy alto"}),"")</f>
        <v/>
      </c>
      <c r="V1668" s="13">
        <f>IFERROR(INDEX(MgAmenFrec,MATCH(SUBSTITUTE($H1668,"*","-"),MgAmenClave,0)),"")</f>
        <v/>
      </c>
      <c r="W1668" s="28">
        <f>IFERROR(LOOKUP(X1668,{0;0.01;0.1;1;10;100},{"Muy baja";"Muy baja";"Baja";"Media";"Alta";"Muy alta"}),"")</f>
        <v/>
      </c>
      <c r="X1668" s="31">
        <f>IFERROR(VLOOKUP(V1668,MgFrec,2,0),0)</f>
        <v/>
      </c>
      <c r="Y1668" s="30">
        <f>T1668*X1668</f>
        <v/>
      </c>
      <c r="Z1668" s="28">
        <f>IFERROR(LOOKUP(Y1668,{0;0.5;5;25},{"Bajo";"Medio";"Alto";"Crítico"}),"")</f>
        <v/>
      </c>
      <c r="AA1668" s="64">
        <f>IF(T1668&gt;=3,IF(X1668&gt;=1,"Zona 1 — Crítica: impacto alto y ocurre al menos una vez al año","Zona 4 — Catastrófica poco probable: impacto alto pero excepcional"),IF(AND(T1668&lt;1.5,X1668&lt;1),"Zona 3 — Asumible: impacto bajo y muy poco frecuente","Zona 2 — Atención: riesgo intermedio"))</f>
        <v/>
      </c>
      <c r="AB1668" s="64">
        <f>IFERROR(INDEX(MgAmenCtrl,MATCH(SUBSTITUTE($H1668,"*","-"),MgAmenClave,0)),"")</f>
        <v/>
      </c>
      <c r="AC1668" s="20" t="n"/>
      <c r="AD1668" s="31">
        <f>IFERROR($X1668*(1-IF($AC1668="",$AL1668,VLOOKUP($AC1668,MgMad,2,0))),"")</f>
        <v/>
      </c>
      <c r="AE1668" s="28">
        <f>IFERROR(LOOKUP(AD1668,{0;0.01;0.1;1;10;100},{"Muy baja";"Muy baja";"Baja";"Media";"Alta";"Muy alta"}),"")</f>
        <v/>
      </c>
      <c r="AF1668" s="30">
        <f>T1668*AD1668</f>
        <v/>
      </c>
      <c r="AG1668" s="28">
        <f>IFERROR(LOOKUP(AF1668,{0;0.5;5;25},{"Bajo";"Medio";"Alto";"Crítico"}),"")</f>
        <v/>
      </c>
      <c r="AH1668" s="28">
        <f>IF(AG1668="","",IF(OR(AG1668="Crítico",AG1668="Alto"),"Mitigar",IF(AG1668="Medio","Mitigar","Aceptar y monitorear")))</f>
        <v/>
      </c>
      <c r="AI1668" s="21" t="n"/>
      <c r="AJ1668" s="21" t="n"/>
      <c r="AK1668" s="20" t="n"/>
      <c r="AL1668" s="77">
        <f>IFERROR(INDEX(MgAmenEfic,MATCH(SUBSTITUTE($H1668,"*","-"),MgAmenClave,0)),0)</f>
        <v/>
      </c>
    </row>
    <row r="1669" hidden="1" ht="45" customHeight="1" s="54">
      <c r="B1669" s="59" t="inlineStr">
        <is>
          <t>R-1664</t>
        </is>
      </c>
      <c r="C1669" s="59" t="inlineStr">
        <is>
          <t>TEC-005</t>
        </is>
      </c>
      <c r="D1669" s="64">
        <f>IFERROR(INDEX(MgNombre,MATCH($C1669,MgActId,0)),"")</f>
        <v/>
      </c>
      <c r="E1669" s="64">
        <f>IFERROR(INDEX(MgProceso,MATCH($C1669,MgActId,0)),"")</f>
        <v/>
      </c>
      <c r="F1669" s="64">
        <f>IFERROR(INDEX(MgTipo,MATCH($C1669,MgActId,0)),"")</f>
        <v/>
      </c>
      <c r="G1669" s="64">
        <f>IFERROR(INDEX(MgSubtipo,MATCH($C1669,MgActId,0)),"")</f>
        <v/>
      </c>
      <c r="H1669" s="59" t="inlineStr">
        <is>
          <t>I.11</t>
        </is>
      </c>
      <c r="I1669" s="64">
        <f>IFERROR(INDEX(MgAmenNombre,MATCH(SUBSTITUTE($H1669,"*","-"),MgAmenClave,0)),"")</f>
        <v/>
      </c>
      <c r="J1669" s="28">
        <f>IFERROR(INDEX(MgAmenGrupo,MATCH(SUBSTITUTE($H1669,"*","-"),MgAmenClave,0)),"")</f>
        <v/>
      </c>
      <c r="K1669" s="64">
        <f>IFERROR(INDEX('1. Matriz de Activos'!$Q$6:$Q$239,MATCH($C1669,MgActId,0)),"")</f>
        <v/>
      </c>
      <c r="L1669" s="64">
        <f>IFERROR(INDEX('1. Matriz de Activos'!$R$6:$R$239,MATCH($C1669,MgActId,0)),"")</f>
        <v/>
      </c>
      <c r="M1669" s="64">
        <f>IFERROR(INDEX('1. Matriz de Activos'!$S$6:$S$239,MATCH($C1669,MgActId,0)),"")</f>
        <v/>
      </c>
      <c r="N1669" s="28">
        <f>IFERROR(INDEX(MgAmenDegD,MATCH(SUBSTITUTE($H1669,"*","-"),MgAmenClave,0)),"No aplica")</f>
        <v/>
      </c>
      <c r="O1669" s="28">
        <f>IFERROR(INDEX(MgAmenDegI,MATCH(SUBSTITUTE($H1669,"*","-"),MgAmenClave,0)),"No aplica")</f>
        <v/>
      </c>
      <c r="P1669" s="28">
        <f>IFERROR(INDEX(MgAmenDegC,MATCH(SUBSTITUTE($H1669,"*","-"),MgAmenClave,0)),"No aplica")</f>
        <v/>
      </c>
      <c r="Q1669" s="29">
        <f>IFERROR(VLOOKUP(K1669,MgValor,2,0)*VLOOKUP(N1669,MgDeg,2,0),0)</f>
        <v/>
      </c>
      <c r="R1669" s="29">
        <f>IFERROR(VLOOKUP(L1669,MgValor,2,0)*VLOOKUP(O1669,MgDeg,2,0),0)</f>
        <v/>
      </c>
      <c r="S1669" s="29">
        <f>IFERROR(VLOOKUP(M1669,MgValor,2,0)*VLOOKUP(P1669,MgDeg,2,0),0)</f>
        <v/>
      </c>
      <c r="T1669" s="30">
        <f>MAX(Q1669:S1669)</f>
        <v/>
      </c>
      <c r="U1669" s="28">
        <f>IFERROR(LOOKUP(T1669,{0;0.5;1.5;3;4.5},{"Despreciable";"Bajo";"Medio";"Alto";"Muy alto"}),"")</f>
        <v/>
      </c>
      <c r="V1669" s="13">
        <f>IFERROR(INDEX(MgAmenFrec,MATCH(SUBSTITUTE($H1669,"*","-"),MgAmenClave,0)),"")</f>
        <v/>
      </c>
      <c r="W1669" s="28">
        <f>IFERROR(LOOKUP(X1669,{0;0.01;0.1;1;10;100},{"Muy baja";"Muy baja";"Baja";"Media";"Alta";"Muy alta"}),"")</f>
        <v/>
      </c>
      <c r="X1669" s="31">
        <f>IFERROR(VLOOKUP(V1669,MgFrec,2,0),0)</f>
        <v/>
      </c>
      <c r="Y1669" s="30">
        <f>T1669*X1669</f>
        <v/>
      </c>
      <c r="Z1669" s="28">
        <f>IFERROR(LOOKUP(Y1669,{0;0.5;5;25},{"Bajo";"Medio";"Alto";"Crítico"}),"")</f>
        <v/>
      </c>
      <c r="AA1669" s="64">
        <f>IF(T1669&gt;=3,IF(X1669&gt;=1,"Zona 1 — Crítica: impacto alto y ocurre al menos una vez al año","Zona 4 — Catastrófica poco probable: impacto alto pero excepcional"),IF(AND(T1669&lt;1.5,X1669&lt;1),"Zona 3 — Asumible: impacto bajo y muy poco frecuente","Zona 2 — Atención: riesgo intermedio"))</f>
        <v/>
      </c>
      <c r="AB1669" s="64">
        <f>IFERROR(INDEX(MgAmenCtrl,MATCH(SUBSTITUTE($H1669,"*","-"),MgAmenClave,0)),"")</f>
        <v/>
      </c>
      <c r="AC1669" s="20" t="n"/>
      <c r="AD1669" s="31">
        <f>IFERROR($X1669*(1-IF($AC1669="",$AL1669,VLOOKUP($AC1669,MgMad,2,0))),"")</f>
        <v/>
      </c>
      <c r="AE1669" s="28">
        <f>IFERROR(LOOKUP(AD1669,{0;0.01;0.1;1;10;100},{"Muy baja";"Muy baja";"Baja";"Media";"Alta";"Muy alta"}),"")</f>
        <v/>
      </c>
      <c r="AF1669" s="30">
        <f>T1669*AD1669</f>
        <v/>
      </c>
      <c r="AG1669" s="28">
        <f>IFERROR(LOOKUP(AF1669,{0;0.5;5;25},{"Bajo";"Medio";"Alto";"Crítico"}),"")</f>
        <v/>
      </c>
      <c r="AH1669" s="28">
        <f>IF(AG1669="","",IF(OR(AG1669="Crítico",AG1669="Alto"),"Mitigar",IF(AG1669="Medio","Mitigar","Aceptar y monitorear")))</f>
        <v/>
      </c>
      <c r="AI1669" s="21" t="n"/>
      <c r="AJ1669" s="21" t="n"/>
      <c r="AK1669" s="20" t="n"/>
      <c r="AL1669" s="77">
        <f>IFERROR(INDEX(MgAmenEfic,MATCH(SUBSTITUTE($H1669,"*","-"),MgAmenClave,0)),0)</f>
        <v/>
      </c>
    </row>
    <row r="1670" hidden="1" ht="120" customHeight="1" s="54">
      <c r="B1670" s="59" t="inlineStr">
        <is>
          <t>R-1665</t>
        </is>
      </c>
      <c r="C1670" s="59" t="inlineStr">
        <is>
          <t>TEC-005</t>
        </is>
      </c>
      <c r="D1670" s="64">
        <f>IFERROR(INDEX(MgNombre,MATCH($C1670,MgActId,0)),"")</f>
        <v/>
      </c>
      <c r="E1670" s="64">
        <f>IFERROR(INDEX(MgProceso,MATCH($C1670,MgActId,0)),"")</f>
        <v/>
      </c>
      <c r="F1670" s="64">
        <f>IFERROR(INDEX(MgTipo,MATCH($C1670,MgActId,0)),"")</f>
        <v/>
      </c>
      <c r="G1670" s="64">
        <f>IFERROR(INDEX(MgSubtipo,MATCH($C1670,MgActId,0)),"")</f>
        <v/>
      </c>
      <c r="H1670" s="59" t="inlineStr">
        <is>
          <t>E.2</t>
        </is>
      </c>
      <c r="I1670" s="64">
        <f>IFERROR(INDEX(MgAmenNombre,MATCH(SUBSTITUTE($H1670,"*","-"),MgAmenClave,0)),"")</f>
        <v/>
      </c>
      <c r="J1670" s="28">
        <f>IFERROR(INDEX(MgAmenGrupo,MATCH(SUBSTITUTE($H1670,"*","-"),MgAmenClave,0)),"")</f>
        <v/>
      </c>
      <c r="K1670" s="64">
        <f>IFERROR(INDEX('1. Matriz de Activos'!$Q$6:$Q$239,MATCH($C1670,MgActId,0)),"")</f>
        <v/>
      </c>
      <c r="L1670" s="64">
        <f>IFERROR(INDEX('1. Matriz de Activos'!$R$6:$R$239,MATCH($C1670,MgActId,0)),"")</f>
        <v/>
      </c>
      <c r="M1670" s="64">
        <f>IFERROR(INDEX('1. Matriz de Activos'!$S$6:$S$239,MATCH($C1670,MgActId,0)),"")</f>
        <v/>
      </c>
      <c r="N1670" s="28">
        <f>IFERROR(INDEX(MgAmenDegD,MATCH(SUBSTITUTE($H1670,"*","-"),MgAmenClave,0)),"No aplica")</f>
        <v/>
      </c>
      <c r="O1670" s="28">
        <f>IFERROR(INDEX(MgAmenDegI,MATCH(SUBSTITUTE($H1670,"*","-"),MgAmenClave,0)),"No aplica")</f>
        <v/>
      </c>
      <c r="P1670" s="28">
        <f>IFERROR(INDEX(MgAmenDegC,MATCH(SUBSTITUTE($H1670,"*","-"),MgAmenClave,0)),"No aplica")</f>
        <v/>
      </c>
      <c r="Q1670" s="29">
        <f>IFERROR(VLOOKUP(K1670,MgValor,2,0)*VLOOKUP(N1670,MgDeg,2,0),0)</f>
        <v/>
      </c>
      <c r="R1670" s="29">
        <f>IFERROR(VLOOKUP(L1670,MgValor,2,0)*VLOOKUP(O1670,MgDeg,2,0),0)</f>
        <v/>
      </c>
      <c r="S1670" s="29">
        <f>IFERROR(VLOOKUP(M1670,MgValor,2,0)*VLOOKUP(P1670,MgDeg,2,0),0)</f>
        <v/>
      </c>
      <c r="T1670" s="30">
        <f>MAX(Q1670:S1670)</f>
        <v/>
      </c>
      <c r="U1670" s="28">
        <f>IFERROR(LOOKUP(T1670,{0;0.5;1.5;3;4.5},{"Despreciable";"Bajo";"Medio";"Alto";"Muy alto"}),"")</f>
        <v/>
      </c>
      <c r="V1670" s="13">
        <f>IFERROR(INDEX(MgAmenFrec,MATCH(SUBSTITUTE($H1670,"*","-"),MgAmenClave,0)),"")</f>
        <v/>
      </c>
      <c r="W1670" s="28">
        <f>IFERROR(LOOKUP(X1670,{0;0.01;0.1;1;10;100},{"Muy baja";"Muy baja";"Baja";"Media";"Alta";"Muy alta"}),"")</f>
        <v/>
      </c>
      <c r="X1670" s="31">
        <f>IFERROR(VLOOKUP(V1670,MgFrec,2,0),0)</f>
        <v/>
      </c>
      <c r="Y1670" s="30">
        <f>T1670*X1670</f>
        <v/>
      </c>
      <c r="Z1670" s="28">
        <f>IFERROR(LOOKUP(Y1670,{0;0.5;5;25},{"Bajo";"Medio";"Alto";"Crítico"}),"")</f>
        <v/>
      </c>
      <c r="AA1670" s="64">
        <f>IF(T1670&gt;=3,IF(X1670&gt;=1,"Zona 1 — Crítica: impacto alto y ocurre al menos una vez al año","Zona 4 — Catastrófica poco probable: impacto alto pero excepcional"),IF(AND(T1670&lt;1.5,X1670&lt;1),"Zona 3 — Asumible: impacto bajo y muy poco frecuente","Zona 2 — Atención: riesgo intermedio"))</f>
        <v/>
      </c>
      <c r="AB1670" s="64">
        <f>IFERROR(INDEX(MgAmenCtrl,MATCH(SUBSTITUTE($H1670,"*","-"),MgAmenClave,0)),"")</f>
        <v/>
      </c>
      <c r="AC1670" s="20" t="n"/>
      <c r="AD1670" s="31">
        <f>IFERROR($X1670*(1-IF($AC1670="",$AL1670,VLOOKUP($AC1670,MgMad,2,0))),"")</f>
        <v/>
      </c>
      <c r="AE1670" s="28">
        <f>IFERROR(LOOKUP(AD1670,{0;0.01;0.1;1;10;100},{"Muy baja";"Muy baja";"Baja";"Media";"Alta";"Muy alta"}),"")</f>
        <v/>
      </c>
      <c r="AF1670" s="30">
        <f>T1670*AD1670</f>
        <v/>
      </c>
      <c r="AG1670" s="28">
        <f>IFERROR(LOOKUP(AF1670,{0;0.5;5;25},{"Bajo";"Medio";"Alto";"Crítico"}),"")</f>
        <v/>
      </c>
      <c r="AH1670" s="28">
        <f>IF(AG1670="","",IF(OR(AG1670="Crítico",AG1670="Alto"),"Mitigar",IF(AG1670="Medio","Mitigar","Aceptar y monitorear")))</f>
        <v/>
      </c>
      <c r="AI1670" s="21" t="n"/>
      <c r="AJ1670" s="21" t="n"/>
      <c r="AK1670" s="20" t="n"/>
      <c r="AL1670" s="77">
        <f>IFERROR(INDEX(MgAmenEfic,MATCH(SUBSTITUTE($H1670,"*","-"),MgAmenClave,0)),0)</f>
        <v/>
      </c>
    </row>
    <row r="1671" hidden="1" ht="90" customHeight="1" s="54">
      <c r="B1671" s="59" t="inlineStr">
        <is>
          <t>R-1666</t>
        </is>
      </c>
      <c r="C1671" s="59" t="inlineStr">
        <is>
          <t>TEC-005</t>
        </is>
      </c>
      <c r="D1671" s="64">
        <f>IFERROR(INDEX(MgNombre,MATCH($C1671,MgActId,0)),"")</f>
        <v/>
      </c>
      <c r="E1671" s="64">
        <f>IFERROR(INDEX(MgProceso,MATCH($C1671,MgActId,0)),"")</f>
        <v/>
      </c>
      <c r="F1671" s="64">
        <f>IFERROR(INDEX(MgTipo,MATCH($C1671,MgActId,0)),"")</f>
        <v/>
      </c>
      <c r="G1671" s="64">
        <f>IFERROR(INDEX(MgSubtipo,MATCH($C1671,MgActId,0)),"")</f>
        <v/>
      </c>
      <c r="H1671" s="59" t="inlineStr">
        <is>
          <t>E.14</t>
        </is>
      </c>
      <c r="I1671" s="64">
        <f>IFERROR(INDEX(MgAmenNombre,MATCH(SUBSTITUTE($H1671,"*","-"),MgAmenClave,0)),"")</f>
        <v/>
      </c>
      <c r="J1671" s="28">
        <f>IFERROR(INDEX(MgAmenGrupo,MATCH(SUBSTITUTE($H1671,"*","-"),MgAmenClave,0)),"")</f>
        <v/>
      </c>
      <c r="K1671" s="64">
        <f>IFERROR(INDEX('1. Matriz de Activos'!$Q$6:$Q$239,MATCH($C1671,MgActId,0)),"")</f>
        <v/>
      </c>
      <c r="L1671" s="64">
        <f>IFERROR(INDEX('1. Matriz de Activos'!$R$6:$R$239,MATCH($C1671,MgActId,0)),"")</f>
        <v/>
      </c>
      <c r="M1671" s="64">
        <f>IFERROR(INDEX('1. Matriz de Activos'!$S$6:$S$239,MATCH($C1671,MgActId,0)),"")</f>
        <v/>
      </c>
      <c r="N1671" s="28">
        <f>IFERROR(INDEX(MgAmenDegD,MATCH(SUBSTITUTE($H1671,"*","-"),MgAmenClave,0)),"No aplica")</f>
        <v/>
      </c>
      <c r="O1671" s="28">
        <f>IFERROR(INDEX(MgAmenDegI,MATCH(SUBSTITUTE($H1671,"*","-"),MgAmenClave,0)),"No aplica")</f>
        <v/>
      </c>
      <c r="P1671" s="28">
        <f>IFERROR(INDEX(MgAmenDegC,MATCH(SUBSTITUTE($H1671,"*","-"),MgAmenClave,0)),"No aplica")</f>
        <v/>
      </c>
      <c r="Q1671" s="29">
        <f>IFERROR(VLOOKUP(K1671,MgValor,2,0)*VLOOKUP(N1671,MgDeg,2,0),0)</f>
        <v/>
      </c>
      <c r="R1671" s="29">
        <f>IFERROR(VLOOKUP(L1671,MgValor,2,0)*VLOOKUP(O1671,MgDeg,2,0),0)</f>
        <v/>
      </c>
      <c r="S1671" s="29">
        <f>IFERROR(VLOOKUP(M1671,MgValor,2,0)*VLOOKUP(P1671,MgDeg,2,0),0)</f>
        <v/>
      </c>
      <c r="T1671" s="30">
        <f>MAX(Q1671:S1671)</f>
        <v/>
      </c>
      <c r="U1671" s="28">
        <f>IFERROR(LOOKUP(T1671,{0;0.5;1.5;3;4.5},{"Despreciable";"Bajo";"Medio";"Alto";"Muy alto"}),"")</f>
        <v/>
      </c>
      <c r="V1671" s="13">
        <f>IFERROR(INDEX(MgAmenFrec,MATCH(SUBSTITUTE($H1671,"*","-"),MgAmenClave,0)),"")</f>
        <v/>
      </c>
      <c r="W1671" s="28">
        <f>IFERROR(LOOKUP(X1671,{0;0.01;0.1;1;10;100},{"Muy baja";"Muy baja";"Baja";"Media";"Alta";"Muy alta"}),"")</f>
        <v/>
      </c>
      <c r="X1671" s="31">
        <f>IFERROR(VLOOKUP(V1671,MgFrec,2,0),0)</f>
        <v/>
      </c>
      <c r="Y1671" s="30">
        <f>T1671*X1671</f>
        <v/>
      </c>
      <c r="Z1671" s="28">
        <f>IFERROR(LOOKUP(Y1671,{0;0.5;5;25},{"Bajo";"Medio";"Alto";"Crítico"}),"")</f>
        <v/>
      </c>
      <c r="AA1671" s="64">
        <f>IF(T1671&gt;=3,IF(X1671&gt;=1,"Zona 1 — Crítica: impacto alto y ocurre al menos una vez al año","Zona 4 — Catastrófica poco probable: impacto alto pero excepcional"),IF(AND(T1671&lt;1.5,X1671&lt;1),"Zona 3 — Asumible: impacto bajo y muy poco frecuente","Zona 2 — Atención: riesgo intermedio"))</f>
        <v/>
      </c>
      <c r="AB1671" s="64">
        <f>IFERROR(INDEX(MgAmenCtrl,MATCH(SUBSTITUTE($H1671,"*","-"),MgAmenClave,0)),"")</f>
        <v/>
      </c>
      <c r="AC1671" s="20" t="n"/>
      <c r="AD1671" s="31">
        <f>IFERROR($X1671*(1-IF($AC1671="",$AL1671,VLOOKUP($AC1671,MgMad,2,0))),"")</f>
        <v/>
      </c>
      <c r="AE1671" s="28">
        <f>IFERROR(LOOKUP(AD1671,{0;0.01;0.1;1;10;100},{"Muy baja";"Muy baja";"Baja";"Media";"Alta";"Muy alta"}),"")</f>
        <v/>
      </c>
      <c r="AF1671" s="30">
        <f>T1671*AD1671</f>
        <v/>
      </c>
      <c r="AG1671" s="28">
        <f>IFERROR(LOOKUP(AF1671,{0;0.5;5;25},{"Bajo";"Medio";"Alto";"Crítico"}),"")</f>
        <v/>
      </c>
      <c r="AH1671" s="28">
        <f>IF(AG1671="","",IF(OR(AG1671="Crítico",AG1671="Alto"),"Mitigar",IF(AG1671="Medio","Mitigar","Aceptar y monitorear")))</f>
        <v/>
      </c>
      <c r="AI1671" s="21" t="n"/>
      <c r="AJ1671" s="21" t="n"/>
      <c r="AK1671" s="20" t="n"/>
      <c r="AL1671" s="77">
        <f>IFERROR(INDEX(MgAmenEfic,MATCH(SUBSTITUTE($H1671,"*","-"),MgAmenClave,0)),0)</f>
        <v/>
      </c>
    </row>
    <row r="1672" hidden="1" ht="105" customHeight="1" s="54">
      <c r="B1672" s="59" t="inlineStr">
        <is>
          <t>R-1667</t>
        </is>
      </c>
      <c r="C1672" s="59" t="inlineStr">
        <is>
          <t>TEC-005</t>
        </is>
      </c>
      <c r="D1672" s="64">
        <f>IFERROR(INDEX(MgNombre,MATCH($C1672,MgActId,0)),"")</f>
        <v/>
      </c>
      <c r="E1672" s="64">
        <f>IFERROR(INDEX(MgProceso,MATCH($C1672,MgActId,0)),"")</f>
        <v/>
      </c>
      <c r="F1672" s="64">
        <f>IFERROR(INDEX(MgTipo,MATCH($C1672,MgActId,0)),"")</f>
        <v/>
      </c>
      <c r="G1672" s="64">
        <f>IFERROR(INDEX(MgSubtipo,MATCH($C1672,MgActId,0)),"")</f>
        <v/>
      </c>
      <c r="H1672" s="59" t="inlineStr">
        <is>
          <t>E.19</t>
        </is>
      </c>
      <c r="I1672" s="64">
        <f>IFERROR(INDEX(MgAmenNombre,MATCH(SUBSTITUTE($H1672,"*","-"),MgAmenClave,0)),"")</f>
        <v/>
      </c>
      <c r="J1672" s="28">
        <f>IFERROR(INDEX(MgAmenGrupo,MATCH(SUBSTITUTE($H1672,"*","-"),MgAmenClave,0)),"")</f>
        <v/>
      </c>
      <c r="K1672" s="64">
        <f>IFERROR(INDEX('1. Matriz de Activos'!$Q$6:$Q$239,MATCH($C1672,MgActId,0)),"")</f>
        <v/>
      </c>
      <c r="L1672" s="64">
        <f>IFERROR(INDEX('1. Matriz de Activos'!$R$6:$R$239,MATCH($C1672,MgActId,0)),"")</f>
        <v/>
      </c>
      <c r="M1672" s="64">
        <f>IFERROR(INDEX('1. Matriz de Activos'!$S$6:$S$239,MATCH($C1672,MgActId,0)),"")</f>
        <v/>
      </c>
      <c r="N1672" s="28">
        <f>IFERROR(INDEX(MgAmenDegD,MATCH(SUBSTITUTE($H1672,"*","-"),MgAmenClave,0)),"No aplica")</f>
        <v/>
      </c>
      <c r="O1672" s="28">
        <f>IFERROR(INDEX(MgAmenDegI,MATCH(SUBSTITUTE($H1672,"*","-"),MgAmenClave,0)),"No aplica")</f>
        <v/>
      </c>
      <c r="P1672" s="28">
        <f>IFERROR(INDEX(MgAmenDegC,MATCH(SUBSTITUTE($H1672,"*","-"),MgAmenClave,0)),"No aplica")</f>
        <v/>
      </c>
      <c r="Q1672" s="29">
        <f>IFERROR(VLOOKUP(K1672,MgValor,2,0)*VLOOKUP(N1672,MgDeg,2,0),0)</f>
        <v/>
      </c>
      <c r="R1672" s="29">
        <f>IFERROR(VLOOKUP(L1672,MgValor,2,0)*VLOOKUP(O1672,MgDeg,2,0),0)</f>
        <v/>
      </c>
      <c r="S1672" s="29">
        <f>IFERROR(VLOOKUP(M1672,MgValor,2,0)*VLOOKUP(P1672,MgDeg,2,0),0)</f>
        <v/>
      </c>
      <c r="T1672" s="30">
        <f>MAX(Q1672:S1672)</f>
        <v/>
      </c>
      <c r="U1672" s="28">
        <f>IFERROR(LOOKUP(T1672,{0;0.5;1.5;3;4.5},{"Despreciable";"Bajo";"Medio";"Alto";"Muy alto"}),"")</f>
        <v/>
      </c>
      <c r="V1672" s="13">
        <f>IFERROR(INDEX(MgAmenFrec,MATCH(SUBSTITUTE($H1672,"*","-"),MgAmenClave,0)),"")</f>
        <v/>
      </c>
      <c r="W1672" s="28">
        <f>IFERROR(LOOKUP(X1672,{0;0.01;0.1;1;10;100},{"Muy baja";"Muy baja";"Baja";"Media";"Alta";"Muy alta"}),"")</f>
        <v/>
      </c>
      <c r="X1672" s="31">
        <f>IFERROR(VLOOKUP(V1672,MgFrec,2,0),0)</f>
        <v/>
      </c>
      <c r="Y1672" s="30">
        <f>T1672*X1672</f>
        <v/>
      </c>
      <c r="Z1672" s="28">
        <f>IFERROR(LOOKUP(Y1672,{0;0.5;5;25},{"Bajo";"Medio";"Alto";"Crítico"}),"")</f>
        <v/>
      </c>
      <c r="AA1672" s="64">
        <f>IF(T1672&gt;=3,IF(X1672&gt;=1,"Zona 1 — Crítica: impacto alto y ocurre al menos una vez al año","Zona 4 — Catastrófica poco probable: impacto alto pero excepcional"),IF(AND(T1672&lt;1.5,X1672&lt;1),"Zona 3 — Asumible: impacto bajo y muy poco frecuente","Zona 2 — Atención: riesgo intermedio"))</f>
        <v/>
      </c>
      <c r="AB1672" s="64">
        <f>IFERROR(INDEX(MgAmenCtrl,MATCH(SUBSTITUTE($H1672,"*","-"),MgAmenClave,0)),"")</f>
        <v/>
      </c>
      <c r="AC1672" s="20" t="n"/>
      <c r="AD1672" s="31">
        <f>IFERROR($X1672*(1-IF($AC1672="",$AL1672,VLOOKUP($AC1672,MgMad,2,0))),"")</f>
        <v/>
      </c>
      <c r="AE1672" s="28">
        <f>IFERROR(LOOKUP(AD1672,{0;0.01;0.1;1;10;100},{"Muy baja";"Muy baja";"Baja";"Media";"Alta";"Muy alta"}),"")</f>
        <v/>
      </c>
      <c r="AF1672" s="30">
        <f>T1672*AD1672</f>
        <v/>
      </c>
      <c r="AG1672" s="28">
        <f>IFERROR(LOOKUP(AF1672,{0;0.5;5;25},{"Bajo";"Medio";"Alto";"Crítico"}),"")</f>
        <v/>
      </c>
      <c r="AH1672" s="28">
        <f>IF(AG1672="","",IF(OR(AG1672="Crítico",AG1672="Alto"),"Mitigar",IF(AG1672="Medio","Mitigar","Aceptar y monitorear")))</f>
        <v/>
      </c>
      <c r="AI1672" s="21" t="n"/>
      <c r="AJ1672" s="21" t="n"/>
      <c r="AK1672" s="20" t="n"/>
      <c r="AL1672" s="77">
        <f>IFERROR(INDEX(MgAmenEfic,MATCH(SUBSTITUTE($H1672,"*","-"),MgAmenClave,0)),0)</f>
        <v/>
      </c>
    </row>
    <row r="1673" hidden="1" ht="45" customHeight="1" s="54">
      <c r="B1673" s="59" t="inlineStr">
        <is>
          <t>R-1668</t>
        </is>
      </c>
      <c r="C1673" s="59" t="inlineStr">
        <is>
          <t>TEC-005</t>
        </is>
      </c>
      <c r="D1673" s="64">
        <f>IFERROR(INDEX(MgNombre,MATCH($C1673,MgActId,0)),"")</f>
        <v/>
      </c>
      <c r="E1673" s="64">
        <f>IFERROR(INDEX(MgProceso,MATCH($C1673,MgActId,0)),"")</f>
        <v/>
      </c>
      <c r="F1673" s="64">
        <f>IFERROR(INDEX(MgTipo,MATCH($C1673,MgActId,0)),"")</f>
        <v/>
      </c>
      <c r="G1673" s="64">
        <f>IFERROR(INDEX(MgSubtipo,MATCH($C1673,MgActId,0)),"")</f>
        <v/>
      </c>
      <c r="H1673" s="59" t="inlineStr">
        <is>
          <t>E.23</t>
        </is>
      </c>
      <c r="I1673" s="64">
        <f>IFERROR(INDEX(MgAmenNombre,MATCH(SUBSTITUTE($H1673,"*","-"),MgAmenClave,0)),"")</f>
        <v/>
      </c>
      <c r="J1673" s="28">
        <f>IFERROR(INDEX(MgAmenGrupo,MATCH(SUBSTITUTE($H1673,"*","-"),MgAmenClave,0)),"")</f>
        <v/>
      </c>
      <c r="K1673" s="64">
        <f>IFERROR(INDEX('1. Matriz de Activos'!$Q$6:$Q$239,MATCH($C1673,MgActId,0)),"")</f>
        <v/>
      </c>
      <c r="L1673" s="64">
        <f>IFERROR(INDEX('1. Matriz de Activos'!$R$6:$R$239,MATCH($C1673,MgActId,0)),"")</f>
        <v/>
      </c>
      <c r="M1673" s="64">
        <f>IFERROR(INDEX('1. Matriz de Activos'!$S$6:$S$239,MATCH($C1673,MgActId,0)),"")</f>
        <v/>
      </c>
      <c r="N1673" s="28">
        <f>IFERROR(INDEX(MgAmenDegD,MATCH(SUBSTITUTE($H1673,"*","-"),MgAmenClave,0)),"No aplica")</f>
        <v/>
      </c>
      <c r="O1673" s="28">
        <f>IFERROR(INDEX(MgAmenDegI,MATCH(SUBSTITUTE($H1673,"*","-"),MgAmenClave,0)),"No aplica")</f>
        <v/>
      </c>
      <c r="P1673" s="28">
        <f>IFERROR(INDEX(MgAmenDegC,MATCH(SUBSTITUTE($H1673,"*","-"),MgAmenClave,0)),"No aplica")</f>
        <v/>
      </c>
      <c r="Q1673" s="29">
        <f>IFERROR(VLOOKUP(K1673,MgValor,2,0)*VLOOKUP(N1673,MgDeg,2,0),0)</f>
        <v/>
      </c>
      <c r="R1673" s="29">
        <f>IFERROR(VLOOKUP(L1673,MgValor,2,0)*VLOOKUP(O1673,MgDeg,2,0),0)</f>
        <v/>
      </c>
      <c r="S1673" s="29">
        <f>IFERROR(VLOOKUP(M1673,MgValor,2,0)*VLOOKUP(P1673,MgDeg,2,0),0)</f>
        <v/>
      </c>
      <c r="T1673" s="30">
        <f>MAX(Q1673:S1673)</f>
        <v/>
      </c>
      <c r="U1673" s="28">
        <f>IFERROR(LOOKUP(T1673,{0;0.5;1.5;3;4.5},{"Despreciable";"Bajo";"Medio";"Alto";"Muy alto"}),"")</f>
        <v/>
      </c>
      <c r="V1673" s="13">
        <f>IFERROR(INDEX(MgAmenFrec,MATCH(SUBSTITUTE($H1673,"*","-"),MgAmenClave,0)),"")</f>
        <v/>
      </c>
      <c r="W1673" s="28">
        <f>IFERROR(LOOKUP(X1673,{0;0.01;0.1;1;10;100},{"Muy baja";"Muy baja";"Baja";"Media";"Alta";"Muy alta"}),"")</f>
        <v/>
      </c>
      <c r="X1673" s="31">
        <f>IFERROR(VLOOKUP(V1673,MgFrec,2,0),0)</f>
        <v/>
      </c>
      <c r="Y1673" s="30">
        <f>T1673*X1673</f>
        <v/>
      </c>
      <c r="Z1673" s="28">
        <f>IFERROR(LOOKUP(Y1673,{0;0.5;5;25},{"Bajo";"Medio";"Alto";"Crítico"}),"")</f>
        <v/>
      </c>
      <c r="AA1673" s="64">
        <f>IF(T1673&gt;=3,IF(X1673&gt;=1,"Zona 1 — Crítica: impacto alto y ocurre al menos una vez al año","Zona 4 — Catastrófica poco probable: impacto alto pero excepcional"),IF(AND(T1673&lt;1.5,X1673&lt;1),"Zona 3 — Asumible: impacto bajo y muy poco frecuente","Zona 2 — Atención: riesgo intermedio"))</f>
        <v/>
      </c>
      <c r="AB1673" s="64">
        <f>IFERROR(INDEX(MgAmenCtrl,MATCH(SUBSTITUTE($H1673,"*","-"),MgAmenClave,0)),"")</f>
        <v/>
      </c>
      <c r="AC1673" s="20" t="n"/>
      <c r="AD1673" s="31">
        <f>IFERROR($X1673*(1-IF($AC1673="",$AL1673,VLOOKUP($AC1673,MgMad,2,0))),"")</f>
        <v/>
      </c>
      <c r="AE1673" s="28">
        <f>IFERROR(LOOKUP(AD1673,{0;0.01;0.1;1;10;100},{"Muy baja";"Muy baja";"Baja";"Media";"Alta";"Muy alta"}),"")</f>
        <v/>
      </c>
      <c r="AF1673" s="30">
        <f>T1673*AD1673</f>
        <v/>
      </c>
      <c r="AG1673" s="28">
        <f>IFERROR(LOOKUP(AF1673,{0;0.5;5;25},{"Bajo";"Medio";"Alto";"Crítico"}),"")</f>
        <v/>
      </c>
      <c r="AH1673" s="28">
        <f>IF(AG1673="","",IF(OR(AG1673="Crítico",AG1673="Alto"),"Mitigar",IF(AG1673="Medio","Mitigar","Aceptar y monitorear")))</f>
        <v/>
      </c>
      <c r="AI1673" s="21" t="n"/>
      <c r="AJ1673" s="21" t="n"/>
      <c r="AK1673" s="20" t="n"/>
      <c r="AL1673" s="77">
        <f>IFERROR(INDEX(MgAmenEfic,MATCH(SUBSTITUTE($H1673,"*","-"),MgAmenClave,0)),0)</f>
        <v/>
      </c>
    </row>
    <row r="1674" hidden="1" ht="45" customHeight="1" s="54">
      <c r="B1674" s="59" t="inlineStr">
        <is>
          <t>R-1669</t>
        </is>
      </c>
      <c r="C1674" s="59" t="inlineStr">
        <is>
          <t>TEC-005</t>
        </is>
      </c>
      <c r="D1674" s="64">
        <f>IFERROR(INDEX(MgNombre,MATCH($C1674,MgActId,0)),"")</f>
        <v/>
      </c>
      <c r="E1674" s="64">
        <f>IFERROR(INDEX(MgProceso,MATCH($C1674,MgActId,0)),"")</f>
        <v/>
      </c>
      <c r="F1674" s="64">
        <f>IFERROR(INDEX(MgTipo,MATCH($C1674,MgActId,0)),"")</f>
        <v/>
      </c>
      <c r="G1674" s="64">
        <f>IFERROR(INDEX(MgSubtipo,MATCH($C1674,MgActId,0)),"")</f>
        <v/>
      </c>
      <c r="H1674" s="59" t="inlineStr">
        <is>
          <t>E.24</t>
        </is>
      </c>
      <c r="I1674" s="64">
        <f>IFERROR(INDEX(MgAmenNombre,MATCH(SUBSTITUTE($H1674,"*","-"),MgAmenClave,0)),"")</f>
        <v/>
      </c>
      <c r="J1674" s="28">
        <f>IFERROR(INDEX(MgAmenGrupo,MATCH(SUBSTITUTE($H1674,"*","-"),MgAmenClave,0)),"")</f>
        <v/>
      </c>
      <c r="K1674" s="64">
        <f>IFERROR(INDEX('1. Matriz de Activos'!$Q$6:$Q$239,MATCH($C1674,MgActId,0)),"")</f>
        <v/>
      </c>
      <c r="L1674" s="64">
        <f>IFERROR(INDEX('1. Matriz de Activos'!$R$6:$R$239,MATCH($C1674,MgActId,0)),"")</f>
        <v/>
      </c>
      <c r="M1674" s="64">
        <f>IFERROR(INDEX('1. Matriz de Activos'!$S$6:$S$239,MATCH($C1674,MgActId,0)),"")</f>
        <v/>
      </c>
      <c r="N1674" s="28">
        <f>IFERROR(INDEX(MgAmenDegD,MATCH(SUBSTITUTE($H1674,"*","-"),MgAmenClave,0)),"No aplica")</f>
        <v/>
      </c>
      <c r="O1674" s="28">
        <f>IFERROR(INDEX(MgAmenDegI,MATCH(SUBSTITUTE($H1674,"*","-"),MgAmenClave,0)),"No aplica")</f>
        <v/>
      </c>
      <c r="P1674" s="28">
        <f>IFERROR(INDEX(MgAmenDegC,MATCH(SUBSTITUTE($H1674,"*","-"),MgAmenClave,0)),"No aplica")</f>
        <v/>
      </c>
      <c r="Q1674" s="29">
        <f>IFERROR(VLOOKUP(K1674,MgValor,2,0)*VLOOKUP(N1674,MgDeg,2,0),0)</f>
        <v/>
      </c>
      <c r="R1674" s="29">
        <f>IFERROR(VLOOKUP(L1674,MgValor,2,0)*VLOOKUP(O1674,MgDeg,2,0),0)</f>
        <v/>
      </c>
      <c r="S1674" s="29">
        <f>IFERROR(VLOOKUP(M1674,MgValor,2,0)*VLOOKUP(P1674,MgDeg,2,0),0)</f>
        <v/>
      </c>
      <c r="T1674" s="30">
        <f>MAX(Q1674:S1674)</f>
        <v/>
      </c>
      <c r="U1674" s="28">
        <f>IFERROR(LOOKUP(T1674,{0;0.5;1.5;3;4.5},{"Despreciable";"Bajo";"Medio";"Alto";"Muy alto"}),"")</f>
        <v/>
      </c>
      <c r="V1674" s="13">
        <f>IFERROR(INDEX(MgAmenFrec,MATCH(SUBSTITUTE($H1674,"*","-"),MgAmenClave,0)),"")</f>
        <v/>
      </c>
      <c r="W1674" s="28">
        <f>IFERROR(LOOKUP(X1674,{0;0.01;0.1;1;10;100},{"Muy baja";"Muy baja";"Baja";"Media";"Alta";"Muy alta"}),"")</f>
        <v/>
      </c>
      <c r="X1674" s="31">
        <f>IFERROR(VLOOKUP(V1674,MgFrec,2,0),0)</f>
        <v/>
      </c>
      <c r="Y1674" s="30">
        <f>T1674*X1674</f>
        <v/>
      </c>
      <c r="Z1674" s="28">
        <f>IFERROR(LOOKUP(Y1674,{0;0.5;5;25},{"Bajo";"Medio";"Alto";"Crítico"}),"")</f>
        <v/>
      </c>
      <c r="AA1674" s="64">
        <f>IF(T1674&gt;=3,IF(X1674&gt;=1,"Zona 1 — Crítica: impacto alto y ocurre al menos una vez al año","Zona 4 — Catastrófica poco probable: impacto alto pero excepcional"),IF(AND(T1674&lt;1.5,X1674&lt;1),"Zona 3 — Asumible: impacto bajo y muy poco frecuente","Zona 2 — Atención: riesgo intermedio"))</f>
        <v/>
      </c>
      <c r="AB1674" s="64">
        <f>IFERROR(INDEX(MgAmenCtrl,MATCH(SUBSTITUTE($H1674,"*","-"),MgAmenClave,0)),"")</f>
        <v/>
      </c>
      <c r="AC1674" s="20" t="n"/>
      <c r="AD1674" s="31">
        <f>IFERROR($X1674*(1-IF($AC1674="",$AL1674,VLOOKUP($AC1674,MgMad,2,0))),"")</f>
        <v/>
      </c>
      <c r="AE1674" s="28">
        <f>IFERROR(LOOKUP(AD1674,{0;0.01;0.1;1;10;100},{"Muy baja";"Muy baja";"Baja";"Media";"Alta";"Muy alta"}),"")</f>
        <v/>
      </c>
      <c r="AF1674" s="30">
        <f>T1674*AD1674</f>
        <v/>
      </c>
      <c r="AG1674" s="28">
        <f>IFERROR(LOOKUP(AF1674,{0;0.5;5;25},{"Bajo";"Medio";"Alto";"Crítico"}),"")</f>
        <v/>
      </c>
      <c r="AH1674" s="28">
        <f>IF(AG1674="","",IF(OR(AG1674="Crítico",AG1674="Alto"),"Mitigar",IF(AG1674="Medio","Mitigar","Aceptar y monitorear")))</f>
        <v/>
      </c>
      <c r="AI1674" s="21" t="n"/>
      <c r="AJ1674" s="21" t="n"/>
      <c r="AK1674" s="20" t="n"/>
      <c r="AL1674" s="77">
        <f>IFERROR(INDEX(MgAmenEfic,MATCH(SUBSTITUTE($H1674,"*","-"),MgAmenClave,0)),0)</f>
        <v/>
      </c>
    </row>
    <row r="1675" hidden="1" ht="75" customHeight="1" s="54">
      <c r="B1675" s="59" t="inlineStr">
        <is>
          <t>R-1670</t>
        </is>
      </c>
      <c r="C1675" s="59" t="inlineStr">
        <is>
          <t>TEC-005</t>
        </is>
      </c>
      <c r="D1675" s="64">
        <f>IFERROR(INDEX(MgNombre,MATCH($C1675,MgActId,0)),"")</f>
        <v/>
      </c>
      <c r="E1675" s="64">
        <f>IFERROR(INDEX(MgProceso,MATCH($C1675,MgActId,0)),"")</f>
        <v/>
      </c>
      <c r="F1675" s="64">
        <f>IFERROR(INDEX(MgTipo,MATCH($C1675,MgActId,0)),"")</f>
        <v/>
      </c>
      <c r="G1675" s="64">
        <f>IFERROR(INDEX(MgSubtipo,MATCH($C1675,MgActId,0)),"")</f>
        <v/>
      </c>
      <c r="H1675" s="59" t="inlineStr">
        <is>
          <t>E.25</t>
        </is>
      </c>
      <c r="I1675" s="64">
        <f>IFERROR(INDEX(MgAmenNombre,MATCH(SUBSTITUTE($H1675,"*","-"),MgAmenClave,0)),"")</f>
        <v/>
      </c>
      <c r="J1675" s="28">
        <f>IFERROR(INDEX(MgAmenGrupo,MATCH(SUBSTITUTE($H1675,"*","-"),MgAmenClave,0)),"")</f>
        <v/>
      </c>
      <c r="K1675" s="64">
        <f>IFERROR(INDEX('1. Matriz de Activos'!$Q$6:$Q$239,MATCH($C1675,MgActId,0)),"")</f>
        <v/>
      </c>
      <c r="L1675" s="64">
        <f>IFERROR(INDEX('1. Matriz de Activos'!$R$6:$R$239,MATCH($C1675,MgActId,0)),"")</f>
        <v/>
      </c>
      <c r="M1675" s="64">
        <f>IFERROR(INDEX('1. Matriz de Activos'!$S$6:$S$239,MATCH($C1675,MgActId,0)),"")</f>
        <v/>
      </c>
      <c r="N1675" s="28">
        <f>IFERROR(INDEX(MgAmenDegD,MATCH(SUBSTITUTE($H1675,"*","-"),MgAmenClave,0)),"No aplica")</f>
        <v/>
      </c>
      <c r="O1675" s="28">
        <f>IFERROR(INDEX(MgAmenDegI,MATCH(SUBSTITUTE($H1675,"*","-"),MgAmenClave,0)),"No aplica")</f>
        <v/>
      </c>
      <c r="P1675" s="28">
        <f>IFERROR(INDEX(MgAmenDegC,MATCH(SUBSTITUTE($H1675,"*","-"),MgAmenClave,0)),"No aplica")</f>
        <v/>
      </c>
      <c r="Q1675" s="29">
        <f>IFERROR(VLOOKUP(K1675,MgValor,2,0)*VLOOKUP(N1675,MgDeg,2,0),0)</f>
        <v/>
      </c>
      <c r="R1675" s="29">
        <f>IFERROR(VLOOKUP(L1675,MgValor,2,0)*VLOOKUP(O1675,MgDeg,2,0),0)</f>
        <v/>
      </c>
      <c r="S1675" s="29">
        <f>IFERROR(VLOOKUP(M1675,MgValor,2,0)*VLOOKUP(P1675,MgDeg,2,0),0)</f>
        <v/>
      </c>
      <c r="T1675" s="30">
        <f>MAX(Q1675:S1675)</f>
        <v/>
      </c>
      <c r="U1675" s="28">
        <f>IFERROR(LOOKUP(T1675,{0;0.5;1.5;3;4.5},{"Despreciable";"Bajo";"Medio";"Alto";"Muy alto"}),"")</f>
        <v/>
      </c>
      <c r="V1675" s="13">
        <f>IFERROR(INDEX(MgAmenFrec,MATCH(SUBSTITUTE($H1675,"*","-"),MgAmenClave,0)),"")</f>
        <v/>
      </c>
      <c r="W1675" s="28">
        <f>IFERROR(LOOKUP(X1675,{0;0.01;0.1;1;10;100},{"Muy baja";"Muy baja";"Baja";"Media";"Alta";"Muy alta"}),"")</f>
        <v/>
      </c>
      <c r="X1675" s="31">
        <f>IFERROR(VLOOKUP(V1675,MgFrec,2,0),0)</f>
        <v/>
      </c>
      <c r="Y1675" s="30">
        <f>T1675*X1675</f>
        <v/>
      </c>
      <c r="Z1675" s="28">
        <f>IFERROR(LOOKUP(Y1675,{0;0.5;5;25},{"Bajo";"Medio";"Alto";"Crítico"}),"")</f>
        <v/>
      </c>
      <c r="AA1675" s="64">
        <f>IF(T1675&gt;=3,IF(X1675&gt;=1,"Zona 1 — Crítica: impacto alto y ocurre al menos una vez al año","Zona 4 — Catastrófica poco probable: impacto alto pero excepcional"),IF(AND(T1675&lt;1.5,X1675&lt;1),"Zona 3 — Asumible: impacto bajo y muy poco frecuente","Zona 2 — Atención: riesgo intermedio"))</f>
        <v/>
      </c>
      <c r="AB1675" s="64">
        <f>IFERROR(INDEX(MgAmenCtrl,MATCH(SUBSTITUTE($H1675,"*","-"),MgAmenClave,0)),"")</f>
        <v/>
      </c>
      <c r="AC1675" s="20" t="n"/>
      <c r="AD1675" s="31">
        <f>IFERROR($X1675*(1-IF($AC1675="",$AL1675,VLOOKUP($AC1675,MgMad,2,0))),"")</f>
        <v/>
      </c>
      <c r="AE1675" s="28">
        <f>IFERROR(LOOKUP(AD1675,{0;0.01;0.1;1;10;100},{"Muy baja";"Muy baja";"Baja";"Media";"Alta";"Muy alta"}),"")</f>
        <v/>
      </c>
      <c r="AF1675" s="30">
        <f>T1675*AD1675</f>
        <v/>
      </c>
      <c r="AG1675" s="28">
        <f>IFERROR(LOOKUP(AF1675,{0;0.5;5;25},{"Bajo";"Medio";"Alto";"Crítico"}),"")</f>
        <v/>
      </c>
      <c r="AH1675" s="28">
        <f>IF(AG1675="","",IF(OR(AG1675="Crítico",AG1675="Alto"),"Mitigar",IF(AG1675="Medio","Mitigar","Aceptar y monitorear")))</f>
        <v/>
      </c>
      <c r="AI1675" s="21" t="n"/>
      <c r="AJ1675" s="21" t="n"/>
      <c r="AK1675" s="20" t="n"/>
      <c r="AL1675" s="77">
        <f>IFERROR(INDEX(MgAmenEfic,MATCH(SUBSTITUTE($H1675,"*","-"),MgAmenClave,0)),0)</f>
        <v/>
      </c>
    </row>
    <row r="1676" hidden="1" ht="105" customHeight="1" s="54">
      <c r="B1676" s="59" t="inlineStr">
        <is>
          <t>R-1671</t>
        </is>
      </c>
      <c r="C1676" s="59" t="inlineStr">
        <is>
          <t>TEC-005</t>
        </is>
      </c>
      <c r="D1676" s="64">
        <f>IFERROR(INDEX(MgNombre,MATCH($C1676,MgActId,0)),"")</f>
        <v/>
      </c>
      <c r="E1676" s="64">
        <f>IFERROR(INDEX(MgProceso,MATCH($C1676,MgActId,0)),"")</f>
        <v/>
      </c>
      <c r="F1676" s="64">
        <f>IFERROR(INDEX(MgTipo,MATCH($C1676,MgActId,0)),"")</f>
        <v/>
      </c>
      <c r="G1676" s="64">
        <f>IFERROR(INDEX(MgSubtipo,MATCH($C1676,MgActId,0)),"")</f>
        <v/>
      </c>
      <c r="H1676" s="59" t="inlineStr">
        <is>
          <t>A.6</t>
        </is>
      </c>
      <c r="I1676" s="64">
        <f>IFERROR(INDEX(MgAmenNombre,MATCH(SUBSTITUTE($H1676,"*","-"),MgAmenClave,0)),"")</f>
        <v/>
      </c>
      <c r="J1676" s="28">
        <f>IFERROR(INDEX(MgAmenGrupo,MATCH(SUBSTITUTE($H1676,"*","-"),MgAmenClave,0)),"")</f>
        <v/>
      </c>
      <c r="K1676" s="64">
        <f>IFERROR(INDEX('1. Matriz de Activos'!$Q$6:$Q$239,MATCH($C1676,MgActId,0)),"")</f>
        <v/>
      </c>
      <c r="L1676" s="64">
        <f>IFERROR(INDEX('1. Matriz de Activos'!$R$6:$R$239,MATCH($C1676,MgActId,0)),"")</f>
        <v/>
      </c>
      <c r="M1676" s="64">
        <f>IFERROR(INDEX('1. Matriz de Activos'!$S$6:$S$239,MATCH($C1676,MgActId,0)),"")</f>
        <v/>
      </c>
      <c r="N1676" s="28">
        <f>IFERROR(INDEX(MgAmenDegD,MATCH(SUBSTITUTE($H1676,"*","-"),MgAmenClave,0)),"No aplica")</f>
        <v/>
      </c>
      <c r="O1676" s="28">
        <f>IFERROR(INDEX(MgAmenDegI,MATCH(SUBSTITUTE($H1676,"*","-"),MgAmenClave,0)),"No aplica")</f>
        <v/>
      </c>
      <c r="P1676" s="28">
        <f>IFERROR(INDEX(MgAmenDegC,MATCH(SUBSTITUTE($H1676,"*","-"),MgAmenClave,0)),"No aplica")</f>
        <v/>
      </c>
      <c r="Q1676" s="29">
        <f>IFERROR(VLOOKUP(K1676,MgValor,2,0)*VLOOKUP(N1676,MgDeg,2,0),0)</f>
        <v/>
      </c>
      <c r="R1676" s="29">
        <f>IFERROR(VLOOKUP(L1676,MgValor,2,0)*VLOOKUP(O1676,MgDeg,2,0),0)</f>
        <v/>
      </c>
      <c r="S1676" s="29">
        <f>IFERROR(VLOOKUP(M1676,MgValor,2,0)*VLOOKUP(P1676,MgDeg,2,0),0)</f>
        <v/>
      </c>
      <c r="T1676" s="30">
        <f>MAX(Q1676:S1676)</f>
        <v/>
      </c>
      <c r="U1676" s="28">
        <f>IFERROR(LOOKUP(T1676,{0;0.5;1.5;3;4.5},{"Despreciable";"Bajo";"Medio";"Alto";"Muy alto"}),"")</f>
        <v/>
      </c>
      <c r="V1676" s="13">
        <f>IFERROR(INDEX(MgAmenFrec,MATCH(SUBSTITUTE($H1676,"*","-"),MgAmenClave,0)),"")</f>
        <v/>
      </c>
      <c r="W1676" s="28">
        <f>IFERROR(LOOKUP(X1676,{0;0.01;0.1;1;10;100},{"Muy baja";"Muy baja";"Baja";"Media";"Alta";"Muy alta"}),"")</f>
        <v/>
      </c>
      <c r="X1676" s="31">
        <f>IFERROR(VLOOKUP(V1676,MgFrec,2,0),0)</f>
        <v/>
      </c>
      <c r="Y1676" s="30">
        <f>T1676*X1676</f>
        <v/>
      </c>
      <c r="Z1676" s="28">
        <f>IFERROR(LOOKUP(Y1676,{0;0.5;5;25},{"Bajo";"Medio";"Alto";"Crítico"}),"")</f>
        <v/>
      </c>
      <c r="AA1676" s="64">
        <f>IF(T1676&gt;=3,IF(X1676&gt;=1,"Zona 1 — Crítica: impacto alto y ocurre al menos una vez al año","Zona 4 — Catastrófica poco probable: impacto alto pero excepcional"),IF(AND(T1676&lt;1.5,X1676&lt;1),"Zona 3 — Asumible: impacto bajo y muy poco frecuente","Zona 2 — Atención: riesgo intermedio"))</f>
        <v/>
      </c>
      <c r="AB1676" s="64">
        <f>IFERROR(INDEX(MgAmenCtrl,MATCH(SUBSTITUTE($H1676,"*","-"),MgAmenClave,0)),"")</f>
        <v/>
      </c>
      <c r="AC1676" s="20" t="n"/>
      <c r="AD1676" s="31">
        <f>IFERROR($X1676*(1-IF($AC1676="",$AL1676,VLOOKUP($AC1676,MgMad,2,0))),"")</f>
        <v/>
      </c>
      <c r="AE1676" s="28">
        <f>IFERROR(LOOKUP(AD1676,{0;0.01;0.1;1;10;100},{"Muy baja";"Muy baja";"Baja";"Media";"Alta";"Muy alta"}),"")</f>
        <v/>
      </c>
      <c r="AF1676" s="30">
        <f>T1676*AD1676</f>
        <v/>
      </c>
      <c r="AG1676" s="28">
        <f>IFERROR(LOOKUP(AF1676,{0;0.5;5;25},{"Bajo";"Medio";"Alto";"Crítico"}),"")</f>
        <v/>
      </c>
      <c r="AH1676" s="28">
        <f>IF(AG1676="","",IF(OR(AG1676="Crítico",AG1676="Alto"),"Mitigar",IF(AG1676="Medio","Mitigar","Aceptar y monitorear")))</f>
        <v/>
      </c>
      <c r="AI1676" s="21" t="n"/>
      <c r="AJ1676" s="21" t="n"/>
      <c r="AK1676" s="20" t="n"/>
      <c r="AL1676" s="77">
        <f>IFERROR(INDEX(MgAmenEfic,MATCH(SUBSTITUTE($H1676,"*","-"),MgAmenClave,0)),0)</f>
        <v/>
      </c>
    </row>
    <row r="1677" hidden="1" ht="60" customHeight="1" s="54">
      <c r="B1677" s="59" t="inlineStr">
        <is>
          <t>R-1672</t>
        </is>
      </c>
      <c r="C1677" s="59" t="inlineStr">
        <is>
          <t>TEC-005</t>
        </is>
      </c>
      <c r="D1677" s="64">
        <f>IFERROR(INDEX(MgNombre,MATCH($C1677,MgActId,0)),"")</f>
        <v/>
      </c>
      <c r="E1677" s="64">
        <f>IFERROR(INDEX(MgProceso,MATCH($C1677,MgActId,0)),"")</f>
        <v/>
      </c>
      <c r="F1677" s="64">
        <f>IFERROR(INDEX(MgTipo,MATCH($C1677,MgActId,0)),"")</f>
        <v/>
      </c>
      <c r="G1677" s="64">
        <f>IFERROR(INDEX(MgSubtipo,MATCH($C1677,MgActId,0)),"")</f>
        <v/>
      </c>
      <c r="H1677" s="59" t="inlineStr">
        <is>
          <t>A.7</t>
        </is>
      </c>
      <c r="I1677" s="64">
        <f>IFERROR(INDEX(MgAmenNombre,MATCH(SUBSTITUTE($H1677,"*","-"),MgAmenClave,0)),"")</f>
        <v/>
      </c>
      <c r="J1677" s="28">
        <f>IFERROR(INDEX(MgAmenGrupo,MATCH(SUBSTITUTE($H1677,"*","-"),MgAmenClave,0)),"")</f>
        <v/>
      </c>
      <c r="K1677" s="64">
        <f>IFERROR(INDEX('1. Matriz de Activos'!$Q$6:$Q$239,MATCH($C1677,MgActId,0)),"")</f>
        <v/>
      </c>
      <c r="L1677" s="64">
        <f>IFERROR(INDEX('1. Matriz de Activos'!$R$6:$R$239,MATCH($C1677,MgActId,0)),"")</f>
        <v/>
      </c>
      <c r="M1677" s="64">
        <f>IFERROR(INDEX('1. Matriz de Activos'!$S$6:$S$239,MATCH($C1677,MgActId,0)),"")</f>
        <v/>
      </c>
      <c r="N1677" s="28">
        <f>IFERROR(INDEX(MgAmenDegD,MATCH(SUBSTITUTE($H1677,"*","-"),MgAmenClave,0)),"No aplica")</f>
        <v/>
      </c>
      <c r="O1677" s="28">
        <f>IFERROR(INDEX(MgAmenDegI,MATCH(SUBSTITUTE($H1677,"*","-"),MgAmenClave,0)),"No aplica")</f>
        <v/>
      </c>
      <c r="P1677" s="28">
        <f>IFERROR(INDEX(MgAmenDegC,MATCH(SUBSTITUTE($H1677,"*","-"),MgAmenClave,0)),"No aplica")</f>
        <v/>
      </c>
      <c r="Q1677" s="29">
        <f>IFERROR(VLOOKUP(K1677,MgValor,2,0)*VLOOKUP(N1677,MgDeg,2,0),0)</f>
        <v/>
      </c>
      <c r="R1677" s="29">
        <f>IFERROR(VLOOKUP(L1677,MgValor,2,0)*VLOOKUP(O1677,MgDeg,2,0),0)</f>
        <v/>
      </c>
      <c r="S1677" s="29">
        <f>IFERROR(VLOOKUP(M1677,MgValor,2,0)*VLOOKUP(P1677,MgDeg,2,0),0)</f>
        <v/>
      </c>
      <c r="T1677" s="30">
        <f>MAX(Q1677:S1677)</f>
        <v/>
      </c>
      <c r="U1677" s="28">
        <f>IFERROR(LOOKUP(T1677,{0;0.5;1.5;3;4.5},{"Despreciable";"Bajo";"Medio";"Alto";"Muy alto"}),"")</f>
        <v/>
      </c>
      <c r="V1677" s="13">
        <f>IFERROR(INDEX(MgAmenFrec,MATCH(SUBSTITUTE($H1677,"*","-"),MgAmenClave,0)),"")</f>
        <v/>
      </c>
      <c r="W1677" s="28">
        <f>IFERROR(LOOKUP(X1677,{0;0.01;0.1;1;10;100},{"Muy baja";"Muy baja";"Baja";"Media";"Alta";"Muy alta"}),"")</f>
        <v/>
      </c>
      <c r="X1677" s="31">
        <f>IFERROR(VLOOKUP(V1677,MgFrec,2,0),0)</f>
        <v/>
      </c>
      <c r="Y1677" s="30">
        <f>T1677*X1677</f>
        <v/>
      </c>
      <c r="Z1677" s="28">
        <f>IFERROR(LOOKUP(Y1677,{0;0.5;5;25},{"Bajo";"Medio";"Alto";"Crítico"}),"")</f>
        <v/>
      </c>
      <c r="AA1677" s="64">
        <f>IF(T1677&gt;=3,IF(X1677&gt;=1,"Zona 1 — Crítica: impacto alto y ocurre al menos una vez al año","Zona 4 — Catastrófica poco probable: impacto alto pero excepcional"),IF(AND(T1677&lt;1.5,X1677&lt;1),"Zona 3 — Asumible: impacto bajo y muy poco frecuente","Zona 2 — Atención: riesgo intermedio"))</f>
        <v/>
      </c>
      <c r="AB1677" s="64">
        <f>IFERROR(INDEX(MgAmenCtrl,MATCH(SUBSTITUTE($H1677,"*","-"),MgAmenClave,0)),"")</f>
        <v/>
      </c>
      <c r="AC1677" s="20" t="n"/>
      <c r="AD1677" s="31">
        <f>IFERROR($X1677*(1-IF($AC1677="",$AL1677,VLOOKUP($AC1677,MgMad,2,0))),"")</f>
        <v/>
      </c>
      <c r="AE1677" s="28">
        <f>IFERROR(LOOKUP(AD1677,{0;0.01;0.1;1;10;100},{"Muy baja";"Muy baja";"Baja";"Media";"Alta";"Muy alta"}),"")</f>
        <v/>
      </c>
      <c r="AF1677" s="30">
        <f>T1677*AD1677</f>
        <v/>
      </c>
      <c r="AG1677" s="28">
        <f>IFERROR(LOOKUP(AF1677,{0;0.5;5;25},{"Bajo";"Medio";"Alto";"Crítico"}),"")</f>
        <v/>
      </c>
      <c r="AH1677" s="28">
        <f>IF(AG1677="","",IF(OR(AG1677="Crítico",AG1677="Alto"),"Mitigar",IF(AG1677="Medio","Mitigar","Aceptar y monitorear")))</f>
        <v/>
      </c>
      <c r="AI1677" s="21" t="n"/>
      <c r="AJ1677" s="21" t="n"/>
      <c r="AK1677" s="20" t="n"/>
      <c r="AL1677" s="77">
        <f>IFERROR(INDEX(MgAmenEfic,MATCH(SUBSTITUTE($H1677,"*","-"),MgAmenClave,0)),0)</f>
        <v/>
      </c>
    </row>
    <row r="1678" hidden="1" ht="120" customHeight="1" s="54">
      <c r="B1678" s="59" t="inlineStr">
        <is>
          <t>R-1673</t>
        </is>
      </c>
      <c r="C1678" s="59" t="inlineStr">
        <is>
          <t>TEC-005</t>
        </is>
      </c>
      <c r="D1678" s="64">
        <f>IFERROR(INDEX(MgNombre,MATCH($C1678,MgActId,0)),"")</f>
        <v/>
      </c>
      <c r="E1678" s="64">
        <f>IFERROR(INDEX(MgProceso,MATCH($C1678,MgActId,0)),"")</f>
        <v/>
      </c>
      <c r="F1678" s="64">
        <f>IFERROR(INDEX(MgTipo,MATCH($C1678,MgActId,0)),"")</f>
        <v/>
      </c>
      <c r="G1678" s="64">
        <f>IFERROR(INDEX(MgSubtipo,MATCH($C1678,MgActId,0)),"")</f>
        <v/>
      </c>
      <c r="H1678" s="59" t="inlineStr">
        <is>
          <t>A.11</t>
        </is>
      </c>
      <c r="I1678" s="64">
        <f>IFERROR(INDEX(MgAmenNombre,MATCH(SUBSTITUTE($H1678,"*","-"),MgAmenClave,0)),"")</f>
        <v/>
      </c>
      <c r="J1678" s="28">
        <f>IFERROR(INDEX(MgAmenGrupo,MATCH(SUBSTITUTE($H1678,"*","-"),MgAmenClave,0)),"")</f>
        <v/>
      </c>
      <c r="K1678" s="64">
        <f>IFERROR(INDEX('1. Matriz de Activos'!$Q$6:$Q$239,MATCH($C1678,MgActId,0)),"")</f>
        <v/>
      </c>
      <c r="L1678" s="64">
        <f>IFERROR(INDEX('1. Matriz de Activos'!$R$6:$R$239,MATCH($C1678,MgActId,0)),"")</f>
        <v/>
      </c>
      <c r="M1678" s="64">
        <f>IFERROR(INDEX('1. Matriz de Activos'!$S$6:$S$239,MATCH($C1678,MgActId,0)),"")</f>
        <v/>
      </c>
      <c r="N1678" s="28">
        <f>IFERROR(INDEX(MgAmenDegD,MATCH(SUBSTITUTE($H1678,"*","-"),MgAmenClave,0)),"No aplica")</f>
        <v/>
      </c>
      <c r="O1678" s="28">
        <f>IFERROR(INDEX(MgAmenDegI,MATCH(SUBSTITUTE($H1678,"*","-"),MgAmenClave,0)),"No aplica")</f>
        <v/>
      </c>
      <c r="P1678" s="28">
        <f>IFERROR(INDEX(MgAmenDegC,MATCH(SUBSTITUTE($H1678,"*","-"),MgAmenClave,0)),"No aplica")</f>
        <v/>
      </c>
      <c r="Q1678" s="29">
        <f>IFERROR(VLOOKUP(K1678,MgValor,2,0)*VLOOKUP(N1678,MgDeg,2,0),0)</f>
        <v/>
      </c>
      <c r="R1678" s="29">
        <f>IFERROR(VLOOKUP(L1678,MgValor,2,0)*VLOOKUP(O1678,MgDeg,2,0),0)</f>
        <v/>
      </c>
      <c r="S1678" s="29">
        <f>IFERROR(VLOOKUP(M1678,MgValor,2,0)*VLOOKUP(P1678,MgDeg,2,0),0)</f>
        <v/>
      </c>
      <c r="T1678" s="30">
        <f>MAX(Q1678:S1678)</f>
        <v/>
      </c>
      <c r="U1678" s="28">
        <f>IFERROR(LOOKUP(T1678,{0;0.5;1.5;3;4.5},{"Despreciable";"Bajo";"Medio";"Alto";"Muy alto"}),"")</f>
        <v/>
      </c>
      <c r="V1678" s="13">
        <f>IFERROR(INDEX(MgAmenFrec,MATCH(SUBSTITUTE($H1678,"*","-"),MgAmenClave,0)),"")</f>
        <v/>
      </c>
      <c r="W1678" s="28">
        <f>IFERROR(LOOKUP(X1678,{0;0.01;0.1;1;10;100},{"Muy baja";"Muy baja";"Baja";"Media";"Alta";"Muy alta"}),"")</f>
        <v/>
      </c>
      <c r="X1678" s="31">
        <f>IFERROR(VLOOKUP(V1678,MgFrec,2,0),0)</f>
        <v/>
      </c>
      <c r="Y1678" s="30">
        <f>T1678*X1678</f>
        <v/>
      </c>
      <c r="Z1678" s="28">
        <f>IFERROR(LOOKUP(Y1678,{0;0.5;5;25},{"Bajo";"Medio";"Alto";"Crítico"}),"")</f>
        <v/>
      </c>
      <c r="AA1678" s="64">
        <f>IF(T1678&gt;=3,IF(X1678&gt;=1,"Zona 1 — Crítica: impacto alto y ocurre al menos una vez al año","Zona 4 — Catastrófica poco probable: impacto alto pero excepcional"),IF(AND(T1678&lt;1.5,X1678&lt;1),"Zona 3 — Asumible: impacto bajo y muy poco frecuente","Zona 2 — Atención: riesgo intermedio"))</f>
        <v/>
      </c>
      <c r="AB1678" s="64">
        <f>IFERROR(INDEX(MgAmenCtrl,MATCH(SUBSTITUTE($H1678,"*","-"),MgAmenClave,0)),"")</f>
        <v/>
      </c>
      <c r="AC1678" s="20" t="n"/>
      <c r="AD1678" s="31">
        <f>IFERROR($X1678*(1-IF($AC1678="",$AL1678,VLOOKUP($AC1678,MgMad,2,0))),"")</f>
        <v/>
      </c>
      <c r="AE1678" s="28">
        <f>IFERROR(LOOKUP(AD1678,{0;0.01;0.1;1;10;100},{"Muy baja";"Muy baja";"Baja";"Media";"Alta";"Muy alta"}),"")</f>
        <v/>
      </c>
      <c r="AF1678" s="30">
        <f>T1678*AD1678</f>
        <v/>
      </c>
      <c r="AG1678" s="28">
        <f>IFERROR(LOOKUP(AF1678,{0;0.5;5;25},{"Bajo";"Medio";"Alto";"Crítico"}),"")</f>
        <v/>
      </c>
      <c r="AH1678" s="28">
        <f>IF(AG1678="","",IF(OR(AG1678="Crítico",AG1678="Alto"),"Mitigar",IF(AG1678="Medio","Mitigar","Aceptar y monitorear")))</f>
        <v/>
      </c>
      <c r="AI1678" s="21" t="n"/>
      <c r="AJ1678" s="21" t="n"/>
      <c r="AK1678" s="20" t="n"/>
      <c r="AL1678" s="77">
        <f>IFERROR(INDEX(MgAmenEfic,MATCH(SUBSTITUTE($H1678,"*","-"),MgAmenClave,0)),0)</f>
        <v/>
      </c>
    </row>
    <row r="1679" hidden="1" ht="60" customHeight="1" s="54">
      <c r="B1679" s="59" t="inlineStr">
        <is>
          <t>R-1674</t>
        </is>
      </c>
      <c r="C1679" s="59" t="inlineStr">
        <is>
          <t>TEC-005</t>
        </is>
      </c>
      <c r="D1679" s="64">
        <f>IFERROR(INDEX(MgNombre,MATCH($C1679,MgActId,0)),"")</f>
        <v/>
      </c>
      <c r="E1679" s="64">
        <f>IFERROR(INDEX(MgProceso,MATCH($C1679,MgActId,0)),"")</f>
        <v/>
      </c>
      <c r="F1679" s="64">
        <f>IFERROR(INDEX(MgTipo,MATCH($C1679,MgActId,0)),"")</f>
        <v/>
      </c>
      <c r="G1679" s="64">
        <f>IFERROR(INDEX(MgSubtipo,MATCH($C1679,MgActId,0)),"")</f>
        <v/>
      </c>
      <c r="H1679" s="59" t="inlineStr">
        <is>
          <t>A.23</t>
        </is>
      </c>
      <c r="I1679" s="64">
        <f>IFERROR(INDEX(MgAmenNombre,MATCH(SUBSTITUTE($H1679,"*","-"),MgAmenClave,0)),"")</f>
        <v/>
      </c>
      <c r="J1679" s="28">
        <f>IFERROR(INDEX(MgAmenGrupo,MATCH(SUBSTITUTE($H1679,"*","-"),MgAmenClave,0)),"")</f>
        <v/>
      </c>
      <c r="K1679" s="64">
        <f>IFERROR(INDEX('1. Matriz de Activos'!$Q$6:$Q$239,MATCH($C1679,MgActId,0)),"")</f>
        <v/>
      </c>
      <c r="L1679" s="64">
        <f>IFERROR(INDEX('1. Matriz de Activos'!$R$6:$R$239,MATCH($C1679,MgActId,0)),"")</f>
        <v/>
      </c>
      <c r="M1679" s="64">
        <f>IFERROR(INDEX('1. Matriz de Activos'!$S$6:$S$239,MATCH($C1679,MgActId,0)),"")</f>
        <v/>
      </c>
      <c r="N1679" s="28">
        <f>IFERROR(INDEX(MgAmenDegD,MATCH(SUBSTITUTE($H1679,"*","-"),MgAmenClave,0)),"No aplica")</f>
        <v/>
      </c>
      <c r="O1679" s="28">
        <f>IFERROR(INDEX(MgAmenDegI,MATCH(SUBSTITUTE($H1679,"*","-"),MgAmenClave,0)),"No aplica")</f>
        <v/>
      </c>
      <c r="P1679" s="28">
        <f>IFERROR(INDEX(MgAmenDegC,MATCH(SUBSTITUTE($H1679,"*","-"),MgAmenClave,0)),"No aplica")</f>
        <v/>
      </c>
      <c r="Q1679" s="29">
        <f>IFERROR(VLOOKUP(K1679,MgValor,2,0)*VLOOKUP(N1679,MgDeg,2,0),0)</f>
        <v/>
      </c>
      <c r="R1679" s="29">
        <f>IFERROR(VLOOKUP(L1679,MgValor,2,0)*VLOOKUP(O1679,MgDeg,2,0),0)</f>
        <v/>
      </c>
      <c r="S1679" s="29">
        <f>IFERROR(VLOOKUP(M1679,MgValor,2,0)*VLOOKUP(P1679,MgDeg,2,0),0)</f>
        <v/>
      </c>
      <c r="T1679" s="30">
        <f>MAX(Q1679:S1679)</f>
        <v/>
      </c>
      <c r="U1679" s="28">
        <f>IFERROR(LOOKUP(T1679,{0;0.5;1.5;3;4.5},{"Despreciable";"Bajo";"Medio";"Alto";"Muy alto"}),"")</f>
        <v/>
      </c>
      <c r="V1679" s="13">
        <f>IFERROR(INDEX(MgAmenFrec,MATCH(SUBSTITUTE($H1679,"*","-"),MgAmenClave,0)),"")</f>
        <v/>
      </c>
      <c r="W1679" s="28">
        <f>IFERROR(LOOKUP(X1679,{0;0.01;0.1;1;10;100},{"Muy baja";"Muy baja";"Baja";"Media";"Alta";"Muy alta"}),"")</f>
        <v/>
      </c>
      <c r="X1679" s="31">
        <f>IFERROR(VLOOKUP(V1679,MgFrec,2,0),0)</f>
        <v/>
      </c>
      <c r="Y1679" s="30">
        <f>T1679*X1679</f>
        <v/>
      </c>
      <c r="Z1679" s="28">
        <f>IFERROR(LOOKUP(Y1679,{0;0.5;5;25},{"Bajo";"Medio";"Alto";"Crítico"}),"")</f>
        <v/>
      </c>
      <c r="AA1679" s="64">
        <f>IF(T1679&gt;=3,IF(X1679&gt;=1,"Zona 1 — Crítica: impacto alto y ocurre al menos una vez al año","Zona 4 — Catastrófica poco probable: impacto alto pero excepcional"),IF(AND(T1679&lt;1.5,X1679&lt;1),"Zona 3 — Asumible: impacto bajo y muy poco frecuente","Zona 2 — Atención: riesgo intermedio"))</f>
        <v/>
      </c>
      <c r="AB1679" s="64">
        <f>IFERROR(INDEX(MgAmenCtrl,MATCH(SUBSTITUTE($H1679,"*","-"),MgAmenClave,0)),"")</f>
        <v/>
      </c>
      <c r="AC1679" s="20" t="n"/>
      <c r="AD1679" s="31">
        <f>IFERROR($X1679*(1-IF($AC1679="",$AL1679,VLOOKUP($AC1679,MgMad,2,0))),"")</f>
        <v/>
      </c>
      <c r="AE1679" s="28">
        <f>IFERROR(LOOKUP(AD1679,{0;0.01;0.1;1;10;100},{"Muy baja";"Muy baja";"Baja";"Media";"Alta";"Muy alta"}),"")</f>
        <v/>
      </c>
      <c r="AF1679" s="30">
        <f>T1679*AD1679</f>
        <v/>
      </c>
      <c r="AG1679" s="28">
        <f>IFERROR(LOOKUP(AF1679,{0;0.5;5;25},{"Bajo";"Medio";"Alto";"Crítico"}),"")</f>
        <v/>
      </c>
      <c r="AH1679" s="28">
        <f>IF(AG1679="","",IF(OR(AG1679="Crítico",AG1679="Alto"),"Mitigar",IF(AG1679="Medio","Mitigar","Aceptar y monitorear")))</f>
        <v/>
      </c>
      <c r="AI1679" s="21" t="n"/>
      <c r="AJ1679" s="21" t="n"/>
      <c r="AK1679" s="20" t="n"/>
      <c r="AL1679" s="77">
        <f>IFERROR(INDEX(MgAmenEfic,MATCH(SUBSTITUTE($H1679,"*","-"),MgAmenClave,0)),0)</f>
        <v/>
      </c>
    </row>
    <row r="1680" hidden="1" ht="60" customHeight="1" s="54">
      <c r="B1680" s="59" t="inlineStr">
        <is>
          <t>R-1675</t>
        </is>
      </c>
      <c r="C1680" s="59" t="inlineStr">
        <is>
          <t>TEC-005</t>
        </is>
      </c>
      <c r="D1680" s="64">
        <f>IFERROR(INDEX(MgNombre,MATCH($C1680,MgActId,0)),"")</f>
        <v/>
      </c>
      <c r="E1680" s="64">
        <f>IFERROR(INDEX(MgProceso,MATCH($C1680,MgActId,0)),"")</f>
        <v/>
      </c>
      <c r="F1680" s="64">
        <f>IFERROR(INDEX(MgTipo,MATCH($C1680,MgActId,0)),"")</f>
        <v/>
      </c>
      <c r="G1680" s="64">
        <f>IFERROR(INDEX(MgSubtipo,MATCH($C1680,MgActId,0)),"")</f>
        <v/>
      </c>
      <c r="H1680" s="59" t="inlineStr">
        <is>
          <t>A.24</t>
        </is>
      </c>
      <c r="I1680" s="64">
        <f>IFERROR(INDEX(MgAmenNombre,MATCH(SUBSTITUTE($H1680,"*","-"),MgAmenClave,0)),"")</f>
        <v/>
      </c>
      <c r="J1680" s="28">
        <f>IFERROR(INDEX(MgAmenGrupo,MATCH(SUBSTITUTE($H1680,"*","-"),MgAmenClave,0)),"")</f>
        <v/>
      </c>
      <c r="K1680" s="64">
        <f>IFERROR(INDEX('1. Matriz de Activos'!$Q$6:$Q$239,MATCH($C1680,MgActId,0)),"")</f>
        <v/>
      </c>
      <c r="L1680" s="64">
        <f>IFERROR(INDEX('1. Matriz de Activos'!$R$6:$R$239,MATCH($C1680,MgActId,0)),"")</f>
        <v/>
      </c>
      <c r="M1680" s="64">
        <f>IFERROR(INDEX('1. Matriz de Activos'!$S$6:$S$239,MATCH($C1680,MgActId,0)),"")</f>
        <v/>
      </c>
      <c r="N1680" s="28">
        <f>IFERROR(INDEX(MgAmenDegD,MATCH(SUBSTITUTE($H1680,"*","-"),MgAmenClave,0)),"No aplica")</f>
        <v/>
      </c>
      <c r="O1680" s="28">
        <f>IFERROR(INDEX(MgAmenDegI,MATCH(SUBSTITUTE($H1680,"*","-"),MgAmenClave,0)),"No aplica")</f>
        <v/>
      </c>
      <c r="P1680" s="28">
        <f>IFERROR(INDEX(MgAmenDegC,MATCH(SUBSTITUTE($H1680,"*","-"),MgAmenClave,0)),"No aplica")</f>
        <v/>
      </c>
      <c r="Q1680" s="29">
        <f>IFERROR(VLOOKUP(K1680,MgValor,2,0)*VLOOKUP(N1680,MgDeg,2,0),0)</f>
        <v/>
      </c>
      <c r="R1680" s="29">
        <f>IFERROR(VLOOKUP(L1680,MgValor,2,0)*VLOOKUP(O1680,MgDeg,2,0),0)</f>
        <v/>
      </c>
      <c r="S1680" s="29">
        <f>IFERROR(VLOOKUP(M1680,MgValor,2,0)*VLOOKUP(P1680,MgDeg,2,0),0)</f>
        <v/>
      </c>
      <c r="T1680" s="30">
        <f>MAX(Q1680:S1680)</f>
        <v/>
      </c>
      <c r="U1680" s="28">
        <f>IFERROR(LOOKUP(T1680,{0;0.5;1.5;3;4.5},{"Despreciable";"Bajo";"Medio";"Alto";"Muy alto"}),"")</f>
        <v/>
      </c>
      <c r="V1680" s="13">
        <f>IFERROR(INDEX(MgAmenFrec,MATCH(SUBSTITUTE($H1680,"*","-"),MgAmenClave,0)),"")</f>
        <v/>
      </c>
      <c r="W1680" s="28">
        <f>IFERROR(LOOKUP(X1680,{0;0.01;0.1;1;10;100},{"Muy baja";"Muy baja";"Baja";"Media";"Alta";"Muy alta"}),"")</f>
        <v/>
      </c>
      <c r="X1680" s="31">
        <f>IFERROR(VLOOKUP(V1680,MgFrec,2,0),0)</f>
        <v/>
      </c>
      <c r="Y1680" s="30">
        <f>T1680*X1680</f>
        <v/>
      </c>
      <c r="Z1680" s="28">
        <f>IFERROR(LOOKUP(Y1680,{0;0.5;5;25},{"Bajo";"Medio";"Alto";"Crítico"}),"")</f>
        <v/>
      </c>
      <c r="AA1680" s="64">
        <f>IF(T1680&gt;=3,IF(X1680&gt;=1,"Zona 1 — Crítica: impacto alto y ocurre al menos una vez al año","Zona 4 — Catastrófica poco probable: impacto alto pero excepcional"),IF(AND(T1680&lt;1.5,X1680&lt;1),"Zona 3 — Asumible: impacto bajo y muy poco frecuente","Zona 2 — Atención: riesgo intermedio"))</f>
        <v/>
      </c>
      <c r="AB1680" s="64">
        <f>IFERROR(INDEX(MgAmenCtrl,MATCH(SUBSTITUTE($H1680,"*","-"),MgAmenClave,0)),"")</f>
        <v/>
      </c>
      <c r="AC1680" s="20" t="n"/>
      <c r="AD1680" s="31">
        <f>IFERROR($X1680*(1-IF($AC1680="",$AL1680,VLOOKUP($AC1680,MgMad,2,0))),"")</f>
        <v/>
      </c>
      <c r="AE1680" s="28">
        <f>IFERROR(LOOKUP(AD1680,{0;0.01;0.1;1;10;100},{"Muy baja";"Muy baja";"Baja";"Media";"Alta";"Muy alta"}),"")</f>
        <v/>
      </c>
      <c r="AF1680" s="30">
        <f>T1680*AD1680</f>
        <v/>
      </c>
      <c r="AG1680" s="28">
        <f>IFERROR(LOOKUP(AF1680,{0;0.5;5;25},{"Bajo";"Medio";"Alto";"Crítico"}),"")</f>
        <v/>
      </c>
      <c r="AH1680" s="28">
        <f>IF(AG1680="","",IF(OR(AG1680="Crítico",AG1680="Alto"),"Mitigar",IF(AG1680="Medio","Mitigar","Aceptar y monitorear")))</f>
        <v/>
      </c>
      <c r="AI1680" s="21" t="n"/>
      <c r="AJ1680" s="21" t="n"/>
      <c r="AK1680" s="20" t="n"/>
      <c r="AL1680" s="77">
        <f>IFERROR(INDEX(MgAmenEfic,MATCH(SUBSTITUTE($H1680,"*","-"),MgAmenClave,0)),0)</f>
        <v/>
      </c>
    </row>
    <row r="1681" hidden="1" ht="75" customHeight="1" s="54">
      <c r="B1681" s="59" t="inlineStr">
        <is>
          <t>R-1676</t>
        </is>
      </c>
      <c r="C1681" s="59" t="inlineStr">
        <is>
          <t>TEC-005</t>
        </is>
      </c>
      <c r="D1681" s="64">
        <f>IFERROR(INDEX(MgNombre,MATCH($C1681,MgActId,0)),"")</f>
        <v/>
      </c>
      <c r="E1681" s="64">
        <f>IFERROR(INDEX(MgProceso,MATCH($C1681,MgActId,0)),"")</f>
        <v/>
      </c>
      <c r="F1681" s="64">
        <f>IFERROR(INDEX(MgTipo,MATCH($C1681,MgActId,0)),"")</f>
        <v/>
      </c>
      <c r="G1681" s="64">
        <f>IFERROR(INDEX(MgSubtipo,MATCH($C1681,MgActId,0)),"")</f>
        <v/>
      </c>
      <c r="H1681" s="59" t="inlineStr">
        <is>
          <t>A.25</t>
        </is>
      </c>
      <c r="I1681" s="64">
        <f>IFERROR(INDEX(MgAmenNombre,MATCH(SUBSTITUTE($H1681,"*","-"),MgAmenClave,0)),"")</f>
        <v/>
      </c>
      <c r="J1681" s="28">
        <f>IFERROR(INDEX(MgAmenGrupo,MATCH(SUBSTITUTE($H1681,"*","-"),MgAmenClave,0)),"")</f>
        <v/>
      </c>
      <c r="K1681" s="64">
        <f>IFERROR(INDEX('1. Matriz de Activos'!$Q$6:$Q$239,MATCH($C1681,MgActId,0)),"")</f>
        <v/>
      </c>
      <c r="L1681" s="64">
        <f>IFERROR(INDEX('1. Matriz de Activos'!$R$6:$R$239,MATCH($C1681,MgActId,0)),"")</f>
        <v/>
      </c>
      <c r="M1681" s="64">
        <f>IFERROR(INDEX('1. Matriz de Activos'!$S$6:$S$239,MATCH($C1681,MgActId,0)),"")</f>
        <v/>
      </c>
      <c r="N1681" s="28">
        <f>IFERROR(INDEX(MgAmenDegD,MATCH(SUBSTITUTE($H1681,"*","-"),MgAmenClave,0)),"No aplica")</f>
        <v/>
      </c>
      <c r="O1681" s="28">
        <f>IFERROR(INDEX(MgAmenDegI,MATCH(SUBSTITUTE($H1681,"*","-"),MgAmenClave,0)),"No aplica")</f>
        <v/>
      </c>
      <c r="P1681" s="28">
        <f>IFERROR(INDEX(MgAmenDegC,MATCH(SUBSTITUTE($H1681,"*","-"),MgAmenClave,0)),"No aplica")</f>
        <v/>
      </c>
      <c r="Q1681" s="29">
        <f>IFERROR(VLOOKUP(K1681,MgValor,2,0)*VLOOKUP(N1681,MgDeg,2,0),0)</f>
        <v/>
      </c>
      <c r="R1681" s="29">
        <f>IFERROR(VLOOKUP(L1681,MgValor,2,0)*VLOOKUP(O1681,MgDeg,2,0),0)</f>
        <v/>
      </c>
      <c r="S1681" s="29">
        <f>IFERROR(VLOOKUP(M1681,MgValor,2,0)*VLOOKUP(P1681,MgDeg,2,0),0)</f>
        <v/>
      </c>
      <c r="T1681" s="30">
        <f>MAX(Q1681:S1681)</f>
        <v/>
      </c>
      <c r="U1681" s="28">
        <f>IFERROR(LOOKUP(T1681,{0;0.5;1.5;3;4.5},{"Despreciable";"Bajo";"Medio";"Alto";"Muy alto"}),"")</f>
        <v/>
      </c>
      <c r="V1681" s="13">
        <f>IFERROR(INDEX(MgAmenFrec,MATCH(SUBSTITUTE($H1681,"*","-"),MgAmenClave,0)),"")</f>
        <v/>
      </c>
      <c r="W1681" s="28">
        <f>IFERROR(LOOKUP(X1681,{0;0.01;0.1;1;10;100},{"Muy baja";"Muy baja";"Baja";"Media";"Alta";"Muy alta"}),"")</f>
        <v/>
      </c>
      <c r="X1681" s="31">
        <f>IFERROR(VLOOKUP(V1681,MgFrec,2,0),0)</f>
        <v/>
      </c>
      <c r="Y1681" s="30">
        <f>T1681*X1681</f>
        <v/>
      </c>
      <c r="Z1681" s="28">
        <f>IFERROR(LOOKUP(Y1681,{0;0.5;5;25},{"Bajo";"Medio";"Alto";"Crítico"}),"")</f>
        <v/>
      </c>
      <c r="AA1681" s="64">
        <f>IF(T1681&gt;=3,IF(X1681&gt;=1,"Zona 1 — Crítica: impacto alto y ocurre al menos una vez al año","Zona 4 — Catastrófica poco probable: impacto alto pero excepcional"),IF(AND(T1681&lt;1.5,X1681&lt;1),"Zona 3 — Asumible: impacto bajo y muy poco frecuente","Zona 2 — Atención: riesgo intermedio"))</f>
        <v/>
      </c>
      <c r="AB1681" s="64">
        <f>IFERROR(INDEX(MgAmenCtrl,MATCH(SUBSTITUTE($H1681,"*","-"),MgAmenClave,0)),"")</f>
        <v/>
      </c>
      <c r="AC1681" s="20" t="n"/>
      <c r="AD1681" s="31">
        <f>IFERROR($X1681*(1-IF($AC1681="",$AL1681,VLOOKUP($AC1681,MgMad,2,0))),"")</f>
        <v/>
      </c>
      <c r="AE1681" s="28">
        <f>IFERROR(LOOKUP(AD1681,{0;0.01;0.1;1;10;100},{"Muy baja";"Muy baja";"Baja";"Media";"Alta";"Muy alta"}),"")</f>
        <v/>
      </c>
      <c r="AF1681" s="30">
        <f>T1681*AD1681</f>
        <v/>
      </c>
      <c r="AG1681" s="28">
        <f>IFERROR(LOOKUP(AF1681,{0;0.5;5;25},{"Bajo";"Medio";"Alto";"Crítico"}),"")</f>
        <v/>
      </c>
      <c r="AH1681" s="28">
        <f>IF(AG1681="","",IF(OR(AG1681="Crítico",AG1681="Alto"),"Mitigar",IF(AG1681="Medio","Mitigar","Aceptar y monitorear")))</f>
        <v/>
      </c>
      <c r="AI1681" s="21" t="n"/>
      <c r="AJ1681" s="21" t="n"/>
      <c r="AK1681" s="20" t="n"/>
      <c r="AL1681" s="77">
        <f>IFERROR(INDEX(MgAmenEfic,MATCH(SUBSTITUTE($H1681,"*","-"),MgAmenClave,0)),0)</f>
        <v/>
      </c>
    </row>
    <row r="1682" hidden="1" ht="60" customHeight="1" s="54">
      <c r="B1682" s="59" t="inlineStr">
        <is>
          <t>R-1677</t>
        </is>
      </c>
      <c r="C1682" s="59" t="inlineStr">
        <is>
          <t>TEC-005</t>
        </is>
      </c>
      <c r="D1682" s="64">
        <f>IFERROR(INDEX(MgNombre,MATCH($C1682,MgActId,0)),"")</f>
        <v/>
      </c>
      <c r="E1682" s="64">
        <f>IFERROR(INDEX(MgProceso,MATCH($C1682,MgActId,0)),"")</f>
        <v/>
      </c>
      <c r="F1682" s="64">
        <f>IFERROR(INDEX(MgTipo,MATCH($C1682,MgActId,0)),"")</f>
        <v/>
      </c>
      <c r="G1682" s="64">
        <f>IFERROR(INDEX(MgSubtipo,MATCH($C1682,MgActId,0)),"")</f>
        <v/>
      </c>
      <c r="H1682" s="59" t="inlineStr">
        <is>
          <t>A.26</t>
        </is>
      </c>
      <c r="I1682" s="64">
        <f>IFERROR(INDEX(MgAmenNombre,MATCH(SUBSTITUTE($H1682,"*","-"),MgAmenClave,0)),"")</f>
        <v/>
      </c>
      <c r="J1682" s="28">
        <f>IFERROR(INDEX(MgAmenGrupo,MATCH(SUBSTITUTE($H1682,"*","-"),MgAmenClave,0)),"")</f>
        <v/>
      </c>
      <c r="K1682" s="64">
        <f>IFERROR(INDEX('1. Matriz de Activos'!$Q$6:$Q$239,MATCH($C1682,MgActId,0)),"")</f>
        <v/>
      </c>
      <c r="L1682" s="64">
        <f>IFERROR(INDEX('1. Matriz de Activos'!$R$6:$R$239,MATCH($C1682,MgActId,0)),"")</f>
        <v/>
      </c>
      <c r="M1682" s="64">
        <f>IFERROR(INDEX('1. Matriz de Activos'!$S$6:$S$239,MATCH($C1682,MgActId,0)),"")</f>
        <v/>
      </c>
      <c r="N1682" s="28">
        <f>IFERROR(INDEX(MgAmenDegD,MATCH(SUBSTITUTE($H1682,"*","-"),MgAmenClave,0)),"No aplica")</f>
        <v/>
      </c>
      <c r="O1682" s="28">
        <f>IFERROR(INDEX(MgAmenDegI,MATCH(SUBSTITUTE($H1682,"*","-"),MgAmenClave,0)),"No aplica")</f>
        <v/>
      </c>
      <c r="P1682" s="28">
        <f>IFERROR(INDEX(MgAmenDegC,MATCH(SUBSTITUTE($H1682,"*","-"),MgAmenClave,0)),"No aplica")</f>
        <v/>
      </c>
      <c r="Q1682" s="29">
        <f>IFERROR(VLOOKUP(K1682,MgValor,2,0)*VLOOKUP(N1682,MgDeg,2,0),0)</f>
        <v/>
      </c>
      <c r="R1682" s="29">
        <f>IFERROR(VLOOKUP(L1682,MgValor,2,0)*VLOOKUP(O1682,MgDeg,2,0),0)</f>
        <v/>
      </c>
      <c r="S1682" s="29">
        <f>IFERROR(VLOOKUP(M1682,MgValor,2,0)*VLOOKUP(P1682,MgDeg,2,0),0)</f>
        <v/>
      </c>
      <c r="T1682" s="30">
        <f>MAX(Q1682:S1682)</f>
        <v/>
      </c>
      <c r="U1682" s="28">
        <f>IFERROR(LOOKUP(T1682,{0;0.5;1.5;3;4.5},{"Despreciable";"Bajo";"Medio";"Alto";"Muy alto"}),"")</f>
        <v/>
      </c>
      <c r="V1682" s="13">
        <f>IFERROR(INDEX(MgAmenFrec,MATCH(SUBSTITUTE($H1682,"*","-"),MgAmenClave,0)),"")</f>
        <v/>
      </c>
      <c r="W1682" s="28">
        <f>IFERROR(LOOKUP(X1682,{0;0.01;0.1;1;10;100},{"Muy baja";"Muy baja";"Baja";"Media";"Alta";"Muy alta"}),"")</f>
        <v/>
      </c>
      <c r="X1682" s="31">
        <f>IFERROR(VLOOKUP(V1682,MgFrec,2,0),0)</f>
        <v/>
      </c>
      <c r="Y1682" s="30">
        <f>T1682*X1682</f>
        <v/>
      </c>
      <c r="Z1682" s="28">
        <f>IFERROR(LOOKUP(Y1682,{0;0.5;5;25},{"Bajo";"Medio";"Alto";"Crítico"}),"")</f>
        <v/>
      </c>
      <c r="AA1682" s="64">
        <f>IF(T1682&gt;=3,IF(X1682&gt;=1,"Zona 1 — Crítica: impacto alto y ocurre al menos una vez al año","Zona 4 — Catastrófica poco probable: impacto alto pero excepcional"),IF(AND(T1682&lt;1.5,X1682&lt;1),"Zona 3 — Asumible: impacto bajo y muy poco frecuente","Zona 2 — Atención: riesgo intermedio"))</f>
        <v/>
      </c>
      <c r="AB1682" s="64">
        <f>IFERROR(INDEX(MgAmenCtrl,MATCH(SUBSTITUTE($H1682,"*","-"),MgAmenClave,0)),"")</f>
        <v/>
      </c>
      <c r="AC1682" s="20" t="n"/>
      <c r="AD1682" s="31">
        <f>IFERROR($X1682*(1-IF($AC1682="",$AL1682,VLOOKUP($AC1682,MgMad,2,0))),"")</f>
        <v/>
      </c>
      <c r="AE1682" s="28">
        <f>IFERROR(LOOKUP(AD1682,{0;0.01;0.1;1;10;100},{"Muy baja";"Muy baja";"Baja";"Media";"Alta";"Muy alta"}),"")</f>
        <v/>
      </c>
      <c r="AF1682" s="30">
        <f>T1682*AD1682</f>
        <v/>
      </c>
      <c r="AG1682" s="28">
        <f>IFERROR(LOOKUP(AF1682,{0;0.5;5;25},{"Bajo";"Medio";"Alto";"Crítico"}),"")</f>
        <v/>
      </c>
      <c r="AH1682" s="28">
        <f>IF(AG1682="","",IF(OR(AG1682="Crítico",AG1682="Alto"),"Mitigar",IF(AG1682="Medio","Mitigar","Aceptar y monitorear")))</f>
        <v/>
      </c>
      <c r="AI1682" s="21" t="n"/>
      <c r="AJ1682" s="21" t="n"/>
      <c r="AK1682" s="20" t="n"/>
      <c r="AL1682" s="77">
        <f>IFERROR(INDEX(MgAmenEfic,MATCH(SUBSTITUTE($H1682,"*","-"),MgAmenClave,0)),0)</f>
        <v/>
      </c>
    </row>
    <row r="1683" hidden="1" ht="90" customHeight="1" s="54">
      <c r="B1683" s="59" t="inlineStr">
        <is>
          <t>R-1678</t>
        </is>
      </c>
      <c r="C1683" s="59" t="inlineStr">
        <is>
          <t>TEC-006</t>
        </is>
      </c>
      <c r="D1683" s="64">
        <f>IFERROR(INDEX(MgNombre,MATCH($C1683,MgActId,0)),"")</f>
        <v/>
      </c>
      <c r="E1683" s="64">
        <f>IFERROR(INDEX(MgProceso,MATCH($C1683,MgActId,0)),"")</f>
        <v/>
      </c>
      <c r="F1683" s="64">
        <f>IFERROR(INDEX(MgTipo,MATCH($C1683,MgActId,0)),"")</f>
        <v/>
      </c>
      <c r="G1683" s="64">
        <f>IFERROR(INDEX(MgSubtipo,MATCH($C1683,MgActId,0)),"")</f>
        <v/>
      </c>
      <c r="H1683" s="59" t="inlineStr">
        <is>
          <t>N.1</t>
        </is>
      </c>
      <c r="I1683" s="64">
        <f>IFERROR(INDEX(MgAmenNombre,MATCH(SUBSTITUTE($H1683,"*","-"),MgAmenClave,0)),"")</f>
        <v/>
      </c>
      <c r="J1683" s="28">
        <f>IFERROR(INDEX(MgAmenGrupo,MATCH(SUBSTITUTE($H1683,"*","-"),MgAmenClave,0)),"")</f>
        <v/>
      </c>
      <c r="K1683" s="64">
        <f>IFERROR(INDEX('1. Matriz de Activos'!$Q$6:$Q$239,MATCH($C1683,MgActId,0)),"")</f>
        <v/>
      </c>
      <c r="L1683" s="64">
        <f>IFERROR(INDEX('1. Matriz de Activos'!$R$6:$R$239,MATCH($C1683,MgActId,0)),"")</f>
        <v/>
      </c>
      <c r="M1683" s="64">
        <f>IFERROR(INDEX('1. Matriz de Activos'!$S$6:$S$239,MATCH($C1683,MgActId,0)),"")</f>
        <v/>
      </c>
      <c r="N1683" s="28">
        <f>IFERROR(INDEX(MgAmenDegD,MATCH(SUBSTITUTE($H1683,"*","-"),MgAmenClave,0)),"No aplica")</f>
        <v/>
      </c>
      <c r="O1683" s="28">
        <f>IFERROR(INDEX(MgAmenDegI,MATCH(SUBSTITUTE($H1683,"*","-"),MgAmenClave,0)),"No aplica")</f>
        <v/>
      </c>
      <c r="P1683" s="28">
        <f>IFERROR(INDEX(MgAmenDegC,MATCH(SUBSTITUTE($H1683,"*","-"),MgAmenClave,0)),"No aplica")</f>
        <v/>
      </c>
      <c r="Q1683" s="29">
        <f>IFERROR(VLOOKUP(K1683,MgValor,2,0)*VLOOKUP(N1683,MgDeg,2,0),0)</f>
        <v/>
      </c>
      <c r="R1683" s="29">
        <f>IFERROR(VLOOKUP(L1683,MgValor,2,0)*VLOOKUP(O1683,MgDeg,2,0),0)</f>
        <v/>
      </c>
      <c r="S1683" s="29">
        <f>IFERROR(VLOOKUP(M1683,MgValor,2,0)*VLOOKUP(P1683,MgDeg,2,0),0)</f>
        <v/>
      </c>
      <c r="T1683" s="30">
        <f>MAX(Q1683:S1683)</f>
        <v/>
      </c>
      <c r="U1683" s="28">
        <f>IFERROR(LOOKUP(T1683,{0;0.5;1.5;3;4.5},{"Despreciable";"Bajo";"Medio";"Alto";"Muy alto"}),"")</f>
        <v/>
      </c>
      <c r="V1683" s="13">
        <f>IFERROR(INDEX(MgAmenFrec,MATCH(SUBSTITUTE($H1683,"*","-"),MgAmenClave,0)),"")</f>
        <v/>
      </c>
      <c r="W1683" s="28">
        <f>IFERROR(LOOKUP(X1683,{0;0.01;0.1;1;10;100},{"Muy baja";"Muy baja";"Baja";"Media";"Alta";"Muy alta"}),"")</f>
        <v/>
      </c>
      <c r="X1683" s="31">
        <f>IFERROR(VLOOKUP(V1683,MgFrec,2,0),0)</f>
        <v/>
      </c>
      <c r="Y1683" s="30">
        <f>T1683*X1683</f>
        <v/>
      </c>
      <c r="Z1683" s="28">
        <f>IFERROR(LOOKUP(Y1683,{0;0.5;5;25},{"Bajo";"Medio";"Alto";"Crítico"}),"")</f>
        <v/>
      </c>
      <c r="AA1683" s="64">
        <f>IF(T1683&gt;=3,IF(X1683&gt;=1,"Zona 1 — Crítica: impacto alto y ocurre al menos una vez al año","Zona 4 — Catastrófica poco probable: impacto alto pero excepcional"),IF(AND(T1683&lt;1.5,X1683&lt;1),"Zona 3 — Asumible: impacto bajo y muy poco frecuente","Zona 2 — Atención: riesgo intermedio"))</f>
        <v/>
      </c>
      <c r="AB1683" s="64">
        <f>IFERROR(INDEX(MgAmenCtrl,MATCH(SUBSTITUTE($H1683,"*","-"),MgAmenClave,0)),"")</f>
        <v/>
      </c>
      <c r="AC1683" s="20" t="n"/>
      <c r="AD1683" s="31">
        <f>IFERROR($X1683*(1-IF($AC1683="",$AL1683,VLOOKUP($AC1683,MgMad,2,0))),"")</f>
        <v/>
      </c>
      <c r="AE1683" s="28">
        <f>IFERROR(LOOKUP(AD1683,{0;0.01;0.1;1;10;100},{"Muy baja";"Muy baja";"Baja";"Media";"Alta";"Muy alta"}),"")</f>
        <v/>
      </c>
      <c r="AF1683" s="30">
        <f>T1683*AD1683</f>
        <v/>
      </c>
      <c r="AG1683" s="28">
        <f>IFERROR(LOOKUP(AF1683,{0;0.5;5;25},{"Bajo";"Medio";"Alto";"Crítico"}),"")</f>
        <v/>
      </c>
      <c r="AH1683" s="28">
        <f>IF(AG1683="","",IF(OR(AG1683="Crítico",AG1683="Alto"),"Mitigar",IF(AG1683="Medio","Mitigar","Aceptar y monitorear")))</f>
        <v/>
      </c>
      <c r="AI1683" s="21" t="n"/>
      <c r="AJ1683" s="21" t="n"/>
      <c r="AK1683" s="20" t="n"/>
      <c r="AL1683" s="77">
        <f>IFERROR(INDEX(MgAmenEfic,MATCH(SUBSTITUTE($H1683,"*","-"),MgAmenClave,0)),0)</f>
        <v/>
      </c>
    </row>
    <row r="1684" hidden="1" ht="60" customHeight="1" s="54">
      <c r="B1684" s="59" t="inlineStr">
        <is>
          <t>R-1679</t>
        </is>
      </c>
      <c r="C1684" s="59" t="inlineStr">
        <is>
          <t>TEC-006</t>
        </is>
      </c>
      <c r="D1684" s="64">
        <f>IFERROR(INDEX(MgNombre,MATCH($C1684,MgActId,0)),"")</f>
        <v/>
      </c>
      <c r="E1684" s="64">
        <f>IFERROR(INDEX(MgProceso,MATCH($C1684,MgActId,0)),"")</f>
        <v/>
      </c>
      <c r="F1684" s="64">
        <f>IFERROR(INDEX(MgTipo,MATCH($C1684,MgActId,0)),"")</f>
        <v/>
      </c>
      <c r="G1684" s="64">
        <f>IFERROR(INDEX(MgSubtipo,MATCH($C1684,MgActId,0)),"")</f>
        <v/>
      </c>
      <c r="H1684" s="59" t="inlineStr">
        <is>
          <t>N.2</t>
        </is>
      </c>
      <c r="I1684" s="64">
        <f>IFERROR(INDEX(MgAmenNombre,MATCH(SUBSTITUTE($H1684,"*","-"),MgAmenClave,0)),"")</f>
        <v/>
      </c>
      <c r="J1684" s="28">
        <f>IFERROR(INDEX(MgAmenGrupo,MATCH(SUBSTITUTE($H1684,"*","-"),MgAmenClave,0)),"")</f>
        <v/>
      </c>
      <c r="K1684" s="64">
        <f>IFERROR(INDEX('1. Matriz de Activos'!$Q$6:$Q$239,MATCH($C1684,MgActId,0)),"")</f>
        <v/>
      </c>
      <c r="L1684" s="64">
        <f>IFERROR(INDEX('1. Matriz de Activos'!$R$6:$R$239,MATCH($C1684,MgActId,0)),"")</f>
        <v/>
      </c>
      <c r="M1684" s="64">
        <f>IFERROR(INDEX('1. Matriz de Activos'!$S$6:$S$239,MATCH($C1684,MgActId,0)),"")</f>
        <v/>
      </c>
      <c r="N1684" s="28">
        <f>IFERROR(INDEX(MgAmenDegD,MATCH(SUBSTITUTE($H1684,"*","-"),MgAmenClave,0)),"No aplica")</f>
        <v/>
      </c>
      <c r="O1684" s="28">
        <f>IFERROR(INDEX(MgAmenDegI,MATCH(SUBSTITUTE($H1684,"*","-"),MgAmenClave,0)),"No aplica")</f>
        <v/>
      </c>
      <c r="P1684" s="28">
        <f>IFERROR(INDEX(MgAmenDegC,MATCH(SUBSTITUTE($H1684,"*","-"),MgAmenClave,0)),"No aplica")</f>
        <v/>
      </c>
      <c r="Q1684" s="29">
        <f>IFERROR(VLOOKUP(K1684,MgValor,2,0)*VLOOKUP(N1684,MgDeg,2,0),0)</f>
        <v/>
      </c>
      <c r="R1684" s="29">
        <f>IFERROR(VLOOKUP(L1684,MgValor,2,0)*VLOOKUP(O1684,MgDeg,2,0),0)</f>
        <v/>
      </c>
      <c r="S1684" s="29">
        <f>IFERROR(VLOOKUP(M1684,MgValor,2,0)*VLOOKUP(P1684,MgDeg,2,0),0)</f>
        <v/>
      </c>
      <c r="T1684" s="30">
        <f>MAX(Q1684:S1684)</f>
        <v/>
      </c>
      <c r="U1684" s="28">
        <f>IFERROR(LOOKUP(T1684,{0;0.5;1.5;3;4.5},{"Despreciable";"Bajo";"Medio";"Alto";"Muy alto"}),"")</f>
        <v/>
      </c>
      <c r="V1684" s="13">
        <f>IFERROR(INDEX(MgAmenFrec,MATCH(SUBSTITUTE($H1684,"*","-"),MgAmenClave,0)),"")</f>
        <v/>
      </c>
      <c r="W1684" s="28">
        <f>IFERROR(LOOKUP(X1684,{0;0.01;0.1;1;10;100},{"Muy baja";"Muy baja";"Baja";"Media";"Alta";"Muy alta"}),"")</f>
        <v/>
      </c>
      <c r="X1684" s="31">
        <f>IFERROR(VLOOKUP(V1684,MgFrec,2,0),0)</f>
        <v/>
      </c>
      <c r="Y1684" s="30">
        <f>T1684*X1684</f>
        <v/>
      </c>
      <c r="Z1684" s="28">
        <f>IFERROR(LOOKUP(Y1684,{0;0.5;5;25},{"Bajo";"Medio";"Alto";"Crítico"}),"")</f>
        <v/>
      </c>
      <c r="AA1684" s="64">
        <f>IF(T1684&gt;=3,IF(X1684&gt;=1,"Zona 1 — Crítica: impacto alto y ocurre al menos una vez al año","Zona 4 — Catastrófica poco probable: impacto alto pero excepcional"),IF(AND(T1684&lt;1.5,X1684&lt;1),"Zona 3 — Asumible: impacto bajo y muy poco frecuente","Zona 2 — Atención: riesgo intermedio"))</f>
        <v/>
      </c>
      <c r="AB1684" s="64">
        <f>IFERROR(INDEX(MgAmenCtrl,MATCH(SUBSTITUTE($H1684,"*","-"),MgAmenClave,0)),"")</f>
        <v/>
      </c>
      <c r="AC1684" s="20" t="n"/>
      <c r="AD1684" s="31">
        <f>IFERROR($X1684*(1-IF($AC1684="",$AL1684,VLOOKUP($AC1684,MgMad,2,0))),"")</f>
        <v/>
      </c>
      <c r="AE1684" s="28">
        <f>IFERROR(LOOKUP(AD1684,{0;0.01;0.1;1;10;100},{"Muy baja";"Muy baja";"Baja";"Media";"Alta";"Muy alta"}),"")</f>
        <v/>
      </c>
      <c r="AF1684" s="30">
        <f>T1684*AD1684</f>
        <v/>
      </c>
      <c r="AG1684" s="28">
        <f>IFERROR(LOOKUP(AF1684,{0;0.5;5;25},{"Bajo";"Medio";"Alto";"Crítico"}),"")</f>
        <v/>
      </c>
      <c r="AH1684" s="28">
        <f>IF(AG1684="","",IF(OR(AG1684="Crítico",AG1684="Alto"),"Mitigar",IF(AG1684="Medio","Mitigar","Aceptar y monitorear")))</f>
        <v/>
      </c>
      <c r="AI1684" s="21" t="n"/>
      <c r="AJ1684" s="21" t="n"/>
      <c r="AK1684" s="20" t="n"/>
      <c r="AL1684" s="77">
        <f>IFERROR(INDEX(MgAmenEfic,MATCH(SUBSTITUTE($H1684,"*","-"),MgAmenClave,0)),0)</f>
        <v/>
      </c>
    </row>
    <row r="1685" hidden="1" ht="75" customHeight="1" s="54">
      <c r="B1685" s="59" t="inlineStr">
        <is>
          <t>R-1680</t>
        </is>
      </c>
      <c r="C1685" s="59" t="inlineStr">
        <is>
          <t>TEC-006</t>
        </is>
      </c>
      <c r="D1685" s="64">
        <f>IFERROR(INDEX(MgNombre,MATCH($C1685,MgActId,0)),"")</f>
        <v/>
      </c>
      <c r="E1685" s="64">
        <f>IFERROR(INDEX(MgProceso,MATCH($C1685,MgActId,0)),"")</f>
        <v/>
      </c>
      <c r="F1685" s="64">
        <f>IFERROR(INDEX(MgTipo,MATCH($C1685,MgActId,0)),"")</f>
        <v/>
      </c>
      <c r="G1685" s="64">
        <f>IFERROR(INDEX(MgSubtipo,MATCH($C1685,MgActId,0)),"")</f>
        <v/>
      </c>
      <c r="H1685" s="59" t="inlineStr">
        <is>
          <t>N.*</t>
        </is>
      </c>
      <c r="I1685" s="64">
        <f>IFERROR(INDEX(MgAmenNombre,MATCH(SUBSTITUTE($H1685,"*","-"),MgAmenClave,0)),"")</f>
        <v/>
      </c>
      <c r="J1685" s="28">
        <f>IFERROR(INDEX(MgAmenGrupo,MATCH(SUBSTITUTE($H1685,"*","-"),MgAmenClave,0)),"")</f>
        <v/>
      </c>
      <c r="K1685" s="64">
        <f>IFERROR(INDEX('1. Matriz de Activos'!$Q$6:$Q$239,MATCH($C1685,MgActId,0)),"")</f>
        <v/>
      </c>
      <c r="L1685" s="64">
        <f>IFERROR(INDEX('1. Matriz de Activos'!$R$6:$R$239,MATCH($C1685,MgActId,0)),"")</f>
        <v/>
      </c>
      <c r="M1685" s="64">
        <f>IFERROR(INDEX('1. Matriz de Activos'!$S$6:$S$239,MATCH($C1685,MgActId,0)),"")</f>
        <v/>
      </c>
      <c r="N1685" s="28">
        <f>IFERROR(INDEX(MgAmenDegD,MATCH(SUBSTITUTE($H1685,"*","-"),MgAmenClave,0)),"No aplica")</f>
        <v/>
      </c>
      <c r="O1685" s="28">
        <f>IFERROR(INDEX(MgAmenDegI,MATCH(SUBSTITUTE($H1685,"*","-"),MgAmenClave,0)),"No aplica")</f>
        <v/>
      </c>
      <c r="P1685" s="28">
        <f>IFERROR(INDEX(MgAmenDegC,MATCH(SUBSTITUTE($H1685,"*","-"),MgAmenClave,0)),"No aplica")</f>
        <v/>
      </c>
      <c r="Q1685" s="29">
        <f>IFERROR(VLOOKUP(K1685,MgValor,2,0)*VLOOKUP(N1685,MgDeg,2,0),0)</f>
        <v/>
      </c>
      <c r="R1685" s="29">
        <f>IFERROR(VLOOKUP(L1685,MgValor,2,0)*VLOOKUP(O1685,MgDeg,2,0),0)</f>
        <v/>
      </c>
      <c r="S1685" s="29">
        <f>IFERROR(VLOOKUP(M1685,MgValor,2,0)*VLOOKUP(P1685,MgDeg,2,0),0)</f>
        <v/>
      </c>
      <c r="T1685" s="30">
        <f>MAX(Q1685:S1685)</f>
        <v/>
      </c>
      <c r="U1685" s="28">
        <f>IFERROR(LOOKUP(T1685,{0;0.5;1.5;3;4.5},{"Despreciable";"Bajo";"Medio";"Alto";"Muy alto"}),"")</f>
        <v/>
      </c>
      <c r="V1685" s="13">
        <f>IFERROR(INDEX(MgAmenFrec,MATCH(SUBSTITUTE($H1685,"*","-"),MgAmenClave,0)),"")</f>
        <v/>
      </c>
      <c r="W1685" s="28">
        <f>IFERROR(LOOKUP(X1685,{0;0.01;0.1;1;10;100},{"Muy baja";"Muy baja";"Baja";"Media";"Alta";"Muy alta"}),"")</f>
        <v/>
      </c>
      <c r="X1685" s="31">
        <f>IFERROR(VLOOKUP(V1685,MgFrec,2,0),0)</f>
        <v/>
      </c>
      <c r="Y1685" s="30">
        <f>T1685*X1685</f>
        <v/>
      </c>
      <c r="Z1685" s="28">
        <f>IFERROR(LOOKUP(Y1685,{0;0.5;5;25},{"Bajo";"Medio";"Alto";"Crítico"}),"")</f>
        <v/>
      </c>
      <c r="AA1685" s="64">
        <f>IF(T1685&gt;=3,IF(X1685&gt;=1,"Zona 1 — Crítica: impacto alto y ocurre al menos una vez al año","Zona 4 — Catastrófica poco probable: impacto alto pero excepcional"),IF(AND(T1685&lt;1.5,X1685&lt;1),"Zona 3 — Asumible: impacto bajo y muy poco frecuente","Zona 2 — Atención: riesgo intermedio"))</f>
        <v/>
      </c>
      <c r="AB1685" s="64">
        <f>IFERROR(INDEX(MgAmenCtrl,MATCH(SUBSTITUTE($H1685,"*","-"),MgAmenClave,0)),"")</f>
        <v/>
      </c>
      <c r="AC1685" s="20" t="n"/>
      <c r="AD1685" s="31">
        <f>IFERROR($X1685*(1-IF($AC1685="",$AL1685,VLOOKUP($AC1685,MgMad,2,0))),"")</f>
        <v/>
      </c>
      <c r="AE1685" s="28">
        <f>IFERROR(LOOKUP(AD1685,{0;0.01;0.1;1;10;100},{"Muy baja";"Muy baja";"Baja";"Media";"Alta";"Muy alta"}),"")</f>
        <v/>
      </c>
      <c r="AF1685" s="30">
        <f>T1685*AD1685</f>
        <v/>
      </c>
      <c r="AG1685" s="28">
        <f>IFERROR(LOOKUP(AF1685,{0;0.5;5;25},{"Bajo";"Medio";"Alto";"Crítico"}),"")</f>
        <v/>
      </c>
      <c r="AH1685" s="28">
        <f>IF(AG1685="","",IF(OR(AG1685="Crítico",AG1685="Alto"),"Mitigar",IF(AG1685="Medio","Mitigar","Aceptar y monitorear")))</f>
        <v/>
      </c>
      <c r="AI1685" s="21" t="n"/>
      <c r="AJ1685" s="21" t="n"/>
      <c r="AK1685" s="20" t="n"/>
      <c r="AL1685" s="77">
        <f>IFERROR(INDEX(MgAmenEfic,MATCH(SUBSTITUTE($H1685,"*","-"),MgAmenClave,0)),0)</f>
        <v/>
      </c>
    </row>
    <row r="1686" hidden="1" ht="75" customHeight="1" s="54">
      <c r="B1686" s="59" t="inlineStr">
        <is>
          <t>R-1681</t>
        </is>
      </c>
      <c r="C1686" s="59" t="inlineStr">
        <is>
          <t>TEC-006</t>
        </is>
      </c>
      <c r="D1686" s="64">
        <f>IFERROR(INDEX(MgNombre,MATCH($C1686,MgActId,0)),"")</f>
        <v/>
      </c>
      <c r="E1686" s="64">
        <f>IFERROR(INDEX(MgProceso,MATCH($C1686,MgActId,0)),"")</f>
        <v/>
      </c>
      <c r="F1686" s="64">
        <f>IFERROR(INDEX(MgTipo,MATCH($C1686,MgActId,0)),"")</f>
        <v/>
      </c>
      <c r="G1686" s="64">
        <f>IFERROR(INDEX(MgSubtipo,MATCH($C1686,MgActId,0)),"")</f>
        <v/>
      </c>
      <c r="H1686" s="59" t="inlineStr">
        <is>
          <t>I.1</t>
        </is>
      </c>
      <c r="I1686" s="64">
        <f>IFERROR(INDEX(MgAmenNombre,MATCH(SUBSTITUTE($H1686,"*","-"),MgAmenClave,0)),"")</f>
        <v/>
      </c>
      <c r="J1686" s="28">
        <f>IFERROR(INDEX(MgAmenGrupo,MATCH(SUBSTITUTE($H1686,"*","-"),MgAmenClave,0)),"")</f>
        <v/>
      </c>
      <c r="K1686" s="64">
        <f>IFERROR(INDEX('1. Matriz de Activos'!$Q$6:$Q$239,MATCH($C1686,MgActId,0)),"")</f>
        <v/>
      </c>
      <c r="L1686" s="64">
        <f>IFERROR(INDEX('1. Matriz de Activos'!$R$6:$R$239,MATCH($C1686,MgActId,0)),"")</f>
        <v/>
      </c>
      <c r="M1686" s="64">
        <f>IFERROR(INDEX('1. Matriz de Activos'!$S$6:$S$239,MATCH($C1686,MgActId,0)),"")</f>
        <v/>
      </c>
      <c r="N1686" s="28">
        <f>IFERROR(INDEX(MgAmenDegD,MATCH(SUBSTITUTE($H1686,"*","-"),MgAmenClave,0)),"No aplica")</f>
        <v/>
      </c>
      <c r="O1686" s="28">
        <f>IFERROR(INDEX(MgAmenDegI,MATCH(SUBSTITUTE($H1686,"*","-"),MgAmenClave,0)),"No aplica")</f>
        <v/>
      </c>
      <c r="P1686" s="28">
        <f>IFERROR(INDEX(MgAmenDegC,MATCH(SUBSTITUTE($H1686,"*","-"),MgAmenClave,0)),"No aplica")</f>
        <v/>
      </c>
      <c r="Q1686" s="29">
        <f>IFERROR(VLOOKUP(K1686,MgValor,2,0)*VLOOKUP(N1686,MgDeg,2,0),0)</f>
        <v/>
      </c>
      <c r="R1686" s="29">
        <f>IFERROR(VLOOKUP(L1686,MgValor,2,0)*VLOOKUP(O1686,MgDeg,2,0),0)</f>
        <v/>
      </c>
      <c r="S1686" s="29">
        <f>IFERROR(VLOOKUP(M1686,MgValor,2,0)*VLOOKUP(P1686,MgDeg,2,0),0)</f>
        <v/>
      </c>
      <c r="T1686" s="30">
        <f>MAX(Q1686:S1686)</f>
        <v/>
      </c>
      <c r="U1686" s="28">
        <f>IFERROR(LOOKUP(T1686,{0;0.5;1.5;3;4.5},{"Despreciable";"Bajo";"Medio";"Alto";"Muy alto"}),"")</f>
        <v/>
      </c>
      <c r="V1686" s="13">
        <f>IFERROR(INDEX(MgAmenFrec,MATCH(SUBSTITUTE($H1686,"*","-"),MgAmenClave,0)),"")</f>
        <v/>
      </c>
      <c r="W1686" s="28">
        <f>IFERROR(LOOKUP(X1686,{0;0.01;0.1;1;10;100},{"Muy baja";"Muy baja";"Baja";"Media";"Alta";"Muy alta"}),"")</f>
        <v/>
      </c>
      <c r="X1686" s="31">
        <f>IFERROR(VLOOKUP(V1686,MgFrec,2,0),0)</f>
        <v/>
      </c>
      <c r="Y1686" s="30">
        <f>T1686*X1686</f>
        <v/>
      </c>
      <c r="Z1686" s="28">
        <f>IFERROR(LOOKUP(Y1686,{0;0.5;5;25},{"Bajo";"Medio";"Alto";"Crítico"}),"")</f>
        <v/>
      </c>
      <c r="AA1686" s="64">
        <f>IF(T1686&gt;=3,IF(X1686&gt;=1,"Zona 1 — Crítica: impacto alto y ocurre al menos una vez al año","Zona 4 — Catastrófica poco probable: impacto alto pero excepcional"),IF(AND(T1686&lt;1.5,X1686&lt;1),"Zona 3 — Asumible: impacto bajo y muy poco frecuente","Zona 2 — Atención: riesgo intermedio"))</f>
        <v/>
      </c>
      <c r="AB1686" s="64">
        <f>IFERROR(INDEX(MgAmenCtrl,MATCH(SUBSTITUTE($H1686,"*","-"),MgAmenClave,0)),"")</f>
        <v/>
      </c>
      <c r="AC1686" s="20" t="n"/>
      <c r="AD1686" s="31">
        <f>IFERROR($X1686*(1-IF($AC1686="",$AL1686,VLOOKUP($AC1686,MgMad,2,0))),"")</f>
        <v/>
      </c>
      <c r="AE1686" s="28">
        <f>IFERROR(LOOKUP(AD1686,{0;0.01;0.1;1;10;100},{"Muy baja";"Muy baja";"Baja";"Media";"Alta";"Muy alta"}),"")</f>
        <v/>
      </c>
      <c r="AF1686" s="30">
        <f>T1686*AD1686</f>
        <v/>
      </c>
      <c r="AG1686" s="28">
        <f>IFERROR(LOOKUP(AF1686,{0;0.5;5;25},{"Bajo";"Medio";"Alto";"Crítico"}),"")</f>
        <v/>
      </c>
      <c r="AH1686" s="28">
        <f>IF(AG1686="","",IF(OR(AG1686="Crítico",AG1686="Alto"),"Mitigar",IF(AG1686="Medio","Mitigar","Aceptar y monitorear")))</f>
        <v/>
      </c>
      <c r="AI1686" s="21" t="n"/>
      <c r="AJ1686" s="21" t="n"/>
      <c r="AK1686" s="20" t="n"/>
      <c r="AL1686" s="77">
        <f>IFERROR(INDEX(MgAmenEfic,MATCH(SUBSTITUTE($H1686,"*","-"),MgAmenClave,0)),0)</f>
        <v/>
      </c>
    </row>
    <row r="1687" hidden="1" ht="45" customHeight="1" s="54">
      <c r="B1687" s="59" t="inlineStr">
        <is>
          <t>R-1682</t>
        </is>
      </c>
      <c r="C1687" s="59" t="inlineStr">
        <is>
          <t>TEC-006</t>
        </is>
      </c>
      <c r="D1687" s="64">
        <f>IFERROR(INDEX(MgNombre,MATCH($C1687,MgActId,0)),"")</f>
        <v/>
      </c>
      <c r="E1687" s="64">
        <f>IFERROR(INDEX(MgProceso,MATCH($C1687,MgActId,0)),"")</f>
        <v/>
      </c>
      <c r="F1687" s="64">
        <f>IFERROR(INDEX(MgTipo,MATCH($C1687,MgActId,0)),"")</f>
        <v/>
      </c>
      <c r="G1687" s="64">
        <f>IFERROR(INDEX(MgSubtipo,MATCH($C1687,MgActId,0)),"")</f>
        <v/>
      </c>
      <c r="H1687" s="59" t="inlineStr">
        <is>
          <t>I.2</t>
        </is>
      </c>
      <c r="I1687" s="64">
        <f>IFERROR(INDEX(MgAmenNombre,MATCH(SUBSTITUTE($H1687,"*","-"),MgAmenClave,0)),"")</f>
        <v/>
      </c>
      <c r="J1687" s="28">
        <f>IFERROR(INDEX(MgAmenGrupo,MATCH(SUBSTITUTE($H1687,"*","-"),MgAmenClave,0)),"")</f>
        <v/>
      </c>
      <c r="K1687" s="64">
        <f>IFERROR(INDEX('1. Matriz de Activos'!$Q$6:$Q$239,MATCH($C1687,MgActId,0)),"")</f>
        <v/>
      </c>
      <c r="L1687" s="64">
        <f>IFERROR(INDEX('1. Matriz de Activos'!$R$6:$R$239,MATCH($C1687,MgActId,0)),"")</f>
        <v/>
      </c>
      <c r="M1687" s="64">
        <f>IFERROR(INDEX('1. Matriz de Activos'!$S$6:$S$239,MATCH($C1687,MgActId,0)),"")</f>
        <v/>
      </c>
      <c r="N1687" s="28">
        <f>IFERROR(INDEX(MgAmenDegD,MATCH(SUBSTITUTE($H1687,"*","-"),MgAmenClave,0)),"No aplica")</f>
        <v/>
      </c>
      <c r="O1687" s="28">
        <f>IFERROR(INDEX(MgAmenDegI,MATCH(SUBSTITUTE($H1687,"*","-"),MgAmenClave,0)),"No aplica")</f>
        <v/>
      </c>
      <c r="P1687" s="28">
        <f>IFERROR(INDEX(MgAmenDegC,MATCH(SUBSTITUTE($H1687,"*","-"),MgAmenClave,0)),"No aplica")</f>
        <v/>
      </c>
      <c r="Q1687" s="29">
        <f>IFERROR(VLOOKUP(K1687,MgValor,2,0)*VLOOKUP(N1687,MgDeg,2,0),0)</f>
        <v/>
      </c>
      <c r="R1687" s="29">
        <f>IFERROR(VLOOKUP(L1687,MgValor,2,0)*VLOOKUP(O1687,MgDeg,2,0),0)</f>
        <v/>
      </c>
      <c r="S1687" s="29">
        <f>IFERROR(VLOOKUP(M1687,MgValor,2,0)*VLOOKUP(P1687,MgDeg,2,0),0)</f>
        <v/>
      </c>
      <c r="T1687" s="30">
        <f>MAX(Q1687:S1687)</f>
        <v/>
      </c>
      <c r="U1687" s="28">
        <f>IFERROR(LOOKUP(T1687,{0;0.5;1.5;3;4.5},{"Despreciable";"Bajo";"Medio";"Alto";"Muy alto"}),"")</f>
        <v/>
      </c>
      <c r="V1687" s="13">
        <f>IFERROR(INDEX(MgAmenFrec,MATCH(SUBSTITUTE($H1687,"*","-"),MgAmenClave,0)),"")</f>
        <v/>
      </c>
      <c r="W1687" s="28">
        <f>IFERROR(LOOKUP(X1687,{0;0.01;0.1;1;10;100},{"Muy baja";"Muy baja";"Baja";"Media";"Alta";"Muy alta"}),"")</f>
        <v/>
      </c>
      <c r="X1687" s="31">
        <f>IFERROR(VLOOKUP(V1687,MgFrec,2,0),0)</f>
        <v/>
      </c>
      <c r="Y1687" s="30">
        <f>T1687*X1687</f>
        <v/>
      </c>
      <c r="Z1687" s="28">
        <f>IFERROR(LOOKUP(Y1687,{0;0.5;5;25},{"Bajo";"Medio";"Alto";"Crítico"}),"")</f>
        <v/>
      </c>
      <c r="AA1687" s="64">
        <f>IF(T1687&gt;=3,IF(X1687&gt;=1,"Zona 1 — Crítica: impacto alto y ocurre al menos una vez al año","Zona 4 — Catastrófica poco probable: impacto alto pero excepcional"),IF(AND(T1687&lt;1.5,X1687&lt;1),"Zona 3 — Asumible: impacto bajo y muy poco frecuente","Zona 2 — Atención: riesgo intermedio"))</f>
        <v/>
      </c>
      <c r="AB1687" s="64">
        <f>IFERROR(INDEX(MgAmenCtrl,MATCH(SUBSTITUTE($H1687,"*","-"),MgAmenClave,0)),"")</f>
        <v/>
      </c>
      <c r="AC1687" s="20" t="n"/>
      <c r="AD1687" s="31">
        <f>IFERROR($X1687*(1-IF($AC1687="",$AL1687,VLOOKUP($AC1687,MgMad,2,0))),"")</f>
        <v/>
      </c>
      <c r="AE1687" s="28">
        <f>IFERROR(LOOKUP(AD1687,{0;0.01;0.1;1;10;100},{"Muy baja";"Muy baja";"Baja";"Media";"Alta";"Muy alta"}),"")</f>
        <v/>
      </c>
      <c r="AF1687" s="30">
        <f>T1687*AD1687</f>
        <v/>
      </c>
      <c r="AG1687" s="28">
        <f>IFERROR(LOOKUP(AF1687,{0;0.5;5;25},{"Bajo";"Medio";"Alto";"Crítico"}),"")</f>
        <v/>
      </c>
      <c r="AH1687" s="28">
        <f>IF(AG1687="","",IF(OR(AG1687="Crítico",AG1687="Alto"),"Mitigar",IF(AG1687="Medio","Mitigar","Aceptar y monitorear")))</f>
        <v/>
      </c>
      <c r="AI1687" s="21" t="n"/>
      <c r="AJ1687" s="21" t="n"/>
      <c r="AK1687" s="20" t="n"/>
      <c r="AL1687" s="77">
        <f>IFERROR(INDEX(MgAmenEfic,MATCH(SUBSTITUTE($H1687,"*","-"),MgAmenClave,0)),0)</f>
        <v/>
      </c>
    </row>
    <row r="1688" hidden="1" ht="60" customHeight="1" s="54">
      <c r="B1688" s="59" t="inlineStr">
        <is>
          <t>R-1683</t>
        </is>
      </c>
      <c r="C1688" s="59" t="inlineStr">
        <is>
          <t>TEC-006</t>
        </is>
      </c>
      <c r="D1688" s="64">
        <f>IFERROR(INDEX(MgNombre,MATCH($C1688,MgActId,0)),"")</f>
        <v/>
      </c>
      <c r="E1688" s="64">
        <f>IFERROR(INDEX(MgProceso,MATCH($C1688,MgActId,0)),"")</f>
        <v/>
      </c>
      <c r="F1688" s="64">
        <f>IFERROR(INDEX(MgTipo,MATCH($C1688,MgActId,0)),"")</f>
        <v/>
      </c>
      <c r="G1688" s="64">
        <f>IFERROR(INDEX(MgSubtipo,MATCH($C1688,MgActId,0)),"")</f>
        <v/>
      </c>
      <c r="H1688" s="59" t="inlineStr">
        <is>
          <t>I.*</t>
        </is>
      </c>
      <c r="I1688" s="64">
        <f>IFERROR(INDEX(MgAmenNombre,MATCH(SUBSTITUTE($H1688,"*","-"),MgAmenClave,0)),"")</f>
        <v/>
      </c>
      <c r="J1688" s="28">
        <f>IFERROR(INDEX(MgAmenGrupo,MATCH(SUBSTITUTE($H1688,"*","-"),MgAmenClave,0)),"")</f>
        <v/>
      </c>
      <c r="K1688" s="64">
        <f>IFERROR(INDEX('1. Matriz de Activos'!$Q$6:$Q$239,MATCH($C1688,MgActId,0)),"")</f>
        <v/>
      </c>
      <c r="L1688" s="64">
        <f>IFERROR(INDEX('1. Matriz de Activos'!$R$6:$R$239,MATCH($C1688,MgActId,0)),"")</f>
        <v/>
      </c>
      <c r="M1688" s="64">
        <f>IFERROR(INDEX('1. Matriz de Activos'!$S$6:$S$239,MATCH($C1688,MgActId,0)),"")</f>
        <v/>
      </c>
      <c r="N1688" s="28">
        <f>IFERROR(INDEX(MgAmenDegD,MATCH(SUBSTITUTE($H1688,"*","-"),MgAmenClave,0)),"No aplica")</f>
        <v/>
      </c>
      <c r="O1688" s="28">
        <f>IFERROR(INDEX(MgAmenDegI,MATCH(SUBSTITUTE($H1688,"*","-"),MgAmenClave,0)),"No aplica")</f>
        <v/>
      </c>
      <c r="P1688" s="28">
        <f>IFERROR(INDEX(MgAmenDegC,MATCH(SUBSTITUTE($H1688,"*","-"),MgAmenClave,0)),"No aplica")</f>
        <v/>
      </c>
      <c r="Q1688" s="29">
        <f>IFERROR(VLOOKUP(K1688,MgValor,2,0)*VLOOKUP(N1688,MgDeg,2,0),0)</f>
        <v/>
      </c>
      <c r="R1688" s="29">
        <f>IFERROR(VLOOKUP(L1688,MgValor,2,0)*VLOOKUP(O1688,MgDeg,2,0),0)</f>
        <v/>
      </c>
      <c r="S1688" s="29">
        <f>IFERROR(VLOOKUP(M1688,MgValor,2,0)*VLOOKUP(P1688,MgDeg,2,0),0)</f>
        <v/>
      </c>
      <c r="T1688" s="30">
        <f>MAX(Q1688:S1688)</f>
        <v/>
      </c>
      <c r="U1688" s="28">
        <f>IFERROR(LOOKUP(T1688,{0;0.5;1.5;3;4.5},{"Despreciable";"Bajo";"Medio";"Alto";"Muy alto"}),"")</f>
        <v/>
      </c>
      <c r="V1688" s="13">
        <f>IFERROR(INDEX(MgAmenFrec,MATCH(SUBSTITUTE($H1688,"*","-"),MgAmenClave,0)),"")</f>
        <v/>
      </c>
      <c r="W1688" s="28">
        <f>IFERROR(LOOKUP(X1688,{0;0.01;0.1;1;10;100},{"Muy baja";"Muy baja";"Baja";"Media";"Alta";"Muy alta"}),"")</f>
        <v/>
      </c>
      <c r="X1688" s="31">
        <f>IFERROR(VLOOKUP(V1688,MgFrec,2,0),0)</f>
        <v/>
      </c>
      <c r="Y1688" s="30">
        <f>T1688*X1688</f>
        <v/>
      </c>
      <c r="Z1688" s="28">
        <f>IFERROR(LOOKUP(Y1688,{0;0.5;5;25},{"Bajo";"Medio";"Alto";"Crítico"}),"")</f>
        <v/>
      </c>
      <c r="AA1688" s="64">
        <f>IF(T1688&gt;=3,IF(X1688&gt;=1,"Zona 1 — Crítica: impacto alto y ocurre al menos una vez al año","Zona 4 — Catastrófica poco probable: impacto alto pero excepcional"),IF(AND(T1688&lt;1.5,X1688&lt;1),"Zona 3 — Asumible: impacto bajo y muy poco frecuente","Zona 2 — Atención: riesgo intermedio"))</f>
        <v/>
      </c>
      <c r="AB1688" s="64">
        <f>IFERROR(INDEX(MgAmenCtrl,MATCH(SUBSTITUTE($H1688,"*","-"),MgAmenClave,0)),"")</f>
        <v/>
      </c>
      <c r="AC1688" s="20" t="n"/>
      <c r="AD1688" s="31">
        <f>IFERROR($X1688*(1-IF($AC1688="",$AL1688,VLOOKUP($AC1688,MgMad,2,0))),"")</f>
        <v/>
      </c>
      <c r="AE1688" s="28">
        <f>IFERROR(LOOKUP(AD1688,{0;0.01;0.1;1;10;100},{"Muy baja";"Muy baja";"Baja";"Media";"Alta";"Muy alta"}),"")</f>
        <v/>
      </c>
      <c r="AF1688" s="30">
        <f>T1688*AD1688</f>
        <v/>
      </c>
      <c r="AG1688" s="28">
        <f>IFERROR(LOOKUP(AF1688,{0;0.5;5;25},{"Bajo";"Medio";"Alto";"Crítico"}),"")</f>
        <v/>
      </c>
      <c r="AH1688" s="28">
        <f>IF(AG1688="","",IF(OR(AG1688="Crítico",AG1688="Alto"),"Mitigar",IF(AG1688="Medio","Mitigar","Aceptar y monitorear")))</f>
        <v/>
      </c>
      <c r="AI1688" s="21" t="n"/>
      <c r="AJ1688" s="21" t="n"/>
      <c r="AK1688" s="20" t="n"/>
      <c r="AL1688" s="77">
        <f>IFERROR(INDEX(MgAmenEfic,MATCH(SUBSTITUTE($H1688,"*","-"),MgAmenClave,0)),0)</f>
        <v/>
      </c>
    </row>
    <row r="1689" hidden="1" ht="45" customHeight="1" s="54">
      <c r="B1689" s="59" t="inlineStr">
        <is>
          <t>R-1684</t>
        </is>
      </c>
      <c r="C1689" s="59" t="inlineStr">
        <is>
          <t>TEC-006</t>
        </is>
      </c>
      <c r="D1689" s="64">
        <f>IFERROR(INDEX(MgNombre,MATCH($C1689,MgActId,0)),"")</f>
        <v/>
      </c>
      <c r="E1689" s="64">
        <f>IFERROR(INDEX(MgProceso,MATCH($C1689,MgActId,0)),"")</f>
        <v/>
      </c>
      <c r="F1689" s="64">
        <f>IFERROR(INDEX(MgTipo,MATCH($C1689,MgActId,0)),"")</f>
        <v/>
      </c>
      <c r="G1689" s="64">
        <f>IFERROR(INDEX(MgSubtipo,MATCH($C1689,MgActId,0)),"")</f>
        <v/>
      </c>
      <c r="H1689" s="59" t="inlineStr">
        <is>
          <t>I.3</t>
        </is>
      </c>
      <c r="I1689" s="64">
        <f>IFERROR(INDEX(MgAmenNombre,MATCH(SUBSTITUTE($H1689,"*","-"),MgAmenClave,0)),"")</f>
        <v/>
      </c>
      <c r="J1689" s="28">
        <f>IFERROR(INDEX(MgAmenGrupo,MATCH(SUBSTITUTE($H1689,"*","-"),MgAmenClave,0)),"")</f>
        <v/>
      </c>
      <c r="K1689" s="64">
        <f>IFERROR(INDEX('1. Matriz de Activos'!$Q$6:$Q$239,MATCH($C1689,MgActId,0)),"")</f>
        <v/>
      </c>
      <c r="L1689" s="64">
        <f>IFERROR(INDEX('1. Matriz de Activos'!$R$6:$R$239,MATCH($C1689,MgActId,0)),"")</f>
        <v/>
      </c>
      <c r="M1689" s="64">
        <f>IFERROR(INDEX('1. Matriz de Activos'!$S$6:$S$239,MATCH($C1689,MgActId,0)),"")</f>
        <v/>
      </c>
      <c r="N1689" s="28">
        <f>IFERROR(INDEX(MgAmenDegD,MATCH(SUBSTITUTE($H1689,"*","-"),MgAmenClave,0)),"No aplica")</f>
        <v/>
      </c>
      <c r="O1689" s="28">
        <f>IFERROR(INDEX(MgAmenDegI,MATCH(SUBSTITUTE($H1689,"*","-"),MgAmenClave,0)),"No aplica")</f>
        <v/>
      </c>
      <c r="P1689" s="28">
        <f>IFERROR(INDEX(MgAmenDegC,MATCH(SUBSTITUTE($H1689,"*","-"),MgAmenClave,0)),"No aplica")</f>
        <v/>
      </c>
      <c r="Q1689" s="29">
        <f>IFERROR(VLOOKUP(K1689,MgValor,2,0)*VLOOKUP(N1689,MgDeg,2,0),0)</f>
        <v/>
      </c>
      <c r="R1689" s="29">
        <f>IFERROR(VLOOKUP(L1689,MgValor,2,0)*VLOOKUP(O1689,MgDeg,2,0),0)</f>
        <v/>
      </c>
      <c r="S1689" s="29">
        <f>IFERROR(VLOOKUP(M1689,MgValor,2,0)*VLOOKUP(P1689,MgDeg,2,0),0)</f>
        <v/>
      </c>
      <c r="T1689" s="30">
        <f>MAX(Q1689:S1689)</f>
        <v/>
      </c>
      <c r="U1689" s="28">
        <f>IFERROR(LOOKUP(T1689,{0;0.5;1.5;3;4.5},{"Despreciable";"Bajo";"Medio";"Alto";"Muy alto"}),"")</f>
        <v/>
      </c>
      <c r="V1689" s="13">
        <f>IFERROR(INDEX(MgAmenFrec,MATCH(SUBSTITUTE($H1689,"*","-"),MgAmenClave,0)),"")</f>
        <v/>
      </c>
      <c r="W1689" s="28">
        <f>IFERROR(LOOKUP(X1689,{0;0.01;0.1;1;10;100},{"Muy baja";"Muy baja";"Baja";"Media";"Alta";"Muy alta"}),"")</f>
        <v/>
      </c>
      <c r="X1689" s="31">
        <f>IFERROR(VLOOKUP(V1689,MgFrec,2,0),0)</f>
        <v/>
      </c>
      <c r="Y1689" s="30">
        <f>T1689*X1689</f>
        <v/>
      </c>
      <c r="Z1689" s="28">
        <f>IFERROR(LOOKUP(Y1689,{0;0.5;5;25},{"Bajo";"Medio";"Alto";"Crítico"}),"")</f>
        <v/>
      </c>
      <c r="AA1689" s="64">
        <f>IF(T1689&gt;=3,IF(X1689&gt;=1,"Zona 1 — Crítica: impacto alto y ocurre al menos una vez al año","Zona 4 — Catastrófica poco probable: impacto alto pero excepcional"),IF(AND(T1689&lt;1.5,X1689&lt;1),"Zona 3 — Asumible: impacto bajo y muy poco frecuente","Zona 2 — Atención: riesgo intermedio"))</f>
        <v/>
      </c>
      <c r="AB1689" s="64">
        <f>IFERROR(INDEX(MgAmenCtrl,MATCH(SUBSTITUTE($H1689,"*","-"),MgAmenClave,0)),"")</f>
        <v/>
      </c>
      <c r="AC1689" s="20" t="n"/>
      <c r="AD1689" s="31">
        <f>IFERROR($X1689*(1-IF($AC1689="",$AL1689,VLOOKUP($AC1689,MgMad,2,0))),"")</f>
        <v/>
      </c>
      <c r="AE1689" s="28">
        <f>IFERROR(LOOKUP(AD1689,{0;0.01;0.1;1;10;100},{"Muy baja";"Muy baja";"Baja";"Media";"Alta";"Muy alta"}),"")</f>
        <v/>
      </c>
      <c r="AF1689" s="30">
        <f>T1689*AD1689</f>
        <v/>
      </c>
      <c r="AG1689" s="28">
        <f>IFERROR(LOOKUP(AF1689,{0;0.5;5;25},{"Bajo";"Medio";"Alto";"Crítico"}),"")</f>
        <v/>
      </c>
      <c r="AH1689" s="28">
        <f>IF(AG1689="","",IF(OR(AG1689="Crítico",AG1689="Alto"),"Mitigar",IF(AG1689="Medio","Mitigar","Aceptar y monitorear")))</f>
        <v/>
      </c>
      <c r="AI1689" s="21" t="n"/>
      <c r="AJ1689" s="21" t="n"/>
      <c r="AK1689" s="20" t="n"/>
      <c r="AL1689" s="77">
        <f>IFERROR(INDEX(MgAmenEfic,MATCH(SUBSTITUTE($H1689,"*","-"),MgAmenClave,0)),0)</f>
        <v/>
      </c>
    </row>
    <row r="1690" hidden="1" ht="45" customHeight="1" s="54">
      <c r="B1690" s="59" t="inlineStr">
        <is>
          <t>R-1685</t>
        </is>
      </c>
      <c r="C1690" s="59" t="inlineStr">
        <is>
          <t>TEC-006</t>
        </is>
      </c>
      <c r="D1690" s="64">
        <f>IFERROR(INDEX(MgNombre,MATCH($C1690,MgActId,0)),"")</f>
        <v/>
      </c>
      <c r="E1690" s="64">
        <f>IFERROR(INDEX(MgProceso,MATCH($C1690,MgActId,0)),"")</f>
        <v/>
      </c>
      <c r="F1690" s="64">
        <f>IFERROR(INDEX(MgTipo,MATCH($C1690,MgActId,0)),"")</f>
        <v/>
      </c>
      <c r="G1690" s="64">
        <f>IFERROR(INDEX(MgSubtipo,MATCH($C1690,MgActId,0)),"")</f>
        <v/>
      </c>
      <c r="H1690" s="59" t="inlineStr">
        <is>
          <t>I.4</t>
        </is>
      </c>
      <c r="I1690" s="64">
        <f>IFERROR(INDEX(MgAmenNombre,MATCH(SUBSTITUTE($H1690,"*","-"),MgAmenClave,0)),"")</f>
        <v/>
      </c>
      <c r="J1690" s="28">
        <f>IFERROR(INDEX(MgAmenGrupo,MATCH(SUBSTITUTE($H1690,"*","-"),MgAmenClave,0)),"")</f>
        <v/>
      </c>
      <c r="K1690" s="64">
        <f>IFERROR(INDEX('1. Matriz de Activos'!$Q$6:$Q$239,MATCH($C1690,MgActId,0)),"")</f>
        <v/>
      </c>
      <c r="L1690" s="64">
        <f>IFERROR(INDEX('1. Matriz de Activos'!$R$6:$R$239,MATCH($C1690,MgActId,0)),"")</f>
        <v/>
      </c>
      <c r="M1690" s="64">
        <f>IFERROR(INDEX('1. Matriz de Activos'!$S$6:$S$239,MATCH($C1690,MgActId,0)),"")</f>
        <v/>
      </c>
      <c r="N1690" s="28">
        <f>IFERROR(INDEX(MgAmenDegD,MATCH(SUBSTITUTE($H1690,"*","-"),MgAmenClave,0)),"No aplica")</f>
        <v/>
      </c>
      <c r="O1690" s="28">
        <f>IFERROR(INDEX(MgAmenDegI,MATCH(SUBSTITUTE($H1690,"*","-"),MgAmenClave,0)),"No aplica")</f>
        <v/>
      </c>
      <c r="P1690" s="28">
        <f>IFERROR(INDEX(MgAmenDegC,MATCH(SUBSTITUTE($H1690,"*","-"),MgAmenClave,0)),"No aplica")</f>
        <v/>
      </c>
      <c r="Q1690" s="29">
        <f>IFERROR(VLOOKUP(K1690,MgValor,2,0)*VLOOKUP(N1690,MgDeg,2,0),0)</f>
        <v/>
      </c>
      <c r="R1690" s="29">
        <f>IFERROR(VLOOKUP(L1690,MgValor,2,0)*VLOOKUP(O1690,MgDeg,2,0),0)</f>
        <v/>
      </c>
      <c r="S1690" s="29">
        <f>IFERROR(VLOOKUP(M1690,MgValor,2,0)*VLOOKUP(P1690,MgDeg,2,0),0)</f>
        <v/>
      </c>
      <c r="T1690" s="30">
        <f>MAX(Q1690:S1690)</f>
        <v/>
      </c>
      <c r="U1690" s="28">
        <f>IFERROR(LOOKUP(T1690,{0;0.5;1.5;3;4.5},{"Despreciable";"Bajo";"Medio";"Alto";"Muy alto"}),"")</f>
        <v/>
      </c>
      <c r="V1690" s="13">
        <f>IFERROR(INDEX(MgAmenFrec,MATCH(SUBSTITUTE($H1690,"*","-"),MgAmenClave,0)),"")</f>
        <v/>
      </c>
      <c r="W1690" s="28">
        <f>IFERROR(LOOKUP(X1690,{0;0.01;0.1;1;10;100},{"Muy baja";"Muy baja";"Baja";"Media";"Alta";"Muy alta"}),"")</f>
        <v/>
      </c>
      <c r="X1690" s="31">
        <f>IFERROR(VLOOKUP(V1690,MgFrec,2,0),0)</f>
        <v/>
      </c>
      <c r="Y1690" s="30">
        <f>T1690*X1690</f>
        <v/>
      </c>
      <c r="Z1690" s="28">
        <f>IFERROR(LOOKUP(Y1690,{0;0.5;5;25},{"Bajo";"Medio";"Alto";"Crítico"}),"")</f>
        <v/>
      </c>
      <c r="AA1690" s="64">
        <f>IF(T1690&gt;=3,IF(X1690&gt;=1,"Zona 1 — Crítica: impacto alto y ocurre al menos una vez al año","Zona 4 — Catastrófica poco probable: impacto alto pero excepcional"),IF(AND(T1690&lt;1.5,X1690&lt;1),"Zona 3 — Asumible: impacto bajo y muy poco frecuente","Zona 2 — Atención: riesgo intermedio"))</f>
        <v/>
      </c>
      <c r="AB1690" s="64">
        <f>IFERROR(INDEX(MgAmenCtrl,MATCH(SUBSTITUTE($H1690,"*","-"),MgAmenClave,0)),"")</f>
        <v/>
      </c>
      <c r="AC1690" s="20" t="n"/>
      <c r="AD1690" s="31">
        <f>IFERROR($X1690*(1-IF($AC1690="",$AL1690,VLOOKUP($AC1690,MgMad,2,0))),"")</f>
        <v/>
      </c>
      <c r="AE1690" s="28">
        <f>IFERROR(LOOKUP(AD1690,{0;0.01;0.1;1;10;100},{"Muy baja";"Muy baja";"Baja";"Media";"Alta";"Muy alta"}),"")</f>
        <v/>
      </c>
      <c r="AF1690" s="30">
        <f>T1690*AD1690</f>
        <v/>
      </c>
      <c r="AG1690" s="28">
        <f>IFERROR(LOOKUP(AF1690,{0;0.5;5;25},{"Bajo";"Medio";"Alto";"Crítico"}),"")</f>
        <v/>
      </c>
      <c r="AH1690" s="28">
        <f>IF(AG1690="","",IF(OR(AG1690="Crítico",AG1690="Alto"),"Mitigar",IF(AG1690="Medio","Mitigar","Aceptar y monitorear")))</f>
        <v/>
      </c>
      <c r="AI1690" s="21" t="n"/>
      <c r="AJ1690" s="21" t="n"/>
      <c r="AK1690" s="20" t="n"/>
      <c r="AL1690" s="77">
        <f>IFERROR(INDEX(MgAmenEfic,MATCH(SUBSTITUTE($H1690,"*","-"),MgAmenClave,0)),0)</f>
        <v/>
      </c>
    </row>
    <row r="1691" hidden="1" ht="75" customHeight="1" s="54">
      <c r="B1691" s="59" t="inlineStr">
        <is>
          <t>R-1686</t>
        </is>
      </c>
      <c r="C1691" s="59" t="inlineStr">
        <is>
          <t>TEC-006</t>
        </is>
      </c>
      <c r="D1691" s="64">
        <f>IFERROR(INDEX(MgNombre,MATCH($C1691,MgActId,0)),"")</f>
        <v/>
      </c>
      <c r="E1691" s="64">
        <f>IFERROR(INDEX(MgProceso,MATCH($C1691,MgActId,0)),"")</f>
        <v/>
      </c>
      <c r="F1691" s="64">
        <f>IFERROR(INDEX(MgTipo,MATCH($C1691,MgActId,0)),"")</f>
        <v/>
      </c>
      <c r="G1691" s="64">
        <f>IFERROR(INDEX(MgSubtipo,MATCH($C1691,MgActId,0)),"")</f>
        <v/>
      </c>
      <c r="H1691" s="59" t="inlineStr">
        <is>
          <t>I.5</t>
        </is>
      </c>
      <c r="I1691" s="64">
        <f>IFERROR(INDEX(MgAmenNombre,MATCH(SUBSTITUTE($H1691,"*","-"),MgAmenClave,0)),"")</f>
        <v/>
      </c>
      <c r="J1691" s="28">
        <f>IFERROR(INDEX(MgAmenGrupo,MATCH(SUBSTITUTE($H1691,"*","-"),MgAmenClave,0)),"")</f>
        <v/>
      </c>
      <c r="K1691" s="64">
        <f>IFERROR(INDEX('1. Matriz de Activos'!$Q$6:$Q$239,MATCH($C1691,MgActId,0)),"")</f>
        <v/>
      </c>
      <c r="L1691" s="64">
        <f>IFERROR(INDEX('1. Matriz de Activos'!$R$6:$R$239,MATCH($C1691,MgActId,0)),"")</f>
        <v/>
      </c>
      <c r="M1691" s="64">
        <f>IFERROR(INDEX('1. Matriz de Activos'!$S$6:$S$239,MATCH($C1691,MgActId,0)),"")</f>
        <v/>
      </c>
      <c r="N1691" s="28">
        <f>IFERROR(INDEX(MgAmenDegD,MATCH(SUBSTITUTE($H1691,"*","-"),MgAmenClave,0)),"No aplica")</f>
        <v/>
      </c>
      <c r="O1691" s="28">
        <f>IFERROR(INDEX(MgAmenDegI,MATCH(SUBSTITUTE($H1691,"*","-"),MgAmenClave,0)),"No aplica")</f>
        <v/>
      </c>
      <c r="P1691" s="28">
        <f>IFERROR(INDEX(MgAmenDegC,MATCH(SUBSTITUTE($H1691,"*","-"),MgAmenClave,0)),"No aplica")</f>
        <v/>
      </c>
      <c r="Q1691" s="29">
        <f>IFERROR(VLOOKUP(K1691,MgValor,2,0)*VLOOKUP(N1691,MgDeg,2,0),0)</f>
        <v/>
      </c>
      <c r="R1691" s="29">
        <f>IFERROR(VLOOKUP(L1691,MgValor,2,0)*VLOOKUP(O1691,MgDeg,2,0),0)</f>
        <v/>
      </c>
      <c r="S1691" s="29">
        <f>IFERROR(VLOOKUP(M1691,MgValor,2,0)*VLOOKUP(P1691,MgDeg,2,0),0)</f>
        <v/>
      </c>
      <c r="T1691" s="30">
        <f>MAX(Q1691:S1691)</f>
        <v/>
      </c>
      <c r="U1691" s="28">
        <f>IFERROR(LOOKUP(T1691,{0;0.5;1.5;3;4.5},{"Despreciable";"Bajo";"Medio";"Alto";"Muy alto"}),"")</f>
        <v/>
      </c>
      <c r="V1691" s="13">
        <f>IFERROR(INDEX(MgAmenFrec,MATCH(SUBSTITUTE($H1691,"*","-"),MgAmenClave,0)),"")</f>
        <v/>
      </c>
      <c r="W1691" s="28">
        <f>IFERROR(LOOKUP(X1691,{0;0.01;0.1;1;10;100},{"Muy baja";"Muy baja";"Baja";"Media";"Alta";"Muy alta"}),"")</f>
        <v/>
      </c>
      <c r="X1691" s="31">
        <f>IFERROR(VLOOKUP(V1691,MgFrec,2,0),0)</f>
        <v/>
      </c>
      <c r="Y1691" s="30">
        <f>T1691*X1691</f>
        <v/>
      </c>
      <c r="Z1691" s="28">
        <f>IFERROR(LOOKUP(Y1691,{0;0.5;5;25},{"Bajo";"Medio";"Alto";"Crítico"}),"")</f>
        <v/>
      </c>
      <c r="AA1691" s="64">
        <f>IF(T1691&gt;=3,IF(X1691&gt;=1,"Zona 1 — Crítica: impacto alto y ocurre al menos una vez al año","Zona 4 — Catastrófica poco probable: impacto alto pero excepcional"),IF(AND(T1691&lt;1.5,X1691&lt;1),"Zona 3 — Asumible: impacto bajo y muy poco frecuente","Zona 2 — Atención: riesgo intermedio"))</f>
        <v/>
      </c>
      <c r="AB1691" s="64">
        <f>IFERROR(INDEX(MgAmenCtrl,MATCH(SUBSTITUTE($H1691,"*","-"),MgAmenClave,0)),"")</f>
        <v/>
      </c>
      <c r="AC1691" s="20" t="n"/>
      <c r="AD1691" s="31">
        <f>IFERROR($X1691*(1-IF($AC1691="",$AL1691,VLOOKUP($AC1691,MgMad,2,0))),"")</f>
        <v/>
      </c>
      <c r="AE1691" s="28">
        <f>IFERROR(LOOKUP(AD1691,{0;0.01;0.1;1;10;100},{"Muy baja";"Muy baja";"Baja";"Media";"Alta";"Muy alta"}),"")</f>
        <v/>
      </c>
      <c r="AF1691" s="30">
        <f>T1691*AD1691</f>
        <v/>
      </c>
      <c r="AG1691" s="28">
        <f>IFERROR(LOOKUP(AF1691,{0;0.5;5;25},{"Bajo";"Medio";"Alto";"Crítico"}),"")</f>
        <v/>
      </c>
      <c r="AH1691" s="28">
        <f>IF(AG1691="","",IF(OR(AG1691="Crítico",AG1691="Alto"),"Mitigar",IF(AG1691="Medio","Mitigar","Aceptar y monitorear")))</f>
        <v/>
      </c>
      <c r="AI1691" s="21" t="n"/>
      <c r="AJ1691" s="21" t="n"/>
      <c r="AK1691" s="20" t="n"/>
      <c r="AL1691" s="77">
        <f>IFERROR(INDEX(MgAmenEfic,MATCH(SUBSTITUTE($H1691,"*","-"),MgAmenClave,0)),0)</f>
        <v/>
      </c>
    </row>
    <row r="1692" hidden="1" ht="60" customHeight="1" s="54">
      <c r="B1692" s="59" t="inlineStr">
        <is>
          <t>R-1687</t>
        </is>
      </c>
      <c r="C1692" s="59" t="inlineStr">
        <is>
          <t>TEC-006</t>
        </is>
      </c>
      <c r="D1692" s="64">
        <f>IFERROR(INDEX(MgNombre,MATCH($C1692,MgActId,0)),"")</f>
        <v/>
      </c>
      <c r="E1692" s="64">
        <f>IFERROR(INDEX(MgProceso,MATCH($C1692,MgActId,0)),"")</f>
        <v/>
      </c>
      <c r="F1692" s="64">
        <f>IFERROR(INDEX(MgTipo,MATCH($C1692,MgActId,0)),"")</f>
        <v/>
      </c>
      <c r="G1692" s="64">
        <f>IFERROR(INDEX(MgSubtipo,MATCH($C1692,MgActId,0)),"")</f>
        <v/>
      </c>
      <c r="H1692" s="59" t="inlineStr">
        <is>
          <t>I.6</t>
        </is>
      </c>
      <c r="I1692" s="64">
        <f>IFERROR(INDEX(MgAmenNombre,MATCH(SUBSTITUTE($H1692,"*","-"),MgAmenClave,0)),"")</f>
        <v/>
      </c>
      <c r="J1692" s="28">
        <f>IFERROR(INDEX(MgAmenGrupo,MATCH(SUBSTITUTE($H1692,"*","-"),MgAmenClave,0)),"")</f>
        <v/>
      </c>
      <c r="K1692" s="64">
        <f>IFERROR(INDEX('1. Matriz de Activos'!$Q$6:$Q$239,MATCH($C1692,MgActId,0)),"")</f>
        <v/>
      </c>
      <c r="L1692" s="64">
        <f>IFERROR(INDEX('1. Matriz de Activos'!$R$6:$R$239,MATCH($C1692,MgActId,0)),"")</f>
        <v/>
      </c>
      <c r="M1692" s="64">
        <f>IFERROR(INDEX('1. Matriz de Activos'!$S$6:$S$239,MATCH($C1692,MgActId,0)),"")</f>
        <v/>
      </c>
      <c r="N1692" s="28">
        <f>IFERROR(INDEX(MgAmenDegD,MATCH(SUBSTITUTE($H1692,"*","-"),MgAmenClave,0)),"No aplica")</f>
        <v/>
      </c>
      <c r="O1692" s="28">
        <f>IFERROR(INDEX(MgAmenDegI,MATCH(SUBSTITUTE($H1692,"*","-"),MgAmenClave,0)),"No aplica")</f>
        <v/>
      </c>
      <c r="P1692" s="28">
        <f>IFERROR(INDEX(MgAmenDegC,MATCH(SUBSTITUTE($H1692,"*","-"),MgAmenClave,0)),"No aplica")</f>
        <v/>
      </c>
      <c r="Q1692" s="29">
        <f>IFERROR(VLOOKUP(K1692,MgValor,2,0)*VLOOKUP(N1692,MgDeg,2,0),0)</f>
        <v/>
      </c>
      <c r="R1692" s="29">
        <f>IFERROR(VLOOKUP(L1692,MgValor,2,0)*VLOOKUP(O1692,MgDeg,2,0),0)</f>
        <v/>
      </c>
      <c r="S1692" s="29">
        <f>IFERROR(VLOOKUP(M1692,MgValor,2,0)*VLOOKUP(P1692,MgDeg,2,0),0)</f>
        <v/>
      </c>
      <c r="T1692" s="30">
        <f>MAX(Q1692:S1692)</f>
        <v/>
      </c>
      <c r="U1692" s="28">
        <f>IFERROR(LOOKUP(T1692,{0;0.5;1.5;3;4.5},{"Despreciable";"Bajo";"Medio";"Alto";"Muy alto"}),"")</f>
        <v/>
      </c>
      <c r="V1692" s="13">
        <f>IFERROR(INDEX(MgAmenFrec,MATCH(SUBSTITUTE($H1692,"*","-"),MgAmenClave,0)),"")</f>
        <v/>
      </c>
      <c r="W1692" s="28">
        <f>IFERROR(LOOKUP(X1692,{0;0.01;0.1;1;10;100},{"Muy baja";"Muy baja";"Baja";"Media";"Alta";"Muy alta"}),"")</f>
        <v/>
      </c>
      <c r="X1692" s="31">
        <f>IFERROR(VLOOKUP(V1692,MgFrec,2,0),0)</f>
        <v/>
      </c>
      <c r="Y1692" s="30">
        <f>T1692*X1692</f>
        <v/>
      </c>
      <c r="Z1692" s="28">
        <f>IFERROR(LOOKUP(Y1692,{0;0.5;5;25},{"Bajo";"Medio";"Alto";"Crítico"}),"")</f>
        <v/>
      </c>
      <c r="AA1692" s="64">
        <f>IF(T1692&gt;=3,IF(X1692&gt;=1,"Zona 1 — Crítica: impacto alto y ocurre al menos una vez al año","Zona 4 — Catastrófica poco probable: impacto alto pero excepcional"),IF(AND(T1692&lt;1.5,X1692&lt;1),"Zona 3 — Asumible: impacto bajo y muy poco frecuente","Zona 2 — Atención: riesgo intermedio"))</f>
        <v/>
      </c>
      <c r="AB1692" s="64">
        <f>IFERROR(INDEX(MgAmenCtrl,MATCH(SUBSTITUTE($H1692,"*","-"),MgAmenClave,0)),"")</f>
        <v/>
      </c>
      <c r="AC1692" s="20" t="n"/>
      <c r="AD1692" s="31">
        <f>IFERROR($X1692*(1-IF($AC1692="",$AL1692,VLOOKUP($AC1692,MgMad,2,0))),"")</f>
        <v/>
      </c>
      <c r="AE1692" s="28">
        <f>IFERROR(LOOKUP(AD1692,{0;0.01;0.1;1;10;100},{"Muy baja";"Muy baja";"Baja";"Media";"Alta";"Muy alta"}),"")</f>
        <v/>
      </c>
      <c r="AF1692" s="30">
        <f>T1692*AD1692</f>
        <v/>
      </c>
      <c r="AG1692" s="28">
        <f>IFERROR(LOOKUP(AF1692,{0;0.5;5;25},{"Bajo";"Medio";"Alto";"Crítico"}),"")</f>
        <v/>
      </c>
      <c r="AH1692" s="28">
        <f>IF(AG1692="","",IF(OR(AG1692="Crítico",AG1692="Alto"),"Mitigar",IF(AG1692="Medio","Mitigar","Aceptar y monitorear")))</f>
        <v/>
      </c>
      <c r="AI1692" s="21" t="n"/>
      <c r="AJ1692" s="21" t="n"/>
      <c r="AK1692" s="20" t="n"/>
      <c r="AL1692" s="77">
        <f>IFERROR(INDEX(MgAmenEfic,MATCH(SUBSTITUTE($H1692,"*","-"),MgAmenClave,0)),0)</f>
        <v/>
      </c>
    </row>
    <row r="1693" hidden="1" ht="45" customHeight="1" s="54">
      <c r="B1693" s="59" t="inlineStr">
        <is>
          <t>R-1688</t>
        </is>
      </c>
      <c r="C1693" s="59" t="inlineStr">
        <is>
          <t>TEC-006</t>
        </is>
      </c>
      <c r="D1693" s="64">
        <f>IFERROR(INDEX(MgNombre,MATCH($C1693,MgActId,0)),"")</f>
        <v/>
      </c>
      <c r="E1693" s="64">
        <f>IFERROR(INDEX(MgProceso,MATCH($C1693,MgActId,0)),"")</f>
        <v/>
      </c>
      <c r="F1693" s="64">
        <f>IFERROR(INDEX(MgTipo,MATCH($C1693,MgActId,0)),"")</f>
        <v/>
      </c>
      <c r="G1693" s="64">
        <f>IFERROR(INDEX(MgSubtipo,MATCH($C1693,MgActId,0)),"")</f>
        <v/>
      </c>
      <c r="H1693" s="59" t="inlineStr">
        <is>
          <t>I.7</t>
        </is>
      </c>
      <c r="I1693" s="64">
        <f>IFERROR(INDEX(MgAmenNombre,MATCH(SUBSTITUTE($H1693,"*","-"),MgAmenClave,0)),"")</f>
        <v/>
      </c>
      <c r="J1693" s="28">
        <f>IFERROR(INDEX(MgAmenGrupo,MATCH(SUBSTITUTE($H1693,"*","-"),MgAmenClave,0)),"")</f>
        <v/>
      </c>
      <c r="K1693" s="64">
        <f>IFERROR(INDEX('1. Matriz de Activos'!$Q$6:$Q$239,MATCH($C1693,MgActId,0)),"")</f>
        <v/>
      </c>
      <c r="L1693" s="64">
        <f>IFERROR(INDEX('1. Matriz de Activos'!$R$6:$R$239,MATCH($C1693,MgActId,0)),"")</f>
        <v/>
      </c>
      <c r="M1693" s="64">
        <f>IFERROR(INDEX('1. Matriz de Activos'!$S$6:$S$239,MATCH($C1693,MgActId,0)),"")</f>
        <v/>
      </c>
      <c r="N1693" s="28">
        <f>IFERROR(INDEX(MgAmenDegD,MATCH(SUBSTITUTE($H1693,"*","-"),MgAmenClave,0)),"No aplica")</f>
        <v/>
      </c>
      <c r="O1693" s="28">
        <f>IFERROR(INDEX(MgAmenDegI,MATCH(SUBSTITUTE($H1693,"*","-"),MgAmenClave,0)),"No aplica")</f>
        <v/>
      </c>
      <c r="P1693" s="28">
        <f>IFERROR(INDEX(MgAmenDegC,MATCH(SUBSTITUTE($H1693,"*","-"),MgAmenClave,0)),"No aplica")</f>
        <v/>
      </c>
      <c r="Q1693" s="29">
        <f>IFERROR(VLOOKUP(K1693,MgValor,2,0)*VLOOKUP(N1693,MgDeg,2,0),0)</f>
        <v/>
      </c>
      <c r="R1693" s="29">
        <f>IFERROR(VLOOKUP(L1693,MgValor,2,0)*VLOOKUP(O1693,MgDeg,2,0),0)</f>
        <v/>
      </c>
      <c r="S1693" s="29">
        <f>IFERROR(VLOOKUP(M1693,MgValor,2,0)*VLOOKUP(P1693,MgDeg,2,0),0)</f>
        <v/>
      </c>
      <c r="T1693" s="30">
        <f>MAX(Q1693:S1693)</f>
        <v/>
      </c>
      <c r="U1693" s="28">
        <f>IFERROR(LOOKUP(T1693,{0;0.5;1.5;3;4.5},{"Despreciable";"Bajo";"Medio";"Alto";"Muy alto"}),"")</f>
        <v/>
      </c>
      <c r="V1693" s="13">
        <f>IFERROR(INDEX(MgAmenFrec,MATCH(SUBSTITUTE($H1693,"*","-"),MgAmenClave,0)),"")</f>
        <v/>
      </c>
      <c r="W1693" s="28">
        <f>IFERROR(LOOKUP(X1693,{0;0.01;0.1;1;10;100},{"Muy baja";"Muy baja";"Baja";"Media";"Alta";"Muy alta"}),"")</f>
        <v/>
      </c>
      <c r="X1693" s="31">
        <f>IFERROR(VLOOKUP(V1693,MgFrec,2,0),0)</f>
        <v/>
      </c>
      <c r="Y1693" s="30">
        <f>T1693*X1693</f>
        <v/>
      </c>
      <c r="Z1693" s="28">
        <f>IFERROR(LOOKUP(Y1693,{0;0.5;5;25},{"Bajo";"Medio";"Alto";"Crítico"}),"")</f>
        <v/>
      </c>
      <c r="AA1693" s="64">
        <f>IF(T1693&gt;=3,IF(X1693&gt;=1,"Zona 1 — Crítica: impacto alto y ocurre al menos una vez al año","Zona 4 — Catastrófica poco probable: impacto alto pero excepcional"),IF(AND(T1693&lt;1.5,X1693&lt;1),"Zona 3 — Asumible: impacto bajo y muy poco frecuente","Zona 2 — Atención: riesgo intermedio"))</f>
        <v/>
      </c>
      <c r="AB1693" s="64">
        <f>IFERROR(INDEX(MgAmenCtrl,MATCH(SUBSTITUTE($H1693,"*","-"),MgAmenClave,0)),"")</f>
        <v/>
      </c>
      <c r="AC1693" s="20" t="n"/>
      <c r="AD1693" s="31">
        <f>IFERROR($X1693*(1-IF($AC1693="",$AL1693,VLOOKUP($AC1693,MgMad,2,0))),"")</f>
        <v/>
      </c>
      <c r="AE1693" s="28">
        <f>IFERROR(LOOKUP(AD1693,{0;0.01;0.1;1;10;100},{"Muy baja";"Muy baja";"Baja";"Media";"Alta";"Muy alta"}),"")</f>
        <v/>
      </c>
      <c r="AF1693" s="30">
        <f>T1693*AD1693</f>
        <v/>
      </c>
      <c r="AG1693" s="28">
        <f>IFERROR(LOOKUP(AF1693,{0;0.5;5;25},{"Bajo";"Medio";"Alto";"Crítico"}),"")</f>
        <v/>
      </c>
      <c r="AH1693" s="28">
        <f>IF(AG1693="","",IF(OR(AG1693="Crítico",AG1693="Alto"),"Mitigar",IF(AG1693="Medio","Mitigar","Aceptar y monitorear")))</f>
        <v/>
      </c>
      <c r="AI1693" s="21" t="n"/>
      <c r="AJ1693" s="21" t="n"/>
      <c r="AK1693" s="20" t="n"/>
      <c r="AL1693" s="77">
        <f>IFERROR(INDEX(MgAmenEfic,MATCH(SUBSTITUTE($H1693,"*","-"),MgAmenClave,0)),0)</f>
        <v/>
      </c>
    </row>
    <row r="1694" hidden="1" ht="45" customHeight="1" s="54">
      <c r="B1694" s="59" t="inlineStr">
        <is>
          <t>R-1689</t>
        </is>
      </c>
      <c r="C1694" s="59" t="inlineStr">
        <is>
          <t>TEC-006</t>
        </is>
      </c>
      <c r="D1694" s="64">
        <f>IFERROR(INDEX(MgNombre,MATCH($C1694,MgActId,0)),"")</f>
        <v/>
      </c>
      <c r="E1694" s="64">
        <f>IFERROR(INDEX(MgProceso,MATCH($C1694,MgActId,0)),"")</f>
        <v/>
      </c>
      <c r="F1694" s="64">
        <f>IFERROR(INDEX(MgTipo,MATCH($C1694,MgActId,0)),"")</f>
        <v/>
      </c>
      <c r="G1694" s="64">
        <f>IFERROR(INDEX(MgSubtipo,MATCH($C1694,MgActId,0)),"")</f>
        <v/>
      </c>
      <c r="H1694" s="59" t="inlineStr">
        <is>
          <t>I.11</t>
        </is>
      </c>
      <c r="I1694" s="64">
        <f>IFERROR(INDEX(MgAmenNombre,MATCH(SUBSTITUTE($H1694,"*","-"),MgAmenClave,0)),"")</f>
        <v/>
      </c>
      <c r="J1694" s="28">
        <f>IFERROR(INDEX(MgAmenGrupo,MATCH(SUBSTITUTE($H1694,"*","-"),MgAmenClave,0)),"")</f>
        <v/>
      </c>
      <c r="K1694" s="64">
        <f>IFERROR(INDEX('1. Matriz de Activos'!$Q$6:$Q$239,MATCH($C1694,MgActId,0)),"")</f>
        <v/>
      </c>
      <c r="L1694" s="64">
        <f>IFERROR(INDEX('1. Matriz de Activos'!$R$6:$R$239,MATCH($C1694,MgActId,0)),"")</f>
        <v/>
      </c>
      <c r="M1694" s="64">
        <f>IFERROR(INDEX('1. Matriz de Activos'!$S$6:$S$239,MATCH($C1694,MgActId,0)),"")</f>
        <v/>
      </c>
      <c r="N1694" s="28">
        <f>IFERROR(INDEX(MgAmenDegD,MATCH(SUBSTITUTE($H1694,"*","-"),MgAmenClave,0)),"No aplica")</f>
        <v/>
      </c>
      <c r="O1694" s="28">
        <f>IFERROR(INDEX(MgAmenDegI,MATCH(SUBSTITUTE($H1694,"*","-"),MgAmenClave,0)),"No aplica")</f>
        <v/>
      </c>
      <c r="P1694" s="28">
        <f>IFERROR(INDEX(MgAmenDegC,MATCH(SUBSTITUTE($H1694,"*","-"),MgAmenClave,0)),"No aplica")</f>
        <v/>
      </c>
      <c r="Q1694" s="29">
        <f>IFERROR(VLOOKUP(K1694,MgValor,2,0)*VLOOKUP(N1694,MgDeg,2,0),0)</f>
        <v/>
      </c>
      <c r="R1694" s="29">
        <f>IFERROR(VLOOKUP(L1694,MgValor,2,0)*VLOOKUP(O1694,MgDeg,2,0),0)</f>
        <v/>
      </c>
      <c r="S1694" s="29">
        <f>IFERROR(VLOOKUP(M1694,MgValor,2,0)*VLOOKUP(P1694,MgDeg,2,0),0)</f>
        <v/>
      </c>
      <c r="T1694" s="30">
        <f>MAX(Q1694:S1694)</f>
        <v/>
      </c>
      <c r="U1694" s="28">
        <f>IFERROR(LOOKUP(T1694,{0;0.5;1.5;3;4.5},{"Despreciable";"Bajo";"Medio";"Alto";"Muy alto"}),"")</f>
        <v/>
      </c>
      <c r="V1694" s="13">
        <f>IFERROR(INDEX(MgAmenFrec,MATCH(SUBSTITUTE($H1694,"*","-"),MgAmenClave,0)),"")</f>
        <v/>
      </c>
      <c r="W1694" s="28">
        <f>IFERROR(LOOKUP(X1694,{0;0.01;0.1;1;10;100},{"Muy baja";"Muy baja";"Baja";"Media";"Alta";"Muy alta"}),"")</f>
        <v/>
      </c>
      <c r="X1694" s="31">
        <f>IFERROR(VLOOKUP(V1694,MgFrec,2,0),0)</f>
        <v/>
      </c>
      <c r="Y1694" s="30">
        <f>T1694*X1694</f>
        <v/>
      </c>
      <c r="Z1694" s="28">
        <f>IFERROR(LOOKUP(Y1694,{0;0.5;5;25},{"Bajo";"Medio";"Alto";"Crítico"}),"")</f>
        <v/>
      </c>
      <c r="AA1694" s="64">
        <f>IF(T1694&gt;=3,IF(X1694&gt;=1,"Zona 1 — Crítica: impacto alto y ocurre al menos una vez al año","Zona 4 — Catastrófica poco probable: impacto alto pero excepcional"),IF(AND(T1694&lt;1.5,X1694&lt;1),"Zona 3 — Asumible: impacto bajo y muy poco frecuente","Zona 2 — Atención: riesgo intermedio"))</f>
        <v/>
      </c>
      <c r="AB1694" s="64">
        <f>IFERROR(INDEX(MgAmenCtrl,MATCH(SUBSTITUTE($H1694,"*","-"),MgAmenClave,0)),"")</f>
        <v/>
      </c>
      <c r="AC1694" s="20" t="n"/>
      <c r="AD1694" s="31">
        <f>IFERROR($X1694*(1-IF($AC1694="",$AL1694,VLOOKUP($AC1694,MgMad,2,0))),"")</f>
        <v/>
      </c>
      <c r="AE1694" s="28">
        <f>IFERROR(LOOKUP(AD1694,{0;0.01;0.1;1;10;100},{"Muy baja";"Muy baja";"Baja";"Media";"Alta";"Muy alta"}),"")</f>
        <v/>
      </c>
      <c r="AF1694" s="30">
        <f>T1694*AD1694</f>
        <v/>
      </c>
      <c r="AG1694" s="28">
        <f>IFERROR(LOOKUP(AF1694,{0;0.5;5;25},{"Bajo";"Medio";"Alto";"Crítico"}),"")</f>
        <v/>
      </c>
      <c r="AH1694" s="28">
        <f>IF(AG1694="","",IF(OR(AG1694="Crítico",AG1694="Alto"),"Mitigar",IF(AG1694="Medio","Mitigar","Aceptar y monitorear")))</f>
        <v/>
      </c>
      <c r="AI1694" s="21" t="n"/>
      <c r="AJ1694" s="21" t="n"/>
      <c r="AK1694" s="20" t="n"/>
      <c r="AL1694" s="77">
        <f>IFERROR(INDEX(MgAmenEfic,MATCH(SUBSTITUTE($H1694,"*","-"),MgAmenClave,0)),0)</f>
        <v/>
      </c>
    </row>
    <row r="1695" hidden="1" ht="120" customHeight="1" s="54">
      <c r="B1695" s="59" t="inlineStr">
        <is>
          <t>R-1690</t>
        </is>
      </c>
      <c r="C1695" s="59" t="inlineStr">
        <is>
          <t>TEC-006</t>
        </is>
      </c>
      <c r="D1695" s="64">
        <f>IFERROR(INDEX(MgNombre,MATCH($C1695,MgActId,0)),"")</f>
        <v/>
      </c>
      <c r="E1695" s="64">
        <f>IFERROR(INDEX(MgProceso,MATCH($C1695,MgActId,0)),"")</f>
        <v/>
      </c>
      <c r="F1695" s="64">
        <f>IFERROR(INDEX(MgTipo,MATCH($C1695,MgActId,0)),"")</f>
        <v/>
      </c>
      <c r="G1695" s="64">
        <f>IFERROR(INDEX(MgSubtipo,MATCH($C1695,MgActId,0)),"")</f>
        <v/>
      </c>
      <c r="H1695" s="59" t="inlineStr">
        <is>
          <t>E.2</t>
        </is>
      </c>
      <c r="I1695" s="64">
        <f>IFERROR(INDEX(MgAmenNombre,MATCH(SUBSTITUTE($H1695,"*","-"),MgAmenClave,0)),"")</f>
        <v/>
      </c>
      <c r="J1695" s="28">
        <f>IFERROR(INDEX(MgAmenGrupo,MATCH(SUBSTITUTE($H1695,"*","-"),MgAmenClave,0)),"")</f>
        <v/>
      </c>
      <c r="K1695" s="64">
        <f>IFERROR(INDEX('1. Matriz de Activos'!$Q$6:$Q$239,MATCH($C1695,MgActId,0)),"")</f>
        <v/>
      </c>
      <c r="L1695" s="64">
        <f>IFERROR(INDEX('1. Matriz de Activos'!$R$6:$R$239,MATCH($C1695,MgActId,0)),"")</f>
        <v/>
      </c>
      <c r="M1695" s="64">
        <f>IFERROR(INDEX('1. Matriz de Activos'!$S$6:$S$239,MATCH($C1695,MgActId,0)),"")</f>
        <v/>
      </c>
      <c r="N1695" s="28">
        <f>IFERROR(INDEX(MgAmenDegD,MATCH(SUBSTITUTE($H1695,"*","-"),MgAmenClave,0)),"No aplica")</f>
        <v/>
      </c>
      <c r="O1695" s="28">
        <f>IFERROR(INDEX(MgAmenDegI,MATCH(SUBSTITUTE($H1695,"*","-"),MgAmenClave,0)),"No aplica")</f>
        <v/>
      </c>
      <c r="P1695" s="28">
        <f>IFERROR(INDEX(MgAmenDegC,MATCH(SUBSTITUTE($H1695,"*","-"),MgAmenClave,0)),"No aplica")</f>
        <v/>
      </c>
      <c r="Q1695" s="29">
        <f>IFERROR(VLOOKUP(K1695,MgValor,2,0)*VLOOKUP(N1695,MgDeg,2,0),0)</f>
        <v/>
      </c>
      <c r="R1695" s="29">
        <f>IFERROR(VLOOKUP(L1695,MgValor,2,0)*VLOOKUP(O1695,MgDeg,2,0),0)</f>
        <v/>
      </c>
      <c r="S1695" s="29">
        <f>IFERROR(VLOOKUP(M1695,MgValor,2,0)*VLOOKUP(P1695,MgDeg,2,0),0)</f>
        <v/>
      </c>
      <c r="T1695" s="30">
        <f>MAX(Q1695:S1695)</f>
        <v/>
      </c>
      <c r="U1695" s="28">
        <f>IFERROR(LOOKUP(T1695,{0;0.5;1.5;3;4.5},{"Despreciable";"Bajo";"Medio";"Alto";"Muy alto"}),"")</f>
        <v/>
      </c>
      <c r="V1695" s="13">
        <f>IFERROR(INDEX(MgAmenFrec,MATCH(SUBSTITUTE($H1695,"*","-"),MgAmenClave,0)),"")</f>
        <v/>
      </c>
      <c r="W1695" s="28">
        <f>IFERROR(LOOKUP(X1695,{0;0.01;0.1;1;10;100},{"Muy baja";"Muy baja";"Baja";"Media";"Alta";"Muy alta"}),"")</f>
        <v/>
      </c>
      <c r="X1695" s="31">
        <f>IFERROR(VLOOKUP(V1695,MgFrec,2,0),0)</f>
        <v/>
      </c>
      <c r="Y1695" s="30">
        <f>T1695*X1695</f>
        <v/>
      </c>
      <c r="Z1695" s="28">
        <f>IFERROR(LOOKUP(Y1695,{0;0.5;5;25},{"Bajo";"Medio";"Alto";"Crítico"}),"")</f>
        <v/>
      </c>
      <c r="AA1695" s="64">
        <f>IF(T1695&gt;=3,IF(X1695&gt;=1,"Zona 1 — Crítica: impacto alto y ocurre al menos una vez al año","Zona 4 — Catastrófica poco probable: impacto alto pero excepcional"),IF(AND(T1695&lt;1.5,X1695&lt;1),"Zona 3 — Asumible: impacto bajo y muy poco frecuente","Zona 2 — Atención: riesgo intermedio"))</f>
        <v/>
      </c>
      <c r="AB1695" s="64">
        <f>IFERROR(INDEX(MgAmenCtrl,MATCH(SUBSTITUTE($H1695,"*","-"),MgAmenClave,0)),"")</f>
        <v/>
      </c>
      <c r="AC1695" s="20" t="n"/>
      <c r="AD1695" s="31">
        <f>IFERROR($X1695*(1-IF($AC1695="",$AL1695,VLOOKUP($AC1695,MgMad,2,0))),"")</f>
        <v/>
      </c>
      <c r="AE1695" s="28">
        <f>IFERROR(LOOKUP(AD1695,{0;0.01;0.1;1;10;100},{"Muy baja";"Muy baja";"Baja";"Media";"Alta";"Muy alta"}),"")</f>
        <v/>
      </c>
      <c r="AF1695" s="30">
        <f>T1695*AD1695</f>
        <v/>
      </c>
      <c r="AG1695" s="28">
        <f>IFERROR(LOOKUP(AF1695,{0;0.5;5;25},{"Bajo";"Medio";"Alto";"Crítico"}),"")</f>
        <v/>
      </c>
      <c r="AH1695" s="28">
        <f>IF(AG1695="","",IF(OR(AG1695="Crítico",AG1695="Alto"),"Mitigar",IF(AG1695="Medio","Mitigar","Aceptar y monitorear")))</f>
        <v/>
      </c>
      <c r="AI1695" s="21" t="n"/>
      <c r="AJ1695" s="21" t="n"/>
      <c r="AK1695" s="20" t="n"/>
      <c r="AL1695" s="77">
        <f>IFERROR(INDEX(MgAmenEfic,MATCH(SUBSTITUTE($H1695,"*","-"),MgAmenClave,0)),0)</f>
        <v/>
      </c>
    </row>
    <row r="1696" hidden="1" ht="90" customHeight="1" s="54">
      <c r="B1696" s="59" t="inlineStr">
        <is>
          <t>R-1691</t>
        </is>
      </c>
      <c r="C1696" s="59" t="inlineStr">
        <is>
          <t>TEC-006</t>
        </is>
      </c>
      <c r="D1696" s="64">
        <f>IFERROR(INDEX(MgNombre,MATCH($C1696,MgActId,0)),"")</f>
        <v/>
      </c>
      <c r="E1696" s="64">
        <f>IFERROR(INDEX(MgProceso,MATCH($C1696,MgActId,0)),"")</f>
        <v/>
      </c>
      <c r="F1696" s="64">
        <f>IFERROR(INDEX(MgTipo,MATCH($C1696,MgActId,0)),"")</f>
        <v/>
      </c>
      <c r="G1696" s="64">
        <f>IFERROR(INDEX(MgSubtipo,MATCH($C1696,MgActId,0)),"")</f>
        <v/>
      </c>
      <c r="H1696" s="59" t="inlineStr">
        <is>
          <t>E.14</t>
        </is>
      </c>
      <c r="I1696" s="64">
        <f>IFERROR(INDEX(MgAmenNombre,MATCH(SUBSTITUTE($H1696,"*","-"),MgAmenClave,0)),"")</f>
        <v/>
      </c>
      <c r="J1696" s="28">
        <f>IFERROR(INDEX(MgAmenGrupo,MATCH(SUBSTITUTE($H1696,"*","-"),MgAmenClave,0)),"")</f>
        <v/>
      </c>
      <c r="K1696" s="64">
        <f>IFERROR(INDEX('1. Matriz de Activos'!$Q$6:$Q$239,MATCH($C1696,MgActId,0)),"")</f>
        <v/>
      </c>
      <c r="L1696" s="64">
        <f>IFERROR(INDEX('1. Matriz de Activos'!$R$6:$R$239,MATCH($C1696,MgActId,0)),"")</f>
        <v/>
      </c>
      <c r="M1696" s="64">
        <f>IFERROR(INDEX('1. Matriz de Activos'!$S$6:$S$239,MATCH($C1696,MgActId,0)),"")</f>
        <v/>
      </c>
      <c r="N1696" s="28">
        <f>IFERROR(INDEX(MgAmenDegD,MATCH(SUBSTITUTE($H1696,"*","-"),MgAmenClave,0)),"No aplica")</f>
        <v/>
      </c>
      <c r="O1696" s="28">
        <f>IFERROR(INDEX(MgAmenDegI,MATCH(SUBSTITUTE($H1696,"*","-"),MgAmenClave,0)),"No aplica")</f>
        <v/>
      </c>
      <c r="P1696" s="28">
        <f>IFERROR(INDEX(MgAmenDegC,MATCH(SUBSTITUTE($H1696,"*","-"),MgAmenClave,0)),"No aplica")</f>
        <v/>
      </c>
      <c r="Q1696" s="29">
        <f>IFERROR(VLOOKUP(K1696,MgValor,2,0)*VLOOKUP(N1696,MgDeg,2,0),0)</f>
        <v/>
      </c>
      <c r="R1696" s="29">
        <f>IFERROR(VLOOKUP(L1696,MgValor,2,0)*VLOOKUP(O1696,MgDeg,2,0),0)</f>
        <v/>
      </c>
      <c r="S1696" s="29">
        <f>IFERROR(VLOOKUP(M1696,MgValor,2,0)*VLOOKUP(P1696,MgDeg,2,0),0)</f>
        <v/>
      </c>
      <c r="T1696" s="30">
        <f>MAX(Q1696:S1696)</f>
        <v/>
      </c>
      <c r="U1696" s="28">
        <f>IFERROR(LOOKUP(T1696,{0;0.5;1.5;3;4.5},{"Despreciable";"Bajo";"Medio";"Alto";"Muy alto"}),"")</f>
        <v/>
      </c>
      <c r="V1696" s="13">
        <f>IFERROR(INDEX(MgAmenFrec,MATCH(SUBSTITUTE($H1696,"*","-"),MgAmenClave,0)),"")</f>
        <v/>
      </c>
      <c r="W1696" s="28">
        <f>IFERROR(LOOKUP(X1696,{0;0.01;0.1;1;10;100},{"Muy baja";"Muy baja";"Baja";"Media";"Alta";"Muy alta"}),"")</f>
        <v/>
      </c>
      <c r="X1696" s="31">
        <f>IFERROR(VLOOKUP(V1696,MgFrec,2,0),0)</f>
        <v/>
      </c>
      <c r="Y1696" s="30">
        <f>T1696*X1696</f>
        <v/>
      </c>
      <c r="Z1696" s="28">
        <f>IFERROR(LOOKUP(Y1696,{0;0.5;5;25},{"Bajo";"Medio";"Alto";"Crítico"}),"")</f>
        <v/>
      </c>
      <c r="AA1696" s="64">
        <f>IF(T1696&gt;=3,IF(X1696&gt;=1,"Zona 1 — Crítica: impacto alto y ocurre al menos una vez al año","Zona 4 — Catastrófica poco probable: impacto alto pero excepcional"),IF(AND(T1696&lt;1.5,X1696&lt;1),"Zona 3 — Asumible: impacto bajo y muy poco frecuente","Zona 2 — Atención: riesgo intermedio"))</f>
        <v/>
      </c>
      <c r="AB1696" s="64">
        <f>IFERROR(INDEX(MgAmenCtrl,MATCH(SUBSTITUTE($H1696,"*","-"),MgAmenClave,0)),"")</f>
        <v/>
      </c>
      <c r="AC1696" s="20" t="n"/>
      <c r="AD1696" s="31">
        <f>IFERROR($X1696*(1-IF($AC1696="",$AL1696,VLOOKUP($AC1696,MgMad,2,0))),"")</f>
        <v/>
      </c>
      <c r="AE1696" s="28">
        <f>IFERROR(LOOKUP(AD1696,{0;0.01;0.1;1;10;100},{"Muy baja";"Muy baja";"Baja";"Media";"Alta";"Muy alta"}),"")</f>
        <v/>
      </c>
      <c r="AF1696" s="30">
        <f>T1696*AD1696</f>
        <v/>
      </c>
      <c r="AG1696" s="28">
        <f>IFERROR(LOOKUP(AF1696,{0;0.5;5;25},{"Bajo";"Medio";"Alto";"Crítico"}),"")</f>
        <v/>
      </c>
      <c r="AH1696" s="28">
        <f>IF(AG1696="","",IF(OR(AG1696="Crítico",AG1696="Alto"),"Mitigar",IF(AG1696="Medio","Mitigar","Aceptar y monitorear")))</f>
        <v/>
      </c>
      <c r="AI1696" s="21" t="n"/>
      <c r="AJ1696" s="21" t="n"/>
      <c r="AK1696" s="20" t="n"/>
      <c r="AL1696" s="77">
        <f>IFERROR(INDEX(MgAmenEfic,MATCH(SUBSTITUTE($H1696,"*","-"),MgAmenClave,0)),0)</f>
        <v/>
      </c>
    </row>
    <row r="1697" hidden="1" ht="105" customHeight="1" s="54">
      <c r="B1697" s="59" t="inlineStr">
        <is>
          <t>R-1692</t>
        </is>
      </c>
      <c r="C1697" s="59" t="inlineStr">
        <is>
          <t>TEC-006</t>
        </is>
      </c>
      <c r="D1697" s="64">
        <f>IFERROR(INDEX(MgNombre,MATCH($C1697,MgActId,0)),"")</f>
        <v/>
      </c>
      <c r="E1697" s="64">
        <f>IFERROR(INDEX(MgProceso,MATCH($C1697,MgActId,0)),"")</f>
        <v/>
      </c>
      <c r="F1697" s="64">
        <f>IFERROR(INDEX(MgTipo,MATCH($C1697,MgActId,0)),"")</f>
        <v/>
      </c>
      <c r="G1697" s="64">
        <f>IFERROR(INDEX(MgSubtipo,MATCH($C1697,MgActId,0)),"")</f>
        <v/>
      </c>
      <c r="H1697" s="59" t="inlineStr">
        <is>
          <t>E.19</t>
        </is>
      </c>
      <c r="I1697" s="64">
        <f>IFERROR(INDEX(MgAmenNombre,MATCH(SUBSTITUTE($H1697,"*","-"),MgAmenClave,0)),"")</f>
        <v/>
      </c>
      <c r="J1697" s="28">
        <f>IFERROR(INDEX(MgAmenGrupo,MATCH(SUBSTITUTE($H1697,"*","-"),MgAmenClave,0)),"")</f>
        <v/>
      </c>
      <c r="K1697" s="64">
        <f>IFERROR(INDEX('1. Matriz de Activos'!$Q$6:$Q$239,MATCH($C1697,MgActId,0)),"")</f>
        <v/>
      </c>
      <c r="L1697" s="64">
        <f>IFERROR(INDEX('1. Matriz de Activos'!$R$6:$R$239,MATCH($C1697,MgActId,0)),"")</f>
        <v/>
      </c>
      <c r="M1697" s="64">
        <f>IFERROR(INDEX('1. Matriz de Activos'!$S$6:$S$239,MATCH($C1697,MgActId,0)),"")</f>
        <v/>
      </c>
      <c r="N1697" s="28">
        <f>IFERROR(INDEX(MgAmenDegD,MATCH(SUBSTITUTE($H1697,"*","-"),MgAmenClave,0)),"No aplica")</f>
        <v/>
      </c>
      <c r="O1697" s="28">
        <f>IFERROR(INDEX(MgAmenDegI,MATCH(SUBSTITUTE($H1697,"*","-"),MgAmenClave,0)),"No aplica")</f>
        <v/>
      </c>
      <c r="P1697" s="28">
        <f>IFERROR(INDEX(MgAmenDegC,MATCH(SUBSTITUTE($H1697,"*","-"),MgAmenClave,0)),"No aplica")</f>
        <v/>
      </c>
      <c r="Q1697" s="29">
        <f>IFERROR(VLOOKUP(K1697,MgValor,2,0)*VLOOKUP(N1697,MgDeg,2,0),0)</f>
        <v/>
      </c>
      <c r="R1697" s="29">
        <f>IFERROR(VLOOKUP(L1697,MgValor,2,0)*VLOOKUP(O1697,MgDeg,2,0),0)</f>
        <v/>
      </c>
      <c r="S1697" s="29">
        <f>IFERROR(VLOOKUP(M1697,MgValor,2,0)*VLOOKUP(P1697,MgDeg,2,0),0)</f>
        <v/>
      </c>
      <c r="T1697" s="30">
        <f>MAX(Q1697:S1697)</f>
        <v/>
      </c>
      <c r="U1697" s="28">
        <f>IFERROR(LOOKUP(T1697,{0;0.5;1.5;3;4.5},{"Despreciable";"Bajo";"Medio";"Alto";"Muy alto"}),"")</f>
        <v/>
      </c>
      <c r="V1697" s="13">
        <f>IFERROR(INDEX(MgAmenFrec,MATCH(SUBSTITUTE($H1697,"*","-"),MgAmenClave,0)),"")</f>
        <v/>
      </c>
      <c r="W1697" s="28">
        <f>IFERROR(LOOKUP(X1697,{0;0.01;0.1;1;10;100},{"Muy baja";"Muy baja";"Baja";"Media";"Alta";"Muy alta"}),"")</f>
        <v/>
      </c>
      <c r="X1697" s="31">
        <f>IFERROR(VLOOKUP(V1697,MgFrec,2,0),0)</f>
        <v/>
      </c>
      <c r="Y1697" s="30">
        <f>T1697*X1697</f>
        <v/>
      </c>
      <c r="Z1697" s="28">
        <f>IFERROR(LOOKUP(Y1697,{0;0.5;5;25},{"Bajo";"Medio";"Alto";"Crítico"}),"")</f>
        <v/>
      </c>
      <c r="AA1697" s="64">
        <f>IF(T1697&gt;=3,IF(X1697&gt;=1,"Zona 1 — Crítica: impacto alto y ocurre al menos una vez al año","Zona 4 — Catastrófica poco probable: impacto alto pero excepcional"),IF(AND(T1697&lt;1.5,X1697&lt;1),"Zona 3 — Asumible: impacto bajo y muy poco frecuente","Zona 2 — Atención: riesgo intermedio"))</f>
        <v/>
      </c>
      <c r="AB1697" s="64">
        <f>IFERROR(INDEX(MgAmenCtrl,MATCH(SUBSTITUTE($H1697,"*","-"),MgAmenClave,0)),"")</f>
        <v/>
      </c>
      <c r="AC1697" s="20" t="n"/>
      <c r="AD1697" s="31">
        <f>IFERROR($X1697*(1-IF($AC1697="",$AL1697,VLOOKUP($AC1697,MgMad,2,0))),"")</f>
        <v/>
      </c>
      <c r="AE1697" s="28">
        <f>IFERROR(LOOKUP(AD1697,{0;0.01;0.1;1;10;100},{"Muy baja";"Muy baja";"Baja";"Media";"Alta";"Muy alta"}),"")</f>
        <v/>
      </c>
      <c r="AF1697" s="30">
        <f>T1697*AD1697</f>
        <v/>
      </c>
      <c r="AG1697" s="28">
        <f>IFERROR(LOOKUP(AF1697,{0;0.5;5;25},{"Bajo";"Medio";"Alto";"Crítico"}),"")</f>
        <v/>
      </c>
      <c r="AH1697" s="28">
        <f>IF(AG1697="","",IF(OR(AG1697="Crítico",AG1697="Alto"),"Mitigar",IF(AG1697="Medio","Mitigar","Aceptar y monitorear")))</f>
        <v/>
      </c>
      <c r="AI1697" s="21" t="n"/>
      <c r="AJ1697" s="21" t="n"/>
      <c r="AK1697" s="20" t="n"/>
      <c r="AL1697" s="77">
        <f>IFERROR(INDEX(MgAmenEfic,MATCH(SUBSTITUTE($H1697,"*","-"),MgAmenClave,0)),0)</f>
        <v/>
      </c>
    </row>
    <row r="1698" hidden="1" ht="45" customHeight="1" s="54">
      <c r="B1698" s="59" t="inlineStr">
        <is>
          <t>R-1693</t>
        </is>
      </c>
      <c r="C1698" s="59" t="inlineStr">
        <is>
          <t>TEC-006</t>
        </is>
      </c>
      <c r="D1698" s="64">
        <f>IFERROR(INDEX(MgNombre,MATCH($C1698,MgActId,0)),"")</f>
        <v/>
      </c>
      <c r="E1698" s="64">
        <f>IFERROR(INDEX(MgProceso,MATCH($C1698,MgActId,0)),"")</f>
        <v/>
      </c>
      <c r="F1698" s="64">
        <f>IFERROR(INDEX(MgTipo,MATCH($C1698,MgActId,0)),"")</f>
        <v/>
      </c>
      <c r="G1698" s="64">
        <f>IFERROR(INDEX(MgSubtipo,MATCH($C1698,MgActId,0)),"")</f>
        <v/>
      </c>
      <c r="H1698" s="59" t="inlineStr">
        <is>
          <t>E.23</t>
        </is>
      </c>
      <c r="I1698" s="64">
        <f>IFERROR(INDEX(MgAmenNombre,MATCH(SUBSTITUTE($H1698,"*","-"),MgAmenClave,0)),"")</f>
        <v/>
      </c>
      <c r="J1698" s="28">
        <f>IFERROR(INDEX(MgAmenGrupo,MATCH(SUBSTITUTE($H1698,"*","-"),MgAmenClave,0)),"")</f>
        <v/>
      </c>
      <c r="K1698" s="64">
        <f>IFERROR(INDEX('1. Matriz de Activos'!$Q$6:$Q$239,MATCH($C1698,MgActId,0)),"")</f>
        <v/>
      </c>
      <c r="L1698" s="64">
        <f>IFERROR(INDEX('1. Matriz de Activos'!$R$6:$R$239,MATCH($C1698,MgActId,0)),"")</f>
        <v/>
      </c>
      <c r="M1698" s="64">
        <f>IFERROR(INDEX('1. Matriz de Activos'!$S$6:$S$239,MATCH($C1698,MgActId,0)),"")</f>
        <v/>
      </c>
      <c r="N1698" s="28">
        <f>IFERROR(INDEX(MgAmenDegD,MATCH(SUBSTITUTE($H1698,"*","-"),MgAmenClave,0)),"No aplica")</f>
        <v/>
      </c>
      <c r="O1698" s="28">
        <f>IFERROR(INDEX(MgAmenDegI,MATCH(SUBSTITUTE($H1698,"*","-"),MgAmenClave,0)),"No aplica")</f>
        <v/>
      </c>
      <c r="P1698" s="28">
        <f>IFERROR(INDEX(MgAmenDegC,MATCH(SUBSTITUTE($H1698,"*","-"),MgAmenClave,0)),"No aplica")</f>
        <v/>
      </c>
      <c r="Q1698" s="29">
        <f>IFERROR(VLOOKUP(K1698,MgValor,2,0)*VLOOKUP(N1698,MgDeg,2,0),0)</f>
        <v/>
      </c>
      <c r="R1698" s="29">
        <f>IFERROR(VLOOKUP(L1698,MgValor,2,0)*VLOOKUP(O1698,MgDeg,2,0),0)</f>
        <v/>
      </c>
      <c r="S1698" s="29">
        <f>IFERROR(VLOOKUP(M1698,MgValor,2,0)*VLOOKUP(P1698,MgDeg,2,0),0)</f>
        <v/>
      </c>
      <c r="T1698" s="30">
        <f>MAX(Q1698:S1698)</f>
        <v/>
      </c>
      <c r="U1698" s="28">
        <f>IFERROR(LOOKUP(T1698,{0;0.5;1.5;3;4.5},{"Despreciable";"Bajo";"Medio";"Alto";"Muy alto"}),"")</f>
        <v/>
      </c>
      <c r="V1698" s="13">
        <f>IFERROR(INDEX(MgAmenFrec,MATCH(SUBSTITUTE($H1698,"*","-"),MgAmenClave,0)),"")</f>
        <v/>
      </c>
      <c r="W1698" s="28">
        <f>IFERROR(LOOKUP(X1698,{0;0.01;0.1;1;10;100},{"Muy baja";"Muy baja";"Baja";"Media";"Alta";"Muy alta"}),"")</f>
        <v/>
      </c>
      <c r="X1698" s="31">
        <f>IFERROR(VLOOKUP(V1698,MgFrec,2,0),0)</f>
        <v/>
      </c>
      <c r="Y1698" s="30">
        <f>T1698*X1698</f>
        <v/>
      </c>
      <c r="Z1698" s="28">
        <f>IFERROR(LOOKUP(Y1698,{0;0.5;5;25},{"Bajo";"Medio";"Alto";"Crítico"}),"")</f>
        <v/>
      </c>
      <c r="AA1698" s="64">
        <f>IF(T1698&gt;=3,IF(X1698&gt;=1,"Zona 1 — Crítica: impacto alto y ocurre al menos una vez al año","Zona 4 — Catastrófica poco probable: impacto alto pero excepcional"),IF(AND(T1698&lt;1.5,X1698&lt;1),"Zona 3 — Asumible: impacto bajo y muy poco frecuente","Zona 2 — Atención: riesgo intermedio"))</f>
        <v/>
      </c>
      <c r="AB1698" s="64">
        <f>IFERROR(INDEX(MgAmenCtrl,MATCH(SUBSTITUTE($H1698,"*","-"),MgAmenClave,0)),"")</f>
        <v/>
      </c>
      <c r="AC1698" s="20" t="n"/>
      <c r="AD1698" s="31">
        <f>IFERROR($X1698*(1-IF($AC1698="",$AL1698,VLOOKUP($AC1698,MgMad,2,0))),"")</f>
        <v/>
      </c>
      <c r="AE1698" s="28">
        <f>IFERROR(LOOKUP(AD1698,{0;0.01;0.1;1;10;100},{"Muy baja";"Muy baja";"Baja";"Media";"Alta";"Muy alta"}),"")</f>
        <v/>
      </c>
      <c r="AF1698" s="30">
        <f>T1698*AD1698</f>
        <v/>
      </c>
      <c r="AG1698" s="28">
        <f>IFERROR(LOOKUP(AF1698,{0;0.5;5;25},{"Bajo";"Medio";"Alto";"Crítico"}),"")</f>
        <v/>
      </c>
      <c r="AH1698" s="28">
        <f>IF(AG1698="","",IF(OR(AG1698="Crítico",AG1698="Alto"),"Mitigar",IF(AG1698="Medio","Mitigar","Aceptar y monitorear")))</f>
        <v/>
      </c>
      <c r="AI1698" s="21" t="n"/>
      <c r="AJ1698" s="21" t="n"/>
      <c r="AK1698" s="20" t="n"/>
      <c r="AL1698" s="77">
        <f>IFERROR(INDEX(MgAmenEfic,MATCH(SUBSTITUTE($H1698,"*","-"),MgAmenClave,0)),0)</f>
        <v/>
      </c>
    </row>
    <row r="1699" hidden="1" ht="45" customHeight="1" s="54">
      <c r="B1699" s="59" t="inlineStr">
        <is>
          <t>R-1694</t>
        </is>
      </c>
      <c r="C1699" s="59" t="inlineStr">
        <is>
          <t>TEC-006</t>
        </is>
      </c>
      <c r="D1699" s="64">
        <f>IFERROR(INDEX(MgNombre,MATCH($C1699,MgActId,0)),"")</f>
        <v/>
      </c>
      <c r="E1699" s="64">
        <f>IFERROR(INDEX(MgProceso,MATCH($C1699,MgActId,0)),"")</f>
        <v/>
      </c>
      <c r="F1699" s="64">
        <f>IFERROR(INDEX(MgTipo,MATCH($C1699,MgActId,0)),"")</f>
        <v/>
      </c>
      <c r="G1699" s="64">
        <f>IFERROR(INDEX(MgSubtipo,MATCH($C1699,MgActId,0)),"")</f>
        <v/>
      </c>
      <c r="H1699" s="59" t="inlineStr">
        <is>
          <t>E.24</t>
        </is>
      </c>
      <c r="I1699" s="64">
        <f>IFERROR(INDEX(MgAmenNombre,MATCH(SUBSTITUTE($H1699,"*","-"),MgAmenClave,0)),"")</f>
        <v/>
      </c>
      <c r="J1699" s="28">
        <f>IFERROR(INDEX(MgAmenGrupo,MATCH(SUBSTITUTE($H1699,"*","-"),MgAmenClave,0)),"")</f>
        <v/>
      </c>
      <c r="K1699" s="64">
        <f>IFERROR(INDEX('1. Matriz de Activos'!$Q$6:$Q$239,MATCH($C1699,MgActId,0)),"")</f>
        <v/>
      </c>
      <c r="L1699" s="64">
        <f>IFERROR(INDEX('1. Matriz de Activos'!$R$6:$R$239,MATCH($C1699,MgActId,0)),"")</f>
        <v/>
      </c>
      <c r="M1699" s="64">
        <f>IFERROR(INDEX('1. Matriz de Activos'!$S$6:$S$239,MATCH($C1699,MgActId,0)),"")</f>
        <v/>
      </c>
      <c r="N1699" s="28">
        <f>IFERROR(INDEX(MgAmenDegD,MATCH(SUBSTITUTE($H1699,"*","-"),MgAmenClave,0)),"No aplica")</f>
        <v/>
      </c>
      <c r="O1699" s="28">
        <f>IFERROR(INDEX(MgAmenDegI,MATCH(SUBSTITUTE($H1699,"*","-"),MgAmenClave,0)),"No aplica")</f>
        <v/>
      </c>
      <c r="P1699" s="28">
        <f>IFERROR(INDEX(MgAmenDegC,MATCH(SUBSTITUTE($H1699,"*","-"),MgAmenClave,0)),"No aplica")</f>
        <v/>
      </c>
      <c r="Q1699" s="29">
        <f>IFERROR(VLOOKUP(K1699,MgValor,2,0)*VLOOKUP(N1699,MgDeg,2,0),0)</f>
        <v/>
      </c>
      <c r="R1699" s="29">
        <f>IFERROR(VLOOKUP(L1699,MgValor,2,0)*VLOOKUP(O1699,MgDeg,2,0),0)</f>
        <v/>
      </c>
      <c r="S1699" s="29">
        <f>IFERROR(VLOOKUP(M1699,MgValor,2,0)*VLOOKUP(P1699,MgDeg,2,0),0)</f>
        <v/>
      </c>
      <c r="T1699" s="30">
        <f>MAX(Q1699:S1699)</f>
        <v/>
      </c>
      <c r="U1699" s="28">
        <f>IFERROR(LOOKUP(T1699,{0;0.5;1.5;3;4.5},{"Despreciable";"Bajo";"Medio";"Alto";"Muy alto"}),"")</f>
        <v/>
      </c>
      <c r="V1699" s="13">
        <f>IFERROR(INDEX(MgAmenFrec,MATCH(SUBSTITUTE($H1699,"*","-"),MgAmenClave,0)),"")</f>
        <v/>
      </c>
      <c r="W1699" s="28">
        <f>IFERROR(LOOKUP(X1699,{0;0.01;0.1;1;10;100},{"Muy baja";"Muy baja";"Baja";"Media";"Alta";"Muy alta"}),"")</f>
        <v/>
      </c>
      <c r="X1699" s="31">
        <f>IFERROR(VLOOKUP(V1699,MgFrec,2,0),0)</f>
        <v/>
      </c>
      <c r="Y1699" s="30">
        <f>T1699*X1699</f>
        <v/>
      </c>
      <c r="Z1699" s="28">
        <f>IFERROR(LOOKUP(Y1699,{0;0.5;5;25},{"Bajo";"Medio";"Alto";"Crítico"}),"")</f>
        <v/>
      </c>
      <c r="AA1699" s="64">
        <f>IF(T1699&gt;=3,IF(X1699&gt;=1,"Zona 1 — Crítica: impacto alto y ocurre al menos una vez al año","Zona 4 — Catastrófica poco probable: impacto alto pero excepcional"),IF(AND(T1699&lt;1.5,X1699&lt;1),"Zona 3 — Asumible: impacto bajo y muy poco frecuente","Zona 2 — Atención: riesgo intermedio"))</f>
        <v/>
      </c>
      <c r="AB1699" s="64">
        <f>IFERROR(INDEX(MgAmenCtrl,MATCH(SUBSTITUTE($H1699,"*","-"),MgAmenClave,0)),"")</f>
        <v/>
      </c>
      <c r="AC1699" s="20" t="n"/>
      <c r="AD1699" s="31">
        <f>IFERROR($X1699*(1-IF($AC1699="",$AL1699,VLOOKUP($AC1699,MgMad,2,0))),"")</f>
        <v/>
      </c>
      <c r="AE1699" s="28">
        <f>IFERROR(LOOKUP(AD1699,{0;0.01;0.1;1;10;100},{"Muy baja";"Muy baja";"Baja";"Media";"Alta";"Muy alta"}),"")</f>
        <v/>
      </c>
      <c r="AF1699" s="30">
        <f>T1699*AD1699</f>
        <v/>
      </c>
      <c r="AG1699" s="28">
        <f>IFERROR(LOOKUP(AF1699,{0;0.5;5;25},{"Bajo";"Medio";"Alto";"Crítico"}),"")</f>
        <v/>
      </c>
      <c r="AH1699" s="28">
        <f>IF(AG1699="","",IF(OR(AG1699="Crítico",AG1699="Alto"),"Mitigar",IF(AG1699="Medio","Mitigar","Aceptar y monitorear")))</f>
        <v/>
      </c>
      <c r="AI1699" s="21" t="n"/>
      <c r="AJ1699" s="21" t="n"/>
      <c r="AK1699" s="20" t="n"/>
      <c r="AL1699" s="77">
        <f>IFERROR(INDEX(MgAmenEfic,MATCH(SUBSTITUTE($H1699,"*","-"),MgAmenClave,0)),0)</f>
        <v/>
      </c>
    </row>
    <row r="1700" hidden="1" ht="75" customHeight="1" s="54">
      <c r="B1700" s="59" t="inlineStr">
        <is>
          <t>R-1695</t>
        </is>
      </c>
      <c r="C1700" s="59" t="inlineStr">
        <is>
          <t>TEC-006</t>
        </is>
      </c>
      <c r="D1700" s="64">
        <f>IFERROR(INDEX(MgNombre,MATCH($C1700,MgActId,0)),"")</f>
        <v/>
      </c>
      <c r="E1700" s="64">
        <f>IFERROR(INDEX(MgProceso,MATCH($C1700,MgActId,0)),"")</f>
        <v/>
      </c>
      <c r="F1700" s="64">
        <f>IFERROR(INDEX(MgTipo,MATCH($C1700,MgActId,0)),"")</f>
        <v/>
      </c>
      <c r="G1700" s="64">
        <f>IFERROR(INDEX(MgSubtipo,MATCH($C1700,MgActId,0)),"")</f>
        <v/>
      </c>
      <c r="H1700" s="59" t="inlineStr">
        <is>
          <t>E.25</t>
        </is>
      </c>
      <c r="I1700" s="64">
        <f>IFERROR(INDEX(MgAmenNombre,MATCH(SUBSTITUTE($H1700,"*","-"),MgAmenClave,0)),"")</f>
        <v/>
      </c>
      <c r="J1700" s="28">
        <f>IFERROR(INDEX(MgAmenGrupo,MATCH(SUBSTITUTE($H1700,"*","-"),MgAmenClave,0)),"")</f>
        <v/>
      </c>
      <c r="K1700" s="64">
        <f>IFERROR(INDEX('1. Matriz de Activos'!$Q$6:$Q$239,MATCH($C1700,MgActId,0)),"")</f>
        <v/>
      </c>
      <c r="L1700" s="64">
        <f>IFERROR(INDEX('1. Matriz de Activos'!$R$6:$R$239,MATCH($C1700,MgActId,0)),"")</f>
        <v/>
      </c>
      <c r="M1700" s="64">
        <f>IFERROR(INDEX('1. Matriz de Activos'!$S$6:$S$239,MATCH($C1700,MgActId,0)),"")</f>
        <v/>
      </c>
      <c r="N1700" s="28">
        <f>IFERROR(INDEX(MgAmenDegD,MATCH(SUBSTITUTE($H1700,"*","-"),MgAmenClave,0)),"No aplica")</f>
        <v/>
      </c>
      <c r="O1700" s="28">
        <f>IFERROR(INDEX(MgAmenDegI,MATCH(SUBSTITUTE($H1700,"*","-"),MgAmenClave,0)),"No aplica")</f>
        <v/>
      </c>
      <c r="P1700" s="28">
        <f>IFERROR(INDEX(MgAmenDegC,MATCH(SUBSTITUTE($H1700,"*","-"),MgAmenClave,0)),"No aplica")</f>
        <v/>
      </c>
      <c r="Q1700" s="29">
        <f>IFERROR(VLOOKUP(K1700,MgValor,2,0)*VLOOKUP(N1700,MgDeg,2,0),0)</f>
        <v/>
      </c>
      <c r="R1700" s="29">
        <f>IFERROR(VLOOKUP(L1700,MgValor,2,0)*VLOOKUP(O1700,MgDeg,2,0),0)</f>
        <v/>
      </c>
      <c r="S1700" s="29">
        <f>IFERROR(VLOOKUP(M1700,MgValor,2,0)*VLOOKUP(P1700,MgDeg,2,0),0)</f>
        <v/>
      </c>
      <c r="T1700" s="30">
        <f>MAX(Q1700:S1700)</f>
        <v/>
      </c>
      <c r="U1700" s="28">
        <f>IFERROR(LOOKUP(T1700,{0;0.5;1.5;3;4.5},{"Despreciable";"Bajo";"Medio";"Alto";"Muy alto"}),"")</f>
        <v/>
      </c>
      <c r="V1700" s="13">
        <f>IFERROR(INDEX(MgAmenFrec,MATCH(SUBSTITUTE($H1700,"*","-"),MgAmenClave,0)),"")</f>
        <v/>
      </c>
      <c r="W1700" s="28">
        <f>IFERROR(LOOKUP(X1700,{0;0.01;0.1;1;10;100},{"Muy baja";"Muy baja";"Baja";"Media";"Alta";"Muy alta"}),"")</f>
        <v/>
      </c>
      <c r="X1700" s="31">
        <f>IFERROR(VLOOKUP(V1700,MgFrec,2,0),0)</f>
        <v/>
      </c>
      <c r="Y1700" s="30">
        <f>T1700*X1700</f>
        <v/>
      </c>
      <c r="Z1700" s="28">
        <f>IFERROR(LOOKUP(Y1700,{0;0.5;5;25},{"Bajo";"Medio";"Alto";"Crítico"}),"")</f>
        <v/>
      </c>
      <c r="AA1700" s="64">
        <f>IF(T1700&gt;=3,IF(X1700&gt;=1,"Zona 1 — Crítica: impacto alto y ocurre al menos una vez al año","Zona 4 — Catastrófica poco probable: impacto alto pero excepcional"),IF(AND(T1700&lt;1.5,X1700&lt;1),"Zona 3 — Asumible: impacto bajo y muy poco frecuente","Zona 2 — Atención: riesgo intermedio"))</f>
        <v/>
      </c>
      <c r="AB1700" s="64">
        <f>IFERROR(INDEX(MgAmenCtrl,MATCH(SUBSTITUTE($H1700,"*","-"),MgAmenClave,0)),"")</f>
        <v/>
      </c>
      <c r="AC1700" s="20" t="n"/>
      <c r="AD1700" s="31">
        <f>IFERROR($X1700*(1-IF($AC1700="",$AL1700,VLOOKUP($AC1700,MgMad,2,0))),"")</f>
        <v/>
      </c>
      <c r="AE1700" s="28">
        <f>IFERROR(LOOKUP(AD1700,{0;0.01;0.1;1;10;100},{"Muy baja";"Muy baja";"Baja";"Media";"Alta";"Muy alta"}),"")</f>
        <v/>
      </c>
      <c r="AF1700" s="30">
        <f>T1700*AD1700</f>
        <v/>
      </c>
      <c r="AG1700" s="28">
        <f>IFERROR(LOOKUP(AF1700,{0;0.5;5;25},{"Bajo";"Medio";"Alto";"Crítico"}),"")</f>
        <v/>
      </c>
      <c r="AH1700" s="28">
        <f>IF(AG1700="","",IF(OR(AG1700="Crítico",AG1700="Alto"),"Mitigar",IF(AG1700="Medio","Mitigar","Aceptar y monitorear")))</f>
        <v/>
      </c>
      <c r="AI1700" s="21" t="n"/>
      <c r="AJ1700" s="21" t="n"/>
      <c r="AK1700" s="20" t="n"/>
      <c r="AL1700" s="77">
        <f>IFERROR(INDEX(MgAmenEfic,MATCH(SUBSTITUTE($H1700,"*","-"),MgAmenClave,0)),0)</f>
        <v/>
      </c>
    </row>
    <row r="1701" hidden="1" ht="105" customHeight="1" s="54">
      <c r="B1701" s="59" t="inlineStr">
        <is>
          <t>R-1696</t>
        </is>
      </c>
      <c r="C1701" s="59" t="inlineStr">
        <is>
          <t>TEC-006</t>
        </is>
      </c>
      <c r="D1701" s="64">
        <f>IFERROR(INDEX(MgNombre,MATCH($C1701,MgActId,0)),"")</f>
        <v/>
      </c>
      <c r="E1701" s="64">
        <f>IFERROR(INDEX(MgProceso,MATCH($C1701,MgActId,0)),"")</f>
        <v/>
      </c>
      <c r="F1701" s="64">
        <f>IFERROR(INDEX(MgTipo,MATCH($C1701,MgActId,0)),"")</f>
        <v/>
      </c>
      <c r="G1701" s="64">
        <f>IFERROR(INDEX(MgSubtipo,MATCH($C1701,MgActId,0)),"")</f>
        <v/>
      </c>
      <c r="H1701" s="59" t="inlineStr">
        <is>
          <t>A.6</t>
        </is>
      </c>
      <c r="I1701" s="64">
        <f>IFERROR(INDEX(MgAmenNombre,MATCH(SUBSTITUTE($H1701,"*","-"),MgAmenClave,0)),"")</f>
        <v/>
      </c>
      <c r="J1701" s="28">
        <f>IFERROR(INDEX(MgAmenGrupo,MATCH(SUBSTITUTE($H1701,"*","-"),MgAmenClave,0)),"")</f>
        <v/>
      </c>
      <c r="K1701" s="64">
        <f>IFERROR(INDEX('1. Matriz de Activos'!$Q$6:$Q$239,MATCH($C1701,MgActId,0)),"")</f>
        <v/>
      </c>
      <c r="L1701" s="64">
        <f>IFERROR(INDEX('1. Matriz de Activos'!$R$6:$R$239,MATCH($C1701,MgActId,0)),"")</f>
        <v/>
      </c>
      <c r="M1701" s="64">
        <f>IFERROR(INDEX('1. Matriz de Activos'!$S$6:$S$239,MATCH($C1701,MgActId,0)),"")</f>
        <v/>
      </c>
      <c r="N1701" s="28">
        <f>IFERROR(INDEX(MgAmenDegD,MATCH(SUBSTITUTE($H1701,"*","-"),MgAmenClave,0)),"No aplica")</f>
        <v/>
      </c>
      <c r="O1701" s="28">
        <f>IFERROR(INDEX(MgAmenDegI,MATCH(SUBSTITUTE($H1701,"*","-"),MgAmenClave,0)),"No aplica")</f>
        <v/>
      </c>
      <c r="P1701" s="28">
        <f>IFERROR(INDEX(MgAmenDegC,MATCH(SUBSTITUTE($H1701,"*","-"),MgAmenClave,0)),"No aplica")</f>
        <v/>
      </c>
      <c r="Q1701" s="29">
        <f>IFERROR(VLOOKUP(K1701,MgValor,2,0)*VLOOKUP(N1701,MgDeg,2,0),0)</f>
        <v/>
      </c>
      <c r="R1701" s="29">
        <f>IFERROR(VLOOKUP(L1701,MgValor,2,0)*VLOOKUP(O1701,MgDeg,2,0),0)</f>
        <v/>
      </c>
      <c r="S1701" s="29">
        <f>IFERROR(VLOOKUP(M1701,MgValor,2,0)*VLOOKUP(P1701,MgDeg,2,0),0)</f>
        <v/>
      </c>
      <c r="T1701" s="30">
        <f>MAX(Q1701:S1701)</f>
        <v/>
      </c>
      <c r="U1701" s="28">
        <f>IFERROR(LOOKUP(T1701,{0;0.5;1.5;3;4.5},{"Despreciable";"Bajo";"Medio";"Alto";"Muy alto"}),"")</f>
        <v/>
      </c>
      <c r="V1701" s="13">
        <f>IFERROR(INDEX(MgAmenFrec,MATCH(SUBSTITUTE($H1701,"*","-"),MgAmenClave,0)),"")</f>
        <v/>
      </c>
      <c r="W1701" s="28">
        <f>IFERROR(LOOKUP(X1701,{0;0.01;0.1;1;10;100},{"Muy baja";"Muy baja";"Baja";"Media";"Alta";"Muy alta"}),"")</f>
        <v/>
      </c>
      <c r="X1701" s="31">
        <f>IFERROR(VLOOKUP(V1701,MgFrec,2,0),0)</f>
        <v/>
      </c>
      <c r="Y1701" s="30">
        <f>T1701*X1701</f>
        <v/>
      </c>
      <c r="Z1701" s="28">
        <f>IFERROR(LOOKUP(Y1701,{0;0.5;5;25},{"Bajo";"Medio";"Alto";"Crítico"}),"")</f>
        <v/>
      </c>
      <c r="AA1701" s="64">
        <f>IF(T1701&gt;=3,IF(X1701&gt;=1,"Zona 1 — Crítica: impacto alto y ocurre al menos una vez al año","Zona 4 — Catastrófica poco probable: impacto alto pero excepcional"),IF(AND(T1701&lt;1.5,X1701&lt;1),"Zona 3 — Asumible: impacto bajo y muy poco frecuente","Zona 2 — Atención: riesgo intermedio"))</f>
        <v/>
      </c>
      <c r="AB1701" s="64">
        <f>IFERROR(INDEX(MgAmenCtrl,MATCH(SUBSTITUTE($H1701,"*","-"),MgAmenClave,0)),"")</f>
        <v/>
      </c>
      <c r="AC1701" s="20" t="n"/>
      <c r="AD1701" s="31">
        <f>IFERROR($X1701*(1-IF($AC1701="",$AL1701,VLOOKUP($AC1701,MgMad,2,0))),"")</f>
        <v/>
      </c>
      <c r="AE1701" s="28">
        <f>IFERROR(LOOKUP(AD1701,{0;0.01;0.1;1;10;100},{"Muy baja";"Muy baja";"Baja";"Media";"Alta";"Muy alta"}),"")</f>
        <v/>
      </c>
      <c r="AF1701" s="30">
        <f>T1701*AD1701</f>
        <v/>
      </c>
      <c r="AG1701" s="28">
        <f>IFERROR(LOOKUP(AF1701,{0;0.5;5;25},{"Bajo";"Medio";"Alto";"Crítico"}),"")</f>
        <v/>
      </c>
      <c r="AH1701" s="28">
        <f>IF(AG1701="","",IF(OR(AG1701="Crítico",AG1701="Alto"),"Mitigar",IF(AG1701="Medio","Mitigar","Aceptar y monitorear")))</f>
        <v/>
      </c>
      <c r="AI1701" s="21" t="n"/>
      <c r="AJ1701" s="21" t="n"/>
      <c r="AK1701" s="20" t="n"/>
      <c r="AL1701" s="77">
        <f>IFERROR(INDEX(MgAmenEfic,MATCH(SUBSTITUTE($H1701,"*","-"),MgAmenClave,0)),0)</f>
        <v/>
      </c>
    </row>
    <row r="1702" hidden="1" ht="60" customHeight="1" s="54">
      <c r="B1702" s="59" t="inlineStr">
        <is>
          <t>R-1697</t>
        </is>
      </c>
      <c r="C1702" s="59" t="inlineStr">
        <is>
          <t>TEC-006</t>
        </is>
      </c>
      <c r="D1702" s="64">
        <f>IFERROR(INDEX(MgNombre,MATCH($C1702,MgActId,0)),"")</f>
        <v/>
      </c>
      <c r="E1702" s="64">
        <f>IFERROR(INDEX(MgProceso,MATCH($C1702,MgActId,0)),"")</f>
        <v/>
      </c>
      <c r="F1702" s="64">
        <f>IFERROR(INDEX(MgTipo,MATCH($C1702,MgActId,0)),"")</f>
        <v/>
      </c>
      <c r="G1702" s="64">
        <f>IFERROR(INDEX(MgSubtipo,MATCH($C1702,MgActId,0)),"")</f>
        <v/>
      </c>
      <c r="H1702" s="59" t="inlineStr">
        <is>
          <t>A.7</t>
        </is>
      </c>
      <c r="I1702" s="64">
        <f>IFERROR(INDEX(MgAmenNombre,MATCH(SUBSTITUTE($H1702,"*","-"),MgAmenClave,0)),"")</f>
        <v/>
      </c>
      <c r="J1702" s="28">
        <f>IFERROR(INDEX(MgAmenGrupo,MATCH(SUBSTITUTE($H1702,"*","-"),MgAmenClave,0)),"")</f>
        <v/>
      </c>
      <c r="K1702" s="64">
        <f>IFERROR(INDEX('1. Matriz de Activos'!$Q$6:$Q$239,MATCH($C1702,MgActId,0)),"")</f>
        <v/>
      </c>
      <c r="L1702" s="64">
        <f>IFERROR(INDEX('1. Matriz de Activos'!$R$6:$R$239,MATCH($C1702,MgActId,0)),"")</f>
        <v/>
      </c>
      <c r="M1702" s="64">
        <f>IFERROR(INDEX('1. Matriz de Activos'!$S$6:$S$239,MATCH($C1702,MgActId,0)),"")</f>
        <v/>
      </c>
      <c r="N1702" s="28">
        <f>IFERROR(INDEX(MgAmenDegD,MATCH(SUBSTITUTE($H1702,"*","-"),MgAmenClave,0)),"No aplica")</f>
        <v/>
      </c>
      <c r="O1702" s="28">
        <f>IFERROR(INDEX(MgAmenDegI,MATCH(SUBSTITUTE($H1702,"*","-"),MgAmenClave,0)),"No aplica")</f>
        <v/>
      </c>
      <c r="P1702" s="28">
        <f>IFERROR(INDEX(MgAmenDegC,MATCH(SUBSTITUTE($H1702,"*","-"),MgAmenClave,0)),"No aplica")</f>
        <v/>
      </c>
      <c r="Q1702" s="29">
        <f>IFERROR(VLOOKUP(K1702,MgValor,2,0)*VLOOKUP(N1702,MgDeg,2,0),0)</f>
        <v/>
      </c>
      <c r="R1702" s="29">
        <f>IFERROR(VLOOKUP(L1702,MgValor,2,0)*VLOOKUP(O1702,MgDeg,2,0),0)</f>
        <v/>
      </c>
      <c r="S1702" s="29">
        <f>IFERROR(VLOOKUP(M1702,MgValor,2,0)*VLOOKUP(P1702,MgDeg,2,0),0)</f>
        <v/>
      </c>
      <c r="T1702" s="30">
        <f>MAX(Q1702:S1702)</f>
        <v/>
      </c>
      <c r="U1702" s="28">
        <f>IFERROR(LOOKUP(T1702,{0;0.5;1.5;3;4.5},{"Despreciable";"Bajo";"Medio";"Alto";"Muy alto"}),"")</f>
        <v/>
      </c>
      <c r="V1702" s="13">
        <f>IFERROR(INDEX(MgAmenFrec,MATCH(SUBSTITUTE($H1702,"*","-"),MgAmenClave,0)),"")</f>
        <v/>
      </c>
      <c r="W1702" s="28">
        <f>IFERROR(LOOKUP(X1702,{0;0.01;0.1;1;10;100},{"Muy baja";"Muy baja";"Baja";"Media";"Alta";"Muy alta"}),"")</f>
        <v/>
      </c>
      <c r="X1702" s="31">
        <f>IFERROR(VLOOKUP(V1702,MgFrec,2,0),0)</f>
        <v/>
      </c>
      <c r="Y1702" s="30">
        <f>T1702*X1702</f>
        <v/>
      </c>
      <c r="Z1702" s="28">
        <f>IFERROR(LOOKUP(Y1702,{0;0.5;5;25},{"Bajo";"Medio";"Alto";"Crítico"}),"")</f>
        <v/>
      </c>
      <c r="AA1702" s="64">
        <f>IF(T1702&gt;=3,IF(X1702&gt;=1,"Zona 1 — Crítica: impacto alto y ocurre al menos una vez al año","Zona 4 — Catastrófica poco probable: impacto alto pero excepcional"),IF(AND(T1702&lt;1.5,X1702&lt;1),"Zona 3 — Asumible: impacto bajo y muy poco frecuente","Zona 2 — Atención: riesgo intermedio"))</f>
        <v/>
      </c>
      <c r="AB1702" s="64">
        <f>IFERROR(INDEX(MgAmenCtrl,MATCH(SUBSTITUTE($H1702,"*","-"),MgAmenClave,0)),"")</f>
        <v/>
      </c>
      <c r="AC1702" s="20" t="n"/>
      <c r="AD1702" s="31">
        <f>IFERROR($X1702*(1-IF($AC1702="",$AL1702,VLOOKUP($AC1702,MgMad,2,0))),"")</f>
        <v/>
      </c>
      <c r="AE1702" s="28">
        <f>IFERROR(LOOKUP(AD1702,{0;0.01;0.1;1;10;100},{"Muy baja";"Muy baja";"Baja";"Media";"Alta";"Muy alta"}),"")</f>
        <v/>
      </c>
      <c r="AF1702" s="30">
        <f>T1702*AD1702</f>
        <v/>
      </c>
      <c r="AG1702" s="28">
        <f>IFERROR(LOOKUP(AF1702,{0;0.5;5;25},{"Bajo";"Medio";"Alto";"Crítico"}),"")</f>
        <v/>
      </c>
      <c r="AH1702" s="28">
        <f>IF(AG1702="","",IF(OR(AG1702="Crítico",AG1702="Alto"),"Mitigar",IF(AG1702="Medio","Mitigar","Aceptar y monitorear")))</f>
        <v/>
      </c>
      <c r="AI1702" s="21" t="n"/>
      <c r="AJ1702" s="21" t="n"/>
      <c r="AK1702" s="20" t="n"/>
      <c r="AL1702" s="77">
        <f>IFERROR(INDEX(MgAmenEfic,MATCH(SUBSTITUTE($H1702,"*","-"),MgAmenClave,0)),0)</f>
        <v/>
      </c>
    </row>
    <row r="1703" hidden="1" ht="120" customHeight="1" s="54">
      <c r="B1703" s="59" t="inlineStr">
        <is>
          <t>R-1698</t>
        </is>
      </c>
      <c r="C1703" s="59" t="inlineStr">
        <is>
          <t>TEC-006</t>
        </is>
      </c>
      <c r="D1703" s="64">
        <f>IFERROR(INDEX(MgNombre,MATCH($C1703,MgActId,0)),"")</f>
        <v/>
      </c>
      <c r="E1703" s="64">
        <f>IFERROR(INDEX(MgProceso,MATCH($C1703,MgActId,0)),"")</f>
        <v/>
      </c>
      <c r="F1703" s="64">
        <f>IFERROR(INDEX(MgTipo,MATCH($C1703,MgActId,0)),"")</f>
        <v/>
      </c>
      <c r="G1703" s="64">
        <f>IFERROR(INDEX(MgSubtipo,MATCH($C1703,MgActId,0)),"")</f>
        <v/>
      </c>
      <c r="H1703" s="59" t="inlineStr">
        <is>
          <t>A.11</t>
        </is>
      </c>
      <c r="I1703" s="64">
        <f>IFERROR(INDEX(MgAmenNombre,MATCH(SUBSTITUTE($H1703,"*","-"),MgAmenClave,0)),"")</f>
        <v/>
      </c>
      <c r="J1703" s="28">
        <f>IFERROR(INDEX(MgAmenGrupo,MATCH(SUBSTITUTE($H1703,"*","-"),MgAmenClave,0)),"")</f>
        <v/>
      </c>
      <c r="K1703" s="64">
        <f>IFERROR(INDEX('1. Matriz de Activos'!$Q$6:$Q$239,MATCH($C1703,MgActId,0)),"")</f>
        <v/>
      </c>
      <c r="L1703" s="64">
        <f>IFERROR(INDEX('1. Matriz de Activos'!$R$6:$R$239,MATCH($C1703,MgActId,0)),"")</f>
        <v/>
      </c>
      <c r="M1703" s="64">
        <f>IFERROR(INDEX('1. Matriz de Activos'!$S$6:$S$239,MATCH($C1703,MgActId,0)),"")</f>
        <v/>
      </c>
      <c r="N1703" s="28">
        <f>IFERROR(INDEX(MgAmenDegD,MATCH(SUBSTITUTE($H1703,"*","-"),MgAmenClave,0)),"No aplica")</f>
        <v/>
      </c>
      <c r="O1703" s="28">
        <f>IFERROR(INDEX(MgAmenDegI,MATCH(SUBSTITUTE($H1703,"*","-"),MgAmenClave,0)),"No aplica")</f>
        <v/>
      </c>
      <c r="P1703" s="28">
        <f>IFERROR(INDEX(MgAmenDegC,MATCH(SUBSTITUTE($H1703,"*","-"),MgAmenClave,0)),"No aplica")</f>
        <v/>
      </c>
      <c r="Q1703" s="29">
        <f>IFERROR(VLOOKUP(K1703,MgValor,2,0)*VLOOKUP(N1703,MgDeg,2,0),0)</f>
        <v/>
      </c>
      <c r="R1703" s="29">
        <f>IFERROR(VLOOKUP(L1703,MgValor,2,0)*VLOOKUP(O1703,MgDeg,2,0),0)</f>
        <v/>
      </c>
      <c r="S1703" s="29">
        <f>IFERROR(VLOOKUP(M1703,MgValor,2,0)*VLOOKUP(P1703,MgDeg,2,0),0)</f>
        <v/>
      </c>
      <c r="T1703" s="30">
        <f>MAX(Q1703:S1703)</f>
        <v/>
      </c>
      <c r="U1703" s="28">
        <f>IFERROR(LOOKUP(T1703,{0;0.5;1.5;3;4.5},{"Despreciable";"Bajo";"Medio";"Alto";"Muy alto"}),"")</f>
        <v/>
      </c>
      <c r="V1703" s="13">
        <f>IFERROR(INDEX(MgAmenFrec,MATCH(SUBSTITUTE($H1703,"*","-"),MgAmenClave,0)),"")</f>
        <v/>
      </c>
      <c r="W1703" s="28">
        <f>IFERROR(LOOKUP(X1703,{0;0.01;0.1;1;10;100},{"Muy baja";"Muy baja";"Baja";"Media";"Alta";"Muy alta"}),"")</f>
        <v/>
      </c>
      <c r="X1703" s="31">
        <f>IFERROR(VLOOKUP(V1703,MgFrec,2,0),0)</f>
        <v/>
      </c>
      <c r="Y1703" s="30">
        <f>T1703*X1703</f>
        <v/>
      </c>
      <c r="Z1703" s="28">
        <f>IFERROR(LOOKUP(Y1703,{0;0.5;5;25},{"Bajo";"Medio";"Alto";"Crítico"}),"")</f>
        <v/>
      </c>
      <c r="AA1703" s="64">
        <f>IF(T1703&gt;=3,IF(X1703&gt;=1,"Zona 1 — Crítica: impacto alto y ocurre al menos una vez al año","Zona 4 — Catastrófica poco probable: impacto alto pero excepcional"),IF(AND(T1703&lt;1.5,X1703&lt;1),"Zona 3 — Asumible: impacto bajo y muy poco frecuente","Zona 2 — Atención: riesgo intermedio"))</f>
        <v/>
      </c>
      <c r="AB1703" s="64">
        <f>IFERROR(INDEX(MgAmenCtrl,MATCH(SUBSTITUTE($H1703,"*","-"),MgAmenClave,0)),"")</f>
        <v/>
      </c>
      <c r="AC1703" s="20" t="n"/>
      <c r="AD1703" s="31">
        <f>IFERROR($X1703*(1-IF($AC1703="",$AL1703,VLOOKUP($AC1703,MgMad,2,0))),"")</f>
        <v/>
      </c>
      <c r="AE1703" s="28">
        <f>IFERROR(LOOKUP(AD1703,{0;0.01;0.1;1;10;100},{"Muy baja";"Muy baja";"Baja";"Media";"Alta";"Muy alta"}),"")</f>
        <v/>
      </c>
      <c r="AF1703" s="30">
        <f>T1703*AD1703</f>
        <v/>
      </c>
      <c r="AG1703" s="28">
        <f>IFERROR(LOOKUP(AF1703,{0;0.5;5;25},{"Bajo";"Medio";"Alto";"Crítico"}),"")</f>
        <v/>
      </c>
      <c r="AH1703" s="28">
        <f>IF(AG1703="","",IF(OR(AG1703="Crítico",AG1703="Alto"),"Mitigar",IF(AG1703="Medio","Mitigar","Aceptar y monitorear")))</f>
        <v/>
      </c>
      <c r="AI1703" s="21" t="n"/>
      <c r="AJ1703" s="21" t="n"/>
      <c r="AK1703" s="20" t="n"/>
      <c r="AL1703" s="77">
        <f>IFERROR(INDEX(MgAmenEfic,MATCH(SUBSTITUTE($H1703,"*","-"),MgAmenClave,0)),0)</f>
        <v/>
      </c>
    </row>
    <row r="1704" hidden="1" ht="60" customHeight="1" s="54">
      <c r="B1704" s="59" t="inlineStr">
        <is>
          <t>R-1699</t>
        </is>
      </c>
      <c r="C1704" s="59" t="inlineStr">
        <is>
          <t>TEC-006</t>
        </is>
      </c>
      <c r="D1704" s="64">
        <f>IFERROR(INDEX(MgNombre,MATCH($C1704,MgActId,0)),"")</f>
        <v/>
      </c>
      <c r="E1704" s="64">
        <f>IFERROR(INDEX(MgProceso,MATCH($C1704,MgActId,0)),"")</f>
        <v/>
      </c>
      <c r="F1704" s="64">
        <f>IFERROR(INDEX(MgTipo,MATCH($C1704,MgActId,0)),"")</f>
        <v/>
      </c>
      <c r="G1704" s="64">
        <f>IFERROR(INDEX(MgSubtipo,MATCH($C1704,MgActId,0)),"")</f>
        <v/>
      </c>
      <c r="H1704" s="59" t="inlineStr">
        <is>
          <t>A.23</t>
        </is>
      </c>
      <c r="I1704" s="64">
        <f>IFERROR(INDEX(MgAmenNombre,MATCH(SUBSTITUTE($H1704,"*","-"),MgAmenClave,0)),"")</f>
        <v/>
      </c>
      <c r="J1704" s="28">
        <f>IFERROR(INDEX(MgAmenGrupo,MATCH(SUBSTITUTE($H1704,"*","-"),MgAmenClave,0)),"")</f>
        <v/>
      </c>
      <c r="K1704" s="64">
        <f>IFERROR(INDEX('1. Matriz de Activos'!$Q$6:$Q$239,MATCH($C1704,MgActId,0)),"")</f>
        <v/>
      </c>
      <c r="L1704" s="64">
        <f>IFERROR(INDEX('1. Matriz de Activos'!$R$6:$R$239,MATCH($C1704,MgActId,0)),"")</f>
        <v/>
      </c>
      <c r="M1704" s="64">
        <f>IFERROR(INDEX('1. Matriz de Activos'!$S$6:$S$239,MATCH($C1704,MgActId,0)),"")</f>
        <v/>
      </c>
      <c r="N1704" s="28">
        <f>IFERROR(INDEX(MgAmenDegD,MATCH(SUBSTITUTE($H1704,"*","-"),MgAmenClave,0)),"No aplica")</f>
        <v/>
      </c>
      <c r="O1704" s="28">
        <f>IFERROR(INDEX(MgAmenDegI,MATCH(SUBSTITUTE($H1704,"*","-"),MgAmenClave,0)),"No aplica")</f>
        <v/>
      </c>
      <c r="P1704" s="28">
        <f>IFERROR(INDEX(MgAmenDegC,MATCH(SUBSTITUTE($H1704,"*","-"),MgAmenClave,0)),"No aplica")</f>
        <v/>
      </c>
      <c r="Q1704" s="29">
        <f>IFERROR(VLOOKUP(K1704,MgValor,2,0)*VLOOKUP(N1704,MgDeg,2,0),0)</f>
        <v/>
      </c>
      <c r="R1704" s="29">
        <f>IFERROR(VLOOKUP(L1704,MgValor,2,0)*VLOOKUP(O1704,MgDeg,2,0),0)</f>
        <v/>
      </c>
      <c r="S1704" s="29">
        <f>IFERROR(VLOOKUP(M1704,MgValor,2,0)*VLOOKUP(P1704,MgDeg,2,0),0)</f>
        <v/>
      </c>
      <c r="T1704" s="30">
        <f>MAX(Q1704:S1704)</f>
        <v/>
      </c>
      <c r="U1704" s="28">
        <f>IFERROR(LOOKUP(T1704,{0;0.5;1.5;3;4.5},{"Despreciable";"Bajo";"Medio";"Alto";"Muy alto"}),"")</f>
        <v/>
      </c>
      <c r="V1704" s="13">
        <f>IFERROR(INDEX(MgAmenFrec,MATCH(SUBSTITUTE($H1704,"*","-"),MgAmenClave,0)),"")</f>
        <v/>
      </c>
      <c r="W1704" s="28">
        <f>IFERROR(LOOKUP(X1704,{0;0.01;0.1;1;10;100},{"Muy baja";"Muy baja";"Baja";"Media";"Alta";"Muy alta"}),"")</f>
        <v/>
      </c>
      <c r="X1704" s="31">
        <f>IFERROR(VLOOKUP(V1704,MgFrec,2,0),0)</f>
        <v/>
      </c>
      <c r="Y1704" s="30">
        <f>T1704*X1704</f>
        <v/>
      </c>
      <c r="Z1704" s="28">
        <f>IFERROR(LOOKUP(Y1704,{0;0.5;5;25},{"Bajo";"Medio";"Alto";"Crítico"}),"")</f>
        <v/>
      </c>
      <c r="AA1704" s="64">
        <f>IF(T1704&gt;=3,IF(X1704&gt;=1,"Zona 1 — Crítica: impacto alto y ocurre al menos una vez al año","Zona 4 — Catastrófica poco probable: impacto alto pero excepcional"),IF(AND(T1704&lt;1.5,X1704&lt;1),"Zona 3 — Asumible: impacto bajo y muy poco frecuente","Zona 2 — Atención: riesgo intermedio"))</f>
        <v/>
      </c>
      <c r="AB1704" s="64">
        <f>IFERROR(INDEX(MgAmenCtrl,MATCH(SUBSTITUTE($H1704,"*","-"),MgAmenClave,0)),"")</f>
        <v/>
      </c>
      <c r="AC1704" s="20" t="n"/>
      <c r="AD1704" s="31">
        <f>IFERROR($X1704*(1-IF($AC1704="",$AL1704,VLOOKUP($AC1704,MgMad,2,0))),"")</f>
        <v/>
      </c>
      <c r="AE1704" s="28">
        <f>IFERROR(LOOKUP(AD1704,{0;0.01;0.1;1;10;100},{"Muy baja";"Muy baja";"Baja";"Media";"Alta";"Muy alta"}),"")</f>
        <v/>
      </c>
      <c r="AF1704" s="30">
        <f>T1704*AD1704</f>
        <v/>
      </c>
      <c r="AG1704" s="28">
        <f>IFERROR(LOOKUP(AF1704,{0;0.5;5;25},{"Bajo";"Medio";"Alto";"Crítico"}),"")</f>
        <v/>
      </c>
      <c r="AH1704" s="28">
        <f>IF(AG1704="","",IF(OR(AG1704="Crítico",AG1704="Alto"),"Mitigar",IF(AG1704="Medio","Mitigar","Aceptar y monitorear")))</f>
        <v/>
      </c>
      <c r="AI1704" s="21" t="n"/>
      <c r="AJ1704" s="21" t="n"/>
      <c r="AK1704" s="20" t="n"/>
      <c r="AL1704" s="77">
        <f>IFERROR(INDEX(MgAmenEfic,MATCH(SUBSTITUTE($H1704,"*","-"),MgAmenClave,0)),0)</f>
        <v/>
      </c>
    </row>
    <row r="1705" hidden="1" ht="60" customHeight="1" s="54">
      <c r="B1705" s="59" t="inlineStr">
        <is>
          <t>R-1700</t>
        </is>
      </c>
      <c r="C1705" s="59" t="inlineStr">
        <is>
          <t>TEC-006</t>
        </is>
      </c>
      <c r="D1705" s="64">
        <f>IFERROR(INDEX(MgNombre,MATCH($C1705,MgActId,0)),"")</f>
        <v/>
      </c>
      <c r="E1705" s="64">
        <f>IFERROR(INDEX(MgProceso,MATCH($C1705,MgActId,0)),"")</f>
        <v/>
      </c>
      <c r="F1705" s="64">
        <f>IFERROR(INDEX(MgTipo,MATCH($C1705,MgActId,0)),"")</f>
        <v/>
      </c>
      <c r="G1705" s="64">
        <f>IFERROR(INDEX(MgSubtipo,MATCH($C1705,MgActId,0)),"")</f>
        <v/>
      </c>
      <c r="H1705" s="59" t="inlineStr">
        <is>
          <t>A.24</t>
        </is>
      </c>
      <c r="I1705" s="64">
        <f>IFERROR(INDEX(MgAmenNombre,MATCH(SUBSTITUTE($H1705,"*","-"),MgAmenClave,0)),"")</f>
        <v/>
      </c>
      <c r="J1705" s="28">
        <f>IFERROR(INDEX(MgAmenGrupo,MATCH(SUBSTITUTE($H1705,"*","-"),MgAmenClave,0)),"")</f>
        <v/>
      </c>
      <c r="K1705" s="64">
        <f>IFERROR(INDEX('1. Matriz de Activos'!$Q$6:$Q$239,MATCH($C1705,MgActId,0)),"")</f>
        <v/>
      </c>
      <c r="L1705" s="64">
        <f>IFERROR(INDEX('1. Matriz de Activos'!$R$6:$R$239,MATCH($C1705,MgActId,0)),"")</f>
        <v/>
      </c>
      <c r="M1705" s="64">
        <f>IFERROR(INDEX('1. Matriz de Activos'!$S$6:$S$239,MATCH($C1705,MgActId,0)),"")</f>
        <v/>
      </c>
      <c r="N1705" s="28">
        <f>IFERROR(INDEX(MgAmenDegD,MATCH(SUBSTITUTE($H1705,"*","-"),MgAmenClave,0)),"No aplica")</f>
        <v/>
      </c>
      <c r="O1705" s="28">
        <f>IFERROR(INDEX(MgAmenDegI,MATCH(SUBSTITUTE($H1705,"*","-"),MgAmenClave,0)),"No aplica")</f>
        <v/>
      </c>
      <c r="P1705" s="28">
        <f>IFERROR(INDEX(MgAmenDegC,MATCH(SUBSTITUTE($H1705,"*","-"),MgAmenClave,0)),"No aplica")</f>
        <v/>
      </c>
      <c r="Q1705" s="29">
        <f>IFERROR(VLOOKUP(K1705,MgValor,2,0)*VLOOKUP(N1705,MgDeg,2,0),0)</f>
        <v/>
      </c>
      <c r="R1705" s="29">
        <f>IFERROR(VLOOKUP(L1705,MgValor,2,0)*VLOOKUP(O1705,MgDeg,2,0),0)</f>
        <v/>
      </c>
      <c r="S1705" s="29">
        <f>IFERROR(VLOOKUP(M1705,MgValor,2,0)*VLOOKUP(P1705,MgDeg,2,0),0)</f>
        <v/>
      </c>
      <c r="T1705" s="30">
        <f>MAX(Q1705:S1705)</f>
        <v/>
      </c>
      <c r="U1705" s="28">
        <f>IFERROR(LOOKUP(T1705,{0;0.5;1.5;3;4.5},{"Despreciable";"Bajo";"Medio";"Alto";"Muy alto"}),"")</f>
        <v/>
      </c>
      <c r="V1705" s="13">
        <f>IFERROR(INDEX(MgAmenFrec,MATCH(SUBSTITUTE($H1705,"*","-"),MgAmenClave,0)),"")</f>
        <v/>
      </c>
      <c r="W1705" s="28">
        <f>IFERROR(LOOKUP(X1705,{0;0.01;0.1;1;10;100},{"Muy baja";"Muy baja";"Baja";"Media";"Alta";"Muy alta"}),"")</f>
        <v/>
      </c>
      <c r="X1705" s="31">
        <f>IFERROR(VLOOKUP(V1705,MgFrec,2,0),0)</f>
        <v/>
      </c>
      <c r="Y1705" s="30">
        <f>T1705*X1705</f>
        <v/>
      </c>
      <c r="Z1705" s="28">
        <f>IFERROR(LOOKUP(Y1705,{0;0.5;5;25},{"Bajo";"Medio";"Alto";"Crítico"}),"")</f>
        <v/>
      </c>
      <c r="AA1705" s="64">
        <f>IF(T1705&gt;=3,IF(X1705&gt;=1,"Zona 1 — Crítica: impacto alto y ocurre al menos una vez al año","Zona 4 — Catastrófica poco probable: impacto alto pero excepcional"),IF(AND(T1705&lt;1.5,X1705&lt;1),"Zona 3 — Asumible: impacto bajo y muy poco frecuente","Zona 2 — Atención: riesgo intermedio"))</f>
        <v/>
      </c>
      <c r="AB1705" s="64">
        <f>IFERROR(INDEX(MgAmenCtrl,MATCH(SUBSTITUTE($H1705,"*","-"),MgAmenClave,0)),"")</f>
        <v/>
      </c>
      <c r="AC1705" s="20" t="n"/>
      <c r="AD1705" s="31">
        <f>IFERROR($X1705*(1-IF($AC1705="",$AL1705,VLOOKUP($AC1705,MgMad,2,0))),"")</f>
        <v/>
      </c>
      <c r="AE1705" s="28">
        <f>IFERROR(LOOKUP(AD1705,{0;0.01;0.1;1;10;100},{"Muy baja";"Muy baja";"Baja";"Media";"Alta";"Muy alta"}),"")</f>
        <v/>
      </c>
      <c r="AF1705" s="30">
        <f>T1705*AD1705</f>
        <v/>
      </c>
      <c r="AG1705" s="28">
        <f>IFERROR(LOOKUP(AF1705,{0;0.5;5;25},{"Bajo";"Medio";"Alto";"Crítico"}),"")</f>
        <v/>
      </c>
      <c r="AH1705" s="28">
        <f>IF(AG1705="","",IF(OR(AG1705="Crítico",AG1705="Alto"),"Mitigar",IF(AG1705="Medio","Mitigar","Aceptar y monitorear")))</f>
        <v/>
      </c>
      <c r="AI1705" s="21" t="n"/>
      <c r="AJ1705" s="21" t="n"/>
      <c r="AK1705" s="20" t="n"/>
      <c r="AL1705" s="77">
        <f>IFERROR(INDEX(MgAmenEfic,MATCH(SUBSTITUTE($H1705,"*","-"),MgAmenClave,0)),0)</f>
        <v/>
      </c>
    </row>
    <row r="1706" hidden="1" ht="75" customHeight="1" s="54">
      <c r="B1706" s="59" t="inlineStr">
        <is>
          <t>R-1701</t>
        </is>
      </c>
      <c r="C1706" s="59" t="inlineStr">
        <is>
          <t>TEC-006</t>
        </is>
      </c>
      <c r="D1706" s="64">
        <f>IFERROR(INDEX(MgNombre,MATCH($C1706,MgActId,0)),"")</f>
        <v/>
      </c>
      <c r="E1706" s="64">
        <f>IFERROR(INDEX(MgProceso,MATCH($C1706,MgActId,0)),"")</f>
        <v/>
      </c>
      <c r="F1706" s="64">
        <f>IFERROR(INDEX(MgTipo,MATCH($C1706,MgActId,0)),"")</f>
        <v/>
      </c>
      <c r="G1706" s="64">
        <f>IFERROR(INDEX(MgSubtipo,MATCH($C1706,MgActId,0)),"")</f>
        <v/>
      </c>
      <c r="H1706" s="59" t="inlineStr">
        <is>
          <t>A.25</t>
        </is>
      </c>
      <c r="I1706" s="64">
        <f>IFERROR(INDEX(MgAmenNombre,MATCH(SUBSTITUTE($H1706,"*","-"),MgAmenClave,0)),"")</f>
        <v/>
      </c>
      <c r="J1706" s="28">
        <f>IFERROR(INDEX(MgAmenGrupo,MATCH(SUBSTITUTE($H1706,"*","-"),MgAmenClave,0)),"")</f>
        <v/>
      </c>
      <c r="K1706" s="64">
        <f>IFERROR(INDEX('1. Matriz de Activos'!$Q$6:$Q$239,MATCH($C1706,MgActId,0)),"")</f>
        <v/>
      </c>
      <c r="L1706" s="64">
        <f>IFERROR(INDEX('1. Matriz de Activos'!$R$6:$R$239,MATCH($C1706,MgActId,0)),"")</f>
        <v/>
      </c>
      <c r="M1706" s="64">
        <f>IFERROR(INDEX('1. Matriz de Activos'!$S$6:$S$239,MATCH($C1706,MgActId,0)),"")</f>
        <v/>
      </c>
      <c r="N1706" s="28">
        <f>IFERROR(INDEX(MgAmenDegD,MATCH(SUBSTITUTE($H1706,"*","-"),MgAmenClave,0)),"No aplica")</f>
        <v/>
      </c>
      <c r="O1706" s="28">
        <f>IFERROR(INDEX(MgAmenDegI,MATCH(SUBSTITUTE($H1706,"*","-"),MgAmenClave,0)),"No aplica")</f>
        <v/>
      </c>
      <c r="P1706" s="28">
        <f>IFERROR(INDEX(MgAmenDegC,MATCH(SUBSTITUTE($H1706,"*","-"),MgAmenClave,0)),"No aplica")</f>
        <v/>
      </c>
      <c r="Q1706" s="29">
        <f>IFERROR(VLOOKUP(K1706,MgValor,2,0)*VLOOKUP(N1706,MgDeg,2,0),0)</f>
        <v/>
      </c>
      <c r="R1706" s="29">
        <f>IFERROR(VLOOKUP(L1706,MgValor,2,0)*VLOOKUP(O1706,MgDeg,2,0),0)</f>
        <v/>
      </c>
      <c r="S1706" s="29">
        <f>IFERROR(VLOOKUP(M1706,MgValor,2,0)*VLOOKUP(P1706,MgDeg,2,0),0)</f>
        <v/>
      </c>
      <c r="T1706" s="30">
        <f>MAX(Q1706:S1706)</f>
        <v/>
      </c>
      <c r="U1706" s="28">
        <f>IFERROR(LOOKUP(T1706,{0;0.5;1.5;3;4.5},{"Despreciable";"Bajo";"Medio";"Alto";"Muy alto"}),"")</f>
        <v/>
      </c>
      <c r="V1706" s="13">
        <f>IFERROR(INDEX(MgAmenFrec,MATCH(SUBSTITUTE($H1706,"*","-"),MgAmenClave,0)),"")</f>
        <v/>
      </c>
      <c r="W1706" s="28">
        <f>IFERROR(LOOKUP(X1706,{0;0.01;0.1;1;10;100},{"Muy baja";"Muy baja";"Baja";"Media";"Alta";"Muy alta"}),"")</f>
        <v/>
      </c>
      <c r="X1706" s="31">
        <f>IFERROR(VLOOKUP(V1706,MgFrec,2,0),0)</f>
        <v/>
      </c>
      <c r="Y1706" s="30">
        <f>T1706*X1706</f>
        <v/>
      </c>
      <c r="Z1706" s="28">
        <f>IFERROR(LOOKUP(Y1706,{0;0.5;5;25},{"Bajo";"Medio";"Alto";"Crítico"}),"")</f>
        <v/>
      </c>
      <c r="AA1706" s="64">
        <f>IF(T1706&gt;=3,IF(X1706&gt;=1,"Zona 1 — Crítica: impacto alto y ocurre al menos una vez al año","Zona 4 — Catastrófica poco probable: impacto alto pero excepcional"),IF(AND(T1706&lt;1.5,X1706&lt;1),"Zona 3 — Asumible: impacto bajo y muy poco frecuente","Zona 2 — Atención: riesgo intermedio"))</f>
        <v/>
      </c>
      <c r="AB1706" s="64">
        <f>IFERROR(INDEX(MgAmenCtrl,MATCH(SUBSTITUTE($H1706,"*","-"),MgAmenClave,0)),"")</f>
        <v/>
      </c>
      <c r="AC1706" s="20" t="n"/>
      <c r="AD1706" s="31">
        <f>IFERROR($X1706*(1-IF($AC1706="",$AL1706,VLOOKUP($AC1706,MgMad,2,0))),"")</f>
        <v/>
      </c>
      <c r="AE1706" s="28">
        <f>IFERROR(LOOKUP(AD1706,{0;0.01;0.1;1;10;100},{"Muy baja";"Muy baja";"Baja";"Media";"Alta";"Muy alta"}),"")</f>
        <v/>
      </c>
      <c r="AF1706" s="30">
        <f>T1706*AD1706</f>
        <v/>
      </c>
      <c r="AG1706" s="28">
        <f>IFERROR(LOOKUP(AF1706,{0;0.5;5;25},{"Bajo";"Medio";"Alto";"Crítico"}),"")</f>
        <v/>
      </c>
      <c r="AH1706" s="28">
        <f>IF(AG1706="","",IF(OR(AG1706="Crítico",AG1706="Alto"),"Mitigar",IF(AG1706="Medio","Mitigar","Aceptar y monitorear")))</f>
        <v/>
      </c>
      <c r="AI1706" s="21" t="n"/>
      <c r="AJ1706" s="21" t="n"/>
      <c r="AK1706" s="20" t="n"/>
      <c r="AL1706" s="77">
        <f>IFERROR(INDEX(MgAmenEfic,MATCH(SUBSTITUTE($H1706,"*","-"),MgAmenClave,0)),0)</f>
        <v/>
      </c>
    </row>
    <row r="1707" hidden="1" ht="60" customHeight="1" s="54">
      <c r="B1707" s="59" t="inlineStr">
        <is>
          <t>R-1702</t>
        </is>
      </c>
      <c r="C1707" s="59" t="inlineStr">
        <is>
          <t>TEC-006</t>
        </is>
      </c>
      <c r="D1707" s="64">
        <f>IFERROR(INDEX(MgNombre,MATCH($C1707,MgActId,0)),"")</f>
        <v/>
      </c>
      <c r="E1707" s="64">
        <f>IFERROR(INDEX(MgProceso,MATCH($C1707,MgActId,0)),"")</f>
        <v/>
      </c>
      <c r="F1707" s="64">
        <f>IFERROR(INDEX(MgTipo,MATCH($C1707,MgActId,0)),"")</f>
        <v/>
      </c>
      <c r="G1707" s="64">
        <f>IFERROR(INDEX(MgSubtipo,MATCH($C1707,MgActId,0)),"")</f>
        <v/>
      </c>
      <c r="H1707" s="59" t="inlineStr">
        <is>
          <t>A.26</t>
        </is>
      </c>
      <c r="I1707" s="64">
        <f>IFERROR(INDEX(MgAmenNombre,MATCH(SUBSTITUTE($H1707,"*","-"),MgAmenClave,0)),"")</f>
        <v/>
      </c>
      <c r="J1707" s="28">
        <f>IFERROR(INDEX(MgAmenGrupo,MATCH(SUBSTITUTE($H1707,"*","-"),MgAmenClave,0)),"")</f>
        <v/>
      </c>
      <c r="K1707" s="64">
        <f>IFERROR(INDEX('1. Matriz de Activos'!$Q$6:$Q$239,MATCH($C1707,MgActId,0)),"")</f>
        <v/>
      </c>
      <c r="L1707" s="64">
        <f>IFERROR(INDEX('1. Matriz de Activos'!$R$6:$R$239,MATCH($C1707,MgActId,0)),"")</f>
        <v/>
      </c>
      <c r="M1707" s="64">
        <f>IFERROR(INDEX('1. Matriz de Activos'!$S$6:$S$239,MATCH($C1707,MgActId,0)),"")</f>
        <v/>
      </c>
      <c r="N1707" s="28">
        <f>IFERROR(INDEX(MgAmenDegD,MATCH(SUBSTITUTE($H1707,"*","-"),MgAmenClave,0)),"No aplica")</f>
        <v/>
      </c>
      <c r="O1707" s="28">
        <f>IFERROR(INDEX(MgAmenDegI,MATCH(SUBSTITUTE($H1707,"*","-"),MgAmenClave,0)),"No aplica")</f>
        <v/>
      </c>
      <c r="P1707" s="28">
        <f>IFERROR(INDEX(MgAmenDegC,MATCH(SUBSTITUTE($H1707,"*","-"),MgAmenClave,0)),"No aplica")</f>
        <v/>
      </c>
      <c r="Q1707" s="29">
        <f>IFERROR(VLOOKUP(K1707,MgValor,2,0)*VLOOKUP(N1707,MgDeg,2,0),0)</f>
        <v/>
      </c>
      <c r="R1707" s="29">
        <f>IFERROR(VLOOKUP(L1707,MgValor,2,0)*VLOOKUP(O1707,MgDeg,2,0),0)</f>
        <v/>
      </c>
      <c r="S1707" s="29">
        <f>IFERROR(VLOOKUP(M1707,MgValor,2,0)*VLOOKUP(P1707,MgDeg,2,0),0)</f>
        <v/>
      </c>
      <c r="T1707" s="30">
        <f>MAX(Q1707:S1707)</f>
        <v/>
      </c>
      <c r="U1707" s="28">
        <f>IFERROR(LOOKUP(T1707,{0;0.5;1.5;3;4.5},{"Despreciable";"Bajo";"Medio";"Alto";"Muy alto"}),"")</f>
        <v/>
      </c>
      <c r="V1707" s="13">
        <f>IFERROR(INDEX(MgAmenFrec,MATCH(SUBSTITUTE($H1707,"*","-"),MgAmenClave,0)),"")</f>
        <v/>
      </c>
      <c r="W1707" s="28">
        <f>IFERROR(LOOKUP(X1707,{0;0.01;0.1;1;10;100},{"Muy baja";"Muy baja";"Baja";"Media";"Alta";"Muy alta"}),"")</f>
        <v/>
      </c>
      <c r="X1707" s="31">
        <f>IFERROR(VLOOKUP(V1707,MgFrec,2,0),0)</f>
        <v/>
      </c>
      <c r="Y1707" s="30">
        <f>T1707*X1707</f>
        <v/>
      </c>
      <c r="Z1707" s="28">
        <f>IFERROR(LOOKUP(Y1707,{0;0.5;5;25},{"Bajo";"Medio";"Alto";"Crítico"}),"")</f>
        <v/>
      </c>
      <c r="AA1707" s="64">
        <f>IF(T1707&gt;=3,IF(X1707&gt;=1,"Zona 1 — Crítica: impacto alto y ocurre al menos una vez al año","Zona 4 — Catastrófica poco probable: impacto alto pero excepcional"),IF(AND(T1707&lt;1.5,X1707&lt;1),"Zona 3 — Asumible: impacto bajo y muy poco frecuente","Zona 2 — Atención: riesgo intermedio"))</f>
        <v/>
      </c>
      <c r="AB1707" s="64">
        <f>IFERROR(INDEX(MgAmenCtrl,MATCH(SUBSTITUTE($H1707,"*","-"),MgAmenClave,0)),"")</f>
        <v/>
      </c>
      <c r="AC1707" s="20" t="n"/>
      <c r="AD1707" s="31">
        <f>IFERROR($X1707*(1-IF($AC1707="",$AL1707,VLOOKUP($AC1707,MgMad,2,0))),"")</f>
        <v/>
      </c>
      <c r="AE1707" s="28">
        <f>IFERROR(LOOKUP(AD1707,{0;0.01;0.1;1;10;100},{"Muy baja";"Muy baja";"Baja";"Media";"Alta";"Muy alta"}),"")</f>
        <v/>
      </c>
      <c r="AF1707" s="30">
        <f>T1707*AD1707</f>
        <v/>
      </c>
      <c r="AG1707" s="28">
        <f>IFERROR(LOOKUP(AF1707,{0;0.5;5;25},{"Bajo";"Medio";"Alto";"Crítico"}),"")</f>
        <v/>
      </c>
      <c r="AH1707" s="28">
        <f>IF(AG1707="","",IF(OR(AG1707="Crítico",AG1707="Alto"),"Mitigar",IF(AG1707="Medio","Mitigar","Aceptar y monitorear")))</f>
        <v/>
      </c>
      <c r="AI1707" s="21" t="n"/>
      <c r="AJ1707" s="21" t="n"/>
      <c r="AK1707" s="20" t="n"/>
      <c r="AL1707" s="77">
        <f>IFERROR(INDEX(MgAmenEfic,MATCH(SUBSTITUTE($H1707,"*","-"),MgAmenClave,0)),0)</f>
        <v/>
      </c>
    </row>
    <row r="1708" hidden="1" ht="90" customHeight="1" s="54">
      <c r="B1708" s="59" t="inlineStr">
        <is>
          <t>R-1703</t>
        </is>
      </c>
      <c r="C1708" s="59" t="inlineStr">
        <is>
          <t>FIN-13</t>
        </is>
      </c>
      <c r="D1708" s="64">
        <f>IFERROR(INDEX(MgNombre,MATCH($C1708,MgActId,0)),"")</f>
        <v/>
      </c>
      <c r="E1708" s="64">
        <f>IFERROR(INDEX(MgProceso,MATCH($C1708,MgActId,0)),"")</f>
        <v/>
      </c>
      <c r="F1708" s="64">
        <f>IFERROR(INDEX(MgTipo,MATCH($C1708,MgActId,0)),"")</f>
        <v/>
      </c>
      <c r="G1708" s="64">
        <f>IFERROR(INDEX(MgSubtipo,MATCH($C1708,MgActId,0)),"")</f>
        <v/>
      </c>
      <c r="H1708" s="59" t="inlineStr">
        <is>
          <t>N.1</t>
        </is>
      </c>
      <c r="I1708" s="64">
        <f>IFERROR(INDEX(MgAmenNombre,MATCH(SUBSTITUTE($H1708,"*","-"),MgAmenClave,0)),"")</f>
        <v/>
      </c>
      <c r="J1708" s="28">
        <f>IFERROR(INDEX(MgAmenGrupo,MATCH(SUBSTITUTE($H1708,"*","-"),MgAmenClave,0)),"")</f>
        <v/>
      </c>
      <c r="K1708" s="64">
        <f>IFERROR(INDEX('1. Matriz de Activos'!$Q$6:$Q$239,MATCH($C1708,MgActId,0)),"")</f>
        <v/>
      </c>
      <c r="L1708" s="64">
        <f>IFERROR(INDEX('1. Matriz de Activos'!$R$6:$R$239,MATCH($C1708,MgActId,0)),"")</f>
        <v/>
      </c>
      <c r="M1708" s="64">
        <f>IFERROR(INDEX('1. Matriz de Activos'!$S$6:$S$239,MATCH($C1708,MgActId,0)),"")</f>
        <v/>
      </c>
      <c r="N1708" s="28">
        <f>IFERROR(INDEX(MgAmenDegD,MATCH(SUBSTITUTE($H1708,"*","-"),MgAmenClave,0)),"No aplica")</f>
        <v/>
      </c>
      <c r="O1708" s="28">
        <f>IFERROR(INDEX(MgAmenDegI,MATCH(SUBSTITUTE($H1708,"*","-"),MgAmenClave,0)),"No aplica")</f>
        <v/>
      </c>
      <c r="P1708" s="28">
        <f>IFERROR(INDEX(MgAmenDegC,MATCH(SUBSTITUTE($H1708,"*","-"),MgAmenClave,0)),"No aplica")</f>
        <v/>
      </c>
      <c r="Q1708" s="29">
        <f>IFERROR(VLOOKUP(K1708,MgValor,2,0)*VLOOKUP(N1708,MgDeg,2,0),0)</f>
        <v/>
      </c>
      <c r="R1708" s="29">
        <f>IFERROR(VLOOKUP(L1708,MgValor,2,0)*VLOOKUP(O1708,MgDeg,2,0),0)</f>
        <v/>
      </c>
      <c r="S1708" s="29">
        <f>IFERROR(VLOOKUP(M1708,MgValor,2,0)*VLOOKUP(P1708,MgDeg,2,0),0)</f>
        <v/>
      </c>
      <c r="T1708" s="30">
        <f>MAX(Q1708:S1708)</f>
        <v/>
      </c>
      <c r="U1708" s="28">
        <f>IFERROR(LOOKUP(T1708,{0;0.5;1.5;3;4.5},{"Despreciable";"Bajo";"Medio";"Alto";"Muy alto"}),"")</f>
        <v/>
      </c>
      <c r="V1708" s="13">
        <f>IFERROR(INDEX(MgAmenFrec,MATCH(SUBSTITUTE($H1708,"*","-"),MgAmenClave,0)),"")</f>
        <v/>
      </c>
      <c r="W1708" s="28">
        <f>IFERROR(LOOKUP(X1708,{0;0.01;0.1;1;10;100},{"Muy baja";"Muy baja";"Baja";"Media";"Alta";"Muy alta"}),"")</f>
        <v/>
      </c>
      <c r="X1708" s="31">
        <f>IFERROR(VLOOKUP(V1708,MgFrec,2,0),0)</f>
        <v/>
      </c>
      <c r="Y1708" s="30">
        <f>T1708*X1708</f>
        <v/>
      </c>
      <c r="Z1708" s="28">
        <f>IFERROR(LOOKUP(Y1708,{0;0.5;5;25},{"Bajo";"Medio";"Alto";"Crítico"}),"")</f>
        <v/>
      </c>
      <c r="AA1708" s="64">
        <f>IF(T1708&gt;=3,IF(X1708&gt;=1,"Zona 1 — Crítica: impacto alto y ocurre al menos una vez al año","Zona 4 — Catastrófica poco probable: impacto alto pero excepcional"),IF(AND(T1708&lt;1.5,X1708&lt;1),"Zona 3 — Asumible: impacto bajo y muy poco frecuente","Zona 2 — Atención: riesgo intermedio"))</f>
        <v/>
      </c>
      <c r="AB1708" s="64">
        <f>IFERROR(INDEX(MgAmenCtrl,MATCH(SUBSTITUTE($H1708,"*","-"),MgAmenClave,0)),"")</f>
        <v/>
      </c>
      <c r="AC1708" s="20" t="n"/>
      <c r="AD1708" s="31">
        <f>IFERROR($X1708*(1-IF($AC1708="",$AL1708,VLOOKUP($AC1708,MgMad,2,0))),"")</f>
        <v/>
      </c>
      <c r="AE1708" s="28">
        <f>IFERROR(LOOKUP(AD1708,{0;0.01;0.1;1;10;100},{"Muy baja";"Muy baja";"Baja";"Media";"Alta";"Muy alta"}),"")</f>
        <v/>
      </c>
      <c r="AF1708" s="30">
        <f>T1708*AD1708</f>
        <v/>
      </c>
      <c r="AG1708" s="28">
        <f>IFERROR(LOOKUP(AF1708,{0;0.5;5;25},{"Bajo";"Medio";"Alto";"Crítico"}),"")</f>
        <v/>
      </c>
      <c r="AH1708" s="28">
        <f>IF(AG1708="","",IF(OR(AG1708="Crítico",AG1708="Alto"),"Mitigar",IF(AG1708="Medio","Mitigar","Aceptar y monitorear")))</f>
        <v/>
      </c>
      <c r="AI1708" s="21" t="n"/>
      <c r="AJ1708" s="21" t="n"/>
      <c r="AK1708" s="20" t="n"/>
      <c r="AL1708" s="77">
        <f>IFERROR(INDEX(MgAmenEfic,MATCH(SUBSTITUTE($H1708,"*","-"),MgAmenClave,0)),0)</f>
        <v/>
      </c>
    </row>
    <row r="1709" hidden="1" ht="60" customHeight="1" s="54">
      <c r="B1709" s="59" t="inlineStr">
        <is>
          <t>R-1704</t>
        </is>
      </c>
      <c r="C1709" s="59" t="inlineStr">
        <is>
          <t>FIN-13</t>
        </is>
      </c>
      <c r="D1709" s="64">
        <f>IFERROR(INDEX(MgNombre,MATCH($C1709,MgActId,0)),"")</f>
        <v/>
      </c>
      <c r="E1709" s="64">
        <f>IFERROR(INDEX(MgProceso,MATCH($C1709,MgActId,0)),"")</f>
        <v/>
      </c>
      <c r="F1709" s="64">
        <f>IFERROR(INDEX(MgTipo,MATCH($C1709,MgActId,0)),"")</f>
        <v/>
      </c>
      <c r="G1709" s="64">
        <f>IFERROR(INDEX(MgSubtipo,MATCH($C1709,MgActId,0)),"")</f>
        <v/>
      </c>
      <c r="H1709" s="59" t="inlineStr">
        <is>
          <t>N.2</t>
        </is>
      </c>
      <c r="I1709" s="64">
        <f>IFERROR(INDEX(MgAmenNombre,MATCH(SUBSTITUTE($H1709,"*","-"),MgAmenClave,0)),"")</f>
        <v/>
      </c>
      <c r="J1709" s="28">
        <f>IFERROR(INDEX(MgAmenGrupo,MATCH(SUBSTITUTE($H1709,"*","-"),MgAmenClave,0)),"")</f>
        <v/>
      </c>
      <c r="K1709" s="64">
        <f>IFERROR(INDEX('1. Matriz de Activos'!$Q$6:$Q$239,MATCH($C1709,MgActId,0)),"")</f>
        <v/>
      </c>
      <c r="L1709" s="64">
        <f>IFERROR(INDEX('1. Matriz de Activos'!$R$6:$R$239,MATCH($C1709,MgActId,0)),"")</f>
        <v/>
      </c>
      <c r="M1709" s="64">
        <f>IFERROR(INDEX('1. Matriz de Activos'!$S$6:$S$239,MATCH($C1709,MgActId,0)),"")</f>
        <v/>
      </c>
      <c r="N1709" s="28">
        <f>IFERROR(INDEX(MgAmenDegD,MATCH(SUBSTITUTE($H1709,"*","-"),MgAmenClave,0)),"No aplica")</f>
        <v/>
      </c>
      <c r="O1709" s="28">
        <f>IFERROR(INDEX(MgAmenDegI,MATCH(SUBSTITUTE($H1709,"*","-"),MgAmenClave,0)),"No aplica")</f>
        <v/>
      </c>
      <c r="P1709" s="28">
        <f>IFERROR(INDEX(MgAmenDegC,MATCH(SUBSTITUTE($H1709,"*","-"),MgAmenClave,0)),"No aplica")</f>
        <v/>
      </c>
      <c r="Q1709" s="29">
        <f>IFERROR(VLOOKUP(K1709,MgValor,2,0)*VLOOKUP(N1709,MgDeg,2,0),0)</f>
        <v/>
      </c>
      <c r="R1709" s="29">
        <f>IFERROR(VLOOKUP(L1709,MgValor,2,0)*VLOOKUP(O1709,MgDeg,2,0),0)</f>
        <v/>
      </c>
      <c r="S1709" s="29">
        <f>IFERROR(VLOOKUP(M1709,MgValor,2,0)*VLOOKUP(P1709,MgDeg,2,0),0)</f>
        <v/>
      </c>
      <c r="T1709" s="30">
        <f>MAX(Q1709:S1709)</f>
        <v/>
      </c>
      <c r="U1709" s="28">
        <f>IFERROR(LOOKUP(T1709,{0;0.5;1.5;3;4.5},{"Despreciable";"Bajo";"Medio";"Alto";"Muy alto"}),"")</f>
        <v/>
      </c>
      <c r="V1709" s="13">
        <f>IFERROR(INDEX(MgAmenFrec,MATCH(SUBSTITUTE($H1709,"*","-"),MgAmenClave,0)),"")</f>
        <v/>
      </c>
      <c r="W1709" s="28">
        <f>IFERROR(LOOKUP(X1709,{0;0.01;0.1;1;10;100},{"Muy baja";"Muy baja";"Baja";"Media";"Alta";"Muy alta"}),"")</f>
        <v/>
      </c>
      <c r="X1709" s="31">
        <f>IFERROR(VLOOKUP(V1709,MgFrec,2,0),0)</f>
        <v/>
      </c>
      <c r="Y1709" s="30">
        <f>T1709*X1709</f>
        <v/>
      </c>
      <c r="Z1709" s="28">
        <f>IFERROR(LOOKUP(Y1709,{0;0.5;5;25},{"Bajo";"Medio";"Alto";"Crítico"}),"")</f>
        <v/>
      </c>
      <c r="AA1709" s="64">
        <f>IF(T1709&gt;=3,IF(X1709&gt;=1,"Zona 1 — Crítica: impacto alto y ocurre al menos una vez al año","Zona 4 — Catastrófica poco probable: impacto alto pero excepcional"),IF(AND(T1709&lt;1.5,X1709&lt;1),"Zona 3 — Asumible: impacto bajo y muy poco frecuente","Zona 2 — Atención: riesgo intermedio"))</f>
        <v/>
      </c>
      <c r="AB1709" s="64">
        <f>IFERROR(INDEX(MgAmenCtrl,MATCH(SUBSTITUTE($H1709,"*","-"),MgAmenClave,0)),"")</f>
        <v/>
      </c>
      <c r="AC1709" s="20" t="n"/>
      <c r="AD1709" s="31">
        <f>IFERROR($X1709*(1-IF($AC1709="",$AL1709,VLOOKUP($AC1709,MgMad,2,0))),"")</f>
        <v/>
      </c>
      <c r="AE1709" s="28">
        <f>IFERROR(LOOKUP(AD1709,{0;0.01;0.1;1;10;100},{"Muy baja";"Muy baja";"Baja";"Media";"Alta";"Muy alta"}),"")</f>
        <v/>
      </c>
      <c r="AF1709" s="30">
        <f>T1709*AD1709</f>
        <v/>
      </c>
      <c r="AG1709" s="28">
        <f>IFERROR(LOOKUP(AF1709,{0;0.5;5;25},{"Bajo";"Medio";"Alto";"Crítico"}),"")</f>
        <v/>
      </c>
      <c r="AH1709" s="28">
        <f>IF(AG1709="","",IF(OR(AG1709="Crítico",AG1709="Alto"),"Mitigar",IF(AG1709="Medio","Mitigar","Aceptar y monitorear")))</f>
        <v/>
      </c>
      <c r="AI1709" s="21" t="n"/>
      <c r="AJ1709" s="21" t="n"/>
      <c r="AK1709" s="20" t="n"/>
      <c r="AL1709" s="77">
        <f>IFERROR(INDEX(MgAmenEfic,MATCH(SUBSTITUTE($H1709,"*","-"),MgAmenClave,0)),0)</f>
        <v/>
      </c>
    </row>
    <row r="1710" hidden="1" ht="75" customHeight="1" s="54">
      <c r="B1710" s="59" t="inlineStr">
        <is>
          <t>R-1705</t>
        </is>
      </c>
      <c r="C1710" s="59" t="inlineStr">
        <is>
          <t>FIN-13</t>
        </is>
      </c>
      <c r="D1710" s="64">
        <f>IFERROR(INDEX(MgNombre,MATCH($C1710,MgActId,0)),"")</f>
        <v/>
      </c>
      <c r="E1710" s="64">
        <f>IFERROR(INDEX(MgProceso,MATCH($C1710,MgActId,0)),"")</f>
        <v/>
      </c>
      <c r="F1710" s="64">
        <f>IFERROR(INDEX(MgTipo,MATCH($C1710,MgActId,0)),"")</f>
        <v/>
      </c>
      <c r="G1710" s="64">
        <f>IFERROR(INDEX(MgSubtipo,MATCH($C1710,MgActId,0)),"")</f>
        <v/>
      </c>
      <c r="H1710" s="59" t="inlineStr">
        <is>
          <t>N.*</t>
        </is>
      </c>
      <c r="I1710" s="64">
        <f>IFERROR(INDEX(MgAmenNombre,MATCH(SUBSTITUTE($H1710,"*","-"),MgAmenClave,0)),"")</f>
        <v/>
      </c>
      <c r="J1710" s="28">
        <f>IFERROR(INDEX(MgAmenGrupo,MATCH(SUBSTITUTE($H1710,"*","-"),MgAmenClave,0)),"")</f>
        <v/>
      </c>
      <c r="K1710" s="64">
        <f>IFERROR(INDEX('1. Matriz de Activos'!$Q$6:$Q$239,MATCH($C1710,MgActId,0)),"")</f>
        <v/>
      </c>
      <c r="L1710" s="64">
        <f>IFERROR(INDEX('1. Matriz de Activos'!$R$6:$R$239,MATCH($C1710,MgActId,0)),"")</f>
        <v/>
      </c>
      <c r="M1710" s="64">
        <f>IFERROR(INDEX('1. Matriz de Activos'!$S$6:$S$239,MATCH($C1710,MgActId,0)),"")</f>
        <v/>
      </c>
      <c r="N1710" s="28">
        <f>IFERROR(INDEX(MgAmenDegD,MATCH(SUBSTITUTE($H1710,"*","-"),MgAmenClave,0)),"No aplica")</f>
        <v/>
      </c>
      <c r="O1710" s="28">
        <f>IFERROR(INDEX(MgAmenDegI,MATCH(SUBSTITUTE($H1710,"*","-"),MgAmenClave,0)),"No aplica")</f>
        <v/>
      </c>
      <c r="P1710" s="28">
        <f>IFERROR(INDEX(MgAmenDegC,MATCH(SUBSTITUTE($H1710,"*","-"),MgAmenClave,0)),"No aplica")</f>
        <v/>
      </c>
      <c r="Q1710" s="29">
        <f>IFERROR(VLOOKUP(K1710,MgValor,2,0)*VLOOKUP(N1710,MgDeg,2,0),0)</f>
        <v/>
      </c>
      <c r="R1710" s="29">
        <f>IFERROR(VLOOKUP(L1710,MgValor,2,0)*VLOOKUP(O1710,MgDeg,2,0),0)</f>
        <v/>
      </c>
      <c r="S1710" s="29">
        <f>IFERROR(VLOOKUP(M1710,MgValor,2,0)*VLOOKUP(P1710,MgDeg,2,0),0)</f>
        <v/>
      </c>
      <c r="T1710" s="30">
        <f>MAX(Q1710:S1710)</f>
        <v/>
      </c>
      <c r="U1710" s="28">
        <f>IFERROR(LOOKUP(T1710,{0;0.5;1.5;3;4.5},{"Despreciable";"Bajo";"Medio";"Alto";"Muy alto"}),"")</f>
        <v/>
      </c>
      <c r="V1710" s="13">
        <f>IFERROR(INDEX(MgAmenFrec,MATCH(SUBSTITUTE($H1710,"*","-"),MgAmenClave,0)),"")</f>
        <v/>
      </c>
      <c r="W1710" s="28">
        <f>IFERROR(LOOKUP(X1710,{0;0.01;0.1;1;10;100},{"Muy baja";"Muy baja";"Baja";"Media";"Alta";"Muy alta"}),"")</f>
        <v/>
      </c>
      <c r="X1710" s="31">
        <f>IFERROR(VLOOKUP(V1710,MgFrec,2,0),0)</f>
        <v/>
      </c>
      <c r="Y1710" s="30">
        <f>T1710*X1710</f>
        <v/>
      </c>
      <c r="Z1710" s="28">
        <f>IFERROR(LOOKUP(Y1710,{0;0.5;5;25},{"Bajo";"Medio";"Alto";"Crítico"}),"")</f>
        <v/>
      </c>
      <c r="AA1710" s="64">
        <f>IF(T1710&gt;=3,IF(X1710&gt;=1,"Zona 1 — Crítica: impacto alto y ocurre al menos una vez al año","Zona 4 — Catastrófica poco probable: impacto alto pero excepcional"),IF(AND(T1710&lt;1.5,X1710&lt;1),"Zona 3 — Asumible: impacto bajo y muy poco frecuente","Zona 2 — Atención: riesgo intermedio"))</f>
        <v/>
      </c>
      <c r="AB1710" s="64">
        <f>IFERROR(INDEX(MgAmenCtrl,MATCH(SUBSTITUTE($H1710,"*","-"),MgAmenClave,0)),"")</f>
        <v/>
      </c>
      <c r="AC1710" s="20" t="n"/>
      <c r="AD1710" s="31">
        <f>IFERROR($X1710*(1-IF($AC1710="",$AL1710,VLOOKUP($AC1710,MgMad,2,0))),"")</f>
        <v/>
      </c>
      <c r="AE1710" s="28">
        <f>IFERROR(LOOKUP(AD1710,{0;0.01;0.1;1;10;100},{"Muy baja";"Muy baja";"Baja";"Media";"Alta";"Muy alta"}),"")</f>
        <v/>
      </c>
      <c r="AF1710" s="30">
        <f>T1710*AD1710</f>
        <v/>
      </c>
      <c r="AG1710" s="28">
        <f>IFERROR(LOOKUP(AF1710,{0;0.5;5;25},{"Bajo";"Medio";"Alto";"Crítico"}),"")</f>
        <v/>
      </c>
      <c r="AH1710" s="28">
        <f>IF(AG1710="","",IF(OR(AG1710="Crítico",AG1710="Alto"),"Mitigar",IF(AG1710="Medio","Mitigar","Aceptar y monitorear")))</f>
        <v/>
      </c>
      <c r="AI1710" s="21" t="n"/>
      <c r="AJ1710" s="21" t="n"/>
      <c r="AK1710" s="20" t="n"/>
      <c r="AL1710" s="77">
        <f>IFERROR(INDEX(MgAmenEfic,MATCH(SUBSTITUTE($H1710,"*","-"),MgAmenClave,0)),0)</f>
        <v/>
      </c>
    </row>
    <row r="1711" hidden="1" ht="75" customHeight="1" s="54">
      <c r="B1711" s="59" t="inlineStr">
        <is>
          <t>R-1706</t>
        </is>
      </c>
      <c r="C1711" s="59" t="inlineStr">
        <is>
          <t>FIN-13</t>
        </is>
      </c>
      <c r="D1711" s="64">
        <f>IFERROR(INDEX(MgNombre,MATCH($C1711,MgActId,0)),"")</f>
        <v/>
      </c>
      <c r="E1711" s="64">
        <f>IFERROR(INDEX(MgProceso,MATCH($C1711,MgActId,0)),"")</f>
        <v/>
      </c>
      <c r="F1711" s="64">
        <f>IFERROR(INDEX(MgTipo,MATCH($C1711,MgActId,0)),"")</f>
        <v/>
      </c>
      <c r="G1711" s="64">
        <f>IFERROR(INDEX(MgSubtipo,MATCH($C1711,MgActId,0)),"")</f>
        <v/>
      </c>
      <c r="H1711" s="59" t="inlineStr">
        <is>
          <t>I.1</t>
        </is>
      </c>
      <c r="I1711" s="64">
        <f>IFERROR(INDEX(MgAmenNombre,MATCH(SUBSTITUTE($H1711,"*","-"),MgAmenClave,0)),"")</f>
        <v/>
      </c>
      <c r="J1711" s="28">
        <f>IFERROR(INDEX(MgAmenGrupo,MATCH(SUBSTITUTE($H1711,"*","-"),MgAmenClave,0)),"")</f>
        <v/>
      </c>
      <c r="K1711" s="64">
        <f>IFERROR(INDEX('1. Matriz de Activos'!$Q$6:$Q$239,MATCH($C1711,MgActId,0)),"")</f>
        <v/>
      </c>
      <c r="L1711" s="64">
        <f>IFERROR(INDEX('1. Matriz de Activos'!$R$6:$R$239,MATCH($C1711,MgActId,0)),"")</f>
        <v/>
      </c>
      <c r="M1711" s="64">
        <f>IFERROR(INDEX('1. Matriz de Activos'!$S$6:$S$239,MATCH($C1711,MgActId,0)),"")</f>
        <v/>
      </c>
      <c r="N1711" s="28">
        <f>IFERROR(INDEX(MgAmenDegD,MATCH(SUBSTITUTE($H1711,"*","-"),MgAmenClave,0)),"No aplica")</f>
        <v/>
      </c>
      <c r="O1711" s="28">
        <f>IFERROR(INDEX(MgAmenDegI,MATCH(SUBSTITUTE($H1711,"*","-"),MgAmenClave,0)),"No aplica")</f>
        <v/>
      </c>
      <c r="P1711" s="28">
        <f>IFERROR(INDEX(MgAmenDegC,MATCH(SUBSTITUTE($H1711,"*","-"),MgAmenClave,0)),"No aplica")</f>
        <v/>
      </c>
      <c r="Q1711" s="29">
        <f>IFERROR(VLOOKUP(K1711,MgValor,2,0)*VLOOKUP(N1711,MgDeg,2,0),0)</f>
        <v/>
      </c>
      <c r="R1711" s="29">
        <f>IFERROR(VLOOKUP(L1711,MgValor,2,0)*VLOOKUP(O1711,MgDeg,2,0),0)</f>
        <v/>
      </c>
      <c r="S1711" s="29">
        <f>IFERROR(VLOOKUP(M1711,MgValor,2,0)*VLOOKUP(P1711,MgDeg,2,0),0)</f>
        <v/>
      </c>
      <c r="T1711" s="30">
        <f>MAX(Q1711:S1711)</f>
        <v/>
      </c>
      <c r="U1711" s="28">
        <f>IFERROR(LOOKUP(T1711,{0;0.5;1.5;3;4.5},{"Despreciable";"Bajo";"Medio";"Alto";"Muy alto"}),"")</f>
        <v/>
      </c>
      <c r="V1711" s="13">
        <f>IFERROR(INDEX(MgAmenFrec,MATCH(SUBSTITUTE($H1711,"*","-"),MgAmenClave,0)),"")</f>
        <v/>
      </c>
      <c r="W1711" s="28">
        <f>IFERROR(LOOKUP(X1711,{0;0.01;0.1;1;10;100},{"Muy baja";"Muy baja";"Baja";"Media";"Alta";"Muy alta"}),"")</f>
        <v/>
      </c>
      <c r="X1711" s="31">
        <f>IFERROR(VLOOKUP(V1711,MgFrec,2,0),0)</f>
        <v/>
      </c>
      <c r="Y1711" s="30">
        <f>T1711*X1711</f>
        <v/>
      </c>
      <c r="Z1711" s="28">
        <f>IFERROR(LOOKUP(Y1711,{0;0.5;5;25},{"Bajo";"Medio";"Alto";"Crítico"}),"")</f>
        <v/>
      </c>
      <c r="AA1711" s="64">
        <f>IF(T1711&gt;=3,IF(X1711&gt;=1,"Zona 1 — Crítica: impacto alto y ocurre al menos una vez al año","Zona 4 — Catastrófica poco probable: impacto alto pero excepcional"),IF(AND(T1711&lt;1.5,X1711&lt;1),"Zona 3 — Asumible: impacto bajo y muy poco frecuente","Zona 2 — Atención: riesgo intermedio"))</f>
        <v/>
      </c>
      <c r="AB1711" s="64">
        <f>IFERROR(INDEX(MgAmenCtrl,MATCH(SUBSTITUTE($H1711,"*","-"),MgAmenClave,0)),"")</f>
        <v/>
      </c>
      <c r="AC1711" s="20" t="n"/>
      <c r="AD1711" s="31">
        <f>IFERROR($X1711*(1-IF($AC1711="",$AL1711,VLOOKUP($AC1711,MgMad,2,0))),"")</f>
        <v/>
      </c>
      <c r="AE1711" s="28">
        <f>IFERROR(LOOKUP(AD1711,{0;0.01;0.1;1;10;100},{"Muy baja";"Muy baja";"Baja";"Media";"Alta";"Muy alta"}),"")</f>
        <v/>
      </c>
      <c r="AF1711" s="30">
        <f>T1711*AD1711</f>
        <v/>
      </c>
      <c r="AG1711" s="28">
        <f>IFERROR(LOOKUP(AF1711,{0;0.5;5;25},{"Bajo";"Medio";"Alto";"Crítico"}),"")</f>
        <v/>
      </c>
      <c r="AH1711" s="28">
        <f>IF(AG1711="","",IF(OR(AG1711="Crítico",AG1711="Alto"),"Mitigar",IF(AG1711="Medio","Mitigar","Aceptar y monitorear")))</f>
        <v/>
      </c>
      <c r="AI1711" s="21" t="n"/>
      <c r="AJ1711" s="21" t="n"/>
      <c r="AK1711" s="20" t="n"/>
      <c r="AL1711" s="77">
        <f>IFERROR(INDEX(MgAmenEfic,MATCH(SUBSTITUTE($H1711,"*","-"),MgAmenClave,0)),0)</f>
        <v/>
      </c>
    </row>
    <row r="1712" hidden="1" ht="45" customHeight="1" s="54">
      <c r="B1712" s="59" t="inlineStr">
        <is>
          <t>R-1707</t>
        </is>
      </c>
      <c r="C1712" s="59" t="inlineStr">
        <is>
          <t>FIN-13</t>
        </is>
      </c>
      <c r="D1712" s="64">
        <f>IFERROR(INDEX(MgNombre,MATCH($C1712,MgActId,0)),"")</f>
        <v/>
      </c>
      <c r="E1712" s="64">
        <f>IFERROR(INDEX(MgProceso,MATCH($C1712,MgActId,0)),"")</f>
        <v/>
      </c>
      <c r="F1712" s="64">
        <f>IFERROR(INDEX(MgTipo,MATCH($C1712,MgActId,0)),"")</f>
        <v/>
      </c>
      <c r="G1712" s="64">
        <f>IFERROR(INDEX(MgSubtipo,MATCH($C1712,MgActId,0)),"")</f>
        <v/>
      </c>
      <c r="H1712" s="59" t="inlineStr">
        <is>
          <t>I.2</t>
        </is>
      </c>
      <c r="I1712" s="64">
        <f>IFERROR(INDEX(MgAmenNombre,MATCH(SUBSTITUTE($H1712,"*","-"),MgAmenClave,0)),"")</f>
        <v/>
      </c>
      <c r="J1712" s="28">
        <f>IFERROR(INDEX(MgAmenGrupo,MATCH(SUBSTITUTE($H1712,"*","-"),MgAmenClave,0)),"")</f>
        <v/>
      </c>
      <c r="K1712" s="64">
        <f>IFERROR(INDEX('1. Matriz de Activos'!$Q$6:$Q$239,MATCH($C1712,MgActId,0)),"")</f>
        <v/>
      </c>
      <c r="L1712" s="64">
        <f>IFERROR(INDEX('1. Matriz de Activos'!$R$6:$R$239,MATCH($C1712,MgActId,0)),"")</f>
        <v/>
      </c>
      <c r="M1712" s="64">
        <f>IFERROR(INDEX('1. Matriz de Activos'!$S$6:$S$239,MATCH($C1712,MgActId,0)),"")</f>
        <v/>
      </c>
      <c r="N1712" s="28">
        <f>IFERROR(INDEX(MgAmenDegD,MATCH(SUBSTITUTE($H1712,"*","-"),MgAmenClave,0)),"No aplica")</f>
        <v/>
      </c>
      <c r="O1712" s="28">
        <f>IFERROR(INDEX(MgAmenDegI,MATCH(SUBSTITUTE($H1712,"*","-"),MgAmenClave,0)),"No aplica")</f>
        <v/>
      </c>
      <c r="P1712" s="28">
        <f>IFERROR(INDEX(MgAmenDegC,MATCH(SUBSTITUTE($H1712,"*","-"),MgAmenClave,0)),"No aplica")</f>
        <v/>
      </c>
      <c r="Q1712" s="29">
        <f>IFERROR(VLOOKUP(K1712,MgValor,2,0)*VLOOKUP(N1712,MgDeg,2,0),0)</f>
        <v/>
      </c>
      <c r="R1712" s="29">
        <f>IFERROR(VLOOKUP(L1712,MgValor,2,0)*VLOOKUP(O1712,MgDeg,2,0),0)</f>
        <v/>
      </c>
      <c r="S1712" s="29">
        <f>IFERROR(VLOOKUP(M1712,MgValor,2,0)*VLOOKUP(P1712,MgDeg,2,0),0)</f>
        <v/>
      </c>
      <c r="T1712" s="30">
        <f>MAX(Q1712:S1712)</f>
        <v/>
      </c>
      <c r="U1712" s="28">
        <f>IFERROR(LOOKUP(T1712,{0;0.5;1.5;3;4.5},{"Despreciable";"Bajo";"Medio";"Alto";"Muy alto"}),"")</f>
        <v/>
      </c>
      <c r="V1712" s="13">
        <f>IFERROR(INDEX(MgAmenFrec,MATCH(SUBSTITUTE($H1712,"*","-"),MgAmenClave,0)),"")</f>
        <v/>
      </c>
      <c r="W1712" s="28">
        <f>IFERROR(LOOKUP(X1712,{0;0.01;0.1;1;10;100},{"Muy baja";"Muy baja";"Baja";"Media";"Alta";"Muy alta"}),"")</f>
        <v/>
      </c>
      <c r="X1712" s="31">
        <f>IFERROR(VLOOKUP(V1712,MgFrec,2,0),0)</f>
        <v/>
      </c>
      <c r="Y1712" s="30">
        <f>T1712*X1712</f>
        <v/>
      </c>
      <c r="Z1712" s="28">
        <f>IFERROR(LOOKUP(Y1712,{0;0.5;5;25},{"Bajo";"Medio";"Alto";"Crítico"}),"")</f>
        <v/>
      </c>
      <c r="AA1712" s="64">
        <f>IF(T1712&gt;=3,IF(X1712&gt;=1,"Zona 1 — Crítica: impacto alto y ocurre al menos una vez al año","Zona 4 — Catastrófica poco probable: impacto alto pero excepcional"),IF(AND(T1712&lt;1.5,X1712&lt;1),"Zona 3 — Asumible: impacto bajo y muy poco frecuente","Zona 2 — Atención: riesgo intermedio"))</f>
        <v/>
      </c>
      <c r="AB1712" s="64">
        <f>IFERROR(INDEX(MgAmenCtrl,MATCH(SUBSTITUTE($H1712,"*","-"),MgAmenClave,0)),"")</f>
        <v/>
      </c>
      <c r="AC1712" s="20" t="n"/>
      <c r="AD1712" s="31">
        <f>IFERROR($X1712*(1-IF($AC1712="",$AL1712,VLOOKUP($AC1712,MgMad,2,0))),"")</f>
        <v/>
      </c>
      <c r="AE1712" s="28">
        <f>IFERROR(LOOKUP(AD1712,{0;0.01;0.1;1;10;100},{"Muy baja";"Muy baja";"Baja";"Media";"Alta";"Muy alta"}),"")</f>
        <v/>
      </c>
      <c r="AF1712" s="30">
        <f>T1712*AD1712</f>
        <v/>
      </c>
      <c r="AG1712" s="28">
        <f>IFERROR(LOOKUP(AF1712,{0;0.5;5;25},{"Bajo";"Medio";"Alto";"Crítico"}),"")</f>
        <v/>
      </c>
      <c r="AH1712" s="28">
        <f>IF(AG1712="","",IF(OR(AG1712="Crítico",AG1712="Alto"),"Mitigar",IF(AG1712="Medio","Mitigar","Aceptar y monitorear")))</f>
        <v/>
      </c>
      <c r="AI1712" s="21" t="n"/>
      <c r="AJ1712" s="21" t="n"/>
      <c r="AK1712" s="20" t="n"/>
      <c r="AL1712" s="77">
        <f>IFERROR(INDEX(MgAmenEfic,MATCH(SUBSTITUTE($H1712,"*","-"),MgAmenClave,0)),0)</f>
        <v/>
      </c>
    </row>
    <row r="1713" hidden="1" ht="60" customHeight="1" s="54">
      <c r="B1713" s="59" t="inlineStr">
        <is>
          <t>R-1708</t>
        </is>
      </c>
      <c r="C1713" s="59" t="inlineStr">
        <is>
          <t>FIN-13</t>
        </is>
      </c>
      <c r="D1713" s="64">
        <f>IFERROR(INDEX(MgNombre,MATCH($C1713,MgActId,0)),"")</f>
        <v/>
      </c>
      <c r="E1713" s="64">
        <f>IFERROR(INDEX(MgProceso,MATCH($C1713,MgActId,0)),"")</f>
        <v/>
      </c>
      <c r="F1713" s="64">
        <f>IFERROR(INDEX(MgTipo,MATCH($C1713,MgActId,0)),"")</f>
        <v/>
      </c>
      <c r="G1713" s="64">
        <f>IFERROR(INDEX(MgSubtipo,MATCH($C1713,MgActId,0)),"")</f>
        <v/>
      </c>
      <c r="H1713" s="59" t="inlineStr">
        <is>
          <t>I.*</t>
        </is>
      </c>
      <c r="I1713" s="64">
        <f>IFERROR(INDEX(MgAmenNombre,MATCH(SUBSTITUTE($H1713,"*","-"),MgAmenClave,0)),"")</f>
        <v/>
      </c>
      <c r="J1713" s="28">
        <f>IFERROR(INDEX(MgAmenGrupo,MATCH(SUBSTITUTE($H1713,"*","-"),MgAmenClave,0)),"")</f>
        <v/>
      </c>
      <c r="K1713" s="64">
        <f>IFERROR(INDEX('1. Matriz de Activos'!$Q$6:$Q$239,MATCH($C1713,MgActId,0)),"")</f>
        <v/>
      </c>
      <c r="L1713" s="64">
        <f>IFERROR(INDEX('1. Matriz de Activos'!$R$6:$R$239,MATCH($C1713,MgActId,0)),"")</f>
        <v/>
      </c>
      <c r="M1713" s="64">
        <f>IFERROR(INDEX('1. Matriz de Activos'!$S$6:$S$239,MATCH($C1713,MgActId,0)),"")</f>
        <v/>
      </c>
      <c r="N1713" s="28">
        <f>IFERROR(INDEX(MgAmenDegD,MATCH(SUBSTITUTE($H1713,"*","-"),MgAmenClave,0)),"No aplica")</f>
        <v/>
      </c>
      <c r="O1713" s="28">
        <f>IFERROR(INDEX(MgAmenDegI,MATCH(SUBSTITUTE($H1713,"*","-"),MgAmenClave,0)),"No aplica")</f>
        <v/>
      </c>
      <c r="P1713" s="28">
        <f>IFERROR(INDEX(MgAmenDegC,MATCH(SUBSTITUTE($H1713,"*","-"),MgAmenClave,0)),"No aplica")</f>
        <v/>
      </c>
      <c r="Q1713" s="29">
        <f>IFERROR(VLOOKUP(K1713,MgValor,2,0)*VLOOKUP(N1713,MgDeg,2,0),0)</f>
        <v/>
      </c>
      <c r="R1713" s="29">
        <f>IFERROR(VLOOKUP(L1713,MgValor,2,0)*VLOOKUP(O1713,MgDeg,2,0),0)</f>
        <v/>
      </c>
      <c r="S1713" s="29">
        <f>IFERROR(VLOOKUP(M1713,MgValor,2,0)*VLOOKUP(P1713,MgDeg,2,0),0)</f>
        <v/>
      </c>
      <c r="T1713" s="30">
        <f>MAX(Q1713:S1713)</f>
        <v/>
      </c>
      <c r="U1713" s="28">
        <f>IFERROR(LOOKUP(T1713,{0;0.5;1.5;3;4.5},{"Despreciable";"Bajo";"Medio";"Alto";"Muy alto"}),"")</f>
        <v/>
      </c>
      <c r="V1713" s="13">
        <f>IFERROR(INDEX(MgAmenFrec,MATCH(SUBSTITUTE($H1713,"*","-"),MgAmenClave,0)),"")</f>
        <v/>
      </c>
      <c r="W1713" s="28">
        <f>IFERROR(LOOKUP(X1713,{0;0.01;0.1;1;10;100},{"Muy baja";"Muy baja";"Baja";"Media";"Alta";"Muy alta"}),"")</f>
        <v/>
      </c>
      <c r="X1713" s="31">
        <f>IFERROR(VLOOKUP(V1713,MgFrec,2,0),0)</f>
        <v/>
      </c>
      <c r="Y1713" s="30">
        <f>T1713*X1713</f>
        <v/>
      </c>
      <c r="Z1713" s="28">
        <f>IFERROR(LOOKUP(Y1713,{0;0.5;5;25},{"Bajo";"Medio";"Alto";"Crítico"}),"")</f>
        <v/>
      </c>
      <c r="AA1713" s="64">
        <f>IF(T1713&gt;=3,IF(X1713&gt;=1,"Zona 1 — Crítica: impacto alto y ocurre al menos una vez al año","Zona 4 — Catastrófica poco probable: impacto alto pero excepcional"),IF(AND(T1713&lt;1.5,X1713&lt;1),"Zona 3 — Asumible: impacto bajo y muy poco frecuente","Zona 2 — Atención: riesgo intermedio"))</f>
        <v/>
      </c>
      <c r="AB1713" s="64">
        <f>IFERROR(INDEX(MgAmenCtrl,MATCH(SUBSTITUTE($H1713,"*","-"),MgAmenClave,0)),"")</f>
        <v/>
      </c>
      <c r="AC1713" s="20" t="n"/>
      <c r="AD1713" s="31">
        <f>IFERROR($X1713*(1-IF($AC1713="",$AL1713,VLOOKUP($AC1713,MgMad,2,0))),"")</f>
        <v/>
      </c>
      <c r="AE1713" s="28">
        <f>IFERROR(LOOKUP(AD1713,{0;0.01;0.1;1;10;100},{"Muy baja";"Muy baja";"Baja";"Media";"Alta";"Muy alta"}),"")</f>
        <v/>
      </c>
      <c r="AF1713" s="30">
        <f>T1713*AD1713</f>
        <v/>
      </c>
      <c r="AG1713" s="28">
        <f>IFERROR(LOOKUP(AF1713,{0;0.5;5;25},{"Bajo";"Medio";"Alto";"Crítico"}),"")</f>
        <v/>
      </c>
      <c r="AH1713" s="28">
        <f>IF(AG1713="","",IF(OR(AG1713="Crítico",AG1713="Alto"),"Mitigar",IF(AG1713="Medio","Mitigar","Aceptar y monitorear")))</f>
        <v/>
      </c>
      <c r="AI1713" s="21" t="n"/>
      <c r="AJ1713" s="21" t="n"/>
      <c r="AK1713" s="20" t="n"/>
      <c r="AL1713" s="77">
        <f>IFERROR(INDEX(MgAmenEfic,MATCH(SUBSTITUTE($H1713,"*","-"),MgAmenClave,0)),0)</f>
        <v/>
      </c>
    </row>
    <row r="1714" hidden="1" ht="45" customHeight="1" s="54">
      <c r="B1714" s="59" t="inlineStr">
        <is>
          <t>R-1709</t>
        </is>
      </c>
      <c r="C1714" s="59" t="inlineStr">
        <is>
          <t>FIN-13</t>
        </is>
      </c>
      <c r="D1714" s="64">
        <f>IFERROR(INDEX(MgNombre,MATCH($C1714,MgActId,0)),"")</f>
        <v/>
      </c>
      <c r="E1714" s="64">
        <f>IFERROR(INDEX(MgProceso,MATCH($C1714,MgActId,0)),"")</f>
        <v/>
      </c>
      <c r="F1714" s="64">
        <f>IFERROR(INDEX(MgTipo,MATCH($C1714,MgActId,0)),"")</f>
        <v/>
      </c>
      <c r="G1714" s="64">
        <f>IFERROR(INDEX(MgSubtipo,MATCH($C1714,MgActId,0)),"")</f>
        <v/>
      </c>
      <c r="H1714" s="59" t="inlineStr">
        <is>
          <t>I.3</t>
        </is>
      </c>
      <c r="I1714" s="64">
        <f>IFERROR(INDEX(MgAmenNombre,MATCH(SUBSTITUTE($H1714,"*","-"),MgAmenClave,0)),"")</f>
        <v/>
      </c>
      <c r="J1714" s="28">
        <f>IFERROR(INDEX(MgAmenGrupo,MATCH(SUBSTITUTE($H1714,"*","-"),MgAmenClave,0)),"")</f>
        <v/>
      </c>
      <c r="K1714" s="64">
        <f>IFERROR(INDEX('1. Matriz de Activos'!$Q$6:$Q$239,MATCH($C1714,MgActId,0)),"")</f>
        <v/>
      </c>
      <c r="L1714" s="64">
        <f>IFERROR(INDEX('1. Matriz de Activos'!$R$6:$R$239,MATCH($C1714,MgActId,0)),"")</f>
        <v/>
      </c>
      <c r="M1714" s="64">
        <f>IFERROR(INDEX('1. Matriz de Activos'!$S$6:$S$239,MATCH($C1714,MgActId,0)),"")</f>
        <v/>
      </c>
      <c r="N1714" s="28">
        <f>IFERROR(INDEX(MgAmenDegD,MATCH(SUBSTITUTE($H1714,"*","-"),MgAmenClave,0)),"No aplica")</f>
        <v/>
      </c>
      <c r="O1714" s="28">
        <f>IFERROR(INDEX(MgAmenDegI,MATCH(SUBSTITUTE($H1714,"*","-"),MgAmenClave,0)),"No aplica")</f>
        <v/>
      </c>
      <c r="P1714" s="28">
        <f>IFERROR(INDEX(MgAmenDegC,MATCH(SUBSTITUTE($H1714,"*","-"),MgAmenClave,0)),"No aplica")</f>
        <v/>
      </c>
      <c r="Q1714" s="29">
        <f>IFERROR(VLOOKUP(K1714,MgValor,2,0)*VLOOKUP(N1714,MgDeg,2,0),0)</f>
        <v/>
      </c>
      <c r="R1714" s="29">
        <f>IFERROR(VLOOKUP(L1714,MgValor,2,0)*VLOOKUP(O1714,MgDeg,2,0),0)</f>
        <v/>
      </c>
      <c r="S1714" s="29">
        <f>IFERROR(VLOOKUP(M1714,MgValor,2,0)*VLOOKUP(P1714,MgDeg,2,0),0)</f>
        <v/>
      </c>
      <c r="T1714" s="30">
        <f>MAX(Q1714:S1714)</f>
        <v/>
      </c>
      <c r="U1714" s="28">
        <f>IFERROR(LOOKUP(T1714,{0;0.5;1.5;3;4.5},{"Despreciable";"Bajo";"Medio";"Alto";"Muy alto"}),"")</f>
        <v/>
      </c>
      <c r="V1714" s="13">
        <f>IFERROR(INDEX(MgAmenFrec,MATCH(SUBSTITUTE($H1714,"*","-"),MgAmenClave,0)),"")</f>
        <v/>
      </c>
      <c r="W1714" s="28">
        <f>IFERROR(LOOKUP(X1714,{0;0.01;0.1;1;10;100},{"Muy baja";"Muy baja";"Baja";"Media";"Alta";"Muy alta"}),"")</f>
        <v/>
      </c>
      <c r="X1714" s="31">
        <f>IFERROR(VLOOKUP(V1714,MgFrec,2,0),0)</f>
        <v/>
      </c>
      <c r="Y1714" s="30">
        <f>T1714*X1714</f>
        <v/>
      </c>
      <c r="Z1714" s="28">
        <f>IFERROR(LOOKUP(Y1714,{0;0.5;5;25},{"Bajo";"Medio";"Alto";"Crítico"}),"")</f>
        <v/>
      </c>
      <c r="AA1714" s="64">
        <f>IF(T1714&gt;=3,IF(X1714&gt;=1,"Zona 1 — Crítica: impacto alto y ocurre al menos una vez al año","Zona 4 — Catastrófica poco probable: impacto alto pero excepcional"),IF(AND(T1714&lt;1.5,X1714&lt;1),"Zona 3 — Asumible: impacto bajo y muy poco frecuente","Zona 2 — Atención: riesgo intermedio"))</f>
        <v/>
      </c>
      <c r="AB1714" s="64">
        <f>IFERROR(INDEX(MgAmenCtrl,MATCH(SUBSTITUTE($H1714,"*","-"),MgAmenClave,0)),"")</f>
        <v/>
      </c>
      <c r="AC1714" s="20" t="n"/>
      <c r="AD1714" s="31">
        <f>IFERROR($X1714*(1-IF($AC1714="",$AL1714,VLOOKUP($AC1714,MgMad,2,0))),"")</f>
        <v/>
      </c>
      <c r="AE1714" s="28">
        <f>IFERROR(LOOKUP(AD1714,{0;0.01;0.1;1;10;100},{"Muy baja";"Muy baja";"Baja";"Media";"Alta";"Muy alta"}),"")</f>
        <v/>
      </c>
      <c r="AF1714" s="30">
        <f>T1714*AD1714</f>
        <v/>
      </c>
      <c r="AG1714" s="28">
        <f>IFERROR(LOOKUP(AF1714,{0;0.5;5;25},{"Bajo";"Medio";"Alto";"Crítico"}),"")</f>
        <v/>
      </c>
      <c r="AH1714" s="28">
        <f>IF(AG1714="","",IF(OR(AG1714="Crítico",AG1714="Alto"),"Mitigar",IF(AG1714="Medio","Mitigar","Aceptar y monitorear")))</f>
        <v/>
      </c>
      <c r="AI1714" s="21" t="n"/>
      <c r="AJ1714" s="21" t="n"/>
      <c r="AK1714" s="20" t="n"/>
      <c r="AL1714" s="77">
        <f>IFERROR(INDEX(MgAmenEfic,MATCH(SUBSTITUTE($H1714,"*","-"),MgAmenClave,0)),0)</f>
        <v/>
      </c>
    </row>
    <row r="1715" hidden="1" ht="45" customHeight="1" s="54">
      <c r="B1715" s="59" t="inlineStr">
        <is>
          <t>R-1710</t>
        </is>
      </c>
      <c r="C1715" s="59" t="inlineStr">
        <is>
          <t>FIN-13</t>
        </is>
      </c>
      <c r="D1715" s="64">
        <f>IFERROR(INDEX(MgNombre,MATCH($C1715,MgActId,0)),"")</f>
        <v/>
      </c>
      <c r="E1715" s="64">
        <f>IFERROR(INDEX(MgProceso,MATCH($C1715,MgActId,0)),"")</f>
        <v/>
      </c>
      <c r="F1715" s="64">
        <f>IFERROR(INDEX(MgTipo,MATCH($C1715,MgActId,0)),"")</f>
        <v/>
      </c>
      <c r="G1715" s="64">
        <f>IFERROR(INDEX(MgSubtipo,MATCH($C1715,MgActId,0)),"")</f>
        <v/>
      </c>
      <c r="H1715" s="59" t="inlineStr">
        <is>
          <t>I.4</t>
        </is>
      </c>
      <c r="I1715" s="64">
        <f>IFERROR(INDEX(MgAmenNombre,MATCH(SUBSTITUTE($H1715,"*","-"),MgAmenClave,0)),"")</f>
        <v/>
      </c>
      <c r="J1715" s="28">
        <f>IFERROR(INDEX(MgAmenGrupo,MATCH(SUBSTITUTE($H1715,"*","-"),MgAmenClave,0)),"")</f>
        <v/>
      </c>
      <c r="K1715" s="64">
        <f>IFERROR(INDEX('1. Matriz de Activos'!$Q$6:$Q$239,MATCH($C1715,MgActId,0)),"")</f>
        <v/>
      </c>
      <c r="L1715" s="64">
        <f>IFERROR(INDEX('1. Matriz de Activos'!$R$6:$R$239,MATCH($C1715,MgActId,0)),"")</f>
        <v/>
      </c>
      <c r="M1715" s="64">
        <f>IFERROR(INDEX('1. Matriz de Activos'!$S$6:$S$239,MATCH($C1715,MgActId,0)),"")</f>
        <v/>
      </c>
      <c r="N1715" s="28">
        <f>IFERROR(INDEX(MgAmenDegD,MATCH(SUBSTITUTE($H1715,"*","-"),MgAmenClave,0)),"No aplica")</f>
        <v/>
      </c>
      <c r="O1715" s="28">
        <f>IFERROR(INDEX(MgAmenDegI,MATCH(SUBSTITUTE($H1715,"*","-"),MgAmenClave,0)),"No aplica")</f>
        <v/>
      </c>
      <c r="P1715" s="28">
        <f>IFERROR(INDEX(MgAmenDegC,MATCH(SUBSTITUTE($H1715,"*","-"),MgAmenClave,0)),"No aplica")</f>
        <v/>
      </c>
      <c r="Q1715" s="29">
        <f>IFERROR(VLOOKUP(K1715,MgValor,2,0)*VLOOKUP(N1715,MgDeg,2,0),0)</f>
        <v/>
      </c>
      <c r="R1715" s="29">
        <f>IFERROR(VLOOKUP(L1715,MgValor,2,0)*VLOOKUP(O1715,MgDeg,2,0),0)</f>
        <v/>
      </c>
      <c r="S1715" s="29">
        <f>IFERROR(VLOOKUP(M1715,MgValor,2,0)*VLOOKUP(P1715,MgDeg,2,0),0)</f>
        <v/>
      </c>
      <c r="T1715" s="30">
        <f>MAX(Q1715:S1715)</f>
        <v/>
      </c>
      <c r="U1715" s="28">
        <f>IFERROR(LOOKUP(T1715,{0;0.5;1.5;3;4.5},{"Despreciable";"Bajo";"Medio";"Alto";"Muy alto"}),"")</f>
        <v/>
      </c>
      <c r="V1715" s="13">
        <f>IFERROR(INDEX(MgAmenFrec,MATCH(SUBSTITUTE($H1715,"*","-"),MgAmenClave,0)),"")</f>
        <v/>
      </c>
      <c r="W1715" s="28">
        <f>IFERROR(LOOKUP(X1715,{0;0.01;0.1;1;10;100},{"Muy baja";"Muy baja";"Baja";"Media";"Alta";"Muy alta"}),"")</f>
        <v/>
      </c>
      <c r="X1715" s="31">
        <f>IFERROR(VLOOKUP(V1715,MgFrec,2,0),0)</f>
        <v/>
      </c>
      <c r="Y1715" s="30">
        <f>T1715*X1715</f>
        <v/>
      </c>
      <c r="Z1715" s="28">
        <f>IFERROR(LOOKUP(Y1715,{0;0.5;5;25},{"Bajo";"Medio";"Alto";"Crítico"}),"")</f>
        <v/>
      </c>
      <c r="AA1715" s="64">
        <f>IF(T1715&gt;=3,IF(X1715&gt;=1,"Zona 1 — Crítica: impacto alto y ocurre al menos una vez al año","Zona 4 — Catastrófica poco probable: impacto alto pero excepcional"),IF(AND(T1715&lt;1.5,X1715&lt;1),"Zona 3 — Asumible: impacto bajo y muy poco frecuente","Zona 2 — Atención: riesgo intermedio"))</f>
        <v/>
      </c>
      <c r="AB1715" s="64">
        <f>IFERROR(INDEX(MgAmenCtrl,MATCH(SUBSTITUTE($H1715,"*","-"),MgAmenClave,0)),"")</f>
        <v/>
      </c>
      <c r="AC1715" s="20" t="n"/>
      <c r="AD1715" s="31">
        <f>IFERROR($X1715*(1-IF($AC1715="",$AL1715,VLOOKUP($AC1715,MgMad,2,0))),"")</f>
        <v/>
      </c>
      <c r="AE1715" s="28">
        <f>IFERROR(LOOKUP(AD1715,{0;0.01;0.1;1;10;100},{"Muy baja";"Muy baja";"Baja";"Media";"Alta";"Muy alta"}),"")</f>
        <v/>
      </c>
      <c r="AF1715" s="30">
        <f>T1715*AD1715</f>
        <v/>
      </c>
      <c r="AG1715" s="28">
        <f>IFERROR(LOOKUP(AF1715,{0;0.5;5;25},{"Bajo";"Medio";"Alto";"Crítico"}),"")</f>
        <v/>
      </c>
      <c r="AH1715" s="28">
        <f>IF(AG1715="","",IF(OR(AG1715="Crítico",AG1715="Alto"),"Mitigar",IF(AG1715="Medio","Mitigar","Aceptar y monitorear")))</f>
        <v/>
      </c>
      <c r="AI1715" s="21" t="n"/>
      <c r="AJ1715" s="21" t="n"/>
      <c r="AK1715" s="20" t="n"/>
      <c r="AL1715" s="77">
        <f>IFERROR(INDEX(MgAmenEfic,MATCH(SUBSTITUTE($H1715,"*","-"),MgAmenClave,0)),0)</f>
        <v/>
      </c>
    </row>
    <row r="1716" hidden="1" ht="75" customHeight="1" s="54">
      <c r="B1716" s="59" t="inlineStr">
        <is>
          <t>R-1711</t>
        </is>
      </c>
      <c r="C1716" s="59" t="inlineStr">
        <is>
          <t>FIN-13</t>
        </is>
      </c>
      <c r="D1716" s="64">
        <f>IFERROR(INDEX(MgNombre,MATCH($C1716,MgActId,0)),"")</f>
        <v/>
      </c>
      <c r="E1716" s="64">
        <f>IFERROR(INDEX(MgProceso,MATCH($C1716,MgActId,0)),"")</f>
        <v/>
      </c>
      <c r="F1716" s="64">
        <f>IFERROR(INDEX(MgTipo,MATCH($C1716,MgActId,0)),"")</f>
        <v/>
      </c>
      <c r="G1716" s="64">
        <f>IFERROR(INDEX(MgSubtipo,MATCH($C1716,MgActId,0)),"")</f>
        <v/>
      </c>
      <c r="H1716" s="59" t="inlineStr">
        <is>
          <t>I.5</t>
        </is>
      </c>
      <c r="I1716" s="64">
        <f>IFERROR(INDEX(MgAmenNombre,MATCH(SUBSTITUTE($H1716,"*","-"),MgAmenClave,0)),"")</f>
        <v/>
      </c>
      <c r="J1716" s="28">
        <f>IFERROR(INDEX(MgAmenGrupo,MATCH(SUBSTITUTE($H1716,"*","-"),MgAmenClave,0)),"")</f>
        <v/>
      </c>
      <c r="K1716" s="64">
        <f>IFERROR(INDEX('1. Matriz de Activos'!$Q$6:$Q$239,MATCH($C1716,MgActId,0)),"")</f>
        <v/>
      </c>
      <c r="L1716" s="64">
        <f>IFERROR(INDEX('1. Matriz de Activos'!$R$6:$R$239,MATCH($C1716,MgActId,0)),"")</f>
        <v/>
      </c>
      <c r="M1716" s="64">
        <f>IFERROR(INDEX('1. Matriz de Activos'!$S$6:$S$239,MATCH($C1716,MgActId,0)),"")</f>
        <v/>
      </c>
      <c r="N1716" s="28">
        <f>IFERROR(INDEX(MgAmenDegD,MATCH(SUBSTITUTE($H1716,"*","-"),MgAmenClave,0)),"No aplica")</f>
        <v/>
      </c>
      <c r="O1716" s="28">
        <f>IFERROR(INDEX(MgAmenDegI,MATCH(SUBSTITUTE($H1716,"*","-"),MgAmenClave,0)),"No aplica")</f>
        <v/>
      </c>
      <c r="P1716" s="28">
        <f>IFERROR(INDEX(MgAmenDegC,MATCH(SUBSTITUTE($H1716,"*","-"),MgAmenClave,0)),"No aplica")</f>
        <v/>
      </c>
      <c r="Q1716" s="29">
        <f>IFERROR(VLOOKUP(K1716,MgValor,2,0)*VLOOKUP(N1716,MgDeg,2,0),0)</f>
        <v/>
      </c>
      <c r="R1716" s="29">
        <f>IFERROR(VLOOKUP(L1716,MgValor,2,0)*VLOOKUP(O1716,MgDeg,2,0),0)</f>
        <v/>
      </c>
      <c r="S1716" s="29">
        <f>IFERROR(VLOOKUP(M1716,MgValor,2,0)*VLOOKUP(P1716,MgDeg,2,0),0)</f>
        <v/>
      </c>
      <c r="T1716" s="30">
        <f>MAX(Q1716:S1716)</f>
        <v/>
      </c>
      <c r="U1716" s="28">
        <f>IFERROR(LOOKUP(T1716,{0;0.5;1.5;3;4.5},{"Despreciable";"Bajo";"Medio";"Alto";"Muy alto"}),"")</f>
        <v/>
      </c>
      <c r="V1716" s="13">
        <f>IFERROR(INDEX(MgAmenFrec,MATCH(SUBSTITUTE($H1716,"*","-"),MgAmenClave,0)),"")</f>
        <v/>
      </c>
      <c r="W1716" s="28">
        <f>IFERROR(LOOKUP(X1716,{0;0.01;0.1;1;10;100},{"Muy baja";"Muy baja";"Baja";"Media";"Alta";"Muy alta"}),"")</f>
        <v/>
      </c>
      <c r="X1716" s="31">
        <f>IFERROR(VLOOKUP(V1716,MgFrec,2,0),0)</f>
        <v/>
      </c>
      <c r="Y1716" s="30">
        <f>T1716*X1716</f>
        <v/>
      </c>
      <c r="Z1716" s="28">
        <f>IFERROR(LOOKUP(Y1716,{0;0.5;5;25},{"Bajo";"Medio";"Alto";"Crítico"}),"")</f>
        <v/>
      </c>
      <c r="AA1716" s="64">
        <f>IF(T1716&gt;=3,IF(X1716&gt;=1,"Zona 1 — Crítica: impacto alto y ocurre al menos una vez al año","Zona 4 — Catastrófica poco probable: impacto alto pero excepcional"),IF(AND(T1716&lt;1.5,X1716&lt;1),"Zona 3 — Asumible: impacto bajo y muy poco frecuente","Zona 2 — Atención: riesgo intermedio"))</f>
        <v/>
      </c>
      <c r="AB1716" s="64">
        <f>IFERROR(INDEX(MgAmenCtrl,MATCH(SUBSTITUTE($H1716,"*","-"),MgAmenClave,0)),"")</f>
        <v/>
      </c>
      <c r="AC1716" s="20" t="n"/>
      <c r="AD1716" s="31">
        <f>IFERROR($X1716*(1-IF($AC1716="",$AL1716,VLOOKUP($AC1716,MgMad,2,0))),"")</f>
        <v/>
      </c>
      <c r="AE1716" s="28">
        <f>IFERROR(LOOKUP(AD1716,{0;0.01;0.1;1;10;100},{"Muy baja";"Muy baja";"Baja";"Media";"Alta";"Muy alta"}),"")</f>
        <v/>
      </c>
      <c r="AF1716" s="30">
        <f>T1716*AD1716</f>
        <v/>
      </c>
      <c r="AG1716" s="28">
        <f>IFERROR(LOOKUP(AF1716,{0;0.5;5;25},{"Bajo";"Medio";"Alto";"Crítico"}),"")</f>
        <v/>
      </c>
      <c r="AH1716" s="28">
        <f>IF(AG1716="","",IF(OR(AG1716="Crítico",AG1716="Alto"),"Mitigar",IF(AG1716="Medio","Mitigar","Aceptar y monitorear")))</f>
        <v/>
      </c>
      <c r="AI1716" s="21" t="n"/>
      <c r="AJ1716" s="21" t="n"/>
      <c r="AK1716" s="20" t="n"/>
      <c r="AL1716" s="77">
        <f>IFERROR(INDEX(MgAmenEfic,MATCH(SUBSTITUTE($H1716,"*","-"),MgAmenClave,0)),0)</f>
        <v/>
      </c>
    </row>
    <row r="1717" hidden="1" ht="60" customHeight="1" s="54">
      <c r="B1717" s="59" t="inlineStr">
        <is>
          <t>R-1712</t>
        </is>
      </c>
      <c r="C1717" s="59" t="inlineStr">
        <is>
          <t>FIN-13</t>
        </is>
      </c>
      <c r="D1717" s="64">
        <f>IFERROR(INDEX(MgNombre,MATCH($C1717,MgActId,0)),"")</f>
        <v/>
      </c>
      <c r="E1717" s="64">
        <f>IFERROR(INDEX(MgProceso,MATCH($C1717,MgActId,0)),"")</f>
        <v/>
      </c>
      <c r="F1717" s="64">
        <f>IFERROR(INDEX(MgTipo,MATCH($C1717,MgActId,0)),"")</f>
        <v/>
      </c>
      <c r="G1717" s="64">
        <f>IFERROR(INDEX(MgSubtipo,MATCH($C1717,MgActId,0)),"")</f>
        <v/>
      </c>
      <c r="H1717" s="59" t="inlineStr">
        <is>
          <t>I.6</t>
        </is>
      </c>
      <c r="I1717" s="64">
        <f>IFERROR(INDEX(MgAmenNombre,MATCH(SUBSTITUTE($H1717,"*","-"),MgAmenClave,0)),"")</f>
        <v/>
      </c>
      <c r="J1717" s="28">
        <f>IFERROR(INDEX(MgAmenGrupo,MATCH(SUBSTITUTE($H1717,"*","-"),MgAmenClave,0)),"")</f>
        <v/>
      </c>
      <c r="K1717" s="64">
        <f>IFERROR(INDEX('1. Matriz de Activos'!$Q$6:$Q$239,MATCH($C1717,MgActId,0)),"")</f>
        <v/>
      </c>
      <c r="L1717" s="64">
        <f>IFERROR(INDEX('1. Matriz de Activos'!$R$6:$R$239,MATCH($C1717,MgActId,0)),"")</f>
        <v/>
      </c>
      <c r="M1717" s="64">
        <f>IFERROR(INDEX('1. Matriz de Activos'!$S$6:$S$239,MATCH($C1717,MgActId,0)),"")</f>
        <v/>
      </c>
      <c r="N1717" s="28">
        <f>IFERROR(INDEX(MgAmenDegD,MATCH(SUBSTITUTE($H1717,"*","-"),MgAmenClave,0)),"No aplica")</f>
        <v/>
      </c>
      <c r="O1717" s="28">
        <f>IFERROR(INDEX(MgAmenDegI,MATCH(SUBSTITUTE($H1717,"*","-"),MgAmenClave,0)),"No aplica")</f>
        <v/>
      </c>
      <c r="P1717" s="28">
        <f>IFERROR(INDEX(MgAmenDegC,MATCH(SUBSTITUTE($H1717,"*","-"),MgAmenClave,0)),"No aplica")</f>
        <v/>
      </c>
      <c r="Q1717" s="29">
        <f>IFERROR(VLOOKUP(K1717,MgValor,2,0)*VLOOKUP(N1717,MgDeg,2,0),0)</f>
        <v/>
      </c>
      <c r="R1717" s="29">
        <f>IFERROR(VLOOKUP(L1717,MgValor,2,0)*VLOOKUP(O1717,MgDeg,2,0),0)</f>
        <v/>
      </c>
      <c r="S1717" s="29">
        <f>IFERROR(VLOOKUP(M1717,MgValor,2,0)*VLOOKUP(P1717,MgDeg,2,0),0)</f>
        <v/>
      </c>
      <c r="T1717" s="30">
        <f>MAX(Q1717:S1717)</f>
        <v/>
      </c>
      <c r="U1717" s="28">
        <f>IFERROR(LOOKUP(T1717,{0;0.5;1.5;3;4.5},{"Despreciable";"Bajo";"Medio";"Alto";"Muy alto"}),"")</f>
        <v/>
      </c>
      <c r="V1717" s="13">
        <f>IFERROR(INDEX(MgAmenFrec,MATCH(SUBSTITUTE($H1717,"*","-"),MgAmenClave,0)),"")</f>
        <v/>
      </c>
      <c r="W1717" s="28">
        <f>IFERROR(LOOKUP(X1717,{0;0.01;0.1;1;10;100},{"Muy baja";"Muy baja";"Baja";"Media";"Alta";"Muy alta"}),"")</f>
        <v/>
      </c>
      <c r="X1717" s="31">
        <f>IFERROR(VLOOKUP(V1717,MgFrec,2,0),0)</f>
        <v/>
      </c>
      <c r="Y1717" s="30">
        <f>T1717*X1717</f>
        <v/>
      </c>
      <c r="Z1717" s="28">
        <f>IFERROR(LOOKUP(Y1717,{0;0.5;5;25},{"Bajo";"Medio";"Alto";"Crítico"}),"")</f>
        <v/>
      </c>
      <c r="AA1717" s="64">
        <f>IF(T1717&gt;=3,IF(X1717&gt;=1,"Zona 1 — Crítica: impacto alto y ocurre al menos una vez al año","Zona 4 — Catastrófica poco probable: impacto alto pero excepcional"),IF(AND(T1717&lt;1.5,X1717&lt;1),"Zona 3 — Asumible: impacto bajo y muy poco frecuente","Zona 2 — Atención: riesgo intermedio"))</f>
        <v/>
      </c>
      <c r="AB1717" s="64">
        <f>IFERROR(INDEX(MgAmenCtrl,MATCH(SUBSTITUTE($H1717,"*","-"),MgAmenClave,0)),"")</f>
        <v/>
      </c>
      <c r="AC1717" s="20" t="n"/>
      <c r="AD1717" s="31">
        <f>IFERROR($X1717*(1-IF($AC1717="",$AL1717,VLOOKUP($AC1717,MgMad,2,0))),"")</f>
        <v/>
      </c>
      <c r="AE1717" s="28">
        <f>IFERROR(LOOKUP(AD1717,{0;0.01;0.1;1;10;100},{"Muy baja";"Muy baja";"Baja";"Media";"Alta";"Muy alta"}),"")</f>
        <v/>
      </c>
      <c r="AF1717" s="30">
        <f>T1717*AD1717</f>
        <v/>
      </c>
      <c r="AG1717" s="28">
        <f>IFERROR(LOOKUP(AF1717,{0;0.5;5;25},{"Bajo";"Medio";"Alto";"Crítico"}),"")</f>
        <v/>
      </c>
      <c r="AH1717" s="28">
        <f>IF(AG1717="","",IF(OR(AG1717="Crítico",AG1717="Alto"),"Mitigar",IF(AG1717="Medio","Mitigar","Aceptar y monitorear")))</f>
        <v/>
      </c>
      <c r="AI1717" s="21" t="n"/>
      <c r="AJ1717" s="21" t="n"/>
      <c r="AK1717" s="20" t="n"/>
      <c r="AL1717" s="77">
        <f>IFERROR(INDEX(MgAmenEfic,MATCH(SUBSTITUTE($H1717,"*","-"),MgAmenClave,0)),0)</f>
        <v/>
      </c>
    </row>
    <row r="1718" hidden="1" ht="45" customHeight="1" s="54">
      <c r="B1718" s="59" t="inlineStr">
        <is>
          <t>R-1713</t>
        </is>
      </c>
      <c r="C1718" s="59" t="inlineStr">
        <is>
          <t>FIN-13</t>
        </is>
      </c>
      <c r="D1718" s="64">
        <f>IFERROR(INDEX(MgNombre,MATCH($C1718,MgActId,0)),"")</f>
        <v/>
      </c>
      <c r="E1718" s="64">
        <f>IFERROR(INDEX(MgProceso,MATCH($C1718,MgActId,0)),"")</f>
        <v/>
      </c>
      <c r="F1718" s="64">
        <f>IFERROR(INDEX(MgTipo,MATCH($C1718,MgActId,0)),"")</f>
        <v/>
      </c>
      <c r="G1718" s="64">
        <f>IFERROR(INDEX(MgSubtipo,MATCH($C1718,MgActId,0)),"")</f>
        <v/>
      </c>
      <c r="H1718" s="59" t="inlineStr">
        <is>
          <t>I.7</t>
        </is>
      </c>
      <c r="I1718" s="64">
        <f>IFERROR(INDEX(MgAmenNombre,MATCH(SUBSTITUTE($H1718,"*","-"),MgAmenClave,0)),"")</f>
        <v/>
      </c>
      <c r="J1718" s="28">
        <f>IFERROR(INDEX(MgAmenGrupo,MATCH(SUBSTITUTE($H1718,"*","-"),MgAmenClave,0)),"")</f>
        <v/>
      </c>
      <c r="K1718" s="64">
        <f>IFERROR(INDEX('1. Matriz de Activos'!$Q$6:$Q$239,MATCH($C1718,MgActId,0)),"")</f>
        <v/>
      </c>
      <c r="L1718" s="64">
        <f>IFERROR(INDEX('1. Matriz de Activos'!$R$6:$R$239,MATCH($C1718,MgActId,0)),"")</f>
        <v/>
      </c>
      <c r="M1718" s="64">
        <f>IFERROR(INDEX('1. Matriz de Activos'!$S$6:$S$239,MATCH($C1718,MgActId,0)),"")</f>
        <v/>
      </c>
      <c r="N1718" s="28">
        <f>IFERROR(INDEX(MgAmenDegD,MATCH(SUBSTITUTE($H1718,"*","-"),MgAmenClave,0)),"No aplica")</f>
        <v/>
      </c>
      <c r="O1718" s="28">
        <f>IFERROR(INDEX(MgAmenDegI,MATCH(SUBSTITUTE($H1718,"*","-"),MgAmenClave,0)),"No aplica")</f>
        <v/>
      </c>
      <c r="P1718" s="28">
        <f>IFERROR(INDEX(MgAmenDegC,MATCH(SUBSTITUTE($H1718,"*","-"),MgAmenClave,0)),"No aplica")</f>
        <v/>
      </c>
      <c r="Q1718" s="29">
        <f>IFERROR(VLOOKUP(K1718,MgValor,2,0)*VLOOKUP(N1718,MgDeg,2,0),0)</f>
        <v/>
      </c>
      <c r="R1718" s="29">
        <f>IFERROR(VLOOKUP(L1718,MgValor,2,0)*VLOOKUP(O1718,MgDeg,2,0),0)</f>
        <v/>
      </c>
      <c r="S1718" s="29">
        <f>IFERROR(VLOOKUP(M1718,MgValor,2,0)*VLOOKUP(P1718,MgDeg,2,0),0)</f>
        <v/>
      </c>
      <c r="T1718" s="30">
        <f>MAX(Q1718:S1718)</f>
        <v/>
      </c>
      <c r="U1718" s="28">
        <f>IFERROR(LOOKUP(T1718,{0;0.5;1.5;3;4.5},{"Despreciable";"Bajo";"Medio";"Alto";"Muy alto"}),"")</f>
        <v/>
      </c>
      <c r="V1718" s="13">
        <f>IFERROR(INDEX(MgAmenFrec,MATCH(SUBSTITUTE($H1718,"*","-"),MgAmenClave,0)),"")</f>
        <v/>
      </c>
      <c r="W1718" s="28">
        <f>IFERROR(LOOKUP(X1718,{0;0.01;0.1;1;10;100},{"Muy baja";"Muy baja";"Baja";"Media";"Alta";"Muy alta"}),"")</f>
        <v/>
      </c>
      <c r="X1718" s="31">
        <f>IFERROR(VLOOKUP(V1718,MgFrec,2,0),0)</f>
        <v/>
      </c>
      <c r="Y1718" s="30">
        <f>T1718*X1718</f>
        <v/>
      </c>
      <c r="Z1718" s="28">
        <f>IFERROR(LOOKUP(Y1718,{0;0.5;5;25},{"Bajo";"Medio";"Alto";"Crítico"}),"")</f>
        <v/>
      </c>
      <c r="AA1718" s="64">
        <f>IF(T1718&gt;=3,IF(X1718&gt;=1,"Zona 1 — Crítica: impacto alto y ocurre al menos una vez al año","Zona 4 — Catastrófica poco probable: impacto alto pero excepcional"),IF(AND(T1718&lt;1.5,X1718&lt;1),"Zona 3 — Asumible: impacto bajo y muy poco frecuente","Zona 2 — Atención: riesgo intermedio"))</f>
        <v/>
      </c>
      <c r="AB1718" s="64">
        <f>IFERROR(INDEX(MgAmenCtrl,MATCH(SUBSTITUTE($H1718,"*","-"),MgAmenClave,0)),"")</f>
        <v/>
      </c>
      <c r="AC1718" s="20" t="n"/>
      <c r="AD1718" s="31">
        <f>IFERROR($X1718*(1-IF($AC1718="",$AL1718,VLOOKUP($AC1718,MgMad,2,0))),"")</f>
        <v/>
      </c>
      <c r="AE1718" s="28">
        <f>IFERROR(LOOKUP(AD1718,{0;0.01;0.1;1;10;100},{"Muy baja";"Muy baja";"Baja";"Media";"Alta";"Muy alta"}),"")</f>
        <v/>
      </c>
      <c r="AF1718" s="30">
        <f>T1718*AD1718</f>
        <v/>
      </c>
      <c r="AG1718" s="28">
        <f>IFERROR(LOOKUP(AF1718,{0;0.5;5;25},{"Bajo";"Medio";"Alto";"Crítico"}),"")</f>
        <v/>
      </c>
      <c r="AH1718" s="28">
        <f>IF(AG1718="","",IF(OR(AG1718="Crítico",AG1718="Alto"),"Mitigar",IF(AG1718="Medio","Mitigar","Aceptar y monitorear")))</f>
        <v/>
      </c>
      <c r="AI1718" s="21" t="n"/>
      <c r="AJ1718" s="21" t="n"/>
      <c r="AK1718" s="20" t="n"/>
      <c r="AL1718" s="77">
        <f>IFERROR(INDEX(MgAmenEfic,MATCH(SUBSTITUTE($H1718,"*","-"),MgAmenClave,0)),0)</f>
        <v/>
      </c>
    </row>
    <row r="1719" hidden="1" ht="45" customHeight="1" s="54">
      <c r="B1719" s="59" t="inlineStr">
        <is>
          <t>R-1714</t>
        </is>
      </c>
      <c r="C1719" s="59" t="inlineStr">
        <is>
          <t>FIN-13</t>
        </is>
      </c>
      <c r="D1719" s="64">
        <f>IFERROR(INDEX(MgNombre,MATCH($C1719,MgActId,0)),"")</f>
        <v/>
      </c>
      <c r="E1719" s="64">
        <f>IFERROR(INDEX(MgProceso,MATCH($C1719,MgActId,0)),"")</f>
        <v/>
      </c>
      <c r="F1719" s="64">
        <f>IFERROR(INDEX(MgTipo,MATCH($C1719,MgActId,0)),"")</f>
        <v/>
      </c>
      <c r="G1719" s="64">
        <f>IFERROR(INDEX(MgSubtipo,MATCH($C1719,MgActId,0)),"")</f>
        <v/>
      </c>
      <c r="H1719" s="59" t="inlineStr">
        <is>
          <t>I.10</t>
        </is>
      </c>
      <c r="I1719" s="64">
        <f>IFERROR(INDEX(MgAmenNombre,MATCH(SUBSTITUTE($H1719,"*","-"),MgAmenClave,0)),"")</f>
        <v/>
      </c>
      <c r="J1719" s="28">
        <f>IFERROR(INDEX(MgAmenGrupo,MATCH(SUBSTITUTE($H1719,"*","-"),MgAmenClave,0)),"")</f>
        <v/>
      </c>
      <c r="K1719" s="64">
        <f>IFERROR(INDEX('1. Matriz de Activos'!$Q$6:$Q$239,MATCH($C1719,MgActId,0)),"")</f>
        <v/>
      </c>
      <c r="L1719" s="64">
        <f>IFERROR(INDEX('1. Matriz de Activos'!$R$6:$R$239,MATCH($C1719,MgActId,0)),"")</f>
        <v/>
      </c>
      <c r="M1719" s="64">
        <f>IFERROR(INDEX('1. Matriz de Activos'!$S$6:$S$239,MATCH($C1719,MgActId,0)),"")</f>
        <v/>
      </c>
      <c r="N1719" s="28">
        <f>IFERROR(INDEX(MgAmenDegD,MATCH(SUBSTITUTE($H1719,"*","-"),MgAmenClave,0)),"No aplica")</f>
        <v/>
      </c>
      <c r="O1719" s="28">
        <f>IFERROR(INDEX(MgAmenDegI,MATCH(SUBSTITUTE($H1719,"*","-"),MgAmenClave,0)),"No aplica")</f>
        <v/>
      </c>
      <c r="P1719" s="28">
        <f>IFERROR(INDEX(MgAmenDegC,MATCH(SUBSTITUTE($H1719,"*","-"),MgAmenClave,0)),"No aplica")</f>
        <v/>
      </c>
      <c r="Q1719" s="29">
        <f>IFERROR(VLOOKUP(K1719,MgValor,2,0)*VLOOKUP(N1719,MgDeg,2,0),0)</f>
        <v/>
      </c>
      <c r="R1719" s="29">
        <f>IFERROR(VLOOKUP(L1719,MgValor,2,0)*VLOOKUP(O1719,MgDeg,2,0),0)</f>
        <v/>
      </c>
      <c r="S1719" s="29">
        <f>IFERROR(VLOOKUP(M1719,MgValor,2,0)*VLOOKUP(P1719,MgDeg,2,0),0)</f>
        <v/>
      </c>
      <c r="T1719" s="30">
        <f>MAX(Q1719:S1719)</f>
        <v/>
      </c>
      <c r="U1719" s="28">
        <f>IFERROR(LOOKUP(T1719,{0;0.5;1.5;3;4.5},{"Despreciable";"Bajo";"Medio";"Alto";"Muy alto"}),"")</f>
        <v/>
      </c>
      <c r="V1719" s="13">
        <f>IFERROR(INDEX(MgAmenFrec,MATCH(SUBSTITUTE($H1719,"*","-"),MgAmenClave,0)),"")</f>
        <v/>
      </c>
      <c r="W1719" s="28">
        <f>IFERROR(LOOKUP(X1719,{0;0.01;0.1;1;10;100},{"Muy baja";"Muy baja";"Baja";"Media";"Alta";"Muy alta"}),"")</f>
        <v/>
      </c>
      <c r="X1719" s="31">
        <f>IFERROR(VLOOKUP(V1719,MgFrec,2,0),0)</f>
        <v/>
      </c>
      <c r="Y1719" s="30">
        <f>T1719*X1719</f>
        <v/>
      </c>
      <c r="Z1719" s="28">
        <f>IFERROR(LOOKUP(Y1719,{0;0.5;5;25},{"Bajo";"Medio";"Alto";"Crítico"}),"")</f>
        <v/>
      </c>
      <c r="AA1719" s="64">
        <f>IF(T1719&gt;=3,IF(X1719&gt;=1,"Zona 1 — Crítica: impacto alto y ocurre al menos una vez al año","Zona 4 — Catastrófica poco probable: impacto alto pero excepcional"),IF(AND(T1719&lt;1.5,X1719&lt;1),"Zona 3 — Asumible: impacto bajo y muy poco frecuente","Zona 2 — Atención: riesgo intermedio"))</f>
        <v/>
      </c>
      <c r="AB1719" s="64">
        <f>IFERROR(INDEX(MgAmenCtrl,MATCH(SUBSTITUTE($H1719,"*","-"),MgAmenClave,0)),"")</f>
        <v/>
      </c>
      <c r="AC1719" s="20" t="n"/>
      <c r="AD1719" s="31">
        <f>IFERROR($X1719*(1-IF($AC1719="",$AL1719,VLOOKUP($AC1719,MgMad,2,0))),"")</f>
        <v/>
      </c>
      <c r="AE1719" s="28">
        <f>IFERROR(LOOKUP(AD1719,{0;0.01;0.1;1;10;100},{"Muy baja";"Muy baja";"Baja";"Media";"Alta";"Muy alta"}),"")</f>
        <v/>
      </c>
      <c r="AF1719" s="30">
        <f>T1719*AD1719</f>
        <v/>
      </c>
      <c r="AG1719" s="28">
        <f>IFERROR(LOOKUP(AF1719,{0;0.5;5;25},{"Bajo";"Medio";"Alto";"Crítico"}),"")</f>
        <v/>
      </c>
      <c r="AH1719" s="28">
        <f>IF(AG1719="","",IF(OR(AG1719="Crítico",AG1719="Alto"),"Mitigar",IF(AG1719="Medio","Mitigar","Aceptar y monitorear")))</f>
        <v/>
      </c>
      <c r="AI1719" s="21" t="n"/>
      <c r="AJ1719" s="21" t="n"/>
      <c r="AK1719" s="20" t="n"/>
      <c r="AL1719" s="77">
        <f>IFERROR(INDEX(MgAmenEfic,MATCH(SUBSTITUTE($H1719,"*","-"),MgAmenClave,0)),0)</f>
        <v/>
      </c>
    </row>
    <row r="1720" hidden="1" ht="45" customHeight="1" s="54">
      <c r="B1720" s="59" t="inlineStr">
        <is>
          <t>R-1715</t>
        </is>
      </c>
      <c r="C1720" s="59" t="inlineStr">
        <is>
          <t>FIN-13</t>
        </is>
      </c>
      <c r="D1720" s="64">
        <f>IFERROR(INDEX(MgNombre,MATCH($C1720,MgActId,0)),"")</f>
        <v/>
      </c>
      <c r="E1720" s="64">
        <f>IFERROR(INDEX(MgProceso,MATCH($C1720,MgActId,0)),"")</f>
        <v/>
      </c>
      <c r="F1720" s="64">
        <f>IFERROR(INDEX(MgTipo,MATCH($C1720,MgActId,0)),"")</f>
        <v/>
      </c>
      <c r="G1720" s="64">
        <f>IFERROR(INDEX(MgSubtipo,MATCH($C1720,MgActId,0)),"")</f>
        <v/>
      </c>
      <c r="H1720" s="59" t="inlineStr">
        <is>
          <t>I.11</t>
        </is>
      </c>
      <c r="I1720" s="64">
        <f>IFERROR(INDEX(MgAmenNombre,MATCH(SUBSTITUTE($H1720,"*","-"),MgAmenClave,0)),"")</f>
        <v/>
      </c>
      <c r="J1720" s="28">
        <f>IFERROR(INDEX(MgAmenGrupo,MATCH(SUBSTITUTE($H1720,"*","-"),MgAmenClave,0)),"")</f>
        <v/>
      </c>
      <c r="K1720" s="64">
        <f>IFERROR(INDEX('1. Matriz de Activos'!$Q$6:$Q$239,MATCH($C1720,MgActId,0)),"")</f>
        <v/>
      </c>
      <c r="L1720" s="64">
        <f>IFERROR(INDEX('1. Matriz de Activos'!$R$6:$R$239,MATCH($C1720,MgActId,0)),"")</f>
        <v/>
      </c>
      <c r="M1720" s="64">
        <f>IFERROR(INDEX('1. Matriz de Activos'!$S$6:$S$239,MATCH($C1720,MgActId,0)),"")</f>
        <v/>
      </c>
      <c r="N1720" s="28">
        <f>IFERROR(INDEX(MgAmenDegD,MATCH(SUBSTITUTE($H1720,"*","-"),MgAmenClave,0)),"No aplica")</f>
        <v/>
      </c>
      <c r="O1720" s="28">
        <f>IFERROR(INDEX(MgAmenDegI,MATCH(SUBSTITUTE($H1720,"*","-"),MgAmenClave,0)),"No aplica")</f>
        <v/>
      </c>
      <c r="P1720" s="28">
        <f>IFERROR(INDEX(MgAmenDegC,MATCH(SUBSTITUTE($H1720,"*","-"),MgAmenClave,0)),"No aplica")</f>
        <v/>
      </c>
      <c r="Q1720" s="29">
        <f>IFERROR(VLOOKUP(K1720,MgValor,2,0)*VLOOKUP(N1720,MgDeg,2,0),0)</f>
        <v/>
      </c>
      <c r="R1720" s="29">
        <f>IFERROR(VLOOKUP(L1720,MgValor,2,0)*VLOOKUP(O1720,MgDeg,2,0),0)</f>
        <v/>
      </c>
      <c r="S1720" s="29">
        <f>IFERROR(VLOOKUP(M1720,MgValor,2,0)*VLOOKUP(P1720,MgDeg,2,0),0)</f>
        <v/>
      </c>
      <c r="T1720" s="30">
        <f>MAX(Q1720:S1720)</f>
        <v/>
      </c>
      <c r="U1720" s="28">
        <f>IFERROR(LOOKUP(T1720,{0;0.5;1.5;3;4.5},{"Despreciable";"Bajo";"Medio";"Alto";"Muy alto"}),"")</f>
        <v/>
      </c>
      <c r="V1720" s="13">
        <f>IFERROR(INDEX(MgAmenFrec,MATCH(SUBSTITUTE($H1720,"*","-"),MgAmenClave,0)),"")</f>
        <v/>
      </c>
      <c r="W1720" s="28">
        <f>IFERROR(LOOKUP(X1720,{0;0.01;0.1;1;10;100},{"Muy baja";"Muy baja";"Baja";"Media";"Alta";"Muy alta"}),"")</f>
        <v/>
      </c>
      <c r="X1720" s="31">
        <f>IFERROR(VLOOKUP(V1720,MgFrec,2,0),0)</f>
        <v/>
      </c>
      <c r="Y1720" s="30">
        <f>T1720*X1720</f>
        <v/>
      </c>
      <c r="Z1720" s="28">
        <f>IFERROR(LOOKUP(Y1720,{0;0.5;5;25},{"Bajo";"Medio";"Alto";"Crítico"}),"")</f>
        <v/>
      </c>
      <c r="AA1720" s="64">
        <f>IF(T1720&gt;=3,IF(X1720&gt;=1,"Zona 1 — Crítica: impacto alto y ocurre al menos una vez al año","Zona 4 — Catastrófica poco probable: impacto alto pero excepcional"),IF(AND(T1720&lt;1.5,X1720&lt;1),"Zona 3 — Asumible: impacto bajo y muy poco frecuente","Zona 2 — Atención: riesgo intermedio"))</f>
        <v/>
      </c>
      <c r="AB1720" s="64">
        <f>IFERROR(INDEX(MgAmenCtrl,MATCH(SUBSTITUTE($H1720,"*","-"),MgAmenClave,0)),"")</f>
        <v/>
      </c>
      <c r="AC1720" s="20" t="n"/>
      <c r="AD1720" s="31">
        <f>IFERROR($X1720*(1-IF($AC1720="",$AL1720,VLOOKUP($AC1720,MgMad,2,0))),"")</f>
        <v/>
      </c>
      <c r="AE1720" s="28">
        <f>IFERROR(LOOKUP(AD1720,{0;0.01;0.1;1;10;100},{"Muy baja";"Muy baja";"Baja";"Media";"Alta";"Muy alta"}),"")</f>
        <v/>
      </c>
      <c r="AF1720" s="30">
        <f>T1720*AD1720</f>
        <v/>
      </c>
      <c r="AG1720" s="28">
        <f>IFERROR(LOOKUP(AF1720,{0;0.5;5;25},{"Bajo";"Medio";"Alto";"Crítico"}),"")</f>
        <v/>
      </c>
      <c r="AH1720" s="28">
        <f>IF(AG1720="","",IF(OR(AG1720="Crítico",AG1720="Alto"),"Mitigar",IF(AG1720="Medio","Mitigar","Aceptar y monitorear")))</f>
        <v/>
      </c>
      <c r="AI1720" s="21" t="n"/>
      <c r="AJ1720" s="21" t="n"/>
      <c r="AK1720" s="20" t="n"/>
      <c r="AL1720" s="77">
        <f>IFERROR(INDEX(MgAmenEfic,MATCH(SUBSTITUTE($H1720,"*","-"),MgAmenClave,0)),0)</f>
        <v/>
      </c>
    </row>
    <row r="1721" hidden="1" ht="105" customHeight="1" s="54">
      <c r="B1721" s="59" t="inlineStr">
        <is>
          <t>R-1716</t>
        </is>
      </c>
      <c r="C1721" s="59" t="inlineStr">
        <is>
          <t>FIN-13</t>
        </is>
      </c>
      <c r="D1721" s="64">
        <f>IFERROR(INDEX(MgNombre,MATCH($C1721,MgActId,0)),"")</f>
        <v/>
      </c>
      <c r="E1721" s="64">
        <f>IFERROR(INDEX(MgProceso,MATCH($C1721,MgActId,0)),"")</f>
        <v/>
      </c>
      <c r="F1721" s="64">
        <f>IFERROR(INDEX(MgTipo,MATCH($C1721,MgActId,0)),"")</f>
        <v/>
      </c>
      <c r="G1721" s="64">
        <f>IFERROR(INDEX(MgSubtipo,MATCH($C1721,MgActId,0)),"")</f>
        <v/>
      </c>
      <c r="H1721" s="59" t="inlineStr">
        <is>
          <t>E.1</t>
        </is>
      </c>
      <c r="I1721" s="64">
        <f>IFERROR(INDEX(MgAmenNombre,MATCH(SUBSTITUTE($H1721,"*","-"),MgAmenClave,0)),"")</f>
        <v/>
      </c>
      <c r="J1721" s="28">
        <f>IFERROR(INDEX(MgAmenGrupo,MATCH(SUBSTITUTE($H1721,"*","-"),MgAmenClave,0)),"")</f>
        <v/>
      </c>
      <c r="K1721" s="64">
        <f>IFERROR(INDEX('1. Matriz de Activos'!$Q$6:$Q$239,MATCH($C1721,MgActId,0)),"")</f>
        <v/>
      </c>
      <c r="L1721" s="64">
        <f>IFERROR(INDEX('1. Matriz de Activos'!$R$6:$R$239,MATCH($C1721,MgActId,0)),"")</f>
        <v/>
      </c>
      <c r="M1721" s="64">
        <f>IFERROR(INDEX('1. Matriz de Activos'!$S$6:$S$239,MATCH($C1721,MgActId,0)),"")</f>
        <v/>
      </c>
      <c r="N1721" s="28">
        <f>IFERROR(INDEX(MgAmenDegD,MATCH(SUBSTITUTE($H1721,"*","-"),MgAmenClave,0)),"No aplica")</f>
        <v/>
      </c>
      <c r="O1721" s="28">
        <f>IFERROR(INDEX(MgAmenDegI,MATCH(SUBSTITUTE($H1721,"*","-"),MgAmenClave,0)),"No aplica")</f>
        <v/>
      </c>
      <c r="P1721" s="28">
        <f>IFERROR(INDEX(MgAmenDegC,MATCH(SUBSTITUTE($H1721,"*","-"),MgAmenClave,0)),"No aplica")</f>
        <v/>
      </c>
      <c r="Q1721" s="29">
        <f>IFERROR(VLOOKUP(K1721,MgValor,2,0)*VLOOKUP(N1721,MgDeg,2,0),0)</f>
        <v/>
      </c>
      <c r="R1721" s="29">
        <f>IFERROR(VLOOKUP(L1721,MgValor,2,0)*VLOOKUP(O1721,MgDeg,2,0),0)</f>
        <v/>
      </c>
      <c r="S1721" s="29">
        <f>IFERROR(VLOOKUP(M1721,MgValor,2,0)*VLOOKUP(P1721,MgDeg,2,0),0)</f>
        <v/>
      </c>
      <c r="T1721" s="30">
        <f>MAX(Q1721:S1721)</f>
        <v/>
      </c>
      <c r="U1721" s="28">
        <f>IFERROR(LOOKUP(T1721,{0;0.5;1.5;3;4.5},{"Despreciable";"Bajo";"Medio";"Alto";"Muy alto"}),"")</f>
        <v/>
      </c>
      <c r="V1721" s="13">
        <f>IFERROR(INDEX(MgAmenFrec,MATCH(SUBSTITUTE($H1721,"*","-"),MgAmenClave,0)),"")</f>
        <v/>
      </c>
      <c r="W1721" s="28">
        <f>IFERROR(LOOKUP(X1721,{0;0.01;0.1;1;10;100},{"Muy baja";"Muy baja";"Baja";"Media";"Alta";"Muy alta"}),"")</f>
        <v/>
      </c>
      <c r="X1721" s="31">
        <f>IFERROR(VLOOKUP(V1721,MgFrec,2,0),0)</f>
        <v/>
      </c>
      <c r="Y1721" s="30">
        <f>T1721*X1721</f>
        <v/>
      </c>
      <c r="Z1721" s="28">
        <f>IFERROR(LOOKUP(Y1721,{0;0.5;5;25},{"Bajo";"Medio";"Alto";"Crítico"}),"")</f>
        <v/>
      </c>
      <c r="AA1721" s="64">
        <f>IF(T1721&gt;=3,IF(X1721&gt;=1,"Zona 1 — Crítica: impacto alto y ocurre al menos una vez al año","Zona 4 — Catastrófica poco probable: impacto alto pero excepcional"),IF(AND(T1721&lt;1.5,X1721&lt;1),"Zona 3 — Asumible: impacto bajo y muy poco frecuente","Zona 2 — Atención: riesgo intermedio"))</f>
        <v/>
      </c>
      <c r="AB1721" s="64">
        <f>IFERROR(INDEX(MgAmenCtrl,MATCH(SUBSTITUTE($H1721,"*","-"),MgAmenClave,0)),"")</f>
        <v/>
      </c>
      <c r="AC1721" s="20" t="n"/>
      <c r="AD1721" s="31">
        <f>IFERROR($X1721*(1-IF($AC1721="",$AL1721,VLOOKUP($AC1721,MgMad,2,0))),"")</f>
        <v/>
      </c>
      <c r="AE1721" s="28">
        <f>IFERROR(LOOKUP(AD1721,{0;0.01;0.1;1;10;100},{"Muy baja";"Muy baja";"Baja";"Media";"Alta";"Muy alta"}),"")</f>
        <v/>
      </c>
      <c r="AF1721" s="30">
        <f>T1721*AD1721</f>
        <v/>
      </c>
      <c r="AG1721" s="28">
        <f>IFERROR(LOOKUP(AF1721,{0;0.5;5;25},{"Bajo";"Medio";"Alto";"Crítico"}),"")</f>
        <v/>
      </c>
      <c r="AH1721" s="28">
        <f>IF(AG1721="","",IF(OR(AG1721="Crítico",AG1721="Alto"),"Mitigar",IF(AG1721="Medio","Mitigar","Aceptar y monitorear")))</f>
        <v/>
      </c>
      <c r="AI1721" s="21" t="n"/>
      <c r="AJ1721" s="21" t="n"/>
      <c r="AK1721" s="20" t="n"/>
      <c r="AL1721" s="77">
        <f>IFERROR(INDEX(MgAmenEfic,MATCH(SUBSTITUTE($H1721,"*","-"),MgAmenClave,0)),0)</f>
        <v/>
      </c>
    </row>
    <row r="1722" hidden="1" ht="120" customHeight="1" s="54">
      <c r="B1722" s="59" t="inlineStr">
        <is>
          <t>R-1717</t>
        </is>
      </c>
      <c r="C1722" s="59" t="inlineStr">
        <is>
          <t>FIN-13</t>
        </is>
      </c>
      <c r="D1722" s="64">
        <f>IFERROR(INDEX(MgNombre,MATCH($C1722,MgActId,0)),"")</f>
        <v/>
      </c>
      <c r="E1722" s="64">
        <f>IFERROR(INDEX(MgProceso,MATCH($C1722,MgActId,0)),"")</f>
        <v/>
      </c>
      <c r="F1722" s="64">
        <f>IFERROR(INDEX(MgTipo,MATCH($C1722,MgActId,0)),"")</f>
        <v/>
      </c>
      <c r="G1722" s="64">
        <f>IFERROR(INDEX(MgSubtipo,MATCH($C1722,MgActId,0)),"")</f>
        <v/>
      </c>
      <c r="H1722" s="59" t="inlineStr">
        <is>
          <t>E.2</t>
        </is>
      </c>
      <c r="I1722" s="64">
        <f>IFERROR(INDEX(MgAmenNombre,MATCH(SUBSTITUTE($H1722,"*","-"),MgAmenClave,0)),"")</f>
        <v/>
      </c>
      <c r="J1722" s="28">
        <f>IFERROR(INDEX(MgAmenGrupo,MATCH(SUBSTITUTE($H1722,"*","-"),MgAmenClave,0)),"")</f>
        <v/>
      </c>
      <c r="K1722" s="64">
        <f>IFERROR(INDEX('1. Matriz de Activos'!$Q$6:$Q$239,MATCH($C1722,MgActId,0)),"")</f>
        <v/>
      </c>
      <c r="L1722" s="64">
        <f>IFERROR(INDEX('1. Matriz de Activos'!$R$6:$R$239,MATCH($C1722,MgActId,0)),"")</f>
        <v/>
      </c>
      <c r="M1722" s="64">
        <f>IFERROR(INDEX('1. Matriz de Activos'!$S$6:$S$239,MATCH($C1722,MgActId,0)),"")</f>
        <v/>
      </c>
      <c r="N1722" s="28">
        <f>IFERROR(INDEX(MgAmenDegD,MATCH(SUBSTITUTE($H1722,"*","-"),MgAmenClave,0)),"No aplica")</f>
        <v/>
      </c>
      <c r="O1722" s="28">
        <f>IFERROR(INDEX(MgAmenDegI,MATCH(SUBSTITUTE($H1722,"*","-"),MgAmenClave,0)),"No aplica")</f>
        <v/>
      </c>
      <c r="P1722" s="28">
        <f>IFERROR(INDEX(MgAmenDegC,MATCH(SUBSTITUTE($H1722,"*","-"),MgAmenClave,0)),"No aplica")</f>
        <v/>
      </c>
      <c r="Q1722" s="29">
        <f>IFERROR(VLOOKUP(K1722,MgValor,2,0)*VLOOKUP(N1722,MgDeg,2,0),0)</f>
        <v/>
      </c>
      <c r="R1722" s="29">
        <f>IFERROR(VLOOKUP(L1722,MgValor,2,0)*VLOOKUP(O1722,MgDeg,2,0),0)</f>
        <v/>
      </c>
      <c r="S1722" s="29">
        <f>IFERROR(VLOOKUP(M1722,MgValor,2,0)*VLOOKUP(P1722,MgDeg,2,0),0)</f>
        <v/>
      </c>
      <c r="T1722" s="30">
        <f>MAX(Q1722:S1722)</f>
        <v/>
      </c>
      <c r="U1722" s="28">
        <f>IFERROR(LOOKUP(T1722,{0;0.5;1.5;3;4.5},{"Despreciable";"Bajo";"Medio";"Alto";"Muy alto"}),"")</f>
        <v/>
      </c>
      <c r="V1722" s="13">
        <f>IFERROR(INDEX(MgAmenFrec,MATCH(SUBSTITUTE($H1722,"*","-"),MgAmenClave,0)),"")</f>
        <v/>
      </c>
      <c r="W1722" s="28">
        <f>IFERROR(LOOKUP(X1722,{0;0.01;0.1;1;10;100},{"Muy baja";"Muy baja";"Baja";"Media";"Alta";"Muy alta"}),"")</f>
        <v/>
      </c>
      <c r="X1722" s="31">
        <f>IFERROR(VLOOKUP(V1722,MgFrec,2,0),0)</f>
        <v/>
      </c>
      <c r="Y1722" s="30">
        <f>T1722*X1722</f>
        <v/>
      </c>
      <c r="Z1722" s="28">
        <f>IFERROR(LOOKUP(Y1722,{0;0.5;5;25},{"Bajo";"Medio";"Alto";"Crítico"}),"")</f>
        <v/>
      </c>
      <c r="AA1722" s="64">
        <f>IF(T1722&gt;=3,IF(X1722&gt;=1,"Zona 1 — Crítica: impacto alto y ocurre al menos una vez al año","Zona 4 — Catastrófica poco probable: impacto alto pero excepcional"),IF(AND(T1722&lt;1.5,X1722&lt;1),"Zona 3 — Asumible: impacto bajo y muy poco frecuente","Zona 2 — Atención: riesgo intermedio"))</f>
        <v/>
      </c>
      <c r="AB1722" s="64">
        <f>IFERROR(INDEX(MgAmenCtrl,MATCH(SUBSTITUTE($H1722,"*","-"),MgAmenClave,0)),"")</f>
        <v/>
      </c>
      <c r="AC1722" s="20" t="n"/>
      <c r="AD1722" s="31">
        <f>IFERROR($X1722*(1-IF($AC1722="",$AL1722,VLOOKUP($AC1722,MgMad,2,0))),"")</f>
        <v/>
      </c>
      <c r="AE1722" s="28">
        <f>IFERROR(LOOKUP(AD1722,{0;0.01;0.1;1;10;100},{"Muy baja";"Muy baja";"Baja";"Media";"Alta";"Muy alta"}),"")</f>
        <v/>
      </c>
      <c r="AF1722" s="30">
        <f>T1722*AD1722</f>
        <v/>
      </c>
      <c r="AG1722" s="28">
        <f>IFERROR(LOOKUP(AF1722,{0;0.5;5;25},{"Bajo";"Medio";"Alto";"Crítico"}),"")</f>
        <v/>
      </c>
      <c r="AH1722" s="28">
        <f>IF(AG1722="","",IF(OR(AG1722="Crítico",AG1722="Alto"),"Mitigar",IF(AG1722="Medio","Mitigar","Aceptar y monitorear")))</f>
        <v/>
      </c>
      <c r="AI1722" s="21" t="n"/>
      <c r="AJ1722" s="21" t="n"/>
      <c r="AK1722" s="20" t="n"/>
      <c r="AL1722" s="77">
        <f>IFERROR(INDEX(MgAmenEfic,MATCH(SUBSTITUTE($H1722,"*","-"),MgAmenClave,0)),0)</f>
        <v/>
      </c>
    </row>
    <row r="1723" hidden="1" ht="90" customHeight="1" s="54">
      <c r="B1723" s="59" t="inlineStr">
        <is>
          <t>R-1718</t>
        </is>
      </c>
      <c r="C1723" s="59" t="inlineStr">
        <is>
          <t>FIN-13</t>
        </is>
      </c>
      <c r="D1723" s="64">
        <f>IFERROR(INDEX(MgNombre,MATCH($C1723,MgActId,0)),"")</f>
        <v/>
      </c>
      <c r="E1723" s="64">
        <f>IFERROR(INDEX(MgProceso,MATCH($C1723,MgActId,0)),"")</f>
        <v/>
      </c>
      <c r="F1723" s="64">
        <f>IFERROR(INDEX(MgTipo,MATCH($C1723,MgActId,0)),"")</f>
        <v/>
      </c>
      <c r="G1723" s="64">
        <f>IFERROR(INDEX(MgSubtipo,MATCH($C1723,MgActId,0)),"")</f>
        <v/>
      </c>
      <c r="H1723" s="59" t="inlineStr">
        <is>
          <t>E.14</t>
        </is>
      </c>
      <c r="I1723" s="64">
        <f>IFERROR(INDEX(MgAmenNombre,MATCH(SUBSTITUTE($H1723,"*","-"),MgAmenClave,0)),"")</f>
        <v/>
      </c>
      <c r="J1723" s="28">
        <f>IFERROR(INDEX(MgAmenGrupo,MATCH(SUBSTITUTE($H1723,"*","-"),MgAmenClave,0)),"")</f>
        <v/>
      </c>
      <c r="K1723" s="64">
        <f>IFERROR(INDEX('1. Matriz de Activos'!$Q$6:$Q$239,MATCH($C1723,MgActId,0)),"")</f>
        <v/>
      </c>
      <c r="L1723" s="64">
        <f>IFERROR(INDEX('1. Matriz de Activos'!$R$6:$R$239,MATCH($C1723,MgActId,0)),"")</f>
        <v/>
      </c>
      <c r="M1723" s="64">
        <f>IFERROR(INDEX('1. Matriz de Activos'!$S$6:$S$239,MATCH($C1723,MgActId,0)),"")</f>
        <v/>
      </c>
      <c r="N1723" s="28">
        <f>IFERROR(INDEX(MgAmenDegD,MATCH(SUBSTITUTE($H1723,"*","-"),MgAmenClave,0)),"No aplica")</f>
        <v/>
      </c>
      <c r="O1723" s="28">
        <f>IFERROR(INDEX(MgAmenDegI,MATCH(SUBSTITUTE($H1723,"*","-"),MgAmenClave,0)),"No aplica")</f>
        <v/>
      </c>
      <c r="P1723" s="28">
        <f>IFERROR(INDEX(MgAmenDegC,MATCH(SUBSTITUTE($H1723,"*","-"),MgAmenClave,0)),"No aplica")</f>
        <v/>
      </c>
      <c r="Q1723" s="29">
        <f>IFERROR(VLOOKUP(K1723,MgValor,2,0)*VLOOKUP(N1723,MgDeg,2,0),0)</f>
        <v/>
      </c>
      <c r="R1723" s="29">
        <f>IFERROR(VLOOKUP(L1723,MgValor,2,0)*VLOOKUP(O1723,MgDeg,2,0),0)</f>
        <v/>
      </c>
      <c r="S1723" s="29">
        <f>IFERROR(VLOOKUP(M1723,MgValor,2,0)*VLOOKUP(P1723,MgDeg,2,0),0)</f>
        <v/>
      </c>
      <c r="T1723" s="30">
        <f>MAX(Q1723:S1723)</f>
        <v/>
      </c>
      <c r="U1723" s="28">
        <f>IFERROR(LOOKUP(T1723,{0;0.5;1.5;3;4.5},{"Despreciable";"Bajo";"Medio";"Alto";"Muy alto"}),"")</f>
        <v/>
      </c>
      <c r="V1723" s="13">
        <f>IFERROR(INDEX(MgAmenFrec,MATCH(SUBSTITUTE($H1723,"*","-"),MgAmenClave,0)),"")</f>
        <v/>
      </c>
      <c r="W1723" s="28">
        <f>IFERROR(LOOKUP(X1723,{0;0.01;0.1;1;10;100},{"Muy baja";"Muy baja";"Baja";"Media";"Alta";"Muy alta"}),"")</f>
        <v/>
      </c>
      <c r="X1723" s="31">
        <f>IFERROR(VLOOKUP(V1723,MgFrec,2,0),0)</f>
        <v/>
      </c>
      <c r="Y1723" s="30">
        <f>T1723*X1723</f>
        <v/>
      </c>
      <c r="Z1723" s="28">
        <f>IFERROR(LOOKUP(Y1723,{0;0.5;5;25},{"Bajo";"Medio";"Alto";"Crítico"}),"")</f>
        <v/>
      </c>
      <c r="AA1723" s="64">
        <f>IF(T1723&gt;=3,IF(X1723&gt;=1,"Zona 1 — Crítica: impacto alto y ocurre al menos una vez al año","Zona 4 — Catastrófica poco probable: impacto alto pero excepcional"),IF(AND(T1723&lt;1.5,X1723&lt;1),"Zona 3 — Asumible: impacto bajo y muy poco frecuente","Zona 2 — Atención: riesgo intermedio"))</f>
        <v/>
      </c>
      <c r="AB1723" s="64">
        <f>IFERROR(INDEX(MgAmenCtrl,MATCH(SUBSTITUTE($H1723,"*","-"),MgAmenClave,0)),"")</f>
        <v/>
      </c>
      <c r="AC1723" s="20" t="n"/>
      <c r="AD1723" s="31">
        <f>IFERROR($X1723*(1-IF($AC1723="",$AL1723,VLOOKUP($AC1723,MgMad,2,0))),"")</f>
        <v/>
      </c>
      <c r="AE1723" s="28">
        <f>IFERROR(LOOKUP(AD1723,{0;0.01;0.1;1;10;100},{"Muy baja";"Muy baja";"Baja";"Media";"Alta";"Muy alta"}),"")</f>
        <v/>
      </c>
      <c r="AF1723" s="30">
        <f>T1723*AD1723</f>
        <v/>
      </c>
      <c r="AG1723" s="28">
        <f>IFERROR(LOOKUP(AF1723,{0;0.5;5;25},{"Bajo";"Medio";"Alto";"Crítico"}),"")</f>
        <v/>
      </c>
      <c r="AH1723" s="28">
        <f>IF(AG1723="","",IF(OR(AG1723="Crítico",AG1723="Alto"),"Mitigar",IF(AG1723="Medio","Mitigar","Aceptar y monitorear")))</f>
        <v/>
      </c>
      <c r="AI1723" s="21" t="n"/>
      <c r="AJ1723" s="21" t="n"/>
      <c r="AK1723" s="20" t="n"/>
      <c r="AL1723" s="77">
        <f>IFERROR(INDEX(MgAmenEfic,MATCH(SUBSTITUTE($H1723,"*","-"),MgAmenClave,0)),0)</f>
        <v/>
      </c>
    </row>
    <row r="1724" hidden="1" ht="90" customHeight="1" s="54">
      <c r="B1724" s="59" t="inlineStr">
        <is>
          <t>R-1719</t>
        </is>
      </c>
      <c r="C1724" s="59" t="inlineStr">
        <is>
          <t>FIN-13</t>
        </is>
      </c>
      <c r="D1724" s="64">
        <f>IFERROR(INDEX(MgNombre,MATCH($C1724,MgActId,0)),"")</f>
        <v/>
      </c>
      <c r="E1724" s="64">
        <f>IFERROR(INDEX(MgProceso,MATCH($C1724,MgActId,0)),"")</f>
        <v/>
      </c>
      <c r="F1724" s="64">
        <f>IFERROR(INDEX(MgTipo,MATCH($C1724,MgActId,0)),"")</f>
        <v/>
      </c>
      <c r="G1724" s="64">
        <f>IFERROR(INDEX(MgSubtipo,MATCH($C1724,MgActId,0)),"")</f>
        <v/>
      </c>
      <c r="H1724" s="59" t="inlineStr">
        <is>
          <t>E.15</t>
        </is>
      </c>
      <c r="I1724" s="64">
        <f>IFERROR(INDEX(MgAmenNombre,MATCH(SUBSTITUTE($H1724,"*","-"),MgAmenClave,0)),"")</f>
        <v/>
      </c>
      <c r="J1724" s="28">
        <f>IFERROR(INDEX(MgAmenGrupo,MATCH(SUBSTITUTE($H1724,"*","-"),MgAmenClave,0)),"")</f>
        <v/>
      </c>
      <c r="K1724" s="64">
        <f>IFERROR(INDEX('1. Matriz de Activos'!$Q$6:$Q$239,MATCH($C1724,MgActId,0)),"")</f>
        <v/>
      </c>
      <c r="L1724" s="64">
        <f>IFERROR(INDEX('1. Matriz de Activos'!$R$6:$R$239,MATCH($C1724,MgActId,0)),"")</f>
        <v/>
      </c>
      <c r="M1724" s="64">
        <f>IFERROR(INDEX('1. Matriz de Activos'!$S$6:$S$239,MATCH($C1724,MgActId,0)),"")</f>
        <v/>
      </c>
      <c r="N1724" s="28">
        <f>IFERROR(INDEX(MgAmenDegD,MATCH(SUBSTITUTE($H1724,"*","-"),MgAmenClave,0)),"No aplica")</f>
        <v/>
      </c>
      <c r="O1724" s="28">
        <f>IFERROR(INDEX(MgAmenDegI,MATCH(SUBSTITUTE($H1724,"*","-"),MgAmenClave,0)),"No aplica")</f>
        <v/>
      </c>
      <c r="P1724" s="28">
        <f>IFERROR(INDEX(MgAmenDegC,MATCH(SUBSTITUTE($H1724,"*","-"),MgAmenClave,0)),"No aplica")</f>
        <v/>
      </c>
      <c r="Q1724" s="29">
        <f>IFERROR(VLOOKUP(K1724,MgValor,2,0)*VLOOKUP(N1724,MgDeg,2,0),0)</f>
        <v/>
      </c>
      <c r="R1724" s="29">
        <f>IFERROR(VLOOKUP(L1724,MgValor,2,0)*VLOOKUP(O1724,MgDeg,2,0),0)</f>
        <v/>
      </c>
      <c r="S1724" s="29">
        <f>IFERROR(VLOOKUP(M1724,MgValor,2,0)*VLOOKUP(P1724,MgDeg,2,0),0)</f>
        <v/>
      </c>
      <c r="T1724" s="30">
        <f>MAX(Q1724:S1724)</f>
        <v/>
      </c>
      <c r="U1724" s="28">
        <f>IFERROR(LOOKUP(T1724,{0;0.5;1.5;3;4.5},{"Despreciable";"Bajo";"Medio";"Alto";"Muy alto"}),"")</f>
        <v/>
      </c>
      <c r="V1724" s="13">
        <f>IFERROR(INDEX(MgAmenFrec,MATCH(SUBSTITUTE($H1724,"*","-"),MgAmenClave,0)),"")</f>
        <v/>
      </c>
      <c r="W1724" s="28">
        <f>IFERROR(LOOKUP(X1724,{0;0.01;0.1;1;10;100},{"Muy baja";"Muy baja";"Baja";"Media";"Alta";"Muy alta"}),"")</f>
        <v/>
      </c>
      <c r="X1724" s="31">
        <f>IFERROR(VLOOKUP(V1724,MgFrec,2,0),0)</f>
        <v/>
      </c>
      <c r="Y1724" s="30">
        <f>T1724*X1724</f>
        <v/>
      </c>
      <c r="Z1724" s="28">
        <f>IFERROR(LOOKUP(Y1724,{0;0.5;5;25},{"Bajo";"Medio";"Alto";"Crítico"}),"")</f>
        <v/>
      </c>
      <c r="AA1724" s="64">
        <f>IF(T1724&gt;=3,IF(X1724&gt;=1,"Zona 1 — Crítica: impacto alto y ocurre al menos una vez al año","Zona 4 — Catastrófica poco probable: impacto alto pero excepcional"),IF(AND(T1724&lt;1.5,X1724&lt;1),"Zona 3 — Asumible: impacto bajo y muy poco frecuente","Zona 2 — Atención: riesgo intermedio"))</f>
        <v/>
      </c>
      <c r="AB1724" s="64">
        <f>IFERROR(INDEX(MgAmenCtrl,MATCH(SUBSTITUTE($H1724,"*","-"),MgAmenClave,0)),"")</f>
        <v/>
      </c>
      <c r="AC1724" s="20" t="n"/>
      <c r="AD1724" s="31">
        <f>IFERROR($X1724*(1-IF($AC1724="",$AL1724,VLOOKUP($AC1724,MgMad,2,0))),"")</f>
        <v/>
      </c>
      <c r="AE1724" s="28">
        <f>IFERROR(LOOKUP(AD1724,{0;0.01;0.1;1;10;100},{"Muy baja";"Muy baja";"Baja";"Media";"Alta";"Muy alta"}),"")</f>
        <v/>
      </c>
      <c r="AF1724" s="30">
        <f>T1724*AD1724</f>
        <v/>
      </c>
      <c r="AG1724" s="28">
        <f>IFERROR(LOOKUP(AF1724,{0;0.5;5;25},{"Bajo";"Medio";"Alto";"Crítico"}),"")</f>
        <v/>
      </c>
      <c r="AH1724" s="28">
        <f>IF(AG1724="","",IF(OR(AG1724="Crítico",AG1724="Alto"),"Mitigar",IF(AG1724="Medio","Mitigar","Aceptar y monitorear")))</f>
        <v/>
      </c>
      <c r="AI1724" s="21" t="n"/>
      <c r="AJ1724" s="21" t="n"/>
      <c r="AK1724" s="20" t="n"/>
      <c r="AL1724" s="77">
        <f>IFERROR(INDEX(MgAmenEfic,MATCH(SUBSTITUTE($H1724,"*","-"),MgAmenClave,0)),0)</f>
        <v/>
      </c>
    </row>
    <row r="1725" hidden="1" ht="60" customHeight="1" s="54">
      <c r="B1725" s="59" t="inlineStr">
        <is>
          <t>R-1720</t>
        </is>
      </c>
      <c r="C1725" s="59" t="inlineStr">
        <is>
          <t>FIN-13</t>
        </is>
      </c>
      <c r="D1725" s="64">
        <f>IFERROR(INDEX(MgNombre,MATCH($C1725,MgActId,0)),"")</f>
        <v/>
      </c>
      <c r="E1725" s="64">
        <f>IFERROR(INDEX(MgProceso,MATCH($C1725,MgActId,0)),"")</f>
        <v/>
      </c>
      <c r="F1725" s="64">
        <f>IFERROR(INDEX(MgTipo,MATCH($C1725,MgActId,0)),"")</f>
        <v/>
      </c>
      <c r="G1725" s="64">
        <f>IFERROR(INDEX(MgSubtipo,MATCH($C1725,MgActId,0)),"")</f>
        <v/>
      </c>
      <c r="H1725" s="59" t="inlineStr">
        <is>
          <t>E.18</t>
        </is>
      </c>
      <c r="I1725" s="64">
        <f>IFERROR(INDEX(MgAmenNombre,MATCH(SUBSTITUTE($H1725,"*","-"),MgAmenClave,0)),"")</f>
        <v/>
      </c>
      <c r="J1725" s="28">
        <f>IFERROR(INDEX(MgAmenGrupo,MATCH(SUBSTITUTE($H1725,"*","-"),MgAmenClave,0)),"")</f>
        <v/>
      </c>
      <c r="K1725" s="64">
        <f>IFERROR(INDEX('1. Matriz de Activos'!$Q$6:$Q$239,MATCH($C1725,MgActId,0)),"")</f>
        <v/>
      </c>
      <c r="L1725" s="64">
        <f>IFERROR(INDEX('1. Matriz de Activos'!$R$6:$R$239,MATCH($C1725,MgActId,0)),"")</f>
        <v/>
      </c>
      <c r="M1725" s="64">
        <f>IFERROR(INDEX('1. Matriz de Activos'!$S$6:$S$239,MATCH($C1725,MgActId,0)),"")</f>
        <v/>
      </c>
      <c r="N1725" s="28">
        <f>IFERROR(INDEX(MgAmenDegD,MATCH(SUBSTITUTE($H1725,"*","-"),MgAmenClave,0)),"No aplica")</f>
        <v/>
      </c>
      <c r="O1725" s="28">
        <f>IFERROR(INDEX(MgAmenDegI,MATCH(SUBSTITUTE($H1725,"*","-"),MgAmenClave,0)),"No aplica")</f>
        <v/>
      </c>
      <c r="P1725" s="28">
        <f>IFERROR(INDEX(MgAmenDegC,MATCH(SUBSTITUTE($H1725,"*","-"),MgAmenClave,0)),"No aplica")</f>
        <v/>
      </c>
      <c r="Q1725" s="29">
        <f>IFERROR(VLOOKUP(K1725,MgValor,2,0)*VLOOKUP(N1725,MgDeg,2,0),0)</f>
        <v/>
      </c>
      <c r="R1725" s="29">
        <f>IFERROR(VLOOKUP(L1725,MgValor,2,0)*VLOOKUP(O1725,MgDeg,2,0),0)</f>
        <v/>
      </c>
      <c r="S1725" s="29">
        <f>IFERROR(VLOOKUP(M1725,MgValor,2,0)*VLOOKUP(P1725,MgDeg,2,0),0)</f>
        <v/>
      </c>
      <c r="T1725" s="30">
        <f>MAX(Q1725:S1725)</f>
        <v/>
      </c>
      <c r="U1725" s="28">
        <f>IFERROR(LOOKUP(T1725,{0;0.5;1.5;3;4.5},{"Despreciable";"Bajo";"Medio";"Alto";"Muy alto"}),"")</f>
        <v/>
      </c>
      <c r="V1725" s="13">
        <f>IFERROR(INDEX(MgAmenFrec,MATCH(SUBSTITUTE($H1725,"*","-"),MgAmenClave,0)),"")</f>
        <v/>
      </c>
      <c r="W1725" s="28">
        <f>IFERROR(LOOKUP(X1725,{0;0.01;0.1;1;10;100},{"Muy baja";"Muy baja";"Baja";"Media";"Alta";"Muy alta"}),"")</f>
        <v/>
      </c>
      <c r="X1725" s="31">
        <f>IFERROR(VLOOKUP(V1725,MgFrec,2,0),0)</f>
        <v/>
      </c>
      <c r="Y1725" s="30">
        <f>T1725*X1725</f>
        <v/>
      </c>
      <c r="Z1725" s="28">
        <f>IFERROR(LOOKUP(Y1725,{0;0.5;5;25},{"Bajo";"Medio";"Alto";"Crítico"}),"")</f>
        <v/>
      </c>
      <c r="AA1725" s="64">
        <f>IF(T1725&gt;=3,IF(X1725&gt;=1,"Zona 1 — Crítica: impacto alto y ocurre al menos una vez al año","Zona 4 — Catastrófica poco probable: impacto alto pero excepcional"),IF(AND(T1725&lt;1.5,X1725&lt;1),"Zona 3 — Asumible: impacto bajo y muy poco frecuente","Zona 2 — Atención: riesgo intermedio"))</f>
        <v/>
      </c>
      <c r="AB1725" s="64">
        <f>IFERROR(INDEX(MgAmenCtrl,MATCH(SUBSTITUTE($H1725,"*","-"),MgAmenClave,0)),"")</f>
        <v/>
      </c>
      <c r="AC1725" s="20" t="n"/>
      <c r="AD1725" s="31">
        <f>IFERROR($X1725*(1-IF($AC1725="",$AL1725,VLOOKUP($AC1725,MgMad,2,0))),"")</f>
        <v/>
      </c>
      <c r="AE1725" s="28">
        <f>IFERROR(LOOKUP(AD1725,{0;0.01;0.1;1;10;100},{"Muy baja";"Muy baja";"Baja";"Media";"Alta";"Muy alta"}),"")</f>
        <v/>
      </c>
      <c r="AF1725" s="30">
        <f>T1725*AD1725</f>
        <v/>
      </c>
      <c r="AG1725" s="28">
        <f>IFERROR(LOOKUP(AF1725,{0;0.5;5;25},{"Bajo";"Medio";"Alto";"Crítico"}),"")</f>
        <v/>
      </c>
      <c r="AH1725" s="28">
        <f>IF(AG1725="","",IF(OR(AG1725="Crítico",AG1725="Alto"),"Mitigar",IF(AG1725="Medio","Mitigar","Aceptar y monitorear")))</f>
        <v/>
      </c>
      <c r="AI1725" s="21" t="n"/>
      <c r="AJ1725" s="21" t="n"/>
      <c r="AK1725" s="20" t="n"/>
      <c r="AL1725" s="77">
        <f>IFERROR(INDEX(MgAmenEfic,MATCH(SUBSTITUTE($H1725,"*","-"),MgAmenClave,0)),0)</f>
        <v/>
      </c>
    </row>
    <row r="1726" hidden="1" ht="105" customHeight="1" s="54">
      <c r="B1726" s="59" t="inlineStr">
        <is>
          <t>R-1721</t>
        </is>
      </c>
      <c r="C1726" s="59" t="inlineStr">
        <is>
          <t>FIN-13</t>
        </is>
      </c>
      <c r="D1726" s="64">
        <f>IFERROR(INDEX(MgNombre,MATCH($C1726,MgActId,0)),"")</f>
        <v/>
      </c>
      <c r="E1726" s="64">
        <f>IFERROR(INDEX(MgProceso,MATCH($C1726,MgActId,0)),"")</f>
        <v/>
      </c>
      <c r="F1726" s="64">
        <f>IFERROR(INDEX(MgTipo,MATCH($C1726,MgActId,0)),"")</f>
        <v/>
      </c>
      <c r="G1726" s="64">
        <f>IFERROR(INDEX(MgSubtipo,MATCH($C1726,MgActId,0)),"")</f>
        <v/>
      </c>
      <c r="H1726" s="59" t="inlineStr">
        <is>
          <t>E.19</t>
        </is>
      </c>
      <c r="I1726" s="64">
        <f>IFERROR(INDEX(MgAmenNombre,MATCH(SUBSTITUTE($H1726,"*","-"),MgAmenClave,0)),"")</f>
        <v/>
      </c>
      <c r="J1726" s="28">
        <f>IFERROR(INDEX(MgAmenGrupo,MATCH(SUBSTITUTE($H1726,"*","-"),MgAmenClave,0)),"")</f>
        <v/>
      </c>
      <c r="K1726" s="64">
        <f>IFERROR(INDEX('1. Matriz de Activos'!$Q$6:$Q$239,MATCH($C1726,MgActId,0)),"")</f>
        <v/>
      </c>
      <c r="L1726" s="64">
        <f>IFERROR(INDEX('1. Matriz de Activos'!$R$6:$R$239,MATCH($C1726,MgActId,0)),"")</f>
        <v/>
      </c>
      <c r="M1726" s="64">
        <f>IFERROR(INDEX('1. Matriz de Activos'!$S$6:$S$239,MATCH($C1726,MgActId,0)),"")</f>
        <v/>
      </c>
      <c r="N1726" s="28">
        <f>IFERROR(INDEX(MgAmenDegD,MATCH(SUBSTITUTE($H1726,"*","-"),MgAmenClave,0)),"No aplica")</f>
        <v/>
      </c>
      <c r="O1726" s="28">
        <f>IFERROR(INDEX(MgAmenDegI,MATCH(SUBSTITUTE($H1726,"*","-"),MgAmenClave,0)),"No aplica")</f>
        <v/>
      </c>
      <c r="P1726" s="28">
        <f>IFERROR(INDEX(MgAmenDegC,MATCH(SUBSTITUTE($H1726,"*","-"),MgAmenClave,0)),"No aplica")</f>
        <v/>
      </c>
      <c r="Q1726" s="29">
        <f>IFERROR(VLOOKUP(K1726,MgValor,2,0)*VLOOKUP(N1726,MgDeg,2,0),0)</f>
        <v/>
      </c>
      <c r="R1726" s="29">
        <f>IFERROR(VLOOKUP(L1726,MgValor,2,0)*VLOOKUP(O1726,MgDeg,2,0),0)</f>
        <v/>
      </c>
      <c r="S1726" s="29">
        <f>IFERROR(VLOOKUP(M1726,MgValor,2,0)*VLOOKUP(P1726,MgDeg,2,0),0)</f>
        <v/>
      </c>
      <c r="T1726" s="30">
        <f>MAX(Q1726:S1726)</f>
        <v/>
      </c>
      <c r="U1726" s="28">
        <f>IFERROR(LOOKUP(T1726,{0;0.5;1.5;3;4.5},{"Despreciable";"Bajo";"Medio";"Alto";"Muy alto"}),"")</f>
        <v/>
      </c>
      <c r="V1726" s="13">
        <f>IFERROR(INDEX(MgAmenFrec,MATCH(SUBSTITUTE($H1726,"*","-"),MgAmenClave,0)),"")</f>
        <v/>
      </c>
      <c r="W1726" s="28">
        <f>IFERROR(LOOKUP(X1726,{0;0.01;0.1;1;10;100},{"Muy baja";"Muy baja";"Baja";"Media";"Alta";"Muy alta"}),"")</f>
        <v/>
      </c>
      <c r="X1726" s="31">
        <f>IFERROR(VLOOKUP(V1726,MgFrec,2,0),0)</f>
        <v/>
      </c>
      <c r="Y1726" s="30">
        <f>T1726*X1726</f>
        <v/>
      </c>
      <c r="Z1726" s="28">
        <f>IFERROR(LOOKUP(Y1726,{0;0.5;5;25},{"Bajo";"Medio";"Alto";"Crítico"}),"")</f>
        <v/>
      </c>
      <c r="AA1726" s="64">
        <f>IF(T1726&gt;=3,IF(X1726&gt;=1,"Zona 1 — Crítica: impacto alto y ocurre al menos una vez al año","Zona 4 — Catastrófica poco probable: impacto alto pero excepcional"),IF(AND(T1726&lt;1.5,X1726&lt;1),"Zona 3 — Asumible: impacto bajo y muy poco frecuente","Zona 2 — Atención: riesgo intermedio"))</f>
        <v/>
      </c>
      <c r="AB1726" s="64">
        <f>IFERROR(INDEX(MgAmenCtrl,MATCH(SUBSTITUTE($H1726,"*","-"),MgAmenClave,0)),"")</f>
        <v/>
      </c>
      <c r="AC1726" s="20" t="n"/>
      <c r="AD1726" s="31">
        <f>IFERROR($X1726*(1-IF($AC1726="",$AL1726,VLOOKUP($AC1726,MgMad,2,0))),"")</f>
        <v/>
      </c>
      <c r="AE1726" s="28">
        <f>IFERROR(LOOKUP(AD1726,{0;0.01;0.1;1;10;100},{"Muy baja";"Muy baja";"Baja";"Media";"Alta";"Muy alta"}),"")</f>
        <v/>
      </c>
      <c r="AF1726" s="30">
        <f>T1726*AD1726</f>
        <v/>
      </c>
      <c r="AG1726" s="28">
        <f>IFERROR(LOOKUP(AF1726,{0;0.5;5;25},{"Bajo";"Medio";"Alto";"Crítico"}),"")</f>
        <v/>
      </c>
      <c r="AH1726" s="28">
        <f>IF(AG1726="","",IF(OR(AG1726="Crítico",AG1726="Alto"),"Mitigar",IF(AG1726="Medio","Mitigar","Aceptar y monitorear")))</f>
        <v/>
      </c>
      <c r="AI1726" s="21" t="n"/>
      <c r="AJ1726" s="21" t="n"/>
      <c r="AK1726" s="20" t="n"/>
      <c r="AL1726" s="77">
        <f>IFERROR(INDEX(MgAmenEfic,MATCH(SUBSTITUTE($H1726,"*","-"),MgAmenClave,0)),0)</f>
        <v/>
      </c>
    </row>
    <row r="1727" hidden="1" ht="45" customHeight="1" s="54">
      <c r="B1727" s="59" t="inlineStr">
        <is>
          <t>R-1722</t>
        </is>
      </c>
      <c r="C1727" s="59" t="inlineStr">
        <is>
          <t>FIN-13</t>
        </is>
      </c>
      <c r="D1727" s="64">
        <f>IFERROR(INDEX(MgNombre,MATCH($C1727,MgActId,0)),"")</f>
        <v/>
      </c>
      <c r="E1727" s="64">
        <f>IFERROR(INDEX(MgProceso,MATCH($C1727,MgActId,0)),"")</f>
        <v/>
      </c>
      <c r="F1727" s="64">
        <f>IFERROR(INDEX(MgTipo,MATCH($C1727,MgActId,0)),"")</f>
        <v/>
      </c>
      <c r="G1727" s="64">
        <f>IFERROR(INDEX(MgSubtipo,MATCH($C1727,MgActId,0)),"")</f>
        <v/>
      </c>
      <c r="H1727" s="59" t="inlineStr">
        <is>
          <t>E.23</t>
        </is>
      </c>
      <c r="I1727" s="64">
        <f>IFERROR(INDEX(MgAmenNombre,MATCH(SUBSTITUTE($H1727,"*","-"),MgAmenClave,0)),"")</f>
        <v/>
      </c>
      <c r="J1727" s="28">
        <f>IFERROR(INDEX(MgAmenGrupo,MATCH(SUBSTITUTE($H1727,"*","-"),MgAmenClave,0)),"")</f>
        <v/>
      </c>
      <c r="K1727" s="64">
        <f>IFERROR(INDEX('1. Matriz de Activos'!$Q$6:$Q$239,MATCH($C1727,MgActId,0)),"")</f>
        <v/>
      </c>
      <c r="L1727" s="64">
        <f>IFERROR(INDEX('1. Matriz de Activos'!$R$6:$R$239,MATCH($C1727,MgActId,0)),"")</f>
        <v/>
      </c>
      <c r="M1727" s="64">
        <f>IFERROR(INDEX('1. Matriz de Activos'!$S$6:$S$239,MATCH($C1727,MgActId,0)),"")</f>
        <v/>
      </c>
      <c r="N1727" s="28">
        <f>IFERROR(INDEX(MgAmenDegD,MATCH(SUBSTITUTE($H1727,"*","-"),MgAmenClave,0)),"No aplica")</f>
        <v/>
      </c>
      <c r="O1727" s="28">
        <f>IFERROR(INDEX(MgAmenDegI,MATCH(SUBSTITUTE($H1727,"*","-"),MgAmenClave,0)),"No aplica")</f>
        <v/>
      </c>
      <c r="P1727" s="28">
        <f>IFERROR(INDEX(MgAmenDegC,MATCH(SUBSTITUTE($H1727,"*","-"),MgAmenClave,0)),"No aplica")</f>
        <v/>
      </c>
      <c r="Q1727" s="29">
        <f>IFERROR(VLOOKUP(K1727,MgValor,2,0)*VLOOKUP(N1727,MgDeg,2,0),0)</f>
        <v/>
      </c>
      <c r="R1727" s="29">
        <f>IFERROR(VLOOKUP(L1727,MgValor,2,0)*VLOOKUP(O1727,MgDeg,2,0),0)</f>
        <v/>
      </c>
      <c r="S1727" s="29">
        <f>IFERROR(VLOOKUP(M1727,MgValor,2,0)*VLOOKUP(P1727,MgDeg,2,0),0)</f>
        <v/>
      </c>
      <c r="T1727" s="30">
        <f>MAX(Q1727:S1727)</f>
        <v/>
      </c>
      <c r="U1727" s="28">
        <f>IFERROR(LOOKUP(T1727,{0;0.5;1.5;3;4.5},{"Despreciable";"Bajo";"Medio";"Alto";"Muy alto"}),"")</f>
        <v/>
      </c>
      <c r="V1727" s="13">
        <f>IFERROR(INDEX(MgAmenFrec,MATCH(SUBSTITUTE($H1727,"*","-"),MgAmenClave,0)),"")</f>
        <v/>
      </c>
      <c r="W1727" s="28">
        <f>IFERROR(LOOKUP(X1727,{0;0.01;0.1;1;10;100},{"Muy baja";"Muy baja";"Baja";"Media";"Alta";"Muy alta"}),"")</f>
        <v/>
      </c>
      <c r="X1727" s="31">
        <f>IFERROR(VLOOKUP(V1727,MgFrec,2,0),0)</f>
        <v/>
      </c>
      <c r="Y1727" s="30">
        <f>T1727*X1727</f>
        <v/>
      </c>
      <c r="Z1727" s="28">
        <f>IFERROR(LOOKUP(Y1727,{0;0.5;5;25},{"Bajo";"Medio";"Alto";"Crítico"}),"")</f>
        <v/>
      </c>
      <c r="AA1727" s="64">
        <f>IF(T1727&gt;=3,IF(X1727&gt;=1,"Zona 1 — Crítica: impacto alto y ocurre al menos una vez al año","Zona 4 — Catastrófica poco probable: impacto alto pero excepcional"),IF(AND(T1727&lt;1.5,X1727&lt;1),"Zona 3 — Asumible: impacto bajo y muy poco frecuente","Zona 2 — Atención: riesgo intermedio"))</f>
        <v/>
      </c>
      <c r="AB1727" s="64">
        <f>IFERROR(INDEX(MgAmenCtrl,MATCH(SUBSTITUTE($H1727,"*","-"),MgAmenClave,0)),"")</f>
        <v/>
      </c>
      <c r="AC1727" s="20" t="n"/>
      <c r="AD1727" s="31">
        <f>IFERROR($X1727*(1-IF($AC1727="",$AL1727,VLOOKUP($AC1727,MgMad,2,0))),"")</f>
        <v/>
      </c>
      <c r="AE1727" s="28">
        <f>IFERROR(LOOKUP(AD1727,{0;0.01;0.1;1;10;100},{"Muy baja";"Muy baja";"Baja";"Media";"Alta";"Muy alta"}),"")</f>
        <v/>
      </c>
      <c r="AF1727" s="30">
        <f>T1727*AD1727</f>
        <v/>
      </c>
      <c r="AG1727" s="28">
        <f>IFERROR(LOOKUP(AF1727,{0;0.5;5;25},{"Bajo";"Medio";"Alto";"Crítico"}),"")</f>
        <v/>
      </c>
      <c r="AH1727" s="28">
        <f>IF(AG1727="","",IF(OR(AG1727="Crítico",AG1727="Alto"),"Mitigar",IF(AG1727="Medio","Mitigar","Aceptar y monitorear")))</f>
        <v/>
      </c>
      <c r="AI1727" s="21" t="n"/>
      <c r="AJ1727" s="21" t="n"/>
      <c r="AK1727" s="20" t="n"/>
      <c r="AL1727" s="77">
        <f>IFERROR(INDEX(MgAmenEfic,MATCH(SUBSTITUTE($H1727,"*","-"),MgAmenClave,0)),0)</f>
        <v/>
      </c>
    </row>
    <row r="1728" hidden="1" ht="75" customHeight="1" s="54">
      <c r="B1728" s="59" t="inlineStr">
        <is>
          <t>R-1723</t>
        </is>
      </c>
      <c r="C1728" s="59" t="inlineStr">
        <is>
          <t>FIN-13</t>
        </is>
      </c>
      <c r="D1728" s="64">
        <f>IFERROR(INDEX(MgNombre,MATCH($C1728,MgActId,0)),"")</f>
        <v/>
      </c>
      <c r="E1728" s="64">
        <f>IFERROR(INDEX(MgProceso,MATCH($C1728,MgActId,0)),"")</f>
        <v/>
      </c>
      <c r="F1728" s="64">
        <f>IFERROR(INDEX(MgTipo,MATCH($C1728,MgActId,0)),"")</f>
        <v/>
      </c>
      <c r="G1728" s="64">
        <f>IFERROR(INDEX(MgSubtipo,MATCH($C1728,MgActId,0)),"")</f>
        <v/>
      </c>
      <c r="H1728" s="59" t="inlineStr">
        <is>
          <t>E.25</t>
        </is>
      </c>
      <c r="I1728" s="64">
        <f>IFERROR(INDEX(MgAmenNombre,MATCH(SUBSTITUTE($H1728,"*","-"),MgAmenClave,0)),"")</f>
        <v/>
      </c>
      <c r="J1728" s="28">
        <f>IFERROR(INDEX(MgAmenGrupo,MATCH(SUBSTITUTE($H1728,"*","-"),MgAmenClave,0)),"")</f>
        <v/>
      </c>
      <c r="K1728" s="64">
        <f>IFERROR(INDEX('1. Matriz de Activos'!$Q$6:$Q$239,MATCH($C1728,MgActId,0)),"")</f>
        <v/>
      </c>
      <c r="L1728" s="64">
        <f>IFERROR(INDEX('1. Matriz de Activos'!$R$6:$R$239,MATCH($C1728,MgActId,0)),"")</f>
        <v/>
      </c>
      <c r="M1728" s="64">
        <f>IFERROR(INDEX('1. Matriz de Activos'!$S$6:$S$239,MATCH($C1728,MgActId,0)),"")</f>
        <v/>
      </c>
      <c r="N1728" s="28">
        <f>IFERROR(INDEX(MgAmenDegD,MATCH(SUBSTITUTE($H1728,"*","-"),MgAmenClave,0)),"No aplica")</f>
        <v/>
      </c>
      <c r="O1728" s="28">
        <f>IFERROR(INDEX(MgAmenDegI,MATCH(SUBSTITUTE($H1728,"*","-"),MgAmenClave,0)),"No aplica")</f>
        <v/>
      </c>
      <c r="P1728" s="28">
        <f>IFERROR(INDEX(MgAmenDegC,MATCH(SUBSTITUTE($H1728,"*","-"),MgAmenClave,0)),"No aplica")</f>
        <v/>
      </c>
      <c r="Q1728" s="29">
        <f>IFERROR(VLOOKUP(K1728,MgValor,2,0)*VLOOKUP(N1728,MgDeg,2,0),0)</f>
        <v/>
      </c>
      <c r="R1728" s="29">
        <f>IFERROR(VLOOKUP(L1728,MgValor,2,0)*VLOOKUP(O1728,MgDeg,2,0),0)</f>
        <v/>
      </c>
      <c r="S1728" s="29">
        <f>IFERROR(VLOOKUP(M1728,MgValor,2,0)*VLOOKUP(P1728,MgDeg,2,0),0)</f>
        <v/>
      </c>
      <c r="T1728" s="30">
        <f>MAX(Q1728:S1728)</f>
        <v/>
      </c>
      <c r="U1728" s="28">
        <f>IFERROR(LOOKUP(T1728,{0;0.5;1.5;3;4.5},{"Despreciable";"Bajo";"Medio";"Alto";"Muy alto"}),"")</f>
        <v/>
      </c>
      <c r="V1728" s="13">
        <f>IFERROR(INDEX(MgAmenFrec,MATCH(SUBSTITUTE($H1728,"*","-"),MgAmenClave,0)),"")</f>
        <v/>
      </c>
      <c r="W1728" s="28">
        <f>IFERROR(LOOKUP(X1728,{0;0.01;0.1;1;10;100},{"Muy baja";"Muy baja";"Baja";"Media";"Alta";"Muy alta"}),"")</f>
        <v/>
      </c>
      <c r="X1728" s="31">
        <f>IFERROR(VLOOKUP(V1728,MgFrec,2,0),0)</f>
        <v/>
      </c>
      <c r="Y1728" s="30">
        <f>T1728*X1728</f>
        <v/>
      </c>
      <c r="Z1728" s="28">
        <f>IFERROR(LOOKUP(Y1728,{0;0.5;5;25},{"Bajo";"Medio";"Alto";"Crítico"}),"")</f>
        <v/>
      </c>
      <c r="AA1728" s="64">
        <f>IF(T1728&gt;=3,IF(X1728&gt;=1,"Zona 1 — Crítica: impacto alto y ocurre al menos una vez al año","Zona 4 — Catastrófica poco probable: impacto alto pero excepcional"),IF(AND(T1728&lt;1.5,X1728&lt;1),"Zona 3 — Asumible: impacto bajo y muy poco frecuente","Zona 2 — Atención: riesgo intermedio"))</f>
        <v/>
      </c>
      <c r="AB1728" s="64">
        <f>IFERROR(INDEX(MgAmenCtrl,MATCH(SUBSTITUTE($H1728,"*","-"),MgAmenClave,0)),"")</f>
        <v/>
      </c>
      <c r="AC1728" s="20" t="n"/>
      <c r="AD1728" s="31">
        <f>IFERROR($X1728*(1-IF($AC1728="",$AL1728,VLOOKUP($AC1728,MgMad,2,0))),"")</f>
        <v/>
      </c>
      <c r="AE1728" s="28">
        <f>IFERROR(LOOKUP(AD1728,{0;0.01;0.1;1;10;100},{"Muy baja";"Muy baja";"Baja";"Media";"Alta";"Muy alta"}),"")</f>
        <v/>
      </c>
      <c r="AF1728" s="30">
        <f>T1728*AD1728</f>
        <v/>
      </c>
      <c r="AG1728" s="28">
        <f>IFERROR(LOOKUP(AF1728,{0;0.5;5;25},{"Bajo";"Medio";"Alto";"Crítico"}),"")</f>
        <v/>
      </c>
      <c r="AH1728" s="28">
        <f>IF(AG1728="","",IF(OR(AG1728="Crítico",AG1728="Alto"),"Mitigar",IF(AG1728="Medio","Mitigar","Aceptar y monitorear")))</f>
        <v/>
      </c>
      <c r="AI1728" s="21" t="n"/>
      <c r="AJ1728" s="21" t="n"/>
      <c r="AK1728" s="20" t="n"/>
      <c r="AL1728" s="77">
        <f>IFERROR(INDEX(MgAmenEfic,MATCH(SUBSTITUTE($H1728,"*","-"),MgAmenClave,0)),0)</f>
        <v/>
      </c>
    </row>
    <row r="1729" hidden="1" ht="60" customHeight="1" s="54">
      <c r="B1729" s="59" t="inlineStr">
        <is>
          <t>R-1724</t>
        </is>
      </c>
      <c r="C1729" s="59" t="inlineStr">
        <is>
          <t>FIN-13</t>
        </is>
      </c>
      <c r="D1729" s="64">
        <f>IFERROR(INDEX(MgNombre,MATCH($C1729,MgActId,0)),"")</f>
        <v/>
      </c>
      <c r="E1729" s="64">
        <f>IFERROR(INDEX(MgProceso,MATCH($C1729,MgActId,0)),"")</f>
        <v/>
      </c>
      <c r="F1729" s="64">
        <f>IFERROR(INDEX(MgTipo,MATCH($C1729,MgActId,0)),"")</f>
        <v/>
      </c>
      <c r="G1729" s="64">
        <f>IFERROR(INDEX(MgSubtipo,MATCH($C1729,MgActId,0)),"")</f>
        <v/>
      </c>
      <c r="H1729" s="59" t="inlineStr">
        <is>
          <t>A.7</t>
        </is>
      </c>
      <c r="I1729" s="64">
        <f>IFERROR(INDEX(MgAmenNombre,MATCH(SUBSTITUTE($H1729,"*","-"),MgAmenClave,0)),"")</f>
        <v/>
      </c>
      <c r="J1729" s="28">
        <f>IFERROR(INDEX(MgAmenGrupo,MATCH(SUBSTITUTE($H1729,"*","-"),MgAmenClave,0)),"")</f>
        <v/>
      </c>
      <c r="K1729" s="64">
        <f>IFERROR(INDEX('1. Matriz de Activos'!$Q$6:$Q$239,MATCH($C1729,MgActId,0)),"")</f>
        <v/>
      </c>
      <c r="L1729" s="64">
        <f>IFERROR(INDEX('1. Matriz de Activos'!$R$6:$R$239,MATCH($C1729,MgActId,0)),"")</f>
        <v/>
      </c>
      <c r="M1729" s="64">
        <f>IFERROR(INDEX('1. Matriz de Activos'!$S$6:$S$239,MATCH($C1729,MgActId,0)),"")</f>
        <v/>
      </c>
      <c r="N1729" s="28">
        <f>IFERROR(INDEX(MgAmenDegD,MATCH(SUBSTITUTE($H1729,"*","-"),MgAmenClave,0)),"No aplica")</f>
        <v/>
      </c>
      <c r="O1729" s="28">
        <f>IFERROR(INDEX(MgAmenDegI,MATCH(SUBSTITUTE($H1729,"*","-"),MgAmenClave,0)),"No aplica")</f>
        <v/>
      </c>
      <c r="P1729" s="28">
        <f>IFERROR(INDEX(MgAmenDegC,MATCH(SUBSTITUTE($H1729,"*","-"),MgAmenClave,0)),"No aplica")</f>
        <v/>
      </c>
      <c r="Q1729" s="29">
        <f>IFERROR(VLOOKUP(K1729,MgValor,2,0)*VLOOKUP(N1729,MgDeg,2,0),0)</f>
        <v/>
      </c>
      <c r="R1729" s="29">
        <f>IFERROR(VLOOKUP(L1729,MgValor,2,0)*VLOOKUP(O1729,MgDeg,2,0),0)</f>
        <v/>
      </c>
      <c r="S1729" s="29">
        <f>IFERROR(VLOOKUP(M1729,MgValor,2,0)*VLOOKUP(P1729,MgDeg,2,0),0)</f>
        <v/>
      </c>
      <c r="T1729" s="30">
        <f>MAX(Q1729:S1729)</f>
        <v/>
      </c>
      <c r="U1729" s="28">
        <f>IFERROR(LOOKUP(T1729,{0;0.5;1.5;3;4.5},{"Despreciable";"Bajo";"Medio";"Alto";"Muy alto"}),"")</f>
        <v/>
      </c>
      <c r="V1729" s="13">
        <f>IFERROR(INDEX(MgAmenFrec,MATCH(SUBSTITUTE($H1729,"*","-"),MgAmenClave,0)),"")</f>
        <v/>
      </c>
      <c r="W1729" s="28">
        <f>IFERROR(LOOKUP(X1729,{0;0.01;0.1;1;10;100},{"Muy baja";"Muy baja";"Baja";"Media";"Alta";"Muy alta"}),"")</f>
        <v/>
      </c>
      <c r="X1729" s="31">
        <f>IFERROR(VLOOKUP(V1729,MgFrec,2,0),0)</f>
        <v/>
      </c>
      <c r="Y1729" s="30">
        <f>T1729*X1729</f>
        <v/>
      </c>
      <c r="Z1729" s="28">
        <f>IFERROR(LOOKUP(Y1729,{0;0.5;5;25},{"Bajo";"Medio";"Alto";"Crítico"}),"")</f>
        <v/>
      </c>
      <c r="AA1729" s="64">
        <f>IF(T1729&gt;=3,IF(X1729&gt;=1,"Zona 1 — Crítica: impacto alto y ocurre al menos una vez al año","Zona 4 — Catastrófica poco probable: impacto alto pero excepcional"),IF(AND(T1729&lt;1.5,X1729&lt;1),"Zona 3 — Asumible: impacto bajo y muy poco frecuente","Zona 2 — Atención: riesgo intermedio"))</f>
        <v/>
      </c>
      <c r="AB1729" s="64">
        <f>IFERROR(INDEX(MgAmenCtrl,MATCH(SUBSTITUTE($H1729,"*","-"),MgAmenClave,0)),"")</f>
        <v/>
      </c>
      <c r="AC1729" s="20" t="n"/>
      <c r="AD1729" s="31">
        <f>IFERROR($X1729*(1-IF($AC1729="",$AL1729,VLOOKUP($AC1729,MgMad,2,0))),"")</f>
        <v/>
      </c>
      <c r="AE1729" s="28">
        <f>IFERROR(LOOKUP(AD1729,{0;0.01;0.1;1;10;100},{"Muy baja";"Muy baja";"Baja";"Media";"Alta";"Muy alta"}),"")</f>
        <v/>
      </c>
      <c r="AF1729" s="30">
        <f>T1729*AD1729</f>
        <v/>
      </c>
      <c r="AG1729" s="28">
        <f>IFERROR(LOOKUP(AF1729,{0;0.5;5;25},{"Bajo";"Medio";"Alto";"Crítico"}),"")</f>
        <v/>
      </c>
      <c r="AH1729" s="28">
        <f>IF(AG1729="","",IF(OR(AG1729="Crítico",AG1729="Alto"),"Mitigar",IF(AG1729="Medio","Mitigar","Aceptar y monitorear")))</f>
        <v/>
      </c>
      <c r="AI1729" s="21" t="n"/>
      <c r="AJ1729" s="21" t="n"/>
      <c r="AK1729" s="20" t="n"/>
      <c r="AL1729" s="77">
        <f>IFERROR(INDEX(MgAmenEfic,MATCH(SUBSTITUTE($H1729,"*","-"),MgAmenClave,0)),0)</f>
        <v/>
      </c>
    </row>
    <row r="1730" hidden="1" ht="120" customHeight="1" s="54">
      <c r="B1730" s="59" t="inlineStr">
        <is>
          <t>R-1725</t>
        </is>
      </c>
      <c r="C1730" s="59" t="inlineStr">
        <is>
          <t>FIN-13</t>
        </is>
      </c>
      <c r="D1730" s="64">
        <f>IFERROR(INDEX(MgNombre,MATCH($C1730,MgActId,0)),"")</f>
        <v/>
      </c>
      <c r="E1730" s="64">
        <f>IFERROR(INDEX(MgProceso,MATCH($C1730,MgActId,0)),"")</f>
        <v/>
      </c>
      <c r="F1730" s="64">
        <f>IFERROR(INDEX(MgTipo,MATCH($C1730,MgActId,0)),"")</f>
        <v/>
      </c>
      <c r="G1730" s="64">
        <f>IFERROR(INDEX(MgSubtipo,MATCH($C1730,MgActId,0)),"")</f>
        <v/>
      </c>
      <c r="H1730" s="59" t="inlineStr">
        <is>
          <t>A.11</t>
        </is>
      </c>
      <c r="I1730" s="64">
        <f>IFERROR(INDEX(MgAmenNombre,MATCH(SUBSTITUTE($H1730,"*","-"),MgAmenClave,0)),"")</f>
        <v/>
      </c>
      <c r="J1730" s="28">
        <f>IFERROR(INDEX(MgAmenGrupo,MATCH(SUBSTITUTE($H1730,"*","-"),MgAmenClave,0)),"")</f>
        <v/>
      </c>
      <c r="K1730" s="64">
        <f>IFERROR(INDEX('1. Matriz de Activos'!$Q$6:$Q$239,MATCH($C1730,MgActId,0)),"")</f>
        <v/>
      </c>
      <c r="L1730" s="64">
        <f>IFERROR(INDEX('1. Matriz de Activos'!$R$6:$R$239,MATCH($C1730,MgActId,0)),"")</f>
        <v/>
      </c>
      <c r="M1730" s="64">
        <f>IFERROR(INDEX('1. Matriz de Activos'!$S$6:$S$239,MATCH($C1730,MgActId,0)),"")</f>
        <v/>
      </c>
      <c r="N1730" s="28">
        <f>IFERROR(INDEX(MgAmenDegD,MATCH(SUBSTITUTE($H1730,"*","-"),MgAmenClave,0)),"No aplica")</f>
        <v/>
      </c>
      <c r="O1730" s="28">
        <f>IFERROR(INDEX(MgAmenDegI,MATCH(SUBSTITUTE($H1730,"*","-"),MgAmenClave,0)),"No aplica")</f>
        <v/>
      </c>
      <c r="P1730" s="28">
        <f>IFERROR(INDEX(MgAmenDegC,MATCH(SUBSTITUTE($H1730,"*","-"),MgAmenClave,0)),"No aplica")</f>
        <v/>
      </c>
      <c r="Q1730" s="29">
        <f>IFERROR(VLOOKUP(K1730,MgValor,2,0)*VLOOKUP(N1730,MgDeg,2,0),0)</f>
        <v/>
      </c>
      <c r="R1730" s="29">
        <f>IFERROR(VLOOKUP(L1730,MgValor,2,0)*VLOOKUP(O1730,MgDeg,2,0),0)</f>
        <v/>
      </c>
      <c r="S1730" s="29">
        <f>IFERROR(VLOOKUP(M1730,MgValor,2,0)*VLOOKUP(P1730,MgDeg,2,0),0)</f>
        <v/>
      </c>
      <c r="T1730" s="30">
        <f>MAX(Q1730:S1730)</f>
        <v/>
      </c>
      <c r="U1730" s="28">
        <f>IFERROR(LOOKUP(T1730,{0;0.5;1.5;3;4.5},{"Despreciable";"Bajo";"Medio";"Alto";"Muy alto"}),"")</f>
        <v/>
      </c>
      <c r="V1730" s="13">
        <f>IFERROR(INDEX(MgAmenFrec,MATCH(SUBSTITUTE($H1730,"*","-"),MgAmenClave,0)),"")</f>
        <v/>
      </c>
      <c r="W1730" s="28">
        <f>IFERROR(LOOKUP(X1730,{0;0.01;0.1;1;10;100},{"Muy baja";"Muy baja";"Baja";"Media";"Alta";"Muy alta"}),"")</f>
        <v/>
      </c>
      <c r="X1730" s="31">
        <f>IFERROR(VLOOKUP(V1730,MgFrec,2,0),0)</f>
        <v/>
      </c>
      <c r="Y1730" s="30">
        <f>T1730*X1730</f>
        <v/>
      </c>
      <c r="Z1730" s="28">
        <f>IFERROR(LOOKUP(Y1730,{0;0.5;5;25},{"Bajo";"Medio";"Alto";"Crítico"}),"")</f>
        <v/>
      </c>
      <c r="AA1730" s="64">
        <f>IF(T1730&gt;=3,IF(X1730&gt;=1,"Zona 1 — Crítica: impacto alto y ocurre al menos una vez al año","Zona 4 — Catastrófica poco probable: impacto alto pero excepcional"),IF(AND(T1730&lt;1.5,X1730&lt;1),"Zona 3 — Asumible: impacto bajo y muy poco frecuente","Zona 2 — Atención: riesgo intermedio"))</f>
        <v/>
      </c>
      <c r="AB1730" s="64">
        <f>IFERROR(INDEX(MgAmenCtrl,MATCH(SUBSTITUTE($H1730,"*","-"),MgAmenClave,0)),"")</f>
        <v/>
      </c>
      <c r="AC1730" s="20" t="n"/>
      <c r="AD1730" s="31">
        <f>IFERROR($X1730*(1-IF($AC1730="",$AL1730,VLOOKUP($AC1730,MgMad,2,0))),"")</f>
        <v/>
      </c>
      <c r="AE1730" s="28">
        <f>IFERROR(LOOKUP(AD1730,{0;0.01;0.1;1;10;100},{"Muy baja";"Muy baja";"Baja";"Media";"Alta";"Muy alta"}),"")</f>
        <v/>
      </c>
      <c r="AF1730" s="30">
        <f>T1730*AD1730</f>
        <v/>
      </c>
      <c r="AG1730" s="28">
        <f>IFERROR(LOOKUP(AF1730,{0;0.5;5;25},{"Bajo";"Medio";"Alto";"Crítico"}),"")</f>
        <v/>
      </c>
      <c r="AH1730" s="28">
        <f>IF(AG1730="","",IF(OR(AG1730="Crítico",AG1730="Alto"),"Mitigar",IF(AG1730="Medio","Mitigar","Aceptar y monitorear")))</f>
        <v/>
      </c>
      <c r="AI1730" s="21" t="n"/>
      <c r="AJ1730" s="21" t="n"/>
      <c r="AK1730" s="20" t="n"/>
      <c r="AL1730" s="77">
        <f>IFERROR(INDEX(MgAmenEfic,MATCH(SUBSTITUTE($H1730,"*","-"),MgAmenClave,0)),0)</f>
        <v/>
      </c>
    </row>
    <row r="1731" hidden="1" ht="60" customHeight="1" s="54">
      <c r="B1731" s="59" t="inlineStr">
        <is>
          <t>R-1726</t>
        </is>
      </c>
      <c r="C1731" s="59" t="inlineStr">
        <is>
          <t>FIN-13</t>
        </is>
      </c>
      <c r="D1731" s="64">
        <f>IFERROR(INDEX(MgNombre,MATCH($C1731,MgActId,0)),"")</f>
        <v/>
      </c>
      <c r="E1731" s="64">
        <f>IFERROR(INDEX(MgProceso,MATCH($C1731,MgActId,0)),"")</f>
        <v/>
      </c>
      <c r="F1731" s="64">
        <f>IFERROR(INDEX(MgTipo,MATCH($C1731,MgActId,0)),"")</f>
        <v/>
      </c>
      <c r="G1731" s="64">
        <f>IFERROR(INDEX(MgSubtipo,MATCH($C1731,MgActId,0)),"")</f>
        <v/>
      </c>
      <c r="H1731" s="59" t="inlineStr">
        <is>
          <t>A.15</t>
        </is>
      </c>
      <c r="I1731" s="64">
        <f>IFERROR(INDEX(MgAmenNombre,MATCH(SUBSTITUTE($H1731,"*","-"),MgAmenClave,0)),"")</f>
        <v/>
      </c>
      <c r="J1731" s="28">
        <f>IFERROR(INDEX(MgAmenGrupo,MATCH(SUBSTITUTE($H1731,"*","-"),MgAmenClave,0)),"")</f>
        <v/>
      </c>
      <c r="K1731" s="64">
        <f>IFERROR(INDEX('1. Matriz de Activos'!$Q$6:$Q$239,MATCH($C1731,MgActId,0)),"")</f>
        <v/>
      </c>
      <c r="L1731" s="64">
        <f>IFERROR(INDEX('1. Matriz de Activos'!$R$6:$R$239,MATCH($C1731,MgActId,0)),"")</f>
        <v/>
      </c>
      <c r="M1731" s="64">
        <f>IFERROR(INDEX('1. Matriz de Activos'!$S$6:$S$239,MATCH($C1731,MgActId,0)),"")</f>
        <v/>
      </c>
      <c r="N1731" s="28">
        <f>IFERROR(INDEX(MgAmenDegD,MATCH(SUBSTITUTE($H1731,"*","-"),MgAmenClave,0)),"No aplica")</f>
        <v/>
      </c>
      <c r="O1731" s="28">
        <f>IFERROR(INDEX(MgAmenDegI,MATCH(SUBSTITUTE($H1731,"*","-"),MgAmenClave,0)),"No aplica")</f>
        <v/>
      </c>
      <c r="P1731" s="28">
        <f>IFERROR(INDEX(MgAmenDegC,MATCH(SUBSTITUTE($H1731,"*","-"),MgAmenClave,0)),"No aplica")</f>
        <v/>
      </c>
      <c r="Q1731" s="29">
        <f>IFERROR(VLOOKUP(K1731,MgValor,2,0)*VLOOKUP(N1731,MgDeg,2,0),0)</f>
        <v/>
      </c>
      <c r="R1731" s="29">
        <f>IFERROR(VLOOKUP(L1731,MgValor,2,0)*VLOOKUP(O1731,MgDeg,2,0),0)</f>
        <v/>
      </c>
      <c r="S1731" s="29">
        <f>IFERROR(VLOOKUP(M1731,MgValor,2,0)*VLOOKUP(P1731,MgDeg,2,0),0)</f>
        <v/>
      </c>
      <c r="T1731" s="30">
        <f>MAX(Q1731:S1731)</f>
        <v/>
      </c>
      <c r="U1731" s="28">
        <f>IFERROR(LOOKUP(T1731,{0;0.5;1.5;3;4.5},{"Despreciable";"Bajo";"Medio";"Alto";"Muy alto"}),"")</f>
        <v/>
      </c>
      <c r="V1731" s="13">
        <f>IFERROR(INDEX(MgAmenFrec,MATCH(SUBSTITUTE($H1731,"*","-"),MgAmenClave,0)),"")</f>
        <v/>
      </c>
      <c r="W1731" s="28">
        <f>IFERROR(LOOKUP(X1731,{0;0.01;0.1;1;10;100},{"Muy baja";"Muy baja";"Baja";"Media";"Alta";"Muy alta"}),"")</f>
        <v/>
      </c>
      <c r="X1731" s="31">
        <f>IFERROR(VLOOKUP(V1731,MgFrec,2,0),0)</f>
        <v/>
      </c>
      <c r="Y1731" s="30">
        <f>T1731*X1731</f>
        <v/>
      </c>
      <c r="Z1731" s="28">
        <f>IFERROR(LOOKUP(Y1731,{0;0.5;5;25},{"Bajo";"Medio";"Alto";"Crítico"}),"")</f>
        <v/>
      </c>
      <c r="AA1731" s="64">
        <f>IF(T1731&gt;=3,IF(X1731&gt;=1,"Zona 1 — Crítica: impacto alto y ocurre al menos una vez al año","Zona 4 — Catastrófica poco probable: impacto alto pero excepcional"),IF(AND(T1731&lt;1.5,X1731&lt;1),"Zona 3 — Asumible: impacto bajo y muy poco frecuente","Zona 2 — Atención: riesgo intermedio"))</f>
        <v/>
      </c>
      <c r="AB1731" s="64">
        <f>IFERROR(INDEX(MgAmenCtrl,MATCH(SUBSTITUTE($H1731,"*","-"),MgAmenClave,0)),"")</f>
        <v/>
      </c>
      <c r="AC1731" s="20" t="n"/>
      <c r="AD1731" s="31">
        <f>IFERROR($X1731*(1-IF($AC1731="",$AL1731,VLOOKUP($AC1731,MgMad,2,0))),"")</f>
        <v/>
      </c>
      <c r="AE1731" s="28">
        <f>IFERROR(LOOKUP(AD1731,{0;0.01;0.1;1;10;100},{"Muy baja";"Muy baja";"Baja";"Media";"Alta";"Muy alta"}),"")</f>
        <v/>
      </c>
      <c r="AF1731" s="30">
        <f>T1731*AD1731</f>
        <v/>
      </c>
      <c r="AG1731" s="28">
        <f>IFERROR(LOOKUP(AF1731,{0;0.5;5;25},{"Bajo";"Medio";"Alto";"Crítico"}),"")</f>
        <v/>
      </c>
      <c r="AH1731" s="28">
        <f>IF(AG1731="","",IF(OR(AG1731="Crítico",AG1731="Alto"),"Mitigar",IF(AG1731="Medio","Mitigar","Aceptar y monitorear")))</f>
        <v/>
      </c>
      <c r="AI1731" s="21" t="n"/>
      <c r="AJ1731" s="21" t="n"/>
      <c r="AK1731" s="20" t="n"/>
      <c r="AL1731" s="77">
        <f>IFERROR(INDEX(MgAmenEfic,MATCH(SUBSTITUTE($H1731,"*","-"),MgAmenClave,0)),0)</f>
        <v/>
      </c>
    </row>
    <row r="1732" hidden="1" ht="60" customHeight="1" s="54">
      <c r="B1732" s="59" t="inlineStr">
        <is>
          <t>R-1727</t>
        </is>
      </c>
      <c r="C1732" s="59" t="inlineStr">
        <is>
          <t>FIN-13</t>
        </is>
      </c>
      <c r="D1732" s="64">
        <f>IFERROR(INDEX(MgNombre,MATCH($C1732,MgActId,0)),"")</f>
        <v/>
      </c>
      <c r="E1732" s="64">
        <f>IFERROR(INDEX(MgProceso,MATCH($C1732,MgActId,0)),"")</f>
        <v/>
      </c>
      <c r="F1732" s="64">
        <f>IFERROR(INDEX(MgTipo,MATCH($C1732,MgActId,0)),"")</f>
        <v/>
      </c>
      <c r="G1732" s="64">
        <f>IFERROR(INDEX(MgSubtipo,MATCH($C1732,MgActId,0)),"")</f>
        <v/>
      </c>
      <c r="H1732" s="59" t="inlineStr">
        <is>
          <t>A.18</t>
        </is>
      </c>
      <c r="I1732" s="64">
        <f>IFERROR(INDEX(MgAmenNombre,MATCH(SUBSTITUTE($H1732,"*","-"),MgAmenClave,0)),"")</f>
        <v/>
      </c>
      <c r="J1732" s="28">
        <f>IFERROR(INDEX(MgAmenGrupo,MATCH(SUBSTITUTE($H1732,"*","-"),MgAmenClave,0)),"")</f>
        <v/>
      </c>
      <c r="K1732" s="64">
        <f>IFERROR(INDEX('1. Matriz de Activos'!$Q$6:$Q$239,MATCH($C1732,MgActId,0)),"")</f>
        <v/>
      </c>
      <c r="L1732" s="64">
        <f>IFERROR(INDEX('1. Matriz de Activos'!$R$6:$R$239,MATCH($C1732,MgActId,0)),"")</f>
        <v/>
      </c>
      <c r="M1732" s="64">
        <f>IFERROR(INDEX('1. Matriz de Activos'!$S$6:$S$239,MATCH($C1732,MgActId,0)),"")</f>
        <v/>
      </c>
      <c r="N1732" s="28">
        <f>IFERROR(INDEX(MgAmenDegD,MATCH(SUBSTITUTE($H1732,"*","-"),MgAmenClave,0)),"No aplica")</f>
        <v/>
      </c>
      <c r="O1732" s="28">
        <f>IFERROR(INDEX(MgAmenDegI,MATCH(SUBSTITUTE($H1732,"*","-"),MgAmenClave,0)),"No aplica")</f>
        <v/>
      </c>
      <c r="P1732" s="28">
        <f>IFERROR(INDEX(MgAmenDegC,MATCH(SUBSTITUTE($H1732,"*","-"),MgAmenClave,0)),"No aplica")</f>
        <v/>
      </c>
      <c r="Q1732" s="29">
        <f>IFERROR(VLOOKUP(K1732,MgValor,2,0)*VLOOKUP(N1732,MgDeg,2,0),0)</f>
        <v/>
      </c>
      <c r="R1732" s="29">
        <f>IFERROR(VLOOKUP(L1732,MgValor,2,0)*VLOOKUP(O1732,MgDeg,2,0),0)</f>
        <v/>
      </c>
      <c r="S1732" s="29">
        <f>IFERROR(VLOOKUP(M1732,MgValor,2,0)*VLOOKUP(P1732,MgDeg,2,0),0)</f>
        <v/>
      </c>
      <c r="T1732" s="30">
        <f>MAX(Q1732:S1732)</f>
        <v/>
      </c>
      <c r="U1732" s="28">
        <f>IFERROR(LOOKUP(T1732,{0;0.5;1.5;3;4.5},{"Despreciable";"Bajo";"Medio";"Alto";"Muy alto"}),"")</f>
        <v/>
      </c>
      <c r="V1732" s="13">
        <f>IFERROR(INDEX(MgAmenFrec,MATCH(SUBSTITUTE($H1732,"*","-"),MgAmenClave,0)),"")</f>
        <v/>
      </c>
      <c r="W1732" s="28">
        <f>IFERROR(LOOKUP(X1732,{0;0.01;0.1;1;10;100},{"Muy baja";"Muy baja";"Baja";"Media";"Alta";"Muy alta"}),"")</f>
        <v/>
      </c>
      <c r="X1732" s="31">
        <f>IFERROR(VLOOKUP(V1732,MgFrec,2,0),0)</f>
        <v/>
      </c>
      <c r="Y1732" s="30">
        <f>T1732*X1732</f>
        <v/>
      </c>
      <c r="Z1732" s="28">
        <f>IFERROR(LOOKUP(Y1732,{0;0.5;5;25},{"Bajo";"Medio";"Alto";"Crítico"}),"")</f>
        <v/>
      </c>
      <c r="AA1732" s="64">
        <f>IF(T1732&gt;=3,IF(X1732&gt;=1,"Zona 1 — Crítica: impacto alto y ocurre al menos una vez al año","Zona 4 — Catastrófica poco probable: impacto alto pero excepcional"),IF(AND(T1732&lt;1.5,X1732&lt;1),"Zona 3 — Asumible: impacto bajo y muy poco frecuente","Zona 2 — Atención: riesgo intermedio"))</f>
        <v/>
      </c>
      <c r="AB1732" s="64">
        <f>IFERROR(INDEX(MgAmenCtrl,MATCH(SUBSTITUTE($H1732,"*","-"),MgAmenClave,0)),"")</f>
        <v/>
      </c>
      <c r="AC1732" s="20" t="n"/>
      <c r="AD1732" s="31">
        <f>IFERROR($X1732*(1-IF($AC1732="",$AL1732,VLOOKUP($AC1732,MgMad,2,0))),"")</f>
        <v/>
      </c>
      <c r="AE1732" s="28">
        <f>IFERROR(LOOKUP(AD1732,{0;0.01;0.1;1;10;100},{"Muy baja";"Muy baja";"Baja";"Media";"Alta";"Muy alta"}),"")</f>
        <v/>
      </c>
      <c r="AF1732" s="30">
        <f>T1732*AD1732</f>
        <v/>
      </c>
      <c r="AG1732" s="28">
        <f>IFERROR(LOOKUP(AF1732,{0;0.5;5;25},{"Bajo";"Medio";"Alto";"Crítico"}),"")</f>
        <v/>
      </c>
      <c r="AH1732" s="28">
        <f>IF(AG1732="","",IF(OR(AG1732="Crítico",AG1732="Alto"),"Mitigar",IF(AG1732="Medio","Mitigar","Aceptar y monitorear")))</f>
        <v/>
      </c>
      <c r="AI1732" s="21" t="n"/>
      <c r="AJ1732" s="21" t="n"/>
      <c r="AK1732" s="20" t="n"/>
      <c r="AL1732" s="77">
        <f>IFERROR(INDEX(MgAmenEfic,MATCH(SUBSTITUTE($H1732,"*","-"),MgAmenClave,0)),0)</f>
        <v/>
      </c>
    </row>
    <row r="1733" hidden="1" ht="120" customHeight="1" s="54">
      <c r="B1733" s="59" t="inlineStr">
        <is>
          <t>R-1728</t>
        </is>
      </c>
      <c r="C1733" s="59" t="inlineStr">
        <is>
          <t>FIN-13</t>
        </is>
      </c>
      <c r="D1733" s="64">
        <f>IFERROR(INDEX(MgNombre,MATCH($C1733,MgActId,0)),"")</f>
        <v/>
      </c>
      <c r="E1733" s="64">
        <f>IFERROR(INDEX(MgProceso,MATCH($C1733,MgActId,0)),"")</f>
        <v/>
      </c>
      <c r="F1733" s="64">
        <f>IFERROR(INDEX(MgTipo,MATCH($C1733,MgActId,0)),"")</f>
        <v/>
      </c>
      <c r="G1733" s="64">
        <f>IFERROR(INDEX(MgSubtipo,MATCH($C1733,MgActId,0)),"")</f>
        <v/>
      </c>
      <c r="H1733" s="59" t="inlineStr">
        <is>
          <t>A.19</t>
        </is>
      </c>
      <c r="I1733" s="64">
        <f>IFERROR(INDEX(MgAmenNombre,MATCH(SUBSTITUTE($H1733,"*","-"),MgAmenClave,0)),"")</f>
        <v/>
      </c>
      <c r="J1733" s="28">
        <f>IFERROR(INDEX(MgAmenGrupo,MATCH(SUBSTITUTE($H1733,"*","-"),MgAmenClave,0)),"")</f>
        <v/>
      </c>
      <c r="K1733" s="64">
        <f>IFERROR(INDEX('1. Matriz de Activos'!$Q$6:$Q$239,MATCH($C1733,MgActId,0)),"")</f>
        <v/>
      </c>
      <c r="L1733" s="64">
        <f>IFERROR(INDEX('1. Matriz de Activos'!$R$6:$R$239,MATCH($C1733,MgActId,0)),"")</f>
        <v/>
      </c>
      <c r="M1733" s="64">
        <f>IFERROR(INDEX('1. Matriz de Activos'!$S$6:$S$239,MATCH($C1733,MgActId,0)),"")</f>
        <v/>
      </c>
      <c r="N1733" s="28">
        <f>IFERROR(INDEX(MgAmenDegD,MATCH(SUBSTITUTE($H1733,"*","-"),MgAmenClave,0)),"No aplica")</f>
        <v/>
      </c>
      <c r="O1733" s="28">
        <f>IFERROR(INDEX(MgAmenDegI,MATCH(SUBSTITUTE($H1733,"*","-"),MgAmenClave,0)),"No aplica")</f>
        <v/>
      </c>
      <c r="P1733" s="28">
        <f>IFERROR(INDEX(MgAmenDegC,MATCH(SUBSTITUTE($H1733,"*","-"),MgAmenClave,0)),"No aplica")</f>
        <v/>
      </c>
      <c r="Q1733" s="29">
        <f>IFERROR(VLOOKUP(K1733,MgValor,2,0)*VLOOKUP(N1733,MgDeg,2,0),0)</f>
        <v/>
      </c>
      <c r="R1733" s="29">
        <f>IFERROR(VLOOKUP(L1733,MgValor,2,0)*VLOOKUP(O1733,MgDeg,2,0),0)</f>
        <v/>
      </c>
      <c r="S1733" s="29">
        <f>IFERROR(VLOOKUP(M1733,MgValor,2,0)*VLOOKUP(P1733,MgDeg,2,0),0)</f>
        <v/>
      </c>
      <c r="T1733" s="30">
        <f>MAX(Q1733:S1733)</f>
        <v/>
      </c>
      <c r="U1733" s="28">
        <f>IFERROR(LOOKUP(T1733,{0;0.5;1.5;3;4.5},{"Despreciable";"Bajo";"Medio";"Alto";"Muy alto"}),"")</f>
        <v/>
      </c>
      <c r="V1733" s="13">
        <f>IFERROR(INDEX(MgAmenFrec,MATCH(SUBSTITUTE($H1733,"*","-"),MgAmenClave,0)),"")</f>
        <v/>
      </c>
      <c r="W1733" s="28">
        <f>IFERROR(LOOKUP(X1733,{0;0.01;0.1;1;10;100},{"Muy baja";"Muy baja";"Baja";"Media";"Alta";"Muy alta"}),"")</f>
        <v/>
      </c>
      <c r="X1733" s="31">
        <f>IFERROR(VLOOKUP(V1733,MgFrec,2,0),0)</f>
        <v/>
      </c>
      <c r="Y1733" s="30">
        <f>T1733*X1733</f>
        <v/>
      </c>
      <c r="Z1733" s="28">
        <f>IFERROR(LOOKUP(Y1733,{0;0.5;5;25},{"Bajo";"Medio";"Alto";"Crítico"}),"")</f>
        <v/>
      </c>
      <c r="AA1733" s="64">
        <f>IF(T1733&gt;=3,IF(X1733&gt;=1,"Zona 1 — Crítica: impacto alto y ocurre al menos una vez al año","Zona 4 — Catastrófica poco probable: impacto alto pero excepcional"),IF(AND(T1733&lt;1.5,X1733&lt;1),"Zona 3 — Asumible: impacto bajo y muy poco frecuente","Zona 2 — Atención: riesgo intermedio"))</f>
        <v/>
      </c>
      <c r="AB1733" s="64">
        <f>IFERROR(INDEX(MgAmenCtrl,MATCH(SUBSTITUTE($H1733,"*","-"),MgAmenClave,0)),"")</f>
        <v/>
      </c>
      <c r="AC1733" s="20" t="n"/>
      <c r="AD1733" s="31">
        <f>IFERROR($X1733*(1-IF($AC1733="",$AL1733,VLOOKUP($AC1733,MgMad,2,0))),"")</f>
        <v/>
      </c>
      <c r="AE1733" s="28">
        <f>IFERROR(LOOKUP(AD1733,{0;0.01;0.1;1;10;100},{"Muy baja";"Muy baja";"Baja";"Media";"Alta";"Muy alta"}),"")</f>
        <v/>
      </c>
      <c r="AF1733" s="30">
        <f>T1733*AD1733</f>
        <v/>
      </c>
      <c r="AG1733" s="28">
        <f>IFERROR(LOOKUP(AF1733,{0;0.5;5;25},{"Bajo";"Medio";"Alto";"Crítico"}),"")</f>
        <v/>
      </c>
      <c r="AH1733" s="28">
        <f>IF(AG1733="","",IF(OR(AG1733="Crítico",AG1733="Alto"),"Mitigar",IF(AG1733="Medio","Mitigar","Aceptar y monitorear")))</f>
        <v/>
      </c>
      <c r="AI1733" s="21" t="n"/>
      <c r="AJ1733" s="21" t="n"/>
      <c r="AK1733" s="20" t="n"/>
      <c r="AL1733" s="77">
        <f>IFERROR(INDEX(MgAmenEfic,MATCH(SUBSTITUTE($H1733,"*","-"),MgAmenClave,0)),0)</f>
        <v/>
      </c>
    </row>
    <row r="1734" hidden="1" ht="60" customHeight="1" s="54">
      <c r="B1734" s="59" t="inlineStr">
        <is>
          <t>R-1729</t>
        </is>
      </c>
      <c r="C1734" s="59" t="inlineStr">
        <is>
          <t>FIN-13</t>
        </is>
      </c>
      <c r="D1734" s="64">
        <f>IFERROR(INDEX(MgNombre,MATCH($C1734,MgActId,0)),"")</f>
        <v/>
      </c>
      <c r="E1734" s="64">
        <f>IFERROR(INDEX(MgProceso,MATCH($C1734,MgActId,0)),"")</f>
        <v/>
      </c>
      <c r="F1734" s="64">
        <f>IFERROR(INDEX(MgTipo,MATCH($C1734,MgActId,0)),"")</f>
        <v/>
      </c>
      <c r="G1734" s="64">
        <f>IFERROR(INDEX(MgSubtipo,MATCH($C1734,MgActId,0)),"")</f>
        <v/>
      </c>
      <c r="H1734" s="59" t="inlineStr">
        <is>
          <t>A.23</t>
        </is>
      </c>
      <c r="I1734" s="64">
        <f>IFERROR(INDEX(MgAmenNombre,MATCH(SUBSTITUTE($H1734,"*","-"),MgAmenClave,0)),"")</f>
        <v/>
      </c>
      <c r="J1734" s="28">
        <f>IFERROR(INDEX(MgAmenGrupo,MATCH(SUBSTITUTE($H1734,"*","-"),MgAmenClave,0)),"")</f>
        <v/>
      </c>
      <c r="K1734" s="64">
        <f>IFERROR(INDEX('1. Matriz de Activos'!$Q$6:$Q$239,MATCH($C1734,MgActId,0)),"")</f>
        <v/>
      </c>
      <c r="L1734" s="64">
        <f>IFERROR(INDEX('1. Matriz de Activos'!$R$6:$R$239,MATCH($C1734,MgActId,0)),"")</f>
        <v/>
      </c>
      <c r="M1734" s="64">
        <f>IFERROR(INDEX('1. Matriz de Activos'!$S$6:$S$239,MATCH($C1734,MgActId,0)),"")</f>
        <v/>
      </c>
      <c r="N1734" s="28">
        <f>IFERROR(INDEX(MgAmenDegD,MATCH(SUBSTITUTE($H1734,"*","-"),MgAmenClave,0)),"No aplica")</f>
        <v/>
      </c>
      <c r="O1734" s="28">
        <f>IFERROR(INDEX(MgAmenDegI,MATCH(SUBSTITUTE($H1734,"*","-"),MgAmenClave,0)),"No aplica")</f>
        <v/>
      </c>
      <c r="P1734" s="28">
        <f>IFERROR(INDEX(MgAmenDegC,MATCH(SUBSTITUTE($H1734,"*","-"),MgAmenClave,0)),"No aplica")</f>
        <v/>
      </c>
      <c r="Q1734" s="29">
        <f>IFERROR(VLOOKUP(K1734,MgValor,2,0)*VLOOKUP(N1734,MgDeg,2,0),0)</f>
        <v/>
      </c>
      <c r="R1734" s="29">
        <f>IFERROR(VLOOKUP(L1734,MgValor,2,0)*VLOOKUP(O1734,MgDeg,2,0),0)</f>
        <v/>
      </c>
      <c r="S1734" s="29">
        <f>IFERROR(VLOOKUP(M1734,MgValor,2,0)*VLOOKUP(P1734,MgDeg,2,0),0)</f>
        <v/>
      </c>
      <c r="T1734" s="30">
        <f>MAX(Q1734:S1734)</f>
        <v/>
      </c>
      <c r="U1734" s="28">
        <f>IFERROR(LOOKUP(T1734,{0;0.5;1.5;3;4.5},{"Despreciable";"Bajo";"Medio";"Alto";"Muy alto"}),"")</f>
        <v/>
      </c>
      <c r="V1734" s="13">
        <f>IFERROR(INDEX(MgAmenFrec,MATCH(SUBSTITUTE($H1734,"*","-"),MgAmenClave,0)),"")</f>
        <v/>
      </c>
      <c r="W1734" s="28">
        <f>IFERROR(LOOKUP(X1734,{0;0.01;0.1;1;10;100},{"Muy baja";"Muy baja";"Baja";"Media";"Alta";"Muy alta"}),"")</f>
        <v/>
      </c>
      <c r="X1734" s="31">
        <f>IFERROR(VLOOKUP(V1734,MgFrec,2,0),0)</f>
        <v/>
      </c>
      <c r="Y1734" s="30">
        <f>T1734*X1734</f>
        <v/>
      </c>
      <c r="Z1734" s="28">
        <f>IFERROR(LOOKUP(Y1734,{0;0.5;5;25},{"Bajo";"Medio";"Alto";"Crítico"}),"")</f>
        <v/>
      </c>
      <c r="AA1734" s="64">
        <f>IF(T1734&gt;=3,IF(X1734&gt;=1,"Zona 1 — Crítica: impacto alto y ocurre al menos una vez al año","Zona 4 — Catastrófica poco probable: impacto alto pero excepcional"),IF(AND(T1734&lt;1.5,X1734&lt;1),"Zona 3 — Asumible: impacto bajo y muy poco frecuente","Zona 2 — Atención: riesgo intermedio"))</f>
        <v/>
      </c>
      <c r="AB1734" s="64">
        <f>IFERROR(INDEX(MgAmenCtrl,MATCH(SUBSTITUTE($H1734,"*","-"),MgAmenClave,0)),"")</f>
        <v/>
      </c>
      <c r="AC1734" s="20" t="n"/>
      <c r="AD1734" s="31">
        <f>IFERROR($X1734*(1-IF($AC1734="",$AL1734,VLOOKUP($AC1734,MgMad,2,0))),"")</f>
        <v/>
      </c>
      <c r="AE1734" s="28">
        <f>IFERROR(LOOKUP(AD1734,{0;0.01;0.1;1;10;100},{"Muy baja";"Muy baja";"Baja";"Media";"Alta";"Muy alta"}),"")</f>
        <v/>
      </c>
      <c r="AF1734" s="30">
        <f>T1734*AD1734</f>
        <v/>
      </c>
      <c r="AG1734" s="28">
        <f>IFERROR(LOOKUP(AF1734,{0;0.5;5;25},{"Bajo";"Medio";"Alto";"Crítico"}),"")</f>
        <v/>
      </c>
      <c r="AH1734" s="28">
        <f>IF(AG1734="","",IF(OR(AG1734="Crítico",AG1734="Alto"),"Mitigar",IF(AG1734="Medio","Mitigar","Aceptar y monitorear")))</f>
        <v/>
      </c>
      <c r="AI1734" s="21" t="n"/>
      <c r="AJ1734" s="21" t="n"/>
      <c r="AK1734" s="20" t="n"/>
      <c r="AL1734" s="77">
        <f>IFERROR(INDEX(MgAmenEfic,MATCH(SUBSTITUTE($H1734,"*","-"),MgAmenClave,0)),0)</f>
        <v/>
      </c>
    </row>
    <row r="1735" hidden="1" ht="75" customHeight="1" s="54">
      <c r="B1735" s="59" t="inlineStr">
        <is>
          <t>R-1730</t>
        </is>
      </c>
      <c r="C1735" s="59" t="inlineStr">
        <is>
          <t>FIN-13</t>
        </is>
      </c>
      <c r="D1735" s="64">
        <f>IFERROR(INDEX(MgNombre,MATCH($C1735,MgActId,0)),"")</f>
        <v/>
      </c>
      <c r="E1735" s="64">
        <f>IFERROR(INDEX(MgProceso,MATCH($C1735,MgActId,0)),"")</f>
        <v/>
      </c>
      <c r="F1735" s="64">
        <f>IFERROR(INDEX(MgTipo,MATCH($C1735,MgActId,0)),"")</f>
        <v/>
      </c>
      <c r="G1735" s="64">
        <f>IFERROR(INDEX(MgSubtipo,MATCH($C1735,MgActId,0)),"")</f>
        <v/>
      </c>
      <c r="H1735" s="59" t="inlineStr">
        <is>
          <t>A.25</t>
        </is>
      </c>
      <c r="I1735" s="64">
        <f>IFERROR(INDEX(MgAmenNombre,MATCH(SUBSTITUTE($H1735,"*","-"),MgAmenClave,0)),"")</f>
        <v/>
      </c>
      <c r="J1735" s="28">
        <f>IFERROR(INDEX(MgAmenGrupo,MATCH(SUBSTITUTE($H1735,"*","-"),MgAmenClave,0)),"")</f>
        <v/>
      </c>
      <c r="K1735" s="64">
        <f>IFERROR(INDEX('1. Matriz de Activos'!$Q$6:$Q$239,MATCH($C1735,MgActId,0)),"")</f>
        <v/>
      </c>
      <c r="L1735" s="64">
        <f>IFERROR(INDEX('1. Matriz de Activos'!$R$6:$R$239,MATCH($C1735,MgActId,0)),"")</f>
        <v/>
      </c>
      <c r="M1735" s="64">
        <f>IFERROR(INDEX('1. Matriz de Activos'!$S$6:$S$239,MATCH($C1735,MgActId,0)),"")</f>
        <v/>
      </c>
      <c r="N1735" s="28">
        <f>IFERROR(INDEX(MgAmenDegD,MATCH(SUBSTITUTE($H1735,"*","-"),MgAmenClave,0)),"No aplica")</f>
        <v/>
      </c>
      <c r="O1735" s="28">
        <f>IFERROR(INDEX(MgAmenDegI,MATCH(SUBSTITUTE($H1735,"*","-"),MgAmenClave,0)),"No aplica")</f>
        <v/>
      </c>
      <c r="P1735" s="28">
        <f>IFERROR(INDEX(MgAmenDegC,MATCH(SUBSTITUTE($H1735,"*","-"),MgAmenClave,0)),"No aplica")</f>
        <v/>
      </c>
      <c r="Q1735" s="29">
        <f>IFERROR(VLOOKUP(K1735,MgValor,2,0)*VLOOKUP(N1735,MgDeg,2,0),0)</f>
        <v/>
      </c>
      <c r="R1735" s="29">
        <f>IFERROR(VLOOKUP(L1735,MgValor,2,0)*VLOOKUP(O1735,MgDeg,2,0),0)</f>
        <v/>
      </c>
      <c r="S1735" s="29">
        <f>IFERROR(VLOOKUP(M1735,MgValor,2,0)*VLOOKUP(P1735,MgDeg,2,0),0)</f>
        <v/>
      </c>
      <c r="T1735" s="30">
        <f>MAX(Q1735:S1735)</f>
        <v/>
      </c>
      <c r="U1735" s="28">
        <f>IFERROR(LOOKUP(T1735,{0;0.5;1.5;3;4.5},{"Despreciable";"Bajo";"Medio";"Alto";"Muy alto"}),"")</f>
        <v/>
      </c>
      <c r="V1735" s="13">
        <f>IFERROR(INDEX(MgAmenFrec,MATCH(SUBSTITUTE($H1735,"*","-"),MgAmenClave,0)),"")</f>
        <v/>
      </c>
      <c r="W1735" s="28">
        <f>IFERROR(LOOKUP(X1735,{0;0.01;0.1;1;10;100},{"Muy baja";"Muy baja";"Baja";"Media";"Alta";"Muy alta"}),"")</f>
        <v/>
      </c>
      <c r="X1735" s="31">
        <f>IFERROR(VLOOKUP(V1735,MgFrec,2,0),0)</f>
        <v/>
      </c>
      <c r="Y1735" s="30">
        <f>T1735*X1735</f>
        <v/>
      </c>
      <c r="Z1735" s="28">
        <f>IFERROR(LOOKUP(Y1735,{0;0.5;5;25},{"Bajo";"Medio";"Alto";"Crítico"}),"")</f>
        <v/>
      </c>
      <c r="AA1735" s="64">
        <f>IF(T1735&gt;=3,IF(X1735&gt;=1,"Zona 1 — Crítica: impacto alto y ocurre al menos una vez al año","Zona 4 — Catastrófica poco probable: impacto alto pero excepcional"),IF(AND(T1735&lt;1.5,X1735&lt;1),"Zona 3 — Asumible: impacto bajo y muy poco frecuente","Zona 2 — Atención: riesgo intermedio"))</f>
        <v/>
      </c>
      <c r="AB1735" s="64">
        <f>IFERROR(INDEX(MgAmenCtrl,MATCH(SUBSTITUTE($H1735,"*","-"),MgAmenClave,0)),"")</f>
        <v/>
      </c>
      <c r="AC1735" s="20" t="n"/>
      <c r="AD1735" s="31">
        <f>IFERROR($X1735*(1-IF($AC1735="",$AL1735,VLOOKUP($AC1735,MgMad,2,0))),"")</f>
        <v/>
      </c>
      <c r="AE1735" s="28">
        <f>IFERROR(LOOKUP(AD1735,{0;0.01;0.1;1;10;100},{"Muy baja";"Muy baja";"Baja";"Media";"Alta";"Muy alta"}),"")</f>
        <v/>
      </c>
      <c r="AF1735" s="30">
        <f>T1735*AD1735</f>
        <v/>
      </c>
      <c r="AG1735" s="28">
        <f>IFERROR(LOOKUP(AF1735,{0;0.5;5;25},{"Bajo";"Medio";"Alto";"Crítico"}),"")</f>
        <v/>
      </c>
      <c r="AH1735" s="28">
        <f>IF(AG1735="","",IF(OR(AG1735="Crítico",AG1735="Alto"),"Mitigar",IF(AG1735="Medio","Mitigar","Aceptar y monitorear")))</f>
        <v/>
      </c>
      <c r="AI1735" s="21" t="n"/>
      <c r="AJ1735" s="21" t="n"/>
      <c r="AK1735" s="20" t="n"/>
      <c r="AL1735" s="77">
        <f>IFERROR(INDEX(MgAmenEfic,MATCH(SUBSTITUTE($H1735,"*","-"),MgAmenClave,0)),0)</f>
        <v/>
      </c>
    </row>
    <row r="1736" hidden="1" ht="60" customHeight="1" s="54">
      <c r="B1736" s="59" t="inlineStr">
        <is>
          <t>R-1731</t>
        </is>
      </c>
      <c r="C1736" s="59" t="inlineStr">
        <is>
          <t>FIN-13</t>
        </is>
      </c>
      <c r="D1736" s="64">
        <f>IFERROR(INDEX(MgNombre,MATCH($C1736,MgActId,0)),"")</f>
        <v/>
      </c>
      <c r="E1736" s="64">
        <f>IFERROR(INDEX(MgProceso,MATCH($C1736,MgActId,0)),"")</f>
        <v/>
      </c>
      <c r="F1736" s="64">
        <f>IFERROR(INDEX(MgTipo,MATCH($C1736,MgActId,0)),"")</f>
        <v/>
      </c>
      <c r="G1736" s="64">
        <f>IFERROR(INDEX(MgSubtipo,MATCH($C1736,MgActId,0)),"")</f>
        <v/>
      </c>
      <c r="H1736" s="59" t="inlineStr">
        <is>
          <t>A.26</t>
        </is>
      </c>
      <c r="I1736" s="64">
        <f>IFERROR(INDEX(MgAmenNombre,MATCH(SUBSTITUTE($H1736,"*","-"),MgAmenClave,0)),"")</f>
        <v/>
      </c>
      <c r="J1736" s="28">
        <f>IFERROR(INDEX(MgAmenGrupo,MATCH(SUBSTITUTE($H1736,"*","-"),MgAmenClave,0)),"")</f>
        <v/>
      </c>
      <c r="K1736" s="64">
        <f>IFERROR(INDEX('1. Matriz de Activos'!$Q$6:$Q$239,MATCH($C1736,MgActId,0)),"")</f>
        <v/>
      </c>
      <c r="L1736" s="64">
        <f>IFERROR(INDEX('1. Matriz de Activos'!$R$6:$R$239,MATCH($C1736,MgActId,0)),"")</f>
        <v/>
      </c>
      <c r="M1736" s="64">
        <f>IFERROR(INDEX('1. Matriz de Activos'!$S$6:$S$239,MATCH($C1736,MgActId,0)),"")</f>
        <v/>
      </c>
      <c r="N1736" s="28">
        <f>IFERROR(INDEX(MgAmenDegD,MATCH(SUBSTITUTE($H1736,"*","-"),MgAmenClave,0)),"No aplica")</f>
        <v/>
      </c>
      <c r="O1736" s="28">
        <f>IFERROR(INDEX(MgAmenDegI,MATCH(SUBSTITUTE($H1736,"*","-"),MgAmenClave,0)),"No aplica")</f>
        <v/>
      </c>
      <c r="P1736" s="28">
        <f>IFERROR(INDEX(MgAmenDegC,MATCH(SUBSTITUTE($H1736,"*","-"),MgAmenClave,0)),"No aplica")</f>
        <v/>
      </c>
      <c r="Q1736" s="29">
        <f>IFERROR(VLOOKUP(K1736,MgValor,2,0)*VLOOKUP(N1736,MgDeg,2,0),0)</f>
        <v/>
      </c>
      <c r="R1736" s="29">
        <f>IFERROR(VLOOKUP(L1736,MgValor,2,0)*VLOOKUP(O1736,MgDeg,2,0),0)</f>
        <v/>
      </c>
      <c r="S1736" s="29">
        <f>IFERROR(VLOOKUP(M1736,MgValor,2,0)*VLOOKUP(P1736,MgDeg,2,0),0)</f>
        <v/>
      </c>
      <c r="T1736" s="30">
        <f>MAX(Q1736:S1736)</f>
        <v/>
      </c>
      <c r="U1736" s="28">
        <f>IFERROR(LOOKUP(T1736,{0;0.5;1.5;3;4.5},{"Despreciable";"Bajo";"Medio";"Alto";"Muy alto"}),"")</f>
        <v/>
      </c>
      <c r="V1736" s="13">
        <f>IFERROR(INDEX(MgAmenFrec,MATCH(SUBSTITUTE($H1736,"*","-"),MgAmenClave,0)),"")</f>
        <v/>
      </c>
      <c r="W1736" s="28">
        <f>IFERROR(LOOKUP(X1736,{0;0.01;0.1;1;10;100},{"Muy baja";"Muy baja";"Baja";"Media";"Alta";"Muy alta"}),"")</f>
        <v/>
      </c>
      <c r="X1736" s="31">
        <f>IFERROR(VLOOKUP(V1736,MgFrec,2,0),0)</f>
        <v/>
      </c>
      <c r="Y1736" s="30">
        <f>T1736*X1736</f>
        <v/>
      </c>
      <c r="Z1736" s="28">
        <f>IFERROR(LOOKUP(Y1736,{0;0.5;5;25},{"Bajo";"Medio";"Alto";"Crítico"}),"")</f>
        <v/>
      </c>
      <c r="AA1736" s="64">
        <f>IF(T1736&gt;=3,IF(X1736&gt;=1,"Zona 1 — Crítica: impacto alto y ocurre al menos una vez al año","Zona 4 — Catastrófica poco probable: impacto alto pero excepcional"),IF(AND(T1736&lt;1.5,X1736&lt;1),"Zona 3 — Asumible: impacto bajo y muy poco frecuente","Zona 2 — Atención: riesgo intermedio"))</f>
        <v/>
      </c>
      <c r="AB1736" s="64">
        <f>IFERROR(INDEX(MgAmenCtrl,MATCH(SUBSTITUTE($H1736,"*","-"),MgAmenClave,0)),"")</f>
        <v/>
      </c>
      <c r="AC1736" s="20" t="n"/>
      <c r="AD1736" s="31">
        <f>IFERROR($X1736*(1-IF($AC1736="",$AL1736,VLOOKUP($AC1736,MgMad,2,0))),"")</f>
        <v/>
      </c>
      <c r="AE1736" s="28">
        <f>IFERROR(LOOKUP(AD1736,{0;0.01;0.1;1;10;100},{"Muy baja";"Muy baja";"Baja";"Media";"Alta";"Muy alta"}),"")</f>
        <v/>
      </c>
      <c r="AF1736" s="30">
        <f>T1736*AD1736</f>
        <v/>
      </c>
      <c r="AG1736" s="28">
        <f>IFERROR(LOOKUP(AF1736,{0;0.5;5;25},{"Bajo";"Medio";"Alto";"Crítico"}),"")</f>
        <v/>
      </c>
      <c r="AH1736" s="28">
        <f>IF(AG1736="","",IF(OR(AG1736="Crítico",AG1736="Alto"),"Mitigar",IF(AG1736="Medio","Mitigar","Aceptar y monitorear")))</f>
        <v/>
      </c>
      <c r="AI1736" s="21" t="n"/>
      <c r="AJ1736" s="21" t="n"/>
      <c r="AK1736" s="20" t="n"/>
      <c r="AL1736" s="77">
        <f>IFERROR(INDEX(MgAmenEfic,MATCH(SUBSTITUTE($H1736,"*","-"),MgAmenClave,0)),0)</f>
        <v/>
      </c>
    </row>
    <row r="1737" hidden="1" ht="90" customHeight="1" s="54">
      <c r="B1737" s="59" t="inlineStr">
        <is>
          <t>R-1732</t>
        </is>
      </c>
      <c r="C1737" s="59" t="inlineStr">
        <is>
          <t>TEC-012</t>
        </is>
      </c>
      <c r="D1737" s="64">
        <f>IFERROR(INDEX(MgNombre,MATCH($C1737,MgActId,0)),"")</f>
        <v/>
      </c>
      <c r="E1737" s="64">
        <f>IFERROR(INDEX(MgProceso,MATCH($C1737,MgActId,0)),"")</f>
        <v/>
      </c>
      <c r="F1737" s="64">
        <f>IFERROR(INDEX(MgTipo,MATCH($C1737,MgActId,0)),"")</f>
        <v/>
      </c>
      <c r="G1737" s="64">
        <f>IFERROR(INDEX(MgSubtipo,MATCH($C1737,MgActId,0)),"")</f>
        <v/>
      </c>
      <c r="H1737" s="59" t="inlineStr">
        <is>
          <t>N.1</t>
        </is>
      </c>
      <c r="I1737" s="64">
        <f>IFERROR(INDEX(MgAmenNombre,MATCH(SUBSTITUTE($H1737,"*","-"),MgAmenClave,0)),"")</f>
        <v/>
      </c>
      <c r="J1737" s="28">
        <f>IFERROR(INDEX(MgAmenGrupo,MATCH(SUBSTITUTE($H1737,"*","-"),MgAmenClave,0)),"")</f>
        <v/>
      </c>
      <c r="K1737" s="64">
        <f>IFERROR(INDEX('1. Matriz de Activos'!$Q$6:$Q$239,MATCH($C1737,MgActId,0)),"")</f>
        <v/>
      </c>
      <c r="L1737" s="64">
        <f>IFERROR(INDEX('1. Matriz de Activos'!$R$6:$R$239,MATCH($C1737,MgActId,0)),"")</f>
        <v/>
      </c>
      <c r="M1737" s="64">
        <f>IFERROR(INDEX('1. Matriz de Activos'!$S$6:$S$239,MATCH($C1737,MgActId,0)),"")</f>
        <v/>
      </c>
      <c r="N1737" s="28">
        <f>IFERROR(INDEX(MgAmenDegD,MATCH(SUBSTITUTE($H1737,"*","-"),MgAmenClave,0)),"No aplica")</f>
        <v/>
      </c>
      <c r="O1737" s="28">
        <f>IFERROR(INDEX(MgAmenDegI,MATCH(SUBSTITUTE($H1737,"*","-"),MgAmenClave,0)),"No aplica")</f>
        <v/>
      </c>
      <c r="P1737" s="28">
        <f>IFERROR(INDEX(MgAmenDegC,MATCH(SUBSTITUTE($H1737,"*","-"),MgAmenClave,0)),"No aplica")</f>
        <v/>
      </c>
      <c r="Q1737" s="29">
        <f>IFERROR(VLOOKUP(K1737,MgValor,2,0)*VLOOKUP(N1737,MgDeg,2,0),0)</f>
        <v/>
      </c>
      <c r="R1737" s="29">
        <f>IFERROR(VLOOKUP(L1737,MgValor,2,0)*VLOOKUP(O1737,MgDeg,2,0),0)</f>
        <v/>
      </c>
      <c r="S1737" s="29">
        <f>IFERROR(VLOOKUP(M1737,MgValor,2,0)*VLOOKUP(P1737,MgDeg,2,0),0)</f>
        <v/>
      </c>
      <c r="T1737" s="30">
        <f>MAX(Q1737:S1737)</f>
        <v/>
      </c>
      <c r="U1737" s="28">
        <f>IFERROR(LOOKUP(T1737,{0;0.5;1.5;3;4.5},{"Despreciable";"Bajo";"Medio";"Alto";"Muy alto"}),"")</f>
        <v/>
      </c>
      <c r="V1737" s="13">
        <f>IFERROR(INDEX(MgAmenFrec,MATCH(SUBSTITUTE($H1737,"*","-"),MgAmenClave,0)),"")</f>
        <v/>
      </c>
      <c r="W1737" s="28">
        <f>IFERROR(LOOKUP(X1737,{0;0.01;0.1;1;10;100},{"Muy baja";"Muy baja";"Baja";"Media";"Alta";"Muy alta"}),"")</f>
        <v/>
      </c>
      <c r="X1737" s="31">
        <f>IFERROR(VLOOKUP(V1737,MgFrec,2,0),0)</f>
        <v/>
      </c>
      <c r="Y1737" s="30">
        <f>T1737*X1737</f>
        <v/>
      </c>
      <c r="Z1737" s="28">
        <f>IFERROR(LOOKUP(Y1737,{0;0.5;5;25},{"Bajo";"Medio";"Alto";"Crítico"}),"")</f>
        <v/>
      </c>
      <c r="AA1737" s="64">
        <f>IF(T1737&gt;=3,IF(X1737&gt;=1,"Zona 1 — Crítica: impacto alto y ocurre al menos una vez al año","Zona 4 — Catastrófica poco probable: impacto alto pero excepcional"),IF(AND(T1737&lt;1.5,X1737&lt;1),"Zona 3 — Asumible: impacto bajo y muy poco frecuente","Zona 2 — Atención: riesgo intermedio"))</f>
        <v/>
      </c>
      <c r="AB1737" s="64">
        <f>IFERROR(INDEX(MgAmenCtrl,MATCH(SUBSTITUTE($H1737,"*","-"),MgAmenClave,0)),"")</f>
        <v/>
      </c>
      <c r="AC1737" s="20" t="n"/>
      <c r="AD1737" s="31">
        <f>IFERROR($X1737*(1-IF($AC1737="",$AL1737,VLOOKUP($AC1737,MgMad,2,0))),"")</f>
        <v/>
      </c>
      <c r="AE1737" s="28">
        <f>IFERROR(LOOKUP(AD1737,{0;0.01;0.1;1;10;100},{"Muy baja";"Muy baja";"Baja";"Media";"Alta";"Muy alta"}),"")</f>
        <v/>
      </c>
      <c r="AF1737" s="30">
        <f>T1737*AD1737</f>
        <v/>
      </c>
      <c r="AG1737" s="28">
        <f>IFERROR(LOOKUP(AF1737,{0;0.5;5;25},{"Bajo";"Medio";"Alto";"Crítico"}),"")</f>
        <v/>
      </c>
      <c r="AH1737" s="28">
        <f>IF(AG1737="","",IF(OR(AG1737="Crítico",AG1737="Alto"),"Mitigar",IF(AG1737="Medio","Mitigar","Aceptar y monitorear")))</f>
        <v/>
      </c>
      <c r="AI1737" s="21" t="n"/>
      <c r="AJ1737" s="21" t="n"/>
      <c r="AK1737" s="20" t="n"/>
      <c r="AL1737" s="77">
        <f>IFERROR(INDEX(MgAmenEfic,MATCH(SUBSTITUTE($H1737,"*","-"),MgAmenClave,0)),0)</f>
        <v/>
      </c>
    </row>
    <row r="1738" hidden="1" ht="60" customHeight="1" s="54">
      <c r="B1738" s="59" t="inlineStr">
        <is>
          <t>R-1733</t>
        </is>
      </c>
      <c r="C1738" s="59" t="inlineStr">
        <is>
          <t>TEC-012</t>
        </is>
      </c>
      <c r="D1738" s="64">
        <f>IFERROR(INDEX(MgNombre,MATCH($C1738,MgActId,0)),"")</f>
        <v/>
      </c>
      <c r="E1738" s="64">
        <f>IFERROR(INDEX(MgProceso,MATCH($C1738,MgActId,0)),"")</f>
        <v/>
      </c>
      <c r="F1738" s="64">
        <f>IFERROR(INDEX(MgTipo,MATCH($C1738,MgActId,0)),"")</f>
        <v/>
      </c>
      <c r="G1738" s="64">
        <f>IFERROR(INDEX(MgSubtipo,MATCH($C1738,MgActId,0)),"")</f>
        <v/>
      </c>
      <c r="H1738" s="59" t="inlineStr">
        <is>
          <t>N.2</t>
        </is>
      </c>
      <c r="I1738" s="64">
        <f>IFERROR(INDEX(MgAmenNombre,MATCH(SUBSTITUTE($H1738,"*","-"),MgAmenClave,0)),"")</f>
        <v/>
      </c>
      <c r="J1738" s="28">
        <f>IFERROR(INDEX(MgAmenGrupo,MATCH(SUBSTITUTE($H1738,"*","-"),MgAmenClave,0)),"")</f>
        <v/>
      </c>
      <c r="K1738" s="64">
        <f>IFERROR(INDEX('1. Matriz de Activos'!$Q$6:$Q$239,MATCH($C1738,MgActId,0)),"")</f>
        <v/>
      </c>
      <c r="L1738" s="64">
        <f>IFERROR(INDEX('1. Matriz de Activos'!$R$6:$R$239,MATCH($C1738,MgActId,0)),"")</f>
        <v/>
      </c>
      <c r="M1738" s="64">
        <f>IFERROR(INDEX('1. Matriz de Activos'!$S$6:$S$239,MATCH($C1738,MgActId,0)),"")</f>
        <v/>
      </c>
      <c r="N1738" s="28">
        <f>IFERROR(INDEX(MgAmenDegD,MATCH(SUBSTITUTE($H1738,"*","-"),MgAmenClave,0)),"No aplica")</f>
        <v/>
      </c>
      <c r="O1738" s="28">
        <f>IFERROR(INDEX(MgAmenDegI,MATCH(SUBSTITUTE($H1738,"*","-"),MgAmenClave,0)),"No aplica")</f>
        <v/>
      </c>
      <c r="P1738" s="28">
        <f>IFERROR(INDEX(MgAmenDegC,MATCH(SUBSTITUTE($H1738,"*","-"),MgAmenClave,0)),"No aplica")</f>
        <v/>
      </c>
      <c r="Q1738" s="29">
        <f>IFERROR(VLOOKUP(K1738,MgValor,2,0)*VLOOKUP(N1738,MgDeg,2,0),0)</f>
        <v/>
      </c>
      <c r="R1738" s="29">
        <f>IFERROR(VLOOKUP(L1738,MgValor,2,0)*VLOOKUP(O1738,MgDeg,2,0),0)</f>
        <v/>
      </c>
      <c r="S1738" s="29">
        <f>IFERROR(VLOOKUP(M1738,MgValor,2,0)*VLOOKUP(P1738,MgDeg,2,0),0)</f>
        <v/>
      </c>
      <c r="T1738" s="30">
        <f>MAX(Q1738:S1738)</f>
        <v/>
      </c>
      <c r="U1738" s="28">
        <f>IFERROR(LOOKUP(T1738,{0;0.5;1.5;3;4.5},{"Despreciable";"Bajo";"Medio";"Alto";"Muy alto"}),"")</f>
        <v/>
      </c>
      <c r="V1738" s="13">
        <f>IFERROR(INDEX(MgAmenFrec,MATCH(SUBSTITUTE($H1738,"*","-"),MgAmenClave,0)),"")</f>
        <v/>
      </c>
      <c r="W1738" s="28">
        <f>IFERROR(LOOKUP(X1738,{0;0.01;0.1;1;10;100},{"Muy baja";"Muy baja";"Baja";"Media";"Alta";"Muy alta"}),"")</f>
        <v/>
      </c>
      <c r="X1738" s="31">
        <f>IFERROR(VLOOKUP(V1738,MgFrec,2,0),0)</f>
        <v/>
      </c>
      <c r="Y1738" s="30">
        <f>T1738*X1738</f>
        <v/>
      </c>
      <c r="Z1738" s="28">
        <f>IFERROR(LOOKUP(Y1738,{0;0.5;5;25},{"Bajo";"Medio";"Alto";"Crítico"}),"")</f>
        <v/>
      </c>
      <c r="AA1738" s="64">
        <f>IF(T1738&gt;=3,IF(X1738&gt;=1,"Zona 1 — Crítica: impacto alto y ocurre al menos una vez al año","Zona 4 — Catastrófica poco probable: impacto alto pero excepcional"),IF(AND(T1738&lt;1.5,X1738&lt;1),"Zona 3 — Asumible: impacto bajo y muy poco frecuente","Zona 2 — Atención: riesgo intermedio"))</f>
        <v/>
      </c>
      <c r="AB1738" s="64">
        <f>IFERROR(INDEX(MgAmenCtrl,MATCH(SUBSTITUTE($H1738,"*","-"),MgAmenClave,0)),"")</f>
        <v/>
      </c>
      <c r="AC1738" s="20" t="n"/>
      <c r="AD1738" s="31">
        <f>IFERROR($X1738*(1-IF($AC1738="",$AL1738,VLOOKUP($AC1738,MgMad,2,0))),"")</f>
        <v/>
      </c>
      <c r="AE1738" s="28">
        <f>IFERROR(LOOKUP(AD1738,{0;0.01;0.1;1;10;100},{"Muy baja";"Muy baja";"Baja";"Media";"Alta";"Muy alta"}),"")</f>
        <v/>
      </c>
      <c r="AF1738" s="30">
        <f>T1738*AD1738</f>
        <v/>
      </c>
      <c r="AG1738" s="28">
        <f>IFERROR(LOOKUP(AF1738,{0;0.5;5;25},{"Bajo";"Medio";"Alto";"Crítico"}),"")</f>
        <v/>
      </c>
      <c r="AH1738" s="28">
        <f>IF(AG1738="","",IF(OR(AG1738="Crítico",AG1738="Alto"),"Mitigar",IF(AG1738="Medio","Mitigar","Aceptar y monitorear")))</f>
        <v/>
      </c>
      <c r="AI1738" s="21" t="n"/>
      <c r="AJ1738" s="21" t="n"/>
      <c r="AK1738" s="20" t="n"/>
      <c r="AL1738" s="77">
        <f>IFERROR(INDEX(MgAmenEfic,MATCH(SUBSTITUTE($H1738,"*","-"),MgAmenClave,0)),0)</f>
        <v/>
      </c>
    </row>
    <row r="1739" hidden="1" ht="75" customHeight="1" s="54">
      <c r="B1739" s="59" t="inlineStr">
        <is>
          <t>R-1734</t>
        </is>
      </c>
      <c r="C1739" s="59" t="inlineStr">
        <is>
          <t>TEC-012</t>
        </is>
      </c>
      <c r="D1739" s="64">
        <f>IFERROR(INDEX(MgNombre,MATCH($C1739,MgActId,0)),"")</f>
        <v/>
      </c>
      <c r="E1739" s="64">
        <f>IFERROR(INDEX(MgProceso,MATCH($C1739,MgActId,0)),"")</f>
        <v/>
      </c>
      <c r="F1739" s="64">
        <f>IFERROR(INDEX(MgTipo,MATCH($C1739,MgActId,0)),"")</f>
        <v/>
      </c>
      <c r="G1739" s="64">
        <f>IFERROR(INDEX(MgSubtipo,MATCH($C1739,MgActId,0)),"")</f>
        <v/>
      </c>
      <c r="H1739" s="59" t="inlineStr">
        <is>
          <t>N.*</t>
        </is>
      </c>
      <c r="I1739" s="64">
        <f>IFERROR(INDEX(MgAmenNombre,MATCH(SUBSTITUTE($H1739,"*","-"),MgAmenClave,0)),"")</f>
        <v/>
      </c>
      <c r="J1739" s="28">
        <f>IFERROR(INDEX(MgAmenGrupo,MATCH(SUBSTITUTE($H1739,"*","-"),MgAmenClave,0)),"")</f>
        <v/>
      </c>
      <c r="K1739" s="64">
        <f>IFERROR(INDEX('1. Matriz de Activos'!$Q$6:$Q$239,MATCH($C1739,MgActId,0)),"")</f>
        <v/>
      </c>
      <c r="L1739" s="64">
        <f>IFERROR(INDEX('1. Matriz de Activos'!$R$6:$R$239,MATCH($C1739,MgActId,0)),"")</f>
        <v/>
      </c>
      <c r="M1739" s="64">
        <f>IFERROR(INDEX('1. Matriz de Activos'!$S$6:$S$239,MATCH($C1739,MgActId,0)),"")</f>
        <v/>
      </c>
      <c r="N1739" s="28">
        <f>IFERROR(INDEX(MgAmenDegD,MATCH(SUBSTITUTE($H1739,"*","-"),MgAmenClave,0)),"No aplica")</f>
        <v/>
      </c>
      <c r="O1739" s="28">
        <f>IFERROR(INDEX(MgAmenDegI,MATCH(SUBSTITUTE($H1739,"*","-"),MgAmenClave,0)),"No aplica")</f>
        <v/>
      </c>
      <c r="P1739" s="28">
        <f>IFERROR(INDEX(MgAmenDegC,MATCH(SUBSTITUTE($H1739,"*","-"),MgAmenClave,0)),"No aplica")</f>
        <v/>
      </c>
      <c r="Q1739" s="29">
        <f>IFERROR(VLOOKUP(K1739,MgValor,2,0)*VLOOKUP(N1739,MgDeg,2,0),0)</f>
        <v/>
      </c>
      <c r="R1739" s="29">
        <f>IFERROR(VLOOKUP(L1739,MgValor,2,0)*VLOOKUP(O1739,MgDeg,2,0),0)</f>
        <v/>
      </c>
      <c r="S1739" s="29">
        <f>IFERROR(VLOOKUP(M1739,MgValor,2,0)*VLOOKUP(P1739,MgDeg,2,0),0)</f>
        <v/>
      </c>
      <c r="T1739" s="30">
        <f>MAX(Q1739:S1739)</f>
        <v/>
      </c>
      <c r="U1739" s="28">
        <f>IFERROR(LOOKUP(T1739,{0;0.5;1.5;3;4.5},{"Despreciable";"Bajo";"Medio";"Alto";"Muy alto"}),"")</f>
        <v/>
      </c>
      <c r="V1739" s="13">
        <f>IFERROR(INDEX(MgAmenFrec,MATCH(SUBSTITUTE($H1739,"*","-"),MgAmenClave,0)),"")</f>
        <v/>
      </c>
      <c r="W1739" s="28">
        <f>IFERROR(LOOKUP(X1739,{0;0.01;0.1;1;10;100},{"Muy baja";"Muy baja";"Baja";"Media";"Alta";"Muy alta"}),"")</f>
        <v/>
      </c>
      <c r="X1739" s="31">
        <f>IFERROR(VLOOKUP(V1739,MgFrec,2,0),0)</f>
        <v/>
      </c>
      <c r="Y1739" s="30">
        <f>T1739*X1739</f>
        <v/>
      </c>
      <c r="Z1739" s="28">
        <f>IFERROR(LOOKUP(Y1739,{0;0.5;5;25},{"Bajo";"Medio";"Alto";"Crítico"}),"")</f>
        <v/>
      </c>
      <c r="AA1739" s="64">
        <f>IF(T1739&gt;=3,IF(X1739&gt;=1,"Zona 1 — Crítica: impacto alto y ocurre al menos una vez al año","Zona 4 — Catastrófica poco probable: impacto alto pero excepcional"),IF(AND(T1739&lt;1.5,X1739&lt;1),"Zona 3 — Asumible: impacto bajo y muy poco frecuente","Zona 2 — Atención: riesgo intermedio"))</f>
        <v/>
      </c>
      <c r="AB1739" s="64">
        <f>IFERROR(INDEX(MgAmenCtrl,MATCH(SUBSTITUTE($H1739,"*","-"),MgAmenClave,0)),"")</f>
        <v/>
      </c>
      <c r="AC1739" s="20" t="n"/>
      <c r="AD1739" s="31">
        <f>IFERROR($X1739*(1-IF($AC1739="",$AL1739,VLOOKUP($AC1739,MgMad,2,0))),"")</f>
        <v/>
      </c>
      <c r="AE1739" s="28">
        <f>IFERROR(LOOKUP(AD1739,{0;0.01;0.1;1;10;100},{"Muy baja";"Muy baja";"Baja";"Media";"Alta";"Muy alta"}),"")</f>
        <v/>
      </c>
      <c r="AF1739" s="30">
        <f>T1739*AD1739</f>
        <v/>
      </c>
      <c r="AG1739" s="28">
        <f>IFERROR(LOOKUP(AF1739,{0;0.5;5;25},{"Bajo";"Medio";"Alto";"Crítico"}),"")</f>
        <v/>
      </c>
      <c r="AH1739" s="28">
        <f>IF(AG1739="","",IF(OR(AG1739="Crítico",AG1739="Alto"),"Mitigar",IF(AG1739="Medio","Mitigar","Aceptar y monitorear")))</f>
        <v/>
      </c>
      <c r="AI1739" s="21" t="n"/>
      <c r="AJ1739" s="21" t="n"/>
      <c r="AK1739" s="20" t="n"/>
      <c r="AL1739" s="77">
        <f>IFERROR(INDEX(MgAmenEfic,MATCH(SUBSTITUTE($H1739,"*","-"),MgAmenClave,0)),0)</f>
        <v/>
      </c>
    </row>
    <row r="1740" hidden="1" ht="75" customHeight="1" s="54">
      <c r="B1740" s="59" t="inlineStr">
        <is>
          <t>R-1735</t>
        </is>
      </c>
      <c r="C1740" s="59" t="inlineStr">
        <is>
          <t>TEC-012</t>
        </is>
      </c>
      <c r="D1740" s="64">
        <f>IFERROR(INDEX(MgNombre,MATCH($C1740,MgActId,0)),"")</f>
        <v/>
      </c>
      <c r="E1740" s="64">
        <f>IFERROR(INDEX(MgProceso,MATCH($C1740,MgActId,0)),"")</f>
        <v/>
      </c>
      <c r="F1740" s="64">
        <f>IFERROR(INDEX(MgTipo,MATCH($C1740,MgActId,0)),"")</f>
        <v/>
      </c>
      <c r="G1740" s="64">
        <f>IFERROR(INDEX(MgSubtipo,MATCH($C1740,MgActId,0)),"")</f>
        <v/>
      </c>
      <c r="H1740" s="59" t="inlineStr">
        <is>
          <t>I.1</t>
        </is>
      </c>
      <c r="I1740" s="64">
        <f>IFERROR(INDEX(MgAmenNombre,MATCH(SUBSTITUTE($H1740,"*","-"),MgAmenClave,0)),"")</f>
        <v/>
      </c>
      <c r="J1740" s="28">
        <f>IFERROR(INDEX(MgAmenGrupo,MATCH(SUBSTITUTE($H1740,"*","-"),MgAmenClave,0)),"")</f>
        <v/>
      </c>
      <c r="K1740" s="64">
        <f>IFERROR(INDEX('1. Matriz de Activos'!$Q$6:$Q$239,MATCH($C1740,MgActId,0)),"")</f>
        <v/>
      </c>
      <c r="L1740" s="64">
        <f>IFERROR(INDEX('1. Matriz de Activos'!$R$6:$R$239,MATCH($C1740,MgActId,0)),"")</f>
        <v/>
      </c>
      <c r="M1740" s="64">
        <f>IFERROR(INDEX('1. Matriz de Activos'!$S$6:$S$239,MATCH($C1740,MgActId,0)),"")</f>
        <v/>
      </c>
      <c r="N1740" s="28">
        <f>IFERROR(INDEX(MgAmenDegD,MATCH(SUBSTITUTE($H1740,"*","-"),MgAmenClave,0)),"No aplica")</f>
        <v/>
      </c>
      <c r="O1740" s="28">
        <f>IFERROR(INDEX(MgAmenDegI,MATCH(SUBSTITUTE($H1740,"*","-"),MgAmenClave,0)),"No aplica")</f>
        <v/>
      </c>
      <c r="P1740" s="28">
        <f>IFERROR(INDEX(MgAmenDegC,MATCH(SUBSTITUTE($H1740,"*","-"),MgAmenClave,0)),"No aplica")</f>
        <v/>
      </c>
      <c r="Q1740" s="29">
        <f>IFERROR(VLOOKUP(K1740,MgValor,2,0)*VLOOKUP(N1740,MgDeg,2,0),0)</f>
        <v/>
      </c>
      <c r="R1740" s="29">
        <f>IFERROR(VLOOKUP(L1740,MgValor,2,0)*VLOOKUP(O1740,MgDeg,2,0),0)</f>
        <v/>
      </c>
      <c r="S1740" s="29">
        <f>IFERROR(VLOOKUP(M1740,MgValor,2,0)*VLOOKUP(P1740,MgDeg,2,0),0)</f>
        <v/>
      </c>
      <c r="T1740" s="30">
        <f>MAX(Q1740:S1740)</f>
        <v/>
      </c>
      <c r="U1740" s="28">
        <f>IFERROR(LOOKUP(T1740,{0;0.5;1.5;3;4.5},{"Despreciable";"Bajo";"Medio";"Alto";"Muy alto"}),"")</f>
        <v/>
      </c>
      <c r="V1740" s="13">
        <f>IFERROR(INDEX(MgAmenFrec,MATCH(SUBSTITUTE($H1740,"*","-"),MgAmenClave,0)),"")</f>
        <v/>
      </c>
      <c r="W1740" s="28">
        <f>IFERROR(LOOKUP(X1740,{0;0.01;0.1;1;10;100},{"Muy baja";"Muy baja";"Baja";"Media";"Alta";"Muy alta"}),"")</f>
        <v/>
      </c>
      <c r="X1740" s="31">
        <f>IFERROR(VLOOKUP(V1740,MgFrec,2,0),0)</f>
        <v/>
      </c>
      <c r="Y1740" s="30">
        <f>T1740*X1740</f>
        <v/>
      </c>
      <c r="Z1740" s="28">
        <f>IFERROR(LOOKUP(Y1740,{0;0.5;5;25},{"Bajo";"Medio";"Alto";"Crítico"}),"")</f>
        <v/>
      </c>
      <c r="AA1740" s="64">
        <f>IF(T1740&gt;=3,IF(X1740&gt;=1,"Zona 1 — Crítica: impacto alto y ocurre al menos una vez al año","Zona 4 — Catastrófica poco probable: impacto alto pero excepcional"),IF(AND(T1740&lt;1.5,X1740&lt;1),"Zona 3 — Asumible: impacto bajo y muy poco frecuente","Zona 2 — Atención: riesgo intermedio"))</f>
        <v/>
      </c>
      <c r="AB1740" s="64">
        <f>IFERROR(INDEX(MgAmenCtrl,MATCH(SUBSTITUTE($H1740,"*","-"),MgAmenClave,0)),"")</f>
        <v/>
      </c>
      <c r="AC1740" s="20" t="n"/>
      <c r="AD1740" s="31">
        <f>IFERROR($X1740*(1-IF($AC1740="",$AL1740,VLOOKUP($AC1740,MgMad,2,0))),"")</f>
        <v/>
      </c>
      <c r="AE1740" s="28">
        <f>IFERROR(LOOKUP(AD1740,{0;0.01;0.1;1;10;100},{"Muy baja";"Muy baja";"Baja";"Media";"Alta";"Muy alta"}),"")</f>
        <v/>
      </c>
      <c r="AF1740" s="30">
        <f>T1740*AD1740</f>
        <v/>
      </c>
      <c r="AG1740" s="28">
        <f>IFERROR(LOOKUP(AF1740,{0;0.5;5;25},{"Bajo";"Medio";"Alto";"Crítico"}),"")</f>
        <v/>
      </c>
      <c r="AH1740" s="28">
        <f>IF(AG1740="","",IF(OR(AG1740="Crítico",AG1740="Alto"),"Mitigar",IF(AG1740="Medio","Mitigar","Aceptar y monitorear")))</f>
        <v/>
      </c>
      <c r="AI1740" s="21" t="n"/>
      <c r="AJ1740" s="21" t="n"/>
      <c r="AK1740" s="20" t="n"/>
      <c r="AL1740" s="77">
        <f>IFERROR(INDEX(MgAmenEfic,MATCH(SUBSTITUTE($H1740,"*","-"),MgAmenClave,0)),0)</f>
        <v/>
      </c>
    </row>
    <row r="1741" hidden="1" ht="45" customHeight="1" s="54">
      <c r="B1741" s="59" t="inlineStr">
        <is>
          <t>R-1736</t>
        </is>
      </c>
      <c r="C1741" s="59" t="inlineStr">
        <is>
          <t>TEC-012</t>
        </is>
      </c>
      <c r="D1741" s="64">
        <f>IFERROR(INDEX(MgNombre,MATCH($C1741,MgActId,0)),"")</f>
        <v/>
      </c>
      <c r="E1741" s="64">
        <f>IFERROR(INDEX(MgProceso,MATCH($C1741,MgActId,0)),"")</f>
        <v/>
      </c>
      <c r="F1741" s="64">
        <f>IFERROR(INDEX(MgTipo,MATCH($C1741,MgActId,0)),"")</f>
        <v/>
      </c>
      <c r="G1741" s="64">
        <f>IFERROR(INDEX(MgSubtipo,MATCH($C1741,MgActId,0)),"")</f>
        <v/>
      </c>
      <c r="H1741" s="59" t="inlineStr">
        <is>
          <t>I.2</t>
        </is>
      </c>
      <c r="I1741" s="64">
        <f>IFERROR(INDEX(MgAmenNombre,MATCH(SUBSTITUTE($H1741,"*","-"),MgAmenClave,0)),"")</f>
        <v/>
      </c>
      <c r="J1741" s="28">
        <f>IFERROR(INDEX(MgAmenGrupo,MATCH(SUBSTITUTE($H1741,"*","-"),MgAmenClave,0)),"")</f>
        <v/>
      </c>
      <c r="K1741" s="64">
        <f>IFERROR(INDEX('1. Matriz de Activos'!$Q$6:$Q$239,MATCH($C1741,MgActId,0)),"")</f>
        <v/>
      </c>
      <c r="L1741" s="64">
        <f>IFERROR(INDEX('1. Matriz de Activos'!$R$6:$R$239,MATCH($C1741,MgActId,0)),"")</f>
        <v/>
      </c>
      <c r="M1741" s="64">
        <f>IFERROR(INDEX('1. Matriz de Activos'!$S$6:$S$239,MATCH($C1741,MgActId,0)),"")</f>
        <v/>
      </c>
      <c r="N1741" s="28">
        <f>IFERROR(INDEX(MgAmenDegD,MATCH(SUBSTITUTE($H1741,"*","-"),MgAmenClave,0)),"No aplica")</f>
        <v/>
      </c>
      <c r="O1741" s="28">
        <f>IFERROR(INDEX(MgAmenDegI,MATCH(SUBSTITUTE($H1741,"*","-"),MgAmenClave,0)),"No aplica")</f>
        <v/>
      </c>
      <c r="P1741" s="28">
        <f>IFERROR(INDEX(MgAmenDegC,MATCH(SUBSTITUTE($H1741,"*","-"),MgAmenClave,0)),"No aplica")</f>
        <v/>
      </c>
      <c r="Q1741" s="29">
        <f>IFERROR(VLOOKUP(K1741,MgValor,2,0)*VLOOKUP(N1741,MgDeg,2,0),0)</f>
        <v/>
      </c>
      <c r="R1741" s="29">
        <f>IFERROR(VLOOKUP(L1741,MgValor,2,0)*VLOOKUP(O1741,MgDeg,2,0),0)</f>
        <v/>
      </c>
      <c r="S1741" s="29">
        <f>IFERROR(VLOOKUP(M1741,MgValor,2,0)*VLOOKUP(P1741,MgDeg,2,0),0)</f>
        <v/>
      </c>
      <c r="T1741" s="30">
        <f>MAX(Q1741:S1741)</f>
        <v/>
      </c>
      <c r="U1741" s="28">
        <f>IFERROR(LOOKUP(T1741,{0;0.5;1.5;3;4.5},{"Despreciable";"Bajo";"Medio";"Alto";"Muy alto"}),"")</f>
        <v/>
      </c>
      <c r="V1741" s="13">
        <f>IFERROR(INDEX(MgAmenFrec,MATCH(SUBSTITUTE($H1741,"*","-"),MgAmenClave,0)),"")</f>
        <v/>
      </c>
      <c r="W1741" s="28">
        <f>IFERROR(LOOKUP(X1741,{0;0.01;0.1;1;10;100},{"Muy baja";"Muy baja";"Baja";"Media";"Alta";"Muy alta"}),"")</f>
        <v/>
      </c>
      <c r="X1741" s="31">
        <f>IFERROR(VLOOKUP(V1741,MgFrec,2,0),0)</f>
        <v/>
      </c>
      <c r="Y1741" s="30">
        <f>T1741*X1741</f>
        <v/>
      </c>
      <c r="Z1741" s="28">
        <f>IFERROR(LOOKUP(Y1741,{0;0.5;5;25},{"Bajo";"Medio";"Alto";"Crítico"}),"")</f>
        <v/>
      </c>
      <c r="AA1741" s="64">
        <f>IF(T1741&gt;=3,IF(X1741&gt;=1,"Zona 1 — Crítica: impacto alto y ocurre al menos una vez al año","Zona 4 — Catastrófica poco probable: impacto alto pero excepcional"),IF(AND(T1741&lt;1.5,X1741&lt;1),"Zona 3 — Asumible: impacto bajo y muy poco frecuente","Zona 2 — Atención: riesgo intermedio"))</f>
        <v/>
      </c>
      <c r="AB1741" s="64">
        <f>IFERROR(INDEX(MgAmenCtrl,MATCH(SUBSTITUTE($H1741,"*","-"),MgAmenClave,0)),"")</f>
        <v/>
      </c>
      <c r="AC1741" s="20" t="n"/>
      <c r="AD1741" s="31">
        <f>IFERROR($X1741*(1-IF($AC1741="",$AL1741,VLOOKUP($AC1741,MgMad,2,0))),"")</f>
        <v/>
      </c>
      <c r="AE1741" s="28">
        <f>IFERROR(LOOKUP(AD1741,{0;0.01;0.1;1;10;100},{"Muy baja";"Muy baja";"Baja";"Media";"Alta";"Muy alta"}),"")</f>
        <v/>
      </c>
      <c r="AF1741" s="30">
        <f>T1741*AD1741</f>
        <v/>
      </c>
      <c r="AG1741" s="28">
        <f>IFERROR(LOOKUP(AF1741,{0;0.5;5;25},{"Bajo";"Medio";"Alto";"Crítico"}),"")</f>
        <v/>
      </c>
      <c r="AH1741" s="28">
        <f>IF(AG1741="","",IF(OR(AG1741="Crítico",AG1741="Alto"),"Mitigar",IF(AG1741="Medio","Mitigar","Aceptar y monitorear")))</f>
        <v/>
      </c>
      <c r="AI1741" s="21" t="n"/>
      <c r="AJ1741" s="21" t="n"/>
      <c r="AK1741" s="20" t="n"/>
      <c r="AL1741" s="77">
        <f>IFERROR(INDEX(MgAmenEfic,MATCH(SUBSTITUTE($H1741,"*","-"),MgAmenClave,0)),0)</f>
        <v/>
      </c>
    </row>
    <row r="1742" hidden="1" ht="60" customHeight="1" s="54">
      <c r="B1742" s="59" t="inlineStr">
        <is>
          <t>R-1737</t>
        </is>
      </c>
      <c r="C1742" s="59" t="inlineStr">
        <is>
          <t>TEC-012</t>
        </is>
      </c>
      <c r="D1742" s="64">
        <f>IFERROR(INDEX(MgNombre,MATCH($C1742,MgActId,0)),"")</f>
        <v/>
      </c>
      <c r="E1742" s="64">
        <f>IFERROR(INDEX(MgProceso,MATCH($C1742,MgActId,0)),"")</f>
        <v/>
      </c>
      <c r="F1742" s="64">
        <f>IFERROR(INDEX(MgTipo,MATCH($C1742,MgActId,0)),"")</f>
        <v/>
      </c>
      <c r="G1742" s="64">
        <f>IFERROR(INDEX(MgSubtipo,MATCH($C1742,MgActId,0)),"")</f>
        <v/>
      </c>
      <c r="H1742" s="59" t="inlineStr">
        <is>
          <t>I.*</t>
        </is>
      </c>
      <c r="I1742" s="64">
        <f>IFERROR(INDEX(MgAmenNombre,MATCH(SUBSTITUTE($H1742,"*","-"),MgAmenClave,0)),"")</f>
        <v/>
      </c>
      <c r="J1742" s="28">
        <f>IFERROR(INDEX(MgAmenGrupo,MATCH(SUBSTITUTE($H1742,"*","-"),MgAmenClave,0)),"")</f>
        <v/>
      </c>
      <c r="K1742" s="64">
        <f>IFERROR(INDEX('1. Matriz de Activos'!$Q$6:$Q$239,MATCH($C1742,MgActId,0)),"")</f>
        <v/>
      </c>
      <c r="L1742" s="64">
        <f>IFERROR(INDEX('1. Matriz de Activos'!$R$6:$R$239,MATCH($C1742,MgActId,0)),"")</f>
        <v/>
      </c>
      <c r="M1742" s="64">
        <f>IFERROR(INDEX('1. Matriz de Activos'!$S$6:$S$239,MATCH($C1742,MgActId,0)),"")</f>
        <v/>
      </c>
      <c r="N1742" s="28">
        <f>IFERROR(INDEX(MgAmenDegD,MATCH(SUBSTITUTE($H1742,"*","-"),MgAmenClave,0)),"No aplica")</f>
        <v/>
      </c>
      <c r="O1742" s="28">
        <f>IFERROR(INDEX(MgAmenDegI,MATCH(SUBSTITUTE($H1742,"*","-"),MgAmenClave,0)),"No aplica")</f>
        <v/>
      </c>
      <c r="P1742" s="28">
        <f>IFERROR(INDEX(MgAmenDegC,MATCH(SUBSTITUTE($H1742,"*","-"),MgAmenClave,0)),"No aplica")</f>
        <v/>
      </c>
      <c r="Q1742" s="29">
        <f>IFERROR(VLOOKUP(K1742,MgValor,2,0)*VLOOKUP(N1742,MgDeg,2,0),0)</f>
        <v/>
      </c>
      <c r="R1742" s="29">
        <f>IFERROR(VLOOKUP(L1742,MgValor,2,0)*VLOOKUP(O1742,MgDeg,2,0),0)</f>
        <v/>
      </c>
      <c r="S1742" s="29">
        <f>IFERROR(VLOOKUP(M1742,MgValor,2,0)*VLOOKUP(P1742,MgDeg,2,0),0)</f>
        <v/>
      </c>
      <c r="T1742" s="30">
        <f>MAX(Q1742:S1742)</f>
        <v/>
      </c>
      <c r="U1742" s="28">
        <f>IFERROR(LOOKUP(T1742,{0;0.5;1.5;3;4.5},{"Despreciable";"Bajo";"Medio";"Alto";"Muy alto"}),"")</f>
        <v/>
      </c>
      <c r="V1742" s="13">
        <f>IFERROR(INDEX(MgAmenFrec,MATCH(SUBSTITUTE($H1742,"*","-"),MgAmenClave,0)),"")</f>
        <v/>
      </c>
      <c r="W1742" s="28">
        <f>IFERROR(LOOKUP(X1742,{0;0.01;0.1;1;10;100},{"Muy baja";"Muy baja";"Baja";"Media";"Alta";"Muy alta"}),"")</f>
        <v/>
      </c>
      <c r="X1742" s="31">
        <f>IFERROR(VLOOKUP(V1742,MgFrec,2,0),0)</f>
        <v/>
      </c>
      <c r="Y1742" s="30">
        <f>T1742*X1742</f>
        <v/>
      </c>
      <c r="Z1742" s="28">
        <f>IFERROR(LOOKUP(Y1742,{0;0.5;5;25},{"Bajo";"Medio";"Alto";"Crítico"}),"")</f>
        <v/>
      </c>
      <c r="AA1742" s="64">
        <f>IF(T1742&gt;=3,IF(X1742&gt;=1,"Zona 1 — Crítica: impacto alto y ocurre al menos una vez al año","Zona 4 — Catastrófica poco probable: impacto alto pero excepcional"),IF(AND(T1742&lt;1.5,X1742&lt;1),"Zona 3 — Asumible: impacto bajo y muy poco frecuente","Zona 2 — Atención: riesgo intermedio"))</f>
        <v/>
      </c>
      <c r="AB1742" s="64">
        <f>IFERROR(INDEX(MgAmenCtrl,MATCH(SUBSTITUTE($H1742,"*","-"),MgAmenClave,0)),"")</f>
        <v/>
      </c>
      <c r="AC1742" s="20" t="n"/>
      <c r="AD1742" s="31">
        <f>IFERROR($X1742*(1-IF($AC1742="",$AL1742,VLOOKUP($AC1742,MgMad,2,0))),"")</f>
        <v/>
      </c>
      <c r="AE1742" s="28">
        <f>IFERROR(LOOKUP(AD1742,{0;0.01;0.1;1;10;100},{"Muy baja";"Muy baja";"Baja";"Media";"Alta";"Muy alta"}),"")</f>
        <v/>
      </c>
      <c r="AF1742" s="30">
        <f>T1742*AD1742</f>
        <v/>
      </c>
      <c r="AG1742" s="28">
        <f>IFERROR(LOOKUP(AF1742,{0;0.5;5;25},{"Bajo";"Medio";"Alto";"Crítico"}),"")</f>
        <v/>
      </c>
      <c r="AH1742" s="28">
        <f>IF(AG1742="","",IF(OR(AG1742="Crítico",AG1742="Alto"),"Mitigar",IF(AG1742="Medio","Mitigar","Aceptar y monitorear")))</f>
        <v/>
      </c>
      <c r="AI1742" s="21" t="n"/>
      <c r="AJ1742" s="21" t="n"/>
      <c r="AK1742" s="20" t="n"/>
      <c r="AL1742" s="77">
        <f>IFERROR(INDEX(MgAmenEfic,MATCH(SUBSTITUTE($H1742,"*","-"),MgAmenClave,0)),0)</f>
        <v/>
      </c>
    </row>
    <row r="1743" hidden="1" ht="45" customHeight="1" s="54">
      <c r="B1743" s="59" t="inlineStr">
        <is>
          <t>R-1738</t>
        </is>
      </c>
      <c r="C1743" s="59" t="inlineStr">
        <is>
          <t>TEC-012</t>
        </is>
      </c>
      <c r="D1743" s="64">
        <f>IFERROR(INDEX(MgNombre,MATCH($C1743,MgActId,0)),"")</f>
        <v/>
      </c>
      <c r="E1743" s="64">
        <f>IFERROR(INDEX(MgProceso,MATCH($C1743,MgActId,0)),"")</f>
        <v/>
      </c>
      <c r="F1743" s="64">
        <f>IFERROR(INDEX(MgTipo,MATCH($C1743,MgActId,0)),"")</f>
        <v/>
      </c>
      <c r="G1743" s="64">
        <f>IFERROR(INDEX(MgSubtipo,MATCH($C1743,MgActId,0)),"")</f>
        <v/>
      </c>
      <c r="H1743" s="59" t="inlineStr">
        <is>
          <t>I.3</t>
        </is>
      </c>
      <c r="I1743" s="64">
        <f>IFERROR(INDEX(MgAmenNombre,MATCH(SUBSTITUTE($H1743,"*","-"),MgAmenClave,0)),"")</f>
        <v/>
      </c>
      <c r="J1743" s="28">
        <f>IFERROR(INDEX(MgAmenGrupo,MATCH(SUBSTITUTE($H1743,"*","-"),MgAmenClave,0)),"")</f>
        <v/>
      </c>
      <c r="K1743" s="64">
        <f>IFERROR(INDEX('1. Matriz de Activos'!$Q$6:$Q$239,MATCH($C1743,MgActId,0)),"")</f>
        <v/>
      </c>
      <c r="L1743" s="64">
        <f>IFERROR(INDEX('1. Matriz de Activos'!$R$6:$R$239,MATCH($C1743,MgActId,0)),"")</f>
        <v/>
      </c>
      <c r="M1743" s="64">
        <f>IFERROR(INDEX('1. Matriz de Activos'!$S$6:$S$239,MATCH($C1743,MgActId,0)),"")</f>
        <v/>
      </c>
      <c r="N1743" s="28">
        <f>IFERROR(INDEX(MgAmenDegD,MATCH(SUBSTITUTE($H1743,"*","-"),MgAmenClave,0)),"No aplica")</f>
        <v/>
      </c>
      <c r="O1743" s="28">
        <f>IFERROR(INDEX(MgAmenDegI,MATCH(SUBSTITUTE($H1743,"*","-"),MgAmenClave,0)),"No aplica")</f>
        <v/>
      </c>
      <c r="P1743" s="28">
        <f>IFERROR(INDEX(MgAmenDegC,MATCH(SUBSTITUTE($H1743,"*","-"),MgAmenClave,0)),"No aplica")</f>
        <v/>
      </c>
      <c r="Q1743" s="29">
        <f>IFERROR(VLOOKUP(K1743,MgValor,2,0)*VLOOKUP(N1743,MgDeg,2,0),0)</f>
        <v/>
      </c>
      <c r="R1743" s="29">
        <f>IFERROR(VLOOKUP(L1743,MgValor,2,0)*VLOOKUP(O1743,MgDeg,2,0),0)</f>
        <v/>
      </c>
      <c r="S1743" s="29">
        <f>IFERROR(VLOOKUP(M1743,MgValor,2,0)*VLOOKUP(P1743,MgDeg,2,0),0)</f>
        <v/>
      </c>
      <c r="T1743" s="30">
        <f>MAX(Q1743:S1743)</f>
        <v/>
      </c>
      <c r="U1743" s="28">
        <f>IFERROR(LOOKUP(T1743,{0;0.5;1.5;3;4.5},{"Despreciable";"Bajo";"Medio";"Alto";"Muy alto"}),"")</f>
        <v/>
      </c>
      <c r="V1743" s="13">
        <f>IFERROR(INDEX(MgAmenFrec,MATCH(SUBSTITUTE($H1743,"*","-"),MgAmenClave,0)),"")</f>
        <v/>
      </c>
      <c r="W1743" s="28">
        <f>IFERROR(LOOKUP(X1743,{0;0.01;0.1;1;10;100},{"Muy baja";"Muy baja";"Baja";"Media";"Alta";"Muy alta"}),"")</f>
        <v/>
      </c>
      <c r="X1743" s="31">
        <f>IFERROR(VLOOKUP(V1743,MgFrec,2,0),0)</f>
        <v/>
      </c>
      <c r="Y1743" s="30">
        <f>T1743*X1743</f>
        <v/>
      </c>
      <c r="Z1743" s="28">
        <f>IFERROR(LOOKUP(Y1743,{0;0.5;5;25},{"Bajo";"Medio";"Alto";"Crítico"}),"")</f>
        <v/>
      </c>
      <c r="AA1743" s="64">
        <f>IF(T1743&gt;=3,IF(X1743&gt;=1,"Zona 1 — Crítica: impacto alto y ocurre al menos una vez al año","Zona 4 — Catastrófica poco probable: impacto alto pero excepcional"),IF(AND(T1743&lt;1.5,X1743&lt;1),"Zona 3 — Asumible: impacto bajo y muy poco frecuente","Zona 2 — Atención: riesgo intermedio"))</f>
        <v/>
      </c>
      <c r="AB1743" s="64">
        <f>IFERROR(INDEX(MgAmenCtrl,MATCH(SUBSTITUTE($H1743,"*","-"),MgAmenClave,0)),"")</f>
        <v/>
      </c>
      <c r="AC1743" s="20" t="n"/>
      <c r="AD1743" s="31">
        <f>IFERROR($X1743*(1-IF($AC1743="",$AL1743,VLOOKUP($AC1743,MgMad,2,0))),"")</f>
        <v/>
      </c>
      <c r="AE1743" s="28">
        <f>IFERROR(LOOKUP(AD1743,{0;0.01;0.1;1;10;100},{"Muy baja";"Muy baja";"Baja";"Media";"Alta";"Muy alta"}),"")</f>
        <v/>
      </c>
      <c r="AF1743" s="30">
        <f>T1743*AD1743</f>
        <v/>
      </c>
      <c r="AG1743" s="28">
        <f>IFERROR(LOOKUP(AF1743,{0;0.5;5;25},{"Bajo";"Medio";"Alto";"Crítico"}),"")</f>
        <v/>
      </c>
      <c r="AH1743" s="28">
        <f>IF(AG1743="","",IF(OR(AG1743="Crítico",AG1743="Alto"),"Mitigar",IF(AG1743="Medio","Mitigar","Aceptar y monitorear")))</f>
        <v/>
      </c>
      <c r="AI1743" s="21" t="n"/>
      <c r="AJ1743" s="21" t="n"/>
      <c r="AK1743" s="20" t="n"/>
      <c r="AL1743" s="77">
        <f>IFERROR(INDEX(MgAmenEfic,MATCH(SUBSTITUTE($H1743,"*","-"),MgAmenClave,0)),0)</f>
        <v/>
      </c>
    </row>
    <row r="1744" hidden="1" ht="45" customHeight="1" s="54">
      <c r="B1744" s="59" t="inlineStr">
        <is>
          <t>R-1739</t>
        </is>
      </c>
      <c r="C1744" s="59" t="inlineStr">
        <is>
          <t>TEC-012</t>
        </is>
      </c>
      <c r="D1744" s="64">
        <f>IFERROR(INDEX(MgNombre,MATCH($C1744,MgActId,0)),"")</f>
        <v/>
      </c>
      <c r="E1744" s="64">
        <f>IFERROR(INDEX(MgProceso,MATCH($C1744,MgActId,0)),"")</f>
        <v/>
      </c>
      <c r="F1744" s="64">
        <f>IFERROR(INDEX(MgTipo,MATCH($C1744,MgActId,0)),"")</f>
        <v/>
      </c>
      <c r="G1744" s="64">
        <f>IFERROR(INDEX(MgSubtipo,MATCH($C1744,MgActId,0)),"")</f>
        <v/>
      </c>
      <c r="H1744" s="59" t="inlineStr">
        <is>
          <t>I.4</t>
        </is>
      </c>
      <c r="I1744" s="64">
        <f>IFERROR(INDEX(MgAmenNombre,MATCH(SUBSTITUTE($H1744,"*","-"),MgAmenClave,0)),"")</f>
        <v/>
      </c>
      <c r="J1744" s="28">
        <f>IFERROR(INDEX(MgAmenGrupo,MATCH(SUBSTITUTE($H1744,"*","-"),MgAmenClave,0)),"")</f>
        <v/>
      </c>
      <c r="K1744" s="64">
        <f>IFERROR(INDEX('1. Matriz de Activos'!$Q$6:$Q$239,MATCH($C1744,MgActId,0)),"")</f>
        <v/>
      </c>
      <c r="L1744" s="64">
        <f>IFERROR(INDEX('1. Matriz de Activos'!$R$6:$R$239,MATCH($C1744,MgActId,0)),"")</f>
        <v/>
      </c>
      <c r="M1744" s="64">
        <f>IFERROR(INDEX('1. Matriz de Activos'!$S$6:$S$239,MATCH($C1744,MgActId,0)),"")</f>
        <v/>
      </c>
      <c r="N1744" s="28">
        <f>IFERROR(INDEX(MgAmenDegD,MATCH(SUBSTITUTE($H1744,"*","-"),MgAmenClave,0)),"No aplica")</f>
        <v/>
      </c>
      <c r="O1744" s="28">
        <f>IFERROR(INDEX(MgAmenDegI,MATCH(SUBSTITUTE($H1744,"*","-"),MgAmenClave,0)),"No aplica")</f>
        <v/>
      </c>
      <c r="P1744" s="28">
        <f>IFERROR(INDEX(MgAmenDegC,MATCH(SUBSTITUTE($H1744,"*","-"),MgAmenClave,0)),"No aplica")</f>
        <v/>
      </c>
      <c r="Q1744" s="29">
        <f>IFERROR(VLOOKUP(K1744,MgValor,2,0)*VLOOKUP(N1744,MgDeg,2,0),0)</f>
        <v/>
      </c>
      <c r="R1744" s="29">
        <f>IFERROR(VLOOKUP(L1744,MgValor,2,0)*VLOOKUP(O1744,MgDeg,2,0),0)</f>
        <v/>
      </c>
      <c r="S1744" s="29">
        <f>IFERROR(VLOOKUP(M1744,MgValor,2,0)*VLOOKUP(P1744,MgDeg,2,0),0)</f>
        <v/>
      </c>
      <c r="T1744" s="30">
        <f>MAX(Q1744:S1744)</f>
        <v/>
      </c>
      <c r="U1744" s="28">
        <f>IFERROR(LOOKUP(T1744,{0;0.5;1.5;3;4.5},{"Despreciable";"Bajo";"Medio";"Alto";"Muy alto"}),"")</f>
        <v/>
      </c>
      <c r="V1744" s="13">
        <f>IFERROR(INDEX(MgAmenFrec,MATCH(SUBSTITUTE($H1744,"*","-"),MgAmenClave,0)),"")</f>
        <v/>
      </c>
      <c r="W1744" s="28">
        <f>IFERROR(LOOKUP(X1744,{0;0.01;0.1;1;10;100},{"Muy baja";"Muy baja";"Baja";"Media";"Alta";"Muy alta"}),"")</f>
        <v/>
      </c>
      <c r="X1744" s="31">
        <f>IFERROR(VLOOKUP(V1744,MgFrec,2,0),0)</f>
        <v/>
      </c>
      <c r="Y1744" s="30">
        <f>T1744*X1744</f>
        <v/>
      </c>
      <c r="Z1744" s="28">
        <f>IFERROR(LOOKUP(Y1744,{0;0.5;5;25},{"Bajo";"Medio";"Alto";"Crítico"}),"")</f>
        <v/>
      </c>
      <c r="AA1744" s="64">
        <f>IF(T1744&gt;=3,IF(X1744&gt;=1,"Zona 1 — Crítica: impacto alto y ocurre al menos una vez al año","Zona 4 — Catastrófica poco probable: impacto alto pero excepcional"),IF(AND(T1744&lt;1.5,X1744&lt;1),"Zona 3 — Asumible: impacto bajo y muy poco frecuente","Zona 2 — Atención: riesgo intermedio"))</f>
        <v/>
      </c>
      <c r="AB1744" s="64">
        <f>IFERROR(INDEX(MgAmenCtrl,MATCH(SUBSTITUTE($H1744,"*","-"),MgAmenClave,0)),"")</f>
        <v/>
      </c>
      <c r="AC1744" s="20" t="n"/>
      <c r="AD1744" s="31">
        <f>IFERROR($X1744*(1-IF($AC1744="",$AL1744,VLOOKUP($AC1744,MgMad,2,0))),"")</f>
        <v/>
      </c>
      <c r="AE1744" s="28">
        <f>IFERROR(LOOKUP(AD1744,{0;0.01;0.1;1;10;100},{"Muy baja";"Muy baja";"Baja";"Media";"Alta";"Muy alta"}),"")</f>
        <v/>
      </c>
      <c r="AF1744" s="30">
        <f>T1744*AD1744</f>
        <v/>
      </c>
      <c r="AG1744" s="28">
        <f>IFERROR(LOOKUP(AF1744,{0;0.5;5;25},{"Bajo";"Medio";"Alto";"Crítico"}),"")</f>
        <v/>
      </c>
      <c r="AH1744" s="28">
        <f>IF(AG1744="","",IF(OR(AG1744="Crítico",AG1744="Alto"),"Mitigar",IF(AG1744="Medio","Mitigar","Aceptar y monitorear")))</f>
        <v/>
      </c>
      <c r="AI1744" s="21" t="n"/>
      <c r="AJ1744" s="21" t="n"/>
      <c r="AK1744" s="20" t="n"/>
      <c r="AL1744" s="77">
        <f>IFERROR(INDEX(MgAmenEfic,MATCH(SUBSTITUTE($H1744,"*","-"),MgAmenClave,0)),0)</f>
        <v/>
      </c>
    </row>
    <row r="1745" hidden="1" ht="75" customHeight="1" s="54">
      <c r="B1745" s="59" t="inlineStr">
        <is>
          <t>R-1740</t>
        </is>
      </c>
      <c r="C1745" s="59" t="inlineStr">
        <is>
          <t>TEC-012</t>
        </is>
      </c>
      <c r="D1745" s="64">
        <f>IFERROR(INDEX(MgNombre,MATCH($C1745,MgActId,0)),"")</f>
        <v/>
      </c>
      <c r="E1745" s="64">
        <f>IFERROR(INDEX(MgProceso,MATCH($C1745,MgActId,0)),"")</f>
        <v/>
      </c>
      <c r="F1745" s="64">
        <f>IFERROR(INDEX(MgTipo,MATCH($C1745,MgActId,0)),"")</f>
        <v/>
      </c>
      <c r="G1745" s="64">
        <f>IFERROR(INDEX(MgSubtipo,MATCH($C1745,MgActId,0)),"")</f>
        <v/>
      </c>
      <c r="H1745" s="59" t="inlineStr">
        <is>
          <t>I.5</t>
        </is>
      </c>
      <c r="I1745" s="64">
        <f>IFERROR(INDEX(MgAmenNombre,MATCH(SUBSTITUTE($H1745,"*","-"),MgAmenClave,0)),"")</f>
        <v/>
      </c>
      <c r="J1745" s="28">
        <f>IFERROR(INDEX(MgAmenGrupo,MATCH(SUBSTITUTE($H1745,"*","-"),MgAmenClave,0)),"")</f>
        <v/>
      </c>
      <c r="K1745" s="64">
        <f>IFERROR(INDEX('1. Matriz de Activos'!$Q$6:$Q$239,MATCH($C1745,MgActId,0)),"")</f>
        <v/>
      </c>
      <c r="L1745" s="64">
        <f>IFERROR(INDEX('1. Matriz de Activos'!$R$6:$R$239,MATCH($C1745,MgActId,0)),"")</f>
        <v/>
      </c>
      <c r="M1745" s="64">
        <f>IFERROR(INDEX('1. Matriz de Activos'!$S$6:$S$239,MATCH($C1745,MgActId,0)),"")</f>
        <v/>
      </c>
      <c r="N1745" s="28">
        <f>IFERROR(INDEX(MgAmenDegD,MATCH(SUBSTITUTE($H1745,"*","-"),MgAmenClave,0)),"No aplica")</f>
        <v/>
      </c>
      <c r="O1745" s="28">
        <f>IFERROR(INDEX(MgAmenDegI,MATCH(SUBSTITUTE($H1745,"*","-"),MgAmenClave,0)),"No aplica")</f>
        <v/>
      </c>
      <c r="P1745" s="28">
        <f>IFERROR(INDEX(MgAmenDegC,MATCH(SUBSTITUTE($H1745,"*","-"),MgAmenClave,0)),"No aplica")</f>
        <v/>
      </c>
      <c r="Q1745" s="29">
        <f>IFERROR(VLOOKUP(K1745,MgValor,2,0)*VLOOKUP(N1745,MgDeg,2,0),0)</f>
        <v/>
      </c>
      <c r="R1745" s="29">
        <f>IFERROR(VLOOKUP(L1745,MgValor,2,0)*VLOOKUP(O1745,MgDeg,2,0),0)</f>
        <v/>
      </c>
      <c r="S1745" s="29">
        <f>IFERROR(VLOOKUP(M1745,MgValor,2,0)*VLOOKUP(P1745,MgDeg,2,0),0)</f>
        <v/>
      </c>
      <c r="T1745" s="30">
        <f>MAX(Q1745:S1745)</f>
        <v/>
      </c>
      <c r="U1745" s="28">
        <f>IFERROR(LOOKUP(T1745,{0;0.5;1.5;3;4.5},{"Despreciable";"Bajo";"Medio";"Alto";"Muy alto"}),"")</f>
        <v/>
      </c>
      <c r="V1745" s="13">
        <f>IFERROR(INDEX(MgAmenFrec,MATCH(SUBSTITUTE($H1745,"*","-"),MgAmenClave,0)),"")</f>
        <v/>
      </c>
      <c r="W1745" s="28">
        <f>IFERROR(LOOKUP(X1745,{0;0.01;0.1;1;10;100},{"Muy baja";"Muy baja";"Baja";"Media";"Alta";"Muy alta"}),"")</f>
        <v/>
      </c>
      <c r="X1745" s="31">
        <f>IFERROR(VLOOKUP(V1745,MgFrec,2,0),0)</f>
        <v/>
      </c>
      <c r="Y1745" s="30">
        <f>T1745*X1745</f>
        <v/>
      </c>
      <c r="Z1745" s="28">
        <f>IFERROR(LOOKUP(Y1745,{0;0.5;5;25},{"Bajo";"Medio";"Alto";"Crítico"}),"")</f>
        <v/>
      </c>
      <c r="AA1745" s="64">
        <f>IF(T1745&gt;=3,IF(X1745&gt;=1,"Zona 1 — Crítica: impacto alto y ocurre al menos una vez al año","Zona 4 — Catastrófica poco probable: impacto alto pero excepcional"),IF(AND(T1745&lt;1.5,X1745&lt;1),"Zona 3 — Asumible: impacto bajo y muy poco frecuente","Zona 2 — Atención: riesgo intermedio"))</f>
        <v/>
      </c>
      <c r="AB1745" s="64">
        <f>IFERROR(INDEX(MgAmenCtrl,MATCH(SUBSTITUTE($H1745,"*","-"),MgAmenClave,0)),"")</f>
        <v/>
      </c>
      <c r="AC1745" s="20" t="n"/>
      <c r="AD1745" s="31">
        <f>IFERROR($X1745*(1-IF($AC1745="",$AL1745,VLOOKUP($AC1745,MgMad,2,0))),"")</f>
        <v/>
      </c>
      <c r="AE1745" s="28">
        <f>IFERROR(LOOKUP(AD1745,{0;0.01;0.1;1;10;100},{"Muy baja";"Muy baja";"Baja";"Media";"Alta";"Muy alta"}),"")</f>
        <v/>
      </c>
      <c r="AF1745" s="30">
        <f>T1745*AD1745</f>
        <v/>
      </c>
      <c r="AG1745" s="28">
        <f>IFERROR(LOOKUP(AF1745,{0;0.5;5;25},{"Bajo";"Medio";"Alto";"Crítico"}),"")</f>
        <v/>
      </c>
      <c r="AH1745" s="28">
        <f>IF(AG1745="","",IF(OR(AG1745="Crítico",AG1745="Alto"),"Mitigar",IF(AG1745="Medio","Mitigar","Aceptar y monitorear")))</f>
        <v/>
      </c>
      <c r="AI1745" s="21" t="n"/>
      <c r="AJ1745" s="21" t="n"/>
      <c r="AK1745" s="20" t="n"/>
      <c r="AL1745" s="77">
        <f>IFERROR(INDEX(MgAmenEfic,MATCH(SUBSTITUTE($H1745,"*","-"),MgAmenClave,0)),0)</f>
        <v/>
      </c>
    </row>
    <row r="1746" hidden="1" ht="60" customHeight="1" s="54">
      <c r="B1746" s="59" t="inlineStr">
        <is>
          <t>R-1741</t>
        </is>
      </c>
      <c r="C1746" s="59" t="inlineStr">
        <is>
          <t>TEC-012</t>
        </is>
      </c>
      <c r="D1746" s="64">
        <f>IFERROR(INDEX(MgNombre,MATCH($C1746,MgActId,0)),"")</f>
        <v/>
      </c>
      <c r="E1746" s="64">
        <f>IFERROR(INDEX(MgProceso,MATCH($C1746,MgActId,0)),"")</f>
        <v/>
      </c>
      <c r="F1746" s="64">
        <f>IFERROR(INDEX(MgTipo,MATCH($C1746,MgActId,0)),"")</f>
        <v/>
      </c>
      <c r="G1746" s="64">
        <f>IFERROR(INDEX(MgSubtipo,MATCH($C1746,MgActId,0)),"")</f>
        <v/>
      </c>
      <c r="H1746" s="59" t="inlineStr">
        <is>
          <t>I.6</t>
        </is>
      </c>
      <c r="I1746" s="64">
        <f>IFERROR(INDEX(MgAmenNombre,MATCH(SUBSTITUTE($H1746,"*","-"),MgAmenClave,0)),"")</f>
        <v/>
      </c>
      <c r="J1746" s="28">
        <f>IFERROR(INDEX(MgAmenGrupo,MATCH(SUBSTITUTE($H1746,"*","-"),MgAmenClave,0)),"")</f>
        <v/>
      </c>
      <c r="K1746" s="64">
        <f>IFERROR(INDEX('1. Matriz de Activos'!$Q$6:$Q$239,MATCH($C1746,MgActId,0)),"")</f>
        <v/>
      </c>
      <c r="L1746" s="64">
        <f>IFERROR(INDEX('1. Matriz de Activos'!$R$6:$R$239,MATCH($C1746,MgActId,0)),"")</f>
        <v/>
      </c>
      <c r="M1746" s="64">
        <f>IFERROR(INDEX('1. Matriz de Activos'!$S$6:$S$239,MATCH($C1746,MgActId,0)),"")</f>
        <v/>
      </c>
      <c r="N1746" s="28">
        <f>IFERROR(INDEX(MgAmenDegD,MATCH(SUBSTITUTE($H1746,"*","-"),MgAmenClave,0)),"No aplica")</f>
        <v/>
      </c>
      <c r="O1746" s="28">
        <f>IFERROR(INDEX(MgAmenDegI,MATCH(SUBSTITUTE($H1746,"*","-"),MgAmenClave,0)),"No aplica")</f>
        <v/>
      </c>
      <c r="P1746" s="28">
        <f>IFERROR(INDEX(MgAmenDegC,MATCH(SUBSTITUTE($H1746,"*","-"),MgAmenClave,0)),"No aplica")</f>
        <v/>
      </c>
      <c r="Q1746" s="29">
        <f>IFERROR(VLOOKUP(K1746,MgValor,2,0)*VLOOKUP(N1746,MgDeg,2,0),0)</f>
        <v/>
      </c>
      <c r="R1746" s="29">
        <f>IFERROR(VLOOKUP(L1746,MgValor,2,0)*VLOOKUP(O1746,MgDeg,2,0),0)</f>
        <v/>
      </c>
      <c r="S1746" s="29">
        <f>IFERROR(VLOOKUP(M1746,MgValor,2,0)*VLOOKUP(P1746,MgDeg,2,0),0)</f>
        <v/>
      </c>
      <c r="T1746" s="30">
        <f>MAX(Q1746:S1746)</f>
        <v/>
      </c>
      <c r="U1746" s="28">
        <f>IFERROR(LOOKUP(T1746,{0;0.5;1.5;3;4.5},{"Despreciable";"Bajo";"Medio";"Alto";"Muy alto"}),"")</f>
        <v/>
      </c>
      <c r="V1746" s="13">
        <f>IFERROR(INDEX(MgAmenFrec,MATCH(SUBSTITUTE($H1746,"*","-"),MgAmenClave,0)),"")</f>
        <v/>
      </c>
      <c r="W1746" s="28">
        <f>IFERROR(LOOKUP(X1746,{0;0.01;0.1;1;10;100},{"Muy baja";"Muy baja";"Baja";"Media";"Alta";"Muy alta"}),"")</f>
        <v/>
      </c>
      <c r="X1746" s="31">
        <f>IFERROR(VLOOKUP(V1746,MgFrec,2,0),0)</f>
        <v/>
      </c>
      <c r="Y1746" s="30">
        <f>T1746*X1746</f>
        <v/>
      </c>
      <c r="Z1746" s="28">
        <f>IFERROR(LOOKUP(Y1746,{0;0.5;5;25},{"Bajo";"Medio";"Alto";"Crítico"}),"")</f>
        <v/>
      </c>
      <c r="AA1746" s="64">
        <f>IF(T1746&gt;=3,IF(X1746&gt;=1,"Zona 1 — Crítica: impacto alto y ocurre al menos una vez al año","Zona 4 — Catastrófica poco probable: impacto alto pero excepcional"),IF(AND(T1746&lt;1.5,X1746&lt;1),"Zona 3 — Asumible: impacto bajo y muy poco frecuente","Zona 2 — Atención: riesgo intermedio"))</f>
        <v/>
      </c>
      <c r="AB1746" s="64">
        <f>IFERROR(INDEX(MgAmenCtrl,MATCH(SUBSTITUTE($H1746,"*","-"),MgAmenClave,0)),"")</f>
        <v/>
      </c>
      <c r="AC1746" s="20" t="n"/>
      <c r="AD1746" s="31">
        <f>IFERROR($X1746*(1-IF($AC1746="",$AL1746,VLOOKUP($AC1746,MgMad,2,0))),"")</f>
        <v/>
      </c>
      <c r="AE1746" s="28">
        <f>IFERROR(LOOKUP(AD1746,{0;0.01;0.1;1;10;100},{"Muy baja";"Muy baja";"Baja";"Media";"Alta";"Muy alta"}),"")</f>
        <v/>
      </c>
      <c r="AF1746" s="30">
        <f>T1746*AD1746</f>
        <v/>
      </c>
      <c r="AG1746" s="28">
        <f>IFERROR(LOOKUP(AF1746,{0;0.5;5;25},{"Bajo";"Medio";"Alto";"Crítico"}),"")</f>
        <v/>
      </c>
      <c r="AH1746" s="28">
        <f>IF(AG1746="","",IF(OR(AG1746="Crítico",AG1746="Alto"),"Mitigar",IF(AG1746="Medio","Mitigar","Aceptar y monitorear")))</f>
        <v/>
      </c>
      <c r="AI1746" s="21" t="n"/>
      <c r="AJ1746" s="21" t="n"/>
      <c r="AK1746" s="20" t="n"/>
      <c r="AL1746" s="77">
        <f>IFERROR(INDEX(MgAmenEfic,MATCH(SUBSTITUTE($H1746,"*","-"),MgAmenClave,0)),0)</f>
        <v/>
      </c>
    </row>
    <row r="1747" hidden="1" ht="45" customHeight="1" s="54">
      <c r="B1747" s="59" t="inlineStr">
        <is>
          <t>R-1742</t>
        </is>
      </c>
      <c r="C1747" s="59" t="inlineStr">
        <is>
          <t>TEC-012</t>
        </is>
      </c>
      <c r="D1747" s="64">
        <f>IFERROR(INDEX(MgNombre,MATCH($C1747,MgActId,0)),"")</f>
        <v/>
      </c>
      <c r="E1747" s="64">
        <f>IFERROR(INDEX(MgProceso,MATCH($C1747,MgActId,0)),"")</f>
        <v/>
      </c>
      <c r="F1747" s="64">
        <f>IFERROR(INDEX(MgTipo,MATCH($C1747,MgActId,0)),"")</f>
        <v/>
      </c>
      <c r="G1747" s="64">
        <f>IFERROR(INDEX(MgSubtipo,MATCH($C1747,MgActId,0)),"")</f>
        <v/>
      </c>
      <c r="H1747" s="59" t="inlineStr">
        <is>
          <t>I.7</t>
        </is>
      </c>
      <c r="I1747" s="64">
        <f>IFERROR(INDEX(MgAmenNombre,MATCH(SUBSTITUTE($H1747,"*","-"),MgAmenClave,0)),"")</f>
        <v/>
      </c>
      <c r="J1747" s="28">
        <f>IFERROR(INDEX(MgAmenGrupo,MATCH(SUBSTITUTE($H1747,"*","-"),MgAmenClave,0)),"")</f>
        <v/>
      </c>
      <c r="K1747" s="64">
        <f>IFERROR(INDEX('1. Matriz de Activos'!$Q$6:$Q$239,MATCH($C1747,MgActId,0)),"")</f>
        <v/>
      </c>
      <c r="L1747" s="64">
        <f>IFERROR(INDEX('1. Matriz de Activos'!$R$6:$R$239,MATCH($C1747,MgActId,0)),"")</f>
        <v/>
      </c>
      <c r="M1747" s="64">
        <f>IFERROR(INDEX('1. Matriz de Activos'!$S$6:$S$239,MATCH($C1747,MgActId,0)),"")</f>
        <v/>
      </c>
      <c r="N1747" s="28">
        <f>IFERROR(INDEX(MgAmenDegD,MATCH(SUBSTITUTE($H1747,"*","-"),MgAmenClave,0)),"No aplica")</f>
        <v/>
      </c>
      <c r="O1747" s="28">
        <f>IFERROR(INDEX(MgAmenDegI,MATCH(SUBSTITUTE($H1747,"*","-"),MgAmenClave,0)),"No aplica")</f>
        <v/>
      </c>
      <c r="P1747" s="28">
        <f>IFERROR(INDEX(MgAmenDegC,MATCH(SUBSTITUTE($H1747,"*","-"),MgAmenClave,0)),"No aplica")</f>
        <v/>
      </c>
      <c r="Q1747" s="29">
        <f>IFERROR(VLOOKUP(K1747,MgValor,2,0)*VLOOKUP(N1747,MgDeg,2,0),0)</f>
        <v/>
      </c>
      <c r="R1747" s="29">
        <f>IFERROR(VLOOKUP(L1747,MgValor,2,0)*VLOOKUP(O1747,MgDeg,2,0),0)</f>
        <v/>
      </c>
      <c r="S1747" s="29">
        <f>IFERROR(VLOOKUP(M1747,MgValor,2,0)*VLOOKUP(P1747,MgDeg,2,0),0)</f>
        <v/>
      </c>
      <c r="T1747" s="30">
        <f>MAX(Q1747:S1747)</f>
        <v/>
      </c>
      <c r="U1747" s="28">
        <f>IFERROR(LOOKUP(T1747,{0;0.5;1.5;3;4.5},{"Despreciable";"Bajo";"Medio";"Alto";"Muy alto"}),"")</f>
        <v/>
      </c>
      <c r="V1747" s="13">
        <f>IFERROR(INDEX(MgAmenFrec,MATCH(SUBSTITUTE($H1747,"*","-"),MgAmenClave,0)),"")</f>
        <v/>
      </c>
      <c r="W1747" s="28">
        <f>IFERROR(LOOKUP(X1747,{0;0.01;0.1;1;10;100},{"Muy baja";"Muy baja";"Baja";"Media";"Alta";"Muy alta"}),"")</f>
        <v/>
      </c>
      <c r="X1747" s="31">
        <f>IFERROR(VLOOKUP(V1747,MgFrec,2,0),0)</f>
        <v/>
      </c>
      <c r="Y1747" s="30">
        <f>T1747*X1747</f>
        <v/>
      </c>
      <c r="Z1747" s="28">
        <f>IFERROR(LOOKUP(Y1747,{0;0.5;5;25},{"Bajo";"Medio";"Alto";"Crítico"}),"")</f>
        <v/>
      </c>
      <c r="AA1747" s="64">
        <f>IF(T1747&gt;=3,IF(X1747&gt;=1,"Zona 1 — Crítica: impacto alto y ocurre al menos una vez al año","Zona 4 — Catastrófica poco probable: impacto alto pero excepcional"),IF(AND(T1747&lt;1.5,X1747&lt;1),"Zona 3 — Asumible: impacto bajo y muy poco frecuente","Zona 2 — Atención: riesgo intermedio"))</f>
        <v/>
      </c>
      <c r="AB1747" s="64">
        <f>IFERROR(INDEX(MgAmenCtrl,MATCH(SUBSTITUTE($H1747,"*","-"),MgAmenClave,0)),"")</f>
        <v/>
      </c>
      <c r="AC1747" s="20" t="n"/>
      <c r="AD1747" s="31">
        <f>IFERROR($X1747*(1-IF($AC1747="",$AL1747,VLOOKUP($AC1747,MgMad,2,0))),"")</f>
        <v/>
      </c>
      <c r="AE1747" s="28">
        <f>IFERROR(LOOKUP(AD1747,{0;0.01;0.1;1;10;100},{"Muy baja";"Muy baja";"Baja";"Media";"Alta";"Muy alta"}),"")</f>
        <v/>
      </c>
      <c r="AF1747" s="30">
        <f>T1747*AD1747</f>
        <v/>
      </c>
      <c r="AG1747" s="28">
        <f>IFERROR(LOOKUP(AF1747,{0;0.5;5;25},{"Bajo";"Medio";"Alto";"Crítico"}),"")</f>
        <v/>
      </c>
      <c r="AH1747" s="28">
        <f>IF(AG1747="","",IF(OR(AG1747="Crítico",AG1747="Alto"),"Mitigar",IF(AG1747="Medio","Mitigar","Aceptar y monitorear")))</f>
        <v/>
      </c>
      <c r="AI1747" s="21" t="n"/>
      <c r="AJ1747" s="21" t="n"/>
      <c r="AK1747" s="20" t="n"/>
      <c r="AL1747" s="77">
        <f>IFERROR(INDEX(MgAmenEfic,MATCH(SUBSTITUTE($H1747,"*","-"),MgAmenClave,0)),0)</f>
        <v/>
      </c>
    </row>
    <row r="1748" hidden="1" ht="45" customHeight="1" s="54">
      <c r="B1748" s="59" t="inlineStr">
        <is>
          <t>R-1743</t>
        </is>
      </c>
      <c r="C1748" s="59" t="inlineStr">
        <is>
          <t>TEC-012</t>
        </is>
      </c>
      <c r="D1748" s="64">
        <f>IFERROR(INDEX(MgNombre,MATCH($C1748,MgActId,0)),"")</f>
        <v/>
      </c>
      <c r="E1748" s="64">
        <f>IFERROR(INDEX(MgProceso,MATCH($C1748,MgActId,0)),"")</f>
        <v/>
      </c>
      <c r="F1748" s="64">
        <f>IFERROR(INDEX(MgTipo,MATCH($C1748,MgActId,0)),"")</f>
        <v/>
      </c>
      <c r="G1748" s="64">
        <f>IFERROR(INDEX(MgSubtipo,MATCH($C1748,MgActId,0)),"")</f>
        <v/>
      </c>
      <c r="H1748" s="59" t="inlineStr">
        <is>
          <t>I.10</t>
        </is>
      </c>
      <c r="I1748" s="64">
        <f>IFERROR(INDEX(MgAmenNombre,MATCH(SUBSTITUTE($H1748,"*","-"),MgAmenClave,0)),"")</f>
        <v/>
      </c>
      <c r="J1748" s="28">
        <f>IFERROR(INDEX(MgAmenGrupo,MATCH(SUBSTITUTE($H1748,"*","-"),MgAmenClave,0)),"")</f>
        <v/>
      </c>
      <c r="K1748" s="64">
        <f>IFERROR(INDEX('1. Matriz de Activos'!$Q$6:$Q$239,MATCH($C1748,MgActId,0)),"")</f>
        <v/>
      </c>
      <c r="L1748" s="64">
        <f>IFERROR(INDEX('1. Matriz de Activos'!$R$6:$R$239,MATCH($C1748,MgActId,0)),"")</f>
        <v/>
      </c>
      <c r="M1748" s="64">
        <f>IFERROR(INDEX('1. Matriz de Activos'!$S$6:$S$239,MATCH($C1748,MgActId,0)),"")</f>
        <v/>
      </c>
      <c r="N1748" s="28">
        <f>IFERROR(INDEX(MgAmenDegD,MATCH(SUBSTITUTE($H1748,"*","-"),MgAmenClave,0)),"No aplica")</f>
        <v/>
      </c>
      <c r="O1748" s="28">
        <f>IFERROR(INDEX(MgAmenDegI,MATCH(SUBSTITUTE($H1748,"*","-"),MgAmenClave,0)),"No aplica")</f>
        <v/>
      </c>
      <c r="P1748" s="28">
        <f>IFERROR(INDEX(MgAmenDegC,MATCH(SUBSTITUTE($H1748,"*","-"),MgAmenClave,0)),"No aplica")</f>
        <v/>
      </c>
      <c r="Q1748" s="29">
        <f>IFERROR(VLOOKUP(K1748,MgValor,2,0)*VLOOKUP(N1748,MgDeg,2,0),0)</f>
        <v/>
      </c>
      <c r="R1748" s="29">
        <f>IFERROR(VLOOKUP(L1748,MgValor,2,0)*VLOOKUP(O1748,MgDeg,2,0),0)</f>
        <v/>
      </c>
      <c r="S1748" s="29">
        <f>IFERROR(VLOOKUP(M1748,MgValor,2,0)*VLOOKUP(P1748,MgDeg,2,0),0)</f>
        <v/>
      </c>
      <c r="T1748" s="30">
        <f>MAX(Q1748:S1748)</f>
        <v/>
      </c>
      <c r="U1748" s="28">
        <f>IFERROR(LOOKUP(T1748,{0;0.5;1.5;3;4.5},{"Despreciable";"Bajo";"Medio";"Alto";"Muy alto"}),"")</f>
        <v/>
      </c>
      <c r="V1748" s="13">
        <f>IFERROR(INDEX(MgAmenFrec,MATCH(SUBSTITUTE($H1748,"*","-"),MgAmenClave,0)),"")</f>
        <v/>
      </c>
      <c r="W1748" s="28">
        <f>IFERROR(LOOKUP(X1748,{0;0.01;0.1;1;10;100},{"Muy baja";"Muy baja";"Baja";"Media";"Alta";"Muy alta"}),"")</f>
        <v/>
      </c>
      <c r="X1748" s="31">
        <f>IFERROR(VLOOKUP(V1748,MgFrec,2,0),0)</f>
        <v/>
      </c>
      <c r="Y1748" s="30">
        <f>T1748*X1748</f>
        <v/>
      </c>
      <c r="Z1748" s="28">
        <f>IFERROR(LOOKUP(Y1748,{0;0.5;5;25},{"Bajo";"Medio";"Alto";"Crítico"}),"")</f>
        <v/>
      </c>
      <c r="AA1748" s="64">
        <f>IF(T1748&gt;=3,IF(X1748&gt;=1,"Zona 1 — Crítica: impacto alto y ocurre al menos una vez al año","Zona 4 — Catastrófica poco probable: impacto alto pero excepcional"),IF(AND(T1748&lt;1.5,X1748&lt;1),"Zona 3 — Asumible: impacto bajo y muy poco frecuente","Zona 2 — Atención: riesgo intermedio"))</f>
        <v/>
      </c>
      <c r="AB1748" s="64">
        <f>IFERROR(INDEX(MgAmenCtrl,MATCH(SUBSTITUTE($H1748,"*","-"),MgAmenClave,0)),"")</f>
        <v/>
      </c>
      <c r="AC1748" s="20" t="n"/>
      <c r="AD1748" s="31">
        <f>IFERROR($X1748*(1-IF($AC1748="",$AL1748,VLOOKUP($AC1748,MgMad,2,0))),"")</f>
        <v/>
      </c>
      <c r="AE1748" s="28">
        <f>IFERROR(LOOKUP(AD1748,{0;0.01;0.1;1;10;100},{"Muy baja";"Muy baja";"Baja";"Media";"Alta";"Muy alta"}),"")</f>
        <v/>
      </c>
      <c r="AF1748" s="30">
        <f>T1748*AD1748</f>
        <v/>
      </c>
      <c r="AG1748" s="28">
        <f>IFERROR(LOOKUP(AF1748,{0;0.5;5;25},{"Bajo";"Medio";"Alto";"Crítico"}),"")</f>
        <v/>
      </c>
      <c r="AH1748" s="28">
        <f>IF(AG1748="","",IF(OR(AG1748="Crítico",AG1748="Alto"),"Mitigar",IF(AG1748="Medio","Mitigar","Aceptar y monitorear")))</f>
        <v/>
      </c>
      <c r="AI1748" s="21" t="n"/>
      <c r="AJ1748" s="21" t="n"/>
      <c r="AK1748" s="20" t="n"/>
      <c r="AL1748" s="77">
        <f>IFERROR(INDEX(MgAmenEfic,MATCH(SUBSTITUTE($H1748,"*","-"),MgAmenClave,0)),0)</f>
        <v/>
      </c>
    </row>
    <row r="1749" hidden="1" ht="45" customHeight="1" s="54">
      <c r="B1749" s="59" t="inlineStr">
        <is>
          <t>R-1744</t>
        </is>
      </c>
      <c r="C1749" s="59" t="inlineStr">
        <is>
          <t>TEC-012</t>
        </is>
      </c>
      <c r="D1749" s="64">
        <f>IFERROR(INDEX(MgNombre,MATCH($C1749,MgActId,0)),"")</f>
        <v/>
      </c>
      <c r="E1749" s="64">
        <f>IFERROR(INDEX(MgProceso,MATCH($C1749,MgActId,0)),"")</f>
        <v/>
      </c>
      <c r="F1749" s="64">
        <f>IFERROR(INDEX(MgTipo,MATCH($C1749,MgActId,0)),"")</f>
        <v/>
      </c>
      <c r="G1749" s="64">
        <f>IFERROR(INDEX(MgSubtipo,MATCH($C1749,MgActId,0)),"")</f>
        <v/>
      </c>
      <c r="H1749" s="59" t="inlineStr">
        <is>
          <t>I.11</t>
        </is>
      </c>
      <c r="I1749" s="64">
        <f>IFERROR(INDEX(MgAmenNombre,MATCH(SUBSTITUTE($H1749,"*","-"),MgAmenClave,0)),"")</f>
        <v/>
      </c>
      <c r="J1749" s="28">
        <f>IFERROR(INDEX(MgAmenGrupo,MATCH(SUBSTITUTE($H1749,"*","-"),MgAmenClave,0)),"")</f>
        <v/>
      </c>
      <c r="K1749" s="64">
        <f>IFERROR(INDEX('1. Matriz de Activos'!$Q$6:$Q$239,MATCH($C1749,MgActId,0)),"")</f>
        <v/>
      </c>
      <c r="L1749" s="64">
        <f>IFERROR(INDEX('1. Matriz de Activos'!$R$6:$R$239,MATCH($C1749,MgActId,0)),"")</f>
        <v/>
      </c>
      <c r="M1749" s="64">
        <f>IFERROR(INDEX('1. Matriz de Activos'!$S$6:$S$239,MATCH($C1749,MgActId,0)),"")</f>
        <v/>
      </c>
      <c r="N1749" s="28">
        <f>IFERROR(INDEX(MgAmenDegD,MATCH(SUBSTITUTE($H1749,"*","-"),MgAmenClave,0)),"No aplica")</f>
        <v/>
      </c>
      <c r="O1749" s="28">
        <f>IFERROR(INDEX(MgAmenDegI,MATCH(SUBSTITUTE($H1749,"*","-"),MgAmenClave,0)),"No aplica")</f>
        <v/>
      </c>
      <c r="P1749" s="28">
        <f>IFERROR(INDEX(MgAmenDegC,MATCH(SUBSTITUTE($H1749,"*","-"),MgAmenClave,0)),"No aplica")</f>
        <v/>
      </c>
      <c r="Q1749" s="29">
        <f>IFERROR(VLOOKUP(K1749,MgValor,2,0)*VLOOKUP(N1749,MgDeg,2,0),0)</f>
        <v/>
      </c>
      <c r="R1749" s="29">
        <f>IFERROR(VLOOKUP(L1749,MgValor,2,0)*VLOOKUP(O1749,MgDeg,2,0),0)</f>
        <v/>
      </c>
      <c r="S1749" s="29">
        <f>IFERROR(VLOOKUP(M1749,MgValor,2,0)*VLOOKUP(P1749,MgDeg,2,0),0)</f>
        <v/>
      </c>
      <c r="T1749" s="30">
        <f>MAX(Q1749:S1749)</f>
        <v/>
      </c>
      <c r="U1749" s="28">
        <f>IFERROR(LOOKUP(T1749,{0;0.5;1.5;3;4.5},{"Despreciable";"Bajo";"Medio";"Alto";"Muy alto"}),"")</f>
        <v/>
      </c>
      <c r="V1749" s="13">
        <f>IFERROR(INDEX(MgAmenFrec,MATCH(SUBSTITUTE($H1749,"*","-"),MgAmenClave,0)),"")</f>
        <v/>
      </c>
      <c r="W1749" s="28">
        <f>IFERROR(LOOKUP(X1749,{0;0.01;0.1;1;10;100},{"Muy baja";"Muy baja";"Baja";"Media";"Alta";"Muy alta"}),"")</f>
        <v/>
      </c>
      <c r="X1749" s="31">
        <f>IFERROR(VLOOKUP(V1749,MgFrec,2,0),0)</f>
        <v/>
      </c>
      <c r="Y1749" s="30">
        <f>T1749*X1749</f>
        <v/>
      </c>
      <c r="Z1749" s="28">
        <f>IFERROR(LOOKUP(Y1749,{0;0.5;5;25},{"Bajo";"Medio";"Alto";"Crítico"}),"")</f>
        <v/>
      </c>
      <c r="AA1749" s="64">
        <f>IF(T1749&gt;=3,IF(X1749&gt;=1,"Zona 1 — Crítica: impacto alto y ocurre al menos una vez al año","Zona 4 — Catastrófica poco probable: impacto alto pero excepcional"),IF(AND(T1749&lt;1.5,X1749&lt;1),"Zona 3 — Asumible: impacto bajo y muy poco frecuente","Zona 2 — Atención: riesgo intermedio"))</f>
        <v/>
      </c>
      <c r="AB1749" s="64">
        <f>IFERROR(INDEX(MgAmenCtrl,MATCH(SUBSTITUTE($H1749,"*","-"),MgAmenClave,0)),"")</f>
        <v/>
      </c>
      <c r="AC1749" s="20" t="n"/>
      <c r="AD1749" s="31">
        <f>IFERROR($X1749*(1-IF($AC1749="",$AL1749,VLOOKUP($AC1749,MgMad,2,0))),"")</f>
        <v/>
      </c>
      <c r="AE1749" s="28">
        <f>IFERROR(LOOKUP(AD1749,{0;0.01;0.1;1;10;100},{"Muy baja";"Muy baja";"Baja";"Media";"Alta";"Muy alta"}),"")</f>
        <v/>
      </c>
      <c r="AF1749" s="30">
        <f>T1749*AD1749</f>
        <v/>
      </c>
      <c r="AG1749" s="28">
        <f>IFERROR(LOOKUP(AF1749,{0;0.5;5;25},{"Bajo";"Medio";"Alto";"Crítico"}),"")</f>
        <v/>
      </c>
      <c r="AH1749" s="28">
        <f>IF(AG1749="","",IF(OR(AG1749="Crítico",AG1749="Alto"),"Mitigar",IF(AG1749="Medio","Mitigar","Aceptar y monitorear")))</f>
        <v/>
      </c>
      <c r="AI1749" s="21" t="n"/>
      <c r="AJ1749" s="21" t="n"/>
      <c r="AK1749" s="20" t="n"/>
      <c r="AL1749" s="77">
        <f>IFERROR(INDEX(MgAmenEfic,MATCH(SUBSTITUTE($H1749,"*","-"),MgAmenClave,0)),0)</f>
        <v/>
      </c>
    </row>
    <row r="1750" hidden="1" ht="105" customHeight="1" s="54">
      <c r="B1750" s="59" t="inlineStr">
        <is>
          <t>R-1745</t>
        </is>
      </c>
      <c r="C1750" s="59" t="inlineStr">
        <is>
          <t>TEC-012</t>
        </is>
      </c>
      <c r="D1750" s="64">
        <f>IFERROR(INDEX(MgNombre,MATCH($C1750,MgActId,0)),"")</f>
        <v/>
      </c>
      <c r="E1750" s="64">
        <f>IFERROR(INDEX(MgProceso,MATCH($C1750,MgActId,0)),"")</f>
        <v/>
      </c>
      <c r="F1750" s="64">
        <f>IFERROR(INDEX(MgTipo,MATCH($C1750,MgActId,0)),"")</f>
        <v/>
      </c>
      <c r="G1750" s="64">
        <f>IFERROR(INDEX(MgSubtipo,MATCH($C1750,MgActId,0)),"")</f>
        <v/>
      </c>
      <c r="H1750" s="59" t="inlineStr">
        <is>
          <t>E.1</t>
        </is>
      </c>
      <c r="I1750" s="64">
        <f>IFERROR(INDEX(MgAmenNombre,MATCH(SUBSTITUTE($H1750,"*","-"),MgAmenClave,0)),"")</f>
        <v/>
      </c>
      <c r="J1750" s="28">
        <f>IFERROR(INDEX(MgAmenGrupo,MATCH(SUBSTITUTE($H1750,"*","-"),MgAmenClave,0)),"")</f>
        <v/>
      </c>
      <c r="K1750" s="64">
        <f>IFERROR(INDEX('1. Matriz de Activos'!$Q$6:$Q$239,MATCH($C1750,MgActId,0)),"")</f>
        <v/>
      </c>
      <c r="L1750" s="64">
        <f>IFERROR(INDEX('1. Matriz de Activos'!$R$6:$R$239,MATCH($C1750,MgActId,0)),"")</f>
        <v/>
      </c>
      <c r="M1750" s="64">
        <f>IFERROR(INDEX('1. Matriz de Activos'!$S$6:$S$239,MATCH($C1750,MgActId,0)),"")</f>
        <v/>
      </c>
      <c r="N1750" s="28">
        <f>IFERROR(INDEX(MgAmenDegD,MATCH(SUBSTITUTE($H1750,"*","-"),MgAmenClave,0)),"No aplica")</f>
        <v/>
      </c>
      <c r="O1750" s="28">
        <f>IFERROR(INDEX(MgAmenDegI,MATCH(SUBSTITUTE($H1750,"*","-"),MgAmenClave,0)),"No aplica")</f>
        <v/>
      </c>
      <c r="P1750" s="28">
        <f>IFERROR(INDEX(MgAmenDegC,MATCH(SUBSTITUTE($H1750,"*","-"),MgAmenClave,0)),"No aplica")</f>
        <v/>
      </c>
      <c r="Q1750" s="29">
        <f>IFERROR(VLOOKUP(K1750,MgValor,2,0)*VLOOKUP(N1750,MgDeg,2,0),0)</f>
        <v/>
      </c>
      <c r="R1750" s="29">
        <f>IFERROR(VLOOKUP(L1750,MgValor,2,0)*VLOOKUP(O1750,MgDeg,2,0),0)</f>
        <v/>
      </c>
      <c r="S1750" s="29">
        <f>IFERROR(VLOOKUP(M1750,MgValor,2,0)*VLOOKUP(P1750,MgDeg,2,0),0)</f>
        <v/>
      </c>
      <c r="T1750" s="30">
        <f>MAX(Q1750:S1750)</f>
        <v/>
      </c>
      <c r="U1750" s="28">
        <f>IFERROR(LOOKUP(T1750,{0;0.5;1.5;3;4.5},{"Despreciable";"Bajo";"Medio";"Alto";"Muy alto"}),"")</f>
        <v/>
      </c>
      <c r="V1750" s="13">
        <f>IFERROR(INDEX(MgAmenFrec,MATCH(SUBSTITUTE($H1750,"*","-"),MgAmenClave,0)),"")</f>
        <v/>
      </c>
      <c r="W1750" s="28">
        <f>IFERROR(LOOKUP(X1750,{0;0.01;0.1;1;10;100},{"Muy baja";"Muy baja";"Baja";"Media";"Alta";"Muy alta"}),"")</f>
        <v/>
      </c>
      <c r="X1750" s="31">
        <f>IFERROR(VLOOKUP(V1750,MgFrec,2,0),0)</f>
        <v/>
      </c>
      <c r="Y1750" s="30">
        <f>T1750*X1750</f>
        <v/>
      </c>
      <c r="Z1750" s="28">
        <f>IFERROR(LOOKUP(Y1750,{0;0.5;5;25},{"Bajo";"Medio";"Alto";"Crítico"}),"")</f>
        <v/>
      </c>
      <c r="AA1750" s="64">
        <f>IF(T1750&gt;=3,IF(X1750&gt;=1,"Zona 1 — Crítica: impacto alto y ocurre al menos una vez al año","Zona 4 — Catastrófica poco probable: impacto alto pero excepcional"),IF(AND(T1750&lt;1.5,X1750&lt;1),"Zona 3 — Asumible: impacto bajo y muy poco frecuente","Zona 2 — Atención: riesgo intermedio"))</f>
        <v/>
      </c>
      <c r="AB1750" s="64">
        <f>IFERROR(INDEX(MgAmenCtrl,MATCH(SUBSTITUTE($H1750,"*","-"),MgAmenClave,0)),"")</f>
        <v/>
      </c>
      <c r="AC1750" s="20" t="n"/>
      <c r="AD1750" s="31">
        <f>IFERROR($X1750*(1-IF($AC1750="",$AL1750,VLOOKUP($AC1750,MgMad,2,0))),"")</f>
        <v/>
      </c>
      <c r="AE1750" s="28">
        <f>IFERROR(LOOKUP(AD1750,{0;0.01;0.1;1;10;100},{"Muy baja";"Muy baja";"Baja";"Media";"Alta";"Muy alta"}),"")</f>
        <v/>
      </c>
      <c r="AF1750" s="30">
        <f>T1750*AD1750</f>
        <v/>
      </c>
      <c r="AG1750" s="28">
        <f>IFERROR(LOOKUP(AF1750,{0;0.5;5;25},{"Bajo";"Medio";"Alto";"Crítico"}),"")</f>
        <v/>
      </c>
      <c r="AH1750" s="28">
        <f>IF(AG1750="","",IF(OR(AG1750="Crítico",AG1750="Alto"),"Mitigar",IF(AG1750="Medio","Mitigar","Aceptar y monitorear")))</f>
        <v/>
      </c>
      <c r="AI1750" s="21" t="n"/>
      <c r="AJ1750" s="21" t="n"/>
      <c r="AK1750" s="20" t="n"/>
      <c r="AL1750" s="77">
        <f>IFERROR(INDEX(MgAmenEfic,MATCH(SUBSTITUTE($H1750,"*","-"),MgAmenClave,0)),0)</f>
        <v/>
      </c>
    </row>
    <row r="1751" hidden="1" ht="120" customHeight="1" s="54">
      <c r="B1751" s="59" t="inlineStr">
        <is>
          <t>R-1746</t>
        </is>
      </c>
      <c r="C1751" s="59" t="inlineStr">
        <is>
          <t>TEC-012</t>
        </is>
      </c>
      <c r="D1751" s="64">
        <f>IFERROR(INDEX(MgNombre,MATCH($C1751,MgActId,0)),"")</f>
        <v/>
      </c>
      <c r="E1751" s="64">
        <f>IFERROR(INDEX(MgProceso,MATCH($C1751,MgActId,0)),"")</f>
        <v/>
      </c>
      <c r="F1751" s="64">
        <f>IFERROR(INDEX(MgTipo,MATCH($C1751,MgActId,0)),"")</f>
        <v/>
      </c>
      <c r="G1751" s="64">
        <f>IFERROR(INDEX(MgSubtipo,MATCH($C1751,MgActId,0)),"")</f>
        <v/>
      </c>
      <c r="H1751" s="59" t="inlineStr">
        <is>
          <t>E.2</t>
        </is>
      </c>
      <c r="I1751" s="64">
        <f>IFERROR(INDEX(MgAmenNombre,MATCH(SUBSTITUTE($H1751,"*","-"),MgAmenClave,0)),"")</f>
        <v/>
      </c>
      <c r="J1751" s="28">
        <f>IFERROR(INDEX(MgAmenGrupo,MATCH(SUBSTITUTE($H1751,"*","-"),MgAmenClave,0)),"")</f>
        <v/>
      </c>
      <c r="K1751" s="64">
        <f>IFERROR(INDEX('1. Matriz de Activos'!$Q$6:$Q$239,MATCH($C1751,MgActId,0)),"")</f>
        <v/>
      </c>
      <c r="L1751" s="64">
        <f>IFERROR(INDEX('1. Matriz de Activos'!$R$6:$R$239,MATCH($C1751,MgActId,0)),"")</f>
        <v/>
      </c>
      <c r="M1751" s="64">
        <f>IFERROR(INDEX('1. Matriz de Activos'!$S$6:$S$239,MATCH($C1751,MgActId,0)),"")</f>
        <v/>
      </c>
      <c r="N1751" s="28">
        <f>IFERROR(INDEX(MgAmenDegD,MATCH(SUBSTITUTE($H1751,"*","-"),MgAmenClave,0)),"No aplica")</f>
        <v/>
      </c>
      <c r="O1751" s="28">
        <f>IFERROR(INDEX(MgAmenDegI,MATCH(SUBSTITUTE($H1751,"*","-"),MgAmenClave,0)),"No aplica")</f>
        <v/>
      </c>
      <c r="P1751" s="28">
        <f>IFERROR(INDEX(MgAmenDegC,MATCH(SUBSTITUTE($H1751,"*","-"),MgAmenClave,0)),"No aplica")</f>
        <v/>
      </c>
      <c r="Q1751" s="29">
        <f>IFERROR(VLOOKUP(K1751,MgValor,2,0)*VLOOKUP(N1751,MgDeg,2,0),0)</f>
        <v/>
      </c>
      <c r="R1751" s="29">
        <f>IFERROR(VLOOKUP(L1751,MgValor,2,0)*VLOOKUP(O1751,MgDeg,2,0),0)</f>
        <v/>
      </c>
      <c r="S1751" s="29">
        <f>IFERROR(VLOOKUP(M1751,MgValor,2,0)*VLOOKUP(P1751,MgDeg,2,0),0)</f>
        <v/>
      </c>
      <c r="T1751" s="30">
        <f>MAX(Q1751:S1751)</f>
        <v/>
      </c>
      <c r="U1751" s="28">
        <f>IFERROR(LOOKUP(T1751,{0;0.5;1.5;3;4.5},{"Despreciable";"Bajo";"Medio";"Alto";"Muy alto"}),"")</f>
        <v/>
      </c>
      <c r="V1751" s="13">
        <f>IFERROR(INDEX(MgAmenFrec,MATCH(SUBSTITUTE($H1751,"*","-"),MgAmenClave,0)),"")</f>
        <v/>
      </c>
      <c r="W1751" s="28">
        <f>IFERROR(LOOKUP(X1751,{0;0.01;0.1;1;10;100},{"Muy baja";"Muy baja";"Baja";"Media";"Alta";"Muy alta"}),"")</f>
        <v/>
      </c>
      <c r="X1751" s="31">
        <f>IFERROR(VLOOKUP(V1751,MgFrec,2,0),0)</f>
        <v/>
      </c>
      <c r="Y1751" s="30">
        <f>T1751*X1751</f>
        <v/>
      </c>
      <c r="Z1751" s="28">
        <f>IFERROR(LOOKUP(Y1751,{0;0.5;5;25},{"Bajo";"Medio";"Alto";"Crítico"}),"")</f>
        <v/>
      </c>
      <c r="AA1751" s="64">
        <f>IF(T1751&gt;=3,IF(X1751&gt;=1,"Zona 1 — Crítica: impacto alto y ocurre al menos una vez al año","Zona 4 — Catastrófica poco probable: impacto alto pero excepcional"),IF(AND(T1751&lt;1.5,X1751&lt;1),"Zona 3 — Asumible: impacto bajo y muy poco frecuente","Zona 2 — Atención: riesgo intermedio"))</f>
        <v/>
      </c>
      <c r="AB1751" s="64">
        <f>IFERROR(INDEX(MgAmenCtrl,MATCH(SUBSTITUTE($H1751,"*","-"),MgAmenClave,0)),"")</f>
        <v/>
      </c>
      <c r="AC1751" s="20" t="n"/>
      <c r="AD1751" s="31">
        <f>IFERROR($X1751*(1-IF($AC1751="",$AL1751,VLOOKUP($AC1751,MgMad,2,0))),"")</f>
        <v/>
      </c>
      <c r="AE1751" s="28">
        <f>IFERROR(LOOKUP(AD1751,{0;0.01;0.1;1;10;100},{"Muy baja";"Muy baja";"Baja";"Media";"Alta";"Muy alta"}),"")</f>
        <v/>
      </c>
      <c r="AF1751" s="30">
        <f>T1751*AD1751</f>
        <v/>
      </c>
      <c r="AG1751" s="28">
        <f>IFERROR(LOOKUP(AF1751,{0;0.5;5;25},{"Bajo";"Medio";"Alto";"Crítico"}),"")</f>
        <v/>
      </c>
      <c r="AH1751" s="28">
        <f>IF(AG1751="","",IF(OR(AG1751="Crítico",AG1751="Alto"),"Mitigar",IF(AG1751="Medio","Mitigar","Aceptar y monitorear")))</f>
        <v/>
      </c>
      <c r="AI1751" s="21" t="n"/>
      <c r="AJ1751" s="21" t="n"/>
      <c r="AK1751" s="20" t="n"/>
      <c r="AL1751" s="77">
        <f>IFERROR(INDEX(MgAmenEfic,MATCH(SUBSTITUTE($H1751,"*","-"),MgAmenClave,0)),0)</f>
        <v/>
      </c>
    </row>
    <row r="1752" hidden="1" ht="90" customHeight="1" s="54">
      <c r="B1752" s="59" t="inlineStr">
        <is>
          <t>R-1747</t>
        </is>
      </c>
      <c r="C1752" s="59" t="inlineStr">
        <is>
          <t>TEC-012</t>
        </is>
      </c>
      <c r="D1752" s="64">
        <f>IFERROR(INDEX(MgNombre,MATCH($C1752,MgActId,0)),"")</f>
        <v/>
      </c>
      <c r="E1752" s="64">
        <f>IFERROR(INDEX(MgProceso,MATCH($C1752,MgActId,0)),"")</f>
        <v/>
      </c>
      <c r="F1752" s="64">
        <f>IFERROR(INDEX(MgTipo,MATCH($C1752,MgActId,0)),"")</f>
        <v/>
      </c>
      <c r="G1752" s="64">
        <f>IFERROR(INDEX(MgSubtipo,MATCH($C1752,MgActId,0)),"")</f>
        <v/>
      </c>
      <c r="H1752" s="59" t="inlineStr">
        <is>
          <t>E.14</t>
        </is>
      </c>
      <c r="I1752" s="64">
        <f>IFERROR(INDEX(MgAmenNombre,MATCH(SUBSTITUTE($H1752,"*","-"),MgAmenClave,0)),"")</f>
        <v/>
      </c>
      <c r="J1752" s="28">
        <f>IFERROR(INDEX(MgAmenGrupo,MATCH(SUBSTITUTE($H1752,"*","-"),MgAmenClave,0)),"")</f>
        <v/>
      </c>
      <c r="K1752" s="64">
        <f>IFERROR(INDEX('1. Matriz de Activos'!$Q$6:$Q$239,MATCH($C1752,MgActId,0)),"")</f>
        <v/>
      </c>
      <c r="L1752" s="64">
        <f>IFERROR(INDEX('1. Matriz de Activos'!$R$6:$R$239,MATCH($C1752,MgActId,0)),"")</f>
        <v/>
      </c>
      <c r="M1752" s="64">
        <f>IFERROR(INDEX('1. Matriz de Activos'!$S$6:$S$239,MATCH($C1752,MgActId,0)),"")</f>
        <v/>
      </c>
      <c r="N1752" s="28">
        <f>IFERROR(INDEX(MgAmenDegD,MATCH(SUBSTITUTE($H1752,"*","-"),MgAmenClave,0)),"No aplica")</f>
        <v/>
      </c>
      <c r="O1752" s="28">
        <f>IFERROR(INDEX(MgAmenDegI,MATCH(SUBSTITUTE($H1752,"*","-"),MgAmenClave,0)),"No aplica")</f>
        <v/>
      </c>
      <c r="P1752" s="28">
        <f>IFERROR(INDEX(MgAmenDegC,MATCH(SUBSTITUTE($H1752,"*","-"),MgAmenClave,0)),"No aplica")</f>
        <v/>
      </c>
      <c r="Q1752" s="29">
        <f>IFERROR(VLOOKUP(K1752,MgValor,2,0)*VLOOKUP(N1752,MgDeg,2,0),0)</f>
        <v/>
      </c>
      <c r="R1752" s="29">
        <f>IFERROR(VLOOKUP(L1752,MgValor,2,0)*VLOOKUP(O1752,MgDeg,2,0),0)</f>
        <v/>
      </c>
      <c r="S1752" s="29">
        <f>IFERROR(VLOOKUP(M1752,MgValor,2,0)*VLOOKUP(P1752,MgDeg,2,0),0)</f>
        <v/>
      </c>
      <c r="T1752" s="30">
        <f>MAX(Q1752:S1752)</f>
        <v/>
      </c>
      <c r="U1752" s="28">
        <f>IFERROR(LOOKUP(T1752,{0;0.5;1.5;3;4.5},{"Despreciable";"Bajo";"Medio";"Alto";"Muy alto"}),"")</f>
        <v/>
      </c>
      <c r="V1752" s="13">
        <f>IFERROR(INDEX(MgAmenFrec,MATCH(SUBSTITUTE($H1752,"*","-"),MgAmenClave,0)),"")</f>
        <v/>
      </c>
      <c r="W1752" s="28">
        <f>IFERROR(LOOKUP(X1752,{0;0.01;0.1;1;10;100},{"Muy baja";"Muy baja";"Baja";"Media";"Alta";"Muy alta"}),"")</f>
        <v/>
      </c>
      <c r="X1752" s="31">
        <f>IFERROR(VLOOKUP(V1752,MgFrec,2,0),0)</f>
        <v/>
      </c>
      <c r="Y1752" s="30">
        <f>T1752*X1752</f>
        <v/>
      </c>
      <c r="Z1752" s="28">
        <f>IFERROR(LOOKUP(Y1752,{0;0.5;5;25},{"Bajo";"Medio";"Alto";"Crítico"}),"")</f>
        <v/>
      </c>
      <c r="AA1752" s="64">
        <f>IF(T1752&gt;=3,IF(X1752&gt;=1,"Zona 1 — Crítica: impacto alto y ocurre al menos una vez al año","Zona 4 — Catastrófica poco probable: impacto alto pero excepcional"),IF(AND(T1752&lt;1.5,X1752&lt;1),"Zona 3 — Asumible: impacto bajo y muy poco frecuente","Zona 2 — Atención: riesgo intermedio"))</f>
        <v/>
      </c>
      <c r="AB1752" s="64">
        <f>IFERROR(INDEX(MgAmenCtrl,MATCH(SUBSTITUTE($H1752,"*","-"),MgAmenClave,0)),"")</f>
        <v/>
      </c>
      <c r="AC1752" s="20" t="n"/>
      <c r="AD1752" s="31">
        <f>IFERROR($X1752*(1-IF($AC1752="",$AL1752,VLOOKUP($AC1752,MgMad,2,0))),"")</f>
        <v/>
      </c>
      <c r="AE1752" s="28">
        <f>IFERROR(LOOKUP(AD1752,{0;0.01;0.1;1;10;100},{"Muy baja";"Muy baja";"Baja";"Media";"Alta";"Muy alta"}),"")</f>
        <v/>
      </c>
      <c r="AF1752" s="30">
        <f>T1752*AD1752</f>
        <v/>
      </c>
      <c r="AG1752" s="28">
        <f>IFERROR(LOOKUP(AF1752,{0;0.5;5;25},{"Bajo";"Medio";"Alto";"Crítico"}),"")</f>
        <v/>
      </c>
      <c r="AH1752" s="28">
        <f>IF(AG1752="","",IF(OR(AG1752="Crítico",AG1752="Alto"),"Mitigar",IF(AG1752="Medio","Mitigar","Aceptar y monitorear")))</f>
        <v/>
      </c>
      <c r="AI1752" s="21" t="n"/>
      <c r="AJ1752" s="21" t="n"/>
      <c r="AK1752" s="20" t="n"/>
      <c r="AL1752" s="77">
        <f>IFERROR(INDEX(MgAmenEfic,MATCH(SUBSTITUTE($H1752,"*","-"),MgAmenClave,0)),0)</f>
        <v/>
      </c>
    </row>
    <row r="1753" hidden="1" ht="90" customHeight="1" s="54">
      <c r="B1753" s="59" t="inlineStr">
        <is>
          <t>R-1748</t>
        </is>
      </c>
      <c r="C1753" s="59" t="inlineStr">
        <is>
          <t>TEC-012</t>
        </is>
      </c>
      <c r="D1753" s="64">
        <f>IFERROR(INDEX(MgNombre,MATCH($C1753,MgActId,0)),"")</f>
        <v/>
      </c>
      <c r="E1753" s="64">
        <f>IFERROR(INDEX(MgProceso,MATCH($C1753,MgActId,0)),"")</f>
        <v/>
      </c>
      <c r="F1753" s="64">
        <f>IFERROR(INDEX(MgTipo,MATCH($C1753,MgActId,0)),"")</f>
        <v/>
      </c>
      <c r="G1753" s="64">
        <f>IFERROR(INDEX(MgSubtipo,MATCH($C1753,MgActId,0)),"")</f>
        <v/>
      </c>
      <c r="H1753" s="59" t="inlineStr">
        <is>
          <t>E.15</t>
        </is>
      </c>
      <c r="I1753" s="64">
        <f>IFERROR(INDEX(MgAmenNombre,MATCH(SUBSTITUTE($H1753,"*","-"),MgAmenClave,0)),"")</f>
        <v/>
      </c>
      <c r="J1753" s="28">
        <f>IFERROR(INDEX(MgAmenGrupo,MATCH(SUBSTITUTE($H1753,"*","-"),MgAmenClave,0)),"")</f>
        <v/>
      </c>
      <c r="K1753" s="64">
        <f>IFERROR(INDEX('1. Matriz de Activos'!$Q$6:$Q$239,MATCH($C1753,MgActId,0)),"")</f>
        <v/>
      </c>
      <c r="L1753" s="64">
        <f>IFERROR(INDEX('1. Matriz de Activos'!$R$6:$R$239,MATCH($C1753,MgActId,0)),"")</f>
        <v/>
      </c>
      <c r="M1753" s="64">
        <f>IFERROR(INDEX('1. Matriz de Activos'!$S$6:$S$239,MATCH($C1753,MgActId,0)),"")</f>
        <v/>
      </c>
      <c r="N1753" s="28">
        <f>IFERROR(INDEX(MgAmenDegD,MATCH(SUBSTITUTE($H1753,"*","-"),MgAmenClave,0)),"No aplica")</f>
        <v/>
      </c>
      <c r="O1753" s="28">
        <f>IFERROR(INDEX(MgAmenDegI,MATCH(SUBSTITUTE($H1753,"*","-"),MgAmenClave,0)),"No aplica")</f>
        <v/>
      </c>
      <c r="P1753" s="28">
        <f>IFERROR(INDEX(MgAmenDegC,MATCH(SUBSTITUTE($H1753,"*","-"),MgAmenClave,0)),"No aplica")</f>
        <v/>
      </c>
      <c r="Q1753" s="29">
        <f>IFERROR(VLOOKUP(K1753,MgValor,2,0)*VLOOKUP(N1753,MgDeg,2,0),0)</f>
        <v/>
      </c>
      <c r="R1753" s="29">
        <f>IFERROR(VLOOKUP(L1753,MgValor,2,0)*VLOOKUP(O1753,MgDeg,2,0),0)</f>
        <v/>
      </c>
      <c r="S1753" s="29">
        <f>IFERROR(VLOOKUP(M1753,MgValor,2,0)*VLOOKUP(P1753,MgDeg,2,0),0)</f>
        <v/>
      </c>
      <c r="T1753" s="30">
        <f>MAX(Q1753:S1753)</f>
        <v/>
      </c>
      <c r="U1753" s="28">
        <f>IFERROR(LOOKUP(T1753,{0;0.5;1.5;3;4.5},{"Despreciable";"Bajo";"Medio";"Alto";"Muy alto"}),"")</f>
        <v/>
      </c>
      <c r="V1753" s="13">
        <f>IFERROR(INDEX(MgAmenFrec,MATCH(SUBSTITUTE($H1753,"*","-"),MgAmenClave,0)),"")</f>
        <v/>
      </c>
      <c r="W1753" s="28">
        <f>IFERROR(LOOKUP(X1753,{0;0.01;0.1;1;10;100},{"Muy baja";"Muy baja";"Baja";"Media";"Alta";"Muy alta"}),"")</f>
        <v/>
      </c>
      <c r="X1753" s="31">
        <f>IFERROR(VLOOKUP(V1753,MgFrec,2,0),0)</f>
        <v/>
      </c>
      <c r="Y1753" s="30">
        <f>T1753*X1753</f>
        <v/>
      </c>
      <c r="Z1753" s="28">
        <f>IFERROR(LOOKUP(Y1753,{0;0.5;5;25},{"Bajo";"Medio";"Alto";"Crítico"}),"")</f>
        <v/>
      </c>
      <c r="AA1753" s="64">
        <f>IF(T1753&gt;=3,IF(X1753&gt;=1,"Zona 1 — Crítica: impacto alto y ocurre al menos una vez al año","Zona 4 — Catastrófica poco probable: impacto alto pero excepcional"),IF(AND(T1753&lt;1.5,X1753&lt;1),"Zona 3 — Asumible: impacto bajo y muy poco frecuente","Zona 2 — Atención: riesgo intermedio"))</f>
        <v/>
      </c>
      <c r="AB1753" s="64">
        <f>IFERROR(INDEX(MgAmenCtrl,MATCH(SUBSTITUTE($H1753,"*","-"),MgAmenClave,0)),"")</f>
        <v/>
      </c>
      <c r="AC1753" s="20" t="n"/>
      <c r="AD1753" s="31">
        <f>IFERROR($X1753*(1-IF($AC1753="",$AL1753,VLOOKUP($AC1753,MgMad,2,0))),"")</f>
        <v/>
      </c>
      <c r="AE1753" s="28">
        <f>IFERROR(LOOKUP(AD1753,{0;0.01;0.1;1;10;100},{"Muy baja";"Muy baja";"Baja";"Media";"Alta";"Muy alta"}),"")</f>
        <v/>
      </c>
      <c r="AF1753" s="30">
        <f>T1753*AD1753</f>
        <v/>
      </c>
      <c r="AG1753" s="28">
        <f>IFERROR(LOOKUP(AF1753,{0;0.5;5;25},{"Bajo";"Medio";"Alto";"Crítico"}),"")</f>
        <v/>
      </c>
      <c r="AH1753" s="28">
        <f>IF(AG1753="","",IF(OR(AG1753="Crítico",AG1753="Alto"),"Mitigar",IF(AG1753="Medio","Mitigar","Aceptar y monitorear")))</f>
        <v/>
      </c>
      <c r="AI1753" s="21" t="n"/>
      <c r="AJ1753" s="21" t="n"/>
      <c r="AK1753" s="20" t="n"/>
      <c r="AL1753" s="77">
        <f>IFERROR(INDEX(MgAmenEfic,MATCH(SUBSTITUTE($H1753,"*","-"),MgAmenClave,0)),0)</f>
        <v/>
      </c>
    </row>
    <row r="1754" hidden="1" ht="60" customHeight="1" s="54">
      <c r="B1754" s="59" t="inlineStr">
        <is>
          <t>R-1749</t>
        </is>
      </c>
      <c r="C1754" s="59" t="inlineStr">
        <is>
          <t>TEC-012</t>
        </is>
      </c>
      <c r="D1754" s="64">
        <f>IFERROR(INDEX(MgNombre,MATCH($C1754,MgActId,0)),"")</f>
        <v/>
      </c>
      <c r="E1754" s="64">
        <f>IFERROR(INDEX(MgProceso,MATCH($C1754,MgActId,0)),"")</f>
        <v/>
      </c>
      <c r="F1754" s="64">
        <f>IFERROR(INDEX(MgTipo,MATCH($C1754,MgActId,0)),"")</f>
        <v/>
      </c>
      <c r="G1754" s="64">
        <f>IFERROR(INDEX(MgSubtipo,MATCH($C1754,MgActId,0)),"")</f>
        <v/>
      </c>
      <c r="H1754" s="59" t="inlineStr">
        <is>
          <t>E.18</t>
        </is>
      </c>
      <c r="I1754" s="64">
        <f>IFERROR(INDEX(MgAmenNombre,MATCH(SUBSTITUTE($H1754,"*","-"),MgAmenClave,0)),"")</f>
        <v/>
      </c>
      <c r="J1754" s="28">
        <f>IFERROR(INDEX(MgAmenGrupo,MATCH(SUBSTITUTE($H1754,"*","-"),MgAmenClave,0)),"")</f>
        <v/>
      </c>
      <c r="K1754" s="64">
        <f>IFERROR(INDEX('1. Matriz de Activos'!$Q$6:$Q$239,MATCH($C1754,MgActId,0)),"")</f>
        <v/>
      </c>
      <c r="L1754" s="64">
        <f>IFERROR(INDEX('1. Matriz de Activos'!$R$6:$R$239,MATCH($C1754,MgActId,0)),"")</f>
        <v/>
      </c>
      <c r="M1754" s="64">
        <f>IFERROR(INDEX('1. Matriz de Activos'!$S$6:$S$239,MATCH($C1754,MgActId,0)),"")</f>
        <v/>
      </c>
      <c r="N1754" s="28">
        <f>IFERROR(INDEX(MgAmenDegD,MATCH(SUBSTITUTE($H1754,"*","-"),MgAmenClave,0)),"No aplica")</f>
        <v/>
      </c>
      <c r="O1754" s="28">
        <f>IFERROR(INDEX(MgAmenDegI,MATCH(SUBSTITUTE($H1754,"*","-"),MgAmenClave,0)),"No aplica")</f>
        <v/>
      </c>
      <c r="P1754" s="28">
        <f>IFERROR(INDEX(MgAmenDegC,MATCH(SUBSTITUTE($H1754,"*","-"),MgAmenClave,0)),"No aplica")</f>
        <v/>
      </c>
      <c r="Q1754" s="29">
        <f>IFERROR(VLOOKUP(K1754,MgValor,2,0)*VLOOKUP(N1754,MgDeg,2,0),0)</f>
        <v/>
      </c>
      <c r="R1754" s="29">
        <f>IFERROR(VLOOKUP(L1754,MgValor,2,0)*VLOOKUP(O1754,MgDeg,2,0),0)</f>
        <v/>
      </c>
      <c r="S1754" s="29">
        <f>IFERROR(VLOOKUP(M1754,MgValor,2,0)*VLOOKUP(P1754,MgDeg,2,0),0)</f>
        <v/>
      </c>
      <c r="T1754" s="30">
        <f>MAX(Q1754:S1754)</f>
        <v/>
      </c>
      <c r="U1754" s="28">
        <f>IFERROR(LOOKUP(T1754,{0;0.5;1.5;3;4.5},{"Despreciable";"Bajo";"Medio";"Alto";"Muy alto"}),"")</f>
        <v/>
      </c>
      <c r="V1754" s="13">
        <f>IFERROR(INDEX(MgAmenFrec,MATCH(SUBSTITUTE($H1754,"*","-"),MgAmenClave,0)),"")</f>
        <v/>
      </c>
      <c r="W1754" s="28">
        <f>IFERROR(LOOKUP(X1754,{0;0.01;0.1;1;10;100},{"Muy baja";"Muy baja";"Baja";"Media";"Alta";"Muy alta"}),"")</f>
        <v/>
      </c>
      <c r="X1754" s="31">
        <f>IFERROR(VLOOKUP(V1754,MgFrec,2,0),0)</f>
        <v/>
      </c>
      <c r="Y1754" s="30">
        <f>T1754*X1754</f>
        <v/>
      </c>
      <c r="Z1754" s="28">
        <f>IFERROR(LOOKUP(Y1754,{0;0.5;5;25},{"Bajo";"Medio";"Alto";"Crítico"}),"")</f>
        <v/>
      </c>
      <c r="AA1754" s="64">
        <f>IF(T1754&gt;=3,IF(X1754&gt;=1,"Zona 1 — Crítica: impacto alto y ocurre al menos una vez al año","Zona 4 — Catastrófica poco probable: impacto alto pero excepcional"),IF(AND(T1754&lt;1.5,X1754&lt;1),"Zona 3 — Asumible: impacto bajo y muy poco frecuente","Zona 2 — Atención: riesgo intermedio"))</f>
        <v/>
      </c>
      <c r="AB1754" s="64">
        <f>IFERROR(INDEX(MgAmenCtrl,MATCH(SUBSTITUTE($H1754,"*","-"),MgAmenClave,0)),"")</f>
        <v/>
      </c>
      <c r="AC1754" s="20" t="n"/>
      <c r="AD1754" s="31">
        <f>IFERROR($X1754*(1-IF($AC1754="",$AL1754,VLOOKUP($AC1754,MgMad,2,0))),"")</f>
        <v/>
      </c>
      <c r="AE1754" s="28">
        <f>IFERROR(LOOKUP(AD1754,{0;0.01;0.1;1;10;100},{"Muy baja";"Muy baja";"Baja";"Media";"Alta";"Muy alta"}),"")</f>
        <v/>
      </c>
      <c r="AF1754" s="30">
        <f>T1754*AD1754</f>
        <v/>
      </c>
      <c r="AG1754" s="28">
        <f>IFERROR(LOOKUP(AF1754,{0;0.5;5;25},{"Bajo";"Medio";"Alto";"Crítico"}),"")</f>
        <v/>
      </c>
      <c r="AH1754" s="28">
        <f>IF(AG1754="","",IF(OR(AG1754="Crítico",AG1754="Alto"),"Mitigar",IF(AG1754="Medio","Mitigar","Aceptar y monitorear")))</f>
        <v/>
      </c>
      <c r="AI1754" s="21" t="n"/>
      <c r="AJ1754" s="21" t="n"/>
      <c r="AK1754" s="20" t="n"/>
      <c r="AL1754" s="77">
        <f>IFERROR(INDEX(MgAmenEfic,MATCH(SUBSTITUTE($H1754,"*","-"),MgAmenClave,0)),0)</f>
        <v/>
      </c>
    </row>
    <row r="1755" hidden="1" ht="105" customHeight="1" s="54">
      <c r="B1755" s="59" t="inlineStr">
        <is>
          <t>R-1750</t>
        </is>
      </c>
      <c r="C1755" s="59" t="inlineStr">
        <is>
          <t>TEC-012</t>
        </is>
      </c>
      <c r="D1755" s="64">
        <f>IFERROR(INDEX(MgNombre,MATCH($C1755,MgActId,0)),"")</f>
        <v/>
      </c>
      <c r="E1755" s="64">
        <f>IFERROR(INDEX(MgProceso,MATCH($C1755,MgActId,0)),"")</f>
        <v/>
      </c>
      <c r="F1755" s="64">
        <f>IFERROR(INDEX(MgTipo,MATCH($C1755,MgActId,0)),"")</f>
        <v/>
      </c>
      <c r="G1755" s="64">
        <f>IFERROR(INDEX(MgSubtipo,MATCH($C1755,MgActId,0)),"")</f>
        <v/>
      </c>
      <c r="H1755" s="59" t="inlineStr">
        <is>
          <t>E.19</t>
        </is>
      </c>
      <c r="I1755" s="64">
        <f>IFERROR(INDEX(MgAmenNombre,MATCH(SUBSTITUTE($H1755,"*","-"),MgAmenClave,0)),"")</f>
        <v/>
      </c>
      <c r="J1755" s="28">
        <f>IFERROR(INDEX(MgAmenGrupo,MATCH(SUBSTITUTE($H1755,"*","-"),MgAmenClave,0)),"")</f>
        <v/>
      </c>
      <c r="K1755" s="64">
        <f>IFERROR(INDEX('1. Matriz de Activos'!$Q$6:$Q$239,MATCH($C1755,MgActId,0)),"")</f>
        <v/>
      </c>
      <c r="L1755" s="64">
        <f>IFERROR(INDEX('1. Matriz de Activos'!$R$6:$R$239,MATCH($C1755,MgActId,0)),"")</f>
        <v/>
      </c>
      <c r="M1755" s="64">
        <f>IFERROR(INDEX('1. Matriz de Activos'!$S$6:$S$239,MATCH($C1755,MgActId,0)),"")</f>
        <v/>
      </c>
      <c r="N1755" s="28">
        <f>IFERROR(INDEX(MgAmenDegD,MATCH(SUBSTITUTE($H1755,"*","-"),MgAmenClave,0)),"No aplica")</f>
        <v/>
      </c>
      <c r="O1755" s="28">
        <f>IFERROR(INDEX(MgAmenDegI,MATCH(SUBSTITUTE($H1755,"*","-"),MgAmenClave,0)),"No aplica")</f>
        <v/>
      </c>
      <c r="P1755" s="28">
        <f>IFERROR(INDEX(MgAmenDegC,MATCH(SUBSTITUTE($H1755,"*","-"),MgAmenClave,0)),"No aplica")</f>
        <v/>
      </c>
      <c r="Q1755" s="29">
        <f>IFERROR(VLOOKUP(K1755,MgValor,2,0)*VLOOKUP(N1755,MgDeg,2,0),0)</f>
        <v/>
      </c>
      <c r="R1755" s="29">
        <f>IFERROR(VLOOKUP(L1755,MgValor,2,0)*VLOOKUP(O1755,MgDeg,2,0),0)</f>
        <v/>
      </c>
      <c r="S1755" s="29">
        <f>IFERROR(VLOOKUP(M1755,MgValor,2,0)*VLOOKUP(P1755,MgDeg,2,0),0)</f>
        <v/>
      </c>
      <c r="T1755" s="30">
        <f>MAX(Q1755:S1755)</f>
        <v/>
      </c>
      <c r="U1755" s="28">
        <f>IFERROR(LOOKUP(T1755,{0;0.5;1.5;3;4.5},{"Despreciable";"Bajo";"Medio";"Alto";"Muy alto"}),"")</f>
        <v/>
      </c>
      <c r="V1755" s="13">
        <f>IFERROR(INDEX(MgAmenFrec,MATCH(SUBSTITUTE($H1755,"*","-"),MgAmenClave,0)),"")</f>
        <v/>
      </c>
      <c r="W1755" s="28">
        <f>IFERROR(LOOKUP(X1755,{0;0.01;0.1;1;10;100},{"Muy baja";"Muy baja";"Baja";"Media";"Alta";"Muy alta"}),"")</f>
        <v/>
      </c>
      <c r="X1755" s="31">
        <f>IFERROR(VLOOKUP(V1755,MgFrec,2,0),0)</f>
        <v/>
      </c>
      <c r="Y1755" s="30">
        <f>T1755*X1755</f>
        <v/>
      </c>
      <c r="Z1755" s="28">
        <f>IFERROR(LOOKUP(Y1755,{0;0.5;5;25},{"Bajo";"Medio";"Alto";"Crítico"}),"")</f>
        <v/>
      </c>
      <c r="AA1755" s="64">
        <f>IF(T1755&gt;=3,IF(X1755&gt;=1,"Zona 1 — Crítica: impacto alto y ocurre al menos una vez al año","Zona 4 — Catastrófica poco probable: impacto alto pero excepcional"),IF(AND(T1755&lt;1.5,X1755&lt;1),"Zona 3 — Asumible: impacto bajo y muy poco frecuente","Zona 2 — Atención: riesgo intermedio"))</f>
        <v/>
      </c>
      <c r="AB1755" s="64">
        <f>IFERROR(INDEX(MgAmenCtrl,MATCH(SUBSTITUTE($H1755,"*","-"),MgAmenClave,0)),"")</f>
        <v/>
      </c>
      <c r="AC1755" s="20" t="n"/>
      <c r="AD1755" s="31">
        <f>IFERROR($X1755*(1-IF($AC1755="",$AL1755,VLOOKUP($AC1755,MgMad,2,0))),"")</f>
        <v/>
      </c>
      <c r="AE1755" s="28">
        <f>IFERROR(LOOKUP(AD1755,{0;0.01;0.1;1;10;100},{"Muy baja";"Muy baja";"Baja";"Media";"Alta";"Muy alta"}),"")</f>
        <v/>
      </c>
      <c r="AF1755" s="30">
        <f>T1755*AD1755</f>
        <v/>
      </c>
      <c r="AG1755" s="28">
        <f>IFERROR(LOOKUP(AF1755,{0;0.5;5;25},{"Bajo";"Medio";"Alto";"Crítico"}),"")</f>
        <v/>
      </c>
      <c r="AH1755" s="28">
        <f>IF(AG1755="","",IF(OR(AG1755="Crítico",AG1755="Alto"),"Mitigar",IF(AG1755="Medio","Mitigar","Aceptar y monitorear")))</f>
        <v/>
      </c>
      <c r="AI1755" s="21" t="n"/>
      <c r="AJ1755" s="21" t="n"/>
      <c r="AK1755" s="20" t="n"/>
      <c r="AL1755" s="77">
        <f>IFERROR(INDEX(MgAmenEfic,MATCH(SUBSTITUTE($H1755,"*","-"),MgAmenClave,0)),0)</f>
        <v/>
      </c>
    </row>
    <row r="1756" hidden="1" ht="45" customHeight="1" s="54">
      <c r="B1756" s="59" t="inlineStr">
        <is>
          <t>R-1751</t>
        </is>
      </c>
      <c r="C1756" s="59" t="inlineStr">
        <is>
          <t>TEC-012</t>
        </is>
      </c>
      <c r="D1756" s="64">
        <f>IFERROR(INDEX(MgNombre,MATCH($C1756,MgActId,0)),"")</f>
        <v/>
      </c>
      <c r="E1756" s="64">
        <f>IFERROR(INDEX(MgProceso,MATCH($C1756,MgActId,0)),"")</f>
        <v/>
      </c>
      <c r="F1756" s="64">
        <f>IFERROR(INDEX(MgTipo,MATCH($C1756,MgActId,0)),"")</f>
        <v/>
      </c>
      <c r="G1756" s="64">
        <f>IFERROR(INDEX(MgSubtipo,MATCH($C1756,MgActId,0)),"")</f>
        <v/>
      </c>
      <c r="H1756" s="59" t="inlineStr">
        <is>
          <t>E.23</t>
        </is>
      </c>
      <c r="I1756" s="64">
        <f>IFERROR(INDEX(MgAmenNombre,MATCH(SUBSTITUTE($H1756,"*","-"),MgAmenClave,0)),"")</f>
        <v/>
      </c>
      <c r="J1756" s="28">
        <f>IFERROR(INDEX(MgAmenGrupo,MATCH(SUBSTITUTE($H1756,"*","-"),MgAmenClave,0)),"")</f>
        <v/>
      </c>
      <c r="K1756" s="64">
        <f>IFERROR(INDEX('1. Matriz de Activos'!$Q$6:$Q$239,MATCH($C1756,MgActId,0)),"")</f>
        <v/>
      </c>
      <c r="L1756" s="64">
        <f>IFERROR(INDEX('1. Matriz de Activos'!$R$6:$R$239,MATCH($C1756,MgActId,0)),"")</f>
        <v/>
      </c>
      <c r="M1756" s="64">
        <f>IFERROR(INDEX('1. Matriz de Activos'!$S$6:$S$239,MATCH($C1756,MgActId,0)),"")</f>
        <v/>
      </c>
      <c r="N1756" s="28">
        <f>IFERROR(INDEX(MgAmenDegD,MATCH(SUBSTITUTE($H1756,"*","-"),MgAmenClave,0)),"No aplica")</f>
        <v/>
      </c>
      <c r="O1756" s="28">
        <f>IFERROR(INDEX(MgAmenDegI,MATCH(SUBSTITUTE($H1756,"*","-"),MgAmenClave,0)),"No aplica")</f>
        <v/>
      </c>
      <c r="P1756" s="28">
        <f>IFERROR(INDEX(MgAmenDegC,MATCH(SUBSTITUTE($H1756,"*","-"),MgAmenClave,0)),"No aplica")</f>
        <v/>
      </c>
      <c r="Q1756" s="29">
        <f>IFERROR(VLOOKUP(K1756,MgValor,2,0)*VLOOKUP(N1756,MgDeg,2,0),0)</f>
        <v/>
      </c>
      <c r="R1756" s="29">
        <f>IFERROR(VLOOKUP(L1756,MgValor,2,0)*VLOOKUP(O1756,MgDeg,2,0),0)</f>
        <v/>
      </c>
      <c r="S1756" s="29">
        <f>IFERROR(VLOOKUP(M1756,MgValor,2,0)*VLOOKUP(P1756,MgDeg,2,0),0)</f>
        <v/>
      </c>
      <c r="T1756" s="30">
        <f>MAX(Q1756:S1756)</f>
        <v/>
      </c>
      <c r="U1756" s="28">
        <f>IFERROR(LOOKUP(T1756,{0;0.5;1.5;3;4.5},{"Despreciable";"Bajo";"Medio";"Alto";"Muy alto"}),"")</f>
        <v/>
      </c>
      <c r="V1756" s="13">
        <f>IFERROR(INDEX(MgAmenFrec,MATCH(SUBSTITUTE($H1756,"*","-"),MgAmenClave,0)),"")</f>
        <v/>
      </c>
      <c r="W1756" s="28">
        <f>IFERROR(LOOKUP(X1756,{0;0.01;0.1;1;10;100},{"Muy baja";"Muy baja";"Baja";"Media";"Alta";"Muy alta"}),"")</f>
        <v/>
      </c>
      <c r="X1756" s="31">
        <f>IFERROR(VLOOKUP(V1756,MgFrec,2,0),0)</f>
        <v/>
      </c>
      <c r="Y1756" s="30">
        <f>T1756*X1756</f>
        <v/>
      </c>
      <c r="Z1756" s="28">
        <f>IFERROR(LOOKUP(Y1756,{0;0.5;5;25},{"Bajo";"Medio";"Alto";"Crítico"}),"")</f>
        <v/>
      </c>
      <c r="AA1756" s="64">
        <f>IF(T1756&gt;=3,IF(X1756&gt;=1,"Zona 1 — Crítica: impacto alto y ocurre al menos una vez al año","Zona 4 — Catastrófica poco probable: impacto alto pero excepcional"),IF(AND(T1756&lt;1.5,X1756&lt;1),"Zona 3 — Asumible: impacto bajo y muy poco frecuente","Zona 2 — Atención: riesgo intermedio"))</f>
        <v/>
      </c>
      <c r="AB1756" s="64">
        <f>IFERROR(INDEX(MgAmenCtrl,MATCH(SUBSTITUTE($H1756,"*","-"),MgAmenClave,0)),"")</f>
        <v/>
      </c>
      <c r="AC1756" s="20" t="n"/>
      <c r="AD1756" s="31">
        <f>IFERROR($X1756*(1-IF($AC1756="",$AL1756,VLOOKUP($AC1756,MgMad,2,0))),"")</f>
        <v/>
      </c>
      <c r="AE1756" s="28">
        <f>IFERROR(LOOKUP(AD1756,{0;0.01;0.1;1;10;100},{"Muy baja";"Muy baja";"Baja";"Media";"Alta";"Muy alta"}),"")</f>
        <v/>
      </c>
      <c r="AF1756" s="30">
        <f>T1756*AD1756</f>
        <v/>
      </c>
      <c r="AG1756" s="28">
        <f>IFERROR(LOOKUP(AF1756,{0;0.5;5;25},{"Bajo";"Medio";"Alto";"Crítico"}),"")</f>
        <v/>
      </c>
      <c r="AH1756" s="28">
        <f>IF(AG1756="","",IF(OR(AG1756="Crítico",AG1756="Alto"),"Mitigar",IF(AG1756="Medio","Mitigar","Aceptar y monitorear")))</f>
        <v/>
      </c>
      <c r="AI1756" s="21" t="n"/>
      <c r="AJ1756" s="21" t="n"/>
      <c r="AK1756" s="20" t="n"/>
      <c r="AL1756" s="77">
        <f>IFERROR(INDEX(MgAmenEfic,MATCH(SUBSTITUTE($H1756,"*","-"),MgAmenClave,0)),0)</f>
        <v/>
      </c>
    </row>
    <row r="1757" hidden="1" ht="75" customHeight="1" s="54">
      <c r="B1757" s="59" t="inlineStr">
        <is>
          <t>R-1752</t>
        </is>
      </c>
      <c r="C1757" s="59" t="inlineStr">
        <is>
          <t>TEC-012</t>
        </is>
      </c>
      <c r="D1757" s="64">
        <f>IFERROR(INDEX(MgNombre,MATCH($C1757,MgActId,0)),"")</f>
        <v/>
      </c>
      <c r="E1757" s="64">
        <f>IFERROR(INDEX(MgProceso,MATCH($C1757,MgActId,0)),"")</f>
        <v/>
      </c>
      <c r="F1757" s="64">
        <f>IFERROR(INDEX(MgTipo,MATCH($C1757,MgActId,0)),"")</f>
        <v/>
      </c>
      <c r="G1757" s="64">
        <f>IFERROR(INDEX(MgSubtipo,MATCH($C1757,MgActId,0)),"")</f>
        <v/>
      </c>
      <c r="H1757" s="59" t="inlineStr">
        <is>
          <t>E.25</t>
        </is>
      </c>
      <c r="I1757" s="64">
        <f>IFERROR(INDEX(MgAmenNombre,MATCH(SUBSTITUTE($H1757,"*","-"),MgAmenClave,0)),"")</f>
        <v/>
      </c>
      <c r="J1757" s="28">
        <f>IFERROR(INDEX(MgAmenGrupo,MATCH(SUBSTITUTE($H1757,"*","-"),MgAmenClave,0)),"")</f>
        <v/>
      </c>
      <c r="K1757" s="64">
        <f>IFERROR(INDEX('1. Matriz de Activos'!$Q$6:$Q$239,MATCH($C1757,MgActId,0)),"")</f>
        <v/>
      </c>
      <c r="L1757" s="64">
        <f>IFERROR(INDEX('1. Matriz de Activos'!$R$6:$R$239,MATCH($C1757,MgActId,0)),"")</f>
        <v/>
      </c>
      <c r="M1757" s="64">
        <f>IFERROR(INDEX('1. Matriz de Activos'!$S$6:$S$239,MATCH($C1757,MgActId,0)),"")</f>
        <v/>
      </c>
      <c r="N1757" s="28">
        <f>IFERROR(INDEX(MgAmenDegD,MATCH(SUBSTITUTE($H1757,"*","-"),MgAmenClave,0)),"No aplica")</f>
        <v/>
      </c>
      <c r="O1757" s="28">
        <f>IFERROR(INDEX(MgAmenDegI,MATCH(SUBSTITUTE($H1757,"*","-"),MgAmenClave,0)),"No aplica")</f>
        <v/>
      </c>
      <c r="P1757" s="28">
        <f>IFERROR(INDEX(MgAmenDegC,MATCH(SUBSTITUTE($H1757,"*","-"),MgAmenClave,0)),"No aplica")</f>
        <v/>
      </c>
      <c r="Q1757" s="29">
        <f>IFERROR(VLOOKUP(K1757,MgValor,2,0)*VLOOKUP(N1757,MgDeg,2,0),0)</f>
        <v/>
      </c>
      <c r="R1757" s="29">
        <f>IFERROR(VLOOKUP(L1757,MgValor,2,0)*VLOOKUP(O1757,MgDeg,2,0),0)</f>
        <v/>
      </c>
      <c r="S1757" s="29">
        <f>IFERROR(VLOOKUP(M1757,MgValor,2,0)*VLOOKUP(P1757,MgDeg,2,0),0)</f>
        <v/>
      </c>
      <c r="T1757" s="30">
        <f>MAX(Q1757:S1757)</f>
        <v/>
      </c>
      <c r="U1757" s="28">
        <f>IFERROR(LOOKUP(T1757,{0;0.5;1.5;3;4.5},{"Despreciable";"Bajo";"Medio";"Alto";"Muy alto"}),"")</f>
        <v/>
      </c>
      <c r="V1757" s="13">
        <f>IFERROR(INDEX(MgAmenFrec,MATCH(SUBSTITUTE($H1757,"*","-"),MgAmenClave,0)),"")</f>
        <v/>
      </c>
      <c r="W1757" s="28">
        <f>IFERROR(LOOKUP(X1757,{0;0.01;0.1;1;10;100},{"Muy baja";"Muy baja";"Baja";"Media";"Alta";"Muy alta"}),"")</f>
        <v/>
      </c>
      <c r="X1757" s="31">
        <f>IFERROR(VLOOKUP(V1757,MgFrec,2,0),0)</f>
        <v/>
      </c>
      <c r="Y1757" s="30">
        <f>T1757*X1757</f>
        <v/>
      </c>
      <c r="Z1757" s="28">
        <f>IFERROR(LOOKUP(Y1757,{0;0.5;5;25},{"Bajo";"Medio";"Alto";"Crítico"}),"")</f>
        <v/>
      </c>
      <c r="AA1757" s="64">
        <f>IF(T1757&gt;=3,IF(X1757&gt;=1,"Zona 1 — Crítica: impacto alto y ocurre al menos una vez al año","Zona 4 — Catastrófica poco probable: impacto alto pero excepcional"),IF(AND(T1757&lt;1.5,X1757&lt;1),"Zona 3 — Asumible: impacto bajo y muy poco frecuente","Zona 2 — Atención: riesgo intermedio"))</f>
        <v/>
      </c>
      <c r="AB1757" s="64">
        <f>IFERROR(INDEX(MgAmenCtrl,MATCH(SUBSTITUTE($H1757,"*","-"),MgAmenClave,0)),"")</f>
        <v/>
      </c>
      <c r="AC1757" s="20" t="n"/>
      <c r="AD1757" s="31">
        <f>IFERROR($X1757*(1-IF($AC1757="",$AL1757,VLOOKUP($AC1757,MgMad,2,0))),"")</f>
        <v/>
      </c>
      <c r="AE1757" s="28">
        <f>IFERROR(LOOKUP(AD1757,{0;0.01;0.1;1;10;100},{"Muy baja";"Muy baja";"Baja";"Media";"Alta";"Muy alta"}),"")</f>
        <v/>
      </c>
      <c r="AF1757" s="30">
        <f>T1757*AD1757</f>
        <v/>
      </c>
      <c r="AG1757" s="28">
        <f>IFERROR(LOOKUP(AF1757,{0;0.5;5;25},{"Bajo";"Medio";"Alto";"Crítico"}),"")</f>
        <v/>
      </c>
      <c r="AH1757" s="28">
        <f>IF(AG1757="","",IF(OR(AG1757="Crítico",AG1757="Alto"),"Mitigar",IF(AG1757="Medio","Mitigar","Aceptar y monitorear")))</f>
        <v/>
      </c>
      <c r="AI1757" s="21" t="n"/>
      <c r="AJ1757" s="21" t="n"/>
      <c r="AK1757" s="20" t="n"/>
      <c r="AL1757" s="77">
        <f>IFERROR(INDEX(MgAmenEfic,MATCH(SUBSTITUTE($H1757,"*","-"),MgAmenClave,0)),0)</f>
        <v/>
      </c>
    </row>
    <row r="1758" hidden="1" ht="60" customHeight="1" s="54">
      <c r="B1758" s="59" t="inlineStr">
        <is>
          <t>R-1753</t>
        </is>
      </c>
      <c r="C1758" s="59" t="inlineStr">
        <is>
          <t>TEC-012</t>
        </is>
      </c>
      <c r="D1758" s="64">
        <f>IFERROR(INDEX(MgNombre,MATCH($C1758,MgActId,0)),"")</f>
        <v/>
      </c>
      <c r="E1758" s="64">
        <f>IFERROR(INDEX(MgProceso,MATCH($C1758,MgActId,0)),"")</f>
        <v/>
      </c>
      <c r="F1758" s="64">
        <f>IFERROR(INDEX(MgTipo,MATCH($C1758,MgActId,0)),"")</f>
        <v/>
      </c>
      <c r="G1758" s="64">
        <f>IFERROR(INDEX(MgSubtipo,MATCH($C1758,MgActId,0)),"")</f>
        <v/>
      </c>
      <c r="H1758" s="59" t="inlineStr">
        <is>
          <t>A.7</t>
        </is>
      </c>
      <c r="I1758" s="64">
        <f>IFERROR(INDEX(MgAmenNombre,MATCH(SUBSTITUTE($H1758,"*","-"),MgAmenClave,0)),"")</f>
        <v/>
      </c>
      <c r="J1758" s="28">
        <f>IFERROR(INDEX(MgAmenGrupo,MATCH(SUBSTITUTE($H1758,"*","-"),MgAmenClave,0)),"")</f>
        <v/>
      </c>
      <c r="K1758" s="64">
        <f>IFERROR(INDEX('1. Matriz de Activos'!$Q$6:$Q$239,MATCH($C1758,MgActId,0)),"")</f>
        <v/>
      </c>
      <c r="L1758" s="64">
        <f>IFERROR(INDEX('1. Matriz de Activos'!$R$6:$R$239,MATCH($C1758,MgActId,0)),"")</f>
        <v/>
      </c>
      <c r="M1758" s="64">
        <f>IFERROR(INDEX('1. Matriz de Activos'!$S$6:$S$239,MATCH($C1758,MgActId,0)),"")</f>
        <v/>
      </c>
      <c r="N1758" s="28">
        <f>IFERROR(INDEX(MgAmenDegD,MATCH(SUBSTITUTE($H1758,"*","-"),MgAmenClave,0)),"No aplica")</f>
        <v/>
      </c>
      <c r="O1758" s="28">
        <f>IFERROR(INDEX(MgAmenDegI,MATCH(SUBSTITUTE($H1758,"*","-"),MgAmenClave,0)),"No aplica")</f>
        <v/>
      </c>
      <c r="P1758" s="28">
        <f>IFERROR(INDEX(MgAmenDegC,MATCH(SUBSTITUTE($H1758,"*","-"),MgAmenClave,0)),"No aplica")</f>
        <v/>
      </c>
      <c r="Q1758" s="29">
        <f>IFERROR(VLOOKUP(K1758,MgValor,2,0)*VLOOKUP(N1758,MgDeg,2,0),0)</f>
        <v/>
      </c>
      <c r="R1758" s="29">
        <f>IFERROR(VLOOKUP(L1758,MgValor,2,0)*VLOOKUP(O1758,MgDeg,2,0),0)</f>
        <v/>
      </c>
      <c r="S1758" s="29">
        <f>IFERROR(VLOOKUP(M1758,MgValor,2,0)*VLOOKUP(P1758,MgDeg,2,0),0)</f>
        <v/>
      </c>
      <c r="T1758" s="30">
        <f>MAX(Q1758:S1758)</f>
        <v/>
      </c>
      <c r="U1758" s="28">
        <f>IFERROR(LOOKUP(T1758,{0;0.5;1.5;3;4.5},{"Despreciable";"Bajo";"Medio";"Alto";"Muy alto"}),"")</f>
        <v/>
      </c>
      <c r="V1758" s="13">
        <f>IFERROR(INDEX(MgAmenFrec,MATCH(SUBSTITUTE($H1758,"*","-"),MgAmenClave,0)),"")</f>
        <v/>
      </c>
      <c r="W1758" s="28">
        <f>IFERROR(LOOKUP(X1758,{0;0.01;0.1;1;10;100},{"Muy baja";"Muy baja";"Baja";"Media";"Alta";"Muy alta"}),"")</f>
        <v/>
      </c>
      <c r="X1758" s="31">
        <f>IFERROR(VLOOKUP(V1758,MgFrec,2,0),0)</f>
        <v/>
      </c>
      <c r="Y1758" s="30">
        <f>T1758*X1758</f>
        <v/>
      </c>
      <c r="Z1758" s="28">
        <f>IFERROR(LOOKUP(Y1758,{0;0.5;5;25},{"Bajo";"Medio";"Alto";"Crítico"}),"")</f>
        <v/>
      </c>
      <c r="AA1758" s="64">
        <f>IF(T1758&gt;=3,IF(X1758&gt;=1,"Zona 1 — Crítica: impacto alto y ocurre al menos una vez al año","Zona 4 — Catastrófica poco probable: impacto alto pero excepcional"),IF(AND(T1758&lt;1.5,X1758&lt;1),"Zona 3 — Asumible: impacto bajo y muy poco frecuente","Zona 2 — Atención: riesgo intermedio"))</f>
        <v/>
      </c>
      <c r="AB1758" s="64">
        <f>IFERROR(INDEX(MgAmenCtrl,MATCH(SUBSTITUTE($H1758,"*","-"),MgAmenClave,0)),"")</f>
        <v/>
      </c>
      <c r="AC1758" s="20" t="n"/>
      <c r="AD1758" s="31">
        <f>IFERROR($X1758*(1-IF($AC1758="",$AL1758,VLOOKUP($AC1758,MgMad,2,0))),"")</f>
        <v/>
      </c>
      <c r="AE1758" s="28">
        <f>IFERROR(LOOKUP(AD1758,{0;0.01;0.1;1;10;100},{"Muy baja";"Muy baja";"Baja";"Media";"Alta";"Muy alta"}),"")</f>
        <v/>
      </c>
      <c r="AF1758" s="30">
        <f>T1758*AD1758</f>
        <v/>
      </c>
      <c r="AG1758" s="28">
        <f>IFERROR(LOOKUP(AF1758,{0;0.5;5;25},{"Bajo";"Medio";"Alto";"Crítico"}),"")</f>
        <v/>
      </c>
      <c r="AH1758" s="28">
        <f>IF(AG1758="","",IF(OR(AG1758="Crítico",AG1758="Alto"),"Mitigar",IF(AG1758="Medio","Mitigar","Aceptar y monitorear")))</f>
        <v/>
      </c>
      <c r="AI1758" s="21" t="n"/>
      <c r="AJ1758" s="21" t="n"/>
      <c r="AK1758" s="20" t="n"/>
      <c r="AL1758" s="77">
        <f>IFERROR(INDEX(MgAmenEfic,MATCH(SUBSTITUTE($H1758,"*","-"),MgAmenClave,0)),0)</f>
        <v/>
      </c>
    </row>
    <row r="1759" hidden="1" ht="120" customHeight="1" s="54">
      <c r="B1759" s="59" t="inlineStr">
        <is>
          <t>R-1754</t>
        </is>
      </c>
      <c r="C1759" s="59" t="inlineStr">
        <is>
          <t>TEC-012</t>
        </is>
      </c>
      <c r="D1759" s="64">
        <f>IFERROR(INDEX(MgNombre,MATCH($C1759,MgActId,0)),"")</f>
        <v/>
      </c>
      <c r="E1759" s="64">
        <f>IFERROR(INDEX(MgProceso,MATCH($C1759,MgActId,0)),"")</f>
        <v/>
      </c>
      <c r="F1759" s="64">
        <f>IFERROR(INDEX(MgTipo,MATCH($C1759,MgActId,0)),"")</f>
        <v/>
      </c>
      <c r="G1759" s="64">
        <f>IFERROR(INDEX(MgSubtipo,MATCH($C1759,MgActId,0)),"")</f>
        <v/>
      </c>
      <c r="H1759" s="59" t="inlineStr">
        <is>
          <t>A.11</t>
        </is>
      </c>
      <c r="I1759" s="64">
        <f>IFERROR(INDEX(MgAmenNombre,MATCH(SUBSTITUTE($H1759,"*","-"),MgAmenClave,0)),"")</f>
        <v/>
      </c>
      <c r="J1759" s="28">
        <f>IFERROR(INDEX(MgAmenGrupo,MATCH(SUBSTITUTE($H1759,"*","-"),MgAmenClave,0)),"")</f>
        <v/>
      </c>
      <c r="K1759" s="64">
        <f>IFERROR(INDEX('1. Matriz de Activos'!$Q$6:$Q$239,MATCH($C1759,MgActId,0)),"")</f>
        <v/>
      </c>
      <c r="L1759" s="64">
        <f>IFERROR(INDEX('1. Matriz de Activos'!$R$6:$R$239,MATCH($C1759,MgActId,0)),"")</f>
        <v/>
      </c>
      <c r="M1759" s="64">
        <f>IFERROR(INDEX('1. Matriz de Activos'!$S$6:$S$239,MATCH($C1759,MgActId,0)),"")</f>
        <v/>
      </c>
      <c r="N1759" s="28">
        <f>IFERROR(INDEX(MgAmenDegD,MATCH(SUBSTITUTE($H1759,"*","-"),MgAmenClave,0)),"No aplica")</f>
        <v/>
      </c>
      <c r="O1759" s="28">
        <f>IFERROR(INDEX(MgAmenDegI,MATCH(SUBSTITUTE($H1759,"*","-"),MgAmenClave,0)),"No aplica")</f>
        <v/>
      </c>
      <c r="P1759" s="28">
        <f>IFERROR(INDEX(MgAmenDegC,MATCH(SUBSTITUTE($H1759,"*","-"),MgAmenClave,0)),"No aplica")</f>
        <v/>
      </c>
      <c r="Q1759" s="29">
        <f>IFERROR(VLOOKUP(K1759,MgValor,2,0)*VLOOKUP(N1759,MgDeg,2,0),0)</f>
        <v/>
      </c>
      <c r="R1759" s="29">
        <f>IFERROR(VLOOKUP(L1759,MgValor,2,0)*VLOOKUP(O1759,MgDeg,2,0),0)</f>
        <v/>
      </c>
      <c r="S1759" s="29">
        <f>IFERROR(VLOOKUP(M1759,MgValor,2,0)*VLOOKUP(P1759,MgDeg,2,0),0)</f>
        <v/>
      </c>
      <c r="T1759" s="30">
        <f>MAX(Q1759:S1759)</f>
        <v/>
      </c>
      <c r="U1759" s="28">
        <f>IFERROR(LOOKUP(T1759,{0;0.5;1.5;3;4.5},{"Despreciable";"Bajo";"Medio";"Alto";"Muy alto"}),"")</f>
        <v/>
      </c>
      <c r="V1759" s="13">
        <f>IFERROR(INDEX(MgAmenFrec,MATCH(SUBSTITUTE($H1759,"*","-"),MgAmenClave,0)),"")</f>
        <v/>
      </c>
      <c r="W1759" s="28">
        <f>IFERROR(LOOKUP(X1759,{0;0.01;0.1;1;10;100},{"Muy baja";"Muy baja";"Baja";"Media";"Alta";"Muy alta"}),"")</f>
        <v/>
      </c>
      <c r="X1759" s="31">
        <f>IFERROR(VLOOKUP(V1759,MgFrec,2,0),0)</f>
        <v/>
      </c>
      <c r="Y1759" s="30">
        <f>T1759*X1759</f>
        <v/>
      </c>
      <c r="Z1759" s="28">
        <f>IFERROR(LOOKUP(Y1759,{0;0.5;5;25},{"Bajo";"Medio";"Alto";"Crítico"}),"")</f>
        <v/>
      </c>
      <c r="AA1759" s="64">
        <f>IF(T1759&gt;=3,IF(X1759&gt;=1,"Zona 1 — Crítica: impacto alto y ocurre al menos una vez al año","Zona 4 — Catastrófica poco probable: impacto alto pero excepcional"),IF(AND(T1759&lt;1.5,X1759&lt;1),"Zona 3 — Asumible: impacto bajo y muy poco frecuente","Zona 2 — Atención: riesgo intermedio"))</f>
        <v/>
      </c>
      <c r="AB1759" s="64">
        <f>IFERROR(INDEX(MgAmenCtrl,MATCH(SUBSTITUTE($H1759,"*","-"),MgAmenClave,0)),"")</f>
        <v/>
      </c>
      <c r="AC1759" s="20" t="n"/>
      <c r="AD1759" s="31">
        <f>IFERROR($X1759*(1-IF($AC1759="",$AL1759,VLOOKUP($AC1759,MgMad,2,0))),"")</f>
        <v/>
      </c>
      <c r="AE1759" s="28">
        <f>IFERROR(LOOKUP(AD1759,{0;0.01;0.1;1;10;100},{"Muy baja";"Muy baja";"Baja";"Media";"Alta";"Muy alta"}),"")</f>
        <v/>
      </c>
      <c r="AF1759" s="30">
        <f>T1759*AD1759</f>
        <v/>
      </c>
      <c r="AG1759" s="28">
        <f>IFERROR(LOOKUP(AF1759,{0;0.5;5;25},{"Bajo";"Medio";"Alto";"Crítico"}),"")</f>
        <v/>
      </c>
      <c r="AH1759" s="28">
        <f>IF(AG1759="","",IF(OR(AG1759="Crítico",AG1759="Alto"),"Mitigar",IF(AG1759="Medio","Mitigar","Aceptar y monitorear")))</f>
        <v/>
      </c>
      <c r="AI1759" s="21" t="n"/>
      <c r="AJ1759" s="21" t="n"/>
      <c r="AK1759" s="20" t="n"/>
      <c r="AL1759" s="77">
        <f>IFERROR(INDEX(MgAmenEfic,MATCH(SUBSTITUTE($H1759,"*","-"),MgAmenClave,0)),0)</f>
        <v/>
      </c>
    </row>
    <row r="1760" hidden="1" ht="60" customHeight="1" s="54">
      <c r="B1760" s="59" t="inlineStr">
        <is>
          <t>R-1755</t>
        </is>
      </c>
      <c r="C1760" s="59" t="inlineStr">
        <is>
          <t>TEC-012</t>
        </is>
      </c>
      <c r="D1760" s="64">
        <f>IFERROR(INDEX(MgNombre,MATCH($C1760,MgActId,0)),"")</f>
        <v/>
      </c>
      <c r="E1760" s="64">
        <f>IFERROR(INDEX(MgProceso,MATCH($C1760,MgActId,0)),"")</f>
        <v/>
      </c>
      <c r="F1760" s="64">
        <f>IFERROR(INDEX(MgTipo,MATCH($C1760,MgActId,0)),"")</f>
        <v/>
      </c>
      <c r="G1760" s="64">
        <f>IFERROR(INDEX(MgSubtipo,MATCH($C1760,MgActId,0)),"")</f>
        <v/>
      </c>
      <c r="H1760" s="59" t="inlineStr">
        <is>
          <t>A.15</t>
        </is>
      </c>
      <c r="I1760" s="64">
        <f>IFERROR(INDEX(MgAmenNombre,MATCH(SUBSTITUTE($H1760,"*","-"),MgAmenClave,0)),"")</f>
        <v/>
      </c>
      <c r="J1760" s="28">
        <f>IFERROR(INDEX(MgAmenGrupo,MATCH(SUBSTITUTE($H1760,"*","-"),MgAmenClave,0)),"")</f>
        <v/>
      </c>
      <c r="K1760" s="64">
        <f>IFERROR(INDEX('1. Matriz de Activos'!$Q$6:$Q$239,MATCH($C1760,MgActId,0)),"")</f>
        <v/>
      </c>
      <c r="L1760" s="64">
        <f>IFERROR(INDEX('1. Matriz de Activos'!$R$6:$R$239,MATCH($C1760,MgActId,0)),"")</f>
        <v/>
      </c>
      <c r="M1760" s="64">
        <f>IFERROR(INDEX('1. Matriz de Activos'!$S$6:$S$239,MATCH($C1760,MgActId,0)),"")</f>
        <v/>
      </c>
      <c r="N1760" s="28">
        <f>IFERROR(INDEX(MgAmenDegD,MATCH(SUBSTITUTE($H1760,"*","-"),MgAmenClave,0)),"No aplica")</f>
        <v/>
      </c>
      <c r="O1760" s="28">
        <f>IFERROR(INDEX(MgAmenDegI,MATCH(SUBSTITUTE($H1760,"*","-"),MgAmenClave,0)),"No aplica")</f>
        <v/>
      </c>
      <c r="P1760" s="28">
        <f>IFERROR(INDEX(MgAmenDegC,MATCH(SUBSTITUTE($H1760,"*","-"),MgAmenClave,0)),"No aplica")</f>
        <v/>
      </c>
      <c r="Q1760" s="29">
        <f>IFERROR(VLOOKUP(K1760,MgValor,2,0)*VLOOKUP(N1760,MgDeg,2,0),0)</f>
        <v/>
      </c>
      <c r="R1760" s="29">
        <f>IFERROR(VLOOKUP(L1760,MgValor,2,0)*VLOOKUP(O1760,MgDeg,2,0),0)</f>
        <v/>
      </c>
      <c r="S1760" s="29">
        <f>IFERROR(VLOOKUP(M1760,MgValor,2,0)*VLOOKUP(P1760,MgDeg,2,0),0)</f>
        <v/>
      </c>
      <c r="T1760" s="30">
        <f>MAX(Q1760:S1760)</f>
        <v/>
      </c>
      <c r="U1760" s="28">
        <f>IFERROR(LOOKUP(T1760,{0;0.5;1.5;3;4.5},{"Despreciable";"Bajo";"Medio";"Alto";"Muy alto"}),"")</f>
        <v/>
      </c>
      <c r="V1760" s="13">
        <f>IFERROR(INDEX(MgAmenFrec,MATCH(SUBSTITUTE($H1760,"*","-"),MgAmenClave,0)),"")</f>
        <v/>
      </c>
      <c r="W1760" s="28">
        <f>IFERROR(LOOKUP(X1760,{0;0.01;0.1;1;10;100},{"Muy baja";"Muy baja";"Baja";"Media";"Alta";"Muy alta"}),"")</f>
        <v/>
      </c>
      <c r="X1760" s="31">
        <f>IFERROR(VLOOKUP(V1760,MgFrec,2,0),0)</f>
        <v/>
      </c>
      <c r="Y1760" s="30">
        <f>T1760*X1760</f>
        <v/>
      </c>
      <c r="Z1760" s="28">
        <f>IFERROR(LOOKUP(Y1760,{0;0.5;5;25},{"Bajo";"Medio";"Alto";"Crítico"}),"")</f>
        <v/>
      </c>
      <c r="AA1760" s="64">
        <f>IF(T1760&gt;=3,IF(X1760&gt;=1,"Zona 1 — Crítica: impacto alto y ocurre al menos una vez al año","Zona 4 — Catastrófica poco probable: impacto alto pero excepcional"),IF(AND(T1760&lt;1.5,X1760&lt;1),"Zona 3 — Asumible: impacto bajo y muy poco frecuente","Zona 2 — Atención: riesgo intermedio"))</f>
        <v/>
      </c>
      <c r="AB1760" s="64">
        <f>IFERROR(INDEX(MgAmenCtrl,MATCH(SUBSTITUTE($H1760,"*","-"),MgAmenClave,0)),"")</f>
        <v/>
      </c>
      <c r="AC1760" s="20" t="n"/>
      <c r="AD1760" s="31">
        <f>IFERROR($X1760*(1-IF($AC1760="",$AL1760,VLOOKUP($AC1760,MgMad,2,0))),"")</f>
        <v/>
      </c>
      <c r="AE1760" s="28">
        <f>IFERROR(LOOKUP(AD1760,{0;0.01;0.1;1;10;100},{"Muy baja";"Muy baja";"Baja";"Media";"Alta";"Muy alta"}),"")</f>
        <v/>
      </c>
      <c r="AF1760" s="30">
        <f>T1760*AD1760</f>
        <v/>
      </c>
      <c r="AG1760" s="28">
        <f>IFERROR(LOOKUP(AF1760,{0;0.5;5;25},{"Bajo";"Medio";"Alto";"Crítico"}),"")</f>
        <v/>
      </c>
      <c r="AH1760" s="28">
        <f>IF(AG1760="","",IF(OR(AG1760="Crítico",AG1760="Alto"),"Mitigar",IF(AG1760="Medio","Mitigar","Aceptar y monitorear")))</f>
        <v/>
      </c>
      <c r="AI1760" s="21" t="n"/>
      <c r="AJ1760" s="21" t="n"/>
      <c r="AK1760" s="20" t="n"/>
      <c r="AL1760" s="77">
        <f>IFERROR(INDEX(MgAmenEfic,MATCH(SUBSTITUTE($H1760,"*","-"),MgAmenClave,0)),0)</f>
        <v/>
      </c>
    </row>
    <row r="1761" hidden="1" ht="60" customHeight="1" s="54">
      <c r="B1761" s="59" t="inlineStr">
        <is>
          <t>R-1756</t>
        </is>
      </c>
      <c r="C1761" s="59" t="inlineStr">
        <is>
          <t>TEC-012</t>
        </is>
      </c>
      <c r="D1761" s="64">
        <f>IFERROR(INDEX(MgNombre,MATCH($C1761,MgActId,0)),"")</f>
        <v/>
      </c>
      <c r="E1761" s="64">
        <f>IFERROR(INDEX(MgProceso,MATCH($C1761,MgActId,0)),"")</f>
        <v/>
      </c>
      <c r="F1761" s="64">
        <f>IFERROR(INDEX(MgTipo,MATCH($C1761,MgActId,0)),"")</f>
        <v/>
      </c>
      <c r="G1761" s="64">
        <f>IFERROR(INDEX(MgSubtipo,MATCH($C1761,MgActId,0)),"")</f>
        <v/>
      </c>
      <c r="H1761" s="59" t="inlineStr">
        <is>
          <t>A.18</t>
        </is>
      </c>
      <c r="I1761" s="64">
        <f>IFERROR(INDEX(MgAmenNombre,MATCH(SUBSTITUTE($H1761,"*","-"),MgAmenClave,0)),"")</f>
        <v/>
      </c>
      <c r="J1761" s="28">
        <f>IFERROR(INDEX(MgAmenGrupo,MATCH(SUBSTITUTE($H1761,"*","-"),MgAmenClave,0)),"")</f>
        <v/>
      </c>
      <c r="K1761" s="64">
        <f>IFERROR(INDEX('1. Matriz de Activos'!$Q$6:$Q$239,MATCH($C1761,MgActId,0)),"")</f>
        <v/>
      </c>
      <c r="L1761" s="64">
        <f>IFERROR(INDEX('1. Matriz de Activos'!$R$6:$R$239,MATCH($C1761,MgActId,0)),"")</f>
        <v/>
      </c>
      <c r="M1761" s="64">
        <f>IFERROR(INDEX('1. Matriz de Activos'!$S$6:$S$239,MATCH($C1761,MgActId,0)),"")</f>
        <v/>
      </c>
      <c r="N1761" s="28">
        <f>IFERROR(INDEX(MgAmenDegD,MATCH(SUBSTITUTE($H1761,"*","-"),MgAmenClave,0)),"No aplica")</f>
        <v/>
      </c>
      <c r="O1761" s="28">
        <f>IFERROR(INDEX(MgAmenDegI,MATCH(SUBSTITUTE($H1761,"*","-"),MgAmenClave,0)),"No aplica")</f>
        <v/>
      </c>
      <c r="P1761" s="28">
        <f>IFERROR(INDEX(MgAmenDegC,MATCH(SUBSTITUTE($H1761,"*","-"),MgAmenClave,0)),"No aplica")</f>
        <v/>
      </c>
      <c r="Q1761" s="29">
        <f>IFERROR(VLOOKUP(K1761,MgValor,2,0)*VLOOKUP(N1761,MgDeg,2,0),0)</f>
        <v/>
      </c>
      <c r="R1761" s="29">
        <f>IFERROR(VLOOKUP(L1761,MgValor,2,0)*VLOOKUP(O1761,MgDeg,2,0),0)</f>
        <v/>
      </c>
      <c r="S1761" s="29">
        <f>IFERROR(VLOOKUP(M1761,MgValor,2,0)*VLOOKUP(P1761,MgDeg,2,0),0)</f>
        <v/>
      </c>
      <c r="T1761" s="30">
        <f>MAX(Q1761:S1761)</f>
        <v/>
      </c>
      <c r="U1761" s="28">
        <f>IFERROR(LOOKUP(T1761,{0;0.5;1.5;3;4.5},{"Despreciable";"Bajo";"Medio";"Alto";"Muy alto"}),"")</f>
        <v/>
      </c>
      <c r="V1761" s="13">
        <f>IFERROR(INDEX(MgAmenFrec,MATCH(SUBSTITUTE($H1761,"*","-"),MgAmenClave,0)),"")</f>
        <v/>
      </c>
      <c r="W1761" s="28">
        <f>IFERROR(LOOKUP(X1761,{0;0.01;0.1;1;10;100},{"Muy baja";"Muy baja";"Baja";"Media";"Alta";"Muy alta"}),"")</f>
        <v/>
      </c>
      <c r="X1761" s="31">
        <f>IFERROR(VLOOKUP(V1761,MgFrec,2,0),0)</f>
        <v/>
      </c>
      <c r="Y1761" s="30">
        <f>T1761*X1761</f>
        <v/>
      </c>
      <c r="Z1761" s="28">
        <f>IFERROR(LOOKUP(Y1761,{0;0.5;5;25},{"Bajo";"Medio";"Alto";"Crítico"}),"")</f>
        <v/>
      </c>
      <c r="AA1761" s="64">
        <f>IF(T1761&gt;=3,IF(X1761&gt;=1,"Zona 1 — Crítica: impacto alto y ocurre al menos una vez al año","Zona 4 — Catastrófica poco probable: impacto alto pero excepcional"),IF(AND(T1761&lt;1.5,X1761&lt;1),"Zona 3 — Asumible: impacto bajo y muy poco frecuente","Zona 2 — Atención: riesgo intermedio"))</f>
        <v/>
      </c>
      <c r="AB1761" s="64">
        <f>IFERROR(INDEX(MgAmenCtrl,MATCH(SUBSTITUTE($H1761,"*","-"),MgAmenClave,0)),"")</f>
        <v/>
      </c>
      <c r="AC1761" s="20" t="n"/>
      <c r="AD1761" s="31">
        <f>IFERROR($X1761*(1-IF($AC1761="",$AL1761,VLOOKUP($AC1761,MgMad,2,0))),"")</f>
        <v/>
      </c>
      <c r="AE1761" s="28">
        <f>IFERROR(LOOKUP(AD1761,{0;0.01;0.1;1;10;100},{"Muy baja";"Muy baja";"Baja";"Media";"Alta";"Muy alta"}),"")</f>
        <v/>
      </c>
      <c r="AF1761" s="30">
        <f>T1761*AD1761</f>
        <v/>
      </c>
      <c r="AG1761" s="28">
        <f>IFERROR(LOOKUP(AF1761,{0;0.5;5;25},{"Bajo";"Medio";"Alto";"Crítico"}),"")</f>
        <v/>
      </c>
      <c r="AH1761" s="28">
        <f>IF(AG1761="","",IF(OR(AG1761="Crítico",AG1761="Alto"),"Mitigar",IF(AG1761="Medio","Mitigar","Aceptar y monitorear")))</f>
        <v/>
      </c>
      <c r="AI1761" s="21" t="n"/>
      <c r="AJ1761" s="21" t="n"/>
      <c r="AK1761" s="20" t="n"/>
      <c r="AL1761" s="77">
        <f>IFERROR(INDEX(MgAmenEfic,MATCH(SUBSTITUTE($H1761,"*","-"),MgAmenClave,0)),0)</f>
        <v/>
      </c>
    </row>
    <row r="1762" hidden="1" ht="120" customHeight="1" s="54">
      <c r="B1762" s="59" t="inlineStr">
        <is>
          <t>R-1757</t>
        </is>
      </c>
      <c r="C1762" s="59" t="inlineStr">
        <is>
          <t>TEC-012</t>
        </is>
      </c>
      <c r="D1762" s="64">
        <f>IFERROR(INDEX(MgNombre,MATCH($C1762,MgActId,0)),"")</f>
        <v/>
      </c>
      <c r="E1762" s="64">
        <f>IFERROR(INDEX(MgProceso,MATCH($C1762,MgActId,0)),"")</f>
        <v/>
      </c>
      <c r="F1762" s="64">
        <f>IFERROR(INDEX(MgTipo,MATCH($C1762,MgActId,0)),"")</f>
        <v/>
      </c>
      <c r="G1762" s="64">
        <f>IFERROR(INDEX(MgSubtipo,MATCH($C1762,MgActId,0)),"")</f>
        <v/>
      </c>
      <c r="H1762" s="59" t="inlineStr">
        <is>
          <t>A.19</t>
        </is>
      </c>
      <c r="I1762" s="64">
        <f>IFERROR(INDEX(MgAmenNombre,MATCH(SUBSTITUTE($H1762,"*","-"),MgAmenClave,0)),"")</f>
        <v/>
      </c>
      <c r="J1762" s="28">
        <f>IFERROR(INDEX(MgAmenGrupo,MATCH(SUBSTITUTE($H1762,"*","-"),MgAmenClave,0)),"")</f>
        <v/>
      </c>
      <c r="K1762" s="64">
        <f>IFERROR(INDEX('1. Matriz de Activos'!$Q$6:$Q$239,MATCH($C1762,MgActId,0)),"")</f>
        <v/>
      </c>
      <c r="L1762" s="64">
        <f>IFERROR(INDEX('1. Matriz de Activos'!$R$6:$R$239,MATCH($C1762,MgActId,0)),"")</f>
        <v/>
      </c>
      <c r="M1762" s="64">
        <f>IFERROR(INDEX('1. Matriz de Activos'!$S$6:$S$239,MATCH($C1762,MgActId,0)),"")</f>
        <v/>
      </c>
      <c r="N1762" s="28">
        <f>IFERROR(INDEX(MgAmenDegD,MATCH(SUBSTITUTE($H1762,"*","-"),MgAmenClave,0)),"No aplica")</f>
        <v/>
      </c>
      <c r="O1762" s="28">
        <f>IFERROR(INDEX(MgAmenDegI,MATCH(SUBSTITUTE($H1762,"*","-"),MgAmenClave,0)),"No aplica")</f>
        <v/>
      </c>
      <c r="P1762" s="28">
        <f>IFERROR(INDEX(MgAmenDegC,MATCH(SUBSTITUTE($H1762,"*","-"),MgAmenClave,0)),"No aplica")</f>
        <v/>
      </c>
      <c r="Q1762" s="29">
        <f>IFERROR(VLOOKUP(K1762,MgValor,2,0)*VLOOKUP(N1762,MgDeg,2,0),0)</f>
        <v/>
      </c>
      <c r="R1762" s="29">
        <f>IFERROR(VLOOKUP(L1762,MgValor,2,0)*VLOOKUP(O1762,MgDeg,2,0),0)</f>
        <v/>
      </c>
      <c r="S1762" s="29">
        <f>IFERROR(VLOOKUP(M1762,MgValor,2,0)*VLOOKUP(P1762,MgDeg,2,0),0)</f>
        <v/>
      </c>
      <c r="T1762" s="30">
        <f>MAX(Q1762:S1762)</f>
        <v/>
      </c>
      <c r="U1762" s="28">
        <f>IFERROR(LOOKUP(T1762,{0;0.5;1.5;3;4.5},{"Despreciable";"Bajo";"Medio";"Alto";"Muy alto"}),"")</f>
        <v/>
      </c>
      <c r="V1762" s="13">
        <f>IFERROR(INDEX(MgAmenFrec,MATCH(SUBSTITUTE($H1762,"*","-"),MgAmenClave,0)),"")</f>
        <v/>
      </c>
      <c r="W1762" s="28">
        <f>IFERROR(LOOKUP(X1762,{0;0.01;0.1;1;10;100},{"Muy baja";"Muy baja";"Baja";"Media";"Alta";"Muy alta"}),"")</f>
        <v/>
      </c>
      <c r="X1762" s="31">
        <f>IFERROR(VLOOKUP(V1762,MgFrec,2,0),0)</f>
        <v/>
      </c>
      <c r="Y1762" s="30">
        <f>T1762*X1762</f>
        <v/>
      </c>
      <c r="Z1762" s="28">
        <f>IFERROR(LOOKUP(Y1762,{0;0.5;5;25},{"Bajo";"Medio";"Alto";"Crítico"}),"")</f>
        <v/>
      </c>
      <c r="AA1762" s="64">
        <f>IF(T1762&gt;=3,IF(X1762&gt;=1,"Zona 1 — Crítica: impacto alto y ocurre al menos una vez al año","Zona 4 — Catastrófica poco probable: impacto alto pero excepcional"),IF(AND(T1762&lt;1.5,X1762&lt;1),"Zona 3 — Asumible: impacto bajo y muy poco frecuente","Zona 2 — Atención: riesgo intermedio"))</f>
        <v/>
      </c>
      <c r="AB1762" s="64">
        <f>IFERROR(INDEX(MgAmenCtrl,MATCH(SUBSTITUTE($H1762,"*","-"),MgAmenClave,0)),"")</f>
        <v/>
      </c>
      <c r="AC1762" s="20" t="n"/>
      <c r="AD1762" s="31">
        <f>IFERROR($X1762*(1-IF($AC1762="",$AL1762,VLOOKUP($AC1762,MgMad,2,0))),"")</f>
        <v/>
      </c>
      <c r="AE1762" s="28">
        <f>IFERROR(LOOKUP(AD1762,{0;0.01;0.1;1;10;100},{"Muy baja";"Muy baja";"Baja";"Media";"Alta";"Muy alta"}),"")</f>
        <v/>
      </c>
      <c r="AF1762" s="30">
        <f>T1762*AD1762</f>
        <v/>
      </c>
      <c r="AG1762" s="28">
        <f>IFERROR(LOOKUP(AF1762,{0;0.5;5;25},{"Bajo";"Medio";"Alto";"Crítico"}),"")</f>
        <v/>
      </c>
      <c r="AH1762" s="28">
        <f>IF(AG1762="","",IF(OR(AG1762="Crítico",AG1762="Alto"),"Mitigar",IF(AG1762="Medio","Mitigar","Aceptar y monitorear")))</f>
        <v/>
      </c>
      <c r="AI1762" s="21" t="n"/>
      <c r="AJ1762" s="21" t="n"/>
      <c r="AK1762" s="20" t="n"/>
      <c r="AL1762" s="77">
        <f>IFERROR(INDEX(MgAmenEfic,MATCH(SUBSTITUTE($H1762,"*","-"),MgAmenClave,0)),0)</f>
        <v/>
      </c>
    </row>
    <row r="1763" hidden="1" ht="60" customHeight="1" s="54">
      <c r="B1763" s="59" t="inlineStr">
        <is>
          <t>R-1758</t>
        </is>
      </c>
      <c r="C1763" s="59" t="inlineStr">
        <is>
          <t>TEC-012</t>
        </is>
      </c>
      <c r="D1763" s="64">
        <f>IFERROR(INDEX(MgNombre,MATCH($C1763,MgActId,0)),"")</f>
        <v/>
      </c>
      <c r="E1763" s="64">
        <f>IFERROR(INDEX(MgProceso,MATCH($C1763,MgActId,0)),"")</f>
        <v/>
      </c>
      <c r="F1763" s="64">
        <f>IFERROR(INDEX(MgTipo,MATCH($C1763,MgActId,0)),"")</f>
        <v/>
      </c>
      <c r="G1763" s="64">
        <f>IFERROR(INDEX(MgSubtipo,MATCH($C1763,MgActId,0)),"")</f>
        <v/>
      </c>
      <c r="H1763" s="59" t="inlineStr">
        <is>
          <t>A.23</t>
        </is>
      </c>
      <c r="I1763" s="64">
        <f>IFERROR(INDEX(MgAmenNombre,MATCH(SUBSTITUTE($H1763,"*","-"),MgAmenClave,0)),"")</f>
        <v/>
      </c>
      <c r="J1763" s="28">
        <f>IFERROR(INDEX(MgAmenGrupo,MATCH(SUBSTITUTE($H1763,"*","-"),MgAmenClave,0)),"")</f>
        <v/>
      </c>
      <c r="K1763" s="64">
        <f>IFERROR(INDEX('1. Matriz de Activos'!$Q$6:$Q$239,MATCH($C1763,MgActId,0)),"")</f>
        <v/>
      </c>
      <c r="L1763" s="64">
        <f>IFERROR(INDEX('1. Matriz de Activos'!$R$6:$R$239,MATCH($C1763,MgActId,0)),"")</f>
        <v/>
      </c>
      <c r="M1763" s="64">
        <f>IFERROR(INDEX('1. Matriz de Activos'!$S$6:$S$239,MATCH($C1763,MgActId,0)),"")</f>
        <v/>
      </c>
      <c r="N1763" s="28">
        <f>IFERROR(INDEX(MgAmenDegD,MATCH(SUBSTITUTE($H1763,"*","-"),MgAmenClave,0)),"No aplica")</f>
        <v/>
      </c>
      <c r="O1763" s="28">
        <f>IFERROR(INDEX(MgAmenDegI,MATCH(SUBSTITUTE($H1763,"*","-"),MgAmenClave,0)),"No aplica")</f>
        <v/>
      </c>
      <c r="P1763" s="28">
        <f>IFERROR(INDEX(MgAmenDegC,MATCH(SUBSTITUTE($H1763,"*","-"),MgAmenClave,0)),"No aplica")</f>
        <v/>
      </c>
      <c r="Q1763" s="29">
        <f>IFERROR(VLOOKUP(K1763,MgValor,2,0)*VLOOKUP(N1763,MgDeg,2,0),0)</f>
        <v/>
      </c>
      <c r="R1763" s="29">
        <f>IFERROR(VLOOKUP(L1763,MgValor,2,0)*VLOOKUP(O1763,MgDeg,2,0),0)</f>
        <v/>
      </c>
      <c r="S1763" s="29">
        <f>IFERROR(VLOOKUP(M1763,MgValor,2,0)*VLOOKUP(P1763,MgDeg,2,0),0)</f>
        <v/>
      </c>
      <c r="T1763" s="30">
        <f>MAX(Q1763:S1763)</f>
        <v/>
      </c>
      <c r="U1763" s="28">
        <f>IFERROR(LOOKUP(T1763,{0;0.5;1.5;3;4.5},{"Despreciable";"Bajo";"Medio";"Alto";"Muy alto"}),"")</f>
        <v/>
      </c>
      <c r="V1763" s="13">
        <f>IFERROR(INDEX(MgAmenFrec,MATCH(SUBSTITUTE($H1763,"*","-"),MgAmenClave,0)),"")</f>
        <v/>
      </c>
      <c r="W1763" s="28">
        <f>IFERROR(LOOKUP(X1763,{0;0.01;0.1;1;10;100},{"Muy baja";"Muy baja";"Baja";"Media";"Alta";"Muy alta"}),"")</f>
        <v/>
      </c>
      <c r="X1763" s="31">
        <f>IFERROR(VLOOKUP(V1763,MgFrec,2,0),0)</f>
        <v/>
      </c>
      <c r="Y1763" s="30">
        <f>T1763*X1763</f>
        <v/>
      </c>
      <c r="Z1763" s="28">
        <f>IFERROR(LOOKUP(Y1763,{0;0.5;5;25},{"Bajo";"Medio";"Alto";"Crítico"}),"")</f>
        <v/>
      </c>
      <c r="AA1763" s="64">
        <f>IF(T1763&gt;=3,IF(X1763&gt;=1,"Zona 1 — Crítica: impacto alto y ocurre al menos una vez al año","Zona 4 — Catastrófica poco probable: impacto alto pero excepcional"),IF(AND(T1763&lt;1.5,X1763&lt;1),"Zona 3 — Asumible: impacto bajo y muy poco frecuente","Zona 2 — Atención: riesgo intermedio"))</f>
        <v/>
      </c>
      <c r="AB1763" s="64">
        <f>IFERROR(INDEX(MgAmenCtrl,MATCH(SUBSTITUTE($H1763,"*","-"),MgAmenClave,0)),"")</f>
        <v/>
      </c>
      <c r="AC1763" s="20" t="n"/>
      <c r="AD1763" s="31">
        <f>IFERROR($X1763*(1-IF($AC1763="",$AL1763,VLOOKUP($AC1763,MgMad,2,0))),"")</f>
        <v/>
      </c>
      <c r="AE1763" s="28">
        <f>IFERROR(LOOKUP(AD1763,{0;0.01;0.1;1;10;100},{"Muy baja";"Muy baja";"Baja";"Media";"Alta";"Muy alta"}),"")</f>
        <v/>
      </c>
      <c r="AF1763" s="30">
        <f>T1763*AD1763</f>
        <v/>
      </c>
      <c r="AG1763" s="28">
        <f>IFERROR(LOOKUP(AF1763,{0;0.5;5;25},{"Bajo";"Medio";"Alto";"Crítico"}),"")</f>
        <v/>
      </c>
      <c r="AH1763" s="28">
        <f>IF(AG1763="","",IF(OR(AG1763="Crítico",AG1763="Alto"),"Mitigar",IF(AG1763="Medio","Mitigar","Aceptar y monitorear")))</f>
        <v/>
      </c>
      <c r="AI1763" s="21" t="n"/>
      <c r="AJ1763" s="21" t="n"/>
      <c r="AK1763" s="20" t="n"/>
      <c r="AL1763" s="77">
        <f>IFERROR(INDEX(MgAmenEfic,MATCH(SUBSTITUTE($H1763,"*","-"),MgAmenClave,0)),0)</f>
        <v/>
      </c>
    </row>
    <row r="1764" hidden="1" ht="75" customHeight="1" s="54">
      <c r="B1764" s="59" t="inlineStr">
        <is>
          <t>R-1759</t>
        </is>
      </c>
      <c r="C1764" s="59" t="inlineStr">
        <is>
          <t>TEC-012</t>
        </is>
      </c>
      <c r="D1764" s="64">
        <f>IFERROR(INDEX(MgNombre,MATCH($C1764,MgActId,0)),"")</f>
        <v/>
      </c>
      <c r="E1764" s="64">
        <f>IFERROR(INDEX(MgProceso,MATCH($C1764,MgActId,0)),"")</f>
        <v/>
      </c>
      <c r="F1764" s="64">
        <f>IFERROR(INDEX(MgTipo,MATCH($C1764,MgActId,0)),"")</f>
        <v/>
      </c>
      <c r="G1764" s="64">
        <f>IFERROR(INDEX(MgSubtipo,MATCH($C1764,MgActId,0)),"")</f>
        <v/>
      </c>
      <c r="H1764" s="59" t="inlineStr">
        <is>
          <t>A.25</t>
        </is>
      </c>
      <c r="I1764" s="64">
        <f>IFERROR(INDEX(MgAmenNombre,MATCH(SUBSTITUTE($H1764,"*","-"),MgAmenClave,0)),"")</f>
        <v/>
      </c>
      <c r="J1764" s="28">
        <f>IFERROR(INDEX(MgAmenGrupo,MATCH(SUBSTITUTE($H1764,"*","-"),MgAmenClave,0)),"")</f>
        <v/>
      </c>
      <c r="K1764" s="64">
        <f>IFERROR(INDEX('1. Matriz de Activos'!$Q$6:$Q$239,MATCH($C1764,MgActId,0)),"")</f>
        <v/>
      </c>
      <c r="L1764" s="64">
        <f>IFERROR(INDEX('1. Matriz de Activos'!$R$6:$R$239,MATCH($C1764,MgActId,0)),"")</f>
        <v/>
      </c>
      <c r="M1764" s="64">
        <f>IFERROR(INDEX('1. Matriz de Activos'!$S$6:$S$239,MATCH($C1764,MgActId,0)),"")</f>
        <v/>
      </c>
      <c r="N1764" s="28">
        <f>IFERROR(INDEX(MgAmenDegD,MATCH(SUBSTITUTE($H1764,"*","-"),MgAmenClave,0)),"No aplica")</f>
        <v/>
      </c>
      <c r="O1764" s="28">
        <f>IFERROR(INDEX(MgAmenDegI,MATCH(SUBSTITUTE($H1764,"*","-"),MgAmenClave,0)),"No aplica")</f>
        <v/>
      </c>
      <c r="P1764" s="28">
        <f>IFERROR(INDEX(MgAmenDegC,MATCH(SUBSTITUTE($H1764,"*","-"),MgAmenClave,0)),"No aplica")</f>
        <v/>
      </c>
      <c r="Q1764" s="29">
        <f>IFERROR(VLOOKUP(K1764,MgValor,2,0)*VLOOKUP(N1764,MgDeg,2,0),0)</f>
        <v/>
      </c>
      <c r="R1764" s="29">
        <f>IFERROR(VLOOKUP(L1764,MgValor,2,0)*VLOOKUP(O1764,MgDeg,2,0),0)</f>
        <v/>
      </c>
      <c r="S1764" s="29">
        <f>IFERROR(VLOOKUP(M1764,MgValor,2,0)*VLOOKUP(P1764,MgDeg,2,0),0)</f>
        <v/>
      </c>
      <c r="T1764" s="30">
        <f>MAX(Q1764:S1764)</f>
        <v/>
      </c>
      <c r="U1764" s="28">
        <f>IFERROR(LOOKUP(T1764,{0;0.5;1.5;3;4.5},{"Despreciable";"Bajo";"Medio";"Alto";"Muy alto"}),"")</f>
        <v/>
      </c>
      <c r="V1764" s="13">
        <f>IFERROR(INDEX(MgAmenFrec,MATCH(SUBSTITUTE($H1764,"*","-"),MgAmenClave,0)),"")</f>
        <v/>
      </c>
      <c r="W1764" s="28">
        <f>IFERROR(LOOKUP(X1764,{0;0.01;0.1;1;10;100},{"Muy baja";"Muy baja";"Baja";"Media";"Alta";"Muy alta"}),"")</f>
        <v/>
      </c>
      <c r="X1764" s="31">
        <f>IFERROR(VLOOKUP(V1764,MgFrec,2,0),0)</f>
        <v/>
      </c>
      <c r="Y1764" s="30">
        <f>T1764*X1764</f>
        <v/>
      </c>
      <c r="Z1764" s="28">
        <f>IFERROR(LOOKUP(Y1764,{0;0.5;5;25},{"Bajo";"Medio";"Alto";"Crítico"}),"")</f>
        <v/>
      </c>
      <c r="AA1764" s="64">
        <f>IF(T1764&gt;=3,IF(X1764&gt;=1,"Zona 1 — Crítica: impacto alto y ocurre al menos una vez al año","Zona 4 — Catastrófica poco probable: impacto alto pero excepcional"),IF(AND(T1764&lt;1.5,X1764&lt;1),"Zona 3 — Asumible: impacto bajo y muy poco frecuente","Zona 2 — Atención: riesgo intermedio"))</f>
        <v/>
      </c>
      <c r="AB1764" s="64">
        <f>IFERROR(INDEX(MgAmenCtrl,MATCH(SUBSTITUTE($H1764,"*","-"),MgAmenClave,0)),"")</f>
        <v/>
      </c>
      <c r="AC1764" s="20" t="n"/>
      <c r="AD1764" s="31">
        <f>IFERROR($X1764*(1-IF($AC1764="",$AL1764,VLOOKUP($AC1764,MgMad,2,0))),"")</f>
        <v/>
      </c>
      <c r="AE1764" s="28">
        <f>IFERROR(LOOKUP(AD1764,{0;0.01;0.1;1;10;100},{"Muy baja";"Muy baja";"Baja";"Media";"Alta";"Muy alta"}),"")</f>
        <v/>
      </c>
      <c r="AF1764" s="30">
        <f>T1764*AD1764</f>
        <v/>
      </c>
      <c r="AG1764" s="28">
        <f>IFERROR(LOOKUP(AF1764,{0;0.5;5;25},{"Bajo";"Medio";"Alto";"Crítico"}),"")</f>
        <v/>
      </c>
      <c r="AH1764" s="28">
        <f>IF(AG1764="","",IF(OR(AG1764="Crítico",AG1764="Alto"),"Mitigar",IF(AG1764="Medio","Mitigar","Aceptar y monitorear")))</f>
        <v/>
      </c>
      <c r="AI1764" s="21" t="n"/>
      <c r="AJ1764" s="21" t="n"/>
      <c r="AK1764" s="20" t="n"/>
      <c r="AL1764" s="77">
        <f>IFERROR(INDEX(MgAmenEfic,MATCH(SUBSTITUTE($H1764,"*","-"),MgAmenClave,0)),0)</f>
        <v/>
      </c>
    </row>
    <row r="1765" hidden="1" ht="60" customHeight="1" s="54">
      <c r="B1765" s="59" t="inlineStr">
        <is>
          <t>R-1760</t>
        </is>
      </c>
      <c r="C1765" s="59" t="inlineStr">
        <is>
          <t>TEC-012</t>
        </is>
      </c>
      <c r="D1765" s="64">
        <f>IFERROR(INDEX(MgNombre,MATCH($C1765,MgActId,0)),"")</f>
        <v/>
      </c>
      <c r="E1765" s="64">
        <f>IFERROR(INDEX(MgProceso,MATCH($C1765,MgActId,0)),"")</f>
        <v/>
      </c>
      <c r="F1765" s="64">
        <f>IFERROR(INDEX(MgTipo,MATCH($C1765,MgActId,0)),"")</f>
        <v/>
      </c>
      <c r="G1765" s="64">
        <f>IFERROR(INDEX(MgSubtipo,MATCH($C1765,MgActId,0)),"")</f>
        <v/>
      </c>
      <c r="H1765" s="59" t="inlineStr">
        <is>
          <t>A.26</t>
        </is>
      </c>
      <c r="I1765" s="64">
        <f>IFERROR(INDEX(MgAmenNombre,MATCH(SUBSTITUTE($H1765,"*","-"),MgAmenClave,0)),"")</f>
        <v/>
      </c>
      <c r="J1765" s="28">
        <f>IFERROR(INDEX(MgAmenGrupo,MATCH(SUBSTITUTE($H1765,"*","-"),MgAmenClave,0)),"")</f>
        <v/>
      </c>
      <c r="K1765" s="64">
        <f>IFERROR(INDEX('1. Matriz de Activos'!$Q$6:$Q$239,MATCH($C1765,MgActId,0)),"")</f>
        <v/>
      </c>
      <c r="L1765" s="64">
        <f>IFERROR(INDEX('1. Matriz de Activos'!$R$6:$R$239,MATCH($C1765,MgActId,0)),"")</f>
        <v/>
      </c>
      <c r="M1765" s="64">
        <f>IFERROR(INDEX('1. Matriz de Activos'!$S$6:$S$239,MATCH($C1765,MgActId,0)),"")</f>
        <v/>
      </c>
      <c r="N1765" s="28">
        <f>IFERROR(INDEX(MgAmenDegD,MATCH(SUBSTITUTE($H1765,"*","-"),MgAmenClave,0)),"No aplica")</f>
        <v/>
      </c>
      <c r="O1765" s="28">
        <f>IFERROR(INDEX(MgAmenDegI,MATCH(SUBSTITUTE($H1765,"*","-"),MgAmenClave,0)),"No aplica")</f>
        <v/>
      </c>
      <c r="P1765" s="28">
        <f>IFERROR(INDEX(MgAmenDegC,MATCH(SUBSTITUTE($H1765,"*","-"),MgAmenClave,0)),"No aplica")</f>
        <v/>
      </c>
      <c r="Q1765" s="29">
        <f>IFERROR(VLOOKUP(K1765,MgValor,2,0)*VLOOKUP(N1765,MgDeg,2,0),0)</f>
        <v/>
      </c>
      <c r="R1765" s="29">
        <f>IFERROR(VLOOKUP(L1765,MgValor,2,0)*VLOOKUP(O1765,MgDeg,2,0),0)</f>
        <v/>
      </c>
      <c r="S1765" s="29">
        <f>IFERROR(VLOOKUP(M1765,MgValor,2,0)*VLOOKUP(P1765,MgDeg,2,0),0)</f>
        <v/>
      </c>
      <c r="T1765" s="30">
        <f>MAX(Q1765:S1765)</f>
        <v/>
      </c>
      <c r="U1765" s="28">
        <f>IFERROR(LOOKUP(T1765,{0;0.5;1.5;3;4.5},{"Despreciable";"Bajo";"Medio";"Alto";"Muy alto"}),"")</f>
        <v/>
      </c>
      <c r="V1765" s="13">
        <f>IFERROR(INDEX(MgAmenFrec,MATCH(SUBSTITUTE($H1765,"*","-"),MgAmenClave,0)),"")</f>
        <v/>
      </c>
      <c r="W1765" s="28">
        <f>IFERROR(LOOKUP(X1765,{0;0.01;0.1;1;10;100},{"Muy baja";"Muy baja";"Baja";"Media";"Alta";"Muy alta"}),"")</f>
        <v/>
      </c>
      <c r="X1765" s="31">
        <f>IFERROR(VLOOKUP(V1765,MgFrec,2,0),0)</f>
        <v/>
      </c>
      <c r="Y1765" s="30">
        <f>T1765*X1765</f>
        <v/>
      </c>
      <c r="Z1765" s="28">
        <f>IFERROR(LOOKUP(Y1765,{0;0.5;5;25},{"Bajo";"Medio";"Alto";"Crítico"}),"")</f>
        <v/>
      </c>
      <c r="AA1765" s="64">
        <f>IF(T1765&gt;=3,IF(X1765&gt;=1,"Zona 1 — Crítica: impacto alto y ocurre al menos una vez al año","Zona 4 — Catastrófica poco probable: impacto alto pero excepcional"),IF(AND(T1765&lt;1.5,X1765&lt;1),"Zona 3 — Asumible: impacto bajo y muy poco frecuente","Zona 2 — Atención: riesgo intermedio"))</f>
        <v/>
      </c>
      <c r="AB1765" s="64">
        <f>IFERROR(INDEX(MgAmenCtrl,MATCH(SUBSTITUTE($H1765,"*","-"),MgAmenClave,0)),"")</f>
        <v/>
      </c>
      <c r="AC1765" s="20" t="n"/>
      <c r="AD1765" s="31">
        <f>IFERROR($X1765*(1-IF($AC1765="",$AL1765,VLOOKUP($AC1765,MgMad,2,0))),"")</f>
        <v/>
      </c>
      <c r="AE1765" s="28">
        <f>IFERROR(LOOKUP(AD1765,{0;0.01;0.1;1;10;100},{"Muy baja";"Muy baja";"Baja";"Media";"Alta";"Muy alta"}),"")</f>
        <v/>
      </c>
      <c r="AF1765" s="30">
        <f>T1765*AD1765</f>
        <v/>
      </c>
      <c r="AG1765" s="28">
        <f>IFERROR(LOOKUP(AF1765,{0;0.5;5;25},{"Bajo";"Medio";"Alto";"Crítico"}),"")</f>
        <v/>
      </c>
      <c r="AH1765" s="28">
        <f>IF(AG1765="","",IF(OR(AG1765="Crítico",AG1765="Alto"),"Mitigar",IF(AG1765="Medio","Mitigar","Aceptar y monitorear")))</f>
        <v/>
      </c>
      <c r="AI1765" s="21" t="n"/>
      <c r="AJ1765" s="21" t="n"/>
      <c r="AK1765" s="20" t="n"/>
      <c r="AL1765" s="77">
        <f>IFERROR(INDEX(MgAmenEfic,MATCH(SUBSTITUTE($H1765,"*","-"),MgAmenClave,0)),0)</f>
        <v/>
      </c>
    </row>
    <row r="1766" hidden="1" ht="150" customHeight="1" s="54">
      <c r="B1766" s="59" t="inlineStr">
        <is>
          <t>R-1761</t>
        </is>
      </c>
      <c r="C1766" s="59" t="inlineStr">
        <is>
          <t>FIN-15</t>
        </is>
      </c>
      <c r="D1766" s="64">
        <f>IFERROR(INDEX(MgNombre,MATCH($C1766,MgActId,0)),"")</f>
        <v/>
      </c>
      <c r="E1766" s="64">
        <f>IFERROR(INDEX(MgProceso,MATCH($C1766,MgActId,0)),"")</f>
        <v/>
      </c>
      <c r="F1766" s="64">
        <f>IFERROR(INDEX(MgTipo,MATCH($C1766,MgActId,0)),"")</f>
        <v/>
      </c>
      <c r="G1766" s="64">
        <f>IFERROR(INDEX(MgSubtipo,MATCH($C1766,MgActId,0)),"")</f>
        <v/>
      </c>
      <c r="H1766" s="59" t="inlineStr">
        <is>
          <t>E.7</t>
        </is>
      </c>
      <c r="I1766" s="64">
        <f>IFERROR(INDEX(MgAmenNombre,MATCH(SUBSTITUTE($H1766,"*","-"),MgAmenClave,0)),"")</f>
        <v/>
      </c>
      <c r="J1766" s="28">
        <f>IFERROR(INDEX(MgAmenGrupo,MATCH(SUBSTITUTE($H1766,"*","-"),MgAmenClave,0)),"")</f>
        <v/>
      </c>
      <c r="K1766" s="64">
        <f>IFERROR(INDEX('1. Matriz de Activos'!$Q$6:$Q$239,MATCH($C1766,MgActId,0)),"")</f>
        <v/>
      </c>
      <c r="L1766" s="64">
        <f>IFERROR(INDEX('1. Matriz de Activos'!$R$6:$R$239,MATCH($C1766,MgActId,0)),"")</f>
        <v/>
      </c>
      <c r="M1766" s="64">
        <f>IFERROR(INDEX('1. Matriz de Activos'!$S$6:$S$239,MATCH($C1766,MgActId,0)),"")</f>
        <v/>
      </c>
      <c r="N1766" s="28">
        <f>IFERROR(INDEX(MgAmenDegD,MATCH(SUBSTITUTE($H1766,"*","-"),MgAmenClave,0)),"No aplica")</f>
        <v/>
      </c>
      <c r="O1766" s="28">
        <f>IFERROR(INDEX(MgAmenDegI,MATCH(SUBSTITUTE($H1766,"*","-"),MgAmenClave,0)),"No aplica")</f>
        <v/>
      </c>
      <c r="P1766" s="28">
        <f>IFERROR(INDEX(MgAmenDegC,MATCH(SUBSTITUTE($H1766,"*","-"),MgAmenClave,0)),"No aplica")</f>
        <v/>
      </c>
      <c r="Q1766" s="29">
        <f>IFERROR(VLOOKUP(K1766,MgValor,2,0)*VLOOKUP(N1766,MgDeg,2,0),0)</f>
        <v/>
      </c>
      <c r="R1766" s="29">
        <f>IFERROR(VLOOKUP(L1766,MgValor,2,0)*VLOOKUP(O1766,MgDeg,2,0),0)</f>
        <v/>
      </c>
      <c r="S1766" s="29">
        <f>IFERROR(VLOOKUP(M1766,MgValor,2,0)*VLOOKUP(P1766,MgDeg,2,0),0)</f>
        <v/>
      </c>
      <c r="T1766" s="30">
        <f>MAX(Q1766:S1766)</f>
        <v/>
      </c>
      <c r="U1766" s="28">
        <f>IFERROR(LOOKUP(T1766,{0;0.5;1.5;3;4.5},{"Despreciable";"Bajo";"Medio";"Alto";"Muy alto"}),"")</f>
        <v/>
      </c>
      <c r="V1766" s="13">
        <f>IFERROR(INDEX(MgAmenFrec,MATCH(SUBSTITUTE($H1766,"*","-"),MgAmenClave,0)),"")</f>
        <v/>
      </c>
      <c r="W1766" s="28">
        <f>IFERROR(LOOKUP(X1766,{0;0.01;0.1;1;10;100},{"Muy baja";"Muy baja";"Baja";"Media";"Alta";"Muy alta"}),"")</f>
        <v/>
      </c>
      <c r="X1766" s="31">
        <f>IFERROR(VLOOKUP(V1766,MgFrec,2,0),0)</f>
        <v/>
      </c>
      <c r="Y1766" s="30">
        <f>T1766*X1766</f>
        <v/>
      </c>
      <c r="Z1766" s="28">
        <f>IFERROR(LOOKUP(Y1766,{0;0.5;5;25},{"Bajo";"Medio";"Alto";"Crítico"}),"")</f>
        <v/>
      </c>
      <c r="AA1766" s="64">
        <f>IF(T1766&gt;=3,IF(X1766&gt;=1,"Zona 1 — Crítica: impacto alto y ocurre al menos una vez al año","Zona 4 — Catastrófica poco probable: impacto alto pero excepcional"),IF(AND(T1766&lt;1.5,X1766&lt;1),"Zona 3 — Asumible: impacto bajo y muy poco frecuente","Zona 2 — Atención: riesgo intermedio"))</f>
        <v/>
      </c>
      <c r="AB1766" s="64">
        <f>IFERROR(INDEX(MgAmenCtrl,MATCH(SUBSTITUTE($H1766,"*","-"),MgAmenClave,0)),"")</f>
        <v/>
      </c>
      <c r="AC1766" s="20" t="n"/>
      <c r="AD1766" s="31">
        <f>IFERROR($X1766*(1-IF($AC1766="",$AL1766,VLOOKUP($AC1766,MgMad,2,0))),"")</f>
        <v/>
      </c>
      <c r="AE1766" s="28">
        <f>IFERROR(LOOKUP(AD1766,{0;0.01;0.1;1;10;100},{"Muy baja";"Muy baja";"Baja";"Media";"Alta";"Muy alta"}),"")</f>
        <v/>
      </c>
      <c r="AF1766" s="30">
        <f>T1766*AD1766</f>
        <v/>
      </c>
      <c r="AG1766" s="28">
        <f>IFERROR(LOOKUP(AF1766,{0;0.5;5;25},{"Bajo";"Medio";"Alto";"Crítico"}),"")</f>
        <v/>
      </c>
      <c r="AH1766" s="28">
        <f>IF(AG1766="","",IF(OR(AG1766="Crítico",AG1766="Alto"),"Mitigar",IF(AG1766="Medio","Mitigar","Aceptar y monitorear")))</f>
        <v/>
      </c>
      <c r="AI1766" s="21" t="n"/>
      <c r="AJ1766" s="21" t="n"/>
      <c r="AK1766" s="20" t="n"/>
      <c r="AL1766" s="77">
        <f>IFERROR(INDEX(MgAmenEfic,MATCH(SUBSTITUTE($H1766,"*","-"),MgAmenClave,0)),0)</f>
        <v/>
      </c>
    </row>
    <row r="1767" hidden="1" ht="90" customHeight="1" s="54">
      <c r="B1767" s="59" t="inlineStr">
        <is>
          <t>R-1762</t>
        </is>
      </c>
      <c r="C1767" s="59" t="inlineStr">
        <is>
          <t>FIN-15</t>
        </is>
      </c>
      <c r="D1767" s="64">
        <f>IFERROR(INDEX(MgNombre,MATCH($C1767,MgActId,0)),"")</f>
        <v/>
      </c>
      <c r="E1767" s="64">
        <f>IFERROR(INDEX(MgProceso,MATCH($C1767,MgActId,0)),"")</f>
        <v/>
      </c>
      <c r="F1767" s="64">
        <f>IFERROR(INDEX(MgTipo,MATCH($C1767,MgActId,0)),"")</f>
        <v/>
      </c>
      <c r="G1767" s="64">
        <f>IFERROR(INDEX(MgSubtipo,MATCH($C1767,MgActId,0)),"")</f>
        <v/>
      </c>
      <c r="H1767" s="59" t="inlineStr">
        <is>
          <t>E.14</t>
        </is>
      </c>
      <c r="I1767" s="64">
        <f>IFERROR(INDEX(MgAmenNombre,MATCH(SUBSTITUTE($H1767,"*","-"),MgAmenClave,0)),"")</f>
        <v/>
      </c>
      <c r="J1767" s="28">
        <f>IFERROR(INDEX(MgAmenGrupo,MATCH(SUBSTITUTE($H1767,"*","-"),MgAmenClave,0)),"")</f>
        <v/>
      </c>
      <c r="K1767" s="64">
        <f>IFERROR(INDEX('1. Matriz de Activos'!$Q$6:$Q$239,MATCH($C1767,MgActId,0)),"")</f>
        <v/>
      </c>
      <c r="L1767" s="64">
        <f>IFERROR(INDEX('1. Matriz de Activos'!$R$6:$R$239,MATCH($C1767,MgActId,0)),"")</f>
        <v/>
      </c>
      <c r="M1767" s="64">
        <f>IFERROR(INDEX('1. Matriz de Activos'!$S$6:$S$239,MATCH($C1767,MgActId,0)),"")</f>
        <v/>
      </c>
      <c r="N1767" s="28">
        <f>IFERROR(INDEX(MgAmenDegD,MATCH(SUBSTITUTE($H1767,"*","-"),MgAmenClave,0)),"No aplica")</f>
        <v/>
      </c>
      <c r="O1767" s="28">
        <f>IFERROR(INDEX(MgAmenDegI,MATCH(SUBSTITUTE($H1767,"*","-"),MgAmenClave,0)),"No aplica")</f>
        <v/>
      </c>
      <c r="P1767" s="28">
        <f>IFERROR(INDEX(MgAmenDegC,MATCH(SUBSTITUTE($H1767,"*","-"),MgAmenClave,0)),"No aplica")</f>
        <v/>
      </c>
      <c r="Q1767" s="29">
        <f>IFERROR(VLOOKUP(K1767,MgValor,2,0)*VLOOKUP(N1767,MgDeg,2,0),0)</f>
        <v/>
      </c>
      <c r="R1767" s="29">
        <f>IFERROR(VLOOKUP(L1767,MgValor,2,0)*VLOOKUP(O1767,MgDeg,2,0),0)</f>
        <v/>
      </c>
      <c r="S1767" s="29">
        <f>IFERROR(VLOOKUP(M1767,MgValor,2,0)*VLOOKUP(P1767,MgDeg,2,0),0)</f>
        <v/>
      </c>
      <c r="T1767" s="30">
        <f>MAX(Q1767:S1767)</f>
        <v/>
      </c>
      <c r="U1767" s="28">
        <f>IFERROR(LOOKUP(T1767,{0;0.5;1.5;3;4.5},{"Despreciable";"Bajo";"Medio";"Alto";"Muy alto"}),"")</f>
        <v/>
      </c>
      <c r="V1767" s="13">
        <f>IFERROR(INDEX(MgAmenFrec,MATCH(SUBSTITUTE($H1767,"*","-"),MgAmenClave,0)),"")</f>
        <v/>
      </c>
      <c r="W1767" s="28">
        <f>IFERROR(LOOKUP(X1767,{0;0.01;0.1;1;10;100},{"Muy baja";"Muy baja";"Baja";"Media";"Alta";"Muy alta"}),"")</f>
        <v/>
      </c>
      <c r="X1767" s="31">
        <f>IFERROR(VLOOKUP(V1767,MgFrec,2,0),0)</f>
        <v/>
      </c>
      <c r="Y1767" s="30">
        <f>T1767*X1767</f>
        <v/>
      </c>
      <c r="Z1767" s="28">
        <f>IFERROR(LOOKUP(Y1767,{0;0.5;5;25},{"Bajo";"Medio";"Alto";"Crítico"}),"")</f>
        <v/>
      </c>
      <c r="AA1767" s="64">
        <f>IF(T1767&gt;=3,IF(X1767&gt;=1,"Zona 1 — Crítica: impacto alto y ocurre al menos una vez al año","Zona 4 — Catastrófica poco probable: impacto alto pero excepcional"),IF(AND(T1767&lt;1.5,X1767&lt;1),"Zona 3 — Asumible: impacto bajo y muy poco frecuente","Zona 2 — Atención: riesgo intermedio"))</f>
        <v/>
      </c>
      <c r="AB1767" s="64">
        <f>IFERROR(INDEX(MgAmenCtrl,MATCH(SUBSTITUTE($H1767,"*","-"),MgAmenClave,0)),"")</f>
        <v/>
      </c>
      <c r="AC1767" s="20" t="n"/>
      <c r="AD1767" s="31">
        <f>IFERROR($X1767*(1-IF($AC1767="",$AL1767,VLOOKUP($AC1767,MgMad,2,0))),"")</f>
        <v/>
      </c>
      <c r="AE1767" s="28">
        <f>IFERROR(LOOKUP(AD1767,{0;0.01;0.1;1;10;100},{"Muy baja";"Muy baja";"Baja";"Media";"Alta";"Muy alta"}),"")</f>
        <v/>
      </c>
      <c r="AF1767" s="30">
        <f>T1767*AD1767</f>
        <v/>
      </c>
      <c r="AG1767" s="28">
        <f>IFERROR(LOOKUP(AF1767,{0;0.5;5;25},{"Bajo";"Medio";"Alto";"Crítico"}),"")</f>
        <v/>
      </c>
      <c r="AH1767" s="28">
        <f>IF(AG1767="","",IF(OR(AG1767="Crítico",AG1767="Alto"),"Mitigar",IF(AG1767="Medio","Mitigar","Aceptar y monitorear")))</f>
        <v/>
      </c>
      <c r="AI1767" s="21" t="n"/>
      <c r="AJ1767" s="21" t="n"/>
      <c r="AK1767" s="20" t="n"/>
      <c r="AL1767" s="77">
        <f>IFERROR(INDEX(MgAmenEfic,MATCH(SUBSTITUTE($H1767,"*","-"),MgAmenClave,0)),0)</f>
        <v/>
      </c>
    </row>
    <row r="1768" hidden="1" ht="105" customHeight="1" s="54">
      <c r="B1768" s="59" t="inlineStr">
        <is>
          <t>R-1763</t>
        </is>
      </c>
      <c r="C1768" s="59" t="inlineStr">
        <is>
          <t>FIN-15</t>
        </is>
      </c>
      <c r="D1768" s="64">
        <f>IFERROR(INDEX(MgNombre,MATCH($C1768,MgActId,0)),"")</f>
        <v/>
      </c>
      <c r="E1768" s="64">
        <f>IFERROR(INDEX(MgProceso,MATCH($C1768,MgActId,0)),"")</f>
        <v/>
      </c>
      <c r="F1768" s="64">
        <f>IFERROR(INDEX(MgTipo,MATCH($C1768,MgActId,0)),"")</f>
        <v/>
      </c>
      <c r="G1768" s="64">
        <f>IFERROR(INDEX(MgSubtipo,MATCH($C1768,MgActId,0)),"")</f>
        <v/>
      </c>
      <c r="H1768" s="59" t="inlineStr">
        <is>
          <t>E.19</t>
        </is>
      </c>
      <c r="I1768" s="64">
        <f>IFERROR(INDEX(MgAmenNombre,MATCH(SUBSTITUTE($H1768,"*","-"),MgAmenClave,0)),"")</f>
        <v/>
      </c>
      <c r="J1768" s="28">
        <f>IFERROR(INDEX(MgAmenGrupo,MATCH(SUBSTITUTE($H1768,"*","-"),MgAmenClave,0)),"")</f>
        <v/>
      </c>
      <c r="K1768" s="64">
        <f>IFERROR(INDEX('1. Matriz de Activos'!$Q$6:$Q$239,MATCH($C1768,MgActId,0)),"")</f>
        <v/>
      </c>
      <c r="L1768" s="64">
        <f>IFERROR(INDEX('1. Matriz de Activos'!$R$6:$R$239,MATCH($C1768,MgActId,0)),"")</f>
        <v/>
      </c>
      <c r="M1768" s="64">
        <f>IFERROR(INDEX('1. Matriz de Activos'!$S$6:$S$239,MATCH($C1768,MgActId,0)),"")</f>
        <v/>
      </c>
      <c r="N1768" s="28">
        <f>IFERROR(INDEX(MgAmenDegD,MATCH(SUBSTITUTE($H1768,"*","-"),MgAmenClave,0)),"No aplica")</f>
        <v/>
      </c>
      <c r="O1768" s="28">
        <f>IFERROR(INDEX(MgAmenDegI,MATCH(SUBSTITUTE($H1768,"*","-"),MgAmenClave,0)),"No aplica")</f>
        <v/>
      </c>
      <c r="P1768" s="28">
        <f>IFERROR(INDEX(MgAmenDegC,MATCH(SUBSTITUTE($H1768,"*","-"),MgAmenClave,0)),"No aplica")</f>
        <v/>
      </c>
      <c r="Q1768" s="29">
        <f>IFERROR(VLOOKUP(K1768,MgValor,2,0)*VLOOKUP(N1768,MgDeg,2,0),0)</f>
        <v/>
      </c>
      <c r="R1768" s="29">
        <f>IFERROR(VLOOKUP(L1768,MgValor,2,0)*VLOOKUP(O1768,MgDeg,2,0),0)</f>
        <v/>
      </c>
      <c r="S1768" s="29">
        <f>IFERROR(VLOOKUP(M1768,MgValor,2,0)*VLOOKUP(P1768,MgDeg,2,0),0)</f>
        <v/>
      </c>
      <c r="T1768" s="30">
        <f>MAX(Q1768:S1768)</f>
        <v/>
      </c>
      <c r="U1768" s="28">
        <f>IFERROR(LOOKUP(T1768,{0;0.5;1.5;3;4.5},{"Despreciable";"Bajo";"Medio";"Alto";"Muy alto"}),"")</f>
        <v/>
      </c>
      <c r="V1768" s="13">
        <f>IFERROR(INDEX(MgAmenFrec,MATCH(SUBSTITUTE($H1768,"*","-"),MgAmenClave,0)),"")</f>
        <v/>
      </c>
      <c r="W1768" s="28">
        <f>IFERROR(LOOKUP(X1768,{0;0.01;0.1;1;10;100},{"Muy baja";"Muy baja";"Baja";"Media";"Alta";"Muy alta"}),"")</f>
        <v/>
      </c>
      <c r="X1768" s="31">
        <f>IFERROR(VLOOKUP(V1768,MgFrec,2,0),0)</f>
        <v/>
      </c>
      <c r="Y1768" s="30">
        <f>T1768*X1768</f>
        <v/>
      </c>
      <c r="Z1768" s="28">
        <f>IFERROR(LOOKUP(Y1768,{0;0.5;5;25},{"Bajo";"Medio";"Alto";"Crítico"}),"")</f>
        <v/>
      </c>
      <c r="AA1768" s="64">
        <f>IF(T1768&gt;=3,IF(X1768&gt;=1,"Zona 1 — Crítica: impacto alto y ocurre al menos una vez al año","Zona 4 — Catastrófica poco probable: impacto alto pero excepcional"),IF(AND(T1768&lt;1.5,X1768&lt;1),"Zona 3 — Asumible: impacto bajo y muy poco frecuente","Zona 2 — Atención: riesgo intermedio"))</f>
        <v/>
      </c>
      <c r="AB1768" s="64">
        <f>IFERROR(INDEX(MgAmenCtrl,MATCH(SUBSTITUTE($H1768,"*","-"),MgAmenClave,0)),"")</f>
        <v/>
      </c>
      <c r="AC1768" s="20" t="n"/>
      <c r="AD1768" s="31">
        <f>IFERROR($X1768*(1-IF($AC1768="",$AL1768,VLOOKUP($AC1768,MgMad,2,0))),"")</f>
        <v/>
      </c>
      <c r="AE1768" s="28">
        <f>IFERROR(LOOKUP(AD1768,{0;0.01;0.1;1;10;100},{"Muy baja";"Muy baja";"Baja";"Media";"Alta";"Muy alta"}),"")</f>
        <v/>
      </c>
      <c r="AF1768" s="30">
        <f>T1768*AD1768</f>
        <v/>
      </c>
      <c r="AG1768" s="28">
        <f>IFERROR(LOOKUP(AF1768,{0;0.5;5;25},{"Bajo";"Medio";"Alto";"Crítico"}),"")</f>
        <v/>
      </c>
      <c r="AH1768" s="28">
        <f>IF(AG1768="","",IF(OR(AG1768="Crítico",AG1768="Alto"),"Mitigar",IF(AG1768="Medio","Mitigar","Aceptar y monitorear")))</f>
        <v/>
      </c>
      <c r="AI1768" s="21" t="n"/>
      <c r="AJ1768" s="21" t="n"/>
      <c r="AK1768" s="20" t="n"/>
      <c r="AL1768" s="77">
        <f>IFERROR(INDEX(MgAmenEfic,MATCH(SUBSTITUTE($H1768,"*","-"),MgAmenClave,0)),0)</f>
        <v/>
      </c>
    </row>
    <row r="1769" hidden="1" ht="135" customHeight="1" s="54">
      <c r="B1769" s="59" t="inlineStr">
        <is>
          <t>R-1764</t>
        </is>
      </c>
      <c r="C1769" s="59" t="inlineStr">
        <is>
          <t>FIN-15</t>
        </is>
      </c>
      <c r="D1769" s="64">
        <f>IFERROR(INDEX(MgNombre,MATCH($C1769,MgActId,0)),"")</f>
        <v/>
      </c>
      <c r="E1769" s="64">
        <f>IFERROR(INDEX(MgProceso,MATCH($C1769,MgActId,0)),"")</f>
        <v/>
      </c>
      <c r="F1769" s="64">
        <f>IFERROR(INDEX(MgTipo,MATCH($C1769,MgActId,0)),"")</f>
        <v/>
      </c>
      <c r="G1769" s="64">
        <f>IFERROR(INDEX(MgSubtipo,MATCH($C1769,MgActId,0)),"")</f>
        <v/>
      </c>
      <c r="H1769" s="59" t="inlineStr">
        <is>
          <t>E.28</t>
        </is>
      </c>
      <c r="I1769" s="64">
        <f>IFERROR(INDEX(MgAmenNombre,MATCH(SUBSTITUTE($H1769,"*","-"),MgAmenClave,0)),"")</f>
        <v/>
      </c>
      <c r="J1769" s="28">
        <f>IFERROR(INDEX(MgAmenGrupo,MATCH(SUBSTITUTE($H1769,"*","-"),MgAmenClave,0)),"")</f>
        <v/>
      </c>
      <c r="K1769" s="64">
        <f>IFERROR(INDEX('1. Matriz de Activos'!$Q$6:$Q$239,MATCH($C1769,MgActId,0)),"")</f>
        <v/>
      </c>
      <c r="L1769" s="64">
        <f>IFERROR(INDEX('1. Matriz de Activos'!$R$6:$R$239,MATCH($C1769,MgActId,0)),"")</f>
        <v/>
      </c>
      <c r="M1769" s="64">
        <f>IFERROR(INDEX('1. Matriz de Activos'!$S$6:$S$239,MATCH($C1769,MgActId,0)),"")</f>
        <v/>
      </c>
      <c r="N1769" s="28">
        <f>IFERROR(INDEX(MgAmenDegD,MATCH(SUBSTITUTE($H1769,"*","-"),MgAmenClave,0)),"No aplica")</f>
        <v/>
      </c>
      <c r="O1769" s="28">
        <f>IFERROR(INDEX(MgAmenDegI,MATCH(SUBSTITUTE($H1769,"*","-"),MgAmenClave,0)),"No aplica")</f>
        <v/>
      </c>
      <c r="P1769" s="28">
        <f>IFERROR(INDEX(MgAmenDegC,MATCH(SUBSTITUTE($H1769,"*","-"),MgAmenClave,0)),"No aplica")</f>
        <v/>
      </c>
      <c r="Q1769" s="29">
        <f>IFERROR(VLOOKUP(K1769,MgValor,2,0)*VLOOKUP(N1769,MgDeg,2,0),0)</f>
        <v/>
      </c>
      <c r="R1769" s="29">
        <f>IFERROR(VLOOKUP(L1769,MgValor,2,0)*VLOOKUP(O1769,MgDeg,2,0),0)</f>
        <v/>
      </c>
      <c r="S1769" s="29">
        <f>IFERROR(VLOOKUP(M1769,MgValor,2,0)*VLOOKUP(P1769,MgDeg,2,0),0)</f>
        <v/>
      </c>
      <c r="T1769" s="30">
        <f>MAX(Q1769:S1769)</f>
        <v/>
      </c>
      <c r="U1769" s="28">
        <f>IFERROR(LOOKUP(T1769,{0;0.5;1.5;3;4.5},{"Despreciable";"Bajo";"Medio";"Alto";"Muy alto"}),"")</f>
        <v/>
      </c>
      <c r="V1769" s="13">
        <f>IFERROR(INDEX(MgAmenFrec,MATCH(SUBSTITUTE($H1769,"*","-"),MgAmenClave,0)),"")</f>
        <v/>
      </c>
      <c r="W1769" s="28">
        <f>IFERROR(LOOKUP(X1769,{0;0.01;0.1;1;10;100},{"Muy baja";"Muy baja";"Baja";"Media";"Alta";"Muy alta"}),"")</f>
        <v/>
      </c>
      <c r="X1769" s="31">
        <f>IFERROR(VLOOKUP(V1769,MgFrec,2,0),0)</f>
        <v/>
      </c>
      <c r="Y1769" s="30">
        <f>T1769*X1769</f>
        <v/>
      </c>
      <c r="Z1769" s="28">
        <f>IFERROR(LOOKUP(Y1769,{0;0.5;5;25},{"Bajo";"Medio";"Alto";"Crítico"}),"")</f>
        <v/>
      </c>
      <c r="AA1769" s="64">
        <f>IF(T1769&gt;=3,IF(X1769&gt;=1,"Zona 1 — Crítica: impacto alto y ocurre al menos una vez al año","Zona 4 — Catastrófica poco probable: impacto alto pero excepcional"),IF(AND(T1769&lt;1.5,X1769&lt;1),"Zona 3 — Asumible: impacto bajo y muy poco frecuente","Zona 2 — Atención: riesgo intermedio"))</f>
        <v/>
      </c>
      <c r="AB1769" s="64">
        <f>IFERROR(INDEX(MgAmenCtrl,MATCH(SUBSTITUTE($H1769,"*","-"),MgAmenClave,0)),"")</f>
        <v/>
      </c>
      <c r="AC1769" s="20" t="n"/>
      <c r="AD1769" s="31">
        <f>IFERROR($X1769*(1-IF($AC1769="",$AL1769,VLOOKUP($AC1769,MgMad,2,0))),"")</f>
        <v/>
      </c>
      <c r="AE1769" s="28">
        <f>IFERROR(LOOKUP(AD1769,{0;0.01;0.1;1;10;100},{"Muy baja";"Muy baja";"Baja";"Media";"Alta";"Muy alta"}),"")</f>
        <v/>
      </c>
      <c r="AF1769" s="30">
        <f>T1769*AD1769</f>
        <v/>
      </c>
      <c r="AG1769" s="28">
        <f>IFERROR(LOOKUP(AF1769,{0;0.5;5;25},{"Bajo";"Medio";"Alto";"Crítico"}),"")</f>
        <v/>
      </c>
      <c r="AH1769" s="28">
        <f>IF(AG1769="","",IF(OR(AG1769="Crítico",AG1769="Alto"),"Mitigar",IF(AG1769="Medio","Mitigar","Aceptar y monitorear")))</f>
        <v/>
      </c>
      <c r="AI1769" s="21" t="n"/>
      <c r="AJ1769" s="21" t="n"/>
      <c r="AK1769" s="20" t="n"/>
      <c r="AL1769" s="77">
        <f>IFERROR(INDEX(MgAmenEfic,MATCH(SUBSTITUTE($H1769,"*","-"),MgAmenClave,0)),0)</f>
        <v/>
      </c>
    </row>
    <row r="1770" hidden="1" ht="75" customHeight="1" s="54">
      <c r="B1770" s="59" t="inlineStr">
        <is>
          <t>R-1765</t>
        </is>
      </c>
      <c r="C1770" s="59" t="inlineStr">
        <is>
          <t>FIN-15</t>
        </is>
      </c>
      <c r="D1770" s="64">
        <f>IFERROR(INDEX(MgNombre,MATCH($C1770,MgActId,0)),"")</f>
        <v/>
      </c>
      <c r="E1770" s="64">
        <f>IFERROR(INDEX(MgProceso,MATCH($C1770,MgActId,0)),"")</f>
        <v/>
      </c>
      <c r="F1770" s="64">
        <f>IFERROR(INDEX(MgTipo,MATCH($C1770,MgActId,0)),"")</f>
        <v/>
      </c>
      <c r="G1770" s="64">
        <f>IFERROR(INDEX(MgSubtipo,MATCH($C1770,MgActId,0)),"")</f>
        <v/>
      </c>
      <c r="H1770" s="59" t="inlineStr">
        <is>
          <t>A.28</t>
        </is>
      </c>
      <c r="I1770" s="64">
        <f>IFERROR(INDEX(MgAmenNombre,MATCH(SUBSTITUTE($H1770,"*","-"),MgAmenClave,0)),"")</f>
        <v/>
      </c>
      <c r="J1770" s="28">
        <f>IFERROR(INDEX(MgAmenGrupo,MATCH(SUBSTITUTE($H1770,"*","-"),MgAmenClave,0)),"")</f>
        <v/>
      </c>
      <c r="K1770" s="64">
        <f>IFERROR(INDEX('1. Matriz de Activos'!$Q$6:$Q$239,MATCH($C1770,MgActId,0)),"")</f>
        <v/>
      </c>
      <c r="L1770" s="64">
        <f>IFERROR(INDEX('1. Matriz de Activos'!$R$6:$R$239,MATCH($C1770,MgActId,0)),"")</f>
        <v/>
      </c>
      <c r="M1770" s="64">
        <f>IFERROR(INDEX('1. Matriz de Activos'!$S$6:$S$239,MATCH($C1770,MgActId,0)),"")</f>
        <v/>
      </c>
      <c r="N1770" s="28">
        <f>IFERROR(INDEX(MgAmenDegD,MATCH(SUBSTITUTE($H1770,"*","-"),MgAmenClave,0)),"No aplica")</f>
        <v/>
      </c>
      <c r="O1770" s="28">
        <f>IFERROR(INDEX(MgAmenDegI,MATCH(SUBSTITUTE($H1770,"*","-"),MgAmenClave,0)),"No aplica")</f>
        <v/>
      </c>
      <c r="P1770" s="28">
        <f>IFERROR(INDEX(MgAmenDegC,MATCH(SUBSTITUTE($H1770,"*","-"),MgAmenClave,0)),"No aplica")</f>
        <v/>
      </c>
      <c r="Q1770" s="29">
        <f>IFERROR(VLOOKUP(K1770,MgValor,2,0)*VLOOKUP(N1770,MgDeg,2,0),0)</f>
        <v/>
      </c>
      <c r="R1770" s="29">
        <f>IFERROR(VLOOKUP(L1770,MgValor,2,0)*VLOOKUP(O1770,MgDeg,2,0),0)</f>
        <v/>
      </c>
      <c r="S1770" s="29">
        <f>IFERROR(VLOOKUP(M1770,MgValor,2,0)*VLOOKUP(P1770,MgDeg,2,0),0)</f>
        <v/>
      </c>
      <c r="T1770" s="30">
        <f>MAX(Q1770:S1770)</f>
        <v/>
      </c>
      <c r="U1770" s="28">
        <f>IFERROR(LOOKUP(T1770,{0;0.5;1.5;3;4.5},{"Despreciable";"Bajo";"Medio";"Alto";"Muy alto"}),"")</f>
        <v/>
      </c>
      <c r="V1770" s="13">
        <f>IFERROR(INDEX(MgAmenFrec,MATCH(SUBSTITUTE($H1770,"*","-"),MgAmenClave,0)),"")</f>
        <v/>
      </c>
      <c r="W1770" s="28">
        <f>IFERROR(LOOKUP(X1770,{0;0.01;0.1;1;10;100},{"Muy baja";"Muy baja";"Baja";"Media";"Alta";"Muy alta"}),"")</f>
        <v/>
      </c>
      <c r="X1770" s="31">
        <f>IFERROR(VLOOKUP(V1770,MgFrec,2,0),0)</f>
        <v/>
      </c>
      <c r="Y1770" s="30">
        <f>T1770*X1770</f>
        <v/>
      </c>
      <c r="Z1770" s="28">
        <f>IFERROR(LOOKUP(Y1770,{0;0.5;5;25},{"Bajo";"Medio";"Alto";"Crítico"}),"")</f>
        <v/>
      </c>
      <c r="AA1770" s="64">
        <f>IF(T1770&gt;=3,IF(X1770&gt;=1,"Zona 1 — Crítica: impacto alto y ocurre al menos una vez al año","Zona 4 — Catastrófica poco probable: impacto alto pero excepcional"),IF(AND(T1770&lt;1.5,X1770&lt;1),"Zona 3 — Asumible: impacto bajo y muy poco frecuente","Zona 2 — Atención: riesgo intermedio"))</f>
        <v/>
      </c>
      <c r="AB1770" s="64">
        <f>IFERROR(INDEX(MgAmenCtrl,MATCH(SUBSTITUTE($H1770,"*","-"),MgAmenClave,0)),"")</f>
        <v/>
      </c>
      <c r="AC1770" s="20" t="n"/>
      <c r="AD1770" s="31">
        <f>IFERROR($X1770*(1-IF($AC1770="",$AL1770,VLOOKUP($AC1770,MgMad,2,0))),"")</f>
        <v/>
      </c>
      <c r="AE1770" s="28">
        <f>IFERROR(LOOKUP(AD1770,{0;0.01;0.1;1;10;100},{"Muy baja";"Muy baja";"Baja";"Media";"Alta";"Muy alta"}),"")</f>
        <v/>
      </c>
      <c r="AF1770" s="30">
        <f>T1770*AD1770</f>
        <v/>
      </c>
      <c r="AG1770" s="28">
        <f>IFERROR(LOOKUP(AF1770,{0;0.5;5;25},{"Bajo";"Medio";"Alto";"Crítico"}),"")</f>
        <v/>
      </c>
      <c r="AH1770" s="28">
        <f>IF(AG1770="","",IF(OR(AG1770="Crítico",AG1770="Alto"),"Mitigar",IF(AG1770="Medio","Mitigar","Aceptar y monitorear")))</f>
        <v/>
      </c>
      <c r="AI1770" s="21" t="n"/>
      <c r="AJ1770" s="21" t="n"/>
      <c r="AK1770" s="20" t="n"/>
      <c r="AL1770" s="77">
        <f>IFERROR(INDEX(MgAmenEfic,MATCH(SUBSTITUTE($H1770,"*","-"),MgAmenClave,0)),0)</f>
        <v/>
      </c>
    </row>
    <row r="1771" hidden="1" ht="90" customHeight="1" s="54">
      <c r="B1771" s="59" t="inlineStr">
        <is>
          <t>R-1766</t>
        </is>
      </c>
      <c r="C1771" s="59" t="inlineStr">
        <is>
          <t>FIN-15</t>
        </is>
      </c>
      <c r="D1771" s="64">
        <f>IFERROR(INDEX(MgNombre,MATCH($C1771,MgActId,0)),"")</f>
        <v/>
      </c>
      <c r="E1771" s="64">
        <f>IFERROR(INDEX(MgProceso,MATCH($C1771,MgActId,0)),"")</f>
        <v/>
      </c>
      <c r="F1771" s="64">
        <f>IFERROR(INDEX(MgTipo,MATCH($C1771,MgActId,0)),"")</f>
        <v/>
      </c>
      <c r="G1771" s="64">
        <f>IFERROR(INDEX(MgSubtipo,MATCH($C1771,MgActId,0)),"")</f>
        <v/>
      </c>
      <c r="H1771" s="59" t="inlineStr">
        <is>
          <t>A.29</t>
        </is>
      </c>
      <c r="I1771" s="64">
        <f>IFERROR(INDEX(MgAmenNombre,MATCH(SUBSTITUTE($H1771,"*","-"),MgAmenClave,0)),"")</f>
        <v/>
      </c>
      <c r="J1771" s="28">
        <f>IFERROR(INDEX(MgAmenGrupo,MATCH(SUBSTITUTE($H1771,"*","-"),MgAmenClave,0)),"")</f>
        <v/>
      </c>
      <c r="K1771" s="64">
        <f>IFERROR(INDEX('1. Matriz de Activos'!$Q$6:$Q$239,MATCH($C1771,MgActId,0)),"")</f>
        <v/>
      </c>
      <c r="L1771" s="64">
        <f>IFERROR(INDEX('1. Matriz de Activos'!$R$6:$R$239,MATCH($C1771,MgActId,0)),"")</f>
        <v/>
      </c>
      <c r="M1771" s="64">
        <f>IFERROR(INDEX('1. Matriz de Activos'!$S$6:$S$239,MATCH($C1771,MgActId,0)),"")</f>
        <v/>
      </c>
      <c r="N1771" s="28">
        <f>IFERROR(INDEX(MgAmenDegD,MATCH(SUBSTITUTE($H1771,"*","-"),MgAmenClave,0)),"No aplica")</f>
        <v/>
      </c>
      <c r="O1771" s="28">
        <f>IFERROR(INDEX(MgAmenDegI,MATCH(SUBSTITUTE($H1771,"*","-"),MgAmenClave,0)),"No aplica")</f>
        <v/>
      </c>
      <c r="P1771" s="28">
        <f>IFERROR(INDEX(MgAmenDegC,MATCH(SUBSTITUTE($H1771,"*","-"),MgAmenClave,0)),"No aplica")</f>
        <v/>
      </c>
      <c r="Q1771" s="29">
        <f>IFERROR(VLOOKUP(K1771,MgValor,2,0)*VLOOKUP(N1771,MgDeg,2,0),0)</f>
        <v/>
      </c>
      <c r="R1771" s="29">
        <f>IFERROR(VLOOKUP(L1771,MgValor,2,0)*VLOOKUP(O1771,MgDeg,2,0),0)</f>
        <v/>
      </c>
      <c r="S1771" s="29">
        <f>IFERROR(VLOOKUP(M1771,MgValor,2,0)*VLOOKUP(P1771,MgDeg,2,0),0)</f>
        <v/>
      </c>
      <c r="T1771" s="30">
        <f>MAX(Q1771:S1771)</f>
        <v/>
      </c>
      <c r="U1771" s="28">
        <f>IFERROR(LOOKUP(T1771,{0;0.5;1.5;3;4.5},{"Despreciable";"Bajo";"Medio";"Alto";"Muy alto"}),"")</f>
        <v/>
      </c>
      <c r="V1771" s="13">
        <f>IFERROR(INDEX(MgAmenFrec,MATCH(SUBSTITUTE($H1771,"*","-"),MgAmenClave,0)),"")</f>
        <v/>
      </c>
      <c r="W1771" s="28">
        <f>IFERROR(LOOKUP(X1771,{0;0.01;0.1;1;10;100},{"Muy baja";"Muy baja";"Baja";"Media";"Alta";"Muy alta"}),"")</f>
        <v/>
      </c>
      <c r="X1771" s="31">
        <f>IFERROR(VLOOKUP(V1771,MgFrec,2,0),0)</f>
        <v/>
      </c>
      <c r="Y1771" s="30">
        <f>T1771*X1771</f>
        <v/>
      </c>
      <c r="Z1771" s="28">
        <f>IFERROR(LOOKUP(Y1771,{0;0.5;5;25},{"Bajo";"Medio";"Alto";"Crítico"}),"")</f>
        <v/>
      </c>
      <c r="AA1771" s="64">
        <f>IF(T1771&gt;=3,IF(X1771&gt;=1,"Zona 1 — Crítica: impacto alto y ocurre al menos una vez al año","Zona 4 — Catastrófica poco probable: impacto alto pero excepcional"),IF(AND(T1771&lt;1.5,X1771&lt;1),"Zona 3 — Asumible: impacto bajo y muy poco frecuente","Zona 2 — Atención: riesgo intermedio"))</f>
        <v/>
      </c>
      <c r="AB1771" s="64">
        <f>IFERROR(INDEX(MgAmenCtrl,MATCH(SUBSTITUTE($H1771,"*","-"),MgAmenClave,0)),"")</f>
        <v/>
      </c>
      <c r="AC1771" s="20" t="n"/>
      <c r="AD1771" s="31">
        <f>IFERROR($X1771*(1-IF($AC1771="",$AL1771,VLOOKUP($AC1771,MgMad,2,0))),"")</f>
        <v/>
      </c>
      <c r="AE1771" s="28">
        <f>IFERROR(LOOKUP(AD1771,{0;0.01;0.1;1;10;100},{"Muy baja";"Muy baja";"Baja";"Media";"Alta";"Muy alta"}),"")</f>
        <v/>
      </c>
      <c r="AF1771" s="30">
        <f>T1771*AD1771</f>
        <v/>
      </c>
      <c r="AG1771" s="28">
        <f>IFERROR(LOOKUP(AF1771,{0;0.5;5;25},{"Bajo";"Medio";"Alto";"Crítico"}),"")</f>
        <v/>
      </c>
      <c r="AH1771" s="28">
        <f>IF(AG1771="","",IF(OR(AG1771="Crítico",AG1771="Alto"),"Mitigar",IF(AG1771="Medio","Mitigar","Aceptar y monitorear")))</f>
        <v/>
      </c>
      <c r="AI1771" s="21" t="n"/>
      <c r="AJ1771" s="21" t="n"/>
      <c r="AK1771" s="20" t="n"/>
      <c r="AL1771" s="77">
        <f>IFERROR(INDEX(MgAmenEfic,MATCH(SUBSTITUTE($H1771,"*","-"),MgAmenClave,0)),0)</f>
        <v/>
      </c>
    </row>
    <row r="1772" hidden="1" ht="105" customHeight="1" s="54">
      <c r="B1772" s="59" t="inlineStr">
        <is>
          <t>R-1767</t>
        </is>
      </c>
      <c r="C1772" s="59" t="inlineStr">
        <is>
          <t>FIN-15</t>
        </is>
      </c>
      <c r="D1772" s="64">
        <f>IFERROR(INDEX(MgNombre,MATCH($C1772,MgActId,0)),"")</f>
        <v/>
      </c>
      <c r="E1772" s="64">
        <f>IFERROR(INDEX(MgProceso,MATCH($C1772,MgActId,0)),"")</f>
        <v/>
      </c>
      <c r="F1772" s="64">
        <f>IFERROR(INDEX(MgTipo,MATCH($C1772,MgActId,0)),"")</f>
        <v/>
      </c>
      <c r="G1772" s="64">
        <f>IFERROR(INDEX(MgSubtipo,MATCH($C1772,MgActId,0)),"")</f>
        <v/>
      </c>
      <c r="H1772" s="59" t="inlineStr">
        <is>
          <t>A.30</t>
        </is>
      </c>
      <c r="I1772" s="64">
        <f>IFERROR(INDEX(MgAmenNombre,MATCH(SUBSTITUTE($H1772,"*","-"),MgAmenClave,0)),"")</f>
        <v/>
      </c>
      <c r="J1772" s="28">
        <f>IFERROR(INDEX(MgAmenGrupo,MATCH(SUBSTITUTE($H1772,"*","-"),MgAmenClave,0)),"")</f>
        <v/>
      </c>
      <c r="K1772" s="64">
        <f>IFERROR(INDEX('1. Matriz de Activos'!$Q$6:$Q$239,MATCH($C1772,MgActId,0)),"")</f>
        <v/>
      </c>
      <c r="L1772" s="64">
        <f>IFERROR(INDEX('1. Matriz de Activos'!$R$6:$R$239,MATCH($C1772,MgActId,0)),"")</f>
        <v/>
      </c>
      <c r="M1772" s="64">
        <f>IFERROR(INDEX('1. Matriz de Activos'!$S$6:$S$239,MATCH($C1772,MgActId,0)),"")</f>
        <v/>
      </c>
      <c r="N1772" s="28">
        <f>IFERROR(INDEX(MgAmenDegD,MATCH(SUBSTITUTE($H1772,"*","-"),MgAmenClave,0)),"No aplica")</f>
        <v/>
      </c>
      <c r="O1772" s="28">
        <f>IFERROR(INDEX(MgAmenDegI,MATCH(SUBSTITUTE($H1772,"*","-"),MgAmenClave,0)),"No aplica")</f>
        <v/>
      </c>
      <c r="P1772" s="28">
        <f>IFERROR(INDEX(MgAmenDegC,MATCH(SUBSTITUTE($H1772,"*","-"),MgAmenClave,0)),"No aplica")</f>
        <v/>
      </c>
      <c r="Q1772" s="29">
        <f>IFERROR(VLOOKUP(K1772,MgValor,2,0)*VLOOKUP(N1772,MgDeg,2,0),0)</f>
        <v/>
      </c>
      <c r="R1772" s="29">
        <f>IFERROR(VLOOKUP(L1772,MgValor,2,0)*VLOOKUP(O1772,MgDeg,2,0),0)</f>
        <v/>
      </c>
      <c r="S1772" s="29">
        <f>IFERROR(VLOOKUP(M1772,MgValor,2,0)*VLOOKUP(P1772,MgDeg,2,0),0)</f>
        <v/>
      </c>
      <c r="T1772" s="30">
        <f>MAX(Q1772:S1772)</f>
        <v/>
      </c>
      <c r="U1772" s="28">
        <f>IFERROR(LOOKUP(T1772,{0;0.5;1.5;3;4.5},{"Despreciable";"Bajo";"Medio";"Alto";"Muy alto"}),"")</f>
        <v/>
      </c>
      <c r="V1772" s="13">
        <f>IFERROR(INDEX(MgAmenFrec,MATCH(SUBSTITUTE($H1772,"*","-"),MgAmenClave,0)),"")</f>
        <v/>
      </c>
      <c r="W1772" s="28">
        <f>IFERROR(LOOKUP(X1772,{0;0.01;0.1;1;10;100},{"Muy baja";"Muy baja";"Baja";"Media";"Alta";"Muy alta"}),"")</f>
        <v/>
      </c>
      <c r="X1772" s="31">
        <f>IFERROR(VLOOKUP(V1772,MgFrec,2,0),0)</f>
        <v/>
      </c>
      <c r="Y1772" s="30">
        <f>T1772*X1772</f>
        <v/>
      </c>
      <c r="Z1772" s="28">
        <f>IFERROR(LOOKUP(Y1772,{0;0.5;5;25},{"Bajo";"Medio";"Alto";"Crítico"}),"")</f>
        <v/>
      </c>
      <c r="AA1772" s="64">
        <f>IF(T1772&gt;=3,IF(X1772&gt;=1,"Zona 1 — Crítica: impacto alto y ocurre al menos una vez al año","Zona 4 — Catastrófica poco probable: impacto alto pero excepcional"),IF(AND(T1772&lt;1.5,X1772&lt;1),"Zona 3 — Asumible: impacto bajo y muy poco frecuente","Zona 2 — Atención: riesgo intermedio"))</f>
        <v/>
      </c>
      <c r="AB1772" s="64">
        <f>IFERROR(INDEX(MgAmenCtrl,MATCH(SUBSTITUTE($H1772,"*","-"),MgAmenClave,0)),"")</f>
        <v/>
      </c>
      <c r="AC1772" s="20" t="n"/>
      <c r="AD1772" s="31">
        <f>IFERROR($X1772*(1-IF($AC1772="",$AL1772,VLOOKUP($AC1772,MgMad,2,0))),"")</f>
        <v/>
      </c>
      <c r="AE1772" s="28">
        <f>IFERROR(LOOKUP(AD1772,{0;0.01;0.1;1;10;100},{"Muy baja";"Muy baja";"Baja";"Media";"Alta";"Muy alta"}),"")</f>
        <v/>
      </c>
      <c r="AF1772" s="30">
        <f>T1772*AD1772</f>
        <v/>
      </c>
      <c r="AG1772" s="28">
        <f>IFERROR(LOOKUP(AF1772,{0;0.5;5;25},{"Bajo";"Medio";"Alto";"Crítico"}),"")</f>
        <v/>
      </c>
      <c r="AH1772" s="28">
        <f>IF(AG1772="","",IF(OR(AG1772="Crítico",AG1772="Alto"),"Mitigar",IF(AG1772="Medio","Mitigar","Aceptar y monitorear")))</f>
        <v/>
      </c>
      <c r="AI1772" s="21" t="n"/>
      <c r="AJ1772" s="21" t="n"/>
      <c r="AK1772" s="20" t="n"/>
      <c r="AL1772" s="77">
        <f>IFERROR(INDEX(MgAmenEfic,MATCH(SUBSTITUTE($H1772,"*","-"),MgAmenClave,0)),0)</f>
        <v/>
      </c>
    </row>
    <row r="1773" hidden="1" ht="150" customHeight="1" s="54">
      <c r="B1773" s="59" t="inlineStr">
        <is>
          <t>R-1768</t>
        </is>
      </c>
      <c r="C1773" s="59" t="inlineStr">
        <is>
          <t>TAL-16</t>
        </is>
      </c>
      <c r="D1773" s="64">
        <f>IFERROR(INDEX(MgNombre,MATCH($C1773,MgActId,0)),"")</f>
        <v/>
      </c>
      <c r="E1773" s="64">
        <f>IFERROR(INDEX(MgProceso,MATCH($C1773,MgActId,0)),"")</f>
        <v/>
      </c>
      <c r="F1773" s="64">
        <f>IFERROR(INDEX(MgTipo,MATCH($C1773,MgActId,0)),"")</f>
        <v/>
      </c>
      <c r="G1773" s="64">
        <f>IFERROR(INDEX(MgSubtipo,MATCH($C1773,MgActId,0)),"")</f>
        <v/>
      </c>
      <c r="H1773" s="59" t="inlineStr">
        <is>
          <t>E.7</t>
        </is>
      </c>
      <c r="I1773" s="64">
        <f>IFERROR(INDEX(MgAmenNombre,MATCH(SUBSTITUTE($H1773,"*","-"),MgAmenClave,0)),"")</f>
        <v/>
      </c>
      <c r="J1773" s="28">
        <f>IFERROR(INDEX(MgAmenGrupo,MATCH(SUBSTITUTE($H1773,"*","-"),MgAmenClave,0)),"")</f>
        <v/>
      </c>
      <c r="K1773" s="64">
        <f>IFERROR(INDEX('1. Matriz de Activos'!$Q$6:$Q$239,MATCH($C1773,MgActId,0)),"")</f>
        <v/>
      </c>
      <c r="L1773" s="64">
        <f>IFERROR(INDEX('1. Matriz de Activos'!$R$6:$R$239,MATCH($C1773,MgActId,0)),"")</f>
        <v/>
      </c>
      <c r="M1773" s="64">
        <f>IFERROR(INDEX('1. Matriz de Activos'!$S$6:$S$239,MATCH($C1773,MgActId,0)),"")</f>
        <v/>
      </c>
      <c r="N1773" s="28">
        <f>IFERROR(INDEX(MgAmenDegD,MATCH(SUBSTITUTE($H1773,"*","-"),MgAmenClave,0)),"No aplica")</f>
        <v/>
      </c>
      <c r="O1773" s="28">
        <f>IFERROR(INDEX(MgAmenDegI,MATCH(SUBSTITUTE($H1773,"*","-"),MgAmenClave,0)),"No aplica")</f>
        <v/>
      </c>
      <c r="P1773" s="28">
        <f>IFERROR(INDEX(MgAmenDegC,MATCH(SUBSTITUTE($H1773,"*","-"),MgAmenClave,0)),"No aplica")</f>
        <v/>
      </c>
      <c r="Q1773" s="29">
        <f>IFERROR(VLOOKUP(K1773,MgValor,2,0)*VLOOKUP(N1773,MgDeg,2,0),0)</f>
        <v/>
      </c>
      <c r="R1773" s="29">
        <f>IFERROR(VLOOKUP(L1773,MgValor,2,0)*VLOOKUP(O1773,MgDeg,2,0),0)</f>
        <v/>
      </c>
      <c r="S1773" s="29">
        <f>IFERROR(VLOOKUP(M1773,MgValor,2,0)*VLOOKUP(P1773,MgDeg,2,0),0)</f>
        <v/>
      </c>
      <c r="T1773" s="30">
        <f>MAX(Q1773:S1773)</f>
        <v/>
      </c>
      <c r="U1773" s="28">
        <f>IFERROR(LOOKUP(T1773,{0;0.5;1.5;3;4.5},{"Despreciable";"Bajo";"Medio";"Alto";"Muy alto"}),"")</f>
        <v/>
      </c>
      <c r="V1773" s="13">
        <f>IFERROR(INDEX(MgAmenFrec,MATCH(SUBSTITUTE($H1773,"*","-"),MgAmenClave,0)),"")</f>
        <v/>
      </c>
      <c r="W1773" s="28">
        <f>IFERROR(LOOKUP(X1773,{0;0.01;0.1;1;10;100},{"Muy baja";"Muy baja";"Baja";"Media";"Alta";"Muy alta"}),"")</f>
        <v/>
      </c>
      <c r="X1773" s="31">
        <f>IFERROR(VLOOKUP(V1773,MgFrec,2,0),0)</f>
        <v/>
      </c>
      <c r="Y1773" s="30">
        <f>T1773*X1773</f>
        <v/>
      </c>
      <c r="Z1773" s="28">
        <f>IFERROR(LOOKUP(Y1773,{0;0.5;5;25},{"Bajo";"Medio";"Alto";"Crítico"}),"")</f>
        <v/>
      </c>
      <c r="AA1773" s="64">
        <f>IF(T1773&gt;=3,IF(X1773&gt;=1,"Zona 1 — Crítica: impacto alto y ocurre al menos una vez al año","Zona 4 — Catastrófica poco probable: impacto alto pero excepcional"),IF(AND(T1773&lt;1.5,X1773&lt;1),"Zona 3 — Asumible: impacto bajo y muy poco frecuente","Zona 2 — Atención: riesgo intermedio"))</f>
        <v/>
      </c>
      <c r="AB1773" s="64">
        <f>IFERROR(INDEX(MgAmenCtrl,MATCH(SUBSTITUTE($H1773,"*","-"),MgAmenClave,0)),"")</f>
        <v/>
      </c>
      <c r="AC1773" s="20" t="n"/>
      <c r="AD1773" s="31">
        <f>IFERROR($X1773*(1-IF($AC1773="",$AL1773,VLOOKUP($AC1773,MgMad,2,0))),"")</f>
        <v/>
      </c>
      <c r="AE1773" s="28">
        <f>IFERROR(LOOKUP(AD1773,{0;0.01;0.1;1;10;100},{"Muy baja";"Muy baja";"Baja";"Media";"Alta";"Muy alta"}),"")</f>
        <v/>
      </c>
      <c r="AF1773" s="30">
        <f>T1773*AD1773</f>
        <v/>
      </c>
      <c r="AG1773" s="28">
        <f>IFERROR(LOOKUP(AF1773,{0;0.5;5;25},{"Bajo";"Medio";"Alto";"Crítico"}),"")</f>
        <v/>
      </c>
      <c r="AH1773" s="28">
        <f>IF(AG1773="","",IF(OR(AG1773="Crítico",AG1773="Alto"),"Mitigar",IF(AG1773="Medio","Mitigar","Aceptar y monitorear")))</f>
        <v/>
      </c>
      <c r="AI1773" s="21" t="n"/>
      <c r="AJ1773" s="21" t="n"/>
      <c r="AK1773" s="20" t="n"/>
      <c r="AL1773" s="77">
        <f>IFERROR(INDEX(MgAmenEfic,MATCH(SUBSTITUTE($H1773,"*","-"),MgAmenClave,0)),0)</f>
        <v/>
      </c>
    </row>
    <row r="1774" hidden="1" ht="90" customHeight="1" s="54">
      <c r="B1774" s="59" t="inlineStr">
        <is>
          <t>R-1769</t>
        </is>
      </c>
      <c r="C1774" s="59" t="inlineStr">
        <is>
          <t>TAL-16</t>
        </is>
      </c>
      <c r="D1774" s="64">
        <f>IFERROR(INDEX(MgNombre,MATCH($C1774,MgActId,0)),"")</f>
        <v/>
      </c>
      <c r="E1774" s="64">
        <f>IFERROR(INDEX(MgProceso,MATCH($C1774,MgActId,0)),"")</f>
        <v/>
      </c>
      <c r="F1774" s="64">
        <f>IFERROR(INDEX(MgTipo,MATCH($C1774,MgActId,0)),"")</f>
        <v/>
      </c>
      <c r="G1774" s="64">
        <f>IFERROR(INDEX(MgSubtipo,MATCH($C1774,MgActId,0)),"")</f>
        <v/>
      </c>
      <c r="H1774" s="59" t="inlineStr">
        <is>
          <t>E.14</t>
        </is>
      </c>
      <c r="I1774" s="64">
        <f>IFERROR(INDEX(MgAmenNombre,MATCH(SUBSTITUTE($H1774,"*","-"),MgAmenClave,0)),"")</f>
        <v/>
      </c>
      <c r="J1774" s="28">
        <f>IFERROR(INDEX(MgAmenGrupo,MATCH(SUBSTITUTE($H1774,"*","-"),MgAmenClave,0)),"")</f>
        <v/>
      </c>
      <c r="K1774" s="64">
        <f>IFERROR(INDEX('1. Matriz de Activos'!$Q$6:$Q$239,MATCH($C1774,MgActId,0)),"")</f>
        <v/>
      </c>
      <c r="L1774" s="64">
        <f>IFERROR(INDEX('1. Matriz de Activos'!$R$6:$R$239,MATCH($C1774,MgActId,0)),"")</f>
        <v/>
      </c>
      <c r="M1774" s="64">
        <f>IFERROR(INDEX('1. Matriz de Activos'!$S$6:$S$239,MATCH($C1774,MgActId,0)),"")</f>
        <v/>
      </c>
      <c r="N1774" s="28">
        <f>IFERROR(INDEX(MgAmenDegD,MATCH(SUBSTITUTE($H1774,"*","-"),MgAmenClave,0)),"No aplica")</f>
        <v/>
      </c>
      <c r="O1774" s="28">
        <f>IFERROR(INDEX(MgAmenDegI,MATCH(SUBSTITUTE($H1774,"*","-"),MgAmenClave,0)),"No aplica")</f>
        <v/>
      </c>
      <c r="P1774" s="28">
        <f>IFERROR(INDEX(MgAmenDegC,MATCH(SUBSTITUTE($H1774,"*","-"),MgAmenClave,0)),"No aplica")</f>
        <v/>
      </c>
      <c r="Q1774" s="29">
        <f>IFERROR(VLOOKUP(K1774,MgValor,2,0)*VLOOKUP(N1774,MgDeg,2,0),0)</f>
        <v/>
      </c>
      <c r="R1774" s="29">
        <f>IFERROR(VLOOKUP(L1774,MgValor,2,0)*VLOOKUP(O1774,MgDeg,2,0),0)</f>
        <v/>
      </c>
      <c r="S1774" s="29">
        <f>IFERROR(VLOOKUP(M1774,MgValor,2,0)*VLOOKUP(P1774,MgDeg,2,0),0)</f>
        <v/>
      </c>
      <c r="T1774" s="30">
        <f>MAX(Q1774:S1774)</f>
        <v/>
      </c>
      <c r="U1774" s="28">
        <f>IFERROR(LOOKUP(T1774,{0;0.5;1.5;3;4.5},{"Despreciable";"Bajo";"Medio";"Alto";"Muy alto"}),"")</f>
        <v/>
      </c>
      <c r="V1774" s="13">
        <f>IFERROR(INDEX(MgAmenFrec,MATCH(SUBSTITUTE($H1774,"*","-"),MgAmenClave,0)),"")</f>
        <v/>
      </c>
      <c r="W1774" s="28">
        <f>IFERROR(LOOKUP(X1774,{0;0.01;0.1;1;10;100},{"Muy baja";"Muy baja";"Baja";"Media";"Alta";"Muy alta"}),"")</f>
        <v/>
      </c>
      <c r="X1774" s="31">
        <f>IFERROR(VLOOKUP(V1774,MgFrec,2,0),0)</f>
        <v/>
      </c>
      <c r="Y1774" s="30">
        <f>T1774*X1774</f>
        <v/>
      </c>
      <c r="Z1774" s="28">
        <f>IFERROR(LOOKUP(Y1774,{0;0.5;5;25},{"Bajo";"Medio";"Alto";"Crítico"}),"")</f>
        <v/>
      </c>
      <c r="AA1774" s="64">
        <f>IF(T1774&gt;=3,IF(X1774&gt;=1,"Zona 1 — Crítica: impacto alto y ocurre al menos una vez al año","Zona 4 — Catastrófica poco probable: impacto alto pero excepcional"),IF(AND(T1774&lt;1.5,X1774&lt;1),"Zona 3 — Asumible: impacto bajo y muy poco frecuente","Zona 2 — Atención: riesgo intermedio"))</f>
        <v/>
      </c>
      <c r="AB1774" s="64">
        <f>IFERROR(INDEX(MgAmenCtrl,MATCH(SUBSTITUTE($H1774,"*","-"),MgAmenClave,0)),"")</f>
        <v/>
      </c>
      <c r="AC1774" s="20" t="n"/>
      <c r="AD1774" s="31">
        <f>IFERROR($X1774*(1-IF($AC1774="",$AL1774,VLOOKUP($AC1774,MgMad,2,0))),"")</f>
        <v/>
      </c>
      <c r="AE1774" s="28">
        <f>IFERROR(LOOKUP(AD1774,{0;0.01;0.1;1;10;100},{"Muy baja";"Muy baja";"Baja";"Media";"Alta";"Muy alta"}),"")</f>
        <v/>
      </c>
      <c r="AF1774" s="30">
        <f>T1774*AD1774</f>
        <v/>
      </c>
      <c r="AG1774" s="28">
        <f>IFERROR(LOOKUP(AF1774,{0;0.5;5;25},{"Bajo";"Medio";"Alto";"Crítico"}),"")</f>
        <v/>
      </c>
      <c r="AH1774" s="28">
        <f>IF(AG1774="","",IF(OR(AG1774="Crítico",AG1774="Alto"),"Mitigar",IF(AG1774="Medio","Mitigar","Aceptar y monitorear")))</f>
        <v/>
      </c>
      <c r="AI1774" s="21" t="n"/>
      <c r="AJ1774" s="21" t="n"/>
      <c r="AK1774" s="20" t="n"/>
      <c r="AL1774" s="77">
        <f>IFERROR(INDEX(MgAmenEfic,MATCH(SUBSTITUTE($H1774,"*","-"),MgAmenClave,0)),0)</f>
        <v/>
      </c>
    </row>
    <row r="1775" hidden="1" ht="105" customHeight="1" s="54">
      <c r="B1775" s="59" t="inlineStr">
        <is>
          <t>R-1770</t>
        </is>
      </c>
      <c r="C1775" s="59" t="inlineStr">
        <is>
          <t>TAL-16</t>
        </is>
      </c>
      <c r="D1775" s="64">
        <f>IFERROR(INDEX(MgNombre,MATCH($C1775,MgActId,0)),"")</f>
        <v/>
      </c>
      <c r="E1775" s="64">
        <f>IFERROR(INDEX(MgProceso,MATCH($C1775,MgActId,0)),"")</f>
        <v/>
      </c>
      <c r="F1775" s="64">
        <f>IFERROR(INDEX(MgTipo,MATCH($C1775,MgActId,0)),"")</f>
        <v/>
      </c>
      <c r="G1775" s="64">
        <f>IFERROR(INDEX(MgSubtipo,MATCH($C1775,MgActId,0)),"")</f>
        <v/>
      </c>
      <c r="H1775" s="59" t="inlineStr">
        <is>
          <t>E.19</t>
        </is>
      </c>
      <c r="I1775" s="64">
        <f>IFERROR(INDEX(MgAmenNombre,MATCH(SUBSTITUTE($H1775,"*","-"),MgAmenClave,0)),"")</f>
        <v/>
      </c>
      <c r="J1775" s="28">
        <f>IFERROR(INDEX(MgAmenGrupo,MATCH(SUBSTITUTE($H1775,"*","-"),MgAmenClave,0)),"")</f>
        <v/>
      </c>
      <c r="K1775" s="64">
        <f>IFERROR(INDEX('1. Matriz de Activos'!$Q$6:$Q$239,MATCH($C1775,MgActId,0)),"")</f>
        <v/>
      </c>
      <c r="L1775" s="64">
        <f>IFERROR(INDEX('1. Matriz de Activos'!$R$6:$R$239,MATCH($C1775,MgActId,0)),"")</f>
        <v/>
      </c>
      <c r="M1775" s="64">
        <f>IFERROR(INDEX('1. Matriz de Activos'!$S$6:$S$239,MATCH($C1775,MgActId,0)),"")</f>
        <v/>
      </c>
      <c r="N1775" s="28">
        <f>IFERROR(INDEX(MgAmenDegD,MATCH(SUBSTITUTE($H1775,"*","-"),MgAmenClave,0)),"No aplica")</f>
        <v/>
      </c>
      <c r="O1775" s="28">
        <f>IFERROR(INDEX(MgAmenDegI,MATCH(SUBSTITUTE($H1775,"*","-"),MgAmenClave,0)),"No aplica")</f>
        <v/>
      </c>
      <c r="P1775" s="28">
        <f>IFERROR(INDEX(MgAmenDegC,MATCH(SUBSTITUTE($H1775,"*","-"),MgAmenClave,0)),"No aplica")</f>
        <v/>
      </c>
      <c r="Q1775" s="29">
        <f>IFERROR(VLOOKUP(K1775,MgValor,2,0)*VLOOKUP(N1775,MgDeg,2,0),0)</f>
        <v/>
      </c>
      <c r="R1775" s="29">
        <f>IFERROR(VLOOKUP(L1775,MgValor,2,0)*VLOOKUP(O1775,MgDeg,2,0),0)</f>
        <v/>
      </c>
      <c r="S1775" s="29">
        <f>IFERROR(VLOOKUP(M1775,MgValor,2,0)*VLOOKUP(P1775,MgDeg,2,0),0)</f>
        <v/>
      </c>
      <c r="T1775" s="30">
        <f>MAX(Q1775:S1775)</f>
        <v/>
      </c>
      <c r="U1775" s="28">
        <f>IFERROR(LOOKUP(T1775,{0;0.5;1.5;3;4.5},{"Despreciable";"Bajo";"Medio";"Alto";"Muy alto"}),"")</f>
        <v/>
      </c>
      <c r="V1775" s="13">
        <f>IFERROR(INDEX(MgAmenFrec,MATCH(SUBSTITUTE($H1775,"*","-"),MgAmenClave,0)),"")</f>
        <v/>
      </c>
      <c r="W1775" s="28">
        <f>IFERROR(LOOKUP(X1775,{0;0.01;0.1;1;10;100},{"Muy baja";"Muy baja";"Baja";"Media";"Alta";"Muy alta"}),"")</f>
        <v/>
      </c>
      <c r="X1775" s="31">
        <f>IFERROR(VLOOKUP(V1775,MgFrec,2,0),0)</f>
        <v/>
      </c>
      <c r="Y1775" s="30">
        <f>T1775*X1775</f>
        <v/>
      </c>
      <c r="Z1775" s="28">
        <f>IFERROR(LOOKUP(Y1775,{0;0.5;5;25},{"Bajo";"Medio";"Alto";"Crítico"}),"")</f>
        <v/>
      </c>
      <c r="AA1775" s="64">
        <f>IF(T1775&gt;=3,IF(X1775&gt;=1,"Zona 1 — Crítica: impacto alto y ocurre al menos una vez al año","Zona 4 — Catastrófica poco probable: impacto alto pero excepcional"),IF(AND(T1775&lt;1.5,X1775&lt;1),"Zona 3 — Asumible: impacto bajo y muy poco frecuente","Zona 2 — Atención: riesgo intermedio"))</f>
        <v/>
      </c>
      <c r="AB1775" s="64">
        <f>IFERROR(INDEX(MgAmenCtrl,MATCH(SUBSTITUTE($H1775,"*","-"),MgAmenClave,0)),"")</f>
        <v/>
      </c>
      <c r="AC1775" s="20" t="n"/>
      <c r="AD1775" s="31">
        <f>IFERROR($X1775*(1-IF($AC1775="",$AL1775,VLOOKUP($AC1775,MgMad,2,0))),"")</f>
        <v/>
      </c>
      <c r="AE1775" s="28">
        <f>IFERROR(LOOKUP(AD1775,{0;0.01;0.1;1;10;100},{"Muy baja";"Muy baja";"Baja";"Media";"Alta";"Muy alta"}),"")</f>
        <v/>
      </c>
      <c r="AF1775" s="30">
        <f>T1775*AD1775</f>
        <v/>
      </c>
      <c r="AG1775" s="28">
        <f>IFERROR(LOOKUP(AF1775,{0;0.5;5;25},{"Bajo";"Medio";"Alto";"Crítico"}),"")</f>
        <v/>
      </c>
      <c r="AH1775" s="28">
        <f>IF(AG1775="","",IF(OR(AG1775="Crítico",AG1775="Alto"),"Mitigar",IF(AG1775="Medio","Mitigar","Aceptar y monitorear")))</f>
        <v/>
      </c>
      <c r="AI1775" s="21" t="n"/>
      <c r="AJ1775" s="21" t="n"/>
      <c r="AK1775" s="20" t="n"/>
      <c r="AL1775" s="77">
        <f>IFERROR(INDEX(MgAmenEfic,MATCH(SUBSTITUTE($H1775,"*","-"),MgAmenClave,0)),0)</f>
        <v/>
      </c>
    </row>
    <row r="1776" hidden="1" ht="135" customHeight="1" s="54">
      <c r="B1776" s="59" t="inlineStr">
        <is>
          <t>R-1771</t>
        </is>
      </c>
      <c r="C1776" s="59" t="inlineStr">
        <is>
          <t>TAL-16</t>
        </is>
      </c>
      <c r="D1776" s="64">
        <f>IFERROR(INDEX(MgNombre,MATCH($C1776,MgActId,0)),"")</f>
        <v/>
      </c>
      <c r="E1776" s="64">
        <f>IFERROR(INDEX(MgProceso,MATCH($C1776,MgActId,0)),"")</f>
        <v/>
      </c>
      <c r="F1776" s="64">
        <f>IFERROR(INDEX(MgTipo,MATCH($C1776,MgActId,0)),"")</f>
        <v/>
      </c>
      <c r="G1776" s="64">
        <f>IFERROR(INDEX(MgSubtipo,MATCH($C1776,MgActId,0)),"")</f>
        <v/>
      </c>
      <c r="H1776" s="59" t="inlineStr">
        <is>
          <t>E.28</t>
        </is>
      </c>
      <c r="I1776" s="64">
        <f>IFERROR(INDEX(MgAmenNombre,MATCH(SUBSTITUTE($H1776,"*","-"),MgAmenClave,0)),"")</f>
        <v/>
      </c>
      <c r="J1776" s="28">
        <f>IFERROR(INDEX(MgAmenGrupo,MATCH(SUBSTITUTE($H1776,"*","-"),MgAmenClave,0)),"")</f>
        <v/>
      </c>
      <c r="K1776" s="64">
        <f>IFERROR(INDEX('1. Matriz de Activos'!$Q$6:$Q$239,MATCH($C1776,MgActId,0)),"")</f>
        <v/>
      </c>
      <c r="L1776" s="64">
        <f>IFERROR(INDEX('1. Matriz de Activos'!$R$6:$R$239,MATCH($C1776,MgActId,0)),"")</f>
        <v/>
      </c>
      <c r="M1776" s="64">
        <f>IFERROR(INDEX('1. Matriz de Activos'!$S$6:$S$239,MATCH($C1776,MgActId,0)),"")</f>
        <v/>
      </c>
      <c r="N1776" s="28">
        <f>IFERROR(INDEX(MgAmenDegD,MATCH(SUBSTITUTE($H1776,"*","-"),MgAmenClave,0)),"No aplica")</f>
        <v/>
      </c>
      <c r="O1776" s="28">
        <f>IFERROR(INDEX(MgAmenDegI,MATCH(SUBSTITUTE($H1776,"*","-"),MgAmenClave,0)),"No aplica")</f>
        <v/>
      </c>
      <c r="P1776" s="28">
        <f>IFERROR(INDEX(MgAmenDegC,MATCH(SUBSTITUTE($H1776,"*","-"),MgAmenClave,0)),"No aplica")</f>
        <v/>
      </c>
      <c r="Q1776" s="29">
        <f>IFERROR(VLOOKUP(K1776,MgValor,2,0)*VLOOKUP(N1776,MgDeg,2,0),0)</f>
        <v/>
      </c>
      <c r="R1776" s="29">
        <f>IFERROR(VLOOKUP(L1776,MgValor,2,0)*VLOOKUP(O1776,MgDeg,2,0),0)</f>
        <v/>
      </c>
      <c r="S1776" s="29">
        <f>IFERROR(VLOOKUP(M1776,MgValor,2,0)*VLOOKUP(P1776,MgDeg,2,0),0)</f>
        <v/>
      </c>
      <c r="T1776" s="30">
        <f>MAX(Q1776:S1776)</f>
        <v/>
      </c>
      <c r="U1776" s="28">
        <f>IFERROR(LOOKUP(T1776,{0;0.5;1.5;3;4.5},{"Despreciable";"Bajo";"Medio";"Alto";"Muy alto"}),"")</f>
        <v/>
      </c>
      <c r="V1776" s="13">
        <f>IFERROR(INDEX(MgAmenFrec,MATCH(SUBSTITUTE($H1776,"*","-"),MgAmenClave,0)),"")</f>
        <v/>
      </c>
      <c r="W1776" s="28">
        <f>IFERROR(LOOKUP(X1776,{0;0.01;0.1;1;10;100},{"Muy baja";"Muy baja";"Baja";"Media";"Alta";"Muy alta"}),"")</f>
        <v/>
      </c>
      <c r="X1776" s="31">
        <f>IFERROR(VLOOKUP(V1776,MgFrec,2,0),0)</f>
        <v/>
      </c>
      <c r="Y1776" s="30">
        <f>T1776*X1776</f>
        <v/>
      </c>
      <c r="Z1776" s="28">
        <f>IFERROR(LOOKUP(Y1776,{0;0.5;5;25},{"Bajo";"Medio";"Alto";"Crítico"}),"")</f>
        <v/>
      </c>
      <c r="AA1776" s="64">
        <f>IF(T1776&gt;=3,IF(X1776&gt;=1,"Zona 1 — Crítica: impacto alto y ocurre al menos una vez al año","Zona 4 — Catastrófica poco probable: impacto alto pero excepcional"),IF(AND(T1776&lt;1.5,X1776&lt;1),"Zona 3 — Asumible: impacto bajo y muy poco frecuente","Zona 2 — Atención: riesgo intermedio"))</f>
        <v/>
      </c>
      <c r="AB1776" s="64">
        <f>IFERROR(INDEX(MgAmenCtrl,MATCH(SUBSTITUTE($H1776,"*","-"),MgAmenClave,0)),"")</f>
        <v/>
      </c>
      <c r="AC1776" s="20" t="n"/>
      <c r="AD1776" s="31">
        <f>IFERROR($X1776*(1-IF($AC1776="",$AL1776,VLOOKUP($AC1776,MgMad,2,0))),"")</f>
        <v/>
      </c>
      <c r="AE1776" s="28">
        <f>IFERROR(LOOKUP(AD1776,{0;0.01;0.1;1;10;100},{"Muy baja";"Muy baja";"Baja";"Media";"Alta";"Muy alta"}),"")</f>
        <v/>
      </c>
      <c r="AF1776" s="30">
        <f>T1776*AD1776</f>
        <v/>
      </c>
      <c r="AG1776" s="28">
        <f>IFERROR(LOOKUP(AF1776,{0;0.5;5;25},{"Bajo";"Medio";"Alto";"Crítico"}),"")</f>
        <v/>
      </c>
      <c r="AH1776" s="28">
        <f>IF(AG1776="","",IF(OR(AG1776="Crítico",AG1776="Alto"),"Mitigar",IF(AG1776="Medio","Mitigar","Aceptar y monitorear")))</f>
        <v/>
      </c>
      <c r="AI1776" s="21" t="n"/>
      <c r="AJ1776" s="21" t="n"/>
      <c r="AK1776" s="20" t="n"/>
      <c r="AL1776" s="77">
        <f>IFERROR(INDEX(MgAmenEfic,MATCH(SUBSTITUTE($H1776,"*","-"),MgAmenClave,0)),0)</f>
        <v/>
      </c>
    </row>
    <row r="1777" hidden="1" ht="75" customHeight="1" s="54">
      <c r="B1777" s="59" t="inlineStr">
        <is>
          <t>R-1772</t>
        </is>
      </c>
      <c r="C1777" s="59" t="inlineStr">
        <is>
          <t>TAL-16</t>
        </is>
      </c>
      <c r="D1777" s="64">
        <f>IFERROR(INDEX(MgNombre,MATCH($C1777,MgActId,0)),"")</f>
        <v/>
      </c>
      <c r="E1777" s="64">
        <f>IFERROR(INDEX(MgProceso,MATCH($C1777,MgActId,0)),"")</f>
        <v/>
      </c>
      <c r="F1777" s="64">
        <f>IFERROR(INDEX(MgTipo,MATCH($C1777,MgActId,0)),"")</f>
        <v/>
      </c>
      <c r="G1777" s="64">
        <f>IFERROR(INDEX(MgSubtipo,MATCH($C1777,MgActId,0)),"")</f>
        <v/>
      </c>
      <c r="H1777" s="59" t="inlineStr">
        <is>
          <t>A.28</t>
        </is>
      </c>
      <c r="I1777" s="64">
        <f>IFERROR(INDEX(MgAmenNombre,MATCH(SUBSTITUTE($H1777,"*","-"),MgAmenClave,0)),"")</f>
        <v/>
      </c>
      <c r="J1777" s="28">
        <f>IFERROR(INDEX(MgAmenGrupo,MATCH(SUBSTITUTE($H1777,"*","-"),MgAmenClave,0)),"")</f>
        <v/>
      </c>
      <c r="K1777" s="64">
        <f>IFERROR(INDEX('1. Matriz de Activos'!$Q$6:$Q$239,MATCH($C1777,MgActId,0)),"")</f>
        <v/>
      </c>
      <c r="L1777" s="64">
        <f>IFERROR(INDEX('1. Matriz de Activos'!$R$6:$R$239,MATCH($C1777,MgActId,0)),"")</f>
        <v/>
      </c>
      <c r="M1777" s="64">
        <f>IFERROR(INDEX('1. Matriz de Activos'!$S$6:$S$239,MATCH($C1777,MgActId,0)),"")</f>
        <v/>
      </c>
      <c r="N1777" s="28">
        <f>IFERROR(INDEX(MgAmenDegD,MATCH(SUBSTITUTE($H1777,"*","-"),MgAmenClave,0)),"No aplica")</f>
        <v/>
      </c>
      <c r="O1777" s="28">
        <f>IFERROR(INDEX(MgAmenDegI,MATCH(SUBSTITUTE($H1777,"*","-"),MgAmenClave,0)),"No aplica")</f>
        <v/>
      </c>
      <c r="P1777" s="28">
        <f>IFERROR(INDEX(MgAmenDegC,MATCH(SUBSTITUTE($H1777,"*","-"),MgAmenClave,0)),"No aplica")</f>
        <v/>
      </c>
      <c r="Q1777" s="29">
        <f>IFERROR(VLOOKUP(K1777,MgValor,2,0)*VLOOKUP(N1777,MgDeg,2,0),0)</f>
        <v/>
      </c>
      <c r="R1777" s="29">
        <f>IFERROR(VLOOKUP(L1777,MgValor,2,0)*VLOOKUP(O1777,MgDeg,2,0),0)</f>
        <v/>
      </c>
      <c r="S1777" s="29">
        <f>IFERROR(VLOOKUP(M1777,MgValor,2,0)*VLOOKUP(P1777,MgDeg,2,0),0)</f>
        <v/>
      </c>
      <c r="T1777" s="30">
        <f>MAX(Q1777:S1777)</f>
        <v/>
      </c>
      <c r="U1777" s="28">
        <f>IFERROR(LOOKUP(T1777,{0;0.5;1.5;3;4.5},{"Despreciable";"Bajo";"Medio";"Alto";"Muy alto"}),"")</f>
        <v/>
      </c>
      <c r="V1777" s="13">
        <f>IFERROR(INDEX(MgAmenFrec,MATCH(SUBSTITUTE($H1777,"*","-"),MgAmenClave,0)),"")</f>
        <v/>
      </c>
      <c r="W1777" s="28">
        <f>IFERROR(LOOKUP(X1777,{0;0.01;0.1;1;10;100},{"Muy baja";"Muy baja";"Baja";"Media";"Alta";"Muy alta"}),"")</f>
        <v/>
      </c>
      <c r="X1777" s="31">
        <f>IFERROR(VLOOKUP(V1777,MgFrec,2,0),0)</f>
        <v/>
      </c>
      <c r="Y1777" s="30">
        <f>T1777*X1777</f>
        <v/>
      </c>
      <c r="Z1777" s="28">
        <f>IFERROR(LOOKUP(Y1777,{0;0.5;5;25},{"Bajo";"Medio";"Alto";"Crítico"}),"")</f>
        <v/>
      </c>
      <c r="AA1777" s="64">
        <f>IF(T1777&gt;=3,IF(X1777&gt;=1,"Zona 1 — Crítica: impacto alto y ocurre al menos una vez al año","Zona 4 — Catastrófica poco probable: impacto alto pero excepcional"),IF(AND(T1777&lt;1.5,X1777&lt;1),"Zona 3 — Asumible: impacto bajo y muy poco frecuente","Zona 2 — Atención: riesgo intermedio"))</f>
        <v/>
      </c>
      <c r="AB1777" s="64">
        <f>IFERROR(INDEX(MgAmenCtrl,MATCH(SUBSTITUTE($H1777,"*","-"),MgAmenClave,0)),"")</f>
        <v/>
      </c>
      <c r="AC1777" s="20" t="n"/>
      <c r="AD1777" s="31">
        <f>IFERROR($X1777*(1-IF($AC1777="",$AL1777,VLOOKUP($AC1777,MgMad,2,0))),"")</f>
        <v/>
      </c>
      <c r="AE1777" s="28">
        <f>IFERROR(LOOKUP(AD1777,{0;0.01;0.1;1;10;100},{"Muy baja";"Muy baja";"Baja";"Media";"Alta";"Muy alta"}),"")</f>
        <v/>
      </c>
      <c r="AF1777" s="30">
        <f>T1777*AD1777</f>
        <v/>
      </c>
      <c r="AG1777" s="28">
        <f>IFERROR(LOOKUP(AF1777,{0;0.5;5;25},{"Bajo";"Medio";"Alto";"Crítico"}),"")</f>
        <v/>
      </c>
      <c r="AH1777" s="28">
        <f>IF(AG1777="","",IF(OR(AG1777="Crítico",AG1777="Alto"),"Mitigar",IF(AG1777="Medio","Mitigar","Aceptar y monitorear")))</f>
        <v/>
      </c>
      <c r="AI1777" s="21" t="n"/>
      <c r="AJ1777" s="21" t="n"/>
      <c r="AK1777" s="20" t="n"/>
      <c r="AL1777" s="77">
        <f>IFERROR(INDEX(MgAmenEfic,MATCH(SUBSTITUTE($H1777,"*","-"),MgAmenClave,0)),0)</f>
        <v/>
      </c>
    </row>
    <row r="1778" hidden="1" ht="90" customHeight="1" s="54">
      <c r="B1778" s="59" t="inlineStr">
        <is>
          <t>R-1773</t>
        </is>
      </c>
      <c r="C1778" s="59" t="inlineStr">
        <is>
          <t>TAL-16</t>
        </is>
      </c>
      <c r="D1778" s="64">
        <f>IFERROR(INDEX(MgNombre,MATCH($C1778,MgActId,0)),"")</f>
        <v/>
      </c>
      <c r="E1778" s="64">
        <f>IFERROR(INDEX(MgProceso,MATCH($C1778,MgActId,0)),"")</f>
        <v/>
      </c>
      <c r="F1778" s="64">
        <f>IFERROR(INDEX(MgTipo,MATCH($C1778,MgActId,0)),"")</f>
        <v/>
      </c>
      <c r="G1778" s="64">
        <f>IFERROR(INDEX(MgSubtipo,MATCH($C1778,MgActId,0)),"")</f>
        <v/>
      </c>
      <c r="H1778" s="59" t="inlineStr">
        <is>
          <t>A.29</t>
        </is>
      </c>
      <c r="I1778" s="64">
        <f>IFERROR(INDEX(MgAmenNombre,MATCH(SUBSTITUTE($H1778,"*","-"),MgAmenClave,0)),"")</f>
        <v/>
      </c>
      <c r="J1778" s="28">
        <f>IFERROR(INDEX(MgAmenGrupo,MATCH(SUBSTITUTE($H1778,"*","-"),MgAmenClave,0)),"")</f>
        <v/>
      </c>
      <c r="K1778" s="64">
        <f>IFERROR(INDEX('1. Matriz de Activos'!$Q$6:$Q$239,MATCH($C1778,MgActId,0)),"")</f>
        <v/>
      </c>
      <c r="L1778" s="64">
        <f>IFERROR(INDEX('1. Matriz de Activos'!$R$6:$R$239,MATCH($C1778,MgActId,0)),"")</f>
        <v/>
      </c>
      <c r="M1778" s="64">
        <f>IFERROR(INDEX('1. Matriz de Activos'!$S$6:$S$239,MATCH($C1778,MgActId,0)),"")</f>
        <v/>
      </c>
      <c r="N1778" s="28">
        <f>IFERROR(INDEX(MgAmenDegD,MATCH(SUBSTITUTE($H1778,"*","-"),MgAmenClave,0)),"No aplica")</f>
        <v/>
      </c>
      <c r="O1778" s="28">
        <f>IFERROR(INDEX(MgAmenDegI,MATCH(SUBSTITUTE($H1778,"*","-"),MgAmenClave,0)),"No aplica")</f>
        <v/>
      </c>
      <c r="P1778" s="28">
        <f>IFERROR(INDEX(MgAmenDegC,MATCH(SUBSTITUTE($H1778,"*","-"),MgAmenClave,0)),"No aplica")</f>
        <v/>
      </c>
      <c r="Q1778" s="29">
        <f>IFERROR(VLOOKUP(K1778,MgValor,2,0)*VLOOKUP(N1778,MgDeg,2,0),0)</f>
        <v/>
      </c>
      <c r="R1778" s="29">
        <f>IFERROR(VLOOKUP(L1778,MgValor,2,0)*VLOOKUP(O1778,MgDeg,2,0),0)</f>
        <v/>
      </c>
      <c r="S1778" s="29">
        <f>IFERROR(VLOOKUP(M1778,MgValor,2,0)*VLOOKUP(P1778,MgDeg,2,0),0)</f>
        <v/>
      </c>
      <c r="T1778" s="30">
        <f>MAX(Q1778:S1778)</f>
        <v/>
      </c>
      <c r="U1778" s="28">
        <f>IFERROR(LOOKUP(T1778,{0;0.5;1.5;3;4.5},{"Despreciable";"Bajo";"Medio";"Alto";"Muy alto"}),"")</f>
        <v/>
      </c>
      <c r="V1778" s="13">
        <f>IFERROR(INDEX(MgAmenFrec,MATCH(SUBSTITUTE($H1778,"*","-"),MgAmenClave,0)),"")</f>
        <v/>
      </c>
      <c r="W1778" s="28">
        <f>IFERROR(LOOKUP(X1778,{0;0.01;0.1;1;10;100},{"Muy baja";"Muy baja";"Baja";"Media";"Alta";"Muy alta"}),"")</f>
        <v/>
      </c>
      <c r="X1778" s="31">
        <f>IFERROR(VLOOKUP(V1778,MgFrec,2,0),0)</f>
        <v/>
      </c>
      <c r="Y1778" s="30">
        <f>T1778*X1778</f>
        <v/>
      </c>
      <c r="Z1778" s="28">
        <f>IFERROR(LOOKUP(Y1778,{0;0.5;5;25},{"Bajo";"Medio";"Alto";"Crítico"}),"")</f>
        <v/>
      </c>
      <c r="AA1778" s="64">
        <f>IF(T1778&gt;=3,IF(X1778&gt;=1,"Zona 1 — Crítica: impacto alto y ocurre al menos una vez al año","Zona 4 — Catastrófica poco probable: impacto alto pero excepcional"),IF(AND(T1778&lt;1.5,X1778&lt;1),"Zona 3 — Asumible: impacto bajo y muy poco frecuente","Zona 2 — Atención: riesgo intermedio"))</f>
        <v/>
      </c>
      <c r="AB1778" s="64">
        <f>IFERROR(INDEX(MgAmenCtrl,MATCH(SUBSTITUTE($H1778,"*","-"),MgAmenClave,0)),"")</f>
        <v/>
      </c>
      <c r="AC1778" s="20" t="n"/>
      <c r="AD1778" s="31">
        <f>IFERROR($X1778*(1-IF($AC1778="",$AL1778,VLOOKUP($AC1778,MgMad,2,0))),"")</f>
        <v/>
      </c>
      <c r="AE1778" s="28">
        <f>IFERROR(LOOKUP(AD1778,{0;0.01;0.1;1;10;100},{"Muy baja";"Muy baja";"Baja";"Media";"Alta";"Muy alta"}),"")</f>
        <v/>
      </c>
      <c r="AF1778" s="30">
        <f>T1778*AD1778</f>
        <v/>
      </c>
      <c r="AG1778" s="28">
        <f>IFERROR(LOOKUP(AF1778,{0;0.5;5;25},{"Bajo";"Medio";"Alto";"Crítico"}),"")</f>
        <v/>
      </c>
      <c r="AH1778" s="28">
        <f>IF(AG1778="","",IF(OR(AG1778="Crítico",AG1778="Alto"),"Mitigar",IF(AG1778="Medio","Mitigar","Aceptar y monitorear")))</f>
        <v/>
      </c>
      <c r="AI1778" s="21" t="n"/>
      <c r="AJ1778" s="21" t="n"/>
      <c r="AK1778" s="20" t="n"/>
      <c r="AL1778" s="77">
        <f>IFERROR(INDEX(MgAmenEfic,MATCH(SUBSTITUTE($H1778,"*","-"),MgAmenClave,0)),0)</f>
        <v/>
      </c>
    </row>
    <row r="1779" hidden="1" ht="105" customHeight="1" s="54">
      <c r="B1779" s="59" t="inlineStr">
        <is>
          <t>R-1774</t>
        </is>
      </c>
      <c r="C1779" s="59" t="inlineStr">
        <is>
          <t>TAL-16</t>
        </is>
      </c>
      <c r="D1779" s="64">
        <f>IFERROR(INDEX(MgNombre,MATCH($C1779,MgActId,0)),"")</f>
        <v/>
      </c>
      <c r="E1779" s="64">
        <f>IFERROR(INDEX(MgProceso,MATCH($C1779,MgActId,0)),"")</f>
        <v/>
      </c>
      <c r="F1779" s="64">
        <f>IFERROR(INDEX(MgTipo,MATCH($C1779,MgActId,0)),"")</f>
        <v/>
      </c>
      <c r="G1779" s="64">
        <f>IFERROR(INDEX(MgSubtipo,MATCH($C1779,MgActId,0)),"")</f>
        <v/>
      </c>
      <c r="H1779" s="59" t="inlineStr">
        <is>
          <t>A.30</t>
        </is>
      </c>
      <c r="I1779" s="64">
        <f>IFERROR(INDEX(MgAmenNombre,MATCH(SUBSTITUTE($H1779,"*","-"),MgAmenClave,0)),"")</f>
        <v/>
      </c>
      <c r="J1779" s="28">
        <f>IFERROR(INDEX(MgAmenGrupo,MATCH(SUBSTITUTE($H1779,"*","-"),MgAmenClave,0)),"")</f>
        <v/>
      </c>
      <c r="K1779" s="64">
        <f>IFERROR(INDEX('1. Matriz de Activos'!$Q$6:$Q$239,MATCH($C1779,MgActId,0)),"")</f>
        <v/>
      </c>
      <c r="L1779" s="64">
        <f>IFERROR(INDEX('1. Matriz de Activos'!$R$6:$R$239,MATCH($C1779,MgActId,0)),"")</f>
        <v/>
      </c>
      <c r="M1779" s="64">
        <f>IFERROR(INDEX('1. Matriz de Activos'!$S$6:$S$239,MATCH($C1779,MgActId,0)),"")</f>
        <v/>
      </c>
      <c r="N1779" s="28">
        <f>IFERROR(INDEX(MgAmenDegD,MATCH(SUBSTITUTE($H1779,"*","-"),MgAmenClave,0)),"No aplica")</f>
        <v/>
      </c>
      <c r="O1779" s="28">
        <f>IFERROR(INDEX(MgAmenDegI,MATCH(SUBSTITUTE($H1779,"*","-"),MgAmenClave,0)),"No aplica")</f>
        <v/>
      </c>
      <c r="P1779" s="28">
        <f>IFERROR(INDEX(MgAmenDegC,MATCH(SUBSTITUTE($H1779,"*","-"),MgAmenClave,0)),"No aplica")</f>
        <v/>
      </c>
      <c r="Q1779" s="29">
        <f>IFERROR(VLOOKUP(K1779,MgValor,2,0)*VLOOKUP(N1779,MgDeg,2,0),0)</f>
        <v/>
      </c>
      <c r="R1779" s="29">
        <f>IFERROR(VLOOKUP(L1779,MgValor,2,0)*VLOOKUP(O1779,MgDeg,2,0),0)</f>
        <v/>
      </c>
      <c r="S1779" s="29">
        <f>IFERROR(VLOOKUP(M1779,MgValor,2,0)*VLOOKUP(P1779,MgDeg,2,0),0)</f>
        <v/>
      </c>
      <c r="T1779" s="30">
        <f>MAX(Q1779:S1779)</f>
        <v/>
      </c>
      <c r="U1779" s="28">
        <f>IFERROR(LOOKUP(T1779,{0;0.5;1.5;3;4.5},{"Despreciable";"Bajo";"Medio";"Alto";"Muy alto"}),"")</f>
        <v/>
      </c>
      <c r="V1779" s="13">
        <f>IFERROR(INDEX(MgAmenFrec,MATCH(SUBSTITUTE($H1779,"*","-"),MgAmenClave,0)),"")</f>
        <v/>
      </c>
      <c r="W1779" s="28">
        <f>IFERROR(LOOKUP(X1779,{0;0.01;0.1;1;10;100},{"Muy baja";"Muy baja";"Baja";"Media";"Alta";"Muy alta"}),"")</f>
        <v/>
      </c>
      <c r="X1779" s="31">
        <f>IFERROR(VLOOKUP(V1779,MgFrec,2,0),0)</f>
        <v/>
      </c>
      <c r="Y1779" s="30">
        <f>T1779*X1779</f>
        <v/>
      </c>
      <c r="Z1779" s="28">
        <f>IFERROR(LOOKUP(Y1779,{0;0.5;5;25},{"Bajo";"Medio";"Alto";"Crítico"}),"")</f>
        <v/>
      </c>
      <c r="AA1779" s="64">
        <f>IF(T1779&gt;=3,IF(X1779&gt;=1,"Zona 1 — Crítica: impacto alto y ocurre al menos una vez al año","Zona 4 — Catastrófica poco probable: impacto alto pero excepcional"),IF(AND(T1779&lt;1.5,X1779&lt;1),"Zona 3 — Asumible: impacto bajo y muy poco frecuente","Zona 2 — Atención: riesgo intermedio"))</f>
        <v/>
      </c>
      <c r="AB1779" s="64">
        <f>IFERROR(INDEX(MgAmenCtrl,MATCH(SUBSTITUTE($H1779,"*","-"),MgAmenClave,0)),"")</f>
        <v/>
      </c>
      <c r="AC1779" s="20" t="n"/>
      <c r="AD1779" s="31">
        <f>IFERROR($X1779*(1-IF($AC1779="",$AL1779,VLOOKUP($AC1779,MgMad,2,0))),"")</f>
        <v/>
      </c>
      <c r="AE1779" s="28">
        <f>IFERROR(LOOKUP(AD1779,{0;0.01;0.1;1;10;100},{"Muy baja";"Muy baja";"Baja";"Media";"Alta";"Muy alta"}),"")</f>
        <v/>
      </c>
      <c r="AF1779" s="30">
        <f>T1779*AD1779</f>
        <v/>
      </c>
      <c r="AG1779" s="28">
        <f>IFERROR(LOOKUP(AF1779,{0;0.5;5;25},{"Bajo";"Medio";"Alto";"Crítico"}),"")</f>
        <v/>
      </c>
      <c r="AH1779" s="28">
        <f>IF(AG1779="","",IF(OR(AG1779="Crítico",AG1779="Alto"),"Mitigar",IF(AG1779="Medio","Mitigar","Aceptar y monitorear")))</f>
        <v/>
      </c>
      <c r="AI1779" s="21" t="n"/>
      <c r="AJ1779" s="21" t="n"/>
      <c r="AK1779" s="20" t="n"/>
      <c r="AL1779" s="77">
        <f>IFERROR(INDEX(MgAmenEfic,MATCH(SUBSTITUTE($H1779,"*","-"),MgAmenClave,0)),0)</f>
        <v/>
      </c>
    </row>
    <row r="1780" hidden="1" ht="150" customHeight="1" s="54">
      <c r="B1780" s="59" t="inlineStr">
        <is>
          <t>R-1775</t>
        </is>
      </c>
      <c r="C1780" s="59" t="inlineStr">
        <is>
          <t>FIN-16</t>
        </is>
      </c>
      <c r="D1780" s="64">
        <f>IFERROR(INDEX(MgNombre,MATCH($C1780,MgActId,0)),"")</f>
        <v/>
      </c>
      <c r="E1780" s="64">
        <f>IFERROR(INDEX(MgProceso,MATCH($C1780,MgActId,0)),"")</f>
        <v/>
      </c>
      <c r="F1780" s="64">
        <f>IFERROR(INDEX(MgTipo,MATCH($C1780,MgActId,0)),"")</f>
        <v/>
      </c>
      <c r="G1780" s="64">
        <f>IFERROR(INDEX(MgSubtipo,MATCH($C1780,MgActId,0)),"")</f>
        <v/>
      </c>
      <c r="H1780" s="59" t="inlineStr">
        <is>
          <t>E.7</t>
        </is>
      </c>
      <c r="I1780" s="64">
        <f>IFERROR(INDEX(MgAmenNombre,MATCH(SUBSTITUTE($H1780,"*","-"),MgAmenClave,0)),"")</f>
        <v/>
      </c>
      <c r="J1780" s="28">
        <f>IFERROR(INDEX(MgAmenGrupo,MATCH(SUBSTITUTE($H1780,"*","-"),MgAmenClave,0)),"")</f>
        <v/>
      </c>
      <c r="K1780" s="64">
        <f>IFERROR(INDEX('1. Matriz de Activos'!$Q$6:$Q$239,MATCH($C1780,MgActId,0)),"")</f>
        <v/>
      </c>
      <c r="L1780" s="64">
        <f>IFERROR(INDEX('1. Matriz de Activos'!$R$6:$R$239,MATCH($C1780,MgActId,0)),"")</f>
        <v/>
      </c>
      <c r="M1780" s="64">
        <f>IFERROR(INDEX('1. Matriz de Activos'!$S$6:$S$239,MATCH($C1780,MgActId,0)),"")</f>
        <v/>
      </c>
      <c r="N1780" s="28">
        <f>IFERROR(INDEX(MgAmenDegD,MATCH(SUBSTITUTE($H1780,"*","-"),MgAmenClave,0)),"No aplica")</f>
        <v/>
      </c>
      <c r="O1780" s="28">
        <f>IFERROR(INDEX(MgAmenDegI,MATCH(SUBSTITUTE($H1780,"*","-"),MgAmenClave,0)),"No aplica")</f>
        <v/>
      </c>
      <c r="P1780" s="28">
        <f>IFERROR(INDEX(MgAmenDegC,MATCH(SUBSTITUTE($H1780,"*","-"),MgAmenClave,0)),"No aplica")</f>
        <v/>
      </c>
      <c r="Q1780" s="29">
        <f>IFERROR(VLOOKUP(K1780,MgValor,2,0)*VLOOKUP(N1780,MgDeg,2,0),0)</f>
        <v/>
      </c>
      <c r="R1780" s="29">
        <f>IFERROR(VLOOKUP(L1780,MgValor,2,0)*VLOOKUP(O1780,MgDeg,2,0),0)</f>
        <v/>
      </c>
      <c r="S1780" s="29">
        <f>IFERROR(VLOOKUP(M1780,MgValor,2,0)*VLOOKUP(P1780,MgDeg,2,0),0)</f>
        <v/>
      </c>
      <c r="T1780" s="30">
        <f>MAX(Q1780:S1780)</f>
        <v/>
      </c>
      <c r="U1780" s="28">
        <f>IFERROR(LOOKUP(T1780,{0;0.5;1.5;3;4.5},{"Despreciable";"Bajo";"Medio";"Alto";"Muy alto"}),"")</f>
        <v/>
      </c>
      <c r="V1780" s="13">
        <f>IFERROR(INDEX(MgAmenFrec,MATCH(SUBSTITUTE($H1780,"*","-"),MgAmenClave,0)),"")</f>
        <v/>
      </c>
      <c r="W1780" s="28">
        <f>IFERROR(LOOKUP(X1780,{0;0.01;0.1;1;10;100},{"Muy baja";"Muy baja";"Baja";"Media";"Alta";"Muy alta"}),"")</f>
        <v/>
      </c>
      <c r="X1780" s="31">
        <f>IFERROR(VLOOKUP(V1780,MgFrec,2,0),0)</f>
        <v/>
      </c>
      <c r="Y1780" s="30">
        <f>T1780*X1780</f>
        <v/>
      </c>
      <c r="Z1780" s="28">
        <f>IFERROR(LOOKUP(Y1780,{0;0.5;5;25},{"Bajo";"Medio";"Alto";"Crítico"}),"")</f>
        <v/>
      </c>
      <c r="AA1780" s="64">
        <f>IF(T1780&gt;=3,IF(X1780&gt;=1,"Zona 1 — Crítica: impacto alto y ocurre al menos una vez al año","Zona 4 — Catastrófica poco probable: impacto alto pero excepcional"),IF(AND(T1780&lt;1.5,X1780&lt;1),"Zona 3 — Asumible: impacto bajo y muy poco frecuente","Zona 2 — Atención: riesgo intermedio"))</f>
        <v/>
      </c>
      <c r="AB1780" s="64">
        <f>IFERROR(INDEX(MgAmenCtrl,MATCH(SUBSTITUTE($H1780,"*","-"),MgAmenClave,0)),"")</f>
        <v/>
      </c>
      <c r="AC1780" s="20" t="n"/>
      <c r="AD1780" s="31">
        <f>IFERROR($X1780*(1-IF($AC1780="",$AL1780,VLOOKUP($AC1780,MgMad,2,0))),"")</f>
        <v/>
      </c>
      <c r="AE1780" s="28">
        <f>IFERROR(LOOKUP(AD1780,{0;0.01;0.1;1;10;100},{"Muy baja";"Muy baja";"Baja";"Media";"Alta";"Muy alta"}),"")</f>
        <v/>
      </c>
      <c r="AF1780" s="30">
        <f>T1780*AD1780</f>
        <v/>
      </c>
      <c r="AG1780" s="28">
        <f>IFERROR(LOOKUP(AF1780,{0;0.5;5;25},{"Bajo";"Medio";"Alto";"Crítico"}),"")</f>
        <v/>
      </c>
      <c r="AH1780" s="28">
        <f>IF(AG1780="","",IF(OR(AG1780="Crítico",AG1780="Alto"),"Mitigar",IF(AG1780="Medio","Mitigar","Aceptar y monitorear")))</f>
        <v/>
      </c>
      <c r="AI1780" s="21" t="n"/>
      <c r="AJ1780" s="21" t="n"/>
      <c r="AK1780" s="20" t="n"/>
      <c r="AL1780" s="77">
        <f>IFERROR(INDEX(MgAmenEfic,MATCH(SUBSTITUTE($H1780,"*","-"),MgAmenClave,0)),0)</f>
        <v/>
      </c>
    </row>
    <row r="1781" hidden="1" ht="90" customHeight="1" s="54">
      <c r="B1781" s="59" t="inlineStr">
        <is>
          <t>R-1776</t>
        </is>
      </c>
      <c r="C1781" s="59" t="inlineStr">
        <is>
          <t>FIN-16</t>
        </is>
      </c>
      <c r="D1781" s="64">
        <f>IFERROR(INDEX(MgNombre,MATCH($C1781,MgActId,0)),"")</f>
        <v/>
      </c>
      <c r="E1781" s="64">
        <f>IFERROR(INDEX(MgProceso,MATCH($C1781,MgActId,0)),"")</f>
        <v/>
      </c>
      <c r="F1781" s="64">
        <f>IFERROR(INDEX(MgTipo,MATCH($C1781,MgActId,0)),"")</f>
        <v/>
      </c>
      <c r="G1781" s="64">
        <f>IFERROR(INDEX(MgSubtipo,MATCH($C1781,MgActId,0)),"")</f>
        <v/>
      </c>
      <c r="H1781" s="59" t="inlineStr">
        <is>
          <t>E.14</t>
        </is>
      </c>
      <c r="I1781" s="64">
        <f>IFERROR(INDEX(MgAmenNombre,MATCH(SUBSTITUTE($H1781,"*","-"),MgAmenClave,0)),"")</f>
        <v/>
      </c>
      <c r="J1781" s="28">
        <f>IFERROR(INDEX(MgAmenGrupo,MATCH(SUBSTITUTE($H1781,"*","-"),MgAmenClave,0)),"")</f>
        <v/>
      </c>
      <c r="K1781" s="64">
        <f>IFERROR(INDEX('1. Matriz de Activos'!$Q$6:$Q$239,MATCH($C1781,MgActId,0)),"")</f>
        <v/>
      </c>
      <c r="L1781" s="64">
        <f>IFERROR(INDEX('1. Matriz de Activos'!$R$6:$R$239,MATCH($C1781,MgActId,0)),"")</f>
        <v/>
      </c>
      <c r="M1781" s="64">
        <f>IFERROR(INDEX('1. Matriz de Activos'!$S$6:$S$239,MATCH($C1781,MgActId,0)),"")</f>
        <v/>
      </c>
      <c r="N1781" s="28">
        <f>IFERROR(INDEX(MgAmenDegD,MATCH(SUBSTITUTE($H1781,"*","-"),MgAmenClave,0)),"No aplica")</f>
        <v/>
      </c>
      <c r="O1781" s="28">
        <f>IFERROR(INDEX(MgAmenDegI,MATCH(SUBSTITUTE($H1781,"*","-"),MgAmenClave,0)),"No aplica")</f>
        <v/>
      </c>
      <c r="P1781" s="28">
        <f>IFERROR(INDEX(MgAmenDegC,MATCH(SUBSTITUTE($H1781,"*","-"),MgAmenClave,0)),"No aplica")</f>
        <v/>
      </c>
      <c r="Q1781" s="29">
        <f>IFERROR(VLOOKUP(K1781,MgValor,2,0)*VLOOKUP(N1781,MgDeg,2,0),0)</f>
        <v/>
      </c>
      <c r="R1781" s="29">
        <f>IFERROR(VLOOKUP(L1781,MgValor,2,0)*VLOOKUP(O1781,MgDeg,2,0),0)</f>
        <v/>
      </c>
      <c r="S1781" s="29">
        <f>IFERROR(VLOOKUP(M1781,MgValor,2,0)*VLOOKUP(P1781,MgDeg,2,0),0)</f>
        <v/>
      </c>
      <c r="T1781" s="30">
        <f>MAX(Q1781:S1781)</f>
        <v/>
      </c>
      <c r="U1781" s="28">
        <f>IFERROR(LOOKUP(T1781,{0;0.5;1.5;3;4.5},{"Despreciable";"Bajo";"Medio";"Alto";"Muy alto"}),"")</f>
        <v/>
      </c>
      <c r="V1781" s="13">
        <f>IFERROR(INDEX(MgAmenFrec,MATCH(SUBSTITUTE($H1781,"*","-"),MgAmenClave,0)),"")</f>
        <v/>
      </c>
      <c r="W1781" s="28">
        <f>IFERROR(LOOKUP(X1781,{0;0.01;0.1;1;10;100},{"Muy baja";"Muy baja";"Baja";"Media";"Alta";"Muy alta"}),"")</f>
        <v/>
      </c>
      <c r="X1781" s="31">
        <f>IFERROR(VLOOKUP(V1781,MgFrec,2,0),0)</f>
        <v/>
      </c>
      <c r="Y1781" s="30">
        <f>T1781*X1781</f>
        <v/>
      </c>
      <c r="Z1781" s="28">
        <f>IFERROR(LOOKUP(Y1781,{0;0.5;5;25},{"Bajo";"Medio";"Alto";"Crítico"}),"")</f>
        <v/>
      </c>
      <c r="AA1781" s="64">
        <f>IF(T1781&gt;=3,IF(X1781&gt;=1,"Zona 1 — Crítica: impacto alto y ocurre al menos una vez al año","Zona 4 — Catastrófica poco probable: impacto alto pero excepcional"),IF(AND(T1781&lt;1.5,X1781&lt;1),"Zona 3 — Asumible: impacto bajo y muy poco frecuente","Zona 2 — Atención: riesgo intermedio"))</f>
        <v/>
      </c>
      <c r="AB1781" s="64">
        <f>IFERROR(INDEX(MgAmenCtrl,MATCH(SUBSTITUTE($H1781,"*","-"),MgAmenClave,0)),"")</f>
        <v/>
      </c>
      <c r="AC1781" s="20" t="n"/>
      <c r="AD1781" s="31">
        <f>IFERROR($X1781*(1-IF($AC1781="",$AL1781,VLOOKUP($AC1781,MgMad,2,0))),"")</f>
        <v/>
      </c>
      <c r="AE1781" s="28">
        <f>IFERROR(LOOKUP(AD1781,{0;0.01;0.1;1;10;100},{"Muy baja";"Muy baja";"Baja";"Media";"Alta";"Muy alta"}),"")</f>
        <v/>
      </c>
      <c r="AF1781" s="30">
        <f>T1781*AD1781</f>
        <v/>
      </c>
      <c r="AG1781" s="28">
        <f>IFERROR(LOOKUP(AF1781,{0;0.5;5;25},{"Bajo";"Medio";"Alto";"Crítico"}),"")</f>
        <v/>
      </c>
      <c r="AH1781" s="28">
        <f>IF(AG1781="","",IF(OR(AG1781="Crítico",AG1781="Alto"),"Mitigar",IF(AG1781="Medio","Mitigar","Aceptar y monitorear")))</f>
        <v/>
      </c>
      <c r="AI1781" s="21" t="n"/>
      <c r="AJ1781" s="21" t="n"/>
      <c r="AK1781" s="20" t="n"/>
      <c r="AL1781" s="77">
        <f>IFERROR(INDEX(MgAmenEfic,MATCH(SUBSTITUTE($H1781,"*","-"),MgAmenClave,0)),0)</f>
        <v/>
      </c>
    </row>
    <row r="1782" hidden="1" ht="105" customHeight="1" s="54">
      <c r="B1782" s="59" t="inlineStr">
        <is>
          <t>R-1777</t>
        </is>
      </c>
      <c r="C1782" s="59" t="inlineStr">
        <is>
          <t>FIN-16</t>
        </is>
      </c>
      <c r="D1782" s="64">
        <f>IFERROR(INDEX(MgNombre,MATCH($C1782,MgActId,0)),"")</f>
        <v/>
      </c>
      <c r="E1782" s="64">
        <f>IFERROR(INDEX(MgProceso,MATCH($C1782,MgActId,0)),"")</f>
        <v/>
      </c>
      <c r="F1782" s="64">
        <f>IFERROR(INDEX(MgTipo,MATCH($C1782,MgActId,0)),"")</f>
        <v/>
      </c>
      <c r="G1782" s="64">
        <f>IFERROR(INDEX(MgSubtipo,MATCH($C1782,MgActId,0)),"")</f>
        <v/>
      </c>
      <c r="H1782" s="59" t="inlineStr">
        <is>
          <t>E.19</t>
        </is>
      </c>
      <c r="I1782" s="64">
        <f>IFERROR(INDEX(MgAmenNombre,MATCH(SUBSTITUTE($H1782,"*","-"),MgAmenClave,0)),"")</f>
        <v/>
      </c>
      <c r="J1782" s="28">
        <f>IFERROR(INDEX(MgAmenGrupo,MATCH(SUBSTITUTE($H1782,"*","-"),MgAmenClave,0)),"")</f>
        <v/>
      </c>
      <c r="K1782" s="64">
        <f>IFERROR(INDEX('1. Matriz de Activos'!$Q$6:$Q$239,MATCH($C1782,MgActId,0)),"")</f>
        <v/>
      </c>
      <c r="L1782" s="64">
        <f>IFERROR(INDEX('1. Matriz de Activos'!$R$6:$R$239,MATCH($C1782,MgActId,0)),"")</f>
        <v/>
      </c>
      <c r="M1782" s="64">
        <f>IFERROR(INDEX('1. Matriz de Activos'!$S$6:$S$239,MATCH($C1782,MgActId,0)),"")</f>
        <v/>
      </c>
      <c r="N1782" s="28">
        <f>IFERROR(INDEX(MgAmenDegD,MATCH(SUBSTITUTE($H1782,"*","-"),MgAmenClave,0)),"No aplica")</f>
        <v/>
      </c>
      <c r="O1782" s="28">
        <f>IFERROR(INDEX(MgAmenDegI,MATCH(SUBSTITUTE($H1782,"*","-"),MgAmenClave,0)),"No aplica")</f>
        <v/>
      </c>
      <c r="P1782" s="28">
        <f>IFERROR(INDEX(MgAmenDegC,MATCH(SUBSTITUTE($H1782,"*","-"),MgAmenClave,0)),"No aplica")</f>
        <v/>
      </c>
      <c r="Q1782" s="29">
        <f>IFERROR(VLOOKUP(K1782,MgValor,2,0)*VLOOKUP(N1782,MgDeg,2,0),0)</f>
        <v/>
      </c>
      <c r="R1782" s="29">
        <f>IFERROR(VLOOKUP(L1782,MgValor,2,0)*VLOOKUP(O1782,MgDeg,2,0),0)</f>
        <v/>
      </c>
      <c r="S1782" s="29">
        <f>IFERROR(VLOOKUP(M1782,MgValor,2,0)*VLOOKUP(P1782,MgDeg,2,0),0)</f>
        <v/>
      </c>
      <c r="T1782" s="30">
        <f>MAX(Q1782:S1782)</f>
        <v/>
      </c>
      <c r="U1782" s="28">
        <f>IFERROR(LOOKUP(T1782,{0;0.5;1.5;3;4.5},{"Despreciable";"Bajo";"Medio";"Alto";"Muy alto"}),"")</f>
        <v/>
      </c>
      <c r="V1782" s="13">
        <f>IFERROR(INDEX(MgAmenFrec,MATCH(SUBSTITUTE($H1782,"*","-"),MgAmenClave,0)),"")</f>
        <v/>
      </c>
      <c r="W1782" s="28">
        <f>IFERROR(LOOKUP(X1782,{0;0.01;0.1;1;10;100},{"Muy baja";"Muy baja";"Baja";"Media";"Alta";"Muy alta"}),"")</f>
        <v/>
      </c>
      <c r="X1782" s="31">
        <f>IFERROR(VLOOKUP(V1782,MgFrec,2,0),0)</f>
        <v/>
      </c>
      <c r="Y1782" s="30">
        <f>T1782*X1782</f>
        <v/>
      </c>
      <c r="Z1782" s="28">
        <f>IFERROR(LOOKUP(Y1782,{0;0.5;5;25},{"Bajo";"Medio";"Alto";"Crítico"}),"")</f>
        <v/>
      </c>
      <c r="AA1782" s="64">
        <f>IF(T1782&gt;=3,IF(X1782&gt;=1,"Zona 1 — Crítica: impacto alto y ocurre al menos una vez al año","Zona 4 — Catastrófica poco probable: impacto alto pero excepcional"),IF(AND(T1782&lt;1.5,X1782&lt;1),"Zona 3 — Asumible: impacto bajo y muy poco frecuente","Zona 2 — Atención: riesgo intermedio"))</f>
        <v/>
      </c>
      <c r="AB1782" s="64">
        <f>IFERROR(INDEX(MgAmenCtrl,MATCH(SUBSTITUTE($H1782,"*","-"),MgAmenClave,0)),"")</f>
        <v/>
      </c>
      <c r="AC1782" s="20" t="n"/>
      <c r="AD1782" s="31">
        <f>IFERROR($X1782*(1-IF($AC1782="",$AL1782,VLOOKUP($AC1782,MgMad,2,0))),"")</f>
        <v/>
      </c>
      <c r="AE1782" s="28">
        <f>IFERROR(LOOKUP(AD1782,{0;0.01;0.1;1;10;100},{"Muy baja";"Muy baja";"Baja";"Media";"Alta";"Muy alta"}),"")</f>
        <v/>
      </c>
      <c r="AF1782" s="30">
        <f>T1782*AD1782</f>
        <v/>
      </c>
      <c r="AG1782" s="28">
        <f>IFERROR(LOOKUP(AF1782,{0;0.5;5;25},{"Bajo";"Medio";"Alto";"Crítico"}),"")</f>
        <v/>
      </c>
      <c r="AH1782" s="28">
        <f>IF(AG1782="","",IF(OR(AG1782="Crítico",AG1782="Alto"),"Mitigar",IF(AG1782="Medio","Mitigar","Aceptar y monitorear")))</f>
        <v/>
      </c>
      <c r="AI1782" s="21" t="n"/>
      <c r="AJ1782" s="21" t="n"/>
      <c r="AK1782" s="20" t="n"/>
      <c r="AL1782" s="77">
        <f>IFERROR(INDEX(MgAmenEfic,MATCH(SUBSTITUTE($H1782,"*","-"),MgAmenClave,0)),0)</f>
        <v/>
      </c>
    </row>
    <row r="1783" hidden="1" ht="135" customHeight="1" s="54">
      <c r="B1783" s="59" t="inlineStr">
        <is>
          <t>R-1778</t>
        </is>
      </c>
      <c r="C1783" s="59" t="inlineStr">
        <is>
          <t>FIN-16</t>
        </is>
      </c>
      <c r="D1783" s="64">
        <f>IFERROR(INDEX(MgNombre,MATCH($C1783,MgActId,0)),"")</f>
        <v/>
      </c>
      <c r="E1783" s="64">
        <f>IFERROR(INDEX(MgProceso,MATCH($C1783,MgActId,0)),"")</f>
        <v/>
      </c>
      <c r="F1783" s="64">
        <f>IFERROR(INDEX(MgTipo,MATCH($C1783,MgActId,0)),"")</f>
        <v/>
      </c>
      <c r="G1783" s="64">
        <f>IFERROR(INDEX(MgSubtipo,MATCH($C1783,MgActId,0)),"")</f>
        <v/>
      </c>
      <c r="H1783" s="59" t="inlineStr">
        <is>
          <t>E.28</t>
        </is>
      </c>
      <c r="I1783" s="64">
        <f>IFERROR(INDEX(MgAmenNombre,MATCH(SUBSTITUTE($H1783,"*","-"),MgAmenClave,0)),"")</f>
        <v/>
      </c>
      <c r="J1783" s="28">
        <f>IFERROR(INDEX(MgAmenGrupo,MATCH(SUBSTITUTE($H1783,"*","-"),MgAmenClave,0)),"")</f>
        <v/>
      </c>
      <c r="K1783" s="64">
        <f>IFERROR(INDEX('1. Matriz de Activos'!$Q$6:$Q$239,MATCH($C1783,MgActId,0)),"")</f>
        <v/>
      </c>
      <c r="L1783" s="64">
        <f>IFERROR(INDEX('1. Matriz de Activos'!$R$6:$R$239,MATCH($C1783,MgActId,0)),"")</f>
        <v/>
      </c>
      <c r="M1783" s="64">
        <f>IFERROR(INDEX('1. Matriz de Activos'!$S$6:$S$239,MATCH($C1783,MgActId,0)),"")</f>
        <v/>
      </c>
      <c r="N1783" s="28">
        <f>IFERROR(INDEX(MgAmenDegD,MATCH(SUBSTITUTE($H1783,"*","-"),MgAmenClave,0)),"No aplica")</f>
        <v/>
      </c>
      <c r="O1783" s="28">
        <f>IFERROR(INDEX(MgAmenDegI,MATCH(SUBSTITUTE($H1783,"*","-"),MgAmenClave,0)),"No aplica")</f>
        <v/>
      </c>
      <c r="P1783" s="28">
        <f>IFERROR(INDEX(MgAmenDegC,MATCH(SUBSTITUTE($H1783,"*","-"),MgAmenClave,0)),"No aplica")</f>
        <v/>
      </c>
      <c r="Q1783" s="29">
        <f>IFERROR(VLOOKUP(K1783,MgValor,2,0)*VLOOKUP(N1783,MgDeg,2,0),0)</f>
        <v/>
      </c>
      <c r="R1783" s="29">
        <f>IFERROR(VLOOKUP(L1783,MgValor,2,0)*VLOOKUP(O1783,MgDeg,2,0),0)</f>
        <v/>
      </c>
      <c r="S1783" s="29">
        <f>IFERROR(VLOOKUP(M1783,MgValor,2,0)*VLOOKUP(P1783,MgDeg,2,0),0)</f>
        <v/>
      </c>
      <c r="T1783" s="30">
        <f>MAX(Q1783:S1783)</f>
        <v/>
      </c>
      <c r="U1783" s="28">
        <f>IFERROR(LOOKUP(T1783,{0;0.5;1.5;3;4.5},{"Despreciable";"Bajo";"Medio";"Alto";"Muy alto"}),"")</f>
        <v/>
      </c>
      <c r="V1783" s="13">
        <f>IFERROR(INDEX(MgAmenFrec,MATCH(SUBSTITUTE($H1783,"*","-"),MgAmenClave,0)),"")</f>
        <v/>
      </c>
      <c r="W1783" s="28">
        <f>IFERROR(LOOKUP(X1783,{0;0.01;0.1;1;10;100},{"Muy baja";"Muy baja";"Baja";"Media";"Alta";"Muy alta"}),"")</f>
        <v/>
      </c>
      <c r="X1783" s="31">
        <f>IFERROR(VLOOKUP(V1783,MgFrec,2,0),0)</f>
        <v/>
      </c>
      <c r="Y1783" s="30">
        <f>T1783*X1783</f>
        <v/>
      </c>
      <c r="Z1783" s="28">
        <f>IFERROR(LOOKUP(Y1783,{0;0.5;5;25},{"Bajo";"Medio";"Alto";"Crítico"}),"")</f>
        <v/>
      </c>
      <c r="AA1783" s="64">
        <f>IF(T1783&gt;=3,IF(X1783&gt;=1,"Zona 1 — Crítica: impacto alto y ocurre al menos una vez al año","Zona 4 — Catastrófica poco probable: impacto alto pero excepcional"),IF(AND(T1783&lt;1.5,X1783&lt;1),"Zona 3 — Asumible: impacto bajo y muy poco frecuente","Zona 2 — Atención: riesgo intermedio"))</f>
        <v/>
      </c>
      <c r="AB1783" s="64">
        <f>IFERROR(INDEX(MgAmenCtrl,MATCH(SUBSTITUTE($H1783,"*","-"),MgAmenClave,0)),"")</f>
        <v/>
      </c>
      <c r="AC1783" s="20" t="n"/>
      <c r="AD1783" s="31">
        <f>IFERROR($X1783*(1-IF($AC1783="",$AL1783,VLOOKUP($AC1783,MgMad,2,0))),"")</f>
        <v/>
      </c>
      <c r="AE1783" s="28">
        <f>IFERROR(LOOKUP(AD1783,{0;0.01;0.1;1;10;100},{"Muy baja";"Muy baja";"Baja";"Media";"Alta";"Muy alta"}),"")</f>
        <v/>
      </c>
      <c r="AF1783" s="30">
        <f>T1783*AD1783</f>
        <v/>
      </c>
      <c r="AG1783" s="28">
        <f>IFERROR(LOOKUP(AF1783,{0;0.5;5;25},{"Bajo";"Medio";"Alto";"Crítico"}),"")</f>
        <v/>
      </c>
      <c r="AH1783" s="28">
        <f>IF(AG1783="","",IF(OR(AG1783="Crítico",AG1783="Alto"),"Mitigar",IF(AG1783="Medio","Mitigar","Aceptar y monitorear")))</f>
        <v/>
      </c>
      <c r="AI1783" s="21" t="n"/>
      <c r="AJ1783" s="21" t="n"/>
      <c r="AK1783" s="20" t="n"/>
      <c r="AL1783" s="77">
        <f>IFERROR(INDEX(MgAmenEfic,MATCH(SUBSTITUTE($H1783,"*","-"),MgAmenClave,0)),0)</f>
        <v/>
      </c>
    </row>
    <row r="1784" hidden="1" ht="75" customHeight="1" s="54">
      <c r="B1784" s="59" t="inlineStr">
        <is>
          <t>R-1779</t>
        </is>
      </c>
      <c r="C1784" s="59" t="inlineStr">
        <is>
          <t>FIN-16</t>
        </is>
      </c>
      <c r="D1784" s="64">
        <f>IFERROR(INDEX(MgNombre,MATCH($C1784,MgActId,0)),"")</f>
        <v/>
      </c>
      <c r="E1784" s="64">
        <f>IFERROR(INDEX(MgProceso,MATCH($C1784,MgActId,0)),"")</f>
        <v/>
      </c>
      <c r="F1784" s="64">
        <f>IFERROR(INDEX(MgTipo,MATCH($C1784,MgActId,0)),"")</f>
        <v/>
      </c>
      <c r="G1784" s="64">
        <f>IFERROR(INDEX(MgSubtipo,MATCH($C1784,MgActId,0)),"")</f>
        <v/>
      </c>
      <c r="H1784" s="59" t="inlineStr">
        <is>
          <t>A.28</t>
        </is>
      </c>
      <c r="I1784" s="64">
        <f>IFERROR(INDEX(MgAmenNombre,MATCH(SUBSTITUTE($H1784,"*","-"),MgAmenClave,0)),"")</f>
        <v/>
      </c>
      <c r="J1784" s="28">
        <f>IFERROR(INDEX(MgAmenGrupo,MATCH(SUBSTITUTE($H1784,"*","-"),MgAmenClave,0)),"")</f>
        <v/>
      </c>
      <c r="K1784" s="64">
        <f>IFERROR(INDEX('1. Matriz de Activos'!$Q$6:$Q$239,MATCH($C1784,MgActId,0)),"")</f>
        <v/>
      </c>
      <c r="L1784" s="64">
        <f>IFERROR(INDEX('1. Matriz de Activos'!$R$6:$R$239,MATCH($C1784,MgActId,0)),"")</f>
        <v/>
      </c>
      <c r="M1784" s="64">
        <f>IFERROR(INDEX('1. Matriz de Activos'!$S$6:$S$239,MATCH($C1784,MgActId,0)),"")</f>
        <v/>
      </c>
      <c r="N1784" s="28">
        <f>IFERROR(INDEX(MgAmenDegD,MATCH(SUBSTITUTE($H1784,"*","-"),MgAmenClave,0)),"No aplica")</f>
        <v/>
      </c>
      <c r="O1784" s="28">
        <f>IFERROR(INDEX(MgAmenDegI,MATCH(SUBSTITUTE($H1784,"*","-"),MgAmenClave,0)),"No aplica")</f>
        <v/>
      </c>
      <c r="P1784" s="28">
        <f>IFERROR(INDEX(MgAmenDegC,MATCH(SUBSTITUTE($H1784,"*","-"),MgAmenClave,0)),"No aplica")</f>
        <v/>
      </c>
      <c r="Q1784" s="29">
        <f>IFERROR(VLOOKUP(K1784,MgValor,2,0)*VLOOKUP(N1784,MgDeg,2,0),0)</f>
        <v/>
      </c>
      <c r="R1784" s="29">
        <f>IFERROR(VLOOKUP(L1784,MgValor,2,0)*VLOOKUP(O1784,MgDeg,2,0),0)</f>
        <v/>
      </c>
      <c r="S1784" s="29">
        <f>IFERROR(VLOOKUP(M1784,MgValor,2,0)*VLOOKUP(P1784,MgDeg,2,0),0)</f>
        <v/>
      </c>
      <c r="T1784" s="30">
        <f>MAX(Q1784:S1784)</f>
        <v/>
      </c>
      <c r="U1784" s="28">
        <f>IFERROR(LOOKUP(T1784,{0;0.5;1.5;3;4.5},{"Despreciable";"Bajo";"Medio";"Alto";"Muy alto"}),"")</f>
        <v/>
      </c>
      <c r="V1784" s="13">
        <f>IFERROR(INDEX(MgAmenFrec,MATCH(SUBSTITUTE($H1784,"*","-"),MgAmenClave,0)),"")</f>
        <v/>
      </c>
      <c r="W1784" s="28">
        <f>IFERROR(LOOKUP(X1784,{0;0.01;0.1;1;10;100},{"Muy baja";"Muy baja";"Baja";"Media";"Alta";"Muy alta"}),"")</f>
        <v/>
      </c>
      <c r="X1784" s="31">
        <f>IFERROR(VLOOKUP(V1784,MgFrec,2,0),0)</f>
        <v/>
      </c>
      <c r="Y1784" s="30">
        <f>T1784*X1784</f>
        <v/>
      </c>
      <c r="Z1784" s="28">
        <f>IFERROR(LOOKUP(Y1784,{0;0.5;5;25},{"Bajo";"Medio";"Alto";"Crítico"}),"")</f>
        <v/>
      </c>
      <c r="AA1784" s="64">
        <f>IF(T1784&gt;=3,IF(X1784&gt;=1,"Zona 1 — Crítica: impacto alto y ocurre al menos una vez al año","Zona 4 — Catastrófica poco probable: impacto alto pero excepcional"),IF(AND(T1784&lt;1.5,X1784&lt;1),"Zona 3 — Asumible: impacto bajo y muy poco frecuente","Zona 2 — Atención: riesgo intermedio"))</f>
        <v/>
      </c>
      <c r="AB1784" s="64">
        <f>IFERROR(INDEX(MgAmenCtrl,MATCH(SUBSTITUTE($H1784,"*","-"),MgAmenClave,0)),"")</f>
        <v/>
      </c>
      <c r="AC1784" s="20" t="n"/>
      <c r="AD1784" s="31">
        <f>IFERROR($X1784*(1-IF($AC1784="",$AL1784,VLOOKUP($AC1784,MgMad,2,0))),"")</f>
        <v/>
      </c>
      <c r="AE1784" s="28">
        <f>IFERROR(LOOKUP(AD1784,{0;0.01;0.1;1;10;100},{"Muy baja";"Muy baja";"Baja";"Media";"Alta";"Muy alta"}),"")</f>
        <v/>
      </c>
      <c r="AF1784" s="30">
        <f>T1784*AD1784</f>
        <v/>
      </c>
      <c r="AG1784" s="28">
        <f>IFERROR(LOOKUP(AF1784,{0;0.5;5;25},{"Bajo";"Medio";"Alto";"Crítico"}),"")</f>
        <v/>
      </c>
      <c r="AH1784" s="28">
        <f>IF(AG1784="","",IF(OR(AG1784="Crítico",AG1784="Alto"),"Mitigar",IF(AG1784="Medio","Mitigar","Aceptar y monitorear")))</f>
        <v/>
      </c>
      <c r="AI1784" s="21" t="n"/>
      <c r="AJ1784" s="21" t="n"/>
      <c r="AK1784" s="20" t="n"/>
      <c r="AL1784" s="77">
        <f>IFERROR(INDEX(MgAmenEfic,MATCH(SUBSTITUTE($H1784,"*","-"),MgAmenClave,0)),0)</f>
        <v/>
      </c>
    </row>
    <row r="1785" hidden="1" ht="90" customHeight="1" s="54">
      <c r="B1785" s="59" t="inlineStr">
        <is>
          <t>R-1780</t>
        </is>
      </c>
      <c r="C1785" s="59" t="inlineStr">
        <is>
          <t>FIN-16</t>
        </is>
      </c>
      <c r="D1785" s="64">
        <f>IFERROR(INDEX(MgNombre,MATCH($C1785,MgActId,0)),"")</f>
        <v/>
      </c>
      <c r="E1785" s="64">
        <f>IFERROR(INDEX(MgProceso,MATCH($C1785,MgActId,0)),"")</f>
        <v/>
      </c>
      <c r="F1785" s="64">
        <f>IFERROR(INDEX(MgTipo,MATCH($C1785,MgActId,0)),"")</f>
        <v/>
      </c>
      <c r="G1785" s="64">
        <f>IFERROR(INDEX(MgSubtipo,MATCH($C1785,MgActId,0)),"")</f>
        <v/>
      </c>
      <c r="H1785" s="59" t="inlineStr">
        <is>
          <t>A.29</t>
        </is>
      </c>
      <c r="I1785" s="64">
        <f>IFERROR(INDEX(MgAmenNombre,MATCH(SUBSTITUTE($H1785,"*","-"),MgAmenClave,0)),"")</f>
        <v/>
      </c>
      <c r="J1785" s="28">
        <f>IFERROR(INDEX(MgAmenGrupo,MATCH(SUBSTITUTE($H1785,"*","-"),MgAmenClave,0)),"")</f>
        <v/>
      </c>
      <c r="K1785" s="64">
        <f>IFERROR(INDEX('1. Matriz de Activos'!$Q$6:$Q$239,MATCH($C1785,MgActId,0)),"")</f>
        <v/>
      </c>
      <c r="L1785" s="64">
        <f>IFERROR(INDEX('1. Matriz de Activos'!$R$6:$R$239,MATCH($C1785,MgActId,0)),"")</f>
        <v/>
      </c>
      <c r="M1785" s="64">
        <f>IFERROR(INDEX('1. Matriz de Activos'!$S$6:$S$239,MATCH($C1785,MgActId,0)),"")</f>
        <v/>
      </c>
      <c r="N1785" s="28">
        <f>IFERROR(INDEX(MgAmenDegD,MATCH(SUBSTITUTE($H1785,"*","-"),MgAmenClave,0)),"No aplica")</f>
        <v/>
      </c>
      <c r="O1785" s="28">
        <f>IFERROR(INDEX(MgAmenDegI,MATCH(SUBSTITUTE($H1785,"*","-"),MgAmenClave,0)),"No aplica")</f>
        <v/>
      </c>
      <c r="P1785" s="28">
        <f>IFERROR(INDEX(MgAmenDegC,MATCH(SUBSTITUTE($H1785,"*","-"),MgAmenClave,0)),"No aplica")</f>
        <v/>
      </c>
      <c r="Q1785" s="29">
        <f>IFERROR(VLOOKUP(K1785,MgValor,2,0)*VLOOKUP(N1785,MgDeg,2,0),0)</f>
        <v/>
      </c>
      <c r="R1785" s="29">
        <f>IFERROR(VLOOKUP(L1785,MgValor,2,0)*VLOOKUP(O1785,MgDeg,2,0),0)</f>
        <v/>
      </c>
      <c r="S1785" s="29">
        <f>IFERROR(VLOOKUP(M1785,MgValor,2,0)*VLOOKUP(P1785,MgDeg,2,0),0)</f>
        <v/>
      </c>
      <c r="T1785" s="30">
        <f>MAX(Q1785:S1785)</f>
        <v/>
      </c>
      <c r="U1785" s="28">
        <f>IFERROR(LOOKUP(T1785,{0;0.5;1.5;3;4.5},{"Despreciable";"Bajo";"Medio";"Alto";"Muy alto"}),"")</f>
        <v/>
      </c>
      <c r="V1785" s="13">
        <f>IFERROR(INDEX(MgAmenFrec,MATCH(SUBSTITUTE($H1785,"*","-"),MgAmenClave,0)),"")</f>
        <v/>
      </c>
      <c r="W1785" s="28">
        <f>IFERROR(LOOKUP(X1785,{0;0.01;0.1;1;10;100},{"Muy baja";"Muy baja";"Baja";"Media";"Alta";"Muy alta"}),"")</f>
        <v/>
      </c>
      <c r="X1785" s="31">
        <f>IFERROR(VLOOKUP(V1785,MgFrec,2,0),0)</f>
        <v/>
      </c>
      <c r="Y1785" s="30">
        <f>T1785*X1785</f>
        <v/>
      </c>
      <c r="Z1785" s="28">
        <f>IFERROR(LOOKUP(Y1785,{0;0.5;5;25},{"Bajo";"Medio";"Alto";"Crítico"}),"")</f>
        <v/>
      </c>
      <c r="AA1785" s="64">
        <f>IF(T1785&gt;=3,IF(X1785&gt;=1,"Zona 1 — Crítica: impacto alto y ocurre al menos una vez al año","Zona 4 — Catastrófica poco probable: impacto alto pero excepcional"),IF(AND(T1785&lt;1.5,X1785&lt;1),"Zona 3 — Asumible: impacto bajo y muy poco frecuente","Zona 2 — Atención: riesgo intermedio"))</f>
        <v/>
      </c>
      <c r="AB1785" s="64">
        <f>IFERROR(INDEX(MgAmenCtrl,MATCH(SUBSTITUTE($H1785,"*","-"),MgAmenClave,0)),"")</f>
        <v/>
      </c>
      <c r="AC1785" s="20" t="n"/>
      <c r="AD1785" s="31">
        <f>IFERROR($X1785*(1-IF($AC1785="",$AL1785,VLOOKUP($AC1785,MgMad,2,0))),"")</f>
        <v/>
      </c>
      <c r="AE1785" s="28">
        <f>IFERROR(LOOKUP(AD1785,{0;0.01;0.1;1;10;100},{"Muy baja";"Muy baja";"Baja";"Media";"Alta";"Muy alta"}),"")</f>
        <v/>
      </c>
      <c r="AF1785" s="30">
        <f>T1785*AD1785</f>
        <v/>
      </c>
      <c r="AG1785" s="28">
        <f>IFERROR(LOOKUP(AF1785,{0;0.5;5;25},{"Bajo";"Medio";"Alto";"Crítico"}),"")</f>
        <v/>
      </c>
      <c r="AH1785" s="28">
        <f>IF(AG1785="","",IF(OR(AG1785="Crítico",AG1785="Alto"),"Mitigar",IF(AG1785="Medio","Mitigar","Aceptar y monitorear")))</f>
        <v/>
      </c>
      <c r="AI1785" s="21" t="n"/>
      <c r="AJ1785" s="21" t="n"/>
      <c r="AK1785" s="20" t="n"/>
      <c r="AL1785" s="77">
        <f>IFERROR(INDEX(MgAmenEfic,MATCH(SUBSTITUTE($H1785,"*","-"),MgAmenClave,0)),0)</f>
        <v/>
      </c>
    </row>
    <row r="1786" hidden="1" ht="105" customHeight="1" s="54">
      <c r="B1786" s="59" t="inlineStr">
        <is>
          <t>R-1781</t>
        </is>
      </c>
      <c r="C1786" s="59" t="inlineStr">
        <is>
          <t>FIN-16</t>
        </is>
      </c>
      <c r="D1786" s="64">
        <f>IFERROR(INDEX(MgNombre,MATCH($C1786,MgActId,0)),"")</f>
        <v/>
      </c>
      <c r="E1786" s="64">
        <f>IFERROR(INDEX(MgProceso,MATCH($C1786,MgActId,0)),"")</f>
        <v/>
      </c>
      <c r="F1786" s="64">
        <f>IFERROR(INDEX(MgTipo,MATCH($C1786,MgActId,0)),"")</f>
        <v/>
      </c>
      <c r="G1786" s="64">
        <f>IFERROR(INDEX(MgSubtipo,MATCH($C1786,MgActId,0)),"")</f>
        <v/>
      </c>
      <c r="H1786" s="59" t="inlineStr">
        <is>
          <t>A.30</t>
        </is>
      </c>
      <c r="I1786" s="64">
        <f>IFERROR(INDEX(MgAmenNombre,MATCH(SUBSTITUTE($H1786,"*","-"),MgAmenClave,0)),"")</f>
        <v/>
      </c>
      <c r="J1786" s="28">
        <f>IFERROR(INDEX(MgAmenGrupo,MATCH(SUBSTITUTE($H1786,"*","-"),MgAmenClave,0)),"")</f>
        <v/>
      </c>
      <c r="K1786" s="64">
        <f>IFERROR(INDEX('1. Matriz de Activos'!$Q$6:$Q$239,MATCH($C1786,MgActId,0)),"")</f>
        <v/>
      </c>
      <c r="L1786" s="64">
        <f>IFERROR(INDEX('1. Matriz de Activos'!$R$6:$R$239,MATCH($C1786,MgActId,0)),"")</f>
        <v/>
      </c>
      <c r="M1786" s="64">
        <f>IFERROR(INDEX('1. Matriz de Activos'!$S$6:$S$239,MATCH($C1786,MgActId,0)),"")</f>
        <v/>
      </c>
      <c r="N1786" s="28">
        <f>IFERROR(INDEX(MgAmenDegD,MATCH(SUBSTITUTE($H1786,"*","-"),MgAmenClave,0)),"No aplica")</f>
        <v/>
      </c>
      <c r="O1786" s="28">
        <f>IFERROR(INDEX(MgAmenDegI,MATCH(SUBSTITUTE($H1786,"*","-"),MgAmenClave,0)),"No aplica")</f>
        <v/>
      </c>
      <c r="P1786" s="28">
        <f>IFERROR(INDEX(MgAmenDegC,MATCH(SUBSTITUTE($H1786,"*","-"),MgAmenClave,0)),"No aplica")</f>
        <v/>
      </c>
      <c r="Q1786" s="29">
        <f>IFERROR(VLOOKUP(K1786,MgValor,2,0)*VLOOKUP(N1786,MgDeg,2,0),0)</f>
        <v/>
      </c>
      <c r="R1786" s="29">
        <f>IFERROR(VLOOKUP(L1786,MgValor,2,0)*VLOOKUP(O1786,MgDeg,2,0),0)</f>
        <v/>
      </c>
      <c r="S1786" s="29">
        <f>IFERROR(VLOOKUP(M1786,MgValor,2,0)*VLOOKUP(P1786,MgDeg,2,0),0)</f>
        <v/>
      </c>
      <c r="T1786" s="30">
        <f>MAX(Q1786:S1786)</f>
        <v/>
      </c>
      <c r="U1786" s="28">
        <f>IFERROR(LOOKUP(T1786,{0;0.5;1.5;3;4.5},{"Despreciable";"Bajo";"Medio";"Alto";"Muy alto"}),"")</f>
        <v/>
      </c>
      <c r="V1786" s="13">
        <f>IFERROR(INDEX(MgAmenFrec,MATCH(SUBSTITUTE($H1786,"*","-"),MgAmenClave,0)),"")</f>
        <v/>
      </c>
      <c r="W1786" s="28">
        <f>IFERROR(LOOKUP(X1786,{0;0.01;0.1;1;10;100},{"Muy baja";"Muy baja";"Baja";"Media";"Alta";"Muy alta"}),"")</f>
        <v/>
      </c>
      <c r="X1786" s="31">
        <f>IFERROR(VLOOKUP(V1786,MgFrec,2,0),0)</f>
        <v/>
      </c>
      <c r="Y1786" s="30">
        <f>T1786*X1786</f>
        <v/>
      </c>
      <c r="Z1786" s="28">
        <f>IFERROR(LOOKUP(Y1786,{0;0.5;5;25},{"Bajo";"Medio";"Alto";"Crítico"}),"")</f>
        <v/>
      </c>
      <c r="AA1786" s="64">
        <f>IF(T1786&gt;=3,IF(X1786&gt;=1,"Zona 1 — Crítica: impacto alto y ocurre al menos una vez al año","Zona 4 — Catastrófica poco probable: impacto alto pero excepcional"),IF(AND(T1786&lt;1.5,X1786&lt;1),"Zona 3 — Asumible: impacto bajo y muy poco frecuente","Zona 2 — Atención: riesgo intermedio"))</f>
        <v/>
      </c>
      <c r="AB1786" s="64">
        <f>IFERROR(INDEX(MgAmenCtrl,MATCH(SUBSTITUTE($H1786,"*","-"),MgAmenClave,0)),"")</f>
        <v/>
      </c>
      <c r="AC1786" s="20" t="n"/>
      <c r="AD1786" s="31">
        <f>IFERROR($X1786*(1-IF($AC1786="",$AL1786,VLOOKUP($AC1786,MgMad,2,0))),"")</f>
        <v/>
      </c>
      <c r="AE1786" s="28">
        <f>IFERROR(LOOKUP(AD1786,{0;0.01;0.1;1;10;100},{"Muy baja";"Muy baja";"Baja";"Media";"Alta";"Muy alta"}),"")</f>
        <v/>
      </c>
      <c r="AF1786" s="30">
        <f>T1786*AD1786</f>
        <v/>
      </c>
      <c r="AG1786" s="28">
        <f>IFERROR(LOOKUP(AF1786,{0;0.5;5;25},{"Bajo";"Medio";"Alto";"Crítico"}),"")</f>
        <v/>
      </c>
      <c r="AH1786" s="28">
        <f>IF(AG1786="","",IF(OR(AG1786="Crítico",AG1786="Alto"),"Mitigar",IF(AG1786="Medio","Mitigar","Aceptar y monitorear")))</f>
        <v/>
      </c>
      <c r="AI1786" s="21" t="n"/>
      <c r="AJ1786" s="21" t="n"/>
      <c r="AK1786" s="20" t="n"/>
      <c r="AL1786" s="77">
        <f>IFERROR(INDEX(MgAmenEfic,MATCH(SUBSTITUTE($H1786,"*","-"),MgAmenClave,0)),0)</f>
        <v/>
      </c>
    </row>
    <row r="1787" hidden="1" ht="150" customHeight="1" s="54">
      <c r="B1787" s="59" t="inlineStr">
        <is>
          <t>R-1782</t>
        </is>
      </c>
      <c r="C1787" s="59" t="inlineStr">
        <is>
          <t>LCO-09</t>
        </is>
      </c>
      <c r="D1787" s="64">
        <f>IFERROR(INDEX(MgNombre,MATCH($C1787,MgActId,0)),"")</f>
        <v/>
      </c>
      <c r="E1787" s="64">
        <f>IFERROR(INDEX(MgProceso,MATCH($C1787,MgActId,0)),"")</f>
        <v/>
      </c>
      <c r="F1787" s="64">
        <f>IFERROR(INDEX(MgTipo,MATCH($C1787,MgActId,0)),"")</f>
        <v/>
      </c>
      <c r="G1787" s="64">
        <f>IFERROR(INDEX(MgSubtipo,MATCH($C1787,MgActId,0)),"")</f>
        <v/>
      </c>
      <c r="H1787" s="59" t="inlineStr">
        <is>
          <t>E.7</t>
        </is>
      </c>
      <c r="I1787" s="64">
        <f>IFERROR(INDEX(MgAmenNombre,MATCH(SUBSTITUTE($H1787,"*","-"),MgAmenClave,0)),"")</f>
        <v/>
      </c>
      <c r="J1787" s="28">
        <f>IFERROR(INDEX(MgAmenGrupo,MATCH(SUBSTITUTE($H1787,"*","-"),MgAmenClave,0)),"")</f>
        <v/>
      </c>
      <c r="K1787" s="64">
        <f>IFERROR(INDEX('1. Matriz de Activos'!$Q$6:$Q$239,MATCH($C1787,MgActId,0)),"")</f>
        <v/>
      </c>
      <c r="L1787" s="64">
        <f>IFERROR(INDEX('1. Matriz de Activos'!$R$6:$R$239,MATCH($C1787,MgActId,0)),"")</f>
        <v/>
      </c>
      <c r="M1787" s="64">
        <f>IFERROR(INDEX('1. Matriz de Activos'!$S$6:$S$239,MATCH($C1787,MgActId,0)),"")</f>
        <v/>
      </c>
      <c r="N1787" s="28">
        <f>IFERROR(INDEX(MgAmenDegD,MATCH(SUBSTITUTE($H1787,"*","-"),MgAmenClave,0)),"No aplica")</f>
        <v/>
      </c>
      <c r="O1787" s="28">
        <f>IFERROR(INDEX(MgAmenDegI,MATCH(SUBSTITUTE($H1787,"*","-"),MgAmenClave,0)),"No aplica")</f>
        <v/>
      </c>
      <c r="P1787" s="28">
        <f>IFERROR(INDEX(MgAmenDegC,MATCH(SUBSTITUTE($H1787,"*","-"),MgAmenClave,0)),"No aplica")</f>
        <v/>
      </c>
      <c r="Q1787" s="29">
        <f>IFERROR(VLOOKUP(K1787,MgValor,2,0)*VLOOKUP(N1787,MgDeg,2,0),0)</f>
        <v/>
      </c>
      <c r="R1787" s="29">
        <f>IFERROR(VLOOKUP(L1787,MgValor,2,0)*VLOOKUP(O1787,MgDeg,2,0),0)</f>
        <v/>
      </c>
      <c r="S1787" s="29">
        <f>IFERROR(VLOOKUP(M1787,MgValor,2,0)*VLOOKUP(P1787,MgDeg,2,0),0)</f>
        <v/>
      </c>
      <c r="T1787" s="30">
        <f>MAX(Q1787:S1787)</f>
        <v/>
      </c>
      <c r="U1787" s="28">
        <f>IFERROR(LOOKUP(T1787,{0;0.5;1.5;3;4.5},{"Despreciable";"Bajo";"Medio";"Alto";"Muy alto"}),"")</f>
        <v/>
      </c>
      <c r="V1787" s="13">
        <f>IFERROR(INDEX(MgAmenFrec,MATCH(SUBSTITUTE($H1787,"*","-"),MgAmenClave,0)),"")</f>
        <v/>
      </c>
      <c r="W1787" s="28">
        <f>IFERROR(LOOKUP(X1787,{0;0.01;0.1;1;10;100},{"Muy baja";"Muy baja";"Baja";"Media";"Alta";"Muy alta"}),"")</f>
        <v/>
      </c>
      <c r="X1787" s="31">
        <f>IFERROR(VLOOKUP(V1787,MgFrec,2,0),0)</f>
        <v/>
      </c>
      <c r="Y1787" s="30">
        <f>T1787*X1787</f>
        <v/>
      </c>
      <c r="Z1787" s="28">
        <f>IFERROR(LOOKUP(Y1787,{0;0.5;5;25},{"Bajo";"Medio";"Alto";"Crítico"}),"")</f>
        <v/>
      </c>
      <c r="AA1787" s="64">
        <f>IF(T1787&gt;=3,IF(X1787&gt;=1,"Zona 1 — Crítica: impacto alto y ocurre al menos una vez al año","Zona 4 — Catastrófica poco probable: impacto alto pero excepcional"),IF(AND(T1787&lt;1.5,X1787&lt;1),"Zona 3 — Asumible: impacto bajo y muy poco frecuente","Zona 2 — Atención: riesgo intermedio"))</f>
        <v/>
      </c>
      <c r="AB1787" s="64">
        <f>IFERROR(INDEX(MgAmenCtrl,MATCH(SUBSTITUTE($H1787,"*","-"),MgAmenClave,0)),"")</f>
        <v/>
      </c>
      <c r="AC1787" s="20" t="n"/>
      <c r="AD1787" s="31">
        <f>IFERROR($X1787*(1-IF($AC1787="",$AL1787,VLOOKUP($AC1787,MgMad,2,0))),"")</f>
        <v/>
      </c>
      <c r="AE1787" s="28">
        <f>IFERROR(LOOKUP(AD1787,{0;0.01;0.1;1;10;100},{"Muy baja";"Muy baja";"Baja";"Media";"Alta";"Muy alta"}),"")</f>
        <v/>
      </c>
      <c r="AF1787" s="30">
        <f>T1787*AD1787</f>
        <v/>
      </c>
      <c r="AG1787" s="28">
        <f>IFERROR(LOOKUP(AF1787,{0;0.5;5;25},{"Bajo";"Medio";"Alto";"Crítico"}),"")</f>
        <v/>
      </c>
      <c r="AH1787" s="28">
        <f>IF(AG1787="","",IF(OR(AG1787="Crítico",AG1787="Alto"),"Mitigar",IF(AG1787="Medio","Mitigar","Aceptar y monitorear")))</f>
        <v/>
      </c>
      <c r="AI1787" s="21" t="n"/>
      <c r="AJ1787" s="21" t="n"/>
      <c r="AK1787" s="20" t="n"/>
      <c r="AL1787" s="77">
        <f>IFERROR(INDEX(MgAmenEfic,MATCH(SUBSTITUTE($H1787,"*","-"),MgAmenClave,0)),0)</f>
        <v/>
      </c>
    </row>
    <row r="1788" hidden="1" ht="90" customHeight="1" s="54">
      <c r="B1788" s="59" t="inlineStr">
        <is>
          <t>R-1783</t>
        </is>
      </c>
      <c r="C1788" s="59" t="inlineStr">
        <is>
          <t>LCO-09</t>
        </is>
      </c>
      <c r="D1788" s="64">
        <f>IFERROR(INDEX(MgNombre,MATCH($C1788,MgActId,0)),"")</f>
        <v/>
      </c>
      <c r="E1788" s="64">
        <f>IFERROR(INDEX(MgProceso,MATCH($C1788,MgActId,0)),"")</f>
        <v/>
      </c>
      <c r="F1788" s="64">
        <f>IFERROR(INDEX(MgTipo,MATCH($C1788,MgActId,0)),"")</f>
        <v/>
      </c>
      <c r="G1788" s="64">
        <f>IFERROR(INDEX(MgSubtipo,MATCH($C1788,MgActId,0)),"")</f>
        <v/>
      </c>
      <c r="H1788" s="59" t="inlineStr">
        <is>
          <t>E.14</t>
        </is>
      </c>
      <c r="I1788" s="64">
        <f>IFERROR(INDEX(MgAmenNombre,MATCH(SUBSTITUTE($H1788,"*","-"),MgAmenClave,0)),"")</f>
        <v/>
      </c>
      <c r="J1788" s="28">
        <f>IFERROR(INDEX(MgAmenGrupo,MATCH(SUBSTITUTE($H1788,"*","-"),MgAmenClave,0)),"")</f>
        <v/>
      </c>
      <c r="K1788" s="64">
        <f>IFERROR(INDEX('1. Matriz de Activos'!$Q$6:$Q$239,MATCH($C1788,MgActId,0)),"")</f>
        <v/>
      </c>
      <c r="L1788" s="64">
        <f>IFERROR(INDEX('1. Matriz de Activos'!$R$6:$R$239,MATCH($C1788,MgActId,0)),"")</f>
        <v/>
      </c>
      <c r="M1788" s="64">
        <f>IFERROR(INDEX('1. Matriz de Activos'!$S$6:$S$239,MATCH($C1788,MgActId,0)),"")</f>
        <v/>
      </c>
      <c r="N1788" s="28">
        <f>IFERROR(INDEX(MgAmenDegD,MATCH(SUBSTITUTE($H1788,"*","-"),MgAmenClave,0)),"No aplica")</f>
        <v/>
      </c>
      <c r="O1788" s="28">
        <f>IFERROR(INDEX(MgAmenDegI,MATCH(SUBSTITUTE($H1788,"*","-"),MgAmenClave,0)),"No aplica")</f>
        <v/>
      </c>
      <c r="P1788" s="28">
        <f>IFERROR(INDEX(MgAmenDegC,MATCH(SUBSTITUTE($H1788,"*","-"),MgAmenClave,0)),"No aplica")</f>
        <v/>
      </c>
      <c r="Q1788" s="29">
        <f>IFERROR(VLOOKUP(K1788,MgValor,2,0)*VLOOKUP(N1788,MgDeg,2,0),0)</f>
        <v/>
      </c>
      <c r="R1788" s="29">
        <f>IFERROR(VLOOKUP(L1788,MgValor,2,0)*VLOOKUP(O1788,MgDeg,2,0),0)</f>
        <v/>
      </c>
      <c r="S1788" s="29">
        <f>IFERROR(VLOOKUP(M1788,MgValor,2,0)*VLOOKUP(P1788,MgDeg,2,0),0)</f>
        <v/>
      </c>
      <c r="T1788" s="30">
        <f>MAX(Q1788:S1788)</f>
        <v/>
      </c>
      <c r="U1788" s="28">
        <f>IFERROR(LOOKUP(T1788,{0;0.5;1.5;3;4.5},{"Despreciable";"Bajo";"Medio";"Alto";"Muy alto"}),"")</f>
        <v/>
      </c>
      <c r="V1788" s="13">
        <f>IFERROR(INDEX(MgAmenFrec,MATCH(SUBSTITUTE($H1788,"*","-"),MgAmenClave,0)),"")</f>
        <v/>
      </c>
      <c r="W1788" s="28">
        <f>IFERROR(LOOKUP(X1788,{0;0.01;0.1;1;10;100},{"Muy baja";"Muy baja";"Baja";"Media";"Alta";"Muy alta"}),"")</f>
        <v/>
      </c>
      <c r="X1788" s="31">
        <f>IFERROR(VLOOKUP(V1788,MgFrec,2,0),0)</f>
        <v/>
      </c>
      <c r="Y1788" s="30">
        <f>T1788*X1788</f>
        <v/>
      </c>
      <c r="Z1788" s="28">
        <f>IFERROR(LOOKUP(Y1788,{0;0.5;5;25},{"Bajo";"Medio";"Alto";"Crítico"}),"")</f>
        <v/>
      </c>
      <c r="AA1788" s="64">
        <f>IF(T1788&gt;=3,IF(X1788&gt;=1,"Zona 1 — Crítica: impacto alto y ocurre al menos una vez al año","Zona 4 — Catastrófica poco probable: impacto alto pero excepcional"),IF(AND(T1788&lt;1.5,X1788&lt;1),"Zona 3 — Asumible: impacto bajo y muy poco frecuente","Zona 2 — Atención: riesgo intermedio"))</f>
        <v/>
      </c>
      <c r="AB1788" s="64">
        <f>IFERROR(INDEX(MgAmenCtrl,MATCH(SUBSTITUTE($H1788,"*","-"),MgAmenClave,0)),"")</f>
        <v/>
      </c>
      <c r="AC1788" s="20" t="n"/>
      <c r="AD1788" s="31">
        <f>IFERROR($X1788*(1-IF($AC1788="",$AL1788,VLOOKUP($AC1788,MgMad,2,0))),"")</f>
        <v/>
      </c>
      <c r="AE1788" s="28">
        <f>IFERROR(LOOKUP(AD1788,{0;0.01;0.1;1;10;100},{"Muy baja";"Muy baja";"Baja";"Media";"Alta";"Muy alta"}),"")</f>
        <v/>
      </c>
      <c r="AF1788" s="30">
        <f>T1788*AD1788</f>
        <v/>
      </c>
      <c r="AG1788" s="28">
        <f>IFERROR(LOOKUP(AF1788,{0;0.5;5;25},{"Bajo";"Medio";"Alto";"Crítico"}),"")</f>
        <v/>
      </c>
      <c r="AH1788" s="28">
        <f>IF(AG1788="","",IF(OR(AG1788="Crítico",AG1788="Alto"),"Mitigar",IF(AG1788="Medio","Mitigar","Aceptar y monitorear")))</f>
        <v/>
      </c>
      <c r="AI1788" s="21" t="n"/>
      <c r="AJ1788" s="21" t="n"/>
      <c r="AK1788" s="20" t="n"/>
      <c r="AL1788" s="77">
        <f>IFERROR(INDEX(MgAmenEfic,MATCH(SUBSTITUTE($H1788,"*","-"),MgAmenClave,0)),0)</f>
        <v/>
      </c>
    </row>
    <row r="1789" hidden="1" ht="105" customHeight="1" s="54">
      <c r="B1789" s="59" t="inlineStr">
        <is>
          <t>R-1784</t>
        </is>
      </c>
      <c r="C1789" s="59" t="inlineStr">
        <is>
          <t>LCO-09</t>
        </is>
      </c>
      <c r="D1789" s="64">
        <f>IFERROR(INDEX(MgNombre,MATCH($C1789,MgActId,0)),"")</f>
        <v/>
      </c>
      <c r="E1789" s="64">
        <f>IFERROR(INDEX(MgProceso,MATCH($C1789,MgActId,0)),"")</f>
        <v/>
      </c>
      <c r="F1789" s="64">
        <f>IFERROR(INDEX(MgTipo,MATCH($C1789,MgActId,0)),"")</f>
        <v/>
      </c>
      <c r="G1789" s="64">
        <f>IFERROR(INDEX(MgSubtipo,MATCH($C1789,MgActId,0)),"")</f>
        <v/>
      </c>
      <c r="H1789" s="59" t="inlineStr">
        <is>
          <t>E.19</t>
        </is>
      </c>
      <c r="I1789" s="64">
        <f>IFERROR(INDEX(MgAmenNombre,MATCH(SUBSTITUTE($H1789,"*","-"),MgAmenClave,0)),"")</f>
        <v/>
      </c>
      <c r="J1789" s="28">
        <f>IFERROR(INDEX(MgAmenGrupo,MATCH(SUBSTITUTE($H1789,"*","-"),MgAmenClave,0)),"")</f>
        <v/>
      </c>
      <c r="K1789" s="64">
        <f>IFERROR(INDEX('1. Matriz de Activos'!$Q$6:$Q$239,MATCH($C1789,MgActId,0)),"")</f>
        <v/>
      </c>
      <c r="L1789" s="64">
        <f>IFERROR(INDEX('1. Matriz de Activos'!$R$6:$R$239,MATCH($C1789,MgActId,0)),"")</f>
        <v/>
      </c>
      <c r="M1789" s="64">
        <f>IFERROR(INDEX('1. Matriz de Activos'!$S$6:$S$239,MATCH($C1789,MgActId,0)),"")</f>
        <v/>
      </c>
      <c r="N1789" s="28">
        <f>IFERROR(INDEX(MgAmenDegD,MATCH(SUBSTITUTE($H1789,"*","-"),MgAmenClave,0)),"No aplica")</f>
        <v/>
      </c>
      <c r="O1789" s="28">
        <f>IFERROR(INDEX(MgAmenDegI,MATCH(SUBSTITUTE($H1789,"*","-"),MgAmenClave,0)),"No aplica")</f>
        <v/>
      </c>
      <c r="P1789" s="28">
        <f>IFERROR(INDEX(MgAmenDegC,MATCH(SUBSTITUTE($H1789,"*","-"),MgAmenClave,0)),"No aplica")</f>
        <v/>
      </c>
      <c r="Q1789" s="29">
        <f>IFERROR(VLOOKUP(K1789,MgValor,2,0)*VLOOKUP(N1789,MgDeg,2,0),0)</f>
        <v/>
      </c>
      <c r="R1789" s="29">
        <f>IFERROR(VLOOKUP(L1789,MgValor,2,0)*VLOOKUP(O1789,MgDeg,2,0),0)</f>
        <v/>
      </c>
      <c r="S1789" s="29">
        <f>IFERROR(VLOOKUP(M1789,MgValor,2,0)*VLOOKUP(P1789,MgDeg,2,0),0)</f>
        <v/>
      </c>
      <c r="T1789" s="30">
        <f>MAX(Q1789:S1789)</f>
        <v/>
      </c>
      <c r="U1789" s="28">
        <f>IFERROR(LOOKUP(T1789,{0;0.5;1.5;3;4.5},{"Despreciable";"Bajo";"Medio";"Alto";"Muy alto"}),"")</f>
        <v/>
      </c>
      <c r="V1789" s="13">
        <f>IFERROR(INDEX(MgAmenFrec,MATCH(SUBSTITUTE($H1789,"*","-"),MgAmenClave,0)),"")</f>
        <v/>
      </c>
      <c r="W1789" s="28">
        <f>IFERROR(LOOKUP(X1789,{0;0.01;0.1;1;10;100},{"Muy baja";"Muy baja";"Baja";"Media";"Alta";"Muy alta"}),"")</f>
        <v/>
      </c>
      <c r="X1789" s="31">
        <f>IFERROR(VLOOKUP(V1789,MgFrec,2,0),0)</f>
        <v/>
      </c>
      <c r="Y1789" s="30">
        <f>T1789*X1789</f>
        <v/>
      </c>
      <c r="Z1789" s="28">
        <f>IFERROR(LOOKUP(Y1789,{0;0.5;5;25},{"Bajo";"Medio";"Alto";"Crítico"}),"")</f>
        <v/>
      </c>
      <c r="AA1789" s="64">
        <f>IF(T1789&gt;=3,IF(X1789&gt;=1,"Zona 1 — Crítica: impacto alto y ocurre al menos una vez al año","Zona 4 — Catastrófica poco probable: impacto alto pero excepcional"),IF(AND(T1789&lt;1.5,X1789&lt;1),"Zona 3 — Asumible: impacto bajo y muy poco frecuente","Zona 2 — Atención: riesgo intermedio"))</f>
        <v/>
      </c>
      <c r="AB1789" s="64">
        <f>IFERROR(INDEX(MgAmenCtrl,MATCH(SUBSTITUTE($H1789,"*","-"),MgAmenClave,0)),"")</f>
        <v/>
      </c>
      <c r="AC1789" s="20" t="n"/>
      <c r="AD1789" s="31">
        <f>IFERROR($X1789*(1-IF($AC1789="",$AL1789,VLOOKUP($AC1789,MgMad,2,0))),"")</f>
        <v/>
      </c>
      <c r="AE1789" s="28">
        <f>IFERROR(LOOKUP(AD1789,{0;0.01;0.1;1;10;100},{"Muy baja";"Muy baja";"Baja";"Media";"Alta";"Muy alta"}),"")</f>
        <v/>
      </c>
      <c r="AF1789" s="30">
        <f>T1789*AD1789</f>
        <v/>
      </c>
      <c r="AG1789" s="28">
        <f>IFERROR(LOOKUP(AF1789,{0;0.5;5;25},{"Bajo";"Medio";"Alto";"Crítico"}),"")</f>
        <v/>
      </c>
      <c r="AH1789" s="28">
        <f>IF(AG1789="","",IF(OR(AG1789="Crítico",AG1789="Alto"),"Mitigar",IF(AG1789="Medio","Mitigar","Aceptar y monitorear")))</f>
        <v/>
      </c>
      <c r="AI1789" s="21" t="n"/>
      <c r="AJ1789" s="21" t="n"/>
      <c r="AK1789" s="20" t="n"/>
      <c r="AL1789" s="77">
        <f>IFERROR(INDEX(MgAmenEfic,MATCH(SUBSTITUTE($H1789,"*","-"),MgAmenClave,0)),0)</f>
        <v/>
      </c>
    </row>
    <row r="1790" hidden="1" ht="135" customHeight="1" s="54">
      <c r="B1790" s="59" t="inlineStr">
        <is>
          <t>R-1785</t>
        </is>
      </c>
      <c r="C1790" s="59" t="inlineStr">
        <is>
          <t>LCO-09</t>
        </is>
      </c>
      <c r="D1790" s="64">
        <f>IFERROR(INDEX(MgNombre,MATCH($C1790,MgActId,0)),"")</f>
        <v/>
      </c>
      <c r="E1790" s="64">
        <f>IFERROR(INDEX(MgProceso,MATCH($C1790,MgActId,0)),"")</f>
        <v/>
      </c>
      <c r="F1790" s="64">
        <f>IFERROR(INDEX(MgTipo,MATCH($C1790,MgActId,0)),"")</f>
        <v/>
      </c>
      <c r="G1790" s="64">
        <f>IFERROR(INDEX(MgSubtipo,MATCH($C1790,MgActId,0)),"")</f>
        <v/>
      </c>
      <c r="H1790" s="59" t="inlineStr">
        <is>
          <t>E.28</t>
        </is>
      </c>
      <c r="I1790" s="64">
        <f>IFERROR(INDEX(MgAmenNombre,MATCH(SUBSTITUTE($H1790,"*","-"),MgAmenClave,0)),"")</f>
        <v/>
      </c>
      <c r="J1790" s="28">
        <f>IFERROR(INDEX(MgAmenGrupo,MATCH(SUBSTITUTE($H1790,"*","-"),MgAmenClave,0)),"")</f>
        <v/>
      </c>
      <c r="K1790" s="64">
        <f>IFERROR(INDEX('1. Matriz de Activos'!$Q$6:$Q$239,MATCH($C1790,MgActId,0)),"")</f>
        <v/>
      </c>
      <c r="L1790" s="64">
        <f>IFERROR(INDEX('1. Matriz de Activos'!$R$6:$R$239,MATCH($C1790,MgActId,0)),"")</f>
        <v/>
      </c>
      <c r="M1790" s="64">
        <f>IFERROR(INDEX('1. Matriz de Activos'!$S$6:$S$239,MATCH($C1790,MgActId,0)),"")</f>
        <v/>
      </c>
      <c r="N1790" s="28">
        <f>IFERROR(INDEX(MgAmenDegD,MATCH(SUBSTITUTE($H1790,"*","-"),MgAmenClave,0)),"No aplica")</f>
        <v/>
      </c>
      <c r="O1790" s="28">
        <f>IFERROR(INDEX(MgAmenDegI,MATCH(SUBSTITUTE($H1790,"*","-"),MgAmenClave,0)),"No aplica")</f>
        <v/>
      </c>
      <c r="P1790" s="28">
        <f>IFERROR(INDEX(MgAmenDegC,MATCH(SUBSTITUTE($H1790,"*","-"),MgAmenClave,0)),"No aplica")</f>
        <v/>
      </c>
      <c r="Q1790" s="29">
        <f>IFERROR(VLOOKUP(K1790,MgValor,2,0)*VLOOKUP(N1790,MgDeg,2,0),0)</f>
        <v/>
      </c>
      <c r="R1790" s="29">
        <f>IFERROR(VLOOKUP(L1790,MgValor,2,0)*VLOOKUP(O1790,MgDeg,2,0),0)</f>
        <v/>
      </c>
      <c r="S1790" s="29">
        <f>IFERROR(VLOOKUP(M1790,MgValor,2,0)*VLOOKUP(P1790,MgDeg,2,0),0)</f>
        <v/>
      </c>
      <c r="T1790" s="30">
        <f>MAX(Q1790:S1790)</f>
        <v/>
      </c>
      <c r="U1790" s="28">
        <f>IFERROR(LOOKUP(T1790,{0;0.5;1.5;3;4.5},{"Despreciable";"Bajo";"Medio";"Alto";"Muy alto"}),"")</f>
        <v/>
      </c>
      <c r="V1790" s="13">
        <f>IFERROR(INDEX(MgAmenFrec,MATCH(SUBSTITUTE($H1790,"*","-"),MgAmenClave,0)),"")</f>
        <v/>
      </c>
      <c r="W1790" s="28">
        <f>IFERROR(LOOKUP(X1790,{0;0.01;0.1;1;10;100},{"Muy baja";"Muy baja";"Baja";"Media";"Alta";"Muy alta"}),"")</f>
        <v/>
      </c>
      <c r="X1790" s="31">
        <f>IFERROR(VLOOKUP(V1790,MgFrec,2,0),0)</f>
        <v/>
      </c>
      <c r="Y1790" s="30">
        <f>T1790*X1790</f>
        <v/>
      </c>
      <c r="Z1790" s="28">
        <f>IFERROR(LOOKUP(Y1790,{0;0.5;5;25},{"Bajo";"Medio";"Alto";"Crítico"}),"")</f>
        <v/>
      </c>
      <c r="AA1790" s="64">
        <f>IF(T1790&gt;=3,IF(X1790&gt;=1,"Zona 1 — Crítica: impacto alto y ocurre al menos una vez al año","Zona 4 — Catastrófica poco probable: impacto alto pero excepcional"),IF(AND(T1790&lt;1.5,X1790&lt;1),"Zona 3 — Asumible: impacto bajo y muy poco frecuente","Zona 2 — Atención: riesgo intermedio"))</f>
        <v/>
      </c>
      <c r="AB1790" s="64">
        <f>IFERROR(INDEX(MgAmenCtrl,MATCH(SUBSTITUTE($H1790,"*","-"),MgAmenClave,0)),"")</f>
        <v/>
      </c>
      <c r="AC1790" s="20" t="n"/>
      <c r="AD1790" s="31">
        <f>IFERROR($X1790*(1-IF($AC1790="",$AL1790,VLOOKUP($AC1790,MgMad,2,0))),"")</f>
        <v/>
      </c>
      <c r="AE1790" s="28">
        <f>IFERROR(LOOKUP(AD1790,{0;0.01;0.1;1;10;100},{"Muy baja";"Muy baja";"Baja";"Media";"Alta";"Muy alta"}),"")</f>
        <v/>
      </c>
      <c r="AF1790" s="30">
        <f>T1790*AD1790</f>
        <v/>
      </c>
      <c r="AG1790" s="28">
        <f>IFERROR(LOOKUP(AF1790,{0;0.5;5;25},{"Bajo";"Medio";"Alto";"Crítico"}),"")</f>
        <v/>
      </c>
      <c r="AH1790" s="28">
        <f>IF(AG1790="","",IF(OR(AG1790="Crítico",AG1790="Alto"),"Mitigar",IF(AG1790="Medio","Mitigar","Aceptar y monitorear")))</f>
        <v/>
      </c>
      <c r="AI1790" s="21" t="n"/>
      <c r="AJ1790" s="21" t="n"/>
      <c r="AK1790" s="20" t="n"/>
      <c r="AL1790" s="77">
        <f>IFERROR(INDEX(MgAmenEfic,MATCH(SUBSTITUTE($H1790,"*","-"),MgAmenClave,0)),0)</f>
        <v/>
      </c>
    </row>
    <row r="1791" hidden="1" ht="75" customHeight="1" s="54">
      <c r="B1791" s="59" t="inlineStr">
        <is>
          <t>R-1786</t>
        </is>
      </c>
      <c r="C1791" s="59" t="inlineStr">
        <is>
          <t>LCO-09</t>
        </is>
      </c>
      <c r="D1791" s="64">
        <f>IFERROR(INDEX(MgNombre,MATCH($C1791,MgActId,0)),"")</f>
        <v/>
      </c>
      <c r="E1791" s="64">
        <f>IFERROR(INDEX(MgProceso,MATCH($C1791,MgActId,0)),"")</f>
        <v/>
      </c>
      <c r="F1791" s="64">
        <f>IFERROR(INDEX(MgTipo,MATCH($C1791,MgActId,0)),"")</f>
        <v/>
      </c>
      <c r="G1791" s="64">
        <f>IFERROR(INDEX(MgSubtipo,MATCH($C1791,MgActId,0)),"")</f>
        <v/>
      </c>
      <c r="H1791" s="59" t="inlineStr">
        <is>
          <t>A.28</t>
        </is>
      </c>
      <c r="I1791" s="64">
        <f>IFERROR(INDEX(MgAmenNombre,MATCH(SUBSTITUTE($H1791,"*","-"),MgAmenClave,0)),"")</f>
        <v/>
      </c>
      <c r="J1791" s="28">
        <f>IFERROR(INDEX(MgAmenGrupo,MATCH(SUBSTITUTE($H1791,"*","-"),MgAmenClave,0)),"")</f>
        <v/>
      </c>
      <c r="K1791" s="64">
        <f>IFERROR(INDEX('1. Matriz de Activos'!$Q$6:$Q$239,MATCH($C1791,MgActId,0)),"")</f>
        <v/>
      </c>
      <c r="L1791" s="64">
        <f>IFERROR(INDEX('1. Matriz de Activos'!$R$6:$R$239,MATCH($C1791,MgActId,0)),"")</f>
        <v/>
      </c>
      <c r="M1791" s="64">
        <f>IFERROR(INDEX('1. Matriz de Activos'!$S$6:$S$239,MATCH($C1791,MgActId,0)),"")</f>
        <v/>
      </c>
      <c r="N1791" s="28">
        <f>IFERROR(INDEX(MgAmenDegD,MATCH(SUBSTITUTE($H1791,"*","-"),MgAmenClave,0)),"No aplica")</f>
        <v/>
      </c>
      <c r="O1791" s="28">
        <f>IFERROR(INDEX(MgAmenDegI,MATCH(SUBSTITUTE($H1791,"*","-"),MgAmenClave,0)),"No aplica")</f>
        <v/>
      </c>
      <c r="P1791" s="28">
        <f>IFERROR(INDEX(MgAmenDegC,MATCH(SUBSTITUTE($H1791,"*","-"),MgAmenClave,0)),"No aplica")</f>
        <v/>
      </c>
      <c r="Q1791" s="29">
        <f>IFERROR(VLOOKUP(K1791,MgValor,2,0)*VLOOKUP(N1791,MgDeg,2,0),0)</f>
        <v/>
      </c>
      <c r="R1791" s="29">
        <f>IFERROR(VLOOKUP(L1791,MgValor,2,0)*VLOOKUP(O1791,MgDeg,2,0),0)</f>
        <v/>
      </c>
      <c r="S1791" s="29">
        <f>IFERROR(VLOOKUP(M1791,MgValor,2,0)*VLOOKUP(P1791,MgDeg,2,0),0)</f>
        <v/>
      </c>
      <c r="T1791" s="30">
        <f>MAX(Q1791:S1791)</f>
        <v/>
      </c>
      <c r="U1791" s="28">
        <f>IFERROR(LOOKUP(T1791,{0;0.5;1.5;3;4.5},{"Despreciable";"Bajo";"Medio";"Alto";"Muy alto"}),"")</f>
        <v/>
      </c>
      <c r="V1791" s="13">
        <f>IFERROR(INDEX(MgAmenFrec,MATCH(SUBSTITUTE($H1791,"*","-"),MgAmenClave,0)),"")</f>
        <v/>
      </c>
      <c r="W1791" s="28">
        <f>IFERROR(LOOKUP(X1791,{0;0.01;0.1;1;10;100},{"Muy baja";"Muy baja";"Baja";"Media";"Alta";"Muy alta"}),"")</f>
        <v/>
      </c>
      <c r="X1791" s="31">
        <f>IFERROR(VLOOKUP(V1791,MgFrec,2,0),0)</f>
        <v/>
      </c>
      <c r="Y1791" s="30">
        <f>T1791*X1791</f>
        <v/>
      </c>
      <c r="Z1791" s="28">
        <f>IFERROR(LOOKUP(Y1791,{0;0.5;5;25},{"Bajo";"Medio";"Alto";"Crítico"}),"")</f>
        <v/>
      </c>
      <c r="AA1791" s="64">
        <f>IF(T1791&gt;=3,IF(X1791&gt;=1,"Zona 1 — Crítica: impacto alto y ocurre al menos una vez al año","Zona 4 — Catastrófica poco probable: impacto alto pero excepcional"),IF(AND(T1791&lt;1.5,X1791&lt;1),"Zona 3 — Asumible: impacto bajo y muy poco frecuente","Zona 2 — Atención: riesgo intermedio"))</f>
        <v/>
      </c>
      <c r="AB1791" s="64">
        <f>IFERROR(INDEX(MgAmenCtrl,MATCH(SUBSTITUTE($H1791,"*","-"),MgAmenClave,0)),"")</f>
        <v/>
      </c>
      <c r="AC1791" s="20" t="n"/>
      <c r="AD1791" s="31">
        <f>IFERROR($X1791*(1-IF($AC1791="",$AL1791,VLOOKUP($AC1791,MgMad,2,0))),"")</f>
        <v/>
      </c>
      <c r="AE1791" s="28">
        <f>IFERROR(LOOKUP(AD1791,{0;0.01;0.1;1;10;100},{"Muy baja";"Muy baja";"Baja";"Media";"Alta";"Muy alta"}),"")</f>
        <v/>
      </c>
      <c r="AF1791" s="30">
        <f>T1791*AD1791</f>
        <v/>
      </c>
      <c r="AG1791" s="28">
        <f>IFERROR(LOOKUP(AF1791,{0;0.5;5;25},{"Bajo";"Medio";"Alto";"Crítico"}),"")</f>
        <v/>
      </c>
      <c r="AH1791" s="28">
        <f>IF(AG1791="","",IF(OR(AG1791="Crítico",AG1791="Alto"),"Mitigar",IF(AG1791="Medio","Mitigar","Aceptar y monitorear")))</f>
        <v/>
      </c>
      <c r="AI1791" s="21" t="n"/>
      <c r="AJ1791" s="21" t="n"/>
      <c r="AK1791" s="20" t="n"/>
      <c r="AL1791" s="77">
        <f>IFERROR(INDEX(MgAmenEfic,MATCH(SUBSTITUTE($H1791,"*","-"),MgAmenClave,0)),0)</f>
        <v/>
      </c>
    </row>
    <row r="1792" hidden="1" ht="90" customHeight="1" s="54">
      <c r="B1792" s="59" t="inlineStr">
        <is>
          <t>R-1787</t>
        </is>
      </c>
      <c r="C1792" s="59" t="inlineStr">
        <is>
          <t>LCO-09</t>
        </is>
      </c>
      <c r="D1792" s="64">
        <f>IFERROR(INDEX(MgNombre,MATCH($C1792,MgActId,0)),"")</f>
        <v/>
      </c>
      <c r="E1792" s="64">
        <f>IFERROR(INDEX(MgProceso,MATCH($C1792,MgActId,0)),"")</f>
        <v/>
      </c>
      <c r="F1792" s="64">
        <f>IFERROR(INDEX(MgTipo,MATCH($C1792,MgActId,0)),"")</f>
        <v/>
      </c>
      <c r="G1792" s="64">
        <f>IFERROR(INDEX(MgSubtipo,MATCH($C1792,MgActId,0)),"")</f>
        <v/>
      </c>
      <c r="H1792" s="59" t="inlineStr">
        <is>
          <t>A.29</t>
        </is>
      </c>
      <c r="I1792" s="64">
        <f>IFERROR(INDEX(MgAmenNombre,MATCH(SUBSTITUTE($H1792,"*","-"),MgAmenClave,0)),"")</f>
        <v/>
      </c>
      <c r="J1792" s="28">
        <f>IFERROR(INDEX(MgAmenGrupo,MATCH(SUBSTITUTE($H1792,"*","-"),MgAmenClave,0)),"")</f>
        <v/>
      </c>
      <c r="K1792" s="64">
        <f>IFERROR(INDEX('1. Matriz de Activos'!$Q$6:$Q$239,MATCH($C1792,MgActId,0)),"")</f>
        <v/>
      </c>
      <c r="L1792" s="64">
        <f>IFERROR(INDEX('1. Matriz de Activos'!$R$6:$R$239,MATCH($C1792,MgActId,0)),"")</f>
        <v/>
      </c>
      <c r="M1792" s="64">
        <f>IFERROR(INDEX('1. Matriz de Activos'!$S$6:$S$239,MATCH($C1792,MgActId,0)),"")</f>
        <v/>
      </c>
      <c r="N1792" s="28">
        <f>IFERROR(INDEX(MgAmenDegD,MATCH(SUBSTITUTE($H1792,"*","-"),MgAmenClave,0)),"No aplica")</f>
        <v/>
      </c>
      <c r="O1792" s="28">
        <f>IFERROR(INDEX(MgAmenDegI,MATCH(SUBSTITUTE($H1792,"*","-"),MgAmenClave,0)),"No aplica")</f>
        <v/>
      </c>
      <c r="P1792" s="28">
        <f>IFERROR(INDEX(MgAmenDegC,MATCH(SUBSTITUTE($H1792,"*","-"),MgAmenClave,0)),"No aplica")</f>
        <v/>
      </c>
      <c r="Q1792" s="29">
        <f>IFERROR(VLOOKUP(K1792,MgValor,2,0)*VLOOKUP(N1792,MgDeg,2,0),0)</f>
        <v/>
      </c>
      <c r="R1792" s="29">
        <f>IFERROR(VLOOKUP(L1792,MgValor,2,0)*VLOOKUP(O1792,MgDeg,2,0),0)</f>
        <v/>
      </c>
      <c r="S1792" s="29">
        <f>IFERROR(VLOOKUP(M1792,MgValor,2,0)*VLOOKUP(P1792,MgDeg,2,0),0)</f>
        <v/>
      </c>
      <c r="T1792" s="30">
        <f>MAX(Q1792:S1792)</f>
        <v/>
      </c>
      <c r="U1792" s="28">
        <f>IFERROR(LOOKUP(T1792,{0;0.5;1.5;3;4.5},{"Despreciable";"Bajo";"Medio";"Alto";"Muy alto"}),"")</f>
        <v/>
      </c>
      <c r="V1792" s="13">
        <f>IFERROR(INDEX(MgAmenFrec,MATCH(SUBSTITUTE($H1792,"*","-"),MgAmenClave,0)),"")</f>
        <v/>
      </c>
      <c r="W1792" s="28">
        <f>IFERROR(LOOKUP(X1792,{0;0.01;0.1;1;10;100},{"Muy baja";"Muy baja";"Baja";"Media";"Alta";"Muy alta"}),"")</f>
        <v/>
      </c>
      <c r="X1792" s="31">
        <f>IFERROR(VLOOKUP(V1792,MgFrec,2,0),0)</f>
        <v/>
      </c>
      <c r="Y1792" s="30">
        <f>T1792*X1792</f>
        <v/>
      </c>
      <c r="Z1792" s="28">
        <f>IFERROR(LOOKUP(Y1792,{0;0.5;5;25},{"Bajo";"Medio";"Alto";"Crítico"}),"")</f>
        <v/>
      </c>
      <c r="AA1792" s="64">
        <f>IF(T1792&gt;=3,IF(X1792&gt;=1,"Zona 1 — Crítica: impacto alto y ocurre al menos una vez al año","Zona 4 — Catastrófica poco probable: impacto alto pero excepcional"),IF(AND(T1792&lt;1.5,X1792&lt;1),"Zona 3 — Asumible: impacto bajo y muy poco frecuente","Zona 2 — Atención: riesgo intermedio"))</f>
        <v/>
      </c>
      <c r="AB1792" s="64">
        <f>IFERROR(INDEX(MgAmenCtrl,MATCH(SUBSTITUTE($H1792,"*","-"),MgAmenClave,0)),"")</f>
        <v/>
      </c>
      <c r="AC1792" s="20" t="n"/>
      <c r="AD1792" s="31">
        <f>IFERROR($X1792*(1-IF($AC1792="",$AL1792,VLOOKUP($AC1792,MgMad,2,0))),"")</f>
        <v/>
      </c>
      <c r="AE1792" s="28">
        <f>IFERROR(LOOKUP(AD1792,{0;0.01;0.1;1;10;100},{"Muy baja";"Muy baja";"Baja";"Media";"Alta";"Muy alta"}),"")</f>
        <v/>
      </c>
      <c r="AF1792" s="30">
        <f>T1792*AD1792</f>
        <v/>
      </c>
      <c r="AG1792" s="28">
        <f>IFERROR(LOOKUP(AF1792,{0;0.5;5;25},{"Bajo";"Medio";"Alto";"Crítico"}),"")</f>
        <v/>
      </c>
      <c r="AH1792" s="28">
        <f>IF(AG1792="","",IF(OR(AG1792="Crítico",AG1792="Alto"),"Mitigar",IF(AG1792="Medio","Mitigar","Aceptar y monitorear")))</f>
        <v/>
      </c>
      <c r="AI1792" s="21" t="n"/>
      <c r="AJ1792" s="21" t="n"/>
      <c r="AK1792" s="20" t="n"/>
      <c r="AL1792" s="77">
        <f>IFERROR(INDEX(MgAmenEfic,MATCH(SUBSTITUTE($H1792,"*","-"),MgAmenClave,0)),0)</f>
        <v/>
      </c>
    </row>
    <row r="1793" hidden="1" ht="105" customHeight="1" s="54">
      <c r="B1793" s="59" t="inlineStr">
        <is>
          <t>R-1788</t>
        </is>
      </c>
      <c r="C1793" s="59" t="inlineStr">
        <is>
          <t>LCO-09</t>
        </is>
      </c>
      <c r="D1793" s="64">
        <f>IFERROR(INDEX(MgNombre,MATCH($C1793,MgActId,0)),"")</f>
        <v/>
      </c>
      <c r="E1793" s="64">
        <f>IFERROR(INDEX(MgProceso,MATCH($C1793,MgActId,0)),"")</f>
        <v/>
      </c>
      <c r="F1793" s="64">
        <f>IFERROR(INDEX(MgTipo,MATCH($C1793,MgActId,0)),"")</f>
        <v/>
      </c>
      <c r="G1793" s="64">
        <f>IFERROR(INDEX(MgSubtipo,MATCH($C1793,MgActId,0)),"")</f>
        <v/>
      </c>
      <c r="H1793" s="59" t="inlineStr">
        <is>
          <t>A.30</t>
        </is>
      </c>
      <c r="I1793" s="64">
        <f>IFERROR(INDEX(MgAmenNombre,MATCH(SUBSTITUTE($H1793,"*","-"),MgAmenClave,0)),"")</f>
        <v/>
      </c>
      <c r="J1793" s="28">
        <f>IFERROR(INDEX(MgAmenGrupo,MATCH(SUBSTITUTE($H1793,"*","-"),MgAmenClave,0)),"")</f>
        <v/>
      </c>
      <c r="K1793" s="64">
        <f>IFERROR(INDEX('1. Matriz de Activos'!$Q$6:$Q$239,MATCH($C1793,MgActId,0)),"")</f>
        <v/>
      </c>
      <c r="L1793" s="64">
        <f>IFERROR(INDEX('1. Matriz de Activos'!$R$6:$R$239,MATCH($C1793,MgActId,0)),"")</f>
        <v/>
      </c>
      <c r="M1793" s="64">
        <f>IFERROR(INDEX('1. Matriz de Activos'!$S$6:$S$239,MATCH($C1793,MgActId,0)),"")</f>
        <v/>
      </c>
      <c r="N1793" s="28">
        <f>IFERROR(INDEX(MgAmenDegD,MATCH(SUBSTITUTE($H1793,"*","-"),MgAmenClave,0)),"No aplica")</f>
        <v/>
      </c>
      <c r="O1793" s="28">
        <f>IFERROR(INDEX(MgAmenDegI,MATCH(SUBSTITUTE($H1793,"*","-"),MgAmenClave,0)),"No aplica")</f>
        <v/>
      </c>
      <c r="P1793" s="28">
        <f>IFERROR(INDEX(MgAmenDegC,MATCH(SUBSTITUTE($H1793,"*","-"),MgAmenClave,0)),"No aplica")</f>
        <v/>
      </c>
      <c r="Q1793" s="29">
        <f>IFERROR(VLOOKUP(K1793,MgValor,2,0)*VLOOKUP(N1793,MgDeg,2,0),0)</f>
        <v/>
      </c>
      <c r="R1793" s="29">
        <f>IFERROR(VLOOKUP(L1793,MgValor,2,0)*VLOOKUP(O1793,MgDeg,2,0),0)</f>
        <v/>
      </c>
      <c r="S1793" s="29">
        <f>IFERROR(VLOOKUP(M1793,MgValor,2,0)*VLOOKUP(P1793,MgDeg,2,0),0)</f>
        <v/>
      </c>
      <c r="T1793" s="30">
        <f>MAX(Q1793:S1793)</f>
        <v/>
      </c>
      <c r="U1793" s="28">
        <f>IFERROR(LOOKUP(T1793,{0;0.5;1.5;3;4.5},{"Despreciable";"Bajo";"Medio";"Alto";"Muy alto"}),"")</f>
        <v/>
      </c>
      <c r="V1793" s="13">
        <f>IFERROR(INDEX(MgAmenFrec,MATCH(SUBSTITUTE($H1793,"*","-"),MgAmenClave,0)),"")</f>
        <v/>
      </c>
      <c r="W1793" s="28">
        <f>IFERROR(LOOKUP(X1793,{0;0.01;0.1;1;10;100},{"Muy baja";"Muy baja";"Baja";"Media";"Alta";"Muy alta"}),"")</f>
        <v/>
      </c>
      <c r="X1793" s="31">
        <f>IFERROR(VLOOKUP(V1793,MgFrec,2,0),0)</f>
        <v/>
      </c>
      <c r="Y1793" s="30">
        <f>T1793*X1793</f>
        <v/>
      </c>
      <c r="Z1793" s="28">
        <f>IFERROR(LOOKUP(Y1793,{0;0.5;5;25},{"Bajo";"Medio";"Alto";"Crítico"}),"")</f>
        <v/>
      </c>
      <c r="AA1793" s="64">
        <f>IF(T1793&gt;=3,IF(X1793&gt;=1,"Zona 1 — Crítica: impacto alto y ocurre al menos una vez al año","Zona 4 — Catastrófica poco probable: impacto alto pero excepcional"),IF(AND(T1793&lt;1.5,X1793&lt;1),"Zona 3 — Asumible: impacto bajo y muy poco frecuente","Zona 2 — Atención: riesgo intermedio"))</f>
        <v/>
      </c>
      <c r="AB1793" s="64">
        <f>IFERROR(INDEX(MgAmenCtrl,MATCH(SUBSTITUTE($H1793,"*","-"),MgAmenClave,0)),"")</f>
        <v/>
      </c>
      <c r="AC1793" s="20" t="n"/>
      <c r="AD1793" s="31">
        <f>IFERROR($X1793*(1-IF($AC1793="",$AL1793,VLOOKUP($AC1793,MgMad,2,0))),"")</f>
        <v/>
      </c>
      <c r="AE1793" s="28">
        <f>IFERROR(LOOKUP(AD1793,{0;0.01;0.1;1;10;100},{"Muy baja";"Muy baja";"Baja";"Media";"Alta";"Muy alta"}),"")</f>
        <v/>
      </c>
      <c r="AF1793" s="30">
        <f>T1793*AD1793</f>
        <v/>
      </c>
      <c r="AG1793" s="28">
        <f>IFERROR(LOOKUP(AF1793,{0;0.5;5;25},{"Bajo";"Medio";"Alto";"Crítico"}),"")</f>
        <v/>
      </c>
      <c r="AH1793" s="28">
        <f>IF(AG1793="","",IF(OR(AG1793="Crítico",AG1793="Alto"),"Mitigar",IF(AG1793="Medio","Mitigar","Aceptar y monitorear")))</f>
        <v/>
      </c>
      <c r="AI1793" s="21" t="n"/>
      <c r="AJ1793" s="21" t="n"/>
      <c r="AK1793" s="20" t="n"/>
      <c r="AL1793" s="77">
        <f>IFERROR(INDEX(MgAmenEfic,MATCH(SUBSTITUTE($H1793,"*","-"),MgAmenClave,0)),0)</f>
        <v/>
      </c>
    </row>
    <row r="1794" hidden="1" ht="150" customHeight="1" s="54">
      <c r="B1794" s="59" t="inlineStr">
        <is>
          <t>R-1789</t>
        </is>
      </c>
      <c r="C1794" s="59" t="inlineStr">
        <is>
          <t>FIN-14</t>
        </is>
      </c>
      <c r="D1794" s="64">
        <f>IFERROR(INDEX(MgNombre,MATCH($C1794,MgActId,0)),"")</f>
        <v/>
      </c>
      <c r="E1794" s="64">
        <f>IFERROR(INDEX(MgProceso,MATCH($C1794,MgActId,0)),"")</f>
        <v/>
      </c>
      <c r="F1794" s="64">
        <f>IFERROR(INDEX(MgTipo,MATCH($C1794,MgActId,0)),"")</f>
        <v/>
      </c>
      <c r="G1794" s="64">
        <f>IFERROR(INDEX(MgSubtipo,MATCH($C1794,MgActId,0)),"")</f>
        <v/>
      </c>
      <c r="H1794" s="59" t="inlineStr">
        <is>
          <t>E.7</t>
        </is>
      </c>
      <c r="I1794" s="64">
        <f>IFERROR(INDEX(MgAmenNombre,MATCH(SUBSTITUTE($H1794,"*","-"),MgAmenClave,0)),"")</f>
        <v/>
      </c>
      <c r="J1794" s="28">
        <f>IFERROR(INDEX(MgAmenGrupo,MATCH(SUBSTITUTE($H1794,"*","-"),MgAmenClave,0)),"")</f>
        <v/>
      </c>
      <c r="K1794" s="64">
        <f>IFERROR(INDEX('1. Matriz de Activos'!$Q$6:$Q$239,MATCH($C1794,MgActId,0)),"")</f>
        <v/>
      </c>
      <c r="L1794" s="64">
        <f>IFERROR(INDEX('1. Matriz de Activos'!$R$6:$R$239,MATCH($C1794,MgActId,0)),"")</f>
        <v/>
      </c>
      <c r="M1794" s="64">
        <f>IFERROR(INDEX('1. Matriz de Activos'!$S$6:$S$239,MATCH($C1794,MgActId,0)),"")</f>
        <v/>
      </c>
      <c r="N1794" s="28">
        <f>IFERROR(INDEX(MgAmenDegD,MATCH(SUBSTITUTE($H1794,"*","-"),MgAmenClave,0)),"No aplica")</f>
        <v/>
      </c>
      <c r="O1794" s="28">
        <f>IFERROR(INDEX(MgAmenDegI,MATCH(SUBSTITUTE($H1794,"*","-"),MgAmenClave,0)),"No aplica")</f>
        <v/>
      </c>
      <c r="P1794" s="28">
        <f>IFERROR(INDEX(MgAmenDegC,MATCH(SUBSTITUTE($H1794,"*","-"),MgAmenClave,0)),"No aplica")</f>
        <v/>
      </c>
      <c r="Q1794" s="29">
        <f>IFERROR(VLOOKUP(K1794,MgValor,2,0)*VLOOKUP(N1794,MgDeg,2,0),0)</f>
        <v/>
      </c>
      <c r="R1794" s="29">
        <f>IFERROR(VLOOKUP(L1794,MgValor,2,0)*VLOOKUP(O1794,MgDeg,2,0),0)</f>
        <v/>
      </c>
      <c r="S1794" s="29">
        <f>IFERROR(VLOOKUP(M1794,MgValor,2,0)*VLOOKUP(P1794,MgDeg,2,0),0)</f>
        <v/>
      </c>
      <c r="T1794" s="30">
        <f>MAX(Q1794:S1794)</f>
        <v/>
      </c>
      <c r="U1794" s="28">
        <f>IFERROR(LOOKUP(T1794,{0;0.5;1.5;3;4.5},{"Despreciable";"Bajo";"Medio";"Alto";"Muy alto"}),"")</f>
        <v/>
      </c>
      <c r="V1794" s="13">
        <f>IFERROR(INDEX(MgAmenFrec,MATCH(SUBSTITUTE($H1794,"*","-"),MgAmenClave,0)),"")</f>
        <v/>
      </c>
      <c r="W1794" s="28">
        <f>IFERROR(LOOKUP(X1794,{0;0.01;0.1;1;10;100},{"Muy baja";"Muy baja";"Baja";"Media";"Alta";"Muy alta"}),"")</f>
        <v/>
      </c>
      <c r="X1794" s="31">
        <f>IFERROR(VLOOKUP(V1794,MgFrec,2,0),0)</f>
        <v/>
      </c>
      <c r="Y1794" s="30">
        <f>T1794*X1794</f>
        <v/>
      </c>
      <c r="Z1794" s="28">
        <f>IFERROR(LOOKUP(Y1794,{0;0.5;5;25},{"Bajo";"Medio";"Alto";"Crítico"}),"")</f>
        <v/>
      </c>
      <c r="AA1794" s="64">
        <f>IF(T1794&gt;=3,IF(X1794&gt;=1,"Zona 1 — Crítica: impacto alto y ocurre al menos una vez al año","Zona 4 — Catastrófica poco probable: impacto alto pero excepcional"),IF(AND(T1794&lt;1.5,X1794&lt;1),"Zona 3 — Asumible: impacto bajo y muy poco frecuente","Zona 2 — Atención: riesgo intermedio"))</f>
        <v/>
      </c>
      <c r="AB1794" s="64">
        <f>IFERROR(INDEX(MgAmenCtrl,MATCH(SUBSTITUTE($H1794,"*","-"),MgAmenClave,0)),"")</f>
        <v/>
      </c>
      <c r="AC1794" s="20" t="n"/>
      <c r="AD1794" s="31">
        <f>IFERROR($X1794*(1-IF($AC1794="",$AL1794,VLOOKUP($AC1794,MgMad,2,0))),"")</f>
        <v/>
      </c>
      <c r="AE1794" s="28">
        <f>IFERROR(LOOKUP(AD1794,{0;0.01;0.1;1;10;100},{"Muy baja";"Muy baja";"Baja";"Media";"Alta";"Muy alta"}),"")</f>
        <v/>
      </c>
      <c r="AF1794" s="30">
        <f>T1794*AD1794</f>
        <v/>
      </c>
      <c r="AG1794" s="28">
        <f>IFERROR(LOOKUP(AF1794,{0;0.5;5;25},{"Bajo";"Medio";"Alto";"Crítico"}),"")</f>
        <v/>
      </c>
      <c r="AH1794" s="28">
        <f>IF(AG1794="","",IF(OR(AG1794="Crítico",AG1794="Alto"),"Mitigar",IF(AG1794="Medio","Mitigar","Aceptar y monitorear")))</f>
        <v/>
      </c>
      <c r="AI1794" s="21" t="n"/>
      <c r="AJ1794" s="21" t="n"/>
      <c r="AK1794" s="20" t="n"/>
      <c r="AL1794" s="77">
        <f>IFERROR(INDEX(MgAmenEfic,MATCH(SUBSTITUTE($H1794,"*","-"),MgAmenClave,0)),0)</f>
        <v/>
      </c>
    </row>
    <row r="1795" hidden="1" ht="90" customHeight="1" s="54">
      <c r="B1795" s="59" t="inlineStr">
        <is>
          <t>R-1790</t>
        </is>
      </c>
      <c r="C1795" s="59" t="inlineStr">
        <is>
          <t>FIN-14</t>
        </is>
      </c>
      <c r="D1795" s="64">
        <f>IFERROR(INDEX(MgNombre,MATCH($C1795,MgActId,0)),"")</f>
        <v/>
      </c>
      <c r="E1795" s="64">
        <f>IFERROR(INDEX(MgProceso,MATCH($C1795,MgActId,0)),"")</f>
        <v/>
      </c>
      <c r="F1795" s="64">
        <f>IFERROR(INDEX(MgTipo,MATCH($C1795,MgActId,0)),"")</f>
        <v/>
      </c>
      <c r="G1795" s="64">
        <f>IFERROR(INDEX(MgSubtipo,MATCH($C1795,MgActId,0)),"")</f>
        <v/>
      </c>
      <c r="H1795" s="59" t="inlineStr">
        <is>
          <t>E.14</t>
        </is>
      </c>
      <c r="I1795" s="64">
        <f>IFERROR(INDEX(MgAmenNombre,MATCH(SUBSTITUTE($H1795,"*","-"),MgAmenClave,0)),"")</f>
        <v/>
      </c>
      <c r="J1795" s="28">
        <f>IFERROR(INDEX(MgAmenGrupo,MATCH(SUBSTITUTE($H1795,"*","-"),MgAmenClave,0)),"")</f>
        <v/>
      </c>
      <c r="K1795" s="64">
        <f>IFERROR(INDEX('1. Matriz de Activos'!$Q$6:$Q$239,MATCH($C1795,MgActId,0)),"")</f>
        <v/>
      </c>
      <c r="L1795" s="64">
        <f>IFERROR(INDEX('1. Matriz de Activos'!$R$6:$R$239,MATCH($C1795,MgActId,0)),"")</f>
        <v/>
      </c>
      <c r="M1795" s="64">
        <f>IFERROR(INDEX('1. Matriz de Activos'!$S$6:$S$239,MATCH($C1795,MgActId,0)),"")</f>
        <v/>
      </c>
      <c r="N1795" s="28">
        <f>IFERROR(INDEX(MgAmenDegD,MATCH(SUBSTITUTE($H1795,"*","-"),MgAmenClave,0)),"No aplica")</f>
        <v/>
      </c>
      <c r="O1795" s="28">
        <f>IFERROR(INDEX(MgAmenDegI,MATCH(SUBSTITUTE($H1795,"*","-"),MgAmenClave,0)),"No aplica")</f>
        <v/>
      </c>
      <c r="P1795" s="28">
        <f>IFERROR(INDEX(MgAmenDegC,MATCH(SUBSTITUTE($H1795,"*","-"),MgAmenClave,0)),"No aplica")</f>
        <v/>
      </c>
      <c r="Q1795" s="29">
        <f>IFERROR(VLOOKUP(K1795,MgValor,2,0)*VLOOKUP(N1795,MgDeg,2,0),0)</f>
        <v/>
      </c>
      <c r="R1795" s="29">
        <f>IFERROR(VLOOKUP(L1795,MgValor,2,0)*VLOOKUP(O1795,MgDeg,2,0),0)</f>
        <v/>
      </c>
      <c r="S1795" s="29">
        <f>IFERROR(VLOOKUP(M1795,MgValor,2,0)*VLOOKUP(P1795,MgDeg,2,0),0)</f>
        <v/>
      </c>
      <c r="T1795" s="30">
        <f>MAX(Q1795:S1795)</f>
        <v/>
      </c>
      <c r="U1795" s="28">
        <f>IFERROR(LOOKUP(T1795,{0;0.5;1.5;3;4.5},{"Despreciable";"Bajo";"Medio";"Alto";"Muy alto"}),"")</f>
        <v/>
      </c>
      <c r="V1795" s="13">
        <f>IFERROR(INDEX(MgAmenFrec,MATCH(SUBSTITUTE($H1795,"*","-"),MgAmenClave,0)),"")</f>
        <v/>
      </c>
      <c r="W1795" s="28">
        <f>IFERROR(LOOKUP(X1795,{0;0.01;0.1;1;10;100},{"Muy baja";"Muy baja";"Baja";"Media";"Alta";"Muy alta"}),"")</f>
        <v/>
      </c>
      <c r="X1795" s="31">
        <f>IFERROR(VLOOKUP(V1795,MgFrec,2,0),0)</f>
        <v/>
      </c>
      <c r="Y1795" s="30">
        <f>T1795*X1795</f>
        <v/>
      </c>
      <c r="Z1795" s="28">
        <f>IFERROR(LOOKUP(Y1795,{0;0.5;5;25},{"Bajo";"Medio";"Alto";"Crítico"}),"")</f>
        <v/>
      </c>
      <c r="AA1795" s="64">
        <f>IF(T1795&gt;=3,IF(X1795&gt;=1,"Zona 1 — Crítica: impacto alto y ocurre al menos una vez al año","Zona 4 — Catastrófica poco probable: impacto alto pero excepcional"),IF(AND(T1795&lt;1.5,X1795&lt;1),"Zona 3 — Asumible: impacto bajo y muy poco frecuente","Zona 2 — Atención: riesgo intermedio"))</f>
        <v/>
      </c>
      <c r="AB1795" s="64">
        <f>IFERROR(INDEX(MgAmenCtrl,MATCH(SUBSTITUTE($H1795,"*","-"),MgAmenClave,0)),"")</f>
        <v/>
      </c>
      <c r="AC1795" s="20" t="n"/>
      <c r="AD1795" s="31">
        <f>IFERROR($X1795*(1-IF($AC1795="",$AL1795,VLOOKUP($AC1795,MgMad,2,0))),"")</f>
        <v/>
      </c>
      <c r="AE1795" s="28">
        <f>IFERROR(LOOKUP(AD1795,{0;0.01;0.1;1;10;100},{"Muy baja";"Muy baja";"Baja";"Media";"Alta";"Muy alta"}),"")</f>
        <v/>
      </c>
      <c r="AF1795" s="30">
        <f>T1795*AD1795</f>
        <v/>
      </c>
      <c r="AG1795" s="28">
        <f>IFERROR(LOOKUP(AF1795,{0;0.5;5;25},{"Bajo";"Medio";"Alto";"Crítico"}),"")</f>
        <v/>
      </c>
      <c r="AH1795" s="28">
        <f>IF(AG1795="","",IF(OR(AG1795="Crítico",AG1795="Alto"),"Mitigar",IF(AG1795="Medio","Mitigar","Aceptar y monitorear")))</f>
        <v/>
      </c>
      <c r="AI1795" s="21" t="n"/>
      <c r="AJ1795" s="21" t="n"/>
      <c r="AK1795" s="20" t="n"/>
      <c r="AL1795" s="77">
        <f>IFERROR(INDEX(MgAmenEfic,MATCH(SUBSTITUTE($H1795,"*","-"),MgAmenClave,0)),0)</f>
        <v/>
      </c>
    </row>
    <row r="1796" hidden="1" ht="105" customHeight="1" s="54">
      <c r="B1796" s="59" t="inlineStr">
        <is>
          <t>R-1791</t>
        </is>
      </c>
      <c r="C1796" s="59" t="inlineStr">
        <is>
          <t>FIN-14</t>
        </is>
      </c>
      <c r="D1796" s="64">
        <f>IFERROR(INDEX(MgNombre,MATCH($C1796,MgActId,0)),"")</f>
        <v/>
      </c>
      <c r="E1796" s="64">
        <f>IFERROR(INDEX(MgProceso,MATCH($C1796,MgActId,0)),"")</f>
        <v/>
      </c>
      <c r="F1796" s="64">
        <f>IFERROR(INDEX(MgTipo,MATCH($C1796,MgActId,0)),"")</f>
        <v/>
      </c>
      <c r="G1796" s="64">
        <f>IFERROR(INDEX(MgSubtipo,MATCH($C1796,MgActId,0)),"")</f>
        <v/>
      </c>
      <c r="H1796" s="59" t="inlineStr">
        <is>
          <t>E.19</t>
        </is>
      </c>
      <c r="I1796" s="64">
        <f>IFERROR(INDEX(MgAmenNombre,MATCH(SUBSTITUTE($H1796,"*","-"),MgAmenClave,0)),"")</f>
        <v/>
      </c>
      <c r="J1796" s="28">
        <f>IFERROR(INDEX(MgAmenGrupo,MATCH(SUBSTITUTE($H1796,"*","-"),MgAmenClave,0)),"")</f>
        <v/>
      </c>
      <c r="K1796" s="64">
        <f>IFERROR(INDEX('1. Matriz de Activos'!$Q$6:$Q$239,MATCH($C1796,MgActId,0)),"")</f>
        <v/>
      </c>
      <c r="L1796" s="64">
        <f>IFERROR(INDEX('1. Matriz de Activos'!$R$6:$R$239,MATCH($C1796,MgActId,0)),"")</f>
        <v/>
      </c>
      <c r="M1796" s="64">
        <f>IFERROR(INDEX('1. Matriz de Activos'!$S$6:$S$239,MATCH($C1796,MgActId,0)),"")</f>
        <v/>
      </c>
      <c r="N1796" s="28">
        <f>IFERROR(INDEX(MgAmenDegD,MATCH(SUBSTITUTE($H1796,"*","-"),MgAmenClave,0)),"No aplica")</f>
        <v/>
      </c>
      <c r="O1796" s="28">
        <f>IFERROR(INDEX(MgAmenDegI,MATCH(SUBSTITUTE($H1796,"*","-"),MgAmenClave,0)),"No aplica")</f>
        <v/>
      </c>
      <c r="P1796" s="28">
        <f>IFERROR(INDEX(MgAmenDegC,MATCH(SUBSTITUTE($H1796,"*","-"),MgAmenClave,0)),"No aplica")</f>
        <v/>
      </c>
      <c r="Q1796" s="29">
        <f>IFERROR(VLOOKUP(K1796,MgValor,2,0)*VLOOKUP(N1796,MgDeg,2,0),0)</f>
        <v/>
      </c>
      <c r="R1796" s="29">
        <f>IFERROR(VLOOKUP(L1796,MgValor,2,0)*VLOOKUP(O1796,MgDeg,2,0),0)</f>
        <v/>
      </c>
      <c r="S1796" s="29">
        <f>IFERROR(VLOOKUP(M1796,MgValor,2,0)*VLOOKUP(P1796,MgDeg,2,0),0)</f>
        <v/>
      </c>
      <c r="T1796" s="30">
        <f>MAX(Q1796:S1796)</f>
        <v/>
      </c>
      <c r="U1796" s="28">
        <f>IFERROR(LOOKUP(T1796,{0;0.5;1.5;3;4.5},{"Despreciable";"Bajo";"Medio";"Alto";"Muy alto"}),"")</f>
        <v/>
      </c>
      <c r="V1796" s="13">
        <f>IFERROR(INDEX(MgAmenFrec,MATCH(SUBSTITUTE($H1796,"*","-"),MgAmenClave,0)),"")</f>
        <v/>
      </c>
      <c r="W1796" s="28">
        <f>IFERROR(LOOKUP(X1796,{0;0.01;0.1;1;10;100},{"Muy baja";"Muy baja";"Baja";"Media";"Alta";"Muy alta"}),"")</f>
        <v/>
      </c>
      <c r="X1796" s="31">
        <f>IFERROR(VLOOKUP(V1796,MgFrec,2,0),0)</f>
        <v/>
      </c>
      <c r="Y1796" s="30">
        <f>T1796*X1796</f>
        <v/>
      </c>
      <c r="Z1796" s="28">
        <f>IFERROR(LOOKUP(Y1796,{0;0.5;5;25},{"Bajo";"Medio";"Alto";"Crítico"}),"")</f>
        <v/>
      </c>
      <c r="AA1796" s="64">
        <f>IF(T1796&gt;=3,IF(X1796&gt;=1,"Zona 1 — Crítica: impacto alto y ocurre al menos una vez al año","Zona 4 — Catastrófica poco probable: impacto alto pero excepcional"),IF(AND(T1796&lt;1.5,X1796&lt;1),"Zona 3 — Asumible: impacto bajo y muy poco frecuente","Zona 2 — Atención: riesgo intermedio"))</f>
        <v/>
      </c>
      <c r="AB1796" s="64">
        <f>IFERROR(INDEX(MgAmenCtrl,MATCH(SUBSTITUTE($H1796,"*","-"),MgAmenClave,0)),"")</f>
        <v/>
      </c>
      <c r="AC1796" s="20" t="n"/>
      <c r="AD1796" s="31">
        <f>IFERROR($X1796*(1-IF($AC1796="",$AL1796,VLOOKUP($AC1796,MgMad,2,0))),"")</f>
        <v/>
      </c>
      <c r="AE1796" s="28">
        <f>IFERROR(LOOKUP(AD1796,{0;0.01;0.1;1;10;100},{"Muy baja";"Muy baja";"Baja";"Media";"Alta";"Muy alta"}),"")</f>
        <v/>
      </c>
      <c r="AF1796" s="30">
        <f>T1796*AD1796</f>
        <v/>
      </c>
      <c r="AG1796" s="28">
        <f>IFERROR(LOOKUP(AF1796,{0;0.5;5;25},{"Bajo";"Medio";"Alto";"Crítico"}),"")</f>
        <v/>
      </c>
      <c r="AH1796" s="28">
        <f>IF(AG1796="","",IF(OR(AG1796="Crítico",AG1796="Alto"),"Mitigar",IF(AG1796="Medio","Mitigar","Aceptar y monitorear")))</f>
        <v/>
      </c>
      <c r="AI1796" s="21" t="n"/>
      <c r="AJ1796" s="21" t="n"/>
      <c r="AK1796" s="20" t="n"/>
      <c r="AL1796" s="77">
        <f>IFERROR(INDEX(MgAmenEfic,MATCH(SUBSTITUTE($H1796,"*","-"),MgAmenClave,0)),0)</f>
        <v/>
      </c>
    </row>
    <row r="1797" hidden="1" ht="135" customHeight="1" s="54">
      <c r="B1797" s="59" t="inlineStr">
        <is>
          <t>R-1792</t>
        </is>
      </c>
      <c r="C1797" s="59" t="inlineStr">
        <is>
          <t>FIN-14</t>
        </is>
      </c>
      <c r="D1797" s="64">
        <f>IFERROR(INDEX(MgNombre,MATCH($C1797,MgActId,0)),"")</f>
        <v/>
      </c>
      <c r="E1797" s="64">
        <f>IFERROR(INDEX(MgProceso,MATCH($C1797,MgActId,0)),"")</f>
        <v/>
      </c>
      <c r="F1797" s="64">
        <f>IFERROR(INDEX(MgTipo,MATCH($C1797,MgActId,0)),"")</f>
        <v/>
      </c>
      <c r="G1797" s="64">
        <f>IFERROR(INDEX(MgSubtipo,MATCH($C1797,MgActId,0)),"")</f>
        <v/>
      </c>
      <c r="H1797" s="59" t="inlineStr">
        <is>
          <t>E.28</t>
        </is>
      </c>
      <c r="I1797" s="64">
        <f>IFERROR(INDEX(MgAmenNombre,MATCH(SUBSTITUTE($H1797,"*","-"),MgAmenClave,0)),"")</f>
        <v/>
      </c>
      <c r="J1797" s="28">
        <f>IFERROR(INDEX(MgAmenGrupo,MATCH(SUBSTITUTE($H1797,"*","-"),MgAmenClave,0)),"")</f>
        <v/>
      </c>
      <c r="K1797" s="64">
        <f>IFERROR(INDEX('1. Matriz de Activos'!$Q$6:$Q$239,MATCH($C1797,MgActId,0)),"")</f>
        <v/>
      </c>
      <c r="L1797" s="64">
        <f>IFERROR(INDEX('1. Matriz de Activos'!$R$6:$R$239,MATCH($C1797,MgActId,0)),"")</f>
        <v/>
      </c>
      <c r="M1797" s="64">
        <f>IFERROR(INDEX('1. Matriz de Activos'!$S$6:$S$239,MATCH($C1797,MgActId,0)),"")</f>
        <v/>
      </c>
      <c r="N1797" s="28">
        <f>IFERROR(INDEX(MgAmenDegD,MATCH(SUBSTITUTE($H1797,"*","-"),MgAmenClave,0)),"No aplica")</f>
        <v/>
      </c>
      <c r="O1797" s="28">
        <f>IFERROR(INDEX(MgAmenDegI,MATCH(SUBSTITUTE($H1797,"*","-"),MgAmenClave,0)),"No aplica")</f>
        <v/>
      </c>
      <c r="P1797" s="28">
        <f>IFERROR(INDEX(MgAmenDegC,MATCH(SUBSTITUTE($H1797,"*","-"),MgAmenClave,0)),"No aplica")</f>
        <v/>
      </c>
      <c r="Q1797" s="29">
        <f>IFERROR(VLOOKUP(K1797,MgValor,2,0)*VLOOKUP(N1797,MgDeg,2,0),0)</f>
        <v/>
      </c>
      <c r="R1797" s="29">
        <f>IFERROR(VLOOKUP(L1797,MgValor,2,0)*VLOOKUP(O1797,MgDeg,2,0),0)</f>
        <v/>
      </c>
      <c r="S1797" s="29">
        <f>IFERROR(VLOOKUP(M1797,MgValor,2,0)*VLOOKUP(P1797,MgDeg,2,0),0)</f>
        <v/>
      </c>
      <c r="T1797" s="30">
        <f>MAX(Q1797:S1797)</f>
        <v/>
      </c>
      <c r="U1797" s="28">
        <f>IFERROR(LOOKUP(T1797,{0;0.5;1.5;3;4.5},{"Despreciable";"Bajo";"Medio";"Alto";"Muy alto"}),"")</f>
        <v/>
      </c>
      <c r="V1797" s="13">
        <f>IFERROR(INDEX(MgAmenFrec,MATCH(SUBSTITUTE($H1797,"*","-"),MgAmenClave,0)),"")</f>
        <v/>
      </c>
      <c r="W1797" s="28">
        <f>IFERROR(LOOKUP(X1797,{0;0.01;0.1;1;10;100},{"Muy baja";"Muy baja";"Baja";"Media";"Alta";"Muy alta"}),"")</f>
        <v/>
      </c>
      <c r="X1797" s="31">
        <f>IFERROR(VLOOKUP(V1797,MgFrec,2,0),0)</f>
        <v/>
      </c>
      <c r="Y1797" s="30">
        <f>T1797*X1797</f>
        <v/>
      </c>
      <c r="Z1797" s="28">
        <f>IFERROR(LOOKUP(Y1797,{0;0.5;5;25},{"Bajo";"Medio";"Alto";"Crítico"}),"")</f>
        <v/>
      </c>
      <c r="AA1797" s="64">
        <f>IF(T1797&gt;=3,IF(X1797&gt;=1,"Zona 1 — Crítica: impacto alto y ocurre al menos una vez al año","Zona 4 — Catastrófica poco probable: impacto alto pero excepcional"),IF(AND(T1797&lt;1.5,X1797&lt;1),"Zona 3 — Asumible: impacto bajo y muy poco frecuente","Zona 2 — Atención: riesgo intermedio"))</f>
        <v/>
      </c>
      <c r="AB1797" s="64">
        <f>IFERROR(INDEX(MgAmenCtrl,MATCH(SUBSTITUTE($H1797,"*","-"),MgAmenClave,0)),"")</f>
        <v/>
      </c>
      <c r="AC1797" s="20" t="n"/>
      <c r="AD1797" s="31">
        <f>IFERROR($X1797*(1-IF($AC1797="",$AL1797,VLOOKUP($AC1797,MgMad,2,0))),"")</f>
        <v/>
      </c>
      <c r="AE1797" s="28">
        <f>IFERROR(LOOKUP(AD1797,{0;0.01;0.1;1;10;100},{"Muy baja";"Muy baja";"Baja";"Media";"Alta";"Muy alta"}),"")</f>
        <v/>
      </c>
      <c r="AF1797" s="30">
        <f>T1797*AD1797</f>
        <v/>
      </c>
      <c r="AG1797" s="28">
        <f>IFERROR(LOOKUP(AF1797,{0;0.5;5;25},{"Bajo";"Medio";"Alto";"Crítico"}),"")</f>
        <v/>
      </c>
      <c r="AH1797" s="28">
        <f>IF(AG1797="","",IF(OR(AG1797="Crítico",AG1797="Alto"),"Mitigar",IF(AG1797="Medio","Mitigar","Aceptar y monitorear")))</f>
        <v/>
      </c>
      <c r="AI1797" s="21" t="n"/>
      <c r="AJ1797" s="21" t="n"/>
      <c r="AK1797" s="20" t="n"/>
      <c r="AL1797" s="77">
        <f>IFERROR(INDEX(MgAmenEfic,MATCH(SUBSTITUTE($H1797,"*","-"),MgAmenClave,0)),0)</f>
        <v/>
      </c>
    </row>
    <row r="1798" hidden="1" ht="75" customHeight="1" s="54">
      <c r="B1798" s="59" t="inlineStr">
        <is>
          <t>R-1793</t>
        </is>
      </c>
      <c r="C1798" s="59" t="inlineStr">
        <is>
          <t>FIN-14</t>
        </is>
      </c>
      <c r="D1798" s="64">
        <f>IFERROR(INDEX(MgNombre,MATCH($C1798,MgActId,0)),"")</f>
        <v/>
      </c>
      <c r="E1798" s="64">
        <f>IFERROR(INDEX(MgProceso,MATCH($C1798,MgActId,0)),"")</f>
        <v/>
      </c>
      <c r="F1798" s="64">
        <f>IFERROR(INDEX(MgTipo,MATCH($C1798,MgActId,0)),"")</f>
        <v/>
      </c>
      <c r="G1798" s="64">
        <f>IFERROR(INDEX(MgSubtipo,MATCH($C1798,MgActId,0)),"")</f>
        <v/>
      </c>
      <c r="H1798" s="59" t="inlineStr">
        <is>
          <t>A.28</t>
        </is>
      </c>
      <c r="I1798" s="64">
        <f>IFERROR(INDEX(MgAmenNombre,MATCH(SUBSTITUTE($H1798,"*","-"),MgAmenClave,0)),"")</f>
        <v/>
      </c>
      <c r="J1798" s="28">
        <f>IFERROR(INDEX(MgAmenGrupo,MATCH(SUBSTITUTE($H1798,"*","-"),MgAmenClave,0)),"")</f>
        <v/>
      </c>
      <c r="K1798" s="64">
        <f>IFERROR(INDEX('1. Matriz de Activos'!$Q$6:$Q$239,MATCH($C1798,MgActId,0)),"")</f>
        <v/>
      </c>
      <c r="L1798" s="64">
        <f>IFERROR(INDEX('1. Matriz de Activos'!$R$6:$R$239,MATCH($C1798,MgActId,0)),"")</f>
        <v/>
      </c>
      <c r="M1798" s="64">
        <f>IFERROR(INDEX('1. Matriz de Activos'!$S$6:$S$239,MATCH($C1798,MgActId,0)),"")</f>
        <v/>
      </c>
      <c r="N1798" s="28">
        <f>IFERROR(INDEX(MgAmenDegD,MATCH(SUBSTITUTE($H1798,"*","-"),MgAmenClave,0)),"No aplica")</f>
        <v/>
      </c>
      <c r="O1798" s="28">
        <f>IFERROR(INDEX(MgAmenDegI,MATCH(SUBSTITUTE($H1798,"*","-"),MgAmenClave,0)),"No aplica")</f>
        <v/>
      </c>
      <c r="P1798" s="28">
        <f>IFERROR(INDEX(MgAmenDegC,MATCH(SUBSTITUTE($H1798,"*","-"),MgAmenClave,0)),"No aplica")</f>
        <v/>
      </c>
      <c r="Q1798" s="29">
        <f>IFERROR(VLOOKUP(K1798,MgValor,2,0)*VLOOKUP(N1798,MgDeg,2,0),0)</f>
        <v/>
      </c>
      <c r="R1798" s="29">
        <f>IFERROR(VLOOKUP(L1798,MgValor,2,0)*VLOOKUP(O1798,MgDeg,2,0),0)</f>
        <v/>
      </c>
      <c r="S1798" s="29">
        <f>IFERROR(VLOOKUP(M1798,MgValor,2,0)*VLOOKUP(P1798,MgDeg,2,0),0)</f>
        <v/>
      </c>
      <c r="T1798" s="30">
        <f>MAX(Q1798:S1798)</f>
        <v/>
      </c>
      <c r="U1798" s="28">
        <f>IFERROR(LOOKUP(T1798,{0;0.5;1.5;3;4.5},{"Despreciable";"Bajo";"Medio";"Alto";"Muy alto"}),"")</f>
        <v/>
      </c>
      <c r="V1798" s="13">
        <f>IFERROR(INDEX(MgAmenFrec,MATCH(SUBSTITUTE($H1798,"*","-"),MgAmenClave,0)),"")</f>
        <v/>
      </c>
      <c r="W1798" s="28">
        <f>IFERROR(LOOKUP(X1798,{0;0.01;0.1;1;10;100},{"Muy baja";"Muy baja";"Baja";"Media";"Alta";"Muy alta"}),"")</f>
        <v/>
      </c>
      <c r="X1798" s="31">
        <f>IFERROR(VLOOKUP(V1798,MgFrec,2,0),0)</f>
        <v/>
      </c>
      <c r="Y1798" s="30">
        <f>T1798*X1798</f>
        <v/>
      </c>
      <c r="Z1798" s="28">
        <f>IFERROR(LOOKUP(Y1798,{0;0.5;5;25},{"Bajo";"Medio";"Alto";"Crítico"}),"")</f>
        <v/>
      </c>
      <c r="AA1798" s="64">
        <f>IF(T1798&gt;=3,IF(X1798&gt;=1,"Zona 1 — Crítica: impacto alto y ocurre al menos una vez al año","Zona 4 — Catastrófica poco probable: impacto alto pero excepcional"),IF(AND(T1798&lt;1.5,X1798&lt;1),"Zona 3 — Asumible: impacto bajo y muy poco frecuente","Zona 2 — Atención: riesgo intermedio"))</f>
        <v/>
      </c>
      <c r="AB1798" s="64">
        <f>IFERROR(INDEX(MgAmenCtrl,MATCH(SUBSTITUTE($H1798,"*","-"),MgAmenClave,0)),"")</f>
        <v/>
      </c>
      <c r="AC1798" s="20" t="n"/>
      <c r="AD1798" s="31">
        <f>IFERROR($X1798*(1-IF($AC1798="",$AL1798,VLOOKUP($AC1798,MgMad,2,0))),"")</f>
        <v/>
      </c>
      <c r="AE1798" s="28">
        <f>IFERROR(LOOKUP(AD1798,{0;0.01;0.1;1;10;100},{"Muy baja";"Muy baja";"Baja";"Media";"Alta";"Muy alta"}),"")</f>
        <v/>
      </c>
      <c r="AF1798" s="30">
        <f>T1798*AD1798</f>
        <v/>
      </c>
      <c r="AG1798" s="28">
        <f>IFERROR(LOOKUP(AF1798,{0;0.5;5;25},{"Bajo";"Medio";"Alto";"Crítico"}),"")</f>
        <v/>
      </c>
      <c r="AH1798" s="28">
        <f>IF(AG1798="","",IF(OR(AG1798="Crítico",AG1798="Alto"),"Mitigar",IF(AG1798="Medio","Mitigar","Aceptar y monitorear")))</f>
        <v/>
      </c>
      <c r="AI1798" s="21" t="n"/>
      <c r="AJ1798" s="21" t="n"/>
      <c r="AK1798" s="20" t="n"/>
      <c r="AL1798" s="77">
        <f>IFERROR(INDEX(MgAmenEfic,MATCH(SUBSTITUTE($H1798,"*","-"),MgAmenClave,0)),0)</f>
        <v/>
      </c>
    </row>
    <row r="1799" hidden="1" ht="90" customHeight="1" s="54">
      <c r="B1799" s="59" t="inlineStr">
        <is>
          <t>R-1794</t>
        </is>
      </c>
      <c r="C1799" s="59" t="inlineStr">
        <is>
          <t>FIN-14</t>
        </is>
      </c>
      <c r="D1799" s="64">
        <f>IFERROR(INDEX(MgNombre,MATCH($C1799,MgActId,0)),"")</f>
        <v/>
      </c>
      <c r="E1799" s="64">
        <f>IFERROR(INDEX(MgProceso,MATCH($C1799,MgActId,0)),"")</f>
        <v/>
      </c>
      <c r="F1799" s="64">
        <f>IFERROR(INDEX(MgTipo,MATCH($C1799,MgActId,0)),"")</f>
        <v/>
      </c>
      <c r="G1799" s="64">
        <f>IFERROR(INDEX(MgSubtipo,MATCH($C1799,MgActId,0)),"")</f>
        <v/>
      </c>
      <c r="H1799" s="59" t="inlineStr">
        <is>
          <t>A.29</t>
        </is>
      </c>
      <c r="I1799" s="64">
        <f>IFERROR(INDEX(MgAmenNombre,MATCH(SUBSTITUTE($H1799,"*","-"),MgAmenClave,0)),"")</f>
        <v/>
      </c>
      <c r="J1799" s="28">
        <f>IFERROR(INDEX(MgAmenGrupo,MATCH(SUBSTITUTE($H1799,"*","-"),MgAmenClave,0)),"")</f>
        <v/>
      </c>
      <c r="K1799" s="64">
        <f>IFERROR(INDEX('1. Matriz de Activos'!$Q$6:$Q$239,MATCH($C1799,MgActId,0)),"")</f>
        <v/>
      </c>
      <c r="L1799" s="64">
        <f>IFERROR(INDEX('1. Matriz de Activos'!$R$6:$R$239,MATCH($C1799,MgActId,0)),"")</f>
        <v/>
      </c>
      <c r="M1799" s="64">
        <f>IFERROR(INDEX('1. Matriz de Activos'!$S$6:$S$239,MATCH($C1799,MgActId,0)),"")</f>
        <v/>
      </c>
      <c r="N1799" s="28">
        <f>IFERROR(INDEX(MgAmenDegD,MATCH(SUBSTITUTE($H1799,"*","-"),MgAmenClave,0)),"No aplica")</f>
        <v/>
      </c>
      <c r="O1799" s="28">
        <f>IFERROR(INDEX(MgAmenDegI,MATCH(SUBSTITUTE($H1799,"*","-"),MgAmenClave,0)),"No aplica")</f>
        <v/>
      </c>
      <c r="P1799" s="28">
        <f>IFERROR(INDEX(MgAmenDegC,MATCH(SUBSTITUTE($H1799,"*","-"),MgAmenClave,0)),"No aplica")</f>
        <v/>
      </c>
      <c r="Q1799" s="29">
        <f>IFERROR(VLOOKUP(K1799,MgValor,2,0)*VLOOKUP(N1799,MgDeg,2,0),0)</f>
        <v/>
      </c>
      <c r="R1799" s="29">
        <f>IFERROR(VLOOKUP(L1799,MgValor,2,0)*VLOOKUP(O1799,MgDeg,2,0),0)</f>
        <v/>
      </c>
      <c r="S1799" s="29">
        <f>IFERROR(VLOOKUP(M1799,MgValor,2,0)*VLOOKUP(P1799,MgDeg,2,0),0)</f>
        <v/>
      </c>
      <c r="T1799" s="30">
        <f>MAX(Q1799:S1799)</f>
        <v/>
      </c>
      <c r="U1799" s="28">
        <f>IFERROR(LOOKUP(T1799,{0;0.5;1.5;3;4.5},{"Despreciable";"Bajo";"Medio";"Alto";"Muy alto"}),"")</f>
        <v/>
      </c>
      <c r="V1799" s="13">
        <f>IFERROR(INDEX(MgAmenFrec,MATCH(SUBSTITUTE($H1799,"*","-"),MgAmenClave,0)),"")</f>
        <v/>
      </c>
      <c r="W1799" s="28">
        <f>IFERROR(LOOKUP(X1799,{0;0.01;0.1;1;10;100},{"Muy baja";"Muy baja";"Baja";"Media";"Alta";"Muy alta"}),"")</f>
        <v/>
      </c>
      <c r="X1799" s="31">
        <f>IFERROR(VLOOKUP(V1799,MgFrec,2,0),0)</f>
        <v/>
      </c>
      <c r="Y1799" s="30">
        <f>T1799*X1799</f>
        <v/>
      </c>
      <c r="Z1799" s="28">
        <f>IFERROR(LOOKUP(Y1799,{0;0.5;5;25},{"Bajo";"Medio";"Alto";"Crítico"}),"")</f>
        <v/>
      </c>
      <c r="AA1799" s="64">
        <f>IF(T1799&gt;=3,IF(X1799&gt;=1,"Zona 1 — Crítica: impacto alto y ocurre al menos una vez al año","Zona 4 — Catastrófica poco probable: impacto alto pero excepcional"),IF(AND(T1799&lt;1.5,X1799&lt;1),"Zona 3 — Asumible: impacto bajo y muy poco frecuente","Zona 2 — Atención: riesgo intermedio"))</f>
        <v/>
      </c>
      <c r="AB1799" s="64">
        <f>IFERROR(INDEX(MgAmenCtrl,MATCH(SUBSTITUTE($H1799,"*","-"),MgAmenClave,0)),"")</f>
        <v/>
      </c>
      <c r="AC1799" s="20" t="n"/>
      <c r="AD1799" s="31">
        <f>IFERROR($X1799*(1-IF($AC1799="",$AL1799,VLOOKUP($AC1799,MgMad,2,0))),"")</f>
        <v/>
      </c>
      <c r="AE1799" s="28">
        <f>IFERROR(LOOKUP(AD1799,{0;0.01;0.1;1;10;100},{"Muy baja";"Muy baja";"Baja";"Media";"Alta";"Muy alta"}),"")</f>
        <v/>
      </c>
      <c r="AF1799" s="30">
        <f>T1799*AD1799</f>
        <v/>
      </c>
      <c r="AG1799" s="28">
        <f>IFERROR(LOOKUP(AF1799,{0;0.5;5;25},{"Bajo";"Medio";"Alto";"Crítico"}),"")</f>
        <v/>
      </c>
      <c r="AH1799" s="28">
        <f>IF(AG1799="","",IF(OR(AG1799="Crítico",AG1799="Alto"),"Mitigar",IF(AG1799="Medio","Mitigar","Aceptar y monitorear")))</f>
        <v/>
      </c>
      <c r="AI1799" s="21" t="n"/>
      <c r="AJ1799" s="21" t="n"/>
      <c r="AK1799" s="20" t="n"/>
      <c r="AL1799" s="77">
        <f>IFERROR(INDEX(MgAmenEfic,MATCH(SUBSTITUTE($H1799,"*","-"),MgAmenClave,0)),0)</f>
        <v/>
      </c>
    </row>
    <row r="1800" hidden="1" ht="105" customHeight="1" s="54">
      <c r="B1800" s="59" t="inlineStr">
        <is>
          <t>R-1795</t>
        </is>
      </c>
      <c r="C1800" s="59" t="inlineStr">
        <is>
          <t>FIN-14</t>
        </is>
      </c>
      <c r="D1800" s="64">
        <f>IFERROR(INDEX(MgNombre,MATCH($C1800,MgActId,0)),"")</f>
        <v/>
      </c>
      <c r="E1800" s="64">
        <f>IFERROR(INDEX(MgProceso,MATCH($C1800,MgActId,0)),"")</f>
        <v/>
      </c>
      <c r="F1800" s="64">
        <f>IFERROR(INDEX(MgTipo,MATCH($C1800,MgActId,0)),"")</f>
        <v/>
      </c>
      <c r="G1800" s="64">
        <f>IFERROR(INDEX(MgSubtipo,MATCH($C1800,MgActId,0)),"")</f>
        <v/>
      </c>
      <c r="H1800" s="59" t="inlineStr">
        <is>
          <t>A.30</t>
        </is>
      </c>
      <c r="I1800" s="64">
        <f>IFERROR(INDEX(MgAmenNombre,MATCH(SUBSTITUTE($H1800,"*","-"),MgAmenClave,0)),"")</f>
        <v/>
      </c>
      <c r="J1800" s="28">
        <f>IFERROR(INDEX(MgAmenGrupo,MATCH(SUBSTITUTE($H1800,"*","-"),MgAmenClave,0)),"")</f>
        <v/>
      </c>
      <c r="K1800" s="64">
        <f>IFERROR(INDEX('1. Matriz de Activos'!$Q$6:$Q$239,MATCH($C1800,MgActId,0)),"")</f>
        <v/>
      </c>
      <c r="L1800" s="64">
        <f>IFERROR(INDEX('1. Matriz de Activos'!$R$6:$R$239,MATCH($C1800,MgActId,0)),"")</f>
        <v/>
      </c>
      <c r="M1800" s="64">
        <f>IFERROR(INDEX('1. Matriz de Activos'!$S$6:$S$239,MATCH($C1800,MgActId,0)),"")</f>
        <v/>
      </c>
      <c r="N1800" s="28">
        <f>IFERROR(INDEX(MgAmenDegD,MATCH(SUBSTITUTE($H1800,"*","-"),MgAmenClave,0)),"No aplica")</f>
        <v/>
      </c>
      <c r="O1800" s="28">
        <f>IFERROR(INDEX(MgAmenDegI,MATCH(SUBSTITUTE($H1800,"*","-"),MgAmenClave,0)),"No aplica")</f>
        <v/>
      </c>
      <c r="P1800" s="28">
        <f>IFERROR(INDEX(MgAmenDegC,MATCH(SUBSTITUTE($H1800,"*","-"),MgAmenClave,0)),"No aplica")</f>
        <v/>
      </c>
      <c r="Q1800" s="29">
        <f>IFERROR(VLOOKUP(K1800,MgValor,2,0)*VLOOKUP(N1800,MgDeg,2,0),0)</f>
        <v/>
      </c>
      <c r="R1800" s="29">
        <f>IFERROR(VLOOKUP(L1800,MgValor,2,0)*VLOOKUP(O1800,MgDeg,2,0),0)</f>
        <v/>
      </c>
      <c r="S1800" s="29">
        <f>IFERROR(VLOOKUP(M1800,MgValor,2,0)*VLOOKUP(P1800,MgDeg,2,0),0)</f>
        <v/>
      </c>
      <c r="T1800" s="30">
        <f>MAX(Q1800:S1800)</f>
        <v/>
      </c>
      <c r="U1800" s="28">
        <f>IFERROR(LOOKUP(T1800,{0;0.5;1.5;3;4.5},{"Despreciable";"Bajo";"Medio";"Alto";"Muy alto"}),"")</f>
        <v/>
      </c>
      <c r="V1800" s="13">
        <f>IFERROR(INDEX(MgAmenFrec,MATCH(SUBSTITUTE($H1800,"*","-"),MgAmenClave,0)),"")</f>
        <v/>
      </c>
      <c r="W1800" s="28">
        <f>IFERROR(LOOKUP(X1800,{0;0.01;0.1;1;10;100},{"Muy baja";"Muy baja";"Baja";"Media";"Alta";"Muy alta"}),"")</f>
        <v/>
      </c>
      <c r="X1800" s="31">
        <f>IFERROR(VLOOKUP(V1800,MgFrec,2,0),0)</f>
        <v/>
      </c>
      <c r="Y1800" s="30">
        <f>T1800*X1800</f>
        <v/>
      </c>
      <c r="Z1800" s="28">
        <f>IFERROR(LOOKUP(Y1800,{0;0.5;5;25},{"Bajo";"Medio";"Alto";"Crítico"}),"")</f>
        <v/>
      </c>
      <c r="AA1800" s="64">
        <f>IF(T1800&gt;=3,IF(X1800&gt;=1,"Zona 1 — Crítica: impacto alto y ocurre al menos una vez al año","Zona 4 — Catastrófica poco probable: impacto alto pero excepcional"),IF(AND(T1800&lt;1.5,X1800&lt;1),"Zona 3 — Asumible: impacto bajo y muy poco frecuente","Zona 2 — Atención: riesgo intermedio"))</f>
        <v/>
      </c>
      <c r="AB1800" s="64">
        <f>IFERROR(INDEX(MgAmenCtrl,MATCH(SUBSTITUTE($H1800,"*","-"),MgAmenClave,0)),"")</f>
        <v/>
      </c>
      <c r="AC1800" s="20" t="n"/>
      <c r="AD1800" s="31">
        <f>IFERROR($X1800*(1-IF($AC1800="",$AL1800,VLOOKUP($AC1800,MgMad,2,0))),"")</f>
        <v/>
      </c>
      <c r="AE1800" s="28">
        <f>IFERROR(LOOKUP(AD1800,{0;0.01;0.1;1;10;100},{"Muy baja";"Muy baja";"Baja";"Media";"Alta";"Muy alta"}),"")</f>
        <v/>
      </c>
      <c r="AF1800" s="30">
        <f>T1800*AD1800</f>
        <v/>
      </c>
      <c r="AG1800" s="28">
        <f>IFERROR(LOOKUP(AF1800,{0;0.5;5;25},{"Bajo";"Medio";"Alto";"Crítico"}),"")</f>
        <v/>
      </c>
      <c r="AH1800" s="28">
        <f>IF(AG1800="","",IF(OR(AG1800="Crítico",AG1800="Alto"),"Mitigar",IF(AG1800="Medio","Mitigar","Aceptar y monitorear")))</f>
        <v/>
      </c>
      <c r="AI1800" s="21" t="n"/>
      <c r="AJ1800" s="21" t="n"/>
      <c r="AK1800" s="20" t="n"/>
      <c r="AL1800" s="77">
        <f>IFERROR(INDEX(MgAmenEfic,MATCH(SUBSTITUTE($H1800,"*","-"),MgAmenClave,0)),0)</f>
        <v/>
      </c>
    </row>
    <row r="1801" hidden="1" ht="150" customHeight="1" s="54">
      <c r="B1801" s="59" t="inlineStr">
        <is>
          <t>R-1796</t>
        </is>
      </c>
      <c r="C1801" s="59" t="inlineStr">
        <is>
          <t>TAL-15</t>
        </is>
      </c>
      <c r="D1801" s="64">
        <f>IFERROR(INDEX(MgNombre,MATCH($C1801,MgActId,0)),"")</f>
        <v/>
      </c>
      <c r="E1801" s="64">
        <f>IFERROR(INDEX(MgProceso,MATCH($C1801,MgActId,0)),"")</f>
        <v/>
      </c>
      <c r="F1801" s="64">
        <f>IFERROR(INDEX(MgTipo,MATCH($C1801,MgActId,0)),"")</f>
        <v/>
      </c>
      <c r="G1801" s="64">
        <f>IFERROR(INDEX(MgSubtipo,MATCH($C1801,MgActId,0)),"")</f>
        <v/>
      </c>
      <c r="H1801" s="59" t="inlineStr">
        <is>
          <t>E.7</t>
        </is>
      </c>
      <c r="I1801" s="64">
        <f>IFERROR(INDEX(MgAmenNombre,MATCH(SUBSTITUTE($H1801,"*","-"),MgAmenClave,0)),"")</f>
        <v/>
      </c>
      <c r="J1801" s="28">
        <f>IFERROR(INDEX(MgAmenGrupo,MATCH(SUBSTITUTE($H1801,"*","-"),MgAmenClave,0)),"")</f>
        <v/>
      </c>
      <c r="K1801" s="64">
        <f>IFERROR(INDEX('1. Matriz de Activos'!$Q$6:$Q$239,MATCH($C1801,MgActId,0)),"")</f>
        <v/>
      </c>
      <c r="L1801" s="64">
        <f>IFERROR(INDEX('1. Matriz de Activos'!$R$6:$R$239,MATCH($C1801,MgActId,0)),"")</f>
        <v/>
      </c>
      <c r="M1801" s="64">
        <f>IFERROR(INDEX('1. Matriz de Activos'!$S$6:$S$239,MATCH($C1801,MgActId,0)),"")</f>
        <v/>
      </c>
      <c r="N1801" s="28">
        <f>IFERROR(INDEX(MgAmenDegD,MATCH(SUBSTITUTE($H1801,"*","-"),MgAmenClave,0)),"No aplica")</f>
        <v/>
      </c>
      <c r="O1801" s="28">
        <f>IFERROR(INDEX(MgAmenDegI,MATCH(SUBSTITUTE($H1801,"*","-"),MgAmenClave,0)),"No aplica")</f>
        <v/>
      </c>
      <c r="P1801" s="28">
        <f>IFERROR(INDEX(MgAmenDegC,MATCH(SUBSTITUTE($H1801,"*","-"),MgAmenClave,0)),"No aplica")</f>
        <v/>
      </c>
      <c r="Q1801" s="29">
        <f>IFERROR(VLOOKUP(K1801,MgValor,2,0)*VLOOKUP(N1801,MgDeg,2,0),0)</f>
        <v/>
      </c>
      <c r="R1801" s="29">
        <f>IFERROR(VLOOKUP(L1801,MgValor,2,0)*VLOOKUP(O1801,MgDeg,2,0),0)</f>
        <v/>
      </c>
      <c r="S1801" s="29">
        <f>IFERROR(VLOOKUP(M1801,MgValor,2,0)*VLOOKUP(P1801,MgDeg,2,0),0)</f>
        <v/>
      </c>
      <c r="T1801" s="30">
        <f>MAX(Q1801:S1801)</f>
        <v/>
      </c>
      <c r="U1801" s="28">
        <f>IFERROR(LOOKUP(T1801,{0;0.5;1.5;3;4.5},{"Despreciable";"Bajo";"Medio";"Alto";"Muy alto"}),"")</f>
        <v/>
      </c>
      <c r="V1801" s="13">
        <f>IFERROR(INDEX(MgAmenFrec,MATCH(SUBSTITUTE($H1801,"*","-"),MgAmenClave,0)),"")</f>
        <v/>
      </c>
      <c r="W1801" s="28">
        <f>IFERROR(LOOKUP(X1801,{0;0.01;0.1;1;10;100},{"Muy baja";"Muy baja";"Baja";"Media";"Alta";"Muy alta"}),"")</f>
        <v/>
      </c>
      <c r="X1801" s="31">
        <f>IFERROR(VLOOKUP(V1801,MgFrec,2,0),0)</f>
        <v/>
      </c>
      <c r="Y1801" s="30">
        <f>T1801*X1801</f>
        <v/>
      </c>
      <c r="Z1801" s="28">
        <f>IFERROR(LOOKUP(Y1801,{0;0.5;5;25},{"Bajo";"Medio";"Alto";"Crítico"}),"")</f>
        <v/>
      </c>
      <c r="AA1801" s="64">
        <f>IF(T1801&gt;=3,IF(X1801&gt;=1,"Zona 1 — Crítica: impacto alto y ocurre al menos una vez al año","Zona 4 — Catastrófica poco probable: impacto alto pero excepcional"),IF(AND(T1801&lt;1.5,X1801&lt;1),"Zona 3 — Asumible: impacto bajo y muy poco frecuente","Zona 2 — Atención: riesgo intermedio"))</f>
        <v/>
      </c>
      <c r="AB1801" s="64">
        <f>IFERROR(INDEX(MgAmenCtrl,MATCH(SUBSTITUTE($H1801,"*","-"),MgAmenClave,0)),"")</f>
        <v/>
      </c>
      <c r="AC1801" s="20" t="n"/>
      <c r="AD1801" s="31">
        <f>IFERROR($X1801*(1-IF($AC1801="",$AL1801,VLOOKUP($AC1801,MgMad,2,0))),"")</f>
        <v/>
      </c>
      <c r="AE1801" s="28">
        <f>IFERROR(LOOKUP(AD1801,{0;0.01;0.1;1;10;100},{"Muy baja";"Muy baja";"Baja";"Media";"Alta";"Muy alta"}),"")</f>
        <v/>
      </c>
      <c r="AF1801" s="30">
        <f>T1801*AD1801</f>
        <v/>
      </c>
      <c r="AG1801" s="28">
        <f>IFERROR(LOOKUP(AF1801,{0;0.5;5;25},{"Bajo";"Medio";"Alto";"Crítico"}),"")</f>
        <v/>
      </c>
      <c r="AH1801" s="28">
        <f>IF(AG1801="","",IF(OR(AG1801="Crítico",AG1801="Alto"),"Mitigar",IF(AG1801="Medio","Mitigar","Aceptar y monitorear")))</f>
        <v/>
      </c>
      <c r="AI1801" s="21" t="n"/>
      <c r="AJ1801" s="21" t="n"/>
      <c r="AK1801" s="20" t="n"/>
      <c r="AL1801" s="77">
        <f>IFERROR(INDEX(MgAmenEfic,MATCH(SUBSTITUTE($H1801,"*","-"),MgAmenClave,0)),0)</f>
        <v/>
      </c>
    </row>
    <row r="1802" hidden="1" ht="90" customHeight="1" s="54">
      <c r="B1802" s="59" t="inlineStr">
        <is>
          <t>R-1797</t>
        </is>
      </c>
      <c r="C1802" s="59" t="inlineStr">
        <is>
          <t>TAL-15</t>
        </is>
      </c>
      <c r="D1802" s="64">
        <f>IFERROR(INDEX(MgNombre,MATCH($C1802,MgActId,0)),"")</f>
        <v/>
      </c>
      <c r="E1802" s="64">
        <f>IFERROR(INDEX(MgProceso,MATCH($C1802,MgActId,0)),"")</f>
        <v/>
      </c>
      <c r="F1802" s="64">
        <f>IFERROR(INDEX(MgTipo,MATCH($C1802,MgActId,0)),"")</f>
        <v/>
      </c>
      <c r="G1802" s="64">
        <f>IFERROR(INDEX(MgSubtipo,MATCH($C1802,MgActId,0)),"")</f>
        <v/>
      </c>
      <c r="H1802" s="59" t="inlineStr">
        <is>
          <t>E.14</t>
        </is>
      </c>
      <c r="I1802" s="64">
        <f>IFERROR(INDEX(MgAmenNombre,MATCH(SUBSTITUTE($H1802,"*","-"),MgAmenClave,0)),"")</f>
        <v/>
      </c>
      <c r="J1802" s="28">
        <f>IFERROR(INDEX(MgAmenGrupo,MATCH(SUBSTITUTE($H1802,"*","-"),MgAmenClave,0)),"")</f>
        <v/>
      </c>
      <c r="K1802" s="64">
        <f>IFERROR(INDEX('1. Matriz de Activos'!$Q$6:$Q$239,MATCH($C1802,MgActId,0)),"")</f>
        <v/>
      </c>
      <c r="L1802" s="64">
        <f>IFERROR(INDEX('1. Matriz de Activos'!$R$6:$R$239,MATCH($C1802,MgActId,0)),"")</f>
        <v/>
      </c>
      <c r="M1802" s="64">
        <f>IFERROR(INDEX('1. Matriz de Activos'!$S$6:$S$239,MATCH($C1802,MgActId,0)),"")</f>
        <v/>
      </c>
      <c r="N1802" s="28">
        <f>IFERROR(INDEX(MgAmenDegD,MATCH(SUBSTITUTE($H1802,"*","-"),MgAmenClave,0)),"No aplica")</f>
        <v/>
      </c>
      <c r="O1802" s="28">
        <f>IFERROR(INDEX(MgAmenDegI,MATCH(SUBSTITUTE($H1802,"*","-"),MgAmenClave,0)),"No aplica")</f>
        <v/>
      </c>
      <c r="P1802" s="28">
        <f>IFERROR(INDEX(MgAmenDegC,MATCH(SUBSTITUTE($H1802,"*","-"),MgAmenClave,0)),"No aplica")</f>
        <v/>
      </c>
      <c r="Q1802" s="29">
        <f>IFERROR(VLOOKUP(K1802,MgValor,2,0)*VLOOKUP(N1802,MgDeg,2,0),0)</f>
        <v/>
      </c>
      <c r="R1802" s="29">
        <f>IFERROR(VLOOKUP(L1802,MgValor,2,0)*VLOOKUP(O1802,MgDeg,2,0),0)</f>
        <v/>
      </c>
      <c r="S1802" s="29">
        <f>IFERROR(VLOOKUP(M1802,MgValor,2,0)*VLOOKUP(P1802,MgDeg,2,0),0)</f>
        <v/>
      </c>
      <c r="T1802" s="30">
        <f>MAX(Q1802:S1802)</f>
        <v/>
      </c>
      <c r="U1802" s="28">
        <f>IFERROR(LOOKUP(T1802,{0;0.5;1.5;3;4.5},{"Despreciable";"Bajo";"Medio";"Alto";"Muy alto"}),"")</f>
        <v/>
      </c>
      <c r="V1802" s="13">
        <f>IFERROR(INDEX(MgAmenFrec,MATCH(SUBSTITUTE($H1802,"*","-"),MgAmenClave,0)),"")</f>
        <v/>
      </c>
      <c r="W1802" s="28">
        <f>IFERROR(LOOKUP(X1802,{0;0.01;0.1;1;10;100},{"Muy baja";"Muy baja";"Baja";"Media";"Alta";"Muy alta"}),"")</f>
        <v/>
      </c>
      <c r="X1802" s="31">
        <f>IFERROR(VLOOKUP(V1802,MgFrec,2,0),0)</f>
        <v/>
      </c>
      <c r="Y1802" s="30">
        <f>T1802*X1802</f>
        <v/>
      </c>
      <c r="Z1802" s="28">
        <f>IFERROR(LOOKUP(Y1802,{0;0.5;5;25},{"Bajo";"Medio";"Alto";"Crítico"}),"")</f>
        <v/>
      </c>
      <c r="AA1802" s="64">
        <f>IF(T1802&gt;=3,IF(X1802&gt;=1,"Zona 1 — Crítica: impacto alto y ocurre al menos una vez al año","Zona 4 — Catastrófica poco probable: impacto alto pero excepcional"),IF(AND(T1802&lt;1.5,X1802&lt;1),"Zona 3 — Asumible: impacto bajo y muy poco frecuente","Zona 2 — Atención: riesgo intermedio"))</f>
        <v/>
      </c>
      <c r="AB1802" s="64">
        <f>IFERROR(INDEX(MgAmenCtrl,MATCH(SUBSTITUTE($H1802,"*","-"),MgAmenClave,0)),"")</f>
        <v/>
      </c>
      <c r="AC1802" s="20" t="n"/>
      <c r="AD1802" s="31">
        <f>IFERROR($X1802*(1-IF($AC1802="",$AL1802,VLOOKUP($AC1802,MgMad,2,0))),"")</f>
        <v/>
      </c>
      <c r="AE1802" s="28">
        <f>IFERROR(LOOKUP(AD1802,{0;0.01;0.1;1;10;100},{"Muy baja";"Muy baja";"Baja";"Media";"Alta";"Muy alta"}),"")</f>
        <v/>
      </c>
      <c r="AF1802" s="30">
        <f>T1802*AD1802</f>
        <v/>
      </c>
      <c r="AG1802" s="28">
        <f>IFERROR(LOOKUP(AF1802,{0;0.5;5;25},{"Bajo";"Medio";"Alto";"Crítico"}),"")</f>
        <v/>
      </c>
      <c r="AH1802" s="28">
        <f>IF(AG1802="","",IF(OR(AG1802="Crítico",AG1802="Alto"),"Mitigar",IF(AG1802="Medio","Mitigar","Aceptar y monitorear")))</f>
        <v/>
      </c>
      <c r="AI1802" s="21" t="n"/>
      <c r="AJ1802" s="21" t="n"/>
      <c r="AK1802" s="20" t="n"/>
      <c r="AL1802" s="77">
        <f>IFERROR(INDEX(MgAmenEfic,MATCH(SUBSTITUTE($H1802,"*","-"),MgAmenClave,0)),0)</f>
        <v/>
      </c>
    </row>
    <row r="1803" hidden="1" ht="105" customHeight="1" s="54">
      <c r="B1803" s="59" t="inlineStr">
        <is>
          <t>R-1798</t>
        </is>
      </c>
      <c r="C1803" s="59" t="inlineStr">
        <is>
          <t>TAL-15</t>
        </is>
      </c>
      <c r="D1803" s="64">
        <f>IFERROR(INDEX(MgNombre,MATCH($C1803,MgActId,0)),"")</f>
        <v/>
      </c>
      <c r="E1803" s="64">
        <f>IFERROR(INDEX(MgProceso,MATCH($C1803,MgActId,0)),"")</f>
        <v/>
      </c>
      <c r="F1803" s="64">
        <f>IFERROR(INDEX(MgTipo,MATCH($C1803,MgActId,0)),"")</f>
        <v/>
      </c>
      <c r="G1803" s="64">
        <f>IFERROR(INDEX(MgSubtipo,MATCH($C1803,MgActId,0)),"")</f>
        <v/>
      </c>
      <c r="H1803" s="59" t="inlineStr">
        <is>
          <t>E.19</t>
        </is>
      </c>
      <c r="I1803" s="64">
        <f>IFERROR(INDEX(MgAmenNombre,MATCH(SUBSTITUTE($H1803,"*","-"),MgAmenClave,0)),"")</f>
        <v/>
      </c>
      <c r="J1803" s="28">
        <f>IFERROR(INDEX(MgAmenGrupo,MATCH(SUBSTITUTE($H1803,"*","-"),MgAmenClave,0)),"")</f>
        <v/>
      </c>
      <c r="K1803" s="64">
        <f>IFERROR(INDEX('1. Matriz de Activos'!$Q$6:$Q$239,MATCH($C1803,MgActId,0)),"")</f>
        <v/>
      </c>
      <c r="L1803" s="64">
        <f>IFERROR(INDEX('1. Matriz de Activos'!$R$6:$R$239,MATCH($C1803,MgActId,0)),"")</f>
        <v/>
      </c>
      <c r="M1803" s="64">
        <f>IFERROR(INDEX('1. Matriz de Activos'!$S$6:$S$239,MATCH($C1803,MgActId,0)),"")</f>
        <v/>
      </c>
      <c r="N1803" s="28">
        <f>IFERROR(INDEX(MgAmenDegD,MATCH(SUBSTITUTE($H1803,"*","-"),MgAmenClave,0)),"No aplica")</f>
        <v/>
      </c>
      <c r="O1803" s="28">
        <f>IFERROR(INDEX(MgAmenDegI,MATCH(SUBSTITUTE($H1803,"*","-"),MgAmenClave,0)),"No aplica")</f>
        <v/>
      </c>
      <c r="P1803" s="28">
        <f>IFERROR(INDEX(MgAmenDegC,MATCH(SUBSTITUTE($H1803,"*","-"),MgAmenClave,0)),"No aplica")</f>
        <v/>
      </c>
      <c r="Q1803" s="29">
        <f>IFERROR(VLOOKUP(K1803,MgValor,2,0)*VLOOKUP(N1803,MgDeg,2,0),0)</f>
        <v/>
      </c>
      <c r="R1803" s="29">
        <f>IFERROR(VLOOKUP(L1803,MgValor,2,0)*VLOOKUP(O1803,MgDeg,2,0),0)</f>
        <v/>
      </c>
      <c r="S1803" s="29">
        <f>IFERROR(VLOOKUP(M1803,MgValor,2,0)*VLOOKUP(P1803,MgDeg,2,0),0)</f>
        <v/>
      </c>
      <c r="T1803" s="30">
        <f>MAX(Q1803:S1803)</f>
        <v/>
      </c>
      <c r="U1803" s="28">
        <f>IFERROR(LOOKUP(T1803,{0;0.5;1.5;3;4.5},{"Despreciable";"Bajo";"Medio";"Alto";"Muy alto"}),"")</f>
        <v/>
      </c>
      <c r="V1803" s="13">
        <f>IFERROR(INDEX(MgAmenFrec,MATCH(SUBSTITUTE($H1803,"*","-"),MgAmenClave,0)),"")</f>
        <v/>
      </c>
      <c r="W1803" s="28">
        <f>IFERROR(LOOKUP(X1803,{0;0.01;0.1;1;10;100},{"Muy baja";"Muy baja";"Baja";"Media";"Alta";"Muy alta"}),"")</f>
        <v/>
      </c>
      <c r="X1803" s="31">
        <f>IFERROR(VLOOKUP(V1803,MgFrec,2,0),0)</f>
        <v/>
      </c>
      <c r="Y1803" s="30">
        <f>T1803*X1803</f>
        <v/>
      </c>
      <c r="Z1803" s="28">
        <f>IFERROR(LOOKUP(Y1803,{0;0.5;5;25},{"Bajo";"Medio";"Alto";"Crítico"}),"")</f>
        <v/>
      </c>
      <c r="AA1803" s="64">
        <f>IF(T1803&gt;=3,IF(X1803&gt;=1,"Zona 1 — Crítica: impacto alto y ocurre al menos una vez al año","Zona 4 — Catastrófica poco probable: impacto alto pero excepcional"),IF(AND(T1803&lt;1.5,X1803&lt;1),"Zona 3 — Asumible: impacto bajo y muy poco frecuente","Zona 2 — Atención: riesgo intermedio"))</f>
        <v/>
      </c>
      <c r="AB1803" s="64">
        <f>IFERROR(INDEX(MgAmenCtrl,MATCH(SUBSTITUTE($H1803,"*","-"),MgAmenClave,0)),"")</f>
        <v/>
      </c>
      <c r="AC1803" s="20" t="n"/>
      <c r="AD1803" s="31">
        <f>IFERROR($X1803*(1-IF($AC1803="",$AL1803,VLOOKUP($AC1803,MgMad,2,0))),"")</f>
        <v/>
      </c>
      <c r="AE1803" s="28">
        <f>IFERROR(LOOKUP(AD1803,{0;0.01;0.1;1;10;100},{"Muy baja";"Muy baja";"Baja";"Media";"Alta";"Muy alta"}),"")</f>
        <v/>
      </c>
      <c r="AF1803" s="30">
        <f>T1803*AD1803</f>
        <v/>
      </c>
      <c r="AG1803" s="28">
        <f>IFERROR(LOOKUP(AF1803,{0;0.5;5;25},{"Bajo";"Medio";"Alto";"Crítico"}),"")</f>
        <v/>
      </c>
      <c r="AH1803" s="28">
        <f>IF(AG1803="","",IF(OR(AG1803="Crítico",AG1803="Alto"),"Mitigar",IF(AG1803="Medio","Mitigar","Aceptar y monitorear")))</f>
        <v/>
      </c>
      <c r="AI1803" s="21" t="n"/>
      <c r="AJ1803" s="21" t="n"/>
      <c r="AK1803" s="20" t="n"/>
      <c r="AL1803" s="77">
        <f>IFERROR(INDEX(MgAmenEfic,MATCH(SUBSTITUTE($H1803,"*","-"),MgAmenClave,0)),0)</f>
        <v/>
      </c>
    </row>
    <row r="1804" hidden="1" ht="135" customHeight="1" s="54">
      <c r="B1804" s="59" t="inlineStr">
        <is>
          <t>R-1799</t>
        </is>
      </c>
      <c r="C1804" s="59" t="inlineStr">
        <is>
          <t>TAL-15</t>
        </is>
      </c>
      <c r="D1804" s="64">
        <f>IFERROR(INDEX(MgNombre,MATCH($C1804,MgActId,0)),"")</f>
        <v/>
      </c>
      <c r="E1804" s="64">
        <f>IFERROR(INDEX(MgProceso,MATCH($C1804,MgActId,0)),"")</f>
        <v/>
      </c>
      <c r="F1804" s="64">
        <f>IFERROR(INDEX(MgTipo,MATCH($C1804,MgActId,0)),"")</f>
        <v/>
      </c>
      <c r="G1804" s="64">
        <f>IFERROR(INDEX(MgSubtipo,MATCH($C1804,MgActId,0)),"")</f>
        <v/>
      </c>
      <c r="H1804" s="59" t="inlineStr">
        <is>
          <t>E.28</t>
        </is>
      </c>
      <c r="I1804" s="64">
        <f>IFERROR(INDEX(MgAmenNombre,MATCH(SUBSTITUTE($H1804,"*","-"),MgAmenClave,0)),"")</f>
        <v/>
      </c>
      <c r="J1804" s="28">
        <f>IFERROR(INDEX(MgAmenGrupo,MATCH(SUBSTITUTE($H1804,"*","-"),MgAmenClave,0)),"")</f>
        <v/>
      </c>
      <c r="K1804" s="64">
        <f>IFERROR(INDEX('1. Matriz de Activos'!$Q$6:$Q$239,MATCH($C1804,MgActId,0)),"")</f>
        <v/>
      </c>
      <c r="L1804" s="64">
        <f>IFERROR(INDEX('1. Matriz de Activos'!$R$6:$R$239,MATCH($C1804,MgActId,0)),"")</f>
        <v/>
      </c>
      <c r="M1804" s="64">
        <f>IFERROR(INDEX('1. Matriz de Activos'!$S$6:$S$239,MATCH($C1804,MgActId,0)),"")</f>
        <v/>
      </c>
      <c r="N1804" s="28">
        <f>IFERROR(INDEX(MgAmenDegD,MATCH(SUBSTITUTE($H1804,"*","-"),MgAmenClave,0)),"No aplica")</f>
        <v/>
      </c>
      <c r="O1804" s="28">
        <f>IFERROR(INDEX(MgAmenDegI,MATCH(SUBSTITUTE($H1804,"*","-"),MgAmenClave,0)),"No aplica")</f>
        <v/>
      </c>
      <c r="P1804" s="28">
        <f>IFERROR(INDEX(MgAmenDegC,MATCH(SUBSTITUTE($H1804,"*","-"),MgAmenClave,0)),"No aplica")</f>
        <v/>
      </c>
      <c r="Q1804" s="29">
        <f>IFERROR(VLOOKUP(K1804,MgValor,2,0)*VLOOKUP(N1804,MgDeg,2,0),0)</f>
        <v/>
      </c>
      <c r="R1804" s="29">
        <f>IFERROR(VLOOKUP(L1804,MgValor,2,0)*VLOOKUP(O1804,MgDeg,2,0),0)</f>
        <v/>
      </c>
      <c r="S1804" s="29">
        <f>IFERROR(VLOOKUP(M1804,MgValor,2,0)*VLOOKUP(P1804,MgDeg,2,0),0)</f>
        <v/>
      </c>
      <c r="T1804" s="30">
        <f>MAX(Q1804:S1804)</f>
        <v/>
      </c>
      <c r="U1804" s="28">
        <f>IFERROR(LOOKUP(T1804,{0;0.5;1.5;3;4.5},{"Despreciable";"Bajo";"Medio";"Alto";"Muy alto"}),"")</f>
        <v/>
      </c>
      <c r="V1804" s="13">
        <f>IFERROR(INDEX(MgAmenFrec,MATCH(SUBSTITUTE($H1804,"*","-"),MgAmenClave,0)),"")</f>
        <v/>
      </c>
      <c r="W1804" s="28">
        <f>IFERROR(LOOKUP(X1804,{0;0.01;0.1;1;10;100},{"Muy baja";"Muy baja";"Baja";"Media";"Alta";"Muy alta"}),"")</f>
        <v/>
      </c>
      <c r="X1804" s="31">
        <f>IFERROR(VLOOKUP(V1804,MgFrec,2,0),0)</f>
        <v/>
      </c>
      <c r="Y1804" s="30">
        <f>T1804*X1804</f>
        <v/>
      </c>
      <c r="Z1804" s="28">
        <f>IFERROR(LOOKUP(Y1804,{0;0.5;5;25},{"Bajo";"Medio";"Alto";"Crítico"}),"")</f>
        <v/>
      </c>
      <c r="AA1804" s="64">
        <f>IF(T1804&gt;=3,IF(X1804&gt;=1,"Zona 1 — Crítica: impacto alto y ocurre al menos una vez al año","Zona 4 — Catastrófica poco probable: impacto alto pero excepcional"),IF(AND(T1804&lt;1.5,X1804&lt;1),"Zona 3 — Asumible: impacto bajo y muy poco frecuente","Zona 2 — Atención: riesgo intermedio"))</f>
        <v/>
      </c>
      <c r="AB1804" s="64">
        <f>IFERROR(INDEX(MgAmenCtrl,MATCH(SUBSTITUTE($H1804,"*","-"),MgAmenClave,0)),"")</f>
        <v/>
      </c>
      <c r="AC1804" s="20" t="n"/>
      <c r="AD1804" s="31">
        <f>IFERROR($X1804*(1-IF($AC1804="",$AL1804,VLOOKUP($AC1804,MgMad,2,0))),"")</f>
        <v/>
      </c>
      <c r="AE1804" s="28">
        <f>IFERROR(LOOKUP(AD1804,{0;0.01;0.1;1;10;100},{"Muy baja";"Muy baja";"Baja";"Media";"Alta";"Muy alta"}),"")</f>
        <v/>
      </c>
      <c r="AF1804" s="30">
        <f>T1804*AD1804</f>
        <v/>
      </c>
      <c r="AG1804" s="28">
        <f>IFERROR(LOOKUP(AF1804,{0;0.5;5;25},{"Bajo";"Medio";"Alto";"Crítico"}),"")</f>
        <v/>
      </c>
      <c r="AH1804" s="28">
        <f>IF(AG1804="","",IF(OR(AG1804="Crítico",AG1804="Alto"),"Mitigar",IF(AG1804="Medio","Mitigar","Aceptar y monitorear")))</f>
        <v/>
      </c>
      <c r="AI1804" s="21" t="n"/>
      <c r="AJ1804" s="21" t="n"/>
      <c r="AK1804" s="20" t="n"/>
      <c r="AL1804" s="77">
        <f>IFERROR(INDEX(MgAmenEfic,MATCH(SUBSTITUTE($H1804,"*","-"),MgAmenClave,0)),0)</f>
        <v/>
      </c>
    </row>
    <row r="1805" hidden="1" ht="75" customHeight="1" s="54">
      <c r="B1805" s="59" t="inlineStr">
        <is>
          <t>R-1800</t>
        </is>
      </c>
      <c r="C1805" s="59" t="inlineStr">
        <is>
          <t>TAL-15</t>
        </is>
      </c>
      <c r="D1805" s="64">
        <f>IFERROR(INDEX(MgNombre,MATCH($C1805,MgActId,0)),"")</f>
        <v/>
      </c>
      <c r="E1805" s="64">
        <f>IFERROR(INDEX(MgProceso,MATCH($C1805,MgActId,0)),"")</f>
        <v/>
      </c>
      <c r="F1805" s="64">
        <f>IFERROR(INDEX(MgTipo,MATCH($C1805,MgActId,0)),"")</f>
        <v/>
      </c>
      <c r="G1805" s="64">
        <f>IFERROR(INDEX(MgSubtipo,MATCH($C1805,MgActId,0)),"")</f>
        <v/>
      </c>
      <c r="H1805" s="59" t="inlineStr">
        <is>
          <t>A.28</t>
        </is>
      </c>
      <c r="I1805" s="64">
        <f>IFERROR(INDEX(MgAmenNombre,MATCH(SUBSTITUTE($H1805,"*","-"),MgAmenClave,0)),"")</f>
        <v/>
      </c>
      <c r="J1805" s="28">
        <f>IFERROR(INDEX(MgAmenGrupo,MATCH(SUBSTITUTE($H1805,"*","-"),MgAmenClave,0)),"")</f>
        <v/>
      </c>
      <c r="K1805" s="64">
        <f>IFERROR(INDEX('1. Matriz de Activos'!$Q$6:$Q$239,MATCH($C1805,MgActId,0)),"")</f>
        <v/>
      </c>
      <c r="L1805" s="64">
        <f>IFERROR(INDEX('1. Matriz de Activos'!$R$6:$R$239,MATCH($C1805,MgActId,0)),"")</f>
        <v/>
      </c>
      <c r="M1805" s="64">
        <f>IFERROR(INDEX('1. Matriz de Activos'!$S$6:$S$239,MATCH($C1805,MgActId,0)),"")</f>
        <v/>
      </c>
      <c r="N1805" s="28">
        <f>IFERROR(INDEX(MgAmenDegD,MATCH(SUBSTITUTE($H1805,"*","-"),MgAmenClave,0)),"No aplica")</f>
        <v/>
      </c>
      <c r="O1805" s="28">
        <f>IFERROR(INDEX(MgAmenDegI,MATCH(SUBSTITUTE($H1805,"*","-"),MgAmenClave,0)),"No aplica")</f>
        <v/>
      </c>
      <c r="P1805" s="28">
        <f>IFERROR(INDEX(MgAmenDegC,MATCH(SUBSTITUTE($H1805,"*","-"),MgAmenClave,0)),"No aplica")</f>
        <v/>
      </c>
      <c r="Q1805" s="29">
        <f>IFERROR(VLOOKUP(K1805,MgValor,2,0)*VLOOKUP(N1805,MgDeg,2,0),0)</f>
        <v/>
      </c>
      <c r="R1805" s="29">
        <f>IFERROR(VLOOKUP(L1805,MgValor,2,0)*VLOOKUP(O1805,MgDeg,2,0),0)</f>
        <v/>
      </c>
      <c r="S1805" s="29">
        <f>IFERROR(VLOOKUP(M1805,MgValor,2,0)*VLOOKUP(P1805,MgDeg,2,0),0)</f>
        <v/>
      </c>
      <c r="T1805" s="30">
        <f>MAX(Q1805:S1805)</f>
        <v/>
      </c>
      <c r="U1805" s="28">
        <f>IFERROR(LOOKUP(T1805,{0;0.5;1.5;3;4.5},{"Despreciable";"Bajo";"Medio";"Alto";"Muy alto"}),"")</f>
        <v/>
      </c>
      <c r="V1805" s="13">
        <f>IFERROR(INDEX(MgAmenFrec,MATCH(SUBSTITUTE($H1805,"*","-"),MgAmenClave,0)),"")</f>
        <v/>
      </c>
      <c r="W1805" s="28">
        <f>IFERROR(LOOKUP(X1805,{0;0.01;0.1;1;10;100},{"Muy baja";"Muy baja";"Baja";"Media";"Alta";"Muy alta"}),"")</f>
        <v/>
      </c>
      <c r="X1805" s="31">
        <f>IFERROR(VLOOKUP(V1805,MgFrec,2,0),0)</f>
        <v/>
      </c>
      <c r="Y1805" s="30">
        <f>T1805*X1805</f>
        <v/>
      </c>
      <c r="Z1805" s="28">
        <f>IFERROR(LOOKUP(Y1805,{0;0.5;5;25},{"Bajo";"Medio";"Alto";"Crítico"}),"")</f>
        <v/>
      </c>
      <c r="AA1805" s="64">
        <f>IF(T1805&gt;=3,IF(X1805&gt;=1,"Zona 1 — Crítica: impacto alto y ocurre al menos una vez al año","Zona 4 — Catastrófica poco probable: impacto alto pero excepcional"),IF(AND(T1805&lt;1.5,X1805&lt;1),"Zona 3 — Asumible: impacto bajo y muy poco frecuente","Zona 2 — Atención: riesgo intermedio"))</f>
        <v/>
      </c>
      <c r="AB1805" s="64">
        <f>IFERROR(INDEX(MgAmenCtrl,MATCH(SUBSTITUTE($H1805,"*","-"),MgAmenClave,0)),"")</f>
        <v/>
      </c>
      <c r="AC1805" s="20" t="n"/>
      <c r="AD1805" s="31">
        <f>IFERROR($X1805*(1-IF($AC1805="",$AL1805,VLOOKUP($AC1805,MgMad,2,0))),"")</f>
        <v/>
      </c>
      <c r="AE1805" s="28">
        <f>IFERROR(LOOKUP(AD1805,{0;0.01;0.1;1;10;100},{"Muy baja";"Muy baja";"Baja";"Media";"Alta";"Muy alta"}),"")</f>
        <v/>
      </c>
      <c r="AF1805" s="30">
        <f>T1805*AD1805</f>
        <v/>
      </c>
      <c r="AG1805" s="28">
        <f>IFERROR(LOOKUP(AF1805,{0;0.5;5;25},{"Bajo";"Medio";"Alto";"Crítico"}),"")</f>
        <v/>
      </c>
      <c r="AH1805" s="28">
        <f>IF(AG1805="","",IF(OR(AG1805="Crítico",AG1805="Alto"),"Mitigar",IF(AG1805="Medio","Mitigar","Aceptar y monitorear")))</f>
        <v/>
      </c>
      <c r="AI1805" s="21" t="n"/>
      <c r="AJ1805" s="21" t="n"/>
      <c r="AK1805" s="20" t="n"/>
      <c r="AL1805" s="77">
        <f>IFERROR(INDEX(MgAmenEfic,MATCH(SUBSTITUTE($H1805,"*","-"),MgAmenClave,0)),0)</f>
        <v/>
      </c>
    </row>
    <row r="1806" hidden="1" ht="90" customHeight="1" s="54">
      <c r="B1806" s="59" t="inlineStr">
        <is>
          <t>R-1801</t>
        </is>
      </c>
      <c r="C1806" s="59" t="inlineStr">
        <is>
          <t>TAL-15</t>
        </is>
      </c>
      <c r="D1806" s="64">
        <f>IFERROR(INDEX(MgNombre,MATCH($C1806,MgActId,0)),"")</f>
        <v/>
      </c>
      <c r="E1806" s="64">
        <f>IFERROR(INDEX(MgProceso,MATCH($C1806,MgActId,0)),"")</f>
        <v/>
      </c>
      <c r="F1806" s="64">
        <f>IFERROR(INDEX(MgTipo,MATCH($C1806,MgActId,0)),"")</f>
        <v/>
      </c>
      <c r="G1806" s="64">
        <f>IFERROR(INDEX(MgSubtipo,MATCH($C1806,MgActId,0)),"")</f>
        <v/>
      </c>
      <c r="H1806" s="59" t="inlineStr">
        <is>
          <t>A.29</t>
        </is>
      </c>
      <c r="I1806" s="64">
        <f>IFERROR(INDEX(MgAmenNombre,MATCH(SUBSTITUTE($H1806,"*","-"),MgAmenClave,0)),"")</f>
        <v/>
      </c>
      <c r="J1806" s="28">
        <f>IFERROR(INDEX(MgAmenGrupo,MATCH(SUBSTITUTE($H1806,"*","-"),MgAmenClave,0)),"")</f>
        <v/>
      </c>
      <c r="K1806" s="64">
        <f>IFERROR(INDEX('1. Matriz de Activos'!$Q$6:$Q$239,MATCH($C1806,MgActId,0)),"")</f>
        <v/>
      </c>
      <c r="L1806" s="64">
        <f>IFERROR(INDEX('1. Matriz de Activos'!$R$6:$R$239,MATCH($C1806,MgActId,0)),"")</f>
        <v/>
      </c>
      <c r="M1806" s="64">
        <f>IFERROR(INDEX('1. Matriz de Activos'!$S$6:$S$239,MATCH($C1806,MgActId,0)),"")</f>
        <v/>
      </c>
      <c r="N1806" s="28">
        <f>IFERROR(INDEX(MgAmenDegD,MATCH(SUBSTITUTE($H1806,"*","-"),MgAmenClave,0)),"No aplica")</f>
        <v/>
      </c>
      <c r="O1806" s="28">
        <f>IFERROR(INDEX(MgAmenDegI,MATCH(SUBSTITUTE($H1806,"*","-"),MgAmenClave,0)),"No aplica")</f>
        <v/>
      </c>
      <c r="P1806" s="28">
        <f>IFERROR(INDEX(MgAmenDegC,MATCH(SUBSTITUTE($H1806,"*","-"),MgAmenClave,0)),"No aplica")</f>
        <v/>
      </c>
      <c r="Q1806" s="29">
        <f>IFERROR(VLOOKUP(K1806,MgValor,2,0)*VLOOKUP(N1806,MgDeg,2,0),0)</f>
        <v/>
      </c>
      <c r="R1806" s="29">
        <f>IFERROR(VLOOKUP(L1806,MgValor,2,0)*VLOOKUP(O1806,MgDeg,2,0),0)</f>
        <v/>
      </c>
      <c r="S1806" s="29">
        <f>IFERROR(VLOOKUP(M1806,MgValor,2,0)*VLOOKUP(P1806,MgDeg,2,0),0)</f>
        <v/>
      </c>
      <c r="T1806" s="30">
        <f>MAX(Q1806:S1806)</f>
        <v/>
      </c>
      <c r="U1806" s="28">
        <f>IFERROR(LOOKUP(T1806,{0;0.5;1.5;3;4.5},{"Despreciable";"Bajo";"Medio";"Alto";"Muy alto"}),"")</f>
        <v/>
      </c>
      <c r="V1806" s="13">
        <f>IFERROR(INDEX(MgAmenFrec,MATCH(SUBSTITUTE($H1806,"*","-"),MgAmenClave,0)),"")</f>
        <v/>
      </c>
      <c r="W1806" s="28">
        <f>IFERROR(LOOKUP(X1806,{0;0.01;0.1;1;10;100},{"Muy baja";"Muy baja";"Baja";"Media";"Alta";"Muy alta"}),"")</f>
        <v/>
      </c>
      <c r="X1806" s="31">
        <f>IFERROR(VLOOKUP(V1806,MgFrec,2,0),0)</f>
        <v/>
      </c>
      <c r="Y1806" s="30">
        <f>T1806*X1806</f>
        <v/>
      </c>
      <c r="Z1806" s="28">
        <f>IFERROR(LOOKUP(Y1806,{0;0.5;5;25},{"Bajo";"Medio";"Alto";"Crítico"}),"")</f>
        <v/>
      </c>
      <c r="AA1806" s="64">
        <f>IF(T1806&gt;=3,IF(X1806&gt;=1,"Zona 1 — Crítica: impacto alto y ocurre al menos una vez al año","Zona 4 — Catastrófica poco probable: impacto alto pero excepcional"),IF(AND(T1806&lt;1.5,X1806&lt;1),"Zona 3 — Asumible: impacto bajo y muy poco frecuente","Zona 2 — Atención: riesgo intermedio"))</f>
        <v/>
      </c>
      <c r="AB1806" s="64">
        <f>IFERROR(INDEX(MgAmenCtrl,MATCH(SUBSTITUTE($H1806,"*","-"),MgAmenClave,0)),"")</f>
        <v/>
      </c>
      <c r="AC1806" s="20" t="n"/>
      <c r="AD1806" s="31">
        <f>IFERROR($X1806*(1-IF($AC1806="",$AL1806,VLOOKUP($AC1806,MgMad,2,0))),"")</f>
        <v/>
      </c>
      <c r="AE1806" s="28">
        <f>IFERROR(LOOKUP(AD1806,{0;0.01;0.1;1;10;100},{"Muy baja";"Muy baja";"Baja";"Media";"Alta";"Muy alta"}),"")</f>
        <v/>
      </c>
      <c r="AF1806" s="30">
        <f>T1806*AD1806</f>
        <v/>
      </c>
      <c r="AG1806" s="28">
        <f>IFERROR(LOOKUP(AF1806,{0;0.5;5;25},{"Bajo";"Medio";"Alto";"Crítico"}),"")</f>
        <v/>
      </c>
      <c r="AH1806" s="28">
        <f>IF(AG1806="","",IF(OR(AG1806="Crítico",AG1806="Alto"),"Mitigar",IF(AG1806="Medio","Mitigar","Aceptar y monitorear")))</f>
        <v/>
      </c>
      <c r="AI1806" s="21" t="n"/>
      <c r="AJ1806" s="21" t="n"/>
      <c r="AK1806" s="20" t="n"/>
      <c r="AL1806" s="77">
        <f>IFERROR(INDEX(MgAmenEfic,MATCH(SUBSTITUTE($H1806,"*","-"),MgAmenClave,0)),0)</f>
        <v/>
      </c>
    </row>
    <row r="1807" hidden="1" ht="105" customHeight="1" s="54">
      <c r="B1807" s="59" t="inlineStr">
        <is>
          <t>R-1802</t>
        </is>
      </c>
      <c r="C1807" s="59" t="inlineStr">
        <is>
          <t>TAL-15</t>
        </is>
      </c>
      <c r="D1807" s="64">
        <f>IFERROR(INDEX(MgNombre,MATCH($C1807,MgActId,0)),"")</f>
        <v/>
      </c>
      <c r="E1807" s="64">
        <f>IFERROR(INDEX(MgProceso,MATCH($C1807,MgActId,0)),"")</f>
        <v/>
      </c>
      <c r="F1807" s="64">
        <f>IFERROR(INDEX(MgTipo,MATCH($C1807,MgActId,0)),"")</f>
        <v/>
      </c>
      <c r="G1807" s="64">
        <f>IFERROR(INDEX(MgSubtipo,MATCH($C1807,MgActId,0)),"")</f>
        <v/>
      </c>
      <c r="H1807" s="59" t="inlineStr">
        <is>
          <t>A.30</t>
        </is>
      </c>
      <c r="I1807" s="64">
        <f>IFERROR(INDEX(MgAmenNombre,MATCH(SUBSTITUTE($H1807,"*","-"),MgAmenClave,0)),"")</f>
        <v/>
      </c>
      <c r="J1807" s="28">
        <f>IFERROR(INDEX(MgAmenGrupo,MATCH(SUBSTITUTE($H1807,"*","-"),MgAmenClave,0)),"")</f>
        <v/>
      </c>
      <c r="K1807" s="64">
        <f>IFERROR(INDEX('1. Matriz de Activos'!$Q$6:$Q$239,MATCH($C1807,MgActId,0)),"")</f>
        <v/>
      </c>
      <c r="L1807" s="64">
        <f>IFERROR(INDEX('1. Matriz de Activos'!$R$6:$R$239,MATCH($C1807,MgActId,0)),"")</f>
        <v/>
      </c>
      <c r="M1807" s="64">
        <f>IFERROR(INDEX('1. Matriz de Activos'!$S$6:$S$239,MATCH($C1807,MgActId,0)),"")</f>
        <v/>
      </c>
      <c r="N1807" s="28">
        <f>IFERROR(INDEX(MgAmenDegD,MATCH(SUBSTITUTE($H1807,"*","-"),MgAmenClave,0)),"No aplica")</f>
        <v/>
      </c>
      <c r="O1807" s="28">
        <f>IFERROR(INDEX(MgAmenDegI,MATCH(SUBSTITUTE($H1807,"*","-"),MgAmenClave,0)),"No aplica")</f>
        <v/>
      </c>
      <c r="P1807" s="28">
        <f>IFERROR(INDEX(MgAmenDegC,MATCH(SUBSTITUTE($H1807,"*","-"),MgAmenClave,0)),"No aplica")</f>
        <v/>
      </c>
      <c r="Q1807" s="29">
        <f>IFERROR(VLOOKUP(K1807,MgValor,2,0)*VLOOKUP(N1807,MgDeg,2,0),0)</f>
        <v/>
      </c>
      <c r="R1807" s="29">
        <f>IFERROR(VLOOKUP(L1807,MgValor,2,0)*VLOOKUP(O1807,MgDeg,2,0),0)</f>
        <v/>
      </c>
      <c r="S1807" s="29">
        <f>IFERROR(VLOOKUP(M1807,MgValor,2,0)*VLOOKUP(P1807,MgDeg,2,0),0)</f>
        <v/>
      </c>
      <c r="T1807" s="30">
        <f>MAX(Q1807:S1807)</f>
        <v/>
      </c>
      <c r="U1807" s="28">
        <f>IFERROR(LOOKUP(T1807,{0;0.5;1.5;3;4.5},{"Despreciable";"Bajo";"Medio";"Alto";"Muy alto"}),"")</f>
        <v/>
      </c>
      <c r="V1807" s="13">
        <f>IFERROR(INDEX(MgAmenFrec,MATCH(SUBSTITUTE($H1807,"*","-"),MgAmenClave,0)),"")</f>
        <v/>
      </c>
      <c r="W1807" s="28">
        <f>IFERROR(LOOKUP(X1807,{0;0.01;0.1;1;10;100},{"Muy baja";"Muy baja";"Baja";"Media";"Alta";"Muy alta"}),"")</f>
        <v/>
      </c>
      <c r="X1807" s="31">
        <f>IFERROR(VLOOKUP(V1807,MgFrec,2,0),0)</f>
        <v/>
      </c>
      <c r="Y1807" s="30">
        <f>T1807*X1807</f>
        <v/>
      </c>
      <c r="Z1807" s="28">
        <f>IFERROR(LOOKUP(Y1807,{0;0.5;5;25},{"Bajo";"Medio";"Alto";"Crítico"}),"")</f>
        <v/>
      </c>
      <c r="AA1807" s="64">
        <f>IF(T1807&gt;=3,IF(X1807&gt;=1,"Zona 1 — Crítica: impacto alto y ocurre al menos una vez al año","Zona 4 — Catastrófica poco probable: impacto alto pero excepcional"),IF(AND(T1807&lt;1.5,X1807&lt;1),"Zona 3 — Asumible: impacto bajo y muy poco frecuente","Zona 2 — Atención: riesgo intermedio"))</f>
        <v/>
      </c>
      <c r="AB1807" s="64">
        <f>IFERROR(INDEX(MgAmenCtrl,MATCH(SUBSTITUTE($H1807,"*","-"),MgAmenClave,0)),"")</f>
        <v/>
      </c>
      <c r="AC1807" s="20" t="n"/>
      <c r="AD1807" s="31">
        <f>IFERROR($X1807*(1-IF($AC1807="",$AL1807,VLOOKUP($AC1807,MgMad,2,0))),"")</f>
        <v/>
      </c>
      <c r="AE1807" s="28">
        <f>IFERROR(LOOKUP(AD1807,{0;0.01;0.1;1;10;100},{"Muy baja";"Muy baja";"Baja";"Media";"Alta";"Muy alta"}),"")</f>
        <v/>
      </c>
      <c r="AF1807" s="30">
        <f>T1807*AD1807</f>
        <v/>
      </c>
      <c r="AG1807" s="28">
        <f>IFERROR(LOOKUP(AF1807,{0;0.5;5;25},{"Bajo";"Medio";"Alto";"Crítico"}),"")</f>
        <v/>
      </c>
      <c r="AH1807" s="28">
        <f>IF(AG1807="","",IF(OR(AG1807="Crítico",AG1807="Alto"),"Mitigar",IF(AG1807="Medio","Mitigar","Aceptar y monitorear")))</f>
        <v/>
      </c>
      <c r="AI1807" s="21" t="n"/>
      <c r="AJ1807" s="21" t="n"/>
      <c r="AK1807" s="20" t="n"/>
      <c r="AL1807" s="77">
        <f>IFERROR(INDEX(MgAmenEfic,MATCH(SUBSTITUTE($H1807,"*","-"),MgAmenClave,0)),0)</f>
        <v/>
      </c>
    </row>
    <row r="1808" hidden="1" ht="150" customHeight="1" s="54">
      <c r="B1808" s="59" t="inlineStr">
        <is>
          <t>R-1803</t>
        </is>
      </c>
      <c r="C1808" s="59" t="inlineStr">
        <is>
          <t>COM-10</t>
        </is>
      </c>
      <c r="D1808" s="64">
        <f>IFERROR(INDEX(MgNombre,MATCH($C1808,MgActId,0)),"")</f>
        <v/>
      </c>
      <c r="E1808" s="64">
        <f>IFERROR(INDEX(MgProceso,MATCH($C1808,MgActId,0)),"")</f>
        <v/>
      </c>
      <c r="F1808" s="64">
        <f>IFERROR(INDEX(MgTipo,MATCH($C1808,MgActId,0)),"")</f>
        <v/>
      </c>
      <c r="G1808" s="64">
        <f>IFERROR(INDEX(MgSubtipo,MATCH($C1808,MgActId,0)),"")</f>
        <v/>
      </c>
      <c r="H1808" s="59" t="inlineStr">
        <is>
          <t>E.7</t>
        </is>
      </c>
      <c r="I1808" s="64">
        <f>IFERROR(INDEX(MgAmenNombre,MATCH(SUBSTITUTE($H1808,"*","-"),MgAmenClave,0)),"")</f>
        <v/>
      </c>
      <c r="J1808" s="28">
        <f>IFERROR(INDEX(MgAmenGrupo,MATCH(SUBSTITUTE($H1808,"*","-"),MgAmenClave,0)),"")</f>
        <v/>
      </c>
      <c r="K1808" s="64">
        <f>IFERROR(INDEX('1. Matriz de Activos'!$Q$6:$Q$239,MATCH($C1808,MgActId,0)),"")</f>
        <v/>
      </c>
      <c r="L1808" s="64">
        <f>IFERROR(INDEX('1. Matriz de Activos'!$R$6:$R$239,MATCH($C1808,MgActId,0)),"")</f>
        <v/>
      </c>
      <c r="M1808" s="64">
        <f>IFERROR(INDEX('1. Matriz de Activos'!$S$6:$S$239,MATCH($C1808,MgActId,0)),"")</f>
        <v/>
      </c>
      <c r="N1808" s="28">
        <f>IFERROR(INDEX(MgAmenDegD,MATCH(SUBSTITUTE($H1808,"*","-"),MgAmenClave,0)),"No aplica")</f>
        <v/>
      </c>
      <c r="O1808" s="28">
        <f>IFERROR(INDEX(MgAmenDegI,MATCH(SUBSTITUTE($H1808,"*","-"),MgAmenClave,0)),"No aplica")</f>
        <v/>
      </c>
      <c r="P1808" s="28">
        <f>IFERROR(INDEX(MgAmenDegC,MATCH(SUBSTITUTE($H1808,"*","-"),MgAmenClave,0)),"No aplica")</f>
        <v/>
      </c>
      <c r="Q1808" s="29">
        <f>IFERROR(VLOOKUP(K1808,MgValor,2,0)*VLOOKUP(N1808,MgDeg,2,0),0)</f>
        <v/>
      </c>
      <c r="R1808" s="29">
        <f>IFERROR(VLOOKUP(L1808,MgValor,2,0)*VLOOKUP(O1808,MgDeg,2,0),0)</f>
        <v/>
      </c>
      <c r="S1808" s="29">
        <f>IFERROR(VLOOKUP(M1808,MgValor,2,0)*VLOOKUP(P1808,MgDeg,2,0),0)</f>
        <v/>
      </c>
      <c r="T1808" s="30">
        <f>MAX(Q1808:S1808)</f>
        <v/>
      </c>
      <c r="U1808" s="28">
        <f>IFERROR(LOOKUP(T1808,{0;0.5;1.5;3;4.5},{"Despreciable";"Bajo";"Medio";"Alto";"Muy alto"}),"")</f>
        <v/>
      </c>
      <c r="V1808" s="13">
        <f>IFERROR(INDEX(MgAmenFrec,MATCH(SUBSTITUTE($H1808,"*","-"),MgAmenClave,0)),"")</f>
        <v/>
      </c>
      <c r="W1808" s="28">
        <f>IFERROR(LOOKUP(X1808,{0;0.01;0.1;1;10;100},{"Muy baja";"Muy baja";"Baja";"Media";"Alta";"Muy alta"}),"")</f>
        <v/>
      </c>
      <c r="X1808" s="31">
        <f>IFERROR(VLOOKUP(V1808,MgFrec,2,0),0)</f>
        <v/>
      </c>
      <c r="Y1808" s="30">
        <f>T1808*X1808</f>
        <v/>
      </c>
      <c r="Z1808" s="28">
        <f>IFERROR(LOOKUP(Y1808,{0;0.5;5;25},{"Bajo";"Medio";"Alto";"Crítico"}),"")</f>
        <v/>
      </c>
      <c r="AA1808" s="64">
        <f>IF(T1808&gt;=3,IF(X1808&gt;=1,"Zona 1 — Crítica: impacto alto y ocurre al menos una vez al año","Zona 4 — Catastrófica poco probable: impacto alto pero excepcional"),IF(AND(T1808&lt;1.5,X1808&lt;1),"Zona 3 — Asumible: impacto bajo y muy poco frecuente","Zona 2 — Atención: riesgo intermedio"))</f>
        <v/>
      </c>
      <c r="AB1808" s="64">
        <f>IFERROR(INDEX(MgAmenCtrl,MATCH(SUBSTITUTE($H1808,"*","-"),MgAmenClave,0)),"")</f>
        <v/>
      </c>
      <c r="AC1808" s="20" t="n"/>
      <c r="AD1808" s="31">
        <f>IFERROR($X1808*(1-IF($AC1808="",$AL1808,VLOOKUP($AC1808,MgMad,2,0))),"")</f>
        <v/>
      </c>
      <c r="AE1808" s="28">
        <f>IFERROR(LOOKUP(AD1808,{0;0.01;0.1;1;10;100},{"Muy baja";"Muy baja";"Baja";"Media";"Alta";"Muy alta"}),"")</f>
        <v/>
      </c>
      <c r="AF1808" s="30">
        <f>T1808*AD1808</f>
        <v/>
      </c>
      <c r="AG1808" s="28">
        <f>IFERROR(LOOKUP(AF1808,{0;0.5;5;25},{"Bajo";"Medio";"Alto";"Crítico"}),"")</f>
        <v/>
      </c>
      <c r="AH1808" s="28">
        <f>IF(AG1808="","",IF(OR(AG1808="Crítico",AG1808="Alto"),"Mitigar",IF(AG1808="Medio","Mitigar","Aceptar y monitorear")))</f>
        <v/>
      </c>
      <c r="AI1808" s="21" t="n"/>
      <c r="AJ1808" s="21" t="n"/>
      <c r="AK1808" s="20" t="n"/>
      <c r="AL1808" s="77">
        <f>IFERROR(INDEX(MgAmenEfic,MATCH(SUBSTITUTE($H1808,"*","-"),MgAmenClave,0)),0)</f>
        <v/>
      </c>
    </row>
    <row r="1809" hidden="1" ht="90" customHeight="1" s="54">
      <c r="B1809" s="59" t="inlineStr">
        <is>
          <t>R-1804</t>
        </is>
      </c>
      <c r="C1809" s="59" t="inlineStr">
        <is>
          <t>COM-10</t>
        </is>
      </c>
      <c r="D1809" s="64">
        <f>IFERROR(INDEX(MgNombre,MATCH($C1809,MgActId,0)),"")</f>
        <v/>
      </c>
      <c r="E1809" s="64">
        <f>IFERROR(INDEX(MgProceso,MATCH($C1809,MgActId,0)),"")</f>
        <v/>
      </c>
      <c r="F1809" s="64">
        <f>IFERROR(INDEX(MgTipo,MATCH($C1809,MgActId,0)),"")</f>
        <v/>
      </c>
      <c r="G1809" s="64">
        <f>IFERROR(INDEX(MgSubtipo,MATCH($C1809,MgActId,0)),"")</f>
        <v/>
      </c>
      <c r="H1809" s="59" t="inlineStr">
        <is>
          <t>E.14</t>
        </is>
      </c>
      <c r="I1809" s="64">
        <f>IFERROR(INDEX(MgAmenNombre,MATCH(SUBSTITUTE($H1809,"*","-"),MgAmenClave,0)),"")</f>
        <v/>
      </c>
      <c r="J1809" s="28">
        <f>IFERROR(INDEX(MgAmenGrupo,MATCH(SUBSTITUTE($H1809,"*","-"),MgAmenClave,0)),"")</f>
        <v/>
      </c>
      <c r="K1809" s="64">
        <f>IFERROR(INDEX('1. Matriz de Activos'!$Q$6:$Q$239,MATCH($C1809,MgActId,0)),"")</f>
        <v/>
      </c>
      <c r="L1809" s="64">
        <f>IFERROR(INDEX('1. Matriz de Activos'!$R$6:$R$239,MATCH($C1809,MgActId,0)),"")</f>
        <v/>
      </c>
      <c r="M1809" s="64">
        <f>IFERROR(INDEX('1. Matriz de Activos'!$S$6:$S$239,MATCH($C1809,MgActId,0)),"")</f>
        <v/>
      </c>
      <c r="N1809" s="28">
        <f>IFERROR(INDEX(MgAmenDegD,MATCH(SUBSTITUTE($H1809,"*","-"),MgAmenClave,0)),"No aplica")</f>
        <v/>
      </c>
      <c r="O1809" s="28">
        <f>IFERROR(INDEX(MgAmenDegI,MATCH(SUBSTITUTE($H1809,"*","-"),MgAmenClave,0)),"No aplica")</f>
        <v/>
      </c>
      <c r="P1809" s="28">
        <f>IFERROR(INDEX(MgAmenDegC,MATCH(SUBSTITUTE($H1809,"*","-"),MgAmenClave,0)),"No aplica")</f>
        <v/>
      </c>
      <c r="Q1809" s="29">
        <f>IFERROR(VLOOKUP(K1809,MgValor,2,0)*VLOOKUP(N1809,MgDeg,2,0),0)</f>
        <v/>
      </c>
      <c r="R1809" s="29">
        <f>IFERROR(VLOOKUP(L1809,MgValor,2,0)*VLOOKUP(O1809,MgDeg,2,0),0)</f>
        <v/>
      </c>
      <c r="S1809" s="29">
        <f>IFERROR(VLOOKUP(M1809,MgValor,2,0)*VLOOKUP(P1809,MgDeg,2,0),0)</f>
        <v/>
      </c>
      <c r="T1809" s="30">
        <f>MAX(Q1809:S1809)</f>
        <v/>
      </c>
      <c r="U1809" s="28">
        <f>IFERROR(LOOKUP(T1809,{0;0.5;1.5;3;4.5},{"Despreciable";"Bajo";"Medio";"Alto";"Muy alto"}),"")</f>
        <v/>
      </c>
      <c r="V1809" s="13">
        <f>IFERROR(INDEX(MgAmenFrec,MATCH(SUBSTITUTE($H1809,"*","-"),MgAmenClave,0)),"")</f>
        <v/>
      </c>
      <c r="W1809" s="28">
        <f>IFERROR(LOOKUP(X1809,{0;0.01;0.1;1;10;100},{"Muy baja";"Muy baja";"Baja";"Media";"Alta";"Muy alta"}),"")</f>
        <v/>
      </c>
      <c r="X1809" s="31">
        <f>IFERROR(VLOOKUP(V1809,MgFrec,2,0),0)</f>
        <v/>
      </c>
      <c r="Y1809" s="30">
        <f>T1809*X1809</f>
        <v/>
      </c>
      <c r="Z1809" s="28">
        <f>IFERROR(LOOKUP(Y1809,{0;0.5;5;25},{"Bajo";"Medio";"Alto";"Crítico"}),"")</f>
        <v/>
      </c>
      <c r="AA1809" s="64">
        <f>IF(T1809&gt;=3,IF(X1809&gt;=1,"Zona 1 — Crítica: impacto alto y ocurre al menos una vez al año","Zona 4 — Catastrófica poco probable: impacto alto pero excepcional"),IF(AND(T1809&lt;1.5,X1809&lt;1),"Zona 3 — Asumible: impacto bajo y muy poco frecuente","Zona 2 — Atención: riesgo intermedio"))</f>
        <v/>
      </c>
      <c r="AB1809" s="64">
        <f>IFERROR(INDEX(MgAmenCtrl,MATCH(SUBSTITUTE($H1809,"*","-"),MgAmenClave,0)),"")</f>
        <v/>
      </c>
      <c r="AC1809" s="20" t="n"/>
      <c r="AD1809" s="31">
        <f>IFERROR($X1809*(1-IF($AC1809="",$AL1809,VLOOKUP($AC1809,MgMad,2,0))),"")</f>
        <v/>
      </c>
      <c r="AE1809" s="28">
        <f>IFERROR(LOOKUP(AD1809,{0;0.01;0.1;1;10;100},{"Muy baja";"Muy baja";"Baja";"Media";"Alta";"Muy alta"}),"")</f>
        <v/>
      </c>
      <c r="AF1809" s="30">
        <f>T1809*AD1809</f>
        <v/>
      </c>
      <c r="AG1809" s="28">
        <f>IFERROR(LOOKUP(AF1809,{0;0.5;5;25},{"Bajo";"Medio";"Alto";"Crítico"}),"")</f>
        <v/>
      </c>
      <c r="AH1809" s="28">
        <f>IF(AG1809="","",IF(OR(AG1809="Crítico",AG1809="Alto"),"Mitigar",IF(AG1809="Medio","Mitigar","Aceptar y monitorear")))</f>
        <v/>
      </c>
      <c r="AI1809" s="21" t="n"/>
      <c r="AJ1809" s="21" t="n"/>
      <c r="AK1809" s="20" t="n"/>
      <c r="AL1809" s="77">
        <f>IFERROR(INDEX(MgAmenEfic,MATCH(SUBSTITUTE($H1809,"*","-"),MgAmenClave,0)),0)</f>
        <v/>
      </c>
    </row>
    <row r="1810" hidden="1" ht="105" customHeight="1" s="54">
      <c r="B1810" s="59" t="inlineStr">
        <is>
          <t>R-1805</t>
        </is>
      </c>
      <c r="C1810" s="59" t="inlineStr">
        <is>
          <t>COM-10</t>
        </is>
      </c>
      <c r="D1810" s="64">
        <f>IFERROR(INDEX(MgNombre,MATCH($C1810,MgActId,0)),"")</f>
        <v/>
      </c>
      <c r="E1810" s="64">
        <f>IFERROR(INDEX(MgProceso,MATCH($C1810,MgActId,0)),"")</f>
        <v/>
      </c>
      <c r="F1810" s="64">
        <f>IFERROR(INDEX(MgTipo,MATCH($C1810,MgActId,0)),"")</f>
        <v/>
      </c>
      <c r="G1810" s="64">
        <f>IFERROR(INDEX(MgSubtipo,MATCH($C1810,MgActId,0)),"")</f>
        <v/>
      </c>
      <c r="H1810" s="59" t="inlineStr">
        <is>
          <t>E.19</t>
        </is>
      </c>
      <c r="I1810" s="64">
        <f>IFERROR(INDEX(MgAmenNombre,MATCH(SUBSTITUTE($H1810,"*","-"),MgAmenClave,0)),"")</f>
        <v/>
      </c>
      <c r="J1810" s="28">
        <f>IFERROR(INDEX(MgAmenGrupo,MATCH(SUBSTITUTE($H1810,"*","-"),MgAmenClave,0)),"")</f>
        <v/>
      </c>
      <c r="K1810" s="64">
        <f>IFERROR(INDEX('1. Matriz de Activos'!$Q$6:$Q$239,MATCH($C1810,MgActId,0)),"")</f>
        <v/>
      </c>
      <c r="L1810" s="64">
        <f>IFERROR(INDEX('1. Matriz de Activos'!$R$6:$R$239,MATCH($C1810,MgActId,0)),"")</f>
        <v/>
      </c>
      <c r="M1810" s="64">
        <f>IFERROR(INDEX('1. Matriz de Activos'!$S$6:$S$239,MATCH($C1810,MgActId,0)),"")</f>
        <v/>
      </c>
      <c r="N1810" s="28">
        <f>IFERROR(INDEX(MgAmenDegD,MATCH(SUBSTITUTE($H1810,"*","-"),MgAmenClave,0)),"No aplica")</f>
        <v/>
      </c>
      <c r="O1810" s="28">
        <f>IFERROR(INDEX(MgAmenDegI,MATCH(SUBSTITUTE($H1810,"*","-"),MgAmenClave,0)),"No aplica")</f>
        <v/>
      </c>
      <c r="P1810" s="28">
        <f>IFERROR(INDEX(MgAmenDegC,MATCH(SUBSTITUTE($H1810,"*","-"),MgAmenClave,0)),"No aplica")</f>
        <v/>
      </c>
      <c r="Q1810" s="29">
        <f>IFERROR(VLOOKUP(K1810,MgValor,2,0)*VLOOKUP(N1810,MgDeg,2,0),0)</f>
        <v/>
      </c>
      <c r="R1810" s="29">
        <f>IFERROR(VLOOKUP(L1810,MgValor,2,0)*VLOOKUP(O1810,MgDeg,2,0),0)</f>
        <v/>
      </c>
      <c r="S1810" s="29">
        <f>IFERROR(VLOOKUP(M1810,MgValor,2,0)*VLOOKUP(P1810,MgDeg,2,0),0)</f>
        <v/>
      </c>
      <c r="T1810" s="30">
        <f>MAX(Q1810:S1810)</f>
        <v/>
      </c>
      <c r="U1810" s="28">
        <f>IFERROR(LOOKUP(T1810,{0;0.5;1.5;3;4.5},{"Despreciable";"Bajo";"Medio";"Alto";"Muy alto"}),"")</f>
        <v/>
      </c>
      <c r="V1810" s="13">
        <f>IFERROR(INDEX(MgAmenFrec,MATCH(SUBSTITUTE($H1810,"*","-"),MgAmenClave,0)),"")</f>
        <v/>
      </c>
      <c r="W1810" s="28">
        <f>IFERROR(LOOKUP(X1810,{0;0.01;0.1;1;10;100},{"Muy baja";"Muy baja";"Baja";"Media";"Alta";"Muy alta"}),"")</f>
        <v/>
      </c>
      <c r="X1810" s="31">
        <f>IFERROR(VLOOKUP(V1810,MgFrec,2,0),0)</f>
        <v/>
      </c>
      <c r="Y1810" s="30">
        <f>T1810*X1810</f>
        <v/>
      </c>
      <c r="Z1810" s="28">
        <f>IFERROR(LOOKUP(Y1810,{0;0.5;5;25},{"Bajo";"Medio";"Alto";"Crítico"}),"")</f>
        <v/>
      </c>
      <c r="AA1810" s="64">
        <f>IF(T1810&gt;=3,IF(X1810&gt;=1,"Zona 1 — Crítica: impacto alto y ocurre al menos una vez al año","Zona 4 — Catastrófica poco probable: impacto alto pero excepcional"),IF(AND(T1810&lt;1.5,X1810&lt;1),"Zona 3 — Asumible: impacto bajo y muy poco frecuente","Zona 2 — Atención: riesgo intermedio"))</f>
        <v/>
      </c>
      <c r="AB1810" s="64">
        <f>IFERROR(INDEX(MgAmenCtrl,MATCH(SUBSTITUTE($H1810,"*","-"),MgAmenClave,0)),"")</f>
        <v/>
      </c>
      <c r="AC1810" s="20" t="n"/>
      <c r="AD1810" s="31">
        <f>IFERROR($X1810*(1-IF($AC1810="",$AL1810,VLOOKUP($AC1810,MgMad,2,0))),"")</f>
        <v/>
      </c>
      <c r="AE1810" s="28">
        <f>IFERROR(LOOKUP(AD1810,{0;0.01;0.1;1;10;100},{"Muy baja";"Muy baja";"Baja";"Media";"Alta";"Muy alta"}),"")</f>
        <v/>
      </c>
      <c r="AF1810" s="30">
        <f>T1810*AD1810</f>
        <v/>
      </c>
      <c r="AG1810" s="28">
        <f>IFERROR(LOOKUP(AF1810,{0;0.5;5;25},{"Bajo";"Medio";"Alto";"Crítico"}),"")</f>
        <v/>
      </c>
      <c r="AH1810" s="28">
        <f>IF(AG1810="","",IF(OR(AG1810="Crítico",AG1810="Alto"),"Mitigar",IF(AG1810="Medio","Mitigar","Aceptar y monitorear")))</f>
        <v/>
      </c>
      <c r="AI1810" s="21" t="n"/>
      <c r="AJ1810" s="21" t="n"/>
      <c r="AK1810" s="20" t="n"/>
      <c r="AL1810" s="77">
        <f>IFERROR(INDEX(MgAmenEfic,MATCH(SUBSTITUTE($H1810,"*","-"),MgAmenClave,0)),0)</f>
        <v/>
      </c>
    </row>
    <row r="1811" hidden="1" ht="135" customHeight="1" s="54">
      <c r="B1811" s="59" t="inlineStr">
        <is>
          <t>R-1806</t>
        </is>
      </c>
      <c r="C1811" s="59" t="inlineStr">
        <is>
          <t>COM-10</t>
        </is>
      </c>
      <c r="D1811" s="64">
        <f>IFERROR(INDEX(MgNombre,MATCH($C1811,MgActId,0)),"")</f>
        <v/>
      </c>
      <c r="E1811" s="64">
        <f>IFERROR(INDEX(MgProceso,MATCH($C1811,MgActId,0)),"")</f>
        <v/>
      </c>
      <c r="F1811" s="64">
        <f>IFERROR(INDEX(MgTipo,MATCH($C1811,MgActId,0)),"")</f>
        <v/>
      </c>
      <c r="G1811" s="64">
        <f>IFERROR(INDEX(MgSubtipo,MATCH($C1811,MgActId,0)),"")</f>
        <v/>
      </c>
      <c r="H1811" s="59" t="inlineStr">
        <is>
          <t>E.28</t>
        </is>
      </c>
      <c r="I1811" s="64">
        <f>IFERROR(INDEX(MgAmenNombre,MATCH(SUBSTITUTE($H1811,"*","-"),MgAmenClave,0)),"")</f>
        <v/>
      </c>
      <c r="J1811" s="28">
        <f>IFERROR(INDEX(MgAmenGrupo,MATCH(SUBSTITUTE($H1811,"*","-"),MgAmenClave,0)),"")</f>
        <v/>
      </c>
      <c r="K1811" s="64">
        <f>IFERROR(INDEX('1. Matriz de Activos'!$Q$6:$Q$239,MATCH($C1811,MgActId,0)),"")</f>
        <v/>
      </c>
      <c r="L1811" s="64">
        <f>IFERROR(INDEX('1. Matriz de Activos'!$R$6:$R$239,MATCH($C1811,MgActId,0)),"")</f>
        <v/>
      </c>
      <c r="M1811" s="64">
        <f>IFERROR(INDEX('1. Matriz de Activos'!$S$6:$S$239,MATCH($C1811,MgActId,0)),"")</f>
        <v/>
      </c>
      <c r="N1811" s="28">
        <f>IFERROR(INDEX(MgAmenDegD,MATCH(SUBSTITUTE($H1811,"*","-"),MgAmenClave,0)),"No aplica")</f>
        <v/>
      </c>
      <c r="O1811" s="28">
        <f>IFERROR(INDEX(MgAmenDegI,MATCH(SUBSTITUTE($H1811,"*","-"),MgAmenClave,0)),"No aplica")</f>
        <v/>
      </c>
      <c r="P1811" s="28">
        <f>IFERROR(INDEX(MgAmenDegC,MATCH(SUBSTITUTE($H1811,"*","-"),MgAmenClave,0)),"No aplica")</f>
        <v/>
      </c>
      <c r="Q1811" s="29">
        <f>IFERROR(VLOOKUP(K1811,MgValor,2,0)*VLOOKUP(N1811,MgDeg,2,0),0)</f>
        <v/>
      </c>
      <c r="R1811" s="29">
        <f>IFERROR(VLOOKUP(L1811,MgValor,2,0)*VLOOKUP(O1811,MgDeg,2,0),0)</f>
        <v/>
      </c>
      <c r="S1811" s="29">
        <f>IFERROR(VLOOKUP(M1811,MgValor,2,0)*VLOOKUP(P1811,MgDeg,2,0),0)</f>
        <v/>
      </c>
      <c r="T1811" s="30">
        <f>MAX(Q1811:S1811)</f>
        <v/>
      </c>
      <c r="U1811" s="28">
        <f>IFERROR(LOOKUP(T1811,{0;0.5;1.5;3;4.5},{"Despreciable";"Bajo";"Medio";"Alto";"Muy alto"}),"")</f>
        <v/>
      </c>
      <c r="V1811" s="13">
        <f>IFERROR(INDEX(MgAmenFrec,MATCH(SUBSTITUTE($H1811,"*","-"),MgAmenClave,0)),"")</f>
        <v/>
      </c>
      <c r="W1811" s="28">
        <f>IFERROR(LOOKUP(X1811,{0;0.01;0.1;1;10;100},{"Muy baja";"Muy baja";"Baja";"Media";"Alta";"Muy alta"}),"")</f>
        <v/>
      </c>
      <c r="X1811" s="31">
        <f>IFERROR(VLOOKUP(V1811,MgFrec,2,0),0)</f>
        <v/>
      </c>
      <c r="Y1811" s="30">
        <f>T1811*X1811</f>
        <v/>
      </c>
      <c r="Z1811" s="28">
        <f>IFERROR(LOOKUP(Y1811,{0;0.5;5;25},{"Bajo";"Medio";"Alto";"Crítico"}),"")</f>
        <v/>
      </c>
      <c r="AA1811" s="64">
        <f>IF(T1811&gt;=3,IF(X1811&gt;=1,"Zona 1 — Crítica: impacto alto y ocurre al menos una vez al año","Zona 4 — Catastrófica poco probable: impacto alto pero excepcional"),IF(AND(T1811&lt;1.5,X1811&lt;1),"Zona 3 — Asumible: impacto bajo y muy poco frecuente","Zona 2 — Atención: riesgo intermedio"))</f>
        <v/>
      </c>
      <c r="AB1811" s="64">
        <f>IFERROR(INDEX(MgAmenCtrl,MATCH(SUBSTITUTE($H1811,"*","-"),MgAmenClave,0)),"")</f>
        <v/>
      </c>
      <c r="AC1811" s="20" t="n"/>
      <c r="AD1811" s="31">
        <f>IFERROR($X1811*(1-IF($AC1811="",$AL1811,VLOOKUP($AC1811,MgMad,2,0))),"")</f>
        <v/>
      </c>
      <c r="AE1811" s="28">
        <f>IFERROR(LOOKUP(AD1811,{0;0.01;0.1;1;10;100},{"Muy baja";"Muy baja";"Baja";"Media";"Alta";"Muy alta"}),"")</f>
        <v/>
      </c>
      <c r="AF1811" s="30">
        <f>T1811*AD1811</f>
        <v/>
      </c>
      <c r="AG1811" s="28">
        <f>IFERROR(LOOKUP(AF1811,{0;0.5;5;25},{"Bajo";"Medio";"Alto";"Crítico"}),"")</f>
        <v/>
      </c>
      <c r="AH1811" s="28">
        <f>IF(AG1811="","",IF(OR(AG1811="Crítico",AG1811="Alto"),"Mitigar",IF(AG1811="Medio","Mitigar","Aceptar y monitorear")))</f>
        <v/>
      </c>
      <c r="AI1811" s="21" t="n"/>
      <c r="AJ1811" s="21" t="n"/>
      <c r="AK1811" s="20" t="n"/>
      <c r="AL1811" s="77">
        <f>IFERROR(INDEX(MgAmenEfic,MATCH(SUBSTITUTE($H1811,"*","-"),MgAmenClave,0)),0)</f>
        <v/>
      </c>
    </row>
    <row r="1812" hidden="1" ht="75" customHeight="1" s="54">
      <c r="B1812" s="59" t="inlineStr">
        <is>
          <t>R-1807</t>
        </is>
      </c>
      <c r="C1812" s="59" t="inlineStr">
        <is>
          <t>COM-10</t>
        </is>
      </c>
      <c r="D1812" s="64">
        <f>IFERROR(INDEX(MgNombre,MATCH($C1812,MgActId,0)),"")</f>
        <v/>
      </c>
      <c r="E1812" s="64">
        <f>IFERROR(INDEX(MgProceso,MATCH($C1812,MgActId,0)),"")</f>
        <v/>
      </c>
      <c r="F1812" s="64">
        <f>IFERROR(INDEX(MgTipo,MATCH($C1812,MgActId,0)),"")</f>
        <v/>
      </c>
      <c r="G1812" s="64">
        <f>IFERROR(INDEX(MgSubtipo,MATCH($C1812,MgActId,0)),"")</f>
        <v/>
      </c>
      <c r="H1812" s="59" t="inlineStr">
        <is>
          <t>A.28</t>
        </is>
      </c>
      <c r="I1812" s="64">
        <f>IFERROR(INDEX(MgAmenNombre,MATCH(SUBSTITUTE($H1812,"*","-"),MgAmenClave,0)),"")</f>
        <v/>
      </c>
      <c r="J1812" s="28">
        <f>IFERROR(INDEX(MgAmenGrupo,MATCH(SUBSTITUTE($H1812,"*","-"),MgAmenClave,0)),"")</f>
        <v/>
      </c>
      <c r="K1812" s="64">
        <f>IFERROR(INDEX('1. Matriz de Activos'!$Q$6:$Q$239,MATCH($C1812,MgActId,0)),"")</f>
        <v/>
      </c>
      <c r="L1812" s="64">
        <f>IFERROR(INDEX('1. Matriz de Activos'!$R$6:$R$239,MATCH($C1812,MgActId,0)),"")</f>
        <v/>
      </c>
      <c r="M1812" s="64">
        <f>IFERROR(INDEX('1. Matriz de Activos'!$S$6:$S$239,MATCH($C1812,MgActId,0)),"")</f>
        <v/>
      </c>
      <c r="N1812" s="28">
        <f>IFERROR(INDEX(MgAmenDegD,MATCH(SUBSTITUTE($H1812,"*","-"),MgAmenClave,0)),"No aplica")</f>
        <v/>
      </c>
      <c r="O1812" s="28">
        <f>IFERROR(INDEX(MgAmenDegI,MATCH(SUBSTITUTE($H1812,"*","-"),MgAmenClave,0)),"No aplica")</f>
        <v/>
      </c>
      <c r="P1812" s="28">
        <f>IFERROR(INDEX(MgAmenDegC,MATCH(SUBSTITUTE($H1812,"*","-"),MgAmenClave,0)),"No aplica")</f>
        <v/>
      </c>
      <c r="Q1812" s="29">
        <f>IFERROR(VLOOKUP(K1812,MgValor,2,0)*VLOOKUP(N1812,MgDeg,2,0),0)</f>
        <v/>
      </c>
      <c r="R1812" s="29">
        <f>IFERROR(VLOOKUP(L1812,MgValor,2,0)*VLOOKUP(O1812,MgDeg,2,0),0)</f>
        <v/>
      </c>
      <c r="S1812" s="29">
        <f>IFERROR(VLOOKUP(M1812,MgValor,2,0)*VLOOKUP(P1812,MgDeg,2,0),0)</f>
        <v/>
      </c>
      <c r="T1812" s="30">
        <f>MAX(Q1812:S1812)</f>
        <v/>
      </c>
      <c r="U1812" s="28">
        <f>IFERROR(LOOKUP(T1812,{0;0.5;1.5;3;4.5},{"Despreciable";"Bajo";"Medio";"Alto";"Muy alto"}),"")</f>
        <v/>
      </c>
      <c r="V1812" s="13">
        <f>IFERROR(INDEX(MgAmenFrec,MATCH(SUBSTITUTE($H1812,"*","-"),MgAmenClave,0)),"")</f>
        <v/>
      </c>
      <c r="W1812" s="28">
        <f>IFERROR(LOOKUP(X1812,{0;0.01;0.1;1;10;100},{"Muy baja";"Muy baja";"Baja";"Media";"Alta";"Muy alta"}),"")</f>
        <v/>
      </c>
      <c r="X1812" s="31">
        <f>IFERROR(VLOOKUP(V1812,MgFrec,2,0),0)</f>
        <v/>
      </c>
      <c r="Y1812" s="30">
        <f>T1812*X1812</f>
        <v/>
      </c>
      <c r="Z1812" s="28">
        <f>IFERROR(LOOKUP(Y1812,{0;0.5;5;25},{"Bajo";"Medio";"Alto";"Crítico"}),"")</f>
        <v/>
      </c>
      <c r="AA1812" s="64">
        <f>IF(T1812&gt;=3,IF(X1812&gt;=1,"Zona 1 — Crítica: impacto alto y ocurre al menos una vez al año","Zona 4 — Catastrófica poco probable: impacto alto pero excepcional"),IF(AND(T1812&lt;1.5,X1812&lt;1),"Zona 3 — Asumible: impacto bajo y muy poco frecuente","Zona 2 — Atención: riesgo intermedio"))</f>
        <v/>
      </c>
      <c r="AB1812" s="64">
        <f>IFERROR(INDEX(MgAmenCtrl,MATCH(SUBSTITUTE($H1812,"*","-"),MgAmenClave,0)),"")</f>
        <v/>
      </c>
      <c r="AC1812" s="20" t="n"/>
      <c r="AD1812" s="31">
        <f>IFERROR($X1812*(1-IF($AC1812="",$AL1812,VLOOKUP($AC1812,MgMad,2,0))),"")</f>
        <v/>
      </c>
      <c r="AE1812" s="28">
        <f>IFERROR(LOOKUP(AD1812,{0;0.01;0.1;1;10;100},{"Muy baja";"Muy baja";"Baja";"Media";"Alta";"Muy alta"}),"")</f>
        <v/>
      </c>
      <c r="AF1812" s="30">
        <f>T1812*AD1812</f>
        <v/>
      </c>
      <c r="AG1812" s="28">
        <f>IFERROR(LOOKUP(AF1812,{0;0.5;5;25},{"Bajo";"Medio";"Alto";"Crítico"}),"")</f>
        <v/>
      </c>
      <c r="AH1812" s="28">
        <f>IF(AG1812="","",IF(OR(AG1812="Crítico",AG1812="Alto"),"Mitigar",IF(AG1812="Medio","Mitigar","Aceptar y monitorear")))</f>
        <v/>
      </c>
      <c r="AI1812" s="21" t="n"/>
      <c r="AJ1812" s="21" t="n"/>
      <c r="AK1812" s="20" t="n"/>
      <c r="AL1812" s="77">
        <f>IFERROR(INDEX(MgAmenEfic,MATCH(SUBSTITUTE($H1812,"*","-"),MgAmenClave,0)),0)</f>
        <v/>
      </c>
    </row>
    <row r="1813" hidden="1" ht="90" customHeight="1" s="54">
      <c r="B1813" s="59" t="inlineStr">
        <is>
          <t>R-1808</t>
        </is>
      </c>
      <c r="C1813" s="59" t="inlineStr">
        <is>
          <t>COM-10</t>
        </is>
      </c>
      <c r="D1813" s="64">
        <f>IFERROR(INDEX(MgNombre,MATCH($C1813,MgActId,0)),"")</f>
        <v/>
      </c>
      <c r="E1813" s="64">
        <f>IFERROR(INDEX(MgProceso,MATCH($C1813,MgActId,0)),"")</f>
        <v/>
      </c>
      <c r="F1813" s="64">
        <f>IFERROR(INDEX(MgTipo,MATCH($C1813,MgActId,0)),"")</f>
        <v/>
      </c>
      <c r="G1813" s="64">
        <f>IFERROR(INDEX(MgSubtipo,MATCH($C1813,MgActId,0)),"")</f>
        <v/>
      </c>
      <c r="H1813" s="59" t="inlineStr">
        <is>
          <t>A.29</t>
        </is>
      </c>
      <c r="I1813" s="64">
        <f>IFERROR(INDEX(MgAmenNombre,MATCH(SUBSTITUTE($H1813,"*","-"),MgAmenClave,0)),"")</f>
        <v/>
      </c>
      <c r="J1813" s="28">
        <f>IFERROR(INDEX(MgAmenGrupo,MATCH(SUBSTITUTE($H1813,"*","-"),MgAmenClave,0)),"")</f>
        <v/>
      </c>
      <c r="K1813" s="64">
        <f>IFERROR(INDEX('1. Matriz de Activos'!$Q$6:$Q$239,MATCH($C1813,MgActId,0)),"")</f>
        <v/>
      </c>
      <c r="L1813" s="64">
        <f>IFERROR(INDEX('1. Matriz de Activos'!$R$6:$R$239,MATCH($C1813,MgActId,0)),"")</f>
        <v/>
      </c>
      <c r="M1813" s="64">
        <f>IFERROR(INDEX('1. Matriz de Activos'!$S$6:$S$239,MATCH($C1813,MgActId,0)),"")</f>
        <v/>
      </c>
      <c r="N1813" s="28">
        <f>IFERROR(INDEX(MgAmenDegD,MATCH(SUBSTITUTE($H1813,"*","-"),MgAmenClave,0)),"No aplica")</f>
        <v/>
      </c>
      <c r="O1813" s="28">
        <f>IFERROR(INDEX(MgAmenDegI,MATCH(SUBSTITUTE($H1813,"*","-"),MgAmenClave,0)),"No aplica")</f>
        <v/>
      </c>
      <c r="P1813" s="28">
        <f>IFERROR(INDEX(MgAmenDegC,MATCH(SUBSTITUTE($H1813,"*","-"),MgAmenClave,0)),"No aplica")</f>
        <v/>
      </c>
      <c r="Q1813" s="29">
        <f>IFERROR(VLOOKUP(K1813,MgValor,2,0)*VLOOKUP(N1813,MgDeg,2,0),0)</f>
        <v/>
      </c>
      <c r="R1813" s="29">
        <f>IFERROR(VLOOKUP(L1813,MgValor,2,0)*VLOOKUP(O1813,MgDeg,2,0),0)</f>
        <v/>
      </c>
      <c r="S1813" s="29">
        <f>IFERROR(VLOOKUP(M1813,MgValor,2,0)*VLOOKUP(P1813,MgDeg,2,0),0)</f>
        <v/>
      </c>
      <c r="T1813" s="30">
        <f>MAX(Q1813:S1813)</f>
        <v/>
      </c>
      <c r="U1813" s="28">
        <f>IFERROR(LOOKUP(T1813,{0;0.5;1.5;3;4.5},{"Despreciable";"Bajo";"Medio";"Alto";"Muy alto"}),"")</f>
        <v/>
      </c>
      <c r="V1813" s="13">
        <f>IFERROR(INDEX(MgAmenFrec,MATCH(SUBSTITUTE($H1813,"*","-"),MgAmenClave,0)),"")</f>
        <v/>
      </c>
      <c r="W1813" s="28">
        <f>IFERROR(LOOKUP(X1813,{0;0.01;0.1;1;10;100},{"Muy baja";"Muy baja";"Baja";"Media";"Alta";"Muy alta"}),"")</f>
        <v/>
      </c>
      <c r="X1813" s="31">
        <f>IFERROR(VLOOKUP(V1813,MgFrec,2,0),0)</f>
        <v/>
      </c>
      <c r="Y1813" s="30">
        <f>T1813*X1813</f>
        <v/>
      </c>
      <c r="Z1813" s="28">
        <f>IFERROR(LOOKUP(Y1813,{0;0.5;5;25},{"Bajo";"Medio";"Alto";"Crítico"}),"")</f>
        <v/>
      </c>
      <c r="AA1813" s="64">
        <f>IF(T1813&gt;=3,IF(X1813&gt;=1,"Zona 1 — Crítica: impacto alto y ocurre al menos una vez al año","Zona 4 — Catastrófica poco probable: impacto alto pero excepcional"),IF(AND(T1813&lt;1.5,X1813&lt;1),"Zona 3 — Asumible: impacto bajo y muy poco frecuente","Zona 2 — Atención: riesgo intermedio"))</f>
        <v/>
      </c>
      <c r="AB1813" s="64">
        <f>IFERROR(INDEX(MgAmenCtrl,MATCH(SUBSTITUTE($H1813,"*","-"),MgAmenClave,0)),"")</f>
        <v/>
      </c>
      <c r="AC1813" s="20" t="n"/>
      <c r="AD1813" s="31">
        <f>IFERROR($X1813*(1-IF($AC1813="",$AL1813,VLOOKUP($AC1813,MgMad,2,0))),"")</f>
        <v/>
      </c>
      <c r="AE1813" s="28">
        <f>IFERROR(LOOKUP(AD1813,{0;0.01;0.1;1;10;100},{"Muy baja";"Muy baja";"Baja";"Media";"Alta";"Muy alta"}),"")</f>
        <v/>
      </c>
      <c r="AF1813" s="30">
        <f>T1813*AD1813</f>
        <v/>
      </c>
      <c r="AG1813" s="28">
        <f>IFERROR(LOOKUP(AF1813,{0;0.5;5;25},{"Bajo";"Medio";"Alto";"Crítico"}),"")</f>
        <v/>
      </c>
      <c r="AH1813" s="28">
        <f>IF(AG1813="","",IF(OR(AG1813="Crítico",AG1813="Alto"),"Mitigar",IF(AG1813="Medio","Mitigar","Aceptar y monitorear")))</f>
        <v/>
      </c>
      <c r="AI1813" s="21" t="n"/>
      <c r="AJ1813" s="21" t="n"/>
      <c r="AK1813" s="20" t="n"/>
      <c r="AL1813" s="77">
        <f>IFERROR(INDEX(MgAmenEfic,MATCH(SUBSTITUTE($H1813,"*","-"),MgAmenClave,0)),0)</f>
        <v/>
      </c>
    </row>
    <row r="1814" hidden="1" ht="105" customHeight="1" s="54">
      <c r="B1814" s="59" t="inlineStr">
        <is>
          <t>R-1809</t>
        </is>
      </c>
      <c r="C1814" s="59" t="inlineStr">
        <is>
          <t>COM-10</t>
        </is>
      </c>
      <c r="D1814" s="64">
        <f>IFERROR(INDEX(MgNombre,MATCH($C1814,MgActId,0)),"")</f>
        <v/>
      </c>
      <c r="E1814" s="64">
        <f>IFERROR(INDEX(MgProceso,MATCH($C1814,MgActId,0)),"")</f>
        <v/>
      </c>
      <c r="F1814" s="64">
        <f>IFERROR(INDEX(MgTipo,MATCH($C1814,MgActId,0)),"")</f>
        <v/>
      </c>
      <c r="G1814" s="64">
        <f>IFERROR(INDEX(MgSubtipo,MATCH($C1814,MgActId,0)),"")</f>
        <v/>
      </c>
      <c r="H1814" s="59" t="inlineStr">
        <is>
          <t>A.30</t>
        </is>
      </c>
      <c r="I1814" s="64">
        <f>IFERROR(INDEX(MgAmenNombre,MATCH(SUBSTITUTE($H1814,"*","-"),MgAmenClave,0)),"")</f>
        <v/>
      </c>
      <c r="J1814" s="28">
        <f>IFERROR(INDEX(MgAmenGrupo,MATCH(SUBSTITUTE($H1814,"*","-"),MgAmenClave,0)),"")</f>
        <v/>
      </c>
      <c r="K1814" s="64">
        <f>IFERROR(INDEX('1. Matriz de Activos'!$Q$6:$Q$239,MATCH($C1814,MgActId,0)),"")</f>
        <v/>
      </c>
      <c r="L1814" s="64">
        <f>IFERROR(INDEX('1. Matriz de Activos'!$R$6:$R$239,MATCH($C1814,MgActId,0)),"")</f>
        <v/>
      </c>
      <c r="M1814" s="64">
        <f>IFERROR(INDEX('1. Matriz de Activos'!$S$6:$S$239,MATCH($C1814,MgActId,0)),"")</f>
        <v/>
      </c>
      <c r="N1814" s="28">
        <f>IFERROR(INDEX(MgAmenDegD,MATCH(SUBSTITUTE($H1814,"*","-"),MgAmenClave,0)),"No aplica")</f>
        <v/>
      </c>
      <c r="O1814" s="28">
        <f>IFERROR(INDEX(MgAmenDegI,MATCH(SUBSTITUTE($H1814,"*","-"),MgAmenClave,0)),"No aplica")</f>
        <v/>
      </c>
      <c r="P1814" s="28">
        <f>IFERROR(INDEX(MgAmenDegC,MATCH(SUBSTITUTE($H1814,"*","-"),MgAmenClave,0)),"No aplica")</f>
        <v/>
      </c>
      <c r="Q1814" s="29">
        <f>IFERROR(VLOOKUP(K1814,MgValor,2,0)*VLOOKUP(N1814,MgDeg,2,0),0)</f>
        <v/>
      </c>
      <c r="R1814" s="29">
        <f>IFERROR(VLOOKUP(L1814,MgValor,2,0)*VLOOKUP(O1814,MgDeg,2,0),0)</f>
        <v/>
      </c>
      <c r="S1814" s="29">
        <f>IFERROR(VLOOKUP(M1814,MgValor,2,0)*VLOOKUP(P1814,MgDeg,2,0),0)</f>
        <v/>
      </c>
      <c r="T1814" s="30">
        <f>MAX(Q1814:S1814)</f>
        <v/>
      </c>
      <c r="U1814" s="28">
        <f>IFERROR(LOOKUP(T1814,{0;0.5;1.5;3;4.5},{"Despreciable";"Bajo";"Medio";"Alto";"Muy alto"}),"")</f>
        <v/>
      </c>
      <c r="V1814" s="13">
        <f>IFERROR(INDEX(MgAmenFrec,MATCH(SUBSTITUTE($H1814,"*","-"),MgAmenClave,0)),"")</f>
        <v/>
      </c>
      <c r="W1814" s="28">
        <f>IFERROR(LOOKUP(X1814,{0;0.01;0.1;1;10;100},{"Muy baja";"Muy baja";"Baja";"Media";"Alta";"Muy alta"}),"")</f>
        <v/>
      </c>
      <c r="X1814" s="31">
        <f>IFERROR(VLOOKUP(V1814,MgFrec,2,0),0)</f>
        <v/>
      </c>
      <c r="Y1814" s="30">
        <f>T1814*X1814</f>
        <v/>
      </c>
      <c r="Z1814" s="28">
        <f>IFERROR(LOOKUP(Y1814,{0;0.5;5;25},{"Bajo";"Medio";"Alto";"Crítico"}),"")</f>
        <v/>
      </c>
      <c r="AA1814" s="64">
        <f>IF(T1814&gt;=3,IF(X1814&gt;=1,"Zona 1 — Crítica: impacto alto y ocurre al menos una vez al año","Zona 4 — Catastrófica poco probable: impacto alto pero excepcional"),IF(AND(T1814&lt;1.5,X1814&lt;1),"Zona 3 — Asumible: impacto bajo y muy poco frecuente","Zona 2 — Atención: riesgo intermedio"))</f>
        <v/>
      </c>
      <c r="AB1814" s="64">
        <f>IFERROR(INDEX(MgAmenCtrl,MATCH(SUBSTITUTE($H1814,"*","-"),MgAmenClave,0)),"")</f>
        <v/>
      </c>
      <c r="AC1814" s="20" t="n"/>
      <c r="AD1814" s="31">
        <f>IFERROR($X1814*(1-IF($AC1814="",$AL1814,VLOOKUP($AC1814,MgMad,2,0))),"")</f>
        <v/>
      </c>
      <c r="AE1814" s="28">
        <f>IFERROR(LOOKUP(AD1814,{0;0.01;0.1;1;10;100},{"Muy baja";"Muy baja";"Baja";"Media";"Alta";"Muy alta"}),"")</f>
        <v/>
      </c>
      <c r="AF1814" s="30">
        <f>T1814*AD1814</f>
        <v/>
      </c>
      <c r="AG1814" s="28">
        <f>IFERROR(LOOKUP(AF1814,{0;0.5;5;25},{"Bajo";"Medio";"Alto";"Crítico"}),"")</f>
        <v/>
      </c>
      <c r="AH1814" s="28">
        <f>IF(AG1814="","",IF(OR(AG1814="Crítico",AG1814="Alto"),"Mitigar",IF(AG1814="Medio","Mitigar","Aceptar y monitorear")))</f>
        <v/>
      </c>
      <c r="AI1814" s="21" t="n"/>
      <c r="AJ1814" s="21" t="n"/>
      <c r="AK1814" s="20" t="n"/>
      <c r="AL1814" s="77">
        <f>IFERROR(INDEX(MgAmenEfic,MATCH(SUBSTITUTE($H1814,"*","-"),MgAmenClave,0)),0)</f>
        <v/>
      </c>
    </row>
    <row r="1815" hidden="1" ht="75" customHeight="1" s="54">
      <c r="B1815" s="59" t="inlineStr">
        <is>
          <t>R-1810</t>
        </is>
      </c>
      <c r="C1815" s="59" t="inlineStr">
        <is>
          <t>TEC-002</t>
        </is>
      </c>
      <c r="D1815" s="64">
        <f>IFERROR(INDEX(MgNombre,MATCH($C1815,MgActId,0)),"")</f>
        <v/>
      </c>
      <c r="E1815" s="64">
        <f>IFERROR(INDEX(MgProceso,MATCH($C1815,MgActId,0)),"")</f>
        <v/>
      </c>
      <c r="F1815" s="64">
        <f>IFERROR(INDEX(MgTipo,MATCH($C1815,MgActId,0)),"")</f>
        <v/>
      </c>
      <c r="G1815" s="64">
        <f>IFERROR(INDEX(MgSubtipo,MATCH($C1815,MgActId,0)),"")</f>
        <v/>
      </c>
      <c r="H1815" s="59" t="inlineStr">
        <is>
          <t>I.5</t>
        </is>
      </c>
      <c r="I1815" s="64">
        <f>IFERROR(INDEX(MgAmenNombre,MATCH(SUBSTITUTE($H1815,"*","-"),MgAmenClave,0)),"")</f>
        <v/>
      </c>
      <c r="J1815" s="28">
        <f>IFERROR(INDEX(MgAmenGrupo,MATCH(SUBSTITUTE($H1815,"*","-"),MgAmenClave,0)),"")</f>
        <v/>
      </c>
      <c r="K1815" s="64">
        <f>IFERROR(INDEX('1. Matriz de Activos'!$Q$6:$Q$239,MATCH($C1815,MgActId,0)),"")</f>
        <v/>
      </c>
      <c r="L1815" s="64">
        <f>IFERROR(INDEX('1. Matriz de Activos'!$R$6:$R$239,MATCH($C1815,MgActId,0)),"")</f>
        <v/>
      </c>
      <c r="M1815" s="64">
        <f>IFERROR(INDEX('1. Matriz de Activos'!$S$6:$S$239,MATCH($C1815,MgActId,0)),"")</f>
        <v/>
      </c>
      <c r="N1815" s="28">
        <f>IFERROR(INDEX(MgAmenDegD,MATCH(SUBSTITUTE($H1815,"*","-"),MgAmenClave,0)),"No aplica")</f>
        <v/>
      </c>
      <c r="O1815" s="28">
        <f>IFERROR(INDEX(MgAmenDegI,MATCH(SUBSTITUTE($H1815,"*","-"),MgAmenClave,0)),"No aplica")</f>
        <v/>
      </c>
      <c r="P1815" s="28">
        <f>IFERROR(INDEX(MgAmenDegC,MATCH(SUBSTITUTE($H1815,"*","-"),MgAmenClave,0)),"No aplica")</f>
        <v/>
      </c>
      <c r="Q1815" s="29">
        <f>IFERROR(VLOOKUP(K1815,MgValor,2,0)*VLOOKUP(N1815,MgDeg,2,0),0)</f>
        <v/>
      </c>
      <c r="R1815" s="29">
        <f>IFERROR(VLOOKUP(L1815,MgValor,2,0)*VLOOKUP(O1815,MgDeg,2,0),0)</f>
        <v/>
      </c>
      <c r="S1815" s="29">
        <f>IFERROR(VLOOKUP(M1815,MgValor,2,0)*VLOOKUP(P1815,MgDeg,2,0),0)</f>
        <v/>
      </c>
      <c r="T1815" s="30">
        <f>MAX(Q1815:S1815)</f>
        <v/>
      </c>
      <c r="U1815" s="28">
        <f>IFERROR(LOOKUP(T1815,{0;0.5;1.5;3;4.5},{"Despreciable";"Bajo";"Medio";"Alto";"Muy alto"}),"")</f>
        <v/>
      </c>
      <c r="V1815" s="13">
        <f>IFERROR(INDEX(MgAmenFrec,MATCH(SUBSTITUTE($H1815,"*","-"),MgAmenClave,0)),"")</f>
        <v/>
      </c>
      <c r="W1815" s="28">
        <f>IFERROR(LOOKUP(X1815,{0;0.01;0.1;1;10;100},{"Muy baja";"Muy baja";"Baja";"Media";"Alta";"Muy alta"}),"")</f>
        <v/>
      </c>
      <c r="X1815" s="31">
        <f>IFERROR(VLOOKUP(V1815,MgFrec,2,0),0)</f>
        <v/>
      </c>
      <c r="Y1815" s="30">
        <f>T1815*X1815</f>
        <v/>
      </c>
      <c r="Z1815" s="28">
        <f>IFERROR(LOOKUP(Y1815,{0;0.5;5;25},{"Bajo";"Medio";"Alto";"Crítico"}),"")</f>
        <v/>
      </c>
      <c r="AA1815" s="64">
        <f>IF(T1815&gt;=3,IF(X1815&gt;=1,"Zona 1 — Crítica: impacto alto y ocurre al menos una vez al año","Zona 4 — Catastrófica poco probable: impacto alto pero excepcional"),IF(AND(T1815&lt;1.5,X1815&lt;1),"Zona 3 — Asumible: impacto bajo y muy poco frecuente","Zona 2 — Atención: riesgo intermedio"))</f>
        <v/>
      </c>
      <c r="AB1815" s="64">
        <f>IFERROR(INDEX(MgAmenCtrl,MATCH(SUBSTITUTE($H1815,"*","-"),MgAmenClave,0)),"")</f>
        <v/>
      </c>
      <c r="AC1815" s="20" t="n"/>
      <c r="AD1815" s="31">
        <f>IFERROR($X1815*(1-IF($AC1815="",$AL1815,VLOOKUP($AC1815,MgMad,2,0))),"")</f>
        <v/>
      </c>
      <c r="AE1815" s="28">
        <f>IFERROR(LOOKUP(AD1815,{0;0.01;0.1;1;10;100},{"Muy baja";"Muy baja";"Baja";"Media";"Alta";"Muy alta"}),"")</f>
        <v/>
      </c>
      <c r="AF1815" s="30">
        <f>T1815*AD1815</f>
        <v/>
      </c>
      <c r="AG1815" s="28">
        <f>IFERROR(LOOKUP(AF1815,{0;0.5;5;25},{"Bajo";"Medio";"Alto";"Crítico"}),"")</f>
        <v/>
      </c>
      <c r="AH1815" s="28">
        <f>IF(AG1815="","",IF(OR(AG1815="Crítico",AG1815="Alto"),"Mitigar",IF(AG1815="Medio","Mitigar","Aceptar y monitorear")))</f>
        <v/>
      </c>
      <c r="AI1815" s="21" t="n"/>
      <c r="AJ1815" s="21" t="n"/>
      <c r="AK1815" s="20" t="n"/>
      <c r="AL1815" s="77">
        <f>IFERROR(INDEX(MgAmenEfic,MATCH(SUBSTITUTE($H1815,"*","-"),MgAmenClave,0)),0)</f>
        <v/>
      </c>
    </row>
    <row r="1816" hidden="1" ht="105" customHeight="1" s="54">
      <c r="B1816" s="59" t="inlineStr">
        <is>
          <t>R-1811</t>
        </is>
      </c>
      <c r="C1816" s="59" t="inlineStr">
        <is>
          <t>TEC-002</t>
        </is>
      </c>
      <c r="D1816" s="64">
        <f>IFERROR(INDEX(MgNombre,MATCH($C1816,MgActId,0)),"")</f>
        <v/>
      </c>
      <c r="E1816" s="64">
        <f>IFERROR(INDEX(MgProceso,MATCH($C1816,MgActId,0)),"")</f>
        <v/>
      </c>
      <c r="F1816" s="64">
        <f>IFERROR(INDEX(MgTipo,MATCH($C1816,MgActId,0)),"")</f>
        <v/>
      </c>
      <c r="G1816" s="64">
        <f>IFERROR(INDEX(MgSubtipo,MATCH($C1816,MgActId,0)),"")</f>
        <v/>
      </c>
      <c r="H1816" s="59" t="inlineStr">
        <is>
          <t>E.1</t>
        </is>
      </c>
      <c r="I1816" s="64">
        <f>IFERROR(INDEX(MgAmenNombre,MATCH(SUBSTITUTE($H1816,"*","-"),MgAmenClave,0)),"")</f>
        <v/>
      </c>
      <c r="J1816" s="28">
        <f>IFERROR(INDEX(MgAmenGrupo,MATCH(SUBSTITUTE($H1816,"*","-"),MgAmenClave,0)),"")</f>
        <v/>
      </c>
      <c r="K1816" s="64">
        <f>IFERROR(INDEX('1. Matriz de Activos'!$Q$6:$Q$239,MATCH($C1816,MgActId,0)),"")</f>
        <v/>
      </c>
      <c r="L1816" s="64">
        <f>IFERROR(INDEX('1. Matriz de Activos'!$R$6:$R$239,MATCH($C1816,MgActId,0)),"")</f>
        <v/>
      </c>
      <c r="M1816" s="64">
        <f>IFERROR(INDEX('1. Matriz de Activos'!$S$6:$S$239,MATCH($C1816,MgActId,0)),"")</f>
        <v/>
      </c>
      <c r="N1816" s="28">
        <f>IFERROR(INDEX(MgAmenDegD,MATCH(SUBSTITUTE($H1816,"*","-"),MgAmenClave,0)),"No aplica")</f>
        <v/>
      </c>
      <c r="O1816" s="28">
        <f>IFERROR(INDEX(MgAmenDegI,MATCH(SUBSTITUTE($H1816,"*","-"),MgAmenClave,0)),"No aplica")</f>
        <v/>
      </c>
      <c r="P1816" s="28">
        <f>IFERROR(INDEX(MgAmenDegC,MATCH(SUBSTITUTE($H1816,"*","-"),MgAmenClave,0)),"No aplica")</f>
        <v/>
      </c>
      <c r="Q1816" s="29">
        <f>IFERROR(VLOOKUP(K1816,MgValor,2,0)*VLOOKUP(N1816,MgDeg,2,0),0)</f>
        <v/>
      </c>
      <c r="R1816" s="29">
        <f>IFERROR(VLOOKUP(L1816,MgValor,2,0)*VLOOKUP(O1816,MgDeg,2,0),0)</f>
        <v/>
      </c>
      <c r="S1816" s="29">
        <f>IFERROR(VLOOKUP(M1816,MgValor,2,0)*VLOOKUP(P1816,MgDeg,2,0),0)</f>
        <v/>
      </c>
      <c r="T1816" s="30">
        <f>MAX(Q1816:S1816)</f>
        <v/>
      </c>
      <c r="U1816" s="28">
        <f>IFERROR(LOOKUP(T1816,{0;0.5;1.5;3;4.5},{"Despreciable";"Bajo";"Medio";"Alto";"Muy alto"}),"")</f>
        <v/>
      </c>
      <c r="V1816" s="13">
        <f>IFERROR(INDEX(MgAmenFrec,MATCH(SUBSTITUTE($H1816,"*","-"),MgAmenClave,0)),"")</f>
        <v/>
      </c>
      <c r="W1816" s="28">
        <f>IFERROR(LOOKUP(X1816,{0;0.01;0.1;1;10;100},{"Muy baja";"Muy baja";"Baja";"Media";"Alta";"Muy alta"}),"")</f>
        <v/>
      </c>
      <c r="X1816" s="31">
        <f>IFERROR(VLOOKUP(V1816,MgFrec,2,0),0)</f>
        <v/>
      </c>
      <c r="Y1816" s="30">
        <f>T1816*X1816</f>
        <v/>
      </c>
      <c r="Z1816" s="28">
        <f>IFERROR(LOOKUP(Y1816,{0;0.5;5;25},{"Bajo";"Medio";"Alto";"Crítico"}),"")</f>
        <v/>
      </c>
      <c r="AA1816" s="64">
        <f>IF(T1816&gt;=3,IF(X1816&gt;=1,"Zona 1 — Crítica: impacto alto y ocurre al menos una vez al año","Zona 4 — Catastrófica poco probable: impacto alto pero excepcional"),IF(AND(T1816&lt;1.5,X1816&lt;1),"Zona 3 — Asumible: impacto bajo y muy poco frecuente","Zona 2 — Atención: riesgo intermedio"))</f>
        <v/>
      </c>
      <c r="AB1816" s="64">
        <f>IFERROR(INDEX(MgAmenCtrl,MATCH(SUBSTITUTE($H1816,"*","-"),MgAmenClave,0)),"")</f>
        <v/>
      </c>
      <c r="AC1816" s="20" t="n"/>
      <c r="AD1816" s="31">
        <f>IFERROR($X1816*(1-IF($AC1816="",$AL1816,VLOOKUP($AC1816,MgMad,2,0))),"")</f>
        <v/>
      </c>
      <c r="AE1816" s="28">
        <f>IFERROR(LOOKUP(AD1816,{0;0.01;0.1;1;10;100},{"Muy baja";"Muy baja";"Baja";"Media";"Alta";"Muy alta"}),"")</f>
        <v/>
      </c>
      <c r="AF1816" s="30">
        <f>T1816*AD1816</f>
        <v/>
      </c>
      <c r="AG1816" s="28">
        <f>IFERROR(LOOKUP(AF1816,{0;0.5;5;25},{"Bajo";"Medio";"Alto";"Crítico"}),"")</f>
        <v/>
      </c>
      <c r="AH1816" s="28">
        <f>IF(AG1816="","",IF(OR(AG1816="Crítico",AG1816="Alto"),"Mitigar",IF(AG1816="Medio","Mitigar","Aceptar y monitorear")))</f>
        <v/>
      </c>
      <c r="AI1816" s="21" t="n"/>
      <c r="AJ1816" s="21" t="n"/>
      <c r="AK1816" s="20" t="n"/>
      <c r="AL1816" s="77">
        <f>IFERROR(INDEX(MgAmenEfic,MATCH(SUBSTITUTE($H1816,"*","-"),MgAmenClave,0)),0)</f>
        <v/>
      </c>
    </row>
    <row r="1817" hidden="1" ht="120" customHeight="1" s="54">
      <c r="B1817" s="59" t="inlineStr">
        <is>
          <t>R-1812</t>
        </is>
      </c>
      <c r="C1817" s="59" t="inlineStr">
        <is>
          <t>TEC-002</t>
        </is>
      </c>
      <c r="D1817" s="64">
        <f>IFERROR(INDEX(MgNombre,MATCH($C1817,MgActId,0)),"")</f>
        <v/>
      </c>
      <c r="E1817" s="64">
        <f>IFERROR(INDEX(MgProceso,MATCH($C1817,MgActId,0)),"")</f>
        <v/>
      </c>
      <c r="F1817" s="64">
        <f>IFERROR(INDEX(MgTipo,MATCH($C1817,MgActId,0)),"")</f>
        <v/>
      </c>
      <c r="G1817" s="64">
        <f>IFERROR(INDEX(MgSubtipo,MATCH($C1817,MgActId,0)),"")</f>
        <v/>
      </c>
      <c r="H1817" s="59" t="inlineStr">
        <is>
          <t>E.2</t>
        </is>
      </c>
      <c r="I1817" s="64">
        <f>IFERROR(INDEX(MgAmenNombre,MATCH(SUBSTITUTE($H1817,"*","-"),MgAmenClave,0)),"")</f>
        <v/>
      </c>
      <c r="J1817" s="28">
        <f>IFERROR(INDEX(MgAmenGrupo,MATCH(SUBSTITUTE($H1817,"*","-"),MgAmenClave,0)),"")</f>
        <v/>
      </c>
      <c r="K1817" s="64">
        <f>IFERROR(INDEX('1. Matriz de Activos'!$Q$6:$Q$239,MATCH($C1817,MgActId,0)),"")</f>
        <v/>
      </c>
      <c r="L1817" s="64">
        <f>IFERROR(INDEX('1. Matriz de Activos'!$R$6:$R$239,MATCH($C1817,MgActId,0)),"")</f>
        <v/>
      </c>
      <c r="M1817" s="64">
        <f>IFERROR(INDEX('1. Matriz de Activos'!$S$6:$S$239,MATCH($C1817,MgActId,0)),"")</f>
        <v/>
      </c>
      <c r="N1817" s="28">
        <f>IFERROR(INDEX(MgAmenDegD,MATCH(SUBSTITUTE($H1817,"*","-"),MgAmenClave,0)),"No aplica")</f>
        <v/>
      </c>
      <c r="O1817" s="28">
        <f>IFERROR(INDEX(MgAmenDegI,MATCH(SUBSTITUTE($H1817,"*","-"),MgAmenClave,0)),"No aplica")</f>
        <v/>
      </c>
      <c r="P1817" s="28">
        <f>IFERROR(INDEX(MgAmenDegC,MATCH(SUBSTITUTE($H1817,"*","-"),MgAmenClave,0)),"No aplica")</f>
        <v/>
      </c>
      <c r="Q1817" s="29">
        <f>IFERROR(VLOOKUP(K1817,MgValor,2,0)*VLOOKUP(N1817,MgDeg,2,0),0)</f>
        <v/>
      </c>
      <c r="R1817" s="29">
        <f>IFERROR(VLOOKUP(L1817,MgValor,2,0)*VLOOKUP(O1817,MgDeg,2,0),0)</f>
        <v/>
      </c>
      <c r="S1817" s="29">
        <f>IFERROR(VLOOKUP(M1817,MgValor,2,0)*VLOOKUP(P1817,MgDeg,2,0),0)</f>
        <v/>
      </c>
      <c r="T1817" s="30">
        <f>MAX(Q1817:S1817)</f>
        <v/>
      </c>
      <c r="U1817" s="28">
        <f>IFERROR(LOOKUP(T1817,{0;0.5;1.5;3;4.5},{"Despreciable";"Bajo";"Medio";"Alto";"Muy alto"}),"")</f>
        <v/>
      </c>
      <c r="V1817" s="13">
        <f>IFERROR(INDEX(MgAmenFrec,MATCH(SUBSTITUTE($H1817,"*","-"),MgAmenClave,0)),"")</f>
        <v/>
      </c>
      <c r="W1817" s="28">
        <f>IFERROR(LOOKUP(X1817,{0;0.01;0.1;1;10;100},{"Muy baja";"Muy baja";"Baja";"Media";"Alta";"Muy alta"}),"")</f>
        <v/>
      </c>
      <c r="X1817" s="31">
        <f>IFERROR(VLOOKUP(V1817,MgFrec,2,0),0)</f>
        <v/>
      </c>
      <c r="Y1817" s="30">
        <f>T1817*X1817</f>
        <v/>
      </c>
      <c r="Z1817" s="28">
        <f>IFERROR(LOOKUP(Y1817,{0;0.5;5;25},{"Bajo";"Medio";"Alto";"Crítico"}),"")</f>
        <v/>
      </c>
      <c r="AA1817" s="64">
        <f>IF(T1817&gt;=3,IF(X1817&gt;=1,"Zona 1 — Crítica: impacto alto y ocurre al menos una vez al año","Zona 4 — Catastrófica poco probable: impacto alto pero excepcional"),IF(AND(T1817&lt;1.5,X1817&lt;1),"Zona 3 — Asumible: impacto bajo y muy poco frecuente","Zona 2 — Atención: riesgo intermedio"))</f>
        <v/>
      </c>
      <c r="AB1817" s="64">
        <f>IFERROR(INDEX(MgAmenCtrl,MATCH(SUBSTITUTE($H1817,"*","-"),MgAmenClave,0)),"")</f>
        <v/>
      </c>
      <c r="AC1817" s="20" t="n"/>
      <c r="AD1817" s="31">
        <f>IFERROR($X1817*(1-IF($AC1817="",$AL1817,VLOOKUP($AC1817,MgMad,2,0))),"")</f>
        <v/>
      </c>
      <c r="AE1817" s="28">
        <f>IFERROR(LOOKUP(AD1817,{0;0.01;0.1;1;10;100},{"Muy baja";"Muy baja";"Baja";"Media";"Alta";"Muy alta"}),"")</f>
        <v/>
      </c>
      <c r="AF1817" s="30">
        <f>T1817*AD1817</f>
        <v/>
      </c>
      <c r="AG1817" s="28">
        <f>IFERROR(LOOKUP(AF1817,{0;0.5;5;25},{"Bajo";"Medio";"Alto";"Crítico"}),"")</f>
        <v/>
      </c>
      <c r="AH1817" s="28">
        <f>IF(AG1817="","",IF(OR(AG1817="Crítico",AG1817="Alto"),"Mitigar",IF(AG1817="Medio","Mitigar","Aceptar y monitorear")))</f>
        <v/>
      </c>
      <c r="AI1817" s="21" t="n"/>
      <c r="AJ1817" s="21" t="n"/>
      <c r="AK1817" s="20" t="n"/>
      <c r="AL1817" s="77">
        <f>IFERROR(INDEX(MgAmenEfic,MATCH(SUBSTITUTE($H1817,"*","-"),MgAmenClave,0)),0)</f>
        <v/>
      </c>
    </row>
    <row r="1818" hidden="1" ht="75" customHeight="1" s="54">
      <c r="B1818" s="59" t="inlineStr">
        <is>
          <t>R-1813</t>
        </is>
      </c>
      <c r="C1818" s="59" t="inlineStr">
        <is>
          <t>TEC-002</t>
        </is>
      </c>
      <c r="D1818" s="64">
        <f>IFERROR(INDEX(MgNombre,MATCH($C1818,MgActId,0)),"")</f>
        <v/>
      </c>
      <c r="E1818" s="64">
        <f>IFERROR(INDEX(MgProceso,MATCH($C1818,MgActId,0)),"")</f>
        <v/>
      </c>
      <c r="F1818" s="64">
        <f>IFERROR(INDEX(MgTipo,MATCH($C1818,MgActId,0)),"")</f>
        <v/>
      </c>
      <c r="G1818" s="64">
        <f>IFERROR(INDEX(MgSubtipo,MATCH($C1818,MgActId,0)),"")</f>
        <v/>
      </c>
      <c r="H1818" s="59" t="inlineStr">
        <is>
          <t>E.8</t>
        </is>
      </c>
      <c r="I1818" s="64">
        <f>IFERROR(INDEX(MgAmenNombre,MATCH(SUBSTITUTE($H1818,"*","-"),MgAmenClave,0)),"")</f>
        <v/>
      </c>
      <c r="J1818" s="28">
        <f>IFERROR(INDEX(MgAmenGrupo,MATCH(SUBSTITUTE($H1818,"*","-"),MgAmenClave,0)),"")</f>
        <v/>
      </c>
      <c r="K1818" s="64">
        <f>IFERROR(INDEX('1. Matriz de Activos'!$Q$6:$Q$239,MATCH($C1818,MgActId,0)),"")</f>
        <v/>
      </c>
      <c r="L1818" s="64">
        <f>IFERROR(INDEX('1. Matriz de Activos'!$R$6:$R$239,MATCH($C1818,MgActId,0)),"")</f>
        <v/>
      </c>
      <c r="M1818" s="64">
        <f>IFERROR(INDEX('1. Matriz de Activos'!$S$6:$S$239,MATCH($C1818,MgActId,0)),"")</f>
        <v/>
      </c>
      <c r="N1818" s="28">
        <f>IFERROR(INDEX(MgAmenDegD,MATCH(SUBSTITUTE($H1818,"*","-"),MgAmenClave,0)),"No aplica")</f>
        <v/>
      </c>
      <c r="O1818" s="28">
        <f>IFERROR(INDEX(MgAmenDegI,MATCH(SUBSTITUTE($H1818,"*","-"),MgAmenClave,0)),"No aplica")</f>
        <v/>
      </c>
      <c r="P1818" s="28">
        <f>IFERROR(INDEX(MgAmenDegC,MATCH(SUBSTITUTE($H1818,"*","-"),MgAmenClave,0)),"No aplica")</f>
        <v/>
      </c>
      <c r="Q1818" s="29">
        <f>IFERROR(VLOOKUP(K1818,MgValor,2,0)*VLOOKUP(N1818,MgDeg,2,0),0)</f>
        <v/>
      </c>
      <c r="R1818" s="29">
        <f>IFERROR(VLOOKUP(L1818,MgValor,2,0)*VLOOKUP(O1818,MgDeg,2,0),0)</f>
        <v/>
      </c>
      <c r="S1818" s="29">
        <f>IFERROR(VLOOKUP(M1818,MgValor,2,0)*VLOOKUP(P1818,MgDeg,2,0),0)</f>
        <v/>
      </c>
      <c r="T1818" s="30">
        <f>MAX(Q1818:S1818)</f>
        <v/>
      </c>
      <c r="U1818" s="28">
        <f>IFERROR(LOOKUP(T1818,{0;0.5;1.5;3;4.5},{"Despreciable";"Bajo";"Medio";"Alto";"Muy alto"}),"")</f>
        <v/>
      </c>
      <c r="V1818" s="13">
        <f>IFERROR(INDEX(MgAmenFrec,MATCH(SUBSTITUTE($H1818,"*","-"),MgAmenClave,0)),"")</f>
        <v/>
      </c>
      <c r="W1818" s="28">
        <f>IFERROR(LOOKUP(X1818,{0;0.01;0.1;1;10;100},{"Muy baja";"Muy baja";"Baja";"Media";"Alta";"Muy alta"}),"")</f>
        <v/>
      </c>
      <c r="X1818" s="31">
        <f>IFERROR(VLOOKUP(V1818,MgFrec,2,0),0)</f>
        <v/>
      </c>
      <c r="Y1818" s="30">
        <f>T1818*X1818</f>
        <v/>
      </c>
      <c r="Z1818" s="28">
        <f>IFERROR(LOOKUP(Y1818,{0;0.5;5;25},{"Bajo";"Medio";"Alto";"Crítico"}),"")</f>
        <v/>
      </c>
      <c r="AA1818" s="64">
        <f>IF(T1818&gt;=3,IF(X1818&gt;=1,"Zona 1 — Crítica: impacto alto y ocurre al menos una vez al año","Zona 4 — Catastrófica poco probable: impacto alto pero excepcional"),IF(AND(T1818&lt;1.5,X1818&lt;1),"Zona 3 — Asumible: impacto bajo y muy poco frecuente","Zona 2 — Atención: riesgo intermedio"))</f>
        <v/>
      </c>
      <c r="AB1818" s="64">
        <f>IFERROR(INDEX(MgAmenCtrl,MATCH(SUBSTITUTE($H1818,"*","-"),MgAmenClave,0)),"")</f>
        <v/>
      </c>
      <c r="AC1818" s="20" t="n"/>
      <c r="AD1818" s="31">
        <f>IFERROR($X1818*(1-IF($AC1818="",$AL1818,VLOOKUP($AC1818,MgMad,2,0))),"")</f>
        <v/>
      </c>
      <c r="AE1818" s="28">
        <f>IFERROR(LOOKUP(AD1818,{0;0.01;0.1;1;10;100},{"Muy baja";"Muy baja";"Baja";"Media";"Alta";"Muy alta"}),"")</f>
        <v/>
      </c>
      <c r="AF1818" s="30">
        <f>T1818*AD1818</f>
        <v/>
      </c>
      <c r="AG1818" s="28">
        <f>IFERROR(LOOKUP(AF1818,{0;0.5;5;25},{"Bajo";"Medio";"Alto";"Crítico"}),"")</f>
        <v/>
      </c>
      <c r="AH1818" s="28">
        <f>IF(AG1818="","",IF(OR(AG1818="Crítico",AG1818="Alto"),"Mitigar",IF(AG1818="Medio","Mitigar","Aceptar y monitorear")))</f>
        <v/>
      </c>
      <c r="AI1818" s="21" t="n"/>
      <c r="AJ1818" s="21" t="n"/>
      <c r="AK1818" s="20" t="n"/>
      <c r="AL1818" s="77">
        <f>IFERROR(INDEX(MgAmenEfic,MATCH(SUBSTITUTE($H1818,"*","-"),MgAmenClave,0)),0)</f>
        <v/>
      </c>
    </row>
    <row r="1819" hidden="1" ht="60" customHeight="1" s="54">
      <c r="B1819" s="59" t="inlineStr">
        <is>
          <t>R-1814</t>
        </is>
      </c>
      <c r="C1819" s="59" t="inlineStr">
        <is>
          <t>TEC-002</t>
        </is>
      </c>
      <c r="D1819" s="64">
        <f>IFERROR(INDEX(MgNombre,MATCH($C1819,MgActId,0)),"")</f>
        <v/>
      </c>
      <c r="E1819" s="64">
        <f>IFERROR(INDEX(MgProceso,MATCH($C1819,MgActId,0)),"")</f>
        <v/>
      </c>
      <c r="F1819" s="64">
        <f>IFERROR(INDEX(MgTipo,MATCH($C1819,MgActId,0)),"")</f>
        <v/>
      </c>
      <c r="G1819" s="64">
        <f>IFERROR(INDEX(MgSubtipo,MATCH($C1819,MgActId,0)),"")</f>
        <v/>
      </c>
      <c r="H1819" s="59" t="inlineStr">
        <is>
          <t>E.9</t>
        </is>
      </c>
      <c r="I1819" s="64">
        <f>IFERROR(INDEX(MgAmenNombre,MATCH(SUBSTITUTE($H1819,"*","-"),MgAmenClave,0)),"")</f>
        <v/>
      </c>
      <c r="J1819" s="28">
        <f>IFERROR(INDEX(MgAmenGrupo,MATCH(SUBSTITUTE($H1819,"*","-"),MgAmenClave,0)),"")</f>
        <v/>
      </c>
      <c r="K1819" s="64">
        <f>IFERROR(INDEX('1. Matriz de Activos'!$Q$6:$Q$239,MATCH($C1819,MgActId,0)),"")</f>
        <v/>
      </c>
      <c r="L1819" s="64">
        <f>IFERROR(INDEX('1. Matriz de Activos'!$R$6:$R$239,MATCH($C1819,MgActId,0)),"")</f>
        <v/>
      </c>
      <c r="M1819" s="64">
        <f>IFERROR(INDEX('1. Matriz de Activos'!$S$6:$S$239,MATCH($C1819,MgActId,0)),"")</f>
        <v/>
      </c>
      <c r="N1819" s="28">
        <f>IFERROR(INDEX(MgAmenDegD,MATCH(SUBSTITUTE($H1819,"*","-"),MgAmenClave,0)),"No aplica")</f>
        <v/>
      </c>
      <c r="O1819" s="28">
        <f>IFERROR(INDEX(MgAmenDegI,MATCH(SUBSTITUTE($H1819,"*","-"),MgAmenClave,0)),"No aplica")</f>
        <v/>
      </c>
      <c r="P1819" s="28">
        <f>IFERROR(INDEX(MgAmenDegC,MATCH(SUBSTITUTE($H1819,"*","-"),MgAmenClave,0)),"No aplica")</f>
        <v/>
      </c>
      <c r="Q1819" s="29">
        <f>IFERROR(VLOOKUP(K1819,MgValor,2,0)*VLOOKUP(N1819,MgDeg,2,0),0)</f>
        <v/>
      </c>
      <c r="R1819" s="29">
        <f>IFERROR(VLOOKUP(L1819,MgValor,2,0)*VLOOKUP(O1819,MgDeg,2,0),0)</f>
        <v/>
      </c>
      <c r="S1819" s="29">
        <f>IFERROR(VLOOKUP(M1819,MgValor,2,0)*VLOOKUP(P1819,MgDeg,2,0),0)</f>
        <v/>
      </c>
      <c r="T1819" s="30">
        <f>MAX(Q1819:S1819)</f>
        <v/>
      </c>
      <c r="U1819" s="28">
        <f>IFERROR(LOOKUP(T1819,{0;0.5;1.5;3;4.5},{"Despreciable";"Bajo";"Medio";"Alto";"Muy alto"}),"")</f>
        <v/>
      </c>
      <c r="V1819" s="13">
        <f>IFERROR(INDEX(MgAmenFrec,MATCH(SUBSTITUTE($H1819,"*","-"),MgAmenClave,0)),"")</f>
        <v/>
      </c>
      <c r="W1819" s="28">
        <f>IFERROR(LOOKUP(X1819,{0;0.01;0.1;1;10;100},{"Muy baja";"Muy baja";"Baja";"Media";"Alta";"Muy alta"}),"")</f>
        <v/>
      </c>
      <c r="X1819" s="31">
        <f>IFERROR(VLOOKUP(V1819,MgFrec,2,0),0)</f>
        <v/>
      </c>
      <c r="Y1819" s="30">
        <f>T1819*X1819</f>
        <v/>
      </c>
      <c r="Z1819" s="28">
        <f>IFERROR(LOOKUP(Y1819,{0;0.5;5;25},{"Bajo";"Medio";"Alto";"Crítico"}),"")</f>
        <v/>
      </c>
      <c r="AA1819" s="64">
        <f>IF(T1819&gt;=3,IF(X1819&gt;=1,"Zona 1 — Crítica: impacto alto y ocurre al menos una vez al año","Zona 4 — Catastrófica poco probable: impacto alto pero excepcional"),IF(AND(T1819&lt;1.5,X1819&lt;1),"Zona 3 — Asumible: impacto bajo y muy poco frecuente","Zona 2 — Atención: riesgo intermedio"))</f>
        <v/>
      </c>
      <c r="AB1819" s="64">
        <f>IFERROR(INDEX(MgAmenCtrl,MATCH(SUBSTITUTE($H1819,"*","-"),MgAmenClave,0)),"")</f>
        <v/>
      </c>
      <c r="AC1819" s="20" t="n"/>
      <c r="AD1819" s="31">
        <f>IFERROR($X1819*(1-IF($AC1819="",$AL1819,VLOOKUP($AC1819,MgMad,2,0))),"")</f>
        <v/>
      </c>
      <c r="AE1819" s="28">
        <f>IFERROR(LOOKUP(AD1819,{0;0.01;0.1;1;10;100},{"Muy baja";"Muy baja";"Baja";"Media";"Alta";"Muy alta"}),"")</f>
        <v/>
      </c>
      <c r="AF1819" s="30">
        <f>T1819*AD1819</f>
        <v/>
      </c>
      <c r="AG1819" s="28">
        <f>IFERROR(LOOKUP(AF1819,{0;0.5;5;25},{"Bajo";"Medio";"Alto";"Crítico"}),"")</f>
        <v/>
      </c>
      <c r="AH1819" s="28">
        <f>IF(AG1819="","",IF(OR(AG1819="Crítico",AG1819="Alto"),"Mitigar",IF(AG1819="Medio","Mitigar","Aceptar y monitorear")))</f>
        <v/>
      </c>
      <c r="AI1819" s="21" t="n"/>
      <c r="AJ1819" s="21" t="n"/>
      <c r="AK1819" s="20" t="n"/>
      <c r="AL1819" s="77">
        <f>IFERROR(INDEX(MgAmenEfic,MATCH(SUBSTITUTE($H1819,"*","-"),MgAmenClave,0)),0)</f>
        <v/>
      </c>
    </row>
    <row r="1820" hidden="1" ht="90" customHeight="1" s="54">
      <c r="B1820" s="59" t="inlineStr">
        <is>
          <t>R-1815</t>
        </is>
      </c>
      <c r="C1820" s="59" t="inlineStr">
        <is>
          <t>TEC-002</t>
        </is>
      </c>
      <c r="D1820" s="64">
        <f>IFERROR(INDEX(MgNombre,MATCH($C1820,MgActId,0)),"")</f>
        <v/>
      </c>
      <c r="E1820" s="64">
        <f>IFERROR(INDEX(MgProceso,MATCH($C1820,MgActId,0)),"")</f>
        <v/>
      </c>
      <c r="F1820" s="64">
        <f>IFERROR(INDEX(MgTipo,MATCH($C1820,MgActId,0)),"")</f>
        <v/>
      </c>
      <c r="G1820" s="64">
        <f>IFERROR(INDEX(MgSubtipo,MATCH($C1820,MgActId,0)),"")</f>
        <v/>
      </c>
      <c r="H1820" s="59" t="inlineStr">
        <is>
          <t>E.10</t>
        </is>
      </c>
      <c r="I1820" s="64">
        <f>IFERROR(INDEX(MgAmenNombre,MATCH(SUBSTITUTE($H1820,"*","-"),MgAmenClave,0)),"")</f>
        <v/>
      </c>
      <c r="J1820" s="28">
        <f>IFERROR(INDEX(MgAmenGrupo,MATCH(SUBSTITUTE($H1820,"*","-"),MgAmenClave,0)),"")</f>
        <v/>
      </c>
      <c r="K1820" s="64">
        <f>IFERROR(INDEX('1. Matriz de Activos'!$Q$6:$Q$239,MATCH($C1820,MgActId,0)),"")</f>
        <v/>
      </c>
      <c r="L1820" s="64">
        <f>IFERROR(INDEX('1. Matriz de Activos'!$R$6:$R$239,MATCH($C1820,MgActId,0)),"")</f>
        <v/>
      </c>
      <c r="M1820" s="64">
        <f>IFERROR(INDEX('1. Matriz de Activos'!$S$6:$S$239,MATCH($C1820,MgActId,0)),"")</f>
        <v/>
      </c>
      <c r="N1820" s="28">
        <f>IFERROR(INDEX(MgAmenDegD,MATCH(SUBSTITUTE($H1820,"*","-"),MgAmenClave,0)),"No aplica")</f>
        <v/>
      </c>
      <c r="O1820" s="28">
        <f>IFERROR(INDEX(MgAmenDegI,MATCH(SUBSTITUTE($H1820,"*","-"),MgAmenClave,0)),"No aplica")</f>
        <v/>
      </c>
      <c r="P1820" s="28">
        <f>IFERROR(INDEX(MgAmenDegC,MATCH(SUBSTITUTE($H1820,"*","-"),MgAmenClave,0)),"No aplica")</f>
        <v/>
      </c>
      <c r="Q1820" s="29">
        <f>IFERROR(VLOOKUP(K1820,MgValor,2,0)*VLOOKUP(N1820,MgDeg,2,0),0)</f>
        <v/>
      </c>
      <c r="R1820" s="29">
        <f>IFERROR(VLOOKUP(L1820,MgValor,2,0)*VLOOKUP(O1820,MgDeg,2,0),0)</f>
        <v/>
      </c>
      <c r="S1820" s="29">
        <f>IFERROR(VLOOKUP(M1820,MgValor,2,0)*VLOOKUP(P1820,MgDeg,2,0),0)</f>
        <v/>
      </c>
      <c r="T1820" s="30">
        <f>MAX(Q1820:S1820)</f>
        <v/>
      </c>
      <c r="U1820" s="28">
        <f>IFERROR(LOOKUP(T1820,{0;0.5;1.5;3;4.5},{"Despreciable";"Bajo";"Medio";"Alto";"Muy alto"}),"")</f>
        <v/>
      </c>
      <c r="V1820" s="13">
        <f>IFERROR(INDEX(MgAmenFrec,MATCH(SUBSTITUTE($H1820,"*","-"),MgAmenClave,0)),"")</f>
        <v/>
      </c>
      <c r="W1820" s="28">
        <f>IFERROR(LOOKUP(X1820,{0;0.01;0.1;1;10;100},{"Muy baja";"Muy baja";"Baja";"Media";"Alta";"Muy alta"}),"")</f>
        <v/>
      </c>
      <c r="X1820" s="31">
        <f>IFERROR(VLOOKUP(V1820,MgFrec,2,0),0)</f>
        <v/>
      </c>
      <c r="Y1820" s="30">
        <f>T1820*X1820</f>
        <v/>
      </c>
      <c r="Z1820" s="28">
        <f>IFERROR(LOOKUP(Y1820,{0;0.5;5;25},{"Bajo";"Medio";"Alto";"Crítico"}),"")</f>
        <v/>
      </c>
      <c r="AA1820" s="64">
        <f>IF(T1820&gt;=3,IF(X1820&gt;=1,"Zona 1 — Crítica: impacto alto y ocurre al menos una vez al año","Zona 4 — Catastrófica poco probable: impacto alto pero excepcional"),IF(AND(T1820&lt;1.5,X1820&lt;1),"Zona 3 — Asumible: impacto bajo y muy poco frecuente","Zona 2 — Atención: riesgo intermedio"))</f>
        <v/>
      </c>
      <c r="AB1820" s="64">
        <f>IFERROR(INDEX(MgAmenCtrl,MATCH(SUBSTITUTE($H1820,"*","-"),MgAmenClave,0)),"")</f>
        <v/>
      </c>
      <c r="AC1820" s="20" t="n"/>
      <c r="AD1820" s="31">
        <f>IFERROR($X1820*(1-IF($AC1820="",$AL1820,VLOOKUP($AC1820,MgMad,2,0))),"")</f>
        <v/>
      </c>
      <c r="AE1820" s="28">
        <f>IFERROR(LOOKUP(AD1820,{0;0.01;0.1;1;10;100},{"Muy baja";"Muy baja";"Baja";"Media";"Alta";"Muy alta"}),"")</f>
        <v/>
      </c>
      <c r="AF1820" s="30">
        <f>T1820*AD1820</f>
        <v/>
      </c>
      <c r="AG1820" s="28">
        <f>IFERROR(LOOKUP(AF1820,{0;0.5;5;25},{"Bajo";"Medio";"Alto";"Crítico"}),"")</f>
        <v/>
      </c>
      <c r="AH1820" s="28">
        <f>IF(AG1820="","",IF(OR(AG1820="Crítico",AG1820="Alto"),"Mitigar",IF(AG1820="Medio","Mitigar","Aceptar y monitorear")))</f>
        <v/>
      </c>
      <c r="AI1820" s="21" t="n"/>
      <c r="AJ1820" s="21" t="n"/>
      <c r="AK1820" s="20" t="n"/>
      <c r="AL1820" s="77">
        <f>IFERROR(INDEX(MgAmenEfic,MATCH(SUBSTITUTE($H1820,"*","-"),MgAmenClave,0)),0)</f>
        <v/>
      </c>
    </row>
    <row r="1821" hidden="1" ht="90" customHeight="1" s="54">
      <c r="B1821" s="59" t="inlineStr">
        <is>
          <t>R-1816</t>
        </is>
      </c>
      <c r="C1821" s="59" t="inlineStr">
        <is>
          <t>TEC-002</t>
        </is>
      </c>
      <c r="D1821" s="64">
        <f>IFERROR(INDEX(MgNombre,MATCH($C1821,MgActId,0)),"")</f>
        <v/>
      </c>
      <c r="E1821" s="64">
        <f>IFERROR(INDEX(MgProceso,MATCH($C1821,MgActId,0)),"")</f>
        <v/>
      </c>
      <c r="F1821" s="64">
        <f>IFERROR(INDEX(MgTipo,MATCH($C1821,MgActId,0)),"")</f>
        <v/>
      </c>
      <c r="G1821" s="64">
        <f>IFERROR(INDEX(MgSubtipo,MATCH($C1821,MgActId,0)),"")</f>
        <v/>
      </c>
      <c r="H1821" s="59" t="inlineStr">
        <is>
          <t>E.14</t>
        </is>
      </c>
      <c r="I1821" s="64">
        <f>IFERROR(INDEX(MgAmenNombre,MATCH(SUBSTITUTE($H1821,"*","-"),MgAmenClave,0)),"")</f>
        <v/>
      </c>
      <c r="J1821" s="28">
        <f>IFERROR(INDEX(MgAmenGrupo,MATCH(SUBSTITUTE($H1821,"*","-"),MgAmenClave,0)),"")</f>
        <v/>
      </c>
      <c r="K1821" s="64">
        <f>IFERROR(INDEX('1. Matriz de Activos'!$Q$6:$Q$239,MATCH($C1821,MgActId,0)),"")</f>
        <v/>
      </c>
      <c r="L1821" s="64">
        <f>IFERROR(INDEX('1. Matriz de Activos'!$R$6:$R$239,MATCH($C1821,MgActId,0)),"")</f>
        <v/>
      </c>
      <c r="M1821" s="64">
        <f>IFERROR(INDEX('1. Matriz de Activos'!$S$6:$S$239,MATCH($C1821,MgActId,0)),"")</f>
        <v/>
      </c>
      <c r="N1821" s="28">
        <f>IFERROR(INDEX(MgAmenDegD,MATCH(SUBSTITUTE($H1821,"*","-"),MgAmenClave,0)),"No aplica")</f>
        <v/>
      </c>
      <c r="O1821" s="28">
        <f>IFERROR(INDEX(MgAmenDegI,MATCH(SUBSTITUTE($H1821,"*","-"),MgAmenClave,0)),"No aplica")</f>
        <v/>
      </c>
      <c r="P1821" s="28">
        <f>IFERROR(INDEX(MgAmenDegC,MATCH(SUBSTITUTE($H1821,"*","-"),MgAmenClave,0)),"No aplica")</f>
        <v/>
      </c>
      <c r="Q1821" s="29">
        <f>IFERROR(VLOOKUP(K1821,MgValor,2,0)*VLOOKUP(N1821,MgDeg,2,0),0)</f>
        <v/>
      </c>
      <c r="R1821" s="29">
        <f>IFERROR(VLOOKUP(L1821,MgValor,2,0)*VLOOKUP(O1821,MgDeg,2,0),0)</f>
        <v/>
      </c>
      <c r="S1821" s="29">
        <f>IFERROR(VLOOKUP(M1821,MgValor,2,0)*VLOOKUP(P1821,MgDeg,2,0),0)</f>
        <v/>
      </c>
      <c r="T1821" s="30">
        <f>MAX(Q1821:S1821)</f>
        <v/>
      </c>
      <c r="U1821" s="28">
        <f>IFERROR(LOOKUP(T1821,{0;0.5;1.5;3;4.5},{"Despreciable";"Bajo";"Medio";"Alto";"Muy alto"}),"")</f>
        <v/>
      </c>
      <c r="V1821" s="13">
        <f>IFERROR(INDEX(MgAmenFrec,MATCH(SUBSTITUTE($H1821,"*","-"),MgAmenClave,0)),"")</f>
        <v/>
      </c>
      <c r="W1821" s="28">
        <f>IFERROR(LOOKUP(X1821,{0;0.01;0.1;1;10;100},{"Muy baja";"Muy baja";"Baja";"Media";"Alta";"Muy alta"}),"")</f>
        <v/>
      </c>
      <c r="X1821" s="31">
        <f>IFERROR(VLOOKUP(V1821,MgFrec,2,0),0)</f>
        <v/>
      </c>
      <c r="Y1821" s="30">
        <f>T1821*X1821</f>
        <v/>
      </c>
      <c r="Z1821" s="28">
        <f>IFERROR(LOOKUP(Y1821,{0;0.5;5;25},{"Bajo";"Medio";"Alto";"Crítico"}),"")</f>
        <v/>
      </c>
      <c r="AA1821" s="64">
        <f>IF(T1821&gt;=3,IF(X1821&gt;=1,"Zona 1 — Crítica: impacto alto y ocurre al menos una vez al año","Zona 4 — Catastrófica poco probable: impacto alto pero excepcional"),IF(AND(T1821&lt;1.5,X1821&lt;1),"Zona 3 — Asumible: impacto bajo y muy poco frecuente","Zona 2 — Atención: riesgo intermedio"))</f>
        <v/>
      </c>
      <c r="AB1821" s="64">
        <f>IFERROR(INDEX(MgAmenCtrl,MATCH(SUBSTITUTE($H1821,"*","-"),MgAmenClave,0)),"")</f>
        <v/>
      </c>
      <c r="AC1821" s="20" t="n"/>
      <c r="AD1821" s="31">
        <f>IFERROR($X1821*(1-IF($AC1821="",$AL1821,VLOOKUP($AC1821,MgMad,2,0))),"")</f>
        <v/>
      </c>
      <c r="AE1821" s="28">
        <f>IFERROR(LOOKUP(AD1821,{0;0.01;0.1;1;10;100},{"Muy baja";"Muy baja";"Baja";"Media";"Alta";"Muy alta"}),"")</f>
        <v/>
      </c>
      <c r="AF1821" s="30">
        <f>T1821*AD1821</f>
        <v/>
      </c>
      <c r="AG1821" s="28">
        <f>IFERROR(LOOKUP(AF1821,{0;0.5;5;25},{"Bajo";"Medio";"Alto";"Crítico"}),"")</f>
        <v/>
      </c>
      <c r="AH1821" s="28">
        <f>IF(AG1821="","",IF(OR(AG1821="Crítico",AG1821="Alto"),"Mitigar",IF(AG1821="Medio","Mitigar","Aceptar y monitorear")))</f>
        <v/>
      </c>
      <c r="AI1821" s="21" t="n"/>
      <c r="AJ1821" s="21" t="n"/>
      <c r="AK1821" s="20" t="n"/>
      <c r="AL1821" s="77">
        <f>IFERROR(INDEX(MgAmenEfic,MATCH(SUBSTITUTE($H1821,"*","-"),MgAmenClave,0)),0)</f>
        <v/>
      </c>
    </row>
    <row r="1822" hidden="1" ht="90" customHeight="1" s="54">
      <c r="B1822" s="59" t="inlineStr">
        <is>
          <t>R-1817</t>
        </is>
      </c>
      <c r="C1822" s="59" t="inlineStr">
        <is>
          <t>TEC-002</t>
        </is>
      </c>
      <c r="D1822" s="64">
        <f>IFERROR(INDEX(MgNombre,MATCH($C1822,MgActId,0)),"")</f>
        <v/>
      </c>
      <c r="E1822" s="64">
        <f>IFERROR(INDEX(MgProceso,MATCH($C1822,MgActId,0)),"")</f>
        <v/>
      </c>
      <c r="F1822" s="64">
        <f>IFERROR(INDEX(MgTipo,MATCH($C1822,MgActId,0)),"")</f>
        <v/>
      </c>
      <c r="G1822" s="64">
        <f>IFERROR(INDEX(MgSubtipo,MATCH($C1822,MgActId,0)),"")</f>
        <v/>
      </c>
      <c r="H1822" s="59" t="inlineStr">
        <is>
          <t>E.15</t>
        </is>
      </c>
      <c r="I1822" s="64">
        <f>IFERROR(INDEX(MgAmenNombre,MATCH(SUBSTITUTE($H1822,"*","-"),MgAmenClave,0)),"")</f>
        <v/>
      </c>
      <c r="J1822" s="28">
        <f>IFERROR(INDEX(MgAmenGrupo,MATCH(SUBSTITUTE($H1822,"*","-"),MgAmenClave,0)),"")</f>
        <v/>
      </c>
      <c r="K1822" s="64">
        <f>IFERROR(INDEX('1. Matriz de Activos'!$Q$6:$Q$239,MATCH($C1822,MgActId,0)),"")</f>
        <v/>
      </c>
      <c r="L1822" s="64">
        <f>IFERROR(INDEX('1. Matriz de Activos'!$R$6:$R$239,MATCH($C1822,MgActId,0)),"")</f>
        <v/>
      </c>
      <c r="M1822" s="64">
        <f>IFERROR(INDEX('1. Matriz de Activos'!$S$6:$S$239,MATCH($C1822,MgActId,0)),"")</f>
        <v/>
      </c>
      <c r="N1822" s="28">
        <f>IFERROR(INDEX(MgAmenDegD,MATCH(SUBSTITUTE($H1822,"*","-"),MgAmenClave,0)),"No aplica")</f>
        <v/>
      </c>
      <c r="O1822" s="28">
        <f>IFERROR(INDEX(MgAmenDegI,MATCH(SUBSTITUTE($H1822,"*","-"),MgAmenClave,0)),"No aplica")</f>
        <v/>
      </c>
      <c r="P1822" s="28">
        <f>IFERROR(INDEX(MgAmenDegC,MATCH(SUBSTITUTE($H1822,"*","-"),MgAmenClave,0)),"No aplica")</f>
        <v/>
      </c>
      <c r="Q1822" s="29">
        <f>IFERROR(VLOOKUP(K1822,MgValor,2,0)*VLOOKUP(N1822,MgDeg,2,0),0)</f>
        <v/>
      </c>
      <c r="R1822" s="29">
        <f>IFERROR(VLOOKUP(L1822,MgValor,2,0)*VLOOKUP(O1822,MgDeg,2,0),0)</f>
        <v/>
      </c>
      <c r="S1822" s="29">
        <f>IFERROR(VLOOKUP(M1822,MgValor,2,0)*VLOOKUP(P1822,MgDeg,2,0),0)</f>
        <v/>
      </c>
      <c r="T1822" s="30">
        <f>MAX(Q1822:S1822)</f>
        <v/>
      </c>
      <c r="U1822" s="28">
        <f>IFERROR(LOOKUP(T1822,{0;0.5;1.5;3;4.5},{"Despreciable";"Bajo";"Medio";"Alto";"Muy alto"}),"")</f>
        <v/>
      </c>
      <c r="V1822" s="13">
        <f>IFERROR(INDEX(MgAmenFrec,MATCH(SUBSTITUTE($H1822,"*","-"),MgAmenClave,0)),"")</f>
        <v/>
      </c>
      <c r="W1822" s="28">
        <f>IFERROR(LOOKUP(X1822,{0;0.01;0.1;1;10;100},{"Muy baja";"Muy baja";"Baja";"Media";"Alta";"Muy alta"}),"")</f>
        <v/>
      </c>
      <c r="X1822" s="31">
        <f>IFERROR(VLOOKUP(V1822,MgFrec,2,0),0)</f>
        <v/>
      </c>
      <c r="Y1822" s="30">
        <f>T1822*X1822</f>
        <v/>
      </c>
      <c r="Z1822" s="28">
        <f>IFERROR(LOOKUP(Y1822,{0;0.5;5;25},{"Bajo";"Medio";"Alto";"Crítico"}),"")</f>
        <v/>
      </c>
      <c r="AA1822" s="64">
        <f>IF(T1822&gt;=3,IF(X1822&gt;=1,"Zona 1 — Crítica: impacto alto y ocurre al menos una vez al año","Zona 4 — Catastrófica poco probable: impacto alto pero excepcional"),IF(AND(T1822&lt;1.5,X1822&lt;1),"Zona 3 — Asumible: impacto bajo y muy poco frecuente","Zona 2 — Atención: riesgo intermedio"))</f>
        <v/>
      </c>
      <c r="AB1822" s="64">
        <f>IFERROR(INDEX(MgAmenCtrl,MATCH(SUBSTITUTE($H1822,"*","-"),MgAmenClave,0)),"")</f>
        <v/>
      </c>
      <c r="AC1822" s="20" t="n"/>
      <c r="AD1822" s="31">
        <f>IFERROR($X1822*(1-IF($AC1822="",$AL1822,VLOOKUP($AC1822,MgMad,2,0))),"")</f>
        <v/>
      </c>
      <c r="AE1822" s="28">
        <f>IFERROR(LOOKUP(AD1822,{0;0.01;0.1;1;10;100},{"Muy baja";"Muy baja";"Baja";"Media";"Alta";"Muy alta"}),"")</f>
        <v/>
      </c>
      <c r="AF1822" s="30">
        <f>T1822*AD1822</f>
        <v/>
      </c>
      <c r="AG1822" s="28">
        <f>IFERROR(LOOKUP(AF1822,{0;0.5;5;25},{"Bajo";"Medio";"Alto";"Crítico"}),"")</f>
        <v/>
      </c>
      <c r="AH1822" s="28">
        <f>IF(AG1822="","",IF(OR(AG1822="Crítico",AG1822="Alto"),"Mitigar",IF(AG1822="Medio","Mitigar","Aceptar y monitorear")))</f>
        <v/>
      </c>
      <c r="AI1822" s="21" t="n"/>
      <c r="AJ1822" s="21" t="n"/>
      <c r="AK1822" s="20" t="n"/>
      <c r="AL1822" s="77">
        <f>IFERROR(INDEX(MgAmenEfic,MATCH(SUBSTITUTE($H1822,"*","-"),MgAmenClave,0)),0)</f>
        <v/>
      </c>
    </row>
    <row r="1823" hidden="1" ht="60" customHeight="1" s="54">
      <c r="B1823" s="59" t="inlineStr">
        <is>
          <t>R-1818</t>
        </is>
      </c>
      <c r="C1823" s="59" t="inlineStr">
        <is>
          <t>TEC-002</t>
        </is>
      </c>
      <c r="D1823" s="64">
        <f>IFERROR(INDEX(MgNombre,MATCH($C1823,MgActId,0)),"")</f>
        <v/>
      </c>
      <c r="E1823" s="64">
        <f>IFERROR(INDEX(MgProceso,MATCH($C1823,MgActId,0)),"")</f>
        <v/>
      </c>
      <c r="F1823" s="64">
        <f>IFERROR(INDEX(MgTipo,MATCH($C1823,MgActId,0)),"")</f>
        <v/>
      </c>
      <c r="G1823" s="64">
        <f>IFERROR(INDEX(MgSubtipo,MATCH($C1823,MgActId,0)),"")</f>
        <v/>
      </c>
      <c r="H1823" s="59" t="inlineStr">
        <is>
          <t>E.18</t>
        </is>
      </c>
      <c r="I1823" s="64">
        <f>IFERROR(INDEX(MgAmenNombre,MATCH(SUBSTITUTE($H1823,"*","-"),MgAmenClave,0)),"")</f>
        <v/>
      </c>
      <c r="J1823" s="28">
        <f>IFERROR(INDEX(MgAmenGrupo,MATCH(SUBSTITUTE($H1823,"*","-"),MgAmenClave,0)),"")</f>
        <v/>
      </c>
      <c r="K1823" s="64">
        <f>IFERROR(INDEX('1. Matriz de Activos'!$Q$6:$Q$239,MATCH($C1823,MgActId,0)),"")</f>
        <v/>
      </c>
      <c r="L1823" s="64">
        <f>IFERROR(INDEX('1. Matriz de Activos'!$R$6:$R$239,MATCH($C1823,MgActId,0)),"")</f>
        <v/>
      </c>
      <c r="M1823" s="64">
        <f>IFERROR(INDEX('1. Matriz de Activos'!$S$6:$S$239,MATCH($C1823,MgActId,0)),"")</f>
        <v/>
      </c>
      <c r="N1823" s="28">
        <f>IFERROR(INDEX(MgAmenDegD,MATCH(SUBSTITUTE($H1823,"*","-"),MgAmenClave,0)),"No aplica")</f>
        <v/>
      </c>
      <c r="O1823" s="28">
        <f>IFERROR(INDEX(MgAmenDegI,MATCH(SUBSTITUTE($H1823,"*","-"),MgAmenClave,0)),"No aplica")</f>
        <v/>
      </c>
      <c r="P1823" s="28">
        <f>IFERROR(INDEX(MgAmenDegC,MATCH(SUBSTITUTE($H1823,"*","-"),MgAmenClave,0)),"No aplica")</f>
        <v/>
      </c>
      <c r="Q1823" s="29">
        <f>IFERROR(VLOOKUP(K1823,MgValor,2,0)*VLOOKUP(N1823,MgDeg,2,0),0)</f>
        <v/>
      </c>
      <c r="R1823" s="29">
        <f>IFERROR(VLOOKUP(L1823,MgValor,2,0)*VLOOKUP(O1823,MgDeg,2,0),0)</f>
        <v/>
      </c>
      <c r="S1823" s="29">
        <f>IFERROR(VLOOKUP(M1823,MgValor,2,0)*VLOOKUP(P1823,MgDeg,2,0),0)</f>
        <v/>
      </c>
      <c r="T1823" s="30">
        <f>MAX(Q1823:S1823)</f>
        <v/>
      </c>
      <c r="U1823" s="28">
        <f>IFERROR(LOOKUP(T1823,{0;0.5;1.5;3;4.5},{"Despreciable";"Bajo";"Medio";"Alto";"Muy alto"}),"")</f>
        <v/>
      </c>
      <c r="V1823" s="13">
        <f>IFERROR(INDEX(MgAmenFrec,MATCH(SUBSTITUTE($H1823,"*","-"),MgAmenClave,0)),"")</f>
        <v/>
      </c>
      <c r="W1823" s="28">
        <f>IFERROR(LOOKUP(X1823,{0;0.01;0.1;1;10;100},{"Muy baja";"Muy baja";"Baja";"Media";"Alta";"Muy alta"}),"")</f>
        <v/>
      </c>
      <c r="X1823" s="31">
        <f>IFERROR(VLOOKUP(V1823,MgFrec,2,0),0)</f>
        <v/>
      </c>
      <c r="Y1823" s="30">
        <f>T1823*X1823</f>
        <v/>
      </c>
      <c r="Z1823" s="28">
        <f>IFERROR(LOOKUP(Y1823,{0;0.5;5;25},{"Bajo";"Medio";"Alto";"Crítico"}),"")</f>
        <v/>
      </c>
      <c r="AA1823" s="64">
        <f>IF(T1823&gt;=3,IF(X1823&gt;=1,"Zona 1 — Crítica: impacto alto y ocurre al menos una vez al año","Zona 4 — Catastrófica poco probable: impacto alto pero excepcional"),IF(AND(T1823&lt;1.5,X1823&lt;1),"Zona 3 — Asumible: impacto bajo y muy poco frecuente","Zona 2 — Atención: riesgo intermedio"))</f>
        <v/>
      </c>
      <c r="AB1823" s="64">
        <f>IFERROR(INDEX(MgAmenCtrl,MATCH(SUBSTITUTE($H1823,"*","-"),MgAmenClave,0)),"")</f>
        <v/>
      </c>
      <c r="AC1823" s="20" t="n"/>
      <c r="AD1823" s="31">
        <f>IFERROR($X1823*(1-IF($AC1823="",$AL1823,VLOOKUP($AC1823,MgMad,2,0))),"")</f>
        <v/>
      </c>
      <c r="AE1823" s="28">
        <f>IFERROR(LOOKUP(AD1823,{0;0.01;0.1;1;10;100},{"Muy baja";"Muy baja";"Baja";"Media";"Alta";"Muy alta"}),"")</f>
        <v/>
      </c>
      <c r="AF1823" s="30">
        <f>T1823*AD1823</f>
        <v/>
      </c>
      <c r="AG1823" s="28">
        <f>IFERROR(LOOKUP(AF1823,{0;0.5;5;25},{"Bajo";"Medio";"Alto";"Crítico"}),"")</f>
        <v/>
      </c>
      <c r="AH1823" s="28">
        <f>IF(AG1823="","",IF(OR(AG1823="Crítico",AG1823="Alto"),"Mitigar",IF(AG1823="Medio","Mitigar","Aceptar y monitorear")))</f>
        <v/>
      </c>
      <c r="AI1823" s="21" t="n"/>
      <c r="AJ1823" s="21" t="n"/>
      <c r="AK1823" s="20" t="n"/>
      <c r="AL1823" s="77">
        <f>IFERROR(INDEX(MgAmenEfic,MATCH(SUBSTITUTE($H1823,"*","-"),MgAmenClave,0)),0)</f>
        <v/>
      </c>
    </row>
    <row r="1824" hidden="1" ht="105" customHeight="1" s="54">
      <c r="B1824" s="59" t="inlineStr">
        <is>
          <t>R-1819</t>
        </is>
      </c>
      <c r="C1824" s="59" t="inlineStr">
        <is>
          <t>TEC-002</t>
        </is>
      </c>
      <c r="D1824" s="64">
        <f>IFERROR(INDEX(MgNombre,MATCH($C1824,MgActId,0)),"")</f>
        <v/>
      </c>
      <c r="E1824" s="64">
        <f>IFERROR(INDEX(MgProceso,MATCH($C1824,MgActId,0)),"")</f>
        <v/>
      </c>
      <c r="F1824" s="64">
        <f>IFERROR(INDEX(MgTipo,MATCH($C1824,MgActId,0)),"")</f>
        <v/>
      </c>
      <c r="G1824" s="64">
        <f>IFERROR(INDEX(MgSubtipo,MATCH($C1824,MgActId,0)),"")</f>
        <v/>
      </c>
      <c r="H1824" s="59" t="inlineStr">
        <is>
          <t>E.19</t>
        </is>
      </c>
      <c r="I1824" s="64">
        <f>IFERROR(INDEX(MgAmenNombre,MATCH(SUBSTITUTE($H1824,"*","-"),MgAmenClave,0)),"")</f>
        <v/>
      </c>
      <c r="J1824" s="28">
        <f>IFERROR(INDEX(MgAmenGrupo,MATCH(SUBSTITUTE($H1824,"*","-"),MgAmenClave,0)),"")</f>
        <v/>
      </c>
      <c r="K1824" s="64">
        <f>IFERROR(INDEX('1. Matriz de Activos'!$Q$6:$Q$239,MATCH($C1824,MgActId,0)),"")</f>
        <v/>
      </c>
      <c r="L1824" s="64">
        <f>IFERROR(INDEX('1. Matriz de Activos'!$R$6:$R$239,MATCH($C1824,MgActId,0)),"")</f>
        <v/>
      </c>
      <c r="M1824" s="64">
        <f>IFERROR(INDEX('1. Matriz de Activos'!$S$6:$S$239,MATCH($C1824,MgActId,0)),"")</f>
        <v/>
      </c>
      <c r="N1824" s="28">
        <f>IFERROR(INDEX(MgAmenDegD,MATCH(SUBSTITUTE($H1824,"*","-"),MgAmenClave,0)),"No aplica")</f>
        <v/>
      </c>
      <c r="O1824" s="28">
        <f>IFERROR(INDEX(MgAmenDegI,MATCH(SUBSTITUTE($H1824,"*","-"),MgAmenClave,0)),"No aplica")</f>
        <v/>
      </c>
      <c r="P1824" s="28">
        <f>IFERROR(INDEX(MgAmenDegC,MATCH(SUBSTITUTE($H1824,"*","-"),MgAmenClave,0)),"No aplica")</f>
        <v/>
      </c>
      <c r="Q1824" s="29">
        <f>IFERROR(VLOOKUP(K1824,MgValor,2,0)*VLOOKUP(N1824,MgDeg,2,0),0)</f>
        <v/>
      </c>
      <c r="R1824" s="29">
        <f>IFERROR(VLOOKUP(L1824,MgValor,2,0)*VLOOKUP(O1824,MgDeg,2,0),0)</f>
        <v/>
      </c>
      <c r="S1824" s="29">
        <f>IFERROR(VLOOKUP(M1824,MgValor,2,0)*VLOOKUP(P1824,MgDeg,2,0),0)</f>
        <v/>
      </c>
      <c r="T1824" s="30">
        <f>MAX(Q1824:S1824)</f>
        <v/>
      </c>
      <c r="U1824" s="28">
        <f>IFERROR(LOOKUP(T1824,{0;0.5;1.5;3;4.5},{"Despreciable";"Bajo";"Medio";"Alto";"Muy alto"}),"")</f>
        <v/>
      </c>
      <c r="V1824" s="13">
        <f>IFERROR(INDEX(MgAmenFrec,MATCH(SUBSTITUTE($H1824,"*","-"),MgAmenClave,0)),"")</f>
        <v/>
      </c>
      <c r="W1824" s="28">
        <f>IFERROR(LOOKUP(X1824,{0;0.01;0.1;1;10;100},{"Muy baja";"Muy baja";"Baja";"Media";"Alta";"Muy alta"}),"")</f>
        <v/>
      </c>
      <c r="X1824" s="31">
        <f>IFERROR(VLOOKUP(V1824,MgFrec,2,0),0)</f>
        <v/>
      </c>
      <c r="Y1824" s="30">
        <f>T1824*X1824</f>
        <v/>
      </c>
      <c r="Z1824" s="28">
        <f>IFERROR(LOOKUP(Y1824,{0;0.5;5;25},{"Bajo";"Medio";"Alto";"Crítico"}),"")</f>
        <v/>
      </c>
      <c r="AA1824" s="64">
        <f>IF(T1824&gt;=3,IF(X1824&gt;=1,"Zona 1 — Crítica: impacto alto y ocurre al menos una vez al año","Zona 4 — Catastrófica poco probable: impacto alto pero excepcional"),IF(AND(T1824&lt;1.5,X1824&lt;1),"Zona 3 — Asumible: impacto bajo y muy poco frecuente","Zona 2 — Atención: riesgo intermedio"))</f>
        <v/>
      </c>
      <c r="AB1824" s="64">
        <f>IFERROR(INDEX(MgAmenCtrl,MATCH(SUBSTITUTE($H1824,"*","-"),MgAmenClave,0)),"")</f>
        <v/>
      </c>
      <c r="AC1824" s="20" t="n"/>
      <c r="AD1824" s="31">
        <f>IFERROR($X1824*(1-IF($AC1824="",$AL1824,VLOOKUP($AC1824,MgMad,2,0))),"")</f>
        <v/>
      </c>
      <c r="AE1824" s="28">
        <f>IFERROR(LOOKUP(AD1824,{0;0.01;0.1;1;10;100},{"Muy baja";"Muy baja";"Baja";"Media";"Alta";"Muy alta"}),"")</f>
        <v/>
      </c>
      <c r="AF1824" s="30">
        <f>T1824*AD1824</f>
        <v/>
      </c>
      <c r="AG1824" s="28">
        <f>IFERROR(LOOKUP(AF1824,{0;0.5;5;25},{"Bajo";"Medio";"Alto";"Crítico"}),"")</f>
        <v/>
      </c>
      <c r="AH1824" s="28">
        <f>IF(AG1824="","",IF(OR(AG1824="Crítico",AG1824="Alto"),"Mitigar",IF(AG1824="Medio","Mitigar","Aceptar y monitorear")))</f>
        <v/>
      </c>
      <c r="AI1824" s="21" t="n"/>
      <c r="AJ1824" s="21" t="n"/>
      <c r="AK1824" s="20" t="n"/>
      <c r="AL1824" s="77">
        <f>IFERROR(INDEX(MgAmenEfic,MATCH(SUBSTITUTE($H1824,"*","-"),MgAmenClave,0)),0)</f>
        <v/>
      </c>
    </row>
    <row r="1825" hidden="1" ht="105" customHeight="1" s="54">
      <c r="B1825" s="59" t="inlineStr">
        <is>
          <t>R-1820</t>
        </is>
      </c>
      <c r="C1825" s="59" t="inlineStr">
        <is>
          <t>TEC-002</t>
        </is>
      </c>
      <c r="D1825" s="64">
        <f>IFERROR(INDEX(MgNombre,MATCH($C1825,MgActId,0)),"")</f>
        <v/>
      </c>
      <c r="E1825" s="64">
        <f>IFERROR(INDEX(MgProceso,MATCH($C1825,MgActId,0)),"")</f>
        <v/>
      </c>
      <c r="F1825" s="64">
        <f>IFERROR(INDEX(MgTipo,MATCH($C1825,MgActId,0)),"")</f>
        <v/>
      </c>
      <c r="G1825" s="64">
        <f>IFERROR(INDEX(MgSubtipo,MATCH($C1825,MgActId,0)),"")</f>
        <v/>
      </c>
      <c r="H1825" s="59" t="inlineStr">
        <is>
          <t>E.20</t>
        </is>
      </c>
      <c r="I1825" s="64">
        <f>IFERROR(INDEX(MgAmenNombre,MATCH(SUBSTITUTE($H1825,"*","-"),MgAmenClave,0)),"")</f>
        <v/>
      </c>
      <c r="J1825" s="28">
        <f>IFERROR(INDEX(MgAmenGrupo,MATCH(SUBSTITUTE($H1825,"*","-"),MgAmenClave,0)),"")</f>
        <v/>
      </c>
      <c r="K1825" s="64">
        <f>IFERROR(INDEX('1. Matriz de Activos'!$Q$6:$Q$239,MATCH($C1825,MgActId,0)),"")</f>
        <v/>
      </c>
      <c r="L1825" s="64">
        <f>IFERROR(INDEX('1. Matriz de Activos'!$R$6:$R$239,MATCH($C1825,MgActId,0)),"")</f>
        <v/>
      </c>
      <c r="M1825" s="64">
        <f>IFERROR(INDEX('1. Matriz de Activos'!$S$6:$S$239,MATCH($C1825,MgActId,0)),"")</f>
        <v/>
      </c>
      <c r="N1825" s="28">
        <f>IFERROR(INDEX(MgAmenDegD,MATCH(SUBSTITUTE($H1825,"*","-"),MgAmenClave,0)),"No aplica")</f>
        <v/>
      </c>
      <c r="O1825" s="28">
        <f>IFERROR(INDEX(MgAmenDegI,MATCH(SUBSTITUTE($H1825,"*","-"),MgAmenClave,0)),"No aplica")</f>
        <v/>
      </c>
      <c r="P1825" s="28">
        <f>IFERROR(INDEX(MgAmenDegC,MATCH(SUBSTITUTE($H1825,"*","-"),MgAmenClave,0)),"No aplica")</f>
        <v/>
      </c>
      <c r="Q1825" s="29">
        <f>IFERROR(VLOOKUP(K1825,MgValor,2,0)*VLOOKUP(N1825,MgDeg,2,0),0)</f>
        <v/>
      </c>
      <c r="R1825" s="29">
        <f>IFERROR(VLOOKUP(L1825,MgValor,2,0)*VLOOKUP(O1825,MgDeg,2,0),0)</f>
        <v/>
      </c>
      <c r="S1825" s="29">
        <f>IFERROR(VLOOKUP(M1825,MgValor,2,0)*VLOOKUP(P1825,MgDeg,2,0),0)</f>
        <v/>
      </c>
      <c r="T1825" s="30">
        <f>MAX(Q1825:S1825)</f>
        <v/>
      </c>
      <c r="U1825" s="28">
        <f>IFERROR(LOOKUP(T1825,{0;0.5;1.5;3;4.5},{"Despreciable";"Bajo";"Medio";"Alto";"Muy alto"}),"")</f>
        <v/>
      </c>
      <c r="V1825" s="13">
        <f>IFERROR(INDEX(MgAmenFrec,MATCH(SUBSTITUTE($H1825,"*","-"),MgAmenClave,0)),"")</f>
        <v/>
      </c>
      <c r="W1825" s="28">
        <f>IFERROR(LOOKUP(X1825,{0;0.01;0.1;1;10;100},{"Muy baja";"Muy baja";"Baja";"Media";"Alta";"Muy alta"}),"")</f>
        <v/>
      </c>
      <c r="X1825" s="31">
        <f>IFERROR(VLOOKUP(V1825,MgFrec,2,0),0)</f>
        <v/>
      </c>
      <c r="Y1825" s="30">
        <f>T1825*X1825</f>
        <v/>
      </c>
      <c r="Z1825" s="28">
        <f>IFERROR(LOOKUP(Y1825,{0;0.5;5;25},{"Bajo";"Medio";"Alto";"Crítico"}),"")</f>
        <v/>
      </c>
      <c r="AA1825" s="64">
        <f>IF(T1825&gt;=3,IF(X1825&gt;=1,"Zona 1 — Crítica: impacto alto y ocurre al menos una vez al año","Zona 4 — Catastrófica poco probable: impacto alto pero excepcional"),IF(AND(T1825&lt;1.5,X1825&lt;1),"Zona 3 — Asumible: impacto bajo y muy poco frecuente","Zona 2 — Atención: riesgo intermedio"))</f>
        <v/>
      </c>
      <c r="AB1825" s="64">
        <f>IFERROR(INDEX(MgAmenCtrl,MATCH(SUBSTITUTE($H1825,"*","-"),MgAmenClave,0)),"")</f>
        <v/>
      </c>
      <c r="AC1825" s="20" t="n"/>
      <c r="AD1825" s="31">
        <f>IFERROR($X1825*(1-IF($AC1825="",$AL1825,VLOOKUP($AC1825,MgMad,2,0))),"")</f>
        <v/>
      </c>
      <c r="AE1825" s="28">
        <f>IFERROR(LOOKUP(AD1825,{0;0.01;0.1;1;10;100},{"Muy baja";"Muy baja";"Baja";"Media";"Alta";"Muy alta"}),"")</f>
        <v/>
      </c>
      <c r="AF1825" s="30">
        <f>T1825*AD1825</f>
        <v/>
      </c>
      <c r="AG1825" s="28">
        <f>IFERROR(LOOKUP(AF1825,{0;0.5;5;25},{"Bajo";"Medio";"Alto";"Crítico"}),"")</f>
        <v/>
      </c>
      <c r="AH1825" s="28">
        <f>IF(AG1825="","",IF(OR(AG1825="Crítico",AG1825="Alto"),"Mitigar",IF(AG1825="Medio","Mitigar","Aceptar y monitorear")))</f>
        <v/>
      </c>
      <c r="AI1825" s="21" t="n"/>
      <c r="AJ1825" s="21" t="n"/>
      <c r="AK1825" s="20" t="n"/>
      <c r="AL1825" s="77">
        <f>IFERROR(INDEX(MgAmenEfic,MATCH(SUBSTITUTE($H1825,"*","-"),MgAmenClave,0)),0)</f>
        <v/>
      </c>
    </row>
    <row r="1826" hidden="1" ht="75" customHeight="1" s="54">
      <c r="B1826" s="59" t="inlineStr">
        <is>
          <t>R-1821</t>
        </is>
      </c>
      <c r="C1826" s="59" t="inlineStr">
        <is>
          <t>TEC-002</t>
        </is>
      </c>
      <c r="D1826" s="64">
        <f>IFERROR(INDEX(MgNombre,MATCH($C1826,MgActId,0)),"")</f>
        <v/>
      </c>
      <c r="E1826" s="64">
        <f>IFERROR(INDEX(MgProceso,MATCH($C1826,MgActId,0)),"")</f>
        <v/>
      </c>
      <c r="F1826" s="64">
        <f>IFERROR(INDEX(MgTipo,MATCH($C1826,MgActId,0)),"")</f>
        <v/>
      </c>
      <c r="G1826" s="64">
        <f>IFERROR(INDEX(MgSubtipo,MATCH($C1826,MgActId,0)),"")</f>
        <v/>
      </c>
      <c r="H1826" s="59" t="inlineStr">
        <is>
          <t>E.21</t>
        </is>
      </c>
      <c r="I1826" s="64">
        <f>IFERROR(INDEX(MgAmenNombre,MATCH(SUBSTITUTE($H1826,"*","-"),MgAmenClave,0)),"")</f>
        <v/>
      </c>
      <c r="J1826" s="28">
        <f>IFERROR(INDEX(MgAmenGrupo,MATCH(SUBSTITUTE($H1826,"*","-"),MgAmenClave,0)),"")</f>
        <v/>
      </c>
      <c r="K1826" s="64">
        <f>IFERROR(INDEX('1. Matriz de Activos'!$Q$6:$Q$239,MATCH($C1826,MgActId,0)),"")</f>
        <v/>
      </c>
      <c r="L1826" s="64">
        <f>IFERROR(INDEX('1. Matriz de Activos'!$R$6:$R$239,MATCH($C1826,MgActId,0)),"")</f>
        <v/>
      </c>
      <c r="M1826" s="64">
        <f>IFERROR(INDEX('1. Matriz de Activos'!$S$6:$S$239,MATCH($C1826,MgActId,0)),"")</f>
        <v/>
      </c>
      <c r="N1826" s="28">
        <f>IFERROR(INDEX(MgAmenDegD,MATCH(SUBSTITUTE($H1826,"*","-"),MgAmenClave,0)),"No aplica")</f>
        <v/>
      </c>
      <c r="O1826" s="28">
        <f>IFERROR(INDEX(MgAmenDegI,MATCH(SUBSTITUTE($H1826,"*","-"),MgAmenClave,0)),"No aplica")</f>
        <v/>
      </c>
      <c r="P1826" s="28">
        <f>IFERROR(INDEX(MgAmenDegC,MATCH(SUBSTITUTE($H1826,"*","-"),MgAmenClave,0)),"No aplica")</f>
        <v/>
      </c>
      <c r="Q1826" s="29">
        <f>IFERROR(VLOOKUP(K1826,MgValor,2,0)*VLOOKUP(N1826,MgDeg,2,0),0)</f>
        <v/>
      </c>
      <c r="R1826" s="29">
        <f>IFERROR(VLOOKUP(L1826,MgValor,2,0)*VLOOKUP(O1826,MgDeg,2,0),0)</f>
        <v/>
      </c>
      <c r="S1826" s="29">
        <f>IFERROR(VLOOKUP(M1826,MgValor,2,0)*VLOOKUP(P1826,MgDeg,2,0),0)</f>
        <v/>
      </c>
      <c r="T1826" s="30">
        <f>MAX(Q1826:S1826)</f>
        <v/>
      </c>
      <c r="U1826" s="28">
        <f>IFERROR(LOOKUP(T1826,{0;0.5;1.5;3;4.5},{"Despreciable";"Bajo";"Medio";"Alto";"Muy alto"}),"")</f>
        <v/>
      </c>
      <c r="V1826" s="13">
        <f>IFERROR(INDEX(MgAmenFrec,MATCH(SUBSTITUTE($H1826,"*","-"),MgAmenClave,0)),"")</f>
        <v/>
      </c>
      <c r="W1826" s="28">
        <f>IFERROR(LOOKUP(X1826,{0;0.01;0.1;1;10;100},{"Muy baja";"Muy baja";"Baja";"Media";"Alta";"Muy alta"}),"")</f>
        <v/>
      </c>
      <c r="X1826" s="31">
        <f>IFERROR(VLOOKUP(V1826,MgFrec,2,0),0)</f>
        <v/>
      </c>
      <c r="Y1826" s="30">
        <f>T1826*X1826</f>
        <v/>
      </c>
      <c r="Z1826" s="28">
        <f>IFERROR(LOOKUP(Y1826,{0;0.5;5;25},{"Bajo";"Medio";"Alto";"Crítico"}),"")</f>
        <v/>
      </c>
      <c r="AA1826" s="64">
        <f>IF(T1826&gt;=3,IF(X1826&gt;=1,"Zona 1 — Crítica: impacto alto y ocurre al menos una vez al año","Zona 4 — Catastrófica poco probable: impacto alto pero excepcional"),IF(AND(T1826&lt;1.5,X1826&lt;1),"Zona 3 — Asumible: impacto bajo y muy poco frecuente","Zona 2 — Atención: riesgo intermedio"))</f>
        <v/>
      </c>
      <c r="AB1826" s="64">
        <f>IFERROR(INDEX(MgAmenCtrl,MATCH(SUBSTITUTE($H1826,"*","-"),MgAmenClave,0)),"")</f>
        <v/>
      </c>
      <c r="AC1826" s="20" t="n"/>
      <c r="AD1826" s="31">
        <f>IFERROR($X1826*(1-IF($AC1826="",$AL1826,VLOOKUP($AC1826,MgMad,2,0))),"")</f>
        <v/>
      </c>
      <c r="AE1826" s="28">
        <f>IFERROR(LOOKUP(AD1826,{0;0.01;0.1;1;10;100},{"Muy baja";"Muy baja";"Baja";"Media";"Alta";"Muy alta"}),"")</f>
        <v/>
      </c>
      <c r="AF1826" s="30">
        <f>T1826*AD1826</f>
        <v/>
      </c>
      <c r="AG1826" s="28">
        <f>IFERROR(LOOKUP(AF1826,{0;0.5;5;25},{"Bajo";"Medio";"Alto";"Crítico"}),"")</f>
        <v/>
      </c>
      <c r="AH1826" s="28">
        <f>IF(AG1826="","",IF(OR(AG1826="Crítico",AG1826="Alto"),"Mitigar",IF(AG1826="Medio","Mitigar","Aceptar y monitorear")))</f>
        <v/>
      </c>
      <c r="AI1826" s="21" t="n"/>
      <c r="AJ1826" s="21" t="n"/>
      <c r="AK1826" s="20" t="n"/>
      <c r="AL1826" s="77">
        <f>IFERROR(INDEX(MgAmenEfic,MATCH(SUBSTITUTE($H1826,"*","-"),MgAmenClave,0)),0)</f>
        <v/>
      </c>
    </row>
    <row r="1827" hidden="1" ht="75" customHeight="1" s="54">
      <c r="B1827" s="59" t="inlineStr">
        <is>
          <t>R-1822</t>
        </is>
      </c>
      <c r="C1827" s="59" t="inlineStr">
        <is>
          <t>TEC-002</t>
        </is>
      </c>
      <c r="D1827" s="64">
        <f>IFERROR(INDEX(MgNombre,MATCH($C1827,MgActId,0)),"")</f>
        <v/>
      </c>
      <c r="E1827" s="64">
        <f>IFERROR(INDEX(MgProceso,MATCH($C1827,MgActId,0)),"")</f>
        <v/>
      </c>
      <c r="F1827" s="64">
        <f>IFERROR(INDEX(MgTipo,MATCH($C1827,MgActId,0)),"")</f>
        <v/>
      </c>
      <c r="G1827" s="64">
        <f>IFERROR(INDEX(MgSubtipo,MATCH($C1827,MgActId,0)),"")</f>
        <v/>
      </c>
      <c r="H1827" s="59" t="inlineStr">
        <is>
          <t>A.5</t>
        </is>
      </c>
      <c r="I1827" s="64">
        <f>IFERROR(INDEX(MgAmenNombre,MATCH(SUBSTITUTE($H1827,"*","-"),MgAmenClave,0)),"")</f>
        <v/>
      </c>
      <c r="J1827" s="28">
        <f>IFERROR(INDEX(MgAmenGrupo,MATCH(SUBSTITUTE($H1827,"*","-"),MgAmenClave,0)),"")</f>
        <v/>
      </c>
      <c r="K1827" s="64">
        <f>IFERROR(INDEX('1. Matriz de Activos'!$Q$6:$Q$239,MATCH($C1827,MgActId,0)),"")</f>
        <v/>
      </c>
      <c r="L1827" s="64">
        <f>IFERROR(INDEX('1. Matriz de Activos'!$R$6:$R$239,MATCH($C1827,MgActId,0)),"")</f>
        <v/>
      </c>
      <c r="M1827" s="64">
        <f>IFERROR(INDEX('1. Matriz de Activos'!$S$6:$S$239,MATCH($C1827,MgActId,0)),"")</f>
        <v/>
      </c>
      <c r="N1827" s="28">
        <f>IFERROR(INDEX(MgAmenDegD,MATCH(SUBSTITUTE($H1827,"*","-"),MgAmenClave,0)),"No aplica")</f>
        <v/>
      </c>
      <c r="O1827" s="28">
        <f>IFERROR(INDEX(MgAmenDegI,MATCH(SUBSTITUTE($H1827,"*","-"),MgAmenClave,0)),"No aplica")</f>
        <v/>
      </c>
      <c r="P1827" s="28">
        <f>IFERROR(INDEX(MgAmenDegC,MATCH(SUBSTITUTE($H1827,"*","-"),MgAmenClave,0)),"No aplica")</f>
        <v/>
      </c>
      <c r="Q1827" s="29">
        <f>IFERROR(VLOOKUP(K1827,MgValor,2,0)*VLOOKUP(N1827,MgDeg,2,0),0)</f>
        <v/>
      </c>
      <c r="R1827" s="29">
        <f>IFERROR(VLOOKUP(L1827,MgValor,2,0)*VLOOKUP(O1827,MgDeg,2,0),0)</f>
        <v/>
      </c>
      <c r="S1827" s="29">
        <f>IFERROR(VLOOKUP(M1827,MgValor,2,0)*VLOOKUP(P1827,MgDeg,2,0),0)</f>
        <v/>
      </c>
      <c r="T1827" s="30">
        <f>MAX(Q1827:S1827)</f>
        <v/>
      </c>
      <c r="U1827" s="28">
        <f>IFERROR(LOOKUP(T1827,{0;0.5;1.5;3;4.5},{"Despreciable";"Bajo";"Medio";"Alto";"Muy alto"}),"")</f>
        <v/>
      </c>
      <c r="V1827" s="13">
        <f>IFERROR(INDEX(MgAmenFrec,MATCH(SUBSTITUTE($H1827,"*","-"),MgAmenClave,0)),"")</f>
        <v/>
      </c>
      <c r="W1827" s="28">
        <f>IFERROR(LOOKUP(X1827,{0;0.01;0.1;1;10;100},{"Muy baja";"Muy baja";"Baja";"Media";"Alta";"Muy alta"}),"")</f>
        <v/>
      </c>
      <c r="X1827" s="31">
        <f>IFERROR(VLOOKUP(V1827,MgFrec,2,0),0)</f>
        <v/>
      </c>
      <c r="Y1827" s="30">
        <f>T1827*X1827</f>
        <v/>
      </c>
      <c r="Z1827" s="28">
        <f>IFERROR(LOOKUP(Y1827,{0;0.5;5;25},{"Bajo";"Medio";"Alto";"Crítico"}),"")</f>
        <v/>
      </c>
      <c r="AA1827" s="64">
        <f>IF(T1827&gt;=3,IF(X1827&gt;=1,"Zona 1 — Crítica: impacto alto y ocurre al menos una vez al año","Zona 4 — Catastrófica poco probable: impacto alto pero excepcional"),IF(AND(T1827&lt;1.5,X1827&lt;1),"Zona 3 — Asumible: impacto bajo y muy poco frecuente","Zona 2 — Atención: riesgo intermedio"))</f>
        <v/>
      </c>
      <c r="AB1827" s="64">
        <f>IFERROR(INDEX(MgAmenCtrl,MATCH(SUBSTITUTE($H1827,"*","-"),MgAmenClave,0)),"")</f>
        <v/>
      </c>
      <c r="AC1827" s="20" t="n"/>
      <c r="AD1827" s="31">
        <f>IFERROR($X1827*(1-IF($AC1827="",$AL1827,VLOOKUP($AC1827,MgMad,2,0))),"")</f>
        <v/>
      </c>
      <c r="AE1827" s="28">
        <f>IFERROR(LOOKUP(AD1827,{0;0.01;0.1;1;10;100},{"Muy baja";"Muy baja";"Baja";"Media";"Alta";"Muy alta"}),"")</f>
        <v/>
      </c>
      <c r="AF1827" s="30">
        <f>T1827*AD1827</f>
        <v/>
      </c>
      <c r="AG1827" s="28">
        <f>IFERROR(LOOKUP(AF1827,{0;0.5;5;25},{"Bajo";"Medio";"Alto";"Crítico"}),"")</f>
        <v/>
      </c>
      <c r="AH1827" s="28">
        <f>IF(AG1827="","",IF(OR(AG1827="Crítico",AG1827="Alto"),"Mitigar",IF(AG1827="Medio","Mitigar","Aceptar y monitorear")))</f>
        <v/>
      </c>
      <c r="AI1827" s="21" t="n"/>
      <c r="AJ1827" s="21" t="n"/>
      <c r="AK1827" s="20" t="n"/>
      <c r="AL1827" s="77">
        <f>IFERROR(INDEX(MgAmenEfic,MATCH(SUBSTITUTE($H1827,"*","-"),MgAmenClave,0)),0)</f>
        <v/>
      </c>
    </row>
    <row r="1828" hidden="1" ht="105" customHeight="1" s="54">
      <c r="B1828" s="59" t="inlineStr">
        <is>
          <t>R-1823</t>
        </is>
      </c>
      <c r="C1828" s="59" t="inlineStr">
        <is>
          <t>TEC-002</t>
        </is>
      </c>
      <c r="D1828" s="64">
        <f>IFERROR(INDEX(MgNombre,MATCH($C1828,MgActId,0)),"")</f>
        <v/>
      </c>
      <c r="E1828" s="64">
        <f>IFERROR(INDEX(MgProceso,MATCH($C1828,MgActId,0)),"")</f>
        <v/>
      </c>
      <c r="F1828" s="64">
        <f>IFERROR(INDEX(MgTipo,MATCH($C1828,MgActId,0)),"")</f>
        <v/>
      </c>
      <c r="G1828" s="64">
        <f>IFERROR(INDEX(MgSubtipo,MATCH($C1828,MgActId,0)),"")</f>
        <v/>
      </c>
      <c r="H1828" s="59" t="inlineStr">
        <is>
          <t>A.6</t>
        </is>
      </c>
      <c r="I1828" s="64">
        <f>IFERROR(INDEX(MgAmenNombre,MATCH(SUBSTITUTE($H1828,"*","-"),MgAmenClave,0)),"")</f>
        <v/>
      </c>
      <c r="J1828" s="28">
        <f>IFERROR(INDEX(MgAmenGrupo,MATCH(SUBSTITUTE($H1828,"*","-"),MgAmenClave,0)),"")</f>
        <v/>
      </c>
      <c r="K1828" s="64">
        <f>IFERROR(INDEX('1. Matriz de Activos'!$Q$6:$Q$239,MATCH($C1828,MgActId,0)),"")</f>
        <v/>
      </c>
      <c r="L1828" s="64">
        <f>IFERROR(INDEX('1. Matriz de Activos'!$R$6:$R$239,MATCH($C1828,MgActId,0)),"")</f>
        <v/>
      </c>
      <c r="M1828" s="64">
        <f>IFERROR(INDEX('1. Matriz de Activos'!$S$6:$S$239,MATCH($C1828,MgActId,0)),"")</f>
        <v/>
      </c>
      <c r="N1828" s="28">
        <f>IFERROR(INDEX(MgAmenDegD,MATCH(SUBSTITUTE($H1828,"*","-"),MgAmenClave,0)),"No aplica")</f>
        <v/>
      </c>
      <c r="O1828" s="28">
        <f>IFERROR(INDEX(MgAmenDegI,MATCH(SUBSTITUTE($H1828,"*","-"),MgAmenClave,0)),"No aplica")</f>
        <v/>
      </c>
      <c r="P1828" s="28">
        <f>IFERROR(INDEX(MgAmenDegC,MATCH(SUBSTITUTE($H1828,"*","-"),MgAmenClave,0)),"No aplica")</f>
        <v/>
      </c>
      <c r="Q1828" s="29">
        <f>IFERROR(VLOOKUP(K1828,MgValor,2,0)*VLOOKUP(N1828,MgDeg,2,0),0)</f>
        <v/>
      </c>
      <c r="R1828" s="29">
        <f>IFERROR(VLOOKUP(L1828,MgValor,2,0)*VLOOKUP(O1828,MgDeg,2,0),0)</f>
        <v/>
      </c>
      <c r="S1828" s="29">
        <f>IFERROR(VLOOKUP(M1828,MgValor,2,0)*VLOOKUP(P1828,MgDeg,2,0),0)</f>
        <v/>
      </c>
      <c r="T1828" s="30">
        <f>MAX(Q1828:S1828)</f>
        <v/>
      </c>
      <c r="U1828" s="28">
        <f>IFERROR(LOOKUP(T1828,{0;0.5;1.5;3;4.5},{"Despreciable";"Bajo";"Medio";"Alto";"Muy alto"}),"")</f>
        <v/>
      </c>
      <c r="V1828" s="13">
        <f>IFERROR(INDEX(MgAmenFrec,MATCH(SUBSTITUTE($H1828,"*","-"),MgAmenClave,0)),"")</f>
        <v/>
      </c>
      <c r="W1828" s="28">
        <f>IFERROR(LOOKUP(X1828,{0;0.01;0.1;1;10;100},{"Muy baja";"Muy baja";"Baja";"Media";"Alta";"Muy alta"}),"")</f>
        <v/>
      </c>
      <c r="X1828" s="31">
        <f>IFERROR(VLOOKUP(V1828,MgFrec,2,0),0)</f>
        <v/>
      </c>
      <c r="Y1828" s="30">
        <f>T1828*X1828</f>
        <v/>
      </c>
      <c r="Z1828" s="28">
        <f>IFERROR(LOOKUP(Y1828,{0;0.5;5;25},{"Bajo";"Medio";"Alto";"Crítico"}),"")</f>
        <v/>
      </c>
      <c r="AA1828" s="64">
        <f>IF(T1828&gt;=3,IF(X1828&gt;=1,"Zona 1 — Crítica: impacto alto y ocurre al menos una vez al año","Zona 4 — Catastrófica poco probable: impacto alto pero excepcional"),IF(AND(T1828&lt;1.5,X1828&lt;1),"Zona 3 — Asumible: impacto bajo y muy poco frecuente","Zona 2 — Atención: riesgo intermedio"))</f>
        <v/>
      </c>
      <c r="AB1828" s="64">
        <f>IFERROR(INDEX(MgAmenCtrl,MATCH(SUBSTITUTE($H1828,"*","-"),MgAmenClave,0)),"")</f>
        <v/>
      </c>
      <c r="AC1828" s="20" t="n"/>
      <c r="AD1828" s="31">
        <f>IFERROR($X1828*(1-IF($AC1828="",$AL1828,VLOOKUP($AC1828,MgMad,2,0))),"")</f>
        <v/>
      </c>
      <c r="AE1828" s="28">
        <f>IFERROR(LOOKUP(AD1828,{0;0.01;0.1;1;10;100},{"Muy baja";"Muy baja";"Baja";"Media";"Alta";"Muy alta"}),"")</f>
        <v/>
      </c>
      <c r="AF1828" s="30">
        <f>T1828*AD1828</f>
        <v/>
      </c>
      <c r="AG1828" s="28">
        <f>IFERROR(LOOKUP(AF1828,{0;0.5;5;25},{"Bajo";"Medio";"Alto";"Crítico"}),"")</f>
        <v/>
      </c>
      <c r="AH1828" s="28">
        <f>IF(AG1828="","",IF(OR(AG1828="Crítico",AG1828="Alto"),"Mitigar",IF(AG1828="Medio","Mitigar","Aceptar y monitorear")))</f>
        <v/>
      </c>
      <c r="AI1828" s="21" t="n"/>
      <c r="AJ1828" s="21" t="n"/>
      <c r="AK1828" s="20" t="n"/>
      <c r="AL1828" s="77">
        <f>IFERROR(INDEX(MgAmenEfic,MATCH(SUBSTITUTE($H1828,"*","-"),MgAmenClave,0)),0)</f>
        <v/>
      </c>
    </row>
    <row r="1829" hidden="1" ht="60" customHeight="1" s="54">
      <c r="B1829" s="59" t="inlineStr">
        <is>
          <t>R-1824</t>
        </is>
      </c>
      <c r="C1829" s="59" t="inlineStr">
        <is>
          <t>TEC-002</t>
        </is>
      </c>
      <c r="D1829" s="64">
        <f>IFERROR(INDEX(MgNombre,MATCH($C1829,MgActId,0)),"")</f>
        <v/>
      </c>
      <c r="E1829" s="64">
        <f>IFERROR(INDEX(MgProceso,MATCH($C1829,MgActId,0)),"")</f>
        <v/>
      </c>
      <c r="F1829" s="64">
        <f>IFERROR(INDEX(MgTipo,MATCH($C1829,MgActId,0)),"")</f>
        <v/>
      </c>
      <c r="G1829" s="64">
        <f>IFERROR(INDEX(MgSubtipo,MATCH($C1829,MgActId,0)),"")</f>
        <v/>
      </c>
      <c r="H1829" s="59" t="inlineStr">
        <is>
          <t>A.7</t>
        </is>
      </c>
      <c r="I1829" s="64">
        <f>IFERROR(INDEX(MgAmenNombre,MATCH(SUBSTITUTE($H1829,"*","-"),MgAmenClave,0)),"")</f>
        <v/>
      </c>
      <c r="J1829" s="28">
        <f>IFERROR(INDEX(MgAmenGrupo,MATCH(SUBSTITUTE($H1829,"*","-"),MgAmenClave,0)),"")</f>
        <v/>
      </c>
      <c r="K1829" s="64">
        <f>IFERROR(INDEX('1. Matriz de Activos'!$Q$6:$Q$239,MATCH($C1829,MgActId,0)),"")</f>
        <v/>
      </c>
      <c r="L1829" s="64">
        <f>IFERROR(INDEX('1. Matriz de Activos'!$R$6:$R$239,MATCH($C1829,MgActId,0)),"")</f>
        <v/>
      </c>
      <c r="M1829" s="64">
        <f>IFERROR(INDEX('1. Matriz de Activos'!$S$6:$S$239,MATCH($C1829,MgActId,0)),"")</f>
        <v/>
      </c>
      <c r="N1829" s="28">
        <f>IFERROR(INDEX(MgAmenDegD,MATCH(SUBSTITUTE($H1829,"*","-"),MgAmenClave,0)),"No aplica")</f>
        <v/>
      </c>
      <c r="O1829" s="28">
        <f>IFERROR(INDEX(MgAmenDegI,MATCH(SUBSTITUTE($H1829,"*","-"),MgAmenClave,0)),"No aplica")</f>
        <v/>
      </c>
      <c r="P1829" s="28">
        <f>IFERROR(INDEX(MgAmenDegC,MATCH(SUBSTITUTE($H1829,"*","-"),MgAmenClave,0)),"No aplica")</f>
        <v/>
      </c>
      <c r="Q1829" s="29">
        <f>IFERROR(VLOOKUP(K1829,MgValor,2,0)*VLOOKUP(N1829,MgDeg,2,0),0)</f>
        <v/>
      </c>
      <c r="R1829" s="29">
        <f>IFERROR(VLOOKUP(L1829,MgValor,2,0)*VLOOKUP(O1829,MgDeg,2,0),0)</f>
        <v/>
      </c>
      <c r="S1829" s="29">
        <f>IFERROR(VLOOKUP(M1829,MgValor,2,0)*VLOOKUP(P1829,MgDeg,2,0),0)</f>
        <v/>
      </c>
      <c r="T1829" s="30">
        <f>MAX(Q1829:S1829)</f>
        <v/>
      </c>
      <c r="U1829" s="28">
        <f>IFERROR(LOOKUP(T1829,{0;0.5;1.5;3;4.5},{"Despreciable";"Bajo";"Medio";"Alto";"Muy alto"}),"")</f>
        <v/>
      </c>
      <c r="V1829" s="13">
        <f>IFERROR(INDEX(MgAmenFrec,MATCH(SUBSTITUTE($H1829,"*","-"),MgAmenClave,0)),"")</f>
        <v/>
      </c>
      <c r="W1829" s="28">
        <f>IFERROR(LOOKUP(X1829,{0;0.01;0.1;1;10;100},{"Muy baja";"Muy baja";"Baja";"Media";"Alta";"Muy alta"}),"")</f>
        <v/>
      </c>
      <c r="X1829" s="31">
        <f>IFERROR(VLOOKUP(V1829,MgFrec,2,0),0)</f>
        <v/>
      </c>
      <c r="Y1829" s="30">
        <f>T1829*X1829</f>
        <v/>
      </c>
      <c r="Z1829" s="28">
        <f>IFERROR(LOOKUP(Y1829,{0;0.5;5;25},{"Bajo";"Medio";"Alto";"Crítico"}),"")</f>
        <v/>
      </c>
      <c r="AA1829" s="64">
        <f>IF(T1829&gt;=3,IF(X1829&gt;=1,"Zona 1 — Crítica: impacto alto y ocurre al menos una vez al año","Zona 4 — Catastrófica poco probable: impacto alto pero excepcional"),IF(AND(T1829&lt;1.5,X1829&lt;1),"Zona 3 — Asumible: impacto bajo y muy poco frecuente","Zona 2 — Atención: riesgo intermedio"))</f>
        <v/>
      </c>
      <c r="AB1829" s="64">
        <f>IFERROR(INDEX(MgAmenCtrl,MATCH(SUBSTITUTE($H1829,"*","-"),MgAmenClave,0)),"")</f>
        <v/>
      </c>
      <c r="AC1829" s="20" t="n"/>
      <c r="AD1829" s="31">
        <f>IFERROR($X1829*(1-IF($AC1829="",$AL1829,VLOOKUP($AC1829,MgMad,2,0))),"")</f>
        <v/>
      </c>
      <c r="AE1829" s="28">
        <f>IFERROR(LOOKUP(AD1829,{0;0.01;0.1;1;10;100},{"Muy baja";"Muy baja";"Baja";"Media";"Alta";"Muy alta"}),"")</f>
        <v/>
      </c>
      <c r="AF1829" s="30">
        <f>T1829*AD1829</f>
        <v/>
      </c>
      <c r="AG1829" s="28">
        <f>IFERROR(LOOKUP(AF1829,{0;0.5;5;25},{"Bajo";"Medio";"Alto";"Crítico"}),"")</f>
        <v/>
      </c>
      <c r="AH1829" s="28">
        <f>IF(AG1829="","",IF(OR(AG1829="Crítico",AG1829="Alto"),"Mitigar",IF(AG1829="Medio","Mitigar","Aceptar y monitorear")))</f>
        <v/>
      </c>
      <c r="AI1829" s="21" t="n"/>
      <c r="AJ1829" s="21" t="n"/>
      <c r="AK1829" s="20" t="n"/>
      <c r="AL1829" s="77">
        <f>IFERROR(INDEX(MgAmenEfic,MATCH(SUBSTITUTE($H1829,"*","-"),MgAmenClave,0)),0)</f>
        <v/>
      </c>
    </row>
    <row r="1830" hidden="1" ht="120" customHeight="1" s="54">
      <c r="B1830" s="59" t="inlineStr">
        <is>
          <t>R-1825</t>
        </is>
      </c>
      <c r="C1830" s="59" t="inlineStr">
        <is>
          <t>TEC-002</t>
        </is>
      </c>
      <c r="D1830" s="64">
        <f>IFERROR(INDEX(MgNombre,MATCH($C1830,MgActId,0)),"")</f>
        <v/>
      </c>
      <c r="E1830" s="64">
        <f>IFERROR(INDEX(MgProceso,MATCH($C1830,MgActId,0)),"")</f>
        <v/>
      </c>
      <c r="F1830" s="64">
        <f>IFERROR(INDEX(MgTipo,MATCH($C1830,MgActId,0)),"")</f>
        <v/>
      </c>
      <c r="G1830" s="64">
        <f>IFERROR(INDEX(MgSubtipo,MATCH($C1830,MgActId,0)),"")</f>
        <v/>
      </c>
      <c r="H1830" s="59" t="inlineStr">
        <is>
          <t>A.8</t>
        </is>
      </c>
      <c r="I1830" s="64">
        <f>IFERROR(INDEX(MgAmenNombre,MATCH(SUBSTITUTE($H1830,"*","-"),MgAmenClave,0)),"")</f>
        <v/>
      </c>
      <c r="J1830" s="28">
        <f>IFERROR(INDEX(MgAmenGrupo,MATCH(SUBSTITUTE($H1830,"*","-"),MgAmenClave,0)),"")</f>
        <v/>
      </c>
      <c r="K1830" s="64">
        <f>IFERROR(INDEX('1. Matriz de Activos'!$Q$6:$Q$239,MATCH($C1830,MgActId,0)),"")</f>
        <v/>
      </c>
      <c r="L1830" s="64">
        <f>IFERROR(INDEX('1. Matriz de Activos'!$R$6:$R$239,MATCH($C1830,MgActId,0)),"")</f>
        <v/>
      </c>
      <c r="M1830" s="64">
        <f>IFERROR(INDEX('1. Matriz de Activos'!$S$6:$S$239,MATCH($C1830,MgActId,0)),"")</f>
        <v/>
      </c>
      <c r="N1830" s="28">
        <f>IFERROR(INDEX(MgAmenDegD,MATCH(SUBSTITUTE($H1830,"*","-"),MgAmenClave,0)),"No aplica")</f>
        <v/>
      </c>
      <c r="O1830" s="28">
        <f>IFERROR(INDEX(MgAmenDegI,MATCH(SUBSTITUTE($H1830,"*","-"),MgAmenClave,0)),"No aplica")</f>
        <v/>
      </c>
      <c r="P1830" s="28">
        <f>IFERROR(INDEX(MgAmenDegC,MATCH(SUBSTITUTE($H1830,"*","-"),MgAmenClave,0)),"No aplica")</f>
        <v/>
      </c>
      <c r="Q1830" s="29">
        <f>IFERROR(VLOOKUP(K1830,MgValor,2,0)*VLOOKUP(N1830,MgDeg,2,0),0)</f>
        <v/>
      </c>
      <c r="R1830" s="29">
        <f>IFERROR(VLOOKUP(L1830,MgValor,2,0)*VLOOKUP(O1830,MgDeg,2,0),0)</f>
        <v/>
      </c>
      <c r="S1830" s="29">
        <f>IFERROR(VLOOKUP(M1830,MgValor,2,0)*VLOOKUP(P1830,MgDeg,2,0),0)</f>
        <v/>
      </c>
      <c r="T1830" s="30">
        <f>MAX(Q1830:S1830)</f>
        <v/>
      </c>
      <c r="U1830" s="28">
        <f>IFERROR(LOOKUP(T1830,{0;0.5;1.5;3;4.5},{"Despreciable";"Bajo";"Medio";"Alto";"Muy alto"}),"")</f>
        <v/>
      </c>
      <c r="V1830" s="13">
        <f>IFERROR(INDEX(MgAmenFrec,MATCH(SUBSTITUTE($H1830,"*","-"),MgAmenClave,0)),"")</f>
        <v/>
      </c>
      <c r="W1830" s="28">
        <f>IFERROR(LOOKUP(X1830,{0;0.01;0.1;1;10;100},{"Muy baja";"Muy baja";"Baja";"Media";"Alta";"Muy alta"}),"")</f>
        <v/>
      </c>
      <c r="X1830" s="31">
        <f>IFERROR(VLOOKUP(V1830,MgFrec,2,0),0)</f>
        <v/>
      </c>
      <c r="Y1830" s="30">
        <f>T1830*X1830</f>
        <v/>
      </c>
      <c r="Z1830" s="28">
        <f>IFERROR(LOOKUP(Y1830,{0;0.5;5;25},{"Bajo";"Medio";"Alto";"Crítico"}),"")</f>
        <v/>
      </c>
      <c r="AA1830" s="64">
        <f>IF(T1830&gt;=3,IF(X1830&gt;=1,"Zona 1 — Crítica: impacto alto y ocurre al menos una vez al año","Zona 4 — Catastrófica poco probable: impacto alto pero excepcional"),IF(AND(T1830&lt;1.5,X1830&lt;1),"Zona 3 — Asumible: impacto bajo y muy poco frecuente","Zona 2 — Atención: riesgo intermedio"))</f>
        <v/>
      </c>
      <c r="AB1830" s="64">
        <f>IFERROR(INDEX(MgAmenCtrl,MATCH(SUBSTITUTE($H1830,"*","-"),MgAmenClave,0)),"")</f>
        <v/>
      </c>
      <c r="AC1830" s="20" t="n"/>
      <c r="AD1830" s="31">
        <f>IFERROR($X1830*(1-IF($AC1830="",$AL1830,VLOOKUP($AC1830,MgMad,2,0))),"")</f>
        <v/>
      </c>
      <c r="AE1830" s="28">
        <f>IFERROR(LOOKUP(AD1830,{0;0.01;0.1;1;10;100},{"Muy baja";"Muy baja";"Baja";"Media";"Alta";"Muy alta"}),"")</f>
        <v/>
      </c>
      <c r="AF1830" s="30">
        <f>T1830*AD1830</f>
        <v/>
      </c>
      <c r="AG1830" s="28">
        <f>IFERROR(LOOKUP(AF1830,{0;0.5;5;25},{"Bajo";"Medio";"Alto";"Crítico"}),"")</f>
        <v/>
      </c>
      <c r="AH1830" s="28">
        <f>IF(AG1830="","",IF(OR(AG1830="Crítico",AG1830="Alto"),"Mitigar",IF(AG1830="Medio","Mitigar","Aceptar y monitorear")))</f>
        <v/>
      </c>
      <c r="AI1830" s="21" t="n"/>
      <c r="AJ1830" s="21" t="n"/>
      <c r="AK1830" s="20" t="n"/>
      <c r="AL1830" s="77">
        <f>IFERROR(INDEX(MgAmenEfic,MATCH(SUBSTITUTE($H1830,"*","-"),MgAmenClave,0)),0)</f>
        <v/>
      </c>
    </row>
    <row r="1831" hidden="1" ht="60" customHeight="1" s="54">
      <c r="B1831" s="59" t="inlineStr">
        <is>
          <t>R-1826</t>
        </is>
      </c>
      <c r="C1831" s="59" t="inlineStr">
        <is>
          <t>TEC-002</t>
        </is>
      </c>
      <c r="D1831" s="64">
        <f>IFERROR(INDEX(MgNombre,MATCH($C1831,MgActId,0)),"")</f>
        <v/>
      </c>
      <c r="E1831" s="64">
        <f>IFERROR(INDEX(MgProceso,MATCH($C1831,MgActId,0)),"")</f>
        <v/>
      </c>
      <c r="F1831" s="64">
        <f>IFERROR(INDEX(MgTipo,MATCH($C1831,MgActId,0)),"")</f>
        <v/>
      </c>
      <c r="G1831" s="64">
        <f>IFERROR(INDEX(MgSubtipo,MATCH($C1831,MgActId,0)),"")</f>
        <v/>
      </c>
      <c r="H1831" s="59" t="inlineStr">
        <is>
          <t>A.9</t>
        </is>
      </c>
      <c r="I1831" s="64">
        <f>IFERROR(INDEX(MgAmenNombre,MATCH(SUBSTITUTE($H1831,"*","-"),MgAmenClave,0)),"")</f>
        <v/>
      </c>
      <c r="J1831" s="28">
        <f>IFERROR(INDEX(MgAmenGrupo,MATCH(SUBSTITUTE($H1831,"*","-"),MgAmenClave,0)),"")</f>
        <v/>
      </c>
      <c r="K1831" s="64">
        <f>IFERROR(INDEX('1. Matriz de Activos'!$Q$6:$Q$239,MATCH($C1831,MgActId,0)),"")</f>
        <v/>
      </c>
      <c r="L1831" s="64">
        <f>IFERROR(INDEX('1. Matriz de Activos'!$R$6:$R$239,MATCH($C1831,MgActId,0)),"")</f>
        <v/>
      </c>
      <c r="M1831" s="64">
        <f>IFERROR(INDEX('1. Matriz de Activos'!$S$6:$S$239,MATCH($C1831,MgActId,0)),"")</f>
        <v/>
      </c>
      <c r="N1831" s="28">
        <f>IFERROR(INDEX(MgAmenDegD,MATCH(SUBSTITUTE($H1831,"*","-"),MgAmenClave,0)),"No aplica")</f>
        <v/>
      </c>
      <c r="O1831" s="28">
        <f>IFERROR(INDEX(MgAmenDegI,MATCH(SUBSTITUTE($H1831,"*","-"),MgAmenClave,0)),"No aplica")</f>
        <v/>
      </c>
      <c r="P1831" s="28">
        <f>IFERROR(INDEX(MgAmenDegC,MATCH(SUBSTITUTE($H1831,"*","-"),MgAmenClave,0)),"No aplica")</f>
        <v/>
      </c>
      <c r="Q1831" s="29">
        <f>IFERROR(VLOOKUP(K1831,MgValor,2,0)*VLOOKUP(N1831,MgDeg,2,0),0)</f>
        <v/>
      </c>
      <c r="R1831" s="29">
        <f>IFERROR(VLOOKUP(L1831,MgValor,2,0)*VLOOKUP(O1831,MgDeg,2,0),0)</f>
        <v/>
      </c>
      <c r="S1831" s="29">
        <f>IFERROR(VLOOKUP(M1831,MgValor,2,0)*VLOOKUP(P1831,MgDeg,2,0),0)</f>
        <v/>
      </c>
      <c r="T1831" s="30">
        <f>MAX(Q1831:S1831)</f>
        <v/>
      </c>
      <c r="U1831" s="28">
        <f>IFERROR(LOOKUP(T1831,{0;0.5;1.5;3;4.5},{"Despreciable";"Bajo";"Medio";"Alto";"Muy alto"}),"")</f>
        <v/>
      </c>
      <c r="V1831" s="13">
        <f>IFERROR(INDEX(MgAmenFrec,MATCH(SUBSTITUTE($H1831,"*","-"),MgAmenClave,0)),"")</f>
        <v/>
      </c>
      <c r="W1831" s="28">
        <f>IFERROR(LOOKUP(X1831,{0;0.01;0.1;1;10;100},{"Muy baja";"Muy baja";"Baja";"Media";"Alta";"Muy alta"}),"")</f>
        <v/>
      </c>
      <c r="X1831" s="31">
        <f>IFERROR(VLOOKUP(V1831,MgFrec,2,0),0)</f>
        <v/>
      </c>
      <c r="Y1831" s="30">
        <f>T1831*X1831</f>
        <v/>
      </c>
      <c r="Z1831" s="28">
        <f>IFERROR(LOOKUP(Y1831,{0;0.5;5;25},{"Bajo";"Medio";"Alto";"Crítico"}),"")</f>
        <v/>
      </c>
      <c r="AA1831" s="64">
        <f>IF(T1831&gt;=3,IF(X1831&gt;=1,"Zona 1 — Crítica: impacto alto y ocurre al menos una vez al año","Zona 4 — Catastrófica poco probable: impacto alto pero excepcional"),IF(AND(T1831&lt;1.5,X1831&lt;1),"Zona 3 — Asumible: impacto bajo y muy poco frecuente","Zona 2 — Atención: riesgo intermedio"))</f>
        <v/>
      </c>
      <c r="AB1831" s="64">
        <f>IFERROR(INDEX(MgAmenCtrl,MATCH(SUBSTITUTE($H1831,"*","-"),MgAmenClave,0)),"")</f>
        <v/>
      </c>
      <c r="AC1831" s="20" t="n"/>
      <c r="AD1831" s="31">
        <f>IFERROR($X1831*(1-IF($AC1831="",$AL1831,VLOOKUP($AC1831,MgMad,2,0))),"")</f>
        <v/>
      </c>
      <c r="AE1831" s="28">
        <f>IFERROR(LOOKUP(AD1831,{0;0.01;0.1;1;10;100},{"Muy baja";"Muy baja";"Baja";"Media";"Alta";"Muy alta"}),"")</f>
        <v/>
      </c>
      <c r="AF1831" s="30">
        <f>T1831*AD1831</f>
        <v/>
      </c>
      <c r="AG1831" s="28">
        <f>IFERROR(LOOKUP(AF1831,{0;0.5;5;25},{"Bajo";"Medio";"Alto";"Crítico"}),"")</f>
        <v/>
      </c>
      <c r="AH1831" s="28">
        <f>IF(AG1831="","",IF(OR(AG1831="Crítico",AG1831="Alto"),"Mitigar",IF(AG1831="Medio","Mitigar","Aceptar y monitorear")))</f>
        <v/>
      </c>
      <c r="AI1831" s="21" t="n"/>
      <c r="AJ1831" s="21" t="n"/>
      <c r="AK1831" s="20" t="n"/>
      <c r="AL1831" s="77">
        <f>IFERROR(INDEX(MgAmenEfic,MATCH(SUBSTITUTE($H1831,"*","-"),MgAmenClave,0)),0)</f>
        <v/>
      </c>
    </row>
    <row r="1832" hidden="1" ht="45" customHeight="1" s="54">
      <c r="B1832" s="59" t="inlineStr">
        <is>
          <t>R-1827</t>
        </is>
      </c>
      <c r="C1832" s="59" t="inlineStr">
        <is>
          <t>TEC-002</t>
        </is>
      </c>
      <c r="D1832" s="64">
        <f>IFERROR(INDEX(MgNombre,MATCH($C1832,MgActId,0)),"")</f>
        <v/>
      </c>
      <c r="E1832" s="64">
        <f>IFERROR(INDEX(MgProceso,MATCH($C1832,MgActId,0)),"")</f>
        <v/>
      </c>
      <c r="F1832" s="64">
        <f>IFERROR(INDEX(MgTipo,MATCH($C1832,MgActId,0)),"")</f>
        <v/>
      </c>
      <c r="G1832" s="64">
        <f>IFERROR(INDEX(MgSubtipo,MATCH($C1832,MgActId,0)),"")</f>
        <v/>
      </c>
      <c r="H1832" s="59" t="inlineStr">
        <is>
          <t>A.10</t>
        </is>
      </c>
      <c r="I1832" s="64">
        <f>IFERROR(INDEX(MgAmenNombre,MATCH(SUBSTITUTE($H1832,"*","-"),MgAmenClave,0)),"")</f>
        <v/>
      </c>
      <c r="J1832" s="28">
        <f>IFERROR(INDEX(MgAmenGrupo,MATCH(SUBSTITUTE($H1832,"*","-"),MgAmenClave,0)),"")</f>
        <v/>
      </c>
      <c r="K1832" s="64">
        <f>IFERROR(INDEX('1. Matriz de Activos'!$Q$6:$Q$239,MATCH($C1832,MgActId,0)),"")</f>
        <v/>
      </c>
      <c r="L1832" s="64">
        <f>IFERROR(INDEX('1. Matriz de Activos'!$R$6:$R$239,MATCH($C1832,MgActId,0)),"")</f>
        <v/>
      </c>
      <c r="M1832" s="64">
        <f>IFERROR(INDEX('1. Matriz de Activos'!$S$6:$S$239,MATCH($C1832,MgActId,0)),"")</f>
        <v/>
      </c>
      <c r="N1832" s="28">
        <f>IFERROR(INDEX(MgAmenDegD,MATCH(SUBSTITUTE($H1832,"*","-"),MgAmenClave,0)),"No aplica")</f>
        <v/>
      </c>
      <c r="O1832" s="28">
        <f>IFERROR(INDEX(MgAmenDegI,MATCH(SUBSTITUTE($H1832,"*","-"),MgAmenClave,0)),"No aplica")</f>
        <v/>
      </c>
      <c r="P1832" s="28">
        <f>IFERROR(INDEX(MgAmenDegC,MATCH(SUBSTITUTE($H1832,"*","-"),MgAmenClave,0)),"No aplica")</f>
        <v/>
      </c>
      <c r="Q1832" s="29">
        <f>IFERROR(VLOOKUP(K1832,MgValor,2,0)*VLOOKUP(N1832,MgDeg,2,0),0)</f>
        <v/>
      </c>
      <c r="R1832" s="29">
        <f>IFERROR(VLOOKUP(L1832,MgValor,2,0)*VLOOKUP(O1832,MgDeg,2,0),0)</f>
        <v/>
      </c>
      <c r="S1832" s="29">
        <f>IFERROR(VLOOKUP(M1832,MgValor,2,0)*VLOOKUP(P1832,MgDeg,2,0),0)</f>
        <v/>
      </c>
      <c r="T1832" s="30">
        <f>MAX(Q1832:S1832)</f>
        <v/>
      </c>
      <c r="U1832" s="28">
        <f>IFERROR(LOOKUP(T1832,{0;0.5;1.5;3;4.5},{"Despreciable";"Bajo";"Medio";"Alto";"Muy alto"}),"")</f>
        <v/>
      </c>
      <c r="V1832" s="13">
        <f>IFERROR(INDEX(MgAmenFrec,MATCH(SUBSTITUTE($H1832,"*","-"),MgAmenClave,0)),"")</f>
        <v/>
      </c>
      <c r="W1832" s="28">
        <f>IFERROR(LOOKUP(X1832,{0;0.01;0.1;1;10;100},{"Muy baja";"Muy baja";"Baja";"Media";"Alta";"Muy alta"}),"")</f>
        <v/>
      </c>
      <c r="X1832" s="31">
        <f>IFERROR(VLOOKUP(V1832,MgFrec,2,0),0)</f>
        <v/>
      </c>
      <c r="Y1832" s="30">
        <f>T1832*X1832</f>
        <v/>
      </c>
      <c r="Z1832" s="28">
        <f>IFERROR(LOOKUP(Y1832,{0;0.5;5;25},{"Bajo";"Medio";"Alto";"Crítico"}),"")</f>
        <v/>
      </c>
      <c r="AA1832" s="64">
        <f>IF(T1832&gt;=3,IF(X1832&gt;=1,"Zona 1 — Crítica: impacto alto y ocurre al menos una vez al año","Zona 4 — Catastrófica poco probable: impacto alto pero excepcional"),IF(AND(T1832&lt;1.5,X1832&lt;1),"Zona 3 — Asumible: impacto bajo y muy poco frecuente","Zona 2 — Atención: riesgo intermedio"))</f>
        <v/>
      </c>
      <c r="AB1832" s="64">
        <f>IFERROR(INDEX(MgAmenCtrl,MATCH(SUBSTITUTE($H1832,"*","-"),MgAmenClave,0)),"")</f>
        <v/>
      </c>
      <c r="AC1832" s="20" t="n"/>
      <c r="AD1832" s="31">
        <f>IFERROR($X1832*(1-IF($AC1832="",$AL1832,VLOOKUP($AC1832,MgMad,2,0))),"")</f>
        <v/>
      </c>
      <c r="AE1832" s="28">
        <f>IFERROR(LOOKUP(AD1832,{0;0.01;0.1;1;10;100},{"Muy baja";"Muy baja";"Baja";"Media";"Alta";"Muy alta"}),"")</f>
        <v/>
      </c>
      <c r="AF1832" s="30">
        <f>T1832*AD1832</f>
        <v/>
      </c>
      <c r="AG1832" s="28">
        <f>IFERROR(LOOKUP(AF1832,{0;0.5;5;25},{"Bajo";"Medio";"Alto";"Crítico"}),"")</f>
        <v/>
      </c>
      <c r="AH1832" s="28">
        <f>IF(AG1832="","",IF(OR(AG1832="Crítico",AG1832="Alto"),"Mitigar",IF(AG1832="Medio","Mitigar","Aceptar y monitorear")))</f>
        <v/>
      </c>
      <c r="AI1832" s="21" t="n"/>
      <c r="AJ1832" s="21" t="n"/>
      <c r="AK1832" s="20" t="n"/>
      <c r="AL1832" s="77">
        <f>IFERROR(INDEX(MgAmenEfic,MATCH(SUBSTITUTE($H1832,"*","-"),MgAmenClave,0)),0)</f>
        <v/>
      </c>
    </row>
    <row r="1833" hidden="1" ht="120" customHeight="1" s="54">
      <c r="B1833" s="59" t="inlineStr">
        <is>
          <t>R-1828</t>
        </is>
      </c>
      <c r="C1833" s="59" t="inlineStr">
        <is>
          <t>TEC-002</t>
        </is>
      </c>
      <c r="D1833" s="64">
        <f>IFERROR(INDEX(MgNombre,MATCH($C1833,MgActId,0)),"")</f>
        <v/>
      </c>
      <c r="E1833" s="64">
        <f>IFERROR(INDEX(MgProceso,MATCH($C1833,MgActId,0)),"")</f>
        <v/>
      </c>
      <c r="F1833" s="64">
        <f>IFERROR(INDEX(MgTipo,MATCH($C1833,MgActId,0)),"")</f>
        <v/>
      </c>
      <c r="G1833" s="64">
        <f>IFERROR(INDEX(MgSubtipo,MATCH($C1833,MgActId,0)),"")</f>
        <v/>
      </c>
      <c r="H1833" s="59" t="inlineStr">
        <is>
          <t>A.11</t>
        </is>
      </c>
      <c r="I1833" s="64">
        <f>IFERROR(INDEX(MgAmenNombre,MATCH(SUBSTITUTE($H1833,"*","-"),MgAmenClave,0)),"")</f>
        <v/>
      </c>
      <c r="J1833" s="28">
        <f>IFERROR(INDEX(MgAmenGrupo,MATCH(SUBSTITUTE($H1833,"*","-"),MgAmenClave,0)),"")</f>
        <v/>
      </c>
      <c r="K1833" s="64">
        <f>IFERROR(INDEX('1. Matriz de Activos'!$Q$6:$Q$239,MATCH($C1833,MgActId,0)),"")</f>
        <v/>
      </c>
      <c r="L1833" s="64">
        <f>IFERROR(INDEX('1. Matriz de Activos'!$R$6:$R$239,MATCH($C1833,MgActId,0)),"")</f>
        <v/>
      </c>
      <c r="M1833" s="64">
        <f>IFERROR(INDEX('1. Matriz de Activos'!$S$6:$S$239,MATCH($C1833,MgActId,0)),"")</f>
        <v/>
      </c>
      <c r="N1833" s="28">
        <f>IFERROR(INDEX(MgAmenDegD,MATCH(SUBSTITUTE($H1833,"*","-"),MgAmenClave,0)),"No aplica")</f>
        <v/>
      </c>
      <c r="O1833" s="28">
        <f>IFERROR(INDEX(MgAmenDegI,MATCH(SUBSTITUTE($H1833,"*","-"),MgAmenClave,0)),"No aplica")</f>
        <v/>
      </c>
      <c r="P1833" s="28">
        <f>IFERROR(INDEX(MgAmenDegC,MATCH(SUBSTITUTE($H1833,"*","-"),MgAmenClave,0)),"No aplica")</f>
        <v/>
      </c>
      <c r="Q1833" s="29">
        <f>IFERROR(VLOOKUP(K1833,MgValor,2,0)*VLOOKUP(N1833,MgDeg,2,0),0)</f>
        <v/>
      </c>
      <c r="R1833" s="29">
        <f>IFERROR(VLOOKUP(L1833,MgValor,2,0)*VLOOKUP(O1833,MgDeg,2,0),0)</f>
        <v/>
      </c>
      <c r="S1833" s="29">
        <f>IFERROR(VLOOKUP(M1833,MgValor,2,0)*VLOOKUP(P1833,MgDeg,2,0),0)</f>
        <v/>
      </c>
      <c r="T1833" s="30">
        <f>MAX(Q1833:S1833)</f>
        <v/>
      </c>
      <c r="U1833" s="28">
        <f>IFERROR(LOOKUP(T1833,{0;0.5;1.5;3;4.5},{"Despreciable";"Bajo";"Medio";"Alto";"Muy alto"}),"")</f>
        <v/>
      </c>
      <c r="V1833" s="13">
        <f>IFERROR(INDEX(MgAmenFrec,MATCH(SUBSTITUTE($H1833,"*","-"),MgAmenClave,0)),"")</f>
        <v/>
      </c>
      <c r="W1833" s="28">
        <f>IFERROR(LOOKUP(X1833,{0;0.01;0.1;1;10;100},{"Muy baja";"Muy baja";"Baja";"Media";"Alta";"Muy alta"}),"")</f>
        <v/>
      </c>
      <c r="X1833" s="31">
        <f>IFERROR(VLOOKUP(V1833,MgFrec,2,0),0)</f>
        <v/>
      </c>
      <c r="Y1833" s="30">
        <f>T1833*X1833</f>
        <v/>
      </c>
      <c r="Z1833" s="28">
        <f>IFERROR(LOOKUP(Y1833,{0;0.5;5;25},{"Bajo";"Medio";"Alto";"Crítico"}),"")</f>
        <v/>
      </c>
      <c r="AA1833" s="64">
        <f>IF(T1833&gt;=3,IF(X1833&gt;=1,"Zona 1 — Crítica: impacto alto y ocurre al menos una vez al año","Zona 4 — Catastrófica poco probable: impacto alto pero excepcional"),IF(AND(T1833&lt;1.5,X1833&lt;1),"Zona 3 — Asumible: impacto bajo y muy poco frecuente","Zona 2 — Atención: riesgo intermedio"))</f>
        <v/>
      </c>
      <c r="AB1833" s="64">
        <f>IFERROR(INDEX(MgAmenCtrl,MATCH(SUBSTITUTE($H1833,"*","-"),MgAmenClave,0)),"")</f>
        <v/>
      </c>
      <c r="AC1833" s="20" t="n"/>
      <c r="AD1833" s="31">
        <f>IFERROR($X1833*(1-IF($AC1833="",$AL1833,VLOOKUP($AC1833,MgMad,2,0))),"")</f>
        <v/>
      </c>
      <c r="AE1833" s="28">
        <f>IFERROR(LOOKUP(AD1833,{0;0.01;0.1;1;10;100},{"Muy baja";"Muy baja";"Baja";"Media";"Alta";"Muy alta"}),"")</f>
        <v/>
      </c>
      <c r="AF1833" s="30">
        <f>T1833*AD1833</f>
        <v/>
      </c>
      <c r="AG1833" s="28">
        <f>IFERROR(LOOKUP(AF1833,{0;0.5;5;25},{"Bajo";"Medio";"Alto";"Crítico"}),"")</f>
        <v/>
      </c>
      <c r="AH1833" s="28">
        <f>IF(AG1833="","",IF(OR(AG1833="Crítico",AG1833="Alto"),"Mitigar",IF(AG1833="Medio","Mitigar","Aceptar y monitorear")))</f>
        <v/>
      </c>
      <c r="AI1833" s="21" t="n"/>
      <c r="AJ1833" s="21" t="n"/>
      <c r="AK1833" s="20" t="n"/>
      <c r="AL1833" s="77">
        <f>IFERROR(INDEX(MgAmenEfic,MATCH(SUBSTITUTE($H1833,"*","-"),MgAmenClave,0)),0)</f>
        <v/>
      </c>
    </row>
    <row r="1834" hidden="1" ht="60" customHeight="1" s="54">
      <c r="B1834" s="59" t="inlineStr">
        <is>
          <t>R-1829</t>
        </is>
      </c>
      <c r="C1834" s="59" t="inlineStr">
        <is>
          <t>TEC-002</t>
        </is>
      </c>
      <c r="D1834" s="64">
        <f>IFERROR(INDEX(MgNombre,MATCH($C1834,MgActId,0)),"")</f>
        <v/>
      </c>
      <c r="E1834" s="64">
        <f>IFERROR(INDEX(MgProceso,MATCH($C1834,MgActId,0)),"")</f>
        <v/>
      </c>
      <c r="F1834" s="64">
        <f>IFERROR(INDEX(MgTipo,MATCH($C1834,MgActId,0)),"")</f>
        <v/>
      </c>
      <c r="G1834" s="64">
        <f>IFERROR(INDEX(MgSubtipo,MATCH($C1834,MgActId,0)),"")</f>
        <v/>
      </c>
      <c r="H1834" s="59" t="inlineStr">
        <is>
          <t>A.15</t>
        </is>
      </c>
      <c r="I1834" s="64">
        <f>IFERROR(INDEX(MgAmenNombre,MATCH(SUBSTITUTE($H1834,"*","-"),MgAmenClave,0)),"")</f>
        <v/>
      </c>
      <c r="J1834" s="28">
        <f>IFERROR(INDEX(MgAmenGrupo,MATCH(SUBSTITUTE($H1834,"*","-"),MgAmenClave,0)),"")</f>
        <v/>
      </c>
      <c r="K1834" s="64">
        <f>IFERROR(INDEX('1. Matriz de Activos'!$Q$6:$Q$239,MATCH($C1834,MgActId,0)),"")</f>
        <v/>
      </c>
      <c r="L1834" s="64">
        <f>IFERROR(INDEX('1. Matriz de Activos'!$R$6:$R$239,MATCH($C1834,MgActId,0)),"")</f>
        <v/>
      </c>
      <c r="M1834" s="64">
        <f>IFERROR(INDEX('1. Matriz de Activos'!$S$6:$S$239,MATCH($C1834,MgActId,0)),"")</f>
        <v/>
      </c>
      <c r="N1834" s="28">
        <f>IFERROR(INDEX(MgAmenDegD,MATCH(SUBSTITUTE($H1834,"*","-"),MgAmenClave,0)),"No aplica")</f>
        <v/>
      </c>
      <c r="O1834" s="28">
        <f>IFERROR(INDEX(MgAmenDegI,MATCH(SUBSTITUTE($H1834,"*","-"),MgAmenClave,0)),"No aplica")</f>
        <v/>
      </c>
      <c r="P1834" s="28">
        <f>IFERROR(INDEX(MgAmenDegC,MATCH(SUBSTITUTE($H1834,"*","-"),MgAmenClave,0)),"No aplica")</f>
        <v/>
      </c>
      <c r="Q1834" s="29">
        <f>IFERROR(VLOOKUP(K1834,MgValor,2,0)*VLOOKUP(N1834,MgDeg,2,0),0)</f>
        <v/>
      </c>
      <c r="R1834" s="29">
        <f>IFERROR(VLOOKUP(L1834,MgValor,2,0)*VLOOKUP(O1834,MgDeg,2,0),0)</f>
        <v/>
      </c>
      <c r="S1834" s="29">
        <f>IFERROR(VLOOKUP(M1834,MgValor,2,0)*VLOOKUP(P1834,MgDeg,2,0),0)</f>
        <v/>
      </c>
      <c r="T1834" s="30">
        <f>MAX(Q1834:S1834)</f>
        <v/>
      </c>
      <c r="U1834" s="28">
        <f>IFERROR(LOOKUP(T1834,{0;0.5;1.5;3;4.5},{"Despreciable";"Bajo";"Medio";"Alto";"Muy alto"}),"")</f>
        <v/>
      </c>
      <c r="V1834" s="13">
        <f>IFERROR(INDEX(MgAmenFrec,MATCH(SUBSTITUTE($H1834,"*","-"),MgAmenClave,0)),"")</f>
        <v/>
      </c>
      <c r="W1834" s="28">
        <f>IFERROR(LOOKUP(X1834,{0;0.01;0.1;1;10;100},{"Muy baja";"Muy baja";"Baja";"Media";"Alta";"Muy alta"}),"")</f>
        <v/>
      </c>
      <c r="X1834" s="31">
        <f>IFERROR(VLOOKUP(V1834,MgFrec,2,0),0)</f>
        <v/>
      </c>
      <c r="Y1834" s="30">
        <f>T1834*X1834</f>
        <v/>
      </c>
      <c r="Z1834" s="28">
        <f>IFERROR(LOOKUP(Y1834,{0;0.5;5;25},{"Bajo";"Medio";"Alto";"Crítico"}),"")</f>
        <v/>
      </c>
      <c r="AA1834" s="64">
        <f>IF(T1834&gt;=3,IF(X1834&gt;=1,"Zona 1 — Crítica: impacto alto y ocurre al menos una vez al año","Zona 4 — Catastrófica poco probable: impacto alto pero excepcional"),IF(AND(T1834&lt;1.5,X1834&lt;1),"Zona 3 — Asumible: impacto bajo y muy poco frecuente","Zona 2 — Atención: riesgo intermedio"))</f>
        <v/>
      </c>
      <c r="AB1834" s="64">
        <f>IFERROR(INDEX(MgAmenCtrl,MATCH(SUBSTITUTE($H1834,"*","-"),MgAmenClave,0)),"")</f>
        <v/>
      </c>
      <c r="AC1834" s="20" t="n"/>
      <c r="AD1834" s="31">
        <f>IFERROR($X1834*(1-IF($AC1834="",$AL1834,VLOOKUP($AC1834,MgMad,2,0))),"")</f>
        <v/>
      </c>
      <c r="AE1834" s="28">
        <f>IFERROR(LOOKUP(AD1834,{0;0.01;0.1;1;10;100},{"Muy baja";"Muy baja";"Baja";"Media";"Alta";"Muy alta"}),"")</f>
        <v/>
      </c>
      <c r="AF1834" s="30">
        <f>T1834*AD1834</f>
        <v/>
      </c>
      <c r="AG1834" s="28">
        <f>IFERROR(LOOKUP(AF1834,{0;0.5;5;25},{"Bajo";"Medio";"Alto";"Crítico"}),"")</f>
        <v/>
      </c>
      <c r="AH1834" s="28">
        <f>IF(AG1834="","",IF(OR(AG1834="Crítico",AG1834="Alto"),"Mitigar",IF(AG1834="Medio","Mitigar","Aceptar y monitorear")))</f>
        <v/>
      </c>
      <c r="AI1834" s="21" t="n"/>
      <c r="AJ1834" s="21" t="n"/>
      <c r="AK1834" s="20" t="n"/>
      <c r="AL1834" s="77">
        <f>IFERROR(INDEX(MgAmenEfic,MATCH(SUBSTITUTE($H1834,"*","-"),MgAmenClave,0)),0)</f>
        <v/>
      </c>
    </row>
    <row r="1835" hidden="1" ht="60" customHeight="1" s="54">
      <c r="B1835" s="59" t="inlineStr">
        <is>
          <t>R-1830</t>
        </is>
      </c>
      <c r="C1835" s="59" t="inlineStr">
        <is>
          <t>TEC-002</t>
        </is>
      </c>
      <c r="D1835" s="64">
        <f>IFERROR(INDEX(MgNombre,MATCH($C1835,MgActId,0)),"")</f>
        <v/>
      </c>
      <c r="E1835" s="64">
        <f>IFERROR(INDEX(MgProceso,MATCH($C1835,MgActId,0)),"")</f>
        <v/>
      </c>
      <c r="F1835" s="64">
        <f>IFERROR(INDEX(MgTipo,MATCH($C1835,MgActId,0)),"")</f>
        <v/>
      </c>
      <c r="G1835" s="64">
        <f>IFERROR(INDEX(MgSubtipo,MATCH($C1835,MgActId,0)),"")</f>
        <v/>
      </c>
      <c r="H1835" s="59" t="inlineStr">
        <is>
          <t>A.18</t>
        </is>
      </c>
      <c r="I1835" s="64">
        <f>IFERROR(INDEX(MgAmenNombre,MATCH(SUBSTITUTE($H1835,"*","-"),MgAmenClave,0)),"")</f>
        <v/>
      </c>
      <c r="J1835" s="28">
        <f>IFERROR(INDEX(MgAmenGrupo,MATCH(SUBSTITUTE($H1835,"*","-"),MgAmenClave,0)),"")</f>
        <v/>
      </c>
      <c r="K1835" s="64">
        <f>IFERROR(INDEX('1. Matriz de Activos'!$Q$6:$Q$239,MATCH($C1835,MgActId,0)),"")</f>
        <v/>
      </c>
      <c r="L1835" s="64">
        <f>IFERROR(INDEX('1. Matriz de Activos'!$R$6:$R$239,MATCH($C1835,MgActId,0)),"")</f>
        <v/>
      </c>
      <c r="M1835" s="64">
        <f>IFERROR(INDEX('1. Matriz de Activos'!$S$6:$S$239,MATCH($C1835,MgActId,0)),"")</f>
        <v/>
      </c>
      <c r="N1835" s="28">
        <f>IFERROR(INDEX(MgAmenDegD,MATCH(SUBSTITUTE($H1835,"*","-"),MgAmenClave,0)),"No aplica")</f>
        <v/>
      </c>
      <c r="O1835" s="28">
        <f>IFERROR(INDEX(MgAmenDegI,MATCH(SUBSTITUTE($H1835,"*","-"),MgAmenClave,0)),"No aplica")</f>
        <v/>
      </c>
      <c r="P1835" s="28">
        <f>IFERROR(INDEX(MgAmenDegC,MATCH(SUBSTITUTE($H1835,"*","-"),MgAmenClave,0)),"No aplica")</f>
        <v/>
      </c>
      <c r="Q1835" s="29">
        <f>IFERROR(VLOOKUP(K1835,MgValor,2,0)*VLOOKUP(N1835,MgDeg,2,0),0)</f>
        <v/>
      </c>
      <c r="R1835" s="29">
        <f>IFERROR(VLOOKUP(L1835,MgValor,2,0)*VLOOKUP(O1835,MgDeg,2,0),0)</f>
        <v/>
      </c>
      <c r="S1835" s="29">
        <f>IFERROR(VLOOKUP(M1835,MgValor,2,0)*VLOOKUP(P1835,MgDeg,2,0),0)</f>
        <v/>
      </c>
      <c r="T1835" s="30">
        <f>MAX(Q1835:S1835)</f>
        <v/>
      </c>
      <c r="U1835" s="28">
        <f>IFERROR(LOOKUP(T1835,{0;0.5;1.5;3;4.5},{"Despreciable";"Bajo";"Medio";"Alto";"Muy alto"}),"")</f>
        <v/>
      </c>
      <c r="V1835" s="13">
        <f>IFERROR(INDEX(MgAmenFrec,MATCH(SUBSTITUTE($H1835,"*","-"),MgAmenClave,0)),"")</f>
        <v/>
      </c>
      <c r="W1835" s="28">
        <f>IFERROR(LOOKUP(X1835,{0;0.01;0.1;1;10;100},{"Muy baja";"Muy baja";"Baja";"Media";"Alta";"Muy alta"}),"")</f>
        <v/>
      </c>
      <c r="X1835" s="31">
        <f>IFERROR(VLOOKUP(V1835,MgFrec,2,0),0)</f>
        <v/>
      </c>
      <c r="Y1835" s="30">
        <f>T1835*X1835</f>
        <v/>
      </c>
      <c r="Z1835" s="28">
        <f>IFERROR(LOOKUP(Y1835,{0;0.5;5;25},{"Bajo";"Medio";"Alto";"Crítico"}),"")</f>
        <v/>
      </c>
      <c r="AA1835" s="64">
        <f>IF(T1835&gt;=3,IF(X1835&gt;=1,"Zona 1 — Crítica: impacto alto y ocurre al menos una vez al año","Zona 4 — Catastrófica poco probable: impacto alto pero excepcional"),IF(AND(T1835&lt;1.5,X1835&lt;1),"Zona 3 — Asumible: impacto bajo y muy poco frecuente","Zona 2 — Atención: riesgo intermedio"))</f>
        <v/>
      </c>
      <c r="AB1835" s="64">
        <f>IFERROR(INDEX(MgAmenCtrl,MATCH(SUBSTITUTE($H1835,"*","-"),MgAmenClave,0)),"")</f>
        <v/>
      </c>
      <c r="AC1835" s="20" t="n"/>
      <c r="AD1835" s="31">
        <f>IFERROR($X1835*(1-IF($AC1835="",$AL1835,VLOOKUP($AC1835,MgMad,2,0))),"")</f>
        <v/>
      </c>
      <c r="AE1835" s="28">
        <f>IFERROR(LOOKUP(AD1835,{0;0.01;0.1;1;10;100},{"Muy baja";"Muy baja";"Baja";"Media";"Alta";"Muy alta"}),"")</f>
        <v/>
      </c>
      <c r="AF1835" s="30">
        <f>T1835*AD1835</f>
        <v/>
      </c>
      <c r="AG1835" s="28">
        <f>IFERROR(LOOKUP(AF1835,{0;0.5;5;25},{"Bajo";"Medio";"Alto";"Crítico"}),"")</f>
        <v/>
      </c>
      <c r="AH1835" s="28">
        <f>IF(AG1835="","",IF(OR(AG1835="Crítico",AG1835="Alto"),"Mitigar",IF(AG1835="Medio","Mitigar","Aceptar y monitorear")))</f>
        <v/>
      </c>
      <c r="AI1835" s="21" t="n"/>
      <c r="AJ1835" s="21" t="n"/>
      <c r="AK1835" s="20" t="n"/>
      <c r="AL1835" s="77">
        <f>IFERROR(INDEX(MgAmenEfic,MATCH(SUBSTITUTE($H1835,"*","-"),MgAmenClave,0)),0)</f>
        <v/>
      </c>
    </row>
    <row r="1836" hidden="1" ht="120" customHeight="1" s="54">
      <c r="B1836" s="59" t="inlineStr">
        <is>
          <t>R-1831</t>
        </is>
      </c>
      <c r="C1836" s="59" t="inlineStr">
        <is>
          <t>TEC-002</t>
        </is>
      </c>
      <c r="D1836" s="64">
        <f>IFERROR(INDEX(MgNombre,MATCH($C1836,MgActId,0)),"")</f>
        <v/>
      </c>
      <c r="E1836" s="64">
        <f>IFERROR(INDEX(MgProceso,MATCH($C1836,MgActId,0)),"")</f>
        <v/>
      </c>
      <c r="F1836" s="64">
        <f>IFERROR(INDEX(MgTipo,MATCH($C1836,MgActId,0)),"")</f>
        <v/>
      </c>
      <c r="G1836" s="64">
        <f>IFERROR(INDEX(MgSubtipo,MATCH($C1836,MgActId,0)),"")</f>
        <v/>
      </c>
      <c r="H1836" s="59" t="inlineStr">
        <is>
          <t>A.19</t>
        </is>
      </c>
      <c r="I1836" s="64">
        <f>IFERROR(INDEX(MgAmenNombre,MATCH(SUBSTITUTE($H1836,"*","-"),MgAmenClave,0)),"")</f>
        <v/>
      </c>
      <c r="J1836" s="28">
        <f>IFERROR(INDEX(MgAmenGrupo,MATCH(SUBSTITUTE($H1836,"*","-"),MgAmenClave,0)),"")</f>
        <v/>
      </c>
      <c r="K1836" s="64">
        <f>IFERROR(INDEX('1. Matriz de Activos'!$Q$6:$Q$239,MATCH($C1836,MgActId,0)),"")</f>
        <v/>
      </c>
      <c r="L1836" s="64">
        <f>IFERROR(INDEX('1. Matriz de Activos'!$R$6:$R$239,MATCH($C1836,MgActId,0)),"")</f>
        <v/>
      </c>
      <c r="M1836" s="64">
        <f>IFERROR(INDEX('1. Matriz de Activos'!$S$6:$S$239,MATCH($C1836,MgActId,0)),"")</f>
        <v/>
      </c>
      <c r="N1836" s="28">
        <f>IFERROR(INDEX(MgAmenDegD,MATCH(SUBSTITUTE($H1836,"*","-"),MgAmenClave,0)),"No aplica")</f>
        <v/>
      </c>
      <c r="O1836" s="28">
        <f>IFERROR(INDEX(MgAmenDegI,MATCH(SUBSTITUTE($H1836,"*","-"),MgAmenClave,0)),"No aplica")</f>
        <v/>
      </c>
      <c r="P1836" s="28">
        <f>IFERROR(INDEX(MgAmenDegC,MATCH(SUBSTITUTE($H1836,"*","-"),MgAmenClave,0)),"No aplica")</f>
        <v/>
      </c>
      <c r="Q1836" s="29">
        <f>IFERROR(VLOOKUP(K1836,MgValor,2,0)*VLOOKUP(N1836,MgDeg,2,0),0)</f>
        <v/>
      </c>
      <c r="R1836" s="29">
        <f>IFERROR(VLOOKUP(L1836,MgValor,2,0)*VLOOKUP(O1836,MgDeg,2,0),0)</f>
        <v/>
      </c>
      <c r="S1836" s="29">
        <f>IFERROR(VLOOKUP(M1836,MgValor,2,0)*VLOOKUP(P1836,MgDeg,2,0),0)</f>
        <v/>
      </c>
      <c r="T1836" s="30">
        <f>MAX(Q1836:S1836)</f>
        <v/>
      </c>
      <c r="U1836" s="28">
        <f>IFERROR(LOOKUP(T1836,{0;0.5;1.5;3;4.5},{"Despreciable";"Bajo";"Medio";"Alto";"Muy alto"}),"")</f>
        <v/>
      </c>
      <c r="V1836" s="13">
        <f>IFERROR(INDEX(MgAmenFrec,MATCH(SUBSTITUTE($H1836,"*","-"),MgAmenClave,0)),"")</f>
        <v/>
      </c>
      <c r="W1836" s="28">
        <f>IFERROR(LOOKUP(X1836,{0;0.01;0.1;1;10;100},{"Muy baja";"Muy baja";"Baja";"Media";"Alta";"Muy alta"}),"")</f>
        <v/>
      </c>
      <c r="X1836" s="31">
        <f>IFERROR(VLOOKUP(V1836,MgFrec,2,0),0)</f>
        <v/>
      </c>
      <c r="Y1836" s="30">
        <f>T1836*X1836</f>
        <v/>
      </c>
      <c r="Z1836" s="28">
        <f>IFERROR(LOOKUP(Y1836,{0;0.5;5;25},{"Bajo";"Medio";"Alto";"Crítico"}),"")</f>
        <v/>
      </c>
      <c r="AA1836" s="64">
        <f>IF(T1836&gt;=3,IF(X1836&gt;=1,"Zona 1 — Crítica: impacto alto y ocurre al menos una vez al año","Zona 4 — Catastrófica poco probable: impacto alto pero excepcional"),IF(AND(T1836&lt;1.5,X1836&lt;1),"Zona 3 — Asumible: impacto bajo y muy poco frecuente","Zona 2 — Atención: riesgo intermedio"))</f>
        <v/>
      </c>
      <c r="AB1836" s="64">
        <f>IFERROR(INDEX(MgAmenCtrl,MATCH(SUBSTITUTE($H1836,"*","-"),MgAmenClave,0)),"")</f>
        <v/>
      </c>
      <c r="AC1836" s="20" t="n"/>
      <c r="AD1836" s="31">
        <f>IFERROR($X1836*(1-IF($AC1836="",$AL1836,VLOOKUP($AC1836,MgMad,2,0))),"")</f>
        <v/>
      </c>
      <c r="AE1836" s="28">
        <f>IFERROR(LOOKUP(AD1836,{0;0.01;0.1;1;10;100},{"Muy baja";"Muy baja";"Baja";"Media";"Alta";"Muy alta"}),"")</f>
        <v/>
      </c>
      <c r="AF1836" s="30">
        <f>T1836*AD1836</f>
        <v/>
      </c>
      <c r="AG1836" s="28">
        <f>IFERROR(LOOKUP(AF1836,{0;0.5;5;25},{"Bajo";"Medio";"Alto";"Crítico"}),"")</f>
        <v/>
      </c>
      <c r="AH1836" s="28">
        <f>IF(AG1836="","",IF(OR(AG1836="Crítico",AG1836="Alto"),"Mitigar",IF(AG1836="Medio","Mitigar","Aceptar y monitorear")))</f>
        <v/>
      </c>
      <c r="AI1836" s="21" t="n"/>
      <c r="AJ1836" s="21" t="n"/>
      <c r="AK1836" s="20" t="n"/>
      <c r="AL1836" s="77">
        <f>IFERROR(INDEX(MgAmenEfic,MATCH(SUBSTITUTE($H1836,"*","-"),MgAmenClave,0)),0)</f>
        <v/>
      </c>
    </row>
    <row r="1837" hidden="1" ht="135" customHeight="1" s="54">
      <c r="B1837" s="59" t="inlineStr">
        <is>
          <t>R-1832</t>
        </is>
      </c>
      <c r="C1837" s="59" t="inlineStr">
        <is>
          <t>TEC-002</t>
        </is>
      </c>
      <c r="D1837" s="64">
        <f>IFERROR(INDEX(MgNombre,MATCH($C1837,MgActId,0)),"")</f>
        <v/>
      </c>
      <c r="E1837" s="64">
        <f>IFERROR(INDEX(MgProceso,MATCH($C1837,MgActId,0)),"")</f>
        <v/>
      </c>
      <c r="F1837" s="64">
        <f>IFERROR(INDEX(MgTipo,MATCH($C1837,MgActId,0)),"")</f>
        <v/>
      </c>
      <c r="G1837" s="64">
        <f>IFERROR(INDEX(MgSubtipo,MATCH($C1837,MgActId,0)),"")</f>
        <v/>
      </c>
      <c r="H1837" s="59" t="inlineStr">
        <is>
          <t>A.22</t>
        </is>
      </c>
      <c r="I1837" s="64">
        <f>IFERROR(INDEX(MgAmenNombre,MATCH(SUBSTITUTE($H1837,"*","-"),MgAmenClave,0)),"")</f>
        <v/>
      </c>
      <c r="J1837" s="28">
        <f>IFERROR(INDEX(MgAmenGrupo,MATCH(SUBSTITUTE($H1837,"*","-"),MgAmenClave,0)),"")</f>
        <v/>
      </c>
      <c r="K1837" s="64">
        <f>IFERROR(INDEX('1. Matriz de Activos'!$Q$6:$Q$239,MATCH($C1837,MgActId,0)),"")</f>
        <v/>
      </c>
      <c r="L1837" s="64">
        <f>IFERROR(INDEX('1. Matriz de Activos'!$R$6:$R$239,MATCH($C1837,MgActId,0)),"")</f>
        <v/>
      </c>
      <c r="M1837" s="64">
        <f>IFERROR(INDEX('1. Matriz de Activos'!$S$6:$S$239,MATCH($C1837,MgActId,0)),"")</f>
        <v/>
      </c>
      <c r="N1837" s="28">
        <f>IFERROR(INDEX(MgAmenDegD,MATCH(SUBSTITUTE($H1837,"*","-"),MgAmenClave,0)),"No aplica")</f>
        <v/>
      </c>
      <c r="O1837" s="28">
        <f>IFERROR(INDEX(MgAmenDegI,MATCH(SUBSTITUTE($H1837,"*","-"),MgAmenClave,0)),"No aplica")</f>
        <v/>
      </c>
      <c r="P1837" s="28">
        <f>IFERROR(INDEX(MgAmenDegC,MATCH(SUBSTITUTE($H1837,"*","-"),MgAmenClave,0)),"No aplica")</f>
        <v/>
      </c>
      <c r="Q1837" s="29">
        <f>IFERROR(VLOOKUP(K1837,MgValor,2,0)*VLOOKUP(N1837,MgDeg,2,0),0)</f>
        <v/>
      </c>
      <c r="R1837" s="29">
        <f>IFERROR(VLOOKUP(L1837,MgValor,2,0)*VLOOKUP(O1837,MgDeg,2,0),0)</f>
        <v/>
      </c>
      <c r="S1837" s="29">
        <f>IFERROR(VLOOKUP(M1837,MgValor,2,0)*VLOOKUP(P1837,MgDeg,2,0),0)</f>
        <v/>
      </c>
      <c r="T1837" s="30">
        <f>MAX(Q1837:S1837)</f>
        <v/>
      </c>
      <c r="U1837" s="28">
        <f>IFERROR(LOOKUP(T1837,{0;0.5;1.5;3;4.5},{"Despreciable";"Bajo";"Medio";"Alto";"Muy alto"}),"")</f>
        <v/>
      </c>
      <c r="V1837" s="13">
        <f>IFERROR(INDEX(MgAmenFrec,MATCH(SUBSTITUTE($H1837,"*","-"),MgAmenClave,0)),"")</f>
        <v/>
      </c>
      <c r="W1837" s="28">
        <f>IFERROR(LOOKUP(X1837,{0;0.01;0.1;1;10;100},{"Muy baja";"Muy baja";"Baja";"Media";"Alta";"Muy alta"}),"")</f>
        <v/>
      </c>
      <c r="X1837" s="31">
        <f>IFERROR(VLOOKUP(V1837,MgFrec,2,0),0)</f>
        <v/>
      </c>
      <c r="Y1837" s="30">
        <f>T1837*X1837</f>
        <v/>
      </c>
      <c r="Z1837" s="28">
        <f>IFERROR(LOOKUP(Y1837,{0;0.5;5;25},{"Bajo";"Medio";"Alto";"Crítico"}),"")</f>
        <v/>
      </c>
      <c r="AA1837" s="64">
        <f>IF(T1837&gt;=3,IF(X1837&gt;=1,"Zona 1 — Crítica: impacto alto y ocurre al menos una vez al año","Zona 4 — Catastrófica poco probable: impacto alto pero excepcional"),IF(AND(T1837&lt;1.5,X1837&lt;1),"Zona 3 — Asumible: impacto bajo y muy poco frecuente","Zona 2 — Atención: riesgo intermedio"))</f>
        <v/>
      </c>
      <c r="AB1837" s="64">
        <f>IFERROR(INDEX(MgAmenCtrl,MATCH(SUBSTITUTE($H1837,"*","-"),MgAmenClave,0)),"")</f>
        <v/>
      </c>
      <c r="AC1837" s="20" t="n"/>
      <c r="AD1837" s="31">
        <f>IFERROR($X1837*(1-IF($AC1837="",$AL1837,VLOOKUP($AC1837,MgMad,2,0))),"")</f>
        <v/>
      </c>
      <c r="AE1837" s="28">
        <f>IFERROR(LOOKUP(AD1837,{0;0.01;0.1;1;10;100},{"Muy baja";"Muy baja";"Baja";"Media";"Alta";"Muy alta"}),"")</f>
        <v/>
      </c>
      <c r="AF1837" s="30">
        <f>T1837*AD1837</f>
        <v/>
      </c>
      <c r="AG1837" s="28">
        <f>IFERROR(LOOKUP(AF1837,{0;0.5;5;25},{"Bajo";"Medio";"Alto";"Crítico"}),"")</f>
        <v/>
      </c>
      <c r="AH1837" s="28">
        <f>IF(AG1837="","",IF(OR(AG1837="Crítico",AG1837="Alto"),"Mitigar",IF(AG1837="Medio","Mitigar","Aceptar y monitorear")))</f>
        <v/>
      </c>
      <c r="AI1837" s="21" t="n"/>
      <c r="AJ1837" s="21" t="n"/>
      <c r="AK1837" s="20" t="n"/>
      <c r="AL1837" s="77">
        <f>IFERROR(INDEX(MgAmenEfic,MATCH(SUBSTITUTE($H1837,"*","-"),MgAmenClave,0)),0)</f>
        <v/>
      </c>
    </row>
    <row r="1838" hidden="1" ht="75" customHeight="1" s="54">
      <c r="B1838" s="59" t="inlineStr">
        <is>
          <t>R-1833</t>
        </is>
      </c>
      <c r="C1838" s="59" t="inlineStr">
        <is>
          <t>TEC-001</t>
        </is>
      </c>
      <c r="D1838" s="64">
        <f>IFERROR(INDEX(MgNombre,MATCH($C1838,MgActId,0)),"")</f>
        <v/>
      </c>
      <c r="E1838" s="64">
        <f>IFERROR(INDEX(MgProceso,MATCH($C1838,MgActId,0)),"")</f>
        <v/>
      </c>
      <c r="F1838" s="64">
        <f>IFERROR(INDEX(MgTipo,MATCH($C1838,MgActId,0)),"")</f>
        <v/>
      </c>
      <c r="G1838" s="64">
        <f>IFERROR(INDEX(MgSubtipo,MATCH($C1838,MgActId,0)),"")</f>
        <v/>
      </c>
      <c r="H1838" s="59" t="inlineStr">
        <is>
          <t>I.5</t>
        </is>
      </c>
      <c r="I1838" s="64">
        <f>IFERROR(INDEX(MgAmenNombre,MATCH(SUBSTITUTE($H1838,"*","-"),MgAmenClave,0)),"")</f>
        <v/>
      </c>
      <c r="J1838" s="28">
        <f>IFERROR(INDEX(MgAmenGrupo,MATCH(SUBSTITUTE($H1838,"*","-"),MgAmenClave,0)),"")</f>
        <v/>
      </c>
      <c r="K1838" s="64">
        <f>IFERROR(INDEX('1. Matriz de Activos'!$Q$6:$Q$239,MATCH($C1838,MgActId,0)),"")</f>
        <v/>
      </c>
      <c r="L1838" s="64">
        <f>IFERROR(INDEX('1. Matriz de Activos'!$R$6:$R$239,MATCH($C1838,MgActId,0)),"")</f>
        <v/>
      </c>
      <c r="M1838" s="64">
        <f>IFERROR(INDEX('1. Matriz de Activos'!$S$6:$S$239,MATCH($C1838,MgActId,0)),"")</f>
        <v/>
      </c>
      <c r="N1838" s="28">
        <f>IFERROR(INDEX(MgAmenDegD,MATCH(SUBSTITUTE($H1838,"*","-"),MgAmenClave,0)),"No aplica")</f>
        <v/>
      </c>
      <c r="O1838" s="28">
        <f>IFERROR(INDEX(MgAmenDegI,MATCH(SUBSTITUTE($H1838,"*","-"),MgAmenClave,0)),"No aplica")</f>
        <v/>
      </c>
      <c r="P1838" s="28">
        <f>IFERROR(INDEX(MgAmenDegC,MATCH(SUBSTITUTE($H1838,"*","-"),MgAmenClave,0)),"No aplica")</f>
        <v/>
      </c>
      <c r="Q1838" s="29">
        <f>IFERROR(VLOOKUP(K1838,MgValor,2,0)*VLOOKUP(N1838,MgDeg,2,0),0)</f>
        <v/>
      </c>
      <c r="R1838" s="29">
        <f>IFERROR(VLOOKUP(L1838,MgValor,2,0)*VLOOKUP(O1838,MgDeg,2,0),0)</f>
        <v/>
      </c>
      <c r="S1838" s="29">
        <f>IFERROR(VLOOKUP(M1838,MgValor,2,0)*VLOOKUP(P1838,MgDeg,2,0),0)</f>
        <v/>
      </c>
      <c r="T1838" s="30">
        <f>MAX(Q1838:S1838)</f>
        <v/>
      </c>
      <c r="U1838" s="28">
        <f>IFERROR(LOOKUP(T1838,{0;0.5;1.5;3;4.5},{"Despreciable";"Bajo";"Medio";"Alto";"Muy alto"}),"")</f>
        <v/>
      </c>
      <c r="V1838" s="13">
        <f>IFERROR(INDEX(MgAmenFrec,MATCH(SUBSTITUTE($H1838,"*","-"),MgAmenClave,0)),"")</f>
        <v/>
      </c>
      <c r="W1838" s="28">
        <f>IFERROR(LOOKUP(X1838,{0;0.01;0.1;1;10;100},{"Muy baja";"Muy baja";"Baja";"Media";"Alta";"Muy alta"}),"")</f>
        <v/>
      </c>
      <c r="X1838" s="31">
        <f>IFERROR(VLOOKUP(V1838,MgFrec,2,0),0)</f>
        <v/>
      </c>
      <c r="Y1838" s="30">
        <f>T1838*X1838</f>
        <v/>
      </c>
      <c r="Z1838" s="28">
        <f>IFERROR(LOOKUP(Y1838,{0;0.5;5;25},{"Bajo";"Medio";"Alto";"Crítico"}),"")</f>
        <v/>
      </c>
      <c r="AA1838" s="64">
        <f>IF(T1838&gt;=3,IF(X1838&gt;=1,"Zona 1 — Crítica: impacto alto y ocurre al menos una vez al año","Zona 4 — Catastrófica poco probable: impacto alto pero excepcional"),IF(AND(T1838&lt;1.5,X1838&lt;1),"Zona 3 — Asumible: impacto bajo y muy poco frecuente","Zona 2 — Atención: riesgo intermedio"))</f>
        <v/>
      </c>
      <c r="AB1838" s="64">
        <f>IFERROR(INDEX(MgAmenCtrl,MATCH(SUBSTITUTE($H1838,"*","-"),MgAmenClave,0)),"")</f>
        <v/>
      </c>
      <c r="AC1838" s="20" t="n"/>
      <c r="AD1838" s="31">
        <f>IFERROR($X1838*(1-IF($AC1838="",$AL1838,VLOOKUP($AC1838,MgMad,2,0))),"")</f>
        <v/>
      </c>
      <c r="AE1838" s="28">
        <f>IFERROR(LOOKUP(AD1838,{0;0.01;0.1;1;10;100},{"Muy baja";"Muy baja";"Baja";"Media";"Alta";"Muy alta"}),"")</f>
        <v/>
      </c>
      <c r="AF1838" s="30">
        <f>T1838*AD1838</f>
        <v/>
      </c>
      <c r="AG1838" s="28">
        <f>IFERROR(LOOKUP(AF1838,{0;0.5;5;25},{"Bajo";"Medio";"Alto";"Crítico"}),"")</f>
        <v/>
      </c>
      <c r="AH1838" s="28">
        <f>IF(AG1838="","",IF(OR(AG1838="Crítico",AG1838="Alto"),"Mitigar",IF(AG1838="Medio","Mitigar","Aceptar y monitorear")))</f>
        <v/>
      </c>
      <c r="AI1838" s="21" t="n"/>
      <c r="AJ1838" s="21" t="n"/>
      <c r="AK1838" s="20" t="n"/>
      <c r="AL1838" s="77">
        <f>IFERROR(INDEX(MgAmenEfic,MATCH(SUBSTITUTE($H1838,"*","-"),MgAmenClave,0)),0)</f>
        <v/>
      </c>
    </row>
    <row r="1839" hidden="1" ht="105" customHeight="1" s="54">
      <c r="B1839" s="59" t="inlineStr">
        <is>
          <t>R-1834</t>
        </is>
      </c>
      <c r="C1839" s="59" t="inlineStr">
        <is>
          <t>TEC-001</t>
        </is>
      </c>
      <c r="D1839" s="64">
        <f>IFERROR(INDEX(MgNombre,MATCH($C1839,MgActId,0)),"")</f>
        <v/>
      </c>
      <c r="E1839" s="64">
        <f>IFERROR(INDEX(MgProceso,MATCH($C1839,MgActId,0)),"")</f>
        <v/>
      </c>
      <c r="F1839" s="64">
        <f>IFERROR(INDEX(MgTipo,MATCH($C1839,MgActId,0)),"")</f>
        <v/>
      </c>
      <c r="G1839" s="64">
        <f>IFERROR(INDEX(MgSubtipo,MATCH($C1839,MgActId,0)),"")</f>
        <v/>
      </c>
      <c r="H1839" s="59" t="inlineStr">
        <is>
          <t>E.1</t>
        </is>
      </c>
      <c r="I1839" s="64">
        <f>IFERROR(INDEX(MgAmenNombre,MATCH(SUBSTITUTE($H1839,"*","-"),MgAmenClave,0)),"")</f>
        <v/>
      </c>
      <c r="J1839" s="28">
        <f>IFERROR(INDEX(MgAmenGrupo,MATCH(SUBSTITUTE($H1839,"*","-"),MgAmenClave,0)),"")</f>
        <v/>
      </c>
      <c r="K1839" s="64">
        <f>IFERROR(INDEX('1. Matriz de Activos'!$Q$6:$Q$239,MATCH($C1839,MgActId,0)),"")</f>
        <v/>
      </c>
      <c r="L1839" s="64">
        <f>IFERROR(INDEX('1. Matriz de Activos'!$R$6:$R$239,MATCH($C1839,MgActId,0)),"")</f>
        <v/>
      </c>
      <c r="M1839" s="64">
        <f>IFERROR(INDEX('1. Matriz de Activos'!$S$6:$S$239,MATCH($C1839,MgActId,0)),"")</f>
        <v/>
      </c>
      <c r="N1839" s="28">
        <f>IFERROR(INDEX(MgAmenDegD,MATCH(SUBSTITUTE($H1839,"*","-"),MgAmenClave,0)),"No aplica")</f>
        <v/>
      </c>
      <c r="O1839" s="28">
        <f>IFERROR(INDEX(MgAmenDegI,MATCH(SUBSTITUTE($H1839,"*","-"),MgAmenClave,0)),"No aplica")</f>
        <v/>
      </c>
      <c r="P1839" s="28">
        <f>IFERROR(INDEX(MgAmenDegC,MATCH(SUBSTITUTE($H1839,"*","-"),MgAmenClave,0)),"No aplica")</f>
        <v/>
      </c>
      <c r="Q1839" s="29">
        <f>IFERROR(VLOOKUP(K1839,MgValor,2,0)*VLOOKUP(N1839,MgDeg,2,0),0)</f>
        <v/>
      </c>
      <c r="R1839" s="29">
        <f>IFERROR(VLOOKUP(L1839,MgValor,2,0)*VLOOKUP(O1839,MgDeg,2,0),0)</f>
        <v/>
      </c>
      <c r="S1839" s="29">
        <f>IFERROR(VLOOKUP(M1839,MgValor,2,0)*VLOOKUP(P1839,MgDeg,2,0),0)</f>
        <v/>
      </c>
      <c r="T1839" s="30">
        <f>MAX(Q1839:S1839)</f>
        <v/>
      </c>
      <c r="U1839" s="28">
        <f>IFERROR(LOOKUP(T1839,{0;0.5;1.5;3;4.5},{"Despreciable";"Bajo";"Medio";"Alto";"Muy alto"}),"")</f>
        <v/>
      </c>
      <c r="V1839" s="13">
        <f>IFERROR(INDEX(MgAmenFrec,MATCH(SUBSTITUTE($H1839,"*","-"),MgAmenClave,0)),"")</f>
        <v/>
      </c>
      <c r="W1839" s="28">
        <f>IFERROR(LOOKUP(X1839,{0;0.01;0.1;1;10;100},{"Muy baja";"Muy baja";"Baja";"Media";"Alta";"Muy alta"}),"")</f>
        <v/>
      </c>
      <c r="X1839" s="31">
        <f>IFERROR(VLOOKUP(V1839,MgFrec,2,0),0)</f>
        <v/>
      </c>
      <c r="Y1839" s="30">
        <f>T1839*X1839</f>
        <v/>
      </c>
      <c r="Z1839" s="28">
        <f>IFERROR(LOOKUP(Y1839,{0;0.5;5;25},{"Bajo";"Medio";"Alto";"Crítico"}),"")</f>
        <v/>
      </c>
      <c r="AA1839" s="64">
        <f>IF(T1839&gt;=3,IF(X1839&gt;=1,"Zona 1 — Crítica: impacto alto y ocurre al menos una vez al año","Zona 4 — Catastrófica poco probable: impacto alto pero excepcional"),IF(AND(T1839&lt;1.5,X1839&lt;1),"Zona 3 — Asumible: impacto bajo y muy poco frecuente","Zona 2 — Atención: riesgo intermedio"))</f>
        <v/>
      </c>
      <c r="AB1839" s="64">
        <f>IFERROR(INDEX(MgAmenCtrl,MATCH(SUBSTITUTE($H1839,"*","-"),MgAmenClave,0)),"")</f>
        <v/>
      </c>
      <c r="AC1839" s="20" t="n"/>
      <c r="AD1839" s="31">
        <f>IFERROR($X1839*(1-IF($AC1839="",$AL1839,VLOOKUP($AC1839,MgMad,2,0))),"")</f>
        <v/>
      </c>
      <c r="AE1839" s="28">
        <f>IFERROR(LOOKUP(AD1839,{0;0.01;0.1;1;10;100},{"Muy baja";"Muy baja";"Baja";"Media";"Alta";"Muy alta"}),"")</f>
        <v/>
      </c>
      <c r="AF1839" s="30">
        <f>T1839*AD1839</f>
        <v/>
      </c>
      <c r="AG1839" s="28">
        <f>IFERROR(LOOKUP(AF1839,{0;0.5;5;25},{"Bajo";"Medio";"Alto";"Crítico"}),"")</f>
        <v/>
      </c>
      <c r="AH1839" s="28">
        <f>IF(AG1839="","",IF(OR(AG1839="Crítico",AG1839="Alto"),"Mitigar",IF(AG1839="Medio","Mitigar","Aceptar y monitorear")))</f>
        <v/>
      </c>
      <c r="AI1839" s="21" t="n"/>
      <c r="AJ1839" s="21" t="n"/>
      <c r="AK1839" s="20" t="n"/>
      <c r="AL1839" s="77">
        <f>IFERROR(INDEX(MgAmenEfic,MATCH(SUBSTITUTE($H1839,"*","-"),MgAmenClave,0)),0)</f>
        <v/>
      </c>
    </row>
    <row r="1840" hidden="1" ht="120" customHeight="1" s="54">
      <c r="B1840" s="59" t="inlineStr">
        <is>
          <t>R-1835</t>
        </is>
      </c>
      <c r="C1840" s="59" t="inlineStr">
        <is>
          <t>TEC-001</t>
        </is>
      </c>
      <c r="D1840" s="64">
        <f>IFERROR(INDEX(MgNombre,MATCH($C1840,MgActId,0)),"")</f>
        <v/>
      </c>
      <c r="E1840" s="64">
        <f>IFERROR(INDEX(MgProceso,MATCH($C1840,MgActId,0)),"")</f>
        <v/>
      </c>
      <c r="F1840" s="64">
        <f>IFERROR(INDEX(MgTipo,MATCH($C1840,MgActId,0)),"")</f>
        <v/>
      </c>
      <c r="G1840" s="64">
        <f>IFERROR(INDEX(MgSubtipo,MATCH($C1840,MgActId,0)),"")</f>
        <v/>
      </c>
      <c r="H1840" s="59" t="inlineStr">
        <is>
          <t>E.2</t>
        </is>
      </c>
      <c r="I1840" s="64">
        <f>IFERROR(INDEX(MgAmenNombre,MATCH(SUBSTITUTE($H1840,"*","-"),MgAmenClave,0)),"")</f>
        <v/>
      </c>
      <c r="J1840" s="28">
        <f>IFERROR(INDEX(MgAmenGrupo,MATCH(SUBSTITUTE($H1840,"*","-"),MgAmenClave,0)),"")</f>
        <v/>
      </c>
      <c r="K1840" s="64">
        <f>IFERROR(INDEX('1. Matriz de Activos'!$Q$6:$Q$239,MATCH($C1840,MgActId,0)),"")</f>
        <v/>
      </c>
      <c r="L1840" s="64">
        <f>IFERROR(INDEX('1. Matriz de Activos'!$R$6:$R$239,MATCH($C1840,MgActId,0)),"")</f>
        <v/>
      </c>
      <c r="M1840" s="64">
        <f>IFERROR(INDEX('1. Matriz de Activos'!$S$6:$S$239,MATCH($C1840,MgActId,0)),"")</f>
        <v/>
      </c>
      <c r="N1840" s="28">
        <f>IFERROR(INDEX(MgAmenDegD,MATCH(SUBSTITUTE($H1840,"*","-"),MgAmenClave,0)),"No aplica")</f>
        <v/>
      </c>
      <c r="O1840" s="28">
        <f>IFERROR(INDEX(MgAmenDegI,MATCH(SUBSTITUTE($H1840,"*","-"),MgAmenClave,0)),"No aplica")</f>
        <v/>
      </c>
      <c r="P1840" s="28">
        <f>IFERROR(INDEX(MgAmenDegC,MATCH(SUBSTITUTE($H1840,"*","-"),MgAmenClave,0)),"No aplica")</f>
        <v/>
      </c>
      <c r="Q1840" s="29">
        <f>IFERROR(VLOOKUP(K1840,MgValor,2,0)*VLOOKUP(N1840,MgDeg,2,0),0)</f>
        <v/>
      </c>
      <c r="R1840" s="29">
        <f>IFERROR(VLOOKUP(L1840,MgValor,2,0)*VLOOKUP(O1840,MgDeg,2,0),0)</f>
        <v/>
      </c>
      <c r="S1840" s="29">
        <f>IFERROR(VLOOKUP(M1840,MgValor,2,0)*VLOOKUP(P1840,MgDeg,2,0),0)</f>
        <v/>
      </c>
      <c r="T1840" s="30">
        <f>MAX(Q1840:S1840)</f>
        <v/>
      </c>
      <c r="U1840" s="28">
        <f>IFERROR(LOOKUP(T1840,{0;0.5;1.5;3;4.5},{"Despreciable";"Bajo";"Medio";"Alto";"Muy alto"}),"")</f>
        <v/>
      </c>
      <c r="V1840" s="13">
        <f>IFERROR(INDEX(MgAmenFrec,MATCH(SUBSTITUTE($H1840,"*","-"),MgAmenClave,0)),"")</f>
        <v/>
      </c>
      <c r="W1840" s="28">
        <f>IFERROR(LOOKUP(X1840,{0;0.01;0.1;1;10;100},{"Muy baja";"Muy baja";"Baja";"Media";"Alta";"Muy alta"}),"")</f>
        <v/>
      </c>
      <c r="X1840" s="31">
        <f>IFERROR(VLOOKUP(V1840,MgFrec,2,0),0)</f>
        <v/>
      </c>
      <c r="Y1840" s="30">
        <f>T1840*X1840</f>
        <v/>
      </c>
      <c r="Z1840" s="28">
        <f>IFERROR(LOOKUP(Y1840,{0;0.5;5;25},{"Bajo";"Medio";"Alto";"Crítico"}),"")</f>
        <v/>
      </c>
      <c r="AA1840" s="64">
        <f>IF(T1840&gt;=3,IF(X1840&gt;=1,"Zona 1 — Crítica: impacto alto y ocurre al menos una vez al año","Zona 4 — Catastrófica poco probable: impacto alto pero excepcional"),IF(AND(T1840&lt;1.5,X1840&lt;1),"Zona 3 — Asumible: impacto bajo y muy poco frecuente","Zona 2 — Atención: riesgo intermedio"))</f>
        <v/>
      </c>
      <c r="AB1840" s="64">
        <f>IFERROR(INDEX(MgAmenCtrl,MATCH(SUBSTITUTE($H1840,"*","-"),MgAmenClave,0)),"")</f>
        <v/>
      </c>
      <c r="AC1840" s="20" t="n"/>
      <c r="AD1840" s="31">
        <f>IFERROR($X1840*(1-IF($AC1840="",$AL1840,VLOOKUP($AC1840,MgMad,2,0))),"")</f>
        <v/>
      </c>
      <c r="AE1840" s="28">
        <f>IFERROR(LOOKUP(AD1840,{0;0.01;0.1;1;10;100},{"Muy baja";"Muy baja";"Baja";"Media";"Alta";"Muy alta"}),"")</f>
        <v/>
      </c>
      <c r="AF1840" s="30">
        <f>T1840*AD1840</f>
        <v/>
      </c>
      <c r="AG1840" s="28">
        <f>IFERROR(LOOKUP(AF1840,{0;0.5;5;25},{"Bajo";"Medio";"Alto";"Crítico"}),"")</f>
        <v/>
      </c>
      <c r="AH1840" s="28">
        <f>IF(AG1840="","",IF(OR(AG1840="Crítico",AG1840="Alto"),"Mitigar",IF(AG1840="Medio","Mitigar","Aceptar y monitorear")))</f>
        <v/>
      </c>
      <c r="AI1840" s="21" t="n"/>
      <c r="AJ1840" s="21" t="n"/>
      <c r="AK1840" s="20" t="n"/>
      <c r="AL1840" s="77">
        <f>IFERROR(INDEX(MgAmenEfic,MATCH(SUBSTITUTE($H1840,"*","-"),MgAmenClave,0)),0)</f>
        <v/>
      </c>
    </row>
    <row r="1841" hidden="1" ht="75" customHeight="1" s="54">
      <c r="B1841" s="59" t="inlineStr">
        <is>
          <t>R-1836</t>
        </is>
      </c>
      <c r="C1841" s="59" t="inlineStr">
        <is>
          <t>TEC-001</t>
        </is>
      </c>
      <c r="D1841" s="64">
        <f>IFERROR(INDEX(MgNombre,MATCH($C1841,MgActId,0)),"")</f>
        <v/>
      </c>
      <c r="E1841" s="64">
        <f>IFERROR(INDEX(MgProceso,MATCH($C1841,MgActId,0)),"")</f>
        <v/>
      </c>
      <c r="F1841" s="64">
        <f>IFERROR(INDEX(MgTipo,MATCH($C1841,MgActId,0)),"")</f>
        <v/>
      </c>
      <c r="G1841" s="64">
        <f>IFERROR(INDEX(MgSubtipo,MATCH($C1841,MgActId,0)),"")</f>
        <v/>
      </c>
      <c r="H1841" s="59" t="inlineStr">
        <is>
          <t>E.8</t>
        </is>
      </c>
      <c r="I1841" s="64">
        <f>IFERROR(INDEX(MgAmenNombre,MATCH(SUBSTITUTE($H1841,"*","-"),MgAmenClave,0)),"")</f>
        <v/>
      </c>
      <c r="J1841" s="28">
        <f>IFERROR(INDEX(MgAmenGrupo,MATCH(SUBSTITUTE($H1841,"*","-"),MgAmenClave,0)),"")</f>
        <v/>
      </c>
      <c r="K1841" s="64">
        <f>IFERROR(INDEX('1. Matriz de Activos'!$Q$6:$Q$239,MATCH($C1841,MgActId,0)),"")</f>
        <v/>
      </c>
      <c r="L1841" s="64">
        <f>IFERROR(INDEX('1. Matriz de Activos'!$R$6:$R$239,MATCH($C1841,MgActId,0)),"")</f>
        <v/>
      </c>
      <c r="M1841" s="64">
        <f>IFERROR(INDEX('1. Matriz de Activos'!$S$6:$S$239,MATCH($C1841,MgActId,0)),"")</f>
        <v/>
      </c>
      <c r="N1841" s="28">
        <f>IFERROR(INDEX(MgAmenDegD,MATCH(SUBSTITUTE($H1841,"*","-"),MgAmenClave,0)),"No aplica")</f>
        <v/>
      </c>
      <c r="O1841" s="28">
        <f>IFERROR(INDEX(MgAmenDegI,MATCH(SUBSTITUTE($H1841,"*","-"),MgAmenClave,0)),"No aplica")</f>
        <v/>
      </c>
      <c r="P1841" s="28">
        <f>IFERROR(INDEX(MgAmenDegC,MATCH(SUBSTITUTE($H1841,"*","-"),MgAmenClave,0)),"No aplica")</f>
        <v/>
      </c>
      <c r="Q1841" s="29">
        <f>IFERROR(VLOOKUP(K1841,MgValor,2,0)*VLOOKUP(N1841,MgDeg,2,0),0)</f>
        <v/>
      </c>
      <c r="R1841" s="29">
        <f>IFERROR(VLOOKUP(L1841,MgValor,2,0)*VLOOKUP(O1841,MgDeg,2,0),0)</f>
        <v/>
      </c>
      <c r="S1841" s="29">
        <f>IFERROR(VLOOKUP(M1841,MgValor,2,0)*VLOOKUP(P1841,MgDeg,2,0),0)</f>
        <v/>
      </c>
      <c r="T1841" s="30">
        <f>MAX(Q1841:S1841)</f>
        <v/>
      </c>
      <c r="U1841" s="28">
        <f>IFERROR(LOOKUP(T1841,{0;0.5;1.5;3;4.5},{"Despreciable";"Bajo";"Medio";"Alto";"Muy alto"}),"")</f>
        <v/>
      </c>
      <c r="V1841" s="13">
        <f>IFERROR(INDEX(MgAmenFrec,MATCH(SUBSTITUTE($H1841,"*","-"),MgAmenClave,0)),"")</f>
        <v/>
      </c>
      <c r="W1841" s="28">
        <f>IFERROR(LOOKUP(X1841,{0;0.01;0.1;1;10;100},{"Muy baja";"Muy baja";"Baja";"Media";"Alta";"Muy alta"}),"")</f>
        <v/>
      </c>
      <c r="X1841" s="31">
        <f>IFERROR(VLOOKUP(V1841,MgFrec,2,0),0)</f>
        <v/>
      </c>
      <c r="Y1841" s="30">
        <f>T1841*X1841</f>
        <v/>
      </c>
      <c r="Z1841" s="28">
        <f>IFERROR(LOOKUP(Y1841,{0;0.5;5;25},{"Bajo";"Medio";"Alto";"Crítico"}),"")</f>
        <v/>
      </c>
      <c r="AA1841" s="64">
        <f>IF(T1841&gt;=3,IF(X1841&gt;=1,"Zona 1 — Crítica: impacto alto y ocurre al menos una vez al año","Zona 4 — Catastrófica poco probable: impacto alto pero excepcional"),IF(AND(T1841&lt;1.5,X1841&lt;1),"Zona 3 — Asumible: impacto bajo y muy poco frecuente","Zona 2 — Atención: riesgo intermedio"))</f>
        <v/>
      </c>
      <c r="AB1841" s="64">
        <f>IFERROR(INDEX(MgAmenCtrl,MATCH(SUBSTITUTE($H1841,"*","-"),MgAmenClave,0)),"")</f>
        <v/>
      </c>
      <c r="AC1841" s="20" t="n"/>
      <c r="AD1841" s="31">
        <f>IFERROR($X1841*(1-IF($AC1841="",$AL1841,VLOOKUP($AC1841,MgMad,2,0))),"")</f>
        <v/>
      </c>
      <c r="AE1841" s="28">
        <f>IFERROR(LOOKUP(AD1841,{0;0.01;0.1;1;10;100},{"Muy baja";"Muy baja";"Baja";"Media";"Alta";"Muy alta"}),"")</f>
        <v/>
      </c>
      <c r="AF1841" s="30">
        <f>T1841*AD1841</f>
        <v/>
      </c>
      <c r="AG1841" s="28">
        <f>IFERROR(LOOKUP(AF1841,{0;0.5;5;25},{"Bajo";"Medio";"Alto";"Crítico"}),"")</f>
        <v/>
      </c>
      <c r="AH1841" s="28">
        <f>IF(AG1841="","",IF(OR(AG1841="Crítico",AG1841="Alto"),"Mitigar",IF(AG1841="Medio","Mitigar","Aceptar y monitorear")))</f>
        <v/>
      </c>
      <c r="AI1841" s="21" t="n"/>
      <c r="AJ1841" s="21" t="n"/>
      <c r="AK1841" s="20" t="n"/>
      <c r="AL1841" s="77">
        <f>IFERROR(INDEX(MgAmenEfic,MATCH(SUBSTITUTE($H1841,"*","-"),MgAmenClave,0)),0)</f>
        <v/>
      </c>
    </row>
    <row r="1842" hidden="1" ht="60" customHeight="1" s="54">
      <c r="B1842" s="59" t="inlineStr">
        <is>
          <t>R-1837</t>
        </is>
      </c>
      <c r="C1842" s="59" t="inlineStr">
        <is>
          <t>TEC-001</t>
        </is>
      </c>
      <c r="D1842" s="64">
        <f>IFERROR(INDEX(MgNombre,MATCH($C1842,MgActId,0)),"")</f>
        <v/>
      </c>
      <c r="E1842" s="64">
        <f>IFERROR(INDEX(MgProceso,MATCH($C1842,MgActId,0)),"")</f>
        <v/>
      </c>
      <c r="F1842" s="64">
        <f>IFERROR(INDEX(MgTipo,MATCH($C1842,MgActId,0)),"")</f>
        <v/>
      </c>
      <c r="G1842" s="64">
        <f>IFERROR(INDEX(MgSubtipo,MATCH($C1842,MgActId,0)),"")</f>
        <v/>
      </c>
      <c r="H1842" s="59" t="inlineStr">
        <is>
          <t>E.9</t>
        </is>
      </c>
      <c r="I1842" s="64">
        <f>IFERROR(INDEX(MgAmenNombre,MATCH(SUBSTITUTE($H1842,"*","-"),MgAmenClave,0)),"")</f>
        <v/>
      </c>
      <c r="J1842" s="28">
        <f>IFERROR(INDEX(MgAmenGrupo,MATCH(SUBSTITUTE($H1842,"*","-"),MgAmenClave,0)),"")</f>
        <v/>
      </c>
      <c r="K1842" s="64">
        <f>IFERROR(INDEX('1. Matriz de Activos'!$Q$6:$Q$239,MATCH($C1842,MgActId,0)),"")</f>
        <v/>
      </c>
      <c r="L1842" s="64">
        <f>IFERROR(INDEX('1. Matriz de Activos'!$R$6:$R$239,MATCH($C1842,MgActId,0)),"")</f>
        <v/>
      </c>
      <c r="M1842" s="64">
        <f>IFERROR(INDEX('1. Matriz de Activos'!$S$6:$S$239,MATCH($C1842,MgActId,0)),"")</f>
        <v/>
      </c>
      <c r="N1842" s="28">
        <f>IFERROR(INDEX(MgAmenDegD,MATCH(SUBSTITUTE($H1842,"*","-"),MgAmenClave,0)),"No aplica")</f>
        <v/>
      </c>
      <c r="O1842" s="28">
        <f>IFERROR(INDEX(MgAmenDegI,MATCH(SUBSTITUTE($H1842,"*","-"),MgAmenClave,0)),"No aplica")</f>
        <v/>
      </c>
      <c r="P1842" s="28">
        <f>IFERROR(INDEX(MgAmenDegC,MATCH(SUBSTITUTE($H1842,"*","-"),MgAmenClave,0)),"No aplica")</f>
        <v/>
      </c>
      <c r="Q1842" s="29">
        <f>IFERROR(VLOOKUP(K1842,MgValor,2,0)*VLOOKUP(N1842,MgDeg,2,0),0)</f>
        <v/>
      </c>
      <c r="R1842" s="29">
        <f>IFERROR(VLOOKUP(L1842,MgValor,2,0)*VLOOKUP(O1842,MgDeg,2,0),0)</f>
        <v/>
      </c>
      <c r="S1842" s="29">
        <f>IFERROR(VLOOKUP(M1842,MgValor,2,0)*VLOOKUP(P1842,MgDeg,2,0),0)</f>
        <v/>
      </c>
      <c r="T1842" s="30">
        <f>MAX(Q1842:S1842)</f>
        <v/>
      </c>
      <c r="U1842" s="28">
        <f>IFERROR(LOOKUP(T1842,{0;0.5;1.5;3;4.5},{"Despreciable";"Bajo";"Medio";"Alto";"Muy alto"}),"")</f>
        <v/>
      </c>
      <c r="V1842" s="13">
        <f>IFERROR(INDEX(MgAmenFrec,MATCH(SUBSTITUTE($H1842,"*","-"),MgAmenClave,0)),"")</f>
        <v/>
      </c>
      <c r="W1842" s="28">
        <f>IFERROR(LOOKUP(X1842,{0;0.01;0.1;1;10;100},{"Muy baja";"Muy baja";"Baja";"Media";"Alta";"Muy alta"}),"")</f>
        <v/>
      </c>
      <c r="X1842" s="31">
        <f>IFERROR(VLOOKUP(V1842,MgFrec,2,0),0)</f>
        <v/>
      </c>
      <c r="Y1842" s="30">
        <f>T1842*X1842</f>
        <v/>
      </c>
      <c r="Z1842" s="28">
        <f>IFERROR(LOOKUP(Y1842,{0;0.5;5;25},{"Bajo";"Medio";"Alto";"Crítico"}),"")</f>
        <v/>
      </c>
      <c r="AA1842" s="64">
        <f>IF(T1842&gt;=3,IF(X1842&gt;=1,"Zona 1 — Crítica: impacto alto y ocurre al menos una vez al año","Zona 4 — Catastrófica poco probable: impacto alto pero excepcional"),IF(AND(T1842&lt;1.5,X1842&lt;1),"Zona 3 — Asumible: impacto bajo y muy poco frecuente","Zona 2 — Atención: riesgo intermedio"))</f>
        <v/>
      </c>
      <c r="AB1842" s="64">
        <f>IFERROR(INDEX(MgAmenCtrl,MATCH(SUBSTITUTE($H1842,"*","-"),MgAmenClave,0)),"")</f>
        <v/>
      </c>
      <c r="AC1842" s="20" t="n"/>
      <c r="AD1842" s="31">
        <f>IFERROR($X1842*(1-IF($AC1842="",$AL1842,VLOOKUP($AC1842,MgMad,2,0))),"")</f>
        <v/>
      </c>
      <c r="AE1842" s="28">
        <f>IFERROR(LOOKUP(AD1842,{0;0.01;0.1;1;10;100},{"Muy baja";"Muy baja";"Baja";"Media";"Alta";"Muy alta"}),"")</f>
        <v/>
      </c>
      <c r="AF1842" s="30">
        <f>T1842*AD1842</f>
        <v/>
      </c>
      <c r="AG1842" s="28">
        <f>IFERROR(LOOKUP(AF1842,{0;0.5;5;25},{"Bajo";"Medio";"Alto";"Crítico"}),"")</f>
        <v/>
      </c>
      <c r="AH1842" s="28">
        <f>IF(AG1842="","",IF(OR(AG1842="Crítico",AG1842="Alto"),"Mitigar",IF(AG1842="Medio","Mitigar","Aceptar y monitorear")))</f>
        <v/>
      </c>
      <c r="AI1842" s="21" t="n"/>
      <c r="AJ1842" s="21" t="n"/>
      <c r="AK1842" s="20" t="n"/>
      <c r="AL1842" s="77">
        <f>IFERROR(INDEX(MgAmenEfic,MATCH(SUBSTITUTE($H1842,"*","-"),MgAmenClave,0)),0)</f>
        <v/>
      </c>
    </row>
    <row r="1843" hidden="1" ht="90" customHeight="1" s="54">
      <c r="B1843" s="59" t="inlineStr">
        <is>
          <t>R-1838</t>
        </is>
      </c>
      <c r="C1843" s="59" t="inlineStr">
        <is>
          <t>TEC-001</t>
        </is>
      </c>
      <c r="D1843" s="64">
        <f>IFERROR(INDEX(MgNombre,MATCH($C1843,MgActId,0)),"")</f>
        <v/>
      </c>
      <c r="E1843" s="64">
        <f>IFERROR(INDEX(MgProceso,MATCH($C1843,MgActId,0)),"")</f>
        <v/>
      </c>
      <c r="F1843" s="64">
        <f>IFERROR(INDEX(MgTipo,MATCH($C1843,MgActId,0)),"")</f>
        <v/>
      </c>
      <c r="G1843" s="64">
        <f>IFERROR(INDEX(MgSubtipo,MATCH($C1843,MgActId,0)),"")</f>
        <v/>
      </c>
      <c r="H1843" s="59" t="inlineStr">
        <is>
          <t>E.10</t>
        </is>
      </c>
      <c r="I1843" s="64">
        <f>IFERROR(INDEX(MgAmenNombre,MATCH(SUBSTITUTE($H1843,"*","-"),MgAmenClave,0)),"")</f>
        <v/>
      </c>
      <c r="J1843" s="28">
        <f>IFERROR(INDEX(MgAmenGrupo,MATCH(SUBSTITUTE($H1843,"*","-"),MgAmenClave,0)),"")</f>
        <v/>
      </c>
      <c r="K1843" s="64">
        <f>IFERROR(INDEX('1. Matriz de Activos'!$Q$6:$Q$239,MATCH($C1843,MgActId,0)),"")</f>
        <v/>
      </c>
      <c r="L1843" s="64">
        <f>IFERROR(INDEX('1. Matriz de Activos'!$R$6:$R$239,MATCH($C1843,MgActId,0)),"")</f>
        <v/>
      </c>
      <c r="M1843" s="64">
        <f>IFERROR(INDEX('1. Matriz de Activos'!$S$6:$S$239,MATCH($C1843,MgActId,0)),"")</f>
        <v/>
      </c>
      <c r="N1843" s="28">
        <f>IFERROR(INDEX(MgAmenDegD,MATCH(SUBSTITUTE($H1843,"*","-"),MgAmenClave,0)),"No aplica")</f>
        <v/>
      </c>
      <c r="O1843" s="28">
        <f>IFERROR(INDEX(MgAmenDegI,MATCH(SUBSTITUTE($H1843,"*","-"),MgAmenClave,0)),"No aplica")</f>
        <v/>
      </c>
      <c r="P1843" s="28">
        <f>IFERROR(INDEX(MgAmenDegC,MATCH(SUBSTITUTE($H1843,"*","-"),MgAmenClave,0)),"No aplica")</f>
        <v/>
      </c>
      <c r="Q1843" s="29">
        <f>IFERROR(VLOOKUP(K1843,MgValor,2,0)*VLOOKUP(N1843,MgDeg,2,0),0)</f>
        <v/>
      </c>
      <c r="R1843" s="29">
        <f>IFERROR(VLOOKUP(L1843,MgValor,2,0)*VLOOKUP(O1843,MgDeg,2,0),0)</f>
        <v/>
      </c>
      <c r="S1843" s="29">
        <f>IFERROR(VLOOKUP(M1843,MgValor,2,0)*VLOOKUP(P1843,MgDeg,2,0),0)</f>
        <v/>
      </c>
      <c r="T1843" s="30">
        <f>MAX(Q1843:S1843)</f>
        <v/>
      </c>
      <c r="U1843" s="28">
        <f>IFERROR(LOOKUP(T1843,{0;0.5;1.5;3;4.5},{"Despreciable";"Bajo";"Medio";"Alto";"Muy alto"}),"")</f>
        <v/>
      </c>
      <c r="V1843" s="13">
        <f>IFERROR(INDEX(MgAmenFrec,MATCH(SUBSTITUTE($H1843,"*","-"),MgAmenClave,0)),"")</f>
        <v/>
      </c>
      <c r="W1843" s="28">
        <f>IFERROR(LOOKUP(X1843,{0;0.01;0.1;1;10;100},{"Muy baja";"Muy baja";"Baja";"Media";"Alta";"Muy alta"}),"")</f>
        <v/>
      </c>
      <c r="X1843" s="31">
        <f>IFERROR(VLOOKUP(V1843,MgFrec,2,0),0)</f>
        <v/>
      </c>
      <c r="Y1843" s="30">
        <f>T1843*X1843</f>
        <v/>
      </c>
      <c r="Z1843" s="28">
        <f>IFERROR(LOOKUP(Y1843,{0;0.5;5;25},{"Bajo";"Medio";"Alto";"Crítico"}),"")</f>
        <v/>
      </c>
      <c r="AA1843" s="64">
        <f>IF(T1843&gt;=3,IF(X1843&gt;=1,"Zona 1 — Crítica: impacto alto y ocurre al menos una vez al año","Zona 4 — Catastrófica poco probable: impacto alto pero excepcional"),IF(AND(T1843&lt;1.5,X1843&lt;1),"Zona 3 — Asumible: impacto bajo y muy poco frecuente","Zona 2 — Atención: riesgo intermedio"))</f>
        <v/>
      </c>
      <c r="AB1843" s="64">
        <f>IFERROR(INDEX(MgAmenCtrl,MATCH(SUBSTITUTE($H1843,"*","-"),MgAmenClave,0)),"")</f>
        <v/>
      </c>
      <c r="AC1843" s="20" t="n"/>
      <c r="AD1843" s="31">
        <f>IFERROR($X1843*(1-IF($AC1843="",$AL1843,VLOOKUP($AC1843,MgMad,2,0))),"")</f>
        <v/>
      </c>
      <c r="AE1843" s="28">
        <f>IFERROR(LOOKUP(AD1843,{0;0.01;0.1;1;10;100},{"Muy baja";"Muy baja";"Baja";"Media";"Alta";"Muy alta"}),"")</f>
        <v/>
      </c>
      <c r="AF1843" s="30">
        <f>T1843*AD1843</f>
        <v/>
      </c>
      <c r="AG1843" s="28">
        <f>IFERROR(LOOKUP(AF1843,{0;0.5;5;25},{"Bajo";"Medio";"Alto";"Crítico"}),"")</f>
        <v/>
      </c>
      <c r="AH1843" s="28">
        <f>IF(AG1843="","",IF(OR(AG1843="Crítico",AG1843="Alto"),"Mitigar",IF(AG1843="Medio","Mitigar","Aceptar y monitorear")))</f>
        <v/>
      </c>
      <c r="AI1843" s="21" t="n"/>
      <c r="AJ1843" s="21" t="n"/>
      <c r="AK1843" s="20" t="n"/>
      <c r="AL1843" s="77">
        <f>IFERROR(INDEX(MgAmenEfic,MATCH(SUBSTITUTE($H1843,"*","-"),MgAmenClave,0)),0)</f>
        <v/>
      </c>
    </row>
    <row r="1844" hidden="1" ht="90" customHeight="1" s="54">
      <c r="B1844" s="59" t="inlineStr">
        <is>
          <t>R-1839</t>
        </is>
      </c>
      <c r="C1844" s="59" t="inlineStr">
        <is>
          <t>TEC-001</t>
        </is>
      </c>
      <c r="D1844" s="64">
        <f>IFERROR(INDEX(MgNombre,MATCH($C1844,MgActId,0)),"")</f>
        <v/>
      </c>
      <c r="E1844" s="64">
        <f>IFERROR(INDEX(MgProceso,MATCH($C1844,MgActId,0)),"")</f>
        <v/>
      </c>
      <c r="F1844" s="64">
        <f>IFERROR(INDEX(MgTipo,MATCH($C1844,MgActId,0)),"")</f>
        <v/>
      </c>
      <c r="G1844" s="64">
        <f>IFERROR(INDEX(MgSubtipo,MATCH($C1844,MgActId,0)),"")</f>
        <v/>
      </c>
      <c r="H1844" s="59" t="inlineStr">
        <is>
          <t>E.14</t>
        </is>
      </c>
      <c r="I1844" s="64">
        <f>IFERROR(INDEX(MgAmenNombre,MATCH(SUBSTITUTE($H1844,"*","-"),MgAmenClave,0)),"")</f>
        <v/>
      </c>
      <c r="J1844" s="28">
        <f>IFERROR(INDEX(MgAmenGrupo,MATCH(SUBSTITUTE($H1844,"*","-"),MgAmenClave,0)),"")</f>
        <v/>
      </c>
      <c r="K1844" s="64">
        <f>IFERROR(INDEX('1. Matriz de Activos'!$Q$6:$Q$239,MATCH($C1844,MgActId,0)),"")</f>
        <v/>
      </c>
      <c r="L1844" s="64">
        <f>IFERROR(INDEX('1. Matriz de Activos'!$R$6:$R$239,MATCH($C1844,MgActId,0)),"")</f>
        <v/>
      </c>
      <c r="M1844" s="64">
        <f>IFERROR(INDEX('1. Matriz de Activos'!$S$6:$S$239,MATCH($C1844,MgActId,0)),"")</f>
        <v/>
      </c>
      <c r="N1844" s="28">
        <f>IFERROR(INDEX(MgAmenDegD,MATCH(SUBSTITUTE($H1844,"*","-"),MgAmenClave,0)),"No aplica")</f>
        <v/>
      </c>
      <c r="O1844" s="28">
        <f>IFERROR(INDEX(MgAmenDegI,MATCH(SUBSTITUTE($H1844,"*","-"),MgAmenClave,0)),"No aplica")</f>
        <v/>
      </c>
      <c r="P1844" s="28">
        <f>IFERROR(INDEX(MgAmenDegC,MATCH(SUBSTITUTE($H1844,"*","-"),MgAmenClave,0)),"No aplica")</f>
        <v/>
      </c>
      <c r="Q1844" s="29">
        <f>IFERROR(VLOOKUP(K1844,MgValor,2,0)*VLOOKUP(N1844,MgDeg,2,0),0)</f>
        <v/>
      </c>
      <c r="R1844" s="29">
        <f>IFERROR(VLOOKUP(L1844,MgValor,2,0)*VLOOKUP(O1844,MgDeg,2,0),0)</f>
        <v/>
      </c>
      <c r="S1844" s="29">
        <f>IFERROR(VLOOKUP(M1844,MgValor,2,0)*VLOOKUP(P1844,MgDeg,2,0),0)</f>
        <v/>
      </c>
      <c r="T1844" s="30">
        <f>MAX(Q1844:S1844)</f>
        <v/>
      </c>
      <c r="U1844" s="28">
        <f>IFERROR(LOOKUP(T1844,{0;0.5;1.5;3;4.5},{"Despreciable";"Bajo";"Medio";"Alto";"Muy alto"}),"")</f>
        <v/>
      </c>
      <c r="V1844" s="13">
        <f>IFERROR(INDEX(MgAmenFrec,MATCH(SUBSTITUTE($H1844,"*","-"),MgAmenClave,0)),"")</f>
        <v/>
      </c>
      <c r="W1844" s="28">
        <f>IFERROR(LOOKUP(X1844,{0;0.01;0.1;1;10;100},{"Muy baja";"Muy baja";"Baja";"Media";"Alta";"Muy alta"}),"")</f>
        <v/>
      </c>
      <c r="X1844" s="31">
        <f>IFERROR(VLOOKUP(V1844,MgFrec,2,0),0)</f>
        <v/>
      </c>
      <c r="Y1844" s="30">
        <f>T1844*X1844</f>
        <v/>
      </c>
      <c r="Z1844" s="28">
        <f>IFERROR(LOOKUP(Y1844,{0;0.5;5;25},{"Bajo";"Medio";"Alto";"Crítico"}),"")</f>
        <v/>
      </c>
      <c r="AA1844" s="64">
        <f>IF(T1844&gt;=3,IF(X1844&gt;=1,"Zona 1 — Crítica: impacto alto y ocurre al menos una vez al año","Zona 4 — Catastrófica poco probable: impacto alto pero excepcional"),IF(AND(T1844&lt;1.5,X1844&lt;1),"Zona 3 — Asumible: impacto bajo y muy poco frecuente","Zona 2 — Atención: riesgo intermedio"))</f>
        <v/>
      </c>
      <c r="AB1844" s="64">
        <f>IFERROR(INDEX(MgAmenCtrl,MATCH(SUBSTITUTE($H1844,"*","-"),MgAmenClave,0)),"")</f>
        <v/>
      </c>
      <c r="AC1844" s="20" t="n"/>
      <c r="AD1844" s="31">
        <f>IFERROR($X1844*(1-IF($AC1844="",$AL1844,VLOOKUP($AC1844,MgMad,2,0))),"")</f>
        <v/>
      </c>
      <c r="AE1844" s="28">
        <f>IFERROR(LOOKUP(AD1844,{0;0.01;0.1;1;10;100},{"Muy baja";"Muy baja";"Baja";"Media";"Alta";"Muy alta"}),"")</f>
        <v/>
      </c>
      <c r="AF1844" s="30">
        <f>T1844*AD1844</f>
        <v/>
      </c>
      <c r="AG1844" s="28">
        <f>IFERROR(LOOKUP(AF1844,{0;0.5;5;25},{"Bajo";"Medio";"Alto";"Crítico"}),"")</f>
        <v/>
      </c>
      <c r="AH1844" s="28">
        <f>IF(AG1844="","",IF(OR(AG1844="Crítico",AG1844="Alto"),"Mitigar",IF(AG1844="Medio","Mitigar","Aceptar y monitorear")))</f>
        <v/>
      </c>
      <c r="AI1844" s="21" t="n"/>
      <c r="AJ1844" s="21" t="n"/>
      <c r="AK1844" s="20" t="n"/>
      <c r="AL1844" s="77">
        <f>IFERROR(INDEX(MgAmenEfic,MATCH(SUBSTITUTE($H1844,"*","-"),MgAmenClave,0)),0)</f>
        <v/>
      </c>
    </row>
    <row r="1845" hidden="1" ht="90" customHeight="1" s="54">
      <c r="B1845" s="59" t="inlineStr">
        <is>
          <t>R-1840</t>
        </is>
      </c>
      <c r="C1845" s="59" t="inlineStr">
        <is>
          <t>TEC-001</t>
        </is>
      </c>
      <c r="D1845" s="64">
        <f>IFERROR(INDEX(MgNombre,MATCH($C1845,MgActId,0)),"")</f>
        <v/>
      </c>
      <c r="E1845" s="64">
        <f>IFERROR(INDEX(MgProceso,MATCH($C1845,MgActId,0)),"")</f>
        <v/>
      </c>
      <c r="F1845" s="64">
        <f>IFERROR(INDEX(MgTipo,MATCH($C1845,MgActId,0)),"")</f>
        <v/>
      </c>
      <c r="G1845" s="64">
        <f>IFERROR(INDEX(MgSubtipo,MATCH($C1845,MgActId,0)),"")</f>
        <v/>
      </c>
      <c r="H1845" s="59" t="inlineStr">
        <is>
          <t>E.15</t>
        </is>
      </c>
      <c r="I1845" s="64">
        <f>IFERROR(INDEX(MgAmenNombre,MATCH(SUBSTITUTE($H1845,"*","-"),MgAmenClave,0)),"")</f>
        <v/>
      </c>
      <c r="J1845" s="28">
        <f>IFERROR(INDEX(MgAmenGrupo,MATCH(SUBSTITUTE($H1845,"*","-"),MgAmenClave,0)),"")</f>
        <v/>
      </c>
      <c r="K1845" s="64">
        <f>IFERROR(INDEX('1. Matriz de Activos'!$Q$6:$Q$239,MATCH($C1845,MgActId,0)),"")</f>
        <v/>
      </c>
      <c r="L1845" s="64">
        <f>IFERROR(INDEX('1. Matriz de Activos'!$R$6:$R$239,MATCH($C1845,MgActId,0)),"")</f>
        <v/>
      </c>
      <c r="M1845" s="64">
        <f>IFERROR(INDEX('1. Matriz de Activos'!$S$6:$S$239,MATCH($C1845,MgActId,0)),"")</f>
        <v/>
      </c>
      <c r="N1845" s="28">
        <f>IFERROR(INDEX(MgAmenDegD,MATCH(SUBSTITUTE($H1845,"*","-"),MgAmenClave,0)),"No aplica")</f>
        <v/>
      </c>
      <c r="O1845" s="28">
        <f>IFERROR(INDEX(MgAmenDegI,MATCH(SUBSTITUTE($H1845,"*","-"),MgAmenClave,0)),"No aplica")</f>
        <v/>
      </c>
      <c r="P1845" s="28">
        <f>IFERROR(INDEX(MgAmenDegC,MATCH(SUBSTITUTE($H1845,"*","-"),MgAmenClave,0)),"No aplica")</f>
        <v/>
      </c>
      <c r="Q1845" s="29">
        <f>IFERROR(VLOOKUP(K1845,MgValor,2,0)*VLOOKUP(N1845,MgDeg,2,0),0)</f>
        <v/>
      </c>
      <c r="R1845" s="29">
        <f>IFERROR(VLOOKUP(L1845,MgValor,2,0)*VLOOKUP(O1845,MgDeg,2,0),0)</f>
        <v/>
      </c>
      <c r="S1845" s="29">
        <f>IFERROR(VLOOKUP(M1845,MgValor,2,0)*VLOOKUP(P1845,MgDeg,2,0),0)</f>
        <v/>
      </c>
      <c r="T1845" s="30">
        <f>MAX(Q1845:S1845)</f>
        <v/>
      </c>
      <c r="U1845" s="28">
        <f>IFERROR(LOOKUP(T1845,{0;0.5;1.5;3;4.5},{"Despreciable";"Bajo";"Medio";"Alto";"Muy alto"}),"")</f>
        <v/>
      </c>
      <c r="V1845" s="13">
        <f>IFERROR(INDEX(MgAmenFrec,MATCH(SUBSTITUTE($H1845,"*","-"),MgAmenClave,0)),"")</f>
        <v/>
      </c>
      <c r="W1845" s="28">
        <f>IFERROR(LOOKUP(X1845,{0;0.01;0.1;1;10;100},{"Muy baja";"Muy baja";"Baja";"Media";"Alta";"Muy alta"}),"")</f>
        <v/>
      </c>
      <c r="X1845" s="31">
        <f>IFERROR(VLOOKUP(V1845,MgFrec,2,0),0)</f>
        <v/>
      </c>
      <c r="Y1845" s="30">
        <f>T1845*X1845</f>
        <v/>
      </c>
      <c r="Z1845" s="28">
        <f>IFERROR(LOOKUP(Y1845,{0;0.5;5;25},{"Bajo";"Medio";"Alto";"Crítico"}),"")</f>
        <v/>
      </c>
      <c r="AA1845" s="64">
        <f>IF(T1845&gt;=3,IF(X1845&gt;=1,"Zona 1 — Crítica: impacto alto y ocurre al menos una vez al año","Zona 4 — Catastrófica poco probable: impacto alto pero excepcional"),IF(AND(T1845&lt;1.5,X1845&lt;1),"Zona 3 — Asumible: impacto bajo y muy poco frecuente","Zona 2 — Atención: riesgo intermedio"))</f>
        <v/>
      </c>
      <c r="AB1845" s="64">
        <f>IFERROR(INDEX(MgAmenCtrl,MATCH(SUBSTITUTE($H1845,"*","-"),MgAmenClave,0)),"")</f>
        <v/>
      </c>
      <c r="AC1845" s="20" t="n"/>
      <c r="AD1845" s="31">
        <f>IFERROR($X1845*(1-IF($AC1845="",$AL1845,VLOOKUP($AC1845,MgMad,2,0))),"")</f>
        <v/>
      </c>
      <c r="AE1845" s="28">
        <f>IFERROR(LOOKUP(AD1845,{0;0.01;0.1;1;10;100},{"Muy baja";"Muy baja";"Baja";"Media";"Alta";"Muy alta"}),"")</f>
        <v/>
      </c>
      <c r="AF1845" s="30">
        <f>T1845*AD1845</f>
        <v/>
      </c>
      <c r="AG1845" s="28">
        <f>IFERROR(LOOKUP(AF1845,{0;0.5;5;25},{"Bajo";"Medio";"Alto";"Crítico"}),"")</f>
        <v/>
      </c>
      <c r="AH1845" s="28">
        <f>IF(AG1845="","",IF(OR(AG1845="Crítico",AG1845="Alto"),"Mitigar",IF(AG1845="Medio","Mitigar","Aceptar y monitorear")))</f>
        <v/>
      </c>
      <c r="AI1845" s="21" t="n"/>
      <c r="AJ1845" s="21" t="n"/>
      <c r="AK1845" s="20" t="n"/>
      <c r="AL1845" s="77">
        <f>IFERROR(INDEX(MgAmenEfic,MATCH(SUBSTITUTE($H1845,"*","-"),MgAmenClave,0)),0)</f>
        <v/>
      </c>
    </row>
    <row r="1846" hidden="1" ht="60" customHeight="1" s="54">
      <c r="B1846" s="59" t="inlineStr">
        <is>
          <t>R-1841</t>
        </is>
      </c>
      <c r="C1846" s="59" t="inlineStr">
        <is>
          <t>TEC-001</t>
        </is>
      </c>
      <c r="D1846" s="64">
        <f>IFERROR(INDEX(MgNombre,MATCH($C1846,MgActId,0)),"")</f>
        <v/>
      </c>
      <c r="E1846" s="64">
        <f>IFERROR(INDEX(MgProceso,MATCH($C1846,MgActId,0)),"")</f>
        <v/>
      </c>
      <c r="F1846" s="64">
        <f>IFERROR(INDEX(MgTipo,MATCH($C1846,MgActId,0)),"")</f>
        <v/>
      </c>
      <c r="G1846" s="64">
        <f>IFERROR(INDEX(MgSubtipo,MATCH($C1846,MgActId,0)),"")</f>
        <v/>
      </c>
      <c r="H1846" s="59" t="inlineStr">
        <is>
          <t>E.18</t>
        </is>
      </c>
      <c r="I1846" s="64">
        <f>IFERROR(INDEX(MgAmenNombre,MATCH(SUBSTITUTE($H1846,"*","-"),MgAmenClave,0)),"")</f>
        <v/>
      </c>
      <c r="J1846" s="28">
        <f>IFERROR(INDEX(MgAmenGrupo,MATCH(SUBSTITUTE($H1846,"*","-"),MgAmenClave,0)),"")</f>
        <v/>
      </c>
      <c r="K1846" s="64">
        <f>IFERROR(INDEX('1. Matriz de Activos'!$Q$6:$Q$239,MATCH($C1846,MgActId,0)),"")</f>
        <v/>
      </c>
      <c r="L1846" s="64">
        <f>IFERROR(INDEX('1. Matriz de Activos'!$R$6:$R$239,MATCH($C1846,MgActId,0)),"")</f>
        <v/>
      </c>
      <c r="M1846" s="64">
        <f>IFERROR(INDEX('1. Matriz de Activos'!$S$6:$S$239,MATCH($C1846,MgActId,0)),"")</f>
        <v/>
      </c>
      <c r="N1846" s="28">
        <f>IFERROR(INDEX(MgAmenDegD,MATCH(SUBSTITUTE($H1846,"*","-"),MgAmenClave,0)),"No aplica")</f>
        <v/>
      </c>
      <c r="O1846" s="28">
        <f>IFERROR(INDEX(MgAmenDegI,MATCH(SUBSTITUTE($H1846,"*","-"),MgAmenClave,0)),"No aplica")</f>
        <v/>
      </c>
      <c r="P1846" s="28">
        <f>IFERROR(INDEX(MgAmenDegC,MATCH(SUBSTITUTE($H1846,"*","-"),MgAmenClave,0)),"No aplica")</f>
        <v/>
      </c>
      <c r="Q1846" s="29">
        <f>IFERROR(VLOOKUP(K1846,MgValor,2,0)*VLOOKUP(N1846,MgDeg,2,0),0)</f>
        <v/>
      </c>
      <c r="R1846" s="29">
        <f>IFERROR(VLOOKUP(L1846,MgValor,2,0)*VLOOKUP(O1846,MgDeg,2,0),0)</f>
        <v/>
      </c>
      <c r="S1846" s="29">
        <f>IFERROR(VLOOKUP(M1846,MgValor,2,0)*VLOOKUP(P1846,MgDeg,2,0),0)</f>
        <v/>
      </c>
      <c r="T1846" s="30">
        <f>MAX(Q1846:S1846)</f>
        <v/>
      </c>
      <c r="U1846" s="28">
        <f>IFERROR(LOOKUP(T1846,{0;0.5;1.5;3;4.5},{"Despreciable";"Bajo";"Medio";"Alto";"Muy alto"}),"")</f>
        <v/>
      </c>
      <c r="V1846" s="13">
        <f>IFERROR(INDEX(MgAmenFrec,MATCH(SUBSTITUTE($H1846,"*","-"),MgAmenClave,0)),"")</f>
        <v/>
      </c>
      <c r="W1846" s="28">
        <f>IFERROR(LOOKUP(X1846,{0;0.01;0.1;1;10;100},{"Muy baja";"Muy baja";"Baja";"Media";"Alta";"Muy alta"}),"")</f>
        <v/>
      </c>
      <c r="X1846" s="31">
        <f>IFERROR(VLOOKUP(V1846,MgFrec,2,0),0)</f>
        <v/>
      </c>
      <c r="Y1846" s="30">
        <f>T1846*X1846</f>
        <v/>
      </c>
      <c r="Z1846" s="28">
        <f>IFERROR(LOOKUP(Y1846,{0;0.5;5;25},{"Bajo";"Medio";"Alto";"Crítico"}),"")</f>
        <v/>
      </c>
      <c r="AA1846" s="64">
        <f>IF(T1846&gt;=3,IF(X1846&gt;=1,"Zona 1 — Crítica: impacto alto y ocurre al menos una vez al año","Zona 4 — Catastrófica poco probable: impacto alto pero excepcional"),IF(AND(T1846&lt;1.5,X1846&lt;1),"Zona 3 — Asumible: impacto bajo y muy poco frecuente","Zona 2 — Atención: riesgo intermedio"))</f>
        <v/>
      </c>
      <c r="AB1846" s="64">
        <f>IFERROR(INDEX(MgAmenCtrl,MATCH(SUBSTITUTE($H1846,"*","-"),MgAmenClave,0)),"")</f>
        <v/>
      </c>
      <c r="AC1846" s="20" t="n"/>
      <c r="AD1846" s="31">
        <f>IFERROR($X1846*(1-IF($AC1846="",$AL1846,VLOOKUP($AC1846,MgMad,2,0))),"")</f>
        <v/>
      </c>
      <c r="AE1846" s="28">
        <f>IFERROR(LOOKUP(AD1846,{0;0.01;0.1;1;10;100},{"Muy baja";"Muy baja";"Baja";"Media";"Alta";"Muy alta"}),"")</f>
        <v/>
      </c>
      <c r="AF1846" s="30">
        <f>T1846*AD1846</f>
        <v/>
      </c>
      <c r="AG1846" s="28">
        <f>IFERROR(LOOKUP(AF1846,{0;0.5;5;25},{"Bajo";"Medio";"Alto";"Crítico"}),"")</f>
        <v/>
      </c>
      <c r="AH1846" s="28">
        <f>IF(AG1846="","",IF(OR(AG1846="Crítico",AG1846="Alto"),"Mitigar",IF(AG1846="Medio","Mitigar","Aceptar y monitorear")))</f>
        <v/>
      </c>
      <c r="AI1846" s="21" t="n"/>
      <c r="AJ1846" s="21" t="n"/>
      <c r="AK1846" s="20" t="n"/>
      <c r="AL1846" s="77">
        <f>IFERROR(INDEX(MgAmenEfic,MATCH(SUBSTITUTE($H1846,"*","-"),MgAmenClave,0)),0)</f>
        <v/>
      </c>
    </row>
    <row r="1847" hidden="1" ht="105" customHeight="1" s="54">
      <c r="B1847" s="59" t="inlineStr">
        <is>
          <t>R-1842</t>
        </is>
      </c>
      <c r="C1847" s="59" t="inlineStr">
        <is>
          <t>TEC-001</t>
        </is>
      </c>
      <c r="D1847" s="64">
        <f>IFERROR(INDEX(MgNombre,MATCH($C1847,MgActId,0)),"")</f>
        <v/>
      </c>
      <c r="E1847" s="64">
        <f>IFERROR(INDEX(MgProceso,MATCH($C1847,MgActId,0)),"")</f>
        <v/>
      </c>
      <c r="F1847" s="64">
        <f>IFERROR(INDEX(MgTipo,MATCH($C1847,MgActId,0)),"")</f>
        <v/>
      </c>
      <c r="G1847" s="64">
        <f>IFERROR(INDEX(MgSubtipo,MATCH($C1847,MgActId,0)),"")</f>
        <v/>
      </c>
      <c r="H1847" s="59" t="inlineStr">
        <is>
          <t>E.19</t>
        </is>
      </c>
      <c r="I1847" s="64">
        <f>IFERROR(INDEX(MgAmenNombre,MATCH(SUBSTITUTE($H1847,"*","-"),MgAmenClave,0)),"")</f>
        <v/>
      </c>
      <c r="J1847" s="28">
        <f>IFERROR(INDEX(MgAmenGrupo,MATCH(SUBSTITUTE($H1847,"*","-"),MgAmenClave,0)),"")</f>
        <v/>
      </c>
      <c r="K1847" s="64">
        <f>IFERROR(INDEX('1. Matriz de Activos'!$Q$6:$Q$239,MATCH($C1847,MgActId,0)),"")</f>
        <v/>
      </c>
      <c r="L1847" s="64">
        <f>IFERROR(INDEX('1. Matriz de Activos'!$R$6:$R$239,MATCH($C1847,MgActId,0)),"")</f>
        <v/>
      </c>
      <c r="M1847" s="64">
        <f>IFERROR(INDEX('1. Matriz de Activos'!$S$6:$S$239,MATCH($C1847,MgActId,0)),"")</f>
        <v/>
      </c>
      <c r="N1847" s="28">
        <f>IFERROR(INDEX(MgAmenDegD,MATCH(SUBSTITUTE($H1847,"*","-"),MgAmenClave,0)),"No aplica")</f>
        <v/>
      </c>
      <c r="O1847" s="28">
        <f>IFERROR(INDEX(MgAmenDegI,MATCH(SUBSTITUTE($H1847,"*","-"),MgAmenClave,0)),"No aplica")</f>
        <v/>
      </c>
      <c r="P1847" s="28">
        <f>IFERROR(INDEX(MgAmenDegC,MATCH(SUBSTITUTE($H1847,"*","-"),MgAmenClave,0)),"No aplica")</f>
        <v/>
      </c>
      <c r="Q1847" s="29">
        <f>IFERROR(VLOOKUP(K1847,MgValor,2,0)*VLOOKUP(N1847,MgDeg,2,0),0)</f>
        <v/>
      </c>
      <c r="R1847" s="29">
        <f>IFERROR(VLOOKUP(L1847,MgValor,2,0)*VLOOKUP(O1847,MgDeg,2,0),0)</f>
        <v/>
      </c>
      <c r="S1847" s="29">
        <f>IFERROR(VLOOKUP(M1847,MgValor,2,0)*VLOOKUP(P1847,MgDeg,2,0),0)</f>
        <v/>
      </c>
      <c r="T1847" s="30">
        <f>MAX(Q1847:S1847)</f>
        <v/>
      </c>
      <c r="U1847" s="28">
        <f>IFERROR(LOOKUP(T1847,{0;0.5;1.5;3;4.5},{"Despreciable";"Bajo";"Medio";"Alto";"Muy alto"}),"")</f>
        <v/>
      </c>
      <c r="V1847" s="13">
        <f>IFERROR(INDEX(MgAmenFrec,MATCH(SUBSTITUTE($H1847,"*","-"),MgAmenClave,0)),"")</f>
        <v/>
      </c>
      <c r="W1847" s="28">
        <f>IFERROR(LOOKUP(X1847,{0;0.01;0.1;1;10;100},{"Muy baja";"Muy baja";"Baja";"Media";"Alta";"Muy alta"}),"")</f>
        <v/>
      </c>
      <c r="X1847" s="31">
        <f>IFERROR(VLOOKUP(V1847,MgFrec,2,0),0)</f>
        <v/>
      </c>
      <c r="Y1847" s="30">
        <f>T1847*X1847</f>
        <v/>
      </c>
      <c r="Z1847" s="28">
        <f>IFERROR(LOOKUP(Y1847,{0;0.5;5;25},{"Bajo";"Medio";"Alto";"Crítico"}),"")</f>
        <v/>
      </c>
      <c r="AA1847" s="64">
        <f>IF(T1847&gt;=3,IF(X1847&gt;=1,"Zona 1 — Crítica: impacto alto y ocurre al menos una vez al año","Zona 4 — Catastrófica poco probable: impacto alto pero excepcional"),IF(AND(T1847&lt;1.5,X1847&lt;1),"Zona 3 — Asumible: impacto bajo y muy poco frecuente","Zona 2 — Atención: riesgo intermedio"))</f>
        <v/>
      </c>
      <c r="AB1847" s="64">
        <f>IFERROR(INDEX(MgAmenCtrl,MATCH(SUBSTITUTE($H1847,"*","-"),MgAmenClave,0)),"")</f>
        <v/>
      </c>
      <c r="AC1847" s="20" t="n"/>
      <c r="AD1847" s="31">
        <f>IFERROR($X1847*(1-IF($AC1847="",$AL1847,VLOOKUP($AC1847,MgMad,2,0))),"")</f>
        <v/>
      </c>
      <c r="AE1847" s="28">
        <f>IFERROR(LOOKUP(AD1847,{0;0.01;0.1;1;10;100},{"Muy baja";"Muy baja";"Baja";"Media";"Alta";"Muy alta"}),"")</f>
        <v/>
      </c>
      <c r="AF1847" s="30">
        <f>T1847*AD1847</f>
        <v/>
      </c>
      <c r="AG1847" s="28">
        <f>IFERROR(LOOKUP(AF1847,{0;0.5;5;25},{"Bajo";"Medio";"Alto";"Crítico"}),"")</f>
        <v/>
      </c>
      <c r="AH1847" s="28">
        <f>IF(AG1847="","",IF(OR(AG1847="Crítico",AG1847="Alto"),"Mitigar",IF(AG1847="Medio","Mitigar","Aceptar y monitorear")))</f>
        <v/>
      </c>
      <c r="AI1847" s="21" t="n"/>
      <c r="AJ1847" s="21" t="n"/>
      <c r="AK1847" s="20" t="n"/>
      <c r="AL1847" s="77">
        <f>IFERROR(INDEX(MgAmenEfic,MATCH(SUBSTITUTE($H1847,"*","-"),MgAmenClave,0)),0)</f>
        <v/>
      </c>
    </row>
    <row r="1848" hidden="1" ht="105" customHeight="1" s="54">
      <c r="B1848" s="59" t="inlineStr">
        <is>
          <t>R-1843</t>
        </is>
      </c>
      <c r="C1848" s="59" t="inlineStr">
        <is>
          <t>TEC-001</t>
        </is>
      </c>
      <c r="D1848" s="64">
        <f>IFERROR(INDEX(MgNombre,MATCH($C1848,MgActId,0)),"")</f>
        <v/>
      </c>
      <c r="E1848" s="64">
        <f>IFERROR(INDEX(MgProceso,MATCH($C1848,MgActId,0)),"")</f>
        <v/>
      </c>
      <c r="F1848" s="64">
        <f>IFERROR(INDEX(MgTipo,MATCH($C1848,MgActId,0)),"")</f>
        <v/>
      </c>
      <c r="G1848" s="64">
        <f>IFERROR(INDEX(MgSubtipo,MATCH($C1848,MgActId,0)),"")</f>
        <v/>
      </c>
      <c r="H1848" s="59" t="inlineStr">
        <is>
          <t>E.20</t>
        </is>
      </c>
      <c r="I1848" s="64">
        <f>IFERROR(INDEX(MgAmenNombre,MATCH(SUBSTITUTE($H1848,"*","-"),MgAmenClave,0)),"")</f>
        <v/>
      </c>
      <c r="J1848" s="28">
        <f>IFERROR(INDEX(MgAmenGrupo,MATCH(SUBSTITUTE($H1848,"*","-"),MgAmenClave,0)),"")</f>
        <v/>
      </c>
      <c r="K1848" s="64">
        <f>IFERROR(INDEX('1. Matriz de Activos'!$Q$6:$Q$239,MATCH($C1848,MgActId,0)),"")</f>
        <v/>
      </c>
      <c r="L1848" s="64">
        <f>IFERROR(INDEX('1. Matriz de Activos'!$R$6:$R$239,MATCH($C1848,MgActId,0)),"")</f>
        <v/>
      </c>
      <c r="M1848" s="64">
        <f>IFERROR(INDEX('1. Matriz de Activos'!$S$6:$S$239,MATCH($C1848,MgActId,0)),"")</f>
        <v/>
      </c>
      <c r="N1848" s="28">
        <f>IFERROR(INDEX(MgAmenDegD,MATCH(SUBSTITUTE($H1848,"*","-"),MgAmenClave,0)),"No aplica")</f>
        <v/>
      </c>
      <c r="O1848" s="28">
        <f>IFERROR(INDEX(MgAmenDegI,MATCH(SUBSTITUTE($H1848,"*","-"),MgAmenClave,0)),"No aplica")</f>
        <v/>
      </c>
      <c r="P1848" s="28">
        <f>IFERROR(INDEX(MgAmenDegC,MATCH(SUBSTITUTE($H1848,"*","-"),MgAmenClave,0)),"No aplica")</f>
        <v/>
      </c>
      <c r="Q1848" s="29">
        <f>IFERROR(VLOOKUP(K1848,MgValor,2,0)*VLOOKUP(N1848,MgDeg,2,0),0)</f>
        <v/>
      </c>
      <c r="R1848" s="29">
        <f>IFERROR(VLOOKUP(L1848,MgValor,2,0)*VLOOKUP(O1848,MgDeg,2,0),0)</f>
        <v/>
      </c>
      <c r="S1848" s="29">
        <f>IFERROR(VLOOKUP(M1848,MgValor,2,0)*VLOOKUP(P1848,MgDeg,2,0),0)</f>
        <v/>
      </c>
      <c r="T1848" s="30">
        <f>MAX(Q1848:S1848)</f>
        <v/>
      </c>
      <c r="U1848" s="28">
        <f>IFERROR(LOOKUP(T1848,{0;0.5;1.5;3;4.5},{"Despreciable";"Bajo";"Medio";"Alto";"Muy alto"}),"")</f>
        <v/>
      </c>
      <c r="V1848" s="13">
        <f>IFERROR(INDEX(MgAmenFrec,MATCH(SUBSTITUTE($H1848,"*","-"),MgAmenClave,0)),"")</f>
        <v/>
      </c>
      <c r="W1848" s="28">
        <f>IFERROR(LOOKUP(X1848,{0;0.01;0.1;1;10;100},{"Muy baja";"Muy baja";"Baja";"Media";"Alta";"Muy alta"}),"")</f>
        <v/>
      </c>
      <c r="X1848" s="31">
        <f>IFERROR(VLOOKUP(V1848,MgFrec,2,0),0)</f>
        <v/>
      </c>
      <c r="Y1848" s="30">
        <f>T1848*X1848</f>
        <v/>
      </c>
      <c r="Z1848" s="28">
        <f>IFERROR(LOOKUP(Y1848,{0;0.5;5;25},{"Bajo";"Medio";"Alto";"Crítico"}),"")</f>
        <v/>
      </c>
      <c r="AA1848" s="64">
        <f>IF(T1848&gt;=3,IF(X1848&gt;=1,"Zona 1 — Crítica: impacto alto y ocurre al menos una vez al año","Zona 4 — Catastrófica poco probable: impacto alto pero excepcional"),IF(AND(T1848&lt;1.5,X1848&lt;1),"Zona 3 — Asumible: impacto bajo y muy poco frecuente","Zona 2 — Atención: riesgo intermedio"))</f>
        <v/>
      </c>
      <c r="AB1848" s="64">
        <f>IFERROR(INDEX(MgAmenCtrl,MATCH(SUBSTITUTE($H1848,"*","-"),MgAmenClave,0)),"")</f>
        <v/>
      </c>
      <c r="AC1848" s="20" t="n"/>
      <c r="AD1848" s="31">
        <f>IFERROR($X1848*(1-IF($AC1848="",$AL1848,VLOOKUP($AC1848,MgMad,2,0))),"")</f>
        <v/>
      </c>
      <c r="AE1848" s="28">
        <f>IFERROR(LOOKUP(AD1848,{0;0.01;0.1;1;10;100},{"Muy baja";"Muy baja";"Baja";"Media";"Alta";"Muy alta"}),"")</f>
        <v/>
      </c>
      <c r="AF1848" s="30">
        <f>T1848*AD1848</f>
        <v/>
      </c>
      <c r="AG1848" s="28">
        <f>IFERROR(LOOKUP(AF1848,{0;0.5;5;25},{"Bajo";"Medio";"Alto";"Crítico"}),"")</f>
        <v/>
      </c>
      <c r="AH1848" s="28">
        <f>IF(AG1848="","",IF(OR(AG1848="Crítico",AG1848="Alto"),"Mitigar",IF(AG1848="Medio","Mitigar","Aceptar y monitorear")))</f>
        <v/>
      </c>
      <c r="AI1848" s="21" t="n"/>
      <c r="AJ1848" s="21" t="n"/>
      <c r="AK1848" s="20" t="n"/>
      <c r="AL1848" s="77">
        <f>IFERROR(INDEX(MgAmenEfic,MATCH(SUBSTITUTE($H1848,"*","-"),MgAmenClave,0)),0)</f>
        <v/>
      </c>
    </row>
    <row r="1849" hidden="1" ht="75" customHeight="1" s="54">
      <c r="B1849" s="59" t="inlineStr">
        <is>
          <t>R-1844</t>
        </is>
      </c>
      <c r="C1849" s="59" t="inlineStr">
        <is>
          <t>TEC-001</t>
        </is>
      </c>
      <c r="D1849" s="64">
        <f>IFERROR(INDEX(MgNombre,MATCH($C1849,MgActId,0)),"")</f>
        <v/>
      </c>
      <c r="E1849" s="64">
        <f>IFERROR(INDEX(MgProceso,MATCH($C1849,MgActId,0)),"")</f>
        <v/>
      </c>
      <c r="F1849" s="64">
        <f>IFERROR(INDEX(MgTipo,MATCH($C1849,MgActId,0)),"")</f>
        <v/>
      </c>
      <c r="G1849" s="64">
        <f>IFERROR(INDEX(MgSubtipo,MATCH($C1849,MgActId,0)),"")</f>
        <v/>
      </c>
      <c r="H1849" s="59" t="inlineStr">
        <is>
          <t>E.21</t>
        </is>
      </c>
      <c r="I1849" s="64">
        <f>IFERROR(INDEX(MgAmenNombre,MATCH(SUBSTITUTE($H1849,"*","-"),MgAmenClave,0)),"")</f>
        <v/>
      </c>
      <c r="J1849" s="28">
        <f>IFERROR(INDEX(MgAmenGrupo,MATCH(SUBSTITUTE($H1849,"*","-"),MgAmenClave,0)),"")</f>
        <v/>
      </c>
      <c r="K1849" s="64">
        <f>IFERROR(INDEX('1. Matriz de Activos'!$Q$6:$Q$239,MATCH($C1849,MgActId,0)),"")</f>
        <v/>
      </c>
      <c r="L1849" s="64">
        <f>IFERROR(INDEX('1. Matriz de Activos'!$R$6:$R$239,MATCH($C1849,MgActId,0)),"")</f>
        <v/>
      </c>
      <c r="M1849" s="64">
        <f>IFERROR(INDEX('1. Matriz de Activos'!$S$6:$S$239,MATCH($C1849,MgActId,0)),"")</f>
        <v/>
      </c>
      <c r="N1849" s="28">
        <f>IFERROR(INDEX(MgAmenDegD,MATCH(SUBSTITUTE($H1849,"*","-"),MgAmenClave,0)),"No aplica")</f>
        <v/>
      </c>
      <c r="O1849" s="28">
        <f>IFERROR(INDEX(MgAmenDegI,MATCH(SUBSTITUTE($H1849,"*","-"),MgAmenClave,0)),"No aplica")</f>
        <v/>
      </c>
      <c r="P1849" s="28">
        <f>IFERROR(INDEX(MgAmenDegC,MATCH(SUBSTITUTE($H1849,"*","-"),MgAmenClave,0)),"No aplica")</f>
        <v/>
      </c>
      <c r="Q1849" s="29">
        <f>IFERROR(VLOOKUP(K1849,MgValor,2,0)*VLOOKUP(N1849,MgDeg,2,0),0)</f>
        <v/>
      </c>
      <c r="R1849" s="29">
        <f>IFERROR(VLOOKUP(L1849,MgValor,2,0)*VLOOKUP(O1849,MgDeg,2,0),0)</f>
        <v/>
      </c>
      <c r="S1849" s="29">
        <f>IFERROR(VLOOKUP(M1849,MgValor,2,0)*VLOOKUP(P1849,MgDeg,2,0),0)</f>
        <v/>
      </c>
      <c r="T1849" s="30">
        <f>MAX(Q1849:S1849)</f>
        <v/>
      </c>
      <c r="U1849" s="28">
        <f>IFERROR(LOOKUP(T1849,{0;0.5;1.5;3;4.5},{"Despreciable";"Bajo";"Medio";"Alto";"Muy alto"}),"")</f>
        <v/>
      </c>
      <c r="V1849" s="13">
        <f>IFERROR(INDEX(MgAmenFrec,MATCH(SUBSTITUTE($H1849,"*","-"),MgAmenClave,0)),"")</f>
        <v/>
      </c>
      <c r="W1849" s="28">
        <f>IFERROR(LOOKUP(X1849,{0;0.01;0.1;1;10;100},{"Muy baja";"Muy baja";"Baja";"Media";"Alta";"Muy alta"}),"")</f>
        <v/>
      </c>
      <c r="X1849" s="31">
        <f>IFERROR(VLOOKUP(V1849,MgFrec,2,0),0)</f>
        <v/>
      </c>
      <c r="Y1849" s="30">
        <f>T1849*X1849</f>
        <v/>
      </c>
      <c r="Z1849" s="28">
        <f>IFERROR(LOOKUP(Y1849,{0;0.5;5;25},{"Bajo";"Medio";"Alto";"Crítico"}),"")</f>
        <v/>
      </c>
      <c r="AA1849" s="64">
        <f>IF(T1849&gt;=3,IF(X1849&gt;=1,"Zona 1 — Crítica: impacto alto y ocurre al menos una vez al año","Zona 4 — Catastrófica poco probable: impacto alto pero excepcional"),IF(AND(T1849&lt;1.5,X1849&lt;1),"Zona 3 — Asumible: impacto bajo y muy poco frecuente","Zona 2 — Atención: riesgo intermedio"))</f>
        <v/>
      </c>
      <c r="AB1849" s="64">
        <f>IFERROR(INDEX(MgAmenCtrl,MATCH(SUBSTITUTE($H1849,"*","-"),MgAmenClave,0)),"")</f>
        <v/>
      </c>
      <c r="AC1849" s="20" t="n"/>
      <c r="AD1849" s="31">
        <f>IFERROR($X1849*(1-IF($AC1849="",$AL1849,VLOOKUP($AC1849,MgMad,2,0))),"")</f>
        <v/>
      </c>
      <c r="AE1849" s="28">
        <f>IFERROR(LOOKUP(AD1849,{0;0.01;0.1;1;10;100},{"Muy baja";"Muy baja";"Baja";"Media";"Alta";"Muy alta"}),"")</f>
        <v/>
      </c>
      <c r="AF1849" s="30">
        <f>T1849*AD1849</f>
        <v/>
      </c>
      <c r="AG1849" s="28">
        <f>IFERROR(LOOKUP(AF1849,{0;0.5;5;25},{"Bajo";"Medio";"Alto";"Crítico"}),"")</f>
        <v/>
      </c>
      <c r="AH1849" s="28">
        <f>IF(AG1849="","",IF(OR(AG1849="Crítico",AG1849="Alto"),"Mitigar",IF(AG1849="Medio","Mitigar","Aceptar y monitorear")))</f>
        <v/>
      </c>
      <c r="AI1849" s="21" t="n"/>
      <c r="AJ1849" s="21" t="n"/>
      <c r="AK1849" s="20" t="n"/>
      <c r="AL1849" s="77">
        <f>IFERROR(INDEX(MgAmenEfic,MATCH(SUBSTITUTE($H1849,"*","-"),MgAmenClave,0)),0)</f>
        <v/>
      </c>
    </row>
    <row r="1850" hidden="1" ht="75" customHeight="1" s="54">
      <c r="B1850" s="59" t="inlineStr">
        <is>
          <t>R-1845</t>
        </is>
      </c>
      <c r="C1850" s="59" t="inlineStr">
        <is>
          <t>TEC-001</t>
        </is>
      </c>
      <c r="D1850" s="64">
        <f>IFERROR(INDEX(MgNombre,MATCH($C1850,MgActId,0)),"")</f>
        <v/>
      </c>
      <c r="E1850" s="64">
        <f>IFERROR(INDEX(MgProceso,MATCH($C1850,MgActId,0)),"")</f>
        <v/>
      </c>
      <c r="F1850" s="64">
        <f>IFERROR(INDEX(MgTipo,MATCH($C1850,MgActId,0)),"")</f>
        <v/>
      </c>
      <c r="G1850" s="64">
        <f>IFERROR(INDEX(MgSubtipo,MATCH($C1850,MgActId,0)),"")</f>
        <v/>
      </c>
      <c r="H1850" s="59" t="inlineStr">
        <is>
          <t>A.5</t>
        </is>
      </c>
      <c r="I1850" s="64">
        <f>IFERROR(INDEX(MgAmenNombre,MATCH(SUBSTITUTE($H1850,"*","-"),MgAmenClave,0)),"")</f>
        <v/>
      </c>
      <c r="J1850" s="28">
        <f>IFERROR(INDEX(MgAmenGrupo,MATCH(SUBSTITUTE($H1850,"*","-"),MgAmenClave,0)),"")</f>
        <v/>
      </c>
      <c r="K1850" s="64">
        <f>IFERROR(INDEX('1. Matriz de Activos'!$Q$6:$Q$239,MATCH($C1850,MgActId,0)),"")</f>
        <v/>
      </c>
      <c r="L1850" s="64">
        <f>IFERROR(INDEX('1. Matriz de Activos'!$R$6:$R$239,MATCH($C1850,MgActId,0)),"")</f>
        <v/>
      </c>
      <c r="M1850" s="64">
        <f>IFERROR(INDEX('1. Matriz de Activos'!$S$6:$S$239,MATCH($C1850,MgActId,0)),"")</f>
        <v/>
      </c>
      <c r="N1850" s="28">
        <f>IFERROR(INDEX(MgAmenDegD,MATCH(SUBSTITUTE($H1850,"*","-"),MgAmenClave,0)),"No aplica")</f>
        <v/>
      </c>
      <c r="O1850" s="28">
        <f>IFERROR(INDEX(MgAmenDegI,MATCH(SUBSTITUTE($H1850,"*","-"),MgAmenClave,0)),"No aplica")</f>
        <v/>
      </c>
      <c r="P1850" s="28">
        <f>IFERROR(INDEX(MgAmenDegC,MATCH(SUBSTITUTE($H1850,"*","-"),MgAmenClave,0)),"No aplica")</f>
        <v/>
      </c>
      <c r="Q1850" s="29">
        <f>IFERROR(VLOOKUP(K1850,MgValor,2,0)*VLOOKUP(N1850,MgDeg,2,0),0)</f>
        <v/>
      </c>
      <c r="R1850" s="29">
        <f>IFERROR(VLOOKUP(L1850,MgValor,2,0)*VLOOKUP(O1850,MgDeg,2,0),0)</f>
        <v/>
      </c>
      <c r="S1850" s="29">
        <f>IFERROR(VLOOKUP(M1850,MgValor,2,0)*VLOOKUP(P1850,MgDeg,2,0),0)</f>
        <v/>
      </c>
      <c r="T1850" s="30">
        <f>MAX(Q1850:S1850)</f>
        <v/>
      </c>
      <c r="U1850" s="28">
        <f>IFERROR(LOOKUP(T1850,{0;0.5;1.5;3;4.5},{"Despreciable";"Bajo";"Medio";"Alto";"Muy alto"}),"")</f>
        <v/>
      </c>
      <c r="V1850" s="13">
        <f>IFERROR(INDEX(MgAmenFrec,MATCH(SUBSTITUTE($H1850,"*","-"),MgAmenClave,0)),"")</f>
        <v/>
      </c>
      <c r="W1850" s="28">
        <f>IFERROR(LOOKUP(X1850,{0;0.01;0.1;1;10;100},{"Muy baja";"Muy baja";"Baja";"Media";"Alta";"Muy alta"}),"")</f>
        <v/>
      </c>
      <c r="X1850" s="31">
        <f>IFERROR(VLOOKUP(V1850,MgFrec,2,0),0)</f>
        <v/>
      </c>
      <c r="Y1850" s="30">
        <f>T1850*X1850</f>
        <v/>
      </c>
      <c r="Z1850" s="28">
        <f>IFERROR(LOOKUP(Y1850,{0;0.5;5;25},{"Bajo";"Medio";"Alto";"Crítico"}),"")</f>
        <v/>
      </c>
      <c r="AA1850" s="64">
        <f>IF(T1850&gt;=3,IF(X1850&gt;=1,"Zona 1 — Crítica: impacto alto y ocurre al menos una vez al año","Zona 4 — Catastrófica poco probable: impacto alto pero excepcional"),IF(AND(T1850&lt;1.5,X1850&lt;1),"Zona 3 — Asumible: impacto bajo y muy poco frecuente","Zona 2 — Atención: riesgo intermedio"))</f>
        <v/>
      </c>
      <c r="AB1850" s="64">
        <f>IFERROR(INDEX(MgAmenCtrl,MATCH(SUBSTITUTE($H1850,"*","-"),MgAmenClave,0)),"")</f>
        <v/>
      </c>
      <c r="AC1850" s="20" t="n"/>
      <c r="AD1850" s="31">
        <f>IFERROR($X1850*(1-IF($AC1850="",$AL1850,VLOOKUP($AC1850,MgMad,2,0))),"")</f>
        <v/>
      </c>
      <c r="AE1850" s="28">
        <f>IFERROR(LOOKUP(AD1850,{0;0.01;0.1;1;10;100},{"Muy baja";"Muy baja";"Baja";"Media";"Alta";"Muy alta"}),"")</f>
        <v/>
      </c>
      <c r="AF1850" s="30">
        <f>T1850*AD1850</f>
        <v/>
      </c>
      <c r="AG1850" s="28">
        <f>IFERROR(LOOKUP(AF1850,{0;0.5;5;25},{"Bajo";"Medio";"Alto";"Crítico"}),"")</f>
        <v/>
      </c>
      <c r="AH1850" s="28">
        <f>IF(AG1850="","",IF(OR(AG1850="Crítico",AG1850="Alto"),"Mitigar",IF(AG1850="Medio","Mitigar","Aceptar y monitorear")))</f>
        <v/>
      </c>
      <c r="AI1850" s="21" t="n"/>
      <c r="AJ1850" s="21" t="n"/>
      <c r="AK1850" s="20" t="n"/>
      <c r="AL1850" s="77">
        <f>IFERROR(INDEX(MgAmenEfic,MATCH(SUBSTITUTE($H1850,"*","-"),MgAmenClave,0)),0)</f>
        <v/>
      </c>
    </row>
    <row r="1851" hidden="1" ht="105" customHeight="1" s="54">
      <c r="B1851" s="59" t="inlineStr">
        <is>
          <t>R-1846</t>
        </is>
      </c>
      <c r="C1851" s="59" t="inlineStr">
        <is>
          <t>TEC-001</t>
        </is>
      </c>
      <c r="D1851" s="64">
        <f>IFERROR(INDEX(MgNombre,MATCH($C1851,MgActId,0)),"")</f>
        <v/>
      </c>
      <c r="E1851" s="64">
        <f>IFERROR(INDEX(MgProceso,MATCH($C1851,MgActId,0)),"")</f>
        <v/>
      </c>
      <c r="F1851" s="64">
        <f>IFERROR(INDEX(MgTipo,MATCH($C1851,MgActId,0)),"")</f>
        <v/>
      </c>
      <c r="G1851" s="64">
        <f>IFERROR(INDEX(MgSubtipo,MATCH($C1851,MgActId,0)),"")</f>
        <v/>
      </c>
      <c r="H1851" s="59" t="inlineStr">
        <is>
          <t>A.6</t>
        </is>
      </c>
      <c r="I1851" s="64">
        <f>IFERROR(INDEX(MgAmenNombre,MATCH(SUBSTITUTE($H1851,"*","-"),MgAmenClave,0)),"")</f>
        <v/>
      </c>
      <c r="J1851" s="28">
        <f>IFERROR(INDEX(MgAmenGrupo,MATCH(SUBSTITUTE($H1851,"*","-"),MgAmenClave,0)),"")</f>
        <v/>
      </c>
      <c r="K1851" s="64">
        <f>IFERROR(INDEX('1. Matriz de Activos'!$Q$6:$Q$239,MATCH($C1851,MgActId,0)),"")</f>
        <v/>
      </c>
      <c r="L1851" s="64">
        <f>IFERROR(INDEX('1. Matriz de Activos'!$R$6:$R$239,MATCH($C1851,MgActId,0)),"")</f>
        <v/>
      </c>
      <c r="M1851" s="64">
        <f>IFERROR(INDEX('1. Matriz de Activos'!$S$6:$S$239,MATCH($C1851,MgActId,0)),"")</f>
        <v/>
      </c>
      <c r="N1851" s="28">
        <f>IFERROR(INDEX(MgAmenDegD,MATCH(SUBSTITUTE($H1851,"*","-"),MgAmenClave,0)),"No aplica")</f>
        <v/>
      </c>
      <c r="O1851" s="28">
        <f>IFERROR(INDEX(MgAmenDegI,MATCH(SUBSTITUTE($H1851,"*","-"),MgAmenClave,0)),"No aplica")</f>
        <v/>
      </c>
      <c r="P1851" s="28">
        <f>IFERROR(INDEX(MgAmenDegC,MATCH(SUBSTITUTE($H1851,"*","-"),MgAmenClave,0)),"No aplica")</f>
        <v/>
      </c>
      <c r="Q1851" s="29">
        <f>IFERROR(VLOOKUP(K1851,MgValor,2,0)*VLOOKUP(N1851,MgDeg,2,0),0)</f>
        <v/>
      </c>
      <c r="R1851" s="29">
        <f>IFERROR(VLOOKUP(L1851,MgValor,2,0)*VLOOKUP(O1851,MgDeg,2,0),0)</f>
        <v/>
      </c>
      <c r="S1851" s="29">
        <f>IFERROR(VLOOKUP(M1851,MgValor,2,0)*VLOOKUP(P1851,MgDeg,2,0),0)</f>
        <v/>
      </c>
      <c r="T1851" s="30">
        <f>MAX(Q1851:S1851)</f>
        <v/>
      </c>
      <c r="U1851" s="28">
        <f>IFERROR(LOOKUP(T1851,{0;0.5;1.5;3;4.5},{"Despreciable";"Bajo";"Medio";"Alto";"Muy alto"}),"")</f>
        <v/>
      </c>
      <c r="V1851" s="13">
        <f>IFERROR(INDEX(MgAmenFrec,MATCH(SUBSTITUTE($H1851,"*","-"),MgAmenClave,0)),"")</f>
        <v/>
      </c>
      <c r="W1851" s="28">
        <f>IFERROR(LOOKUP(X1851,{0;0.01;0.1;1;10;100},{"Muy baja";"Muy baja";"Baja";"Media";"Alta";"Muy alta"}),"")</f>
        <v/>
      </c>
      <c r="X1851" s="31">
        <f>IFERROR(VLOOKUP(V1851,MgFrec,2,0),0)</f>
        <v/>
      </c>
      <c r="Y1851" s="30">
        <f>T1851*X1851</f>
        <v/>
      </c>
      <c r="Z1851" s="28">
        <f>IFERROR(LOOKUP(Y1851,{0;0.5;5;25},{"Bajo";"Medio";"Alto";"Crítico"}),"")</f>
        <v/>
      </c>
      <c r="AA1851" s="64">
        <f>IF(T1851&gt;=3,IF(X1851&gt;=1,"Zona 1 — Crítica: impacto alto y ocurre al menos una vez al año","Zona 4 — Catastrófica poco probable: impacto alto pero excepcional"),IF(AND(T1851&lt;1.5,X1851&lt;1),"Zona 3 — Asumible: impacto bajo y muy poco frecuente","Zona 2 — Atención: riesgo intermedio"))</f>
        <v/>
      </c>
      <c r="AB1851" s="64">
        <f>IFERROR(INDEX(MgAmenCtrl,MATCH(SUBSTITUTE($H1851,"*","-"),MgAmenClave,0)),"")</f>
        <v/>
      </c>
      <c r="AC1851" s="20" t="n"/>
      <c r="AD1851" s="31">
        <f>IFERROR($X1851*(1-IF($AC1851="",$AL1851,VLOOKUP($AC1851,MgMad,2,0))),"")</f>
        <v/>
      </c>
      <c r="AE1851" s="28">
        <f>IFERROR(LOOKUP(AD1851,{0;0.01;0.1;1;10;100},{"Muy baja";"Muy baja";"Baja";"Media";"Alta";"Muy alta"}),"")</f>
        <v/>
      </c>
      <c r="AF1851" s="30">
        <f>T1851*AD1851</f>
        <v/>
      </c>
      <c r="AG1851" s="28">
        <f>IFERROR(LOOKUP(AF1851,{0;0.5;5;25},{"Bajo";"Medio";"Alto";"Crítico"}),"")</f>
        <v/>
      </c>
      <c r="AH1851" s="28">
        <f>IF(AG1851="","",IF(OR(AG1851="Crítico",AG1851="Alto"),"Mitigar",IF(AG1851="Medio","Mitigar","Aceptar y monitorear")))</f>
        <v/>
      </c>
      <c r="AI1851" s="21" t="n"/>
      <c r="AJ1851" s="21" t="n"/>
      <c r="AK1851" s="20" t="n"/>
      <c r="AL1851" s="77">
        <f>IFERROR(INDEX(MgAmenEfic,MATCH(SUBSTITUTE($H1851,"*","-"),MgAmenClave,0)),0)</f>
        <v/>
      </c>
    </row>
    <row r="1852" hidden="1" ht="60" customHeight="1" s="54">
      <c r="B1852" s="59" t="inlineStr">
        <is>
          <t>R-1847</t>
        </is>
      </c>
      <c r="C1852" s="59" t="inlineStr">
        <is>
          <t>TEC-001</t>
        </is>
      </c>
      <c r="D1852" s="64">
        <f>IFERROR(INDEX(MgNombre,MATCH($C1852,MgActId,0)),"")</f>
        <v/>
      </c>
      <c r="E1852" s="64">
        <f>IFERROR(INDEX(MgProceso,MATCH($C1852,MgActId,0)),"")</f>
        <v/>
      </c>
      <c r="F1852" s="64">
        <f>IFERROR(INDEX(MgTipo,MATCH($C1852,MgActId,0)),"")</f>
        <v/>
      </c>
      <c r="G1852" s="64">
        <f>IFERROR(INDEX(MgSubtipo,MATCH($C1852,MgActId,0)),"")</f>
        <v/>
      </c>
      <c r="H1852" s="59" t="inlineStr">
        <is>
          <t>A.7</t>
        </is>
      </c>
      <c r="I1852" s="64">
        <f>IFERROR(INDEX(MgAmenNombre,MATCH(SUBSTITUTE($H1852,"*","-"),MgAmenClave,0)),"")</f>
        <v/>
      </c>
      <c r="J1852" s="28">
        <f>IFERROR(INDEX(MgAmenGrupo,MATCH(SUBSTITUTE($H1852,"*","-"),MgAmenClave,0)),"")</f>
        <v/>
      </c>
      <c r="K1852" s="64">
        <f>IFERROR(INDEX('1. Matriz de Activos'!$Q$6:$Q$239,MATCH($C1852,MgActId,0)),"")</f>
        <v/>
      </c>
      <c r="L1852" s="64">
        <f>IFERROR(INDEX('1. Matriz de Activos'!$R$6:$R$239,MATCH($C1852,MgActId,0)),"")</f>
        <v/>
      </c>
      <c r="M1852" s="64">
        <f>IFERROR(INDEX('1. Matriz de Activos'!$S$6:$S$239,MATCH($C1852,MgActId,0)),"")</f>
        <v/>
      </c>
      <c r="N1852" s="28">
        <f>IFERROR(INDEX(MgAmenDegD,MATCH(SUBSTITUTE($H1852,"*","-"),MgAmenClave,0)),"No aplica")</f>
        <v/>
      </c>
      <c r="O1852" s="28">
        <f>IFERROR(INDEX(MgAmenDegI,MATCH(SUBSTITUTE($H1852,"*","-"),MgAmenClave,0)),"No aplica")</f>
        <v/>
      </c>
      <c r="P1852" s="28">
        <f>IFERROR(INDEX(MgAmenDegC,MATCH(SUBSTITUTE($H1852,"*","-"),MgAmenClave,0)),"No aplica")</f>
        <v/>
      </c>
      <c r="Q1852" s="29">
        <f>IFERROR(VLOOKUP(K1852,MgValor,2,0)*VLOOKUP(N1852,MgDeg,2,0),0)</f>
        <v/>
      </c>
      <c r="R1852" s="29">
        <f>IFERROR(VLOOKUP(L1852,MgValor,2,0)*VLOOKUP(O1852,MgDeg,2,0),0)</f>
        <v/>
      </c>
      <c r="S1852" s="29">
        <f>IFERROR(VLOOKUP(M1852,MgValor,2,0)*VLOOKUP(P1852,MgDeg,2,0),0)</f>
        <v/>
      </c>
      <c r="T1852" s="30">
        <f>MAX(Q1852:S1852)</f>
        <v/>
      </c>
      <c r="U1852" s="28">
        <f>IFERROR(LOOKUP(T1852,{0;0.5;1.5;3;4.5},{"Despreciable";"Bajo";"Medio";"Alto";"Muy alto"}),"")</f>
        <v/>
      </c>
      <c r="V1852" s="13">
        <f>IFERROR(INDEX(MgAmenFrec,MATCH(SUBSTITUTE($H1852,"*","-"),MgAmenClave,0)),"")</f>
        <v/>
      </c>
      <c r="W1852" s="28">
        <f>IFERROR(LOOKUP(X1852,{0;0.01;0.1;1;10;100},{"Muy baja";"Muy baja";"Baja";"Media";"Alta";"Muy alta"}),"")</f>
        <v/>
      </c>
      <c r="X1852" s="31">
        <f>IFERROR(VLOOKUP(V1852,MgFrec,2,0),0)</f>
        <v/>
      </c>
      <c r="Y1852" s="30">
        <f>T1852*X1852</f>
        <v/>
      </c>
      <c r="Z1852" s="28">
        <f>IFERROR(LOOKUP(Y1852,{0;0.5;5;25},{"Bajo";"Medio";"Alto";"Crítico"}),"")</f>
        <v/>
      </c>
      <c r="AA1852" s="64">
        <f>IF(T1852&gt;=3,IF(X1852&gt;=1,"Zona 1 — Crítica: impacto alto y ocurre al menos una vez al año","Zona 4 — Catastrófica poco probable: impacto alto pero excepcional"),IF(AND(T1852&lt;1.5,X1852&lt;1),"Zona 3 — Asumible: impacto bajo y muy poco frecuente","Zona 2 — Atención: riesgo intermedio"))</f>
        <v/>
      </c>
      <c r="AB1852" s="64">
        <f>IFERROR(INDEX(MgAmenCtrl,MATCH(SUBSTITUTE($H1852,"*","-"),MgAmenClave,0)),"")</f>
        <v/>
      </c>
      <c r="AC1852" s="20" t="n"/>
      <c r="AD1852" s="31">
        <f>IFERROR($X1852*(1-IF($AC1852="",$AL1852,VLOOKUP($AC1852,MgMad,2,0))),"")</f>
        <v/>
      </c>
      <c r="AE1852" s="28">
        <f>IFERROR(LOOKUP(AD1852,{0;0.01;0.1;1;10;100},{"Muy baja";"Muy baja";"Baja";"Media";"Alta";"Muy alta"}),"")</f>
        <v/>
      </c>
      <c r="AF1852" s="30">
        <f>T1852*AD1852</f>
        <v/>
      </c>
      <c r="AG1852" s="28">
        <f>IFERROR(LOOKUP(AF1852,{0;0.5;5;25},{"Bajo";"Medio";"Alto";"Crítico"}),"")</f>
        <v/>
      </c>
      <c r="AH1852" s="28">
        <f>IF(AG1852="","",IF(OR(AG1852="Crítico",AG1852="Alto"),"Mitigar",IF(AG1852="Medio","Mitigar","Aceptar y monitorear")))</f>
        <v/>
      </c>
      <c r="AI1852" s="21" t="n"/>
      <c r="AJ1852" s="21" t="n"/>
      <c r="AK1852" s="20" t="n"/>
      <c r="AL1852" s="77">
        <f>IFERROR(INDEX(MgAmenEfic,MATCH(SUBSTITUTE($H1852,"*","-"),MgAmenClave,0)),0)</f>
        <v/>
      </c>
    </row>
    <row r="1853" hidden="1" ht="120" customHeight="1" s="54">
      <c r="B1853" s="59" t="inlineStr">
        <is>
          <t>R-1848</t>
        </is>
      </c>
      <c r="C1853" s="59" t="inlineStr">
        <is>
          <t>TEC-001</t>
        </is>
      </c>
      <c r="D1853" s="64">
        <f>IFERROR(INDEX(MgNombre,MATCH($C1853,MgActId,0)),"")</f>
        <v/>
      </c>
      <c r="E1853" s="64">
        <f>IFERROR(INDEX(MgProceso,MATCH($C1853,MgActId,0)),"")</f>
        <v/>
      </c>
      <c r="F1853" s="64">
        <f>IFERROR(INDEX(MgTipo,MATCH($C1853,MgActId,0)),"")</f>
        <v/>
      </c>
      <c r="G1853" s="64">
        <f>IFERROR(INDEX(MgSubtipo,MATCH($C1853,MgActId,0)),"")</f>
        <v/>
      </c>
      <c r="H1853" s="59" t="inlineStr">
        <is>
          <t>A.8</t>
        </is>
      </c>
      <c r="I1853" s="64">
        <f>IFERROR(INDEX(MgAmenNombre,MATCH(SUBSTITUTE($H1853,"*","-"),MgAmenClave,0)),"")</f>
        <v/>
      </c>
      <c r="J1853" s="28">
        <f>IFERROR(INDEX(MgAmenGrupo,MATCH(SUBSTITUTE($H1853,"*","-"),MgAmenClave,0)),"")</f>
        <v/>
      </c>
      <c r="K1853" s="64">
        <f>IFERROR(INDEX('1. Matriz de Activos'!$Q$6:$Q$239,MATCH($C1853,MgActId,0)),"")</f>
        <v/>
      </c>
      <c r="L1853" s="64">
        <f>IFERROR(INDEX('1. Matriz de Activos'!$R$6:$R$239,MATCH($C1853,MgActId,0)),"")</f>
        <v/>
      </c>
      <c r="M1853" s="64">
        <f>IFERROR(INDEX('1. Matriz de Activos'!$S$6:$S$239,MATCH($C1853,MgActId,0)),"")</f>
        <v/>
      </c>
      <c r="N1853" s="28">
        <f>IFERROR(INDEX(MgAmenDegD,MATCH(SUBSTITUTE($H1853,"*","-"),MgAmenClave,0)),"No aplica")</f>
        <v/>
      </c>
      <c r="O1853" s="28">
        <f>IFERROR(INDEX(MgAmenDegI,MATCH(SUBSTITUTE($H1853,"*","-"),MgAmenClave,0)),"No aplica")</f>
        <v/>
      </c>
      <c r="P1853" s="28">
        <f>IFERROR(INDEX(MgAmenDegC,MATCH(SUBSTITUTE($H1853,"*","-"),MgAmenClave,0)),"No aplica")</f>
        <v/>
      </c>
      <c r="Q1853" s="29">
        <f>IFERROR(VLOOKUP(K1853,MgValor,2,0)*VLOOKUP(N1853,MgDeg,2,0),0)</f>
        <v/>
      </c>
      <c r="R1853" s="29">
        <f>IFERROR(VLOOKUP(L1853,MgValor,2,0)*VLOOKUP(O1853,MgDeg,2,0),0)</f>
        <v/>
      </c>
      <c r="S1853" s="29">
        <f>IFERROR(VLOOKUP(M1853,MgValor,2,0)*VLOOKUP(P1853,MgDeg,2,0),0)</f>
        <v/>
      </c>
      <c r="T1853" s="30">
        <f>MAX(Q1853:S1853)</f>
        <v/>
      </c>
      <c r="U1853" s="28">
        <f>IFERROR(LOOKUP(T1853,{0;0.5;1.5;3;4.5},{"Despreciable";"Bajo";"Medio";"Alto";"Muy alto"}),"")</f>
        <v/>
      </c>
      <c r="V1853" s="13">
        <f>IFERROR(INDEX(MgAmenFrec,MATCH(SUBSTITUTE($H1853,"*","-"),MgAmenClave,0)),"")</f>
        <v/>
      </c>
      <c r="W1853" s="28">
        <f>IFERROR(LOOKUP(X1853,{0;0.01;0.1;1;10;100},{"Muy baja";"Muy baja";"Baja";"Media";"Alta";"Muy alta"}),"")</f>
        <v/>
      </c>
      <c r="X1853" s="31">
        <f>IFERROR(VLOOKUP(V1853,MgFrec,2,0),0)</f>
        <v/>
      </c>
      <c r="Y1853" s="30">
        <f>T1853*X1853</f>
        <v/>
      </c>
      <c r="Z1853" s="28">
        <f>IFERROR(LOOKUP(Y1853,{0;0.5;5;25},{"Bajo";"Medio";"Alto";"Crítico"}),"")</f>
        <v/>
      </c>
      <c r="AA1853" s="64">
        <f>IF(T1853&gt;=3,IF(X1853&gt;=1,"Zona 1 — Crítica: impacto alto y ocurre al menos una vez al año","Zona 4 — Catastrófica poco probable: impacto alto pero excepcional"),IF(AND(T1853&lt;1.5,X1853&lt;1),"Zona 3 — Asumible: impacto bajo y muy poco frecuente","Zona 2 — Atención: riesgo intermedio"))</f>
        <v/>
      </c>
      <c r="AB1853" s="64">
        <f>IFERROR(INDEX(MgAmenCtrl,MATCH(SUBSTITUTE($H1853,"*","-"),MgAmenClave,0)),"")</f>
        <v/>
      </c>
      <c r="AC1853" s="20" t="n"/>
      <c r="AD1853" s="31">
        <f>IFERROR($X1853*(1-IF($AC1853="",$AL1853,VLOOKUP($AC1853,MgMad,2,0))),"")</f>
        <v/>
      </c>
      <c r="AE1853" s="28">
        <f>IFERROR(LOOKUP(AD1853,{0;0.01;0.1;1;10;100},{"Muy baja";"Muy baja";"Baja";"Media";"Alta";"Muy alta"}),"")</f>
        <v/>
      </c>
      <c r="AF1853" s="30">
        <f>T1853*AD1853</f>
        <v/>
      </c>
      <c r="AG1853" s="28">
        <f>IFERROR(LOOKUP(AF1853,{0;0.5;5;25},{"Bajo";"Medio";"Alto";"Crítico"}),"")</f>
        <v/>
      </c>
      <c r="AH1853" s="28">
        <f>IF(AG1853="","",IF(OR(AG1853="Crítico",AG1853="Alto"),"Mitigar",IF(AG1853="Medio","Mitigar","Aceptar y monitorear")))</f>
        <v/>
      </c>
      <c r="AI1853" s="21" t="n"/>
      <c r="AJ1853" s="21" t="n"/>
      <c r="AK1853" s="20" t="n"/>
      <c r="AL1853" s="77">
        <f>IFERROR(INDEX(MgAmenEfic,MATCH(SUBSTITUTE($H1853,"*","-"),MgAmenClave,0)),0)</f>
        <v/>
      </c>
    </row>
    <row r="1854" hidden="1" ht="60" customHeight="1" s="54">
      <c r="B1854" s="59" t="inlineStr">
        <is>
          <t>R-1849</t>
        </is>
      </c>
      <c r="C1854" s="59" t="inlineStr">
        <is>
          <t>TEC-001</t>
        </is>
      </c>
      <c r="D1854" s="64">
        <f>IFERROR(INDEX(MgNombre,MATCH($C1854,MgActId,0)),"")</f>
        <v/>
      </c>
      <c r="E1854" s="64">
        <f>IFERROR(INDEX(MgProceso,MATCH($C1854,MgActId,0)),"")</f>
        <v/>
      </c>
      <c r="F1854" s="64">
        <f>IFERROR(INDEX(MgTipo,MATCH($C1854,MgActId,0)),"")</f>
        <v/>
      </c>
      <c r="G1854" s="64">
        <f>IFERROR(INDEX(MgSubtipo,MATCH($C1854,MgActId,0)),"")</f>
        <v/>
      </c>
      <c r="H1854" s="59" t="inlineStr">
        <is>
          <t>A.9</t>
        </is>
      </c>
      <c r="I1854" s="64">
        <f>IFERROR(INDEX(MgAmenNombre,MATCH(SUBSTITUTE($H1854,"*","-"),MgAmenClave,0)),"")</f>
        <v/>
      </c>
      <c r="J1854" s="28">
        <f>IFERROR(INDEX(MgAmenGrupo,MATCH(SUBSTITUTE($H1854,"*","-"),MgAmenClave,0)),"")</f>
        <v/>
      </c>
      <c r="K1854" s="64">
        <f>IFERROR(INDEX('1. Matriz de Activos'!$Q$6:$Q$239,MATCH($C1854,MgActId,0)),"")</f>
        <v/>
      </c>
      <c r="L1854" s="64">
        <f>IFERROR(INDEX('1. Matriz de Activos'!$R$6:$R$239,MATCH($C1854,MgActId,0)),"")</f>
        <v/>
      </c>
      <c r="M1854" s="64">
        <f>IFERROR(INDEX('1. Matriz de Activos'!$S$6:$S$239,MATCH($C1854,MgActId,0)),"")</f>
        <v/>
      </c>
      <c r="N1854" s="28">
        <f>IFERROR(INDEX(MgAmenDegD,MATCH(SUBSTITUTE($H1854,"*","-"),MgAmenClave,0)),"No aplica")</f>
        <v/>
      </c>
      <c r="O1854" s="28">
        <f>IFERROR(INDEX(MgAmenDegI,MATCH(SUBSTITUTE($H1854,"*","-"),MgAmenClave,0)),"No aplica")</f>
        <v/>
      </c>
      <c r="P1854" s="28">
        <f>IFERROR(INDEX(MgAmenDegC,MATCH(SUBSTITUTE($H1854,"*","-"),MgAmenClave,0)),"No aplica")</f>
        <v/>
      </c>
      <c r="Q1854" s="29">
        <f>IFERROR(VLOOKUP(K1854,MgValor,2,0)*VLOOKUP(N1854,MgDeg,2,0),0)</f>
        <v/>
      </c>
      <c r="R1854" s="29">
        <f>IFERROR(VLOOKUP(L1854,MgValor,2,0)*VLOOKUP(O1854,MgDeg,2,0),0)</f>
        <v/>
      </c>
      <c r="S1854" s="29">
        <f>IFERROR(VLOOKUP(M1854,MgValor,2,0)*VLOOKUP(P1854,MgDeg,2,0),0)</f>
        <v/>
      </c>
      <c r="T1854" s="30">
        <f>MAX(Q1854:S1854)</f>
        <v/>
      </c>
      <c r="U1854" s="28">
        <f>IFERROR(LOOKUP(T1854,{0;0.5;1.5;3;4.5},{"Despreciable";"Bajo";"Medio";"Alto";"Muy alto"}),"")</f>
        <v/>
      </c>
      <c r="V1854" s="13">
        <f>IFERROR(INDEX(MgAmenFrec,MATCH(SUBSTITUTE($H1854,"*","-"),MgAmenClave,0)),"")</f>
        <v/>
      </c>
      <c r="W1854" s="28">
        <f>IFERROR(LOOKUP(X1854,{0;0.01;0.1;1;10;100},{"Muy baja";"Muy baja";"Baja";"Media";"Alta";"Muy alta"}),"")</f>
        <v/>
      </c>
      <c r="X1854" s="31">
        <f>IFERROR(VLOOKUP(V1854,MgFrec,2,0),0)</f>
        <v/>
      </c>
      <c r="Y1854" s="30">
        <f>T1854*X1854</f>
        <v/>
      </c>
      <c r="Z1854" s="28">
        <f>IFERROR(LOOKUP(Y1854,{0;0.5;5;25},{"Bajo";"Medio";"Alto";"Crítico"}),"")</f>
        <v/>
      </c>
      <c r="AA1854" s="64">
        <f>IF(T1854&gt;=3,IF(X1854&gt;=1,"Zona 1 — Crítica: impacto alto y ocurre al menos una vez al año","Zona 4 — Catastrófica poco probable: impacto alto pero excepcional"),IF(AND(T1854&lt;1.5,X1854&lt;1),"Zona 3 — Asumible: impacto bajo y muy poco frecuente","Zona 2 — Atención: riesgo intermedio"))</f>
        <v/>
      </c>
      <c r="AB1854" s="64">
        <f>IFERROR(INDEX(MgAmenCtrl,MATCH(SUBSTITUTE($H1854,"*","-"),MgAmenClave,0)),"")</f>
        <v/>
      </c>
      <c r="AC1854" s="20" t="n"/>
      <c r="AD1854" s="31">
        <f>IFERROR($X1854*(1-IF($AC1854="",$AL1854,VLOOKUP($AC1854,MgMad,2,0))),"")</f>
        <v/>
      </c>
      <c r="AE1854" s="28">
        <f>IFERROR(LOOKUP(AD1854,{0;0.01;0.1;1;10;100},{"Muy baja";"Muy baja";"Baja";"Media";"Alta";"Muy alta"}),"")</f>
        <v/>
      </c>
      <c r="AF1854" s="30">
        <f>T1854*AD1854</f>
        <v/>
      </c>
      <c r="AG1854" s="28">
        <f>IFERROR(LOOKUP(AF1854,{0;0.5;5;25},{"Bajo";"Medio";"Alto";"Crítico"}),"")</f>
        <v/>
      </c>
      <c r="AH1854" s="28">
        <f>IF(AG1854="","",IF(OR(AG1854="Crítico",AG1854="Alto"),"Mitigar",IF(AG1854="Medio","Mitigar","Aceptar y monitorear")))</f>
        <v/>
      </c>
      <c r="AI1854" s="21" t="n"/>
      <c r="AJ1854" s="21" t="n"/>
      <c r="AK1854" s="20" t="n"/>
      <c r="AL1854" s="77">
        <f>IFERROR(INDEX(MgAmenEfic,MATCH(SUBSTITUTE($H1854,"*","-"),MgAmenClave,0)),0)</f>
        <v/>
      </c>
    </row>
    <row r="1855" hidden="1" ht="45" customHeight="1" s="54">
      <c r="B1855" s="59" t="inlineStr">
        <is>
          <t>R-1850</t>
        </is>
      </c>
      <c r="C1855" s="59" t="inlineStr">
        <is>
          <t>TEC-001</t>
        </is>
      </c>
      <c r="D1855" s="64">
        <f>IFERROR(INDEX(MgNombre,MATCH($C1855,MgActId,0)),"")</f>
        <v/>
      </c>
      <c r="E1855" s="64">
        <f>IFERROR(INDEX(MgProceso,MATCH($C1855,MgActId,0)),"")</f>
        <v/>
      </c>
      <c r="F1855" s="64">
        <f>IFERROR(INDEX(MgTipo,MATCH($C1855,MgActId,0)),"")</f>
        <v/>
      </c>
      <c r="G1855" s="64">
        <f>IFERROR(INDEX(MgSubtipo,MATCH($C1855,MgActId,0)),"")</f>
        <v/>
      </c>
      <c r="H1855" s="59" t="inlineStr">
        <is>
          <t>A.10</t>
        </is>
      </c>
      <c r="I1855" s="64">
        <f>IFERROR(INDEX(MgAmenNombre,MATCH(SUBSTITUTE($H1855,"*","-"),MgAmenClave,0)),"")</f>
        <v/>
      </c>
      <c r="J1855" s="28">
        <f>IFERROR(INDEX(MgAmenGrupo,MATCH(SUBSTITUTE($H1855,"*","-"),MgAmenClave,0)),"")</f>
        <v/>
      </c>
      <c r="K1855" s="64">
        <f>IFERROR(INDEX('1. Matriz de Activos'!$Q$6:$Q$239,MATCH($C1855,MgActId,0)),"")</f>
        <v/>
      </c>
      <c r="L1855" s="64">
        <f>IFERROR(INDEX('1. Matriz de Activos'!$R$6:$R$239,MATCH($C1855,MgActId,0)),"")</f>
        <v/>
      </c>
      <c r="M1855" s="64">
        <f>IFERROR(INDEX('1. Matriz de Activos'!$S$6:$S$239,MATCH($C1855,MgActId,0)),"")</f>
        <v/>
      </c>
      <c r="N1855" s="28">
        <f>IFERROR(INDEX(MgAmenDegD,MATCH(SUBSTITUTE($H1855,"*","-"),MgAmenClave,0)),"No aplica")</f>
        <v/>
      </c>
      <c r="O1855" s="28">
        <f>IFERROR(INDEX(MgAmenDegI,MATCH(SUBSTITUTE($H1855,"*","-"),MgAmenClave,0)),"No aplica")</f>
        <v/>
      </c>
      <c r="P1855" s="28">
        <f>IFERROR(INDEX(MgAmenDegC,MATCH(SUBSTITUTE($H1855,"*","-"),MgAmenClave,0)),"No aplica")</f>
        <v/>
      </c>
      <c r="Q1855" s="29">
        <f>IFERROR(VLOOKUP(K1855,MgValor,2,0)*VLOOKUP(N1855,MgDeg,2,0),0)</f>
        <v/>
      </c>
      <c r="R1855" s="29">
        <f>IFERROR(VLOOKUP(L1855,MgValor,2,0)*VLOOKUP(O1855,MgDeg,2,0),0)</f>
        <v/>
      </c>
      <c r="S1855" s="29">
        <f>IFERROR(VLOOKUP(M1855,MgValor,2,0)*VLOOKUP(P1855,MgDeg,2,0),0)</f>
        <v/>
      </c>
      <c r="T1855" s="30">
        <f>MAX(Q1855:S1855)</f>
        <v/>
      </c>
      <c r="U1855" s="28">
        <f>IFERROR(LOOKUP(T1855,{0;0.5;1.5;3;4.5},{"Despreciable";"Bajo";"Medio";"Alto";"Muy alto"}),"")</f>
        <v/>
      </c>
      <c r="V1855" s="13">
        <f>IFERROR(INDEX(MgAmenFrec,MATCH(SUBSTITUTE($H1855,"*","-"),MgAmenClave,0)),"")</f>
        <v/>
      </c>
      <c r="W1855" s="28">
        <f>IFERROR(LOOKUP(X1855,{0;0.01;0.1;1;10;100},{"Muy baja";"Muy baja";"Baja";"Media";"Alta";"Muy alta"}),"")</f>
        <v/>
      </c>
      <c r="X1855" s="31">
        <f>IFERROR(VLOOKUP(V1855,MgFrec,2,0),0)</f>
        <v/>
      </c>
      <c r="Y1855" s="30">
        <f>T1855*X1855</f>
        <v/>
      </c>
      <c r="Z1855" s="28">
        <f>IFERROR(LOOKUP(Y1855,{0;0.5;5;25},{"Bajo";"Medio";"Alto";"Crítico"}),"")</f>
        <v/>
      </c>
      <c r="AA1855" s="64">
        <f>IF(T1855&gt;=3,IF(X1855&gt;=1,"Zona 1 — Crítica: impacto alto y ocurre al menos una vez al año","Zona 4 — Catastrófica poco probable: impacto alto pero excepcional"),IF(AND(T1855&lt;1.5,X1855&lt;1),"Zona 3 — Asumible: impacto bajo y muy poco frecuente","Zona 2 — Atención: riesgo intermedio"))</f>
        <v/>
      </c>
      <c r="AB1855" s="64">
        <f>IFERROR(INDEX(MgAmenCtrl,MATCH(SUBSTITUTE($H1855,"*","-"),MgAmenClave,0)),"")</f>
        <v/>
      </c>
      <c r="AC1855" s="20" t="n"/>
      <c r="AD1855" s="31">
        <f>IFERROR($X1855*(1-IF($AC1855="",$AL1855,VLOOKUP($AC1855,MgMad,2,0))),"")</f>
        <v/>
      </c>
      <c r="AE1855" s="28">
        <f>IFERROR(LOOKUP(AD1855,{0;0.01;0.1;1;10;100},{"Muy baja";"Muy baja";"Baja";"Media";"Alta";"Muy alta"}),"")</f>
        <v/>
      </c>
      <c r="AF1855" s="30">
        <f>T1855*AD1855</f>
        <v/>
      </c>
      <c r="AG1855" s="28">
        <f>IFERROR(LOOKUP(AF1855,{0;0.5;5;25},{"Bajo";"Medio";"Alto";"Crítico"}),"")</f>
        <v/>
      </c>
      <c r="AH1855" s="28">
        <f>IF(AG1855="","",IF(OR(AG1855="Crítico",AG1855="Alto"),"Mitigar",IF(AG1855="Medio","Mitigar","Aceptar y monitorear")))</f>
        <v/>
      </c>
      <c r="AI1855" s="21" t="n"/>
      <c r="AJ1855" s="21" t="n"/>
      <c r="AK1855" s="20" t="n"/>
      <c r="AL1855" s="77">
        <f>IFERROR(INDEX(MgAmenEfic,MATCH(SUBSTITUTE($H1855,"*","-"),MgAmenClave,0)),0)</f>
        <v/>
      </c>
    </row>
    <row r="1856" hidden="1" ht="120" customHeight="1" s="54">
      <c r="B1856" s="59" t="inlineStr">
        <is>
          <t>R-1851</t>
        </is>
      </c>
      <c r="C1856" s="59" t="inlineStr">
        <is>
          <t>TEC-001</t>
        </is>
      </c>
      <c r="D1856" s="64">
        <f>IFERROR(INDEX(MgNombre,MATCH($C1856,MgActId,0)),"")</f>
        <v/>
      </c>
      <c r="E1856" s="64">
        <f>IFERROR(INDEX(MgProceso,MATCH($C1856,MgActId,0)),"")</f>
        <v/>
      </c>
      <c r="F1856" s="64">
        <f>IFERROR(INDEX(MgTipo,MATCH($C1856,MgActId,0)),"")</f>
        <v/>
      </c>
      <c r="G1856" s="64">
        <f>IFERROR(INDEX(MgSubtipo,MATCH($C1856,MgActId,0)),"")</f>
        <v/>
      </c>
      <c r="H1856" s="59" t="inlineStr">
        <is>
          <t>A.11</t>
        </is>
      </c>
      <c r="I1856" s="64">
        <f>IFERROR(INDEX(MgAmenNombre,MATCH(SUBSTITUTE($H1856,"*","-"),MgAmenClave,0)),"")</f>
        <v/>
      </c>
      <c r="J1856" s="28">
        <f>IFERROR(INDEX(MgAmenGrupo,MATCH(SUBSTITUTE($H1856,"*","-"),MgAmenClave,0)),"")</f>
        <v/>
      </c>
      <c r="K1856" s="64">
        <f>IFERROR(INDEX('1. Matriz de Activos'!$Q$6:$Q$239,MATCH($C1856,MgActId,0)),"")</f>
        <v/>
      </c>
      <c r="L1856" s="64">
        <f>IFERROR(INDEX('1. Matriz de Activos'!$R$6:$R$239,MATCH($C1856,MgActId,0)),"")</f>
        <v/>
      </c>
      <c r="M1856" s="64">
        <f>IFERROR(INDEX('1. Matriz de Activos'!$S$6:$S$239,MATCH($C1856,MgActId,0)),"")</f>
        <v/>
      </c>
      <c r="N1856" s="28">
        <f>IFERROR(INDEX(MgAmenDegD,MATCH(SUBSTITUTE($H1856,"*","-"),MgAmenClave,0)),"No aplica")</f>
        <v/>
      </c>
      <c r="O1856" s="28">
        <f>IFERROR(INDEX(MgAmenDegI,MATCH(SUBSTITUTE($H1856,"*","-"),MgAmenClave,0)),"No aplica")</f>
        <v/>
      </c>
      <c r="P1856" s="28">
        <f>IFERROR(INDEX(MgAmenDegC,MATCH(SUBSTITUTE($H1856,"*","-"),MgAmenClave,0)),"No aplica")</f>
        <v/>
      </c>
      <c r="Q1856" s="29">
        <f>IFERROR(VLOOKUP(K1856,MgValor,2,0)*VLOOKUP(N1856,MgDeg,2,0),0)</f>
        <v/>
      </c>
      <c r="R1856" s="29">
        <f>IFERROR(VLOOKUP(L1856,MgValor,2,0)*VLOOKUP(O1856,MgDeg,2,0),0)</f>
        <v/>
      </c>
      <c r="S1856" s="29">
        <f>IFERROR(VLOOKUP(M1856,MgValor,2,0)*VLOOKUP(P1856,MgDeg,2,0),0)</f>
        <v/>
      </c>
      <c r="T1856" s="30">
        <f>MAX(Q1856:S1856)</f>
        <v/>
      </c>
      <c r="U1856" s="28">
        <f>IFERROR(LOOKUP(T1856,{0;0.5;1.5;3;4.5},{"Despreciable";"Bajo";"Medio";"Alto";"Muy alto"}),"")</f>
        <v/>
      </c>
      <c r="V1856" s="13">
        <f>IFERROR(INDEX(MgAmenFrec,MATCH(SUBSTITUTE($H1856,"*","-"),MgAmenClave,0)),"")</f>
        <v/>
      </c>
      <c r="W1856" s="28">
        <f>IFERROR(LOOKUP(X1856,{0;0.01;0.1;1;10;100},{"Muy baja";"Muy baja";"Baja";"Media";"Alta";"Muy alta"}),"")</f>
        <v/>
      </c>
      <c r="X1856" s="31">
        <f>IFERROR(VLOOKUP(V1856,MgFrec,2,0),0)</f>
        <v/>
      </c>
      <c r="Y1856" s="30">
        <f>T1856*X1856</f>
        <v/>
      </c>
      <c r="Z1856" s="28">
        <f>IFERROR(LOOKUP(Y1856,{0;0.5;5;25},{"Bajo";"Medio";"Alto";"Crítico"}),"")</f>
        <v/>
      </c>
      <c r="AA1856" s="64">
        <f>IF(T1856&gt;=3,IF(X1856&gt;=1,"Zona 1 — Crítica: impacto alto y ocurre al menos una vez al año","Zona 4 — Catastrófica poco probable: impacto alto pero excepcional"),IF(AND(T1856&lt;1.5,X1856&lt;1),"Zona 3 — Asumible: impacto bajo y muy poco frecuente","Zona 2 — Atención: riesgo intermedio"))</f>
        <v/>
      </c>
      <c r="AB1856" s="64">
        <f>IFERROR(INDEX(MgAmenCtrl,MATCH(SUBSTITUTE($H1856,"*","-"),MgAmenClave,0)),"")</f>
        <v/>
      </c>
      <c r="AC1856" s="20" t="n"/>
      <c r="AD1856" s="31">
        <f>IFERROR($X1856*(1-IF($AC1856="",$AL1856,VLOOKUP($AC1856,MgMad,2,0))),"")</f>
        <v/>
      </c>
      <c r="AE1856" s="28">
        <f>IFERROR(LOOKUP(AD1856,{0;0.01;0.1;1;10;100},{"Muy baja";"Muy baja";"Baja";"Media";"Alta";"Muy alta"}),"")</f>
        <v/>
      </c>
      <c r="AF1856" s="30">
        <f>T1856*AD1856</f>
        <v/>
      </c>
      <c r="AG1856" s="28">
        <f>IFERROR(LOOKUP(AF1856,{0;0.5;5;25},{"Bajo";"Medio";"Alto";"Crítico"}),"")</f>
        <v/>
      </c>
      <c r="AH1856" s="28">
        <f>IF(AG1856="","",IF(OR(AG1856="Crítico",AG1856="Alto"),"Mitigar",IF(AG1856="Medio","Mitigar","Aceptar y monitorear")))</f>
        <v/>
      </c>
      <c r="AI1856" s="21" t="n"/>
      <c r="AJ1856" s="21" t="n"/>
      <c r="AK1856" s="20" t="n"/>
      <c r="AL1856" s="77">
        <f>IFERROR(INDEX(MgAmenEfic,MATCH(SUBSTITUTE($H1856,"*","-"),MgAmenClave,0)),0)</f>
        <v/>
      </c>
    </row>
    <row r="1857" hidden="1" ht="60" customHeight="1" s="54">
      <c r="B1857" s="59" t="inlineStr">
        <is>
          <t>R-1852</t>
        </is>
      </c>
      <c r="C1857" s="59" t="inlineStr">
        <is>
          <t>TEC-001</t>
        </is>
      </c>
      <c r="D1857" s="64">
        <f>IFERROR(INDEX(MgNombre,MATCH($C1857,MgActId,0)),"")</f>
        <v/>
      </c>
      <c r="E1857" s="64">
        <f>IFERROR(INDEX(MgProceso,MATCH($C1857,MgActId,0)),"")</f>
        <v/>
      </c>
      <c r="F1857" s="64">
        <f>IFERROR(INDEX(MgTipo,MATCH($C1857,MgActId,0)),"")</f>
        <v/>
      </c>
      <c r="G1857" s="64">
        <f>IFERROR(INDEX(MgSubtipo,MATCH($C1857,MgActId,0)),"")</f>
        <v/>
      </c>
      <c r="H1857" s="59" t="inlineStr">
        <is>
          <t>A.15</t>
        </is>
      </c>
      <c r="I1857" s="64">
        <f>IFERROR(INDEX(MgAmenNombre,MATCH(SUBSTITUTE($H1857,"*","-"),MgAmenClave,0)),"")</f>
        <v/>
      </c>
      <c r="J1857" s="28">
        <f>IFERROR(INDEX(MgAmenGrupo,MATCH(SUBSTITUTE($H1857,"*","-"),MgAmenClave,0)),"")</f>
        <v/>
      </c>
      <c r="K1857" s="64">
        <f>IFERROR(INDEX('1. Matriz de Activos'!$Q$6:$Q$239,MATCH($C1857,MgActId,0)),"")</f>
        <v/>
      </c>
      <c r="L1857" s="64">
        <f>IFERROR(INDEX('1. Matriz de Activos'!$R$6:$R$239,MATCH($C1857,MgActId,0)),"")</f>
        <v/>
      </c>
      <c r="M1857" s="64">
        <f>IFERROR(INDEX('1. Matriz de Activos'!$S$6:$S$239,MATCH($C1857,MgActId,0)),"")</f>
        <v/>
      </c>
      <c r="N1857" s="28">
        <f>IFERROR(INDEX(MgAmenDegD,MATCH(SUBSTITUTE($H1857,"*","-"),MgAmenClave,0)),"No aplica")</f>
        <v/>
      </c>
      <c r="O1857" s="28">
        <f>IFERROR(INDEX(MgAmenDegI,MATCH(SUBSTITUTE($H1857,"*","-"),MgAmenClave,0)),"No aplica")</f>
        <v/>
      </c>
      <c r="P1857" s="28">
        <f>IFERROR(INDEX(MgAmenDegC,MATCH(SUBSTITUTE($H1857,"*","-"),MgAmenClave,0)),"No aplica")</f>
        <v/>
      </c>
      <c r="Q1857" s="29">
        <f>IFERROR(VLOOKUP(K1857,MgValor,2,0)*VLOOKUP(N1857,MgDeg,2,0),0)</f>
        <v/>
      </c>
      <c r="R1857" s="29">
        <f>IFERROR(VLOOKUP(L1857,MgValor,2,0)*VLOOKUP(O1857,MgDeg,2,0),0)</f>
        <v/>
      </c>
      <c r="S1857" s="29">
        <f>IFERROR(VLOOKUP(M1857,MgValor,2,0)*VLOOKUP(P1857,MgDeg,2,0),0)</f>
        <v/>
      </c>
      <c r="T1857" s="30">
        <f>MAX(Q1857:S1857)</f>
        <v/>
      </c>
      <c r="U1857" s="28">
        <f>IFERROR(LOOKUP(T1857,{0;0.5;1.5;3;4.5},{"Despreciable";"Bajo";"Medio";"Alto";"Muy alto"}),"")</f>
        <v/>
      </c>
      <c r="V1857" s="13">
        <f>IFERROR(INDEX(MgAmenFrec,MATCH(SUBSTITUTE($H1857,"*","-"),MgAmenClave,0)),"")</f>
        <v/>
      </c>
      <c r="W1857" s="28">
        <f>IFERROR(LOOKUP(X1857,{0;0.01;0.1;1;10;100},{"Muy baja";"Muy baja";"Baja";"Media";"Alta";"Muy alta"}),"")</f>
        <v/>
      </c>
      <c r="X1857" s="31">
        <f>IFERROR(VLOOKUP(V1857,MgFrec,2,0),0)</f>
        <v/>
      </c>
      <c r="Y1857" s="30">
        <f>T1857*X1857</f>
        <v/>
      </c>
      <c r="Z1857" s="28">
        <f>IFERROR(LOOKUP(Y1857,{0;0.5;5;25},{"Bajo";"Medio";"Alto";"Crítico"}),"")</f>
        <v/>
      </c>
      <c r="AA1857" s="64">
        <f>IF(T1857&gt;=3,IF(X1857&gt;=1,"Zona 1 — Crítica: impacto alto y ocurre al menos una vez al año","Zona 4 — Catastrófica poco probable: impacto alto pero excepcional"),IF(AND(T1857&lt;1.5,X1857&lt;1),"Zona 3 — Asumible: impacto bajo y muy poco frecuente","Zona 2 — Atención: riesgo intermedio"))</f>
        <v/>
      </c>
      <c r="AB1857" s="64">
        <f>IFERROR(INDEX(MgAmenCtrl,MATCH(SUBSTITUTE($H1857,"*","-"),MgAmenClave,0)),"")</f>
        <v/>
      </c>
      <c r="AC1857" s="20" t="n"/>
      <c r="AD1857" s="31">
        <f>IFERROR($X1857*(1-IF($AC1857="",$AL1857,VLOOKUP($AC1857,MgMad,2,0))),"")</f>
        <v/>
      </c>
      <c r="AE1857" s="28">
        <f>IFERROR(LOOKUP(AD1857,{0;0.01;0.1;1;10;100},{"Muy baja";"Muy baja";"Baja";"Media";"Alta";"Muy alta"}),"")</f>
        <v/>
      </c>
      <c r="AF1857" s="30">
        <f>T1857*AD1857</f>
        <v/>
      </c>
      <c r="AG1857" s="28">
        <f>IFERROR(LOOKUP(AF1857,{0;0.5;5;25},{"Bajo";"Medio";"Alto";"Crítico"}),"")</f>
        <v/>
      </c>
      <c r="AH1857" s="28">
        <f>IF(AG1857="","",IF(OR(AG1857="Crítico",AG1857="Alto"),"Mitigar",IF(AG1857="Medio","Mitigar","Aceptar y monitorear")))</f>
        <v/>
      </c>
      <c r="AI1857" s="21" t="n"/>
      <c r="AJ1857" s="21" t="n"/>
      <c r="AK1857" s="20" t="n"/>
      <c r="AL1857" s="77">
        <f>IFERROR(INDEX(MgAmenEfic,MATCH(SUBSTITUTE($H1857,"*","-"),MgAmenClave,0)),0)</f>
        <v/>
      </c>
    </row>
    <row r="1858" hidden="1" ht="60" customHeight="1" s="54">
      <c r="B1858" s="59" t="inlineStr">
        <is>
          <t>R-1853</t>
        </is>
      </c>
      <c r="C1858" s="59" t="inlineStr">
        <is>
          <t>TEC-001</t>
        </is>
      </c>
      <c r="D1858" s="64">
        <f>IFERROR(INDEX(MgNombre,MATCH($C1858,MgActId,0)),"")</f>
        <v/>
      </c>
      <c r="E1858" s="64">
        <f>IFERROR(INDEX(MgProceso,MATCH($C1858,MgActId,0)),"")</f>
        <v/>
      </c>
      <c r="F1858" s="64">
        <f>IFERROR(INDEX(MgTipo,MATCH($C1858,MgActId,0)),"")</f>
        <v/>
      </c>
      <c r="G1858" s="64">
        <f>IFERROR(INDEX(MgSubtipo,MATCH($C1858,MgActId,0)),"")</f>
        <v/>
      </c>
      <c r="H1858" s="59" t="inlineStr">
        <is>
          <t>A.18</t>
        </is>
      </c>
      <c r="I1858" s="64">
        <f>IFERROR(INDEX(MgAmenNombre,MATCH(SUBSTITUTE($H1858,"*","-"),MgAmenClave,0)),"")</f>
        <v/>
      </c>
      <c r="J1858" s="28">
        <f>IFERROR(INDEX(MgAmenGrupo,MATCH(SUBSTITUTE($H1858,"*","-"),MgAmenClave,0)),"")</f>
        <v/>
      </c>
      <c r="K1858" s="64">
        <f>IFERROR(INDEX('1. Matriz de Activos'!$Q$6:$Q$239,MATCH($C1858,MgActId,0)),"")</f>
        <v/>
      </c>
      <c r="L1858" s="64">
        <f>IFERROR(INDEX('1. Matriz de Activos'!$R$6:$R$239,MATCH($C1858,MgActId,0)),"")</f>
        <v/>
      </c>
      <c r="M1858" s="64">
        <f>IFERROR(INDEX('1. Matriz de Activos'!$S$6:$S$239,MATCH($C1858,MgActId,0)),"")</f>
        <v/>
      </c>
      <c r="N1858" s="28">
        <f>IFERROR(INDEX(MgAmenDegD,MATCH(SUBSTITUTE($H1858,"*","-"),MgAmenClave,0)),"No aplica")</f>
        <v/>
      </c>
      <c r="O1858" s="28">
        <f>IFERROR(INDEX(MgAmenDegI,MATCH(SUBSTITUTE($H1858,"*","-"),MgAmenClave,0)),"No aplica")</f>
        <v/>
      </c>
      <c r="P1858" s="28">
        <f>IFERROR(INDEX(MgAmenDegC,MATCH(SUBSTITUTE($H1858,"*","-"),MgAmenClave,0)),"No aplica")</f>
        <v/>
      </c>
      <c r="Q1858" s="29">
        <f>IFERROR(VLOOKUP(K1858,MgValor,2,0)*VLOOKUP(N1858,MgDeg,2,0),0)</f>
        <v/>
      </c>
      <c r="R1858" s="29">
        <f>IFERROR(VLOOKUP(L1858,MgValor,2,0)*VLOOKUP(O1858,MgDeg,2,0),0)</f>
        <v/>
      </c>
      <c r="S1858" s="29">
        <f>IFERROR(VLOOKUP(M1858,MgValor,2,0)*VLOOKUP(P1858,MgDeg,2,0),0)</f>
        <v/>
      </c>
      <c r="T1858" s="30">
        <f>MAX(Q1858:S1858)</f>
        <v/>
      </c>
      <c r="U1858" s="28">
        <f>IFERROR(LOOKUP(T1858,{0;0.5;1.5;3;4.5},{"Despreciable";"Bajo";"Medio";"Alto";"Muy alto"}),"")</f>
        <v/>
      </c>
      <c r="V1858" s="13">
        <f>IFERROR(INDEX(MgAmenFrec,MATCH(SUBSTITUTE($H1858,"*","-"),MgAmenClave,0)),"")</f>
        <v/>
      </c>
      <c r="W1858" s="28">
        <f>IFERROR(LOOKUP(X1858,{0;0.01;0.1;1;10;100},{"Muy baja";"Muy baja";"Baja";"Media";"Alta";"Muy alta"}),"")</f>
        <v/>
      </c>
      <c r="X1858" s="31">
        <f>IFERROR(VLOOKUP(V1858,MgFrec,2,0),0)</f>
        <v/>
      </c>
      <c r="Y1858" s="30">
        <f>T1858*X1858</f>
        <v/>
      </c>
      <c r="Z1858" s="28">
        <f>IFERROR(LOOKUP(Y1858,{0;0.5;5;25},{"Bajo";"Medio";"Alto";"Crítico"}),"")</f>
        <v/>
      </c>
      <c r="AA1858" s="64">
        <f>IF(T1858&gt;=3,IF(X1858&gt;=1,"Zona 1 — Crítica: impacto alto y ocurre al menos una vez al año","Zona 4 — Catastrófica poco probable: impacto alto pero excepcional"),IF(AND(T1858&lt;1.5,X1858&lt;1),"Zona 3 — Asumible: impacto bajo y muy poco frecuente","Zona 2 — Atención: riesgo intermedio"))</f>
        <v/>
      </c>
      <c r="AB1858" s="64">
        <f>IFERROR(INDEX(MgAmenCtrl,MATCH(SUBSTITUTE($H1858,"*","-"),MgAmenClave,0)),"")</f>
        <v/>
      </c>
      <c r="AC1858" s="20" t="n"/>
      <c r="AD1858" s="31">
        <f>IFERROR($X1858*(1-IF($AC1858="",$AL1858,VLOOKUP($AC1858,MgMad,2,0))),"")</f>
        <v/>
      </c>
      <c r="AE1858" s="28">
        <f>IFERROR(LOOKUP(AD1858,{0;0.01;0.1;1;10;100},{"Muy baja";"Muy baja";"Baja";"Media";"Alta";"Muy alta"}),"")</f>
        <v/>
      </c>
      <c r="AF1858" s="30">
        <f>T1858*AD1858</f>
        <v/>
      </c>
      <c r="AG1858" s="28">
        <f>IFERROR(LOOKUP(AF1858,{0;0.5;5;25},{"Bajo";"Medio";"Alto";"Crítico"}),"")</f>
        <v/>
      </c>
      <c r="AH1858" s="28">
        <f>IF(AG1858="","",IF(OR(AG1858="Crítico",AG1858="Alto"),"Mitigar",IF(AG1858="Medio","Mitigar","Aceptar y monitorear")))</f>
        <v/>
      </c>
      <c r="AI1858" s="21" t="n"/>
      <c r="AJ1858" s="21" t="n"/>
      <c r="AK1858" s="20" t="n"/>
      <c r="AL1858" s="77">
        <f>IFERROR(INDEX(MgAmenEfic,MATCH(SUBSTITUTE($H1858,"*","-"),MgAmenClave,0)),0)</f>
        <v/>
      </c>
    </row>
    <row r="1859" hidden="1" ht="120" customHeight="1" s="54">
      <c r="B1859" s="59" t="inlineStr">
        <is>
          <t>R-1854</t>
        </is>
      </c>
      <c r="C1859" s="59" t="inlineStr">
        <is>
          <t>TEC-001</t>
        </is>
      </c>
      <c r="D1859" s="64">
        <f>IFERROR(INDEX(MgNombre,MATCH($C1859,MgActId,0)),"")</f>
        <v/>
      </c>
      <c r="E1859" s="64">
        <f>IFERROR(INDEX(MgProceso,MATCH($C1859,MgActId,0)),"")</f>
        <v/>
      </c>
      <c r="F1859" s="64">
        <f>IFERROR(INDEX(MgTipo,MATCH($C1859,MgActId,0)),"")</f>
        <v/>
      </c>
      <c r="G1859" s="64">
        <f>IFERROR(INDEX(MgSubtipo,MATCH($C1859,MgActId,0)),"")</f>
        <v/>
      </c>
      <c r="H1859" s="59" t="inlineStr">
        <is>
          <t>A.19</t>
        </is>
      </c>
      <c r="I1859" s="64">
        <f>IFERROR(INDEX(MgAmenNombre,MATCH(SUBSTITUTE($H1859,"*","-"),MgAmenClave,0)),"")</f>
        <v/>
      </c>
      <c r="J1859" s="28">
        <f>IFERROR(INDEX(MgAmenGrupo,MATCH(SUBSTITUTE($H1859,"*","-"),MgAmenClave,0)),"")</f>
        <v/>
      </c>
      <c r="K1859" s="64">
        <f>IFERROR(INDEX('1. Matriz de Activos'!$Q$6:$Q$239,MATCH($C1859,MgActId,0)),"")</f>
        <v/>
      </c>
      <c r="L1859" s="64">
        <f>IFERROR(INDEX('1. Matriz de Activos'!$R$6:$R$239,MATCH($C1859,MgActId,0)),"")</f>
        <v/>
      </c>
      <c r="M1859" s="64">
        <f>IFERROR(INDEX('1. Matriz de Activos'!$S$6:$S$239,MATCH($C1859,MgActId,0)),"")</f>
        <v/>
      </c>
      <c r="N1859" s="28">
        <f>IFERROR(INDEX(MgAmenDegD,MATCH(SUBSTITUTE($H1859,"*","-"),MgAmenClave,0)),"No aplica")</f>
        <v/>
      </c>
      <c r="O1859" s="28">
        <f>IFERROR(INDEX(MgAmenDegI,MATCH(SUBSTITUTE($H1859,"*","-"),MgAmenClave,0)),"No aplica")</f>
        <v/>
      </c>
      <c r="P1859" s="28">
        <f>IFERROR(INDEX(MgAmenDegC,MATCH(SUBSTITUTE($H1859,"*","-"),MgAmenClave,0)),"No aplica")</f>
        <v/>
      </c>
      <c r="Q1859" s="29">
        <f>IFERROR(VLOOKUP(K1859,MgValor,2,0)*VLOOKUP(N1859,MgDeg,2,0),0)</f>
        <v/>
      </c>
      <c r="R1859" s="29">
        <f>IFERROR(VLOOKUP(L1859,MgValor,2,0)*VLOOKUP(O1859,MgDeg,2,0),0)</f>
        <v/>
      </c>
      <c r="S1859" s="29">
        <f>IFERROR(VLOOKUP(M1859,MgValor,2,0)*VLOOKUP(P1859,MgDeg,2,0),0)</f>
        <v/>
      </c>
      <c r="T1859" s="30">
        <f>MAX(Q1859:S1859)</f>
        <v/>
      </c>
      <c r="U1859" s="28">
        <f>IFERROR(LOOKUP(T1859,{0;0.5;1.5;3;4.5},{"Despreciable";"Bajo";"Medio";"Alto";"Muy alto"}),"")</f>
        <v/>
      </c>
      <c r="V1859" s="13">
        <f>IFERROR(INDEX(MgAmenFrec,MATCH(SUBSTITUTE($H1859,"*","-"),MgAmenClave,0)),"")</f>
        <v/>
      </c>
      <c r="W1859" s="28">
        <f>IFERROR(LOOKUP(X1859,{0;0.01;0.1;1;10;100},{"Muy baja";"Muy baja";"Baja";"Media";"Alta";"Muy alta"}),"")</f>
        <v/>
      </c>
      <c r="X1859" s="31">
        <f>IFERROR(VLOOKUP(V1859,MgFrec,2,0),0)</f>
        <v/>
      </c>
      <c r="Y1859" s="30">
        <f>T1859*X1859</f>
        <v/>
      </c>
      <c r="Z1859" s="28">
        <f>IFERROR(LOOKUP(Y1859,{0;0.5;5;25},{"Bajo";"Medio";"Alto";"Crítico"}),"")</f>
        <v/>
      </c>
      <c r="AA1859" s="64">
        <f>IF(T1859&gt;=3,IF(X1859&gt;=1,"Zona 1 — Crítica: impacto alto y ocurre al menos una vez al año","Zona 4 — Catastrófica poco probable: impacto alto pero excepcional"),IF(AND(T1859&lt;1.5,X1859&lt;1),"Zona 3 — Asumible: impacto bajo y muy poco frecuente","Zona 2 — Atención: riesgo intermedio"))</f>
        <v/>
      </c>
      <c r="AB1859" s="64">
        <f>IFERROR(INDEX(MgAmenCtrl,MATCH(SUBSTITUTE($H1859,"*","-"),MgAmenClave,0)),"")</f>
        <v/>
      </c>
      <c r="AC1859" s="20" t="n"/>
      <c r="AD1859" s="31">
        <f>IFERROR($X1859*(1-IF($AC1859="",$AL1859,VLOOKUP($AC1859,MgMad,2,0))),"")</f>
        <v/>
      </c>
      <c r="AE1859" s="28">
        <f>IFERROR(LOOKUP(AD1859,{0;0.01;0.1;1;10;100},{"Muy baja";"Muy baja";"Baja";"Media";"Alta";"Muy alta"}),"")</f>
        <v/>
      </c>
      <c r="AF1859" s="30">
        <f>T1859*AD1859</f>
        <v/>
      </c>
      <c r="AG1859" s="28">
        <f>IFERROR(LOOKUP(AF1859,{0;0.5;5;25},{"Bajo";"Medio";"Alto";"Crítico"}),"")</f>
        <v/>
      </c>
      <c r="AH1859" s="28">
        <f>IF(AG1859="","",IF(OR(AG1859="Crítico",AG1859="Alto"),"Mitigar",IF(AG1859="Medio","Mitigar","Aceptar y monitorear")))</f>
        <v/>
      </c>
      <c r="AI1859" s="21" t="n"/>
      <c r="AJ1859" s="21" t="n"/>
      <c r="AK1859" s="20" t="n"/>
      <c r="AL1859" s="77">
        <f>IFERROR(INDEX(MgAmenEfic,MATCH(SUBSTITUTE($H1859,"*","-"),MgAmenClave,0)),0)</f>
        <v/>
      </c>
    </row>
    <row r="1860" hidden="1" ht="135" customHeight="1" s="54">
      <c r="B1860" s="59" t="inlineStr">
        <is>
          <t>R-1855</t>
        </is>
      </c>
      <c r="C1860" s="59" t="inlineStr">
        <is>
          <t>TEC-001</t>
        </is>
      </c>
      <c r="D1860" s="64">
        <f>IFERROR(INDEX(MgNombre,MATCH($C1860,MgActId,0)),"")</f>
        <v/>
      </c>
      <c r="E1860" s="64">
        <f>IFERROR(INDEX(MgProceso,MATCH($C1860,MgActId,0)),"")</f>
        <v/>
      </c>
      <c r="F1860" s="64">
        <f>IFERROR(INDEX(MgTipo,MATCH($C1860,MgActId,0)),"")</f>
        <v/>
      </c>
      <c r="G1860" s="64">
        <f>IFERROR(INDEX(MgSubtipo,MATCH($C1860,MgActId,0)),"")</f>
        <v/>
      </c>
      <c r="H1860" s="59" t="inlineStr">
        <is>
          <t>A.22</t>
        </is>
      </c>
      <c r="I1860" s="64">
        <f>IFERROR(INDEX(MgAmenNombre,MATCH(SUBSTITUTE($H1860,"*","-"),MgAmenClave,0)),"")</f>
        <v/>
      </c>
      <c r="J1860" s="28">
        <f>IFERROR(INDEX(MgAmenGrupo,MATCH(SUBSTITUTE($H1860,"*","-"),MgAmenClave,0)),"")</f>
        <v/>
      </c>
      <c r="K1860" s="64">
        <f>IFERROR(INDEX('1. Matriz de Activos'!$Q$6:$Q$239,MATCH($C1860,MgActId,0)),"")</f>
        <v/>
      </c>
      <c r="L1860" s="64">
        <f>IFERROR(INDEX('1. Matriz de Activos'!$R$6:$R$239,MATCH($C1860,MgActId,0)),"")</f>
        <v/>
      </c>
      <c r="M1860" s="64">
        <f>IFERROR(INDEX('1. Matriz de Activos'!$S$6:$S$239,MATCH($C1860,MgActId,0)),"")</f>
        <v/>
      </c>
      <c r="N1860" s="28">
        <f>IFERROR(INDEX(MgAmenDegD,MATCH(SUBSTITUTE($H1860,"*","-"),MgAmenClave,0)),"No aplica")</f>
        <v/>
      </c>
      <c r="O1860" s="28">
        <f>IFERROR(INDEX(MgAmenDegI,MATCH(SUBSTITUTE($H1860,"*","-"),MgAmenClave,0)),"No aplica")</f>
        <v/>
      </c>
      <c r="P1860" s="28">
        <f>IFERROR(INDEX(MgAmenDegC,MATCH(SUBSTITUTE($H1860,"*","-"),MgAmenClave,0)),"No aplica")</f>
        <v/>
      </c>
      <c r="Q1860" s="29">
        <f>IFERROR(VLOOKUP(K1860,MgValor,2,0)*VLOOKUP(N1860,MgDeg,2,0),0)</f>
        <v/>
      </c>
      <c r="R1860" s="29">
        <f>IFERROR(VLOOKUP(L1860,MgValor,2,0)*VLOOKUP(O1860,MgDeg,2,0),0)</f>
        <v/>
      </c>
      <c r="S1860" s="29">
        <f>IFERROR(VLOOKUP(M1860,MgValor,2,0)*VLOOKUP(P1860,MgDeg,2,0),0)</f>
        <v/>
      </c>
      <c r="T1860" s="30">
        <f>MAX(Q1860:S1860)</f>
        <v/>
      </c>
      <c r="U1860" s="28">
        <f>IFERROR(LOOKUP(T1860,{0;0.5;1.5;3;4.5},{"Despreciable";"Bajo";"Medio";"Alto";"Muy alto"}),"")</f>
        <v/>
      </c>
      <c r="V1860" s="13">
        <f>IFERROR(INDEX(MgAmenFrec,MATCH(SUBSTITUTE($H1860,"*","-"),MgAmenClave,0)),"")</f>
        <v/>
      </c>
      <c r="W1860" s="28">
        <f>IFERROR(LOOKUP(X1860,{0;0.01;0.1;1;10;100},{"Muy baja";"Muy baja";"Baja";"Media";"Alta";"Muy alta"}),"")</f>
        <v/>
      </c>
      <c r="X1860" s="31">
        <f>IFERROR(VLOOKUP(V1860,MgFrec,2,0),0)</f>
        <v/>
      </c>
      <c r="Y1860" s="30">
        <f>T1860*X1860</f>
        <v/>
      </c>
      <c r="Z1860" s="28">
        <f>IFERROR(LOOKUP(Y1860,{0;0.5;5;25},{"Bajo";"Medio";"Alto";"Crítico"}),"")</f>
        <v/>
      </c>
      <c r="AA1860" s="64">
        <f>IF(T1860&gt;=3,IF(X1860&gt;=1,"Zona 1 — Crítica: impacto alto y ocurre al menos una vez al año","Zona 4 — Catastrófica poco probable: impacto alto pero excepcional"),IF(AND(T1860&lt;1.5,X1860&lt;1),"Zona 3 — Asumible: impacto bajo y muy poco frecuente","Zona 2 — Atención: riesgo intermedio"))</f>
        <v/>
      </c>
      <c r="AB1860" s="64">
        <f>IFERROR(INDEX(MgAmenCtrl,MATCH(SUBSTITUTE($H1860,"*","-"),MgAmenClave,0)),"")</f>
        <v/>
      </c>
      <c r="AC1860" s="20" t="n"/>
      <c r="AD1860" s="31">
        <f>IFERROR($X1860*(1-IF($AC1860="",$AL1860,VLOOKUP($AC1860,MgMad,2,0))),"")</f>
        <v/>
      </c>
      <c r="AE1860" s="28">
        <f>IFERROR(LOOKUP(AD1860,{0;0.01;0.1;1;10;100},{"Muy baja";"Muy baja";"Baja";"Media";"Alta";"Muy alta"}),"")</f>
        <v/>
      </c>
      <c r="AF1860" s="30">
        <f>T1860*AD1860</f>
        <v/>
      </c>
      <c r="AG1860" s="28">
        <f>IFERROR(LOOKUP(AF1860,{0;0.5;5;25},{"Bajo";"Medio";"Alto";"Crítico"}),"")</f>
        <v/>
      </c>
      <c r="AH1860" s="28">
        <f>IF(AG1860="","",IF(OR(AG1860="Crítico",AG1860="Alto"),"Mitigar",IF(AG1860="Medio","Mitigar","Aceptar y monitorear")))</f>
        <v/>
      </c>
      <c r="AI1860" s="21" t="n"/>
      <c r="AJ1860" s="21" t="n"/>
      <c r="AK1860" s="20" t="n"/>
      <c r="AL1860" s="77">
        <f>IFERROR(INDEX(MgAmenEfic,MATCH(SUBSTITUTE($H1860,"*","-"),MgAmenClave,0)),0)</f>
        <v/>
      </c>
    </row>
    <row r="1861" hidden="1" ht="75" customHeight="1" s="54">
      <c r="B1861" s="59" t="inlineStr">
        <is>
          <t>R-1856</t>
        </is>
      </c>
      <c r="C1861" s="59" t="inlineStr">
        <is>
          <t>COM-14</t>
        </is>
      </c>
      <c r="D1861" s="64">
        <f>IFERROR(INDEX(MgNombre,MATCH($C1861,MgActId,0)),"")</f>
        <v/>
      </c>
      <c r="E1861" s="64">
        <f>IFERROR(INDEX(MgProceso,MATCH($C1861,MgActId,0)),"")</f>
        <v/>
      </c>
      <c r="F1861" s="64">
        <f>IFERROR(INDEX(MgTipo,MATCH($C1861,MgActId,0)),"")</f>
        <v/>
      </c>
      <c r="G1861" s="64">
        <f>IFERROR(INDEX(MgSubtipo,MATCH($C1861,MgActId,0)),"")</f>
        <v/>
      </c>
      <c r="H1861" s="59" t="inlineStr">
        <is>
          <t>I.5</t>
        </is>
      </c>
      <c r="I1861" s="64">
        <f>IFERROR(INDEX(MgAmenNombre,MATCH(SUBSTITUTE($H1861,"*","-"),MgAmenClave,0)),"")</f>
        <v/>
      </c>
      <c r="J1861" s="28">
        <f>IFERROR(INDEX(MgAmenGrupo,MATCH(SUBSTITUTE($H1861,"*","-"),MgAmenClave,0)),"")</f>
        <v/>
      </c>
      <c r="K1861" s="64">
        <f>IFERROR(INDEX('1. Matriz de Activos'!$Q$6:$Q$239,MATCH($C1861,MgActId,0)),"")</f>
        <v/>
      </c>
      <c r="L1861" s="64">
        <f>IFERROR(INDEX('1. Matriz de Activos'!$R$6:$R$239,MATCH($C1861,MgActId,0)),"")</f>
        <v/>
      </c>
      <c r="M1861" s="64">
        <f>IFERROR(INDEX('1. Matriz de Activos'!$S$6:$S$239,MATCH($C1861,MgActId,0)),"")</f>
        <v/>
      </c>
      <c r="N1861" s="28">
        <f>IFERROR(INDEX(MgAmenDegD,MATCH(SUBSTITUTE($H1861,"*","-"),MgAmenClave,0)),"No aplica")</f>
        <v/>
      </c>
      <c r="O1861" s="28">
        <f>IFERROR(INDEX(MgAmenDegI,MATCH(SUBSTITUTE($H1861,"*","-"),MgAmenClave,0)),"No aplica")</f>
        <v/>
      </c>
      <c r="P1861" s="28">
        <f>IFERROR(INDEX(MgAmenDegC,MATCH(SUBSTITUTE($H1861,"*","-"),MgAmenClave,0)),"No aplica")</f>
        <v/>
      </c>
      <c r="Q1861" s="29">
        <f>IFERROR(VLOOKUP(K1861,MgValor,2,0)*VLOOKUP(N1861,MgDeg,2,0),0)</f>
        <v/>
      </c>
      <c r="R1861" s="29">
        <f>IFERROR(VLOOKUP(L1861,MgValor,2,0)*VLOOKUP(O1861,MgDeg,2,0),0)</f>
        <v/>
      </c>
      <c r="S1861" s="29">
        <f>IFERROR(VLOOKUP(M1861,MgValor,2,0)*VLOOKUP(P1861,MgDeg,2,0),0)</f>
        <v/>
      </c>
      <c r="T1861" s="30">
        <f>MAX(Q1861:S1861)</f>
        <v/>
      </c>
      <c r="U1861" s="28">
        <f>IFERROR(LOOKUP(T1861,{0;0.5;1.5;3;4.5},{"Despreciable";"Bajo";"Medio";"Alto";"Muy alto"}),"")</f>
        <v/>
      </c>
      <c r="V1861" s="13">
        <f>IFERROR(INDEX(MgAmenFrec,MATCH(SUBSTITUTE($H1861,"*","-"),MgAmenClave,0)),"")</f>
        <v/>
      </c>
      <c r="W1861" s="28">
        <f>IFERROR(LOOKUP(X1861,{0;0.01;0.1;1;10;100},{"Muy baja";"Muy baja";"Baja";"Media";"Alta";"Muy alta"}),"")</f>
        <v/>
      </c>
      <c r="X1861" s="31">
        <f>IFERROR(VLOOKUP(V1861,MgFrec,2,0),0)</f>
        <v/>
      </c>
      <c r="Y1861" s="30">
        <f>T1861*X1861</f>
        <v/>
      </c>
      <c r="Z1861" s="28">
        <f>IFERROR(LOOKUP(Y1861,{0;0.5;5;25},{"Bajo";"Medio";"Alto";"Crítico"}),"")</f>
        <v/>
      </c>
      <c r="AA1861" s="64">
        <f>IF(T1861&gt;=3,IF(X1861&gt;=1,"Zona 1 — Crítica: impacto alto y ocurre al menos una vez al año","Zona 4 — Catastrófica poco probable: impacto alto pero excepcional"),IF(AND(T1861&lt;1.5,X1861&lt;1),"Zona 3 — Asumible: impacto bajo y muy poco frecuente","Zona 2 — Atención: riesgo intermedio"))</f>
        <v/>
      </c>
      <c r="AB1861" s="64">
        <f>IFERROR(INDEX(MgAmenCtrl,MATCH(SUBSTITUTE($H1861,"*","-"),MgAmenClave,0)),"")</f>
        <v/>
      </c>
      <c r="AC1861" s="20" t="n"/>
      <c r="AD1861" s="31">
        <f>IFERROR($X1861*(1-IF($AC1861="",$AL1861,VLOOKUP($AC1861,MgMad,2,0))),"")</f>
        <v/>
      </c>
      <c r="AE1861" s="28">
        <f>IFERROR(LOOKUP(AD1861,{0;0.01;0.1;1;10;100},{"Muy baja";"Muy baja";"Baja";"Media";"Alta";"Muy alta"}),"")</f>
        <v/>
      </c>
      <c r="AF1861" s="30">
        <f>T1861*AD1861</f>
        <v/>
      </c>
      <c r="AG1861" s="28">
        <f>IFERROR(LOOKUP(AF1861,{0;0.5;5;25},{"Bajo";"Medio";"Alto";"Crítico"}),"")</f>
        <v/>
      </c>
      <c r="AH1861" s="28">
        <f>IF(AG1861="","",IF(OR(AG1861="Crítico",AG1861="Alto"),"Mitigar",IF(AG1861="Medio","Mitigar","Aceptar y monitorear")))</f>
        <v/>
      </c>
      <c r="AI1861" s="21" t="n"/>
      <c r="AJ1861" s="21" t="n"/>
      <c r="AK1861" s="20" t="n"/>
      <c r="AL1861" s="77">
        <f>IFERROR(INDEX(MgAmenEfic,MATCH(SUBSTITUTE($H1861,"*","-"),MgAmenClave,0)),0)</f>
        <v/>
      </c>
    </row>
    <row r="1862" hidden="1" ht="105" customHeight="1" s="54">
      <c r="B1862" s="59" t="inlineStr">
        <is>
          <t>R-1857</t>
        </is>
      </c>
      <c r="C1862" s="59" t="inlineStr">
        <is>
          <t>COM-14</t>
        </is>
      </c>
      <c r="D1862" s="64">
        <f>IFERROR(INDEX(MgNombre,MATCH($C1862,MgActId,0)),"")</f>
        <v/>
      </c>
      <c r="E1862" s="64">
        <f>IFERROR(INDEX(MgProceso,MATCH($C1862,MgActId,0)),"")</f>
        <v/>
      </c>
      <c r="F1862" s="64">
        <f>IFERROR(INDEX(MgTipo,MATCH($C1862,MgActId,0)),"")</f>
        <v/>
      </c>
      <c r="G1862" s="64">
        <f>IFERROR(INDEX(MgSubtipo,MATCH($C1862,MgActId,0)),"")</f>
        <v/>
      </c>
      <c r="H1862" s="59" t="inlineStr">
        <is>
          <t>E.1</t>
        </is>
      </c>
      <c r="I1862" s="64">
        <f>IFERROR(INDEX(MgAmenNombre,MATCH(SUBSTITUTE($H1862,"*","-"),MgAmenClave,0)),"")</f>
        <v/>
      </c>
      <c r="J1862" s="28">
        <f>IFERROR(INDEX(MgAmenGrupo,MATCH(SUBSTITUTE($H1862,"*","-"),MgAmenClave,0)),"")</f>
        <v/>
      </c>
      <c r="K1862" s="64">
        <f>IFERROR(INDEX('1. Matriz de Activos'!$Q$6:$Q$239,MATCH($C1862,MgActId,0)),"")</f>
        <v/>
      </c>
      <c r="L1862" s="64">
        <f>IFERROR(INDEX('1. Matriz de Activos'!$R$6:$R$239,MATCH($C1862,MgActId,0)),"")</f>
        <v/>
      </c>
      <c r="M1862" s="64">
        <f>IFERROR(INDEX('1. Matriz de Activos'!$S$6:$S$239,MATCH($C1862,MgActId,0)),"")</f>
        <v/>
      </c>
      <c r="N1862" s="28">
        <f>IFERROR(INDEX(MgAmenDegD,MATCH(SUBSTITUTE($H1862,"*","-"),MgAmenClave,0)),"No aplica")</f>
        <v/>
      </c>
      <c r="O1862" s="28">
        <f>IFERROR(INDEX(MgAmenDegI,MATCH(SUBSTITUTE($H1862,"*","-"),MgAmenClave,0)),"No aplica")</f>
        <v/>
      </c>
      <c r="P1862" s="28">
        <f>IFERROR(INDEX(MgAmenDegC,MATCH(SUBSTITUTE($H1862,"*","-"),MgAmenClave,0)),"No aplica")</f>
        <v/>
      </c>
      <c r="Q1862" s="29">
        <f>IFERROR(VLOOKUP(K1862,MgValor,2,0)*VLOOKUP(N1862,MgDeg,2,0),0)</f>
        <v/>
      </c>
      <c r="R1862" s="29">
        <f>IFERROR(VLOOKUP(L1862,MgValor,2,0)*VLOOKUP(O1862,MgDeg,2,0),0)</f>
        <v/>
      </c>
      <c r="S1862" s="29">
        <f>IFERROR(VLOOKUP(M1862,MgValor,2,0)*VLOOKUP(P1862,MgDeg,2,0),0)</f>
        <v/>
      </c>
      <c r="T1862" s="30">
        <f>MAX(Q1862:S1862)</f>
        <v/>
      </c>
      <c r="U1862" s="28">
        <f>IFERROR(LOOKUP(T1862,{0;0.5;1.5;3;4.5},{"Despreciable";"Bajo";"Medio";"Alto";"Muy alto"}),"")</f>
        <v/>
      </c>
      <c r="V1862" s="13">
        <f>IFERROR(INDEX(MgAmenFrec,MATCH(SUBSTITUTE($H1862,"*","-"),MgAmenClave,0)),"")</f>
        <v/>
      </c>
      <c r="W1862" s="28">
        <f>IFERROR(LOOKUP(X1862,{0;0.01;0.1;1;10;100},{"Muy baja";"Muy baja";"Baja";"Media";"Alta";"Muy alta"}),"")</f>
        <v/>
      </c>
      <c r="X1862" s="31">
        <f>IFERROR(VLOOKUP(V1862,MgFrec,2,0),0)</f>
        <v/>
      </c>
      <c r="Y1862" s="30">
        <f>T1862*X1862</f>
        <v/>
      </c>
      <c r="Z1862" s="28">
        <f>IFERROR(LOOKUP(Y1862,{0;0.5;5;25},{"Bajo";"Medio";"Alto";"Crítico"}),"")</f>
        <v/>
      </c>
      <c r="AA1862" s="64">
        <f>IF(T1862&gt;=3,IF(X1862&gt;=1,"Zona 1 — Crítica: impacto alto y ocurre al menos una vez al año","Zona 4 — Catastrófica poco probable: impacto alto pero excepcional"),IF(AND(T1862&lt;1.5,X1862&lt;1),"Zona 3 — Asumible: impacto bajo y muy poco frecuente","Zona 2 — Atención: riesgo intermedio"))</f>
        <v/>
      </c>
      <c r="AB1862" s="64">
        <f>IFERROR(INDEX(MgAmenCtrl,MATCH(SUBSTITUTE($H1862,"*","-"),MgAmenClave,0)),"")</f>
        <v/>
      </c>
      <c r="AC1862" s="20" t="n"/>
      <c r="AD1862" s="31">
        <f>IFERROR($X1862*(1-IF($AC1862="",$AL1862,VLOOKUP($AC1862,MgMad,2,0))),"")</f>
        <v/>
      </c>
      <c r="AE1862" s="28">
        <f>IFERROR(LOOKUP(AD1862,{0;0.01;0.1;1;10;100},{"Muy baja";"Muy baja";"Baja";"Media";"Alta";"Muy alta"}),"")</f>
        <v/>
      </c>
      <c r="AF1862" s="30">
        <f>T1862*AD1862</f>
        <v/>
      </c>
      <c r="AG1862" s="28">
        <f>IFERROR(LOOKUP(AF1862,{0;0.5;5;25},{"Bajo";"Medio";"Alto";"Crítico"}),"")</f>
        <v/>
      </c>
      <c r="AH1862" s="28">
        <f>IF(AG1862="","",IF(OR(AG1862="Crítico",AG1862="Alto"),"Mitigar",IF(AG1862="Medio","Mitigar","Aceptar y monitorear")))</f>
        <v/>
      </c>
      <c r="AI1862" s="21" t="n"/>
      <c r="AJ1862" s="21" t="n"/>
      <c r="AK1862" s="20" t="n"/>
      <c r="AL1862" s="77">
        <f>IFERROR(INDEX(MgAmenEfic,MATCH(SUBSTITUTE($H1862,"*","-"),MgAmenClave,0)),0)</f>
        <v/>
      </c>
    </row>
    <row r="1863" hidden="1" ht="120" customHeight="1" s="54">
      <c r="B1863" s="59" t="inlineStr">
        <is>
          <t>R-1858</t>
        </is>
      </c>
      <c r="C1863" s="59" t="inlineStr">
        <is>
          <t>COM-14</t>
        </is>
      </c>
      <c r="D1863" s="64">
        <f>IFERROR(INDEX(MgNombre,MATCH($C1863,MgActId,0)),"")</f>
        <v/>
      </c>
      <c r="E1863" s="64">
        <f>IFERROR(INDEX(MgProceso,MATCH($C1863,MgActId,0)),"")</f>
        <v/>
      </c>
      <c r="F1863" s="64">
        <f>IFERROR(INDEX(MgTipo,MATCH($C1863,MgActId,0)),"")</f>
        <v/>
      </c>
      <c r="G1863" s="64">
        <f>IFERROR(INDEX(MgSubtipo,MATCH($C1863,MgActId,0)),"")</f>
        <v/>
      </c>
      <c r="H1863" s="59" t="inlineStr">
        <is>
          <t>E.2</t>
        </is>
      </c>
      <c r="I1863" s="64">
        <f>IFERROR(INDEX(MgAmenNombre,MATCH(SUBSTITUTE($H1863,"*","-"),MgAmenClave,0)),"")</f>
        <v/>
      </c>
      <c r="J1863" s="28">
        <f>IFERROR(INDEX(MgAmenGrupo,MATCH(SUBSTITUTE($H1863,"*","-"),MgAmenClave,0)),"")</f>
        <v/>
      </c>
      <c r="K1863" s="64">
        <f>IFERROR(INDEX('1. Matriz de Activos'!$Q$6:$Q$239,MATCH($C1863,MgActId,0)),"")</f>
        <v/>
      </c>
      <c r="L1863" s="64">
        <f>IFERROR(INDEX('1. Matriz de Activos'!$R$6:$R$239,MATCH($C1863,MgActId,0)),"")</f>
        <v/>
      </c>
      <c r="M1863" s="64">
        <f>IFERROR(INDEX('1. Matriz de Activos'!$S$6:$S$239,MATCH($C1863,MgActId,0)),"")</f>
        <v/>
      </c>
      <c r="N1863" s="28">
        <f>IFERROR(INDEX(MgAmenDegD,MATCH(SUBSTITUTE($H1863,"*","-"),MgAmenClave,0)),"No aplica")</f>
        <v/>
      </c>
      <c r="O1863" s="28">
        <f>IFERROR(INDEX(MgAmenDegI,MATCH(SUBSTITUTE($H1863,"*","-"),MgAmenClave,0)),"No aplica")</f>
        <v/>
      </c>
      <c r="P1863" s="28">
        <f>IFERROR(INDEX(MgAmenDegC,MATCH(SUBSTITUTE($H1863,"*","-"),MgAmenClave,0)),"No aplica")</f>
        <v/>
      </c>
      <c r="Q1863" s="29">
        <f>IFERROR(VLOOKUP(K1863,MgValor,2,0)*VLOOKUP(N1863,MgDeg,2,0),0)</f>
        <v/>
      </c>
      <c r="R1863" s="29">
        <f>IFERROR(VLOOKUP(L1863,MgValor,2,0)*VLOOKUP(O1863,MgDeg,2,0),0)</f>
        <v/>
      </c>
      <c r="S1863" s="29">
        <f>IFERROR(VLOOKUP(M1863,MgValor,2,0)*VLOOKUP(P1863,MgDeg,2,0),0)</f>
        <v/>
      </c>
      <c r="T1863" s="30">
        <f>MAX(Q1863:S1863)</f>
        <v/>
      </c>
      <c r="U1863" s="28">
        <f>IFERROR(LOOKUP(T1863,{0;0.5;1.5;3;4.5},{"Despreciable";"Bajo";"Medio";"Alto";"Muy alto"}),"")</f>
        <v/>
      </c>
      <c r="V1863" s="13">
        <f>IFERROR(INDEX(MgAmenFrec,MATCH(SUBSTITUTE($H1863,"*","-"),MgAmenClave,0)),"")</f>
        <v/>
      </c>
      <c r="W1863" s="28">
        <f>IFERROR(LOOKUP(X1863,{0;0.01;0.1;1;10;100},{"Muy baja";"Muy baja";"Baja";"Media";"Alta";"Muy alta"}),"")</f>
        <v/>
      </c>
      <c r="X1863" s="31">
        <f>IFERROR(VLOOKUP(V1863,MgFrec,2,0),0)</f>
        <v/>
      </c>
      <c r="Y1863" s="30">
        <f>T1863*X1863</f>
        <v/>
      </c>
      <c r="Z1863" s="28">
        <f>IFERROR(LOOKUP(Y1863,{0;0.5;5;25},{"Bajo";"Medio";"Alto";"Crítico"}),"")</f>
        <v/>
      </c>
      <c r="AA1863" s="64">
        <f>IF(T1863&gt;=3,IF(X1863&gt;=1,"Zona 1 — Crítica: impacto alto y ocurre al menos una vez al año","Zona 4 — Catastrófica poco probable: impacto alto pero excepcional"),IF(AND(T1863&lt;1.5,X1863&lt;1),"Zona 3 — Asumible: impacto bajo y muy poco frecuente","Zona 2 — Atención: riesgo intermedio"))</f>
        <v/>
      </c>
      <c r="AB1863" s="64">
        <f>IFERROR(INDEX(MgAmenCtrl,MATCH(SUBSTITUTE($H1863,"*","-"),MgAmenClave,0)),"")</f>
        <v/>
      </c>
      <c r="AC1863" s="20" t="n"/>
      <c r="AD1863" s="31">
        <f>IFERROR($X1863*(1-IF($AC1863="",$AL1863,VLOOKUP($AC1863,MgMad,2,0))),"")</f>
        <v/>
      </c>
      <c r="AE1863" s="28">
        <f>IFERROR(LOOKUP(AD1863,{0;0.01;0.1;1;10;100},{"Muy baja";"Muy baja";"Baja";"Media";"Alta";"Muy alta"}),"")</f>
        <v/>
      </c>
      <c r="AF1863" s="30">
        <f>T1863*AD1863</f>
        <v/>
      </c>
      <c r="AG1863" s="28">
        <f>IFERROR(LOOKUP(AF1863,{0;0.5;5;25},{"Bajo";"Medio";"Alto";"Crítico"}),"")</f>
        <v/>
      </c>
      <c r="AH1863" s="28">
        <f>IF(AG1863="","",IF(OR(AG1863="Crítico",AG1863="Alto"),"Mitigar",IF(AG1863="Medio","Mitigar","Aceptar y monitorear")))</f>
        <v/>
      </c>
      <c r="AI1863" s="21" t="n"/>
      <c r="AJ1863" s="21" t="n"/>
      <c r="AK1863" s="20" t="n"/>
      <c r="AL1863" s="77">
        <f>IFERROR(INDEX(MgAmenEfic,MATCH(SUBSTITUTE($H1863,"*","-"),MgAmenClave,0)),0)</f>
        <v/>
      </c>
    </row>
    <row r="1864" hidden="1" ht="75" customHeight="1" s="54">
      <c r="B1864" s="59" t="inlineStr">
        <is>
          <t>R-1859</t>
        </is>
      </c>
      <c r="C1864" s="59" t="inlineStr">
        <is>
          <t>COM-14</t>
        </is>
      </c>
      <c r="D1864" s="64">
        <f>IFERROR(INDEX(MgNombre,MATCH($C1864,MgActId,0)),"")</f>
        <v/>
      </c>
      <c r="E1864" s="64">
        <f>IFERROR(INDEX(MgProceso,MATCH($C1864,MgActId,0)),"")</f>
        <v/>
      </c>
      <c r="F1864" s="64">
        <f>IFERROR(INDEX(MgTipo,MATCH($C1864,MgActId,0)),"")</f>
        <v/>
      </c>
      <c r="G1864" s="64">
        <f>IFERROR(INDEX(MgSubtipo,MATCH($C1864,MgActId,0)),"")</f>
        <v/>
      </c>
      <c r="H1864" s="59" t="inlineStr">
        <is>
          <t>E.8</t>
        </is>
      </c>
      <c r="I1864" s="64">
        <f>IFERROR(INDEX(MgAmenNombre,MATCH(SUBSTITUTE($H1864,"*","-"),MgAmenClave,0)),"")</f>
        <v/>
      </c>
      <c r="J1864" s="28">
        <f>IFERROR(INDEX(MgAmenGrupo,MATCH(SUBSTITUTE($H1864,"*","-"),MgAmenClave,0)),"")</f>
        <v/>
      </c>
      <c r="K1864" s="64">
        <f>IFERROR(INDEX('1. Matriz de Activos'!$Q$6:$Q$239,MATCH($C1864,MgActId,0)),"")</f>
        <v/>
      </c>
      <c r="L1864" s="64">
        <f>IFERROR(INDEX('1. Matriz de Activos'!$R$6:$R$239,MATCH($C1864,MgActId,0)),"")</f>
        <v/>
      </c>
      <c r="M1864" s="64">
        <f>IFERROR(INDEX('1. Matriz de Activos'!$S$6:$S$239,MATCH($C1864,MgActId,0)),"")</f>
        <v/>
      </c>
      <c r="N1864" s="28">
        <f>IFERROR(INDEX(MgAmenDegD,MATCH(SUBSTITUTE($H1864,"*","-"),MgAmenClave,0)),"No aplica")</f>
        <v/>
      </c>
      <c r="O1864" s="28">
        <f>IFERROR(INDEX(MgAmenDegI,MATCH(SUBSTITUTE($H1864,"*","-"),MgAmenClave,0)),"No aplica")</f>
        <v/>
      </c>
      <c r="P1864" s="28">
        <f>IFERROR(INDEX(MgAmenDegC,MATCH(SUBSTITUTE($H1864,"*","-"),MgAmenClave,0)),"No aplica")</f>
        <v/>
      </c>
      <c r="Q1864" s="29">
        <f>IFERROR(VLOOKUP(K1864,MgValor,2,0)*VLOOKUP(N1864,MgDeg,2,0),0)</f>
        <v/>
      </c>
      <c r="R1864" s="29">
        <f>IFERROR(VLOOKUP(L1864,MgValor,2,0)*VLOOKUP(O1864,MgDeg,2,0),0)</f>
        <v/>
      </c>
      <c r="S1864" s="29">
        <f>IFERROR(VLOOKUP(M1864,MgValor,2,0)*VLOOKUP(P1864,MgDeg,2,0),0)</f>
        <v/>
      </c>
      <c r="T1864" s="30">
        <f>MAX(Q1864:S1864)</f>
        <v/>
      </c>
      <c r="U1864" s="28">
        <f>IFERROR(LOOKUP(T1864,{0;0.5;1.5;3;4.5},{"Despreciable";"Bajo";"Medio";"Alto";"Muy alto"}),"")</f>
        <v/>
      </c>
      <c r="V1864" s="13">
        <f>IFERROR(INDEX(MgAmenFrec,MATCH(SUBSTITUTE($H1864,"*","-"),MgAmenClave,0)),"")</f>
        <v/>
      </c>
      <c r="W1864" s="28">
        <f>IFERROR(LOOKUP(X1864,{0;0.01;0.1;1;10;100},{"Muy baja";"Muy baja";"Baja";"Media";"Alta";"Muy alta"}),"")</f>
        <v/>
      </c>
      <c r="X1864" s="31">
        <f>IFERROR(VLOOKUP(V1864,MgFrec,2,0),0)</f>
        <v/>
      </c>
      <c r="Y1864" s="30">
        <f>T1864*X1864</f>
        <v/>
      </c>
      <c r="Z1864" s="28">
        <f>IFERROR(LOOKUP(Y1864,{0;0.5;5;25},{"Bajo";"Medio";"Alto";"Crítico"}),"")</f>
        <v/>
      </c>
      <c r="AA1864" s="64">
        <f>IF(T1864&gt;=3,IF(X1864&gt;=1,"Zona 1 — Crítica: impacto alto y ocurre al menos una vez al año","Zona 4 — Catastrófica poco probable: impacto alto pero excepcional"),IF(AND(T1864&lt;1.5,X1864&lt;1),"Zona 3 — Asumible: impacto bajo y muy poco frecuente","Zona 2 — Atención: riesgo intermedio"))</f>
        <v/>
      </c>
      <c r="AB1864" s="64">
        <f>IFERROR(INDEX(MgAmenCtrl,MATCH(SUBSTITUTE($H1864,"*","-"),MgAmenClave,0)),"")</f>
        <v/>
      </c>
      <c r="AC1864" s="20" t="n"/>
      <c r="AD1864" s="31">
        <f>IFERROR($X1864*(1-IF($AC1864="",$AL1864,VLOOKUP($AC1864,MgMad,2,0))),"")</f>
        <v/>
      </c>
      <c r="AE1864" s="28">
        <f>IFERROR(LOOKUP(AD1864,{0;0.01;0.1;1;10;100},{"Muy baja";"Muy baja";"Baja";"Media";"Alta";"Muy alta"}),"")</f>
        <v/>
      </c>
      <c r="AF1864" s="30">
        <f>T1864*AD1864</f>
        <v/>
      </c>
      <c r="AG1864" s="28">
        <f>IFERROR(LOOKUP(AF1864,{0;0.5;5;25},{"Bajo";"Medio";"Alto";"Crítico"}),"")</f>
        <v/>
      </c>
      <c r="AH1864" s="28">
        <f>IF(AG1864="","",IF(OR(AG1864="Crítico",AG1864="Alto"),"Mitigar",IF(AG1864="Medio","Mitigar","Aceptar y monitorear")))</f>
        <v/>
      </c>
      <c r="AI1864" s="21" t="n"/>
      <c r="AJ1864" s="21" t="n"/>
      <c r="AK1864" s="20" t="n"/>
      <c r="AL1864" s="77">
        <f>IFERROR(INDEX(MgAmenEfic,MATCH(SUBSTITUTE($H1864,"*","-"),MgAmenClave,0)),0)</f>
        <v/>
      </c>
    </row>
    <row r="1865" hidden="1" ht="60" customHeight="1" s="54">
      <c r="B1865" s="59" t="inlineStr">
        <is>
          <t>R-1860</t>
        </is>
      </c>
      <c r="C1865" s="59" t="inlineStr">
        <is>
          <t>COM-14</t>
        </is>
      </c>
      <c r="D1865" s="64">
        <f>IFERROR(INDEX(MgNombre,MATCH($C1865,MgActId,0)),"")</f>
        <v/>
      </c>
      <c r="E1865" s="64">
        <f>IFERROR(INDEX(MgProceso,MATCH($C1865,MgActId,0)),"")</f>
        <v/>
      </c>
      <c r="F1865" s="64">
        <f>IFERROR(INDEX(MgTipo,MATCH($C1865,MgActId,0)),"")</f>
        <v/>
      </c>
      <c r="G1865" s="64">
        <f>IFERROR(INDEX(MgSubtipo,MATCH($C1865,MgActId,0)),"")</f>
        <v/>
      </c>
      <c r="H1865" s="59" t="inlineStr">
        <is>
          <t>E.9</t>
        </is>
      </c>
      <c r="I1865" s="64">
        <f>IFERROR(INDEX(MgAmenNombre,MATCH(SUBSTITUTE($H1865,"*","-"),MgAmenClave,0)),"")</f>
        <v/>
      </c>
      <c r="J1865" s="28">
        <f>IFERROR(INDEX(MgAmenGrupo,MATCH(SUBSTITUTE($H1865,"*","-"),MgAmenClave,0)),"")</f>
        <v/>
      </c>
      <c r="K1865" s="64">
        <f>IFERROR(INDEX('1. Matriz de Activos'!$Q$6:$Q$239,MATCH($C1865,MgActId,0)),"")</f>
        <v/>
      </c>
      <c r="L1865" s="64">
        <f>IFERROR(INDEX('1. Matriz de Activos'!$R$6:$R$239,MATCH($C1865,MgActId,0)),"")</f>
        <v/>
      </c>
      <c r="M1865" s="64">
        <f>IFERROR(INDEX('1. Matriz de Activos'!$S$6:$S$239,MATCH($C1865,MgActId,0)),"")</f>
        <v/>
      </c>
      <c r="N1865" s="28">
        <f>IFERROR(INDEX(MgAmenDegD,MATCH(SUBSTITUTE($H1865,"*","-"),MgAmenClave,0)),"No aplica")</f>
        <v/>
      </c>
      <c r="O1865" s="28">
        <f>IFERROR(INDEX(MgAmenDegI,MATCH(SUBSTITUTE($H1865,"*","-"),MgAmenClave,0)),"No aplica")</f>
        <v/>
      </c>
      <c r="P1865" s="28">
        <f>IFERROR(INDEX(MgAmenDegC,MATCH(SUBSTITUTE($H1865,"*","-"),MgAmenClave,0)),"No aplica")</f>
        <v/>
      </c>
      <c r="Q1865" s="29">
        <f>IFERROR(VLOOKUP(K1865,MgValor,2,0)*VLOOKUP(N1865,MgDeg,2,0),0)</f>
        <v/>
      </c>
      <c r="R1865" s="29">
        <f>IFERROR(VLOOKUP(L1865,MgValor,2,0)*VLOOKUP(O1865,MgDeg,2,0),0)</f>
        <v/>
      </c>
      <c r="S1865" s="29">
        <f>IFERROR(VLOOKUP(M1865,MgValor,2,0)*VLOOKUP(P1865,MgDeg,2,0),0)</f>
        <v/>
      </c>
      <c r="T1865" s="30">
        <f>MAX(Q1865:S1865)</f>
        <v/>
      </c>
      <c r="U1865" s="28">
        <f>IFERROR(LOOKUP(T1865,{0;0.5;1.5;3;4.5},{"Despreciable";"Bajo";"Medio";"Alto";"Muy alto"}),"")</f>
        <v/>
      </c>
      <c r="V1865" s="13">
        <f>IFERROR(INDEX(MgAmenFrec,MATCH(SUBSTITUTE($H1865,"*","-"),MgAmenClave,0)),"")</f>
        <v/>
      </c>
      <c r="W1865" s="28">
        <f>IFERROR(LOOKUP(X1865,{0;0.01;0.1;1;10;100},{"Muy baja";"Muy baja";"Baja";"Media";"Alta";"Muy alta"}),"")</f>
        <v/>
      </c>
      <c r="X1865" s="31">
        <f>IFERROR(VLOOKUP(V1865,MgFrec,2,0),0)</f>
        <v/>
      </c>
      <c r="Y1865" s="30">
        <f>T1865*X1865</f>
        <v/>
      </c>
      <c r="Z1865" s="28">
        <f>IFERROR(LOOKUP(Y1865,{0;0.5;5;25},{"Bajo";"Medio";"Alto";"Crítico"}),"")</f>
        <v/>
      </c>
      <c r="AA1865" s="64">
        <f>IF(T1865&gt;=3,IF(X1865&gt;=1,"Zona 1 — Crítica: impacto alto y ocurre al menos una vez al año","Zona 4 — Catastrófica poco probable: impacto alto pero excepcional"),IF(AND(T1865&lt;1.5,X1865&lt;1),"Zona 3 — Asumible: impacto bajo y muy poco frecuente","Zona 2 — Atención: riesgo intermedio"))</f>
        <v/>
      </c>
      <c r="AB1865" s="64">
        <f>IFERROR(INDEX(MgAmenCtrl,MATCH(SUBSTITUTE($H1865,"*","-"),MgAmenClave,0)),"")</f>
        <v/>
      </c>
      <c r="AC1865" s="20" t="n"/>
      <c r="AD1865" s="31">
        <f>IFERROR($X1865*(1-IF($AC1865="",$AL1865,VLOOKUP($AC1865,MgMad,2,0))),"")</f>
        <v/>
      </c>
      <c r="AE1865" s="28">
        <f>IFERROR(LOOKUP(AD1865,{0;0.01;0.1;1;10;100},{"Muy baja";"Muy baja";"Baja";"Media";"Alta";"Muy alta"}),"")</f>
        <v/>
      </c>
      <c r="AF1865" s="30">
        <f>T1865*AD1865</f>
        <v/>
      </c>
      <c r="AG1865" s="28">
        <f>IFERROR(LOOKUP(AF1865,{0;0.5;5;25},{"Bajo";"Medio";"Alto";"Crítico"}),"")</f>
        <v/>
      </c>
      <c r="AH1865" s="28">
        <f>IF(AG1865="","",IF(OR(AG1865="Crítico",AG1865="Alto"),"Mitigar",IF(AG1865="Medio","Mitigar","Aceptar y monitorear")))</f>
        <v/>
      </c>
      <c r="AI1865" s="21" t="n"/>
      <c r="AJ1865" s="21" t="n"/>
      <c r="AK1865" s="20" t="n"/>
      <c r="AL1865" s="77">
        <f>IFERROR(INDEX(MgAmenEfic,MATCH(SUBSTITUTE($H1865,"*","-"),MgAmenClave,0)),0)</f>
        <v/>
      </c>
    </row>
    <row r="1866" hidden="1" ht="90" customHeight="1" s="54">
      <c r="B1866" s="59" t="inlineStr">
        <is>
          <t>R-1861</t>
        </is>
      </c>
      <c r="C1866" s="59" t="inlineStr">
        <is>
          <t>COM-14</t>
        </is>
      </c>
      <c r="D1866" s="64">
        <f>IFERROR(INDEX(MgNombre,MATCH($C1866,MgActId,0)),"")</f>
        <v/>
      </c>
      <c r="E1866" s="64">
        <f>IFERROR(INDEX(MgProceso,MATCH($C1866,MgActId,0)),"")</f>
        <v/>
      </c>
      <c r="F1866" s="64">
        <f>IFERROR(INDEX(MgTipo,MATCH($C1866,MgActId,0)),"")</f>
        <v/>
      </c>
      <c r="G1866" s="64">
        <f>IFERROR(INDEX(MgSubtipo,MATCH($C1866,MgActId,0)),"")</f>
        <v/>
      </c>
      <c r="H1866" s="59" t="inlineStr">
        <is>
          <t>E.10</t>
        </is>
      </c>
      <c r="I1866" s="64">
        <f>IFERROR(INDEX(MgAmenNombre,MATCH(SUBSTITUTE($H1866,"*","-"),MgAmenClave,0)),"")</f>
        <v/>
      </c>
      <c r="J1866" s="28">
        <f>IFERROR(INDEX(MgAmenGrupo,MATCH(SUBSTITUTE($H1866,"*","-"),MgAmenClave,0)),"")</f>
        <v/>
      </c>
      <c r="K1866" s="64">
        <f>IFERROR(INDEX('1. Matriz de Activos'!$Q$6:$Q$239,MATCH($C1866,MgActId,0)),"")</f>
        <v/>
      </c>
      <c r="L1866" s="64">
        <f>IFERROR(INDEX('1. Matriz de Activos'!$R$6:$R$239,MATCH($C1866,MgActId,0)),"")</f>
        <v/>
      </c>
      <c r="M1866" s="64">
        <f>IFERROR(INDEX('1. Matriz de Activos'!$S$6:$S$239,MATCH($C1866,MgActId,0)),"")</f>
        <v/>
      </c>
      <c r="N1866" s="28">
        <f>IFERROR(INDEX(MgAmenDegD,MATCH(SUBSTITUTE($H1866,"*","-"),MgAmenClave,0)),"No aplica")</f>
        <v/>
      </c>
      <c r="O1866" s="28">
        <f>IFERROR(INDEX(MgAmenDegI,MATCH(SUBSTITUTE($H1866,"*","-"),MgAmenClave,0)),"No aplica")</f>
        <v/>
      </c>
      <c r="P1866" s="28">
        <f>IFERROR(INDEX(MgAmenDegC,MATCH(SUBSTITUTE($H1866,"*","-"),MgAmenClave,0)),"No aplica")</f>
        <v/>
      </c>
      <c r="Q1866" s="29">
        <f>IFERROR(VLOOKUP(K1866,MgValor,2,0)*VLOOKUP(N1866,MgDeg,2,0),0)</f>
        <v/>
      </c>
      <c r="R1866" s="29">
        <f>IFERROR(VLOOKUP(L1866,MgValor,2,0)*VLOOKUP(O1866,MgDeg,2,0),0)</f>
        <v/>
      </c>
      <c r="S1866" s="29">
        <f>IFERROR(VLOOKUP(M1866,MgValor,2,0)*VLOOKUP(P1866,MgDeg,2,0),0)</f>
        <v/>
      </c>
      <c r="T1866" s="30">
        <f>MAX(Q1866:S1866)</f>
        <v/>
      </c>
      <c r="U1866" s="28">
        <f>IFERROR(LOOKUP(T1866,{0;0.5;1.5;3;4.5},{"Despreciable";"Bajo";"Medio";"Alto";"Muy alto"}),"")</f>
        <v/>
      </c>
      <c r="V1866" s="13">
        <f>IFERROR(INDEX(MgAmenFrec,MATCH(SUBSTITUTE($H1866,"*","-"),MgAmenClave,0)),"")</f>
        <v/>
      </c>
      <c r="W1866" s="28">
        <f>IFERROR(LOOKUP(X1866,{0;0.01;0.1;1;10;100},{"Muy baja";"Muy baja";"Baja";"Media";"Alta";"Muy alta"}),"")</f>
        <v/>
      </c>
      <c r="X1866" s="31">
        <f>IFERROR(VLOOKUP(V1866,MgFrec,2,0),0)</f>
        <v/>
      </c>
      <c r="Y1866" s="30">
        <f>T1866*X1866</f>
        <v/>
      </c>
      <c r="Z1866" s="28">
        <f>IFERROR(LOOKUP(Y1866,{0;0.5;5;25},{"Bajo";"Medio";"Alto";"Crítico"}),"")</f>
        <v/>
      </c>
      <c r="AA1866" s="64">
        <f>IF(T1866&gt;=3,IF(X1866&gt;=1,"Zona 1 — Crítica: impacto alto y ocurre al menos una vez al año","Zona 4 — Catastrófica poco probable: impacto alto pero excepcional"),IF(AND(T1866&lt;1.5,X1866&lt;1),"Zona 3 — Asumible: impacto bajo y muy poco frecuente","Zona 2 — Atención: riesgo intermedio"))</f>
        <v/>
      </c>
      <c r="AB1866" s="64">
        <f>IFERROR(INDEX(MgAmenCtrl,MATCH(SUBSTITUTE($H1866,"*","-"),MgAmenClave,0)),"")</f>
        <v/>
      </c>
      <c r="AC1866" s="20" t="n"/>
      <c r="AD1866" s="31">
        <f>IFERROR($X1866*(1-IF($AC1866="",$AL1866,VLOOKUP($AC1866,MgMad,2,0))),"")</f>
        <v/>
      </c>
      <c r="AE1866" s="28">
        <f>IFERROR(LOOKUP(AD1866,{0;0.01;0.1;1;10;100},{"Muy baja";"Muy baja";"Baja";"Media";"Alta";"Muy alta"}),"")</f>
        <v/>
      </c>
      <c r="AF1866" s="30">
        <f>T1866*AD1866</f>
        <v/>
      </c>
      <c r="AG1866" s="28">
        <f>IFERROR(LOOKUP(AF1866,{0;0.5;5;25},{"Bajo";"Medio";"Alto";"Crítico"}),"")</f>
        <v/>
      </c>
      <c r="AH1866" s="28">
        <f>IF(AG1866="","",IF(OR(AG1866="Crítico",AG1866="Alto"),"Mitigar",IF(AG1866="Medio","Mitigar","Aceptar y monitorear")))</f>
        <v/>
      </c>
      <c r="AI1866" s="21" t="n"/>
      <c r="AJ1866" s="21" t="n"/>
      <c r="AK1866" s="20" t="n"/>
      <c r="AL1866" s="77">
        <f>IFERROR(INDEX(MgAmenEfic,MATCH(SUBSTITUTE($H1866,"*","-"),MgAmenClave,0)),0)</f>
        <v/>
      </c>
    </row>
    <row r="1867" hidden="1" ht="90" customHeight="1" s="54">
      <c r="B1867" s="59" t="inlineStr">
        <is>
          <t>R-1862</t>
        </is>
      </c>
      <c r="C1867" s="59" t="inlineStr">
        <is>
          <t>COM-14</t>
        </is>
      </c>
      <c r="D1867" s="64">
        <f>IFERROR(INDEX(MgNombre,MATCH($C1867,MgActId,0)),"")</f>
        <v/>
      </c>
      <c r="E1867" s="64">
        <f>IFERROR(INDEX(MgProceso,MATCH($C1867,MgActId,0)),"")</f>
        <v/>
      </c>
      <c r="F1867" s="64">
        <f>IFERROR(INDEX(MgTipo,MATCH($C1867,MgActId,0)),"")</f>
        <v/>
      </c>
      <c r="G1867" s="64">
        <f>IFERROR(INDEX(MgSubtipo,MATCH($C1867,MgActId,0)),"")</f>
        <v/>
      </c>
      <c r="H1867" s="59" t="inlineStr">
        <is>
          <t>E.14</t>
        </is>
      </c>
      <c r="I1867" s="64">
        <f>IFERROR(INDEX(MgAmenNombre,MATCH(SUBSTITUTE($H1867,"*","-"),MgAmenClave,0)),"")</f>
        <v/>
      </c>
      <c r="J1867" s="28">
        <f>IFERROR(INDEX(MgAmenGrupo,MATCH(SUBSTITUTE($H1867,"*","-"),MgAmenClave,0)),"")</f>
        <v/>
      </c>
      <c r="K1867" s="64">
        <f>IFERROR(INDEX('1. Matriz de Activos'!$Q$6:$Q$239,MATCH($C1867,MgActId,0)),"")</f>
        <v/>
      </c>
      <c r="L1867" s="64">
        <f>IFERROR(INDEX('1. Matriz de Activos'!$R$6:$R$239,MATCH($C1867,MgActId,0)),"")</f>
        <v/>
      </c>
      <c r="M1867" s="64">
        <f>IFERROR(INDEX('1. Matriz de Activos'!$S$6:$S$239,MATCH($C1867,MgActId,0)),"")</f>
        <v/>
      </c>
      <c r="N1867" s="28">
        <f>IFERROR(INDEX(MgAmenDegD,MATCH(SUBSTITUTE($H1867,"*","-"),MgAmenClave,0)),"No aplica")</f>
        <v/>
      </c>
      <c r="O1867" s="28">
        <f>IFERROR(INDEX(MgAmenDegI,MATCH(SUBSTITUTE($H1867,"*","-"),MgAmenClave,0)),"No aplica")</f>
        <v/>
      </c>
      <c r="P1867" s="28">
        <f>IFERROR(INDEX(MgAmenDegC,MATCH(SUBSTITUTE($H1867,"*","-"),MgAmenClave,0)),"No aplica")</f>
        <v/>
      </c>
      <c r="Q1867" s="29">
        <f>IFERROR(VLOOKUP(K1867,MgValor,2,0)*VLOOKUP(N1867,MgDeg,2,0),0)</f>
        <v/>
      </c>
      <c r="R1867" s="29">
        <f>IFERROR(VLOOKUP(L1867,MgValor,2,0)*VLOOKUP(O1867,MgDeg,2,0),0)</f>
        <v/>
      </c>
      <c r="S1867" s="29">
        <f>IFERROR(VLOOKUP(M1867,MgValor,2,0)*VLOOKUP(P1867,MgDeg,2,0),0)</f>
        <v/>
      </c>
      <c r="T1867" s="30">
        <f>MAX(Q1867:S1867)</f>
        <v/>
      </c>
      <c r="U1867" s="28">
        <f>IFERROR(LOOKUP(T1867,{0;0.5;1.5;3;4.5},{"Despreciable";"Bajo";"Medio";"Alto";"Muy alto"}),"")</f>
        <v/>
      </c>
      <c r="V1867" s="13">
        <f>IFERROR(INDEX(MgAmenFrec,MATCH(SUBSTITUTE($H1867,"*","-"),MgAmenClave,0)),"")</f>
        <v/>
      </c>
      <c r="W1867" s="28">
        <f>IFERROR(LOOKUP(X1867,{0;0.01;0.1;1;10;100},{"Muy baja";"Muy baja";"Baja";"Media";"Alta";"Muy alta"}),"")</f>
        <v/>
      </c>
      <c r="X1867" s="31">
        <f>IFERROR(VLOOKUP(V1867,MgFrec,2,0),0)</f>
        <v/>
      </c>
      <c r="Y1867" s="30">
        <f>T1867*X1867</f>
        <v/>
      </c>
      <c r="Z1867" s="28">
        <f>IFERROR(LOOKUP(Y1867,{0;0.5;5;25},{"Bajo";"Medio";"Alto";"Crítico"}),"")</f>
        <v/>
      </c>
      <c r="AA1867" s="64">
        <f>IF(T1867&gt;=3,IF(X1867&gt;=1,"Zona 1 — Crítica: impacto alto y ocurre al menos una vez al año","Zona 4 — Catastrófica poco probable: impacto alto pero excepcional"),IF(AND(T1867&lt;1.5,X1867&lt;1),"Zona 3 — Asumible: impacto bajo y muy poco frecuente","Zona 2 — Atención: riesgo intermedio"))</f>
        <v/>
      </c>
      <c r="AB1867" s="64">
        <f>IFERROR(INDEX(MgAmenCtrl,MATCH(SUBSTITUTE($H1867,"*","-"),MgAmenClave,0)),"")</f>
        <v/>
      </c>
      <c r="AC1867" s="20" t="n"/>
      <c r="AD1867" s="31">
        <f>IFERROR($X1867*(1-IF($AC1867="",$AL1867,VLOOKUP($AC1867,MgMad,2,0))),"")</f>
        <v/>
      </c>
      <c r="AE1867" s="28">
        <f>IFERROR(LOOKUP(AD1867,{0;0.01;0.1;1;10;100},{"Muy baja";"Muy baja";"Baja";"Media";"Alta";"Muy alta"}),"")</f>
        <v/>
      </c>
      <c r="AF1867" s="30">
        <f>T1867*AD1867</f>
        <v/>
      </c>
      <c r="AG1867" s="28">
        <f>IFERROR(LOOKUP(AF1867,{0;0.5;5;25},{"Bajo";"Medio";"Alto";"Crítico"}),"")</f>
        <v/>
      </c>
      <c r="AH1867" s="28">
        <f>IF(AG1867="","",IF(OR(AG1867="Crítico",AG1867="Alto"),"Mitigar",IF(AG1867="Medio","Mitigar","Aceptar y monitorear")))</f>
        <v/>
      </c>
      <c r="AI1867" s="21" t="n"/>
      <c r="AJ1867" s="21" t="n"/>
      <c r="AK1867" s="20" t="n"/>
      <c r="AL1867" s="77">
        <f>IFERROR(INDEX(MgAmenEfic,MATCH(SUBSTITUTE($H1867,"*","-"),MgAmenClave,0)),0)</f>
        <v/>
      </c>
    </row>
    <row r="1868" hidden="1" ht="90" customHeight="1" s="54">
      <c r="B1868" s="59" t="inlineStr">
        <is>
          <t>R-1863</t>
        </is>
      </c>
      <c r="C1868" s="59" t="inlineStr">
        <is>
          <t>COM-14</t>
        </is>
      </c>
      <c r="D1868" s="64">
        <f>IFERROR(INDEX(MgNombre,MATCH($C1868,MgActId,0)),"")</f>
        <v/>
      </c>
      <c r="E1868" s="64">
        <f>IFERROR(INDEX(MgProceso,MATCH($C1868,MgActId,0)),"")</f>
        <v/>
      </c>
      <c r="F1868" s="64">
        <f>IFERROR(INDEX(MgTipo,MATCH($C1868,MgActId,0)),"")</f>
        <v/>
      </c>
      <c r="G1868" s="64">
        <f>IFERROR(INDEX(MgSubtipo,MATCH($C1868,MgActId,0)),"")</f>
        <v/>
      </c>
      <c r="H1868" s="59" t="inlineStr">
        <is>
          <t>E.15</t>
        </is>
      </c>
      <c r="I1868" s="64">
        <f>IFERROR(INDEX(MgAmenNombre,MATCH(SUBSTITUTE($H1868,"*","-"),MgAmenClave,0)),"")</f>
        <v/>
      </c>
      <c r="J1868" s="28">
        <f>IFERROR(INDEX(MgAmenGrupo,MATCH(SUBSTITUTE($H1868,"*","-"),MgAmenClave,0)),"")</f>
        <v/>
      </c>
      <c r="K1868" s="64">
        <f>IFERROR(INDEX('1. Matriz de Activos'!$Q$6:$Q$239,MATCH($C1868,MgActId,0)),"")</f>
        <v/>
      </c>
      <c r="L1868" s="64">
        <f>IFERROR(INDEX('1. Matriz de Activos'!$R$6:$R$239,MATCH($C1868,MgActId,0)),"")</f>
        <v/>
      </c>
      <c r="M1868" s="64">
        <f>IFERROR(INDEX('1. Matriz de Activos'!$S$6:$S$239,MATCH($C1868,MgActId,0)),"")</f>
        <v/>
      </c>
      <c r="N1868" s="28">
        <f>IFERROR(INDEX(MgAmenDegD,MATCH(SUBSTITUTE($H1868,"*","-"),MgAmenClave,0)),"No aplica")</f>
        <v/>
      </c>
      <c r="O1868" s="28">
        <f>IFERROR(INDEX(MgAmenDegI,MATCH(SUBSTITUTE($H1868,"*","-"),MgAmenClave,0)),"No aplica")</f>
        <v/>
      </c>
      <c r="P1868" s="28">
        <f>IFERROR(INDEX(MgAmenDegC,MATCH(SUBSTITUTE($H1868,"*","-"),MgAmenClave,0)),"No aplica")</f>
        <v/>
      </c>
      <c r="Q1868" s="29">
        <f>IFERROR(VLOOKUP(K1868,MgValor,2,0)*VLOOKUP(N1868,MgDeg,2,0),0)</f>
        <v/>
      </c>
      <c r="R1868" s="29">
        <f>IFERROR(VLOOKUP(L1868,MgValor,2,0)*VLOOKUP(O1868,MgDeg,2,0),0)</f>
        <v/>
      </c>
      <c r="S1868" s="29">
        <f>IFERROR(VLOOKUP(M1868,MgValor,2,0)*VLOOKUP(P1868,MgDeg,2,0),0)</f>
        <v/>
      </c>
      <c r="T1868" s="30">
        <f>MAX(Q1868:S1868)</f>
        <v/>
      </c>
      <c r="U1868" s="28">
        <f>IFERROR(LOOKUP(T1868,{0;0.5;1.5;3;4.5},{"Despreciable";"Bajo";"Medio";"Alto";"Muy alto"}),"")</f>
        <v/>
      </c>
      <c r="V1868" s="13">
        <f>IFERROR(INDEX(MgAmenFrec,MATCH(SUBSTITUTE($H1868,"*","-"),MgAmenClave,0)),"")</f>
        <v/>
      </c>
      <c r="W1868" s="28">
        <f>IFERROR(LOOKUP(X1868,{0;0.01;0.1;1;10;100},{"Muy baja";"Muy baja";"Baja";"Media";"Alta";"Muy alta"}),"")</f>
        <v/>
      </c>
      <c r="X1868" s="31">
        <f>IFERROR(VLOOKUP(V1868,MgFrec,2,0),0)</f>
        <v/>
      </c>
      <c r="Y1868" s="30">
        <f>T1868*X1868</f>
        <v/>
      </c>
      <c r="Z1868" s="28">
        <f>IFERROR(LOOKUP(Y1868,{0;0.5;5;25},{"Bajo";"Medio";"Alto";"Crítico"}),"")</f>
        <v/>
      </c>
      <c r="AA1868" s="64">
        <f>IF(T1868&gt;=3,IF(X1868&gt;=1,"Zona 1 — Crítica: impacto alto y ocurre al menos una vez al año","Zona 4 — Catastrófica poco probable: impacto alto pero excepcional"),IF(AND(T1868&lt;1.5,X1868&lt;1),"Zona 3 — Asumible: impacto bajo y muy poco frecuente","Zona 2 — Atención: riesgo intermedio"))</f>
        <v/>
      </c>
      <c r="AB1868" s="64">
        <f>IFERROR(INDEX(MgAmenCtrl,MATCH(SUBSTITUTE($H1868,"*","-"),MgAmenClave,0)),"")</f>
        <v/>
      </c>
      <c r="AC1868" s="20" t="n"/>
      <c r="AD1868" s="31">
        <f>IFERROR($X1868*(1-IF($AC1868="",$AL1868,VLOOKUP($AC1868,MgMad,2,0))),"")</f>
        <v/>
      </c>
      <c r="AE1868" s="28">
        <f>IFERROR(LOOKUP(AD1868,{0;0.01;0.1;1;10;100},{"Muy baja";"Muy baja";"Baja";"Media";"Alta";"Muy alta"}),"")</f>
        <v/>
      </c>
      <c r="AF1868" s="30">
        <f>T1868*AD1868</f>
        <v/>
      </c>
      <c r="AG1868" s="28">
        <f>IFERROR(LOOKUP(AF1868,{0;0.5;5;25},{"Bajo";"Medio";"Alto";"Crítico"}),"")</f>
        <v/>
      </c>
      <c r="AH1868" s="28">
        <f>IF(AG1868="","",IF(OR(AG1868="Crítico",AG1868="Alto"),"Mitigar",IF(AG1868="Medio","Mitigar","Aceptar y monitorear")))</f>
        <v/>
      </c>
      <c r="AI1868" s="21" t="n"/>
      <c r="AJ1868" s="21" t="n"/>
      <c r="AK1868" s="20" t="n"/>
      <c r="AL1868" s="77">
        <f>IFERROR(INDEX(MgAmenEfic,MATCH(SUBSTITUTE($H1868,"*","-"),MgAmenClave,0)),0)</f>
        <v/>
      </c>
    </row>
    <row r="1869" hidden="1" ht="60" customHeight="1" s="54">
      <c r="B1869" s="59" t="inlineStr">
        <is>
          <t>R-1864</t>
        </is>
      </c>
      <c r="C1869" s="59" t="inlineStr">
        <is>
          <t>COM-14</t>
        </is>
      </c>
      <c r="D1869" s="64">
        <f>IFERROR(INDEX(MgNombre,MATCH($C1869,MgActId,0)),"")</f>
        <v/>
      </c>
      <c r="E1869" s="64">
        <f>IFERROR(INDEX(MgProceso,MATCH($C1869,MgActId,0)),"")</f>
        <v/>
      </c>
      <c r="F1869" s="64">
        <f>IFERROR(INDEX(MgTipo,MATCH($C1869,MgActId,0)),"")</f>
        <v/>
      </c>
      <c r="G1869" s="64">
        <f>IFERROR(INDEX(MgSubtipo,MATCH($C1869,MgActId,0)),"")</f>
        <v/>
      </c>
      <c r="H1869" s="59" t="inlineStr">
        <is>
          <t>E.18</t>
        </is>
      </c>
      <c r="I1869" s="64">
        <f>IFERROR(INDEX(MgAmenNombre,MATCH(SUBSTITUTE($H1869,"*","-"),MgAmenClave,0)),"")</f>
        <v/>
      </c>
      <c r="J1869" s="28">
        <f>IFERROR(INDEX(MgAmenGrupo,MATCH(SUBSTITUTE($H1869,"*","-"),MgAmenClave,0)),"")</f>
        <v/>
      </c>
      <c r="K1869" s="64">
        <f>IFERROR(INDEX('1. Matriz de Activos'!$Q$6:$Q$239,MATCH($C1869,MgActId,0)),"")</f>
        <v/>
      </c>
      <c r="L1869" s="64">
        <f>IFERROR(INDEX('1. Matriz de Activos'!$R$6:$R$239,MATCH($C1869,MgActId,0)),"")</f>
        <v/>
      </c>
      <c r="M1869" s="64">
        <f>IFERROR(INDEX('1. Matriz de Activos'!$S$6:$S$239,MATCH($C1869,MgActId,0)),"")</f>
        <v/>
      </c>
      <c r="N1869" s="28">
        <f>IFERROR(INDEX(MgAmenDegD,MATCH(SUBSTITUTE($H1869,"*","-"),MgAmenClave,0)),"No aplica")</f>
        <v/>
      </c>
      <c r="O1869" s="28">
        <f>IFERROR(INDEX(MgAmenDegI,MATCH(SUBSTITUTE($H1869,"*","-"),MgAmenClave,0)),"No aplica")</f>
        <v/>
      </c>
      <c r="P1869" s="28">
        <f>IFERROR(INDEX(MgAmenDegC,MATCH(SUBSTITUTE($H1869,"*","-"),MgAmenClave,0)),"No aplica")</f>
        <v/>
      </c>
      <c r="Q1869" s="29">
        <f>IFERROR(VLOOKUP(K1869,MgValor,2,0)*VLOOKUP(N1869,MgDeg,2,0),0)</f>
        <v/>
      </c>
      <c r="R1869" s="29">
        <f>IFERROR(VLOOKUP(L1869,MgValor,2,0)*VLOOKUP(O1869,MgDeg,2,0),0)</f>
        <v/>
      </c>
      <c r="S1869" s="29">
        <f>IFERROR(VLOOKUP(M1869,MgValor,2,0)*VLOOKUP(P1869,MgDeg,2,0),0)</f>
        <v/>
      </c>
      <c r="T1869" s="30">
        <f>MAX(Q1869:S1869)</f>
        <v/>
      </c>
      <c r="U1869" s="28">
        <f>IFERROR(LOOKUP(T1869,{0;0.5;1.5;3;4.5},{"Despreciable";"Bajo";"Medio";"Alto";"Muy alto"}),"")</f>
        <v/>
      </c>
      <c r="V1869" s="13">
        <f>IFERROR(INDEX(MgAmenFrec,MATCH(SUBSTITUTE($H1869,"*","-"),MgAmenClave,0)),"")</f>
        <v/>
      </c>
      <c r="W1869" s="28">
        <f>IFERROR(LOOKUP(X1869,{0;0.01;0.1;1;10;100},{"Muy baja";"Muy baja";"Baja";"Media";"Alta";"Muy alta"}),"")</f>
        <v/>
      </c>
      <c r="X1869" s="31">
        <f>IFERROR(VLOOKUP(V1869,MgFrec,2,0),0)</f>
        <v/>
      </c>
      <c r="Y1869" s="30">
        <f>T1869*X1869</f>
        <v/>
      </c>
      <c r="Z1869" s="28">
        <f>IFERROR(LOOKUP(Y1869,{0;0.5;5;25},{"Bajo";"Medio";"Alto";"Crítico"}),"")</f>
        <v/>
      </c>
      <c r="AA1869" s="64">
        <f>IF(T1869&gt;=3,IF(X1869&gt;=1,"Zona 1 — Crítica: impacto alto y ocurre al menos una vez al año","Zona 4 — Catastrófica poco probable: impacto alto pero excepcional"),IF(AND(T1869&lt;1.5,X1869&lt;1),"Zona 3 — Asumible: impacto bajo y muy poco frecuente","Zona 2 — Atención: riesgo intermedio"))</f>
        <v/>
      </c>
      <c r="AB1869" s="64">
        <f>IFERROR(INDEX(MgAmenCtrl,MATCH(SUBSTITUTE($H1869,"*","-"),MgAmenClave,0)),"")</f>
        <v/>
      </c>
      <c r="AC1869" s="20" t="n"/>
      <c r="AD1869" s="31">
        <f>IFERROR($X1869*(1-IF($AC1869="",$AL1869,VLOOKUP($AC1869,MgMad,2,0))),"")</f>
        <v/>
      </c>
      <c r="AE1869" s="28">
        <f>IFERROR(LOOKUP(AD1869,{0;0.01;0.1;1;10;100},{"Muy baja";"Muy baja";"Baja";"Media";"Alta";"Muy alta"}),"")</f>
        <v/>
      </c>
      <c r="AF1869" s="30">
        <f>T1869*AD1869</f>
        <v/>
      </c>
      <c r="AG1869" s="28">
        <f>IFERROR(LOOKUP(AF1869,{0;0.5;5;25},{"Bajo";"Medio";"Alto";"Crítico"}),"")</f>
        <v/>
      </c>
      <c r="AH1869" s="28">
        <f>IF(AG1869="","",IF(OR(AG1869="Crítico",AG1869="Alto"),"Mitigar",IF(AG1869="Medio","Mitigar","Aceptar y monitorear")))</f>
        <v/>
      </c>
      <c r="AI1869" s="21" t="n"/>
      <c r="AJ1869" s="21" t="n"/>
      <c r="AK1869" s="20" t="n"/>
      <c r="AL1869" s="77">
        <f>IFERROR(INDEX(MgAmenEfic,MATCH(SUBSTITUTE($H1869,"*","-"),MgAmenClave,0)),0)</f>
        <v/>
      </c>
    </row>
    <row r="1870" hidden="1" ht="105" customHeight="1" s="54">
      <c r="B1870" s="59" t="inlineStr">
        <is>
          <t>R-1865</t>
        </is>
      </c>
      <c r="C1870" s="59" t="inlineStr">
        <is>
          <t>COM-14</t>
        </is>
      </c>
      <c r="D1870" s="64">
        <f>IFERROR(INDEX(MgNombre,MATCH($C1870,MgActId,0)),"")</f>
        <v/>
      </c>
      <c r="E1870" s="64">
        <f>IFERROR(INDEX(MgProceso,MATCH($C1870,MgActId,0)),"")</f>
        <v/>
      </c>
      <c r="F1870" s="64">
        <f>IFERROR(INDEX(MgTipo,MATCH($C1870,MgActId,0)),"")</f>
        <v/>
      </c>
      <c r="G1870" s="64">
        <f>IFERROR(INDEX(MgSubtipo,MATCH($C1870,MgActId,0)),"")</f>
        <v/>
      </c>
      <c r="H1870" s="59" t="inlineStr">
        <is>
          <t>E.19</t>
        </is>
      </c>
      <c r="I1870" s="64">
        <f>IFERROR(INDEX(MgAmenNombre,MATCH(SUBSTITUTE($H1870,"*","-"),MgAmenClave,0)),"")</f>
        <v/>
      </c>
      <c r="J1870" s="28">
        <f>IFERROR(INDEX(MgAmenGrupo,MATCH(SUBSTITUTE($H1870,"*","-"),MgAmenClave,0)),"")</f>
        <v/>
      </c>
      <c r="K1870" s="64">
        <f>IFERROR(INDEX('1. Matriz de Activos'!$Q$6:$Q$239,MATCH($C1870,MgActId,0)),"")</f>
        <v/>
      </c>
      <c r="L1870" s="64">
        <f>IFERROR(INDEX('1. Matriz de Activos'!$R$6:$R$239,MATCH($C1870,MgActId,0)),"")</f>
        <v/>
      </c>
      <c r="M1870" s="64">
        <f>IFERROR(INDEX('1. Matriz de Activos'!$S$6:$S$239,MATCH($C1870,MgActId,0)),"")</f>
        <v/>
      </c>
      <c r="N1870" s="28">
        <f>IFERROR(INDEX(MgAmenDegD,MATCH(SUBSTITUTE($H1870,"*","-"),MgAmenClave,0)),"No aplica")</f>
        <v/>
      </c>
      <c r="O1870" s="28">
        <f>IFERROR(INDEX(MgAmenDegI,MATCH(SUBSTITUTE($H1870,"*","-"),MgAmenClave,0)),"No aplica")</f>
        <v/>
      </c>
      <c r="P1870" s="28">
        <f>IFERROR(INDEX(MgAmenDegC,MATCH(SUBSTITUTE($H1870,"*","-"),MgAmenClave,0)),"No aplica")</f>
        <v/>
      </c>
      <c r="Q1870" s="29">
        <f>IFERROR(VLOOKUP(K1870,MgValor,2,0)*VLOOKUP(N1870,MgDeg,2,0),0)</f>
        <v/>
      </c>
      <c r="R1870" s="29">
        <f>IFERROR(VLOOKUP(L1870,MgValor,2,0)*VLOOKUP(O1870,MgDeg,2,0),0)</f>
        <v/>
      </c>
      <c r="S1870" s="29">
        <f>IFERROR(VLOOKUP(M1870,MgValor,2,0)*VLOOKUP(P1870,MgDeg,2,0),0)</f>
        <v/>
      </c>
      <c r="T1870" s="30">
        <f>MAX(Q1870:S1870)</f>
        <v/>
      </c>
      <c r="U1870" s="28">
        <f>IFERROR(LOOKUP(T1870,{0;0.5;1.5;3;4.5},{"Despreciable";"Bajo";"Medio";"Alto";"Muy alto"}),"")</f>
        <v/>
      </c>
      <c r="V1870" s="13">
        <f>IFERROR(INDEX(MgAmenFrec,MATCH(SUBSTITUTE($H1870,"*","-"),MgAmenClave,0)),"")</f>
        <v/>
      </c>
      <c r="W1870" s="28">
        <f>IFERROR(LOOKUP(X1870,{0;0.01;0.1;1;10;100},{"Muy baja";"Muy baja";"Baja";"Media";"Alta";"Muy alta"}),"")</f>
        <v/>
      </c>
      <c r="X1870" s="31">
        <f>IFERROR(VLOOKUP(V1870,MgFrec,2,0),0)</f>
        <v/>
      </c>
      <c r="Y1870" s="30">
        <f>T1870*X1870</f>
        <v/>
      </c>
      <c r="Z1870" s="28">
        <f>IFERROR(LOOKUP(Y1870,{0;0.5;5;25},{"Bajo";"Medio";"Alto";"Crítico"}),"")</f>
        <v/>
      </c>
      <c r="AA1870" s="64">
        <f>IF(T1870&gt;=3,IF(X1870&gt;=1,"Zona 1 — Crítica: impacto alto y ocurre al menos una vez al año","Zona 4 — Catastrófica poco probable: impacto alto pero excepcional"),IF(AND(T1870&lt;1.5,X1870&lt;1),"Zona 3 — Asumible: impacto bajo y muy poco frecuente","Zona 2 — Atención: riesgo intermedio"))</f>
        <v/>
      </c>
      <c r="AB1870" s="64">
        <f>IFERROR(INDEX(MgAmenCtrl,MATCH(SUBSTITUTE($H1870,"*","-"),MgAmenClave,0)),"")</f>
        <v/>
      </c>
      <c r="AC1870" s="20" t="n"/>
      <c r="AD1870" s="31">
        <f>IFERROR($X1870*(1-IF($AC1870="",$AL1870,VLOOKUP($AC1870,MgMad,2,0))),"")</f>
        <v/>
      </c>
      <c r="AE1870" s="28">
        <f>IFERROR(LOOKUP(AD1870,{0;0.01;0.1;1;10;100},{"Muy baja";"Muy baja";"Baja";"Media";"Alta";"Muy alta"}),"")</f>
        <v/>
      </c>
      <c r="AF1870" s="30">
        <f>T1870*AD1870</f>
        <v/>
      </c>
      <c r="AG1870" s="28">
        <f>IFERROR(LOOKUP(AF1870,{0;0.5;5;25},{"Bajo";"Medio";"Alto";"Crítico"}),"")</f>
        <v/>
      </c>
      <c r="AH1870" s="28">
        <f>IF(AG1870="","",IF(OR(AG1870="Crítico",AG1870="Alto"),"Mitigar",IF(AG1870="Medio","Mitigar","Aceptar y monitorear")))</f>
        <v/>
      </c>
      <c r="AI1870" s="21" t="n"/>
      <c r="AJ1870" s="21" t="n"/>
      <c r="AK1870" s="20" t="n"/>
      <c r="AL1870" s="77">
        <f>IFERROR(INDEX(MgAmenEfic,MATCH(SUBSTITUTE($H1870,"*","-"),MgAmenClave,0)),0)</f>
        <v/>
      </c>
    </row>
    <row r="1871" hidden="1" ht="105" customHeight="1" s="54">
      <c r="B1871" s="59" t="inlineStr">
        <is>
          <t>R-1866</t>
        </is>
      </c>
      <c r="C1871" s="59" t="inlineStr">
        <is>
          <t>COM-14</t>
        </is>
      </c>
      <c r="D1871" s="64">
        <f>IFERROR(INDEX(MgNombre,MATCH($C1871,MgActId,0)),"")</f>
        <v/>
      </c>
      <c r="E1871" s="64">
        <f>IFERROR(INDEX(MgProceso,MATCH($C1871,MgActId,0)),"")</f>
        <v/>
      </c>
      <c r="F1871" s="64">
        <f>IFERROR(INDEX(MgTipo,MATCH($C1871,MgActId,0)),"")</f>
        <v/>
      </c>
      <c r="G1871" s="64">
        <f>IFERROR(INDEX(MgSubtipo,MATCH($C1871,MgActId,0)),"")</f>
        <v/>
      </c>
      <c r="H1871" s="59" t="inlineStr">
        <is>
          <t>E.20</t>
        </is>
      </c>
      <c r="I1871" s="64">
        <f>IFERROR(INDEX(MgAmenNombre,MATCH(SUBSTITUTE($H1871,"*","-"),MgAmenClave,0)),"")</f>
        <v/>
      </c>
      <c r="J1871" s="28">
        <f>IFERROR(INDEX(MgAmenGrupo,MATCH(SUBSTITUTE($H1871,"*","-"),MgAmenClave,0)),"")</f>
        <v/>
      </c>
      <c r="K1871" s="64">
        <f>IFERROR(INDEX('1. Matriz de Activos'!$Q$6:$Q$239,MATCH($C1871,MgActId,0)),"")</f>
        <v/>
      </c>
      <c r="L1871" s="64">
        <f>IFERROR(INDEX('1. Matriz de Activos'!$R$6:$R$239,MATCH($C1871,MgActId,0)),"")</f>
        <v/>
      </c>
      <c r="M1871" s="64">
        <f>IFERROR(INDEX('1. Matriz de Activos'!$S$6:$S$239,MATCH($C1871,MgActId,0)),"")</f>
        <v/>
      </c>
      <c r="N1871" s="28">
        <f>IFERROR(INDEX(MgAmenDegD,MATCH(SUBSTITUTE($H1871,"*","-"),MgAmenClave,0)),"No aplica")</f>
        <v/>
      </c>
      <c r="O1871" s="28">
        <f>IFERROR(INDEX(MgAmenDegI,MATCH(SUBSTITUTE($H1871,"*","-"),MgAmenClave,0)),"No aplica")</f>
        <v/>
      </c>
      <c r="P1871" s="28">
        <f>IFERROR(INDEX(MgAmenDegC,MATCH(SUBSTITUTE($H1871,"*","-"),MgAmenClave,0)),"No aplica")</f>
        <v/>
      </c>
      <c r="Q1871" s="29">
        <f>IFERROR(VLOOKUP(K1871,MgValor,2,0)*VLOOKUP(N1871,MgDeg,2,0),0)</f>
        <v/>
      </c>
      <c r="R1871" s="29">
        <f>IFERROR(VLOOKUP(L1871,MgValor,2,0)*VLOOKUP(O1871,MgDeg,2,0),0)</f>
        <v/>
      </c>
      <c r="S1871" s="29">
        <f>IFERROR(VLOOKUP(M1871,MgValor,2,0)*VLOOKUP(P1871,MgDeg,2,0),0)</f>
        <v/>
      </c>
      <c r="T1871" s="30">
        <f>MAX(Q1871:S1871)</f>
        <v/>
      </c>
      <c r="U1871" s="28">
        <f>IFERROR(LOOKUP(T1871,{0;0.5;1.5;3;4.5},{"Despreciable";"Bajo";"Medio";"Alto";"Muy alto"}),"")</f>
        <v/>
      </c>
      <c r="V1871" s="13">
        <f>IFERROR(INDEX(MgAmenFrec,MATCH(SUBSTITUTE($H1871,"*","-"),MgAmenClave,0)),"")</f>
        <v/>
      </c>
      <c r="W1871" s="28">
        <f>IFERROR(LOOKUP(X1871,{0;0.01;0.1;1;10;100},{"Muy baja";"Muy baja";"Baja";"Media";"Alta";"Muy alta"}),"")</f>
        <v/>
      </c>
      <c r="X1871" s="31">
        <f>IFERROR(VLOOKUP(V1871,MgFrec,2,0),0)</f>
        <v/>
      </c>
      <c r="Y1871" s="30">
        <f>T1871*X1871</f>
        <v/>
      </c>
      <c r="Z1871" s="28">
        <f>IFERROR(LOOKUP(Y1871,{0;0.5;5;25},{"Bajo";"Medio";"Alto";"Crítico"}),"")</f>
        <v/>
      </c>
      <c r="AA1871" s="64">
        <f>IF(T1871&gt;=3,IF(X1871&gt;=1,"Zona 1 — Crítica: impacto alto y ocurre al menos una vez al año","Zona 4 — Catastrófica poco probable: impacto alto pero excepcional"),IF(AND(T1871&lt;1.5,X1871&lt;1),"Zona 3 — Asumible: impacto bajo y muy poco frecuente","Zona 2 — Atención: riesgo intermedio"))</f>
        <v/>
      </c>
      <c r="AB1871" s="64">
        <f>IFERROR(INDEX(MgAmenCtrl,MATCH(SUBSTITUTE($H1871,"*","-"),MgAmenClave,0)),"")</f>
        <v/>
      </c>
      <c r="AC1871" s="20" t="n"/>
      <c r="AD1871" s="31">
        <f>IFERROR($X1871*(1-IF($AC1871="",$AL1871,VLOOKUP($AC1871,MgMad,2,0))),"")</f>
        <v/>
      </c>
      <c r="AE1871" s="28">
        <f>IFERROR(LOOKUP(AD1871,{0;0.01;0.1;1;10;100},{"Muy baja";"Muy baja";"Baja";"Media";"Alta";"Muy alta"}),"")</f>
        <v/>
      </c>
      <c r="AF1871" s="30">
        <f>T1871*AD1871</f>
        <v/>
      </c>
      <c r="AG1871" s="28">
        <f>IFERROR(LOOKUP(AF1871,{0;0.5;5;25},{"Bajo";"Medio";"Alto";"Crítico"}),"")</f>
        <v/>
      </c>
      <c r="AH1871" s="28">
        <f>IF(AG1871="","",IF(OR(AG1871="Crítico",AG1871="Alto"),"Mitigar",IF(AG1871="Medio","Mitigar","Aceptar y monitorear")))</f>
        <v/>
      </c>
      <c r="AI1871" s="21" t="n"/>
      <c r="AJ1871" s="21" t="n"/>
      <c r="AK1871" s="20" t="n"/>
      <c r="AL1871" s="77">
        <f>IFERROR(INDEX(MgAmenEfic,MATCH(SUBSTITUTE($H1871,"*","-"),MgAmenClave,0)),0)</f>
        <v/>
      </c>
    </row>
    <row r="1872" hidden="1" ht="75" customHeight="1" s="54">
      <c r="B1872" s="59" t="inlineStr">
        <is>
          <t>R-1867</t>
        </is>
      </c>
      <c r="C1872" s="59" t="inlineStr">
        <is>
          <t>COM-14</t>
        </is>
      </c>
      <c r="D1872" s="64">
        <f>IFERROR(INDEX(MgNombre,MATCH($C1872,MgActId,0)),"")</f>
        <v/>
      </c>
      <c r="E1872" s="64">
        <f>IFERROR(INDEX(MgProceso,MATCH($C1872,MgActId,0)),"")</f>
        <v/>
      </c>
      <c r="F1872" s="64">
        <f>IFERROR(INDEX(MgTipo,MATCH($C1872,MgActId,0)),"")</f>
        <v/>
      </c>
      <c r="G1872" s="64">
        <f>IFERROR(INDEX(MgSubtipo,MATCH($C1872,MgActId,0)),"")</f>
        <v/>
      </c>
      <c r="H1872" s="59" t="inlineStr">
        <is>
          <t>E.21</t>
        </is>
      </c>
      <c r="I1872" s="64">
        <f>IFERROR(INDEX(MgAmenNombre,MATCH(SUBSTITUTE($H1872,"*","-"),MgAmenClave,0)),"")</f>
        <v/>
      </c>
      <c r="J1872" s="28">
        <f>IFERROR(INDEX(MgAmenGrupo,MATCH(SUBSTITUTE($H1872,"*","-"),MgAmenClave,0)),"")</f>
        <v/>
      </c>
      <c r="K1872" s="64">
        <f>IFERROR(INDEX('1. Matriz de Activos'!$Q$6:$Q$239,MATCH($C1872,MgActId,0)),"")</f>
        <v/>
      </c>
      <c r="L1872" s="64">
        <f>IFERROR(INDEX('1. Matriz de Activos'!$R$6:$R$239,MATCH($C1872,MgActId,0)),"")</f>
        <v/>
      </c>
      <c r="M1872" s="64">
        <f>IFERROR(INDEX('1. Matriz de Activos'!$S$6:$S$239,MATCH($C1872,MgActId,0)),"")</f>
        <v/>
      </c>
      <c r="N1872" s="28">
        <f>IFERROR(INDEX(MgAmenDegD,MATCH(SUBSTITUTE($H1872,"*","-"),MgAmenClave,0)),"No aplica")</f>
        <v/>
      </c>
      <c r="O1872" s="28">
        <f>IFERROR(INDEX(MgAmenDegI,MATCH(SUBSTITUTE($H1872,"*","-"),MgAmenClave,0)),"No aplica")</f>
        <v/>
      </c>
      <c r="P1872" s="28">
        <f>IFERROR(INDEX(MgAmenDegC,MATCH(SUBSTITUTE($H1872,"*","-"),MgAmenClave,0)),"No aplica")</f>
        <v/>
      </c>
      <c r="Q1872" s="29">
        <f>IFERROR(VLOOKUP(K1872,MgValor,2,0)*VLOOKUP(N1872,MgDeg,2,0),0)</f>
        <v/>
      </c>
      <c r="R1872" s="29">
        <f>IFERROR(VLOOKUP(L1872,MgValor,2,0)*VLOOKUP(O1872,MgDeg,2,0),0)</f>
        <v/>
      </c>
      <c r="S1872" s="29">
        <f>IFERROR(VLOOKUP(M1872,MgValor,2,0)*VLOOKUP(P1872,MgDeg,2,0),0)</f>
        <v/>
      </c>
      <c r="T1872" s="30">
        <f>MAX(Q1872:S1872)</f>
        <v/>
      </c>
      <c r="U1872" s="28">
        <f>IFERROR(LOOKUP(T1872,{0;0.5;1.5;3;4.5},{"Despreciable";"Bajo";"Medio";"Alto";"Muy alto"}),"")</f>
        <v/>
      </c>
      <c r="V1872" s="13">
        <f>IFERROR(INDEX(MgAmenFrec,MATCH(SUBSTITUTE($H1872,"*","-"),MgAmenClave,0)),"")</f>
        <v/>
      </c>
      <c r="W1872" s="28">
        <f>IFERROR(LOOKUP(X1872,{0;0.01;0.1;1;10;100},{"Muy baja";"Muy baja";"Baja";"Media";"Alta";"Muy alta"}),"")</f>
        <v/>
      </c>
      <c r="X1872" s="31">
        <f>IFERROR(VLOOKUP(V1872,MgFrec,2,0),0)</f>
        <v/>
      </c>
      <c r="Y1872" s="30">
        <f>T1872*X1872</f>
        <v/>
      </c>
      <c r="Z1872" s="28">
        <f>IFERROR(LOOKUP(Y1872,{0;0.5;5;25},{"Bajo";"Medio";"Alto";"Crítico"}),"")</f>
        <v/>
      </c>
      <c r="AA1872" s="64">
        <f>IF(T1872&gt;=3,IF(X1872&gt;=1,"Zona 1 — Crítica: impacto alto y ocurre al menos una vez al año","Zona 4 — Catastrófica poco probable: impacto alto pero excepcional"),IF(AND(T1872&lt;1.5,X1872&lt;1),"Zona 3 — Asumible: impacto bajo y muy poco frecuente","Zona 2 — Atención: riesgo intermedio"))</f>
        <v/>
      </c>
      <c r="AB1872" s="64">
        <f>IFERROR(INDEX(MgAmenCtrl,MATCH(SUBSTITUTE($H1872,"*","-"),MgAmenClave,0)),"")</f>
        <v/>
      </c>
      <c r="AC1872" s="20" t="n"/>
      <c r="AD1872" s="31">
        <f>IFERROR($X1872*(1-IF($AC1872="",$AL1872,VLOOKUP($AC1872,MgMad,2,0))),"")</f>
        <v/>
      </c>
      <c r="AE1872" s="28">
        <f>IFERROR(LOOKUP(AD1872,{0;0.01;0.1;1;10;100},{"Muy baja";"Muy baja";"Baja";"Media";"Alta";"Muy alta"}),"")</f>
        <v/>
      </c>
      <c r="AF1872" s="30">
        <f>T1872*AD1872</f>
        <v/>
      </c>
      <c r="AG1872" s="28">
        <f>IFERROR(LOOKUP(AF1872,{0;0.5;5;25},{"Bajo";"Medio";"Alto";"Crítico"}),"")</f>
        <v/>
      </c>
      <c r="AH1872" s="28">
        <f>IF(AG1872="","",IF(OR(AG1872="Crítico",AG1872="Alto"),"Mitigar",IF(AG1872="Medio","Mitigar","Aceptar y monitorear")))</f>
        <v/>
      </c>
      <c r="AI1872" s="21" t="n"/>
      <c r="AJ1872" s="21" t="n"/>
      <c r="AK1872" s="20" t="n"/>
      <c r="AL1872" s="77">
        <f>IFERROR(INDEX(MgAmenEfic,MATCH(SUBSTITUTE($H1872,"*","-"),MgAmenClave,0)),0)</f>
        <v/>
      </c>
    </row>
    <row r="1873" hidden="1" ht="75" customHeight="1" s="54">
      <c r="B1873" s="59" t="inlineStr">
        <is>
          <t>R-1868</t>
        </is>
      </c>
      <c r="C1873" s="59" t="inlineStr">
        <is>
          <t>COM-14</t>
        </is>
      </c>
      <c r="D1873" s="64">
        <f>IFERROR(INDEX(MgNombre,MATCH($C1873,MgActId,0)),"")</f>
        <v/>
      </c>
      <c r="E1873" s="64">
        <f>IFERROR(INDEX(MgProceso,MATCH($C1873,MgActId,0)),"")</f>
        <v/>
      </c>
      <c r="F1873" s="64">
        <f>IFERROR(INDEX(MgTipo,MATCH($C1873,MgActId,0)),"")</f>
        <v/>
      </c>
      <c r="G1873" s="64">
        <f>IFERROR(INDEX(MgSubtipo,MATCH($C1873,MgActId,0)),"")</f>
        <v/>
      </c>
      <c r="H1873" s="59" t="inlineStr">
        <is>
          <t>A.5</t>
        </is>
      </c>
      <c r="I1873" s="64">
        <f>IFERROR(INDEX(MgAmenNombre,MATCH(SUBSTITUTE($H1873,"*","-"),MgAmenClave,0)),"")</f>
        <v/>
      </c>
      <c r="J1873" s="28">
        <f>IFERROR(INDEX(MgAmenGrupo,MATCH(SUBSTITUTE($H1873,"*","-"),MgAmenClave,0)),"")</f>
        <v/>
      </c>
      <c r="K1873" s="64">
        <f>IFERROR(INDEX('1. Matriz de Activos'!$Q$6:$Q$239,MATCH($C1873,MgActId,0)),"")</f>
        <v/>
      </c>
      <c r="L1873" s="64">
        <f>IFERROR(INDEX('1. Matriz de Activos'!$R$6:$R$239,MATCH($C1873,MgActId,0)),"")</f>
        <v/>
      </c>
      <c r="M1873" s="64">
        <f>IFERROR(INDEX('1. Matriz de Activos'!$S$6:$S$239,MATCH($C1873,MgActId,0)),"")</f>
        <v/>
      </c>
      <c r="N1873" s="28">
        <f>IFERROR(INDEX(MgAmenDegD,MATCH(SUBSTITUTE($H1873,"*","-"),MgAmenClave,0)),"No aplica")</f>
        <v/>
      </c>
      <c r="O1873" s="28">
        <f>IFERROR(INDEX(MgAmenDegI,MATCH(SUBSTITUTE($H1873,"*","-"),MgAmenClave,0)),"No aplica")</f>
        <v/>
      </c>
      <c r="P1873" s="28">
        <f>IFERROR(INDEX(MgAmenDegC,MATCH(SUBSTITUTE($H1873,"*","-"),MgAmenClave,0)),"No aplica")</f>
        <v/>
      </c>
      <c r="Q1873" s="29">
        <f>IFERROR(VLOOKUP(K1873,MgValor,2,0)*VLOOKUP(N1873,MgDeg,2,0),0)</f>
        <v/>
      </c>
      <c r="R1873" s="29">
        <f>IFERROR(VLOOKUP(L1873,MgValor,2,0)*VLOOKUP(O1873,MgDeg,2,0),0)</f>
        <v/>
      </c>
      <c r="S1873" s="29">
        <f>IFERROR(VLOOKUP(M1873,MgValor,2,0)*VLOOKUP(P1873,MgDeg,2,0),0)</f>
        <v/>
      </c>
      <c r="T1873" s="30">
        <f>MAX(Q1873:S1873)</f>
        <v/>
      </c>
      <c r="U1873" s="28">
        <f>IFERROR(LOOKUP(T1873,{0;0.5;1.5;3;4.5},{"Despreciable";"Bajo";"Medio";"Alto";"Muy alto"}),"")</f>
        <v/>
      </c>
      <c r="V1873" s="13">
        <f>IFERROR(INDEX(MgAmenFrec,MATCH(SUBSTITUTE($H1873,"*","-"),MgAmenClave,0)),"")</f>
        <v/>
      </c>
      <c r="W1873" s="28">
        <f>IFERROR(LOOKUP(X1873,{0;0.01;0.1;1;10;100},{"Muy baja";"Muy baja";"Baja";"Media";"Alta";"Muy alta"}),"")</f>
        <v/>
      </c>
      <c r="X1873" s="31">
        <f>IFERROR(VLOOKUP(V1873,MgFrec,2,0),0)</f>
        <v/>
      </c>
      <c r="Y1873" s="30">
        <f>T1873*X1873</f>
        <v/>
      </c>
      <c r="Z1873" s="28">
        <f>IFERROR(LOOKUP(Y1873,{0;0.5;5;25},{"Bajo";"Medio";"Alto";"Crítico"}),"")</f>
        <v/>
      </c>
      <c r="AA1873" s="64">
        <f>IF(T1873&gt;=3,IF(X1873&gt;=1,"Zona 1 — Crítica: impacto alto y ocurre al menos una vez al año","Zona 4 — Catastrófica poco probable: impacto alto pero excepcional"),IF(AND(T1873&lt;1.5,X1873&lt;1),"Zona 3 — Asumible: impacto bajo y muy poco frecuente","Zona 2 — Atención: riesgo intermedio"))</f>
        <v/>
      </c>
      <c r="AB1873" s="64">
        <f>IFERROR(INDEX(MgAmenCtrl,MATCH(SUBSTITUTE($H1873,"*","-"),MgAmenClave,0)),"")</f>
        <v/>
      </c>
      <c r="AC1873" s="20" t="n"/>
      <c r="AD1873" s="31">
        <f>IFERROR($X1873*(1-IF($AC1873="",$AL1873,VLOOKUP($AC1873,MgMad,2,0))),"")</f>
        <v/>
      </c>
      <c r="AE1873" s="28">
        <f>IFERROR(LOOKUP(AD1873,{0;0.01;0.1;1;10;100},{"Muy baja";"Muy baja";"Baja";"Media";"Alta";"Muy alta"}),"")</f>
        <v/>
      </c>
      <c r="AF1873" s="30">
        <f>T1873*AD1873</f>
        <v/>
      </c>
      <c r="AG1873" s="28">
        <f>IFERROR(LOOKUP(AF1873,{0;0.5;5;25},{"Bajo";"Medio";"Alto";"Crítico"}),"")</f>
        <v/>
      </c>
      <c r="AH1873" s="28">
        <f>IF(AG1873="","",IF(OR(AG1873="Crítico",AG1873="Alto"),"Mitigar",IF(AG1873="Medio","Mitigar","Aceptar y monitorear")))</f>
        <v/>
      </c>
      <c r="AI1873" s="21" t="n"/>
      <c r="AJ1873" s="21" t="n"/>
      <c r="AK1873" s="20" t="n"/>
      <c r="AL1873" s="77">
        <f>IFERROR(INDEX(MgAmenEfic,MATCH(SUBSTITUTE($H1873,"*","-"),MgAmenClave,0)),0)</f>
        <v/>
      </c>
    </row>
    <row r="1874" hidden="1" ht="105" customHeight="1" s="54">
      <c r="B1874" s="59" t="inlineStr">
        <is>
          <t>R-1869</t>
        </is>
      </c>
      <c r="C1874" s="59" t="inlineStr">
        <is>
          <t>COM-14</t>
        </is>
      </c>
      <c r="D1874" s="64">
        <f>IFERROR(INDEX(MgNombre,MATCH($C1874,MgActId,0)),"")</f>
        <v/>
      </c>
      <c r="E1874" s="64">
        <f>IFERROR(INDEX(MgProceso,MATCH($C1874,MgActId,0)),"")</f>
        <v/>
      </c>
      <c r="F1874" s="64">
        <f>IFERROR(INDEX(MgTipo,MATCH($C1874,MgActId,0)),"")</f>
        <v/>
      </c>
      <c r="G1874" s="64">
        <f>IFERROR(INDEX(MgSubtipo,MATCH($C1874,MgActId,0)),"")</f>
        <v/>
      </c>
      <c r="H1874" s="59" t="inlineStr">
        <is>
          <t>A.6</t>
        </is>
      </c>
      <c r="I1874" s="64">
        <f>IFERROR(INDEX(MgAmenNombre,MATCH(SUBSTITUTE($H1874,"*","-"),MgAmenClave,0)),"")</f>
        <v/>
      </c>
      <c r="J1874" s="28">
        <f>IFERROR(INDEX(MgAmenGrupo,MATCH(SUBSTITUTE($H1874,"*","-"),MgAmenClave,0)),"")</f>
        <v/>
      </c>
      <c r="K1874" s="64">
        <f>IFERROR(INDEX('1. Matriz de Activos'!$Q$6:$Q$239,MATCH($C1874,MgActId,0)),"")</f>
        <v/>
      </c>
      <c r="L1874" s="64">
        <f>IFERROR(INDEX('1. Matriz de Activos'!$R$6:$R$239,MATCH($C1874,MgActId,0)),"")</f>
        <v/>
      </c>
      <c r="M1874" s="64">
        <f>IFERROR(INDEX('1. Matriz de Activos'!$S$6:$S$239,MATCH($C1874,MgActId,0)),"")</f>
        <v/>
      </c>
      <c r="N1874" s="28">
        <f>IFERROR(INDEX(MgAmenDegD,MATCH(SUBSTITUTE($H1874,"*","-"),MgAmenClave,0)),"No aplica")</f>
        <v/>
      </c>
      <c r="O1874" s="28">
        <f>IFERROR(INDEX(MgAmenDegI,MATCH(SUBSTITUTE($H1874,"*","-"),MgAmenClave,0)),"No aplica")</f>
        <v/>
      </c>
      <c r="P1874" s="28">
        <f>IFERROR(INDEX(MgAmenDegC,MATCH(SUBSTITUTE($H1874,"*","-"),MgAmenClave,0)),"No aplica")</f>
        <v/>
      </c>
      <c r="Q1874" s="29">
        <f>IFERROR(VLOOKUP(K1874,MgValor,2,0)*VLOOKUP(N1874,MgDeg,2,0),0)</f>
        <v/>
      </c>
      <c r="R1874" s="29">
        <f>IFERROR(VLOOKUP(L1874,MgValor,2,0)*VLOOKUP(O1874,MgDeg,2,0),0)</f>
        <v/>
      </c>
      <c r="S1874" s="29">
        <f>IFERROR(VLOOKUP(M1874,MgValor,2,0)*VLOOKUP(P1874,MgDeg,2,0),0)</f>
        <v/>
      </c>
      <c r="T1874" s="30">
        <f>MAX(Q1874:S1874)</f>
        <v/>
      </c>
      <c r="U1874" s="28">
        <f>IFERROR(LOOKUP(T1874,{0;0.5;1.5;3;4.5},{"Despreciable";"Bajo";"Medio";"Alto";"Muy alto"}),"")</f>
        <v/>
      </c>
      <c r="V1874" s="13">
        <f>IFERROR(INDEX(MgAmenFrec,MATCH(SUBSTITUTE($H1874,"*","-"),MgAmenClave,0)),"")</f>
        <v/>
      </c>
      <c r="W1874" s="28">
        <f>IFERROR(LOOKUP(X1874,{0;0.01;0.1;1;10;100},{"Muy baja";"Muy baja";"Baja";"Media";"Alta";"Muy alta"}),"")</f>
        <v/>
      </c>
      <c r="X1874" s="31">
        <f>IFERROR(VLOOKUP(V1874,MgFrec,2,0),0)</f>
        <v/>
      </c>
      <c r="Y1874" s="30">
        <f>T1874*X1874</f>
        <v/>
      </c>
      <c r="Z1874" s="28">
        <f>IFERROR(LOOKUP(Y1874,{0;0.5;5;25},{"Bajo";"Medio";"Alto";"Crítico"}),"")</f>
        <v/>
      </c>
      <c r="AA1874" s="64">
        <f>IF(T1874&gt;=3,IF(X1874&gt;=1,"Zona 1 — Crítica: impacto alto y ocurre al menos una vez al año","Zona 4 — Catastrófica poco probable: impacto alto pero excepcional"),IF(AND(T1874&lt;1.5,X1874&lt;1),"Zona 3 — Asumible: impacto bajo y muy poco frecuente","Zona 2 — Atención: riesgo intermedio"))</f>
        <v/>
      </c>
      <c r="AB1874" s="64">
        <f>IFERROR(INDEX(MgAmenCtrl,MATCH(SUBSTITUTE($H1874,"*","-"),MgAmenClave,0)),"")</f>
        <v/>
      </c>
      <c r="AC1874" s="20" t="n"/>
      <c r="AD1874" s="31">
        <f>IFERROR($X1874*(1-IF($AC1874="",$AL1874,VLOOKUP($AC1874,MgMad,2,0))),"")</f>
        <v/>
      </c>
      <c r="AE1874" s="28">
        <f>IFERROR(LOOKUP(AD1874,{0;0.01;0.1;1;10;100},{"Muy baja";"Muy baja";"Baja";"Media";"Alta";"Muy alta"}),"")</f>
        <v/>
      </c>
      <c r="AF1874" s="30">
        <f>T1874*AD1874</f>
        <v/>
      </c>
      <c r="AG1874" s="28">
        <f>IFERROR(LOOKUP(AF1874,{0;0.5;5;25},{"Bajo";"Medio";"Alto";"Crítico"}),"")</f>
        <v/>
      </c>
      <c r="AH1874" s="28">
        <f>IF(AG1874="","",IF(OR(AG1874="Crítico",AG1874="Alto"),"Mitigar",IF(AG1874="Medio","Mitigar","Aceptar y monitorear")))</f>
        <v/>
      </c>
      <c r="AI1874" s="21" t="n"/>
      <c r="AJ1874" s="21" t="n"/>
      <c r="AK1874" s="20" t="n"/>
      <c r="AL1874" s="77">
        <f>IFERROR(INDEX(MgAmenEfic,MATCH(SUBSTITUTE($H1874,"*","-"),MgAmenClave,0)),0)</f>
        <v/>
      </c>
    </row>
    <row r="1875" hidden="1" ht="60" customHeight="1" s="54">
      <c r="B1875" s="59" t="inlineStr">
        <is>
          <t>R-1870</t>
        </is>
      </c>
      <c r="C1875" s="59" t="inlineStr">
        <is>
          <t>COM-14</t>
        </is>
      </c>
      <c r="D1875" s="64">
        <f>IFERROR(INDEX(MgNombre,MATCH($C1875,MgActId,0)),"")</f>
        <v/>
      </c>
      <c r="E1875" s="64">
        <f>IFERROR(INDEX(MgProceso,MATCH($C1875,MgActId,0)),"")</f>
        <v/>
      </c>
      <c r="F1875" s="64">
        <f>IFERROR(INDEX(MgTipo,MATCH($C1875,MgActId,0)),"")</f>
        <v/>
      </c>
      <c r="G1875" s="64">
        <f>IFERROR(INDEX(MgSubtipo,MATCH($C1875,MgActId,0)),"")</f>
        <v/>
      </c>
      <c r="H1875" s="59" t="inlineStr">
        <is>
          <t>A.7</t>
        </is>
      </c>
      <c r="I1875" s="64">
        <f>IFERROR(INDEX(MgAmenNombre,MATCH(SUBSTITUTE($H1875,"*","-"),MgAmenClave,0)),"")</f>
        <v/>
      </c>
      <c r="J1875" s="28">
        <f>IFERROR(INDEX(MgAmenGrupo,MATCH(SUBSTITUTE($H1875,"*","-"),MgAmenClave,0)),"")</f>
        <v/>
      </c>
      <c r="K1875" s="64">
        <f>IFERROR(INDEX('1. Matriz de Activos'!$Q$6:$Q$239,MATCH($C1875,MgActId,0)),"")</f>
        <v/>
      </c>
      <c r="L1875" s="64">
        <f>IFERROR(INDEX('1. Matriz de Activos'!$R$6:$R$239,MATCH($C1875,MgActId,0)),"")</f>
        <v/>
      </c>
      <c r="M1875" s="64">
        <f>IFERROR(INDEX('1. Matriz de Activos'!$S$6:$S$239,MATCH($C1875,MgActId,0)),"")</f>
        <v/>
      </c>
      <c r="N1875" s="28">
        <f>IFERROR(INDEX(MgAmenDegD,MATCH(SUBSTITUTE($H1875,"*","-"),MgAmenClave,0)),"No aplica")</f>
        <v/>
      </c>
      <c r="O1875" s="28">
        <f>IFERROR(INDEX(MgAmenDegI,MATCH(SUBSTITUTE($H1875,"*","-"),MgAmenClave,0)),"No aplica")</f>
        <v/>
      </c>
      <c r="P1875" s="28">
        <f>IFERROR(INDEX(MgAmenDegC,MATCH(SUBSTITUTE($H1875,"*","-"),MgAmenClave,0)),"No aplica")</f>
        <v/>
      </c>
      <c r="Q1875" s="29">
        <f>IFERROR(VLOOKUP(K1875,MgValor,2,0)*VLOOKUP(N1875,MgDeg,2,0),0)</f>
        <v/>
      </c>
      <c r="R1875" s="29">
        <f>IFERROR(VLOOKUP(L1875,MgValor,2,0)*VLOOKUP(O1875,MgDeg,2,0),0)</f>
        <v/>
      </c>
      <c r="S1875" s="29">
        <f>IFERROR(VLOOKUP(M1875,MgValor,2,0)*VLOOKUP(P1875,MgDeg,2,0),0)</f>
        <v/>
      </c>
      <c r="T1875" s="30">
        <f>MAX(Q1875:S1875)</f>
        <v/>
      </c>
      <c r="U1875" s="28">
        <f>IFERROR(LOOKUP(T1875,{0;0.5;1.5;3;4.5},{"Despreciable";"Bajo";"Medio";"Alto";"Muy alto"}),"")</f>
        <v/>
      </c>
      <c r="V1875" s="13">
        <f>IFERROR(INDEX(MgAmenFrec,MATCH(SUBSTITUTE($H1875,"*","-"),MgAmenClave,0)),"")</f>
        <v/>
      </c>
      <c r="W1875" s="28">
        <f>IFERROR(LOOKUP(X1875,{0;0.01;0.1;1;10;100},{"Muy baja";"Muy baja";"Baja";"Media";"Alta";"Muy alta"}),"")</f>
        <v/>
      </c>
      <c r="X1875" s="31">
        <f>IFERROR(VLOOKUP(V1875,MgFrec,2,0),0)</f>
        <v/>
      </c>
      <c r="Y1875" s="30">
        <f>T1875*X1875</f>
        <v/>
      </c>
      <c r="Z1875" s="28">
        <f>IFERROR(LOOKUP(Y1875,{0;0.5;5;25},{"Bajo";"Medio";"Alto";"Crítico"}),"")</f>
        <v/>
      </c>
      <c r="AA1875" s="64">
        <f>IF(T1875&gt;=3,IF(X1875&gt;=1,"Zona 1 — Crítica: impacto alto y ocurre al menos una vez al año","Zona 4 — Catastrófica poco probable: impacto alto pero excepcional"),IF(AND(T1875&lt;1.5,X1875&lt;1),"Zona 3 — Asumible: impacto bajo y muy poco frecuente","Zona 2 — Atención: riesgo intermedio"))</f>
        <v/>
      </c>
      <c r="AB1875" s="64">
        <f>IFERROR(INDEX(MgAmenCtrl,MATCH(SUBSTITUTE($H1875,"*","-"),MgAmenClave,0)),"")</f>
        <v/>
      </c>
      <c r="AC1875" s="20" t="n"/>
      <c r="AD1875" s="31">
        <f>IFERROR($X1875*(1-IF($AC1875="",$AL1875,VLOOKUP($AC1875,MgMad,2,0))),"")</f>
        <v/>
      </c>
      <c r="AE1875" s="28">
        <f>IFERROR(LOOKUP(AD1875,{0;0.01;0.1;1;10;100},{"Muy baja";"Muy baja";"Baja";"Media";"Alta";"Muy alta"}),"")</f>
        <v/>
      </c>
      <c r="AF1875" s="30">
        <f>T1875*AD1875</f>
        <v/>
      </c>
      <c r="AG1875" s="28">
        <f>IFERROR(LOOKUP(AF1875,{0;0.5;5;25},{"Bajo";"Medio";"Alto";"Crítico"}),"")</f>
        <v/>
      </c>
      <c r="AH1875" s="28">
        <f>IF(AG1875="","",IF(OR(AG1875="Crítico",AG1875="Alto"),"Mitigar",IF(AG1875="Medio","Mitigar","Aceptar y monitorear")))</f>
        <v/>
      </c>
      <c r="AI1875" s="21" t="n"/>
      <c r="AJ1875" s="21" t="n"/>
      <c r="AK1875" s="20" t="n"/>
      <c r="AL1875" s="77">
        <f>IFERROR(INDEX(MgAmenEfic,MATCH(SUBSTITUTE($H1875,"*","-"),MgAmenClave,0)),0)</f>
        <v/>
      </c>
    </row>
    <row r="1876" hidden="1" ht="120" customHeight="1" s="54">
      <c r="B1876" s="59" t="inlineStr">
        <is>
          <t>R-1871</t>
        </is>
      </c>
      <c r="C1876" s="59" t="inlineStr">
        <is>
          <t>COM-14</t>
        </is>
      </c>
      <c r="D1876" s="64">
        <f>IFERROR(INDEX(MgNombre,MATCH($C1876,MgActId,0)),"")</f>
        <v/>
      </c>
      <c r="E1876" s="64">
        <f>IFERROR(INDEX(MgProceso,MATCH($C1876,MgActId,0)),"")</f>
        <v/>
      </c>
      <c r="F1876" s="64">
        <f>IFERROR(INDEX(MgTipo,MATCH($C1876,MgActId,0)),"")</f>
        <v/>
      </c>
      <c r="G1876" s="64">
        <f>IFERROR(INDEX(MgSubtipo,MATCH($C1876,MgActId,0)),"")</f>
        <v/>
      </c>
      <c r="H1876" s="59" t="inlineStr">
        <is>
          <t>A.8</t>
        </is>
      </c>
      <c r="I1876" s="64">
        <f>IFERROR(INDEX(MgAmenNombre,MATCH(SUBSTITUTE($H1876,"*","-"),MgAmenClave,0)),"")</f>
        <v/>
      </c>
      <c r="J1876" s="28">
        <f>IFERROR(INDEX(MgAmenGrupo,MATCH(SUBSTITUTE($H1876,"*","-"),MgAmenClave,0)),"")</f>
        <v/>
      </c>
      <c r="K1876" s="64">
        <f>IFERROR(INDEX('1. Matriz de Activos'!$Q$6:$Q$239,MATCH($C1876,MgActId,0)),"")</f>
        <v/>
      </c>
      <c r="L1876" s="64">
        <f>IFERROR(INDEX('1. Matriz de Activos'!$R$6:$R$239,MATCH($C1876,MgActId,0)),"")</f>
        <v/>
      </c>
      <c r="M1876" s="64">
        <f>IFERROR(INDEX('1. Matriz de Activos'!$S$6:$S$239,MATCH($C1876,MgActId,0)),"")</f>
        <v/>
      </c>
      <c r="N1876" s="28">
        <f>IFERROR(INDEX(MgAmenDegD,MATCH(SUBSTITUTE($H1876,"*","-"),MgAmenClave,0)),"No aplica")</f>
        <v/>
      </c>
      <c r="O1876" s="28">
        <f>IFERROR(INDEX(MgAmenDegI,MATCH(SUBSTITUTE($H1876,"*","-"),MgAmenClave,0)),"No aplica")</f>
        <v/>
      </c>
      <c r="P1876" s="28">
        <f>IFERROR(INDEX(MgAmenDegC,MATCH(SUBSTITUTE($H1876,"*","-"),MgAmenClave,0)),"No aplica")</f>
        <v/>
      </c>
      <c r="Q1876" s="29">
        <f>IFERROR(VLOOKUP(K1876,MgValor,2,0)*VLOOKUP(N1876,MgDeg,2,0),0)</f>
        <v/>
      </c>
      <c r="R1876" s="29">
        <f>IFERROR(VLOOKUP(L1876,MgValor,2,0)*VLOOKUP(O1876,MgDeg,2,0),0)</f>
        <v/>
      </c>
      <c r="S1876" s="29">
        <f>IFERROR(VLOOKUP(M1876,MgValor,2,0)*VLOOKUP(P1876,MgDeg,2,0),0)</f>
        <v/>
      </c>
      <c r="T1876" s="30">
        <f>MAX(Q1876:S1876)</f>
        <v/>
      </c>
      <c r="U1876" s="28">
        <f>IFERROR(LOOKUP(T1876,{0;0.5;1.5;3;4.5},{"Despreciable";"Bajo";"Medio";"Alto";"Muy alto"}),"")</f>
        <v/>
      </c>
      <c r="V1876" s="13">
        <f>IFERROR(INDEX(MgAmenFrec,MATCH(SUBSTITUTE($H1876,"*","-"),MgAmenClave,0)),"")</f>
        <v/>
      </c>
      <c r="W1876" s="28">
        <f>IFERROR(LOOKUP(X1876,{0;0.01;0.1;1;10;100},{"Muy baja";"Muy baja";"Baja";"Media";"Alta";"Muy alta"}),"")</f>
        <v/>
      </c>
      <c r="X1876" s="31">
        <f>IFERROR(VLOOKUP(V1876,MgFrec,2,0),0)</f>
        <v/>
      </c>
      <c r="Y1876" s="30">
        <f>T1876*X1876</f>
        <v/>
      </c>
      <c r="Z1876" s="28">
        <f>IFERROR(LOOKUP(Y1876,{0;0.5;5;25},{"Bajo";"Medio";"Alto";"Crítico"}),"")</f>
        <v/>
      </c>
      <c r="AA1876" s="64">
        <f>IF(T1876&gt;=3,IF(X1876&gt;=1,"Zona 1 — Crítica: impacto alto y ocurre al menos una vez al año","Zona 4 — Catastrófica poco probable: impacto alto pero excepcional"),IF(AND(T1876&lt;1.5,X1876&lt;1),"Zona 3 — Asumible: impacto bajo y muy poco frecuente","Zona 2 — Atención: riesgo intermedio"))</f>
        <v/>
      </c>
      <c r="AB1876" s="64">
        <f>IFERROR(INDEX(MgAmenCtrl,MATCH(SUBSTITUTE($H1876,"*","-"),MgAmenClave,0)),"")</f>
        <v/>
      </c>
      <c r="AC1876" s="20" t="n"/>
      <c r="AD1876" s="31">
        <f>IFERROR($X1876*(1-IF($AC1876="",$AL1876,VLOOKUP($AC1876,MgMad,2,0))),"")</f>
        <v/>
      </c>
      <c r="AE1876" s="28">
        <f>IFERROR(LOOKUP(AD1876,{0;0.01;0.1;1;10;100},{"Muy baja";"Muy baja";"Baja";"Media";"Alta";"Muy alta"}),"")</f>
        <v/>
      </c>
      <c r="AF1876" s="30">
        <f>T1876*AD1876</f>
        <v/>
      </c>
      <c r="AG1876" s="28">
        <f>IFERROR(LOOKUP(AF1876,{0;0.5;5;25},{"Bajo";"Medio";"Alto";"Crítico"}),"")</f>
        <v/>
      </c>
      <c r="AH1876" s="28">
        <f>IF(AG1876="","",IF(OR(AG1876="Crítico",AG1876="Alto"),"Mitigar",IF(AG1876="Medio","Mitigar","Aceptar y monitorear")))</f>
        <v/>
      </c>
      <c r="AI1876" s="21" t="n"/>
      <c r="AJ1876" s="21" t="n"/>
      <c r="AK1876" s="20" t="n"/>
      <c r="AL1876" s="77">
        <f>IFERROR(INDEX(MgAmenEfic,MATCH(SUBSTITUTE($H1876,"*","-"),MgAmenClave,0)),0)</f>
        <v/>
      </c>
    </row>
    <row r="1877" hidden="1" ht="60" customHeight="1" s="54">
      <c r="B1877" s="59" t="inlineStr">
        <is>
          <t>R-1872</t>
        </is>
      </c>
      <c r="C1877" s="59" t="inlineStr">
        <is>
          <t>COM-14</t>
        </is>
      </c>
      <c r="D1877" s="64">
        <f>IFERROR(INDEX(MgNombre,MATCH($C1877,MgActId,0)),"")</f>
        <v/>
      </c>
      <c r="E1877" s="64">
        <f>IFERROR(INDEX(MgProceso,MATCH($C1877,MgActId,0)),"")</f>
        <v/>
      </c>
      <c r="F1877" s="64">
        <f>IFERROR(INDEX(MgTipo,MATCH($C1877,MgActId,0)),"")</f>
        <v/>
      </c>
      <c r="G1877" s="64">
        <f>IFERROR(INDEX(MgSubtipo,MATCH($C1877,MgActId,0)),"")</f>
        <v/>
      </c>
      <c r="H1877" s="59" t="inlineStr">
        <is>
          <t>A.9</t>
        </is>
      </c>
      <c r="I1877" s="64">
        <f>IFERROR(INDEX(MgAmenNombre,MATCH(SUBSTITUTE($H1877,"*","-"),MgAmenClave,0)),"")</f>
        <v/>
      </c>
      <c r="J1877" s="28">
        <f>IFERROR(INDEX(MgAmenGrupo,MATCH(SUBSTITUTE($H1877,"*","-"),MgAmenClave,0)),"")</f>
        <v/>
      </c>
      <c r="K1877" s="64">
        <f>IFERROR(INDEX('1. Matriz de Activos'!$Q$6:$Q$239,MATCH($C1877,MgActId,0)),"")</f>
        <v/>
      </c>
      <c r="L1877" s="64">
        <f>IFERROR(INDEX('1. Matriz de Activos'!$R$6:$R$239,MATCH($C1877,MgActId,0)),"")</f>
        <v/>
      </c>
      <c r="M1877" s="64">
        <f>IFERROR(INDEX('1. Matriz de Activos'!$S$6:$S$239,MATCH($C1877,MgActId,0)),"")</f>
        <v/>
      </c>
      <c r="N1877" s="28">
        <f>IFERROR(INDEX(MgAmenDegD,MATCH(SUBSTITUTE($H1877,"*","-"),MgAmenClave,0)),"No aplica")</f>
        <v/>
      </c>
      <c r="O1877" s="28">
        <f>IFERROR(INDEX(MgAmenDegI,MATCH(SUBSTITUTE($H1877,"*","-"),MgAmenClave,0)),"No aplica")</f>
        <v/>
      </c>
      <c r="P1877" s="28">
        <f>IFERROR(INDEX(MgAmenDegC,MATCH(SUBSTITUTE($H1877,"*","-"),MgAmenClave,0)),"No aplica")</f>
        <v/>
      </c>
      <c r="Q1877" s="29">
        <f>IFERROR(VLOOKUP(K1877,MgValor,2,0)*VLOOKUP(N1877,MgDeg,2,0),0)</f>
        <v/>
      </c>
      <c r="R1877" s="29">
        <f>IFERROR(VLOOKUP(L1877,MgValor,2,0)*VLOOKUP(O1877,MgDeg,2,0),0)</f>
        <v/>
      </c>
      <c r="S1877" s="29">
        <f>IFERROR(VLOOKUP(M1877,MgValor,2,0)*VLOOKUP(P1877,MgDeg,2,0),0)</f>
        <v/>
      </c>
      <c r="T1877" s="30">
        <f>MAX(Q1877:S1877)</f>
        <v/>
      </c>
      <c r="U1877" s="28">
        <f>IFERROR(LOOKUP(T1877,{0;0.5;1.5;3;4.5},{"Despreciable";"Bajo";"Medio";"Alto";"Muy alto"}),"")</f>
        <v/>
      </c>
      <c r="V1877" s="13">
        <f>IFERROR(INDEX(MgAmenFrec,MATCH(SUBSTITUTE($H1877,"*","-"),MgAmenClave,0)),"")</f>
        <v/>
      </c>
      <c r="W1877" s="28">
        <f>IFERROR(LOOKUP(X1877,{0;0.01;0.1;1;10;100},{"Muy baja";"Muy baja";"Baja";"Media";"Alta";"Muy alta"}),"")</f>
        <v/>
      </c>
      <c r="X1877" s="31">
        <f>IFERROR(VLOOKUP(V1877,MgFrec,2,0),0)</f>
        <v/>
      </c>
      <c r="Y1877" s="30">
        <f>T1877*X1877</f>
        <v/>
      </c>
      <c r="Z1877" s="28">
        <f>IFERROR(LOOKUP(Y1877,{0;0.5;5;25},{"Bajo";"Medio";"Alto";"Crítico"}),"")</f>
        <v/>
      </c>
      <c r="AA1877" s="64">
        <f>IF(T1877&gt;=3,IF(X1877&gt;=1,"Zona 1 — Crítica: impacto alto y ocurre al menos una vez al año","Zona 4 — Catastrófica poco probable: impacto alto pero excepcional"),IF(AND(T1877&lt;1.5,X1877&lt;1),"Zona 3 — Asumible: impacto bajo y muy poco frecuente","Zona 2 — Atención: riesgo intermedio"))</f>
        <v/>
      </c>
      <c r="AB1877" s="64">
        <f>IFERROR(INDEX(MgAmenCtrl,MATCH(SUBSTITUTE($H1877,"*","-"),MgAmenClave,0)),"")</f>
        <v/>
      </c>
      <c r="AC1877" s="20" t="n"/>
      <c r="AD1877" s="31">
        <f>IFERROR($X1877*(1-IF($AC1877="",$AL1877,VLOOKUP($AC1877,MgMad,2,0))),"")</f>
        <v/>
      </c>
      <c r="AE1877" s="28">
        <f>IFERROR(LOOKUP(AD1877,{0;0.01;0.1;1;10;100},{"Muy baja";"Muy baja";"Baja";"Media";"Alta";"Muy alta"}),"")</f>
        <v/>
      </c>
      <c r="AF1877" s="30">
        <f>T1877*AD1877</f>
        <v/>
      </c>
      <c r="AG1877" s="28">
        <f>IFERROR(LOOKUP(AF1877,{0;0.5;5;25},{"Bajo";"Medio";"Alto";"Crítico"}),"")</f>
        <v/>
      </c>
      <c r="AH1877" s="28">
        <f>IF(AG1877="","",IF(OR(AG1877="Crítico",AG1877="Alto"),"Mitigar",IF(AG1877="Medio","Mitigar","Aceptar y monitorear")))</f>
        <v/>
      </c>
      <c r="AI1877" s="21" t="n"/>
      <c r="AJ1877" s="21" t="n"/>
      <c r="AK1877" s="20" t="n"/>
      <c r="AL1877" s="77">
        <f>IFERROR(INDEX(MgAmenEfic,MATCH(SUBSTITUTE($H1877,"*","-"),MgAmenClave,0)),0)</f>
        <v/>
      </c>
    </row>
    <row r="1878" hidden="1" ht="45" customHeight="1" s="54">
      <c r="B1878" s="59" t="inlineStr">
        <is>
          <t>R-1873</t>
        </is>
      </c>
      <c r="C1878" s="59" t="inlineStr">
        <is>
          <t>COM-14</t>
        </is>
      </c>
      <c r="D1878" s="64">
        <f>IFERROR(INDEX(MgNombre,MATCH($C1878,MgActId,0)),"")</f>
        <v/>
      </c>
      <c r="E1878" s="64">
        <f>IFERROR(INDEX(MgProceso,MATCH($C1878,MgActId,0)),"")</f>
        <v/>
      </c>
      <c r="F1878" s="64">
        <f>IFERROR(INDEX(MgTipo,MATCH($C1878,MgActId,0)),"")</f>
        <v/>
      </c>
      <c r="G1878" s="64">
        <f>IFERROR(INDEX(MgSubtipo,MATCH($C1878,MgActId,0)),"")</f>
        <v/>
      </c>
      <c r="H1878" s="59" t="inlineStr">
        <is>
          <t>A.10</t>
        </is>
      </c>
      <c r="I1878" s="64">
        <f>IFERROR(INDEX(MgAmenNombre,MATCH(SUBSTITUTE($H1878,"*","-"),MgAmenClave,0)),"")</f>
        <v/>
      </c>
      <c r="J1878" s="28">
        <f>IFERROR(INDEX(MgAmenGrupo,MATCH(SUBSTITUTE($H1878,"*","-"),MgAmenClave,0)),"")</f>
        <v/>
      </c>
      <c r="K1878" s="64">
        <f>IFERROR(INDEX('1. Matriz de Activos'!$Q$6:$Q$239,MATCH($C1878,MgActId,0)),"")</f>
        <v/>
      </c>
      <c r="L1878" s="64">
        <f>IFERROR(INDEX('1. Matriz de Activos'!$R$6:$R$239,MATCH($C1878,MgActId,0)),"")</f>
        <v/>
      </c>
      <c r="M1878" s="64">
        <f>IFERROR(INDEX('1. Matriz de Activos'!$S$6:$S$239,MATCH($C1878,MgActId,0)),"")</f>
        <v/>
      </c>
      <c r="N1878" s="28">
        <f>IFERROR(INDEX(MgAmenDegD,MATCH(SUBSTITUTE($H1878,"*","-"),MgAmenClave,0)),"No aplica")</f>
        <v/>
      </c>
      <c r="O1878" s="28">
        <f>IFERROR(INDEX(MgAmenDegI,MATCH(SUBSTITUTE($H1878,"*","-"),MgAmenClave,0)),"No aplica")</f>
        <v/>
      </c>
      <c r="P1878" s="28">
        <f>IFERROR(INDEX(MgAmenDegC,MATCH(SUBSTITUTE($H1878,"*","-"),MgAmenClave,0)),"No aplica")</f>
        <v/>
      </c>
      <c r="Q1878" s="29">
        <f>IFERROR(VLOOKUP(K1878,MgValor,2,0)*VLOOKUP(N1878,MgDeg,2,0),0)</f>
        <v/>
      </c>
      <c r="R1878" s="29">
        <f>IFERROR(VLOOKUP(L1878,MgValor,2,0)*VLOOKUP(O1878,MgDeg,2,0),0)</f>
        <v/>
      </c>
      <c r="S1878" s="29">
        <f>IFERROR(VLOOKUP(M1878,MgValor,2,0)*VLOOKUP(P1878,MgDeg,2,0),0)</f>
        <v/>
      </c>
      <c r="T1878" s="30">
        <f>MAX(Q1878:S1878)</f>
        <v/>
      </c>
      <c r="U1878" s="28">
        <f>IFERROR(LOOKUP(T1878,{0;0.5;1.5;3;4.5},{"Despreciable";"Bajo";"Medio";"Alto";"Muy alto"}),"")</f>
        <v/>
      </c>
      <c r="V1878" s="13">
        <f>IFERROR(INDEX(MgAmenFrec,MATCH(SUBSTITUTE($H1878,"*","-"),MgAmenClave,0)),"")</f>
        <v/>
      </c>
      <c r="W1878" s="28">
        <f>IFERROR(LOOKUP(X1878,{0;0.01;0.1;1;10;100},{"Muy baja";"Muy baja";"Baja";"Media";"Alta";"Muy alta"}),"")</f>
        <v/>
      </c>
      <c r="X1878" s="31">
        <f>IFERROR(VLOOKUP(V1878,MgFrec,2,0),0)</f>
        <v/>
      </c>
      <c r="Y1878" s="30">
        <f>T1878*X1878</f>
        <v/>
      </c>
      <c r="Z1878" s="28">
        <f>IFERROR(LOOKUP(Y1878,{0;0.5;5;25},{"Bajo";"Medio";"Alto";"Crítico"}),"")</f>
        <v/>
      </c>
      <c r="AA1878" s="64">
        <f>IF(T1878&gt;=3,IF(X1878&gt;=1,"Zona 1 — Crítica: impacto alto y ocurre al menos una vez al año","Zona 4 — Catastrófica poco probable: impacto alto pero excepcional"),IF(AND(T1878&lt;1.5,X1878&lt;1),"Zona 3 — Asumible: impacto bajo y muy poco frecuente","Zona 2 — Atención: riesgo intermedio"))</f>
        <v/>
      </c>
      <c r="AB1878" s="64">
        <f>IFERROR(INDEX(MgAmenCtrl,MATCH(SUBSTITUTE($H1878,"*","-"),MgAmenClave,0)),"")</f>
        <v/>
      </c>
      <c r="AC1878" s="20" t="n"/>
      <c r="AD1878" s="31">
        <f>IFERROR($X1878*(1-IF($AC1878="",$AL1878,VLOOKUP($AC1878,MgMad,2,0))),"")</f>
        <v/>
      </c>
      <c r="AE1878" s="28">
        <f>IFERROR(LOOKUP(AD1878,{0;0.01;0.1;1;10;100},{"Muy baja";"Muy baja";"Baja";"Media";"Alta";"Muy alta"}),"")</f>
        <v/>
      </c>
      <c r="AF1878" s="30">
        <f>T1878*AD1878</f>
        <v/>
      </c>
      <c r="AG1878" s="28">
        <f>IFERROR(LOOKUP(AF1878,{0;0.5;5;25},{"Bajo";"Medio";"Alto";"Crítico"}),"")</f>
        <v/>
      </c>
      <c r="AH1878" s="28">
        <f>IF(AG1878="","",IF(OR(AG1878="Crítico",AG1878="Alto"),"Mitigar",IF(AG1878="Medio","Mitigar","Aceptar y monitorear")))</f>
        <v/>
      </c>
      <c r="AI1878" s="21" t="n"/>
      <c r="AJ1878" s="21" t="n"/>
      <c r="AK1878" s="20" t="n"/>
      <c r="AL1878" s="77">
        <f>IFERROR(INDEX(MgAmenEfic,MATCH(SUBSTITUTE($H1878,"*","-"),MgAmenClave,0)),0)</f>
        <v/>
      </c>
    </row>
    <row r="1879" hidden="1" ht="120" customHeight="1" s="54">
      <c r="B1879" s="59" t="inlineStr">
        <is>
          <t>R-1874</t>
        </is>
      </c>
      <c r="C1879" s="59" t="inlineStr">
        <is>
          <t>COM-14</t>
        </is>
      </c>
      <c r="D1879" s="64">
        <f>IFERROR(INDEX(MgNombre,MATCH($C1879,MgActId,0)),"")</f>
        <v/>
      </c>
      <c r="E1879" s="64">
        <f>IFERROR(INDEX(MgProceso,MATCH($C1879,MgActId,0)),"")</f>
        <v/>
      </c>
      <c r="F1879" s="64">
        <f>IFERROR(INDEX(MgTipo,MATCH($C1879,MgActId,0)),"")</f>
        <v/>
      </c>
      <c r="G1879" s="64">
        <f>IFERROR(INDEX(MgSubtipo,MATCH($C1879,MgActId,0)),"")</f>
        <v/>
      </c>
      <c r="H1879" s="59" t="inlineStr">
        <is>
          <t>A.11</t>
        </is>
      </c>
      <c r="I1879" s="64">
        <f>IFERROR(INDEX(MgAmenNombre,MATCH(SUBSTITUTE($H1879,"*","-"),MgAmenClave,0)),"")</f>
        <v/>
      </c>
      <c r="J1879" s="28">
        <f>IFERROR(INDEX(MgAmenGrupo,MATCH(SUBSTITUTE($H1879,"*","-"),MgAmenClave,0)),"")</f>
        <v/>
      </c>
      <c r="K1879" s="64">
        <f>IFERROR(INDEX('1. Matriz de Activos'!$Q$6:$Q$239,MATCH($C1879,MgActId,0)),"")</f>
        <v/>
      </c>
      <c r="L1879" s="64">
        <f>IFERROR(INDEX('1. Matriz de Activos'!$R$6:$R$239,MATCH($C1879,MgActId,0)),"")</f>
        <v/>
      </c>
      <c r="M1879" s="64">
        <f>IFERROR(INDEX('1. Matriz de Activos'!$S$6:$S$239,MATCH($C1879,MgActId,0)),"")</f>
        <v/>
      </c>
      <c r="N1879" s="28">
        <f>IFERROR(INDEX(MgAmenDegD,MATCH(SUBSTITUTE($H1879,"*","-"),MgAmenClave,0)),"No aplica")</f>
        <v/>
      </c>
      <c r="O1879" s="28">
        <f>IFERROR(INDEX(MgAmenDegI,MATCH(SUBSTITUTE($H1879,"*","-"),MgAmenClave,0)),"No aplica")</f>
        <v/>
      </c>
      <c r="P1879" s="28">
        <f>IFERROR(INDEX(MgAmenDegC,MATCH(SUBSTITUTE($H1879,"*","-"),MgAmenClave,0)),"No aplica")</f>
        <v/>
      </c>
      <c r="Q1879" s="29">
        <f>IFERROR(VLOOKUP(K1879,MgValor,2,0)*VLOOKUP(N1879,MgDeg,2,0),0)</f>
        <v/>
      </c>
      <c r="R1879" s="29">
        <f>IFERROR(VLOOKUP(L1879,MgValor,2,0)*VLOOKUP(O1879,MgDeg,2,0),0)</f>
        <v/>
      </c>
      <c r="S1879" s="29">
        <f>IFERROR(VLOOKUP(M1879,MgValor,2,0)*VLOOKUP(P1879,MgDeg,2,0),0)</f>
        <v/>
      </c>
      <c r="T1879" s="30">
        <f>MAX(Q1879:S1879)</f>
        <v/>
      </c>
      <c r="U1879" s="28">
        <f>IFERROR(LOOKUP(T1879,{0;0.5;1.5;3;4.5},{"Despreciable";"Bajo";"Medio";"Alto";"Muy alto"}),"")</f>
        <v/>
      </c>
      <c r="V1879" s="13">
        <f>IFERROR(INDEX(MgAmenFrec,MATCH(SUBSTITUTE($H1879,"*","-"),MgAmenClave,0)),"")</f>
        <v/>
      </c>
      <c r="W1879" s="28">
        <f>IFERROR(LOOKUP(X1879,{0;0.01;0.1;1;10;100},{"Muy baja";"Muy baja";"Baja";"Media";"Alta";"Muy alta"}),"")</f>
        <v/>
      </c>
      <c r="X1879" s="31">
        <f>IFERROR(VLOOKUP(V1879,MgFrec,2,0),0)</f>
        <v/>
      </c>
      <c r="Y1879" s="30">
        <f>T1879*X1879</f>
        <v/>
      </c>
      <c r="Z1879" s="28">
        <f>IFERROR(LOOKUP(Y1879,{0;0.5;5;25},{"Bajo";"Medio";"Alto";"Crítico"}),"")</f>
        <v/>
      </c>
      <c r="AA1879" s="64">
        <f>IF(T1879&gt;=3,IF(X1879&gt;=1,"Zona 1 — Crítica: impacto alto y ocurre al menos una vez al año","Zona 4 — Catastrófica poco probable: impacto alto pero excepcional"),IF(AND(T1879&lt;1.5,X1879&lt;1),"Zona 3 — Asumible: impacto bajo y muy poco frecuente","Zona 2 — Atención: riesgo intermedio"))</f>
        <v/>
      </c>
      <c r="AB1879" s="64">
        <f>IFERROR(INDEX(MgAmenCtrl,MATCH(SUBSTITUTE($H1879,"*","-"),MgAmenClave,0)),"")</f>
        <v/>
      </c>
      <c r="AC1879" s="20" t="n"/>
      <c r="AD1879" s="31">
        <f>IFERROR($X1879*(1-IF($AC1879="",$AL1879,VLOOKUP($AC1879,MgMad,2,0))),"")</f>
        <v/>
      </c>
      <c r="AE1879" s="28">
        <f>IFERROR(LOOKUP(AD1879,{0;0.01;0.1;1;10;100},{"Muy baja";"Muy baja";"Baja";"Media";"Alta";"Muy alta"}),"")</f>
        <v/>
      </c>
      <c r="AF1879" s="30">
        <f>T1879*AD1879</f>
        <v/>
      </c>
      <c r="AG1879" s="28">
        <f>IFERROR(LOOKUP(AF1879,{0;0.5;5;25},{"Bajo";"Medio";"Alto";"Crítico"}),"")</f>
        <v/>
      </c>
      <c r="AH1879" s="28">
        <f>IF(AG1879="","",IF(OR(AG1879="Crítico",AG1879="Alto"),"Mitigar",IF(AG1879="Medio","Mitigar","Aceptar y monitorear")))</f>
        <v/>
      </c>
      <c r="AI1879" s="21" t="n"/>
      <c r="AJ1879" s="21" t="n"/>
      <c r="AK1879" s="20" t="n"/>
      <c r="AL1879" s="77">
        <f>IFERROR(INDEX(MgAmenEfic,MATCH(SUBSTITUTE($H1879,"*","-"),MgAmenClave,0)),0)</f>
        <v/>
      </c>
    </row>
    <row r="1880" hidden="1" ht="60" customHeight="1" s="54">
      <c r="B1880" s="59" t="inlineStr">
        <is>
          <t>R-1875</t>
        </is>
      </c>
      <c r="C1880" s="59" t="inlineStr">
        <is>
          <t>COM-14</t>
        </is>
      </c>
      <c r="D1880" s="64">
        <f>IFERROR(INDEX(MgNombre,MATCH($C1880,MgActId,0)),"")</f>
        <v/>
      </c>
      <c r="E1880" s="64">
        <f>IFERROR(INDEX(MgProceso,MATCH($C1880,MgActId,0)),"")</f>
        <v/>
      </c>
      <c r="F1880" s="64">
        <f>IFERROR(INDEX(MgTipo,MATCH($C1880,MgActId,0)),"")</f>
        <v/>
      </c>
      <c r="G1880" s="64">
        <f>IFERROR(INDEX(MgSubtipo,MATCH($C1880,MgActId,0)),"")</f>
        <v/>
      </c>
      <c r="H1880" s="59" t="inlineStr">
        <is>
          <t>A.15</t>
        </is>
      </c>
      <c r="I1880" s="64">
        <f>IFERROR(INDEX(MgAmenNombre,MATCH(SUBSTITUTE($H1880,"*","-"),MgAmenClave,0)),"")</f>
        <v/>
      </c>
      <c r="J1880" s="28">
        <f>IFERROR(INDEX(MgAmenGrupo,MATCH(SUBSTITUTE($H1880,"*","-"),MgAmenClave,0)),"")</f>
        <v/>
      </c>
      <c r="K1880" s="64">
        <f>IFERROR(INDEX('1. Matriz de Activos'!$Q$6:$Q$239,MATCH($C1880,MgActId,0)),"")</f>
        <v/>
      </c>
      <c r="L1880" s="64">
        <f>IFERROR(INDEX('1. Matriz de Activos'!$R$6:$R$239,MATCH($C1880,MgActId,0)),"")</f>
        <v/>
      </c>
      <c r="M1880" s="64">
        <f>IFERROR(INDEX('1. Matriz de Activos'!$S$6:$S$239,MATCH($C1880,MgActId,0)),"")</f>
        <v/>
      </c>
      <c r="N1880" s="28">
        <f>IFERROR(INDEX(MgAmenDegD,MATCH(SUBSTITUTE($H1880,"*","-"),MgAmenClave,0)),"No aplica")</f>
        <v/>
      </c>
      <c r="O1880" s="28">
        <f>IFERROR(INDEX(MgAmenDegI,MATCH(SUBSTITUTE($H1880,"*","-"),MgAmenClave,0)),"No aplica")</f>
        <v/>
      </c>
      <c r="P1880" s="28">
        <f>IFERROR(INDEX(MgAmenDegC,MATCH(SUBSTITUTE($H1880,"*","-"),MgAmenClave,0)),"No aplica")</f>
        <v/>
      </c>
      <c r="Q1880" s="29">
        <f>IFERROR(VLOOKUP(K1880,MgValor,2,0)*VLOOKUP(N1880,MgDeg,2,0),0)</f>
        <v/>
      </c>
      <c r="R1880" s="29">
        <f>IFERROR(VLOOKUP(L1880,MgValor,2,0)*VLOOKUP(O1880,MgDeg,2,0),0)</f>
        <v/>
      </c>
      <c r="S1880" s="29">
        <f>IFERROR(VLOOKUP(M1880,MgValor,2,0)*VLOOKUP(P1880,MgDeg,2,0),0)</f>
        <v/>
      </c>
      <c r="T1880" s="30">
        <f>MAX(Q1880:S1880)</f>
        <v/>
      </c>
      <c r="U1880" s="28">
        <f>IFERROR(LOOKUP(T1880,{0;0.5;1.5;3;4.5},{"Despreciable";"Bajo";"Medio";"Alto";"Muy alto"}),"")</f>
        <v/>
      </c>
      <c r="V1880" s="13">
        <f>IFERROR(INDEX(MgAmenFrec,MATCH(SUBSTITUTE($H1880,"*","-"),MgAmenClave,0)),"")</f>
        <v/>
      </c>
      <c r="W1880" s="28">
        <f>IFERROR(LOOKUP(X1880,{0;0.01;0.1;1;10;100},{"Muy baja";"Muy baja";"Baja";"Media";"Alta";"Muy alta"}),"")</f>
        <v/>
      </c>
      <c r="X1880" s="31">
        <f>IFERROR(VLOOKUP(V1880,MgFrec,2,0),0)</f>
        <v/>
      </c>
      <c r="Y1880" s="30">
        <f>T1880*X1880</f>
        <v/>
      </c>
      <c r="Z1880" s="28">
        <f>IFERROR(LOOKUP(Y1880,{0;0.5;5;25},{"Bajo";"Medio";"Alto";"Crítico"}),"")</f>
        <v/>
      </c>
      <c r="AA1880" s="64">
        <f>IF(T1880&gt;=3,IF(X1880&gt;=1,"Zona 1 — Crítica: impacto alto y ocurre al menos una vez al año","Zona 4 — Catastrófica poco probable: impacto alto pero excepcional"),IF(AND(T1880&lt;1.5,X1880&lt;1),"Zona 3 — Asumible: impacto bajo y muy poco frecuente","Zona 2 — Atención: riesgo intermedio"))</f>
        <v/>
      </c>
      <c r="AB1880" s="64">
        <f>IFERROR(INDEX(MgAmenCtrl,MATCH(SUBSTITUTE($H1880,"*","-"),MgAmenClave,0)),"")</f>
        <v/>
      </c>
      <c r="AC1880" s="20" t="n"/>
      <c r="AD1880" s="31">
        <f>IFERROR($X1880*(1-IF($AC1880="",$AL1880,VLOOKUP($AC1880,MgMad,2,0))),"")</f>
        <v/>
      </c>
      <c r="AE1880" s="28">
        <f>IFERROR(LOOKUP(AD1880,{0;0.01;0.1;1;10;100},{"Muy baja";"Muy baja";"Baja";"Media";"Alta";"Muy alta"}),"")</f>
        <v/>
      </c>
      <c r="AF1880" s="30">
        <f>T1880*AD1880</f>
        <v/>
      </c>
      <c r="AG1880" s="28">
        <f>IFERROR(LOOKUP(AF1880,{0;0.5;5;25},{"Bajo";"Medio";"Alto";"Crítico"}),"")</f>
        <v/>
      </c>
      <c r="AH1880" s="28">
        <f>IF(AG1880="","",IF(OR(AG1880="Crítico",AG1880="Alto"),"Mitigar",IF(AG1880="Medio","Mitigar","Aceptar y monitorear")))</f>
        <v/>
      </c>
      <c r="AI1880" s="21" t="n"/>
      <c r="AJ1880" s="21" t="n"/>
      <c r="AK1880" s="20" t="n"/>
      <c r="AL1880" s="77">
        <f>IFERROR(INDEX(MgAmenEfic,MATCH(SUBSTITUTE($H1880,"*","-"),MgAmenClave,0)),0)</f>
        <v/>
      </c>
    </row>
    <row r="1881" hidden="1" ht="60" customHeight="1" s="54">
      <c r="B1881" s="59" t="inlineStr">
        <is>
          <t>R-1876</t>
        </is>
      </c>
      <c r="C1881" s="59" t="inlineStr">
        <is>
          <t>COM-14</t>
        </is>
      </c>
      <c r="D1881" s="64">
        <f>IFERROR(INDEX(MgNombre,MATCH($C1881,MgActId,0)),"")</f>
        <v/>
      </c>
      <c r="E1881" s="64">
        <f>IFERROR(INDEX(MgProceso,MATCH($C1881,MgActId,0)),"")</f>
        <v/>
      </c>
      <c r="F1881" s="64">
        <f>IFERROR(INDEX(MgTipo,MATCH($C1881,MgActId,0)),"")</f>
        <v/>
      </c>
      <c r="G1881" s="64">
        <f>IFERROR(INDEX(MgSubtipo,MATCH($C1881,MgActId,0)),"")</f>
        <v/>
      </c>
      <c r="H1881" s="59" t="inlineStr">
        <is>
          <t>A.18</t>
        </is>
      </c>
      <c r="I1881" s="64">
        <f>IFERROR(INDEX(MgAmenNombre,MATCH(SUBSTITUTE($H1881,"*","-"),MgAmenClave,0)),"")</f>
        <v/>
      </c>
      <c r="J1881" s="28">
        <f>IFERROR(INDEX(MgAmenGrupo,MATCH(SUBSTITUTE($H1881,"*","-"),MgAmenClave,0)),"")</f>
        <v/>
      </c>
      <c r="K1881" s="64">
        <f>IFERROR(INDEX('1. Matriz de Activos'!$Q$6:$Q$239,MATCH($C1881,MgActId,0)),"")</f>
        <v/>
      </c>
      <c r="L1881" s="64">
        <f>IFERROR(INDEX('1. Matriz de Activos'!$R$6:$R$239,MATCH($C1881,MgActId,0)),"")</f>
        <v/>
      </c>
      <c r="M1881" s="64">
        <f>IFERROR(INDEX('1. Matriz de Activos'!$S$6:$S$239,MATCH($C1881,MgActId,0)),"")</f>
        <v/>
      </c>
      <c r="N1881" s="28">
        <f>IFERROR(INDEX(MgAmenDegD,MATCH(SUBSTITUTE($H1881,"*","-"),MgAmenClave,0)),"No aplica")</f>
        <v/>
      </c>
      <c r="O1881" s="28">
        <f>IFERROR(INDEX(MgAmenDegI,MATCH(SUBSTITUTE($H1881,"*","-"),MgAmenClave,0)),"No aplica")</f>
        <v/>
      </c>
      <c r="P1881" s="28">
        <f>IFERROR(INDEX(MgAmenDegC,MATCH(SUBSTITUTE($H1881,"*","-"),MgAmenClave,0)),"No aplica")</f>
        <v/>
      </c>
      <c r="Q1881" s="29">
        <f>IFERROR(VLOOKUP(K1881,MgValor,2,0)*VLOOKUP(N1881,MgDeg,2,0),0)</f>
        <v/>
      </c>
      <c r="R1881" s="29">
        <f>IFERROR(VLOOKUP(L1881,MgValor,2,0)*VLOOKUP(O1881,MgDeg,2,0),0)</f>
        <v/>
      </c>
      <c r="S1881" s="29">
        <f>IFERROR(VLOOKUP(M1881,MgValor,2,0)*VLOOKUP(P1881,MgDeg,2,0),0)</f>
        <v/>
      </c>
      <c r="T1881" s="30">
        <f>MAX(Q1881:S1881)</f>
        <v/>
      </c>
      <c r="U1881" s="28">
        <f>IFERROR(LOOKUP(T1881,{0;0.5;1.5;3;4.5},{"Despreciable";"Bajo";"Medio";"Alto";"Muy alto"}),"")</f>
        <v/>
      </c>
      <c r="V1881" s="13">
        <f>IFERROR(INDEX(MgAmenFrec,MATCH(SUBSTITUTE($H1881,"*","-"),MgAmenClave,0)),"")</f>
        <v/>
      </c>
      <c r="W1881" s="28">
        <f>IFERROR(LOOKUP(X1881,{0;0.01;0.1;1;10;100},{"Muy baja";"Muy baja";"Baja";"Media";"Alta";"Muy alta"}),"")</f>
        <v/>
      </c>
      <c r="X1881" s="31">
        <f>IFERROR(VLOOKUP(V1881,MgFrec,2,0),0)</f>
        <v/>
      </c>
      <c r="Y1881" s="30">
        <f>T1881*X1881</f>
        <v/>
      </c>
      <c r="Z1881" s="28">
        <f>IFERROR(LOOKUP(Y1881,{0;0.5;5;25},{"Bajo";"Medio";"Alto";"Crítico"}),"")</f>
        <v/>
      </c>
      <c r="AA1881" s="64">
        <f>IF(T1881&gt;=3,IF(X1881&gt;=1,"Zona 1 — Crítica: impacto alto y ocurre al menos una vez al año","Zona 4 — Catastrófica poco probable: impacto alto pero excepcional"),IF(AND(T1881&lt;1.5,X1881&lt;1),"Zona 3 — Asumible: impacto bajo y muy poco frecuente","Zona 2 — Atención: riesgo intermedio"))</f>
        <v/>
      </c>
      <c r="AB1881" s="64">
        <f>IFERROR(INDEX(MgAmenCtrl,MATCH(SUBSTITUTE($H1881,"*","-"),MgAmenClave,0)),"")</f>
        <v/>
      </c>
      <c r="AC1881" s="20" t="n"/>
      <c r="AD1881" s="31">
        <f>IFERROR($X1881*(1-IF($AC1881="",$AL1881,VLOOKUP($AC1881,MgMad,2,0))),"")</f>
        <v/>
      </c>
      <c r="AE1881" s="28">
        <f>IFERROR(LOOKUP(AD1881,{0;0.01;0.1;1;10;100},{"Muy baja";"Muy baja";"Baja";"Media";"Alta";"Muy alta"}),"")</f>
        <v/>
      </c>
      <c r="AF1881" s="30">
        <f>T1881*AD1881</f>
        <v/>
      </c>
      <c r="AG1881" s="28">
        <f>IFERROR(LOOKUP(AF1881,{0;0.5;5;25},{"Bajo";"Medio";"Alto";"Crítico"}),"")</f>
        <v/>
      </c>
      <c r="AH1881" s="28">
        <f>IF(AG1881="","",IF(OR(AG1881="Crítico",AG1881="Alto"),"Mitigar",IF(AG1881="Medio","Mitigar","Aceptar y monitorear")))</f>
        <v/>
      </c>
      <c r="AI1881" s="21" t="n"/>
      <c r="AJ1881" s="21" t="n"/>
      <c r="AK1881" s="20" t="n"/>
      <c r="AL1881" s="77">
        <f>IFERROR(INDEX(MgAmenEfic,MATCH(SUBSTITUTE($H1881,"*","-"),MgAmenClave,0)),0)</f>
        <v/>
      </c>
    </row>
    <row r="1882" hidden="1" ht="120" customHeight="1" s="54">
      <c r="B1882" s="59" t="inlineStr">
        <is>
          <t>R-1877</t>
        </is>
      </c>
      <c r="C1882" s="59" t="inlineStr">
        <is>
          <t>COM-14</t>
        </is>
      </c>
      <c r="D1882" s="64">
        <f>IFERROR(INDEX(MgNombre,MATCH($C1882,MgActId,0)),"")</f>
        <v/>
      </c>
      <c r="E1882" s="64">
        <f>IFERROR(INDEX(MgProceso,MATCH($C1882,MgActId,0)),"")</f>
        <v/>
      </c>
      <c r="F1882" s="64">
        <f>IFERROR(INDEX(MgTipo,MATCH($C1882,MgActId,0)),"")</f>
        <v/>
      </c>
      <c r="G1882" s="64">
        <f>IFERROR(INDEX(MgSubtipo,MATCH($C1882,MgActId,0)),"")</f>
        <v/>
      </c>
      <c r="H1882" s="59" t="inlineStr">
        <is>
          <t>A.19</t>
        </is>
      </c>
      <c r="I1882" s="64">
        <f>IFERROR(INDEX(MgAmenNombre,MATCH(SUBSTITUTE($H1882,"*","-"),MgAmenClave,0)),"")</f>
        <v/>
      </c>
      <c r="J1882" s="28">
        <f>IFERROR(INDEX(MgAmenGrupo,MATCH(SUBSTITUTE($H1882,"*","-"),MgAmenClave,0)),"")</f>
        <v/>
      </c>
      <c r="K1882" s="64">
        <f>IFERROR(INDEX('1. Matriz de Activos'!$Q$6:$Q$239,MATCH($C1882,MgActId,0)),"")</f>
        <v/>
      </c>
      <c r="L1882" s="64">
        <f>IFERROR(INDEX('1. Matriz de Activos'!$R$6:$R$239,MATCH($C1882,MgActId,0)),"")</f>
        <v/>
      </c>
      <c r="M1882" s="64">
        <f>IFERROR(INDEX('1. Matriz de Activos'!$S$6:$S$239,MATCH($C1882,MgActId,0)),"")</f>
        <v/>
      </c>
      <c r="N1882" s="28">
        <f>IFERROR(INDEX(MgAmenDegD,MATCH(SUBSTITUTE($H1882,"*","-"),MgAmenClave,0)),"No aplica")</f>
        <v/>
      </c>
      <c r="O1882" s="28">
        <f>IFERROR(INDEX(MgAmenDegI,MATCH(SUBSTITUTE($H1882,"*","-"),MgAmenClave,0)),"No aplica")</f>
        <v/>
      </c>
      <c r="P1882" s="28">
        <f>IFERROR(INDEX(MgAmenDegC,MATCH(SUBSTITUTE($H1882,"*","-"),MgAmenClave,0)),"No aplica")</f>
        <v/>
      </c>
      <c r="Q1882" s="29">
        <f>IFERROR(VLOOKUP(K1882,MgValor,2,0)*VLOOKUP(N1882,MgDeg,2,0),0)</f>
        <v/>
      </c>
      <c r="R1882" s="29">
        <f>IFERROR(VLOOKUP(L1882,MgValor,2,0)*VLOOKUP(O1882,MgDeg,2,0),0)</f>
        <v/>
      </c>
      <c r="S1882" s="29">
        <f>IFERROR(VLOOKUP(M1882,MgValor,2,0)*VLOOKUP(P1882,MgDeg,2,0),0)</f>
        <v/>
      </c>
      <c r="T1882" s="30">
        <f>MAX(Q1882:S1882)</f>
        <v/>
      </c>
      <c r="U1882" s="28">
        <f>IFERROR(LOOKUP(T1882,{0;0.5;1.5;3;4.5},{"Despreciable";"Bajo";"Medio";"Alto";"Muy alto"}),"")</f>
        <v/>
      </c>
      <c r="V1882" s="13">
        <f>IFERROR(INDEX(MgAmenFrec,MATCH(SUBSTITUTE($H1882,"*","-"),MgAmenClave,0)),"")</f>
        <v/>
      </c>
      <c r="W1882" s="28">
        <f>IFERROR(LOOKUP(X1882,{0;0.01;0.1;1;10;100},{"Muy baja";"Muy baja";"Baja";"Media";"Alta";"Muy alta"}),"")</f>
        <v/>
      </c>
      <c r="X1882" s="31">
        <f>IFERROR(VLOOKUP(V1882,MgFrec,2,0),0)</f>
        <v/>
      </c>
      <c r="Y1882" s="30">
        <f>T1882*X1882</f>
        <v/>
      </c>
      <c r="Z1882" s="28">
        <f>IFERROR(LOOKUP(Y1882,{0;0.5;5;25},{"Bajo";"Medio";"Alto";"Crítico"}),"")</f>
        <v/>
      </c>
      <c r="AA1882" s="64">
        <f>IF(T1882&gt;=3,IF(X1882&gt;=1,"Zona 1 — Crítica: impacto alto y ocurre al menos una vez al año","Zona 4 — Catastrófica poco probable: impacto alto pero excepcional"),IF(AND(T1882&lt;1.5,X1882&lt;1),"Zona 3 — Asumible: impacto bajo y muy poco frecuente","Zona 2 — Atención: riesgo intermedio"))</f>
        <v/>
      </c>
      <c r="AB1882" s="64">
        <f>IFERROR(INDEX(MgAmenCtrl,MATCH(SUBSTITUTE($H1882,"*","-"),MgAmenClave,0)),"")</f>
        <v/>
      </c>
      <c r="AC1882" s="20" t="n"/>
      <c r="AD1882" s="31">
        <f>IFERROR($X1882*(1-IF($AC1882="",$AL1882,VLOOKUP($AC1882,MgMad,2,0))),"")</f>
        <v/>
      </c>
      <c r="AE1882" s="28">
        <f>IFERROR(LOOKUP(AD1882,{0;0.01;0.1;1;10;100},{"Muy baja";"Muy baja";"Baja";"Media";"Alta";"Muy alta"}),"")</f>
        <v/>
      </c>
      <c r="AF1882" s="30">
        <f>T1882*AD1882</f>
        <v/>
      </c>
      <c r="AG1882" s="28">
        <f>IFERROR(LOOKUP(AF1882,{0;0.5;5;25},{"Bajo";"Medio";"Alto";"Crítico"}),"")</f>
        <v/>
      </c>
      <c r="AH1882" s="28">
        <f>IF(AG1882="","",IF(OR(AG1882="Crítico",AG1882="Alto"),"Mitigar",IF(AG1882="Medio","Mitigar","Aceptar y monitorear")))</f>
        <v/>
      </c>
      <c r="AI1882" s="21" t="n"/>
      <c r="AJ1882" s="21" t="n"/>
      <c r="AK1882" s="20" t="n"/>
      <c r="AL1882" s="77">
        <f>IFERROR(INDEX(MgAmenEfic,MATCH(SUBSTITUTE($H1882,"*","-"),MgAmenClave,0)),0)</f>
        <v/>
      </c>
    </row>
    <row r="1883" hidden="1" ht="135" customHeight="1" s="54">
      <c r="B1883" s="59" t="inlineStr">
        <is>
          <t>R-1878</t>
        </is>
      </c>
      <c r="C1883" s="59" t="inlineStr">
        <is>
          <t>COM-14</t>
        </is>
      </c>
      <c r="D1883" s="64">
        <f>IFERROR(INDEX(MgNombre,MATCH($C1883,MgActId,0)),"")</f>
        <v/>
      </c>
      <c r="E1883" s="64">
        <f>IFERROR(INDEX(MgProceso,MATCH($C1883,MgActId,0)),"")</f>
        <v/>
      </c>
      <c r="F1883" s="64">
        <f>IFERROR(INDEX(MgTipo,MATCH($C1883,MgActId,0)),"")</f>
        <v/>
      </c>
      <c r="G1883" s="64">
        <f>IFERROR(INDEX(MgSubtipo,MATCH($C1883,MgActId,0)),"")</f>
        <v/>
      </c>
      <c r="H1883" s="59" t="inlineStr">
        <is>
          <t>A.22</t>
        </is>
      </c>
      <c r="I1883" s="64">
        <f>IFERROR(INDEX(MgAmenNombre,MATCH(SUBSTITUTE($H1883,"*","-"),MgAmenClave,0)),"")</f>
        <v/>
      </c>
      <c r="J1883" s="28">
        <f>IFERROR(INDEX(MgAmenGrupo,MATCH(SUBSTITUTE($H1883,"*","-"),MgAmenClave,0)),"")</f>
        <v/>
      </c>
      <c r="K1883" s="64">
        <f>IFERROR(INDEX('1. Matriz de Activos'!$Q$6:$Q$239,MATCH($C1883,MgActId,0)),"")</f>
        <v/>
      </c>
      <c r="L1883" s="64">
        <f>IFERROR(INDEX('1. Matriz de Activos'!$R$6:$R$239,MATCH($C1883,MgActId,0)),"")</f>
        <v/>
      </c>
      <c r="M1883" s="64">
        <f>IFERROR(INDEX('1. Matriz de Activos'!$S$6:$S$239,MATCH($C1883,MgActId,0)),"")</f>
        <v/>
      </c>
      <c r="N1883" s="28">
        <f>IFERROR(INDEX(MgAmenDegD,MATCH(SUBSTITUTE($H1883,"*","-"),MgAmenClave,0)),"No aplica")</f>
        <v/>
      </c>
      <c r="O1883" s="28">
        <f>IFERROR(INDEX(MgAmenDegI,MATCH(SUBSTITUTE($H1883,"*","-"),MgAmenClave,0)),"No aplica")</f>
        <v/>
      </c>
      <c r="P1883" s="28">
        <f>IFERROR(INDEX(MgAmenDegC,MATCH(SUBSTITUTE($H1883,"*","-"),MgAmenClave,0)),"No aplica")</f>
        <v/>
      </c>
      <c r="Q1883" s="29">
        <f>IFERROR(VLOOKUP(K1883,MgValor,2,0)*VLOOKUP(N1883,MgDeg,2,0),0)</f>
        <v/>
      </c>
      <c r="R1883" s="29">
        <f>IFERROR(VLOOKUP(L1883,MgValor,2,0)*VLOOKUP(O1883,MgDeg,2,0),0)</f>
        <v/>
      </c>
      <c r="S1883" s="29">
        <f>IFERROR(VLOOKUP(M1883,MgValor,2,0)*VLOOKUP(P1883,MgDeg,2,0),0)</f>
        <v/>
      </c>
      <c r="T1883" s="30">
        <f>MAX(Q1883:S1883)</f>
        <v/>
      </c>
      <c r="U1883" s="28">
        <f>IFERROR(LOOKUP(T1883,{0;0.5;1.5;3;4.5},{"Despreciable";"Bajo";"Medio";"Alto";"Muy alto"}),"")</f>
        <v/>
      </c>
      <c r="V1883" s="13">
        <f>IFERROR(INDEX(MgAmenFrec,MATCH(SUBSTITUTE($H1883,"*","-"),MgAmenClave,0)),"")</f>
        <v/>
      </c>
      <c r="W1883" s="28">
        <f>IFERROR(LOOKUP(X1883,{0;0.01;0.1;1;10;100},{"Muy baja";"Muy baja";"Baja";"Media";"Alta";"Muy alta"}),"")</f>
        <v/>
      </c>
      <c r="X1883" s="31">
        <f>IFERROR(VLOOKUP(V1883,MgFrec,2,0),0)</f>
        <v/>
      </c>
      <c r="Y1883" s="30">
        <f>T1883*X1883</f>
        <v/>
      </c>
      <c r="Z1883" s="28">
        <f>IFERROR(LOOKUP(Y1883,{0;0.5;5;25},{"Bajo";"Medio";"Alto";"Crítico"}),"")</f>
        <v/>
      </c>
      <c r="AA1883" s="64">
        <f>IF(T1883&gt;=3,IF(X1883&gt;=1,"Zona 1 — Crítica: impacto alto y ocurre al menos una vez al año","Zona 4 — Catastrófica poco probable: impacto alto pero excepcional"),IF(AND(T1883&lt;1.5,X1883&lt;1),"Zona 3 — Asumible: impacto bajo y muy poco frecuente","Zona 2 — Atención: riesgo intermedio"))</f>
        <v/>
      </c>
      <c r="AB1883" s="64">
        <f>IFERROR(INDEX(MgAmenCtrl,MATCH(SUBSTITUTE($H1883,"*","-"),MgAmenClave,0)),"")</f>
        <v/>
      </c>
      <c r="AC1883" s="20" t="n"/>
      <c r="AD1883" s="31">
        <f>IFERROR($X1883*(1-IF($AC1883="",$AL1883,VLOOKUP($AC1883,MgMad,2,0))),"")</f>
        <v/>
      </c>
      <c r="AE1883" s="28">
        <f>IFERROR(LOOKUP(AD1883,{0;0.01;0.1;1;10;100},{"Muy baja";"Muy baja";"Baja";"Media";"Alta";"Muy alta"}),"")</f>
        <v/>
      </c>
      <c r="AF1883" s="30">
        <f>T1883*AD1883</f>
        <v/>
      </c>
      <c r="AG1883" s="28">
        <f>IFERROR(LOOKUP(AF1883,{0;0.5;5;25},{"Bajo";"Medio";"Alto";"Crítico"}),"")</f>
        <v/>
      </c>
      <c r="AH1883" s="28">
        <f>IF(AG1883="","",IF(OR(AG1883="Crítico",AG1883="Alto"),"Mitigar",IF(AG1883="Medio","Mitigar","Aceptar y monitorear")))</f>
        <v/>
      </c>
      <c r="AI1883" s="21" t="n"/>
      <c r="AJ1883" s="21" t="n"/>
      <c r="AK1883" s="20" t="n"/>
      <c r="AL1883" s="77">
        <f>IFERROR(INDEX(MgAmenEfic,MATCH(SUBSTITUTE($H1883,"*","-"),MgAmenClave,0)),0)</f>
        <v/>
      </c>
    </row>
    <row r="1884" hidden="1" ht="75" customHeight="1" s="54">
      <c r="B1884" s="59" t="inlineStr">
        <is>
          <t>R-1879</t>
        </is>
      </c>
      <c r="C1884" s="59" t="inlineStr">
        <is>
          <t>COM-15</t>
        </is>
      </c>
      <c r="D1884" s="64">
        <f>IFERROR(INDEX(MgNombre,MATCH($C1884,MgActId,0)),"")</f>
        <v/>
      </c>
      <c r="E1884" s="64">
        <f>IFERROR(INDEX(MgProceso,MATCH($C1884,MgActId,0)),"")</f>
        <v/>
      </c>
      <c r="F1884" s="64">
        <f>IFERROR(INDEX(MgTipo,MATCH($C1884,MgActId,0)),"")</f>
        <v/>
      </c>
      <c r="G1884" s="64">
        <f>IFERROR(INDEX(MgSubtipo,MATCH($C1884,MgActId,0)),"")</f>
        <v/>
      </c>
      <c r="H1884" s="59" t="inlineStr">
        <is>
          <t>I.5</t>
        </is>
      </c>
      <c r="I1884" s="64">
        <f>IFERROR(INDEX(MgAmenNombre,MATCH(SUBSTITUTE($H1884,"*","-"),MgAmenClave,0)),"")</f>
        <v/>
      </c>
      <c r="J1884" s="28">
        <f>IFERROR(INDEX(MgAmenGrupo,MATCH(SUBSTITUTE($H1884,"*","-"),MgAmenClave,0)),"")</f>
        <v/>
      </c>
      <c r="K1884" s="64">
        <f>IFERROR(INDEX('1. Matriz de Activos'!$Q$6:$Q$239,MATCH($C1884,MgActId,0)),"")</f>
        <v/>
      </c>
      <c r="L1884" s="64">
        <f>IFERROR(INDEX('1. Matriz de Activos'!$R$6:$R$239,MATCH($C1884,MgActId,0)),"")</f>
        <v/>
      </c>
      <c r="M1884" s="64">
        <f>IFERROR(INDEX('1. Matriz de Activos'!$S$6:$S$239,MATCH($C1884,MgActId,0)),"")</f>
        <v/>
      </c>
      <c r="N1884" s="28">
        <f>IFERROR(INDEX(MgAmenDegD,MATCH(SUBSTITUTE($H1884,"*","-"),MgAmenClave,0)),"No aplica")</f>
        <v/>
      </c>
      <c r="O1884" s="28">
        <f>IFERROR(INDEX(MgAmenDegI,MATCH(SUBSTITUTE($H1884,"*","-"),MgAmenClave,0)),"No aplica")</f>
        <v/>
      </c>
      <c r="P1884" s="28">
        <f>IFERROR(INDEX(MgAmenDegC,MATCH(SUBSTITUTE($H1884,"*","-"),MgAmenClave,0)),"No aplica")</f>
        <v/>
      </c>
      <c r="Q1884" s="29">
        <f>IFERROR(VLOOKUP(K1884,MgValor,2,0)*VLOOKUP(N1884,MgDeg,2,0),0)</f>
        <v/>
      </c>
      <c r="R1884" s="29">
        <f>IFERROR(VLOOKUP(L1884,MgValor,2,0)*VLOOKUP(O1884,MgDeg,2,0),0)</f>
        <v/>
      </c>
      <c r="S1884" s="29">
        <f>IFERROR(VLOOKUP(M1884,MgValor,2,0)*VLOOKUP(P1884,MgDeg,2,0),0)</f>
        <v/>
      </c>
      <c r="T1884" s="30">
        <f>MAX(Q1884:S1884)</f>
        <v/>
      </c>
      <c r="U1884" s="28">
        <f>IFERROR(LOOKUP(T1884,{0;0.5;1.5;3;4.5},{"Despreciable";"Bajo";"Medio";"Alto";"Muy alto"}),"")</f>
        <v/>
      </c>
      <c r="V1884" s="13">
        <f>IFERROR(INDEX(MgAmenFrec,MATCH(SUBSTITUTE($H1884,"*","-"),MgAmenClave,0)),"")</f>
        <v/>
      </c>
      <c r="W1884" s="28">
        <f>IFERROR(LOOKUP(X1884,{0;0.01;0.1;1;10;100},{"Muy baja";"Muy baja";"Baja";"Media";"Alta";"Muy alta"}),"")</f>
        <v/>
      </c>
      <c r="X1884" s="31">
        <f>IFERROR(VLOOKUP(V1884,MgFrec,2,0),0)</f>
        <v/>
      </c>
      <c r="Y1884" s="30">
        <f>T1884*X1884</f>
        <v/>
      </c>
      <c r="Z1884" s="28">
        <f>IFERROR(LOOKUP(Y1884,{0;0.5;5;25},{"Bajo";"Medio";"Alto";"Crítico"}),"")</f>
        <v/>
      </c>
      <c r="AA1884" s="64">
        <f>IF(T1884&gt;=3,IF(X1884&gt;=1,"Zona 1 — Crítica: impacto alto y ocurre al menos una vez al año","Zona 4 — Catastrófica poco probable: impacto alto pero excepcional"),IF(AND(T1884&lt;1.5,X1884&lt;1),"Zona 3 — Asumible: impacto bajo y muy poco frecuente","Zona 2 — Atención: riesgo intermedio"))</f>
        <v/>
      </c>
      <c r="AB1884" s="64">
        <f>IFERROR(INDEX(MgAmenCtrl,MATCH(SUBSTITUTE($H1884,"*","-"),MgAmenClave,0)),"")</f>
        <v/>
      </c>
      <c r="AC1884" s="20" t="n"/>
      <c r="AD1884" s="31">
        <f>IFERROR($X1884*(1-IF($AC1884="",$AL1884,VLOOKUP($AC1884,MgMad,2,0))),"")</f>
        <v/>
      </c>
      <c r="AE1884" s="28">
        <f>IFERROR(LOOKUP(AD1884,{0;0.01;0.1;1;10;100},{"Muy baja";"Muy baja";"Baja";"Media";"Alta";"Muy alta"}),"")</f>
        <v/>
      </c>
      <c r="AF1884" s="30">
        <f>T1884*AD1884</f>
        <v/>
      </c>
      <c r="AG1884" s="28">
        <f>IFERROR(LOOKUP(AF1884,{0;0.5;5;25},{"Bajo";"Medio";"Alto";"Crítico"}),"")</f>
        <v/>
      </c>
      <c r="AH1884" s="28">
        <f>IF(AG1884="","",IF(OR(AG1884="Crítico",AG1884="Alto"),"Mitigar",IF(AG1884="Medio","Mitigar","Aceptar y monitorear")))</f>
        <v/>
      </c>
      <c r="AI1884" s="21" t="n"/>
      <c r="AJ1884" s="21" t="n"/>
      <c r="AK1884" s="20" t="n"/>
      <c r="AL1884" s="77">
        <f>IFERROR(INDEX(MgAmenEfic,MATCH(SUBSTITUTE($H1884,"*","-"),MgAmenClave,0)),0)</f>
        <v/>
      </c>
    </row>
    <row r="1885" hidden="1" ht="105" customHeight="1" s="54">
      <c r="B1885" s="59" t="inlineStr">
        <is>
          <t>R-1880</t>
        </is>
      </c>
      <c r="C1885" s="59" t="inlineStr">
        <is>
          <t>COM-15</t>
        </is>
      </c>
      <c r="D1885" s="64">
        <f>IFERROR(INDEX(MgNombre,MATCH($C1885,MgActId,0)),"")</f>
        <v/>
      </c>
      <c r="E1885" s="64">
        <f>IFERROR(INDEX(MgProceso,MATCH($C1885,MgActId,0)),"")</f>
        <v/>
      </c>
      <c r="F1885" s="64">
        <f>IFERROR(INDEX(MgTipo,MATCH($C1885,MgActId,0)),"")</f>
        <v/>
      </c>
      <c r="G1885" s="64">
        <f>IFERROR(INDEX(MgSubtipo,MATCH($C1885,MgActId,0)),"")</f>
        <v/>
      </c>
      <c r="H1885" s="59" t="inlineStr">
        <is>
          <t>E.1</t>
        </is>
      </c>
      <c r="I1885" s="64">
        <f>IFERROR(INDEX(MgAmenNombre,MATCH(SUBSTITUTE($H1885,"*","-"),MgAmenClave,0)),"")</f>
        <v/>
      </c>
      <c r="J1885" s="28">
        <f>IFERROR(INDEX(MgAmenGrupo,MATCH(SUBSTITUTE($H1885,"*","-"),MgAmenClave,0)),"")</f>
        <v/>
      </c>
      <c r="K1885" s="64">
        <f>IFERROR(INDEX('1. Matriz de Activos'!$Q$6:$Q$239,MATCH($C1885,MgActId,0)),"")</f>
        <v/>
      </c>
      <c r="L1885" s="64">
        <f>IFERROR(INDEX('1. Matriz de Activos'!$R$6:$R$239,MATCH($C1885,MgActId,0)),"")</f>
        <v/>
      </c>
      <c r="M1885" s="64">
        <f>IFERROR(INDEX('1. Matriz de Activos'!$S$6:$S$239,MATCH($C1885,MgActId,0)),"")</f>
        <v/>
      </c>
      <c r="N1885" s="28">
        <f>IFERROR(INDEX(MgAmenDegD,MATCH(SUBSTITUTE($H1885,"*","-"),MgAmenClave,0)),"No aplica")</f>
        <v/>
      </c>
      <c r="O1885" s="28">
        <f>IFERROR(INDEX(MgAmenDegI,MATCH(SUBSTITUTE($H1885,"*","-"),MgAmenClave,0)),"No aplica")</f>
        <v/>
      </c>
      <c r="P1885" s="28">
        <f>IFERROR(INDEX(MgAmenDegC,MATCH(SUBSTITUTE($H1885,"*","-"),MgAmenClave,0)),"No aplica")</f>
        <v/>
      </c>
      <c r="Q1885" s="29">
        <f>IFERROR(VLOOKUP(K1885,MgValor,2,0)*VLOOKUP(N1885,MgDeg,2,0),0)</f>
        <v/>
      </c>
      <c r="R1885" s="29">
        <f>IFERROR(VLOOKUP(L1885,MgValor,2,0)*VLOOKUP(O1885,MgDeg,2,0),0)</f>
        <v/>
      </c>
      <c r="S1885" s="29">
        <f>IFERROR(VLOOKUP(M1885,MgValor,2,0)*VLOOKUP(P1885,MgDeg,2,0),0)</f>
        <v/>
      </c>
      <c r="T1885" s="30">
        <f>MAX(Q1885:S1885)</f>
        <v/>
      </c>
      <c r="U1885" s="28">
        <f>IFERROR(LOOKUP(T1885,{0;0.5;1.5;3;4.5},{"Despreciable";"Bajo";"Medio";"Alto";"Muy alto"}),"")</f>
        <v/>
      </c>
      <c r="V1885" s="13">
        <f>IFERROR(INDEX(MgAmenFrec,MATCH(SUBSTITUTE($H1885,"*","-"),MgAmenClave,0)),"")</f>
        <v/>
      </c>
      <c r="W1885" s="28">
        <f>IFERROR(LOOKUP(X1885,{0;0.01;0.1;1;10;100},{"Muy baja";"Muy baja";"Baja";"Media";"Alta";"Muy alta"}),"")</f>
        <v/>
      </c>
      <c r="X1885" s="31">
        <f>IFERROR(VLOOKUP(V1885,MgFrec,2,0),0)</f>
        <v/>
      </c>
      <c r="Y1885" s="30">
        <f>T1885*X1885</f>
        <v/>
      </c>
      <c r="Z1885" s="28">
        <f>IFERROR(LOOKUP(Y1885,{0;0.5;5;25},{"Bajo";"Medio";"Alto";"Crítico"}),"")</f>
        <v/>
      </c>
      <c r="AA1885" s="64">
        <f>IF(T1885&gt;=3,IF(X1885&gt;=1,"Zona 1 — Crítica: impacto alto y ocurre al menos una vez al año","Zona 4 — Catastrófica poco probable: impacto alto pero excepcional"),IF(AND(T1885&lt;1.5,X1885&lt;1),"Zona 3 — Asumible: impacto bajo y muy poco frecuente","Zona 2 — Atención: riesgo intermedio"))</f>
        <v/>
      </c>
      <c r="AB1885" s="64">
        <f>IFERROR(INDEX(MgAmenCtrl,MATCH(SUBSTITUTE($H1885,"*","-"),MgAmenClave,0)),"")</f>
        <v/>
      </c>
      <c r="AC1885" s="20" t="n"/>
      <c r="AD1885" s="31">
        <f>IFERROR($X1885*(1-IF($AC1885="",$AL1885,VLOOKUP($AC1885,MgMad,2,0))),"")</f>
        <v/>
      </c>
      <c r="AE1885" s="28">
        <f>IFERROR(LOOKUP(AD1885,{0;0.01;0.1;1;10;100},{"Muy baja";"Muy baja";"Baja";"Media";"Alta";"Muy alta"}),"")</f>
        <v/>
      </c>
      <c r="AF1885" s="30">
        <f>T1885*AD1885</f>
        <v/>
      </c>
      <c r="AG1885" s="28">
        <f>IFERROR(LOOKUP(AF1885,{0;0.5;5;25},{"Bajo";"Medio";"Alto";"Crítico"}),"")</f>
        <v/>
      </c>
      <c r="AH1885" s="28">
        <f>IF(AG1885="","",IF(OR(AG1885="Crítico",AG1885="Alto"),"Mitigar",IF(AG1885="Medio","Mitigar","Aceptar y monitorear")))</f>
        <v/>
      </c>
      <c r="AI1885" s="21" t="n"/>
      <c r="AJ1885" s="21" t="n"/>
      <c r="AK1885" s="20" t="n"/>
      <c r="AL1885" s="77">
        <f>IFERROR(INDEX(MgAmenEfic,MATCH(SUBSTITUTE($H1885,"*","-"),MgAmenClave,0)),0)</f>
        <v/>
      </c>
    </row>
    <row r="1886" hidden="1" ht="120" customHeight="1" s="54">
      <c r="B1886" s="59" t="inlineStr">
        <is>
          <t>R-1881</t>
        </is>
      </c>
      <c r="C1886" s="59" t="inlineStr">
        <is>
          <t>COM-15</t>
        </is>
      </c>
      <c r="D1886" s="64">
        <f>IFERROR(INDEX(MgNombre,MATCH($C1886,MgActId,0)),"")</f>
        <v/>
      </c>
      <c r="E1886" s="64">
        <f>IFERROR(INDEX(MgProceso,MATCH($C1886,MgActId,0)),"")</f>
        <v/>
      </c>
      <c r="F1886" s="64">
        <f>IFERROR(INDEX(MgTipo,MATCH($C1886,MgActId,0)),"")</f>
        <v/>
      </c>
      <c r="G1886" s="64">
        <f>IFERROR(INDEX(MgSubtipo,MATCH($C1886,MgActId,0)),"")</f>
        <v/>
      </c>
      <c r="H1886" s="59" t="inlineStr">
        <is>
          <t>E.2</t>
        </is>
      </c>
      <c r="I1886" s="64">
        <f>IFERROR(INDEX(MgAmenNombre,MATCH(SUBSTITUTE($H1886,"*","-"),MgAmenClave,0)),"")</f>
        <v/>
      </c>
      <c r="J1886" s="28">
        <f>IFERROR(INDEX(MgAmenGrupo,MATCH(SUBSTITUTE($H1886,"*","-"),MgAmenClave,0)),"")</f>
        <v/>
      </c>
      <c r="K1886" s="64">
        <f>IFERROR(INDEX('1. Matriz de Activos'!$Q$6:$Q$239,MATCH($C1886,MgActId,0)),"")</f>
        <v/>
      </c>
      <c r="L1886" s="64">
        <f>IFERROR(INDEX('1. Matriz de Activos'!$R$6:$R$239,MATCH($C1886,MgActId,0)),"")</f>
        <v/>
      </c>
      <c r="M1886" s="64">
        <f>IFERROR(INDEX('1. Matriz de Activos'!$S$6:$S$239,MATCH($C1886,MgActId,0)),"")</f>
        <v/>
      </c>
      <c r="N1886" s="28">
        <f>IFERROR(INDEX(MgAmenDegD,MATCH(SUBSTITUTE($H1886,"*","-"),MgAmenClave,0)),"No aplica")</f>
        <v/>
      </c>
      <c r="O1886" s="28">
        <f>IFERROR(INDEX(MgAmenDegI,MATCH(SUBSTITUTE($H1886,"*","-"),MgAmenClave,0)),"No aplica")</f>
        <v/>
      </c>
      <c r="P1886" s="28">
        <f>IFERROR(INDEX(MgAmenDegC,MATCH(SUBSTITUTE($H1886,"*","-"),MgAmenClave,0)),"No aplica")</f>
        <v/>
      </c>
      <c r="Q1886" s="29">
        <f>IFERROR(VLOOKUP(K1886,MgValor,2,0)*VLOOKUP(N1886,MgDeg,2,0),0)</f>
        <v/>
      </c>
      <c r="R1886" s="29">
        <f>IFERROR(VLOOKUP(L1886,MgValor,2,0)*VLOOKUP(O1886,MgDeg,2,0),0)</f>
        <v/>
      </c>
      <c r="S1886" s="29">
        <f>IFERROR(VLOOKUP(M1886,MgValor,2,0)*VLOOKUP(P1886,MgDeg,2,0),0)</f>
        <v/>
      </c>
      <c r="T1886" s="30">
        <f>MAX(Q1886:S1886)</f>
        <v/>
      </c>
      <c r="U1886" s="28">
        <f>IFERROR(LOOKUP(T1886,{0;0.5;1.5;3;4.5},{"Despreciable";"Bajo";"Medio";"Alto";"Muy alto"}),"")</f>
        <v/>
      </c>
      <c r="V1886" s="13">
        <f>IFERROR(INDEX(MgAmenFrec,MATCH(SUBSTITUTE($H1886,"*","-"),MgAmenClave,0)),"")</f>
        <v/>
      </c>
      <c r="W1886" s="28">
        <f>IFERROR(LOOKUP(X1886,{0;0.01;0.1;1;10;100},{"Muy baja";"Muy baja";"Baja";"Media";"Alta";"Muy alta"}),"")</f>
        <v/>
      </c>
      <c r="X1886" s="31">
        <f>IFERROR(VLOOKUP(V1886,MgFrec,2,0),0)</f>
        <v/>
      </c>
      <c r="Y1886" s="30">
        <f>T1886*X1886</f>
        <v/>
      </c>
      <c r="Z1886" s="28">
        <f>IFERROR(LOOKUP(Y1886,{0;0.5;5;25},{"Bajo";"Medio";"Alto";"Crítico"}),"")</f>
        <v/>
      </c>
      <c r="AA1886" s="64">
        <f>IF(T1886&gt;=3,IF(X1886&gt;=1,"Zona 1 — Crítica: impacto alto y ocurre al menos una vez al año","Zona 4 — Catastrófica poco probable: impacto alto pero excepcional"),IF(AND(T1886&lt;1.5,X1886&lt;1),"Zona 3 — Asumible: impacto bajo y muy poco frecuente","Zona 2 — Atención: riesgo intermedio"))</f>
        <v/>
      </c>
      <c r="AB1886" s="64">
        <f>IFERROR(INDEX(MgAmenCtrl,MATCH(SUBSTITUTE($H1886,"*","-"),MgAmenClave,0)),"")</f>
        <v/>
      </c>
      <c r="AC1886" s="20" t="n"/>
      <c r="AD1886" s="31">
        <f>IFERROR($X1886*(1-IF($AC1886="",$AL1886,VLOOKUP($AC1886,MgMad,2,0))),"")</f>
        <v/>
      </c>
      <c r="AE1886" s="28">
        <f>IFERROR(LOOKUP(AD1886,{0;0.01;0.1;1;10;100},{"Muy baja";"Muy baja";"Baja";"Media";"Alta";"Muy alta"}),"")</f>
        <v/>
      </c>
      <c r="AF1886" s="30">
        <f>T1886*AD1886</f>
        <v/>
      </c>
      <c r="AG1886" s="28">
        <f>IFERROR(LOOKUP(AF1886,{0;0.5;5;25},{"Bajo";"Medio";"Alto";"Crítico"}),"")</f>
        <v/>
      </c>
      <c r="AH1886" s="28">
        <f>IF(AG1886="","",IF(OR(AG1886="Crítico",AG1886="Alto"),"Mitigar",IF(AG1886="Medio","Mitigar","Aceptar y monitorear")))</f>
        <v/>
      </c>
      <c r="AI1886" s="21" t="n"/>
      <c r="AJ1886" s="21" t="n"/>
      <c r="AK1886" s="20" t="n"/>
      <c r="AL1886" s="77">
        <f>IFERROR(INDEX(MgAmenEfic,MATCH(SUBSTITUTE($H1886,"*","-"),MgAmenClave,0)),0)</f>
        <v/>
      </c>
    </row>
    <row r="1887" hidden="1" ht="75" customHeight="1" s="54">
      <c r="B1887" s="59" t="inlineStr">
        <is>
          <t>R-1882</t>
        </is>
      </c>
      <c r="C1887" s="59" t="inlineStr">
        <is>
          <t>COM-15</t>
        </is>
      </c>
      <c r="D1887" s="64">
        <f>IFERROR(INDEX(MgNombre,MATCH($C1887,MgActId,0)),"")</f>
        <v/>
      </c>
      <c r="E1887" s="64">
        <f>IFERROR(INDEX(MgProceso,MATCH($C1887,MgActId,0)),"")</f>
        <v/>
      </c>
      <c r="F1887" s="64">
        <f>IFERROR(INDEX(MgTipo,MATCH($C1887,MgActId,0)),"")</f>
        <v/>
      </c>
      <c r="G1887" s="64">
        <f>IFERROR(INDEX(MgSubtipo,MATCH($C1887,MgActId,0)),"")</f>
        <v/>
      </c>
      <c r="H1887" s="59" t="inlineStr">
        <is>
          <t>E.8</t>
        </is>
      </c>
      <c r="I1887" s="64">
        <f>IFERROR(INDEX(MgAmenNombre,MATCH(SUBSTITUTE($H1887,"*","-"),MgAmenClave,0)),"")</f>
        <v/>
      </c>
      <c r="J1887" s="28">
        <f>IFERROR(INDEX(MgAmenGrupo,MATCH(SUBSTITUTE($H1887,"*","-"),MgAmenClave,0)),"")</f>
        <v/>
      </c>
      <c r="K1887" s="64">
        <f>IFERROR(INDEX('1. Matriz de Activos'!$Q$6:$Q$239,MATCH($C1887,MgActId,0)),"")</f>
        <v/>
      </c>
      <c r="L1887" s="64">
        <f>IFERROR(INDEX('1. Matriz de Activos'!$R$6:$R$239,MATCH($C1887,MgActId,0)),"")</f>
        <v/>
      </c>
      <c r="M1887" s="64">
        <f>IFERROR(INDEX('1. Matriz de Activos'!$S$6:$S$239,MATCH($C1887,MgActId,0)),"")</f>
        <v/>
      </c>
      <c r="N1887" s="28">
        <f>IFERROR(INDEX(MgAmenDegD,MATCH(SUBSTITUTE($H1887,"*","-"),MgAmenClave,0)),"No aplica")</f>
        <v/>
      </c>
      <c r="O1887" s="28">
        <f>IFERROR(INDEX(MgAmenDegI,MATCH(SUBSTITUTE($H1887,"*","-"),MgAmenClave,0)),"No aplica")</f>
        <v/>
      </c>
      <c r="P1887" s="28">
        <f>IFERROR(INDEX(MgAmenDegC,MATCH(SUBSTITUTE($H1887,"*","-"),MgAmenClave,0)),"No aplica")</f>
        <v/>
      </c>
      <c r="Q1887" s="29">
        <f>IFERROR(VLOOKUP(K1887,MgValor,2,0)*VLOOKUP(N1887,MgDeg,2,0),0)</f>
        <v/>
      </c>
      <c r="R1887" s="29">
        <f>IFERROR(VLOOKUP(L1887,MgValor,2,0)*VLOOKUP(O1887,MgDeg,2,0),0)</f>
        <v/>
      </c>
      <c r="S1887" s="29">
        <f>IFERROR(VLOOKUP(M1887,MgValor,2,0)*VLOOKUP(P1887,MgDeg,2,0),0)</f>
        <v/>
      </c>
      <c r="T1887" s="30">
        <f>MAX(Q1887:S1887)</f>
        <v/>
      </c>
      <c r="U1887" s="28">
        <f>IFERROR(LOOKUP(T1887,{0;0.5;1.5;3;4.5},{"Despreciable";"Bajo";"Medio";"Alto";"Muy alto"}),"")</f>
        <v/>
      </c>
      <c r="V1887" s="13">
        <f>IFERROR(INDEX(MgAmenFrec,MATCH(SUBSTITUTE($H1887,"*","-"),MgAmenClave,0)),"")</f>
        <v/>
      </c>
      <c r="W1887" s="28">
        <f>IFERROR(LOOKUP(X1887,{0;0.01;0.1;1;10;100},{"Muy baja";"Muy baja";"Baja";"Media";"Alta";"Muy alta"}),"")</f>
        <v/>
      </c>
      <c r="X1887" s="31">
        <f>IFERROR(VLOOKUP(V1887,MgFrec,2,0),0)</f>
        <v/>
      </c>
      <c r="Y1887" s="30">
        <f>T1887*X1887</f>
        <v/>
      </c>
      <c r="Z1887" s="28">
        <f>IFERROR(LOOKUP(Y1887,{0;0.5;5;25},{"Bajo";"Medio";"Alto";"Crítico"}),"")</f>
        <v/>
      </c>
      <c r="AA1887" s="64">
        <f>IF(T1887&gt;=3,IF(X1887&gt;=1,"Zona 1 — Crítica: impacto alto y ocurre al menos una vez al año","Zona 4 — Catastrófica poco probable: impacto alto pero excepcional"),IF(AND(T1887&lt;1.5,X1887&lt;1),"Zona 3 — Asumible: impacto bajo y muy poco frecuente","Zona 2 — Atención: riesgo intermedio"))</f>
        <v/>
      </c>
      <c r="AB1887" s="64">
        <f>IFERROR(INDEX(MgAmenCtrl,MATCH(SUBSTITUTE($H1887,"*","-"),MgAmenClave,0)),"")</f>
        <v/>
      </c>
      <c r="AC1887" s="20" t="n"/>
      <c r="AD1887" s="31">
        <f>IFERROR($X1887*(1-IF($AC1887="",$AL1887,VLOOKUP($AC1887,MgMad,2,0))),"")</f>
        <v/>
      </c>
      <c r="AE1887" s="28">
        <f>IFERROR(LOOKUP(AD1887,{0;0.01;0.1;1;10;100},{"Muy baja";"Muy baja";"Baja";"Media";"Alta";"Muy alta"}),"")</f>
        <v/>
      </c>
      <c r="AF1887" s="30">
        <f>T1887*AD1887</f>
        <v/>
      </c>
      <c r="AG1887" s="28">
        <f>IFERROR(LOOKUP(AF1887,{0;0.5;5;25},{"Bajo";"Medio";"Alto";"Crítico"}),"")</f>
        <v/>
      </c>
      <c r="AH1887" s="28">
        <f>IF(AG1887="","",IF(OR(AG1887="Crítico",AG1887="Alto"),"Mitigar",IF(AG1887="Medio","Mitigar","Aceptar y monitorear")))</f>
        <v/>
      </c>
      <c r="AI1887" s="21" t="n"/>
      <c r="AJ1887" s="21" t="n"/>
      <c r="AK1887" s="20" t="n"/>
      <c r="AL1887" s="77">
        <f>IFERROR(INDEX(MgAmenEfic,MATCH(SUBSTITUTE($H1887,"*","-"),MgAmenClave,0)),0)</f>
        <v/>
      </c>
    </row>
    <row r="1888" hidden="1" ht="60" customHeight="1" s="54">
      <c r="B1888" s="59" t="inlineStr">
        <is>
          <t>R-1883</t>
        </is>
      </c>
      <c r="C1888" s="59" t="inlineStr">
        <is>
          <t>COM-15</t>
        </is>
      </c>
      <c r="D1888" s="64">
        <f>IFERROR(INDEX(MgNombre,MATCH($C1888,MgActId,0)),"")</f>
        <v/>
      </c>
      <c r="E1888" s="64">
        <f>IFERROR(INDEX(MgProceso,MATCH($C1888,MgActId,0)),"")</f>
        <v/>
      </c>
      <c r="F1888" s="64">
        <f>IFERROR(INDEX(MgTipo,MATCH($C1888,MgActId,0)),"")</f>
        <v/>
      </c>
      <c r="G1888" s="64">
        <f>IFERROR(INDEX(MgSubtipo,MATCH($C1888,MgActId,0)),"")</f>
        <v/>
      </c>
      <c r="H1888" s="59" t="inlineStr">
        <is>
          <t>E.9</t>
        </is>
      </c>
      <c r="I1888" s="64">
        <f>IFERROR(INDEX(MgAmenNombre,MATCH(SUBSTITUTE($H1888,"*","-"),MgAmenClave,0)),"")</f>
        <v/>
      </c>
      <c r="J1888" s="28">
        <f>IFERROR(INDEX(MgAmenGrupo,MATCH(SUBSTITUTE($H1888,"*","-"),MgAmenClave,0)),"")</f>
        <v/>
      </c>
      <c r="K1888" s="64">
        <f>IFERROR(INDEX('1. Matriz de Activos'!$Q$6:$Q$239,MATCH($C1888,MgActId,0)),"")</f>
        <v/>
      </c>
      <c r="L1888" s="64">
        <f>IFERROR(INDEX('1. Matriz de Activos'!$R$6:$R$239,MATCH($C1888,MgActId,0)),"")</f>
        <v/>
      </c>
      <c r="M1888" s="64">
        <f>IFERROR(INDEX('1. Matriz de Activos'!$S$6:$S$239,MATCH($C1888,MgActId,0)),"")</f>
        <v/>
      </c>
      <c r="N1888" s="28">
        <f>IFERROR(INDEX(MgAmenDegD,MATCH(SUBSTITUTE($H1888,"*","-"),MgAmenClave,0)),"No aplica")</f>
        <v/>
      </c>
      <c r="O1888" s="28">
        <f>IFERROR(INDEX(MgAmenDegI,MATCH(SUBSTITUTE($H1888,"*","-"),MgAmenClave,0)),"No aplica")</f>
        <v/>
      </c>
      <c r="P1888" s="28">
        <f>IFERROR(INDEX(MgAmenDegC,MATCH(SUBSTITUTE($H1888,"*","-"),MgAmenClave,0)),"No aplica")</f>
        <v/>
      </c>
      <c r="Q1888" s="29">
        <f>IFERROR(VLOOKUP(K1888,MgValor,2,0)*VLOOKUP(N1888,MgDeg,2,0),0)</f>
        <v/>
      </c>
      <c r="R1888" s="29">
        <f>IFERROR(VLOOKUP(L1888,MgValor,2,0)*VLOOKUP(O1888,MgDeg,2,0),0)</f>
        <v/>
      </c>
      <c r="S1888" s="29">
        <f>IFERROR(VLOOKUP(M1888,MgValor,2,0)*VLOOKUP(P1888,MgDeg,2,0),0)</f>
        <v/>
      </c>
      <c r="T1888" s="30">
        <f>MAX(Q1888:S1888)</f>
        <v/>
      </c>
      <c r="U1888" s="28">
        <f>IFERROR(LOOKUP(T1888,{0;0.5;1.5;3;4.5},{"Despreciable";"Bajo";"Medio";"Alto";"Muy alto"}),"")</f>
        <v/>
      </c>
      <c r="V1888" s="13">
        <f>IFERROR(INDEX(MgAmenFrec,MATCH(SUBSTITUTE($H1888,"*","-"),MgAmenClave,0)),"")</f>
        <v/>
      </c>
      <c r="W1888" s="28">
        <f>IFERROR(LOOKUP(X1888,{0;0.01;0.1;1;10;100},{"Muy baja";"Muy baja";"Baja";"Media";"Alta";"Muy alta"}),"")</f>
        <v/>
      </c>
      <c r="X1888" s="31">
        <f>IFERROR(VLOOKUP(V1888,MgFrec,2,0),0)</f>
        <v/>
      </c>
      <c r="Y1888" s="30">
        <f>T1888*X1888</f>
        <v/>
      </c>
      <c r="Z1888" s="28">
        <f>IFERROR(LOOKUP(Y1888,{0;0.5;5;25},{"Bajo";"Medio";"Alto";"Crítico"}),"")</f>
        <v/>
      </c>
      <c r="AA1888" s="64">
        <f>IF(T1888&gt;=3,IF(X1888&gt;=1,"Zona 1 — Crítica: impacto alto y ocurre al menos una vez al año","Zona 4 — Catastrófica poco probable: impacto alto pero excepcional"),IF(AND(T1888&lt;1.5,X1888&lt;1),"Zona 3 — Asumible: impacto bajo y muy poco frecuente","Zona 2 — Atención: riesgo intermedio"))</f>
        <v/>
      </c>
      <c r="AB1888" s="64">
        <f>IFERROR(INDEX(MgAmenCtrl,MATCH(SUBSTITUTE($H1888,"*","-"),MgAmenClave,0)),"")</f>
        <v/>
      </c>
      <c r="AC1888" s="20" t="n"/>
      <c r="AD1888" s="31">
        <f>IFERROR($X1888*(1-IF($AC1888="",$AL1888,VLOOKUP($AC1888,MgMad,2,0))),"")</f>
        <v/>
      </c>
      <c r="AE1888" s="28">
        <f>IFERROR(LOOKUP(AD1888,{0;0.01;0.1;1;10;100},{"Muy baja";"Muy baja";"Baja";"Media";"Alta";"Muy alta"}),"")</f>
        <v/>
      </c>
      <c r="AF1888" s="30">
        <f>T1888*AD1888</f>
        <v/>
      </c>
      <c r="AG1888" s="28">
        <f>IFERROR(LOOKUP(AF1888,{0;0.5;5;25},{"Bajo";"Medio";"Alto";"Crítico"}),"")</f>
        <v/>
      </c>
      <c r="AH1888" s="28">
        <f>IF(AG1888="","",IF(OR(AG1888="Crítico",AG1888="Alto"),"Mitigar",IF(AG1888="Medio","Mitigar","Aceptar y monitorear")))</f>
        <v/>
      </c>
      <c r="AI1888" s="21" t="n"/>
      <c r="AJ1888" s="21" t="n"/>
      <c r="AK1888" s="20" t="n"/>
      <c r="AL1888" s="77">
        <f>IFERROR(INDEX(MgAmenEfic,MATCH(SUBSTITUTE($H1888,"*","-"),MgAmenClave,0)),0)</f>
        <v/>
      </c>
    </row>
    <row r="1889" hidden="1" ht="90" customHeight="1" s="54">
      <c r="B1889" s="59" t="inlineStr">
        <is>
          <t>R-1884</t>
        </is>
      </c>
      <c r="C1889" s="59" t="inlineStr">
        <is>
          <t>COM-15</t>
        </is>
      </c>
      <c r="D1889" s="64">
        <f>IFERROR(INDEX(MgNombre,MATCH($C1889,MgActId,0)),"")</f>
        <v/>
      </c>
      <c r="E1889" s="64">
        <f>IFERROR(INDEX(MgProceso,MATCH($C1889,MgActId,0)),"")</f>
        <v/>
      </c>
      <c r="F1889" s="64">
        <f>IFERROR(INDEX(MgTipo,MATCH($C1889,MgActId,0)),"")</f>
        <v/>
      </c>
      <c r="G1889" s="64">
        <f>IFERROR(INDEX(MgSubtipo,MATCH($C1889,MgActId,0)),"")</f>
        <v/>
      </c>
      <c r="H1889" s="59" t="inlineStr">
        <is>
          <t>E.10</t>
        </is>
      </c>
      <c r="I1889" s="64">
        <f>IFERROR(INDEX(MgAmenNombre,MATCH(SUBSTITUTE($H1889,"*","-"),MgAmenClave,0)),"")</f>
        <v/>
      </c>
      <c r="J1889" s="28">
        <f>IFERROR(INDEX(MgAmenGrupo,MATCH(SUBSTITUTE($H1889,"*","-"),MgAmenClave,0)),"")</f>
        <v/>
      </c>
      <c r="K1889" s="64">
        <f>IFERROR(INDEX('1. Matriz de Activos'!$Q$6:$Q$239,MATCH($C1889,MgActId,0)),"")</f>
        <v/>
      </c>
      <c r="L1889" s="64">
        <f>IFERROR(INDEX('1. Matriz de Activos'!$R$6:$R$239,MATCH($C1889,MgActId,0)),"")</f>
        <v/>
      </c>
      <c r="M1889" s="64">
        <f>IFERROR(INDEX('1. Matriz de Activos'!$S$6:$S$239,MATCH($C1889,MgActId,0)),"")</f>
        <v/>
      </c>
      <c r="N1889" s="28">
        <f>IFERROR(INDEX(MgAmenDegD,MATCH(SUBSTITUTE($H1889,"*","-"),MgAmenClave,0)),"No aplica")</f>
        <v/>
      </c>
      <c r="O1889" s="28">
        <f>IFERROR(INDEX(MgAmenDegI,MATCH(SUBSTITUTE($H1889,"*","-"),MgAmenClave,0)),"No aplica")</f>
        <v/>
      </c>
      <c r="P1889" s="28">
        <f>IFERROR(INDEX(MgAmenDegC,MATCH(SUBSTITUTE($H1889,"*","-"),MgAmenClave,0)),"No aplica")</f>
        <v/>
      </c>
      <c r="Q1889" s="29">
        <f>IFERROR(VLOOKUP(K1889,MgValor,2,0)*VLOOKUP(N1889,MgDeg,2,0),0)</f>
        <v/>
      </c>
      <c r="R1889" s="29">
        <f>IFERROR(VLOOKUP(L1889,MgValor,2,0)*VLOOKUP(O1889,MgDeg,2,0),0)</f>
        <v/>
      </c>
      <c r="S1889" s="29">
        <f>IFERROR(VLOOKUP(M1889,MgValor,2,0)*VLOOKUP(P1889,MgDeg,2,0),0)</f>
        <v/>
      </c>
      <c r="T1889" s="30">
        <f>MAX(Q1889:S1889)</f>
        <v/>
      </c>
      <c r="U1889" s="28">
        <f>IFERROR(LOOKUP(T1889,{0;0.5;1.5;3;4.5},{"Despreciable";"Bajo";"Medio";"Alto";"Muy alto"}),"")</f>
        <v/>
      </c>
      <c r="V1889" s="13">
        <f>IFERROR(INDEX(MgAmenFrec,MATCH(SUBSTITUTE($H1889,"*","-"),MgAmenClave,0)),"")</f>
        <v/>
      </c>
      <c r="W1889" s="28">
        <f>IFERROR(LOOKUP(X1889,{0;0.01;0.1;1;10;100},{"Muy baja";"Muy baja";"Baja";"Media";"Alta";"Muy alta"}),"")</f>
        <v/>
      </c>
      <c r="X1889" s="31">
        <f>IFERROR(VLOOKUP(V1889,MgFrec,2,0),0)</f>
        <v/>
      </c>
      <c r="Y1889" s="30">
        <f>T1889*X1889</f>
        <v/>
      </c>
      <c r="Z1889" s="28">
        <f>IFERROR(LOOKUP(Y1889,{0;0.5;5;25},{"Bajo";"Medio";"Alto";"Crítico"}),"")</f>
        <v/>
      </c>
      <c r="AA1889" s="64">
        <f>IF(T1889&gt;=3,IF(X1889&gt;=1,"Zona 1 — Crítica: impacto alto y ocurre al menos una vez al año","Zona 4 — Catastrófica poco probable: impacto alto pero excepcional"),IF(AND(T1889&lt;1.5,X1889&lt;1),"Zona 3 — Asumible: impacto bajo y muy poco frecuente","Zona 2 — Atención: riesgo intermedio"))</f>
        <v/>
      </c>
      <c r="AB1889" s="64">
        <f>IFERROR(INDEX(MgAmenCtrl,MATCH(SUBSTITUTE($H1889,"*","-"),MgAmenClave,0)),"")</f>
        <v/>
      </c>
      <c r="AC1889" s="20" t="n"/>
      <c r="AD1889" s="31">
        <f>IFERROR($X1889*(1-IF($AC1889="",$AL1889,VLOOKUP($AC1889,MgMad,2,0))),"")</f>
        <v/>
      </c>
      <c r="AE1889" s="28">
        <f>IFERROR(LOOKUP(AD1889,{0;0.01;0.1;1;10;100},{"Muy baja";"Muy baja";"Baja";"Media";"Alta";"Muy alta"}),"")</f>
        <v/>
      </c>
      <c r="AF1889" s="30">
        <f>T1889*AD1889</f>
        <v/>
      </c>
      <c r="AG1889" s="28">
        <f>IFERROR(LOOKUP(AF1889,{0;0.5;5;25},{"Bajo";"Medio";"Alto";"Crítico"}),"")</f>
        <v/>
      </c>
      <c r="AH1889" s="28">
        <f>IF(AG1889="","",IF(OR(AG1889="Crítico",AG1889="Alto"),"Mitigar",IF(AG1889="Medio","Mitigar","Aceptar y monitorear")))</f>
        <v/>
      </c>
      <c r="AI1889" s="21" t="n"/>
      <c r="AJ1889" s="21" t="n"/>
      <c r="AK1889" s="20" t="n"/>
      <c r="AL1889" s="77">
        <f>IFERROR(INDEX(MgAmenEfic,MATCH(SUBSTITUTE($H1889,"*","-"),MgAmenClave,0)),0)</f>
        <v/>
      </c>
    </row>
    <row r="1890" hidden="1" ht="90" customHeight="1" s="54">
      <c r="B1890" s="59" t="inlineStr">
        <is>
          <t>R-1885</t>
        </is>
      </c>
      <c r="C1890" s="59" t="inlineStr">
        <is>
          <t>COM-15</t>
        </is>
      </c>
      <c r="D1890" s="64">
        <f>IFERROR(INDEX(MgNombre,MATCH($C1890,MgActId,0)),"")</f>
        <v/>
      </c>
      <c r="E1890" s="64">
        <f>IFERROR(INDEX(MgProceso,MATCH($C1890,MgActId,0)),"")</f>
        <v/>
      </c>
      <c r="F1890" s="64">
        <f>IFERROR(INDEX(MgTipo,MATCH($C1890,MgActId,0)),"")</f>
        <v/>
      </c>
      <c r="G1890" s="64">
        <f>IFERROR(INDEX(MgSubtipo,MATCH($C1890,MgActId,0)),"")</f>
        <v/>
      </c>
      <c r="H1890" s="59" t="inlineStr">
        <is>
          <t>E.14</t>
        </is>
      </c>
      <c r="I1890" s="64">
        <f>IFERROR(INDEX(MgAmenNombre,MATCH(SUBSTITUTE($H1890,"*","-"),MgAmenClave,0)),"")</f>
        <v/>
      </c>
      <c r="J1890" s="28">
        <f>IFERROR(INDEX(MgAmenGrupo,MATCH(SUBSTITUTE($H1890,"*","-"),MgAmenClave,0)),"")</f>
        <v/>
      </c>
      <c r="K1890" s="64">
        <f>IFERROR(INDEX('1. Matriz de Activos'!$Q$6:$Q$239,MATCH($C1890,MgActId,0)),"")</f>
        <v/>
      </c>
      <c r="L1890" s="64">
        <f>IFERROR(INDEX('1. Matriz de Activos'!$R$6:$R$239,MATCH($C1890,MgActId,0)),"")</f>
        <v/>
      </c>
      <c r="M1890" s="64">
        <f>IFERROR(INDEX('1. Matriz de Activos'!$S$6:$S$239,MATCH($C1890,MgActId,0)),"")</f>
        <v/>
      </c>
      <c r="N1890" s="28">
        <f>IFERROR(INDEX(MgAmenDegD,MATCH(SUBSTITUTE($H1890,"*","-"),MgAmenClave,0)),"No aplica")</f>
        <v/>
      </c>
      <c r="O1890" s="28">
        <f>IFERROR(INDEX(MgAmenDegI,MATCH(SUBSTITUTE($H1890,"*","-"),MgAmenClave,0)),"No aplica")</f>
        <v/>
      </c>
      <c r="P1890" s="28">
        <f>IFERROR(INDEX(MgAmenDegC,MATCH(SUBSTITUTE($H1890,"*","-"),MgAmenClave,0)),"No aplica")</f>
        <v/>
      </c>
      <c r="Q1890" s="29">
        <f>IFERROR(VLOOKUP(K1890,MgValor,2,0)*VLOOKUP(N1890,MgDeg,2,0),0)</f>
        <v/>
      </c>
      <c r="R1890" s="29">
        <f>IFERROR(VLOOKUP(L1890,MgValor,2,0)*VLOOKUP(O1890,MgDeg,2,0),0)</f>
        <v/>
      </c>
      <c r="S1890" s="29">
        <f>IFERROR(VLOOKUP(M1890,MgValor,2,0)*VLOOKUP(P1890,MgDeg,2,0),0)</f>
        <v/>
      </c>
      <c r="T1890" s="30">
        <f>MAX(Q1890:S1890)</f>
        <v/>
      </c>
      <c r="U1890" s="28">
        <f>IFERROR(LOOKUP(T1890,{0;0.5;1.5;3;4.5},{"Despreciable";"Bajo";"Medio";"Alto";"Muy alto"}),"")</f>
        <v/>
      </c>
      <c r="V1890" s="13">
        <f>IFERROR(INDEX(MgAmenFrec,MATCH(SUBSTITUTE($H1890,"*","-"),MgAmenClave,0)),"")</f>
        <v/>
      </c>
      <c r="W1890" s="28">
        <f>IFERROR(LOOKUP(X1890,{0;0.01;0.1;1;10;100},{"Muy baja";"Muy baja";"Baja";"Media";"Alta";"Muy alta"}),"")</f>
        <v/>
      </c>
      <c r="X1890" s="31">
        <f>IFERROR(VLOOKUP(V1890,MgFrec,2,0),0)</f>
        <v/>
      </c>
      <c r="Y1890" s="30">
        <f>T1890*X1890</f>
        <v/>
      </c>
      <c r="Z1890" s="28">
        <f>IFERROR(LOOKUP(Y1890,{0;0.5;5;25},{"Bajo";"Medio";"Alto";"Crítico"}),"")</f>
        <v/>
      </c>
      <c r="AA1890" s="64">
        <f>IF(T1890&gt;=3,IF(X1890&gt;=1,"Zona 1 — Crítica: impacto alto y ocurre al menos una vez al año","Zona 4 — Catastrófica poco probable: impacto alto pero excepcional"),IF(AND(T1890&lt;1.5,X1890&lt;1),"Zona 3 — Asumible: impacto bajo y muy poco frecuente","Zona 2 — Atención: riesgo intermedio"))</f>
        <v/>
      </c>
      <c r="AB1890" s="64">
        <f>IFERROR(INDEX(MgAmenCtrl,MATCH(SUBSTITUTE($H1890,"*","-"),MgAmenClave,0)),"")</f>
        <v/>
      </c>
      <c r="AC1890" s="20" t="n"/>
      <c r="AD1890" s="31">
        <f>IFERROR($X1890*(1-IF($AC1890="",$AL1890,VLOOKUP($AC1890,MgMad,2,0))),"")</f>
        <v/>
      </c>
      <c r="AE1890" s="28">
        <f>IFERROR(LOOKUP(AD1890,{0;0.01;0.1;1;10;100},{"Muy baja";"Muy baja";"Baja";"Media";"Alta";"Muy alta"}),"")</f>
        <v/>
      </c>
      <c r="AF1890" s="30">
        <f>T1890*AD1890</f>
        <v/>
      </c>
      <c r="AG1890" s="28">
        <f>IFERROR(LOOKUP(AF1890,{0;0.5;5;25},{"Bajo";"Medio";"Alto";"Crítico"}),"")</f>
        <v/>
      </c>
      <c r="AH1890" s="28">
        <f>IF(AG1890="","",IF(OR(AG1890="Crítico",AG1890="Alto"),"Mitigar",IF(AG1890="Medio","Mitigar","Aceptar y monitorear")))</f>
        <v/>
      </c>
      <c r="AI1890" s="21" t="n"/>
      <c r="AJ1890" s="21" t="n"/>
      <c r="AK1890" s="20" t="n"/>
      <c r="AL1890" s="77">
        <f>IFERROR(INDEX(MgAmenEfic,MATCH(SUBSTITUTE($H1890,"*","-"),MgAmenClave,0)),0)</f>
        <v/>
      </c>
    </row>
    <row r="1891" hidden="1" ht="90" customHeight="1" s="54">
      <c r="B1891" s="59" t="inlineStr">
        <is>
          <t>R-1886</t>
        </is>
      </c>
      <c r="C1891" s="59" t="inlineStr">
        <is>
          <t>COM-15</t>
        </is>
      </c>
      <c r="D1891" s="64">
        <f>IFERROR(INDEX(MgNombre,MATCH($C1891,MgActId,0)),"")</f>
        <v/>
      </c>
      <c r="E1891" s="64">
        <f>IFERROR(INDEX(MgProceso,MATCH($C1891,MgActId,0)),"")</f>
        <v/>
      </c>
      <c r="F1891" s="64">
        <f>IFERROR(INDEX(MgTipo,MATCH($C1891,MgActId,0)),"")</f>
        <v/>
      </c>
      <c r="G1891" s="64">
        <f>IFERROR(INDEX(MgSubtipo,MATCH($C1891,MgActId,0)),"")</f>
        <v/>
      </c>
      <c r="H1891" s="59" t="inlineStr">
        <is>
          <t>E.15</t>
        </is>
      </c>
      <c r="I1891" s="64">
        <f>IFERROR(INDEX(MgAmenNombre,MATCH(SUBSTITUTE($H1891,"*","-"),MgAmenClave,0)),"")</f>
        <v/>
      </c>
      <c r="J1891" s="28">
        <f>IFERROR(INDEX(MgAmenGrupo,MATCH(SUBSTITUTE($H1891,"*","-"),MgAmenClave,0)),"")</f>
        <v/>
      </c>
      <c r="K1891" s="64">
        <f>IFERROR(INDEX('1. Matriz de Activos'!$Q$6:$Q$239,MATCH($C1891,MgActId,0)),"")</f>
        <v/>
      </c>
      <c r="L1891" s="64">
        <f>IFERROR(INDEX('1. Matriz de Activos'!$R$6:$R$239,MATCH($C1891,MgActId,0)),"")</f>
        <v/>
      </c>
      <c r="M1891" s="64">
        <f>IFERROR(INDEX('1. Matriz de Activos'!$S$6:$S$239,MATCH($C1891,MgActId,0)),"")</f>
        <v/>
      </c>
      <c r="N1891" s="28">
        <f>IFERROR(INDEX(MgAmenDegD,MATCH(SUBSTITUTE($H1891,"*","-"),MgAmenClave,0)),"No aplica")</f>
        <v/>
      </c>
      <c r="O1891" s="28">
        <f>IFERROR(INDEX(MgAmenDegI,MATCH(SUBSTITUTE($H1891,"*","-"),MgAmenClave,0)),"No aplica")</f>
        <v/>
      </c>
      <c r="P1891" s="28">
        <f>IFERROR(INDEX(MgAmenDegC,MATCH(SUBSTITUTE($H1891,"*","-"),MgAmenClave,0)),"No aplica")</f>
        <v/>
      </c>
      <c r="Q1891" s="29">
        <f>IFERROR(VLOOKUP(K1891,MgValor,2,0)*VLOOKUP(N1891,MgDeg,2,0),0)</f>
        <v/>
      </c>
      <c r="R1891" s="29">
        <f>IFERROR(VLOOKUP(L1891,MgValor,2,0)*VLOOKUP(O1891,MgDeg,2,0),0)</f>
        <v/>
      </c>
      <c r="S1891" s="29">
        <f>IFERROR(VLOOKUP(M1891,MgValor,2,0)*VLOOKUP(P1891,MgDeg,2,0),0)</f>
        <v/>
      </c>
      <c r="T1891" s="30">
        <f>MAX(Q1891:S1891)</f>
        <v/>
      </c>
      <c r="U1891" s="28">
        <f>IFERROR(LOOKUP(T1891,{0;0.5;1.5;3;4.5},{"Despreciable";"Bajo";"Medio";"Alto";"Muy alto"}),"")</f>
        <v/>
      </c>
      <c r="V1891" s="13">
        <f>IFERROR(INDEX(MgAmenFrec,MATCH(SUBSTITUTE($H1891,"*","-"),MgAmenClave,0)),"")</f>
        <v/>
      </c>
      <c r="W1891" s="28">
        <f>IFERROR(LOOKUP(X1891,{0;0.01;0.1;1;10;100},{"Muy baja";"Muy baja";"Baja";"Media";"Alta";"Muy alta"}),"")</f>
        <v/>
      </c>
      <c r="X1891" s="31">
        <f>IFERROR(VLOOKUP(V1891,MgFrec,2,0),0)</f>
        <v/>
      </c>
      <c r="Y1891" s="30">
        <f>T1891*X1891</f>
        <v/>
      </c>
      <c r="Z1891" s="28">
        <f>IFERROR(LOOKUP(Y1891,{0;0.5;5;25},{"Bajo";"Medio";"Alto";"Crítico"}),"")</f>
        <v/>
      </c>
      <c r="AA1891" s="64">
        <f>IF(T1891&gt;=3,IF(X1891&gt;=1,"Zona 1 — Crítica: impacto alto y ocurre al menos una vez al año","Zona 4 — Catastrófica poco probable: impacto alto pero excepcional"),IF(AND(T1891&lt;1.5,X1891&lt;1),"Zona 3 — Asumible: impacto bajo y muy poco frecuente","Zona 2 — Atención: riesgo intermedio"))</f>
        <v/>
      </c>
      <c r="AB1891" s="64">
        <f>IFERROR(INDEX(MgAmenCtrl,MATCH(SUBSTITUTE($H1891,"*","-"),MgAmenClave,0)),"")</f>
        <v/>
      </c>
      <c r="AC1891" s="20" t="n"/>
      <c r="AD1891" s="31">
        <f>IFERROR($X1891*(1-IF($AC1891="",$AL1891,VLOOKUP($AC1891,MgMad,2,0))),"")</f>
        <v/>
      </c>
      <c r="AE1891" s="28">
        <f>IFERROR(LOOKUP(AD1891,{0;0.01;0.1;1;10;100},{"Muy baja";"Muy baja";"Baja";"Media";"Alta";"Muy alta"}),"")</f>
        <v/>
      </c>
      <c r="AF1891" s="30">
        <f>T1891*AD1891</f>
        <v/>
      </c>
      <c r="AG1891" s="28">
        <f>IFERROR(LOOKUP(AF1891,{0;0.5;5;25},{"Bajo";"Medio";"Alto";"Crítico"}),"")</f>
        <v/>
      </c>
      <c r="AH1891" s="28">
        <f>IF(AG1891="","",IF(OR(AG1891="Crítico",AG1891="Alto"),"Mitigar",IF(AG1891="Medio","Mitigar","Aceptar y monitorear")))</f>
        <v/>
      </c>
      <c r="AI1891" s="21" t="n"/>
      <c r="AJ1891" s="21" t="n"/>
      <c r="AK1891" s="20" t="n"/>
      <c r="AL1891" s="77">
        <f>IFERROR(INDEX(MgAmenEfic,MATCH(SUBSTITUTE($H1891,"*","-"),MgAmenClave,0)),0)</f>
        <v/>
      </c>
    </row>
    <row r="1892" hidden="1" ht="60" customHeight="1" s="54">
      <c r="B1892" s="59" t="inlineStr">
        <is>
          <t>R-1887</t>
        </is>
      </c>
      <c r="C1892" s="59" t="inlineStr">
        <is>
          <t>COM-15</t>
        </is>
      </c>
      <c r="D1892" s="64">
        <f>IFERROR(INDEX(MgNombre,MATCH($C1892,MgActId,0)),"")</f>
        <v/>
      </c>
      <c r="E1892" s="64">
        <f>IFERROR(INDEX(MgProceso,MATCH($C1892,MgActId,0)),"")</f>
        <v/>
      </c>
      <c r="F1892" s="64">
        <f>IFERROR(INDEX(MgTipo,MATCH($C1892,MgActId,0)),"")</f>
        <v/>
      </c>
      <c r="G1892" s="64">
        <f>IFERROR(INDEX(MgSubtipo,MATCH($C1892,MgActId,0)),"")</f>
        <v/>
      </c>
      <c r="H1892" s="59" t="inlineStr">
        <is>
          <t>E.18</t>
        </is>
      </c>
      <c r="I1892" s="64">
        <f>IFERROR(INDEX(MgAmenNombre,MATCH(SUBSTITUTE($H1892,"*","-"),MgAmenClave,0)),"")</f>
        <v/>
      </c>
      <c r="J1892" s="28">
        <f>IFERROR(INDEX(MgAmenGrupo,MATCH(SUBSTITUTE($H1892,"*","-"),MgAmenClave,0)),"")</f>
        <v/>
      </c>
      <c r="K1892" s="64">
        <f>IFERROR(INDEX('1. Matriz de Activos'!$Q$6:$Q$239,MATCH($C1892,MgActId,0)),"")</f>
        <v/>
      </c>
      <c r="L1892" s="64">
        <f>IFERROR(INDEX('1. Matriz de Activos'!$R$6:$R$239,MATCH($C1892,MgActId,0)),"")</f>
        <v/>
      </c>
      <c r="M1892" s="64">
        <f>IFERROR(INDEX('1. Matriz de Activos'!$S$6:$S$239,MATCH($C1892,MgActId,0)),"")</f>
        <v/>
      </c>
      <c r="N1892" s="28">
        <f>IFERROR(INDEX(MgAmenDegD,MATCH(SUBSTITUTE($H1892,"*","-"),MgAmenClave,0)),"No aplica")</f>
        <v/>
      </c>
      <c r="O1892" s="28">
        <f>IFERROR(INDEX(MgAmenDegI,MATCH(SUBSTITUTE($H1892,"*","-"),MgAmenClave,0)),"No aplica")</f>
        <v/>
      </c>
      <c r="P1892" s="28">
        <f>IFERROR(INDEX(MgAmenDegC,MATCH(SUBSTITUTE($H1892,"*","-"),MgAmenClave,0)),"No aplica")</f>
        <v/>
      </c>
      <c r="Q1892" s="29">
        <f>IFERROR(VLOOKUP(K1892,MgValor,2,0)*VLOOKUP(N1892,MgDeg,2,0),0)</f>
        <v/>
      </c>
      <c r="R1892" s="29">
        <f>IFERROR(VLOOKUP(L1892,MgValor,2,0)*VLOOKUP(O1892,MgDeg,2,0),0)</f>
        <v/>
      </c>
      <c r="S1892" s="29">
        <f>IFERROR(VLOOKUP(M1892,MgValor,2,0)*VLOOKUP(P1892,MgDeg,2,0),0)</f>
        <v/>
      </c>
      <c r="T1892" s="30">
        <f>MAX(Q1892:S1892)</f>
        <v/>
      </c>
      <c r="U1892" s="28">
        <f>IFERROR(LOOKUP(T1892,{0;0.5;1.5;3;4.5},{"Despreciable";"Bajo";"Medio";"Alto";"Muy alto"}),"")</f>
        <v/>
      </c>
      <c r="V1892" s="13">
        <f>IFERROR(INDEX(MgAmenFrec,MATCH(SUBSTITUTE($H1892,"*","-"),MgAmenClave,0)),"")</f>
        <v/>
      </c>
      <c r="W1892" s="28">
        <f>IFERROR(LOOKUP(X1892,{0;0.01;0.1;1;10;100},{"Muy baja";"Muy baja";"Baja";"Media";"Alta";"Muy alta"}),"")</f>
        <v/>
      </c>
      <c r="X1892" s="31">
        <f>IFERROR(VLOOKUP(V1892,MgFrec,2,0),0)</f>
        <v/>
      </c>
      <c r="Y1892" s="30">
        <f>T1892*X1892</f>
        <v/>
      </c>
      <c r="Z1892" s="28">
        <f>IFERROR(LOOKUP(Y1892,{0;0.5;5;25},{"Bajo";"Medio";"Alto";"Crítico"}),"")</f>
        <v/>
      </c>
      <c r="AA1892" s="64">
        <f>IF(T1892&gt;=3,IF(X1892&gt;=1,"Zona 1 — Crítica: impacto alto y ocurre al menos una vez al año","Zona 4 — Catastrófica poco probable: impacto alto pero excepcional"),IF(AND(T1892&lt;1.5,X1892&lt;1),"Zona 3 — Asumible: impacto bajo y muy poco frecuente","Zona 2 — Atención: riesgo intermedio"))</f>
        <v/>
      </c>
      <c r="AB1892" s="64">
        <f>IFERROR(INDEX(MgAmenCtrl,MATCH(SUBSTITUTE($H1892,"*","-"),MgAmenClave,0)),"")</f>
        <v/>
      </c>
      <c r="AC1892" s="20" t="n"/>
      <c r="AD1892" s="31">
        <f>IFERROR($X1892*(1-IF($AC1892="",$AL1892,VLOOKUP($AC1892,MgMad,2,0))),"")</f>
        <v/>
      </c>
      <c r="AE1892" s="28">
        <f>IFERROR(LOOKUP(AD1892,{0;0.01;0.1;1;10;100},{"Muy baja";"Muy baja";"Baja";"Media";"Alta";"Muy alta"}),"")</f>
        <v/>
      </c>
      <c r="AF1892" s="30">
        <f>T1892*AD1892</f>
        <v/>
      </c>
      <c r="AG1892" s="28">
        <f>IFERROR(LOOKUP(AF1892,{0;0.5;5;25},{"Bajo";"Medio";"Alto";"Crítico"}),"")</f>
        <v/>
      </c>
      <c r="AH1892" s="28">
        <f>IF(AG1892="","",IF(OR(AG1892="Crítico",AG1892="Alto"),"Mitigar",IF(AG1892="Medio","Mitigar","Aceptar y monitorear")))</f>
        <v/>
      </c>
      <c r="AI1892" s="21" t="n"/>
      <c r="AJ1892" s="21" t="n"/>
      <c r="AK1892" s="20" t="n"/>
      <c r="AL1892" s="77">
        <f>IFERROR(INDEX(MgAmenEfic,MATCH(SUBSTITUTE($H1892,"*","-"),MgAmenClave,0)),0)</f>
        <v/>
      </c>
    </row>
    <row r="1893" hidden="1" ht="105" customHeight="1" s="54">
      <c r="B1893" s="59" t="inlineStr">
        <is>
          <t>R-1888</t>
        </is>
      </c>
      <c r="C1893" s="59" t="inlineStr">
        <is>
          <t>COM-15</t>
        </is>
      </c>
      <c r="D1893" s="64">
        <f>IFERROR(INDEX(MgNombre,MATCH($C1893,MgActId,0)),"")</f>
        <v/>
      </c>
      <c r="E1893" s="64">
        <f>IFERROR(INDEX(MgProceso,MATCH($C1893,MgActId,0)),"")</f>
        <v/>
      </c>
      <c r="F1893" s="64">
        <f>IFERROR(INDEX(MgTipo,MATCH($C1893,MgActId,0)),"")</f>
        <v/>
      </c>
      <c r="G1893" s="64">
        <f>IFERROR(INDEX(MgSubtipo,MATCH($C1893,MgActId,0)),"")</f>
        <v/>
      </c>
      <c r="H1893" s="59" t="inlineStr">
        <is>
          <t>E.19</t>
        </is>
      </c>
      <c r="I1893" s="64">
        <f>IFERROR(INDEX(MgAmenNombre,MATCH(SUBSTITUTE($H1893,"*","-"),MgAmenClave,0)),"")</f>
        <v/>
      </c>
      <c r="J1893" s="28">
        <f>IFERROR(INDEX(MgAmenGrupo,MATCH(SUBSTITUTE($H1893,"*","-"),MgAmenClave,0)),"")</f>
        <v/>
      </c>
      <c r="K1893" s="64">
        <f>IFERROR(INDEX('1. Matriz de Activos'!$Q$6:$Q$239,MATCH($C1893,MgActId,0)),"")</f>
        <v/>
      </c>
      <c r="L1893" s="64">
        <f>IFERROR(INDEX('1. Matriz de Activos'!$R$6:$R$239,MATCH($C1893,MgActId,0)),"")</f>
        <v/>
      </c>
      <c r="M1893" s="64">
        <f>IFERROR(INDEX('1. Matriz de Activos'!$S$6:$S$239,MATCH($C1893,MgActId,0)),"")</f>
        <v/>
      </c>
      <c r="N1893" s="28">
        <f>IFERROR(INDEX(MgAmenDegD,MATCH(SUBSTITUTE($H1893,"*","-"),MgAmenClave,0)),"No aplica")</f>
        <v/>
      </c>
      <c r="O1893" s="28">
        <f>IFERROR(INDEX(MgAmenDegI,MATCH(SUBSTITUTE($H1893,"*","-"),MgAmenClave,0)),"No aplica")</f>
        <v/>
      </c>
      <c r="P1893" s="28">
        <f>IFERROR(INDEX(MgAmenDegC,MATCH(SUBSTITUTE($H1893,"*","-"),MgAmenClave,0)),"No aplica")</f>
        <v/>
      </c>
      <c r="Q1893" s="29">
        <f>IFERROR(VLOOKUP(K1893,MgValor,2,0)*VLOOKUP(N1893,MgDeg,2,0),0)</f>
        <v/>
      </c>
      <c r="R1893" s="29">
        <f>IFERROR(VLOOKUP(L1893,MgValor,2,0)*VLOOKUP(O1893,MgDeg,2,0),0)</f>
        <v/>
      </c>
      <c r="S1893" s="29">
        <f>IFERROR(VLOOKUP(M1893,MgValor,2,0)*VLOOKUP(P1893,MgDeg,2,0),0)</f>
        <v/>
      </c>
      <c r="T1893" s="30">
        <f>MAX(Q1893:S1893)</f>
        <v/>
      </c>
      <c r="U1893" s="28">
        <f>IFERROR(LOOKUP(T1893,{0;0.5;1.5;3;4.5},{"Despreciable";"Bajo";"Medio";"Alto";"Muy alto"}),"")</f>
        <v/>
      </c>
      <c r="V1893" s="13">
        <f>IFERROR(INDEX(MgAmenFrec,MATCH(SUBSTITUTE($H1893,"*","-"),MgAmenClave,0)),"")</f>
        <v/>
      </c>
      <c r="W1893" s="28">
        <f>IFERROR(LOOKUP(X1893,{0;0.01;0.1;1;10;100},{"Muy baja";"Muy baja";"Baja";"Media";"Alta";"Muy alta"}),"")</f>
        <v/>
      </c>
      <c r="X1893" s="31">
        <f>IFERROR(VLOOKUP(V1893,MgFrec,2,0),0)</f>
        <v/>
      </c>
      <c r="Y1893" s="30">
        <f>T1893*X1893</f>
        <v/>
      </c>
      <c r="Z1893" s="28">
        <f>IFERROR(LOOKUP(Y1893,{0;0.5;5;25},{"Bajo";"Medio";"Alto";"Crítico"}),"")</f>
        <v/>
      </c>
      <c r="AA1893" s="64">
        <f>IF(T1893&gt;=3,IF(X1893&gt;=1,"Zona 1 — Crítica: impacto alto y ocurre al menos una vez al año","Zona 4 — Catastrófica poco probable: impacto alto pero excepcional"),IF(AND(T1893&lt;1.5,X1893&lt;1),"Zona 3 — Asumible: impacto bajo y muy poco frecuente","Zona 2 — Atención: riesgo intermedio"))</f>
        <v/>
      </c>
      <c r="AB1893" s="64">
        <f>IFERROR(INDEX(MgAmenCtrl,MATCH(SUBSTITUTE($H1893,"*","-"),MgAmenClave,0)),"")</f>
        <v/>
      </c>
      <c r="AC1893" s="20" t="n"/>
      <c r="AD1893" s="31">
        <f>IFERROR($X1893*(1-IF($AC1893="",$AL1893,VLOOKUP($AC1893,MgMad,2,0))),"")</f>
        <v/>
      </c>
      <c r="AE1893" s="28">
        <f>IFERROR(LOOKUP(AD1893,{0;0.01;0.1;1;10;100},{"Muy baja";"Muy baja";"Baja";"Media";"Alta";"Muy alta"}),"")</f>
        <v/>
      </c>
      <c r="AF1893" s="30">
        <f>T1893*AD1893</f>
        <v/>
      </c>
      <c r="AG1893" s="28">
        <f>IFERROR(LOOKUP(AF1893,{0;0.5;5;25},{"Bajo";"Medio";"Alto";"Crítico"}),"")</f>
        <v/>
      </c>
      <c r="AH1893" s="28">
        <f>IF(AG1893="","",IF(OR(AG1893="Crítico",AG1893="Alto"),"Mitigar",IF(AG1893="Medio","Mitigar","Aceptar y monitorear")))</f>
        <v/>
      </c>
      <c r="AI1893" s="21" t="n"/>
      <c r="AJ1893" s="21" t="n"/>
      <c r="AK1893" s="20" t="n"/>
      <c r="AL1893" s="77">
        <f>IFERROR(INDEX(MgAmenEfic,MATCH(SUBSTITUTE($H1893,"*","-"),MgAmenClave,0)),0)</f>
        <v/>
      </c>
    </row>
    <row r="1894" hidden="1" ht="105" customHeight="1" s="54">
      <c r="B1894" s="59" t="inlineStr">
        <is>
          <t>R-1889</t>
        </is>
      </c>
      <c r="C1894" s="59" t="inlineStr">
        <is>
          <t>COM-15</t>
        </is>
      </c>
      <c r="D1894" s="64">
        <f>IFERROR(INDEX(MgNombre,MATCH($C1894,MgActId,0)),"")</f>
        <v/>
      </c>
      <c r="E1894" s="64">
        <f>IFERROR(INDEX(MgProceso,MATCH($C1894,MgActId,0)),"")</f>
        <v/>
      </c>
      <c r="F1894" s="64">
        <f>IFERROR(INDEX(MgTipo,MATCH($C1894,MgActId,0)),"")</f>
        <v/>
      </c>
      <c r="G1894" s="64">
        <f>IFERROR(INDEX(MgSubtipo,MATCH($C1894,MgActId,0)),"")</f>
        <v/>
      </c>
      <c r="H1894" s="59" t="inlineStr">
        <is>
          <t>E.20</t>
        </is>
      </c>
      <c r="I1894" s="64">
        <f>IFERROR(INDEX(MgAmenNombre,MATCH(SUBSTITUTE($H1894,"*","-"),MgAmenClave,0)),"")</f>
        <v/>
      </c>
      <c r="J1894" s="28">
        <f>IFERROR(INDEX(MgAmenGrupo,MATCH(SUBSTITUTE($H1894,"*","-"),MgAmenClave,0)),"")</f>
        <v/>
      </c>
      <c r="K1894" s="64">
        <f>IFERROR(INDEX('1. Matriz de Activos'!$Q$6:$Q$239,MATCH($C1894,MgActId,0)),"")</f>
        <v/>
      </c>
      <c r="L1894" s="64">
        <f>IFERROR(INDEX('1. Matriz de Activos'!$R$6:$R$239,MATCH($C1894,MgActId,0)),"")</f>
        <v/>
      </c>
      <c r="M1894" s="64">
        <f>IFERROR(INDEX('1. Matriz de Activos'!$S$6:$S$239,MATCH($C1894,MgActId,0)),"")</f>
        <v/>
      </c>
      <c r="N1894" s="28">
        <f>IFERROR(INDEX(MgAmenDegD,MATCH(SUBSTITUTE($H1894,"*","-"),MgAmenClave,0)),"No aplica")</f>
        <v/>
      </c>
      <c r="O1894" s="28">
        <f>IFERROR(INDEX(MgAmenDegI,MATCH(SUBSTITUTE($H1894,"*","-"),MgAmenClave,0)),"No aplica")</f>
        <v/>
      </c>
      <c r="P1894" s="28">
        <f>IFERROR(INDEX(MgAmenDegC,MATCH(SUBSTITUTE($H1894,"*","-"),MgAmenClave,0)),"No aplica")</f>
        <v/>
      </c>
      <c r="Q1894" s="29">
        <f>IFERROR(VLOOKUP(K1894,MgValor,2,0)*VLOOKUP(N1894,MgDeg,2,0),0)</f>
        <v/>
      </c>
      <c r="R1894" s="29">
        <f>IFERROR(VLOOKUP(L1894,MgValor,2,0)*VLOOKUP(O1894,MgDeg,2,0),0)</f>
        <v/>
      </c>
      <c r="S1894" s="29">
        <f>IFERROR(VLOOKUP(M1894,MgValor,2,0)*VLOOKUP(P1894,MgDeg,2,0),0)</f>
        <v/>
      </c>
      <c r="T1894" s="30">
        <f>MAX(Q1894:S1894)</f>
        <v/>
      </c>
      <c r="U1894" s="28">
        <f>IFERROR(LOOKUP(T1894,{0;0.5;1.5;3;4.5},{"Despreciable";"Bajo";"Medio";"Alto";"Muy alto"}),"")</f>
        <v/>
      </c>
      <c r="V1894" s="13">
        <f>IFERROR(INDEX(MgAmenFrec,MATCH(SUBSTITUTE($H1894,"*","-"),MgAmenClave,0)),"")</f>
        <v/>
      </c>
      <c r="W1894" s="28">
        <f>IFERROR(LOOKUP(X1894,{0;0.01;0.1;1;10;100},{"Muy baja";"Muy baja";"Baja";"Media";"Alta";"Muy alta"}),"")</f>
        <v/>
      </c>
      <c r="X1894" s="31">
        <f>IFERROR(VLOOKUP(V1894,MgFrec,2,0),0)</f>
        <v/>
      </c>
      <c r="Y1894" s="30">
        <f>T1894*X1894</f>
        <v/>
      </c>
      <c r="Z1894" s="28">
        <f>IFERROR(LOOKUP(Y1894,{0;0.5;5;25},{"Bajo";"Medio";"Alto";"Crítico"}),"")</f>
        <v/>
      </c>
      <c r="AA1894" s="64">
        <f>IF(T1894&gt;=3,IF(X1894&gt;=1,"Zona 1 — Crítica: impacto alto y ocurre al menos una vez al año","Zona 4 — Catastrófica poco probable: impacto alto pero excepcional"),IF(AND(T1894&lt;1.5,X1894&lt;1),"Zona 3 — Asumible: impacto bajo y muy poco frecuente","Zona 2 — Atención: riesgo intermedio"))</f>
        <v/>
      </c>
      <c r="AB1894" s="64">
        <f>IFERROR(INDEX(MgAmenCtrl,MATCH(SUBSTITUTE($H1894,"*","-"),MgAmenClave,0)),"")</f>
        <v/>
      </c>
      <c r="AC1894" s="20" t="n"/>
      <c r="AD1894" s="31">
        <f>IFERROR($X1894*(1-IF($AC1894="",$AL1894,VLOOKUP($AC1894,MgMad,2,0))),"")</f>
        <v/>
      </c>
      <c r="AE1894" s="28">
        <f>IFERROR(LOOKUP(AD1894,{0;0.01;0.1;1;10;100},{"Muy baja";"Muy baja";"Baja";"Media";"Alta";"Muy alta"}),"")</f>
        <v/>
      </c>
      <c r="AF1894" s="30">
        <f>T1894*AD1894</f>
        <v/>
      </c>
      <c r="AG1894" s="28">
        <f>IFERROR(LOOKUP(AF1894,{0;0.5;5;25},{"Bajo";"Medio";"Alto";"Crítico"}),"")</f>
        <v/>
      </c>
      <c r="AH1894" s="28">
        <f>IF(AG1894="","",IF(OR(AG1894="Crítico",AG1894="Alto"),"Mitigar",IF(AG1894="Medio","Mitigar","Aceptar y monitorear")))</f>
        <v/>
      </c>
      <c r="AI1894" s="21" t="n"/>
      <c r="AJ1894" s="21" t="n"/>
      <c r="AK1894" s="20" t="n"/>
      <c r="AL1894" s="77">
        <f>IFERROR(INDEX(MgAmenEfic,MATCH(SUBSTITUTE($H1894,"*","-"),MgAmenClave,0)),0)</f>
        <v/>
      </c>
    </row>
    <row r="1895" hidden="1" ht="75" customHeight="1" s="54">
      <c r="B1895" s="59" t="inlineStr">
        <is>
          <t>R-1890</t>
        </is>
      </c>
      <c r="C1895" s="59" t="inlineStr">
        <is>
          <t>COM-15</t>
        </is>
      </c>
      <c r="D1895" s="64">
        <f>IFERROR(INDEX(MgNombre,MATCH($C1895,MgActId,0)),"")</f>
        <v/>
      </c>
      <c r="E1895" s="64">
        <f>IFERROR(INDEX(MgProceso,MATCH($C1895,MgActId,0)),"")</f>
        <v/>
      </c>
      <c r="F1895" s="64">
        <f>IFERROR(INDEX(MgTipo,MATCH($C1895,MgActId,0)),"")</f>
        <v/>
      </c>
      <c r="G1895" s="64">
        <f>IFERROR(INDEX(MgSubtipo,MATCH($C1895,MgActId,0)),"")</f>
        <v/>
      </c>
      <c r="H1895" s="59" t="inlineStr">
        <is>
          <t>E.21</t>
        </is>
      </c>
      <c r="I1895" s="64">
        <f>IFERROR(INDEX(MgAmenNombre,MATCH(SUBSTITUTE($H1895,"*","-"),MgAmenClave,0)),"")</f>
        <v/>
      </c>
      <c r="J1895" s="28">
        <f>IFERROR(INDEX(MgAmenGrupo,MATCH(SUBSTITUTE($H1895,"*","-"),MgAmenClave,0)),"")</f>
        <v/>
      </c>
      <c r="K1895" s="64">
        <f>IFERROR(INDEX('1. Matriz de Activos'!$Q$6:$Q$239,MATCH($C1895,MgActId,0)),"")</f>
        <v/>
      </c>
      <c r="L1895" s="64">
        <f>IFERROR(INDEX('1. Matriz de Activos'!$R$6:$R$239,MATCH($C1895,MgActId,0)),"")</f>
        <v/>
      </c>
      <c r="M1895" s="64">
        <f>IFERROR(INDEX('1. Matriz de Activos'!$S$6:$S$239,MATCH($C1895,MgActId,0)),"")</f>
        <v/>
      </c>
      <c r="N1895" s="28">
        <f>IFERROR(INDEX(MgAmenDegD,MATCH(SUBSTITUTE($H1895,"*","-"),MgAmenClave,0)),"No aplica")</f>
        <v/>
      </c>
      <c r="O1895" s="28">
        <f>IFERROR(INDEX(MgAmenDegI,MATCH(SUBSTITUTE($H1895,"*","-"),MgAmenClave,0)),"No aplica")</f>
        <v/>
      </c>
      <c r="P1895" s="28">
        <f>IFERROR(INDEX(MgAmenDegC,MATCH(SUBSTITUTE($H1895,"*","-"),MgAmenClave,0)),"No aplica")</f>
        <v/>
      </c>
      <c r="Q1895" s="29">
        <f>IFERROR(VLOOKUP(K1895,MgValor,2,0)*VLOOKUP(N1895,MgDeg,2,0),0)</f>
        <v/>
      </c>
      <c r="R1895" s="29">
        <f>IFERROR(VLOOKUP(L1895,MgValor,2,0)*VLOOKUP(O1895,MgDeg,2,0),0)</f>
        <v/>
      </c>
      <c r="S1895" s="29">
        <f>IFERROR(VLOOKUP(M1895,MgValor,2,0)*VLOOKUP(P1895,MgDeg,2,0),0)</f>
        <v/>
      </c>
      <c r="T1895" s="30">
        <f>MAX(Q1895:S1895)</f>
        <v/>
      </c>
      <c r="U1895" s="28">
        <f>IFERROR(LOOKUP(T1895,{0;0.5;1.5;3;4.5},{"Despreciable";"Bajo";"Medio";"Alto";"Muy alto"}),"")</f>
        <v/>
      </c>
      <c r="V1895" s="13">
        <f>IFERROR(INDEX(MgAmenFrec,MATCH(SUBSTITUTE($H1895,"*","-"),MgAmenClave,0)),"")</f>
        <v/>
      </c>
      <c r="W1895" s="28">
        <f>IFERROR(LOOKUP(X1895,{0;0.01;0.1;1;10;100},{"Muy baja";"Muy baja";"Baja";"Media";"Alta";"Muy alta"}),"")</f>
        <v/>
      </c>
      <c r="X1895" s="31">
        <f>IFERROR(VLOOKUP(V1895,MgFrec,2,0),0)</f>
        <v/>
      </c>
      <c r="Y1895" s="30">
        <f>T1895*X1895</f>
        <v/>
      </c>
      <c r="Z1895" s="28">
        <f>IFERROR(LOOKUP(Y1895,{0;0.5;5;25},{"Bajo";"Medio";"Alto";"Crítico"}),"")</f>
        <v/>
      </c>
      <c r="AA1895" s="64">
        <f>IF(T1895&gt;=3,IF(X1895&gt;=1,"Zona 1 — Crítica: impacto alto y ocurre al menos una vez al año","Zona 4 — Catastrófica poco probable: impacto alto pero excepcional"),IF(AND(T1895&lt;1.5,X1895&lt;1),"Zona 3 — Asumible: impacto bajo y muy poco frecuente","Zona 2 — Atención: riesgo intermedio"))</f>
        <v/>
      </c>
      <c r="AB1895" s="64">
        <f>IFERROR(INDEX(MgAmenCtrl,MATCH(SUBSTITUTE($H1895,"*","-"),MgAmenClave,0)),"")</f>
        <v/>
      </c>
      <c r="AC1895" s="20" t="n"/>
      <c r="AD1895" s="31">
        <f>IFERROR($X1895*(1-IF($AC1895="",$AL1895,VLOOKUP($AC1895,MgMad,2,0))),"")</f>
        <v/>
      </c>
      <c r="AE1895" s="28">
        <f>IFERROR(LOOKUP(AD1895,{0;0.01;0.1;1;10;100},{"Muy baja";"Muy baja";"Baja";"Media";"Alta";"Muy alta"}),"")</f>
        <v/>
      </c>
      <c r="AF1895" s="30">
        <f>T1895*AD1895</f>
        <v/>
      </c>
      <c r="AG1895" s="28">
        <f>IFERROR(LOOKUP(AF1895,{0;0.5;5;25},{"Bajo";"Medio";"Alto";"Crítico"}),"")</f>
        <v/>
      </c>
      <c r="AH1895" s="28">
        <f>IF(AG1895="","",IF(OR(AG1895="Crítico",AG1895="Alto"),"Mitigar",IF(AG1895="Medio","Mitigar","Aceptar y monitorear")))</f>
        <v/>
      </c>
      <c r="AI1895" s="21" t="n"/>
      <c r="AJ1895" s="21" t="n"/>
      <c r="AK1895" s="20" t="n"/>
      <c r="AL1895" s="77">
        <f>IFERROR(INDEX(MgAmenEfic,MATCH(SUBSTITUTE($H1895,"*","-"),MgAmenClave,0)),0)</f>
        <v/>
      </c>
    </row>
    <row r="1896" hidden="1" ht="75" customHeight="1" s="54">
      <c r="B1896" s="59" t="inlineStr">
        <is>
          <t>R-1891</t>
        </is>
      </c>
      <c r="C1896" s="59" t="inlineStr">
        <is>
          <t>COM-15</t>
        </is>
      </c>
      <c r="D1896" s="64">
        <f>IFERROR(INDEX(MgNombre,MATCH($C1896,MgActId,0)),"")</f>
        <v/>
      </c>
      <c r="E1896" s="64">
        <f>IFERROR(INDEX(MgProceso,MATCH($C1896,MgActId,0)),"")</f>
        <v/>
      </c>
      <c r="F1896" s="64">
        <f>IFERROR(INDEX(MgTipo,MATCH($C1896,MgActId,0)),"")</f>
        <v/>
      </c>
      <c r="G1896" s="64">
        <f>IFERROR(INDEX(MgSubtipo,MATCH($C1896,MgActId,0)),"")</f>
        <v/>
      </c>
      <c r="H1896" s="59" t="inlineStr">
        <is>
          <t>A.5</t>
        </is>
      </c>
      <c r="I1896" s="64">
        <f>IFERROR(INDEX(MgAmenNombre,MATCH(SUBSTITUTE($H1896,"*","-"),MgAmenClave,0)),"")</f>
        <v/>
      </c>
      <c r="J1896" s="28">
        <f>IFERROR(INDEX(MgAmenGrupo,MATCH(SUBSTITUTE($H1896,"*","-"),MgAmenClave,0)),"")</f>
        <v/>
      </c>
      <c r="K1896" s="64">
        <f>IFERROR(INDEX('1. Matriz de Activos'!$Q$6:$Q$239,MATCH($C1896,MgActId,0)),"")</f>
        <v/>
      </c>
      <c r="L1896" s="64">
        <f>IFERROR(INDEX('1. Matriz de Activos'!$R$6:$R$239,MATCH($C1896,MgActId,0)),"")</f>
        <v/>
      </c>
      <c r="M1896" s="64">
        <f>IFERROR(INDEX('1. Matriz de Activos'!$S$6:$S$239,MATCH($C1896,MgActId,0)),"")</f>
        <v/>
      </c>
      <c r="N1896" s="28">
        <f>IFERROR(INDEX(MgAmenDegD,MATCH(SUBSTITUTE($H1896,"*","-"),MgAmenClave,0)),"No aplica")</f>
        <v/>
      </c>
      <c r="O1896" s="28">
        <f>IFERROR(INDEX(MgAmenDegI,MATCH(SUBSTITUTE($H1896,"*","-"),MgAmenClave,0)),"No aplica")</f>
        <v/>
      </c>
      <c r="P1896" s="28">
        <f>IFERROR(INDEX(MgAmenDegC,MATCH(SUBSTITUTE($H1896,"*","-"),MgAmenClave,0)),"No aplica")</f>
        <v/>
      </c>
      <c r="Q1896" s="29">
        <f>IFERROR(VLOOKUP(K1896,MgValor,2,0)*VLOOKUP(N1896,MgDeg,2,0),0)</f>
        <v/>
      </c>
      <c r="R1896" s="29">
        <f>IFERROR(VLOOKUP(L1896,MgValor,2,0)*VLOOKUP(O1896,MgDeg,2,0),0)</f>
        <v/>
      </c>
      <c r="S1896" s="29">
        <f>IFERROR(VLOOKUP(M1896,MgValor,2,0)*VLOOKUP(P1896,MgDeg,2,0),0)</f>
        <v/>
      </c>
      <c r="T1896" s="30">
        <f>MAX(Q1896:S1896)</f>
        <v/>
      </c>
      <c r="U1896" s="28">
        <f>IFERROR(LOOKUP(T1896,{0;0.5;1.5;3;4.5},{"Despreciable";"Bajo";"Medio";"Alto";"Muy alto"}),"")</f>
        <v/>
      </c>
      <c r="V1896" s="13">
        <f>IFERROR(INDEX(MgAmenFrec,MATCH(SUBSTITUTE($H1896,"*","-"),MgAmenClave,0)),"")</f>
        <v/>
      </c>
      <c r="W1896" s="28">
        <f>IFERROR(LOOKUP(X1896,{0;0.01;0.1;1;10;100},{"Muy baja";"Muy baja";"Baja";"Media";"Alta";"Muy alta"}),"")</f>
        <v/>
      </c>
      <c r="X1896" s="31">
        <f>IFERROR(VLOOKUP(V1896,MgFrec,2,0),0)</f>
        <v/>
      </c>
      <c r="Y1896" s="30">
        <f>T1896*X1896</f>
        <v/>
      </c>
      <c r="Z1896" s="28">
        <f>IFERROR(LOOKUP(Y1896,{0;0.5;5;25},{"Bajo";"Medio";"Alto";"Crítico"}),"")</f>
        <v/>
      </c>
      <c r="AA1896" s="64">
        <f>IF(T1896&gt;=3,IF(X1896&gt;=1,"Zona 1 — Crítica: impacto alto y ocurre al menos una vez al año","Zona 4 — Catastrófica poco probable: impacto alto pero excepcional"),IF(AND(T1896&lt;1.5,X1896&lt;1),"Zona 3 — Asumible: impacto bajo y muy poco frecuente","Zona 2 — Atención: riesgo intermedio"))</f>
        <v/>
      </c>
      <c r="AB1896" s="64">
        <f>IFERROR(INDEX(MgAmenCtrl,MATCH(SUBSTITUTE($H1896,"*","-"),MgAmenClave,0)),"")</f>
        <v/>
      </c>
      <c r="AC1896" s="20" t="n"/>
      <c r="AD1896" s="31">
        <f>IFERROR($X1896*(1-IF($AC1896="",$AL1896,VLOOKUP($AC1896,MgMad,2,0))),"")</f>
        <v/>
      </c>
      <c r="AE1896" s="28">
        <f>IFERROR(LOOKUP(AD1896,{0;0.01;0.1;1;10;100},{"Muy baja";"Muy baja";"Baja";"Media";"Alta";"Muy alta"}),"")</f>
        <v/>
      </c>
      <c r="AF1896" s="30">
        <f>T1896*AD1896</f>
        <v/>
      </c>
      <c r="AG1896" s="28">
        <f>IFERROR(LOOKUP(AF1896,{0;0.5;5;25},{"Bajo";"Medio";"Alto";"Crítico"}),"")</f>
        <v/>
      </c>
      <c r="AH1896" s="28">
        <f>IF(AG1896="","",IF(OR(AG1896="Crítico",AG1896="Alto"),"Mitigar",IF(AG1896="Medio","Mitigar","Aceptar y monitorear")))</f>
        <v/>
      </c>
      <c r="AI1896" s="21" t="n"/>
      <c r="AJ1896" s="21" t="n"/>
      <c r="AK1896" s="20" t="n"/>
      <c r="AL1896" s="77">
        <f>IFERROR(INDEX(MgAmenEfic,MATCH(SUBSTITUTE($H1896,"*","-"),MgAmenClave,0)),0)</f>
        <v/>
      </c>
    </row>
    <row r="1897" hidden="1" ht="105" customHeight="1" s="54">
      <c r="B1897" s="59" t="inlineStr">
        <is>
          <t>R-1892</t>
        </is>
      </c>
      <c r="C1897" s="59" t="inlineStr">
        <is>
          <t>COM-15</t>
        </is>
      </c>
      <c r="D1897" s="64">
        <f>IFERROR(INDEX(MgNombre,MATCH($C1897,MgActId,0)),"")</f>
        <v/>
      </c>
      <c r="E1897" s="64">
        <f>IFERROR(INDEX(MgProceso,MATCH($C1897,MgActId,0)),"")</f>
        <v/>
      </c>
      <c r="F1897" s="64">
        <f>IFERROR(INDEX(MgTipo,MATCH($C1897,MgActId,0)),"")</f>
        <v/>
      </c>
      <c r="G1897" s="64">
        <f>IFERROR(INDEX(MgSubtipo,MATCH($C1897,MgActId,0)),"")</f>
        <v/>
      </c>
      <c r="H1897" s="59" t="inlineStr">
        <is>
          <t>A.6</t>
        </is>
      </c>
      <c r="I1897" s="64">
        <f>IFERROR(INDEX(MgAmenNombre,MATCH(SUBSTITUTE($H1897,"*","-"),MgAmenClave,0)),"")</f>
        <v/>
      </c>
      <c r="J1897" s="28">
        <f>IFERROR(INDEX(MgAmenGrupo,MATCH(SUBSTITUTE($H1897,"*","-"),MgAmenClave,0)),"")</f>
        <v/>
      </c>
      <c r="K1897" s="64">
        <f>IFERROR(INDEX('1. Matriz de Activos'!$Q$6:$Q$239,MATCH($C1897,MgActId,0)),"")</f>
        <v/>
      </c>
      <c r="L1897" s="64">
        <f>IFERROR(INDEX('1. Matriz de Activos'!$R$6:$R$239,MATCH($C1897,MgActId,0)),"")</f>
        <v/>
      </c>
      <c r="M1897" s="64">
        <f>IFERROR(INDEX('1. Matriz de Activos'!$S$6:$S$239,MATCH($C1897,MgActId,0)),"")</f>
        <v/>
      </c>
      <c r="N1897" s="28">
        <f>IFERROR(INDEX(MgAmenDegD,MATCH(SUBSTITUTE($H1897,"*","-"),MgAmenClave,0)),"No aplica")</f>
        <v/>
      </c>
      <c r="O1897" s="28">
        <f>IFERROR(INDEX(MgAmenDegI,MATCH(SUBSTITUTE($H1897,"*","-"),MgAmenClave,0)),"No aplica")</f>
        <v/>
      </c>
      <c r="P1897" s="28">
        <f>IFERROR(INDEX(MgAmenDegC,MATCH(SUBSTITUTE($H1897,"*","-"),MgAmenClave,0)),"No aplica")</f>
        <v/>
      </c>
      <c r="Q1897" s="29">
        <f>IFERROR(VLOOKUP(K1897,MgValor,2,0)*VLOOKUP(N1897,MgDeg,2,0),0)</f>
        <v/>
      </c>
      <c r="R1897" s="29">
        <f>IFERROR(VLOOKUP(L1897,MgValor,2,0)*VLOOKUP(O1897,MgDeg,2,0),0)</f>
        <v/>
      </c>
      <c r="S1897" s="29">
        <f>IFERROR(VLOOKUP(M1897,MgValor,2,0)*VLOOKUP(P1897,MgDeg,2,0),0)</f>
        <v/>
      </c>
      <c r="T1897" s="30">
        <f>MAX(Q1897:S1897)</f>
        <v/>
      </c>
      <c r="U1897" s="28">
        <f>IFERROR(LOOKUP(T1897,{0;0.5;1.5;3;4.5},{"Despreciable";"Bajo";"Medio";"Alto";"Muy alto"}),"")</f>
        <v/>
      </c>
      <c r="V1897" s="13">
        <f>IFERROR(INDEX(MgAmenFrec,MATCH(SUBSTITUTE($H1897,"*","-"),MgAmenClave,0)),"")</f>
        <v/>
      </c>
      <c r="W1897" s="28">
        <f>IFERROR(LOOKUP(X1897,{0;0.01;0.1;1;10;100},{"Muy baja";"Muy baja";"Baja";"Media";"Alta";"Muy alta"}),"")</f>
        <v/>
      </c>
      <c r="X1897" s="31">
        <f>IFERROR(VLOOKUP(V1897,MgFrec,2,0),0)</f>
        <v/>
      </c>
      <c r="Y1897" s="30">
        <f>T1897*X1897</f>
        <v/>
      </c>
      <c r="Z1897" s="28">
        <f>IFERROR(LOOKUP(Y1897,{0;0.5;5;25},{"Bajo";"Medio";"Alto";"Crítico"}),"")</f>
        <v/>
      </c>
      <c r="AA1897" s="64">
        <f>IF(T1897&gt;=3,IF(X1897&gt;=1,"Zona 1 — Crítica: impacto alto y ocurre al menos una vez al año","Zona 4 — Catastrófica poco probable: impacto alto pero excepcional"),IF(AND(T1897&lt;1.5,X1897&lt;1),"Zona 3 — Asumible: impacto bajo y muy poco frecuente","Zona 2 — Atención: riesgo intermedio"))</f>
        <v/>
      </c>
      <c r="AB1897" s="64">
        <f>IFERROR(INDEX(MgAmenCtrl,MATCH(SUBSTITUTE($H1897,"*","-"),MgAmenClave,0)),"")</f>
        <v/>
      </c>
      <c r="AC1897" s="20" t="n"/>
      <c r="AD1897" s="31">
        <f>IFERROR($X1897*(1-IF($AC1897="",$AL1897,VLOOKUP($AC1897,MgMad,2,0))),"")</f>
        <v/>
      </c>
      <c r="AE1897" s="28">
        <f>IFERROR(LOOKUP(AD1897,{0;0.01;0.1;1;10;100},{"Muy baja";"Muy baja";"Baja";"Media";"Alta";"Muy alta"}),"")</f>
        <v/>
      </c>
      <c r="AF1897" s="30">
        <f>T1897*AD1897</f>
        <v/>
      </c>
      <c r="AG1897" s="28">
        <f>IFERROR(LOOKUP(AF1897,{0;0.5;5;25},{"Bajo";"Medio";"Alto";"Crítico"}),"")</f>
        <v/>
      </c>
      <c r="AH1897" s="28">
        <f>IF(AG1897="","",IF(OR(AG1897="Crítico",AG1897="Alto"),"Mitigar",IF(AG1897="Medio","Mitigar","Aceptar y monitorear")))</f>
        <v/>
      </c>
      <c r="AI1897" s="21" t="n"/>
      <c r="AJ1897" s="21" t="n"/>
      <c r="AK1897" s="20" t="n"/>
      <c r="AL1897" s="77">
        <f>IFERROR(INDEX(MgAmenEfic,MATCH(SUBSTITUTE($H1897,"*","-"),MgAmenClave,0)),0)</f>
        <v/>
      </c>
    </row>
    <row r="1898" hidden="1" ht="60" customHeight="1" s="54">
      <c r="B1898" s="59" t="inlineStr">
        <is>
          <t>R-1893</t>
        </is>
      </c>
      <c r="C1898" s="59" t="inlineStr">
        <is>
          <t>COM-15</t>
        </is>
      </c>
      <c r="D1898" s="64">
        <f>IFERROR(INDEX(MgNombre,MATCH($C1898,MgActId,0)),"")</f>
        <v/>
      </c>
      <c r="E1898" s="64">
        <f>IFERROR(INDEX(MgProceso,MATCH($C1898,MgActId,0)),"")</f>
        <v/>
      </c>
      <c r="F1898" s="64">
        <f>IFERROR(INDEX(MgTipo,MATCH($C1898,MgActId,0)),"")</f>
        <v/>
      </c>
      <c r="G1898" s="64">
        <f>IFERROR(INDEX(MgSubtipo,MATCH($C1898,MgActId,0)),"")</f>
        <v/>
      </c>
      <c r="H1898" s="59" t="inlineStr">
        <is>
          <t>A.7</t>
        </is>
      </c>
      <c r="I1898" s="64">
        <f>IFERROR(INDEX(MgAmenNombre,MATCH(SUBSTITUTE($H1898,"*","-"),MgAmenClave,0)),"")</f>
        <v/>
      </c>
      <c r="J1898" s="28">
        <f>IFERROR(INDEX(MgAmenGrupo,MATCH(SUBSTITUTE($H1898,"*","-"),MgAmenClave,0)),"")</f>
        <v/>
      </c>
      <c r="K1898" s="64">
        <f>IFERROR(INDEX('1. Matriz de Activos'!$Q$6:$Q$239,MATCH($C1898,MgActId,0)),"")</f>
        <v/>
      </c>
      <c r="L1898" s="64">
        <f>IFERROR(INDEX('1. Matriz de Activos'!$R$6:$R$239,MATCH($C1898,MgActId,0)),"")</f>
        <v/>
      </c>
      <c r="M1898" s="64">
        <f>IFERROR(INDEX('1. Matriz de Activos'!$S$6:$S$239,MATCH($C1898,MgActId,0)),"")</f>
        <v/>
      </c>
      <c r="N1898" s="28">
        <f>IFERROR(INDEX(MgAmenDegD,MATCH(SUBSTITUTE($H1898,"*","-"),MgAmenClave,0)),"No aplica")</f>
        <v/>
      </c>
      <c r="O1898" s="28">
        <f>IFERROR(INDEX(MgAmenDegI,MATCH(SUBSTITUTE($H1898,"*","-"),MgAmenClave,0)),"No aplica")</f>
        <v/>
      </c>
      <c r="P1898" s="28">
        <f>IFERROR(INDEX(MgAmenDegC,MATCH(SUBSTITUTE($H1898,"*","-"),MgAmenClave,0)),"No aplica")</f>
        <v/>
      </c>
      <c r="Q1898" s="29">
        <f>IFERROR(VLOOKUP(K1898,MgValor,2,0)*VLOOKUP(N1898,MgDeg,2,0),0)</f>
        <v/>
      </c>
      <c r="R1898" s="29">
        <f>IFERROR(VLOOKUP(L1898,MgValor,2,0)*VLOOKUP(O1898,MgDeg,2,0),0)</f>
        <v/>
      </c>
      <c r="S1898" s="29">
        <f>IFERROR(VLOOKUP(M1898,MgValor,2,0)*VLOOKUP(P1898,MgDeg,2,0),0)</f>
        <v/>
      </c>
      <c r="T1898" s="30">
        <f>MAX(Q1898:S1898)</f>
        <v/>
      </c>
      <c r="U1898" s="28">
        <f>IFERROR(LOOKUP(T1898,{0;0.5;1.5;3;4.5},{"Despreciable";"Bajo";"Medio";"Alto";"Muy alto"}),"")</f>
        <v/>
      </c>
      <c r="V1898" s="13">
        <f>IFERROR(INDEX(MgAmenFrec,MATCH(SUBSTITUTE($H1898,"*","-"),MgAmenClave,0)),"")</f>
        <v/>
      </c>
      <c r="W1898" s="28">
        <f>IFERROR(LOOKUP(X1898,{0;0.01;0.1;1;10;100},{"Muy baja";"Muy baja";"Baja";"Media";"Alta";"Muy alta"}),"")</f>
        <v/>
      </c>
      <c r="X1898" s="31">
        <f>IFERROR(VLOOKUP(V1898,MgFrec,2,0),0)</f>
        <v/>
      </c>
      <c r="Y1898" s="30">
        <f>T1898*X1898</f>
        <v/>
      </c>
      <c r="Z1898" s="28">
        <f>IFERROR(LOOKUP(Y1898,{0;0.5;5;25},{"Bajo";"Medio";"Alto";"Crítico"}),"")</f>
        <v/>
      </c>
      <c r="AA1898" s="64">
        <f>IF(T1898&gt;=3,IF(X1898&gt;=1,"Zona 1 — Crítica: impacto alto y ocurre al menos una vez al año","Zona 4 — Catastrófica poco probable: impacto alto pero excepcional"),IF(AND(T1898&lt;1.5,X1898&lt;1),"Zona 3 — Asumible: impacto bajo y muy poco frecuente","Zona 2 — Atención: riesgo intermedio"))</f>
        <v/>
      </c>
      <c r="AB1898" s="64">
        <f>IFERROR(INDEX(MgAmenCtrl,MATCH(SUBSTITUTE($H1898,"*","-"),MgAmenClave,0)),"")</f>
        <v/>
      </c>
      <c r="AC1898" s="20" t="n"/>
      <c r="AD1898" s="31">
        <f>IFERROR($X1898*(1-IF($AC1898="",$AL1898,VLOOKUP($AC1898,MgMad,2,0))),"")</f>
        <v/>
      </c>
      <c r="AE1898" s="28">
        <f>IFERROR(LOOKUP(AD1898,{0;0.01;0.1;1;10;100},{"Muy baja";"Muy baja";"Baja";"Media";"Alta";"Muy alta"}),"")</f>
        <v/>
      </c>
      <c r="AF1898" s="30">
        <f>T1898*AD1898</f>
        <v/>
      </c>
      <c r="AG1898" s="28">
        <f>IFERROR(LOOKUP(AF1898,{0;0.5;5;25},{"Bajo";"Medio";"Alto";"Crítico"}),"")</f>
        <v/>
      </c>
      <c r="AH1898" s="28">
        <f>IF(AG1898="","",IF(OR(AG1898="Crítico",AG1898="Alto"),"Mitigar",IF(AG1898="Medio","Mitigar","Aceptar y monitorear")))</f>
        <v/>
      </c>
      <c r="AI1898" s="21" t="n"/>
      <c r="AJ1898" s="21" t="n"/>
      <c r="AK1898" s="20" t="n"/>
      <c r="AL1898" s="77">
        <f>IFERROR(INDEX(MgAmenEfic,MATCH(SUBSTITUTE($H1898,"*","-"),MgAmenClave,0)),0)</f>
        <v/>
      </c>
    </row>
    <row r="1899" hidden="1" ht="120" customHeight="1" s="54">
      <c r="B1899" s="59" t="inlineStr">
        <is>
          <t>R-1894</t>
        </is>
      </c>
      <c r="C1899" s="59" t="inlineStr">
        <is>
          <t>COM-15</t>
        </is>
      </c>
      <c r="D1899" s="64">
        <f>IFERROR(INDEX(MgNombre,MATCH($C1899,MgActId,0)),"")</f>
        <v/>
      </c>
      <c r="E1899" s="64">
        <f>IFERROR(INDEX(MgProceso,MATCH($C1899,MgActId,0)),"")</f>
        <v/>
      </c>
      <c r="F1899" s="64">
        <f>IFERROR(INDEX(MgTipo,MATCH($C1899,MgActId,0)),"")</f>
        <v/>
      </c>
      <c r="G1899" s="64">
        <f>IFERROR(INDEX(MgSubtipo,MATCH($C1899,MgActId,0)),"")</f>
        <v/>
      </c>
      <c r="H1899" s="59" t="inlineStr">
        <is>
          <t>A.8</t>
        </is>
      </c>
      <c r="I1899" s="64">
        <f>IFERROR(INDEX(MgAmenNombre,MATCH(SUBSTITUTE($H1899,"*","-"),MgAmenClave,0)),"")</f>
        <v/>
      </c>
      <c r="J1899" s="28">
        <f>IFERROR(INDEX(MgAmenGrupo,MATCH(SUBSTITUTE($H1899,"*","-"),MgAmenClave,0)),"")</f>
        <v/>
      </c>
      <c r="K1899" s="64">
        <f>IFERROR(INDEX('1. Matriz de Activos'!$Q$6:$Q$239,MATCH($C1899,MgActId,0)),"")</f>
        <v/>
      </c>
      <c r="L1899" s="64">
        <f>IFERROR(INDEX('1. Matriz de Activos'!$R$6:$R$239,MATCH($C1899,MgActId,0)),"")</f>
        <v/>
      </c>
      <c r="M1899" s="64">
        <f>IFERROR(INDEX('1. Matriz de Activos'!$S$6:$S$239,MATCH($C1899,MgActId,0)),"")</f>
        <v/>
      </c>
      <c r="N1899" s="28">
        <f>IFERROR(INDEX(MgAmenDegD,MATCH(SUBSTITUTE($H1899,"*","-"),MgAmenClave,0)),"No aplica")</f>
        <v/>
      </c>
      <c r="O1899" s="28">
        <f>IFERROR(INDEX(MgAmenDegI,MATCH(SUBSTITUTE($H1899,"*","-"),MgAmenClave,0)),"No aplica")</f>
        <v/>
      </c>
      <c r="P1899" s="28">
        <f>IFERROR(INDEX(MgAmenDegC,MATCH(SUBSTITUTE($H1899,"*","-"),MgAmenClave,0)),"No aplica")</f>
        <v/>
      </c>
      <c r="Q1899" s="29">
        <f>IFERROR(VLOOKUP(K1899,MgValor,2,0)*VLOOKUP(N1899,MgDeg,2,0),0)</f>
        <v/>
      </c>
      <c r="R1899" s="29">
        <f>IFERROR(VLOOKUP(L1899,MgValor,2,0)*VLOOKUP(O1899,MgDeg,2,0),0)</f>
        <v/>
      </c>
      <c r="S1899" s="29">
        <f>IFERROR(VLOOKUP(M1899,MgValor,2,0)*VLOOKUP(P1899,MgDeg,2,0),0)</f>
        <v/>
      </c>
      <c r="T1899" s="30">
        <f>MAX(Q1899:S1899)</f>
        <v/>
      </c>
      <c r="U1899" s="28">
        <f>IFERROR(LOOKUP(T1899,{0;0.5;1.5;3;4.5},{"Despreciable";"Bajo";"Medio";"Alto";"Muy alto"}),"")</f>
        <v/>
      </c>
      <c r="V1899" s="13">
        <f>IFERROR(INDEX(MgAmenFrec,MATCH(SUBSTITUTE($H1899,"*","-"),MgAmenClave,0)),"")</f>
        <v/>
      </c>
      <c r="W1899" s="28">
        <f>IFERROR(LOOKUP(X1899,{0;0.01;0.1;1;10;100},{"Muy baja";"Muy baja";"Baja";"Media";"Alta";"Muy alta"}),"")</f>
        <v/>
      </c>
      <c r="X1899" s="31">
        <f>IFERROR(VLOOKUP(V1899,MgFrec,2,0),0)</f>
        <v/>
      </c>
      <c r="Y1899" s="30">
        <f>T1899*X1899</f>
        <v/>
      </c>
      <c r="Z1899" s="28">
        <f>IFERROR(LOOKUP(Y1899,{0;0.5;5;25},{"Bajo";"Medio";"Alto";"Crítico"}),"")</f>
        <v/>
      </c>
      <c r="AA1899" s="64">
        <f>IF(T1899&gt;=3,IF(X1899&gt;=1,"Zona 1 — Crítica: impacto alto y ocurre al menos una vez al año","Zona 4 — Catastrófica poco probable: impacto alto pero excepcional"),IF(AND(T1899&lt;1.5,X1899&lt;1),"Zona 3 — Asumible: impacto bajo y muy poco frecuente","Zona 2 — Atención: riesgo intermedio"))</f>
        <v/>
      </c>
      <c r="AB1899" s="64">
        <f>IFERROR(INDEX(MgAmenCtrl,MATCH(SUBSTITUTE($H1899,"*","-"),MgAmenClave,0)),"")</f>
        <v/>
      </c>
      <c r="AC1899" s="20" t="n"/>
      <c r="AD1899" s="31">
        <f>IFERROR($X1899*(1-IF($AC1899="",$AL1899,VLOOKUP($AC1899,MgMad,2,0))),"")</f>
        <v/>
      </c>
      <c r="AE1899" s="28">
        <f>IFERROR(LOOKUP(AD1899,{0;0.01;0.1;1;10;100},{"Muy baja";"Muy baja";"Baja";"Media";"Alta";"Muy alta"}),"")</f>
        <v/>
      </c>
      <c r="AF1899" s="30">
        <f>T1899*AD1899</f>
        <v/>
      </c>
      <c r="AG1899" s="28">
        <f>IFERROR(LOOKUP(AF1899,{0;0.5;5;25},{"Bajo";"Medio";"Alto";"Crítico"}),"")</f>
        <v/>
      </c>
      <c r="AH1899" s="28">
        <f>IF(AG1899="","",IF(OR(AG1899="Crítico",AG1899="Alto"),"Mitigar",IF(AG1899="Medio","Mitigar","Aceptar y monitorear")))</f>
        <v/>
      </c>
      <c r="AI1899" s="21" t="n"/>
      <c r="AJ1899" s="21" t="n"/>
      <c r="AK1899" s="20" t="n"/>
      <c r="AL1899" s="77">
        <f>IFERROR(INDEX(MgAmenEfic,MATCH(SUBSTITUTE($H1899,"*","-"),MgAmenClave,0)),0)</f>
        <v/>
      </c>
    </row>
    <row r="1900" hidden="1" ht="60" customHeight="1" s="54">
      <c r="B1900" s="59" t="inlineStr">
        <is>
          <t>R-1895</t>
        </is>
      </c>
      <c r="C1900" s="59" t="inlineStr">
        <is>
          <t>COM-15</t>
        </is>
      </c>
      <c r="D1900" s="64">
        <f>IFERROR(INDEX(MgNombre,MATCH($C1900,MgActId,0)),"")</f>
        <v/>
      </c>
      <c r="E1900" s="64">
        <f>IFERROR(INDEX(MgProceso,MATCH($C1900,MgActId,0)),"")</f>
        <v/>
      </c>
      <c r="F1900" s="64">
        <f>IFERROR(INDEX(MgTipo,MATCH($C1900,MgActId,0)),"")</f>
        <v/>
      </c>
      <c r="G1900" s="64">
        <f>IFERROR(INDEX(MgSubtipo,MATCH($C1900,MgActId,0)),"")</f>
        <v/>
      </c>
      <c r="H1900" s="59" t="inlineStr">
        <is>
          <t>A.9</t>
        </is>
      </c>
      <c r="I1900" s="64">
        <f>IFERROR(INDEX(MgAmenNombre,MATCH(SUBSTITUTE($H1900,"*","-"),MgAmenClave,0)),"")</f>
        <v/>
      </c>
      <c r="J1900" s="28">
        <f>IFERROR(INDEX(MgAmenGrupo,MATCH(SUBSTITUTE($H1900,"*","-"),MgAmenClave,0)),"")</f>
        <v/>
      </c>
      <c r="K1900" s="64">
        <f>IFERROR(INDEX('1. Matriz de Activos'!$Q$6:$Q$239,MATCH($C1900,MgActId,0)),"")</f>
        <v/>
      </c>
      <c r="L1900" s="64">
        <f>IFERROR(INDEX('1. Matriz de Activos'!$R$6:$R$239,MATCH($C1900,MgActId,0)),"")</f>
        <v/>
      </c>
      <c r="M1900" s="64">
        <f>IFERROR(INDEX('1. Matriz de Activos'!$S$6:$S$239,MATCH($C1900,MgActId,0)),"")</f>
        <v/>
      </c>
      <c r="N1900" s="28">
        <f>IFERROR(INDEX(MgAmenDegD,MATCH(SUBSTITUTE($H1900,"*","-"),MgAmenClave,0)),"No aplica")</f>
        <v/>
      </c>
      <c r="O1900" s="28">
        <f>IFERROR(INDEX(MgAmenDegI,MATCH(SUBSTITUTE($H1900,"*","-"),MgAmenClave,0)),"No aplica")</f>
        <v/>
      </c>
      <c r="P1900" s="28">
        <f>IFERROR(INDEX(MgAmenDegC,MATCH(SUBSTITUTE($H1900,"*","-"),MgAmenClave,0)),"No aplica")</f>
        <v/>
      </c>
      <c r="Q1900" s="29">
        <f>IFERROR(VLOOKUP(K1900,MgValor,2,0)*VLOOKUP(N1900,MgDeg,2,0),0)</f>
        <v/>
      </c>
      <c r="R1900" s="29">
        <f>IFERROR(VLOOKUP(L1900,MgValor,2,0)*VLOOKUP(O1900,MgDeg,2,0),0)</f>
        <v/>
      </c>
      <c r="S1900" s="29">
        <f>IFERROR(VLOOKUP(M1900,MgValor,2,0)*VLOOKUP(P1900,MgDeg,2,0),0)</f>
        <v/>
      </c>
      <c r="T1900" s="30">
        <f>MAX(Q1900:S1900)</f>
        <v/>
      </c>
      <c r="U1900" s="28">
        <f>IFERROR(LOOKUP(T1900,{0;0.5;1.5;3;4.5},{"Despreciable";"Bajo";"Medio";"Alto";"Muy alto"}),"")</f>
        <v/>
      </c>
      <c r="V1900" s="13">
        <f>IFERROR(INDEX(MgAmenFrec,MATCH(SUBSTITUTE($H1900,"*","-"),MgAmenClave,0)),"")</f>
        <v/>
      </c>
      <c r="W1900" s="28">
        <f>IFERROR(LOOKUP(X1900,{0;0.01;0.1;1;10;100},{"Muy baja";"Muy baja";"Baja";"Media";"Alta";"Muy alta"}),"")</f>
        <v/>
      </c>
      <c r="X1900" s="31">
        <f>IFERROR(VLOOKUP(V1900,MgFrec,2,0),0)</f>
        <v/>
      </c>
      <c r="Y1900" s="30">
        <f>T1900*X1900</f>
        <v/>
      </c>
      <c r="Z1900" s="28">
        <f>IFERROR(LOOKUP(Y1900,{0;0.5;5;25},{"Bajo";"Medio";"Alto";"Crítico"}),"")</f>
        <v/>
      </c>
      <c r="AA1900" s="64">
        <f>IF(T1900&gt;=3,IF(X1900&gt;=1,"Zona 1 — Crítica: impacto alto y ocurre al menos una vez al año","Zona 4 — Catastrófica poco probable: impacto alto pero excepcional"),IF(AND(T1900&lt;1.5,X1900&lt;1),"Zona 3 — Asumible: impacto bajo y muy poco frecuente","Zona 2 — Atención: riesgo intermedio"))</f>
        <v/>
      </c>
      <c r="AB1900" s="64">
        <f>IFERROR(INDEX(MgAmenCtrl,MATCH(SUBSTITUTE($H1900,"*","-"),MgAmenClave,0)),"")</f>
        <v/>
      </c>
      <c r="AC1900" s="20" t="n"/>
      <c r="AD1900" s="31">
        <f>IFERROR($X1900*(1-IF($AC1900="",$AL1900,VLOOKUP($AC1900,MgMad,2,0))),"")</f>
        <v/>
      </c>
      <c r="AE1900" s="28">
        <f>IFERROR(LOOKUP(AD1900,{0;0.01;0.1;1;10;100},{"Muy baja";"Muy baja";"Baja";"Media";"Alta";"Muy alta"}),"")</f>
        <v/>
      </c>
      <c r="AF1900" s="30">
        <f>T1900*AD1900</f>
        <v/>
      </c>
      <c r="AG1900" s="28">
        <f>IFERROR(LOOKUP(AF1900,{0;0.5;5;25},{"Bajo";"Medio";"Alto";"Crítico"}),"")</f>
        <v/>
      </c>
      <c r="AH1900" s="28">
        <f>IF(AG1900="","",IF(OR(AG1900="Crítico",AG1900="Alto"),"Mitigar",IF(AG1900="Medio","Mitigar","Aceptar y monitorear")))</f>
        <v/>
      </c>
      <c r="AI1900" s="21" t="n"/>
      <c r="AJ1900" s="21" t="n"/>
      <c r="AK1900" s="20" t="n"/>
      <c r="AL1900" s="77">
        <f>IFERROR(INDEX(MgAmenEfic,MATCH(SUBSTITUTE($H1900,"*","-"),MgAmenClave,0)),0)</f>
        <v/>
      </c>
    </row>
    <row r="1901" hidden="1" ht="45" customHeight="1" s="54">
      <c r="B1901" s="59" t="inlineStr">
        <is>
          <t>R-1896</t>
        </is>
      </c>
      <c r="C1901" s="59" t="inlineStr">
        <is>
          <t>COM-15</t>
        </is>
      </c>
      <c r="D1901" s="64">
        <f>IFERROR(INDEX(MgNombre,MATCH($C1901,MgActId,0)),"")</f>
        <v/>
      </c>
      <c r="E1901" s="64">
        <f>IFERROR(INDEX(MgProceso,MATCH($C1901,MgActId,0)),"")</f>
        <v/>
      </c>
      <c r="F1901" s="64">
        <f>IFERROR(INDEX(MgTipo,MATCH($C1901,MgActId,0)),"")</f>
        <v/>
      </c>
      <c r="G1901" s="64">
        <f>IFERROR(INDEX(MgSubtipo,MATCH($C1901,MgActId,0)),"")</f>
        <v/>
      </c>
      <c r="H1901" s="59" t="inlineStr">
        <is>
          <t>A.10</t>
        </is>
      </c>
      <c r="I1901" s="64">
        <f>IFERROR(INDEX(MgAmenNombre,MATCH(SUBSTITUTE($H1901,"*","-"),MgAmenClave,0)),"")</f>
        <v/>
      </c>
      <c r="J1901" s="28">
        <f>IFERROR(INDEX(MgAmenGrupo,MATCH(SUBSTITUTE($H1901,"*","-"),MgAmenClave,0)),"")</f>
        <v/>
      </c>
      <c r="K1901" s="64">
        <f>IFERROR(INDEX('1. Matriz de Activos'!$Q$6:$Q$239,MATCH($C1901,MgActId,0)),"")</f>
        <v/>
      </c>
      <c r="L1901" s="64">
        <f>IFERROR(INDEX('1. Matriz de Activos'!$R$6:$R$239,MATCH($C1901,MgActId,0)),"")</f>
        <v/>
      </c>
      <c r="M1901" s="64">
        <f>IFERROR(INDEX('1. Matriz de Activos'!$S$6:$S$239,MATCH($C1901,MgActId,0)),"")</f>
        <v/>
      </c>
      <c r="N1901" s="28">
        <f>IFERROR(INDEX(MgAmenDegD,MATCH(SUBSTITUTE($H1901,"*","-"),MgAmenClave,0)),"No aplica")</f>
        <v/>
      </c>
      <c r="O1901" s="28">
        <f>IFERROR(INDEX(MgAmenDegI,MATCH(SUBSTITUTE($H1901,"*","-"),MgAmenClave,0)),"No aplica")</f>
        <v/>
      </c>
      <c r="P1901" s="28">
        <f>IFERROR(INDEX(MgAmenDegC,MATCH(SUBSTITUTE($H1901,"*","-"),MgAmenClave,0)),"No aplica")</f>
        <v/>
      </c>
      <c r="Q1901" s="29">
        <f>IFERROR(VLOOKUP(K1901,MgValor,2,0)*VLOOKUP(N1901,MgDeg,2,0),0)</f>
        <v/>
      </c>
      <c r="R1901" s="29">
        <f>IFERROR(VLOOKUP(L1901,MgValor,2,0)*VLOOKUP(O1901,MgDeg,2,0),0)</f>
        <v/>
      </c>
      <c r="S1901" s="29">
        <f>IFERROR(VLOOKUP(M1901,MgValor,2,0)*VLOOKUP(P1901,MgDeg,2,0),0)</f>
        <v/>
      </c>
      <c r="T1901" s="30">
        <f>MAX(Q1901:S1901)</f>
        <v/>
      </c>
      <c r="U1901" s="28">
        <f>IFERROR(LOOKUP(T1901,{0;0.5;1.5;3;4.5},{"Despreciable";"Bajo";"Medio";"Alto";"Muy alto"}),"")</f>
        <v/>
      </c>
      <c r="V1901" s="13">
        <f>IFERROR(INDEX(MgAmenFrec,MATCH(SUBSTITUTE($H1901,"*","-"),MgAmenClave,0)),"")</f>
        <v/>
      </c>
      <c r="W1901" s="28">
        <f>IFERROR(LOOKUP(X1901,{0;0.01;0.1;1;10;100},{"Muy baja";"Muy baja";"Baja";"Media";"Alta";"Muy alta"}),"")</f>
        <v/>
      </c>
      <c r="X1901" s="31">
        <f>IFERROR(VLOOKUP(V1901,MgFrec,2,0),0)</f>
        <v/>
      </c>
      <c r="Y1901" s="30">
        <f>T1901*X1901</f>
        <v/>
      </c>
      <c r="Z1901" s="28">
        <f>IFERROR(LOOKUP(Y1901,{0;0.5;5;25},{"Bajo";"Medio";"Alto";"Crítico"}),"")</f>
        <v/>
      </c>
      <c r="AA1901" s="64">
        <f>IF(T1901&gt;=3,IF(X1901&gt;=1,"Zona 1 — Crítica: impacto alto y ocurre al menos una vez al año","Zona 4 — Catastrófica poco probable: impacto alto pero excepcional"),IF(AND(T1901&lt;1.5,X1901&lt;1),"Zona 3 — Asumible: impacto bajo y muy poco frecuente","Zona 2 — Atención: riesgo intermedio"))</f>
        <v/>
      </c>
      <c r="AB1901" s="64">
        <f>IFERROR(INDEX(MgAmenCtrl,MATCH(SUBSTITUTE($H1901,"*","-"),MgAmenClave,0)),"")</f>
        <v/>
      </c>
      <c r="AC1901" s="20" t="n"/>
      <c r="AD1901" s="31">
        <f>IFERROR($X1901*(1-IF($AC1901="",$AL1901,VLOOKUP($AC1901,MgMad,2,0))),"")</f>
        <v/>
      </c>
      <c r="AE1901" s="28">
        <f>IFERROR(LOOKUP(AD1901,{0;0.01;0.1;1;10;100},{"Muy baja";"Muy baja";"Baja";"Media";"Alta";"Muy alta"}),"")</f>
        <v/>
      </c>
      <c r="AF1901" s="30">
        <f>T1901*AD1901</f>
        <v/>
      </c>
      <c r="AG1901" s="28">
        <f>IFERROR(LOOKUP(AF1901,{0;0.5;5;25},{"Bajo";"Medio";"Alto";"Crítico"}),"")</f>
        <v/>
      </c>
      <c r="AH1901" s="28">
        <f>IF(AG1901="","",IF(OR(AG1901="Crítico",AG1901="Alto"),"Mitigar",IF(AG1901="Medio","Mitigar","Aceptar y monitorear")))</f>
        <v/>
      </c>
      <c r="AI1901" s="21" t="n"/>
      <c r="AJ1901" s="21" t="n"/>
      <c r="AK1901" s="20" t="n"/>
      <c r="AL1901" s="77">
        <f>IFERROR(INDEX(MgAmenEfic,MATCH(SUBSTITUTE($H1901,"*","-"),MgAmenClave,0)),0)</f>
        <v/>
      </c>
    </row>
    <row r="1902" hidden="1" ht="120" customHeight="1" s="54">
      <c r="B1902" s="59" t="inlineStr">
        <is>
          <t>R-1897</t>
        </is>
      </c>
      <c r="C1902" s="59" t="inlineStr">
        <is>
          <t>COM-15</t>
        </is>
      </c>
      <c r="D1902" s="64">
        <f>IFERROR(INDEX(MgNombre,MATCH($C1902,MgActId,0)),"")</f>
        <v/>
      </c>
      <c r="E1902" s="64">
        <f>IFERROR(INDEX(MgProceso,MATCH($C1902,MgActId,0)),"")</f>
        <v/>
      </c>
      <c r="F1902" s="64">
        <f>IFERROR(INDEX(MgTipo,MATCH($C1902,MgActId,0)),"")</f>
        <v/>
      </c>
      <c r="G1902" s="64">
        <f>IFERROR(INDEX(MgSubtipo,MATCH($C1902,MgActId,0)),"")</f>
        <v/>
      </c>
      <c r="H1902" s="59" t="inlineStr">
        <is>
          <t>A.11</t>
        </is>
      </c>
      <c r="I1902" s="64">
        <f>IFERROR(INDEX(MgAmenNombre,MATCH(SUBSTITUTE($H1902,"*","-"),MgAmenClave,0)),"")</f>
        <v/>
      </c>
      <c r="J1902" s="28">
        <f>IFERROR(INDEX(MgAmenGrupo,MATCH(SUBSTITUTE($H1902,"*","-"),MgAmenClave,0)),"")</f>
        <v/>
      </c>
      <c r="K1902" s="64">
        <f>IFERROR(INDEX('1. Matriz de Activos'!$Q$6:$Q$239,MATCH($C1902,MgActId,0)),"")</f>
        <v/>
      </c>
      <c r="L1902" s="64">
        <f>IFERROR(INDEX('1. Matriz de Activos'!$R$6:$R$239,MATCH($C1902,MgActId,0)),"")</f>
        <v/>
      </c>
      <c r="M1902" s="64">
        <f>IFERROR(INDEX('1. Matriz de Activos'!$S$6:$S$239,MATCH($C1902,MgActId,0)),"")</f>
        <v/>
      </c>
      <c r="N1902" s="28">
        <f>IFERROR(INDEX(MgAmenDegD,MATCH(SUBSTITUTE($H1902,"*","-"),MgAmenClave,0)),"No aplica")</f>
        <v/>
      </c>
      <c r="O1902" s="28">
        <f>IFERROR(INDEX(MgAmenDegI,MATCH(SUBSTITUTE($H1902,"*","-"),MgAmenClave,0)),"No aplica")</f>
        <v/>
      </c>
      <c r="P1902" s="28">
        <f>IFERROR(INDEX(MgAmenDegC,MATCH(SUBSTITUTE($H1902,"*","-"),MgAmenClave,0)),"No aplica")</f>
        <v/>
      </c>
      <c r="Q1902" s="29">
        <f>IFERROR(VLOOKUP(K1902,MgValor,2,0)*VLOOKUP(N1902,MgDeg,2,0),0)</f>
        <v/>
      </c>
      <c r="R1902" s="29">
        <f>IFERROR(VLOOKUP(L1902,MgValor,2,0)*VLOOKUP(O1902,MgDeg,2,0),0)</f>
        <v/>
      </c>
      <c r="S1902" s="29">
        <f>IFERROR(VLOOKUP(M1902,MgValor,2,0)*VLOOKUP(P1902,MgDeg,2,0),0)</f>
        <v/>
      </c>
      <c r="T1902" s="30">
        <f>MAX(Q1902:S1902)</f>
        <v/>
      </c>
      <c r="U1902" s="28">
        <f>IFERROR(LOOKUP(T1902,{0;0.5;1.5;3;4.5},{"Despreciable";"Bajo";"Medio";"Alto";"Muy alto"}),"")</f>
        <v/>
      </c>
      <c r="V1902" s="13">
        <f>IFERROR(INDEX(MgAmenFrec,MATCH(SUBSTITUTE($H1902,"*","-"),MgAmenClave,0)),"")</f>
        <v/>
      </c>
      <c r="W1902" s="28">
        <f>IFERROR(LOOKUP(X1902,{0;0.01;0.1;1;10;100},{"Muy baja";"Muy baja";"Baja";"Media";"Alta";"Muy alta"}),"")</f>
        <v/>
      </c>
      <c r="X1902" s="31">
        <f>IFERROR(VLOOKUP(V1902,MgFrec,2,0),0)</f>
        <v/>
      </c>
      <c r="Y1902" s="30">
        <f>T1902*X1902</f>
        <v/>
      </c>
      <c r="Z1902" s="28">
        <f>IFERROR(LOOKUP(Y1902,{0;0.5;5;25},{"Bajo";"Medio";"Alto";"Crítico"}),"")</f>
        <v/>
      </c>
      <c r="AA1902" s="64">
        <f>IF(T1902&gt;=3,IF(X1902&gt;=1,"Zona 1 — Crítica: impacto alto y ocurre al menos una vez al año","Zona 4 — Catastrófica poco probable: impacto alto pero excepcional"),IF(AND(T1902&lt;1.5,X1902&lt;1),"Zona 3 — Asumible: impacto bajo y muy poco frecuente","Zona 2 — Atención: riesgo intermedio"))</f>
        <v/>
      </c>
      <c r="AB1902" s="64">
        <f>IFERROR(INDEX(MgAmenCtrl,MATCH(SUBSTITUTE($H1902,"*","-"),MgAmenClave,0)),"")</f>
        <v/>
      </c>
      <c r="AC1902" s="20" t="n"/>
      <c r="AD1902" s="31">
        <f>IFERROR($X1902*(1-IF($AC1902="",$AL1902,VLOOKUP($AC1902,MgMad,2,0))),"")</f>
        <v/>
      </c>
      <c r="AE1902" s="28">
        <f>IFERROR(LOOKUP(AD1902,{0;0.01;0.1;1;10;100},{"Muy baja";"Muy baja";"Baja";"Media";"Alta";"Muy alta"}),"")</f>
        <v/>
      </c>
      <c r="AF1902" s="30">
        <f>T1902*AD1902</f>
        <v/>
      </c>
      <c r="AG1902" s="28">
        <f>IFERROR(LOOKUP(AF1902,{0;0.5;5;25},{"Bajo";"Medio";"Alto";"Crítico"}),"")</f>
        <v/>
      </c>
      <c r="AH1902" s="28">
        <f>IF(AG1902="","",IF(OR(AG1902="Crítico",AG1902="Alto"),"Mitigar",IF(AG1902="Medio","Mitigar","Aceptar y monitorear")))</f>
        <v/>
      </c>
      <c r="AI1902" s="21" t="n"/>
      <c r="AJ1902" s="21" t="n"/>
      <c r="AK1902" s="20" t="n"/>
      <c r="AL1902" s="77">
        <f>IFERROR(INDEX(MgAmenEfic,MATCH(SUBSTITUTE($H1902,"*","-"),MgAmenClave,0)),0)</f>
        <v/>
      </c>
    </row>
    <row r="1903" hidden="1" ht="60" customHeight="1" s="54">
      <c r="B1903" s="59" t="inlineStr">
        <is>
          <t>R-1898</t>
        </is>
      </c>
      <c r="C1903" s="59" t="inlineStr">
        <is>
          <t>COM-15</t>
        </is>
      </c>
      <c r="D1903" s="64">
        <f>IFERROR(INDEX(MgNombre,MATCH($C1903,MgActId,0)),"")</f>
        <v/>
      </c>
      <c r="E1903" s="64">
        <f>IFERROR(INDEX(MgProceso,MATCH($C1903,MgActId,0)),"")</f>
        <v/>
      </c>
      <c r="F1903" s="64">
        <f>IFERROR(INDEX(MgTipo,MATCH($C1903,MgActId,0)),"")</f>
        <v/>
      </c>
      <c r="G1903" s="64">
        <f>IFERROR(INDEX(MgSubtipo,MATCH($C1903,MgActId,0)),"")</f>
        <v/>
      </c>
      <c r="H1903" s="59" t="inlineStr">
        <is>
          <t>A.15</t>
        </is>
      </c>
      <c r="I1903" s="64">
        <f>IFERROR(INDEX(MgAmenNombre,MATCH(SUBSTITUTE($H1903,"*","-"),MgAmenClave,0)),"")</f>
        <v/>
      </c>
      <c r="J1903" s="28">
        <f>IFERROR(INDEX(MgAmenGrupo,MATCH(SUBSTITUTE($H1903,"*","-"),MgAmenClave,0)),"")</f>
        <v/>
      </c>
      <c r="K1903" s="64">
        <f>IFERROR(INDEX('1. Matriz de Activos'!$Q$6:$Q$239,MATCH($C1903,MgActId,0)),"")</f>
        <v/>
      </c>
      <c r="L1903" s="64">
        <f>IFERROR(INDEX('1. Matriz de Activos'!$R$6:$R$239,MATCH($C1903,MgActId,0)),"")</f>
        <v/>
      </c>
      <c r="M1903" s="64">
        <f>IFERROR(INDEX('1. Matriz de Activos'!$S$6:$S$239,MATCH($C1903,MgActId,0)),"")</f>
        <v/>
      </c>
      <c r="N1903" s="28">
        <f>IFERROR(INDEX(MgAmenDegD,MATCH(SUBSTITUTE($H1903,"*","-"),MgAmenClave,0)),"No aplica")</f>
        <v/>
      </c>
      <c r="O1903" s="28">
        <f>IFERROR(INDEX(MgAmenDegI,MATCH(SUBSTITUTE($H1903,"*","-"),MgAmenClave,0)),"No aplica")</f>
        <v/>
      </c>
      <c r="P1903" s="28">
        <f>IFERROR(INDEX(MgAmenDegC,MATCH(SUBSTITUTE($H1903,"*","-"),MgAmenClave,0)),"No aplica")</f>
        <v/>
      </c>
      <c r="Q1903" s="29">
        <f>IFERROR(VLOOKUP(K1903,MgValor,2,0)*VLOOKUP(N1903,MgDeg,2,0),0)</f>
        <v/>
      </c>
      <c r="R1903" s="29">
        <f>IFERROR(VLOOKUP(L1903,MgValor,2,0)*VLOOKUP(O1903,MgDeg,2,0),0)</f>
        <v/>
      </c>
      <c r="S1903" s="29">
        <f>IFERROR(VLOOKUP(M1903,MgValor,2,0)*VLOOKUP(P1903,MgDeg,2,0),0)</f>
        <v/>
      </c>
      <c r="T1903" s="30">
        <f>MAX(Q1903:S1903)</f>
        <v/>
      </c>
      <c r="U1903" s="28">
        <f>IFERROR(LOOKUP(T1903,{0;0.5;1.5;3;4.5},{"Despreciable";"Bajo";"Medio";"Alto";"Muy alto"}),"")</f>
        <v/>
      </c>
      <c r="V1903" s="13">
        <f>IFERROR(INDEX(MgAmenFrec,MATCH(SUBSTITUTE($H1903,"*","-"),MgAmenClave,0)),"")</f>
        <v/>
      </c>
      <c r="W1903" s="28">
        <f>IFERROR(LOOKUP(X1903,{0;0.01;0.1;1;10;100},{"Muy baja";"Muy baja";"Baja";"Media";"Alta";"Muy alta"}),"")</f>
        <v/>
      </c>
      <c r="X1903" s="31">
        <f>IFERROR(VLOOKUP(V1903,MgFrec,2,0),0)</f>
        <v/>
      </c>
      <c r="Y1903" s="30">
        <f>T1903*X1903</f>
        <v/>
      </c>
      <c r="Z1903" s="28">
        <f>IFERROR(LOOKUP(Y1903,{0;0.5;5;25},{"Bajo";"Medio";"Alto";"Crítico"}),"")</f>
        <v/>
      </c>
      <c r="AA1903" s="64">
        <f>IF(T1903&gt;=3,IF(X1903&gt;=1,"Zona 1 — Crítica: impacto alto y ocurre al menos una vez al año","Zona 4 — Catastrófica poco probable: impacto alto pero excepcional"),IF(AND(T1903&lt;1.5,X1903&lt;1),"Zona 3 — Asumible: impacto bajo y muy poco frecuente","Zona 2 — Atención: riesgo intermedio"))</f>
        <v/>
      </c>
      <c r="AB1903" s="64">
        <f>IFERROR(INDEX(MgAmenCtrl,MATCH(SUBSTITUTE($H1903,"*","-"),MgAmenClave,0)),"")</f>
        <v/>
      </c>
      <c r="AC1903" s="20" t="n"/>
      <c r="AD1903" s="31">
        <f>IFERROR($X1903*(1-IF($AC1903="",$AL1903,VLOOKUP($AC1903,MgMad,2,0))),"")</f>
        <v/>
      </c>
      <c r="AE1903" s="28">
        <f>IFERROR(LOOKUP(AD1903,{0;0.01;0.1;1;10;100},{"Muy baja";"Muy baja";"Baja";"Media";"Alta";"Muy alta"}),"")</f>
        <v/>
      </c>
      <c r="AF1903" s="30">
        <f>T1903*AD1903</f>
        <v/>
      </c>
      <c r="AG1903" s="28">
        <f>IFERROR(LOOKUP(AF1903,{0;0.5;5;25},{"Bajo";"Medio";"Alto";"Crítico"}),"")</f>
        <v/>
      </c>
      <c r="AH1903" s="28">
        <f>IF(AG1903="","",IF(OR(AG1903="Crítico",AG1903="Alto"),"Mitigar",IF(AG1903="Medio","Mitigar","Aceptar y monitorear")))</f>
        <v/>
      </c>
      <c r="AI1903" s="21" t="n"/>
      <c r="AJ1903" s="21" t="n"/>
      <c r="AK1903" s="20" t="n"/>
      <c r="AL1903" s="77">
        <f>IFERROR(INDEX(MgAmenEfic,MATCH(SUBSTITUTE($H1903,"*","-"),MgAmenClave,0)),0)</f>
        <v/>
      </c>
    </row>
    <row r="1904" hidden="1" ht="60" customHeight="1" s="54">
      <c r="B1904" s="59" t="inlineStr">
        <is>
          <t>R-1899</t>
        </is>
      </c>
      <c r="C1904" s="59" t="inlineStr">
        <is>
          <t>COM-15</t>
        </is>
      </c>
      <c r="D1904" s="64">
        <f>IFERROR(INDEX(MgNombre,MATCH($C1904,MgActId,0)),"")</f>
        <v/>
      </c>
      <c r="E1904" s="64">
        <f>IFERROR(INDEX(MgProceso,MATCH($C1904,MgActId,0)),"")</f>
        <v/>
      </c>
      <c r="F1904" s="64">
        <f>IFERROR(INDEX(MgTipo,MATCH($C1904,MgActId,0)),"")</f>
        <v/>
      </c>
      <c r="G1904" s="64">
        <f>IFERROR(INDEX(MgSubtipo,MATCH($C1904,MgActId,0)),"")</f>
        <v/>
      </c>
      <c r="H1904" s="59" t="inlineStr">
        <is>
          <t>A.18</t>
        </is>
      </c>
      <c r="I1904" s="64">
        <f>IFERROR(INDEX(MgAmenNombre,MATCH(SUBSTITUTE($H1904,"*","-"),MgAmenClave,0)),"")</f>
        <v/>
      </c>
      <c r="J1904" s="28">
        <f>IFERROR(INDEX(MgAmenGrupo,MATCH(SUBSTITUTE($H1904,"*","-"),MgAmenClave,0)),"")</f>
        <v/>
      </c>
      <c r="K1904" s="64">
        <f>IFERROR(INDEX('1. Matriz de Activos'!$Q$6:$Q$239,MATCH($C1904,MgActId,0)),"")</f>
        <v/>
      </c>
      <c r="L1904" s="64">
        <f>IFERROR(INDEX('1. Matriz de Activos'!$R$6:$R$239,MATCH($C1904,MgActId,0)),"")</f>
        <v/>
      </c>
      <c r="M1904" s="64">
        <f>IFERROR(INDEX('1. Matriz de Activos'!$S$6:$S$239,MATCH($C1904,MgActId,0)),"")</f>
        <v/>
      </c>
      <c r="N1904" s="28">
        <f>IFERROR(INDEX(MgAmenDegD,MATCH(SUBSTITUTE($H1904,"*","-"),MgAmenClave,0)),"No aplica")</f>
        <v/>
      </c>
      <c r="O1904" s="28">
        <f>IFERROR(INDEX(MgAmenDegI,MATCH(SUBSTITUTE($H1904,"*","-"),MgAmenClave,0)),"No aplica")</f>
        <v/>
      </c>
      <c r="P1904" s="28">
        <f>IFERROR(INDEX(MgAmenDegC,MATCH(SUBSTITUTE($H1904,"*","-"),MgAmenClave,0)),"No aplica")</f>
        <v/>
      </c>
      <c r="Q1904" s="29">
        <f>IFERROR(VLOOKUP(K1904,MgValor,2,0)*VLOOKUP(N1904,MgDeg,2,0),0)</f>
        <v/>
      </c>
      <c r="R1904" s="29">
        <f>IFERROR(VLOOKUP(L1904,MgValor,2,0)*VLOOKUP(O1904,MgDeg,2,0),0)</f>
        <v/>
      </c>
      <c r="S1904" s="29">
        <f>IFERROR(VLOOKUP(M1904,MgValor,2,0)*VLOOKUP(P1904,MgDeg,2,0),0)</f>
        <v/>
      </c>
      <c r="T1904" s="30">
        <f>MAX(Q1904:S1904)</f>
        <v/>
      </c>
      <c r="U1904" s="28">
        <f>IFERROR(LOOKUP(T1904,{0;0.5;1.5;3;4.5},{"Despreciable";"Bajo";"Medio";"Alto";"Muy alto"}),"")</f>
        <v/>
      </c>
      <c r="V1904" s="13">
        <f>IFERROR(INDEX(MgAmenFrec,MATCH(SUBSTITUTE($H1904,"*","-"),MgAmenClave,0)),"")</f>
        <v/>
      </c>
      <c r="W1904" s="28">
        <f>IFERROR(LOOKUP(X1904,{0;0.01;0.1;1;10;100},{"Muy baja";"Muy baja";"Baja";"Media";"Alta";"Muy alta"}),"")</f>
        <v/>
      </c>
      <c r="X1904" s="31">
        <f>IFERROR(VLOOKUP(V1904,MgFrec,2,0),0)</f>
        <v/>
      </c>
      <c r="Y1904" s="30">
        <f>T1904*X1904</f>
        <v/>
      </c>
      <c r="Z1904" s="28">
        <f>IFERROR(LOOKUP(Y1904,{0;0.5;5;25},{"Bajo";"Medio";"Alto";"Crítico"}),"")</f>
        <v/>
      </c>
      <c r="AA1904" s="64">
        <f>IF(T1904&gt;=3,IF(X1904&gt;=1,"Zona 1 — Crítica: impacto alto y ocurre al menos una vez al año","Zona 4 — Catastrófica poco probable: impacto alto pero excepcional"),IF(AND(T1904&lt;1.5,X1904&lt;1),"Zona 3 — Asumible: impacto bajo y muy poco frecuente","Zona 2 — Atención: riesgo intermedio"))</f>
        <v/>
      </c>
      <c r="AB1904" s="64">
        <f>IFERROR(INDEX(MgAmenCtrl,MATCH(SUBSTITUTE($H1904,"*","-"),MgAmenClave,0)),"")</f>
        <v/>
      </c>
      <c r="AC1904" s="20" t="n"/>
      <c r="AD1904" s="31">
        <f>IFERROR($X1904*(1-IF($AC1904="",$AL1904,VLOOKUP($AC1904,MgMad,2,0))),"")</f>
        <v/>
      </c>
      <c r="AE1904" s="28">
        <f>IFERROR(LOOKUP(AD1904,{0;0.01;0.1;1;10;100},{"Muy baja";"Muy baja";"Baja";"Media";"Alta";"Muy alta"}),"")</f>
        <v/>
      </c>
      <c r="AF1904" s="30">
        <f>T1904*AD1904</f>
        <v/>
      </c>
      <c r="AG1904" s="28">
        <f>IFERROR(LOOKUP(AF1904,{0;0.5;5;25},{"Bajo";"Medio";"Alto";"Crítico"}),"")</f>
        <v/>
      </c>
      <c r="AH1904" s="28">
        <f>IF(AG1904="","",IF(OR(AG1904="Crítico",AG1904="Alto"),"Mitigar",IF(AG1904="Medio","Mitigar","Aceptar y monitorear")))</f>
        <v/>
      </c>
      <c r="AI1904" s="21" t="n"/>
      <c r="AJ1904" s="21" t="n"/>
      <c r="AK1904" s="20" t="n"/>
      <c r="AL1904" s="77">
        <f>IFERROR(INDEX(MgAmenEfic,MATCH(SUBSTITUTE($H1904,"*","-"),MgAmenClave,0)),0)</f>
        <v/>
      </c>
    </row>
    <row r="1905" hidden="1" ht="120" customHeight="1" s="54">
      <c r="B1905" s="59" t="inlineStr">
        <is>
          <t>R-1900</t>
        </is>
      </c>
      <c r="C1905" s="59" t="inlineStr">
        <is>
          <t>COM-15</t>
        </is>
      </c>
      <c r="D1905" s="64">
        <f>IFERROR(INDEX(MgNombre,MATCH($C1905,MgActId,0)),"")</f>
        <v/>
      </c>
      <c r="E1905" s="64">
        <f>IFERROR(INDEX(MgProceso,MATCH($C1905,MgActId,0)),"")</f>
        <v/>
      </c>
      <c r="F1905" s="64">
        <f>IFERROR(INDEX(MgTipo,MATCH($C1905,MgActId,0)),"")</f>
        <v/>
      </c>
      <c r="G1905" s="64">
        <f>IFERROR(INDEX(MgSubtipo,MATCH($C1905,MgActId,0)),"")</f>
        <v/>
      </c>
      <c r="H1905" s="59" t="inlineStr">
        <is>
          <t>A.19</t>
        </is>
      </c>
      <c r="I1905" s="64">
        <f>IFERROR(INDEX(MgAmenNombre,MATCH(SUBSTITUTE($H1905,"*","-"),MgAmenClave,0)),"")</f>
        <v/>
      </c>
      <c r="J1905" s="28">
        <f>IFERROR(INDEX(MgAmenGrupo,MATCH(SUBSTITUTE($H1905,"*","-"),MgAmenClave,0)),"")</f>
        <v/>
      </c>
      <c r="K1905" s="64">
        <f>IFERROR(INDEX('1. Matriz de Activos'!$Q$6:$Q$239,MATCH($C1905,MgActId,0)),"")</f>
        <v/>
      </c>
      <c r="L1905" s="64">
        <f>IFERROR(INDEX('1. Matriz de Activos'!$R$6:$R$239,MATCH($C1905,MgActId,0)),"")</f>
        <v/>
      </c>
      <c r="M1905" s="64">
        <f>IFERROR(INDEX('1. Matriz de Activos'!$S$6:$S$239,MATCH($C1905,MgActId,0)),"")</f>
        <v/>
      </c>
      <c r="N1905" s="28">
        <f>IFERROR(INDEX(MgAmenDegD,MATCH(SUBSTITUTE($H1905,"*","-"),MgAmenClave,0)),"No aplica")</f>
        <v/>
      </c>
      <c r="O1905" s="28">
        <f>IFERROR(INDEX(MgAmenDegI,MATCH(SUBSTITUTE($H1905,"*","-"),MgAmenClave,0)),"No aplica")</f>
        <v/>
      </c>
      <c r="P1905" s="28">
        <f>IFERROR(INDEX(MgAmenDegC,MATCH(SUBSTITUTE($H1905,"*","-"),MgAmenClave,0)),"No aplica")</f>
        <v/>
      </c>
      <c r="Q1905" s="29">
        <f>IFERROR(VLOOKUP(K1905,MgValor,2,0)*VLOOKUP(N1905,MgDeg,2,0),0)</f>
        <v/>
      </c>
      <c r="R1905" s="29">
        <f>IFERROR(VLOOKUP(L1905,MgValor,2,0)*VLOOKUP(O1905,MgDeg,2,0),0)</f>
        <v/>
      </c>
      <c r="S1905" s="29">
        <f>IFERROR(VLOOKUP(M1905,MgValor,2,0)*VLOOKUP(P1905,MgDeg,2,0),0)</f>
        <v/>
      </c>
      <c r="T1905" s="30">
        <f>MAX(Q1905:S1905)</f>
        <v/>
      </c>
      <c r="U1905" s="28">
        <f>IFERROR(LOOKUP(T1905,{0;0.5;1.5;3;4.5},{"Despreciable";"Bajo";"Medio";"Alto";"Muy alto"}),"")</f>
        <v/>
      </c>
      <c r="V1905" s="13">
        <f>IFERROR(INDEX(MgAmenFrec,MATCH(SUBSTITUTE($H1905,"*","-"),MgAmenClave,0)),"")</f>
        <v/>
      </c>
      <c r="W1905" s="28">
        <f>IFERROR(LOOKUP(X1905,{0;0.01;0.1;1;10;100},{"Muy baja";"Muy baja";"Baja";"Media";"Alta";"Muy alta"}),"")</f>
        <v/>
      </c>
      <c r="X1905" s="31">
        <f>IFERROR(VLOOKUP(V1905,MgFrec,2,0),0)</f>
        <v/>
      </c>
      <c r="Y1905" s="30">
        <f>T1905*X1905</f>
        <v/>
      </c>
      <c r="Z1905" s="28">
        <f>IFERROR(LOOKUP(Y1905,{0;0.5;5;25},{"Bajo";"Medio";"Alto";"Crítico"}),"")</f>
        <v/>
      </c>
      <c r="AA1905" s="64">
        <f>IF(T1905&gt;=3,IF(X1905&gt;=1,"Zona 1 — Crítica: impacto alto y ocurre al menos una vez al año","Zona 4 — Catastrófica poco probable: impacto alto pero excepcional"),IF(AND(T1905&lt;1.5,X1905&lt;1),"Zona 3 — Asumible: impacto bajo y muy poco frecuente","Zona 2 — Atención: riesgo intermedio"))</f>
        <v/>
      </c>
      <c r="AB1905" s="64">
        <f>IFERROR(INDEX(MgAmenCtrl,MATCH(SUBSTITUTE($H1905,"*","-"),MgAmenClave,0)),"")</f>
        <v/>
      </c>
      <c r="AC1905" s="20" t="n"/>
      <c r="AD1905" s="31">
        <f>IFERROR($X1905*(1-IF($AC1905="",$AL1905,VLOOKUP($AC1905,MgMad,2,0))),"")</f>
        <v/>
      </c>
      <c r="AE1905" s="28">
        <f>IFERROR(LOOKUP(AD1905,{0;0.01;0.1;1;10;100},{"Muy baja";"Muy baja";"Baja";"Media";"Alta";"Muy alta"}),"")</f>
        <v/>
      </c>
      <c r="AF1905" s="30">
        <f>T1905*AD1905</f>
        <v/>
      </c>
      <c r="AG1905" s="28">
        <f>IFERROR(LOOKUP(AF1905,{0;0.5;5;25},{"Bajo";"Medio";"Alto";"Crítico"}),"")</f>
        <v/>
      </c>
      <c r="AH1905" s="28">
        <f>IF(AG1905="","",IF(OR(AG1905="Crítico",AG1905="Alto"),"Mitigar",IF(AG1905="Medio","Mitigar","Aceptar y monitorear")))</f>
        <v/>
      </c>
      <c r="AI1905" s="21" t="n"/>
      <c r="AJ1905" s="21" t="n"/>
      <c r="AK1905" s="20" t="n"/>
      <c r="AL1905" s="77">
        <f>IFERROR(INDEX(MgAmenEfic,MATCH(SUBSTITUTE($H1905,"*","-"),MgAmenClave,0)),0)</f>
        <v/>
      </c>
    </row>
    <row r="1906" hidden="1" ht="135" customHeight="1" s="54">
      <c r="B1906" s="59" t="inlineStr">
        <is>
          <t>R-1901</t>
        </is>
      </c>
      <c r="C1906" s="59" t="inlineStr">
        <is>
          <t>COM-15</t>
        </is>
      </c>
      <c r="D1906" s="64">
        <f>IFERROR(INDEX(MgNombre,MATCH($C1906,MgActId,0)),"")</f>
        <v/>
      </c>
      <c r="E1906" s="64">
        <f>IFERROR(INDEX(MgProceso,MATCH($C1906,MgActId,0)),"")</f>
        <v/>
      </c>
      <c r="F1906" s="64">
        <f>IFERROR(INDEX(MgTipo,MATCH($C1906,MgActId,0)),"")</f>
        <v/>
      </c>
      <c r="G1906" s="64">
        <f>IFERROR(INDEX(MgSubtipo,MATCH($C1906,MgActId,0)),"")</f>
        <v/>
      </c>
      <c r="H1906" s="59" t="inlineStr">
        <is>
          <t>A.22</t>
        </is>
      </c>
      <c r="I1906" s="64">
        <f>IFERROR(INDEX(MgAmenNombre,MATCH(SUBSTITUTE($H1906,"*","-"),MgAmenClave,0)),"")</f>
        <v/>
      </c>
      <c r="J1906" s="28">
        <f>IFERROR(INDEX(MgAmenGrupo,MATCH(SUBSTITUTE($H1906,"*","-"),MgAmenClave,0)),"")</f>
        <v/>
      </c>
      <c r="K1906" s="64">
        <f>IFERROR(INDEX('1. Matriz de Activos'!$Q$6:$Q$239,MATCH($C1906,MgActId,0)),"")</f>
        <v/>
      </c>
      <c r="L1906" s="64">
        <f>IFERROR(INDEX('1. Matriz de Activos'!$R$6:$R$239,MATCH($C1906,MgActId,0)),"")</f>
        <v/>
      </c>
      <c r="M1906" s="64">
        <f>IFERROR(INDEX('1. Matriz de Activos'!$S$6:$S$239,MATCH($C1906,MgActId,0)),"")</f>
        <v/>
      </c>
      <c r="N1906" s="28">
        <f>IFERROR(INDEX(MgAmenDegD,MATCH(SUBSTITUTE($H1906,"*","-"),MgAmenClave,0)),"No aplica")</f>
        <v/>
      </c>
      <c r="O1906" s="28">
        <f>IFERROR(INDEX(MgAmenDegI,MATCH(SUBSTITUTE($H1906,"*","-"),MgAmenClave,0)),"No aplica")</f>
        <v/>
      </c>
      <c r="P1906" s="28">
        <f>IFERROR(INDEX(MgAmenDegC,MATCH(SUBSTITUTE($H1906,"*","-"),MgAmenClave,0)),"No aplica")</f>
        <v/>
      </c>
      <c r="Q1906" s="29">
        <f>IFERROR(VLOOKUP(K1906,MgValor,2,0)*VLOOKUP(N1906,MgDeg,2,0),0)</f>
        <v/>
      </c>
      <c r="R1906" s="29">
        <f>IFERROR(VLOOKUP(L1906,MgValor,2,0)*VLOOKUP(O1906,MgDeg,2,0),0)</f>
        <v/>
      </c>
      <c r="S1906" s="29">
        <f>IFERROR(VLOOKUP(M1906,MgValor,2,0)*VLOOKUP(P1906,MgDeg,2,0),0)</f>
        <v/>
      </c>
      <c r="T1906" s="30">
        <f>MAX(Q1906:S1906)</f>
        <v/>
      </c>
      <c r="U1906" s="28">
        <f>IFERROR(LOOKUP(T1906,{0;0.5;1.5;3;4.5},{"Despreciable";"Bajo";"Medio";"Alto";"Muy alto"}),"")</f>
        <v/>
      </c>
      <c r="V1906" s="13">
        <f>IFERROR(INDEX(MgAmenFrec,MATCH(SUBSTITUTE($H1906,"*","-"),MgAmenClave,0)),"")</f>
        <v/>
      </c>
      <c r="W1906" s="28">
        <f>IFERROR(LOOKUP(X1906,{0;0.01;0.1;1;10;100},{"Muy baja";"Muy baja";"Baja";"Media";"Alta";"Muy alta"}),"")</f>
        <v/>
      </c>
      <c r="X1906" s="31">
        <f>IFERROR(VLOOKUP(V1906,MgFrec,2,0),0)</f>
        <v/>
      </c>
      <c r="Y1906" s="30">
        <f>T1906*X1906</f>
        <v/>
      </c>
      <c r="Z1906" s="28">
        <f>IFERROR(LOOKUP(Y1906,{0;0.5;5;25},{"Bajo";"Medio";"Alto";"Crítico"}),"")</f>
        <v/>
      </c>
      <c r="AA1906" s="64">
        <f>IF(T1906&gt;=3,IF(X1906&gt;=1,"Zona 1 — Crítica: impacto alto y ocurre al menos una vez al año","Zona 4 — Catastrófica poco probable: impacto alto pero excepcional"),IF(AND(T1906&lt;1.5,X1906&lt;1),"Zona 3 — Asumible: impacto bajo y muy poco frecuente","Zona 2 — Atención: riesgo intermedio"))</f>
        <v/>
      </c>
      <c r="AB1906" s="64">
        <f>IFERROR(INDEX(MgAmenCtrl,MATCH(SUBSTITUTE($H1906,"*","-"),MgAmenClave,0)),"")</f>
        <v/>
      </c>
      <c r="AC1906" s="20" t="n"/>
      <c r="AD1906" s="31">
        <f>IFERROR($X1906*(1-IF($AC1906="",$AL1906,VLOOKUP($AC1906,MgMad,2,0))),"")</f>
        <v/>
      </c>
      <c r="AE1906" s="28">
        <f>IFERROR(LOOKUP(AD1906,{0;0.01;0.1;1;10;100},{"Muy baja";"Muy baja";"Baja";"Media";"Alta";"Muy alta"}),"")</f>
        <v/>
      </c>
      <c r="AF1906" s="30">
        <f>T1906*AD1906</f>
        <v/>
      </c>
      <c r="AG1906" s="28">
        <f>IFERROR(LOOKUP(AF1906,{0;0.5;5;25},{"Bajo";"Medio";"Alto";"Crítico"}),"")</f>
        <v/>
      </c>
      <c r="AH1906" s="28">
        <f>IF(AG1906="","",IF(OR(AG1906="Crítico",AG1906="Alto"),"Mitigar",IF(AG1906="Medio","Mitigar","Aceptar y monitorear")))</f>
        <v/>
      </c>
      <c r="AI1906" s="21" t="n"/>
      <c r="AJ1906" s="21" t="n"/>
      <c r="AK1906" s="20" t="n"/>
      <c r="AL1906" s="77">
        <f>IFERROR(INDEX(MgAmenEfic,MATCH(SUBSTITUTE($H1906,"*","-"),MgAmenClave,0)),0)</f>
        <v/>
      </c>
    </row>
    <row r="1907" hidden="1" ht="75" customHeight="1" s="54">
      <c r="B1907" s="59" t="inlineStr">
        <is>
          <t>R-1902</t>
        </is>
      </c>
      <c r="C1907" s="59" t="inlineStr">
        <is>
          <t>TEC-009</t>
        </is>
      </c>
      <c r="D1907" s="64">
        <f>IFERROR(INDEX(MgNombre,MATCH($C1907,MgActId,0)),"")</f>
        <v/>
      </c>
      <c r="E1907" s="64">
        <f>IFERROR(INDEX(MgProceso,MATCH($C1907,MgActId,0)),"")</f>
        <v/>
      </c>
      <c r="F1907" s="64">
        <f>IFERROR(INDEX(MgTipo,MATCH($C1907,MgActId,0)),"")</f>
        <v/>
      </c>
      <c r="G1907" s="64">
        <f>IFERROR(INDEX(MgSubtipo,MATCH($C1907,MgActId,0)),"")</f>
        <v/>
      </c>
      <c r="H1907" s="59" t="inlineStr">
        <is>
          <t>I.5</t>
        </is>
      </c>
      <c r="I1907" s="64">
        <f>IFERROR(INDEX(MgAmenNombre,MATCH(SUBSTITUTE($H1907,"*","-"),MgAmenClave,0)),"")</f>
        <v/>
      </c>
      <c r="J1907" s="28">
        <f>IFERROR(INDEX(MgAmenGrupo,MATCH(SUBSTITUTE($H1907,"*","-"),MgAmenClave,0)),"")</f>
        <v/>
      </c>
      <c r="K1907" s="64">
        <f>IFERROR(INDEX('1. Matriz de Activos'!$Q$6:$Q$239,MATCH($C1907,MgActId,0)),"")</f>
        <v/>
      </c>
      <c r="L1907" s="64">
        <f>IFERROR(INDEX('1. Matriz de Activos'!$R$6:$R$239,MATCH($C1907,MgActId,0)),"")</f>
        <v/>
      </c>
      <c r="M1907" s="64">
        <f>IFERROR(INDEX('1. Matriz de Activos'!$S$6:$S$239,MATCH($C1907,MgActId,0)),"")</f>
        <v/>
      </c>
      <c r="N1907" s="28">
        <f>IFERROR(INDEX(MgAmenDegD,MATCH(SUBSTITUTE($H1907,"*","-"),MgAmenClave,0)),"No aplica")</f>
        <v/>
      </c>
      <c r="O1907" s="28">
        <f>IFERROR(INDEX(MgAmenDegI,MATCH(SUBSTITUTE($H1907,"*","-"),MgAmenClave,0)),"No aplica")</f>
        <v/>
      </c>
      <c r="P1907" s="28">
        <f>IFERROR(INDEX(MgAmenDegC,MATCH(SUBSTITUTE($H1907,"*","-"),MgAmenClave,0)),"No aplica")</f>
        <v/>
      </c>
      <c r="Q1907" s="29">
        <f>IFERROR(VLOOKUP(K1907,MgValor,2,0)*VLOOKUP(N1907,MgDeg,2,0),0)</f>
        <v/>
      </c>
      <c r="R1907" s="29">
        <f>IFERROR(VLOOKUP(L1907,MgValor,2,0)*VLOOKUP(O1907,MgDeg,2,0),0)</f>
        <v/>
      </c>
      <c r="S1907" s="29">
        <f>IFERROR(VLOOKUP(M1907,MgValor,2,0)*VLOOKUP(P1907,MgDeg,2,0),0)</f>
        <v/>
      </c>
      <c r="T1907" s="30">
        <f>MAX(Q1907:S1907)</f>
        <v/>
      </c>
      <c r="U1907" s="28">
        <f>IFERROR(LOOKUP(T1907,{0;0.5;1.5;3;4.5},{"Despreciable";"Bajo";"Medio";"Alto";"Muy alto"}),"")</f>
        <v/>
      </c>
      <c r="V1907" s="13">
        <f>IFERROR(INDEX(MgAmenFrec,MATCH(SUBSTITUTE($H1907,"*","-"),MgAmenClave,0)),"")</f>
        <v/>
      </c>
      <c r="W1907" s="28">
        <f>IFERROR(LOOKUP(X1907,{0;0.01;0.1;1;10;100},{"Muy baja";"Muy baja";"Baja";"Media";"Alta";"Muy alta"}),"")</f>
        <v/>
      </c>
      <c r="X1907" s="31">
        <f>IFERROR(VLOOKUP(V1907,MgFrec,2,0),0)</f>
        <v/>
      </c>
      <c r="Y1907" s="30">
        <f>T1907*X1907</f>
        <v/>
      </c>
      <c r="Z1907" s="28">
        <f>IFERROR(LOOKUP(Y1907,{0;0.5;5;25},{"Bajo";"Medio";"Alto";"Crítico"}),"")</f>
        <v/>
      </c>
      <c r="AA1907" s="64">
        <f>IF(T1907&gt;=3,IF(X1907&gt;=1,"Zona 1 — Crítica: impacto alto y ocurre al menos una vez al año","Zona 4 — Catastrófica poco probable: impacto alto pero excepcional"),IF(AND(T1907&lt;1.5,X1907&lt;1),"Zona 3 — Asumible: impacto bajo y muy poco frecuente","Zona 2 — Atención: riesgo intermedio"))</f>
        <v/>
      </c>
      <c r="AB1907" s="64">
        <f>IFERROR(INDEX(MgAmenCtrl,MATCH(SUBSTITUTE($H1907,"*","-"),MgAmenClave,0)),"")</f>
        <v/>
      </c>
      <c r="AC1907" s="20" t="n"/>
      <c r="AD1907" s="31">
        <f>IFERROR($X1907*(1-IF($AC1907="",$AL1907,VLOOKUP($AC1907,MgMad,2,0))),"")</f>
        <v/>
      </c>
      <c r="AE1907" s="28">
        <f>IFERROR(LOOKUP(AD1907,{0;0.01;0.1;1;10;100},{"Muy baja";"Muy baja";"Baja";"Media";"Alta";"Muy alta"}),"")</f>
        <v/>
      </c>
      <c r="AF1907" s="30">
        <f>T1907*AD1907</f>
        <v/>
      </c>
      <c r="AG1907" s="28">
        <f>IFERROR(LOOKUP(AF1907,{0;0.5;5;25},{"Bajo";"Medio";"Alto";"Crítico"}),"")</f>
        <v/>
      </c>
      <c r="AH1907" s="28">
        <f>IF(AG1907="","",IF(OR(AG1907="Crítico",AG1907="Alto"),"Mitigar",IF(AG1907="Medio","Mitigar","Aceptar y monitorear")))</f>
        <v/>
      </c>
      <c r="AI1907" s="21" t="n"/>
      <c r="AJ1907" s="21" t="n"/>
      <c r="AK1907" s="20" t="n"/>
      <c r="AL1907" s="77">
        <f>IFERROR(INDEX(MgAmenEfic,MATCH(SUBSTITUTE($H1907,"*","-"),MgAmenClave,0)),0)</f>
        <v/>
      </c>
    </row>
    <row r="1908" hidden="1" ht="105" customHeight="1" s="54">
      <c r="B1908" s="59" t="inlineStr">
        <is>
          <t>R-1903</t>
        </is>
      </c>
      <c r="C1908" s="59" t="inlineStr">
        <is>
          <t>TEC-009</t>
        </is>
      </c>
      <c r="D1908" s="64">
        <f>IFERROR(INDEX(MgNombre,MATCH($C1908,MgActId,0)),"")</f>
        <v/>
      </c>
      <c r="E1908" s="64">
        <f>IFERROR(INDEX(MgProceso,MATCH($C1908,MgActId,0)),"")</f>
        <v/>
      </c>
      <c r="F1908" s="64">
        <f>IFERROR(INDEX(MgTipo,MATCH($C1908,MgActId,0)),"")</f>
        <v/>
      </c>
      <c r="G1908" s="64">
        <f>IFERROR(INDEX(MgSubtipo,MATCH($C1908,MgActId,0)),"")</f>
        <v/>
      </c>
      <c r="H1908" s="59" t="inlineStr">
        <is>
          <t>E.1</t>
        </is>
      </c>
      <c r="I1908" s="64">
        <f>IFERROR(INDEX(MgAmenNombre,MATCH(SUBSTITUTE($H1908,"*","-"),MgAmenClave,0)),"")</f>
        <v/>
      </c>
      <c r="J1908" s="28">
        <f>IFERROR(INDEX(MgAmenGrupo,MATCH(SUBSTITUTE($H1908,"*","-"),MgAmenClave,0)),"")</f>
        <v/>
      </c>
      <c r="K1908" s="64">
        <f>IFERROR(INDEX('1. Matriz de Activos'!$Q$6:$Q$239,MATCH($C1908,MgActId,0)),"")</f>
        <v/>
      </c>
      <c r="L1908" s="64">
        <f>IFERROR(INDEX('1. Matriz de Activos'!$R$6:$R$239,MATCH($C1908,MgActId,0)),"")</f>
        <v/>
      </c>
      <c r="M1908" s="64">
        <f>IFERROR(INDEX('1. Matriz de Activos'!$S$6:$S$239,MATCH($C1908,MgActId,0)),"")</f>
        <v/>
      </c>
      <c r="N1908" s="28">
        <f>IFERROR(INDEX(MgAmenDegD,MATCH(SUBSTITUTE($H1908,"*","-"),MgAmenClave,0)),"No aplica")</f>
        <v/>
      </c>
      <c r="O1908" s="28">
        <f>IFERROR(INDEX(MgAmenDegI,MATCH(SUBSTITUTE($H1908,"*","-"),MgAmenClave,0)),"No aplica")</f>
        <v/>
      </c>
      <c r="P1908" s="28">
        <f>IFERROR(INDEX(MgAmenDegC,MATCH(SUBSTITUTE($H1908,"*","-"),MgAmenClave,0)),"No aplica")</f>
        <v/>
      </c>
      <c r="Q1908" s="29">
        <f>IFERROR(VLOOKUP(K1908,MgValor,2,0)*VLOOKUP(N1908,MgDeg,2,0),0)</f>
        <v/>
      </c>
      <c r="R1908" s="29">
        <f>IFERROR(VLOOKUP(L1908,MgValor,2,0)*VLOOKUP(O1908,MgDeg,2,0),0)</f>
        <v/>
      </c>
      <c r="S1908" s="29">
        <f>IFERROR(VLOOKUP(M1908,MgValor,2,0)*VLOOKUP(P1908,MgDeg,2,0),0)</f>
        <v/>
      </c>
      <c r="T1908" s="30">
        <f>MAX(Q1908:S1908)</f>
        <v/>
      </c>
      <c r="U1908" s="28">
        <f>IFERROR(LOOKUP(T1908,{0;0.5;1.5;3;4.5},{"Despreciable";"Bajo";"Medio";"Alto";"Muy alto"}),"")</f>
        <v/>
      </c>
      <c r="V1908" s="13">
        <f>IFERROR(INDEX(MgAmenFrec,MATCH(SUBSTITUTE($H1908,"*","-"),MgAmenClave,0)),"")</f>
        <v/>
      </c>
      <c r="W1908" s="28">
        <f>IFERROR(LOOKUP(X1908,{0;0.01;0.1;1;10;100},{"Muy baja";"Muy baja";"Baja";"Media";"Alta";"Muy alta"}),"")</f>
        <v/>
      </c>
      <c r="X1908" s="31">
        <f>IFERROR(VLOOKUP(V1908,MgFrec,2,0),0)</f>
        <v/>
      </c>
      <c r="Y1908" s="30">
        <f>T1908*X1908</f>
        <v/>
      </c>
      <c r="Z1908" s="28">
        <f>IFERROR(LOOKUP(Y1908,{0;0.5;5;25},{"Bajo";"Medio";"Alto";"Crítico"}),"")</f>
        <v/>
      </c>
      <c r="AA1908" s="64">
        <f>IF(T1908&gt;=3,IF(X1908&gt;=1,"Zona 1 — Crítica: impacto alto y ocurre al menos una vez al año","Zona 4 — Catastrófica poco probable: impacto alto pero excepcional"),IF(AND(T1908&lt;1.5,X1908&lt;1),"Zona 3 — Asumible: impacto bajo y muy poco frecuente","Zona 2 — Atención: riesgo intermedio"))</f>
        <v/>
      </c>
      <c r="AB1908" s="64">
        <f>IFERROR(INDEX(MgAmenCtrl,MATCH(SUBSTITUTE($H1908,"*","-"),MgAmenClave,0)),"")</f>
        <v/>
      </c>
      <c r="AC1908" s="20" t="n"/>
      <c r="AD1908" s="31">
        <f>IFERROR($X1908*(1-IF($AC1908="",$AL1908,VLOOKUP($AC1908,MgMad,2,0))),"")</f>
        <v/>
      </c>
      <c r="AE1908" s="28">
        <f>IFERROR(LOOKUP(AD1908,{0;0.01;0.1;1;10;100},{"Muy baja";"Muy baja";"Baja";"Media";"Alta";"Muy alta"}),"")</f>
        <v/>
      </c>
      <c r="AF1908" s="30">
        <f>T1908*AD1908</f>
        <v/>
      </c>
      <c r="AG1908" s="28">
        <f>IFERROR(LOOKUP(AF1908,{0;0.5;5;25},{"Bajo";"Medio";"Alto";"Crítico"}),"")</f>
        <v/>
      </c>
      <c r="AH1908" s="28">
        <f>IF(AG1908="","",IF(OR(AG1908="Crítico",AG1908="Alto"),"Mitigar",IF(AG1908="Medio","Mitigar","Aceptar y monitorear")))</f>
        <v/>
      </c>
      <c r="AI1908" s="21" t="n"/>
      <c r="AJ1908" s="21" t="n"/>
      <c r="AK1908" s="20" t="n"/>
      <c r="AL1908" s="77">
        <f>IFERROR(INDEX(MgAmenEfic,MATCH(SUBSTITUTE($H1908,"*","-"),MgAmenClave,0)),0)</f>
        <v/>
      </c>
    </row>
    <row r="1909" hidden="1" ht="120" customHeight="1" s="54">
      <c r="B1909" s="59" t="inlineStr">
        <is>
          <t>R-1904</t>
        </is>
      </c>
      <c r="C1909" s="59" t="inlineStr">
        <is>
          <t>TEC-009</t>
        </is>
      </c>
      <c r="D1909" s="64">
        <f>IFERROR(INDEX(MgNombre,MATCH($C1909,MgActId,0)),"")</f>
        <v/>
      </c>
      <c r="E1909" s="64">
        <f>IFERROR(INDEX(MgProceso,MATCH($C1909,MgActId,0)),"")</f>
        <v/>
      </c>
      <c r="F1909" s="64">
        <f>IFERROR(INDEX(MgTipo,MATCH($C1909,MgActId,0)),"")</f>
        <v/>
      </c>
      <c r="G1909" s="64">
        <f>IFERROR(INDEX(MgSubtipo,MATCH($C1909,MgActId,0)),"")</f>
        <v/>
      </c>
      <c r="H1909" s="59" t="inlineStr">
        <is>
          <t>E.2</t>
        </is>
      </c>
      <c r="I1909" s="64">
        <f>IFERROR(INDEX(MgAmenNombre,MATCH(SUBSTITUTE($H1909,"*","-"),MgAmenClave,0)),"")</f>
        <v/>
      </c>
      <c r="J1909" s="28">
        <f>IFERROR(INDEX(MgAmenGrupo,MATCH(SUBSTITUTE($H1909,"*","-"),MgAmenClave,0)),"")</f>
        <v/>
      </c>
      <c r="K1909" s="64">
        <f>IFERROR(INDEX('1. Matriz de Activos'!$Q$6:$Q$239,MATCH($C1909,MgActId,0)),"")</f>
        <v/>
      </c>
      <c r="L1909" s="64">
        <f>IFERROR(INDEX('1. Matriz de Activos'!$R$6:$R$239,MATCH($C1909,MgActId,0)),"")</f>
        <v/>
      </c>
      <c r="M1909" s="64">
        <f>IFERROR(INDEX('1. Matriz de Activos'!$S$6:$S$239,MATCH($C1909,MgActId,0)),"")</f>
        <v/>
      </c>
      <c r="N1909" s="28">
        <f>IFERROR(INDEX(MgAmenDegD,MATCH(SUBSTITUTE($H1909,"*","-"),MgAmenClave,0)),"No aplica")</f>
        <v/>
      </c>
      <c r="O1909" s="28">
        <f>IFERROR(INDEX(MgAmenDegI,MATCH(SUBSTITUTE($H1909,"*","-"),MgAmenClave,0)),"No aplica")</f>
        <v/>
      </c>
      <c r="P1909" s="28">
        <f>IFERROR(INDEX(MgAmenDegC,MATCH(SUBSTITUTE($H1909,"*","-"),MgAmenClave,0)),"No aplica")</f>
        <v/>
      </c>
      <c r="Q1909" s="29">
        <f>IFERROR(VLOOKUP(K1909,MgValor,2,0)*VLOOKUP(N1909,MgDeg,2,0),0)</f>
        <v/>
      </c>
      <c r="R1909" s="29">
        <f>IFERROR(VLOOKUP(L1909,MgValor,2,0)*VLOOKUP(O1909,MgDeg,2,0),0)</f>
        <v/>
      </c>
      <c r="S1909" s="29">
        <f>IFERROR(VLOOKUP(M1909,MgValor,2,0)*VLOOKUP(P1909,MgDeg,2,0),0)</f>
        <v/>
      </c>
      <c r="T1909" s="30">
        <f>MAX(Q1909:S1909)</f>
        <v/>
      </c>
      <c r="U1909" s="28">
        <f>IFERROR(LOOKUP(T1909,{0;0.5;1.5;3;4.5},{"Despreciable";"Bajo";"Medio";"Alto";"Muy alto"}),"")</f>
        <v/>
      </c>
      <c r="V1909" s="13">
        <f>IFERROR(INDEX(MgAmenFrec,MATCH(SUBSTITUTE($H1909,"*","-"),MgAmenClave,0)),"")</f>
        <v/>
      </c>
      <c r="W1909" s="28">
        <f>IFERROR(LOOKUP(X1909,{0;0.01;0.1;1;10;100},{"Muy baja";"Muy baja";"Baja";"Media";"Alta";"Muy alta"}),"")</f>
        <v/>
      </c>
      <c r="X1909" s="31">
        <f>IFERROR(VLOOKUP(V1909,MgFrec,2,0),0)</f>
        <v/>
      </c>
      <c r="Y1909" s="30">
        <f>T1909*X1909</f>
        <v/>
      </c>
      <c r="Z1909" s="28">
        <f>IFERROR(LOOKUP(Y1909,{0;0.5;5;25},{"Bajo";"Medio";"Alto";"Crítico"}),"")</f>
        <v/>
      </c>
      <c r="AA1909" s="64">
        <f>IF(T1909&gt;=3,IF(X1909&gt;=1,"Zona 1 — Crítica: impacto alto y ocurre al menos una vez al año","Zona 4 — Catastrófica poco probable: impacto alto pero excepcional"),IF(AND(T1909&lt;1.5,X1909&lt;1),"Zona 3 — Asumible: impacto bajo y muy poco frecuente","Zona 2 — Atención: riesgo intermedio"))</f>
        <v/>
      </c>
      <c r="AB1909" s="64">
        <f>IFERROR(INDEX(MgAmenCtrl,MATCH(SUBSTITUTE($H1909,"*","-"),MgAmenClave,0)),"")</f>
        <v/>
      </c>
      <c r="AC1909" s="20" t="n"/>
      <c r="AD1909" s="31">
        <f>IFERROR($X1909*(1-IF($AC1909="",$AL1909,VLOOKUP($AC1909,MgMad,2,0))),"")</f>
        <v/>
      </c>
      <c r="AE1909" s="28">
        <f>IFERROR(LOOKUP(AD1909,{0;0.01;0.1;1;10;100},{"Muy baja";"Muy baja";"Baja";"Media";"Alta";"Muy alta"}),"")</f>
        <v/>
      </c>
      <c r="AF1909" s="30">
        <f>T1909*AD1909</f>
        <v/>
      </c>
      <c r="AG1909" s="28">
        <f>IFERROR(LOOKUP(AF1909,{0;0.5;5;25},{"Bajo";"Medio";"Alto";"Crítico"}),"")</f>
        <v/>
      </c>
      <c r="AH1909" s="28">
        <f>IF(AG1909="","",IF(OR(AG1909="Crítico",AG1909="Alto"),"Mitigar",IF(AG1909="Medio","Mitigar","Aceptar y monitorear")))</f>
        <v/>
      </c>
      <c r="AI1909" s="21" t="n"/>
      <c r="AJ1909" s="21" t="n"/>
      <c r="AK1909" s="20" t="n"/>
      <c r="AL1909" s="77">
        <f>IFERROR(INDEX(MgAmenEfic,MATCH(SUBSTITUTE($H1909,"*","-"),MgAmenClave,0)),0)</f>
        <v/>
      </c>
    </row>
    <row r="1910" hidden="1" ht="75" customHeight="1" s="54">
      <c r="B1910" s="59" t="inlineStr">
        <is>
          <t>R-1905</t>
        </is>
      </c>
      <c r="C1910" s="59" t="inlineStr">
        <is>
          <t>TEC-009</t>
        </is>
      </c>
      <c r="D1910" s="64">
        <f>IFERROR(INDEX(MgNombre,MATCH($C1910,MgActId,0)),"")</f>
        <v/>
      </c>
      <c r="E1910" s="64">
        <f>IFERROR(INDEX(MgProceso,MATCH($C1910,MgActId,0)),"")</f>
        <v/>
      </c>
      <c r="F1910" s="64">
        <f>IFERROR(INDEX(MgTipo,MATCH($C1910,MgActId,0)),"")</f>
        <v/>
      </c>
      <c r="G1910" s="64">
        <f>IFERROR(INDEX(MgSubtipo,MATCH($C1910,MgActId,0)),"")</f>
        <v/>
      </c>
      <c r="H1910" s="59" t="inlineStr">
        <is>
          <t>E.8</t>
        </is>
      </c>
      <c r="I1910" s="64">
        <f>IFERROR(INDEX(MgAmenNombre,MATCH(SUBSTITUTE($H1910,"*","-"),MgAmenClave,0)),"")</f>
        <v/>
      </c>
      <c r="J1910" s="28">
        <f>IFERROR(INDEX(MgAmenGrupo,MATCH(SUBSTITUTE($H1910,"*","-"),MgAmenClave,0)),"")</f>
        <v/>
      </c>
      <c r="K1910" s="64">
        <f>IFERROR(INDEX('1. Matriz de Activos'!$Q$6:$Q$239,MATCH($C1910,MgActId,0)),"")</f>
        <v/>
      </c>
      <c r="L1910" s="64">
        <f>IFERROR(INDEX('1. Matriz de Activos'!$R$6:$R$239,MATCH($C1910,MgActId,0)),"")</f>
        <v/>
      </c>
      <c r="M1910" s="64">
        <f>IFERROR(INDEX('1. Matriz de Activos'!$S$6:$S$239,MATCH($C1910,MgActId,0)),"")</f>
        <v/>
      </c>
      <c r="N1910" s="28">
        <f>IFERROR(INDEX(MgAmenDegD,MATCH(SUBSTITUTE($H1910,"*","-"),MgAmenClave,0)),"No aplica")</f>
        <v/>
      </c>
      <c r="O1910" s="28">
        <f>IFERROR(INDEX(MgAmenDegI,MATCH(SUBSTITUTE($H1910,"*","-"),MgAmenClave,0)),"No aplica")</f>
        <v/>
      </c>
      <c r="P1910" s="28">
        <f>IFERROR(INDEX(MgAmenDegC,MATCH(SUBSTITUTE($H1910,"*","-"),MgAmenClave,0)),"No aplica")</f>
        <v/>
      </c>
      <c r="Q1910" s="29">
        <f>IFERROR(VLOOKUP(K1910,MgValor,2,0)*VLOOKUP(N1910,MgDeg,2,0),0)</f>
        <v/>
      </c>
      <c r="R1910" s="29">
        <f>IFERROR(VLOOKUP(L1910,MgValor,2,0)*VLOOKUP(O1910,MgDeg,2,0),0)</f>
        <v/>
      </c>
      <c r="S1910" s="29">
        <f>IFERROR(VLOOKUP(M1910,MgValor,2,0)*VLOOKUP(P1910,MgDeg,2,0),0)</f>
        <v/>
      </c>
      <c r="T1910" s="30">
        <f>MAX(Q1910:S1910)</f>
        <v/>
      </c>
      <c r="U1910" s="28">
        <f>IFERROR(LOOKUP(T1910,{0;0.5;1.5;3;4.5},{"Despreciable";"Bajo";"Medio";"Alto";"Muy alto"}),"")</f>
        <v/>
      </c>
      <c r="V1910" s="13">
        <f>IFERROR(INDEX(MgAmenFrec,MATCH(SUBSTITUTE($H1910,"*","-"),MgAmenClave,0)),"")</f>
        <v/>
      </c>
      <c r="W1910" s="28">
        <f>IFERROR(LOOKUP(X1910,{0;0.01;0.1;1;10;100},{"Muy baja";"Muy baja";"Baja";"Media";"Alta";"Muy alta"}),"")</f>
        <v/>
      </c>
      <c r="X1910" s="31">
        <f>IFERROR(VLOOKUP(V1910,MgFrec,2,0),0)</f>
        <v/>
      </c>
      <c r="Y1910" s="30">
        <f>T1910*X1910</f>
        <v/>
      </c>
      <c r="Z1910" s="28">
        <f>IFERROR(LOOKUP(Y1910,{0;0.5;5;25},{"Bajo";"Medio";"Alto";"Crítico"}),"")</f>
        <v/>
      </c>
      <c r="AA1910" s="64">
        <f>IF(T1910&gt;=3,IF(X1910&gt;=1,"Zona 1 — Crítica: impacto alto y ocurre al menos una vez al año","Zona 4 — Catastrófica poco probable: impacto alto pero excepcional"),IF(AND(T1910&lt;1.5,X1910&lt;1),"Zona 3 — Asumible: impacto bajo y muy poco frecuente","Zona 2 — Atención: riesgo intermedio"))</f>
        <v/>
      </c>
      <c r="AB1910" s="64">
        <f>IFERROR(INDEX(MgAmenCtrl,MATCH(SUBSTITUTE($H1910,"*","-"),MgAmenClave,0)),"")</f>
        <v/>
      </c>
      <c r="AC1910" s="20" t="n"/>
      <c r="AD1910" s="31">
        <f>IFERROR($X1910*(1-IF($AC1910="",$AL1910,VLOOKUP($AC1910,MgMad,2,0))),"")</f>
        <v/>
      </c>
      <c r="AE1910" s="28">
        <f>IFERROR(LOOKUP(AD1910,{0;0.01;0.1;1;10;100},{"Muy baja";"Muy baja";"Baja";"Media";"Alta";"Muy alta"}),"")</f>
        <v/>
      </c>
      <c r="AF1910" s="30">
        <f>T1910*AD1910</f>
        <v/>
      </c>
      <c r="AG1910" s="28">
        <f>IFERROR(LOOKUP(AF1910,{0;0.5;5;25},{"Bajo";"Medio";"Alto";"Crítico"}),"")</f>
        <v/>
      </c>
      <c r="AH1910" s="28">
        <f>IF(AG1910="","",IF(OR(AG1910="Crítico",AG1910="Alto"),"Mitigar",IF(AG1910="Medio","Mitigar","Aceptar y monitorear")))</f>
        <v/>
      </c>
      <c r="AI1910" s="21" t="n"/>
      <c r="AJ1910" s="21" t="n"/>
      <c r="AK1910" s="20" t="n"/>
      <c r="AL1910" s="77">
        <f>IFERROR(INDEX(MgAmenEfic,MATCH(SUBSTITUTE($H1910,"*","-"),MgAmenClave,0)),0)</f>
        <v/>
      </c>
    </row>
    <row r="1911" hidden="1" ht="60" customHeight="1" s="54">
      <c r="B1911" s="59" t="inlineStr">
        <is>
          <t>R-1906</t>
        </is>
      </c>
      <c r="C1911" s="59" t="inlineStr">
        <is>
          <t>TEC-009</t>
        </is>
      </c>
      <c r="D1911" s="64">
        <f>IFERROR(INDEX(MgNombre,MATCH($C1911,MgActId,0)),"")</f>
        <v/>
      </c>
      <c r="E1911" s="64">
        <f>IFERROR(INDEX(MgProceso,MATCH($C1911,MgActId,0)),"")</f>
        <v/>
      </c>
      <c r="F1911" s="64">
        <f>IFERROR(INDEX(MgTipo,MATCH($C1911,MgActId,0)),"")</f>
        <v/>
      </c>
      <c r="G1911" s="64">
        <f>IFERROR(INDEX(MgSubtipo,MATCH($C1911,MgActId,0)),"")</f>
        <v/>
      </c>
      <c r="H1911" s="59" t="inlineStr">
        <is>
          <t>E.9</t>
        </is>
      </c>
      <c r="I1911" s="64">
        <f>IFERROR(INDEX(MgAmenNombre,MATCH(SUBSTITUTE($H1911,"*","-"),MgAmenClave,0)),"")</f>
        <v/>
      </c>
      <c r="J1911" s="28">
        <f>IFERROR(INDEX(MgAmenGrupo,MATCH(SUBSTITUTE($H1911,"*","-"),MgAmenClave,0)),"")</f>
        <v/>
      </c>
      <c r="K1911" s="64">
        <f>IFERROR(INDEX('1. Matriz de Activos'!$Q$6:$Q$239,MATCH($C1911,MgActId,0)),"")</f>
        <v/>
      </c>
      <c r="L1911" s="64">
        <f>IFERROR(INDEX('1. Matriz de Activos'!$R$6:$R$239,MATCH($C1911,MgActId,0)),"")</f>
        <v/>
      </c>
      <c r="M1911" s="64">
        <f>IFERROR(INDEX('1. Matriz de Activos'!$S$6:$S$239,MATCH($C1911,MgActId,0)),"")</f>
        <v/>
      </c>
      <c r="N1911" s="28">
        <f>IFERROR(INDEX(MgAmenDegD,MATCH(SUBSTITUTE($H1911,"*","-"),MgAmenClave,0)),"No aplica")</f>
        <v/>
      </c>
      <c r="O1911" s="28">
        <f>IFERROR(INDEX(MgAmenDegI,MATCH(SUBSTITUTE($H1911,"*","-"),MgAmenClave,0)),"No aplica")</f>
        <v/>
      </c>
      <c r="P1911" s="28">
        <f>IFERROR(INDEX(MgAmenDegC,MATCH(SUBSTITUTE($H1911,"*","-"),MgAmenClave,0)),"No aplica")</f>
        <v/>
      </c>
      <c r="Q1911" s="29">
        <f>IFERROR(VLOOKUP(K1911,MgValor,2,0)*VLOOKUP(N1911,MgDeg,2,0),0)</f>
        <v/>
      </c>
      <c r="R1911" s="29">
        <f>IFERROR(VLOOKUP(L1911,MgValor,2,0)*VLOOKUP(O1911,MgDeg,2,0),0)</f>
        <v/>
      </c>
      <c r="S1911" s="29">
        <f>IFERROR(VLOOKUP(M1911,MgValor,2,0)*VLOOKUP(P1911,MgDeg,2,0),0)</f>
        <v/>
      </c>
      <c r="T1911" s="30">
        <f>MAX(Q1911:S1911)</f>
        <v/>
      </c>
      <c r="U1911" s="28">
        <f>IFERROR(LOOKUP(T1911,{0;0.5;1.5;3;4.5},{"Despreciable";"Bajo";"Medio";"Alto";"Muy alto"}),"")</f>
        <v/>
      </c>
      <c r="V1911" s="13">
        <f>IFERROR(INDEX(MgAmenFrec,MATCH(SUBSTITUTE($H1911,"*","-"),MgAmenClave,0)),"")</f>
        <v/>
      </c>
      <c r="W1911" s="28">
        <f>IFERROR(LOOKUP(X1911,{0;0.01;0.1;1;10;100},{"Muy baja";"Muy baja";"Baja";"Media";"Alta";"Muy alta"}),"")</f>
        <v/>
      </c>
      <c r="X1911" s="31">
        <f>IFERROR(VLOOKUP(V1911,MgFrec,2,0),0)</f>
        <v/>
      </c>
      <c r="Y1911" s="30">
        <f>T1911*X1911</f>
        <v/>
      </c>
      <c r="Z1911" s="28">
        <f>IFERROR(LOOKUP(Y1911,{0;0.5;5;25},{"Bajo";"Medio";"Alto";"Crítico"}),"")</f>
        <v/>
      </c>
      <c r="AA1911" s="64">
        <f>IF(T1911&gt;=3,IF(X1911&gt;=1,"Zona 1 — Crítica: impacto alto y ocurre al menos una vez al año","Zona 4 — Catastrófica poco probable: impacto alto pero excepcional"),IF(AND(T1911&lt;1.5,X1911&lt;1),"Zona 3 — Asumible: impacto bajo y muy poco frecuente","Zona 2 — Atención: riesgo intermedio"))</f>
        <v/>
      </c>
      <c r="AB1911" s="64">
        <f>IFERROR(INDEX(MgAmenCtrl,MATCH(SUBSTITUTE($H1911,"*","-"),MgAmenClave,0)),"")</f>
        <v/>
      </c>
      <c r="AC1911" s="20" t="n"/>
      <c r="AD1911" s="31">
        <f>IFERROR($X1911*(1-IF($AC1911="",$AL1911,VLOOKUP($AC1911,MgMad,2,0))),"")</f>
        <v/>
      </c>
      <c r="AE1911" s="28">
        <f>IFERROR(LOOKUP(AD1911,{0;0.01;0.1;1;10;100},{"Muy baja";"Muy baja";"Baja";"Media";"Alta";"Muy alta"}),"")</f>
        <v/>
      </c>
      <c r="AF1911" s="30">
        <f>T1911*AD1911</f>
        <v/>
      </c>
      <c r="AG1911" s="28">
        <f>IFERROR(LOOKUP(AF1911,{0;0.5;5;25},{"Bajo";"Medio";"Alto";"Crítico"}),"")</f>
        <v/>
      </c>
      <c r="AH1911" s="28">
        <f>IF(AG1911="","",IF(OR(AG1911="Crítico",AG1911="Alto"),"Mitigar",IF(AG1911="Medio","Mitigar","Aceptar y monitorear")))</f>
        <v/>
      </c>
      <c r="AI1911" s="21" t="n"/>
      <c r="AJ1911" s="21" t="n"/>
      <c r="AK1911" s="20" t="n"/>
      <c r="AL1911" s="77">
        <f>IFERROR(INDEX(MgAmenEfic,MATCH(SUBSTITUTE($H1911,"*","-"),MgAmenClave,0)),0)</f>
        <v/>
      </c>
    </row>
    <row r="1912" hidden="1" ht="90" customHeight="1" s="54">
      <c r="B1912" s="59" t="inlineStr">
        <is>
          <t>R-1907</t>
        </is>
      </c>
      <c r="C1912" s="59" t="inlineStr">
        <is>
          <t>TEC-009</t>
        </is>
      </c>
      <c r="D1912" s="64">
        <f>IFERROR(INDEX(MgNombre,MATCH($C1912,MgActId,0)),"")</f>
        <v/>
      </c>
      <c r="E1912" s="64">
        <f>IFERROR(INDEX(MgProceso,MATCH($C1912,MgActId,0)),"")</f>
        <v/>
      </c>
      <c r="F1912" s="64">
        <f>IFERROR(INDEX(MgTipo,MATCH($C1912,MgActId,0)),"")</f>
        <v/>
      </c>
      <c r="G1912" s="64">
        <f>IFERROR(INDEX(MgSubtipo,MATCH($C1912,MgActId,0)),"")</f>
        <v/>
      </c>
      <c r="H1912" s="59" t="inlineStr">
        <is>
          <t>E.10</t>
        </is>
      </c>
      <c r="I1912" s="64">
        <f>IFERROR(INDEX(MgAmenNombre,MATCH(SUBSTITUTE($H1912,"*","-"),MgAmenClave,0)),"")</f>
        <v/>
      </c>
      <c r="J1912" s="28">
        <f>IFERROR(INDEX(MgAmenGrupo,MATCH(SUBSTITUTE($H1912,"*","-"),MgAmenClave,0)),"")</f>
        <v/>
      </c>
      <c r="K1912" s="64">
        <f>IFERROR(INDEX('1. Matriz de Activos'!$Q$6:$Q$239,MATCH($C1912,MgActId,0)),"")</f>
        <v/>
      </c>
      <c r="L1912" s="64">
        <f>IFERROR(INDEX('1. Matriz de Activos'!$R$6:$R$239,MATCH($C1912,MgActId,0)),"")</f>
        <v/>
      </c>
      <c r="M1912" s="64">
        <f>IFERROR(INDEX('1. Matriz de Activos'!$S$6:$S$239,MATCH($C1912,MgActId,0)),"")</f>
        <v/>
      </c>
      <c r="N1912" s="28">
        <f>IFERROR(INDEX(MgAmenDegD,MATCH(SUBSTITUTE($H1912,"*","-"),MgAmenClave,0)),"No aplica")</f>
        <v/>
      </c>
      <c r="O1912" s="28">
        <f>IFERROR(INDEX(MgAmenDegI,MATCH(SUBSTITUTE($H1912,"*","-"),MgAmenClave,0)),"No aplica")</f>
        <v/>
      </c>
      <c r="P1912" s="28">
        <f>IFERROR(INDEX(MgAmenDegC,MATCH(SUBSTITUTE($H1912,"*","-"),MgAmenClave,0)),"No aplica")</f>
        <v/>
      </c>
      <c r="Q1912" s="29">
        <f>IFERROR(VLOOKUP(K1912,MgValor,2,0)*VLOOKUP(N1912,MgDeg,2,0),0)</f>
        <v/>
      </c>
      <c r="R1912" s="29">
        <f>IFERROR(VLOOKUP(L1912,MgValor,2,0)*VLOOKUP(O1912,MgDeg,2,0),0)</f>
        <v/>
      </c>
      <c r="S1912" s="29">
        <f>IFERROR(VLOOKUP(M1912,MgValor,2,0)*VLOOKUP(P1912,MgDeg,2,0),0)</f>
        <v/>
      </c>
      <c r="T1912" s="30">
        <f>MAX(Q1912:S1912)</f>
        <v/>
      </c>
      <c r="U1912" s="28">
        <f>IFERROR(LOOKUP(T1912,{0;0.5;1.5;3;4.5},{"Despreciable";"Bajo";"Medio";"Alto";"Muy alto"}),"")</f>
        <v/>
      </c>
      <c r="V1912" s="13">
        <f>IFERROR(INDEX(MgAmenFrec,MATCH(SUBSTITUTE($H1912,"*","-"),MgAmenClave,0)),"")</f>
        <v/>
      </c>
      <c r="W1912" s="28">
        <f>IFERROR(LOOKUP(X1912,{0;0.01;0.1;1;10;100},{"Muy baja";"Muy baja";"Baja";"Media";"Alta";"Muy alta"}),"")</f>
        <v/>
      </c>
      <c r="X1912" s="31">
        <f>IFERROR(VLOOKUP(V1912,MgFrec,2,0),0)</f>
        <v/>
      </c>
      <c r="Y1912" s="30">
        <f>T1912*X1912</f>
        <v/>
      </c>
      <c r="Z1912" s="28">
        <f>IFERROR(LOOKUP(Y1912,{0;0.5;5;25},{"Bajo";"Medio";"Alto";"Crítico"}),"")</f>
        <v/>
      </c>
      <c r="AA1912" s="64">
        <f>IF(T1912&gt;=3,IF(X1912&gt;=1,"Zona 1 — Crítica: impacto alto y ocurre al menos una vez al año","Zona 4 — Catastrófica poco probable: impacto alto pero excepcional"),IF(AND(T1912&lt;1.5,X1912&lt;1),"Zona 3 — Asumible: impacto bajo y muy poco frecuente","Zona 2 — Atención: riesgo intermedio"))</f>
        <v/>
      </c>
      <c r="AB1912" s="64">
        <f>IFERROR(INDEX(MgAmenCtrl,MATCH(SUBSTITUTE($H1912,"*","-"),MgAmenClave,0)),"")</f>
        <v/>
      </c>
      <c r="AC1912" s="20" t="n"/>
      <c r="AD1912" s="31">
        <f>IFERROR($X1912*(1-IF($AC1912="",$AL1912,VLOOKUP($AC1912,MgMad,2,0))),"")</f>
        <v/>
      </c>
      <c r="AE1912" s="28">
        <f>IFERROR(LOOKUP(AD1912,{0;0.01;0.1;1;10;100},{"Muy baja";"Muy baja";"Baja";"Media";"Alta";"Muy alta"}),"")</f>
        <v/>
      </c>
      <c r="AF1912" s="30">
        <f>T1912*AD1912</f>
        <v/>
      </c>
      <c r="AG1912" s="28">
        <f>IFERROR(LOOKUP(AF1912,{0;0.5;5;25},{"Bajo";"Medio";"Alto";"Crítico"}),"")</f>
        <v/>
      </c>
      <c r="AH1912" s="28">
        <f>IF(AG1912="","",IF(OR(AG1912="Crítico",AG1912="Alto"),"Mitigar",IF(AG1912="Medio","Mitigar","Aceptar y monitorear")))</f>
        <v/>
      </c>
      <c r="AI1912" s="21" t="n"/>
      <c r="AJ1912" s="21" t="n"/>
      <c r="AK1912" s="20" t="n"/>
      <c r="AL1912" s="77">
        <f>IFERROR(INDEX(MgAmenEfic,MATCH(SUBSTITUTE($H1912,"*","-"),MgAmenClave,0)),0)</f>
        <v/>
      </c>
    </row>
    <row r="1913" hidden="1" ht="90" customHeight="1" s="54">
      <c r="B1913" s="59" t="inlineStr">
        <is>
          <t>R-1908</t>
        </is>
      </c>
      <c r="C1913" s="59" t="inlineStr">
        <is>
          <t>TEC-009</t>
        </is>
      </c>
      <c r="D1913" s="64">
        <f>IFERROR(INDEX(MgNombre,MATCH($C1913,MgActId,0)),"")</f>
        <v/>
      </c>
      <c r="E1913" s="64">
        <f>IFERROR(INDEX(MgProceso,MATCH($C1913,MgActId,0)),"")</f>
        <v/>
      </c>
      <c r="F1913" s="64">
        <f>IFERROR(INDEX(MgTipo,MATCH($C1913,MgActId,0)),"")</f>
        <v/>
      </c>
      <c r="G1913" s="64">
        <f>IFERROR(INDEX(MgSubtipo,MATCH($C1913,MgActId,0)),"")</f>
        <v/>
      </c>
      <c r="H1913" s="59" t="inlineStr">
        <is>
          <t>E.14</t>
        </is>
      </c>
      <c r="I1913" s="64">
        <f>IFERROR(INDEX(MgAmenNombre,MATCH(SUBSTITUTE($H1913,"*","-"),MgAmenClave,0)),"")</f>
        <v/>
      </c>
      <c r="J1913" s="28">
        <f>IFERROR(INDEX(MgAmenGrupo,MATCH(SUBSTITUTE($H1913,"*","-"),MgAmenClave,0)),"")</f>
        <v/>
      </c>
      <c r="K1913" s="64">
        <f>IFERROR(INDEX('1. Matriz de Activos'!$Q$6:$Q$239,MATCH($C1913,MgActId,0)),"")</f>
        <v/>
      </c>
      <c r="L1913" s="64">
        <f>IFERROR(INDEX('1. Matriz de Activos'!$R$6:$R$239,MATCH($C1913,MgActId,0)),"")</f>
        <v/>
      </c>
      <c r="M1913" s="64">
        <f>IFERROR(INDEX('1. Matriz de Activos'!$S$6:$S$239,MATCH($C1913,MgActId,0)),"")</f>
        <v/>
      </c>
      <c r="N1913" s="28">
        <f>IFERROR(INDEX(MgAmenDegD,MATCH(SUBSTITUTE($H1913,"*","-"),MgAmenClave,0)),"No aplica")</f>
        <v/>
      </c>
      <c r="O1913" s="28">
        <f>IFERROR(INDEX(MgAmenDegI,MATCH(SUBSTITUTE($H1913,"*","-"),MgAmenClave,0)),"No aplica")</f>
        <v/>
      </c>
      <c r="P1913" s="28">
        <f>IFERROR(INDEX(MgAmenDegC,MATCH(SUBSTITUTE($H1913,"*","-"),MgAmenClave,0)),"No aplica")</f>
        <v/>
      </c>
      <c r="Q1913" s="29">
        <f>IFERROR(VLOOKUP(K1913,MgValor,2,0)*VLOOKUP(N1913,MgDeg,2,0),0)</f>
        <v/>
      </c>
      <c r="R1913" s="29">
        <f>IFERROR(VLOOKUP(L1913,MgValor,2,0)*VLOOKUP(O1913,MgDeg,2,0),0)</f>
        <v/>
      </c>
      <c r="S1913" s="29">
        <f>IFERROR(VLOOKUP(M1913,MgValor,2,0)*VLOOKUP(P1913,MgDeg,2,0),0)</f>
        <v/>
      </c>
      <c r="T1913" s="30">
        <f>MAX(Q1913:S1913)</f>
        <v/>
      </c>
      <c r="U1913" s="28">
        <f>IFERROR(LOOKUP(T1913,{0;0.5;1.5;3;4.5},{"Despreciable";"Bajo";"Medio";"Alto";"Muy alto"}),"")</f>
        <v/>
      </c>
      <c r="V1913" s="13">
        <f>IFERROR(INDEX(MgAmenFrec,MATCH(SUBSTITUTE($H1913,"*","-"),MgAmenClave,0)),"")</f>
        <v/>
      </c>
      <c r="W1913" s="28">
        <f>IFERROR(LOOKUP(X1913,{0;0.01;0.1;1;10;100},{"Muy baja";"Muy baja";"Baja";"Media";"Alta";"Muy alta"}),"")</f>
        <v/>
      </c>
      <c r="X1913" s="31">
        <f>IFERROR(VLOOKUP(V1913,MgFrec,2,0),0)</f>
        <v/>
      </c>
      <c r="Y1913" s="30">
        <f>T1913*X1913</f>
        <v/>
      </c>
      <c r="Z1913" s="28">
        <f>IFERROR(LOOKUP(Y1913,{0;0.5;5;25},{"Bajo";"Medio";"Alto";"Crítico"}),"")</f>
        <v/>
      </c>
      <c r="AA1913" s="64">
        <f>IF(T1913&gt;=3,IF(X1913&gt;=1,"Zona 1 — Crítica: impacto alto y ocurre al menos una vez al año","Zona 4 — Catastrófica poco probable: impacto alto pero excepcional"),IF(AND(T1913&lt;1.5,X1913&lt;1),"Zona 3 — Asumible: impacto bajo y muy poco frecuente","Zona 2 — Atención: riesgo intermedio"))</f>
        <v/>
      </c>
      <c r="AB1913" s="64">
        <f>IFERROR(INDEX(MgAmenCtrl,MATCH(SUBSTITUTE($H1913,"*","-"),MgAmenClave,0)),"")</f>
        <v/>
      </c>
      <c r="AC1913" s="20" t="n"/>
      <c r="AD1913" s="31">
        <f>IFERROR($X1913*(1-IF($AC1913="",$AL1913,VLOOKUP($AC1913,MgMad,2,0))),"")</f>
        <v/>
      </c>
      <c r="AE1913" s="28">
        <f>IFERROR(LOOKUP(AD1913,{0;0.01;0.1;1;10;100},{"Muy baja";"Muy baja";"Baja";"Media";"Alta";"Muy alta"}),"")</f>
        <v/>
      </c>
      <c r="AF1913" s="30">
        <f>T1913*AD1913</f>
        <v/>
      </c>
      <c r="AG1913" s="28">
        <f>IFERROR(LOOKUP(AF1913,{0;0.5;5;25},{"Bajo";"Medio";"Alto";"Crítico"}),"")</f>
        <v/>
      </c>
      <c r="AH1913" s="28">
        <f>IF(AG1913="","",IF(OR(AG1913="Crítico",AG1913="Alto"),"Mitigar",IF(AG1913="Medio","Mitigar","Aceptar y monitorear")))</f>
        <v/>
      </c>
      <c r="AI1913" s="21" t="n"/>
      <c r="AJ1913" s="21" t="n"/>
      <c r="AK1913" s="20" t="n"/>
      <c r="AL1913" s="77">
        <f>IFERROR(INDEX(MgAmenEfic,MATCH(SUBSTITUTE($H1913,"*","-"),MgAmenClave,0)),0)</f>
        <v/>
      </c>
    </row>
    <row r="1914" hidden="1" ht="90" customHeight="1" s="54">
      <c r="B1914" s="59" t="inlineStr">
        <is>
          <t>R-1909</t>
        </is>
      </c>
      <c r="C1914" s="59" t="inlineStr">
        <is>
          <t>TEC-009</t>
        </is>
      </c>
      <c r="D1914" s="64">
        <f>IFERROR(INDEX(MgNombre,MATCH($C1914,MgActId,0)),"")</f>
        <v/>
      </c>
      <c r="E1914" s="64">
        <f>IFERROR(INDEX(MgProceso,MATCH($C1914,MgActId,0)),"")</f>
        <v/>
      </c>
      <c r="F1914" s="64">
        <f>IFERROR(INDEX(MgTipo,MATCH($C1914,MgActId,0)),"")</f>
        <v/>
      </c>
      <c r="G1914" s="64">
        <f>IFERROR(INDEX(MgSubtipo,MATCH($C1914,MgActId,0)),"")</f>
        <v/>
      </c>
      <c r="H1914" s="59" t="inlineStr">
        <is>
          <t>E.15</t>
        </is>
      </c>
      <c r="I1914" s="64">
        <f>IFERROR(INDEX(MgAmenNombre,MATCH(SUBSTITUTE($H1914,"*","-"),MgAmenClave,0)),"")</f>
        <v/>
      </c>
      <c r="J1914" s="28">
        <f>IFERROR(INDEX(MgAmenGrupo,MATCH(SUBSTITUTE($H1914,"*","-"),MgAmenClave,0)),"")</f>
        <v/>
      </c>
      <c r="K1914" s="64">
        <f>IFERROR(INDEX('1. Matriz de Activos'!$Q$6:$Q$239,MATCH($C1914,MgActId,0)),"")</f>
        <v/>
      </c>
      <c r="L1914" s="64">
        <f>IFERROR(INDEX('1. Matriz de Activos'!$R$6:$R$239,MATCH($C1914,MgActId,0)),"")</f>
        <v/>
      </c>
      <c r="M1914" s="64">
        <f>IFERROR(INDEX('1. Matriz de Activos'!$S$6:$S$239,MATCH($C1914,MgActId,0)),"")</f>
        <v/>
      </c>
      <c r="N1914" s="28">
        <f>IFERROR(INDEX(MgAmenDegD,MATCH(SUBSTITUTE($H1914,"*","-"),MgAmenClave,0)),"No aplica")</f>
        <v/>
      </c>
      <c r="O1914" s="28">
        <f>IFERROR(INDEX(MgAmenDegI,MATCH(SUBSTITUTE($H1914,"*","-"),MgAmenClave,0)),"No aplica")</f>
        <v/>
      </c>
      <c r="P1914" s="28">
        <f>IFERROR(INDEX(MgAmenDegC,MATCH(SUBSTITUTE($H1914,"*","-"),MgAmenClave,0)),"No aplica")</f>
        <v/>
      </c>
      <c r="Q1914" s="29">
        <f>IFERROR(VLOOKUP(K1914,MgValor,2,0)*VLOOKUP(N1914,MgDeg,2,0),0)</f>
        <v/>
      </c>
      <c r="R1914" s="29">
        <f>IFERROR(VLOOKUP(L1914,MgValor,2,0)*VLOOKUP(O1914,MgDeg,2,0),0)</f>
        <v/>
      </c>
      <c r="S1914" s="29">
        <f>IFERROR(VLOOKUP(M1914,MgValor,2,0)*VLOOKUP(P1914,MgDeg,2,0),0)</f>
        <v/>
      </c>
      <c r="T1914" s="30">
        <f>MAX(Q1914:S1914)</f>
        <v/>
      </c>
      <c r="U1914" s="28">
        <f>IFERROR(LOOKUP(T1914,{0;0.5;1.5;3;4.5},{"Despreciable";"Bajo";"Medio";"Alto";"Muy alto"}),"")</f>
        <v/>
      </c>
      <c r="V1914" s="13">
        <f>IFERROR(INDEX(MgAmenFrec,MATCH(SUBSTITUTE($H1914,"*","-"),MgAmenClave,0)),"")</f>
        <v/>
      </c>
      <c r="W1914" s="28">
        <f>IFERROR(LOOKUP(X1914,{0;0.01;0.1;1;10;100},{"Muy baja";"Muy baja";"Baja";"Media";"Alta";"Muy alta"}),"")</f>
        <v/>
      </c>
      <c r="X1914" s="31">
        <f>IFERROR(VLOOKUP(V1914,MgFrec,2,0),0)</f>
        <v/>
      </c>
      <c r="Y1914" s="30">
        <f>T1914*X1914</f>
        <v/>
      </c>
      <c r="Z1914" s="28">
        <f>IFERROR(LOOKUP(Y1914,{0;0.5;5;25},{"Bajo";"Medio";"Alto";"Crítico"}),"")</f>
        <v/>
      </c>
      <c r="AA1914" s="64">
        <f>IF(T1914&gt;=3,IF(X1914&gt;=1,"Zona 1 — Crítica: impacto alto y ocurre al menos una vez al año","Zona 4 — Catastrófica poco probable: impacto alto pero excepcional"),IF(AND(T1914&lt;1.5,X1914&lt;1),"Zona 3 — Asumible: impacto bajo y muy poco frecuente","Zona 2 — Atención: riesgo intermedio"))</f>
        <v/>
      </c>
      <c r="AB1914" s="64">
        <f>IFERROR(INDEX(MgAmenCtrl,MATCH(SUBSTITUTE($H1914,"*","-"),MgAmenClave,0)),"")</f>
        <v/>
      </c>
      <c r="AC1914" s="20" t="n"/>
      <c r="AD1914" s="31">
        <f>IFERROR($X1914*(1-IF($AC1914="",$AL1914,VLOOKUP($AC1914,MgMad,2,0))),"")</f>
        <v/>
      </c>
      <c r="AE1914" s="28">
        <f>IFERROR(LOOKUP(AD1914,{0;0.01;0.1;1;10;100},{"Muy baja";"Muy baja";"Baja";"Media";"Alta";"Muy alta"}),"")</f>
        <v/>
      </c>
      <c r="AF1914" s="30">
        <f>T1914*AD1914</f>
        <v/>
      </c>
      <c r="AG1914" s="28">
        <f>IFERROR(LOOKUP(AF1914,{0;0.5;5;25},{"Bajo";"Medio";"Alto";"Crítico"}),"")</f>
        <v/>
      </c>
      <c r="AH1914" s="28">
        <f>IF(AG1914="","",IF(OR(AG1914="Crítico",AG1914="Alto"),"Mitigar",IF(AG1914="Medio","Mitigar","Aceptar y monitorear")))</f>
        <v/>
      </c>
      <c r="AI1914" s="21" t="n"/>
      <c r="AJ1914" s="21" t="n"/>
      <c r="AK1914" s="20" t="n"/>
      <c r="AL1914" s="77">
        <f>IFERROR(INDEX(MgAmenEfic,MATCH(SUBSTITUTE($H1914,"*","-"),MgAmenClave,0)),0)</f>
        <v/>
      </c>
    </row>
    <row r="1915" hidden="1" ht="60" customHeight="1" s="54">
      <c r="B1915" s="59" t="inlineStr">
        <is>
          <t>R-1910</t>
        </is>
      </c>
      <c r="C1915" s="59" t="inlineStr">
        <is>
          <t>TEC-009</t>
        </is>
      </c>
      <c r="D1915" s="64">
        <f>IFERROR(INDEX(MgNombre,MATCH($C1915,MgActId,0)),"")</f>
        <v/>
      </c>
      <c r="E1915" s="64">
        <f>IFERROR(INDEX(MgProceso,MATCH($C1915,MgActId,0)),"")</f>
        <v/>
      </c>
      <c r="F1915" s="64">
        <f>IFERROR(INDEX(MgTipo,MATCH($C1915,MgActId,0)),"")</f>
        <v/>
      </c>
      <c r="G1915" s="64">
        <f>IFERROR(INDEX(MgSubtipo,MATCH($C1915,MgActId,0)),"")</f>
        <v/>
      </c>
      <c r="H1915" s="59" t="inlineStr">
        <is>
          <t>E.18</t>
        </is>
      </c>
      <c r="I1915" s="64">
        <f>IFERROR(INDEX(MgAmenNombre,MATCH(SUBSTITUTE($H1915,"*","-"),MgAmenClave,0)),"")</f>
        <v/>
      </c>
      <c r="J1915" s="28">
        <f>IFERROR(INDEX(MgAmenGrupo,MATCH(SUBSTITUTE($H1915,"*","-"),MgAmenClave,0)),"")</f>
        <v/>
      </c>
      <c r="K1915" s="64">
        <f>IFERROR(INDEX('1. Matriz de Activos'!$Q$6:$Q$239,MATCH($C1915,MgActId,0)),"")</f>
        <v/>
      </c>
      <c r="L1915" s="64">
        <f>IFERROR(INDEX('1. Matriz de Activos'!$R$6:$R$239,MATCH($C1915,MgActId,0)),"")</f>
        <v/>
      </c>
      <c r="M1915" s="64">
        <f>IFERROR(INDEX('1. Matriz de Activos'!$S$6:$S$239,MATCH($C1915,MgActId,0)),"")</f>
        <v/>
      </c>
      <c r="N1915" s="28">
        <f>IFERROR(INDEX(MgAmenDegD,MATCH(SUBSTITUTE($H1915,"*","-"),MgAmenClave,0)),"No aplica")</f>
        <v/>
      </c>
      <c r="O1915" s="28">
        <f>IFERROR(INDEX(MgAmenDegI,MATCH(SUBSTITUTE($H1915,"*","-"),MgAmenClave,0)),"No aplica")</f>
        <v/>
      </c>
      <c r="P1915" s="28">
        <f>IFERROR(INDEX(MgAmenDegC,MATCH(SUBSTITUTE($H1915,"*","-"),MgAmenClave,0)),"No aplica")</f>
        <v/>
      </c>
      <c r="Q1915" s="29">
        <f>IFERROR(VLOOKUP(K1915,MgValor,2,0)*VLOOKUP(N1915,MgDeg,2,0),0)</f>
        <v/>
      </c>
      <c r="R1915" s="29">
        <f>IFERROR(VLOOKUP(L1915,MgValor,2,0)*VLOOKUP(O1915,MgDeg,2,0),0)</f>
        <v/>
      </c>
      <c r="S1915" s="29">
        <f>IFERROR(VLOOKUP(M1915,MgValor,2,0)*VLOOKUP(P1915,MgDeg,2,0),0)</f>
        <v/>
      </c>
      <c r="T1915" s="30">
        <f>MAX(Q1915:S1915)</f>
        <v/>
      </c>
      <c r="U1915" s="28">
        <f>IFERROR(LOOKUP(T1915,{0;0.5;1.5;3;4.5},{"Despreciable";"Bajo";"Medio";"Alto";"Muy alto"}),"")</f>
        <v/>
      </c>
      <c r="V1915" s="13">
        <f>IFERROR(INDEX(MgAmenFrec,MATCH(SUBSTITUTE($H1915,"*","-"),MgAmenClave,0)),"")</f>
        <v/>
      </c>
      <c r="W1915" s="28">
        <f>IFERROR(LOOKUP(X1915,{0;0.01;0.1;1;10;100},{"Muy baja";"Muy baja";"Baja";"Media";"Alta";"Muy alta"}),"")</f>
        <v/>
      </c>
      <c r="X1915" s="31">
        <f>IFERROR(VLOOKUP(V1915,MgFrec,2,0),0)</f>
        <v/>
      </c>
      <c r="Y1915" s="30">
        <f>T1915*X1915</f>
        <v/>
      </c>
      <c r="Z1915" s="28">
        <f>IFERROR(LOOKUP(Y1915,{0;0.5;5;25},{"Bajo";"Medio";"Alto";"Crítico"}),"")</f>
        <v/>
      </c>
      <c r="AA1915" s="64">
        <f>IF(T1915&gt;=3,IF(X1915&gt;=1,"Zona 1 — Crítica: impacto alto y ocurre al menos una vez al año","Zona 4 — Catastrófica poco probable: impacto alto pero excepcional"),IF(AND(T1915&lt;1.5,X1915&lt;1),"Zona 3 — Asumible: impacto bajo y muy poco frecuente","Zona 2 — Atención: riesgo intermedio"))</f>
        <v/>
      </c>
      <c r="AB1915" s="64">
        <f>IFERROR(INDEX(MgAmenCtrl,MATCH(SUBSTITUTE($H1915,"*","-"),MgAmenClave,0)),"")</f>
        <v/>
      </c>
      <c r="AC1915" s="20" t="n"/>
      <c r="AD1915" s="31">
        <f>IFERROR($X1915*(1-IF($AC1915="",$AL1915,VLOOKUP($AC1915,MgMad,2,0))),"")</f>
        <v/>
      </c>
      <c r="AE1915" s="28">
        <f>IFERROR(LOOKUP(AD1915,{0;0.01;0.1;1;10;100},{"Muy baja";"Muy baja";"Baja";"Media";"Alta";"Muy alta"}),"")</f>
        <v/>
      </c>
      <c r="AF1915" s="30">
        <f>T1915*AD1915</f>
        <v/>
      </c>
      <c r="AG1915" s="28">
        <f>IFERROR(LOOKUP(AF1915,{0;0.5;5;25},{"Bajo";"Medio";"Alto";"Crítico"}),"")</f>
        <v/>
      </c>
      <c r="AH1915" s="28">
        <f>IF(AG1915="","",IF(OR(AG1915="Crítico",AG1915="Alto"),"Mitigar",IF(AG1915="Medio","Mitigar","Aceptar y monitorear")))</f>
        <v/>
      </c>
      <c r="AI1915" s="21" t="n"/>
      <c r="AJ1915" s="21" t="n"/>
      <c r="AK1915" s="20" t="n"/>
      <c r="AL1915" s="77">
        <f>IFERROR(INDEX(MgAmenEfic,MATCH(SUBSTITUTE($H1915,"*","-"),MgAmenClave,0)),0)</f>
        <v/>
      </c>
    </row>
    <row r="1916" hidden="1" ht="105" customHeight="1" s="54">
      <c r="B1916" s="59" t="inlineStr">
        <is>
          <t>R-1911</t>
        </is>
      </c>
      <c r="C1916" s="59" t="inlineStr">
        <is>
          <t>TEC-009</t>
        </is>
      </c>
      <c r="D1916" s="64">
        <f>IFERROR(INDEX(MgNombre,MATCH($C1916,MgActId,0)),"")</f>
        <v/>
      </c>
      <c r="E1916" s="64">
        <f>IFERROR(INDEX(MgProceso,MATCH($C1916,MgActId,0)),"")</f>
        <v/>
      </c>
      <c r="F1916" s="64">
        <f>IFERROR(INDEX(MgTipo,MATCH($C1916,MgActId,0)),"")</f>
        <v/>
      </c>
      <c r="G1916" s="64">
        <f>IFERROR(INDEX(MgSubtipo,MATCH($C1916,MgActId,0)),"")</f>
        <v/>
      </c>
      <c r="H1916" s="59" t="inlineStr">
        <is>
          <t>E.19</t>
        </is>
      </c>
      <c r="I1916" s="64">
        <f>IFERROR(INDEX(MgAmenNombre,MATCH(SUBSTITUTE($H1916,"*","-"),MgAmenClave,0)),"")</f>
        <v/>
      </c>
      <c r="J1916" s="28">
        <f>IFERROR(INDEX(MgAmenGrupo,MATCH(SUBSTITUTE($H1916,"*","-"),MgAmenClave,0)),"")</f>
        <v/>
      </c>
      <c r="K1916" s="64">
        <f>IFERROR(INDEX('1. Matriz de Activos'!$Q$6:$Q$239,MATCH($C1916,MgActId,0)),"")</f>
        <v/>
      </c>
      <c r="L1916" s="64">
        <f>IFERROR(INDEX('1. Matriz de Activos'!$R$6:$R$239,MATCH($C1916,MgActId,0)),"")</f>
        <v/>
      </c>
      <c r="M1916" s="64">
        <f>IFERROR(INDEX('1. Matriz de Activos'!$S$6:$S$239,MATCH($C1916,MgActId,0)),"")</f>
        <v/>
      </c>
      <c r="N1916" s="28">
        <f>IFERROR(INDEX(MgAmenDegD,MATCH(SUBSTITUTE($H1916,"*","-"),MgAmenClave,0)),"No aplica")</f>
        <v/>
      </c>
      <c r="O1916" s="28">
        <f>IFERROR(INDEX(MgAmenDegI,MATCH(SUBSTITUTE($H1916,"*","-"),MgAmenClave,0)),"No aplica")</f>
        <v/>
      </c>
      <c r="P1916" s="28">
        <f>IFERROR(INDEX(MgAmenDegC,MATCH(SUBSTITUTE($H1916,"*","-"),MgAmenClave,0)),"No aplica")</f>
        <v/>
      </c>
      <c r="Q1916" s="29">
        <f>IFERROR(VLOOKUP(K1916,MgValor,2,0)*VLOOKUP(N1916,MgDeg,2,0),0)</f>
        <v/>
      </c>
      <c r="R1916" s="29">
        <f>IFERROR(VLOOKUP(L1916,MgValor,2,0)*VLOOKUP(O1916,MgDeg,2,0),0)</f>
        <v/>
      </c>
      <c r="S1916" s="29">
        <f>IFERROR(VLOOKUP(M1916,MgValor,2,0)*VLOOKUP(P1916,MgDeg,2,0),0)</f>
        <v/>
      </c>
      <c r="T1916" s="30">
        <f>MAX(Q1916:S1916)</f>
        <v/>
      </c>
      <c r="U1916" s="28">
        <f>IFERROR(LOOKUP(T1916,{0;0.5;1.5;3;4.5},{"Despreciable";"Bajo";"Medio";"Alto";"Muy alto"}),"")</f>
        <v/>
      </c>
      <c r="V1916" s="13">
        <f>IFERROR(INDEX(MgAmenFrec,MATCH(SUBSTITUTE($H1916,"*","-"),MgAmenClave,0)),"")</f>
        <v/>
      </c>
      <c r="W1916" s="28">
        <f>IFERROR(LOOKUP(X1916,{0;0.01;0.1;1;10;100},{"Muy baja";"Muy baja";"Baja";"Media";"Alta";"Muy alta"}),"")</f>
        <v/>
      </c>
      <c r="X1916" s="31">
        <f>IFERROR(VLOOKUP(V1916,MgFrec,2,0),0)</f>
        <v/>
      </c>
      <c r="Y1916" s="30">
        <f>T1916*X1916</f>
        <v/>
      </c>
      <c r="Z1916" s="28">
        <f>IFERROR(LOOKUP(Y1916,{0;0.5;5;25},{"Bajo";"Medio";"Alto";"Crítico"}),"")</f>
        <v/>
      </c>
      <c r="AA1916" s="64">
        <f>IF(T1916&gt;=3,IF(X1916&gt;=1,"Zona 1 — Crítica: impacto alto y ocurre al menos una vez al año","Zona 4 — Catastrófica poco probable: impacto alto pero excepcional"),IF(AND(T1916&lt;1.5,X1916&lt;1),"Zona 3 — Asumible: impacto bajo y muy poco frecuente","Zona 2 — Atención: riesgo intermedio"))</f>
        <v/>
      </c>
      <c r="AB1916" s="64">
        <f>IFERROR(INDEX(MgAmenCtrl,MATCH(SUBSTITUTE($H1916,"*","-"),MgAmenClave,0)),"")</f>
        <v/>
      </c>
      <c r="AC1916" s="20" t="n"/>
      <c r="AD1916" s="31">
        <f>IFERROR($X1916*(1-IF($AC1916="",$AL1916,VLOOKUP($AC1916,MgMad,2,0))),"")</f>
        <v/>
      </c>
      <c r="AE1916" s="28">
        <f>IFERROR(LOOKUP(AD1916,{0;0.01;0.1;1;10;100},{"Muy baja";"Muy baja";"Baja";"Media";"Alta";"Muy alta"}),"")</f>
        <v/>
      </c>
      <c r="AF1916" s="30">
        <f>T1916*AD1916</f>
        <v/>
      </c>
      <c r="AG1916" s="28">
        <f>IFERROR(LOOKUP(AF1916,{0;0.5;5;25},{"Bajo";"Medio";"Alto";"Crítico"}),"")</f>
        <v/>
      </c>
      <c r="AH1916" s="28">
        <f>IF(AG1916="","",IF(OR(AG1916="Crítico",AG1916="Alto"),"Mitigar",IF(AG1916="Medio","Mitigar","Aceptar y monitorear")))</f>
        <v/>
      </c>
      <c r="AI1916" s="21" t="n"/>
      <c r="AJ1916" s="21" t="n"/>
      <c r="AK1916" s="20" t="n"/>
      <c r="AL1916" s="77">
        <f>IFERROR(INDEX(MgAmenEfic,MATCH(SUBSTITUTE($H1916,"*","-"),MgAmenClave,0)),0)</f>
        <v/>
      </c>
    </row>
    <row r="1917" hidden="1" ht="105" customHeight="1" s="54">
      <c r="B1917" s="59" t="inlineStr">
        <is>
          <t>R-1912</t>
        </is>
      </c>
      <c r="C1917" s="59" t="inlineStr">
        <is>
          <t>TEC-009</t>
        </is>
      </c>
      <c r="D1917" s="64">
        <f>IFERROR(INDEX(MgNombre,MATCH($C1917,MgActId,0)),"")</f>
        <v/>
      </c>
      <c r="E1917" s="64">
        <f>IFERROR(INDEX(MgProceso,MATCH($C1917,MgActId,0)),"")</f>
        <v/>
      </c>
      <c r="F1917" s="64">
        <f>IFERROR(INDEX(MgTipo,MATCH($C1917,MgActId,0)),"")</f>
        <v/>
      </c>
      <c r="G1917" s="64">
        <f>IFERROR(INDEX(MgSubtipo,MATCH($C1917,MgActId,0)),"")</f>
        <v/>
      </c>
      <c r="H1917" s="59" t="inlineStr">
        <is>
          <t>E.20</t>
        </is>
      </c>
      <c r="I1917" s="64">
        <f>IFERROR(INDEX(MgAmenNombre,MATCH(SUBSTITUTE($H1917,"*","-"),MgAmenClave,0)),"")</f>
        <v/>
      </c>
      <c r="J1917" s="28">
        <f>IFERROR(INDEX(MgAmenGrupo,MATCH(SUBSTITUTE($H1917,"*","-"),MgAmenClave,0)),"")</f>
        <v/>
      </c>
      <c r="K1917" s="64">
        <f>IFERROR(INDEX('1. Matriz de Activos'!$Q$6:$Q$239,MATCH($C1917,MgActId,0)),"")</f>
        <v/>
      </c>
      <c r="L1917" s="64">
        <f>IFERROR(INDEX('1. Matriz de Activos'!$R$6:$R$239,MATCH($C1917,MgActId,0)),"")</f>
        <v/>
      </c>
      <c r="M1917" s="64">
        <f>IFERROR(INDEX('1. Matriz de Activos'!$S$6:$S$239,MATCH($C1917,MgActId,0)),"")</f>
        <v/>
      </c>
      <c r="N1917" s="28">
        <f>IFERROR(INDEX(MgAmenDegD,MATCH(SUBSTITUTE($H1917,"*","-"),MgAmenClave,0)),"No aplica")</f>
        <v/>
      </c>
      <c r="O1917" s="28">
        <f>IFERROR(INDEX(MgAmenDegI,MATCH(SUBSTITUTE($H1917,"*","-"),MgAmenClave,0)),"No aplica")</f>
        <v/>
      </c>
      <c r="P1917" s="28">
        <f>IFERROR(INDEX(MgAmenDegC,MATCH(SUBSTITUTE($H1917,"*","-"),MgAmenClave,0)),"No aplica")</f>
        <v/>
      </c>
      <c r="Q1917" s="29">
        <f>IFERROR(VLOOKUP(K1917,MgValor,2,0)*VLOOKUP(N1917,MgDeg,2,0),0)</f>
        <v/>
      </c>
      <c r="R1917" s="29">
        <f>IFERROR(VLOOKUP(L1917,MgValor,2,0)*VLOOKUP(O1917,MgDeg,2,0),0)</f>
        <v/>
      </c>
      <c r="S1917" s="29">
        <f>IFERROR(VLOOKUP(M1917,MgValor,2,0)*VLOOKUP(P1917,MgDeg,2,0),0)</f>
        <v/>
      </c>
      <c r="T1917" s="30">
        <f>MAX(Q1917:S1917)</f>
        <v/>
      </c>
      <c r="U1917" s="28">
        <f>IFERROR(LOOKUP(T1917,{0;0.5;1.5;3;4.5},{"Despreciable";"Bajo";"Medio";"Alto";"Muy alto"}),"")</f>
        <v/>
      </c>
      <c r="V1917" s="13">
        <f>IFERROR(INDEX(MgAmenFrec,MATCH(SUBSTITUTE($H1917,"*","-"),MgAmenClave,0)),"")</f>
        <v/>
      </c>
      <c r="W1917" s="28">
        <f>IFERROR(LOOKUP(X1917,{0;0.01;0.1;1;10;100},{"Muy baja";"Muy baja";"Baja";"Media";"Alta";"Muy alta"}),"")</f>
        <v/>
      </c>
      <c r="X1917" s="31">
        <f>IFERROR(VLOOKUP(V1917,MgFrec,2,0),0)</f>
        <v/>
      </c>
      <c r="Y1917" s="30">
        <f>T1917*X1917</f>
        <v/>
      </c>
      <c r="Z1917" s="28">
        <f>IFERROR(LOOKUP(Y1917,{0;0.5;5;25},{"Bajo";"Medio";"Alto";"Crítico"}),"")</f>
        <v/>
      </c>
      <c r="AA1917" s="64">
        <f>IF(T1917&gt;=3,IF(X1917&gt;=1,"Zona 1 — Crítica: impacto alto y ocurre al menos una vez al año","Zona 4 — Catastrófica poco probable: impacto alto pero excepcional"),IF(AND(T1917&lt;1.5,X1917&lt;1),"Zona 3 — Asumible: impacto bajo y muy poco frecuente","Zona 2 — Atención: riesgo intermedio"))</f>
        <v/>
      </c>
      <c r="AB1917" s="64">
        <f>IFERROR(INDEX(MgAmenCtrl,MATCH(SUBSTITUTE($H1917,"*","-"),MgAmenClave,0)),"")</f>
        <v/>
      </c>
      <c r="AC1917" s="20" t="n"/>
      <c r="AD1917" s="31">
        <f>IFERROR($X1917*(1-IF($AC1917="",$AL1917,VLOOKUP($AC1917,MgMad,2,0))),"")</f>
        <v/>
      </c>
      <c r="AE1917" s="28">
        <f>IFERROR(LOOKUP(AD1917,{0;0.01;0.1;1;10;100},{"Muy baja";"Muy baja";"Baja";"Media";"Alta";"Muy alta"}),"")</f>
        <v/>
      </c>
      <c r="AF1917" s="30">
        <f>T1917*AD1917</f>
        <v/>
      </c>
      <c r="AG1917" s="28">
        <f>IFERROR(LOOKUP(AF1917,{0;0.5;5;25},{"Bajo";"Medio";"Alto";"Crítico"}),"")</f>
        <v/>
      </c>
      <c r="AH1917" s="28">
        <f>IF(AG1917="","",IF(OR(AG1917="Crítico",AG1917="Alto"),"Mitigar",IF(AG1917="Medio","Mitigar","Aceptar y monitorear")))</f>
        <v/>
      </c>
      <c r="AI1917" s="21" t="n"/>
      <c r="AJ1917" s="21" t="n"/>
      <c r="AK1917" s="20" t="n"/>
      <c r="AL1917" s="77">
        <f>IFERROR(INDEX(MgAmenEfic,MATCH(SUBSTITUTE($H1917,"*","-"),MgAmenClave,0)),0)</f>
        <v/>
      </c>
    </row>
    <row r="1918" hidden="1" ht="75" customHeight="1" s="54">
      <c r="B1918" s="59" t="inlineStr">
        <is>
          <t>R-1913</t>
        </is>
      </c>
      <c r="C1918" s="59" t="inlineStr">
        <is>
          <t>TEC-009</t>
        </is>
      </c>
      <c r="D1918" s="64">
        <f>IFERROR(INDEX(MgNombre,MATCH($C1918,MgActId,0)),"")</f>
        <v/>
      </c>
      <c r="E1918" s="64">
        <f>IFERROR(INDEX(MgProceso,MATCH($C1918,MgActId,0)),"")</f>
        <v/>
      </c>
      <c r="F1918" s="64">
        <f>IFERROR(INDEX(MgTipo,MATCH($C1918,MgActId,0)),"")</f>
        <v/>
      </c>
      <c r="G1918" s="64">
        <f>IFERROR(INDEX(MgSubtipo,MATCH($C1918,MgActId,0)),"")</f>
        <v/>
      </c>
      <c r="H1918" s="59" t="inlineStr">
        <is>
          <t>E.21</t>
        </is>
      </c>
      <c r="I1918" s="64">
        <f>IFERROR(INDEX(MgAmenNombre,MATCH(SUBSTITUTE($H1918,"*","-"),MgAmenClave,0)),"")</f>
        <v/>
      </c>
      <c r="J1918" s="28">
        <f>IFERROR(INDEX(MgAmenGrupo,MATCH(SUBSTITUTE($H1918,"*","-"),MgAmenClave,0)),"")</f>
        <v/>
      </c>
      <c r="K1918" s="64">
        <f>IFERROR(INDEX('1. Matriz de Activos'!$Q$6:$Q$239,MATCH($C1918,MgActId,0)),"")</f>
        <v/>
      </c>
      <c r="L1918" s="64">
        <f>IFERROR(INDEX('1. Matriz de Activos'!$R$6:$R$239,MATCH($C1918,MgActId,0)),"")</f>
        <v/>
      </c>
      <c r="M1918" s="64">
        <f>IFERROR(INDEX('1. Matriz de Activos'!$S$6:$S$239,MATCH($C1918,MgActId,0)),"")</f>
        <v/>
      </c>
      <c r="N1918" s="28">
        <f>IFERROR(INDEX(MgAmenDegD,MATCH(SUBSTITUTE($H1918,"*","-"),MgAmenClave,0)),"No aplica")</f>
        <v/>
      </c>
      <c r="O1918" s="28">
        <f>IFERROR(INDEX(MgAmenDegI,MATCH(SUBSTITUTE($H1918,"*","-"),MgAmenClave,0)),"No aplica")</f>
        <v/>
      </c>
      <c r="P1918" s="28">
        <f>IFERROR(INDEX(MgAmenDegC,MATCH(SUBSTITUTE($H1918,"*","-"),MgAmenClave,0)),"No aplica")</f>
        <v/>
      </c>
      <c r="Q1918" s="29">
        <f>IFERROR(VLOOKUP(K1918,MgValor,2,0)*VLOOKUP(N1918,MgDeg,2,0),0)</f>
        <v/>
      </c>
      <c r="R1918" s="29">
        <f>IFERROR(VLOOKUP(L1918,MgValor,2,0)*VLOOKUP(O1918,MgDeg,2,0),0)</f>
        <v/>
      </c>
      <c r="S1918" s="29">
        <f>IFERROR(VLOOKUP(M1918,MgValor,2,0)*VLOOKUP(P1918,MgDeg,2,0),0)</f>
        <v/>
      </c>
      <c r="T1918" s="30">
        <f>MAX(Q1918:S1918)</f>
        <v/>
      </c>
      <c r="U1918" s="28">
        <f>IFERROR(LOOKUP(T1918,{0;0.5;1.5;3;4.5},{"Despreciable";"Bajo";"Medio";"Alto";"Muy alto"}),"")</f>
        <v/>
      </c>
      <c r="V1918" s="13">
        <f>IFERROR(INDEX(MgAmenFrec,MATCH(SUBSTITUTE($H1918,"*","-"),MgAmenClave,0)),"")</f>
        <v/>
      </c>
      <c r="W1918" s="28">
        <f>IFERROR(LOOKUP(X1918,{0;0.01;0.1;1;10;100},{"Muy baja";"Muy baja";"Baja";"Media";"Alta";"Muy alta"}),"")</f>
        <v/>
      </c>
      <c r="X1918" s="31">
        <f>IFERROR(VLOOKUP(V1918,MgFrec,2,0),0)</f>
        <v/>
      </c>
      <c r="Y1918" s="30">
        <f>T1918*X1918</f>
        <v/>
      </c>
      <c r="Z1918" s="28">
        <f>IFERROR(LOOKUP(Y1918,{0;0.5;5;25},{"Bajo";"Medio";"Alto";"Crítico"}),"")</f>
        <v/>
      </c>
      <c r="AA1918" s="64">
        <f>IF(T1918&gt;=3,IF(X1918&gt;=1,"Zona 1 — Crítica: impacto alto y ocurre al menos una vez al año","Zona 4 — Catastrófica poco probable: impacto alto pero excepcional"),IF(AND(T1918&lt;1.5,X1918&lt;1),"Zona 3 — Asumible: impacto bajo y muy poco frecuente","Zona 2 — Atención: riesgo intermedio"))</f>
        <v/>
      </c>
      <c r="AB1918" s="64">
        <f>IFERROR(INDEX(MgAmenCtrl,MATCH(SUBSTITUTE($H1918,"*","-"),MgAmenClave,0)),"")</f>
        <v/>
      </c>
      <c r="AC1918" s="20" t="n"/>
      <c r="AD1918" s="31">
        <f>IFERROR($X1918*(1-IF($AC1918="",$AL1918,VLOOKUP($AC1918,MgMad,2,0))),"")</f>
        <v/>
      </c>
      <c r="AE1918" s="28">
        <f>IFERROR(LOOKUP(AD1918,{0;0.01;0.1;1;10;100},{"Muy baja";"Muy baja";"Baja";"Media";"Alta";"Muy alta"}),"")</f>
        <v/>
      </c>
      <c r="AF1918" s="30">
        <f>T1918*AD1918</f>
        <v/>
      </c>
      <c r="AG1918" s="28">
        <f>IFERROR(LOOKUP(AF1918,{0;0.5;5;25},{"Bajo";"Medio";"Alto";"Crítico"}),"")</f>
        <v/>
      </c>
      <c r="AH1918" s="28">
        <f>IF(AG1918="","",IF(OR(AG1918="Crítico",AG1918="Alto"),"Mitigar",IF(AG1918="Medio","Mitigar","Aceptar y monitorear")))</f>
        <v/>
      </c>
      <c r="AI1918" s="21" t="n"/>
      <c r="AJ1918" s="21" t="n"/>
      <c r="AK1918" s="20" t="n"/>
      <c r="AL1918" s="77">
        <f>IFERROR(INDEX(MgAmenEfic,MATCH(SUBSTITUTE($H1918,"*","-"),MgAmenClave,0)),0)</f>
        <v/>
      </c>
    </row>
    <row r="1919" hidden="1" ht="75" customHeight="1" s="54">
      <c r="B1919" s="59" t="inlineStr">
        <is>
          <t>R-1914</t>
        </is>
      </c>
      <c r="C1919" s="59" t="inlineStr">
        <is>
          <t>TEC-009</t>
        </is>
      </c>
      <c r="D1919" s="64">
        <f>IFERROR(INDEX(MgNombre,MATCH($C1919,MgActId,0)),"")</f>
        <v/>
      </c>
      <c r="E1919" s="64">
        <f>IFERROR(INDEX(MgProceso,MATCH($C1919,MgActId,0)),"")</f>
        <v/>
      </c>
      <c r="F1919" s="64">
        <f>IFERROR(INDEX(MgTipo,MATCH($C1919,MgActId,0)),"")</f>
        <v/>
      </c>
      <c r="G1919" s="64">
        <f>IFERROR(INDEX(MgSubtipo,MATCH($C1919,MgActId,0)),"")</f>
        <v/>
      </c>
      <c r="H1919" s="59" t="inlineStr">
        <is>
          <t>A.5</t>
        </is>
      </c>
      <c r="I1919" s="64">
        <f>IFERROR(INDEX(MgAmenNombre,MATCH(SUBSTITUTE($H1919,"*","-"),MgAmenClave,0)),"")</f>
        <v/>
      </c>
      <c r="J1919" s="28">
        <f>IFERROR(INDEX(MgAmenGrupo,MATCH(SUBSTITUTE($H1919,"*","-"),MgAmenClave,0)),"")</f>
        <v/>
      </c>
      <c r="K1919" s="64">
        <f>IFERROR(INDEX('1. Matriz de Activos'!$Q$6:$Q$239,MATCH($C1919,MgActId,0)),"")</f>
        <v/>
      </c>
      <c r="L1919" s="64">
        <f>IFERROR(INDEX('1. Matriz de Activos'!$R$6:$R$239,MATCH($C1919,MgActId,0)),"")</f>
        <v/>
      </c>
      <c r="M1919" s="64">
        <f>IFERROR(INDEX('1. Matriz de Activos'!$S$6:$S$239,MATCH($C1919,MgActId,0)),"")</f>
        <v/>
      </c>
      <c r="N1919" s="28">
        <f>IFERROR(INDEX(MgAmenDegD,MATCH(SUBSTITUTE($H1919,"*","-"),MgAmenClave,0)),"No aplica")</f>
        <v/>
      </c>
      <c r="O1919" s="28">
        <f>IFERROR(INDEX(MgAmenDegI,MATCH(SUBSTITUTE($H1919,"*","-"),MgAmenClave,0)),"No aplica")</f>
        <v/>
      </c>
      <c r="P1919" s="28">
        <f>IFERROR(INDEX(MgAmenDegC,MATCH(SUBSTITUTE($H1919,"*","-"),MgAmenClave,0)),"No aplica")</f>
        <v/>
      </c>
      <c r="Q1919" s="29">
        <f>IFERROR(VLOOKUP(K1919,MgValor,2,0)*VLOOKUP(N1919,MgDeg,2,0),0)</f>
        <v/>
      </c>
      <c r="R1919" s="29">
        <f>IFERROR(VLOOKUP(L1919,MgValor,2,0)*VLOOKUP(O1919,MgDeg,2,0),0)</f>
        <v/>
      </c>
      <c r="S1919" s="29">
        <f>IFERROR(VLOOKUP(M1919,MgValor,2,0)*VLOOKUP(P1919,MgDeg,2,0),0)</f>
        <v/>
      </c>
      <c r="T1919" s="30">
        <f>MAX(Q1919:S1919)</f>
        <v/>
      </c>
      <c r="U1919" s="28">
        <f>IFERROR(LOOKUP(T1919,{0;0.5;1.5;3;4.5},{"Despreciable";"Bajo";"Medio";"Alto";"Muy alto"}),"")</f>
        <v/>
      </c>
      <c r="V1919" s="13">
        <f>IFERROR(INDEX(MgAmenFrec,MATCH(SUBSTITUTE($H1919,"*","-"),MgAmenClave,0)),"")</f>
        <v/>
      </c>
      <c r="W1919" s="28">
        <f>IFERROR(LOOKUP(X1919,{0;0.01;0.1;1;10;100},{"Muy baja";"Muy baja";"Baja";"Media";"Alta";"Muy alta"}),"")</f>
        <v/>
      </c>
      <c r="X1919" s="31">
        <f>IFERROR(VLOOKUP(V1919,MgFrec,2,0),0)</f>
        <v/>
      </c>
      <c r="Y1919" s="30">
        <f>T1919*X1919</f>
        <v/>
      </c>
      <c r="Z1919" s="28">
        <f>IFERROR(LOOKUP(Y1919,{0;0.5;5;25},{"Bajo";"Medio";"Alto";"Crítico"}),"")</f>
        <v/>
      </c>
      <c r="AA1919" s="64">
        <f>IF(T1919&gt;=3,IF(X1919&gt;=1,"Zona 1 — Crítica: impacto alto y ocurre al menos una vez al año","Zona 4 — Catastrófica poco probable: impacto alto pero excepcional"),IF(AND(T1919&lt;1.5,X1919&lt;1),"Zona 3 — Asumible: impacto bajo y muy poco frecuente","Zona 2 — Atención: riesgo intermedio"))</f>
        <v/>
      </c>
      <c r="AB1919" s="64">
        <f>IFERROR(INDEX(MgAmenCtrl,MATCH(SUBSTITUTE($H1919,"*","-"),MgAmenClave,0)),"")</f>
        <v/>
      </c>
      <c r="AC1919" s="20" t="n"/>
      <c r="AD1919" s="31">
        <f>IFERROR($X1919*(1-IF($AC1919="",$AL1919,VLOOKUP($AC1919,MgMad,2,0))),"")</f>
        <v/>
      </c>
      <c r="AE1919" s="28">
        <f>IFERROR(LOOKUP(AD1919,{0;0.01;0.1;1;10;100},{"Muy baja";"Muy baja";"Baja";"Media";"Alta";"Muy alta"}),"")</f>
        <v/>
      </c>
      <c r="AF1919" s="30">
        <f>T1919*AD1919</f>
        <v/>
      </c>
      <c r="AG1919" s="28">
        <f>IFERROR(LOOKUP(AF1919,{0;0.5;5;25},{"Bajo";"Medio";"Alto";"Crítico"}),"")</f>
        <v/>
      </c>
      <c r="AH1919" s="28">
        <f>IF(AG1919="","",IF(OR(AG1919="Crítico",AG1919="Alto"),"Mitigar",IF(AG1919="Medio","Mitigar","Aceptar y monitorear")))</f>
        <v/>
      </c>
      <c r="AI1919" s="21" t="n"/>
      <c r="AJ1919" s="21" t="n"/>
      <c r="AK1919" s="20" t="n"/>
      <c r="AL1919" s="77">
        <f>IFERROR(INDEX(MgAmenEfic,MATCH(SUBSTITUTE($H1919,"*","-"),MgAmenClave,0)),0)</f>
        <v/>
      </c>
    </row>
    <row r="1920" hidden="1" ht="105" customHeight="1" s="54">
      <c r="B1920" s="59" t="inlineStr">
        <is>
          <t>R-1915</t>
        </is>
      </c>
      <c r="C1920" s="59" t="inlineStr">
        <is>
          <t>TEC-009</t>
        </is>
      </c>
      <c r="D1920" s="64">
        <f>IFERROR(INDEX(MgNombre,MATCH($C1920,MgActId,0)),"")</f>
        <v/>
      </c>
      <c r="E1920" s="64">
        <f>IFERROR(INDEX(MgProceso,MATCH($C1920,MgActId,0)),"")</f>
        <v/>
      </c>
      <c r="F1920" s="64">
        <f>IFERROR(INDEX(MgTipo,MATCH($C1920,MgActId,0)),"")</f>
        <v/>
      </c>
      <c r="G1920" s="64">
        <f>IFERROR(INDEX(MgSubtipo,MATCH($C1920,MgActId,0)),"")</f>
        <v/>
      </c>
      <c r="H1920" s="59" t="inlineStr">
        <is>
          <t>A.6</t>
        </is>
      </c>
      <c r="I1920" s="64">
        <f>IFERROR(INDEX(MgAmenNombre,MATCH(SUBSTITUTE($H1920,"*","-"),MgAmenClave,0)),"")</f>
        <v/>
      </c>
      <c r="J1920" s="28">
        <f>IFERROR(INDEX(MgAmenGrupo,MATCH(SUBSTITUTE($H1920,"*","-"),MgAmenClave,0)),"")</f>
        <v/>
      </c>
      <c r="K1920" s="64">
        <f>IFERROR(INDEX('1. Matriz de Activos'!$Q$6:$Q$239,MATCH($C1920,MgActId,0)),"")</f>
        <v/>
      </c>
      <c r="L1920" s="64">
        <f>IFERROR(INDEX('1. Matriz de Activos'!$R$6:$R$239,MATCH($C1920,MgActId,0)),"")</f>
        <v/>
      </c>
      <c r="M1920" s="64">
        <f>IFERROR(INDEX('1. Matriz de Activos'!$S$6:$S$239,MATCH($C1920,MgActId,0)),"")</f>
        <v/>
      </c>
      <c r="N1920" s="28">
        <f>IFERROR(INDEX(MgAmenDegD,MATCH(SUBSTITUTE($H1920,"*","-"),MgAmenClave,0)),"No aplica")</f>
        <v/>
      </c>
      <c r="O1920" s="28">
        <f>IFERROR(INDEX(MgAmenDegI,MATCH(SUBSTITUTE($H1920,"*","-"),MgAmenClave,0)),"No aplica")</f>
        <v/>
      </c>
      <c r="P1920" s="28">
        <f>IFERROR(INDEX(MgAmenDegC,MATCH(SUBSTITUTE($H1920,"*","-"),MgAmenClave,0)),"No aplica")</f>
        <v/>
      </c>
      <c r="Q1920" s="29">
        <f>IFERROR(VLOOKUP(K1920,MgValor,2,0)*VLOOKUP(N1920,MgDeg,2,0),0)</f>
        <v/>
      </c>
      <c r="R1920" s="29">
        <f>IFERROR(VLOOKUP(L1920,MgValor,2,0)*VLOOKUP(O1920,MgDeg,2,0),0)</f>
        <v/>
      </c>
      <c r="S1920" s="29">
        <f>IFERROR(VLOOKUP(M1920,MgValor,2,0)*VLOOKUP(P1920,MgDeg,2,0),0)</f>
        <v/>
      </c>
      <c r="T1920" s="30">
        <f>MAX(Q1920:S1920)</f>
        <v/>
      </c>
      <c r="U1920" s="28">
        <f>IFERROR(LOOKUP(T1920,{0;0.5;1.5;3;4.5},{"Despreciable";"Bajo";"Medio";"Alto";"Muy alto"}),"")</f>
        <v/>
      </c>
      <c r="V1920" s="13">
        <f>IFERROR(INDEX(MgAmenFrec,MATCH(SUBSTITUTE($H1920,"*","-"),MgAmenClave,0)),"")</f>
        <v/>
      </c>
      <c r="W1920" s="28">
        <f>IFERROR(LOOKUP(X1920,{0;0.01;0.1;1;10;100},{"Muy baja";"Muy baja";"Baja";"Media";"Alta";"Muy alta"}),"")</f>
        <v/>
      </c>
      <c r="X1920" s="31">
        <f>IFERROR(VLOOKUP(V1920,MgFrec,2,0),0)</f>
        <v/>
      </c>
      <c r="Y1920" s="30">
        <f>T1920*X1920</f>
        <v/>
      </c>
      <c r="Z1920" s="28">
        <f>IFERROR(LOOKUP(Y1920,{0;0.5;5;25},{"Bajo";"Medio";"Alto";"Crítico"}),"")</f>
        <v/>
      </c>
      <c r="AA1920" s="64">
        <f>IF(T1920&gt;=3,IF(X1920&gt;=1,"Zona 1 — Crítica: impacto alto y ocurre al menos una vez al año","Zona 4 — Catastrófica poco probable: impacto alto pero excepcional"),IF(AND(T1920&lt;1.5,X1920&lt;1),"Zona 3 — Asumible: impacto bajo y muy poco frecuente","Zona 2 — Atención: riesgo intermedio"))</f>
        <v/>
      </c>
      <c r="AB1920" s="64">
        <f>IFERROR(INDEX(MgAmenCtrl,MATCH(SUBSTITUTE($H1920,"*","-"),MgAmenClave,0)),"")</f>
        <v/>
      </c>
      <c r="AC1920" s="20" t="n"/>
      <c r="AD1920" s="31">
        <f>IFERROR($X1920*(1-IF($AC1920="",$AL1920,VLOOKUP($AC1920,MgMad,2,0))),"")</f>
        <v/>
      </c>
      <c r="AE1920" s="28">
        <f>IFERROR(LOOKUP(AD1920,{0;0.01;0.1;1;10;100},{"Muy baja";"Muy baja";"Baja";"Media";"Alta";"Muy alta"}),"")</f>
        <v/>
      </c>
      <c r="AF1920" s="30">
        <f>T1920*AD1920</f>
        <v/>
      </c>
      <c r="AG1920" s="28">
        <f>IFERROR(LOOKUP(AF1920,{0;0.5;5;25},{"Bajo";"Medio";"Alto";"Crítico"}),"")</f>
        <v/>
      </c>
      <c r="AH1920" s="28">
        <f>IF(AG1920="","",IF(OR(AG1920="Crítico",AG1920="Alto"),"Mitigar",IF(AG1920="Medio","Mitigar","Aceptar y monitorear")))</f>
        <v/>
      </c>
      <c r="AI1920" s="21" t="n"/>
      <c r="AJ1920" s="21" t="n"/>
      <c r="AK1920" s="20" t="n"/>
      <c r="AL1920" s="77">
        <f>IFERROR(INDEX(MgAmenEfic,MATCH(SUBSTITUTE($H1920,"*","-"),MgAmenClave,0)),0)</f>
        <v/>
      </c>
    </row>
    <row r="1921" hidden="1" ht="60" customHeight="1" s="54">
      <c r="B1921" s="59" t="inlineStr">
        <is>
          <t>R-1916</t>
        </is>
      </c>
      <c r="C1921" s="59" t="inlineStr">
        <is>
          <t>TEC-009</t>
        </is>
      </c>
      <c r="D1921" s="64">
        <f>IFERROR(INDEX(MgNombre,MATCH($C1921,MgActId,0)),"")</f>
        <v/>
      </c>
      <c r="E1921" s="64">
        <f>IFERROR(INDEX(MgProceso,MATCH($C1921,MgActId,0)),"")</f>
        <v/>
      </c>
      <c r="F1921" s="64">
        <f>IFERROR(INDEX(MgTipo,MATCH($C1921,MgActId,0)),"")</f>
        <v/>
      </c>
      <c r="G1921" s="64">
        <f>IFERROR(INDEX(MgSubtipo,MATCH($C1921,MgActId,0)),"")</f>
        <v/>
      </c>
      <c r="H1921" s="59" t="inlineStr">
        <is>
          <t>A.7</t>
        </is>
      </c>
      <c r="I1921" s="64">
        <f>IFERROR(INDEX(MgAmenNombre,MATCH(SUBSTITUTE($H1921,"*","-"),MgAmenClave,0)),"")</f>
        <v/>
      </c>
      <c r="J1921" s="28">
        <f>IFERROR(INDEX(MgAmenGrupo,MATCH(SUBSTITUTE($H1921,"*","-"),MgAmenClave,0)),"")</f>
        <v/>
      </c>
      <c r="K1921" s="64">
        <f>IFERROR(INDEX('1. Matriz de Activos'!$Q$6:$Q$239,MATCH($C1921,MgActId,0)),"")</f>
        <v/>
      </c>
      <c r="L1921" s="64">
        <f>IFERROR(INDEX('1. Matriz de Activos'!$R$6:$R$239,MATCH($C1921,MgActId,0)),"")</f>
        <v/>
      </c>
      <c r="M1921" s="64">
        <f>IFERROR(INDEX('1. Matriz de Activos'!$S$6:$S$239,MATCH($C1921,MgActId,0)),"")</f>
        <v/>
      </c>
      <c r="N1921" s="28">
        <f>IFERROR(INDEX(MgAmenDegD,MATCH(SUBSTITUTE($H1921,"*","-"),MgAmenClave,0)),"No aplica")</f>
        <v/>
      </c>
      <c r="O1921" s="28">
        <f>IFERROR(INDEX(MgAmenDegI,MATCH(SUBSTITUTE($H1921,"*","-"),MgAmenClave,0)),"No aplica")</f>
        <v/>
      </c>
      <c r="P1921" s="28">
        <f>IFERROR(INDEX(MgAmenDegC,MATCH(SUBSTITUTE($H1921,"*","-"),MgAmenClave,0)),"No aplica")</f>
        <v/>
      </c>
      <c r="Q1921" s="29">
        <f>IFERROR(VLOOKUP(K1921,MgValor,2,0)*VLOOKUP(N1921,MgDeg,2,0),0)</f>
        <v/>
      </c>
      <c r="R1921" s="29">
        <f>IFERROR(VLOOKUP(L1921,MgValor,2,0)*VLOOKUP(O1921,MgDeg,2,0),0)</f>
        <v/>
      </c>
      <c r="S1921" s="29">
        <f>IFERROR(VLOOKUP(M1921,MgValor,2,0)*VLOOKUP(P1921,MgDeg,2,0),0)</f>
        <v/>
      </c>
      <c r="T1921" s="30">
        <f>MAX(Q1921:S1921)</f>
        <v/>
      </c>
      <c r="U1921" s="28">
        <f>IFERROR(LOOKUP(T1921,{0;0.5;1.5;3;4.5},{"Despreciable";"Bajo";"Medio";"Alto";"Muy alto"}),"")</f>
        <v/>
      </c>
      <c r="V1921" s="13">
        <f>IFERROR(INDEX(MgAmenFrec,MATCH(SUBSTITUTE($H1921,"*","-"),MgAmenClave,0)),"")</f>
        <v/>
      </c>
      <c r="W1921" s="28">
        <f>IFERROR(LOOKUP(X1921,{0;0.01;0.1;1;10;100},{"Muy baja";"Muy baja";"Baja";"Media";"Alta";"Muy alta"}),"")</f>
        <v/>
      </c>
      <c r="X1921" s="31">
        <f>IFERROR(VLOOKUP(V1921,MgFrec,2,0),0)</f>
        <v/>
      </c>
      <c r="Y1921" s="30">
        <f>T1921*X1921</f>
        <v/>
      </c>
      <c r="Z1921" s="28">
        <f>IFERROR(LOOKUP(Y1921,{0;0.5;5;25},{"Bajo";"Medio";"Alto";"Crítico"}),"")</f>
        <v/>
      </c>
      <c r="AA1921" s="64">
        <f>IF(T1921&gt;=3,IF(X1921&gt;=1,"Zona 1 — Crítica: impacto alto y ocurre al menos una vez al año","Zona 4 — Catastrófica poco probable: impacto alto pero excepcional"),IF(AND(T1921&lt;1.5,X1921&lt;1),"Zona 3 — Asumible: impacto bajo y muy poco frecuente","Zona 2 — Atención: riesgo intermedio"))</f>
        <v/>
      </c>
      <c r="AB1921" s="64">
        <f>IFERROR(INDEX(MgAmenCtrl,MATCH(SUBSTITUTE($H1921,"*","-"),MgAmenClave,0)),"")</f>
        <v/>
      </c>
      <c r="AC1921" s="20" t="n"/>
      <c r="AD1921" s="31">
        <f>IFERROR($X1921*(1-IF($AC1921="",$AL1921,VLOOKUP($AC1921,MgMad,2,0))),"")</f>
        <v/>
      </c>
      <c r="AE1921" s="28">
        <f>IFERROR(LOOKUP(AD1921,{0;0.01;0.1;1;10;100},{"Muy baja";"Muy baja";"Baja";"Media";"Alta";"Muy alta"}),"")</f>
        <v/>
      </c>
      <c r="AF1921" s="30">
        <f>T1921*AD1921</f>
        <v/>
      </c>
      <c r="AG1921" s="28">
        <f>IFERROR(LOOKUP(AF1921,{0;0.5;5;25},{"Bajo";"Medio";"Alto";"Crítico"}),"")</f>
        <v/>
      </c>
      <c r="AH1921" s="28">
        <f>IF(AG1921="","",IF(OR(AG1921="Crítico",AG1921="Alto"),"Mitigar",IF(AG1921="Medio","Mitigar","Aceptar y monitorear")))</f>
        <v/>
      </c>
      <c r="AI1921" s="21" t="n"/>
      <c r="AJ1921" s="21" t="n"/>
      <c r="AK1921" s="20" t="n"/>
      <c r="AL1921" s="77">
        <f>IFERROR(INDEX(MgAmenEfic,MATCH(SUBSTITUTE($H1921,"*","-"),MgAmenClave,0)),0)</f>
        <v/>
      </c>
    </row>
    <row r="1922" hidden="1" ht="120" customHeight="1" s="54">
      <c r="B1922" s="59" t="inlineStr">
        <is>
          <t>R-1917</t>
        </is>
      </c>
      <c r="C1922" s="59" t="inlineStr">
        <is>
          <t>TEC-009</t>
        </is>
      </c>
      <c r="D1922" s="64">
        <f>IFERROR(INDEX(MgNombre,MATCH($C1922,MgActId,0)),"")</f>
        <v/>
      </c>
      <c r="E1922" s="64">
        <f>IFERROR(INDEX(MgProceso,MATCH($C1922,MgActId,0)),"")</f>
        <v/>
      </c>
      <c r="F1922" s="64">
        <f>IFERROR(INDEX(MgTipo,MATCH($C1922,MgActId,0)),"")</f>
        <v/>
      </c>
      <c r="G1922" s="64">
        <f>IFERROR(INDEX(MgSubtipo,MATCH($C1922,MgActId,0)),"")</f>
        <v/>
      </c>
      <c r="H1922" s="59" t="inlineStr">
        <is>
          <t>A.8</t>
        </is>
      </c>
      <c r="I1922" s="64">
        <f>IFERROR(INDEX(MgAmenNombre,MATCH(SUBSTITUTE($H1922,"*","-"),MgAmenClave,0)),"")</f>
        <v/>
      </c>
      <c r="J1922" s="28">
        <f>IFERROR(INDEX(MgAmenGrupo,MATCH(SUBSTITUTE($H1922,"*","-"),MgAmenClave,0)),"")</f>
        <v/>
      </c>
      <c r="K1922" s="64">
        <f>IFERROR(INDEX('1. Matriz de Activos'!$Q$6:$Q$239,MATCH($C1922,MgActId,0)),"")</f>
        <v/>
      </c>
      <c r="L1922" s="64">
        <f>IFERROR(INDEX('1. Matriz de Activos'!$R$6:$R$239,MATCH($C1922,MgActId,0)),"")</f>
        <v/>
      </c>
      <c r="M1922" s="64">
        <f>IFERROR(INDEX('1. Matriz de Activos'!$S$6:$S$239,MATCH($C1922,MgActId,0)),"")</f>
        <v/>
      </c>
      <c r="N1922" s="28">
        <f>IFERROR(INDEX(MgAmenDegD,MATCH(SUBSTITUTE($H1922,"*","-"),MgAmenClave,0)),"No aplica")</f>
        <v/>
      </c>
      <c r="O1922" s="28">
        <f>IFERROR(INDEX(MgAmenDegI,MATCH(SUBSTITUTE($H1922,"*","-"),MgAmenClave,0)),"No aplica")</f>
        <v/>
      </c>
      <c r="P1922" s="28">
        <f>IFERROR(INDEX(MgAmenDegC,MATCH(SUBSTITUTE($H1922,"*","-"),MgAmenClave,0)),"No aplica")</f>
        <v/>
      </c>
      <c r="Q1922" s="29">
        <f>IFERROR(VLOOKUP(K1922,MgValor,2,0)*VLOOKUP(N1922,MgDeg,2,0),0)</f>
        <v/>
      </c>
      <c r="R1922" s="29">
        <f>IFERROR(VLOOKUP(L1922,MgValor,2,0)*VLOOKUP(O1922,MgDeg,2,0),0)</f>
        <v/>
      </c>
      <c r="S1922" s="29">
        <f>IFERROR(VLOOKUP(M1922,MgValor,2,0)*VLOOKUP(P1922,MgDeg,2,0),0)</f>
        <v/>
      </c>
      <c r="T1922" s="30">
        <f>MAX(Q1922:S1922)</f>
        <v/>
      </c>
      <c r="U1922" s="28">
        <f>IFERROR(LOOKUP(T1922,{0;0.5;1.5;3;4.5},{"Despreciable";"Bajo";"Medio";"Alto";"Muy alto"}),"")</f>
        <v/>
      </c>
      <c r="V1922" s="13">
        <f>IFERROR(INDEX(MgAmenFrec,MATCH(SUBSTITUTE($H1922,"*","-"),MgAmenClave,0)),"")</f>
        <v/>
      </c>
      <c r="W1922" s="28">
        <f>IFERROR(LOOKUP(X1922,{0;0.01;0.1;1;10;100},{"Muy baja";"Muy baja";"Baja";"Media";"Alta";"Muy alta"}),"")</f>
        <v/>
      </c>
      <c r="X1922" s="31">
        <f>IFERROR(VLOOKUP(V1922,MgFrec,2,0),0)</f>
        <v/>
      </c>
      <c r="Y1922" s="30">
        <f>T1922*X1922</f>
        <v/>
      </c>
      <c r="Z1922" s="28">
        <f>IFERROR(LOOKUP(Y1922,{0;0.5;5;25},{"Bajo";"Medio";"Alto";"Crítico"}),"")</f>
        <v/>
      </c>
      <c r="AA1922" s="64">
        <f>IF(T1922&gt;=3,IF(X1922&gt;=1,"Zona 1 — Crítica: impacto alto y ocurre al menos una vez al año","Zona 4 — Catastrófica poco probable: impacto alto pero excepcional"),IF(AND(T1922&lt;1.5,X1922&lt;1),"Zona 3 — Asumible: impacto bajo y muy poco frecuente","Zona 2 — Atención: riesgo intermedio"))</f>
        <v/>
      </c>
      <c r="AB1922" s="64">
        <f>IFERROR(INDEX(MgAmenCtrl,MATCH(SUBSTITUTE($H1922,"*","-"),MgAmenClave,0)),"")</f>
        <v/>
      </c>
      <c r="AC1922" s="20" t="n"/>
      <c r="AD1922" s="31">
        <f>IFERROR($X1922*(1-IF($AC1922="",$AL1922,VLOOKUP($AC1922,MgMad,2,0))),"")</f>
        <v/>
      </c>
      <c r="AE1922" s="28">
        <f>IFERROR(LOOKUP(AD1922,{0;0.01;0.1;1;10;100},{"Muy baja";"Muy baja";"Baja";"Media";"Alta";"Muy alta"}),"")</f>
        <v/>
      </c>
      <c r="AF1922" s="30">
        <f>T1922*AD1922</f>
        <v/>
      </c>
      <c r="AG1922" s="28">
        <f>IFERROR(LOOKUP(AF1922,{0;0.5;5;25},{"Bajo";"Medio";"Alto";"Crítico"}),"")</f>
        <v/>
      </c>
      <c r="AH1922" s="28">
        <f>IF(AG1922="","",IF(OR(AG1922="Crítico",AG1922="Alto"),"Mitigar",IF(AG1922="Medio","Mitigar","Aceptar y monitorear")))</f>
        <v/>
      </c>
      <c r="AI1922" s="21" t="n"/>
      <c r="AJ1922" s="21" t="n"/>
      <c r="AK1922" s="20" t="n"/>
      <c r="AL1922" s="77">
        <f>IFERROR(INDEX(MgAmenEfic,MATCH(SUBSTITUTE($H1922,"*","-"),MgAmenClave,0)),0)</f>
        <v/>
      </c>
    </row>
    <row r="1923" hidden="1" ht="60" customHeight="1" s="54">
      <c r="B1923" s="59" t="inlineStr">
        <is>
          <t>R-1918</t>
        </is>
      </c>
      <c r="C1923" s="59" t="inlineStr">
        <is>
          <t>TEC-009</t>
        </is>
      </c>
      <c r="D1923" s="64">
        <f>IFERROR(INDEX(MgNombre,MATCH($C1923,MgActId,0)),"")</f>
        <v/>
      </c>
      <c r="E1923" s="64">
        <f>IFERROR(INDEX(MgProceso,MATCH($C1923,MgActId,0)),"")</f>
        <v/>
      </c>
      <c r="F1923" s="64">
        <f>IFERROR(INDEX(MgTipo,MATCH($C1923,MgActId,0)),"")</f>
        <v/>
      </c>
      <c r="G1923" s="64">
        <f>IFERROR(INDEX(MgSubtipo,MATCH($C1923,MgActId,0)),"")</f>
        <v/>
      </c>
      <c r="H1923" s="59" t="inlineStr">
        <is>
          <t>A.9</t>
        </is>
      </c>
      <c r="I1923" s="64">
        <f>IFERROR(INDEX(MgAmenNombre,MATCH(SUBSTITUTE($H1923,"*","-"),MgAmenClave,0)),"")</f>
        <v/>
      </c>
      <c r="J1923" s="28">
        <f>IFERROR(INDEX(MgAmenGrupo,MATCH(SUBSTITUTE($H1923,"*","-"),MgAmenClave,0)),"")</f>
        <v/>
      </c>
      <c r="K1923" s="64">
        <f>IFERROR(INDEX('1. Matriz de Activos'!$Q$6:$Q$239,MATCH($C1923,MgActId,0)),"")</f>
        <v/>
      </c>
      <c r="L1923" s="64">
        <f>IFERROR(INDEX('1. Matriz de Activos'!$R$6:$R$239,MATCH($C1923,MgActId,0)),"")</f>
        <v/>
      </c>
      <c r="M1923" s="64">
        <f>IFERROR(INDEX('1. Matriz de Activos'!$S$6:$S$239,MATCH($C1923,MgActId,0)),"")</f>
        <v/>
      </c>
      <c r="N1923" s="28">
        <f>IFERROR(INDEX(MgAmenDegD,MATCH(SUBSTITUTE($H1923,"*","-"),MgAmenClave,0)),"No aplica")</f>
        <v/>
      </c>
      <c r="O1923" s="28">
        <f>IFERROR(INDEX(MgAmenDegI,MATCH(SUBSTITUTE($H1923,"*","-"),MgAmenClave,0)),"No aplica")</f>
        <v/>
      </c>
      <c r="P1923" s="28">
        <f>IFERROR(INDEX(MgAmenDegC,MATCH(SUBSTITUTE($H1923,"*","-"),MgAmenClave,0)),"No aplica")</f>
        <v/>
      </c>
      <c r="Q1923" s="29">
        <f>IFERROR(VLOOKUP(K1923,MgValor,2,0)*VLOOKUP(N1923,MgDeg,2,0),0)</f>
        <v/>
      </c>
      <c r="R1923" s="29">
        <f>IFERROR(VLOOKUP(L1923,MgValor,2,0)*VLOOKUP(O1923,MgDeg,2,0),0)</f>
        <v/>
      </c>
      <c r="S1923" s="29">
        <f>IFERROR(VLOOKUP(M1923,MgValor,2,0)*VLOOKUP(P1923,MgDeg,2,0),0)</f>
        <v/>
      </c>
      <c r="T1923" s="30">
        <f>MAX(Q1923:S1923)</f>
        <v/>
      </c>
      <c r="U1923" s="28">
        <f>IFERROR(LOOKUP(T1923,{0;0.5;1.5;3;4.5},{"Despreciable";"Bajo";"Medio";"Alto";"Muy alto"}),"")</f>
        <v/>
      </c>
      <c r="V1923" s="13">
        <f>IFERROR(INDEX(MgAmenFrec,MATCH(SUBSTITUTE($H1923,"*","-"),MgAmenClave,0)),"")</f>
        <v/>
      </c>
      <c r="W1923" s="28">
        <f>IFERROR(LOOKUP(X1923,{0;0.01;0.1;1;10;100},{"Muy baja";"Muy baja";"Baja";"Media";"Alta";"Muy alta"}),"")</f>
        <v/>
      </c>
      <c r="X1923" s="31">
        <f>IFERROR(VLOOKUP(V1923,MgFrec,2,0),0)</f>
        <v/>
      </c>
      <c r="Y1923" s="30">
        <f>T1923*X1923</f>
        <v/>
      </c>
      <c r="Z1923" s="28">
        <f>IFERROR(LOOKUP(Y1923,{0;0.5;5;25},{"Bajo";"Medio";"Alto";"Crítico"}),"")</f>
        <v/>
      </c>
      <c r="AA1923" s="64">
        <f>IF(T1923&gt;=3,IF(X1923&gt;=1,"Zona 1 — Crítica: impacto alto y ocurre al menos una vez al año","Zona 4 — Catastrófica poco probable: impacto alto pero excepcional"),IF(AND(T1923&lt;1.5,X1923&lt;1),"Zona 3 — Asumible: impacto bajo y muy poco frecuente","Zona 2 — Atención: riesgo intermedio"))</f>
        <v/>
      </c>
      <c r="AB1923" s="64">
        <f>IFERROR(INDEX(MgAmenCtrl,MATCH(SUBSTITUTE($H1923,"*","-"),MgAmenClave,0)),"")</f>
        <v/>
      </c>
      <c r="AC1923" s="20" t="n"/>
      <c r="AD1923" s="31">
        <f>IFERROR($X1923*(1-IF($AC1923="",$AL1923,VLOOKUP($AC1923,MgMad,2,0))),"")</f>
        <v/>
      </c>
      <c r="AE1923" s="28">
        <f>IFERROR(LOOKUP(AD1923,{0;0.01;0.1;1;10;100},{"Muy baja";"Muy baja";"Baja";"Media";"Alta";"Muy alta"}),"")</f>
        <v/>
      </c>
      <c r="AF1923" s="30">
        <f>T1923*AD1923</f>
        <v/>
      </c>
      <c r="AG1923" s="28">
        <f>IFERROR(LOOKUP(AF1923,{0;0.5;5;25},{"Bajo";"Medio";"Alto";"Crítico"}),"")</f>
        <v/>
      </c>
      <c r="AH1923" s="28">
        <f>IF(AG1923="","",IF(OR(AG1923="Crítico",AG1923="Alto"),"Mitigar",IF(AG1923="Medio","Mitigar","Aceptar y monitorear")))</f>
        <v/>
      </c>
      <c r="AI1923" s="21" t="n"/>
      <c r="AJ1923" s="21" t="n"/>
      <c r="AK1923" s="20" t="n"/>
      <c r="AL1923" s="77">
        <f>IFERROR(INDEX(MgAmenEfic,MATCH(SUBSTITUTE($H1923,"*","-"),MgAmenClave,0)),0)</f>
        <v/>
      </c>
    </row>
    <row r="1924" hidden="1" ht="45" customHeight="1" s="54">
      <c r="B1924" s="59" t="inlineStr">
        <is>
          <t>R-1919</t>
        </is>
      </c>
      <c r="C1924" s="59" t="inlineStr">
        <is>
          <t>TEC-009</t>
        </is>
      </c>
      <c r="D1924" s="64">
        <f>IFERROR(INDEX(MgNombre,MATCH($C1924,MgActId,0)),"")</f>
        <v/>
      </c>
      <c r="E1924" s="64">
        <f>IFERROR(INDEX(MgProceso,MATCH($C1924,MgActId,0)),"")</f>
        <v/>
      </c>
      <c r="F1924" s="64">
        <f>IFERROR(INDEX(MgTipo,MATCH($C1924,MgActId,0)),"")</f>
        <v/>
      </c>
      <c r="G1924" s="64">
        <f>IFERROR(INDEX(MgSubtipo,MATCH($C1924,MgActId,0)),"")</f>
        <v/>
      </c>
      <c r="H1924" s="59" t="inlineStr">
        <is>
          <t>A.10</t>
        </is>
      </c>
      <c r="I1924" s="64">
        <f>IFERROR(INDEX(MgAmenNombre,MATCH(SUBSTITUTE($H1924,"*","-"),MgAmenClave,0)),"")</f>
        <v/>
      </c>
      <c r="J1924" s="28">
        <f>IFERROR(INDEX(MgAmenGrupo,MATCH(SUBSTITUTE($H1924,"*","-"),MgAmenClave,0)),"")</f>
        <v/>
      </c>
      <c r="K1924" s="64">
        <f>IFERROR(INDEX('1. Matriz de Activos'!$Q$6:$Q$239,MATCH($C1924,MgActId,0)),"")</f>
        <v/>
      </c>
      <c r="L1924" s="64">
        <f>IFERROR(INDEX('1. Matriz de Activos'!$R$6:$R$239,MATCH($C1924,MgActId,0)),"")</f>
        <v/>
      </c>
      <c r="M1924" s="64">
        <f>IFERROR(INDEX('1. Matriz de Activos'!$S$6:$S$239,MATCH($C1924,MgActId,0)),"")</f>
        <v/>
      </c>
      <c r="N1924" s="28">
        <f>IFERROR(INDEX(MgAmenDegD,MATCH(SUBSTITUTE($H1924,"*","-"),MgAmenClave,0)),"No aplica")</f>
        <v/>
      </c>
      <c r="O1924" s="28">
        <f>IFERROR(INDEX(MgAmenDegI,MATCH(SUBSTITUTE($H1924,"*","-"),MgAmenClave,0)),"No aplica")</f>
        <v/>
      </c>
      <c r="P1924" s="28">
        <f>IFERROR(INDEX(MgAmenDegC,MATCH(SUBSTITUTE($H1924,"*","-"),MgAmenClave,0)),"No aplica")</f>
        <v/>
      </c>
      <c r="Q1924" s="29">
        <f>IFERROR(VLOOKUP(K1924,MgValor,2,0)*VLOOKUP(N1924,MgDeg,2,0),0)</f>
        <v/>
      </c>
      <c r="R1924" s="29">
        <f>IFERROR(VLOOKUP(L1924,MgValor,2,0)*VLOOKUP(O1924,MgDeg,2,0),0)</f>
        <v/>
      </c>
      <c r="S1924" s="29">
        <f>IFERROR(VLOOKUP(M1924,MgValor,2,0)*VLOOKUP(P1924,MgDeg,2,0),0)</f>
        <v/>
      </c>
      <c r="T1924" s="30">
        <f>MAX(Q1924:S1924)</f>
        <v/>
      </c>
      <c r="U1924" s="28">
        <f>IFERROR(LOOKUP(T1924,{0;0.5;1.5;3;4.5},{"Despreciable";"Bajo";"Medio";"Alto";"Muy alto"}),"")</f>
        <v/>
      </c>
      <c r="V1924" s="13">
        <f>IFERROR(INDEX(MgAmenFrec,MATCH(SUBSTITUTE($H1924,"*","-"),MgAmenClave,0)),"")</f>
        <v/>
      </c>
      <c r="W1924" s="28">
        <f>IFERROR(LOOKUP(X1924,{0;0.01;0.1;1;10;100},{"Muy baja";"Muy baja";"Baja";"Media";"Alta";"Muy alta"}),"")</f>
        <v/>
      </c>
      <c r="X1924" s="31">
        <f>IFERROR(VLOOKUP(V1924,MgFrec,2,0),0)</f>
        <v/>
      </c>
      <c r="Y1924" s="30">
        <f>T1924*X1924</f>
        <v/>
      </c>
      <c r="Z1924" s="28">
        <f>IFERROR(LOOKUP(Y1924,{0;0.5;5;25},{"Bajo";"Medio";"Alto";"Crítico"}),"")</f>
        <v/>
      </c>
      <c r="AA1924" s="64">
        <f>IF(T1924&gt;=3,IF(X1924&gt;=1,"Zona 1 — Crítica: impacto alto y ocurre al menos una vez al año","Zona 4 — Catastrófica poco probable: impacto alto pero excepcional"),IF(AND(T1924&lt;1.5,X1924&lt;1),"Zona 3 — Asumible: impacto bajo y muy poco frecuente","Zona 2 — Atención: riesgo intermedio"))</f>
        <v/>
      </c>
      <c r="AB1924" s="64">
        <f>IFERROR(INDEX(MgAmenCtrl,MATCH(SUBSTITUTE($H1924,"*","-"),MgAmenClave,0)),"")</f>
        <v/>
      </c>
      <c r="AC1924" s="20" t="n"/>
      <c r="AD1924" s="31">
        <f>IFERROR($X1924*(1-IF($AC1924="",$AL1924,VLOOKUP($AC1924,MgMad,2,0))),"")</f>
        <v/>
      </c>
      <c r="AE1924" s="28">
        <f>IFERROR(LOOKUP(AD1924,{0;0.01;0.1;1;10;100},{"Muy baja";"Muy baja";"Baja";"Media";"Alta";"Muy alta"}),"")</f>
        <v/>
      </c>
      <c r="AF1924" s="30">
        <f>T1924*AD1924</f>
        <v/>
      </c>
      <c r="AG1924" s="28">
        <f>IFERROR(LOOKUP(AF1924,{0;0.5;5;25},{"Bajo";"Medio";"Alto";"Crítico"}),"")</f>
        <v/>
      </c>
      <c r="AH1924" s="28">
        <f>IF(AG1924="","",IF(OR(AG1924="Crítico",AG1924="Alto"),"Mitigar",IF(AG1924="Medio","Mitigar","Aceptar y monitorear")))</f>
        <v/>
      </c>
      <c r="AI1924" s="21" t="n"/>
      <c r="AJ1924" s="21" t="n"/>
      <c r="AK1924" s="20" t="n"/>
      <c r="AL1924" s="77">
        <f>IFERROR(INDEX(MgAmenEfic,MATCH(SUBSTITUTE($H1924,"*","-"),MgAmenClave,0)),0)</f>
        <v/>
      </c>
    </row>
    <row r="1925" hidden="1" ht="120" customHeight="1" s="54">
      <c r="B1925" s="59" t="inlineStr">
        <is>
          <t>R-1920</t>
        </is>
      </c>
      <c r="C1925" s="59" t="inlineStr">
        <is>
          <t>TEC-009</t>
        </is>
      </c>
      <c r="D1925" s="64">
        <f>IFERROR(INDEX(MgNombre,MATCH($C1925,MgActId,0)),"")</f>
        <v/>
      </c>
      <c r="E1925" s="64">
        <f>IFERROR(INDEX(MgProceso,MATCH($C1925,MgActId,0)),"")</f>
        <v/>
      </c>
      <c r="F1925" s="64">
        <f>IFERROR(INDEX(MgTipo,MATCH($C1925,MgActId,0)),"")</f>
        <v/>
      </c>
      <c r="G1925" s="64">
        <f>IFERROR(INDEX(MgSubtipo,MATCH($C1925,MgActId,0)),"")</f>
        <v/>
      </c>
      <c r="H1925" s="59" t="inlineStr">
        <is>
          <t>A.11</t>
        </is>
      </c>
      <c r="I1925" s="64">
        <f>IFERROR(INDEX(MgAmenNombre,MATCH(SUBSTITUTE($H1925,"*","-"),MgAmenClave,0)),"")</f>
        <v/>
      </c>
      <c r="J1925" s="28">
        <f>IFERROR(INDEX(MgAmenGrupo,MATCH(SUBSTITUTE($H1925,"*","-"),MgAmenClave,0)),"")</f>
        <v/>
      </c>
      <c r="K1925" s="64">
        <f>IFERROR(INDEX('1. Matriz de Activos'!$Q$6:$Q$239,MATCH($C1925,MgActId,0)),"")</f>
        <v/>
      </c>
      <c r="L1925" s="64">
        <f>IFERROR(INDEX('1. Matriz de Activos'!$R$6:$R$239,MATCH($C1925,MgActId,0)),"")</f>
        <v/>
      </c>
      <c r="M1925" s="64">
        <f>IFERROR(INDEX('1. Matriz de Activos'!$S$6:$S$239,MATCH($C1925,MgActId,0)),"")</f>
        <v/>
      </c>
      <c r="N1925" s="28">
        <f>IFERROR(INDEX(MgAmenDegD,MATCH(SUBSTITUTE($H1925,"*","-"),MgAmenClave,0)),"No aplica")</f>
        <v/>
      </c>
      <c r="O1925" s="28">
        <f>IFERROR(INDEX(MgAmenDegI,MATCH(SUBSTITUTE($H1925,"*","-"),MgAmenClave,0)),"No aplica")</f>
        <v/>
      </c>
      <c r="P1925" s="28">
        <f>IFERROR(INDEX(MgAmenDegC,MATCH(SUBSTITUTE($H1925,"*","-"),MgAmenClave,0)),"No aplica")</f>
        <v/>
      </c>
      <c r="Q1925" s="29">
        <f>IFERROR(VLOOKUP(K1925,MgValor,2,0)*VLOOKUP(N1925,MgDeg,2,0),0)</f>
        <v/>
      </c>
      <c r="R1925" s="29">
        <f>IFERROR(VLOOKUP(L1925,MgValor,2,0)*VLOOKUP(O1925,MgDeg,2,0),0)</f>
        <v/>
      </c>
      <c r="S1925" s="29">
        <f>IFERROR(VLOOKUP(M1925,MgValor,2,0)*VLOOKUP(P1925,MgDeg,2,0),0)</f>
        <v/>
      </c>
      <c r="T1925" s="30">
        <f>MAX(Q1925:S1925)</f>
        <v/>
      </c>
      <c r="U1925" s="28">
        <f>IFERROR(LOOKUP(T1925,{0;0.5;1.5;3;4.5},{"Despreciable";"Bajo";"Medio";"Alto";"Muy alto"}),"")</f>
        <v/>
      </c>
      <c r="V1925" s="13">
        <f>IFERROR(INDEX(MgAmenFrec,MATCH(SUBSTITUTE($H1925,"*","-"),MgAmenClave,0)),"")</f>
        <v/>
      </c>
      <c r="W1925" s="28">
        <f>IFERROR(LOOKUP(X1925,{0;0.01;0.1;1;10;100},{"Muy baja";"Muy baja";"Baja";"Media";"Alta";"Muy alta"}),"")</f>
        <v/>
      </c>
      <c r="X1925" s="31">
        <f>IFERROR(VLOOKUP(V1925,MgFrec,2,0),0)</f>
        <v/>
      </c>
      <c r="Y1925" s="30">
        <f>T1925*X1925</f>
        <v/>
      </c>
      <c r="Z1925" s="28">
        <f>IFERROR(LOOKUP(Y1925,{0;0.5;5;25},{"Bajo";"Medio";"Alto";"Crítico"}),"")</f>
        <v/>
      </c>
      <c r="AA1925" s="64">
        <f>IF(T1925&gt;=3,IF(X1925&gt;=1,"Zona 1 — Crítica: impacto alto y ocurre al menos una vez al año","Zona 4 — Catastrófica poco probable: impacto alto pero excepcional"),IF(AND(T1925&lt;1.5,X1925&lt;1),"Zona 3 — Asumible: impacto bajo y muy poco frecuente","Zona 2 — Atención: riesgo intermedio"))</f>
        <v/>
      </c>
      <c r="AB1925" s="64">
        <f>IFERROR(INDEX(MgAmenCtrl,MATCH(SUBSTITUTE($H1925,"*","-"),MgAmenClave,0)),"")</f>
        <v/>
      </c>
      <c r="AC1925" s="20" t="n"/>
      <c r="AD1925" s="31">
        <f>IFERROR($X1925*(1-IF($AC1925="",$AL1925,VLOOKUP($AC1925,MgMad,2,0))),"")</f>
        <v/>
      </c>
      <c r="AE1925" s="28">
        <f>IFERROR(LOOKUP(AD1925,{0;0.01;0.1;1;10;100},{"Muy baja";"Muy baja";"Baja";"Media";"Alta";"Muy alta"}),"")</f>
        <v/>
      </c>
      <c r="AF1925" s="30">
        <f>T1925*AD1925</f>
        <v/>
      </c>
      <c r="AG1925" s="28">
        <f>IFERROR(LOOKUP(AF1925,{0;0.5;5;25},{"Bajo";"Medio";"Alto";"Crítico"}),"")</f>
        <v/>
      </c>
      <c r="AH1925" s="28">
        <f>IF(AG1925="","",IF(OR(AG1925="Crítico",AG1925="Alto"),"Mitigar",IF(AG1925="Medio","Mitigar","Aceptar y monitorear")))</f>
        <v/>
      </c>
      <c r="AI1925" s="21" t="n"/>
      <c r="AJ1925" s="21" t="n"/>
      <c r="AK1925" s="20" t="n"/>
      <c r="AL1925" s="77">
        <f>IFERROR(INDEX(MgAmenEfic,MATCH(SUBSTITUTE($H1925,"*","-"),MgAmenClave,0)),0)</f>
        <v/>
      </c>
    </row>
    <row r="1926" hidden="1" ht="60" customHeight="1" s="54">
      <c r="B1926" s="59" t="inlineStr">
        <is>
          <t>R-1921</t>
        </is>
      </c>
      <c r="C1926" s="59" t="inlineStr">
        <is>
          <t>TEC-009</t>
        </is>
      </c>
      <c r="D1926" s="64">
        <f>IFERROR(INDEX(MgNombre,MATCH($C1926,MgActId,0)),"")</f>
        <v/>
      </c>
      <c r="E1926" s="64">
        <f>IFERROR(INDEX(MgProceso,MATCH($C1926,MgActId,0)),"")</f>
        <v/>
      </c>
      <c r="F1926" s="64">
        <f>IFERROR(INDEX(MgTipo,MATCH($C1926,MgActId,0)),"")</f>
        <v/>
      </c>
      <c r="G1926" s="64">
        <f>IFERROR(INDEX(MgSubtipo,MATCH($C1926,MgActId,0)),"")</f>
        <v/>
      </c>
      <c r="H1926" s="59" t="inlineStr">
        <is>
          <t>A.15</t>
        </is>
      </c>
      <c r="I1926" s="64">
        <f>IFERROR(INDEX(MgAmenNombre,MATCH(SUBSTITUTE($H1926,"*","-"),MgAmenClave,0)),"")</f>
        <v/>
      </c>
      <c r="J1926" s="28">
        <f>IFERROR(INDEX(MgAmenGrupo,MATCH(SUBSTITUTE($H1926,"*","-"),MgAmenClave,0)),"")</f>
        <v/>
      </c>
      <c r="K1926" s="64">
        <f>IFERROR(INDEX('1. Matriz de Activos'!$Q$6:$Q$239,MATCH($C1926,MgActId,0)),"")</f>
        <v/>
      </c>
      <c r="L1926" s="64">
        <f>IFERROR(INDEX('1. Matriz de Activos'!$R$6:$R$239,MATCH($C1926,MgActId,0)),"")</f>
        <v/>
      </c>
      <c r="M1926" s="64">
        <f>IFERROR(INDEX('1. Matriz de Activos'!$S$6:$S$239,MATCH($C1926,MgActId,0)),"")</f>
        <v/>
      </c>
      <c r="N1926" s="28">
        <f>IFERROR(INDEX(MgAmenDegD,MATCH(SUBSTITUTE($H1926,"*","-"),MgAmenClave,0)),"No aplica")</f>
        <v/>
      </c>
      <c r="O1926" s="28">
        <f>IFERROR(INDEX(MgAmenDegI,MATCH(SUBSTITUTE($H1926,"*","-"),MgAmenClave,0)),"No aplica")</f>
        <v/>
      </c>
      <c r="P1926" s="28">
        <f>IFERROR(INDEX(MgAmenDegC,MATCH(SUBSTITUTE($H1926,"*","-"),MgAmenClave,0)),"No aplica")</f>
        <v/>
      </c>
      <c r="Q1926" s="29">
        <f>IFERROR(VLOOKUP(K1926,MgValor,2,0)*VLOOKUP(N1926,MgDeg,2,0),0)</f>
        <v/>
      </c>
      <c r="R1926" s="29">
        <f>IFERROR(VLOOKUP(L1926,MgValor,2,0)*VLOOKUP(O1926,MgDeg,2,0),0)</f>
        <v/>
      </c>
      <c r="S1926" s="29">
        <f>IFERROR(VLOOKUP(M1926,MgValor,2,0)*VLOOKUP(P1926,MgDeg,2,0),0)</f>
        <v/>
      </c>
      <c r="T1926" s="30">
        <f>MAX(Q1926:S1926)</f>
        <v/>
      </c>
      <c r="U1926" s="28">
        <f>IFERROR(LOOKUP(T1926,{0;0.5;1.5;3;4.5},{"Despreciable";"Bajo";"Medio";"Alto";"Muy alto"}),"")</f>
        <v/>
      </c>
      <c r="V1926" s="13">
        <f>IFERROR(INDEX(MgAmenFrec,MATCH(SUBSTITUTE($H1926,"*","-"),MgAmenClave,0)),"")</f>
        <v/>
      </c>
      <c r="W1926" s="28">
        <f>IFERROR(LOOKUP(X1926,{0;0.01;0.1;1;10;100},{"Muy baja";"Muy baja";"Baja";"Media";"Alta";"Muy alta"}),"")</f>
        <v/>
      </c>
      <c r="X1926" s="31">
        <f>IFERROR(VLOOKUP(V1926,MgFrec,2,0),0)</f>
        <v/>
      </c>
      <c r="Y1926" s="30">
        <f>T1926*X1926</f>
        <v/>
      </c>
      <c r="Z1926" s="28">
        <f>IFERROR(LOOKUP(Y1926,{0;0.5;5;25},{"Bajo";"Medio";"Alto";"Crítico"}),"")</f>
        <v/>
      </c>
      <c r="AA1926" s="64">
        <f>IF(T1926&gt;=3,IF(X1926&gt;=1,"Zona 1 — Crítica: impacto alto y ocurre al menos una vez al año","Zona 4 — Catastrófica poco probable: impacto alto pero excepcional"),IF(AND(T1926&lt;1.5,X1926&lt;1),"Zona 3 — Asumible: impacto bajo y muy poco frecuente","Zona 2 — Atención: riesgo intermedio"))</f>
        <v/>
      </c>
      <c r="AB1926" s="64">
        <f>IFERROR(INDEX(MgAmenCtrl,MATCH(SUBSTITUTE($H1926,"*","-"),MgAmenClave,0)),"")</f>
        <v/>
      </c>
      <c r="AC1926" s="20" t="n"/>
      <c r="AD1926" s="31">
        <f>IFERROR($X1926*(1-IF($AC1926="",$AL1926,VLOOKUP($AC1926,MgMad,2,0))),"")</f>
        <v/>
      </c>
      <c r="AE1926" s="28">
        <f>IFERROR(LOOKUP(AD1926,{0;0.01;0.1;1;10;100},{"Muy baja";"Muy baja";"Baja";"Media";"Alta";"Muy alta"}),"")</f>
        <v/>
      </c>
      <c r="AF1926" s="30">
        <f>T1926*AD1926</f>
        <v/>
      </c>
      <c r="AG1926" s="28">
        <f>IFERROR(LOOKUP(AF1926,{0;0.5;5;25},{"Bajo";"Medio";"Alto";"Crítico"}),"")</f>
        <v/>
      </c>
      <c r="AH1926" s="28">
        <f>IF(AG1926="","",IF(OR(AG1926="Crítico",AG1926="Alto"),"Mitigar",IF(AG1926="Medio","Mitigar","Aceptar y monitorear")))</f>
        <v/>
      </c>
      <c r="AI1926" s="21" t="n"/>
      <c r="AJ1926" s="21" t="n"/>
      <c r="AK1926" s="20" t="n"/>
      <c r="AL1926" s="77">
        <f>IFERROR(INDEX(MgAmenEfic,MATCH(SUBSTITUTE($H1926,"*","-"),MgAmenClave,0)),0)</f>
        <v/>
      </c>
    </row>
    <row r="1927" hidden="1" ht="60" customHeight="1" s="54">
      <c r="B1927" s="59" t="inlineStr">
        <is>
          <t>R-1922</t>
        </is>
      </c>
      <c r="C1927" s="59" t="inlineStr">
        <is>
          <t>TEC-009</t>
        </is>
      </c>
      <c r="D1927" s="64">
        <f>IFERROR(INDEX(MgNombre,MATCH($C1927,MgActId,0)),"")</f>
        <v/>
      </c>
      <c r="E1927" s="64">
        <f>IFERROR(INDEX(MgProceso,MATCH($C1927,MgActId,0)),"")</f>
        <v/>
      </c>
      <c r="F1927" s="64">
        <f>IFERROR(INDEX(MgTipo,MATCH($C1927,MgActId,0)),"")</f>
        <v/>
      </c>
      <c r="G1927" s="64">
        <f>IFERROR(INDEX(MgSubtipo,MATCH($C1927,MgActId,0)),"")</f>
        <v/>
      </c>
      <c r="H1927" s="59" t="inlineStr">
        <is>
          <t>A.18</t>
        </is>
      </c>
      <c r="I1927" s="64">
        <f>IFERROR(INDEX(MgAmenNombre,MATCH(SUBSTITUTE($H1927,"*","-"),MgAmenClave,0)),"")</f>
        <v/>
      </c>
      <c r="J1927" s="28">
        <f>IFERROR(INDEX(MgAmenGrupo,MATCH(SUBSTITUTE($H1927,"*","-"),MgAmenClave,0)),"")</f>
        <v/>
      </c>
      <c r="K1927" s="64">
        <f>IFERROR(INDEX('1. Matriz de Activos'!$Q$6:$Q$239,MATCH($C1927,MgActId,0)),"")</f>
        <v/>
      </c>
      <c r="L1927" s="64">
        <f>IFERROR(INDEX('1. Matriz de Activos'!$R$6:$R$239,MATCH($C1927,MgActId,0)),"")</f>
        <v/>
      </c>
      <c r="M1927" s="64">
        <f>IFERROR(INDEX('1. Matriz de Activos'!$S$6:$S$239,MATCH($C1927,MgActId,0)),"")</f>
        <v/>
      </c>
      <c r="N1927" s="28">
        <f>IFERROR(INDEX(MgAmenDegD,MATCH(SUBSTITUTE($H1927,"*","-"),MgAmenClave,0)),"No aplica")</f>
        <v/>
      </c>
      <c r="O1927" s="28">
        <f>IFERROR(INDEX(MgAmenDegI,MATCH(SUBSTITUTE($H1927,"*","-"),MgAmenClave,0)),"No aplica")</f>
        <v/>
      </c>
      <c r="P1927" s="28">
        <f>IFERROR(INDEX(MgAmenDegC,MATCH(SUBSTITUTE($H1927,"*","-"),MgAmenClave,0)),"No aplica")</f>
        <v/>
      </c>
      <c r="Q1927" s="29">
        <f>IFERROR(VLOOKUP(K1927,MgValor,2,0)*VLOOKUP(N1927,MgDeg,2,0),0)</f>
        <v/>
      </c>
      <c r="R1927" s="29">
        <f>IFERROR(VLOOKUP(L1927,MgValor,2,0)*VLOOKUP(O1927,MgDeg,2,0),0)</f>
        <v/>
      </c>
      <c r="S1927" s="29">
        <f>IFERROR(VLOOKUP(M1927,MgValor,2,0)*VLOOKUP(P1927,MgDeg,2,0),0)</f>
        <v/>
      </c>
      <c r="T1927" s="30">
        <f>MAX(Q1927:S1927)</f>
        <v/>
      </c>
      <c r="U1927" s="28">
        <f>IFERROR(LOOKUP(T1927,{0;0.5;1.5;3;4.5},{"Despreciable";"Bajo";"Medio";"Alto";"Muy alto"}),"")</f>
        <v/>
      </c>
      <c r="V1927" s="13">
        <f>IFERROR(INDEX(MgAmenFrec,MATCH(SUBSTITUTE($H1927,"*","-"),MgAmenClave,0)),"")</f>
        <v/>
      </c>
      <c r="W1927" s="28">
        <f>IFERROR(LOOKUP(X1927,{0;0.01;0.1;1;10;100},{"Muy baja";"Muy baja";"Baja";"Media";"Alta";"Muy alta"}),"")</f>
        <v/>
      </c>
      <c r="X1927" s="31">
        <f>IFERROR(VLOOKUP(V1927,MgFrec,2,0),0)</f>
        <v/>
      </c>
      <c r="Y1927" s="30">
        <f>T1927*X1927</f>
        <v/>
      </c>
      <c r="Z1927" s="28">
        <f>IFERROR(LOOKUP(Y1927,{0;0.5;5;25},{"Bajo";"Medio";"Alto";"Crítico"}),"")</f>
        <v/>
      </c>
      <c r="AA1927" s="64">
        <f>IF(T1927&gt;=3,IF(X1927&gt;=1,"Zona 1 — Crítica: impacto alto y ocurre al menos una vez al año","Zona 4 — Catastrófica poco probable: impacto alto pero excepcional"),IF(AND(T1927&lt;1.5,X1927&lt;1),"Zona 3 — Asumible: impacto bajo y muy poco frecuente","Zona 2 — Atención: riesgo intermedio"))</f>
        <v/>
      </c>
      <c r="AB1927" s="64">
        <f>IFERROR(INDEX(MgAmenCtrl,MATCH(SUBSTITUTE($H1927,"*","-"),MgAmenClave,0)),"")</f>
        <v/>
      </c>
      <c r="AC1927" s="20" t="n"/>
      <c r="AD1927" s="31">
        <f>IFERROR($X1927*(1-IF($AC1927="",$AL1927,VLOOKUP($AC1927,MgMad,2,0))),"")</f>
        <v/>
      </c>
      <c r="AE1927" s="28">
        <f>IFERROR(LOOKUP(AD1927,{0;0.01;0.1;1;10;100},{"Muy baja";"Muy baja";"Baja";"Media";"Alta";"Muy alta"}),"")</f>
        <v/>
      </c>
      <c r="AF1927" s="30">
        <f>T1927*AD1927</f>
        <v/>
      </c>
      <c r="AG1927" s="28">
        <f>IFERROR(LOOKUP(AF1927,{0;0.5;5;25},{"Bajo";"Medio";"Alto";"Crítico"}),"")</f>
        <v/>
      </c>
      <c r="AH1927" s="28">
        <f>IF(AG1927="","",IF(OR(AG1927="Crítico",AG1927="Alto"),"Mitigar",IF(AG1927="Medio","Mitigar","Aceptar y monitorear")))</f>
        <v/>
      </c>
      <c r="AI1927" s="21" t="n"/>
      <c r="AJ1927" s="21" t="n"/>
      <c r="AK1927" s="20" t="n"/>
      <c r="AL1927" s="77">
        <f>IFERROR(INDEX(MgAmenEfic,MATCH(SUBSTITUTE($H1927,"*","-"),MgAmenClave,0)),0)</f>
        <v/>
      </c>
    </row>
    <row r="1928" hidden="1" ht="120" customHeight="1" s="54">
      <c r="B1928" s="59" t="inlineStr">
        <is>
          <t>R-1923</t>
        </is>
      </c>
      <c r="C1928" s="59" t="inlineStr">
        <is>
          <t>TEC-009</t>
        </is>
      </c>
      <c r="D1928" s="64">
        <f>IFERROR(INDEX(MgNombre,MATCH($C1928,MgActId,0)),"")</f>
        <v/>
      </c>
      <c r="E1928" s="64">
        <f>IFERROR(INDEX(MgProceso,MATCH($C1928,MgActId,0)),"")</f>
        <v/>
      </c>
      <c r="F1928" s="64">
        <f>IFERROR(INDEX(MgTipo,MATCH($C1928,MgActId,0)),"")</f>
        <v/>
      </c>
      <c r="G1928" s="64">
        <f>IFERROR(INDEX(MgSubtipo,MATCH($C1928,MgActId,0)),"")</f>
        <v/>
      </c>
      <c r="H1928" s="59" t="inlineStr">
        <is>
          <t>A.19</t>
        </is>
      </c>
      <c r="I1928" s="64">
        <f>IFERROR(INDEX(MgAmenNombre,MATCH(SUBSTITUTE($H1928,"*","-"),MgAmenClave,0)),"")</f>
        <v/>
      </c>
      <c r="J1928" s="28">
        <f>IFERROR(INDEX(MgAmenGrupo,MATCH(SUBSTITUTE($H1928,"*","-"),MgAmenClave,0)),"")</f>
        <v/>
      </c>
      <c r="K1928" s="64">
        <f>IFERROR(INDEX('1. Matriz de Activos'!$Q$6:$Q$239,MATCH($C1928,MgActId,0)),"")</f>
        <v/>
      </c>
      <c r="L1928" s="64">
        <f>IFERROR(INDEX('1. Matriz de Activos'!$R$6:$R$239,MATCH($C1928,MgActId,0)),"")</f>
        <v/>
      </c>
      <c r="M1928" s="64">
        <f>IFERROR(INDEX('1. Matriz de Activos'!$S$6:$S$239,MATCH($C1928,MgActId,0)),"")</f>
        <v/>
      </c>
      <c r="N1928" s="28">
        <f>IFERROR(INDEX(MgAmenDegD,MATCH(SUBSTITUTE($H1928,"*","-"),MgAmenClave,0)),"No aplica")</f>
        <v/>
      </c>
      <c r="O1928" s="28">
        <f>IFERROR(INDEX(MgAmenDegI,MATCH(SUBSTITUTE($H1928,"*","-"),MgAmenClave,0)),"No aplica")</f>
        <v/>
      </c>
      <c r="P1928" s="28">
        <f>IFERROR(INDEX(MgAmenDegC,MATCH(SUBSTITUTE($H1928,"*","-"),MgAmenClave,0)),"No aplica")</f>
        <v/>
      </c>
      <c r="Q1928" s="29">
        <f>IFERROR(VLOOKUP(K1928,MgValor,2,0)*VLOOKUP(N1928,MgDeg,2,0),0)</f>
        <v/>
      </c>
      <c r="R1928" s="29">
        <f>IFERROR(VLOOKUP(L1928,MgValor,2,0)*VLOOKUP(O1928,MgDeg,2,0),0)</f>
        <v/>
      </c>
      <c r="S1928" s="29">
        <f>IFERROR(VLOOKUP(M1928,MgValor,2,0)*VLOOKUP(P1928,MgDeg,2,0),0)</f>
        <v/>
      </c>
      <c r="T1928" s="30">
        <f>MAX(Q1928:S1928)</f>
        <v/>
      </c>
      <c r="U1928" s="28">
        <f>IFERROR(LOOKUP(T1928,{0;0.5;1.5;3;4.5},{"Despreciable";"Bajo";"Medio";"Alto";"Muy alto"}),"")</f>
        <v/>
      </c>
      <c r="V1928" s="13">
        <f>IFERROR(INDEX(MgAmenFrec,MATCH(SUBSTITUTE($H1928,"*","-"),MgAmenClave,0)),"")</f>
        <v/>
      </c>
      <c r="W1928" s="28">
        <f>IFERROR(LOOKUP(X1928,{0;0.01;0.1;1;10;100},{"Muy baja";"Muy baja";"Baja";"Media";"Alta";"Muy alta"}),"")</f>
        <v/>
      </c>
      <c r="X1928" s="31">
        <f>IFERROR(VLOOKUP(V1928,MgFrec,2,0),0)</f>
        <v/>
      </c>
      <c r="Y1928" s="30">
        <f>T1928*X1928</f>
        <v/>
      </c>
      <c r="Z1928" s="28">
        <f>IFERROR(LOOKUP(Y1928,{0;0.5;5;25},{"Bajo";"Medio";"Alto";"Crítico"}),"")</f>
        <v/>
      </c>
      <c r="AA1928" s="64">
        <f>IF(T1928&gt;=3,IF(X1928&gt;=1,"Zona 1 — Crítica: impacto alto y ocurre al menos una vez al año","Zona 4 — Catastrófica poco probable: impacto alto pero excepcional"),IF(AND(T1928&lt;1.5,X1928&lt;1),"Zona 3 — Asumible: impacto bajo y muy poco frecuente","Zona 2 — Atención: riesgo intermedio"))</f>
        <v/>
      </c>
      <c r="AB1928" s="64">
        <f>IFERROR(INDEX(MgAmenCtrl,MATCH(SUBSTITUTE($H1928,"*","-"),MgAmenClave,0)),"")</f>
        <v/>
      </c>
      <c r="AC1928" s="20" t="n"/>
      <c r="AD1928" s="31">
        <f>IFERROR($X1928*(1-IF($AC1928="",$AL1928,VLOOKUP($AC1928,MgMad,2,0))),"")</f>
        <v/>
      </c>
      <c r="AE1928" s="28">
        <f>IFERROR(LOOKUP(AD1928,{0;0.01;0.1;1;10;100},{"Muy baja";"Muy baja";"Baja";"Media";"Alta";"Muy alta"}),"")</f>
        <v/>
      </c>
      <c r="AF1928" s="30">
        <f>T1928*AD1928</f>
        <v/>
      </c>
      <c r="AG1928" s="28">
        <f>IFERROR(LOOKUP(AF1928,{0;0.5;5;25},{"Bajo";"Medio";"Alto";"Crítico"}),"")</f>
        <v/>
      </c>
      <c r="AH1928" s="28">
        <f>IF(AG1928="","",IF(OR(AG1928="Crítico",AG1928="Alto"),"Mitigar",IF(AG1928="Medio","Mitigar","Aceptar y monitorear")))</f>
        <v/>
      </c>
      <c r="AI1928" s="21" t="n"/>
      <c r="AJ1928" s="21" t="n"/>
      <c r="AK1928" s="20" t="n"/>
      <c r="AL1928" s="77">
        <f>IFERROR(INDEX(MgAmenEfic,MATCH(SUBSTITUTE($H1928,"*","-"),MgAmenClave,0)),0)</f>
        <v/>
      </c>
    </row>
    <row r="1929" hidden="1" ht="135" customHeight="1" s="54">
      <c r="B1929" s="59" t="inlineStr">
        <is>
          <t>R-1924</t>
        </is>
      </c>
      <c r="C1929" s="59" t="inlineStr">
        <is>
          <t>TEC-009</t>
        </is>
      </c>
      <c r="D1929" s="64">
        <f>IFERROR(INDEX(MgNombre,MATCH($C1929,MgActId,0)),"")</f>
        <v/>
      </c>
      <c r="E1929" s="64">
        <f>IFERROR(INDEX(MgProceso,MATCH($C1929,MgActId,0)),"")</f>
        <v/>
      </c>
      <c r="F1929" s="64">
        <f>IFERROR(INDEX(MgTipo,MATCH($C1929,MgActId,0)),"")</f>
        <v/>
      </c>
      <c r="G1929" s="64">
        <f>IFERROR(INDEX(MgSubtipo,MATCH($C1929,MgActId,0)),"")</f>
        <v/>
      </c>
      <c r="H1929" s="59" t="inlineStr">
        <is>
          <t>A.22</t>
        </is>
      </c>
      <c r="I1929" s="64">
        <f>IFERROR(INDEX(MgAmenNombre,MATCH(SUBSTITUTE($H1929,"*","-"),MgAmenClave,0)),"")</f>
        <v/>
      </c>
      <c r="J1929" s="28">
        <f>IFERROR(INDEX(MgAmenGrupo,MATCH(SUBSTITUTE($H1929,"*","-"),MgAmenClave,0)),"")</f>
        <v/>
      </c>
      <c r="K1929" s="64">
        <f>IFERROR(INDEX('1. Matriz de Activos'!$Q$6:$Q$239,MATCH($C1929,MgActId,0)),"")</f>
        <v/>
      </c>
      <c r="L1929" s="64">
        <f>IFERROR(INDEX('1. Matriz de Activos'!$R$6:$R$239,MATCH($C1929,MgActId,0)),"")</f>
        <v/>
      </c>
      <c r="M1929" s="64">
        <f>IFERROR(INDEX('1. Matriz de Activos'!$S$6:$S$239,MATCH($C1929,MgActId,0)),"")</f>
        <v/>
      </c>
      <c r="N1929" s="28">
        <f>IFERROR(INDEX(MgAmenDegD,MATCH(SUBSTITUTE($H1929,"*","-"),MgAmenClave,0)),"No aplica")</f>
        <v/>
      </c>
      <c r="O1929" s="28">
        <f>IFERROR(INDEX(MgAmenDegI,MATCH(SUBSTITUTE($H1929,"*","-"),MgAmenClave,0)),"No aplica")</f>
        <v/>
      </c>
      <c r="P1929" s="28">
        <f>IFERROR(INDEX(MgAmenDegC,MATCH(SUBSTITUTE($H1929,"*","-"),MgAmenClave,0)),"No aplica")</f>
        <v/>
      </c>
      <c r="Q1929" s="29">
        <f>IFERROR(VLOOKUP(K1929,MgValor,2,0)*VLOOKUP(N1929,MgDeg,2,0),0)</f>
        <v/>
      </c>
      <c r="R1929" s="29">
        <f>IFERROR(VLOOKUP(L1929,MgValor,2,0)*VLOOKUP(O1929,MgDeg,2,0),0)</f>
        <v/>
      </c>
      <c r="S1929" s="29">
        <f>IFERROR(VLOOKUP(M1929,MgValor,2,0)*VLOOKUP(P1929,MgDeg,2,0),0)</f>
        <v/>
      </c>
      <c r="T1929" s="30">
        <f>MAX(Q1929:S1929)</f>
        <v/>
      </c>
      <c r="U1929" s="28">
        <f>IFERROR(LOOKUP(T1929,{0;0.5;1.5;3;4.5},{"Despreciable";"Bajo";"Medio";"Alto";"Muy alto"}),"")</f>
        <v/>
      </c>
      <c r="V1929" s="13">
        <f>IFERROR(INDEX(MgAmenFrec,MATCH(SUBSTITUTE($H1929,"*","-"),MgAmenClave,0)),"")</f>
        <v/>
      </c>
      <c r="W1929" s="28">
        <f>IFERROR(LOOKUP(X1929,{0;0.01;0.1;1;10;100},{"Muy baja";"Muy baja";"Baja";"Media";"Alta";"Muy alta"}),"")</f>
        <v/>
      </c>
      <c r="X1929" s="31">
        <f>IFERROR(VLOOKUP(V1929,MgFrec,2,0),0)</f>
        <v/>
      </c>
      <c r="Y1929" s="30">
        <f>T1929*X1929</f>
        <v/>
      </c>
      <c r="Z1929" s="28">
        <f>IFERROR(LOOKUP(Y1929,{0;0.5;5;25},{"Bajo";"Medio";"Alto";"Crítico"}),"")</f>
        <v/>
      </c>
      <c r="AA1929" s="64">
        <f>IF(T1929&gt;=3,IF(X1929&gt;=1,"Zona 1 — Crítica: impacto alto y ocurre al menos una vez al año","Zona 4 — Catastrófica poco probable: impacto alto pero excepcional"),IF(AND(T1929&lt;1.5,X1929&lt;1),"Zona 3 — Asumible: impacto bajo y muy poco frecuente","Zona 2 — Atención: riesgo intermedio"))</f>
        <v/>
      </c>
      <c r="AB1929" s="64">
        <f>IFERROR(INDEX(MgAmenCtrl,MATCH(SUBSTITUTE($H1929,"*","-"),MgAmenClave,0)),"")</f>
        <v/>
      </c>
      <c r="AC1929" s="20" t="n"/>
      <c r="AD1929" s="31">
        <f>IFERROR($X1929*(1-IF($AC1929="",$AL1929,VLOOKUP($AC1929,MgMad,2,0))),"")</f>
        <v/>
      </c>
      <c r="AE1929" s="28">
        <f>IFERROR(LOOKUP(AD1929,{0;0.01;0.1;1;10;100},{"Muy baja";"Muy baja";"Baja";"Media";"Alta";"Muy alta"}),"")</f>
        <v/>
      </c>
      <c r="AF1929" s="30">
        <f>T1929*AD1929</f>
        <v/>
      </c>
      <c r="AG1929" s="28">
        <f>IFERROR(LOOKUP(AF1929,{0;0.5;5;25},{"Bajo";"Medio";"Alto";"Crítico"}),"")</f>
        <v/>
      </c>
      <c r="AH1929" s="28">
        <f>IF(AG1929="","",IF(OR(AG1929="Crítico",AG1929="Alto"),"Mitigar",IF(AG1929="Medio","Mitigar","Aceptar y monitorear")))</f>
        <v/>
      </c>
      <c r="AI1929" s="21" t="n"/>
      <c r="AJ1929" s="21" t="n"/>
      <c r="AK1929" s="20" t="n"/>
      <c r="AL1929" s="77">
        <f>IFERROR(INDEX(MgAmenEfic,MATCH(SUBSTITUTE($H1929,"*","-"),MgAmenClave,0)),0)</f>
        <v/>
      </c>
    </row>
    <row r="1930" hidden="1" ht="75" customHeight="1" s="54">
      <c r="B1930" s="59" t="inlineStr">
        <is>
          <t>R-1925</t>
        </is>
      </c>
      <c r="C1930" s="59" t="inlineStr">
        <is>
          <t>TEC-003</t>
        </is>
      </c>
      <c r="D1930" s="64">
        <f>IFERROR(INDEX(MgNombre,MATCH($C1930,MgActId,0)),"")</f>
        <v/>
      </c>
      <c r="E1930" s="64">
        <f>IFERROR(INDEX(MgProceso,MATCH($C1930,MgActId,0)),"")</f>
        <v/>
      </c>
      <c r="F1930" s="64">
        <f>IFERROR(INDEX(MgTipo,MATCH($C1930,MgActId,0)),"")</f>
        <v/>
      </c>
      <c r="G1930" s="64">
        <f>IFERROR(INDEX(MgSubtipo,MATCH($C1930,MgActId,0)),"")</f>
        <v/>
      </c>
      <c r="H1930" s="59" t="inlineStr">
        <is>
          <t>I.5</t>
        </is>
      </c>
      <c r="I1930" s="64">
        <f>IFERROR(INDEX(MgAmenNombre,MATCH(SUBSTITUTE($H1930,"*","-"),MgAmenClave,0)),"")</f>
        <v/>
      </c>
      <c r="J1930" s="28">
        <f>IFERROR(INDEX(MgAmenGrupo,MATCH(SUBSTITUTE($H1930,"*","-"),MgAmenClave,0)),"")</f>
        <v/>
      </c>
      <c r="K1930" s="64">
        <f>IFERROR(INDEX('1. Matriz de Activos'!$Q$6:$Q$239,MATCH($C1930,MgActId,0)),"")</f>
        <v/>
      </c>
      <c r="L1930" s="64">
        <f>IFERROR(INDEX('1. Matriz de Activos'!$R$6:$R$239,MATCH($C1930,MgActId,0)),"")</f>
        <v/>
      </c>
      <c r="M1930" s="64">
        <f>IFERROR(INDEX('1. Matriz de Activos'!$S$6:$S$239,MATCH($C1930,MgActId,0)),"")</f>
        <v/>
      </c>
      <c r="N1930" s="28">
        <f>IFERROR(INDEX(MgAmenDegD,MATCH(SUBSTITUTE($H1930,"*","-"),MgAmenClave,0)),"No aplica")</f>
        <v/>
      </c>
      <c r="O1930" s="28">
        <f>IFERROR(INDEX(MgAmenDegI,MATCH(SUBSTITUTE($H1930,"*","-"),MgAmenClave,0)),"No aplica")</f>
        <v/>
      </c>
      <c r="P1930" s="28">
        <f>IFERROR(INDEX(MgAmenDegC,MATCH(SUBSTITUTE($H1930,"*","-"),MgAmenClave,0)),"No aplica")</f>
        <v/>
      </c>
      <c r="Q1930" s="29">
        <f>IFERROR(VLOOKUP(K1930,MgValor,2,0)*VLOOKUP(N1930,MgDeg,2,0),0)</f>
        <v/>
      </c>
      <c r="R1930" s="29">
        <f>IFERROR(VLOOKUP(L1930,MgValor,2,0)*VLOOKUP(O1930,MgDeg,2,0),0)</f>
        <v/>
      </c>
      <c r="S1930" s="29">
        <f>IFERROR(VLOOKUP(M1930,MgValor,2,0)*VLOOKUP(P1930,MgDeg,2,0),0)</f>
        <v/>
      </c>
      <c r="T1930" s="30">
        <f>MAX(Q1930:S1930)</f>
        <v/>
      </c>
      <c r="U1930" s="28">
        <f>IFERROR(LOOKUP(T1930,{0;0.5;1.5;3;4.5},{"Despreciable";"Bajo";"Medio";"Alto";"Muy alto"}),"")</f>
        <v/>
      </c>
      <c r="V1930" s="13">
        <f>IFERROR(INDEX(MgAmenFrec,MATCH(SUBSTITUTE($H1930,"*","-"),MgAmenClave,0)),"")</f>
        <v/>
      </c>
      <c r="W1930" s="28">
        <f>IFERROR(LOOKUP(X1930,{0;0.01;0.1;1;10;100},{"Muy baja";"Muy baja";"Baja";"Media";"Alta";"Muy alta"}),"")</f>
        <v/>
      </c>
      <c r="X1930" s="31">
        <f>IFERROR(VLOOKUP(V1930,MgFrec,2,0),0)</f>
        <v/>
      </c>
      <c r="Y1930" s="30">
        <f>T1930*X1930</f>
        <v/>
      </c>
      <c r="Z1930" s="28">
        <f>IFERROR(LOOKUP(Y1930,{0;0.5;5;25},{"Bajo";"Medio";"Alto";"Crítico"}),"")</f>
        <v/>
      </c>
      <c r="AA1930" s="64">
        <f>IF(T1930&gt;=3,IF(X1930&gt;=1,"Zona 1 — Crítica: impacto alto y ocurre al menos una vez al año","Zona 4 — Catastrófica poco probable: impacto alto pero excepcional"),IF(AND(T1930&lt;1.5,X1930&lt;1),"Zona 3 — Asumible: impacto bajo y muy poco frecuente","Zona 2 — Atención: riesgo intermedio"))</f>
        <v/>
      </c>
      <c r="AB1930" s="64">
        <f>IFERROR(INDEX(MgAmenCtrl,MATCH(SUBSTITUTE($H1930,"*","-"),MgAmenClave,0)),"")</f>
        <v/>
      </c>
      <c r="AC1930" s="20" t="n"/>
      <c r="AD1930" s="31">
        <f>IFERROR($X1930*(1-IF($AC1930="",$AL1930,VLOOKUP($AC1930,MgMad,2,0))),"")</f>
        <v/>
      </c>
      <c r="AE1930" s="28">
        <f>IFERROR(LOOKUP(AD1930,{0;0.01;0.1;1;10;100},{"Muy baja";"Muy baja";"Baja";"Media";"Alta";"Muy alta"}),"")</f>
        <v/>
      </c>
      <c r="AF1930" s="30">
        <f>T1930*AD1930</f>
        <v/>
      </c>
      <c r="AG1930" s="28">
        <f>IFERROR(LOOKUP(AF1930,{0;0.5;5;25},{"Bajo";"Medio";"Alto";"Crítico"}),"")</f>
        <v/>
      </c>
      <c r="AH1930" s="28">
        <f>IF(AG1930="","",IF(OR(AG1930="Crítico",AG1930="Alto"),"Mitigar",IF(AG1930="Medio","Mitigar","Aceptar y monitorear")))</f>
        <v/>
      </c>
      <c r="AI1930" s="21" t="n"/>
      <c r="AJ1930" s="21" t="n"/>
      <c r="AK1930" s="20" t="n"/>
      <c r="AL1930" s="77">
        <f>IFERROR(INDEX(MgAmenEfic,MATCH(SUBSTITUTE($H1930,"*","-"),MgAmenClave,0)),0)</f>
        <v/>
      </c>
    </row>
    <row r="1931" hidden="1" ht="105" customHeight="1" s="54">
      <c r="B1931" s="59" t="inlineStr">
        <is>
          <t>R-1926</t>
        </is>
      </c>
      <c r="C1931" s="59" t="inlineStr">
        <is>
          <t>TEC-003</t>
        </is>
      </c>
      <c r="D1931" s="64">
        <f>IFERROR(INDEX(MgNombre,MATCH($C1931,MgActId,0)),"")</f>
        <v/>
      </c>
      <c r="E1931" s="64">
        <f>IFERROR(INDEX(MgProceso,MATCH($C1931,MgActId,0)),"")</f>
        <v/>
      </c>
      <c r="F1931" s="64">
        <f>IFERROR(INDEX(MgTipo,MATCH($C1931,MgActId,0)),"")</f>
        <v/>
      </c>
      <c r="G1931" s="64">
        <f>IFERROR(INDEX(MgSubtipo,MATCH($C1931,MgActId,0)),"")</f>
        <v/>
      </c>
      <c r="H1931" s="59" t="inlineStr">
        <is>
          <t>E.1</t>
        </is>
      </c>
      <c r="I1931" s="64">
        <f>IFERROR(INDEX(MgAmenNombre,MATCH(SUBSTITUTE($H1931,"*","-"),MgAmenClave,0)),"")</f>
        <v/>
      </c>
      <c r="J1931" s="28">
        <f>IFERROR(INDEX(MgAmenGrupo,MATCH(SUBSTITUTE($H1931,"*","-"),MgAmenClave,0)),"")</f>
        <v/>
      </c>
      <c r="K1931" s="64">
        <f>IFERROR(INDEX('1. Matriz de Activos'!$Q$6:$Q$239,MATCH($C1931,MgActId,0)),"")</f>
        <v/>
      </c>
      <c r="L1931" s="64">
        <f>IFERROR(INDEX('1. Matriz de Activos'!$R$6:$R$239,MATCH($C1931,MgActId,0)),"")</f>
        <v/>
      </c>
      <c r="M1931" s="64">
        <f>IFERROR(INDEX('1. Matriz de Activos'!$S$6:$S$239,MATCH($C1931,MgActId,0)),"")</f>
        <v/>
      </c>
      <c r="N1931" s="28">
        <f>IFERROR(INDEX(MgAmenDegD,MATCH(SUBSTITUTE($H1931,"*","-"),MgAmenClave,0)),"No aplica")</f>
        <v/>
      </c>
      <c r="O1931" s="28">
        <f>IFERROR(INDEX(MgAmenDegI,MATCH(SUBSTITUTE($H1931,"*","-"),MgAmenClave,0)),"No aplica")</f>
        <v/>
      </c>
      <c r="P1931" s="28">
        <f>IFERROR(INDEX(MgAmenDegC,MATCH(SUBSTITUTE($H1931,"*","-"),MgAmenClave,0)),"No aplica")</f>
        <v/>
      </c>
      <c r="Q1931" s="29">
        <f>IFERROR(VLOOKUP(K1931,MgValor,2,0)*VLOOKUP(N1931,MgDeg,2,0),0)</f>
        <v/>
      </c>
      <c r="R1931" s="29">
        <f>IFERROR(VLOOKUP(L1931,MgValor,2,0)*VLOOKUP(O1931,MgDeg,2,0),0)</f>
        <v/>
      </c>
      <c r="S1931" s="29">
        <f>IFERROR(VLOOKUP(M1931,MgValor,2,0)*VLOOKUP(P1931,MgDeg,2,0),0)</f>
        <v/>
      </c>
      <c r="T1931" s="30">
        <f>MAX(Q1931:S1931)</f>
        <v/>
      </c>
      <c r="U1931" s="28">
        <f>IFERROR(LOOKUP(T1931,{0;0.5;1.5;3;4.5},{"Despreciable";"Bajo";"Medio";"Alto";"Muy alto"}),"")</f>
        <v/>
      </c>
      <c r="V1931" s="13">
        <f>IFERROR(INDEX(MgAmenFrec,MATCH(SUBSTITUTE($H1931,"*","-"),MgAmenClave,0)),"")</f>
        <v/>
      </c>
      <c r="W1931" s="28">
        <f>IFERROR(LOOKUP(X1931,{0;0.01;0.1;1;10;100},{"Muy baja";"Muy baja";"Baja";"Media";"Alta";"Muy alta"}),"")</f>
        <v/>
      </c>
      <c r="X1931" s="31">
        <f>IFERROR(VLOOKUP(V1931,MgFrec,2,0),0)</f>
        <v/>
      </c>
      <c r="Y1931" s="30">
        <f>T1931*X1931</f>
        <v/>
      </c>
      <c r="Z1931" s="28">
        <f>IFERROR(LOOKUP(Y1931,{0;0.5;5;25},{"Bajo";"Medio";"Alto";"Crítico"}),"")</f>
        <v/>
      </c>
      <c r="AA1931" s="64">
        <f>IF(T1931&gt;=3,IF(X1931&gt;=1,"Zona 1 — Crítica: impacto alto y ocurre al menos una vez al año","Zona 4 — Catastrófica poco probable: impacto alto pero excepcional"),IF(AND(T1931&lt;1.5,X1931&lt;1),"Zona 3 — Asumible: impacto bajo y muy poco frecuente","Zona 2 — Atención: riesgo intermedio"))</f>
        <v/>
      </c>
      <c r="AB1931" s="64">
        <f>IFERROR(INDEX(MgAmenCtrl,MATCH(SUBSTITUTE($H1931,"*","-"),MgAmenClave,0)),"")</f>
        <v/>
      </c>
      <c r="AC1931" s="20" t="n"/>
      <c r="AD1931" s="31">
        <f>IFERROR($X1931*(1-IF($AC1931="",$AL1931,VLOOKUP($AC1931,MgMad,2,0))),"")</f>
        <v/>
      </c>
      <c r="AE1931" s="28">
        <f>IFERROR(LOOKUP(AD1931,{0;0.01;0.1;1;10;100},{"Muy baja";"Muy baja";"Baja";"Media";"Alta";"Muy alta"}),"")</f>
        <v/>
      </c>
      <c r="AF1931" s="30">
        <f>T1931*AD1931</f>
        <v/>
      </c>
      <c r="AG1931" s="28">
        <f>IFERROR(LOOKUP(AF1931,{0;0.5;5;25},{"Bajo";"Medio";"Alto";"Crítico"}),"")</f>
        <v/>
      </c>
      <c r="AH1931" s="28">
        <f>IF(AG1931="","",IF(OR(AG1931="Crítico",AG1931="Alto"),"Mitigar",IF(AG1931="Medio","Mitigar","Aceptar y monitorear")))</f>
        <v/>
      </c>
      <c r="AI1931" s="21" t="n"/>
      <c r="AJ1931" s="21" t="n"/>
      <c r="AK1931" s="20" t="n"/>
      <c r="AL1931" s="77">
        <f>IFERROR(INDEX(MgAmenEfic,MATCH(SUBSTITUTE($H1931,"*","-"),MgAmenClave,0)),0)</f>
        <v/>
      </c>
    </row>
    <row r="1932" hidden="1" ht="120" customHeight="1" s="54">
      <c r="B1932" s="59" t="inlineStr">
        <is>
          <t>R-1927</t>
        </is>
      </c>
      <c r="C1932" s="59" t="inlineStr">
        <is>
          <t>TEC-003</t>
        </is>
      </c>
      <c r="D1932" s="64">
        <f>IFERROR(INDEX(MgNombre,MATCH($C1932,MgActId,0)),"")</f>
        <v/>
      </c>
      <c r="E1932" s="64">
        <f>IFERROR(INDEX(MgProceso,MATCH($C1932,MgActId,0)),"")</f>
        <v/>
      </c>
      <c r="F1932" s="64">
        <f>IFERROR(INDEX(MgTipo,MATCH($C1932,MgActId,0)),"")</f>
        <v/>
      </c>
      <c r="G1932" s="64">
        <f>IFERROR(INDEX(MgSubtipo,MATCH($C1932,MgActId,0)),"")</f>
        <v/>
      </c>
      <c r="H1932" s="59" t="inlineStr">
        <is>
          <t>E.2</t>
        </is>
      </c>
      <c r="I1932" s="64">
        <f>IFERROR(INDEX(MgAmenNombre,MATCH(SUBSTITUTE($H1932,"*","-"),MgAmenClave,0)),"")</f>
        <v/>
      </c>
      <c r="J1932" s="28">
        <f>IFERROR(INDEX(MgAmenGrupo,MATCH(SUBSTITUTE($H1932,"*","-"),MgAmenClave,0)),"")</f>
        <v/>
      </c>
      <c r="K1932" s="64">
        <f>IFERROR(INDEX('1. Matriz de Activos'!$Q$6:$Q$239,MATCH($C1932,MgActId,0)),"")</f>
        <v/>
      </c>
      <c r="L1932" s="64">
        <f>IFERROR(INDEX('1. Matriz de Activos'!$R$6:$R$239,MATCH($C1932,MgActId,0)),"")</f>
        <v/>
      </c>
      <c r="M1932" s="64">
        <f>IFERROR(INDEX('1. Matriz de Activos'!$S$6:$S$239,MATCH($C1932,MgActId,0)),"")</f>
        <v/>
      </c>
      <c r="N1932" s="28">
        <f>IFERROR(INDEX(MgAmenDegD,MATCH(SUBSTITUTE($H1932,"*","-"),MgAmenClave,0)),"No aplica")</f>
        <v/>
      </c>
      <c r="O1932" s="28">
        <f>IFERROR(INDEX(MgAmenDegI,MATCH(SUBSTITUTE($H1932,"*","-"),MgAmenClave,0)),"No aplica")</f>
        <v/>
      </c>
      <c r="P1932" s="28">
        <f>IFERROR(INDEX(MgAmenDegC,MATCH(SUBSTITUTE($H1932,"*","-"),MgAmenClave,0)),"No aplica")</f>
        <v/>
      </c>
      <c r="Q1932" s="29">
        <f>IFERROR(VLOOKUP(K1932,MgValor,2,0)*VLOOKUP(N1932,MgDeg,2,0),0)</f>
        <v/>
      </c>
      <c r="R1932" s="29">
        <f>IFERROR(VLOOKUP(L1932,MgValor,2,0)*VLOOKUP(O1932,MgDeg,2,0),0)</f>
        <v/>
      </c>
      <c r="S1932" s="29">
        <f>IFERROR(VLOOKUP(M1932,MgValor,2,0)*VLOOKUP(P1932,MgDeg,2,0),0)</f>
        <v/>
      </c>
      <c r="T1932" s="30">
        <f>MAX(Q1932:S1932)</f>
        <v/>
      </c>
      <c r="U1932" s="28">
        <f>IFERROR(LOOKUP(T1932,{0;0.5;1.5;3;4.5},{"Despreciable";"Bajo";"Medio";"Alto";"Muy alto"}),"")</f>
        <v/>
      </c>
      <c r="V1932" s="13">
        <f>IFERROR(INDEX(MgAmenFrec,MATCH(SUBSTITUTE($H1932,"*","-"),MgAmenClave,0)),"")</f>
        <v/>
      </c>
      <c r="W1932" s="28">
        <f>IFERROR(LOOKUP(X1932,{0;0.01;0.1;1;10;100},{"Muy baja";"Muy baja";"Baja";"Media";"Alta";"Muy alta"}),"")</f>
        <v/>
      </c>
      <c r="X1932" s="31">
        <f>IFERROR(VLOOKUP(V1932,MgFrec,2,0),0)</f>
        <v/>
      </c>
      <c r="Y1932" s="30">
        <f>T1932*X1932</f>
        <v/>
      </c>
      <c r="Z1932" s="28">
        <f>IFERROR(LOOKUP(Y1932,{0;0.5;5;25},{"Bajo";"Medio";"Alto";"Crítico"}),"")</f>
        <v/>
      </c>
      <c r="AA1932" s="64">
        <f>IF(T1932&gt;=3,IF(X1932&gt;=1,"Zona 1 — Crítica: impacto alto y ocurre al menos una vez al año","Zona 4 — Catastrófica poco probable: impacto alto pero excepcional"),IF(AND(T1932&lt;1.5,X1932&lt;1),"Zona 3 — Asumible: impacto bajo y muy poco frecuente","Zona 2 — Atención: riesgo intermedio"))</f>
        <v/>
      </c>
      <c r="AB1932" s="64">
        <f>IFERROR(INDEX(MgAmenCtrl,MATCH(SUBSTITUTE($H1932,"*","-"),MgAmenClave,0)),"")</f>
        <v/>
      </c>
      <c r="AC1932" s="20" t="n"/>
      <c r="AD1932" s="31">
        <f>IFERROR($X1932*(1-IF($AC1932="",$AL1932,VLOOKUP($AC1932,MgMad,2,0))),"")</f>
        <v/>
      </c>
      <c r="AE1932" s="28">
        <f>IFERROR(LOOKUP(AD1932,{0;0.01;0.1;1;10;100},{"Muy baja";"Muy baja";"Baja";"Media";"Alta";"Muy alta"}),"")</f>
        <v/>
      </c>
      <c r="AF1932" s="30">
        <f>T1932*AD1932</f>
        <v/>
      </c>
      <c r="AG1932" s="28">
        <f>IFERROR(LOOKUP(AF1932,{0;0.5;5;25},{"Bajo";"Medio";"Alto";"Crítico"}),"")</f>
        <v/>
      </c>
      <c r="AH1932" s="28">
        <f>IF(AG1932="","",IF(OR(AG1932="Crítico",AG1932="Alto"),"Mitigar",IF(AG1932="Medio","Mitigar","Aceptar y monitorear")))</f>
        <v/>
      </c>
      <c r="AI1932" s="21" t="n"/>
      <c r="AJ1932" s="21" t="n"/>
      <c r="AK1932" s="20" t="n"/>
      <c r="AL1932" s="77">
        <f>IFERROR(INDEX(MgAmenEfic,MATCH(SUBSTITUTE($H1932,"*","-"),MgAmenClave,0)),0)</f>
        <v/>
      </c>
    </row>
    <row r="1933" hidden="1" ht="75" customHeight="1" s="54">
      <c r="B1933" s="59" t="inlineStr">
        <is>
          <t>R-1928</t>
        </is>
      </c>
      <c r="C1933" s="59" t="inlineStr">
        <is>
          <t>TEC-003</t>
        </is>
      </c>
      <c r="D1933" s="64">
        <f>IFERROR(INDEX(MgNombre,MATCH($C1933,MgActId,0)),"")</f>
        <v/>
      </c>
      <c r="E1933" s="64">
        <f>IFERROR(INDEX(MgProceso,MATCH($C1933,MgActId,0)),"")</f>
        <v/>
      </c>
      <c r="F1933" s="64">
        <f>IFERROR(INDEX(MgTipo,MATCH($C1933,MgActId,0)),"")</f>
        <v/>
      </c>
      <c r="G1933" s="64">
        <f>IFERROR(INDEX(MgSubtipo,MATCH($C1933,MgActId,0)),"")</f>
        <v/>
      </c>
      <c r="H1933" s="59" t="inlineStr">
        <is>
          <t>E.8</t>
        </is>
      </c>
      <c r="I1933" s="64">
        <f>IFERROR(INDEX(MgAmenNombre,MATCH(SUBSTITUTE($H1933,"*","-"),MgAmenClave,0)),"")</f>
        <v/>
      </c>
      <c r="J1933" s="28">
        <f>IFERROR(INDEX(MgAmenGrupo,MATCH(SUBSTITUTE($H1933,"*","-"),MgAmenClave,0)),"")</f>
        <v/>
      </c>
      <c r="K1933" s="64">
        <f>IFERROR(INDEX('1. Matriz de Activos'!$Q$6:$Q$239,MATCH($C1933,MgActId,0)),"")</f>
        <v/>
      </c>
      <c r="L1933" s="64">
        <f>IFERROR(INDEX('1. Matriz de Activos'!$R$6:$R$239,MATCH($C1933,MgActId,0)),"")</f>
        <v/>
      </c>
      <c r="M1933" s="64">
        <f>IFERROR(INDEX('1. Matriz de Activos'!$S$6:$S$239,MATCH($C1933,MgActId,0)),"")</f>
        <v/>
      </c>
      <c r="N1933" s="28">
        <f>IFERROR(INDEX(MgAmenDegD,MATCH(SUBSTITUTE($H1933,"*","-"),MgAmenClave,0)),"No aplica")</f>
        <v/>
      </c>
      <c r="O1933" s="28">
        <f>IFERROR(INDEX(MgAmenDegI,MATCH(SUBSTITUTE($H1933,"*","-"),MgAmenClave,0)),"No aplica")</f>
        <v/>
      </c>
      <c r="P1933" s="28">
        <f>IFERROR(INDEX(MgAmenDegC,MATCH(SUBSTITUTE($H1933,"*","-"),MgAmenClave,0)),"No aplica")</f>
        <v/>
      </c>
      <c r="Q1933" s="29">
        <f>IFERROR(VLOOKUP(K1933,MgValor,2,0)*VLOOKUP(N1933,MgDeg,2,0),0)</f>
        <v/>
      </c>
      <c r="R1933" s="29">
        <f>IFERROR(VLOOKUP(L1933,MgValor,2,0)*VLOOKUP(O1933,MgDeg,2,0),0)</f>
        <v/>
      </c>
      <c r="S1933" s="29">
        <f>IFERROR(VLOOKUP(M1933,MgValor,2,0)*VLOOKUP(P1933,MgDeg,2,0),0)</f>
        <v/>
      </c>
      <c r="T1933" s="30">
        <f>MAX(Q1933:S1933)</f>
        <v/>
      </c>
      <c r="U1933" s="28">
        <f>IFERROR(LOOKUP(T1933,{0;0.5;1.5;3;4.5},{"Despreciable";"Bajo";"Medio";"Alto";"Muy alto"}),"")</f>
        <v/>
      </c>
      <c r="V1933" s="13">
        <f>IFERROR(INDEX(MgAmenFrec,MATCH(SUBSTITUTE($H1933,"*","-"),MgAmenClave,0)),"")</f>
        <v/>
      </c>
      <c r="W1933" s="28">
        <f>IFERROR(LOOKUP(X1933,{0;0.01;0.1;1;10;100},{"Muy baja";"Muy baja";"Baja";"Media";"Alta";"Muy alta"}),"")</f>
        <v/>
      </c>
      <c r="X1933" s="31">
        <f>IFERROR(VLOOKUP(V1933,MgFrec,2,0),0)</f>
        <v/>
      </c>
      <c r="Y1933" s="30">
        <f>T1933*X1933</f>
        <v/>
      </c>
      <c r="Z1933" s="28">
        <f>IFERROR(LOOKUP(Y1933,{0;0.5;5;25},{"Bajo";"Medio";"Alto";"Crítico"}),"")</f>
        <v/>
      </c>
      <c r="AA1933" s="64">
        <f>IF(T1933&gt;=3,IF(X1933&gt;=1,"Zona 1 — Crítica: impacto alto y ocurre al menos una vez al año","Zona 4 — Catastrófica poco probable: impacto alto pero excepcional"),IF(AND(T1933&lt;1.5,X1933&lt;1),"Zona 3 — Asumible: impacto bajo y muy poco frecuente","Zona 2 — Atención: riesgo intermedio"))</f>
        <v/>
      </c>
      <c r="AB1933" s="64">
        <f>IFERROR(INDEX(MgAmenCtrl,MATCH(SUBSTITUTE($H1933,"*","-"),MgAmenClave,0)),"")</f>
        <v/>
      </c>
      <c r="AC1933" s="20" t="n"/>
      <c r="AD1933" s="31">
        <f>IFERROR($X1933*(1-IF($AC1933="",$AL1933,VLOOKUP($AC1933,MgMad,2,0))),"")</f>
        <v/>
      </c>
      <c r="AE1933" s="28">
        <f>IFERROR(LOOKUP(AD1933,{0;0.01;0.1;1;10;100},{"Muy baja";"Muy baja";"Baja";"Media";"Alta";"Muy alta"}),"")</f>
        <v/>
      </c>
      <c r="AF1933" s="30">
        <f>T1933*AD1933</f>
        <v/>
      </c>
      <c r="AG1933" s="28">
        <f>IFERROR(LOOKUP(AF1933,{0;0.5;5;25},{"Bajo";"Medio";"Alto";"Crítico"}),"")</f>
        <v/>
      </c>
      <c r="AH1933" s="28">
        <f>IF(AG1933="","",IF(OR(AG1933="Crítico",AG1933="Alto"),"Mitigar",IF(AG1933="Medio","Mitigar","Aceptar y monitorear")))</f>
        <v/>
      </c>
      <c r="AI1933" s="21" t="n"/>
      <c r="AJ1933" s="21" t="n"/>
      <c r="AK1933" s="20" t="n"/>
      <c r="AL1933" s="77">
        <f>IFERROR(INDEX(MgAmenEfic,MATCH(SUBSTITUTE($H1933,"*","-"),MgAmenClave,0)),0)</f>
        <v/>
      </c>
    </row>
    <row r="1934" hidden="1" ht="60" customHeight="1" s="54">
      <c r="B1934" s="59" t="inlineStr">
        <is>
          <t>R-1929</t>
        </is>
      </c>
      <c r="C1934" s="59" t="inlineStr">
        <is>
          <t>TEC-003</t>
        </is>
      </c>
      <c r="D1934" s="64">
        <f>IFERROR(INDEX(MgNombre,MATCH($C1934,MgActId,0)),"")</f>
        <v/>
      </c>
      <c r="E1934" s="64">
        <f>IFERROR(INDEX(MgProceso,MATCH($C1934,MgActId,0)),"")</f>
        <v/>
      </c>
      <c r="F1934" s="64">
        <f>IFERROR(INDEX(MgTipo,MATCH($C1934,MgActId,0)),"")</f>
        <v/>
      </c>
      <c r="G1934" s="64">
        <f>IFERROR(INDEX(MgSubtipo,MATCH($C1934,MgActId,0)),"")</f>
        <v/>
      </c>
      <c r="H1934" s="59" t="inlineStr">
        <is>
          <t>E.9</t>
        </is>
      </c>
      <c r="I1934" s="64">
        <f>IFERROR(INDEX(MgAmenNombre,MATCH(SUBSTITUTE($H1934,"*","-"),MgAmenClave,0)),"")</f>
        <v/>
      </c>
      <c r="J1934" s="28">
        <f>IFERROR(INDEX(MgAmenGrupo,MATCH(SUBSTITUTE($H1934,"*","-"),MgAmenClave,0)),"")</f>
        <v/>
      </c>
      <c r="K1934" s="64">
        <f>IFERROR(INDEX('1. Matriz de Activos'!$Q$6:$Q$239,MATCH($C1934,MgActId,0)),"")</f>
        <v/>
      </c>
      <c r="L1934" s="64">
        <f>IFERROR(INDEX('1. Matriz de Activos'!$R$6:$R$239,MATCH($C1934,MgActId,0)),"")</f>
        <v/>
      </c>
      <c r="M1934" s="64">
        <f>IFERROR(INDEX('1. Matriz de Activos'!$S$6:$S$239,MATCH($C1934,MgActId,0)),"")</f>
        <v/>
      </c>
      <c r="N1934" s="28">
        <f>IFERROR(INDEX(MgAmenDegD,MATCH(SUBSTITUTE($H1934,"*","-"),MgAmenClave,0)),"No aplica")</f>
        <v/>
      </c>
      <c r="O1934" s="28">
        <f>IFERROR(INDEX(MgAmenDegI,MATCH(SUBSTITUTE($H1934,"*","-"),MgAmenClave,0)),"No aplica")</f>
        <v/>
      </c>
      <c r="P1934" s="28">
        <f>IFERROR(INDEX(MgAmenDegC,MATCH(SUBSTITUTE($H1934,"*","-"),MgAmenClave,0)),"No aplica")</f>
        <v/>
      </c>
      <c r="Q1934" s="29">
        <f>IFERROR(VLOOKUP(K1934,MgValor,2,0)*VLOOKUP(N1934,MgDeg,2,0),0)</f>
        <v/>
      </c>
      <c r="R1934" s="29">
        <f>IFERROR(VLOOKUP(L1934,MgValor,2,0)*VLOOKUP(O1934,MgDeg,2,0),0)</f>
        <v/>
      </c>
      <c r="S1934" s="29">
        <f>IFERROR(VLOOKUP(M1934,MgValor,2,0)*VLOOKUP(P1934,MgDeg,2,0),0)</f>
        <v/>
      </c>
      <c r="T1934" s="30">
        <f>MAX(Q1934:S1934)</f>
        <v/>
      </c>
      <c r="U1934" s="28">
        <f>IFERROR(LOOKUP(T1934,{0;0.5;1.5;3;4.5},{"Despreciable";"Bajo";"Medio";"Alto";"Muy alto"}),"")</f>
        <v/>
      </c>
      <c r="V1934" s="13">
        <f>IFERROR(INDEX(MgAmenFrec,MATCH(SUBSTITUTE($H1934,"*","-"),MgAmenClave,0)),"")</f>
        <v/>
      </c>
      <c r="W1934" s="28">
        <f>IFERROR(LOOKUP(X1934,{0;0.01;0.1;1;10;100},{"Muy baja";"Muy baja";"Baja";"Media";"Alta";"Muy alta"}),"")</f>
        <v/>
      </c>
      <c r="X1934" s="31">
        <f>IFERROR(VLOOKUP(V1934,MgFrec,2,0),0)</f>
        <v/>
      </c>
      <c r="Y1934" s="30">
        <f>T1934*X1934</f>
        <v/>
      </c>
      <c r="Z1934" s="28">
        <f>IFERROR(LOOKUP(Y1934,{0;0.5;5;25},{"Bajo";"Medio";"Alto";"Crítico"}),"")</f>
        <v/>
      </c>
      <c r="AA1934" s="64">
        <f>IF(T1934&gt;=3,IF(X1934&gt;=1,"Zona 1 — Crítica: impacto alto y ocurre al menos una vez al año","Zona 4 — Catastrófica poco probable: impacto alto pero excepcional"),IF(AND(T1934&lt;1.5,X1934&lt;1),"Zona 3 — Asumible: impacto bajo y muy poco frecuente","Zona 2 — Atención: riesgo intermedio"))</f>
        <v/>
      </c>
      <c r="AB1934" s="64">
        <f>IFERROR(INDEX(MgAmenCtrl,MATCH(SUBSTITUTE($H1934,"*","-"),MgAmenClave,0)),"")</f>
        <v/>
      </c>
      <c r="AC1934" s="20" t="n"/>
      <c r="AD1934" s="31">
        <f>IFERROR($X1934*(1-IF($AC1934="",$AL1934,VLOOKUP($AC1934,MgMad,2,0))),"")</f>
        <v/>
      </c>
      <c r="AE1934" s="28">
        <f>IFERROR(LOOKUP(AD1934,{0;0.01;0.1;1;10;100},{"Muy baja";"Muy baja";"Baja";"Media";"Alta";"Muy alta"}),"")</f>
        <v/>
      </c>
      <c r="AF1934" s="30">
        <f>T1934*AD1934</f>
        <v/>
      </c>
      <c r="AG1934" s="28">
        <f>IFERROR(LOOKUP(AF1934,{0;0.5;5;25},{"Bajo";"Medio";"Alto";"Crítico"}),"")</f>
        <v/>
      </c>
      <c r="AH1934" s="28">
        <f>IF(AG1934="","",IF(OR(AG1934="Crítico",AG1934="Alto"),"Mitigar",IF(AG1934="Medio","Mitigar","Aceptar y monitorear")))</f>
        <v/>
      </c>
      <c r="AI1934" s="21" t="n"/>
      <c r="AJ1934" s="21" t="n"/>
      <c r="AK1934" s="20" t="n"/>
      <c r="AL1934" s="77">
        <f>IFERROR(INDEX(MgAmenEfic,MATCH(SUBSTITUTE($H1934,"*","-"),MgAmenClave,0)),0)</f>
        <v/>
      </c>
    </row>
    <row r="1935" hidden="1" ht="90" customHeight="1" s="54">
      <c r="B1935" s="59" t="inlineStr">
        <is>
          <t>R-1930</t>
        </is>
      </c>
      <c r="C1935" s="59" t="inlineStr">
        <is>
          <t>TEC-003</t>
        </is>
      </c>
      <c r="D1935" s="64">
        <f>IFERROR(INDEX(MgNombre,MATCH($C1935,MgActId,0)),"")</f>
        <v/>
      </c>
      <c r="E1935" s="64">
        <f>IFERROR(INDEX(MgProceso,MATCH($C1935,MgActId,0)),"")</f>
        <v/>
      </c>
      <c r="F1935" s="64">
        <f>IFERROR(INDEX(MgTipo,MATCH($C1935,MgActId,0)),"")</f>
        <v/>
      </c>
      <c r="G1935" s="64">
        <f>IFERROR(INDEX(MgSubtipo,MATCH($C1935,MgActId,0)),"")</f>
        <v/>
      </c>
      <c r="H1935" s="59" t="inlineStr">
        <is>
          <t>E.10</t>
        </is>
      </c>
      <c r="I1935" s="64">
        <f>IFERROR(INDEX(MgAmenNombre,MATCH(SUBSTITUTE($H1935,"*","-"),MgAmenClave,0)),"")</f>
        <v/>
      </c>
      <c r="J1935" s="28">
        <f>IFERROR(INDEX(MgAmenGrupo,MATCH(SUBSTITUTE($H1935,"*","-"),MgAmenClave,0)),"")</f>
        <v/>
      </c>
      <c r="K1935" s="64">
        <f>IFERROR(INDEX('1. Matriz de Activos'!$Q$6:$Q$239,MATCH($C1935,MgActId,0)),"")</f>
        <v/>
      </c>
      <c r="L1935" s="64">
        <f>IFERROR(INDEX('1. Matriz de Activos'!$R$6:$R$239,MATCH($C1935,MgActId,0)),"")</f>
        <v/>
      </c>
      <c r="M1935" s="64">
        <f>IFERROR(INDEX('1. Matriz de Activos'!$S$6:$S$239,MATCH($C1935,MgActId,0)),"")</f>
        <v/>
      </c>
      <c r="N1935" s="28">
        <f>IFERROR(INDEX(MgAmenDegD,MATCH(SUBSTITUTE($H1935,"*","-"),MgAmenClave,0)),"No aplica")</f>
        <v/>
      </c>
      <c r="O1935" s="28">
        <f>IFERROR(INDEX(MgAmenDegI,MATCH(SUBSTITUTE($H1935,"*","-"),MgAmenClave,0)),"No aplica")</f>
        <v/>
      </c>
      <c r="P1935" s="28">
        <f>IFERROR(INDEX(MgAmenDegC,MATCH(SUBSTITUTE($H1935,"*","-"),MgAmenClave,0)),"No aplica")</f>
        <v/>
      </c>
      <c r="Q1935" s="29">
        <f>IFERROR(VLOOKUP(K1935,MgValor,2,0)*VLOOKUP(N1935,MgDeg,2,0),0)</f>
        <v/>
      </c>
      <c r="R1935" s="29">
        <f>IFERROR(VLOOKUP(L1935,MgValor,2,0)*VLOOKUP(O1935,MgDeg,2,0),0)</f>
        <v/>
      </c>
      <c r="S1935" s="29">
        <f>IFERROR(VLOOKUP(M1935,MgValor,2,0)*VLOOKUP(P1935,MgDeg,2,0),0)</f>
        <v/>
      </c>
      <c r="T1935" s="30">
        <f>MAX(Q1935:S1935)</f>
        <v/>
      </c>
      <c r="U1935" s="28">
        <f>IFERROR(LOOKUP(T1935,{0;0.5;1.5;3;4.5},{"Despreciable";"Bajo";"Medio";"Alto";"Muy alto"}),"")</f>
        <v/>
      </c>
      <c r="V1935" s="13">
        <f>IFERROR(INDEX(MgAmenFrec,MATCH(SUBSTITUTE($H1935,"*","-"),MgAmenClave,0)),"")</f>
        <v/>
      </c>
      <c r="W1935" s="28">
        <f>IFERROR(LOOKUP(X1935,{0;0.01;0.1;1;10;100},{"Muy baja";"Muy baja";"Baja";"Media";"Alta";"Muy alta"}),"")</f>
        <v/>
      </c>
      <c r="X1935" s="31">
        <f>IFERROR(VLOOKUP(V1935,MgFrec,2,0),0)</f>
        <v/>
      </c>
      <c r="Y1935" s="30">
        <f>T1935*X1935</f>
        <v/>
      </c>
      <c r="Z1935" s="28">
        <f>IFERROR(LOOKUP(Y1935,{0;0.5;5;25},{"Bajo";"Medio";"Alto";"Crítico"}),"")</f>
        <v/>
      </c>
      <c r="AA1935" s="64">
        <f>IF(T1935&gt;=3,IF(X1935&gt;=1,"Zona 1 — Crítica: impacto alto y ocurre al menos una vez al año","Zona 4 — Catastrófica poco probable: impacto alto pero excepcional"),IF(AND(T1935&lt;1.5,X1935&lt;1),"Zona 3 — Asumible: impacto bajo y muy poco frecuente","Zona 2 — Atención: riesgo intermedio"))</f>
        <v/>
      </c>
      <c r="AB1935" s="64">
        <f>IFERROR(INDEX(MgAmenCtrl,MATCH(SUBSTITUTE($H1935,"*","-"),MgAmenClave,0)),"")</f>
        <v/>
      </c>
      <c r="AC1935" s="20" t="n"/>
      <c r="AD1935" s="31">
        <f>IFERROR($X1935*(1-IF($AC1935="",$AL1935,VLOOKUP($AC1935,MgMad,2,0))),"")</f>
        <v/>
      </c>
      <c r="AE1935" s="28">
        <f>IFERROR(LOOKUP(AD1935,{0;0.01;0.1;1;10;100},{"Muy baja";"Muy baja";"Baja";"Media";"Alta";"Muy alta"}),"")</f>
        <v/>
      </c>
      <c r="AF1935" s="30">
        <f>T1935*AD1935</f>
        <v/>
      </c>
      <c r="AG1935" s="28">
        <f>IFERROR(LOOKUP(AF1935,{0;0.5;5;25},{"Bajo";"Medio";"Alto";"Crítico"}),"")</f>
        <v/>
      </c>
      <c r="AH1935" s="28">
        <f>IF(AG1935="","",IF(OR(AG1935="Crítico",AG1935="Alto"),"Mitigar",IF(AG1935="Medio","Mitigar","Aceptar y monitorear")))</f>
        <v/>
      </c>
      <c r="AI1935" s="21" t="n"/>
      <c r="AJ1935" s="21" t="n"/>
      <c r="AK1935" s="20" t="n"/>
      <c r="AL1935" s="77">
        <f>IFERROR(INDEX(MgAmenEfic,MATCH(SUBSTITUTE($H1935,"*","-"),MgAmenClave,0)),0)</f>
        <v/>
      </c>
    </row>
    <row r="1936" hidden="1" ht="90" customHeight="1" s="54">
      <c r="B1936" s="59" t="inlineStr">
        <is>
          <t>R-1931</t>
        </is>
      </c>
      <c r="C1936" s="59" t="inlineStr">
        <is>
          <t>TEC-003</t>
        </is>
      </c>
      <c r="D1936" s="64">
        <f>IFERROR(INDEX(MgNombre,MATCH($C1936,MgActId,0)),"")</f>
        <v/>
      </c>
      <c r="E1936" s="64">
        <f>IFERROR(INDEX(MgProceso,MATCH($C1936,MgActId,0)),"")</f>
        <v/>
      </c>
      <c r="F1936" s="64">
        <f>IFERROR(INDEX(MgTipo,MATCH($C1936,MgActId,0)),"")</f>
        <v/>
      </c>
      <c r="G1936" s="64">
        <f>IFERROR(INDEX(MgSubtipo,MATCH($C1936,MgActId,0)),"")</f>
        <v/>
      </c>
      <c r="H1936" s="59" t="inlineStr">
        <is>
          <t>E.14</t>
        </is>
      </c>
      <c r="I1936" s="64">
        <f>IFERROR(INDEX(MgAmenNombre,MATCH(SUBSTITUTE($H1936,"*","-"),MgAmenClave,0)),"")</f>
        <v/>
      </c>
      <c r="J1936" s="28">
        <f>IFERROR(INDEX(MgAmenGrupo,MATCH(SUBSTITUTE($H1936,"*","-"),MgAmenClave,0)),"")</f>
        <v/>
      </c>
      <c r="K1936" s="64">
        <f>IFERROR(INDEX('1. Matriz de Activos'!$Q$6:$Q$239,MATCH($C1936,MgActId,0)),"")</f>
        <v/>
      </c>
      <c r="L1936" s="64">
        <f>IFERROR(INDEX('1. Matriz de Activos'!$R$6:$R$239,MATCH($C1936,MgActId,0)),"")</f>
        <v/>
      </c>
      <c r="M1936" s="64">
        <f>IFERROR(INDEX('1. Matriz de Activos'!$S$6:$S$239,MATCH($C1936,MgActId,0)),"")</f>
        <v/>
      </c>
      <c r="N1936" s="28">
        <f>IFERROR(INDEX(MgAmenDegD,MATCH(SUBSTITUTE($H1936,"*","-"),MgAmenClave,0)),"No aplica")</f>
        <v/>
      </c>
      <c r="O1936" s="28">
        <f>IFERROR(INDEX(MgAmenDegI,MATCH(SUBSTITUTE($H1936,"*","-"),MgAmenClave,0)),"No aplica")</f>
        <v/>
      </c>
      <c r="P1936" s="28">
        <f>IFERROR(INDEX(MgAmenDegC,MATCH(SUBSTITUTE($H1936,"*","-"),MgAmenClave,0)),"No aplica")</f>
        <v/>
      </c>
      <c r="Q1936" s="29">
        <f>IFERROR(VLOOKUP(K1936,MgValor,2,0)*VLOOKUP(N1936,MgDeg,2,0),0)</f>
        <v/>
      </c>
      <c r="R1936" s="29">
        <f>IFERROR(VLOOKUP(L1936,MgValor,2,0)*VLOOKUP(O1936,MgDeg,2,0),0)</f>
        <v/>
      </c>
      <c r="S1936" s="29">
        <f>IFERROR(VLOOKUP(M1936,MgValor,2,0)*VLOOKUP(P1936,MgDeg,2,0),0)</f>
        <v/>
      </c>
      <c r="T1936" s="30">
        <f>MAX(Q1936:S1936)</f>
        <v/>
      </c>
      <c r="U1936" s="28">
        <f>IFERROR(LOOKUP(T1936,{0;0.5;1.5;3;4.5},{"Despreciable";"Bajo";"Medio";"Alto";"Muy alto"}),"")</f>
        <v/>
      </c>
      <c r="V1936" s="13">
        <f>IFERROR(INDEX(MgAmenFrec,MATCH(SUBSTITUTE($H1936,"*","-"),MgAmenClave,0)),"")</f>
        <v/>
      </c>
      <c r="W1936" s="28">
        <f>IFERROR(LOOKUP(X1936,{0;0.01;0.1;1;10;100},{"Muy baja";"Muy baja";"Baja";"Media";"Alta";"Muy alta"}),"")</f>
        <v/>
      </c>
      <c r="X1936" s="31">
        <f>IFERROR(VLOOKUP(V1936,MgFrec,2,0),0)</f>
        <v/>
      </c>
      <c r="Y1936" s="30">
        <f>T1936*X1936</f>
        <v/>
      </c>
      <c r="Z1936" s="28">
        <f>IFERROR(LOOKUP(Y1936,{0;0.5;5;25},{"Bajo";"Medio";"Alto";"Crítico"}),"")</f>
        <v/>
      </c>
      <c r="AA1936" s="64">
        <f>IF(T1936&gt;=3,IF(X1936&gt;=1,"Zona 1 — Crítica: impacto alto y ocurre al menos una vez al año","Zona 4 — Catastrófica poco probable: impacto alto pero excepcional"),IF(AND(T1936&lt;1.5,X1936&lt;1),"Zona 3 — Asumible: impacto bajo y muy poco frecuente","Zona 2 — Atención: riesgo intermedio"))</f>
        <v/>
      </c>
      <c r="AB1936" s="64">
        <f>IFERROR(INDEX(MgAmenCtrl,MATCH(SUBSTITUTE($H1936,"*","-"),MgAmenClave,0)),"")</f>
        <v/>
      </c>
      <c r="AC1936" s="20" t="n"/>
      <c r="AD1936" s="31">
        <f>IFERROR($X1936*(1-IF($AC1936="",$AL1936,VLOOKUP($AC1936,MgMad,2,0))),"")</f>
        <v/>
      </c>
      <c r="AE1936" s="28">
        <f>IFERROR(LOOKUP(AD1936,{0;0.01;0.1;1;10;100},{"Muy baja";"Muy baja";"Baja";"Media";"Alta";"Muy alta"}),"")</f>
        <v/>
      </c>
      <c r="AF1936" s="30">
        <f>T1936*AD1936</f>
        <v/>
      </c>
      <c r="AG1936" s="28">
        <f>IFERROR(LOOKUP(AF1936,{0;0.5;5;25},{"Bajo";"Medio";"Alto";"Crítico"}),"")</f>
        <v/>
      </c>
      <c r="AH1936" s="28">
        <f>IF(AG1936="","",IF(OR(AG1936="Crítico",AG1936="Alto"),"Mitigar",IF(AG1936="Medio","Mitigar","Aceptar y monitorear")))</f>
        <v/>
      </c>
      <c r="AI1936" s="21" t="n"/>
      <c r="AJ1936" s="21" t="n"/>
      <c r="AK1936" s="20" t="n"/>
      <c r="AL1936" s="77">
        <f>IFERROR(INDEX(MgAmenEfic,MATCH(SUBSTITUTE($H1936,"*","-"),MgAmenClave,0)),0)</f>
        <v/>
      </c>
    </row>
    <row r="1937" hidden="1" ht="90" customHeight="1" s="54">
      <c r="B1937" s="59" t="inlineStr">
        <is>
          <t>R-1932</t>
        </is>
      </c>
      <c r="C1937" s="59" t="inlineStr">
        <is>
          <t>TEC-003</t>
        </is>
      </c>
      <c r="D1937" s="64">
        <f>IFERROR(INDEX(MgNombre,MATCH($C1937,MgActId,0)),"")</f>
        <v/>
      </c>
      <c r="E1937" s="64">
        <f>IFERROR(INDEX(MgProceso,MATCH($C1937,MgActId,0)),"")</f>
        <v/>
      </c>
      <c r="F1937" s="64">
        <f>IFERROR(INDEX(MgTipo,MATCH($C1937,MgActId,0)),"")</f>
        <v/>
      </c>
      <c r="G1937" s="64">
        <f>IFERROR(INDEX(MgSubtipo,MATCH($C1937,MgActId,0)),"")</f>
        <v/>
      </c>
      <c r="H1937" s="59" t="inlineStr">
        <is>
          <t>E.15</t>
        </is>
      </c>
      <c r="I1937" s="64">
        <f>IFERROR(INDEX(MgAmenNombre,MATCH(SUBSTITUTE($H1937,"*","-"),MgAmenClave,0)),"")</f>
        <v/>
      </c>
      <c r="J1937" s="28">
        <f>IFERROR(INDEX(MgAmenGrupo,MATCH(SUBSTITUTE($H1937,"*","-"),MgAmenClave,0)),"")</f>
        <v/>
      </c>
      <c r="K1937" s="64">
        <f>IFERROR(INDEX('1. Matriz de Activos'!$Q$6:$Q$239,MATCH($C1937,MgActId,0)),"")</f>
        <v/>
      </c>
      <c r="L1937" s="64">
        <f>IFERROR(INDEX('1. Matriz de Activos'!$R$6:$R$239,MATCH($C1937,MgActId,0)),"")</f>
        <v/>
      </c>
      <c r="M1937" s="64">
        <f>IFERROR(INDEX('1. Matriz de Activos'!$S$6:$S$239,MATCH($C1937,MgActId,0)),"")</f>
        <v/>
      </c>
      <c r="N1937" s="28">
        <f>IFERROR(INDEX(MgAmenDegD,MATCH(SUBSTITUTE($H1937,"*","-"),MgAmenClave,0)),"No aplica")</f>
        <v/>
      </c>
      <c r="O1937" s="28">
        <f>IFERROR(INDEX(MgAmenDegI,MATCH(SUBSTITUTE($H1937,"*","-"),MgAmenClave,0)),"No aplica")</f>
        <v/>
      </c>
      <c r="P1937" s="28">
        <f>IFERROR(INDEX(MgAmenDegC,MATCH(SUBSTITUTE($H1937,"*","-"),MgAmenClave,0)),"No aplica")</f>
        <v/>
      </c>
      <c r="Q1937" s="29">
        <f>IFERROR(VLOOKUP(K1937,MgValor,2,0)*VLOOKUP(N1937,MgDeg,2,0),0)</f>
        <v/>
      </c>
      <c r="R1937" s="29">
        <f>IFERROR(VLOOKUP(L1937,MgValor,2,0)*VLOOKUP(O1937,MgDeg,2,0),0)</f>
        <v/>
      </c>
      <c r="S1937" s="29">
        <f>IFERROR(VLOOKUP(M1937,MgValor,2,0)*VLOOKUP(P1937,MgDeg,2,0),0)</f>
        <v/>
      </c>
      <c r="T1937" s="30">
        <f>MAX(Q1937:S1937)</f>
        <v/>
      </c>
      <c r="U1937" s="28">
        <f>IFERROR(LOOKUP(T1937,{0;0.5;1.5;3;4.5},{"Despreciable";"Bajo";"Medio";"Alto";"Muy alto"}),"")</f>
        <v/>
      </c>
      <c r="V1937" s="13">
        <f>IFERROR(INDEX(MgAmenFrec,MATCH(SUBSTITUTE($H1937,"*","-"),MgAmenClave,0)),"")</f>
        <v/>
      </c>
      <c r="W1937" s="28">
        <f>IFERROR(LOOKUP(X1937,{0;0.01;0.1;1;10;100},{"Muy baja";"Muy baja";"Baja";"Media";"Alta";"Muy alta"}),"")</f>
        <v/>
      </c>
      <c r="X1937" s="31">
        <f>IFERROR(VLOOKUP(V1937,MgFrec,2,0),0)</f>
        <v/>
      </c>
      <c r="Y1937" s="30">
        <f>T1937*X1937</f>
        <v/>
      </c>
      <c r="Z1937" s="28">
        <f>IFERROR(LOOKUP(Y1937,{0;0.5;5;25},{"Bajo";"Medio";"Alto";"Crítico"}),"")</f>
        <v/>
      </c>
      <c r="AA1937" s="64">
        <f>IF(T1937&gt;=3,IF(X1937&gt;=1,"Zona 1 — Crítica: impacto alto y ocurre al menos una vez al año","Zona 4 — Catastrófica poco probable: impacto alto pero excepcional"),IF(AND(T1937&lt;1.5,X1937&lt;1),"Zona 3 — Asumible: impacto bajo y muy poco frecuente","Zona 2 — Atención: riesgo intermedio"))</f>
        <v/>
      </c>
      <c r="AB1937" s="64">
        <f>IFERROR(INDEX(MgAmenCtrl,MATCH(SUBSTITUTE($H1937,"*","-"),MgAmenClave,0)),"")</f>
        <v/>
      </c>
      <c r="AC1937" s="20" t="n"/>
      <c r="AD1937" s="31">
        <f>IFERROR($X1937*(1-IF($AC1937="",$AL1937,VLOOKUP($AC1937,MgMad,2,0))),"")</f>
        <v/>
      </c>
      <c r="AE1937" s="28">
        <f>IFERROR(LOOKUP(AD1937,{0;0.01;0.1;1;10;100},{"Muy baja";"Muy baja";"Baja";"Media";"Alta";"Muy alta"}),"")</f>
        <v/>
      </c>
      <c r="AF1937" s="30">
        <f>T1937*AD1937</f>
        <v/>
      </c>
      <c r="AG1937" s="28">
        <f>IFERROR(LOOKUP(AF1937,{0;0.5;5;25},{"Bajo";"Medio";"Alto";"Crítico"}),"")</f>
        <v/>
      </c>
      <c r="AH1937" s="28">
        <f>IF(AG1937="","",IF(OR(AG1937="Crítico",AG1937="Alto"),"Mitigar",IF(AG1937="Medio","Mitigar","Aceptar y monitorear")))</f>
        <v/>
      </c>
      <c r="AI1937" s="21" t="n"/>
      <c r="AJ1937" s="21" t="n"/>
      <c r="AK1937" s="20" t="n"/>
      <c r="AL1937" s="77">
        <f>IFERROR(INDEX(MgAmenEfic,MATCH(SUBSTITUTE($H1937,"*","-"),MgAmenClave,0)),0)</f>
        <v/>
      </c>
    </row>
    <row r="1938" hidden="1" ht="60" customHeight="1" s="54">
      <c r="B1938" s="59" t="inlineStr">
        <is>
          <t>R-1933</t>
        </is>
      </c>
      <c r="C1938" s="59" t="inlineStr">
        <is>
          <t>TEC-003</t>
        </is>
      </c>
      <c r="D1938" s="64">
        <f>IFERROR(INDEX(MgNombre,MATCH($C1938,MgActId,0)),"")</f>
        <v/>
      </c>
      <c r="E1938" s="64">
        <f>IFERROR(INDEX(MgProceso,MATCH($C1938,MgActId,0)),"")</f>
        <v/>
      </c>
      <c r="F1938" s="64">
        <f>IFERROR(INDEX(MgTipo,MATCH($C1938,MgActId,0)),"")</f>
        <v/>
      </c>
      <c r="G1938" s="64">
        <f>IFERROR(INDEX(MgSubtipo,MATCH($C1938,MgActId,0)),"")</f>
        <v/>
      </c>
      <c r="H1938" s="59" t="inlineStr">
        <is>
          <t>E.18</t>
        </is>
      </c>
      <c r="I1938" s="64">
        <f>IFERROR(INDEX(MgAmenNombre,MATCH(SUBSTITUTE($H1938,"*","-"),MgAmenClave,0)),"")</f>
        <v/>
      </c>
      <c r="J1938" s="28">
        <f>IFERROR(INDEX(MgAmenGrupo,MATCH(SUBSTITUTE($H1938,"*","-"),MgAmenClave,0)),"")</f>
        <v/>
      </c>
      <c r="K1938" s="64">
        <f>IFERROR(INDEX('1. Matriz de Activos'!$Q$6:$Q$239,MATCH($C1938,MgActId,0)),"")</f>
        <v/>
      </c>
      <c r="L1938" s="64">
        <f>IFERROR(INDEX('1. Matriz de Activos'!$R$6:$R$239,MATCH($C1938,MgActId,0)),"")</f>
        <v/>
      </c>
      <c r="M1938" s="64">
        <f>IFERROR(INDEX('1. Matriz de Activos'!$S$6:$S$239,MATCH($C1938,MgActId,0)),"")</f>
        <v/>
      </c>
      <c r="N1938" s="28">
        <f>IFERROR(INDEX(MgAmenDegD,MATCH(SUBSTITUTE($H1938,"*","-"),MgAmenClave,0)),"No aplica")</f>
        <v/>
      </c>
      <c r="O1938" s="28">
        <f>IFERROR(INDEX(MgAmenDegI,MATCH(SUBSTITUTE($H1938,"*","-"),MgAmenClave,0)),"No aplica")</f>
        <v/>
      </c>
      <c r="P1938" s="28">
        <f>IFERROR(INDEX(MgAmenDegC,MATCH(SUBSTITUTE($H1938,"*","-"),MgAmenClave,0)),"No aplica")</f>
        <v/>
      </c>
      <c r="Q1938" s="29">
        <f>IFERROR(VLOOKUP(K1938,MgValor,2,0)*VLOOKUP(N1938,MgDeg,2,0),0)</f>
        <v/>
      </c>
      <c r="R1938" s="29">
        <f>IFERROR(VLOOKUP(L1938,MgValor,2,0)*VLOOKUP(O1938,MgDeg,2,0),0)</f>
        <v/>
      </c>
      <c r="S1938" s="29">
        <f>IFERROR(VLOOKUP(M1938,MgValor,2,0)*VLOOKUP(P1938,MgDeg,2,0),0)</f>
        <v/>
      </c>
      <c r="T1938" s="30">
        <f>MAX(Q1938:S1938)</f>
        <v/>
      </c>
      <c r="U1938" s="28">
        <f>IFERROR(LOOKUP(T1938,{0;0.5;1.5;3;4.5},{"Despreciable";"Bajo";"Medio";"Alto";"Muy alto"}),"")</f>
        <v/>
      </c>
      <c r="V1938" s="13">
        <f>IFERROR(INDEX(MgAmenFrec,MATCH(SUBSTITUTE($H1938,"*","-"),MgAmenClave,0)),"")</f>
        <v/>
      </c>
      <c r="W1938" s="28">
        <f>IFERROR(LOOKUP(X1938,{0;0.01;0.1;1;10;100},{"Muy baja";"Muy baja";"Baja";"Media";"Alta";"Muy alta"}),"")</f>
        <v/>
      </c>
      <c r="X1938" s="31">
        <f>IFERROR(VLOOKUP(V1938,MgFrec,2,0),0)</f>
        <v/>
      </c>
      <c r="Y1938" s="30">
        <f>T1938*X1938</f>
        <v/>
      </c>
      <c r="Z1938" s="28">
        <f>IFERROR(LOOKUP(Y1938,{0;0.5;5;25},{"Bajo";"Medio";"Alto";"Crítico"}),"")</f>
        <v/>
      </c>
      <c r="AA1938" s="64">
        <f>IF(T1938&gt;=3,IF(X1938&gt;=1,"Zona 1 — Crítica: impacto alto y ocurre al menos una vez al año","Zona 4 — Catastrófica poco probable: impacto alto pero excepcional"),IF(AND(T1938&lt;1.5,X1938&lt;1),"Zona 3 — Asumible: impacto bajo y muy poco frecuente","Zona 2 — Atención: riesgo intermedio"))</f>
        <v/>
      </c>
      <c r="AB1938" s="64">
        <f>IFERROR(INDEX(MgAmenCtrl,MATCH(SUBSTITUTE($H1938,"*","-"),MgAmenClave,0)),"")</f>
        <v/>
      </c>
      <c r="AC1938" s="20" t="n"/>
      <c r="AD1938" s="31">
        <f>IFERROR($X1938*(1-IF($AC1938="",$AL1938,VLOOKUP($AC1938,MgMad,2,0))),"")</f>
        <v/>
      </c>
      <c r="AE1938" s="28">
        <f>IFERROR(LOOKUP(AD1938,{0;0.01;0.1;1;10;100},{"Muy baja";"Muy baja";"Baja";"Media";"Alta";"Muy alta"}),"")</f>
        <v/>
      </c>
      <c r="AF1938" s="30">
        <f>T1938*AD1938</f>
        <v/>
      </c>
      <c r="AG1938" s="28">
        <f>IFERROR(LOOKUP(AF1938,{0;0.5;5;25},{"Bajo";"Medio";"Alto";"Crítico"}),"")</f>
        <v/>
      </c>
      <c r="AH1938" s="28">
        <f>IF(AG1938="","",IF(OR(AG1938="Crítico",AG1938="Alto"),"Mitigar",IF(AG1938="Medio","Mitigar","Aceptar y monitorear")))</f>
        <v/>
      </c>
      <c r="AI1938" s="21" t="n"/>
      <c r="AJ1938" s="21" t="n"/>
      <c r="AK1938" s="20" t="n"/>
      <c r="AL1938" s="77">
        <f>IFERROR(INDEX(MgAmenEfic,MATCH(SUBSTITUTE($H1938,"*","-"),MgAmenClave,0)),0)</f>
        <v/>
      </c>
    </row>
    <row r="1939" hidden="1" ht="105" customHeight="1" s="54">
      <c r="B1939" s="59" t="inlineStr">
        <is>
          <t>R-1934</t>
        </is>
      </c>
      <c r="C1939" s="59" t="inlineStr">
        <is>
          <t>TEC-003</t>
        </is>
      </c>
      <c r="D1939" s="64">
        <f>IFERROR(INDEX(MgNombre,MATCH($C1939,MgActId,0)),"")</f>
        <v/>
      </c>
      <c r="E1939" s="64">
        <f>IFERROR(INDEX(MgProceso,MATCH($C1939,MgActId,0)),"")</f>
        <v/>
      </c>
      <c r="F1939" s="64">
        <f>IFERROR(INDEX(MgTipo,MATCH($C1939,MgActId,0)),"")</f>
        <v/>
      </c>
      <c r="G1939" s="64">
        <f>IFERROR(INDEX(MgSubtipo,MATCH($C1939,MgActId,0)),"")</f>
        <v/>
      </c>
      <c r="H1939" s="59" t="inlineStr">
        <is>
          <t>E.19</t>
        </is>
      </c>
      <c r="I1939" s="64">
        <f>IFERROR(INDEX(MgAmenNombre,MATCH(SUBSTITUTE($H1939,"*","-"),MgAmenClave,0)),"")</f>
        <v/>
      </c>
      <c r="J1939" s="28">
        <f>IFERROR(INDEX(MgAmenGrupo,MATCH(SUBSTITUTE($H1939,"*","-"),MgAmenClave,0)),"")</f>
        <v/>
      </c>
      <c r="K1939" s="64">
        <f>IFERROR(INDEX('1. Matriz de Activos'!$Q$6:$Q$239,MATCH($C1939,MgActId,0)),"")</f>
        <v/>
      </c>
      <c r="L1939" s="64">
        <f>IFERROR(INDEX('1. Matriz de Activos'!$R$6:$R$239,MATCH($C1939,MgActId,0)),"")</f>
        <v/>
      </c>
      <c r="M1939" s="64">
        <f>IFERROR(INDEX('1. Matriz de Activos'!$S$6:$S$239,MATCH($C1939,MgActId,0)),"")</f>
        <v/>
      </c>
      <c r="N1939" s="28">
        <f>IFERROR(INDEX(MgAmenDegD,MATCH(SUBSTITUTE($H1939,"*","-"),MgAmenClave,0)),"No aplica")</f>
        <v/>
      </c>
      <c r="O1939" s="28">
        <f>IFERROR(INDEX(MgAmenDegI,MATCH(SUBSTITUTE($H1939,"*","-"),MgAmenClave,0)),"No aplica")</f>
        <v/>
      </c>
      <c r="P1939" s="28">
        <f>IFERROR(INDEX(MgAmenDegC,MATCH(SUBSTITUTE($H1939,"*","-"),MgAmenClave,0)),"No aplica")</f>
        <v/>
      </c>
      <c r="Q1939" s="29">
        <f>IFERROR(VLOOKUP(K1939,MgValor,2,0)*VLOOKUP(N1939,MgDeg,2,0),0)</f>
        <v/>
      </c>
      <c r="R1939" s="29">
        <f>IFERROR(VLOOKUP(L1939,MgValor,2,0)*VLOOKUP(O1939,MgDeg,2,0),0)</f>
        <v/>
      </c>
      <c r="S1939" s="29">
        <f>IFERROR(VLOOKUP(M1939,MgValor,2,0)*VLOOKUP(P1939,MgDeg,2,0),0)</f>
        <v/>
      </c>
      <c r="T1939" s="30">
        <f>MAX(Q1939:S1939)</f>
        <v/>
      </c>
      <c r="U1939" s="28">
        <f>IFERROR(LOOKUP(T1939,{0;0.5;1.5;3;4.5},{"Despreciable";"Bajo";"Medio";"Alto";"Muy alto"}),"")</f>
        <v/>
      </c>
      <c r="V1939" s="13">
        <f>IFERROR(INDEX(MgAmenFrec,MATCH(SUBSTITUTE($H1939,"*","-"),MgAmenClave,0)),"")</f>
        <v/>
      </c>
      <c r="W1939" s="28">
        <f>IFERROR(LOOKUP(X1939,{0;0.01;0.1;1;10;100},{"Muy baja";"Muy baja";"Baja";"Media";"Alta";"Muy alta"}),"")</f>
        <v/>
      </c>
      <c r="X1939" s="31">
        <f>IFERROR(VLOOKUP(V1939,MgFrec,2,0),0)</f>
        <v/>
      </c>
      <c r="Y1939" s="30">
        <f>T1939*X1939</f>
        <v/>
      </c>
      <c r="Z1939" s="28">
        <f>IFERROR(LOOKUP(Y1939,{0;0.5;5;25},{"Bajo";"Medio";"Alto";"Crítico"}),"")</f>
        <v/>
      </c>
      <c r="AA1939" s="64">
        <f>IF(T1939&gt;=3,IF(X1939&gt;=1,"Zona 1 — Crítica: impacto alto y ocurre al menos una vez al año","Zona 4 — Catastrófica poco probable: impacto alto pero excepcional"),IF(AND(T1939&lt;1.5,X1939&lt;1),"Zona 3 — Asumible: impacto bajo y muy poco frecuente","Zona 2 — Atención: riesgo intermedio"))</f>
        <v/>
      </c>
      <c r="AB1939" s="64">
        <f>IFERROR(INDEX(MgAmenCtrl,MATCH(SUBSTITUTE($H1939,"*","-"),MgAmenClave,0)),"")</f>
        <v/>
      </c>
      <c r="AC1939" s="20" t="n"/>
      <c r="AD1939" s="31">
        <f>IFERROR($X1939*(1-IF($AC1939="",$AL1939,VLOOKUP($AC1939,MgMad,2,0))),"")</f>
        <v/>
      </c>
      <c r="AE1939" s="28">
        <f>IFERROR(LOOKUP(AD1939,{0;0.01;0.1;1;10;100},{"Muy baja";"Muy baja";"Baja";"Media";"Alta";"Muy alta"}),"")</f>
        <v/>
      </c>
      <c r="AF1939" s="30">
        <f>T1939*AD1939</f>
        <v/>
      </c>
      <c r="AG1939" s="28">
        <f>IFERROR(LOOKUP(AF1939,{0;0.5;5;25},{"Bajo";"Medio";"Alto";"Crítico"}),"")</f>
        <v/>
      </c>
      <c r="AH1939" s="28">
        <f>IF(AG1939="","",IF(OR(AG1939="Crítico",AG1939="Alto"),"Mitigar",IF(AG1939="Medio","Mitigar","Aceptar y monitorear")))</f>
        <v/>
      </c>
      <c r="AI1939" s="21" t="n"/>
      <c r="AJ1939" s="21" t="n"/>
      <c r="AK1939" s="20" t="n"/>
      <c r="AL1939" s="77">
        <f>IFERROR(INDEX(MgAmenEfic,MATCH(SUBSTITUTE($H1939,"*","-"),MgAmenClave,0)),0)</f>
        <v/>
      </c>
    </row>
    <row r="1940" hidden="1" ht="105" customHeight="1" s="54">
      <c r="B1940" s="59" t="inlineStr">
        <is>
          <t>R-1935</t>
        </is>
      </c>
      <c r="C1940" s="59" t="inlineStr">
        <is>
          <t>TEC-003</t>
        </is>
      </c>
      <c r="D1940" s="64">
        <f>IFERROR(INDEX(MgNombre,MATCH($C1940,MgActId,0)),"")</f>
        <v/>
      </c>
      <c r="E1940" s="64">
        <f>IFERROR(INDEX(MgProceso,MATCH($C1940,MgActId,0)),"")</f>
        <v/>
      </c>
      <c r="F1940" s="64">
        <f>IFERROR(INDEX(MgTipo,MATCH($C1940,MgActId,0)),"")</f>
        <v/>
      </c>
      <c r="G1940" s="64">
        <f>IFERROR(INDEX(MgSubtipo,MATCH($C1940,MgActId,0)),"")</f>
        <v/>
      </c>
      <c r="H1940" s="59" t="inlineStr">
        <is>
          <t>E.20</t>
        </is>
      </c>
      <c r="I1940" s="64">
        <f>IFERROR(INDEX(MgAmenNombre,MATCH(SUBSTITUTE($H1940,"*","-"),MgAmenClave,0)),"")</f>
        <v/>
      </c>
      <c r="J1940" s="28">
        <f>IFERROR(INDEX(MgAmenGrupo,MATCH(SUBSTITUTE($H1940,"*","-"),MgAmenClave,0)),"")</f>
        <v/>
      </c>
      <c r="K1940" s="64">
        <f>IFERROR(INDEX('1. Matriz de Activos'!$Q$6:$Q$239,MATCH($C1940,MgActId,0)),"")</f>
        <v/>
      </c>
      <c r="L1940" s="64">
        <f>IFERROR(INDEX('1. Matriz de Activos'!$R$6:$R$239,MATCH($C1940,MgActId,0)),"")</f>
        <v/>
      </c>
      <c r="M1940" s="64">
        <f>IFERROR(INDEX('1. Matriz de Activos'!$S$6:$S$239,MATCH($C1940,MgActId,0)),"")</f>
        <v/>
      </c>
      <c r="N1940" s="28">
        <f>IFERROR(INDEX(MgAmenDegD,MATCH(SUBSTITUTE($H1940,"*","-"),MgAmenClave,0)),"No aplica")</f>
        <v/>
      </c>
      <c r="O1940" s="28">
        <f>IFERROR(INDEX(MgAmenDegI,MATCH(SUBSTITUTE($H1940,"*","-"),MgAmenClave,0)),"No aplica")</f>
        <v/>
      </c>
      <c r="P1940" s="28">
        <f>IFERROR(INDEX(MgAmenDegC,MATCH(SUBSTITUTE($H1940,"*","-"),MgAmenClave,0)),"No aplica")</f>
        <v/>
      </c>
      <c r="Q1940" s="29">
        <f>IFERROR(VLOOKUP(K1940,MgValor,2,0)*VLOOKUP(N1940,MgDeg,2,0),0)</f>
        <v/>
      </c>
      <c r="R1940" s="29">
        <f>IFERROR(VLOOKUP(L1940,MgValor,2,0)*VLOOKUP(O1940,MgDeg,2,0),0)</f>
        <v/>
      </c>
      <c r="S1940" s="29">
        <f>IFERROR(VLOOKUP(M1940,MgValor,2,0)*VLOOKUP(P1940,MgDeg,2,0),0)</f>
        <v/>
      </c>
      <c r="T1940" s="30">
        <f>MAX(Q1940:S1940)</f>
        <v/>
      </c>
      <c r="U1940" s="28">
        <f>IFERROR(LOOKUP(T1940,{0;0.5;1.5;3;4.5},{"Despreciable";"Bajo";"Medio";"Alto";"Muy alto"}),"")</f>
        <v/>
      </c>
      <c r="V1940" s="13">
        <f>IFERROR(INDEX(MgAmenFrec,MATCH(SUBSTITUTE($H1940,"*","-"),MgAmenClave,0)),"")</f>
        <v/>
      </c>
      <c r="W1940" s="28">
        <f>IFERROR(LOOKUP(X1940,{0;0.01;0.1;1;10;100},{"Muy baja";"Muy baja";"Baja";"Media";"Alta";"Muy alta"}),"")</f>
        <v/>
      </c>
      <c r="X1940" s="31">
        <f>IFERROR(VLOOKUP(V1940,MgFrec,2,0),0)</f>
        <v/>
      </c>
      <c r="Y1940" s="30">
        <f>T1940*X1940</f>
        <v/>
      </c>
      <c r="Z1940" s="28">
        <f>IFERROR(LOOKUP(Y1940,{0;0.5;5;25},{"Bajo";"Medio";"Alto";"Crítico"}),"")</f>
        <v/>
      </c>
      <c r="AA1940" s="64">
        <f>IF(T1940&gt;=3,IF(X1940&gt;=1,"Zona 1 — Crítica: impacto alto y ocurre al menos una vez al año","Zona 4 — Catastrófica poco probable: impacto alto pero excepcional"),IF(AND(T1940&lt;1.5,X1940&lt;1),"Zona 3 — Asumible: impacto bajo y muy poco frecuente","Zona 2 — Atención: riesgo intermedio"))</f>
        <v/>
      </c>
      <c r="AB1940" s="64">
        <f>IFERROR(INDEX(MgAmenCtrl,MATCH(SUBSTITUTE($H1940,"*","-"),MgAmenClave,0)),"")</f>
        <v/>
      </c>
      <c r="AC1940" s="20" t="n"/>
      <c r="AD1940" s="31">
        <f>IFERROR($X1940*(1-IF($AC1940="",$AL1940,VLOOKUP($AC1940,MgMad,2,0))),"")</f>
        <v/>
      </c>
      <c r="AE1940" s="28">
        <f>IFERROR(LOOKUP(AD1940,{0;0.01;0.1;1;10;100},{"Muy baja";"Muy baja";"Baja";"Media";"Alta";"Muy alta"}),"")</f>
        <v/>
      </c>
      <c r="AF1940" s="30">
        <f>T1940*AD1940</f>
        <v/>
      </c>
      <c r="AG1940" s="28">
        <f>IFERROR(LOOKUP(AF1940,{0;0.5;5;25},{"Bajo";"Medio";"Alto";"Crítico"}),"")</f>
        <v/>
      </c>
      <c r="AH1940" s="28">
        <f>IF(AG1940="","",IF(OR(AG1940="Crítico",AG1940="Alto"),"Mitigar",IF(AG1940="Medio","Mitigar","Aceptar y monitorear")))</f>
        <v/>
      </c>
      <c r="AI1940" s="21" t="n"/>
      <c r="AJ1940" s="21" t="n"/>
      <c r="AK1940" s="20" t="n"/>
      <c r="AL1940" s="77">
        <f>IFERROR(INDEX(MgAmenEfic,MATCH(SUBSTITUTE($H1940,"*","-"),MgAmenClave,0)),0)</f>
        <v/>
      </c>
    </row>
    <row r="1941" hidden="1" ht="75" customHeight="1" s="54">
      <c r="B1941" s="59" t="inlineStr">
        <is>
          <t>R-1936</t>
        </is>
      </c>
      <c r="C1941" s="59" t="inlineStr">
        <is>
          <t>TEC-003</t>
        </is>
      </c>
      <c r="D1941" s="64">
        <f>IFERROR(INDEX(MgNombre,MATCH($C1941,MgActId,0)),"")</f>
        <v/>
      </c>
      <c r="E1941" s="64">
        <f>IFERROR(INDEX(MgProceso,MATCH($C1941,MgActId,0)),"")</f>
        <v/>
      </c>
      <c r="F1941" s="64">
        <f>IFERROR(INDEX(MgTipo,MATCH($C1941,MgActId,0)),"")</f>
        <v/>
      </c>
      <c r="G1941" s="64">
        <f>IFERROR(INDEX(MgSubtipo,MATCH($C1941,MgActId,0)),"")</f>
        <v/>
      </c>
      <c r="H1941" s="59" t="inlineStr">
        <is>
          <t>E.21</t>
        </is>
      </c>
      <c r="I1941" s="64">
        <f>IFERROR(INDEX(MgAmenNombre,MATCH(SUBSTITUTE($H1941,"*","-"),MgAmenClave,0)),"")</f>
        <v/>
      </c>
      <c r="J1941" s="28">
        <f>IFERROR(INDEX(MgAmenGrupo,MATCH(SUBSTITUTE($H1941,"*","-"),MgAmenClave,0)),"")</f>
        <v/>
      </c>
      <c r="K1941" s="64">
        <f>IFERROR(INDEX('1. Matriz de Activos'!$Q$6:$Q$239,MATCH($C1941,MgActId,0)),"")</f>
        <v/>
      </c>
      <c r="L1941" s="64">
        <f>IFERROR(INDEX('1. Matriz de Activos'!$R$6:$R$239,MATCH($C1941,MgActId,0)),"")</f>
        <v/>
      </c>
      <c r="M1941" s="64">
        <f>IFERROR(INDEX('1. Matriz de Activos'!$S$6:$S$239,MATCH($C1941,MgActId,0)),"")</f>
        <v/>
      </c>
      <c r="N1941" s="28">
        <f>IFERROR(INDEX(MgAmenDegD,MATCH(SUBSTITUTE($H1941,"*","-"),MgAmenClave,0)),"No aplica")</f>
        <v/>
      </c>
      <c r="O1941" s="28">
        <f>IFERROR(INDEX(MgAmenDegI,MATCH(SUBSTITUTE($H1941,"*","-"),MgAmenClave,0)),"No aplica")</f>
        <v/>
      </c>
      <c r="P1941" s="28">
        <f>IFERROR(INDEX(MgAmenDegC,MATCH(SUBSTITUTE($H1941,"*","-"),MgAmenClave,0)),"No aplica")</f>
        <v/>
      </c>
      <c r="Q1941" s="29">
        <f>IFERROR(VLOOKUP(K1941,MgValor,2,0)*VLOOKUP(N1941,MgDeg,2,0),0)</f>
        <v/>
      </c>
      <c r="R1941" s="29">
        <f>IFERROR(VLOOKUP(L1941,MgValor,2,0)*VLOOKUP(O1941,MgDeg,2,0),0)</f>
        <v/>
      </c>
      <c r="S1941" s="29">
        <f>IFERROR(VLOOKUP(M1941,MgValor,2,0)*VLOOKUP(P1941,MgDeg,2,0),0)</f>
        <v/>
      </c>
      <c r="T1941" s="30">
        <f>MAX(Q1941:S1941)</f>
        <v/>
      </c>
      <c r="U1941" s="28">
        <f>IFERROR(LOOKUP(T1941,{0;0.5;1.5;3;4.5},{"Despreciable";"Bajo";"Medio";"Alto";"Muy alto"}),"")</f>
        <v/>
      </c>
      <c r="V1941" s="13">
        <f>IFERROR(INDEX(MgAmenFrec,MATCH(SUBSTITUTE($H1941,"*","-"),MgAmenClave,0)),"")</f>
        <v/>
      </c>
      <c r="W1941" s="28">
        <f>IFERROR(LOOKUP(X1941,{0;0.01;0.1;1;10;100},{"Muy baja";"Muy baja";"Baja";"Media";"Alta";"Muy alta"}),"")</f>
        <v/>
      </c>
      <c r="X1941" s="31">
        <f>IFERROR(VLOOKUP(V1941,MgFrec,2,0),0)</f>
        <v/>
      </c>
      <c r="Y1941" s="30">
        <f>T1941*X1941</f>
        <v/>
      </c>
      <c r="Z1941" s="28">
        <f>IFERROR(LOOKUP(Y1941,{0;0.5;5;25},{"Bajo";"Medio";"Alto";"Crítico"}),"")</f>
        <v/>
      </c>
      <c r="AA1941" s="64">
        <f>IF(T1941&gt;=3,IF(X1941&gt;=1,"Zona 1 — Crítica: impacto alto y ocurre al menos una vez al año","Zona 4 — Catastrófica poco probable: impacto alto pero excepcional"),IF(AND(T1941&lt;1.5,X1941&lt;1),"Zona 3 — Asumible: impacto bajo y muy poco frecuente","Zona 2 — Atención: riesgo intermedio"))</f>
        <v/>
      </c>
      <c r="AB1941" s="64">
        <f>IFERROR(INDEX(MgAmenCtrl,MATCH(SUBSTITUTE($H1941,"*","-"),MgAmenClave,0)),"")</f>
        <v/>
      </c>
      <c r="AC1941" s="20" t="n"/>
      <c r="AD1941" s="31">
        <f>IFERROR($X1941*(1-IF($AC1941="",$AL1941,VLOOKUP($AC1941,MgMad,2,0))),"")</f>
        <v/>
      </c>
      <c r="AE1941" s="28">
        <f>IFERROR(LOOKUP(AD1941,{0;0.01;0.1;1;10;100},{"Muy baja";"Muy baja";"Baja";"Media";"Alta";"Muy alta"}),"")</f>
        <v/>
      </c>
      <c r="AF1941" s="30">
        <f>T1941*AD1941</f>
        <v/>
      </c>
      <c r="AG1941" s="28">
        <f>IFERROR(LOOKUP(AF1941,{0;0.5;5;25},{"Bajo";"Medio";"Alto";"Crítico"}),"")</f>
        <v/>
      </c>
      <c r="AH1941" s="28">
        <f>IF(AG1941="","",IF(OR(AG1941="Crítico",AG1941="Alto"),"Mitigar",IF(AG1941="Medio","Mitigar","Aceptar y monitorear")))</f>
        <v/>
      </c>
      <c r="AI1941" s="21" t="n"/>
      <c r="AJ1941" s="21" t="n"/>
      <c r="AK1941" s="20" t="n"/>
      <c r="AL1941" s="77">
        <f>IFERROR(INDEX(MgAmenEfic,MATCH(SUBSTITUTE($H1941,"*","-"),MgAmenClave,0)),0)</f>
        <v/>
      </c>
    </row>
    <row r="1942" hidden="1" ht="75" customHeight="1" s="54">
      <c r="B1942" s="59" t="inlineStr">
        <is>
          <t>R-1937</t>
        </is>
      </c>
      <c r="C1942" s="59" t="inlineStr">
        <is>
          <t>TEC-003</t>
        </is>
      </c>
      <c r="D1942" s="64">
        <f>IFERROR(INDEX(MgNombre,MATCH($C1942,MgActId,0)),"")</f>
        <v/>
      </c>
      <c r="E1942" s="64">
        <f>IFERROR(INDEX(MgProceso,MATCH($C1942,MgActId,0)),"")</f>
        <v/>
      </c>
      <c r="F1942" s="64">
        <f>IFERROR(INDEX(MgTipo,MATCH($C1942,MgActId,0)),"")</f>
        <v/>
      </c>
      <c r="G1942" s="64">
        <f>IFERROR(INDEX(MgSubtipo,MATCH($C1942,MgActId,0)),"")</f>
        <v/>
      </c>
      <c r="H1942" s="59" t="inlineStr">
        <is>
          <t>A.5</t>
        </is>
      </c>
      <c r="I1942" s="64">
        <f>IFERROR(INDEX(MgAmenNombre,MATCH(SUBSTITUTE($H1942,"*","-"),MgAmenClave,0)),"")</f>
        <v/>
      </c>
      <c r="J1942" s="28">
        <f>IFERROR(INDEX(MgAmenGrupo,MATCH(SUBSTITUTE($H1942,"*","-"),MgAmenClave,0)),"")</f>
        <v/>
      </c>
      <c r="K1942" s="64">
        <f>IFERROR(INDEX('1. Matriz de Activos'!$Q$6:$Q$239,MATCH($C1942,MgActId,0)),"")</f>
        <v/>
      </c>
      <c r="L1942" s="64">
        <f>IFERROR(INDEX('1. Matriz de Activos'!$R$6:$R$239,MATCH($C1942,MgActId,0)),"")</f>
        <v/>
      </c>
      <c r="M1942" s="64">
        <f>IFERROR(INDEX('1. Matriz de Activos'!$S$6:$S$239,MATCH($C1942,MgActId,0)),"")</f>
        <v/>
      </c>
      <c r="N1942" s="28">
        <f>IFERROR(INDEX(MgAmenDegD,MATCH(SUBSTITUTE($H1942,"*","-"),MgAmenClave,0)),"No aplica")</f>
        <v/>
      </c>
      <c r="O1942" s="28">
        <f>IFERROR(INDEX(MgAmenDegI,MATCH(SUBSTITUTE($H1942,"*","-"),MgAmenClave,0)),"No aplica")</f>
        <v/>
      </c>
      <c r="P1942" s="28">
        <f>IFERROR(INDEX(MgAmenDegC,MATCH(SUBSTITUTE($H1942,"*","-"),MgAmenClave,0)),"No aplica")</f>
        <v/>
      </c>
      <c r="Q1942" s="29">
        <f>IFERROR(VLOOKUP(K1942,MgValor,2,0)*VLOOKUP(N1942,MgDeg,2,0),0)</f>
        <v/>
      </c>
      <c r="R1942" s="29">
        <f>IFERROR(VLOOKUP(L1942,MgValor,2,0)*VLOOKUP(O1942,MgDeg,2,0),0)</f>
        <v/>
      </c>
      <c r="S1942" s="29">
        <f>IFERROR(VLOOKUP(M1942,MgValor,2,0)*VLOOKUP(P1942,MgDeg,2,0),0)</f>
        <v/>
      </c>
      <c r="T1942" s="30">
        <f>MAX(Q1942:S1942)</f>
        <v/>
      </c>
      <c r="U1942" s="28">
        <f>IFERROR(LOOKUP(T1942,{0;0.5;1.5;3;4.5},{"Despreciable";"Bajo";"Medio";"Alto";"Muy alto"}),"")</f>
        <v/>
      </c>
      <c r="V1942" s="13">
        <f>IFERROR(INDEX(MgAmenFrec,MATCH(SUBSTITUTE($H1942,"*","-"),MgAmenClave,0)),"")</f>
        <v/>
      </c>
      <c r="W1942" s="28">
        <f>IFERROR(LOOKUP(X1942,{0;0.01;0.1;1;10;100},{"Muy baja";"Muy baja";"Baja";"Media";"Alta";"Muy alta"}),"")</f>
        <v/>
      </c>
      <c r="X1942" s="31">
        <f>IFERROR(VLOOKUP(V1942,MgFrec,2,0),0)</f>
        <v/>
      </c>
      <c r="Y1942" s="30">
        <f>T1942*X1942</f>
        <v/>
      </c>
      <c r="Z1942" s="28">
        <f>IFERROR(LOOKUP(Y1942,{0;0.5;5;25},{"Bajo";"Medio";"Alto";"Crítico"}),"")</f>
        <v/>
      </c>
      <c r="AA1942" s="64">
        <f>IF(T1942&gt;=3,IF(X1942&gt;=1,"Zona 1 — Crítica: impacto alto y ocurre al menos una vez al año","Zona 4 — Catastrófica poco probable: impacto alto pero excepcional"),IF(AND(T1942&lt;1.5,X1942&lt;1),"Zona 3 — Asumible: impacto bajo y muy poco frecuente","Zona 2 — Atención: riesgo intermedio"))</f>
        <v/>
      </c>
      <c r="AB1942" s="64">
        <f>IFERROR(INDEX(MgAmenCtrl,MATCH(SUBSTITUTE($H1942,"*","-"),MgAmenClave,0)),"")</f>
        <v/>
      </c>
      <c r="AC1942" s="20" t="n"/>
      <c r="AD1942" s="31">
        <f>IFERROR($X1942*(1-IF($AC1942="",$AL1942,VLOOKUP($AC1942,MgMad,2,0))),"")</f>
        <v/>
      </c>
      <c r="AE1942" s="28">
        <f>IFERROR(LOOKUP(AD1942,{0;0.01;0.1;1;10;100},{"Muy baja";"Muy baja";"Baja";"Media";"Alta";"Muy alta"}),"")</f>
        <v/>
      </c>
      <c r="AF1942" s="30">
        <f>T1942*AD1942</f>
        <v/>
      </c>
      <c r="AG1942" s="28">
        <f>IFERROR(LOOKUP(AF1942,{0;0.5;5;25},{"Bajo";"Medio";"Alto";"Crítico"}),"")</f>
        <v/>
      </c>
      <c r="AH1942" s="28">
        <f>IF(AG1942="","",IF(OR(AG1942="Crítico",AG1942="Alto"),"Mitigar",IF(AG1942="Medio","Mitigar","Aceptar y monitorear")))</f>
        <v/>
      </c>
      <c r="AI1942" s="21" t="n"/>
      <c r="AJ1942" s="21" t="n"/>
      <c r="AK1942" s="20" t="n"/>
      <c r="AL1942" s="77">
        <f>IFERROR(INDEX(MgAmenEfic,MATCH(SUBSTITUTE($H1942,"*","-"),MgAmenClave,0)),0)</f>
        <v/>
      </c>
    </row>
    <row r="1943" hidden="1" ht="105" customHeight="1" s="54">
      <c r="B1943" s="59" t="inlineStr">
        <is>
          <t>R-1938</t>
        </is>
      </c>
      <c r="C1943" s="59" t="inlineStr">
        <is>
          <t>TEC-003</t>
        </is>
      </c>
      <c r="D1943" s="64">
        <f>IFERROR(INDEX(MgNombre,MATCH($C1943,MgActId,0)),"")</f>
        <v/>
      </c>
      <c r="E1943" s="64">
        <f>IFERROR(INDEX(MgProceso,MATCH($C1943,MgActId,0)),"")</f>
        <v/>
      </c>
      <c r="F1943" s="64">
        <f>IFERROR(INDEX(MgTipo,MATCH($C1943,MgActId,0)),"")</f>
        <v/>
      </c>
      <c r="G1943" s="64">
        <f>IFERROR(INDEX(MgSubtipo,MATCH($C1943,MgActId,0)),"")</f>
        <v/>
      </c>
      <c r="H1943" s="59" t="inlineStr">
        <is>
          <t>A.6</t>
        </is>
      </c>
      <c r="I1943" s="64">
        <f>IFERROR(INDEX(MgAmenNombre,MATCH(SUBSTITUTE($H1943,"*","-"),MgAmenClave,0)),"")</f>
        <v/>
      </c>
      <c r="J1943" s="28">
        <f>IFERROR(INDEX(MgAmenGrupo,MATCH(SUBSTITUTE($H1943,"*","-"),MgAmenClave,0)),"")</f>
        <v/>
      </c>
      <c r="K1943" s="64">
        <f>IFERROR(INDEX('1. Matriz de Activos'!$Q$6:$Q$239,MATCH($C1943,MgActId,0)),"")</f>
        <v/>
      </c>
      <c r="L1943" s="64">
        <f>IFERROR(INDEX('1. Matriz de Activos'!$R$6:$R$239,MATCH($C1943,MgActId,0)),"")</f>
        <v/>
      </c>
      <c r="M1943" s="64">
        <f>IFERROR(INDEX('1. Matriz de Activos'!$S$6:$S$239,MATCH($C1943,MgActId,0)),"")</f>
        <v/>
      </c>
      <c r="N1943" s="28">
        <f>IFERROR(INDEX(MgAmenDegD,MATCH(SUBSTITUTE($H1943,"*","-"),MgAmenClave,0)),"No aplica")</f>
        <v/>
      </c>
      <c r="O1943" s="28">
        <f>IFERROR(INDEX(MgAmenDegI,MATCH(SUBSTITUTE($H1943,"*","-"),MgAmenClave,0)),"No aplica")</f>
        <v/>
      </c>
      <c r="P1943" s="28">
        <f>IFERROR(INDEX(MgAmenDegC,MATCH(SUBSTITUTE($H1943,"*","-"),MgAmenClave,0)),"No aplica")</f>
        <v/>
      </c>
      <c r="Q1943" s="29">
        <f>IFERROR(VLOOKUP(K1943,MgValor,2,0)*VLOOKUP(N1943,MgDeg,2,0),0)</f>
        <v/>
      </c>
      <c r="R1943" s="29">
        <f>IFERROR(VLOOKUP(L1943,MgValor,2,0)*VLOOKUP(O1943,MgDeg,2,0),0)</f>
        <v/>
      </c>
      <c r="S1943" s="29">
        <f>IFERROR(VLOOKUP(M1943,MgValor,2,0)*VLOOKUP(P1943,MgDeg,2,0),0)</f>
        <v/>
      </c>
      <c r="T1943" s="30">
        <f>MAX(Q1943:S1943)</f>
        <v/>
      </c>
      <c r="U1943" s="28">
        <f>IFERROR(LOOKUP(T1943,{0;0.5;1.5;3;4.5},{"Despreciable";"Bajo";"Medio";"Alto";"Muy alto"}),"")</f>
        <v/>
      </c>
      <c r="V1943" s="13">
        <f>IFERROR(INDEX(MgAmenFrec,MATCH(SUBSTITUTE($H1943,"*","-"),MgAmenClave,0)),"")</f>
        <v/>
      </c>
      <c r="W1943" s="28">
        <f>IFERROR(LOOKUP(X1943,{0;0.01;0.1;1;10;100},{"Muy baja";"Muy baja";"Baja";"Media";"Alta";"Muy alta"}),"")</f>
        <v/>
      </c>
      <c r="X1943" s="31">
        <f>IFERROR(VLOOKUP(V1943,MgFrec,2,0),0)</f>
        <v/>
      </c>
      <c r="Y1943" s="30">
        <f>T1943*X1943</f>
        <v/>
      </c>
      <c r="Z1943" s="28">
        <f>IFERROR(LOOKUP(Y1943,{0;0.5;5;25},{"Bajo";"Medio";"Alto";"Crítico"}),"")</f>
        <v/>
      </c>
      <c r="AA1943" s="64">
        <f>IF(T1943&gt;=3,IF(X1943&gt;=1,"Zona 1 — Crítica: impacto alto y ocurre al menos una vez al año","Zona 4 — Catastrófica poco probable: impacto alto pero excepcional"),IF(AND(T1943&lt;1.5,X1943&lt;1),"Zona 3 — Asumible: impacto bajo y muy poco frecuente","Zona 2 — Atención: riesgo intermedio"))</f>
        <v/>
      </c>
      <c r="AB1943" s="64">
        <f>IFERROR(INDEX(MgAmenCtrl,MATCH(SUBSTITUTE($H1943,"*","-"),MgAmenClave,0)),"")</f>
        <v/>
      </c>
      <c r="AC1943" s="20" t="n"/>
      <c r="AD1943" s="31">
        <f>IFERROR($X1943*(1-IF($AC1943="",$AL1943,VLOOKUP($AC1943,MgMad,2,0))),"")</f>
        <v/>
      </c>
      <c r="AE1943" s="28">
        <f>IFERROR(LOOKUP(AD1943,{0;0.01;0.1;1;10;100},{"Muy baja";"Muy baja";"Baja";"Media";"Alta";"Muy alta"}),"")</f>
        <v/>
      </c>
      <c r="AF1943" s="30">
        <f>T1943*AD1943</f>
        <v/>
      </c>
      <c r="AG1943" s="28">
        <f>IFERROR(LOOKUP(AF1943,{0;0.5;5;25},{"Bajo";"Medio";"Alto";"Crítico"}),"")</f>
        <v/>
      </c>
      <c r="AH1943" s="28">
        <f>IF(AG1943="","",IF(OR(AG1943="Crítico",AG1943="Alto"),"Mitigar",IF(AG1943="Medio","Mitigar","Aceptar y monitorear")))</f>
        <v/>
      </c>
      <c r="AI1943" s="21" t="n"/>
      <c r="AJ1943" s="21" t="n"/>
      <c r="AK1943" s="20" t="n"/>
      <c r="AL1943" s="77">
        <f>IFERROR(INDEX(MgAmenEfic,MATCH(SUBSTITUTE($H1943,"*","-"),MgAmenClave,0)),0)</f>
        <v/>
      </c>
    </row>
    <row r="1944" hidden="1" ht="60" customHeight="1" s="54">
      <c r="B1944" s="59" t="inlineStr">
        <is>
          <t>R-1939</t>
        </is>
      </c>
      <c r="C1944" s="59" t="inlineStr">
        <is>
          <t>TEC-003</t>
        </is>
      </c>
      <c r="D1944" s="64">
        <f>IFERROR(INDEX(MgNombre,MATCH($C1944,MgActId,0)),"")</f>
        <v/>
      </c>
      <c r="E1944" s="64">
        <f>IFERROR(INDEX(MgProceso,MATCH($C1944,MgActId,0)),"")</f>
        <v/>
      </c>
      <c r="F1944" s="64">
        <f>IFERROR(INDEX(MgTipo,MATCH($C1944,MgActId,0)),"")</f>
        <v/>
      </c>
      <c r="G1944" s="64">
        <f>IFERROR(INDEX(MgSubtipo,MATCH($C1944,MgActId,0)),"")</f>
        <v/>
      </c>
      <c r="H1944" s="59" t="inlineStr">
        <is>
          <t>A.7</t>
        </is>
      </c>
      <c r="I1944" s="64">
        <f>IFERROR(INDEX(MgAmenNombre,MATCH(SUBSTITUTE($H1944,"*","-"),MgAmenClave,0)),"")</f>
        <v/>
      </c>
      <c r="J1944" s="28">
        <f>IFERROR(INDEX(MgAmenGrupo,MATCH(SUBSTITUTE($H1944,"*","-"),MgAmenClave,0)),"")</f>
        <v/>
      </c>
      <c r="K1944" s="64">
        <f>IFERROR(INDEX('1. Matriz de Activos'!$Q$6:$Q$239,MATCH($C1944,MgActId,0)),"")</f>
        <v/>
      </c>
      <c r="L1944" s="64">
        <f>IFERROR(INDEX('1. Matriz de Activos'!$R$6:$R$239,MATCH($C1944,MgActId,0)),"")</f>
        <v/>
      </c>
      <c r="M1944" s="64">
        <f>IFERROR(INDEX('1. Matriz de Activos'!$S$6:$S$239,MATCH($C1944,MgActId,0)),"")</f>
        <v/>
      </c>
      <c r="N1944" s="28">
        <f>IFERROR(INDEX(MgAmenDegD,MATCH(SUBSTITUTE($H1944,"*","-"),MgAmenClave,0)),"No aplica")</f>
        <v/>
      </c>
      <c r="O1944" s="28">
        <f>IFERROR(INDEX(MgAmenDegI,MATCH(SUBSTITUTE($H1944,"*","-"),MgAmenClave,0)),"No aplica")</f>
        <v/>
      </c>
      <c r="P1944" s="28">
        <f>IFERROR(INDEX(MgAmenDegC,MATCH(SUBSTITUTE($H1944,"*","-"),MgAmenClave,0)),"No aplica")</f>
        <v/>
      </c>
      <c r="Q1944" s="29">
        <f>IFERROR(VLOOKUP(K1944,MgValor,2,0)*VLOOKUP(N1944,MgDeg,2,0),0)</f>
        <v/>
      </c>
      <c r="R1944" s="29">
        <f>IFERROR(VLOOKUP(L1944,MgValor,2,0)*VLOOKUP(O1944,MgDeg,2,0),0)</f>
        <v/>
      </c>
      <c r="S1944" s="29">
        <f>IFERROR(VLOOKUP(M1944,MgValor,2,0)*VLOOKUP(P1944,MgDeg,2,0),0)</f>
        <v/>
      </c>
      <c r="T1944" s="30">
        <f>MAX(Q1944:S1944)</f>
        <v/>
      </c>
      <c r="U1944" s="28">
        <f>IFERROR(LOOKUP(T1944,{0;0.5;1.5;3;4.5},{"Despreciable";"Bajo";"Medio";"Alto";"Muy alto"}),"")</f>
        <v/>
      </c>
      <c r="V1944" s="13">
        <f>IFERROR(INDEX(MgAmenFrec,MATCH(SUBSTITUTE($H1944,"*","-"),MgAmenClave,0)),"")</f>
        <v/>
      </c>
      <c r="W1944" s="28">
        <f>IFERROR(LOOKUP(X1944,{0;0.01;0.1;1;10;100},{"Muy baja";"Muy baja";"Baja";"Media";"Alta";"Muy alta"}),"")</f>
        <v/>
      </c>
      <c r="X1944" s="31">
        <f>IFERROR(VLOOKUP(V1944,MgFrec,2,0),0)</f>
        <v/>
      </c>
      <c r="Y1944" s="30">
        <f>T1944*X1944</f>
        <v/>
      </c>
      <c r="Z1944" s="28">
        <f>IFERROR(LOOKUP(Y1944,{0;0.5;5;25},{"Bajo";"Medio";"Alto";"Crítico"}),"")</f>
        <v/>
      </c>
      <c r="AA1944" s="64">
        <f>IF(T1944&gt;=3,IF(X1944&gt;=1,"Zona 1 — Crítica: impacto alto y ocurre al menos una vez al año","Zona 4 — Catastrófica poco probable: impacto alto pero excepcional"),IF(AND(T1944&lt;1.5,X1944&lt;1),"Zona 3 — Asumible: impacto bajo y muy poco frecuente","Zona 2 — Atención: riesgo intermedio"))</f>
        <v/>
      </c>
      <c r="AB1944" s="64">
        <f>IFERROR(INDEX(MgAmenCtrl,MATCH(SUBSTITUTE($H1944,"*","-"),MgAmenClave,0)),"")</f>
        <v/>
      </c>
      <c r="AC1944" s="20" t="n"/>
      <c r="AD1944" s="31">
        <f>IFERROR($X1944*(1-IF($AC1944="",$AL1944,VLOOKUP($AC1944,MgMad,2,0))),"")</f>
        <v/>
      </c>
      <c r="AE1944" s="28">
        <f>IFERROR(LOOKUP(AD1944,{0;0.01;0.1;1;10;100},{"Muy baja";"Muy baja";"Baja";"Media";"Alta";"Muy alta"}),"")</f>
        <v/>
      </c>
      <c r="AF1944" s="30">
        <f>T1944*AD1944</f>
        <v/>
      </c>
      <c r="AG1944" s="28">
        <f>IFERROR(LOOKUP(AF1944,{0;0.5;5;25},{"Bajo";"Medio";"Alto";"Crítico"}),"")</f>
        <v/>
      </c>
      <c r="AH1944" s="28">
        <f>IF(AG1944="","",IF(OR(AG1944="Crítico",AG1944="Alto"),"Mitigar",IF(AG1944="Medio","Mitigar","Aceptar y monitorear")))</f>
        <v/>
      </c>
      <c r="AI1944" s="21" t="n"/>
      <c r="AJ1944" s="21" t="n"/>
      <c r="AK1944" s="20" t="n"/>
      <c r="AL1944" s="77">
        <f>IFERROR(INDEX(MgAmenEfic,MATCH(SUBSTITUTE($H1944,"*","-"),MgAmenClave,0)),0)</f>
        <v/>
      </c>
    </row>
    <row r="1945" hidden="1" ht="120" customHeight="1" s="54">
      <c r="B1945" s="59" t="inlineStr">
        <is>
          <t>R-1940</t>
        </is>
      </c>
      <c r="C1945" s="59" t="inlineStr">
        <is>
          <t>TEC-003</t>
        </is>
      </c>
      <c r="D1945" s="64">
        <f>IFERROR(INDEX(MgNombre,MATCH($C1945,MgActId,0)),"")</f>
        <v/>
      </c>
      <c r="E1945" s="64">
        <f>IFERROR(INDEX(MgProceso,MATCH($C1945,MgActId,0)),"")</f>
        <v/>
      </c>
      <c r="F1945" s="64">
        <f>IFERROR(INDEX(MgTipo,MATCH($C1945,MgActId,0)),"")</f>
        <v/>
      </c>
      <c r="G1945" s="64">
        <f>IFERROR(INDEX(MgSubtipo,MATCH($C1945,MgActId,0)),"")</f>
        <v/>
      </c>
      <c r="H1945" s="59" t="inlineStr">
        <is>
          <t>A.8</t>
        </is>
      </c>
      <c r="I1945" s="64">
        <f>IFERROR(INDEX(MgAmenNombre,MATCH(SUBSTITUTE($H1945,"*","-"),MgAmenClave,0)),"")</f>
        <v/>
      </c>
      <c r="J1945" s="28">
        <f>IFERROR(INDEX(MgAmenGrupo,MATCH(SUBSTITUTE($H1945,"*","-"),MgAmenClave,0)),"")</f>
        <v/>
      </c>
      <c r="K1945" s="64">
        <f>IFERROR(INDEX('1. Matriz de Activos'!$Q$6:$Q$239,MATCH($C1945,MgActId,0)),"")</f>
        <v/>
      </c>
      <c r="L1945" s="64">
        <f>IFERROR(INDEX('1. Matriz de Activos'!$R$6:$R$239,MATCH($C1945,MgActId,0)),"")</f>
        <v/>
      </c>
      <c r="M1945" s="64">
        <f>IFERROR(INDEX('1. Matriz de Activos'!$S$6:$S$239,MATCH($C1945,MgActId,0)),"")</f>
        <v/>
      </c>
      <c r="N1945" s="28">
        <f>IFERROR(INDEX(MgAmenDegD,MATCH(SUBSTITUTE($H1945,"*","-"),MgAmenClave,0)),"No aplica")</f>
        <v/>
      </c>
      <c r="O1945" s="28">
        <f>IFERROR(INDEX(MgAmenDegI,MATCH(SUBSTITUTE($H1945,"*","-"),MgAmenClave,0)),"No aplica")</f>
        <v/>
      </c>
      <c r="P1945" s="28">
        <f>IFERROR(INDEX(MgAmenDegC,MATCH(SUBSTITUTE($H1945,"*","-"),MgAmenClave,0)),"No aplica")</f>
        <v/>
      </c>
      <c r="Q1945" s="29">
        <f>IFERROR(VLOOKUP(K1945,MgValor,2,0)*VLOOKUP(N1945,MgDeg,2,0),0)</f>
        <v/>
      </c>
      <c r="R1945" s="29">
        <f>IFERROR(VLOOKUP(L1945,MgValor,2,0)*VLOOKUP(O1945,MgDeg,2,0),0)</f>
        <v/>
      </c>
      <c r="S1945" s="29">
        <f>IFERROR(VLOOKUP(M1945,MgValor,2,0)*VLOOKUP(P1945,MgDeg,2,0),0)</f>
        <v/>
      </c>
      <c r="T1945" s="30">
        <f>MAX(Q1945:S1945)</f>
        <v/>
      </c>
      <c r="U1945" s="28">
        <f>IFERROR(LOOKUP(T1945,{0;0.5;1.5;3;4.5},{"Despreciable";"Bajo";"Medio";"Alto";"Muy alto"}),"")</f>
        <v/>
      </c>
      <c r="V1945" s="13">
        <f>IFERROR(INDEX(MgAmenFrec,MATCH(SUBSTITUTE($H1945,"*","-"),MgAmenClave,0)),"")</f>
        <v/>
      </c>
      <c r="W1945" s="28">
        <f>IFERROR(LOOKUP(X1945,{0;0.01;0.1;1;10;100},{"Muy baja";"Muy baja";"Baja";"Media";"Alta";"Muy alta"}),"")</f>
        <v/>
      </c>
      <c r="X1945" s="31">
        <f>IFERROR(VLOOKUP(V1945,MgFrec,2,0),0)</f>
        <v/>
      </c>
      <c r="Y1945" s="30">
        <f>T1945*X1945</f>
        <v/>
      </c>
      <c r="Z1945" s="28">
        <f>IFERROR(LOOKUP(Y1945,{0;0.5;5;25},{"Bajo";"Medio";"Alto";"Crítico"}),"")</f>
        <v/>
      </c>
      <c r="AA1945" s="64">
        <f>IF(T1945&gt;=3,IF(X1945&gt;=1,"Zona 1 — Crítica: impacto alto y ocurre al menos una vez al año","Zona 4 — Catastrófica poco probable: impacto alto pero excepcional"),IF(AND(T1945&lt;1.5,X1945&lt;1),"Zona 3 — Asumible: impacto bajo y muy poco frecuente","Zona 2 — Atención: riesgo intermedio"))</f>
        <v/>
      </c>
      <c r="AB1945" s="64">
        <f>IFERROR(INDEX(MgAmenCtrl,MATCH(SUBSTITUTE($H1945,"*","-"),MgAmenClave,0)),"")</f>
        <v/>
      </c>
      <c r="AC1945" s="20" t="n"/>
      <c r="AD1945" s="31">
        <f>IFERROR($X1945*(1-IF($AC1945="",$AL1945,VLOOKUP($AC1945,MgMad,2,0))),"")</f>
        <v/>
      </c>
      <c r="AE1945" s="28">
        <f>IFERROR(LOOKUP(AD1945,{0;0.01;0.1;1;10;100},{"Muy baja";"Muy baja";"Baja";"Media";"Alta";"Muy alta"}),"")</f>
        <v/>
      </c>
      <c r="AF1945" s="30">
        <f>T1945*AD1945</f>
        <v/>
      </c>
      <c r="AG1945" s="28">
        <f>IFERROR(LOOKUP(AF1945,{0;0.5;5;25},{"Bajo";"Medio";"Alto";"Crítico"}),"")</f>
        <v/>
      </c>
      <c r="AH1945" s="28">
        <f>IF(AG1945="","",IF(OR(AG1945="Crítico",AG1945="Alto"),"Mitigar",IF(AG1945="Medio","Mitigar","Aceptar y monitorear")))</f>
        <v/>
      </c>
      <c r="AI1945" s="21" t="n"/>
      <c r="AJ1945" s="21" t="n"/>
      <c r="AK1945" s="20" t="n"/>
      <c r="AL1945" s="77">
        <f>IFERROR(INDEX(MgAmenEfic,MATCH(SUBSTITUTE($H1945,"*","-"),MgAmenClave,0)),0)</f>
        <v/>
      </c>
    </row>
    <row r="1946" hidden="1" ht="60" customHeight="1" s="54">
      <c r="B1946" s="59" t="inlineStr">
        <is>
          <t>R-1941</t>
        </is>
      </c>
      <c r="C1946" s="59" t="inlineStr">
        <is>
          <t>TEC-003</t>
        </is>
      </c>
      <c r="D1946" s="64">
        <f>IFERROR(INDEX(MgNombre,MATCH($C1946,MgActId,0)),"")</f>
        <v/>
      </c>
      <c r="E1946" s="64">
        <f>IFERROR(INDEX(MgProceso,MATCH($C1946,MgActId,0)),"")</f>
        <v/>
      </c>
      <c r="F1946" s="64">
        <f>IFERROR(INDEX(MgTipo,MATCH($C1946,MgActId,0)),"")</f>
        <v/>
      </c>
      <c r="G1946" s="64">
        <f>IFERROR(INDEX(MgSubtipo,MATCH($C1946,MgActId,0)),"")</f>
        <v/>
      </c>
      <c r="H1946" s="59" t="inlineStr">
        <is>
          <t>A.9</t>
        </is>
      </c>
      <c r="I1946" s="64">
        <f>IFERROR(INDEX(MgAmenNombre,MATCH(SUBSTITUTE($H1946,"*","-"),MgAmenClave,0)),"")</f>
        <v/>
      </c>
      <c r="J1946" s="28">
        <f>IFERROR(INDEX(MgAmenGrupo,MATCH(SUBSTITUTE($H1946,"*","-"),MgAmenClave,0)),"")</f>
        <v/>
      </c>
      <c r="K1946" s="64">
        <f>IFERROR(INDEX('1. Matriz de Activos'!$Q$6:$Q$239,MATCH($C1946,MgActId,0)),"")</f>
        <v/>
      </c>
      <c r="L1946" s="64">
        <f>IFERROR(INDEX('1. Matriz de Activos'!$R$6:$R$239,MATCH($C1946,MgActId,0)),"")</f>
        <v/>
      </c>
      <c r="M1946" s="64">
        <f>IFERROR(INDEX('1. Matriz de Activos'!$S$6:$S$239,MATCH($C1946,MgActId,0)),"")</f>
        <v/>
      </c>
      <c r="N1946" s="28">
        <f>IFERROR(INDEX(MgAmenDegD,MATCH(SUBSTITUTE($H1946,"*","-"),MgAmenClave,0)),"No aplica")</f>
        <v/>
      </c>
      <c r="O1946" s="28">
        <f>IFERROR(INDEX(MgAmenDegI,MATCH(SUBSTITUTE($H1946,"*","-"),MgAmenClave,0)),"No aplica")</f>
        <v/>
      </c>
      <c r="P1946" s="28">
        <f>IFERROR(INDEX(MgAmenDegC,MATCH(SUBSTITUTE($H1946,"*","-"),MgAmenClave,0)),"No aplica")</f>
        <v/>
      </c>
      <c r="Q1946" s="29">
        <f>IFERROR(VLOOKUP(K1946,MgValor,2,0)*VLOOKUP(N1946,MgDeg,2,0),0)</f>
        <v/>
      </c>
      <c r="R1946" s="29">
        <f>IFERROR(VLOOKUP(L1946,MgValor,2,0)*VLOOKUP(O1946,MgDeg,2,0),0)</f>
        <v/>
      </c>
      <c r="S1946" s="29">
        <f>IFERROR(VLOOKUP(M1946,MgValor,2,0)*VLOOKUP(P1946,MgDeg,2,0),0)</f>
        <v/>
      </c>
      <c r="T1946" s="30">
        <f>MAX(Q1946:S1946)</f>
        <v/>
      </c>
      <c r="U1946" s="28">
        <f>IFERROR(LOOKUP(T1946,{0;0.5;1.5;3;4.5},{"Despreciable";"Bajo";"Medio";"Alto";"Muy alto"}),"")</f>
        <v/>
      </c>
      <c r="V1946" s="13">
        <f>IFERROR(INDEX(MgAmenFrec,MATCH(SUBSTITUTE($H1946,"*","-"),MgAmenClave,0)),"")</f>
        <v/>
      </c>
      <c r="W1946" s="28">
        <f>IFERROR(LOOKUP(X1946,{0;0.01;0.1;1;10;100},{"Muy baja";"Muy baja";"Baja";"Media";"Alta";"Muy alta"}),"")</f>
        <v/>
      </c>
      <c r="X1946" s="31">
        <f>IFERROR(VLOOKUP(V1946,MgFrec,2,0),0)</f>
        <v/>
      </c>
      <c r="Y1946" s="30">
        <f>T1946*X1946</f>
        <v/>
      </c>
      <c r="Z1946" s="28">
        <f>IFERROR(LOOKUP(Y1946,{0;0.5;5;25},{"Bajo";"Medio";"Alto";"Crítico"}),"")</f>
        <v/>
      </c>
      <c r="AA1946" s="64">
        <f>IF(T1946&gt;=3,IF(X1946&gt;=1,"Zona 1 — Crítica: impacto alto y ocurre al menos una vez al año","Zona 4 — Catastrófica poco probable: impacto alto pero excepcional"),IF(AND(T1946&lt;1.5,X1946&lt;1),"Zona 3 — Asumible: impacto bajo y muy poco frecuente","Zona 2 — Atención: riesgo intermedio"))</f>
        <v/>
      </c>
      <c r="AB1946" s="64">
        <f>IFERROR(INDEX(MgAmenCtrl,MATCH(SUBSTITUTE($H1946,"*","-"),MgAmenClave,0)),"")</f>
        <v/>
      </c>
      <c r="AC1946" s="20" t="n"/>
      <c r="AD1946" s="31">
        <f>IFERROR($X1946*(1-IF($AC1946="",$AL1946,VLOOKUP($AC1946,MgMad,2,0))),"")</f>
        <v/>
      </c>
      <c r="AE1946" s="28">
        <f>IFERROR(LOOKUP(AD1946,{0;0.01;0.1;1;10;100},{"Muy baja";"Muy baja";"Baja";"Media";"Alta";"Muy alta"}),"")</f>
        <v/>
      </c>
      <c r="AF1946" s="30">
        <f>T1946*AD1946</f>
        <v/>
      </c>
      <c r="AG1946" s="28">
        <f>IFERROR(LOOKUP(AF1946,{0;0.5;5;25},{"Bajo";"Medio";"Alto";"Crítico"}),"")</f>
        <v/>
      </c>
      <c r="AH1946" s="28">
        <f>IF(AG1946="","",IF(OR(AG1946="Crítico",AG1946="Alto"),"Mitigar",IF(AG1946="Medio","Mitigar","Aceptar y monitorear")))</f>
        <v/>
      </c>
      <c r="AI1946" s="21" t="n"/>
      <c r="AJ1946" s="21" t="n"/>
      <c r="AK1946" s="20" t="n"/>
      <c r="AL1946" s="77">
        <f>IFERROR(INDEX(MgAmenEfic,MATCH(SUBSTITUTE($H1946,"*","-"),MgAmenClave,0)),0)</f>
        <v/>
      </c>
    </row>
    <row r="1947" hidden="1" ht="45" customHeight="1" s="54">
      <c r="B1947" s="59" t="inlineStr">
        <is>
          <t>R-1942</t>
        </is>
      </c>
      <c r="C1947" s="59" t="inlineStr">
        <is>
          <t>TEC-003</t>
        </is>
      </c>
      <c r="D1947" s="64">
        <f>IFERROR(INDEX(MgNombre,MATCH($C1947,MgActId,0)),"")</f>
        <v/>
      </c>
      <c r="E1947" s="64">
        <f>IFERROR(INDEX(MgProceso,MATCH($C1947,MgActId,0)),"")</f>
        <v/>
      </c>
      <c r="F1947" s="64">
        <f>IFERROR(INDEX(MgTipo,MATCH($C1947,MgActId,0)),"")</f>
        <v/>
      </c>
      <c r="G1947" s="64">
        <f>IFERROR(INDEX(MgSubtipo,MATCH($C1947,MgActId,0)),"")</f>
        <v/>
      </c>
      <c r="H1947" s="59" t="inlineStr">
        <is>
          <t>A.10</t>
        </is>
      </c>
      <c r="I1947" s="64">
        <f>IFERROR(INDEX(MgAmenNombre,MATCH(SUBSTITUTE($H1947,"*","-"),MgAmenClave,0)),"")</f>
        <v/>
      </c>
      <c r="J1947" s="28">
        <f>IFERROR(INDEX(MgAmenGrupo,MATCH(SUBSTITUTE($H1947,"*","-"),MgAmenClave,0)),"")</f>
        <v/>
      </c>
      <c r="K1947" s="64">
        <f>IFERROR(INDEX('1. Matriz de Activos'!$Q$6:$Q$239,MATCH($C1947,MgActId,0)),"")</f>
        <v/>
      </c>
      <c r="L1947" s="64">
        <f>IFERROR(INDEX('1. Matriz de Activos'!$R$6:$R$239,MATCH($C1947,MgActId,0)),"")</f>
        <v/>
      </c>
      <c r="M1947" s="64">
        <f>IFERROR(INDEX('1. Matriz de Activos'!$S$6:$S$239,MATCH($C1947,MgActId,0)),"")</f>
        <v/>
      </c>
      <c r="N1947" s="28">
        <f>IFERROR(INDEX(MgAmenDegD,MATCH(SUBSTITUTE($H1947,"*","-"),MgAmenClave,0)),"No aplica")</f>
        <v/>
      </c>
      <c r="O1947" s="28">
        <f>IFERROR(INDEX(MgAmenDegI,MATCH(SUBSTITUTE($H1947,"*","-"),MgAmenClave,0)),"No aplica")</f>
        <v/>
      </c>
      <c r="P1947" s="28">
        <f>IFERROR(INDEX(MgAmenDegC,MATCH(SUBSTITUTE($H1947,"*","-"),MgAmenClave,0)),"No aplica")</f>
        <v/>
      </c>
      <c r="Q1947" s="29">
        <f>IFERROR(VLOOKUP(K1947,MgValor,2,0)*VLOOKUP(N1947,MgDeg,2,0),0)</f>
        <v/>
      </c>
      <c r="R1947" s="29">
        <f>IFERROR(VLOOKUP(L1947,MgValor,2,0)*VLOOKUP(O1947,MgDeg,2,0),0)</f>
        <v/>
      </c>
      <c r="S1947" s="29">
        <f>IFERROR(VLOOKUP(M1947,MgValor,2,0)*VLOOKUP(P1947,MgDeg,2,0),0)</f>
        <v/>
      </c>
      <c r="T1947" s="30">
        <f>MAX(Q1947:S1947)</f>
        <v/>
      </c>
      <c r="U1947" s="28">
        <f>IFERROR(LOOKUP(T1947,{0;0.5;1.5;3;4.5},{"Despreciable";"Bajo";"Medio";"Alto";"Muy alto"}),"")</f>
        <v/>
      </c>
      <c r="V1947" s="13">
        <f>IFERROR(INDEX(MgAmenFrec,MATCH(SUBSTITUTE($H1947,"*","-"),MgAmenClave,0)),"")</f>
        <v/>
      </c>
      <c r="W1947" s="28">
        <f>IFERROR(LOOKUP(X1947,{0;0.01;0.1;1;10;100},{"Muy baja";"Muy baja";"Baja";"Media";"Alta";"Muy alta"}),"")</f>
        <v/>
      </c>
      <c r="X1947" s="31">
        <f>IFERROR(VLOOKUP(V1947,MgFrec,2,0),0)</f>
        <v/>
      </c>
      <c r="Y1947" s="30">
        <f>T1947*X1947</f>
        <v/>
      </c>
      <c r="Z1947" s="28">
        <f>IFERROR(LOOKUP(Y1947,{0;0.5;5;25},{"Bajo";"Medio";"Alto";"Crítico"}),"")</f>
        <v/>
      </c>
      <c r="AA1947" s="64">
        <f>IF(T1947&gt;=3,IF(X1947&gt;=1,"Zona 1 — Crítica: impacto alto y ocurre al menos una vez al año","Zona 4 — Catastrófica poco probable: impacto alto pero excepcional"),IF(AND(T1947&lt;1.5,X1947&lt;1),"Zona 3 — Asumible: impacto bajo y muy poco frecuente","Zona 2 — Atención: riesgo intermedio"))</f>
        <v/>
      </c>
      <c r="AB1947" s="64">
        <f>IFERROR(INDEX(MgAmenCtrl,MATCH(SUBSTITUTE($H1947,"*","-"),MgAmenClave,0)),"")</f>
        <v/>
      </c>
      <c r="AC1947" s="20" t="n"/>
      <c r="AD1947" s="31">
        <f>IFERROR($X1947*(1-IF($AC1947="",$AL1947,VLOOKUP($AC1947,MgMad,2,0))),"")</f>
        <v/>
      </c>
      <c r="AE1947" s="28">
        <f>IFERROR(LOOKUP(AD1947,{0;0.01;0.1;1;10;100},{"Muy baja";"Muy baja";"Baja";"Media";"Alta";"Muy alta"}),"")</f>
        <v/>
      </c>
      <c r="AF1947" s="30">
        <f>T1947*AD1947</f>
        <v/>
      </c>
      <c r="AG1947" s="28">
        <f>IFERROR(LOOKUP(AF1947,{0;0.5;5;25},{"Bajo";"Medio";"Alto";"Crítico"}),"")</f>
        <v/>
      </c>
      <c r="AH1947" s="28">
        <f>IF(AG1947="","",IF(OR(AG1947="Crítico",AG1947="Alto"),"Mitigar",IF(AG1947="Medio","Mitigar","Aceptar y monitorear")))</f>
        <v/>
      </c>
      <c r="AI1947" s="21" t="n"/>
      <c r="AJ1947" s="21" t="n"/>
      <c r="AK1947" s="20" t="n"/>
      <c r="AL1947" s="77">
        <f>IFERROR(INDEX(MgAmenEfic,MATCH(SUBSTITUTE($H1947,"*","-"),MgAmenClave,0)),0)</f>
        <v/>
      </c>
    </row>
    <row r="1948" hidden="1" ht="120" customHeight="1" s="54">
      <c r="B1948" s="59" t="inlineStr">
        <is>
          <t>R-1943</t>
        </is>
      </c>
      <c r="C1948" s="59" t="inlineStr">
        <is>
          <t>TEC-003</t>
        </is>
      </c>
      <c r="D1948" s="64">
        <f>IFERROR(INDEX(MgNombre,MATCH($C1948,MgActId,0)),"")</f>
        <v/>
      </c>
      <c r="E1948" s="64">
        <f>IFERROR(INDEX(MgProceso,MATCH($C1948,MgActId,0)),"")</f>
        <v/>
      </c>
      <c r="F1948" s="64">
        <f>IFERROR(INDEX(MgTipo,MATCH($C1948,MgActId,0)),"")</f>
        <v/>
      </c>
      <c r="G1948" s="64">
        <f>IFERROR(INDEX(MgSubtipo,MATCH($C1948,MgActId,0)),"")</f>
        <v/>
      </c>
      <c r="H1948" s="59" t="inlineStr">
        <is>
          <t>A.11</t>
        </is>
      </c>
      <c r="I1948" s="64">
        <f>IFERROR(INDEX(MgAmenNombre,MATCH(SUBSTITUTE($H1948,"*","-"),MgAmenClave,0)),"")</f>
        <v/>
      </c>
      <c r="J1948" s="28">
        <f>IFERROR(INDEX(MgAmenGrupo,MATCH(SUBSTITUTE($H1948,"*","-"),MgAmenClave,0)),"")</f>
        <v/>
      </c>
      <c r="K1948" s="64">
        <f>IFERROR(INDEX('1. Matriz de Activos'!$Q$6:$Q$239,MATCH($C1948,MgActId,0)),"")</f>
        <v/>
      </c>
      <c r="L1948" s="64">
        <f>IFERROR(INDEX('1. Matriz de Activos'!$R$6:$R$239,MATCH($C1948,MgActId,0)),"")</f>
        <v/>
      </c>
      <c r="M1948" s="64">
        <f>IFERROR(INDEX('1. Matriz de Activos'!$S$6:$S$239,MATCH($C1948,MgActId,0)),"")</f>
        <v/>
      </c>
      <c r="N1948" s="28">
        <f>IFERROR(INDEX(MgAmenDegD,MATCH(SUBSTITUTE($H1948,"*","-"),MgAmenClave,0)),"No aplica")</f>
        <v/>
      </c>
      <c r="O1948" s="28">
        <f>IFERROR(INDEX(MgAmenDegI,MATCH(SUBSTITUTE($H1948,"*","-"),MgAmenClave,0)),"No aplica")</f>
        <v/>
      </c>
      <c r="P1948" s="28">
        <f>IFERROR(INDEX(MgAmenDegC,MATCH(SUBSTITUTE($H1948,"*","-"),MgAmenClave,0)),"No aplica")</f>
        <v/>
      </c>
      <c r="Q1948" s="29">
        <f>IFERROR(VLOOKUP(K1948,MgValor,2,0)*VLOOKUP(N1948,MgDeg,2,0),0)</f>
        <v/>
      </c>
      <c r="R1948" s="29">
        <f>IFERROR(VLOOKUP(L1948,MgValor,2,0)*VLOOKUP(O1948,MgDeg,2,0),0)</f>
        <v/>
      </c>
      <c r="S1948" s="29">
        <f>IFERROR(VLOOKUP(M1948,MgValor,2,0)*VLOOKUP(P1948,MgDeg,2,0),0)</f>
        <v/>
      </c>
      <c r="T1948" s="30">
        <f>MAX(Q1948:S1948)</f>
        <v/>
      </c>
      <c r="U1948" s="28">
        <f>IFERROR(LOOKUP(T1948,{0;0.5;1.5;3;4.5},{"Despreciable";"Bajo";"Medio";"Alto";"Muy alto"}),"")</f>
        <v/>
      </c>
      <c r="V1948" s="13">
        <f>IFERROR(INDEX(MgAmenFrec,MATCH(SUBSTITUTE($H1948,"*","-"),MgAmenClave,0)),"")</f>
        <v/>
      </c>
      <c r="W1948" s="28">
        <f>IFERROR(LOOKUP(X1948,{0;0.01;0.1;1;10;100},{"Muy baja";"Muy baja";"Baja";"Media";"Alta";"Muy alta"}),"")</f>
        <v/>
      </c>
      <c r="X1948" s="31">
        <f>IFERROR(VLOOKUP(V1948,MgFrec,2,0),0)</f>
        <v/>
      </c>
      <c r="Y1948" s="30">
        <f>T1948*X1948</f>
        <v/>
      </c>
      <c r="Z1948" s="28">
        <f>IFERROR(LOOKUP(Y1948,{0;0.5;5;25},{"Bajo";"Medio";"Alto";"Crítico"}),"")</f>
        <v/>
      </c>
      <c r="AA1948" s="64">
        <f>IF(T1948&gt;=3,IF(X1948&gt;=1,"Zona 1 — Crítica: impacto alto y ocurre al menos una vez al año","Zona 4 — Catastrófica poco probable: impacto alto pero excepcional"),IF(AND(T1948&lt;1.5,X1948&lt;1),"Zona 3 — Asumible: impacto bajo y muy poco frecuente","Zona 2 — Atención: riesgo intermedio"))</f>
        <v/>
      </c>
      <c r="AB1948" s="64">
        <f>IFERROR(INDEX(MgAmenCtrl,MATCH(SUBSTITUTE($H1948,"*","-"),MgAmenClave,0)),"")</f>
        <v/>
      </c>
      <c r="AC1948" s="20" t="n"/>
      <c r="AD1948" s="31">
        <f>IFERROR($X1948*(1-IF($AC1948="",$AL1948,VLOOKUP($AC1948,MgMad,2,0))),"")</f>
        <v/>
      </c>
      <c r="AE1948" s="28">
        <f>IFERROR(LOOKUP(AD1948,{0;0.01;0.1;1;10;100},{"Muy baja";"Muy baja";"Baja";"Media";"Alta";"Muy alta"}),"")</f>
        <v/>
      </c>
      <c r="AF1948" s="30">
        <f>T1948*AD1948</f>
        <v/>
      </c>
      <c r="AG1948" s="28">
        <f>IFERROR(LOOKUP(AF1948,{0;0.5;5;25},{"Bajo";"Medio";"Alto";"Crítico"}),"")</f>
        <v/>
      </c>
      <c r="AH1948" s="28">
        <f>IF(AG1948="","",IF(OR(AG1948="Crítico",AG1948="Alto"),"Mitigar",IF(AG1948="Medio","Mitigar","Aceptar y monitorear")))</f>
        <v/>
      </c>
      <c r="AI1948" s="21" t="n"/>
      <c r="AJ1948" s="21" t="n"/>
      <c r="AK1948" s="20" t="n"/>
      <c r="AL1948" s="77">
        <f>IFERROR(INDEX(MgAmenEfic,MATCH(SUBSTITUTE($H1948,"*","-"),MgAmenClave,0)),0)</f>
        <v/>
      </c>
    </row>
    <row r="1949" hidden="1" ht="60" customHeight="1" s="54">
      <c r="B1949" s="59" t="inlineStr">
        <is>
          <t>R-1944</t>
        </is>
      </c>
      <c r="C1949" s="59" t="inlineStr">
        <is>
          <t>TEC-003</t>
        </is>
      </c>
      <c r="D1949" s="64">
        <f>IFERROR(INDEX(MgNombre,MATCH($C1949,MgActId,0)),"")</f>
        <v/>
      </c>
      <c r="E1949" s="64">
        <f>IFERROR(INDEX(MgProceso,MATCH($C1949,MgActId,0)),"")</f>
        <v/>
      </c>
      <c r="F1949" s="64">
        <f>IFERROR(INDEX(MgTipo,MATCH($C1949,MgActId,0)),"")</f>
        <v/>
      </c>
      <c r="G1949" s="64">
        <f>IFERROR(INDEX(MgSubtipo,MATCH($C1949,MgActId,0)),"")</f>
        <v/>
      </c>
      <c r="H1949" s="59" t="inlineStr">
        <is>
          <t>A.15</t>
        </is>
      </c>
      <c r="I1949" s="64">
        <f>IFERROR(INDEX(MgAmenNombre,MATCH(SUBSTITUTE($H1949,"*","-"),MgAmenClave,0)),"")</f>
        <v/>
      </c>
      <c r="J1949" s="28">
        <f>IFERROR(INDEX(MgAmenGrupo,MATCH(SUBSTITUTE($H1949,"*","-"),MgAmenClave,0)),"")</f>
        <v/>
      </c>
      <c r="K1949" s="64">
        <f>IFERROR(INDEX('1. Matriz de Activos'!$Q$6:$Q$239,MATCH($C1949,MgActId,0)),"")</f>
        <v/>
      </c>
      <c r="L1949" s="64">
        <f>IFERROR(INDEX('1. Matriz de Activos'!$R$6:$R$239,MATCH($C1949,MgActId,0)),"")</f>
        <v/>
      </c>
      <c r="M1949" s="64">
        <f>IFERROR(INDEX('1. Matriz de Activos'!$S$6:$S$239,MATCH($C1949,MgActId,0)),"")</f>
        <v/>
      </c>
      <c r="N1949" s="28">
        <f>IFERROR(INDEX(MgAmenDegD,MATCH(SUBSTITUTE($H1949,"*","-"),MgAmenClave,0)),"No aplica")</f>
        <v/>
      </c>
      <c r="O1949" s="28">
        <f>IFERROR(INDEX(MgAmenDegI,MATCH(SUBSTITUTE($H1949,"*","-"),MgAmenClave,0)),"No aplica")</f>
        <v/>
      </c>
      <c r="P1949" s="28">
        <f>IFERROR(INDEX(MgAmenDegC,MATCH(SUBSTITUTE($H1949,"*","-"),MgAmenClave,0)),"No aplica")</f>
        <v/>
      </c>
      <c r="Q1949" s="29">
        <f>IFERROR(VLOOKUP(K1949,MgValor,2,0)*VLOOKUP(N1949,MgDeg,2,0),0)</f>
        <v/>
      </c>
      <c r="R1949" s="29">
        <f>IFERROR(VLOOKUP(L1949,MgValor,2,0)*VLOOKUP(O1949,MgDeg,2,0),0)</f>
        <v/>
      </c>
      <c r="S1949" s="29">
        <f>IFERROR(VLOOKUP(M1949,MgValor,2,0)*VLOOKUP(P1949,MgDeg,2,0),0)</f>
        <v/>
      </c>
      <c r="T1949" s="30">
        <f>MAX(Q1949:S1949)</f>
        <v/>
      </c>
      <c r="U1949" s="28">
        <f>IFERROR(LOOKUP(T1949,{0;0.5;1.5;3;4.5},{"Despreciable";"Bajo";"Medio";"Alto";"Muy alto"}),"")</f>
        <v/>
      </c>
      <c r="V1949" s="13">
        <f>IFERROR(INDEX(MgAmenFrec,MATCH(SUBSTITUTE($H1949,"*","-"),MgAmenClave,0)),"")</f>
        <v/>
      </c>
      <c r="W1949" s="28">
        <f>IFERROR(LOOKUP(X1949,{0;0.01;0.1;1;10;100},{"Muy baja";"Muy baja";"Baja";"Media";"Alta";"Muy alta"}),"")</f>
        <v/>
      </c>
      <c r="X1949" s="31">
        <f>IFERROR(VLOOKUP(V1949,MgFrec,2,0),0)</f>
        <v/>
      </c>
      <c r="Y1949" s="30">
        <f>T1949*X1949</f>
        <v/>
      </c>
      <c r="Z1949" s="28">
        <f>IFERROR(LOOKUP(Y1949,{0;0.5;5;25},{"Bajo";"Medio";"Alto";"Crítico"}),"")</f>
        <v/>
      </c>
      <c r="AA1949" s="64">
        <f>IF(T1949&gt;=3,IF(X1949&gt;=1,"Zona 1 — Crítica: impacto alto y ocurre al menos una vez al año","Zona 4 — Catastrófica poco probable: impacto alto pero excepcional"),IF(AND(T1949&lt;1.5,X1949&lt;1),"Zona 3 — Asumible: impacto bajo y muy poco frecuente","Zona 2 — Atención: riesgo intermedio"))</f>
        <v/>
      </c>
      <c r="AB1949" s="64">
        <f>IFERROR(INDEX(MgAmenCtrl,MATCH(SUBSTITUTE($H1949,"*","-"),MgAmenClave,0)),"")</f>
        <v/>
      </c>
      <c r="AC1949" s="20" t="n"/>
      <c r="AD1949" s="31">
        <f>IFERROR($X1949*(1-IF($AC1949="",$AL1949,VLOOKUP($AC1949,MgMad,2,0))),"")</f>
        <v/>
      </c>
      <c r="AE1949" s="28">
        <f>IFERROR(LOOKUP(AD1949,{0;0.01;0.1;1;10;100},{"Muy baja";"Muy baja";"Baja";"Media";"Alta";"Muy alta"}),"")</f>
        <v/>
      </c>
      <c r="AF1949" s="30">
        <f>T1949*AD1949</f>
        <v/>
      </c>
      <c r="AG1949" s="28">
        <f>IFERROR(LOOKUP(AF1949,{0;0.5;5;25},{"Bajo";"Medio";"Alto";"Crítico"}),"")</f>
        <v/>
      </c>
      <c r="AH1949" s="28">
        <f>IF(AG1949="","",IF(OR(AG1949="Crítico",AG1949="Alto"),"Mitigar",IF(AG1949="Medio","Mitigar","Aceptar y monitorear")))</f>
        <v/>
      </c>
      <c r="AI1949" s="21" t="n"/>
      <c r="AJ1949" s="21" t="n"/>
      <c r="AK1949" s="20" t="n"/>
      <c r="AL1949" s="77">
        <f>IFERROR(INDEX(MgAmenEfic,MATCH(SUBSTITUTE($H1949,"*","-"),MgAmenClave,0)),0)</f>
        <v/>
      </c>
    </row>
    <row r="1950" hidden="1" ht="60" customHeight="1" s="54">
      <c r="B1950" s="59" t="inlineStr">
        <is>
          <t>R-1945</t>
        </is>
      </c>
      <c r="C1950" s="59" t="inlineStr">
        <is>
          <t>TEC-003</t>
        </is>
      </c>
      <c r="D1950" s="64">
        <f>IFERROR(INDEX(MgNombre,MATCH($C1950,MgActId,0)),"")</f>
        <v/>
      </c>
      <c r="E1950" s="64">
        <f>IFERROR(INDEX(MgProceso,MATCH($C1950,MgActId,0)),"")</f>
        <v/>
      </c>
      <c r="F1950" s="64">
        <f>IFERROR(INDEX(MgTipo,MATCH($C1950,MgActId,0)),"")</f>
        <v/>
      </c>
      <c r="G1950" s="64">
        <f>IFERROR(INDEX(MgSubtipo,MATCH($C1950,MgActId,0)),"")</f>
        <v/>
      </c>
      <c r="H1950" s="59" t="inlineStr">
        <is>
          <t>A.18</t>
        </is>
      </c>
      <c r="I1950" s="64">
        <f>IFERROR(INDEX(MgAmenNombre,MATCH(SUBSTITUTE($H1950,"*","-"),MgAmenClave,0)),"")</f>
        <v/>
      </c>
      <c r="J1950" s="28">
        <f>IFERROR(INDEX(MgAmenGrupo,MATCH(SUBSTITUTE($H1950,"*","-"),MgAmenClave,0)),"")</f>
        <v/>
      </c>
      <c r="K1950" s="64">
        <f>IFERROR(INDEX('1. Matriz de Activos'!$Q$6:$Q$239,MATCH($C1950,MgActId,0)),"")</f>
        <v/>
      </c>
      <c r="L1950" s="64">
        <f>IFERROR(INDEX('1. Matriz de Activos'!$R$6:$R$239,MATCH($C1950,MgActId,0)),"")</f>
        <v/>
      </c>
      <c r="M1950" s="64">
        <f>IFERROR(INDEX('1. Matriz de Activos'!$S$6:$S$239,MATCH($C1950,MgActId,0)),"")</f>
        <v/>
      </c>
      <c r="N1950" s="28">
        <f>IFERROR(INDEX(MgAmenDegD,MATCH(SUBSTITUTE($H1950,"*","-"),MgAmenClave,0)),"No aplica")</f>
        <v/>
      </c>
      <c r="O1950" s="28">
        <f>IFERROR(INDEX(MgAmenDegI,MATCH(SUBSTITUTE($H1950,"*","-"),MgAmenClave,0)),"No aplica")</f>
        <v/>
      </c>
      <c r="P1950" s="28">
        <f>IFERROR(INDEX(MgAmenDegC,MATCH(SUBSTITUTE($H1950,"*","-"),MgAmenClave,0)),"No aplica")</f>
        <v/>
      </c>
      <c r="Q1950" s="29">
        <f>IFERROR(VLOOKUP(K1950,MgValor,2,0)*VLOOKUP(N1950,MgDeg,2,0),0)</f>
        <v/>
      </c>
      <c r="R1950" s="29">
        <f>IFERROR(VLOOKUP(L1950,MgValor,2,0)*VLOOKUP(O1950,MgDeg,2,0),0)</f>
        <v/>
      </c>
      <c r="S1950" s="29">
        <f>IFERROR(VLOOKUP(M1950,MgValor,2,0)*VLOOKUP(P1950,MgDeg,2,0),0)</f>
        <v/>
      </c>
      <c r="T1950" s="30">
        <f>MAX(Q1950:S1950)</f>
        <v/>
      </c>
      <c r="U1950" s="28">
        <f>IFERROR(LOOKUP(T1950,{0;0.5;1.5;3;4.5},{"Despreciable";"Bajo";"Medio";"Alto";"Muy alto"}),"")</f>
        <v/>
      </c>
      <c r="V1950" s="13">
        <f>IFERROR(INDEX(MgAmenFrec,MATCH(SUBSTITUTE($H1950,"*","-"),MgAmenClave,0)),"")</f>
        <v/>
      </c>
      <c r="W1950" s="28">
        <f>IFERROR(LOOKUP(X1950,{0;0.01;0.1;1;10;100},{"Muy baja";"Muy baja";"Baja";"Media";"Alta";"Muy alta"}),"")</f>
        <v/>
      </c>
      <c r="X1950" s="31">
        <f>IFERROR(VLOOKUP(V1950,MgFrec,2,0),0)</f>
        <v/>
      </c>
      <c r="Y1950" s="30">
        <f>T1950*X1950</f>
        <v/>
      </c>
      <c r="Z1950" s="28">
        <f>IFERROR(LOOKUP(Y1950,{0;0.5;5;25},{"Bajo";"Medio";"Alto";"Crítico"}),"")</f>
        <v/>
      </c>
      <c r="AA1950" s="64">
        <f>IF(T1950&gt;=3,IF(X1950&gt;=1,"Zona 1 — Crítica: impacto alto y ocurre al menos una vez al año","Zona 4 — Catastrófica poco probable: impacto alto pero excepcional"),IF(AND(T1950&lt;1.5,X1950&lt;1),"Zona 3 — Asumible: impacto bajo y muy poco frecuente","Zona 2 — Atención: riesgo intermedio"))</f>
        <v/>
      </c>
      <c r="AB1950" s="64">
        <f>IFERROR(INDEX(MgAmenCtrl,MATCH(SUBSTITUTE($H1950,"*","-"),MgAmenClave,0)),"")</f>
        <v/>
      </c>
      <c r="AC1950" s="20" t="n"/>
      <c r="AD1950" s="31">
        <f>IFERROR($X1950*(1-IF($AC1950="",$AL1950,VLOOKUP($AC1950,MgMad,2,0))),"")</f>
        <v/>
      </c>
      <c r="AE1950" s="28">
        <f>IFERROR(LOOKUP(AD1950,{0;0.01;0.1;1;10;100},{"Muy baja";"Muy baja";"Baja";"Media";"Alta";"Muy alta"}),"")</f>
        <v/>
      </c>
      <c r="AF1950" s="30">
        <f>T1950*AD1950</f>
        <v/>
      </c>
      <c r="AG1950" s="28">
        <f>IFERROR(LOOKUP(AF1950,{0;0.5;5;25},{"Bajo";"Medio";"Alto";"Crítico"}),"")</f>
        <v/>
      </c>
      <c r="AH1950" s="28">
        <f>IF(AG1950="","",IF(OR(AG1950="Crítico",AG1950="Alto"),"Mitigar",IF(AG1950="Medio","Mitigar","Aceptar y monitorear")))</f>
        <v/>
      </c>
      <c r="AI1950" s="21" t="n"/>
      <c r="AJ1950" s="21" t="n"/>
      <c r="AK1950" s="20" t="n"/>
      <c r="AL1950" s="77">
        <f>IFERROR(INDEX(MgAmenEfic,MATCH(SUBSTITUTE($H1950,"*","-"),MgAmenClave,0)),0)</f>
        <v/>
      </c>
    </row>
    <row r="1951" hidden="1" ht="120" customHeight="1" s="54">
      <c r="B1951" s="59" t="inlineStr">
        <is>
          <t>R-1946</t>
        </is>
      </c>
      <c r="C1951" s="59" t="inlineStr">
        <is>
          <t>TEC-003</t>
        </is>
      </c>
      <c r="D1951" s="64">
        <f>IFERROR(INDEX(MgNombre,MATCH($C1951,MgActId,0)),"")</f>
        <v/>
      </c>
      <c r="E1951" s="64">
        <f>IFERROR(INDEX(MgProceso,MATCH($C1951,MgActId,0)),"")</f>
        <v/>
      </c>
      <c r="F1951" s="64">
        <f>IFERROR(INDEX(MgTipo,MATCH($C1951,MgActId,0)),"")</f>
        <v/>
      </c>
      <c r="G1951" s="64">
        <f>IFERROR(INDEX(MgSubtipo,MATCH($C1951,MgActId,0)),"")</f>
        <v/>
      </c>
      <c r="H1951" s="59" t="inlineStr">
        <is>
          <t>A.19</t>
        </is>
      </c>
      <c r="I1951" s="64">
        <f>IFERROR(INDEX(MgAmenNombre,MATCH(SUBSTITUTE($H1951,"*","-"),MgAmenClave,0)),"")</f>
        <v/>
      </c>
      <c r="J1951" s="28">
        <f>IFERROR(INDEX(MgAmenGrupo,MATCH(SUBSTITUTE($H1951,"*","-"),MgAmenClave,0)),"")</f>
        <v/>
      </c>
      <c r="K1951" s="64">
        <f>IFERROR(INDEX('1. Matriz de Activos'!$Q$6:$Q$239,MATCH($C1951,MgActId,0)),"")</f>
        <v/>
      </c>
      <c r="L1951" s="64">
        <f>IFERROR(INDEX('1. Matriz de Activos'!$R$6:$R$239,MATCH($C1951,MgActId,0)),"")</f>
        <v/>
      </c>
      <c r="M1951" s="64">
        <f>IFERROR(INDEX('1. Matriz de Activos'!$S$6:$S$239,MATCH($C1951,MgActId,0)),"")</f>
        <v/>
      </c>
      <c r="N1951" s="28">
        <f>IFERROR(INDEX(MgAmenDegD,MATCH(SUBSTITUTE($H1951,"*","-"),MgAmenClave,0)),"No aplica")</f>
        <v/>
      </c>
      <c r="O1951" s="28">
        <f>IFERROR(INDEX(MgAmenDegI,MATCH(SUBSTITUTE($H1951,"*","-"),MgAmenClave,0)),"No aplica")</f>
        <v/>
      </c>
      <c r="P1951" s="28">
        <f>IFERROR(INDEX(MgAmenDegC,MATCH(SUBSTITUTE($H1951,"*","-"),MgAmenClave,0)),"No aplica")</f>
        <v/>
      </c>
      <c r="Q1951" s="29">
        <f>IFERROR(VLOOKUP(K1951,MgValor,2,0)*VLOOKUP(N1951,MgDeg,2,0),0)</f>
        <v/>
      </c>
      <c r="R1951" s="29">
        <f>IFERROR(VLOOKUP(L1951,MgValor,2,0)*VLOOKUP(O1951,MgDeg,2,0),0)</f>
        <v/>
      </c>
      <c r="S1951" s="29">
        <f>IFERROR(VLOOKUP(M1951,MgValor,2,0)*VLOOKUP(P1951,MgDeg,2,0),0)</f>
        <v/>
      </c>
      <c r="T1951" s="30">
        <f>MAX(Q1951:S1951)</f>
        <v/>
      </c>
      <c r="U1951" s="28">
        <f>IFERROR(LOOKUP(T1951,{0;0.5;1.5;3;4.5},{"Despreciable";"Bajo";"Medio";"Alto";"Muy alto"}),"")</f>
        <v/>
      </c>
      <c r="V1951" s="13">
        <f>IFERROR(INDEX(MgAmenFrec,MATCH(SUBSTITUTE($H1951,"*","-"),MgAmenClave,0)),"")</f>
        <v/>
      </c>
      <c r="W1951" s="28">
        <f>IFERROR(LOOKUP(X1951,{0;0.01;0.1;1;10;100},{"Muy baja";"Muy baja";"Baja";"Media";"Alta";"Muy alta"}),"")</f>
        <v/>
      </c>
      <c r="X1951" s="31">
        <f>IFERROR(VLOOKUP(V1951,MgFrec,2,0),0)</f>
        <v/>
      </c>
      <c r="Y1951" s="30">
        <f>T1951*X1951</f>
        <v/>
      </c>
      <c r="Z1951" s="28">
        <f>IFERROR(LOOKUP(Y1951,{0;0.5;5;25},{"Bajo";"Medio";"Alto";"Crítico"}),"")</f>
        <v/>
      </c>
      <c r="AA1951" s="64">
        <f>IF(T1951&gt;=3,IF(X1951&gt;=1,"Zona 1 — Crítica: impacto alto y ocurre al menos una vez al año","Zona 4 — Catastrófica poco probable: impacto alto pero excepcional"),IF(AND(T1951&lt;1.5,X1951&lt;1),"Zona 3 — Asumible: impacto bajo y muy poco frecuente","Zona 2 — Atención: riesgo intermedio"))</f>
        <v/>
      </c>
      <c r="AB1951" s="64">
        <f>IFERROR(INDEX(MgAmenCtrl,MATCH(SUBSTITUTE($H1951,"*","-"),MgAmenClave,0)),"")</f>
        <v/>
      </c>
      <c r="AC1951" s="20" t="n"/>
      <c r="AD1951" s="31">
        <f>IFERROR($X1951*(1-IF($AC1951="",$AL1951,VLOOKUP($AC1951,MgMad,2,0))),"")</f>
        <v/>
      </c>
      <c r="AE1951" s="28">
        <f>IFERROR(LOOKUP(AD1951,{0;0.01;0.1;1;10;100},{"Muy baja";"Muy baja";"Baja";"Media";"Alta";"Muy alta"}),"")</f>
        <v/>
      </c>
      <c r="AF1951" s="30">
        <f>T1951*AD1951</f>
        <v/>
      </c>
      <c r="AG1951" s="28">
        <f>IFERROR(LOOKUP(AF1951,{0;0.5;5;25},{"Bajo";"Medio";"Alto";"Crítico"}),"")</f>
        <v/>
      </c>
      <c r="AH1951" s="28">
        <f>IF(AG1951="","",IF(OR(AG1951="Crítico",AG1951="Alto"),"Mitigar",IF(AG1951="Medio","Mitigar","Aceptar y monitorear")))</f>
        <v/>
      </c>
      <c r="AI1951" s="21" t="n"/>
      <c r="AJ1951" s="21" t="n"/>
      <c r="AK1951" s="20" t="n"/>
      <c r="AL1951" s="77">
        <f>IFERROR(INDEX(MgAmenEfic,MATCH(SUBSTITUTE($H1951,"*","-"),MgAmenClave,0)),0)</f>
        <v/>
      </c>
    </row>
    <row r="1952" hidden="1" ht="135" customHeight="1" s="54">
      <c r="B1952" s="59" t="inlineStr">
        <is>
          <t>R-1947</t>
        </is>
      </c>
      <c r="C1952" s="59" t="inlineStr">
        <is>
          <t>TEC-003</t>
        </is>
      </c>
      <c r="D1952" s="64">
        <f>IFERROR(INDEX(MgNombre,MATCH($C1952,MgActId,0)),"")</f>
        <v/>
      </c>
      <c r="E1952" s="64">
        <f>IFERROR(INDEX(MgProceso,MATCH($C1952,MgActId,0)),"")</f>
        <v/>
      </c>
      <c r="F1952" s="64">
        <f>IFERROR(INDEX(MgTipo,MATCH($C1952,MgActId,0)),"")</f>
        <v/>
      </c>
      <c r="G1952" s="64">
        <f>IFERROR(INDEX(MgSubtipo,MATCH($C1952,MgActId,0)),"")</f>
        <v/>
      </c>
      <c r="H1952" s="59" t="inlineStr">
        <is>
          <t>A.22</t>
        </is>
      </c>
      <c r="I1952" s="64">
        <f>IFERROR(INDEX(MgAmenNombre,MATCH(SUBSTITUTE($H1952,"*","-"),MgAmenClave,0)),"")</f>
        <v/>
      </c>
      <c r="J1952" s="28">
        <f>IFERROR(INDEX(MgAmenGrupo,MATCH(SUBSTITUTE($H1952,"*","-"),MgAmenClave,0)),"")</f>
        <v/>
      </c>
      <c r="K1952" s="64">
        <f>IFERROR(INDEX('1. Matriz de Activos'!$Q$6:$Q$239,MATCH($C1952,MgActId,0)),"")</f>
        <v/>
      </c>
      <c r="L1952" s="64">
        <f>IFERROR(INDEX('1. Matriz de Activos'!$R$6:$R$239,MATCH($C1952,MgActId,0)),"")</f>
        <v/>
      </c>
      <c r="M1952" s="64">
        <f>IFERROR(INDEX('1. Matriz de Activos'!$S$6:$S$239,MATCH($C1952,MgActId,0)),"")</f>
        <v/>
      </c>
      <c r="N1952" s="28">
        <f>IFERROR(INDEX(MgAmenDegD,MATCH(SUBSTITUTE($H1952,"*","-"),MgAmenClave,0)),"No aplica")</f>
        <v/>
      </c>
      <c r="O1952" s="28">
        <f>IFERROR(INDEX(MgAmenDegI,MATCH(SUBSTITUTE($H1952,"*","-"),MgAmenClave,0)),"No aplica")</f>
        <v/>
      </c>
      <c r="P1952" s="28">
        <f>IFERROR(INDEX(MgAmenDegC,MATCH(SUBSTITUTE($H1952,"*","-"),MgAmenClave,0)),"No aplica")</f>
        <v/>
      </c>
      <c r="Q1952" s="29">
        <f>IFERROR(VLOOKUP(K1952,MgValor,2,0)*VLOOKUP(N1952,MgDeg,2,0),0)</f>
        <v/>
      </c>
      <c r="R1952" s="29">
        <f>IFERROR(VLOOKUP(L1952,MgValor,2,0)*VLOOKUP(O1952,MgDeg,2,0),0)</f>
        <v/>
      </c>
      <c r="S1952" s="29">
        <f>IFERROR(VLOOKUP(M1952,MgValor,2,0)*VLOOKUP(P1952,MgDeg,2,0),0)</f>
        <v/>
      </c>
      <c r="T1952" s="30">
        <f>MAX(Q1952:S1952)</f>
        <v/>
      </c>
      <c r="U1952" s="28">
        <f>IFERROR(LOOKUP(T1952,{0;0.5;1.5;3;4.5},{"Despreciable";"Bajo";"Medio";"Alto";"Muy alto"}),"")</f>
        <v/>
      </c>
      <c r="V1952" s="13">
        <f>IFERROR(INDEX(MgAmenFrec,MATCH(SUBSTITUTE($H1952,"*","-"),MgAmenClave,0)),"")</f>
        <v/>
      </c>
      <c r="W1952" s="28">
        <f>IFERROR(LOOKUP(X1952,{0;0.01;0.1;1;10;100},{"Muy baja";"Muy baja";"Baja";"Media";"Alta";"Muy alta"}),"")</f>
        <v/>
      </c>
      <c r="X1952" s="31">
        <f>IFERROR(VLOOKUP(V1952,MgFrec,2,0),0)</f>
        <v/>
      </c>
      <c r="Y1952" s="30">
        <f>T1952*X1952</f>
        <v/>
      </c>
      <c r="Z1952" s="28">
        <f>IFERROR(LOOKUP(Y1952,{0;0.5;5;25},{"Bajo";"Medio";"Alto";"Crítico"}),"")</f>
        <v/>
      </c>
      <c r="AA1952" s="64">
        <f>IF(T1952&gt;=3,IF(X1952&gt;=1,"Zona 1 — Crítica: impacto alto y ocurre al menos una vez al año","Zona 4 — Catastrófica poco probable: impacto alto pero excepcional"),IF(AND(T1952&lt;1.5,X1952&lt;1),"Zona 3 — Asumible: impacto bajo y muy poco frecuente","Zona 2 — Atención: riesgo intermedio"))</f>
        <v/>
      </c>
      <c r="AB1952" s="64">
        <f>IFERROR(INDEX(MgAmenCtrl,MATCH(SUBSTITUTE($H1952,"*","-"),MgAmenClave,0)),"")</f>
        <v/>
      </c>
      <c r="AC1952" s="20" t="n"/>
      <c r="AD1952" s="31">
        <f>IFERROR($X1952*(1-IF($AC1952="",$AL1952,VLOOKUP($AC1952,MgMad,2,0))),"")</f>
        <v/>
      </c>
      <c r="AE1952" s="28">
        <f>IFERROR(LOOKUP(AD1952,{0;0.01;0.1;1;10;100},{"Muy baja";"Muy baja";"Baja";"Media";"Alta";"Muy alta"}),"")</f>
        <v/>
      </c>
      <c r="AF1952" s="30">
        <f>T1952*AD1952</f>
        <v/>
      </c>
      <c r="AG1952" s="28">
        <f>IFERROR(LOOKUP(AF1952,{0;0.5;5;25},{"Bajo";"Medio";"Alto";"Crítico"}),"")</f>
        <v/>
      </c>
      <c r="AH1952" s="28">
        <f>IF(AG1952="","",IF(OR(AG1952="Crítico",AG1952="Alto"),"Mitigar",IF(AG1952="Medio","Mitigar","Aceptar y monitorear")))</f>
        <v/>
      </c>
      <c r="AI1952" s="21" t="n"/>
      <c r="AJ1952" s="21" t="n"/>
      <c r="AK1952" s="20" t="n"/>
      <c r="AL1952" s="77">
        <f>IFERROR(INDEX(MgAmenEfic,MATCH(SUBSTITUTE($H1952,"*","-"),MgAmenClave,0)),0)</f>
        <v/>
      </c>
    </row>
    <row r="1953" hidden="1" ht="75" customHeight="1" s="54">
      <c r="B1953" s="59" t="inlineStr">
        <is>
          <t>R-1948</t>
        </is>
      </c>
      <c r="C1953" s="59" t="inlineStr">
        <is>
          <t>FIN-20</t>
        </is>
      </c>
      <c r="D1953" s="64">
        <f>IFERROR(INDEX(MgNombre,MATCH($C1953,MgActId,0)),"")</f>
        <v/>
      </c>
      <c r="E1953" s="64">
        <f>IFERROR(INDEX(MgProceso,MATCH($C1953,MgActId,0)),"")</f>
        <v/>
      </c>
      <c r="F1953" s="64">
        <f>IFERROR(INDEX(MgTipo,MATCH($C1953,MgActId,0)),"")</f>
        <v/>
      </c>
      <c r="G1953" s="64">
        <f>IFERROR(INDEX(MgSubtipo,MATCH($C1953,MgActId,0)),"")</f>
        <v/>
      </c>
      <c r="H1953" s="59" t="inlineStr">
        <is>
          <t>I.5</t>
        </is>
      </c>
      <c r="I1953" s="64">
        <f>IFERROR(INDEX(MgAmenNombre,MATCH(SUBSTITUTE($H1953,"*","-"),MgAmenClave,0)),"")</f>
        <v/>
      </c>
      <c r="J1953" s="28">
        <f>IFERROR(INDEX(MgAmenGrupo,MATCH(SUBSTITUTE($H1953,"*","-"),MgAmenClave,0)),"")</f>
        <v/>
      </c>
      <c r="K1953" s="64">
        <f>IFERROR(INDEX('1. Matriz de Activos'!$Q$6:$Q$239,MATCH($C1953,MgActId,0)),"")</f>
        <v/>
      </c>
      <c r="L1953" s="64">
        <f>IFERROR(INDEX('1. Matriz de Activos'!$R$6:$R$239,MATCH($C1953,MgActId,0)),"")</f>
        <v/>
      </c>
      <c r="M1953" s="64">
        <f>IFERROR(INDEX('1. Matriz de Activos'!$S$6:$S$239,MATCH($C1953,MgActId,0)),"")</f>
        <v/>
      </c>
      <c r="N1953" s="28">
        <f>IFERROR(INDEX(MgAmenDegD,MATCH(SUBSTITUTE($H1953,"*","-"),MgAmenClave,0)),"No aplica")</f>
        <v/>
      </c>
      <c r="O1953" s="28">
        <f>IFERROR(INDEX(MgAmenDegI,MATCH(SUBSTITUTE($H1953,"*","-"),MgAmenClave,0)),"No aplica")</f>
        <v/>
      </c>
      <c r="P1953" s="28">
        <f>IFERROR(INDEX(MgAmenDegC,MATCH(SUBSTITUTE($H1953,"*","-"),MgAmenClave,0)),"No aplica")</f>
        <v/>
      </c>
      <c r="Q1953" s="29">
        <f>IFERROR(VLOOKUP(K1953,MgValor,2,0)*VLOOKUP(N1953,MgDeg,2,0),0)</f>
        <v/>
      </c>
      <c r="R1953" s="29">
        <f>IFERROR(VLOOKUP(L1953,MgValor,2,0)*VLOOKUP(O1953,MgDeg,2,0),0)</f>
        <v/>
      </c>
      <c r="S1953" s="29">
        <f>IFERROR(VLOOKUP(M1953,MgValor,2,0)*VLOOKUP(P1953,MgDeg,2,0),0)</f>
        <v/>
      </c>
      <c r="T1953" s="30">
        <f>MAX(Q1953:S1953)</f>
        <v/>
      </c>
      <c r="U1953" s="28">
        <f>IFERROR(LOOKUP(T1953,{0;0.5;1.5;3;4.5},{"Despreciable";"Bajo";"Medio";"Alto";"Muy alto"}),"")</f>
        <v/>
      </c>
      <c r="V1953" s="13">
        <f>IFERROR(INDEX(MgAmenFrec,MATCH(SUBSTITUTE($H1953,"*","-"),MgAmenClave,0)),"")</f>
        <v/>
      </c>
      <c r="W1953" s="28">
        <f>IFERROR(LOOKUP(X1953,{0;0.01;0.1;1;10;100},{"Muy baja";"Muy baja";"Baja";"Media";"Alta";"Muy alta"}),"")</f>
        <v/>
      </c>
      <c r="X1953" s="31">
        <f>IFERROR(VLOOKUP(V1953,MgFrec,2,0),0)</f>
        <v/>
      </c>
      <c r="Y1953" s="30">
        <f>T1953*X1953</f>
        <v/>
      </c>
      <c r="Z1953" s="28">
        <f>IFERROR(LOOKUP(Y1953,{0;0.5;5;25},{"Bajo";"Medio";"Alto";"Crítico"}),"")</f>
        <v/>
      </c>
      <c r="AA1953" s="64">
        <f>IF(T1953&gt;=3,IF(X1953&gt;=1,"Zona 1 — Crítica: impacto alto y ocurre al menos una vez al año","Zona 4 — Catastrófica poco probable: impacto alto pero excepcional"),IF(AND(T1953&lt;1.5,X1953&lt;1),"Zona 3 — Asumible: impacto bajo y muy poco frecuente","Zona 2 — Atención: riesgo intermedio"))</f>
        <v/>
      </c>
      <c r="AB1953" s="64">
        <f>IFERROR(INDEX(MgAmenCtrl,MATCH(SUBSTITUTE($H1953,"*","-"),MgAmenClave,0)),"")</f>
        <v/>
      </c>
      <c r="AC1953" s="20" t="n"/>
      <c r="AD1953" s="31">
        <f>IFERROR($X1953*(1-IF($AC1953="",$AL1953,VLOOKUP($AC1953,MgMad,2,0))),"")</f>
        <v/>
      </c>
      <c r="AE1953" s="28">
        <f>IFERROR(LOOKUP(AD1953,{0;0.01;0.1;1;10;100},{"Muy baja";"Muy baja";"Baja";"Media";"Alta";"Muy alta"}),"")</f>
        <v/>
      </c>
      <c r="AF1953" s="30">
        <f>T1953*AD1953</f>
        <v/>
      </c>
      <c r="AG1953" s="28">
        <f>IFERROR(LOOKUP(AF1953,{0;0.5;5;25},{"Bajo";"Medio";"Alto";"Crítico"}),"")</f>
        <v/>
      </c>
      <c r="AH1953" s="28">
        <f>IF(AG1953="","",IF(OR(AG1953="Crítico",AG1953="Alto"),"Mitigar",IF(AG1953="Medio","Mitigar","Aceptar y monitorear")))</f>
        <v/>
      </c>
      <c r="AI1953" s="21" t="n"/>
      <c r="AJ1953" s="21" t="n"/>
      <c r="AK1953" s="20" t="n"/>
      <c r="AL1953" s="77">
        <f>IFERROR(INDEX(MgAmenEfic,MATCH(SUBSTITUTE($H1953,"*","-"),MgAmenClave,0)),0)</f>
        <v/>
      </c>
    </row>
    <row r="1954" hidden="1" ht="105" customHeight="1" s="54">
      <c r="B1954" s="59" t="inlineStr">
        <is>
          <t>R-1949</t>
        </is>
      </c>
      <c r="C1954" s="59" t="inlineStr">
        <is>
          <t>FIN-20</t>
        </is>
      </c>
      <c r="D1954" s="64">
        <f>IFERROR(INDEX(MgNombre,MATCH($C1954,MgActId,0)),"")</f>
        <v/>
      </c>
      <c r="E1954" s="64">
        <f>IFERROR(INDEX(MgProceso,MATCH($C1954,MgActId,0)),"")</f>
        <v/>
      </c>
      <c r="F1954" s="64">
        <f>IFERROR(INDEX(MgTipo,MATCH($C1954,MgActId,0)),"")</f>
        <v/>
      </c>
      <c r="G1954" s="64">
        <f>IFERROR(INDEX(MgSubtipo,MATCH($C1954,MgActId,0)),"")</f>
        <v/>
      </c>
      <c r="H1954" s="59" t="inlineStr">
        <is>
          <t>E.1</t>
        </is>
      </c>
      <c r="I1954" s="64">
        <f>IFERROR(INDEX(MgAmenNombre,MATCH(SUBSTITUTE($H1954,"*","-"),MgAmenClave,0)),"")</f>
        <v/>
      </c>
      <c r="J1954" s="28">
        <f>IFERROR(INDEX(MgAmenGrupo,MATCH(SUBSTITUTE($H1954,"*","-"),MgAmenClave,0)),"")</f>
        <v/>
      </c>
      <c r="K1954" s="64">
        <f>IFERROR(INDEX('1. Matriz de Activos'!$Q$6:$Q$239,MATCH($C1954,MgActId,0)),"")</f>
        <v/>
      </c>
      <c r="L1954" s="64">
        <f>IFERROR(INDEX('1. Matriz de Activos'!$R$6:$R$239,MATCH($C1954,MgActId,0)),"")</f>
        <v/>
      </c>
      <c r="M1954" s="64">
        <f>IFERROR(INDEX('1. Matriz de Activos'!$S$6:$S$239,MATCH($C1954,MgActId,0)),"")</f>
        <v/>
      </c>
      <c r="N1954" s="28">
        <f>IFERROR(INDEX(MgAmenDegD,MATCH(SUBSTITUTE($H1954,"*","-"),MgAmenClave,0)),"No aplica")</f>
        <v/>
      </c>
      <c r="O1954" s="28">
        <f>IFERROR(INDEX(MgAmenDegI,MATCH(SUBSTITUTE($H1954,"*","-"),MgAmenClave,0)),"No aplica")</f>
        <v/>
      </c>
      <c r="P1954" s="28">
        <f>IFERROR(INDEX(MgAmenDegC,MATCH(SUBSTITUTE($H1954,"*","-"),MgAmenClave,0)),"No aplica")</f>
        <v/>
      </c>
      <c r="Q1954" s="29">
        <f>IFERROR(VLOOKUP(K1954,MgValor,2,0)*VLOOKUP(N1954,MgDeg,2,0),0)</f>
        <v/>
      </c>
      <c r="R1954" s="29">
        <f>IFERROR(VLOOKUP(L1954,MgValor,2,0)*VLOOKUP(O1954,MgDeg,2,0),0)</f>
        <v/>
      </c>
      <c r="S1954" s="29">
        <f>IFERROR(VLOOKUP(M1954,MgValor,2,0)*VLOOKUP(P1954,MgDeg,2,0),0)</f>
        <v/>
      </c>
      <c r="T1954" s="30">
        <f>MAX(Q1954:S1954)</f>
        <v/>
      </c>
      <c r="U1954" s="28">
        <f>IFERROR(LOOKUP(T1954,{0;0.5;1.5;3;4.5},{"Despreciable";"Bajo";"Medio";"Alto";"Muy alto"}),"")</f>
        <v/>
      </c>
      <c r="V1954" s="13">
        <f>IFERROR(INDEX(MgAmenFrec,MATCH(SUBSTITUTE($H1954,"*","-"),MgAmenClave,0)),"")</f>
        <v/>
      </c>
      <c r="W1954" s="28">
        <f>IFERROR(LOOKUP(X1954,{0;0.01;0.1;1;10;100},{"Muy baja";"Muy baja";"Baja";"Media";"Alta";"Muy alta"}),"")</f>
        <v/>
      </c>
      <c r="X1954" s="31">
        <f>IFERROR(VLOOKUP(V1954,MgFrec,2,0),0)</f>
        <v/>
      </c>
      <c r="Y1954" s="30">
        <f>T1954*X1954</f>
        <v/>
      </c>
      <c r="Z1954" s="28">
        <f>IFERROR(LOOKUP(Y1954,{0;0.5;5;25},{"Bajo";"Medio";"Alto";"Crítico"}),"")</f>
        <v/>
      </c>
      <c r="AA1954" s="64">
        <f>IF(T1954&gt;=3,IF(X1954&gt;=1,"Zona 1 — Crítica: impacto alto y ocurre al menos una vez al año","Zona 4 — Catastrófica poco probable: impacto alto pero excepcional"),IF(AND(T1954&lt;1.5,X1954&lt;1),"Zona 3 — Asumible: impacto bajo y muy poco frecuente","Zona 2 — Atención: riesgo intermedio"))</f>
        <v/>
      </c>
      <c r="AB1954" s="64">
        <f>IFERROR(INDEX(MgAmenCtrl,MATCH(SUBSTITUTE($H1954,"*","-"),MgAmenClave,0)),"")</f>
        <v/>
      </c>
      <c r="AC1954" s="20" t="n"/>
      <c r="AD1954" s="31">
        <f>IFERROR($X1954*(1-IF($AC1954="",$AL1954,VLOOKUP($AC1954,MgMad,2,0))),"")</f>
        <v/>
      </c>
      <c r="AE1954" s="28">
        <f>IFERROR(LOOKUP(AD1954,{0;0.01;0.1;1;10;100},{"Muy baja";"Muy baja";"Baja";"Media";"Alta";"Muy alta"}),"")</f>
        <v/>
      </c>
      <c r="AF1954" s="30">
        <f>T1954*AD1954</f>
        <v/>
      </c>
      <c r="AG1954" s="28">
        <f>IFERROR(LOOKUP(AF1954,{0;0.5;5;25},{"Bajo";"Medio";"Alto";"Crítico"}),"")</f>
        <v/>
      </c>
      <c r="AH1954" s="28">
        <f>IF(AG1954="","",IF(OR(AG1954="Crítico",AG1954="Alto"),"Mitigar",IF(AG1954="Medio","Mitigar","Aceptar y monitorear")))</f>
        <v/>
      </c>
      <c r="AI1954" s="21" t="n"/>
      <c r="AJ1954" s="21" t="n"/>
      <c r="AK1954" s="20" t="n"/>
      <c r="AL1954" s="77">
        <f>IFERROR(INDEX(MgAmenEfic,MATCH(SUBSTITUTE($H1954,"*","-"),MgAmenClave,0)),0)</f>
        <v/>
      </c>
    </row>
    <row r="1955" hidden="1" ht="120" customHeight="1" s="54">
      <c r="B1955" s="59" t="inlineStr">
        <is>
          <t>R-1950</t>
        </is>
      </c>
      <c r="C1955" s="59" t="inlineStr">
        <is>
          <t>FIN-20</t>
        </is>
      </c>
      <c r="D1955" s="64">
        <f>IFERROR(INDEX(MgNombre,MATCH($C1955,MgActId,0)),"")</f>
        <v/>
      </c>
      <c r="E1955" s="64">
        <f>IFERROR(INDEX(MgProceso,MATCH($C1955,MgActId,0)),"")</f>
        <v/>
      </c>
      <c r="F1955" s="64">
        <f>IFERROR(INDEX(MgTipo,MATCH($C1955,MgActId,0)),"")</f>
        <v/>
      </c>
      <c r="G1955" s="64">
        <f>IFERROR(INDEX(MgSubtipo,MATCH($C1955,MgActId,0)),"")</f>
        <v/>
      </c>
      <c r="H1955" s="59" t="inlineStr">
        <is>
          <t>E.2</t>
        </is>
      </c>
      <c r="I1955" s="64">
        <f>IFERROR(INDEX(MgAmenNombre,MATCH(SUBSTITUTE($H1955,"*","-"),MgAmenClave,0)),"")</f>
        <v/>
      </c>
      <c r="J1955" s="28">
        <f>IFERROR(INDEX(MgAmenGrupo,MATCH(SUBSTITUTE($H1955,"*","-"),MgAmenClave,0)),"")</f>
        <v/>
      </c>
      <c r="K1955" s="64">
        <f>IFERROR(INDEX('1. Matriz de Activos'!$Q$6:$Q$239,MATCH($C1955,MgActId,0)),"")</f>
        <v/>
      </c>
      <c r="L1955" s="64">
        <f>IFERROR(INDEX('1. Matriz de Activos'!$R$6:$R$239,MATCH($C1955,MgActId,0)),"")</f>
        <v/>
      </c>
      <c r="M1955" s="64">
        <f>IFERROR(INDEX('1. Matriz de Activos'!$S$6:$S$239,MATCH($C1955,MgActId,0)),"")</f>
        <v/>
      </c>
      <c r="N1955" s="28">
        <f>IFERROR(INDEX(MgAmenDegD,MATCH(SUBSTITUTE($H1955,"*","-"),MgAmenClave,0)),"No aplica")</f>
        <v/>
      </c>
      <c r="O1955" s="28">
        <f>IFERROR(INDEX(MgAmenDegI,MATCH(SUBSTITUTE($H1955,"*","-"),MgAmenClave,0)),"No aplica")</f>
        <v/>
      </c>
      <c r="P1955" s="28">
        <f>IFERROR(INDEX(MgAmenDegC,MATCH(SUBSTITUTE($H1955,"*","-"),MgAmenClave,0)),"No aplica")</f>
        <v/>
      </c>
      <c r="Q1955" s="29">
        <f>IFERROR(VLOOKUP(K1955,MgValor,2,0)*VLOOKUP(N1955,MgDeg,2,0),0)</f>
        <v/>
      </c>
      <c r="R1955" s="29">
        <f>IFERROR(VLOOKUP(L1955,MgValor,2,0)*VLOOKUP(O1955,MgDeg,2,0),0)</f>
        <v/>
      </c>
      <c r="S1955" s="29">
        <f>IFERROR(VLOOKUP(M1955,MgValor,2,0)*VLOOKUP(P1955,MgDeg,2,0),0)</f>
        <v/>
      </c>
      <c r="T1955" s="30">
        <f>MAX(Q1955:S1955)</f>
        <v/>
      </c>
      <c r="U1955" s="28">
        <f>IFERROR(LOOKUP(T1955,{0;0.5;1.5;3;4.5},{"Despreciable";"Bajo";"Medio";"Alto";"Muy alto"}),"")</f>
        <v/>
      </c>
      <c r="V1955" s="13">
        <f>IFERROR(INDEX(MgAmenFrec,MATCH(SUBSTITUTE($H1955,"*","-"),MgAmenClave,0)),"")</f>
        <v/>
      </c>
      <c r="W1955" s="28">
        <f>IFERROR(LOOKUP(X1955,{0;0.01;0.1;1;10;100},{"Muy baja";"Muy baja";"Baja";"Media";"Alta";"Muy alta"}),"")</f>
        <v/>
      </c>
      <c r="X1955" s="31">
        <f>IFERROR(VLOOKUP(V1955,MgFrec,2,0),0)</f>
        <v/>
      </c>
      <c r="Y1955" s="30">
        <f>T1955*X1955</f>
        <v/>
      </c>
      <c r="Z1955" s="28">
        <f>IFERROR(LOOKUP(Y1955,{0;0.5;5;25},{"Bajo";"Medio";"Alto";"Crítico"}),"")</f>
        <v/>
      </c>
      <c r="AA1955" s="64">
        <f>IF(T1955&gt;=3,IF(X1955&gt;=1,"Zona 1 — Crítica: impacto alto y ocurre al menos una vez al año","Zona 4 — Catastrófica poco probable: impacto alto pero excepcional"),IF(AND(T1955&lt;1.5,X1955&lt;1),"Zona 3 — Asumible: impacto bajo y muy poco frecuente","Zona 2 — Atención: riesgo intermedio"))</f>
        <v/>
      </c>
      <c r="AB1955" s="64">
        <f>IFERROR(INDEX(MgAmenCtrl,MATCH(SUBSTITUTE($H1955,"*","-"),MgAmenClave,0)),"")</f>
        <v/>
      </c>
      <c r="AC1955" s="20" t="n"/>
      <c r="AD1955" s="31">
        <f>IFERROR($X1955*(1-IF($AC1955="",$AL1955,VLOOKUP($AC1955,MgMad,2,0))),"")</f>
        <v/>
      </c>
      <c r="AE1955" s="28">
        <f>IFERROR(LOOKUP(AD1955,{0;0.01;0.1;1;10;100},{"Muy baja";"Muy baja";"Baja";"Media";"Alta";"Muy alta"}),"")</f>
        <v/>
      </c>
      <c r="AF1955" s="30">
        <f>T1955*AD1955</f>
        <v/>
      </c>
      <c r="AG1955" s="28">
        <f>IFERROR(LOOKUP(AF1955,{0;0.5;5;25},{"Bajo";"Medio";"Alto";"Crítico"}),"")</f>
        <v/>
      </c>
      <c r="AH1955" s="28">
        <f>IF(AG1955="","",IF(OR(AG1955="Crítico",AG1955="Alto"),"Mitigar",IF(AG1955="Medio","Mitigar","Aceptar y monitorear")))</f>
        <v/>
      </c>
      <c r="AI1955" s="21" t="n"/>
      <c r="AJ1955" s="21" t="n"/>
      <c r="AK1955" s="20" t="n"/>
      <c r="AL1955" s="77">
        <f>IFERROR(INDEX(MgAmenEfic,MATCH(SUBSTITUTE($H1955,"*","-"),MgAmenClave,0)),0)</f>
        <v/>
      </c>
    </row>
    <row r="1956" hidden="1" ht="75" customHeight="1" s="54">
      <c r="B1956" s="59" t="inlineStr">
        <is>
          <t>R-1951</t>
        </is>
      </c>
      <c r="C1956" s="59" t="inlineStr">
        <is>
          <t>FIN-20</t>
        </is>
      </c>
      <c r="D1956" s="64">
        <f>IFERROR(INDEX(MgNombre,MATCH($C1956,MgActId,0)),"")</f>
        <v/>
      </c>
      <c r="E1956" s="64">
        <f>IFERROR(INDEX(MgProceso,MATCH($C1956,MgActId,0)),"")</f>
        <v/>
      </c>
      <c r="F1956" s="64">
        <f>IFERROR(INDEX(MgTipo,MATCH($C1956,MgActId,0)),"")</f>
        <v/>
      </c>
      <c r="G1956" s="64">
        <f>IFERROR(INDEX(MgSubtipo,MATCH($C1956,MgActId,0)),"")</f>
        <v/>
      </c>
      <c r="H1956" s="59" t="inlineStr">
        <is>
          <t>E.8</t>
        </is>
      </c>
      <c r="I1956" s="64">
        <f>IFERROR(INDEX(MgAmenNombre,MATCH(SUBSTITUTE($H1956,"*","-"),MgAmenClave,0)),"")</f>
        <v/>
      </c>
      <c r="J1956" s="28">
        <f>IFERROR(INDEX(MgAmenGrupo,MATCH(SUBSTITUTE($H1956,"*","-"),MgAmenClave,0)),"")</f>
        <v/>
      </c>
      <c r="K1956" s="64">
        <f>IFERROR(INDEX('1. Matriz de Activos'!$Q$6:$Q$239,MATCH($C1956,MgActId,0)),"")</f>
        <v/>
      </c>
      <c r="L1956" s="64">
        <f>IFERROR(INDEX('1. Matriz de Activos'!$R$6:$R$239,MATCH($C1956,MgActId,0)),"")</f>
        <v/>
      </c>
      <c r="M1956" s="64">
        <f>IFERROR(INDEX('1. Matriz de Activos'!$S$6:$S$239,MATCH($C1956,MgActId,0)),"")</f>
        <v/>
      </c>
      <c r="N1956" s="28">
        <f>IFERROR(INDEX(MgAmenDegD,MATCH(SUBSTITUTE($H1956,"*","-"),MgAmenClave,0)),"No aplica")</f>
        <v/>
      </c>
      <c r="O1956" s="28">
        <f>IFERROR(INDEX(MgAmenDegI,MATCH(SUBSTITUTE($H1956,"*","-"),MgAmenClave,0)),"No aplica")</f>
        <v/>
      </c>
      <c r="P1956" s="28">
        <f>IFERROR(INDEX(MgAmenDegC,MATCH(SUBSTITUTE($H1956,"*","-"),MgAmenClave,0)),"No aplica")</f>
        <v/>
      </c>
      <c r="Q1956" s="29">
        <f>IFERROR(VLOOKUP(K1956,MgValor,2,0)*VLOOKUP(N1956,MgDeg,2,0),0)</f>
        <v/>
      </c>
      <c r="R1956" s="29">
        <f>IFERROR(VLOOKUP(L1956,MgValor,2,0)*VLOOKUP(O1956,MgDeg,2,0),0)</f>
        <v/>
      </c>
      <c r="S1956" s="29">
        <f>IFERROR(VLOOKUP(M1956,MgValor,2,0)*VLOOKUP(P1956,MgDeg,2,0),0)</f>
        <v/>
      </c>
      <c r="T1956" s="30">
        <f>MAX(Q1956:S1956)</f>
        <v/>
      </c>
      <c r="U1956" s="28">
        <f>IFERROR(LOOKUP(T1956,{0;0.5;1.5;3;4.5},{"Despreciable";"Bajo";"Medio";"Alto";"Muy alto"}),"")</f>
        <v/>
      </c>
      <c r="V1956" s="13">
        <f>IFERROR(INDEX(MgAmenFrec,MATCH(SUBSTITUTE($H1956,"*","-"),MgAmenClave,0)),"")</f>
        <v/>
      </c>
      <c r="W1956" s="28">
        <f>IFERROR(LOOKUP(X1956,{0;0.01;0.1;1;10;100},{"Muy baja";"Muy baja";"Baja";"Media";"Alta";"Muy alta"}),"")</f>
        <v/>
      </c>
      <c r="X1956" s="31">
        <f>IFERROR(VLOOKUP(V1956,MgFrec,2,0),0)</f>
        <v/>
      </c>
      <c r="Y1956" s="30">
        <f>T1956*X1956</f>
        <v/>
      </c>
      <c r="Z1956" s="28">
        <f>IFERROR(LOOKUP(Y1956,{0;0.5;5;25},{"Bajo";"Medio";"Alto";"Crítico"}),"")</f>
        <v/>
      </c>
      <c r="AA1956" s="64">
        <f>IF(T1956&gt;=3,IF(X1956&gt;=1,"Zona 1 — Crítica: impacto alto y ocurre al menos una vez al año","Zona 4 — Catastrófica poco probable: impacto alto pero excepcional"),IF(AND(T1956&lt;1.5,X1956&lt;1),"Zona 3 — Asumible: impacto bajo y muy poco frecuente","Zona 2 — Atención: riesgo intermedio"))</f>
        <v/>
      </c>
      <c r="AB1956" s="64">
        <f>IFERROR(INDEX(MgAmenCtrl,MATCH(SUBSTITUTE($H1956,"*","-"),MgAmenClave,0)),"")</f>
        <v/>
      </c>
      <c r="AC1956" s="20" t="n"/>
      <c r="AD1956" s="31">
        <f>IFERROR($X1956*(1-IF($AC1956="",$AL1956,VLOOKUP($AC1956,MgMad,2,0))),"")</f>
        <v/>
      </c>
      <c r="AE1956" s="28">
        <f>IFERROR(LOOKUP(AD1956,{0;0.01;0.1;1;10;100},{"Muy baja";"Muy baja";"Baja";"Media";"Alta";"Muy alta"}),"")</f>
        <v/>
      </c>
      <c r="AF1956" s="30">
        <f>T1956*AD1956</f>
        <v/>
      </c>
      <c r="AG1956" s="28">
        <f>IFERROR(LOOKUP(AF1956,{0;0.5;5;25},{"Bajo";"Medio";"Alto";"Crítico"}),"")</f>
        <v/>
      </c>
      <c r="AH1956" s="28">
        <f>IF(AG1956="","",IF(OR(AG1956="Crítico",AG1956="Alto"),"Mitigar",IF(AG1956="Medio","Mitigar","Aceptar y monitorear")))</f>
        <v/>
      </c>
      <c r="AI1956" s="21" t="n"/>
      <c r="AJ1956" s="21" t="n"/>
      <c r="AK1956" s="20" t="n"/>
      <c r="AL1956" s="77">
        <f>IFERROR(INDEX(MgAmenEfic,MATCH(SUBSTITUTE($H1956,"*","-"),MgAmenClave,0)),0)</f>
        <v/>
      </c>
    </row>
    <row r="1957" hidden="1" ht="60" customHeight="1" s="54">
      <c r="B1957" s="59" t="inlineStr">
        <is>
          <t>R-1952</t>
        </is>
      </c>
      <c r="C1957" s="59" t="inlineStr">
        <is>
          <t>FIN-20</t>
        </is>
      </c>
      <c r="D1957" s="64">
        <f>IFERROR(INDEX(MgNombre,MATCH($C1957,MgActId,0)),"")</f>
        <v/>
      </c>
      <c r="E1957" s="64">
        <f>IFERROR(INDEX(MgProceso,MATCH($C1957,MgActId,0)),"")</f>
        <v/>
      </c>
      <c r="F1957" s="64">
        <f>IFERROR(INDEX(MgTipo,MATCH($C1957,MgActId,0)),"")</f>
        <v/>
      </c>
      <c r="G1957" s="64">
        <f>IFERROR(INDEX(MgSubtipo,MATCH($C1957,MgActId,0)),"")</f>
        <v/>
      </c>
      <c r="H1957" s="59" t="inlineStr">
        <is>
          <t>E.9</t>
        </is>
      </c>
      <c r="I1957" s="64">
        <f>IFERROR(INDEX(MgAmenNombre,MATCH(SUBSTITUTE($H1957,"*","-"),MgAmenClave,0)),"")</f>
        <v/>
      </c>
      <c r="J1957" s="28">
        <f>IFERROR(INDEX(MgAmenGrupo,MATCH(SUBSTITUTE($H1957,"*","-"),MgAmenClave,0)),"")</f>
        <v/>
      </c>
      <c r="K1957" s="64">
        <f>IFERROR(INDEX('1. Matriz de Activos'!$Q$6:$Q$239,MATCH($C1957,MgActId,0)),"")</f>
        <v/>
      </c>
      <c r="L1957" s="64">
        <f>IFERROR(INDEX('1. Matriz de Activos'!$R$6:$R$239,MATCH($C1957,MgActId,0)),"")</f>
        <v/>
      </c>
      <c r="M1957" s="64">
        <f>IFERROR(INDEX('1. Matriz de Activos'!$S$6:$S$239,MATCH($C1957,MgActId,0)),"")</f>
        <v/>
      </c>
      <c r="N1957" s="28">
        <f>IFERROR(INDEX(MgAmenDegD,MATCH(SUBSTITUTE($H1957,"*","-"),MgAmenClave,0)),"No aplica")</f>
        <v/>
      </c>
      <c r="O1957" s="28">
        <f>IFERROR(INDEX(MgAmenDegI,MATCH(SUBSTITUTE($H1957,"*","-"),MgAmenClave,0)),"No aplica")</f>
        <v/>
      </c>
      <c r="P1957" s="28">
        <f>IFERROR(INDEX(MgAmenDegC,MATCH(SUBSTITUTE($H1957,"*","-"),MgAmenClave,0)),"No aplica")</f>
        <v/>
      </c>
      <c r="Q1957" s="29">
        <f>IFERROR(VLOOKUP(K1957,MgValor,2,0)*VLOOKUP(N1957,MgDeg,2,0),0)</f>
        <v/>
      </c>
      <c r="R1957" s="29">
        <f>IFERROR(VLOOKUP(L1957,MgValor,2,0)*VLOOKUP(O1957,MgDeg,2,0),0)</f>
        <v/>
      </c>
      <c r="S1957" s="29">
        <f>IFERROR(VLOOKUP(M1957,MgValor,2,0)*VLOOKUP(P1957,MgDeg,2,0),0)</f>
        <v/>
      </c>
      <c r="T1957" s="30">
        <f>MAX(Q1957:S1957)</f>
        <v/>
      </c>
      <c r="U1957" s="28">
        <f>IFERROR(LOOKUP(T1957,{0;0.5;1.5;3;4.5},{"Despreciable";"Bajo";"Medio";"Alto";"Muy alto"}),"")</f>
        <v/>
      </c>
      <c r="V1957" s="13">
        <f>IFERROR(INDEX(MgAmenFrec,MATCH(SUBSTITUTE($H1957,"*","-"),MgAmenClave,0)),"")</f>
        <v/>
      </c>
      <c r="W1957" s="28">
        <f>IFERROR(LOOKUP(X1957,{0;0.01;0.1;1;10;100},{"Muy baja";"Muy baja";"Baja";"Media";"Alta";"Muy alta"}),"")</f>
        <v/>
      </c>
      <c r="X1957" s="31">
        <f>IFERROR(VLOOKUP(V1957,MgFrec,2,0),0)</f>
        <v/>
      </c>
      <c r="Y1957" s="30">
        <f>T1957*X1957</f>
        <v/>
      </c>
      <c r="Z1957" s="28">
        <f>IFERROR(LOOKUP(Y1957,{0;0.5;5;25},{"Bajo";"Medio";"Alto";"Crítico"}),"")</f>
        <v/>
      </c>
      <c r="AA1957" s="64">
        <f>IF(T1957&gt;=3,IF(X1957&gt;=1,"Zona 1 — Crítica: impacto alto y ocurre al menos una vez al año","Zona 4 — Catastrófica poco probable: impacto alto pero excepcional"),IF(AND(T1957&lt;1.5,X1957&lt;1),"Zona 3 — Asumible: impacto bajo y muy poco frecuente","Zona 2 — Atención: riesgo intermedio"))</f>
        <v/>
      </c>
      <c r="AB1957" s="64">
        <f>IFERROR(INDEX(MgAmenCtrl,MATCH(SUBSTITUTE($H1957,"*","-"),MgAmenClave,0)),"")</f>
        <v/>
      </c>
      <c r="AC1957" s="20" t="n"/>
      <c r="AD1957" s="31">
        <f>IFERROR($X1957*(1-IF($AC1957="",$AL1957,VLOOKUP($AC1957,MgMad,2,0))),"")</f>
        <v/>
      </c>
      <c r="AE1957" s="28">
        <f>IFERROR(LOOKUP(AD1957,{0;0.01;0.1;1;10;100},{"Muy baja";"Muy baja";"Baja";"Media";"Alta";"Muy alta"}),"")</f>
        <v/>
      </c>
      <c r="AF1957" s="30">
        <f>T1957*AD1957</f>
        <v/>
      </c>
      <c r="AG1957" s="28">
        <f>IFERROR(LOOKUP(AF1957,{0;0.5;5;25},{"Bajo";"Medio";"Alto";"Crítico"}),"")</f>
        <v/>
      </c>
      <c r="AH1957" s="28">
        <f>IF(AG1957="","",IF(OR(AG1957="Crítico",AG1957="Alto"),"Mitigar",IF(AG1957="Medio","Mitigar","Aceptar y monitorear")))</f>
        <v/>
      </c>
      <c r="AI1957" s="21" t="n"/>
      <c r="AJ1957" s="21" t="n"/>
      <c r="AK1957" s="20" t="n"/>
      <c r="AL1957" s="77">
        <f>IFERROR(INDEX(MgAmenEfic,MATCH(SUBSTITUTE($H1957,"*","-"),MgAmenClave,0)),0)</f>
        <v/>
      </c>
    </row>
    <row r="1958" hidden="1" ht="90" customHeight="1" s="54">
      <c r="B1958" s="59" t="inlineStr">
        <is>
          <t>R-1953</t>
        </is>
      </c>
      <c r="C1958" s="59" t="inlineStr">
        <is>
          <t>FIN-20</t>
        </is>
      </c>
      <c r="D1958" s="64">
        <f>IFERROR(INDEX(MgNombre,MATCH($C1958,MgActId,0)),"")</f>
        <v/>
      </c>
      <c r="E1958" s="64">
        <f>IFERROR(INDEX(MgProceso,MATCH($C1958,MgActId,0)),"")</f>
        <v/>
      </c>
      <c r="F1958" s="64">
        <f>IFERROR(INDEX(MgTipo,MATCH($C1958,MgActId,0)),"")</f>
        <v/>
      </c>
      <c r="G1958" s="64">
        <f>IFERROR(INDEX(MgSubtipo,MATCH($C1958,MgActId,0)),"")</f>
        <v/>
      </c>
      <c r="H1958" s="59" t="inlineStr">
        <is>
          <t>E.10</t>
        </is>
      </c>
      <c r="I1958" s="64">
        <f>IFERROR(INDEX(MgAmenNombre,MATCH(SUBSTITUTE($H1958,"*","-"),MgAmenClave,0)),"")</f>
        <v/>
      </c>
      <c r="J1958" s="28">
        <f>IFERROR(INDEX(MgAmenGrupo,MATCH(SUBSTITUTE($H1958,"*","-"),MgAmenClave,0)),"")</f>
        <v/>
      </c>
      <c r="K1958" s="64">
        <f>IFERROR(INDEX('1. Matriz de Activos'!$Q$6:$Q$239,MATCH($C1958,MgActId,0)),"")</f>
        <v/>
      </c>
      <c r="L1958" s="64">
        <f>IFERROR(INDEX('1. Matriz de Activos'!$R$6:$R$239,MATCH($C1958,MgActId,0)),"")</f>
        <v/>
      </c>
      <c r="M1958" s="64">
        <f>IFERROR(INDEX('1. Matriz de Activos'!$S$6:$S$239,MATCH($C1958,MgActId,0)),"")</f>
        <v/>
      </c>
      <c r="N1958" s="28">
        <f>IFERROR(INDEX(MgAmenDegD,MATCH(SUBSTITUTE($H1958,"*","-"),MgAmenClave,0)),"No aplica")</f>
        <v/>
      </c>
      <c r="O1958" s="28">
        <f>IFERROR(INDEX(MgAmenDegI,MATCH(SUBSTITUTE($H1958,"*","-"),MgAmenClave,0)),"No aplica")</f>
        <v/>
      </c>
      <c r="P1958" s="28">
        <f>IFERROR(INDEX(MgAmenDegC,MATCH(SUBSTITUTE($H1958,"*","-"),MgAmenClave,0)),"No aplica")</f>
        <v/>
      </c>
      <c r="Q1958" s="29">
        <f>IFERROR(VLOOKUP(K1958,MgValor,2,0)*VLOOKUP(N1958,MgDeg,2,0),0)</f>
        <v/>
      </c>
      <c r="R1958" s="29">
        <f>IFERROR(VLOOKUP(L1958,MgValor,2,0)*VLOOKUP(O1958,MgDeg,2,0),0)</f>
        <v/>
      </c>
      <c r="S1958" s="29">
        <f>IFERROR(VLOOKUP(M1958,MgValor,2,0)*VLOOKUP(P1958,MgDeg,2,0),0)</f>
        <v/>
      </c>
      <c r="T1958" s="30">
        <f>MAX(Q1958:S1958)</f>
        <v/>
      </c>
      <c r="U1958" s="28">
        <f>IFERROR(LOOKUP(T1958,{0;0.5;1.5;3;4.5},{"Despreciable";"Bajo";"Medio";"Alto";"Muy alto"}),"")</f>
        <v/>
      </c>
      <c r="V1958" s="13">
        <f>IFERROR(INDEX(MgAmenFrec,MATCH(SUBSTITUTE($H1958,"*","-"),MgAmenClave,0)),"")</f>
        <v/>
      </c>
      <c r="W1958" s="28">
        <f>IFERROR(LOOKUP(X1958,{0;0.01;0.1;1;10;100},{"Muy baja";"Muy baja";"Baja";"Media";"Alta";"Muy alta"}),"")</f>
        <v/>
      </c>
      <c r="X1958" s="31">
        <f>IFERROR(VLOOKUP(V1958,MgFrec,2,0),0)</f>
        <v/>
      </c>
      <c r="Y1958" s="30">
        <f>T1958*X1958</f>
        <v/>
      </c>
      <c r="Z1958" s="28">
        <f>IFERROR(LOOKUP(Y1958,{0;0.5;5;25},{"Bajo";"Medio";"Alto";"Crítico"}),"")</f>
        <v/>
      </c>
      <c r="AA1958" s="64">
        <f>IF(T1958&gt;=3,IF(X1958&gt;=1,"Zona 1 — Crítica: impacto alto y ocurre al menos una vez al año","Zona 4 — Catastrófica poco probable: impacto alto pero excepcional"),IF(AND(T1958&lt;1.5,X1958&lt;1),"Zona 3 — Asumible: impacto bajo y muy poco frecuente","Zona 2 — Atención: riesgo intermedio"))</f>
        <v/>
      </c>
      <c r="AB1958" s="64">
        <f>IFERROR(INDEX(MgAmenCtrl,MATCH(SUBSTITUTE($H1958,"*","-"),MgAmenClave,0)),"")</f>
        <v/>
      </c>
      <c r="AC1958" s="20" t="n"/>
      <c r="AD1958" s="31">
        <f>IFERROR($X1958*(1-IF($AC1958="",$AL1958,VLOOKUP($AC1958,MgMad,2,0))),"")</f>
        <v/>
      </c>
      <c r="AE1958" s="28">
        <f>IFERROR(LOOKUP(AD1958,{0;0.01;0.1;1;10;100},{"Muy baja";"Muy baja";"Baja";"Media";"Alta";"Muy alta"}),"")</f>
        <v/>
      </c>
      <c r="AF1958" s="30">
        <f>T1958*AD1958</f>
        <v/>
      </c>
      <c r="AG1958" s="28">
        <f>IFERROR(LOOKUP(AF1958,{0;0.5;5;25},{"Bajo";"Medio";"Alto";"Crítico"}),"")</f>
        <v/>
      </c>
      <c r="AH1958" s="28">
        <f>IF(AG1958="","",IF(OR(AG1958="Crítico",AG1958="Alto"),"Mitigar",IF(AG1958="Medio","Mitigar","Aceptar y monitorear")))</f>
        <v/>
      </c>
      <c r="AI1958" s="21" t="n"/>
      <c r="AJ1958" s="21" t="n"/>
      <c r="AK1958" s="20" t="n"/>
      <c r="AL1958" s="77">
        <f>IFERROR(INDEX(MgAmenEfic,MATCH(SUBSTITUTE($H1958,"*","-"),MgAmenClave,0)),0)</f>
        <v/>
      </c>
    </row>
    <row r="1959" hidden="1" ht="90" customHeight="1" s="54">
      <c r="B1959" s="59" t="inlineStr">
        <is>
          <t>R-1954</t>
        </is>
      </c>
      <c r="C1959" s="59" t="inlineStr">
        <is>
          <t>FIN-20</t>
        </is>
      </c>
      <c r="D1959" s="64">
        <f>IFERROR(INDEX(MgNombre,MATCH($C1959,MgActId,0)),"")</f>
        <v/>
      </c>
      <c r="E1959" s="64">
        <f>IFERROR(INDEX(MgProceso,MATCH($C1959,MgActId,0)),"")</f>
        <v/>
      </c>
      <c r="F1959" s="64">
        <f>IFERROR(INDEX(MgTipo,MATCH($C1959,MgActId,0)),"")</f>
        <v/>
      </c>
      <c r="G1959" s="64">
        <f>IFERROR(INDEX(MgSubtipo,MATCH($C1959,MgActId,0)),"")</f>
        <v/>
      </c>
      <c r="H1959" s="59" t="inlineStr">
        <is>
          <t>E.14</t>
        </is>
      </c>
      <c r="I1959" s="64">
        <f>IFERROR(INDEX(MgAmenNombre,MATCH(SUBSTITUTE($H1959,"*","-"),MgAmenClave,0)),"")</f>
        <v/>
      </c>
      <c r="J1959" s="28">
        <f>IFERROR(INDEX(MgAmenGrupo,MATCH(SUBSTITUTE($H1959,"*","-"),MgAmenClave,0)),"")</f>
        <v/>
      </c>
      <c r="K1959" s="64">
        <f>IFERROR(INDEX('1. Matriz de Activos'!$Q$6:$Q$239,MATCH($C1959,MgActId,0)),"")</f>
        <v/>
      </c>
      <c r="L1959" s="64">
        <f>IFERROR(INDEX('1. Matriz de Activos'!$R$6:$R$239,MATCH($C1959,MgActId,0)),"")</f>
        <v/>
      </c>
      <c r="M1959" s="64">
        <f>IFERROR(INDEX('1. Matriz de Activos'!$S$6:$S$239,MATCH($C1959,MgActId,0)),"")</f>
        <v/>
      </c>
      <c r="N1959" s="28">
        <f>IFERROR(INDEX(MgAmenDegD,MATCH(SUBSTITUTE($H1959,"*","-"),MgAmenClave,0)),"No aplica")</f>
        <v/>
      </c>
      <c r="O1959" s="28">
        <f>IFERROR(INDEX(MgAmenDegI,MATCH(SUBSTITUTE($H1959,"*","-"),MgAmenClave,0)),"No aplica")</f>
        <v/>
      </c>
      <c r="P1959" s="28">
        <f>IFERROR(INDEX(MgAmenDegC,MATCH(SUBSTITUTE($H1959,"*","-"),MgAmenClave,0)),"No aplica")</f>
        <v/>
      </c>
      <c r="Q1959" s="29">
        <f>IFERROR(VLOOKUP(K1959,MgValor,2,0)*VLOOKUP(N1959,MgDeg,2,0),0)</f>
        <v/>
      </c>
      <c r="R1959" s="29">
        <f>IFERROR(VLOOKUP(L1959,MgValor,2,0)*VLOOKUP(O1959,MgDeg,2,0),0)</f>
        <v/>
      </c>
      <c r="S1959" s="29">
        <f>IFERROR(VLOOKUP(M1959,MgValor,2,0)*VLOOKUP(P1959,MgDeg,2,0),0)</f>
        <v/>
      </c>
      <c r="T1959" s="30">
        <f>MAX(Q1959:S1959)</f>
        <v/>
      </c>
      <c r="U1959" s="28">
        <f>IFERROR(LOOKUP(T1959,{0;0.5;1.5;3;4.5},{"Despreciable";"Bajo";"Medio";"Alto";"Muy alto"}),"")</f>
        <v/>
      </c>
      <c r="V1959" s="13">
        <f>IFERROR(INDEX(MgAmenFrec,MATCH(SUBSTITUTE($H1959,"*","-"),MgAmenClave,0)),"")</f>
        <v/>
      </c>
      <c r="W1959" s="28">
        <f>IFERROR(LOOKUP(X1959,{0;0.01;0.1;1;10;100},{"Muy baja";"Muy baja";"Baja";"Media";"Alta";"Muy alta"}),"")</f>
        <v/>
      </c>
      <c r="X1959" s="31">
        <f>IFERROR(VLOOKUP(V1959,MgFrec,2,0),0)</f>
        <v/>
      </c>
      <c r="Y1959" s="30">
        <f>T1959*X1959</f>
        <v/>
      </c>
      <c r="Z1959" s="28">
        <f>IFERROR(LOOKUP(Y1959,{0;0.5;5;25},{"Bajo";"Medio";"Alto";"Crítico"}),"")</f>
        <v/>
      </c>
      <c r="AA1959" s="64">
        <f>IF(T1959&gt;=3,IF(X1959&gt;=1,"Zona 1 — Crítica: impacto alto y ocurre al menos una vez al año","Zona 4 — Catastrófica poco probable: impacto alto pero excepcional"),IF(AND(T1959&lt;1.5,X1959&lt;1),"Zona 3 — Asumible: impacto bajo y muy poco frecuente","Zona 2 — Atención: riesgo intermedio"))</f>
        <v/>
      </c>
      <c r="AB1959" s="64">
        <f>IFERROR(INDEX(MgAmenCtrl,MATCH(SUBSTITUTE($H1959,"*","-"),MgAmenClave,0)),"")</f>
        <v/>
      </c>
      <c r="AC1959" s="20" t="n"/>
      <c r="AD1959" s="31">
        <f>IFERROR($X1959*(1-IF($AC1959="",$AL1959,VLOOKUP($AC1959,MgMad,2,0))),"")</f>
        <v/>
      </c>
      <c r="AE1959" s="28">
        <f>IFERROR(LOOKUP(AD1959,{0;0.01;0.1;1;10;100},{"Muy baja";"Muy baja";"Baja";"Media";"Alta";"Muy alta"}),"")</f>
        <v/>
      </c>
      <c r="AF1959" s="30">
        <f>T1959*AD1959</f>
        <v/>
      </c>
      <c r="AG1959" s="28">
        <f>IFERROR(LOOKUP(AF1959,{0;0.5;5;25},{"Bajo";"Medio";"Alto";"Crítico"}),"")</f>
        <v/>
      </c>
      <c r="AH1959" s="28">
        <f>IF(AG1959="","",IF(OR(AG1959="Crítico",AG1959="Alto"),"Mitigar",IF(AG1959="Medio","Mitigar","Aceptar y monitorear")))</f>
        <v/>
      </c>
      <c r="AI1959" s="21" t="n"/>
      <c r="AJ1959" s="21" t="n"/>
      <c r="AK1959" s="20" t="n"/>
      <c r="AL1959" s="77">
        <f>IFERROR(INDEX(MgAmenEfic,MATCH(SUBSTITUTE($H1959,"*","-"),MgAmenClave,0)),0)</f>
        <v/>
      </c>
    </row>
    <row r="1960" hidden="1" ht="90" customHeight="1" s="54">
      <c r="B1960" s="59" t="inlineStr">
        <is>
          <t>R-1955</t>
        </is>
      </c>
      <c r="C1960" s="59" t="inlineStr">
        <is>
          <t>FIN-20</t>
        </is>
      </c>
      <c r="D1960" s="64">
        <f>IFERROR(INDEX(MgNombre,MATCH($C1960,MgActId,0)),"")</f>
        <v/>
      </c>
      <c r="E1960" s="64">
        <f>IFERROR(INDEX(MgProceso,MATCH($C1960,MgActId,0)),"")</f>
        <v/>
      </c>
      <c r="F1960" s="64">
        <f>IFERROR(INDEX(MgTipo,MATCH($C1960,MgActId,0)),"")</f>
        <v/>
      </c>
      <c r="G1960" s="64">
        <f>IFERROR(INDEX(MgSubtipo,MATCH($C1960,MgActId,0)),"")</f>
        <v/>
      </c>
      <c r="H1960" s="59" t="inlineStr">
        <is>
          <t>E.15</t>
        </is>
      </c>
      <c r="I1960" s="64">
        <f>IFERROR(INDEX(MgAmenNombre,MATCH(SUBSTITUTE($H1960,"*","-"),MgAmenClave,0)),"")</f>
        <v/>
      </c>
      <c r="J1960" s="28">
        <f>IFERROR(INDEX(MgAmenGrupo,MATCH(SUBSTITUTE($H1960,"*","-"),MgAmenClave,0)),"")</f>
        <v/>
      </c>
      <c r="K1960" s="64">
        <f>IFERROR(INDEX('1. Matriz de Activos'!$Q$6:$Q$239,MATCH($C1960,MgActId,0)),"")</f>
        <v/>
      </c>
      <c r="L1960" s="64">
        <f>IFERROR(INDEX('1. Matriz de Activos'!$R$6:$R$239,MATCH($C1960,MgActId,0)),"")</f>
        <v/>
      </c>
      <c r="M1960" s="64">
        <f>IFERROR(INDEX('1. Matriz de Activos'!$S$6:$S$239,MATCH($C1960,MgActId,0)),"")</f>
        <v/>
      </c>
      <c r="N1960" s="28">
        <f>IFERROR(INDEX(MgAmenDegD,MATCH(SUBSTITUTE($H1960,"*","-"),MgAmenClave,0)),"No aplica")</f>
        <v/>
      </c>
      <c r="O1960" s="28">
        <f>IFERROR(INDEX(MgAmenDegI,MATCH(SUBSTITUTE($H1960,"*","-"),MgAmenClave,0)),"No aplica")</f>
        <v/>
      </c>
      <c r="P1960" s="28">
        <f>IFERROR(INDEX(MgAmenDegC,MATCH(SUBSTITUTE($H1960,"*","-"),MgAmenClave,0)),"No aplica")</f>
        <v/>
      </c>
      <c r="Q1960" s="29">
        <f>IFERROR(VLOOKUP(K1960,MgValor,2,0)*VLOOKUP(N1960,MgDeg,2,0),0)</f>
        <v/>
      </c>
      <c r="R1960" s="29">
        <f>IFERROR(VLOOKUP(L1960,MgValor,2,0)*VLOOKUP(O1960,MgDeg,2,0),0)</f>
        <v/>
      </c>
      <c r="S1960" s="29">
        <f>IFERROR(VLOOKUP(M1960,MgValor,2,0)*VLOOKUP(P1960,MgDeg,2,0),0)</f>
        <v/>
      </c>
      <c r="T1960" s="30">
        <f>MAX(Q1960:S1960)</f>
        <v/>
      </c>
      <c r="U1960" s="28">
        <f>IFERROR(LOOKUP(T1960,{0;0.5;1.5;3;4.5},{"Despreciable";"Bajo";"Medio";"Alto";"Muy alto"}),"")</f>
        <v/>
      </c>
      <c r="V1960" s="13">
        <f>IFERROR(INDEX(MgAmenFrec,MATCH(SUBSTITUTE($H1960,"*","-"),MgAmenClave,0)),"")</f>
        <v/>
      </c>
      <c r="W1960" s="28">
        <f>IFERROR(LOOKUP(X1960,{0;0.01;0.1;1;10;100},{"Muy baja";"Muy baja";"Baja";"Media";"Alta";"Muy alta"}),"")</f>
        <v/>
      </c>
      <c r="X1960" s="31">
        <f>IFERROR(VLOOKUP(V1960,MgFrec,2,0),0)</f>
        <v/>
      </c>
      <c r="Y1960" s="30">
        <f>T1960*X1960</f>
        <v/>
      </c>
      <c r="Z1960" s="28">
        <f>IFERROR(LOOKUP(Y1960,{0;0.5;5;25},{"Bajo";"Medio";"Alto";"Crítico"}),"")</f>
        <v/>
      </c>
      <c r="AA1960" s="64">
        <f>IF(T1960&gt;=3,IF(X1960&gt;=1,"Zona 1 — Crítica: impacto alto y ocurre al menos una vez al año","Zona 4 — Catastrófica poco probable: impacto alto pero excepcional"),IF(AND(T1960&lt;1.5,X1960&lt;1),"Zona 3 — Asumible: impacto bajo y muy poco frecuente","Zona 2 — Atención: riesgo intermedio"))</f>
        <v/>
      </c>
      <c r="AB1960" s="64">
        <f>IFERROR(INDEX(MgAmenCtrl,MATCH(SUBSTITUTE($H1960,"*","-"),MgAmenClave,0)),"")</f>
        <v/>
      </c>
      <c r="AC1960" s="20" t="n"/>
      <c r="AD1960" s="31">
        <f>IFERROR($X1960*(1-IF($AC1960="",$AL1960,VLOOKUP($AC1960,MgMad,2,0))),"")</f>
        <v/>
      </c>
      <c r="AE1960" s="28">
        <f>IFERROR(LOOKUP(AD1960,{0;0.01;0.1;1;10;100},{"Muy baja";"Muy baja";"Baja";"Media";"Alta";"Muy alta"}),"")</f>
        <v/>
      </c>
      <c r="AF1960" s="30">
        <f>T1960*AD1960</f>
        <v/>
      </c>
      <c r="AG1960" s="28">
        <f>IFERROR(LOOKUP(AF1960,{0;0.5;5;25},{"Bajo";"Medio";"Alto";"Crítico"}),"")</f>
        <v/>
      </c>
      <c r="AH1960" s="28">
        <f>IF(AG1960="","",IF(OR(AG1960="Crítico",AG1960="Alto"),"Mitigar",IF(AG1960="Medio","Mitigar","Aceptar y monitorear")))</f>
        <v/>
      </c>
      <c r="AI1960" s="21" t="n"/>
      <c r="AJ1960" s="21" t="n"/>
      <c r="AK1960" s="20" t="n"/>
      <c r="AL1960" s="77">
        <f>IFERROR(INDEX(MgAmenEfic,MATCH(SUBSTITUTE($H1960,"*","-"),MgAmenClave,0)),0)</f>
        <v/>
      </c>
    </row>
    <row r="1961" hidden="1" ht="60" customHeight="1" s="54">
      <c r="B1961" s="59" t="inlineStr">
        <is>
          <t>R-1956</t>
        </is>
      </c>
      <c r="C1961" s="59" t="inlineStr">
        <is>
          <t>FIN-20</t>
        </is>
      </c>
      <c r="D1961" s="64">
        <f>IFERROR(INDEX(MgNombre,MATCH($C1961,MgActId,0)),"")</f>
        <v/>
      </c>
      <c r="E1961" s="64">
        <f>IFERROR(INDEX(MgProceso,MATCH($C1961,MgActId,0)),"")</f>
        <v/>
      </c>
      <c r="F1961" s="64">
        <f>IFERROR(INDEX(MgTipo,MATCH($C1961,MgActId,0)),"")</f>
        <v/>
      </c>
      <c r="G1961" s="64">
        <f>IFERROR(INDEX(MgSubtipo,MATCH($C1961,MgActId,0)),"")</f>
        <v/>
      </c>
      <c r="H1961" s="59" t="inlineStr">
        <is>
          <t>E.18</t>
        </is>
      </c>
      <c r="I1961" s="64">
        <f>IFERROR(INDEX(MgAmenNombre,MATCH(SUBSTITUTE($H1961,"*","-"),MgAmenClave,0)),"")</f>
        <v/>
      </c>
      <c r="J1961" s="28">
        <f>IFERROR(INDEX(MgAmenGrupo,MATCH(SUBSTITUTE($H1961,"*","-"),MgAmenClave,0)),"")</f>
        <v/>
      </c>
      <c r="K1961" s="64">
        <f>IFERROR(INDEX('1. Matriz de Activos'!$Q$6:$Q$239,MATCH($C1961,MgActId,0)),"")</f>
        <v/>
      </c>
      <c r="L1961" s="64">
        <f>IFERROR(INDEX('1. Matriz de Activos'!$R$6:$R$239,MATCH($C1961,MgActId,0)),"")</f>
        <v/>
      </c>
      <c r="M1961" s="64">
        <f>IFERROR(INDEX('1. Matriz de Activos'!$S$6:$S$239,MATCH($C1961,MgActId,0)),"")</f>
        <v/>
      </c>
      <c r="N1961" s="28">
        <f>IFERROR(INDEX(MgAmenDegD,MATCH(SUBSTITUTE($H1961,"*","-"),MgAmenClave,0)),"No aplica")</f>
        <v/>
      </c>
      <c r="O1961" s="28">
        <f>IFERROR(INDEX(MgAmenDegI,MATCH(SUBSTITUTE($H1961,"*","-"),MgAmenClave,0)),"No aplica")</f>
        <v/>
      </c>
      <c r="P1961" s="28">
        <f>IFERROR(INDEX(MgAmenDegC,MATCH(SUBSTITUTE($H1961,"*","-"),MgAmenClave,0)),"No aplica")</f>
        <v/>
      </c>
      <c r="Q1961" s="29">
        <f>IFERROR(VLOOKUP(K1961,MgValor,2,0)*VLOOKUP(N1961,MgDeg,2,0),0)</f>
        <v/>
      </c>
      <c r="R1961" s="29">
        <f>IFERROR(VLOOKUP(L1961,MgValor,2,0)*VLOOKUP(O1961,MgDeg,2,0),0)</f>
        <v/>
      </c>
      <c r="S1961" s="29">
        <f>IFERROR(VLOOKUP(M1961,MgValor,2,0)*VLOOKUP(P1961,MgDeg,2,0),0)</f>
        <v/>
      </c>
      <c r="T1961" s="30">
        <f>MAX(Q1961:S1961)</f>
        <v/>
      </c>
      <c r="U1961" s="28">
        <f>IFERROR(LOOKUP(T1961,{0;0.5;1.5;3;4.5},{"Despreciable";"Bajo";"Medio";"Alto";"Muy alto"}),"")</f>
        <v/>
      </c>
      <c r="V1961" s="13">
        <f>IFERROR(INDEX(MgAmenFrec,MATCH(SUBSTITUTE($H1961,"*","-"),MgAmenClave,0)),"")</f>
        <v/>
      </c>
      <c r="W1961" s="28">
        <f>IFERROR(LOOKUP(X1961,{0;0.01;0.1;1;10;100},{"Muy baja";"Muy baja";"Baja";"Media";"Alta";"Muy alta"}),"")</f>
        <v/>
      </c>
      <c r="X1961" s="31">
        <f>IFERROR(VLOOKUP(V1961,MgFrec,2,0),0)</f>
        <v/>
      </c>
      <c r="Y1961" s="30">
        <f>T1961*X1961</f>
        <v/>
      </c>
      <c r="Z1961" s="28">
        <f>IFERROR(LOOKUP(Y1961,{0;0.5;5;25},{"Bajo";"Medio";"Alto";"Crítico"}),"")</f>
        <v/>
      </c>
      <c r="AA1961" s="64">
        <f>IF(T1961&gt;=3,IF(X1961&gt;=1,"Zona 1 — Crítica: impacto alto y ocurre al menos una vez al año","Zona 4 — Catastrófica poco probable: impacto alto pero excepcional"),IF(AND(T1961&lt;1.5,X1961&lt;1),"Zona 3 — Asumible: impacto bajo y muy poco frecuente","Zona 2 — Atención: riesgo intermedio"))</f>
        <v/>
      </c>
      <c r="AB1961" s="64">
        <f>IFERROR(INDEX(MgAmenCtrl,MATCH(SUBSTITUTE($H1961,"*","-"),MgAmenClave,0)),"")</f>
        <v/>
      </c>
      <c r="AC1961" s="20" t="n"/>
      <c r="AD1961" s="31">
        <f>IFERROR($X1961*(1-IF($AC1961="",$AL1961,VLOOKUP($AC1961,MgMad,2,0))),"")</f>
        <v/>
      </c>
      <c r="AE1961" s="28">
        <f>IFERROR(LOOKUP(AD1961,{0;0.01;0.1;1;10;100},{"Muy baja";"Muy baja";"Baja";"Media";"Alta";"Muy alta"}),"")</f>
        <v/>
      </c>
      <c r="AF1961" s="30">
        <f>T1961*AD1961</f>
        <v/>
      </c>
      <c r="AG1961" s="28">
        <f>IFERROR(LOOKUP(AF1961,{0;0.5;5;25},{"Bajo";"Medio";"Alto";"Crítico"}),"")</f>
        <v/>
      </c>
      <c r="AH1961" s="28">
        <f>IF(AG1961="","",IF(OR(AG1961="Crítico",AG1961="Alto"),"Mitigar",IF(AG1961="Medio","Mitigar","Aceptar y monitorear")))</f>
        <v/>
      </c>
      <c r="AI1961" s="21" t="n"/>
      <c r="AJ1961" s="21" t="n"/>
      <c r="AK1961" s="20" t="n"/>
      <c r="AL1961" s="77">
        <f>IFERROR(INDEX(MgAmenEfic,MATCH(SUBSTITUTE($H1961,"*","-"),MgAmenClave,0)),0)</f>
        <v/>
      </c>
    </row>
    <row r="1962" hidden="1" ht="105" customHeight="1" s="54">
      <c r="B1962" s="59" t="inlineStr">
        <is>
          <t>R-1957</t>
        </is>
      </c>
      <c r="C1962" s="59" t="inlineStr">
        <is>
          <t>FIN-20</t>
        </is>
      </c>
      <c r="D1962" s="64">
        <f>IFERROR(INDEX(MgNombre,MATCH($C1962,MgActId,0)),"")</f>
        <v/>
      </c>
      <c r="E1962" s="64">
        <f>IFERROR(INDEX(MgProceso,MATCH($C1962,MgActId,0)),"")</f>
        <v/>
      </c>
      <c r="F1962" s="64">
        <f>IFERROR(INDEX(MgTipo,MATCH($C1962,MgActId,0)),"")</f>
        <v/>
      </c>
      <c r="G1962" s="64">
        <f>IFERROR(INDEX(MgSubtipo,MATCH($C1962,MgActId,0)),"")</f>
        <v/>
      </c>
      <c r="H1962" s="59" t="inlineStr">
        <is>
          <t>E.19</t>
        </is>
      </c>
      <c r="I1962" s="64">
        <f>IFERROR(INDEX(MgAmenNombre,MATCH(SUBSTITUTE($H1962,"*","-"),MgAmenClave,0)),"")</f>
        <v/>
      </c>
      <c r="J1962" s="28">
        <f>IFERROR(INDEX(MgAmenGrupo,MATCH(SUBSTITUTE($H1962,"*","-"),MgAmenClave,0)),"")</f>
        <v/>
      </c>
      <c r="K1962" s="64">
        <f>IFERROR(INDEX('1. Matriz de Activos'!$Q$6:$Q$239,MATCH($C1962,MgActId,0)),"")</f>
        <v/>
      </c>
      <c r="L1962" s="64">
        <f>IFERROR(INDEX('1. Matriz de Activos'!$R$6:$R$239,MATCH($C1962,MgActId,0)),"")</f>
        <v/>
      </c>
      <c r="M1962" s="64">
        <f>IFERROR(INDEX('1. Matriz de Activos'!$S$6:$S$239,MATCH($C1962,MgActId,0)),"")</f>
        <v/>
      </c>
      <c r="N1962" s="28">
        <f>IFERROR(INDEX(MgAmenDegD,MATCH(SUBSTITUTE($H1962,"*","-"),MgAmenClave,0)),"No aplica")</f>
        <v/>
      </c>
      <c r="O1962" s="28">
        <f>IFERROR(INDEX(MgAmenDegI,MATCH(SUBSTITUTE($H1962,"*","-"),MgAmenClave,0)),"No aplica")</f>
        <v/>
      </c>
      <c r="P1962" s="28">
        <f>IFERROR(INDEX(MgAmenDegC,MATCH(SUBSTITUTE($H1962,"*","-"),MgAmenClave,0)),"No aplica")</f>
        <v/>
      </c>
      <c r="Q1962" s="29">
        <f>IFERROR(VLOOKUP(K1962,MgValor,2,0)*VLOOKUP(N1962,MgDeg,2,0),0)</f>
        <v/>
      </c>
      <c r="R1962" s="29">
        <f>IFERROR(VLOOKUP(L1962,MgValor,2,0)*VLOOKUP(O1962,MgDeg,2,0),0)</f>
        <v/>
      </c>
      <c r="S1962" s="29">
        <f>IFERROR(VLOOKUP(M1962,MgValor,2,0)*VLOOKUP(P1962,MgDeg,2,0),0)</f>
        <v/>
      </c>
      <c r="T1962" s="30">
        <f>MAX(Q1962:S1962)</f>
        <v/>
      </c>
      <c r="U1962" s="28">
        <f>IFERROR(LOOKUP(T1962,{0;0.5;1.5;3;4.5},{"Despreciable";"Bajo";"Medio";"Alto";"Muy alto"}),"")</f>
        <v/>
      </c>
      <c r="V1962" s="13">
        <f>IFERROR(INDEX(MgAmenFrec,MATCH(SUBSTITUTE($H1962,"*","-"),MgAmenClave,0)),"")</f>
        <v/>
      </c>
      <c r="W1962" s="28">
        <f>IFERROR(LOOKUP(X1962,{0;0.01;0.1;1;10;100},{"Muy baja";"Muy baja";"Baja";"Media";"Alta";"Muy alta"}),"")</f>
        <v/>
      </c>
      <c r="X1962" s="31">
        <f>IFERROR(VLOOKUP(V1962,MgFrec,2,0),0)</f>
        <v/>
      </c>
      <c r="Y1962" s="30">
        <f>T1962*X1962</f>
        <v/>
      </c>
      <c r="Z1962" s="28">
        <f>IFERROR(LOOKUP(Y1962,{0;0.5;5;25},{"Bajo";"Medio";"Alto";"Crítico"}),"")</f>
        <v/>
      </c>
      <c r="AA1962" s="64">
        <f>IF(T1962&gt;=3,IF(X1962&gt;=1,"Zona 1 — Crítica: impacto alto y ocurre al menos una vez al año","Zona 4 — Catastrófica poco probable: impacto alto pero excepcional"),IF(AND(T1962&lt;1.5,X1962&lt;1),"Zona 3 — Asumible: impacto bajo y muy poco frecuente","Zona 2 — Atención: riesgo intermedio"))</f>
        <v/>
      </c>
      <c r="AB1962" s="64">
        <f>IFERROR(INDEX(MgAmenCtrl,MATCH(SUBSTITUTE($H1962,"*","-"),MgAmenClave,0)),"")</f>
        <v/>
      </c>
      <c r="AC1962" s="20" t="n"/>
      <c r="AD1962" s="31">
        <f>IFERROR($X1962*(1-IF($AC1962="",$AL1962,VLOOKUP($AC1962,MgMad,2,0))),"")</f>
        <v/>
      </c>
      <c r="AE1962" s="28">
        <f>IFERROR(LOOKUP(AD1962,{0;0.01;0.1;1;10;100},{"Muy baja";"Muy baja";"Baja";"Media";"Alta";"Muy alta"}),"")</f>
        <v/>
      </c>
      <c r="AF1962" s="30">
        <f>T1962*AD1962</f>
        <v/>
      </c>
      <c r="AG1962" s="28">
        <f>IFERROR(LOOKUP(AF1962,{0;0.5;5;25},{"Bajo";"Medio";"Alto";"Crítico"}),"")</f>
        <v/>
      </c>
      <c r="AH1962" s="28">
        <f>IF(AG1962="","",IF(OR(AG1962="Crítico",AG1962="Alto"),"Mitigar",IF(AG1962="Medio","Mitigar","Aceptar y monitorear")))</f>
        <v/>
      </c>
      <c r="AI1962" s="21" t="n"/>
      <c r="AJ1962" s="21" t="n"/>
      <c r="AK1962" s="20" t="n"/>
      <c r="AL1962" s="77">
        <f>IFERROR(INDEX(MgAmenEfic,MATCH(SUBSTITUTE($H1962,"*","-"),MgAmenClave,0)),0)</f>
        <v/>
      </c>
    </row>
    <row r="1963" hidden="1" ht="105" customHeight="1" s="54">
      <c r="B1963" s="59" t="inlineStr">
        <is>
          <t>R-1958</t>
        </is>
      </c>
      <c r="C1963" s="59" t="inlineStr">
        <is>
          <t>FIN-20</t>
        </is>
      </c>
      <c r="D1963" s="64">
        <f>IFERROR(INDEX(MgNombre,MATCH($C1963,MgActId,0)),"")</f>
        <v/>
      </c>
      <c r="E1963" s="64">
        <f>IFERROR(INDEX(MgProceso,MATCH($C1963,MgActId,0)),"")</f>
        <v/>
      </c>
      <c r="F1963" s="64">
        <f>IFERROR(INDEX(MgTipo,MATCH($C1963,MgActId,0)),"")</f>
        <v/>
      </c>
      <c r="G1963" s="64">
        <f>IFERROR(INDEX(MgSubtipo,MATCH($C1963,MgActId,0)),"")</f>
        <v/>
      </c>
      <c r="H1963" s="59" t="inlineStr">
        <is>
          <t>E.20</t>
        </is>
      </c>
      <c r="I1963" s="64">
        <f>IFERROR(INDEX(MgAmenNombre,MATCH(SUBSTITUTE($H1963,"*","-"),MgAmenClave,0)),"")</f>
        <v/>
      </c>
      <c r="J1963" s="28">
        <f>IFERROR(INDEX(MgAmenGrupo,MATCH(SUBSTITUTE($H1963,"*","-"),MgAmenClave,0)),"")</f>
        <v/>
      </c>
      <c r="K1963" s="64">
        <f>IFERROR(INDEX('1. Matriz de Activos'!$Q$6:$Q$239,MATCH($C1963,MgActId,0)),"")</f>
        <v/>
      </c>
      <c r="L1963" s="64">
        <f>IFERROR(INDEX('1. Matriz de Activos'!$R$6:$R$239,MATCH($C1963,MgActId,0)),"")</f>
        <v/>
      </c>
      <c r="M1963" s="64">
        <f>IFERROR(INDEX('1. Matriz de Activos'!$S$6:$S$239,MATCH($C1963,MgActId,0)),"")</f>
        <v/>
      </c>
      <c r="N1963" s="28">
        <f>IFERROR(INDEX(MgAmenDegD,MATCH(SUBSTITUTE($H1963,"*","-"),MgAmenClave,0)),"No aplica")</f>
        <v/>
      </c>
      <c r="O1963" s="28">
        <f>IFERROR(INDEX(MgAmenDegI,MATCH(SUBSTITUTE($H1963,"*","-"),MgAmenClave,0)),"No aplica")</f>
        <v/>
      </c>
      <c r="P1963" s="28">
        <f>IFERROR(INDEX(MgAmenDegC,MATCH(SUBSTITUTE($H1963,"*","-"),MgAmenClave,0)),"No aplica")</f>
        <v/>
      </c>
      <c r="Q1963" s="29">
        <f>IFERROR(VLOOKUP(K1963,MgValor,2,0)*VLOOKUP(N1963,MgDeg,2,0),0)</f>
        <v/>
      </c>
      <c r="R1963" s="29">
        <f>IFERROR(VLOOKUP(L1963,MgValor,2,0)*VLOOKUP(O1963,MgDeg,2,0),0)</f>
        <v/>
      </c>
      <c r="S1963" s="29">
        <f>IFERROR(VLOOKUP(M1963,MgValor,2,0)*VLOOKUP(P1963,MgDeg,2,0),0)</f>
        <v/>
      </c>
      <c r="T1963" s="30">
        <f>MAX(Q1963:S1963)</f>
        <v/>
      </c>
      <c r="U1963" s="28">
        <f>IFERROR(LOOKUP(T1963,{0;0.5;1.5;3;4.5},{"Despreciable";"Bajo";"Medio";"Alto";"Muy alto"}),"")</f>
        <v/>
      </c>
      <c r="V1963" s="13">
        <f>IFERROR(INDEX(MgAmenFrec,MATCH(SUBSTITUTE($H1963,"*","-"),MgAmenClave,0)),"")</f>
        <v/>
      </c>
      <c r="W1963" s="28">
        <f>IFERROR(LOOKUP(X1963,{0;0.01;0.1;1;10;100},{"Muy baja";"Muy baja";"Baja";"Media";"Alta";"Muy alta"}),"")</f>
        <v/>
      </c>
      <c r="X1963" s="31">
        <f>IFERROR(VLOOKUP(V1963,MgFrec,2,0),0)</f>
        <v/>
      </c>
      <c r="Y1963" s="30">
        <f>T1963*X1963</f>
        <v/>
      </c>
      <c r="Z1963" s="28">
        <f>IFERROR(LOOKUP(Y1963,{0;0.5;5;25},{"Bajo";"Medio";"Alto";"Crítico"}),"")</f>
        <v/>
      </c>
      <c r="AA1963" s="64">
        <f>IF(T1963&gt;=3,IF(X1963&gt;=1,"Zona 1 — Crítica: impacto alto y ocurre al menos una vez al año","Zona 4 — Catastrófica poco probable: impacto alto pero excepcional"),IF(AND(T1963&lt;1.5,X1963&lt;1),"Zona 3 — Asumible: impacto bajo y muy poco frecuente","Zona 2 — Atención: riesgo intermedio"))</f>
        <v/>
      </c>
      <c r="AB1963" s="64">
        <f>IFERROR(INDEX(MgAmenCtrl,MATCH(SUBSTITUTE($H1963,"*","-"),MgAmenClave,0)),"")</f>
        <v/>
      </c>
      <c r="AC1963" s="20" t="n"/>
      <c r="AD1963" s="31">
        <f>IFERROR($X1963*(1-IF($AC1963="",$AL1963,VLOOKUP($AC1963,MgMad,2,0))),"")</f>
        <v/>
      </c>
      <c r="AE1963" s="28">
        <f>IFERROR(LOOKUP(AD1963,{0;0.01;0.1;1;10;100},{"Muy baja";"Muy baja";"Baja";"Media";"Alta";"Muy alta"}),"")</f>
        <v/>
      </c>
      <c r="AF1963" s="30">
        <f>T1963*AD1963</f>
        <v/>
      </c>
      <c r="AG1963" s="28">
        <f>IFERROR(LOOKUP(AF1963,{0;0.5;5;25},{"Bajo";"Medio";"Alto";"Crítico"}),"")</f>
        <v/>
      </c>
      <c r="AH1963" s="28">
        <f>IF(AG1963="","",IF(OR(AG1963="Crítico",AG1963="Alto"),"Mitigar",IF(AG1963="Medio","Mitigar","Aceptar y monitorear")))</f>
        <v/>
      </c>
      <c r="AI1963" s="21" t="n"/>
      <c r="AJ1963" s="21" t="n"/>
      <c r="AK1963" s="20" t="n"/>
      <c r="AL1963" s="77">
        <f>IFERROR(INDEX(MgAmenEfic,MATCH(SUBSTITUTE($H1963,"*","-"),MgAmenClave,0)),0)</f>
        <v/>
      </c>
    </row>
    <row r="1964" hidden="1" ht="75" customHeight="1" s="54">
      <c r="B1964" s="59" t="inlineStr">
        <is>
          <t>R-1959</t>
        </is>
      </c>
      <c r="C1964" s="59" t="inlineStr">
        <is>
          <t>FIN-20</t>
        </is>
      </c>
      <c r="D1964" s="64">
        <f>IFERROR(INDEX(MgNombre,MATCH($C1964,MgActId,0)),"")</f>
        <v/>
      </c>
      <c r="E1964" s="64">
        <f>IFERROR(INDEX(MgProceso,MATCH($C1964,MgActId,0)),"")</f>
        <v/>
      </c>
      <c r="F1964" s="64">
        <f>IFERROR(INDEX(MgTipo,MATCH($C1964,MgActId,0)),"")</f>
        <v/>
      </c>
      <c r="G1964" s="64">
        <f>IFERROR(INDEX(MgSubtipo,MATCH($C1964,MgActId,0)),"")</f>
        <v/>
      </c>
      <c r="H1964" s="59" t="inlineStr">
        <is>
          <t>E.21</t>
        </is>
      </c>
      <c r="I1964" s="64">
        <f>IFERROR(INDEX(MgAmenNombre,MATCH(SUBSTITUTE($H1964,"*","-"),MgAmenClave,0)),"")</f>
        <v/>
      </c>
      <c r="J1964" s="28">
        <f>IFERROR(INDEX(MgAmenGrupo,MATCH(SUBSTITUTE($H1964,"*","-"),MgAmenClave,0)),"")</f>
        <v/>
      </c>
      <c r="K1964" s="64">
        <f>IFERROR(INDEX('1. Matriz de Activos'!$Q$6:$Q$239,MATCH($C1964,MgActId,0)),"")</f>
        <v/>
      </c>
      <c r="L1964" s="64">
        <f>IFERROR(INDEX('1. Matriz de Activos'!$R$6:$R$239,MATCH($C1964,MgActId,0)),"")</f>
        <v/>
      </c>
      <c r="M1964" s="64">
        <f>IFERROR(INDEX('1. Matriz de Activos'!$S$6:$S$239,MATCH($C1964,MgActId,0)),"")</f>
        <v/>
      </c>
      <c r="N1964" s="28">
        <f>IFERROR(INDEX(MgAmenDegD,MATCH(SUBSTITUTE($H1964,"*","-"),MgAmenClave,0)),"No aplica")</f>
        <v/>
      </c>
      <c r="O1964" s="28">
        <f>IFERROR(INDEX(MgAmenDegI,MATCH(SUBSTITUTE($H1964,"*","-"),MgAmenClave,0)),"No aplica")</f>
        <v/>
      </c>
      <c r="P1964" s="28">
        <f>IFERROR(INDEX(MgAmenDegC,MATCH(SUBSTITUTE($H1964,"*","-"),MgAmenClave,0)),"No aplica")</f>
        <v/>
      </c>
      <c r="Q1964" s="29">
        <f>IFERROR(VLOOKUP(K1964,MgValor,2,0)*VLOOKUP(N1964,MgDeg,2,0),0)</f>
        <v/>
      </c>
      <c r="R1964" s="29">
        <f>IFERROR(VLOOKUP(L1964,MgValor,2,0)*VLOOKUP(O1964,MgDeg,2,0),0)</f>
        <v/>
      </c>
      <c r="S1964" s="29">
        <f>IFERROR(VLOOKUP(M1964,MgValor,2,0)*VLOOKUP(P1964,MgDeg,2,0),0)</f>
        <v/>
      </c>
      <c r="T1964" s="30">
        <f>MAX(Q1964:S1964)</f>
        <v/>
      </c>
      <c r="U1964" s="28">
        <f>IFERROR(LOOKUP(T1964,{0;0.5;1.5;3;4.5},{"Despreciable";"Bajo";"Medio";"Alto";"Muy alto"}),"")</f>
        <v/>
      </c>
      <c r="V1964" s="13">
        <f>IFERROR(INDEX(MgAmenFrec,MATCH(SUBSTITUTE($H1964,"*","-"),MgAmenClave,0)),"")</f>
        <v/>
      </c>
      <c r="W1964" s="28">
        <f>IFERROR(LOOKUP(X1964,{0;0.01;0.1;1;10;100},{"Muy baja";"Muy baja";"Baja";"Media";"Alta";"Muy alta"}),"")</f>
        <v/>
      </c>
      <c r="X1964" s="31">
        <f>IFERROR(VLOOKUP(V1964,MgFrec,2,0),0)</f>
        <v/>
      </c>
      <c r="Y1964" s="30">
        <f>T1964*X1964</f>
        <v/>
      </c>
      <c r="Z1964" s="28">
        <f>IFERROR(LOOKUP(Y1964,{0;0.5;5;25},{"Bajo";"Medio";"Alto";"Crítico"}),"")</f>
        <v/>
      </c>
      <c r="AA1964" s="64">
        <f>IF(T1964&gt;=3,IF(X1964&gt;=1,"Zona 1 — Crítica: impacto alto y ocurre al menos una vez al año","Zona 4 — Catastrófica poco probable: impacto alto pero excepcional"),IF(AND(T1964&lt;1.5,X1964&lt;1),"Zona 3 — Asumible: impacto bajo y muy poco frecuente","Zona 2 — Atención: riesgo intermedio"))</f>
        <v/>
      </c>
      <c r="AB1964" s="64">
        <f>IFERROR(INDEX(MgAmenCtrl,MATCH(SUBSTITUTE($H1964,"*","-"),MgAmenClave,0)),"")</f>
        <v/>
      </c>
      <c r="AC1964" s="20" t="n"/>
      <c r="AD1964" s="31">
        <f>IFERROR($X1964*(1-IF($AC1964="",$AL1964,VLOOKUP($AC1964,MgMad,2,0))),"")</f>
        <v/>
      </c>
      <c r="AE1964" s="28">
        <f>IFERROR(LOOKUP(AD1964,{0;0.01;0.1;1;10;100},{"Muy baja";"Muy baja";"Baja";"Media";"Alta";"Muy alta"}),"")</f>
        <v/>
      </c>
      <c r="AF1964" s="30">
        <f>T1964*AD1964</f>
        <v/>
      </c>
      <c r="AG1964" s="28">
        <f>IFERROR(LOOKUP(AF1964,{0;0.5;5;25},{"Bajo";"Medio";"Alto";"Crítico"}),"")</f>
        <v/>
      </c>
      <c r="AH1964" s="28">
        <f>IF(AG1964="","",IF(OR(AG1964="Crítico",AG1964="Alto"),"Mitigar",IF(AG1964="Medio","Mitigar","Aceptar y monitorear")))</f>
        <v/>
      </c>
      <c r="AI1964" s="21" t="n"/>
      <c r="AJ1964" s="21" t="n"/>
      <c r="AK1964" s="20" t="n"/>
      <c r="AL1964" s="77">
        <f>IFERROR(INDEX(MgAmenEfic,MATCH(SUBSTITUTE($H1964,"*","-"),MgAmenClave,0)),0)</f>
        <v/>
      </c>
    </row>
    <row r="1965" hidden="1" ht="75" customHeight="1" s="54">
      <c r="B1965" s="59" t="inlineStr">
        <is>
          <t>R-1960</t>
        </is>
      </c>
      <c r="C1965" s="59" t="inlineStr">
        <is>
          <t>FIN-20</t>
        </is>
      </c>
      <c r="D1965" s="64">
        <f>IFERROR(INDEX(MgNombre,MATCH($C1965,MgActId,0)),"")</f>
        <v/>
      </c>
      <c r="E1965" s="64">
        <f>IFERROR(INDEX(MgProceso,MATCH($C1965,MgActId,0)),"")</f>
        <v/>
      </c>
      <c r="F1965" s="64">
        <f>IFERROR(INDEX(MgTipo,MATCH($C1965,MgActId,0)),"")</f>
        <v/>
      </c>
      <c r="G1965" s="64">
        <f>IFERROR(INDEX(MgSubtipo,MATCH($C1965,MgActId,0)),"")</f>
        <v/>
      </c>
      <c r="H1965" s="59" t="inlineStr">
        <is>
          <t>A.5</t>
        </is>
      </c>
      <c r="I1965" s="64">
        <f>IFERROR(INDEX(MgAmenNombre,MATCH(SUBSTITUTE($H1965,"*","-"),MgAmenClave,0)),"")</f>
        <v/>
      </c>
      <c r="J1965" s="28">
        <f>IFERROR(INDEX(MgAmenGrupo,MATCH(SUBSTITUTE($H1965,"*","-"),MgAmenClave,0)),"")</f>
        <v/>
      </c>
      <c r="K1965" s="64">
        <f>IFERROR(INDEX('1. Matriz de Activos'!$Q$6:$Q$239,MATCH($C1965,MgActId,0)),"")</f>
        <v/>
      </c>
      <c r="L1965" s="64">
        <f>IFERROR(INDEX('1. Matriz de Activos'!$R$6:$R$239,MATCH($C1965,MgActId,0)),"")</f>
        <v/>
      </c>
      <c r="M1965" s="64">
        <f>IFERROR(INDEX('1. Matriz de Activos'!$S$6:$S$239,MATCH($C1965,MgActId,0)),"")</f>
        <v/>
      </c>
      <c r="N1965" s="28">
        <f>IFERROR(INDEX(MgAmenDegD,MATCH(SUBSTITUTE($H1965,"*","-"),MgAmenClave,0)),"No aplica")</f>
        <v/>
      </c>
      <c r="O1965" s="28">
        <f>IFERROR(INDEX(MgAmenDegI,MATCH(SUBSTITUTE($H1965,"*","-"),MgAmenClave,0)),"No aplica")</f>
        <v/>
      </c>
      <c r="P1965" s="28">
        <f>IFERROR(INDEX(MgAmenDegC,MATCH(SUBSTITUTE($H1965,"*","-"),MgAmenClave,0)),"No aplica")</f>
        <v/>
      </c>
      <c r="Q1965" s="29">
        <f>IFERROR(VLOOKUP(K1965,MgValor,2,0)*VLOOKUP(N1965,MgDeg,2,0),0)</f>
        <v/>
      </c>
      <c r="R1965" s="29">
        <f>IFERROR(VLOOKUP(L1965,MgValor,2,0)*VLOOKUP(O1965,MgDeg,2,0),0)</f>
        <v/>
      </c>
      <c r="S1965" s="29">
        <f>IFERROR(VLOOKUP(M1965,MgValor,2,0)*VLOOKUP(P1965,MgDeg,2,0),0)</f>
        <v/>
      </c>
      <c r="T1965" s="30">
        <f>MAX(Q1965:S1965)</f>
        <v/>
      </c>
      <c r="U1965" s="28">
        <f>IFERROR(LOOKUP(T1965,{0;0.5;1.5;3;4.5},{"Despreciable";"Bajo";"Medio";"Alto";"Muy alto"}),"")</f>
        <v/>
      </c>
      <c r="V1965" s="13">
        <f>IFERROR(INDEX(MgAmenFrec,MATCH(SUBSTITUTE($H1965,"*","-"),MgAmenClave,0)),"")</f>
        <v/>
      </c>
      <c r="W1965" s="28">
        <f>IFERROR(LOOKUP(X1965,{0;0.01;0.1;1;10;100},{"Muy baja";"Muy baja";"Baja";"Media";"Alta";"Muy alta"}),"")</f>
        <v/>
      </c>
      <c r="X1965" s="31">
        <f>IFERROR(VLOOKUP(V1965,MgFrec,2,0),0)</f>
        <v/>
      </c>
      <c r="Y1965" s="30">
        <f>T1965*X1965</f>
        <v/>
      </c>
      <c r="Z1965" s="28">
        <f>IFERROR(LOOKUP(Y1965,{0;0.5;5;25},{"Bajo";"Medio";"Alto";"Crítico"}),"")</f>
        <v/>
      </c>
      <c r="AA1965" s="64">
        <f>IF(T1965&gt;=3,IF(X1965&gt;=1,"Zona 1 — Crítica: impacto alto y ocurre al menos una vez al año","Zona 4 — Catastrófica poco probable: impacto alto pero excepcional"),IF(AND(T1965&lt;1.5,X1965&lt;1),"Zona 3 — Asumible: impacto bajo y muy poco frecuente","Zona 2 — Atención: riesgo intermedio"))</f>
        <v/>
      </c>
      <c r="AB1965" s="64">
        <f>IFERROR(INDEX(MgAmenCtrl,MATCH(SUBSTITUTE($H1965,"*","-"),MgAmenClave,0)),"")</f>
        <v/>
      </c>
      <c r="AC1965" s="20" t="n"/>
      <c r="AD1965" s="31">
        <f>IFERROR($X1965*(1-IF($AC1965="",$AL1965,VLOOKUP($AC1965,MgMad,2,0))),"")</f>
        <v/>
      </c>
      <c r="AE1965" s="28">
        <f>IFERROR(LOOKUP(AD1965,{0;0.01;0.1;1;10;100},{"Muy baja";"Muy baja";"Baja";"Media";"Alta";"Muy alta"}),"")</f>
        <v/>
      </c>
      <c r="AF1965" s="30">
        <f>T1965*AD1965</f>
        <v/>
      </c>
      <c r="AG1965" s="28">
        <f>IFERROR(LOOKUP(AF1965,{0;0.5;5;25},{"Bajo";"Medio";"Alto";"Crítico"}),"")</f>
        <v/>
      </c>
      <c r="AH1965" s="28">
        <f>IF(AG1965="","",IF(OR(AG1965="Crítico",AG1965="Alto"),"Mitigar",IF(AG1965="Medio","Mitigar","Aceptar y monitorear")))</f>
        <v/>
      </c>
      <c r="AI1965" s="21" t="n"/>
      <c r="AJ1965" s="21" t="n"/>
      <c r="AK1965" s="20" t="n"/>
      <c r="AL1965" s="77">
        <f>IFERROR(INDEX(MgAmenEfic,MATCH(SUBSTITUTE($H1965,"*","-"),MgAmenClave,0)),0)</f>
        <v/>
      </c>
    </row>
    <row r="1966" hidden="1" ht="105" customHeight="1" s="54">
      <c r="B1966" s="59" t="inlineStr">
        <is>
          <t>R-1961</t>
        </is>
      </c>
      <c r="C1966" s="59" t="inlineStr">
        <is>
          <t>FIN-20</t>
        </is>
      </c>
      <c r="D1966" s="64">
        <f>IFERROR(INDEX(MgNombre,MATCH($C1966,MgActId,0)),"")</f>
        <v/>
      </c>
      <c r="E1966" s="64">
        <f>IFERROR(INDEX(MgProceso,MATCH($C1966,MgActId,0)),"")</f>
        <v/>
      </c>
      <c r="F1966" s="64">
        <f>IFERROR(INDEX(MgTipo,MATCH($C1966,MgActId,0)),"")</f>
        <v/>
      </c>
      <c r="G1966" s="64">
        <f>IFERROR(INDEX(MgSubtipo,MATCH($C1966,MgActId,0)),"")</f>
        <v/>
      </c>
      <c r="H1966" s="59" t="inlineStr">
        <is>
          <t>A.6</t>
        </is>
      </c>
      <c r="I1966" s="64">
        <f>IFERROR(INDEX(MgAmenNombre,MATCH(SUBSTITUTE($H1966,"*","-"),MgAmenClave,0)),"")</f>
        <v/>
      </c>
      <c r="J1966" s="28">
        <f>IFERROR(INDEX(MgAmenGrupo,MATCH(SUBSTITUTE($H1966,"*","-"),MgAmenClave,0)),"")</f>
        <v/>
      </c>
      <c r="K1966" s="64">
        <f>IFERROR(INDEX('1. Matriz de Activos'!$Q$6:$Q$239,MATCH($C1966,MgActId,0)),"")</f>
        <v/>
      </c>
      <c r="L1966" s="64">
        <f>IFERROR(INDEX('1. Matriz de Activos'!$R$6:$R$239,MATCH($C1966,MgActId,0)),"")</f>
        <v/>
      </c>
      <c r="M1966" s="64">
        <f>IFERROR(INDEX('1. Matriz de Activos'!$S$6:$S$239,MATCH($C1966,MgActId,0)),"")</f>
        <v/>
      </c>
      <c r="N1966" s="28">
        <f>IFERROR(INDEX(MgAmenDegD,MATCH(SUBSTITUTE($H1966,"*","-"),MgAmenClave,0)),"No aplica")</f>
        <v/>
      </c>
      <c r="O1966" s="28">
        <f>IFERROR(INDEX(MgAmenDegI,MATCH(SUBSTITUTE($H1966,"*","-"),MgAmenClave,0)),"No aplica")</f>
        <v/>
      </c>
      <c r="P1966" s="28">
        <f>IFERROR(INDEX(MgAmenDegC,MATCH(SUBSTITUTE($H1966,"*","-"),MgAmenClave,0)),"No aplica")</f>
        <v/>
      </c>
      <c r="Q1966" s="29">
        <f>IFERROR(VLOOKUP(K1966,MgValor,2,0)*VLOOKUP(N1966,MgDeg,2,0),0)</f>
        <v/>
      </c>
      <c r="R1966" s="29">
        <f>IFERROR(VLOOKUP(L1966,MgValor,2,0)*VLOOKUP(O1966,MgDeg,2,0),0)</f>
        <v/>
      </c>
      <c r="S1966" s="29">
        <f>IFERROR(VLOOKUP(M1966,MgValor,2,0)*VLOOKUP(P1966,MgDeg,2,0),0)</f>
        <v/>
      </c>
      <c r="T1966" s="30">
        <f>MAX(Q1966:S1966)</f>
        <v/>
      </c>
      <c r="U1966" s="28">
        <f>IFERROR(LOOKUP(T1966,{0;0.5;1.5;3;4.5},{"Despreciable";"Bajo";"Medio";"Alto";"Muy alto"}),"")</f>
        <v/>
      </c>
      <c r="V1966" s="13">
        <f>IFERROR(INDEX(MgAmenFrec,MATCH(SUBSTITUTE($H1966,"*","-"),MgAmenClave,0)),"")</f>
        <v/>
      </c>
      <c r="W1966" s="28">
        <f>IFERROR(LOOKUP(X1966,{0;0.01;0.1;1;10;100},{"Muy baja";"Muy baja";"Baja";"Media";"Alta";"Muy alta"}),"")</f>
        <v/>
      </c>
      <c r="X1966" s="31">
        <f>IFERROR(VLOOKUP(V1966,MgFrec,2,0),0)</f>
        <v/>
      </c>
      <c r="Y1966" s="30">
        <f>T1966*X1966</f>
        <v/>
      </c>
      <c r="Z1966" s="28">
        <f>IFERROR(LOOKUP(Y1966,{0;0.5;5;25},{"Bajo";"Medio";"Alto";"Crítico"}),"")</f>
        <v/>
      </c>
      <c r="AA1966" s="64">
        <f>IF(T1966&gt;=3,IF(X1966&gt;=1,"Zona 1 — Crítica: impacto alto y ocurre al menos una vez al año","Zona 4 — Catastrófica poco probable: impacto alto pero excepcional"),IF(AND(T1966&lt;1.5,X1966&lt;1),"Zona 3 — Asumible: impacto bajo y muy poco frecuente","Zona 2 — Atención: riesgo intermedio"))</f>
        <v/>
      </c>
      <c r="AB1966" s="64">
        <f>IFERROR(INDEX(MgAmenCtrl,MATCH(SUBSTITUTE($H1966,"*","-"),MgAmenClave,0)),"")</f>
        <v/>
      </c>
      <c r="AC1966" s="20" t="n"/>
      <c r="AD1966" s="31">
        <f>IFERROR($X1966*(1-IF($AC1966="",$AL1966,VLOOKUP($AC1966,MgMad,2,0))),"")</f>
        <v/>
      </c>
      <c r="AE1966" s="28">
        <f>IFERROR(LOOKUP(AD1966,{0;0.01;0.1;1;10;100},{"Muy baja";"Muy baja";"Baja";"Media";"Alta";"Muy alta"}),"")</f>
        <v/>
      </c>
      <c r="AF1966" s="30">
        <f>T1966*AD1966</f>
        <v/>
      </c>
      <c r="AG1966" s="28">
        <f>IFERROR(LOOKUP(AF1966,{0;0.5;5;25},{"Bajo";"Medio";"Alto";"Crítico"}),"")</f>
        <v/>
      </c>
      <c r="AH1966" s="28">
        <f>IF(AG1966="","",IF(OR(AG1966="Crítico",AG1966="Alto"),"Mitigar",IF(AG1966="Medio","Mitigar","Aceptar y monitorear")))</f>
        <v/>
      </c>
      <c r="AI1966" s="21" t="n"/>
      <c r="AJ1966" s="21" t="n"/>
      <c r="AK1966" s="20" t="n"/>
      <c r="AL1966" s="77">
        <f>IFERROR(INDEX(MgAmenEfic,MATCH(SUBSTITUTE($H1966,"*","-"),MgAmenClave,0)),0)</f>
        <v/>
      </c>
    </row>
    <row r="1967" hidden="1" ht="60" customHeight="1" s="54">
      <c r="B1967" s="59" t="inlineStr">
        <is>
          <t>R-1962</t>
        </is>
      </c>
      <c r="C1967" s="59" t="inlineStr">
        <is>
          <t>FIN-20</t>
        </is>
      </c>
      <c r="D1967" s="64">
        <f>IFERROR(INDEX(MgNombre,MATCH($C1967,MgActId,0)),"")</f>
        <v/>
      </c>
      <c r="E1967" s="64">
        <f>IFERROR(INDEX(MgProceso,MATCH($C1967,MgActId,0)),"")</f>
        <v/>
      </c>
      <c r="F1967" s="64">
        <f>IFERROR(INDEX(MgTipo,MATCH($C1967,MgActId,0)),"")</f>
        <v/>
      </c>
      <c r="G1967" s="64">
        <f>IFERROR(INDEX(MgSubtipo,MATCH($C1967,MgActId,0)),"")</f>
        <v/>
      </c>
      <c r="H1967" s="59" t="inlineStr">
        <is>
          <t>A.7</t>
        </is>
      </c>
      <c r="I1967" s="64">
        <f>IFERROR(INDEX(MgAmenNombre,MATCH(SUBSTITUTE($H1967,"*","-"),MgAmenClave,0)),"")</f>
        <v/>
      </c>
      <c r="J1967" s="28">
        <f>IFERROR(INDEX(MgAmenGrupo,MATCH(SUBSTITUTE($H1967,"*","-"),MgAmenClave,0)),"")</f>
        <v/>
      </c>
      <c r="K1967" s="64">
        <f>IFERROR(INDEX('1. Matriz de Activos'!$Q$6:$Q$239,MATCH($C1967,MgActId,0)),"")</f>
        <v/>
      </c>
      <c r="L1967" s="64">
        <f>IFERROR(INDEX('1. Matriz de Activos'!$R$6:$R$239,MATCH($C1967,MgActId,0)),"")</f>
        <v/>
      </c>
      <c r="M1967" s="64">
        <f>IFERROR(INDEX('1. Matriz de Activos'!$S$6:$S$239,MATCH($C1967,MgActId,0)),"")</f>
        <v/>
      </c>
      <c r="N1967" s="28">
        <f>IFERROR(INDEX(MgAmenDegD,MATCH(SUBSTITUTE($H1967,"*","-"),MgAmenClave,0)),"No aplica")</f>
        <v/>
      </c>
      <c r="O1967" s="28">
        <f>IFERROR(INDEX(MgAmenDegI,MATCH(SUBSTITUTE($H1967,"*","-"),MgAmenClave,0)),"No aplica")</f>
        <v/>
      </c>
      <c r="P1967" s="28">
        <f>IFERROR(INDEX(MgAmenDegC,MATCH(SUBSTITUTE($H1967,"*","-"),MgAmenClave,0)),"No aplica")</f>
        <v/>
      </c>
      <c r="Q1967" s="29">
        <f>IFERROR(VLOOKUP(K1967,MgValor,2,0)*VLOOKUP(N1967,MgDeg,2,0),0)</f>
        <v/>
      </c>
      <c r="R1967" s="29">
        <f>IFERROR(VLOOKUP(L1967,MgValor,2,0)*VLOOKUP(O1967,MgDeg,2,0),0)</f>
        <v/>
      </c>
      <c r="S1967" s="29">
        <f>IFERROR(VLOOKUP(M1967,MgValor,2,0)*VLOOKUP(P1967,MgDeg,2,0),0)</f>
        <v/>
      </c>
      <c r="T1967" s="30">
        <f>MAX(Q1967:S1967)</f>
        <v/>
      </c>
      <c r="U1967" s="28">
        <f>IFERROR(LOOKUP(T1967,{0;0.5;1.5;3;4.5},{"Despreciable";"Bajo";"Medio";"Alto";"Muy alto"}),"")</f>
        <v/>
      </c>
      <c r="V1967" s="13">
        <f>IFERROR(INDEX(MgAmenFrec,MATCH(SUBSTITUTE($H1967,"*","-"),MgAmenClave,0)),"")</f>
        <v/>
      </c>
      <c r="W1967" s="28">
        <f>IFERROR(LOOKUP(X1967,{0;0.01;0.1;1;10;100},{"Muy baja";"Muy baja";"Baja";"Media";"Alta";"Muy alta"}),"")</f>
        <v/>
      </c>
      <c r="X1967" s="31">
        <f>IFERROR(VLOOKUP(V1967,MgFrec,2,0),0)</f>
        <v/>
      </c>
      <c r="Y1967" s="30">
        <f>T1967*X1967</f>
        <v/>
      </c>
      <c r="Z1967" s="28">
        <f>IFERROR(LOOKUP(Y1967,{0;0.5;5;25},{"Bajo";"Medio";"Alto";"Crítico"}),"")</f>
        <v/>
      </c>
      <c r="AA1967" s="64">
        <f>IF(T1967&gt;=3,IF(X1967&gt;=1,"Zona 1 — Crítica: impacto alto y ocurre al menos una vez al año","Zona 4 — Catastrófica poco probable: impacto alto pero excepcional"),IF(AND(T1967&lt;1.5,X1967&lt;1),"Zona 3 — Asumible: impacto bajo y muy poco frecuente","Zona 2 — Atención: riesgo intermedio"))</f>
        <v/>
      </c>
      <c r="AB1967" s="64">
        <f>IFERROR(INDEX(MgAmenCtrl,MATCH(SUBSTITUTE($H1967,"*","-"),MgAmenClave,0)),"")</f>
        <v/>
      </c>
      <c r="AC1967" s="20" t="n"/>
      <c r="AD1967" s="31">
        <f>IFERROR($X1967*(1-IF($AC1967="",$AL1967,VLOOKUP($AC1967,MgMad,2,0))),"")</f>
        <v/>
      </c>
      <c r="AE1967" s="28">
        <f>IFERROR(LOOKUP(AD1967,{0;0.01;0.1;1;10;100},{"Muy baja";"Muy baja";"Baja";"Media";"Alta";"Muy alta"}),"")</f>
        <v/>
      </c>
      <c r="AF1967" s="30">
        <f>T1967*AD1967</f>
        <v/>
      </c>
      <c r="AG1967" s="28">
        <f>IFERROR(LOOKUP(AF1967,{0;0.5;5;25},{"Bajo";"Medio";"Alto";"Crítico"}),"")</f>
        <v/>
      </c>
      <c r="AH1967" s="28">
        <f>IF(AG1967="","",IF(OR(AG1967="Crítico",AG1967="Alto"),"Mitigar",IF(AG1967="Medio","Mitigar","Aceptar y monitorear")))</f>
        <v/>
      </c>
      <c r="AI1967" s="21" t="n"/>
      <c r="AJ1967" s="21" t="n"/>
      <c r="AK1967" s="20" t="n"/>
      <c r="AL1967" s="77">
        <f>IFERROR(INDEX(MgAmenEfic,MATCH(SUBSTITUTE($H1967,"*","-"),MgAmenClave,0)),0)</f>
        <v/>
      </c>
    </row>
    <row r="1968" hidden="1" ht="120" customHeight="1" s="54">
      <c r="B1968" s="59" t="inlineStr">
        <is>
          <t>R-1963</t>
        </is>
      </c>
      <c r="C1968" s="59" t="inlineStr">
        <is>
          <t>FIN-20</t>
        </is>
      </c>
      <c r="D1968" s="64">
        <f>IFERROR(INDEX(MgNombre,MATCH($C1968,MgActId,0)),"")</f>
        <v/>
      </c>
      <c r="E1968" s="64">
        <f>IFERROR(INDEX(MgProceso,MATCH($C1968,MgActId,0)),"")</f>
        <v/>
      </c>
      <c r="F1968" s="64">
        <f>IFERROR(INDEX(MgTipo,MATCH($C1968,MgActId,0)),"")</f>
        <v/>
      </c>
      <c r="G1968" s="64">
        <f>IFERROR(INDEX(MgSubtipo,MATCH($C1968,MgActId,0)),"")</f>
        <v/>
      </c>
      <c r="H1968" s="59" t="inlineStr">
        <is>
          <t>A.8</t>
        </is>
      </c>
      <c r="I1968" s="64">
        <f>IFERROR(INDEX(MgAmenNombre,MATCH(SUBSTITUTE($H1968,"*","-"),MgAmenClave,0)),"")</f>
        <v/>
      </c>
      <c r="J1968" s="28">
        <f>IFERROR(INDEX(MgAmenGrupo,MATCH(SUBSTITUTE($H1968,"*","-"),MgAmenClave,0)),"")</f>
        <v/>
      </c>
      <c r="K1968" s="64">
        <f>IFERROR(INDEX('1. Matriz de Activos'!$Q$6:$Q$239,MATCH($C1968,MgActId,0)),"")</f>
        <v/>
      </c>
      <c r="L1968" s="64">
        <f>IFERROR(INDEX('1. Matriz de Activos'!$R$6:$R$239,MATCH($C1968,MgActId,0)),"")</f>
        <v/>
      </c>
      <c r="M1968" s="64">
        <f>IFERROR(INDEX('1. Matriz de Activos'!$S$6:$S$239,MATCH($C1968,MgActId,0)),"")</f>
        <v/>
      </c>
      <c r="N1968" s="28">
        <f>IFERROR(INDEX(MgAmenDegD,MATCH(SUBSTITUTE($H1968,"*","-"),MgAmenClave,0)),"No aplica")</f>
        <v/>
      </c>
      <c r="O1968" s="28">
        <f>IFERROR(INDEX(MgAmenDegI,MATCH(SUBSTITUTE($H1968,"*","-"),MgAmenClave,0)),"No aplica")</f>
        <v/>
      </c>
      <c r="P1968" s="28">
        <f>IFERROR(INDEX(MgAmenDegC,MATCH(SUBSTITUTE($H1968,"*","-"),MgAmenClave,0)),"No aplica")</f>
        <v/>
      </c>
      <c r="Q1968" s="29">
        <f>IFERROR(VLOOKUP(K1968,MgValor,2,0)*VLOOKUP(N1968,MgDeg,2,0),0)</f>
        <v/>
      </c>
      <c r="R1968" s="29">
        <f>IFERROR(VLOOKUP(L1968,MgValor,2,0)*VLOOKUP(O1968,MgDeg,2,0),0)</f>
        <v/>
      </c>
      <c r="S1968" s="29">
        <f>IFERROR(VLOOKUP(M1968,MgValor,2,0)*VLOOKUP(P1968,MgDeg,2,0),0)</f>
        <v/>
      </c>
      <c r="T1968" s="30">
        <f>MAX(Q1968:S1968)</f>
        <v/>
      </c>
      <c r="U1968" s="28">
        <f>IFERROR(LOOKUP(T1968,{0;0.5;1.5;3;4.5},{"Despreciable";"Bajo";"Medio";"Alto";"Muy alto"}),"")</f>
        <v/>
      </c>
      <c r="V1968" s="13">
        <f>IFERROR(INDEX(MgAmenFrec,MATCH(SUBSTITUTE($H1968,"*","-"),MgAmenClave,0)),"")</f>
        <v/>
      </c>
      <c r="W1968" s="28">
        <f>IFERROR(LOOKUP(X1968,{0;0.01;0.1;1;10;100},{"Muy baja";"Muy baja";"Baja";"Media";"Alta";"Muy alta"}),"")</f>
        <v/>
      </c>
      <c r="X1968" s="31">
        <f>IFERROR(VLOOKUP(V1968,MgFrec,2,0),0)</f>
        <v/>
      </c>
      <c r="Y1968" s="30">
        <f>T1968*X1968</f>
        <v/>
      </c>
      <c r="Z1968" s="28">
        <f>IFERROR(LOOKUP(Y1968,{0;0.5;5;25},{"Bajo";"Medio";"Alto";"Crítico"}),"")</f>
        <v/>
      </c>
      <c r="AA1968" s="64">
        <f>IF(T1968&gt;=3,IF(X1968&gt;=1,"Zona 1 — Crítica: impacto alto y ocurre al menos una vez al año","Zona 4 — Catastrófica poco probable: impacto alto pero excepcional"),IF(AND(T1968&lt;1.5,X1968&lt;1),"Zona 3 — Asumible: impacto bajo y muy poco frecuente","Zona 2 — Atención: riesgo intermedio"))</f>
        <v/>
      </c>
      <c r="AB1968" s="64">
        <f>IFERROR(INDEX(MgAmenCtrl,MATCH(SUBSTITUTE($H1968,"*","-"),MgAmenClave,0)),"")</f>
        <v/>
      </c>
      <c r="AC1968" s="20" t="n"/>
      <c r="AD1968" s="31">
        <f>IFERROR($X1968*(1-IF($AC1968="",$AL1968,VLOOKUP($AC1968,MgMad,2,0))),"")</f>
        <v/>
      </c>
      <c r="AE1968" s="28">
        <f>IFERROR(LOOKUP(AD1968,{0;0.01;0.1;1;10;100},{"Muy baja";"Muy baja";"Baja";"Media";"Alta";"Muy alta"}),"")</f>
        <v/>
      </c>
      <c r="AF1968" s="30">
        <f>T1968*AD1968</f>
        <v/>
      </c>
      <c r="AG1968" s="28">
        <f>IFERROR(LOOKUP(AF1968,{0;0.5;5;25},{"Bajo";"Medio";"Alto";"Crítico"}),"")</f>
        <v/>
      </c>
      <c r="AH1968" s="28">
        <f>IF(AG1968="","",IF(OR(AG1968="Crítico",AG1968="Alto"),"Mitigar",IF(AG1968="Medio","Mitigar","Aceptar y monitorear")))</f>
        <v/>
      </c>
      <c r="AI1968" s="21" t="n"/>
      <c r="AJ1968" s="21" t="n"/>
      <c r="AK1968" s="20" t="n"/>
      <c r="AL1968" s="77">
        <f>IFERROR(INDEX(MgAmenEfic,MATCH(SUBSTITUTE($H1968,"*","-"),MgAmenClave,0)),0)</f>
        <v/>
      </c>
    </row>
    <row r="1969" hidden="1" ht="60" customHeight="1" s="54">
      <c r="B1969" s="59" t="inlineStr">
        <is>
          <t>R-1964</t>
        </is>
      </c>
      <c r="C1969" s="59" t="inlineStr">
        <is>
          <t>FIN-20</t>
        </is>
      </c>
      <c r="D1969" s="64">
        <f>IFERROR(INDEX(MgNombre,MATCH($C1969,MgActId,0)),"")</f>
        <v/>
      </c>
      <c r="E1969" s="64">
        <f>IFERROR(INDEX(MgProceso,MATCH($C1969,MgActId,0)),"")</f>
        <v/>
      </c>
      <c r="F1969" s="64">
        <f>IFERROR(INDEX(MgTipo,MATCH($C1969,MgActId,0)),"")</f>
        <v/>
      </c>
      <c r="G1969" s="64">
        <f>IFERROR(INDEX(MgSubtipo,MATCH($C1969,MgActId,0)),"")</f>
        <v/>
      </c>
      <c r="H1969" s="59" t="inlineStr">
        <is>
          <t>A.9</t>
        </is>
      </c>
      <c r="I1969" s="64">
        <f>IFERROR(INDEX(MgAmenNombre,MATCH(SUBSTITUTE($H1969,"*","-"),MgAmenClave,0)),"")</f>
        <v/>
      </c>
      <c r="J1969" s="28">
        <f>IFERROR(INDEX(MgAmenGrupo,MATCH(SUBSTITUTE($H1969,"*","-"),MgAmenClave,0)),"")</f>
        <v/>
      </c>
      <c r="K1969" s="64">
        <f>IFERROR(INDEX('1. Matriz de Activos'!$Q$6:$Q$239,MATCH($C1969,MgActId,0)),"")</f>
        <v/>
      </c>
      <c r="L1969" s="64">
        <f>IFERROR(INDEX('1. Matriz de Activos'!$R$6:$R$239,MATCH($C1969,MgActId,0)),"")</f>
        <v/>
      </c>
      <c r="M1969" s="64">
        <f>IFERROR(INDEX('1. Matriz de Activos'!$S$6:$S$239,MATCH($C1969,MgActId,0)),"")</f>
        <v/>
      </c>
      <c r="N1969" s="28">
        <f>IFERROR(INDEX(MgAmenDegD,MATCH(SUBSTITUTE($H1969,"*","-"),MgAmenClave,0)),"No aplica")</f>
        <v/>
      </c>
      <c r="O1969" s="28">
        <f>IFERROR(INDEX(MgAmenDegI,MATCH(SUBSTITUTE($H1969,"*","-"),MgAmenClave,0)),"No aplica")</f>
        <v/>
      </c>
      <c r="P1969" s="28">
        <f>IFERROR(INDEX(MgAmenDegC,MATCH(SUBSTITUTE($H1969,"*","-"),MgAmenClave,0)),"No aplica")</f>
        <v/>
      </c>
      <c r="Q1969" s="29">
        <f>IFERROR(VLOOKUP(K1969,MgValor,2,0)*VLOOKUP(N1969,MgDeg,2,0),0)</f>
        <v/>
      </c>
      <c r="R1969" s="29">
        <f>IFERROR(VLOOKUP(L1969,MgValor,2,0)*VLOOKUP(O1969,MgDeg,2,0),0)</f>
        <v/>
      </c>
      <c r="S1969" s="29">
        <f>IFERROR(VLOOKUP(M1969,MgValor,2,0)*VLOOKUP(P1969,MgDeg,2,0),0)</f>
        <v/>
      </c>
      <c r="T1969" s="30">
        <f>MAX(Q1969:S1969)</f>
        <v/>
      </c>
      <c r="U1969" s="28">
        <f>IFERROR(LOOKUP(T1969,{0;0.5;1.5;3;4.5},{"Despreciable";"Bajo";"Medio";"Alto";"Muy alto"}),"")</f>
        <v/>
      </c>
      <c r="V1969" s="13">
        <f>IFERROR(INDEX(MgAmenFrec,MATCH(SUBSTITUTE($H1969,"*","-"),MgAmenClave,0)),"")</f>
        <v/>
      </c>
      <c r="W1969" s="28">
        <f>IFERROR(LOOKUP(X1969,{0;0.01;0.1;1;10;100},{"Muy baja";"Muy baja";"Baja";"Media";"Alta";"Muy alta"}),"")</f>
        <v/>
      </c>
      <c r="X1969" s="31">
        <f>IFERROR(VLOOKUP(V1969,MgFrec,2,0),0)</f>
        <v/>
      </c>
      <c r="Y1969" s="30">
        <f>T1969*X1969</f>
        <v/>
      </c>
      <c r="Z1969" s="28">
        <f>IFERROR(LOOKUP(Y1969,{0;0.5;5;25},{"Bajo";"Medio";"Alto";"Crítico"}),"")</f>
        <v/>
      </c>
      <c r="AA1969" s="64">
        <f>IF(T1969&gt;=3,IF(X1969&gt;=1,"Zona 1 — Crítica: impacto alto y ocurre al menos una vez al año","Zona 4 — Catastrófica poco probable: impacto alto pero excepcional"),IF(AND(T1969&lt;1.5,X1969&lt;1),"Zona 3 — Asumible: impacto bajo y muy poco frecuente","Zona 2 — Atención: riesgo intermedio"))</f>
        <v/>
      </c>
      <c r="AB1969" s="64">
        <f>IFERROR(INDEX(MgAmenCtrl,MATCH(SUBSTITUTE($H1969,"*","-"),MgAmenClave,0)),"")</f>
        <v/>
      </c>
      <c r="AC1969" s="20" t="n"/>
      <c r="AD1969" s="31">
        <f>IFERROR($X1969*(1-IF($AC1969="",$AL1969,VLOOKUP($AC1969,MgMad,2,0))),"")</f>
        <v/>
      </c>
      <c r="AE1969" s="28">
        <f>IFERROR(LOOKUP(AD1969,{0;0.01;0.1;1;10;100},{"Muy baja";"Muy baja";"Baja";"Media";"Alta";"Muy alta"}),"")</f>
        <v/>
      </c>
      <c r="AF1969" s="30">
        <f>T1969*AD1969</f>
        <v/>
      </c>
      <c r="AG1969" s="28">
        <f>IFERROR(LOOKUP(AF1969,{0;0.5;5;25},{"Bajo";"Medio";"Alto";"Crítico"}),"")</f>
        <v/>
      </c>
      <c r="AH1969" s="28">
        <f>IF(AG1969="","",IF(OR(AG1969="Crítico",AG1969="Alto"),"Mitigar",IF(AG1969="Medio","Mitigar","Aceptar y monitorear")))</f>
        <v/>
      </c>
      <c r="AI1969" s="21" t="n"/>
      <c r="AJ1969" s="21" t="n"/>
      <c r="AK1969" s="20" t="n"/>
      <c r="AL1969" s="77">
        <f>IFERROR(INDEX(MgAmenEfic,MATCH(SUBSTITUTE($H1969,"*","-"),MgAmenClave,0)),0)</f>
        <v/>
      </c>
    </row>
    <row r="1970" hidden="1" ht="45" customHeight="1" s="54">
      <c r="B1970" s="59" t="inlineStr">
        <is>
          <t>R-1965</t>
        </is>
      </c>
      <c r="C1970" s="59" t="inlineStr">
        <is>
          <t>FIN-20</t>
        </is>
      </c>
      <c r="D1970" s="64">
        <f>IFERROR(INDEX(MgNombre,MATCH($C1970,MgActId,0)),"")</f>
        <v/>
      </c>
      <c r="E1970" s="64">
        <f>IFERROR(INDEX(MgProceso,MATCH($C1970,MgActId,0)),"")</f>
        <v/>
      </c>
      <c r="F1970" s="64">
        <f>IFERROR(INDEX(MgTipo,MATCH($C1970,MgActId,0)),"")</f>
        <v/>
      </c>
      <c r="G1970" s="64">
        <f>IFERROR(INDEX(MgSubtipo,MATCH($C1970,MgActId,0)),"")</f>
        <v/>
      </c>
      <c r="H1970" s="59" t="inlineStr">
        <is>
          <t>A.10</t>
        </is>
      </c>
      <c r="I1970" s="64">
        <f>IFERROR(INDEX(MgAmenNombre,MATCH(SUBSTITUTE($H1970,"*","-"),MgAmenClave,0)),"")</f>
        <v/>
      </c>
      <c r="J1970" s="28">
        <f>IFERROR(INDEX(MgAmenGrupo,MATCH(SUBSTITUTE($H1970,"*","-"),MgAmenClave,0)),"")</f>
        <v/>
      </c>
      <c r="K1970" s="64">
        <f>IFERROR(INDEX('1. Matriz de Activos'!$Q$6:$Q$239,MATCH($C1970,MgActId,0)),"")</f>
        <v/>
      </c>
      <c r="L1970" s="64">
        <f>IFERROR(INDEX('1. Matriz de Activos'!$R$6:$R$239,MATCH($C1970,MgActId,0)),"")</f>
        <v/>
      </c>
      <c r="M1970" s="64">
        <f>IFERROR(INDEX('1. Matriz de Activos'!$S$6:$S$239,MATCH($C1970,MgActId,0)),"")</f>
        <v/>
      </c>
      <c r="N1970" s="28">
        <f>IFERROR(INDEX(MgAmenDegD,MATCH(SUBSTITUTE($H1970,"*","-"),MgAmenClave,0)),"No aplica")</f>
        <v/>
      </c>
      <c r="O1970" s="28">
        <f>IFERROR(INDEX(MgAmenDegI,MATCH(SUBSTITUTE($H1970,"*","-"),MgAmenClave,0)),"No aplica")</f>
        <v/>
      </c>
      <c r="P1970" s="28">
        <f>IFERROR(INDEX(MgAmenDegC,MATCH(SUBSTITUTE($H1970,"*","-"),MgAmenClave,0)),"No aplica")</f>
        <v/>
      </c>
      <c r="Q1970" s="29">
        <f>IFERROR(VLOOKUP(K1970,MgValor,2,0)*VLOOKUP(N1970,MgDeg,2,0),0)</f>
        <v/>
      </c>
      <c r="R1970" s="29">
        <f>IFERROR(VLOOKUP(L1970,MgValor,2,0)*VLOOKUP(O1970,MgDeg,2,0),0)</f>
        <v/>
      </c>
      <c r="S1970" s="29">
        <f>IFERROR(VLOOKUP(M1970,MgValor,2,0)*VLOOKUP(P1970,MgDeg,2,0),0)</f>
        <v/>
      </c>
      <c r="T1970" s="30">
        <f>MAX(Q1970:S1970)</f>
        <v/>
      </c>
      <c r="U1970" s="28">
        <f>IFERROR(LOOKUP(T1970,{0;0.5;1.5;3;4.5},{"Despreciable";"Bajo";"Medio";"Alto";"Muy alto"}),"")</f>
        <v/>
      </c>
      <c r="V1970" s="13">
        <f>IFERROR(INDEX(MgAmenFrec,MATCH(SUBSTITUTE($H1970,"*","-"),MgAmenClave,0)),"")</f>
        <v/>
      </c>
      <c r="W1970" s="28">
        <f>IFERROR(LOOKUP(X1970,{0;0.01;0.1;1;10;100},{"Muy baja";"Muy baja";"Baja";"Media";"Alta";"Muy alta"}),"")</f>
        <v/>
      </c>
      <c r="X1970" s="31">
        <f>IFERROR(VLOOKUP(V1970,MgFrec,2,0),0)</f>
        <v/>
      </c>
      <c r="Y1970" s="30">
        <f>T1970*X1970</f>
        <v/>
      </c>
      <c r="Z1970" s="28">
        <f>IFERROR(LOOKUP(Y1970,{0;0.5;5;25},{"Bajo";"Medio";"Alto";"Crítico"}),"")</f>
        <v/>
      </c>
      <c r="AA1970" s="64">
        <f>IF(T1970&gt;=3,IF(X1970&gt;=1,"Zona 1 — Crítica: impacto alto y ocurre al menos una vez al año","Zona 4 — Catastrófica poco probable: impacto alto pero excepcional"),IF(AND(T1970&lt;1.5,X1970&lt;1),"Zona 3 — Asumible: impacto bajo y muy poco frecuente","Zona 2 — Atención: riesgo intermedio"))</f>
        <v/>
      </c>
      <c r="AB1970" s="64">
        <f>IFERROR(INDEX(MgAmenCtrl,MATCH(SUBSTITUTE($H1970,"*","-"),MgAmenClave,0)),"")</f>
        <v/>
      </c>
      <c r="AC1970" s="20" t="n"/>
      <c r="AD1970" s="31">
        <f>IFERROR($X1970*(1-IF($AC1970="",$AL1970,VLOOKUP($AC1970,MgMad,2,0))),"")</f>
        <v/>
      </c>
      <c r="AE1970" s="28">
        <f>IFERROR(LOOKUP(AD1970,{0;0.01;0.1;1;10;100},{"Muy baja";"Muy baja";"Baja";"Media";"Alta";"Muy alta"}),"")</f>
        <v/>
      </c>
      <c r="AF1970" s="30">
        <f>T1970*AD1970</f>
        <v/>
      </c>
      <c r="AG1970" s="28">
        <f>IFERROR(LOOKUP(AF1970,{0;0.5;5;25},{"Bajo";"Medio";"Alto";"Crítico"}),"")</f>
        <v/>
      </c>
      <c r="AH1970" s="28">
        <f>IF(AG1970="","",IF(OR(AG1970="Crítico",AG1970="Alto"),"Mitigar",IF(AG1970="Medio","Mitigar","Aceptar y monitorear")))</f>
        <v/>
      </c>
      <c r="AI1970" s="21" t="n"/>
      <c r="AJ1970" s="21" t="n"/>
      <c r="AK1970" s="20" t="n"/>
      <c r="AL1970" s="77">
        <f>IFERROR(INDEX(MgAmenEfic,MATCH(SUBSTITUTE($H1970,"*","-"),MgAmenClave,0)),0)</f>
        <v/>
      </c>
    </row>
    <row r="1971" hidden="1" ht="120" customHeight="1" s="54">
      <c r="B1971" s="59" t="inlineStr">
        <is>
          <t>R-1966</t>
        </is>
      </c>
      <c r="C1971" s="59" t="inlineStr">
        <is>
          <t>FIN-20</t>
        </is>
      </c>
      <c r="D1971" s="64">
        <f>IFERROR(INDEX(MgNombre,MATCH($C1971,MgActId,0)),"")</f>
        <v/>
      </c>
      <c r="E1971" s="64">
        <f>IFERROR(INDEX(MgProceso,MATCH($C1971,MgActId,0)),"")</f>
        <v/>
      </c>
      <c r="F1971" s="64">
        <f>IFERROR(INDEX(MgTipo,MATCH($C1971,MgActId,0)),"")</f>
        <v/>
      </c>
      <c r="G1971" s="64">
        <f>IFERROR(INDEX(MgSubtipo,MATCH($C1971,MgActId,0)),"")</f>
        <v/>
      </c>
      <c r="H1971" s="59" t="inlineStr">
        <is>
          <t>A.11</t>
        </is>
      </c>
      <c r="I1971" s="64">
        <f>IFERROR(INDEX(MgAmenNombre,MATCH(SUBSTITUTE($H1971,"*","-"),MgAmenClave,0)),"")</f>
        <v/>
      </c>
      <c r="J1971" s="28">
        <f>IFERROR(INDEX(MgAmenGrupo,MATCH(SUBSTITUTE($H1971,"*","-"),MgAmenClave,0)),"")</f>
        <v/>
      </c>
      <c r="K1971" s="64">
        <f>IFERROR(INDEX('1. Matriz de Activos'!$Q$6:$Q$239,MATCH($C1971,MgActId,0)),"")</f>
        <v/>
      </c>
      <c r="L1971" s="64">
        <f>IFERROR(INDEX('1. Matriz de Activos'!$R$6:$R$239,MATCH($C1971,MgActId,0)),"")</f>
        <v/>
      </c>
      <c r="M1971" s="64">
        <f>IFERROR(INDEX('1. Matriz de Activos'!$S$6:$S$239,MATCH($C1971,MgActId,0)),"")</f>
        <v/>
      </c>
      <c r="N1971" s="28">
        <f>IFERROR(INDEX(MgAmenDegD,MATCH(SUBSTITUTE($H1971,"*","-"),MgAmenClave,0)),"No aplica")</f>
        <v/>
      </c>
      <c r="O1971" s="28">
        <f>IFERROR(INDEX(MgAmenDegI,MATCH(SUBSTITUTE($H1971,"*","-"),MgAmenClave,0)),"No aplica")</f>
        <v/>
      </c>
      <c r="P1971" s="28">
        <f>IFERROR(INDEX(MgAmenDegC,MATCH(SUBSTITUTE($H1971,"*","-"),MgAmenClave,0)),"No aplica")</f>
        <v/>
      </c>
      <c r="Q1971" s="29">
        <f>IFERROR(VLOOKUP(K1971,MgValor,2,0)*VLOOKUP(N1971,MgDeg,2,0),0)</f>
        <v/>
      </c>
      <c r="R1971" s="29">
        <f>IFERROR(VLOOKUP(L1971,MgValor,2,0)*VLOOKUP(O1971,MgDeg,2,0),0)</f>
        <v/>
      </c>
      <c r="S1971" s="29">
        <f>IFERROR(VLOOKUP(M1971,MgValor,2,0)*VLOOKUP(P1971,MgDeg,2,0),0)</f>
        <v/>
      </c>
      <c r="T1971" s="30">
        <f>MAX(Q1971:S1971)</f>
        <v/>
      </c>
      <c r="U1971" s="28">
        <f>IFERROR(LOOKUP(T1971,{0;0.5;1.5;3;4.5},{"Despreciable";"Bajo";"Medio";"Alto";"Muy alto"}),"")</f>
        <v/>
      </c>
      <c r="V1971" s="13">
        <f>IFERROR(INDEX(MgAmenFrec,MATCH(SUBSTITUTE($H1971,"*","-"),MgAmenClave,0)),"")</f>
        <v/>
      </c>
      <c r="W1971" s="28">
        <f>IFERROR(LOOKUP(X1971,{0;0.01;0.1;1;10;100},{"Muy baja";"Muy baja";"Baja";"Media";"Alta";"Muy alta"}),"")</f>
        <v/>
      </c>
      <c r="X1971" s="31">
        <f>IFERROR(VLOOKUP(V1971,MgFrec,2,0),0)</f>
        <v/>
      </c>
      <c r="Y1971" s="30">
        <f>T1971*X1971</f>
        <v/>
      </c>
      <c r="Z1971" s="28">
        <f>IFERROR(LOOKUP(Y1971,{0;0.5;5;25},{"Bajo";"Medio";"Alto";"Crítico"}),"")</f>
        <v/>
      </c>
      <c r="AA1971" s="64">
        <f>IF(T1971&gt;=3,IF(X1971&gt;=1,"Zona 1 — Crítica: impacto alto y ocurre al menos una vez al año","Zona 4 — Catastrófica poco probable: impacto alto pero excepcional"),IF(AND(T1971&lt;1.5,X1971&lt;1),"Zona 3 — Asumible: impacto bajo y muy poco frecuente","Zona 2 — Atención: riesgo intermedio"))</f>
        <v/>
      </c>
      <c r="AB1971" s="64">
        <f>IFERROR(INDEX(MgAmenCtrl,MATCH(SUBSTITUTE($H1971,"*","-"),MgAmenClave,0)),"")</f>
        <v/>
      </c>
      <c r="AC1971" s="20" t="n"/>
      <c r="AD1971" s="31">
        <f>IFERROR($X1971*(1-IF($AC1971="",$AL1971,VLOOKUP($AC1971,MgMad,2,0))),"")</f>
        <v/>
      </c>
      <c r="AE1971" s="28">
        <f>IFERROR(LOOKUP(AD1971,{0;0.01;0.1;1;10;100},{"Muy baja";"Muy baja";"Baja";"Media";"Alta";"Muy alta"}),"")</f>
        <v/>
      </c>
      <c r="AF1971" s="30">
        <f>T1971*AD1971</f>
        <v/>
      </c>
      <c r="AG1971" s="28">
        <f>IFERROR(LOOKUP(AF1971,{0;0.5;5;25},{"Bajo";"Medio";"Alto";"Crítico"}),"")</f>
        <v/>
      </c>
      <c r="AH1971" s="28">
        <f>IF(AG1971="","",IF(OR(AG1971="Crítico",AG1971="Alto"),"Mitigar",IF(AG1971="Medio","Mitigar","Aceptar y monitorear")))</f>
        <v/>
      </c>
      <c r="AI1971" s="21" t="n"/>
      <c r="AJ1971" s="21" t="n"/>
      <c r="AK1971" s="20" t="n"/>
      <c r="AL1971" s="77">
        <f>IFERROR(INDEX(MgAmenEfic,MATCH(SUBSTITUTE($H1971,"*","-"),MgAmenClave,0)),0)</f>
        <v/>
      </c>
    </row>
    <row r="1972" hidden="1" ht="60" customHeight="1" s="54">
      <c r="B1972" s="59" t="inlineStr">
        <is>
          <t>R-1967</t>
        </is>
      </c>
      <c r="C1972" s="59" t="inlineStr">
        <is>
          <t>FIN-20</t>
        </is>
      </c>
      <c r="D1972" s="64">
        <f>IFERROR(INDEX(MgNombre,MATCH($C1972,MgActId,0)),"")</f>
        <v/>
      </c>
      <c r="E1972" s="64">
        <f>IFERROR(INDEX(MgProceso,MATCH($C1972,MgActId,0)),"")</f>
        <v/>
      </c>
      <c r="F1972" s="64">
        <f>IFERROR(INDEX(MgTipo,MATCH($C1972,MgActId,0)),"")</f>
        <v/>
      </c>
      <c r="G1972" s="64">
        <f>IFERROR(INDEX(MgSubtipo,MATCH($C1972,MgActId,0)),"")</f>
        <v/>
      </c>
      <c r="H1972" s="59" t="inlineStr">
        <is>
          <t>A.15</t>
        </is>
      </c>
      <c r="I1972" s="64">
        <f>IFERROR(INDEX(MgAmenNombre,MATCH(SUBSTITUTE($H1972,"*","-"),MgAmenClave,0)),"")</f>
        <v/>
      </c>
      <c r="J1972" s="28">
        <f>IFERROR(INDEX(MgAmenGrupo,MATCH(SUBSTITUTE($H1972,"*","-"),MgAmenClave,0)),"")</f>
        <v/>
      </c>
      <c r="K1972" s="64">
        <f>IFERROR(INDEX('1. Matriz de Activos'!$Q$6:$Q$239,MATCH($C1972,MgActId,0)),"")</f>
        <v/>
      </c>
      <c r="L1972" s="64">
        <f>IFERROR(INDEX('1. Matriz de Activos'!$R$6:$R$239,MATCH($C1972,MgActId,0)),"")</f>
        <v/>
      </c>
      <c r="M1972" s="64">
        <f>IFERROR(INDEX('1. Matriz de Activos'!$S$6:$S$239,MATCH($C1972,MgActId,0)),"")</f>
        <v/>
      </c>
      <c r="N1972" s="28">
        <f>IFERROR(INDEX(MgAmenDegD,MATCH(SUBSTITUTE($H1972,"*","-"),MgAmenClave,0)),"No aplica")</f>
        <v/>
      </c>
      <c r="O1972" s="28">
        <f>IFERROR(INDEX(MgAmenDegI,MATCH(SUBSTITUTE($H1972,"*","-"),MgAmenClave,0)),"No aplica")</f>
        <v/>
      </c>
      <c r="P1972" s="28">
        <f>IFERROR(INDEX(MgAmenDegC,MATCH(SUBSTITUTE($H1972,"*","-"),MgAmenClave,0)),"No aplica")</f>
        <v/>
      </c>
      <c r="Q1972" s="29">
        <f>IFERROR(VLOOKUP(K1972,MgValor,2,0)*VLOOKUP(N1972,MgDeg,2,0),0)</f>
        <v/>
      </c>
      <c r="R1972" s="29">
        <f>IFERROR(VLOOKUP(L1972,MgValor,2,0)*VLOOKUP(O1972,MgDeg,2,0),0)</f>
        <v/>
      </c>
      <c r="S1972" s="29">
        <f>IFERROR(VLOOKUP(M1972,MgValor,2,0)*VLOOKUP(P1972,MgDeg,2,0),0)</f>
        <v/>
      </c>
      <c r="T1972" s="30">
        <f>MAX(Q1972:S1972)</f>
        <v/>
      </c>
      <c r="U1972" s="28">
        <f>IFERROR(LOOKUP(T1972,{0;0.5;1.5;3;4.5},{"Despreciable";"Bajo";"Medio";"Alto";"Muy alto"}),"")</f>
        <v/>
      </c>
      <c r="V1972" s="13">
        <f>IFERROR(INDEX(MgAmenFrec,MATCH(SUBSTITUTE($H1972,"*","-"),MgAmenClave,0)),"")</f>
        <v/>
      </c>
      <c r="W1972" s="28">
        <f>IFERROR(LOOKUP(X1972,{0;0.01;0.1;1;10;100},{"Muy baja";"Muy baja";"Baja";"Media";"Alta";"Muy alta"}),"")</f>
        <v/>
      </c>
      <c r="X1972" s="31">
        <f>IFERROR(VLOOKUP(V1972,MgFrec,2,0),0)</f>
        <v/>
      </c>
      <c r="Y1972" s="30">
        <f>T1972*X1972</f>
        <v/>
      </c>
      <c r="Z1972" s="28">
        <f>IFERROR(LOOKUP(Y1972,{0;0.5;5;25},{"Bajo";"Medio";"Alto";"Crítico"}),"")</f>
        <v/>
      </c>
      <c r="AA1972" s="64">
        <f>IF(T1972&gt;=3,IF(X1972&gt;=1,"Zona 1 — Crítica: impacto alto y ocurre al menos una vez al año","Zona 4 — Catastrófica poco probable: impacto alto pero excepcional"),IF(AND(T1972&lt;1.5,X1972&lt;1),"Zona 3 — Asumible: impacto bajo y muy poco frecuente","Zona 2 — Atención: riesgo intermedio"))</f>
        <v/>
      </c>
      <c r="AB1972" s="64">
        <f>IFERROR(INDEX(MgAmenCtrl,MATCH(SUBSTITUTE($H1972,"*","-"),MgAmenClave,0)),"")</f>
        <v/>
      </c>
      <c r="AC1972" s="20" t="n"/>
      <c r="AD1972" s="31">
        <f>IFERROR($X1972*(1-IF($AC1972="",$AL1972,VLOOKUP($AC1972,MgMad,2,0))),"")</f>
        <v/>
      </c>
      <c r="AE1972" s="28">
        <f>IFERROR(LOOKUP(AD1972,{0;0.01;0.1;1;10;100},{"Muy baja";"Muy baja";"Baja";"Media";"Alta";"Muy alta"}),"")</f>
        <v/>
      </c>
      <c r="AF1972" s="30">
        <f>T1972*AD1972</f>
        <v/>
      </c>
      <c r="AG1972" s="28">
        <f>IFERROR(LOOKUP(AF1972,{0;0.5;5;25},{"Bajo";"Medio";"Alto";"Crítico"}),"")</f>
        <v/>
      </c>
      <c r="AH1972" s="28">
        <f>IF(AG1972="","",IF(OR(AG1972="Crítico",AG1972="Alto"),"Mitigar",IF(AG1972="Medio","Mitigar","Aceptar y monitorear")))</f>
        <v/>
      </c>
      <c r="AI1972" s="21" t="n"/>
      <c r="AJ1972" s="21" t="n"/>
      <c r="AK1972" s="20" t="n"/>
      <c r="AL1972" s="77">
        <f>IFERROR(INDEX(MgAmenEfic,MATCH(SUBSTITUTE($H1972,"*","-"),MgAmenClave,0)),0)</f>
        <v/>
      </c>
    </row>
    <row r="1973" hidden="1" ht="60" customHeight="1" s="54">
      <c r="B1973" s="59" t="inlineStr">
        <is>
          <t>R-1968</t>
        </is>
      </c>
      <c r="C1973" s="59" t="inlineStr">
        <is>
          <t>FIN-20</t>
        </is>
      </c>
      <c r="D1973" s="64">
        <f>IFERROR(INDEX(MgNombre,MATCH($C1973,MgActId,0)),"")</f>
        <v/>
      </c>
      <c r="E1973" s="64">
        <f>IFERROR(INDEX(MgProceso,MATCH($C1973,MgActId,0)),"")</f>
        <v/>
      </c>
      <c r="F1973" s="64">
        <f>IFERROR(INDEX(MgTipo,MATCH($C1973,MgActId,0)),"")</f>
        <v/>
      </c>
      <c r="G1973" s="64">
        <f>IFERROR(INDEX(MgSubtipo,MATCH($C1973,MgActId,0)),"")</f>
        <v/>
      </c>
      <c r="H1973" s="59" t="inlineStr">
        <is>
          <t>A.18</t>
        </is>
      </c>
      <c r="I1973" s="64">
        <f>IFERROR(INDEX(MgAmenNombre,MATCH(SUBSTITUTE($H1973,"*","-"),MgAmenClave,0)),"")</f>
        <v/>
      </c>
      <c r="J1973" s="28">
        <f>IFERROR(INDEX(MgAmenGrupo,MATCH(SUBSTITUTE($H1973,"*","-"),MgAmenClave,0)),"")</f>
        <v/>
      </c>
      <c r="K1973" s="64">
        <f>IFERROR(INDEX('1. Matriz de Activos'!$Q$6:$Q$239,MATCH($C1973,MgActId,0)),"")</f>
        <v/>
      </c>
      <c r="L1973" s="64">
        <f>IFERROR(INDEX('1. Matriz de Activos'!$R$6:$R$239,MATCH($C1973,MgActId,0)),"")</f>
        <v/>
      </c>
      <c r="M1973" s="64">
        <f>IFERROR(INDEX('1. Matriz de Activos'!$S$6:$S$239,MATCH($C1973,MgActId,0)),"")</f>
        <v/>
      </c>
      <c r="N1973" s="28">
        <f>IFERROR(INDEX(MgAmenDegD,MATCH(SUBSTITUTE($H1973,"*","-"),MgAmenClave,0)),"No aplica")</f>
        <v/>
      </c>
      <c r="O1973" s="28">
        <f>IFERROR(INDEX(MgAmenDegI,MATCH(SUBSTITUTE($H1973,"*","-"),MgAmenClave,0)),"No aplica")</f>
        <v/>
      </c>
      <c r="P1973" s="28">
        <f>IFERROR(INDEX(MgAmenDegC,MATCH(SUBSTITUTE($H1973,"*","-"),MgAmenClave,0)),"No aplica")</f>
        <v/>
      </c>
      <c r="Q1973" s="29">
        <f>IFERROR(VLOOKUP(K1973,MgValor,2,0)*VLOOKUP(N1973,MgDeg,2,0),0)</f>
        <v/>
      </c>
      <c r="R1973" s="29">
        <f>IFERROR(VLOOKUP(L1973,MgValor,2,0)*VLOOKUP(O1973,MgDeg,2,0),0)</f>
        <v/>
      </c>
      <c r="S1973" s="29">
        <f>IFERROR(VLOOKUP(M1973,MgValor,2,0)*VLOOKUP(P1973,MgDeg,2,0),0)</f>
        <v/>
      </c>
      <c r="T1973" s="30">
        <f>MAX(Q1973:S1973)</f>
        <v/>
      </c>
      <c r="U1973" s="28">
        <f>IFERROR(LOOKUP(T1973,{0;0.5;1.5;3;4.5},{"Despreciable";"Bajo";"Medio";"Alto";"Muy alto"}),"")</f>
        <v/>
      </c>
      <c r="V1973" s="13">
        <f>IFERROR(INDEX(MgAmenFrec,MATCH(SUBSTITUTE($H1973,"*","-"),MgAmenClave,0)),"")</f>
        <v/>
      </c>
      <c r="W1973" s="28">
        <f>IFERROR(LOOKUP(X1973,{0;0.01;0.1;1;10;100},{"Muy baja";"Muy baja";"Baja";"Media";"Alta";"Muy alta"}),"")</f>
        <v/>
      </c>
      <c r="X1973" s="31">
        <f>IFERROR(VLOOKUP(V1973,MgFrec,2,0),0)</f>
        <v/>
      </c>
      <c r="Y1973" s="30">
        <f>T1973*X1973</f>
        <v/>
      </c>
      <c r="Z1973" s="28">
        <f>IFERROR(LOOKUP(Y1973,{0;0.5;5;25},{"Bajo";"Medio";"Alto";"Crítico"}),"")</f>
        <v/>
      </c>
      <c r="AA1973" s="64">
        <f>IF(T1973&gt;=3,IF(X1973&gt;=1,"Zona 1 — Crítica: impacto alto y ocurre al menos una vez al año","Zona 4 — Catastrófica poco probable: impacto alto pero excepcional"),IF(AND(T1973&lt;1.5,X1973&lt;1),"Zona 3 — Asumible: impacto bajo y muy poco frecuente","Zona 2 — Atención: riesgo intermedio"))</f>
        <v/>
      </c>
      <c r="AB1973" s="64">
        <f>IFERROR(INDEX(MgAmenCtrl,MATCH(SUBSTITUTE($H1973,"*","-"),MgAmenClave,0)),"")</f>
        <v/>
      </c>
      <c r="AC1973" s="20" t="n"/>
      <c r="AD1973" s="31">
        <f>IFERROR($X1973*(1-IF($AC1973="",$AL1973,VLOOKUP($AC1973,MgMad,2,0))),"")</f>
        <v/>
      </c>
      <c r="AE1973" s="28">
        <f>IFERROR(LOOKUP(AD1973,{0;0.01;0.1;1;10;100},{"Muy baja";"Muy baja";"Baja";"Media";"Alta";"Muy alta"}),"")</f>
        <v/>
      </c>
      <c r="AF1973" s="30">
        <f>T1973*AD1973</f>
        <v/>
      </c>
      <c r="AG1973" s="28">
        <f>IFERROR(LOOKUP(AF1973,{0;0.5;5;25},{"Bajo";"Medio";"Alto";"Crítico"}),"")</f>
        <v/>
      </c>
      <c r="AH1973" s="28">
        <f>IF(AG1973="","",IF(OR(AG1973="Crítico",AG1973="Alto"),"Mitigar",IF(AG1973="Medio","Mitigar","Aceptar y monitorear")))</f>
        <v/>
      </c>
      <c r="AI1973" s="21" t="n"/>
      <c r="AJ1973" s="21" t="n"/>
      <c r="AK1973" s="20" t="n"/>
      <c r="AL1973" s="77">
        <f>IFERROR(INDEX(MgAmenEfic,MATCH(SUBSTITUTE($H1973,"*","-"),MgAmenClave,0)),0)</f>
        <v/>
      </c>
    </row>
    <row r="1974" hidden="1" ht="120" customHeight="1" s="54">
      <c r="B1974" s="59" t="inlineStr">
        <is>
          <t>R-1969</t>
        </is>
      </c>
      <c r="C1974" s="59" t="inlineStr">
        <is>
          <t>FIN-20</t>
        </is>
      </c>
      <c r="D1974" s="64">
        <f>IFERROR(INDEX(MgNombre,MATCH($C1974,MgActId,0)),"")</f>
        <v/>
      </c>
      <c r="E1974" s="64">
        <f>IFERROR(INDEX(MgProceso,MATCH($C1974,MgActId,0)),"")</f>
        <v/>
      </c>
      <c r="F1974" s="64">
        <f>IFERROR(INDEX(MgTipo,MATCH($C1974,MgActId,0)),"")</f>
        <v/>
      </c>
      <c r="G1974" s="64">
        <f>IFERROR(INDEX(MgSubtipo,MATCH($C1974,MgActId,0)),"")</f>
        <v/>
      </c>
      <c r="H1974" s="59" t="inlineStr">
        <is>
          <t>A.19</t>
        </is>
      </c>
      <c r="I1974" s="64">
        <f>IFERROR(INDEX(MgAmenNombre,MATCH(SUBSTITUTE($H1974,"*","-"),MgAmenClave,0)),"")</f>
        <v/>
      </c>
      <c r="J1974" s="28">
        <f>IFERROR(INDEX(MgAmenGrupo,MATCH(SUBSTITUTE($H1974,"*","-"),MgAmenClave,0)),"")</f>
        <v/>
      </c>
      <c r="K1974" s="64">
        <f>IFERROR(INDEX('1. Matriz de Activos'!$Q$6:$Q$239,MATCH($C1974,MgActId,0)),"")</f>
        <v/>
      </c>
      <c r="L1974" s="64">
        <f>IFERROR(INDEX('1. Matriz de Activos'!$R$6:$R$239,MATCH($C1974,MgActId,0)),"")</f>
        <v/>
      </c>
      <c r="M1974" s="64">
        <f>IFERROR(INDEX('1. Matriz de Activos'!$S$6:$S$239,MATCH($C1974,MgActId,0)),"")</f>
        <v/>
      </c>
      <c r="N1974" s="28">
        <f>IFERROR(INDEX(MgAmenDegD,MATCH(SUBSTITUTE($H1974,"*","-"),MgAmenClave,0)),"No aplica")</f>
        <v/>
      </c>
      <c r="O1974" s="28">
        <f>IFERROR(INDEX(MgAmenDegI,MATCH(SUBSTITUTE($H1974,"*","-"),MgAmenClave,0)),"No aplica")</f>
        <v/>
      </c>
      <c r="P1974" s="28">
        <f>IFERROR(INDEX(MgAmenDegC,MATCH(SUBSTITUTE($H1974,"*","-"),MgAmenClave,0)),"No aplica")</f>
        <v/>
      </c>
      <c r="Q1974" s="29">
        <f>IFERROR(VLOOKUP(K1974,MgValor,2,0)*VLOOKUP(N1974,MgDeg,2,0),0)</f>
        <v/>
      </c>
      <c r="R1974" s="29">
        <f>IFERROR(VLOOKUP(L1974,MgValor,2,0)*VLOOKUP(O1974,MgDeg,2,0),0)</f>
        <v/>
      </c>
      <c r="S1974" s="29">
        <f>IFERROR(VLOOKUP(M1974,MgValor,2,0)*VLOOKUP(P1974,MgDeg,2,0),0)</f>
        <v/>
      </c>
      <c r="T1974" s="30">
        <f>MAX(Q1974:S1974)</f>
        <v/>
      </c>
      <c r="U1974" s="28">
        <f>IFERROR(LOOKUP(T1974,{0;0.5;1.5;3;4.5},{"Despreciable";"Bajo";"Medio";"Alto";"Muy alto"}),"")</f>
        <v/>
      </c>
      <c r="V1974" s="13">
        <f>IFERROR(INDEX(MgAmenFrec,MATCH(SUBSTITUTE($H1974,"*","-"),MgAmenClave,0)),"")</f>
        <v/>
      </c>
      <c r="W1974" s="28">
        <f>IFERROR(LOOKUP(X1974,{0;0.01;0.1;1;10;100},{"Muy baja";"Muy baja";"Baja";"Media";"Alta";"Muy alta"}),"")</f>
        <v/>
      </c>
      <c r="X1974" s="31">
        <f>IFERROR(VLOOKUP(V1974,MgFrec,2,0),0)</f>
        <v/>
      </c>
      <c r="Y1974" s="30">
        <f>T1974*X1974</f>
        <v/>
      </c>
      <c r="Z1974" s="28">
        <f>IFERROR(LOOKUP(Y1974,{0;0.5;5;25},{"Bajo";"Medio";"Alto";"Crítico"}),"")</f>
        <v/>
      </c>
      <c r="AA1974" s="64">
        <f>IF(T1974&gt;=3,IF(X1974&gt;=1,"Zona 1 — Crítica: impacto alto y ocurre al menos una vez al año","Zona 4 — Catastrófica poco probable: impacto alto pero excepcional"),IF(AND(T1974&lt;1.5,X1974&lt;1),"Zona 3 — Asumible: impacto bajo y muy poco frecuente","Zona 2 — Atención: riesgo intermedio"))</f>
        <v/>
      </c>
      <c r="AB1974" s="64">
        <f>IFERROR(INDEX(MgAmenCtrl,MATCH(SUBSTITUTE($H1974,"*","-"),MgAmenClave,0)),"")</f>
        <v/>
      </c>
      <c r="AC1974" s="20" t="n"/>
      <c r="AD1974" s="31">
        <f>IFERROR($X1974*(1-IF($AC1974="",$AL1974,VLOOKUP($AC1974,MgMad,2,0))),"")</f>
        <v/>
      </c>
      <c r="AE1974" s="28">
        <f>IFERROR(LOOKUP(AD1974,{0;0.01;0.1;1;10;100},{"Muy baja";"Muy baja";"Baja";"Media";"Alta";"Muy alta"}),"")</f>
        <v/>
      </c>
      <c r="AF1974" s="30">
        <f>T1974*AD1974</f>
        <v/>
      </c>
      <c r="AG1974" s="28">
        <f>IFERROR(LOOKUP(AF1974,{0;0.5;5;25},{"Bajo";"Medio";"Alto";"Crítico"}),"")</f>
        <v/>
      </c>
      <c r="AH1974" s="28">
        <f>IF(AG1974="","",IF(OR(AG1974="Crítico",AG1974="Alto"),"Mitigar",IF(AG1974="Medio","Mitigar","Aceptar y monitorear")))</f>
        <v/>
      </c>
      <c r="AI1974" s="21" t="n"/>
      <c r="AJ1974" s="21" t="n"/>
      <c r="AK1974" s="20" t="n"/>
      <c r="AL1974" s="77">
        <f>IFERROR(INDEX(MgAmenEfic,MATCH(SUBSTITUTE($H1974,"*","-"),MgAmenClave,0)),0)</f>
        <v/>
      </c>
    </row>
    <row r="1975" hidden="1" ht="135" customHeight="1" s="54">
      <c r="B1975" s="59" t="inlineStr">
        <is>
          <t>R-1970</t>
        </is>
      </c>
      <c r="C1975" s="59" t="inlineStr">
        <is>
          <t>FIN-20</t>
        </is>
      </c>
      <c r="D1975" s="64">
        <f>IFERROR(INDEX(MgNombre,MATCH($C1975,MgActId,0)),"")</f>
        <v/>
      </c>
      <c r="E1975" s="64">
        <f>IFERROR(INDEX(MgProceso,MATCH($C1975,MgActId,0)),"")</f>
        <v/>
      </c>
      <c r="F1975" s="64">
        <f>IFERROR(INDEX(MgTipo,MATCH($C1975,MgActId,0)),"")</f>
        <v/>
      </c>
      <c r="G1975" s="64">
        <f>IFERROR(INDEX(MgSubtipo,MATCH($C1975,MgActId,0)),"")</f>
        <v/>
      </c>
      <c r="H1975" s="59" t="inlineStr">
        <is>
          <t>A.22</t>
        </is>
      </c>
      <c r="I1975" s="64">
        <f>IFERROR(INDEX(MgAmenNombre,MATCH(SUBSTITUTE($H1975,"*","-"),MgAmenClave,0)),"")</f>
        <v/>
      </c>
      <c r="J1975" s="28">
        <f>IFERROR(INDEX(MgAmenGrupo,MATCH(SUBSTITUTE($H1975,"*","-"),MgAmenClave,0)),"")</f>
        <v/>
      </c>
      <c r="K1975" s="64">
        <f>IFERROR(INDEX('1. Matriz de Activos'!$Q$6:$Q$239,MATCH($C1975,MgActId,0)),"")</f>
        <v/>
      </c>
      <c r="L1975" s="64">
        <f>IFERROR(INDEX('1. Matriz de Activos'!$R$6:$R$239,MATCH($C1975,MgActId,0)),"")</f>
        <v/>
      </c>
      <c r="M1975" s="64">
        <f>IFERROR(INDEX('1. Matriz de Activos'!$S$6:$S$239,MATCH($C1975,MgActId,0)),"")</f>
        <v/>
      </c>
      <c r="N1975" s="28">
        <f>IFERROR(INDEX(MgAmenDegD,MATCH(SUBSTITUTE($H1975,"*","-"),MgAmenClave,0)),"No aplica")</f>
        <v/>
      </c>
      <c r="O1975" s="28">
        <f>IFERROR(INDEX(MgAmenDegI,MATCH(SUBSTITUTE($H1975,"*","-"),MgAmenClave,0)),"No aplica")</f>
        <v/>
      </c>
      <c r="P1975" s="28">
        <f>IFERROR(INDEX(MgAmenDegC,MATCH(SUBSTITUTE($H1975,"*","-"),MgAmenClave,0)),"No aplica")</f>
        <v/>
      </c>
      <c r="Q1975" s="29">
        <f>IFERROR(VLOOKUP(K1975,MgValor,2,0)*VLOOKUP(N1975,MgDeg,2,0),0)</f>
        <v/>
      </c>
      <c r="R1975" s="29">
        <f>IFERROR(VLOOKUP(L1975,MgValor,2,0)*VLOOKUP(O1975,MgDeg,2,0),0)</f>
        <v/>
      </c>
      <c r="S1975" s="29">
        <f>IFERROR(VLOOKUP(M1975,MgValor,2,0)*VLOOKUP(P1975,MgDeg,2,0),0)</f>
        <v/>
      </c>
      <c r="T1975" s="30">
        <f>MAX(Q1975:S1975)</f>
        <v/>
      </c>
      <c r="U1975" s="28">
        <f>IFERROR(LOOKUP(T1975,{0;0.5;1.5;3;4.5},{"Despreciable";"Bajo";"Medio";"Alto";"Muy alto"}),"")</f>
        <v/>
      </c>
      <c r="V1975" s="13">
        <f>IFERROR(INDEX(MgAmenFrec,MATCH(SUBSTITUTE($H1975,"*","-"),MgAmenClave,0)),"")</f>
        <v/>
      </c>
      <c r="W1975" s="28">
        <f>IFERROR(LOOKUP(X1975,{0;0.01;0.1;1;10;100},{"Muy baja";"Muy baja";"Baja";"Media";"Alta";"Muy alta"}),"")</f>
        <v/>
      </c>
      <c r="X1975" s="31">
        <f>IFERROR(VLOOKUP(V1975,MgFrec,2,0),0)</f>
        <v/>
      </c>
      <c r="Y1975" s="30">
        <f>T1975*X1975</f>
        <v/>
      </c>
      <c r="Z1975" s="28">
        <f>IFERROR(LOOKUP(Y1975,{0;0.5;5;25},{"Bajo";"Medio";"Alto";"Crítico"}),"")</f>
        <v/>
      </c>
      <c r="AA1975" s="64">
        <f>IF(T1975&gt;=3,IF(X1975&gt;=1,"Zona 1 — Crítica: impacto alto y ocurre al menos una vez al año","Zona 4 — Catastrófica poco probable: impacto alto pero excepcional"),IF(AND(T1975&lt;1.5,X1975&lt;1),"Zona 3 — Asumible: impacto bajo y muy poco frecuente","Zona 2 — Atención: riesgo intermedio"))</f>
        <v/>
      </c>
      <c r="AB1975" s="64">
        <f>IFERROR(INDEX(MgAmenCtrl,MATCH(SUBSTITUTE($H1975,"*","-"),MgAmenClave,0)),"")</f>
        <v/>
      </c>
      <c r="AC1975" s="20" t="n"/>
      <c r="AD1975" s="31">
        <f>IFERROR($X1975*(1-IF($AC1975="",$AL1975,VLOOKUP($AC1975,MgMad,2,0))),"")</f>
        <v/>
      </c>
      <c r="AE1975" s="28">
        <f>IFERROR(LOOKUP(AD1975,{0;0.01;0.1;1;10;100},{"Muy baja";"Muy baja";"Baja";"Media";"Alta";"Muy alta"}),"")</f>
        <v/>
      </c>
      <c r="AF1975" s="30">
        <f>T1975*AD1975</f>
        <v/>
      </c>
      <c r="AG1975" s="28">
        <f>IFERROR(LOOKUP(AF1975,{0;0.5;5;25},{"Bajo";"Medio";"Alto";"Crítico"}),"")</f>
        <v/>
      </c>
      <c r="AH1975" s="28">
        <f>IF(AG1975="","",IF(OR(AG1975="Crítico",AG1975="Alto"),"Mitigar",IF(AG1975="Medio","Mitigar","Aceptar y monitorear")))</f>
        <v/>
      </c>
      <c r="AI1975" s="21" t="n"/>
      <c r="AJ1975" s="21" t="n"/>
      <c r="AK1975" s="20" t="n"/>
      <c r="AL1975" s="77">
        <f>IFERROR(INDEX(MgAmenEfic,MATCH(SUBSTITUTE($H1975,"*","-"),MgAmenClave,0)),0)</f>
        <v/>
      </c>
    </row>
    <row r="1976" hidden="1" ht="75" customHeight="1" s="54">
      <c r="B1976" s="59" t="inlineStr">
        <is>
          <t>R-1971</t>
        </is>
      </c>
      <c r="C1976" s="59" t="inlineStr">
        <is>
          <t>FIN-21</t>
        </is>
      </c>
      <c r="D1976" s="64">
        <f>IFERROR(INDEX(MgNombre,MATCH($C1976,MgActId,0)),"")</f>
        <v/>
      </c>
      <c r="E1976" s="64">
        <f>IFERROR(INDEX(MgProceso,MATCH($C1976,MgActId,0)),"")</f>
        <v/>
      </c>
      <c r="F1976" s="64">
        <f>IFERROR(INDEX(MgTipo,MATCH($C1976,MgActId,0)),"")</f>
        <v/>
      </c>
      <c r="G1976" s="64">
        <f>IFERROR(INDEX(MgSubtipo,MATCH($C1976,MgActId,0)),"")</f>
        <v/>
      </c>
      <c r="H1976" s="59" t="inlineStr">
        <is>
          <t>I.5</t>
        </is>
      </c>
      <c r="I1976" s="64">
        <f>IFERROR(INDEX(MgAmenNombre,MATCH(SUBSTITUTE($H1976,"*","-"),MgAmenClave,0)),"")</f>
        <v/>
      </c>
      <c r="J1976" s="28">
        <f>IFERROR(INDEX(MgAmenGrupo,MATCH(SUBSTITUTE($H1976,"*","-"),MgAmenClave,0)),"")</f>
        <v/>
      </c>
      <c r="K1976" s="64">
        <f>IFERROR(INDEX('1. Matriz de Activos'!$Q$6:$Q$239,MATCH($C1976,MgActId,0)),"")</f>
        <v/>
      </c>
      <c r="L1976" s="64">
        <f>IFERROR(INDEX('1. Matriz de Activos'!$R$6:$R$239,MATCH($C1976,MgActId,0)),"")</f>
        <v/>
      </c>
      <c r="M1976" s="64">
        <f>IFERROR(INDEX('1. Matriz de Activos'!$S$6:$S$239,MATCH($C1976,MgActId,0)),"")</f>
        <v/>
      </c>
      <c r="N1976" s="28">
        <f>IFERROR(INDEX(MgAmenDegD,MATCH(SUBSTITUTE($H1976,"*","-"),MgAmenClave,0)),"No aplica")</f>
        <v/>
      </c>
      <c r="O1976" s="28">
        <f>IFERROR(INDEX(MgAmenDegI,MATCH(SUBSTITUTE($H1976,"*","-"),MgAmenClave,0)),"No aplica")</f>
        <v/>
      </c>
      <c r="P1976" s="28">
        <f>IFERROR(INDEX(MgAmenDegC,MATCH(SUBSTITUTE($H1976,"*","-"),MgAmenClave,0)),"No aplica")</f>
        <v/>
      </c>
      <c r="Q1976" s="29">
        <f>IFERROR(VLOOKUP(K1976,MgValor,2,0)*VLOOKUP(N1976,MgDeg,2,0),0)</f>
        <v/>
      </c>
      <c r="R1976" s="29">
        <f>IFERROR(VLOOKUP(L1976,MgValor,2,0)*VLOOKUP(O1976,MgDeg,2,0),0)</f>
        <v/>
      </c>
      <c r="S1976" s="29">
        <f>IFERROR(VLOOKUP(M1976,MgValor,2,0)*VLOOKUP(P1976,MgDeg,2,0),0)</f>
        <v/>
      </c>
      <c r="T1976" s="30">
        <f>MAX(Q1976:S1976)</f>
        <v/>
      </c>
      <c r="U1976" s="28">
        <f>IFERROR(LOOKUP(T1976,{0;0.5;1.5;3;4.5},{"Despreciable";"Bajo";"Medio";"Alto";"Muy alto"}),"")</f>
        <v/>
      </c>
      <c r="V1976" s="13">
        <f>IFERROR(INDEX(MgAmenFrec,MATCH(SUBSTITUTE($H1976,"*","-"),MgAmenClave,0)),"")</f>
        <v/>
      </c>
      <c r="W1976" s="28">
        <f>IFERROR(LOOKUP(X1976,{0;0.01;0.1;1;10;100},{"Muy baja";"Muy baja";"Baja";"Media";"Alta";"Muy alta"}),"")</f>
        <v/>
      </c>
      <c r="X1976" s="31">
        <f>IFERROR(VLOOKUP(V1976,MgFrec,2,0),0)</f>
        <v/>
      </c>
      <c r="Y1976" s="30">
        <f>T1976*X1976</f>
        <v/>
      </c>
      <c r="Z1976" s="28">
        <f>IFERROR(LOOKUP(Y1976,{0;0.5;5;25},{"Bajo";"Medio";"Alto";"Crítico"}),"")</f>
        <v/>
      </c>
      <c r="AA1976" s="64">
        <f>IF(T1976&gt;=3,IF(X1976&gt;=1,"Zona 1 — Crítica: impacto alto y ocurre al menos una vez al año","Zona 4 — Catastrófica poco probable: impacto alto pero excepcional"),IF(AND(T1976&lt;1.5,X1976&lt;1),"Zona 3 — Asumible: impacto bajo y muy poco frecuente","Zona 2 — Atención: riesgo intermedio"))</f>
        <v/>
      </c>
      <c r="AB1976" s="64">
        <f>IFERROR(INDEX(MgAmenCtrl,MATCH(SUBSTITUTE($H1976,"*","-"),MgAmenClave,0)),"")</f>
        <v/>
      </c>
      <c r="AC1976" s="20" t="n"/>
      <c r="AD1976" s="31">
        <f>IFERROR($X1976*(1-IF($AC1976="",$AL1976,VLOOKUP($AC1976,MgMad,2,0))),"")</f>
        <v/>
      </c>
      <c r="AE1976" s="28">
        <f>IFERROR(LOOKUP(AD1976,{0;0.01;0.1;1;10;100},{"Muy baja";"Muy baja";"Baja";"Media";"Alta";"Muy alta"}),"")</f>
        <v/>
      </c>
      <c r="AF1976" s="30">
        <f>T1976*AD1976</f>
        <v/>
      </c>
      <c r="AG1976" s="28">
        <f>IFERROR(LOOKUP(AF1976,{0;0.5;5;25},{"Bajo";"Medio";"Alto";"Crítico"}),"")</f>
        <v/>
      </c>
      <c r="AH1976" s="28">
        <f>IF(AG1976="","",IF(OR(AG1976="Crítico",AG1976="Alto"),"Mitigar",IF(AG1976="Medio","Mitigar","Aceptar y monitorear")))</f>
        <v/>
      </c>
      <c r="AI1976" s="21" t="n"/>
      <c r="AJ1976" s="21" t="n"/>
      <c r="AK1976" s="20" t="n"/>
      <c r="AL1976" s="77">
        <f>IFERROR(INDEX(MgAmenEfic,MATCH(SUBSTITUTE($H1976,"*","-"),MgAmenClave,0)),0)</f>
        <v/>
      </c>
    </row>
    <row r="1977" hidden="1" ht="105" customHeight="1" s="54">
      <c r="B1977" s="59" t="inlineStr">
        <is>
          <t>R-1972</t>
        </is>
      </c>
      <c r="C1977" s="59" t="inlineStr">
        <is>
          <t>FIN-21</t>
        </is>
      </c>
      <c r="D1977" s="64">
        <f>IFERROR(INDEX(MgNombre,MATCH($C1977,MgActId,0)),"")</f>
        <v/>
      </c>
      <c r="E1977" s="64">
        <f>IFERROR(INDEX(MgProceso,MATCH($C1977,MgActId,0)),"")</f>
        <v/>
      </c>
      <c r="F1977" s="64">
        <f>IFERROR(INDEX(MgTipo,MATCH($C1977,MgActId,0)),"")</f>
        <v/>
      </c>
      <c r="G1977" s="64">
        <f>IFERROR(INDEX(MgSubtipo,MATCH($C1977,MgActId,0)),"")</f>
        <v/>
      </c>
      <c r="H1977" s="59" t="inlineStr">
        <is>
          <t>E.1</t>
        </is>
      </c>
      <c r="I1977" s="64">
        <f>IFERROR(INDEX(MgAmenNombre,MATCH(SUBSTITUTE($H1977,"*","-"),MgAmenClave,0)),"")</f>
        <v/>
      </c>
      <c r="J1977" s="28">
        <f>IFERROR(INDEX(MgAmenGrupo,MATCH(SUBSTITUTE($H1977,"*","-"),MgAmenClave,0)),"")</f>
        <v/>
      </c>
      <c r="K1977" s="64">
        <f>IFERROR(INDEX('1. Matriz de Activos'!$Q$6:$Q$239,MATCH($C1977,MgActId,0)),"")</f>
        <v/>
      </c>
      <c r="L1977" s="64">
        <f>IFERROR(INDEX('1. Matriz de Activos'!$R$6:$R$239,MATCH($C1977,MgActId,0)),"")</f>
        <v/>
      </c>
      <c r="M1977" s="64">
        <f>IFERROR(INDEX('1. Matriz de Activos'!$S$6:$S$239,MATCH($C1977,MgActId,0)),"")</f>
        <v/>
      </c>
      <c r="N1977" s="28">
        <f>IFERROR(INDEX(MgAmenDegD,MATCH(SUBSTITUTE($H1977,"*","-"),MgAmenClave,0)),"No aplica")</f>
        <v/>
      </c>
      <c r="O1977" s="28">
        <f>IFERROR(INDEX(MgAmenDegI,MATCH(SUBSTITUTE($H1977,"*","-"),MgAmenClave,0)),"No aplica")</f>
        <v/>
      </c>
      <c r="P1977" s="28">
        <f>IFERROR(INDEX(MgAmenDegC,MATCH(SUBSTITUTE($H1977,"*","-"),MgAmenClave,0)),"No aplica")</f>
        <v/>
      </c>
      <c r="Q1977" s="29">
        <f>IFERROR(VLOOKUP(K1977,MgValor,2,0)*VLOOKUP(N1977,MgDeg,2,0),0)</f>
        <v/>
      </c>
      <c r="R1977" s="29">
        <f>IFERROR(VLOOKUP(L1977,MgValor,2,0)*VLOOKUP(O1977,MgDeg,2,0),0)</f>
        <v/>
      </c>
      <c r="S1977" s="29">
        <f>IFERROR(VLOOKUP(M1977,MgValor,2,0)*VLOOKUP(P1977,MgDeg,2,0),0)</f>
        <v/>
      </c>
      <c r="T1977" s="30">
        <f>MAX(Q1977:S1977)</f>
        <v/>
      </c>
      <c r="U1977" s="28">
        <f>IFERROR(LOOKUP(T1977,{0;0.5;1.5;3;4.5},{"Despreciable";"Bajo";"Medio";"Alto";"Muy alto"}),"")</f>
        <v/>
      </c>
      <c r="V1977" s="13">
        <f>IFERROR(INDEX(MgAmenFrec,MATCH(SUBSTITUTE($H1977,"*","-"),MgAmenClave,0)),"")</f>
        <v/>
      </c>
      <c r="W1977" s="28">
        <f>IFERROR(LOOKUP(X1977,{0;0.01;0.1;1;10;100},{"Muy baja";"Muy baja";"Baja";"Media";"Alta";"Muy alta"}),"")</f>
        <v/>
      </c>
      <c r="X1977" s="31">
        <f>IFERROR(VLOOKUP(V1977,MgFrec,2,0),0)</f>
        <v/>
      </c>
      <c r="Y1977" s="30">
        <f>T1977*X1977</f>
        <v/>
      </c>
      <c r="Z1977" s="28">
        <f>IFERROR(LOOKUP(Y1977,{0;0.5;5;25},{"Bajo";"Medio";"Alto";"Crítico"}),"")</f>
        <v/>
      </c>
      <c r="AA1977" s="64">
        <f>IF(T1977&gt;=3,IF(X1977&gt;=1,"Zona 1 — Crítica: impacto alto y ocurre al menos una vez al año","Zona 4 — Catastrófica poco probable: impacto alto pero excepcional"),IF(AND(T1977&lt;1.5,X1977&lt;1),"Zona 3 — Asumible: impacto bajo y muy poco frecuente","Zona 2 — Atención: riesgo intermedio"))</f>
        <v/>
      </c>
      <c r="AB1977" s="64">
        <f>IFERROR(INDEX(MgAmenCtrl,MATCH(SUBSTITUTE($H1977,"*","-"),MgAmenClave,0)),"")</f>
        <v/>
      </c>
      <c r="AC1977" s="20" t="n"/>
      <c r="AD1977" s="31">
        <f>IFERROR($X1977*(1-IF($AC1977="",$AL1977,VLOOKUP($AC1977,MgMad,2,0))),"")</f>
        <v/>
      </c>
      <c r="AE1977" s="28">
        <f>IFERROR(LOOKUP(AD1977,{0;0.01;0.1;1;10;100},{"Muy baja";"Muy baja";"Baja";"Media";"Alta";"Muy alta"}),"")</f>
        <v/>
      </c>
      <c r="AF1977" s="30">
        <f>T1977*AD1977</f>
        <v/>
      </c>
      <c r="AG1977" s="28">
        <f>IFERROR(LOOKUP(AF1977,{0;0.5;5;25},{"Bajo";"Medio";"Alto";"Crítico"}),"")</f>
        <v/>
      </c>
      <c r="AH1977" s="28">
        <f>IF(AG1977="","",IF(OR(AG1977="Crítico",AG1977="Alto"),"Mitigar",IF(AG1977="Medio","Mitigar","Aceptar y monitorear")))</f>
        <v/>
      </c>
      <c r="AI1977" s="21" t="n"/>
      <c r="AJ1977" s="21" t="n"/>
      <c r="AK1977" s="20" t="n"/>
      <c r="AL1977" s="77">
        <f>IFERROR(INDEX(MgAmenEfic,MATCH(SUBSTITUTE($H1977,"*","-"),MgAmenClave,0)),0)</f>
        <v/>
      </c>
    </row>
    <row r="1978" hidden="1" ht="120" customHeight="1" s="54">
      <c r="B1978" s="59" t="inlineStr">
        <is>
          <t>R-1973</t>
        </is>
      </c>
      <c r="C1978" s="59" t="inlineStr">
        <is>
          <t>FIN-21</t>
        </is>
      </c>
      <c r="D1978" s="64">
        <f>IFERROR(INDEX(MgNombre,MATCH($C1978,MgActId,0)),"")</f>
        <v/>
      </c>
      <c r="E1978" s="64">
        <f>IFERROR(INDEX(MgProceso,MATCH($C1978,MgActId,0)),"")</f>
        <v/>
      </c>
      <c r="F1978" s="64">
        <f>IFERROR(INDEX(MgTipo,MATCH($C1978,MgActId,0)),"")</f>
        <v/>
      </c>
      <c r="G1978" s="64">
        <f>IFERROR(INDEX(MgSubtipo,MATCH($C1978,MgActId,0)),"")</f>
        <v/>
      </c>
      <c r="H1978" s="59" t="inlineStr">
        <is>
          <t>E.2</t>
        </is>
      </c>
      <c r="I1978" s="64">
        <f>IFERROR(INDEX(MgAmenNombre,MATCH(SUBSTITUTE($H1978,"*","-"),MgAmenClave,0)),"")</f>
        <v/>
      </c>
      <c r="J1978" s="28">
        <f>IFERROR(INDEX(MgAmenGrupo,MATCH(SUBSTITUTE($H1978,"*","-"),MgAmenClave,0)),"")</f>
        <v/>
      </c>
      <c r="K1978" s="64">
        <f>IFERROR(INDEX('1. Matriz de Activos'!$Q$6:$Q$239,MATCH($C1978,MgActId,0)),"")</f>
        <v/>
      </c>
      <c r="L1978" s="64">
        <f>IFERROR(INDEX('1. Matriz de Activos'!$R$6:$R$239,MATCH($C1978,MgActId,0)),"")</f>
        <v/>
      </c>
      <c r="M1978" s="64">
        <f>IFERROR(INDEX('1. Matriz de Activos'!$S$6:$S$239,MATCH($C1978,MgActId,0)),"")</f>
        <v/>
      </c>
      <c r="N1978" s="28">
        <f>IFERROR(INDEX(MgAmenDegD,MATCH(SUBSTITUTE($H1978,"*","-"),MgAmenClave,0)),"No aplica")</f>
        <v/>
      </c>
      <c r="O1978" s="28">
        <f>IFERROR(INDEX(MgAmenDegI,MATCH(SUBSTITUTE($H1978,"*","-"),MgAmenClave,0)),"No aplica")</f>
        <v/>
      </c>
      <c r="P1978" s="28">
        <f>IFERROR(INDEX(MgAmenDegC,MATCH(SUBSTITUTE($H1978,"*","-"),MgAmenClave,0)),"No aplica")</f>
        <v/>
      </c>
      <c r="Q1978" s="29">
        <f>IFERROR(VLOOKUP(K1978,MgValor,2,0)*VLOOKUP(N1978,MgDeg,2,0),0)</f>
        <v/>
      </c>
      <c r="R1978" s="29">
        <f>IFERROR(VLOOKUP(L1978,MgValor,2,0)*VLOOKUP(O1978,MgDeg,2,0),0)</f>
        <v/>
      </c>
      <c r="S1978" s="29">
        <f>IFERROR(VLOOKUP(M1978,MgValor,2,0)*VLOOKUP(P1978,MgDeg,2,0),0)</f>
        <v/>
      </c>
      <c r="T1978" s="30">
        <f>MAX(Q1978:S1978)</f>
        <v/>
      </c>
      <c r="U1978" s="28">
        <f>IFERROR(LOOKUP(T1978,{0;0.5;1.5;3;4.5},{"Despreciable";"Bajo";"Medio";"Alto";"Muy alto"}),"")</f>
        <v/>
      </c>
      <c r="V1978" s="13">
        <f>IFERROR(INDEX(MgAmenFrec,MATCH(SUBSTITUTE($H1978,"*","-"),MgAmenClave,0)),"")</f>
        <v/>
      </c>
      <c r="W1978" s="28">
        <f>IFERROR(LOOKUP(X1978,{0;0.01;0.1;1;10;100},{"Muy baja";"Muy baja";"Baja";"Media";"Alta";"Muy alta"}),"")</f>
        <v/>
      </c>
      <c r="X1978" s="31">
        <f>IFERROR(VLOOKUP(V1978,MgFrec,2,0),0)</f>
        <v/>
      </c>
      <c r="Y1978" s="30">
        <f>T1978*X1978</f>
        <v/>
      </c>
      <c r="Z1978" s="28">
        <f>IFERROR(LOOKUP(Y1978,{0;0.5;5;25},{"Bajo";"Medio";"Alto";"Crítico"}),"")</f>
        <v/>
      </c>
      <c r="AA1978" s="64">
        <f>IF(T1978&gt;=3,IF(X1978&gt;=1,"Zona 1 — Crítica: impacto alto y ocurre al menos una vez al año","Zona 4 — Catastrófica poco probable: impacto alto pero excepcional"),IF(AND(T1978&lt;1.5,X1978&lt;1),"Zona 3 — Asumible: impacto bajo y muy poco frecuente","Zona 2 — Atención: riesgo intermedio"))</f>
        <v/>
      </c>
      <c r="AB1978" s="64">
        <f>IFERROR(INDEX(MgAmenCtrl,MATCH(SUBSTITUTE($H1978,"*","-"),MgAmenClave,0)),"")</f>
        <v/>
      </c>
      <c r="AC1978" s="20" t="n"/>
      <c r="AD1978" s="31">
        <f>IFERROR($X1978*(1-IF($AC1978="",$AL1978,VLOOKUP($AC1978,MgMad,2,0))),"")</f>
        <v/>
      </c>
      <c r="AE1978" s="28">
        <f>IFERROR(LOOKUP(AD1978,{0;0.01;0.1;1;10;100},{"Muy baja";"Muy baja";"Baja";"Media";"Alta";"Muy alta"}),"")</f>
        <v/>
      </c>
      <c r="AF1978" s="30">
        <f>T1978*AD1978</f>
        <v/>
      </c>
      <c r="AG1978" s="28">
        <f>IFERROR(LOOKUP(AF1978,{0;0.5;5;25},{"Bajo";"Medio";"Alto";"Crítico"}),"")</f>
        <v/>
      </c>
      <c r="AH1978" s="28">
        <f>IF(AG1978="","",IF(OR(AG1978="Crítico",AG1978="Alto"),"Mitigar",IF(AG1978="Medio","Mitigar","Aceptar y monitorear")))</f>
        <v/>
      </c>
      <c r="AI1978" s="21" t="n"/>
      <c r="AJ1978" s="21" t="n"/>
      <c r="AK1978" s="20" t="n"/>
      <c r="AL1978" s="77">
        <f>IFERROR(INDEX(MgAmenEfic,MATCH(SUBSTITUTE($H1978,"*","-"),MgAmenClave,0)),0)</f>
        <v/>
      </c>
    </row>
    <row r="1979" hidden="1" ht="75" customHeight="1" s="54">
      <c r="B1979" s="59" t="inlineStr">
        <is>
          <t>R-1974</t>
        </is>
      </c>
      <c r="C1979" s="59" t="inlineStr">
        <is>
          <t>FIN-21</t>
        </is>
      </c>
      <c r="D1979" s="64">
        <f>IFERROR(INDEX(MgNombre,MATCH($C1979,MgActId,0)),"")</f>
        <v/>
      </c>
      <c r="E1979" s="64">
        <f>IFERROR(INDEX(MgProceso,MATCH($C1979,MgActId,0)),"")</f>
        <v/>
      </c>
      <c r="F1979" s="64">
        <f>IFERROR(INDEX(MgTipo,MATCH($C1979,MgActId,0)),"")</f>
        <v/>
      </c>
      <c r="G1979" s="64">
        <f>IFERROR(INDEX(MgSubtipo,MATCH($C1979,MgActId,0)),"")</f>
        <v/>
      </c>
      <c r="H1979" s="59" t="inlineStr">
        <is>
          <t>E.8</t>
        </is>
      </c>
      <c r="I1979" s="64">
        <f>IFERROR(INDEX(MgAmenNombre,MATCH(SUBSTITUTE($H1979,"*","-"),MgAmenClave,0)),"")</f>
        <v/>
      </c>
      <c r="J1979" s="28">
        <f>IFERROR(INDEX(MgAmenGrupo,MATCH(SUBSTITUTE($H1979,"*","-"),MgAmenClave,0)),"")</f>
        <v/>
      </c>
      <c r="K1979" s="64">
        <f>IFERROR(INDEX('1. Matriz de Activos'!$Q$6:$Q$239,MATCH($C1979,MgActId,0)),"")</f>
        <v/>
      </c>
      <c r="L1979" s="64">
        <f>IFERROR(INDEX('1. Matriz de Activos'!$R$6:$R$239,MATCH($C1979,MgActId,0)),"")</f>
        <v/>
      </c>
      <c r="M1979" s="64">
        <f>IFERROR(INDEX('1. Matriz de Activos'!$S$6:$S$239,MATCH($C1979,MgActId,0)),"")</f>
        <v/>
      </c>
      <c r="N1979" s="28">
        <f>IFERROR(INDEX(MgAmenDegD,MATCH(SUBSTITUTE($H1979,"*","-"),MgAmenClave,0)),"No aplica")</f>
        <v/>
      </c>
      <c r="O1979" s="28">
        <f>IFERROR(INDEX(MgAmenDegI,MATCH(SUBSTITUTE($H1979,"*","-"),MgAmenClave,0)),"No aplica")</f>
        <v/>
      </c>
      <c r="P1979" s="28">
        <f>IFERROR(INDEX(MgAmenDegC,MATCH(SUBSTITUTE($H1979,"*","-"),MgAmenClave,0)),"No aplica")</f>
        <v/>
      </c>
      <c r="Q1979" s="29">
        <f>IFERROR(VLOOKUP(K1979,MgValor,2,0)*VLOOKUP(N1979,MgDeg,2,0),0)</f>
        <v/>
      </c>
      <c r="R1979" s="29">
        <f>IFERROR(VLOOKUP(L1979,MgValor,2,0)*VLOOKUP(O1979,MgDeg,2,0),0)</f>
        <v/>
      </c>
      <c r="S1979" s="29">
        <f>IFERROR(VLOOKUP(M1979,MgValor,2,0)*VLOOKUP(P1979,MgDeg,2,0),0)</f>
        <v/>
      </c>
      <c r="T1979" s="30">
        <f>MAX(Q1979:S1979)</f>
        <v/>
      </c>
      <c r="U1979" s="28">
        <f>IFERROR(LOOKUP(T1979,{0;0.5;1.5;3;4.5},{"Despreciable";"Bajo";"Medio";"Alto";"Muy alto"}),"")</f>
        <v/>
      </c>
      <c r="V1979" s="13">
        <f>IFERROR(INDEX(MgAmenFrec,MATCH(SUBSTITUTE($H1979,"*","-"),MgAmenClave,0)),"")</f>
        <v/>
      </c>
      <c r="W1979" s="28">
        <f>IFERROR(LOOKUP(X1979,{0;0.01;0.1;1;10;100},{"Muy baja";"Muy baja";"Baja";"Media";"Alta";"Muy alta"}),"")</f>
        <v/>
      </c>
      <c r="X1979" s="31">
        <f>IFERROR(VLOOKUP(V1979,MgFrec,2,0),0)</f>
        <v/>
      </c>
      <c r="Y1979" s="30">
        <f>T1979*X1979</f>
        <v/>
      </c>
      <c r="Z1979" s="28">
        <f>IFERROR(LOOKUP(Y1979,{0;0.5;5;25},{"Bajo";"Medio";"Alto";"Crítico"}),"")</f>
        <v/>
      </c>
      <c r="AA1979" s="64">
        <f>IF(T1979&gt;=3,IF(X1979&gt;=1,"Zona 1 — Crítica: impacto alto y ocurre al menos una vez al año","Zona 4 — Catastrófica poco probable: impacto alto pero excepcional"),IF(AND(T1979&lt;1.5,X1979&lt;1),"Zona 3 — Asumible: impacto bajo y muy poco frecuente","Zona 2 — Atención: riesgo intermedio"))</f>
        <v/>
      </c>
      <c r="AB1979" s="64">
        <f>IFERROR(INDEX(MgAmenCtrl,MATCH(SUBSTITUTE($H1979,"*","-"),MgAmenClave,0)),"")</f>
        <v/>
      </c>
      <c r="AC1979" s="20" t="n"/>
      <c r="AD1979" s="31">
        <f>IFERROR($X1979*(1-IF($AC1979="",$AL1979,VLOOKUP($AC1979,MgMad,2,0))),"")</f>
        <v/>
      </c>
      <c r="AE1979" s="28">
        <f>IFERROR(LOOKUP(AD1979,{0;0.01;0.1;1;10;100},{"Muy baja";"Muy baja";"Baja";"Media";"Alta";"Muy alta"}),"")</f>
        <v/>
      </c>
      <c r="AF1979" s="30">
        <f>T1979*AD1979</f>
        <v/>
      </c>
      <c r="AG1979" s="28">
        <f>IFERROR(LOOKUP(AF1979,{0;0.5;5;25},{"Bajo";"Medio";"Alto";"Crítico"}),"")</f>
        <v/>
      </c>
      <c r="AH1979" s="28">
        <f>IF(AG1979="","",IF(OR(AG1979="Crítico",AG1979="Alto"),"Mitigar",IF(AG1979="Medio","Mitigar","Aceptar y monitorear")))</f>
        <v/>
      </c>
      <c r="AI1979" s="21" t="n"/>
      <c r="AJ1979" s="21" t="n"/>
      <c r="AK1979" s="20" t="n"/>
      <c r="AL1979" s="77">
        <f>IFERROR(INDEX(MgAmenEfic,MATCH(SUBSTITUTE($H1979,"*","-"),MgAmenClave,0)),0)</f>
        <v/>
      </c>
    </row>
    <row r="1980" hidden="1" ht="60" customHeight="1" s="54">
      <c r="B1980" s="59" t="inlineStr">
        <is>
          <t>R-1975</t>
        </is>
      </c>
      <c r="C1980" s="59" t="inlineStr">
        <is>
          <t>FIN-21</t>
        </is>
      </c>
      <c r="D1980" s="64">
        <f>IFERROR(INDEX(MgNombre,MATCH($C1980,MgActId,0)),"")</f>
        <v/>
      </c>
      <c r="E1980" s="64">
        <f>IFERROR(INDEX(MgProceso,MATCH($C1980,MgActId,0)),"")</f>
        <v/>
      </c>
      <c r="F1980" s="64">
        <f>IFERROR(INDEX(MgTipo,MATCH($C1980,MgActId,0)),"")</f>
        <v/>
      </c>
      <c r="G1980" s="64">
        <f>IFERROR(INDEX(MgSubtipo,MATCH($C1980,MgActId,0)),"")</f>
        <v/>
      </c>
      <c r="H1980" s="59" t="inlineStr">
        <is>
          <t>E.9</t>
        </is>
      </c>
      <c r="I1980" s="64">
        <f>IFERROR(INDEX(MgAmenNombre,MATCH(SUBSTITUTE($H1980,"*","-"),MgAmenClave,0)),"")</f>
        <v/>
      </c>
      <c r="J1980" s="28">
        <f>IFERROR(INDEX(MgAmenGrupo,MATCH(SUBSTITUTE($H1980,"*","-"),MgAmenClave,0)),"")</f>
        <v/>
      </c>
      <c r="K1980" s="64">
        <f>IFERROR(INDEX('1. Matriz de Activos'!$Q$6:$Q$239,MATCH($C1980,MgActId,0)),"")</f>
        <v/>
      </c>
      <c r="L1980" s="64">
        <f>IFERROR(INDEX('1. Matriz de Activos'!$R$6:$R$239,MATCH($C1980,MgActId,0)),"")</f>
        <v/>
      </c>
      <c r="M1980" s="64">
        <f>IFERROR(INDEX('1. Matriz de Activos'!$S$6:$S$239,MATCH($C1980,MgActId,0)),"")</f>
        <v/>
      </c>
      <c r="N1980" s="28">
        <f>IFERROR(INDEX(MgAmenDegD,MATCH(SUBSTITUTE($H1980,"*","-"),MgAmenClave,0)),"No aplica")</f>
        <v/>
      </c>
      <c r="O1980" s="28">
        <f>IFERROR(INDEX(MgAmenDegI,MATCH(SUBSTITUTE($H1980,"*","-"),MgAmenClave,0)),"No aplica")</f>
        <v/>
      </c>
      <c r="P1980" s="28">
        <f>IFERROR(INDEX(MgAmenDegC,MATCH(SUBSTITUTE($H1980,"*","-"),MgAmenClave,0)),"No aplica")</f>
        <v/>
      </c>
      <c r="Q1980" s="29">
        <f>IFERROR(VLOOKUP(K1980,MgValor,2,0)*VLOOKUP(N1980,MgDeg,2,0),0)</f>
        <v/>
      </c>
      <c r="R1980" s="29">
        <f>IFERROR(VLOOKUP(L1980,MgValor,2,0)*VLOOKUP(O1980,MgDeg,2,0),0)</f>
        <v/>
      </c>
      <c r="S1980" s="29">
        <f>IFERROR(VLOOKUP(M1980,MgValor,2,0)*VLOOKUP(P1980,MgDeg,2,0),0)</f>
        <v/>
      </c>
      <c r="T1980" s="30">
        <f>MAX(Q1980:S1980)</f>
        <v/>
      </c>
      <c r="U1980" s="28">
        <f>IFERROR(LOOKUP(T1980,{0;0.5;1.5;3;4.5},{"Despreciable";"Bajo";"Medio";"Alto";"Muy alto"}),"")</f>
        <v/>
      </c>
      <c r="V1980" s="13">
        <f>IFERROR(INDEX(MgAmenFrec,MATCH(SUBSTITUTE($H1980,"*","-"),MgAmenClave,0)),"")</f>
        <v/>
      </c>
      <c r="W1980" s="28">
        <f>IFERROR(LOOKUP(X1980,{0;0.01;0.1;1;10;100},{"Muy baja";"Muy baja";"Baja";"Media";"Alta";"Muy alta"}),"")</f>
        <v/>
      </c>
      <c r="X1980" s="31">
        <f>IFERROR(VLOOKUP(V1980,MgFrec,2,0),0)</f>
        <v/>
      </c>
      <c r="Y1980" s="30">
        <f>T1980*X1980</f>
        <v/>
      </c>
      <c r="Z1980" s="28">
        <f>IFERROR(LOOKUP(Y1980,{0;0.5;5;25},{"Bajo";"Medio";"Alto";"Crítico"}),"")</f>
        <v/>
      </c>
      <c r="AA1980" s="64">
        <f>IF(T1980&gt;=3,IF(X1980&gt;=1,"Zona 1 — Crítica: impacto alto y ocurre al menos una vez al año","Zona 4 — Catastrófica poco probable: impacto alto pero excepcional"),IF(AND(T1980&lt;1.5,X1980&lt;1),"Zona 3 — Asumible: impacto bajo y muy poco frecuente","Zona 2 — Atención: riesgo intermedio"))</f>
        <v/>
      </c>
      <c r="AB1980" s="64">
        <f>IFERROR(INDEX(MgAmenCtrl,MATCH(SUBSTITUTE($H1980,"*","-"),MgAmenClave,0)),"")</f>
        <v/>
      </c>
      <c r="AC1980" s="20" t="n"/>
      <c r="AD1980" s="31">
        <f>IFERROR($X1980*(1-IF($AC1980="",$AL1980,VLOOKUP($AC1980,MgMad,2,0))),"")</f>
        <v/>
      </c>
      <c r="AE1980" s="28">
        <f>IFERROR(LOOKUP(AD1980,{0;0.01;0.1;1;10;100},{"Muy baja";"Muy baja";"Baja";"Media";"Alta";"Muy alta"}),"")</f>
        <v/>
      </c>
      <c r="AF1980" s="30">
        <f>T1980*AD1980</f>
        <v/>
      </c>
      <c r="AG1980" s="28">
        <f>IFERROR(LOOKUP(AF1980,{0;0.5;5;25},{"Bajo";"Medio";"Alto";"Crítico"}),"")</f>
        <v/>
      </c>
      <c r="AH1980" s="28">
        <f>IF(AG1980="","",IF(OR(AG1980="Crítico",AG1980="Alto"),"Mitigar",IF(AG1980="Medio","Mitigar","Aceptar y monitorear")))</f>
        <v/>
      </c>
      <c r="AI1980" s="21" t="n"/>
      <c r="AJ1980" s="21" t="n"/>
      <c r="AK1980" s="20" t="n"/>
      <c r="AL1980" s="77">
        <f>IFERROR(INDEX(MgAmenEfic,MATCH(SUBSTITUTE($H1980,"*","-"),MgAmenClave,0)),0)</f>
        <v/>
      </c>
    </row>
    <row r="1981" hidden="1" ht="90" customHeight="1" s="54">
      <c r="B1981" s="59" t="inlineStr">
        <is>
          <t>R-1976</t>
        </is>
      </c>
      <c r="C1981" s="59" t="inlineStr">
        <is>
          <t>FIN-21</t>
        </is>
      </c>
      <c r="D1981" s="64">
        <f>IFERROR(INDEX(MgNombre,MATCH($C1981,MgActId,0)),"")</f>
        <v/>
      </c>
      <c r="E1981" s="64">
        <f>IFERROR(INDEX(MgProceso,MATCH($C1981,MgActId,0)),"")</f>
        <v/>
      </c>
      <c r="F1981" s="64">
        <f>IFERROR(INDEX(MgTipo,MATCH($C1981,MgActId,0)),"")</f>
        <v/>
      </c>
      <c r="G1981" s="64">
        <f>IFERROR(INDEX(MgSubtipo,MATCH($C1981,MgActId,0)),"")</f>
        <v/>
      </c>
      <c r="H1981" s="59" t="inlineStr">
        <is>
          <t>E.10</t>
        </is>
      </c>
      <c r="I1981" s="64">
        <f>IFERROR(INDEX(MgAmenNombre,MATCH(SUBSTITUTE($H1981,"*","-"),MgAmenClave,0)),"")</f>
        <v/>
      </c>
      <c r="J1981" s="28">
        <f>IFERROR(INDEX(MgAmenGrupo,MATCH(SUBSTITUTE($H1981,"*","-"),MgAmenClave,0)),"")</f>
        <v/>
      </c>
      <c r="K1981" s="64">
        <f>IFERROR(INDEX('1. Matriz de Activos'!$Q$6:$Q$239,MATCH($C1981,MgActId,0)),"")</f>
        <v/>
      </c>
      <c r="L1981" s="64">
        <f>IFERROR(INDEX('1. Matriz de Activos'!$R$6:$R$239,MATCH($C1981,MgActId,0)),"")</f>
        <v/>
      </c>
      <c r="M1981" s="64">
        <f>IFERROR(INDEX('1. Matriz de Activos'!$S$6:$S$239,MATCH($C1981,MgActId,0)),"")</f>
        <v/>
      </c>
      <c r="N1981" s="28">
        <f>IFERROR(INDEX(MgAmenDegD,MATCH(SUBSTITUTE($H1981,"*","-"),MgAmenClave,0)),"No aplica")</f>
        <v/>
      </c>
      <c r="O1981" s="28">
        <f>IFERROR(INDEX(MgAmenDegI,MATCH(SUBSTITUTE($H1981,"*","-"),MgAmenClave,0)),"No aplica")</f>
        <v/>
      </c>
      <c r="P1981" s="28">
        <f>IFERROR(INDEX(MgAmenDegC,MATCH(SUBSTITUTE($H1981,"*","-"),MgAmenClave,0)),"No aplica")</f>
        <v/>
      </c>
      <c r="Q1981" s="29">
        <f>IFERROR(VLOOKUP(K1981,MgValor,2,0)*VLOOKUP(N1981,MgDeg,2,0),0)</f>
        <v/>
      </c>
      <c r="R1981" s="29">
        <f>IFERROR(VLOOKUP(L1981,MgValor,2,0)*VLOOKUP(O1981,MgDeg,2,0),0)</f>
        <v/>
      </c>
      <c r="S1981" s="29">
        <f>IFERROR(VLOOKUP(M1981,MgValor,2,0)*VLOOKUP(P1981,MgDeg,2,0),0)</f>
        <v/>
      </c>
      <c r="T1981" s="30">
        <f>MAX(Q1981:S1981)</f>
        <v/>
      </c>
      <c r="U1981" s="28">
        <f>IFERROR(LOOKUP(T1981,{0;0.5;1.5;3;4.5},{"Despreciable";"Bajo";"Medio";"Alto";"Muy alto"}),"")</f>
        <v/>
      </c>
      <c r="V1981" s="13">
        <f>IFERROR(INDEX(MgAmenFrec,MATCH(SUBSTITUTE($H1981,"*","-"),MgAmenClave,0)),"")</f>
        <v/>
      </c>
      <c r="W1981" s="28">
        <f>IFERROR(LOOKUP(X1981,{0;0.01;0.1;1;10;100},{"Muy baja";"Muy baja";"Baja";"Media";"Alta";"Muy alta"}),"")</f>
        <v/>
      </c>
      <c r="X1981" s="31">
        <f>IFERROR(VLOOKUP(V1981,MgFrec,2,0),0)</f>
        <v/>
      </c>
      <c r="Y1981" s="30">
        <f>T1981*X1981</f>
        <v/>
      </c>
      <c r="Z1981" s="28">
        <f>IFERROR(LOOKUP(Y1981,{0;0.5;5;25},{"Bajo";"Medio";"Alto";"Crítico"}),"")</f>
        <v/>
      </c>
      <c r="AA1981" s="64">
        <f>IF(T1981&gt;=3,IF(X1981&gt;=1,"Zona 1 — Crítica: impacto alto y ocurre al menos una vez al año","Zona 4 — Catastrófica poco probable: impacto alto pero excepcional"),IF(AND(T1981&lt;1.5,X1981&lt;1),"Zona 3 — Asumible: impacto bajo y muy poco frecuente","Zona 2 — Atención: riesgo intermedio"))</f>
        <v/>
      </c>
      <c r="AB1981" s="64">
        <f>IFERROR(INDEX(MgAmenCtrl,MATCH(SUBSTITUTE($H1981,"*","-"),MgAmenClave,0)),"")</f>
        <v/>
      </c>
      <c r="AC1981" s="20" t="n"/>
      <c r="AD1981" s="31">
        <f>IFERROR($X1981*(1-IF($AC1981="",$AL1981,VLOOKUP($AC1981,MgMad,2,0))),"")</f>
        <v/>
      </c>
      <c r="AE1981" s="28">
        <f>IFERROR(LOOKUP(AD1981,{0;0.01;0.1;1;10;100},{"Muy baja";"Muy baja";"Baja";"Media";"Alta";"Muy alta"}),"")</f>
        <v/>
      </c>
      <c r="AF1981" s="30">
        <f>T1981*AD1981</f>
        <v/>
      </c>
      <c r="AG1981" s="28">
        <f>IFERROR(LOOKUP(AF1981,{0;0.5;5;25},{"Bajo";"Medio";"Alto";"Crítico"}),"")</f>
        <v/>
      </c>
      <c r="AH1981" s="28">
        <f>IF(AG1981="","",IF(OR(AG1981="Crítico",AG1981="Alto"),"Mitigar",IF(AG1981="Medio","Mitigar","Aceptar y monitorear")))</f>
        <v/>
      </c>
      <c r="AI1981" s="21" t="n"/>
      <c r="AJ1981" s="21" t="n"/>
      <c r="AK1981" s="20" t="n"/>
      <c r="AL1981" s="77">
        <f>IFERROR(INDEX(MgAmenEfic,MATCH(SUBSTITUTE($H1981,"*","-"),MgAmenClave,0)),0)</f>
        <v/>
      </c>
    </row>
    <row r="1982" hidden="1" ht="90" customHeight="1" s="54">
      <c r="B1982" s="59" t="inlineStr">
        <is>
          <t>R-1977</t>
        </is>
      </c>
      <c r="C1982" s="59" t="inlineStr">
        <is>
          <t>FIN-21</t>
        </is>
      </c>
      <c r="D1982" s="64">
        <f>IFERROR(INDEX(MgNombre,MATCH($C1982,MgActId,0)),"")</f>
        <v/>
      </c>
      <c r="E1982" s="64">
        <f>IFERROR(INDEX(MgProceso,MATCH($C1982,MgActId,0)),"")</f>
        <v/>
      </c>
      <c r="F1982" s="64">
        <f>IFERROR(INDEX(MgTipo,MATCH($C1982,MgActId,0)),"")</f>
        <v/>
      </c>
      <c r="G1982" s="64">
        <f>IFERROR(INDEX(MgSubtipo,MATCH($C1982,MgActId,0)),"")</f>
        <v/>
      </c>
      <c r="H1982" s="59" t="inlineStr">
        <is>
          <t>E.14</t>
        </is>
      </c>
      <c r="I1982" s="64">
        <f>IFERROR(INDEX(MgAmenNombre,MATCH(SUBSTITUTE($H1982,"*","-"),MgAmenClave,0)),"")</f>
        <v/>
      </c>
      <c r="J1982" s="28">
        <f>IFERROR(INDEX(MgAmenGrupo,MATCH(SUBSTITUTE($H1982,"*","-"),MgAmenClave,0)),"")</f>
        <v/>
      </c>
      <c r="K1982" s="64">
        <f>IFERROR(INDEX('1. Matriz de Activos'!$Q$6:$Q$239,MATCH($C1982,MgActId,0)),"")</f>
        <v/>
      </c>
      <c r="L1982" s="64">
        <f>IFERROR(INDEX('1. Matriz de Activos'!$R$6:$R$239,MATCH($C1982,MgActId,0)),"")</f>
        <v/>
      </c>
      <c r="M1982" s="64">
        <f>IFERROR(INDEX('1. Matriz de Activos'!$S$6:$S$239,MATCH($C1982,MgActId,0)),"")</f>
        <v/>
      </c>
      <c r="N1982" s="28">
        <f>IFERROR(INDEX(MgAmenDegD,MATCH(SUBSTITUTE($H1982,"*","-"),MgAmenClave,0)),"No aplica")</f>
        <v/>
      </c>
      <c r="O1982" s="28">
        <f>IFERROR(INDEX(MgAmenDegI,MATCH(SUBSTITUTE($H1982,"*","-"),MgAmenClave,0)),"No aplica")</f>
        <v/>
      </c>
      <c r="P1982" s="28">
        <f>IFERROR(INDEX(MgAmenDegC,MATCH(SUBSTITUTE($H1982,"*","-"),MgAmenClave,0)),"No aplica")</f>
        <v/>
      </c>
      <c r="Q1982" s="29">
        <f>IFERROR(VLOOKUP(K1982,MgValor,2,0)*VLOOKUP(N1982,MgDeg,2,0),0)</f>
        <v/>
      </c>
      <c r="R1982" s="29">
        <f>IFERROR(VLOOKUP(L1982,MgValor,2,0)*VLOOKUP(O1982,MgDeg,2,0),0)</f>
        <v/>
      </c>
      <c r="S1982" s="29">
        <f>IFERROR(VLOOKUP(M1982,MgValor,2,0)*VLOOKUP(P1982,MgDeg,2,0),0)</f>
        <v/>
      </c>
      <c r="T1982" s="30">
        <f>MAX(Q1982:S1982)</f>
        <v/>
      </c>
      <c r="U1982" s="28">
        <f>IFERROR(LOOKUP(T1982,{0;0.5;1.5;3;4.5},{"Despreciable";"Bajo";"Medio";"Alto";"Muy alto"}),"")</f>
        <v/>
      </c>
      <c r="V1982" s="13">
        <f>IFERROR(INDEX(MgAmenFrec,MATCH(SUBSTITUTE($H1982,"*","-"),MgAmenClave,0)),"")</f>
        <v/>
      </c>
      <c r="W1982" s="28">
        <f>IFERROR(LOOKUP(X1982,{0;0.01;0.1;1;10;100},{"Muy baja";"Muy baja";"Baja";"Media";"Alta";"Muy alta"}),"")</f>
        <v/>
      </c>
      <c r="X1982" s="31">
        <f>IFERROR(VLOOKUP(V1982,MgFrec,2,0),0)</f>
        <v/>
      </c>
      <c r="Y1982" s="30">
        <f>T1982*X1982</f>
        <v/>
      </c>
      <c r="Z1982" s="28">
        <f>IFERROR(LOOKUP(Y1982,{0;0.5;5;25},{"Bajo";"Medio";"Alto";"Crítico"}),"")</f>
        <v/>
      </c>
      <c r="AA1982" s="64">
        <f>IF(T1982&gt;=3,IF(X1982&gt;=1,"Zona 1 — Crítica: impacto alto y ocurre al menos una vez al año","Zona 4 — Catastrófica poco probable: impacto alto pero excepcional"),IF(AND(T1982&lt;1.5,X1982&lt;1),"Zona 3 — Asumible: impacto bajo y muy poco frecuente","Zona 2 — Atención: riesgo intermedio"))</f>
        <v/>
      </c>
      <c r="AB1982" s="64">
        <f>IFERROR(INDEX(MgAmenCtrl,MATCH(SUBSTITUTE($H1982,"*","-"),MgAmenClave,0)),"")</f>
        <v/>
      </c>
      <c r="AC1982" s="20" t="n"/>
      <c r="AD1982" s="31">
        <f>IFERROR($X1982*(1-IF($AC1982="",$AL1982,VLOOKUP($AC1982,MgMad,2,0))),"")</f>
        <v/>
      </c>
      <c r="AE1982" s="28">
        <f>IFERROR(LOOKUP(AD1982,{0;0.01;0.1;1;10;100},{"Muy baja";"Muy baja";"Baja";"Media";"Alta";"Muy alta"}),"")</f>
        <v/>
      </c>
      <c r="AF1982" s="30">
        <f>T1982*AD1982</f>
        <v/>
      </c>
      <c r="AG1982" s="28">
        <f>IFERROR(LOOKUP(AF1982,{0;0.5;5;25},{"Bajo";"Medio";"Alto";"Crítico"}),"")</f>
        <v/>
      </c>
      <c r="AH1982" s="28">
        <f>IF(AG1982="","",IF(OR(AG1982="Crítico",AG1982="Alto"),"Mitigar",IF(AG1982="Medio","Mitigar","Aceptar y monitorear")))</f>
        <v/>
      </c>
      <c r="AI1982" s="21" t="n"/>
      <c r="AJ1982" s="21" t="n"/>
      <c r="AK1982" s="20" t="n"/>
      <c r="AL1982" s="77">
        <f>IFERROR(INDEX(MgAmenEfic,MATCH(SUBSTITUTE($H1982,"*","-"),MgAmenClave,0)),0)</f>
        <v/>
      </c>
    </row>
    <row r="1983" hidden="1" ht="90" customHeight="1" s="54">
      <c r="B1983" s="59" t="inlineStr">
        <is>
          <t>R-1978</t>
        </is>
      </c>
      <c r="C1983" s="59" t="inlineStr">
        <is>
          <t>FIN-21</t>
        </is>
      </c>
      <c r="D1983" s="64">
        <f>IFERROR(INDEX(MgNombre,MATCH($C1983,MgActId,0)),"")</f>
        <v/>
      </c>
      <c r="E1983" s="64">
        <f>IFERROR(INDEX(MgProceso,MATCH($C1983,MgActId,0)),"")</f>
        <v/>
      </c>
      <c r="F1983" s="64">
        <f>IFERROR(INDEX(MgTipo,MATCH($C1983,MgActId,0)),"")</f>
        <v/>
      </c>
      <c r="G1983" s="64">
        <f>IFERROR(INDEX(MgSubtipo,MATCH($C1983,MgActId,0)),"")</f>
        <v/>
      </c>
      <c r="H1983" s="59" t="inlineStr">
        <is>
          <t>E.15</t>
        </is>
      </c>
      <c r="I1983" s="64">
        <f>IFERROR(INDEX(MgAmenNombre,MATCH(SUBSTITUTE($H1983,"*","-"),MgAmenClave,0)),"")</f>
        <v/>
      </c>
      <c r="J1983" s="28">
        <f>IFERROR(INDEX(MgAmenGrupo,MATCH(SUBSTITUTE($H1983,"*","-"),MgAmenClave,0)),"")</f>
        <v/>
      </c>
      <c r="K1983" s="64">
        <f>IFERROR(INDEX('1. Matriz de Activos'!$Q$6:$Q$239,MATCH($C1983,MgActId,0)),"")</f>
        <v/>
      </c>
      <c r="L1983" s="64">
        <f>IFERROR(INDEX('1. Matriz de Activos'!$R$6:$R$239,MATCH($C1983,MgActId,0)),"")</f>
        <v/>
      </c>
      <c r="M1983" s="64">
        <f>IFERROR(INDEX('1. Matriz de Activos'!$S$6:$S$239,MATCH($C1983,MgActId,0)),"")</f>
        <v/>
      </c>
      <c r="N1983" s="28">
        <f>IFERROR(INDEX(MgAmenDegD,MATCH(SUBSTITUTE($H1983,"*","-"),MgAmenClave,0)),"No aplica")</f>
        <v/>
      </c>
      <c r="O1983" s="28">
        <f>IFERROR(INDEX(MgAmenDegI,MATCH(SUBSTITUTE($H1983,"*","-"),MgAmenClave,0)),"No aplica")</f>
        <v/>
      </c>
      <c r="P1983" s="28">
        <f>IFERROR(INDEX(MgAmenDegC,MATCH(SUBSTITUTE($H1983,"*","-"),MgAmenClave,0)),"No aplica")</f>
        <v/>
      </c>
      <c r="Q1983" s="29">
        <f>IFERROR(VLOOKUP(K1983,MgValor,2,0)*VLOOKUP(N1983,MgDeg,2,0),0)</f>
        <v/>
      </c>
      <c r="R1983" s="29">
        <f>IFERROR(VLOOKUP(L1983,MgValor,2,0)*VLOOKUP(O1983,MgDeg,2,0),0)</f>
        <v/>
      </c>
      <c r="S1983" s="29">
        <f>IFERROR(VLOOKUP(M1983,MgValor,2,0)*VLOOKUP(P1983,MgDeg,2,0),0)</f>
        <v/>
      </c>
      <c r="T1983" s="30">
        <f>MAX(Q1983:S1983)</f>
        <v/>
      </c>
      <c r="U1983" s="28">
        <f>IFERROR(LOOKUP(T1983,{0;0.5;1.5;3;4.5},{"Despreciable";"Bajo";"Medio";"Alto";"Muy alto"}),"")</f>
        <v/>
      </c>
      <c r="V1983" s="13">
        <f>IFERROR(INDEX(MgAmenFrec,MATCH(SUBSTITUTE($H1983,"*","-"),MgAmenClave,0)),"")</f>
        <v/>
      </c>
      <c r="W1983" s="28">
        <f>IFERROR(LOOKUP(X1983,{0;0.01;0.1;1;10;100},{"Muy baja";"Muy baja";"Baja";"Media";"Alta";"Muy alta"}),"")</f>
        <v/>
      </c>
      <c r="X1983" s="31">
        <f>IFERROR(VLOOKUP(V1983,MgFrec,2,0),0)</f>
        <v/>
      </c>
      <c r="Y1983" s="30">
        <f>T1983*X1983</f>
        <v/>
      </c>
      <c r="Z1983" s="28">
        <f>IFERROR(LOOKUP(Y1983,{0;0.5;5;25},{"Bajo";"Medio";"Alto";"Crítico"}),"")</f>
        <v/>
      </c>
      <c r="AA1983" s="64">
        <f>IF(T1983&gt;=3,IF(X1983&gt;=1,"Zona 1 — Crítica: impacto alto y ocurre al menos una vez al año","Zona 4 — Catastrófica poco probable: impacto alto pero excepcional"),IF(AND(T1983&lt;1.5,X1983&lt;1),"Zona 3 — Asumible: impacto bajo y muy poco frecuente","Zona 2 — Atención: riesgo intermedio"))</f>
        <v/>
      </c>
      <c r="AB1983" s="64">
        <f>IFERROR(INDEX(MgAmenCtrl,MATCH(SUBSTITUTE($H1983,"*","-"),MgAmenClave,0)),"")</f>
        <v/>
      </c>
      <c r="AC1983" s="20" t="n"/>
      <c r="AD1983" s="31">
        <f>IFERROR($X1983*(1-IF($AC1983="",$AL1983,VLOOKUP($AC1983,MgMad,2,0))),"")</f>
        <v/>
      </c>
      <c r="AE1983" s="28">
        <f>IFERROR(LOOKUP(AD1983,{0;0.01;0.1;1;10;100},{"Muy baja";"Muy baja";"Baja";"Media";"Alta";"Muy alta"}),"")</f>
        <v/>
      </c>
      <c r="AF1983" s="30">
        <f>T1983*AD1983</f>
        <v/>
      </c>
      <c r="AG1983" s="28">
        <f>IFERROR(LOOKUP(AF1983,{0;0.5;5;25},{"Bajo";"Medio";"Alto";"Crítico"}),"")</f>
        <v/>
      </c>
      <c r="AH1983" s="28">
        <f>IF(AG1983="","",IF(OR(AG1983="Crítico",AG1983="Alto"),"Mitigar",IF(AG1983="Medio","Mitigar","Aceptar y monitorear")))</f>
        <v/>
      </c>
      <c r="AI1983" s="21" t="n"/>
      <c r="AJ1983" s="21" t="n"/>
      <c r="AK1983" s="20" t="n"/>
      <c r="AL1983" s="77">
        <f>IFERROR(INDEX(MgAmenEfic,MATCH(SUBSTITUTE($H1983,"*","-"),MgAmenClave,0)),0)</f>
        <v/>
      </c>
    </row>
    <row r="1984" hidden="1" ht="60" customHeight="1" s="54">
      <c r="B1984" s="59" t="inlineStr">
        <is>
          <t>R-1979</t>
        </is>
      </c>
      <c r="C1984" s="59" t="inlineStr">
        <is>
          <t>FIN-21</t>
        </is>
      </c>
      <c r="D1984" s="64">
        <f>IFERROR(INDEX(MgNombre,MATCH($C1984,MgActId,0)),"")</f>
        <v/>
      </c>
      <c r="E1984" s="64">
        <f>IFERROR(INDEX(MgProceso,MATCH($C1984,MgActId,0)),"")</f>
        <v/>
      </c>
      <c r="F1984" s="64">
        <f>IFERROR(INDEX(MgTipo,MATCH($C1984,MgActId,0)),"")</f>
        <v/>
      </c>
      <c r="G1984" s="64">
        <f>IFERROR(INDEX(MgSubtipo,MATCH($C1984,MgActId,0)),"")</f>
        <v/>
      </c>
      <c r="H1984" s="59" t="inlineStr">
        <is>
          <t>E.18</t>
        </is>
      </c>
      <c r="I1984" s="64">
        <f>IFERROR(INDEX(MgAmenNombre,MATCH(SUBSTITUTE($H1984,"*","-"),MgAmenClave,0)),"")</f>
        <v/>
      </c>
      <c r="J1984" s="28">
        <f>IFERROR(INDEX(MgAmenGrupo,MATCH(SUBSTITUTE($H1984,"*","-"),MgAmenClave,0)),"")</f>
        <v/>
      </c>
      <c r="K1984" s="64">
        <f>IFERROR(INDEX('1. Matriz de Activos'!$Q$6:$Q$239,MATCH($C1984,MgActId,0)),"")</f>
        <v/>
      </c>
      <c r="L1984" s="64">
        <f>IFERROR(INDEX('1. Matriz de Activos'!$R$6:$R$239,MATCH($C1984,MgActId,0)),"")</f>
        <v/>
      </c>
      <c r="M1984" s="64">
        <f>IFERROR(INDEX('1. Matriz de Activos'!$S$6:$S$239,MATCH($C1984,MgActId,0)),"")</f>
        <v/>
      </c>
      <c r="N1984" s="28">
        <f>IFERROR(INDEX(MgAmenDegD,MATCH(SUBSTITUTE($H1984,"*","-"),MgAmenClave,0)),"No aplica")</f>
        <v/>
      </c>
      <c r="O1984" s="28">
        <f>IFERROR(INDEX(MgAmenDegI,MATCH(SUBSTITUTE($H1984,"*","-"),MgAmenClave,0)),"No aplica")</f>
        <v/>
      </c>
      <c r="P1984" s="28">
        <f>IFERROR(INDEX(MgAmenDegC,MATCH(SUBSTITUTE($H1984,"*","-"),MgAmenClave,0)),"No aplica")</f>
        <v/>
      </c>
      <c r="Q1984" s="29">
        <f>IFERROR(VLOOKUP(K1984,MgValor,2,0)*VLOOKUP(N1984,MgDeg,2,0),0)</f>
        <v/>
      </c>
      <c r="R1984" s="29">
        <f>IFERROR(VLOOKUP(L1984,MgValor,2,0)*VLOOKUP(O1984,MgDeg,2,0),0)</f>
        <v/>
      </c>
      <c r="S1984" s="29">
        <f>IFERROR(VLOOKUP(M1984,MgValor,2,0)*VLOOKUP(P1984,MgDeg,2,0),0)</f>
        <v/>
      </c>
      <c r="T1984" s="30">
        <f>MAX(Q1984:S1984)</f>
        <v/>
      </c>
      <c r="U1984" s="28">
        <f>IFERROR(LOOKUP(T1984,{0;0.5;1.5;3;4.5},{"Despreciable";"Bajo";"Medio";"Alto";"Muy alto"}),"")</f>
        <v/>
      </c>
      <c r="V1984" s="13">
        <f>IFERROR(INDEX(MgAmenFrec,MATCH(SUBSTITUTE($H1984,"*","-"),MgAmenClave,0)),"")</f>
        <v/>
      </c>
      <c r="W1984" s="28">
        <f>IFERROR(LOOKUP(X1984,{0;0.01;0.1;1;10;100},{"Muy baja";"Muy baja";"Baja";"Media";"Alta";"Muy alta"}),"")</f>
        <v/>
      </c>
      <c r="X1984" s="31">
        <f>IFERROR(VLOOKUP(V1984,MgFrec,2,0),0)</f>
        <v/>
      </c>
      <c r="Y1984" s="30">
        <f>T1984*X1984</f>
        <v/>
      </c>
      <c r="Z1984" s="28">
        <f>IFERROR(LOOKUP(Y1984,{0;0.5;5;25},{"Bajo";"Medio";"Alto";"Crítico"}),"")</f>
        <v/>
      </c>
      <c r="AA1984" s="64">
        <f>IF(T1984&gt;=3,IF(X1984&gt;=1,"Zona 1 — Crítica: impacto alto y ocurre al menos una vez al año","Zona 4 — Catastrófica poco probable: impacto alto pero excepcional"),IF(AND(T1984&lt;1.5,X1984&lt;1),"Zona 3 — Asumible: impacto bajo y muy poco frecuente","Zona 2 — Atención: riesgo intermedio"))</f>
        <v/>
      </c>
      <c r="AB1984" s="64">
        <f>IFERROR(INDEX(MgAmenCtrl,MATCH(SUBSTITUTE($H1984,"*","-"),MgAmenClave,0)),"")</f>
        <v/>
      </c>
      <c r="AC1984" s="20" t="n"/>
      <c r="AD1984" s="31">
        <f>IFERROR($X1984*(1-IF($AC1984="",$AL1984,VLOOKUP($AC1984,MgMad,2,0))),"")</f>
        <v/>
      </c>
      <c r="AE1984" s="28">
        <f>IFERROR(LOOKUP(AD1984,{0;0.01;0.1;1;10;100},{"Muy baja";"Muy baja";"Baja";"Media";"Alta";"Muy alta"}),"")</f>
        <v/>
      </c>
      <c r="AF1984" s="30">
        <f>T1984*AD1984</f>
        <v/>
      </c>
      <c r="AG1984" s="28">
        <f>IFERROR(LOOKUP(AF1984,{0;0.5;5;25},{"Bajo";"Medio";"Alto";"Crítico"}),"")</f>
        <v/>
      </c>
      <c r="AH1984" s="28">
        <f>IF(AG1984="","",IF(OR(AG1984="Crítico",AG1984="Alto"),"Mitigar",IF(AG1984="Medio","Mitigar","Aceptar y monitorear")))</f>
        <v/>
      </c>
      <c r="AI1984" s="21" t="n"/>
      <c r="AJ1984" s="21" t="n"/>
      <c r="AK1984" s="20" t="n"/>
      <c r="AL1984" s="77">
        <f>IFERROR(INDEX(MgAmenEfic,MATCH(SUBSTITUTE($H1984,"*","-"),MgAmenClave,0)),0)</f>
        <v/>
      </c>
    </row>
    <row r="1985" hidden="1" ht="105" customHeight="1" s="54">
      <c r="B1985" s="59" t="inlineStr">
        <is>
          <t>R-1980</t>
        </is>
      </c>
      <c r="C1985" s="59" t="inlineStr">
        <is>
          <t>FIN-21</t>
        </is>
      </c>
      <c r="D1985" s="64">
        <f>IFERROR(INDEX(MgNombre,MATCH($C1985,MgActId,0)),"")</f>
        <v/>
      </c>
      <c r="E1985" s="64">
        <f>IFERROR(INDEX(MgProceso,MATCH($C1985,MgActId,0)),"")</f>
        <v/>
      </c>
      <c r="F1985" s="64">
        <f>IFERROR(INDEX(MgTipo,MATCH($C1985,MgActId,0)),"")</f>
        <v/>
      </c>
      <c r="G1985" s="64">
        <f>IFERROR(INDEX(MgSubtipo,MATCH($C1985,MgActId,0)),"")</f>
        <v/>
      </c>
      <c r="H1985" s="59" t="inlineStr">
        <is>
          <t>E.19</t>
        </is>
      </c>
      <c r="I1985" s="64">
        <f>IFERROR(INDEX(MgAmenNombre,MATCH(SUBSTITUTE($H1985,"*","-"),MgAmenClave,0)),"")</f>
        <v/>
      </c>
      <c r="J1985" s="28">
        <f>IFERROR(INDEX(MgAmenGrupo,MATCH(SUBSTITUTE($H1985,"*","-"),MgAmenClave,0)),"")</f>
        <v/>
      </c>
      <c r="K1985" s="64">
        <f>IFERROR(INDEX('1. Matriz de Activos'!$Q$6:$Q$239,MATCH($C1985,MgActId,0)),"")</f>
        <v/>
      </c>
      <c r="L1985" s="64">
        <f>IFERROR(INDEX('1. Matriz de Activos'!$R$6:$R$239,MATCH($C1985,MgActId,0)),"")</f>
        <v/>
      </c>
      <c r="M1985" s="64">
        <f>IFERROR(INDEX('1. Matriz de Activos'!$S$6:$S$239,MATCH($C1985,MgActId,0)),"")</f>
        <v/>
      </c>
      <c r="N1985" s="28">
        <f>IFERROR(INDEX(MgAmenDegD,MATCH(SUBSTITUTE($H1985,"*","-"),MgAmenClave,0)),"No aplica")</f>
        <v/>
      </c>
      <c r="O1985" s="28">
        <f>IFERROR(INDEX(MgAmenDegI,MATCH(SUBSTITUTE($H1985,"*","-"),MgAmenClave,0)),"No aplica")</f>
        <v/>
      </c>
      <c r="P1985" s="28">
        <f>IFERROR(INDEX(MgAmenDegC,MATCH(SUBSTITUTE($H1985,"*","-"),MgAmenClave,0)),"No aplica")</f>
        <v/>
      </c>
      <c r="Q1985" s="29">
        <f>IFERROR(VLOOKUP(K1985,MgValor,2,0)*VLOOKUP(N1985,MgDeg,2,0),0)</f>
        <v/>
      </c>
      <c r="R1985" s="29">
        <f>IFERROR(VLOOKUP(L1985,MgValor,2,0)*VLOOKUP(O1985,MgDeg,2,0),0)</f>
        <v/>
      </c>
      <c r="S1985" s="29">
        <f>IFERROR(VLOOKUP(M1985,MgValor,2,0)*VLOOKUP(P1985,MgDeg,2,0),0)</f>
        <v/>
      </c>
      <c r="T1985" s="30">
        <f>MAX(Q1985:S1985)</f>
        <v/>
      </c>
      <c r="U1985" s="28">
        <f>IFERROR(LOOKUP(T1985,{0;0.5;1.5;3;4.5},{"Despreciable";"Bajo";"Medio";"Alto";"Muy alto"}),"")</f>
        <v/>
      </c>
      <c r="V1985" s="13">
        <f>IFERROR(INDEX(MgAmenFrec,MATCH(SUBSTITUTE($H1985,"*","-"),MgAmenClave,0)),"")</f>
        <v/>
      </c>
      <c r="W1985" s="28">
        <f>IFERROR(LOOKUP(X1985,{0;0.01;0.1;1;10;100},{"Muy baja";"Muy baja";"Baja";"Media";"Alta";"Muy alta"}),"")</f>
        <v/>
      </c>
      <c r="X1985" s="31">
        <f>IFERROR(VLOOKUP(V1985,MgFrec,2,0),0)</f>
        <v/>
      </c>
      <c r="Y1985" s="30">
        <f>T1985*X1985</f>
        <v/>
      </c>
      <c r="Z1985" s="28">
        <f>IFERROR(LOOKUP(Y1985,{0;0.5;5;25},{"Bajo";"Medio";"Alto";"Crítico"}),"")</f>
        <v/>
      </c>
      <c r="AA1985" s="64">
        <f>IF(T1985&gt;=3,IF(X1985&gt;=1,"Zona 1 — Crítica: impacto alto y ocurre al menos una vez al año","Zona 4 — Catastrófica poco probable: impacto alto pero excepcional"),IF(AND(T1985&lt;1.5,X1985&lt;1),"Zona 3 — Asumible: impacto bajo y muy poco frecuente","Zona 2 — Atención: riesgo intermedio"))</f>
        <v/>
      </c>
      <c r="AB1985" s="64">
        <f>IFERROR(INDEX(MgAmenCtrl,MATCH(SUBSTITUTE($H1985,"*","-"),MgAmenClave,0)),"")</f>
        <v/>
      </c>
      <c r="AC1985" s="20" t="n"/>
      <c r="AD1985" s="31">
        <f>IFERROR($X1985*(1-IF($AC1985="",$AL1985,VLOOKUP($AC1985,MgMad,2,0))),"")</f>
        <v/>
      </c>
      <c r="AE1985" s="28">
        <f>IFERROR(LOOKUP(AD1985,{0;0.01;0.1;1;10;100},{"Muy baja";"Muy baja";"Baja";"Media";"Alta";"Muy alta"}),"")</f>
        <v/>
      </c>
      <c r="AF1985" s="30">
        <f>T1985*AD1985</f>
        <v/>
      </c>
      <c r="AG1985" s="28">
        <f>IFERROR(LOOKUP(AF1985,{0;0.5;5;25},{"Bajo";"Medio";"Alto";"Crítico"}),"")</f>
        <v/>
      </c>
      <c r="AH1985" s="28">
        <f>IF(AG1985="","",IF(OR(AG1985="Crítico",AG1985="Alto"),"Mitigar",IF(AG1985="Medio","Mitigar","Aceptar y monitorear")))</f>
        <v/>
      </c>
      <c r="AI1985" s="21" t="n"/>
      <c r="AJ1985" s="21" t="n"/>
      <c r="AK1985" s="20" t="n"/>
      <c r="AL1985" s="77">
        <f>IFERROR(INDEX(MgAmenEfic,MATCH(SUBSTITUTE($H1985,"*","-"),MgAmenClave,0)),0)</f>
        <v/>
      </c>
    </row>
    <row r="1986" hidden="1" ht="105" customHeight="1" s="54">
      <c r="B1986" s="59" t="inlineStr">
        <is>
          <t>R-1981</t>
        </is>
      </c>
      <c r="C1986" s="59" t="inlineStr">
        <is>
          <t>FIN-21</t>
        </is>
      </c>
      <c r="D1986" s="64">
        <f>IFERROR(INDEX(MgNombre,MATCH($C1986,MgActId,0)),"")</f>
        <v/>
      </c>
      <c r="E1986" s="64">
        <f>IFERROR(INDEX(MgProceso,MATCH($C1986,MgActId,0)),"")</f>
        <v/>
      </c>
      <c r="F1986" s="64">
        <f>IFERROR(INDEX(MgTipo,MATCH($C1986,MgActId,0)),"")</f>
        <v/>
      </c>
      <c r="G1986" s="64">
        <f>IFERROR(INDEX(MgSubtipo,MATCH($C1986,MgActId,0)),"")</f>
        <v/>
      </c>
      <c r="H1986" s="59" t="inlineStr">
        <is>
          <t>E.20</t>
        </is>
      </c>
      <c r="I1986" s="64">
        <f>IFERROR(INDEX(MgAmenNombre,MATCH(SUBSTITUTE($H1986,"*","-"),MgAmenClave,0)),"")</f>
        <v/>
      </c>
      <c r="J1986" s="28">
        <f>IFERROR(INDEX(MgAmenGrupo,MATCH(SUBSTITUTE($H1986,"*","-"),MgAmenClave,0)),"")</f>
        <v/>
      </c>
      <c r="K1986" s="64">
        <f>IFERROR(INDEX('1. Matriz de Activos'!$Q$6:$Q$239,MATCH($C1986,MgActId,0)),"")</f>
        <v/>
      </c>
      <c r="L1986" s="64">
        <f>IFERROR(INDEX('1. Matriz de Activos'!$R$6:$R$239,MATCH($C1986,MgActId,0)),"")</f>
        <v/>
      </c>
      <c r="M1986" s="64">
        <f>IFERROR(INDEX('1. Matriz de Activos'!$S$6:$S$239,MATCH($C1986,MgActId,0)),"")</f>
        <v/>
      </c>
      <c r="N1986" s="28">
        <f>IFERROR(INDEX(MgAmenDegD,MATCH(SUBSTITUTE($H1986,"*","-"),MgAmenClave,0)),"No aplica")</f>
        <v/>
      </c>
      <c r="O1986" s="28">
        <f>IFERROR(INDEX(MgAmenDegI,MATCH(SUBSTITUTE($H1986,"*","-"),MgAmenClave,0)),"No aplica")</f>
        <v/>
      </c>
      <c r="P1986" s="28">
        <f>IFERROR(INDEX(MgAmenDegC,MATCH(SUBSTITUTE($H1986,"*","-"),MgAmenClave,0)),"No aplica")</f>
        <v/>
      </c>
      <c r="Q1986" s="29">
        <f>IFERROR(VLOOKUP(K1986,MgValor,2,0)*VLOOKUP(N1986,MgDeg,2,0),0)</f>
        <v/>
      </c>
      <c r="R1986" s="29">
        <f>IFERROR(VLOOKUP(L1986,MgValor,2,0)*VLOOKUP(O1986,MgDeg,2,0),0)</f>
        <v/>
      </c>
      <c r="S1986" s="29">
        <f>IFERROR(VLOOKUP(M1986,MgValor,2,0)*VLOOKUP(P1986,MgDeg,2,0),0)</f>
        <v/>
      </c>
      <c r="T1986" s="30">
        <f>MAX(Q1986:S1986)</f>
        <v/>
      </c>
      <c r="U1986" s="28">
        <f>IFERROR(LOOKUP(T1986,{0;0.5;1.5;3;4.5},{"Despreciable";"Bajo";"Medio";"Alto";"Muy alto"}),"")</f>
        <v/>
      </c>
      <c r="V1986" s="13">
        <f>IFERROR(INDEX(MgAmenFrec,MATCH(SUBSTITUTE($H1986,"*","-"),MgAmenClave,0)),"")</f>
        <v/>
      </c>
      <c r="W1986" s="28">
        <f>IFERROR(LOOKUP(X1986,{0;0.01;0.1;1;10;100},{"Muy baja";"Muy baja";"Baja";"Media";"Alta";"Muy alta"}),"")</f>
        <v/>
      </c>
      <c r="X1986" s="31">
        <f>IFERROR(VLOOKUP(V1986,MgFrec,2,0),0)</f>
        <v/>
      </c>
      <c r="Y1986" s="30">
        <f>T1986*X1986</f>
        <v/>
      </c>
      <c r="Z1986" s="28">
        <f>IFERROR(LOOKUP(Y1986,{0;0.5;5;25},{"Bajo";"Medio";"Alto";"Crítico"}),"")</f>
        <v/>
      </c>
      <c r="AA1986" s="64">
        <f>IF(T1986&gt;=3,IF(X1986&gt;=1,"Zona 1 — Crítica: impacto alto y ocurre al menos una vez al año","Zona 4 — Catastrófica poco probable: impacto alto pero excepcional"),IF(AND(T1986&lt;1.5,X1986&lt;1),"Zona 3 — Asumible: impacto bajo y muy poco frecuente","Zona 2 — Atención: riesgo intermedio"))</f>
        <v/>
      </c>
      <c r="AB1986" s="64">
        <f>IFERROR(INDEX(MgAmenCtrl,MATCH(SUBSTITUTE($H1986,"*","-"),MgAmenClave,0)),"")</f>
        <v/>
      </c>
      <c r="AC1986" s="20" t="n"/>
      <c r="AD1986" s="31">
        <f>IFERROR($X1986*(1-IF($AC1986="",$AL1986,VLOOKUP($AC1986,MgMad,2,0))),"")</f>
        <v/>
      </c>
      <c r="AE1986" s="28">
        <f>IFERROR(LOOKUP(AD1986,{0;0.01;0.1;1;10;100},{"Muy baja";"Muy baja";"Baja";"Media";"Alta";"Muy alta"}),"")</f>
        <v/>
      </c>
      <c r="AF1986" s="30">
        <f>T1986*AD1986</f>
        <v/>
      </c>
      <c r="AG1986" s="28">
        <f>IFERROR(LOOKUP(AF1986,{0;0.5;5;25},{"Bajo";"Medio";"Alto";"Crítico"}),"")</f>
        <v/>
      </c>
      <c r="AH1986" s="28">
        <f>IF(AG1986="","",IF(OR(AG1986="Crítico",AG1986="Alto"),"Mitigar",IF(AG1986="Medio","Mitigar","Aceptar y monitorear")))</f>
        <v/>
      </c>
      <c r="AI1986" s="21" t="n"/>
      <c r="AJ1986" s="21" t="n"/>
      <c r="AK1986" s="20" t="n"/>
      <c r="AL1986" s="77">
        <f>IFERROR(INDEX(MgAmenEfic,MATCH(SUBSTITUTE($H1986,"*","-"),MgAmenClave,0)),0)</f>
        <v/>
      </c>
    </row>
    <row r="1987" hidden="1" ht="75" customHeight="1" s="54">
      <c r="B1987" s="59" t="inlineStr">
        <is>
          <t>R-1982</t>
        </is>
      </c>
      <c r="C1987" s="59" t="inlineStr">
        <is>
          <t>FIN-21</t>
        </is>
      </c>
      <c r="D1987" s="64">
        <f>IFERROR(INDEX(MgNombre,MATCH($C1987,MgActId,0)),"")</f>
        <v/>
      </c>
      <c r="E1987" s="64">
        <f>IFERROR(INDEX(MgProceso,MATCH($C1987,MgActId,0)),"")</f>
        <v/>
      </c>
      <c r="F1987" s="64">
        <f>IFERROR(INDEX(MgTipo,MATCH($C1987,MgActId,0)),"")</f>
        <v/>
      </c>
      <c r="G1987" s="64">
        <f>IFERROR(INDEX(MgSubtipo,MATCH($C1987,MgActId,0)),"")</f>
        <v/>
      </c>
      <c r="H1987" s="59" t="inlineStr">
        <is>
          <t>E.21</t>
        </is>
      </c>
      <c r="I1987" s="64">
        <f>IFERROR(INDEX(MgAmenNombre,MATCH(SUBSTITUTE($H1987,"*","-"),MgAmenClave,0)),"")</f>
        <v/>
      </c>
      <c r="J1987" s="28">
        <f>IFERROR(INDEX(MgAmenGrupo,MATCH(SUBSTITUTE($H1987,"*","-"),MgAmenClave,0)),"")</f>
        <v/>
      </c>
      <c r="K1987" s="64">
        <f>IFERROR(INDEX('1. Matriz de Activos'!$Q$6:$Q$239,MATCH($C1987,MgActId,0)),"")</f>
        <v/>
      </c>
      <c r="L1987" s="64">
        <f>IFERROR(INDEX('1. Matriz de Activos'!$R$6:$R$239,MATCH($C1987,MgActId,0)),"")</f>
        <v/>
      </c>
      <c r="M1987" s="64">
        <f>IFERROR(INDEX('1. Matriz de Activos'!$S$6:$S$239,MATCH($C1987,MgActId,0)),"")</f>
        <v/>
      </c>
      <c r="N1987" s="28">
        <f>IFERROR(INDEX(MgAmenDegD,MATCH(SUBSTITUTE($H1987,"*","-"),MgAmenClave,0)),"No aplica")</f>
        <v/>
      </c>
      <c r="O1987" s="28">
        <f>IFERROR(INDEX(MgAmenDegI,MATCH(SUBSTITUTE($H1987,"*","-"),MgAmenClave,0)),"No aplica")</f>
        <v/>
      </c>
      <c r="P1987" s="28">
        <f>IFERROR(INDEX(MgAmenDegC,MATCH(SUBSTITUTE($H1987,"*","-"),MgAmenClave,0)),"No aplica")</f>
        <v/>
      </c>
      <c r="Q1987" s="29">
        <f>IFERROR(VLOOKUP(K1987,MgValor,2,0)*VLOOKUP(N1987,MgDeg,2,0),0)</f>
        <v/>
      </c>
      <c r="R1987" s="29">
        <f>IFERROR(VLOOKUP(L1987,MgValor,2,0)*VLOOKUP(O1987,MgDeg,2,0),0)</f>
        <v/>
      </c>
      <c r="S1987" s="29">
        <f>IFERROR(VLOOKUP(M1987,MgValor,2,0)*VLOOKUP(P1987,MgDeg,2,0),0)</f>
        <v/>
      </c>
      <c r="T1987" s="30">
        <f>MAX(Q1987:S1987)</f>
        <v/>
      </c>
      <c r="U1987" s="28">
        <f>IFERROR(LOOKUP(T1987,{0;0.5;1.5;3;4.5},{"Despreciable";"Bajo";"Medio";"Alto";"Muy alto"}),"")</f>
        <v/>
      </c>
      <c r="V1987" s="13">
        <f>IFERROR(INDEX(MgAmenFrec,MATCH(SUBSTITUTE($H1987,"*","-"),MgAmenClave,0)),"")</f>
        <v/>
      </c>
      <c r="W1987" s="28">
        <f>IFERROR(LOOKUP(X1987,{0;0.01;0.1;1;10;100},{"Muy baja";"Muy baja";"Baja";"Media";"Alta";"Muy alta"}),"")</f>
        <v/>
      </c>
      <c r="X1987" s="31">
        <f>IFERROR(VLOOKUP(V1987,MgFrec,2,0),0)</f>
        <v/>
      </c>
      <c r="Y1987" s="30">
        <f>T1987*X1987</f>
        <v/>
      </c>
      <c r="Z1987" s="28">
        <f>IFERROR(LOOKUP(Y1987,{0;0.5;5;25},{"Bajo";"Medio";"Alto";"Crítico"}),"")</f>
        <v/>
      </c>
      <c r="AA1987" s="64">
        <f>IF(T1987&gt;=3,IF(X1987&gt;=1,"Zona 1 — Crítica: impacto alto y ocurre al menos una vez al año","Zona 4 — Catastrófica poco probable: impacto alto pero excepcional"),IF(AND(T1987&lt;1.5,X1987&lt;1),"Zona 3 — Asumible: impacto bajo y muy poco frecuente","Zona 2 — Atención: riesgo intermedio"))</f>
        <v/>
      </c>
      <c r="AB1987" s="64">
        <f>IFERROR(INDEX(MgAmenCtrl,MATCH(SUBSTITUTE($H1987,"*","-"),MgAmenClave,0)),"")</f>
        <v/>
      </c>
      <c r="AC1987" s="20" t="n"/>
      <c r="AD1987" s="31">
        <f>IFERROR($X1987*(1-IF($AC1987="",$AL1987,VLOOKUP($AC1987,MgMad,2,0))),"")</f>
        <v/>
      </c>
      <c r="AE1987" s="28">
        <f>IFERROR(LOOKUP(AD1987,{0;0.01;0.1;1;10;100},{"Muy baja";"Muy baja";"Baja";"Media";"Alta";"Muy alta"}),"")</f>
        <v/>
      </c>
      <c r="AF1987" s="30">
        <f>T1987*AD1987</f>
        <v/>
      </c>
      <c r="AG1987" s="28">
        <f>IFERROR(LOOKUP(AF1987,{0;0.5;5;25},{"Bajo";"Medio";"Alto";"Crítico"}),"")</f>
        <v/>
      </c>
      <c r="AH1987" s="28">
        <f>IF(AG1987="","",IF(OR(AG1987="Crítico",AG1987="Alto"),"Mitigar",IF(AG1987="Medio","Mitigar","Aceptar y monitorear")))</f>
        <v/>
      </c>
      <c r="AI1987" s="21" t="n"/>
      <c r="AJ1987" s="21" t="n"/>
      <c r="AK1987" s="20" t="n"/>
      <c r="AL1987" s="77">
        <f>IFERROR(INDEX(MgAmenEfic,MATCH(SUBSTITUTE($H1987,"*","-"),MgAmenClave,0)),0)</f>
        <v/>
      </c>
    </row>
    <row r="1988" hidden="1" ht="75" customHeight="1" s="54">
      <c r="B1988" s="59" t="inlineStr">
        <is>
          <t>R-1983</t>
        </is>
      </c>
      <c r="C1988" s="59" t="inlineStr">
        <is>
          <t>FIN-21</t>
        </is>
      </c>
      <c r="D1988" s="64">
        <f>IFERROR(INDEX(MgNombre,MATCH($C1988,MgActId,0)),"")</f>
        <v/>
      </c>
      <c r="E1988" s="64">
        <f>IFERROR(INDEX(MgProceso,MATCH($C1988,MgActId,0)),"")</f>
        <v/>
      </c>
      <c r="F1988" s="64">
        <f>IFERROR(INDEX(MgTipo,MATCH($C1988,MgActId,0)),"")</f>
        <v/>
      </c>
      <c r="G1988" s="64">
        <f>IFERROR(INDEX(MgSubtipo,MATCH($C1988,MgActId,0)),"")</f>
        <v/>
      </c>
      <c r="H1988" s="59" t="inlineStr">
        <is>
          <t>A.5</t>
        </is>
      </c>
      <c r="I1988" s="64">
        <f>IFERROR(INDEX(MgAmenNombre,MATCH(SUBSTITUTE($H1988,"*","-"),MgAmenClave,0)),"")</f>
        <v/>
      </c>
      <c r="J1988" s="28">
        <f>IFERROR(INDEX(MgAmenGrupo,MATCH(SUBSTITUTE($H1988,"*","-"),MgAmenClave,0)),"")</f>
        <v/>
      </c>
      <c r="K1988" s="64">
        <f>IFERROR(INDEX('1. Matriz de Activos'!$Q$6:$Q$239,MATCH($C1988,MgActId,0)),"")</f>
        <v/>
      </c>
      <c r="L1988" s="64">
        <f>IFERROR(INDEX('1. Matriz de Activos'!$R$6:$R$239,MATCH($C1988,MgActId,0)),"")</f>
        <v/>
      </c>
      <c r="M1988" s="64">
        <f>IFERROR(INDEX('1. Matriz de Activos'!$S$6:$S$239,MATCH($C1988,MgActId,0)),"")</f>
        <v/>
      </c>
      <c r="N1988" s="28">
        <f>IFERROR(INDEX(MgAmenDegD,MATCH(SUBSTITUTE($H1988,"*","-"),MgAmenClave,0)),"No aplica")</f>
        <v/>
      </c>
      <c r="O1988" s="28">
        <f>IFERROR(INDEX(MgAmenDegI,MATCH(SUBSTITUTE($H1988,"*","-"),MgAmenClave,0)),"No aplica")</f>
        <v/>
      </c>
      <c r="P1988" s="28">
        <f>IFERROR(INDEX(MgAmenDegC,MATCH(SUBSTITUTE($H1988,"*","-"),MgAmenClave,0)),"No aplica")</f>
        <v/>
      </c>
      <c r="Q1988" s="29">
        <f>IFERROR(VLOOKUP(K1988,MgValor,2,0)*VLOOKUP(N1988,MgDeg,2,0),0)</f>
        <v/>
      </c>
      <c r="R1988" s="29">
        <f>IFERROR(VLOOKUP(L1988,MgValor,2,0)*VLOOKUP(O1988,MgDeg,2,0),0)</f>
        <v/>
      </c>
      <c r="S1988" s="29">
        <f>IFERROR(VLOOKUP(M1988,MgValor,2,0)*VLOOKUP(P1988,MgDeg,2,0),0)</f>
        <v/>
      </c>
      <c r="T1988" s="30">
        <f>MAX(Q1988:S1988)</f>
        <v/>
      </c>
      <c r="U1988" s="28">
        <f>IFERROR(LOOKUP(T1988,{0;0.5;1.5;3;4.5},{"Despreciable";"Bajo";"Medio";"Alto";"Muy alto"}),"")</f>
        <v/>
      </c>
      <c r="V1988" s="13">
        <f>IFERROR(INDEX(MgAmenFrec,MATCH(SUBSTITUTE($H1988,"*","-"),MgAmenClave,0)),"")</f>
        <v/>
      </c>
      <c r="W1988" s="28">
        <f>IFERROR(LOOKUP(X1988,{0;0.01;0.1;1;10;100},{"Muy baja";"Muy baja";"Baja";"Media";"Alta";"Muy alta"}),"")</f>
        <v/>
      </c>
      <c r="X1988" s="31">
        <f>IFERROR(VLOOKUP(V1988,MgFrec,2,0),0)</f>
        <v/>
      </c>
      <c r="Y1988" s="30">
        <f>T1988*X1988</f>
        <v/>
      </c>
      <c r="Z1988" s="28">
        <f>IFERROR(LOOKUP(Y1988,{0;0.5;5;25},{"Bajo";"Medio";"Alto";"Crítico"}),"")</f>
        <v/>
      </c>
      <c r="AA1988" s="64">
        <f>IF(T1988&gt;=3,IF(X1988&gt;=1,"Zona 1 — Crítica: impacto alto y ocurre al menos una vez al año","Zona 4 — Catastrófica poco probable: impacto alto pero excepcional"),IF(AND(T1988&lt;1.5,X1988&lt;1),"Zona 3 — Asumible: impacto bajo y muy poco frecuente","Zona 2 — Atención: riesgo intermedio"))</f>
        <v/>
      </c>
      <c r="AB1988" s="64">
        <f>IFERROR(INDEX(MgAmenCtrl,MATCH(SUBSTITUTE($H1988,"*","-"),MgAmenClave,0)),"")</f>
        <v/>
      </c>
      <c r="AC1988" s="20" t="n"/>
      <c r="AD1988" s="31">
        <f>IFERROR($X1988*(1-IF($AC1988="",$AL1988,VLOOKUP($AC1988,MgMad,2,0))),"")</f>
        <v/>
      </c>
      <c r="AE1988" s="28">
        <f>IFERROR(LOOKUP(AD1988,{0;0.01;0.1;1;10;100},{"Muy baja";"Muy baja";"Baja";"Media";"Alta";"Muy alta"}),"")</f>
        <v/>
      </c>
      <c r="AF1988" s="30">
        <f>T1988*AD1988</f>
        <v/>
      </c>
      <c r="AG1988" s="28">
        <f>IFERROR(LOOKUP(AF1988,{0;0.5;5;25},{"Bajo";"Medio";"Alto";"Crítico"}),"")</f>
        <v/>
      </c>
      <c r="AH1988" s="28">
        <f>IF(AG1988="","",IF(OR(AG1988="Crítico",AG1988="Alto"),"Mitigar",IF(AG1988="Medio","Mitigar","Aceptar y monitorear")))</f>
        <v/>
      </c>
      <c r="AI1988" s="21" t="n"/>
      <c r="AJ1988" s="21" t="n"/>
      <c r="AK1988" s="20" t="n"/>
      <c r="AL1988" s="77">
        <f>IFERROR(INDEX(MgAmenEfic,MATCH(SUBSTITUTE($H1988,"*","-"),MgAmenClave,0)),0)</f>
        <v/>
      </c>
    </row>
    <row r="1989" hidden="1" ht="105" customHeight="1" s="54">
      <c r="B1989" s="59" t="inlineStr">
        <is>
          <t>R-1984</t>
        </is>
      </c>
      <c r="C1989" s="59" t="inlineStr">
        <is>
          <t>FIN-21</t>
        </is>
      </c>
      <c r="D1989" s="64">
        <f>IFERROR(INDEX(MgNombre,MATCH($C1989,MgActId,0)),"")</f>
        <v/>
      </c>
      <c r="E1989" s="64">
        <f>IFERROR(INDEX(MgProceso,MATCH($C1989,MgActId,0)),"")</f>
        <v/>
      </c>
      <c r="F1989" s="64">
        <f>IFERROR(INDEX(MgTipo,MATCH($C1989,MgActId,0)),"")</f>
        <v/>
      </c>
      <c r="G1989" s="64">
        <f>IFERROR(INDEX(MgSubtipo,MATCH($C1989,MgActId,0)),"")</f>
        <v/>
      </c>
      <c r="H1989" s="59" t="inlineStr">
        <is>
          <t>A.6</t>
        </is>
      </c>
      <c r="I1989" s="64">
        <f>IFERROR(INDEX(MgAmenNombre,MATCH(SUBSTITUTE($H1989,"*","-"),MgAmenClave,0)),"")</f>
        <v/>
      </c>
      <c r="J1989" s="28">
        <f>IFERROR(INDEX(MgAmenGrupo,MATCH(SUBSTITUTE($H1989,"*","-"),MgAmenClave,0)),"")</f>
        <v/>
      </c>
      <c r="K1989" s="64">
        <f>IFERROR(INDEX('1. Matriz de Activos'!$Q$6:$Q$239,MATCH($C1989,MgActId,0)),"")</f>
        <v/>
      </c>
      <c r="L1989" s="64">
        <f>IFERROR(INDEX('1. Matriz de Activos'!$R$6:$R$239,MATCH($C1989,MgActId,0)),"")</f>
        <v/>
      </c>
      <c r="M1989" s="64">
        <f>IFERROR(INDEX('1. Matriz de Activos'!$S$6:$S$239,MATCH($C1989,MgActId,0)),"")</f>
        <v/>
      </c>
      <c r="N1989" s="28">
        <f>IFERROR(INDEX(MgAmenDegD,MATCH(SUBSTITUTE($H1989,"*","-"),MgAmenClave,0)),"No aplica")</f>
        <v/>
      </c>
      <c r="O1989" s="28">
        <f>IFERROR(INDEX(MgAmenDegI,MATCH(SUBSTITUTE($H1989,"*","-"),MgAmenClave,0)),"No aplica")</f>
        <v/>
      </c>
      <c r="P1989" s="28">
        <f>IFERROR(INDEX(MgAmenDegC,MATCH(SUBSTITUTE($H1989,"*","-"),MgAmenClave,0)),"No aplica")</f>
        <v/>
      </c>
      <c r="Q1989" s="29">
        <f>IFERROR(VLOOKUP(K1989,MgValor,2,0)*VLOOKUP(N1989,MgDeg,2,0),0)</f>
        <v/>
      </c>
      <c r="R1989" s="29">
        <f>IFERROR(VLOOKUP(L1989,MgValor,2,0)*VLOOKUP(O1989,MgDeg,2,0),0)</f>
        <v/>
      </c>
      <c r="S1989" s="29">
        <f>IFERROR(VLOOKUP(M1989,MgValor,2,0)*VLOOKUP(P1989,MgDeg,2,0),0)</f>
        <v/>
      </c>
      <c r="T1989" s="30">
        <f>MAX(Q1989:S1989)</f>
        <v/>
      </c>
      <c r="U1989" s="28">
        <f>IFERROR(LOOKUP(T1989,{0;0.5;1.5;3;4.5},{"Despreciable";"Bajo";"Medio";"Alto";"Muy alto"}),"")</f>
        <v/>
      </c>
      <c r="V1989" s="13">
        <f>IFERROR(INDEX(MgAmenFrec,MATCH(SUBSTITUTE($H1989,"*","-"),MgAmenClave,0)),"")</f>
        <v/>
      </c>
      <c r="W1989" s="28">
        <f>IFERROR(LOOKUP(X1989,{0;0.01;0.1;1;10;100},{"Muy baja";"Muy baja";"Baja";"Media";"Alta";"Muy alta"}),"")</f>
        <v/>
      </c>
      <c r="X1989" s="31">
        <f>IFERROR(VLOOKUP(V1989,MgFrec,2,0),0)</f>
        <v/>
      </c>
      <c r="Y1989" s="30">
        <f>T1989*X1989</f>
        <v/>
      </c>
      <c r="Z1989" s="28">
        <f>IFERROR(LOOKUP(Y1989,{0;0.5;5;25},{"Bajo";"Medio";"Alto";"Crítico"}),"")</f>
        <v/>
      </c>
      <c r="AA1989" s="64">
        <f>IF(T1989&gt;=3,IF(X1989&gt;=1,"Zona 1 — Crítica: impacto alto y ocurre al menos una vez al año","Zona 4 — Catastrófica poco probable: impacto alto pero excepcional"),IF(AND(T1989&lt;1.5,X1989&lt;1),"Zona 3 — Asumible: impacto bajo y muy poco frecuente","Zona 2 — Atención: riesgo intermedio"))</f>
        <v/>
      </c>
      <c r="AB1989" s="64">
        <f>IFERROR(INDEX(MgAmenCtrl,MATCH(SUBSTITUTE($H1989,"*","-"),MgAmenClave,0)),"")</f>
        <v/>
      </c>
      <c r="AC1989" s="20" t="n"/>
      <c r="AD1989" s="31">
        <f>IFERROR($X1989*(1-IF($AC1989="",$AL1989,VLOOKUP($AC1989,MgMad,2,0))),"")</f>
        <v/>
      </c>
      <c r="AE1989" s="28">
        <f>IFERROR(LOOKUP(AD1989,{0;0.01;0.1;1;10;100},{"Muy baja";"Muy baja";"Baja";"Media";"Alta";"Muy alta"}),"")</f>
        <v/>
      </c>
      <c r="AF1989" s="30">
        <f>T1989*AD1989</f>
        <v/>
      </c>
      <c r="AG1989" s="28">
        <f>IFERROR(LOOKUP(AF1989,{0;0.5;5;25},{"Bajo";"Medio";"Alto";"Crítico"}),"")</f>
        <v/>
      </c>
      <c r="AH1989" s="28">
        <f>IF(AG1989="","",IF(OR(AG1989="Crítico",AG1989="Alto"),"Mitigar",IF(AG1989="Medio","Mitigar","Aceptar y monitorear")))</f>
        <v/>
      </c>
      <c r="AI1989" s="21" t="n"/>
      <c r="AJ1989" s="21" t="n"/>
      <c r="AK1989" s="20" t="n"/>
      <c r="AL1989" s="77">
        <f>IFERROR(INDEX(MgAmenEfic,MATCH(SUBSTITUTE($H1989,"*","-"),MgAmenClave,0)),0)</f>
        <v/>
      </c>
    </row>
    <row r="1990" hidden="1" ht="60" customHeight="1" s="54">
      <c r="B1990" s="59" t="inlineStr">
        <is>
          <t>R-1985</t>
        </is>
      </c>
      <c r="C1990" s="59" t="inlineStr">
        <is>
          <t>FIN-21</t>
        </is>
      </c>
      <c r="D1990" s="64">
        <f>IFERROR(INDEX(MgNombre,MATCH($C1990,MgActId,0)),"")</f>
        <v/>
      </c>
      <c r="E1990" s="64">
        <f>IFERROR(INDEX(MgProceso,MATCH($C1990,MgActId,0)),"")</f>
        <v/>
      </c>
      <c r="F1990" s="64">
        <f>IFERROR(INDEX(MgTipo,MATCH($C1990,MgActId,0)),"")</f>
        <v/>
      </c>
      <c r="G1990" s="64">
        <f>IFERROR(INDEX(MgSubtipo,MATCH($C1990,MgActId,0)),"")</f>
        <v/>
      </c>
      <c r="H1990" s="59" t="inlineStr">
        <is>
          <t>A.7</t>
        </is>
      </c>
      <c r="I1990" s="64">
        <f>IFERROR(INDEX(MgAmenNombre,MATCH(SUBSTITUTE($H1990,"*","-"),MgAmenClave,0)),"")</f>
        <v/>
      </c>
      <c r="J1990" s="28">
        <f>IFERROR(INDEX(MgAmenGrupo,MATCH(SUBSTITUTE($H1990,"*","-"),MgAmenClave,0)),"")</f>
        <v/>
      </c>
      <c r="K1990" s="64">
        <f>IFERROR(INDEX('1. Matriz de Activos'!$Q$6:$Q$239,MATCH($C1990,MgActId,0)),"")</f>
        <v/>
      </c>
      <c r="L1990" s="64">
        <f>IFERROR(INDEX('1. Matriz de Activos'!$R$6:$R$239,MATCH($C1990,MgActId,0)),"")</f>
        <v/>
      </c>
      <c r="M1990" s="64">
        <f>IFERROR(INDEX('1. Matriz de Activos'!$S$6:$S$239,MATCH($C1990,MgActId,0)),"")</f>
        <v/>
      </c>
      <c r="N1990" s="28">
        <f>IFERROR(INDEX(MgAmenDegD,MATCH(SUBSTITUTE($H1990,"*","-"),MgAmenClave,0)),"No aplica")</f>
        <v/>
      </c>
      <c r="O1990" s="28">
        <f>IFERROR(INDEX(MgAmenDegI,MATCH(SUBSTITUTE($H1990,"*","-"),MgAmenClave,0)),"No aplica")</f>
        <v/>
      </c>
      <c r="P1990" s="28">
        <f>IFERROR(INDEX(MgAmenDegC,MATCH(SUBSTITUTE($H1990,"*","-"),MgAmenClave,0)),"No aplica")</f>
        <v/>
      </c>
      <c r="Q1990" s="29">
        <f>IFERROR(VLOOKUP(K1990,MgValor,2,0)*VLOOKUP(N1990,MgDeg,2,0),0)</f>
        <v/>
      </c>
      <c r="R1990" s="29">
        <f>IFERROR(VLOOKUP(L1990,MgValor,2,0)*VLOOKUP(O1990,MgDeg,2,0),0)</f>
        <v/>
      </c>
      <c r="S1990" s="29">
        <f>IFERROR(VLOOKUP(M1990,MgValor,2,0)*VLOOKUP(P1990,MgDeg,2,0),0)</f>
        <v/>
      </c>
      <c r="T1990" s="30">
        <f>MAX(Q1990:S1990)</f>
        <v/>
      </c>
      <c r="U1990" s="28">
        <f>IFERROR(LOOKUP(T1990,{0;0.5;1.5;3;4.5},{"Despreciable";"Bajo";"Medio";"Alto";"Muy alto"}),"")</f>
        <v/>
      </c>
      <c r="V1990" s="13">
        <f>IFERROR(INDEX(MgAmenFrec,MATCH(SUBSTITUTE($H1990,"*","-"),MgAmenClave,0)),"")</f>
        <v/>
      </c>
      <c r="W1990" s="28">
        <f>IFERROR(LOOKUP(X1990,{0;0.01;0.1;1;10;100},{"Muy baja";"Muy baja";"Baja";"Media";"Alta";"Muy alta"}),"")</f>
        <v/>
      </c>
      <c r="X1990" s="31">
        <f>IFERROR(VLOOKUP(V1990,MgFrec,2,0),0)</f>
        <v/>
      </c>
      <c r="Y1990" s="30">
        <f>T1990*X1990</f>
        <v/>
      </c>
      <c r="Z1990" s="28">
        <f>IFERROR(LOOKUP(Y1990,{0;0.5;5;25},{"Bajo";"Medio";"Alto";"Crítico"}),"")</f>
        <v/>
      </c>
      <c r="AA1990" s="64">
        <f>IF(T1990&gt;=3,IF(X1990&gt;=1,"Zona 1 — Crítica: impacto alto y ocurre al menos una vez al año","Zona 4 — Catastrófica poco probable: impacto alto pero excepcional"),IF(AND(T1990&lt;1.5,X1990&lt;1),"Zona 3 — Asumible: impacto bajo y muy poco frecuente","Zona 2 — Atención: riesgo intermedio"))</f>
        <v/>
      </c>
      <c r="AB1990" s="64">
        <f>IFERROR(INDEX(MgAmenCtrl,MATCH(SUBSTITUTE($H1990,"*","-"),MgAmenClave,0)),"")</f>
        <v/>
      </c>
      <c r="AC1990" s="20" t="n"/>
      <c r="AD1990" s="31">
        <f>IFERROR($X1990*(1-IF($AC1990="",$AL1990,VLOOKUP($AC1990,MgMad,2,0))),"")</f>
        <v/>
      </c>
      <c r="AE1990" s="28">
        <f>IFERROR(LOOKUP(AD1990,{0;0.01;0.1;1;10;100},{"Muy baja";"Muy baja";"Baja";"Media";"Alta";"Muy alta"}),"")</f>
        <v/>
      </c>
      <c r="AF1990" s="30">
        <f>T1990*AD1990</f>
        <v/>
      </c>
      <c r="AG1990" s="28">
        <f>IFERROR(LOOKUP(AF1990,{0;0.5;5;25},{"Bajo";"Medio";"Alto";"Crítico"}),"")</f>
        <v/>
      </c>
      <c r="AH1990" s="28">
        <f>IF(AG1990="","",IF(OR(AG1990="Crítico",AG1990="Alto"),"Mitigar",IF(AG1990="Medio","Mitigar","Aceptar y monitorear")))</f>
        <v/>
      </c>
      <c r="AI1990" s="21" t="n"/>
      <c r="AJ1990" s="21" t="n"/>
      <c r="AK1990" s="20" t="n"/>
      <c r="AL1990" s="77">
        <f>IFERROR(INDEX(MgAmenEfic,MATCH(SUBSTITUTE($H1990,"*","-"),MgAmenClave,0)),0)</f>
        <v/>
      </c>
    </row>
    <row r="1991" hidden="1" ht="120" customHeight="1" s="54">
      <c r="B1991" s="59" t="inlineStr">
        <is>
          <t>R-1986</t>
        </is>
      </c>
      <c r="C1991" s="59" t="inlineStr">
        <is>
          <t>FIN-21</t>
        </is>
      </c>
      <c r="D1991" s="64">
        <f>IFERROR(INDEX(MgNombre,MATCH($C1991,MgActId,0)),"")</f>
        <v/>
      </c>
      <c r="E1991" s="64">
        <f>IFERROR(INDEX(MgProceso,MATCH($C1991,MgActId,0)),"")</f>
        <v/>
      </c>
      <c r="F1991" s="64">
        <f>IFERROR(INDEX(MgTipo,MATCH($C1991,MgActId,0)),"")</f>
        <v/>
      </c>
      <c r="G1991" s="64">
        <f>IFERROR(INDEX(MgSubtipo,MATCH($C1991,MgActId,0)),"")</f>
        <v/>
      </c>
      <c r="H1991" s="59" t="inlineStr">
        <is>
          <t>A.8</t>
        </is>
      </c>
      <c r="I1991" s="64">
        <f>IFERROR(INDEX(MgAmenNombre,MATCH(SUBSTITUTE($H1991,"*","-"),MgAmenClave,0)),"")</f>
        <v/>
      </c>
      <c r="J1991" s="28">
        <f>IFERROR(INDEX(MgAmenGrupo,MATCH(SUBSTITUTE($H1991,"*","-"),MgAmenClave,0)),"")</f>
        <v/>
      </c>
      <c r="K1991" s="64">
        <f>IFERROR(INDEX('1. Matriz de Activos'!$Q$6:$Q$239,MATCH($C1991,MgActId,0)),"")</f>
        <v/>
      </c>
      <c r="L1991" s="64">
        <f>IFERROR(INDEX('1. Matriz de Activos'!$R$6:$R$239,MATCH($C1991,MgActId,0)),"")</f>
        <v/>
      </c>
      <c r="M1991" s="64">
        <f>IFERROR(INDEX('1. Matriz de Activos'!$S$6:$S$239,MATCH($C1991,MgActId,0)),"")</f>
        <v/>
      </c>
      <c r="N1991" s="28">
        <f>IFERROR(INDEX(MgAmenDegD,MATCH(SUBSTITUTE($H1991,"*","-"),MgAmenClave,0)),"No aplica")</f>
        <v/>
      </c>
      <c r="O1991" s="28">
        <f>IFERROR(INDEX(MgAmenDegI,MATCH(SUBSTITUTE($H1991,"*","-"),MgAmenClave,0)),"No aplica")</f>
        <v/>
      </c>
      <c r="P1991" s="28">
        <f>IFERROR(INDEX(MgAmenDegC,MATCH(SUBSTITUTE($H1991,"*","-"),MgAmenClave,0)),"No aplica")</f>
        <v/>
      </c>
      <c r="Q1991" s="29">
        <f>IFERROR(VLOOKUP(K1991,MgValor,2,0)*VLOOKUP(N1991,MgDeg,2,0),0)</f>
        <v/>
      </c>
      <c r="R1991" s="29">
        <f>IFERROR(VLOOKUP(L1991,MgValor,2,0)*VLOOKUP(O1991,MgDeg,2,0),0)</f>
        <v/>
      </c>
      <c r="S1991" s="29">
        <f>IFERROR(VLOOKUP(M1991,MgValor,2,0)*VLOOKUP(P1991,MgDeg,2,0),0)</f>
        <v/>
      </c>
      <c r="T1991" s="30">
        <f>MAX(Q1991:S1991)</f>
        <v/>
      </c>
      <c r="U1991" s="28">
        <f>IFERROR(LOOKUP(T1991,{0;0.5;1.5;3;4.5},{"Despreciable";"Bajo";"Medio";"Alto";"Muy alto"}),"")</f>
        <v/>
      </c>
      <c r="V1991" s="13">
        <f>IFERROR(INDEX(MgAmenFrec,MATCH(SUBSTITUTE($H1991,"*","-"),MgAmenClave,0)),"")</f>
        <v/>
      </c>
      <c r="W1991" s="28">
        <f>IFERROR(LOOKUP(X1991,{0;0.01;0.1;1;10;100},{"Muy baja";"Muy baja";"Baja";"Media";"Alta";"Muy alta"}),"")</f>
        <v/>
      </c>
      <c r="X1991" s="31">
        <f>IFERROR(VLOOKUP(V1991,MgFrec,2,0),0)</f>
        <v/>
      </c>
      <c r="Y1991" s="30">
        <f>T1991*X1991</f>
        <v/>
      </c>
      <c r="Z1991" s="28">
        <f>IFERROR(LOOKUP(Y1991,{0;0.5;5;25},{"Bajo";"Medio";"Alto";"Crítico"}),"")</f>
        <v/>
      </c>
      <c r="AA1991" s="64">
        <f>IF(T1991&gt;=3,IF(X1991&gt;=1,"Zona 1 — Crítica: impacto alto y ocurre al menos una vez al año","Zona 4 — Catastrófica poco probable: impacto alto pero excepcional"),IF(AND(T1991&lt;1.5,X1991&lt;1),"Zona 3 — Asumible: impacto bajo y muy poco frecuente","Zona 2 — Atención: riesgo intermedio"))</f>
        <v/>
      </c>
      <c r="AB1991" s="64">
        <f>IFERROR(INDEX(MgAmenCtrl,MATCH(SUBSTITUTE($H1991,"*","-"),MgAmenClave,0)),"")</f>
        <v/>
      </c>
      <c r="AC1991" s="20" t="n"/>
      <c r="AD1991" s="31">
        <f>IFERROR($X1991*(1-IF($AC1991="",$AL1991,VLOOKUP($AC1991,MgMad,2,0))),"")</f>
        <v/>
      </c>
      <c r="AE1991" s="28">
        <f>IFERROR(LOOKUP(AD1991,{0;0.01;0.1;1;10;100},{"Muy baja";"Muy baja";"Baja";"Media";"Alta";"Muy alta"}),"")</f>
        <v/>
      </c>
      <c r="AF1991" s="30">
        <f>T1991*AD1991</f>
        <v/>
      </c>
      <c r="AG1991" s="28">
        <f>IFERROR(LOOKUP(AF1991,{0;0.5;5;25},{"Bajo";"Medio";"Alto";"Crítico"}),"")</f>
        <v/>
      </c>
      <c r="AH1991" s="28">
        <f>IF(AG1991="","",IF(OR(AG1991="Crítico",AG1991="Alto"),"Mitigar",IF(AG1991="Medio","Mitigar","Aceptar y monitorear")))</f>
        <v/>
      </c>
      <c r="AI1991" s="21" t="n"/>
      <c r="AJ1991" s="21" t="n"/>
      <c r="AK1991" s="20" t="n"/>
      <c r="AL1991" s="77">
        <f>IFERROR(INDEX(MgAmenEfic,MATCH(SUBSTITUTE($H1991,"*","-"),MgAmenClave,0)),0)</f>
        <v/>
      </c>
    </row>
    <row r="1992" hidden="1" ht="60" customHeight="1" s="54">
      <c r="B1992" s="59" t="inlineStr">
        <is>
          <t>R-1987</t>
        </is>
      </c>
      <c r="C1992" s="59" t="inlineStr">
        <is>
          <t>FIN-21</t>
        </is>
      </c>
      <c r="D1992" s="64">
        <f>IFERROR(INDEX(MgNombre,MATCH($C1992,MgActId,0)),"")</f>
        <v/>
      </c>
      <c r="E1992" s="64">
        <f>IFERROR(INDEX(MgProceso,MATCH($C1992,MgActId,0)),"")</f>
        <v/>
      </c>
      <c r="F1992" s="64">
        <f>IFERROR(INDEX(MgTipo,MATCH($C1992,MgActId,0)),"")</f>
        <v/>
      </c>
      <c r="G1992" s="64">
        <f>IFERROR(INDEX(MgSubtipo,MATCH($C1992,MgActId,0)),"")</f>
        <v/>
      </c>
      <c r="H1992" s="59" t="inlineStr">
        <is>
          <t>A.9</t>
        </is>
      </c>
      <c r="I1992" s="64">
        <f>IFERROR(INDEX(MgAmenNombre,MATCH(SUBSTITUTE($H1992,"*","-"),MgAmenClave,0)),"")</f>
        <v/>
      </c>
      <c r="J1992" s="28">
        <f>IFERROR(INDEX(MgAmenGrupo,MATCH(SUBSTITUTE($H1992,"*","-"),MgAmenClave,0)),"")</f>
        <v/>
      </c>
      <c r="K1992" s="64">
        <f>IFERROR(INDEX('1. Matriz de Activos'!$Q$6:$Q$239,MATCH($C1992,MgActId,0)),"")</f>
        <v/>
      </c>
      <c r="L1992" s="64">
        <f>IFERROR(INDEX('1. Matriz de Activos'!$R$6:$R$239,MATCH($C1992,MgActId,0)),"")</f>
        <v/>
      </c>
      <c r="M1992" s="64">
        <f>IFERROR(INDEX('1. Matriz de Activos'!$S$6:$S$239,MATCH($C1992,MgActId,0)),"")</f>
        <v/>
      </c>
      <c r="N1992" s="28">
        <f>IFERROR(INDEX(MgAmenDegD,MATCH(SUBSTITUTE($H1992,"*","-"),MgAmenClave,0)),"No aplica")</f>
        <v/>
      </c>
      <c r="O1992" s="28">
        <f>IFERROR(INDEX(MgAmenDegI,MATCH(SUBSTITUTE($H1992,"*","-"),MgAmenClave,0)),"No aplica")</f>
        <v/>
      </c>
      <c r="P1992" s="28">
        <f>IFERROR(INDEX(MgAmenDegC,MATCH(SUBSTITUTE($H1992,"*","-"),MgAmenClave,0)),"No aplica")</f>
        <v/>
      </c>
      <c r="Q1992" s="29">
        <f>IFERROR(VLOOKUP(K1992,MgValor,2,0)*VLOOKUP(N1992,MgDeg,2,0),0)</f>
        <v/>
      </c>
      <c r="R1992" s="29">
        <f>IFERROR(VLOOKUP(L1992,MgValor,2,0)*VLOOKUP(O1992,MgDeg,2,0),0)</f>
        <v/>
      </c>
      <c r="S1992" s="29">
        <f>IFERROR(VLOOKUP(M1992,MgValor,2,0)*VLOOKUP(P1992,MgDeg,2,0),0)</f>
        <v/>
      </c>
      <c r="T1992" s="30">
        <f>MAX(Q1992:S1992)</f>
        <v/>
      </c>
      <c r="U1992" s="28">
        <f>IFERROR(LOOKUP(T1992,{0;0.5;1.5;3;4.5},{"Despreciable";"Bajo";"Medio";"Alto";"Muy alto"}),"")</f>
        <v/>
      </c>
      <c r="V1992" s="13">
        <f>IFERROR(INDEX(MgAmenFrec,MATCH(SUBSTITUTE($H1992,"*","-"),MgAmenClave,0)),"")</f>
        <v/>
      </c>
      <c r="W1992" s="28">
        <f>IFERROR(LOOKUP(X1992,{0;0.01;0.1;1;10;100},{"Muy baja";"Muy baja";"Baja";"Media";"Alta";"Muy alta"}),"")</f>
        <v/>
      </c>
      <c r="X1992" s="31">
        <f>IFERROR(VLOOKUP(V1992,MgFrec,2,0),0)</f>
        <v/>
      </c>
      <c r="Y1992" s="30">
        <f>T1992*X1992</f>
        <v/>
      </c>
      <c r="Z1992" s="28">
        <f>IFERROR(LOOKUP(Y1992,{0;0.5;5;25},{"Bajo";"Medio";"Alto";"Crítico"}),"")</f>
        <v/>
      </c>
      <c r="AA1992" s="64">
        <f>IF(T1992&gt;=3,IF(X1992&gt;=1,"Zona 1 — Crítica: impacto alto y ocurre al menos una vez al año","Zona 4 — Catastrófica poco probable: impacto alto pero excepcional"),IF(AND(T1992&lt;1.5,X1992&lt;1),"Zona 3 — Asumible: impacto bajo y muy poco frecuente","Zona 2 — Atención: riesgo intermedio"))</f>
        <v/>
      </c>
      <c r="AB1992" s="64">
        <f>IFERROR(INDEX(MgAmenCtrl,MATCH(SUBSTITUTE($H1992,"*","-"),MgAmenClave,0)),"")</f>
        <v/>
      </c>
      <c r="AC1992" s="20" t="n"/>
      <c r="AD1992" s="31">
        <f>IFERROR($X1992*(1-IF($AC1992="",$AL1992,VLOOKUP($AC1992,MgMad,2,0))),"")</f>
        <v/>
      </c>
      <c r="AE1992" s="28">
        <f>IFERROR(LOOKUP(AD1992,{0;0.01;0.1;1;10;100},{"Muy baja";"Muy baja";"Baja";"Media";"Alta";"Muy alta"}),"")</f>
        <v/>
      </c>
      <c r="AF1992" s="30">
        <f>T1992*AD1992</f>
        <v/>
      </c>
      <c r="AG1992" s="28">
        <f>IFERROR(LOOKUP(AF1992,{0;0.5;5;25},{"Bajo";"Medio";"Alto";"Crítico"}),"")</f>
        <v/>
      </c>
      <c r="AH1992" s="28">
        <f>IF(AG1992="","",IF(OR(AG1992="Crítico",AG1992="Alto"),"Mitigar",IF(AG1992="Medio","Mitigar","Aceptar y monitorear")))</f>
        <v/>
      </c>
      <c r="AI1992" s="21" t="n"/>
      <c r="AJ1992" s="21" t="n"/>
      <c r="AK1992" s="20" t="n"/>
      <c r="AL1992" s="77">
        <f>IFERROR(INDEX(MgAmenEfic,MATCH(SUBSTITUTE($H1992,"*","-"),MgAmenClave,0)),0)</f>
        <v/>
      </c>
    </row>
    <row r="1993" hidden="1" ht="45" customHeight="1" s="54">
      <c r="B1993" s="59" t="inlineStr">
        <is>
          <t>R-1988</t>
        </is>
      </c>
      <c r="C1993" s="59" t="inlineStr">
        <is>
          <t>FIN-21</t>
        </is>
      </c>
      <c r="D1993" s="64">
        <f>IFERROR(INDEX(MgNombre,MATCH($C1993,MgActId,0)),"")</f>
        <v/>
      </c>
      <c r="E1993" s="64">
        <f>IFERROR(INDEX(MgProceso,MATCH($C1993,MgActId,0)),"")</f>
        <v/>
      </c>
      <c r="F1993" s="64">
        <f>IFERROR(INDEX(MgTipo,MATCH($C1993,MgActId,0)),"")</f>
        <v/>
      </c>
      <c r="G1993" s="64">
        <f>IFERROR(INDEX(MgSubtipo,MATCH($C1993,MgActId,0)),"")</f>
        <v/>
      </c>
      <c r="H1993" s="59" t="inlineStr">
        <is>
          <t>A.10</t>
        </is>
      </c>
      <c r="I1993" s="64">
        <f>IFERROR(INDEX(MgAmenNombre,MATCH(SUBSTITUTE($H1993,"*","-"),MgAmenClave,0)),"")</f>
        <v/>
      </c>
      <c r="J1993" s="28">
        <f>IFERROR(INDEX(MgAmenGrupo,MATCH(SUBSTITUTE($H1993,"*","-"),MgAmenClave,0)),"")</f>
        <v/>
      </c>
      <c r="K1993" s="64">
        <f>IFERROR(INDEX('1. Matriz de Activos'!$Q$6:$Q$239,MATCH($C1993,MgActId,0)),"")</f>
        <v/>
      </c>
      <c r="L1993" s="64">
        <f>IFERROR(INDEX('1. Matriz de Activos'!$R$6:$R$239,MATCH($C1993,MgActId,0)),"")</f>
        <v/>
      </c>
      <c r="M1993" s="64">
        <f>IFERROR(INDEX('1. Matriz de Activos'!$S$6:$S$239,MATCH($C1993,MgActId,0)),"")</f>
        <v/>
      </c>
      <c r="N1993" s="28">
        <f>IFERROR(INDEX(MgAmenDegD,MATCH(SUBSTITUTE($H1993,"*","-"),MgAmenClave,0)),"No aplica")</f>
        <v/>
      </c>
      <c r="O1993" s="28">
        <f>IFERROR(INDEX(MgAmenDegI,MATCH(SUBSTITUTE($H1993,"*","-"),MgAmenClave,0)),"No aplica")</f>
        <v/>
      </c>
      <c r="P1993" s="28">
        <f>IFERROR(INDEX(MgAmenDegC,MATCH(SUBSTITUTE($H1993,"*","-"),MgAmenClave,0)),"No aplica")</f>
        <v/>
      </c>
      <c r="Q1993" s="29">
        <f>IFERROR(VLOOKUP(K1993,MgValor,2,0)*VLOOKUP(N1993,MgDeg,2,0),0)</f>
        <v/>
      </c>
      <c r="R1993" s="29">
        <f>IFERROR(VLOOKUP(L1993,MgValor,2,0)*VLOOKUP(O1993,MgDeg,2,0),0)</f>
        <v/>
      </c>
      <c r="S1993" s="29">
        <f>IFERROR(VLOOKUP(M1993,MgValor,2,0)*VLOOKUP(P1993,MgDeg,2,0),0)</f>
        <v/>
      </c>
      <c r="T1993" s="30">
        <f>MAX(Q1993:S1993)</f>
        <v/>
      </c>
      <c r="U1993" s="28">
        <f>IFERROR(LOOKUP(T1993,{0;0.5;1.5;3;4.5},{"Despreciable";"Bajo";"Medio";"Alto";"Muy alto"}),"")</f>
        <v/>
      </c>
      <c r="V1993" s="13">
        <f>IFERROR(INDEX(MgAmenFrec,MATCH(SUBSTITUTE($H1993,"*","-"),MgAmenClave,0)),"")</f>
        <v/>
      </c>
      <c r="W1993" s="28">
        <f>IFERROR(LOOKUP(X1993,{0;0.01;0.1;1;10;100},{"Muy baja";"Muy baja";"Baja";"Media";"Alta";"Muy alta"}),"")</f>
        <v/>
      </c>
      <c r="X1993" s="31">
        <f>IFERROR(VLOOKUP(V1993,MgFrec,2,0),0)</f>
        <v/>
      </c>
      <c r="Y1993" s="30">
        <f>T1993*X1993</f>
        <v/>
      </c>
      <c r="Z1993" s="28">
        <f>IFERROR(LOOKUP(Y1993,{0;0.5;5;25},{"Bajo";"Medio";"Alto";"Crítico"}),"")</f>
        <v/>
      </c>
      <c r="AA1993" s="64">
        <f>IF(T1993&gt;=3,IF(X1993&gt;=1,"Zona 1 — Crítica: impacto alto y ocurre al menos una vez al año","Zona 4 — Catastrófica poco probable: impacto alto pero excepcional"),IF(AND(T1993&lt;1.5,X1993&lt;1),"Zona 3 — Asumible: impacto bajo y muy poco frecuente","Zona 2 — Atención: riesgo intermedio"))</f>
        <v/>
      </c>
      <c r="AB1993" s="64">
        <f>IFERROR(INDEX(MgAmenCtrl,MATCH(SUBSTITUTE($H1993,"*","-"),MgAmenClave,0)),"")</f>
        <v/>
      </c>
      <c r="AC1993" s="20" t="n"/>
      <c r="AD1993" s="31">
        <f>IFERROR($X1993*(1-IF($AC1993="",$AL1993,VLOOKUP($AC1993,MgMad,2,0))),"")</f>
        <v/>
      </c>
      <c r="AE1993" s="28">
        <f>IFERROR(LOOKUP(AD1993,{0;0.01;0.1;1;10;100},{"Muy baja";"Muy baja";"Baja";"Media";"Alta";"Muy alta"}),"")</f>
        <v/>
      </c>
      <c r="AF1993" s="30">
        <f>T1993*AD1993</f>
        <v/>
      </c>
      <c r="AG1993" s="28">
        <f>IFERROR(LOOKUP(AF1993,{0;0.5;5;25},{"Bajo";"Medio";"Alto";"Crítico"}),"")</f>
        <v/>
      </c>
      <c r="AH1993" s="28">
        <f>IF(AG1993="","",IF(OR(AG1993="Crítico",AG1993="Alto"),"Mitigar",IF(AG1993="Medio","Mitigar","Aceptar y monitorear")))</f>
        <v/>
      </c>
      <c r="AI1993" s="21" t="n"/>
      <c r="AJ1993" s="21" t="n"/>
      <c r="AK1993" s="20" t="n"/>
      <c r="AL1993" s="77">
        <f>IFERROR(INDEX(MgAmenEfic,MATCH(SUBSTITUTE($H1993,"*","-"),MgAmenClave,0)),0)</f>
        <v/>
      </c>
    </row>
    <row r="1994" hidden="1" ht="120" customHeight="1" s="54">
      <c r="B1994" s="59" t="inlineStr">
        <is>
          <t>R-1989</t>
        </is>
      </c>
      <c r="C1994" s="59" t="inlineStr">
        <is>
          <t>FIN-21</t>
        </is>
      </c>
      <c r="D1994" s="64">
        <f>IFERROR(INDEX(MgNombre,MATCH($C1994,MgActId,0)),"")</f>
        <v/>
      </c>
      <c r="E1994" s="64">
        <f>IFERROR(INDEX(MgProceso,MATCH($C1994,MgActId,0)),"")</f>
        <v/>
      </c>
      <c r="F1994" s="64">
        <f>IFERROR(INDEX(MgTipo,MATCH($C1994,MgActId,0)),"")</f>
        <v/>
      </c>
      <c r="G1994" s="64">
        <f>IFERROR(INDEX(MgSubtipo,MATCH($C1994,MgActId,0)),"")</f>
        <v/>
      </c>
      <c r="H1994" s="59" t="inlineStr">
        <is>
          <t>A.11</t>
        </is>
      </c>
      <c r="I1994" s="64">
        <f>IFERROR(INDEX(MgAmenNombre,MATCH(SUBSTITUTE($H1994,"*","-"),MgAmenClave,0)),"")</f>
        <v/>
      </c>
      <c r="J1994" s="28">
        <f>IFERROR(INDEX(MgAmenGrupo,MATCH(SUBSTITUTE($H1994,"*","-"),MgAmenClave,0)),"")</f>
        <v/>
      </c>
      <c r="K1994" s="64">
        <f>IFERROR(INDEX('1. Matriz de Activos'!$Q$6:$Q$239,MATCH($C1994,MgActId,0)),"")</f>
        <v/>
      </c>
      <c r="L1994" s="64">
        <f>IFERROR(INDEX('1. Matriz de Activos'!$R$6:$R$239,MATCH($C1994,MgActId,0)),"")</f>
        <v/>
      </c>
      <c r="M1994" s="64">
        <f>IFERROR(INDEX('1. Matriz de Activos'!$S$6:$S$239,MATCH($C1994,MgActId,0)),"")</f>
        <v/>
      </c>
      <c r="N1994" s="28">
        <f>IFERROR(INDEX(MgAmenDegD,MATCH(SUBSTITUTE($H1994,"*","-"),MgAmenClave,0)),"No aplica")</f>
        <v/>
      </c>
      <c r="O1994" s="28">
        <f>IFERROR(INDEX(MgAmenDegI,MATCH(SUBSTITUTE($H1994,"*","-"),MgAmenClave,0)),"No aplica")</f>
        <v/>
      </c>
      <c r="P1994" s="28">
        <f>IFERROR(INDEX(MgAmenDegC,MATCH(SUBSTITUTE($H1994,"*","-"),MgAmenClave,0)),"No aplica")</f>
        <v/>
      </c>
      <c r="Q1994" s="29">
        <f>IFERROR(VLOOKUP(K1994,MgValor,2,0)*VLOOKUP(N1994,MgDeg,2,0),0)</f>
        <v/>
      </c>
      <c r="R1994" s="29">
        <f>IFERROR(VLOOKUP(L1994,MgValor,2,0)*VLOOKUP(O1994,MgDeg,2,0),0)</f>
        <v/>
      </c>
      <c r="S1994" s="29">
        <f>IFERROR(VLOOKUP(M1994,MgValor,2,0)*VLOOKUP(P1994,MgDeg,2,0),0)</f>
        <v/>
      </c>
      <c r="T1994" s="30">
        <f>MAX(Q1994:S1994)</f>
        <v/>
      </c>
      <c r="U1994" s="28">
        <f>IFERROR(LOOKUP(T1994,{0;0.5;1.5;3;4.5},{"Despreciable";"Bajo";"Medio";"Alto";"Muy alto"}),"")</f>
        <v/>
      </c>
      <c r="V1994" s="13">
        <f>IFERROR(INDEX(MgAmenFrec,MATCH(SUBSTITUTE($H1994,"*","-"),MgAmenClave,0)),"")</f>
        <v/>
      </c>
      <c r="W1994" s="28">
        <f>IFERROR(LOOKUP(X1994,{0;0.01;0.1;1;10;100},{"Muy baja";"Muy baja";"Baja";"Media";"Alta";"Muy alta"}),"")</f>
        <v/>
      </c>
      <c r="X1994" s="31">
        <f>IFERROR(VLOOKUP(V1994,MgFrec,2,0),0)</f>
        <v/>
      </c>
      <c r="Y1994" s="30">
        <f>T1994*X1994</f>
        <v/>
      </c>
      <c r="Z1994" s="28">
        <f>IFERROR(LOOKUP(Y1994,{0;0.5;5;25},{"Bajo";"Medio";"Alto";"Crítico"}),"")</f>
        <v/>
      </c>
      <c r="AA1994" s="64">
        <f>IF(T1994&gt;=3,IF(X1994&gt;=1,"Zona 1 — Crítica: impacto alto y ocurre al menos una vez al año","Zona 4 — Catastrófica poco probable: impacto alto pero excepcional"),IF(AND(T1994&lt;1.5,X1994&lt;1),"Zona 3 — Asumible: impacto bajo y muy poco frecuente","Zona 2 — Atención: riesgo intermedio"))</f>
        <v/>
      </c>
      <c r="AB1994" s="64">
        <f>IFERROR(INDEX(MgAmenCtrl,MATCH(SUBSTITUTE($H1994,"*","-"),MgAmenClave,0)),"")</f>
        <v/>
      </c>
      <c r="AC1994" s="20" t="n"/>
      <c r="AD1994" s="31">
        <f>IFERROR($X1994*(1-IF($AC1994="",$AL1994,VLOOKUP($AC1994,MgMad,2,0))),"")</f>
        <v/>
      </c>
      <c r="AE1994" s="28">
        <f>IFERROR(LOOKUP(AD1994,{0;0.01;0.1;1;10;100},{"Muy baja";"Muy baja";"Baja";"Media";"Alta";"Muy alta"}),"")</f>
        <v/>
      </c>
      <c r="AF1994" s="30">
        <f>T1994*AD1994</f>
        <v/>
      </c>
      <c r="AG1994" s="28">
        <f>IFERROR(LOOKUP(AF1994,{0;0.5;5;25},{"Bajo";"Medio";"Alto";"Crítico"}),"")</f>
        <v/>
      </c>
      <c r="AH1994" s="28">
        <f>IF(AG1994="","",IF(OR(AG1994="Crítico",AG1994="Alto"),"Mitigar",IF(AG1994="Medio","Mitigar","Aceptar y monitorear")))</f>
        <v/>
      </c>
      <c r="AI1994" s="21" t="n"/>
      <c r="AJ1994" s="21" t="n"/>
      <c r="AK1994" s="20" t="n"/>
      <c r="AL1994" s="77">
        <f>IFERROR(INDEX(MgAmenEfic,MATCH(SUBSTITUTE($H1994,"*","-"),MgAmenClave,0)),0)</f>
        <v/>
      </c>
    </row>
    <row r="1995" hidden="1" ht="60" customHeight="1" s="54">
      <c r="B1995" s="59" t="inlineStr">
        <is>
          <t>R-1990</t>
        </is>
      </c>
      <c r="C1995" s="59" t="inlineStr">
        <is>
          <t>FIN-21</t>
        </is>
      </c>
      <c r="D1995" s="64">
        <f>IFERROR(INDEX(MgNombre,MATCH($C1995,MgActId,0)),"")</f>
        <v/>
      </c>
      <c r="E1995" s="64">
        <f>IFERROR(INDEX(MgProceso,MATCH($C1995,MgActId,0)),"")</f>
        <v/>
      </c>
      <c r="F1995" s="64">
        <f>IFERROR(INDEX(MgTipo,MATCH($C1995,MgActId,0)),"")</f>
        <v/>
      </c>
      <c r="G1995" s="64">
        <f>IFERROR(INDEX(MgSubtipo,MATCH($C1995,MgActId,0)),"")</f>
        <v/>
      </c>
      <c r="H1995" s="59" t="inlineStr">
        <is>
          <t>A.15</t>
        </is>
      </c>
      <c r="I1995" s="64">
        <f>IFERROR(INDEX(MgAmenNombre,MATCH(SUBSTITUTE($H1995,"*","-"),MgAmenClave,0)),"")</f>
        <v/>
      </c>
      <c r="J1995" s="28">
        <f>IFERROR(INDEX(MgAmenGrupo,MATCH(SUBSTITUTE($H1995,"*","-"),MgAmenClave,0)),"")</f>
        <v/>
      </c>
      <c r="K1995" s="64">
        <f>IFERROR(INDEX('1. Matriz de Activos'!$Q$6:$Q$239,MATCH($C1995,MgActId,0)),"")</f>
        <v/>
      </c>
      <c r="L1995" s="64">
        <f>IFERROR(INDEX('1. Matriz de Activos'!$R$6:$R$239,MATCH($C1995,MgActId,0)),"")</f>
        <v/>
      </c>
      <c r="M1995" s="64">
        <f>IFERROR(INDEX('1. Matriz de Activos'!$S$6:$S$239,MATCH($C1995,MgActId,0)),"")</f>
        <v/>
      </c>
      <c r="N1995" s="28">
        <f>IFERROR(INDEX(MgAmenDegD,MATCH(SUBSTITUTE($H1995,"*","-"),MgAmenClave,0)),"No aplica")</f>
        <v/>
      </c>
      <c r="O1995" s="28">
        <f>IFERROR(INDEX(MgAmenDegI,MATCH(SUBSTITUTE($H1995,"*","-"),MgAmenClave,0)),"No aplica")</f>
        <v/>
      </c>
      <c r="P1995" s="28">
        <f>IFERROR(INDEX(MgAmenDegC,MATCH(SUBSTITUTE($H1995,"*","-"),MgAmenClave,0)),"No aplica")</f>
        <v/>
      </c>
      <c r="Q1995" s="29">
        <f>IFERROR(VLOOKUP(K1995,MgValor,2,0)*VLOOKUP(N1995,MgDeg,2,0),0)</f>
        <v/>
      </c>
      <c r="R1995" s="29">
        <f>IFERROR(VLOOKUP(L1995,MgValor,2,0)*VLOOKUP(O1995,MgDeg,2,0),0)</f>
        <v/>
      </c>
      <c r="S1995" s="29">
        <f>IFERROR(VLOOKUP(M1995,MgValor,2,0)*VLOOKUP(P1995,MgDeg,2,0),0)</f>
        <v/>
      </c>
      <c r="T1995" s="30">
        <f>MAX(Q1995:S1995)</f>
        <v/>
      </c>
      <c r="U1995" s="28">
        <f>IFERROR(LOOKUP(T1995,{0;0.5;1.5;3;4.5},{"Despreciable";"Bajo";"Medio";"Alto";"Muy alto"}),"")</f>
        <v/>
      </c>
      <c r="V1995" s="13">
        <f>IFERROR(INDEX(MgAmenFrec,MATCH(SUBSTITUTE($H1995,"*","-"),MgAmenClave,0)),"")</f>
        <v/>
      </c>
      <c r="W1995" s="28">
        <f>IFERROR(LOOKUP(X1995,{0;0.01;0.1;1;10;100},{"Muy baja";"Muy baja";"Baja";"Media";"Alta";"Muy alta"}),"")</f>
        <v/>
      </c>
      <c r="X1995" s="31">
        <f>IFERROR(VLOOKUP(V1995,MgFrec,2,0),0)</f>
        <v/>
      </c>
      <c r="Y1995" s="30">
        <f>T1995*X1995</f>
        <v/>
      </c>
      <c r="Z1995" s="28">
        <f>IFERROR(LOOKUP(Y1995,{0;0.5;5;25},{"Bajo";"Medio";"Alto";"Crítico"}),"")</f>
        <v/>
      </c>
      <c r="AA1995" s="64">
        <f>IF(T1995&gt;=3,IF(X1995&gt;=1,"Zona 1 — Crítica: impacto alto y ocurre al menos una vez al año","Zona 4 — Catastrófica poco probable: impacto alto pero excepcional"),IF(AND(T1995&lt;1.5,X1995&lt;1),"Zona 3 — Asumible: impacto bajo y muy poco frecuente","Zona 2 — Atención: riesgo intermedio"))</f>
        <v/>
      </c>
      <c r="AB1995" s="64">
        <f>IFERROR(INDEX(MgAmenCtrl,MATCH(SUBSTITUTE($H1995,"*","-"),MgAmenClave,0)),"")</f>
        <v/>
      </c>
      <c r="AC1995" s="20" t="n"/>
      <c r="AD1995" s="31">
        <f>IFERROR($X1995*(1-IF($AC1995="",$AL1995,VLOOKUP($AC1995,MgMad,2,0))),"")</f>
        <v/>
      </c>
      <c r="AE1995" s="28">
        <f>IFERROR(LOOKUP(AD1995,{0;0.01;0.1;1;10;100},{"Muy baja";"Muy baja";"Baja";"Media";"Alta";"Muy alta"}),"")</f>
        <v/>
      </c>
      <c r="AF1995" s="30">
        <f>T1995*AD1995</f>
        <v/>
      </c>
      <c r="AG1995" s="28">
        <f>IFERROR(LOOKUP(AF1995,{0;0.5;5;25},{"Bajo";"Medio";"Alto";"Crítico"}),"")</f>
        <v/>
      </c>
      <c r="AH1995" s="28">
        <f>IF(AG1995="","",IF(OR(AG1995="Crítico",AG1995="Alto"),"Mitigar",IF(AG1995="Medio","Mitigar","Aceptar y monitorear")))</f>
        <v/>
      </c>
      <c r="AI1995" s="21" t="n"/>
      <c r="AJ1995" s="21" t="n"/>
      <c r="AK1995" s="20" t="n"/>
      <c r="AL1995" s="77">
        <f>IFERROR(INDEX(MgAmenEfic,MATCH(SUBSTITUTE($H1995,"*","-"),MgAmenClave,0)),0)</f>
        <v/>
      </c>
    </row>
    <row r="1996" hidden="1" ht="60" customHeight="1" s="54">
      <c r="B1996" s="59" t="inlineStr">
        <is>
          <t>R-1991</t>
        </is>
      </c>
      <c r="C1996" s="59" t="inlineStr">
        <is>
          <t>FIN-21</t>
        </is>
      </c>
      <c r="D1996" s="64">
        <f>IFERROR(INDEX(MgNombre,MATCH($C1996,MgActId,0)),"")</f>
        <v/>
      </c>
      <c r="E1996" s="64">
        <f>IFERROR(INDEX(MgProceso,MATCH($C1996,MgActId,0)),"")</f>
        <v/>
      </c>
      <c r="F1996" s="64">
        <f>IFERROR(INDEX(MgTipo,MATCH($C1996,MgActId,0)),"")</f>
        <v/>
      </c>
      <c r="G1996" s="64">
        <f>IFERROR(INDEX(MgSubtipo,MATCH($C1996,MgActId,0)),"")</f>
        <v/>
      </c>
      <c r="H1996" s="59" t="inlineStr">
        <is>
          <t>A.18</t>
        </is>
      </c>
      <c r="I1996" s="64">
        <f>IFERROR(INDEX(MgAmenNombre,MATCH(SUBSTITUTE($H1996,"*","-"),MgAmenClave,0)),"")</f>
        <v/>
      </c>
      <c r="J1996" s="28">
        <f>IFERROR(INDEX(MgAmenGrupo,MATCH(SUBSTITUTE($H1996,"*","-"),MgAmenClave,0)),"")</f>
        <v/>
      </c>
      <c r="K1996" s="64">
        <f>IFERROR(INDEX('1. Matriz de Activos'!$Q$6:$Q$239,MATCH($C1996,MgActId,0)),"")</f>
        <v/>
      </c>
      <c r="L1996" s="64">
        <f>IFERROR(INDEX('1. Matriz de Activos'!$R$6:$R$239,MATCH($C1996,MgActId,0)),"")</f>
        <v/>
      </c>
      <c r="M1996" s="64">
        <f>IFERROR(INDEX('1. Matriz de Activos'!$S$6:$S$239,MATCH($C1996,MgActId,0)),"")</f>
        <v/>
      </c>
      <c r="N1996" s="28">
        <f>IFERROR(INDEX(MgAmenDegD,MATCH(SUBSTITUTE($H1996,"*","-"),MgAmenClave,0)),"No aplica")</f>
        <v/>
      </c>
      <c r="O1996" s="28">
        <f>IFERROR(INDEX(MgAmenDegI,MATCH(SUBSTITUTE($H1996,"*","-"),MgAmenClave,0)),"No aplica")</f>
        <v/>
      </c>
      <c r="P1996" s="28">
        <f>IFERROR(INDEX(MgAmenDegC,MATCH(SUBSTITUTE($H1996,"*","-"),MgAmenClave,0)),"No aplica")</f>
        <v/>
      </c>
      <c r="Q1996" s="29">
        <f>IFERROR(VLOOKUP(K1996,MgValor,2,0)*VLOOKUP(N1996,MgDeg,2,0),0)</f>
        <v/>
      </c>
      <c r="R1996" s="29">
        <f>IFERROR(VLOOKUP(L1996,MgValor,2,0)*VLOOKUP(O1996,MgDeg,2,0),0)</f>
        <v/>
      </c>
      <c r="S1996" s="29">
        <f>IFERROR(VLOOKUP(M1996,MgValor,2,0)*VLOOKUP(P1996,MgDeg,2,0),0)</f>
        <v/>
      </c>
      <c r="T1996" s="30">
        <f>MAX(Q1996:S1996)</f>
        <v/>
      </c>
      <c r="U1996" s="28">
        <f>IFERROR(LOOKUP(T1996,{0;0.5;1.5;3;4.5},{"Despreciable";"Bajo";"Medio";"Alto";"Muy alto"}),"")</f>
        <v/>
      </c>
      <c r="V1996" s="13">
        <f>IFERROR(INDEX(MgAmenFrec,MATCH(SUBSTITUTE($H1996,"*","-"),MgAmenClave,0)),"")</f>
        <v/>
      </c>
      <c r="W1996" s="28">
        <f>IFERROR(LOOKUP(X1996,{0;0.01;0.1;1;10;100},{"Muy baja";"Muy baja";"Baja";"Media";"Alta";"Muy alta"}),"")</f>
        <v/>
      </c>
      <c r="X1996" s="31">
        <f>IFERROR(VLOOKUP(V1996,MgFrec,2,0),0)</f>
        <v/>
      </c>
      <c r="Y1996" s="30">
        <f>T1996*X1996</f>
        <v/>
      </c>
      <c r="Z1996" s="28">
        <f>IFERROR(LOOKUP(Y1996,{0;0.5;5;25},{"Bajo";"Medio";"Alto";"Crítico"}),"")</f>
        <v/>
      </c>
      <c r="AA1996" s="64">
        <f>IF(T1996&gt;=3,IF(X1996&gt;=1,"Zona 1 — Crítica: impacto alto y ocurre al menos una vez al año","Zona 4 — Catastrófica poco probable: impacto alto pero excepcional"),IF(AND(T1996&lt;1.5,X1996&lt;1),"Zona 3 — Asumible: impacto bajo y muy poco frecuente","Zona 2 — Atención: riesgo intermedio"))</f>
        <v/>
      </c>
      <c r="AB1996" s="64">
        <f>IFERROR(INDEX(MgAmenCtrl,MATCH(SUBSTITUTE($H1996,"*","-"),MgAmenClave,0)),"")</f>
        <v/>
      </c>
      <c r="AC1996" s="20" t="n"/>
      <c r="AD1996" s="31">
        <f>IFERROR($X1996*(1-IF($AC1996="",$AL1996,VLOOKUP($AC1996,MgMad,2,0))),"")</f>
        <v/>
      </c>
      <c r="AE1996" s="28">
        <f>IFERROR(LOOKUP(AD1996,{0;0.01;0.1;1;10;100},{"Muy baja";"Muy baja";"Baja";"Media";"Alta";"Muy alta"}),"")</f>
        <v/>
      </c>
      <c r="AF1996" s="30">
        <f>T1996*AD1996</f>
        <v/>
      </c>
      <c r="AG1996" s="28">
        <f>IFERROR(LOOKUP(AF1996,{0;0.5;5;25},{"Bajo";"Medio";"Alto";"Crítico"}),"")</f>
        <v/>
      </c>
      <c r="AH1996" s="28">
        <f>IF(AG1996="","",IF(OR(AG1996="Crítico",AG1996="Alto"),"Mitigar",IF(AG1996="Medio","Mitigar","Aceptar y monitorear")))</f>
        <v/>
      </c>
      <c r="AI1996" s="21" t="n"/>
      <c r="AJ1996" s="21" t="n"/>
      <c r="AK1996" s="20" t="n"/>
      <c r="AL1996" s="77">
        <f>IFERROR(INDEX(MgAmenEfic,MATCH(SUBSTITUTE($H1996,"*","-"),MgAmenClave,0)),0)</f>
        <v/>
      </c>
    </row>
    <row r="1997" hidden="1" ht="120" customHeight="1" s="54">
      <c r="B1997" s="59" t="inlineStr">
        <is>
          <t>R-1992</t>
        </is>
      </c>
      <c r="C1997" s="59" t="inlineStr">
        <is>
          <t>FIN-21</t>
        </is>
      </c>
      <c r="D1997" s="64">
        <f>IFERROR(INDEX(MgNombre,MATCH($C1997,MgActId,0)),"")</f>
        <v/>
      </c>
      <c r="E1997" s="64">
        <f>IFERROR(INDEX(MgProceso,MATCH($C1997,MgActId,0)),"")</f>
        <v/>
      </c>
      <c r="F1997" s="64">
        <f>IFERROR(INDEX(MgTipo,MATCH($C1997,MgActId,0)),"")</f>
        <v/>
      </c>
      <c r="G1997" s="64">
        <f>IFERROR(INDEX(MgSubtipo,MATCH($C1997,MgActId,0)),"")</f>
        <v/>
      </c>
      <c r="H1997" s="59" t="inlineStr">
        <is>
          <t>A.19</t>
        </is>
      </c>
      <c r="I1997" s="64">
        <f>IFERROR(INDEX(MgAmenNombre,MATCH(SUBSTITUTE($H1997,"*","-"),MgAmenClave,0)),"")</f>
        <v/>
      </c>
      <c r="J1997" s="28">
        <f>IFERROR(INDEX(MgAmenGrupo,MATCH(SUBSTITUTE($H1997,"*","-"),MgAmenClave,0)),"")</f>
        <v/>
      </c>
      <c r="K1997" s="64">
        <f>IFERROR(INDEX('1. Matriz de Activos'!$Q$6:$Q$239,MATCH($C1997,MgActId,0)),"")</f>
        <v/>
      </c>
      <c r="L1997" s="64">
        <f>IFERROR(INDEX('1. Matriz de Activos'!$R$6:$R$239,MATCH($C1997,MgActId,0)),"")</f>
        <v/>
      </c>
      <c r="M1997" s="64">
        <f>IFERROR(INDEX('1. Matriz de Activos'!$S$6:$S$239,MATCH($C1997,MgActId,0)),"")</f>
        <v/>
      </c>
      <c r="N1997" s="28">
        <f>IFERROR(INDEX(MgAmenDegD,MATCH(SUBSTITUTE($H1997,"*","-"),MgAmenClave,0)),"No aplica")</f>
        <v/>
      </c>
      <c r="O1997" s="28">
        <f>IFERROR(INDEX(MgAmenDegI,MATCH(SUBSTITUTE($H1997,"*","-"),MgAmenClave,0)),"No aplica")</f>
        <v/>
      </c>
      <c r="P1997" s="28">
        <f>IFERROR(INDEX(MgAmenDegC,MATCH(SUBSTITUTE($H1997,"*","-"),MgAmenClave,0)),"No aplica")</f>
        <v/>
      </c>
      <c r="Q1997" s="29">
        <f>IFERROR(VLOOKUP(K1997,MgValor,2,0)*VLOOKUP(N1997,MgDeg,2,0),0)</f>
        <v/>
      </c>
      <c r="R1997" s="29">
        <f>IFERROR(VLOOKUP(L1997,MgValor,2,0)*VLOOKUP(O1997,MgDeg,2,0),0)</f>
        <v/>
      </c>
      <c r="S1997" s="29">
        <f>IFERROR(VLOOKUP(M1997,MgValor,2,0)*VLOOKUP(P1997,MgDeg,2,0),0)</f>
        <v/>
      </c>
      <c r="T1997" s="30">
        <f>MAX(Q1997:S1997)</f>
        <v/>
      </c>
      <c r="U1997" s="28">
        <f>IFERROR(LOOKUP(T1997,{0;0.5;1.5;3;4.5},{"Despreciable";"Bajo";"Medio";"Alto";"Muy alto"}),"")</f>
        <v/>
      </c>
      <c r="V1997" s="13">
        <f>IFERROR(INDEX(MgAmenFrec,MATCH(SUBSTITUTE($H1997,"*","-"),MgAmenClave,0)),"")</f>
        <v/>
      </c>
      <c r="W1997" s="28">
        <f>IFERROR(LOOKUP(X1997,{0;0.01;0.1;1;10;100},{"Muy baja";"Muy baja";"Baja";"Media";"Alta";"Muy alta"}),"")</f>
        <v/>
      </c>
      <c r="X1997" s="31">
        <f>IFERROR(VLOOKUP(V1997,MgFrec,2,0),0)</f>
        <v/>
      </c>
      <c r="Y1997" s="30">
        <f>T1997*X1997</f>
        <v/>
      </c>
      <c r="Z1997" s="28">
        <f>IFERROR(LOOKUP(Y1997,{0;0.5;5;25},{"Bajo";"Medio";"Alto";"Crítico"}),"")</f>
        <v/>
      </c>
      <c r="AA1997" s="64">
        <f>IF(T1997&gt;=3,IF(X1997&gt;=1,"Zona 1 — Crítica: impacto alto y ocurre al menos una vez al año","Zona 4 — Catastrófica poco probable: impacto alto pero excepcional"),IF(AND(T1997&lt;1.5,X1997&lt;1),"Zona 3 — Asumible: impacto bajo y muy poco frecuente","Zona 2 — Atención: riesgo intermedio"))</f>
        <v/>
      </c>
      <c r="AB1997" s="64">
        <f>IFERROR(INDEX(MgAmenCtrl,MATCH(SUBSTITUTE($H1997,"*","-"),MgAmenClave,0)),"")</f>
        <v/>
      </c>
      <c r="AC1997" s="20" t="n"/>
      <c r="AD1997" s="31">
        <f>IFERROR($X1997*(1-IF($AC1997="",$AL1997,VLOOKUP($AC1997,MgMad,2,0))),"")</f>
        <v/>
      </c>
      <c r="AE1997" s="28">
        <f>IFERROR(LOOKUP(AD1997,{0;0.01;0.1;1;10;100},{"Muy baja";"Muy baja";"Baja";"Media";"Alta";"Muy alta"}),"")</f>
        <v/>
      </c>
      <c r="AF1997" s="30">
        <f>T1997*AD1997</f>
        <v/>
      </c>
      <c r="AG1997" s="28">
        <f>IFERROR(LOOKUP(AF1997,{0;0.5;5;25},{"Bajo";"Medio";"Alto";"Crítico"}),"")</f>
        <v/>
      </c>
      <c r="AH1997" s="28">
        <f>IF(AG1997="","",IF(OR(AG1997="Crítico",AG1997="Alto"),"Mitigar",IF(AG1997="Medio","Mitigar","Aceptar y monitorear")))</f>
        <v/>
      </c>
      <c r="AI1997" s="21" t="n"/>
      <c r="AJ1997" s="21" t="n"/>
      <c r="AK1997" s="20" t="n"/>
      <c r="AL1997" s="77">
        <f>IFERROR(INDEX(MgAmenEfic,MATCH(SUBSTITUTE($H1997,"*","-"),MgAmenClave,0)),0)</f>
        <v/>
      </c>
    </row>
    <row r="1998" hidden="1" ht="135" customHeight="1" s="54">
      <c r="B1998" s="59" t="inlineStr">
        <is>
          <t>R-1993</t>
        </is>
      </c>
      <c r="C1998" s="59" t="inlineStr">
        <is>
          <t>FIN-21</t>
        </is>
      </c>
      <c r="D1998" s="64">
        <f>IFERROR(INDEX(MgNombre,MATCH($C1998,MgActId,0)),"")</f>
        <v/>
      </c>
      <c r="E1998" s="64">
        <f>IFERROR(INDEX(MgProceso,MATCH($C1998,MgActId,0)),"")</f>
        <v/>
      </c>
      <c r="F1998" s="64">
        <f>IFERROR(INDEX(MgTipo,MATCH($C1998,MgActId,0)),"")</f>
        <v/>
      </c>
      <c r="G1998" s="64">
        <f>IFERROR(INDEX(MgSubtipo,MATCH($C1998,MgActId,0)),"")</f>
        <v/>
      </c>
      <c r="H1998" s="59" t="inlineStr">
        <is>
          <t>A.22</t>
        </is>
      </c>
      <c r="I1998" s="64">
        <f>IFERROR(INDEX(MgAmenNombre,MATCH(SUBSTITUTE($H1998,"*","-"),MgAmenClave,0)),"")</f>
        <v/>
      </c>
      <c r="J1998" s="28">
        <f>IFERROR(INDEX(MgAmenGrupo,MATCH(SUBSTITUTE($H1998,"*","-"),MgAmenClave,0)),"")</f>
        <v/>
      </c>
      <c r="K1998" s="64">
        <f>IFERROR(INDEX('1. Matriz de Activos'!$Q$6:$Q$239,MATCH($C1998,MgActId,0)),"")</f>
        <v/>
      </c>
      <c r="L1998" s="64">
        <f>IFERROR(INDEX('1. Matriz de Activos'!$R$6:$R$239,MATCH($C1998,MgActId,0)),"")</f>
        <v/>
      </c>
      <c r="M1998" s="64">
        <f>IFERROR(INDEX('1. Matriz de Activos'!$S$6:$S$239,MATCH($C1998,MgActId,0)),"")</f>
        <v/>
      </c>
      <c r="N1998" s="28">
        <f>IFERROR(INDEX(MgAmenDegD,MATCH(SUBSTITUTE($H1998,"*","-"),MgAmenClave,0)),"No aplica")</f>
        <v/>
      </c>
      <c r="O1998" s="28">
        <f>IFERROR(INDEX(MgAmenDegI,MATCH(SUBSTITUTE($H1998,"*","-"),MgAmenClave,0)),"No aplica")</f>
        <v/>
      </c>
      <c r="P1998" s="28">
        <f>IFERROR(INDEX(MgAmenDegC,MATCH(SUBSTITUTE($H1998,"*","-"),MgAmenClave,0)),"No aplica")</f>
        <v/>
      </c>
      <c r="Q1998" s="29">
        <f>IFERROR(VLOOKUP(K1998,MgValor,2,0)*VLOOKUP(N1998,MgDeg,2,0),0)</f>
        <v/>
      </c>
      <c r="R1998" s="29">
        <f>IFERROR(VLOOKUP(L1998,MgValor,2,0)*VLOOKUP(O1998,MgDeg,2,0),0)</f>
        <v/>
      </c>
      <c r="S1998" s="29">
        <f>IFERROR(VLOOKUP(M1998,MgValor,2,0)*VLOOKUP(P1998,MgDeg,2,0),0)</f>
        <v/>
      </c>
      <c r="T1998" s="30">
        <f>MAX(Q1998:S1998)</f>
        <v/>
      </c>
      <c r="U1998" s="28">
        <f>IFERROR(LOOKUP(T1998,{0;0.5;1.5;3;4.5},{"Despreciable";"Bajo";"Medio";"Alto";"Muy alto"}),"")</f>
        <v/>
      </c>
      <c r="V1998" s="13">
        <f>IFERROR(INDEX(MgAmenFrec,MATCH(SUBSTITUTE($H1998,"*","-"),MgAmenClave,0)),"")</f>
        <v/>
      </c>
      <c r="W1998" s="28">
        <f>IFERROR(LOOKUP(X1998,{0;0.01;0.1;1;10;100},{"Muy baja";"Muy baja";"Baja";"Media";"Alta";"Muy alta"}),"")</f>
        <v/>
      </c>
      <c r="X1998" s="31">
        <f>IFERROR(VLOOKUP(V1998,MgFrec,2,0),0)</f>
        <v/>
      </c>
      <c r="Y1998" s="30">
        <f>T1998*X1998</f>
        <v/>
      </c>
      <c r="Z1998" s="28">
        <f>IFERROR(LOOKUP(Y1998,{0;0.5;5;25},{"Bajo";"Medio";"Alto";"Crítico"}),"")</f>
        <v/>
      </c>
      <c r="AA1998" s="64">
        <f>IF(T1998&gt;=3,IF(X1998&gt;=1,"Zona 1 — Crítica: impacto alto y ocurre al menos una vez al año","Zona 4 — Catastrófica poco probable: impacto alto pero excepcional"),IF(AND(T1998&lt;1.5,X1998&lt;1),"Zona 3 — Asumible: impacto bajo y muy poco frecuente","Zona 2 — Atención: riesgo intermedio"))</f>
        <v/>
      </c>
      <c r="AB1998" s="64">
        <f>IFERROR(INDEX(MgAmenCtrl,MATCH(SUBSTITUTE($H1998,"*","-"),MgAmenClave,0)),"")</f>
        <v/>
      </c>
      <c r="AC1998" s="20" t="n"/>
      <c r="AD1998" s="31">
        <f>IFERROR($X1998*(1-IF($AC1998="",$AL1998,VLOOKUP($AC1998,MgMad,2,0))),"")</f>
        <v/>
      </c>
      <c r="AE1998" s="28">
        <f>IFERROR(LOOKUP(AD1998,{0;0.01;0.1;1;10;100},{"Muy baja";"Muy baja";"Baja";"Media";"Alta";"Muy alta"}),"")</f>
        <v/>
      </c>
      <c r="AF1998" s="30">
        <f>T1998*AD1998</f>
        <v/>
      </c>
      <c r="AG1998" s="28">
        <f>IFERROR(LOOKUP(AF1998,{0;0.5;5;25},{"Bajo";"Medio";"Alto";"Crítico"}),"")</f>
        <v/>
      </c>
      <c r="AH1998" s="28">
        <f>IF(AG1998="","",IF(OR(AG1998="Crítico",AG1998="Alto"),"Mitigar",IF(AG1998="Medio","Mitigar","Aceptar y monitorear")))</f>
        <v/>
      </c>
      <c r="AI1998" s="21" t="n"/>
      <c r="AJ1998" s="21" t="n"/>
      <c r="AK1998" s="20" t="n"/>
      <c r="AL1998" s="77">
        <f>IFERROR(INDEX(MgAmenEfic,MATCH(SUBSTITUTE($H1998,"*","-"),MgAmenClave,0)),0)</f>
        <v/>
      </c>
    </row>
    <row r="1999" hidden="1" ht="75" customHeight="1" s="54">
      <c r="B1999" s="59" t="inlineStr">
        <is>
          <t>R-1994</t>
        </is>
      </c>
      <c r="C1999" s="59" t="inlineStr">
        <is>
          <t>TEC-011</t>
        </is>
      </c>
      <c r="D1999" s="64">
        <f>IFERROR(INDEX(MgNombre,MATCH($C1999,MgActId,0)),"")</f>
        <v/>
      </c>
      <c r="E1999" s="64">
        <f>IFERROR(INDEX(MgProceso,MATCH($C1999,MgActId,0)),"")</f>
        <v/>
      </c>
      <c r="F1999" s="64">
        <f>IFERROR(INDEX(MgTipo,MATCH($C1999,MgActId,0)),"")</f>
        <v/>
      </c>
      <c r="G1999" s="64">
        <f>IFERROR(INDEX(MgSubtipo,MATCH($C1999,MgActId,0)),"")</f>
        <v/>
      </c>
      <c r="H1999" s="59" t="inlineStr">
        <is>
          <t>I.5</t>
        </is>
      </c>
      <c r="I1999" s="64">
        <f>IFERROR(INDEX(MgAmenNombre,MATCH(SUBSTITUTE($H1999,"*","-"),MgAmenClave,0)),"")</f>
        <v/>
      </c>
      <c r="J1999" s="28">
        <f>IFERROR(INDEX(MgAmenGrupo,MATCH(SUBSTITUTE($H1999,"*","-"),MgAmenClave,0)),"")</f>
        <v/>
      </c>
      <c r="K1999" s="64">
        <f>IFERROR(INDEX('1. Matriz de Activos'!$Q$6:$Q$239,MATCH($C1999,MgActId,0)),"")</f>
        <v/>
      </c>
      <c r="L1999" s="64">
        <f>IFERROR(INDEX('1. Matriz de Activos'!$R$6:$R$239,MATCH($C1999,MgActId,0)),"")</f>
        <v/>
      </c>
      <c r="M1999" s="64">
        <f>IFERROR(INDEX('1. Matriz de Activos'!$S$6:$S$239,MATCH($C1999,MgActId,0)),"")</f>
        <v/>
      </c>
      <c r="N1999" s="28">
        <f>IFERROR(INDEX(MgAmenDegD,MATCH(SUBSTITUTE($H1999,"*","-"),MgAmenClave,0)),"No aplica")</f>
        <v/>
      </c>
      <c r="O1999" s="28">
        <f>IFERROR(INDEX(MgAmenDegI,MATCH(SUBSTITUTE($H1999,"*","-"),MgAmenClave,0)),"No aplica")</f>
        <v/>
      </c>
      <c r="P1999" s="28">
        <f>IFERROR(INDEX(MgAmenDegC,MATCH(SUBSTITUTE($H1999,"*","-"),MgAmenClave,0)),"No aplica")</f>
        <v/>
      </c>
      <c r="Q1999" s="29">
        <f>IFERROR(VLOOKUP(K1999,MgValor,2,0)*VLOOKUP(N1999,MgDeg,2,0),0)</f>
        <v/>
      </c>
      <c r="R1999" s="29">
        <f>IFERROR(VLOOKUP(L1999,MgValor,2,0)*VLOOKUP(O1999,MgDeg,2,0),0)</f>
        <v/>
      </c>
      <c r="S1999" s="29">
        <f>IFERROR(VLOOKUP(M1999,MgValor,2,0)*VLOOKUP(P1999,MgDeg,2,0),0)</f>
        <v/>
      </c>
      <c r="T1999" s="30">
        <f>MAX(Q1999:S1999)</f>
        <v/>
      </c>
      <c r="U1999" s="28">
        <f>IFERROR(LOOKUP(T1999,{0;0.5;1.5;3;4.5},{"Despreciable";"Bajo";"Medio";"Alto";"Muy alto"}),"")</f>
        <v/>
      </c>
      <c r="V1999" s="13">
        <f>IFERROR(INDEX(MgAmenFrec,MATCH(SUBSTITUTE($H1999,"*","-"),MgAmenClave,0)),"")</f>
        <v/>
      </c>
      <c r="W1999" s="28">
        <f>IFERROR(LOOKUP(X1999,{0;0.01;0.1;1;10;100},{"Muy baja";"Muy baja";"Baja";"Media";"Alta";"Muy alta"}),"")</f>
        <v/>
      </c>
      <c r="X1999" s="31">
        <f>IFERROR(VLOOKUP(V1999,MgFrec,2,0),0)</f>
        <v/>
      </c>
      <c r="Y1999" s="30">
        <f>T1999*X1999</f>
        <v/>
      </c>
      <c r="Z1999" s="28">
        <f>IFERROR(LOOKUP(Y1999,{0;0.5;5;25},{"Bajo";"Medio";"Alto";"Crítico"}),"")</f>
        <v/>
      </c>
      <c r="AA1999" s="64">
        <f>IF(T1999&gt;=3,IF(X1999&gt;=1,"Zona 1 — Crítica: impacto alto y ocurre al menos una vez al año","Zona 4 — Catastrófica poco probable: impacto alto pero excepcional"),IF(AND(T1999&lt;1.5,X1999&lt;1),"Zona 3 — Asumible: impacto bajo y muy poco frecuente","Zona 2 — Atención: riesgo intermedio"))</f>
        <v/>
      </c>
      <c r="AB1999" s="64">
        <f>IFERROR(INDEX(MgAmenCtrl,MATCH(SUBSTITUTE($H1999,"*","-"),MgAmenClave,0)),"")</f>
        <v/>
      </c>
      <c r="AC1999" s="20" t="n"/>
      <c r="AD1999" s="31">
        <f>IFERROR($X1999*(1-IF($AC1999="",$AL1999,VLOOKUP($AC1999,MgMad,2,0))),"")</f>
        <v/>
      </c>
      <c r="AE1999" s="28">
        <f>IFERROR(LOOKUP(AD1999,{0;0.01;0.1;1;10;100},{"Muy baja";"Muy baja";"Baja";"Media";"Alta";"Muy alta"}),"")</f>
        <v/>
      </c>
      <c r="AF1999" s="30">
        <f>T1999*AD1999</f>
        <v/>
      </c>
      <c r="AG1999" s="28">
        <f>IFERROR(LOOKUP(AF1999,{0;0.5;5;25},{"Bajo";"Medio";"Alto";"Crítico"}),"")</f>
        <v/>
      </c>
      <c r="AH1999" s="28">
        <f>IF(AG1999="","",IF(OR(AG1999="Crítico",AG1999="Alto"),"Mitigar",IF(AG1999="Medio","Mitigar","Aceptar y monitorear")))</f>
        <v/>
      </c>
      <c r="AI1999" s="21" t="n"/>
      <c r="AJ1999" s="21" t="n"/>
      <c r="AK1999" s="20" t="n"/>
      <c r="AL1999" s="77">
        <f>IFERROR(INDEX(MgAmenEfic,MATCH(SUBSTITUTE($H1999,"*","-"),MgAmenClave,0)),0)</f>
        <v/>
      </c>
    </row>
    <row r="2000" hidden="1" ht="105" customHeight="1" s="54">
      <c r="B2000" s="59" t="inlineStr">
        <is>
          <t>R-1995</t>
        </is>
      </c>
      <c r="C2000" s="59" t="inlineStr">
        <is>
          <t>TEC-011</t>
        </is>
      </c>
      <c r="D2000" s="64">
        <f>IFERROR(INDEX(MgNombre,MATCH($C2000,MgActId,0)),"")</f>
        <v/>
      </c>
      <c r="E2000" s="64">
        <f>IFERROR(INDEX(MgProceso,MATCH($C2000,MgActId,0)),"")</f>
        <v/>
      </c>
      <c r="F2000" s="64">
        <f>IFERROR(INDEX(MgTipo,MATCH($C2000,MgActId,0)),"")</f>
        <v/>
      </c>
      <c r="G2000" s="64">
        <f>IFERROR(INDEX(MgSubtipo,MATCH($C2000,MgActId,0)),"")</f>
        <v/>
      </c>
      <c r="H2000" s="59" t="inlineStr">
        <is>
          <t>E.1</t>
        </is>
      </c>
      <c r="I2000" s="64">
        <f>IFERROR(INDEX(MgAmenNombre,MATCH(SUBSTITUTE($H2000,"*","-"),MgAmenClave,0)),"")</f>
        <v/>
      </c>
      <c r="J2000" s="28">
        <f>IFERROR(INDEX(MgAmenGrupo,MATCH(SUBSTITUTE($H2000,"*","-"),MgAmenClave,0)),"")</f>
        <v/>
      </c>
      <c r="K2000" s="64">
        <f>IFERROR(INDEX('1. Matriz de Activos'!$Q$6:$Q$239,MATCH($C2000,MgActId,0)),"")</f>
        <v/>
      </c>
      <c r="L2000" s="64">
        <f>IFERROR(INDEX('1. Matriz de Activos'!$R$6:$R$239,MATCH($C2000,MgActId,0)),"")</f>
        <v/>
      </c>
      <c r="M2000" s="64">
        <f>IFERROR(INDEX('1. Matriz de Activos'!$S$6:$S$239,MATCH($C2000,MgActId,0)),"")</f>
        <v/>
      </c>
      <c r="N2000" s="28">
        <f>IFERROR(INDEX(MgAmenDegD,MATCH(SUBSTITUTE($H2000,"*","-"),MgAmenClave,0)),"No aplica")</f>
        <v/>
      </c>
      <c r="O2000" s="28">
        <f>IFERROR(INDEX(MgAmenDegI,MATCH(SUBSTITUTE($H2000,"*","-"),MgAmenClave,0)),"No aplica")</f>
        <v/>
      </c>
      <c r="P2000" s="28">
        <f>IFERROR(INDEX(MgAmenDegC,MATCH(SUBSTITUTE($H2000,"*","-"),MgAmenClave,0)),"No aplica")</f>
        <v/>
      </c>
      <c r="Q2000" s="29">
        <f>IFERROR(VLOOKUP(K2000,MgValor,2,0)*VLOOKUP(N2000,MgDeg,2,0),0)</f>
        <v/>
      </c>
      <c r="R2000" s="29">
        <f>IFERROR(VLOOKUP(L2000,MgValor,2,0)*VLOOKUP(O2000,MgDeg,2,0),0)</f>
        <v/>
      </c>
      <c r="S2000" s="29">
        <f>IFERROR(VLOOKUP(M2000,MgValor,2,0)*VLOOKUP(P2000,MgDeg,2,0),0)</f>
        <v/>
      </c>
      <c r="T2000" s="30">
        <f>MAX(Q2000:S2000)</f>
        <v/>
      </c>
      <c r="U2000" s="28">
        <f>IFERROR(LOOKUP(T2000,{0;0.5;1.5;3;4.5},{"Despreciable";"Bajo";"Medio";"Alto";"Muy alto"}),"")</f>
        <v/>
      </c>
      <c r="V2000" s="13">
        <f>IFERROR(INDEX(MgAmenFrec,MATCH(SUBSTITUTE($H2000,"*","-"),MgAmenClave,0)),"")</f>
        <v/>
      </c>
      <c r="W2000" s="28">
        <f>IFERROR(LOOKUP(X2000,{0;0.01;0.1;1;10;100},{"Muy baja";"Muy baja";"Baja";"Media";"Alta";"Muy alta"}),"")</f>
        <v/>
      </c>
      <c r="X2000" s="31">
        <f>IFERROR(VLOOKUP(V2000,MgFrec,2,0),0)</f>
        <v/>
      </c>
      <c r="Y2000" s="30">
        <f>T2000*X2000</f>
        <v/>
      </c>
      <c r="Z2000" s="28">
        <f>IFERROR(LOOKUP(Y2000,{0;0.5;5;25},{"Bajo";"Medio";"Alto";"Crítico"}),"")</f>
        <v/>
      </c>
      <c r="AA2000" s="64">
        <f>IF(T2000&gt;=3,IF(X2000&gt;=1,"Zona 1 — Crítica: impacto alto y ocurre al menos una vez al año","Zona 4 — Catastrófica poco probable: impacto alto pero excepcional"),IF(AND(T2000&lt;1.5,X2000&lt;1),"Zona 3 — Asumible: impacto bajo y muy poco frecuente","Zona 2 — Atención: riesgo intermedio"))</f>
        <v/>
      </c>
      <c r="AB2000" s="64">
        <f>IFERROR(INDEX(MgAmenCtrl,MATCH(SUBSTITUTE($H2000,"*","-"),MgAmenClave,0)),"")</f>
        <v/>
      </c>
      <c r="AC2000" s="20" t="n"/>
      <c r="AD2000" s="31">
        <f>IFERROR($X2000*(1-IF($AC2000="",$AL2000,VLOOKUP($AC2000,MgMad,2,0))),"")</f>
        <v/>
      </c>
      <c r="AE2000" s="28">
        <f>IFERROR(LOOKUP(AD2000,{0;0.01;0.1;1;10;100},{"Muy baja";"Muy baja";"Baja";"Media";"Alta";"Muy alta"}),"")</f>
        <v/>
      </c>
      <c r="AF2000" s="30">
        <f>T2000*AD2000</f>
        <v/>
      </c>
      <c r="AG2000" s="28">
        <f>IFERROR(LOOKUP(AF2000,{0;0.5;5;25},{"Bajo";"Medio";"Alto";"Crítico"}),"")</f>
        <v/>
      </c>
      <c r="AH2000" s="28">
        <f>IF(AG2000="","",IF(OR(AG2000="Crítico",AG2000="Alto"),"Mitigar",IF(AG2000="Medio","Mitigar","Aceptar y monitorear")))</f>
        <v/>
      </c>
      <c r="AI2000" s="21" t="n"/>
      <c r="AJ2000" s="21" t="n"/>
      <c r="AK2000" s="20" t="n"/>
      <c r="AL2000" s="77">
        <f>IFERROR(INDEX(MgAmenEfic,MATCH(SUBSTITUTE($H2000,"*","-"),MgAmenClave,0)),0)</f>
        <v/>
      </c>
    </row>
    <row r="2001" hidden="1" ht="120" customHeight="1" s="54">
      <c r="B2001" s="59" t="inlineStr">
        <is>
          <t>R-1996</t>
        </is>
      </c>
      <c r="C2001" s="59" t="inlineStr">
        <is>
          <t>TEC-011</t>
        </is>
      </c>
      <c r="D2001" s="64">
        <f>IFERROR(INDEX(MgNombre,MATCH($C2001,MgActId,0)),"")</f>
        <v/>
      </c>
      <c r="E2001" s="64">
        <f>IFERROR(INDEX(MgProceso,MATCH($C2001,MgActId,0)),"")</f>
        <v/>
      </c>
      <c r="F2001" s="64">
        <f>IFERROR(INDEX(MgTipo,MATCH($C2001,MgActId,0)),"")</f>
        <v/>
      </c>
      <c r="G2001" s="64">
        <f>IFERROR(INDEX(MgSubtipo,MATCH($C2001,MgActId,0)),"")</f>
        <v/>
      </c>
      <c r="H2001" s="59" t="inlineStr">
        <is>
          <t>E.2</t>
        </is>
      </c>
      <c r="I2001" s="64">
        <f>IFERROR(INDEX(MgAmenNombre,MATCH(SUBSTITUTE($H2001,"*","-"),MgAmenClave,0)),"")</f>
        <v/>
      </c>
      <c r="J2001" s="28">
        <f>IFERROR(INDEX(MgAmenGrupo,MATCH(SUBSTITUTE($H2001,"*","-"),MgAmenClave,0)),"")</f>
        <v/>
      </c>
      <c r="K2001" s="64">
        <f>IFERROR(INDEX('1. Matriz de Activos'!$Q$6:$Q$239,MATCH($C2001,MgActId,0)),"")</f>
        <v/>
      </c>
      <c r="L2001" s="64">
        <f>IFERROR(INDEX('1. Matriz de Activos'!$R$6:$R$239,MATCH($C2001,MgActId,0)),"")</f>
        <v/>
      </c>
      <c r="M2001" s="64">
        <f>IFERROR(INDEX('1. Matriz de Activos'!$S$6:$S$239,MATCH($C2001,MgActId,0)),"")</f>
        <v/>
      </c>
      <c r="N2001" s="28">
        <f>IFERROR(INDEX(MgAmenDegD,MATCH(SUBSTITUTE($H2001,"*","-"),MgAmenClave,0)),"No aplica")</f>
        <v/>
      </c>
      <c r="O2001" s="28">
        <f>IFERROR(INDEX(MgAmenDegI,MATCH(SUBSTITUTE($H2001,"*","-"),MgAmenClave,0)),"No aplica")</f>
        <v/>
      </c>
      <c r="P2001" s="28">
        <f>IFERROR(INDEX(MgAmenDegC,MATCH(SUBSTITUTE($H2001,"*","-"),MgAmenClave,0)),"No aplica")</f>
        <v/>
      </c>
      <c r="Q2001" s="29">
        <f>IFERROR(VLOOKUP(K2001,MgValor,2,0)*VLOOKUP(N2001,MgDeg,2,0),0)</f>
        <v/>
      </c>
      <c r="R2001" s="29">
        <f>IFERROR(VLOOKUP(L2001,MgValor,2,0)*VLOOKUP(O2001,MgDeg,2,0),0)</f>
        <v/>
      </c>
      <c r="S2001" s="29">
        <f>IFERROR(VLOOKUP(M2001,MgValor,2,0)*VLOOKUP(P2001,MgDeg,2,0),0)</f>
        <v/>
      </c>
      <c r="T2001" s="30">
        <f>MAX(Q2001:S2001)</f>
        <v/>
      </c>
      <c r="U2001" s="28">
        <f>IFERROR(LOOKUP(T2001,{0;0.5;1.5;3;4.5},{"Despreciable";"Bajo";"Medio";"Alto";"Muy alto"}),"")</f>
        <v/>
      </c>
      <c r="V2001" s="13">
        <f>IFERROR(INDEX(MgAmenFrec,MATCH(SUBSTITUTE($H2001,"*","-"),MgAmenClave,0)),"")</f>
        <v/>
      </c>
      <c r="W2001" s="28">
        <f>IFERROR(LOOKUP(X2001,{0;0.01;0.1;1;10;100},{"Muy baja";"Muy baja";"Baja";"Media";"Alta";"Muy alta"}),"")</f>
        <v/>
      </c>
      <c r="X2001" s="31">
        <f>IFERROR(VLOOKUP(V2001,MgFrec,2,0),0)</f>
        <v/>
      </c>
      <c r="Y2001" s="30">
        <f>T2001*X2001</f>
        <v/>
      </c>
      <c r="Z2001" s="28">
        <f>IFERROR(LOOKUP(Y2001,{0;0.5;5;25},{"Bajo";"Medio";"Alto";"Crítico"}),"")</f>
        <v/>
      </c>
      <c r="AA2001" s="64">
        <f>IF(T2001&gt;=3,IF(X2001&gt;=1,"Zona 1 — Crítica: impacto alto y ocurre al menos una vez al año","Zona 4 — Catastrófica poco probable: impacto alto pero excepcional"),IF(AND(T2001&lt;1.5,X2001&lt;1),"Zona 3 — Asumible: impacto bajo y muy poco frecuente","Zona 2 — Atención: riesgo intermedio"))</f>
        <v/>
      </c>
      <c r="AB2001" s="64">
        <f>IFERROR(INDEX(MgAmenCtrl,MATCH(SUBSTITUTE($H2001,"*","-"),MgAmenClave,0)),"")</f>
        <v/>
      </c>
      <c r="AC2001" s="20" t="n"/>
      <c r="AD2001" s="31">
        <f>IFERROR($X2001*(1-IF($AC2001="",$AL2001,VLOOKUP($AC2001,MgMad,2,0))),"")</f>
        <v/>
      </c>
      <c r="AE2001" s="28">
        <f>IFERROR(LOOKUP(AD2001,{0;0.01;0.1;1;10;100},{"Muy baja";"Muy baja";"Baja";"Media";"Alta";"Muy alta"}),"")</f>
        <v/>
      </c>
      <c r="AF2001" s="30">
        <f>T2001*AD2001</f>
        <v/>
      </c>
      <c r="AG2001" s="28">
        <f>IFERROR(LOOKUP(AF2001,{0;0.5;5;25},{"Bajo";"Medio";"Alto";"Crítico"}),"")</f>
        <v/>
      </c>
      <c r="AH2001" s="28">
        <f>IF(AG2001="","",IF(OR(AG2001="Crítico",AG2001="Alto"),"Mitigar",IF(AG2001="Medio","Mitigar","Aceptar y monitorear")))</f>
        <v/>
      </c>
      <c r="AI2001" s="21" t="n"/>
      <c r="AJ2001" s="21" t="n"/>
      <c r="AK2001" s="20" t="n"/>
      <c r="AL2001" s="77">
        <f>IFERROR(INDEX(MgAmenEfic,MATCH(SUBSTITUTE($H2001,"*","-"),MgAmenClave,0)),0)</f>
        <v/>
      </c>
    </row>
    <row r="2002" hidden="1" ht="75" customHeight="1" s="54">
      <c r="B2002" s="59" t="inlineStr">
        <is>
          <t>R-1997</t>
        </is>
      </c>
      <c r="C2002" s="59" t="inlineStr">
        <is>
          <t>TEC-011</t>
        </is>
      </c>
      <c r="D2002" s="64">
        <f>IFERROR(INDEX(MgNombre,MATCH($C2002,MgActId,0)),"")</f>
        <v/>
      </c>
      <c r="E2002" s="64">
        <f>IFERROR(INDEX(MgProceso,MATCH($C2002,MgActId,0)),"")</f>
        <v/>
      </c>
      <c r="F2002" s="64">
        <f>IFERROR(INDEX(MgTipo,MATCH($C2002,MgActId,0)),"")</f>
        <v/>
      </c>
      <c r="G2002" s="64">
        <f>IFERROR(INDEX(MgSubtipo,MATCH($C2002,MgActId,0)),"")</f>
        <v/>
      </c>
      <c r="H2002" s="59" t="inlineStr">
        <is>
          <t>E.8</t>
        </is>
      </c>
      <c r="I2002" s="64">
        <f>IFERROR(INDEX(MgAmenNombre,MATCH(SUBSTITUTE($H2002,"*","-"),MgAmenClave,0)),"")</f>
        <v/>
      </c>
      <c r="J2002" s="28">
        <f>IFERROR(INDEX(MgAmenGrupo,MATCH(SUBSTITUTE($H2002,"*","-"),MgAmenClave,0)),"")</f>
        <v/>
      </c>
      <c r="K2002" s="64">
        <f>IFERROR(INDEX('1. Matriz de Activos'!$Q$6:$Q$239,MATCH($C2002,MgActId,0)),"")</f>
        <v/>
      </c>
      <c r="L2002" s="64">
        <f>IFERROR(INDEX('1. Matriz de Activos'!$R$6:$R$239,MATCH($C2002,MgActId,0)),"")</f>
        <v/>
      </c>
      <c r="M2002" s="64">
        <f>IFERROR(INDEX('1. Matriz de Activos'!$S$6:$S$239,MATCH($C2002,MgActId,0)),"")</f>
        <v/>
      </c>
      <c r="N2002" s="28">
        <f>IFERROR(INDEX(MgAmenDegD,MATCH(SUBSTITUTE($H2002,"*","-"),MgAmenClave,0)),"No aplica")</f>
        <v/>
      </c>
      <c r="O2002" s="28">
        <f>IFERROR(INDEX(MgAmenDegI,MATCH(SUBSTITUTE($H2002,"*","-"),MgAmenClave,0)),"No aplica")</f>
        <v/>
      </c>
      <c r="P2002" s="28">
        <f>IFERROR(INDEX(MgAmenDegC,MATCH(SUBSTITUTE($H2002,"*","-"),MgAmenClave,0)),"No aplica")</f>
        <v/>
      </c>
      <c r="Q2002" s="29">
        <f>IFERROR(VLOOKUP(K2002,MgValor,2,0)*VLOOKUP(N2002,MgDeg,2,0),0)</f>
        <v/>
      </c>
      <c r="R2002" s="29">
        <f>IFERROR(VLOOKUP(L2002,MgValor,2,0)*VLOOKUP(O2002,MgDeg,2,0),0)</f>
        <v/>
      </c>
      <c r="S2002" s="29">
        <f>IFERROR(VLOOKUP(M2002,MgValor,2,0)*VLOOKUP(P2002,MgDeg,2,0),0)</f>
        <v/>
      </c>
      <c r="T2002" s="30">
        <f>MAX(Q2002:S2002)</f>
        <v/>
      </c>
      <c r="U2002" s="28">
        <f>IFERROR(LOOKUP(T2002,{0;0.5;1.5;3;4.5},{"Despreciable";"Bajo";"Medio";"Alto";"Muy alto"}),"")</f>
        <v/>
      </c>
      <c r="V2002" s="13">
        <f>IFERROR(INDEX(MgAmenFrec,MATCH(SUBSTITUTE($H2002,"*","-"),MgAmenClave,0)),"")</f>
        <v/>
      </c>
      <c r="W2002" s="28">
        <f>IFERROR(LOOKUP(X2002,{0;0.01;0.1;1;10;100},{"Muy baja";"Muy baja";"Baja";"Media";"Alta";"Muy alta"}),"")</f>
        <v/>
      </c>
      <c r="X2002" s="31">
        <f>IFERROR(VLOOKUP(V2002,MgFrec,2,0),0)</f>
        <v/>
      </c>
      <c r="Y2002" s="30">
        <f>T2002*X2002</f>
        <v/>
      </c>
      <c r="Z2002" s="28">
        <f>IFERROR(LOOKUP(Y2002,{0;0.5;5;25},{"Bajo";"Medio";"Alto";"Crítico"}),"")</f>
        <v/>
      </c>
      <c r="AA2002" s="64">
        <f>IF(T2002&gt;=3,IF(X2002&gt;=1,"Zona 1 — Crítica: impacto alto y ocurre al menos una vez al año","Zona 4 — Catastrófica poco probable: impacto alto pero excepcional"),IF(AND(T2002&lt;1.5,X2002&lt;1),"Zona 3 — Asumible: impacto bajo y muy poco frecuente","Zona 2 — Atención: riesgo intermedio"))</f>
        <v/>
      </c>
      <c r="AB2002" s="64">
        <f>IFERROR(INDEX(MgAmenCtrl,MATCH(SUBSTITUTE($H2002,"*","-"),MgAmenClave,0)),"")</f>
        <v/>
      </c>
      <c r="AC2002" s="20" t="n"/>
      <c r="AD2002" s="31">
        <f>IFERROR($X2002*(1-IF($AC2002="",$AL2002,VLOOKUP($AC2002,MgMad,2,0))),"")</f>
        <v/>
      </c>
      <c r="AE2002" s="28">
        <f>IFERROR(LOOKUP(AD2002,{0;0.01;0.1;1;10;100},{"Muy baja";"Muy baja";"Baja";"Media";"Alta";"Muy alta"}),"")</f>
        <v/>
      </c>
      <c r="AF2002" s="30">
        <f>T2002*AD2002</f>
        <v/>
      </c>
      <c r="AG2002" s="28">
        <f>IFERROR(LOOKUP(AF2002,{0;0.5;5;25},{"Bajo";"Medio";"Alto";"Crítico"}),"")</f>
        <v/>
      </c>
      <c r="AH2002" s="28">
        <f>IF(AG2002="","",IF(OR(AG2002="Crítico",AG2002="Alto"),"Mitigar",IF(AG2002="Medio","Mitigar","Aceptar y monitorear")))</f>
        <v/>
      </c>
      <c r="AI2002" s="21" t="n"/>
      <c r="AJ2002" s="21" t="n"/>
      <c r="AK2002" s="20" t="n"/>
      <c r="AL2002" s="77">
        <f>IFERROR(INDEX(MgAmenEfic,MATCH(SUBSTITUTE($H2002,"*","-"),MgAmenClave,0)),0)</f>
        <v/>
      </c>
    </row>
    <row r="2003" hidden="1" ht="60" customHeight="1" s="54">
      <c r="B2003" s="59" t="inlineStr">
        <is>
          <t>R-1998</t>
        </is>
      </c>
      <c r="C2003" s="59" t="inlineStr">
        <is>
          <t>TEC-011</t>
        </is>
      </c>
      <c r="D2003" s="64">
        <f>IFERROR(INDEX(MgNombre,MATCH($C2003,MgActId,0)),"")</f>
        <v/>
      </c>
      <c r="E2003" s="64">
        <f>IFERROR(INDEX(MgProceso,MATCH($C2003,MgActId,0)),"")</f>
        <v/>
      </c>
      <c r="F2003" s="64">
        <f>IFERROR(INDEX(MgTipo,MATCH($C2003,MgActId,0)),"")</f>
        <v/>
      </c>
      <c r="G2003" s="64">
        <f>IFERROR(INDEX(MgSubtipo,MATCH($C2003,MgActId,0)),"")</f>
        <v/>
      </c>
      <c r="H2003" s="59" t="inlineStr">
        <is>
          <t>E.9</t>
        </is>
      </c>
      <c r="I2003" s="64">
        <f>IFERROR(INDEX(MgAmenNombre,MATCH(SUBSTITUTE($H2003,"*","-"),MgAmenClave,0)),"")</f>
        <v/>
      </c>
      <c r="J2003" s="28">
        <f>IFERROR(INDEX(MgAmenGrupo,MATCH(SUBSTITUTE($H2003,"*","-"),MgAmenClave,0)),"")</f>
        <v/>
      </c>
      <c r="K2003" s="64">
        <f>IFERROR(INDEX('1. Matriz de Activos'!$Q$6:$Q$239,MATCH($C2003,MgActId,0)),"")</f>
        <v/>
      </c>
      <c r="L2003" s="64">
        <f>IFERROR(INDEX('1. Matriz de Activos'!$R$6:$R$239,MATCH($C2003,MgActId,0)),"")</f>
        <v/>
      </c>
      <c r="M2003" s="64">
        <f>IFERROR(INDEX('1. Matriz de Activos'!$S$6:$S$239,MATCH($C2003,MgActId,0)),"")</f>
        <v/>
      </c>
      <c r="N2003" s="28">
        <f>IFERROR(INDEX(MgAmenDegD,MATCH(SUBSTITUTE($H2003,"*","-"),MgAmenClave,0)),"No aplica")</f>
        <v/>
      </c>
      <c r="O2003" s="28">
        <f>IFERROR(INDEX(MgAmenDegI,MATCH(SUBSTITUTE($H2003,"*","-"),MgAmenClave,0)),"No aplica")</f>
        <v/>
      </c>
      <c r="P2003" s="28">
        <f>IFERROR(INDEX(MgAmenDegC,MATCH(SUBSTITUTE($H2003,"*","-"),MgAmenClave,0)),"No aplica")</f>
        <v/>
      </c>
      <c r="Q2003" s="29">
        <f>IFERROR(VLOOKUP(K2003,MgValor,2,0)*VLOOKUP(N2003,MgDeg,2,0),0)</f>
        <v/>
      </c>
      <c r="R2003" s="29">
        <f>IFERROR(VLOOKUP(L2003,MgValor,2,0)*VLOOKUP(O2003,MgDeg,2,0),0)</f>
        <v/>
      </c>
      <c r="S2003" s="29">
        <f>IFERROR(VLOOKUP(M2003,MgValor,2,0)*VLOOKUP(P2003,MgDeg,2,0),0)</f>
        <v/>
      </c>
      <c r="T2003" s="30">
        <f>MAX(Q2003:S2003)</f>
        <v/>
      </c>
      <c r="U2003" s="28">
        <f>IFERROR(LOOKUP(T2003,{0;0.5;1.5;3;4.5},{"Despreciable";"Bajo";"Medio";"Alto";"Muy alto"}),"")</f>
        <v/>
      </c>
      <c r="V2003" s="13">
        <f>IFERROR(INDEX(MgAmenFrec,MATCH(SUBSTITUTE($H2003,"*","-"),MgAmenClave,0)),"")</f>
        <v/>
      </c>
      <c r="W2003" s="28">
        <f>IFERROR(LOOKUP(X2003,{0;0.01;0.1;1;10;100},{"Muy baja";"Muy baja";"Baja";"Media";"Alta";"Muy alta"}),"")</f>
        <v/>
      </c>
      <c r="X2003" s="31">
        <f>IFERROR(VLOOKUP(V2003,MgFrec,2,0),0)</f>
        <v/>
      </c>
      <c r="Y2003" s="30">
        <f>T2003*X2003</f>
        <v/>
      </c>
      <c r="Z2003" s="28">
        <f>IFERROR(LOOKUP(Y2003,{0;0.5;5;25},{"Bajo";"Medio";"Alto";"Crítico"}),"")</f>
        <v/>
      </c>
      <c r="AA2003" s="64">
        <f>IF(T2003&gt;=3,IF(X2003&gt;=1,"Zona 1 — Crítica: impacto alto y ocurre al menos una vez al año","Zona 4 — Catastrófica poco probable: impacto alto pero excepcional"),IF(AND(T2003&lt;1.5,X2003&lt;1),"Zona 3 — Asumible: impacto bajo y muy poco frecuente","Zona 2 — Atención: riesgo intermedio"))</f>
        <v/>
      </c>
      <c r="AB2003" s="64">
        <f>IFERROR(INDEX(MgAmenCtrl,MATCH(SUBSTITUTE($H2003,"*","-"),MgAmenClave,0)),"")</f>
        <v/>
      </c>
      <c r="AC2003" s="20" t="n"/>
      <c r="AD2003" s="31">
        <f>IFERROR($X2003*(1-IF($AC2003="",$AL2003,VLOOKUP($AC2003,MgMad,2,0))),"")</f>
        <v/>
      </c>
      <c r="AE2003" s="28">
        <f>IFERROR(LOOKUP(AD2003,{0;0.01;0.1;1;10;100},{"Muy baja";"Muy baja";"Baja";"Media";"Alta";"Muy alta"}),"")</f>
        <v/>
      </c>
      <c r="AF2003" s="30">
        <f>T2003*AD2003</f>
        <v/>
      </c>
      <c r="AG2003" s="28">
        <f>IFERROR(LOOKUP(AF2003,{0;0.5;5;25},{"Bajo";"Medio";"Alto";"Crítico"}),"")</f>
        <v/>
      </c>
      <c r="AH2003" s="28">
        <f>IF(AG2003="","",IF(OR(AG2003="Crítico",AG2003="Alto"),"Mitigar",IF(AG2003="Medio","Mitigar","Aceptar y monitorear")))</f>
        <v/>
      </c>
      <c r="AI2003" s="21" t="n"/>
      <c r="AJ2003" s="21" t="n"/>
      <c r="AK2003" s="20" t="n"/>
      <c r="AL2003" s="77">
        <f>IFERROR(INDEX(MgAmenEfic,MATCH(SUBSTITUTE($H2003,"*","-"),MgAmenClave,0)),0)</f>
        <v/>
      </c>
    </row>
    <row r="2004" hidden="1" ht="90" customHeight="1" s="54">
      <c r="B2004" s="59" t="inlineStr">
        <is>
          <t>R-1999</t>
        </is>
      </c>
      <c r="C2004" s="59" t="inlineStr">
        <is>
          <t>TEC-011</t>
        </is>
      </c>
      <c r="D2004" s="64">
        <f>IFERROR(INDEX(MgNombre,MATCH($C2004,MgActId,0)),"")</f>
        <v/>
      </c>
      <c r="E2004" s="64">
        <f>IFERROR(INDEX(MgProceso,MATCH($C2004,MgActId,0)),"")</f>
        <v/>
      </c>
      <c r="F2004" s="64">
        <f>IFERROR(INDEX(MgTipo,MATCH($C2004,MgActId,0)),"")</f>
        <v/>
      </c>
      <c r="G2004" s="64">
        <f>IFERROR(INDEX(MgSubtipo,MATCH($C2004,MgActId,0)),"")</f>
        <v/>
      </c>
      <c r="H2004" s="59" t="inlineStr">
        <is>
          <t>E.10</t>
        </is>
      </c>
      <c r="I2004" s="64">
        <f>IFERROR(INDEX(MgAmenNombre,MATCH(SUBSTITUTE($H2004,"*","-"),MgAmenClave,0)),"")</f>
        <v/>
      </c>
      <c r="J2004" s="28">
        <f>IFERROR(INDEX(MgAmenGrupo,MATCH(SUBSTITUTE($H2004,"*","-"),MgAmenClave,0)),"")</f>
        <v/>
      </c>
      <c r="K2004" s="64">
        <f>IFERROR(INDEX('1. Matriz de Activos'!$Q$6:$Q$239,MATCH($C2004,MgActId,0)),"")</f>
        <v/>
      </c>
      <c r="L2004" s="64">
        <f>IFERROR(INDEX('1. Matriz de Activos'!$R$6:$R$239,MATCH($C2004,MgActId,0)),"")</f>
        <v/>
      </c>
      <c r="M2004" s="64">
        <f>IFERROR(INDEX('1. Matriz de Activos'!$S$6:$S$239,MATCH($C2004,MgActId,0)),"")</f>
        <v/>
      </c>
      <c r="N2004" s="28">
        <f>IFERROR(INDEX(MgAmenDegD,MATCH(SUBSTITUTE($H2004,"*","-"),MgAmenClave,0)),"No aplica")</f>
        <v/>
      </c>
      <c r="O2004" s="28">
        <f>IFERROR(INDEX(MgAmenDegI,MATCH(SUBSTITUTE($H2004,"*","-"),MgAmenClave,0)),"No aplica")</f>
        <v/>
      </c>
      <c r="P2004" s="28">
        <f>IFERROR(INDEX(MgAmenDegC,MATCH(SUBSTITUTE($H2004,"*","-"),MgAmenClave,0)),"No aplica")</f>
        <v/>
      </c>
      <c r="Q2004" s="29">
        <f>IFERROR(VLOOKUP(K2004,MgValor,2,0)*VLOOKUP(N2004,MgDeg,2,0),0)</f>
        <v/>
      </c>
      <c r="R2004" s="29">
        <f>IFERROR(VLOOKUP(L2004,MgValor,2,0)*VLOOKUP(O2004,MgDeg,2,0),0)</f>
        <v/>
      </c>
      <c r="S2004" s="29">
        <f>IFERROR(VLOOKUP(M2004,MgValor,2,0)*VLOOKUP(P2004,MgDeg,2,0),0)</f>
        <v/>
      </c>
      <c r="T2004" s="30">
        <f>MAX(Q2004:S2004)</f>
        <v/>
      </c>
      <c r="U2004" s="28">
        <f>IFERROR(LOOKUP(T2004,{0;0.5;1.5;3;4.5},{"Despreciable";"Bajo";"Medio";"Alto";"Muy alto"}),"")</f>
        <v/>
      </c>
      <c r="V2004" s="13">
        <f>IFERROR(INDEX(MgAmenFrec,MATCH(SUBSTITUTE($H2004,"*","-"),MgAmenClave,0)),"")</f>
        <v/>
      </c>
      <c r="W2004" s="28">
        <f>IFERROR(LOOKUP(X2004,{0;0.01;0.1;1;10;100},{"Muy baja";"Muy baja";"Baja";"Media";"Alta";"Muy alta"}),"")</f>
        <v/>
      </c>
      <c r="X2004" s="31">
        <f>IFERROR(VLOOKUP(V2004,MgFrec,2,0),0)</f>
        <v/>
      </c>
      <c r="Y2004" s="30">
        <f>T2004*X2004</f>
        <v/>
      </c>
      <c r="Z2004" s="28">
        <f>IFERROR(LOOKUP(Y2004,{0;0.5;5;25},{"Bajo";"Medio";"Alto";"Crítico"}),"")</f>
        <v/>
      </c>
      <c r="AA2004" s="64">
        <f>IF(T2004&gt;=3,IF(X2004&gt;=1,"Zona 1 — Crítica: impacto alto y ocurre al menos una vez al año","Zona 4 — Catastrófica poco probable: impacto alto pero excepcional"),IF(AND(T2004&lt;1.5,X2004&lt;1),"Zona 3 — Asumible: impacto bajo y muy poco frecuente","Zona 2 — Atención: riesgo intermedio"))</f>
        <v/>
      </c>
      <c r="AB2004" s="64">
        <f>IFERROR(INDEX(MgAmenCtrl,MATCH(SUBSTITUTE($H2004,"*","-"),MgAmenClave,0)),"")</f>
        <v/>
      </c>
      <c r="AC2004" s="20" t="n"/>
      <c r="AD2004" s="31">
        <f>IFERROR($X2004*(1-IF($AC2004="",$AL2004,VLOOKUP($AC2004,MgMad,2,0))),"")</f>
        <v/>
      </c>
      <c r="AE2004" s="28">
        <f>IFERROR(LOOKUP(AD2004,{0;0.01;0.1;1;10;100},{"Muy baja";"Muy baja";"Baja";"Media";"Alta";"Muy alta"}),"")</f>
        <v/>
      </c>
      <c r="AF2004" s="30">
        <f>T2004*AD2004</f>
        <v/>
      </c>
      <c r="AG2004" s="28">
        <f>IFERROR(LOOKUP(AF2004,{0;0.5;5;25},{"Bajo";"Medio";"Alto";"Crítico"}),"")</f>
        <v/>
      </c>
      <c r="AH2004" s="28">
        <f>IF(AG2004="","",IF(OR(AG2004="Crítico",AG2004="Alto"),"Mitigar",IF(AG2004="Medio","Mitigar","Aceptar y monitorear")))</f>
        <v/>
      </c>
      <c r="AI2004" s="21" t="n"/>
      <c r="AJ2004" s="21" t="n"/>
      <c r="AK2004" s="20" t="n"/>
      <c r="AL2004" s="77">
        <f>IFERROR(INDEX(MgAmenEfic,MATCH(SUBSTITUTE($H2004,"*","-"),MgAmenClave,0)),0)</f>
        <v/>
      </c>
    </row>
    <row r="2005" hidden="1" ht="90" customHeight="1" s="54">
      <c r="B2005" s="59" t="inlineStr">
        <is>
          <t>R-2000</t>
        </is>
      </c>
      <c r="C2005" s="59" t="inlineStr">
        <is>
          <t>TEC-011</t>
        </is>
      </c>
      <c r="D2005" s="64">
        <f>IFERROR(INDEX(MgNombre,MATCH($C2005,MgActId,0)),"")</f>
        <v/>
      </c>
      <c r="E2005" s="64">
        <f>IFERROR(INDEX(MgProceso,MATCH($C2005,MgActId,0)),"")</f>
        <v/>
      </c>
      <c r="F2005" s="64">
        <f>IFERROR(INDEX(MgTipo,MATCH($C2005,MgActId,0)),"")</f>
        <v/>
      </c>
      <c r="G2005" s="64">
        <f>IFERROR(INDEX(MgSubtipo,MATCH($C2005,MgActId,0)),"")</f>
        <v/>
      </c>
      <c r="H2005" s="59" t="inlineStr">
        <is>
          <t>E.14</t>
        </is>
      </c>
      <c r="I2005" s="64">
        <f>IFERROR(INDEX(MgAmenNombre,MATCH(SUBSTITUTE($H2005,"*","-"),MgAmenClave,0)),"")</f>
        <v/>
      </c>
      <c r="J2005" s="28">
        <f>IFERROR(INDEX(MgAmenGrupo,MATCH(SUBSTITUTE($H2005,"*","-"),MgAmenClave,0)),"")</f>
        <v/>
      </c>
      <c r="K2005" s="64">
        <f>IFERROR(INDEX('1. Matriz de Activos'!$Q$6:$Q$239,MATCH($C2005,MgActId,0)),"")</f>
        <v/>
      </c>
      <c r="L2005" s="64">
        <f>IFERROR(INDEX('1. Matriz de Activos'!$R$6:$R$239,MATCH($C2005,MgActId,0)),"")</f>
        <v/>
      </c>
      <c r="M2005" s="64">
        <f>IFERROR(INDEX('1. Matriz de Activos'!$S$6:$S$239,MATCH($C2005,MgActId,0)),"")</f>
        <v/>
      </c>
      <c r="N2005" s="28">
        <f>IFERROR(INDEX(MgAmenDegD,MATCH(SUBSTITUTE($H2005,"*","-"),MgAmenClave,0)),"No aplica")</f>
        <v/>
      </c>
      <c r="O2005" s="28">
        <f>IFERROR(INDEX(MgAmenDegI,MATCH(SUBSTITUTE($H2005,"*","-"),MgAmenClave,0)),"No aplica")</f>
        <v/>
      </c>
      <c r="P2005" s="28">
        <f>IFERROR(INDEX(MgAmenDegC,MATCH(SUBSTITUTE($H2005,"*","-"),MgAmenClave,0)),"No aplica")</f>
        <v/>
      </c>
      <c r="Q2005" s="29">
        <f>IFERROR(VLOOKUP(K2005,MgValor,2,0)*VLOOKUP(N2005,MgDeg,2,0),0)</f>
        <v/>
      </c>
      <c r="R2005" s="29">
        <f>IFERROR(VLOOKUP(L2005,MgValor,2,0)*VLOOKUP(O2005,MgDeg,2,0),0)</f>
        <v/>
      </c>
      <c r="S2005" s="29">
        <f>IFERROR(VLOOKUP(M2005,MgValor,2,0)*VLOOKUP(P2005,MgDeg,2,0),0)</f>
        <v/>
      </c>
      <c r="T2005" s="30">
        <f>MAX(Q2005:S2005)</f>
        <v/>
      </c>
      <c r="U2005" s="28">
        <f>IFERROR(LOOKUP(T2005,{0;0.5;1.5;3;4.5},{"Despreciable";"Bajo";"Medio";"Alto";"Muy alto"}),"")</f>
        <v/>
      </c>
      <c r="V2005" s="13">
        <f>IFERROR(INDEX(MgAmenFrec,MATCH(SUBSTITUTE($H2005,"*","-"),MgAmenClave,0)),"")</f>
        <v/>
      </c>
      <c r="W2005" s="28">
        <f>IFERROR(LOOKUP(X2005,{0;0.01;0.1;1;10;100},{"Muy baja";"Muy baja";"Baja";"Media";"Alta";"Muy alta"}),"")</f>
        <v/>
      </c>
      <c r="X2005" s="31">
        <f>IFERROR(VLOOKUP(V2005,MgFrec,2,0),0)</f>
        <v/>
      </c>
      <c r="Y2005" s="30">
        <f>T2005*X2005</f>
        <v/>
      </c>
      <c r="Z2005" s="28">
        <f>IFERROR(LOOKUP(Y2005,{0;0.5;5;25},{"Bajo";"Medio";"Alto";"Crítico"}),"")</f>
        <v/>
      </c>
      <c r="AA2005" s="64">
        <f>IF(T2005&gt;=3,IF(X2005&gt;=1,"Zona 1 — Crítica: impacto alto y ocurre al menos una vez al año","Zona 4 — Catastrófica poco probable: impacto alto pero excepcional"),IF(AND(T2005&lt;1.5,X2005&lt;1),"Zona 3 — Asumible: impacto bajo y muy poco frecuente","Zona 2 — Atención: riesgo intermedio"))</f>
        <v/>
      </c>
      <c r="AB2005" s="64">
        <f>IFERROR(INDEX(MgAmenCtrl,MATCH(SUBSTITUTE($H2005,"*","-"),MgAmenClave,0)),"")</f>
        <v/>
      </c>
      <c r="AC2005" s="20" t="n"/>
      <c r="AD2005" s="31">
        <f>IFERROR($X2005*(1-IF($AC2005="",$AL2005,VLOOKUP($AC2005,MgMad,2,0))),"")</f>
        <v/>
      </c>
      <c r="AE2005" s="28">
        <f>IFERROR(LOOKUP(AD2005,{0;0.01;0.1;1;10;100},{"Muy baja";"Muy baja";"Baja";"Media";"Alta";"Muy alta"}),"")</f>
        <v/>
      </c>
      <c r="AF2005" s="30">
        <f>T2005*AD2005</f>
        <v/>
      </c>
      <c r="AG2005" s="28">
        <f>IFERROR(LOOKUP(AF2005,{0;0.5;5;25},{"Bajo";"Medio";"Alto";"Crítico"}),"")</f>
        <v/>
      </c>
      <c r="AH2005" s="28">
        <f>IF(AG2005="","",IF(OR(AG2005="Crítico",AG2005="Alto"),"Mitigar",IF(AG2005="Medio","Mitigar","Aceptar y monitorear")))</f>
        <v/>
      </c>
      <c r="AI2005" s="21" t="n"/>
      <c r="AJ2005" s="21" t="n"/>
      <c r="AK2005" s="20" t="n"/>
      <c r="AL2005" s="77">
        <f>IFERROR(INDEX(MgAmenEfic,MATCH(SUBSTITUTE($H2005,"*","-"),MgAmenClave,0)),0)</f>
        <v/>
      </c>
    </row>
    <row r="2006" hidden="1" ht="90" customHeight="1" s="54">
      <c r="B2006" s="59" t="inlineStr">
        <is>
          <t>R-2001</t>
        </is>
      </c>
      <c r="C2006" s="59" t="inlineStr">
        <is>
          <t>TEC-011</t>
        </is>
      </c>
      <c r="D2006" s="64">
        <f>IFERROR(INDEX(MgNombre,MATCH($C2006,MgActId,0)),"")</f>
        <v/>
      </c>
      <c r="E2006" s="64">
        <f>IFERROR(INDEX(MgProceso,MATCH($C2006,MgActId,0)),"")</f>
        <v/>
      </c>
      <c r="F2006" s="64">
        <f>IFERROR(INDEX(MgTipo,MATCH($C2006,MgActId,0)),"")</f>
        <v/>
      </c>
      <c r="G2006" s="64">
        <f>IFERROR(INDEX(MgSubtipo,MATCH($C2006,MgActId,0)),"")</f>
        <v/>
      </c>
      <c r="H2006" s="59" t="inlineStr">
        <is>
          <t>E.15</t>
        </is>
      </c>
      <c r="I2006" s="64">
        <f>IFERROR(INDEX(MgAmenNombre,MATCH(SUBSTITUTE($H2006,"*","-"),MgAmenClave,0)),"")</f>
        <v/>
      </c>
      <c r="J2006" s="28">
        <f>IFERROR(INDEX(MgAmenGrupo,MATCH(SUBSTITUTE($H2006,"*","-"),MgAmenClave,0)),"")</f>
        <v/>
      </c>
      <c r="K2006" s="64">
        <f>IFERROR(INDEX('1. Matriz de Activos'!$Q$6:$Q$239,MATCH($C2006,MgActId,0)),"")</f>
        <v/>
      </c>
      <c r="L2006" s="64">
        <f>IFERROR(INDEX('1. Matriz de Activos'!$R$6:$R$239,MATCH($C2006,MgActId,0)),"")</f>
        <v/>
      </c>
      <c r="M2006" s="64">
        <f>IFERROR(INDEX('1. Matriz de Activos'!$S$6:$S$239,MATCH($C2006,MgActId,0)),"")</f>
        <v/>
      </c>
      <c r="N2006" s="28">
        <f>IFERROR(INDEX(MgAmenDegD,MATCH(SUBSTITUTE($H2006,"*","-"),MgAmenClave,0)),"No aplica")</f>
        <v/>
      </c>
      <c r="O2006" s="28">
        <f>IFERROR(INDEX(MgAmenDegI,MATCH(SUBSTITUTE($H2006,"*","-"),MgAmenClave,0)),"No aplica")</f>
        <v/>
      </c>
      <c r="P2006" s="28">
        <f>IFERROR(INDEX(MgAmenDegC,MATCH(SUBSTITUTE($H2006,"*","-"),MgAmenClave,0)),"No aplica")</f>
        <v/>
      </c>
      <c r="Q2006" s="29">
        <f>IFERROR(VLOOKUP(K2006,MgValor,2,0)*VLOOKUP(N2006,MgDeg,2,0),0)</f>
        <v/>
      </c>
      <c r="R2006" s="29">
        <f>IFERROR(VLOOKUP(L2006,MgValor,2,0)*VLOOKUP(O2006,MgDeg,2,0),0)</f>
        <v/>
      </c>
      <c r="S2006" s="29">
        <f>IFERROR(VLOOKUP(M2006,MgValor,2,0)*VLOOKUP(P2006,MgDeg,2,0),0)</f>
        <v/>
      </c>
      <c r="T2006" s="30">
        <f>MAX(Q2006:S2006)</f>
        <v/>
      </c>
      <c r="U2006" s="28">
        <f>IFERROR(LOOKUP(T2006,{0;0.5;1.5;3;4.5},{"Despreciable";"Bajo";"Medio";"Alto";"Muy alto"}),"")</f>
        <v/>
      </c>
      <c r="V2006" s="13">
        <f>IFERROR(INDEX(MgAmenFrec,MATCH(SUBSTITUTE($H2006,"*","-"),MgAmenClave,0)),"")</f>
        <v/>
      </c>
      <c r="W2006" s="28">
        <f>IFERROR(LOOKUP(X2006,{0;0.01;0.1;1;10;100},{"Muy baja";"Muy baja";"Baja";"Media";"Alta";"Muy alta"}),"")</f>
        <v/>
      </c>
      <c r="X2006" s="31">
        <f>IFERROR(VLOOKUP(V2006,MgFrec,2,0),0)</f>
        <v/>
      </c>
      <c r="Y2006" s="30">
        <f>T2006*X2006</f>
        <v/>
      </c>
      <c r="Z2006" s="28">
        <f>IFERROR(LOOKUP(Y2006,{0;0.5;5;25},{"Bajo";"Medio";"Alto";"Crítico"}),"")</f>
        <v/>
      </c>
      <c r="AA2006" s="64">
        <f>IF(T2006&gt;=3,IF(X2006&gt;=1,"Zona 1 — Crítica: impacto alto y ocurre al menos una vez al año","Zona 4 — Catastrófica poco probable: impacto alto pero excepcional"),IF(AND(T2006&lt;1.5,X2006&lt;1),"Zona 3 — Asumible: impacto bajo y muy poco frecuente","Zona 2 — Atención: riesgo intermedio"))</f>
        <v/>
      </c>
      <c r="AB2006" s="64">
        <f>IFERROR(INDEX(MgAmenCtrl,MATCH(SUBSTITUTE($H2006,"*","-"),MgAmenClave,0)),"")</f>
        <v/>
      </c>
      <c r="AC2006" s="20" t="n"/>
      <c r="AD2006" s="31">
        <f>IFERROR($X2006*(1-IF($AC2006="",$AL2006,VLOOKUP($AC2006,MgMad,2,0))),"")</f>
        <v/>
      </c>
      <c r="AE2006" s="28">
        <f>IFERROR(LOOKUP(AD2006,{0;0.01;0.1;1;10;100},{"Muy baja";"Muy baja";"Baja";"Media";"Alta";"Muy alta"}),"")</f>
        <v/>
      </c>
      <c r="AF2006" s="30">
        <f>T2006*AD2006</f>
        <v/>
      </c>
      <c r="AG2006" s="28">
        <f>IFERROR(LOOKUP(AF2006,{0;0.5;5;25},{"Bajo";"Medio";"Alto";"Crítico"}),"")</f>
        <v/>
      </c>
      <c r="AH2006" s="28">
        <f>IF(AG2006="","",IF(OR(AG2006="Crítico",AG2006="Alto"),"Mitigar",IF(AG2006="Medio","Mitigar","Aceptar y monitorear")))</f>
        <v/>
      </c>
      <c r="AI2006" s="21" t="n"/>
      <c r="AJ2006" s="21" t="n"/>
      <c r="AK2006" s="20" t="n"/>
      <c r="AL2006" s="77">
        <f>IFERROR(INDEX(MgAmenEfic,MATCH(SUBSTITUTE($H2006,"*","-"),MgAmenClave,0)),0)</f>
        <v/>
      </c>
    </row>
    <row r="2007" hidden="1" ht="60" customHeight="1" s="54">
      <c r="B2007" s="59" t="inlineStr">
        <is>
          <t>R-2002</t>
        </is>
      </c>
      <c r="C2007" s="59" t="inlineStr">
        <is>
          <t>TEC-011</t>
        </is>
      </c>
      <c r="D2007" s="64">
        <f>IFERROR(INDEX(MgNombre,MATCH($C2007,MgActId,0)),"")</f>
        <v/>
      </c>
      <c r="E2007" s="64">
        <f>IFERROR(INDEX(MgProceso,MATCH($C2007,MgActId,0)),"")</f>
        <v/>
      </c>
      <c r="F2007" s="64">
        <f>IFERROR(INDEX(MgTipo,MATCH($C2007,MgActId,0)),"")</f>
        <v/>
      </c>
      <c r="G2007" s="64">
        <f>IFERROR(INDEX(MgSubtipo,MATCH($C2007,MgActId,0)),"")</f>
        <v/>
      </c>
      <c r="H2007" s="59" t="inlineStr">
        <is>
          <t>E.18</t>
        </is>
      </c>
      <c r="I2007" s="64">
        <f>IFERROR(INDEX(MgAmenNombre,MATCH(SUBSTITUTE($H2007,"*","-"),MgAmenClave,0)),"")</f>
        <v/>
      </c>
      <c r="J2007" s="28">
        <f>IFERROR(INDEX(MgAmenGrupo,MATCH(SUBSTITUTE($H2007,"*","-"),MgAmenClave,0)),"")</f>
        <v/>
      </c>
      <c r="K2007" s="64">
        <f>IFERROR(INDEX('1. Matriz de Activos'!$Q$6:$Q$239,MATCH($C2007,MgActId,0)),"")</f>
        <v/>
      </c>
      <c r="L2007" s="64">
        <f>IFERROR(INDEX('1. Matriz de Activos'!$R$6:$R$239,MATCH($C2007,MgActId,0)),"")</f>
        <v/>
      </c>
      <c r="M2007" s="64">
        <f>IFERROR(INDEX('1. Matriz de Activos'!$S$6:$S$239,MATCH($C2007,MgActId,0)),"")</f>
        <v/>
      </c>
      <c r="N2007" s="28">
        <f>IFERROR(INDEX(MgAmenDegD,MATCH(SUBSTITUTE($H2007,"*","-"),MgAmenClave,0)),"No aplica")</f>
        <v/>
      </c>
      <c r="O2007" s="28">
        <f>IFERROR(INDEX(MgAmenDegI,MATCH(SUBSTITUTE($H2007,"*","-"),MgAmenClave,0)),"No aplica")</f>
        <v/>
      </c>
      <c r="P2007" s="28">
        <f>IFERROR(INDEX(MgAmenDegC,MATCH(SUBSTITUTE($H2007,"*","-"),MgAmenClave,0)),"No aplica")</f>
        <v/>
      </c>
      <c r="Q2007" s="29">
        <f>IFERROR(VLOOKUP(K2007,MgValor,2,0)*VLOOKUP(N2007,MgDeg,2,0),0)</f>
        <v/>
      </c>
      <c r="R2007" s="29">
        <f>IFERROR(VLOOKUP(L2007,MgValor,2,0)*VLOOKUP(O2007,MgDeg,2,0),0)</f>
        <v/>
      </c>
      <c r="S2007" s="29">
        <f>IFERROR(VLOOKUP(M2007,MgValor,2,0)*VLOOKUP(P2007,MgDeg,2,0),0)</f>
        <v/>
      </c>
      <c r="T2007" s="30">
        <f>MAX(Q2007:S2007)</f>
        <v/>
      </c>
      <c r="U2007" s="28">
        <f>IFERROR(LOOKUP(T2007,{0;0.5;1.5;3;4.5},{"Despreciable";"Bajo";"Medio";"Alto";"Muy alto"}),"")</f>
        <v/>
      </c>
      <c r="V2007" s="13">
        <f>IFERROR(INDEX(MgAmenFrec,MATCH(SUBSTITUTE($H2007,"*","-"),MgAmenClave,0)),"")</f>
        <v/>
      </c>
      <c r="W2007" s="28">
        <f>IFERROR(LOOKUP(X2007,{0;0.01;0.1;1;10;100},{"Muy baja";"Muy baja";"Baja";"Media";"Alta";"Muy alta"}),"")</f>
        <v/>
      </c>
      <c r="X2007" s="31">
        <f>IFERROR(VLOOKUP(V2007,MgFrec,2,0),0)</f>
        <v/>
      </c>
      <c r="Y2007" s="30">
        <f>T2007*X2007</f>
        <v/>
      </c>
      <c r="Z2007" s="28">
        <f>IFERROR(LOOKUP(Y2007,{0;0.5;5;25},{"Bajo";"Medio";"Alto";"Crítico"}),"")</f>
        <v/>
      </c>
      <c r="AA2007" s="64">
        <f>IF(T2007&gt;=3,IF(X2007&gt;=1,"Zona 1 — Crítica: impacto alto y ocurre al menos una vez al año","Zona 4 — Catastrófica poco probable: impacto alto pero excepcional"),IF(AND(T2007&lt;1.5,X2007&lt;1),"Zona 3 — Asumible: impacto bajo y muy poco frecuente","Zona 2 — Atención: riesgo intermedio"))</f>
        <v/>
      </c>
      <c r="AB2007" s="64">
        <f>IFERROR(INDEX(MgAmenCtrl,MATCH(SUBSTITUTE($H2007,"*","-"),MgAmenClave,0)),"")</f>
        <v/>
      </c>
      <c r="AC2007" s="20" t="n"/>
      <c r="AD2007" s="31">
        <f>IFERROR($X2007*(1-IF($AC2007="",$AL2007,VLOOKUP($AC2007,MgMad,2,0))),"")</f>
        <v/>
      </c>
      <c r="AE2007" s="28">
        <f>IFERROR(LOOKUP(AD2007,{0;0.01;0.1;1;10;100},{"Muy baja";"Muy baja";"Baja";"Media";"Alta";"Muy alta"}),"")</f>
        <v/>
      </c>
      <c r="AF2007" s="30">
        <f>T2007*AD2007</f>
        <v/>
      </c>
      <c r="AG2007" s="28">
        <f>IFERROR(LOOKUP(AF2007,{0;0.5;5;25},{"Bajo";"Medio";"Alto";"Crítico"}),"")</f>
        <v/>
      </c>
      <c r="AH2007" s="28">
        <f>IF(AG2007="","",IF(OR(AG2007="Crítico",AG2007="Alto"),"Mitigar",IF(AG2007="Medio","Mitigar","Aceptar y monitorear")))</f>
        <v/>
      </c>
      <c r="AI2007" s="21" t="n"/>
      <c r="AJ2007" s="21" t="n"/>
      <c r="AK2007" s="20" t="n"/>
      <c r="AL2007" s="77">
        <f>IFERROR(INDEX(MgAmenEfic,MATCH(SUBSTITUTE($H2007,"*","-"),MgAmenClave,0)),0)</f>
        <v/>
      </c>
    </row>
    <row r="2008" hidden="1" ht="105" customHeight="1" s="54">
      <c r="B2008" s="59" t="inlineStr">
        <is>
          <t>R-2003</t>
        </is>
      </c>
      <c r="C2008" s="59" t="inlineStr">
        <is>
          <t>TEC-011</t>
        </is>
      </c>
      <c r="D2008" s="64">
        <f>IFERROR(INDEX(MgNombre,MATCH($C2008,MgActId,0)),"")</f>
        <v/>
      </c>
      <c r="E2008" s="64">
        <f>IFERROR(INDEX(MgProceso,MATCH($C2008,MgActId,0)),"")</f>
        <v/>
      </c>
      <c r="F2008" s="64">
        <f>IFERROR(INDEX(MgTipo,MATCH($C2008,MgActId,0)),"")</f>
        <v/>
      </c>
      <c r="G2008" s="64">
        <f>IFERROR(INDEX(MgSubtipo,MATCH($C2008,MgActId,0)),"")</f>
        <v/>
      </c>
      <c r="H2008" s="59" t="inlineStr">
        <is>
          <t>E.19</t>
        </is>
      </c>
      <c r="I2008" s="64">
        <f>IFERROR(INDEX(MgAmenNombre,MATCH(SUBSTITUTE($H2008,"*","-"),MgAmenClave,0)),"")</f>
        <v/>
      </c>
      <c r="J2008" s="28">
        <f>IFERROR(INDEX(MgAmenGrupo,MATCH(SUBSTITUTE($H2008,"*","-"),MgAmenClave,0)),"")</f>
        <v/>
      </c>
      <c r="K2008" s="64">
        <f>IFERROR(INDEX('1. Matriz de Activos'!$Q$6:$Q$239,MATCH($C2008,MgActId,0)),"")</f>
        <v/>
      </c>
      <c r="L2008" s="64">
        <f>IFERROR(INDEX('1. Matriz de Activos'!$R$6:$R$239,MATCH($C2008,MgActId,0)),"")</f>
        <v/>
      </c>
      <c r="M2008" s="64">
        <f>IFERROR(INDEX('1. Matriz de Activos'!$S$6:$S$239,MATCH($C2008,MgActId,0)),"")</f>
        <v/>
      </c>
      <c r="N2008" s="28">
        <f>IFERROR(INDEX(MgAmenDegD,MATCH(SUBSTITUTE($H2008,"*","-"),MgAmenClave,0)),"No aplica")</f>
        <v/>
      </c>
      <c r="O2008" s="28">
        <f>IFERROR(INDEX(MgAmenDegI,MATCH(SUBSTITUTE($H2008,"*","-"),MgAmenClave,0)),"No aplica")</f>
        <v/>
      </c>
      <c r="P2008" s="28">
        <f>IFERROR(INDEX(MgAmenDegC,MATCH(SUBSTITUTE($H2008,"*","-"),MgAmenClave,0)),"No aplica")</f>
        <v/>
      </c>
      <c r="Q2008" s="29">
        <f>IFERROR(VLOOKUP(K2008,MgValor,2,0)*VLOOKUP(N2008,MgDeg,2,0),0)</f>
        <v/>
      </c>
      <c r="R2008" s="29">
        <f>IFERROR(VLOOKUP(L2008,MgValor,2,0)*VLOOKUP(O2008,MgDeg,2,0),0)</f>
        <v/>
      </c>
      <c r="S2008" s="29">
        <f>IFERROR(VLOOKUP(M2008,MgValor,2,0)*VLOOKUP(P2008,MgDeg,2,0),0)</f>
        <v/>
      </c>
      <c r="T2008" s="30">
        <f>MAX(Q2008:S2008)</f>
        <v/>
      </c>
      <c r="U2008" s="28">
        <f>IFERROR(LOOKUP(T2008,{0;0.5;1.5;3;4.5},{"Despreciable";"Bajo";"Medio";"Alto";"Muy alto"}),"")</f>
        <v/>
      </c>
      <c r="V2008" s="13">
        <f>IFERROR(INDEX(MgAmenFrec,MATCH(SUBSTITUTE($H2008,"*","-"),MgAmenClave,0)),"")</f>
        <v/>
      </c>
      <c r="W2008" s="28">
        <f>IFERROR(LOOKUP(X2008,{0;0.01;0.1;1;10;100},{"Muy baja";"Muy baja";"Baja";"Media";"Alta";"Muy alta"}),"")</f>
        <v/>
      </c>
      <c r="X2008" s="31">
        <f>IFERROR(VLOOKUP(V2008,MgFrec,2,0),0)</f>
        <v/>
      </c>
      <c r="Y2008" s="30">
        <f>T2008*X2008</f>
        <v/>
      </c>
      <c r="Z2008" s="28">
        <f>IFERROR(LOOKUP(Y2008,{0;0.5;5;25},{"Bajo";"Medio";"Alto";"Crítico"}),"")</f>
        <v/>
      </c>
      <c r="AA2008" s="64">
        <f>IF(T2008&gt;=3,IF(X2008&gt;=1,"Zona 1 — Crítica: impacto alto y ocurre al menos una vez al año","Zona 4 — Catastrófica poco probable: impacto alto pero excepcional"),IF(AND(T2008&lt;1.5,X2008&lt;1),"Zona 3 — Asumible: impacto bajo y muy poco frecuente","Zona 2 — Atención: riesgo intermedio"))</f>
        <v/>
      </c>
      <c r="AB2008" s="64">
        <f>IFERROR(INDEX(MgAmenCtrl,MATCH(SUBSTITUTE($H2008,"*","-"),MgAmenClave,0)),"")</f>
        <v/>
      </c>
      <c r="AC2008" s="20" t="n"/>
      <c r="AD2008" s="31">
        <f>IFERROR($X2008*(1-IF($AC2008="",$AL2008,VLOOKUP($AC2008,MgMad,2,0))),"")</f>
        <v/>
      </c>
      <c r="AE2008" s="28">
        <f>IFERROR(LOOKUP(AD2008,{0;0.01;0.1;1;10;100},{"Muy baja";"Muy baja";"Baja";"Media";"Alta";"Muy alta"}),"")</f>
        <v/>
      </c>
      <c r="AF2008" s="30">
        <f>T2008*AD2008</f>
        <v/>
      </c>
      <c r="AG2008" s="28">
        <f>IFERROR(LOOKUP(AF2008,{0;0.5;5;25},{"Bajo";"Medio";"Alto";"Crítico"}),"")</f>
        <v/>
      </c>
      <c r="AH2008" s="28">
        <f>IF(AG2008="","",IF(OR(AG2008="Crítico",AG2008="Alto"),"Mitigar",IF(AG2008="Medio","Mitigar","Aceptar y monitorear")))</f>
        <v/>
      </c>
      <c r="AI2008" s="21" t="n"/>
      <c r="AJ2008" s="21" t="n"/>
      <c r="AK2008" s="20" t="n"/>
      <c r="AL2008" s="77">
        <f>IFERROR(INDEX(MgAmenEfic,MATCH(SUBSTITUTE($H2008,"*","-"),MgAmenClave,0)),0)</f>
        <v/>
      </c>
    </row>
    <row r="2009" hidden="1" ht="105" customHeight="1" s="54">
      <c r="B2009" s="59" t="inlineStr">
        <is>
          <t>R-2004</t>
        </is>
      </c>
      <c r="C2009" s="59" t="inlineStr">
        <is>
          <t>TEC-011</t>
        </is>
      </c>
      <c r="D2009" s="64">
        <f>IFERROR(INDEX(MgNombre,MATCH($C2009,MgActId,0)),"")</f>
        <v/>
      </c>
      <c r="E2009" s="64">
        <f>IFERROR(INDEX(MgProceso,MATCH($C2009,MgActId,0)),"")</f>
        <v/>
      </c>
      <c r="F2009" s="64">
        <f>IFERROR(INDEX(MgTipo,MATCH($C2009,MgActId,0)),"")</f>
        <v/>
      </c>
      <c r="G2009" s="64">
        <f>IFERROR(INDEX(MgSubtipo,MATCH($C2009,MgActId,0)),"")</f>
        <v/>
      </c>
      <c r="H2009" s="59" t="inlineStr">
        <is>
          <t>E.20</t>
        </is>
      </c>
      <c r="I2009" s="64">
        <f>IFERROR(INDEX(MgAmenNombre,MATCH(SUBSTITUTE($H2009,"*","-"),MgAmenClave,0)),"")</f>
        <v/>
      </c>
      <c r="J2009" s="28">
        <f>IFERROR(INDEX(MgAmenGrupo,MATCH(SUBSTITUTE($H2009,"*","-"),MgAmenClave,0)),"")</f>
        <v/>
      </c>
      <c r="K2009" s="64">
        <f>IFERROR(INDEX('1. Matriz de Activos'!$Q$6:$Q$239,MATCH($C2009,MgActId,0)),"")</f>
        <v/>
      </c>
      <c r="L2009" s="64">
        <f>IFERROR(INDEX('1. Matriz de Activos'!$R$6:$R$239,MATCH($C2009,MgActId,0)),"")</f>
        <v/>
      </c>
      <c r="M2009" s="64">
        <f>IFERROR(INDEX('1. Matriz de Activos'!$S$6:$S$239,MATCH($C2009,MgActId,0)),"")</f>
        <v/>
      </c>
      <c r="N2009" s="28">
        <f>IFERROR(INDEX(MgAmenDegD,MATCH(SUBSTITUTE($H2009,"*","-"),MgAmenClave,0)),"No aplica")</f>
        <v/>
      </c>
      <c r="O2009" s="28">
        <f>IFERROR(INDEX(MgAmenDegI,MATCH(SUBSTITUTE($H2009,"*","-"),MgAmenClave,0)),"No aplica")</f>
        <v/>
      </c>
      <c r="P2009" s="28">
        <f>IFERROR(INDEX(MgAmenDegC,MATCH(SUBSTITUTE($H2009,"*","-"),MgAmenClave,0)),"No aplica")</f>
        <v/>
      </c>
      <c r="Q2009" s="29">
        <f>IFERROR(VLOOKUP(K2009,MgValor,2,0)*VLOOKUP(N2009,MgDeg,2,0),0)</f>
        <v/>
      </c>
      <c r="R2009" s="29">
        <f>IFERROR(VLOOKUP(L2009,MgValor,2,0)*VLOOKUP(O2009,MgDeg,2,0),0)</f>
        <v/>
      </c>
      <c r="S2009" s="29">
        <f>IFERROR(VLOOKUP(M2009,MgValor,2,0)*VLOOKUP(P2009,MgDeg,2,0),0)</f>
        <v/>
      </c>
      <c r="T2009" s="30">
        <f>MAX(Q2009:S2009)</f>
        <v/>
      </c>
      <c r="U2009" s="28">
        <f>IFERROR(LOOKUP(T2009,{0;0.5;1.5;3;4.5},{"Despreciable";"Bajo";"Medio";"Alto";"Muy alto"}),"")</f>
        <v/>
      </c>
      <c r="V2009" s="13">
        <f>IFERROR(INDEX(MgAmenFrec,MATCH(SUBSTITUTE($H2009,"*","-"),MgAmenClave,0)),"")</f>
        <v/>
      </c>
      <c r="W2009" s="28">
        <f>IFERROR(LOOKUP(X2009,{0;0.01;0.1;1;10;100},{"Muy baja";"Muy baja";"Baja";"Media";"Alta";"Muy alta"}),"")</f>
        <v/>
      </c>
      <c r="X2009" s="31">
        <f>IFERROR(VLOOKUP(V2009,MgFrec,2,0),0)</f>
        <v/>
      </c>
      <c r="Y2009" s="30">
        <f>T2009*X2009</f>
        <v/>
      </c>
      <c r="Z2009" s="28">
        <f>IFERROR(LOOKUP(Y2009,{0;0.5;5;25},{"Bajo";"Medio";"Alto";"Crítico"}),"")</f>
        <v/>
      </c>
      <c r="AA2009" s="64">
        <f>IF(T2009&gt;=3,IF(X2009&gt;=1,"Zona 1 — Crítica: impacto alto y ocurre al menos una vez al año","Zona 4 — Catastrófica poco probable: impacto alto pero excepcional"),IF(AND(T2009&lt;1.5,X2009&lt;1),"Zona 3 — Asumible: impacto bajo y muy poco frecuente","Zona 2 — Atención: riesgo intermedio"))</f>
        <v/>
      </c>
      <c r="AB2009" s="64">
        <f>IFERROR(INDEX(MgAmenCtrl,MATCH(SUBSTITUTE($H2009,"*","-"),MgAmenClave,0)),"")</f>
        <v/>
      </c>
      <c r="AC2009" s="20" t="n"/>
      <c r="AD2009" s="31">
        <f>IFERROR($X2009*(1-IF($AC2009="",$AL2009,VLOOKUP($AC2009,MgMad,2,0))),"")</f>
        <v/>
      </c>
      <c r="AE2009" s="28">
        <f>IFERROR(LOOKUP(AD2009,{0;0.01;0.1;1;10;100},{"Muy baja";"Muy baja";"Baja";"Media";"Alta";"Muy alta"}),"")</f>
        <v/>
      </c>
      <c r="AF2009" s="30">
        <f>T2009*AD2009</f>
        <v/>
      </c>
      <c r="AG2009" s="28">
        <f>IFERROR(LOOKUP(AF2009,{0;0.5;5;25},{"Bajo";"Medio";"Alto";"Crítico"}),"")</f>
        <v/>
      </c>
      <c r="AH2009" s="28">
        <f>IF(AG2009="","",IF(OR(AG2009="Crítico",AG2009="Alto"),"Mitigar",IF(AG2009="Medio","Mitigar","Aceptar y monitorear")))</f>
        <v/>
      </c>
      <c r="AI2009" s="21" t="n"/>
      <c r="AJ2009" s="21" t="n"/>
      <c r="AK2009" s="20" t="n"/>
      <c r="AL2009" s="77">
        <f>IFERROR(INDEX(MgAmenEfic,MATCH(SUBSTITUTE($H2009,"*","-"),MgAmenClave,0)),0)</f>
        <v/>
      </c>
    </row>
    <row r="2010" hidden="1" ht="75" customHeight="1" s="54">
      <c r="B2010" s="59" t="inlineStr">
        <is>
          <t>R-2005</t>
        </is>
      </c>
      <c r="C2010" s="59" t="inlineStr">
        <is>
          <t>TEC-011</t>
        </is>
      </c>
      <c r="D2010" s="64">
        <f>IFERROR(INDEX(MgNombre,MATCH($C2010,MgActId,0)),"")</f>
        <v/>
      </c>
      <c r="E2010" s="64">
        <f>IFERROR(INDEX(MgProceso,MATCH($C2010,MgActId,0)),"")</f>
        <v/>
      </c>
      <c r="F2010" s="64">
        <f>IFERROR(INDEX(MgTipo,MATCH($C2010,MgActId,0)),"")</f>
        <v/>
      </c>
      <c r="G2010" s="64">
        <f>IFERROR(INDEX(MgSubtipo,MATCH($C2010,MgActId,0)),"")</f>
        <v/>
      </c>
      <c r="H2010" s="59" t="inlineStr">
        <is>
          <t>E.21</t>
        </is>
      </c>
      <c r="I2010" s="64">
        <f>IFERROR(INDEX(MgAmenNombre,MATCH(SUBSTITUTE($H2010,"*","-"),MgAmenClave,0)),"")</f>
        <v/>
      </c>
      <c r="J2010" s="28">
        <f>IFERROR(INDEX(MgAmenGrupo,MATCH(SUBSTITUTE($H2010,"*","-"),MgAmenClave,0)),"")</f>
        <v/>
      </c>
      <c r="K2010" s="64">
        <f>IFERROR(INDEX('1. Matriz de Activos'!$Q$6:$Q$239,MATCH($C2010,MgActId,0)),"")</f>
        <v/>
      </c>
      <c r="L2010" s="64">
        <f>IFERROR(INDEX('1. Matriz de Activos'!$R$6:$R$239,MATCH($C2010,MgActId,0)),"")</f>
        <v/>
      </c>
      <c r="M2010" s="64">
        <f>IFERROR(INDEX('1. Matriz de Activos'!$S$6:$S$239,MATCH($C2010,MgActId,0)),"")</f>
        <v/>
      </c>
      <c r="N2010" s="28">
        <f>IFERROR(INDEX(MgAmenDegD,MATCH(SUBSTITUTE($H2010,"*","-"),MgAmenClave,0)),"No aplica")</f>
        <v/>
      </c>
      <c r="O2010" s="28">
        <f>IFERROR(INDEX(MgAmenDegI,MATCH(SUBSTITUTE($H2010,"*","-"),MgAmenClave,0)),"No aplica")</f>
        <v/>
      </c>
      <c r="P2010" s="28">
        <f>IFERROR(INDEX(MgAmenDegC,MATCH(SUBSTITUTE($H2010,"*","-"),MgAmenClave,0)),"No aplica")</f>
        <v/>
      </c>
      <c r="Q2010" s="29">
        <f>IFERROR(VLOOKUP(K2010,MgValor,2,0)*VLOOKUP(N2010,MgDeg,2,0),0)</f>
        <v/>
      </c>
      <c r="R2010" s="29">
        <f>IFERROR(VLOOKUP(L2010,MgValor,2,0)*VLOOKUP(O2010,MgDeg,2,0),0)</f>
        <v/>
      </c>
      <c r="S2010" s="29">
        <f>IFERROR(VLOOKUP(M2010,MgValor,2,0)*VLOOKUP(P2010,MgDeg,2,0),0)</f>
        <v/>
      </c>
      <c r="T2010" s="30">
        <f>MAX(Q2010:S2010)</f>
        <v/>
      </c>
      <c r="U2010" s="28">
        <f>IFERROR(LOOKUP(T2010,{0;0.5;1.5;3;4.5},{"Despreciable";"Bajo";"Medio";"Alto";"Muy alto"}),"")</f>
        <v/>
      </c>
      <c r="V2010" s="13">
        <f>IFERROR(INDEX(MgAmenFrec,MATCH(SUBSTITUTE($H2010,"*","-"),MgAmenClave,0)),"")</f>
        <v/>
      </c>
      <c r="W2010" s="28">
        <f>IFERROR(LOOKUP(X2010,{0;0.01;0.1;1;10;100},{"Muy baja";"Muy baja";"Baja";"Media";"Alta";"Muy alta"}),"")</f>
        <v/>
      </c>
      <c r="X2010" s="31">
        <f>IFERROR(VLOOKUP(V2010,MgFrec,2,0),0)</f>
        <v/>
      </c>
      <c r="Y2010" s="30">
        <f>T2010*X2010</f>
        <v/>
      </c>
      <c r="Z2010" s="28">
        <f>IFERROR(LOOKUP(Y2010,{0;0.5;5;25},{"Bajo";"Medio";"Alto";"Crítico"}),"")</f>
        <v/>
      </c>
      <c r="AA2010" s="64">
        <f>IF(T2010&gt;=3,IF(X2010&gt;=1,"Zona 1 — Crítica: impacto alto y ocurre al menos una vez al año","Zona 4 — Catastrófica poco probable: impacto alto pero excepcional"),IF(AND(T2010&lt;1.5,X2010&lt;1),"Zona 3 — Asumible: impacto bajo y muy poco frecuente","Zona 2 — Atención: riesgo intermedio"))</f>
        <v/>
      </c>
      <c r="AB2010" s="64">
        <f>IFERROR(INDEX(MgAmenCtrl,MATCH(SUBSTITUTE($H2010,"*","-"),MgAmenClave,0)),"")</f>
        <v/>
      </c>
      <c r="AC2010" s="20" t="n"/>
      <c r="AD2010" s="31">
        <f>IFERROR($X2010*(1-IF($AC2010="",$AL2010,VLOOKUP($AC2010,MgMad,2,0))),"")</f>
        <v/>
      </c>
      <c r="AE2010" s="28">
        <f>IFERROR(LOOKUP(AD2010,{0;0.01;0.1;1;10;100},{"Muy baja";"Muy baja";"Baja";"Media";"Alta";"Muy alta"}),"")</f>
        <v/>
      </c>
      <c r="AF2010" s="30">
        <f>T2010*AD2010</f>
        <v/>
      </c>
      <c r="AG2010" s="28">
        <f>IFERROR(LOOKUP(AF2010,{0;0.5;5;25},{"Bajo";"Medio";"Alto";"Crítico"}),"")</f>
        <v/>
      </c>
      <c r="AH2010" s="28">
        <f>IF(AG2010="","",IF(OR(AG2010="Crítico",AG2010="Alto"),"Mitigar",IF(AG2010="Medio","Mitigar","Aceptar y monitorear")))</f>
        <v/>
      </c>
      <c r="AI2010" s="21" t="n"/>
      <c r="AJ2010" s="21" t="n"/>
      <c r="AK2010" s="20" t="n"/>
      <c r="AL2010" s="77">
        <f>IFERROR(INDEX(MgAmenEfic,MATCH(SUBSTITUTE($H2010,"*","-"),MgAmenClave,0)),0)</f>
        <v/>
      </c>
    </row>
    <row r="2011" hidden="1" ht="75" customHeight="1" s="54">
      <c r="B2011" s="59" t="inlineStr">
        <is>
          <t>R-2006</t>
        </is>
      </c>
      <c r="C2011" s="59" t="inlineStr">
        <is>
          <t>TEC-011</t>
        </is>
      </c>
      <c r="D2011" s="64">
        <f>IFERROR(INDEX(MgNombre,MATCH($C2011,MgActId,0)),"")</f>
        <v/>
      </c>
      <c r="E2011" s="64">
        <f>IFERROR(INDEX(MgProceso,MATCH($C2011,MgActId,0)),"")</f>
        <v/>
      </c>
      <c r="F2011" s="64">
        <f>IFERROR(INDEX(MgTipo,MATCH($C2011,MgActId,0)),"")</f>
        <v/>
      </c>
      <c r="G2011" s="64">
        <f>IFERROR(INDEX(MgSubtipo,MATCH($C2011,MgActId,0)),"")</f>
        <v/>
      </c>
      <c r="H2011" s="59" t="inlineStr">
        <is>
          <t>A.5</t>
        </is>
      </c>
      <c r="I2011" s="64">
        <f>IFERROR(INDEX(MgAmenNombre,MATCH(SUBSTITUTE($H2011,"*","-"),MgAmenClave,0)),"")</f>
        <v/>
      </c>
      <c r="J2011" s="28">
        <f>IFERROR(INDEX(MgAmenGrupo,MATCH(SUBSTITUTE($H2011,"*","-"),MgAmenClave,0)),"")</f>
        <v/>
      </c>
      <c r="K2011" s="64">
        <f>IFERROR(INDEX('1. Matriz de Activos'!$Q$6:$Q$239,MATCH($C2011,MgActId,0)),"")</f>
        <v/>
      </c>
      <c r="L2011" s="64">
        <f>IFERROR(INDEX('1. Matriz de Activos'!$R$6:$R$239,MATCH($C2011,MgActId,0)),"")</f>
        <v/>
      </c>
      <c r="M2011" s="64">
        <f>IFERROR(INDEX('1. Matriz de Activos'!$S$6:$S$239,MATCH($C2011,MgActId,0)),"")</f>
        <v/>
      </c>
      <c r="N2011" s="28">
        <f>IFERROR(INDEX(MgAmenDegD,MATCH(SUBSTITUTE($H2011,"*","-"),MgAmenClave,0)),"No aplica")</f>
        <v/>
      </c>
      <c r="O2011" s="28">
        <f>IFERROR(INDEX(MgAmenDegI,MATCH(SUBSTITUTE($H2011,"*","-"),MgAmenClave,0)),"No aplica")</f>
        <v/>
      </c>
      <c r="P2011" s="28">
        <f>IFERROR(INDEX(MgAmenDegC,MATCH(SUBSTITUTE($H2011,"*","-"),MgAmenClave,0)),"No aplica")</f>
        <v/>
      </c>
      <c r="Q2011" s="29">
        <f>IFERROR(VLOOKUP(K2011,MgValor,2,0)*VLOOKUP(N2011,MgDeg,2,0),0)</f>
        <v/>
      </c>
      <c r="R2011" s="29">
        <f>IFERROR(VLOOKUP(L2011,MgValor,2,0)*VLOOKUP(O2011,MgDeg,2,0),0)</f>
        <v/>
      </c>
      <c r="S2011" s="29">
        <f>IFERROR(VLOOKUP(M2011,MgValor,2,0)*VLOOKUP(P2011,MgDeg,2,0),0)</f>
        <v/>
      </c>
      <c r="T2011" s="30">
        <f>MAX(Q2011:S2011)</f>
        <v/>
      </c>
      <c r="U2011" s="28">
        <f>IFERROR(LOOKUP(T2011,{0;0.5;1.5;3;4.5},{"Despreciable";"Bajo";"Medio";"Alto";"Muy alto"}),"")</f>
        <v/>
      </c>
      <c r="V2011" s="13">
        <f>IFERROR(INDEX(MgAmenFrec,MATCH(SUBSTITUTE($H2011,"*","-"),MgAmenClave,0)),"")</f>
        <v/>
      </c>
      <c r="W2011" s="28">
        <f>IFERROR(LOOKUP(X2011,{0;0.01;0.1;1;10;100},{"Muy baja";"Muy baja";"Baja";"Media";"Alta";"Muy alta"}),"")</f>
        <v/>
      </c>
      <c r="X2011" s="31">
        <f>IFERROR(VLOOKUP(V2011,MgFrec,2,0),0)</f>
        <v/>
      </c>
      <c r="Y2011" s="30">
        <f>T2011*X2011</f>
        <v/>
      </c>
      <c r="Z2011" s="28">
        <f>IFERROR(LOOKUP(Y2011,{0;0.5;5;25},{"Bajo";"Medio";"Alto";"Crítico"}),"")</f>
        <v/>
      </c>
      <c r="AA2011" s="64">
        <f>IF(T2011&gt;=3,IF(X2011&gt;=1,"Zona 1 — Crítica: impacto alto y ocurre al menos una vez al año","Zona 4 — Catastrófica poco probable: impacto alto pero excepcional"),IF(AND(T2011&lt;1.5,X2011&lt;1),"Zona 3 — Asumible: impacto bajo y muy poco frecuente","Zona 2 — Atención: riesgo intermedio"))</f>
        <v/>
      </c>
      <c r="AB2011" s="64">
        <f>IFERROR(INDEX(MgAmenCtrl,MATCH(SUBSTITUTE($H2011,"*","-"),MgAmenClave,0)),"")</f>
        <v/>
      </c>
      <c r="AC2011" s="20" t="n"/>
      <c r="AD2011" s="31">
        <f>IFERROR($X2011*(1-IF($AC2011="",$AL2011,VLOOKUP($AC2011,MgMad,2,0))),"")</f>
        <v/>
      </c>
      <c r="AE2011" s="28">
        <f>IFERROR(LOOKUP(AD2011,{0;0.01;0.1;1;10;100},{"Muy baja";"Muy baja";"Baja";"Media";"Alta";"Muy alta"}),"")</f>
        <v/>
      </c>
      <c r="AF2011" s="30">
        <f>T2011*AD2011</f>
        <v/>
      </c>
      <c r="AG2011" s="28">
        <f>IFERROR(LOOKUP(AF2011,{0;0.5;5;25},{"Bajo";"Medio";"Alto";"Crítico"}),"")</f>
        <v/>
      </c>
      <c r="AH2011" s="28">
        <f>IF(AG2011="","",IF(OR(AG2011="Crítico",AG2011="Alto"),"Mitigar",IF(AG2011="Medio","Mitigar","Aceptar y monitorear")))</f>
        <v/>
      </c>
      <c r="AI2011" s="21" t="n"/>
      <c r="AJ2011" s="21" t="n"/>
      <c r="AK2011" s="20" t="n"/>
      <c r="AL2011" s="77">
        <f>IFERROR(INDEX(MgAmenEfic,MATCH(SUBSTITUTE($H2011,"*","-"),MgAmenClave,0)),0)</f>
        <v/>
      </c>
    </row>
    <row r="2012" hidden="1" ht="105" customHeight="1" s="54">
      <c r="B2012" s="59" t="inlineStr">
        <is>
          <t>R-2007</t>
        </is>
      </c>
      <c r="C2012" s="59" t="inlineStr">
        <is>
          <t>TEC-011</t>
        </is>
      </c>
      <c r="D2012" s="64">
        <f>IFERROR(INDEX(MgNombre,MATCH($C2012,MgActId,0)),"")</f>
        <v/>
      </c>
      <c r="E2012" s="64">
        <f>IFERROR(INDEX(MgProceso,MATCH($C2012,MgActId,0)),"")</f>
        <v/>
      </c>
      <c r="F2012" s="64">
        <f>IFERROR(INDEX(MgTipo,MATCH($C2012,MgActId,0)),"")</f>
        <v/>
      </c>
      <c r="G2012" s="64">
        <f>IFERROR(INDEX(MgSubtipo,MATCH($C2012,MgActId,0)),"")</f>
        <v/>
      </c>
      <c r="H2012" s="59" t="inlineStr">
        <is>
          <t>A.6</t>
        </is>
      </c>
      <c r="I2012" s="64">
        <f>IFERROR(INDEX(MgAmenNombre,MATCH(SUBSTITUTE($H2012,"*","-"),MgAmenClave,0)),"")</f>
        <v/>
      </c>
      <c r="J2012" s="28">
        <f>IFERROR(INDEX(MgAmenGrupo,MATCH(SUBSTITUTE($H2012,"*","-"),MgAmenClave,0)),"")</f>
        <v/>
      </c>
      <c r="K2012" s="64">
        <f>IFERROR(INDEX('1. Matriz de Activos'!$Q$6:$Q$239,MATCH($C2012,MgActId,0)),"")</f>
        <v/>
      </c>
      <c r="L2012" s="64">
        <f>IFERROR(INDEX('1. Matriz de Activos'!$R$6:$R$239,MATCH($C2012,MgActId,0)),"")</f>
        <v/>
      </c>
      <c r="M2012" s="64">
        <f>IFERROR(INDEX('1. Matriz de Activos'!$S$6:$S$239,MATCH($C2012,MgActId,0)),"")</f>
        <v/>
      </c>
      <c r="N2012" s="28">
        <f>IFERROR(INDEX(MgAmenDegD,MATCH(SUBSTITUTE($H2012,"*","-"),MgAmenClave,0)),"No aplica")</f>
        <v/>
      </c>
      <c r="O2012" s="28">
        <f>IFERROR(INDEX(MgAmenDegI,MATCH(SUBSTITUTE($H2012,"*","-"),MgAmenClave,0)),"No aplica")</f>
        <v/>
      </c>
      <c r="P2012" s="28">
        <f>IFERROR(INDEX(MgAmenDegC,MATCH(SUBSTITUTE($H2012,"*","-"),MgAmenClave,0)),"No aplica")</f>
        <v/>
      </c>
      <c r="Q2012" s="29">
        <f>IFERROR(VLOOKUP(K2012,MgValor,2,0)*VLOOKUP(N2012,MgDeg,2,0),0)</f>
        <v/>
      </c>
      <c r="R2012" s="29">
        <f>IFERROR(VLOOKUP(L2012,MgValor,2,0)*VLOOKUP(O2012,MgDeg,2,0),0)</f>
        <v/>
      </c>
      <c r="S2012" s="29">
        <f>IFERROR(VLOOKUP(M2012,MgValor,2,0)*VLOOKUP(P2012,MgDeg,2,0),0)</f>
        <v/>
      </c>
      <c r="T2012" s="30">
        <f>MAX(Q2012:S2012)</f>
        <v/>
      </c>
      <c r="U2012" s="28">
        <f>IFERROR(LOOKUP(T2012,{0;0.5;1.5;3;4.5},{"Despreciable";"Bajo";"Medio";"Alto";"Muy alto"}),"")</f>
        <v/>
      </c>
      <c r="V2012" s="13">
        <f>IFERROR(INDEX(MgAmenFrec,MATCH(SUBSTITUTE($H2012,"*","-"),MgAmenClave,0)),"")</f>
        <v/>
      </c>
      <c r="W2012" s="28">
        <f>IFERROR(LOOKUP(X2012,{0;0.01;0.1;1;10;100},{"Muy baja";"Muy baja";"Baja";"Media";"Alta";"Muy alta"}),"")</f>
        <v/>
      </c>
      <c r="X2012" s="31">
        <f>IFERROR(VLOOKUP(V2012,MgFrec,2,0),0)</f>
        <v/>
      </c>
      <c r="Y2012" s="30">
        <f>T2012*X2012</f>
        <v/>
      </c>
      <c r="Z2012" s="28">
        <f>IFERROR(LOOKUP(Y2012,{0;0.5;5;25},{"Bajo";"Medio";"Alto";"Crítico"}),"")</f>
        <v/>
      </c>
      <c r="AA2012" s="64">
        <f>IF(T2012&gt;=3,IF(X2012&gt;=1,"Zona 1 — Crítica: impacto alto y ocurre al menos una vez al año","Zona 4 — Catastrófica poco probable: impacto alto pero excepcional"),IF(AND(T2012&lt;1.5,X2012&lt;1),"Zona 3 — Asumible: impacto bajo y muy poco frecuente","Zona 2 — Atención: riesgo intermedio"))</f>
        <v/>
      </c>
      <c r="AB2012" s="64">
        <f>IFERROR(INDEX(MgAmenCtrl,MATCH(SUBSTITUTE($H2012,"*","-"),MgAmenClave,0)),"")</f>
        <v/>
      </c>
      <c r="AC2012" s="20" t="n"/>
      <c r="AD2012" s="31">
        <f>IFERROR($X2012*(1-IF($AC2012="",$AL2012,VLOOKUP($AC2012,MgMad,2,0))),"")</f>
        <v/>
      </c>
      <c r="AE2012" s="28">
        <f>IFERROR(LOOKUP(AD2012,{0;0.01;0.1;1;10;100},{"Muy baja";"Muy baja";"Baja";"Media";"Alta";"Muy alta"}),"")</f>
        <v/>
      </c>
      <c r="AF2012" s="30">
        <f>T2012*AD2012</f>
        <v/>
      </c>
      <c r="AG2012" s="28">
        <f>IFERROR(LOOKUP(AF2012,{0;0.5;5;25},{"Bajo";"Medio";"Alto";"Crítico"}),"")</f>
        <v/>
      </c>
      <c r="AH2012" s="28">
        <f>IF(AG2012="","",IF(OR(AG2012="Crítico",AG2012="Alto"),"Mitigar",IF(AG2012="Medio","Mitigar","Aceptar y monitorear")))</f>
        <v/>
      </c>
      <c r="AI2012" s="21" t="n"/>
      <c r="AJ2012" s="21" t="n"/>
      <c r="AK2012" s="20" t="n"/>
      <c r="AL2012" s="77">
        <f>IFERROR(INDEX(MgAmenEfic,MATCH(SUBSTITUTE($H2012,"*","-"),MgAmenClave,0)),0)</f>
        <v/>
      </c>
    </row>
    <row r="2013" hidden="1" ht="60" customHeight="1" s="54">
      <c r="B2013" s="59" t="inlineStr">
        <is>
          <t>R-2008</t>
        </is>
      </c>
      <c r="C2013" s="59" t="inlineStr">
        <is>
          <t>TEC-011</t>
        </is>
      </c>
      <c r="D2013" s="64">
        <f>IFERROR(INDEX(MgNombre,MATCH($C2013,MgActId,0)),"")</f>
        <v/>
      </c>
      <c r="E2013" s="64">
        <f>IFERROR(INDEX(MgProceso,MATCH($C2013,MgActId,0)),"")</f>
        <v/>
      </c>
      <c r="F2013" s="64">
        <f>IFERROR(INDEX(MgTipo,MATCH($C2013,MgActId,0)),"")</f>
        <v/>
      </c>
      <c r="G2013" s="64">
        <f>IFERROR(INDEX(MgSubtipo,MATCH($C2013,MgActId,0)),"")</f>
        <v/>
      </c>
      <c r="H2013" s="59" t="inlineStr">
        <is>
          <t>A.7</t>
        </is>
      </c>
      <c r="I2013" s="64">
        <f>IFERROR(INDEX(MgAmenNombre,MATCH(SUBSTITUTE($H2013,"*","-"),MgAmenClave,0)),"")</f>
        <v/>
      </c>
      <c r="J2013" s="28">
        <f>IFERROR(INDEX(MgAmenGrupo,MATCH(SUBSTITUTE($H2013,"*","-"),MgAmenClave,0)),"")</f>
        <v/>
      </c>
      <c r="K2013" s="64">
        <f>IFERROR(INDEX('1. Matriz de Activos'!$Q$6:$Q$239,MATCH($C2013,MgActId,0)),"")</f>
        <v/>
      </c>
      <c r="L2013" s="64">
        <f>IFERROR(INDEX('1. Matriz de Activos'!$R$6:$R$239,MATCH($C2013,MgActId,0)),"")</f>
        <v/>
      </c>
      <c r="M2013" s="64">
        <f>IFERROR(INDEX('1. Matriz de Activos'!$S$6:$S$239,MATCH($C2013,MgActId,0)),"")</f>
        <v/>
      </c>
      <c r="N2013" s="28">
        <f>IFERROR(INDEX(MgAmenDegD,MATCH(SUBSTITUTE($H2013,"*","-"),MgAmenClave,0)),"No aplica")</f>
        <v/>
      </c>
      <c r="O2013" s="28">
        <f>IFERROR(INDEX(MgAmenDegI,MATCH(SUBSTITUTE($H2013,"*","-"),MgAmenClave,0)),"No aplica")</f>
        <v/>
      </c>
      <c r="P2013" s="28">
        <f>IFERROR(INDEX(MgAmenDegC,MATCH(SUBSTITUTE($H2013,"*","-"),MgAmenClave,0)),"No aplica")</f>
        <v/>
      </c>
      <c r="Q2013" s="29">
        <f>IFERROR(VLOOKUP(K2013,MgValor,2,0)*VLOOKUP(N2013,MgDeg,2,0),0)</f>
        <v/>
      </c>
      <c r="R2013" s="29">
        <f>IFERROR(VLOOKUP(L2013,MgValor,2,0)*VLOOKUP(O2013,MgDeg,2,0),0)</f>
        <v/>
      </c>
      <c r="S2013" s="29">
        <f>IFERROR(VLOOKUP(M2013,MgValor,2,0)*VLOOKUP(P2013,MgDeg,2,0),0)</f>
        <v/>
      </c>
      <c r="T2013" s="30">
        <f>MAX(Q2013:S2013)</f>
        <v/>
      </c>
      <c r="U2013" s="28">
        <f>IFERROR(LOOKUP(T2013,{0;0.5;1.5;3;4.5},{"Despreciable";"Bajo";"Medio";"Alto";"Muy alto"}),"")</f>
        <v/>
      </c>
      <c r="V2013" s="13">
        <f>IFERROR(INDEX(MgAmenFrec,MATCH(SUBSTITUTE($H2013,"*","-"),MgAmenClave,0)),"")</f>
        <v/>
      </c>
      <c r="W2013" s="28">
        <f>IFERROR(LOOKUP(X2013,{0;0.01;0.1;1;10;100},{"Muy baja";"Muy baja";"Baja";"Media";"Alta";"Muy alta"}),"")</f>
        <v/>
      </c>
      <c r="X2013" s="31">
        <f>IFERROR(VLOOKUP(V2013,MgFrec,2,0),0)</f>
        <v/>
      </c>
      <c r="Y2013" s="30">
        <f>T2013*X2013</f>
        <v/>
      </c>
      <c r="Z2013" s="28">
        <f>IFERROR(LOOKUP(Y2013,{0;0.5;5;25},{"Bajo";"Medio";"Alto";"Crítico"}),"")</f>
        <v/>
      </c>
      <c r="AA2013" s="64">
        <f>IF(T2013&gt;=3,IF(X2013&gt;=1,"Zona 1 — Crítica: impacto alto y ocurre al menos una vez al año","Zona 4 — Catastrófica poco probable: impacto alto pero excepcional"),IF(AND(T2013&lt;1.5,X2013&lt;1),"Zona 3 — Asumible: impacto bajo y muy poco frecuente","Zona 2 — Atención: riesgo intermedio"))</f>
        <v/>
      </c>
      <c r="AB2013" s="64">
        <f>IFERROR(INDEX(MgAmenCtrl,MATCH(SUBSTITUTE($H2013,"*","-"),MgAmenClave,0)),"")</f>
        <v/>
      </c>
      <c r="AC2013" s="20" t="n"/>
      <c r="AD2013" s="31">
        <f>IFERROR($X2013*(1-IF($AC2013="",$AL2013,VLOOKUP($AC2013,MgMad,2,0))),"")</f>
        <v/>
      </c>
      <c r="AE2013" s="28">
        <f>IFERROR(LOOKUP(AD2013,{0;0.01;0.1;1;10;100},{"Muy baja";"Muy baja";"Baja";"Media";"Alta";"Muy alta"}),"")</f>
        <v/>
      </c>
      <c r="AF2013" s="30">
        <f>T2013*AD2013</f>
        <v/>
      </c>
      <c r="AG2013" s="28">
        <f>IFERROR(LOOKUP(AF2013,{0;0.5;5;25},{"Bajo";"Medio";"Alto";"Crítico"}),"")</f>
        <v/>
      </c>
      <c r="AH2013" s="28">
        <f>IF(AG2013="","",IF(OR(AG2013="Crítico",AG2013="Alto"),"Mitigar",IF(AG2013="Medio","Mitigar","Aceptar y monitorear")))</f>
        <v/>
      </c>
      <c r="AI2013" s="21" t="n"/>
      <c r="AJ2013" s="21" t="n"/>
      <c r="AK2013" s="20" t="n"/>
      <c r="AL2013" s="77">
        <f>IFERROR(INDEX(MgAmenEfic,MATCH(SUBSTITUTE($H2013,"*","-"),MgAmenClave,0)),0)</f>
        <v/>
      </c>
    </row>
    <row r="2014" hidden="1" ht="120" customHeight="1" s="54">
      <c r="B2014" s="59" t="inlineStr">
        <is>
          <t>R-2009</t>
        </is>
      </c>
      <c r="C2014" s="59" t="inlineStr">
        <is>
          <t>TEC-011</t>
        </is>
      </c>
      <c r="D2014" s="64">
        <f>IFERROR(INDEX(MgNombre,MATCH($C2014,MgActId,0)),"")</f>
        <v/>
      </c>
      <c r="E2014" s="64">
        <f>IFERROR(INDEX(MgProceso,MATCH($C2014,MgActId,0)),"")</f>
        <v/>
      </c>
      <c r="F2014" s="64">
        <f>IFERROR(INDEX(MgTipo,MATCH($C2014,MgActId,0)),"")</f>
        <v/>
      </c>
      <c r="G2014" s="64">
        <f>IFERROR(INDEX(MgSubtipo,MATCH($C2014,MgActId,0)),"")</f>
        <v/>
      </c>
      <c r="H2014" s="59" t="inlineStr">
        <is>
          <t>A.8</t>
        </is>
      </c>
      <c r="I2014" s="64">
        <f>IFERROR(INDEX(MgAmenNombre,MATCH(SUBSTITUTE($H2014,"*","-"),MgAmenClave,0)),"")</f>
        <v/>
      </c>
      <c r="J2014" s="28">
        <f>IFERROR(INDEX(MgAmenGrupo,MATCH(SUBSTITUTE($H2014,"*","-"),MgAmenClave,0)),"")</f>
        <v/>
      </c>
      <c r="K2014" s="64">
        <f>IFERROR(INDEX('1. Matriz de Activos'!$Q$6:$Q$239,MATCH($C2014,MgActId,0)),"")</f>
        <v/>
      </c>
      <c r="L2014" s="64">
        <f>IFERROR(INDEX('1. Matriz de Activos'!$R$6:$R$239,MATCH($C2014,MgActId,0)),"")</f>
        <v/>
      </c>
      <c r="M2014" s="64">
        <f>IFERROR(INDEX('1. Matriz de Activos'!$S$6:$S$239,MATCH($C2014,MgActId,0)),"")</f>
        <v/>
      </c>
      <c r="N2014" s="28">
        <f>IFERROR(INDEX(MgAmenDegD,MATCH(SUBSTITUTE($H2014,"*","-"),MgAmenClave,0)),"No aplica")</f>
        <v/>
      </c>
      <c r="O2014" s="28">
        <f>IFERROR(INDEX(MgAmenDegI,MATCH(SUBSTITUTE($H2014,"*","-"),MgAmenClave,0)),"No aplica")</f>
        <v/>
      </c>
      <c r="P2014" s="28">
        <f>IFERROR(INDEX(MgAmenDegC,MATCH(SUBSTITUTE($H2014,"*","-"),MgAmenClave,0)),"No aplica")</f>
        <v/>
      </c>
      <c r="Q2014" s="29">
        <f>IFERROR(VLOOKUP(K2014,MgValor,2,0)*VLOOKUP(N2014,MgDeg,2,0),0)</f>
        <v/>
      </c>
      <c r="R2014" s="29">
        <f>IFERROR(VLOOKUP(L2014,MgValor,2,0)*VLOOKUP(O2014,MgDeg,2,0),0)</f>
        <v/>
      </c>
      <c r="S2014" s="29">
        <f>IFERROR(VLOOKUP(M2014,MgValor,2,0)*VLOOKUP(P2014,MgDeg,2,0),0)</f>
        <v/>
      </c>
      <c r="T2014" s="30">
        <f>MAX(Q2014:S2014)</f>
        <v/>
      </c>
      <c r="U2014" s="28">
        <f>IFERROR(LOOKUP(T2014,{0;0.5;1.5;3;4.5},{"Despreciable";"Bajo";"Medio";"Alto";"Muy alto"}),"")</f>
        <v/>
      </c>
      <c r="V2014" s="13">
        <f>IFERROR(INDEX(MgAmenFrec,MATCH(SUBSTITUTE($H2014,"*","-"),MgAmenClave,0)),"")</f>
        <v/>
      </c>
      <c r="W2014" s="28">
        <f>IFERROR(LOOKUP(X2014,{0;0.01;0.1;1;10;100},{"Muy baja";"Muy baja";"Baja";"Media";"Alta";"Muy alta"}),"")</f>
        <v/>
      </c>
      <c r="X2014" s="31">
        <f>IFERROR(VLOOKUP(V2014,MgFrec,2,0),0)</f>
        <v/>
      </c>
      <c r="Y2014" s="30">
        <f>T2014*X2014</f>
        <v/>
      </c>
      <c r="Z2014" s="28">
        <f>IFERROR(LOOKUP(Y2014,{0;0.5;5;25},{"Bajo";"Medio";"Alto";"Crítico"}),"")</f>
        <v/>
      </c>
      <c r="AA2014" s="64">
        <f>IF(T2014&gt;=3,IF(X2014&gt;=1,"Zona 1 — Crítica: impacto alto y ocurre al menos una vez al año","Zona 4 — Catastrófica poco probable: impacto alto pero excepcional"),IF(AND(T2014&lt;1.5,X2014&lt;1),"Zona 3 — Asumible: impacto bajo y muy poco frecuente","Zona 2 — Atención: riesgo intermedio"))</f>
        <v/>
      </c>
      <c r="AB2014" s="64">
        <f>IFERROR(INDEX(MgAmenCtrl,MATCH(SUBSTITUTE($H2014,"*","-"),MgAmenClave,0)),"")</f>
        <v/>
      </c>
      <c r="AC2014" s="20" t="n"/>
      <c r="AD2014" s="31">
        <f>IFERROR($X2014*(1-IF($AC2014="",$AL2014,VLOOKUP($AC2014,MgMad,2,0))),"")</f>
        <v/>
      </c>
      <c r="AE2014" s="28">
        <f>IFERROR(LOOKUP(AD2014,{0;0.01;0.1;1;10;100},{"Muy baja";"Muy baja";"Baja";"Media";"Alta";"Muy alta"}),"")</f>
        <v/>
      </c>
      <c r="AF2014" s="30">
        <f>T2014*AD2014</f>
        <v/>
      </c>
      <c r="AG2014" s="28">
        <f>IFERROR(LOOKUP(AF2014,{0;0.5;5;25},{"Bajo";"Medio";"Alto";"Crítico"}),"")</f>
        <v/>
      </c>
      <c r="AH2014" s="28">
        <f>IF(AG2014="","",IF(OR(AG2014="Crítico",AG2014="Alto"),"Mitigar",IF(AG2014="Medio","Mitigar","Aceptar y monitorear")))</f>
        <v/>
      </c>
      <c r="AI2014" s="21" t="n"/>
      <c r="AJ2014" s="21" t="n"/>
      <c r="AK2014" s="20" t="n"/>
      <c r="AL2014" s="77">
        <f>IFERROR(INDEX(MgAmenEfic,MATCH(SUBSTITUTE($H2014,"*","-"),MgAmenClave,0)),0)</f>
        <v/>
      </c>
    </row>
    <row r="2015" hidden="1" ht="60" customHeight="1" s="54">
      <c r="B2015" s="59" t="inlineStr">
        <is>
          <t>R-2010</t>
        </is>
      </c>
      <c r="C2015" s="59" t="inlineStr">
        <is>
          <t>TEC-011</t>
        </is>
      </c>
      <c r="D2015" s="64">
        <f>IFERROR(INDEX(MgNombre,MATCH($C2015,MgActId,0)),"")</f>
        <v/>
      </c>
      <c r="E2015" s="64">
        <f>IFERROR(INDEX(MgProceso,MATCH($C2015,MgActId,0)),"")</f>
        <v/>
      </c>
      <c r="F2015" s="64">
        <f>IFERROR(INDEX(MgTipo,MATCH($C2015,MgActId,0)),"")</f>
        <v/>
      </c>
      <c r="G2015" s="64">
        <f>IFERROR(INDEX(MgSubtipo,MATCH($C2015,MgActId,0)),"")</f>
        <v/>
      </c>
      <c r="H2015" s="59" t="inlineStr">
        <is>
          <t>A.9</t>
        </is>
      </c>
      <c r="I2015" s="64">
        <f>IFERROR(INDEX(MgAmenNombre,MATCH(SUBSTITUTE($H2015,"*","-"),MgAmenClave,0)),"")</f>
        <v/>
      </c>
      <c r="J2015" s="28">
        <f>IFERROR(INDEX(MgAmenGrupo,MATCH(SUBSTITUTE($H2015,"*","-"),MgAmenClave,0)),"")</f>
        <v/>
      </c>
      <c r="K2015" s="64">
        <f>IFERROR(INDEX('1. Matriz de Activos'!$Q$6:$Q$239,MATCH($C2015,MgActId,0)),"")</f>
        <v/>
      </c>
      <c r="L2015" s="64">
        <f>IFERROR(INDEX('1. Matriz de Activos'!$R$6:$R$239,MATCH($C2015,MgActId,0)),"")</f>
        <v/>
      </c>
      <c r="M2015" s="64">
        <f>IFERROR(INDEX('1. Matriz de Activos'!$S$6:$S$239,MATCH($C2015,MgActId,0)),"")</f>
        <v/>
      </c>
      <c r="N2015" s="28">
        <f>IFERROR(INDEX(MgAmenDegD,MATCH(SUBSTITUTE($H2015,"*","-"),MgAmenClave,0)),"No aplica")</f>
        <v/>
      </c>
      <c r="O2015" s="28">
        <f>IFERROR(INDEX(MgAmenDegI,MATCH(SUBSTITUTE($H2015,"*","-"),MgAmenClave,0)),"No aplica")</f>
        <v/>
      </c>
      <c r="P2015" s="28">
        <f>IFERROR(INDEX(MgAmenDegC,MATCH(SUBSTITUTE($H2015,"*","-"),MgAmenClave,0)),"No aplica")</f>
        <v/>
      </c>
      <c r="Q2015" s="29">
        <f>IFERROR(VLOOKUP(K2015,MgValor,2,0)*VLOOKUP(N2015,MgDeg,2,0),0)</f>
        <v/>
      </c>
      <c r="R2015" s="29">
        <f>IFERROR(VLOOKUP(L2015,MgValor,2,0)*VLOOKUP(O2015,MgDeg,2,0),0)</f>
        <v/>
      </c>
      <c r="S2015" s="29">
        <f>IFERROR(VLOOKUP(M2015,MgValor,2,0)*VLOOKUP(P2015,MgDeg,2,0),0)</f>
        <v/>
      </c>
      <c r="T2015" s="30">
        <f>MAX(Q2015:S2015)</f>
        <v/>
      </c>
      <c r="U2015" s="28">
        <f>IFERROR(LOOKUP(T2015,{0;0.5;1.5;3;4.5},{"Despreciable";"Bajo";"Medio";"Alto";"Muy alto"}),"")</f>
        <v/>
      </c>
      <c r="V2015" s="13">
        <f>IFERROR(INDEX(MgAmenFrec,MATCH(SUBSTITUTE($H2015,"*","-"),MgAmenClave,0)),"")</f>
        <v/>
      </c>
      <c r="W2015" s="28">
        <f>IFERROR(LOOKUP(X2015,{0;0.01;0.1;1;10;100},{"Muy baja";"Muy baja";"Baja";"Media";"Alta";"Muy alta"}),"")</f>
        <v/>
      </c>
      <c r="X2015" s="31">
        <f>IFERROR(VLOOKUP(V2015,MgFrec,2,0),0)</f>
        <v/>
      </c>
      <c r="Y2015" s="30">
        <f>T2015*X2015</f>
        <v/>
      </c>
      <c r="Z2015" s="28">
        <f>IFERROR(LOOKUP(Y2015,{0;0.5;5;25},{"Bajo";"Medio";"Alto";"Crítico"}),"")</f>
        <v/>
      </c>
      <c r="AA2015" s="64">
        <f>IF(T2015&gt;=3,IF(X2015&gt;=1,"Zona 1 — Crítica: impacto alto y ocurre al menos una vez al año","Zona 4 — Catastrófica poco probable: impacto alto pero excepcional"),IF(AND(T2015&lt;1.5,X2015&lt;1),"Zona 3 — Asumible: impacto bajo y muy poco frecuente","Zona 2 — Atención: riesgo intermedio"))</f>
        <v/>
      </c>
      <c r="AB2015" s="64">
        <f>IFERROR(INDEX(MgAmenCtrl,MATCH(SUBSTITUTE($H2015,"*","-"),MgAmenClave,0)),"")</f>
        <v/>
      </c>
      <c r="AC2015" s="20" t="n"/>
      <c r="AD2015" s="31">
        <f>IFERROR($X2015*(1-IF($AC2015="",$AL2015,VLOOKUP($AC2015,MgMad,2,0))),"")</f>
        <v/>
      </c>
      <c r="AE2015" s="28">
        <f>IFERROR(LOOKUP(AD2015,{0;0.01;0.1;1;10;100},{"Muy baja";"Muy baja";"Baja";"Media";"Alta";"Muy alta"}),"")</f>
        <v/>
      </c>
      <c r="AF2015" s="30">
        <f>T2015*AD2015</f>
        <v/>
      </c>
      <c r="AG2015" s="28">
        <f>IFERROR(LOOKUP(AF2015,{0;0.5;5;25},{"Bajo";"Medio";"Alto";"Crítico"}),"")</f>
        <v/>
      </c>
      <c r="AH2015" s="28">
        <f>IF(AG2015="","",IF(OR(AG2015="Crítico",AG2015="Alto"),"Mitigar",IF(AG2015="Medio","Mitigar","Aceptar y monitorear")))</f>
        <v/>
      </c>
      <c r="AI2015" s="21" t="n"/>
      <c r="AJ2015" s="21" t="n"/>
      <c r="AK2015" s="20" t="n"/>
      <c r="AL2015" s="77">
        <f>IFERROR(INDEX(MgAmenEfic,MATCH(SUBSTITUTE($H2015,"*","-"),MgAmenClave,0)),0)</f>
        <v/>
      </c>
    </row>
    <row r="2016" hidden="1" ht="45" customHeight="1" s="54">
      <c r="B2016" s="59" t="inlineStr">
        <is>
          <t>R-2011</t>
        </is>
      </c>
      <c r="C2016" s="59" t="inlineStr">
        <is>
          <t>TEC-011</t>
        </is>
      </c>
      <c r="D2016" s="64">
        <f>IFERROR(INDEX(MgNombre,MATCH($C2016,MgActId,0)),"")</f>
        <v/>
      </c>
      <c r="E2016" s="64">
        <f>IFERROR(INDEX(MgProceso,MATCH($C2016,MgActId,0)),"")</f>
        <v/>
      </c>
      <c r="F2016" s="64">
        <f>IFERROR(INDEX(MgTipo,MATCH($C2016,MgActId,0)),"")</f>
        <v/>
      </c>
      <c r="G2016" s="64">
        <f>IFERROR(INDEX(MgSubtipo,MATCH($C2016,MgActId,0)),"")</f>
        <v/>
      </c>
      <c r="H2016" s="59" t="inlineStr">
        <is>
          <t>A.10</t>
        </is>
      </c>
      <c r="I2016" s="64">
        <f>IFERROR(INDEX(MgAmenNombre,MATCH(SUBSTITUTE($H2016,"*","-"),MgAmenClave,0)),"")</f>
        <v/>
      </c>
      <c r="J2016" s="28">
        <f>IFERROR(INDEX(MgAmenGrupo,MATCH(SUBSTITUTE($H2016,"*","-"),MgAmenClave,0)),"")</f>
        <v/>
      </c>
      <c r="K2016" s="64">
        <f>IFERROR(INDEX('1. Matriz de Activos'!$Q$6:$Q$239,MATCH($C2016,MgActId,0)),"")</f>
        <v/>
      </c>
      <c r="L2016" s="64">
        <f>IFERROR(INDEX('1. Matriz de Activos'!$R$6:$R$239,MATCH($C2016,MgActId,0)),"")</f>
        <v/>
      </c>
      <c r="M2016" s="64">
        <f>IFERROR(INDEX('1. Matriz de Activos'!$S$6:$S$239,MATCH($C2016,MgActId,0)),"")</f>
        <v/>
      </c>
      <c r="N2016" s="28">
        <f>IFERROR(INDEX(MgAmenDegD,MATCH(SUBSTITUTE($H2016,"*","-"),MgAmenClave,0)),"No aplica")</f>
        <v/>
      </c>
      <c r="O2016" s="28">
        <f>IFERROR(INDEX(MgAmenDegI,MATCH(SUBSTITUTE($H2016,"*","-"),MgAmenClave,0)),"No aplica")</f>
        <v/>
      </c>
      <c r="P2016" s="28">
        <f>IFERROR(INDEX(MgAmenDegC,MATCH(SUBSTITUTE($H2016,"*","-"),MgAmenClave,0)),"No aplica")</f>
        <v/>
      </c>
      <c r="Q2016" s="29">
        <f>IFERROR(VLOOKUP(K2016,MgValor,2,0)*VLOOKUP(N2016,MgDeg,2,0),0)</f>
        <v/>
      </c>
      <c r="R2016" s="29">
        <f>IFERROR(VLOOKUP(L2016,MgValor,2,0)*VLOOKUP(O2016,MgDeg,2,0),0)</f>
        <v/>
      </c>
      <c r="S2016" s="29">
        <f>IFERROR(VLOOKUP(M2016,MgValor,2,0)*VLOOKUP(P2016,MgDeg,2,0),0)</f>
        <v/>
      </c>
      <c r="T2016" s="30">
        <f>MAX(Q2016:S2016)</f>
        <v/>
      </c>
      <c r="U2016" s="28">
        <f>IFERROR(LOOKUP(T2016,{0;0.5;1.5;3;4.5},{"Despreciable";"Bajo";"Medio";"Alto";"Muy alto"}),"")</f>
        <v/>
      </c>
      <c r="V2016" s="13">
        <f>IFERROR(INDEX(MgAmenFrec,MATCH(SUBSTITUTE($H2016,"*","-"),MgAmenClave,0)),"")</f>
        <v/>
      </c>
      <c r="W2016" s="28">
        <f>IFERROR(LOOKUP(X2016,{0;0.01;0.1;1;10;100},{"Muy baja";"Muy baja";"Baja";"Media";"Alta";"Muy alta"}),"")</f>
        <v/>
      </c>
      <c r="X2016" s="31">
        <f>IFERROR(VLOOKUP(V2016,MgFrec,2,0),0)</f>
        <v/>
      </c>
      <c r="Y2016" s="30">
        <f>T2016*X2016</f>
        <v/>
      </c>
      <c r="Z2016" s="28">
        <f>IFERROR(LOOKUP(Y2016,{0;0.5;5;25},{"Bajo";"Medio";"Alto";"Crítico"}),"")</f>
        <v/>
      </c>
      <c r="AA2016" s="64">
        <f>IF(T2016&gt;=3,IF(X2016&gt;=1,"Zona 1 — Crítica: impacto alto y ocurre al menos una vez al año","Zona 4 — Catastrófica poco probable: impacto alto pero excepcional"),IF(AND(T2016&lt;1.5,X2016&lt;1),"Zona 3 — Asumible: impacto bajo y muy poco frecuente","Zona 2 — Atención: riesgo intermedio"))</f>
        <v/>
      </c>
      <c r="AB2016" s="64">
        <f>IFERROR(INDEX(MgAmenCtrl,MATCH(SUBSTITUTE($H2016,"*","-"),MgAmenClave,0)),"")</f>
        <v/>
      </c>
      <c r="AC2016" s="20" t="n"/>
      <c r="AD2016" s="31">
        <f>IFERROR($X2016*(1-IF($AC2016="",$AL2016,VLOOKUP($AC2016,MgMad,2,0))),"")</f>
        <v/>
      </c>
      <c r="AE2016" s="28">
        <f>IFERROR(LOOKUP(AD2016,{0;0.01;0.1;1;10;100},{"Muy baja";"Muy baja";"Baja";"Media";"Alta";"Muy alta"}),"")</f>
        <v/>
      </c>
      <c r="AF2016" s="30">
        <f>T2016*AD2016</f>
        <v/>
      </c>
      <c r="AG2016" s="28">
        <f>IFERROR(LOOKUP(AF2016,{0;0.5;5;25},{"Bajo";"Medio";"Alto";"Crítico"}),"")</f>
        <v/>
      </c>
      <c r="AH2016" s="28">
        <f>IF(AG2016="","",IF(OR(AG2016="Crítico",AG2016="Alto"),"Mitigar",IF(AG2016="Medio","Mitigar","Aceptar y monitorear")))</f>
        <v/>
      </c>
      <c r="AI2016" s="21" t="n"/>
      <c r="AJ2016" s="21" t="n"/>
      <c r="AK2016" s="20" t="n"/>
      <c r="AL2016" s="77">
        <f>IFERROR(INDEX(MgAmenEfic,MATCH(SUBSTITUTE($H2016,"*","-"),MgAmenClave,0)),0)</f>
        <v/>
      </c>
    </row>
    <row r="2017" hidden="1" ht="120" customHeight="1" s="54">
      <c r="B2017" s="59" t="inlineStr">
        <is>
          <t>R-2012</t>
        </is>
      </c>
      <c r="C2017" s="59" t="inlineStr">
        <is>
          <t>TEC-011</t>
        </is>
      </c>
      <c r="D2017" s="64">
        <f>IFERROR(INDEX(MgNombre,MATCH($C2017,MgActId,0)),"")</f>
        <v/>
      </c>
      <c r="E2017" s="64">
        <f>IFERROR(INDEX(MgProceso,MATCH($C2017,MgActId,0)),"")</f>
        <v/>
      </c>
      <c r="F2017" s="64">
        <f>IFERROR(INDEX(MgTipo,MATCH($C2017,MgActId,0)),"")</f>
        <v/>
      </c>
      <c r="G2017" s="64">
        <f>IFERROR(INDEX(MgSubtipo,MATCH($C2017,MgActId,0)),"")</f>
        <v/>
      </c>
      <c r="H2017" s="59" t="inlineStr">
        <is>
          <t>A.11</t>
        </is>
      </c>
      <c r="I2017" s="64">
        <f>IFERROR(INDEX(MgAmenNombre,MATCH(SUBSTITUTE($H2017,"*","-"),MgAmenClave,0)),"")</f>
        <v/>
      </c>
      <c r="J2017" s="28">
        <f>IFERROR(INDEX(MgAmenGrupo,MATCH(SUBSTITUTE($H2017,"*","-"),MgAmenClave,0)),"")</f>
        <v/>
      </c>
      <c r="K2017" s="64">
        <f>IFERROR(INDEX('1. Matriz de Activos'!$Q$6:$Q$239,MATCH($C2017,MgActId,0)),"")</f>
        <v/>
      </c>
      <c r="L2017" s="64">
        <f>IFERROR(INDEX('1. Matriz de Activos'!$R$6:$R$239,MATCH($C2017,MgActId,0)),"")</f>
        <v/>
      </c>
      <c r="M2017" s="64">
        <f>IFERROR(INDEX('1. Matriz de Activos'!$S$6:$S$239,MATCH($C2017,MgActId,0)),"")</f>
        <v/>
      </c>
      <c r="N2017" s="28">
        <f>IFERROR(INDEX(MgAmenDegD,MATCH(SUBSTITUTE($H2017,"*","-"),MgAmenClave,0)),"No aplica")</f>
        <v/>
      </c>
      <c r="O2017" s="28">
        <f>IFERROR(INDEX(MgAmenDegI,MATCH(SUBSTITUTE($H2017,"*","-"),MgAmenClave,0)),"No aplica")</f>
        <v/>
      </c>
      <c r="P2017" s="28">
        <f>IFERROR(INDEX(MgAmenDegC,MATCH(SUBSTITUTE($H2017,"*","-"),MgAmenClave,0)),"No aplica")</f>
        <v/>
      </c>
      <c r="Q2017" s="29">
        <f>IFERROR(VLOOKUP(K2017,MgValor,2,0)*VLOOKUP(N2017,MgDeg,2,0),0)</f>
        <v/>
      </c>
      <c r="R2017" s="29">
        <f>IFERROR(VLOOKUP(L2017,MgValor,2,0)*VLOOKUP(O2017,MgDeg,2,0),0)</f>
        <v/>
      </c>
      <c r="S2017" s="29">
        <f>IFERROR(VLOOKUP(M2017,MgValor,2,0)*VLOOKUP(P2017,MgDeg,2,0),0)</f>
        <v/>
      </c>
      <c r="T2017" s="30">
        <f>MAX(Q2017:S2017)</f>
        <v/>
      </c>
      <c r="U2017" s="28">
        <f>IFERROR(LOOKUP(T2017,{0;0.5;1.5;3;4.5},{"Despreciable";"Bajo";"Medio";"Alto";"Muy alto"}),"")</f>
        <v/>
      </c>
      <c r="V2017" s="13">
        <f>IFERROR(INDEX(MgAmenFrec,MATCH(SUBSTITUTE($H2017,"*","-"),MgAmenClave,0)),"")</f>
        <v/>
      </c>
      <c r="W2017" s="28">
        <f>IFERROR(LOOKUP(X2017,{0;0.01;0.1;1;10;100},{"Muy baja";"Muy baja";"Baja";"Media";"Alta";"Muy alta"}),"")</f>
        <v/>
      </c>
      <c r="X2017" s="31">
        <f>IFERROR(VLOOKUP(V2017,MgFrec,2,0),0)</f>
        <v/>
      </c>
      <c r="Y2017" s="30">
        <f>T2017*X2017</f>
        <v/>
      </c>
      <c r="Z2017" s="28">
        <f>IFERROR(LOOKUP(Y2017,{0;0.5;5;25},{"Bajo";"Medio";"Alto";"Crítico"}),"")</f>
        <v/>
      </c>
      <c r="AA2017" s="64">
        <f>IF(T2017&gt;=3,IF(X2017&gt;=1,"Zona 1 — Crítica: impacto alto y ocurre al menos una vez al año","Zona 4 — Catastrófica poco probable: impacto alto pero excepcional"),IF(AND(T2017&lt;1.5,X2017&lt;1),"Zona 3 — Asumible: impacto bajo y muy poco frecuente","Zona 2 — Atención: riesgo intermedio"))</f>
        <v/>
      </c>
      <c r="AB2017" s="64">
        <f>IFERROR(INDEX(MgAmenCtrl,MATCH(SUBSTITUTE($H2017,"*","-"),MgAmenClave,0)),"")</f>
        <v/>
      </c>
      <c r="AC2017" s="20" t="n"/>
      <c r="AD2017" s="31">
        <f>IFERROR($X2017*(1-IF($AC2017="",$AL2017,VLOOKUP($AC2017,MgMad,2,0))),"")</f>
        <v/>
      </c>
      <c r="AE2017" s="28">
        <f>IFERROR(LOOKUP(AD2017,{0;0.01;0.1;1;10;100},{"Muy baja";"Muy baja";"Baja";"Media";"Alta";"Muy alta"}),"")</f>
        <v/>
      </c>
      <c r="AF2017" s="30">
        <f>T2017*AD2017</f>
        <v/>
      </c>
      <c r="AG2017" s="28">
        <f>IFERROR(LOOKUP(AF2017,{0;0.5;5;25},{"Bajo";"Medio";"Alto";"Crítico"}),"")</f>
        <v/>
      </c>
      <c r="AH2017" s="28">
        <f>IF(AG2017="","",IF(OR(AG2017="Crítico",AG2017="Alto"),"Mitigar",IF(AG2017="Medio","Mitigar","Aceptar y monitorear")))</f>
        <v/>
      </c>
      <c r="AI2017" s="21" t="n"/>
      <c r="AJ2017" s="21" t="n"/>
      <c r="AK2017" s="20" t="n"/>
      <c r="AL2017" s="77">
        <f>IFERROR(INDEX(MgAmenEfic,MATCH(SUBSTITUTE($H2017,"*","-"),MgAmenClave,0)),0)</f>
        <v/>
      </c>
    </row>
    <row r="2018" hidden="1" ht="60" customHeight="1" s="54">
      <c r="B2018" s="59" t="inlineStr">
        <is>
          <t>R-2013</t>
        </is>
      </c>
      <c r="C2018" s="59" t="inlineStr">
        <is>
          <t>TEC-011</t>
        </is>
      </c>
      <c r="D2018" s="64">
        <f>IFERROR(INDEX(MgNombre,MATCH($C2018,MgActId,0)),"")</f>
        <v/>
      </c>
      <c r="E2018" s="64">
        <f>IFERROR(INDEX(MgProceso,MATCH($C2018,MgActId,0)),"")</f>
        <v/>
      </c>
      <c r="F2018" s="64">
        <f>IFERROR(INDEX(MgTipo,MATCH($C2018,MgActId,0)),"")</f>
        <v/>
      </c>
      <c r="G2018" s="64">
        <f>IFERROR(INDEX(MgSubtipo,MATCH($C2018,MgActId,0)),"")</f>
        <v/>
      </c>
      <c r="H2018" s="59" t="inlineStr">
        <is>
          <t>A.15</t>
        </is>
      </c>
      <c r="I2018" s="64">
        <f>IFERROR(INDEX(MgAmenNombre,MATCH(SUBSTITUTE($H2018,"*","-"),MgAmenClave,0)),"")</f>
        <v/>
      </c>
      <c r="J2018" s="28">
        <f>IFERROR(INDEX(MgAmenGrupo,MATCH(SUBSTITUTE($H2018,"*","-"),MgAmenClave,0)),"")</f>
        <v/>
      </c>
      <c r="K2018" s="64">
        <f>IFERROR(INDEX('1. Matriz de Activos'!$Q$6:$Q$239,MATCH($C2018,MgActId,0)),"")</f>
        <v/>
      </c>
      <c r="L2018" s="64">
        <f>IFERROR(INDEX('1. Matriz de Activos'!$R$6:$R$239,MATCH($C2018,MgActId,0)),"")</f>
        <v/>
      </c>
      <c r="M2018" s="64">
        <f>IFERROR(INDEX('1. Matriz de Activos'!$S$6:$S$239,MATCH($C2018,MgActId,0)),"")</f>
        <v/>
      </c>
      <c r="N2018" s="28">
        <f>IFERROR(INDEX(MgAmenDegD,MATCH(SUBSTITUTE($H2018,"*","-"),MgAmenClave,0)),"No aplica")</f>
        <v/>
      </c>
      <c r="O2018" s="28">
        <f>IFERROR(INDEX(MgAmenDegI,MATCH(SUBSTITUTE($H2018,"*","-"),MgAmenClave,0)),"No aplica")</f>
        <v/>
      </c>
      <c r="P2018" s="28">
        <f>IFERROR(INDEX(MgAmenDegC,MATCH(SUBSTITUTE($H2018,"*","-"),MgAmenClave,0)),"No aplica")</f>
        <v/>
      </c>
      <c r="Q2018" s="29">
        <f>IFERROR(VLOOKUP(K2018,MgValor,2,0)*VLOOKUP(N2018,MgDeg,2,0),0)</f>
        <v/>
      </c>
      <c r="R2018" s="29">
        <f>IFERROR(VLOOKUP(L2018,MgValor,2,0)*VLOOKUP(O2018,MgDeg,2,0),0)</f>
        <v/>
      </c>
      <c r="S2018" s="29">
        <f>IFERROR(VLOOKUP(M2018,MgValor,2,0)*VLOOKUP(P2018,MgDeg,2,0),0)</f>
        <v/>
      </c>
      <c r="T2018" s="30">
        <f>MAX(Q2018:S2018)</f>
        <v/>
      </c>
      <c r="U2018" s="28">
        <f>IFERROR(LOOKUP(T2018,{0;0.5;1.5;3;4.5},{"Despreciable";"Bajo";"Medio";"Alto";"Muy alto"}),"")</f>
        <v/>
      </c>
      <c r="V2018" s="13">
        <f>IFERROR(INDEX(MgAmenFrec,MATCH(SUBSTITUTE($H2018,"*","-"),MgAmenClave,0)),"")</f>
        <v/>
      </c>
      <c r="W2018" s="28">
        <f>IFERROR(LOOKUP(X2018,{0;0.01;0.1;1;10;100},{"Muy baja";"Muy baja";"Baja";"Media";"Alta";"Muy alta"}),"")</f>
        <v/>
      </c>
      <c r="X2018" s="31">
        <f>IFERROR(VLOOKUP(V2018,MgFrec,2,0),0)</f>
        <v/>
      </c>
      <c r="Y2018" s="30">
        <f>T2018*X2018</f>
        <v/>
      </c>
      <c r="Z2018" s="28">
        <f>IFERROR(LOOKUP(Y2018,{0;0.5;5;25},{"Bajo";"Medio";"Alto";"Crítico"}),"")</f>
        <v/>
      </c>
      <c r="AA2018" s="64">
        <f>IF(T2018&gt;=3,IF(X2018&gt;=1,"Zona 1 — Crítica: impacto alto y ocurre al menos una vez al año","Zona 4 — Catastrófica poco probable: impacto alto pero excepcional"),IF(AND(T2018&lt;1.5,X2018&lt;1),"Zona 3 — Asumible: impacto bajo y muy poco frecuente","Zona 2 — Atención: riesgo intermedio"))</f>
        <v/>
      </c>
      <c r="AB2018" s="64">
        <f>IFERROR(INDEX(MgAmenCtrl,MATCH(SUBSTITUTE($H2018,"*","-"),MgAmenClave,0)),"")</f>
        <v/>
      </c>
      <c r="AC2018" s="20" t="n"/>
      <c r="AD2018" s="31">
        <f>IFERROR($X2018*(1-IF($AC2018="",$AL2018,VLOOKUP($AC2018,MgMad,2,0))),"")</f>
        <v/>
      </c>
      <c r="AE2018" s="28">
        <f>IFERROR(LOOKUP(AD2018,{0;0.01;0.1;1;10;100},{"Muy baja";"Muy baja";"Baja";"Media";"Alta";"Muy alta"}),"")</f>
        <v/>
      </c>
      <c r="AF2018" s="30">
        <f>T2018*AD2018</f>
        <v/>
      </c>
      <c r="AG2018" s="28">
        <f>IFERROR(LOOKUP(AF2018,{0;0.5;5;25},{"Bajo";"Medio";"Alto";"Crítico"}),"")</f>
        <v/>
      </c>
      <c r="AH2018" s="28">
        <f>IF(AG2018="","",IF(OR(AG2018="Crítico",AG2018="Alto"),"Mitigar",IF(AG2018="Medio","Mitigar","Aceptar y monitorear")))</f>
        <v/>
      </c>
      <c r="AI2018" s="21" t="n"/>
      <c r="AJ2018" s="21" t="n"/>
      <c r="AK2018" s="20" t="n"/>
      <c r="AL2018" s="77">
        <f>IFERROR(INDEX(MgAmenEfic,MATCH(SUBSTITUTE($H2018,"*","-"),MgAmenClave,0)),0)</f>
        <v/>
      </c>
    </row>
    <row r="2019" hidden="1" ht="60" customHeight="1" s="54">
      <c r="B2019" s="59" t="inlineStr">
        <is>
          <t>R-2014</t>
        </is>
      </c>
      <c r="C2019" s="59" t="inlineStr">
        <is>
          <t>TEC-011</t>
        </is>
      </c>
      <c r="D2019" s="64">
        <f>IFERROR(INDEX(MgNombre,MATCH($C2019,MgActId,0)),"")</f>
        <v/>
      </c>
      <c r="E2019" s="64">
        <f>IFERROR(INDEX(MgProceso,MATCH($C2019,MgActId,0)),"")</f>
        <v/>
      </c>
      <c r="F2019" s="64">
        <f>IFERROR(INDEX(MgTipo,MATCH($C2019,MgActId,0)),"")</f>
        <v/>
      </c>
      <c r="G2019" s="64">
        <f>IFERROR(INDEX(MgSubtipo,MATCH($C2019,MgActId,0)),"")</f>
        <v/>
      </c>
      <c r="H2019" s="59" t="inlineStr">
        <is>
          <t>A.18</t>
        </is>
      </c>
      <c r="I2019" s="64">
        <f>IFERROR(INDEX(MgAmenNombre,MATCH(SUBSTITUTE($H2019,"*","-"),MgAmenClave,0)),"")</f>
        <v/>
      </c>
      <c r="J2019" s="28">
        <f>IFERROR(INDEX(MgAmenGrupo,MATCH(SUBSTITUTE($H2019,"*","-"),MgAmenClave,0)),"")</f>
        <v/>
      </c>
      <c r="K2019" s="64">
        <f>IFERROR(INDEX('1. Matriz de Activos'!$Q$6:$Q$239,MATCH($C2019,MgActId,0)),"")</f>
        <v/>
      </c>
      <c r="L2019" s="64">
        <f>IFERROR(INDEX('1. Matriz de Activos'!$R$6:$R$239,MATCH($C2019,MgActId,0)),"")</f>
        <v/>
      </c>
      <c r="M2019" s="64">
        <f>IFERROR(INDEX('1. Matriz de Activos'!$S$6:$S$239,MATCH($C2019,MgActId,0)),"")</f>
        <v/>
      </c>
      <c r="N2019" s="28">
        <f>IFERROR(INDEX(MgAmenDegD,MATCH(SUBSTITUTE($H2019,"*","-"),MgAmenClave,0)),"No aplica")</f>
        <v/>
      </c>
      <c r="O2019" s="28">
        <f>IFERROR(INDEX(MgAmenDegI,MATCH(SUBSTITUTE($H2019,"*","-"),MgAmenClave,0)),"No aplica")</f>
        <v/>
      </c>
      <c r="P2019" s="28">
        <f>IFERROR(INDEX(MgAmenDegC,MATCH(SUBSTITUTE($H2019,"*","-"),MgAmenClave,0)),"No aplica")</f>
        <v/>
      </c>
      <c r="Q2019" s="29">
        <f>IFERROR(VLOOKUP(K2019,MgValor,2,0)*VLOOKUP(N2019,MgDeg,2,0),0)</f>
        <v/>
      </c>
      <c r="R2019" s="29">
        <f>IFERROR(VLOOKUP(L2019,MgValor,2,0)*VLOOKUP(O2019,MgDeg,2,0),0)</f>
        <v/>
      </c>
      <c r="S2019" s="29">
        <f>IFERROR(VLOOKUP(M2019,MgValor,2,0)*VLOOKUP(P2019,MgDeg,2,0),0)</f>
        <v/>
      </c>
      <c r="T2019" s="30">
        <f>MAX(Q2019:S2019)</f>
        <v/>
      </c>
      <c r="U2019" s="28">
        <f>IFERROR(LOOKUP(T2019,{0;0.5;1.5;3;4.5},{"Despreciable";"Bajo";"Medio";"Alto";"Muy alto"}),"")</f>
        <v/>
      </c>
      <c r="V2019" s="13">
        <f>IFERROR(INDEX(MgAmenFrec,MATCH(SUBSTITUTE($H2019,"*","-"),MgAmenClave,0)),"")</f>
        <v/>
      </c>
      <c r="W2019" s="28">
        <f>IFERROR(LOOKUP(X2019,{0;0.01;0.1;1;10;100},{"Muy baja";"Muy baja";"Baja";"Media";"Alta";"Muy alta"}),"")</f>
        <v/>
      </c>
      <c r="X2019" s="31">
        <f>IFERROR(VLOOKUP(V2019,MgFrec,2,0),0)</f>
        <v/>
      </c>
      <c r="Y2019" s="30">
        <f>T2019*X2019</f>
        <v/>
      </c>
      <c r="Z2019" s="28">
        <f>IFERROR(LOOKUP(Y2019,{0;0.5;5;25},{"Bajo";"Medio";"Alto";"Crítico"}),"")</f>
        <v/>
      </c>
      <c r="AA2019" s="64">
        <f>IF(T2019&gt;=3,IF(X2019&gt;=1,"Zona 1 — Crítica: impacto alto y ocurre al menos una vez al año","Zona 4 — Catastrófica poco probable: impacto alto pero excepcional"),IF(AND(T2019&lt;1.5,X2019&lt;1),"Zona 3 — Asumible: impacto bajo y muy poco frecuente","Zona 2 — Atención: riesgo intermedio"))</f>
        <v/>
      </c>
      <c r="AB2019" s="64">
        <f>IFERROR(INDEX(MgAmenCtrl,MATCH(SUBSTITUTE($H2019,"*","-"),MgAmenClave,0)),"")</f>
        <v/>
      </c>
      <c r="AC2019" s="20" t="n"/>
      <c r="AD2019" s="31">
        <f>IFERROR($X2019*(1-IF($AC2019="",$AL2019,VLOOKUP($AC2019,MgMad,2,0))),"")</f>
        <v/>
      </c>
      <c r="AE2019" s="28">
        <f>IFERROR(LOOKUP(AD2019,{0;0.01;0.1;1;10;100},{"Muy baja";"Muy baja";"Baja";"Media";"Alta";"Muy alta"}),"")</f>
        <v/>
      </c>
      <c r="AF2019" s="30">
        <f>T2019*AD2019</f>
        <v/>
      </c>
      <c r="AG2019" s="28">
        <f>IFERROR(LOOKUP(AF2019,{0;0.5;5;25},{"Bajo";"Medio";"Alto";"Crítico"}),"")</f>
        <v/>
      </c>
      <c r="AH2019" s="28">
        <f>IF(AG2019="","",IF(OR(AG2019="Crítico",AG2019="Alto"),"Mitigar",IF(AG2019="Medio","Mitigar","Aceptar y monitorear")))</f>
        <v/>
      </c>
      <c r="AI2019" s="21" t="n"/>
      <c r="AJ2019" s="21" t="n"/>
      <c r="AK2019" s="20" t="n"/>
      <c r="AL2019" s="77">
        <f>IFERROR(INDEX(MgAmenEfic,MATCH(SUBSTITUTE($H2019,"*","-"),MgAmenClave,0)),0)</f>
        <v/>
      </c>
    </row>
    <row r="2020" hidden="1" ht="120" customHeight="1" s="54">
      <c r="B2020" s="59" t="inlineStr">
        <is>
          <t>R-2015</t>
        </is>
      </c>
      <c r="C2020" s="59" t="inlineStr">
        <is>
          <t>TEC-011</t>
        </is>
      </c>
      <c r="D2020" s="64">
        <f>IFERROR(INDEX(MgNombre,MATCH($C2020,MgActId,0)),"")</f>
        <v/>
      </c>
      <c r="E2020" s="64">
        <f>IFERROR(INDEX(MgProceso,MATCH($C2020,MgActId,0)),"")</f>
        <v/>
      </c>
      <c r="F2020" s="64">
        <f>IFERROR(INDEX(MgTipo,MATCH($C2020,MgActId,0)),"")</f>
        <v/>
      </c>
      <c r="G2020" s="64">
        <f>IFERROR(INDEX(MgSubtipo,MATCH($C2020,MgActId,0)),"")</f>
        <v/>
      </c>
      <c r="H2020" s="59" t="inlineStr">
        <is>
          <t>A.19</t>
        </is>
      </c>
      <c r="I2020" s="64">
        <f>IFERROR(INDEX(MgAmenNombre,MATCH(SUBSTITUTE($H2020,"*","-"),MgAmenClave,0)),"")</f>
        <v/>
      </c>
      <c r="J2020" s="28">
        <f>IFERROR(INDEX(MgAmenGrupo,MATCH(SUBSTITUTE($H2020,"*","-"),MgAmenClave,0)),"")</f>
        <v/>
      </c>
      <c r="K2020" s="64">
        <f>IFERROR(INDEX('1. Matriz de Activos'!$Q$6:$Q$239,MATCH($C2020,MgActId,0)),"")</f>
        <v/>
      </c>
      <c r="L2020" s="64">
        <f>IFERROR(INDEX('1. Matriz de Activos'!$R$6:$R$239,MATCH($C2020,MgActId,0)),"")</f>
        <v/>
      </c>
      <c r="M2020" s="64">
        <f>IFERROR(INDEX('1. Matriz de Activos'!$S$6:$S$239,MATCH($C2020,MgActId,0)),"")</f>
        <v/>
      </c>
      <c r="N2020" s="28">
        <f>IFERROR(INDEX(MgAmenDegD,MATCH(SUBSTITUTE($H2020,"*","-"),MgAmenClave,0)),"No aplica")</f>
        <v/>
      </c>
      <c r="O2020" s="28">
        <f>IFERROR(INDEX(MgAmenDegI,MATCH(SUBSTITUTE($H2020,"*","-"),MgAmenClave,0)),"No aplica")</f>
        <v/>
      </c>
      <c r="P2020" s="28">
        <f>IFERROR(INDEX(MgAmenDegC,MATCH(SUBSTITUTE($H2020,"*","-"),MgAmenClave,0)),"No aplica")</f>
        <v/>
      </c>
      <c r="Q2020" s="29">
        <f>IFERROR(VLOOKUP(K2020,MgValor,2,0)*VLOOKUP(N2020,MgDeg,2,0),0)</f>
        <v/>
      </c>
      <c r="R2020" s="29">
        <f>IFERROR(VLOOKUP(L2020,MgValor,2,0)*VLOOKUP(O2020,MgDeg,2,0),0)</f>
        <v/>
      </c>
      <c r="S2020" s="29">
        <f>IFERROR(VLOOKUP(M2020,MgValor,2,0)*VLOOKUP(P2020,MgDeg,2,0),0)</f>
        <v/>
      </c>
      <c r="T2020" s="30">
        <f>MAX(Q2020:S2020)</f>
        <v/>
      </c>
      <c r="U2020" s="28">
        <f>IFERROR(LOOKUP(T2020,{0;0.5;1.5;3;4.5},{"Despreciable";"Bajo";"Medio";"Alto";"Muy alto"}),"")</f>
        <v/>
      </c>
      <c r="V2020" s="13">
        <f>IFERROR(INDEX(MgAmenFrec,MATCH(SUBSTITUTE($H2020,"*","-"),MgAmenClave,0)),"")</f>
        <v/>
      </c>
      <c r="W2020" s="28">
        <f>IFERROR(LOOKUP(X2020,{0;0.01;0.1;1;10;100},{"Muy baja";"Muy baja";"Baja";"Media";"Alta";"Muy alta"}),"")</f>
        <v/>
      </c>
      <c r="X2020" s="31">
        <f>IFERROR(VLOOKUP(V2020,MgFrec,2,0),0)</f>
        <v/>
      </c>
      <c r="Y2020" s="30">
        <f>T2020*X2020</f>
        <v/>
      </c>
      <c r="Z2020" s="28">
        <f>IFERROR(LOOKUP(Y2020,{0;0.5;5;25},{"Bajo";"Medio";"Alto";"Crítico"}),"")</f>
        <v/>
      </c>
      <c r="AA2020" s="64">
        <f>IF(T2020&gt;=3,IF(X2020&gt;=1,"Zona 1 — Crítica: impacto alto y ocurre al menos una vez al año","Zona 4 — Catastrófica poco probable: impacto alto pero excepcional"),IF(AND(T2020&lt;1.5,X2020&lt;1),"Zona 3 — Asumible: impacto bajo y muy poco frecuente","Zona 2 — Atención: riesgo intermedio"))</f>
        <v/>
      </c>
      <c r="AB2020" s="64">
        <f>IFERROR(INDEX(MgAmenCtrl,MATCH(SUBSTITUTE($H2020,"*","-"),MgAmenClave,0)),"")</f>
        <v/>
      </c>
      <c r="AC2020" s="20" t="n"/>
      <c r="AD2020" s="31">
        <f>IFERROR($X2020*(1-IF($AC2020="",$AL2020,VLOOKUP($AC2020,MgMad,2,0))),"")</f>
        <v/>
      </c>
      <c r="AE2020" s="28">
        <f>IFERROR(LOOKUP(AD2020,{0;0.01;0.1;1;10;100},{"Muy baja";"Muy baja";"Baja";"Media";"Alta";"Muy alta"}),"")</f>
        <v/>
      </c>
      <c r="AF2020" s="30">
        <f>T2020*AD2020</f>
        <v/>
      </c>
      <c r="AG2020" s="28">
        <f>IFERROR(LOOKUP(AF2020,{0;0.5;5;25},{"Bajo";"Medio";"Alto";"Crítico"}),"")</f>
        <v/>
      </c>
      <c r="AH2020" s="28">
        <f>IF(AG2020="","",IF(OR(AG2020="Crítico",AG2020="Alto"),"Mitigar",IF(AG2020="Medio","Mitigar","Aceptar y monitorear")))</f>
        <v/>
      </c>
      <c r="AI2020" s="21" t="n"/>
      <c r="AJ2020" s="21" t="n"/>
      <c r="AK2020" s="20" t="n"/>
      <c r="AL2020" s="77">
        <f>IFERROR(INDEX(MgAmenEfic,MATCH(SUBSTITUTE($H2020,"*","-"),MgAmenClave,0)),0)</f>
        <v/>
      </c>
    </row>
    <row r="2021" hidden="1" ht="135" customHeight="1" s="54">
      <c r="B2021" s="59" t="inlineStr">
        <is>
          <t>R-2016</t>
        </is>
      </c>
      <c r="C2021" s="59" t="inlineStr">
        <is>
          <t>TEC-011</t>
        </is>
      </c>
      <c r="D2021" s="64">
        <f>IFERROR(INDEX(MgNombre,MATCH($C2021,MgActId,0)),"")</f>
        <v/>
      </c>
      <c r="E2021" s="64">
        <f>IFERROR(INDEX(MgProceso,MATCH($C2021,MgActId,0)),"")</f>
        <v/>
      </c>
      <c r="F2021" s="64">
        <f>IFERROR(INDEX(MgTipo,MATCH($C2021,MgActId,0)),"")</f>
        <v/>
      </c>
      <c r="G2021" s="64">
        <f>IFERROR(INDEX(MgSubtipo,MATCH($C2021,MgActId,0)),"")</f>
        <v/>
      </c>
      <c r="H2021" s="59" t="inlineStr">
        <is>
          <t>A.22</t>
        </is>
      </c>
      <c r="I2021" s="64">
        <f>IFERROR(INDEX(MgAmenNombre,MATCH(SUBSTITUTE($H2021,"*","-"),MgAmenClave,0)),"")</f>
        <v/>
      </c>
      <c r="J2021" s="28">
        <f>IFERROR(INDEX(MgAmenGrupo,MATCH(SUBSTITUTE($H2021,"*","-"),MgAmenClave,0)),"")</f>
        <v/>
      </c>
      <c r="K2021" s="64">
        <f>IFERROR(INDEX('1. Matriz de Activos'!$Q$6:$Q$239,MATCH($C2021,MgActId,0)),"")</f>
        <v/>
      </c>
      <c r="L2021" s="64">
        <f>IFERROR(INDEX('1. Matriz de Activos'!$R$6:$R$239,MATCH($C2021,MgActId,0)),"")</f>
        <v/>
      </c>
      <c r="M2021" s="64">
        <f>IFERROR(INDEX('1. Matriz de Activos'!$S$6:$S$239,MATCH($C2021,MgActId,0)),"")</f>
        <v/>
      </c>
      <c r="N2021" s="28">
        <f>IFERROR(INDEX(MgAmenDegD,MATCH(SUBSTITUTE($H2021,"*","-"),MgAmenClave,0)),"No aplica")</f>
        <v/>
      </c>
      <c r="O2021" s="28">
        <f>IFERROR(INDEX(MgAmenDegI,MATCH(SUBSTITUTE($H2021,"*","-"),MgAmenClave,0)),"No aplica")</f>
        <v/>
      </c>
      <c r="P2021" s="28">
        <f>IFERROR(INDEX(MgAmenDegC,MATCH(SUBSTITUTE($H2021,"*","-"),MgAmenClave,0)),"No aplica")</f>
        <v/>
      </c>
      <c r="Q2021" s="29">
        <f>IFERROR(VLOOKUP(K2021,MgValor,2,0)*VLOOKUP(N2021,MgDeg,2,0),0)</f>
        <v/>
      </c>
      <c r="R2021" s="29">
        <f>IFERROR(VLOOKUP(L2021,MgValor,2,0)*VLOOKUP(O2021,MgDeg,2,0),0)</f>
        <v/>
      </c>
      <c r="S2021" s="29">
        <f>IFERROR(VLOOKUP(M2021,MgValor,2,0)*VLOOKUP(P2021,MgDeg,2,0),0)</f>
        <v/>
      </c>
      <c r="T2021" s="30">
        <f>MAX(Q2021:S2021)</f>
        <v/>
      </c>
      <c r="U2021" s="28">
        <f>IFERROR(LOOKUP(T2021,{0;0.5;1.5;3;4.5},{"Despreciable";"Bajo";"Medio";"Alto";"Muy alto"}),"")</f>
        <v/>
      </c>
      <c r="V2021" s="13">
        <f>IFERROR(INDEX(MgAmenFrec,MATCH(SUBSTITUTE($H2021,"*","-"),MgAmenClave,0)),"")</f>
        <v/>
      </c>
      <c r="W2021" s="28">
        <f>IFERROR(LOOKUP(X2021,{0;0.01;0.1;1;10;100},{"Muy baja";"Muy baja";"Baja";"Media";"Alta";"Muy alta"}),"")</f>
        <v/>
      </c>
      <c r="X2021" s="31">
        <f>IFERROR(VLOOKUP(V2021,MgFrec,2,0),0)</f>
        <v/>
      </c>
      <c r="Y2021" s="30">
        <f>T2021*X2021</f>
        <v/>
      </c>
      <c r="Z2021" s="28">
        <f>IFERROR(LOOKUP(Y2021,{0;0.5;5;25},{"Bajo";"Medio";"Alto";"Crítico"}),"")</f>
        <v/>
      </c>
      <c r="AA2021" s="64">
        <f>IF(T2021&gt;=3,IF(X2021&gt;=1,"Zona 1 — Crítica: impacto alto y ocurre al menos una vez al año","Zona 4 — Catastrófica poco probable: impacto alto pero excepcional"),IF(AND(T2021&lt;1.5,X2021&lt;1),"Zona 3 — Asumible: impacto bajo y muy poco frecuente","Zona 2 — Atención: riesgo intermedio"))</f>
        <v/>
      </c>
      <c r="AB2021" s="64">
        <f>IFERROR(INDEX(MgAmenCtrl,MATCH(SUBSTITUTE($H2021,"*","-"),MgAmenClave,0)),"")</f>
        <v/>
      </c>
      <c r="AC2021" s="20" t="n"/>
      <c r="AD2021" s="31">
        <f>IFERROR($X2021*(1-IF($AC2021="",$AL2021,VLOOKUP($AC2021,MgMad,2,0))),"")</f>
        <v/>
      </c>
      <c r="AE2021" s="28">
        <f>IFERROR(LOOKUP(AD2021,{0;0.01;0.1;1;10;100},{"Muy baja";"Muy baja";"Baja";"Media";"Alta";"Muy alta"}),"")</f>
        <v/>
      </c>
      <c r="AF2021" s="30">
        <f>T2021*AD2021</f>
        <v/>
      </c>
      <c r="AG2021" s="28">
        <f>IFERROR(LOOKUP(AF2021,{0;0.5;5;25},{"Bajo";"Medio";"Alto";"Crítico"}),"")</f>
        <v/>
      </c>
      <c r="AH2021" s="28">
        <f>IF(AG2021="","",IF(OR(AG2021="Crítico",AG2021="Alto"),"Mitigar",IF(AG2021="Medio","Mitigar","Aceptar y monitorear")))</f>
        <v/>
      </c>
      <c r="AI2021" s="21" t="n"/>
      <c r="AJ2021" s="21" t="n"/>
      <c r="AK2021" s="20" t="n"/>
      <c r="AL2021" s="77">
        <f>IFERROR(INDEX(MgAmenEfic,MATCH(SUBSTITUTE($H2021,"*","-"),MgAmenClave,0)),0)</f>
        <v/>
      </c>
    </row>
    <row r="2022" hidden="1" ht="105" customHeight="1" s="54">
      <c r="B2022" s="59" t="inlineStr">
        <is>
          <t>R-2017</t>
        </is>
      </c>
      <c r="C2022" s="59" t="inlineStr">
        <is>
          <t>MS-01</t>
        </is>
      </c>
      <c r="D2022" s="64">
        <f>IFERROR(INDEX(MgNombre,MATCH($C2022,MgActId,0)),"")</f>
        <v/>
      </c>
      <c r="E2022" s="64">
        <f>IFERROR(INDEX(MgProceso,MATCH($C2022,MgActId,0)),"")</f>
        <v/>
      </c>
      <c r="F2022" s="64">
        <f>IFERROR(INDEX(MgTipo,MATCH($C2022,MgActId,0)),"")</f>
        <v/>
      </c>
      <c r="G2022" s="64">
        <f>IFERROR(INDEX(MgSubtipo,MATCH($C2022,MgActId,0)),"")</f>
        <v/>
      </c>
      <c r="H2022" s="59" t="inlineStr">
        <is>
          <t>E.1</t>
        </is>
      </c>
      <c r="I2022" s="64">
        <f>IFERROR(INDEX(MgAmenNombre,MATCH(SUBSTITUTE($H2022,"*","-"),MgAmenClave,0)),"")</f>
        <v/>
      </c>
      <c r="J2022" s="28">
        <f>IFERROR(INDEX(MgAmenGrupo,MATCH(SUBSTITUTE($H2022,"*","-"),MgAmenClave,0)),"")</f>
        <v/>
      </c>
      <c r="K2022" s="64">
        <f>IFERROR(INDEX('1. Matriz de Activos'!$Q$6:$Q$239,MATCH($C2022,MgActId,0)),"")</f>
        <v/>
      </c>
      <c r="L2022" s="64">
        <f>IFERROR(INDEX('1. Matriz de Activos'!$R$6:$R$239,MATCH($C2022,MgActId,0)),"")</f>
        <v/>
      </c>
      <c r="M2022" s="64">
        <f>IFERROR(INDEX('1. Matriz de Activos'!$S$6:$S$239,MATCH($C2022,MgActId,0)),"")</f>
        <v/>
      </c>
      <c r="N2022" s="28">
        <f>IFERROR(INDEX(MgAmenDegD,MATCH(SUBSTITUTE($H2022,"*","-"),MgAmenClave,0)),"No aplica")</f>
        <v/>
      </c>
      <c r="O2022" s="28">
        <f>IFERROR(INDEX(MgAmenDegI,MATCH(SUBSTITUTE($H2022,"*","-"),MgAmenClave,0)),"No aplica")</f>
        <v/>
      </c>
      <c r="P2022" s="28">
        <f>IFERROR(INDEX(MgAmenDegC,MATCH(SUBSTITUTE($H2022,"*","-"),MgAmenClave,0)),"No aplica")</f>
        <v/>
      </c>
      <c r="Q2022" s="29">
        <f>IFERROR(VLOOKUP(K2022,MgValor,2,0)*VLOOKUP(N2022,MgDeg,2,0),0)</f>
        <v/>
      </c>
      <c r="R2022" s="29">
        <f>IFERROR(VLOOKUP(L2022,MgValor,2,0)*VLOOKUP(O2022,MgDeg,2,0),0)</f>
        <v/>
      </c>
      <c r="S2022" s="29">
        <f>IFERROR(VLOOKUP(M2022,MgValor,2,0)*VLOOKUP(P2022,MgDeg,2,0),0)</f>
        <v/>
      </c>
      <c r="T2022" s="30">
        <f>MAX(Q2022:S2022)</f>
        <v/>
      </c>
      <c r="U2022" s="28">
        <f>IFERROR(LOOKUP(T2022,{0;0.5;1.5;3;4.5},{"Despreciable";"Bajo";"Medio";"Alto";"Muy alto"}),"")</f>
        <v/>
      </c>
      <c r="V2022" s="13">
        <f>IFERROR(INDEX(MgAmenFrec,MATCH(SUBSTITUTE($H2022,"*","-"),MgAmenClave,0)),"")</f>
        <v/>
      </c>
      <c r="W2022" s="28">
        <f>IFERROR(LOOKUP(X2022,{0;0.01;0.1;1;10;100},{"Muy baja";"Muy baja";"Baja";"Media";"Alta";"Muy alta"}),"")</f>
        <v/>
      </c>
      <c r="X2022" s="31">
        <f>IFERROR(VLOOKUP(V2022,MgFrec,2,0),0)</f>
        <v/>
      </c>
      <c r="Y2022" s="30">
        <f>T2022*X2022</f>
        <v/>
      </c>
      <c r="Z2022" s="28">
        <f>IFERROR(LOOKUP(Y2022,{0;0.5;5;25},{"Bajo";"Medio";"Alto";"Crítico"}),"")</f>
        <v/>
      </c>
      <c r="AA2022" s="64">
        <f>IF(T2022&gt;=3,IF(X2022&gt;=1,"Zona 1 — Crítica: impacto alto y ocurre al menos una vez al año","Zona 4 — Catastrófica poco probable: impacto alto pero excepcional"),IF(AND(T2022&lt;1.5,X2022&lt;1),"Zona 3 — Asumible: impacto bajo y muy poco frecuente","Zona 2 — Atención: riesgo intermedio"))</f>
        <v/>
      </c>
      <c r="AB2022" s="64">
        <f>IFERROR(INDEX(MgAmenCtrl,MATCH(SUBSTITUTE($H2022,"*","-"),MgAmenClave,0)),"")</f>
        <v/>
      </c>
      <c r="AC2022" s="20" t="n"/>
      <c r="AD2022" s="31">
        <f>IFERROR($X2022*(1-IF($AC2022="",$AL2022,VLOOKUP($AC2022,MgMad,2,0))),"")</f>
        <v/>
      </c>
      <c r="AE2022" s="28">
        <f>IFERROR(LOOKUP(AD2022,{0;0.01;0.1;1;10;100},{"Muy baja";"Muy baja";"Baja";"Media";"Alta";"Muy alta"}),"")</f>
        <v/>
      </c>
      <c r="AF2022" s="30">
        <f>T2022*AD2022</f>
        <v/>
      </c>
      <c r="AG2022" s="28">
        <f>IFERROR(LOOKUP(AF2022,{0;0.5;5;25},{"Bajo";"Medio";"Alto";"Crítico"}),"")</f>
        <v/>
      </c>
      <c r="AH2022" s="28">
        <f>IF(AG2022="","",IF(OR(AG2022="Crítico",AG2022="Alto"),"Mitigar",IF(AG2022="Medio","Mitigar","Aceptar y monitorear")))</f>
        <v/>
      </c>
      <c r="AI2022" s="21" t="n"/>
      <c r="AJ2022" s="21" t="n"/>
      <c r="AK2022" s="20" t="n"/>
      <c r="AL2022" s="77">
        <f>IFERROR(INDEX(MgAmenEfic,MATCH(SUBSTITUTE($H2022,"*","-"),MgAmenClave,0)),0)</f>
        <v/>
      </c>
    </row>
    <row r="2023" hidden="1" ht="120" customHeight="1" s="54">
      <c r="B2023" s="59" t="inlineStr">
        <is>
          <t>R-2018</t>
        </is>
      </c>
      <c r="C2023" s="59" t="inlineStr">
        <is>
          <t>MS-01</t>
        </is>
      </c>
      <c r="D2023" s="64">
        <f>IFERROR(INDEX(MgNombre,MATCH($C2023,MgActId,0)),"")</f>
        <v/>
      </c>
      <c r="E2023" s="64">
        <f>IFERROR(INDEX(MgProceso,MATCH($C2023,MgActId,0)),"")</f>
        <v/>
      </c>
      <c r="F2023" s="64">
        <f>IFERROR(INDEX(MgTipo,MATCH($C2023,MgActId,0)),"")</f>
        <v/>
      </c>
      <c r="G2023" s="64">
        <f>IFERROR(INDEX(MgSubtipo,MATCH($C2023,MgActId,0)),"")</f>
        <v/>
      </c>
      <c r="H2023" s="59" t="inlineStr">
        <is>
          <t>E.2</t>
        </is>
      </c>
      <c r="I2023" s="64">
        <f>IFERROR(INDEX(MgAmenNombre,MATCH(SUBSTITUTE($H2023,"*","-"),MgAmenClave,0)),"")</f>
        <v/>
      </c>
      <c r="J2023" s="28">
        <f>IFERROR(INDEX(MgAmenGrupo,MATCH(SUBSTITUTE($H2023,"*","-"),MgAmenClave,0)),"")</f>
        <v/>
      </c>
      <c r="K2023" s="64">
        <f>IFERROR(INDEX('1. Matriz de Activos'!$Q$6:$Q$239,MATCH($C2023,MgActId,0)),"")</f>
        <v/>
      </c>
      <c r="L2023" s="64">
        <f>IFERROR(INDEX('1. Matriz de Activos'!$R$6:$R$239,MATCH($C2023,MgActId,0)),"")</f>
        <v/>
      </c>
      <c r="M2023" s="64">
        <f>IFERROR(INDEX('1. Matriz de Activos'!$S$6:$S$239,MATCH($C2023,MgActId,0)),"")</f>
        <v/>
      </c>
      <c r="N2023" s="28">
        <f>IFERROR(INDEX(MgAmenDegD,MATCH(SUBSTITUTE($H2023,"*","-"),MgAmenClave,0)),"No aplica")</f>
        <v/>
      </c>
      <c r="O2023" s="28">
        <f>IFERROR(INDEX(MgAmenDegI,MATCH(SUBSTITUTE($H2023,"*","-"),MgAmenClave,0)),"No aplica")</f>
        <v/>
      </c>
      <c r="P2023" s="28">
        <f>IFERROR(INDEX(MgAmenDegC,MATCH(SUBSTITUTE($H2023,"*","-"),MgAmenClave,0)),"No aplica")</f>
        <v/>
      </c>
      <c r="Q2023" s="29">
        <f>IFERROR(VLOOKUP(K2023,MgValor,2,0)*VLOOKUP(N2023,MgDeg,2,0),0)</f>
        <v/>
      </c>
      <c r="R2023" s="29">
        <f>IFERROR(VLOOKUP(L2023,MgValor,2,0)*VLOOKUP(O2023,MgDeg,2,0),0)</f>
        <v/>
      </c>
      <c r="S2023" s="29">
        <f>IFERROR(VLOOKUP(M2023,MgValor,2,0)*VLOOKUP(P2023,MgDeg,2,0),0)</f>
        <v/>
      </c>
      <c r="T2023" s="30">
        <f>MAX(Q2023:S2023)</f>
        <v/>
      </c>
      <c r="U2023" s="28">
        <f>IFERROR(LOOKUP(T2023,{0;0.5;1.5;3;4.5},{"Despreciable";"Bajo";"Medio";"Alto";"Muy alto"}),"")</f>
        <v/>
      </c>
      <c r="V2023" s="13">
        <f>IFERROR(INDEX(MgAmenFrec,MATCH(SUBSTITUTE($H2023,"*","-"),MgAmenClave,0)),"")</f>
        <v/>
      </c>
      <c r="W2023" s="28">
        <f>IFERROR(LOOKUP(X2023,{0;0.01;0.1;1;10;100},{"Muy baja";"Muy baja";"Baja";"Media";"Alta";"Muy alta"}),"")</f>
        <v/>
      </c>
      <c r="X2023" s="31">
        <f>IFERROR(VLOOKUP(V2023,MgFrec,2,0),0)</f>
        <v/>
      </c>
      <c r="Y2023" s="30">
        <f>T2023*X2023</f>
        <v/>
      </c>
      <c r="Z2023" s="28">
        <f>IFERROR(LOOKUP(Y2023,{0;0.5;5;25},{"Bajo";"Medio";"Alto";"Crítico"}),"")</f>
        <v/>
      </c>
      <c r="AA2023" s="64">
        <f>IF(T2023&gt;=3,IF(X2023&gt;=1,"Zona 1 — Crítica: impacto alto y ocurre al menos una vez al año","Zona 4 — Catastrófica poco probable: impacto alto pero excepcional"),IF(AND(T2023&lt;1.5,X2023&lt;1),"Zona 3 — Asumible: impacto bajo y muy poco frecuente","Zona 2 — Atención: riesgo intermedio"))</f>
        <v/>
      </c>
      <c r="AB2023" s="64">
        <f>IFERROR(INDEX(MgAmenCtrl,MATCH(SUBSTITUTE($H2023,"*","-"),MgAmenClave,0)),"")</f>
        <v/>
      </c>
      <c r="AC2023" s="20" t="n"/>
      <c r="AD2023" s="31">
        <f>IFERROR($X2023*(1-IF($AC2023="",$AL2023,VLOOKUP($AC2023,MgMad,2,0))),"")</f>
        <v/>
      </c>
      <c r="AE2023" s="28">
        <f>IFERROR(LOOKUP(AD2023,{0;0.01;0.1;1;10;100},{"Muy baja";"Muy baja";"Baja";"Media";"Alta";"Muy alta"}),"")</f>
        <v/>
      </c>
      <c r="AF2023" s="30">
        <f>T2023*AD2023</f>
        <v/>
      </c>
      <c r="AG2023" s="28">
        <f>IFERROR(LOOKUP(AF2023,{0;0.5;5;25},{"Bajo";"Medio";"Alto";"Crítico"}),"")</f>
        <v/>
      </c>
      <c r="AH2023" s="28">
        <f>IF(AG2023="","",IF(OR(AG2023="Crítico",AG2023="Alto"),"Mitigar",IF(AG2023="Medio","Mitigar","Aceptar y monitorear")))</f>
        <v/>
      </c>
      <c r="AI2023" s="21" t="n"/>
      <c r="AJ2023" s="21" t="n"/>
      <c r="AK2023" s="20" t="n"/>
      <c r="AL2023" s="77">
        <f>IFERROR(INDEX(MgAmenEfic,MATCH(SUBSTITUTE($H2023,"*","-"),MgAmenClave,0)),0)</f>
        <v/>
      </c>
    </row>
    <row r="2024" hidden="1" ht="60" customHeight="1" s="54">
      <c r="B2024" s="59" t="inlineStr">
        <is>
          <t>R-2019</t>
        </is>
      </c>
      <c r="C2024" s="59" t="inlineStr">
        <is>
          <t>MS-01</t>
        </is>
      </c>
      <c r="D2024" s="64">
        <f>IFERROR(INDEX(MgNombre,MATCH($C2024,MgActId,0)),"")</f>
        <v/>
      </c>
      <c r="E2024" s="64">
        <f>IFERROR(INDEX(MgProceso,MATCH($C2024,MgActId,0)),"")</f>
        <v/>
      </c>
      <c r="F2024" s="64">
        <f>IFERROR(INDEX(MgTipo,MATCH($C2024,MgActId,0)),"")</f>
        <v/>
      </c>
      <c r="G2024" s="64">
        <f>IFERROR(INDEX(MgSubtipo,MATCH($C2024,MgActId,0)),"")</f>
        <v/>
      </c>
      <c r="H2024" s="59" t="inlineStr">
        <is>
          <t>E.9</t>
        </is>
      </c>
      <c r="I2024" s="64">
        <f>IFERROR(INDEX(MgAmenNombre,MATCH(SUBSTITUTE($H2024,"*","-"),MgAmenClave,0)),"")</f>
        <v/>
      </c>
      <c r="J2024" s="28">
        <f>IFERROR(INDEX(MgAmenGrupo,MATCH(SUBSTITUTE($H2024,"*","-"),MgAmenClave,0)),"")</f>
        <v/>
      </c>
      <c r="K2024" s="64">
        <f>IFERROR(INDEX('1. Matriz de Activos'!$Q$6:$Q$239,MATCH($C2024,MgActId,0)),"")</f>
        <v/>
      </c>
      <c r="L2024" s="64">
        <f>IFERROR(INDEX('1. Matriz de Activos'!$R$6:$R$239,MATCH($C2024,MgActId,0)),"")</f>
        <v/>
      </c>
      <c r="M2024" s="64">
        <f>IFERROR(INDEX('1. Matriz de Activos'!$S$6:$S$239,MATCH($C2024,MgActId,0)),"")</f>
        <v/>
      </c>
      <c r="N2024" s="28">
        <f>IFERROR(INDEX(MgAmenDegD,MATCH(SUBSTITUTE($H2024,"*","-"),MgAmenClave,0)),"No aplica")</f>
        <v/>
      </c>
      <c r="O2024" s="28">
        <f>IFERROR(INDEX(MgAmenDegI,MATCH(SUBSTITUTE($H2024,"*","-"),MgAmenClave,0)),"No aplica")</f>
        <v/>
      </c>
      <c r="P2024" s="28">
        <f>IFERROR(INDEX(MgAmenDegC,MATCH(SUBSTITUTE($H2024,"*","-"),MgAmenClave,0)),"No aplica")</f>
        <v/>
      </c>
      <c r="Q2024" s="29">
        <f>IFERROR(VLOOKUP(K2024,MgValor,2,0)*VLOOKUP(N2024,MgDeg,2,0),0)</f>
        <v/>
      </c>
      <c r="R2024" s="29">
        <f>IFERROR(VLOOKUP(L2024,MgValor,2,0)*VLOOKUP(O2024,MgDeg,2,0),0)</f>
        <v/>
      </c>
      <c r="S2024" s="29">
        <f>IFERROR(VLOOKUP(M2024,MgValor,2,0)*VLOOKUP(P2024,MgDeg,2,0),0)</f>
        <v/>
      </c>
      <c r="T2024" s="30">
        <f>MAX(Q2024:S2024)</f>
        <v/>
      </c>
      <c r="U2024" s="28">
        <f>IFERROR(LOOKUP(T2024,{0;0.5;1.5;3;4.5},{"Despreciable";"Bajo";"Medio";"Alto";"Muy alto"}),"")</f>
        <v/>
      </c>
      <c r="V2024" s="13">
        <f>IFERROR(INDEX(MgAmenFrec,MATCH(SUBSTITUTE($H2024,"*","-"),MgAmenClave,0)),"")</f>
        <v/>
      </c>
      <c r="W2024" s="28">
        <f>IFERROR(LOOKUP(X2024,{0;0.01;0.1;1;10;100},{"Muy baja";"Muy baja";"Baja";"Media";"Alta";"Muy alta"}),"")</f>
        <v/>
      </c>
      <c r="X2024" s="31">
        <f>IFERROR(VLOOKUP(V2024,MgFrec,2,0),0)</f>
        <v/>
      </c>
      <c r="Y2024" s="30">
        <f>T2024*X2024</f>
        <v/>
      </c>
      <c r="Z2024" s="28">
        <f>IFERROR(LOOKUP(Y2024,{0;0.5;5;25},{"Bajo";"Medio";"Alto";"Crítico"}),"")</f>
        <v/>
      </c>
      <c r="AA2024" s="64">
        <f>IF(T2024&gt;=3,IF(X2024&gt;=1,"Zona 1 — Crítica: impacto alto y ocurre al menos una vez al año","Zona 4 — Catastrófica poco probable: impacto alto pero excepcional"),IF(AND(T2024&lt;1.5,X2024&lt;1),"Zona 3 — Asumible: impacto bajo y muy poco frecuente","Zona 2 — Atención: riesgo intermedio"))</f>
        <v/>
      </c>
      <c r="AB2024" s="64">
        <f>IFERROR(INDEX(MgAmenCtrl,MATCH(SUBSTITUTE($H2024,"*","-"),MgAmenClave,0)),"")</f>
        <v/>
      </c>
      <c r="AC2024" s="20" t="n"/>
      <c r="AD2024" s="31">
        <f>IFERROR($X2024*(1-IF($AC2024="",$AL2024,VLOOKUP($AC2024,MgMad,2,0))),"")</f>
        <v/>
      </c>
      <c r="AE2024" s="28">
        <f>IFERROR(LOOKUP(AD2024,{0;0.01;0.1;1;10;100},{"Muy baja";"Muy baja";"Baja";"Media";"Alta";"Muy alta"}),"")</f>
        <v/>
      </c>
      <c r="AF2024" s="30">
        <f>T2024*AD2024</f>
        <v/>
      </c>
      <c r="AG2024" s="28">
        <f>IFERROR(LOOKUP(AF2024,{0;0.5;5;25},{"Bajo";"Medio";"Alto";"Crítico"}),"")</f>
        <v/>
      </c>
      <c r="AH2024" s="28">
        <f>IF(AG2024="","",IF(OR(AG2024="Crítico",AG2024="Alto"),"Mitigar",IF(AG2024="Medio","Mitigar","Aceptar y monitorear")))</f>
        <v/>
      </c>
      <c r="AI2024" s="21" t="n"/>
      <c r="AJ2024" s="21" t="n"/>
      <c r="AK2024" s="20" t="n"/>
      <c r="AL2024" s="77">
        <f>IFERROR(INDEX(MgAmenEfic,MATCH(SUBSTITUTE($H2024,"*","-"),MgAmenClave,0)),0)</f>
        <v/>
      </c>
    </row>
    <row r="2025" hidden="1" ht="90" customHeight="1" s="54">
      <c r="B2025" s="59" t="inlineStr">
        <is>
          <t>R-2020</t>
        </is>
      </c>
      <c r="C2025" s="59" t="inlineStr">
        <is>
          <t>MS-01</t>
        </is>
      </c>
      <c r="D2025" s="64">
        <f>IFERROR(INDEX(MgNombre,MATCH($C2025,MgActId,0)),"")</f>
        <v/>
      </c>
      <c r="E2025" s="64">
        <f>IFERROR(INDEX(MgProceso,MATCH($C2025,MgActId,0)),"")</f>
        <v/>
      </c>
      <c r="F2025" s="64">
        <f>IFERROR(INDEX(MgTipo,MATCH($C2025,MgActId,0)),"")</f>
        <v/>
      </c>
      <c r="G2025" s="64">
        <f>IFERROR(INDEX(MgSubtipo,MATCH($C2025,MgActId,0)),"")</f>
        <v/>
      </c>
      <c r="H2025" s="59" t="inlineStr">
        <is>
          <t>E.10</t>
        </is>
      </c>
      <c r="I2025" s="64">
        <f>IFERROR(INDEX(MgAmenNombre,MATCH(SUBSTITUTE($H2025,"*","-"),MgAmenClave,0)),"")</f>
        <v/>
      </c>
      <c r="J2025" s="28">
        <f>IFERROR(INDEX(MgAmenGrupo,MATCH(SUBSTITUTE($H2025,"*","-"),MgAmenClave,0)),"")</f>
        <v/>
      </c>
      <c r="K2025" s="64">
        <f>IFERROR(INDEX('1. Matriz de Activos'!$Q$6:$Q$239,MATCH($C2025,MgActId,0)),"")</f>
        <v/>
      </c>
      <c r="L2025" s="64">
        <f>IFERROR(INDEX('1. Matriz de Activos'!$R$6:$R$239,MATCH($C2025,MgActId,0)),"")</f>
        <v/>
      </c>
      <c r="M2025" s="64">
        <f>IFERROR(INDEX('1. Matriz de Activos'!$S$6:$S$239,MATCH($C2025,MgActId,0)),"")</f>
        <v/>
      </c>
      <c r="N2025" s="28">
        <f>IFERROR(INDEX(MgAmenDegD,MATCH(SUBSTITUTE($H2025,"*","-"),MgAmenClave,0)),"No aplica")</f>
        <v/>
      </c>
      <c r="O2025" s="28">
        <f>IFERROR(INDEX(MgAmenDegI,MATCH(SUBSTITUTE($H2025,"*","-"),MgAmenClave,0)),"No aplica")</f>
        <v/>
      </c>
      <c r="P2025" s="28">
        <f>IFERROR(INDEX(MgAmenDegC,MATCH(SUBSTITUTE($H2025,"*","-"),MgAmenClave,0)),"No aplica")</f>
        <v/>
      </c>
      <c r="Q2025" s="29">
        <f>IFERROR(VLOOKUP(K2025,MgValor,2,0)*VLOOKUP(N2025,MgDeg,2,0),0)</f>
        <v/>
      </c>
      <c r="R2025" s="29">
        <f>IFERROR(VLOOKUP(L2025,MgValor,2,0)*VLOOKUP(O2025,MgDeg,2,0),0)</f>
        <v/>
      </c>
      <c r="S2025" s="29">
        <f>IFERROR(VLOOKUP(M2025,MgValor,2,0)*VLOOKUP(P2025,MgDeg,2,0),0)</f>
        <v/>
      </c>
      <c r="T2025" s="30">
        <f>MAX(Q2025:S2025)</f>
        <v/>
      </c>
      <c r="U2025" s="28">
        <f>IFERROR(LOOKUP(T2025,{0;0.5;1.5;3;4.5},{"Despreciable";"Bajo";"Medio";"Alto";"Muy alto"}),"")</f>
        <v/>
      </c>
      <c r="V2025" s="13">
        <f>IFERROR(INDEX(MgAmenFrec,MATCH(SUBSTITUTE($H2025,"*","-"),MgAmenClave,0)),"")</f>
        <v/>
      </c>
      <c r="W2025" s="28">
        <f>IFERROR(LOOKUP(X2025,{0;0.01;0.1;1;10;100},{"Muy baja";"Muy baja";"Baja";"Media";"Alta";"Muy alta"}),"")</f>
        <v/>
      </c>
      <c r="X2025" s="31">
        <f>IFERROR(VLOOKUP(V2025,MgFrec,2,0),0)</f>
        <v/>
      </c>
      <c r="Y2025" s="30">
        <f>T2025*X2025</f>
        <v/>
      </c>
      <c r="Z2025" s="28">
        <f>IFERROR(LOOKUP(Y2025,{0;0.5;5;25},{"Bajo";"Medio";"Alto";"Crítico"}),"")</f>
        <v/>
      </c>
      <c r="AA2025" s="64">
        <f>IF(T2025&gt;=3,IF(X2025&gt;=1,"Zona 1 — Crítica: impacto alto y ocurre al menos una vez al año","Zona 4 — Catastrófica poco probable: impacto alto pero excepcional"),IF(AND(T2025&lt;1.5,X2025&lt;1),"Zona 3 — Asumible: impacto bajo y muy poco frecuente","Zona 2 — Atención: riesgo intermedio"))</f>
        <v/>
      </c>
      <c r="AB2025" s="64">
        <f>IFERROR(INDEX(MgAmenCtrl,MATCH(SUBSTITUTE($H2025,"*","-"),MgAmenClave,0)),"")</f>
        <v/>
      </c>
      <c r="AC2025" s="20" t="n"/>
      <c r="AD2025" s="31">
        <f>IFERROR($X2025*(1-IF($AC2025="",$AL2025,VLOOKUP($AC2025,MgMad,2,0))),"")</f>
        <v/>
      </c>
      <c r="AE2025" s="28">
        <f>IFERROR(LOOKUP(AD2025,{0;0.01;0.1;1;10;100},{"Muy baja";"Muy baja";"Baja";"Media";"Alta";"Muy alta"}),"")</f>
        <v/>
      </c>
      <c r="AF2025" s="30">
        <f>T2025*AD2025</f>
        <v/>
      </c>
      <c r="AG2025" s="28">
        <f>IFERROR(LOOKUP(AF2025,{0;0.5;5;25},{"Bajo";"Medio";"Alto";"Crítico"}),"")</f>
        <v/>
      </c>
      <c r="AH2025" s="28">
        <f>IF(AG2025="","",IF(OR(AG2025="Crítico",AG2025="Alto"),"Mitigar",IF(AG2025="Medio","Mitigar","Aceptar y monitorear")))</f>
        <v/>
      </c>
      <c r="AI2025" s="21" t="n"/>
      <c r="AJ2025" s="21" t="n"/>
      <c r="AK2025" s="20" t="n"/>
      <c r="AL2025" s="77">
        <f>IFERROR(INDEX(MgAmenEfic,MATCH(SUBSTITUTE($H2025,"*","-"),MgAmenClave,0)),0)</f>
        <v/>
      </c>
    </row>
    <row r="2026" hidden="1" ht="90" customHeight="1" s="54">
      <c r="B2026" s="59" t="inlineStr">
        <is>
          <t>R-2021</t>
        </is>
      </c>
      <c r="C2026" s="59" t="inlineStr">
        <is>
          <t>MS-01</t>
        </is>
      </c>
      <c r="D2026" s="64">
        <f>IFERROR(INDEX(MgNombre,MATCH($C2026,MgActId,0)),"")</f>
        <v/>
      </c>
      <c r="E2026" s="64">
        <f>IFERROR(INDEX(MgProceso,MATCH($C2026,MgActId,0)),"")</f>
        <v/>
      </c>
      <c r="F2026" s="64">
        <f>IFERROR(INDEX(MgTipo,MATCH($C2026,MgActId,0)),"")</f>
        <v/>
      </c>
      <c r="G2026" s="64">
        <f>IFERROR(INDEX(MgSubtipo,MATCH($C2026,MgActId,0)),"")</f>
        <v/>
      </c>
      <c r="H2026" s="59" t="inlineStr">
        <is>
          <t>E.14</t>
        </is>
      </c>
      <c r="I2026" s="64">
        <f>IFERROR(INDEX(MgAmenNombre,MATCH(SUBSTITUTE($H2026,"*","-"),MgAmenClave,0)),"")</f>
        <v/>
      </c>
      <c r="J2026" s="28">
        <f>IFERROR(INDEX(MgAmenGrupo,MATCH(SUBSTITUTE($H2026,"*","-"),MgAmenClave,0)),"")</f>
        <v/>
      </c>
      <c r="K2026" s="64">
        <f>IFERROR(INDEX('1. Matriz de Activos'!$Q$6:$Q$239,MATCH($C2026,MgActId,0)),"")</f>
        <v/>
      </c>
      <c r="L2026" s="64">
        <f>IFERROR(INDEX('1. Matriz de Activos'!$R$6:$R$239,MATCH($C2026,MgActId,0)),"")</f>
        <v/>
      </c>
      <c r="M2026" s="64">
        <f>IFERROR(INDEX('1. Matriz de Activos'!$S$6:$S$239,MATCH($C2026,MgActId,0)),"")</f>
        <v/>
      </c>
      <c r="N2026" s="28">
        <f>IFERROR(INDEX(MgAmenDegD,MATCH(SUBSTITUTE($H2026,"*","-"),MgAmenClave,0)),"No aplica")</f>
        <v/>
      </c>
      <c r="O2026" s="28">
        <f>IFERROR(INDEX(MgAmenDegI,MATCH(SUBSTITUTE($H2026,"*","-"),MgAmenClave,0)),"No aplica")</f>
        <v/>
      </c>
      <c r="P2026" s="28">
        <f>IFERROR(INDEX(MgAmenDegC,MATCH(SUBSTITUTE($H2026,"*","-"),MgAmenClave,0)),"No aplica")</f>
        <v/>
      </c>
      <c r="Q2026" s="29">
        <f>IFERROR(VLOOKUP(K2026,MgValor,2,0)*VLOOKUP(N2026,MgDeg,2,0),0)</f>
        <v/>
      </c>
      <c r="R2026" s="29">
        <f>IFERROR(VLOOKUP(L2026,MgValor,2,0)*VLOOKUP(O2026,MgDeg,2,0),0)</f>
        <v/>
      </c>
      <c r="S2026" s="29">
        <f>IFERROR(VLOOKUP(M2026,MgValor,2,0)*VLOOKUP(P2026,MgDeg,2,0),0)</f>
        <v/>
      </c>
      <c r="T2026" s="30">
        <f>MAX(Q2026:S2026)</f>
        <v/>
      </c>
      <c r="U2026" s="28">
        <f>IFERROR(LOOKUP(T2026,{0;0.5;1.5;3;4.5},{"Despreciable";"Bajo";"Medio";"Alto";"Muy alto"}),"")</f>
        <v/>
      </c>
      <c r="V2026" s="13">
        <f>IFERROR(INDEX(MgAmenFrec,MATCH(SUBSTITUTE($H2026,"*","-"),MgAmenClave,0)),"")</f>
        <v/>
      </c>
      <c r="W2026" s="28">
        <f>IFERROR(LOOKUP(X2026,{0;0.01;0.1;1;10;100},{"Muy baja";"Muy baja";"Baja";"Media";"Alta";"Muy alta"}),"")</f>
        <v/>
      </c>
      <c r="X2026" s="31">
        <f>IFERROR(VLOOKUP(V2026,MgFrec,2,0),0)</f>
        <v/>
      </c>
      <c r="Y2026" s="30">
        <f>T2026*X2026</f>
        <v/>
      </c>
      <c r="Z2026" s="28">
        <f>IFERROR(LOOKUP(Y2026,{0;0.5;5;25},{"Bajo";"Medio";"Alto";"Crítico"}),"")</f>
        <v/>
      </c>
      <c r="AA2026" s="64">
        <f>IF(T2026&gt;=3,IF(X2026&gt;=1,"Zona 1 — Crítica: impacto alto y ocurre al menos una vez al año","Zona 4 — Catastrófica poco probable: impacto alto pero excepcional"),IF(AND(T2026&lt;1.5,X2026&lt;1),"Zona 3 — Asumible: impacto bajo y muy poco frecuente","Zona 2 — Atención: riesgo intermedio"))</f>
        <v/>
      </c>
      <c r="AB2026" s="64">
        <f>IFERROR(INDEX(MgAmenCtrl,MATCH(SUBSTITUTE($H2026,"*","-"),MgAmenClave,0)),"")</f>
        <v/>
      </c>
      <c r="AC2026" s="20" t="n"/>
      <c r="AD2026" s="31">
        <f>IFERROR($X2026*(1-IF($AC2026="",$AL2026,VLOOKUP($AC2026,MgMad,2,0))),"")</f>
        <v/>
      </c>
      <c r="AE2026" s="28">
        <f>IFERROR(LOOKUP(AD2026,{0;0.01;0.1;1;10;100},{"Muy baja";"Muy baja";"Baja";"Media";"Alta";"Muy alta"}),"")</f>
        <v/>
      </c>
      <c r="AF2026" s="30">
        <f>T2026*AD2026</f>
        <v/>
      </c>
      <c r="AG2026" s="28">
        <f>IFERROR(LOOKUP(AF2026,{0;0.5;5;25},{"Bajo";"Medio";"Alto";"Crítico"}),"")</f>
        <v/>
      </c>
      <c r="AH2026" s="28">
        <f>IF(AG2026="","",IF(OR(AG2026="Crítico",AG2026="Alto"),"Mitigar",IF(AG2026="Medio","Mitigar","Aceptar y monitorear")))</f>
        <v/>
      </c>
      <c r="AI2026" s="21" t="n"/>
      <c r="AJ2026" s="21" t="n"/>
      <c r="AK2026" s="20" t="n"/>
      <c r="AL2026" s="77">
        <f>IFERROR(INDEX(MgAmenEfic,MATCH(SUBSTITUTE($H2026,"*","-"),MgAmenClave,0)),0)</f>
        <v/>
      </c>
    </row>
    <row r="2027" hidden="1" ht="90" customHeight="1" s="54">
      <c r="B2027" s="59" t="inlineStr">
        <is>
          <t>R-2022</t>
        </is>
      </c>
      <c r="C2027" s="59" t="inlineStr">
        <is>
          <t>MS-01</t>
        </is>
      </c>
      <c r="D2027" s="64">
        <f>IFERROR(INDEX(MgNombre,MATCH($C2027,MgActId,0)),"")</f>
        <v/>
      </c>
      <c r="E2027" s="64">
        <f>IFERROR(INDEX(MgProceso,MATCH($C2027,MgActId,0)),"")</f>
        <v/>
      </c>
      <c r="F2027" s="64">
        <f>IFERROR(INDEX(MgTipo,MATCH($C2027,MgActId,0)),"")</f>
        <v/>
      </c>
      <c r="G2027" s="64">
        <f>IFERROR(INDEX(MgSubtipo,MATCH($C2027,MgActId,0)),"")</f>
        <v/>
      </c>
      <c r="H2027" s="59" t="inlineStr">
        <is>
          <t>E.15</t>
        </is>
      </c>
      <c r="I2027" s="64">
        <f>IFERROR(INDEX(MgAmenNombre,MATCH(SUBSTITUTE($H2027,"*","-"),MgAmenClave,0)),"")</f>
        <v/>
      </c>
      <c r="J2027" s="28">
        <f>IFERROR(INDEX(MgAmenGrupo,MATCH(SUBSTITUTE($H2027,"*","-"),MgAmenClave,0)),"")</f>
        <v/>
      </c>
      <c r="K2027" s="64">
        <f>IFERROR(INDEX('1. Matriz de Activos'!$Q$6:$Q$239,MATCH($C2027,MgActId,0)),"")</f>
        <v/>
      </c>
      <c r="L2027" s="64">
        <f>IFERROR(INDEX('1. Matriz de Activos'!$R$6:$R$239,MATCH($C2027,MgActId,0)),"")</f>
        <v/>
      </c>
      <c r="M2027" s="64">
        <f>IFERROR(INDEX('1. Matriz de Activos'!$S$6:$S$239,MATCH($C2027,MgActId,0)),"")</f>
        <v/>
      </c>
      <c r="N2027" s="28">
        <f>IFERROR(INDEX(MgAmenDegD,MATCH(SUBSTITUTE($H2027,"*","-"),MgAmenClave,0)),"No aplica")</f>
        <v/>
      </c>
      <c r="O2027" s="28">
        <f>IFERROR(INDEX(MgAmenDegI,MATCH(SUBSTITUTE($H2027,"*","-"),MgAmenClave,0)),"No aplica")</f>
        <v/>
      </c>
      <c r="P2027" s="28">
        <f>IFERROR(INDEX(MgAmenDegC,MATCH(SUBSTITUTE($H2027,"*","-"),MgAmenClave,0)),"No aplica")</f>
        <v/>
      </c>
      <c r="Q2027" s="29">
        <f>IFERROR(VLOOKUP(K2027,MgValor,2,0)*VLOOKUP(N2027,MgDeg,2,0),0)</f>
        <v/>
      </c>
      <c r="R2027" s="29">
        <f>IFERROR(VLOOKUP(L2027,MgValor,2,0)*VLOOKUP(O2027,MgDeg,2,0),0)</f>
        <v/>
      </c>
      <c r="S2027" s="29">
        <f>IFERROR(VLOOKUP(M2027,MgValor,2,0)*VLOOKUP(P2027,MgDeg,2,0),0)</f>
        <v/>
      </c>
      <c r="T2027" s="30">
        <f>MAX(Q2027:S2027)</f>
        <v/>
      </c>
      <c r="U2027" s="28">
        <f>IFERROR(LOOKUP(T2027,{0;0.5;1.5;3;4.5},{"Despreciable";"Bajo";"Medio";"Alto";"Muy alto"}),"")</f>
        <v/>
      </c>
      <c r="V2027" s="13">
        <f>IFERROR(INDEX(MgAmenFrec,MATCH(SUBSTITUTE($H2027,"*","-"),MgAmenClave,0)),"")</f>
        <v/>
      </c>
      <c r="W2027" s="28">
        <f>IFERROR(LOOKUP(X2027,{0;0.01;0.1;1;10;100},{"Muy baja";"Muy baja";"Baja";"Media";"Alta";"Muy alta"}),"")</f>
        <v/>
      </c>
      <c r="X2027" s="31">
        <f>IFERROR(VLOOKUP(V2027,MgFrec,2,0),0)</f>
        <v/>
      </c>
      <c r="Y2027" s="30">
        <f>T2027*X2027</f>
        <v/>
      </c>
      <c r="Z2027" s="28">
        <f>IFERROR(LOOKUP(Y2027,{0;0.5;5;25},{"Bajo";"Medio";"Alto";"Crítico"}),"")</f>
        <v/>
      </c>
      <c r="AA2027" s="64">
        <f>IF(T2027&gt;=3,IF(X2027&gt;=1,"Zona 1 — Crítica: impacto alto y ocurre al menos una vez al año","Zona 4 — Catastrófica poco probable: impacto alto pero excepcional"),IF(AND(T2027&lt;1.5,X2027&lt;1),"Zona 3 — Asumible: impacto bajo y muy poco frecuente","Zona 2 — Atención: riesgo intermedio"))</f>
        <v/>
      </c>
      <c r="AB2027" s="64">
        <f>IFERROR(INDEX(MgAmenCtrl,MATCH(SUBSTITUTE($H2027,"*","-"),MgAmenClave,0)),"")</f>
        <v/>
      </c>
      <c r="AC2027" s="20" t="n"/>
      <c r="AD2027" s="31">
        <f>IFERROR($X2027*(1-IF($AC2027="",$AL2027,VLOOKUP($AC2027,MgMad,2,0))),"")</f>
        <v/>
      </c>
      <c r="AE2027" s="28">
        <f>IFERROR(LOOKUP(AD2027,{0;0.01;0.1;1;10;100},{"Muy baja";"Muy baja";"Baja";"Media";"Alta";"Muy alta"}),"")</f>
        <v/>
      </c>
      <c r="AF2027" s="30">
        <f>T2027*AD2027</f>
        <v/>
      </c>
      <c r="AG2027" s="28">
        <f>IFERROR(LOOKUP(AF2027,{0;0.5;5;25},{"Bajo";"Medio";"Alto";"Crítico"}),"")</f>
        <v/>
      </c>
      <c r="AH2027" s="28">
        <f>IF(AG2027="","",IF(OR(AG2027="Crítico",AG2027="Alto"),"Mitigar",IF(AG2027="Medio","Mitigar","Aceptar y monitorear")))</f>
        <v/>
      </c>
      <c r="AI2027" s="21" t="n"/>
      <c r="AJ2027" s="21" t="n"/>
      <c r="AK2027" s="20" t="n"/>
      <c r="AL2027" s="77">
        <f>IFERROR(INDEX(MgAmenEfic,MATCH(SUBSTITUTE($H2027,"*","-"),MgAmenClave,0)),0)</f>
        <v/>
      </c>
    </row>
    <row r="2028" hidden="1" ht="60" customHeight="1" s="54">
      <c r="B2028" s="59" t="inlineStr">
        <is>
          <t>R-2023</t>
        </is>
      </c>
      <c r="C2028" s="59" t="inlineStr">
        <is>
          <t>MS-01</t>
        </is>
      </c>
      <c r="D2028" s="64">
        <f>IFERROR(INDEX(MgNombre,MATCH($C2028,MgActId,0)),"")</f>
        <v/>
      </c>
      <c r="E2028" s="64">
        <f>IFERROR(INDEX(MgProceso,MATCH($C2028,MgActId,0)),"")</f>
        <v/>
      </c>
      <c r="F2028" s="64">
        <f>IFERROR(INDEX(MgTipo,MATCH($C2028,MgActId,0)),"")</f>
        <v/>
      </c>
      <c r="G2028" s="64">
        <f>IFERROR(INDEX(MgSubtipo,MATCH($C2028,MgActId,0)),"")</f>
        <v/>
      </c>
      <c r="H2028" s="59" t="inlineStr">
        <is>
          <t>E.18</t>
        </is>
      </c>
      <c r="I2028" s="64">
        <f>IFERROR(INDEX(MgAmenNombre,MATCH(SUBSTITUTE($H2028,"*","-"),MgAmenClave,0)),"")</f>
        <v/>
      </c>
      <c r="J2028" s="28">
        <f>IFERROR(INDEX(MgAmenGrupo,MATCH(SUBSTITUTE($H2028,"*","-"),MgAmenClave,0)),"")</f>
        <v/>
      </c>
      <c r="K2028" s="64">
        <f>IFERROR(INDEX('1. Matriz de Activos'!$Q$6:$Q$239,MATCH($C2028,MgActId,0)),"")</f>
        <v/>
      </c>
      <c r="L2028" s="64">
        <f>IFERROR(INDEX('1. Matriz de Activos'!$R$6:$R$239,MATCH($C2028,MgActId,0)),"")</f>
        <v/>
      </c>
      <c r="M2028" s="64">
        <f>IFERROR(INDEX('1. Matriz de Activos'!$S$6:$S$239,MATCH($C2028,MgActId,0)),"")</f>
        <v/>
      </c>
      <c r="N2028" s="28">
        <f>IFERROR(INDEX(MgAmenDegD,MATCH(SUBSTITUTE($H2028,"*","-"),MgAmenClave,0)),"No aplica")</f>
        <v/>
      </c>
      <c r="O2028" s="28">
        <f>IFERROR(INDEX(MgAmenDegI,MATCH(SUBSTITUTE($H2028,"*","-"),MgAmenClave,0)),"No aplica")</f>
        <v/>
      </c>
      <c r="P2028" s="28">
        <f>IFERROR(INDEX(MgAmenDegC,MATCH(SUBSTITUTE($H2028,"*","-"),MgAmenClave,0)),"No aplica")</f>
        <v/>
      </c>
      <c r="Q2028" s="29">
        <f>IFERROR(VLOOKUP(K2028,MgValor,2,0)*VLOOKUP(N2028,MgDeg,2,0),0)</f>
        <v/>
      </c>
      <c r="R2028" s="29">
        <f>IFERROR(VLOOKUP(L2028,MgValor,2,0)*VLOOKUP(O2028,MgDeg,2,0),0)</f>
        <v/>
      </c>
      <c r="S2028" s="29">
        <f>IFERROR(VLOOKUP(M2028,MgValor,2,0)*VLOOKUP(P2028,MgDeg,2,0),0)</f>
        <v/>
      </c>
      <c r="T2028" s="30">
        <f>MAX(Q2028:S2028)</f>
        <v/>
      </c>
      <c r="U2028" s="28">
        <f>IFERROR(LOOKUP(T2028,{0;0.5;1.5;3;4.5},{"Despreciable";"Bajo";"Medio";"Alto";"Muy alto"}),"")</f>
        <v/>
      </c>
      <c r="V2028" s="13">
        <f>IFERROR(INDEX(MgAmenFrec,MATCH(SUBSTITUTE($H2028,"*","-"),MgAmenClave,0)),"")</f>
        <v/>
      </c>
      <c r="W2028" s="28">
        <f>IFERROR(LOOKUP(X2028,{0;0.01;0.1;1;10;100},{"Muy baja";"Muy baja";"Baja";"Media";"Alta";"Muy alta"}),"")</f>
        <v/>
      </c>
      <c r="X2028" s="31">
        <f>IFERROR(VLOOKUP(V2028,MgFrec,2,0),0)</f>
        <v/>
      </c>
      <c r="Y2028" s="30">
        <f>T2028*X2028</f>
        <v/>
      </c>
      <c r="Z2028" s="28">
        <f>IFERROR(LOOKUP(Y2028,{0;0.5;5;25},{"Bajo";"Medio";"Alto";"Crítico"}),"")</f>
        <v/>
      </c>
      <c r="AA2028" s="64">
        <f>IF(T2028&gt;=3,IF(X2028&gt;=1,"Zona 1 — Crítica: impacto alto y ocurre al menos una vez al año","Zona 4 — Catastrófica poco probable: impacto alto pero excepcional"),IF(AND(T2028&lt;1.5,X2028&lt;1),"Zona 3 — Asumible: impacto bajo y muy poco frecuente","Zona 2 — Atención: riesgo intermedio"))</f>
        <v/>
      </c>
      <c r="AB2028" s="64">
        <f>IFERROR(INDEX(MgAmenCtrl,MATCH(SUBSTITUTE($H2028,"*","-"),MgAmenClave,0)),"")</f>
        <v/>
      </c>
      <c r="AC2028" s="20" t="n"/>
      <c r="AD2028" s="31">
        <f>IFERROR($X2028*(1-IF($AC2028="",$AL2028,VLOOKUP($AC2028,MgMad,2,0))),"")</f>
        <v/>
      </c>
      <c r="AE2028" s="28">
        <f>IFERROR(LOOKUP(AD2028,{0;0.01;0.1;1;10;100},{"Muy baja";"Muy baja";"Baja";"Media";"Alta";"Muy alta"}),"")</f>
        <v/>
      </c>
      <c r="AF2028" s="30">
        <f>T2028*AD2028</f>
        <v/>
      </c>
      <c r="AG2028" s="28">
        <f>IFERROR(LOOKUP(AF2028,{0;0.5;5;25},{"Bajo";"Medio";"Alto";"Crítico"}),"")</f>
        <v/>
      </c>
      <c r="AH2028" s="28">
        <f>IF(AG2028="","",IF(OR(AG2028="Crítico",AG2028="Alto"),"Mitigar",IF(AG2028="Medio","Mitigar","Aceptar y monitorear")))</f>
        <v/>
      </c>
      <c r="AI2028" s="21" t="n"/>
      <c r="AJ2028" s="21" t="n"/>
      <c r="AK2028" s="20" t="n"/>
      <c r="AL2028" s="77">
        <f>IFERROR(INDEX(MgAmenEfic,MATCH(SUBSTITUTE($H2028,"*","-"),MgAmenClave,0)),0)</f>
        <v/>
      </c>
    </row>
    <row r="2029" hidden="1" ht="105" customHeight="1" s="54">
      <c r="B2029" s="59" t="inlineStr">
        <is>
          <t>R-2024</t>
        </is>
      </c>
      <c r="C2029" s="59" t="inlineStr">
        <is>
          <t>MS-01</t>
        </is>
      </c>
      <c r="D2029" s="64">
        <f>IFERROR(INDEX(MgNombre,MATCH($C2029,MgActId,0)),"")</f>
        <v/>
      </c>
      <c r="E2029" s="64">
        <f>IFERROR(INDEX(MgProceso,MATCH($C2029,MgActId,0)),"")</f>
        <v/>
      </c>
      <c r="F2029" s="64">
        <f>IFERROR(INDEX(MgTipo,MATCH($C2029,MgActId,0)),"")</f>
        <v/>
      </c>
      <c r="G2029" s="64">
        <f>IFERROR(INDEX(MgSubtipo,MATCH($C2029,MgActId,0)),"")</f>
        <v/>
      </c>
      <c r="H2029" s="59" t="inlineStr">
        <is>
          <t>E.19</t>
        </is>
      </c>
      <c r="I2029" s="64">
        <f>IFERROR(INDEX(MgAmenNombre,MATCH(SUBSTITUTE($H2029,"*","-"),MgAmenClave,0)),"")</f>
        <v/>
      </c>
      <c r="J2029" s="28">
        <f>IFERROR(INDEX(MgAmenGrupo,MATCH(SUBSTITUTE($H2029,"*","-"),MgAmenClave,0)),"")</f>
        <v/>
      </c>
      <c r="K2029" s="64">
        <f>IFERROR(INDEX('1. Matriz de Activos'!$Q$6:$Q$239,MATCH($C2029,MgActId,0)),"")</f>
        <v/>
      </c>
      <c r="L2029" s="64">
        <f>IFERROR(INDEX('1. Matriz de Activos'!$R$6:$R$239,MATCH($C2029,MgActId,0)),"")</f>
        <v/>
      </c>
      <c r="M2029" s="64">
        <f>IFERROR(INDEX('1. Matriz de Activos'!$S$6:$S$239,MATCH($C2029,MgActId,0)),"")</f>
        <v/>
      </c>
      <c r="N2029" s="28">
        <f>IFERROR(INDEX(MgAmenDegD,MATCH(SUBSTITUTE($H2029,"*","-"),MgAmenClave,0)),"No aplica")</f>
        <v/>
      </c>
      <c r="O2029" s="28">
        <f>IFERROR(INDEX(MgAmenDegI,MATCH(SUBSTITUTE($H2029,"*","-"),MgAmenClave,0)),"No aplica")</f>
        <v/>
      </c>
      <c r="P2029" s="28">
        <f>IFERROR(INDEX(MgAmenDegC,MATCH(SUBSTITUTE($H2029,"*","-"),MgAmenClave,0)),"No aplica")</f>
        <v/>
      </c>
      <c r="Q2029" s="29">
        <f>IFERROR(VLOOKUP(K2029,MgValor,2,0)*VLOOKUP(N2029,MgDeg,2,0),0)</f>
        <v/>
      </c>
      <c r="R2029" s="29">
        <f>IFERROR(VLOOKUP(L2029,MgValor,2,0)*VLOOKUP(O2029,MgDeg,2,0),0)</f>
        <v/>
      </c>
      <c r="S2029" s="29">
        <f>IFERROR(VLOOKUP(M2029,MgValor,2,0)*VLOOKUP(P2029,MgDeg,2,0),0)</f>
        <v/>
      </c>
      <c r="T2029" s="30">
        <f>MAX(Q2029:S2029)</f>
        <v/>
      </c>
      <c r="U2029" s="28">
        <f>IFERROR(LOOKUP(T2029,{0;0.5;1.5;3;4.5},{"Despreciable";"Bajo";"Medio";"Alto";"Muy alto"}),"")</f>
        <v/>
      </c>
      <c r="V2029" s="13">
        <f>IFERROR(INDEX(MgAmenFrec,MATCH(SUBSTITUTE($H2029,"*","-"),MgAmenClave,0)),"")</f>
        <v/>
      </c>
      <c r="W2029" s="28">
        <f>IFERROR(LOOKUP(X2029,{0;0.01;0.1;1;10;100},{"Muy baja";"Muy baja";"Baja";"Media";"Alta";"Muy alta"}),"")</f>
        <v/>
      </c>
      <c r="X2029" s="31">
        <f>IFERROR(VLOOKUP(V2029,MgFrec,2,0),0)</f>
        <v/>
      </c>
      <c r="Y2029" s="30">
        <f>T2029*X2029</f>
        <v/>
      </c>
      <c r="Z2029" s="28">
        <f>IFERROR(LOOKUP(Y2029,{0;0.5;5;25},{"Bajo";"Medio";"Alto";"Crítico"}),"")</f>
        <v/>
      </c>
      <c r="AA2029" s="64">
        <f>IF(T2029&gt;=3,IF(X2029&gt;=1,"Zona 1 — Crítica: impacto alto y ocurre al menos una vez al año","Zona 4 — Catastrófica poco probable: impacto alto pero excepcional"),IF(AND(T2029&lt;1.5,X2029&lt;1),"Zona 3 — Asumible: impacto bajo y muy poco frecuente","Zona 2 — Atención: riesgo intermedio"))</f>
        <v/>
      </c>
      <c r="AB2029" s="64">
        <f>IFERROR(INDEX(MgAmenCtrl,MATCH(SUBSTITUTE($H2029,"*","-"),MgAmenClave,0)),"")</f>
        <v/>
      </c>
      <c r="AC2029" s="20" t="n"/>
      <c r="AD2029" s="31">
        <f>IFERROR($X2029*(1-IF($AC2029="",$AL2029,VLOOKUP($AC2029,MgMad,2,0))),"")</f>
        <v/>
      </c>
      <c r="AE2029" s="28">
        <f>IFERROR(LOOKUP(AD2029,{0;0.01;0.1;1;10;100},{"Muy baja";"Muy baja";"Baja";"Media";"Alta";"Muy alta"}),"")</f>
        <v/>
      </c>
      <c r="AF2029" s="30">
        <f>T2029*AD2029</f>
        <v/>
      </c>
      <c r="AG2029" s="28">
        <f>IFERROR(LOOKUP(AF2029,{0;0.5;5;25},{"Bajo";"Medio";"Alto";"Crítico"}),"")</f>
        <v/>
      </c>
      <c r="AH2029" s="28">
        <f>IF(AG2029="","",IF(OR(AG2029="Crítico",AG2029="Alto"),"Mitigar",IF(AG2029="Medio","Mitigar","Aceptar y monitorear")))</f>
        <v/>
      </c>
      <c r="AI2029" s="21" t="n"/>
      <c r="AJ2029" s="21" t="n"/>
      <c r="AK2029" s="20" t="n"/>
      <c r="AL2029" s="77">
        <f>IFERROR(INDEX(MgAmenEfic,MATCH(SUBSTITUTE($H2029,"*","-"),MgAmenClave,0)),0)</f>
        <v/>
      </c>
    </row>
    <row r="2030" hidden="1" ht="45" customHeight="1" s="54">
      <c r="B2030" s="59" t="inlineStr">
        <is>
          <t>R-2025</t>
        </is>
      </c>
      <c r="C2030" s="59" t="inlineStr">
        <is>
          <t>MS-01</t>
        </is>
      </c>
      <c r="D2030" s="64">
        <f>IFERROR(INDEX(MgNombre,MATCH($C2030,MgActId,0)),"")</f>
        <v/>
      </c>
      <c r="E2030" s="64">
        <f>IFERROR(INDEX(MgProceso,MATCH($C2030,MgActId,0)),"")</f>
        <v/>
      </c>
      <c r="F2030" s="64">
        <f>IFERROR(INDEX(MgTipo,MATCH($C2030,MgActId,0)),"")</f>
        <v/>
      </c>
      <c r="G2030" s="64">
        <f>IFERROR(INDEX(MgSubtipo,MATCH($C2030,MgActId,0)),"")</f>
        <v/>
      </c>
      <c r="H2030" s="59" t="inlineStr">
        <is>
          <t>E.24</t>
        </is>
      </c>
      <c r="I2030" s="64">
        <f>IFERROR(INDEX(MgAmenNombre,MATCH(SUBSTITUTE($H2030,"*","-"),MgAmenClave,0)),"")</f>
        <v/>
      </c>
      <c r="J2030" s="28">
        <f>IFERROR(INDEX(MgAmenGrupo,MATCH(SUBSTITUTE($H2030,"*","-"),MgAmenClave,0)),"")</f>
        <v/>
      </c>
      <c r="K2030" s="64">
        <f>IFERROR(INDEX('1. Matriz de Activos'!$Q$6:$Q$239,MATCH($C2030,MgActId,0)),"")</f>
        <v/>
      </c>
      <c r="L2030" s="64">
        <f>IFERROR(INDEX('1. Matriz de Activos'!$R$6:$R$239,MATCH($C2030,MgActId,0)),"")</f>
        <v/>
      </c>
      <c r="M2030" s="64">
        <f>IFERROR(INDEX('1. Matriz de Activos'!$S$6:$S$239,MATCH($C2030,MgActId,0)),"")</f>
        <v/>
      </c>
      <c r="N2030" s="28">
        <f>IFERROR(INDEX(MgAmenDegD,MATCH(SUBSTITUTE($H2030,"*","-"),MgAmenClave,0)),"No aplica")</f>
        <v/>
      </c>
      <c r="O2030" s="28">
        <f>IFERROR(INDEX(MgAmenDegI,MATCH(SUBSTITUTE($H2030,"*","-"),MgAmenClave,0)),"No aplica")</f>
        <v/>
      </c>
      <c r="P2030" s="28">
        <f>IFERROR(INDEX(MgAmenDegC,MATCH(SUBSTITUTE($H2030,"*","-"),MgAmenClave,0)),"No aplica")</f>
        <v/>
      </c>
      <c r="Q2030" s="29">
        <f>IFERROR(VLOOKUP(K2030,MgValor,2,0)*VLOOKUP(N2030,MgDeg,2,0),0)</f>
        <v/>
      </c>
      <c r="R2030" s="29">
        <f>IFERROR(VLOOKUP(L2030,MgValor,2,0)*VLOOKUP(O2030,MgDeg,2,0),0)</f>
        <v/>
      </c>
      <c r="S2030" s="29">
        <f>IFERROR(VLOOKUP(M2030,MgValor,2,0)*VLOOKUP(P2030,MgDeg,2,0),0)</f>
        <v/>
      </c>
      <c r="T2030" s="30">
        <f>MAX(Q2030:S2030)</f>
        <v/>
      </c>
      <c r="U2030" s="28">
        <f>IFERROR(LOOKUP(T2030,{0;0.5;1.5;3;4.5},{"Despreciable";"Bajo";"Medio";"Alto";"Muy alto"}),"")</f>
        <v/>
      </c>
      <c r="V2030" s="13">
        <f>IFERROR(INDEX(MgAmenFrec,MATCH(SUBSTITUTE($H2030,"*","-"),MgAmenClave,0)),"")</f>
        <v/>
      </c>
      <c r="W2030" s="28">
        <f>IFERROR(LOOKUP(X2030,{0;0.01;0.1;1;10;100},{"Muy baja";"Muy baja";"Baja";"Media";"Alta";"Muy alta"}),"")</f>
        <v/>
      </c>
      <c r="X2030" s="31">
        <f>IFERROR(VLOOKUP(V2030,MgFrec,2,0),0)</f>
        <v/>
      </c>
      <c r="Y2030" s="30">
        <f>T2030*X2030</f>
        <v/>
      </c>
      <c r="Z2030" s="28">
        <f>IFERROR(LOOKUP(Y2030,{0;0.5;5;25},{"Bajo";"Medio";"Alto";"Crítico"}),"")</f>
        <v/>
      </c>
      <c r="AA2030" s="64">
        <f>IF(T2030&gt;=3,IF(X2030&gt;=1,"Zona 1 — Crítica: impacto alto y ocurre al menos una vez al año","Zona 4 — Catastrófica poco probable: impacto alto pero excepcional"),IF(AND(T2030&lt;1.5,X2030&lt;1),"Zona 3 — Asumible: impacto bajo y muy poco frecuente","Zona 2 — Atención: riesgo intermedio"))</f>
        <v/>
      </c>
      <c r="AB2030" s="64">
        <f>IFERROR(INDEX(MgAmenCtrl,MATCH(SUBSTITUTE($H2030,"*","-"),MgAmenClave,0)),"")</f>
        <v/>
      </c>
      <c r="AC2030" s="20" t="n"/>
      <c r="AD2030" s="31">
        <f>IFERROR($X2030*(1-IF($AC2030="",$AL2030,VLOOKUP($AC2030,MgMad,2,0))),"")</f>
        <v/>
      </c>
      <c r="AE2030" s="28">
        <f>IFERROR(LOOKUP(AD2030,{0;0.01;0.1;1;10;100},{"Muy baja";"Muy baja";"Baja";"Media";"Alta";"Muy alta"}),"")</f>
        <v/>
      </c>
      <c r="AF2030" s="30">
        <f>T2030*AD2030</f>
        <v/>
      </c>
      <c r="AG2030" s="28">
        <f>IFERROR(LOOKUP(AF2030,{0;0.5;5;25},{"Bajo";"Medio";"Alto";"Crítico"}),"")</f>
        <v/>
      </c>
      <c r="AH2030" s="28">
        <f>IF(AG2030="","",IF(OR(AG2030="Crítico",AG2030="Alto"),"Mitigar",IF(AG2030="Medio","Mitigar","Aceptar y monitorear")))</f>
        <v/>
      </c>
      <c r="AI2030" s="21" t="n"/>
      <c r="AJ2030" s="21" t="n"/>
      <c r="AK2030" s="20" t="n"/>
      <c r="AL2030" s="77">
        <f>IFERROR(INDEX(MgAmenEfic,MATCH(SUBSTITUTE($H2030,"*","-"),MgAmenClave,0)),0)</f>
        <v/>
      </c>
    </row>
    <row r="2031" hidden="1" ht="75" customHeight="1" s="54">
      <c r="B2031" s="59" t="inlineStr">
        <is>
          <t>R-2026</t>
        </is>
      </c>
      <c r="C2031" s="59" t="inlineStr">
        <is>
          <t>MS-01</t>
        </is>
      </c>
      <c r="D2031" s="64">
        <f>IFERROR(INDEX(MgNombre,MATCH($C2031,MgActId,0)),"")</f>
        <v/>
      </c>
      <c r="E2031" s="64">
        <f>IFERROR(INDEX(MgProceso,MATCH($C2031,MgActId,0)),"")</f>
        <v/>
      </c>
      <c r="F2031" s="64">
        <f>IFERROR(INDEX(MgTipo,MATCH($C2031,MgActId,0)),"")</f>
        <v/>
      </c>
      <c r="G2031" s="64">
        <f>IFERROR(INDEX(MgSubtipo,MATCH($C2031,MgActId,0)),"")</f>
        <v/>
      </c>
      <c r="H2031" s="59" t="inlineStr">
        <is>
          <t>A.5</t>
        </is>
      </c>
      <c r="I2031" s="64">
        <f>IFERROR(INDEX(MgAmenNombre,MATCH(SUBSTITUTE($H2031,"*","-"),MgAmenClave,0)),"")</f>
        <v/>
      </c>
      <c r="J2031" s="28">
        <f>IFERROR(INDEX(MgAmenGrupo,MATCH(SUBSTITUTE($H2031,"*","-"),MgAmenClave,0)),"")</f>
        <v/>
      </c>
      <c r="K2031" s="64">
        <f>IFERROR(INDEX('1. Matriz de Activos'!$Q$6:$Q$239,MATCH($C2031,MgActId,0)),"")</f>
        <v/>
      </c>
      <c r="L2031" s="64">
        <f>IFERROR(INDEX('1. Matriz de Activos'!$R$6:$R$239,MATCH($C2031,MgActId,0)),"")</f>
        <v/>
      </c>
      <c r="M2031" s="64">
        <f>IFERROR(INDEX('1. Matriz de Activos'!$S$6:$S$239,MATCH($C2031,MgActId,0)),"")</f>
        <v/>
      </c>
      <c r="N2031" s="28">
        <f>IFERROR(INDEX(MgAmenDegD,MATCH(SUBSTITUTE($H2031,"*","-"),MgAmenClave,0)),"No aplica")</f>
        <v/>
      </c>
      <c r="O2031" s="28">
        <f>IFERROR(INDEX(MgAmenDegI,MATCH(SUBSTITUTE($H2031,"*","-"),MgAmenClave,0)),"No aplica")</f>
        <v/>
      </c>
      <c r="P2031" s="28">
        <f>IFERROR(INDEX(MgAmenDegC,MATCH(SUBSTITUTE($H2031,"*","-"),MgAmenClave,0)),"No aplica")</f>
        <v/>
      </c>
      <c r="Q2031" s="29">
        <f>IFERROR(VLOOKUP(K2031,MgValor,2,0)*VLOOKUP(N2031,MgDeg,2,0),0)</f>
        <v/>
      </c>
      <c r="R2031" s="29">
        <f>IFERROR(VLOOKUP(L2031,MgValor,2,0)*VLOOKUP(O2031,MgDeg,2,0),0)</f>
        <v/>
      </c>
      <c r="S2031" s="29">
        <f>IFERROR(VLOOKUP(M2031,MgValor,2,0)*VLOOKUP(P2031,MgDeg,2,0),0)</f>
        <v/>
      </c>
      <c r="T2031" s="30">
        <f>MAX(Q2031:S2031)</f>
        <v/>
      </c>
      <c r="U2031" s="28">
        <f>IFERROR(LOOKUP(T2031,{0;0.5;1.5;3;4.5},{"Despreciable";"Bajo";"Medio";"Alto";"Muy alto"}),"")</f>
        <v/>
      </c>
      <c r="V2031" s="13">
        <f>IFERROR(INDEX(MgAmenFrec,MATCH(SUBSTITUTE($H2031,"*","-"),MgAmenClave,0)),"")</f>
        <v/>
      </c>
      <c r="W2031" s="28">
        <f>IFERROR(LOOKUP(X2031,{0;0.01;0.1;1;10;100},{"Muy baja";"Muy baja";"Baja";"Media";"Alta";"Muy alta"}),"")</f>
        <v/>
      </c>
      <c r="X2031" s="31">
        <f>IFERROR(VLOOKUP(V2031,MgFrec,2,0),0)</f>
        <v/>
      </c>
      <c r="Y2031" s="30">
        <f>T2031*X2031</f>
        <v/>
      </c>
      <c r="Z2031" s="28">
        <f>IFERROR(LOOKUP(Y2031,{0;0.5;5;25},{"Bajo";"Medio";"Alto";"Crítico"}),"")</f>
        <v/>
      </c>
      <c r="AA2031" s="64">
        <f>IF(T2031&gt;=3,IF(X2031&gt;=1,"Zona 1 — Crítica: impacto alto y ocurre al menos una vez al año","Zona 4 — Catastrófica poco probable: impacto alto pero excepcional"),IF(AND(T2031&lt;1.5,X2031&lt;1),"Zona 3 — Asumible: impacto bajo y muy poco frecuente","Zona 2 — Atención: riesgo intermedio"))</f>
        <v/>
      </c>
      <c r="AB2031" s="64">
        <f>IFERROR(INDEX(MgAmenCtrl,MATCH(SUBSTITUTE($H2031,"*","-"),MgAmenClave,0)),"")</f>
        <v/>
      </c>
      <c r="AC2031" s="20" t="n"/>
      <c r="AD2031" s="31">
        <f>IFERROR($X2031*(1-IF($AC2031="",$AL2031,VLOOKUP($AC2031,MgMad,2,0))),"")</f>
        <v/>
      </c>
      <c r="AE2031" s="28">
        <f>IFERROR(LOOKUP(AD2031,{0;0.01;0.1;1;10;100},{"Muy baja";"Muy baja";"Baja";"Media";"Alta";"Muy alta"}),"")</f>
        <v/>
      </c>
      <c r="AF2031" s="30">
        <f>T2031*AD2031</f>
        <v/>
      </c>
      <c r="AG2031" s="28">
        <f>IFERROR(LOOKUP(AF2031,{0;0.5;5;25},{"Bajo";"Medio";"Alto";"Crítico"}),"")</f>
        <v/>
      </c>
      <c r="AH2031" s="28">
        <f>IF(AG2031="","",IF(OR(AG2031="Crítico",AG2031="Alto"),"Mitigar",IF(AG2031="Medio","Mitigar","Aceptar y monitorear")))</f>
        <v/>
      </c>
      <c r="AI2031" s="21" t="n"/>
      <c r="AJ2031" s="21" t="n"/>
      <c r="AK2031" s="20" t="n"/>
      <c r="AL2031" s="77">
        <f>IFERROR(INDEX(MgAmenEfic,MATCH(SUBSTITUTE($H2031,"*","-"),MgAmenClave,0)),0)</f>
        <v/>
      </c>
    </row>
    <row r="2032" hidden="1" ht="105" customHeight="1" s="54">
      <c r="B2032" s="59" t="inlineStr">
        <is>
          <t>R-2027</t>
        </is>
      </c>
      <c r="C2032" s="59" t="inlineStr">
        <is>
          <t>MS-01</t>
        </is>
      </c>
      <c r="D2032" s="64">
        <f>IFERROR(INDEX(MgNombre,MATCH($C2032,MgActId,0)),"")</f>
        <v/>
      </c>
      <c r="E2032" s="64">
        <f>IFERROR(INDEX(MgProceso,MATCH($C2032,MgActId,0)),"")</f>
        <v/>
      </c>
      <c r="F2032" s="64">
        <f>IFERROR(INDEX(MgTipo,MATCH($C2032,MgActId,0)),"")</f>
        <v/>
      </c>
      <c r="G2032" s="64">
        <f>IFERROR(INDEX(MgSubtipo,MATCH($C2032,MgActId,0)),"")</f>
        <v/>
      </c>
      <c r="H2032" s="59" t="inlineStr">
        <is>
          <t>A.6</t>
        </is>
      </c>
      <c r="I2032" s="64">
        <f>IFERROR(INDEX(MgAmenNombre,MATCH(SUBSTITUTE($H2032,"*","-"),MgAmenClave,0)),"")</f>
        <v/>
      </c>
      <c r="J2032" s="28">
        <f>IFERROR(INDEX(MgAmenGrupo,MATCH(SUBSTITUTE($H2032,"*","-"),MgAmenClave,0)),"")</f>
        <v/>
      </c>
      <c r="K2032" s="64">
        <f>IFERROR(INDEX('1. Matriz de Activos'!$Q$6:$Q$239,MATCH($C2032,MgActId,0)),"")</f>
        <v/>
      </c>
      <c r="L2032" s="64">
        <f>IFERROR(INDEX('1. Matriz de Activos'!$R$6:$R$239,MATCH($C2032,MgActId,0)),"")</f>
        <v/>
      </c>
      <c r="M2032" s="64">
        <f>IFERROR(INDEX('1. Matriz de Activos'!$S$6:$S$239,MATCH($C2032,MgActId,0)),"")</f>
        <v/>
      </c>
      <c r="N2032" s="28">
        <f>IFERROR(INDEX(MgAmenDegD,MATCH(SUBSTITUTE($H2032,"*","-"),MgAmenClave,0)),"No aplica")</f>
        <v/>
      </c>
      <c r="O2032" s="28">
        <f>IFERROR(INDEX(MgAmenDegI,MATCH(SUBSTITUTE($H2032,"*","-"),MgAmenClave,0)),"No aplica")</f>
        <v/>
      </c>
      <c r="P2032" s="28">
        <f>IFERROR(INDEX(MgAmenDegC,MATCH(SUBSTITUTE($H2032,"*","-"),MgAmenClave,0)),"No aplica")</f>
        <v/>
      </c>
      <c r="Q2032" s="29">
        <f>IFERROR(VLOOKUP(K2032,MgValor,2,0)*VLOOKUP(N2032,MgDeg,2,0),0)</f>
        <v/>
      </c>
      <c r="R2032" s="29">
        <f>IFERROR(VLOOKUP(L2032,MgValor,2,0)*VLOOKUP(O2032,MgDeg,2,0),0)</f>
        <v/>
      </c>
      <c r="S2032" s="29">
        <f>IFERROR(VLOOKUP(M2032,MgValor,2,0)*VLOOKUP(P2032,MgDeg,2,0),0)</f>
        <v/>
      </c>
      <c r="T2032" s="30">
        <f>MAX(Q2032:S2032)</f>
        <v/>
      </c>
      <c r="U2032" s="28">
        <f>IFERROR(LOOKUP(T2032,{0;0.5;1.5;3;4.5},{"Despreciable";"Bajo";"Medio";"Alto";"Muy alto"}),"")</f>
        <v/>
      </c>
      <c r="V2032" s="13">
        <f>IFERROR(INDEX(MgAmenFrec,MATCH(SUBSTITUTE($H2032,"*","-"),MgAmenClave,0)),"")</f>
        <v/>
      </c>
      <c r="W2032" s="28">
        <f>IFERROR(LOOKUP(X2032,{0;0.01;0.1;1;10;100},{"Muy baja";"Muy baja";"Baja";"Media";"Alta";"Muy alta"}),"")</f>
        <v/>
      </c>
      <c r="X2032" s="31">
        <f>IFERROR(VLOOKUP(V2032,MgFrec,2,0),0)</f>
        <v/>
      </c>
      <c r="Y2032" s="30">
        <f>T2032*X2032</f>
        <v/>
      </c>
      <c r="Z2032" s="28">
        <f>IFERROR(LOOKUP(Y2032,{0;0.5;5;25},{"Bajo";"Medio";"Alto";"Crítico"}),"")</f>
        <v/>
      </c>
      <c r="AA2032" s="64">
        <f>IF(T2032&gt;=3,IF(X2032&gt;=1,"Zona 1 — Crítica: impacto alto y ocurre al menos una vez al año","Zona 4 — Catastrófica poco probable: impacto alto pero excepcional"),IF(AND(T2032&lt;1.5,X2032&lt;1),"Zona 3 — Asumible: impacto bajo y muy poco frecuente","Zona 2 — Atención: riesgo intermedio"))</f>
        <v/>
      </c>
      <c r="AB2032" s="64">
        <f>IFERROR(INDEX(MgAmenCtrl,MATCH(SUBSTITUTE($H2032,"*","-"),MgAmenClave,0)),"")</f>
        <v/>
      </c>
      <c r="AC2032" s="20" t="n"/>
      <c r="AD2032" s="31">
        <f>IFERROR($X2032*(1-IF($AC2032="",$AL2032,VLOOKUP($AC2032,MgMad,2,0))),"")</f>
        <v/>
      </c>
      <c r="AE2032" s="28">
        <f>IFERROR(LOOKUP(AD2032,{0;0.01;0.1;1;10;100},{"Muy baja";"Muy baja";"Baja";"Media";"Alta";"Muy alta"}),"")</f>
        <v/>
      </c>
      <c r="AF2032" s="30">
        <f>T2032*AD2032</f>
        <v/>
      </c>
      <c r="AG2032" s="28">
        <f>IFERROR(LOOKUP(AF2032,{0;0.5;5;25},{"Bajo";"Medio";"Alto";"Crítico"}),"")</f>
        <v/>
      </c>
      <c r="AH2032" s="28">
        <f>IF(AG2032="","",IF(OR(AG2032="Crítico",AG2032="Alto"),"Mitigar",IF(AG2032="Medio","Mitigar","Aceptar y monitorear")))</f>
        <v/>
      </c>
      <c r="AI2032" s="21" t="n"/>
      <c r="AJ2032" s="21" t="n"/>
      <c r="AK2032" s="20" t="n"/>
      <c r="AL2032" s="77">
        <f>IFERROR(INDEX(MgAmenEfic,MATCH(SUBSTITUTE($H2032,"*","-"),MgAmenClave,0)),0)</f>
        <v/>
      </c>
    </row>
    <row r="2033" hidden="1" ht="60" customHeight="1" s="54">
      <c r="B2033" s="59" t="inlineStr">
        <is>
          <t>R-2028</t>
        </is>
      </c>
      <c r="C2033" s="59" t="inlineStr">
        <is>
          <t>MS-01</t>
        </is>
      </c>
      <c r="D2033" s="64">
        <f>IFERROR(INDEX(MgNombre,MATCH($C2033,MgActId,0)),"")</f>
        <v/>
      </c>
      <c r="E2033" s="64">
        <f>IFERROR(INDEX(MgProceso,MATCH($C2033,MgActId,0)),"")</f>
        <v/>
      </c>
      <c r="F2033" s="64">
        <f>IFERROR(INDEX(MgTipo,MATCH($C2033,MgActId,0)),"")</f>
        <v/>
      </c>
      <c r="G2033" s="64">
        <f>IFERROR(INDEX(MgSubtipo,MATCH($C2033,MgActId,0)),"")</f>
        <v/>
      </c>
      <c r="H2033" s="59" t="inlineStr">
        <is>
          <t>A.7</t>
        </is>
      </c>
      <c r="I2033" s="64">
        <f>IFERROR(INDEX(MgAmenNombre,MATCH(SUBSTITUTE($H2033,"*","-"),MgAmenClave,0)),"")</f>
        <v/>
      </c>
      <c r="J2033" s="28">
        <f>IFERROR(INDEX(MgAmenGrupo,MATCH(SUBSTITUTE($H2033,"*","-"),MgAmenClave,0)),"")</f>
        <v/>
      </c>
      <c r="K2033" s="64">
        <f>IFERROR(INDEX('1. Matriz de Activos'!$Q$6:$Q$239,MATCH($C2033,MgActId,0)),"")</f>
        <v/>
      </c>
      <c r="L2033" s="64">
        <f>IFERROR(INDEX('1. Matriz de Activos'!$R$6:$R$239,MATCH($C2033,MgActId,0)),"")</f>
        <v/>
      </c>
      <c r="M2033" s="64">
        <f>IFERROR(INDEX('1. Matriz de Activos'!$S$6:$S$239,MATCH($C2033,MgActId,0)),"")</f>
        <v/>
      </c>
      <c r="N2033" s="28">
        <f>IFERROR(INDEX(MgAmenDegD,MATCH(SUBSTITUTE($H2033,"*","-"),MgAmenClave,0)),"No aplica")</f>
        <v/>
      </c>
      <c r="O2033" s="28">
        <f>IFERROR(INDEX(MgAmenDegI,MATCH(SUBSTITUTE($H2033,"*","-"),MgAmenClave,0)),"No aplica")</f>
        <v/>
      </c>
      <c r="P2033" s="28">
        <f>IFERROR(INDEX(MgAmenDegC,MATCH(SUBSTITUTE($H2033,"*","-"),MgAmenClave,0)),"No aplica")</f>
        <v/>
      </c>
      <c r="Q2033" s="29">
        <f>IFERROR(VLOOKUP(K2033,MgValor,2,0)*VLOOKUP(N2033,MgDeg,2,0),0)</f>
        <v/>
      </c>
      <c r="R2033" s="29">
        <f>IFERROR(VLOOKUP(L2033,MgValor,2,0)*VLOOKUP(O2033,MgDeg,2,0),0)</f>
        <v/>
      </c>
      <c r="S2033" s="29">
        <f>IFERROR(VLOOKUP(M2033,MgValor,2,0)*VLOOKUP(P2033,MgDeg,2,0),0)</f>
        <v/>
      </c>
      <c r="T2033" s="30">
        <f>MAX(Q2033:S2033)</f>
        <v/>
      </c>
      <c r="U2033" s="28">
        <f>IFERROR(LOOKUP(T2033,{0;0.5;1.5;3;4.5},{"Despreciable";"Bajo";"Medio";"Alto";"Muy alto"}),"")</f>
        <v/>
      </c>
      <c r="V2033" s="13">
        <f>IFERROR(INDEX(MgAmenFrec,MATCH(SUBSTITUTE($H2033,"*","-"),MgAmenClave,0)),"")</f>
        <v/>
      </c>
      <c r="W2033" s="28">
        <f>IFERROR(LOOKUP(X2033,{0;0.01;0.1;1;10;100},{"Muy baja";"Muy baja";"Baja";"Media";"Alta";"Muy alta"}),"")</f>
        <v/>
      </c>
      <c r="X2033" s="31">
        <f>IFERROR(VLOOKUP(V2033,MgFrec,2,0),0)</f>
        <v/>
      </c>
      <c r="Y2033" s="30">
        <f>T2033*X2033</f>
        <v/>
      </c>
      <c r="Z2033" s="28">
        <f>IFERROR(LOOKUP(Y2033,{0;0.5;5;25},{"Bajo";"Medio";"Alto";"Crítico"}),"")</f>
        <v/>
      </c>
      <c r="AA2033" s="64">
        <f>IF(T2033&gt;=3,IF(X2033&gt;=1,"Zona 1 — Crítica: impacto alto y ocurre al menos una vez al año","Zona 4 — Catastrófica poco probable: impacto alto pero excepcional"),IF(AND(T2033&lt;1.5,X2033&lt;1),"Zona 3 — Asumible: impacto bajo y muy poco frecuente","Zona 2 — Atención: riesgo intermedio"))</f>
        <v/>
      </c>
      <c r="AB2033" s="64">
        <f>IFERROR(INDEX(MgAmenCtrl,MATCH(SUBSTITUTE($H2033,"*","-"),MgAmenClave,0)),"")</f>
        <v/>
      </c>
      <c r="AC2033" s="20" t="n"/>
      <c r="AD2033" s="31">
        <f>IFERROR($X2033*(1-IF($AC2033="",$AL2033,VLOOKUP($AC2033,MgMad,2,0))),"")</f>
        <v/>
      </c>
      <c r="AE2033" s="28">
        <f>IFERROR(LOOKUP(AD2033,{0;0.01;0.1;1;10;100},{"Muy baja";"Muy baja";"Baja";"Media";"Alta";"Muy alta"}),"")</f>
        <v/>
      </c>
      <c r="AF2033" s="30">
        <f>T2033*AD2033</f>
        <v/>
      </c>
      <c r="AG2033" s="28">
        <f>IFERROR(LOOKUP(AF2033,{0;0.5;5;25},{"Bajo";"Medio";"Alto";"Crítico"}),"")</f>
        <v/>
      </c>
      <c r="AH2033" s="28">
        <f>IF(AG2033="","",IF(OR(AG2033="Crítico",AG2033="Alto"),"Mitigar",IF(AG2033="Medio","Mitigar","Aceptar y monitorear")))</f>
        <v/>
      </c>
      <c r="AI2033" s="21" t="n"/>
      <c r="AJ2033" s="21" t="n"/>
      <c r="AK2033" s="20" t="n"/>
      <c r="AL2033" s="77">
        <f>IFERROR(INDEX(MgAmenEfic,MATCH(SUBSTITUTE($H2033,"*","-"),MgAmenClave,0)),0)</f>
        <v/>
      </c>
    </row>
    <row r="2034" hidden="1" ht="60" customHeight="1" s="54">
      <c r="B2034" s="59" t="inlineStr">
        <is>
          <t>R-2029</t>
        </is>
      </c>
      <c r="C2034" s="59" t="inlineStr">
        <is>
          <t>MS-01</t>
        </is>
      </c>
      <c r="D2034" s="64">
        <f>IFERROR(INDEX(MgNombre,MATCH($C2034,MgActId,0)),"")</f>
        <v/>
      </c>
      <c r="E2034" s="64">
        <f>IFERROR(INDEX(MgProceso,MATCH($C2034,MgActId,0)),"")</f>
        <v/>
      </c>
      <c r="F2034" s="64">
        <f>IFERROR(INDEX(MgTipo,MATCH($C2034,MgActId,0)),"")</f>
        <v/>
      </c>
      <c r="G2034" s="64">
        <f>IFERROR(INDEX(MgSubtipo,MATCH($C2034,MgActId,0)),"")</f>
        <v/>
      </c>
      <c r="H2034" s="59" t="inlineStr">
        <is>
          <t>A.9</t>
        </is>
      </c>
      <c r="I2034" s="64">
        <f>IFERROR(INDEX(MgAmenNombre,MATCH(SUBSTITUTE($H2034,"*","-"),MgAmenClave,0)),"")</f>
        <v/>
      </c>
      <c r="J2034" s="28">
        <f>IFERROR(INDEX(MgAmenGrupo,MATCH(SUBSTITUTE($H2034,"*","-"),MgAmenClave,0)),"")</f>
        <v/>
      </c>
      <c r="K2034" s="64">
        <f>IFERROR(INDEX('1. Matriz de Activos'!$Q$6:$Q$239,MATCH($C2034,MgActId,0)),"")</f>
        <v/>
      </c>
      <c r="L2034" s="64">
        <f>IFERROR(INDEX('1. Matriz de Activos'!$R$6:$R$239,MATCH($C2034,MgActId,0)),"")</f>
        <v/>
      </c>
      <c r="M2034" s="64">
        <f>IFERROR(INDEX('1. Matriz de Activos'!$S$6:$S$239,MATCH($C2034,MgActId,0)),"")</f>
        <v/>
      </c>
      <c r="N2034" s="28">
        <f>IFERROR(INDEX(MgAmenDegD,MATCH(SUBSTITUTE($H2034,"*","-"),MgAmenClave,0)),"No aplica")</f>
        <v/>
      </c>
      <c r="O2034" s="28">
        <f>IFERROR(INDEX(MgAmenDegI,MATCH(SUBSTITUTE($H2034,"*","-"),MgAmenClave,0)),"No aplica")</f>
        <v/>
      </c>
      <c r="P2034" s="28">
        <f>IFERROR(INDEX(MgAmenDegC,MATCH(SUBSTITUTE($H2034,"*","-"),MgAmenClave,0)),"No aplica")</f>
        <v/>
      </c>
      <c r="Q2034" s="29">
        <f>IFERROR(VLOOKUP(K2034,MgValor,2,0)*VLOOKUP(N2034,MgDeg,2,0),0)</f>
        <v/>
      </c>
      <c r="R2034" s="29">
        <f>IFERROR(VLOOKUP(L2034,MgValor,2,0)*VLOOKUP(O2034,MgDeg,2,0),0)</f>
        <v/>
      </c>
      <c r="S2034" s="29">
        <f>IFERROR(VLOOKUP(M2034,MgValor,2,0)*VLOOKUP(P2034,MgDeg,2,0),0)</f>
        <v/>
      </c>
      <c r="T2034" s="30">
        <f>MAX(Q2034:S2034)</f>
        <v/>
      </c>
      <c r="U2034" s="28">
        <f>IFERROR(LOOKUP(T2034,{0;0.5;1.5;3;4.5},{"Despreciable";"Bajo";"Medio";"Alto";"Muy alto"}),"")</f>
        <v/>
      </c>
      <c r="V2034" s="13">
        <f>IFERROR(INDEX(MgAmenFrec,MATCH(SUBSTITUTE($H2034,"*","-"),MgAmenClave,0)),"")</f>
        <v/>
      </c>
      <c r="W2034" s="28">
        <f>IFERROR(LOOKUP(X2034,{0;0.01;0.1;1;10;100},{"Muy baja";"Muy baja";"Baja";"Media";"Alta";"Muy alta"}),"")</f>
        <v/>
      </c>
      <c r="X2034" s="31">
        <f>IFERROR(VLOOKUP(V2034,MgFrec,2,0),0)</f>
        <v/>
      </c>
      <c r="Y2034" s="30">
        <f>T2034*X2034</f>
        <v/>
      </c>
      <c r="Z2034" s="28">
        <f>IFERROR(LOOKUP(Y2034,{0;0.5;5;25},{"Bajo";"Medio";"Alto";"Crítico"}),"")</f>
        <v/>
      </c>
      <c r="AA2034" s="64">
        <f>IF(T2034&gt;=3,IF(X2034&gt;=1,"Zona 1 — Crítica: impacto alto y ocurre al menos una vez al año","Zona 4 — Catastrófica poco probable: impacto alto pero excepcional"),IF(AND(T2034&lt;1.5,X2034&lt;1),"Zona 3 — Asumible: impacto bajo y muy poco frecuente","Zona 2 — Atención: riesgo intermedio"))</f>
        <v/>
      </c>
      <c r="AB2034" s="64">
        <f>IFERROR(INDEX(MgAmenCtrl,MATCH(SUBSTITUTE($H2034,"*","-"),MgAmenClave,0)),"")</f>
        <v/>
      </c>
      <c r="AC2034" s="20" t="n"/>
      <c r="AD2034" s="31">
        <f>IFERROR($X2034*(1-IF($AC2034="",$AL2034,VLOOKUP($AC2034,MgMad,2,0))),"")</f>
        <v/>
      </c>
      <c r="AE2034" s="28">
        <f>IFERROR(LOOKUP(AD2034,{0;0.01;0.1;1;10;100},{"Muy baja";"Muy baja";"Baja";"Media";"Alta";"Muy alta"}),"")</f>
        <v/>
      </c>
      <c r="AF2034" s="30">
        <f>T2034*AD2034</f>
        <v/>
      </c>
      <c r="AG2034" s="28">
        <f>IFERROR(LOOKUP(AF2034,{0;0.5;5;25},{"Bajo";"Medio";"Alto";"Crítico"}),"")</f>
        <v/>
      </c>
      <c r="AH2034" s="28">
        <f>IF(AG2034="","",IF(OR(AG2034="Crítico",AG2034="Alto"),"Mitigar",IF(AG2034="Medio","Mitigar","Aceptar y monitorear")))</f>
        <v/>
      </c>
      <c r="AI2034" s="21" t="n"/>
      <c r="AJ2034" s="21" t="n"/>
      <c r="AK2034" s="20" t="n"/>
      <c r="AL2034" s="77">
        <f>IFERROR(INDEX(MgAmenEfic,MATCH(SUBSTITUTE($H2034,"*","-"),MgAmenClave,0)),0)</f>
        <v/>
      </c>
    </row>
    <row r="2035" hidden="1" ht="45" customHeight="1" s="54">
      <c r="B2035" s="59" t="inlineStr">
        <is>
          <t>R-2030</t>
        </is>
      </c>
      <c r="C2035" s="59" t="inlineStr">
        <is>
          <t>MS-01</t>
        </is>
      </c>
      <c r="D2035" s="64">
        <f>IFERROR(INDEX(MgNombre,MATCH($C2035,MgActId,0)),"")</f>
        <v/>
      </c>
      <c r="E2035" s="64">
        <f>IFERROR(INDEX(MgProceso,MATCH($C2035,MgActId,0)),"")</f>
        <v/>
      </c>
      <c r="F2035" s="64">
        <f>IFERROR(INDEX(MgTipo,MATCH($C2035,MgActId,0)),"")</f>
        <v/>
      </c>
      <c r="G2035" s="64">
        <f>IFERROR(INDEX(MgSubtipo,MATCH($C2035,MgActId,0)),"")</f>
        <v/>
      </c>
      <c r="H2035" s="59" t="inlineStr">
        <is>
          <t>A.10</t>
        </is>
      </c>
      <c r="I2035" s="64">
        <f>IFERROR(INDEX(MgAmenNombre,MATCH(SUBSTITUTE($H2035,"*","-"),MgAmenClave,0)),"")</f>
        <v/>
      </c>
      <c r="J2035" s="28">
        <f>IFERROR(INDEX(MgAmenGrupo,MATCH(SUBSTITUTE($H2035,"*","-"),MgAmenClave,0)),"")</f>
        <v/>
      </c>
      <c r="K2035" s="64">
        <f>IFERROR(INDEX('1. Matriz de Activos'!$Q$6:$Q$239,MATCH($C2035,MgActId,0)),"")</f>
        <v/>
      </c>
      <c r="L2035" s="64">
        <f>IFERROR(INDEX('1. Matriz de Activos'!$R$6:$R$239,MATCH($C2035,MgActId,0)),"")</f>
        <v/>
      </c>
      <c r="M2035" s="64">
        <f>IFERROR(INDEX('1. Matriz de Activos'!$S$6:$S$239,MATCH($C2035,MgActId,0)),"")</f>
        <v/>
      </c>
      <c r="N2035" s="28">
        <f>IFERROR(INDEX(MgAmenDegD,MATCH(SUBSTITUTE($H2035,"*","-"),MgAmenClave,0)),"No aplica")</f>
        <v/>
      </c>
      <c r="O2035" s="28">
        <f>IFERROR(INDEX(MgAmenDegI,MATCH(SUBSTITUTE($H2035,"*","-"),MgAmenClave,0)),"No aplica")</f>
        <v/>
      </c>
      <c r="P2035" s="28">
        <f>IFERROR(INDEX(MgAmenDegC,MATCH(SUBSTITUTE($H2035,"*","-"),MgAmenClave,0)),"No aplica")</f>
        <v/>
      </c>
      <c r="Q2035" s="29">
        <f>IFERROR(VLOOKUP(K2035,MgValor,2,0)*VLOOKUP(N2035,MgDeg,2,0),0)</f>
        <v/>
      </c>
      <c r="R2035" s="29">
        <f>IFERROR(VLOOKUP(L2035,MgValor,2,0)*VLOOKUP(O2035,MgDeg,2,0),0)</f>
        <v/>
      </c>
      <c r="S2035" s="29">
        <f>IFERROR(VLOOKUP(M2035,MgValor,2,0)*VLOOKUP(P2035,MgDeg,2,0),0)</f>
        <v/>
      </c>
      <c r="T2035" s="30">
        <f>MAX(Q2035:S2035)</f>
        <v/>
      </c>
      <c r="U2035" s="28">
        <f>IFERROR(LOOKUP(T2035,{0;0.5;1.5;3;4.5},{"Despreciable";"Bajo";"Medio";"Alto";"Muy alto"}),"")</f>
        <v/>
      </c>
      <c r="V2035" s="13">
        <f>IFERROR(INDEX(MgAmenFrec,MATCH(SUBSTITUTE($H2035,"*","-"),MgAmenClave,0)),"")</f>
        <v/>
      </c>
      <c r="W2035" s="28">
        <f>IFERROR(LOOKUP(X2035,{0;0.01;0.1;1;10;100},{"Muy baja";"Muy baja";"Baja";"Media";"Alta";"Muy alta"}),"")</f>
        <v/>
      </c>
      <c r="X2035" s="31">
        <f>IFERROR(VLOOKUP(V2035,MgFrec,2,0),0)</f>
        <v/>
      </c>
      <c r="Y2035" s="30">
        <f>T2035*X2035</f>
        <v/>
      </c>
      <c r="Z2035" s="28">
        <f>IFERROR(LOOKUP(Y2035,{0;0.5;5;25},{"Bajo";"Medio";"Alto";"Crítico"}),"")</f>
        <v/>
      </c>
      <c r="AA2035" s="64">
        <f>IF(T2035&gt;=3,IF(X2035&gt;=1,"Zona 1 — Crítica: impacto alto y ocurre al menos una vez al año","Zona 4 — Catastrófica poco probable: impacto alto pero excepcional"),IF(AND(T2035&lt;1.5,X2035&lt;1),"Zona 3 — Asumible: impacto bajo y muy poco frecuente","Zona 2 — Atención: riesgo intermedio"))</f>
        <v/>
      </c>
      <c r="AB2035" s="64">
        <f>IFERROR(INDEX(MgAmenCtrl,MATCH(SUBSTITUTE($H2035,"*","-"),MgAmenClave,0)),"")</f>
        <v/>
      </c>
      <c r="AC2035" s="20" t="n"/>
      <c r="AD2035" s="31">
        <f>IFERROR($X2035*(1-IF($AC2035="",$AL2035,VLOOKUP($AC2035,MgMad,2,0))),"")</f>
        <v/>
      </c>
      <c r="AE2035" s="28">
        <f>IFERROR(LOOKUP(AD2035,{0;0.01;0.1;1;10;100},{"Muy baja";"Muy baja";"Baja";"Media";"Alta";"Muy alta"}),"")</f>
        <v/>
      </c>
      <c r="AF2035" s="30">
        <f>T2035*AD2035</f>
        <v/>
      </c>
      <c r="AG2035" s="28">
        <f>IFERROR(LOOKUP(AF2035,{0;0.5;5;25},{"Bajo";"Medio";"Alto";"Crítico"}),"")</f>
        <v/>
      </c>
      <c r="AH2035" s="28">
        <f>IF(AG2035="","",IF(OR(AG2035="Crítico",AG2035="Alto"),"Mitigar",IF(AG2035="Medio","Mitigar","Aceptar y monitorear")))</f>
        <v/>
      </c>
      <c r="AI2035" s="21" t="n"/>
      <c r="AJ2035" s="21" t="n"/>
      <c r="AK2035" s="20" t="n"/>
      <c r="AL2035" s="77">
        <f>IFERROR(INDEX(MgAmenEfic,MATCH(SUBSTITUTE($H2035,"*","-"),MgAmenClave,0)),0)</f>
        <v/>
      </c>
    </row>
    <row r="2036" hidden="1" ht="120" customHeight="1" s="54">
      <c r="B2036" s="59" t="inlineStr">
        <is>
          <t>R-2031</t>
        </is>
      </c>
      <c r="C2036" s="59" t="inlineStr">
        <is>
          <t>MS-01</t>
        </is>
      </c>
      <c r="D2036" s="64">
        <f>IFERROR(INDEX(MgNombre,MATCH($C2036,MgActId,0)),"")</f>
        <v/>
      </c>
      <c r="E2036" s="64">
        <f>IFERROR(INDEX(MgProceso,MATCH($C2036,MgActId,0)),"")</f>
        <v/>
      </c>
      <c r="F2036" s="64">
        <f>IFERROR(INDEX(MgTipo,MATCH($C2036,MgActId,0)),"")</f>
        <v/>
      </c>
      <c r="G2036" s="64">
        <f>IFERROR(INDEX(MgSubtipo,MATCH($C2036,MgActId,0)),"")</f>
        <v/>
      </c>
      <c r="H2036" s="59" t="inlineStr">
        <is>
          <t>A.11</t>
        </is>
      </c>
      <c r="I2036" s="64">
        <f>IFERROR(INDEX(MgAmenNombre,MATCH(SUBSTITUTE($H2036,"*","-"),MgAmenClave,0)),"")</f>
        <v/>
      </c>
      <c r="J2036" s="28">
        <f>IFERROR(INDEX(MgAmenGrupo,MATCH(SUBSTITUTE($H2036,"*","-"),MgAmenClave,0)),"")</f>
        <v/>
      </c>
      <c r="K2036" s="64">
        <f>IFERROR(INDEX('1. Matriz de Activos'!$Q$6:$Q$239,MATCH($C2036,MgActId,0)),"")</f>
        <v/>
      </c>
      <c r="L2036" s="64">
        <f>IFERROR(INDEX('1. Matriz de Activos'!$R$6:$R$239,MATCH($C2036,MgActId,0)),"")</f>
        <v/>
      </c>
      <c r="M2036" s="64">
        <f>IFERROR(INDEX('1. Matriz de Activos'!$S$6:$S$239,MATCH($C2036,MgActId,0)),"")</f>
        <v/>
      </c>
      <c r="N2036" s="28">
        <f>IFERROR(INDEX(MgAmenDegD,MATCH(SUBSTITUTE($H2036,"*","-"),MgAmenClave,0)),"No aplica")</f>
        <v/>
      </c>
      <c r="O2036" s="28">
        <f>IFERROR(INDEX(MgAmenDegI,MATCH(SUBSTITUTE($H2036,"*","-"),MgAmenClave,0)),"No aplica")</f>
        <v/>
      </c>
      <c r="P2036" s="28">
        <f>IFERROR(INDEX(MgAmenDegC,MATCH(SUBSTITUTE($H2036,"*","-"),MgAmenClave,0)),"No aplica")</f>
        <v/>
      </c>
      <c r="Q2036" s="29">
        <f>IFERROR(VLOOKUP(K2036,MgValor,2,0)*VLOOKUP(N2036,MgDeg,2,0),0)</f>
        <v/>
      </c>
      <c r="R2036" s="29">
        <f>IFERROR(VLOOKUP(L2036,MgValor,2,0)*VLOOKUP(O2036,MgDeg,2,0),0)</f>
        <v/>
      </c>
      <c r="S2036" s="29">
        <f>IFERROR(VLOOKUP(M2036,MgValor,2,0)*VLOOKUP(P2036,MgDeg,2,0),0)</f>
        <v/>
      </c>
      <c r="T2036" s="30">
        <f>MAX(Q2036:S2036)</f>
        <v/>
      </c>
      <c r="U2036" s="28">
        <f>IFERROR(LOOKUP(T2036,{0;0.5;1.5;3;4.5},{"Despreciable";"Bajo";"Medio";"Alto";"Muy alto"}),"")</f>
        <v/>
      </c>
      <c r="V2036" s="13">
        <f>IFERROR(INDEX(MgAmenFrec,MATCH(SUBSTITUTE($H2036,"*","-"),MgAmenClave,0)),"")</f>
        <v/>
      </c>
      <c r="W2036" s="28">
        <f>IFERROR(LOOKUP(X2036,{0;0.01;0.1;1;10;100},{"Muy baja";"Muy baja";"Baja";"Media";"Alta";"Muy alta"}),"")</f>
        <v/>
      </c>
      <c r="X2036" s="31">
        <f>IFERROR(VLOOKUP(V2036,MgFrec,2,0),0)</f>
        <v/>
      </c>
      <c r="Y2036" s="30">
        <f>T2036*X2036</f>
        <v/>
      </c>
      <c r="Z2036" s="28">
        <f>IFERROR(LOOKUP(Y2036,{0;0.5;5;25},{"Bajo";"Medio";"Alto";"Crítico"}),"")</f>
        <v/>
      </c>
      <c r="AA2036" s="64">
        <f>IF(T2036&gt;=3,IF(X2036&gt;=1,"Zona 1 — Crítica: impacto alto y ocurre al menos una vez al año","Zona 4 — Catastrófica poco probable: impacto alto pero excepcional"),IF(AND(T2036&lt;1.5,X2036&lt;1),"Zona 3 — Asumible: impacto bajo y muy poco frecuente","Zona 2 — Atención: riesgo intermedio"))</f>
        <v/>
      </c>
      <c r="AB2036" s="64">
        <f>IFERROR(INDEX(MgAmenCtrl,MATCH(SUBSTITUTE($H2036,"*","-"),MgAmenClave,0)),"")</f>
        <v/>
      </c>
      <c r="AC2036" s="20" t="n"/>
      <c r="AD2036" s="31">
        <f>IFERROR($X2036*(1-IF($AC2036="",$AL2036,VLOOKUP($AC2036,MgMad,2,0))),"")</f>
        <v/>
      </c>
      <c r="AE2036" s="28">
        <f>IFERROR(LOOKUP(AD2036,{0;0.01;0.1;1;10;100},{"Muy baja";"Muy baja";"Baja";"Media";"Alta";"Muy alta"}),"")</f>
        <v/>
      </c>
      <c r="AF2036" s="30">
        <f>T2036*AD2036</f>
        <v/>
      </c>
      <c r="AG2036" s="28">
        <f>IFERROR(LOOKUP(AF2036,{0;0.5;5;25},{"Bajo";"Medio";"Alto";"Crítico"}),"")</f>
        <v/>
      </c>
      <c r="AH2036" s="28">
        <f>IF(AG2036="","",IF(OR(AG2036="Crítico",AG2036="Alto"),"Mitigar",IF(AG2036="Medio","Mitigar","Aceptar y monitorear")))</f>
        <v/>
      </c>
      <c r="AI2036" s="21" t="n"/>
      <c r="AJ2036" s="21" t="n"/>
      <c r="AK2036" s="20" t="n"/>
      <c r="AL2036" s="77">
        <f>IFERROR(INDEX(MgAmenEfic,MATCH(SUBSTITUTE($H2036,"*","-"),MgAmenClave,0)),0)</f>
        <v/>
      </c>
    </row>
    <row r="2037" hidden="1" ht="90" customHeight="1" s="54">
      <c r="B2037" s="59" t="inlineStr">
        <is>
          <t>R-2032</t>
        </is>
      </c>
      <c r="C2037" s="59" t="inlineStr">
        <is>
          <t>MS-01</t>
        </is>
      </c>
      <c r="D2037" s="64">
        <f>IFERROR(INDEX(MgNombre,MATCH($C2037,MgActId,0)),"")</f>
        <v/>
      </c>
      <c r="E2037" s="64">
        <f>IFERROR(INDEX(MgProceso,MATCH($C2037,MgActId,0)),"")</f>
        <v/>
      </c>
      <c r="F2037" s="64">
        <f>IFERROR(INDEX(MgTipo,MATCH($C2037,MgActId,0)),"")</f>
        <v/>
      </c>
      <c r="G2037" s="64">
        <f>IFERROR(INDEX(MgSubtipo,MATCH($C2037,MgActId,0)),"")</f>
        <v/>
      </c>
      <c r="H2037" s="59" t="inlineStr">
        <is>
          <t>A.13</t>
        </is>
      </c>
      <c r="I2037" s="64">
        <f>IFERROR(INDEX(MgAmenNombre,MATCH(SUBSTITUTE($H2037,"*","-"),MgAmenClave,0)),"")</f>
        <v/>
      </c>
      <c r="J2037" s="28">
        <f>IFERROR(INDEX(MgAmenGrupo,MATCH(SUBSTITUTE($H2037,"*","-"),MgAmenClave,0)),"")</f>
        <v/>
      </c>
      <c r="K2037" s="64">
        <f>IFERROR(INDEX('1. Matriz de Activos'!$Q$6:$Q$239,MATCH($C2037,MgActId,0)),"")</f>
        <v/>
      </c>
      <c r="L2037" s="64">
        <f>IFERROR(INDEX('1. Matriz de Activos'!$R$6:$R$239,MATCH($C2037,MgActId,0)),"")</f>
        <v/>
      </c>
      <c r="M2037" s="64">
        <f>IFERROR(INDEX('1. Matriz de Activos'!$S$6:$S$239,MATCH($C2037,MgActId,0)),"")</f>
        <v/>
      </c>
      <c r="N2037" s="28">
        <f>IFERROR(INDEX(MgAmenDegD,MATCH(SUBSTITUTE($H2037,"*","-"),MgAmenClave,0)),"No aplica")</f>
        <v/>
      </c>
      <c r="O2037" s="28">
        <f>IFERROR(INDEX(MgAmenDegI,MATCH(SUBSTITUTE($H2037,"*","-"),MgAmenClave,0)),"No aplica")</f>
        <v/>
      </c>
      <c r="P2037" s="28">
        <f>IFERROR(INDEX(MgAmenDegC,MATCH(SUBSTITUTE($H2037,"*","-"),MgAmenClave,0)),"No aplica")</f>
        <v/>
      </c>
      <c r="Q2037" s="29">
        <f>IFERROR(VLOOKUP(K2037,MgValor,2,0)*VLOOKUP(N2037,MgDeg,2,0),0)</f>
        <v/>
      </c>
      <c r="R2037" s="29">
        <f>IFERROR(VLOOKUP(L2037,MgValor,2,0)*VLOOKUP(O2037,MgDeg,2,0),0)</f>
        <v/>
      </c>
      <c r="S2037" s="29">
        <f>IFERROR(VLOOKUP(M2037,MgValor,2,0)*VLOOKUP(P2037,MgDeg,2,0),0)</f>
        <v/>
      </c>
      <c r="T2037" s="30">
        <f>MAX(Q2037:S2037)</f>
        <v/>
      </c>
      <c r="U2037" s="28">
        <f>IFERROR(LOOKUP(T2037,{0;0.5;1.5;3;4.5},{"Despreciable";"Bajo";"Medio";"Alto";"Muy alto"}),"")</f>
        <v/>
      </c>
      <c r="V2037" s="13">
        <f>IFERROR(INDEX(MgAmenFrec,MATCH(SUBSTITUTE($H2037,"*","-"),MgAmenClave,0)),"")</f>
        <v/>
      </c>
      <c r="W2037" s="28">
        <f>IFERROR(LOOKUP(X2037,{0;0.01;0.1;1;10;100},{"Muy baja";"Muy baja";"Baja";"Media";"Alta";"Muy alta"}),"")</f>
        <v/>
      </c>
      <c r="X2037" s="31">
        <f>IFERROR(VLOOKUP(V2037,MgFrec,2,0),0)</f>
        <v/>
      </c>
      <c r="Y2037" s="30">
        <f>T2037*X2037</f>
        <v/>
      </c>
      <c r="Z2037" s="28">
        <f>IFERROR(LOOKUP(Y2037,{0;0.5;5;25},{"Bajo";"Medio";"Alto";"Crítico"}),"")</f>
        <v/>
      </c>
      <c r="AA2037" s="64">
        <f>IF(T2037&gt;=3,IF(X2037&gt;=1,"Zona 1 — Crítica: impacto alto y ocurre al menos una vez al año","Zona 4 — Catastrófica poco probable: impacto alto pero excepcional"),IF(AND(T2037&lt;1.5,X2037&lt;1),"Zona 3 — Asumible: impacto bajo y muy poco frecuente","Zona 2 — Atención: riesgo intermedio"))</f>
        <v/>
      </c>
      <c r="AB2037" s="64">
        <f>IFERROR(INDEX(MgAmenCtrl,MATCH(SUBSTITUTE($H2037,"*","-"),MgAmenClave,0)),"")</f>
        <v/>
      </c>
      <c r="AC2037" s="20" t="n"/>
      <c r="AD2037" s="31">
        <f>IFERROR($X2037*(1-IF($AC2037="",$AL2037,VLOOKUP($AC2037,MgMad,2,0))),"")</f>
        <v/>
      </c>
      <c r="AE2037" s="28">
        <f>IFERROR(LOOKUP(AD2037,{0;0.01;0.1;1;10;100},{"Muy baja";"Muy baja";"Baja";"Media";"Alta";"Muy alta"}),"")</f>
        <v/>
      </c>
      <c r="AF2037" s="30">
        <f>T2037*AD2037</f>
        <v/>
      </c>
      <c r="AG2037" s="28">
        <f>IFERROR(LOOKUP(AF2037,{0;0.5;5;25},{"Bajo";"Medio";"Alto";"Crítico"}),"")</f>
        <v/>
      </c>
      <c r="AH2037" s="28">
        <f>IF(AG2037="","",IF(OR(AG2037="Crítico",AG2037="Alto"),"Mitigar",IF(AG2037="Medio","Mitigar","Aceptar y monitorear")))</f>
        <v/>
      </c>
      <c r="AI2037" s="21" t="n"/>
      <c r="AJ2037" s="21" t="n"/>
      <c r="AK2037" s="20" t="n"/>
      <c r="AL2037" s="77">
        <f>IFERROR(INDEX(MgAmenEfic,MATCH(SUBSTITUTE($H2037,"*","-"),MgAmenClave,0)),0)</f>
        <v/>
      </c>
    </row>
    <row r="2038" hidden="1" ht="60" customHeight="1" s="54">
      <c r="B2038" s="59" t="inlineStr">
        <is>
          <t>R-2033</t>
        </is>
      </c>
      <c r="C2038" s="59" t="inlineStr">
        <is>
          <t>MS-01</t>
        </is>
      </c>
      <c r="D2038" s="64">
        <f>IFERROR(INDEX(MgNombre,MATCH($C2038,MgActId,0)),"")</f>
        <v/>
      </c>
      <c r="E2038" s="64">
        <f>IFERROR(INDEX(MgProceso,MATCH($C2038,MgActId,0)),"")</f>
        <v/>
      </c>
      <c r="F2038" s="64">
        <f>IFERROR(INDEX(MgTipo,MATCH($C2038,MgActId,0)),"")</f>
        <v/>
      </c>
      <c r="G2038" s="64">
        <f>IFERROR(INDEX(MgSubtipo,MATCH($C2038,MgActId,0)),"")</f>
        <v/>
      </c>
      <c r="H2038" s="59" t="inlineStr">
        <is>
          <t>A.15</t>
        </is>
      </c>
      <c r="I2038" s="64">
        <f>IFERROR(INDEX(MgAmenNombre,MATCH(SUBSTITUTE($H2038,"*","-"),MgAmenClave,0)),"")</f>
        <v/>
      </c>
      <c r="J2038" s="28">
        <f>IFERROR(INDEX(MgAmenGrupo,MATCH(SUBSTITUTE($H2038,"*","-"),MgAmenClave,0)),"")</f>
        <v/>
      </c>
      <c r="K2038" s="64">
        <f>IFERROR(INDEX('1. Matriz de Activos'!$Q$6:$Q$239,MATCH($C2038,MgActId,0)),"")</f>
        <v/>
      </c>
      <c r="L2038" s="64">
        <f>IFERROR(INDEX('1. Matriz de Activos'!$R$6:$R$239,MATCH($C2038,MgActId,0)),"")</f>
        <v/>
      </c>
      <c r="M2038" s="64">
        <f>IFERROR(INDEX('1. Matriz de Activos'!$S$6:$S$239,MATCH($C2038,MgActId,0)),"")</f>
        <v/>
      </c>
      <c r="N2038" s="28">
        <f>IFERROR(INDEX(MgAmenDegD,MATCH(SUBSTITUTE($H2038,"*","-"),MgAmenClave,0)),"No aplica")</f>
        <v/>
      </c>
      <c r="O2038" s="28">
        <f>IFERROR(INDEX(MgAmenDegI,MATCH(SUBSTITUTE($H2038,"*","-"),MgAmenClave,0)),"No aplica")</f>
        <v/>
      </c>
      <c r="P2038" s="28">
        <f>IFERROR(INDEX(MgAmenDegC,MATCH(SUBSTITUTE($H2038,"*","-"),MgAmenClave,0)),"No aplica")</f>
        <v/>
      </c>
      <c r="Q2038" s="29">
        <f>IFERROR(VLOOKUP(K2038,MgValor,2,0)*VLOOKUP(N2038,MgDeg,2,0),0)</f>
        <v/>
      </c>
      <c r="R2038" s="29">
        <f>IFERROR(VLOOKUP(L2038,MgValor,2,0)*VLOOKUP(O2038,MgDeg,2,0),0)</f>
        <v/>
      </c>
      <c r="S2038" s="29">
        <f>IFERROR(VLOOKUP(M2038,MgValor,2,0)*VLOOKUP(P2038,MgDeg,2,0),0)</f>
        <v/>
      </c>
      <c r="T2038" s="30">
        <f>MAX(Q2038:S2038)</f>
        <v/>
      </c>
      <c r="U2038" s="28">
        <f>IFERROR(LOOKUP(T2038,{0;0.5;1.5;3;4.5},{"Despreciable";"Bajo";"Medio";"Alto";"Muy alto"}),"")</f>
        <v/>
      </c>
      <c r="V2038" s="13">
        <f>IFERROR(INDEX(MgAmenFrec,MATCH(SUBSTITUTE($H2038,"*","-"),MgAmenClave,0)),"")</f>
        <v/>
      </c>
      <c r="W2038" s="28">
        <f>IFERROR(LOOKUP(X2038,{0;0.01;0.1;1;10;100},{"Muy baja";"Muy baja";"Baja";"Media";"Alta";"Muy alta"}),"")</f>
        <v/>
      </c>
      <c r="X2038" s="31">
        <f>IFERROR(VLOOKUP(V2038,MgFrec,2,0),0)</f>
        <v/>
      </c>
      <c r="Y2038" s="30">
        <f>T2038*X2038</f>
        <v/>
      </c>
      <c r="Z2038" s="28">
        <f>IFERROR(LOOKUP(Y2038,{0;0.5;5;25},{"Bajo";"Medio";"Alto";"Crítico"}),"")</f>
        <v/>
      </c>
      <c r="AA2038" s="64">
        <f>IF(T2038&gt;=3,IF(X2038&gt;=1,"Zona 1 — Crítica: impacto alto y ocurre al menos una vez al año","Zona 4 — Catastrófica poco probable: impacto alto pero excepcional"),IF(AND(T2038&lt;1.5,X2038&lt;1),"Zona 3 — Asumible: impacto bajo y muy poco frecuente","Zona 2 — Atención: riesgo intermedio"))</f>
        <v/>
      </c>
      <c r="AB2038" s="64">
        <f>IFERROR(INDEX(MgAmenCtrl,MATCH(SUBSTITUTE($H2038,"*","-"),MgAmenClave,0)),"")</f>
        <v/>
      </c>
      <c r="AC2038" s="20" t="n"/>
      <c r="AD2038" s="31">
        <f>IFERROR($X2038*(1-IF($AC2038="",$AL2038,VLOOKUP($AC2038,MgMad,2,0))),"")</f>
        <v/>
      </c>
      <c r="AE2038" s="28">
        <f>IFERROR(LOOKUP(AD2038,{0;0.01;0.1;1;10;100},{"Muy baja";"Muy baja";"Baja";"Media";"Alta";"Muy alta"}),"")</f>
        <v/>
      </c>
      <c r="AF2038" s="30">
        <f>T2038*AD2038</f>
        <v/>
      </c>
      <c r="AG2038" s="28">
        <f>IFERROR(LOOKUP(AF2038,{0;0.5;5;25},{"Bajo";"Medio";"Alto";"Crítico"}),"")</f>
        <v/>
      </c>
      <c r="AH2038" s="28">
        <f>IF(AG2038="","",IF(OR(AG2038="Crítico",AG2038="Alto"),"Mitigar",IF(AG2038="Medio","Mitigar","Aceptar y monitorear")))</f>
        <v/>
      </c>
      <c r="AI2038" s="21" t="n"/>
      <c r="AJ2038" s="21" t="n"/>
      <c r="AK2038" s="20" t="n"/>
      <c r="AL2038" s="77">
        <f>IFERROR(INDEX(MgAmenEfic,MATCH(SUBSTITUTE($H2038,"*","-"),MgAmenClave,0)),0)</f>
        <v/>
      </c>
    </row>
    <row r="2039" hidden="1" ht="60" customHeight="1" s="54">
      <c r="B2039" s="59" t="inlineStr">
        <is>
          <t>R-2034</t>
        </is>
      </c>
      <c r="C2039" s="59" t="inlineStr">
        <is>
          <t>MS-01</t>
        </is>
      </c>
      <c r="D2039" s="64">
        <f>IFERROR(INDEX(MgNombre,MATCH($C2039,MgActId,0)),"")</f>
        <v/>
      </c>
      <c r="E2039" s="64">
        <f>IFERROR(INDEX(MgProceso,MATCH($C2039,MgActId,0)),"")</f>
        <v/>
      </c>
      <c r="F2039" s="64">
        <f>IFERROR(INDEX(MgTipo,MATCH($C2039,MgActId,0)),"")</f>
        <v/>
      </c>
      <c r="G2039" s="64">
        <f>IFERROR(INDEX(MgSubtipo,MATCH($C2039,MgActId,0)),"")</f>
        <v/>
      </c>
      <c r="H2039" s="59" t="inlineStr">
        <is>
          <t>A.18</t>
        </is>
      </c>
      <c r="I2039" s="64">
        <f>IFERROR(INDEX(MgAmenNombre,MATCH(SUBSTITUTE($H2039,"*","-"),MgAmenClave,0)),"")</f>
        <v/>
      </c>
      <c r="J2039" s="28">
        <f>IFERROR(INDEX(MgAmenGrupo,MATCH(SUBSTITUTE($H2039,"*","-"),MgAmenClave,0)),"")</f>
        <v/>
      </c>
      <c r="K2039" s="64">
        <f>IFERROR(INDEX('1. Matriz de Activos'!$Q$6:$Q$239,MATCH($C2039,MgActId,0)),"")</f>
        <v/>
      </c>
      <c r="L2039" s="64">
        <f>IFERROR(INDEX('1. Matriz de Activos'!$R$6:$R$239,MATCH($C2039,MgActId,0)),"")</f>
        <v/>
      </c>
      <c r="M2039" s="64">
        <f>IFERROR(INDEX('1. Matriz de Activos'!$S$6:$S$239,MATCH($C2039,MgActId,0)),"")</f>
        <v/>
      </c>
      <c r="N2039" s="28">
        <f>IFERROR(INDEX(MgAmenDegD,MATCH(SUBSTITUTE($H2039,"*","-"),MgAmenClave,0)),"No aplica")</f>
        <v/>
      </c>
      <c r="O2039" s="28">
        <f>IFERROR(INDEX(MgAmenDegI,MATCH(SUBSTITUTE($H2039,"*","-"),MgAmenClave,0)),"No aplica")</f>
        <v/>
      </c>
      <c r="P2039" s="28">
        <f>IFERROR(INDEX(MgAmenDegC,MATCH(SUBSTITUTE($H2039,"*","-"),MgAmenClave,0)),"No aplica")</f>
        <v/>
      </c>
      <c r="Q2039" s="29">
        <f>IFERROR(VLOOKUP(K2039,MgValor,2,0)*VLOOKUP(N2039,MgDeg,2,0),0)</f>
        <v/>
      </c>
      <c r="R2039" s="29">
        <f>IFERROR(VLOOKUP(L2039,MgValor,2,0)*VLOOKUP(O2039,MgDeg,2,0),0)</f>
        <v/>
      </c>
      <c r="S2039" s="29">
        <f>IFERROR(VLOOKUP(M2039,MgValor,2,0)*VLOOKUP(P2039,MgDeg,2,0),0)</f>
        <v/>
      </c>
      <c r="T2039" s="30">
        <f>MAX(Q2039:S2039)</f>
        <v/>
      </c>
      <c r="U2039" s="28">
        <f>IFERROR(LOOKUP(T2039,{0;0.5;1.5;3;4.5},{"Despreciable";"Bajo";"Medio";"Alto";"Muy alto"}),"")</f>
        <v/>
      </c>
      <c r="V2039" s="13">
        <f>IFERROR(INDEX(MgAmenFrec,MATCH(SUBSTITUTE($H2039,"*","-"),MgAmenClave,0)),"")</f>
        <v/>
      </c>
      <c r="W2039" s="28">
        <f>IFERROR(LOOKUP(X2039,{0;0.01;0.1;1;10;100},{"Muy baja";"Muy baja";"Baja";"Media";"Alta";"Muy alta"}),"")</f>
        <v/>
      </c>
      <c r="X2039" s="31">
        <f>IFERROR(VLOOKUP(V2039,MgFrec,2,0),0)</f>
        <v/>
      </c>
      <c r="Y2039" s="30">
        <f>T2039*X2039</f>
        <v/>
      </c>
      <c r="Z2039" s="28">
        <f>IFERROR(LOOKUP(Y2039,{0;0.5;5;25},{"Bajo";"Medio";"Alto";"Crítico"}),"")</f>
        <v/>
      </c>
      <c r="AA2039" s="64">
        <f>IF(T2039&gt;=3,IF(X2039&gt;=1,"Zona 1 — Crítica: impacto alto y ocurre al menos una vez al año","Zona 4 — Catastrófica poco probable: impacto alto pero excepcional"),IF(AND(T2039&lt;1.5,X2039&lt;1),"Zona 3 — Asumible: impacto bajo y muy poco frecuente","Zona 2 — Atención: riesgo intermedio"))</f>
        <v/>
      </c>
      <c r="AB2039" s="64">
        <f>IFERROR(INDEX(MgAmenCtrl,MATCH(SUBSTITUTE($H2039,"*","-"),MgAmenClave,0)),"")</f>
        <v/>
      </c>
      <c r="AC2039" s="20" t="n"/>
      <c r="AD2039" s="31">
        <f>IFERROR($X2039*(1-IF($AC2039="",$AL2039,VLOOKUP($AC2039,MgMad,2,0))),"")</f>
        <v/>
      </c>
      <c r="AE2039" s="28">
        <f>IFERROR(LOOKUP(AD2039,{0;0.01;0.1;1;10;100},{"Muy baja";"Muy baja";"Baja";"Media";"Alta";"Muy alta"}),"")</f>
        <v/>
      </c>
      <c r="AF2039" s="30">
        <f>T2039*AD2039</f>
        <v/>
      </c>
      <c r="AG2039" s="28">
        <f>IFERROR(LOOKUP(AF2039,{0;0.5;5;25},{"Bajo";"Medio";"Alto";"Crítico"}),"")</f>
        <v/>
      </c>
      <c r="AH2039" s="28">
        <f>IF(AG2039="","",IF(OR(AG2039="Crítico",AG2039="Alto"),"Mitigar",IF(AG2039="Medio","Mitigar","Aceptar y monitorear")))</f>
        <v/>
      </c>
      <c r="AI2039" s="21" t="n"/>
      <c r="AJ2039" s="21" t="n"/>
      <c r="AK2039" s="20" t="n"/>
      <c r="AL2039" s="77">
        <f>IFERROR(INDEX(MgAmenEfic,MATCH(SUBSTITUTE($H2039,"*","-"),MgAmenClave,0)),0)</f>
        <v/>
      </c>
    </row>
    <row r="2040" hidden="1" ht="120" customHeight="1" s="54">
      <c r="B2040" s="59" t="inlineStr">
        <is>
          <t>R-2035</t>
        </is>
      </c>
      <c r="C2040" s="59" t="inlineStr">
        <is>
          <t>MS-01</t>
        </is>
      </c>
      <c r="D2040" s="64">
        <f>IFERROR(INDEX(MgNombre,MATCH($C2040,MgActId,0)),"")</f>
        <v/>
      </c>
      <c r="E2040" s="64">
        <f>IFERROR(INDEX(MgProceso,MATCH($C2040,MgActId,0)),"")</f>
        <v/>
      </c>
      <c r="F2040" s="64">
        <f>IFERROR(INDEX(MgTipo,MATCH($C2040,MgActId,0)),"")</f>
        <v/>
      </c>
      <c r="G2040" s="64">
        <f>IFERROR(INDEX(MgSubtipo,MATCH($C2040,MgActId,0)),"")</f>
        <v/>
      </c>
      <c r="H2040" s="59" t="inlineStr">
        <is>
          <t>A.19</t>
        </is>
      </c>
      <c r="I2040" s="64">
        <f>IFERROR(INDEX(MgAmenNombre,MATCH(SUBSTITUTE($H2040,"*","-"),MgAmenClave,0)),"")</f>
        <v/>
      </c>
      <c r="J2040" s="28">
        <f>IFERROR(INDEX(MgAmenGrupo,MATCH(SUBSTITUTE($H2040,"*","-"),MgAmenClave,0)),"")</f>
        <v/>
      </c>
      <c r="K2040" s="64">
        <f>IFERROR(INDEX('1. Matriz de Activos'!$Q$6:$Q$239,MATCH($C2040,MgActId,0)),"")</f>
        <v/>
      </c>
      <c r="L2040" s="64">
        <f>IFERROR(INDEX('1. Matriz de Activos'!$R$6:$R$239,MATCH($C2040,MgActId,0)),"")</f>
        <v/>
      </c>
      <c r="M2040" s="64">
        <f>IFERROR(INDEX('1. Matriz de Activos'!$S$6:$S$239,MATCH($C2040,MgActId,0)),"")</f>
        <v/>
      </c>
      <c r="N2040" s="28">
        <f>IFERROR(INDEX(MgAmenDegD,MATCH(SUBSTITUTE($H2040,"*","-"),MgAmenClave,0)),"No aplica")</f>
        <v/>
      </c>
      <c r="O2040" s="28">
        <f>IFERROR(INDEX(MgAmenDegI,MATCH(SUBSTITUTE($H2040,"*","-"),MgAmenClave,0)),"No aplica")</f>
        <v/>
      </c>
      <c r="P2040" s="28">
        <f>IFERROR(INDEX(MgAmenDegC,MATCH(SUBSTITUTE($H2040,"*","-"),MgAmenClave,0)),"No aplica")</f>
        <v/>
      </c>
      <c r="Q2040" s="29">
        <f>IFERROR(VLOOKUP(K2040,MgValor,2,0)*VLOOKUP(N2040,MgDeg,2,0),0)</f>
        <v/>
      </c>
      <c r="R2040" s="29">
        <f>IFERROR(VLOOKUP(L2040,MgValor,2,0)*VLOOKUP(O2040,MgDeg,2,0),0)</f>
        <v/>
      </c>
      <c r="S2040" s="29">
        <f>IFERROR(VLOOKUP(M2040,MgValor,2,0)*VLOOKUP(P2040,MgDeg,2,0),0)</f>
        <v/>
      </c>
      <c r="T2040" s="30">
        <f>MAX(Q2040:S2040)</f>
        <v/>
      </c>
      <c r="U2040" s="28">
        <f>IFERROR(LOOKUP(T2040,{0;0.5;1.5;3;4.5},{"Despreciable";"Bajo";"Medio";"Alto";"Muy alto"}),"")</f>
        <v/>
      </c>
      <c r="V2040" s="13">
        <f>IFERROR(INDEX(MgAmenFrec,MATCH(SUBSTITUTE($H2040,"*","-"),MgAmenClave,0)),"")</f>
        <v/>
      </c>
      <c r="W2040" s="28">
        <f>IFERROR(LOOKUP(X2040,{0;0.01;0.1;1;10;100},{"Muy baja";"Muy baja";"Baja";"Media";"Alta";"Muy alta"}),"")</f>
        <v/>
      </c>
      <c r="X2040" s="31">
        <f>IFERROR(VLOOKUP(V2040,MgFrec,2,0),0)</f>
        <v/>
      </c>
      <c r="Y2040" s="30">
        <f>T2040*X2040</f>
        <v/>
      </c>
      <c r="Z2040" s="28">
        <f>IFERROR(LOOKUP(Y2040,{0;0.5;5;25},{"Bajo";"Medio";"Alto";"Crítico"}),"")</f>
        <v/>
      </c>
      <c r="AA2040" s="64">
        <f>IF(T2040&gt;=3,IF(X2040&gt;=1,"Zona 1 — Crítica: impacto alto y ocurre al menos una vez al año","Zona 4 — Catastrófica poco probable: impacto alto pero excepcional"),IF(AND(T2040&lt;1.5,X2040&lt;1),"Zona 3 — Asumible: impacto bajo y muy poco frecuente","Zona 2 — Atención: riesgo intermedio"))</f>
        <v/>
      </c>
      <c r="AB2040" s="64">
        <f>IFERROR(INDEX(MgAmenCtrl,MATCH(SUBSTITUTE($H2040,"*","-"),MgAmenClave,0)),"")</f>
        <v/>
      </c>
      <c r="AC2040" s="20" t="n"/>
      <c r="AD2040" s="31">
        <f>IFERROR($X2040*(1-IF($AC2040="",$AL2040,VLOOKUP($AC2040,MgMad,2,0))),"")</f>
        <v/>
      </c>
      <c r="AE2040" s="28">
        <f>IFERROR(LOOKUP(AD2040,{0;0.01;0.1;1;10;100},{"Muy baja";"Muy baja";"Baja";"Media";"Alta";"Muy alta"}),"")</f>
        <v/>
      </c>
      <c r="AF2040" s="30">
        <f>T2040*AD2040</f>
        <v/>
      </c>
      <c r="AG2040" s="28">
        <f>IFERROR(LOOKUP(AF2040,{0;0.5;5;25},{"Bajo";"Medio";"Alto";"Crítico"}),"")</f>
        <v/>
      </c>
      <c r="AH2040" s="28">
        <f>IF(AG2040="","",IF(OR(AG2040="Crítico",AG2040="Alto"),"Mitigar",IF(AG2040="Medio","Mitigar","Aceptar y monitorear")))</f>
        <v/>
      </c>
      <c r="AI2040" s="21" t="n"/>
      <c r="AJ2040" s="21" t="n"/>
      <c r="AK2040" s="20" t="n"/>
      <c r="AL2040" s="77">
        <f>IFERROR(INDEX(MgAmenEfic,MATCH(SUBSTITUTE($H2040,"*","-"),MgAmenClave,0)),0)</f>
        <v/>
      </c>
    </row>
    <row r="2041" hidden="1" ht="60" customHeight="1" s="54">
      <c r="B2041" s="59" t="inlineStr">
        <is>
          <t>R-2036</t>
        </is>
      </c>
      <c r="C2041" s="59" t="inlineStr">
        <is>
          <t>MS-01</t>
        </is>
      </c>
      <c r="D2041" s="64">
        <f>IFERROR(INDEX(MgNombre,MATCH($C2041,MgActId,0)),"")</f>
        <v/>
      </c>
      <c r="E2041" s="64">
        <f>IFERROR(INDEX(MgProceso,MATCH($C2041,MgActId,0)),"")</f>
        <v/>
      </c>
      <c r="F2041" s="64">
        <f>IFERROR(INDEX(MgTipo,MATCH($C2041,MgActId,0)),"")</f>
        <v/>
      </c>
      <c r="G2041" s="64">
        <f>IFERROR(INDEX(MgSubtipo,MATCH($C2041,MgActId,0)),"")</f>
        <v/>
      </c>
      <c r="H2041" s="59" t="inlineStr">
        <is>
          <t>A.24</t>
        </is>
      </c>
      <c r="I2041" s="64">
        <f>IFERROR(INDEX(MgAmenNombre,MATCH(SUBSTITUTE($H2041,"*","-"),MgAmenClave,0)),"")</f>
        <v/>
      </c>
      <c r="J2041" s="28">
        <f>IFERROR(INDEX(MgAmenGrupo,MATCH(SUBSTITUTE($H2041,"*","-"),MgAmenClave,0)),"")</f>
        <v/>
      </c>
      <c r="K2041" s="64">
        <f>IFERROR(INDEX('1. Matriz de Activos'!$Q$6:$Q$239,MATCH($C2041,MgActId,0)),"")</f>
        <v/>
      </c>
      <c r="L2041" s="64">
        <f>IFERROR(INDEX('1. Matriz de Activos'!$R$6:$R$239,MATCH($C2041,MgActId,0)),"")</f>
        <v/>
      </c>
      <c r="M2041" s="64">
        <f>IFERROR(INDEX('1. Matriz de Activos'!$S$6:$S$239,MATCH($C2041,MgActId,0)),"")</f>
        <v/>
      </c>
      <c r="N2041" s="28">
        <f>IFERROR(INDEX(MgAmenDegD,MATCH(SUBSTITUTE($H2041,"*","-"),MgAmenClave,0)),"No aplica")</f>
        <v/>
      </c>
      <c r="O2041" s="28">
        <f>IFERROR(INDEX(MgAmenDegI,MATCH(SUBSTITUTE($H2041,"*","-"),MgAmenClave,0)),"No aplica")</f>
        <v/>
      </c>
      <c r="P2041" s="28">
        <f>IFERROR(INDEX(MgAmenDegC,MATCH(SUBSTITUTE($H2041,"*","-"),MgAmenClave,0)),"No aplica")</f>
        <v/>
      </c>
      <c r="Q2041" s="29">
        <f>IFERROR(VLOOKUP(K2041,MgValor,2,0)*VLOOKUP(N2041,MgDeg,2,0),0)</f>
        <v/>
      </c>
      <c r="R2041" s="29">
        <f>IFERROR(VLOOKUP(L2041,MgValor,2,0)*VLOOKUP(O2041,MgDeg,2,0),0)</f>
        <v/>
      </c>
      <c r="S2041" s="29">
        <f>IFERROR(VLOOKUP(M2041,MgValor,2,0)*VLOOKUP(P2041,MgDeg,2,0),0)</f>
        <v/>
      </c>
      <c r="T2041" s="30">
        <f>MAX(Q2041:S2041)</f>
        <v/>
      </c>
      <c r="U2041" s="28">
        <f>IFERROR(LOOKUP(T2041,{0;0.5;1.5;3;4.5},{"Despreciable";"Bajo";"Medio";"Alto";"Muy alto"}),"")</f>
        <v/>
      </c>
      <c r="V2041" s="13">
        <f>IFERROR(INDEX(MgAmenFrec,MATCH(SUBSTITUTE($H2041,"*","-"),MgAmenClave,0)),"")</f>
        <v/>
      </c>
      <c r="W2041" s="28">
        <f>IFERROR(LOOKUP(X2041,{0;0.01;0.1;1;10;100},{"Muy baja";"Muy baja";"Baja";"Media";"Alta";"Muy alta"}),"")</f>
        <v/>
      </c>
      <c r="X2041" s="31">
        <f>IFERROR(VLOOKUP(V2041,MgFrec,2,0),0)</f>
        <v/>
      </c>
      <c r="Y2041" s="30">
        <f>T2041*X2041</f>
        <v/>
      </c>
      <c r="Z2041" s="28">
        <f>IFERROR(LOOKUP(Y2041,{0;0.5;5;25},{"Bajo";"Medio";"Alto";"Crítico"}),"")</f>
        <v/>
      </c>
      <c r="AA2041" s="64">
        <f>IF(T2041&gt;=3,IF(X2041&gt;=1,"Zona 1 — Crítica: impacto alto y ocurre al menos una vez al año","Zona 4 — Catastrófica poco probable: impacto alto pero excepcional"),IF(AND(T2041&lt;1.5,X2041&lt;1),"Zona 3 — Asumible: impacto bajo y muy poco frecuente","Zona 2 — Atención: riesgo intermedio"))</f>
        <v/>
      </c>
      <c r="AB2041" s="64">
        <f>IFERROR(INDEX(MgAmenCtrl,MATCH(SUBSTITUTE($H2041,"*","-"),MgAmenClave,0)),"")</f>
        <v/>
      </c>
      <c r="AC2041" s="20" t="n"/>
      <c r="AD2041" s="31">
        <f>IFERROR($X2041*(1-IF($AC2041="",$AL2041,VLOOKUP($AC2041,MgMad,2,0))),"")</f>
        <v/>
      </c>
      <c r="AE2041" s="28">
        <f>IFERROR(LOOKUP(AD2041,{0;0.01;0.1;1;10;100},{"Muy baja";"Muy baja";"Baja";"Media";"Alta";"Muy alta"}),"")</f>
        <v/>
      </c>
      <c r="AF2041" s="30">
        <f>T2041*AD2041</f>
        <v/>
      </c>
      <c r="AG2041" s="28">
        <f>IFERROR(LOOKUP(AF2041,{0;0.5;5;25},{"Bajo";"Medio";"Alto";"Crítico"}),"")</f>
        <v/>
      </c>
      <c r="AH2041" s="28">
        <f>IF(AG2041="","",IF(OR(AG2041="Crítico",AG2041="Alto"),"Mitigar",IF(AG2041="Medio","Mitigar","Aceptar y monitorear")))</f>
        <v/>
      </c>
      <c r="AI2041" s="21" t="n"/>
      <c r="AJ2041" s="21" t="n"/>
      <c r="AK2041" s="20" t="n"/>
      <c r="AL2041" s="77">
        <f>IFERROR(INDEX(MgAmenEfic,MATCH(SUBSTITUTE($H2041,"*","-"),MgAmenClave,0)),0)</f>
        <v/>
      </c>
    </row>
    <row r="2042" hidden="1" ht="105" customHeight="1" s="54">
      <c r="B2042" s="59" t="inlineStr">
        <is>
          <t>R-2037</t>
        </is>
      </c>
      <c r="C2042" s="59" t="inlineStr">
        <is>
          <t>FIN-27</t>
        </is>
      </c>
      <c r="D2042" s="64">
        <f>IFERROR(INDEX(MgNombre,MATCH($C2042,MgActId,0)),"")</f>
        <v/>
      </c>
      <c r="E2042" s="64">
        <f>IFERROR(INDEX(MgProceso,MATCH($C2042,MgActId,0)),"")</f>
        <v/>
      </c>
      <c r="F2042" s="64">
        <f>IFERROR(INDEX(MgTipo,MATCH($C2042,MgActId,0)),"")</f>
        <v/>
      </c>
      <c r="G2042" s="64">
        <f>IFERROR(INDEX(MgSubtipo,MATCH($C2042,MgActId,0)),"")</f>
        <v/>
      </c>
      <c r="H2042" s="59" t="inlineStr">
        <is>
          <t>E.1</t>
        </is>
      </c>
      <c r="I2042" s="64">
        <f>IFERROR(INDEX(MgAmenNombre,MATCH(SUBSTITUTE($H2042,"*","-"),MgAmenClave,0)),"")</f>
        <v/>
      </c>
      <c r="J2042" s="28">
        <f>IFERROR(INDEX(MgAmenGrupo,MATCH(SUBSTITUTE($H2042,"*","-"),MgAmenClave,0)),"")</f>
        <v/>
      </c>
      <c r="K2042" s="64">
        <f>IFERROR(INDEX('1. Matriz de Activos'!$Q$6:$Q$239,MATCH($C2042,MgActId,0)),"")</f>
        <v/>
      </c>
      <c r="L2042" s="64">
        <f>IFERROR(INDEX('1. Matriz de Activos'!$R$6:$R$239,MATCH($C2042,MgActId,0)),"")</f>
        <v/>
      </c>
      <c r="M2042" s="64">
        <f>IFERROR(INDEX('1. Matriz de Activos'!$S$6:$S$239,MATCH($C2042,MgActId,0)),"")</f>
        <v/>
      </c>
      <c r="N2042" s="28">
        <f>IFERROR(INDEX(MgAmenDegD,MATCH(SUBSTITUTE($H2042,"*","-"),MgAmenClave,0)),"No aplica")</f>
        <v/>
      </c>
      <c r="O2042" s="28">
        <f>IFERROR(INDEX(MgAmenDegI,MATCH(SUBSTITUTE($H2042,"*","-"),MgAmenClave,0)),"No aplica")</f>
        <v/>
      </c>
      <c r="P2042" s="28">
        <f>IFERROR(INDEX(MgAmenDegC,MATCH(SUBSTITUTE($H2042,"*","-"),MgAmenClave,0)),"No aplica")</f>
        <v/>
      </c>
      <c r="Q2042" s="29">
        <f>IFERROR(VLOOKUP(K2042,MgValor,2,0)*VLOOKUP(N2042,MgDeg,2,0),0)</f>
        <v/>
      </c>
      <c r="R2042" s="29">
        <f>IFERROR(VLOOKUP(L2042,MgValor,2,0)*VLOOKUP(O2042,MgDeg,2,0),0)</f>
        <v/>
      </c>
      <c r="S2042" s="29">
        <f>IFERROR(VLOOKUP(M2042,MgValor,2,0)*VLOOKUP(P2042,MgDeg,2,0),0)</f>
        <v/>
      </c>
      <c r="T2042" s="30">
        <f>MAX(Q2042:S2042)</f>
        <v/>
      </c>
      <c r="U2042" s="28">
        <f>IFERROR(LOOKUP(T2042,{0;0.5;1.5;3;4.5},{"Despreciable";"Bajo";"Medio";"Alto";"Muy alto"}),"")</f>
        <v/>
      </c>
      <c r="V2042" s="13">
        <f>IFERROR(INDEX(MgAmenFrec,MATCH(SUBSTITUTE($H2042,"*","-"),MgAmenClave,0)),"")</f>
        <v/>
      </c>
      <c r="W2042" s="28">
        <f>IFERROR(LOOKUP(X2042,{0;0.01;0.1;1;10;100},{"Muy baja";"Muy baja";"Baja";"Media";"Alta";"Muy alta"}),"")</f>
        <v/>
      </c>
      <c r="X2042" s="31">
        <f>IFERROR(VLOOKUP(V2042,MgFrec,2,0),0)</f>
        <v/>
      </c>
      <c r="Y2042" s="30">
        <f>T2042*X2042</f>
        <v/>
      </c>
      <c r="Z2042" s="28">
        <f>IFERROR(LOOKUP(Y2042,{0;0.5;5;25},{"Bajo";"Medio";"Alto";"Crítico"}),"")</f>
        <v/>
      </c>
      <c r="AA2042" s="64">
        <f>IF(T2042&gt;=3,IF(X2042&gt;=1,"Zona 1 — Crítica: impacto alto y ocurre al menos una vez al año","Zona 4 — Catastrófica poco probable: impacto alto pero excepcional"),IF(AND(T2042&lt;1.5,X2042&lt;1),"Zona 3 — Asumible: impacto bajo y muy poco frecuente","Zona 2 — Atención: riesgo intermedio"))</f>
        <v/>
      </c>
      <c r="AB2042" s="64">
        <f>IFERROR(INDEX(MgAmenCtrl,MATCH(SUBSTITUTE($H2042,"*","-"),MgAmenClave,0)),"")</f>
        <v/>
      </c>
      <c r="AC2042" s="20" t="n"/>
      <c r="AD2042" s="31">
        <f>IFERROR($X2042*(1-IF($AC2042="",$AL2042,VLOOKUP($AC2042,MgMad,2,0))),"")</f>
        <v/>
      </c>
      <c r="AE2042" s="28">
        <f>IFERROR(LOOKUP(AD2042,{0;0.01;0.1;1;10;100},{"Muy baja";"Muy baja";"Baja";"Media";"Alta";"Muy alta"}),"")</f>
        <v/>
      </c>
      <c r="AF2042" s="30">
        <f>T2042*AD2042</f>
        <v/>
      </c>
      <c r="AG2042" s="28">
        <f>IFERROR(LOOKUP(AF2042,{0;0.5;5;25},{"Bajo";"Medio";"Alto";"Crítico"}),"")</f>
        <v/>
      </c>
      <c r="AH2042" s="28">
        <f>IF(AG2042="","",IF(OR(AG2042="Crítico",AG2042="Alto"),"Mitigar",IF(AG2042="Medio","Mitigar","Aceptar y monitorear")))</f>
        <v/>
      </c>
      <c r="AI2042" s="21" t="n"/>
      <c r="AJ2042" s="21" t="n"/>
      <c r="AK2042" s="20" t="n"/>
      <c r="AL2042" s="77">
        <f>IFERROR(INDEX(MgAmenEfic,MATCH(SUBSTITUTE($H2042,"*","-"),MgAmenClave,0)),0)</f>
        <v/>
      </c>
    </row>
    <row r="2043" hidden="1" ht="120" customHeight="1" s="54">
      <c r="B2043" s="59" t="inlineStr">
        <is>
          <t>R-2038</t>
        </is>
      </c>
      <c r="C2043" s="59" t="inlineStr">
        <is>
          <t>FIN-27</t>
        </is>
      </c>
      <c r="D2043" s="64">
        <f>IFERROR(INDEX(MgNombre,MATCH($C2043,MgActId,0)),"")</f>
        <v/>
      </c>
      <c r="E2043" s="64">
        <f>IFERROR(INDEX(MgProceso,MATCH($C2043,MgActId,0)),"")</f>
        <v/>
      </c>
      <c r="F2043" s="64">
        <f>IFERROR(INDEX(MgTipo,MATCH($C2043,MgActId,0)),"")</f>
        <v/>
      </c>
      <c r="G2043" s="64">
        <f>IFERROR(INDEX(MgSubtipo,MATCH($C2043,MgActId,0)),"")</f>
        <v/>
      </c>
      <c r="H2043" s="59" t="inlineStr">
        <is>
          <t>E.2</t>
        </is>
      </c>
      <c r="I2043" s="64">
        <f>IFERROR(INDEX(MgAmenNombre,MATCH(SUBSTITUTE($H2043,"*","-"),MgAmenClave,0)),"")</f>
        <v/>
      </c>
      <c r="J2043" s="28">
        <f>IFERROR(INDEX(MgAmenGrupo,MATCH(SUBSTITUTE($H2043,"*","-"),MgAmenClave,0)),"")</f>
        <v/>
      </c>
      <c r="K2043" s="64">
        <f>IFERROR(INDEX('1. Matriz de Activos'!$Q$6:$Q$239,MATCH($C2043,MgActId,0)),"")</f>
        <v/>
      </c>
      <c r="L2043" s="64">
        <f>IFERROR(INDEX('1. Matriz de Activos'!$R$6:$R$239,MATCH($C2043,MgActId,0)),"")</f>
        <v/>
      </c>
      <c r="M2043" s="64">
        <f>IFERROR(INDEX('1. Matriz de Activos'!$S$6:$S$239,MATCH($C2043,MgActId,0)),"")</f>
        <v/>
      </c>
      <c r="N2043" s="28">
        <f>IFERROR(INDEX(MgAmenDegD,MATCH(SUBSTITUTE($H2043,"*","-"),MgAmenClave,0)),"No aplica")</f>
        <v/>
      </c>
      <c r="O2043" s="28">
        <f>IFERROR(INDEX(MgAmenDegI,MATCH(SUBSTITUTE($H2043,"*","-"),MgAmenClave,0)),"No aplica")</f>
        <v/>
      </c>
      <c r="P2043" s="28">
        <f>IFERROR(INDEX(MgAmenDegC,MATCH(SUBSTITUTE($H2043,"*","-"),MgAmenClave,0)),"No aplica")</f>
        <v/>
      </c>
      <c r="Q2043" s="29">
        <f>IFERROR(VLOOKUP(K2043,MgValor,2,0)*VLOOKUP(N2043,MgDeg,2,0),0)</f>
        <v/>
      </c>
      <c r="R2043" s="29">
        <f>IFERROR(VLOOKUP(L2043,MgValor,2,0)*VLOOKUP(O2043,MgDeg,2,0),0)</f>
        <v/>
      </c>
      <c r="S2043" s="29">
        <f>IFERROR(VLOOKUP(M2043,MgValor,2,0)*VLOOKUP(P2043,MgDeg,2,0),0)</f>
        <v/>
      </c>
      <c r="T2043" s="30">
        <f>MAX(Q2043:S2043)</f>
        <v/>
      </c>
      <c r="U2043" s="28">
        <f>IFERROR(LOOKUP(T2043,{0;0.5;1.5;3;4.5},{"Despreciable";"Bajo";"Medio";"Alto";"Muy alto"}),"")</f>
        <v/>
      </c>
      <c r="V2043" s="13">
        <f>IFERROR(INDEX(MgAmenFrec,MATCH(SUBSTITUTE($H2043,"*","-"),MgAmenClave,0)),"")</f>
        <v/>
      </c>
      <c r="W2043" s="28">
        <f>IFERROR(LOOKUP(X2043,{0;0.01;0.1;1;10;100},{"Muy baja";"Muy baja";"Baja";"Media";"Alta";"Muy alta"}),"")</f>
        <v/>
      </c>
      <c r="X2043" s="31">
        <f>IFERROR(VLOOKUP(V2043,MgFrec,2,0),0)</f>
        <v/>
      </c>
      <c r="Y2043" s="30">
        <f>T2043*X2043</f>
        <v/>
      </c>
      <c r="Z2043" s="28">
        <f>IFERROR(LOOKUP(Y2043,{0;0.5;5;25},{"Bajo";"Medio";"Alto";"Crítico"}),"")</f>
        <v/>
      </c>
      <c r="AA2043" s="64">
        <f>IF(T2043&gt;=3,IF(X2043&gt;=1,"Zona 1 — Crítica: impacto alto y ocurre al menos una vez al año","Zona 4 — Catastrófica poco probable: impacto alto pero excepcional"),IF(AND(T2043&lt;1.5,X2043&lt;1),"Zona 3 — Asumible: impacto bajo y muy poco frecuente","Zona 2 — Atención: riesgo intermedio"))</f>
        <v/>
      </c>
      <c r="AB2043" s="64">
        <f>IFERROR(INDEX(MgAmenCtrl,MATCH(SUBSTITUTE($H2043,"*","-"),MgAmenClave,0)),"")</f>
        <v/>
      </c>
      <c r="AC2043" s="20" t="n"/>
      <c r="AD2043" s="31">
        <f>IFERROR($X2043*(1-IF($AC2043="",$AL2043,VLOOKUP($AC2043,MgMad,2,0))),"")</f>
        <v/>
      </c>
      <c r="AE2043" s="28">
        <f>IFERROR(LOOKUP(AD2043,{0;0.01;0.1;1;10;100},{"Muy baja";"Muy baja";"Baja";"Media";"Alta";"Muy alta"}),"")</f>
        <v/>
      </c>
      <c r="AF2043" s="30">
        <f>T2043*AD2043</f>
        <v/>
      </c>
      <c r="AG2043" s="28">
        <f>IFERROR(LOOKUP(AF2043,{0;0.5;5;25},{"Bajo";"Medio";"Alto";"Crítico"}),"")</f>
        <v/>
      </c>
      <c r="AH2043" s="28">
        <f>IF(AG2043="","",IF(OR(AG2043="Crítico",AG2043="Alto"),"Mitigar",IF(AG2043="Medio","Mitigar","Aceptar y monitorear")))</f>
        <v/>
      </c>
      <c r="AI2043" s="21" t="n"/>
      <c r="AJ2043" s="21" t="n"/>
      <c r="AK2043" s="20" t="n"/>
      <c r="AL2043" s="77">
        <f>IFERROR(INDEX(MgAmenEfic,MATCH(SUBSTITUTE($H2043,"*","-"),MgAmenClave,0)),0)</f>
        <v/>
      </c>
    </row>
    <row r="2044" hidden="1" ht="60" customHeight="1" s="54">
      <c r="B2044" s="59" t="inlineStr">
        <is>
          <t>R-2039</t>
        </is>
      </c>
      <c r="C2044" s="59" t="inlineStr">
        <is>
          <t>FIN-27</t>
        </is>
      </c>
      <c r="D2044" s="64">
        <f>IFERROR(INDEX(MgNombre,MATCH($C2044,MgActId,0)),"")</f>
        <v/>
      </c>
      <c r="E2044" s="64">
        <f>IFERROR(INDEX(MgProceso,MATCH($C2044,MgActId,0)),"")</f>
        <v/>
      </c>
      <c r="F2044" s="64">
        <f>IFERROR(INDEX(MgTipo,MATCH($C2044,MgActId,0)),"")</f>
        <v/>
      </c>
      <c r="G2044" s="64">
        <f>IFERROR(INDEX(MgSubtipo,MATCH($C2044,MgActId,0)),"")</f>
        <v/>
      </c>
      <c r="H2044" s="59" t="inlineStr">
        <is>
          <t>E.9</t>
        </is>
      </c>
      <c r="I2044" s="64">
        <f>IFERROR(INDEX(MgAmenNombre,MATCH(SUBSTITUTE($H2044,"*","-"),MgAmenClave,0)),"")</f>
        <v/>
      </c>
      <c r="J2044" s="28">
        <f>IFERROR(INDEX(MgAmenGrupo,MATCH(SUBSTITUTE($H2044,"*","-"),MgAmenClave,0)),"")</f>
        <v/>
      </c>
      <c r="K2044" s="64">
        <f>IFERROR(INDEX('1. Matriz de Activos'!$Q$6:$Q$239,MATCH($C2044,MgActId,0)),"")</f>
        <v/>
      </c>
      <c r="L2044" s="64">
        <f>IFERROR(INDEX('1. Matriz de Activos'!$R$6:$R$239,MATCH($C2044,MgActId,0)),"")</f>
        <v/>
      </c>
      <c r="M2044" s="64">
        <f>IFERROR(INDEX('1. Matriz de Activos'!$S$6:$S$239,MATCH($C2044,MgActId,0)),"")</f>
        <v/>
      </c>
      <c r="N2044" s="28">
        <f>IFERROR(INDEX(MgAmenDegD,MATCH(SUBSTITUTE($H2044,"*","-"),MgAmenClave,0)),"No aplica")</f>
        <v/>
      </c>
      <c r="O2044" s="28">
        <f>IFERROR(INDEX(MgAmenDegI,MATCH(SUBSTITUTE($H2044,"*","-"),MgAmenClave,0)),"No aplica")</f>
        <v/>
      </c>
      <c r="P2044" s="28">
        <f>IFERROR(INDEX(MgAmenDegC,MATCH(SUBSTITUTE($H2044,"*","-"),MgAmenClave,0)),"No aplica")</f>
        <v/>
      </c>
      <c r="Q2044" s="29">
        <f>IFERROR(VLOOKUP(K2044,MgValor,2,0)*VLOOKUP(N2044,MgDeg,2,0),0)</f>
        <v/>
      </c>
      <c r="R2044" s="29">
        <f>IFERROR(VLOOKUP(L2044,MgValor,2,0)*VLOOKUP(O2044,MgDeg,2,0),0)</f>
        <v/>
      </c>
      <c r="S2044" s="29">
        <f>IFERROR(VLOOKUP(M2044,MgValor,2,0)*VLOOKUP(P2044,MgDeg,2,0),0)</f>
        <v/>
      </c>
      <c r="T2044" s="30">
        <f>MAX(Q2044:S2044)</f>
        <v/>
      </c>
      <c r="U2044" s="28">
        <f>IFERROR(LOOKUP(T2044,{0;0.5;1.5;3;4.5},{"Despreciable";"Bajo";"Medio";"Alto";"Muy alto"}),"")</f>
        <v/>
      </c>
      <c r="V2044" s="13">
        <f>IFERROR(INDEX(MgAmenFrec,MATCH(SUBSTITUTE($H2044,"*","-"),MgAmenClave,0)),"")</f>
        <v/>
      </c>
      <c r="W2044" s="28">
        <f>IFERROR(LOOKUP(X2044,{0;0.01;0.1;1;10;100},{"Muy baja";"Muy baja";"Baja";"Media";"Alta";"Muy alta"}),"")</f>
        <v/>
      </c>
      <c r="X2044" s="31">
        <f>IFERROR(VLOOKUP(V2044,MgFrec,2,0),0)</f>
        <v/>
      </c>
      <c r="Y2044" s="30">
        <f>T2044*X2044</f>
        <v/>
      </c>
      <c r="Z2044" s="28">
        <f>IFERROR(LOOKUP(Y2044,{0;0.5;5;25},{"Bajo";"Medio";"Alto";"Crítico"}),"")</f>
        <v/>
      </c>
      <c r="AA2044" s="64">
        <f>IF(T2044&gt;=3,IF(X2044&gt;=1,"Zona 1 — Crítica: impacto alto y ocurre al menos una vez al año","Zona 4 — Catastrófica poco probable: impacto alto pero excepcional"),IF(AND(T2044&lt;1.5,X2044&lt;1),"Zona 3 — Asumible: impacto bajo y muy poco frecuente","Zona 2 — Atención: riesgo intermedio"))</f>
        <v/>
      </c>
      <c r="AB2044" s="64">
        <f>IFERROR(INDEX(MgAmenCtrl,MATCH(SUBSTITUTE($H2044,"*","-"),MgAmenClave,0)),"")</f>
        <v/>
      </c>
      <c r="AC2044" s="20" t="n"/>
      <c r="AD2044" s="31">
        <f>IFERROR($X2044*(1-IF($AC2044="",$AL2044,VLOOKUP($AC2044,MgMad,2,0))),"")</f>
        <v/>
      </c>
      <c r="AE2044" s="28">
        <f>IFERROR(LOOKUP(AD2044,{0;0.01;0.1;1;10;100},{"Muy baja";"Muy baja";"Baja";"Media";"Alta";"Muy alta"}),"")</f>
        <v/>
      </c>
      <c r="AF2044" s="30">
        <f>T2044*AD2044</f>
        <v/>
      </c>
      <c r="AG2044" s="28">
        <f>IFERROR(LOOKUP(AF2044,{0;0.5;5;25},{"Bajo";"Medio";"Alto";"Crítico"}),"")</f>
        <v/>
      </c>
      <c r="AH2044" s="28">
        <f>IF(AG2044="","",IF(OR(AG2044="Crítico",AG2044="Alto"),"Mitigar",IF(AG2044="Medio","Mitigar","Aceptar y monitorear")))</f>
        <v/>
      </c>
      <c r="AI2044" s="21" t="n"/>
      <c r="AJ2044" s="21" t="n"/>
      <c r="AK2044" s="20" t="n"/>
      <c r="AL2044" s="77">
        <f>IFERROR(INDEX(MgAmenEfic,MATCH(SUBSTITUTE($H2044,"*","-"),MgAmenClave,0)),0)</f>
        <v/>
      </c>
    </row>
    <row r="2045" hidden="1" ht="90" customHeight="1" s="54">
      <c r="B2045" s="59" t="inlineStr">
        <is>
          <t>R-2040</t>
        </is>
      </c>
      <c r="C2045" s="59" t="inlineStr">
        <is>
          <t>FIN-27</t>
        </is>
      </c>
      <c r="D2045" s="64">
        <f>IFERROR(INDEX(MgNombre,MATCH($C2045,MgActId,0)),"")</f>
        <v/>
      </c>
      <c r="E2045" s="64">
        <f>IFERROR(INDEX(MgProceso,MATCH($C2045,MgActId,0)),"")</f>
        <v/>
      </c>
      <c r="F2045" s="64">
        <f>IFERROR(INDEX(MgTipo,MATCH($C2045,MgActId,0)),"")</f>
        <v/>
      </c>
      <c r="G2045" s="64">
        <f>IFERROR(INDEX(MgSubtipo,MATCH($C2045,MgActId,0)),"")</f>
        <v/>
      </c>
      <c r="H2045" s="59" t="inlineStr">
        <is>
          <t>E.10</t>
        </is>
      </c>
      <c r="I2045" s="64">
        <f>IFERROR(INDEX(MgAmenNombre,MATCH(SUBSTITUTE($H2045,"*","-"),MgAmenClave,0)),"")</f>
        <v/>
      </c>
      <c r="J2045" s="28">
        <f>IFERROR(INDEX(MgAmenGrupo,MATCH(SUBSTITUTE($H2045,"*","-"),MgAmenClave,0)),"")</f>
        <v/>
      </c>
      <c r="K2045" s="64">
        <f>IFERROR(INDEX('1. Matriz de Activos'!$Q$6:$Q$239,MATCH($C2045,MgActId,0)),"")</f>
        <v/>
      </c>
      <c r="L2045" s="64">
        <f>IFERROR(INDEX('1. Matriz de Activos'!$R$6:$R$239,MATCH($C2045,MgActId,0)),"")</f>
        <v/>
      </c>
      <c r="M2045" s="64">
        <f>IFERROR(INDEX('1. Matriz de Activos'!$S$6:$S$239,MATCH($C2045,MgActId,0)),"")</f>
        <v/>
      </c>
      <c r="N2045" s="28">
        <f>IFERROR(INDEX(MgAmenDegD,MATCH(SUBSTITUTE($H2045,"*","-"),MgAmenClave,0)),"No aplica")</f>
        <v/>
      </c>
      <c r="O2045" s="28">
        <f>IFERROR(INDEX(MgAmenDegI,MATCH(SUBSTITUTE($H2045,"*","-"),MgAmenClave,0)),"No aplica")</f>
        <v/>
      </c>
      <c r="P2045" s="28">
        <f>IFERROR(INDEX(MgAmenDegC,MATCH(SUBSTITUTE($H2045,"*","-"),MgAmenClave,0)),"No aplica")</f>
        <v/>
      </c>
      <c r="Q2045" s="29">
        <f>IFERROR(VLOOKUP(K2045,MgValor,2,0)*VLOOKUP(N2045,MgDeg,2,0),0)</f>
        <v/>
      </c>
      <c r="R2045" s="29">
        <f>IFERROR(VLOOKUP(L2045,MgValor,2,0)*VLOOKUP(O2045,MgDeg,2,0),0)</f>
        <v/>
      </c>
      <c r="S2045" s="29">
        <f>IFERROR(VLOOKUP(M2045,MgValor,2,0)*VLOOKUP(P2045,MgDeg,2,0),0)</f>
        <v/>
      </c>
      <c r="T2045" s="30">
        <f>MAX(Q2045:S2045)</f>
        <v/>
      </c>
      <c r="U2045" s="28">
        <f>IFERROR(LOOKUP(T2045,{0;0.5;1.5;3;4.5},{"Despreciable";"Bajo";"Medio";"Alto";"Muy alto"}),"")</f>
        <v/>
      </c>
      <c r="V2045" s="13">
        <f>IFERROR(INDEX(MgAmenFrec,MATCH(SUBSTITUTE($H2045,"*","-"),MgAmenClave,0)),"")</f>
        <v/>
      </c>
      <c r="W2045" s="28">
        <f>IFERROR(LOOKUP(X2045,{0;0.01;0.1;1;10;100},{"Muy baja";"Muy baja";"Baja";"Media";"Alta";"Muy alta"}),"")</f>
        <v/>
      </c>
      <c r="X2045" s="31">
        <f>IFERROR(VLOOKUP(V2045,MgFrec,2,0),0)</f>
        <v/>
      </c>
      <c r="Y2045" s="30">
        <f>T2045*X2045</f>
        <v/>
      </c>
      <c r="Z2045" s="28">
        <f>IFERROR(LOOKUP(Y2045,{0;0.5;5;25},{"Bajo";"Medio";"Alto";"Crítico"}),"")</f>
        <v/>
      </c>
      <c r="AA2045" s="64">
        <f>IF(T2045&gt;=3,IF(X2045&gt;=1,"Zona 1 — Crítica: impacto alto y ocurre al menos una vez al año","Zona 4 — Catastrófica poco probable: impacto alto pero excepcional"),IF(AND(T2045&lt;1.5,X2045&lt;1),"Zona 3 — Asumible: impacto bajo y muy poco frecuente","Zona 2 — Atención: riesgo intermedio"))</f>
        <v/>
      </c>
      <c r="AB2045" s="64">
        <f>IFERROR(INDEX(MgAmenCtrl,MATCH(SUBSTITUTE($H2045,"*","-"),MgAmenClave,0)),"")</f>
        <v/>
      </c>
      <c r="AC2045" s="20" t="n"/>
      <c r="AD2045" s="31">
        <f>IFERROR($X2045*(1-IF($AC2045="",$AL2045,VLOOKUP($AC2045,MgMad,2,0))),"")</f>
        <v/>
      </c>
      <c r="AE2045" s="28">
        <f>IFERROR(LOOKUP(AD2045,{0;0.01;0.1;1;10;100},{"Muy baja";"Muy baja";"Baja";"Media";"Alta";"Muy alta"}),"")</f>
        <v/>
      </c>
      <c r="AF2045" s="30">
        <f>T2045*AD2045</f>
        <v/>
      </c>
      <c r="AG2045" s="28">
        <f>IFERROR(LOOKUP(AF2045,{0;0.5;5;25},{"Bajo";"Medio";"Alto";"Crítico"}),"")</f>
        <v/>
      </c>
      <c r="AH2045" s="28">
        <f>IF(AG2045="","",IF(OR(AG2045="Crítico",AG2045="Alto"),"Mitigar",IF(AG2045="Medio","Mitigar","Aceptar y monitorear")))</f>
        <v/>
      </c>
      <c r="AI2045" s="21" t="n"/>
      <c r="AJ2045" s="21" t="n"/>
      <c r="AK2045" s="20" t="n"/>
      <c r="AL2045" s="77">
        <f>IFERROR(INDEX(MgAmenEfic,MATCH(SUBSTITUTE($H2045,"*","-"),MgAmenClave,0)),0)</f>
        <v/>
      </c>
    </row>
    <row r="2046" hidden="1" ht="90" customHeight="1" s="54">
      <c r="B2046" s="59" t="inlineStr">
        <is>
          <t>R-2041</t>
        </is>
      </c>
      <c r="C2046" s="59" t="inlineStr">
        <is>
          <t>FIN-27</t>
        </is>
      </c>
      <c r="D2046" s="64">
        <f>IFERROR(INDEX(MgNombre,MATCH($C2046,MgActId,0)),"")</f>
        <v/>
      </c>
      <c r="E2046" s="64">
        <f>IFERROR(INDEX(MgProceso,MATCH($C2046,MgActId,0)),"")</f>
        <v/>
      </c>
      <c r="F2046" s="64">
        <f>IFERROR(INDEX(MgTipo,MATCH($C2046,MgActId,0)),"")</f>
        <v/>
      </c>
      <c r="G2046" s="64">
        <f>IFERROR(INDEX(MgSubtipo,MATCH($C2046,MgActId,0)),"")</f>
        <v/>
      </c>
      <c r="H2046" s="59" t="inlineStr">
        <is>
          <t>E.14</t>
        </is>
      </c>
      <c r="I2046" s="64">
        <f>IFERROR(INDEX(MgAmenNombre,MATCH(SUBSTITUTE($H2046,"*","-"),MgAmenClave,0)),"")</f>
        <v/>
      </c>
      <c r="J2046" s="28">
        <f>IFERROR(INDEX(MgAmenGrupo,MATCH(SUBSTITUTE($H2046,"*","-"),MgAmenClave,0)),"")</f>
        <v/>
      </c>
      <c r="K2046" s="64">
        <f>IFERROR(INDEX('1. Matriz de Activos'!$Q$6:$Q$239,MATCH($C2046,MgActId,0)),"")</f>
        <v/>
      </c>
      <c r="L2046" s="64">
        <f>IFERROR(INDEX('1. Matriz de Activos'!$R$6:$R$239,MATCH($C2046,MgActId,0)),"")</f>
        <v/>
      </c>
      <c r="M2046" s="64">
        <f>IFERROR(INDEX('1. Matriz de Activos'!$S$6:$S$239,MATCH($C2046,MgActId,0)),"")</f>
        <v/>
      </c>
      <c r="N2046" s="28">
        <f>IFERROR(INDEX(MgAmenDegD,MATCH(SUBSTITUTE($H2046,"*","-"),MgAmenClave,0)),"No aplica")</f>
        <v/>
      </c>
      <c r="O2046" s="28">
        <f>IFERROR(INDEX(MgAmenDegI,MATCH(SUBSTITUTE($H2046,"*","-"),MgAmenClave,0)),"No aplica")</f>
        <v/>
      </c>
      <c r="P2046" s="28">
        <f>IFERROR(INDEX(MgAmenDegC,MATCH(SUBSTITUTE($H2046,"*","-"),MgAmenClave,0)),"No aplica")</f>
        <v/>
      </c>
      <c r="Q2046" s="29">
        <f>IFERROR(VLOOKUP(K2046,MgValor,2,0)*VLOOKUP(N2046,MgDeg,2,0),0)</f>
        <v/>
      </c>
      <c r="R2046" s="29">
        <f>IFERROR(VLOOKUP(L2046,MgValor,2,0)*VLOOKUP(O2046,MgDeg,2,0),0)</f>
        <v/>
      </c>
      <c r="S2046" s="29">
        <f>IFERROR(VLOOKUP(M2046,MgValor,2,0)*VLOOKUP(P2046,MgDeg,2,0),0)</f>
        <v/>
      </c>
      <c r="T2046" s="30">
        <f>MAX(Q2046:S2046)</f>
        <v/>
      </c>
      <c r="U2046" s="28">
        <f>IFERROR(LOOKUP(T2046,{0;0.5;1.5;3;4.5},{"Despreciable";"Bajo";"Medio";"Alto";"Muy alto"}),"")</f>
        <v/>
      </c>
      <c r="V2046" s="13">
        <f>IFERROR(INDEX(MgAmenFrec,MATCH(SUBSTITUTE($H2046,"*","-"),MgAmenClave,0)),"")</f>
        <v/>
      </c>
      <c r="W2046" s="28">
        <f>IFERROR(LOOKUP(X2046,{0;0.01;0.1;1;10;100},{"Muy baja";"Muy baja";"Baja";"Media";"Alta";"Muy alta"}),"")</f>
        <v/>
      </c>
      <c r="X2046" s="31">
        <f>IFERROR(VLOOKUP(V2046,MgFrec,2,0),0)</f>
        <v/>
      </c>
      <c r="Y2046" s="30">
        <f>T2046*X2046</f>
        <v/>
      </c>
      <c r="Z2046" s="28">
        <f>IFERROR(LOOKUP(Y2046,{0;0.5;5;25},{"Bajo";"Medio";"Alto";"Crítico"}),"")</f>
        <v/>
      </c>
      <c r="AA2046" s="64">
        <f>IF(T2046&gt;=3,IF(X2046&gt;=1,"Zona 1 — Crítica: impacto alto y ocurre al menos una vez al año","Zona 4 — Catastrófica poco probable: impacto alto pero excepcional"),IF(AND(T2046&lt;1.5,X2046&lt;1),"Zona 3 — Asumible: impacto bajo y muy poco frecuente","Zona 2 — Atención: riesgo intermedio"))</f>
        <v/>
      </c>
      <c r="AB2046" s="64">
        <f>IFERROR(INDEX(MgAmenCtrl,MATCH(SUBSTITUTE($H2046,"*","-"),MgAmenClave,0)),"")</f>
        <v/>
      </c>
      <c r="AC2046" s="20" t="n"/>
      <c r="AD2046" s="31">
        <f>IFERROR($X2046*(1-IF($AC2046="",$AL2046,VLOOKUP($AC2046,MgMad,2,0))),"")</f>
        <v/>
      </c>
      <c r="AE2046" s="28">
        <f>IFERROR(LOOKUP(AD2046,{0;0.01;0.1;1;10;100},{"Muy baja";"Muy baja";"Baja";"Media";"Alta";"Muy alta"}),"")</f>
        <v/>
      </c>
      <c r="AF2046" s="30">
        <f>T2046*AD2046</f>
        <v/>
      </c>
      <c r="AG2046" s="28">
        <f>IFERROR(LOOKUP(AF2046,{0;0.5;5;25},{"Bajo";"Medio";"Alto";"Crítico"}),"")</f>
        <v/>
      </c>
      <c r="AH2046" s="28">
        <f>IF(AG2046="","",IF(OR(AG2046="Crítico",AG2046="Alto"),"Mitigar",IF(AG2046="Medio","Mitigar","Aceptar y monitorear")))</f>
        <v/>
      </c>
      <c r="AI2046" s="21" t="n"/>
      <c r="AJ2046" s="21" t="n"/>
      <c r="AK2046" s="20" t="n"/>
      <c r="AL2046" s="77">
        <f>IFERROR(INDEX(MgAmenEfic,MATCH(SUBSTITUTE($H2046,"*","-"),MgAmenClave,0)),0)</f>
        <v/>
      </c>
    </row>
    <row r="2047" hidden="1" ht="90" customHeight="1" s="54">
      <c r="B2047" s="59" t="inlineStr">
        <is>
          <t>R-2042</t>
        </is>
      </c>
      <c r="C2047" s="59" t="inlineStr">
        <is>
          <t>FIN-27</t>
        </is>
      </c>
      <c r="D2047" s="64">
        <f>IFERROR(INDEX(MgNombre,MATCH($C2047,MgActId,0)),"")</f>
        <v/>
      </c>
      <c r="E2047" s="64">
        <f>IFERROR(INDEX(MgProceso,MATCH($C2047,MgActId,0)),"")</f>
        <v/>
      </c>
      <c r="F2047" s="64">
        <f>IFERROR(INDEX(MgTipo,MATCH($C2047,MgActId,0)),"")</f>
        <v/>
      </c>
      <c r="G2047" s="64">
        <f>IFERROR(INDEX(MgSubtipo,MATCH($C2047,MgActId,0)),"")</f>
        <v/>
      </c>
      <c r="H2047" s="59" t="inlineStr">
        <is>
          <t>E.15</t>
        </is>
      </c>
      <c r="I2047" s="64">
        <f>IFERROR(INDEX(MgAmenNombre,MATCH(SUBSTITUTE($H2047,"*","-"),MgAmenClave,0)),"")</f>
        <v/>
      </c>
      <c r="J2047" s="28">
        <f>IFERROR(INDEX(MgAmenGrupo,MATCH(SUBSTITUTE($H2047,"*","-"),MgAmenClave,0)),"")</f>
        <v/>
      </c>
      <c r="K2047" s="64">
        <f>IFERROR(INDEX('1. Matriz de Activos'!$Q$6:$Q$239,MATCH($C2047,MgActId,0)),"")</f>
        <v/>
      </c>
      <c r="L2047" s="64">
        <f>IFERROR(INDEX('1. Matriz de Activos'!$R$6:$R$239,MATCH($C2047,MgActId,0)),"")</f>
        <v/>
      </c>
      <c r="M2047" s="64">
        <f>IFERROR(INDEX('1. Matriz de Activos'!$S$6:$S$239,MATCH($C2047,MgActId,0)),"")</f>
        <v/>
      </c>
      <c r="N2047" s="28">
        <f>IFERROR(INDEX(MgAmenDegD,MATCH(SUBSTITUTE($H2047,"*","-"),MgAmenClave,0)),"No aplica")</f>
        <v/>
      </c>
      <c r="O2047" s="28">
        <f>IFERROR(INDEX(MgAmenDegI,MATCH(SUBSTITUTE($H2047,"*","-"),MgAmenClave,0)),"No aplica")</f>
        <v/>
      </c>
      <c r="P2047" s="28">
        <f>IFERROR(INDEX(MgAmenDegC,MATCH(SUBSTITUTE($H2047,"*","-"),MgAmenClave,0)),"No aplica")</f>
        <v/>
      </c>
      <c r="Q2047" s="29">
        <f>IFERROR(VLOOKUP(K2047,MgValor,2,0)*VLOOKUP(N2047,MgDeg,2,0),0)</f>
        <v/>
      </c>
      <c r="R2047" s="29">
        <f>IFERROR(VLOOKUP(L2047,MgValor,2,0)*VLOOKUP(O2047,MgDeg,2,0),0)</f>
        <v/>
      </c>
      <c r="S2047" s="29">
        <f>IFERROR(VLOOKUP(M2047,MgValor,2,0)*VLOOKUP(P2047,MgDeg,2,0),0)</f>
        <v/>
      </c>
      <c r="T2047" s="30">
        <f>MAX(Q2047:S2047)</f>
        <v/>
      </c>
      <c r="U2047" s="28">
        <f>IFERROR(LOOKUP(T2047,{0;0.5;1.5;3;4.5},{"Despreciable";"Bajo";"Medio";"Alto";"Muy alto"}),"")</f>
        <v/>
      </c>
      <c r="V2047" s="13">
        <f>IFERROR(INDEX(MgAmenFrec,MATCH(SUBSTITUTE($H2047,"*","-"),MgAmenClave,0)),"")</f>
        <v/>
      </c>
      <c r="W2047" s="28">
        <f>IFERROR(LOOKUP(X2047,{0;0.01;0.1;1;10;100},{"Muy baja";"Muy baja";"Baja";"Media";"Alta";"Muy alta"}),"")</f>
        <v/>
      </c>
      <c r="X2047" s="31">
        <f>IFERROR(VLOOKUP(V2047,MgFrec,2,0),0)</f>
        <v/>
      </c>
      <c r="Y2047" s="30">
        <f>T2047*X2047</f>
        <v/>
      </c>
      <c r="Z2047" s="28">
        <f>IFERROR(LOOKUP(Y2047,{0;0.5;5;25},{"Bajo";"Medio";"Alto";"Crítico"}),"")</f>
        <v/>
      </c>
      <c r="AA2047" s="64">
        <f>IF(T2047&gt;=3,IF(X2047&gt;=1,"Zona 1 — Crítica: impacto alto y ocurre al menos una vez al año","Zona 4 — Catastrófica poco probable: impacto alto pero excepcional"),IF(AND(T2047&lt;1.5,X2047&lt;1),"Zona 3 — Asumible: impacto bajo y muy poco frecuente","Zona 2 — Atención: riesgo intermedio"))</f>
        <v/>
      </c>
      <c r="AB2047" s="64">
        <f>IFERROR(INDEX(MgAmenCtrl,MATCH(SUBSTITUTE($H2047,"*","-"),MgAmenClave,0)),"")</f>
        <v/>
      </c>
      <c r="AC2047" s="20" t="n"/>
      <c r="AD2047" s="31">
        <f>IFERROR($X2047*(1-IF($AC2047="",$AL2047,VLOOKUP($AC2047,MgMad,2,0))),"")</f>
        <v/>
      </c>
      <c r="AE2047" s="28">
        <f>IFERROR(LOOKUP(AD2047,{0;0.01;0.1;1;10;100},{"Muy baja";"Muy baja";"Baja";"Media";"Alta";"Muy alta"}),"")</f>
        <v/>
      </c>
      <c r="AF2047" s="30">
        <f>T2047*AD2047</f>
        <v/>
      </c>
      <c r="AG2047" s="28">
        <f>IFERROR(LOOKUP(AF2047,{0;0.5;5;25},{"Bajo";"Medio";"Alto";"Crítico"}),"")</f>
        <v/>
      </c>
      <c r="AH2047" s="28">
        <f>IF(AG2047="","",IF(OR(AG2047="Crítico",AG2047="Alto"),"Mitigar",IF(AG2047="Medio","Mitigar","Aceptar y monitorear")))</f>
        <v/>
      </c>
      <c r="AI2047" s="21" t="n"/>
      <c r="AJ2047" s="21" t="n"/>
      <c r="AK2047" s="20" t="n"/>
      <c r="AL2047" s="77">
        <f>IFERROR(INDEX(MgAmenEfic,MATCH(SUBSTITUTE($H2047,"*","-"),MgAmenClave,0)),0)</f>
        <v/>
      </c>
    </row>
    <row r="2048" hidden="1" ht="60" customHeight="1" s="54">
      <c r="B2048" s="59" t="inlineStr">
        <is>
          <t>R-2043</t>
        </is>
      </c>
      <c r="C2048" s="59" t="inlineStr">
        <is>
          <t>FIN-27</t>
        </is>
      </c>
      <c r="D2048" s="64">
        <f>IFERROR(INDEX(MgNombre,MATCH($C2048,MgActId,0)),"")</f>
        <v/>
      </c>
      <c r="E2048" s="64">
        <f>IFERROR(INDEX(MgProceso,MATCH($C2048,MgActId,0)),"")</f>
        <v/>
      </c>
      <c r="F2048" s="64">
        <f>IFERROR(INDEX(MgTipo,MATCH($C2048,MgActId,0)),"")</f>
        <v/>
      </c>
      <c r="G2048" s="64">
        <f>IFERROR(INDEX(MgSubtipo,MATCH($C2048,MgActId,0)),"")</f>
        <v/>
      </c>
      <c r="H2048" s="59" t="inlineStr">
        <is>
          <t>E.18</t>
        </is>
      </c>
      <c r="I2048" s="64">
        <f>IFERROR(INDEX(MgAmenNombre,MATCH(SUBSTITUTE($H2048,"*","-"),MgAmenClave,0)),"")</f>
        <v/>
      </c>
      <c r="J2048" s="28">
        <f>IFERROR(INDEX(MgAmenGrupo,MATCH(SUBSTITUTE($H2048,"*","-"),MgAmenClave,0)),"")</f>
        <v/>
      </c>
      <c r="K2048" s="64">
        <f>IFERROR(INDEX('1. Matriz de Activos'!$Q$6:$Q$239,MATCH($C2048,MgActId,0)),"")</f>
        <v/>
      </c>
      <c r="L2048" s="64">
        <f>IFERROR(INDEX('1. Matriz de Activos'!$R$6:$R$239,MATCH($C2048,MgActId,0)),"")</f>
        <v/>
      </c>
      <c r="M2048" s="64">
        <f>IFERROR(INDEX('1. Matriz de Activos'!$S$6:$S$239,MATCH($C2048,MgActId,0)),"")</f>
        <v/>
      </c>
      <c r="N2048" s="28">
        <f>IFERROR(INDEX(MgAmenDegD,MATCH(SUBSTITUTE($H2048,"*","-"),MgAmenClave,0)),"No aplica")</f>
        <v/>
      </c>
      <c r="O2048" s="28">
        <f>IFERROR(INDEX(MgAmenDegI,MATCH(SUBSTITUTE($H2048,"*","-"),MgAmenClave,0)),"No aplica")</f>
        <v/>
      </c>
      <c r="P2048" s="28">
        <f>IFERROR(INDEX(MgAmenDegC,MATCH(SUBSTITUTE($H2048,"*","-"),MgAmenClave,0)),"No aplica")</f>
        <v/>
      </c>
      <c r="Q2048" s="29">
        <f>IFERROR(VLOOKUP(K2048,MgValor,2,0)*VLOOKUP(N2048,MgDeg,2,0),0)</f>
        <v/>
      </c>
      <c r="R2048" s="29">
        <f>IFERROR(VLOOKUP(L2048,MgValor,2,0)*VLOOKUP(O2048,MgDeg,2,0),0)</f>
        <v/>
      </c>
      <c r="S2048" s="29">
        <f>IFERROR(VLOOKUP(M2048,MgValor,2,0)*VLOOKUP(P2048,MgDeg,2,0),0)</f>
        <v/>
      </c>
      <c r="T2048" s="30">
        <f>MAX(Q2048:S2048)</f>
        <v/>
      </c>
      <c r="U2048" s="28">
        <f>IFERROR(LOOKUP(T2048,{0;0.5;1.5;3;4.5},{"Despreciable";"Bajo";"Medio";"Alto";"Muy alto"}),"")</f>
        <v/>
      </c>
      <c r="V2048" s="13">
        <f>IFERROR(INDEX(MgAmenFrec,MATCH(SUBSTITUTE($H2048,"*","-"),MgAmenClave,0)),"")</f>
        <v/>
      </c>
      <c r="W2048" s="28">
        <f>IFERROR(LOOKUP(X2048,{0;0.01;0.1;1;10;100},{"Muy baja";"Muy baja";"Baja";"Media";"Alta";"Muy alta"}),"")</f>
        <v/>
      </c>
      <c r="X2048" s="31">
        <f>IFERROR(VLOOKUP(V2048,MgFrec,2,0),0)</f>
        <v/>
      </c>
      <c r="Y2048" s="30">
        <f>T2048*X2048</f>
        <v/>
      </c>
      <c r="Z2048" s="28">
        <f>IFERROR(LOOKUP(Y2048,{0;0.5;5;25},{"Bajo";"Medio";"Alto";"Crítico"}),"")</f>
        <v/>
      </c>
      <c r="AA2048" s="64">
        <f>IF(T2048&gt;=3,IF(X2048&gt;=1,"Zona 1 — Crítica: impacto alto y ocurre al menos una vez al año","Zona 4 — Catastrófica poco probable: impacto alto pero excepcional"),IF(AND(T2048&lt;1.5,X2048&lt;1),"Zona 3 — Asumible: impacto bajo y muy poco frecuente","Zona 2 — Atención: riesgo intermedio"))</f>
        <v/>
      </c>
      <c r="AB2048" s="64">
        <f>IFERROR(INDEX(MgAmenCtrl,MATCH(SUBSTITUTE($H2048,"*","-"),MgAmenClave,0)),"")</f>
        <v/>
      </c>
      <c r="AC2048" s="20" t="n"/>
      <c r="AD2048" s="31">
        <f>IFERROR($X2048*(1-IF($AC2048="",$AL2048,VLOOKUP($AC2048,MgMad,2,0))),"")</f>
        <v/>
      </c>
      <c r="AE2048" s="28">
        <f>IFERROR(LOOKUP(AD2048,{0;0.01;0.1;1;10;100},{"Muy baja";"Muy baja";"Baja";"Media";"Alta";"Muy alta"}),"")</f>
        <v/>
      </c>
      <c r="AF2048" s="30">
        <f>T2048*AD2048</f>
        <v/>
      </c>
      <c r="AG2048" s="28">
        <f>IFERROR(LOOKUP(AF2048,{0;0.5;5;25},{"Bajo";"Medio";"Alto";"Crítico"}),"")</f>
        <v/>
      </c>
      <c r="AH2048" s="28">
        <f>IF(AG2048="","",IF(OR(AG2048="Crítico",AG2048="Alto"),"Mitigar",IF(AG2048="Medio","Mitigar","Aceptar y monitorear")))</f>
        <v/>
      </c>
      <c r="AI2048" s="21" t="n"/>
      <c r="AJ2048" s="21" t="n"/>
      <c r="AK2048" s="20" t="n"/>
      <c r="AL2048" s="77">
        <f>IFERROR(INDEX(MgAmenEfic,MATCH(SUBSTITUTE($H2048,"*","-"),MgAmenClave,0)),0)</f>
        <v/>
      </c>
    </row>
    <row r="2049" hidden="1" ht="105" customHeight="1" s="54">
      <c r="B2049" s="59" t="inlineStr">
        <is>
          <t>R-2044</t>
        </is>
      </c>
      <c r="C2049" s="59" t="inlineStr">
        <is>
          <t>FIN-27</t>
        </is>
      </c>
      <c r="D2049" s="64">
        <f>IFERROR(INDEX(MgNombre,MATCH($C2049,MgActId,0)),"")</f>
        <v/>
      </c>
      <c r="E2049" s="64">
        <f>IFERROR(INDEX(MgProceso,MATCH($C2049,MgActId,0)),"")</f>
        <v/>
      </c>
      <c r="F2049" s="64">
        <f>IFERROR(INDEX(MgTipo,MATCH($C2049,MgActId,0)),"")</f>
        <v/>
      </c>
      <c r="G2049" s="64">
        <f>IFERROR(INDEX(MgSubtipo,MATCH($C2049,MgActId,0)),"")</f>
        <v/>
      </c>
      <c r="H2049" s="59" t="inlineStr">
        <is>
          <t>E.19</t>
        </is>
      </c>
      <c r="I2049" s="64">
        <f>IFERROR(INDEX(MgAmenNombre,MATCH(SUBSTITUTE($H2049,"*","-"),MgAmenClave,0)),"")</f>
        <v/>
      </c>
      <c r="J2049" s="28">
        <f>IFERROR(INDEX(MgAmenGrupo,MATCH(SUBSTITUTE($H2049,"*","-"),MgAmenClave,0)),"")</f>
        <v/>
      </c>
      <c r="K2049" s="64">
        <f>IFERROR(INDEX('1. Matriz de Activos'!$Q$6:$Q$239,MATCH($C2049,MgActId,0)),"")</f>
        <v/>
      </c>
      <c r="L2049" s="64">
        <f>IFERROR(INDEX('1. Matriz de Activos'!$R$6:$R$239,MATCH($C2049,MgActId,0)),"")</f>
        <v/>
      </c>
      <c r="M2049" s="64">
        <f>IFERROR(INDEX('1. Matriz de Activos'!$S$6:$S$239,MATCH($C2049,MgActId,0)),"")</f>
        <v/>
      </c>
      <c r="N2049" s="28">
        <f>IFERROR(INDEX(MgAmenDegD,MATCH(SUBSTITUTE($H2049,"*","-"),MgAmenClave,0)),"No aplica")</f>
        <v/>
      </c>
      <c r="O2049" s="28">
        <f>IFERROR(INDEX(MgAmenDegI,MATCH(SUBSTITUTE($H2049,"*","-"),MgAmenClave,0)),"No aplica")</f>
        <v/>
      </c>
      <c r="P2049" s="28">
        <f>IFERROR(INDEX(MgAmenDegC,MATCH(SUBSTITUTE($H2049,"*","-"),MgAmenClave,0)),"No aplica")</f>
        <v/>
      </c>
      <c r="Q2049" s="29">
        <f>IFERROR(VLOOKUP(K2049,MgValor,2,0)*VLOOKUP(N2049,MgDeg,2,0),0)</f>
        <v/>
      </c>
      <c r="R2049" s="29">
        <f>IFERROR(VLOOKUP(L2049,MgValor,2,0)*VLOOKUP(O2049,MgDeg,2,0),0)</f>
        <v/>
      </c>
      <c r="S2049" s="29">
        <f>IFERROR(VLOOKUP(M2049,MgValor,2,0)*VLOOKUP(P2049,MgDeg,2,0),0)</f>
        <v/>
      </c>
      <c r="T2049" s="30">
        <f>MAX(Q2049:S2049)</f>
        <v/>
      </c>
      <c r="U2049" s="28">
        <f>IFERROR(LOOKUP(T2049,{0;0.5;1.5;3;4.5},{"Despreciable";"Bajo";"Medio";"Alto";"Muy alto"}),"")</f>
        <v/>
      </c>
      <c r="V2049" s="13">
        <f>IFERROR(INDEX(MgAmenFrec,MATCH(SUBSTITUTE($H2049,"*","-"),MgAmenClave,0)),"")</f>
        <v/>
      </c>
      <c r="W2049" s="28">
        <f>IFERROR(LOOKUP(X2049,{0;0.01;0.1;1;10;100},{"Muy baja";"Muy baja";"Baja";"Media";"Alta";"Muy alta"}),"")</f>
        <v/>
      </c>
      <c r="X2049" s="31">
        <f>IFERROR(VLOOKUP(V2049,MgFrec,2,0),0)</f>
        <v/>
      </c>
      <c r="Y2049" s="30">
        <f>T2049*X2049</f>
        <v/>
      </c>
      <c r="Z2049" s="28">
        <f>IFERROR(LOOKUP(Y2049,{0;0.5;5;25},{"Bajo";"Medio";"Alto";"Crítico"}),"")</f>
        <v/>
      </c>
      <c r="AA2049" s="64">
        <f>IF(T2049&gt;=3,IF(X2049&gt;=1,"Zona 1 — Crítica: impacto alto y ocurre al menos una vez al año","Zona 4 — Catastrófica poco probable: impacto alto pero excepcional"),IF(AND(T2049&lt;1.5,X2049&lt;1),"Zona 3 — Asumible: impacto bajo y muy poco frecuente","Zona 2 — Atención: riesgo intermedio"))</f>
        <v/>
      </c>
      <c r="AB2049" s="64">
        <f>IFERROR(INDEX(MgAmenCtrl,MATCH(SUBSTITUTE($H2049,"*","-"),MgAmenClave,0)),"")</f>
        <v/>
      </c>
      <c r="AC2049" s="20" t="n"/>
      <c r="AD2049" s="31">
        <f>IFERROR($X2049*(1-IF($AC2049="",$AL2049,VLOOKUP($AC2049,MgMad,2,0))),"")</f>
        <v/>
      </c>
      <c r="AE2049" s="28">
        <f>IFERROR(LOOKUP(AD2049,{0;0.01;0.1;1;10;100},{"Muy baja";"Muy baja";"Baja";"Media";"Alta";"Muy alta"}),"")</f>
        <v/>
      </c>
      <c r="AF2049" s="30">
        <f>T2049*AD2049</f>
        <v/>
      </c>
      <c r="AG2049" s="28">
        <f>IFERROR(LOOKUP(AF2049,{0;0.5;5;25},{"Bajo";"Medio";"Alto";"Crítico"}),"")</f>
        <v/>
      </c>
      <c r="AH2049" s="28">
        <f>IF(AG2049="","",IF(OR(AG2049="Crítico",AG2049="Alto"),"Mitigar",IF(AG2049="Medio","Mitigar","Aceptar y monitorear")))</f>
        <v/>
      </c>
      <c r="AI2049" s="21" t="n"/>
      <c r="AJ2049" s="21" t="n"/>
      <c r="AK2049" s="20" t="n"/>
      <c r="AL2049" s="77">
        <f>IFERROR(INDEX(MgAmenEfic,MATCH(SUBSTITUTE($H2049,"*","-"),MgAmenClave,0)),0)</f>
        <v/>
      </c>
    </row>
    <row r="2050" hidden="1" ht="45" customHeight="1" s="54">
      <c r="B2050" s="59" t="inlineStr">
        <is>
          <t>R-2045</t>
        </is>
      </c>
      <c r="C2050" s="59" t="inlineStr">
        <is>
          <t>FIN-27</t>
        </is>
      </c>
      <c r="D2050" s="64">
        <f>IFERROR(INDEX(MgNombre,MATCH($C2050,MgActId,0)),"")</f>
        <v/>
      </c>
      <c r="E2050" s="64">
        <f>IFERROR(INDEX(MgProceso,MATCH($C2050,MgActId,0)),"")</f>
        <v/>
      </c>
      <c r="F2050" s="64">
        <f>IFERROR(INDEX(MgTipo,MATCH($C2050,MgActId,0)),"")</f>
        <v/>
      </c>
      <c r="G2050" s="64">
        <f>IFERROR(INDEX(MgSubtipo,MATCH($C2050,MgActId,0)),"")</f>
        <v/>
      </c>
      <c r="H2050" s="59" t="inlineStr">
        <is>
          <t>E.24</t>
        </is>
      </c>
      <c r="I2050" s="64">
        <f>IFERROR(INDEX(MgAmenNombre,MATCH(SUBSTITUTE($H2050,"*","-"),MgAmenClave,0)),"")</f>
        <v/>
      </c>
      <c r="J2050" s="28">
        <f>IFERROR(INDEX(MgAmenGrupo,MATCH(SUBSTITUTE($H2050,"*","-"),MgAmenClave,0)),"")</f>
        <v/>
      </c>
      <c r="K2050" s="64">
        <f>IFERROR(INDEX('1. Matriz de Activos'!$Q$6:$Q$239,MATCH($C2050,MgActId,0)),"")</f>
        <v/>
      </c>
      <c r="L2050" s="64">
        <f>IFERROR(INDEX('1. Matriz de Activos'!$R$6:$R$239,MATCH($C2050,MgActId,0)),"")</f>
        <v/>
      </c>
      <c r="M2050" s="64">
        <f>IFERROR(INDEX('1. Matriz de Activos'!$S$6:$S$239,MATCH($C2050,MgActId,0)),"")</f>
        <v/>
      </c>
      <c r="N2050" s="28">
        <f>IFERROR(INDEX(MgAmenDegD,MATCH(SUBSTITUTE($H2050,"*","-"),MgAmenClave,0)),"No aplica")</f>
        <v/>
      </c>
      <c r="O2050" s="28">
        <f>IFERROR(INDEX(MgAmenDegI,MATCH(SUBSTITUTE($H2050,"*","-"),MgAmenClave,0)),"No aplica")</f>
        <v/>
      </c>
      <c r="P2050" s="28">
        <f>IFERROR(INDEX(MgAmenDegC,MATCH(SUBSTITUTE($H2050,"*","-"),MgAmenClave,0)),"No aplica")</f>
        <v/>
      </c>
      <c r="Q2050" s="29">
        <f>IFERROR(VLOOKUP(K2050,MgValor,2,0)*VLOOKUP(N2050,MgDeg,2,0),0)</f>
        <v/>
      </c>
      <c r="R2050" s="29">
        <f>IFERROR(VLOOKUP(L2050,MgValor,2,0)*VLOOKUP(O2050,MgDeg,2,0),0)</f>
        <v/>
      </c>
      <c r="S2050" s="29">
        <f>IFERROR(VLOOKUP(M2050,MgValor,2,0)*VLOOKUP(P2050,MgDeg,2,0),0)</f>
        <v/>
      </c>
      <c r="T2050" s="30">
        <f>MAX(Q2050:S2050)</f>
        <v/>
      </c>
      <c r="U2050" s="28">
        <f>IFERROR(LOOKUP(T2050,{0;0.5;1.5;3;4.5},{"Despreciable";"Bajo";"Medio";"Alto";"Muy alto"}),"")</f>
        <v/>
      </c>
      <c r="V2050" s="13">
        <f>IFERROR(INDEX(MgAmenFrec,MATCH(SUBSTITUTE($H2050,"*","-"),MgAmenClave,0)),"")</f>
        <v/>
      </c>
      <c r="W2050" s="28">
        <f>IFERROR(LOOKUP(X2050,{0;0.01;0.1;1;10;100},{"Muy baja";"Muy baja";"Baja";"Media";"Alta";"Muy alta"}),"")</f>
        <v/>
      </c>
      <c r="X2050" s="31">
        <f>IFERROR(VLOOKUP(V2050,MgFrec,2,0),0)</f>
        <v/>
      </c>
      <c r="Y2050" s="30">
        <f>T2050*X2050</f>
        <v/>
      </c>
      <c r="Z2050" s="28">
        <f>IFERROR(LOOKUP(Y2050,{0;0.5;5;25},{"Bajo";"Medio";"Alto";"Crítico"}),"")</f>
        <v/>
      </c>
      <c r="AA2050" s="64">
        <f>IF(T2050&gt;=3,IF(X2050&gt;=1,"Zona 1 — Crítica: impacto alto y ocurre al menos una vez al año","Zona 4 — Catastrófica poco probable: impacto alto pero excepcional"),IF(AND(T2050&lt;1.5,X2050&lt;1),"Zona 3 — Asumible: impacto bajo y muy poco frecuente","Zona 2 — Atención: riesgo intermedio"))</f>
        <v/>
      </c>
      <c r="AB2050" s="64">
        <f>IFERROR(INDEX(MgAmenCtrl,MATCH(SUBSTITUTE($H2050,"*","-"),MgAmenClave,0)),"")</f>
        <v/>
      </c>
      <c r="AC2050" s="20" t="n"/>
      <c r="AD2050" s="31">
        <f>IFERROR($X2050*(1-IF($AC2050="",$AL2050,VLOOKUP($AC2050,MgMad,2,0))),"")</f>
        <v/>
      </c>
      <c r="AE2050" s="28">
        <f>IFERROR(LOOKUP(AD2050,{0;0.01;0.1;1;10;100},{"Muy baja";"Muy baja";"Baja";"Media";"Alta";"Muy alta"}),"")</f>
        <v/>
      </c>
      <c r="AF2050" s="30">
        <f>T2050*AD2050</f>
        <v/>
      </c>
      <c r="AG2050" s="28">
        <f>IFERROR(LOOKUP(AF2050,{0;0.5;5;25},{"Bajo";"Medio";"Alto";"Crítico"}),"")</f>
        <v/>
      </c>
      <c r="AH2050" s="28">
        <f>IF(AG2050="","",IF(OR(AG2050="Crítico",AG2050="Alto"),"Mitigar",IF(AG2050="Medio","Mitigar","Aceptar y monitorear")))</f>
        <v/>
      </c>
      <c r="AI2050" s="21" t="n"/>
      <c r="AJ2050" s="21" t="n"/>
      <c r="AK2050" s="20" t="n"/>
      <c r="AL2050" s="77">
        <f>IFERROR(INDEX(MgAmenEfic,MATCH(SUBSTITUTE($H2050,"*","-"),MgAmenClave,0)),0)</f>
        <v/>
      </c>
    </row>
    <row r="2051" hidden="1" ht="75" customHeight="1" s="54">
      <c r="B2051" s="59" t="inlineStr">
        <is>
          <t>R-2046</t>
        </is>
      </c>
      <c r="C2051" s="59" t="inlineStr">
        <is>
          <t>FIN-27</t>
        </is>
      </c>
      <c r="D2051" s="64">
        <f>IFERROR(INDEX(MgNombre,MATCH($C2051,MgActId,0)),"")</f>
        <v/>
      </c>
      <c r="E2051" s="64">
        <f>IFERROR(INDEX(MgProceso,MATCH($C2051,MgActId,0)),"")</f>
        <v/>
      </c>
      <c r="F2051" s="64">
        <f>IFERROR(INDEX(MgTipo,MATCH($C2051,MgActId,0)),"")</f>
        <v/>
      </c>
      <c r="G2051" s="64">
        <f>IFERROR(INDEX(MgSubtipo,MATCH($C2051,MgActId,0)),"")</f>
        <v/>
      </c>
      <c r="H2051" s="59" t="inlineStr">
        <is>
          <t>A.5</t>
        </is>
      </c>
      <c r="I2051" s="64">
        <f>IFERROR(INDEX(MgAmenNombre,MATCH(SUBSTITUTE($H2051,"*","-"),MgAmenClave,0)),"")</f>
        <v/>
      </c>
      <c r="J2051" s="28">
        <f>IFERROR(INDEX(MgAmenGrupo,MATCH(SUBSTITUTE($H2051,"*","-"),MgAmenClave,0)),"")</f>
        <v/>
      </c>
      <c r="K2051" s="64">
        <f>IFERROR(INDEX('1. Matriz de Activos'!$Q$6:$Q$239,MATCH($C2051,MgActId,0)),"")</f>
        <v/>
      </c>
      <c r="L2051" s="64">
        <f>IFERROR(INDEX('1. Matriz de Activos'!$R$6:$R$239,MATCH($C2051,MgActId,0)),"")</f>
        <v/>
      </c>
      <c r="M2051" s="64">
        <f>IFERROR(INDEX('1. Matriz de Activos'!$S$6:$S$239,MATCH($C2051,MgActId,0)),"")</f>
        <v/>
      </c>
      <c r="N2051" s="28">
        <f>IFERROR(INDEX(MgAmenDegD,MATCH(SUBSTITUTE($H2051,"*","-"),MgAmenClave,0)),"No aplica")</f>
        <v/>
      </c>
      <c r="O2051" s="28">
        <f>IFERROR(INDEX(MgAmenDegI,MATCH(SUBSTITUTE($H2051,"*","-"),MgAmenClave,0)),"No aplica")</f>
        <v/>
      </c>
      <c r="P2051" s="28">
        <f>IFERROR(INDEX(MgAmenDegC,MATCH(SUBSTITUTE($H2051,"*","-"),MgAmenClave,0)),"No aplica")</f>
        <v/>
      </c>
      <c r="Q2051" s="29">
        <f>IFERROR(VLOOKUP(K2051,MgValor,2,0)*VLOOKUP(N2051,MgDeg,2,0),0)</f>
        <v/>
      </c>
      <c r="R2051" s="29">
        <f>IFERROR(VLOOKUP(L2051,MgValor,2,0)*VLOOKUP(O2051,MgDeg,2,0),0)</f>
        <v/>
      </c>
      <c r="S2051" s="29">
        <f>IFERROR(VLOOKUP(M2051,MgValor,2,0)*VLOOKUP(P2051,MgDeg,2,0),0)</f>
        <v/>
      </c>
      <c r="T2051" s="30">
        <f>MAX(Q2051:S2051)</f>
        <v/>
      </c>
      <c r="U2051" s="28">
        <f>IFERROR(LOOKUP(T2051,{0;0.5;1.5;3;4.5},{"Despreciable";"Bajo";"Medio";"Alto";"Muy alto"}),"")</f>
        <v/>
      </c>
      <c r="V2051" s="13">
        <f>IFERROR(INDEX(MgAmenFrec,MATCH(SUBSTITUTE($H2051,"*","-"),MgAmenClave,0)),"")</f>
        <v/>
      </c>
      <c r="W2051" s="28">
        <f>IFERROR(LOOKUP(X2051,{0;0.01;0.1;1;10;100},{"Muy baja";"Muy baja";"Baja";"Media";"Alta";"Muy alta"}),"")</f>
        <v/>
      </c>
      <c r="X2051" s="31">
        <f>IFERROR(VLOOKUP(V2051,MgFrec,2,0),0)</f>
        <v/>
      </c>
      <c r="Y2051" s="30">
        <f>T2051*X2051</f>
        <v/>
      </c>
      <c r="Z2051" s="28">
        <f>IFERROR(LOOKUP(Y2051,{0;0.5;5;25},{"Bajo";"Medio";"Alto";"Crítico"}),"")</f>
        <v/>
      </c>
      <c r="AA2051" s="64">
        <f>IF(T2051&gt;=3,IF(X2051&gt;=1,"Zona 1 — Crítica: impacto alto y ocurre al menos una vez al año","Zona 4 — Catastrófica poco probable: impacto alto pero excepcional"),IF(AND(T2051&lt;1.5,X2051&lt;1),"Zona 3 — Asumible: impacto bajo y muy poco frecuente","Zona 2 — Atención: riesgo intermedio"))</f>
        <v/>
      </c>
      <c r="AB2051" s="64">
        <f>IFERROR(INDEX(MgAmenCtrl,MATCH(SUBSTITUTE($H2051,"*","-"),MgAmenClave,0)),"")</f>
        <v/>
      </c>
      <c r="AC2051" s="20" t="n"/>
      <c r="AD2051" s="31">
        <f>IFERROR($X2051*(1-IF($AC2051="",$AL2051,VLOOKUP($AC2051,MgMad,2,0))),"")</f>
        <v/>
      </c>
      <c r="AE2051" s="28">
        <f>IFERROR(LOOKUP(AD2051,{0;0.01;0.1;1;10;100},{"Muy baja";"Muy baja";"Baja";"Media";"Alta";"Muy alta"}),"")</f>
        <v/>
      </c>
      <c r="AF2051" s="30">
        <f>T2051*AD2051</f>
        <v/>
      </c>
      <c r="AG2051" s="28">
        <f>IFERROR(LOOKUP(AF2051,{0;0.5;5;25},{"Bajo";"Medio";"Alto";"Crítico"}),"")</f>
        <v/>
      </c>
      <c r="AH2051" s="28">
        <f>IF(AG2051="","",IF(OR(AG2051="Crítico",AG2051="Alto"),"Mitigar",IF(AG2051="Medio","Mitigar","Aceptar y monitorear")))</f>
        <v/>
      </c>
      <c r="AI2051" s="21" t="n"/>
      <c r="AJ2051" s="21" t="n"/>
      <c r="AK2051" s="20" t="n"/>
      <c r="AL2051" s="77">
        <f>IFERROR(INDEX(MgAmenEfic,MATCH(SUBSTITUTE($H2051,"*","-"),MgAmenClave,0)),0)</f>
        <v/>
      </c>
    </row>
    <row r="2052" hidden="1" ht="105" customHeight="1" s="54">
      <c r="B2052" s="59" t="inlineStr">
        <is>
          <t>R-2047</t>
        </is>
      </c>
      <c r="C2052" s="59" t="inlineStr">
        <is>
          <t>FIN-27</t>
        </is>
      </c>
      <c r="D2052" s="64">
        <f>IFERROR(INDEX(MgNombre,MATCH($C2052,MgActId,0)),"")</f>
        <v/>
      </c>
      <c r="E2052" s="64">
        <f>IFERROR(INDEX(MgProceso,MATCH($C2052,MgActId,0)),"")</f>
        <v/>
      </c>
      <c r="F2052" s="64">
        <f>IFERROR(INDEX(MgTipo,MATCH($C2052,MgActId,0)),"")</f>
        <v/>
      </c>
      <c r="G2052" s="64">
        <f>IFERROR(INDEX(MgSubtipo,MATCH($C2052,MgActId,0)),"")</f>
        <v/>
      </c>
      <c r="H2052" s="59" t="inlineStr">
        <is>
          <t>A.6</t>
        </is>
      </c>
      <c r="I2052" s="64">
        <f>IFERROR(INDEX(MgAmenNombre,MATCH(SUBSTITUTE($H2052,"*","-"),MgAmenClave,0)),"")</f>
        <v/>
      </c>
      <c r="J2052" s="28">
        <f>IFERROR(INDEX(MgAmenGrupo,MATCH(SUBSTITUTE($H2052,"*","-"),MgAmenClave,0)),"")</f>
        <v/>
      </c>
      <c r="K2052" s="64">
        <f>IFERROR(INDEX('1. Matriz de Activos'!$Q$6:$Q$239,MATCH($C2052,MgActId,0)),"")</f>
        <v/>
      </c>
      <c r="L2052" s="64">
        <f>IFERROR(INDEX('1. Matriz de Activos'!$R$6:$R$239,MATCH($C2052,MgActId,0)),"")</f>
        <v/>
      </c>
      <c r="M2052" s="64">
        <f>IFERROR(INDEX('1. Matriz de Activos'!$S$6:$S$239,MATCH($C2052,MgActId,0)),"")</f>
        <v/>
      </c>
      <c r="N2052" s="28">
        <f>IFERROR(INDEX(MgAmenDegD,MATCH(SUBSTITUTE($H2052,"*","-"),MgAmenClave,0)),"No aplica")</f>
        <v/>
      </c>
      <c r="O2052" s="28">
        <f>IFERROR(INDEX(MgAmenDegI,MATCH(SUBSTITUTE($H2052,"*","-"),MgAmenClave,0)),"No aplica")</f>
        <v/>
      </c>
      <c r="P2052" s="28">
        <f>IFERROR(INDEX(MgAmenDegC,MATCH(SUBSTITUTE($H2052,"*","-"),MgAmenClave,0)),"No aplica")</f>
        <v/>
      </c>
      <c r="Q2052" s="29">
        <f>IFERROR(VLOOKUP(K2052,MgValor,2,0)*VLOOKUP(N2052,MgDeg,2,0),0)</f>
        <v/>
      </c>
      <c r="R2052" s="29">
        <f>IFERROR(VLOOKUP(L2052,MgValor,2,0)*VLOOKUP(O2052,MgDeg,2,0),0)</f>
        <v/>
      </c>
      <c r="S2052" s="29">
        <f>IFERROR(VLOOKUP(M2052,MgValor,2,0)*VLOOKUP(P2052,MgDeg,2,0),0)</f>
        <v/>
      </c>
      <c r="T2052" s="30">
        <f>MAX(Q2052:S2052)</f>
        <v/>
      </c>
      <c r="U2052" s="28">
        <f>IFERROR(LOOKUP(T2052,{0;0.5;1.5;3;4.5},{"Despreciable";"Bajo";"Medio";"Alto";"Muy alto"}),"")</f>
        <v/>
      </c>
      <c r="V2052" s="13">
        <f>IFERROR(INDEX(MgAmenFrec,MATCH(SUBSTITUTE($H2052,"*","-"),MgAmenClave,0)),"")</f>
        <v/>
      </c>
      <c r="W2052" s="28">
        <f>IFERROR(LOOKUP(X2052,{0;0.01;0.1;1;10;100},{"Muy baja";"Muy baja";"Baja";"Media";"Alta";"Muy alta"}),"")</f>
        <v/>
      </c>
      <c r="X2052" s="31">
        <f>IFERROR(VLOOKUP(V2052,MgFrec,2,0),0)</f>
        <v/>
      </c>
      <c r="Y2052" s="30">
        <f>T2052*X2052</f>
        <v/>
      </c>
      <c r="Z2052" s="28">
        <f>IFERROR(LOOKUP(Y2052,{0;0.5;5;25},{"Bajo";"Medio";"Alto";"Crítico"}),"")</f>
        <v/>
      </c>
      <c r="AA2052" s="64">
        <f>IF(T2052&gt;=3,IF(X2052&gt;=1,"Zona 1 — Crítica: impacto alto y ocurre al menos una vez al año","Zona 4 — Catastrófica poco probable: impacto alto pero excepcional"),IF(AND(T2052&lt;1.5,X2052&lt;1),"Zona 3 — Asumible: impacto bajo y muy poco frecuente","Zona 2 — Atención: riesgo intermedio"))</f>
        <v/>
      </c>
      <c r="AB2052" s="64">
        <f>IFERROR(INDEX(MgAmenCtrl,MATCH(SUBSTITUTE($H2052,"*","-"),MgAmenClave,0)),"")</f>
        <v/>
      </c>
      <c r="AC2052" s="20" t="n"/>
      <c r="AD2052" s="31">
        <f>IFERROR($X2052*(1-IF($AC2052="",$AL2052,VLOOKUP($AC2052,MgMad,2,0))),"")</f>
        <v/>
      </c>
      <c r="AE2052" s="28">
        <f>IFERROR(LOOKUP(AD2052,{0;0.01;0.1;1;10;100},{"Muy baja";"Muy baja";"Baja";"Media";"Alta";"Muy alta"}),"")</f>
        <v/>
      </c>
      <c r="AF2052" s="30">
        <f>T2052*AD2052</f>
        <v/>
      </c>
      <c r="AG2052" s="28">
        <f>IFERROR(LOOKUP(AF2052,{0;0.5;5;25},{"Bajo";"Medio";"Alto";"Crítico"}),"")</f>
        <v/>
      </c>
      <c r="AH2052" s="28">
        <f>IF(AG2052="","",IF(OR(AG2052="Crítico",AG2052="Alto"),"Mitigar",IF(AG2052="Medio","Mitigar","Aceptar y monitorear")))</f>
        <v/>
      </c>
      <c r="AI2052" s="21" t="n"/>
      <c r="AJ2052" s="21" t="n"/>
      <c r="AK2052" s="20" t="n"/>
      <c r="AL2052" s="77">
        <f>IFERROR(INDEX(MgAmenEfic,MATCH(SUBSTITUTE($H2052,"*","-"),MgAmenClave,0)),0)</f>
        <v/>
      </c>
    </row>
    <row r="2053" hidden="1" ht="60" customHeight="1" s="54">
      <c r="B2053" s="59" t="inlineStr">
        <is>
          <t>R-2048</t>
        </is>
      </c>
      <c r="C2053" s="59" t="inlineStr">
        <is>
          <t>FIN-27</t>
        </is>
      </c>
      <c r="D2053" s="64">
        <f>IFERROR(INDEX(MgNombre,MATCH($C2053,MgActId,0)),"")</f>
        <v/>
      </c>
      <c r="E2053" s="64">
        <f>IFERROR(INDEX(MgProceso,MATCH($C2053,MgActId,0)),"")</f>
        <v/>
      </c>
      <c r="F2053" s="64">
        <f>IFERROR(INDEX(MgTipo,MATCH($C2053,MgActId,0)),"")</f>
        <v/>
      </c>
      <c r="G2053" s="64">
        <f>IFERROR(INDEX(MgSubtipo,MATCH($C2053,MgActId,0)),"")</f>
        <v/>
      </c>
      <c r="H2053" s="59" t="inlineStr">
        <is>
          <t>A.7</t>
        </is>
      </c>
      <c r="I2053" s="64">
        <f>IFERROR(INDEX(MgAmenNombre,MATCH(SUBSTITUTE($H2053,"*","-"),MgAmenClave,0)),"")</f>
        <v/>
      </c>
      <c r="J2053" s="28">
        <f>IFERROR(INDEX(MgAmenGrupo,MATCH(SUBSTITUTE($H2053,"*","-"),MgAmenClave,0)),"")</f>
        <v/>
      </c>
      <c r="K2053" s="64">
        <f>IFERROR(INDEX('1. Matriz de Activos'!$Q$6:$Q$239,MATCH($C2053,MgActId,0)),"")</f>
        <v/>
      </c>
      <c r="L2053" s="64">
        <f>IFERROR(INDEX('1. Matriz de Activos'!$R$6:$R$239,MATCH($C2053,MgActId,0)),"")</f>
        <v/>
      </c>
      <c r="M2053" s="64">
        <f>IFERROR(INDEX('1. Matriz de Activos'!$S$6:$S$239,MATCH($C2053,MgActId,0)),"")</f>
        <v/>
      </c>
      <c r="N2053" s="28">
        <f>IFERROR(INDEX(MgAmenDegD,MATCH(SUBSTITUTE($H2053,"*","-"),MgAmenClave,0)),"No aplica")</f>
        <v/>
      </c>
      <c r="O2053" s="28">
        <f>IFERROR(INDEX(MgAmenDegI,MATCH(SUBSTITUTE($H2053,"*","-"),MgAmenClave,0)),"No aplica")</f>
        <v/>
      </c>
      <c r="P2053" s="28">
        <f>IFERROR(INDEX(MgAmenDegC,MATCH(SUBSTITUTE($H2053,"*","-"),MgAmenClave,0)),"No aplica")</f>
        <v/>
      </c>
      <c r="Q2053" s="29">
        <f>IFERROR(VLOOKUP(K2053,MgValor,2,0)*VLOOKUP(N2053,MgDeg,2,0),0)</f>
        <v/>
      </c>
      <c r="R2053" s="29">
        <f>IFERROR(VLOOKUP(L2053,MgValor,2,0)*VLOOKUP(O2053,MgDeg,2,0),0)</f>
        <v/>
      </c>
      <c r="S2053" s="29">
        <f>IFERROR(VLOOKUP(M2053,MgValor,2,0)*VLOOKUP(P2053,MgDeg,2,0),0)</f>
        <v/>
      </c>
      <c r="T2053" s="30">
        <f>MAX(Q2053:S2053)</f>
        <v/>
      </c>
      <c r="U2053" s="28">
        <f>IFERROR(LOOKUP(T2053,{0;0.5;1.5;3;4.5},{"Despreciable";"Bajo";"Medio";"Alto";"Muy alto"}),"")</f>
        <v/>
      </c>
      <c r="V2053" s="13">
        <f>IFERROR(INDEX(MgAmenFrec,MATCH(SUBSTITUTE($H2053,"*","-"),MgAmenClave,0)),"")</f>
        <v/>
      </c>
      <c r="W2053" s="28">
        <f>IFERROR(LOOKUP(X2053,{0;0.01;0.1;1;10;100},{"Muy baja";"Muy baja";"Baja";"Media";"Alta";"Muy alta"}),"")</f>
        <v/>
      </c>
      <c r="X2053" s="31">
        <f>IFERROR(VLOOKUP(V2053,MgFrec,2,0),0)</f>
        <v/>
      </c>
      <c r="Y2053" s="30">
        <f>T2053*X2053</f>
        <v/>
      </c>
      <c r="Z2053" s="28">
        <f>IFERROR(LOOKUP(Y2053,{0;0.5;5;25},{"Bajo";"Medio";"Alto";"Crítico"}),"")</f>
        <v/>
      </c>
      <c r="AA2053" s="64">
        <f>IF(T2053&gt;=3,IF(X2053&gt;=1,"Zona 1 — Crítica: impacto alto y ocurre al menos una vez al año","Zona 4 — Catastrófica poco probable: impacto alto pero excepcional"),IF(AND(T2053&lt;1.5,X2053&lt;1),"Zona 3 — Asumible: impacto bajo y muy poco frecuente","Zona 2 — Atención: riesgo intermedio"))</f>
        <v/>
      </c>
      <c r="AB2053" s="64">
        <f>IFERROR(INDEX(MgAmenCtrl,MATCH(SUBSTITUTE($H2053,"*","-"),MgAmenClave,0)),"")</f>
        <v/>
      </c>
      <c r="AC2053" s="20" t="n"/>
      <c r="AD2053" s="31">
        <f>IFERROR($X2053*(1-IF($AC2053="",$AL2053,VLOOKUP($AC2053,MgMad,2,0))),"")</f>
        <v/>
      </c>
      <c r="AE2053" s="28">
        <f>IFERROR(LOOKUP(AD2053,{0;0.01;0.1;1;10;100},{"Muy baja";"Muy baja";"Baja";"Media";"Alta";"Muy alta"}),"")</f>
        <v/>
      </c>
      <c r="AF2053" s="30">
        <f>T2053*AD2053</f>
        <v/>
      </c>
      <c r="AG2053" s="28">
        <f>IFERROR(LOOKUP(AF2053,{0;0.5;5;25},{"Bajo";"Medio";"Alto";"Crítico"}),"")</f>
        <v/>
      </c>
      <c r="AH2053" s="28">
        <f>IF(AG2053="","",IF(OR(AG2053="Crítico",AG2053="Alto"),"Mitigar",IF(AG2053="Medio","Mitigar","Aceptar y monitorear")))</f>
        <v/>
      </c>
      <c r="AI2053" s="21" t="n"/>
      <c r="AJ2053" s="21" t="n"/>
      <c r="AK2053" s="20" t="n"/>
      <c r="AL2053" s="77">
        <f>IFERROR(INDEX(MgAmenEfic,MATCH(SUBSTITUTE($H2053,"*","-"),MgAmenClave,0)),0)</f>
        <v/>
      </c>
    </row>
    <row r="2054" hidden="1" ht="60" customHeight="1" s="54">
      <c r="B2054" s="59" t="inlineStr">
        <is>
          <t>R-2049</t>
        </is>
      </c>
      <c r="C2054" s="59" t="inlineStr">
        <is>
          <t>FIN-27</t>
        </is>
      </c>
      <c r="D2054" s="64">
        <f>IFERROR(INDEX(MgNombre,MATCH($C2054,MgActId,0)),"")</f>
        <v/>
      </c>
      <c r="E2054" s="64">
        <f>IFERROR(INDEX(MgProceso,MATCH($C2054,MgActId,0)),"")</f>
        <v/>
      </c>
      <c r="F2054" s="64">
        <f>IFERROR(INDEX(MgTipo,MATCH($C2054,MgActId,0)),"")</f>
        <v/>
      </c>
      <c r="G2054" s="64">
        <f>IFERROR(INDEX(MgSubtipo,MATCH($C2054,MgActId,0)),"")</f>
        <v/>
      </c>
      <c r="H2054" s="59" t="inlineStr">
        <is>
          <t>A.9</t>
        </is>
      </c>
      <c r="I2054" s="64">
        <f>IFERROR(INDEX(MgAmenNombre,MATCH(SUBSTITUTE($H2054,"*","-"),MgAmenClave,0)),"")</f>
        <v/>
      </c>
      <c r="J2054" s="28">
        <f>IFERROR(INDEX(MgAmenGrupo,MATCH(SUBSTITUTE($H2054,"*","-"),MgAmenClave,0)),"")</f>
        <v/>
      </c>
      <c r="K2054" s="64">
        <f>IFERROR(INDEX('1. Matriz de Activos'!$Q$6:$Q$239,MATCH($C2054,MgActId,0)),"")</f>
        <v/>
      </c>
      <c r="L2054" s="64">
        <f>IFERROR(INDEX('1. Matriz de Activos'!$R$6:$R$239,MATCH($C2054,MgActId,0)),"")</f>
        <v/>
      </c>
      <c r="M2054" s="64">
        <f>IFERROR(INDEX('1. Matriz de Activos'!$S$6:$S$239,MATCH($C2054,MgActId,0)),"")</f>
        <v/>
      </c>
      <c r="N2054" s="28">
        <f>IFERROR(INDEX(MgAmenDegD,MATCH(SUBSTITUTE($H2054,"*","-"),MgAmenClave,0)),"No aplica")</f>
        <v/>
      </c>
      <c r="O2054" s="28">
        <f>IFERROR(INDEX(MgAmenDegI,MATCH(SUBSTITUTE($H2054,"*","-"),MgAmenClave,0)),"No aplica")</f>
        <v/>
      </c>
      <c r="P2054" s="28">
        <f>IFERROR(INDEX(MgAmenDegC,MATCH(SUBSTITUTE($H2054,"*","-"),MgAmenClave,0)),"No aplica")</f>
        <v/>
      </c>
      <c r="Q2054" s="29">
        <f>IFERROR(VLOOKUP(K2054,MgValor,2,0)*VLOOKUP(N2054,MgDeg,2,0),0)</f>
        <v/>
      </c>
      <c r="R2054" s="29">
        <f>IFERROR(VLOOKUP(L2054,MgValor,2,0)*VLOOKUP(O2054,MgDeg,2,0),0)</f>
        <v/>
      </c>
      <c r="S2054" s="29">
        <f>IFERROR(VLOOKUP(M2054,MgValor,2,0)*VLOOKUP(P2054,MgDeg,2,0),0)</f>
        <v/>
      </c>
      <c r="T2054" s="30">
        <f>MAX(Q2054:S2054)</f>
        <v/>
      </c>
      <c r="U2054" s="28">
        <f>IFERROR(LOOKUP(T2054,{0;0.5;1.5;3;4.5},{"Despreciable";"Bajo";"Medio";"Alto";"Muy alto"}),"")</f>
        <v/>
      </c>
      <c r="V2054" s="13">
        <f>IFERROR(INDEX(MgAmenFrec,MATCH(SUBSTITUTE($H2054,"*","-"),MgAmenClave,0)),"")</f>
        <v/>
      </c>
      <c r="W2054" s="28">
        <f>IFERROR(LOOKUP(X2054,{0;0.01;0.1;1;10;100},{"Muy baja";"Muy baja";"Baja";"Media";"Alta";"Muy alta"}),"")</f>
        <v/>
      </c>
      <c r="X2054" s="31">
        <f>IFERROR(VLOOKUP(V2054,MgFrec,2,0),0)</f>
        <v/>
      </c>
      <c r="Y2054" s="30">
        <f>T2054*X2054</f>
        <v/>
      </c>
      <c r="Z2054" s="28">
        <f>IFERROR(LOOKUP(Y2054,{0;0.5;5;25},{"Bajo";"Medio";"Alto";"Crítico"}),"")</f>
        <v/>
      </c>
      <c r="AA2054" s="64">
        <f>IF(T2054&gt;=3,IF(X2054&gt;=1,"Zona 1 — Crítica: impacto alto y ocurre al menos una vez al año","Zona 4 — Catastrófica poco probable: impacto alto pero excepcional"),IF(AND(T2054&lt;1.5,X2054&lt;1),"Zona 3 — Asumible: impacto bajo y muy poco frecuente","Zona 2 — Atención: riesgo intermedio"))</f>
        <v/>
      </c>
      <c r="AB2054" s="64">
        <f>IFERROR(INDEX(MgAmenCtrl,MATCH(SUBSTITUTE($H2054,"*","-"),MgAmenClave,0)),"")</f>
        <v/>
      </c>
      <c r="AC2054" s="20" t="n"/>
      <c r="AD2054" s="31">
        <f>IFERROR($X2054*(1-IF($AC2054="",$AL2054,VLOOKUP($AC2054,MgMad,2,0))),"")</f>
        <v/>
      </c>
      <c r="AE2054" s="28">
        <f>IFERROR(LOOKUP(AD2054,{0;0.01;0.1;1;10;100},{"Muy baja";"Muy baja";"Baja";"Media";"Alta";"Muy alta"}),"")</f>
        <v/>
      </c>
      <c r="AF2054" s="30">
        <f>T2054*AD2054</f>
        <v/>
      </c>
      <c r="AG2054" s="28">
        <f>IFERROR(LOOKUP(AF2054,{0;0.5;5;25},{"Bajo";"Medio";"Alto";"Crítico"}),"")</f>
        <v/>
      </c>
      <c r="AH2054" s="28">
        <f>IF(AG2054="","",IF(OR(AG2054="Crítico",AG2054="Alto"),"Mitigar",IF(AG2054="Medio","Mitigar","Aceptar y monitorear")))</f>
        <v/>
      </c>
      <c r="AI2054" s="21" t="n"/>
      <c r="AJ2054" s="21" t="n"/>
      <c r="AK2054" s="20" t="n"/>
      <c r="AL2054" s="77">
        <f>IFERROR(INDEX(MgAmenEfic,MATCH(SUBSTITUTE($H2054,"*","-"),MgAmenClave,0)),0)</f>
        <v/>
      </c>
    </row>
    <row r="2055" hidden="1" ht="45" customHeight="1" s="54">
      <c r="B2055" s="59" t="inlineStr">
        <is>
          <t>R-2050</t>
        </is>
      </c>
      <c r="C2055" s="59" t="inlineStr">
        <is>
          <t>FIN-27</t>
        </is>
      </c>
      <c r="D2055" s="64">
        <f>IFERROR(INDEX(MgNombre,MATCH($C2055,MgActId,0)),"")</f>
        <v/>
      </c>
      <c r="E2055" s="64">
        <f>IFERROR(INDEX(MgProceso,MATCH($C2055,MgActId,0)),"")</f>
        <v/>
      </c>
      <c r="F2055" s="64">
        <f>IFERROR(INDEX(MgTipo,MATCH($C2055,MgActId,0)),"")</f>
        <v/>
      </c>
      <c r="G2055" s="64">
        <f>IFERROR(INDEX(MgSubtipo,MATCH($C2055,MgActId,0)),"")</f>
        <v/>
      </c>
      <c r="H2055" s="59" t="inlineStr">
        <is>
          <t>A.10</t>
        </is>
      </c>
      <c r="I2055" s="64">
        <f>IFERROR(INDEX(MgAmenNombre,MATCH(SUBSTITUTE($H2055,"*","-"),MgAmenClave,0)),"")</f>
        <v/>
      </c>
      <c r="J2055" s="28">
        <f>IFERROR(INDEX(MgAmenGrupo,MATCH(SUBSTITUTE($H2055,"*","-"),MgAmenClave,0)),"")</f>
        <v/>
      </c>
      <c r="K2055" s="64">
        <f>IFERROR(INDEX('1. Matriz de Activos'!$Q$6:$Q$239,MATCH($C2055,MgActId,0)),"")</f>
        <v/>
      </c>
      <c r="L2055" s="64">
        <f>IFERROR(INDEX('1. Matriz de Activos'!$R$6:$R$239,MATCH($C2055,MgActId,0)),"")</f>
        <v/>
      </c>
      <c r="M2055" s="64">
        <f>IFERROR(INDEX('1. Matriz de Activos'!$S$6:$S$239,MATCH($C2055,MgActId,0)),"")</f>
        <v/>
      </c>
      <c r="N2055" s="28">
        <f>IFERROR(INDEX(MgAmenDegD,MATCH(SUBSTITUTE($H2055,"*","-"),MgAmenClave,0)),"No aplica")</f>
        <v/>
      </c>
      <c r="O2055" s="28">
        <f>IFERROR(INDEX(MgAmenDegI,MATCH(SUBSTITUTE($H2055,"*","-"),MgAmenClave,0)),"No aplica")</f>
        <v/>
      </c>
      <c r="P2055" s="28">
        <f>IFERROR(INDEX(MgAmenDegC,MATCH(SUBSTITUTE($H2055,"*","-"),MgAmenClave,0)),"No aplica")</f>
        <v/>
      </c>
      <c r="Q2055" s="29">
        <f>IFERROR(VLOOKUP(K2055,MgValor,2,0)*VLOOKUP(N2055,MgDeg,2,0),0)</f>
        <v/>
      </c>
      <c r="R2055" s="29">
        <f>IFERROR(VLOOKUP(L2055,MgValor,2,0)*VLOOKUP(O2055,MgDeg,2,0),0)</f>
        <v/>
      </c>
      <c r="S2055" s="29">
        <f>IFERROR(VLOOKUP(M2055,MgValor,2,0)*VLOOKUP(P2055,MgDeg,2,0),0)</f>
        <v/>
      </c>
      <c r="T2055" s="30">
        <f>MAX(Q2055:S2055)</f>
        <v/>
      </c>
      <c r="U2055" s="28">
        <f>IFERROR(LOOKUP(T2055,{0;0.5;1.5;3;4.5},{"Despreciable";"Bajo";"Medio";"Alto";"Muy alto"}),"")</f>
        <v/>
      </c>
      <c r="V2055" s="13">
        <f>IFERROR(INDEX(MgAmenFrec,MATCH(SUBSTITUTE($H2055,"*","-"),MgAmenClave,0)),"")</f>
        <v/>
      </c>
      <c r="W2055" s="28">
        <f>IFERROR(LOOKUP(X2055,{0;0.01;0.1;1;10;100},{"Muy baja";"Muy baja";"Baja";"Media";"Alta";"Muy alta"}),"")</f>
        <v/>
      </c>
      <c r="X2055" s="31">
        <f>IFERROR(VLOOKUP(V2055,MgFrec,2,0),0)</f>
        <v/>
      </c>
      <c r="Y2055" s="30">
        <f>T2055*X2055</f>
        <v/>
      </c>
      <c r="Z2055" s="28">
        <f>IFERROR(LOOKUP(Y2055,{0;0.5;5;25},{"Bajo";"Medio";"Alto";"Crítico"}),"")</f>
        <v/>
      </c>
      <c r="AA2055" s="64">
        <f>IF(T2055&gt;=3,IF(X2055&gt;=1,"Zona 1 — Crítica: impacto alto y ocurre al menos una vez al año","Zona 4 — Catastrófica poco probable: impacto alto pero excepcional"),IF(AND(T2055&lt;1.5,X2055&lt;1),"Zona 3 — Asumible: impacto bajo y muy poco frecuente","Zona 2 — Atención: riesgo intermedio"))</f>
        <v/>
      </c>
      <c r="AB2055" s="64">
        <f>IFERROR(INDEX(MgAmenCtrl,MATCH(SUBSTITUTE($H2055,"*","-"),MgAmenClave,0)),"")</f>
        <v/>
      </c>
      <c r="AC2055" s="20" t="n"/>
      <c r="AD2055" s="31">
        <f>IFERROR($X2055*(1-IF($AC2055="",$AL2055,VLOOKUP($AC2055,MgMad,2,0))),"")</f>
        <v/>
      </c>
      <c r="AE2055" s="28">
        <f>IFERROR(LOOKUP(AD2055,{0;0.01;0.1;1;10;100},{"Muy baja";"Muy baja";"Baja";"Media";"Alta";"Muy alta"}),"")</f>
        <v/>
      </c>
      <c r="AF2055" s="30">
        <f>T2055*AD2055</f>
        <v/>
      </c>
      <c r="AG2055" s="28">
        <f>IFERROR(LOOKUP(AF2055,{0;0.5;5;25},{"Bajo";"Medio";"Alto";"Crítico"}),"")</f>
        <v/>
      </c>
      <c r="AH2055" s="28">
        <f>IF(AG2055="","",IF(OR(AG2055="Crítico",AG2055="Alto"),"Mitigar",IF(AG2055="Medio","Mitigar","Aceptar y monitorear")))</f>
        <v/>
      </c>
      <c r="AI2055" s="21" t="n"/>
      <c r="AJ2055" s="21" t="n"/>
      <c r="AK2055" s="20" t="n"/>
      <c r="AL2055" s="77">
        <f>IFERROR(INDEX(MgAmenEfic,MATCH(SUBSTITUTE($H2055,"*","-"),MgAmenClave,0)),0)</f>
        <v/>
      </c>
    </row>
    <row r="2056" hidden="1" ht="120" customHeight="1" s="54">
      <c r="B2056" s="59" t="inlineStr">
        <is>
          <t>R-2051</t>
        </is>
      </c>
      <c r="C2056" s="59" t="inlineStr">
        <is>
          <t>FIN-27</t>
        </is>
      </c>
      <c r="D2056" s="64">
        <f>IFERROR(INDEX(MgNombre,MATCH($C2056,MgActId,0)),"")</f>
        <v/>
      </c>
      <c r="E2056" s="64">
        <f>IFERROR(INDEX(MgProceso,MATCH($C2056,MgActId,0)),"")</f>
        <v/>
      </c>
      <c r="F2056" s="64">
        <f>IFERROR(INDEX(MgTipo,MATCH($C2056,MgActId,0)),"")</f>
        <v/>
      </c>
      <c r="G2056" s="64">
        <f>IFERROR(INDEX(MgSubtipo,MATCH($C2056,MgActId,0)),"")</f>
        <v/>
      </c>
      <c r="H2056" s="59" t="inlineStr">
        <is>
          <t>A.11</t>
        </is>
      </c>
      <c r="I2056" s="64">
        <f>IFERROR(INDEX(MgAmenNombre,MATCH(SUBSTITUTE($H2056,"*","-"),MgAmenClave,0)),"")</f>
        <v/>
      </c>
      <c r="J2056" s="28">
        <f>IFERROR(INDEX(MgAmenGrupo,MATCH(SUBSTITUTE($H2056,"*","-"),MgAmenClave,0)),"")</f>
        <v/>
      </c>
      <c r="K2056" s="64">
        <f>IFERROR(INDEX('1. Matriz de Activos'!$Q$6:$Q$239,MATCH($C2056,MgActId,0)),"")</f>
        <v/>
      </c>
      <c r="L2056" s="64">
        <f>IFERROR(INDEX('1. Matriz de Activos'!$R$6:$R$239,MATCH($C2056,MgActId,0)),"")</f>
        <v/>
      </c>
      <c r="M2056" s="64">
        <f>IFERROR(INDEX('1. Matriz de Activos'!$S$6:$S$239,MATCH($C2056,MgActId,0)),"")</f>
        <v/>
      </c>
      <c r="N2056" s="28">
        <f>IFERROR(INDEX(MgAmenDegD,MATCH(SUBSTITUTE($H2056,"*","-"),MgAmenClave,0)),"No aplica")</f>
        <v/>
      </c>
      <c r="O2056" s="28">
        <f>IFERROR(INDEX(MgAmenDegI,MATCH(SUBSTITUTE($H2056,"*","-"),MgAmenClave,0)),"No aplica")</f>
        <v/>
      </c>
      <c r="P2056" s="28">
        <f>IFERROR(INDEX(MgAmenDegC,MATCH(SUBSTITUTE($H2056,"*","-"),MgAmenClave,0)),"No aplica")</f>
        <v/>
      </c>
      <c r="Q2056" s="29">
        <f>IFERROR(VLOOKUP(K2056,MgValor,2,0)*VLOOKUP(N2056,MgDeg,2,0),0)</f>
        <v/>
      </c>
      <c r="R2056" s="29">
        <f>IFERROR(VLOOKUP(L2056,MgValor,2,0)*VLOOKUP(O2056,MgDeg,2,0),0)</f>
        <v/>
      </c>
      <c r="S2056" s="29">
        <f>IFERROR(VLOOKUP(M2056,MgValor,2,0)*VLOOKUP(P2056,MgDeg,2,0),0)</f>
        <v/>
      </c>
      <c r="T2056" s="30">
        <f>MAX(Q2056:S2056)</f>
        <v/>
      </c>
      <c r="U2056" s="28">
        <f>IFERROR(LOOKUP(T2056,{0;0.5;1.5;3;4.5},{"Despreciable";"Bajo";"Medio";"Alto";"Muy alto"}),"")</f>
        <v/>
      </c>
      <c r="V2056" s="13">
        <f>IFERROR(INDEX(MgAmenFrec,MATCH(SUBSTITUTE($H2056,"*","-"),MgAmenClave,0)),"")</f>
        <v/>
      </c>
      <c r="W2056" s="28">
        <f>IFERROR(LOOKUP(X2056,{0;0.01;0.1;1;10;100},{"Muy baja";"Muy baja";"Baja";"Media";"Alta";"Muy alta"}),"")</f>
        <v/>
      </c>
      <c r="X2056" s="31">
        <f>IFERROR(VLOOKUP(V2056,MgFrec,2,0),0)</f>
        <v/>
      </c>
      <c r="Y2056" s="30">
        <f>T2056*X2056</f>
        <v/>
      </c>
      <c r="Z2056" s="28">
        <f>IFERROR(LOOKUP(Y2056,{0;0.5;5;25},{"Bajo";"Medio";"Alto";"Crítico"}),"")</f>
        <v/>
      </c>
      <c r="AA2056" s="64">
        <f>IF(T2056&gt;=3,IF(X2056&gt;=1,"Zona 1 — Crítica: impacto alto y ocurre al menos una vez al año","Zona 4 — Catastrófica poco probable: impacto alto pero excepcional"),IF(AND(T2056&lt;1.5,X2056&lt;1),"Zona 3 — Asumible: impacto bajo y muy poco frecuente","Zona 2 — Atención: riesgo intermedio"))</f>
        <v/>
      </c>
      <c r="AB2056" s="64">
        <f>IFERROR(INDEX(MgAmenCtrl,MATCH(SUBSTITUTE($H2056,"*","-"),MgAmenClave,0)),"")</f>
        <v/>
      </c>
      <c r="AC2056" s="20" t="n"/>
      <c r="AD2056" s="31">
        <f>IFERROR($X2056*(1-IF($AC2056="",$AL2056,VLOOKUP($AC2056,MgMad,2,0))),"")</f>
        <v/>
      </c>
      <c r="AE2056" s="28">
        <f>IFERROR(LOOKUP(AD2056,{0;0.01;0.1;1;10;100},{"Muy baja";"Muy baja";"Baja";"Media";"Alta";"Muy alta"}),"")</f>
        <v/>
      </c>
      <c r="AF2056" s="30">
        <f>T2056*AD2056</f>
        <v/>
      </c>
      <c r="AG2056" s="28">
        <f>IFERROR(LOOKUP(AF2056,{0;0.5;5;25},{"Bajo";"Medio";"Alto";"Crítico"}),"")</f>
        <v/>
      </c>
      <c r="AH2056" s="28">
        <f>IF(AG2056="","",IF(OR(AG2056="Crítico",AG2056="Alto"),"Mitigar",IF(AG2056="Medio","Mitigar","Aceptar y monitorear")))</f>
        <v/>
      </c>
      <c r="AI2056" s="21" t="n"/>
      <c r="AJ2056" s="21" t="n"/>
      <c r="AK2056" s="20" t="n"/>
      <c r="AL2056" s="77">
        <f>IFERROR(INDEX(MgAmenEfic,MATCH(SUBSTITUTE($H2056,"*","-"),MgAmenClave,0)),0)</f>
        <v/>
      </c>
    </row>
    <row r="2057" hidden="1" ht="90" customHeight="1" s="54">
      <c r="B2057" s="59" t="inlineStr">
        <is>
          <t>R-2052</t>
        </is>
      </c>
      <c r="C2057" s="59" t="inlineStr">
        <is>
          <t>FIN-27</t>
        </is>
      </c>
      <c r="D2057" s="64">
        <f>IFERROR(INDEX(MgNombre,MATCH($C2057,MgActId,0)),"")</f>
        <v/>
      </c>
      <c r="E2057" s="64">
        <f>IFERROR(INDEX(MgProceso,MATCH($C2057,MgActId,0)),"")</f>
        <v/>
      </c>
      <c r="F2057" s="64">
        <f>IFERROR(INDEX(MgTipo,MATCH($C2057,MgActId,0)),"")</f>
        <v/>
      </c>
      <c r="G2057" s="64">
        <f>IFERROR(INDEX(MgSubtipo,MATCH($C2057,MgActId,0)),"")</f>
        <v/>
      </c>
      <c r="H2057" s="59" t="inlineStr">
        <is>
          <t>A.13</t>
        </is>
      </c>
      <c r="I2057" s="64">
        <f>IFERROR(INDEX(MgAmenNombre,MATCH(SUBSTITUTE($H2057,"*","-"),MgAmenClave,0)),"")</f>
        <v/>
      </c>
      <c r="J2057" s="28">
        <f>IFERROR(INDEX(MgAmenGrupo,MATCH(SUBSTITUTE($H2057,"*","-"),MgAmenClave,0)),"")</f>
        <v/>
      </c>
      <c r="K2057" s="64">
        <f>IFERROR(INDEX('1. Matriz de Activos'!$Q$6:$Q$239,MATCH($C2057,MgActId,0)),"")</f>
        <v/>
      </c>
      <c r="L2057" s="64">
        <f>IFERROR(INDEX('1. Matriz de Activos'!$R$6:$R$239,MATCH($C2057,MgActId,0)),"")</f>
        <v/>
      </c>
      <c r="M2057" s="64">
        <f>IFERROR(INDEX('1. Matriz de Activos'!$S$6:$S$239,MATCH($C2057,MgActId,0)),"")</f>
        <v/>
      </c>
      <c r="N2057" s="28">
        <f>IFERROR(INDEX(MgAmenDegD,MATCH(SUBSTITUTE($H2057,"*","-"),MgAmenClave,0)),"No aplica")</f>
        <v/>
      </c>
      <c r="O2057" s="28">
        <f>IFERROR(INDEX(MgAmenDegI,MATCH(SUBSTITUTE($H2057,"*","-"),MgAmenClave,0)),"No aplica")</f>
        <v/>
      </c>
      <c r="P2057" s="28">
        <f>IFERROR(INDEX(MgAmenDegC,MATCH(SUBSTITUTE($H2057,"*","-"),MgAmenClave,0)),"No aplica")</f>
        <v/>
      </c>
      <c r="Q2057" s="29">
        <f>IFERROR(VLOOKUP(K2057,MgValor,2,0)*VLOOKUP(N2057,MgDeg,2,0),0)</f>
        <v/>
      </c>
      <c r="R2057" s="29">
        <f>IFERROR(VLOOKUP(L2057,MgValor,2,0)*VLOOKUP(O2057,MgDeg,2,0),0)</f>
        <v/>
      </c>
      <c r="S2057" s="29">
        <f>IFERROR(VLOOKUP(M2057,MgValor,2,0)*VLOOKUP(P2057,MgDeg,2,0),0)</f>
        <v/>
      </c>
      <c r="T2057" s="30">
        <f>MAX(Q2057:S2057)</f>
        <v/>
      </c>
      <c r="U2057" s="28">
        <f>IFERROR(LOOKUP(T2057,{0;0.5;1.5;3;4.5},{"Despreciable";"Bajo";"Medio";"Alto";"Muy alto"}),"")</f>
        <v/>
      </c>
      <c r="V2057" s="13">
        <f>IFERROR(INDEX(MgAmenFrec,MATCH(SUBSTITUTE($H2057,"*","-"),MgAmenClave,0)),"")</f>
        <v/>
      </c>
      <c r="W2057" s="28">
        <f>IFERROR(LOOKUP(X2057,{0;0.01;0.1;1;10;100},{"Muy baja";"Muy baja";"Baja";"Media";"Alta";"Muy alta"}),"")</f>
        <v/>
      </c>
      <c r="X2057" s="31">
        <f>IFERROR(VLOOKUP(V2057,MgFrec,2,0),0)</f>
        <v/>
      </c>
      <c r="Y2057" s="30">
        <f>T2057*X2057</f>
        <v/>
      </c>
      <c r="Z2057" s="28">
        <f>IFERROR(LOOKUP(Y2057,{0;0.5;5;25},{"Bajo";"Medio";"Alto";"Crítico"}),"")</f>
        <v/>
      </c>
      <c r="AA2057" s="64">
        <f>IF(T2057&gt;=3,IF(X2057&gt;=1,"Zona 1 — Crítica: impacto alto y ocurre al menos una vez al año","Zona 4 — Catastrófica poco probable: impacto alto pero excepcional"),IF(AND(T2057&lt;1.5,X2057&lt;1),"Zona 3 — Asumible: impacto bajo y muy poco frecuente","Zona 2 — Atención: riesgo intermedio"))</f>
        <v/>
      </c>
      <c r="AB2057" s="64">
        <f>IFERROR(INDEX(MgAmenCtrl,MATCH(SUBSTITUTE($H2057,"*","-"),MgAmenClave,0)),"")</f>
        <v/>
      </c>
      <c r="AC2057" s="20" t="n"/>
      <c r="AD2057" s="31">
        <f>IFERROR($X2057*(1-IF($AC2057="",$AL2057,VLOOKUP($AC2057,MgMad,2,0))),"")</f>
        <v/>
      </c>
      <c r="AE2057" s="28">
        <f>IFERROR(LOOKUP(AD2057,{0;0.01;0.1;1;10;100},{"Muy baja";"Muy baja";"Baja";"Media";"Alta";"Muy alta"}),"")</f>
        <v/>
      </c>
      <c r="AF2057" s="30">
        <f>T2057*AD2057</f>
        <v/>
      </c>
      <c r="AG2057" s="28">
        <f>IFERROR(LOOKUP(AF2057,{0;0.5;5;25},{"Bajo";"Medio";"Alto";"Crítico"}),"")</f>
        <v/>
      </c>
      <c r="AH2057" s="28">
        <f>IF(AG2057="","",IF(OR(AG2057="Crítico",AG2057="Alto"),"Mitigar",IF(AG2057="Medio","Mitigar","Aceptar y monitorear")))</f>
        <v/>
      </c>
      <c r="AI2057" s="21" t="n"/>
      <c r="AJ2057" s="21" t="n"/>
      <c r="AK2057" s="20" t="n"/>
      <c r="AL2057" s="77">
        <f>IFERROR(INDEX(MgAmenEfic,MATCH(SUBSTITUTE($H2057,"*","-"),MgAmenClave,0)),0)</f>
        <v/>
      </c>
    </row>
    <row r="2058" hidden="1" ht="60" customHeight="1" s="54">
      <c r="B2058" s="59" t="inlineStr">
        <is>
          <t>R-2053</t>
        </is>
      </c>
      <c r="C2058" s="59" t="inlineStr">
        <is>
          <t>FIN-27</t>
        </is>
      </c>
      <c r="D2058" s="64">
        <f>IFERROR(INDEX(MgNombre,MATCH($C2058,MgActId,0)),"")</f>
        <v/>
      </c>
      <c r="E2058" s="64">
        <f>IFERROR(INDEX(MgProceso,MATCH($C2058,MgActId,0)),"")</f>
        <v/>
      </c>
      <c r="F2058" s="64">
        <f>IFERROR(INDEX(MgTipo,MATCH($C2058,MgActId,0)),"")</f>
        <v/>
      </c>
      <c r="G2058" s="64">
        <f>IFERROR(INDEX(MgSubtipo,MATCH($C2058,MgActId,0)),"")</f>
        <v/>
      </c>
      <c r="H2058" s="59" t="inlineStr">
        <is>
          <t>A.15</t>
        </is>
      </c>
      <c r="I2058" s="64">
        <f>IFERROR(INDEX(MgAmenNombre,MATCH(SUBSTITUTE($H2058,"*","-"),MgAmenClave,0)),"")</f>
        <v/>
      </c>
      <c r="J2058" s="28">
        <f>IFERROR(INDEX(MgAmenGrupo,MATCH(SUBSTITUTE($H2058,"*","-"),MgAmenClave,0)),"")</f>
        <v/>
      </c>
      <c r="K2058" s="64">
        <f>IFERROR(INDEX('1. Matriz de Activos'!$Q$6:$Q$239,MATCH($C2058,MgActId,0)),"")</f>
        <v/>
      </c>
      <c r="L2058" s="64">
        <f>IFERROR(INDEX('1. Matriz de Activos'!$R$6:$R$239,MATCH($C2058,MgActId,0)),"")</f>
        <v/>
      </c>
      <c r="M2058" s="64">
        <f>IFERROR(INDEX('1. Matriz de Activos'!$S$6:$S$239,MATCH($C2058,MgActId,0)),"")</f>
        <v/>
      </c>
      <c r="N2058" s="28">
        <f>IFERROR(INDEX(MgAmenDegD,MATCH(SUBSTITUTE($H2058,"*","-"),MgAmenClave,0)),"No aplica")</f>
        <v/>
      </c>
      <c r="O2058" s="28">
        <f>IFERROR(INDEX(MgAmenDegI,MATCH(SUBSTITUTE($H2058,"*","-"),MgAmenClave,0)),"No aplica")</f>
        <v/>
      </c>
      <c r="P2058" s="28">
        <f>IFERROR(INDEX(MgAmenDegC,MATCH(SUBSTITUTE($H2058,"*","-"),MgAmenClave,0)),"No aplica")</f>
        <v/>
      </c>
      <c r="Q2058" s="29">
        <f>IFERROR(VLOOKUP(K2058,MgValor,2,0)*VLOOKUP(N2058,MgDeg,2,0),0)</f>
        <v/>
      </c>
      <c r="R2058" s="29">
        <f>IFERROR(VLOOKUP(L2058,MgValor,2,0)*VLOOKUP(O2058,MgDeg,2,0),0)</f>
        <v/>
      </c>
      <c r="S2058" s="29">
        <f>IFERROR(VLOOKUP(M2058,MgValor,2,0)*VLOOKUP(P2058,MgDeg,2,0),0)</f>
        <v/>
      </c>
      <c r="T2058" s="30">
        <f>MAX(Q2058:S2058)</f>
        <v/>
      </c>
      <c r="U2058" s="28">
        <f>IFERROR(LOOKUP(T2058,{0;0.5;1.5;3;4.5},{"Despreciable";"Bajo";"Medio";"Alto";"Muy alto"}),"")</f>
        <v/>
      </c>
      <c r="V2058" s="13">
        <f>IFERROR(INDEX(MgAmenFrec,MATCH(SUBSTITUTE($H2058,"*","-"),MgAmenClave,0)),"")</f>
        <v/>
      </c>
      <c r="W2058" s="28">
        <f>IFERROR(LOOKUP(X2058,{0;0.01;0.1;1;10;100},{"Muy baja";"Muy baja";"Baja";"Media";"Alta";"Muy alta"}),"")</f>
        <v/>
      </c>
      <c r="X2058" s="31">
        <f>IFERROR(VLOOKUP(V2058,MgFrec,2,0),0)</f>
        <v/>
      </c>
      <c r="Y2058" s="30">
        <f>T2058*X2058</f>
        <v/>
      </c>
      <c r="Z2058" s="28">
        <f>IFERROR(LOOKUP(Y2058,{0;0.5;5;25},{"Bajo";"Medio";"Alto";"Crítico"}),"")</f>
        <v/>
      </c>
      <c r="AA2058" s="64">
        <f>IF(T2058&gt;=3,IF(X2058&gt;=1,"Zona 1 — Crítica: impacto alto y ocurre al menos una vez al año","Zona 4 — Catastrófica poco probable: impacto alto pero excepcional"),IF(AND(T2058&lt;1.5,X2058&lt;1),"Zona 3 — Asumible: impacto bajo y muy poco frecuente","Zona 2 — Atención: riesgo intermedio"))</f>
        <v/>
      </c>
      <c r="AB2058" s="64">
        <f>IFERROR(INDEX(MgAmenCtrl,MATCH(SUBSTITUTE($H2058,"*","-"),MgAmenClave,0)),"")</f>
        <v/>
      </c>
      <c r="AC2058" s="20" t="n"/>
      <c r="AD2058" s="31">
        <f>IFERROR($X2058*(1-IF($AC2058="",$AL2058,VLOOKUP($AC2058,MgMad,2,0))),"")</f>
        <v/>
      </c>
      <c r="AE2058" s="28">
        <f>IFERROR(LOOKUP(AD2058,{0;0.01;0.1;1;10;100},{"Muy baja";"Muy baja";"Baja";"Media";"Alta";"Muy alta"}),"")</f>
        <v/>
      </c>
      <c r="AF2058" s="30">
        <f>T2058*AD2058</f>
        <v/>
      </c>
      <c r="AG2058" s="28">
        <f>IFERROR(LOOKUP(AF2058,{0;0.5;5;25},{"Bajo";"Medio";"Alto";"Crítico"}),"")</f>
        <v/>
      </c>
      <c r="AH2058" s="28">
        <f>IF(AG2058="","",IF(OR(AG2058="Crítico",AG2058="Alto"),"Mitigar",IF(AG2058="Medio","Mitigar","Aceptar y monitorear")))</f>
        <v/>
      </c>
      <c r="AI2058" s="21" t="n"/>
      <c r="AJ2058" s="21" t="n"/>
      <c r="AK2058" s="20" t="n"/>
      <c r="AL2058" s="77">
        <f>IFERROR(INDEX(MgAmenEfic,MATCH(SUBSTITUTE($H2058,"*","-"),MgAmenClave,0)),0)</f>
        <v/>
      </c>
    </row>
    <row r="2059" hidden="1" ht="60" customHeight="1" s="54">
      <c r="B2059" s="59" t="inlineStr">
        <is>
          <t>R-2054</t>
        </is>
      </c>
      <c r="C2059" s="59" t="inlineStr">
        <is>
          <t>FIN-27</t>
        </is>
      </c>
      <c r="D2059" s="64">
        <f>IFERROR(INDEX(MgNombre,MATCH($C2059,MgActId,0)),"")</f>
        <v/>
      </c>
      <c r="E2059" s="64">
        <f>IFERROR(INDEX(MgProceso,MATCH($C2059,MgActId,0)),"")</f>
        <v/>
      </c>
      <c r="F2059" s="64">
        <f>IFERROR(INDEX(MgTipo,MATCH($C2059,MgActId,0)),"")</f>
        <v/>
      </c>
      <c r="G2059" s="64">
        <f>IFERROR(INDEX(MgSubtipo,MATCH($C2059,MgActId,0)),"")</f>
        <v/>
      </c>
      <c r="H2059" s="59" t="inlineStr">
        <is>
          <t>A.18</t>
        </is>
      </c>
      <c r="I2059" s="64">
        <f>IFERROR(INDEX(MgAmenNombre,MATCH(SUBSTITUTE($H2059,"*","-"),MgAmenClave,0)),"")</f>
        <v/>
      </c>
      <c r="J2059" s="28">
        <f>IFERROR(INDEX(MgAmenGrupo,MATCH(SUBSTITUTE($H2059,"*","-"),MgAmenClave,0)),"")</f>
        <v/>
      </c>
      <c r="K2059" s="64">
        <f>IFERROR(INDEX('1. Matriz de Activos'!$Q$6:$Q$239,MATCH($C2059,MgActId,0)),"")</f>
        <v/>
      </c>
      <c r="L2059" s="64">
        <f>IFERROR(INDEX('1. Matriz de Activos'!$R$6:$R$239,MATCH($C2059,MgActId,0)),"")</f>
        <v/>
      </c>
      <c r="M2059" s="64">
        <f>IFERROR(INDEX('1. Matriz de Activos'!$S$6:$S$239,MATCH($C2059,MgActId,0)),"")</f>
        <v/>
      </c>
      <c r="N2059" s="28">
        <f>IFERROR(INDEX(MgAmenDegD,MATCH(SUBSTITUTE($H2059,"*","-"),MgAmenClave,0)),"No aplica")</f>
        <v/>
      </c>
      <c r="O2059" s="28">
        <f>IFERROR(INDEX(MgAmenDegI,MATCH(SUBSTITUTE($H2059,"*","-"),MgAmenClave,0)),"No aplica")</f>
        <v/>
      </c>
      <c r="P2059" s="28">
        <f>IFERROR(INDEX(MgAmenDegC,MATCH(SUBSTITUTE($H2059,"*","-"),MgAmenClave,0)),"No aplica")</f>
        <v/>
      </c>
      <c r="Q2059" s="29">
        <f>IFERROR(VLOOKUP(K2059,MgValor,2,0)*VLOOKUP(N2059,MgDeg,2,0),0)</f>
        <v/>
      </c>
      <c r="R2059" s="29">
        <f>IFERROR(VLOOKUP(L2059,MgValor,2,0)*VLOOKUP(O2059,MgDeg,2,0),0)</f>
        <v/>
      </c>
      <c r="S2059" s="29">
        <f>IFERROR(VLOOKUP(M2059,MgValor,2,0)*VLOOKUP(P2059,MgDeg,2,0),0)</f>
        <v/>
      </c>
      <c r="T2059" s="30">
        <f>MAX(Q2059:S2059)</f>
        <v/>
      </c>
      <c r="U2059" s="28">
        <f>IFERROR(LOOKUP(T2059,{0;0.5;1.5;3;4.5},{"Despreciable";"Bajo";"Medio";"Alto";"Muy alto"}),"")</f>
        <v/>
      </c>
      <c r="V2059" s="13">
        <f>IFERROR(INDEX(MgAmenFrec,MATCH(SUBSTITUTE($H2059,"*","-"),MgAmenClave,0)),"")</f>
        <v/>
      </c>
      <c r="W2059" s="28">
        <f>IFERROR(LOOKUP(X2059,{0;0.01;0.1;1;10;100},{"Muy baja";"Muy baja";"Baja";"Media";"Alta";"Muy alta"}),"")</f>
        <v/>
      </c>
      <c r="X2059" s="31">
        <f>IFERROR(VLOOKUP(V2059,MgFrec,2,0),0)</f>
        <v/>
      </c>
      <c r="Y2059" s="30">
        <f>T2059*X2059</f>
        <v/>
      </c>
      <c r="Z2059" s="28">
        <f>IFERROR(LOOKUP(Y2059,{0;0.5;5;25},{"Bajo";"Medio";"Alto";"Crítico"}),"")</f>
        <v/>
      </c>
      <c r="AA2059" s="64">
        <f>IF(T2059&gt;=3,IF(X2059&gt;=1,"Zona 1 — Crítica: impacto alto y ocurre al menos una vez al año","Zona 4 — Catastrófica poco probable: impacto alto pero excepcional"),IF(AND(T2059&lt;1.5,X2059&lt;1),"Zona 3 — Asumible: impacto bajo y muy poco frecuente","Zona 2 — Atención: riesgo intermedio"))</f>
        <v/>
      </c>
      <c r="AB2059" s="64">
        <f>IFERROR(INDEX(MgAmenCtrl,MATCH(SUBSTITUTE($H2059,"*","-"),MgAmenClave,0)),"")</f>
        <v/>
      </c>
      <c r="AC2059" s="20" t="n"/>
      <c r="AD2059" s="31">
        <f>IFERROR($X2059*(1-IF($AC2059="",$AL2059,VLOOKUP($AC2059,MgMad,2,0))),"")</f>
        <v/>
      </c>
      <c r="AE2059" s="28">
        <f>IFERROR(LOOKUP(AD2059,{0;0.01;0.1;1;10;100},{"Muy baja";"Muy baja";"Baja";"Media";"Alta";"Muy alta"}),"")</f>
        <v/>
      </c>
      <c r="AF2059" s="30">
        <f>T2059*AD2059</f>
        <v/>
      </c>
      <c r="AG2059" s="28">
        <f>IFERROR(LOOKUP(AF2059,{0;0.5;5;25},{"Bajo";"Medio";"Alto";"Crítico"}),"")</f>
        <v/>
      </c>
      <c r="AH2059" s="28">
        <f>IF(AG2059="","",IF(OR(AG2059="Crítico",AG2059="Alto"),"Mitigar",IF(AG2059="Medio","Mitigar","Aceptar y monitorear")))</f>
        <v/>
      </c>
      <c r="AI2059" s="21" t="n"/>
      <c r="AJ2059" s="21" t="n"/>
      <c r="AK2059" s="20" t="n"/>
      <c r="AL2059" s="77">
        <f>IFERROR(INDEX(MgAmenEfic,MATCH(SUBSTITUTE($H2059,"*","-"),MgAmenClave,0)),0)</f>
        <v/>
      </c>
    </row>
    <row r="2060" hidden="1" ht="120" customHeight="1" s="54">
      <c r="B2060" s="59" t="inlineStr">
        <is>
          <t>R-2055</t>
        </is>
      </c>
      <c r="C2060" s="59" t="inlineStr">
        <is>
          <t>FIN-27</t>
        </is>
      </c>
      <c r="D2060" s="64">
        <f>IFERROR(INDEX(MgNombre,MATCH($C2060,MgActId,0)),"")</f>
        <v/>
      </c>
      <c r="E2060" s="64">
        <f>IFERROR(INDEX(MgProceso,MATCH($C2060,MgActId,0)),"")</f>
        <v/>
      </c>
      <c r="F2060" s="64">
        <f>IFERROR(INDEX(MgTipo,MATCH($C2060,MgActId,0)),"")</f>
        <v/>
      </c>
      <c r="G2060" s="64">
        <f>IFERROR(INDEX(MgSubtipo,MATCH($C2060,MgActId,0)),"")</f>
        <v/>
      </c>
      <c r="H2060" s="59" t="inlineStr">
        <is>
          <t>A.19</t>
        </is>
      </c>
      <c r="I2060" s="64">
        <f>IFERROR(INDEX(MgAmenNombre,MATCH(SUBSTITUTE($H2060,"*","-"),MgAmenClave,0)),"")</f>
        <v/>
      </c>
      <c r="J2060" s="28">
        <f>IFERROR(INDEX(MgAmenGrupo,MATCH(SUBSTITUTE($H2060,"*","-"),MgAmenClave,0)),"")</f>
        <v/>
      </c>
      <c r="K2060" s="64">
        <f>IFERROR(INDEX('1. Matriz de Activos'!$Q$6:$Q$239,MATCH($C2060,MgActId,0)),"")</f>
        <v/>
      </c>
      <c r="L2060" s="64">
        <f>IFERROR(INDEX('1. Matriz de Activos'!$R$6:$R$239,MATCH($C2060,MgActId,0)),"")</f>
        <v/>
      </c>
      <c r="M2060" s="64">
        <f>IFERROR(INDEX('1. Matriz de Activos'!$S$6:$S$239,MATCH($C2060,MgActId,0)),"")</f>
        <v/>
      </c>
      <c r="N2060" s="28">
        <f>IFERROR(INDEX(MgAmenDegD,MATCH(SUBSTITUTE($H2060,"*","-"),MgAmenClave,0)),"No aplica")</f>
        <v/>
      </c>
      <c r="O2060" s="28">
        <f>IFERROR(INDEX(MgAmenDegI,MATCH(SUBSTITUTE($H2060,"*","-"),MgAmenClave,0)),"No aplica")</f>
        <v/>
      </c>
      <c r="P2060" s="28">
        <f>IFERROR(INDEX(MgAmenDegC,MATCH(SUBSTITUTE($H2060,"*","-"),MgAmenClave,0)),"No aplica")</f>
        <v/>
      </c>
      <c r="Q2060" s="29">
        <f>IFERROR(VLOOKUP(K2060,MgValor,2,0)*VLOOKUP(N2060,MgDeg,2,0),0)</f>
        <v/>
      </c>
      <c r="R2060" s="29">
        <f>IFERROR(VLOOKUP(L2060,MgValor,2,0)*VLOOKUP(O2060,MgDeg,2,0),0)</f>
        <v/>
      </c>
      <c r="S2060" s="29">
        <f>IFERROR(VLOOKUP(M2060,MgValor,2,0)*VLOOKUP(P2060,MgDeg,2,0),0)</f>
        <v/>
      </c>
      <c r="T2060" s="30">
        <f>MAX(Q2060:S2060)</f>
        <v/>
      </c>
      <c r="U2060" s="28">
        <f>IFERROR(LOOKUP(T2060,{0;0.5;1.5;3;4.5},{"Despreciable";"Bajo";"Medio";"Alto";"Muy alto"}),"")</f>
        <v/>
      </c>
      <c r="V2060" s="13">
        <f>IFERROR(INDEX(MgAmenFrec,MATCH(SUBSTITUTE($H2060,"*","-"),MgAmenClave,0)),"")</f>
        <v/>
      </c>
      <c r="W2060" s="28">
        <f>IFERROR(LOOKUP(X2060,{0;0.01;0.1;1;10;100},{"Muy baja";"Muy baja";"Baja";"Media";"Alta";"Muy alta"}),"")</f>
        <v/>
      </c>
      <c r="X2060" s="31">
        <f>IFERROR(VLOOKUP(V2060,MgFrec,2,0),0)</f>
        <v/>
      </c>
      <c r="Y2060" s="30">
        <f>T2060*X2060</f>
        <v/>
      </c>
      <c r="Z2060" s="28">
        <f>IFERROR(LOOKUP(Y2060,{0;0.5;5;25},{"Bajo";"Medio";"Alto";"Crítico"}),"")</f>
        <v/>
      </c>
      <c r="AA2060" s="64">
        <f>IF(T2060&gt;=3,IF(X2060&gt;=1,"Zona 1 — Crítica: impacto alto y ocurre al menos una vez al año","Zona 4 — Catastrófica poco probable: impacto alto pero excepcional"),IF(AND(T2060&lt;1.5,X2060&lt;1),"Zona 3 — Asumible: impacto bajo y muy poco frecuente","Zona 2 — Atención: riesgo intermedio"))</f>
        <v/>
      </c>
      <c r="AB2060" s="64">
        <f>IFERROR(INDEX(MgAmenCtrl,MATCH(SUBSTITUTE($H2060,"*","-"),MgAmenClave,0)),"")</f>
        <v/>
      </c>
      <c r="AC2060" s="20" t="n"/>
      <c r="AD2060" s="31">
        <f>IFERROR($X2060*(1-IF($AC2060="",$AL2060,VLOOKUP($AC2060,MgMad,2,0))),"")</f>
        <v/>
      </c>
      <c r="AE2060" s="28">
        <f>IFERROR(LOOKUP(AD2060,{0;0.01;0.1;1;10;100},{"Muy baja";"Muy baja";"Baja";"Media";"Alta";"Muy alta"}),"")</f>
        <v/>
      </c>
      <c r="AF2060" s="30">
        <f>T2060*AD2060</f>
        <v/>
      </c>
      <c r="AG2060" s="28">
        <f>IFERROR(LOOKUP(AF2060,{0;0.5;5;25},{"Bajo";"Medio";"Alto";"Crítico"}),"")</f>
        <v/>
      </c>
      <c r="AH2060" s="28">
        <f>IF(AG2060="","",IF(OR(AG2060="Crítico",AG2060="Alto"),"Mitigar",IF(AG2060="Medio","Mitigar","Aceptar y monitorear")))</f>
        <v/>
      </c>
      <c r="AI2060" s="21" t="n"/>
      <c r="AJ2060" s="21" t="n"/>
      <c r="AK2060" s="20" t="n"/>
      <c r="AL2060" s="77">
        <f>IFERROR(INDEX(MgAmenEfic,MATCH(SUBSTITUTE($H2060,"*","-"),MgAmenClave,0)),0)</f>
        <v/>
      </c>
    </row>
    <row r="2061" hidden="1" ht="60" customHeight="1" s="54">
      <c r="B2061" s="59" t="inlineStr">
        <is>
          <t>R-2056</t>
        </is>
      </c>
      <c r="C2061" s="59" t="inlineStr">
        <is>
          <t>FIN-27</t>
        </is>
      </c>
      <c r="D2061" s="64">
        <f>IFERROR(INDEX(MgNombre,MATCH($C2061,MgActId,0)),"")</f>
        <v/>
      </c>
      <c r="E2061" s="64">
        <f>IFERROR(INDEX(MgProceso,MATCH($C2061,MgActId,0)),"")</f>
        <v/>
      </c>
      <c r="F2061" s="64">
        <f>IFERROR(INDEX(MgTipo,MATCH($C2061,MgActId,0)),"")</f>
        <v/>
      </c>
      <c r="G2061" s="64">
        <f>IFERROR(INDEX(MgSubtipo,MATCH($C2061,MgActId,0)),"")</f>
        <v/>
      </c>
      <c r="H2061" s="59" t="inlineStr">
        <is>
          <t>A.24</t>
        </is>
      </c>
      <c r="I2061" s="64">
        <f>IFERROR(INDEX(MgAmenNombre,MATCH(SUBSTITUTE($H2061,"*","-"),MgAmenClave,0)),"")</f>
        <v/>
      </c>
      <c r="J2061" s="28">
        <f>IFERROR(INDEX(MgAmenGrupo,MATCH(SUBSTITUTE($H2061,"*","-"),MgAmenClave,0)),"")</f>
        <v/>
      </c>
      <c r="K2061" s="64">
        <f>IFERROR(INDEX('1. Matriz de Activos'!$Q$6:$Q$239,MATCH($C2061,MgActId,0)),"")</f>
        <v/>
      </c>
      <c r="L2061" s="64">
        <f>IFERROR(INDEX('1. Matriz de Activos'!$R$6:$R$239,MATCH($C2061,MgActId,0)),"")</f>
        <v/>
      </c>
      <c r="M2061" s="64">
        <f>IFERROR(INDEX('1. Matriz de Activos'!$S$6:$S$239,MATCH($C2061,MgActId,0)),"")</f>
        <v/>
      </c>
      <c r="N2061" s="28">
        <f>IFERROR(INDEX(MgAmenDegD,MATCH(SUBSTITUTE($H2061,"*","-"),MgAmenClave,0)),"No aplica")</f>
        <v/>
      </c>
      <c r="O2061" s="28">
        <f>IFERROR(INDEX(MgAmenDegI,MATCH(SUBSTITUTE($H2061,"*","-"),MgAmenClave,0)),"No aplica")</f>
        <v/>
      </c>
      <c r="P2061" s="28">
        <f>IFERROR(INDEX(MgAmenDegC,MATCH(SUBSTITUTE($H2061,"*","-"),MgAmenClave,0)),"No aplica")</f>
        <v/>
      </c>
      <c r="Q2061" s="29">
        <f>IFERROR(VLOOKUP(K2061,MgValor,2,0)*VLOOKUP(N2061,MgDeg,2,0),0)</f>
        <v/>
      </c>
      <c r="R2061" s="29">
        <f>IFERROR(VLOOKUP(L2061,MgValor,2,0)*VLOOKUP(O2061,MgDeg,2,0),0)</f>
        <v/>
      </c>
      <c r="S2061" s="29">
        <f>IFERROR(VLOOKUP(M2061,MgValor,2,0)*VLOOKUP(P2061,MgDeg,2,0),0)</f>
        <v/>
      </c>
      <c r="T2061" s="30">
        <f>MAX(Q2061:S2061)</f>
        <v/>
      </c>
      <c r="U2061" s="28">
        <f>IFERROR(LOOKUP(T2061,{0;0.5;1.5;3;4.5},{"Despreciable";"Bajo";"Medio";"Alto";"Muy alto"}),"")</f>
        <v/>
      </c>
      <c r="V2061" s="13">
        <f>IFERROR(INDEX(MgAmenFrec,MATCH(SUBSTITUTE($H2061,"*","-"),MgAmenClave,0)),"")</f>
        <v/>
      </c>
      <c r="W2061" s="28">
        <f>IFERROR(LOOKUP(X2061,{0;0.01;0.1;1;10;100},{"Muy baja";"Muy baja";"Baja";"Media";"Alta";"Muy alta"}),"")</f>
        <v/>
      </c>
      <c r="X2061" s="31">
        <f>IFERROR(VLOOKUP(V2061,MgFrec,2,0),0)</f>
        <v/>
      </c>
      <c r="Y2061" s="30">
        <f>T2061*X2061</f>
        <v/>
      </c>
      <c r="Z2061" s="28">
        <f>IFERROR(LOOKUP(Y2061,{0;0.5;5;25},{"Bajo";"Medio";"Alto";"Crítico"}),"")</f>
        <v/>
      </c>
      <c r="AA2061" s="64">
        <f>IF(T2061&gt;=3,IF(X2061&gt;=1,"Zona 1 — Crítica: impacto alto y ocurre al menos una vez al año","Zona 4 — Catastrófica poco probable: impacto alto pero excepcional"),IF(AND(T2061&lt;1.5,X2061&lt;1),"Zona 3 — Asumible: impacto bajo y muy poco frecuente","Zona 2 — Atención: riesgo intermedio"))</f>
        <v/>
      </c>
      <c r="AB2061" s="64">
        <f>IFERROR(INDEX(MgAmenCtrl,MATCH(SUBSTITUTE($H2061,"*","-"),MgAmenClave,0)),"")</f>
        <v/>
      </c>
      <c r="AC2061" s="20" t="n"/>
      <c r="AD2061" s="31">
        <f>IFERROR($X2061*(1-IF($AC2061="",$AL2061,VLOOKUP($AC2061,MgMad,2,0))),"")</f>
        <v/>
      </c>
      <c r="AE2061" s="28">
        <f>IFERROR(LOOKUP(AD2061,{0;0.01;0.1;1;10;100},{"Muy baja";"Muy baja";"Baja";"Media";"Alta";"Muy alta"}),"")</f>
        <v/>
      </c>
      <c r="AF2061" s="30">
        <f>T2061*AD2061</f>
        <v/>
      </c>
      <c r="AG2061" s="28">
        <f>IFERROR(LOOKUP(AF2061,{0;0.5;5;25},{"Bajo";"Medio";"Alto";"Crítico"}),"")</f>
        <v/>
      </c>
      <c r="AH2061" s="28">
        <f>IF(AG2061="","",IF(OR(AG2061="Crítico",AG2061="Alto"),"Mitigar",IF(AG2061="Medio","Mitigar","Aceptar y monitorear")))</f>
        <v/>
      </c>
      <c r="AI2061" s="21" t="n"/>
      <c r="AJ2061" s="21" t="n"/>
      <c r="AK2061" s="20" t="n"/>
      <c r="AL2061" s="77">
        <f>IFERROR(INDEX(MgAmenEfic,MATCH(SUBSTITUTE($H2061,"*","-"),MgAmenClave,0)),0)</f>
        <v/>
      </c>
    </row>
    <row r="2062" hidden="1" ht="105" customHeight="1" s="54">
      <c r="B2062" s="59" t="inlineStr">
        <is>
          <t>R-2057</t>
        </is>
      </c>
      <c r="C2062" s="59" t="inlineStr">
        <is>
          <t>TEC-014</t>
        </is>
      </c>
      <c r="D2062" s="64">
        <f>IFERROR(INDEX(MgNombre,MATCH($C2062,MgActId,0)),"")</f>
        <v/>
      </c>
      <c r="E2062" s="64">
        <f>IFERROR(INDEX(MgProceso,MATCH($C2062,MgActId,0)),"")</f>
        <v/>
      </c>
      <c r="F2062" s="64">
        <f>IFERROR(INDEX(MgTipo,MATCH($C2062,MgActId,0)),"")</f>
        <v/>
      </c>
      <c r="G2062" s="64">
        <f>IFERROR(INDEX(MgSubtipo,MATCH($C2062,MgActId,0)),"")</f>
        <v/>
      </c>
      <c r="H2062" s="59" t="inlineStr">
        <is>
          <t>E.1</t>
        </is>
      </c>
      <c r="I2062" s="64">
        <f>IFERROR(INDEX(MgAmenNombre,MATCH(SUBSTITUTE($H2062,"*","-"),MgAmenClave,0)),"")</f>
        <v/>
      </c>
      <c r="J2062" s="28">
        <f>IFERROR(INDEX(MgAmenGrupo,MATCH(SUBSTITUTE($H2062,"*","-"),MgAmenClave,0)),"")</f>
        <v/>
      </c>
      <c r="K2062" s="64">
        <f>IFERROR(INDEX('1. Matriz de Activos'!$Q$6:$Q$239,MATCH($C2062,MgActId,0)),"")</f>
        <v/>
      </c>
      <c r="L2062" s="64">
        <f>IFERROR(INDEX('1. Matriz de Activos'!$R$6:$R$239,MATCH($C2062,MgActId,0)),"")</f>
        <v/>
      </c>
      <c r="M2062" s="64">
        <f>IFERROR(INDEX('1. Matriz de Activos'!$S$6:$S$239,MATCH($C2062,MgActId,0)),"")</f>
        <v/>
      </c>
      <c r="N2062" s="28">
        <f>IFERROR(INDEX(MgAmenDegD,MATCH(SUBSTITUTE($H2062,"*","-"),MgAmenClave,0)),"No aplica")</f>
        <v/>
      </c>
      <c r="O2062" s="28">
        <f>IFERROR(INDEX(MgAmenDegI,MATCH(SUBSTITUTE($H2062,"*","-"),MgAmenClave,0)),"No aplica")</f>
        <v/>
      </c>
      <c r="P2062" s="28">
        <f>IFERROR(INDEX(MgAmenDegC,MATCH(SUBSTITUTE($H2062,"*","-"),MgAmenClave,0)),"No aplica")</f>
        <v/>
      </c>
      <c r="Q2062" s="29">
        <f>IFERROR(VLOOKUP(K2062,MgValor,2,0)*VLOOKUP(N2062,MgDeg,2,0),0)</f>
        <v/>
      </c>
      <c r="R2062" s="29">
        <f>IFERROR(VLOOKUP(L2062,MgValor,2,0)*VLOOKUP(O2062,MgDeg,2,0),0)</f>
        <v/>
      </c>
      <c r="S2062" s="29">
        <f>IFERROR(VLOOKUP(M2062,MgValor,2,0)*VLOOKUP(P2062,MgDeg,2,0),0)</f>
        <v/>
      </c>
      <c r="T2062" s="30">
        <f>MAX(Q2062:S2062)</f>
        <v/>
      </c>
      <c r="U2062" s="28">
        <f>IFERROR(LOOKUP(T2062,{0;0.5;1.5;3;4.5},{"Despreciable";"Bajo";"Medio";"Alto";"Muy alto"}),"")</f>
        <v/>
      </c>
      <c r="V2062" s="13">
        <f>IFERROR(INDEX(MgAmenFrec,MATCH(SUBSTITUTE($H2062,"*","-"),MgAmenClave,0)),"")</f>
        <v/>
      </c>
      <c r="W2062" s="28">
        <f>IFERROR(LOOKUP(X2062,{0;0.01;0.1;1;10;100},{"Muy baja";"Muy baja";"Baja";"Media";"Alta";"Muy alta"}),"")</f>
        <v/>
      </c>
      <c r="X2062" s="31">
        <f>IFERROR(VLOOKUP(V2062,MgFrec,2,0),0)</f>
        <v/>
      </c>
      <c r="Y2062" s="30">
        <f>T2062*X2062</f>
        <v/>
      </c>
      <c r="Z2062" s="28">
        <f>IFERROR(LOOKUP(Y2062,{0;0.5;5;25},{"Bajo";"Medio";"Alto";"Crítico"}),"")</f>
        <v/>
      </c>
      <c r="AA2062" s="64">
        <f>IF(T2062&gt;=3,IF(X2062&gt;=1,"Zona 1 — Crítica: impacto alto y ocurre al menos una vez al año","Zona 4 — Catastrófica poco probable: impacto alto pero excepcional"),IF(AND(T2062&lt;1.5,X2062&lt;1),"Zona 3 — Asumible: impacto bajo y muy poco frecuente","Zona 2 — Atención: riesgo intermedio"))</f>
        <v/>
      </c>
      <c r="AB2062" s="64">
        <f>IFERROR(INDEX(MgAmenCtrl,MATCH(SUBSTITUTE($H2062,"*","-"),MgAmenClave,0)),"")</f>
        <v/>
      </c>
      <c r="AC2062" s="20" t="n"/>
      <c r="AD2062" s="31">
        <f>IFERROR($X2062*(1-IF($AC2062="",$AL2062,VLOOKUP($AC2062,MgMad,2,0))),"")</f>
        <v/>
      </c>
      <c r="AE2062" s="28">
        <f>IFERROR(LOOKUP(AD2062,{0;0.01;0.1;1;10;100},{"Muy baja";"Muy baja";"Baja";"Media";"Alta";"Muy alta"}),"")</f>
        <v/>
      </c>
      <c r="AF2062" s="30">
        <f>T2062*AD2062</f>
        <v/>
      </c>
      <c r="AG2062" s="28">
        <f>IFERROR(LOOKUP(AF2062,{0;0.5;5;25},{"Bajo";"Medio";"Alto";"Crítico"}),"")</f>
        <v/>
      </c>
      <c r="AH2062" s="28">
        <f>IF(AG2062="","",IF(OR(AG2062="Crítico",AG2062="Alto"),"Mitigar",IF(AG2062="Medio","Mitigar","Aceptar y monitorear")))</f>
        <v/>
      </c>
      <c r="AI2062" s="21" t="n"/>
      <c r="AJ2062" s="21" t="n"/>
      <c r="AK2062" s="20" t="n"/>
      <c r="AL2062" s="77">
        <f>IFERROR(INDEX(MgAmenEfic,MATCH(SUBSTITUTE($H2062,"*","-"),MgAmenClave,0)),0)</f>
        <v/>
      </c>
    </row>
    <row r="2063" hidden="1" ht="120" customHeight="1" s="54">
      <c r="B2063" s="59" t="inlineStr">
        <is>
          <t>R-2058</t>
        </is>
      </c>
      <c r="C2063" s="59" t="inlineStr">
        <is>
          <t>TEC-014</t>
        </is>
      </c>
      <c r="D2063" s="64">
        <f>IFERROR(INDEX(MgNombre,MATCH($C2063,MgActId,0)),"")</f>
        <v/>
      </c>
      <c r="E2063" s="64">
        <f>IFERROR(INDEX(MgProceso,MATCH($C2063,MgActId,0)),"")</f>
        <v/>
      </c>
      <c r="F2063" s="64">
        <f>IFERROR(INDEX(MgTipo,MATCH($C2063,MgActId,0)),"")</f>
        <v/>
      </c>
      <c r="G2063" s="64">
        <f>IFERROR(INDEX(MgSubtipo,MATCH($C2063,MgActId,0)),"")</f>
        <v/>
      </c>
      <c r="H2063" s="59" t="inlineStr">
        <is>
          <t>E.2</t>
        </is>
      </c>
      <c r="I2063" s="64">
        <f>IFERROR(INDEX(MgAmenNombre,MATCH(SUBSTITUTE($H2063,"*","-"),MgAmenClave,0)),"")</f>
        <v/>
      </c>
      <c r="J2063" s="28">
        <f>IFERROR(INDEX(MgAmenGrupo,MATCH(SUBSTITUTE($H2063,"*","-"),MgAmenClave,0)),"")</f>
        <v/>
      </c>
      <c r="K2063" s="64">
        <f>IFERROR(INDEX('1. Matriz de Activos'!$Q$6:$Q$239,MATCH($C2063,MgActId,0)),"")</f>
        <v/>
      </c>
      <c r="L2063" s="64">
        <f>IFERROR(INDEX('1. Matriz de Activos'!$R$6:$R$239,MATCH($C2063,MgActId,0)),"")</f>
        <v/>
      </c>
      <c r="M2063" s="64">
        <f>IFERROR(INDEX('1. Matriz de Activos'!$S$6:$S$239,MATCH($C2063,MgActId,0)),"")</f>
        <v/>
      </c>
      <c r="N2063" s="28">
        <f>IFERROR(INDEX(MgAmenDegD,MATCH(SUBSTITUTE($H2063,"*","-"),MgAmenClave,0)),"No aplica")</f>
        <v/>
      </c>
      <c r="O2063" s="28">
        <f>IFERROR(INDEX(MgAmenDegI,MATCH(SUBSTITUTE($H2063,"*","-"),MgAmenClave,0)),"No aplica")</f>
        <v/>
      </c>
      <c r="P2063" s="28">
        <f>IFERROR(INDEX(MgAmenDegC,MATCH(SUBSTITUTE($H2063,"*","-"),MgAmenClave,0)),"No aplica")</f>
        <v/>
      </c>
      <c r="Q2063" s="29">
        <f>IFERROR(VLOOKUP(K2063,MgValor,2,0)*VLOOKUP(N2063,MgDeg,2,0),0)</f>
        <v/>
      </c>
      <c r="R2063" s="29">
        <f>IFERROR(VLOOKUP(L2063,MgValor,2,0)*VLOOKUP(O2063,MgDeg,2,0),0)</f>
        <v/>
      </c>
      <c r="S2063" s="29">
        <f>IFERROR(VLOOKUP(M2063,MgValor,2,0)*VLOOKUP(P2063,MgDeg,2,0),0)</f>
        <v/>
      </c>
      <c r="T2063" s="30">
        <f>MAX(Q2063:S2063)</f>
        <v/>
      </c>
      <c r="U2063" s="28">
        <f>IFERROR(LOOKUP(T2063,{0;0.5;1.5;3;4.5},{"Despreciable";"Bajo";"Medio";"Alto";"Muy alto"}),"")</f>
        <v/>
      </c>
      <c r="V2063" s="13">
        <f>IFERROR(INDEX(MgAmenFrec,MATCH(SUBSTITUTE($H2063,"*","-"),MgAmenClave,0)),"")</f>
        <v/>
      </c>
      <c r="W2063" s="28">
        <f>IFERROR(LOOKUP(X2063,{0;0.01;0.1;1;10;100},{"Muy baja";"Muy baja";"Baja";"Media";"Alta";"Muy alta"}),"")</f>
        <v/>
      </c>
      <c r="X2063" s="31">
        <f>IFERROR(VLOOKUP(V2063,MgFrec,2,0),0)</f>
        <v/>
      </c>
      <c r="Y2063" s="30">
        <f>T2063*X2063</f>
        <v/>
      </c>
      <c r="Z2063" s="28">
        <f>IFERROR(LOOKUP(Y2063,{0;0.5;5;25},{"Bajo";"Medio";"Alto";"Crítico"}),"")</f>
        <v/>
      </c>
      <c r="AA2063" s="64">
        <f>IF(T2063&gt;=3,IF(X2063&gt;=1,"Zona 1 — Crítica: impacto alto y ocurre al menos una vez al año","Zona 4 — Catastrófica poco probable: impacto alto pero excepcional"),IF(AND(T2063&lt;1.5,X2063&lt;1),"Zona 3 — Asumible: impacto bajo y muy poco frecuente","Zona 2 — Atención: riesgo intermedio"))</f>
        <v/>
      </c>
      <c r="AB2063" s="64">
        <f>IFERROR(INDEX(MgAmenCtrl,MATCH(SUBSTITUTE($H2063,"*","-"),MgAmenClave,0)),"")</f>
        <v/>
      </c>
      <c r="AC2063" s="20" t="n"/>
      <c r="AD2063" s="31">
        <f>IFERROR($X2063*(1-IF($AC2063="",$AL2063,VLOOKUP($AC2063,MgMad,2,0))),"")</f>
        <v/>
      </c>
      <c r="AE2063" s="28">
        <f>IFERROR(LOOKUP(AD2063,{0;0.01;0.1;1;10;100},{"Muy baja";"Muy baja";"Baja";"Media";"Alta";"Muy alta"}),"")</f>
        <v/>
      </c>
      <c r="AF2063" s="30">
        <f>T2063*AD2063</f>
        <v/>
      </c>
      <c r="AG2063" s="28">
        <f>IFERROR(LOOKUP(AF2063,{0;0.5;5;25},{"Bajo";"Medio";"Alto";"Crítico"}),"")</f>
        <v/>
      </c>
      <c r="AH2063" s="28">
        <f>IF(AG2063="","",IF(OR(AG2063="Crítico",AG2063="Alto"),"Mitigar",IF(AG2063="Medio","Mitigar","Aceptar y monitorear")))</f>
        <v/>
      </c>
      <c r="AI2063" s="21" t="n"/>
      <c r="AJ2063" s="21" t="n"/>
      <c r="AK2063" s="20" t="n"/>
      <c r="AL2063" s="77">
        <f>IFERROR(INDEX(MgAmenEfic,MATCH(SUBSTITUTE($H2063,"*","-"),MgAmenClave,0)),0)</f>
        <v/>
      </c>
    </row>
    <row r="2064" hidden="1" ht="60" customHeight="1" s="54">
      <c r="B2064" s="59" t="inlineStr">
        <is>
          <t>R-2059</t>
        </is>
      </c>
      <c r="C2064" s="59" t="inlineStr">
        <is>
          <t>TEC-014</t>
        </is>
      </c>
      <c r="D2064" s="64">
        <f>IFERROR(INDEX(MgNombre,MATCH($C2064,MgActId,0)),"")</f>
        <v/>
      </c>
      <c r="E2064" s="64">
        <f>IFERROR(INDEX(MgProceso,MATCH($C2064,MgActId,0)),"")</f>
        <v/>
      </c>
      <c r="F2064" s="64">
        <f>IFERROR(INDEX(MgTipo,MATCH($C2064,MgActId,0)),"")</f>
        <v/>
      </c>
      <c r="G2064" s="64">
        <f>IFERROR(INDEX(MgSubtipo,MATCH($C2064,MgActId,0)),"")</f>
        <v/>
      </c>
      <c r="H2064" s="59" t="inlineStr">
        <is>
          <t>E.9</t>
        </is>
      </c>
      <c r="I2064" s="64">
        <f>IFERROR(INDEX(MgAmenNombre,MATCH(SUBSTITUTE($H2064,"*","-"),MgAmenClave,0)),"")</f>
        <v/>
      </c>
      <c r="J2064" s="28">
        <f>IFERROR(INDEX(MgAmenGrupo,MATCH(SUBSTITUTE($H2064,"*","-"),MgAmenClave,0)),"")</f>
        <v/>
      </c>
      <c r="K2064" s="64">
        <f>IFERROR(INDEX('1. Matriz de Activos'!$Q$6:$Q$239,MATCH($C2064,MgActId,0)),"")</f>
        <v/>
      </c>
      <c r="L2064" s="64">
        <f>IFERROR(INDEX('1. Matriz de Activos'!$R$6:$R$239,MATCH($C2064,MgActId,0)),"")</f>
        <v/>
      </c>
      <c r="M2064" s="64">
        <f>IFERROR(INDEX('1. Matriz de Activos'!$S$6:$S$239,MATCH($C2064,MgActId,0)),"")</f>
        <v/>
      </c>
      <c r="N2064" s="28">
        <f>IFERROR(INDEX(MgAmenDegD,MATCH(SUBSTITUTE($H2064,"*","-"),MgAmenClave,0)),"No aplica")</f>
        <v/>
      </c>
      <c r="O2064" s="28">
        <f>IFERROR(INDEX(MgAmenDegI,MATCH(SUBSTITUTE($H2064,"*","-"),MgAmenClave,0)),"No aplica")</f>
        <v/>
      </c>
      <c r="P2064" s="28">
        <f>IFERROR(INDEX(MgAmenDegC,MATCH(SUBSTITUTE($H2064,"*","-"),MgAmenClave,0)),"No aplica")</f>
        <v/>
      </c>
      <c r="Q2064" s="29">
        <f>IFERROR(VLOOKUP(K2064,MgValor,2,0)*VLOOKUP(N2064,MgDeg,2,0),0)</f>
        <v/>
      </c>
      <c r="R2064" s="29">
        <f>IFERROR(VLOOKUP(L2064,MgValor,2,0)*VLOOKUP(O2064,MgDeg,2,0),0)</f>
        <v/>
      </c>
      <c r="S2064" s="29">
        <f>IFERROR(VLOOKUP(M2064,MgValor,2,0)*VLOOKUP(P2064,MgDeg,2,0),0)</f>
        <v/>
      </c>
      <c r="T2064" s="30">
        <f>MAX(Q2064:S2064)</f>
        <v/>
      </c>
      <c r="U2064" s="28">
        <f>IFERROR(LOOKUP(T2064,{0;0.5;1.5;3;4.5},{"Despreciable";"Bajo";"Medio";"Alto";"Muy alto"}),"")</f>
        <v/>
      </c>
      <c r="V2064" s="13">
        <f>IFERROR(INDEX(MgAmenFrec,MATCH(SUBSTITUTE($H2064,"*","-"),MgAmenClave,0)),"")</f>
        <v/>
      </c>
      <c r="W2064" s="28">
        <f>IFERROR(LOOKUP(X2064,{0;0.01;0.1;1;10;100},{"Muy baja";"Muy baja";"Baja";"Media";"Alta";"Muy alta"}),"")</f>
        <v/>
      </c>
      <c r="X2064" s="31">
        <f>IFERROR(VLOOKUP(V2064,MgFrec,2,0),0)</f>
        <v/>
      </c>
      <c r="Y2064" s="30">
        <f>T2064*X2064</f>
        <v/>
      </c>
      <c r="Z2064" s="28">
        <f>IFERROR(LOOKUP(Y2064,{0;0.5;5;25},{"Bajo";"Medio";"Alto";"Crítico"}),"")</f>
        <v/>
      </c>
      <c r="AA2064" s="64">
        <f>IF(T2064&gt;=3,IF(X2064&gt;=1,"Zona 1 — Crítica: impacto alto y ocurre al menos una vez al año","Zona 4 — Catastrófica poco probable: impacto alto pero excepcional"),IF(AND(T2064&lt;1.5,X2064&lt;1),"Zona 3 — Asumible: impacto bajo y muy poco frecuente","Zona 2 — Atención: riesgo intermedio"))</f>
        <v/>
      </c>
      <c r="AB2064" s="64">
        <f>IFERROR(INDEX(MgAmenCtrl,MATCH(SUBSTITUTE($H2064,"*","-"),MgAmenClave,0)),"")</f>
        <v/>
      </c>
      <c r="AC2064" s="20" t="n"/>
      <c r="AD2064" s="31">
        <f>IFERROR($X2064*(1-IF($AC2064="",$AL2064,VLOOKUP($AC2064,MgMad,2,0))),"")</f>
        <v/>
      </c>
      <c r="AE2064" s="28">
        <f>IFERROR(LOOKUP(AD2064,{0;0.01;0.1;1;10;100},{"Muy baja";"Muy baja";"Baja";"Media";"Alta";"Muy alta"}),"")</f>
        <v/>
      </c>
      <c r="AF2064" s="30">
        <f>T2064*AD2064</f>
        <v/>
      </c>
      <c r="AG2064" s="28">
        <f>IFERROR(LOOKUP(AF2064,{0;0.5;5;25},{"Bajo";"Medio";"Alto";"Crítico"}),"")</f>
        <v/>
      </c>
      <c r="AH2064" s="28">
        <f>IF(AG2064="","",IF(OR(AG2064="Crítico",AG2064="Alto"),"Mitigar",IF(AG2064="Medio","Mitigar","Aceptar y monitorear")))</f>
        <v/>
      </c>
      <c r="AI2064" s="21" t="n"/>
      <c r="AJ2064" s="21" t="n"/>
      <c r="AK2064" s="20" t="n"/>
      <c r="AL2064" s="77">
        <f>IFERROR(INDEX(MgAmenEfic,MATCH(SUBSTITUTE($H2064,"*","-"),MgAmenClave,0)),0)</f>
        <v/>
      </c>
    </row>
    <row r="2065" hidden="1" ht="90" customHeight="1" s="54">
      <c r="B2065" s="59" t="inlineStr">
        <is>
          <t>R-2060</t>
        </is>
      </c>
      <c r="C2065" s="59" t="inlineStr">
        <is>
          <t>TEC-014</t>
        </is>
      </c>
      <c r="D2065" s="64">
        <f>IFERROR(INDEX(MgNombre,MATCH($C2065,MgActId,0)),"")</f>
        <v/>
      </c>
      <c r="E2065" s="64">
        <f>IFERROR(INDEX(MgProceso,MATCH($C2065,MgActId,0)),"")</f>
        <v/>
      </c>
      <c r="F2065" s="64">
        <f>IFERROR(INDEX(MgTipo,MATCH($C2065,MgActId,0)),"")</f>
        <v/>
      </c>
      <c r="G2065" s="64">
        <f>IFERROR(INDEX(MgSubtipo,MATCH($C2065,MgActId,0)),"")</f>
        <v/>
      </c>
      <c r="H2065" s="59" t="inlineStr">
        <is>
          <t>E.10</t>
        </is>
      </c>
      <c r="I2065" s="64">
        <f>IFERROR(INDEX(MgAmenNombre,MATCH(SUBSTITUTE($H2065,"*","-"),MgAmenClave,0)),"")</f>
        <v/>
      </c>
      <c r="J2065" s="28">
        <f>IFERROR(INDEX(MgAmenGrupo,MATCH(SUBSTITUTE($H2065,"*","-"),MgAmenClave,0)),"")</f>
        <v/>
      </c>
      <c r="K2065" s="64">
        <f>IFERROR(INDEX('1. Matriz de Activos'!$Q$6:$Q$239,MATCH($C2065,MgActId,0)),"")</f>
        <v/>
      </c>
      <c r="L2065" s="64">
        <f>IFERROR(INDEX('1. Matriz de Activos'!$R$6:$R$239,MATCH($C2065,MgActId,0)),"")</f>
        <v/>
      </c>
      <c r="M2065" s="64">
        <f>IFERROR(INDEX('1. Matriz de Activos'!$S$6:$S$239,MATCH($C2065,MgActId,0)),"")</f>
        <v/>
      </c>
      <c r="N2065" s="28">
        <f>IFERROR(INDEX(MgAmenDegD,MATCH(SUBSTITUTE($H2065,"*","-"),MgAmenClave,0)),"No aplica")</f>
        <v/>
      </c>
      <c r="O2065" s="28">
        <f>IFERROR(INDEX(MgAmenDegI,MATCH(SUBSTITUTE($H2065,"*","-"),MgAmenClave,0)),"No aplica")</f>
        <v/>
      </c>
      <c r="P2065" s="28">
        <f>IFERROR(INDEX(MgAmenDegC,MATCH(SUBSTITUTE($H2065,"*","-"),MgAmenClave,0)),"No aplica")</f>
        <v/>
      </c>
      <c r="Q2065" s="29">
        <f>IFERROR(VLOOKUP(K2065,MgValor,2,0)*VLOOKUP(N2065,MgDeg,2,0),0)</f>
        <v/>
      </c>
      <c r="R2065" s="29">
        <f>IFERROR(VLOOKUP(L2065,MgValor,2,0)*VLOOKUP(O2065,MgDeg,2,0),0)</f>
        <v/>
      </c>
      <c r="S2065" s="29">
        <f>IFERROR(VLOOKUP(M2065,MgValor,2,0)*VLOOKUP(P2065,MgDeg,2,0),0)</f>
        <v/>
      </c>
      <c r="T2065" s="30">
        <f>MAX(Q2065:S2065)</f>
        <v/>
      </c>
      <c r="U2065" s="28">
        <f>IFERROR(LOOKUP(T2065,{0;0.5;1.5;3;4.5},{"Despreciable";"Bajo";"Medio";"Alto";"Muy alto"}),"")</f>
        <v/>
      </c>
      <c r="V2065" s="13">
        <f>IFERROR(INDEX(MgAmenFrec,MATCH(SUBSTITUTE($H2065,"*","-"),MgAmenClave,0)),"")</f>
        <v/>
      </c>
      <c r="W2065" s="28">
        <f>IFERROR(LOOKUP(X2065,{0;0.01;0.1;1;10;100},{"Muy baja";"Muy baja";"Baja";"Media";"Alta";"Muy alta"}),"")</f>
        <v/>
      </c>
      <c r="X2065" s="31">
        <f>IFERROR(VLOOKUP(V2065,MgFrec,2,0),0)</f>
        <v/>
      </c>
      <c r="Y2065" s="30">
        <f>T2065*X2065</f>
        <v/>
      </c>
      <c r="Z2065" s="28">
        <f>IFERROR(LOOKUP(Y2065,{0;0.5;5;25},{"Bajo";"Medio";"Alto";"Crítico"}),"")</f>
        <v/>
      </c>
      <c r="AA2065" s="64">
        <f>IF(T2065&gt;=3,IF(X2065&gt;=1,"Zona 1 — Crítica: impacto alto y ocurre al menos una vez al año","Zona 4 — Catastrófica poco probable: impacto alto pero excepcional"),IF(AND(T2065&lt;1.5,X2065&lt;1),"Zona 3 — Asumible: impacto bajo y muy poco frecuente","Zona 2 — Atención: riesgo intermedio"))</f>
        <v/>
      </c>
      <c r="AB2065" s="64">
        <f>IFERROR(INDEX(MgAmenCtrl,MATCH(SUBSTITUTE($H2065,"*","-"),MgAmenClave,0)),"")</f>
        <v/>
      </c>
      <c r="AC2065" s="20" t="n"/>
      <c r="AD2065" s="31">
        <f>IFERROR($X2065*(1-IF($AC2065="",$AL2065,VLOOKUP($AC2065,MgMad,2,0))),"")</f>
        <v/>
      </c>
      <c r="AE2065" s="28">
        <f>IFERROR(LOOKUP(AD2065,{0;0.01;0.1;1;10;100},{"Muy baja";"Muy baja";"Baja";"Media";"Alta";"Muy alta"}),"")</f>
        <v/>
      </c>
      <c r="AF2065" s="30">
        <f>T2065*AD2065</f>
        <v/>
      </c>
      <c r="AG2065" s="28">
        <f>IFERROR(LOOKUP(AF2065,{0;0.5;5;25},{"Bajo";"Medio";"Alto";"Crítico"}),"")</f>
        <v/>
      </c>
      <c r="AH2065" s="28">
        <f>IF(AG2065="","",IF(OR(AG2065="Crítico",AG2065="Alto"),"Mitigar",IF(AG2065="Medio","Mitigar","Aceptar y monitorear")))</f>
        <v/>
      </c>
      <c r="AI2065" s="21" t="n"/>
      <c r="AJ2065" s="21" t="n"/>
      <c r="AK2065" s="20" t="n"/>
      <c r="AL2065" s="77">
        <f>IFERROR(INDEX(MgAmenEfic,MATCH(SUBSTITUTE($H2065,"*","-"),MgAmenClave,0)),0)</f>
        <v/>
      </c>
    </row>
    <row r="2066" hidden="1" ht="90" customHeight="1" s="54">
      <c r="B2066" s="59" t="inlineStr">
        <is>
          <t>R-2061</t>
        </is>
      </c>
      <c r="C2066" s="59" t="inlineStr">
        <is>
          <t>TEC-014</t>
        </is>
      </c>
      <c r="D2066" s="64">
        <f>IFERROR(INDEX(MgNombre,MATCH($C2066,MgActId,0)),"")</f>
        <v/>
      </c>
      <c r="E2066" s="64">
        <f>IFERROR(INDEX(MgProceso,MATCH($C2066,MgActId,0)),"")</f>
        <v/>
      </c>
      <c r="F2066" s="64">
        <f>IFERROR(INDEX(MgTipo,MATCH($C2066,MgActId,0)),"")</f>
        <v/>
      </c>
      <c r="G2066" s="64">
        <f>IFERROR(INDEX(MgSubtipo,MATCH($C2066,MgActId,0)),"")</f>
        <v/>
      </c>
      <c r="H2066" s="59" t="inlineStr">
        <is>
          <t>E.14</t>
        </is>
      </c>
      <c r="I2066" s="64">
        <f>IFERROR(INDEX(MgAmenNombre,MATCH(SUBSTITUTE($H2066,"*","-"),MgAmenClave,0)),"")</f>
        <v/>
      </c>
      <c r="J2066" s="28">
        <f>IFERROR(INDEX(MgAmenGrupo,MATCH(SUBSTITUTE($H2066,"*","-"),MgAmenClave,0)),"")</f>
        <v/>
      </c>
      <c r="K2066" s="64">
        <f>IFERROR(INDEX('1. Matriz de Activos'!$Q$6:$Q$239,MATCH($C2066,MgActId,0)),"")</f>
        <v/>
      </c>
      <c r="L2066" s="64">
        <f>IFERROR(INDEX('1. Matriz de Activos'!$R$6:$R$239,MATCH($C2066,MgActId,0)),"")</f>
        <v/>
      </c>
      <c r="M2066" s="64">
        <f>IFERROR(INDEX('1. Matriz de Activos'!$S$6:$S$239,MATCH($C2066,MgActId,0)),"")</f>
        <v/>
      </c>
      <c r="N2066" s="28">
        <f>IFERROR(INDEX(MgAmenDegD,MATCH(SUBSTITUTE($H2066,"*","-"),MgAmenClave,0)),"No aplica")</f>
        <v/>
      </c>
      <c r="O2066" s="28">
        <f>IFERROR(INDEX(MgAmenDegI,MATCH(SUBSTITUTE($H2066,"*","-"),MgAmenClave,0)),"No aplica")</f>
        <v/>
      </c>
      <c r="P2066" s="28">
        <f>IFERROR(INDEX(MgAmenDegC,MATCH(SUBSTITUTE($H2066,"*","-"),MgAmenClave,0)),"No aplica")</f>
        <v/>
      </c>
      <c r="Q2066" s="29">
        <f>IFERROR(VLOOKUP(K2066,MgValor,2,0)*VLOOKUP(N2066,MgDeg,2,0),0)</f>
        <v/>
      </c>
      <c r="R2066" s="29">
        <f>IFERROR(VLOOKUP(L2066,MgValor,2,0)*VLOOKUP(O2066,MgDeg,2,0),0)</f>
        <v/>
      </c>
      <c r="S2066" s="29">
        <f>IFERROR(VLOOKUP(M2066,MgValor,2,0)*VLOOKUP(P2066,MgDeg,2,0),0)</f>
        <v/>
      </c>
      <c r="T2066" s="30">
        <f>MAX(Q2066:S2066)</f>
        <v/>
      </c>
      <c r="U2066" s="28">
        <f>IFERROR(LOOKUP(T2066,{0;0.5;1.5;3;4.5},{"Despreciable";"Bajo";"Medio";"Alto";"Muy alto"}),"")</f>
        <v/>
      </c>
      <c r="V2066" s="13">
        <f>IFERROR(INDEX(MgAmenFrec,MATCH(SUBSTITUTE($H2066,"*","-"),MgAmenClave,0)),"")</f>
        <v/>
      </c>
      <c r="W2066" s="28">
        <f>IFERROR(LOOKUP(X2066,{0;0.01;0.1;1;10;100},{"Muy baja";"Muy baja";"Baja";"Media";"Alta";"Muy alta"}),"")</f>
        <v/>
      </c>
      <c r="X2066" s="31">
        <f>IFERROR(VLOOKUP(V2066,MgFrec,2,0),0)</f>
        <v/>
      </c>
      <c r="Y2066" s="30">
        <f>T2066*X2066</f>
        <v/>
      </c>
      <c r="Z2066" s="28">
        <f>IFERROR(LOOKUP(Y2066,{0;0.5;5;25},{"Bajo";"Medio";"Alto";"Crítico"}),"")</f>
        <v/>
      </c>
      <c r="AA2066" s="64">
        <f>IF(T2066&gt;=3,IF(X2066&gt;=1,"Zona 1 — Crítica: impacto alto y ocurre al menos una vez al año","Zona 4 — Catastrófica poco probable: impacto alto pero excepcional"),IF(AND(T2066&lt;1.5,X2066&lt;1),"Zona 3 — Asumible: impacto bajo y muy poco frecuente","Zona 2 — Atención: riesgo intermedio"))</f>
        <v/>
      </c>
      <c r="AB2066" s="64">
        <f>IFERROR(INDEX(MgAmenCtrl,MATCH(SUBSTITUTE($H2066,"*","-"),MgAmenClave,0)),"")</f>
        <v/>
      </c>
      <c r="AC2066" s="20" t="n"/>
      <c r="AD2066" s="31">
        <f>IFERROR($X2066*(1-IF($AC2066="",$AL2066,VLOOKUP($AC2066,MgMad,2,0))),"")</f>
        <v/>
      </c>
      <c r="AE2066" s="28">
        <f>IFERROR(LOOKUP(AD2066,{0;0.01;0.1;1;10;100},{"Muy baja";"Muy baja";"Baja";"Media";"Alta";"Muy alta"}),"")</f>
        <v/>
      </c>
      <c r="AF2066" s="30">
        <f>T2066*AD2066</f>
        <v/>
      </c>
      <c r="AG2066" s="28">
        <f>IFERROR(LOOKUP(AF2066,{0;0.5;5;25},{"Bajo";"Medio";"Alto";"Crítico"}),"")</f>
        <v/>
      </c>
      <c r="AH2066" s="28">
        <f>IF(AG2066="","",IF(OR(AG2066="Crítico",AG2066="Alto"),"Mitigar",IF(AG2066="Medio","Mitigar","Aceptar y monitorear")))</f>
        <v/>
      </c>
      <c r="AI2066" s="21" t="n"/>
      <c r="AJ2066" s="21" t="n"/>
      <c r="AK2066" s="20" t="n"/>
      <c r="AL2066" s="77">
        <f>IFERROR(INDEX(MgAmenEfic,MATCH(SUBSTITUTE($H2066,"*","-"),MgAmenClave,0)),0)</f>
        <v/>
      </c>
    </row>
    <row r="2067" hidden="1" ht="90" customHeight="1" s="54">
      <c r="B2067" s="59" t="inlineStr">
        <is>
          <t>R-2062</t>
        </is>
      </c>
      <c r="C2067" s="59" t="inlineStr">
        <is>
          <t>TEC-014</t>
        </is>
      </c>
      <c r="D2067" s="64">
        <f>IFERROR(INDEX(MgNombre,MATCH($C2067,MgActId,0)),"")</f>
        <v/>
      </c>
      <c r="E2067" s="64">
        <f>IFERROR(INDEX(MgProceso,MATCH($C2067,MgActId,0)),"")</f>
        <v/>
      </c>
      <c r="F2067" s="64">
        <f>IFERROR(INDEX(MgTipo,MATCH($C2067,MgActId,0)),"")</f>
        <v/>
      </c>
      <c r="G2067" s="64">
        <f>IFERROR(INDEX(MgSubtipo,MATCH($C2067,MgActId,0)),"")</f>
        <v/>
      </c>
      <c r="H2067" s="59" t="inlineStr">
        <is>
          <t>E.15</t>
        </is>
      </c>
      <c r="I2067" s="64">
        <f>IFERROR(INDEX(MgAmenNombre,MATCH(SUBSTITUTE($H2067,"*","-"),MgAmenClave,0)),"")</f>
        <v/>
      </c>
      <c r="J2067" s="28">
        <f>IFERROR(INDEX(MgAmenGrupo,MATCH(SUBSTITUTE($H2067,"*","-"),MgAmenClave,0)),"")</f>
        <v/>
      </c>
      <c r="K2067" s="64">
        <f>IFERROR(INDEX('1. Matriz de Activos'!$Q$6:$Q$239,MATCH($C2067,MgActId,0)),"")</f>
        <v/>
      </c>
      <c r="L2067" s="64">
        <f>IFERROR(INDEX('1. Matriz de Activos'!$R$6:$R$239,MATCH($C2067,MgActId,0)),"")</f>
        <v/>
      </c>
      <c r="M2067" s="64">
        <f>IFERROR(INDEX('1. Matriz de Activos'!$S$6:$S$239,MATCH($C2067,MgActId,0)),"")</f>
        <v/>
      </c>
      <c r="N2067" s="28">
        <f>IFERROR(INDEX(MgAmenDegD,MATCH(SUBSTITUTE($H2067,"*","-"),MgAmenClave,0)),"No aplica")</f>
        <v/>
      </c>
      <c r="O2067" s="28">
        <f>IFERROR(INDEX(MgAmenDegI,MATCH(SUBSTITUTE($H2067,"*","-"),MgAmenClave,0)),"No aplica")</f>
        <v/>
      </c>
      <c r="P2067" s="28">
        <f>IFERROR(INDEX(MgAmenDegC,MATCH(SUBSTITUTE($H2067,"*","-"),MgAmenClave,0)),"No aplica")</f>
        <v/>
      </c>
      <c r="Q2067" s="29">
        <f>IFERROR(VLOOKUP(K2067,MgValor,2,0)*VLOOKUP(N2067,MgDeg,2,0),0)</f>
        <v/>
      </c>
      <c r="R2067" s="29">
        <f>IFERROR(VLOOKUP(L2067,MgValor,2,0)*VLOOKUP(O2067,MgDeg,2,0),0)</f>
        <v/>
      </c>
      <c r="S2067" s="29">
        <f>IFERROR(VLOOKUP(M2067,MgValor,2,0)*VLOOKUP(P2067,MgDeg,2,0),0)</f>
        <v/>
      </c>
      <c r="T2067" s="30">
        <f>MAX(Q2067:S2067)</f>
        <v/>
      </c>
      <c r="U2067" s="28">
        <f>IFERROR(LOOKUP(T2067,{0;0.5;1.5;3;4.5},{"Despreciable";"Bajo";"Medio";"Alto";"Muy alto"}),"")</f>
        <v/>
      </c>
      <c r="V2067" s="13">
        <f>IFERROR(INDEX(MgAmenFrec,MATCH(SUBSTITUTE($H2067,"*","-"),MgAmenClave,0)),"")</f>
        <v/>
      </c>
      <c r="W2067" s="28">
        <f>IFERROR(LOOKUP(X2067,{0;0.01;0.1;1;10;100},{"Muy baja";"Muy baja";"Baja";"Media";"Alta";"Muy alta"}),"")</f>
        <v/>
      </c>
      <c r="X2067" s="31">
        <f>IFERROR(VLOOKUP(V2067,MgFrec,2,0),0)</f>
        <v/>
      </c>
      <c r="Y2067" s="30">
        <f>T2067*X2067</f>
        <v/>
      </c>
      <c r="Z2067" s="28">
        <f>IFERROR(LOOKUP(Y2067,{0;0.5;5;25},{"Bajo";"Medio";"Alto";"Crítico"}),"")</f>
        <v/>
      </c>
      <c r="AA2067" s="64">
        <f>IF(T2067&gt;=3,IF(X2067&gt;=1,"Zona 1 — Crítica: impacto alto y ocurre al menos una vez al año","Zona 4 — Catastrófica poco probable: impacto alto pero excepcional"),IF(AND(T2067&lt;1.5,X2067&lt;1),"Zona 3 — Asumible: impacto bajo y muy poco frecuente","Zona 2 — Atención: riesgo intermedio"))</f>
        <v/>
      </c>
      <c r="AB2067" s="64">
        <f>IFERROR(INDEX(MgAmenCtrl,MATCH(SUBSTITUTE($H2067,"*","-"),MgAmenClave,0)),"")</f>
        <v/>
      </c>
      <c r="AC2067" s="20" t="n"/>
      <c r="AD2067" s="31">
        <f>IFERROR($X2067*(1-IF($AC2067="",$AL2067,VLOOKUP($AC2067,MgMad,2,0))),"")</f>
        <v/>
      </c>
      <c r="AE2067" s="28">
        <f>IFERROR(LOOKUP(AD2067,{0;0.01;0.1;1;10;100},{"Muy baja";"Muy baja";"Baja";"Media";"Alta";"Muy alta"}),"")</f>
        <v/>
      </c>
      <c r="AF2067" s="30">
        <f>T2067*AD2067</f>
        <v/>
      </c>
      <c r="AG2067" s="28">
        <f>IFERROR(LOOKUP(AF2067,{0;0.5;5;25},{"Bajo";"Medio";"Alto";"Crítico"}),"")</f>
        <v/>
      </c>
      <c r="AH2067" s="28">
        <f>IF(AG2067="","",IF(OR(AG2067="Crítico",AG2067="Alto"),"Mitigar",IF(AG2067="Medio","Mitigar","Aceptar y monitorear")))</f>
        <v/>
      </c>
      <c r="AI2067" s="21" t="n"/>
      <c r="AJ2067" s="21" t="n"/>
      <c r="AK2067" s="20" t="n"/>
      <c r="AL2067" s="77">
        <f>IFERROR(INDEX(MgAmenEfic,MATCH(SUBSTITUTE($H2067,"*","-"),MgAmenClave,0)),0)</f>
        <v/>
      </c>
    </row>
    <row r="2068" hidden="1" ht="60" customHeight="1" s="54">
      <c r="B2068" s="59" t="inlineStr">
        <is>
          <t>R-2063</t>
        </is>
      </c>
      <c r="C2068" s="59" t="inlineStr">
        <is>
          <t>TEC-014</t>
        </is>
      </c>
      <c r="D2068" s="64">
        <f>IFERROR(INDEX(MgNombre,MATCH($C2068,MgActId,0)),"")</f>
        <v/>
      </c>
      <c r="E2068" s="64">
        <f>IFERROR(INDEX(MgProceso,MATCH($C2068,MgActId,0)),"")</f>
        <v/>
      </c>
      <c r="F2068" s="64">
        <f>IFERROR(INDEX(MgTipo,MATCH($C2068,MgActId,0)),"")</f>
        <v/>
      </c>
      <c r="G2068" s="64">
        <f>IFERROR(INDEX(MgSubtipo,MATCH($C2068,MgActId,0)),"")</f>
        <v/>
      </c>
      <c r="H2068" s="59" t="inlineStr">
        <is>
          <t>E.18</t>
        </is>
      </c>
      <c r="I2068" s="64">
        <f>IFERROR(INDEX(MgAmenNombre,MATCH(SUBSTITUTE($H2068,"*","-"),MgAmenClave,0)),"")</f>
        <v/>
      </c>
      <c r="J2068" s="28">
        <f>IFERROR(INDEX(MgAmenGrupo,MATCH(SUBSTITUTE($H2068,"*","-"),MgAmenClave,0)),"")</f>
        <v/>
      </c>
      <c r="K2068" s="64">
        <f>IFERROR(INDEX('1. Matriz de Activos'!$Q$6:$Q$239,MATCH($C2068,MgActId,0)),"")</f>
        <v/>
      </c>
      <c r="L2068" s="64">
        <f>IFERROR(INDEX('1. Matriz de Activos'!$R$6:$R$239,MATCH($C2068,MgActId,0)),"")</f>
        <v/>
      </c>
      <c r="M2068" s="64">
        <f>IFERROR(INDEX('1. Matriz de Activos'!$S$6:$S$239,MATCH($C2068,MgActId,0)),"")</f>
        <v/>
      </c>
      <c r="N2068" s="28">
        <f>IFERROR(INDEX(MgAmenDegD,MATCH(SUBSTITUTE($H2068,"*","-"),MgAmenClave,0)),"No aplica")</f>
        <v/>
      </c>
      <c r="O2068" s="28">
        <f>IFERROR(INDEX(MgAmenDegI,MATCH(SUBSTITUTE($H2068,"*","-"),MgAmenClave,0)),"No aplica")</f>
        <v/>
      </c>
      <c r="P2068" s="28">
        <f>IFERROR(INDEX(MgAmenDegC,MATCH(SUBSTITUTE($H2068,"*","-"),MgAmenClave,0)),"No aplica")</f>
        <v/>
      </c>
      <c r="Q2068" s="29">
        <f>IFERROR(VLOOKUP(K2068,MgValor,2,0)*VLOOKUP(N2068,MgDeg,2,0),0)</f>
        <v/>
      </c>
      <c r="R2068" s="29">
        <f>IFERROR(VLOOKUP(L2068,MgValor,2,0)*VLOOKUP(O2068,MgDeg,2,0),0)</f>
        <v/>
      </c>
      <c r="S2068" s="29">
        <f>IFERROR(VLOOKUP(M2068,MgValor,2,0)*VLOOKUP(P2068,MgDeg,2,0),0)</f>
        <v/>
      </c>
      <c r="T2068" s="30">
        <f>MAX(Q2068:S2068)</f>
        <v/>
      </c>
      <c r="U2068" s="28">
        <f>IFERROR(LOOKUP(T2068,{0;0.5;1.5;3;4.5},{"Despreciable";"Bajo";"Medio";"Alto";"Muy alto"}),"")</f>
        <v/>
      </c>
      <c r="V2068" s="13">
        <f>IFERROR(INDEX(MgAmenFrec,MATCH(SUBSTITUTE($H2068,"*","-"),MgAmenClave,0)),"")</f>
        <v/>
      </c>
      <c r="W2068" s="28">
        <f>IFERROR(LOOKUP(X2068,{0;0.01;0.1;1;10;100},{"Muy baja";"Muy baja";"Baja";"Media";"Alta";"Muy alta"}),"")</f>
        <v/>
      </c>
      <c r="X2068" s="31">
        <f>IFERROR(VLOOKUP(V2068,MgFrec,2,0),0)</f>
        <v/>
      </c>
      <c r="Y2068" s="30">
        <f>T2068*X2068</f>
        <v/>
      </c>
      <c r="Z2068" s="28">
        <f>IFERROR(LOOKUP(Y2068,{0;0.5;5;25},{"Bajo";"Medio";"Alto";"Crítico"}),"")</f>
        <v/>
      </c>
      <c r="AA2068" s="64">
        <f>IF(T2068&gt;=3,IF(X2068&gt;=1,"Zona 1 — Crítica: impacto alto y ocurre al menos una vez al año","Zona 4 — Catastrófica poco probable: impacto alto pero excepcional"),IF(AND(T2068&lt;1.5,X2068&lt;1),"Zona 3 — Asumible: impacto bajo y muy poco frecuente","Zona 2 — Atención: riesgo intermedio"))</f>
        <v/>
      </c>
      <c r="AB2068" s="64">
        <f>IFERROR(INDEX(MgAmenCtrl,MATCH(SUBSTITUTE($H2068,"*","-"),MgAmenClave,0)),"")</f>
        <v/>
      </c>
      <c r="AC2068" s="20" t="n"/>
      <c r="AD2068" s="31">
        <f>IFERROR($X2068*(1-IF($AC2068="",$AL2068,VLOOKUP($AC2068,MgMad,2,0))),"")</f>
        <v/>
      </c>
      <c r="AE2068" s="28">
        <f>IFERROR(LOOKUP(AD2068,{0;0.01;0.1;1;10;100},{"Muy baja";"Muy baja";"Baja";"Media";"Alta";"Muy alta"}),"")</f>
        <v/>
      </c>
      <c r="AF2068" s="30">
        <f>T2068*AD2068</f>
        <v/>
      </c>
      <c r="AG2068" s="28">
        <f>IFERROR(LOOKUP(AF2068,{0;0.5;5;25},{"Bajo";"Medio";"Alto";"Crítico"}),"")</f>
        <v/>
      </c>
      <c r="AH2068" s="28">
        <f>IF(AG2068="","",IF(OR(AG2068="Crítico",AG2068="Alto"),"Mitigar",IF(AG2068="Medio","Mitigar","Aceptar y monitorear")))</f>
        <v/>
      </c>
      <c r="AI2068" s="21" t="n"/>
      <c r="AJ2068" s="21" t="n"/>
      <c r="AK2068" s="20" t="n"/>
      <c r="AL2068" s="77">
        <f>IFERROR(INDEX(MgAmenEfic,MATCH(SUBSTITUTE($H2068,"*","-"),MgAmenClave,0)),0)</f>
        <v/>
      </c>
    </row>
    <row r="2069" hidden="1" ht="105" customHeight="1" s="54">
      <c r="B2069" s="59" t="inlineStr">
        <is>
          <t>R-2064</t>
        </is>
      </c>
      <c r="C2069" s="59" t="inlineStr">
        <is>
          <t>TEC-014</t>
        </is>
      </c>
      <c r="D2069" s="64">
        <f>IFERROR(INDEX(MgNombre,MATCH($C2069,MgActId,0)),"")</f>
        <v/>
      </c>
      <c r="E2069" s="64">
        <f>IFERROR(INDEX(MgProceso,MATCH($C2069,MgActId,0)),"")</f>
        <v/>
      </c>
      <c r="F2069" s="64">
        <f>IFERROR(INDEX(MgTipo,MATCH($C2069,MgActId,0)),"")</f>
        <v/>
      </c>
      <c r="G2069" s="64">
        <f>IFERROR(INDEX(MgSubtipo,MATCH($C2069,MgActId,0)),"")</f>
        <v/>
      </c>
      <c r="H2069" s="59" t="inlineStr">
        <is>
          <t>E.19</t>
        </is>
      </c>
      <c r="I2069" s="64">
        <f>IFERROR(INDEX(MgAmenNombre,MATCH(SUBSTITUTE($H2069,"*","-"),MgAmenClave,0)),"")</f>
        <v/>
      </c>
      <c r="J2069" s="28">
        <f>IFERROR(INDEX(MgAmenGrupo,MATCH(SUBSTITUTE($H2069,"*","-"),MgAmenClave,0)),"")</f>
        <v/>
      </c>
      <c r="K2069" s="64">
        <f>IFERROR(INDEX('1. Matriz de Activos'!$Q$6:$Q$239,MATCH($C2069,MgActId,0)),"")</f>
        <v/>
      </c>
      <c r="L2069" s="64">
        <f>IFERROR(INDEX('1. Matriz de Activos'!$R$6:$R$239,MATCH($C2069,MgActId,0)),"")</f>
        <v/>
      </c>
      <c r="M2069" s="64">
        <f>IFERROR(INDEX('1. Matriz de Activos'!$S$6:$S$239,MATCH($C2069,MgActId,0)),"")</f>
        <v/>
      </c>
      <c r="N2069" s="28">
        <f>IFERROR(INDEX(MgAmenDegD,MATCH(SUBSTITUTE($H2069,"*","-"),MgAmenClave,0)),"No aplica")</f>
        <v/>
      </c>
      <c r="O2069" s="28">
        <f>IFERROR(INDEX(MgAmenDegI,MATCH(SUBSTITUTE($H2069,"*","-"),MgAmenClave,0)),"No aplica")</f>
        <v/>
      </c>
      <c r="P2069" s="28">
        <f>IFERROR(INDEX(MgAmenDegC,MATCH(SUBSTITUTE($H2069,"*","-"),MgAmenClave,0)),"No aplica")</f>
        <v/>
      </c>
      <c r="Q2069" s="29">
        <f>IFERROR(VLOOKUP(K2069,MgValor,2,0)*VLOOKUP(N2069,MgDeg,2,0),0)</f>
        <v/>
      </c>
      <c r="R2069" s="29">
        <f>IFERROR(VLOOKUP(L2069,MgValor,2,0)*VLOOKUP(O2069,MgDeg,2,0),0)</f>
        <v/>
      </c>
      <c r="S2069" s="29">
        <f>IFERROR(VLOOKUP(M2069,MgValor,2,0)*VLOOKUP(P2069,MgDeg,2,0),0)</f>
        <v/>
      </c>
      <c r="T2069" s="30">
        <f>MAX(Q2069:S2069)</f>
        <v/>
      </c>
      <c r="U2069" s="28">
        <f>IFERROR(LOOKUP(T2069,{0;0.5;1.5;3;4.5},{"Despreciable";"Bajo";"Medio";"Alto";"Muy alto"}),"")</f>
        <v/>
      </c>
      <c r="V2069" s="13">
        <f>IFERROR(INDEX(MgAmenFrec,MATCH(SUBSTITUTE($H2069,"*","-"),MgAmenClave,0)),"")</f>
        <v/>
      </c>
      <c r="W2069" s="28">
        <f>IFERROR(LOOKUP(X2069,{0;0.01;0.1;1;10;100},{"Muy baja";"Muy baja";"Baja";"Media";"Alta";"Muy alta"}),"")</f>
        <v/>
      </c>
      <c r="X2069" s="31">
        <f>IFERROR(VLOOKUP(V2069,MgFrec,2,0),0)</f>
        <v/>
      </c>
      <c r="Y2069" s="30">
        <f>T2069*X2069</f>
        <v/>
      </c>
      <c r="Z2069" s="28">
        <f>IFERROR(LOOKUP(Y2069,{0;0.5;5;25},{"Bajo";"Medio";"Alto";"Crítico"}),"")</f>
        <v/>
      </c>
      <c r="AA2069" s="64">
        <f>IF(T2069&gt;=3,IF(X2069&gt;=1,"Zona 1 — Crítica: impacto alto y ocurre al menos una vez al año","Zona 4 — Catastrófica poco probable: impacto alto pero excepcional"),IF(AND(T2069&lt;1.5,X2069&lt;1),"Zona 3 — Asumible: impacto bajo y muy poco frecuente","Zona 2 — Atención: riesgo intermedio"))</f>
        <v/>
      </c>
      <c r="AB2069" s="64">
        <f>IFERROR(INDEX(MgAmenCtrl,MATCH(SUBSTITUTE($H2069,"*","-"),MgAmenClave,0)),"")</f>
        <v/>
      </c>
      <c r="AC2069" s="20" t="n"/>
      <c r="AD2069" s="31">
        <f>IFERROR($X2069*(1-IF($AC2069="",$AL2069,VLOOKUP($AC2069,MgMad,2,0))),"")</f>
        <v/>
      </c>
      <c r="AE2069" s="28">
        <f>IFERROR(LOOKUP(AD2069,{0;0.01;0.1;1;10;100},{"Muy baja";"Muy baja";"Baja";"Media";"Alta";"Muy alta"}),"")</f>
        <v/>
      </c>
      <c r="AF2069" s="30">
        <f>T2069*AD2069</f>
        <v/>
      </c>
      <c r="AG2069" s="28">
        <f>IFERROR(LOOKUP(AF2069,{0;0.5;5;25},{"Bajo";"Medio";"Alto";"Crítico"}),"")</f>
        <v/>
      </c>
      <c r="AH2069" s="28">
        <f>IF(AG2069="","",IF(OR(AG2069="Crítico",AG2069="Alto"),"Mitigar",IF(AG2069="Medio","Mitigar","Aceptar y monitorear")))</f>
        <v/>
      </c>
      <c r="AI2069" s="21" t="n"/>
      <c r="AJ2069" s="21" t="n"/>
      <c r="AK2069" s="20" t="n"/>
      <c r="AL2069" s="77">
        <f>IFERROR(INDEX(MgAmenEfic,MATCH(SUBSTITUTE($H2069,"*","-"),MgAmenClave,0)),0)</f>
        <v/>
      </c>
    </row>
    <row r="2070" hidden="1" ht="45" customHeight="1" s="54">
      <c r="B2070" s="59" t="inlineStr">
        <is>
          <t>R-2065</t>
        </is>
      </c>
      <c r="C2070" s="59" t="inlineStr">
        <is>
          <t>TEC-014</t>
        </is>
      </c>
      <c r="D2070" s="64">
        <f>IFERROR(INDEX(MgNombre,MATCH($C2070,MgActId,0)),"")</f>
        <v/>
      </c>
      <c r="E2070" s="64">
        <f>IFERROR(INDEX(MgProceso,MATCH($C2070,MgActId,0)),"")</f>
        <v/>
      </c>
      <c r="F2070" s="64">
        <f>IFERROR(INDEX(MgTipo,MATCH($C2070,MgActId,0)),"")</f>
        <v/>
      </c>
      <c r="G2070" s="64">
        <f>IFERROR(INDEX(MgSubtipo,MATCH($C2070,MgActId,0)),"")</f>
        <v/>
      </c>
      <c r="H2070" s="59" t="inlineStr">
        <is>
          <t>E.24</t>
        </is>
      </c>
      <c r="I2070" s="64">
        <f>IFERROR(INDEX(MgAmenNombre,MATCH(SUBSTITUTE($H2070,"*","-"),MgAmenClave,0)),"")</f>
        <v/>
      </c>
      <c r="J2070" s="28">
        <f>IFERROR(INDEX(MgAmenGrupo,MATCH(SUBSTITUTE($H2070,"*","-"),MgAmenClave,0)),"")</f>
        <v/>
      </c>
      <c r="K2070" s="64">
        <f>IFERROR(INDEX('1. Matriz de Activos'!$Q$6:$Q$239,MATCH($C2070,MgActId,0)),"")</f>
        <v/>
      </c>
      <c r="L2070" s="64">
        <f>IFERROR(INDEX('1. Matriz de Activos'!$R$6:$R$239,MATCH($C2070,MgActId,0)),"")</f>
        <v/>
      </c>
      <c r="M2070" s="64">
        <f>IFERROR(INDEX('1. Matriz de Activos'!$S$6:$S$239,MATCH($C2070,MgActId,0)),"")</f>
        <v/>
      </c>
      <c r="N2070" s="28">
        <f>IFERROR(INDEX(MgAmenDegD,MATCH(SUBSTITUTE($H2070,"*","-"),MgAmenClave,0)),"No aplica")</f>
        <v/>
      </c>
      <c r="O2070" s="28">
        <f>IFERROR(INDEX(MgAmenDegI,MATCH(SUBSTITUTE($H2070,"*","-"),MgAmenClave,0)),"No aplica")</f>
        <v/>
      </c>
      <c r="P2070" s="28">
        <f>IFERROR(INDEX(MgAmenDegC,MATCH(SUBSTITUTE($H2070,"*","-"),MgAmenClave,0)),"No aplica")</f>
        <v/>
      </c>
      <c r="Q2070" s="29">
        <f>IFERROR(VLOOKUP(K2070,MgValor,2,0)*VLOOKUP(N2070,MgDeg,2,0),0)</f>
        <v/>
      </c>
      <c r="R2070" s="29">
        <f>IFERROR(VLOOKUP(L2070,MgValor,2,0)*VLOOKUP(O2070,MgDeg,2,0),0)</f>
        <v/>
      </c>
      <c r="S2070" s="29">
        <f>IFERROR(VLOOKUP(M2070,MgValor,2,0)*VLOOKUP(P2070,MgDeg,2,0),0)</f>
        <v/>
      </c>
      <c r="T2070" s="30">
        <f>MAX(Q2070:S2070)</f>
        <v/>
      </c>
      <c r="U2070" s="28">
        <f>IFERROR(LOOKUP(T2070,{0;0.5;1.5;3;4.5},{"Despreciable";"Bajo";"Medio";"Alto";"Muy alto"}),"")</f>
        <v/>
      </c>
      <c r="V2070" s="13">
        <f>IFERROR(INDEX(MgAmenFrec,MATCH(SUBSTITUTE($H2070,"*","-"),MgAmenClave,0)),"")</f>
        <v/>
      </c>
      <c r="W2070" s="28">
        <f>IFERROR(LOOKUP(X2070,{0;0.01;0.1;1;10;100},{"Muy baja";"Muy baja";"Baja";"Media";"Alta";"Muy alta"}),"")</f>
        <v/>
      </c>
      <c r="X2070" s="31">
        <f>IFERROR(VLOOKUP(V2070,MgFrec,2,0),0)</f>
        <v/>
      </c>
      <c r="Y2070" s="30">
        <f>T2070*X2070</f>
        <v/>
      </c>
      <c r="Z2070" s="28">
        <f>IFERROR(LOOKUP(Y2070,{0;0.5;5;25},{"Bajo";"Medio";"Alto";"Crítico"}),"")</f>
        <v/>
      </c>
      <c r="AA2070" s="64">
        <f>IF(T2070&gt;=3,IF(X2070&gt;=1,"Zona 1 — Crítica: impacto alto y ocurre al menos una vez al año","Zona 4 — Catastrófica poco probable: impacto alto pero excepcional"),IF(AND(T2070&lt;1.5,X2070&lt;1),"Zona 3 — Asumible: impacto bajo y muy poco frecuente","Zona 2 — Atención: riesgo intermedio"))</f>
        <v/>
      </c>
      <c r="AB2070" s="64">
        <f>IFERROR(INDEX(MgAmenCtrl,MATCH(SUBSTITUTE($H2070,"*","-"),MgAmenClave,0)),"")</f>
        <v/>
      </c>
      <c r="AC2070" s="20" t="n"/>
      <c r="AD2070" s="31">
        <f>IFERROR($X2070*(1-IF($AC2070="",$AL2070,VLOOKUP($AC2070,MgMad,2,0))),"")</f>
        <v/>
      </c>
      <c r="AE2070" s="28">
        <f>IFERROR(LOOKUP(AD2070,{0;0.01;0.1;1;10;100},{"Muy baja";"Muy baja";"Baja";"Media";"Alta";"Muy alta"}),"")</f>
        <v/>
      </c>
      <c r="AF2070" s="30">
        <f>T2070*AD2070</f>
        <v/>
      </c>
      <c r="AG2070" s="28">
        <f>IFERROR(LOOKUP(AF2070,{0;0.5;5;25},{"Bajo";"Medio";"Alto";"Crítico"}),"")</f>
        <v/>
      </c>
      <c r="AH2070" s="28">
        <f>IF(AG2070="","",IF(OR(AG2070="Crítico",AG2070="Alto"),"Mitigar",IF(AG2070="Medio","Mitigar","Aceptar y monitorear")))</f>
        <v/>
      </c>
      <c r="AI2070" s="21" t="n"/>
      <c r="AJ2070" s="21" t="n"/>
      <c r="AK2070" s="20" t="n"/>
      <c r="AL2070" s="77">
        <f>IFERROR(INDEX(MgAmenEfic,MATCH(SUBSTITUTE($H2070,"*","-"),MgAmenClave,0)),0)</f>
        <v/>
      </c>
    </row>
    <row r="2071" hidden="1" ht="75" customHeight="1" s="54">
      <c r="B2071" s="59" t="inlineStr">
        <is>
          <t>R-2066</t>
        </is>
      </c>
      <c r="C2071" s="59" t="inlineStr">
        <is>
          <t>TEC-014</t>
        </is>
      </c>
      <c r="D2071" s="64">
        <f>IFERROR(INDEX(MgNombre,MATCH($C2071,MgActId,0)),"")</f>
        <v/>
      </c>
      <c r="E2071" s="64">
        <f>IFERROR(INDEX(MgProceso,MATCH($C2071,MgActId,0)),"")</f>
        <v/>
      </c>
      <c r="F2071" s="64">
        <f>IFERROR(INDEX(MgTipo,MATCH($C2071,MgActId,0)),"")</f>
        <v/>
      </c>
      <c r="G2071" s="64">
        <f>IFERROR(INDEX(MgSubtipo,MATCH($C2071,MgActId,0)),"")</f>
        <v/>
      </c>
      <c r="H2071" s="59" t="inlineStr">
        <is>
          <t>A.5</t>
        </is>
      </c>
      <c r="I2071" s="64">
        <f>IFERROR(INDEX(MgAmenNombre,MATCH(SUBSTITUTE($H2071,"*","-"),MgAmenClave,0)),"")</f>
        <v/>
      </c>
      <c r="J2071" s="28">
        <f>IFERROR(INDEX(MgAmenGrupo,MATCH(SUBSTITUTE($H2071,"*","-"),MgAmenClave,0)),"")</f>
        <v/>
      </c>
      <c r="K2071" s="64">
        <f>IFERROR(INDEX('1. Matriz de Activos'!$Q$6:$Q$239,MATCH($C2071,MgActId,0)),"")</f>
        <v/>
      </c>
      <c r="L2071" s="64">
        <f>IFERROR(INDEX('1. Matriz de Activos'!$R$6:$R$239,MATCH($C2071,MgActId,0)),"")</f>
        <v/>
      </c>
      <c r="M2071" s="64">
        <f>IFERROR(INDEX('1. Matriz de Activos'!$S$6:$S$239,MATCH($C2071,MgActId,0)),"")</f>
        <v/>
      </c>
      <c r="N2071" s="28">
        <f>IFERROR(INDEX(MgAmenDegD,MATCH(SUBSTITUTE($H2071,"*","-"),MgAmenClave,0)),"No aplica")</f>
        <v/>
      </c>
      <c r="O2071" s="28">
        <f>IFERROR(INDEX(MgAmenDegI,MATCH(SUBSTITUTE($H2071,"*","-"),MgAmenClave,0)),"No aplica")</f>
        <v/>
      </c>
      <c r="P2071" s="28">
        <f>IFERROR(INDEX(MgAmenDegC,MATCH(SUBSTITUTE($H2071,"*","-"),MgAmenClave,0)),"No aplica")</f>
        <v/>
      </c>
      <c r="Q2071" s="29">
        <f>IFERROR(VLOOKUP(K2071,MgValor,2,0)*VLOOKUP(N2071,MgDeg,2,0),0)</f>
        <v/>
      </c>
      <c r="R2071" s="29">
        <f>IFERROR(VLOOKUP(L2071,MgValor,2,0)*VLOOKUP(O2071,MgDeg,2,0),0)</f>
        <v/>
      </c>
      <c r="S2071" s="29">
        <f>IFERROR(VLOOKUP(M2071,MgValor,2,0)*VLOOKUP(P2071,MgDeg,2,0),0)</f>
        <v/>
      </c>
      <c r="T2071" s="30">
        <f>MAX(Q2071:S2071)</f>
        <v/>
      </c>
      <c r="U2071" s="28">
        <f>IFERROR(LOOKUP(T2071,{0;0.5;1.5;3;4.5},{"Despreciable";"Bajo";"Medio";"Alto";"Muy alto"}),"")</f>
        <v/>
      </c>
      <c r="V2071" s="13">
        <f>IFERROR(INDEX(MgAmenFrec,MATCH(SUBSTITUTE($H2071,"*","-"),MgAmenClave,0)),"")</f>
        <v/>
      </c>
      <c r="W2071" s="28">
        <f>IFERROR(LOOKUP(X2071,{0;0.01;0.1;1;10;100},{"Muy baja";"Muy baja";"Baja";"Media";"Alta";"Muy alta"}),"")</f>
        <v/>
      </c>
      <c r="X2071" s="31">
        <f>IFERROR(VLOOKUP(V2071,MgFrec,2,0),0)</f>
        <v/>
      </c>
      <c r="Y2071" s="30">
        <f>T2071*X2071</f>
        <v/>
      </c>
      <c r="Z2071" s="28">
        <f>IFERROR(LOOKUP(Y2071,{0;0.5;5;25},{"Bajo";"Medio";"Alto";"Crítico"}),"")</f>
        <v/>
      </c>
      <c r="AA2071" s="64">
        <f>IF(T2071&gt;=3,IF(X2071&gt;=1,"Zona 1 — Crítica: impacto alto y ocurre al menos una vez al año","Zona 4 — Catastrófica poco probable: impacto alto pero excepcional"),IF(AND(T2071&lt;1.5,X2071&lt;1),"Zona 3 — Asumible: impacto bajo y muy poco frecuente","Zona 2 — Atención: riesgo intermedio"))</f>
        <v/>
      </c>
      <c r="AB2071" s="64">
        <f>IFERROR(INDEX(MgAmenCtrl,MATCH(SUBSTITUTE($H2071,"*","-"),MgAmenClave,0)),"")</f>
        <v/>
      </c>
      <c r="AC2071" s="20" t="n"/>
      <c r="AD2071" s="31">
        <f>IFERROR($X2071*(1-IF($AC2071="",$AL2071,VLOOKUP($AC2071,MgMad,2,0))),"")</f>
        <v/>
      </c>
      <c r="AE2071" s="28">
        <f>IFERROR(LOOKUP(AD2071,{0;0.01;0.1;1;10;100},{"Muy baja";"Muy baja";"Baja";"Media";"Alta";"Muy alta"}),"")</f>
        <v/>
      </c>
      <c r="AF2071" s="30">
        <f>T2071*AD2071</f>
        <v/>
      </c>
      <c r="AG2071" s="28">
        <f>IFERROR(LOOKUP(AF2071,{0;0.5;5;25},{"Bajo";"Medio";"Alto";"Crítico"}),"")</f>
        <v/>
      </c>
      <c r="AH2071" s="28">
        <f>IF(AG2071="","",IF(OR(AG2071="Crítico",AG2071="Alto"),"Mitigar",IF(AG2071="Medio","Mitigar","Aceptar y monitorear")))</f>
        <v/>
      </c>
      <c r="AI2071" s="21" t="n"/>
      <c r="AJ2071" s="21" t="n"/>
      <c r="AK2071" s="20" t="n"/>
      <c r="AL2071" s="77">
        <f>IFERROR(INDEX(MgAmenEfic,MATCH(SUBSTITUTE($H2071,"*","-"),MgAmenClave,0)),0)</f>
        <v/>
      </c>
    </row>
    <row r="2072" hidden="1" ht="105" customHeight="1" s="54">
      <c r="B2072" s="59" t="inlineStr">
        <is>
          <t>R-2067</t>
        </is>
      </c>
      <c r="C2072" s="59" t="inlineStr">
        <is>
          <t>TEC-014</t>
        </is>
      </c>
      <c r="D2072" s="64">
        <f>IFERROR(INDEX(MgNombre,MATCH($C2072,MgActId,0)),"")</f>
        <v/>
      </c>
      <c r="E2072" s="64">
        <f>IFERROR(INDEX(MgProceso,MATCH($C2072,MgActId,0)),"")</f>
        <v/>
      </c>
      <c r="F2072" s="64">
        <f>IFERROR(INDEX(MgTipo,MATCH($C2072,MgActId,0)),"")</f>
        <v/>
      </c>
      <c r="G2072" s="64">
        <f>IFERROR(INDEX(MgSubtipo,MATCH($C2072,MgActId,0)),"")</f>
        <v/>
      </c>
      <c r="H2072" s="59" t="inlineStr">
        <is>
          <t>A.6</t>
        </is>
      </c>
      <c r="I2072" s="64">
        <f>IFERROR(INDEX(MgAmenNombre,MATCH(SUBSTITUTE($H2072,"*","-"),MgAmenClave,0)),"")</f>
        <v/>
      </c>
      <c r="J2072" s="28">
        <f>IFERROR(INDEX(MgAmenGrupo,MATCH(SUBSTITUTE($H2072,"*","-"),MgAmenClave,0)),"")</f>
        <v/>
      </c>
      <c r="K2072" s="64">
        <f>IFERROR(INDEX('1. Matriz de Activos'!$Q$6:$Q$239,MATCH($C2072,MgActId,0)),"")</f>
        <v/>
      </c>
      <c r="L2072" s="64">
        <f>IFERROR(INDEX('1. Matriz de Activos'!$R$6:$R$239,MATCH($C2072,MgActId,0)),"")</f>
        <v/>
      </c>
      <c r="M2072" s="64">
        <f>IFERROR(INDEX('1. Matriz de Activos'!$S$6:$S$239,MATCH($C2072,MgActId,0)),"")</f>
        <v/>
      </c>
      <c r="N2072" s="28">
        <f>IFERROR(INDEX(MgAmenDegD,MATCH(SUBSTITUTE($H2072,"*","-"),MgAmenClave,0)),"No aplica")</f>
        <v/>
      </c>
      <c r="O2072" s="28">
        <f>IFERROR(INDEX(MgAmenDegI,MATCH(SUBSTITUTE($H2072,"*","-"),MgAmenClave,0)),"No aplica")</f>
        <v/>
      </c>
      <c r="P2072" s="28">
        <f>IFERROR(INDEX(MgAmenDegC,MATCH(SUBSTITUTE($H2072,"*","-"),MgAmenClave,0)),"No aplica")</f>
        <v/>
      </c>
      <c r="Q2072" s="29">
        <f>IFERROR(VLOOKUP(K2072,MgValor,2,0)*VLOOKUP(N2072,MgDeg,2,0),0)</f>
        <v/>
      </c>
      <c r="R2072" s="29">
        <f>IFERROR(VLOOKUP(L2072,MgValor,2,0)*VLOOKUP(O2072,MgDeg,2,0),0)</f>
        <v/>
      </c>
      <c r="S2072" s="29">
        <f>IFERROR(VLOOKUP(M2072,MgValor,2,0)*VLOOKUP(P2072,MgDeg,2,0),0)</f>
        <v/>
      </c>
      <c r="T2072" s="30">
        <f>MAX(Q2072:S2072)</f>
        <v/>
      </c>
      <c r="U2072" s="28">
        <f>IFERROR(LOOKUP(T2072,{0;0.5;1.5;3;4.5},{"Despreciable";"Bajo";"Medio";"Alto";"Muy alto"}),"")</f>
        <v/>
      </c>
      <c r="V2072" s="13">
        <f>IFERROR(INDEX(MgAmenFrec,MATCH(SUBSTITUTE($H2072,"*","-"),MgAmenClave,0)),"")</f>
        <v/>
      </c>
      <c r="W2072" s="28">
        <f>IFERROR(LOOKUP(X2072,{0;0.01;0.1;1;10;100},{"Muy baja";"Muy baja";"Baja";"Media";"Alta";"Muy alta"}),"")</f>
        <v/>
      </c>
      <c r="X2072" s="31">
        <f>IFERROR(VLOOKUP(V2072,MgFrec,2,0),0)</f>
        <v/>
      </c>
      <c r="Y2072" s="30">
        <f>T2072*X2072</f>
        <v/>
      </c>
      <c r="Z2072" s="28">
        <f>IFERROR(LOOKUP(Y2072,{0;0.5;5;25},{"Bajo";"Medio";"Alto";"Crítico"}),"")</f>
        <v/>
      </c>
      <c r="AA2072" s="64">
        <f>IF(T2072&gt;=3,IF(X2072&gt;=1,"Zona 1 — Crítica: impacto alto y ocurre al menos una vez al año","Zona 4 — Catastrófica poco probable: impacto alto pero excepcional"),IF(AND(T2072&lt;1.5,X2072&lt;1),"Zona 3 — Asumible: impacto bajo y muy poco frecuente","Zona 2 — Atención: riesgo intermedio"))</f>
        <v/>
      </c>
      <c r="AB2072" s="64">
        <f>IFERROR(INDEX(MgAmenCtrl,MATCH(SUBSTITUTE($H2072,"*","-"),MgAmenClave,0)),"")</f>
        <v/>
      </c>
      <c r="AC2072" s="20" t="n"/>
      <c r="AD2072" s="31">
        <f>IFERROR($X2072*(1-IF($AC2072="",$AL2072,VLOOKUP($AC2072,MgMad,2,0))),"")</f>
        <v/>
      </c>
      <c r="AE2072" s="28">
        <f>IFERROR(LOOKUP(AD2072,{0;0.01;0.1;1;10;100},{"Muy baja";"Muy baja";"Baja";"Media";"Alta";"Muy alta"}),"")</f>
        <v/>
      </c>
      <c r="AF2072" s="30">
        <f>T2072*AD2072</f>
        <v/>
      </c>
      <c r="AG2072" s="28">
        <f>IFERROR(LOOKUP(AF2072,{0;0.5;5;25},{"Bajo";"Medio";"Alto";"Crítico"}),"")</f>
        <v/>
      </c>
      <c r="AH2072" s="28">
        <f>IF(AG2072="","",IF(OR(AG2072="Crítico",AG2072="Alto"),"Mitigar",IF(AG2072="Medio","Mitigar","Aceptar y monitorear")))</f>
        <v/>
      </c>
      <c r="AI2072" s="21" t="n"/>
      <c r="AJ2072" s="21" t="n"/>
      <c r="AK2072" s="20" t="n"/>
      <c r="AL2072" s="77">
        <f>IFERROR(INDEX(MgAmenEfic,MATCH(SUBSTITUTE($H2072,"*","-"),MgAmenClave,0)),0)</f>
        <v/>
      </c>
    </row>
    <row r="2073" hidden="1" ht="60" customHeight="1" s="54">
      <c r="B2073" s="59" t="inlineStr">
        <is>
          <t>R-2068</t>
        </is>
      </c>
      <c r="C2073" s="59" t="inlineStr">
        <is>
          <t>TEC-014</t>
        </is>
      </c>
      <c r="D2073" s="64">
        <f>IFERROR(INDEX(MgNombre,MATCH($C2073,MgActId,0)),"")</f>
        <v/>
      </c>
      <c r="E2073" s="64">
        <f>IFERROR(INDEX(MgProceso,MATCH($C2073,MgActId,0)),"")</f>
        <v/>
      </c>
      <c r="F2073" s="64">
        <f>IFERROR(INDEX(MgTipo,MATCH($C2073,MgActId,0)),"")</f>
        <v/>
      </c>
      <c r="G2073" s="64">
        <f>IFERROR(INDEX(MgSubtipo,MATCH($C2073,MgActId,0)),"")</f>
        <v/>
      </c>
      <c r="H2073" s="59" t="inlineStr">
        <is>
          <t>A.7</t>
        </is>
      </c>
      <c r="I2073" s="64">
        <f>IFERROR(INDEX(MgAmenNombre,MATCH(SUBSTITUTE($H2073,"*","-"),MgAmenClave,0)),"")</f>
        <v/>
      </c>
      <c r="J2073" s="28">
        <f>IFERROR(INDEX(MgAmenGrupo,MATCH(SUBSTITUTE($H2073,"*","-"),MgAmenClave,0)),"")</f>
        <v/>
      </c>
      <c r="K2073" s="64">
        <f>IFERROR(INDEX('1. Matriz de Activos'!$Q$6:$Q$239,MATCH($C2073,MgActId,0)),"")</f>
        <v/>
      </c>
      <c r="L2073" s="64">
        <f>IFERROR(INDEX('1. Matriz de Activos'!$R$6:$R$239,MATCH($C2073,MgActId,0)),"")</f>
        <v/>
      </c>
      <c r="M2073" s="64">
        <f>IFERROR(INDEX('1. Matriz de Activos'!$S$6:$S$239,MATCH($C2073,MgActId,0)),"")</f>
        <v/>
      </c>
      <c r="N2073" s="28">
        <f>IFERROR(INDEX(MgAmenDegD,MATCH(SUBSTITUTE($H2073,"*","-"),MgAmenClave,0)),"No aplica")</f>
        <v/>
      </c>
      <c r="O2073" s="28">
        <f>IFERROR(INDEX(MgAmenDegI,MATCH(SUBSTITUTE($H2073,"*","-"),MgAmenClave,0)),"No aplica")</f>
        <v/>
      </c>
      <c r="P2073" s="28">
        <f>IFERROR(INDEX(MgAmenDegC,MATCH(SUBSTITUTE($H2073,"*","-"),MgAmenClave,0)),"No aplica")</f>
        <v/>
      </c>
      <c r="Q2073" s="29">
        <f>IFERROR(VLOOKUP(K2073,MgValor,2,0)*VLOOKUP(N2073,MgDeg,2,0),0)</f>
        <v/>
      </c>
      <c r="R2073" s="29">
        <f>IFERROR(VLOOKUP(L2073,MgValor,2,0)*VLOOKUP(O2073,MgDeg,2,0),0)</f>
        <v/>
      </c>
      <c r="S2073" s="29">
        <f>IFERROR(VLOOKUP(M2073,MgValor,2,0)*VLOOKUP(P2073,MgDeg,2,0),0)</f>
        <v/>
      </c>
      <c r="T2073" s="30">
        <f>MAX(Q2073:S2073)</f>
        <v/>
      </c>
      <c r="U2073" s="28">
        <f>IFERROR(LOOKUP(T2073,{0;0.5;1.5;3;4.5},{"Despreciable";"Bajo";"Medio";"Alto";"Muy alto"}),"")</f>
        <v/>
      </c>
      <c r="V2073" s="13">
        <f>IFERROR(INDEX(MgAmenFrec,MATCH(SUBSTITUTE($H2073,"*","-"),MgAmenClave,0)),"")</f>
        <v/>
      </c>
      <c r="W2073" s="28">
        <f>IFERROR(LOOKUP(X2073,{0;0.01;0.1;1;10;100},{"Muy baja";"Muy baja";"Baja";"Media";"Alta";"Muy alta"}),"")</f>
        <v/>
      </c>
      <c r="X2073" s="31">
        <f>IFERROR(VLOOKUP(V2073,MgFrec,2,0),0)</f>
        <v/>
      </c>
      <c r="Y2073" s="30">
        <f>T2073*X2073</f>
        <v/>
      </c>
      <c r="Z2073" s="28">
        <f>IFERROR(LOOKUP(Y2073,{0;0.5;5;25},{"Bajo";"Medio";"Alto";"Crítico"}),"")</f>
        <v/>
      </c>
      <c r="AA2073" s="64">
        <f>IF(T2073&gt;=3,IF(X2073&gt;=1,"Zona 1 — Crítica: impacto alto y ocurre al menos una vez al año","Zona 4 — Catastrófica poco probable: impacto alto pero excepcional"),IF(AND(T2073&lt;1.5,X2073&lt;1),"Zona 3 — Asumible: impacto bajo y muy poco frecuente","Zona 2 — Atención: riesgo intermedio"))</f>
        <v/>
      </c>
      <c r="AB2073" s="64">
        <f>IFERROR(INDEX(MgAmenCtrl,MATCH(SUBSTITUTE($H2073,"*","-"),MgAmenClave,0)),"")</f>
        <v/>
      </c>
      <c r="AC2073" s="20" t="n"/>
      <c r="AD2073" s="31">
        <f>IFERROR($X2073*(1-IF($AC2073="",$AL2073,VLOOKUP($AC2073,MgMad,2,0))),"")</f>
        <v/>
      </c>
      <c r="AE2073" s="28">
        <f>IFERROR(LOOKUP(AD2073,{0;0.01;0.1;1;10;100},{"Muy baja";"Muy baja";"Baja";"Media";"Alta";"Muy alta"}),"")</f>
        <v/>
      </c>
      <c r="AF2073" s="30">
        <f>T2073*AD2073</f>
        <v/>
      </c>
      <c r="AG2073" s="28">
        <f>IFERROR(LOOKUP(AF2073,{0;0.5;5;25},{"Bajo";"Medio";"Alto";"Crítico"}),"")</f>
        <v/>
      </c>
      <c r="AH2073" s="28">
        <f>IF(AG2073="","",IF(OR(AG2073="Crítico",AG2073="Alto"),"Mitigar",IF(AG2073="Medio","Mitigar","Aceptar y monitorear")))</f>
        <v/>
      </c>
      <c r="AI2073" s="21" t="n"/>
      <c r="AJ2073" s="21" t="n"/>
      <c r="AK2073" s="20" t="n"/>
      <c r="AL2073" s="77">
        <f>IFERROR(INDEX(MgAmenEfic,MATCH(SUBSTITUTE($H2073,"*","-"),MgAmenClave,0)),0)</f>
        <v/>
      </c>
    </row>
    <row r="2074" hidden="1" ht="60" customHeight="1" s="54">
      <c r="B2074" s="59" t="inlineStr">
        <is>
          <t>R-2069</t>
        </is>
      </c>
      <c r="C2074" s="59" t="inlineStr">
        <is>
          <t>TEC-014</t>
        </is>
      </c>
      <c r="D2074" s="64">
        <f>IFERROR(INDEX(MgNombre,MATCH($C2074,MgActId,0)),"")</f>
        <v/>
      </c>
      <c r="E2074" s="64">
        <f>IFERROR(INDEX(MgProceso,MATCH($C2074,MgActId,0)),"")</f>
        <v/>
      </c>
      <c r="F2074" s="64">
        <f>IFERROR(INDEX(MgTipo,MATCH($C2074,MgActId,0)),"")</f>
        <v/>
      </c>
      <c r="G2074" s="64">
        <f>IFERROR(INDEX(MgSubtipo,MATCH($C2074,MgActId,0)),"")</f>
        <v/>
      </c>
      <c r="H2074" s="59" t="inlineStr">
        <is>
          <t>A.9</t>
        </is>
      </c>
      <c r="I2074" s="64">
        <f>IFERROR(INDEX(MgAmenNombre,MATCH(SUBSTITUTE($H2074,"*","-"),MgAmenClave,0)),"")</f>
        <v/>
      </c>
      <c r="J2074" s="28">
        <f>IFERROR(INDEX(MgAmenGrupo,MATCH(SUBSTITUTE($H2074,"*","-"),MgAmenClave,0)),"")</f>
        <v/>
      </c>
      <c r="K2074" s="64">
        <f>IFERROR(INDEX('1. Matriz de Activos'!$Q$6:$Q$239,MATCH($C2074,MgActId,0)),"")</f>
        <v/>
      </c>
      <c r="L2074" s="64">
        <f>IFERROR(INDEX('1. Matriz de Activos'!$R$6:$R$239,MATCH($C2074,MgActId,0)),"")</f>
        <v/>
      </c>
      <c r="M2074" s="64">
        <f>IFERROR(INDEX('1. Matriz de Activos'!$S$6:$S$239,MATCH($C2074,MgActId,0)),"")</f>
        <v/>
      </c>
      <c r="N2074" s="28">
        <f>IFERROR(INDEX(MgAmenDegD,MATCH(SUBSTITUTE($H2074,"*","-"),MgAmenClave,0)),"No aplica")</f>
        <v/>
      </c>
      <c r="O2074" s="28">
        <f>IFERROR(INDEX(MgAmenDegI,MATCH(SUBSTITUTE($H2074,"*","-"),MgAmenClave,0)),"No aplica")</f>
        <v/>
      </c>
      <c r="P2074" s="28">
        <f>IFERROR(INDEX(MgAmenDegC,MATCH(SUBSTITUTE($H2074,"*","-"),MgAmenClave,0)),"No aplica")</f>
        <v/>
      </c>
      <c r="Q2074" s="29">
        <f>IFERROR(VLOOKUP(K2074,MgValor,2,0)*VLOOKUP(N2074,MgDeg,2,0),0)</f>
        <v/>
      </c>
      <c r="R2074" s="29">
        <f>IFERROR(VLOOKUP(L2074,MgValor,2,0)*VLOOKUP(O2074,MgDeg,2,0),0)</f>
        <v/>
      </c>
      <c r="S2074" s="29">
        <f>IFERROR(VLOOKUP(M2074,MgValor,2,0)*VLOOKUP(P2074,MgDeg,2,0),0)</f>
        <v/>
      </c>
      <c r="T2074" s="30">
        <f>MAX(Q2074:S2074)</f>
        <v/>
      </c>
      <c r="U2074" s="28">
        <f>IFERROR(LOOKUP(T2074,{0;0.5;1.5;3;4.5},{"Despreciable";"Bajo";"Medio";"Alto";"Muy alto"}),"")</f>
        <v/>
      </c>
      <c r="V2074" s="13">
        <f>IFERROR(INDEX(MgAmenFrec,MATCH(SUBSTITUTE($H2074,"*","-"),MgAmenClave,0)),"")</f>
        <v/>
      </c>
      <c r="W2074" s="28">
        <f>IFERROR(LOOKUP(X2074,{0;0.01;0.1;1;10;100},{"Muy baja";"Muy baja";"Baja";"Media";"Alta";"Muy alta"}),"")</f>
        <v/>
      </c>
      <c r="X2074" s="31">
        <f>IFERROR(VLOOKUP(V2074,MgFrec,2,0),0)</f>
        <v/>
      </c>
      <c r="Y2074" s="30">
        <f>T2074*X2074</f>
        <v/>
      </c>
      <c r="Z2074" s="28">
        <f>IFERROR(LOOKUP(Y2074,{0;0.5;5;25},{"Bajo";"Medio";"Alto";"Crítico"}),"")</f>
        <v/>
      </c>
      <c r="AA2074" s="64">
        <f>IF(T2074&gt;=3,IF(X2074&gt;=1,"Zona 1 — Crítica: impacto alto y ocurre al menos una vez al año","Zona 4 — Catastrófica poco probable: impacto alto pero excepcional"),IF(AND(T2074&lt;1.5,X2074&lt;1),"Zona 3 — Asumible: impacto bajo y muy poco frecuente","Zona 2 — Atención: riesgo intermedio"))</f>
        <v/>
      </c>
      <c r="AB2074" s="64">
        <f>IFERROR(INDEX(MgAmenCtrl,MATCH(SUBSTITUTE($H2074,"*","-"),MgAmenClave,0)),"")</f>
        <v/>
      </c>
      <c r="AC2074" s="20" t="n"/>
      <c r="AD2074" s="31">
        <f>IFERROR($X2074*(1-IF($AC2074="",$AL2074,VLOOKUP($AC2074,MgMad,2,0))),"")</f>
        <v/>
      </c>
      <c r="AE2074" s="28">
        <f>IFERROR(LOOKUP(AD2074,{0;0.01;0.1;1;10;100},{"Muy baja";"Muy baja";"Baja";"Media";"Alta";"Muy alta"}),"")</f>
        <v/>
      </c>
      <c r="AF2074" s="30">
        <f>T2074*AD2074</f>
        <v/>
      </c>
      <c r="AG2074" s="28">
        <f>IFERROR(LOOKUP(AF2074,{0;0.5;5;25},{"Bajo";"Medio";"Alto";"Crítico"}),"")</f>
        <v/>
      </c>
      <c r="AH2074" s="28">
        <f>IF(AG2074="","",IF(OR(AG2074="Crítico",AG2074="Alto"),"Mitigar",IF(AG2074="Medio","Mitigar","Aceptar y monitorear")))</f>
        <v/>
      </c>
      <c r="AI2074" s="21" t="n"/>
      <c r="AJ2074" s="21" t="n"/>
      <c r="AK2074" s="20" t="n"/>
      <c r="AL2074" s="77">
        <f>IFERROR(INDEX(MgAmenEfic,MATCH(SUBSTITUTE($H2074,"*","-"),MgAmenClave,0)),0)</f>
        <v/>
      </c>
    </row>
    <row r="2075" hidden="1" ht="45" customHeight="1" s="54">
      <c r="B2075" s="59" t="inlineStr">
        <is>
          <t>R-2070</t>
        </is>
      </c>
      <c r="C2075" s="59" t="inlineStr">
        <is>
          <t>TEC-014</t>
        </is>
      </c>
      <c r="D2075" s="64">
        <f>IFERROR(INDEX(MgNombre,MATCH($C2075,MgActId,0)),"")</f>
        <v/>
      </c>
      <c r="E2075" s="64">
        <f>IFERROR(INDEX(MgProceso,MATCH($C2075,MgActId,0)),"")</f>
        <v/>
      </c>
      <c r="F2075" s="64">
        <f>IFERROR(INDEX(MgTipo,MATCH($C2075,MgActId,0)),"")</f>
        <v/>
      </c>
      <c r="G2075" s="64">
        <f>IFERROR(INDEX(MgSubtipo,MATCH($C2075,MgActId,0)),"")</f>
        <v/>
      </c>
      <c r="H2075" s="59" t="inlineStr">
        <is>
          <t>A.10</t>
        </is>
      </c>
      <c r="I2075" s="64">
        <f>IFERROR(INDEX(MgAmenNombre,MATCH(SUBSTITUTE($H2075,"*","-"),MgAmenClave,0)),"")</f>
        <v/>
      </c>
      <c r="J2075" s="28">
        <f>IFERROR(INDEX(MgAmenGrupo,MATCH(SUBSTITUTE($H2075,"*","-"),MgAmenClave,0)),"")</f>
        <v/>
      </c>
      <c r="K2075" s="64">
        <f>IFERROR(INDEX('1. Matriz de Activos'!$Q$6:$Q$239,MATCH($C2075,MgActId,0)),"")</f>
        <v/>
      </c>
      <c r="L2075" s="64">
        <f>IFERROR(INDEX('1. Matriz de Activos'!$R$6:$R$239,MATCH($C2075,MgActId,0)),"")</f>
        <v/>
      </c>
      <c r="M2075" s="64">
        <f>IFERROR(INDEX('1. Matriz de Activos'!$S$6:$S$239,MATCH($C2075,MgActId,0)),"")</f>
        <v/>
      </c>
      <c r="N2075" s="28">
        <f>IFERROR(INDEX(MgAmenDegD,MATCH(SUBSTITUTE($H2075,"*","-"),MgAmenClave,0)),"No aplica")</f>
        <v/>
      </c>
      <c r="O2075" s="28">
        <f>IFERROR(INDEX(MgAmenDegI,MATCH(SUBSTITUTE($H2075,"*","-"),MgAmenClave,0)),"No aplica")</f>
        <v/>
      </c>
      <c r="P2075" s="28">
        <f>IFERROR(INDEX(MgAmenDegC,MATCH(SUBSTITUTE($H2075,"*","-"),MgAmenClave,0)),"No aplica")</f>
        <v/>
      </c>
      <c r="Q2075" s="29">
        <f>IFERROR(VLOOKUP(K2075,MgValor,2,0)*VLOOKUP(N2075,MgDeg,2,0),0)</f>
        <v/>
      </c>
      <c r="R2075" s="29">
        <f>IFERROR(VLOOKUP(L2075,MgValor,2,0)*VLOOKUP(O2075,MgDeg,2,0),0)</f>
        <v/>
      </c>
      <c r="S2075" s="29">
        <f>IFERROR(VLOOKUP(M2075,MgValor,2,0)*VLOOKUP(P2075,MgDeg,2,0),0)</f>
        <v/>
      </c>
      <c r="T2075" s="30">
        <f>MAX(Q2075:S2075)</f>
        <v/>
      </c>
      <c r="U2075" s="28">
        <f>IFERROR(LOOKUP(T2075,{0;0.5;1.5;3;4.5},{"Despreciable";"Bajo";"Medio";"Alto";"Muy alto"}),"")</f>
        <v/>
      </c>
      <c r="V2075" s="13">
        <f>IFERROR(INDEX(MgAmenFrec,MATCH(SUBSTITUTE($H2075,"*","-"),MgAmenClave,0)),"")</f>
        <v/>
      </c>
      <c r="W2075" s="28">
        <f>IFERROR(LOOKUP(X2075,{0;0.01;0.1;1;10;100},{"Muy baja";"Muy baja";"Baja";"Media";"Alta";"Muy alta"}),"")</f>
        <v/>
      </c>
      <c r="X2075" s="31">
        <f>IFERROR(VLOOKUP(V2075,MgFrec,2,0),0)</f>
        <v/>
      </c>
      <c r="Y2075" s="30">
        <f>T2075*X2075</f>
        <v/>
      </c>
      <c r="Z2075" s="28">
        <f>IFERROR(LOOKUP(Y2075,{0;0.5;5;25},{"Bajo";"Medio";"Alto";"Crítico"}),"")</f>
        <v/>
      </c>
      <c r="AA2075" s="64">
        <f>IF(T2075&gt;=3,IF(X2075&gt;=1,"Zona 1 — Crítica: impacto alto y ocurre al menos una vez al año","Zona 4 — Catastrófica poco probable: impacto alto pero excepcional"),IF(AND(T2075&lt;1.5,X2075&lt;1),"Zona 3 — Asumible: impacto bajo y muy poco frecuente","Zona 2 — Atención: riesgo intermedio"))</f>
        <v/>
      </c>
      <c r="AB2075" s="64">
        <f>IFERROR(INDEX(MgAmenCtrl,MATCH(SUBSTITUTE($H2075,"*","-"),MgAmenClave,0)),"")</f>
        <v/>
      </c>
      <c r="AC2075" s="20" t="n"/>
      <c r="AD2075" s="31">
        <f>IFERROR($X2075*(1-IF($AC2075="",$AL2075,VLOOKUP($AC2075,MgMad,2,0))),"")</f>
        <v/>
      </c>
      <c r="AE2075" s="28">
        <f>IFERROR(LOOKUP(AD2075,{0;0.01;0.1;1;10;100},{"Muy baja";"Muy baja";"Baja";"Media";"Alta";"Muy alta"}),"")</f>
        <v/>
      </c>
      <c r="AF2075" s="30">
        <f>T2075*AD2075</f>
        <v/>
      </c>
      <c r="AG2075" s="28">
        <f>IFERROR(LOOKUP(AF2075,{0;0.5;5;25},{"Bajo";"Medio";"Alto";"Crítico"}),"")</f>
        <v/>
      </c>
      <c r="AH2075" s="28">
        <f>IF(AG2075="","",IF(OR(AG2075="Crítico",AG2075="Alto"),"Mitigar",IF(AG2075="Medio","Mitigar","Aceptar y monitorear")))</f>
        <v/>
      </c>
      <c r="AI2075" s="21" t="n"/>
      <c r="AJ2075" s="21" t="n"/>
      <c r="AK2075" s="20" t="n"/>
      <c r="AL2075" s="77">
        <f>IFERROR(INDEX(MgAmenEfic,MATCH(SUBSTITUTE($H2075,"*","-"),MgAmenClave,0)),0)</f>
        <v/>
      </c>
    </row>
    <row r="2076" hidden="1" ht="120" customHeight="1" s="54">
      <c r="B2076" s="59" t="inlineStr">
        <is>
          <t>R-2071</t>
        </is>
      </c>
      <c r="C2076" s="59" t="inlineStr">
        <is>
          <t>TEC-014</t>
        </is>
      </c>
      <c r="D2076" s="64">
        <f>IFERROR(INDEX(MgNombre,MATCH($C2076,MgActId,0)),"")</f>
        <v/>
      </c>
      <c r="E2076" s="64">
        <f>IFERROR(INDEX(MgProceso,MATCH($C2076,MgActId,0)),"")</f>
        <v/>
      </c>
      <c r="F2076" s="64">
        <f>IFERROR(INDEX(MgTipo,MATCH($C2076,MgActId,0)),"")</f>
        <v/>
      </c>
      <c r="G2076" s="64">
        <f>IFERROR(INDEX(MgSubtipo,MATCH($C2076,MgActId,0)),"")</f>
        <v/>
      </c>
      <c r="H2076" s="59" t="inlineStr">
        <is>
          <t>A.11</t>
        </is>
      </c>
      <c r="I2076" s="64">
        <f>IFERROR(INDEX(MgAmenNombre,MATCH(SUBSTITUTE($H2076,"*","-"),MgAmenClave,0)),"")</f>
        <v/>
      </c>
      <c r="J2076" s="28">
        <f>IFERROR(INDEX(MgAmenGrupo,MATCH(SUBSTITUTE($H2076,"*","-"),MgAmenClave,0)),"")</f>
        <v/>
      </c>
      <c r="K2076" s="64">
        <f>IFERROR(INDEX('1. Matriz de Activos'!$Q$6:$Q$239,MATCH($C2076,MgActId,0)),"")</f>
        <v/>
      </c>
      <c r="L2076" s="64">
        <f>IFERROR(INDEX('1. Matriz de Activos'!$R$6:$R$239,MATCH($C2076,MgActId,0)),"")</f>
        <v/>
      </c>
      <c r="M2076" s="64">
        <f>IFERROR(INDEX('1. Matriz de Activos'!$S$6:$S$239,MATCH($C2076,MgActId,0)),"")</f>
        <v/>
      </c>
      <c r="N2076" s="28">
        <f>IFERROR(INDEX(MgAmenDegD,MATCH(SUBSTITUTE($H2076,"*","-"),MgAmenClave,0)),"No aplica")</f>
        <v/>
      </c>
      <c r="O2076" s="28">
        <f>IFERROR(INDEX(MgAmenDegI,MATCH(SUBSTITUTE($H2076,"*","-"),MgAmenClave,0)),"No aplica")</f>
        <v/>
      </c>
      <c r="P2076" s="28">
        <f>IFERROR(INDEX(MgAmenDegC,MATCH(SUBSTITUTE($H2076,"*","-"),MgAmenClave,0)),"No aplica")</f>
        <v/>
      </c>
      <c r="Q2076" s="29">
        <f>IFERROR(VLOOKUP(K2076,MgValor,2,0)*VLOOKUP(N2076,MgDeg,2,0),0)</f>
        <v/>
      </c>
      <c r="R2076" s="29">
        <f>IFERROR(VLOOKUP(L2076,MgValor,2,0)*VLOOKUP(O2076,MgDeg,2,0),0)</f>
        <v/>
      </c>
      <c r="S2076" s="29">
        <f>IFERROR(VLOOKUP(M2076,MgValor,2,0)*VLOOKUP(P2076,MgDeg,2,0),0)</f>
        <v/>
      </c>
      <c r="T2076" s="30">
        <f>MAX(Q2076:S2076)</f>
        <v/>
      </c>
      <c r="U2076" s="28">
        <f>IFERROR(LOOKUP(T2076,{0;0.5;1.5;3;4.5},{"Despreciable";"Bajo";"Medio";"Alto";"Muy alto"}),"")</f>
        <v/>
      </c>
      <c r="V2076" s="13">
        <f>IFERROR(INDEX(MgAmenFrec,MATCH(SUBSTITUTE($H2076,"*","-"),MgAmenClave,0)),"")</f>
        <v/>
      </c>
      <c r="W2076" s="28">
        <f>IFERROR(LOOKUP(X2076,{0;0.01;0.1;1;10;100},{"Muy baja";"Muy baja";"Baja";"Media";"Alta";"Muy alta"}),"")</f>
        <v/>
      </c>
      <c r="X2076" s="31">
        <f>IFERROR(VLOOKUP(V2076,MgFrec,2,0),0)</f>
        <v/>
      </c>
      <c r="Y2076" s="30">
        <f>T2076*X2076</f>
        <v/>
      </c>
      <c r="Z2076" s="28">
        <f>IFERROR(LOOKUP(Y2076,{0;0.5;5;25},{"Bajo";"Medio";"Alto";"Crítico"}),"")</f>
        <v/>
      </c>
      <c r="AA2076" s="64">
        <f>IF(T2076&gt;=3,IF(X2076&gt;=1,"Zona 1 — Crítica: impacto alto y ocurre al menos una vez al año","Zona 4 — Catastrófica poco probable: impacto alto pero excepcional"),IF(AND(T2076&lt;1.5,X2076&lt;1),"Zona 3 — Asumible: impacto bajo y muy poco frecuente","Zona 2 — Atención: riesgo intermedio"))</f>
        <v/>
      </c>
      <c r="AB2076" s="64">
        <f>IFERROR(INDEX(MgAmenCtrl,MATCH(SUBSTITUTE($H2076,"*","-"),MgAmenClave,0)),"")</f>
        <v/>
      </c>
      <c r="AC2076" s="20" t="n"/>
      <c r="AD2076" s="31">
        <f>IFERROR($X2076*(1-IF($AC2076="",$AL2076,VLOOKUP($AC2076,MgMad,2,0))),"")</f>
        <v/>
      </c>
      <c r="AE2076" s="28">
        <f>IFERROR(LOOKUP(AD2076,{0;0.01;0.1;1;10;100},{"Muy baja";"Muy baja";"Baja";"Media";"Alta";"Muy alta"}),"")</f>
        <v/>
      </c>
      <c r="AF2076" s="30">
        <f>T2076*AD2076</f>
        <v/>
      </c>
      <c r="AG2076" s="28">
        <f>IFERROR(LOOKUP(AF2076,{0;0.5;5;25},{"Bajo";"Medio";"Alto";"Crítico"}),"")</f>
        <v/>
      </c>
      <c r="AH2076" s="28">
        <f>IF(AG2076="","",IF(OR(AG2076="Crítico",AG2076="Alto"),"Mitigar",IF(AG2076="Medio","Mitigar","Aceptar y monitorear")))</f>
        <v/>
      </c>
      <c r="AI2076" s="21" t="n"/>
      <c r="AJ2076" s="21" t="n"/>
      <c r="AK2076" s="20" t="n"/>
      <c r="AL2076" s="77">
        <f>IFERROR(INDEX(MgAmenEfic,MATCH(SUBSTITUTE($H2076,"*","-"),MgAmenClave,0)),0)</f>
        <v/>
      </c>
    </row>
    <row r="2077" hidden="1" ht="90" customHeight="1" s="54">
      <c r="B2077" s="59" t="inlineStr">
        <is>
          <t>R-2072</t>
        </is>
      </c>
      <c r="C2077" s="59" t="inlineStr">
        <is>
          <t>TEC-014</t>
        </is>
      </c>
      <c r="D2077" s="64">
        <f>IFERROR(INDEX(MgNombre,MATCH($C2077,MgActId,0)),"")</f>
        <v/>
      </c>
      <c r="E2077" s="64">
        <f>IFERROR(INDEX(MgProceso,MATCH($C2077,MgActId,0)),"")</f>
        <v/>
      </c>
      <c r="F2077" s="64">
        <f>IFERROR(INDEX(MgTipo,MATCH($C2077,MgActId,0)),"")</f>
        <v/>
      </c>
      <c r="G2077" s="64">
        <f>IFERROR(INDEX(MgSubtipo,MATCH($C2077,MgActId,0)),"")</f>
        <v/>
      </c>
      <c r="H2077" s="59" t="inlineStr">
        <is>
          <t>A.13</t>
        </is>
      </c>
      <c r="I2077" s="64">
        <f>IFERROR(INDEX(MgAmenNombre,MATCH(SUBSTITUTE($H2077,"*","-"),MgAmenClave,0)),"")</f>
        <v/>
      </c>
      <c r="J2077" s="28">
        <f>IFERROR(INDEX(MgAmenGrupo,MATCH(SUBSTITUTE($H2077,"*","-"),MgAmenClave,0)),"")</f>
        <v/>
      </c>
      <c r="K2077" s="64">
        <f>IFERROR(INDEX('1. Matriz de Activos'!$Q$6:$Q$239,MATCH($C2077,MgActId,0)),"")</f>
        <v/>
      </c>
      <c r="L2077" s="64">
        <f>IFERROR(INDEX('1. Matriz de Activos'!$R$6:$R$239,MATCH($C2077,MgActId,0)),"")</f>
        <v/>
      </c>
      <c r="M2077" s="64">
        <f>IFERROR(INDEX('1. Matriz de Activos'!$S$6:$S$239,MATCH($C2077,MgActId,0)),"")</f>
        <v/>
      </c>
      <c r="N2077" s="28">
        <f>IFERROR(INDEX(MgAmenDegD,MATCH(SUBSTITUTE($H2077,"*","-"),MgAmenClave,0)),"No aplica")</f>
        <v/>
      </c>
      <c r="O2077" s="28">
        <f>IFERROR(INDEX(MgAmenDegI,MATCH(SUBSTITUTE($H2077,"*","-"),MgAmenClave,0)),"No aplica")</f>
        <v/>
      </c>
      <c r="P2077" s="28">
        <f>IFERROR(INDEX(MgAmenDegC,MATCH(SUBSTITUTE($H2077,"*","-"),MgAmenClave,0)),"No aplica")</f>
        <v/>
      </c>
      <c r="Q2077" s="29">
        <f>IFERROR(VLOOKUP(K2077,MgValor,2,0)*VLOOKUP(N2077,MgDeg,2,0),0)</f>
        <v/>
      </c>
      <c r="R2077" s="29">
        <f>IFERROR(VLOOKUP(L2077,MgValor,2,0)*VLOOKUP(O2077,MgDeg,2,0),0)</f>
        <v/>
      </c>
      <c r="S2077" s="29">
        <f>IFERROR(VLOOKUP(M2077,MgValor,2,0)*VLOOKUP(P2077,MgDeg,2,0),0)</f>
        <v/>
      </c>
      <c r="T2077" s="30">
        <f>MAX(Q2077:S2077)</f>
        <v/>
      </c>
      <c r="U2077" s="28">
        <f>IFERROR(LOOKUP(T2077,{0;0.5;1.5;3;4.5},{"Despreciable";"Bajo";"Medio";"Alto";"Muy alto"}),"")</f>
        <v/>
      </c>
      <c r="V2077" s="13">
        <f>IFERROR(INDEX(MgAmenFrec,MATCH(SUBSTITUTE($H2077,"*","-"),MgAmenClave,0)),"")</f>
        <v/>
      </c>
      <c r="W2077" s="28">
        <f>IFERROR(LOOKUP(X2077,{0;0.01;0.1;1;10;100},{"Muy baja";"Muy baja";"Baja";"Media";"Alta";"Muy alta"}),"")</f>
        <v/>
      </c>
      <c r="X2077" s="31">
        <f>IFERROR(VLOOKUP(V2077,MgFrec,2,0),0)</f>
        <v/>
      </c>
      <c r="Y2077" s="30">
        <f>T2077*X2077</f>
        <v/>
      </c>
      <c r="Z2077" s="28">
        <f>IFERROR(LOOKUP(Y2077,{0;0.5;5;25},{"Bajo";"Medio";"Alto";"Crítico"}),"")</f>
        <v/>
      </c>
      <c r="AA2077" s="64">
        <f>IF(T2077&gt;=3,IF(X2077&gt;=1,"Zona 1 — Crítica: impacto alto y ocurre al menos una vez al año","Zona 4 — Catastrófica poco probable: impacto alto pero excepcional"),IF(AND(T2077&lt;1.5,X2077&lt;1),"Zona 3 — Asumible: impacto bajo y muy poco frecuente","Zona 2 — Atención: riesgo intermedio"))</f>
        <v/>
      </c>
      <c r="AB2077" s="64">
        <f>IFERROR(INDEX(MgAmenCtrl,MATCH(SUBSTITUTE($H2077,"*","-"),MgAmenClave,0)),"")</f>
        <v/>
      </c>
      <c r="AC2077" s="20" t="n"/>
      <c r="AD2077" s="31">
        <f>IFERROR($X2077*(1-IF($AC2077="",$AL2077,VLOOKUP($AC2077,MgMad,2,0))),"")</f>
        <v/>
      </c>
      <c r="AE2077" s="28">
        <f>IFERROR(LOOKUP(AD2077,{0;0.01;0.1;1;10;100},{"Muy baja";"Muy baja";"Baja";"Media";"Alta";"Muy alta"}),"")</f>
        <v/>
      </c>
      <c r="AF2077" s="30">
        <f>T2077*AD2077</f>
        <v/>
      </c>
      <c r="AG2077" s="28">
        <f>IFERROR(LOOKUP(AF2077,{0;0.5;5;25},{"Bajo";"Medio";"Alto";"Crítico"}),"")</f>
        <v/>
      </c>
      <c r="AH2077" s="28">
        <f>IF(AG2077="","",IF(OR(AG2077="Crítico",AG2077="Alto"),"Mitigar",IF(AG2077="Medio","Mitigar","Aceptar y monitorear")))</f>
        <v/>
      </c>
      <c r="AI2077" s="21" t="n"/>
      <c r="AJ2077" s="21" t="n"/>
      <c r="AK2077" s="20" t="n"/>
      <c r="AL2077" s="77">
        <f>IFERROR(INDEX(MgAmenEfic,MATCH(SUBSTITUTE($H2077,"*","-"),MgAmenClave,0)),0)</f>
        <v/>
      </c>
    </row>
    <row r="2078" hidden="1" ht="60" customHeight="1" s="54">
      <c r="B2078" s="59" t="inlineStr">
        <is>
          <t>R-2073</t>
        </is>
      </c>
      <c r="C2078" s="59" t="inlineStr">
        <is>
          <t>TEC-014</t>
        </is>
      </c>
      <c r="D2078" s="64">
        <f>IFERROR(INDEX(MgNombre,MATCH($C2078,MgActId,0)),"")</f>
        <v/>
      </c>
      <c r="E2078" s="64">
        <f>IFERROR(INDEX(MgProceso,MATCH($C2078,MgActId,0)),"")</f>
        <v/>
      </c>
      <c r="F2078" s="64">
        <f>IFERROR(INDEX(MgTipo,MATCH($C2078,MgActId,0)),"")</f>
        <v/>
      </c>
      <c r="G2078" s="64">
        <f>IFERROR(INDEX(MgSubtipo,MATCH($C2078,MgActId,0)),"")</f>
        <v/>
      </c>
      <c r="H2078" s="59" t="inlineStr">
        <is>
          <t>A.15</t>
        </is>
      </c>
      <c r="I2078" s="64">
        <f>IFERROR(INDEX(MgAmenNombre,MATCH(SUBSTITUTE($H2078,"*","-"),MgAmenClave,0)),"")</f>
        <v/>
      </c>
      <c r="J2078" s="28">
        <f>IFERROR(INDEX(MgAmenGrupo,MATCH(SUBSTITUTE($H2078,"*","-"),MgAmenClave,0)),"")</f>
        <v/>
      </c>
      <c r="K2078" s="64">
        <f>IFERROR(INDEX('1. Matriz de Activos'!$Q$6:$Q$239,MATCH($C2078,MgActId,0)),"")</f>
        <v/>
      </c>
      <c r="L2078" s="64">
        <f>IFERROR(INDEX('1. Matriz de Activos'!$R$6:$R$239,MATCH($C2078,MgActId,0)),"")</f>
        <v/>
      </c>
      <c r="M2078" s="64">
        <f>IFERROR(INDEX('1. Matriz de Activos'!$S$6:$S$239,MATCH($C2078,MgActId,0)),"")</f>
        <v/>
      </c>
      <c r="N2078" s="28">
        <f>IFERROR(INDEX(MgAmenDegD,MATCH(SUBSTITUTE($H2078,"*","-"),MgAmenClave,0)),"No aplica")</f>
        <v/>
      </c>
      <c r="O2078" s="28">
        <f>IFERROR(INDEX(MgAmenDegI,MATCH(SUBSTITUTE($H2078,"*","-"),MgAmenClave,0)),"No aplica")</f>
        <v/>
      </c>
      <c r="P2078" s="28">
        <f>IFERROR(INDEX(MgAmenDegC,MATCH(SUBSTITUTE($H2078,"*","-"),MgAmenClave,0)),"No aplica")</f>
        <v/>
      </c>
      <c r="Q2078" s="29">
        <f>IFERROR(VLOOKUP(K2078,MgValor,2,0)*VLOOKUP(N2078,MgDeg,2,0),0)</f>
        <v/>
      </c>
      <c r="R2078" s="29">
        <f>IFERROR(VLOOKUP(L2078,MgValor,2,0)*VLOOKUP(O2078,MgDeg,2,0),0)</f>
        <v/>
      </c>
      <c r="S2078" s="29">
        <f>IFERROR(VLOOKUP(M2078,MgValor,2,0)*VLOOKUP(P2078,MgDeg,2,0),0)</f>
        <v/>
      </c>
      <c r="T2078" s="30">
        <f>MAX(Q2078:S2078)</f>
        <v/>
      </c>
      <c r="U2078" s="28">
        <f>IFERROR(LOOKUP(T2078,{0;0.5;1.5;3;4.5},{"Despreciable";"Bajo";"Medio";"Alto";"Muy alto"}),"")</f>
        <v/>
      </c>
      <c r="V2078" s="13">
        <f>IFERROR(INDEX(MgAmenFrec,MATCH(SUBSTITUTE($H2078,"*","-"),MgAmenClave,0)),"")</f>
        <v/>
      </c>
      <c r="W2078" s="28">
        <f>IFERROR(LOOKUP(X2078,{0;0.01;0.1;1;10;100},{"Muy baja";"Muy baja";"Baja";"Media";"Alta";"Muy alta"}),"")</f>
        <v/>
      </c>
      <c r="X2078" s="31">
        <f>IFERROR(VLOOKUP(V2078,MgFrec,2,0),0)</f>
        <v/>
      </c>
      <c r="Y2078" s="30">
        <f>T2078*X2078</f>
        <v/>
      </c>
      <c r="Z2078" s="28">
        <f>IFERROR(LOOKUP(Y2078,{0;0.5;5;25},{"Bajo";"Medio";"Alto";"Crítico"}),"")</f>
        <v/>
      </c>
      <c r="AA2078" s="64">
        <f>IF(T2078&gt;=3,IF(X2078&gt;=1,"Zona 1 — Crítica: impacto alto y ocurre al menos una vez al año","Zona 4 — Catastrófica poco probable: impacto alto pero excepcional"),IF(AND(T2078&lt;1.5,X2078&lt;1),"Zona 3 — Asumible: impacto bajo y muy poco frecuente","Zona 2 — Atención: riesgo intermedio"))</f>
        <v/>
      </c>
      <c r="AB2078" s="64">
        <f>IFERROR(INDEX(MgAmenCtrl,MATCH(SUBSTITUTE($H2078,"*","-"),MgAmenClave,0)),"")</f>
        <v/>
      </c>
      <c r="AC2078" s="20" t="n"/>
      <c r="AD2078" s="31">
        <f>IFERROR($X2078*(1-IF($AC2078="",$AL2078,VLOOKUP($AC2078,MgMad,2,0))),"")</f>
        <v/>
      </c>
      <c r="AE2078" s="28">
        <f>IFERROR(LOOKUP(AD2078,{0;0.01;0.1;1;10;100},{"Muy baja";"Muy baja";"Baja";"Media";"Alta";"Muy alta"}),"")</f>
        <v/>
      </c>
      <c r="AF2078" s="30">
        <f>T2078*AD2078</f>
        <v/>
      </c>
      <c r="AG2078" s="28">
        <f>IFERROR(LOOKUP(AF2078,{0;0.5;5;25},{"Bajo";"Medio";"Alto";"Crítico"}),"")</f>
        <v/>
      </c>
      <c r="AH2078" s="28">
        <f>IF(AG2078="","",IF(OR(AG2078="Crítico",AG2078="Alto"),"Mitigar",IF(AG2078="Medio","Mitigar","Aceptar y monitorear")))</f>
        <v/>
      </c>
      <c r="AI2078" s="21" t="n"/>
      <c r="AJ2078" s="21" t="n"/>
      <c r="AK2078" s="20" t="n"/>
      <c r="AL2078" s="77">
        <f>IFERROR(INDEX(MgAmenEfic,MATCH(SUBSTITUTE($H2078,"*","-"),MgAmenClave,0)),0)</f>
        <v/>
      </c>
    </row>
    <row r="2079" hidden="1" ht="60" customHeight="1" s="54">
      <c r="B2079" s="59" t="inlineStr">
        <is>
          <t>R-2074</t>
        </is>
      </c>
      <c r="C2079" s="59" t="inlineStr">
        <is>
          <t>TEC-014</t>
        </is>
      </c>
      <c r="D2079" s="64">
        <f>IFERROR(INDEX(MgNombre,MATCH($C2079,MgActId,0)),"")</f>
        <v/>
      </c>
      <c r="E2079" s="64">
        <f>IFERROR(INDEX(MgProceso,MATCH($C2079,MgActId,0)),"")</f>
        <v/>
      </c>
      <c r="F2079" s="64">
        <f>IFERROR(INDEX(MgTipo,MATCH($C2079,MgActId,0)),"")</f>
        <v/>
      </c>
      <c r="G2079" s="64">
        <f>IFERROR(INDEX(MgSubtipo,MATCH($C2079,MgActId,0)),"")</f>
        <v/>
      </c>
      <c r="H2079" s="59" t="inlineStr">
        <is>
          <t>A.18</t>
        </is>
      </c>
      <c r="I2079" s="64">
        <f>IFERROR(INDEX(MgAmenNombre,MATCH(SUBSTITUTE($H2079,"*","-"),MgAmenClave,0)),"")</f>
        <v/>
      </c>
      <c r="J2079" s="28">
        <f>IFERROR(INDEX(MgAmenGrupo,MATCH(SUBSTITUTE($H2079,"*","-"),MgAmenClave,0)),"")</f>
        <v/>
      </c>
      <c r="K2079" s="64">
        <f>IFERROR(INDEX('1. Matriz de Activos'!$Q$6:$Q$239,MATCH($C2079,MgActId,0)),"")</f>
        <v/>
      </c>
      <c r="L2079" s="64">
        <f>IFERROR(INDEX('1. Matriz de Activos'!$R$6:$R$239,MATCH($C2079,MgActId,0)),"")</f>
        <v/>
      </c>
      <c r="M2079" s="64">
        <f>IFERROR(INDEX('1. Matriz de Activos'!$S$6:$S$239,MATCH($C2079,MgActId,0)),"")</f>
        <v/>
      </c>
      <c r="N2079" s="28">
        <f>IFERROR(INDEX(MgAmenDegD,MATCH(SUBSTITUTE($H2079,"*","-"),MgAmenClave,0)),"No aplica")</f>
        <v/>
      </c>
      <c r="O2079" s="28">
        <f>IFERROR(INDEX(MgAmenDegI,MATCH(SUBSTITUTE($H2079,"*","-"),MgAmenClave,0)),"No aplica")</f>
        <v/>
      </c>
      <c r="P2079" s="28">
        <f>IFERROR(INDEX(MgAmenDegC,MATCH(SUBSTITUTE($H2079,"*","-"),MgAmenClave,0)),"No aplica")</f>
        <v/>
      </c>
      <c r="Q2079" s="29">
        <f>IFERROR(VLOOKUP(K2079,MgValor,2,0)*VLOOKUP(N2079,MgDeg,2,0),0)</f>
        <v/>
      </c>
      <c r="R2079" s="29">
        <f>IFERROR(VLOOKUP(L2079,MgValor,2,0)*VLOOKUP(O2079,MgDeg,2,0),0)</f>
        <v/>
      </c>
      <c r="S2079" s="29">
        <f>IFERROR(VLOOKUP(M2079,MgValor,2,0)*VLOOKUP(P2079,MgDeg,2,0),0)</f>
        <v/>
      </c>
      <c r="T2079" s="30">
        <f>MAX(Q2079:S2079)</f>
        <v/>
      </c>
      <c r="U2079" s="28">
        <f>IFERROR(LOOKUP(T2079,{0;0.5;1.5;3;4.5},{"Despreciable";"Bajo";"Medio";"Alto";"Muy alto"}),"")</f>
        <v/>
      </c>
      <c r="V2079" s="13">
        <f>IFERROR(INDEX(MgAmenFrec,MATCH(SUBSTITUTE($H2079,"*","-"),MgAmenClave,0)),"")</f>
        <v/>
      </c>
      <c r="W2079" s="28">
        <f>IFERROR(LOOKUP(X2079,{0;0.01;0.1;1;10;100},{"Muy baja";"Muy baja";"Baja";"Media";"Alta";"Muy alta"}),"")</f>
        <v/>
      </c>
      <c r="X2079" s="31">
        <f>IFERROR(VLOOKUP(V2079,MgFrec,2,0),0)</f>
        <v/>
      </c>
      <c r="Y2079" s="30">
        <f>T2079*X2079</f>
        <v/>
      </c>
      <c r="Z2079" s="28">
        <f>IFERROR(LOOKUP(Y2079,{0;0.5;5;25},{"Bajo";"Medio";"Alto";"Crítico"}),"")</f>
        <v/>
      </c>
      <c r="AA2079" s="64">
        <f>IF(T2079&gt;=3,IF(X2079&gt;=1,"Zona 1 — Crítica: impacto alto y ocurre al menos una vez al año","Zona 4 — Catastrófica poco probable: impacto alto pero excepcional"),IF(AND(T2079&lt;1.5,X2079&lt;1),"Zona 3 — Asumible: impacto bajo y muy poco frecuente","Zona 2 — Atención: riesgo intermedio"))</f>
        <v/>
      </c>
      <c r="AB2079" s="64">
        <f>IFERROR(INDEX(MgAmenCtrl,MATCH(SUBSTITUTE($H2079,"*","-"),MgAmenClave,0)),"")</f>
        <v/>
      </c>
      <c r="AC2079" s="20" t="n"/>
      <c r="AD2079" s="31">
        <f>IFERROR($X2079*(1-IF($AC2079="",$AL2079,VLOOKUP($AC2079,MgMad,2,0))),"")</f>
        <v/>
      </c>
      <c r="AE2079" s="28">
        <f>IFERROR(LOOKUP(AD2079,{0;0.01;0.1;1;10;100},{"Muy baja";"Muy baja";"Baja";"Media";"Alta";"Muy alta"}),"")</f>
        <v/>
      </c>
      <c r="AF2079" s="30">
        <f>T2079*AD2079</f>
        <v/>
      </c>
      <c r="AG2079" s="28">
        <f>IFERROR(LOOKUP(AF2079,{0;0.5;5;25},{"Bajo";"Medio";"Alto";"Crítico"}),"")</f>
        <v/>
      </c>
      <c r="AH2079" s="28">
        <f>IF(AG2079="","",IF(OR(AG2079="Crítico",AG2079="Alto"),"Mitigar",IF(AG2079="Medio","Mitigar","Aceptar y monitorear")))</f>
        <v/>
      </c>
      <c r="AI2079" s="21" t="n"/>
      <c r="AJ2079" s="21" t="n"/>
      <c r="AK2079" s="20" t="n"/>
      <c r="AL2079" s="77">
        <f>IFERROR(INDEX(MgAmenEfic,MATCH(SUBSTITUTE($H2079,"*","-"),MgAmenClave,0)),0)</f>
        <v/>
      </c>
    </row>
    <row r="2080" hidden="1" ht="120" customHeight="1" s="54">
      <c r="B2080" s="59" t="inlineStr">
        <is>
          <t>R-2075</t>
        </is>
      </c>
      <c r="C2080" s="59" t="inlineStr">
        <is>
          <t>TEC-014</t>
        </is>
      </c>
      <c r="D2080" s="64">
        <f>IFERROR(INDEX(MgNombre,MATCH($C2080,MgActId,0)),"")</f>
        <v/>
      </c>
      <c r="E2080" s="64">
        <f>IFERROR(INDEX(MgProceso,MATCH($C2080,MgActId,0)),"")</f>
        <v/>
      </c>
      <c r="F2080" s="64">
        <f>IFERROR(INDEX(MgTipo,MATCH($C2080,MgActId,0)),"")</f>
        <v/>
      </c>
      <c r="G2080" s="64">
        <f>IFERROR(INDEX(MgSubtipo,MATCH($C2080,MgActId,0)),"")</f>
        <v/>
      </c>
      <c r="H2080" s="59" t="inlineStr">
        <is>
          <t>A.19</t>
        </is>
      </c>
      <c r="I2080" s="64">
        <f>IFERROR(INDEX(MgAmenNombre,MATCH(SUBSTITUTE($H2080,"*","-"),MgAmenClave,0)),"")</f>
        <v/>
      </c>
      <c r="J2080" s="28">
        <f>IFERROR(INDEX(MgAmenGrupo,MATCH(SUBSTITUTE($H2080,"*","-"),MgAmenClave,0)),"")</f>
        <v/>
      </c>
      <c r="K2080" s="64">
        <f>IFERROR(INDEX('1. Matriz de Activos'!$Q$6:$Q$239,MATCH($C2080,MgActId,0)),"")</f>
        <v/>
      </c>
      <c r="L2080" s="64">
        <f>IFERROR(INDEX('1. Matriz de Activos'!$R$6:$R$239,MATCH($C2080,MgActId,0)),"")</f>
        <v/>
      </c>
      <c r="M2080" s="64">
        <f>IFERROR(INDEX('1. Matriz de Activos'!$S$6:$S$239,MATCH($C2080,MgActId,0)),"")</f>
        <v/>
      </c>
      <c r="N2080" s="28">
        <f>IFERROR(INDEX(MgAmenDegD,MATCH(SUBSTITUTE($H2080,"*","-"),MgAmenClave,0)),"No aplica")</f>
        <v/>
      </c>
      <c r="O2080" s="28">
        <f>IFERROR(INDEX(MgAmenDegI,MATCH(SUBSTITUTE($H2080,"*","-"),MgAmenClave,0)),"No aplica")</f>
        <v/>
      </c>
      <c r="P2080" s="28">
        <f>IFERROR(INDEX(MgAmenDegC,MATCH(SUBSTITUTE($H2080,"*","-"),MgAmenClave,0)),"No aplica")</f>
        <v/>
      </c>
      <c r="Q2080" s="29">
        <f>IFERROR(VLOOKUP(K2080,MgValor,2,0)*VLOOKUP(N2080,MgDeg,2,0),0)</f>
        <v/>
      </c>
      <c r="R2080" s="29">
        <f>IFERROR(VLOOKUP(L2080,MgValor,2,0)*VLOOKUP(O2080,MgDeg,2,0),0)</f>
        <v/>
      </c>
      <c r="S2080" s="29">
        <f>IFERROR(VLOOKUP(M2080,MgValor,2,0)*VLOOKUP(P2080,MgDeg,2,0),0)</f>
        <v/>
      </c>
      <c r="T2080" s="30">
        <f>MAX(Q2080:S2080)</f>
        <v/>
      </c>
      <c r="U2080" s="28">
        <f>IFERROR(LOOKUP(T2080,{0;0.5;1.5;3;4.5},{"Despreciable";"Bajo";"Medio";"Alto";"Muy alto"}),"")</f>
        <v/>
      </c>
      <c r="V2080" s="13">
        <f>IFERROR(INDEX(MgAmenFrec,MATCH(SUBSTITUTE($H2080,"*","-"),MgAmenClave,0)),"")</f>
        <v/>
      </c>
      <c r="W2080" s="28">
        <f>IFERROR(LOOKUP(X2080,{0;0.01;0.1;1;10;100},{"Muy baja";"Muy baja";"Baja";"Media";"Alta";"Muy alta"}),"")</f>
        <v/>
      </c>
      <c r="X2080" s="31">
        <f>IFERROR(VLOOKUP(V2080,MgFrec,2,0),0)</f>
        <v/>
      </c>
      <c r="Y2080" s="30">
        <f>T2080*X2080</f>
        <v/>
      </c>
      <c r="Z2080" s="28">
        <f>IFERROR(LOOKUP(Y2080,{0;0.5;5;25},{"Bajo";"Medio";"Alto";"Crítico"}),"")</f>
        <v/>
      </c>
      <c r="AA2080" s="64">
        <f>IF(T2080&gt;=3,IF(X2080&gt;=1,"Zona 1 — Crítica: impacto alto y ocurre al menos una vez al año","Zona 4 — Catastrófica poco probable: impacto alto pero excepcional"),IF(AND(T2080&lt;1.5,X2080&lt;1),"Zona 3 — Asumible: impacto bajo y muy poco frecuente","Zona 2 — Atención: riesgo intermedio"))</f>
        <v/>
      </c>
      <c r="AB2080" s="64">
        <f>IFERROR(INDEX(MgAmenCtrl,MATCH(SUBSTITUTE($H2080,"*","-"),MgAmenClave,0)),"")</f>
        <v/>
      </c>
      <c r="AC2080" s="20" t="n"/>
      <c r="AD2080" s="31">
        <f>IFERROR($X2080*(1-IF($AC2080="",$AL2080,VLOOKUP($AC2080,MgMad,2,0))),"")</f>
        <v/>
      </c>
      <c r="AE2080" s="28">
        <f>IFERROR(LOOKUP(AD2080,{0;0.01;0.1;1;10;100},{"Muy baja";"Muy baja";"Baja";"Media";"Alta";"Muy alta"}),"")</f>
        <v/>
      </c>
      <c r="AF2080" s="30">
        <f>T2080*AD2080</f>
        <v/>
      </c>
      <c r="AG2080" s="28">
        <f>IFERROR(LOOKUP(AF2080,{0;0.5;5;25},{"Bajo";"Medio";"Alto";"Crítico"}),"")</f>
        <v/>
      </c>
      <c r="AH2080" s="28">
        <f>IF(AG2080="","",IF(OR(AG2080="Crítico",AG2080="Alto"),"Mitigar",IF(AG2080="Medio","Mitigar","Aceptar y monitorear")))</f>
        <v/>
      </c>
      <c r="AI2080" s="21" t="n"/>
      <c r="AJ2080" s="21" t="n"/>
      <c r="AK2080" s="20" t="n"/>
      <c r="AL2080" s="77">
        <f>IFERROR(INDEX(MgAmenEfic,MATCH(SUBSTITUTE($H2080,"*","-"),MgAmenClave,0)),0)</f>
        <v/>
      </c>
    </row>
    <row r="2081" hidden="1" ht="60" customHeight="1" s="54">
      <c r="B2081" s="59" t="inlineStr">
        <is>
          <t>R-2076</t>
        </is>
      </c>
      <c r="C2081" s="59" t="inlineStr">
        <is>
          <t>TEC-014</t>
        </is>
      </c>
      <c r="D2081" s="64">
        <f>IFERROR(INDEX(MgNombre,MATCH($C2081,MgActId,0)),"")</f>
        <v/>
      </c>
      <c r="E2081" s="64">
        <f>IFERROR(INDEX(MgProceso,MATCH($C2081,MgActId,0)),"")</f>
        <v/>
      </c>
      <c r="F2081" s="64">
        <f>IFERROR(INDEX(MgTipo,MATCH($C2081,MgActId,0)),"")</f>
        <v/>
      </c>
      <c r="G2081" s="64">
        <f>IFERROR(INDEX(MgSubtipo,MATCH($C2081,MgActId,0)),"")</f>
        <v/>
      </c>
      <c r="H2081" s="59" t="inlineStr">
        <is>
          <t>A.24</t>
        </is>
      </c>
      <c r="I2081" s="64">
        <f>IFERROR(INDEX(MgAmenNombre,MATCH(SUBSTITUTE($H2081,"*","-"),MgAmenClave,0)),"")</f>
        <v/>
      </c>
      <c r="J2081" s="28">
        <f>IFERROR(INDEX(MgAmenGrupo,MATCH(SUBSTITUTE($H2081,"*","-"),MgAmenClave,0)),"")</f>
        <v/>
      </c>
      <c r="K2081" s="64">
        <f>IFERROR(INDEX('1. Matriz de Activos'!$Q$6:$Q$239,MATCH($C2081,MgActId,0)),"")</f>
        <v/>
      </c>
      <c r="L2081" s="64">
        <f>IFERROR(INDEX('1. Matriz de Activos'!$R$6:$R$239,MATCH($C2081,MgActId,0)),"")</f>
        <v/>
      </c>
      <c r="M2081" s="64">
        <f>IFERROR(INDEX('1. Matriz de Activos'!$S$6:$S$239,MATCH($C2081,MgActId,0)),"")</f>
        <v/>
      </c>
      <c r="N2081" s="28">
        <f>IFERROR(INDEX(MgAmenDegD,MATCH(SUBSTITUTE($H2081,"*","-"),MgAmenClave,0)),"No aplica")</f>
        <v/>
      </c>
      <c r="O2081" s="28">
        <f>IFERROR(INDEX(MgAmenDegI,MATCH(SUBSTITUTE($H2081,"*","-"),MgAmenClave,0)),"No aplica")</f>
        <v/>
      </c>
      <c r="P2081" s="28">
        <f>IFERROR(INDEX(MgAmenDegC,MATCH(SUBSTITUTE($H2081,"*","-"),MgAmenClave,0)),"No aplica")</f>
        <v/>
      </c>
      <c r="Q2081" s="29">
        <f>IFERROR(VLOOKUP(K2081,MgValor,2,0)*VLOOKUP(N2081,MgDeg,2,0),0)</f>
        <v/>
      </c>
      <c r="R2081" s="29">
        <f>IFERROR(VLOOKUP(L2081,MgValor,2,0)*VLOOKUP(O2081,MgDeg,2,0),0)</f>
        <v/>
      </c>
      <c r="S2081" s="29">
        <f>IFERROR(VLOOKUP(M2081,MgValor,2,0)*VLOOKUP(P2081,MgDeg,2,0),0)</f>
        <v/>
      </c>
      <c r="T2081" s="30">
        <f>MAX(Q2081:S2081)</f>
        <v/>
      </c>
      <c r="U2081" s="28">
        <f>IFERROR(LOOKUP(T2081,{0;0.5;1.5;3;4.5},{"Despreciable";"Bajo";"Medio";"Alto";"Muy alto"}),"")</f>
        <v/>
      </c>
      <c r="V2081" s="13">
        <f>IFERROR(INDEX(MgAmenFrec,MATCH(SUBSTITUTE($H2081,"*","-"),MgAmenClave,0)),"")</f>
        <v/>
      </c>
      <c r="W2081" s="28">
        <f>IFERROR(LOOKUP(X2081,{0;0.01;0.1;1;10;100},{"Muy baja";"Muy baja";"Baja";"Media";"Alta";"Muy alta"}),"")</f>
        <v/>
      </c>
      <c r="X2081" s="31">
        <f>IFERROR(VLOOKUP(V2081,MgFrec,2,0),0)</f>
        <v/>
      </c>
      <c r="Y2081" s="30">
        <f>T2081*X2081</f>
        <v/>
      </c>
      <c r="Z2081" s="28">
        <f>IFERROR(LOOKUP(Y2081,{0;0.5;5;25},{"Bajo";"Medio";"Alto";"Crítico"}),"")</f>
        <v/>
      </c>
      <c r="AA2081" s="64">
        <f>IF(T2081&gt;=3,IF(X2081&gt;=1,"Zona 1 — Crítica: impacto alto y ocurre al menos una vez al año","Zona 4 — Catastrófica poco probable: impacto alto pero excepcional"),IF(AND(T2081&lt;1.5,X2081&lt;1),"Zona 3 — Asumible: impacto bajo y muy poco frecuente","Zona 2 — Atención: riesgo intermedio"))</f>
        <v/>
      </c>
      <c r="AB2081" s="64">
        <f>IFERROR(INDEX(MgAmenCtrl,MATCH(SUBSTITUTE($H2081,"*","-"),MgAmenClave,0)),"")</f>
        <v/>
      </c>
      <c r="AC2081" s="20" t="n"/>
      <c r="AD2081" s="31">
        <f>IFERROR($X2081*(1-IF($AC2081="",$AL2081,VLOOKUP($AC2081,MgMad,2,0))),"")</f>
        <v/>
      </c>
      <c r="AE2081" s="28">
        <f>IFERROR(LOOKUP(AD2081,{0;0.01;0.1;1;10;100},{"Muy baja";"Muy baja";"Baja";"Media";"Alta";"Muy alta"}),"")</f>
        <v/>
      </c>
      <c r="AF2081" s="30">
        <f>T2081*AD2081</f>
        <v/>
      </c>
      <c r="AG2081" s="28">
        <f>IFERROR(LOOKUP(AF2081,{0;0.5;5;25},{"Bajo";"Medio";"Alto";"Crítico"}),"")</f>
        <v/>
      </c>
      <c r="AH2081" s="28">
        <f>IF(AG2081="","",IF(OR(AG2081="Crítico",AG2081="Alto"),"Mitigar",IF(AG2081="Medio","Mitigar","Aceptar y monitorear")))</f>
        <v/>
      </c>
      <c r="AI2081" s="21" t="n"/>
      <c r="AJ2081" s="21" t="n"/>
      <c r="AK2081" s="20" t="n"/>
      <c r="AL2081" s="77">
        <f>IFERROR(INDEX(MgAmenEfic,MATCH(SUBSTITUTE($H2081,"*","-"),MgAmenClave,0)),0)</f>
        <v/>
      </c>
    </row>
    <row r="2082" hidden="1" ht="105" customHeight="1" s="54">
      <c r="B2082" s="59" t="inlineStr">
        <is>
          <t>R-2077</t>
        </is>
      </c>
      <c r="C2082" s="59" t="inlineStr">
        <is>
          <t>MS-02</t>
        </is>
      </c>
      <c r="D2082" s="64">
        <f>IFERROR(INDEX(MgNombre,MATCH($C2082,MgActId,0)),"")</f>
        <v/>
      </c>
      <c r="E2082" s="64">
        <f>IFERROR(INDEX(MgProceso,MATCH($C2082,MgActId,0)),"")</f>
        <v/>
      </c>
      <c r="F2082" s="64">
        <f>IFERROR(INDEX(MgTipo,MATCH($C2082,MgActId,0)),"")</f>
        <v/>
      </c>
      <c r="G2082" s="64">
        <f>IFERROR(INDEX(MgSubtipo,MATCH($C2082,MgActId,0)),"")</f>
        <v/>
      </c>
      <c r="H2082" s="59" t="inlineStr">
        <is>
          <t>E.1</t>
        </is>
      </c>
      <c r="I2082" s="64">
        <f>IFERROR(INDEX(MgAmenNombre,MATCH(SUBSTITUTE($H2082,"*","-"),MgAmenClave,0)),"")</f>
        <v/>
      </c>
      <c r="J2082" s="28">
        <f>IFERROR(INDEX(MgAmenGrupo,MATCH(SUBSTITUTE($H2082,"*","-"),MgAmenClave,0)),"")</f>
        <v/>
      </c>
      <c r="K2082" s="64">
        <f>IFERROR(INDEX('1. Matriz de Activos'!$Q$6:$Q$239,MATCH($C2082,MgActId,0)),"")</f>
        <v/>
      </c>
      <c r="L2082" s="64">
        <f>IFERROR(INDEX('1. Matriz de Activos'!$R$6:$R$239,MATCH($C2082,MgActId,0)),"")</f>
        <v/>
      </c>
      <c r="M2082" s="64">
        <f>IFERROR(INDEX('1. Matriz de Activos'!$S$6:$S$239,MATCH($C2082,MgActId,0)),"")</f>
        <v/>
      </c>
      <c r="N2082" s="28">
        <f>IFERROR(INDEX(MgAmenDegD,MATCH(SUBSTITUTE($H2082,"*","-"),MgAmenClave,0)),"No aplica")</f>
        <v/>
      </c>
      <c r="O2082" s="28">
        <f>IFERROR(INDEX(MgAmenDegI,MATCH(SUBSTITUTE($H2082,"*","-"),MgAmenClave,0)),"No aplica")</f>
        <v/>
      </c>
      <c r="P2082" s="28">
        <f>IFERROR(INDEX(MgAmenDegC,MATCH(SUBSTITUTE($H2082,"*","-"),MgAmenClave,0)),"No aplica")</f>
        <v/>
      </c>
      <c r="Q2082" s="29">
        <f>IFERROR(VLOOKUP(K2082,MgValor,2,0)*VLOOKUP(N2082,MgDeg,2,0),0)</f>
        <v/>
      </c>
      <c r="R2082" s="29">
        <f>IFERROR(VLOOKUP(L2082,MgValor,2,0)*VLOOKUP(O2082,MgDeg,2,0),0)</f>
        <v/>
      </c>
      <c r="S2082" s="29">
        <f>IFERROR(VLOOKUP(M2082,MgValor,2,0)*VLOOKUP(P2082,MgDeg,2,0),0)</f>
        <v/>
      </c>
      <c r="T2082" s="30">
        <f>MAX(Q2082:S2082)</f>
        <v/>
      </c>
      <c r="U2082" s="28">
        <f>IFERROR(LOOKUP(T2082,{0;0.5;1.5;3;4.5},{"Despreciable";"Bajo";"Medio";"Alto";"Muy alto"}),"")</f>
        <v/>
      </c>
      <c r="V2082" s="13">
        <f>IFERROR(INDEX(MgAmenFrec,MATCH(SUBSTITUTE($H2082,"*","-"),MgAmenClave,0)),"")</f>
        <v/>
      </c>
      <c r="W2082" s="28">
        <f>IFERROR(LOOKUP(X2082,{0;0.01;0.1;1;10;100},{"Muy baja";"Muy baja";"Baja";"Media";"Alta";"Muy alta"}),"")</f>
        <v/>
      </c>
      <c r="X2082" s="31">
        <f>IFERROR(VLOOKUP(V2082,MgFrec,2,0),0)</f>
        <v/>
      </c>
      <c r="Y2082" s="30">
        <f>T2082*X2082</f>
        <v/>
      </c>
      <c r="Z2082" s="28">
        <f>IFERROR(LOOKUP(Y2082,{0;0.5;5;25},{"Bajo";"Medio";"Alto";"Crítico"}),"")</f>
        <v/>
      </c>
      <c r="AA2082" s="64">
        <f>IF(T2082&gt;=3,IF(X2082&gt;=1,"Zona 1 — Crítica: impacto alto y ocurre al menos una vez al año","Zona 4 — Catastrófica poco probable: impacto alto pero excepcional"),IF(AND(T2082&lt;1.5,X2082&lt;1),"Zona 3 — Asumible: impacto bajo y muy poco frecuente","Zona 2 — Atención: riesgo intermedio"))</f>
        <v/>
      </c>
      <c r="AB2082" s="64">
        <f>IFERROR(INDEX(MgAmenCtrl,MATCH(SUBSTITUTE($H2082,"*","-"),MgAmenClave,0)),"")</f>
        <v/>
      </c>
      <c r="AC2082" s="20" t="n"/>
      <c r="AD2082" s="31">
        <f>IFERROR($X2082*(1-IF($AC2082="",$AL2082,VLOOKUP($AC2082,MgMad,2,0))),"")</f>
        <v/>
      </c>
      <c r="AE2082" s="28">
        <f>IFERROR(LOOKUP(AD2082,{0;0.01;0.1;1;10;100},{"Muy baja";"Muy baja";"Baja";"Media";"Alta";"Muy alta"}),"")</f>
        <v/>
      </c>
      <c r="AF2082" s="30">
        <f>T2082*AD2082</f>
        <v/>
      </c>
      <c r="AG2082" s="28">
        <f>IFERROR(LOOKUP(AF2082,{0;0.5;5;25},{"Bajo";"Medio";"Alto";"Crítico"}),"")</f>
        <v/>
      </c>
      <c r="AH2082" s="28">
        <f>IF(AG2082="","",IF(OR(AG2082="Crítico",AG2082="Alto"),"Mitigar",IF(AG2082="Medio","Mitigar","Aceptar y monitorear")))</f>
        <v/>
      </c>
      <c r="AI2082" s="21" t="n"/>
      <c r="AJ2082" s="21" t="n"/>
      <c r="AK2082" s="20" t="n"/>
      <c r="AL2082" s="77">
        <f>IFERROR(INDEX(MgAmenEfic,MATCH(SUBSTITUTE($H2082,"*","-"),MgAmenClave,0)),0)</f>
        <v/>
      </c>
    </row>
    <row r="2083" hidden="1" ht="120" customHeight="1" s="54">
      <c r="B2083" s="59" t="inlineStr">
        <is>
          <t>R-2078</t>
        </is>
      </c>
      <c r="C2083" s="59" t="inlineStr">
        <is>
          <t>MS-02</t>
        </is>
      </c>
      <c r="D2083" s="64">
        <f>IFERROR(INDEX(MgNombre,MATCH($C2083,MgActId,0)),"")</f>
        <v/>
      </c>
      <c r="E2083" s="64">
        <f>IFERROR(INDEX(MgProceso,MATCH($C2083,MgActId,0)),"")</f>
        <v/>
      </c>
      <c r="F2083" s="64">
        <f>IFERROR(INDEX(MgTipo,MATCH($C2083,MgActId,0)),"")</f>
        <v/>
      </c>
      <c r="G2083" s="64">
        <f>IFERROR(INDEX(MgSubtipo,MATCH($C2083,MgActId,0)),"")</f>
        <v/>
      </c>
      <c r="H2083" s="59" t="inlineStr">
        <is>
          <t>E.2</t>
        </is>
      </c>
      <c r="I2083" s="64">
        <f>IFERROR(INDEX(MgAmenNombre,MATCH(SUBSTITUTE($H2083,"*","-"),MgAmenClave,0)),"")</f>
        <v/>
      </c>
      <c r="J2083" s="28">
        <f>IFERROR(INDEX(MgAmenGrupo,MATCH(SUBSTITUTE($H2083,"*","-"),MgAmenClave,0)),"")</f>
        <v/>
      </c>
      <c r="K2083" s="64">
        <f>IFERROR(INDEX('1. Matriz de Activos'!$Q$6:$Q$239,MATCH($C2083,MgActId,0)),"")</f>
        <v/>
      </c>
      <c r="L2083" s="64">
        <f>IFERROR(INDEX('1. Matriz de Activos'!$R$6:$R$239,MATCH($C2083,MgActId,0)),"")</f>
        <v/>
      </c>
      <c r="M2083" s="64">
        <f>IFERROR(INDEX('1. Matriz de Activos'!$S$6:$S$239,MATCH($C2083,MgActId,0)),"")</f>
        <v/>
      </c>
      <c r="N2083" s="28">
        <f>IFERROR(INDEX(MgAmenDegD,MATCH(SUBSTITUTE($H2083,"*","-"),MgAmenClave,0)),"No aplica")</f>
        <v/>
      </c>
      <c r="O2083" s="28">
        <f>IFERROR(INDEX(MgAmenDegI,MATCH(SUBSTITUTE($H2083,"*","-"),MgAmenClave,0)),"No aplica")</f>
        <v/>
      </c>
      <c r="P2083" s="28">
        <f>IFERROR(INDEX(MgAmenDegC,MATCH(SUBSTITUTE($H2083,"*","-"),MgAmenClave,0)),"No aplica")</f>
        <v/>
      </c>
      <c r="Q2083" s="29">
        <f>IFERROR(VLOOKUP(K2083,MgValor,2,0)*VLOOKUP(N2083,MgDeg,2,0),0)</f>
        <v/>
      </c>
      <c r="R2083" s="29">
        <f>IFERROR(VLOOKUP(L2083,MgValor,2,0)*VLOOKUP(O2083,MgDeg,2,0),0)</f>
        <v/>
      </c>
      <c r="S2083" s="29">
        <f>IFERROR(VLOOKUP(M2083,MgValor,2,0)*VLOOKUP(P2083,MgDeg,2,0),0)</f>
        <v/>
      </c>
      <c r="T2083" s="30">
        <f>MAX(Q2083:S2083)</f>
        <v/>
      </c>
      <c r="U2083" s="28">
        <f>IFERROR(LOOKUP(T2083,{0;0.5;1.5;3;4.5},{"Despreciable";"Bajo";"Medio";"Alto";"Muy alto"}),"")</f>
        <v/>
      </c>
      <c r="V2083" s="13">
        <f>IFERROR(INDEX(MgAmenFrec,MATCH(SUBSTITUTE($H2083,"*","-"),MgAmenClave,0)),"")</f>
        <v/>
      </c>
      <c r="W2083" s="28">
        <f>IFERROR(LOOKUP(X2083,{0;0.01;0.1;1;10;100},{"Muy baja";"Muy baja";"Baja";"Media";"Alta";"Muy alta"}),"")</f>
        <v/>
      </c>
      <c r="X2083" s="31">
        <f>IFERROR(VLOOKUP(V2083,MgFrec,2,0),0)</f>
        <v/>
      </c>
      <c r="Y2083" s="30">
        <f>T2083*X2083</f>
        <v/>
      </c>
      <c r="Z2083" s="28">
        <f>IFERROR(LOOKUP(Y2083,{0;0.5;5;25},{"Bajo";"Medio";"Alto";"Crítico"}),"")</f>
        <v/>
      </c>
      <c r="AA2083" s="64">
        <f>IF(T2083&gt;=3,IF(X2083&gt;=1,"Zona 1 — Crítica: impacto alto y ocurre al menos una vez al año","Zona 4 — Catastrófica poco probable: impacto alto pero excepcional"),IF(AND(T2083&lt;1.5,X2083&lt;1),"Zona 3 — Asumible: impacto bajo y muy poco frecuente","Zona 2 — Atención: riesgo intermedio"))</f>
        <v/>
      </c>
      <c r="AB2083" s="64">
        <f>IFERROR(INDEX(MgAmenCtrl,MATCH(SUBSTITUTE($H2083,"*","-"),MgAmenClave,0)),"")</f>
        <v/>
      </c>
      <c r="AC2083" s="20" t="n"/>
      <c r="AD2083" s="31">
        <f>IFERROR($X2083*(1-IF($AC2083="",$AL2083,VLOOKUP($AC2083,MgMad,2,0))),"")</f>
        <v/>
      </c>
      <c r="AE2083" s="28">
        <f>IFERROR(LOOKUP(AD2083,{0;0.01;0.1;1;10;100},{"Muy baja";"Muy baja";"Baja";"Media";"Alta";"Muy alta"}),"")</f>
        <v/>
      </c>
      <c r="AF2083" s="30">
        <f>T2083*AD2083</f>
        <v/>
      </c>
      <c r="AG2083" s="28">
        <f>IFERROR(LOOKUP(AF2083,{0;0.5;5;25},{"Bajo";"Medio";"Alto";"Crítico"}),"")</f>
        <v/>
      </c>
      <c r="AH2083" s="28">
        <f>IF(AG2083="","",IF(OR(AG2083="Crítico",AG2083="Alto"),"Mitigar",IF(AG2083="Medio","Mitigar","Aceptar y monitorear")))</f>
        <v/>
      </c>
      <c r="AI2083" s="21" t="n"/>
      <c r="AJ2083" s="21" t="n"/>
      <c r="AK2083" s="20" t="n"/>
      <c r="AL2083" s="77">
        <f>IFERROR(INDEX(MgAmenEfic,MATCH(SUBSTITUTE($H2083,"*","-"),MgAmenClave,0)),0)</f>
        <v/>
      </c>
    </row>
    <row r="2084" hidden="1" ht="60" customHeight="1" s="54">
      <c r="B2084" s="59" t="inlineStr">
        <is>
          <t>R-2079</t>
        </is>
      </c>
      <c r="C2084" s="59" t="inlineStr">
        <is>
          <t>MS-02</t>
        </is>
      </c>
      <c r="D2084" s="64">
        <f>IFERROR(INDEX(MgNombre,MATCH($C2084,MgActId,0)),"")</f>
        <v/>
      </c>
      <c r="E2084" s="64">
        <f>IFERROR(INDEX(MgProceso,MATCH($C2084,MgActId,0)),"")</f>
        <v/>
      </c>
      <c r="F2084" s="64">
        <f>IFERROR(INDEX(MgTipo,MATCH($C2084,MgActId,0)),"")</f>
        <v/>
      </c>
      <c r="G2084" s="64">
        <f>IFERROR(INDEX(MgSubtipo,MATCH($C2084,MgActId,0)),"")</f>
        <v/>
      </c>
      <c r="H2084" s="59" t="inlineStr">
        <is>
          <t>E.9</t>
        </is>
      </c>
      <c r="I2084" s="64">
        <f>IFERROR(INDEX(MgAmenNombre,MATCH(SUBSTITUTE($H2084,"*","-"),MgAmenClave,0)),"")</f>
        <v/>
      </c>
      <c r="J2084" s="28">
        <f>IFERROR(INDEX(MgAmenGrupo,MATCH(SUBSTITUTE($H2084,"*","-"),MgAmenClave,0)),"")</f>
        <v/>
      </c>
      <c r="K2084" s="64">
        <f>IFERROR(INDEX('1. Matriz de Activos'!$Q$6:$Q$239,MATCH($C2084,MgActId,0)),"")</f>
        <v/>
      </c>
      <c r="L2084" s="64">
        <f>IFERROR(INDEX('1. Matriz de Activos'!$R$6:$R$239,MATCH($C2084,MgActId,0)),"")</f>
        <v/>
      </c>
      <c r="M2084" s="64">
        <f>IFERROR(INDEX('1. Matriz de Activos'!$S$6:$S$239,MATCH($C2084,MgActId,0)),"")</f>
        <v/>
      </c>
      <c r="N2084" s="28">
        <f>IFERROR(INDEX(MgAmenDegD,MATCH(SUBSTITUTE($H2084,"*","-"),MgAmenClave,0)),"No aplica")</f>
        <v/>
      </c>
      <c r="O2084" s="28">
        <f>IFERROR(INDEX(MgAmenDegI,MATCH(SUBSTITUTE($H2084,"*","-"),MgAmenClave,0)),"No aplica")</f>
        <v/>
      </c>
      <c r="P2084" s="28">
        <f>IFERROR(INDEX(MgAmenDegC,MATCH(SUBSTITUTE($H2084,"*","-"),MgAmenClave,0)),"No aplica")</f>
        <v/>
      </c>
      <c r="Q2084" s="29">
        <f>IFERROR(VLOOKUP(K2084,MgValor,2,0)*VLOOKUP(N2084,MgDeg,2,0),0)</f>
        <v/>
      </c>
      <c r="R2084" s="29">
        <f>IFERROR(VLOOKUP(L2084,MgValor,2,0)*VLOOKUP(O2084,MgDeg,2,0),0)</f>
        <v/>
      </c>
      <c r="S2084" s="29">
        <f>IFERROR(VLOOKUP(M2084,MgValor,2,0)*VLOOKUP(P2084,MgDeg,2,0),0)</f>
        <v/>
      </c>
      <c r="T2084" s="30">
        <f>MAX(Q2084:S2084)</f>
        <v/>
      </c>
      <c r="U2084" s="28">
        <f>IFERROR(LOOKUP(T2084,{0;0.5;1.5;3;4.5},{"Despreciable";"Bajo";"Medio";"Alto";"Muy alto"}),"")</f>
        <v/>
      </c>
      <c r="V2084" s="13">
        <f>IFERROR(INDEX(MgAmenFrec,MATCH(SUBSTITUTE($H2084,"*","-"),MgAmenClave,0)),"")</f>
        <v/>
      </c>
      <c r="W2084" s="28">
        <f>IFERROR(LOOKUP(X2084,{0;0.01;0.1;1;10;100},{"Muy baja";"Muy baja";"Baja";"Media";"Alta";"Muy alta"}),"")</f>
        <v/>
      </c>
      <c r="X2084" s="31">
        <f>IFERROR(VLOOKUP(V2084,MgFrec,2,0),0)</f>
        <v/>
      </c>
      <c r="Y2084" s="30">
        <f>T2084*X2084</f>
        <v/>
      </c>
      <c r="Z2084" s="28">
        <f>IFERROR(LOOKUP(Y2084,{0;0.5;5;25},{"Bajo";"Medio";"Alto";"Crítico"}),"")</f>
        <v/>
      </c>
      <c r="AA2084" s="64">
        <f>IF(T2084&gt;=3,IF(X2084&gt;=1,"Zona 1 — Crítica: impacto alto y ocurre al menos una vez al año","Zona 4 — Catastrófica poco probable: impacto alto pero excepcional"),IF(AND(T2084&lt;1.5,X2084&lt;1),"Zona 3 — Asumible: impacto bajo y muy poco frecuente","Zona 2 — Atención: riesgo intermedio"))</f>
        <v/>
      </c>
      <c r="AB2084" s="64">
        <f>IFERROR(INDEX(MgAmenCtrl,MATCH(SUBSTITUTE($H2084,"*","-"),MgAmenClave,0)),"")</f>
        <v/>
      </c>
      <c r="AC2084" s="20" t="n"/>
      <c r="AD2084" s="31">
        <f>IFERROR($X2084*(1-IF($AC2084="",$AL2084,VLOOKUP($AC2084,MgMad,2,0))),"")</f>
        <v/>
      </c>
      <c r="AE2084" s="28">
        <f>IFERROR(LOOKUP(AD2084,{0;0.01;0.1;1;10;100},{"Muy baja";"Muy baja";"Baja";"Media";"Alta";"Muy alta"}),"")</f>
        <v/>
      </c>
      <c r="AF2084" s="30">
        <f>T2084*AD2084</f>
        <v/>
      </c>
      <c r="AG2084" s="28">
        <f>IFERROR(LOOKUP(AF2084,{0;0.5;5;25},{"Bajo";"Medio";"Alto";"Crítico"}),"")</f>
        <v/>
      </c>
      <c r="AH2084" s="28">
        <f>IF(AG2084="","",IF(OR(AG2084="Crítico",AG2084="Alto"),"Mitigar",IF(AG2084="Medio","Mitigar","Aceptar y monitorear")))</f>
        <v/>
      </c>
      <c r="AI2084" s="21" t="n"/>
      <c r="AJ2084" s="21" t="n"/>
      <c r="AK2084" s="20" t="n"/>
      <c r="AL2084" s="77">
        <f>IFERROR(INDEX(MgAmenEfic,MATCH(SUBSTITUTE($H2084,"*","-"),MgAmenClave,0)),0)</f>
        <v/>
      </c>
    </row>
    <row r="2085" hidden="1" ht="90" customHeight="1" s="54">
      <c r="B2085" s="59" t="inlineStr">
        <is>
          <t>R-2080</t>
        </is>
      </c>
      <c r="C2085" s="59" t="inlineStr">
        <is>
          <t>MS-02</t>
        </is>
      </c>
      <c r="D2085" s="64">
        <f>IFERROR(INDEX(MgNombre,MATCH($C2085,MgActId,0)),"")</f>
        <v/>
      </c>
      <c r="E2085" s="64">
        <f>IFERROR(INDEX(MgProceso,MATCH($C2085,MgActId,0)),"")</f>
        <v/>
      </c>
      <c r="F2085" s="64">
        <f>IFERROR(INDEX(MgTipo,MATCH($C2085,MgActId,0)),"")</f>
        <v/>
      </c>
      <c r="G2085" s="64">
        <f>IFERROR(INDEX(MgSubtipo,MATCH($C2085,MgActId,0)),"")</f>
        <v/>
      </c>
      <c r="H2085" s="59" t="inlineStr">
        <is>
          <t>E.10</t>
        </is>
      </c>
      <c r="I2085" s="64">
        <f>IFERROR(INDEX(MgAmenNombre,MATCH(SUBSTITUTE($H2085,"*","-"),MgAmenClave,0)),"")</f>
        <v/>
      </c>
      <c r="J2085" s="28">
        <f>IFERROR(INDEX(MgAmenGrupo,MATCH(SUBSTITUTE($H2085,"*","-"),MgAmenClave,0)),"")</f>
        <v/>
      </c>
      <c r="K2085" s="64">
        <f>IFERROR(INDEX('1. Matriz de Activos'!$Q$6:$Q$239,MATCH($C2085,MgActId,0)),"")</f>
        <v/>
      </c>
      <c r="L2085" s="64">
        <f>IFERROR(INDEX('1. Matriz de Activos'!$R$6:$R$239,MATCH($C2085,MgActId,0)),"")</f>
        <v/>
      </c>
      <c r="M2085" s="64">
        <f>IFERROR(INDEX('1. Matriz de Activos'!$S$6:$S$239,MATCH($C2085,MgActId,0)),"")</f>
        <v/>
      </c>
      <c r="N2085" s="28">
        <f>IFERROR(INDEX(MgAmenDegD,MATCH(SUBSTITUTE($H2085,"*","-"),MgAmenClave,0)),"No aplica")</f>
        <v/>
      </c>
      <c r="O2085" s="28">
        <f>IFERROR(INDEX(MgAmenDegI,MATCH(SUBSTITUTE($H2085,"*","-"),MgAmenClave,0)),"No aplica")</f>
        <v/>
      </c>
      <c r="P2085" s="28">
        <f>IFERROR(INDEX(MgAmenDegC,MATCH(SUBSTITUTE($H2085,"*","-"),MgAmenClave,0)),"No aplica")</f>
        <v/>
      </c>
      <c r="Q2085" s="29">
        <f>IFERROR(VLOOKUP(K2085,MgValor,2,0)*VLOOKUP(N2085,MgDeg,2,0),0)</f>
        <v/>
      </c>
      <c r="R2085" s="29">
        <f>IFERROR(VLOOKUP(L2085,MgValor,2,0)*VLOOKUP(O2085,MgDeg,2,0),0)</f>
        <v/>
      </c>
      <c r="S2085" s="29">
        <f>IFERROR(VLOOKUP(M2085,MgValor,2,0)*VLOOKUP(P2085,MgDeg,2,0),0)</f>
        <v/>
      </c>
      <c r="T2085" s="30">
        <f>MAX(Q2085:S2085)</f>
        <v/>
      </c>
      <c r="U2085" s="28">
        <f>IFERROR(LOOKUP(T2085,{0;0.5;1.5;3;4.5},{"Despreciable";"Bajo";"Medio";"Alto";"Muy alto"}),"")</f>
        <v/>
      </c>
      <c r="V2085" s="13">
        <f>IFERROR(INDEX(MgAmenFrec,MATCH(SUBSTITUTE($H2085,"*","-"),MgAmenClave,0)),"")</f>
        <v/>
      </c>
      <c r="W2085" s="28">
        <f>IFERROR(LOOKUP(X2085,{0;0.01;0.1;1;10;100},{"Muy baja";"Muy baja";"Baja";"Media";"Alta";"Muy alta"}),"")</f>
        <v/>
      </c>
      <c r="X2085" s="31">
        <f>IFERROR(VLOOKUP(V2085,MgFrec,2,0),0)</f>
        <v/>
      </c>
      <c r="Y2085" s="30">
        <f>T2085*X2085</f>
        <v/>
      </c>
      <c r="Z2085" s="28">
        <f>IFERROR(LOOKUP(Y2085,{0;0.5;5;25},{"Bajo";"Medio";"Alto";"Crítico"}),"")</f>
        <v/>
      </c>
      <c r="AA2085" s="64">
        <f>IF(T2085&gt;=3,IF(X2085&gt;=1,"Zona 1 — Crítica: impacto alto y ocurre al menos una vez al año","Zona 4 — Catastrófica poco probable: impacto alto pero excepcional"),IF(AND(T2085&lt;1.5,X2085&lt;1),"Zona 3 — Asumible: impacto bajo y muy poco frecuente","Zona 2 — Atención: riesgo intermedio"))</f>
        <v/>
      </c>
      <c r="AB2085" s="64">
        <f>IFERROR(INDEX(MgAmenCtrl,MATCH(SUBSTITUTE($H2085,"*","-"),MgAmenClave,0)),"")</f>
        <v/>
      </c>
      <c r="AC2085" s="20" t="n"/>
      <c r="AD2085" s="31">
        <f>IFERROR($X2085*(1-IF($AC2085="",$AL2085,VLOOKUP($AC2085,MgMad,2,0))),"")</f>
        <v/>
      </c>
      <c r="AE2085" s="28">
        <f>IFERROR(LOOKUP(AD2085,{0;0.01;0.1;1;10;100},{"Muy baja";"Muy baja";"Baja";"Media";"Alta";"Muy alta"}),"")</f>
        <v/>
      </c>
      <c r="AF2085" s="30">
        <f>T2085*AD2085</f>
        <v/>
      </c>
      <c r="AG2085" s="28">
        <f>IFERROR(LOOKUP(AF2085,{0;0.5;5;25},{"Bajo";"Medio";"Alto";"Crítico"}),"")</f>
        <v/>
      </c>
      <c r="AH2085" s="28">
        <f>IF(AG2085="","",IF(OR(AG2085="Crítico",AG2085="Alto"),"Mitigar",IF(AG2085="Medio","Mitigar","Aceptar y monitorear")))</f>
        <v/>
      </c>
      <c r="AI2085" s="21" t="n"/>
      <c r="AJ2085" s="21" t="n"/>
      <c r="AK2085" s="20" t="n"/>
      <c r="AL2085" s="77">
        <f>IFERROR(INDEX(MgAmenEfic,MATCH(SUBSTITUTE($H2085,"*","-"),MgAmenClave,0)),0)</f>
        <v/>
      </c>
    </row>
    <row r="2086" hidden="1" ht="90" customHeight="1" s="54">
      <c r="B2086" s="59" t="inlineStr">
        <is>
          <t>R-2081</t>
        </is>
      </c>
      <c r="C2086" s="59" t="inlineStr">
        <is>
          <t>MS-02</t>
        </is>
      </c>
      <c r="D2086" s="64">
        <f>IFERROR(INDEX(MgNombre,MATCH($C2086,MgActId,0)),"")</f>
        <v/>
      </c>
      <c r="E2086" s="64">
        <f>IFERROR(INDEX(MgProceso,MATCH($C2086,MgActId,0)),"")</f>
        <v/>
      </c>
      <c r="F2086" s="64">
        <f>IFERROR(INDEX(MgTipo,MATCH($C2086,MgActId,0)),"")</f>
        <v/>
      </c>
      <c r="G2086" s="64">
        <f>IFERROR(INDEX(MgSubtipo,MATCH($C2086,MgActId,0)),"")</f>
        <v/>
      </c>
      <c r="H2086" s="59" t="inlineStr">
        <is>
          <t>E.14</t>
        </is>
      </c>
      <c r="I2086" s="64">
        <f>IFERROR(INDEX(MgAmenNombre,MATCH(SUBSTITUTE($H2086,"*","-"),MgAmenClave,0)),"")</f>
        <v/>
      </c>
      <c r="J2086" s="28">
        <f>IFERROR(INDEX(MgAmenGrupo,MATCH(SUBSTITUTE($H2086,"*","-"),MgAmenClave,0)),"")</f>
        <v/>
      </c>
      <c r="K2086" s="64">
        <f>IFERROR(INDEX('1. Matriz de Activos'!$Q$6:$Q$239,MATCH($C2086,MgActId,0)),"")</f>
        <v/>
      </c>
      <c r="L2086" s="64">
        <f>IFERROR(INDEX('1. Matriz de Activos'!$R$6:$R$239,MATCH($C2086,MgActId,0)),"")</f>
        <v/>
      </c>
      <c r="M2086" s="64">
        <f>IFERROR(INDEX('1. Matriz de Activos'!$S$6:$S$239,MATCH($C2086,MgActId,0)),"")</f>
        <v/>
      </c>
      <c r="N2086" s="28">
        <f>IFERROR(INDEX(MgAmenDegD,MATCH(SUBSTITUTE($H2086,"*","-"),MgAmenClave,0)),"No aplica")</f>
        <v/>
      </c>
      <c r="O2086" s="28">
        <f>IFERROR(INDEX(MgAmenDegI,MATCH(SUBSTITUTE($H2086,"*","-"),MgAmenClave,0)),"No aplica")</f>
        <v/>
      </c>
      <c r="P2086" s="28">
        <f>IFERROR(INDEX(MgAmenDegC,MATCH(SUBSTITUTE($H2086,"*","-"),MgAmenClave,0)),"No aplica")</f>
        <v/>
      </c>
      <c r="Q2086" s="29">
        <f>IFERROR(VLOOKUP(K2086,MgValor,2,0)*VLOOKUP(N2086,MgDeg,2,0),0)</f>
        <v/>
      </c>
      <c r="R2086" s="29">
        <f>IFERROR(VLOOKUP(L2086,MgValor,2,0)*VLOOKUP(O2086,MgDeg,2,0),0)</f>
        <v/>
      </c>
      <c r="S2086" s="29">
        <f>IFERROR(VLOOKUP(M2086,MgValor,2,0)*VLOOKUP(P2086,MgDeg,2,0),0)</f>
        <v/>
      </c>
      <c r="T2086" s="30">
        <f>MAX(Q2086:S2086)</f>
        <v/>
      </c>
      <c r="U2086" s="28">
        <f>IFERROR(LOOKUP(T2086,{0;0.5;1.5;3;4.5},{"Despreciable";"Bajo";"Medio";"Alto";"Muy alto"}),"")</f>
        <v/>
      </c>
      <c r="V2086" s="13">
        <f>IFERROR(INDEX(MgAmenFrec,MATCH(SUBSTITUTE($H2086,"*","-"),MgAmenClave,0)),"")</f>
        <v/>
      </c>
      <c r="W2086" s="28">
        <f>IFERROR(LOOKUP(X2086,{0;0.01;0.1;1;10;100},{"Muy baja";"Muy baja";"Baja";"Media";"Alta";"Muy alta"}),"")</f>
        <v/>
      </c>
      <c r="X2086" s="31">
        <f>IFERROR(VLOOKUP(V2086,MgFrec,2,0),0)</f>
        <v/>
      </c>
      <c r="Y2086" s="30">
        <f>T2086*X2086</f>
        <v/>
      </c>
      <c r="Z2086" s="28">
        <f>IFERROR(LOOKUP(Y2086,{0;0.5;5;25},{"Bajo";"Medio";"Alto";"Crítico"}),"")</f>
        <v/>
      </c>
      <c r="AA2086" s="64">
        <f>IF(T2086&gt;=3,IF(X2086&gt;=1,"Zona 1 — Crítica: impacto alto y ocurre al menos una vez al año","Zona 4 — Catastrófica poco probable: impacto alto pero excepcional"),IF(AND(T2086&lt;1.5,X2086&lt;1),"Zona 3 — Asumible: impacto bajo y muy poco frecuente","Zona 2 — Atención: riesgo intermedio"))</f>
        <v/>
      </c>
      <c r="AB2086" s="64">
        <f>IFERROR(INDEX(MgAmenCtrl,MATCH(SUBSTITUTE($H2086,"*","-"),MgAmenClave,0)),"")</f>
        <v/>
      </c>
      <c r="AC2086" s="20" t="n"/>
      <c r="AD2086" s="31">
        <f>IFERROR($X2086*(1-IF($AC2086="",$AL2086,VLOOKUP($AC2086,MgMad,2,0))),"")</f>
        <v/>
      </c>
      <c r="AE2086" s="28">
        <f>IFERROR(LOOKUP(AD2086,{0;0.01;0.1;1;10;100},{"Muy baja";"Muy baja";"Baja";"Media";"Alta";"Muy alta"}),"")</f>
        <v/>
      </c>
      <c r="AF2086" s="30">
        <f>T2086*AD2086</f>
        <v/>
      </c>
      <c r="AG2086" s="28">
        <f>IFERROR(LOOKUP(AF2086,{0;0.5;5;25},{"Bajo";"Medio";"Alto";"Crítico"}),"")</f>
        <v/>
      </c>
      <c r="AH2086" s="28">
        <f>IF(AG2086="","",IF(OR(AG2086="Crítico",AG2086="Alto"),"Mitigar",IF(AG2086="Medio","Mitigar","Aceptar y monitorear")))</f>
        <v/>
      </c>
      <c r="AI2086" s="21" t="n"/>
      <c r="AJ2086" s="21" t="n"/>
      <c r="AK2086" s="20" t="n"/>
      <c r="AL2086" s="77">
        <f>IFERROR(INDEX(MgAmenEfic,MATCH(SUBSTITUTE($H2086,"*","-"),MgAmenClave,0)),0)</f>
        <v/>
      </c>
    </row>
    <row r="2087" hidden="1" ht="90" customHeight="1" s="54">
      <c r="B2087" s="59" t="inlineStr">
        <is>
          <t>R-2082</t>
        </is>
      </c>
      <c r="C2087" s="59" t="inlineStr">
        <is>
          <t>MS-02</t>
        </is>
      </c>
      <c r="D2087" s="64">
        <f>IFERROR(INDEX(MgNombre,MATCH($C2087,MgActId,0)),"")</f>
        <v/>
      </c>
      <c r="E2087" s="64">
        <f>IFERROR(INDEX(MgProceso,MATCH($C2087,MgActId,0)),"")</f>
        <v/>
      </c>
      <c r="F2087" s="64">
        <f>IFERROR(INDEX(MgTipo,MATCH($C2087,MgActId,0)),"")</f>
        <v/>
      </c>
      <c r="G2087" s="64">
        <f>IFERROR(INDEX(MgSubtipo,MATCH($C2087,MgActId,0)),"")</f>
        <v/>
      </c>
      <c r="H2087" s="59" t="inlineStr">
        <is>
          <t>E.15</t>
        </is>
      </c>
      <c r="I2087" s="64">
        <f>IFERROR(INDEX(MgAmenNombre,MATCH(SUBSTITUTE($H2087,"*","-"),MgAmenClave,0)),"")</f>
        <v/>
      </c>
      <c r="J2087" s="28">
        <f>IFERROR(INDEX(MgAmenGrupo,MATCH(SUBSTITUTE($H2087,"*","-"),MgAmenClave,0)),"")</f>
        <v/>
      </c>
      <c r="K2087" s="64">
        <f>IFERROR(INDEX('1. Matriz de Activos'!$Q$6:$Q$239,MATCH($C2087,MgActId,0)),"")</f>
        <v/>
      </c>
      <c r="L2087" s="64">
        <f>IFERROR(INDEX('1. Matriz de Activos'!$R$6:$R$239,MATCH($C2087,MgActId,0)),"")</f>
        <v/>
      </c>
      <c r="M2087" s="64">
        <f>IFERROR(INDEX('1. Matriz de Activos'!$S$6:$S$239,MATCH($C2087,MgActId,0)),"")</f>
        <v/>
      </c>
      <c r="N2087" s="28">
        <f>IFERROR(INDEX(MgAmenDegD,MATCH(SUBSTITUTE($H2087,"*","-"),MgAmenClave,0)),"No aplica")</f>
        <v/>
      </c>
      <c r="O2087" s="28">
        <f>IFERROR(INDEX(MgAmenDegI,MATCH(SUBSTITUTE($H2087,"*","-"),MgAmenClave,0)),"No aplica")</f>
        <v/>
      </c>
      <c r="P2087" s="28">
        <f>IFERROR(INDEX(MgAmenDegC,MATCH(SUBSTITUTE($H2087,"*","-"),MgAmenClave,0)),"No aplica")</f>
        <v/>
      </c>
      <c r="Q2087" s="29">
        <f>IFERROR(VLOOKUP(K2087,MgValor,2,0)*VLOOKUP(N2087,MgDeg,2,0),0)</f>
        <v/>
      </c>
      <c r="R2087" s="29">
        <f>IFERROR(VLOOKUP(L2087,MgValor,2,0)*VLOOKUP(O2087,MgDeg,2,0),0)</f>
        <v/>
      </c>
      <c r="S2087" s="29">
        <f>IFERROR(VLOOKUP(M2087,MgValor,2,0)*VLOOKUP(P2087,MgDeg,2,0),0)</f>
        <v/>
      </c>
      <c r="T2087" s="30">
        <f>MAX(Q2087:S2087)</f>
        <v/>
      </c>
      <c r="U2087" s="28">
        <f>IFERROR(LOOKUP(T2087,{0;0.5;1.5;3;4.5},{"Despreciable";"Bajo";"Medio";"Alto";"Muy alto"}),"")</f>
        <v/>
      </c>
      <c r="V2087" s="13">
        <f>IFERROR(INDEX(MgAmenFrec,MATCH(SUBSTITUTE($H2087,"*","-"),MgAmenClave,0)),"")</f>
        <v/>
      </c>
      <c r="W2087" s="28">
        <f>IFERROR(LOOKUP(X2087,{0;0.01;0.1;1;10;100},{"Muy baja";"Muy baja";"Baja";"Media";"Alta";"Muy alta"}),"")</f>
        <v/>
      </c>
      <c r="X2087" s="31">
        <f>IFERROR(VLOOKUP(V2087,MgFrec,2,0),0)</f>
        <v/>
      </c>
      <c r="Y2087" s="30">
        <f>T2087*X2087</f>
        <v/>
      </c>
      <c r="Z2087" s="28">
        <f>IFERROR(LOOKUP(Y2087,{0;0.5;5;25},{"Bajo";"Medio";"Alto";"Crítico"}),"")</f>
        <v/>
      </c>
      <c r="AA2087" s="64">
        <f>IF(T2087&gt;=3,IF(X2087&gt;=1,"Zona 1 — Crítica: impacto alto y ocurre al menos una vez al año","Zona 4 — Catastrófica poco probable: impacto alto pero excepcional"),IF(AND(T2087&lt;1.5,X2087&lt;1),"Zona 3 — Asumible: impacto bajo y muy poco frecuente","Zona 2 — Atención: riesgo intermedio"))</f>
        <v/>
      </c>
      <c r="AB2087" s="64">
        <f>IFERROR(INDEX(MgAmenCtrl,MATCH(SUBSTITUTE($H2087,"*","-"),MgAmenClave,0)),"")</f>
        <v/>
      </c>
      <c r="AC2087" s="20" t="n"/>
      <c r="AD2087" s="31">
        <f>IFERROR($X2087*(1-IF($AC2087="",$AL2087,VLOOKUP($AC2087,MgMad,2,0))),"")</f>
        <v/>
      </c>
      <c r="AE2087" s="28">
        <f>IFERROR(LOOKUP(AD2087,{0;0.01;0.1;1;10;100},{"Muy baja";"Muy baja";"Baja";"Media";"Alta";"Muy alta"}),"")</f>
        <v/>
      </c>
      <c r="AF2087" s="30">
        <f>T2087*AD2087</f>
        <v/>
      </c>
      <c r="AG2087" s="28">
        <f>IFERROR(LOOKUP(AF2087,{0;0.5;5;25},{"Bajo";"Medio";"Alto";"Crítico"}),"")</f>
        <v/>
      </c>
      <c r="AH2087" s="28">
        <f>IF(AG2087="","",IF(OR(AG2087="Crítico",AG2087="Alto"),"Mitigar",IF(AG2087="Medio","Mitigar","Aceptar y monitorear")))</f>
        <v/>
      </c>
      <c r="AI2087" s="21" t="n"/>
      <c r="AJ2087" s="21" t="n"/>
      <c r="AK2087" s="20" t="n"/>
      <c r="AL2087" s="77">
        <f>IFERROR(INDEX(MgAmenEfic,MATCH(SUBSTITUTE($H2087,"*","-"),MgAmenClave,0)),0)</f>
        <v/>
      </c>
    </row>
    <row r="2088" hidden="1" ht="60" customHeight="1" s="54">
      <c r="B2088" s="59" t="inlineStr">
        <is>
          <t>R-2083</t>
        </is>
      </c>
      <c r="C2088" s="59" t="inlineStr">
        <is>
          <t>MS-02</t>
        </is>
      </c>
      <c r="D2088" s="64">
        <f>IFERROR(INDEX(MgNombre,MATCH($C2088,MgActId,0)),"")</f>
        <v/>
      </c>
      <c r="E2088" s="64">
        <f>IFERROR(INDEX(MgProceso,MATCH($C2088,MgActId,0)),"")</f>
        <v/>
      </c>
      <c r="F2088" s="64">
        <f>IFERROR(INDEX(MgTipo,MATCH($C2088,MgActId,0)),"")</f>
        <v/>
      </c>
      <c r="G2088" s="64">
        <f>IFERROR(INDEX(MgSubtipo,MATCH($C2088,MgActId,0)),"")</f>
        <v/>
      </c>
      <c r="H2088" s="59" t="inlineStr">
        <is>
          <t>E.18</t>
        </is>
      </c>
      <c r="I2088" s="64">
        <f>IFERROR(INDEX(MgAmenNombre,MATCH(SUBSTITUTE($H2088,"*","-"),MgAmenClave,0)),"")</f>
        <v/>
      </c>
      <c r="J2088" s="28">
        <f>IFERROR(INDEX(MgAmenGrupo,MATCH(SUBSTITUTE($H2088,"*","-"),MgAmenClave,0)),"")</f>
        <v/>
      </c>
      <c r="K2088" s="64">
        <f>IFERROR(INDEX('1. Matriz de Activos'!$Q$6:$Q$239,MATCH($C2088,MgActId,0)),"")</f>
        <v/>
      </c>
      <c r="L2088" s="64">
        <f>IFERROR(INDEX('1. Matriz de Activos'!$R$6:$R$239,MATCH($C2088,MgActId,0)),"")</f>
        <v/>
      </c>
      <c r="M2088" s="64">
        <f>IFERROR(INDEX('1. Matriz de Activos'!$S$6:$S$239,MATCH($C2088,MgActId,0)),"")</f>
        <v/>
      </c>
      <c r="N2088" s="28">
        <f>IFERROR(INDEX(MgAmenDegD,MATCH(SUBSTITUTE($H2088,"*","-"),MgAmenClave,0)),"No aplica")</f>
        <v/>
      </c>
      <c r="O2088" s="28">
        <f>IFERROR(INDEX(MgAmenDegI,MATCH(SUBSTITUTE($H2088,"*","-"),MgAmenClave,0)),"No aplica")</f>
        <v/>
      </c>
      <c r="P2088" s="28">
        <f>IFERROR(INDEX(MgAmenDegC,MATCH(SUBSTITUTE($H2088,"*","-"),MgAmenClave,0)),"No aplica")</f>
        <v/>
      </c>
      <c r="Q2088" s="29">
        <f>IFERROR(VLOOKUP(K2088,MgValor,2,0)*VLOOKUP(N2088,MgDeg,2,0),0)</f>
        <v/>
      </c>
      <c r="R2088" s="29">
        <f>IFERROR(VLOOKUP(L2088,MgValor,2,0)*VLOOKUP(O2088,MgDeg,2,0),0)</f>
        <v/>
      </c>
      <c r="S2088" s="29">
        <f>IFERROR(VLOOKUP(M2088,MgValor,2,0)*VLOOKUP(P2088,MgDeg,2,0),0)</f>
        <v/>
      </c>
      <c r="T2088" s="30">
        <f>MAX(Q2088:S2088)</f>
        <v/>
      </c>
      <c r="U2088" s="28">
        <f>IFERROR(LOOKUP(T2088,{0;0.5;1.5;3;4.5},{"Despreciable";"Bajo";"Medio";"Alto";"Muy alto"}),"")</f>
        <v/>
      </c>
      <c r="V2088" s="13">
        <f>IFERROR(INDEX(MgAmenFrec,MATCH(SUBSTITUTE($H2088,"*","-"),MgAmenClave,0)),"")</f>
        <v/>
      </c>
      <c r="W2088" s="28">
        <f>IFERROR(LOOKUP(X2088,{0;0.01;0.1;1;10;100},{"Muy baja";"Muy baja";"Baja";"Media";"Alta";"Muy alta"}),"")</f>
        <v/>
      </c>
      <c r="X2088" s="31">
        <f>IFERROR(VLOOKUP(V2088,MgFrec,2,0),0)</f>
        <v/>
      </c>
      <c r="Y2088" s="30">
        <f>T2088*X2088</f>
        <v/>
      </c>
      <c r="Z2088" s="28">
        <f>IFERROR(LOOKUP(Y2088,{0;0.5;5;25},{"Bajo";"Medio";"Alto";"Crítico"}),"")</f>
        <v/>
      </c>
      <c r="AA2088" s="64">
        <f>IF(T2088&gt;=3,IF(X2088&gt;=1,"Zona 1 — Crítica: impacto alto y ocurre al menos una vez al año","Zona 4 — Catastrófica poco probable: impacto alto pero excepcional"),IF(AND(T2088&lt;1.5,X2088&lt;1),"Zona 3 — Asumible: impacto bajo y muy poco frecuente","Zona 2 — Atención: riesgo intermedio"))</f>
        <v/>
      </c>
      <c r="AB2088" s="64">
        <f>IFERROR(INDEX(MgAmenCtrl,MATCH(SUBSTITUTE($H2088,"*","-"),MgAmenClave,0)),"")</f>
        <v/>
      </c>
      <c r="AC2088" s="20" t="n"/>
      <c r="AD2088" s="31">
        <f>IFERROR($X2088*(1-IF($AC2088="",$AL2088,VLOOKUP($AC2088,MgMad,2,0))),"")</f>
        <v/>
      </c>
      <c r="AE2088" s="28">
        <f>IFERROR(LOOKUP(AD2088,{0;0.01;0.1;1;10;100},{"Muy baja";"Muy baja";"Baja";"Media";"Alta";"Muy alta"}),"")</f>
        <v/>
      </c>
      <c r="AF2088" s="30">
        <f>T2088*AD2088</f>
        <v/>
      </c>
      <c r="AG2088" s="28">
        <f>IFERROR(LOOKUP(AF2088,{0;0.5;5;25},{"Bajo";"Medio";"Alto";"Crítico"}),"")</f>
        <v/>
      </c>
      <c r="AH2088" s="28">
        <f>IF(AG2088="","",IF(OR(AG2088="Crítico",AG2088="Alto"),"Mitigar",IF(AG2088="Medio","Mitigar","Aceptar y monitorear")))</f>
        <v/>
      </c>
      <c r="AI2088" s="21" t="n"/>
      <c r="AJ2088" s="21" t="n"/>
      <c r="AK2088" s="20" t="n"/>
      <c r="AL2088" s="77">
        <f>IFERROR(INDEX(MgAmenEfic,MATCH(SUBSTITUTE($H2088,"*","-"),MgAmenClave,0)),0)</f>
        <v/>
      </c>
    </row>
    <row r="2089" hidden="1" ht="105" customHeight="1" s="54">
      <c r="B2089" s="59" t="inlineStr">
        <is>
          <t>R-2084</t>
        </is>
      </c>
      <c r="C2089" s="59" t="inlineStr">
        <is>
          <t>MS-02</t>
        </is>
      </c>
      <c r="D2089" s="64">
        <f>IFERROR(INDEX(MgNombre,MATCH($C2089,MgActId,0)),"")</f>
        <v/>
      </c>
      <c r="E2089" s="64">
        <f>IFERROR(INDEX(MgProceso,MATCH($C2089,MgActId,0)),"")</f>
        <v/>
      </c>
      <c r="F2089" s="64">
        <f>IFERROR(INDEX(MgTipo,MATCH($C2089,MgActId,0)),"")</f>
        <v/>
      </c>
      <c r="G2089" s="64">
        <f>IFERROR(INDEX(MgSubtipo,MATCH($C2089,MgActId,0)),"")</f>
        <v/>
      </c>
      <c r="H2089" s="59" t="inlineStr">
        <is>
          <t>E.19</t>
        </is>
      </c>
      <c r="I2089" s="64">
        <f>IFERROR(INDEX(MgAmenNombre,MATCH(SUBSTITUTE($H2089,"*","-"),MgAmenClave,0)),"")</f>
        <v/>
      </c>
      <c r="J2089" s="28">
        <f>IFERROR(INDEX(MgAmenGrupo,MATCH(SUBSTITUTE($H2089,"*","-"),MgAmenClave,0)),"")</f>
        <v/>
      </c>
      <c r="K2089" s="64">
        <f>IFERROR(INDEX('1. Matriz de Activos'!$Q$6:$Q$239,MATCH($C2089,MgActId,0)),"")</f>
        <v/>
      </c>
      <c r="L2089" s="64">
        <f>IFERROR(INDEX('1. Matriz de Activos'!$R$6:$R$239,MATCH($C2089,MgActId,0)),"")</f>
        <v/>
      </c>
      <c r="M2089" s="64">
        <f>IFERROR(INDEX('1. Matriz de Activos'!$S$6:$S$239,MATCH($C2089,MgActId,0)),"")</f>
        <v/>
      </c>
      <c r="N2089" s="28">
        <f>IFERROR(INDEX(MgAmenDegD,MATCH(SUBSTITUTE($H2089,"*","-"),MgAmenClave,0)),"No aplica")</f>
        <v/>
      </c>
      <c r="O2089" s="28">
        <f>IFERROR(INDEX(MgAmenDegI,MATCH(SUBSTITUTE($H2089,"*","-"),MgAmenClave,0)),"No aplica")</f>
        <v/>
      </c>
      <c r="P2089" s="28">
        <f>IFERROR(INDEX(MgAmenDegC,MATCH(SUBSTITUTE($H2089,"*","-"),MgAmenClave,0)),"No aplica")</f>
        <v/>
      </c>
      <c r="Q2089" s="29">
        <f>IFERROR(VLOOKUP(K2089,MgValor,2,0)*VLOOKUP(N2089,MgDeg,2,0),0)</f>
        <v/>
      </c>
      <c r="R2089" s="29">
        <f>IFERROR(VLOOKUP(L2089,MgValor,2,0)*VLOOKUP(O2089,MgDeg,2,0),0)</f>
        <v/>
      </c>
      <c r="S2089" s="29">
        <f>IFERROR(VLOOKUP(M2089,MgValor,2,0)*VLOOKUP(P2089,MgDeg,2,0),0)</f>
        <v/>
      </c>
      <c r="T2089" s="30">
        <f>MAX(Q2089:S2089)</f>
        <v/>
      </c>
      <c r="U2089" s="28">
        <f>IFERROR(LOOKUP(T2089,{0;0.5;1.5;3;4.5},{"Despreciable";"Bajo";"Medio";"Alto";"Muy alto"}),"")</f>
        <v/>
      </c>
      <c r="V2089" s="13">
        <f>IFERROR(INDEX(MgAmenFrec,MATCH(SUBSTITUTE($H2089,"*","-"),MgAmenClave,0)),"")</f>
        <v/>
      </c>
      <c r="W2089" s="28">
        <f>IFERROR(LOOKUP(X2089,{0;0.01;0.1;1;10;100},{"Muy baja";"Muy baja";"Baja";"Media";"Alta";"Muy alta"}),"")</f>
        <v/>
      </c>
      <c r="X2089" s="31">
        <f>IFERROR(VLOOKUP(V2089,MgFrec,2,0),0)</f>
        <v/>
      </c>
      <c r="Y2089" s="30">
        <f>T2089*X2089</f>
        <v/>
      </c>
      <c r="Z2089" s="28">
        <f>IFERROR(LOOKUP(Y2089,{0;0.5;5;25},{"Bajo";"Medio";"Alto";"Crítico"}),"")</f>
        <v/>
      </c>
      <c r="AA2089" s="64">
        <f>IF(T2089&gt;=3,IF(X2089&gt;=1,"Zona 1 — Crítica: impacto alto y ocurre al menos una vez al año","Zona 4 — Catastrófica poco probable: impacto alto pero excepcional"),IF(AND(T2089&lt;1.5,X2089&lt;1),"Zona 3 — Asumible: impacto bajo y muy poco frecuente","Zona 2 — Atención: riesgo intermedio"))</f>
        <v/>
      </c>
      <c r="AB2089" s="64">
        <f>IFERROR(INDEX(MgAmenCtrl,MATCH(SUBSTITUTE($H2089,"*","-"),MgAmenClave,0)),"")</f>
        <v/>
      </c>
      <c r="AC2089" s="20" t="n"/>
      <c r="AD2089" s="31">
        <f>IFERROR($X2089*(1-IF($AC2089="",$AL2089,VLOOKUP($AC2089,MgMad,2,0))),"")</f>
        <v/>
      </c>
      <c r="AE2089" s="28">
        <f>IFERROR(LOOKUP(AD2089,{0;0.01;0.1;1;10;100},{"Muy baja";"Muy baja";"Baja";"Media";"Alta";"Muy alta"}),"")</f>
        <v/>
      </c>
      <c r="AF2089" s="30">
        <f>T2089*AD2089</f>
        <v/>
      </c>
      <c r="AG2089" s="28">
        <f>IFERROR(LOOKUP(AF2089,{0;0.5;5;25},{"Bajo";"Medio";"Alto";"Crítico"}),"")</f>
        <v/>
      </c>
      <c r="AH2089" s="28">
        <f>IF(AG2089="","",IF(OR(AG2089="Crítico",AG2089="Alto"),"Mitigar",IF(AG2089="Medio","Mitigar","Aceptar y monitorear")))</f>
        <v/>
      </c>
      <c r="AI2089" s="21" t="n"/>
      <c r="AJ2089" s="21" t="n"/>
      <c r="AK2089" s="20" t="n"/>
      <c r="AL2089" s="77">
        <f>IFERROR(INDEX(MgAmenEfic,MATCH(SUBSTITUTE($H2089,"*","-"),MgAmenClave,0)),0)</f>
        <v/>
      </c>
    </row>
    <row r="2090" hidden="1" ht="45" customHeight="1" s="54">
      <c r="B2090" s="59" t="inlineStr">
        <is>
          <t>R-2085</t>
        </is>
      </c>
      <c r="C2090" s="59" t="inlineStr">
        <is>
          <t>MS-02</t>
        </is>
      </c>
      <c r="D2090" s="64">
        <f>IFERROR(INDEX(MgNombre,MATCH($C2090,MgActId,0)),"")</f>
        <v/>
      </c>
      <c r="E2090" s="64">
        <f>IFERROR(INDEX(MgProceso,MATCH($C2090,MgActId,0)),"")</f>
        <v/>
      </c>
      <c r="F2090" s="64">
        <f>IFERROR(INDEX(MgTipo,MATCH($C2090,MgActId,0)),"")</f>
        <v/>
      </c>
      <c r="G2090" s="64">
        <f>IFERROR(INDEX(MgSubtipo,MATCH($C2090,MgActId,0)),"")</f>
        <v/>
      </c>
      <c r="H2090" s="59" t="inlineStr">
        <is>
          <t>E.24</t>
        </is>
      </c>
      <c r="I2090" s="64">
        <f>IFERROR(INDEX(MgAmenNombre,MATCH(SUBSTITUTE($H2090,"*","-"),MgAmenClave,0)),"")</f>
        <v/>
      </c>
      <c r="J2090" s="28">
        <f>IFERROR(INDEX(MgAmenGrupo,MATCH(SUBSTITUTE($H2090,"*","-"),MgAmenClave,0)),"")</f>
        <v/>
      </c>
      <c r="K2090" s="64">
        <f>IFERROR(INDEX('1. Matriz de Activos'!$Q$6:$Q$239,MATCH($C2090,MgActId,0)),"")</f>
        <v/>
      </c>
      <c r="L2090" s="64">
        <f>IFERROR(INDEX('1. Matriz de Activos'!$R$6:$R$239,MATCH($C2090,MgActId,0)),"")</f>
        <v/>
      </c>
      <c r="M2090" s="64">
        <f>IFERROR(INDEX('1. Matriz de Activos'!$S$6:$S$239,MATCH($C2090,MgActId,0)),"")</f>
        <v/>
      </c>
      <c r="N2090" s="28">
        <f>IFERROR(INDEX(MgAmenDegD,MATCH(SUBSTITUTE($H2090,"*","-"),MgAmenClave,0)),"No aplica")</f>
        <v/>
      </c>
      <c r="O2090" s="28">
        <f>IFERROR(INDEX(MgAmenDegI,MATCH(SUBSTITUTE($H2090,"*","-"),MgAmenClave,0)),"No aplica")</f>
        <v/>
      </c>
      <c r="P2090" s="28">
        <f>IFERROR(INDEX(MgAmenDegC,MATCH(SUBSTITUTE($H2090,"*","-"),MgAmenClave,0)),"No aplica")</f>
        <v/>
      </c>
      <c r="Q2090" s="29">
        <f>IFERROR(VLOOKUP(K2090,MgValor,2,0)*VLOOKUP(N2090,MgDeg,2,0),0)</f>
        <v/>
      </c>
      <c r="R2090" s="29">
        <f>IFERROR(VLOOKUP(L2090,MgValor,2,0)*VLOOKUP(O2090,MgDeg,2,0),0)</f>
        <v/>
      </c>
      <c r="S2090" s="29">
        <f>IFERROR(VLOOKUP(M2090,MgValor,2,0)*VLOOKUP(P2090,MgDeg,2,0),0)</f>
        <v/>
      </c>
      <c r="T2090" s="30">
        <f>MAX(Q2090:S2090)</f>
        <v/>
      </c>
      <c r="U2090" s="28">
        <f>IFERROR(LOOKUP(T2090,{0;0.5;1.5;3;4.5},{"Despreciable";"Bajo";"Medio";"Alto";"Muy alto"}),"")</f>
        <v/>
      </c>
      <c r="V2090" s="13">
        <f>IFERROR(INDEX(MgAmenFrec,MATCH(SUBSTITUTE($H2090,"*","-"),MgAmenClave,0)),"")</f>
        <v/>
      </c>
      <c r="W2090" s="28">
        <f>IFERROR(LOOKUP(X2090,{0;0.01;0.1;1;10;100},{"Muy baja";"Muy baja";"Baja";"Media";"Alta";"Muy alta"}),"")</f>
        <v/>
      </c>
      <c r="X2090" s="31">
        <f>IFERROR(VLOOKUP(V2090,MgFrec,2,0),0)</f>
        <v/>
      </c>
      <c r="Y2090" s="30">
        <f>T2090*X2090</f>
        <v/>
      </c>
      <c r="Z2090" s="28">
        <f>IFERROR(LOOKUP(Y2090,{0;0.5;5;25},{"Bajo";"Medio";"Alto";"Crítico"}),"")</f>
        <v/>
      </c>
      <c r="AA2090" s="64">
        <f>IF(T2090&gt;=3,IF(X2090&gt;=1,"Zona 1 — Crítica: impacto alto y ocurre al menos una vez al año","Zona 4 — Catastrófica poco probable: impacto alto pero excepcional"),IF(AND(T2090&lt;1.5,X2090&lt;1),"Zona 3 — Asumible: impacto bajo y muy poco frecuente","Zona 2 — Atención: riesgo intermedio"))</f>
        <v/>
      </c>
      <c r="AB2090" s="64">
        <f>IFERROR(INDEX(MgAmenCtrl,MATCH(SUBSTITUTE($H2090,"*","-"),MgAmenClave,0)),"")</f>
        <v/>
      </c>
      <c r="AC2090" s="20" t="n"/>
      <c r="AD2090" s="31">
        <f>IFERROR($X2090*(1-IF($AC2090="",$AL2090,VLOOKUP($AC2090,MgMad,2,0))),"")</f>
        <v/>
      </c>
      <c r="AE2090" s="28">
        <f>IFERROR(LOOKUP(AD2090,{0;0.01;0.1;1;10;100},{"Muy baja";"Muy baja";"Baja";"Media";"Alta";"Muy alta"}),"")</f>
        <v/>
      </c>
      <c r="AF2090" s="30">
        <f>T2090*AD2090</f>
        <v/>
      </c>
      <c r="AG2090" s="28">
        <f>IFERROR(LOOKUP(AF2090,{0;0.5;5;25},{"Bajo";"Medio";"Alto";"Crítico"}),"")</f>
        <v/>
      </c>
      <c r="AH2090" s="28">
        <f>IF(AG2090="","",IF(OR(AG2090="Crítico",AG2090="Alto"),"Mitigar",IF(AG2090="Medio","Mitigar","Aceptar y monitorear")))</f>
        <v/>
      </c>
      <c r="AI2090" s="21" t="n"/>
      <c r="AJ2090" s="21" t="n"/>
      <c r="AK2090" s="20" t="n"/>
      <c r="AL2090" s="77">
        <f>IFERROR(INDEX(MgAmenEfic,MATCH(SUBSTITUTE($H2090,"*","-"),MgAmenClave,0)),0)</f>
        <v/>
      </c>
    </row>
    <row r="2091" hidden="1" ht="75" customHeight="1" s="54">
      <c r="B2091" s="59" t="inlineStr">
        <is>
          <t>R-2086</t>
        </is>
      </c>
      <c r="C2091" s="59" t="inlineStr">
        <is>
          <t>MS-02</t>
        </is>
      </c>
      <c r="D2091" s="64">
        <f>IFERROR(INDEX(MgNombre,MATCH($C2091,MgActId,0)),"")</f>
        <v/>
      </c>
      <c r="E2091" s="64">
        <f>IFERROR(INDEX(MgProceso,MATCH($C2091,MgActId,0)),"")</f>
        <v/>
      </c>
      <c r="F2091" s="64">
        <f>IFERROR(INDEX(MgTipo,MATCH($C2091,MgActId,0)),"")</f>
        <v/>
      </c>
      <c r="G2091" s="64">
        <f>IFERROR(INDEX(MgSubtipo,MATCH($C2091,MgActId,0)),"")</f>
        <v/>
      </c>
      <c r="H2091" s="59" t="inlineStr">
        <is>
          <t>A.5</t>
        </is>
      </c>
      <c r="I2091" s="64">
        <f>IFERROR(INDEX(MgAmenNombre,MATCH(SUBSTITUTE($H2091,"*","-"),MgAmenClave,0)),"")</f>
        <v/>
      </c>
      <c r="J2091" s="28">
        <f>IFERROR(INDEX(MgAmenGrupo,MATCH(SUBSTITUTE($H2091,"*","-"),MgAmenClave,0)),"")</f>
        <v/>
      </c>
      <c r="K2091" s="64">
        <f>IFERROR(INDEX('1. Matriz de Activos'!$Q$6:$Q$239,MATCH($C2091,MgActId,0)),"")</f>
        <v/>
      </c>
      <c r="L2091" s="64">
        <f>IFERROR(INDEX('1. Matriz de Activos'!$R$6:$R$239,MATCH($C2091,MgActId,0)),"")</f>
        <v/>
      </c>
      <c r="M2091" s="64">
        <f>IFERROR(INDEX('1. Matriz de Activos'!$S$6:$S$239,MATCH($C2091,MgActId,0)),"")</f>
        <v/>
      </c>
      <c r="N2091" s="28">
        <f>IFERROR(INDEX(MgAmenDegD,MATCH(SUBSTITUTE($H2091,"*","-"),MgAmenClave,0)),"No aplica")</f>
        <v/>
      </c>
      <c r="O2091" s="28">
        <f>IFERROR(INDEX(MgAmenDegI,MATCH(SUBSTITUTE($H2091,"*","-"),MgAmenClave,0)),"No aplica")</f>
        <v/>
      </c>
      <c r="P2091" s="28">
        <f>IFERROR(INDEX(MgAmenDegC,MATCH(SUBSTITUTE($H2091,"*","-"),MgAmenClave,0)),"No aplica")</f>
        <v/>
      </c>
      <c r="Q2091" s="29">
        <f>IFERROR(VLOOKUP(K2091,MgValor,2,0)*VLOOKUP(N2091,MgDeg,2,0),0)</f>
        <v/>
      </c>
      <c r="R2091" s="29">
        <f>IFERROR(VLOOKUP(L2091,MgValor,2,0)*VLOOKUP(O2091,MgDeg,2,0),0)</f>
        <v/>
      </c>
      <c r="S2091" s="29">
        <f>IFERROR(VLOOKUP(M2091,MgValor,2,0)*VLOOKUP(P2091,MgDeg,2,0),0)</f>
        <v/>
      </c>
      <c r="T2091" s="30">
        <f>MAX(Q2091:S2091)</f>
        <v/>
      </c>
      <c r="U2091" s="28">
        <f>IFERROR(LOOKUP(T2091,{0;0.5;1.5;3;4.5},{"Despreciable";"Bajo";"Medio";"Alto";"Muy alto"}),"")</f>
        <v/>
      </c>
      <c r="V2091" s="13">
        <f>IFERROR(INDEX(MgAmenFrec,MATCH(SUBSTITUTE($H2091,"*","-"),MgAmenClave,0)),"")</f>
        <v/>
      </c>
      <c r="W2091" s="28">
        <f>IFERROR(LOOKUP(X2091,{0;0.01;0.1;1;10;100},{"Muy baja";"Muy baja";"Baja";"Media";"Alta";"Muy alta"}),"")</f>
        <v/>
      </c>
      <c r="X2091" s="31">
        <f>IFERROR(VLOOKUP(V2091,MgFrec,2,0),0)</f>
        <v/>
      </c>
      <c r="Y2091" s="30">
        <f>T2091*X2091</f>
        <v/>
      </c>
      <c r="Z2091" s="28">
        <f>IFERROR(LOOKUP(Y2091,{0;0.5;5;25},{"Bajo";"Medio";"Alto";"Crítico"}),"")</f>
        <v/>
      </c>
      <c r="AA2091" s="64">
        <f>IF(T2091&gt;=3,IF(X2091&gt;=1,"Zona 1 — Crítica: impacto alto y ocurre al menos una vez al año","Zona 4 — Catastrófica poco probable: impacto alto pero excepcional"),IF(AND(T2091&lt;1.5,X2091&lt;1),"Zona 3 — Asumible: impacto bajo y muy poco frecuente","Zona 2 — Atención: riesgo intermedio"))</f>
        <v/>
      </c>
      <c r="AB2091" s="64">
        <f>IFERROR(INDEX(MgAmenCtrl,MATCH(SUBSTITUTE($H2091,"*","-"),MgAmenClave,0)),"")</f>
        <v/>
      </c>
      <c r="AC2091" s="20" t="n"/>
      <c r="AD2091" s="31">
        <f>IFERROR($X2091*(1-IF($AC2091="",$AL2091,VLOOKUP($AC2091,MgMad,2,0))),"")</f>
        <v/>
      </c>
      <c r="AE2091" s="28">
        <f>IFERROR(LOOKUP(AD2091,{0;0.01;0.1;1;10;100},{"Muy baja";"Muy baja";"Baja";"Media";"Alta";"Muy alta"}),"")</f>
        <v/>
      </c>
      <c r="AF2091" s="30">
        <f>T2091*AD2091</f>
        <v/>
      </c>
      <c r="AG2091" s="28">
        <f>IFERROR(LOOKUP(AF2091,{0;0.5;5;25},{"Bajo";"Medio";"Alto";"Crítico"}),"")</f>
        <v/>
      </c>
      <c r="AH2091" s="28">
        <f>IF(AG2091="","",IF(OR(AG2091="Crítico",AG2091="Alto"),"Mitigar",IF(AG2091="Medio","Mitigar","Aceptar y monitorear")))</f>
        <v/>
      </c>
      <c r="AI2091" s="21" t="n"/>
      <c r="AJ2091" s="21" t="n"/>
      <c r="AK2091" s="20" t="n"/>
      <c r="AL2091" s="77">
        <f>IFERROR(INDEX(MgAmenEfic,MATCH(SUBSTITUTE($H2091,"*","-"),MgAmenClave,0)),0)</f>
        <v/>
      </c>
    </row>
    <row r="2092" hidden="1" ht="105" customHeight="1" s="54">
      <c r="B2092" s="59" t="inlineStr">
        <is>
          <t>R-2087</t>
        </is>
      </c>
      <c r="C2092" s="59" t="inlineStr">
        <is>
          <t>MS-02</t>
        </is>
      </c>
      <c r="D2092" s="64">
        <f>IFERROR(INDEX(MgNombre,MATCH($C2092,MgActId,0)),"")</f>
        <v/>
      </c>
      <c r="E2092" s="64">
        <f>IFERROR(INDEX(MgProceso,MATCH($C2092,MgActId,0)),"")</f>
        <v/>
      </c>
      <c r="F2092" s="64">
        <f>IFERROR(INDEX(MgTipo,MATCH($C2092,MgActId,0)),"")</f>
        <v/>
      </c>
      <c r="G2092" s="64">
        <f>IFERROR(INDEX(MgSubtipo,MATCH($C2092,MgActId,0)),"")</f>
        <v/>
      </c>
      <c r="H2092" s="59" t="inlineStr">
        <is>
          <t>A.6</t>
        </is>
      </c>
      <c r="I2092" s="64">
        <f>IFERROR(INDEX(MgAmenNombre,MATCH(SUBSTITUTE($H2092,"*","-"),MgAmenClave,0)),"")</f>
        <v/>
      </c>
      <c r="J2092" s="28">
        <f>IFERROR(INDEX(MgAmenGrupo,MATCH(SUBSTITUTE($H2092,"*","-"),MgAmenClave,0)),"")</f>
        <v/>
      </c>
      <c r="K2092" s="64">
        <f>IFERROR(INDEX('1. Matriz de Activos'!$Q$6:$Q$239,MATCH($C2092,MgActId,0)),"")</f>
        <v/>
      </c>
      <c r="L2092" s="64">
        <f>IFERROR(INDEX('1. Matriz de Activos'!$R$6:$R$239,MATCH($C2092,MgActId,0)),"")</f>
        <v/>
      </c>
      <c r="M2092" s="64">
        <f>IFERROR(INDEX('1. Matriz de Activos'!$S$6:$S$239,MATCH($C2092,MgActId,0)),"")</f>
        <v/>
      </c>
      <c r="N2092" s="28">
        <f>IFERROR(INDEX(MgAmenDegD,MATCH(SUBSTITUTE($H2092,"*","-"),MgAmenClave,0)),"No aplica")</f>
        <v/>
      </c>
      <c r="O2092" s="28">
        <f>IFERROR(INDEX(MgAmenDegI,MATCH(SUBSTITUTE($H2092,"*","-"),MgAmenClave,0)),"No aplica")</f>
        <v/>
      </c>
      <c r="P2092" s="28">
        <f>IFERROR(INDEX(MgAmenDegC,MATCH(SUBSTITUTE($H2092,"*","-"),MgAmenClave,0)),"No aplica")</f>
        <v/>
      </c>
      <c r="Q2092" s="29">
        <f>IFERROR(VLOOKUP(K2092,MgValor,2,0)*VLOOKUP(N2092,MgDeg,2,0),0)</f>
        <v/>
      </c>
      <c r="R2092" s="29">
        <f>IFERROR(VLOOKUP(L2092,MgValor,2,0)*VLOOKUP(O2092,MgDeg,2,0),0)</f>
        <v/>
      </c>
      <c r="S2092" s="29">
        <f>IFERROR(VLOOKUP(M2092,MgValor,2,0)*VLOOKUP(P2092,MgDeg,2,0),0)</f>
        <v/>
      </c>
      <c r="T2092" s="30">
        <f>MAX(Q2092:S2092)</f>
        <v/>
      </c>
      <c r="U2092" s="28">
        <f>IFERROR(LOOKUP(T2092,{0;0.5;1.5;3;4.5},{"Despreciable";"Bajo";"Medio";"Alto";"Muy alto"}),"")</f>
        <v/>
      </c>
      <c r="V2092" s="13">
        <f>IFERROR(INDEX(MgAmenFrec,MATCH(SUBSTITUTE($H2092,"*","-"),MgAmenClave,0)),"")</f>
        <v/>
      </c>
      <c r="W2092" s="28">
        <f>IFERROR(LOOKUP(X2092,{0;0.01;0.1;1;10;100},{"Muy baja";"Muy baja";"Baja";"Media";"Alta";"Muy alta"}),"")</f>
        <v/>
      </c>
      <c r="X2092" s="31">
        <f>IFERROR(VLOOKUP(V2092,MgFrec,2,0),0)</f>
        <v/>
      </c>
      <c r="Y2092" s="30">
        <f>T2092*X2092</f>
        <v/>
      </c>
      <c r="Z2092" s="28">
        <f>IFERROR(LOOKUP(Y2092,{0;0.5;5;25},{"Bajo";"Medio";"Alto";"Crítico"}),"")</f>
        <v/>
      </c>
      <c r="AA2092" s="64">
        <f>IF(T2092&gt;=3,IF(X2092&gt;=1,"Zona 1 — Crítica: impacto alto y ocurre al menos una vez al año","Zona 4 — Catastrófica poco probable: impacto alto pero excepcional"),IF(AND(T2092&lt;1.5,X2092&lt;1),"Zona 3 — Asumible: impacto bajo y muy poco frecuente","Zona 2 — Atención: riesgo intermedio"))</f>
        <v/>
      </c>
      <c r="AB2092" s="64">
        <f>IFERROR(INDEX(MgAmenCtrl,MATCH(SUBSTITUTE($H2092,"*","-"),MgAmenClave,0)),"")</f>
        <v/>
      </c>
      <c r="AC2092" s="20" t="n"/>
      <c r="AD2092" s="31">
        <f>IFERROR($X2092*(1-IF($AC2092="",$AL2092,VLOOKUP($AC2092,MgMad,2,0))),"")</f>
        <v/>
      </c>
      <c r="AE2092" s="28">
        <f>IFERROR(LOOKUP(AD2092,{0;0.01;0.1;1;10;100},{"Muy baja";"Muy baja";"Baja";"Media";"Alta";"Muy alta"}),"")</f>
        <v/>
      </c>
      <c r="AF2092" s="30">
        <f>T2092*AD2092</f>
        <v/>
      </c>
      <c r="AG2092" s="28">
        <f>IFERROR(LOOKUP(AF2092,{0;0.5;5;25},{"Bajo";"Medio";"Alto";"Crítico"}),"")</f>
        <v/>
      </c>
      <c r="AH2092" s="28">
        <f>IF(AG2092="","",IF(OR(AG2092="Crítico",AG2092="Alto"),"Mitigar",IF(AG2092="Medio","Mitigar","Aceptar y monitorear")))</f>
        <v/>
      </c>
      <c r="AI2092" s="21" t="n"/>
      <c r="AJ2092" s="21" t="n"/>
      <c r="AK2092" s="20" t="n"/>
      <c r="AL2092" s="77">
        <f>IFERROR(INDEX(MgAmenEfic,MATCH(SUBSTITUTE($H2092,"*","-"),MgAmenClave,0)),0)</f>
        <v/>
      </c>
    </row>
    <row r="2093" hidden="1" ht="60" customHeight="1" s="54">
      <c r="B2093" s="59" t="inlineStr">
        <is>
          <t>R-2088</t>
        </is>
      </c>
      <c r="C2093" s="59" t="inlineStr">
        <is>
          <t>MS-02</t>
        </is>
      </c>
      <c r="D2093" s="64">
        <f>IFERROR(INDEX(MgNombre,MATCH($C2093,MgActId,0)),"")</f>
        <v/>
      </c>
      <c r="E2093" s="64">
        <f>IFERROR(INDEX(MgProceso,MATCH($C2093,MgActId,0)),"")</f>
        <v/>
      </c>
      <c r="F2093" s="64">
        <f>IFERROR(INDEX(MgTipo,MATCH($C2093,MgActId,0)),"")</f>
        <v/>
      </c>
      <c r="G2093" s="64">
        <f>IFERROR(INDEX(MgSubtipo,MATCH($C2093,MgActId,0)),"")</f>
        <v/>
      </c>
      <c r="H2093" s="59" t="inlineStr">
        <is>
          <t>A.7</t>
        </is>
      </c>
      <c r="I2093" s="64">
        <f>IFERROR(INDEX(MgAmenNombre,MATCH(SUBSTITUTE($H2093,"*","-"),MgAmenClave,0)),"")</f>
        <v/>
      </c>
      <c r="J2093" s="28">
        <f>IFERROR(INDEX(MgAmenGrupo,MATCH(SUBSTITUTE($H2093,"*","-"),MgAmenClave,0)),"")</f>
        <v/>
      </c>
      <c r="K2093" s="64">
        <f>IFERROR(INDEX('1. Matriz de Activos'!$Q$6:$Q$239,MATCH($C2093,MgActId,0)),"")</f>
        <v/>
      </c>
      <c r="L2093" s="64">
        <f>IFERROR(INDEX('1. Matriz de Activos'!$R$6:$R$239,MATCH($C2093,MgActId,0)),"")</f>
        <v/>
      </c>
      <c r="M2093" s="64">
        <f>IFERROR(INDEX('1. Matriz de Activos'!$S$6:$S$239,MATCH($C2093,MgActId,0)),"")</f>
        <v/>
      </c>
      <c r="N2093" s="28">
        <f>IFERROR(INDEX(MgAmenDegD,MATCH(SUBSTITUTE($H2093,"*","-"),MgAmenClave,0)),"No aplica")</f>
        <v/>
      </c>
      <c r="O2093" s="28">
        <f>IFERROR(INDEX(MgAmenDegI,MATCH(SUBSTITUTE($H2093,"*","-"),MgAmenClave,0)),"No aplica")</f>
        <v/>
      </c>
      <c r="P2093" s="28">
        <f>IFERROR(INDEX(MgAmenDegC,MATCH(SUBSTITUTE($H2093,"*","-"),MgAmenClave,0)),"No aplica")</f>
        <v/>
      </c>
      <c r="Q2093" s="29">
        <f>IFERROR(VLOOKUP(K2093,MgValor,2,0)*VLOOKUP(N2093,MgDeg,2,0),0)</f>
        <v/>
      </c>
      <c r="R2093" s="29">
        <f>IFERROR(VLOOKUP(L2093,MgValor,2,0)*VLOOKUP(O2093,MgDeg,2,0),0)</f>
        <v/>
      </c>
      <c r="S2093" s="29">
        <f>IFERROR(VLOOKUP(M2093,MgValor,2,0)*VLOOKUP(P2093,MgDeg,2,0),0)</f>
        <v/>
      </c>
      <c r="T2093" s="30">
        <f>MAX(Q2093:S2093)</f>
        <v/>
      </c>
      <c r="U2093" s="28">
        <f>IFERROR(LOOKUP(T2093,{0;0.5;1.5;3;4.5},{"Despreciable";"Bajo";"Medio";"Alto";"Muy alto"}),"")</f>
        <v/>
      </c>
      <c r="V2093" s="13">
        <f>IFERROR(INDEX(MgAmenFrec,MATCH(SUBSTITUTE($H2093,"*","-"),MgAmenClave,0)),"")</f>
        <v/>
      </c>
      <c r="W2093" s="28">
        <f>IFERROR(LOOKUP(X2093,{0;0.01;0.1;1;10;100},{"Muy baja";"Muy baja";"Baja";"Media";"Alta";"Muy alta"}),"")</f>
        <v/>
      </c>
      <c r="X2093" s="31">
        <f>IFERROR(VLOOKUP(V2093,MgFrec,2,0),0)</f>
        <v/>
      </c>
      <c r="Y2093" s="30">
        <f>T2093*X2093</f>
        <v/>
      </c>
      <c r="Z2093" s="28">
        <f>IFERROR(LOOKUP(Y2093,{0;0.5;5;25},{"Bajo";"Medio";"Alto";"Crítico"}),"")</f>
        <v/>
      </c>
      <c r="AA2093" s="64">
        <f>IF(T2093&gt;=3,IF(X2093&gt;=1,"Zona 1 — Crítica: impacto alto y ocurre al menos una vez al año","Zona 4 — Catastrófica poco probable: impacto alto pero excepcional"),IF(AND(T2093&lt;1.5,X2093&lt;1),"Zona 3 — Asumible: impacto bajo y muy poco frecuente","Zona 2 — Atención: riesgo intermedio"))</f>
        <v/>
      </c>
      <c r="AB2093" s="64">
        <f>IFERROR(INDEX(MgAmenCtrl,MATCH(SUBSTITUTE($H2093,"*","-"),MgAmenClave,0)),"")</f>
        <v/>
      </c>
      <c r="AC2093" s="20" t="n"/>
      <c r="AD2093" s="31">
        <f>IFERROR($X2093*(1-IF($AC2093="",$AL2093,VLOOKUP($AC2093,MgMad,2,0))),"")</f>
        <v/>
      </c>
      <c r="AE2093" s="28">
        <f>IFERROR(LOOKUP(AD2093,{0;0.01;0.1;1;10;100},{"Muy baja";"Muy baja";"Baja";"Media";"Alta";"Muy alta"}),"")</f>
        <v/>
      </c>
      <c r="AF2093" s="30">
        <f>T2093*AD2093</f>
        <v/>
      </c>
      <c r="AG2093" s="28">
        <f>IFERROR(LOOKUP(AF2093,{0;0.5;5;25},{"Bajo";"Medio";"Alto";"Crítico"}),"")</f>
        <v/>
      </c>
      <c r="AH2093" s="28">
        <f>IF(AG2093="","",IF(OR(AG2093="Crítico",AG2093="Alto"),"Mitigar",IF(AG2093="Medio","Mitigar","Aceptar y monitorear")))</f>
        <v/>
      </c>
      <c r="AI2093" s="21" t="n"/>
      <c r="AJ2093" s="21" t="n"/>
      <c r="AK2093" s="20" t="n"/>
      <c r="AL2093" s="77">
        <f>IFERROR(INDEX(MgAmenEfic,MATCH(SUBSTITUTE($H2093,"*","-"),MgAmenClave,0)),0)</f>
        <v/>
      </c>
    </row>
    <row r="2094" hidden="1" ht="60" customHeight="1" s="54">
      <c r="B2094" s="59" t="inlineStr">
        <is>
          <t>R-2089</t>
        </is>
      </c>
      <c r="C2094" s="59" t="inlineStr">
        <is>
          <t>MS-02</t>
        </is>
      </c>
      <c r="D2094" s="64">
        <f>IFERROR(INDEX(MgNombre,MATCH($C2094,MgActId,0)),"")</f>
        <v/>
      </c>
      <c r="E2094" s="64">
        <f>IFERROR(INDEX(MgProceso,MATCH($C2094,MgActId,0)),"")</f>
        <v/>
      </c>
      <c r="F2094" s="64">
        <f>IFERROR(INDEX(MgTipo,MATCH($C2094,MgActId,0)),"")</f>
        <v/>
      </c>
      <c r="G2094" s="64">
        <f>IFERROR(INDEX(MgSubtipo,MATCH($C2094,MgActId,0)),"")</f>
        <v/>
      </c>
      <c r="H2094" s="59" t="inlineStr">
        <is>
          <t>A.9</t>
        </is>
      </c>
      <c r="I2094" s="64">
        <f>IFERROR(INDEX(MgAmenNombre,MATCH(SUBSTITUTE($H2094,"*","-"),MgAmenClave,0)),"")</f>
        <v/>
      </c>
      <c r="J2094" s="28">
        <f>IFERROR(INDEX(MgAmenGrupo,MATCH(SUBSTITUTE($H2094,"*","-"),MgAmenClave,0)),"")</f>
        <v/>
      </c>
      <c r="K2094" s="64">
        <f>IFERROR(INDEX('1. Matriz de Activos'!$Q$6:$Q$239,MATCH($C2094,MgActId,0)),"")</f>
        <v/>
      </c>
      <c r="L2094" s="64">
        <f>IFERROR(INDEX('1. Matriz de Activos'!$R$6:$R$239,MATCH($C2094,MgActId,0)),"")</f>
        <v/>
      </c>
      <c r="M2094" s="64">
        <f>IFERROR(INDEX('1. Matriz de Activos'!$S$6:$S$239,MATCH($C2094,MgActId,0)),"")</f>
        <v/>
      </c>
      <c r="N2094" s="28">
        <f>IFERROR(INDEX(MgAmenDegD,MATCH(SUBSTITUTE($H2094,"*","-"),MgAmenClave,0)),"No aplica")</f>
        <v/>
      </c>
      <c r="O2094" s="28">
        <f>IFERROR(INDEX(MgAmenDegI,MATCH(SUBSTITUTE($H2094,"*","-"),MgAmenClave,0)),"No aplica")</f>
        <v/>
      </c>
      <c r="P2094" s="28">
        <f>IFERROR(INDEX(MgAmenDegC,MATCH(SUBSTITUTE($H2094,"*","-"),MgAmenClave,0)),"No aplica")</f>
        <v/>
      </c>
      <c r="Q2094" s="29">
        <f>IFERROR(VLOOKUP(K2094,MgValor,2,0)*VLOOKUP(N2094,MgDeg,2,0),0)</f>
        <v/>
      </c>
      <c r="R2094" s="29">
        <f>IFERROR(VLOOKUP(L2094,MgValor,2,0)*VLOOKUP(O2094,MgDeg,2,0),0)</f>
        <v/>
      </c>
      <c r="S2094" s="29">
        <f>IFERROR(VLOOKUP(M2094,MgValor,2,0)*VLOOKUP(P2094,MgDeg,2,0),0)</f>
        <v/>
      </c>
      <c r="T2094" s="30">
        <f>MAX(Q2094:S2094)</f>
        <v/>
      </c>
      <c r="U2094" s="28">
        <f>IFERROR(LOOKUP(T2094,{0;0.5;1.5;3;4.5},{"Despreciable";"Bajo";"Medio";"Alto";"Muy alto"}),"")</f>
        <v/>
      </c>
      <c r="V2094" s="13">
        <f>IFERROR(INDEX(MgAmenFrec,MATCH(SUBSTITUTE($H2094,"*","-"),MgAmenClave,0)),"")</f>
        <v/>
      </c>
      <c r="W2094" s="28">
        <f>IFERROR(LOOKUP(X2094,{0;0.01;0.1;1;10;100},{"Muy baja";"Muy baja";"Baja";"Media";"Alta";"Muy alta"}),"")</f>
        <v/>
      </c>
      <c r="X2094" s="31">
        <f>IFERROR(VLOOKUP(V2094,MgFrec,2,0),0)</f>
        <v/>
      </c>
      <c r="Y2094" s="30">
        <f>T2094*X2094</f>
        <v/>
      </c>
      <c r="Z2094" s="28">
        <f>IFERROR(LOOKUP(Y2094,{0;0.5;5;25},{"Bajo";"Medio";"Alto";"Crítico"}),"")</f>
        <v/>
      </c>
      <c r="AA2094" s="64">
        <f>IF(T2094&gt;=3,IF(X2094&gt;=1,"Zona 1 — Crítica: impacto alto y ocurre al menos una vez al año","Zona 4 — Catastrófica poco probable: impacto alto pero excepcional"),IF(AND(T2094&lt;1.5,X2094&lt;1),"Zona 3 — Asumible: impacto bajo y muy poco frecuente","Zona 2 — Atención: riesgo intermedio"))</f>
        <v/>
      </c>
      <c r="AB2094" s="64">
        <f>IFERROR(INDEX(MgAmenCtrl,MATCH(SUBSTITUTE($H2094,"*","-"),MgAmenClave,0)),"")</f>
        <v/>
      </c>
      <c r="AC2094" s="20" t="n"/>
      <c r="AD2094" s="31">
        <f>IFERROR($X2094*(1-IF($AC2094="",$AL2094,VLOOKUP($AC2094,MgMad,2,0))),"")</f>
        <v/>
      </c>
      <c r="AE2094" s="28">
        <f>IFERROR(LOOKUP(AD2094,{0;0.01;0.1;1;10;100},{"Muy baja";"Muy baja";"Baja";"Media";"Alta";"Muy alta"}),"")</f>
        <v/>
      </c>
      <c r="AF2094" s="30">
        <f>T2094*AD2094</f>
        <v/>
      </c>
      <c r="AG2094" s="28">
        <f>IFERROR(LOOKUP(AF2094,{0;0.5;5;25},{"Bajo";"Medio";"Alto";"Crítico"}),"")</f>
        <v/>
      </c>
      <c r="AH2094" s="28">
        <f>IF(AG2094="","",IF(OR(AG2094="Crítico",AG2094="Alto"),"Mitigar",IF(AG2094="Medio","Mitigar","Aceptar y monitorear")))</f>
        <v/>
      </c>
      <c r="AI2094" s="21" t="n"/>
      <c r="AJ2094" s="21" t="n"/>
      <c r="AK2094" s="20" t="n"/>
      <c r="AL2094" s="77">
        <f>IFERROR(INDEX(MgAmenEfic,MATCH(SUBSTITUTE($H2094,"*","-"),MgAmenClave,0)),0)</f>
        <v/>
      </c>
    </row>
    <row r="2095" hidden="1" ht="45" customHeight="1" s="54">
      <c r="B2095" s="59" t="inlineStr">
        <is>
          <t>R-2090</t>
        </is>
      </c>
      <c r="C2095" s="59" t="inlineStr">
        <is>
          <t>MS-02</t>
        </is>
      </c>
      <c r="D2095" s="64">
        <f>IFERROR(INDEX(MgNombre,MATCH($C2095,MgActId,0)),"")</f>
        <v/>
      </c>
      <c r="E2095" s="64">
        <f>IFERROR(INDEX(MgProceso,MATCH($C2095,MgActId,0)),"")</f>
        <v/>
      </c>
      <c r="F2095" s="64">
        <f>IFERROR(INDEX(MgTipo,MATCH($C2095,MgActId,0)),"")</f>
        <v/>
      </c>
      <c r="G2095" s="64">
        <f>IFERROR(INDEX(MgSubtipo,MATCH($C2095,MgActId,0)),"")</f>
        <v/>
      </c>
      <c r="H2095" s="59" t="inlineStr">
        <is>
          <t>A.10</t>
        </is>
      </c>
      <c r="I2095" s="64">
        <f>IFERROR(INDEX(MgAmenNombre,MATCH(SUBSTITUTE($H2095,"*","-"),MgAmenClave,0)),"")</f>
        <v/>
      </c>
      <c r="J2095" s="28">
        <f>IFERROR(INDEX(MgAmenGrupo,MATCH(SUBSTITUTE($H2095,"*","-"),MgAmenClave,0)),"")</f>
        <v/>
      </c>
      <c r="K2095" s="64">
        <f>IFERROR(INDEX('1. Matriz de Activos'!$Q$6:$Q$239,MATCH($C2095,MgActId,0)),"")</f>
        <v/>
      </c>
      <c r="L2095" s="64">
        <f>IFERROR(INDEX('1. Matriz de Activos'!$R$6:$R$239,MATCH($C2095,MgActId,0)),"")</f>
        <v/>
      </c>
      <c r="M2095" s="64">
        <f>IFERROR(INDEX('1. Matriz de Activos'!$S$6:$S$239,MATCH($C2095,MgActId,0)),"")</f>
        <v/>
      </c>
      <c r="N2095" s="28">
        <f>IFERROR(INDEX(MgAmenDegD,MATCH(SUBSTITUTE($H2095,"*","-"),MgAmenClave,0)),"No aplica")</f>
        <v/>
      </c>
      <c r="O2095" s="28">
        <f>IFERROR(INDEX(MgAmenDegI,MATCH(SUBSTITUTE($H2095,"*","-"),MgAmenClave,0)),"No aplica")</f>
        <v/>
      </c>
      <c r="P2095" s="28">
        <f>IFERROR(INDEX(MgAmenDegC,MATCH(SUBSTITUTE($H2095,"*","-"),MgAmenClave,0)),"No aplica")</f>
        <v/>
      </c>
      <c r="Q2095" s="29">
        <f>IFERROR(VLOOKUP(K2095,MgValor,2,0)*VLOOKUP(N2095,MgDeg,2,0),0)</f>
        <v/>
      </c>
      <c r="R2095" s="29">
        <f>IFERROR(VLOOKUP(L2095,MgValor,2,0)*VLOOKUP(O2095,MgDeg,2,0),0)</f>
        <v/>
      </c>
      <c r="S2095" s="29">
        <f>IFERROR(VLOOKUP(M2095,MgValor,2,0)*VLOOKUP(P2095,MgDeg,2,0),0)</f>
        <v/>
      </c>
      <c r="T2095" s="30">
        <f>MAX(Q2095:S2095)</f>
        <v/>
      </c>
      <c r="U2095" s="28">
        <f>IFERROR(LOOKUP(T2095,{0;0.5;1.5;3;4.5},{"Despreciable";"Bajo";"Medio";"Alto";"Muy alto"}),"")</f>
        <v/>
      </c>
      <c r="V2095" s="13">
        <f>IFERROR(INDEX(MgAmenFrec,MATCH(SUBSTITUTE($H2095,"*","-"),MgAmenClave,0)),"")</f>
        <v/>
      </c>
      <c r="W2095" s="28">
        <f>IFERROR(LOOKUP(X2095,{0;0.01;0.1;1;10;100},{"Muy baja";"Muy baja";"Baja";"Media";"Alta";"Muy alta"}),"")</f>
        <v/>
      </c>
      <c r="X2095" s="31">
        <f>IFERROR(VLOOKUP(V2095,MgFrec,2,0),0)</f>
        <v/>
      </c>
      <c r="Y2095" s="30">
        <f>T2095*X2095</f>
        <v/>
      </c>
      <c r="Z2095" s="28">
        <f>IFERROR(LOOKUP(Y2095,{0;0.5;5;25},{"Bajo";"Medio";"Alto";"Crítico"}),"")</f>
        <v/>
      </c>
      <c r="AA2095" s="64">
        <f>IF(T2095&gt;=3,IF(X2095&gt;=1,"Zona 1 — Crítica: impacto alto y ocurre al menos una vez al año","Zona 4 — Catastrófica poco probable: impacto alto pero excepcional"),IF(AND(T2095&lt;1.5,X2095&lt;1),"Zona 3 — Asumible: impacto bajo y muy poco frecuente","Zona 2 — Atención: riesgo intermedio"))</f>
        <v/>
      </c>
      <c r="AB2095" s="64">
        <f>IFERROR(INDEX(MgAmenCtrl,MATCH(SUBSTITUTE($H2095,"*","-"),MgAmenClave,0)),"")</f>
        <v/>
      </c>
      <c r="AC2095" s="20" t="n"/>
      <c r="AD2095" s="31">
        <f>IFERROR($X2095*(1-IF($AC2095="",$AL2095,VLOOKUP($AC2095,MgMad,2,0))),"")</f>
        <v/>
      </c>
      <c r="AE2095" s="28">
        <f>IFERROR(LOOKUP(AD2095,{0;0.01;0.1;1;10;100},{"Muy baja";"Muy baja";"Baja";"Media";"Alta";"Muy alta"}),"")</f>
        <v/>
      </c>
      <c r="AF2095" s="30">
        <f>T2095*AD2095</f>
        <v/>
      </c>
      <c r="AG2095" s="28">
        <f>IFERROR(LOOKUP(AF2095,{0;0.5;5;25},{"Bajo";"Medio";"Alto";"Crítico"}),"")</f>
        <v/>
      </c>
      <c r="AH2095" s="28">
        <f>IF(AG2095="","",IF(OR(AG2095="Crítico",AG2095="Alto"),"Mitigar",IF(AG2095="Medio","Mitigar","Aceptar y monitorear")))</f>
        <v/>
      </c>
      <c r="AI2095" s="21" t="n"/>
      <c r="AJ2095" s="21" t="n"/>
      <c r="AK2095" s="20" t="n"/>
      <c r="AL2095" s="77">
        <f>IFERROR(INDEX(MgAmenEfic,MATCH(SUBSTITUTE($H2095,"*","-"),MgAmenClave,0)),0)</f>
        <v/>
      </c>
    </row>
    <row r="2096" hidden="1" ht="120" customHeight="1" s="54">
      <c r="B2096" s="59" t="inlineStr">
        <is>
          <t>R-2091</t>
        </is>
      </c>
      <c r="C2096" s="59" t="inlineStr">
        <is>
          <t>MS-02</t>
        </is>
      </c>
      <c r="D2096" s="64">
        <f>IFERROR(INDEX(MgNombre,MATCH($C2096,MgActId,0)),"")</f>
        <v/>
      </c>
      <c r="E2096" s="64">
        <f>IFERROR(INDEX(MgProceso,MATCH($C2096,MgActId,0)),"")</f>
        <v/>
      </c>
      <c r="F2096" s="64">
        <f>IFERROR(INDEX(MgTipo,MATCH($C2096,MgActId,0)),"")</f>
        <v/>
      </c>
      <c r="G2096" s="64">
        <f>IFERROR(INDEX(MgSubtipo,MATCH($C2096,MgActId,0)),"")</f>
        <v/>
      </c>
      <c r="H2096" s="59" t="inlineStr">
        <is>
          <t>A.11</t>
        </is>
      </c>
      <c r="I2096" s="64">
        <f>IFERROR(INDEX(MgAmenNombre,MATCH(SUBSTITUTE($H2096,"*","-"),MgAmenClave,0)),"")</f>
        <v/>
      </c>
      <c r="J2096" s="28">
        <f>IFERROR(INDEX(MgAmenGrupo,MATCH(SUBSTITUTE($H2096,"*","-"),MgAmenClave,0)),"")</f>
        <v/>
      </c>
      <c r="K2096" s="64">
        <f>IFERROR(INDEX('1. Matriz de Activos'!$Q$6:$Q$239,MATCH($C2096,MgActId,0)),"")</f>
        <v/>
      </c>
      <c r="L2096" s="64">
        <f>IFERROR(INDEX('1. Matriz de Activos'!$R$6:$R$239,MATCH($C2096,MgActId,0)),"")</f>
        <v/>
      </c>
      <c r="M2096" s="64">
        <f>IFERROR(INDEX('1. Matriz de Activos'!$S$6:$S$239,MATCH($C2096,MgActId,0)),"")</f>
        <v/>
      </c>
      <c r="N2096" s="28">
        <f>IFERROR(INDEX(MgAmenDegD,MATCH(SUBSTITUTE($H2096,"*","-"),MgAmenClave,0)),"No aplica")</f>
        <v/>
      </c>
      <c r="O2096" s="28">
        <f>IFERROR(INDEX(MgAmenDegI,MATCH(SUBSTITUTE($H2096,"*","-"),MgAmenClave,0)),"No aplica")</f>
        <v/>
      </c>
      <c r="P2096" s="28">
        <f>IFERROR(INDEX(MgAmenDegC,MATCH(SUBSTITUTE($H2096,"*","-"),MgAmenClave,0)),"No aplica")</f>
        <v/>
      </c>
      <c r="Q2096" s="29">
        <f>IFERROR(VLOOKUP(K2096,MgValor,2,0)*VLOOKUP(N2096,MgDeg,2,0),0)</f>
        <v/>
      </c>
      <c r="R2096" s="29">
        <f>IFERROR(VLOOKUP(L2096,MgValor,2,0)*VLOOKUP(O2096,MgDeg,2,0),0)</f>
        <v/>
      </c>
      <c r="S2096" s="29">
        <f>IFERROR(VLOOKUP(M2096,MgValor,2,0)*VLOOKUP(P2096,MgDeg,2,0),0)</f>
        <v/>
      </c>
      <c r="T2096" s="30">
        <f>MAX(Q2096:S2096)</f>
        <v/>
      </c>
      <c r="U2096" s="28">
        <f>IFERROR(LOOKUP(T2096,{0;0.5;1.5;3;4.5},{"Despreciable";"Bajo";"Medio";"Alto";"Muy alto"}),"")</f>
        <v/>
      </c>
      <c r="V2096" s="13">
        <f>IFERROR(INDEX(MgAmenFrec,MATCH(SUBSTITUTE($H2096,"*","-"),MgAmenClave,0)),"")</f>
        <v/>
      </c>
      <c r="W2096" s="28">
        <f>IFERROR(LOOKUP(X2096,{0;0.01;0.1;1;10;100},{"Muy baja";"Muy baja";"Baja";"Media";"Alta";"Muy alta"}),"")</f>
        <v/>
      </c>
      <c r="X2096" s="31">
        <f>IFERROR(VLOOKUP(V2096,MgFrec,2,0),0)</f>
        <v/>
      </c>
      <c r="Y2096" s="30">
        <f>T2096*X2096</f>
        <v/>
      </c>
      <c r="Z2096" s="28">
        <f>IFERROR(LOOKUP(Y2096,{0;0.5;5;25},{"Bajo";"Medio";"Alto";"Crítico"}),"")</f>
        <v/>
      </c>
      <c r="AA2096" s="64">
        <f>IF(T2096&gt;=3,IF(X2096&gt;=1,"Zona 1 — Crítica: impacto alto y ocurre al menos una vez al año","Zona 4 — Catastrófica poco probable: impacto alto pero excepcional"),IF(AND(T2096&lt;1.5,X2096&lt;1),"Zona 3 — Asumible: impacto bajo y muy poco frecuente","Zona 2 — Atención: riesgo intermedio"))</f>
        <v/>
      </c>
      <c r="AB2096" s="64">
        <f>IFERROR(INDEX(MgAmenCtrl,MATCH(SUBSTITUTE($H2096,"*","-"),MgAmenClave,0)),"")</f>
        <v/>
      </c>
      <c r="AC2096" s="20" t="n"/>
      <c r="AD2096" s="31">
        <f>IFERROR($X2096*(1-IF($AC2096="",$AL2096,VLOOKUP($AC2096,MgMad,2,0))),"")</f>
        <v/>
      </c>
      <c r="AE2096" s="28">
        <f>IFERROR(LOOKUP(AD2096,{0;0.01;0.1;1;10;100},{"Muy baja";"Muy baja";"Baja";"Media";"Alta";"Muy alta"}),"")</f>
        <v/>
      </c>
      <c r="AF2096" s="30">
        <f>T2096*AD2096</f>
        <v/>
      </c>
      <c r="AG2096" s="28">
        <f>IFERROR(LOOKUP(AF2096,{0;0.5;5;25},{"Bajo";"Medio";"Alto";"Crítico"}),"")</f>
        <v/>
      </c>
      <c r="AH2096" s="28">
        <f>IF(AG2096="","",IF(OR(AG2096="Crítico",AG2096="Alto"),"Mitigar",IF(AG2096="Medio","Mitigar","Aceptar y monitorear")))</f>
        <v/>
      </c>
      <c r="AI2096" s="21" t="n"/>
      <c r="AJ2096" s="21" t="n"/>
      <c r="AK2096" s="20" t="n"/>
      <c r="AL2096" s="77">
        <f>IFERROR(INDEX(MgAmenEfic,MATCH(SUBSTITUTE($H2096,"*","-"),MgAmenClave,0)),0)</f>
        <v/>
      </c>
    </row>
    <row r="2097" hidden="1" ht="90" customHeight="1" s="54">
      <c r="B2097" s="59" t="inlineStr">
        <is>
          <t>R-2092</t>
        </is>
      </c>
      <c r="C2097" s="59" t="inlineStr">
        <is>
          <t>MS-02</t>
        </is>
      </c>
      <c r="D2097" s="64">
        <f>IFERROR(INDEX(MgNombre,MATCH($C2097,MgActId,0)),"")</f>
        <v/>
      </c>
      <c r="E2097" s="64">
        <f>IFERROR(INDEX(MgProceso,MATCH($C2097,MgActId,0)),"")</f>
        <v/>
      </c>
      <c r="F2097" s="64">
        <f>IFERROR(INDEX(MgTipo,MATCH($C2097,MgActId,0)),"")</f>
        <v/>
      </c>
      <c r="G2097" s="64">
        <f>IFERROR(INDEX(MgSubtipo,MATCH($C2097,MgActId,0)),"")</f>
        <v/>
      </c>
      <c r="H2097" s="59" t="inlineStr">
        <is>
          <t>A.13</t>
        </is>
      </c>
      <c r="I2097" s="64">
        <f>IFERROR(INDEX(MgAmenNombre,MATCH(SUBSTITUTE($H2097,"*","-"),MgAmenClave,0)),"")</f>
        <v/>
      </c>
      <c r="J2097" s="28">
        <f>IFERROR(INDEX(MgAmenGrupo,MATCH(SUBSTITUTE($H2097,"*","-"),MgAmenClave,0)),"")</f>
        <v/>
      </c>
      <c r="K2097" s="64">
        <f>IFERROR(INDEX('1. Matriz de Activos'!$Q$6:$Q$239,MATCH($C2097,MgActId,0)),"")</f>
        <v/>
      </c>
      <c r="L2097" s="64">
        <f>IFERROR(INDEX('1. Matriz de Activos'!$R$6:$R$239,MATCH($C2097,MgActId,0)),"")</f>
        <v/>
      </c>
      <c r="M2097" s="64">
        <f>IFERROR(INDEX('1. Matriz de Activos'!$S$6:$S$239,MATCH($C2097,MgActId,0)),"")</f>
        <v/>
      </c>
      <c r="N2097" s="28">
        <f>IFERROR(INDEX(MgAmenDegD,MATCH(SUBSTITUTE($H2097,"*","-"),MgAmenClave,0)),"No aplica")</f>
        <v/>
      </c>
      <c r="O2097" s="28">
        <f>IFERROR(INDEX(MgAmenDegI,MATCH(SUBSTITUTE($H2097,"*","-"),MgAmenClave,0)),"No aplica")</f>
        <v/>
      </c>
      <c r="P2097" s="28">
        <f>IFERROR(INDEX(MgAmenDegC,MATCH(SUBSTITUTE($H2097,"*","-"),MgAmenClave,0)),"No aplica")</f>
        <v/>
      </c>
      <c r="Q2097" s="29">
        <f>IFERROR(VLOOKUP(K2097,MgValor,2,0)*VLOOKUP(N2097,MgDeg,2,0),0)</f>
        <v/>
      </c>
      <c r="R2097" s="29">
        <f>IFERROR(VLOOKUP(L2097,MgValor,2,0)*VLOOKUP(O2097,MgDeg,2,0),0)</f>
        <v/>
      </c>
      <c r="S2097" s="29">
        <f>IFERROR(VLOOKUP(M2097,MgValor,2,0)*VLOOKUP(P2097,MgDeg,2,0),0)</f>
        <v/>
      </c>
      <c r="T2097" s="30">
        <f>MAX(Q2097:S2097)</f>
        <v/>
      </c>
      <c r="U2097" s="28">
        <f>IFERROR(LOOKUP(T2097,{0;0.5;1.5;3;4.5},{"Despreciable";"Bajo";"Medio";"Alto";"Muy alto"}),"")</f>
        <v/>
      </c>
      <c r="V2097" s="13">
        <f>IFERROR(INDEX(MgAmenFrec,MATCH(SUBSTITUTE($H2097,"*","-"),MgAmenClave,0)),"")</f>
        <v/>
      </c>
      <c r="W2097" s="28">
        <f>IFERROR(LOOKUP(X2097,{0;0.01;0.1;1;10;100},{"Muy baja";"Muy baja";"Baja";"Media";"Alta";"Muy alta"}),"")</f>
        <v/>
      </c>
      <c r="X2097" s="31">
        <f>IFERROR(VLOOKUP(V2097,MgFrec,2,0),0)</f>
        <v/>
      </c>
      <c r="Y2097" s="30">
        <f>T2097*X2097</f>
        <v/>
      </c>
      <c r="Z2097" s="28">
        <f>IFERROR(LOOKUP(Y2097,{0;0.5;5;25},{"Bajo";"Medio";"Alto";"Crítico"}),"")</f>
        <v/>
      </c>
      <c r="AA2097" s="64">
        <f>IF(T2097&gt;=3,IF(X2097&gt;=1,"Zona 1 — Crítica: impacto alto y ocurre al menos una vez al año","Zona 4 — Catastrófica poco probable: impacto alto pero excepcional"),IF(AND(T2097&lt;1.5,X2097&lt;1),"Zona 3 — Asumible: impacto bajo y muy poco frecuente","Zona 2 — Atención: riesgo intermedio"))</f>
        <v/>
      </c>
      <c r="AB2097" s="64">
        <f>IFERROR(INDEX(MgAmenCtrl,MATCH(SUBSTITUTE($H2097,"*","-"),MgAmenClave,0)),"")</f>
        <v/>
      </c>
      <c r="AC2097" s="20" t="n"/>
      <c r="AD2097" s="31">
        <f>IFERROR($X2097*(1-IF($AC2097="",$AL2097,VLOOKUP($AC2097,MgMad,2,0))),"")</f>
        <v/>
      </c>
      <c r="AE2097" s="28">
        <f>IFERROR(LOOKUP(AD2097,{0;0.01;0.1;1;10;100},{"Muy baja";"Muy baja";"Baja";"Media";"Alta";"Muy alta"}),"")</f>
        <v/>
      </c>
      <c r="AF2097" s="30">
        <f>T2097*AD2097</f>
        <v/>
      </c>
      <c r="AG2097" s="28">
        <f>IFERROR(LOOKUP(AF2097,{0;0.5;5;25},{"Bajo";"Medio";"Alto";"Crítico"}),"")</f>
        <v/>
      </c>
      <c r="AH2097" s="28">
        <f>IF(AG2097="","",IF(OR(AG2097="Crítico",AG2097="Alto"),"Mitigar",IF(AG2097="Medio","Mitigar","Aceptar y monitorear")))</f>
        <v/>
      </c>
      <c r="AI2097" s="21" t="n"/>
      <c r="AJ2097" s="21" t="n"/>
      <c r="AK2097" s="20" t="n"/>
      <c r="AL2097" s="77">
        <f>IFERROR(INDEX(MgAmenEfic,MATCH(SUBSTITUTE($H2097,"*","-"),MgAmenClave,0)),0)</f>
        <v/>
      </c>
    </row>
    <row r="2098" hidden="1" ht="60" customHeight="1" s="54">
      <c r="B2098" s="59" t="inlineStr">
        <is>
          <t>R-2093</t>
        </is>
      </c>
      <c r="C2098" s="59" t="inlineStr">
        <is>
          <t>MS-02</t>
        </is>
      </c>
      <c r="D2098" s="64">
        <f>IFERROR(INDEX(MgNombre,MATCH($C2098,MgActId,0)),"")</f>
        <v/>
      </c>
      <c r="E2098" s="64">
        <f>IFERROR(INDEX(MgProceso,MATCH($C2098,MgActId,0)),"")</f>
        <v/>
      </c>
      <c r="F2098" s="64">
        <f>IFERROR(INDEX(MgTipo,MATCH($C2098,MgActId,0)),"")</f>
        <v/>
      </c>
      <c r="G2098" s="64">
        <f>IFERROR(INDEX(MgSubtipo,MATCH($C2098,MgActId,0)),"")</f>
        <v/>
      </c>
      <c r="H2098" s="59" t="inlineStr">
        <is>
          <t>A.15</t>
        </is>
      </c>
      <c r="I2098" s="64">
        <f>IFERROR(INDEX(MgAmenNombre,MATCH(SUBSTITUTE($H2098,"*","-"),MgAmenClave,0)),"")</f>
        <v/>
      </c>
      <c r="J2098" s="28">
        <f>IFERROR(INDEX(MgAmenGrupo,MATCH(SUBSTITUTE($H2098,"*","-"),MgAmenClave,0)),"")</f>
        <v/>
      </c>
      <c r="K2098" s="64">
        <f>IFERROR(INDEX('1. Matriz de Activos'!$Q$6:$Q$239,MATCH($C2098,MgActId,0)),"")</f>
        <v/>
      </c>
      <c r="L2098" s="64">
        <f>IFERROR(INDEX('1. Matriz de Activos'!$R$6:$R$239,MATCH($C2098,MgActId,0)),"")</f>
        <v/>
      </c>
      <c r="M2098" s="64">
        <f>IFERROR(INDEX('1. Matriz de Activos'!$S$6:$S$239,MATCH($C2098,MgActId,0)),"")</f>
        <v/>
      </c>
      <c r="N2098" s="28">
        <f>IFERROR(INDEX(MgAmenDegD,MATCH(SUBSTITUTE($H2098,"*","-"),MgAmenClave,0)),"No aplica")</f>
        <v/>
      </c>
      <c r="O2098" s="28">
        <f>IFERROR(INDEX(MgAmenDegI,MATCH(SUBSTITUTE($H2098,"*","-"),MgAmenClave,0)),"No aplica")</f>
        <v/>
      </c>
      <c r="P2098" s="28">
        <f>IFERROR(INDEX(MgAmenDegC,MATCH(SUBSTITUTE($H2098,"*","-"),MgAmenClave,0)),"No aplica")</f>
        <v/>
      </c>
      <c r="Q2098" s="29">
        <f>IFERROR(VLOOKUP(K2098,MgValor,2,0)*VLOOKUP(N2098,MgDeg,2,0),0)</f>
        <v/>
      </c>
      <c r="R2098" s="29">
        <f>IFERROR(VLOOKUP(L2098,MgValor,2,0)*VLOOKUP(O2098,MgDeg,2,0),0)</f>
        <v/>
      </c>
      <c r="S2098" s="29">
        <f>IFERROR(VLOOKUP(M2098,MgValor,2,0)*VLOOKUP(P2098,MgDeg,2,0),0)</f>
        <v/>
      </c>
      <c r="T2098" s="30">
        <f>MAX(Q2098:S2098)</f>
        <v/>
      </c>
      <c r="U2098" s="28">
        <f>IFERROR(LOOKUP(T2098,{0;0.5;1.5;3;4.5},{"Despreciable";"Bajo";"Medio";"Alto";"Muy alto"}),"")</f>
        <v/>
      </c>
      <c r="V2098" s="13">
        <f>IFERROR(INDEX(MgAmenFrec,MATCH(SUBSTITUTE($H2098,"*","-"),MgAmenClave,0)),"")</f>
        <v/>
      </c>
      <c r="W2098" s="28">
        <f>IFERROR(LOOKUP(X2098,{0;0.01;0.1;1;10;100},{"Muy baja";"Muy baja";"Baja";"Media";"Alta";"Muy alta"}),"")</f>
        <v/>
      </c>
      <c r="X2098" s="31">
        <f>IFERROR(VLOOKUP(V2098,MgFrec,2,0),0)</f>
        <v/>
      </c>
      <c r="Y2098" s="30">
        <f>T2098*X2098</f>
        <v/>
      </c>
      <c r="Z2098" s="28">
        <f>IFERROR(LOOKUP(Y2098,{0;0.5;5;25},{"Bajo";"Medio";"Alto";"Crítico"}),"")</f>
        <v/>
      </c>
      <c r="AA2098" s="64">
        <f>IF(T2098&gt;=3,IF(X2098&gt;=1,"Zona 1 — Crítica: impacto alto y ocurre al menos una vez al año","Zona 4 — Catastrófica poco probable: impacto alto pero excepcional"),IF(AND(T2098&lt;1.5,X2098&lt;1),"Zona 3 — Asumible: impacto bajo y muy poco frecuente","Zona 2 — Atención: riesgo intermedio"))</f>
        <v/>
      </c>
      <c r="AB2098" s="64">
        <f>IFERROR(INDEX(MgAmenCtrl,MATCH(SUBSTITUTE($H2098,"*","-"),MgAmenClave,0)),"")</f>
        <v/>
      </c>
      <c r="AC2098" s="20" t="n"/>
      <c r="AD2098" s="31">
        <f>IFERROR($X2098*(1-IF($AC2098="",$AL2098,VLOOKUP($AC2098,MgMad,2,0))),"")</f>
        <v/>
      </c>
      <c r="AE2098" s="28">
        <f>IFERROR(LOOKUP(AD2098,{0;0.01;0.1;1;10;100},{"Muy baja";"Muy baja";"Baja";"Media";"Alta";"Muy alta"}),"")</f>
        <v/>
      </c>
      <c r="AF2098" s="30">
        <f>T2098*AD2098</f>
        <v/>
      </c>
      <c r="AG2098" s="28">
        <f>IFERROR(LOOKUP(AF2098,{0;0.5;5;25},{"Bajo";"Medio";"Alto";"Crítico"}),"")</f>
        <v/>
      </c>
      <c r="AH2098" s="28">
        <f>IF(AG2098="","",IF(OR(AG2098="Crítico",AG2098="Alto"),"Mitigar",IF(AG2098="Medio","Mitigar","Aceptar y monitorear")))</f>
        <v/>
      </c>
      <c r="AI2098" s="21" t="n"/>
      <c r="AJ2098" s="21" t="n"/>
      <c r="AK2098" s="20" t="n"/>
      <c r="AL2098" s="77">
        <f>IFERROR(INDEX(MgAmenEfic,MATCH(SUBSTITUTE($H2098,"*","-"),MgAmenClave,0)),0)</f>
        <v/>
      </c>
    </row>
    <row r="2099" hidden="1" ht="60" customHeight="1" s="54">
      <c r="B2099" s="59" t="inlineStr">
        <is>
          <t>R-2094</t>
        </is>
      </c>
      <c r="C2099" s="59" t="inlineStr">
        <is>
          <t>MS-02</t>
        </is>
      </c>
      <c r="D2099" s="64">
        <f>IFERROR(INDEX(MgNombre,MATCH($C2099,MgActId,0)),"")</f>
        <v/>
      </c>
      <c r="E2099" s="64">
        <f>IFERROR(INDEX(MgProceso,MATCH($C2099,MgActId,0)),"")</f>
        <v/>
      </c>
      <c r="F2099" s="64">
        <f>IFERROR(INDEX(MgTipo,MATCH($C2099,MgActId,0)),"")</f>
        <v/>
      </c>
      <c r="G2099" s="64">
        <f>IFERROR(INDEX(MgSubtipo,MATCH($C2099,MgActId,0)),"")</f>
        <v/>
      </c>
      <c r="H2099" s="59" t="inlineStr">
        <is>
          <t>A.18</t>
        </is>
      </c>
      <c r="I2099" s="64">
        <f>IFERROR(INDEX(MgAmenNombre,MATCH(SUBSTITUTE($H2099,"*","-"),MgAmenClave,0)),"")</f>
        <v/>
      </c>
      <c r="J2099" s="28">
        <f>IFERROR(INDEX(MgAmenGrupo,MATCH(SUBSTITUTE($H2099,"*","-"),MgAmenClave,0)),"")</f>
        <v/>
      </c>
      <c r="K2099" s="64">
        <f>IFERROR(INDEX('1. Matriz de Activos'!$Q$6:$Q$239,MATCH($C2099,MgActId,0)),"")</f>
        <v/>
      </c>
      <c r="L2099" s="64">
        <f>IFERROR(INDEX('1. Matriz de Activos'!$R$6:$R$239,MATCH($C2099,MgActId,0)),"")</f>
        <v/>
      </c>
      <c r="M2099" s="64">
        <f>IFERROR(INDEX('1. Matriz de Activos'!$S$6:$S$239,MATCH($C2099,MgActId,0)),"")</f>
        <v/>
      </c>
      <c r="N2099" s="28">
        <f>IFERROR(INDEX(MgAmenDegD,MATCH(SUBSTITUTE($H2099,"*","-"),MgAmenClave,0)),"No aplica")</f>
        <v/>
      </c>
      <c r="O2099" s="28">
        <f>IFERROR(INDEX(MgAmenDegI,MATCH(SUBSTITUTE($H2099,"*","-"),MgAmenClave,0)),"No aplica")</f>
        <v/>
      </c>
      <c r="P2099" s="28">
        <f>IFERROR(INDEX(MgAmenDegC,MATCH(SUBSTITUTE($H2099,"*","-"),MgAmenClave,0)),"No aplica")</f>
        <v/>
      </c>
      <c r="Q2099" s="29">
        <f>IFERROR(VLOOKUP(K2099,MgValor,2,0)*VLOOKUP(N2099,MgDeg,2,0),0)</f>
        <v/>
      </c>
      <c r="R2099" s="29">
        <f>IFERROR(VLOOKUP(L2099,MgValor,2,0)*VLOOKUP(O2099,MgDeg,2,0),0)</f>
        <v/>
      </c>
      <c r="S2099" s="29">
        <f>IFERROR(VLOOKUP(M2099,MgValor,2,0)*VLOOKUP(P2099,MgDeg,2,0),0)</f>
        <v/>
      </c>
      <c r="T2099" s="30">
        <f>MAX(Q2099:S2099)</f>
        <v/>
      </c>
      <c r="U2099" s="28">
        <f>IFERROR(LOOKUP(T2099,{0;0.5;1.5;3;4.5},{"Despreciable";"Bajo";"Medio";"Alto";"Muy alto"}),"")</f>
        <v/>
      </c>
      <c r="V2099" s="13">
        <f>IFERROR(INDEX(MgAmenFrec,MATCH(SUBSTITUTE($H2099,"*","-"),MgAmenClave,0)),"")</f>
        <v/>
      </c>
      <c r="W2099" s="28">
        <f>IFERROR(LOOKUP(X2099,{0;0.01;0.1;1;10;100},{"Muy baja";"Muy baja";"Baja";"Media";"Alta";"Muy alta"}),"")</f>
        <v/>
      </c>
      <c r="X2099" s="31">
        <f>IFERROR(VLOOKUP(V2099,MgFrec,2,0),0)</f>
        <v/>
      </c>
      <c r="Y2099" s="30">
        <f>T2099*X2099</f>
        <v/>
      </c>
      <c r="Z2099" s="28">
        <f>IFERROR(LOOKUP(Y2099,{0;0.5;5;25},{"Bajo";"Medio";"Alto";"Crítico"}),"")</f>
        <v/>
      </c>
      <c r="AA2099" s="64">
        <f>IF(T2099&gt;=3,IF(X2099&gt;=1,"Zona 1 — Crítica: impacto alto y ocurre al menos una vez al año","Zona 4 — Catastrófica poco probable: impacto alto pero excepcional"),IF(AND(T2099&lt;1.5,X2099&lt;1),"Zona 3 — Asumible: impacto bajo y muy poco frecuente","Zona 2 — Atención: riesgo intermedio"))</f>
        <v/>
      </c>
      <c r="AB2099" s="64">
        <f>IFERROR(INDEX(MgAmenCtrl,MATCH(SUBSTITUTE($H2099,"*","-"),MgAmenClave,0)),"")</f>
        <v/>
      </c>
      <c r="AC2099" s="20" t="n"/>
      <c r="AD2099" s="31">
        <f>IFERROR($X2099*(1-IF($AC2099="",$AL2099,VLOOKUP($AC2099,MgMad,2,0))),"")</f>
        <v/>
      </c>
      <c r="AE2099" s="28">
        <f>IFERROR(LOOKUP(AD2099,{0;0.01;0.1;1;10;100},{"Muy baja";"Muy baja";"Baja";"Media";"Alta";"Muy alta"}),"")</f>
        <v/>
      </c>
      <c r="AF2099" s="30">
        <f>T2099*AD2099</f>
        <v/>
      </c>
      <c r="AG2099" s="28">
        <f>IFERROR(LOOKUP(AF2099,{0;0.5;5;25},{"Bajo";"Medio";"Alto";"Crítico"}),"")</f>
        <v/>
      </c>
      <c r="AH2099" s="28">
        <f>IF(AG2099="","",IF(OR(AG2099="Crítico",AG2099="Alto"),"Mitigar",IF(AG2099="Medio","Mitigar","Aceptar y monitorear")))</f>
        <v/>
      </c>
      <c r="AI2099" s="21" t="n"/>
      <c r="AJ2099" s="21" t="n"/>
      <c r="AK2099" s="20" t="n"/>
      <c r="AL2099" s="77">
        <f>IFERROR(INDEX(MgAmenEfic,MATCH(SUBSTITUTE($H2099,"*","-"),MgAmenClave,0)),0)</f>
        <v/>
      </c>
    </row>
    <row r="2100" hidden="1" ht="120" customHeight="1" s="54">
      <c r="B2100" s="59" t="inlineStr">
        <is>
          <t>R-2095</t>
        </is>
      </c>
      <c r="C2100" s="59" t="inlineStr">
        <is>
          <t>MS-02</t>
        </is>
      </c>
      <c r="D2100" s="64">
        <f>IFERROR(INDEX(MgNombre,MATCH($C2100,MgActId,0)),"")</f>
        <v/>
      </c>
      <c r="E2100" s="64">
        <f>IFERROR(INDEX(MgProceso,MATCH($C2100,MgActId,0)),"")</f>
        <v/>
      </c>
      <c r="F2100" s="64">
        <f>IFERROR(INDEX(MgTipo,MATCH($C2100,MgActId,0)),"")</f>
        <v/>
      </c>
      <c r="G2100" s="64">
        <f>IFERROR(INDEX(MgSubtipo,MATCH($C2100,MgActId,0)),"")</f>
        <v/>
      </c>
      <c r="H2100" s="59" t="inlineStr">
        <is>
          <t>A.19</t>
        </is>
      </c>
      <c r="I2100" s="64">
        <f>IFERROR(INDEX(MgAmenNombre,MATCH(SUBSTITUTE($H2100,"*","-"),MgAmenClave,0)),"")</f>
        <v/>
      </c>
      <c r="J2100" s="28">
        <f>IFERROR(INDEX(MgAmenGrupo,MATCH(SUBSTITUTE($H2100,"*","-"),MgAmenClave,0)),"")</f>
        <v/>
      </c>
      <c r="K2100" s="64">
        <f>IFERROR(INDEX('1. Matriz de Activos'!$Q$6:$Q$239,MATCH($C2100,MgActId,0)),"")</f>
        <v/>
      </c>
      <c r="L2100" s="64">
        <f>IFERROR(INDEX('1. Matriz de Activos'!$R$6:$R$239,MATCH($C2100,MgActId,0)),"")</f>
        <v/>
      </c>
      <c r="M2100" s="64">
        <f>IFERROR(INDEX('1. Matriz de Activos'!$S$6:$S$239,MATCH($C2100,MgActId,0)),"")</f>
        <v/>
      </c>
      <c r="N2100" s="28">
        <f>IFERROR(INDEX(MgAmenDegD,MATCH(SUBSTITUTE($H2100,"*","-"),MgAmenClave,0)),"No aplica")</f>
        <v/>
      </c>
      <c r="O2100" s="28">
        <f>IFERROR(INDEX(MgAmenDegI,MATCH(SUBSTITUTE($H2100,"*","-"),MgAmenClave,0)),"No aplica")</f>
        <v/>
      </c>
      <c r="P2100" s="28">
        <f>IFERROR(INDEX(MgAmenDegC,MATCH(SUBSTITUTE($H2100,"*","-"),MgAmenClave,0)),"No aplica")</f>
        <v/>
      </c>
      <c r="Q2100" s="29">
        <f>IFERROR(VLOOKUP(K2100,MgValor,2,0)*VLOOKUP(N2100,MgDeg,2,0),0)</f>
        <v/>
      </c>
      <c r="R2100" s="29">
        <f>IFERROR(VLOOKUP(L2100,MgValor,2,0)*VLOOKUP(O2100,MgDeg,2,0),0)</f>
        <v/>
      </c>
      <c r="S2100" s="29">
        <f>IFERROR(VLOOKUP(M2100,MgValor,2,0)*VLOOKUP(P2100,MgDeg,2,0),0)</f>
        <v/>
      </c>
      <c r="T2100" s="30">
        <f>MAX(Q2100:S2100)</f>
        <v/>
      </c>
      <c r="U2100" s="28">
        <f>IFERROR(LOOKUP(T2100,{0;0.5;1.5;3;4.5},{"Despreciable";"Bajo";"Medio";"Alto";"Muy alto"}),"")</f>
        <v/>
      </c>
      <c r="V2100" s="13">
        <f>IFERROR(INDEX(MgAmenFrec,MATCH(SUBSTITUTE($H2100,"*","-"),MgAmenClave,0)),"")</f>
        <v/>
      </c>
      <c r="W2100" s="28">
        <f>IFERROR(LOOKUP(X2100,{0;0.01;0.1;1;10;100},{"Muy baja";"Muy baja";"Baja";"Media";"Alta";"Muy alta"}),"")</f>
        <v/>
      </c>
      <c r="X2100" s="31">
        <f>IFERROR(VLOOKUP(V2100,MgFrec,2,0),0)</f>
        <v/>
      </c>
      <c r="Y2100" s="30">
        <f>T2100*X2100</f>
        <v/>
      </c>
      <c r="Z2100" s="28">
        <f>IFERROR(LOOKUP(Y2100,{0;0.5;5;25},{"Bajo";"Medio";"Alto";"Crítico"}),"")</f>
        <v/>
      </c>
      <c r="AA2100" s="64">
        <f>IF(T2100&gt;=3,IF(X2100&gt;=1,"Zona 1 — Crítica: impacto alto y ocurre al menos una vez al año","Zona 4 — Catastrófica poco probable: impacto alto pero excepcional"),IF(AND(T2100&lt;1.5,X2100&lt;1),"Zona 3 — Asumible: impacto bajo y muy poco frecuente","Zona 2 — Atención: riesgo intermedio"))</f>
        <v/>
      </c>
      <c r="AB2100" s="64">
        <f>IFERROR(INDEX(MgAmenCtrl,MATCH(SUBSTITUTE($H2100,"*","-"),MgAmenClave,0)),"")</f>
        <v/>
      </c>
      <c r="AC2100" s="20" t="n"/>
      <c r="AD2100" s="31">
        <f>IFERROR($X2100*(1-IF($AC2100="",$AL2100,VLOOKUP($AC2100,MgMad,2,0))),"")</f>
        <v/>
      </c>
      <c r="AE2100" s="28">
        <f>IFERROR(LOOKUP(AD2100,{0;0.01;0.1;1;10;100},{"Muy baja";"Muy baja";"Baja";"Media";"Alta";"Muy alta"}),"")</f>
        <v/>
      </c>
      <c r="AF2100" s="30">
        <f>T2100*AD2100</f>
        <v/>
      </c>
      <c r="AG2100" s="28">
        <f>IFERROR(LOOKUP(AF2100,{0;0.5;5;25},{"Bajo";"Medio";"Alto";"Crítico"}),"")</f>
        <v/>
      </c>
      <c r="AH2100" s="28">
        <f>IF(AG2100="","",IF(OR(AG2100="Crítico",AG2100="Alto"),"Mitigar",IF(AG2100="Medio","Mitigar","Aceptar y monitorear")))</f>
        <v/>
      </c>
      <c r="AI2100" s="21" t="n"/>
      <c r="AJ2100" s="21" t="n"/>
      <c r="AK2100" s="20" t="n"/>
      <c r="AL2100" s="77">
        <f>IFERROR(INDEX(MgAmenEfic,MATCH(SUBSTITUTE($H2100,"*","-"),MgAmenClave,0)),0)</f>
        <v/>
      </c>
    </row>
    <row r="2101" hidden="1" ht="60" customHeight="1" s="54">
      <c r="B2101" s="59" t="inlineStr">
        <is>
          <t>R-2096</t>
        </is>
      </c>
      <c r="C2101" s="59" t="inlineStr">
        <is>
          <t>MS-02</t>
        </is>
      </c>
      <c r="D2101" s="64">
        <f>IFERROR(INDEX(MgNombre,MATCH($C2101,MgActId,0)),"")</f>
        <v/>
      </c>
      <c r="E2101" s="64">
        <f>IFERROR(INDEX(MgProceso,MATCH($C2101,MgActId,0)),"")</f>
        <v/>
      </c>
      <c r="F2101" s="64">
        <f>IFERROR(INDEX(MgTipo,MATCH($C2101,MgActId,0)),"")</f>
        <v/>
      </c>
      <c r="G2101" s="64">
        <f>IFERROR(INDEX(MgSubtipo,MATCH($C2101,MgActId,0)),"")</f>
        <v/>
      </c>
      <c r="H2101" s="59" t="inlineStr">
        <is>
          <t>A.24</t>
        </is>
      </c>
      <c r="I2101" s="64">
        <f>IFERROR(INDEX(MgAmenNombre,MATCH(SUBSTITUTE($H2101,"*","-"),MgAmenClave,0)),"")</f>
        <v/>
      </c>
      <c r="J2101" s="28">
        <f>IFERROR(INDEX(MgAmenGrupo,MATCH(SUBSTITUTE($H2101,"*","-"),MgAmenClave,0)),"")</f>
        <v/>
      </c>
      <c r="K2101" s="64">
        <f>IFERROR(INDEX('1. Matriz de Activos'!$Q$6:$Q$239,MATCH($C2101,MgActId,0)),"")</f>
        <v/>
      </c>
      <c r="L2101" s="64">
        <f>IFERROR(INDEX('1. Matriz de Activos'!$R$6:$R$239,MATCH($C2101,MgActId,0)),"")</f>
        <v/>
      </c>
      <c r="M2101" s="64">
        <f>IFERROR(INDEX('1. Matriz de Activos'!$S$6:$S$239,MATCH($C2101,MgActId,0)),"")</f>
        <v/>
      </c>
      <c r="N2101" s="28">
        <f>IFERROR(INDEX(MgAmenDegD,MATCH(SUBSTITUTE($H2101,"*","-"),MgAmenClave,0)),"No aplica")</f>
        <v/>
      </c>
      <c r="O2101" s="28">
        <f>IFERROR(INDEX(MgAmenDegI,MATCH(SUBSTITUTE($H2101,"*","-"),MgAmenClave,0)),"No aplica")</f>
        <v/>
      </c>
      <c r="P2101" s="28">
        <f>IFERROR(INDEX(MgAmenDegC,MATCH(SUBSTITUTE($H2101,"*","-"),MgAmenClave,0)),"No aplica")</f>
        <v/>
      </c>
      <c r="Q2101" s="29">
        <f>IFERROR(VLOOKUP(K2101,MgValor,2,0)*VLOOKUP(N2101,MgDeg,2,0),0)</f>
        <v/>
      </c>
      <c r="R2101" s="29">
        <f>IFERROR(VLOOKUP(L2101,MgValor,2,0)*VLOOKUP(O2101,MgDeg,2,0),0)</f>
        <v/>
      </c>
      <c r="S2101" s="29">
        <f>IFERROR(VLOOKUP(M2101,MgValor,2,0)*VLOOKUP(P2101,MgDeg,2,0),0)</f>
        <v/>
      </c>
      <c r="T2101" s="30">
        <f>MAX(Q2101:S2101)</f>
        <v/>
      </c>
      <c r="U2101" s="28">
        <f>IFERROR(LOOKUP(T2101,{0;0.5;1.5;3;4.5},{"Despreciable";"Bajo";"Medio";"Alto";"Muy alto"}),"")</f>
        <v/>
      </c>
      <c r="V2101" s="13">
        <f>IFERROR(INDEX(MgAmenFrec,MATCH(SUBSTITUTE($H2101,"*","-"),MgAmenClave,0)),"")</f>
        <v/>
      </c>
      <c r="W2101" s="28">
        <f>IFERROR(LOOKUP(X2101,{0;0.01;0.1;1;10;100},{"Muy baja";"Muy baja";"Baja";"Media";"Alta";"Muy alta"}),"")</f>
        <v/>
      </c>
      <c r="X2101" s="31">
        <f>IFERROR(VLOOKUP(V2101,MgFrec,2,0),0)</f>
        <v/>
      </c>
      <c r="Y2101" s="30">
        <f>T2101*X2101</f>
        <v/>
      </c>
      <c r="Z2101" s="28">
        <f>IFERROR(LOOKUP(Y2101,{0;0.5;5;25},{"Bajo";"Medio";"Alto";"Crítico"}),"")</f>
        <v/>
      </c>
      <c r="AA2101" s="64">
        <f>IF(T2101&gt;=3,IF(X2101&gt;=1,"Zona 1 — Crítica: impacto alto y ocurre al menos una vez al año","Zona 4 — Catastrófica poco probable: impacto alto pero excepcional"),IF(AND(T2101&lt;1.5,X2101&lt;1),"Zona 3 — Asumible: impacto bajo y muy poco frecuente","Zona 2 — Atención: riesgo intermedio"))</f>
        <v/>
      </c>
      <c r="AB2101" s="64">
        <f>IFERROR(INDEX(MgAmenCtrl,MATCH(SUBSTITUTE($H2101,"*","-"),MgAmenClave,0)),"")</f>
        <v/>
      </c>
      <c r="AC2101" s="20" t="n"/>
      <c r="AD2101" s="31">
        <f>IFERROR($X2101*(1-IF($AC2101="",$AL2101,VLOOKUP($AC2101,MgMad,2,0))),"")</f>
        <v/>
      </c>
      <c r="AE2101" s="28">
        <f>IFERROR(LOOKUP(AD2101,{0;0.01;0.1;1;10;100},{"Muy baja";"Muy baja";"Baja";"Media";"Alta";"Muy alta"}),"")</f>
        <v/>
      </c>
      <c r="AF2101" s="30">
        <f>T2101*AD2101</f>
        <v/>
      </c>
      <c r="AG2101" s="28">
        <f>IFERROR(LOOKUP(AF2101,{0;0.5;5;25},{"Bajo";"Medio";"Alto";"Crítico"}),"")</f>
        <v/>
      </c>
      <c r="AH2101" s="28">
        <f>IF(AG2101="","",IF(OR(AG2101="Crítico",AG2101="Alto"),"Mitigar",IF(AG2101="Medio","Mitigar","Aceptar y monitorear")))</f>
        <v/>
      </c>
      <c r="AI2101" s="21" t="n"/>
      <c r="AJ2101" s="21" t="n"/>
      <c r="AK2101" s="20" t="n"/>
      <c r="AL2101" s="77">
        <f>IFERROR(INDEX(MgAmenEfic,MATCH(SUBSTITUTE($H2101,"*","-"),MgAmenClave,0)),0)</f>
        <v/>
      </c>
    </row>
    <row r="2102" hidden="1" ht="105" customHeight="1" s="54">
      <c r="B2102" s="59" t="inlineStr">
        <is>
          <t>R-2097</t>
        </is>
      </c>
      <c r="C2102" s="59" t="inlineStr">
        <is>
          <t>FIN-28</t>
        </is>
      </c>
      <c r="D2102" s="64">
        <f>IFERROR(INDEX(MgNombre,MATCH($C2102,MgActId,0)),"")</f>
        <v/>
      </c>
      <c r="E2102" s="64">
        <f>IFERROR(INDEX(MgProceso,MATCH($C2102,MgActId,0)),"")</f>
        <v/>
      </c>
      <c r="F2102" s="64">
        <f>IFERROR(INDEX(MgTipo,MATCH($C2102,MgActId,0)),"")</f>
        <v/>
      </c>
      <c r="G2102" s="64">
        <f>IFERROR(INDEX(MgSubtipo,MATCH($C2102,MgActId,0)),"")</f>
        <v/>
      </c>
      <c r="H2102" s="59" t="inlineStr">
        <is>
          <t>E.1</t>
        </is>
      </c>
      <c r="I2102" s="64">
        <f>IFERROR(INDEX(MgAmenNombre,MATCH(SUBSTITUTE($H2102,"*","-"),MgAmenClave,0)),"")</f>
        <v/>
      </c>
      <c r="J2102" s="28">
        <f>IFERROR(INDEX(MgAmenGrupo,MATCH(SUBSTITUTE($H2102,"*","-"),MgAmenClave,0)),"")</f>
        <v/>
      </c>
      <c r="K2102" s="64">
        <f>IFERROR(INDEX('1. Matriz de Activos'!$Q$6:$Q$239,MATCH($C2102,MgActId,0)),"")</f>
        <v/>
      </c>
      <c r="L2102" s="64">
        <f>IFERROR(INDEX('1. Matriz de Activos'!$R$6:$R$239,MATCH($C2102,MgActId,0)),"")</f>
        <v/>
      </c>
      <c r="M2102" s="64">
        <f>IFERROR(INDEX('1. Matriz de Activos'!$S$6:$S$239,MATCH($C2102,MgActId,0)),"")</f>
        <v/>
      </c>
      <c r="N2102" s="28">
        <f>IFERROR(INDEX(MgAmenDegD,MATCH(SUBSTITUTE($H2102,"*","-"),MgAmenClave,0)),"No aplica")</f>
        <v/>
      </c>
      <c r="O2102" s="28">
        <f>IFERROR(INDEX(MgAmenDegI,MATCH(SUBSTITUTE($H2102,"*","-"),MgAmenClave,0)),"No aplica")</f>
        <v/>
      </c>
      <c r="P2102" s="28">
        <f>IFERROR(INDEX(MgAmenDegC,MATCH(SUBSTITUTE($H2102,"*","-"),MgAmenClave,0)),"No aplica")</f>
        <v/>
      </c>
      <c r="Q2102" s="29">
        <f>IFERROR(VLOOKUP(K2102,MgValor,2,0)*VLOOKUP(N2102,MgDeg,2,0),0)</f>
        <v/>
      </c>
      <c r="R2102" s="29">
        <f>IFERROR(VLOOKUP(L2102,MgValor,2,0)*VLOOKUP(O2102,MgDeg,2,0),0)</f>
        <v/>
      </c>
      <c r="S2102" s="29">
        <f>IFERROR(VLOOKUP(M2102,MgValor,2,0)*VLOOKUP(P2102,MgDeg,2,0),0)</f>
        <v/>
      </c>
      <c r="T2102" s="30">
        <f>MAX(Q2102:S2102)</f>
        <v/>
      </c>
      <c r="U2102" s="28">
        <f>IFERROR(LOOKUP(T2102,{0;0.5;1.5;3;4.5},{"Despreciable";"Bajo";"Medio";"Alto";"Muy alto"}),"")</f>
        <v/>
      </c>
      <c r="V2102" s="13">
        <f>IFERROR(INDEX(MgAmenFrec,MATCH(SUBSTITUTE($H2102,"*","-"),MgAmenClave,0)),"")</f>
        <v/>
      </c>
      <c r="W2102" s="28">
        <f>IFERROR(LOOKUP(X2102,{0;0.01;0.1;1;10;100},{"Muy baja";"Muy baja";"Baja";"Media";"Alta";"Muy alta"}),"")</f>
        <v/>
      </c>
      <c r="X2102" s="31">
        <f>IFERROR(VLOOKUP(V2102,MgFrec,2,0),0)</f>
        <v/>
      </c>
      <c r="Y2102" s="30">
        <f>T2102*X2102</f>
        <v/>
      </c>
      <c r="Z2102" s="28">
        <f>IFERROR(LOOKUP(Y2102,{0;0.5;5;25},{"Bajo";"Medio";"Alto";"Crítico"}),"")</f>
        <v/>
      </c>
      <c r="AA2102" s="64">
        <f>IF(T2102&gt;=3,IF(X2102&gt;=1,"Zona 1 — Crítica: impacto alto y ocurre al menos una vez al año","Zona 4 — Catastrófica poco probable: impacto alto pero excepcional"),IF(AND(T2102&lt;1.5,X2102&lt;1),"Zona 3 — Asumible: impacto bajo y muy poco frecuente","Zona 2 — Atención: riesgo intermedio"))</f>
        <v/>
      </c>
      <c r="AB2102" s="64">
        <f>IFERROR(INDEX(MgAmenCtrl,MATCH(SUBSTITUTE($H2102,"*","-"),MgAmenClave,0)),"")</f>
        <v/>
      </c>
      <c r="AC2102" s="20" t="n"/>
      <c r="AD2102" s="31">
        <f>IFERROR($X2102*(1-IF($AC2102="",$AL2102,VLOOKUP($AC2102,MgMad,2,0))),"")</f>
        <v/>
      </c>
      <c r="AE2102" s="28">
        <f>IFERROR(LOOKUP(AD2102,{0;0.01;0.1;1;10;100},{"Muy baja";"Muy baja";"Baja";"Media";"Alta";"Muy alta"}),"")</f>
        <v/>
      </c>
      <c r="AF2102" s="30">
        <f>T2102*AD2102</f>
        <v/>
      </c>
      <c r="AG2102" s="28">
        <f>IFERROR(LOOKUP(AF2102,{0;0.5;5;25},{"Bajo";"Medio";"Alto";"Crítico"}),"")</f>
        <v/>
      </c>
      <c r="AH2102" s="28">
        <f>IF(AG2102="","",IF(OR(AG2102="Crítico",AG2102="Alto"),"Mitigar",IF(AG2102="Medio","Mitigar","Aceptar y monitorear")))</f>
        <v/>
      </c>
      <c r="AI2102" s="21" t="n"/>
      <c r="AJ2102" s="21" t="n"/>
      <c r="AK2102" s="20" t="n"/>
      <c r="AL2102" s="77">
        <f>IFERROR(INDEX(MgAmenEfic,MATCH(SUBSTITUTE($H2102,"*","-"),MgAmenClave,0)),0)</f>
        <v/>
      </c>
    </row>
    <row r="2103" hidden="1" ht="120" customHeight="1" s="54">
      <c r="B2103" s="59" t="inlineStr">
        <is>
          <t>R-2098</t>
        </is>
      </c>
      <c r="C2103" s="59" t="inlineStr">
        <is>
          <t>FIN-28</t>
        </is>
      </c>
      <c r="D2103" s="64">
        <f>IFERROR(INDEX(MgNombre,MATCH($C2103,MgActId,0)),"")</f>
        <v/>
      </c>
      <c r="E2103" s="64">
        <f>IFERROR(INDEX(MgProceso,MATCH($C2103,MgActId,0)),"")</f>
        <v/>
      </c>
      <c r="F2103" s="64">
        <f>IFERROR(INDEX(MgTipo,MATCH($C2103,MgActId,0)),"")</f>
        <v/>
      </c>
      <c r="G2103" s="64">
        <f>IFERROR(INDEX(MgSubtipo,MATCH($C2103,MgActId,0)),"")</f>
        <v/>
      </c>
      <c r="H2103" s="59" t="inlineStr">
        <is>
          <t>E.2</t>
        </is>
      </c>
      <c r="I2103" s="64">
        <f>IFERROR(INDEX(MgAmenNombre,MATCH(SUBSTITUTE($H2103,"*","-"),MgAmenClave,0)),"")</f>
        <v/>
      </c>
      <c r="J2103" s="28">
        <f>IFERROR(INDEX(MgAmenGrupo,MATCH(SUBSTITUTE($H2103,"*","-"),MgAmenClave,0)),"")</f>
        <v/>
      </c>
      <c r="K2103" s="64">
        <f>IFERROR(INDEX('1. Matriz de Activos'!$Q$6:$Q$239,MATCH($C2103,MgActId,0)),"")</f>
        <v/>
      </c>
      <c r="L2103" s="64">
        <f>IFERROR(INDEX('1. Matriz de Activos'!$R$6:$R$239,MATCH($C2103,MgActId,0)),"")</f>
        <v/>
      </c>
      <c r="M2103" s="64">
        <f>IFERROR(INDEX('1. Matriz de Activos'!$S$6:$S$239,MATCH($C2103,MgActId,0)),"")</f>
        <v/>
      </c>
      <c r="N2103" s="28">
        <f>IFERROR(INDEX(MgAmenDegD,MATCH(SUBSTITUTE($H2103,"*","-"),MgAmenClave,0)),"No aplica")</f>
        <v/>
      </c>
      <c r="O2103" s="28">
        <f>IFERROR(INDEX(MgAmenDegI,MATCH(SUBSTITUTE($H2103,"*","-"),MgAmenClave,0)),"No aplica")</f>
        <v/>
      </c>
      <c r="P2103" s="28">
        <f>IFERROR(INDEX(MgAmenDegC,MATCH(SUBSTITUTE($H2103,"*","-"),MgAmenClave,0)),"No aplica")</f>
        <v/>
      </c>
      <c r="Q2103" s="29">
        <f>IFERROR(VLOOKUP(K2103,MgValor,2,0)*VLOOKUP(N2103,MgDeg,2,0),0)</f>
        <v/>
      </c>
      <c r="R2103" s="29">
        <f>IFERROR(VLOOKUP(L2103,MgValor,2,0)*VLOOKUP(O2103,MgDeg,2,0),0)</f>
        <v/>
      </c>
      <c r="S2103" s="29">
        <f>IFERROR(VLOOKUP(M2103,MgValor,2,0)*VLOOKUP(P2103,MgDeg,2,0),0)</f>
        <v/>
      </c>
      <c r="T2103" s="30">
        <f>MAX(Q2103:S2103)</f>
        <v/>
      </c>
      <c r="U2103" s="28">
        <f>IFERROR(LOOKUP(T2103,{0;0.5;1.5;3;4.5},{"Despreciable";"Bajo";"Medio";"Alto";"Muy alto"}),"")</f>
        <v/>
      </c>
      <c r="V2103" s="13">
        <f>IFERROR(INDEX(MgAmenFrec,MATCH(SUBSTITUTE($H2103,"*","-"),MgAmenClave,0)),"")</f>
        <v/>
      </c>
      <c r="W2103" s="28">
        <f>IFERROR(LOOKUP(X2103,{0;0.01;0.1;1;10;100},{"Muy baja";"Muy baja";"Baja";"Media";"Alta";"Muy alta"}),"")</f>
        <v/>
      </c>
      <c r="X2103" s="31">
        <f>IFERROR(VLOOKUP(V2103,MgFrec,2,0),0)</f>
        <v/>
      </c>
      <c r="Y2103" s="30">
        <f>T2103*X2103</f>
        <v/>
      </c>
      <c r="Z2103" s="28">
        <f>IFERROR(LOOKUP(Y2103,{0;0.5;5;25},{"Bajo";"Medio";"Alto";"Crítico"}),"")</f>
        <v/>
      </c>
      <c r="AA2103" s="64">
        <f>IF(T2103&gt;=3,IF(X2103&gt;=1,"Zona 1 — Crítica: impacto alto y ocurre al menos una vez al año","Zona 4 — Catastrófica poco probable: impacto alto pero excepcional"),IF(AND(T2103&lt;1.5,X2103&lt;1),"Zona 3 — Asumible: impacto bajo y muy poco frecuente","Zona 2 — Atención: riesgo intermedio"))</f>
        <v/>
      </c>
      <c r="AB2103" s="64">
        <f>IFERROR(INDEX(MgAmenCtrl,MATCH(SUBSTITUTE($H2103,"*","-"),MgAmenClave,0)),"")</f>
        <v/>
      </c>
      <c r="AC2103" s="20" t="n"/>
      <c r="AD2103" s="31">
        <f>IFERROR($X2103*(1-IF($AC2103="",$AL2103,VLOOKUP($AC2103,MgMad,2,0))),"")</f>
        <v/>
      </c>
      <c r="AE2103" s="28">
        <f>IFERROR(LOOKUP(AD2103,{0;0.01;0.1;1;10;100},{"Muy baja";"Muy baja";"Baja";"Media";"Alta";"Muy alta"}),"")</f>
        <v/>
      </c>
      <c r="AF2103" s="30">
        <f>T2103*AD2103</f>
        <v/>
      </c>
      <c r="AG2103" s="28">
        <f>IFERROR(LOOKUP(AF2103,{0;0.5;5;25},{"Bajo";"Medio";"Alto";"Crítico"}),"")</f>
        <v/>
      </c>
      <c r="AH2103" s="28">
        <f>IF(AG2103="","",IF(OR(AG2103="Crítico",AG2103="Alto"),"Mitigar",IF(AG2103="Medio","Mitigar","Aceptar y monitorear")))</f>
        <v/>
      </c>
      <c r="AI2103" s="21" t="n"/>
      <c r="AJ2103" s="21" t="n"/>
      <c r="AK2103" s="20" t="n"/>
      <c r="AL2103" s="77">
        <f>IFERROR(INDEX(MgAmenEfic,MATCH(SUBSTITUTE($H2103,"*","-"),MgAmenClave,0)),0)</f>
        <v/>
      </c>
    </row>
    <row r="2104" hidden="1" ht="60" customHeight="1" s="54">
      <c r="B2104" s="59" t="inlineStr">
        <is>
          <t>R-2099</t>
        </is>
      </c>
      <c r="C2104" s="59" t="inlineStr">
        <is>
          <t>FIN-28</t>
        </is>
      </c>
      <c r="D2104" s="64">
        <f>IFERROR(INDEX(MgNombre,MATCH($C2104,MgActId,0)),"")</f>
        <v/>
      </c>
      <c r="E2104" s="64">
        <f>IFERROR(INDEX(MgProceso,MATCH($C2104,MgActId,0)),"")</f>
        <v/>
      </c>
      <c r="F2104" s="64">
        <f>IFERROR(INDEX(MgTipo,MATCH($C2104,MgActId,0)),"")</f>
        <v/>
      </c>
      <c r="G2104" s="64">
        <f>IFERROR(INDEX(MgSubtipo,MATCH($C2104,MgActId,0)),"")</f>
        <v/>
      </c>
      <c r="H2104" s="59" t="inlineStr">
        <is>
          <t>E.9</t>
        </is>
      </c>
      <c r="I2104" s="64">
        <f>IFERROR(INDEX(MgAmenNombre,MATCH(SUBSTITUTE($H2104,"*","-"),MgAmenClave,0)),"")</f>
        <v/>
      </c>
      <c r="J2104" s="28">
        <f>IFERROR(INDEX(MgAmenGrupo,MATCH(SUBSTITUTE($H2104,"*","-"),MgAmenClave,0)),"")</f>
        <v/>
      </c>
      <c r="K2104" s="64">
        <f>IFERROR(INDEX('1. Matriz de Activos'!$Q$6:$Q$239,MATCH($C2104,MgActId,0)),"")</f>
        <v/>
      </c>
      <c r="L2104" s="64">
        <f>IFERROR(INDEX('1. Matriz de Activos'!$R$6:$R$239,MATCH($C2104,MgActId,0)),"")</f>
        <v/>
      </c>
      <c r="M2104" s="64">
        <f>IFERROR(INDEX('1. Matriz de Activos'!$S$6:$S$239,MATCH($C2104,MgActId,0)),"")</f>
        <v/>
      </c>
      <c r="N2104" s="28">
        <f>IFERROR(INDEX(MgAmenDegD,MATCH(SUBSTITUTE($H2104,"*","-"),MgAmenClave,0)),"No aplica")</f>
        <v/>
      </c>
      <c r="O2104" s="28">
        <f>IFERROR(INDEX(MgAmenDegI,MATCH(SUBSTITUTE($H2104,"*","-"),MgAmenClave,0)),"No aplica")</f>
        <v/>
      </c>
      <c r="P2104" s="28">
        <f>IFERROR(INDEX(MgAmenDegC,MATCH(SUBSTITUTE($H2104,"*","-"),MgAmenClave,0)),"No aplica")</f>
        <v/>
      </c>
      <c r="Q2104" s="29">
        <f>IFERROR(VLOOKUP(K2104,MgValor,2,0)*VLOOKUP(N2104,MgDeg,2,0),0)</f>
        <v/>
      </c>
      <c r="R2104" s="29">
        <f>IFERROR(VLOOKUP(L2104,MgValor,2,0)*VLOOKUP(O2104,MgDeg,2,0),0)</f>
        <v/>
      </c>
      <c r="S2104" s="29">
        <f>IFERROR(VLOOKUP(M2104,MgValor,2,0)*VLOOKUP(P2104,MgDeg,2,0),0)</f>
        <v/>
      </c>
      <c r="T2104" s="30">
        <f>MAX(Q2104:S2104)</f>
        <v/>
      </c>
      <c r="U2104" s="28">
        <f>IFERROR(LOOKUP(T2104,{0;0.5;1.5;3;4.5},{"Despreciable";"Bajo";"Medio";"Alto";"Muy alto"}),"")</f>
        <v/>
      </c>
      <c r="V2104" s="13">
        <f>IFERROR(INDEX(MgAmenFrec,MATCH(SUBSTITUTE($H2104,"*","-"),MgAmenClave,0)),"")</f>
        <v/>
      </c>
      <c r="W2104" s="28">
        <f>IFERROR(LOOKUP(X2104,{0;0.01;0.1;1;10;100},{"Muy baja";"Muy baja";"Baja";"Media";"Alta";"Muy alta"}),"")</f>
        <v/>
      </c>
      <c r="X2104" s="31">
        <f>IFERROR(VLOOKUP(V2104,MgFrec,2,0),0)</f>
        <v/>
      </c>
      <c r="Y2104" s="30">
        <f>T2104*X2104</f>
        <v/>
      </c>
      <c r="Z2104" s="28">
        <f>IFERROR(LOOKUP(Y2104,{0;0.5;5;25},{"Bajo";"Medio";"Alto";"Crítico"}),"")</f>
        <v/>
      </c>
      <c r="AA2104" s="64">
        <f>IF(T2104&gt;=3,IF(X2104&gt;=1,"Zona 1 — Crítica: impacto alto y ocurre al menos una vez al año","Zona 4 — Catastrófica poco probable: impacto alto pero excepcional"),IF(AND(T2104&lt;1.5,X2104&lt;1),"Zona 3 — Asumible: impacto bajo y muy poco frecuente","Zona 2 — Atención: riesgo intermedio"))</f>
        <v/>
      </c>
      <c r="AB2104" s="64">
        <f>IFERROR(INDEX(MgAmenCtrl,MATCH(SUBSTITUTE($H2104,"*","-"),MgAmenClave,0)),"")</f>
        <v/>
      </c>
      <c r="AC2104" s="20" t="n"/>
      <c r="AD2104" s="31">
        <f>IFERROR($X2104*(1-IF($AC2104="",$AL2104,VLOOKUP($AC2104,MgMad,2,0))),"")</f>
        <v/>
      </c>
      <c r="AE2104" s="28">
        <f>IFERROR(LOOKUP(AD2104,{0;0.01;0.1;1;10;100},{"Muy baja";"Muy baja";"Baja";"Media";"Alta";"Muy alta"}),"")</f>
        <v/>
      </c>
      <c r="AF2104" s="30">
        <f>T2104*AD2104</f>
        <v/>
      </c>
      <c r="AG2104" s="28">
        <f>IFERROR(LOOKUP(AF2104,{0;0.5;5;25},{"Bajo";"Medio";"Alto";"Crítico"}),"")</f>
        <v/>
      </c>
      <c r="AH2104" s="28">
        <f>IF(AG2104="","",IF(OR(AG2104="Crítico",AG2104="Alto"),"Mitigar",IF(AG2104="Medio","Mitigar","Aceptar y monitorear")))</f>
        <v/>
      </c>
      <c r="AI2104" s="21" t="n"/>
      <c r="AJ2104" s="21" t="n"/>
      <c r="AK2104" s="20" t="n"/>
      <c r="AL2104" s="77">
        <f>IFERROR(INDEX(MgAmenEfic,MATCH(SUBSTITUTE($H2104,"*","-"),MgAmenClave,0)),0)</f>
        <v/>
      </c>
    </row>
    <row r="2105" hidden="1" ht="90" customHeight="1" s="54">
      <c r="B2105" s="59" t="inlineStr">
        <is>
          <t>R-2100</t>
        </is>
      </c>
      <c r="C2105" s="59" t="inlineStr">
        <is>
          <t>FIN-28</t>
        </is>
      </c>
      <c r="D2105" s="64">
        <f>IFERROR(INDEX(MgNombre,MATCH($C2105,MgActId,0)),"")</f>
        <v/>
      </c>
      <c r="E2105" s="64">
        <f>IFERROR(INDEX(MgProceso,MATCH($C2105,MgActId,0)),"")</f>
        <v/>
      </c>
      <c r="F2105" s="64">
        <f>IFERROR(INDEX(MgTipo,MATCH($C2105,MgActId,0)),"")</f>
        <v/>
      </c>
      <c r="G2105" s="64">
        <f>IFERROR(INDEX(MgSubtipo,MATCH($C2105,MgActId,0)),"")</f>
        <v/>
      </c>
      <c r="H2105" s="59" t="inlineStr">
        <is>
          <t>E.10</t>
        </is>
      </c>
      <c r="I2105" s="64">
        <f>IFERROR(INDEX(MgAmenNombre,MATCH(SUBSTITUTE($H2105,"*","-"),MgAmenClave,0)),"")</f>
        <v/>
      </c>
      <c r="J2105" s="28">
        <f>IFERROR(INDEX(MgAmenGrupo,MATCH(SUBSTITUTE($H2105,"*","-"),MgAmenClave,0)),"")</f>
        <v/>
      </c>
      <c r="K2105" s="64">
        <f>IFERROR(INDEX('1. Matriz de Activos'!$Q$6:$Q$239,MATCH($C2105,MgActId,0)),"")</f>
        <v/>
      </c>
      <c r="L2105" s="64">
        <f>IFERROR(INDEX('1. Matriz de Activos'!$R$6:$R$239,MATCH($C2105,MgActId,0)),"")</f>
        <v/>
      </c>
      <c r="M2105" s="64">
        <f>IFERROR(INDEX('1. Matriz de Activos'!$S$6:$S$239,MATCH($C2105,MgActId,0)),"")</f>
        <v/>
      </c>
      <c r="N2105" s="28">
        <f>IFERROR(INDEX(MgAmenDegD,MATCH(SUBSTITUTE($H2105,"*","-"),MgAmenClave,0)),"No aplica")</f>
        <v/>
      </c>
      <c r="O2105" s="28">
        <f>IFERROR(INDEX(MgAmenDegI,MATCH(SUBSTITUTE($H2105,"*","-"),MgAmenClave,0)),"No aplica")</f>
        <v/>
      </c>
      <c r="P2105" s="28">
        <f>IFERROR(INDEX(MgAmenDegC,MATCH(SUBSTITUTE($H2105,"*","-"),MgAmenClave,0)),"No aplica")</f>
        <v/>
      </c>
      <c r="Q2105" s="29">
        <f>IFERROR(VLOOKUP(K2105,MgValor,2,0)*VLOOKUP(N2105,MgDeg,2,0),0)</f>
        <v/>
      </c>
      <c r="R2105" s="29">
        <f>IFERROR(VLOOKUP(L2105,MgValor,2,0)*VLOOKUP(O2105,MgDeg,2,0),0)</f>
        <v/>
      </c>
      <c r="S2105" s="29">
        <f>IFERROR(VLOOKUP(M2105,MgValor,2,0)*VLOOKUP(P2105,MgDeg,2,0),0)</f>
        <v/>
      </c>
      <c r="T2105" s="30">
        <f>MAX(Q2105:S2105)</f>
        <v/>
      </c>
      <c r="U2105" s="28">
        <f>IFERROR(LOOKUP(T2105,{0;0.5;1.5;3;4.5},{"Despreciable";"Bajo";"Medio";"Alto";"Muy alto"}),"")</f>
        <v/>
      </c>
      <c r="V2105" s="13">
        <f>IFERROR(INDEX(MgAmenFrec,MATCH(SUBSTITUTE($H2105,"*","-"),MgAmenClave,0)),"")</f>
        <v/>
      </c>
      <c r="W2105" s="28">
        <f>IFERROR(LOOKUP(X2105,{0;0.01;0.1;1;10;100},{"Muy baja";"Muy baja";"Baja";"Media";"Alta";"Muy alta"}),"")</f>
        <v/>
      </c>
      <c r="X2105" s="31">
        <f>IFERROR(VLOOKUP(V2105,MgFrec,2,0),0)</f>
        <v/>
      </c>
      <c r="Y2105" s="30">
        <f>T2105*X2105</f>
        <v/>
      </c>
      <c r="Z2105" s="28">
        <f>IFERROR(LOOKUP(Y2105,{0;0.5;5;25},{"Bajo";"Medio";"Alto";"Crítico"}),"")</f>
        <v/>
      </c>
      <c r="AA2105" s="64">
        <f>IF(T2105&gt;=3,IF(X2105&gt;=1,"Zona 1 — Crítica: impacto alto y ocurre al menos una vez al año","Zona 4 — Catastrófica poco probable: impacto alto pero excepcional"),IF(AND(T2105&lt;1.5,X2105&lt;1),"Zona 3 — Asumible: impacto bajo y muy poco frecuente","Zona 2 — Atención: riesgo intermedio"))</f>
        <v/>
      </c>
      <c r="AB2105" s="64">
        <f>IFERROR(INDEX(MgAmenCtrl,MATCH(SUBSTITUTE($H2105,"*","-"),MgAmenClave,0)),"")</f>
        <v/>
      </c>
      <c r="AC2105" s="20" t="n"/>
      <c r="AD2105" s="31">
        <f>IFERROR($X2105*(1-IF($AC2105="",$AL2105,VLOOKUP($AC2105,MgMad,2,0))),"")</f>
        <v/>
      </c>
      <c r="AE2105" s="28">
        <f>IFERROR(LOOKUP(AD2105,{0;0.01;0.1;1;10;100},{"Muy baja";"Muy baja";"Baja";"Media";"Alta";"Muy alta"}),"")</f>
        <v/>
      </c>
      <c r="AF2105" s="30">
        <f>T2105*AD2105</f>
        <v/>
      </c>
      <c r="AG2105" s="28">
        <f>IFERROR(LOOKUP(AF2105,{0;0.5;5;25},{"Bajo";"Medio";"Alto";"Crítico"}),"")</f>
        <v/>
      </c>
      <c r="AH2105" s="28">
        <f>IF(AG2105="","",IF(OR(AG2105="Crítico",AG2105="Alto"),"Mitigar",IF(AG2105="Medio","Mitigar","Aceptar y monitorear")))</f>
        <v/>
      </c>
      <c r="AI2105" s="21" t="n"/>
      <c r="AJ2105" s="21" t="n"/>
      <c r="AK2105" s="20" t="n"/>
      <c r="AL2105" s="77">
        <f>IFERROR(INDEX(MgAmenEfic,MATCH(SUBSTITUTE($H2105,"*","-"),MgAmenClave,0)),0)</f>
        <v/>
      </c>
    </row>
    <row r="2106" hidden="1" ht="90" customHeight="1" s="54">
      <c r="B2106" s="59" t="inlineStr">
        <is>
          <t>R-2101</t>
        </is>
      </c>
      <c r="C2106" s="59" t="inlineStr">
        <is>
          <t>FIN-28</t>
        </is>
      </c>
      <c r="D2106" s="64">
        <f>IFERROR(INDEX(MgNombre,MATCH($C2106,MgActId,0)),"")</f>
        <v/>
      </c>
      <c r="E2106" s="64">
        <f>IFERROR(INDEX(MgProceso,MATCH($C2106,MgActId,0)),"")</f>
        <v/>
      </c>
      <c r="F2106" s="64">
        <f>IFERROR(INDEX(MgTipo,MATCH($C2106,MgActId,0)),"")</f>
        <v/>
      </c>
      <c r="G2106" s="64">
        <f>IFERROR(INDEX(MgSubtipo,MATCH($C2106,MgActId,0)),"")</f>
        <v/>
      </c>
      <c r="H2106" s="59" t="inlineStr">
        <is>
          <t>E.14</t>
        </is>
      </c>
      <c r="I2106" s="64">
        <f>IFERROR(INDEX(MgAmenNombre,MATCH(SUBSTITUTE($H2106,"*","-"),MgAmenClave,0)),"")</f>
        <v/>
      </c>
      <c r="J2106" s="28">
        <f>IFERROR(INDEX(MgAmenGrupo,MATCH(SUBSTITUTE($H2106,"*","-"),MgAmenClave,0)),"")</f>
        <v/>
      </c>
      <c r="K2106" s="64">
        <f>IFERROR(INDEX('1. Matriz de Activos'!$Q$6:$Q$239,MATCH($C2106,MgActId,0)),"")</f>
        <v/>
      </c>
      <c r="L2106" s="64">
        <f>IFERROR(INDEX('1. Matriz de Activos'!$R$6:$R$239,MATCH($C2106,MgActId,0)),"")</f>
        <v/>
      </c>
      <c r="M2106" s="64">
        <f>IFERROR(INDEX('1. Matriz de Activos'!$S$6:$S$239,MATCH($C2106,MgActId,0)),"")</f>
        <v/>
      </c>
      <c r="N2106" s="28">
        <f>IFERROR(INDEX(MgAmenDegD,MATCH(SUBSTITUTE($H2106,"*","-"),MgAmenClave,0)),"No aplica")</f>
        <v/>
      </c>
      <c r="O2106" s="28">
        <f>IFERROR(INDEX(MgAmenDegI,MATCH(SUBSTITUTE($H2106,"*","-"),MgAmenClave,0)),"No aplica")</f>
        <v/>
      </c>
      <c r="P2106" s="28">
        <f>IFERROR(INDEX(MgAmenDegC,MATCH(SUBSTITUTE($H2106,"*","-"),MgAmenClave,0)),"No aplica")</f>
        <v/>
      </c>
      <c r="Q2106" s="29">
        <f>IFERROR(VLOOKUP(K2106,MgValor,2,0)*VLOOKUP(N2106,MgDeg,2,0),0)</f>
        <v/>
      </c>
      <c r="R2106" s="29">
        <f>IFERROR(VLOOKUP(L2106,MgValor,2,0)*VLOOKUP(O2106,MgDeg,2,0),0)</f>
        <v/>
      </c>
      <c r="S2106" s="29">
        <f>IFERROR(VLOOKUP(M2106,MgValor,2,0)*VLOOKUP(P2106,MgDeg,2,0),0)</f>
        <v/>
      </c>
      <c r="T2106" s="30">
        <f>MAX(Q2106:S2106)</f>
        <v/>
      </c>
      <c r="U2106" s="28">
        <f>IFERROR(LOOKUP(T2106,{0;0.5;1.5;3;4.5},{"Despreciable";"Bajo";"Medio";"Alto";"Muy alto"}),"")</f>
        <v/>
      </c>
      <c r="V2106" s="13">
        <f>IFERROR(INDEX(MgAmenFrec,MATCH(SUBSTITUTE($H2106,"*","-"),MgAmenClave,0)),"")</f>
        <v/>
      </c>
      <c r="W2106" s="28">
        <f>IFERROR(LOOKUP(X2106,{0;0.01;0.1;1;10;100},{"Muy baja";"Muy baja";"Baja";"Media";"Alta";"Muy alta"}),"")</f>
        <v/>
      </c>
      <c r="X2106" s="31">
        <f>IFERROR(VLOOKUP(V2106,MgFrec,2,0),0)</f>
        <v/>
      </c>
      <c r="Y2106" s="30">
        <f>T2106*X2106</f>
        <v/>
      </c>
      <c r="Z2106" s="28">
        <f>IFERROR(LOOKUP(Y2106,{0;0.5;5;25},{"Bajo";"Medio";"Alto";"Crítico"}),"")</f>
        <v/>
      </c>
      <c r="AA2106" s="64">
        <f>IF(T2106&gt;=3,IF(X2106&gt;=1,"Zona 1 — Crítica: impacto alto y ocurre al menos una vez al año","Zona 4 — Catastrófica poco probable: impacto alto pero excepcional"),IF(AND(T2106&lt;1.5,X2106&lt;1),"Zona 3 — Asumible: impacto bajo y muy poco frecuente","Zona 2 — Atención: riesgo intermedio"))</f>
        <v/>
      </c>
      <c r="AB2106" s="64">
        <f>IFERROR(INDEX(MgAmenCtrl,MATCH(SUBSTITUTE($H2106,"*","-"),MgAmenClave,0)),"")</f>
        <v/>
      </c>
      <c r="AC2106" s="20" t="n"/>
      <c r="AD2106" s="31">
        <f>IFERROR($X2106*(1-IF($AC2106="",$AL2106,VLOOKUP($AC2106,MgMad,2,0))),"")</f>
        <v/>
      </c>
      <c r="AE2106" s="28">
        <f>IFERROR(LOOKUP(AD2106,{0;0.01;0.1;1;10;100},{"Muy baja";"Muy baja";"Baja";"Media";"Alta";"Muy alta"}),"")</f>
        <v/>
      </c>
      <c r="AF2106" s="30">
        <f>T2106*AD2106</f>
        <v/>
      </c>
      <c r="AG2106" s="28">
        <f>IFERROR(LOOKUP(AF2106,{0;0.5;5;25},{"Bajo";"Medio";"Alto";"Crítico"}),"")</f>
        <v/>
      </c>
      <c r="AH2106" s="28">
        <f>IF(AG2106="","",IF(OR(AG2106="Crítico",AG2106="Alto"),"Mitigar",IF(AG2106="Medio","Mitigar","Aceptar y monitorear")))</f>
        <v/>
      </c>
      <c r="AI2106" s="21" t="n"/>
      <c r="AJ2106" s="21" t="n"/>
      <c r="AK2106" s="20" t="n"/>
      <c r="AL2106" s="77">
        <f>IFERROR(INDEX(MgAmenEfic,MATCH(SUBSTITUTE($H2106,"*","-"),MgAmenClave,0)),0)</f>
        <v/>
      </c>
    </row>
    <row r="2107" hidden="1" ht="90" customHeight="1" s="54">
      <c r="B2107" s="59" t="inlineStr">
        <is>
          <t>R-2102</t>
        </is>
      </c>
      <c r="C2107" s="59" t="inlineStr">
        <is>
          <t>FIN-28</t>
        </is>
      </c>
      <c r="D2107" s="64">
        <f>IFERROR(INDEX(MgNombre,MATCH($C2107,MgActId,0)),"")</f>
        <v/>
      </c>
      <c r="E2107" s="64">
        <f>IFERROR(INDEX(MgProceso,MATCH($C2107,MgActId,0)),"")</f>
        <v/>
      </c>
      <c r="F2107" s="64">
        <f>IFERROR(INDEX(MgTipo,MATCH($C2107,MgActId,0)),"")</f>
        <v/>
      </c>
      <c r="G2107" s="64">
        <f>IFERROR(INDEX(MgSubtipo,MATCH($C2107,MgActId,0)),"")</f>
        <v/>
      </c>
      <c r="H2107" s="59" t="inlineStr">
        <is>
          <t>E.15</t>
        </is>
      </c>
      <c r="I2107" s="64">
        <f>IFERROR(INDEX(MgAmenNombre,MATCH(SUBSTITUTE($H2107,"*","-"),MgAmenClave,0)),"")</f>
        <v/>
      </c>
      <c r="J2107" s="28">
        <f>IFERROR(INDEX(MgAmenGrupo,MATCH(SUBSTITUTE($H2107,"*","-"),MgAmenClave,0)),"")</f>
        <v/>
      </c>
      <c r="K2107" s="64">
        <f>IFERROR(INDEX('1. Matriz de Activos'!$Q$6:$Q$239,MATCH($C2107,MgActId,0)),"")</f>
        <v/>
      </c>
      <c r="L2107" s="64">
        <f>IFERROR(INDEX('1. Matriz de Activos'!$R$6:$R$239,MATCH($C2107,MgActId,0)),"")</f>
        <v/>
      </c>
      <c r="M2107" s="64">
        <f>IFERROR(INDEX('1. Matriz de Activos'!$S$6:$S$239,MATCH($C2107,MgActId,0)),"")</f>
        <v/>
      </c>
      <c r="N2107" s="28">
        <f>IFERROR(INDEX(MgAmenDegD,MATCH(SUBSTITUTE($H2107,"*","-"),MgAmenClave,0)),"No aplica")</f>
        <v/>
      </c>
      <c r="O2107" s="28">
        <f>IFERROR(INDEX(MgAmenDegI,MATCH(SUBSTITUTE($H2107,"*","-"),MgAmenClave,0)),"No aplica")</f>
        <v/>
      </c>
      <c r="P2107" s="28">
        <f>IFERROR(INDEX(MgAmenDegC,MATCH(SUBSTITUTE($H2107,"*","-"),MgAmenClave,0)),"No aplica")</f>
        <v/>
      </c>
      <c r="Q2107" s="29">
        <f>IFERROR(VLOOKUP(K2107,MgValor,2,0)*VLOOKUP(N2107,MgDeg,2,0),0)</f>
        <v/>
      </c>
      <c r="R2107" s="29">
        <f>IFERROR(VLOOKUP(L2107,MgValor,2,0)*VLOOKUP(O2107,MgDeg,2,0),0)</f>
        <v/>
      </c>
      <c r="S2107" s="29">
        <f>IFERROR(VLOOKUP(M2107,MgValor,2,0)*VLOOKUP(P2107,MgDeg,2,0),0)</f>
        <v/>
      </c>
      <c r="T2107" s="30">
        <f>MAX(Q2107:S2107)</f>
        <v/>
      </c>
      <c r="U2107" s="28">
        <f>IFERROR(LOOKUP(T2107,{0;0.5;1.5;3;4.5},{"Despreciable";"Bajo";"Medio";"Alto";"Muy alto"}),"")</f>
        <v/>
      </c>
      <c r="V2107" s="13">
        <f>IFERROR(INDEX(MgAmenFrec,MATCH(SUBSTITUTE($H2107,"*","-"),MgAmenClave,0)),"")</f>
        <v/>
      </c>
      <c r="W2107" s="28">
        <f>IFERROR(LOOKUP(X2107,{0;0.01;0.1;1;10;100},{"Muy baja";"Muy baja";"Baja";"Media";"Alta";"Muy alta"}),"")</f>
        <v/>
      </c>
      <c r="X2107" s="31">
        <f>IFERROR(VLOOKUP(V2107,MgFrec,2,0),0)</f>
        <v/>
      </c>
      <c r="Y2107" s="30">
        <f>T2107*X2107</f>
        <v/>
      </c>
      <c r="Z2107" s="28">
        <f>IFERROR(LOOKUP(Y2107,{0;0.5;5;25},{"Bajo";"Medio";"Alto";"Crítico"}),"")</f>
        <v/>
      </c>
      <c r="AA2107" s="64">
        <f>IF(T2107&gt;=3,IF(X2107&gt;=1,"Zona 1 — Crítica: impacto alto y ocurre al menos una vez al año","Zona 4 — Catastrófica poco probable: impacto alto pero excepcional"),IF(AND(T2107&lt;1.5,X2107&lt;1),"Zona 3 — Asumible: impacto bajo y muy poco frecuente","Zona 2 — Atención: riesgo intermedio"))</f>
        <v/>
      </c>
      <c r="AB2107" s="64">
        <f>IFERROR(INDEX(MgAmenCtrl,MATCH(SUBSTITUTE($H2107,"*","-"),MgAmenClave,0)),"")</f>
        <v/>
      </c>
      <c r="AC2107" s="20" t="n"/>
      <c r="AD2107" s="31">
        <f>IFERROR($X2107*(1-IF($AC2107="",$AL2107,VLOOKUP($AC2107,MgMad,2,0))),"")</f>
        <v/>
      </c>
      <c r="AE2107" s="28">
        <f>IFERROR(LOOKUP(AD2107,{0;0.01;0.1;1;10;100},{"Muy baja";"Muy baja";"Baja";"Media";"Alta";"Muy alta"}),"")</f>
        <v/>
      </c>
      <c r="AF2107" s="30">
        <f>T2107*AD2107</f>
        <v/>
      </c>
      <c r="AG2107" s="28">
        <f>IFERROR(LOOKUP(AF2107,{0;0.5;5;25},{"Bajo";"Medio";"Alto";"Crítico"}),"")</f>
        <v/>
      </c>
      <c r="AH2107" s="28">
        <f>IF(AG2107="","",IF(OR(AG2107="Crítico",AG2107="Alto"),"Mitigar",IF(AG2107="Medio","Mitigar","Aceptar y monitorear")))</f>
        <v/>
      </c>
      <c r="AI2107" s="21" t="n"/>
      <c r="AJ2107" s="21" t="n"/>
      <c r="AK2107" s="20" t="n"/>
      <c r="AL2107" s="77">
        <f>IFERROR(INDEX(MgAmenEfic,MATCH(SUBSTITUTE($H2107,"*","-"),MgAmenClave,0)),0)</f>
        <v/>
      </c>
    </row>
    <row r="2108" hidden="1" ht="60" customHeight="1" s="54">
      <c r="B2108" s="59" t="inlineStr">
        <is>
          <t>R-2103</t>
        </is>
      </c>
      <c r="C2108" s="59" t="inlineStr">
        <is>
          <t>FIN-28</t>
        </is>
      </c>
      <c r="D2108" s="64">
        <f>IFERROR(INDEX(MgNombre,MATCH($C2108,MgActId,0)),"")</f>
        <v/>
      </c>
      <c r="E2108" s="64">
        <f>IFERROR(INDEX(MgProceso,MATCH($C2108,MgActId,0)),"")</f>
        <v/>
      </c>
      <c r="F2108" s="64">
        <f>IFERROR(INDEX(MgTipo,MATCH($C2108,MgActId,0)),"")</f>
        <v/>
      </c>
      <c r="G2108" s="64">
        <f>IFERROR(INDEX(MgSubtipo,MATCH($C2108,MgActId,0)),"")</f>
        <v/>
      </c>
      <c r="H2108" s="59" t="inlineStr">
        <is>
          <t>E.18</t>
        </is>
      </c>
      <c r="I2108" s="64">
        <f>IFERROR(INDEX(MgAmenNombre,MATCH(SUBSTITUTE($H2108,"*","-"),MgAmenClave,0)),"")</f>
        <v/>
      </c>
      <c r="J2108" s="28">
        <f>IFERROR(INDEX(MgAmenGrupo,MATCH(SUBSTITUTE($H2108,"*","-"),MgAmenClave,0)),"")</f>
        <v/>
      </c>
      <c r="K2108" s="64">
        <f>IFERROR(INDEX('1. Matriz de Activos'!$Q$6:$Q$239,MATCH($C2108,MgActId,0)),"")</f>
        <v/>
      </c>
      <c r="L2108" s="64">
        <f>IFERROR(INDEX('1. Matriz de Activos'!$R$6:$R$239,MATCH($C2108,MgActId,0)),"")</f>
        <v/>
      </c>
      <c r="M2108" s="64">
        <f>IFERROR(INDEX('1. Matriz de Activos'!$S$6:$S$239,MATCH($C2108,MgActId,0)),"")</f>
        <v/>
      </c>
      <c r="N2108" s="28">
        <f>IFERROR(INDEX(MgAmenDegD,MATCH(SUBSTITUTE($H2108,"*","-"),MgAmenClave,0)),"No aplica")</f>
        <v/>
      </c>
      <c r="O2108" s="28">
        <f>IFERROR(INDEX(MgAmenDegI,MATCH(SUBSTITUTE($H2108,"*","-"),MgAmenClave,0)),"No aplica")</f>
        <v/>
      </c>
      <c r="P2108" s="28">
        <f>IFERROR(INDEX(MgAmenDegC,MATCH(SUBSTITUTE($H2108,"*","-"),MgAmenClave,0)),"No aplica")</f>
        <v/>
      </c>
      <c r="Q2108" s="29">
        <f>IFERROR(VLOOKUP(K2108,MgValor,2,0)*VLOOKUP(N2108,MgDeg,2,0),0)</f>
        <v/>
      </c>
      <c r="R2108" s="29">
        <f>IFERROR(VLOOKUP(L2108,MgValor,2,0)*VLOOKUP(O2108,MgDeg,2,0),0)</f>
        <v/>
      </c>
      <c r="S2108" s="29">
        <f>IFERROR(VLOOKUP(M2108,MgValor,2,0)*VLOOKUP(P2108,MgDeg,2,0),0)</f>
        <v/>
      </c>
      <c r="T2108" s="30">
        <f>MAX(Q2108:S2108)</f>
        <v/>
      </c>
      <c r="U2108" s="28">
        <f>IFERROR(LOOKUP(T2108,{0;0.5;1.5;3;4.5},{"Despreciable";"Bajo";"Medio";"Alto";"Muy alto"}),"")</f>
        <v/>
      </c>
      <c r="V2108" s="13">
        <f>IFERROR(INDEX(MgAmenFrec,MATCH(SUBSTITUTE($H2108,"*","-"),MgAmenClave,0)),"")</f>
        <v/>
      </c>
      <c r="W2108" s="28">
        <f>IFERROR(LOOKUP(X2108,{0;0.01;0.1;1;10;100},{"Muy baja";"Muy baja";"Baja";"Media";"Alta";"Muy alta"}),"")</f>
        <v/>
      </c>
      <c r="X2108" s="31">
        <f>IFERROR(VLOOKUP(V2108,MgFrec,2,0),0)</f>
        <v/>
      </c>
      <c r="Y2108" s="30">
        <f>T2108*X2108</f>
        <v/>
      </c>
      <c r="Z2108" s="28">
        <f>IFERROR(LOOKUP(Y2108,{0;0.5;5;25},{"Bajo";"Medio";"Alto";"Crítico"}),"")</f>
        <v/>
      </c>
      <c r="AA2108" s="64">
        <f>IF(T2108&gt;=3,IF(X2108&gt;=1,"Zona 1 — Crítica: impacto alto y ocurre al menos una vez al año","Zona 4 — Catastrófica poco probable: impacto alto pero excepcional"),IF(AND(T2108&lt;1.5,X2108&lt;1),"Zona 3 — Asumible: impacto bajo y muy poco frecuente","Zona 2 — Atención: riesgo intermedio"))</f>
        <v/>
      </c>
      <c r="AB2108" s="64">
        <f>IFERROR(INDEX(MgAmenCtrl,MATCH(SUBSTITUTE($H2108,"*","-"),MgAmenClave,0)),"")</f>
        <v/>
      </c>
      <c r="AC2108" s="20" t="n"/>
      <c r="AD2108" s="31">
        <f>IFERROR($X2108*(1-IF($AC2108="",$AL2108,VLOOKUP($AC2108,MgMad,2,0))),"")</f>
        <v/>
      </c>
      <c r="AE2108" s="28">
        <f>IFERROR(LOOKUP(AD2108,{0;0.01;0.1;1;10;100},{"Muy baja";"Muy baja";"Baja";"Media";"Alta";"Muy alta"}),"")</f>
        <v/>
      </c>
      <c r="AF2108" s="30">
        <f>T2108*AD2108</f>
        <v/>
      </c>
      <c r="AG2108" s="28">
        <f>IFERROR(LOOKUP(AF2108,{0;0.5;5;25},{"Bajo";"Medio";"Alto";"Crítico"}),"")</f>
        <v/>
      </c>
      <c r="AH2108" s="28">
        <f>IF(AG2108="","",IF(OR(AG2108="Crítico",AG2108="Alto"),"Mitigar",IF(AG2108="Medio","Mitigar","Aceptar y monitorear")))</f>
        <v/>
      </c>
      <c r="AI2108" s="21" t="n"/>
      <c r="AJ2108" s="21" t="n"/>
      <c r="AK2108" s="20" t="n"/>
      <c r="AL2108" s="77">
        <f>IFERROR(INDEX(MgAmenEfic,MATCH(SUBSTITUTE($H2108,"*","-"),MgAmenClave,0)),0)</f>
        <v/>
      </c>
    </row>
    <row r="2109" hidden="1" ht="105" customHeight="1" s="54">
      <c r="B2109" s="59" t="inlineStr">
        <is>
          <t>R-2104</t>
        </is>
      </c>
      <c r="C2109" s="59" t="inlineStr">
        <is>
          <t>FIN-28</t>
        </is>
      </c>
      <c r="D2109" s="64">
        <f>IFERROR(INDEX(MgNombre,MATCH($C2109,MgActId,0)),"")</f>
        <v/>
      </c>
      <c r="E2109" s="64">
        <f>IFERROR(INDEX(MgProceso,MATCH($C2109,MgActId,0)),"")</f>
        <v/>
      </c>
      <c r="F2109" s="64">
        <f>IFERROR(INDEX(MgTipo,MATCH($C2109,MgActId,0)),"")</f>
        <v/>
      </c>
      <c r="G2109" s="64">
        <f>IFERROR(INDEX(MgSubtipo,MATCH($C2109,MgActId,0)),"")</f>
        <v/>
      </c>
      <c r="H2109" s="59" t="inlineStr">
        <is>
          <t>E.19</t>
        </is>
      </c>
      <c r="I2109" s="64">
        <f>IFERROR(INDEX(MgAmenNombre,MATCH(SUBSTITUTE($H2109,"*","-"),MgAmenClave,0)),"")</f>
        <v/>
      </c>
      <c r="J2109" s="28">
        <f>IFERROR(INDEX(MgAmenGrupo,MATCH(SUBSTITUTE($H2109,"*","-"),MgAmenClave,0)),"")</f>
        <v/>
      </c>
      <c r="K2109" s="64">
        <f>IFERROR(INDEX('1. Matriz de Activos'!$Q$6:$Q$239,MATCH($C2109,MgActId,0)),"")</f>
        <v/>
      </c>
      <c r="L2109" s="64">
        <f>IFERROR(INDEX('1. Matriz de Activos'!$R$6:$R$239,MATCH($C2109,MgActId,0)),"")</f>
        <v/>
      </c>
      <c r="M2109" s="64">
        <f>IFERROR(INDEX('1. Matriz de Activos'!$S$6:$S$239,MATCH($C2109,MgActId,0)),"")</f>
        <v/>
      </c>
      <c r="N2109" s="28">
        <f>IFERROR(INDEX(MgAmenDegD,MATCH(SUBSTITUTE($H2109,"*","-"),MgAmenClave,0)),"No aplica")</f>
        <v/>
      </c>
      <c r="O2109" s="28">
        <f>IFERROR(INDEX(MgAmenDegI,MATCH(SUBSTITUTE($H2109,"*","-"),MgAmenClave,0)),"No aplica")</f>
        <v/>
      </c>
      <c r="P2109" s="28">
        <f>IFERROR(INDEX(MgAmenDegC,MATCH(SUBSTITUTE($H2109,"*","-"),MgAmenClave,0)),"No aplica")</f>
        <v/>
      </c>
      <c r="Q2109" s="29">
        <f>IFERROR(VLOOKUP(K2109,MgValor,2,0)*VLOOKUP(N2109,MgDeg,2,0),0)</f>
        <v/>
      </c>
      <c r="R2109" s="29">
        <f>IFERROR(VLOOKUP(L2109,MgValor,2,0)*VLOOKUP(O2109,MgDeg,2,0),0)</f>
        <v/>
      </c>
      <c r="S2109" s="29">
        <f>IFERROR(VLOOKUP(M2109,MgValor,2,0)*VLOOKUP(P2109,MgDeg,2,0),0)</f>
        <v/>
      </c>
      <c r="T2109" s="30">
        <f>MAX(Q2109:S2109)</f>
        <v/>
      </c>
      <c r="U2109" s="28">
        <f>IFERROR(LOOKUP(T2109,{0;0.5;1.5;3;4.5},{"Despreciable";"Bajo";"Medio";"Alto";"Muy alto"}),"")</f>
        <v/>
      </c>
      <c r="V2109" s="13">
        <f>IFERROR(INDEX(MgAmenFrec,MATCH(SUBSTITUTE($H2109,"*","-"),MgAmenClave,0)),"")</f>
        <v/>
      </c>
      <c r="W2109" s="28">
        <f>IFERROR(LOOKUP(X2109,{0;0.01;0.1;1;10;100},{"Muy baja";"Muy baja";"Baja";"Media";"Alta";"Muy alta"}),"")</f>
        <v/>
      </c>
      <c r="X2109" s="31">
        <f>IFERROR(VLOOKUP(V2109,MgFrec,2,0),0)</f>
        <v/>
      </c>
      <c r="Y2109" s="30">
        <f>T2109*X2109</f>
        <v/>
      </c>
      <c r="Z2109" s="28">
        <f>IFERROR(LOOKUP(Y2109,{0;0.5;5;25},{"Bajo";"Medio";"Alto";"Crítico"}),"")</f>
        <v/>
      </c>
      <c r="AA2109" s="64">
        <f>IF(T2109&gt;=3,IF(X2109&gt;=1,"Zona 1 — Crítica: impacto alto y ocurre al menos una vez al año","Zona 4 — Catastrófica poco probable: impacto alto pero excepcional"),IF(AND(T2109&lt;1.5,X2109&lt;1),"Zona 3 — Asumible: impacto bajo y muy poco frecuente","Zona 2 — Atención: riesgo intermedio"))</f>
        <v/>
      </c>
      <c r="AB2109" s="64">
        <f>IFERROR(INDEX(MgAmenCtrl,MATCH(SUBSTITUTE($H2109,"*","-"),MgAmenClave,0)),"")</f>
        <v/>
      </c>
      <c r="AC2109" s="20" t="n"/>
      <c r="AD2109" s="31">
        <f>IFERROR($X2109*(1-IF($AC2109="",$AL2109,VLOOKUP($AC2109,MgMad,2,0))),"")</f>
        <v/>
      </c>
      <c r="AE2109" s="28">
        <f>IFERROR(LOOKUP(AD2109,{0;0.01;0.1;1;10;100},{"Muy baja";"Muy baja";"Baja";"Media";"Alta";"Muy alta"}),"")</f>
        <v/>
      </c>
      <c r="AF2109" s="30">
        <f>T2109*AD2109</f>
        <v/>
      </c>
      <c r="AG2109" s="28">
        <f>IFERROR(LOOKUP(AF2109,{0;0.5;5;25},{"Bajo";"Medio";"Alto";"Crítico"}),"")</f>
        <v/>
      </c>
      <c r="AH2109" s="28">
        <f>IF(AG2109="","",IF(OR(AG2109="Crítico",AG2109="Alto"),"Mitigar",IF(AG2109="Medio","Mitigar","Aceptar y monitorear")))</f>
        <v/>
      </c>
      <c r="AI2109" s="21" t="n"/>
      <c r="AJ2109" s="21" t="n"/>
      <c r="AK2109" s="20" t="n"/>
      <c r="AL2109" s="77">
        <f>IFERROR(INDEX(MgAmenEfic,MATCH(SUBSTITUTE($H2109,"*","-"),MgAmenClave,0)),0)</f>
        <v/>
      </c>
    </row>
    <row r="2110" hidden="1" ht="45" customHeight="1" s="54">
      <c r="B2110" s="59" t="inlineStr">
        <is>
          <t>R-2105</t>
        </is>
      </c>
      <c r="C2110" s="59" t="inlineStr">
        <is>
          <t>FIN-28</t>
        </is>
      </c>
      <c r="D2110" s="64">
        <f>IFERROR(INDEX(MgNombre,MATCH($C2110,MgActId,0)),"")</f>
        <v/>
      </c>
      <c r="E2110" s="64">
        <f>IFERROR(INDEX(MgProceso,MATCH($C2110,MgActId,0)),"")</f>
        <v/>
      </c>
      <c r="F2110" s="64">
        <f>IFERROR(INDEX(MgTipo,MATCH($C2110,MgActId,0)),"")</f>
        <v/>
      </c>
      <c r="G2110" s="64">
        <f>IFERROR(INDEX(MgSubtipo,MATCH($C2110,MgActId,0)),"")</f>
        <v/>
      </c>
      <c r="H2110" s="59" t="inlineStr">
        <is>
          <t>E.24</t>
        </is>
      </c>
      <c r="I2110" s="64">
        <f>IFERROR(INDEX(MgAmenNombre,MATCH(SUBSTITUTE($H2110,"*","-"),MgAmenClave,0)),"")</f>
        <v/>
      </c>
      <c r="J2110" s="28">
        <f>IFERROR(INDEX(MgAmenGrupo,MATCH(SUBSTITUTE($H2110,"*","-"),MgAmenClave,0)),"")</f>
        <v/>
      </c>
      <c r="K2110" s="64">
        <f>IFERROR(INDEX('1. Matriz de Activos'!$Q$6:$Q$239,MATCH($C2110,MgActId,0)),"")</f>
        <v/>
      </c>
      <c r="L2110" s="64">
        <f>IFERROR(INDEX('1. Matriz de Activos'!$R$6:$R$239,MATCH($C2110,MgActId,0)),"")</f>
        <v/>
      </c>
      <c r="M2110" s="64">
        <f>IFERROR(INDEX('1. Matriz de Activos'!$S$6:$S$239,MATCH($C2110,MgActId,0)),"")</f>
        <v/>
      </c>
      <c r="N2110" s="28">
        <f>IFERROR(INDEX(MgAmenDegD,MATCH(SUBSTITUTE($H2110,"*","-"),MgAmenClave,0)),"No aplica")</f>
        <v/>
      </c>
      <c r="O2110" s="28">
        <f>IFERROR(INDEX(MgAmenDegI,MATCH(SUBSTITUTE($H2110,"*","-"),MgAmenClave,0)),"No aplica")</f>
        <v/>
      </c>
      <c r="P2110" s="28">
        <f>IFERROR(INDEX(MgAmenDegC,MATCH(SUBSTITUTE($H2110,"*","-"),MgAmenClave,0)),"No aplica")</f>
        <v/>
      </c>
      <c r="Q2110" s="29">
        <f>IFERROR(VLOOKUP(K2110,MgValor,2,0)*VLOOKUP(N2110,MgDeg,2,0),0)</f>
        <v/>
      </c>
      <c r="R2110" s="29">
        <f>IFERROR(VLOOKUP(L2110,MgValor,2,0)*VLOOKUP(O2110,MgDeg,2,0),0)</f>
        <v/>
      </c>
      <c r="S2110" s="29">
        <f>IFERROR(VLOOKUP(M2110,MgValor,2,0)*VLOOKUP(P2110,MgDeg,2,0),0)</f>
        <v/>
      </c>
      <c r="T2110" s="30">
        <f>MAX(Q2110:S2110)</f>
        <v/>
      </c>
      <c r="U2110" s="28">
        <f>IFERROR(LOOKUP(T2110,{0;0.5;1.5;3;4.5},{"Despreciable";"Bajo";"Medio";"Alto";"Muy alto"}),"")</f>
        <v/>
      </c>
      <c r="V2110" s="13">
        <f>IFERROR(INDEX(MgAmenFrec,MATCH(SUBSTITUTE($H2110,"*","-"),MgAmenClave,0)),"")</f>
        <v/>
      </c>
      <c r="W2110" s="28">
        <f>IFERROR(LOOKUP(X2110,{0;0.01;0.1;1;10;100},{"Muy baja";"Muy baja";"Baja";"Media";"Alta";"Muy alta"}),"")</f>
        <v/>
      </c>
      <c r="X2110" s="31">
        <f>IFERROR(VLOOKUP(V2110,MgFrec,2,0),0)</f>
        <v/>
      </c>
      <c r="Y2110" s="30">
        <f>T2110*X2110</f>
        <v/>
      </c>
      <c r="Z2110" s="28">
        <f>IFERROR(LOOKUP(Y2110,{0;0.5;5;25},{"Bajo";"Medio";"Alto";"Crítico"}),"")</f>
        <v/>
      </c>
      <c r="AA2110" s="64">
        <f>IF(T2110&gt;=3,IF(X2110&gt;=1,"Zona 1 — Crítica: impacto alto y ocurre al menos una vez al año","Zona 4 — Catastrófica poco probable: impacto alto pero excepcional"),IF(AND(T2110&lt;1.5,X2110&lt;1),"Zona 3 — Asumible: impacto bajo y muy poco frecuente","Zona 2 — Atención: riesgo intermedio"))</f>
        <v/>
      </c>
      <c r="AB2110" s="64">
        <f>IFERROR(INDEX(MgAmenCtrl,MATCH(SUBSTITUTE($H2110,"*","-"),MgAmenClave,0)),"")</f>
        <v/>
      </c>
      <c r="AC2110" s="20" t="n"/>
      <c r="AD2110" s="31">
        <f>IFERROR($X2110*(1-IF($AC2110="",$AL2110,VLOOKUP($AC2110,MgMad,2,0))),"")</f>
        <v/>
      </c>
      <c r="AE2110" s="28">
        <f>IFERROR(LOOKUP(AD2110,{0;0.01;0.1;1;10;100},{"Muy baja";"Muy baja";"Baja";"Media";"Alta";"Muy alta"}),"")</f>
        <v/>
      </c>
      <c r="AF2110" s="30">
        <f>T2110*AD2110</f>
        <v/>
      </c>
      <c r="AG2110" s="28">
        <f>IFERROR(LOOKUP(AF2110,{0;0.5;5;25},{"Bajo";"Medio";"Alto";"Crítico"}),"")</f>
        <v/>
      </c>
      <c r="AH2110" s="28">
        <f>IF(AG2110="","",IF(OR(AG2110="Crítico",AG2110="Alto"),"Mitigar",IF(AG2110="Medio","Mitigar","Aceptar y monitorear")))</f>
        <v/>
      </c>
      <c r="AI2110" s="21" t="n"/>
      <c r="AJ2110" s="21" t="n"/>
      <c r="AK2110" s="20" t="n"/>
      <c r="AL2110" s="77">
        <f>IFERROR(INDEX(MgAmenEfic,MATCH(SUBSTITUTE($H2110,"*","-"),MgAmenClave,0)),0)</f>
        <v/>
      </c>
    </row>
    <row r="2111" hidden="1" ht="75" customHeight="1" s="54">
      <c r="B2111" s="59" t="inlineStr">
        <is>
          <t>R-2106</t>
        </is>
      </c>
      <c r="C2111" s="59" t="inlineStr">
        <is>
          <t>FIN-28</t>
        </is>
      </c>
      <c r="D2111" s="64">
        <f>IFERROR(INDEX(MgNombre,MATCH($C2111,MgActId,0)),"")</f>
        <v/>
      </c>
      <c r="E2111" s="64">
        <f>IFERROR(INDEX(MgProceso,MATCH($C2111,MgActId,0)),"")</f>
        <v/>
      </c>
      <c r="F2111" s="64">
        <f>IFERROR(INDEX(MgTipo,MATCH($C2111,MgActId,0)),"")</f>
        <v/>
      </c>
      <c r="G2111" s="64">
        <f>IFERROR(INDEX(MgSubtipo,MATCH($C2111,MgActId,0)),"")</f>
        <v/>
      </c>
      <c r="H2111" s="59" t="inlineStr">
        <is>
          <t>A.5</t>
        </is>
      </c>
      <c r="I2111" s="64">
        <f>IFERROR(INDEX(MgAmenNombre,MATCH(SUBSTITUTE($H2111,"*","-"),MgAmenClave,0)),"")</f>
        <v/>
      </c>
      <c r="J2111" s="28">
        <f>IFERROR(INDEX(MgAmenGrupo,MATCH(SUBSTITUTE($H2111,"*","-"),MgAmenClave,0)),"")</f>
        <v/>
      </c>
      <c r="K2111" s="64">
        <f>IFERROR(INDEX('1. Matriz de Activos'!$Q$6:$Q$239,MATCH($C2111,MgActId,0)),"")</f>
        <v/>
      </c>
      <c r="L2111" s="64">
        <f>IFERROR(INDEX('1. Matriz de Activos'!$R$6:$R$239,MATCH($C2111,MgActId,0)),"")</f>
        <v/>
      </c>
      <c r="M2111" s="64">
        <f>IFERROR(INDEX('1. Matriz de Activos'!$S$6:$S$239,MATCH($C2111,MgActId,0)),"")</f>
        <v/>
      </c>
      <c r="N2111" s="28">
        <f>IFERROR(INDEX(MgAmenDegD,MATCH(SUBSTITUTE($H2111,"*","-"),MgAmenClave,0)),"No aplica")</f>
        <v/>
      </c>
      <c r="O2111" s="28">
        <f>IFERROR(INDEX(MgAmenDegI,MATCH(SUBSTITUTE($H2111,"*","-"),MgAmenClave,0)),"No aplica")</f>
        <v/>
      </c>
      <c r="P2111" s="28">
        <f>IFERROR(INDEX(MgAmenDegC,MATCH(SUBSTITUTE($H2111,"*","-"),MgAmenClave,0)),"No aplica")</f>
        <v/>
      </c>
      <c r="Q2111" s="29">
        <f>IFERROR(VLOOKUP(K2111,MgValor,2,0)*VLOOKUP(N2111,MgDeg,2,0),0)</f>
        <v/>
      </c>
      <c r="R2111" s="29">
        <f>IFERROR(VLOOKUP(L2111,MgValor,2,0)*VLOOKUP(O2111,MgDeg,2,0),0)</f>
        <v/>
      </c>
      <c r="S2111" s="29">
        <f>IFERROR(VLOOKUP(M2111,MgValor,2,0)*VLOOKUP(P2111,MgDeg,2,0),0)</f>
        <v/>
      </c>
      <c r="T2111" s="30">
        <f>MAX(Q2111:S2111)</f>
        <v/>
      </c>
      <c r="U2111" s="28">
        <f>IFERROR(LOOKUP(T2111,{0;0.5;1.5;3;4.5},{"Despreciable";"Bajo";"Medio";"Alto";"Muy alto"}),"")</f>
        <v/>
      </c>
      <c r="V2111" s="13">
        <f>IFERROR(INDEX(MgAmenFrec,MATCH(SUBSTITUTE($H2111,"*","-"),MgAmenClave,0)),"")</f>
        <v/>
      </c>
      <c r="W2111" s="28">
        <f>IFERROR(LOOKUP(X2111,{0;0.01;0.1;1;10;100},{"Muy baja";"Muy baja";"Baja";"Media";"Alta";"Muy alta"}),"")</f>
        <v/>
      </c>
      <c r="X2111" s="31">
        <f>IFERROR(VLOOKUP(V2111,MgFrec,2,0),0)</f>
        <v/>
      </c>
      <c r="Y2111" s="30">
        <f>T2111*X2111</f>
        <v/>
      </c>
      <c r="Z2111" s="28">
        <f>IFERROR(LOOKUP(Y2111,{0;0.5;5;25},{"Bajo";"Medio";"Alto";"Crítico"}),"")</f>
        <v/>
      </c>
      <c r="AA2111" s="64">
        <f>IF(T2111&gt;=3,IF(X2111&gt;=1,"Zona 1 — Crítica: impacto alto y ocurre al menos una vez al año","Zona 4 — Catastrófica poco probable: impacto alto pero excepcional"),IF(AND(T2111&lt;1.5,X2111&lt;1),"Zona 3 — Asumible: impacto bajo y muy poco frecuente","Zona 2 — Atención: riesgo intermedio"))</f>
        <v/>
      </c>
      <c r="AB2111" s="64">
        <f>IFERROR(INDEX(MgAmenCtrl,MATCH(SUBSTITUTE($H2111,"*","-"),MgAmenClave,0)),"")</f>
        <v/>
      </c>
      <c r="AC2111" s="20" t="n"/>
      <c r="AD2111" s="31">
        <f>IFERROR($X2111*(1-IF($AC2111="",$AL2111,VLOOKUP($AC2111,MgMad,2,0))),"")</f>
        <v/>
      </c>
      <c r="AE2111" s="28">
        <f>IFERROR(LOOKUP(AD2111,{0;0.01;0.1;1;10;100},{"Muy baja";"Muy baja";"Baja";"Media";"Alta";"Muy alta"}),"")</f>
        <v/>
      </c>
      <c r="AF2111" s="30">
        <f>T2111*AD2111</f>
        <v/>
      </c>
      <c r="AG2111" s="28">
        <f>IFERROR(LOOKUP(AF2111,{0;0.5;5;25},{"Bajo";"Medio";"Alto";"Crítico"}),"")</f>
        <v/>
      </c>
      <c r="AH2111" s="28">
        <f>IF(AG2111="","",IF(OR(AG2111="Crítico",AG2111="Alto"),"Mitigar",IF(AG2111="Medio","Mitigar","Aceptar y monitorear")))</f>
        <v/>
      </c>
      <c r="AI2111" s="21" t="n"/>
      <c r="AJ2111" s="21" t="n"/>
      <c r="AK2111" s="20" t="n"/>
      <c r="AL2111" s="77">
        <f>IFERROR(INDEX(MgAmenEfic,MATCH(SUBSTITUTE($H2111,"*","-"),MgAmenClave,0)),0)</f>
        <v/>
      </c>
    </row>
    <row r="2112" hidden="1" ht="105" customHeight="1" s="54">
      <c r="B2112" s="59" t="inlineStr">
        <is>
          <t>R-2107</t>
        </is>
      </c>
      <c r="C2112" s="59" t="inlineStr">
        <is>
          <t>FIN-28</t>
        </is>
      </c>
      <c r="D2112" s="64">
        <f>IFERROR(INDEX(MgNombre,MATCH($C2112,MgActId,0)),"")</f>
        <v/>
      </c>
      <c r="E2112" s="64">
        <f>IFERROR(INDEX(MgProceso,MATCH($C2112,MgActId,0)),"")</f>
        <v/>
      </c>
      <c r="F2112" s="64">
        <f>IFERROR(INDEX(MgTipo,MATCH($C2112,MgActId,0)),"")</f>
        <v/>
      </c>
      <c r="G2112" s="64">
        <f>IFERROR(INDEX(MgSubtipo,MATCH($C2112,MgActId,0)),"")</f>
        <v/>
      </c>
      <c r="H2112" s="59" t="inlineStr">
        <is>
          <t>A.6</t>
        </is>
      </c>
      <c r="I2112" s="64">
        <f>IFERROR(INDEX(MgAmenNombre,MATCH(SUBSTITUTE($H2112,"*","-"),MgAmenClave,0)),"")</f>
        <v/>
      </c>
      <c r="J2112" s="28">
        <f>IFERROR(INDEX(MgAmenGrupo,MATCH(SUBSTITUTE($H2112,"*","-"),MgAmenClave,0)),"")</f>
        <v/>
      </c>
      <c r="K2112" s="64">
        <f>IFERROR(INDEX('1. Matriz de Activos'!$Q$6:$Q$239,MATCH($C2112,MgActId,0)),"")</f>
        <v/>
      </c>
      <c r="L2112" s="64">
        <f>IFERROR(INDEX('1. Matriz de Activos'!$R$6:$R$239,MATCH($C2112,MgActId,0)),"")</f>
        <v/>
      </c>
      <c r="M2112" s="64">
        <f>IFERROR(INDEX('1. Matriz de Activos'!$S$6:$S$239,MATCH($C2112,MgActId,0)),"")</f>
        <v/>
      </c>
      <c r="N2112" s="28">
        <f>IFERROR(INDEX(MgAmenDegD,MATCH(SUBSTITUTE($H2112,"*","-"),MgAmenClave,0)),"No aplica")</f>
        <v/>
      </c>
      <c r="O2112" s="28">
        <f>IFERROR(INDEX(MgAmenDegI,MATCH(SUBSTITUTE($H2112,"*","-"),MgAmenClave,0)),"No aplica")</f>
        <v/>
      </c>
      <c r="P2112" s="28">
        <f>IFERROR(INDEX(MgAmenDegC,MATCH(SUBSTITUTE($H2112,"*","-"),MgAmenClave,0)),"No aplica")</f>
        <v/>
      </c>
      <c r="Q2112" s="29">
        <f>IFERROR(VLOOKUP(K2112,MgValor,2,0)*VLOOKUP(N2112,MgDeg,2,0),0)</f>
        <v/>
      </c>
      <c r="R2112" s="29">
        <f>IFERROR(VLOOKUP(L2112,MgValor,2,0)*VLOOKUP(O2112,MgDeg,2,0),0)</f>
        <v/>
      </c>
      <c r="S2112" s="29">
        <f>IFERROR(VLOOKUP(M2112,MgValor,2,0)*VLOOKUP(P2112,MgDeg,2,0),0)</f>
        <v/>
      </c>
      <c r="T2112" s="30">
        <f>MAX(Q2112:S2112)</f>
        <v/>
      </c>
      <c r="U2112" s="28">
        <f>IFERROR(LOOKUP(T2112,{0;0.5;1.5;3;4.5},{"Despreciable";"Bajo";"Medio";"Alto";"Muy alto"}),"")</f>
        <v/>
      </c>
      <c r="V2112" s="13">
        <f>IFERROR(INDEX(MgAmenFrec,MATCH(SUBSTITUTE($H2112,"*","-"),MgAmenClave,0)),"")</f>
        <v/>
      </c>
      <c r="W2112" s="28">
        <f>IFERROR(LOOKUP(X2112,{0;0.01;0.1;1;10;100},{"Muy baja";"Muy baja";"Baja";"Media";"Alta";"Muy alta"}),"")</f>
        <v/>
      </c>
      <c r="X2112" s="31">
        <f>IFERROR(VLOOKUP(V2112,MgFrec,2,0),0)</f>
        <v/>
      </c>
      <c r="Y2112" s="30">
        <f>T2112*X2112</f>
        <v/>
      </c>
      <c r="Z2112" s="28">
        <f>IFERROR(LOOKUP(Y2112,{0;0.5;5;25},{"Bajo";"Medio";"Alto";"Crítico"}),"")</f>
        <v/>
      </c>
      <c r="AA2112" s="64">
        <f>IF(T2112&gt;=3,IF(X2112&gt;=1,"Zona 1 — Crítica: impacto alto y ocurre al menos una vez al año","Zona 4 — Catastrófica poco probable: impacto alto pero excepcional"),IF(AND(T2112&lt;1.5,X2112&lt;1),"Zona 3 — Asumible: impacto bajo y muy poco frecuente","Zona 2 — Atención: riesgo intermedio"))</f>
        <v/>
      </c>
      <c r="AB2112" s="64">
        <f>IFERROR(INDEX(MgAmenCtrl,MATCH(SUBSTITUTE($H2112,"*","-"),MgAmenClave,0)),"")</f>
        <v/>
      </c>
      <c r="AC2112" s="20" t="n"/>
      <c r="AD2112" s="31">
        <f>IFERROR($X2112*(1-IF($AC2112="",$AL2112,VLOOKUP($AC2112,MgMad,2,0))),"")</f>
        <v/>
      </c>
      <c r="AE2112" s="28">
        <f>IFERROR(LOOKUP(AD2112,{0;0.01;0.1;1;10;100},{"Muy baja";"Muy baja";"Baja";"Media";"Alta";"Muy alta"}),"")</f>
        <v/>
      </c>
      <c r="AF2112" s="30">
        <f>T2112*AD2112</f>
        <v/>
      </c>
      <c r="AG2112" s="28">
        <f>IFERROR(LOOKUP(AF2112,{0;0.5;5;25},{"Bajo";"Medio";"Alto";"Crítico"}),"")</f>
        <v/>
      </c>
      <c r="AH2112" s="28">
        <f>IF(AG2112="","",IF(OR(AG2112="Crítico",AG2112="Alto"),"Mitigar",IF(AG2112="Medio","Mitigar","Aceptar y monitorear")))</f>
        <v/>
      </c>
      <c r="AI2112" s="21" t="n"/>
      <c r="AJ2112" s="21" t="n"/>
      <c r="AK2112" s="20" t="n"/>
      <c r="AL2112" s="77">
        <f>IFERROR(INDEX(MgAmenEfic,MATCH(SUBSTITUTE($H2112,"*","-"),MgAmenClave,0)),0)</f>
        <v/>
      </c>
    </row>
    <row r="2113" hidden="1" ht="60" customHeight="1" s="54">
      <c r="B2113" s="59" t="inlineStr">
        <is>
          <t>R-2108</t>
        </is>
      </c>
      <c r="C2113" s="59" t="inlineStr">
        <is>
          <t>FIN-28</t>
        </is>
      </c>
      <c r="D2113" s="64">
        <f>IFERROR(INDEX(MgNombre,MATCH($C2113,MgActId,0)),"")</f>
        <v/>
      </c>
      <c r="E2113" s="64">
        <f>IFERROR(INDEX(MgProceso,MATCH($C2113,MgActId,0)),"")</f>
        <v/>
      </c>
      <c r="F2113" s="64">
        <f>IFERROR(INDEX(MgTipo,MATCH($C2113,MgActId,0)),"")</f>
        <v/>
      </c>
      <c r="G2113" s="64">
        <f>IFERROR(INDEX(MgSubtipo,MATCH($C2113,MgActId,0)),"")</f>
        <v/>
      </c>
      <c r="H2113" s="59" t="inlineStr">
        <is>
          <t>A.7</t>
        </is>
      </c>
      <c r="I2113" s="64">
        <f>IFERROR(INDEX(MgAmenNombre,MATCH(SUBSTITUTE($H2113,"*","-"),MgAmenClave,0)),"")</f>
        <v/>
      </c>
      <c r="J2113" s="28">
        <f>IFERROR(INDEX(MgAmenGrupo,MATCH(SUBSTITUTE($H2113,"*","-"),MgAmenClave,0)),"")</f>
        <v/>
      </c>
      <c r="K2113" s="64">
        <f>IFERROR(INDEX('1. Matriz de Activos'!$Q$6:$Q$239,MATCH($C2113,MgActId,0)),"")</f>
        <v/>
      </c>
      <c r="L2113" s="64">
        <f>IFERROR(INDEX('1. Matriz de Activos'!$R$6:$R$239,MATCH($C2113,MgActId,0)),"")</f>
        <v/>
      </c>
      <c r="M2113" s="64">
        <f>IFERROR(INDEX('1. Matriz de Activos'!$S$6:$S$239,MATCH($C2113,MgActId,0)),"")</f>
        <v/>
      </c>
      <c r="N2113" s="28">
        <f>IFERROR(INDEX(MgAmenDegD,MATCH(SUBSTITUTE($H2113,"*","-"),MgAmenClave,0)),"No aplica")</f>
        <v/>
      </c>
      <c r="O2113" s="28">
        <f>IFERROR(INDEX(MgAmenDegI,MATCH(SUBSTITUTE($H2113,"*","-"),MgAmenClave,0)),"No aplica")</f>
        <v/>
      </c>
      <c r="P2113" s="28">
        <f>IFERROR(INDEX(MgAmenDegC,MATCH(SUBSTITUTE($H2113,"*","-"),MgAmenClave,0)),"No aplica")</f>
        <v/>
      </c>
      <c r="Q2113" s="29">
        <f>IFERROR(VLOOKUP(K2113,MgValor,2,0)*VLOOKUP(N2113,MgDeg,2,0),0)</f>
        <v/>
      </c>
      <c r="R2113" s="29">
        <f>IFERROR(VLOOKUP(L2113,MgValor,2,0)*VLOOKUP(O2113,MgDeg,2,0),0)</f>
        <v/>
      </c>
      <c r="S2113" s="29">
        <f>IFERROR(VLOOKUP(M2113,MgValor,2,0)*VLOOKUP(P2113,MgDeg,2,0),0)</f>
        <v/>
      </c>
      <c r="T2113" s="30">
        <f>MAX(Q2113:S2113)</f>
        <v/>
      </c>
      <c r="U2113" s="28">
        <f>IFERROR(LOOKUP(T2113,{0;0.5;1.5;3;4.5},{"Despreciable";"Bajo";"Medio";"Alto";"Muy alto"}),"")</f>
        <v/>
      </c>
      <c r="V2113" s="13">
        <f>IFERROR(INDEX(MgAmenFrec,MATCH(SUBSTITUTE($H2113,"*","-"),MgAmenClave,0)),"")</f>
        <v/>
      </c>
      <c r="W2113" s="28">
        <f>IFERROR(LOOKUP(X2113,{0;0.01;0.1;1;10;100},{"Muy baja";"Muy baja";"Baja";"Media";"Alta";"Muy alta"}),"")</f>
        <v/>
      </c>
      <c r="X2113" s="31">
        <f>IFERROR(VLOOKUP(V2113,MgFrec,2,0),0)</f>
        <v/>
      </c>
      <c r="Y2113" s="30">
        <f>T2113*X2113</f>
        <v/>
      </c>
      <c r="Z2113" s="28">
        <f>IFERROR(LOOKUP(Y2113,{0;0.5;5;25},{"Bajo";"Medio";"Alto";"Crítico"}),"")</f>
        <v/>
      </c>
      <c r="AA2113" s="64">
        <f>IF(T2113&gt;=3,IF(X2113&gt;=1,"Zona 1 — Crítica: impacto alto y ocurre al menos una vez al año","Zona 4 — Catastrófica poco probable: impacto alto pero excepcional"),IF(AND(T2113&lt;1.5,X2113&lt;1),"Zona 3 — Asumible: impacto bajo y muy poco frecuente","Zona 2 — Atención: riesgo intermedio"))</f>
        <v/>
      </c>
      <c r="AB2113" s="64">
        <f>IFERROR(INDEX(MgAmenCtrl,MATCH(SUBSTITUTE($H2113,"*","-"),MgAmenClave,0)),"")</f>
        <v/>
      </c>
      <c r="AC2113" s="20" t="n"/>
      <c r="AD2113" s="31">
        <f>IFERROR($X2113*(1-IF($AC2113="",$AL2113,VLOOKUP($AC2113,MgMad,2,0))),"")</f>
        <v/>
      </c>
      <c r="AE2113" s="28">
        <f>IFERROR(LOOKUP(AD2113,{0;0.01;0.1;1;10;100},{"Muy baja";"Muy baja";"Baja";"Media";"Alta";"Muy alta"}),"")</f>
        <v/>
      </c>
      <c r="AF2113" s="30">
        <f>T2113*AD2113</f>
        <v/>
      </c>
      <c r="AG2113" s="28">
        <f>IFERROR(LOOKUP(AF2113,{0;0.5;5;25},{"Bajo";"Medio";"Alto";"Crítico"}),"")</f>
        <v/>
      </c>
      <c r="AH2113" s="28">
        <f>IF(AG2113="","",IF(OR(AG2113="Crítico",AG2113="Alto"),"Mitigar",IF(AG2113="Medio","Mitigar","Aceptar y monitorear")))</f>
        <v/>
      </c>
      <c r="AI2113" s="21" t="n"/>
      <c r="AJ2113" s="21" t="n"/>
      <c r="AK2113" s="20" t="n"/>
      <c r="AL2113" s="77">
        <f>IFERROR(INDEX(MgAmenEfic,MATCH(SUBSTITUTE($H2113,"*","-"),MgAmenClave,0)),0)</f>
        <v/>
      </c>
    </row>
    <row r="2114" hidden="1" ht="60" customHeight="1" s="54">
      <c r="B2114" s="59" t="inlineStr">
        <is>
          <t>R-2109</t>
        </is>
      </c>
      <c r="C2114" s="59" t="inlineStr">
        <is>
          <t>FIN-28</t>
        </is>
      </c>
      <c r="D2114" s="64">
        <f>IFERROR(INDEX(MgNombre,MATCH($C2114,MgActId,0)),"")</f>
        <v/>
      </c>
      <c r="E2114" s="64">
        <f>IFERROR(INDEX(MgProceso,MATCH($C2114,MgActId,0)),"")</f>
        <v/>
      </c>
      <c r="F2114" s="64">
        <f>IFERROR(INDEX(MgTipo,MATCH($C2114,MgActId,0)),"")</f>
        <v/>
      </c>
      <c r="G2114" s="64">
        <f>IFERROR(INDEX(MgSubtipo,MATCH($C2114,MgActId,0)),"")</f>
        <v/>
      </c>
      <c r="H2114" s="59" t="inlineStr">
        <is>
          <t>A.9</t>
        </is>
      </c>
      <c r="I2114" s="64">
        <f>IFERROR(INDEX(MgAmenNombre,MATCH(SUBSTITUTE($H2114,"*","-"),MgAmenClave,0)),"")</f>
        <v/>
      </c>
      <c r="J2114" s="28">
        <f>IFERROR(INDEX(MgAmenGrupo,MATCH(SUBSTITUTE($H2114,"*","-"),MgAmenClave,0)),"")</f>
        <v/>
      </c>
      <c r="K2114" s="64">
        <f>IFERROR(INDEX('1. Matriz de Activos'!$Q$6:$Q$239,MATCH($C2114,MgActId,0)),"")</f>
        <v/>
      </c>
      <c r="L2114" s="64">
        <f>IFERROR(INDEX('1. Matriz de Activos'!$R$6:$R$239,MATCH($C2114,MgActId,0)),"")</f>
        <v/>
      </c>
      <c r="M2114" s="64">
        <f>IFERROR(INDEX('1. Matriz de Activos'!$S$6:$S$239,MATCH($C2114,MgActId,0)),"")</f>
        <v/>
      </c>
      <c r="N2114" s="28">
        <f>IFERROR(INDEX(MgAmenDegD,MATCH(SUBSTITUTE($H2114,"*","-"),MgAmenClave,0)),"No aplica")</f>
        <v/>
      </c>
      <c r="O2114" s="28">
        <f>IFERROR(INDEX(MgAmenDegI,MATCH(SUBSTITUTE($H2114,"*","-"),MgAmenClave,0)),"No aplica")</f>
        <v/>
      </c>
      <c r="P2114" s="28">
        <f>IFERROR(INDEX(MgAmenDegC,MATCH(SUBSTITUTE($H2114,"*","-"),MgAmenClave,0)),"No aplica")</f>
        <v/>
      </c>
      <c r="Q2114" s="29">
        <f>IFERROR(VLOOKUP(K2114,MgValor,2,0)*VLOOKUP(N2114,MgDeg,2,0),0)</f>
        <v/>
      </c>
      <c r="R2114" s="29">
        <f>IFERROR(VLOOKUP(L2114,MgValor,2,0)*VLOOKUP(O2114,MgDeg,2,0),0)</f>
        <v/>
      </c>
      <c r="S2114" s="29">
        <f>IFERROR(VLOOKUP(M2114,MgValor,2,0)*VLOOKUP(P2114,MgDeg,2,0),0)</f>
        <v/>
      </c>
      <c r="T2114" s="30">
        <f>MAX(Q2114:S2114)</f>
        <v/>
      </c>
      <c r="U2114" s="28">
        <f>IFERROR(LOOKUP(T2114,{0;0.5;1.5;3;4.5},{"Despreciable";"Bajo";"Medio";"Alto";"Muy alto"}),"")</f>
        <v/>
      </c>
      <c r="V2114" s="13">
        <f>IFERROR(INDEX(MgAmenFrec,MATCH(SUBSTITUTE($H2114,"*","-"),MgAmenClave,0)),"")</f>
        <v/>
      </c>
      <c r="W2114" s="28">
        <f>IFERROR(LOOKUP(X2114,{0;0.01;0.1;1;10;100},{"Muy baja";"Muy baja";"Baja";"Media";"Alta";"Muy alta"}),"")</f>
        <v/>
      </c>
      <c r="X2114" s="31">
        <f>IFERROR(VLOOKUP(V2114,MgFrec,2,0),0)</f>
        <v/>
      </c>
      <c r="Y2114" s="30">
        <f>T2114*X2114</f>
        <v/>
      </c>
      <c r="Z2114" s="28">
        <f>IFERROR(LOOKUP(Y2114,{0;0.5;5;25},{"Bajo";"Medio";"Alto";"Crítico"}),"")</f>
        <v/>
      </c>
      <c r="AA2114" s="64">
        <f>IF(T2114&gt;=3,IF(X2114&gt;=1,"Zona 1 — Crítica: impacto alto y ocurre al menos una vez al año","Zona 4 — Catastrófica poco probable: impacto alto pero excepcional"),IF(AND(T2114&lt;1.5,X2114&lt;1),"Zona 3 — Asumible: impacto bajo y muy poco frecuente","Zona 2 — Atención: riesgo intermedio"))</f>
        <v/>
      </c>
      <c r="AB2114" s="64">
        <f>IFERROR(INDEX(MgAmenCtrl,MATCH(SUBSTITUTE($H2114,"*","-"),MgAmenClave,0)),"")</f>
        <v/>
      </c>
      <c r="AC2114" s="20" t="n"/>
      <c r="AD2114" s="31">
        <f>IFERROR($X2114*(1-IF($AC2114="",$AL2114,VLOOKUP($AC2114,MgMad,2,0))),"")</f>
        <v/>
      </c>
      <c r="AE2114" s="28">
        <f>IFERROR(LOOKUP(AD2114,{0;0.01;0.1;1;10;100},{"Muy baja";"Muy baja";"Baja";"Media";"Alta";"Muy alta"}),"")</f>
        <v/>
      </c>
      <c r="AF2114" s="30">
        <f>T2114*AD2114</f>
        <v/>
      </c>
      <c r="AG2114" s="28">
        <f>IFERROR(LOOKUP(AF2114,{0;0.5;5;25},{"Bajo";"Medio";"Alto";"Crítico"}),"")</f>
        <v/>
      </c>
      <c r="AH2114" s="28">
        <f>IF(AG2114="","",IF(OR(AG2114="Crítico",AG2114="Alto"),"Mitigar",IF(AG2114="Medio","Mitigar","Aceptar y monitorear")))</f>
        <v/>
      </c>
      <c r="AI2114" s="21" t="n"/>
      <c r="AJ2114" s="21" t="n"/>
      <c r="AK2114" s="20" t="n"/>
      <c r="AL2114" s="77">
        <f>IFERROR(INDEX(MgAmenEfic,MATCH(SUBSTITUTE($H2114,"*","-"),MgAmenClave,0)),0)</f>
        <v/>
      </c>
    </row>
    <row r="2115" hidden="1" ht="45" customHeight="1" s="54">
      <c r="B2115" s="59" t="inlineStr">
        <is>
          <t>R-2110</t>
        </is>
      </c>
      <c r="C2115" s="59" t="inlineStr">
        <is>
          <t>FIN-28</t>
        </is>
      </c>
      <c r="D2115" s="64">
        <f>IFERROR(INDEX(MgNombre,MATCH($C2115,MgActId,0)),"")</f>
        <v/>
      </c>
      <c r="E2115" s="64">
        <f>IFERROR(INDEX(MgProceso,MATCH($C2115,MgActId,0)),"")</f>
        <v/>
      </c>
      <c r="F2115" s="64">
        <f>IFERROR(INDEX(MgTipo,MATCH($C2115,MgActId,0)),"")</f>
        <v/>
      </c>
      <c r="G2115" s="64">
        <f>IFERROR(INDEX(MgSubtipo,MATCH($C2115,MgActId,0)),"")</f>
        <v/>
      </c>
      <c r="H2115" s="59" t="inlineStr">
        <is>
          <t>A.10</t>
        </is>
      </c>
      <c r="I2115" s="64">
        <f>IFERROR(INDEX(MgAmenNombre,MATCH(SUBSTITUTE($H2115,"*","-"),MgAmenClave,0)),"")</f>
        <v/>
      </c>
      <c r="J2115" s="28">
        <f>IFERROR(INDEX(MgAmenGrupo,MATCH(SUBSTITUTE($H2115,"*","-"),MgAmenClave,0)),"")</f>
        <v/>
      </c>
      <c r="K2115" s="64">
        <f>IFERROR(INDEX('1. Matriz de Activos'!$Q$6:$Q$239,MATCH($C2115,MgActId,0)),"")</f>
        <v/>
      </c>
      <c r="L2115" s="64">
        <f>IFERROR(INDEX('1. Matriz de Activos'!$R$6:$R$239,MATCH($C2115,MgActId,0)),"")</f>
        <v/>
      </c>
      <c r="M2115" s="64">
        <f>IFERROR(INDEX('1. Matriz de Activos'!$S$6:$S$239,MATCH($C2115,MgActId,0)),"")</f>
        <v/>
      </c>
      <c r="N2115" s="28">
        <f>IFERROR(INDEX(MgAmenDegD,MATCH(SUBSTITUTE($H2115,"*","-"),MgAmenClave,0)),"No aplica")</f>
        <v/>
      </c>
      <c r="O2115" s="28">
        <f>IFERROR(INDEX(MgAmenDegI,MATCH(SUBSTITUTE($H2115,"*","-"),MgAmenClave,0)),"No aplica")</f>
        <v/>
      </c>
      <c r="P2115" s="28">
        <f>IFERROR(INDEX(MgAmenDegC,MATCH(SUBSTITUTE($H2115,"*","-"),MgAmenClave,0)),"No aplica")</f>
        <v/>
      </c>
      <c r="Q2115" s="29">
        <f>IFERROR(VLOOKUP(K2115,MgValor,2,0)*VLOOKUP(N2115,MgDeg,2,0),0)</f>
        <v/>
      </c>
      <c r="R2115" s="29">
        <f>IFERROR(VLOOKUP(L2115,MgValor,2,0)*VLOOKUP(O2115,MgDeg,2,0),0)</f>
        <v/>
      </c>
      <c r="S2115" s="29">
        <f>IFERROR(VLOOKUP(M2115,MgValor,2,0)*VLOOKUP(P2115,MgDeg,2,0),0)</f>
        <v/>
      </c>
      <c r="T2115" s="30">
        <f>MAX(Q2115:S2115)</f>
        <v/>
      </c>
      <c r="U2115" s="28">
        <f>IFERROR(LOOKUP(T2115,{0;0.5;1.5;3;4.5},{"Despreciable";"Bajo";"Medio";"Alto";"Muy alto"}),"")</f>
        <v/>
      </c>
      <c r="V2115" s="13">
        <f>IFERROR(INDEX(MgAmenFrec,MATCH(SUBSTITUTE($H2115,"*","-"),MgAmenClave,0)),"")</f>
        <v/>
      </c>
      <c r="W2115" s="28">
        <f>IFERROR(LOOKUP(X2115,{0;0.01;0.1;1;10;100},{"Muy baja";"Muy baja";"Baja";"Media";"Alta";"Muy alta"}),"")</f>
        <v/>
      </c>
      <c r="X2115" s="31">
        <f>IFERROR(VLOOKUP(V2115,MgFrec,2,0),0)</f>
        <v/>
      </c>
      <c r="Y2115" s="30">
        <f>T2115*X2115</f>
        <v/>
      </c>
      <c r="Z2115" s="28">
        <f>IFERROR(LOOKUP(Y2115,{0;0.5;5;25},{"Bajo";"Medio";"Alto";"Crítico"}),"")</f>
        <v/>
      </c>
      <c r="AA2115" s="64">
        <f>IF(T2115&gt;=3,IF(X2115&gt;=1,"Zona 1 — Crítica: impacto alto y ocurre al menos una vez al año","Zona 4 — Catastrófica poco probable: impacto alto pero excepcional"),IF(AND(T2115&lt;1.5,X2115&lt;1),"Zona 3 — Asumible: impacto bajo y muy poco frecuente","Zona 2 — Atención: riesgo intermedio"))</f>
        <v/>
      </c>
      <c r="AB2115" s="64">
        <f>IFERROR(INDEX(MgAmenCtrl,MATCH(SUBSTITUTE($H2115,"*","-"),MgAmenClave,0)),"")</f>
        <v/>
      </c>
      <c r="AC2115" s="20" t="n"/>
      <c r="AD2115" s="31">
        <f>IFERROR($X2115*(1-IF($AC2115="",$AL2115,VLOOKUP($AC2115,MgMad,2,0))),"")</f>
        <v/>
      </c>
      <c r="AE2115" s="28">
        <f>IFERROR(LOOKUP(AD2115,{0;0.01;0.1;1;10;100},{"Muy baja";"Muy baja";"Baja";"Media";"Alta";"Muy alta"}),"")</f>
        <v/>
      </c>
      <c r="AF2115" s="30">
        <f>T2115*AD2115</f>
        <v/>
      </c>
      <c r="AG2115" s="28">
        <f>IFERROR(LOOKUP(AF2115,{0;0.5;5;25},{"Bajo";"Medio";"Alto";"Crítico"}),"")</f>
        <v/>
      </c>
      <c r="AH2115" s="28">
        <f>IF(AG2115="","",IF(OR(AG2115="Crítico",AG2115="Alto"),"Mitigar",IF(AG2115="Medio","Mitigar","Aceptar y monitorear")))</f>
        <v/>
      </c>
      <c r="AI2115" s="21" t="n"/>
      <c r="AJ2115" s="21" t="n"/>
      <c r="AK2115" s="20" t="n"/>
      <c r="AL2115" s="77">
        <f>IFERROR(INDEX(MgAmenEfic,MATCH(SUBSTITUTE($H2115,"*","-"),MgAmenClave,0)),0)</f>
        <v/>
      </c>
    </row>
    <row r="2116" hidden="1" ht="120" customHeight="1" s="54">
      <c r="B2116" s="59" t="inlineStr">
        <is>
          <t>R-2111</t>
        </is>
      </c>
      <c r="C2116" s="59" t="inlineStr">
        <is>
          <t>FIN-28</t>
        </is>
      </c>
      <c r="D2116" s="64">
        <f>IFERROR(INDEX(MgNombre,MATCH($C2116,MgActId,0)),"")</f>
        <v/>
      </c>
      <c r="E2116" s="64">
        <f>IFERROR(INDEX(MgProceso,MATCH($C2116,MgActId,0)),"")</f>
        <v/>
      </c>
      <c r="F2116" s="64">
        <f>IFERROR(INDEX(MgTipo,MATCH($C2116,MgActId,0)),"")</f>
        <v/>
      </c>
      <c r="G2116" s="64">
        <f>IFERROR(INDEX(MgSubtipo,MATCH($C2116,MgActId,0)),"")</f>
        <v/>
      </c>
      <c r="H2116" s="59" t="inlineStr">
        <is>
          <t>A.11</t>
        </is>
      </c>
      <c r="I2116" s="64">
        <f>IFERROR(INDEX(MgAmenNombre,MATCH(SUBSTITUTE($H2116,"*","-"),MgAmenClave,0)),"")</f>
        <v/>
      </c>
      <c r="J2116" s="28">
        <f>IFERROR(INDEX(MgAmenGrupo,MATCH(SUBSTITUTE($H2116,"*","-"),MgAmenClave,0)),"")</f>
        <v/>
      </c>
      <c r="K2116" s="64">
        <f>IFERROR(INDEX('1. Matriz de Activos'!$Q$6:$Q$239,MATCH($C2116,MgActId,0)),"")</f>
        <v/>
      </c>
      <c r="L2116" s="64">
        <f>IFERROR(INDEX('1. Matriz de Activos'!$R$6:$R$239,MATCH($C2116,MgActId,0)),"")</f>
        <v/>
      </c>
      <c r="M2116" s="64">
        <f>IFERROR(INDEX('1. Matriz de Activos'!$S$6:$S$239,MATCH($C2116,MgActId,0)),"")</f>
        <v/>
      </c>
      <c r="N2116" s="28">
        <f>IFERROR(INDEX(MgAmenDegD,MATCH(SUBSTITUTE($H2116,"*","-"),MgAmenClave,0)),"No aplica")</f>
        <v/>
      </c>
      <c r="O2116" s="28">
        <f>IFERROR(INDEX(MgAmenDegI,MATCH(SUBSTITUTE($H2116,"*","-"),MgAmenClave,0)),"No aplica")</f>
        <v/>
      </c>
      <c r="P2116" s="28">
        <f>IFERROR(INDEX(MgAmenDegC,MATCH(SUBSTITUTE($H2116,"*","-"),MgAmenClave,0)),"No aplica")</f>
        <v/>
      </c>
      <c r="Q2116" s="29">
        <f>IFERROR(VLOOKUP(K2116,MgValor,2,0)*VLOOKUP(N2116,MgDeg,2,0),0)</f>
        <v/>
      </c>
      <c r="R2116" s="29">
        <f>IFERROR(VLOOKUP(L2116,MgValor,2,0)*VLOOKUP(O2116,MgDeg,2,0),0)</f>
        <v/>
      </c>
      <c r="S2116" s="29">
        <f>IFERROR(VLOOKUP(M2116,MgValor,2,0)*VLOOKUP(P2116,MgDeg,2,0),0)</f>
        <v/>
      </c>
      <c r="T2116" s="30">
        <f>MAX(Q2116:S2116)</f>
        <v/>
      </c>
      <c r="U2116" s="28">
        <f>IFERROR(LOOKUP(T2116,{0;0.5;1.5;3;4.5},{"Despreciable";"Bajo";"Medio";"Alto";"Muy alto"}),"")</f>
        <v/>
      </c>
      <c r="V2116" s="13">
        <f>IFERROR(INDEX(MgAmenFrec,MATCH(SUBSTITUTE($H2116,"*","-"),MgAmenClave,0)),"")</f>
        <v/>
      </c>
      <c r="W2116" s="28">
        <f>IFERROR(LOOKUP(X2116,{0;0.01;0.1;1;10;100},{"Muy baja";"Muy baja";"Baja";"Media";"Alta";"Muy alta"}),"")</f>
        <v/>
      </c>
      <c r="X2116" s="31">
        <f>IFERROR(VLOOKUP(V2116,MgFrec,2,0),0)</f>
        <v/>
      </c>
      <c r="Y2116" s="30">
        <f>T2116*X2116</f>
        <v/>
      </c>
      <c r="Z2116" s="28">
        <f>IFERROR(LOOKUP(Y2116,{0;0.5;5;25},{"Bajo";"Medio";"Alto";"Crítico"}),"")</f>
        <v/>
      </c>
      <c r="AA2116" s="64">
        <f>IF(T2116&gt;=3,IF(X2116&gt;=1,"Zona 1 — Crítica: impacto alto y ocurre al menos una vez al año","Zona 4 — Catastrófica poco probable: impacto alto pero excepcional"),IF(AND(T2116&lt;1.5,X2116&lt;1),"Zona 3 — Asumible: impacto bajo y muy poco frecuente","Zona 2 — Atención: riesgo intermedio"))</f>
        <v/>
      </c>
      <c r="AB2116" s="64">
        <f>IFERROR(INDEX(MgAmenCtrl,MATCH(SUBSTITUTE($H2116,"*","-"),MgAmenClave,0)),"")</f>
        <v/>
      </c>
      <c r="AC2116" s="20" t="n"/>
      <c r="AD2116" s="31">
        <f>IFERROR($X2116*(1-IF($AC2116="",$AL2116,VLOOKUP($AC2116,MgMad,2,0))),"")</f>
        <v/>
      </c>
      <c r="AE2116" s="28">
        <f>IFERROR(LOOKUP(AD2116,{0;0.01;0.1;1;10;100},{"Muy baja";"Muy baja";"Baja";"Media";"Alta";"Muy alta"}),"")</f>
        <v/>
      </c>
      <c r="AF2116" s="30">
        <f>T2116*AD2116</f>
        <v/>
      </c>
      <c r="AG2116" s="28">
        <f>IFERROR(LOOKUP(AF2116,{0;0.5;5;25},{"Bajo";"Medio";"Alto";"Crítico"}),"")</f>
        <v/>
      </c>
      <c r="AH2116" s="28">
        <f>IF(AG2116="","",IF(OR(AG2116="Crítico",AG2116="Alto"),"Mitigar",IF(AG2116="Medio","Mitigar","Aceptar y monitorear")))</f>
        <v/>
      </c>
      <c r="AI2116" s="21" t="n"/>
      <c r="AJ2116" s="21" t="n"/>
      <c r="AK2116" s="20" t="n"/>
      <c r="AL2116" s="77">
        <f>IFERROR(INDEX(MgAmenEfic,MATCH(SUBSTITUTE($H2116,"*","-"),MgAmenClave,0)),0)</f>
        <v/>
      </c>
    </row>
    <row r="2117" hidden="1" ht="90" customHeight="1" s="54">
      <c r="B2117" s="59" t="inlineStr">
        <is>
          <t>R-2112</t>
        </is>
      </c>
      <c r="C2117" s="59" t="inlineStr">
        <is>
          <t>FIN-28</t>
        </is>
      </c>
      <c r="D2117" s="64">
        <f>IFERROR(INDEX(MgNombre,MATCH($C2117,MgActId,0)),"")</f>
        <v/>
      </c>
      <c r="E2117" s="64">
        <f>IFERROR(INDEX(MgProceso,MATCH($C2117,MgActId,0)),"")</f>
        <v/>
      </c>
      <c r="F2117" s="64">
        <f>IFERROR(INDEX(MgTipo,MATCH($C2117,MgActId,0)),"")</f>
        <v/>
      </c>
      <c r="G2117" s="64">
        <f>IFERROR(INDEX(MgSubtipo,MATCH($C2117,MgActId,0)),"")</f>
        <v/>
      </c>
      <c r="H2117" s="59" t="inlineStr">
        <is>
          <t>A.13</t>
        </is>
      </c>
      <c r="I2117" s="64">
        <f>IFERROR(INDEX(MgAmenNombre,MATCH(SUBSTITUTE($H2117,"*","-"),MgAmenClave,0)),"")</f>
        <v/>
      </c>
      <c r="J2117" s="28">
        <f>IFERROR(INDEX(MgAmenGrupo,MATCH(SUBSTITUTE($H2117,"*","-"),MgAmenClave,0)),"")</f>
        <v/>
      </c>
      <c r="K2117" s="64">
        <f>IFERROR(INDEX('1. Matriz de Activos'!$Q$6:$Q$239,MATCH($C2117,MgActId,0)),"")</f>
        <v/>
      </c>
      <c r="L2117" s="64">
        <f>IFERROR(INDEX('1. Matriz de Activos'!$R$6:$R$239,MATCH($C2117,MgActId,0)),"")</f>
        <v/>
      </c>
      <c r="M2117" s="64">
        <f>IFERROR(INDEX('1. Matriz de Activos'!$S$6:$S$239,MATCH($C2117,MgActId,0)),"")</f>
        <v/>
      </c>
      <c r="N2117" s="28">
        <f>IFERROR(INDEX(MgAmenDegD,MATCH(SUBSTITUTE($H2117,"*","-"),MgAmenClave,0)),"No aplica")</f>
        <v/>
      </c>
      <c r="O2117" s="28">
        <f>IFERROR(INDEX(MgAmenDegI,MATCH(SUBSTITUTE($H2117,"*","-"),MgAmenClave,0)),"No aplica")</f>
        <v/>
      </c>
      <c r="P2117" s="28">
        <f>IFERROR(INDEX(MgAmenDegC,MATCH(SUBSTITUTE($H2117,"*","-"),MgAmenClave,0)),"No aplica")</f>
        <v/>
      </c>
      <c r="Q2117" s="29">
        <f>IFERROR(VLOOKUP(K2117,MgValor,2,0)*VLOOKUP(N2117,MgDeg,2,0),0)</f>
        <v/>
      </c>
      <c r="R2117" s="29">
        <f>IFERROR(VLOOKUP(L2117,MgValor,2,0)*VLOOKUP(O2117,MgDeg,2,0),0)</f>
        <v/>
      </c>
      <c r="S2117" s="29">
        <f>IFERROR(VLOOKUP(M2117,MgValor,2,0)*VLOOKUP(P2117,MgDeg,2,0),0)</f>
        <v/>
      </c>
      <c r="T2117" s="30">
        <f>MAX(Q2117:S2117)</f>
        <v/>
      </c>
      <c r="U2117" s="28">
        <f>IFERROR(LOOKUP(T2117,{0;0.5;1.5;3;4.5},{"Despreciable";"Bajo";"Medio";"Alto";"Muy alto"}),"")</f>
        <v/>
      </c>
      <c r="V2117" s="13">
        <f>IFERROR(INDEX(MgAmenFrec,MATCH(SUBSTITUTE($H2117,"*","-"),MgAmenClave,0)),"")</f>
        <v/>
      </c>
      <c r="W2117" s="28">
        <f>IFERROR(LOOKUP(X2117,{0;0.01;0.1;1;10;100},{"Muy baja";"Muy baja";"Baja";"Media";"Alta";"Muy alta"}),"")</f>
        <v/>
      </c>
      <c r="X2117" s="31">
        <f>IFERROR(VLOOKUP(V2117,MgFrec,2,0),0)</f>
        <v/>
      </c>
      <c r="Y2117" s="30">
        <f>T2117*X2117</f>
        <v/>
      </c>
      <c r="Z2117" s="28">
        <f>IFERROR(LOOKUP(Y2117,{0;0.5;5;25},{"Bajo";"Medio";"Alto";"Crítico"}),"")</f>
        <v/>
      </c>
      <c r="AA2117" s="64">
        <f>IF(T2117&gt;=3,IF(X2117&gt;=1,"Zona 1 — Crítica: impacto alto y ocurre al menos una vez al año","Zona 4 — Catastrófica poco probable: impacto alto pero excepcional"),IF(AND(T2117&lt;1.5,X2117&lt;1),"Zona 3 — Asumible: impacto bajo y muy poco frecuente","Zona 2 — Atención: riesgo intermedio"))</f>
        <v/>
      </c>
      <c r="AB2117" s="64">
        <f>IFERROR(INDEX(MgAmenCtrl,MATCH(SUBSTITUTE($H2117,"*","-"),MgAmenClave,0)),"")</f>
        <v/>
      </c>
      <c r="AC2117" s="20" t="n"/>
      <c r="AD2117" s="31">
        <f>IFERROR($X2117*(1-IF($AC2117="",$AL2117,VLOOKUP($AC2117,MgMad,2,0))),"")</f>
        <v/>
      </c>
      <c r="AE2117" s="28">
        <f>IFERROR(LOOKUP(AD2117,{0;0.01;0.1;1;10;100},{"Muy baja";"Muy baja";"Baja";"Media";"Alta";"Muy alta"}),"")</f>
        <v/>
      </c>
      <c r="AF2117" s="30">
        <f>T2117*AD2117</f>
        <v/>
      </c>
      <c r="AG2117" s="28">
        <f>IFERROR(LOOKUP(AF2117,{0;0.5;5;25},{"Bajo";"Medio";"Alto";"Crítico"}),"")</f>
        <v/>
      </c>
      <c r="AH2117" s="28">
        <f>IF(AG2117="","",IF(OR(AG2117="Crítico",AG2117="Alto"),"Mitigar",IF(AG2117="Medio","Mitigar","Aceptar y monitorear")))</f>
        <v/>
      </c>
      <c r="AI2117" s="21" t="n"/>
      <c r="AJ2117" s="21" t="n"/>
      <c r="AK2117" s="20" t="n"/>
      <c r="AL2117" s="77">
        <f>IFERROR(INDEX(MgAmenEfic,MATCH(SUBSTITUTE($H2117,"*","-"),MgAmenClave,0)),0)</f>
        <v/>
      </c>
    </row>
    <row r="2118" hidden="1" ht="60" customHeight="1" s="54">
      <c r="B2118" s="59" t="inlineStr">
        <is>
          <t>R-2113</t>
        </is>
      </c>
      <c r="C2118" s="59" t="inlineStr">
        <is>
          <t>FIN-28</t>
        </is>
      </c>
      <c r="D2118" s="64">
        <f>IFERROR(INDEX(MgNombre,MATCH($C2118,MgActId,0)),"")</f>
        <v/>
      </c>
      <c r="E2118" s="64">
        <f>IFERROR(INDEX(MgProceso,MATCH($C2118,MgActId,0)),"")</f>
        <v/>
      </c>
      <c r="F2118" s="64">
        <f>IFERROR(INDEX(MgTipo,MATCH($C2118,MgActId,0)),"")</f>
        <v/>
      </c>
      <c r="G2118" s="64">
        <f>IFERROR(INDEX(MgSubtipo,MATCH($C2118,MgActId,0)),"")</f>
        <v/>
      </c>
      <c r="H2118" s="59" t="inlineStr">
        <is>
          <t>A.15</t>
        </is>
      </c>
      <c r="I2118" s="64">
        <f>IFERROR(INDEX(MgAmenNombre,MATCH(SUBSTITUTE($H2118,"*","-"),MgAmenClave,0)),"")</f>
        <v/>
      </c>
      <c r="J2118" s="28">
        <f>IFERROR(INDEX(MgAmenGrupo,MATCH(SUBSTITUTE($H2118,"*","-"),MgAmenClave,0)),"")</f>
        <v/>
      </c>
      <c r="K2118" s="64">
        <f>IFERROR(INDEX('1. Matriz de Activos'!$Q$6:$Q$239,MATCH($C2118,MgActId,0)),"")</f>
        <v/>
      </c>
      <c r="L2118" s="64">
        <f>IFERROR(INDEX('1. Matriz de Activos'!$R$6:$R$239,MATCH($C2118,MgActId,0)),"")</f>
        <v/>
      </c>
      <c r="M2118" s="64">
        <f>IFERROR(INDEX('1. Matriz de Activos'!$S$6:$S$239,MATCH($C2118,MgActId,0)),"")</f>
        <v/>
      </c>
      <c r="N2118" s="28">
        <f>IFERROR(INDEX(MgAmenDegD,MATCH(SUBSTITUTE($H2118,"*","-"),MgAmenClave,0)),"No aplica")</f>
        <v/>
      </c>
      <c r="O2118" s="28">
        <f>IFERROR(INDEX(MgAmenDegI,MATCH(SUBSTITUTE($H2118,"*","-"),MgAmenClave,0)),"No aplica")</f>
        <v/>
      </c>
      <c r="P2118" s="28">
        <f>IFERROR(INDEX(MgAmenDegC,MATCH(SUBSTITUTE($H2118,"*","-"),MgAmenClave,0)),"No aplica")</f>
        <v/>
      </c>
      <c r="Q2118" s="29">
        <f>IFERROR(VLOOKUP(K2118,MgValor,2,0)*VLOOKUP(N2118,MgDeg,2,0),0)</f>
        <v/>
      </c>
      <c r="R2118" s="29">
        <f>IFERROR(VLOOKUP(L2118,MgValor,2,0)*VLOOKUP(O2118,MgDeg,2,0),0)</f>
        <v/>
      </c>
      <c r="S2118" s="29">
        <f>IFERROR(VLOOKUP(M2118,MgValor,2,0)*VLOOKUP(P2118,MgDeg,2,0),0)</f>
        <v/>
      </c>
      <c r="T2118" s="30">
        <f>MAX(Q2118:S2118)</f>
        <v/>
      </c>
      <c r="U2118" s="28">
        <f>IFERROR(LOOKUP(T2118,{0;0.5;1.5;3;4.5},{"Despreciable";"Bajo";"Medio";"Alto";"Muy alto"}),"")</f>
        <v/>
      </c>
      <c r="V2118" s="13">
        <f>IFERROR(INDEX(MgAmenFrec,MATCH(SUBSTITUTE($H2118,"*","-"),MgAmenClave,0)),"")</f>
        <v/>
      </c>
      <c r="W2118" s="28">
        <f>IFERROR(LOOKUP(X2118,{0;0.01;0.1;1;10;100},{"Muy baja";"Muy baja";"Baja";"Media";"Alta";"Muy alta"}),"")</f>
        <v/>
      </c>
      <c r="X2118" s="31">
        <f>IFERROR(VLOOKUP(V2118,MgFrec,2,0),0)</f>
        <v/>
      </c>
      <c r="Y2118" s="30">
        <f>T2118*X2118</f>
        <v/>
      </c>
      <c r="Z2118" s="28">
        <f>IFERROR(LOOKUP(Y2118,{0;0.5;5;25},{"Bajo";"Medio";"Alto";"Crítico"}),"")</f>
        <v/>
      </c>
      <c r="AA2118" s="64">
        <f>IF(T2118&gt;=3,IF(X2118&gt;=1,"Zona 1 — Crítica: impacto alto y ocurre al menos una vez al año","Zona 4 — Catastrófica poco probable: impacto alto pero excepcional"),IF(AND(T2118&lt;1.5,X2118&lt;1),"Zona 3 — Asumible: impacto bajo y muy poco frecuente","Zona 2 — Atención: riesgo intermedio"))</f>
        <v/>
      </c>
      <c r="AB2118" s="64">
        <f>IFERROR(INDEX(MgAmenCtrl,MATCH(SUBSTITUTE($H2118,"*","-"),MgAmenClave,0)),"")</f>
        <v/>
      </c>
      <c r="AC2118" s="20" t="n"/>
      <c r="AD2118" s="31">
        <f>IFERROR($X2118*(1-IF($AC2118="",$AL2118,VLOOKUP($AC2118,MgMad,2,0))),"")</f>
        <v/>
      </c>
      <c r="AE2118" s="28">
        <f>IFERROR(LOOKUP(AD2118,{0;0.01;0.1;1;10;100},{"Muy baja";"Muy baja";"Baja";"Media";"Alta";"Muy alta"}),"")</f>
        <v/>
      </c>
      <c r="AF2118" s="30">
        <f>T2118*AD2118</f>
        <v/>
      </c>
      <c r="AG2118" s="28">
        <f>IFERROR(LOOKUP(AF2118,{0;0.5;5;25},{"Bajo";"Medio";"Alto";"Crítico"}),"")</f>
        <v/>
      </c>
      <c r="AH2118" s="28">
        <f>IF(AG2118="","",IF(OR(AG2118="Crítico",AG2118="Alto"),"Mitigar",IF(AG2118="Medio","Mitigar","Aceptar y monitorear")))</f>
        <v/>
      </c>
      <c r="AI2118" s="21" t="n"/>
      <c r="AJ2118" s="21" t="n"/>
      <c r="AK2118" s="20" t="n"/>
      <c r="AL2118" s="77">
        <f>IFERROR(INDEX(MgAmenEfic,MATCH(SUBSTITUTE($H2118,"*","-"),MgAmenClave,0)),0)</f>
        <v/>
      </c>
    </row>
    <row r="2119" hidden="1" ht="60" customHeight="1" s="54">
      <c r="B2119" s="59" t="inlineStr">
        <is>
          <t>R-2114</t>
        </is>
      </c>
      <c r="C2119" s="59" t="inlineStr">
        <is>
          <t>FIN-28</t>
        </is>
      </c>
      <c r="D2119" s="64">
        <f>IFERROR(INDEX(MgNombre,MATCH($C2119,MgActId,0)),"")</f>
        <v/>
      </c>
      <c r="E2119" s="64">
        <f>IFERROR(INDEX(MgProceso,MATCH($C2119,MgActId,0)),"")</f>
        <v/>
      </c>
      <c r="F2119" s="64">
        <f>IFERROR(INDEX(MgTipo,MATCH($C2119,MgActId,0)),"")</f>
        <v/>
      </c>
      <c r="G2119" s="64">
        <f>IFERROR(INDEX(MgSubtipo,MATCH($C2119,MgActId,0)),"")</f>
        <v/>
      </c>
      <c r="H2119" s="59" t="inlineStr">
        <is>
          <t>A.18</t>
        </is>
      </c>
      <c r="I2119" s="64">
        <f>IFERROR(INDEX(MgAmenNombre,MATCH(SUBSTITUTE($H2119,"*","-"),MgAmenClave,0)),"")</f>
        <v/>
      </c>
      <c r="J2119" s="28">
        <f>IFERROR(INDEX(MgAmenGrupo,MATCH(SUBSTITUTE($H2119,"*","-"),MgAmenClave,0)),"")</f>
        <v/>
      </c>
      <c r="K2119" s="64">
        <f>IFERROR(INDEX('1. Matriz de Activos'!$Q$6:$Q$239,MATCH($C2119,MgActId,0)),"")</f>
        <v/>
      </c>
      <c r="L2119" s="64">
        <f>IFERROR(INDEX('1. Matriz de Activos'!$R$6:$R$239,MATCH($C2119,MgActId,0)),"")</f>
        <v/>
      </c>
      <c r="M2119" s="64">
        <f>IFERROR(INDEX('1. Matriz de Activos'!$S$6:$S$239,MATCH($C2119,MgActId,0)),"")</f>
        <v/>
      </c>
      <c r="N2119" s="28">
        <f>IFERROR(INDEX(MgAmenDegD,MATCH(SUBSTITUTE($H2119,"*","-"),MgAmenClave,0)),"No aplica")</f>
        <v/>
      </c>
      <c r="O2119" s="28">
        <f>IFERROR(INDEX(MgAmenDegI,MATCH(SUBSTITUTE($H2119,"*","-"),MgAmenClave,0)),"No aplica")</f>
        <v/>
      </c>
      <c r="P2119" s="28">
        <f>IFERROR(INDEX(MgAmenDegC,MATCH(SUBSTITUTE($H2119,"*","-"),MgAmenClave,0)),"No aplica")</f>
        <v/>
      </c>
      <c r="Q2119" s="29">
        <f>IFERROR(VLOOKUP(K2119,MgValor,2,0)*VLOOKUP(N2119,MgDeg,2,0),0)</f>
        <v/>
      </c>
      <c r="R2119" s="29">
        <f>IFERROR(VLOOKUP(L2119,MgValor,2,0)*VLOOKUP(O2119,MgDeg,2,0),0)</f>
        <v/>
      </c>
      <c r="S2119" s="29">
        <f>IFERROR(VLOOKUP(M2119,MgValor,2,0)*VLOOKUP(P2119,MgDeg,2,0),0)</f>
        <v/>
      </c>
      <c r="T2119" s="30">
        <f>MAX(Q2119:S2119)</f>
        <v/>
      </c>
      <c r="U2119" s="28">
        <f>IFERROR(LOOKUP(T2119,{0;0.5;1.5;3;4.5},{"Despreciable";"Bajo";"Medio";"Alto";"Muy alto"}),"")</f>
        <v/>
      </c>
      <c r="V2119" s="13">
        <f>IFERROR(INDEX(MgAmenFrec,MATCH(SUBSTITUTE($H2119,"*","-"),MgAmenClave,0)),"")</f>
        <v/>
      </c>
      <c r="W2119" s="28">
        <f>IFERROR(LOOKUP(X2119,{0;0.01;0.1;1;10;100},{"Muy baja";"Muy baja";"Baja";"Media";"Alta";"Muy alta"}),"")</f>
        <v/>
      </c>
      <c r="X2119" s="31">
        <f>IFERROR(VLOOKUP(V2119,MgFrec,2,0),0)</f>
        <v/>
      </c>
      <c r="Y2119" s="30">
        <f>T2119*X2119</f>
        <v/>
      </c>
      <c r="Z2119" s="28">
        <f>IFERROR(LOOKUP(Y2119,{0;0.5;5;25},{"Bajo";"Medio";"Alto";"Crítico"}),"")</f>
        <v/>
      </c>
      <c r="AA2119" s="64">
        <f>IF(T2119&gt;=3,IF(X2119&gt;=1,"Zona 1 — Crítica: impacto alto y ocurre al menos una vez al año","Zona 4 — Catastrófica poco probable: impacto alto pero excepcional"),IF(AND(T2119&lt;1.5,X2119&lt;1),"Zona 3 — Asumible: impacto bajo y muy poco frecuente","Zona 2 — Atención: riesgo intermedio"))</f>
        <v/>
      </c>
      <c r="AB2119" s="64">
        <f>IFERROR(INDEX(MgAmenCtrl,MATCH(SUBSTITUTE($H2119,"*","-"),MgAmenClave,0)),"")</f>
        <v/>
      </c>
      <c r="AC2119" s="20" t="n"/>
      <c r="AD2119" s="31">
        <f>IFERROR($X2119*(1-IF($AC2119="",$AL2119,VLOOKUP($AC2119,MgMad,2,0))),"")</f>
        <v/>
      </c>
      <c r="AE2119" s="28">
        <f>IFERROR(LOOKUP(AD2119,{0;0.01;0.1;1;10;100},{"Muy baja";"Muy baja";"Baja";"Media";"Alta";"Muy alta"}),"")</f>
        <v/>
      </c>
      <c r="AF2119" s="30">
        <f>T2119*AD2119</f>
        <v/>
      </c>
      <c r="AG2119" s="28">
        <f>IFERROR(LOOKUP(AF2119,{0;0.5;5;25},{"Bajo";"Medio";"Alto";"Crítico"}),"")</f>
        <v/>
      </c>
      <c r="AH2119" s="28">
        <f>IF(AG2119="","",IF(OR(AG2119="Crítico",AG2119="Alto"),"Mitigar",IF(AG2119="Medio","Mitigar","Aceptar y monitorear")))</f>
        <v/>
      </c>
      <c r="AI2119" s="21" t="n"/>
      <c r="AJ2119" s="21" t="n"/>
      <c r="AK2119" s="20" t="n"/>
      <c r="AL2119" s="77">
        <f>IFERROR(INDEX(MgAmenEfic,MATCH(SUBSTITUTE($H2119,"*","-"),MgAmenClave,0)),0)</f>
        <v/>
      </c>
    </row>
    <row r="2120" hidden="1" ht="120" customHeight="1" s="54">
      <c r="B2120" s="59" t="inlineStr">
        <is>
          <t>R-2115</t>
        </is>
      </c>
      <c r="C2120" s="59" t="inlineStr">
        <is>
          <t>FIN-28</t>
        </is>
      </c>
      <c r="D2120" s="64">
        <f>IFERROR(INDEX(MgNombre,MATCH($C2120,MgActId,0)),"")</f>
        <v/>
      </c>
      <c r="E2120" s="64">
        <f>IFERROR(INDEX(MgProceso,MATCH($C2120,MgActId,0)),"")</f>
        <v/>
      </c>
      <c r="F2120" s="64">
        <f>IFERROR(INDEX(MgTipo,MATCH($C2120,MgActId,0)),"")</f>
        <v/>
      </c>
      <c r="G2120" s="64">
        <f>IFERROR(INDEX(MgSubtipo,MATCH($C2120,MgActId,0)),"")</f>
        <v/>
      </c>
      <c r="H2120" s="59" t="inlineStr">
        <is>
          <t>A.19</t>
        </is>
      </c>
      <c r="I2120" s="64">
        <f>IFERROR(INDEX(MgAmenNombre,MATCH(SUBSTITUTE($H2120,"*","-"),MgAmenClave,0)),"")</f>
        <v/>
      </c>
      <c r="J2120" s="28">
        <f>IFERROR(INDEX(MgAmenGrupo,MATCH(SUBSTITUTE($H2120,"*","-"),MgAmenClave,0)),"")</f>
        <v/>
      </c>
      <c r="K2120" s="64">
        <f>IFERROR(INDEX('1. Matriz de Activos'!$Q$6:$Q$239,MATCH($C2120,MgActId,0)),"")</f>
        <v/>
      </c>
      <c r="L2120" s="64">
        <f>IFERROR(INDEX('1. Matriz de Activos'!$R$6:$R$239,MATCH($C2120,MgActId,0)),"")</f>
        <v/>
      </c>
      <c r="M2120" s="64">
        <f>IFERROR(INDEX('1. Matriz de Activos'!$S$6:$S$239,MATCH($C2120,MgActId,0)),"")</f>
        <v/>
      </c>
      <c r="N2120" s="28">
        <f>IFERROR(INDEX(MgAmenDegD,MATCH(SUBSTITUTE($H2120,"*","-"),MgAmenClave,0)),"No aplica")</f>
        <v/>
      </c>
      <c r="O2120" s="28">
        <f>IFERROR(INDEX(MgAmenDegI,MATCH(SUBSTITUTE($H2120,"*","-"),MgAmenClave,0)),"No aplica")</f>
        <v/>
      </c>
      <c r="P2120" s="28">
        <f>IFERROR(INDEX(MgAmenDegC,MATCH(SUBSTITUTE($H2120,"*","-"),MgAmenClave,0)),"No aplica")</f>
        <v/>
      </c>
      <c r="Q2120" s="29">
        <f>IFERROR(VLOOKUP(K2120,MgValor,2,0)*VLOOKUP(N2120,MgDeg,2,0),0)</f>
        <v/>
      </c>
      <c r="R2120" s="29">
        <f>IFERROR(VLOOKUP(L2120,MgValor,2,0)*VLOOKUP(O2120,MgDeg,2,0),0)</f>
        <v/>
      </c>
      <c r="S2120" s="29">
        <f>IFERROR(VLOOKUP(M2120,MgValor,2,0)*VLOOKUP(P2120,MgDeg,2,0),0)</f>
        <v/>
      </c>
      <c r="T2120" s="30">
        <f>MAX(Q2120:S2120)</f>
        <v/>
      </c>
      <c r="U2120" s="28">
        <f>IFERROR(LOOKUP(T2120,{0;0.5;1.5;3;4.5},{"Despreciable";"Bajo";"Medio";"Alto";"Muy alto"}),"")</f>
        <v/>
      </c>
      <c r="V2120" s="13">
        <f>IFERROR(INDEX(MgAmenFrec,MATCH(SUBSTITUTE($H2120,"*","-"),MgAmenClave,0)),"")</f>
        <v/>
      </c>
      <c r="W2120" s="28">
        <f>IFERROR(LOOKUP(X2120,{0;0.01;0.1;1;10;100},{"Muy baja";"Muy baja";"Baja";"Media";"Alta";"Muy alta"}),"")</f>
        <v/>
      </c>
      <c r="X2120" s="31">
        <f>IFERROR(VLOOKUP(V2120,MgFrec,2,0),0)</f>
        <v/>
      </c>
      <c r="Y2120" s="30">
        <f>T2120*X2120</f>
        <v/>
      </c>
      <c r="Z2120" s="28">
        <f>IFERROR(LOOKUP(Y2120,{0;0.5;5;25},{"Bajo";"Medio";"Alto";"Crítico"}),"")</f>
        <v/>
      </c>
      <c r="AA2120" s="64">
        <f>IF(T2120&gt;=3,IF(X2120&gt;=1,"Zona 1 — Crítica: impacto alto y ocurre al menos una vez al año","Zona 4 — Catastrófica poco probable: impacto alto pero excepcional"),IF(AND(T2120&lt;1.5,X2120&lt;1),"Zona 3 — Asumible: impacto bajo y muy poco frecuente","Zona 2 — Atención: riesgo intermedio"))</f>
        <v/>
      </c>
      <c r="AB2120" s="64">
        <f>IFERROR(INDEX(MgAmenCtrl,MATCH(SUBSTITUTE($H2120,"*","-"),MgAmenClave,0)),"")</f>
        <v/>
      </c>
      <c r="AC2120" s="20" t="n"/>
      <c r="AD2120" s="31">
        <f>IFERROR($X2120*(1-IF($AC2120="",$AL2120,VLOOKUP($AC2120,MgMad,2,0))),"")</f>
        <v/>
      </c>
      <c r="AE2120" s="28">
        <f>IFERROR(LOOKUP(AD2120,{0;0.01;0.1;1;10;100},{"Muy baja";"Muy baja";"Baja";"Media";"Alta";"Muy alta"}),"")</f>
        <v/>
      </c>
      <c r="AF2120" s="30">
        <f>T2120*AD2120</f>
        <v/>
      </c>
      <c r="AG2120" s="28">
        <f>IFERROR(LOOKUP(AF2120,{0;0.5;5;25},{"Bajo";"Medio";"Alto";"Crítico"}),"")</f>
        <v/>
      </c>
      <c r="AH2120" s="28">
        <f>IF(AG2120="","",IF(OR(AG2120="Crítico",AG2120="Alto"),"Mitigar",IF(AG2120="Medio","Mitigar","Aceptar y monitorear")))</f>
        <v/>
      </c>
      <c r="AI2120" s="21" t="n"/>
      <c r="AJ2120" s="21" t="n"/>
      <c r="AK2120" s="20" t="n"/>
      <c r="AL2120" s="77">
        <f>IFERROR(INDEX(MgAmenEfic,MATCH(SUBSTITUTE($H2120,"*","-"),MgAmenClave,0)),0)</f>
        <v/>
      </c>
    </row>
    <row r="2121" hidden="1" ht="60" customHeight="1" s="54">
      <c r="B2121" s="59" t="inlineStr">
        <is>
          <t>R-2116</t>
        </is>
      </c>
      <c r="C2121" s="59" t="inlineStr">
        <is>
          <t>FIN-28</t>
        </is>
      </c>
      <c r="D2121" s="64">
        <f>IFERROR(INDEX(MgNombre,MATCH($C2121,MgActId,0)),"")</f>
        <v/>
      </c>
      <c r="E2121" s="64">
        <f>IFERROR(INDEX(MgProceso,MATCH($C2121,MgActId,0)),"")</f>
        <v/>
      </c>
      <c r="F2121" s="64">
        <f>IFERROR(INDEX(MgTipo,MATCH($C2121,MgActId,0)),"")</f>
        <v/>
      </c>
      <c r="G2121" s="64">
        <f>IFERROR(INDEX(MgSubtipo,MATCH($C2121,MgActId,0)),"")</f>
        <v/>
      </c>
      <c r="H2121" s="59" t="inlineStr">
        <is>
          <t>A.24</t>
        </is>
      </c>
      <c r="I2121" s="64">
        <f>IFERROR(INDEX(MgAmenNombre,MATCH(SUBSTITUTE($H2121,"*","-"),MgAmenClave,0)),"")</f>
        <v/>
      </c>
      <c r="J2121" s="28">
        <f>IFERROR(INDEX(MgAmenGrupo,MATCH(SUBSTITUTE($H2121,"*","-"),MgAmenClave,0)),"")</f>
        <v/>
      </c>
      <c r="K2121" s="64">
        <f>IFERROR(INDEX('1. Matriz de Activos'!$Q$6:$Q$239,MATCH($C2121,MgActId,0)),"")</f>
        <v/>
      </c>
      <c r="L2121" s="64">
        <f>IFERROR(INDEX('1. Matriz de Activos'!$R$6:$R$239,MATCH($C2121,MgActId,0)),"")</f>
        <v/>
      </c>
      <c r="M2121" s="64">
        <f>IFERROR(INDEX('1. Matriz de Activos'!$S$6:$S$239,MATCH($C2121,MgActId,0)),"")</f>
        <v/>
      </c>
      <c r="N2121" s="28">
        <f>IFERROR(INDEX(MgAmenDegD,MATCH(SUBSTITUTE($H2121,"*","-"),MgAmenClave,0)),"No aplica")</f>
        <v/>
      </c>
      <c r="O2121" s="28">
        <f>IFERROR(INDEX(MgAmenDegI,MATCH(SUBSTITUTE($H2121,"*","-"),MgAmenClave,0)),"No aplica")</f>
        <v/>
      </c>
      <c r="P2121" s="28">
        <f>IFERROR(INDEX(MgAmenDegC,MATCH(SUBSTITUTE($H2121,"*","-"),MgAmenClave,0)),"No aplica")</f>
        <v/>
      </c>
      <c r="Q2121" s="29">
        <f>IFERROR(VLOOKUP(K2121,MgValor,2,0)*VLOOKUP(N2121,MgDeg,2,0),0)</f>
        <v/>
      </c>
      <c r="R2121" s="29">
        <f>IFERROR(VLOOKUP(L2121,MgValor,2,0)*VLOOKUP(O2121,MgDeg,2,0),0)</f>
        <v/>
      </c>
      <c r="S2121" s="29">
        <f>IFERROR(VLOOKUP(M2121,MgValor,2,0)*VLOOKUP(P2121,MgDeg,2,0),0)</f>
        <v/>
      </c>
      <c r="T2121" s="30">
        <f>MAX(Q2121:S2121)</f>
        <v/>
      </c>
      <c r="U2121" s="28">
        <f>IFERROR(LOOKUP(T2121,{0;0.5;1.5;3;4.5},{"Despreciable";"Bajo";"Medio";"Alto";"Muy alto"}),"")</f>
        <v/>
      </c>
      <c r="V2121" s="13">
        <f>IFERROR(INDEX(MgAmenFrec,MATCH(SUBSTITUTE($H2121,"*","-"),MgAmenClave,0)),"")</f>
        <v/>
      </c>
      <c r="W2121" s="28">
        <f>IFERROR(LOOKUP(X2121,{0;0.01;0.1;1;10;100},{"Muy baja";"Muy baja";"Baja";"Media";"Alta";"Muy alta"}),"")</f>
        <v/>
      </c>
      <c r="X2121" s="31">
        <f>IFERROR(VLOOKUP(V2121,MgFrec,2,0),0)</f>
        <v/>
      </c>
      <c r="Y2121" s="30">
        <f>T2121*X2121</f>
        <v/>
      </c>
      <c r="Z2121" s="28">
        <f>IFERROR(LOOKUP(Y2121,{0;0.5;5;25},{"Bajo";"Medio";"Alto";"Crítico"}),"")</f>
        <v/>
      </c>
      <c r="AA2121" s="64">
        <f>IF(T2121&gt;=3,IF(X2121&gt;=1,"Zona 1 — Crítica: impacto alto y ocurre al menos una vez al año","Zona 4 — Catastrófica poco probable: impacto alto pero excepcional"),IF(AND(T2121&lt;1.5,X2121&lt;1),"Zona 3 — Asumible: impacto bajo y muy poco frecuente","Zona 2 — Atención: riesgo intermedio"))</f>
        <v/>
      </c>
      <c r="AB2121" s="64">
        <f>IFERROR(INDEX(MgAmenCtrl,MATCH(SUBSTITUTE($H2121,"*","-"),MgAmenClave,0)),"")</f>
        <v/>
      </c>
      <c r="AC2121" s="20" t="n"/>
      <c r="AD2121" s="31">
        <f>IFERROR($X2121*(1-IF($AC2121="",$AL2121,VLOOKUP($AC2121,MgMad,2,0))),"")</f>
        <v/>
      </c>
      <c r="AE2121" s="28">
        <f>IFERROR(LOOKUP(AD2121,{0;0.01;0.1;1;10;100},{"Muy baja";"Muy baja";"Baja";"Media";"Alta";"Muy alta"}),"")</f>
        <v/>
      </c>
      <c r="AF2121" s="30">
        <f>T2121*AD2121</f>
        <v/>
      </c>
      <c r="AG2121" s="28">
        <f>IFERROR(LOOKUP(AF2121,{0;0.5;5;25},{"Bajo";"Medio";"Alto";"Crítico"}),"")</f>
        <v/>
      </c>
      <c r="AH2121" s="28">
        <f>IF(AG2121="","",IF(OR(AG2121="Crítico",AG2121="Alto"),"Mitigar",IF(AG2121="Medio","Mitigar","Aceptar y monitorear")))</f>
        <v/>
      </c>
      <c r="AI2121" s="21" t="n"/>
      <c r="AJ2121" s="21" t="n"/>
      <c r="AK2121" s="20" t="n"/>
      <c r="AL2121" s="77">
        <f>IFERROR(INDEX(MgAmenEfic,MATCH(SUBSTITUTE($H2121,"*","-"),MgAmenClave,0)),0)</f>
        <v/>
      </c>
    </row>
    <row r="2122" hidden="1" ht="105" customHeight="1" s="54">
      <c r="B2122" s="59" t="inlineStr">
        <is>
          <t>R-2117</t>
        </is>
      </c>
      <c r="C2122" s="59" t="inlineStr">
        <is>
          <t>FIN-23</t>
        </is>
      </c>
      <c r="D2122" s="64">
        <f>IFERROR(INDEX(MgNombre,MATCH($C2122,MgActId,0)),"")</f>
        <v/>
      </c>
      <c r="E2122" s="64">
        <f>IFERROR(INDEX(MgProceso,MATCH($C2122,MgActId,0)),"")</f>
        <v/>
      </c>
      <c r="F2122" s="64">
        <f>IFERROR(INDEX(MgTipo,MATCH($C2122,MgActId,0)),"")</f>
        <v/>
      </c>
      <c r="G2122" s="64">
        <f>IFERROR(INDEX(MgSubtipo,MATCH($C2122,MgActId,0)),"")</f>
        <v/>
      </c>
      <c r="H2122" s="59" t="inlineStr">
        <is>
          <t>E.1</t>
        </is>
      </c>
      <c r="I2122" s="64">
        <f>IFERROR(INDEX(MgAmenNombre,MATCH(SUBSTITUTE($H2122,"*","-"),MgAmenClave,0)),"")</f>
        <v/>
      </c>
      <c r="J2122" s="28">
        <f>IFERROR(INDEX(MgAmenGrupo,MATCH(SUBSTITUTE($H2122,"*","-"),MgAmenClave,0)),"")</f>
        <v/>
      </c>
      <c r="K2122" s="64">
        <f>IFERROR(INDEX('1. Matriz de Activos'!$Q$6:$Q$239,MATCH($C2122,MgActId,0)),"")</f>
        <v/>
      </c>
      <c r="L2122" s="64">
        <f>IFERROR(INDEX('1. Matriz de Activos'!$R$6:$R$239,MATCH($C2122,MgActId,0)),"")</f>
        <v/>
      </c>
      <c r="M2122" s="64">
        <f>IFERROR(INDEX('1. Matriz de Activos'!$S$6:$S$239,MATCH($C2122,MgActId,0)),"")</f>
        <v/>
      </c>
      <c r="N2122" s="28">
        <f>IFERROR(INDEX(MgAmenDegD,MATCH(SUBSTITUTE($H2122,"*","-"),MgAmenClave,0)),"No aplica")</f>
        <v/>
      </c>
      <c r="O2122" s="28">
        <f>IFERROR(INDEX(MgAmenDegI,MATCH(SUBSTITUTE($H2122,"*","-"),MgAmenClave,0)),"No aplica")</f>
        <v/>
      </c>
      <c r="P2122" s="28">
        <f>IFERROR(INDEX(MgAmenDegC,MATCH(SUBSTITUTE($H2122,"*","-"),MgAmenClave,0)),"No aplica")</f>
        <v/>
      </c>
      <c r="Q2122" s="29">
        <f>IFERROR(VLOOKUP(K2122,MgValor,2,0)*VLOOKUP(N2122,MgDeg,2,0),0)</f>
        <v/>
      </c>
      <c r="R2122" s="29">
        <f>IFERROR(VLOOKUP(L2122,MgValor,2,0)*VLOOKUP(O2122,MgDeg,2,0),0)</f>
        <v/>
      </c>
      <c r="S2122" s="29">
        <f>IFERROR(VLOOKUP(M2122,MgValor,2,0)*VLOOKUP(P2122,MgDeg,2,0),0)</f>
        <v/>
      </c>
      <c r="T2122" s="30">
        <f>MAX(Q2122:S2122)</f>
        <v/>
      </c>
      <c r="U2122" s="28">
        <f>IFERROR(LOOKUP(T2122,{0;0.5;1.5;3;4.5},{"Despreciable";"Bajo";"Medio";"Alto";"Muy alto"}),"")</f>
        <v/>
      </c>
      <c r="V2122" s="13">
        <f>IFERROR(INDEX(MgAmenFrec,MATCH(SUBSTITUTE($H2122,"*","-"),MgAmenClave,0)),"")</f>
        <v/>
      </c>
      <c r="W2122" s="28">
        <f>IFERROR(LOOKUP(X2122,{0;0.01;0.1;1;10;100},{"Muy baja";"Muy baja";"Baja";"Media";"Alta";"Muy alta"}),"")</f>
        <v/>
      </c>
      <c r="X2122" s="31">
        <f>IFERROR(VLOOKUP(V2122,MgFrec,2,0),0)</f>
        <v/>
      </c>
      <c r="Y2122" s="30">
        <f>T2122*X2122</f>
        <v/>
      </c>
      <c r="Z2122" s="28">
        <f>IFERROR(LOOKUP(Y2122,{0;0.5;5;25},{"Bajo";"Medio";"Alto";"Crítico"}),"")</f>
        <v/>
      </c>
      <c r="AA2122" s="64">
        <f>IF(T2122&gt;=3,IF(X2122&gt;=1,"Zona 1 — Crítica: impacto alto y ocurre al menos una vez al año","Zona 4 — Catastrófica poco probable: impacto alto pero excepcional"),IF(AND(T2122&lt;1.5,X2122&lt;1),"Zona 3 — Asumible: impacto bajo y muy poco frecuente","Zona 2 — Atención: riesgo intermedio"))</f>
        <v/>
      </c>
      <c r="AB2122" s="64">
        <f>IFERROR(INDEX(MgAmenCtrl,MATCH(SUBSTITUTE($H2122,"*","-"),MgAmenClave,0)),"")</f>
        <v/>
      </c>
      <c r="AC2122" s="20" t="n"/>
      <c r="AD2122" s="31">
        <f>IFERROR($X2122*(1-IF($AC2122="",$AL2122,VLOOKUP($AC2122,MgMad,2,0))),"")</f>
        <v/>
      </c>
      <c r="AE2122" s="28">
        <f>IFERROR(LOOKUP(AD2122,{0;0.01;0.1;1;10;100},{"Muy baja";"Muy baja";"Baja";"Media";"Alta";"Muy alta"}),"")</f>
        <v/>
      </c>
      <c r="AF2122" s="30">
        <f>T2122*AD2122</f>
        <v/>
      </c>
      <c r="AG2122" s="28">
        <f>IFERROR(LOOKUP(AF2122,{0;0.5;5;25},{"Bajo";"Medio";"Alto";"Crítico"}),"")</f>
        <v/>
      </c>
      <c r="AH2122" s="28">
        <f>IF(AG2122="","",IF(OR(AG2122="Crítico",AG2122="Alto"),"Mitigar",IF(AG2122="Medio","Mitigar","Aceptar y monitorear")))</f>
        <v/>
      </c>
      <c r="AI2122" s="21" t="n"/>
      <c r="AJ2122" s="21" t="n"/>
      <c r="AK2122" s="20" t="n"/>
      <c r="AL2122" s="77">
        <f>IFERROR(INDEX(MgAmenEfic,MATCH(SUBSTITUTE($H2122,"*","-"),MgAmenClave,0)),0)</f>
        <v/>
      </c>
    </row>
    <row r="2123" hidden="1" ht="120" customHeight="1" s="54">
      <c r="B2123" s="59" t="inlineStr">
        <is>
          <t>R-2118</t>
        </is>
      </c>
      <c r="C2123" s="59" t="inlineStr">
        <is>
          <t>FIN-23</t>
        </is>
      </c>
      <c r="D2123" s="64">
        <f>IFERROR(INDEX(MgNombre,MATCH($C2123,MgActId,0)),"")</f>
        <v/>
      </c>
      <c r="E2123" s="64">
        <f>IFERROR(INDEX(MgProceso,MATCH($C2123,MgActId,0)),"")</f>
        <v/>
      </c>
      <c r="F2123" s="64">
        <f>IFERROR(INDEX(MgTipo,MATCH($C2123,MgActId,0)),"")</f>
        <v/>
      </c>
      <c r="G2123" s="64">
        <f>IFERROR(INDEX(MgSubtipo,MATCH($C2123,MgActId,0)),"")</f>
        <v/>
      </c>
      <c r="H2123" s="59" t="inlineStr">
        <is>
          <t>E.2</t>
        </is>
      </c>
      <c r="I2123" s="64">
        <f>IFERROR(INDEX(MgAmenNombre,MATCH(SUBSTITUTE($H2123,"*","-"),MgAmenClave,0)),"")</f>
        <v/>
      </c>
      <c r="J2123" s="28">
        <f>IFERROR(INDEX(MgAmenGrupo,MATCH(SUBSTITUTE($H2123,"*","-"),MgAmenClave,0)),"")</f>
        <v/>
      </c>
      <c r="K2123" s="64">
        <f>IFERROR(INDEX('1. Matriz de Activos'!$Q$6:$Q$239,MATCH($C2123,MgActId,0)),"")</f>
        <v/>
      </c>
      <c r="L2123" s="64">
        <f>IFERROR(INDEX('1. Matriz de Activos'!$R$6:$R$239,MATCH($C2123,MgActId,0)),"")</f>
        <v/>
      </c>
      <c r="M2123" s="64">
        <f>IFERROR(INDEX('1. Matriz de Activos'!$S$6:$S$239,MATCH($C2123,MgActId,0)),"")</f>
        <v/>
      </c>
      <c r="N2123" s="28">
        <f>IFERROR(INDEX(MgAmenDegD,MATCH(SUBSTITUTE($H2123,"*","-"),MgAmenClave,0)),"No aplica")</f>
        <v/>
      </c>
      <c r="O2123" s="28">
        <f>IFERROR(INDEX(MgAmenDegI,MATCH(SUBSTITUTE($H2123,"*","-"),MgAmenClave,0)),"No aplica")</f>
        <v/>
      </c>
      <c r="P2123" s="28">
        <f>IFERROR(INDEX(MgAmenDegC,MATCH(SUBSTITUTE($H2123,"*","-"),MgAmenClave,0)),"No aplica")</f>
        <v/>
      </c>
      <c r="Q2123" s="29">
        <f>IFERROR(VLOOKUP(K2123,MgValor,2,0)*VLOOKUP(N2123,MgDeg,2,0),0)</f>
        <v/>
      </c>
      <c r="R2123" s="29">
        <f>IFERROR(VLOOKUP(L2123,MgValor,2,0)*VLOOKUP(O2123,MgDeg,2,0),0)</f>
        <v/>
      </c>
      <c r="S2123" s="29">
        <f>IFERROR(VLOOKUP(M2123,MgValor,2,0)*VLOOKUP(P2123,MgDeg,2,0),0)</f>
        <v/>
      </c>
      <c r="T2123" s="30">
        <f>MAX(Q2123:S2123)</f>
        <v/>
      </c>
      <c r="U2123" s="28">
        <f>IFERROR(LOOKUP(T2123,{0;0.5;1.5;3;4.5},{"Despreciable";"Bajo";"Medio";"Alto";"Muy alto"}),"")</f>
        <v/>
      </c>
      <c r="V2123" s="13">
        <f>IFERROR(INDEX(MgAmenFrec,MATCH(SUBSTITUTE($H2123,"*","-"),MgAmenClave,0)),"")</f>
        <v/>
      </c>
      <c r="W2123" s="28">
        <f>IFERROR(LOOKUP(X2123,{0;0.01;0.1;1;10;100},{"Muy baja";"Muy baja";"Baja";"Media";"Alta";"Muy alta"}),"")</f>
        <v/>
      </c>
      <c r="X2123" s="31">
        <f>IFERROR(VLOOKUP(V2123,MgFrec,2,0),0)</f>
        <v/>
      </c>
      <c r="Y2123" s="30">
        <f>T2123*X2123</f>
        <v/>
      </c>
      <c r="Z2123" s="28">
        <f>IFERROR(LOOKUP(Y2123,{0;0.5;5;25},{"Bajo";"Medio";"Alto";"Crítico"}),"")</f>
        <v/>
      </c>
      <c r="AA2123" s="64">
        <f>IF(T2123&gt;=3,IF(X2123&gt;=1,"Zona 1 — Crítica: impacto alto y ocurre al menos una vez al año","Zona 4 — Catastrófica poco probable: impacto alto pero excepcional"),IF(AND(T2123&lt;1.5,X2123&lt;1),"Zona 3 — Asumible: impacto bajo y muy poco frecuente","Zona 2 — Atención: riesgo intermedio"))</f>
        <v/>
      </c>
      <c r="AB2123" s="64">
        <f>IFERROR(INDEX(MgAmenCtrl,MATCH(SUBSTITUTE($H2123,"*","-"),MgAmenClave,0)),"")</f>
        <v/>
      </c>
      <c r="AC2123" s="20" t="n"/>
      <c r="AD2123" s="31">
        <f>IFERROR($X2123*(1-IF($AC2123="",$AL2123,VLOOKUP($AC2123,MgMad,2,0))),"")</f>
        <v/>
      </c>
      <c r="AE2123" s="28">
        <f>IFERROR(LOOKUP(AD2123,{0;0.01;0.1;1;10;100},{"Muy baja";"Muy baja";"Baja";"Media";"Alta";"Muy alta"}),"")</f>
        <v/>
      </c>
      <c r="AF2123" s="30">
        <f>T2123*AD2123</f>
        <v/>
      </c>
      <c r="AG2123" s="28">
        <f>IFERROR(LOOKUP(AF2123,{0;0.5;5;25},{"Bajo";"Medio";"Alto";"Crítico"}),"")</f>
        <v/>
      </c>
      <c r="AH2123" s="28">
        <f>IF(AG2123="","",IF(OR(AG2123="Crítico",AG2123="Alto"),"Mitigar",IF(AG2123="Medio","Mitigar","Aceptar y monitorear")))</f>
        <v/>
      </c>
      <c r="AI2123" s="21" t="n"/>
      <c r="AJ2123" s="21" t="n"/>
      <c r="AK2123" s="20" t="n"/>
      <c r="AL2123" s="77">
        <f>IFERROR(INDEX(MgAmenEfic,MATCH(SUBSTITUTE($H2123,"*","-"),MgAmenClave,0)),0)</f>
        <v/>
      </c>
    </row>
    <row r="2124" hidden="1" ht="60" customHeight="1" s="54">
      <c r="B2124" s="59" t="inlineStr">
        <is>
          <t>R-2119</t>
        </is>
      </c>
      <c r="C2124" s="59" t="inlineStr">
        <is>
          <t>FIN-23</t>
        </is>
      </c>
      <c r="D2124" s="64">
        <f>IFERROR(INDEX(MgNombre,MATCH($C2124,MgActId,0)),"")</f>
        <v/>
      </c>
      <c r="E2124" s="64">
        <f>IFERROR(INDEX(MgProceso,MATCH($C2124,MgActId,0)),"")</f>
        <v/>
      </c>
      <c r="F2124" s="64">
        <f>IFERROR(INDEX(MgTipo,MATCH($C2124,MgActId,0)),"")</f>
        <v/>
      </c>
      <c r="G2124" s="64">
        <f>IFERROR(INDEX(MgSubtipo,MATCH($C2124,MgActId,0)),"")</f>
        <v/>
      </c>
      <c r="H2124" s="59" t="inlineStr">
        <is>
          <t>E.9</t>
        </is>
      </c>
      <c r="I2124" s="64">
        <f>IFERROR(INDEX(MgAmenNombre,MATCH(SUBSTITUTE($H2124,"*","-"),MgAmenClave,0)),"")</f>
        <v/>
      </c>
      <c r="J2124" s="28">
        <f>IFERROR(INDEX(MgAmenGrupo,MATCH(SUBSTITUTE($H2124,"*","-"),MgAmenClave,0)),"")</f>
        <v/>
      </c>
      <c r="K2124" s="64">
        <f>IFERROR(INDEX('1. Matriz de Activos'!$Q$6:$Q$239,MATCH($C2124,MgActId,0)),"")</f>
        <v/>
      </c>
      <c r="L2124" s="64">
        <f>IFERROR(INDEX('1. Matriz de Activos'!$R$6:$R$239,MATCH($C2124,MgActId,0)),"")</f>
        <v/>
      </c>
      <c r="M2124" s="64">
        <f>IFERROR(INDEX('1. Matriz de Activos'!$S$6:$S$239,MATCH($C2124,MgActId,0)),"")</f>
        <v/>
      </c>
      <c r="N2124" s="28">
        <f>IFERROR(INDEX(MgAmenDegD,MATCH(SUBSTITUTE($H2124,"*","-"),MgAmenClave,0)),"No aplica")</f>
        <v/>
      </c>
      <c r="O2124" s="28">
        <f>IFERROR(INDEX(MgAmenDegI,MATCH(SUBSTITUTE($H2124,"*","-"),MgAmenClave,0)),"No aplica")</f>
        <v/>
      </c>
      <c r="P2124" s="28">
        <f>IFERROR(INDEX(MgAmenDegC,MATCH(SUBSTITUTE($H2124,"*","-"),MgAmenClave,0)),"No aplica")</f>
        <v/>
      </c>
      <c r="Q2124" s="29">
        <f>IFERROR(VLOOKUP(K2124,MgValor,2,0)*VLOOKUP(N2124,MgDeg,2,0),0)</f>
        <v/>
      </c>
      <c r="R2124" s="29">
        <f>IFERROR(VLOOKUP(L2124,MgValor,2,0)*VLOOKUP(O2124,MgDeg,2,0),0)</f>
        <v/>
      </c>
      <c r="S2124" s="29">
        <f>IFERROR(VLOOKUP(M2124,MgValor,2,0)*VLOOKUP(P2124,MgDeg,2,0),0)</f>
        <v/>
      </c>
      <c r="T2124" s="30">
        <f>MAX(Q2124:S2124)</f>
        <v/>
      </c>
      <c r="U2124" s="28">
        <f>IFERROR(LOOKUP(T2124,{0;0.5;1.5;3;4.5},{"Despreciable";"Bajo";"Medio";"Alto";"Muy alto"}),"")</f>
        <v/>
      </c>
      <c r="V2124" s="13">
        <f>IFERROR(INDEX(MgAmenFrec,MATCH(SUBSTITUTE($H2124,"*","-"),MgAmenClave,0)),"")</f>
        <v/>
      </c>
      <c r="W2124" s="28">
        <f>IFERROR(LOOKUP(X2124,{0;0.01;0.1;1;10;100},{"Muy baja";"Muy baja";"Baja";"Media";"Alta";"Muy alta"}),"")</f>
        <v/>
      </c>
      <c r="X2124" s="31">
        <f>IFERROR(VLOOKUP(V2124,MgFrec,2,0),0)</f>
        <v/>
      </c>
      <c r="Y2124" s="30">
        <f>T2124*X2124</f>
        <v/>
      </c>
      <c r="Z2124" s="28">
        <f>IFERROR(LOOKUP(Y2124,{0;0.5;5;25},{"Bajo";"Medio";"Alto";"Crítico"}),"")</f>
        <v/>
      </c>
      <c r="AA2124" s="64">
        <f>IF(T2124&gt;=3,IF(X2124&gt;=1,"Zona 1 — Crítica: impacto alto y ocurre al menos una vez al año","Zona 4 — Catastrófica poco probable: impacto alto pero excepcional"),IF(AND(T2124&lt;1.5,X2124&lt;1),"Zona 3 — Asumible: impacto bajo y muy poco frecuente","Zona 2 — Atención: riesgo intermedio"))</f>
        <v/>
      </c>
      <c r="AB2124" s="64">
        <f>IFERROR(INDEX(MgAmenCtrl,MATCH(SUBSTITUTE($H2124,"*","-"),MgAmenClave,0)),"")</f>
        <v/>
      </c>
      <c r="AC2124" s="20" t="n"/>
      <c r="AD2124" s="31">
        <f>IFERROR($X2124*(1-IF($AC2124="",$AL2124,VLOOKUP($AC2124,MgMad,2,0))),"")</f>
        <v/>
      </c>
      <c r="AE2124" s="28">
        <f>IFERROR(LOOKUP(AD2124,{0;0.01;0.1;1;10;100},{"Muy baja";"Muy baja";"Baja";"Media";"Alta";"Muy alta"}),"")</f>
        <v/>
      </c>
      <c r="AF2124" s="30">
        <f>T2124*AD2124</f>
        <v/>
      </c>
      <c r="AG2124" s="28">
        <f>IFERROR(LOOKUP(AF2124,{0;0.5;5;25},{"Bajo";"Medio";"Alto";"Crítico"}),"")</f>
        <v/>
      </c>
      <c r="AH2124" s="28">
        <f>IF(AG2124="","",IF(OR(AG2124="Crítico",AG2124="Alto"),"Mitigar",IF(AG2124="Medio","Mitigar","Aceptar y monitorear")))</f>
        <v/>
      </c>
      <c r="AI2124" s="21" t="n"/>
      <c r="AJ2124" s="21" t="n"/>
      <c r="AK2124" s="20" t="n"/>
      <c r="AL2124" s="77">
        <f>IFERROR(INDEX(MgAmenEfic,MATCH(SUBSTITUTE($H2124,"*","-"),MgAmenClave,0)),0)</f>
        <v/>
      </c>
    </row>
    <row r="2125" hidden="1" ht="90" customHeight="1" s="54">
      <c r="B2125" s="59" t="inlineStr">
        <is>
          <t>R-2120</t>
        </is>
      </c>
      <c r="C2125" s="59" t="inlineStr">
        <is>
          <t>FIN-23</t>
        </is>
      </c>
      <c r="D2125" s="64">
        <f>IFERROR(INDEX(MgNombre,MATCH($C2125,MgActId,0)),"")</f>
        <v/>
      </c>
      <c r="E2125" s="64">
        <f>IFERROR(INDEX(MgProceso,MATCH($C2125,MgActId,0)),"")</f>
        <v/>
      </c>
      <c r="F2125" s="64">
        <f>IFERROR(INDEX(MgTipo,MATCH($C2125,MgActId,0)),"")</f>
        <v/>
      </c>
      <c r="G2125" s="64">
        <f>IFERROR(INDEX(MgSubtipo,MATCH($C2125,MgActId,0)),"")</f>
        <v/>
      </c>
      <c r="H2125" s="59" t="inlineStr">
        <is>
          <t>E.10</t>
        </is>
      </c>
      <c r="I2125" s="64">
        <f>IFERROR(INDEX(MgAmenNombre,MATCH(SUBSTITUTE($H2125,"*","-"),MgAmenClave,0)),"")</f>
        <v/>
      </c>
      <c r="J2125" s="28">
        <f>IFERROR(INDEX(MgAmenGrupo,MATCH(SUBSTITUTE($H2125,"*","-"),MgAmenClave,0)),"")</f>
        <v/>
      </c>
      <c r="K2125" s="64">
        <f>IFERROR(INDEX('1. Matriz de Activos'!$Q$6:$Q$239,MATCH($C2125,MgActId,0)),"")</f>
        <v/>
      </c>
      <c r="L2125" s="64">
        <f>IFERROR(INDEX('1. Matriz de Activos'!$R$6:$R$239,MATCH($C2125,MgActId,0)),"")</f>
        <v/>
      </c>
      <c r="M2125" s="64">
        <f>IFERROR(INDEX('1. Matriz de Activos'!$S$6:$S$239,MATCH($C2125,MgActId,0)),"")</f>
        <v/>
      </c>
      <c r="N2125" s="28">
        <f>IFERROR(INDEX(MgAmenDegD,MATCH(SUBSTITUTE($H2125,"*","-"),MgAmenClave,0)),"No aplica")</f>
        <v/>
      </c>
      <c r="O2125" s="28">
        <f>IFERROR(INDEX(MgAmenDegI,MATCH(SUBSTITUTE($H2125,"*","-"),MgAmenClave,0)),"No aplica")</f>
        <v/>
      </c>
      <c r="P2125" s="28">
        <f>IFERROR(INDEX(MgAmenDegC,MATCH(SUBSTITUTE($H2125,"*","-"),MgAmenClave,0)),"No aplica")</f>
        <v/>
      </c>
      <c r="Q2125" s="29">
        <f>IFERROR(VLOOKUP(K2125,MgValor,2,0)*VLOOKUP(N2125,MgDeg,2,0),0)</f>
        <v/>
      </c>
      <c r="R2125" s="29">
        <f>IFERROR(VLOOKUP(L2125,MgValor,2,0)*VLOOKUP(O2125,MgDeg,2,0),0)</f>
        <v/>
      </c>
      <c r="S2125" s="29">
        <f>IFERROR(VLOOKUP(M2125,MgValor,2,0)*VLOOKUP(P2125,MgDeg,2,0),0)</f>
        <v/>
      </c>
      <c r="T2125" s="30">
        <f>MAX(Q2125:S2125)</f>
        <v/>
      </c>
      <c r="U2125" s="28">
        <f>IFERROR(LOOKUP(T2125,{0;0.5;1.5;3;4.5},{"Despreciable";"Bajo";"Medio";"Alto";"Muy alto"}),"")</f>
        <v/>
      </c>
      <c r="V2125" s="13">
        <f>IFERROR(INDEX(MgAmenFrec,MATCH(SUBSTITUTE($H2125,"*","-"),MgAmenClave,0)),"")</f>
        <v/>
      </c>
      <c r="W2125" s="28">
        <f>IFERROR(LOOKUP(X2125,{0;0.01;0.1;1;10;100},{"Muy baja";"Muy baja";"Baja";"Media";"Alta";"Muy alta"}),"")</f>
        <v/>
      </c>
      <c r="X2125" s="31">
        <f>IFERROR(VLOOKUP(V2125,MgFrec,2,0),0)</f>
        <v/>
      </c>
      <c r="Y2125" s="30">
        <f>T2125*X2125</f>
        <v/>
      </c>
      <c r="Z2125" s="28">
        <f>IFERROR(LOOKUP(Y2125,{0;0.5;5;25},{"Bajo";"Medio";"Alto";"Crítico"}),"")</f>
        <v/>
      </c>
      <c r="AA2125" s="64">
        <f>IF(T2125&gt;=3,IF(X2125&gt;=1,"Zona 1 — Crítica: impacto alto y ocurre al menos una vez al año","Zona 4 — Catastrófica poco probable: impacto alto pero excepcional"),IF(AND(T2125&lt;1.5,X2125&lt;1),"Zona 3 — Asumible: impacto bajo y muy poco frecuente","Zona 2 — Atención: riesgo intermedio"))</f>
        <v/>
      </c>
      <c r="AB2125" s="64">
        <f>IFERROR(INDEX(MgAmenCtrl,MATCH(SUBSTITUTE($H2125,"*","-"),MgAmenClave,0)),"")</f>
        <v/>
      </c>
      <c r="AC2125" s="20" t="n"/>
      <c r="AD2125" s="31">
        <f>IFERROR($X2125*(1-IF($AC2125="",$AL2125,VLOOKUP($AC2125,MgMad,2,0))),"")</f>
        <v/>
      </c>
      <c r="AE2125" s="28">
        <f>IFERROR(LOOKUP(AD2125,{0;0.01;0.1;1;10;100},{"Muy baja";"Muy baja";"Baja";"Media";"Alta";"Muy alta"}),"")</f>
        <v/>
      </c>
      <c r="AF2125" s="30">
        <f>T2125*AD2125</f>
        <v/>
      </c>
      <c r="AG2125" s="28">
        <f>IFERROR(LOOKUP(AF2125,{0;0.5;5;25},{"Bajo";"Medio";"Alto";"Crítico"}),"")</f>
        <v/>
      </c>
      <c r="AH2125" s="28">
        <f>IF(AG2125="","",IF(OR(AG2125="Crítico",AG2125="Alto"),"Mitigar",IF(AG2125="Medio","Mitigar","Aceptar y monitorear")))</f>
        <v/>
      </c>
      <c r="AI2125" s="21" t="n"/>
      <c r="AJ2125" s="21" t="n"/>
      <c r="AK2125" s="20" t="n"/>
      <c r="AL2125" s="77">
        <f>IFERROR(INDEX(MgAmenEfic,MATCH(SUBSTITUTE($H2125,"*","-"),MgAmenClave,0)),0)</f>
        <v/>
      </c>
    </row>
    <row r="2126" hidden="1" ht="90" customHeight="1" s="54">
      <c r="B2126" s="59" t="inlineStr">
        <is>
          <t>R-2121</t>
        </is>
      </c>
      <c r="C2126" s="59" t="inlineStr">
        <is>
          <t>FIN-23</t>
        </is>
      </c>
      <c r="D2126" s="64">
        <f>IFERROR(INDEX(MgNombre,MATCH($C2126,MgActId,0)),"")</f>
        <v/>
      </c>
      <c r="E2126" s="64">
        <f>IFERROR(INDEX(MgProceso,MATCH($C2126,MgActId,0)),"")</f>
        <v/>
      </c>
      <c r="F2126" s="64">
        <f>IFERROR(INDEX(MgTipo,MATCH($C2126,MgActId,0)),"")</f>
        <v/>
      </c>
      <c r="G2126" s="64">
        <f>IFERROR(INDEX(MgSubtipo,MATCH($C2126,MgActId,0)),"")</f>
        <v/>
      </c>
      <c r="H2126" s="59" t="inlineStr">
        <is>
          <t>E.14</t>
        </is>
      </c>
      <c r="I2126" s="64">
        <f>IFERROR(INDEX(MgAmenNombre,MATCH(SUBSTITUTE($H2126,"*","-"),MgAmenClave,0)),"")</f>
        <v/>
      </c>
      <c r="J2126" s="28">
        <f>IFERROR(INDEX(MgAmenGrupo,MATCH(SUBSTITUTE($H2126,"*","-"),MgAmenClave,0)),"")</f>
        <v/>
      </c>
      <c r="K2126" s="64">
        <f>IFERROR(INDEX('1. Matriz de Activos'!$Q$6:$Q$239,MATCH($C2126,MgActId,0)),"")</f>
        <v/>
      </c>
      <c r="L2126" s="64">
        <f>IFERROR(INDEX('1. Matriz de Activos'!$R$6:$R$239,MATCH($C2126,MgActId,0)),"")</f>
        <v/>
      </c>
      <c r="M2126" s="64">
        <f>IFERROR(INDEX('1. Matriz de Activos'!$S$6:$S$239,MATCH($C2126,MgActId,0)),"")</f>
        <v/>
      </c>
      <c r="N2126" s="28">
        <f>IFERROR(INDEX(MgAmenDegD,MATCH(SUBSTITUTE($H2126,"*","-"),MgAmenClave,0)),"No aplica")</f>
        <v/>
      </c>
      <c r="O2126" s="28">
        <f>IFERROR(INDEX(MgAmenDegI,MATCH(SUBSTITUTE($H2126,"*","-"),MgAmenClave,0)),"No aplica")</f>
        <v/>
      </c>
      <c r="P2126" s="28">
        <f>IFERROR(INDEX(MgAmenDegC,MATCH(SUBSTITUTE($H2126,"*","-"),MgAmenClave,0)),"No aplica")</f>
        <v/>
      </c>
      <c r="Q2126" s="29">
        <f>IFERROR(VLOOKUP(K2126,MgValor,2,0)*VLOOKUP(N2126,MgDeg,2,0),0)</f>
        <v/>
      </c>
      <c r="R2126" s="29">
        <f>IFERROR(VLOOKUP(L2126,MgValor,2,0)*VLOOKUP(O2126,MgDeg,2,0),0)</f>
        <v/>
      </c>
      <c r="S2126" s="29">
        <f>IFERROR(VLOOKUP(M2126,MgValor,2,0)*VLOOKUP(P2126,MgDeg,2,0),0)</f>
        <v/>
      </c>
      <c r="T2126" s="30">
        <f>MAX(Q2126:S2126)</f>
        <v/>
      </c>
      <c r="U2126" s="28">
        <f>IFERROR(LOOKUP(T2126,{0;0.5;1.5;3;4.5},{"Despreciable";"Bajo";"Medio";"Alto";"Muy alto"}),"")</f>
        <v/>
      </c>
      <c r="V2126" s="13">
        <f>IFERROR(INDEX(MgAmenFrec,MATCH(SUBSTITUTE($H2126,"*","-"),MgAmenClave,0)),"")</f>
        <v/>
      </c>
      <c r="W2126" s="28">
        <f>IFERROR(LOOKUP(X2126,{0;0.01;0.1;1;10;100},{"Muy baja";"Muy baja";"Baja";"Media";"Alta";"Muy alta"}),"")</f>
        <v/>
      </c>
      <c r="X2126" s="31">
        <f>IFERROR(VLOOKUP(V2126,MgFrec,2,0),0)</f>
        <v/>
      </c>
      <c r="Y2126" s="30">
        <f>T2126*X2126</f>
        <v/>
      </c>
      <c r="Z2126" s="28">
        <f>IFERROR(LOOKUP(Y2126,{0;0.5;5;25},{"Bajo";"Medio";"Alto";"Crítico"}),"")</f>
        <v/>
      </c>
      <c r="AA2126" s="64">
        <f>IF(T2126&gt;=3,IF(X2126&gt;=1,"Zona 1 — Crítica: impacto alto y ocurre al menos una vez al año","Zona 4 — Catastrófica poco probable: impacto alto pero excepcional"),IF(AND(T2126&lt;1.5,X2126&lt;1),"Zona 3 — Asumible: impacto bajo y muy poco frecuente","Zona 2 — Atención: riesgo intermedio"))</f>
        <v/>
      </c>
      <c r="AB2126" s="64">
        <f>IFERROR(INDEX(MgAmenCtrl,MATCH(SUBSTITUTE($H2126,"*","-"),MgAmenClave,0)),"")</f>
        <v/>
      </c>
      <c r="AC2126" s="20" t="n"/>
      <c r="AD2126" s="31">
        <f>IFERROR($X2126*(1-IF($AC2126="",$AL2126,VLOOKUP($AC2126,MgMad,2,0))),"")</f>
        <v/>
      </c>
      <c r="AE2126" s="28">
        <f>IFERROR(LOOKUP(AD2126,{0;0.01;0.1;1;10;100},{"Muy baja";"Muy baja";"Baja";"Media";"Alta";"Muy alta"}),"")</f>
        <v/>
      </c>
      <c r="AF2126" s="30">
        <f>T2126*AD2126</f>
        <v/>
      </c>
      <c r="AG2126" s="28">
        <f>IFERROR(LOOKUP(AF2126,{0;0.5;5;25},{"Bajo";"Medio";"Alto";"Crítico"}),"")</f>
        <v/>
      </c>
      <c r="AH2126" s="28">
        <f>IF(AG2126="","",IF(OR(AG2126="Crítico",AG2126="Alto"),"Mitigar",IF(AG2126="Medio","Mitigar","Aceptar y monitorear")))</f>
        <v/>
      </c>
      <c r="AI2126" s="21" t="n"/>
      <c r="AJ2126" s="21" t="n"/>
      <c r="AK2126" s="20" t="n"/>
      <c r="AL2126" s="77">
        <f>IFERROR(INDEX(MgAmenEfic,MATCH(SUBSTITUTE($H2126,"*","-"),MgAmenClave,0)),0)</f>
        <v/>
      </c>
    </row>
    <row r="2127" hidden="1" ht="90" customHeight="1" s="54">
      <c r="B2127" s="59" t="inlineStr">
        <is>
          <t>R-2122</t>
        </is>
      </c>
      <c r="C2127" s="59" t="inlineStr">
        <is>
          <t>FIN-23</t>
        </is>
      </c>
      <c r="D2127" s="64">
        <f>IFERROR(INDEX(MgNombre,MATCH($C2127,MgActId,0)),"")</f>
        <v/>
      </c>
      <c r="E2127" s="64">
        <f>IFERROR(INDEX(MgProceso,MATCH($C2127,MgActId,0)),"")</f>
        <v/>
      </c>
      <c r="F2127" s="64">
        <f>IFERROR(INDEX(MgTipo,MATCH($C2127,MgActId,0)),"")</f>
        <v/>
      </c>
      <c r="G2127" s="64">
        <f>IFERROR(INDEX(MgSubtipo,MATCH($C2127,MgActId,0)),"")</f>
        <v/>
      </c>
      <c r="H2127" s="59" t="inlineStr">
        <is>
          <t>E.15</t>
        </is>
      </c>
      <c r="I2127" s="64">
        <f>IFERROR(INDEX(MgAmenNombre,MATCH(SUBSTITUTE($H2127,"*","-"),MgAmenClave,0)),"")</f>
        <v/>
      </c>
      <c r="J2127" s="28">
        <f>IFERROR(INDEX(MgAmenGrupo,MATCH(SUBSTITUTE($H2127,"*","-"),MgAmenClave,0)),"")</f>
        <v/>
      </c>
      <c r="K2127" s="64">
        <f>IFERROR(INDEX('1. Matriz de Activos'!$Q$6:$Q$239,MATCH($C2127,MgActId,0)),"")</f>
        <v/>
      </c>
      <c r="L2127" s="64">
        <f>IFERROR(INDEX('1. Matriz de Activos'!$R$6:$R$239,MATCH($C2127,MgActId,0)),"")</f>
        <v/>
      </c>
      <c r="M2127" s="64">
        <f>IFERROR(INDEX('1. Matriz de Activos'!$S$6:$S$239,MATCH($C2127,MgActId,0)),"")</f>
        <v/>
      </c>
      <c r="N2127" s="28">
        <f>IFERROR(INDEX(MgAmenDegD,MATCH(SUBSTITUTE($H2127,"*","-"),MgAmenClave,0)),"No aplica")</f>
        <v/>
      </c>
      <c r="O2127" s="28">
        <f>IFERROR(INDEX(MgAmenDegI,MATCH(SUBSTITUTE($H2127,"*","-"),MgAmenClave,0)),"No aplica")</f>
        <v/>
      </c>
      <c r="P2127" s="28">
        <f>IFERROR(INDEX(MgAmenDegC,MATCH(SUBSTITUTE($H2127,"*","-"),MgAmenClave,0)),"No aplica")</f>
        <v/>
      </c>
      <c r="Q2127" s="29">
        <f>IFERROR(VLOOKUP(K2127,MgValor,2,0)*VLOOKUP(N2127,MgDeg,2,0),0)</f>
        <v/>
      </c>
      <c r="R2127" s="29">
        <f>IFERROR(VLOOKUP(L2127,MgValor,2,0)*VLOOKUP(O2127,MgDeg,2,0),0)</f>
        <v/>
      </c>
      <c r="S2127" s="29">
        <f>IFERROR(VLOOKUP(M2127,MgValor,2,0)*VLOOKUP(P2127,MgDeg,2,0),0)</f>
        <v/>
      </c>
      <c r="T2127" s="30">
        <f>MAX(Q2127:S2127)</f>
        <v/>
      </c>
      <c r="U2127" s="28">
        <f>IFERROR(LOOKUP(T2127,{0;0.5;1.5;3;4.5},{"Despreciable";"Bajo";"Medio";"Alto";"Muy alto"}),"")</f>
        <v/>
      </c>
      <c r="V2127" s="13">
        <f>IFERROR(INDEX(MgAmenFrec,MATCH(SUBSTITUTE($H2127,"*","-"),MgAmenClave,0)),"")</f>
        <v/>
      </c>
      <c r="W2127" s="28">
        <f>IFERROR(LOOKUP(X2127,{0;0.01;0.1;1;10;100},{"Muy baja";"Muy baja";"Baja";"Media";"Alta";"Muy alta"}),"")</f>
        <v/>
      </c>
      <c r="X2127" s="31">
        <f>IFERROR(VLOOKUP(V2127,MgFrec,2,0),0)</f>
        <v/>
      </c>
      <c r="Y2127" s="30">
        <f>T2127*X2127</f>
        <v/>
      </c>
      <c r="Z2127" s="28">
        <f>IFERROR(LOOKUP(Y2127,{0;0.5;5;25},{"Bajo";"Medio";"Alto";"Crítico"}),"")</f>
        <v/>
      </c>
      <c r="AA2127" s="64">
        <f>IF(T2127&gt;=3,IF(X2127&gt;=1,"Zona 1 — Crítica: impacto alto y ocurre al menos una vez al año","Zona 4 — Catastrófica poco probable: impacto alto pero excepcional"),IF(AND(T2127&lt;1.5,X2127&lt;1),"Zona 3 — Asumible: impacto bajo y muy poco frecuente","Zona 2 — Atención: riesgo intermedio"))</f>
        <v/>
      </c>
      <c r="AB2127" s="64">
        <f>IFERROR(INDEX(MgAmenCtrl,MATCH(SUBSTITUTE($H2127,"*","-"),MgAmenClave,0)),"")</f>
        <v/>
      </c>
      <c r="AC2127" s="20" t="n"/>
      <c r="AD2127" s="31">
        <f>IFERROR($X2127*(1-IF($AC2127="",$AL2127,VLOOKUP($AC2127,MgMad,2,0))),"")</f>
        <v/>
      </c>
      <c r="AE2127" s="28">
        <f>IFERROR(LOOKUP(AD2127,{0;0.01;0.1;1;10;100},{"Muy baja";"Muy baja";"Baja";"Media";"Alta";"Muy alta"}),"")</f>
        <v/>
      </c>
      <c r="AF2127" s="30">
        <f>T2127*AD2127</f>
        <v/>
      </c>
      <c r="AG2127" s="28">
        <f>IFERROR(LOOKUP(AF2127,{0;0.5;5;25},{"Bajo";"Medio";"Alto";"Crítico"}),"")</f>
        <v/>
      </c>
      <c r="AH2127" s="28">
        <f>IF(AG2127="","",IF(OR(AG2127="Crítico",AG2127="Alto"),"Mitigar",IF(AG2127="Medio","Mitigar","Aceptar y monitorear")))</f>
        <v/>
      </c>
      <c r="AI2127" s="21" t="n"/>
      <c r="AJ2127" s="21" t="n"/>
      <c r="AK2127" s="20" t="n"/>
      <c r="AL2127" s="77">
        <f>IFERROR(INDEX(MgAmenEfic,MATCH(SUBSTITUTE($H2127,"*","-"),MgAmenClave,0)),0)</f>
        <v/>
      </c>
    </row>
    <row r="2128" hidden="1" ht="60" customHeight="1" s="54">
      <c r="B2128" s="59" t="inlineStr">
        <is>
          <t>R-2123</t>
        </is>
      </c>
      <c r="C2128" s="59" t="inlineStr">
        <is>
          <t>FIN-23</t>
        </is>
      </c>
      <c r="D2128" s="64">
        <f>IFERROR(INDEX(MgNombre,MATCH($C2128,MgActId,0)),"")</f>
        <v/>
      </c>
      <c r="E2128" s="64">
        <f>IFERROR(INDEX(MgProceso,MATCH($C2128,MgActId,0)),"")</f>
        <v/>
      </c>
      <c r="F2128" s="64">
        <f>IFERROR(INDEX(MgTipo,MATCH($C2128,MgActId,0)),"")</f>
        <v/>
      </c>
      <c r="G2128" s="64">
        <f>IFERROR(INDEX(MgSubtipo,MATCH($C2128,MgActId,0)),"")</f>
        <v/>
      </c>
      <c r="H2128" s="59" t="inlineStr">
        <is>
          <t>E.18</t>
        </is>
      </c>
      <c r="I2128" s="64">
        <f>IFERROR(INDEX(MgAmenNombre,MATCH(SUBSTITUTE($H2128,"*","-"),MgAmenClave,0)),"")</f>
        <v/>
      </c>
      <c r="J2128" s="28">
        <f>IFERROR(INDEX(MgAmenGrupo,MATCH(SUBSTITUTE($H2128,"*","-"),MgAmenClave,0)),"")</f>
        <v/>
      </c>
      <c r="K2128" s="64">
        <f>IFERROR(INDEX('1. Matriz de Activos'!$Q$6:$Q$239,MATCH($C2128,MgActId,0)),"")</f>
        <v/>
      </c>
      <c r="L2128" s="64">
        <f>IFERROR(INDEX('1. Matriz de Activos'!$R$6:$R$239,MATCH($C2128,MgActId,0)),"")</f>
        <v/>
      </c>
      <c r="M2128" s="64">
        <f>IFERROR(INDEX('1. Matriz de Activos'!$S$6:$S$239,MATCH($C2128,MgActId,0)),"")</f>
        <v/>
      </c>
      <c r="N2128" s="28">
        <f>IFERROR(INDEX(MgAmenDegD,MATCH(SUBSTITUTE($H2128,"*","-"),MgAmenClave,0)),"No aplica")</f>
        <v/>
      </c>
      <c r="O2128" s="28">
        <f>IFERROR(INDEX(MgAmenDegI,MATCH(SUBSTITUTE($H2128,"*","-"),MgAmenClave,0)),"No aplica")</f>
        <v/>
      </c>
      <c r="P2128" s="28">
        <f>IFERROR(INDEX(MgAmenDegC,MATCH(SUBSTITUTE($H2128,"*","-"),MgAmenClave,0)),"No aplica")</f>
        <v/>
      </c>
      <c r="Q2128" s="29">
        <f>IFERROR(VLOOKUP(K2128,MgValor,2,0)*VLOOKUP(N2128,MgDeg,2,0),0)</f>
        <v/>
      </c>
      <c r="R2128" s="29">
        <f>IFERROR(VLOOKUP(L2128,MgValor,2,0)*VLOOKUP(O2128,MgDeg,2,0),0)</f>
        <v/>
      </c>
      <c r="S2128" s="29">
        <f>IFERROR(VLOOKUP(M2128,MgValor,2,0)*VLOOKUP(P2128,MgDeg,2,0),0)</f>
        <v/>
      </c>
      <c r="T2128" s="30">
        <f>MAX(Q2128:S2128)</f>
        <v/>
      </c>
      <c r="U2128" s="28">
        <f>IFERROR(LOOKUP(T2128,{0;0.5;1.5;3;4.5},{"Despreciable";"Bajo";"Medio";"Alto";"Muy alto"}),"")</f>
        <v/>
      </c>
      <c r="V2128" s="13">
        <f>IFERROR(INDEX(MgAmenFrec,MATCH(SUBSTITUTE($H2128,"*","-"),MgAmenClave,0)),"")</f>
        <v/>
      </c>
      <c r="W2128" s="28">
        <f>IFERROR(LOOKUP(X2128,{0;0.01;0.1;1;10;100},{"Muy baja";"Muy baja";"Baja";"Media";"Alta";"Muy alta"}),"")</f>
        <v/>
      </c>
      <c r="X2128" s="31">
        <f>IFERROR(VLOOKUP(V2128,MgFrec,2,0),0)</f>
        <v/>
      </c>
      <c r="Y2128" s="30">
        <f>T2128*X2128</f>
        <v/>
      </c>
      <c r="Z2128" s="28">
        <f>IFERROR(LOOKUP(Y2128,{0;0.5;5;25},{"Bajo";"Medio";"Alto";"Crítico"}),"")</f>
        <v/>
      </c>
      <c r="AA2128" s="64">
        <f>IF(T2128&gt;=3,IF(X2128&gt;=1,"Zona 1 — Crítica: impacto alto y ocurre al menos una vez al año","Zona 4 — Catastrófica poco probable: impacto alto pero excepcional"),IF(AND(T2128&lt;1.5,X2128&lt;1),"Zona 3 — Asumible: impacto bajo y muy poco frecuente","Zona 2 — Atención: riesgo intermedio"))</f>
        <v/>
      </c>
      <c r="AB2128" s="64">
        <f>IFERROR(INDEX(MgAmenCtrl,MATCH(SUBSTITUTE($H2128,"*","-"),MgAmenClave,0)),"")</f>
        <v/>
      </c>
      <c r="AC2128" s="20" t="n"/>
      <c r="AD2128" s="31">
        <f>IFERROR($X2128*(1-IF($AC2128="",$AL2128,VLOOKUP($AC2128,MgMad,2,0))),"")</f>
        <v/>
      </c>
      <c r="AE2128" s="28">
        <f>IFERROR(LOOKUP(AD2128,{0;0.01;0.1;1;10;100},{"Muy baja";"Muy baja";"Baja";"Media";"Alta";"Muy alta"}),"")</f>
        <v/>
      </c>
      <c r="AF2128" s="30">
        <f>T2128*AD2128</f>
        <v/>
      </c>
      <c r="AG2128" s="28">
        <f>IFERROR(LOOKUP(AF2128,{0;0.5;5;25},{"Bajo";"Medio";"Alto";"Crítico"}),"")</f>
        <v/>
      </c>
      <c r="AH2128" s="28">
        <f>IF(AG2128="","",IF(OR(AG2128="Crítico",AG2128="Alto"),"Mitigar",IF(AG2128="Medio","Mitigar","Aceptar y monitorear")))</f>
        <v/>
      </c>
      <c r="AI2128" s="21" t="n"/>
      <c r="AJ2128" s="21" t="n"/>
      <c r="AK2128" s="20" t="n"/>
      <c r="AL2128" s="77">
        <f>IFERROR(INDEX(MgAmenEfic,MATCH(SUBSTITUTE($H2128,"*","-"),MgAmenClave,0)),0)</f>
        <v/>
      </c>
    </row>
    <row r="2129" hidden="1" ht="105" customHeight="1" s="54">
      <c r="B2129" s="59" t="inlineStr">
        <is>
          <t>R-2124</t>
        </is>
      </c>
      <c r="C2129" s="59" t="inlineStr">
        <is>
          <t>FIN-23</t>
        </is>
      </c>
      <c r="D2129" s="64">
        <f>IFERROR(INDEX(MgNombre,MATCH($C2129,MgActId,0)),"")</f>
        <v/>
      </c>
      <c r="E2129" s="64">
        <f>IFERROR(INDEX(MgProceso,MATCH($C2129,MgActId,0)),"")</f>
        <v/>
      </c>
      <c r="F2129" s="64">
        <f>IFERROR(INDEX(MgTipo,MATCH($C2129,MgActId,0)),"")</f>
        <v/>
      </c>
      <c r="G2129" s="64">
        <f>IFERROR(INDEX(MgSubtipo,MATCH($C2129,MgActId,0)),"")</f>
        <v/>
      </c>
      <c r="H2129" s="59" t="inlineStr">
        <is>
          <t>E.19</t>
        </is>
      </c>
      <c r="I2129" s="64">
        <f>IFERROR(INDEX(MgAmenNombre,MATCH(SUBSTITUTE($H2129,"*","-"),MgAmenClave,0)),"")</f>
        <v/>
      </c>
      <c r="J2129" s="28">
        <f>IFERROR(INDEX(MgAmenGrupo,MATCH(SUBSTITUTE($H2129,"*","-"),MgAmenClave,0)),"")</f>
        <v/>
      </c>
      <c r="K2129" s="64">
        <f>IFERROR(INDEX('1. Matriz de Activos'!$Q$6:$Q$239,MATCH($C2129,MgActId,0)),"")</f>
        <v/>
      </c>
      <c r="L2129" s="64">
        <f>IFERROR(INDEX('1. Matriz de Activos'!$R$6:$R$239,MATCH($C2129,MgActId,0)),"")</f>
        <v/>
      </c>
      <c r="M2129" s="64">
        <f>IFERROR(INDEX('1. Matriz de Activos'!$S$6:$S$239,MATCH($C2129,MgActId,0)),"")</f>
        <v/>
      </c>
      <c r="N2129" s="28">
        <f>IFERROR(INDEX(MgAmenDegD,MATCH(SUBSTITUTE($H2129,"*","-"),MgAmenClave,0)),"No aplica")</f>
        <v/>
      </c>
      <c r="O2129" s="28">
        <f>IFERROR(INDEX(MgAmenDegI,MATCH(SUBSTITUTE($H2129,"*","-"),MgAmenClave,0)),"No aplica")</f>
        <v/>
      </c>
      <c r="P2129" s="28">
        <f>IFERROR(INDEX(MgAmenDegC,MATCH(SUBSTITUTE($H2129,"*","-"),MgAmenClave,0)),"No aplica")</f>
        <v/>
      </c>
      <c r="Q2129" s="29">
        <f>IFERROR(VLOOKUP(K2129,MgValor,2,0)*VLOOKUP(N2129,MgDeg,2,0),0)</f>
        <v/>
      </c>
      <c r="R2129" s="29">
        <f>IFERROR(VLOOKUP(L2129,MgValor,2,0)*VLOOKUP(O2129,MgDeg,2,0),0)</f>
        <v/>
      </c>
      <c r="S2129" s="29">
        <f>IFERROR(VLOOKUP(M2129,MgValor,2,0)*VLOOKUP(P2129,MgDeg,2,0),0)</f>
        <v/>
      </c>
      <c r="T2129" s="30">
        <f>MAX(Q2129:S2129)</f>
        <v/>
      </c>
      <c r="U2129" s="28">
        <f>IFERROR(LOOKUP(T2129,{0;0.5;1.5;3;4.5},{"Despreciable";"Bajo";"Medio";"Alto";"Muy alto"}),"")</f>
        <v/>
      </c>
      <c r="V2129" s="13">
        <f>IFERROR(INDEX(MgAmenFrec,MATCH(SUBSTITUTE($H2129,"*","-"),MgAmenClave,0)),"")</f>
        <v/>
      </c>
      <c r="W2129" s="28">
        <f>IFERROR(LOOKUP(X2129,{0;0.01;0.1;1;10;100},{"Muy baja";"Muy baja";"Baja";"Media";"Alta";"Muy alta"}),"")</f>
        <v/>
      </c>
      <c r="X2129" s="31">
        <f>IFERROR(VLOOKUP(V2129,MgFrec,2,0),0)</f>
        <v/>
      </c>
      <c r="Y2129" s="30">
        <f>T2129*X2129</f>
        <v/>
      </c>
      <c r="Z2129" s="28">
        <f>IFERROR(LOOKUP(Y2129,{0;0.5;5;25},{"Bajo";"Medio";"Alto";"Crítico"}),"")</f>
        <v/>
      </c>
      <c r="AA2129" s="64">
        <f>IF(T2129&gt;=3,IF(X2129&gt;=1,"Zona 1 — Crítica: impacto alto y ocurre al menos una vez al año","Zona 4 — Catastrófica poco probable: impacto alto pero excepcional"),IF(AND(T2129&lt;1.5,X2129&lt;1),"Zona 3 — Asumible: impacto bajo y muy poco frecuente","Zona 2 — Atención: riesgo intermedio"))</f>
        <v/>
      </c>
      <c r="AB2129" s="64">
        <f>IFERROR(INDEX(MgAmenCtrl,MATCH(SUBSTITUTE($H2129,"*","-"),MgAmenClave,0)),"")</f>
        <v/>
      </c>
      <c r="AC2129" s="20" t="n"/>
      <c r="AD2129" s="31">
        <f>IFERROR($X2129*(1-IF($AC2129="",$AL2129,VLOOKUP($AC2129,MgMad,2,0))),"")</f>
        <v/>
      </c>
      <c r="AE2129" s="28">
        <f>IFERROR(LOOKUP(AD2129,{0;0.01;0.1;1;10;100},{"Muy baja";"Muy baja";"Baja";"Media";"Alta";"Muy alta"}),"")</f>
        <v/>
      </c>
      <c r="AF2129" s="30">
        <f>T2129*AD2129</f>
        <v/>
      </c>
      <c r="AG2129" s="28">
        <f>IFERROR(LOOKUP(AF2129,{0;0.5;5;25},{"Bajo";"Medio";"Alto";"Crítico"}),"")</f>
        <v/>
      </c>
      <c r="AH2129" s="28">
        <f>IF(AG2129="","",IF(OR(AG2129="Crítico",AG2129="Alto"),"Mitigar",IF(AG2129="Medio","Mitigar","Aceptar y monitorear")))</f>
        <v/>
      </c>
      <c r="AI2129" s="21" t="n"/>
      <c r="AJ2129" s="21" t="n"/>
      <c r="AK2129" s="20" t="n"/>
      <c r="AL2129" s="77">
        <f>IFERROR(INDEX(MgAmenEfic,MATCH(SUBSTITUTE($H2129,"*","-"),MgAmenClave,0)),0)</f>
        <v/>
      </c>
    </row>
    <row r="2130" hidden="1" ht="45" customHeight="1" s="54">
      <c r="B2130" s="59" t="inlineStr">
        <is>
          <t>R-2125</t>
        </is>
      </c>
      <c r="C2130" s="59" t="inlineStr">
        <is>
          <t>FIN-23</t>
        </is>
      </c>
      <c r="D2130" s="64">
        <f>IFERROR(INDEX(MgNombre,MATCH($C2130,MgActId,0)),"")</f>
        <v/>
      </c>
      <c r="E2130" s="64">
        <f>IFERROR(INDEX(MgProceso,MATCH($C2130,MgActId,0)),"")</f>
        <v/>
      </c>
      <c r="F2130" s="64">
        <f>IFERROR(INDEX(MgTipo,MATCH($C2130,MgActId,0)),"")</f>
        <v/>
      </c>
      <c r="G2130" s="64">
        <f>IFERROR(INDEX(MgSubtipo,MATCH($C2130,MgActId,0)),"")</f>
        <v/>
      </c>
      <c r="H2130" s="59" t="inlineStr">
        <is>
          <t>E.24</t>
        </is>
      </c>
      <c r="I2130" s="64">
        <f>IFERROR(INDEX(MgAmenNombre,MATCH(SUBSTITUTE($H2130,"*","-"),MgAmenClave,0)),"")</f>
        <v/>
      </c>
      <c r="J2130" s="28">
        <f>IFERROR(INDEX(MgAmenGrupo,MATCH(SUBSTITUTE($H2130,"*","-"),MgAmenClave,0)),"")</f>
        <v/>
      </c>
      <c r="K2130" s="64">
        <f>IFERROR(INDEX('1. Matriz de Activos'!$Q$6:$Q$239,MATCH($C2130,MgActId,0)),"")</f>
        <v/>
      </c>
      <c r="L2130" s="64">
        <f>IFERROR(INDEX('1. Matriz de Activos'!$R$6:$R$239,MATCH($C2130,MgActId,0)),"")</f>
        <v/>
      </c>
      <c r="M2130" s="64">
        <f>IFERROR(INDEX('1. Matriz de Activos'!$S$6:$S$239,MATCH($C2130,MgActId,0)),"")</f>
        <v/>
      </c>
      <c r="N2130" s="28">
        <f>IFERROR(INDEX(MgAmenDegD,MATCH(SUBSTITUTE($H2130,"*","-"),MgAmenClave,0)),"No aplica")</f>
        <v/>
      </c>
      <c r="O2130" s="28">
        <f>IFERROR(INDEX(MgAmenDegI,MATCH(SUBSTITUTE($H2130,"*","-"),MgAmenClave,0)),"No aplica")</f>
        <v/>
      </c>
      <c r="P2130" s="28">
        <f>IFERROR(INDEX(MgAmenDegC,MATCH(SUBSTITUTE($H2130,"*","-"),MgAmenClave,0)),"No aplica")</f>
        <v/>
      </c>
      <c r="Q2130" s="29">
        <f>IFERROR(VLOOKUP(K2130,MgValor,2,0)*VLOOKUP(N2130,MgDeg,2,0),0)</f>
        <v/>
      </c>
      <c r="R2130" s="29">
        <f>IFERROR(VLOOKUP(L2130,MgValor,2,0)*VLOOKUP(O2130,MgDeg,2,0),0)</f>
        <v/>
      </c>
      <c r="S2130" s="29">
        <f>IFERROR(VLOOKUP(M2130,MgValor,2,0)*VLOOKUP(P2130,MgDeg,2,0),0)</f>
        <v/>
      </c>
      <c r="T2130" s="30">
        <f>MAX(Q2130:S2130)</f>
        <v/>
      </c>
      <c r="U2130" s="28">
        <f>IFERROR(LOOKUP(T2130,{0;0.5;1.5;3;4.5},{"Despreciable";"Bajo";"Medio";"Alto";"Muy alto"}),"")</f>
        <v/>
      </c>
      <c r="V2130" s="13">
        <f>IFERROR(INDEX(MgAmenFrec,MATCH(SUBSTITUTE($H2130,"*","-"),MgAmenClave,0)),"")</f>
        <v/>
      </c>
      <c r="W2130" s="28">
        <f>IFERROR(LOOKUP(X2130,{0;0.01;0.1;1;10;100},{"Muy baja";"Muy baja";"Baja";"Media";"Alta";"Muy alta"}),"")</f>
        <v/>
      </c>
      <c r="X2130" s="31">
        <f>IFERROR(VLOOKUP(V2130,MgFrec,2,0),0)</f>
        <v/>
      </c>
      <c r="Y2130" s="30">
        <f>T2130*X2130</f>
        <v/>
      </c>
      <c r="Z2130" s="28">
        <f>IFERROR(LOOKUP(Y2130,{0;0.5;5;25},{"Bajo";"Medio";"Alto";"Crítico"}),"")</f>
        <v/>
      </c>
      <c r="AA2130" s="64">
        <f>IF(T2130&gt;=3,IF(X2130&gt;=1,"Zona 1 — Crítica: impacto alto y ocurre al menos una vez al año","Zona 4 — Catastrófica poco probable: impacto alto pero excepcional"),IF(AND(T2130&lt;1.5,X2130&lt;1),"Zona 3 — Asumible: impacto bajo y muy poco frecuente","Zona 2 — Atención: riesgo intermedio"))</f>
        <v/>
      </c>
      <c r="AB2130" s="64">
        <f>IFERROR(INDEX(MgAmenCtrl,MATCH(SUBSTITUTE($H2130,"*","-"),MgAmenClave,0)),"")</f>
        <v/>
      </c>
      <c r="AC2130" s="20" t="n"/>
      <c r="AD2130" s="31">
        <f>IFERROR($X2130*(1-IF($AC2130="",$AL2130,VLOOKUP($AC2130,MgMad,2,0))),"")</f>
        <v/>
      </c>
      <c r="AE2130" s="28">
        <f>IFERROR(LOOKUP(AD2130,{0;0.01;0.1;1;10;100},{"Muy baja";"Muy baja";"Baja";"Media";"Alta";"Muy alta"}),"")</f>
        <v/>
      </c>
      <c r="AF2130" s="30">
        <f>T2130*AD2130</f>
        <v/>
      </c>
      <c r="AG2130" s="28">
        <f>IFERROR(LOOKUP(AF2130,{0;0.5;5;25},{"Bajo";"Medio";"Alto";"Crítico"}),"")</f>
        <v/>
      </c>
      <c r="AH2130" s="28">
        <f>IF(AG2130="","",IF(OR(AG2130="Crítico",AG2130="Alto"),"Mitigar",IF(AG2130="Medio","Mitigar","Aceptar y monitorear")))</f>
        <v/>
      </c>
      <c r="AI2130" s="21" t="n"/>
      <c r="AJ2130" s="21" t="n"/>
      <c r="AK2130" s="20" t="n"/>
      <c r="AL2130" s="77">
        <f>IFERROR(INDEX(MgAmenEfic,MATCH(SUBSTITUTE($H2130,"*","-"),MgAmenClave,0)),0)</f>
        <v/>
      </c>
    </row>
    <row r="2131" hidden="1" ht="75" customHeight="1" s="54">
      <c r="B2131" s="59" t="inlineStr">
        <is>
          <t>R-2126</t>
        </is>
      </c>
      <c r="C2131" s="59" t="inlineStr">
        <is>
          <t>FIN-23</t>
        </is>
      </c>
      <c r="D2131" s="64">
        <f>IFERROR(INDEX(MgNombre,MATCH($C2131,MgActId,0)),"")</f>
        <v/>
      </c>
      <c r="E2131" s="64">
        <f>IFERROR(INDEX(MgProceso,MATCH($C2131,MgActId,0)),"")</f>
        <v/>
      </c>
      <c r="F2131" s="64">
        <f>IFERROR(INDEX(MgTipo,MATCH($C2131,MgActId,0)),"")</f>
        <v/>
      </c>
      <c r="G2131" s="64">
        <f>IFERROR(INDEX(MgSubtipo,MATCH($C2131,MgActId,0)),"")</f>
        <v/>
      </c>
      <c r="H2131" s="59" t="inlineStr">
        <is>
          <t>A.5</t>
        </is>
      </c>
      <c r="I2131" s="64">
        <f>IFERROR(INDEX(MgAmenNombre,MATCH(SUBSTITUTE($H2131,"*","-"),MgAmenClave,0)),"")</f>
        <v/>
      </c>
      <c r="J2131" s="28">
        <f>IFERROR(INDEX(MgAmenGrupo,MATCH(SUBSTITUTE($H2131,"*","-"),MgAmenClave,0)),"")</f>
        <v/>
      </c>
      <c r="K2131" s="64">
        <f>IFERROR(INDEX('1. Matriz de Activos'!$Q$6:$Q$239,MATCH($C2131,MgActId,0)),"")</f>
        <v/>
      </c>
      <c r="L2131" s="64">
        <f>IFERROR(INDEX('1. Matriz de Activos'!$R$6:$R$239,MATCH($C2131,MgActId,0)),"")</f>
        <v/>
      </c>
      <c r="M2131" s="64">
        <f>IFERROR(INDEX('1. Matriz de Activos'!$S$6:$S$239,MATCH($C2131,MgActId,0)),"")</f>
        <v/>
      </c>
      <c r="N2131" s="28">
        <f>IFERROR(INDEX(MgAmenDegD,MATCH(SUBSTITUTE($H2131,"*","-"),MgAmenClave,0)),"No aplica")</f>
        <v/>
      </c>
      <c r="O2131" s="28">
        <f>IFERROR(INDEX(MgAmenDegI,MATCH(SUBSTITUTE($H2131,"*","-"),MgAmenClave,0)),"No aplica")</f>
        <v/>
      </c>
      <c r="P2131" s="28">
        <f>IFERROR(INDEX(MgAmenDegC,MATCH(SUBSTITUTE($H2131,"*","-"),MgAmenClave,0)),"No aplica")</f>
        <v/>
      </c>
      <c r="Q2131" s="29">
        <f>IFERROR(VLOOKUP(K2131,MgValor,2,0)*VLOOKUP(N2131,MgDeg,2,0),0)</f>
        <v/>
      </c>
      <c r="R2131" s="29">
        <f>IFERROR(VLOOKUP(L2131,MgValor,2,0)*VLOOKUP(O2131,MgDeg,2,0),0)</f>
        <v/>
      </c>
      <c r="S2131" s="29">
        <f>IFERROR(VLOOKUP(M2131,MgValor,2,0)*VLOOKUP(P2131,MgDeg,2,0),0)</f>
        <v/>
      </c>
      <c r="T2131" s="30">
        <f>MAX(Q2131:S2131)</f>
        <v/>
      </c>
      <c r="U2131" s="28">
        <f>IFERROR(LOOKUP(T2131,{0;0.5;1.5;3;4.5},{"Despreciable";"Bajo";"Medio";"Alto";"Muy alto"}),"")</f>
        <v/>
      </c>
      <c r="V2131" s="13">
        <f>IFERROR(INDEX(MgAmenFrec,MATCH(SUBSTITUTE($H2131,"*","-"),MgAmenClave,0)),"")</f>
        <v/>
      </c>
      <c r="W2131" s="28">
        <f>IFERROR(LOOKUP(X2131,{0;0.01;0.1;1;10;100},{"Muy baja";"Muy baja";"Baja";"Media";"Alta";"Muy alta"}),"")</f>
        <v/>
      </c>
      <c r="X2131" s="31">
        <f>IFERROR(VLOOKUP(V2131,MgFrec,2,0),0)</f>
        <v/>
      </c>
      <c r="Y2131" s="30">
        <f>T2131*X2131</f>
        <v/>
      </c>
      <c r="Z2131" s="28">
        <f>IFERROR(LOOKUP(Y2131,{0;0.5;5;25},{"Bajo";"Medio";"Alto";"Crítico"}),"")</f>
        <v/>
      </c>
      <c r="AA2131" s="64">
        <f>IF(T2131&gt;=3,IF(X2131&gt;=1,"Zona 1 — Crítica: impacto alto y ocurre al menos una vez al año","Zona 4 — Catastrófica poco probable: impacto alto pero excepcional"),IF(AND(T2131&lt;1.5,X2131&lt;1),"Zona 3 — Asumible: impacto bajo y muy poco frecuente","Zona 2 — Atención: riesgo intermedio"))</f>
        <v/>
      </c>
      <c r="AB2131" s="64">
        <f>IFERROR(INDEX(MgAmenCtrl,MATCH(SUBSTITUTE($H2131,"*","-"),MgAmenClave,0)),"")</f>
        <v/>
      </c>
      <c r="AC2131" s="20" t="n"/>
      <c r="AD2131" s="31">
        <f>IFERROR($X2131*(1-IF($AC2131="",$AL2131,VLOOKUP($AC2131,MgMad,2,0))),"")</f>
        <v/>
      </c>
      <c r="AE2131" s="28">
        <f>IFERROR(LOOKUP(AD2131,{0;0.01;0.1;1;10;100},{"Muy baja";"Muy baja";"Baja";"Media";"Alta";"Muy alta"}),"")</f>
        <v/>
      </c>
      <c r="AF2131" s="30">
        <f>T2131*AD2131</f>
        <v/>
      </c>
      <c r="AG2131" s="28">
        <f>IFERROR(LOOKUP(AF2131,{0;0.5;5;25},{"Bajo";"Medio";"Alto";"Crítico"}),"")</f>
        <v/>
      </c>
      <c r="AH2131" s="28">
        <f>IF(AG2131="","",IF(OR(AG2131="Crítico",AG2131="Alto"),"Mitigar",IF(AG2131="Medio","Mitigar","Aceptar y monitorear")))</f>
        <v/>
      </c>
      <c r="AI2131" s="21" t="n"/>
      <c r="AJ2131" s="21" t="n"/>
      <c r="AK2131" s="20" t="n"/>
      <c r="AL2131" s="77">
        <f>IFERROR(INDEX(MgAmenEfic,MATCH(SUBSTITUTE($H2131,"*","-"),MgAmenClave,0)),0)</f>
        <v/>
      </c>
    </row>
    <row r="2132" hidden="1" ht="105" customHeight="1" s="54">
      <c r="B2132" s="59" t="inlineStr">
        <is>
          <t>R-2127</t>
        </is>
      </c>
      <c r="C2132" s="59" t="inlineStr">
        <is>
          <t>FIN-23</t>
        </is>
      </c>
      <c r="D2132" s="64">
        <f>IFERROR(INDEX(MgNombre,MATCH($C2132,MgActId,0)),"")</f>
        <v/>
      </c>
      <c r="E2132" s="64">
        <f>IFERROR(INDEX(MgProceso,MATCH($C2132,MgActId,0)),"")</f>
        <v/>
      </c>
      <c r="F2132" s="64">
        <f>IFERROR(INDEX(MgTipo,MATCH($C2132,MgActId,0)),"")</f>
        <v/>
      </c>
      <c r="G2132" s="64">
        <f>IFERROR(INDEX(MgSubtipo,MATCH($C2132,MgActId,0)),"")</f>
        <v/>
      </c>
      <c r="H2132" s="59" t="inlineStr">
        <is>
          <t>A.6</t>
        </is>
      </c>
      <c r="I2132" s="64">
        <f>IFERROR(INDEX(MgAmenNombre,MATCH(SUBSTITUTE($H2132,"*","-"),MgAmenClave,0)),"")</f>
        <v/>
      </c>
      <c r="J2132" s="28">
        <f>IFERROR(INDEX(MgAmenGrupo,MATCH(SUBSTITUTE($H2132,"*","-"),MgAmenClave,0)),"")</f>
        <v/>
      </c>
      <c r="K2132" s="64">
        <f>IFERROR(INDEX('1. Matriz de Activos'!$Q$6:$Q$239,MATCH($C2132,MgActId,0)),"")</f>
        <v/>
      </c>
      <c r="L2132" s="64">
        <f>IFERROR(INDEX('1. Matriz de Activos'!$R$6:$R$239,MATCH($C2132,MgActId,0)),"")</f>
        <v/>
      </c>
      <c r="M2132" s="64">
        <f>IFERROR(INDEX('1. Matriz de Activos'!$S$6:$S$239,MATCH($C2132,MgActId,0)),"")</f>
        <v/>
      </c>
      <c r="N2132" s="28">
        <f>IFERROR(INDEX(MgAmenDegD,MATCH(SUBSTITUTE($H2132,"*","-"),MgAmenClave,0)),"No aplica")</f>
        <v/>
      </c>
      <c r="O2132" s="28">
        <f>IFERROR(INDEX(MgAmenDegI,MATCH(SUBSTITUTE($H2132,"*","-"),MgAmenClave,0)),"No aplica")</f>
        <v/>
      </c>
      <c r="P2132" s="28">
        <f>IFERROR(INDEX(MgAmenDegC,MATCH(SUBSTITUTE($H2132,"*","-"),MgAmenClave,0)),"No aplica")</f>
        <v/>
      </c>
      <c r="Q2132" s="29">
        <f>IFERROR(VLOOKUP(K2132,MgValor,2,0)*VLOOKUP(N2132,MgDeg,2,0),0)</f>
        <v/>
      </c>
      <c r="R2132" s="29">
        <f>IFERROR(VLOOKUP(L2132,MgValor,2,0)*VLOOKUP(O2132,MgDeg,2,0),0)</f>
        <v/>
      </c>
      <c r="S2132" s="29">
        <f>IFERROR(VLOOKUP(M2132,MgValor,2,0)*VLOOKUP(P2132,MgDeg,2,0),0)</f>
        <v/>
      </c>
      <c r="T2132" s="30">
        <f>MAX(Q2132:S2132)</f>
        <v/>
      </c>
      <c r="U2132" s="28">
        <f>IFERROR(LOOKUP(T2132,{0;0.5;1.5;3;4.5},{"Despreciable";"Bajo";"Medio";"Alto";"Muy alto"}),"")</f>
        <v/>
      </c>
      <c r="V2132" s="13">
        <f>IFERROR(INDEX(MgAmenFrec,MATCH(SUBSTITUTE($H2132,"*","-"),MgAmenClave,0)),"")</f>
        <v/>
      </c>
      <c r="W2132" s="28">
        <f>IFERROR(LOOKUP(X2132,{0;0.01;0.1;1;10;100},{"Muy baja";"Muy baja";"Baja";"Media";"Alta";"Muy alta"}),"")</f>
        <v/>
      </c>
      <c r="X2132" s="31">
        <f>IFERROR(VLOOKUP(V2132,MgFrec,2,0),0)</f>
        <v/>
      </c>
      <c r="Y2132" s="30">
        <f>T2132*X2132</f>
        <v/>
      </c>
      <c r="Z2132" s="28">
        <f>IFERROR(LOOKUP(Y2132,{0;0.5;5;25},{"Bajo";"Medio";"Alto";"Crítico"}),"")</f>
        <v/>
      </c>
      <c r="AA2132" s="64">
        <f>IF(T2132&gt;=3,IF(X2132&gt;=1,"Zona 1 — Crítica: impacto alto y ocurre al menos una vez al año","Zona 4 — Catastrófica poco probable: impacto alto pero excepcional"),IF(AND(T2132&lt;1.5,X2132&lt;1),"Zona 3 — Asumible: impacto bajo y muy poco frecuente","Zona 2 — Atención: riesgo intermedio"))</f>
        <v/>
      </c>
      <c r="AB2132" s="64">
        <f>IFERROR(INDEX(MgAmenCtrl,MATCH(SUBSTITUTE($H2132,"*","-"),MgAmenClave,0)),"")</f>
        <v/>
      </c>
      <c r="AC2132" s="20" t="n"/>
      <c r="AD2132" s="31">
        <f>IFERROR($X2132*(1-IF($AC2132="",$AL2132,VLOOKUP($AC2132,MgMad,2,0))),"")</f>
        <v/>
      </c>
      <c r="AE2132" s="28">
        <f>IFERROR(LOOKUP(AD2132,{0;0.01;0.1;1;10;100},{"Muy baja";"Muy baja";"Baja";"Media";"Alta";"Muy alta"}),"")</f>
        <v/>
      </c>
      <c r="AF2132" s="30">
        <f>T2132*AD2132</f>
        <v/>
      </c>
      <c r="AG2132" s="28">
        <f>IFERROR(LOOKUP(AF2132,{0;0.5;5;25},{"Bajo";"Medio";"Alto";"Crítico"}),"")</f>
        <v/>
      </c>
      <c r="AH2132" s="28">
        <f>IF(AG2132="","",IF(OR(AG2132="Crítico",AG2132="Alto"),"Mitigar",IF(AG2132="Medio","Mitigar","Aceptar y monitorear")))</f>
        <v/>
      </c>
      <c r="AI2132" s="21" t="n"/>
      <c r="AJ2132" s="21" t="n"/>
      <c r="AK2132" s="20" t="n"/>
      <c r="AL2132" s="77">
        <f>IFERROR(INDEX(MgAmenEfic,MATCH(SUBSTITUTE($H2132,"*","-"),MgAmenClave,0)),0)</f>
        <v/>
      </c>
    </row>
    <row r="2133" hidden="1" ht="60" customHeight="1" s="54">
      <c r="B2133" s="59" t="inlineStr">
        <is>
          <t>R-2128</t>
        </is>
      </c>
      <c r="C2133" s="59" t="inlineStr">
        <is>
          <t>FIN-23</t>
        </is>
      </c>
      <c r="D2133" s="64">
        <f>IFERROR(INDEX(MgNombre,MATCH($C2133,MgActId,0)),"")</f>
        <v/>
      </c>
      <c r="E2133" s="64">
        <f>IFERROR(INDEX(MgProceso,MATCH($C2133,MgActId,0)),"")</f>
        <v/>
      </c>
      <c r="F2133" s="64">
        <f>IFERROR(INDEX(MgTipo,MATCH($C2133,MgActId,0)),"")</f>
        <v/>
      </c>
      <c r="G2133" s="64">
        <f>IFERROR(INDEX(MgSubtipo,MATCH($C2133,MgActId,0)),"")</f>
        <v/>
      </c>
      <c r="H2133" s="59" t="inlineStr">
        <is>
          <t>A.7</t>
        </is>
      </c>
      <c r="I2133" s="64">
        <f>IFERROR(INDEX(MgAmenNombre,MATCH(SUBSTITUTE($H2133,"*","-"),MgAmenClave,0)),"")</f>
        <v/>
      </c>
      <c r="J2133" s="28">
        <f>IFERROR(INDEX(MgAmenGrupo,MATCH(SUBSTITUTE($H2133,"*","-"),MgAmenClave,0)),"")</f>
        <v/>
      </c>
      <c r="K2133" s="64">
        <f>IFERROR(INDEX('1. Matriz de Activos'!$Q$6:$Q$239,MATCH($C2133,MgActId,0)),"")</f>
        <v/>
      </c>
      <c r="L2133" s="64">
        <f>IFERROR(INDEX('1. Matriz de Activos'!$R$6:$R$239,MATCH($C2133,MgActId,0)),"")</f>
        <v/>
      </c>
      <c r="M2133" s="64">
        <f>IFERROR(INDEX('1. Matriz de Activos'!$S$6:$S$239,MATCH($C2133,MgActId,0)),"")</f>
        <v/>
      </c>
      <c r="N2133" s="28">
        <f>IFERROR(INDEX(MgAmenDegD,MATCH(SUBSTITUTE($H2133,"*","-"),MgAmenClave,0)),"No aplica")</f>
        <v/>
      </c>
      <c r="O2133" s="28">
        <f>IFERROR(INDEX(MgAmenDegI,MATCH(SUBSTITUTE($H2133,"*","-"),MgAmenClave,0)),"No aplica")</f>
        <v/>
      </c>
      <c r="P2133" s="28">
        <f>IFERROR(INDEX(MgAmenDegC,MATCH(SUBSTITUTE($H2133,"*","-"),MgAmenClave,0)),"No aplica")</f>
        <v/>
      </c>
      <c r="Q2133" s="29">
        <f>IFERROR(VLOOKUP(K2133,MgValor,2,0)*VLOOKUP(N2133,MgDeg,2,0),0)</f>
        <v/>
      </c>
      <c r="R2133" s="29">
        <f>IFERROR(VLOOKUP(L2133,MgValor,2,0)*VLOOKUP(O2133,MgDeg,2,0),0)</f>
        <v/>
      </c>
      <c r="S2133" s="29">
        <f>IFERROR(VLOOKUP(M2133,MgValor,2,0)*VLOOKUP(P2133,MgDeg,2,0),0)</f>
        <v/>
      </c>
      <c r="T2133" s="30">
        <f>MAX(Q2133:S2133)</f>
        <v/>
      </c>
      <c r="U2133" s="28">
        <f>IFERROR(LOOKUP(T2133,{0;0.5;1.5;3;4.5},{"Despreciable";"Bajo";"Medio";"Alto";"Muy alto"}),"")</f>
        <v/>
      </c>
      <c r="V2133" s="13">
        <f>IFERROR(INDEX(MgAmenFrec,MATCH(SUBSTITUTE($H2133,"*","-"),MgAmenClave,0)),"")</f>
        <v/>
      </c>
      <c r="W2133" s="28">
        <f>IFERROR(LOOKUP(X2133,{0;0.01;0.1;1;10;100},{"Muy baja";"Muy baja";"Baja";"Media";"Alta";"Muy alta"}),"")</f>
        <v/>
      </c>
      <c r="X2133" s="31">
        <f>IFERROR(VLOOKUP(V2133,MgFrec,2,0),0)</f>
        <v/>
      </c>
      <c r="Y2133" s="30">
        <f>T2133*X2133</f>
        <v/>
      </c>
      <c r="Z2133" s="28">
        <f>IFERROR(LOOKUP(Y2133,{0;0.5;5;25},{"Bajo";"Medio";"Alto";"Crítico"}),"")</f>
        <v/>
      </c>
      <c r="AA2133" s="64">
        <f>IF(T2133&gt;=3,IF(X2133&gt;=1,"Zona 1 — Crítica: impacto alto y ocurre al menos una vez al año","Zona 4 — Catastrófica poco probable: impacto alto pero excepcional"),IF(AND(T2133&lt;1.5,X2133&lt;1),"Zona 3 — Asumible: impacto bajo y muy poco frecuente","Zona 2 — Atención: riesgo intermedio"))</f>
        <v/>
      </c>
      <c r="AB2133" s="64">
        <f>IFERROR(INDEX(MgAmenCtrl,MATCH(SUBSTITUTE($H2133,"*","-"),MgAmenClave,0)),"")</f>
        <v/>
      </c>
      <c r="AC2133" s="20" t="n"/>
      <c r="AD2133" s="31">
        <f>IFERROR($X2133*(1-IF($AC2133="",$AL2133,VLOOKUP($AC2133,MgMad,2,0))),"")</f>
        <v/>
      </c>
      <c r="AE2133" s="28">
        <f>IFERROR(LOOKUP(AD2133,{0;0.01;0.1;1;10;100},{"Muy baja";"Muy baja";"Baja";"Media";"Alta";"Muy alta"}),"")</f>
        <v/>
      </c>
      <c r="AF2133" s="30">
        <f>T2133*AD2133</f>
        <v/>
      </c>
      <c r="AG2133" s="28">
        <f>IFERROR(LOOKUP(AF2133,{0;0.5;5;25},{"Bajo";"Medio";"Alto";"Crítico"}),"")</f>
        <v/>
      </c>
      <c r="AH2133" s="28">
        <f>IF(AG2133="","",IF(OR(AG2133="Crítico",AG2133="Alto"),"Mitigar",IF(AG2133="Medio","Mitigar","Aceptar y monitorear")))</f>
        <v/>
      </c>
      <c r="AI2133" s="21" t="n"/>
      <c r="AJ2133" s="21" t="n"/>
      <c r="AK2133" s="20" t="n"/>
      <c r="AL2133" s="77">
        <f>IFERROR(INDEX(MgAmenEfic,MATCH(SUBSTITUTE($H2133,"*","-"),MgAmenClave,0)),0)</f>
        <v/>
      </c>
    </row>
    <row r="2134" hidden="1" ht="60" customHeight="1" s="54">
      <c r="B2134" s="59" t="inlineStr">
        <is>
          <t>R-2129</t>
        </is>
      </c>
      <c r="C2134" s="59" t="inlineStr">
        <is>
          <t>FIN-23</t>
        </is>
      </c>
      <c r="D2134" s="64">
        <f>IFERROR(INDEX(MgNombre,MATCH($C2134,MgActId,0)),"")</f>
        <v/>
      </c>
      <c r="E2134" s="64">
        <f>IFERROR(INDEX(MgProceso,MATCH($C2134,MgActId,0)),"")</f>
        <v/>
      </c>
      <c r="F2134" s="64">
        <f>IFERROR(INDEX(MgTipo,MATCH($C2134,MgActId,0)),"")</f>
        <v/>
      </c>
      <c r="G2134" s="64">
        <f>IFERROR(INDEX(MgSubtipo,MATCH($C2134,MgActId,0)),"")</f>
        <v/>
      </c>
      <c r="H2134" s="59" t="inlineStr">
        <is>
          <t>A.9</t>
        </is>
      </c>
      <c r="I2134" s="64">
        <f>IFERROR(INDEX(MgAmenNombre,MATCH(SUBSTITUTE($H2134,"*","-"),MgAmenClave,0)),"")</f>
        <v/>
      </c>
      <c r="J2134" s="28">
        <f>IFERROR(INDEX(MgAmenGrupo,MATCH(SUBSTITUTE($H2134,"*","-"),MgAmenClave,0)),"")</f>
        <v/>
      </c>
      <c r="K2134" s="64">
        <f>IFERROR(INDEX('1. Matriz de Activos'!$Q$6:$Q$239,MATCH($C2134,MgActId,0)),"")</f>
        <v/>
      </c>
      <c r="L2134" s="64">
        <f>IFERROR(INDEX('1. Matriz de Activos'!$R$6:$R$239,MATCH($C2134,MgActId,0)),"")</f>
        <v/>
      </c>
      <c r="M2134" s="64">
        <f>IFERROR(INDEX('1. Matriz de Activos'!$S$6:$S$239,MATCH($C2134,MgActId,0)),"")</f>
        <v/>
      </c>
      <c r="N2134" s="28">
        <f>IFERROR(INDEX(MgAmenDegD,MATCH(SUBSTITUTE($H2134,"*","-"),MgAmenClave,0)),"No aplica")</f>
        <v/>
      </c>
      <c r="O2134" s="28">
        <f>IFERROR(INDEX(MgAmenDegI,MATCH(SUBSTITUTE($H2134,"*","-"),MgAmenClave,0)),"No aplica")</f>
        <v/>
      </c>
      <c r="P2134" s="28">
        <f>IFERROR(INDEX(MgAmenDegC,MATCH(SUBSTITUTE($H2134,"*","-"),MgAmenClave,0)),"No aplica")</f>
        <v/>
      </c>
      <c r="Q2134" s="29">
        <f>IFERROR(VLOOKUP(K2134,MgValor,2,0)*VLOOKUP(N2134,MgDeg,2,0),0)</f>
        <v/>
      </c>
      <c r="R2134" s="29">
        <f>IFERROR(VLOOKUP(L2134,MgValor,2,0)*VLOOKUP(O2134,MgDeg,2,0),0)</f>
        <v/>
      </c>
      <c r="S2134" s="29">
        <f>IFERROR(VLOOKUP(M2134,MgValor,2,0)*VLOOKUP(P2134,MgDeg,2,0),0)</f>
        <v/>
      </c>
      <c r="T2134" s="30">
        <f>MAX(Q2134:S2134)</f>
        <v/>
      </c>
      <c r="U2134" s="28">
        <f>IFERROR(LOOKUP(T2134,{0;0.5;1.5;3;4.5},{"Despreciable";"Bajo";"Medio";"Alto";"Muy alto"}),"")</f>
        <v/>
      </c>
      <c r="V2134" s="13">
        <f>IFERROR(INDEX(MgAmenFrec,MATCH(SUBSTITUTE($H2134,"*","-"),MgAmenClave,0)),"")</f>
        <v/>
      </c>
      <c r="W2134" s="28">
        <f>IFERROR(LOOKUP(X2134,{0;0.01;0.1;1;10;100},{"Muy baja";"Muy baja";"Baja";"Media";"Alta";"Muy alta"}),"")</f>
        <v/>
      </c>
      <c r="X2134" s="31">
        <f>IFERROR(VLOOKUP(V2134,MgFrec,2,0),0)</f>
        <v/>
      </c>
      <c r="Y2134" s="30">
        <f>T2134*X2134</f>
        <v/>
      </c>
      <c r="Z2134" s="28">
        <f>IFERROR(LOOKUP(Y2134,{0;0.5;5;25},{"Bajo";"Medio";"Alto";"Crítico"}),"")</f>
        <v/>
      </c>
      <c r="AA2134" s="64">
        <f>IF(T2134&gt;=3,IF(X2134&gt;=1,"Zona 1 — Crítica: impacto alto y ocurre al menos una vez al año","Zona 4 — Catastrófica poco probable: impacto alto pero excepcional"),IF(AND(T2134&lt;1.5,X2134&lt;1),"Zona 3 — Asumible: impacto bajo y muy poco frecuente","Zona 2 — Atención: riesgo intermedio"))</f>
        <v/>
      </c>
      <c r="AB2134" s="64">
        <f>IFERROR(INDEX(MgAmenCtrl,MATCH(SUBSTITUTE($H2134,"*","-"),MgAmenClave,0)),"")</f>
        <v/>
      </c>
      <c r="AC2134" s="20" t="n"/>
      <c r="AD2134" s="31">
        <f>IFERROR($X2134*(1-IF($AC2134="",$AL2134,VLOOKUP($AC2134,MgMad,2,0))),"")</f>
        <v/>
      </c>
      <c r="AE2134" s="28">
        <f>IFERROR(LOOKUP(AD2134,{0;0.01;0.1;1;10;100},{"Muy baja";"Muy baja";"Baja";"Media";"Alta";"Muy alta"}),"")</f>
        <v/>
      </c>
      <c r="AF2134" s="30">
        <f>T2134*AD2134</f>
        <v/>
      </c>
      <c r="AG2134" s="28">
        <f>IFERROR(LOOKUP(AF2134,{0;0.5;5;25},{"Bajo";"Medio";"Alto";"Crítico"}),"")</f>
        <v/>
      </c>
      <c r="AH2134" s="28">
        <f>IF(AG2134="","",IF(OR(AG2134="Crítico",AG2134="Alto"),"Mitigar",IF(AG2134="Medio","Mitigar","Aceptar y monitorear")))</f>
        <v/>
      </c>
      <c r="AI2134" s="21" t="n"/>
      <c r="AJ2134" s="21" t="n"/>
      <c r="AK2134" s="20" t="n"/>
      <c r="AL2134" s="77">
        <f>IFERROR(INDEX(MgAmenEfic,MATCH(SUBSTITUTE($H2134,"*","-"),MgAmenClave,0)),0)</f>
        <v/>
      </c>
    </row>
    <row r="2135" hidden="1" ht="45" customHeight="1" s="54">
      <c r="B2135" s="59" t="inlineStr">
        <is>
          <t>R-2130</t>
        </is>
      </c>
      <c r="C2135" s="59" t="inlineStr">
        <is>
          <t>FIN-23</t>
        </is>
      </c>
      <c r="D2135" s="64">
        <f>IFERROR(INDEX(MgNombre,MATCH($C2135,MgActId,0)),"")</f>
        <v/>
      </c>
      <c r="E2135" s="64">
        <f>IFERROR(INDEX(MgProceso,MATCH($C2135,MgActId,0)),"")</f>
        <v/>
      </c>
      <c r="F2135" s="64">
        <f>IFERROR(INDEX(MgTipo,MATCH($C2135,MgActId,0)),"")</f>
        <v/>
      </c>
      <c r="G2135" s="64">
        <f>IFERROR(INDEX(MgSubtipo,MATCH($C2135,MgActId,0)),"")</f>
        <v/>
      </c>
      <c r="H2135" s="59" t="inlineStr">
        <is>
          <t>A.10</t>
        </is>
      </c>
      <c r="I2135" s="64">
        <f>IFERROR(INDEX(MgAmenNombre,MATCH(SUBSTITUTE($H2135,"*","-"),MgAmenClave,0)),"")</f>
        <v/>
      </c>
      <c r="J2135" s="28">
        <f>IFERROR(INDEX(MgAmenGrupo,MATCH(SUBSTITUTE($H2135,"*","-"),MgAmenClave,0)),"")</f>
        <v/>
      </c>
      <c r="K2135" s="64">
        <f>IFERROR(INDEX('1. Matriz de Activos'!$Q$6:$Q$239,MATCH($C2135,MgActId,0)),"")</f>
        <v/>
      </c>
      <c r="L2135" s="64">
        <f>IFERROR(INDEX('1. Matriz de Activos'!$R$6:$R$239,MATCH($C2135,MgActId,0)),"")</f>
        <v/>
      </c>
      <c r="M2135" s="64">
        <f>IFERROR(INDEX('1. Matriz de Activos'!$S$6:$S$239,MATCH($C2135,MgActId,0)),"")</f>
        <v/>
      </c>
      <c r="N2135" s="28">
        <f>IFERROR(INDEX(MgAmenDegD,MATCH(SUBSTITUTE($H2135,"*","-"),MgAmenClave,0)),"No aplica")</f>
        <v/>
      </c>
      <c r="O2135" s="28">
        <f>IFERROR(INDEX(MgAmenDegI,MATCH(SUBSTITUTE($H2135,"*","-"),MgAmenClave,0)),"No aplica")</f>
        <v/>
      </c>
      <c r="P2135" s="28">
        <f>IFERROR(INDEX(MgAmenDegC,MATCH(SUBSTITUTE($H2135,"*","-"),MgAmenClave,0)),"No aplica")</f>
        <v/>
      </c>
      <c r="Q2135" s="29">
        <f>IFERROR(VLOOKUP(K2135,MgValor,2,0)*VLOOKUP(N2135,MgDeg,2,0),0)</f>
        <v/>
      </c>
      <c r="R2135" s="29">
        <f>IFERROR(VLOOKUP(L2135,MgValor,2,0)*VLOOKUP(O2135,MgDeg,2,0),0)</f>
        <v/>
      </c>
      <c r="S2135" s="29">
        <f>IFERROR(VLOOKUP(M2135,MgValor,2,0)*VLOOKUP(P2135,MgDeg,2,0),0)</f>
        <v/>
      </c>
      <c r="T2135" s="30">
        <f>MAX(Q2135:S2135)</f>
        <v/>
      </c>
      <c r="U2135" s="28">
        <f>IFERROR(LOOKUP(T2135,{0;0.5;1.5;3;4.5},{"Despreciable";"Bajo";"Medio";"Alto";"Muy alto"}),"")</f>
        <v/>
      </c>
      <c r="V2135" s="13">
        <f>IFERROR(INDEX(MgAmenFrec,MATCH(SUBSTITUTE($H2135,"*","-"),MgAmenClave,0)),"")</f>
        <v/>
      </c>
      <c r="W2135" s="28">
        <f>IFERROR(LOOKUP(X2135,{0;0.01;0.1;1;10;100},{"Muy baja";"Muy baja";"Baja";"Media";"Alta";"Muy alta"}),"")</f>
        <v/>
      </c>
      <c r="X2135" s="31">
        <f>IFERROR(VLOOKUP(V2135,MgFrec,2,0),0)</f>
        <v/>
      </c>
      <c r="Y2135" s="30">
        <f>T2135*X2135</f>
        <v/>
      </c>
      <c r="Z2135" s="28">
        <f>IFERROR(LOOKUP(Y2135,{0;0.5;5;25},{"Bajo";"Medio";"Alto";"Crítico"}),"")</f>
        <v/>
      </c>
      <c r="AA2135" s="64">
        <f>IF(T2135&gt;=3,IF(X2135&gt;=1,"Zona 1 — Crítica: impacto alto y ocurre al menos una vez al año","Zona 4 — Catastrófica poco probable: impacto alto pero excepcional"),IF(AND(T2135&lt;1.5,X2135&lt;1),"Zona 3 — Asumible: impacto bajo y muy poco frecuente","Zona 2 — Atención: riesgo intermedio"))</f>
        <v/>
      </c>
      <c r="AB2135" s="64">
        <f>IFERROR(INDEX(MgAmenCtrl,MATCH(SUBSTITUTE($H2135,"*","-"),MgAmenClave,0)),"")</f>
        <v/>
      </c>
      <c r="AC2135" s="20" t="n"/>
      <c r="AD2135" s="31">
        <f>IFERROR($X2135*(1-IF($AC2135="",$AL2135,VLOOKUP($AC2135,MgMad,2,0))),"")</f>
        <v/>
      </c>
      <c r="AE2135" s="28">
        <f>IFERROR(LOOKUP(AD2135,{0;0.01;0.1;1;10;100},{"Muy baja";"Muy baja";"Baja";"Media";"Alta";"Muy alta"}),"")</f>
        <v/>
      </c>
      <c r="AF2135" s="30">
        <f>T2135*AD2135</f>
        <v/>
      </c>
      <c r="AG2135" s="28">
        <f>IFERROR(LOOKUP(AF2135,{0;0.5;5;25},{"Bajo";"Medio";"Alto";"Crítico"}),"")</f>
        <v/>
      </c>
      <c r="AH2135" s="28">
        <f>IF(AG2135="","",IF(OR(AG2135="Crítico",AG2135="Alto"),"Mitigar",IF(AG2135="Medio","Mitigar","Aceptar y monitorear")))</f>
        <v/>
      </c>
      <c r="AI2135" s="21" t="n"/>
      <c r="AJ2135" s="21" t="n"/>
      <c r="AK2135" s="20" t="n"/>
      <c r="AL2135" s="77">
        <f>IFERROR(INDEX(MgAmenEfic,MATCH(SUBSTITUTE($H2135,"*","-"),MgAmenClave,0)),0)</f>
        <v/>
      </c>
    </row>
    <row r="2136" hidden="1" ht="120" customHeight="1" s="54">
      <c r="B2136" s="59" t="inlineStr">
        <is>
          <t>R-2131</t>
        </is>
      </c>
      <c r="C2136" s="59" t="inlineStr">
        <is>
          <t>FIN-23</t>
        </is>
      </c>
      <c r="D2136" s="64">
        <f>IFERROR(INDEX(MgNombre,MATCH($C2136,MgActId,0)),"")</f>
        <v/>
      </c>
      <c r="E2136" s="64">
        <f>IFERROR(INDEX(MgProceso,MATCH($C2136,MgActId,0)),"")</f>
        <v/>
      </c>
      <c r="F2136" s="64">
        <f>IFERROR(INDEX(MgTipo,MATCH($C2136,MgActId,0)),"")</f>
        <v/>
      </c>
      <c r="G2136" s="64">
        <f>IFERROR(INDEX(MgSubtipo,MATCH($C2136,MgActId,0)),"")</f>
        <v/>
      </c>
      <c r="H2136" s="59" t="inlineStr">
        <is>
          <t>A.11</t>
        </is>
      </c>
      <c r="I2136" s="64">
        <f>IFERROR(INDEX(MgAmenNombre,MATCH(SUBSTITUTE($H2136,"*","-"),MgAmenClave,0)),"")</f>
        <v/>
      </c>
      <c r="J2136" s="28">
        <f>IFERROR(INDEX(MgAmenGrupo,MATCH(SUBSTITUTE($H2136,"*","-"),MgAmenClave,0)),"")</f>
        <v/>
      </c>
      <c r="K2136" s="64">
        <f>IFERROR(INDEX('1. Matriz de Activos'!$Q$6:$Q$239,MATCH($C2136,MgActId,0)),"")</f>
        <v/>
      </c>
      <c r="L2136" s="64">
        <f>IFERROR(INDEX('1. Matriz de Activos'!$R$6:$R$239,MATCH($C2136,MgActId,0)),"")</f>
        <v/>
      </c>
      <c r="M2136" s="64">
        <f>IFERROR(INDEX('1. Matriz de Activos'!$S$6:$S$239,MATCH($C2136,MgActId,0)),"")</f>
        <v/>
      </c>
      <c r="N2136" s="28">
        <f>IFERROR(INDEX(MgAmenDegD,MATCH(SUBSTITUTE($H2136,"*","-"),MgAmenClave,0)),"No aplica")</f>
        <v/>
      </c>
      <c r="O2136" s="28">
        <f>IFERROR(INDEX(MgAmenDegI,MATCH(SUBSTITUTE($H2136,"*","-"),MgAmenClave,0)),"No aplica")</f>
        <v/>
      </c>
      <c r="P2136" s="28">
        <f>IFERROR(INDEX(MgAmenDegC,MATCH(SUBSTITUTE($H2136,"*","-"),MgAmenClave,0)),"No aplica")</f>
        <v/>
      </c>
      <c r="Q2136" s="29">
        <f>IFERROR(VLOOKUP(K2136,MgValor,2,0)*VLOOKUP(N2136,MgDeg,2,0),0)</f>
        <v/>
      </c>
      <c r="R2136" s="29">
        <f>IFERROR(VLOOKUP(L2136,MgValor,2,0)*VLOOKUP(O2136,MgDeg,2,0),0)</f>
        <v/>
      </c>
      <c r="S2136" s="29">
        <f>IFERROR(VLOOKUP(M2136,MgValor,2,0)*VLOOKUP(P2136,MgDeg,2,0),0)</f>
        <v/>
      </c>
      <c r="T2136" s="30">
        <f>MAX(Q2136:S2136)</f>
        <v/>
      </c>
      <c r="U2136" s="28">
        <f>IFERROR(LOOKUP(T2136,{0;0.5;1.5;3;4.5},{"Despreciable";"Bajo";"Medio";"Alto";"Muy alto"}),"")</f>
        <v/>
      </c>
      <c r="V2136" s="13">
        <f>IFERROR(INDEX(MgAmenFrec,MATCH(SUBSTITUTE($H2136,"*","-"),MgAmenClave,0)),"")</f>
        <v/>
      </c>
      <c r="W2136" s="28">
        <f>IFERROR(LOOKUP(X2136,{0;0.01;0.1;1;10;100},{"Muy baja";"Muy baja";"Baja";"Media";"Alta";"Muy alta"}),"")</f>
        <v/>
      </c>
      <c r="X2136" s="31">
        <f>IFERROR(VLOOKUP(V2136,MgFrec,2,0),0)</f>
        <v/>
      </c>
      <c r="Y2136" s="30">
        <f>T2136*X2136</f>
        <v/>
      </c>
      <c r="Z2136" s="28">
        <f>IFERROR(LOOKUP(Y2136,{0;0.5;5;25},{"Bajo";"Medio";"Alto";"Crítico"}),"")</f>
        <v/>
      </c>
      <c r="AA2136" s="64">
        <f>IF(T2136&gt;=3,IF(X2136&gt;=1,"Zona 1 — Crítica: impacto alto y ocurre al menos una vez al año","Zona 4 — Catastrófica poco probable: impacto alto pero excepcional"),IF(AND(T2136&lt;1.5,X2136&lt;1),"Zona 3 — Asumible: impacto bajo y muy poco frecuente","Zona 2 — Atención: riesgo intermedio"))</f>
        <v/>
      </c>
      <c r="AB2136" s="64">
        <f>IFERROR(INDEX(MgAmenCtrl,MATCH(SUBSTITUTE($H2136,"*","-"),MgAmenClave,0)),"")</f>
        <v/>
      </c>
      <c r="AC2136" s="20" t="n"/>
      <c r="AD2136" s="31">
        <f>IFERROR($X2136*(1-IF($AC2136="",$AL2136,VLOOKUP($AC2136,MgMad,2,0))),"")</f>
        <v/>
      </c>
      <c r="AE2136" s="28">
        <f>IFERROR(LOOKUP(AD2136,{0;0.01;0.1;1;10;100},{"Muy baja";"Muy baja";"Baja";"Media";"Alta";"Muy alta"}),"")</f>
        <v/>
      </c>
      <c r="AF2136" s="30">
        <f>T2136*AD2136</f>
        <v/>
      </c>
      <c r="AG2136" s="28">
        <f>IFERROR(LOOKUP(AF2136,{0;0.5;5;25},{"Bajo";"Medio";"Alto";"Crítico"}),"")</f>
        <v/>
      </c>
      <c r="AH2136" s="28">
        <f>IF(AG2136="","",IF(OR(AG2136="Crítico",AG2136="Alto"),"Mitigar",IF(AG2136="Medio","Mitigar","Aceptar y monitorear")))</f>
        <v/>
      </c>
      <c r="AI2136" s="21" t="n"/>
      <c r="AJ2136" s="21" t="n"/>
      <c r="AK2136" s="20" t="n"/>
      <c r="AL2136" s="77">
        <f>IFERROR(INDEX(MgAmenEfic,MATCH(SUBSTITUTE($H2136,"*","-"),MgAmenClave,0)),0)</f>
        <v/>
      </c>
    </row>
    <row r="2137" hidden="1" ht="90" customHeight="1" s="54">
      <c r="B2137" s="59" t="inlineStr">
        <is>
          <t>R-2132</t>
        </is>
      </c>
      <c r="C2137" s="59" t="inlineStr">
        <is>
          <t>FIN-23</t>
        </is>
      </c>
      <c r="D2137" s="64">
        <f>IFERROR(INDEX(MgNombre,MATCH($C2137,MgActId,0)),"")</f>
        <v/>
      </c>
      <c r="E2137" s="64">
        <f>IFERROR(INDEX(MgProceso,MATCH($C2137,MgActId,0)),"")</f>
        <v/>
      </c>
      <c r="F2137" s="64">
        <f>IFERROR(INDEX(MgTipo,MATCH($C2137,MgActId,0)),"")</f>
        <v/>
      </c>
      <c r="G2137" s="64">
        <f>IFERROR(INDEX(MgSubtipo,MATCH($C2137,MgActId,0)),"")</f>
        <v/>
      </c>
      <c r="H2137" s="59" t="inlineStr">
        <is>
          <t>A.13</t>
        </is>
      </c>
      <c r="I2137" s="64">
        <f>IFERROR(INDEX(MgAmenNombre,MATCH(SUBSTITUTE($H2137,"*","-"),MgAmenClave,0)),"")</f>
        <v/>
      </c>
      <c r="J2137" s="28">
        <f>IFERROR(INDEX(MgAmenGrupo,MATCH(SUBSTITUTE($H2137,"*","-"),MgAmenClave,0)),"")</f>
        <v/>
      </c>
      <c r="K2137" s="64">
        <f>IFERROR(INDEX('1. Matriz de Activos'!$Q$6:$Q$239,MATCH($C2137,MgActId,0)),"")</f>
        <v/>
      </c>
      <c r="L2137" s="64">
        <f>IFERROR(INDEX('1. Matriz de Activos'!$R$6:$R$239,MATCH($C2137,MgActId,0)),"")</f>
        <v/>
      </c>
      <c r="M2137" s="64">
        <f>IFERROR(INDEX('1. Matriz de Activos'!$S$6:$S$239,MATCH($C2137,MgActId,0)),"")</f>
        <v/>
      </c>
      <c r="N2137" s="28">
        <f>IFERROR(INDEX(MgAmenDegD,MATCH(SUBSTITUTE($H2137,"*","-"),MgAmenClave,0)),"No aplica")</f>
        <v/>
      </c>
      <c r="O2137" s="28">
        <f>IFERROR(INDEX(MgAmenDegI,MATCH(SUBSTITUTE($H2137,"*","-"),MgAmenClave,0)),"No aplica")</f>
        <v/>
      </c>
      <c r="P2137" s="28">
        <f>IFERROR(INDEX(MgAmenDegC,MATCH(SUBSTITUTE($H2137,"*","-"),MgAmenClave,0)),"No aplica")</f>
        <v/>
      </c>
      <c r="Q2137" s="29">
        <f>IFERROR(VLOOKUP(K2137,MgValor,2,0)*VLOOKUP(N2137,MgDeg,2,0),0)</f>
        <v/>
      </c>
      <c r="R2137" s="29">
        <f>IFERROR(VLOOKUP(L2137,MgValor,2,0)*VLOOKUP(O2137,MgDeg,2,0),0)</f>
        <v/>
      </c>
      <c r="S2137" s="29">
        <f>IFERROR(VLOOKUP(M2137,MgValor,2,0)*VLOOKUP(P2137,MgDeg,2,0),0)</f>
        <v/>
      </c>
      <c r="T2137" s="30">
        <f>MAX(Q2137:S2137)</f>
        <v/>
      </c>
      <c r="U2137" s="28">
        <f>IFERROR(LOOKUP(T2137,{0;0.5;1.5;3;4.5},{"Despreciable";"Bajo";"Medio";"Alto";"Muy alto"}),"")</f>
        <v/>
      </c>
      <c r="V2137" s="13">
        <f>IFERROR(INDEX(MgAmenFrec,MATCH(SUBSTITUTE($H2137,"*","-"),MgAmenClave,0)),"")</f>
        <v/>
      </c>
      <c r="W2137" s="28">
        <f>IFERROR(LOOKUP(X2137,{0;0.01;0.1;1;10;100},{"Muy baja";"Muy baja";"Baja";"Media";"Alta";"Muy alta"}),"")</f>
        <v/>
      </c>
      <c r="X2137" s="31">
        <f>IFERROR(VLOOKUP(V2137,MgFrec,2,0),0)</f>
        <v/>
      </c>
      <c r="Y2137" s="30">
        <f>T2137*X2137</f>
        <v/>
      </c>
      <c r="Z2137" s="28">
        <f>IFERROR(LOOKUP(Y2137,{0;0.5;5;25},{"Bajo";"Medio";"Alto";"Crítico"}),"")</f>
        <v/>
      </c>
      <c r="AA2137" s="64">
        <f>IF(T2137&gt;=3,IF(X2137&gt;=1,"Zona 1 — Crítica: impacto alto y ocurre al menos una vez al año","Zona 4 — Catastrófica poco probable: impacto alto pero excepcional"),IF(AND(T2137&lt;1.5,X2137&lt;1),"Zona 3 — Asumible: impacto bajo y muy poco frecuente","Zona 2 — Atención: riesgo intermedio"))</f>
        <v/>
      </c>
      <c r="AB2137" s="64">
        <f>IFERROR(INDEX(MgAmenCtrl,MATCH(SUBSTITUTE($H2137,"*","-"),MgAmenClave,0)),"")</f>
        <v/>
      </c>
      <c r="AC2137" s="20" t="n"/>
      <c r="AD2137" s="31">
        <f>IFERROR($X2137*(1-IF($AC2137="",$AL2137,VLOOKUP($AC2137,MgMad,2,0))),"")</f>
        <v/>
      </c>
      <c r="AE2137" s="28">
        <f>IFERROR(LOOKUP(AD2137,{0;0.01;0.1;1;10;100},{"Muy baja";"Muy baja";"Baja";"Media";"Alta";"Muy alta"}),"")</f>
        <v/>
      </c>
      <c r="AF2137" s="30">
        <f>T2137*AD2137</f>
        <v/>
      </c>
      <c r="AG2137" s="28">
        <f>IFERROR(LOOKUP(AF2137,{0;0.5;5;25},{"Bajo";"Medio";"Alto";"Crítico"}),"")</f>
        <v/>
      </c>
      <c r="AH2137" s="28">
        <f>IF(AG2137="","",IF(OR(AG2137="Crítico",AG2137="Alto"),"Mitigar",IF(AG2137="Medio","Mitigar","Aceptar y monitorear")))</f>
        <v/>
      </c>
      <c r="AI2137" s="21" t="n"/>
      <c r="AJ2137" s="21" t="n"/>
      <c r="AK2137" s="20" t="n"/>
      <c r="AL2137" s="77">
        <f>IFERROR(INDEX(MgAmenEfic,MATCH(SUBSTITUTE($H2137,"*","-"),MgAmenClave,0)),0)</f>
        <v/>
      </c>
    </row>
    <row r="2138" hidden="1" ht="60" customHeight="1" s="54">
      <c r="B2138" s="59" t="inlineStr">
        <is>
          <t>R-2133</t>
        </is>
      </c>
      <c r="C2138" s="59" t="inlineStr">
        <is>
          <t>FIN-23</t>
        </is>
      </c>
      <c r="D2138" s="64">
        <f>IFERROR(INDEX(MgNombre,MATCH($C2138,MgActId,0)),"")</f>
        <v/>
      </c>
      <c r="E2138" s="64">
        <f>IFERROR(INDEX(MgProceso,MATCH($C2138,MgActId,0)),"")</f>
        <v/>
      </c>
      <c r="F2138" s="64">
        <f>IFERROR(INDEX(MgTipo,MATCH($C2138,MgActId,0)),"")</f>
        <v/>
      </c>
      <c r="G2138" s="64">
        <f>IFERROR(INDEX(MgSubtipo,MATCH($C2138,MgActId,0)),"")</f>
        <v/>
      </c>
      <c r="H2138" s="59" t="inlineStr">
        <is>
          <t>A.15</t>
        </is>
      </c>
      <c r="I2138" s="64">
        <f>IFERROR(INDEX(MgAmenNombre,MATCH(SUBSTITUTE($H2138,"*","-"),MgAmenClave,0)),"")</f>
        <v/>
      </c>
      <c r="J2138" s="28">
        <f>IFERROR(INDEX(MgAmenGrupo,MATCH(SUBSTITUTE($H2138,"*","-"),MgAmenClave,0)),"")</f>
        <v/>
      </c>
      <c r="K2138" s="64">
        <f>IFERROR(INDEX('1. Matriz de Activos'!$Q$6:$Q$239,MATCH($C2138,MgActId,0)),"")</f>
        <v/>
      </c>
      <c r="L2138" s="64">
        <f>IFERROR(INDEX('1. Matriz de Activos'!$R$6:$R$239,MATCH($C2138,MgActId,0)),"")</f>
        <v/>
      </c>
      <c r="M2138" s="64">
        <f>IFERROR(INDEX('1. Matriz de Activos'!$S$6:$S$239,MATCH($C2138,MgActId,0)),"")</f>
        <v/>
      </c>
      <c r="N2138" s="28">
        <f>IFERROR(INDEX(MgAmenDegD,MATCH(SUBSTITUTE($H2138,"*","-"),MgAmenClave,0)),"No aplica")</f>
        <v/>
      </c>
      <c r="O2138" s="28">
        <f>IFERROR(INDEX(MgAmenDegI,MATCH(SUBSTITUTE($H2138,"*","-"),MgAmenClave,0)),"No aplica")</f>
        <v/>
      </c>
      <c r="P2138" s="28">
        <f>IFERROR(INDEX(MgAmenDegC,MATCH(SUBSTITUTE($H2138,"*","-"),MgAmenClave,0)),"No aplica")</f>
        <v/>
      </c>
      <c r="Q2138" s="29">
        <f>IFERROR(VLOOKUP(K2138,MgValor,2,0)*VLOOKUP(N2138,MgDeg,2,0),0)</f>
        <v/>
      </c>
      <c r="R2138" s="29">
        <f>IFERROR(VLOOKUP(L2138,MgValor,2,0)*VLOOKUP(O2138,MgDeg,2,0),0)</f>
        <v/>
      </c>
      <c r="S2138" s="29">
        <f>IFERROR(VLOOKUP(M2138,MgValor,2,0)*VLOOKUP(P2138,MgDeg,2,0),0)</f>
        <v/>
      </c>
      <c r="T2138" s="30">
        <f>MAX(Q2138:S2138)</f>
        <v/>
      </c>
      <c r="U2138" s="28">
        <f>IFERROR(LOOKUP(T2138,{0;0.5;1.5;3;4.5},{"Despreciable";"Bajo";"Medio";"Alto";"Muy alto"}),"")</f>
        <v/>
      </c>
      <c r="V2138" s="13">
        <f>IFERROR(INDEX(MgAmenFrec,MATCH(SUBSTITUTE($H2138,"*","-"),MgAmenClave,0)),"")</f>
        <v/>
      </c>
      <c r="W2138" s="28">
        <f>IFERROR(LOOKUP(X2138,{0;0.01;0.1;1;10;100},{"Muy baja";"Muy baja";"Baja";"Media";"Alta";"Muy alta"}),"")</f>
        <v/>
      </c>
      <c r="X2138" s="31">
        <f>IFERROR(VLOOKUP(V2138,MgFrec,2,0),0)</f>
        <v/>
      </c>
      <c r="Y2138" s="30">
        <f>T2138*X2138</f>
        <v/>
      </c>
      <c r="Z2138" s="28">
        <f>IFERROR(LOOKUP(Y2138,{0;0.5;5;25},{"Bajo";"Medio";"Alto";"Crítico"}),"")</f>
        <v/>
      </c>
      <c r="AA2138" s="64">
        <f>IF(T2138&gt;=3,IF(X2138&gt;=1,"Zona 1 — Crítica: impacto alto y ocurre al menos una vez al año","Zona 4 — Catastrófica poco probable: impacto alto pero excepcional"),IF(AND(T2138&lt;1.5,X2138&lt;1),"Zona 3 — Asumible: impacto bajo y muy poco frecuente","Zona 2 — Atención: riesgo intermedio"))</f>
        <v/>
      </c>
      <c r="AB2138" s="64">
        <f>IFERROR(INDEX(MgAmenCtrl,MATCH(SUBSTITUTE($H2138,"*","-"),MgAmenClave,0)),"")</f>
        <v/>
      </c>
      <c r="AC2138" s="20" t="n"/>
      <c r="AD2138" s="31">
        <f>IFERROR($X2138*(1-IF($AC2138="",$AL2138,VLOOKUP($AC2138,MgMad,2,0))),"")</f>
        <v/>
      </c>
      <c r="AE2138" s="28">
        <f>IFERROR(LOOKUP(AD2138,{0;0.01;0.1;1;10;100},{"Muy baja";"Muy baja";"Baja";"Media";"Alta";"Muy alta"}),"")</f>
        <v/>
      </c>
      <c r="AF2138" s="30">
        <f>T2138*AD2138</f>
        <v/>
      </c>
      <c r="AG2138" s="28">
        <f>IFERROR(LOOKUP(AF2138,{0;0.5;5;25},{"Bajo";"Medio";"Alto";"Crítico"}),"")</f>
        <v/>
      </c>
      <c r="AH2138" s="28">
        <f>IF(AG2138="","",IF(OR(AG2138="Crítico",AG2138="Alto"),"Mitigar",IF(AG2138="Medio","Mitigar","Aceptar y monitorear")))</f>
        <v/>
      </c>
      <c r="AI2138" s="21" t="n"/>
      <c r="AJ2138" s="21" t="n"/>
      <c r="AK2138" s="20" t="n"/>
      <c r="AL2138" s="77">
        <f>IFERROR(INDEX(MgAmenEfic,MATCH(SUBSTITUTE($H2138,"*","-"),MgAmenClave,0)),0)</f>
        <v/>
      </c>
    </row>
    <row r="2139" hidden="1" ht="60" customHeight="1" s="54">
      <c r="B2139" s="59" t="inlineStr">
        <is>
          <t>R-2134</t>
        </is>
      </c>
      <c r="C2139" s="59" t="inlineStr">
        <is>
          <t>FIN-23</t>
        </is>
      </c>
      <c r="D2139" s="64">
        <f>IFERROR(INDEX(MgNombre,MATCH($C2139,MgActId,0)),"")</f>
        <v/>
      </c>
      <c r="E2139" s="64">
        <f>IFERROR(INDEX(MgProceso,MATCH($C2139,MgActId,0)),"")</f>
        <v/>
      </c>
      <c r="F2139" s="64">
        <f>IFERROR(INDEX(MgTipo,MATCH($C2139,MgActId,0)),"")</f>
        <v/>
      </c>
      <c r="G2139" s="64">
        <f>IFERROR(INDEX(MgSubtipo,MATCH($C2139,MgActId,0)),"")</f>
        <v/>
      </c>
      <c r="H2139" s="59" t="inlineStr">
        <is>
          <t>A.18</t>
        </is>
      </c>
      <c r="I2139" s="64">
        <f>IFERROR(INDEX(MgAmenNombre,MATCH(SUBSTITUTE($H2139,"*","-"),MgAmenClave,0)),"")</f>
        <v/>
      </c>
      <c r="J2139" s="28">
        <f>IFERROR(INDEX(MgAmenGrupo,MATCH(SUBSTITUTE($H2139,"*","-"),MgAmenClave,0)),"")</f>
        <v/>
      </c>
      <c r="K2139" s="64">
        <f>IFERROR(INDEX('1. Matriz de Activos'!$Q$6:$Q$239,MATCH($C2139,MgActId,0)),"")</f>
        <v/>
      </c>
      <c r="L2139" s="64">
        <f>IFERROR(INDEX('1. Matriz de Activos'!$R$6:$R$239,MATCH($C2139,MgActId,0)),"")</f>
        <v/>
      </c>
      <c r="M2139" s="64">
        <f>IFERROR(INDEX('1. Matriz de Activos'!$S$6:$S$239,MATCH($C2139,MgActId,0)),"")</f>
        <v/>
      </c>
      <c r="N2139" s="28">
        <f>IFERROR(INDEX(MgAmenDegD,MATCH(SUBSTITUTE($H2139,"*","-"),MgAmenClave,0)),"No aplica")</f>
        <v/>
      </c>
      <c r="O2139" s="28">
        <f>IFERROR(INDEX(MgAmenDegI,MATCH(SUBSTITUTE($H2139,"*","-"),MgAmenClave,0)),"No aplica")</f>
        <v/>
      </c>
      <c r="P2139" s="28">
        <f>IFERROR(INDEX(MgAmenDegC,MATCH(SUBSTITUTE($H2139,"*","-"),MgAmenClave,0)),"No aplica")</f>
        <v/>
      </c>
      <c r="Q2139" s="29">
        <f>IFERROR(VLOOKUP(K2139,MgValor,2,0)*VLOOKUP(N2139,MgDeg,2,0),0)</f>
        <v/>
      </c>
      <c r="R2139" s="29">
        <f>IFERROR(VLOOKUP(L2139,MgValor,2,0)*VLOOKUP(O2139,MgDeg,2,0),0)</f>
        <v/>
      </c>
      <c r="S2139" s="29">
        <f>IFERROR(VLOOKUP(M2139,MgValor,2,0)*VLOOKUP(P2139,MgDeg,2,0),0)</f>
        <v/>
      </c>
      <c r="T2139" s="30">
        <f>MAX(Q2139:S2139)</f>
        <v/>
      </c>
      <c r="U2139" s="28">
        <f>IFERROR(LOOKUP(T2139,{0;0.5;1.5;3;4.5},{"Despreciable";"Bajo";"Medio";"Alto";"Muy alto"}),"")</f>
        <v/>
      </c>
      <c r="V2139" s="13">
        <f>IFERROR(INDEX(MgAmenFrec,MATCH(SUBSTITUTE($H2139,"*","-"),MgAmenClave,0)),"")</f>
        <v/>
      </c>
      <c r="W2139" s="28">
        <f>IFERROR(LOOKUP(X2139,{0;0.01;0.1;1;10;100},{"Muy baja";"Muy baja";"Baja";"Media";"Alta";"Muy alta"}),"")</f>
        <v/>
      </c>
      <c r="X2139" s="31">
        <f>IFERROR(VLOOKUP(V2139,MgFrec,2,0),0)</f>
        <v/>
      </c>
      <c r="Y2139" s="30">
        <f>T2139*X2139</f>
        <v/>
      </c>
      <c r="Z2139" s="28">
        <f>IFERROR(LOOKUP(Y2139,{0;0.5;5;25},{"Bajo";"Medio";"Alto";"Crítico"}),"")</f>
        <v/>
      </c>
      <c r="AA2139" s="64">
        <f>IF(T2139&gt;=3,IF(X2139&gt;=1,"Zona 1 — Crítica: impacto alto y ocurre al menos una vez al año","Zona 4 — Catastrófica poco probable: impacto alto pero excepcional"),IF(AND(T2139&lt;1.5,X2139&lt;1),"Zona 3 — Asumible: impacto bajo y muy poco frecuente","Zona 2 — Atención: riesgo intermedio"))</f>
        <v/>
      </c>
      <c r="AB2139" s="64">
        <f>IFERROR(INDEX(MgAmenCtrl,MATCH(SUBSTITUTE($H2139,"*","-"),MgAmenClave,0)),"")</f>
        <v/>
      </c>
      <c r="AC2139" s="20" t="n"/>
      <c r="AD2139" s="31">
        <f>IFERROR($X2139*(1-IF($AC2139="",$AL2139,VLOOKUP($AC2139,MgMad,2,0))),"")</f>
        <v/>
      </c>
      <c r="AE2139" s="28">
        <f>IFERROR(LOOKUP(AD2139,{0;0.01;0.1;1;10;100},{"Muy baja";"Muy baja";"Baja";"Media";"Alta";"Muy alta"}),"")</f>
        <v/>
      </c>
      <c r="AF2139" s="30">
        <f>T2139*AD2139</f>
        <v/>
      </c>
      <c r="AG2139" s="28">
        <f>IFERROR(LOOKUP(AF2139,{0;0.5;5;25},{"Bajo";"Medio";"Alto";"Crítico"}),"")</f>
        <v/>
      </c>
      <c r="AH2139" s="28">
        <f>IF(AG2139="","",IF(OR(AG2139="Crítico",AG2139="Alto"),"Mitigar",IF(AG2139="Medio","Mitigar","Aceptar y monitorear")))</f>
        <v/>
      </c>
      <c r="AI2139" s="21" t="n"/>
      <c r="AJ2139" s="21" t="n"/>
      <c r="AK2139" s="20" t="n"/>
      <c r="AL2139" s="77">
        <f>IFERROR(INDEX(MgAmenEfic,MATCH(SUBSTITUTE($H2139,"*","-"),MgAmenClave,0)),0)</f>
        <v/>
      </c>
    </row>
    <row r="2140" hidden="1" ht="120" customHeight="1" s="54">
      <c r="B2140" s="59" t="inlineStr">
        <is>
          <t>R-2135</t>
        </is>
      </c>
      <c r="C2140" s="59" t="inlineStr">
        <is>
          <t>FIN-23</t>
        </is>
      </c>
      <c r="D2140" s="64">
        <f>IFERROR(INDEX(MgNombre,MATCH($C2140,MgActId,0)),"")</f>
        <v/>
      </c>
      <c r="E2140" s="64">
        <f>IFERROR(INDEX(MgProceso,MATCH($C2140,MgActId,0)),"")</f>
        <v/>
      </c>
      <c r="F2140" s="64">
        <f>IFERROR(INDEX(MgTipo,MATCH($C2140,MgActId,0)),"")</f>
        <v/>
      </c>
      <c r="G2140" s="64">
        <f>IFERROR(INDEX(MgSubtipo,MATCH($C2140,MgActId,0)),"")</f>
        <v/>
      </c>
      <c r="H2140" s="59" t="inlineStr">
        <is>
          <t>A.19</t>
        </is>
      </c>
      <c r="I2140" s="64">
        <f>IFERROR(INDEX(MgAmenNombre,MATCH(SUBSTITUTE($H2140,"*","-"),MgAmenClave,0)),"")</f>
        <v/>
      </c>
      <c r="J2140" s="28">
        <f>IFERROR(INDEX(MgAmenGrupo,MATCH(SUBSTITUTE($H2140,"*","-"),MgAmenClave,0)),"")</f>
        <v/>
      </c>
      <c r="K2140" s="64">
        <f>IFERROR(INDEX('1. Matriz de Activos'!$Q$6:$Q$239,MATCH($C2140,MgActId,0)),"")</f>
        <v/>
      </c>
      <c r="L2140" s="64">
        <f>IFERROR(INDEX('1. Matriz de Activos'!$R$6:$R$239,MATCH($C2140,MgActId,0)),"")</f>
        <v/>
      </c>
      <c r="M2140" s="64">
        <f>IFERROR(INDEX('1. Matriz de Activos'!$S$6:$S$239,MATCH($C2140,MgActId,0)),"")</f>
        <v/>
      </c>
      <c r="N2140" s="28">
        <f>IFERROR(INDEX(MgAmenDegD,MATCH(SUBSTITUTE($H2140,"*","-"),MgAmenClave,0)),"No aplica")</f>
        <v/>
      </c>
      <c r="O2140" s="28">
        <f>IFERROR(INDEX(MgAmenDegI,MATCH(SUBSTITUTE($H2140,"*","-"),MgAmenClave,0)),"No aplica")</f>
        <v/>
      </c>
      <c r="P2140" s="28">
        <f>IFERROR(INDEX(MgAmenDegC,MATCH(SUBSTITUTE($H2140,"*","-"),MgAmenClave,0)),"No aplica")</f>
        <v/>
      </c>
      <c r="Q2140" s="29">
        <f>IFERROR(VLOOKUP(K2140,MgValor,2,0)*VLOOKUP(N2140,MgDeg,2,0),0)</f>
        <v/>
      </c>
      <c r="R2140" s="29">
        <f>IFERROR(VLOOKUP(L2140,MgValor,2,0)*VLOOKUP(O2140,MgDeg,2,0),0)</f>
        <v/>
      </c>
      <c r="S2140" s="29">
        <f>IFERROR(VLOOKUP(M2140,MgValor,2,0)*VLOOKUP(P2140,MgDeg,2,0),0)</f>
        <v/>
      </c>
      <c r="T2140" s="30">
        <f>MAX(Q2140:S2140)</f>
        <v/>
      </c>
      <c r="U2140" s="28">
        <f>IFERROR(LOOKUP(T2140,{0;0.5;1.5;3;4.5},{"Despreciable";"Bajo";"Medio";"Alto";"Muy alto"}),"")</f>
        <v/>
      </c>
      <c r="V2140" s="13">
        <f>IFERROR(INDEX(MgAmenFrec,MATCH(SUBSTITUTE($H2140,"*","-"),MgAmenClave,0)),"")</f>
        <v/>
      </c>
      <c r="W2140" s="28">
        <f>IFERROR(LOOKUP(X2140,{0;0.01;0.1;1;10;100},{"Muy baja";"Muy baja";"Baja";"Media";"Alta";"Muy alta"}),"")</f>
        <v/>
      </c>
      <c r="X2140" s="31">
        <f>IFERROR(VLOOKUP(V2140,MgFrec,2,0),0)</f>
        <v/>
      </c>
      <c r="Y2140" s="30">
        <f>T2140*X2140</f>
        <v/>
      </c>
      <c r="Z2140" s="28">
        <f>IFERROR(LOOKUP(Y2140,{0;0.5;5;25},{"Bajo";"Medio";"Alto";"Crítico"}),"")</f>
        <v/>
      </c>
      <c r="AA2140" s="64">
        <f>IF(T2140&gt;=3,IF(X2140&gt;=1,"Zona 1 — Crítica: impacto alto y ocurre al menos una vez al año","Zona 4 — Catastrófica poco probable: impacto alto pero excepcional"),IF(AND(T2140&lt;1.5,X2140&lt;1),"Zona 3 — Asumible: impacto bajo y muy poco frecuente","Zona 2 — Atención: riesgo intermedio"))</f>
        <v/>
      </c>
      <c r="AB2140" s="64">
        <f>IFERROR(INDEX(MgAmenCtrl,MATCH(SUBSTITUTE($H2140,"*","-"),MgAmenClave,0)),"")</f>
        <v/>
      </c>
      <c r="AC2140" s="20" t="n"/>
      <c r="AD2140" s="31">
        <f>IFERROR($X2140*(1-IF($AC2140="",$AL2140,VLOOKUP($AC2140,MgMad,2,0))),"")</f>
        <v/>
      </c>
      <c r="AE2140" s="28">
        <f>IFERROR(LOOKUP(AD2140,{0;0.01;0.1;1;10;100},{"Muy baja";"Muy baja";"Baja";"Media";"Alta";"Muy alta"}),"")</f>
        <v/>
      </c>
      <c r="AF2140" s="30">
        <f>T2140*AD2140</f>
        <v/>
      </c>
      <c r="AG2140" s="28">
        <f>IFERROR(LOOKUP(AF2140,{0;0.5;5;25},{"Bajo";"Medio";"Alto";"Crítico"}),"")</f>
        <v/>
      </c>
      <c r="AH2140" s="28">
        <f>IF(AG2140="","",IF(OR(AG2140="Crítico",AG2140="Alto"),"Mitigar",IF(AG2140="Medio","Mitigar","Aceptar y monitorear")))</f>
        <v/>
      </c>
      <c r="AI2140" s="21" t="n"/>
      <c r="AJ2140" s="21" t="n"/>
      <c r="AK2140" s="20" t="n"/>
      <c r="AL2140" s="77">
        <f>IFERROR(INDEX(MgAmenEfic,MATCH(SUBSTITUTE($H2140,"*","-"),MgAmenClave,0)),0)</f>
        <v/>
      </c>
    </row>
    <row r="2141" hidden="1" ht="60" customHeight="1" s="54">
      <c r="B2141" s="59" t="inlineStr">
        <is>
          <t>R-2136</t>
        </is>
      </c>
      <c r="C2141" s="59" t="inlineStr">
        <is>
          <t>FIN-23</t>
        </is>
      </c>
      <c r="D2141" s="64">
        <f>IFERROR(INDEX(MgNombre,MATCH($C2141,MgActId,0)),"")</f>
        <v/>
      </c>
      <c r="E2141" s="64">
        <f>IFERROR(INDEX(MgProceso,MATCH($C2141,MgActId,0)),"")</f>
        <v/>
      </c>
      <c r="F2141" s="64">
        <f>IFERROR(INDEX(MgTipo,MATCH($C2141,MgActId,0)),"")</f>
        <v/>
      </c>
      <c r="G2141" s="64">
        <f>IFERROR(INDEX(MgSubtipo,MATCH($C2141,MgActId,0)),"")</f>
        <v/>
      </c>
      <c r="H2141" s="59" t="inlineStr">
        <is>
          <t>A.24</t>
        </is>
      </c>
      <c r="I2141" s="64">
        <f>IFERROR(INDEX(MgAmenNombre,MATCH(SUBSTITUTE($H2141,"*","-"),MgAmenClave,0)),"")</f>
        <v/>
      </c>
      <c r="J2141" s="28">
        <f>IFERROR(INDEX(MgAmenGrupo,MATCH(SUBSTITUTE($H2141,"*","-"),MgAmenClave,0)),"")</f>
        <v/>
      </c>
      <c r="K2141" s="64">
        <f>IFERROR(INDEX('1. Matriz de Activos'!$Q$6:$Q$239,MATCH($C2141,MgActId,0)),"")</f>
        <v/>
      </c>
      <c r="L2141" s="64">
        <f>IFERROR(INDEX('1. Matriz de Activos'!$R$6:$R$239,MATCH($C2141,MgActId,0)),"")</f>
        <v/>
      </c>
      <c r="M2141" s="64">
        <f>IFERROR(INDEX('1. Matriz de Activos'!$S$6:$S$239,MATCH($C2141,MgActId,0)),"")</f>
        <v/>
      </c>
      <c r="N2141" s="28">
        <f>IFERROR(INDEX(MgAmenDegD,MATCH(SUBSTITUTE($H2141,"*","-"),MgAmenClave,0)),"No aplica")</f>
        <v/>
      </c>
      <c r="O2141" s="28">
        <f>IFERROR(INDEX(MgAmenDegI,MATCH(SUBSTITUTE($H2141,"*","-"),MgAmenClave,0)),"No aplica")</f>
        <v/>
      </c>
      <c r="P2141" s="28">
        <f>IFERROR(INDEX(MgAmenDegC,MATCH(SUBSTITUTE($H2141,"*","-"),MgAmenClave,0)),"No aplica")</f>
        <v/>
      </c>
      <c r="Q2141" s="29">
        <f>IFERROR(VLOOKUP(K2141,MgValor,2,0)*VLOOKUP(N2141,MgDeg,2,0),0)</f>
        <v/>
      </c>
      <c r="R2141" s="29">
        <f>IFERROR(VLOOKUP(L2141,MgValor,2,0)*VLOOKUP(O2141,MgDeg,2,0),0)</f>
        <v/>
      </c>
      <c r="S2141" s="29">
        <f>IFERROR(VLOOKUP(M2141,MgValor,2,0)*VLOOKUP(P2141,MgDeg,2,0),0)</f>
        <v/>
      </c>
      <c r="T2141" s="30">
        <f>MAX(Q2141:S2141)</f>
        <v/>
      </c>
      <c r="U2141" s="28">
        <f>IFERROR(LOOKUP(T2141,{0;0.5;1.5;3;4.5},{"Despreciable";"Bajo";"Medio";"Alto";"Muy alto"}),"")</f>
        <v/>
      </c>
      <c r="V2141" s="13">
        <f>IFERROR(INDEX(MgAmenFrec,MATCH(SUBSTITUTE($H2141,"*","-"),MgAmenClave,0)),"")</f>
        <v/>
      </c>
      <c r="W2141" s="28">
        <f>IFERROR(LOOKUP(X2141,{0;0.01;0.1;1;10;100},{"Muy baja";"Muy baja";"Baja";"Media";"Alta";"Muy alta"}),"")</f>
        <v/>
      </c>
      <c r="X2141" s="31">
        <f>IFERROR(VLOOKUP(V2141,MgFrec,2,0),0)</f>
        <v/>
      </c>
      <c r="Y2141" s="30">
        <f>T2141*X2141</f>
        <v/>
      </c>
      <c r="Z2141" s="28">
        <f>IFERROR(LOOKUP(Y2141,{0;0.5;5;25},{"Bajo";"Medio";"Alto";"Crítico"}),"")</f>
        <v/>
      </c>
      <c r="AA2141" s="64">
        <f>IF(T2141&gt;=3,IF(X2141&gt;=1,"Zona 1 — Crítica: impacto alto y ocurre al menos una vez al año","Zona 4 — Catastrófica poco probable: impacto alto pero excepcional"),IF(AND(T2141&lt;1.5,X2141&lt;1),"Zona 3 — Asumible: impacto bajo y muy poco frecuente","Zona 2 — Atención: riesgo intermedio"))</f>
        <v/>
      </c>
      <c r="AB2141" s="64">
        <f>IFERROR(INDEX(MgAmenCtrl,MATCH(SUBSTITUTE($H2141,"*","-"),MgAmenClave,0)),"")</f>
        <v/>
      </c>
      <c r="AC2141" s="20" t="n"/>
      <c r="AD2141" s="31">
        <f>IFERROR($X2141*(1-IF($AC2141="",$AL2141,VLOOKUP($AC2141,MgMad,2,0))),"")</f>
        <v/>
      </c>
      <c r="AE2141" s="28">
        <f>IFERROR(LOOKUP(AD2141,{0;0.01;0.1;1;10;100},{"Muy baja";"Muy baja";"Baja";"Media";"Alta";"Muy alta"}),"")</f>
        <v/>
      </c>
      <c r="AF2141" s="30">
        <f>T2141*AD2141</f>
        <v/>
      </c>
      <c r="AG2141" s="28">
        <f>IFERROR(LOOKUP(AF2141,{0;0.5;5;25},{"Bajo";"Medio";"Alto";"Crítico"}),"")</f>
        <v/>
      </c>
      <c r="AH2141" s="28">
        <f>IF(AG2141="","",IF(OR(AG2141="Crítico",AG2141="Alto"),"Mitigar",IF(AG2141="Medio","Mitigar","Aceptar y monitorear")))</f>
        <v/>
      </c>
      <c r="AI2141" s="21" t="n"/>
      <c r="AJ2141" s="21" t="n"/>
      <c r="AK2141" s="20" t="n"/>
      <c r="AL2141" s="77">
        <f>IFERROR(INDEX(MgAmenEfic,MATCH(SUBSTITUTE($H2141,"*","-"),MgAmenClave,0)),0)</f>
        <v/>
      </c>
    </row>
    <row r="2142" hidden="1" ht="105" customHeight="1" s="54">
      <c r="B2142" s="59" t="inlineStr">
        <is>
          <t>R-2137</t>
        </is>
      </c>
      <c r="C2142" s="59" t="inlineStr">
        <is>
          <t>FIN-22</t>
        </is>
      </c>
      <c r="D2142" s="64">
        <f>IFERROR(INDEX(MgNombre,MATCH($C2142,MgActId,0)),"")</f>
        <v/>
      </c>
      <c r="E2142" s="64">
        <f>IFERROR(INDEX(MgProceso,MATCH($C2142,MgActId,0)),"")</f>
        <v/>
      </c>
      <c r="F2142" s="64">
        <f>IFERROR(INDEX(MgTipo,MATCH($C2142,MgActId,0)),"")</f>
        <v/>
      </c>
      <c r="G2142" s="64">
        <f>IFERROR(INDEX(MgSubtipo,MATCH($C2142,MgActId,0)),"")</f>
        <v/>
      </c>
      <c r="H2142" s="59" t="inlineStr">
        <is>
          <t>E.1</t>
        </is>
      </c>
      <c r="I2142" s="64">
        <f>IFERROR(INDEX(MgAmenNombre,MATCH(SUBSTITUTE($H2142,"*","-"),MgAmenClave,0)),"")</f>
        <v/>
      </c>
      <c r="J2142" s="28">
        <f>IFERROR(INDEX(MgAmenGrupo,MATCH(SUBSTITUTE($H2142,"*","-"),MgAmenClave,0)),"")</f>
        <v/>
      </c>
      <c r="K2142" s="64">
        <f>IFERROR(INDEX('1. Matriz de Activos'!$Q$6:$Q$239,MATCH($C2142,MgActId,0)),"")</f>
        <v/>
      </c>
      <c r="L2142" s="64">
        <f>IFERROR(INDEX('1. Matriz de Activos'!$R$6:$R$239,MATCH($C2142,MgActId,0)),"")</f>
        <v/>
      </c>
      <c r="M2142" s="64">
        <f>IFERROR(INDEX('1. Matriz de Activos'!$S$6:$S$239,MATCH($C2142,MgActId,0)),"")</f>
        <v/>
      </c>
      <c r="N2142" s="28">
        <f>IFERROR(INDEX(MgAmenDegD,MATCH(SUBSTITUTE($H2142,"*","-"),MgAmenClave,0)),"No aplica")</f>
        <v/>
      </c>
      <c r="O2142" s="28">
        <f>IFERROR(INDEX(MgAmenDegI,MATCH(SUBSTITUTE($H2142,"*","-"),MgAmenClave,0)),"No aplica")</f>
        <v/>
      </c>
      <c r="P2142" s="28">
        <f>IFERROR(INDEX(MgAmenDegC,MATCH(SUBSTITUTE($H2142,"*","-"),MgAmenClave,0)),"No aplica")</f>
        <v/>
      </c>
      <c r="Q2142" s="29">
        <f>IFERROR(VLOOKUP(K2142,MgValor,2,0)*VLOOKUP(N2142,MgDeg,2,0),0)</f>
        <v/>
      </c>
      <c r="R2142" s="29">
        <f>IFERROR(VLOOKUP(L2142,MgValor,2,0)*VLOOKUP(O2142,MgDeg,2,0),0)</f>
        <v/>
      </c>
      <c r="S2142" s="29">
        <f>IFERROR(VLOOKUP(M2142,MgValor,2,0)*VLOOKUP(P2142,MgDeg,2,0),0)</f>
        <v/>
      </c>
      <c r="T2142" s="30">
        <f>MAX(Q2142:S2142)</f>
        <v/>
      </c>
      <c r="U2142" s="28">
        <f>IFERROR(LOOKUP(T2142,{0;0.5;1.5;3;4.5},{"Despreciable";"Bajo";"Medio";"Alto";"Muy alto"}),"")</f>
        <v/>
      </c>
      <c r="V2142" s="13">
        <f>IFERROR(INDEX(MgAmenFrec,MATCH(SUBSTITUTE($H2142,"*","-"),MgAmenClave,0)),"")</f>
        <v/>
      </c>
      <c r="W2142" s="28">
        <f>IFERROR(LOOKUP(X2142,{0;0.01;0.1;1;10;100},{"Muy baja";"Muy baja";"Baja";"Media";"Alta";"Muy alta"}),"")</f>
        <v/>
      </c>
      <c r="X2142" s="31">
        <f>IFERROR(VLOOKUP(V2142,MgFrec,2,0),0)</f>
        <v/>
      </c>
      <c r="Y2142" s="30">
        <f>T2142*X2142</f>
        <v/>
      </c>
      <c r="Z2142" s="28">
        <f>IFERROR(LOOKUP(Y2142,{0;0.5;5;25},{"Bajo";"Medio";"Alto";"Crítico"}),"")</f>
        <v/>
      </c>
      <c r="AA2142" s="64">
        <f>IF(T2142&gt;=3,IF(X2142&gt;=1,"Zona 1 — Crítica: impacto alto y ocurre al menos una vez al año","Zona 4 — Catastrófica poco probable: impacto alto pero excepcional"),IF(AND(T2142&lt;1.5,X2142&lt;1),"Zona 3 — Asumible: impacto bajo y muy poco frecuente","Zona 2 — Atención: riesgo intermedio"))</f>
        <v/>
      </c>
      <c r="AB2142" s="64">
        <f>IFERROR(INDEX(MgAmenCtrl,MATCH(SUBSTITUTE($H2142,"*","-"),MgAmenClave,0)),"")</f>
        <v/>
      </c>
      <c r="AC2142" s="20" t="n"/>
      <c r="AD2142" s="31">
        <f>IFERROR($X2142*(1-IF($AC2142="",$AL2142,VLOOKUP($AC2142,MgMad,2,0))),"")</f>
        <v/>
      </c>
      <c r="AE2142" s="28">
        <f>IFERROR(LOOKUP(AD2142,{0;0.01;0.1;1;10;100},{"Muy baja";"Muy baja";"Baja";"Media";"Alta";"Muy alta"}),"")</f>
        <v/>
      </c>
      <c r="AF2142" s="30">
        <f>T2142*AD2142</f>
        <v/>
      </c>
      <c r="AG2142" s="28">
        <f>IFERROR(LOOKUP(AF2142,{0;0.5;5;25},{"Bajo";"Medio";"Alto";"Crítico"}),"")</f>
        <v/>
      </c>
      <c r="AH2142" s="28">
        <f>IF(AG2142="","",IF(OR(AG2142="Crítico",AG2142="Alto"),"Mitigar",IF(AG2142="Medio","Mitigar","Aceptar y monitorear")))</f>
        <v/>
      </c>
      <c r="AI2142" s="21" t="n"/>
      <c r="AJ2142" s="21" t="n"/>
      <c r="AK2142" s="20" t="n"/>
      <c r="AL2142" s="77">
        <f>IFERROR(INDEX(MgAmenEfic,MATCH(SUBSTITUTE($H2142,"*","-"),MgAmenClave,0)),0)</f>
        <v/>
      </c>
    </row>
    <row r="2143" hidden="1" ht="120" customHeight="1" s="54">
      <c r="B2143" s="59" t="inlineStr">
        <is>
          <t>R-2138</t>
        </is>
      </c>
      <c r="C2143" s="59" t="inlineStr">
        <is>
          <t>FIN-22</t>
        </is>
      </c>
      <c r="D2143" s="64">
        <f>IFERROR(INDEX(MgNombre,MATCH($C2143,MgActId,0)),"")</f>
        <v/>
      </c>
      <c r="E2143" s="64">
        <f>IFERROR(INDEX(MgProceso,MATCH($C2143,MgActId,0)),"")</f>
        <v/>
      </c>
      <c r="F2143" s="64">
        <f>IFERROR(INDEX(MgTipo,MATCH($C2143,MgActId,0)),"")</f>
        <v/>
      </c>
      <c r="G2143" s="64">
        <f>IFERROR(INDEX(MgSubtipo,MATCH($C2143,MgActId,0)),"")</f>
        <v/>
      </c>
      <c r="H2143" s="59" t="inlineStr">
        <is>
          <t>E.2</t>
        </is>
      </c>
      <c r="I2143" s="64">
        <f>IFERROR(INDEX(MgAmenNombre,MATCH(SUBSTITUTE($H2143,"*","-"),MgAmenClave,0)),"")</f>
        <v/>
      </c>
      <c r="J2143" s="28">
        <f>IFERROR(INDEX(MgAmenGrupo,MATCH(SUBSTITUTE($H2143,"*","-"),MgAmenClave,0)),"")</f>
        <v/>
      </c>
      <c r="K2143" s="64">
        <f>IFERROR(INDEX('1. Matriz de Activos'!$Q$6:$Q$239,MATCH($C2143,MgActId,0)),"")</f>
        <v/>
      </c>
      <c r="L2143" s="64">
        <f>IFERROR(INDEX('1. Matriz de Activos'!$R$6:$R$239,MATCH($C2143,MgActId,0)),"")</f>
        <v/>
      </c>
      <c r="M2143" s="64">
        <f>IFERROR(INDEX('1. Matriz de Activos'!$S$6:$S$239,MATCH($C2143,MgActId,0)),"")</f>
        <v/>
      </c>
      <c r="N2143" s="28">
        <f>IFERROR(INDEX(MgAmenDegD,MATCH(SUBSTITUTE($H2143,"*","-"),MgAmenClave,0)),"No aplica")</f>
        <v/>
      </c>
      <c r="O2143" s="28">
        <f>IFERROR(INDEX(MgAmenDegI,MATCH(SUBSTITUTE($H2143,"*","-"),MgAmenClave,0)),"No aplica")</f>
        <v/>
      </c>
      <c r="P2143" s="28">
        <f>IFERROR(INDEX(MgAmenDegC,MATCH(SUBSTITUTE($H2143,"*","-"),MgAmenClave,0)),"No aplica")</f>
        <v/>
      </c>
      <c r="Q2143" s="29">
        <f>IFERROR(VLOOKUP(K2143,MgValor,2,0)*VLOOKUP(N2143,MgDeg,2,0),0)</f>
        <v/>
      </c>
      <c r="R2143" s="29">
        <f>IFERROR(VLOOKUP(L2143,MgValor,2,0)*VLOOKUP(O2143,MgDeg,2,0),0)</f>
        <v/>
      </c>
      <c r="S2143" s="29">
        <f>IFERROR(VLOOKUP(M2143,MgValor,2,0)*VLOOKUP(P2143,MgDeg,2,0),0)</f>
        <v/>
      </c>
      <c r="T2143" s="30">
        <f>MAX(Q2143:S2143)</f>
        <v/>
      </c>
      <c r="U2143" s="28">
        <f>IFERROR(LOOKUP(T2143,{0;0.5;1.5;3;4.5},{"Despreciable";"Bajo";"Medio";"Alto";"Muy alto"}),"")</f>
        <v/>
      </c>
      <c r="V2143" s="13">
        <f>IFERROR(INDEX(MgAmenFrec,MATCH(SUBSTITUTE($H2143,"*","-"),MgAmenClave,0)),"")</f>
        <v/>
      </c>
      <c r="W2143" s="28">
        <f>IFERROR(LOOKUP(X2143,{0;0.01;0.1;1;10;100},{"Muy baja";"Muy baja";"Baja";"Media";"Alta";"Muy alta"}),"")</f>
        <v/>
      </c>
      <c r="X2143" s="31">
        <f>IFERROR(VLOOKUP(V2143,MgFrec,2,0),0)</f>
        <v/>
      </c>
      <c r="Y2143" s="30">
        <f>T2143*X2143</f>
        <v/>
      </c>
      <c r="Z2143" s="28">
        <f>IFERROR(LOOKUP(Y2143,{0;0.5;5;25},{"Bajo";"Medio";"Alto";"Crítico"}),"")</f>
        <v/>
      </c>
      <c r="AA2143" s="64">
        <f>IF(T2143&gt;=3,IF(X2143&gt;=1,"Zona 1 — Crítica: impacto alto y ocurre al menos una vez al año","Zona 4 — Catastrófica poco probable: impacto alto pero excepcional"),IF(AND(T2143&lt;1.5,X2143&lt;1),"Zona 3 — Asumible: impacto bajo y muy poco frecuente","Zona 2 — Atención: riesgo intermedio"))</f>
        <v/>
      </c>
      <c r="AB2143" s="64">
        <f>IFERROR(INDEX(MgAmenCtrl,MATCH(SUBSTITUTE($H2143,"*","-"),MgAmenClave,0)),"")</f>
        <v/>
      </c>
      <c r="AC2143" s="20" t="n"/>
      <c r="AD2143" s="31">
        <f>IFERROR($X2143*(1-IF($AC2143="",$AL2143,VLOOKUP($AC2143,MgMad,2,0))),"")</f>
        <v/>
      </c>
      <c r="AE2143" s="28">
        <f>IFERROR(LOOKUP(AD2143,{0;0.01;0.1;1;10;100},{"Muy baja";"Muy baja";"Baja";"Media";"Alta";"Muy alta"}),"")</f>
        <v/>
      </c>
      <c r="AF2143" s="30">
        <f>T2143*AD2143</f>
        <v/>
      </c>
      <c r="AG2143" s="28">
        <f>IFERROR(LOOKUP(AF2143,{0;0.5;5;25},{"Bajo";"Medio";"Alto";"Crítico"}),"")</f>
        <v/>
      </c>
      <c r="AH2143" s="28">
        <f>IF(AG2143="","",IF(OR(AG2143="Crítico",AG2143="Alto"),"Mitigar",IF(AG2143="Medio","Mitigar","Aceptar y monitorear")))</f>
        <v/>
      </c>
      <c r="AI2143" s="21" t="n"/>
      <c r="AJ2143" s="21" t="n"/>
      <c r="AK2143" s="20" t="n"/>
      <c r="AL2143" s="77">
        <f>IFERROR(INDEX(MgAmenEfic,MATCH(SUBSTITUTE($H2143,"*","-"),MgAmenClave,0)),0)</f>
        <v/>
      </c>
    </row>
    <row r="2144" hidden="1" ht="60" customHeight="1" s="54">
      <c r="B2144" s="59" t="inlineStr">
        <is>
          <t>R-2139</t>
        </is>
      </c>
      <c r="C2144" s="59" t="inlineStr">
        <is>
          <t>FIN-22</t>
        </is>
      </c>
      <c r="D2144" s="64">
        <f>IFERROR(INDEX(MgNombre,MATCH($C2144,MgActId,0)),"")</f>
        <v/>
      </c>
      <c r="E2144" s="64">
        <f>IFERROR(INDEX(MgProceso,MATCH($C2144,MgActId,0)),"")</f>
        <v/>
      </c>
      <c r="F2144" s="64">
        <f>IFERROR(INDEX(MgTipo,MATCH($C2144,MgActId,0)),"")</f>
        <v/>
      </c>
      <c r="G2144" s="64">
        <f>IFERROR(INDEX(MgSubtipo,MATCH($C2144,MgActId,0)),"")</f>
        <v/>
      </c>
      <c r="H2144" s="59" t="inlineStr">
        <is>
          <t>E.9</t>
        </is>
      </c>
      <c r="I2144" s="64">
        <f>IFERROR(INDEX(MgAmenNombre,MATCH(SUBSTITUTE($H2144,"*","-"),MgAmenClave,0)),"")</f>
        <v/>
      </c>
      <c r="J2144" s="28">
        <f>IFERROR(INDEX(MgAmenGrupo,MATCH(SUBSTITUTE($H2144,"*","-"),MgAmenClave,0)),"")</f>
        <v/>
      </c>
      <c r="K2144" s="64">
        <f>IFERROR(INDEX('1. Matriz de Activos'!$Q$6:$Q$239,MATCH($C2144,MgActId,0)),"")</f>
        <v/>
      </c>
      <c r="L2144" s="64">
        <f>IFERROR(INDEX('1. Matriz de Activos'!$R$6:$R$239,MATCH($C2144,MgActId,0)),"")</f>
        <v/>
      </c>
      <c r="M2144" s="64">
        <f>IFERROR(INDEX('1. Matriz de Activos'!$S$6:$S$239,MATCH($C2144,MgActId,0)),"")</f>
        <v/>
      </c>
      <c r="N2144" s="28">
        <f>IFERROR(INDEX(MgAmenDegD,MATCH(SUBSTITUTE($H2144,"*","-"),MgAmenClave,0)),"No aplica")</f>
        <v/>
      </c>
      <c r="O2144" s="28">
        <f>IFERROR(INDEX(MgAmenDegI,MATCH(SUBSTITUTE($H2144,"*","-"),MgAmenClave,0)),"No aplica")</f>
        <v/>
      </c>
      <c r="P2144" s="28">
        <f>IFERROR(INDEX(MgAmenDegC,MATCH(SUBSTITUTE($H2144,"*","-"),MgAmenClave,0)),"No aplica")</f>
        <v/>
      </c>
      <c r="Q2144" s="29">
        <f>IFERROR(VLOOKUP(K2144,MgValor,2,0)*VLOOKUP(N2144,MgDeg,2,0),0)</f>
        <v/>
      </c>
      <c r="R2144" s="29">
        <f>IFERROR(VLOOKUP(L2144,MgValor,2,0)*VLOOKUP(O2144,MgDeg,2,0),0)</f>
        <v/>
      </c>
      <c r="S2144" s="29">
        <f>IFERROR(VLOOKUP(M2144,MgValor,2,0)*VLOOKUP(P2144,MgDeg,2,0),0)</f>
        <v/>
      </c>
      <c r="T2144" s="30">
        <f>MAX(Q2144:S2144)</f>
        <v/>
      </c>
      <c r="U2144" s="28">
        <f>IFERROR(LOOKUP(T2144,{0;0.5;1.5;3;4.5},{"Despreciable";"Bajo";"Medio";"Alto";"Muy alto"}),"")</f>
        <v/>
      </c>
      <c r="V2144" s="13">
        <f>IFERROR(INDEX(MgAmenFrec,MATCH(SUBSTITUTE($H2144,"*","-"),MgAmenClave,0)),"")</f>
        <v/>
      </c>
      <c r="W2144" s="28">
        <f>IFERROR(LOOKUP(X2144,{0;0.01;0.1;1;10;100},{"Muy baja";"Muy baja";"Baja";"Media";"Alta";"Muy alta"}),"")</f>
        <v/>
      </c>
      <c r="X2144" s="31">
        <f>IFERROR(VLOOKUP(V2144,MgFrec,2,0),0)</f>
        <v/>
      </c>
      <c r="Y2144" s="30">
        <f>T2144*X2144</f>
        <v/>
      </c>
      <c r="Z2144" s="28">
        <f>IFERROR(LOOKUP(Y2144,{0;0.5;5;25},{"Bajo";"Medio";"Alto";"Crítico"}),"")</f>
        <v/>
      </c>
      <c r="AA2144" s="64">
        <f>IF(T2144&gt;=3,IF(X2144&gt;=1,"Zona 1 — Crítica: impacto alto y ocurre al menos una vez al año","Zona 4 — Catastrófica poco probable: impacto alto pero excepcional"),IF(AND(T2144&lt;1.5,X2144&lt;1),"Zona 3 — Asumible: impacto bajo y muy poco frecuente","Zona 2 — Atención: riesgo intermedio"))</f>
        <v/>
      </c>
      <c r="AB2144" s="64">
        <f>IFERROR(INDEX(MgAmenCtrl,MATCH(SUBSTITUTE($H2144,"*","-"),MgAmenClave,0)),"")</f>
        <v/>
      </c>
      <c r="AC2144" s="20" t="n"/>
      <c r="AD2144" s="31">
        <f>IFERROR($X2144*(1-IF($AC2144="",$AL2144,VLOOKUP($AC2144,MgMad,2,0))),"")</f>
        <v/>
      </c>
      <c r="AE2144" s="28">
        <f>IFERROR(LOOKUP(AD2144,{0;0.01;0.1;1;10;100},{"Muy baja";"Muy baja";"Baja";"Media";"Alta";"Muy alta"}),"")</f>
        <v/>
      </c>
      <c r="AF2144" s="30">
        <f>T2144*AD2144</f>
        <v/>
      </c>
      <c r="AG2144" s="28">
        <f>IFERROR(LOOKUP(AF2144,{0;0.5;5;25},{"Bajo";"Medio";"Alto";"Crítico"}),"")</f>
        <v/>
      </c>
      <c r="AH2144" s="28">
        <f>IF(AG2144="","",IF(OR(AG2144="Crítico",AG2144="Alto"),"Mitigar",IF(AG2144="Medio","Mitigar","Aceptar y monitorear")))</f>
        <v/>
      </c>
      <c r="AI2144" s="21" t="n"/>
      <c r="AJ2144" s="21" t="n"/>
      <c r="AK2144" s="20" t="n"/>
      <c r="AL2144" s="77">
        <f>IFERROR(INDEX(MgAmenEfic,MATCH(SUBSTITUTE($H2144,"*","-"),MgAmenClave,0)),0)</f>
        <v/>
      </c>
    </row>
    <row r="2145" hidden="1" ht="90" customHeight="1" s="54">
      <c r="B2145" s="59" t="inlineStr">
        <is>
          <t>R-2140</t>
        </is>
      </c>
      <c r="C2145" s="59" t="inlineStr">
        <is>
          <t>FIN-22</t>
        </is>
      </c>
      <c r="D2145" s="64">
        <f>IFERROR(INDEX(MgNombre,MATCH($C2145,MgActId,0)),"")</f>
        <v/>
      </c>
      <c r="E2145" s="64">
        <f>IFERROR(INDEX(MgProceso,MATCH($C2145,MgActId,0)),"")</f>
        <v/>
      </c>
      <c r="F2145" s="64">
        <f>IFERROR(INDEX(MgTipo,MATCH($C2145,MgActId,0)),"")</f>
        <v/>
      </c>
      <c r="G2145" s="64">
        <f>IFERROR(INDEX(MgSubtipo,MATCH($C2145,MgActId,0)),"")</f>
        <v/>
      </c>
      <c r="H2145" s="59" t="inlineStr">
        <is>
          <t>E.10</t>
        </is>
      </c>
      <c r="I2145" s="64">
        <f>IFERROR(INDEX(MgAmenNombre,MATCH(SUBSTITUTE($H2145,"*","-"),MgAmenClave,0)),"")</f>
        <v/>
      </c>
      <c r="J2145" s="28">
        <f>IFERROR(INDEX(MgAmenGrupo,MATCH(SUBSTITUTE($H2145,"*","-"),MgAmenClave,0)),"")</f>
        <v/>
      </c>
      <c r="K2145" s="64">
        <f>IFERROR(INDEX('1. Matriz de Activos'!$Q$6:$Q$239,MATCH($C2145,MgActId,0)),"")</f>
        <v/>
      </c>
      <c r="L2145" s="64">
        <f>IFERROR(INDEX('1. Matriz de Activos'!$R$6:$R$239,MATCH($C2145,MgActId,0)),"")</f>
        <v/>
      </c>
      <c r="M2145" s="64">
        <f>IFERROR(INDEX('1. Matriz de Activos'!$S$6:$S$239,MATCH($C2145,MgActId,0)),"")</f>
        <v/>
      </c>
      <c r="N2145" s="28">
        <f>IFERROR(INDEX(MgAmenDegD,MATCH(SUBSTITUTE($H2145,"*","-"),MgAmenClave,0)),"No aplica")</f>
        <v/>
      </c>
      <c r="O2145" s="28">
        <f>IFERROR(INDEX(MgAmenDegI,MATCH(SUBSTITUTE($H2145,"*","-"),MgAmenClave,0)),"No aplica")</f>
        <v/>
      </c>
      <c r="P2145" s="28">
        <f>IFERROR(INDEX(MgAmenDegC,MATCH(SUBSTITUTE($H2145,"*","-"),MgAmenClave,0)),"No aplica")</f>
        <v/>
      </c>
      <c r="Q2145" s="29">
        <f>IFERROR(VLOOKUP(K2145,MgValor,2,0)*VLOOKUP(N2145,MgDeg,2,0),0)</f>
        <v/>
      </c>
      <c r="R2145" s="29">
        <f>IFERROR(VLOOKUP(L2145,MgValor,2,0)*VLOOKUP(O2145,MgDeg,2,0),0)</f>
        <v/>
      </c>
      <c r="S2145" s="29">
        <f>IFERROR(VLOOKUP(M2145,MgValor,2,0)*VLOOKUP(P2145,MgDeg,2,0),0)</f>
        <v/>
      </c>
      <c r="T2145" s="30">
        <f>MAX(Q2145:S2145)</f>
        <v/>
      </c>
      <c r="U2145" s="28">
        <f>IFERROR(LOOKUP(T2145,{0;0.5;1.5;3;4.5},{"Despreciable";"Bajo";"Medio";"Alto";"Muy alto"}),"")</f>
        <v/>
      </c>
      <c r="V2145" s="13">
        <f>IFERROR(INDEX(MgAmenFrec,MATCH(SUBSTITUTE($H2145,"*","-"),MgAmenClave,0)),"")</f>
        <v/>
      </c>
      <c r="W2145" s="28">
        <f>IFERROR(LOOKUP(X2145,{0;0.01;0.1;1;10;100},{"Muy baja";"Muy baja";"Baja";"Media";"Alta";"Muy alta"}),"")</f>
        <v/>
      </c>
      <c r="X2145" s="31">
        <f>IFERROR(VLOOKUP(V2145,MgFrec,2,0),0)</f>
        <v/>
      </c>
      <c r="Y2145" s="30">
        <f>T2145*X2145</f>
        <v/>
      </c>
      <c r="Z2145" s="28">
        <f>IFERROR(LOOKUP(Y2145,{0;0.5;5;25},{"Bajo";"Medio";"Alto";"Crítico"}),"")</f>
        <v/>
      </c>
      <c r="AA2145" s="64">
        <f>IF(T2145&gt;=3,IF(X2145&gt;=1,"Zona 1 — Crítica: impacto alto y ocurre al menos una vez al año","Zona 4 — Catastrófica poco probable: impacto alto pero excepcional"),IF(AND(T2145&lt;1.5,X2145&lt;1),"Zona 3 — Asumible: impacto bajo y muy poco frecuente","Zona 2 — Atención: riesgo intermedio"))</f>
        <v/>
      </c>
      <c r="AB2145" s="64">
        <f>IFERROR(INDEX(MgAmenCtrl,MATCH(SUBSTITUTE($H2145,"*","-"),MgAmenClave,0)),"")</f>
        <v/>
      </c>
      <c r="AC2145" s="20" t="n"/>
      <c r="AD2145" s="31">
        <f>IFERROR($X2145*(1-IF($AC2145="",$AL2145,VLOOKUP($AC2145,MgMad,2,0))),"")</f>
        <v/>
      </c>
      <c r="AE2145" s="28">
        <f>IFERROR(LOOKUP(AD2145,{0;0.01;0.1;1;10;100},{"Muy baja";"Muy baja";"Baja";"Media";"Alta";"Muy alta"}),"")</f>
        <v/>
      </c>
      <c r="AF2145" s="30">
        <f>T2145*AD2145</f>
        <v/>
      </c>
      <c r="AG2145" s="28">
        <f>IFERROR(LOOKUP(AF2145,{0;0.5;5;25},{"Bajo";"Medio";"Alto";"Crítico"}),"")</f>
        <v/>
      </c>
      <c r="AH2145" s="28">
        <f>IF(AG2145="","",IF(OR(AG2145="Crítico",AG2145="Alto"),"Mitigar",IF(AG2145="Medio","Mitigar","Aceptar y monitorear")))</f>
        <v/>
      </c>
      <c r="AI2145" s="21" t="n"/>
      <c r="AJ2145" s="21" t="n"/>
      <c r="AK2145" s="20" t="n"/>
      <c r="AL2145" s="77">
        <f>IFERROR(INDEX(MgAmenEfic,MATCH(SUBSTITUTE($H2145,"*","-"),MgAmenClave,0)),0)</f>
        <v/>
      </c>
    </row>
    <row r="2146" hidden="1" ht="90" customHeight="1" s="54">
      <c r="B2146" s="59" t="inlineStr">
        <is>
          <t>R-2141</t>
        </is>
      </c>
      <c r="C2146" s="59" t="inlineStr">
        <is>
          <t>FIN-22</t>
        </is>
      </c>
      <c r="D2146" s="64">
        <f>IFERROR(INDEX(MgNombre,MATCH($C2146,MgActId,0)),"")</f>
        <v/>
      </c>
      <c r="E2146" s="64">
        <f>IFERROR(INDEX(MgProceso,MATCH($C2146,MgActId,0)),"")</f>
        <v/>
      </c>
      <c r="F2146" s="64">
        <f>IFERROR(INDEX(MgTipo,MATCH($C2146,MgActId,0)),"")</f>
        <v/>
      </c>
      <c r="G2146" s="64">
        <f>IFERROR(INDEX(MgSubtipo,MATCH($C2146,MgActId,0)),"")</f>
        <v/>
      </c>
      <c r="H2146" s="59" t="inlineStr">
        <is>
          <t>E.14</t>
        </is>
      </c>
      <c r="I2146" s="64">
        <f>IFERROR(INDEX(MgAmenNombre,MATCH(SUBSTITUTE($H2146,"*","-"),MgAmenClave,0)),"")</f>
        <v/>
      </c>
      <c r="J2146" s="28">
        <f>IFERROR(INDEX(MgAmenGrupo,MATCH(SUBSTITUTE($H2146,"*","-"),MgAmenClave,0)),"")</f>
        <v/>
      </c>
      <c r="K2146" s="64">
        <f>IFERROR(INDEX('1. Matriz de Activos'!$Q$6:$Q$239,MATCH($C2146,MgActId,0)),"")</f>
        <v/>
      </c>
      <c r="L2146" s="64">
        <f>IFERROR(INDEX('1. Matriz de Activos'!$R$6:$R$239,MATCH($C2146,MgActId,0)),"")</f>
        <v/>
      </c>
      <c r="M2146" s="64">
        <f>IFERROR(INDEX('1. Matriz de Activos'!$S$6:$S$239,MATCH($C2146,MgActId,0)),"")</f>
        <v/>
      </c>
      <c r="N2146" s="28">
        <f>IFERROR(INDEX(MgAmenDegD,MATCH(SUBSTITUTE($H2146,"*","-"),MgAmenClave,0)),"No aplica")</f>
        <v/>
      </c>
      <c r="O2146" s="28">
        <f>IFERROR(INDEX(MgAmenDegI,MATCH(SUBSTITUTE($H2146,"*","-"),MgAmenClave,0)),"No aplica")</f>
        <v/>
      </c>
      <c r="P2146" s="28">
        <f>IFERROR(INDEX(MgAmenDegC,MATCH(SUBSTITUTE($H2146,"*","-"),MgAmenClave,0)),"No aplica")</f>
        <v/>
      </c>
      <c r="Q2146" s="29">
        <f>IFERROR(VLOOKUP(K2146,MgValor,2,0)*VLOOKUP(N2146,MgDeg,2,0),0)</f>
        <v/>
      </c>
      <c r="R2146" s="29">
        <f>IFERROR(VLOOKUP(L2146,MgValor,2,0)*VLOOKUP(O2146,MgDeg,2,0),0)</f>
        <v/>
      </c>
      <c r="S2146" s="29">
        <f>IFERROR(VLOOKUP(M2146,MgValor,2,0)*VLOOKUP(P2146,MgDeg,2,0),0)</f>
        <v/>
      </c>
      <c r="T2146" s="30">
        <f>MAX(Q2146:S2146)</f>
        <v/>
      </c>
      <c r="U2146" s="28">
        <f>IFERROR(LOOKUP(T2146,{0;0.5;1.5;3;4.5},{"Despreciable";"Bajo";"Medio";"Alto";"Muy alto"}),"")</f>
        <v/>
      </c>
      <c r="V2146" s="13">
        <f>IFERROR(INDEX(MgAmenFrec,MATCH(SUBSTITUTE($H2146,"*","-"),MgAmenClave,0)),"")</f>
        <v/>
      </c>
      <c r="W2146" s="28">
        <f>IFERROR(LOOKUP(X2146,{0;0.01;0.1;1;10;100},{"Muy baja";"Muy baja";"Baja";"Media";"Alta";"Muy alta"}),"")</f>
        <v/>
      </c>
      <c r="X2146" s="31">
        <f>IFERROR(VLOOKUP(V2146,MgFrec,2,0),0)</f>
        <v/>
      </c>
      <c r="Y2146" s="30">
        <f>T2146*X2146</f>
        <v/>
      </c>
      <c r="Z2146" s="28">
        <f>IFERROR(LOOKUP(Y2146,{0;0.5;5;25},{"Bajo";"Medio";"Alto";"Crítico"}),"")</f>
        <v/>
      </c>
      <c r="AA2146" s="64">
        <f>IF(T2146&gt;=3,IF(X2146&gt;=1,"Zona 1 — Crítica: impacto alto y ocurre al menos una vez al año","Zona 4 — Catastrófica poco probable: impacto alto pero excepcional"),IF(AND(T2146&lt;1.5,X2146&lt;1),"Zona 3 — Asumible: impacto bajo y muy poco frecuente","Zona 2 — Atención: riesgo intermedio"))</f>
        <v/>
      </c>
      <c r="AB2146" s="64">
        <f>IFERROR(INDEX(MgAmenCtrl,MATCH(SUBSTITUTE($H2146,"*","-"),MgAmenClave,0)),"")</f>
        <v/>
      </c>
      <c r="AC2146" s="20" t="n"/>
      <c r="AD2146" s="31">
        <f>IFERROR($X2146*(1-IF($AC2146="",$AL2146,VLOOKUP($AC2146,MgMad,2,0))),"")</f>
        <v/>
      </c>
      <c r="AE2146" s="28">
        <f>IFERROR(LOOKUP(AD2146,{0;0.01;0.1;1;10;100},{"Muy baja";"Muy baja";"Baja";"Media";"Alta";"Muy alta"}),"")</f>
        <v/>
      </c>
      <c r="AF2146" s="30">
        <f>T2146*AD2146</f>
        <v/>
      </c>
      <c r="AG2146" s="28">
        <f>IFERROR(LOOKUP(AF2146,{0;0.5;5;25},{"Bajo";"Medio";"Alto";"Crítico"}),"")</f>
        <v/>
      </c>
      <c r="AH2146" s="28">
        <f>IF(AG2146="","",IF(OR(AG2146="Crítico",AG2146="Alto"),"Mitigar",IF(AG2146="Medio","Mitigar","Aceptar y monitorear")))</f>
        <v/>
      </c>
      <c r="AI2146" s="21" t="n"/>
      <c r="AJ2146" s="21" t="n"/>
      <c r="AK2146" s="20" t="n"/>
      <c r="AL2146" s="77">
        <f>IFERROR(INDEX(MgAmenEfic,MATCH(SUBSTITUTE($H2146,"*","-"),MgAmenClave,0)),0)</f>
        <v/>
      </c>
    </row>
    <row r="2147" hidden="1" ht="90" customHeight="1" s="54">
      <c r="B2147" s="59" t="inlineStr">
        <is>
          <t>R-2142</t>
        </is>
      </c>
      <c r="C2147" s="59" t="inlineStr">
        <is>
          <t>FIN-22</t>
        </is>
      </c>
      <c r="D2147" s="64">
        <f>IFERROR(INDEX(MgNombre,MATCH($C2147,MgActId,0)),"")</f>
        <v/>
      </c>
      <c r="E2147" s="64">
        <f>IFERROR(INDEX(MgProceso,MATCH($C2147,MgActId,0)),"")</f>
        <v/>
      </c>
      <c r="F2147" s="64">
        <f>IFERROR(INDEX(MgTipo,MATCH($C2147,MgActId,0)),"")</f>
        <v/>
      </c>
      <c r="G2147" s="64">
        <f>IFERROR(INDEX(MgSubtipo,MATCH($C2147,MgActId,0)),"")</f>
        <v/>
      </c>
      <c r="H2147" s="59" t="inlineStr">
        <is>
          <t>E.15</t>
        </is>
      </c>
      <c r="I2147" s="64">
        <f>IFERROR(INDEX(MgAmenNombre,MATCH(SUBSTITUTE($H2147,"*","-"),MgAmenClave,0)),"")</f>
        <v/>
      </c>
      <c r="J2147" s="28">
        <f>IFERROR(INDEX(MgAmenGrupo,MATCH(SUBSTITUTE($H2147,"*","-"),MgAmenClave,0)),"")</f>
        <v/>
      </c>
      <c r="K2147" s="64">
        <f>IFERROR(INDEX('1. Matriz de Activos'!$Q$6:$Q$239,MATCH($C2147,MgActId,0)),"")</f>
        <v/>
      </c>
      <c r="L2147" s="64">
        <f>IFERROR(INDEX('1. Matriz de Activos'!$R$6:$R$239,MATCH($C2147,MgActId,0)),"")</f>
        <v/>
      </c>
      <c r="M2147" s="64">
        <f>IFERROR(INDEX('1. Matriz de Activos'!$S$6:$S$239,MATCH($C2147,MgActId,0)),"")</f>
        <v/>
      </c>
      <c r="N2147" s="28">
        <f>IFERROR(INDEX(MgAmenDegD,MATCH(SUBSTITUTE($H2147,"*","-"),MgAmenClave,0)),"No aplica")</f>
        <v/>
      </c>
      <c r="O2147" s="28">
        <f>IFERROR(INDEX(MgAmenDegI,MATCH(SUBSTITUTE($H2147,"*","-"),MgAmenClave,0)),"No aplica")</f>
        <v/>
      </c>
      <c r="P2147" s="28">
        <f>IFERROR(INDEX(MgAmenDegC,MATCH(SUBSTITUTE($H2147,"*","-"),MgAmenClave,0)),"No aplica")</f>
        <v/>
      </c>
      <c r="Q2147" s="29">
        <f>IFERROR(VLOOKUP(K2147,MgValor,2,0)*VLOOKUP(N2147,MgDeg,2,0),0)</f>
        <v/>
      </c>
      <c r="R2147" s="29">
        <f>IFERROR(VLOOKUP(L2147,MgValor,2,0)*VLOOKUP(O2147,MgDeg,2,0),0)</f>
        <v/>
      </c>
      <c r="S2147" s="29">
        <f>IFERROR(VLOOKUP(M2147,MgValor,2,0)*VLOOKUP(P2147,MgDeg,2,0),0)</f>
        <v/>
      </c>
      <c r="T2147" s="30">
        <f>MAX(Q2147:S2147)</f>
        <v/>
      </c>
      <c r="U2147" s="28">
        <f>IFERROR(LOOKUP(T2147,{0;0.5;1.5;3;4.5},{"Despreciable";"Bajo";"Medio";"Alto";"Muy alto"}),"")</f>
        <v/>
      </c>
      <c r="V2147" s="13">
        <f>IFERROR(INDEX(MgAmenFrec,MATCH(SUBSTITUTE($H2147,"*","-"),MgAmenClave,0)),"")</f>
        <v/>
      </c>
      <c r="W2147" s="28">
        <f>IFERROR(LOOKUP(X2147,{0;0.01;0.1;1;10;100},{"Muy baja";"Muy baja";"Baja";"Media";"Alta";"Muy alta"}),"")</f>
        <v/>
      </c>
      <c r="X2147" s="31">
        <f>IFERROR(VLOOKUP(V2147,MgFrec,2,0),0)</f>
        <v/>
      </c>
      <c r="Y2147" s="30">
        <f>T2147*X2147</f>
        <v/>
      </c>
      <c r="Z2147" s="28">
        <f>IFERROR(LOOKUP(Y2147,{0;0.5;5;25},{"Bajo";"Medio";"Alto";"Crítico"}),"")</f>
        <v/>
      </c>
      <c r="AA2147" s="64">
        <f>IF(T2147&gt;=3,IF(X2147&gt;=1,"Zona 1 — Crítica: impacto alto y ocurre al menos una vez al año","Zona 4 — Catastrófica poco probable: impacto alto pero excepcional"),IF(AND(T2147&lt;1.5,X2147&lt;1),"Zona 3 — Asumible: impacto bajo y muy poco frecuente","Zona 2 — Atención: riesgo intermedio"))</f>
        <v/>
      </c>
      <c r="AB2147" s="64">
        <f>IFERROR(INDEX(MgAmenCtrl,MATCH(SUBSTITUTE($H2147,"*","-"),MgAmenClave,0)),"")</f>
        <v/>
      </c>
      <c r="AC2147" s="20" t="n"/>
      <c r="AD2147" s="31">
        <f>IFERROR($X2147*(1-IF($AC2147="",$AL2147,VLOOKUP($AC2147,MgMad,2,0))),"")</f>
        <v/>
      </c>
      <c r="AE2147" s="28">
        <f>IFERROR(LOOKUP(AD2147,{0;0.01;0.1;1;10;100},{"Muy baja";"Muy baja";"Baja";"Media";"Alta";"Muy alta"}),"")</f>
        <v/>
      </c>
      <c r="AF2147" s="30">
        <f>T2147*AD2147</f>
        <v/>
      </c>
      <c r="AG2147" s="28">
        <f>IFERROR(LOOKUP(AF2147,{0;0.5;5;25},{"Bajo";"Medio";"Alto";"Crítico"}),"")</f>
        <v/>
      </c>
      <c r="AH2147" s="28">
        <f>IF(AG2147="","",IF(OR(AG2147="Crítico",AG2147="Alto"),"Mitigar",IF(AG2147="Medio","Mitigar","Aceptar y monitorear")))</f>
        <v/>
      </c>
      <c r="AI2147" s="21" t="n"/>
      <c r="AJ2147" s="21" t="n"/>
      <c r="AK2147" s="20" t="n"/>
      <c r="AL2147" s="77">
        <f>IFERROR(INDEX(MgAmenEfic,MATCH(SUBSTITUTE($H2147,"*","-"),MgAmenClave,0)),0)</f>
        <v/>
      </c>
    </row>
    <row r="2148" hidden="1" ht="60" customHeight="1" s="54">
      <c r="B2148" s="59" t="inlineStr">
        <is>
          <t>R-2143</t>
        </is>
      </c>
      <c r="C2148" s="59" t="inlineStr">
        <is>
          <t>FIN-22</t>
        </is>
      </c>
      <c r="D2148" s="64">
        <f>IFERROR(INDEX(MgNombre,MATCH($C2148,MgActId,0)),"")</f>
        <v/>
      </c>
      <c r="E2148" s="64">
        <f>IFERROR(INDEX(MgProceso,MATCH($C2148,MgActId,0)),"")</f>
        <v/>
      </c>
      <c r="F2148" s="64">
        <f>IFERROR(INDEX(MgTipo,MATCH($C2148,MgActId,0)),"")</f>
        <v/>
      </c>
      <c r="G2148" s="64">
        <f>IFERROR(INDEX(MgSubtipo,MATCH($C2148,MgActId,0)),"")</f>
        <v/>
      </c>
      <c r="H2148" s="59" t="inlineStr">
        <is>
          <t>E.18</t>
        </is>
      </c>
      <c r="I2148" s="64">
        <f>IFERROR(INDEX(MgAmenNombre,MATCH(SUBSTITUTE($H2148,"*","-"),MgAmenClave,0)),"")</f>
        <v/>
      </c>
      <c r="J2148" s="28">
        <f>IFERROR(INDEX(MgAmenGrupo,MATCH(SUBSTITUTE($H2148,"*","-"),MgAmenClave,0)),"")</f>
        <v/>
      </c>
      <c r="K2148" s="64">
        <f>IFERROR(INDEX('1. Matriz de Activos'!$Q$6:$Q$239,MATCH($C2148,MgActId,0)),"")</f>
        <v/>
      </c>
      <c r="L2148" s="64">
        <f>IFERROR(INDEX('1. Matriz de Activos'!$R$6:$R$239,MATCH($C2148,MgActId,0)),"")</f>
        <v/>
      </c>
      <c r="M2148" s="64">
        <f>IFERROR(INDEX('1. Matriz de Activos'!$S$6:$S$239,MATCH($C2148,MgActId,0)),"")</f>
        <v/>
      </c>
      <c r="N2148" s="28">
        <f>IFERROR(INDEX(MgAmenDegD,MATCH(SUBSTITUTE($H2148,"*","-"),MgAmenClave,0)),"No aplica")</f>
        <v/>
      </c>
      <c r="O2148" s="28">
        <f>IFERROR(INDEX(MgAmenDegI,MATCH(SUBSTITUTE($H2148,"*","-"),MgAmenClave,0)),"No aplica")</f>
        <v/>
      </c>
      <c r="P2148" s="28">
        <f>IFERROR(INDEX(MgAmenDegC,MATCH(SUBSTITUTE($H2148,"*","-"),MgAmenClave,0)),"No aplica")</f>
        <v/>
      </c>
      <c r="Q2148" s="29">
        <f>IFERROR(VLOOKUP(K2148,MgValor,2,0)*VLOOKUP(N2148,MgDeg,2,0),0)</f>
        <v/>
      </c>
      <c r="R2148" s="29">
        <f>IFERROR(VLOOKUP(L2148,MgValor,2,0)*VLOOKUP(O2148,MgDeg,2,0),0)</f>
        <v/>
      </c>
      <c r="S2148" s="29">
        <f>IFERROR(VLOOKUP(M2148,MgValor,2,0)*VLOOKUP(P2148,MgDeg,2,0),0)</f>
        <v/>
      </c>
      <c r="T2148" s="30">
        <f>MAX(Q2148:S2148)</f>
        <v/>
      </c>
      <c r="U2148" s="28">
        <f>IFERROR(LOOKUP(T2148,{0;0.5;1.5;3;4.5},{"Despreciable";"Bajo";"Medio";"Alto";"Muy alto"}),"")</f>
        <v/>
      </c>
      <c r="V2148" s="13">
        <f>IFERROR(INDEX(MgAmenFrec,MATCH(SUBSTITUTE($H2148,"*","-"),MgAmenClave,0)),"")</f>
        <v/>
      </c>
      <c r="W2148" s="28">
        <f>IFERROR(LOOKUP(X2148,{0;0.01;0.1;1;10;100},{"Muy baja";"Muy baja";"Baja";"Media";"Alta";"Muy alta"}),"")</f>
        <v/>
      </c>
      <c r="X2148" s="31">
        <f>IFERROR(VLOOKUP(V2148,MgFrec,2,0),0)</f>
        <v/>
      </c>
      <c r="Y2148" s="30">
        <f>T2148*X2148</f>
        <v/>
      </c>
      <c r="Z2148" s="28">
        <f>IFERROR(LOOKUP(Y2148,{0;0.5;5;25},{"Bajo";"Medio";"Alto";"Crítico"}),"")</f>
        <v/>
      </c>
      <c r="AA2148" s="64">
        <f>IF(T2148&gt;=3,IF(X2148&gt;=1,"Zona 1 — Crítica: impacto alto y ocurre al menos una vez al año","Zona 4 — Catastrófica poco probable: impacto alto pero excepcional"),IF(AND(T2148&lt;1.5,X2148&lt;1),"Zona 3 — Asumible: impacto bajo y muy poco frecuente","Zona 2 — Atención: riesgo intermedio"))</f>
        <v/>
      </c>
      <c r="AB2148" s="64">
        <f>IFERROR(INDEX(MgAmenCtrl,MATCH(SUBSTITUTE($H2148,"*","-"),MgAmenClave,0)),"")</f>
        <v/>
      </c>
      <c r="AC2148" s="20" t="n"/>
      <c r="AD2148" s="31">
        <f>IFERROR($X2148*(1-IF($AC2148="",$AL2148,VLOOKUP($AC2148,MgMad,2,0))),"")</f>
        <v/>
      </c>
      <c r="AE2148" s="28">
        <f>IFERROR(LOOKUP(AD2148,{0;0.01;0.1;1;10;100},{"Muy baja";"Muy baja";"Baja";"Media";"Alta";"Muy alta"}),"")</f>
        <v/>
      </c>
      <c r="AF2148" s="30">
        <f>T2148*AD2148</f>
        <v/>
      </c>
      <c r="AG2148" s="28">
        <f>IFERROR(LOOKUP(AF2148,{0;0.5;5;25},{"Bajo";"Medio";"Alto";"Crítico"}),"")</f>
        <v/>
      </c>
      <c r="AH2148" s="28">
        <f>IF(AG2148="","",IF(OR(AG2148="Crítico",AG2148="Alto"),"Mitigar",IF(AG2148="Medio","Mitigar","Aceptar y monitorear")))</f>
        <v/>
      </c>
      <c r="AI2148" s="21" t="n"/>
      <c r="AJ2148" s="21" t="n"/>
      <c r="AK2148" s="20" t="n"/>
      <c r="AL2148" s="77">
        <f>IFERROR(INDEX(MgAmenEfic,MATCH(SUBSTITUTE($H2148,"*","-"),MgAmenClave,0)),0)</f>
        <v/>
      </c>
    </row>
    <row r="2149" hidden="1" ht="105" customHeight="1" s="54">
      <c r="B2149" s="59" t="inlineStr">
        <is>
          <t>R-2144</t>
        </is>
      </c>
      <c r="C2149" s="59" t="inlineStr">
        <is>
          <t>FIN-22</t>
        </is>
      </c>
      <c r="D2149" s="64">
        <f>IFERROR(INDEX(MgNombre,MATCH($C2149,MgActId,0)),"")</f>
        <v/>
      </c>
      <c r="E2149" s="64">
        <f>IFERROR(INDEX(MgProceso,MATCH($C2149,MgActId,0)),"")</f>
        <v/>
      </c>
      <c r="F2149" s="64">
        <f>IFERROR(INDEX(MgTipo,MATCH($C2149,MgActId,0)),"")</f>
        <v/>
      </c>
      <c r="G2149" s="64">
        <f>IFERROR(INDEX(MgSubtipo,MATCH($C2149,MgActId,0)),"")</f>
        <v/>
      </c>
      <c r="H2149" s="59" t="inlineStr">
        <is>
          <t>E.19</t>
        </is>
      </c>
      <c r="I2149" s="64">
        <f>IFERROR(INDEX(MgAmenNombre,MATCH(SUBSTITUTE($H2149,"*","-"),MgAmenClave,0)),"")</f>
        <v/>
      </c>
      <c r="J2149" s="28">
        <f>IFERROR(INDEX(MgAmenGrupo,MATCH(SUBSTITUTE($H2149,"*","-"),MgAmenClave,0)),"")</f>
        <v/>
      </c>
      <c r="K2149" s="64">
        <f>IFERROR(INDEX('1. Matriz de Activos'!$Q$6:$Q$239,MATCH($C2149,MgActId,0)),"")</f>
        <v/>
      </c>
      <c r="L2149" s="64">
        <f>IFERROR(INDEX('1. Matriz de Activos'!$R$6:$R$239,MATCH($C2149,MgActId,0)),"")</f>
        <v/>
      </c>
      <c r="M2149" s="64">
        <f>IFERROR(INDEX('1. Matriz de Activos'!$S$6:$S$239,MATCH($C2149,MgActId,0)),"")</f>
        <v/>
      </c>
      <c r="N2149" s="28">
        <f>IFERROR(INDEX(MgAmenDegD,MATCH(SUBSTITUTE($H2149,"*","-"),MgAmenClave,0)),"No aplica")</f>
        <v/>
      </c>
      <c r="O2149" s="28">
        <f>IFERROR(INDEX(MgAmenDegI,MATCH(SUBSTITUTE($H2149,"*","-"),MgAmenClave,0)),"No aplica")</f>
        <v/>
      </c>
      <c r="P2149" s="28">
        <f>IFERROR(INDEX(MgAmenDegC,MATCH(SUBSTITUTE($H2149,"*","-"),MgAmenClave,0)),"No aplica")</f>
        <v/>
      </c>
      <c r="Q2149" s="29">
        <f>IFERROR(VLOOKUP(K2149,MgValor,2,0)*VLOOKUP(N2149,MgDeg,2,0),0)</f>
        <v/>
      </c>
      <c r="R2149" s="29">
        <f>IFERROR(VLOOKUP(L2149,MgValor,2,0)*VLOOKUP(O2149,MgDeg,2,0),0)</f>
        <v/>
      </c>
      <c r="S2149" s="29">
        <f>IFERROR(VLOOKUP(M2149,MgValor,2,0)*VLOOKUP(P2149,MgDeg,2,0),0)</f>
        <v/>
      </c>
      <c r="T2149" s="30">
        <f>MAX(Q2149:S2149)</f>
        <v/>
      </c>
      <c r="U2149" s="28">
        <f>IFERROR(LOOKUP(T2149,{0;0.5;1.5;3;4.5},{"Despreciable";"Bajo";"Medio";"Alto";"Muy alto"}),"")</f>
        <v/>
      </c>
      <c r="V2149" s="13">
        <f>IFERROR(INDEX(MgAmenFrec,MATCH(SUBSTITUTE($H2149,"*","-"),MgAmenClave,0)),"")</f>
        <v/>
      </c>
      <c r="W2149" s="28">
        <f>IFERROR(LOOKUP(X2149,{0;0.01;0.1;1;10;100},{"Muy baja";"Muy baja";"Baja";"Media";"Alta";"Muy alta"}),"")</f>
        <v/>
      </c>
      <c r="X2149" s="31">
        <f>IFERROR(VLOOKUP(V2149,MgFrec,2,0),0)</f>
        <v/>
      </c>
      <c r="Y2149" s="30">
        <f>T2149*X2149</f>
        <v/>
      </c>
      <c r="Z2149" s="28">
        <f>IFERROR(LOOKUP(Y2149,{0;0.5;5;25},{"Bajo";"Medio";"Alto";"Crítico"}),"")</f>
        <v/>
      </c>
      <c r="AA2149" s="64">
        <f>IF(T2149&gt;=3,IF(X2149&gt;=1,"Zona 1 — Crítica: impacto alto y ocurre al menos una vez al año","Zona 4 — Catastrófica poco probable: impacto alto pero excepcional"),IF(AND(T2149&lt;1.5,X2149&lt;1),"Zona 3 — Asumible: impacto bajo y muy poco frecuente","Zona 2 — Atención: riesgo intermedio"))</f>
        <v/>
      </c>
      <c r="AB2149" s="64">
        <f>IFERROR(INDEX(MgAmenCtrl,MATCH(SUBSTITUTE($H2149,"*","-"),MgAmenClave,0)),"")</f>
        <v/>
      </c>
      <c r="AC2149" s="20" t="n"/>
      <c r="AD2149" s="31">
        <f>IFERROR($X2149*(1-IF($AC2149="",$AL2149,VLOOKUP($AC2149,MgMad,2,0))),"")</f>
        <v/>
      </c>
      <c r="AE2149" s="28">
        <f>IFERROR(LOOKUP(AD2149,{0;0.01;0.1;1;10;100},{"Muy baja";"Muy baja";"Baja";"Media";"Alta";"Muy alta"}),"")</f>
        <v/>
      </c>
      <c r="AF2149" s="30">
        <f>T2149*AD2149</f>
        <v/>
      </c>
      <c r="AG2149" s="28">
        <f>IFERROR(LOOKUP(AF2149,{0;0.5;5;25},{"Bajo";"Medio";"Alto";"Crítico"}),"")</f>
        <v/>
      </c>
      <c r="AH2149" s="28">
        <f>IF(AG2149="","",IF(OR(AG2149="Crítico",AG2149="Alto"),"Mitigar",IF(AG2149="Medio","Mitigar","Aceptar y monitorear")))</f>
        <v/>
      </c>
      <c r="AI2149" s="21" t="n"/>
      <c r="AJ2149" s="21" t="n"/>
      <c r="AK2149" s="20" t="n"/>
      <c r="AL2149" s="77">
        <f>IFERROR(INDEX(MgAmenEfic,MATCH(SUBSTITUTE($H2149,"*","-"),MgAmenClave,0)),0)</f>
        <v/>
      </c>
    </row>
    <row r="2150" hidden="1" ht="45" customHeight="1" s="54">
      <c r="B2150" s="59" t="inlineStr">
        <is>
          <t>R-2145</t>
        </is>
      </c>
      <c r="C2150" s="59" t="inlineStr">
        <is>
          <t>FIN-22</t>
        </is>
      </c>
      <c r="D2150" s="64">
        <f>IFERROR(INDEX(MgNombre,MATCH($C2150,MgActId,0)),"")</f>
        <v/>
      </c>
      <c r="E2150" s="64">
        <f>IFERROR(INDEX(MgProceso,MATCH($C2150,MgActId,0)),"")</f>
        <v/>
      </c>
      <c r="F2150" s="64">
        <f>IFERROR(INDEX(MgTipo,MATCH($C2150,MgActId,0)),"")</f>
        <v/>
      </c>
      <c r="G2150" s="64">
        <f>IFERROR(INDEX(MgSubtipo,MATCH($C2150,MgActId,0)),"")</f>
        <v/>
      </c>
      <c r="H2150" s="59" t="inlineStr">
        <is>
          <t>E.24</t>
        </is>
      </c>
      <c r="I2150" s="64">
        <f>IFERROR(INDEX(MgAmenNombre,MATCH(SUBSTITUTE($H2150,"*","-"),MgAmenClave,0)),"")</f>
        <v/>
      </c>
      <c r="J2150" s="28">
        <f>IFERROR(INDEX(MgAmenGrupo,MATCH(SUBSTITUTE($H2150,"*","-"),MgAmenClave,0)),"")</f>
        <v/>
      </c>
      <c r="K2150" s="64">
        <f>IFERROR(INDEX('1. Matriz de Activos'!$Q$6:$Q$239,MATCH($C2150,MgActId,0)),"")</f>
        <v/>
      </c>
      <c r="L2150" s="64">
        <f>IFERROR(INDEX('1. Matriz de Activos'!$R$6:$R$239,MATCH($C2150,MgActId,0)),"")</f>
        <v/>
      </c>
      <c r="M2150" s="64">
        <f>IFERROR(INDEX('1. Matriz de Activos'!$S$6:$S$239,MATCH($C2150,MgActId,0)),"")</f>
        <v/>
      </c>
      <c r="N2150" s="28">
        <f>IFERROR(INDEX(MgAmenDegD,MATCH(SUBSTITUTE($H2150,"*","-"),MgAmenClave,0)),"No aplica")</f>
        <v/>
      </c>
      <c r="O2150" s="28">
        <f>IFERROR(INDEX(MgAmenDegI,MATCH(SUBSTITUTE($H2150,"*","-"),MgAmenClave,0)),"No aplica")</f>
        <v/>
      </c>
      <c r="P2150" s="28">
        <f>IFERROR(INDEX(MgAmenDegC,MATCH(SUBSTITUTE($H2150,"*","-"),MgAmenClave,0)),"No aplica")</f>
        <v/>
      </c>
      <c r="Q2150" s="29">
        <f>IFERROR(VLOOKUP(K2150,MgValor,2,0)*VLOOKUP(N2150,MgDeg,2,0),0)</f>
        <v/>
      </c>
      <c r="R2150" s="29">
        <f>IFERROR(VLOOKUP(L2150,MgValor,2,0)*VLOOKUP(O2150,MgDeg,2,0),0)</f>
        <v/>
      </c>
      <c r="S2150" s="29">
        <f>IFERROR(VLOOKUP(M2150,MgValor,2,0)*VLOOKUP(P2150,MgDeg,2,0),0)</f>
        <v/>
      </c>
      <c r="T2150" s="30">
        <f>MAX(Q2150:S2150)</f>
        <v/>
      </c>
      <c r="U2150" s="28">
        <f>IFERROR(LOOKUP(T2150,{0;0.5;1.5;3;4.5},{"Despreciable";"Bajo";"Medio";"Alto";"Muy alto"}),"")</f>
        <v/>
      </c>
      <c r="V2150" s="13">
        <f>IFERROR(INDEX(MgAmenFrec,MATCH(SUBSTITUTE($H2150,"*","-"),MgAmenClave,0)),"")</f>
        <v/>
      </c>
      <c r="W2150" s="28">
        <f>IFERROR(LOOKUP(X2150,{0;0.01;0.1;1;10;100},{"Muy baja";"Muy baja";"Baja";"Media";"Alta";"Muy alta"}),"")</f>
        <v/>
      </c>
      <c r="X2150" s="31">
        <f>IFERROR(VLOOKUP(V2150,MgFrec,2,0),0)</f>
        <v/>
      </c>
      <c r="Y2150" s="30">
        <f>T2150*X2150</f>
        <v/>
      </c>
      <c r="Z2150" s="28">
        <f>IFERROR(LOOKUP(Y2150,{0;0.5;5;25},{"Bajo";"Medio";"Alto";"Crítico"}),"")</f>
        <v/>
      </c>
      <c r="AA2150" s="64">
        <f>IF(T2150&gt;=3,IF(X2150&gt;=1,"Zona 1 — Crítica: impacto alto y ocurre al menos una vez al año","Zona 4 — Catastrófica poco probable: impacto alto pero excepcional"),IF(AND(T2150&lt;1.5,X2150&lt;1),"Zona 3 — Asumible: impacto bajo y muy poco frecuente","Zona 2 — Atención: riesgo intermedio"))</f>
        <v/>
      </c>
      <c r="AB2150" s="64">
        <f>IFERROR(INDEX(MgAmenCtrl,MATCH(SUBSTITUTE($H2150,"*","-"),MgAmenClave,0)),"")</f>
        <v/>
      </c>
      <c r="AC2150" s="20" t="n"/>
      <c r="AD2150" s="31">
        <f>IFERROR($X2150*(1-IF($AC2150="",$AL2150,VLOOKUP($AC2150,MgMad,2,0))),"")</f>
        <v/>
      </c>
      <c r="AE2150" s="28">
        <f>IFERROR(LOOKUP(AD2150,{0;0.01;0.1;1;10;100},{"Muy baja";"Muy baja";"Baja";"Media";"Alta";"Muy alta"}),"")</f>
        <v/>
      </c>
      <c r="AF2150" s="30">
        <f>T2150*AD2150</f>
        <v/>
      </c>
      <c r="AG2150" s="28">
        <f>IFERROR(LOOKUP(AF2150,{0;0.5;5;25},{"Bajo";"Medio";"Alto";"Crítico"}),"")</f>
        <v/>
      </c>
      <c r="AH2150" s="28">
        <f>IF(AG2150="","",IF(OR(AG2150="Crítico",AG2150="Alto"),"Mitigar",IF(AG2150="Medio","Mitigar","Aceptar y monitorear")))</f>
        <v/>
      </c>
      <c r="AI2150" s="21" t="n"/>
      <c r="AJ2150" s="21" t="n"/>
      <c r="AK2150" s="20" t="n"/>
      <c r="AL2150" s="77">
        <f>IFERROR(INDEX(MgAmenEfic,MATCH(SUBSTITUTE($H2150,"*","-"),MgAmenClave,0)),0)</f>
        <v/>
      </c>
    </row>
    <row r="2151" hidden="1" ht="75" customHeight="1" s="54">
      <c r="B2151" s="59" t="inlineStr">
        <is>
          <t>R-2146</t>
        </is>
      </c>
      <c r="C2151" s="59" t="inlineStr">
        <is>
          <t>FIN-22</t>
        </is>
      </c>
      <c r="D2151" s="64">
        <f>IFERROR(INDEX(MgNombre,MATCH($C2151,MgActId,0)),"")</f>
        <v/>
      </c>
      <c r="E2151" s="64">
        <f>IFERROR(INDEX(MgProceso,MATCH($C2151,MgActId,0)),"")</f>
        <v/>
      </c>
      <c r="F2151" s="64">
        <f>IFERROR(INDEX(MgTipo,MATCH($C2151,MgActId,0)),"")</f>
        <v/>
      </c>
      <c r="G2151" s="64">
        <f>IFERROR(INDEX(MgSubtipo,MATCH($C2151,MgActId,0)),"")</f>
        <v/>
      </c>
      <c r="H2151" s="59" t="inlineStr">
        <is>
          <t>A.5</t>
        </is>
      </c>
      <c r="I2151" s="64">
        <f>IFERROR(INDEX(MgAmenNombre,MATCH(SUBSTITUTE($H2151,"*","-"),MgAmenClave,0)),"")</f>
        <v/>
      </c>
      <c r="J2151" s="28">
        <f>IFERROR(INDEX(MgAmenGrupo,MATCH(SUBSTITUTE($H2151,"*","-"),MgAmenClave,0)),"")</f>
        <v/>
      </c>
      <c r="K2151" s="64">
        <f>IFERROR(INDEX('1. Matriz de Activos'!$Q$6:$Q$239,MATCH($C2151,MgActId,0)),"")</f>
        <v/>
      </c>
      <c r="L2151" s="64">
        <f>IFERROR(INDEX('1. Matriz de Activos'!$R$6:$R$239,MATCH($C2151,MgActId,0)),"")</f>
        <v/>
      </c>
      <c r="M2151" s="64">
        <f>IFERROR(INDEX('1. Matriz de Activos'!$S$6:$S$239,MATCH($C2151,MgActId,0)),"")</f>
        <v/>
      </c>
      <c r="N2151" s="28">
        <f>IFERROR(INDEX(MgAmenDegD,MATCH(SUBSTITUTE($H2151,"*","-"),MgAmenClave,0)),"No aplica")</f>
        <v/>
      </c>
      <c r="O2151" s="28">
        <f>IFERROR(INDEX(MgAmenDegI,MATCH(SUBSTITUTE($H2151,"*","-"),MgAmenClave,0)),"No aplica")</f>
        <v/>
      </c>
      <c r="P2151" s="28">
        <f>IFERROR(INDEX(MgAmenDegC,MATCH(SUBSTITUTE($H2151,"*","-"),MgAmenClave,0)),"No aplica")</f>
        <v/>
      </c>
      <c r="Q2151" s="29">
        <f>IFERROR(VLOOKUP(K2151,MgValor,2,0)*VLOOKUP(N2151,MgDeg,2,0),0)</f>
        <v/>
      </c>
      <c r="R2151" s="29">
        <f>IFERROR(VLOOKUP(L2151,MgValor,2,0)*VLOOKUP(O2151,MgDeg,2,0),0)</f>
        <v/>
      </c>
      <c r="S2151" s="29">
        <f>IFERROR(VLOOKUP(M2151,MgValor,2,0)*VLOOKUP(P2151,MgDeg,2,0),0)</f>
        <v/>
      </c>
      <c r="T2151" s="30">
        <f>MAX(Q2151:S2151)</f>
        <v/>
      </c>
      <c r="U2151" s="28">
        <f>IFERROR(LOOKUP(T2151,{0;0.5;1.5;3;4.5},{"Despreciable";"Bajo";"Medio";"Alto";"Muy alto"}),"")</f>
        <v/>
      </c>
      <c r="V2151" s="13">
        <f>IFERROR(INDEX(MgAmenFrec,MATCH(SUBSTITUTE($H2151,"*","-"),MgAmenClave,0)),"")</f>
        <v/>
      </c>
      <c r="W2151" s="28">
        <f>IFERROR(LOOKUP(X2151,{0;0.01;0.1;1;10;100},{"Muy baja";"Muy baja";"Baja";"Media";"Alta";"Muy alta"}),"")</f>
        <v/>
      </c>
      <c r="X2151" s="31">
        <f>IFERROR(VLOOKUP(V2151,MgFrec,2,0),0)</f>
        <v/>
      </c>
      <c r="Y2151" s="30">
        <f>T2151*X2151</f>
        <v/>
      </c>
      <c r="Z2151" s="28">
        <f>IFERROR(LOOKUP(Y2151,{0;0.5;5;25},{"Bajo";"Medio";"Alto";"Crítico"}),"")</f>
        <v/>
      </c>
      <c r="AA2151" s="64">
        <f>IF(T2151&gt;=3,IF(X2151&gt;=1,"Zona 1 — Crítica: impacto alto y ocurre al menos una vez al año","Zona 4 — Catastrófica poco probable: impacto alto pero excepcional"),IF(AND(T2151&lt;1.5,X2151&lt;1),"Zona 3 — Asumible: impacto bajo y muy poco frecuente","Zona 2 — Atención: riesgo intermedio"))</f>
        <v/>
      </c>
      <c r="AB2151" s="64">
        <f>IFERROR(INDEX(MgAmenCtrl,MATCH(SUBSTITUTE($H2151,"*","-"),MgAmenClave,0)),"")</f>
        <v/>
      </c>
      <c r="AC2151" s="20" t="n"/>
      <c r="AD2151" s="31">
        <f>IFERROR($X2151*(1-IF($AC2151="",$AL2151,VLOOKUP($AC2151,MgMad,2,0))),"")</f>
        <v/>
      </c>
      <c r="AE2151" s="28">
        <f>IFERROR(LOOKUP(AD2151,{0;0.01;0.1;1;10;100},{"Muy baja";"Muy baja";"Baja";"Media";"Alta";"Muy alta"}),"")</f>
        <v/>
      </c>
      <c r="AF2151" s="30">
        <f>T2151*AD2151</f>
        <v/>
      </c>
      <c r="AG2151" s="28">
        <f>IFERROR(LOOKUP(AF2151,{0;0.5;5;25},{"Bajo";"Medio";"Alto";"Crítico"}),"")</f>
        <v/>
      </c>
      <c r="AH2151" s="28">
        <f>IF(AG2151="","",IF(OR(AG2151="Crítico",AG2151="Alto"),"Mitigar",IF(AG2151="Medio","Mitigar","Aceptar y monitorear")))</f>
        <v/>
      </c>
      <c r="AI2151" s="21" t="n"/>
      <c r="AJ2151" s="21" t="n"/>
      <c r="AK2151" s="20" t="n"/>
      <c r="AL2151" s="77">
        <f>IFERROR(INDEX(MgAmenEfic,MATCH(SUBSTITUTE($H2151,"*","-"),MgAmenClave,0)),0)</f>
        <v/>
      </c>
    </row>
    <row r="2152" hidden="1" ht="105" customHeight="1" s="54">
      <c r="B2152" s="59" t="inlineStr">
        <is>
          <t>R-2147</t>
        </is>
      </c>
      <c r="C2152" s="59" t="inlineStr">
        <is>
          <t>FIN-22</t>
        </is>
      </c>
      <c r="D2152" s="64">
        <f>IFERROR(INDEX(MgNombre,MATCH($C2152,MgActId,0)),"")</f>
        <v/>
      </c>
      <c r="E2152" s="64">
        <f>IFERROR(INDEX(MgProceso,MATCH($C2152,MgActId,0)),"")</f>
        <v/>
      </c>
      <c r="F2152" s="64">
        <f>IFERROR(INDEX(MgTipo,MATCH($C2152,MgActId,0)),"")</f>
        <v/>
      </c>
      <c r="G2152" s="64">
        <f>IFERROR(INDEX(MgSubtipo,MATCH($C2152,MgActId,0)),"")</f>
        <v/>
      </c>
      <c r="H2152" s="59" t="inlineStr">
        <is>
          <t>A.6</t>
        </is>
      </c>
      <c r="I2152" s="64">
        <f>IFERROR(INDEX(MgAmenNombre,MATCH(SUBSTITUTE($H2152,"*","-"),MgAmenClave,0)),"")</f>
        <v/>
      </c>
      <c r="J2152" s="28">
        <f>IFERROR(INDEX(MgAmenGrupo,MATCH(SUBSTITUTE($H2152,"*","-"),MgAmenClave,0)),"")</f>
        <v/>
      </c>
      <c r="K2152" s="64">
        <f>IFERROR(INDEX('1. Matriz de Activos'!$Q$6:$Q$239,MATCH($C2152,MgActId,0)),"")</f>
        <v/>
      </c>
      <c r="L2152" s="64">
        <f>IFERROR(INDEX('1. Matriz de Activos'!$R$6:$R$239,MATCH($C2152,MgActId,0)),"")</f>
        <v/>
      </c>
      <c r="M2152" s="64">
        <f>IFERROR(INDEX('1. Matriz de Activos'!$S$6:$S$239,MATCH($C2152,MgActId,0)),"")</f>
        <v/>
      </c>
      <c r="N2152" s="28">
        <f>IFERROR(INDEX(MgAmenDegD,MATCH(SUBSTITUTE($H2152,"*","-"),MgAmenClave,0)),"No aplica")</f>
        <v/>
      </c>
      <c r="O2152" s="28">
        <f>IFERROR(INDEX(MgAmenDegI,MATCH(SUBSTITUTE($H2152,"*","-"),MgAmenClave,0)),"No aplica")</f>
        <v/>
      </c>
      <c r="P2152" s="28">
        <f>IFERROR(INDEX(MgAmenDegC,MATCH(SUBSTITUTE($H2152,"*","-"),MgAmenClave,0)),"No aplica")</f>
        <v/>
      </c>
      <c r="Q2152" s="29">
        <f>IFERROR(VLOOKUP(K2152,MgValor,2,0)*VLOOKUP(N2152,MgDeg,2,0),0)</f>
        <v/>
      </c>
      <c r="R2152" s="29">
        <f>IFERROR(VLOOKUP(L2152,MgValor,2,0)*VLOOKUP(O2152,MgDeg,2,0),0)</f>
        <v/>
      </c>
      <c r="S2152" s="29">
        <f>IFERROR(VLOOKUP(M2152,MgValor,2,0)*VLOOKUP(P2152,MgDeg,2,0),0)</f>
        <v/>
      </c>
      <c r="T2152" s="30">
        <f>MAX(Q2152:S2152)</f>
        <v/>
      </c>
      <c r="U2152" s="28">
        <f>IFERROR(LOOKUP(T2152,{0;0.5;1.5;3;4.5},{"Despreciable";"Bajo";"Medio";"Alto";"Muy alto"}),"")</f>
        <v/>
      </c>
      <c r="V2152" s="13">
        <f>IFERROR(INDEX(MgAmenFrec,MATCH(SUBSTITUTE($H2152,"*","-"),MgAmenClave,0)),"")</f>
        <v/>
      </c>
      <c r="W2152" s="28">
        <f>IFERROR(LOOKUP(X2152,{0;0.01;0.1;1;10;100},{"Muy baja";"Muy baja";"Baja";"Media";"Alta";"Muy alta"}),"")</f>
        <v/>
      </c>
      <c r="X2152" s="31">
        <f>IFERROR(VLOOKUP(V2152,MgFrec,2,0),0)</f>
        <v/>
      </c>
      <c r="Y2152" s="30">
        <f>T2152*X2152</f>
        <v/>
      </c>
      <c r="Z2152" s="28">
        <f>IFERROR(LOOKUP(Y2152,{0;0.5;5;25},{"Bajo";"Medio";"Alto";"Crítico"}),"")</f>
        <v/>
      </c>
      <c r="AA2152" s="64">
        <f>IF(T2152&gt;=3,IF(X2152&gt;=1,"Zona 1 — Crítica: impacto alto y ocurre al menos una vez al año","Zona 4 — Catastrófica poco probable: impacto alto pero excepcional"),IF(AND(T2152&lt;1.5,X2152&lt;1),"Zona 3 — Asumible: impacto bajo y muy poco frecuente","Zona 2 — Atención: riesgo intermedio"))</f>
        <v/>
      </c>
      <c r="AB2152" s="64">
        <f>IFERROR(INDEX(MgAmenCtrl,MATCH(SUBSTITUTE($H2152,"*","-"),MgAmenClave,0)),"")</f>
        <v/>
      </c>
      <c r="AC2152" s="20" t="n"/>
      <c r="AD2152" s="31">
        <f>IFERROR($X2152*(1-IF($AC2152="",$AL2152,VLOOKUP($AC2152,MgMad,2,0))),"")</f>
        <v/>
      </c>
      <c r="AE2152" s="28">
        <f>IFERROR(LOOKUP(AD2152,{0;0.01;0.1;1;10;100},{"Muy baja";"Muy baja";"Baja";"Media";"Alta";"Muy alta"}),"")</f>
        <v/>
      </c>
      <c r="AF2152" s="30">
        <f>T2152*AD2152</f>
        <v/>
      </c>
      <c r="AG2152" s="28">
        <f>IFERROR(LOOKUP(AF2152,{0;0.5;5;25},{"Bajo";"Medio";"Alto";"Crítico"}),"")</f>
        <v/>
      </c>
      <c r="AH2152" s="28">
        <f>IF(AG2152="","",IF(OR(AG2152="Crítico",AG2152="Alto"),"Mitigar",IF(AG2152="Medio","Mitigar","Aceptar y monitorear")))</f>
        <v/>
      </c>
      <c r="AI2152" s="21" t="n"/>
      <c r="AJ2152" s="21" t="n"/>
      <c r="AK2152" s="20" t="n"/>
      <c r="AL2152" s="77">
        <f>IFERROR(INDEX(MgAmenEfic,MATCH(SUBSTITUTE($H2152,"*","-"),MgAmenClave,0)),0)</f>
        <v/>
      </c>
    </row>
    <row r="2153" hidden="1" ht="60" customHeight="1" s="54">
      <c r="B2153" s="59" t="inlineStr">
        <is>
          <t>R-2148</t>
        </is>
      </c>
      <c r="C2153" s="59" t="inlineStr">
        <is>
          <t>FIN-22</t>
        </is>
      </c>
      <c r="D2153" s="64">
        <f>IFERROR(INDEX(MgNombre,MATCH($C2153,MgActId,0)),"")</f>
        <v/>
      </c>
      <c r="E2153" s="64">
        <f>IFERROR(INDEX(MgProceso,MATCH($C2153,MgActId,0)),"")</f>
        <v/>
      </c>
      <c r="F2153" s="64">
        <f>IFERROR(INDEX(MgTipo,MATCH($C2153,MgActId,0)),"")</f>
        <v/>
      </c>
      <c r="G2153" s="64">
        <f>IFERROR(INDEX(MgSubtipo,MATCH($C2153,MgActId,0)),"")</f>
        <v/>
      </c>
      <c r="H2153" s="59" t="inlineStr">
        <is>
          <t>A.7</t>
        </is>
      </c>
      <c r="I2153" s="64">
        <f>IFERROR(INDEX(MgAmenNombre,MATCH(SUBSTITUTE($H2153,"*","-"),MgAmenClave,0)),"")</f>
        <v/>
      </c>
      <c r="J2153" s="28">
        <f>IFERROR(INDEX(MgAmenGrupo,MATCH(SUBSTITUTE($H2153,"*","-"),MgAmenClave,0)),"")</f>
        <v/>
      </c>
      <c r="K2153" s="64">
        <f>IFERROR(INDEX('1. Matriz de Activos'!$Q$6:$Q$239,MATCH($C2153,MgActId,0)),"")</f>
        <v/>
      </c>
      <c r="L2153" s="64">
        <f>IFERROR(INDEX('1. Matriz de Activos'!$R$6:$R$239,MATCH($C2153,MgActId,0)),"")</f>
        <v/>
      </c>
      <c r="M2153" s="64">
        <f>IFERROR(INDEX('1. Matriz de Activos'!$S$6:$S$239,MATCH($C2153,MgActId,0)),"")</f>
        <v/>
      </c>
      <c r="N2153" s="28">
        <f>IFERROR(INDEX(MgAmenDegD,MATCH(SUBSTITUTE($H2153,"*","-"),MgAmenClave,0)),"No aplica")</f>
        <v/>
      </c>
      <c r="O2153" s="28">
        <f>IFERROR(INDEX(MgAmenDegI,MATCH(SUBSTITUTE($H2153,"*","-"),MgAmenClave,0)),"No aplica")</f>
        <v/>
      </c>
      <c r="P2153" s="28">
        <f>IFERROR(INDEX(MgAmenDegC,MATCH(SUBSTITUTE($H2153,"*","-"),MgAmenClave,0)),"No aplica")</f>
        <v/>
      </c>
      <c r="Q2153" s="29">
        <f>IFERROR(VLOOKUP(K2153,MgValor,2,0)*VLOOKUP(N2153,MgDeg,2,0),0)</f>
        <v/>
      </c>
      <c r="R2153" s="29">
        <f>IFERROR(VLOOKUP(L2153,MgValor,2,0)*VLOOKUP(O2153,MgDeg,2,0),0)</f>
        <v/>
      </c>
      <c r="S2153" s="29">
        <f>IFERROR(VLOOKUP(M2153,MgValor,2,0)*VLOOKUP(P2153,MgDeg,2,0),0)</f>
        <v/>
      </c>
      <c r="T2153" s="30">
        <f>MAX(Q2153:S2153)</f>
        <v/>
      </c>
      <c r="U2153" s="28">
        <f>IFERROR(LOOKUP(T2153,{0;0.5;1.5;3;4.5},{"Despreciable";"Bajo";"Medio";"Alto";"Muy alto"}),"")</f>
        <v/>
      </c>
      <c r="V2153" s="13">
        <f>IFERROR(INDEX(MgAmenFrec,MATCH(SUBSTITUTE($H2153,"*","-"),MgAmenClave,0)),"")</f>
        <v/>
      </c>
      <c r="W2153" s="28">
        <f>IFERROR(LOOKUP(X2153,{0;0.01;0.1;1;10;100},{"Muy baja";"Muy baja";"Baja";"Media";"Alta";"Muy alta"}),"")</f>
        <v/>
      </c>
      <c r="X2153" s="31">
        <f>IFERROR(VLOOKUP(V2153,MgFrec,2,0),0)</f>
        <v/>
      </c>
      <c r="Y2153" s="30">
        <f>T2153*X2153</f>
        <v/>
      </c>
      <c r="Z2153" s="28">
        <f>IFERROR(LOOKUP(Y2153,{0;0.5;5;25},{"Bajo";"Medio";"Alto";"Crítico"}),"")</f>
        <v/>
      </c>
      <c r="AA2153" s="64">
        <f>IF(T2153&gt;=3,IF(X2153&gt;=1,"Zona 1 — Crítica: impacto alto y ocurre al menos una vez al año","Zona 4 — Catastrófica poco probable: impacto alto pero excepcional"),IF(AND(T2153&lt;1.5,X2153&lt;1),"Zona 3 — Asumible: impacto bajo y muy poco frecuente","Zona 2 — Atención: riesgo intermedio"))</f>
        <v/>
      </c>
      <c r="AB2153" s="64">
        <f>IFERROR(INDEX(MgAmenCtrl,MATCH(SUBSTITUTE($H2153,"*","-"),MgAmenClave,0)),"")</f>
        <v/>
      </c>
      <c r="AC2153" s="20" t="n"/>
      <c r="AD2153" s="31">
        <f>IFERROR($X2153*(1-IF($AC2153="",$AL2153,VLOOKUP($AC2153,MgMad,2,0))),"")</f>
        <v/>
      </c>
      <c r="AE2153" s="28">
        <f>IFERROR(LOOKUP(AD2153,{0;0.01;0.1;1;10;100},{"Muy baja";"Muy baja";"Baja";"Media";"Alta";"Muy alta"}),"")</f>
        <v/>
      </c>
      <c r="AF2153" s="30">
        <f>T2153*AD2153</f>
        <v/>
      </c>
      <c r="AG2153" s="28">
        <f>IFERROR(LOOKUP(AF2153,{0;0.5;5;25},{"Bajo";"Medio";"Alto";"Crítico"}),"")</f>
        <v/>
      </c>
      <c r="AH2153" s="28">
        <f>IF(AG2153="","",IF(OR(AG2153="Crítico",AG2153="Alto"),"Mitigar",IF(AG2153="Medio","Mitigar","Aceptar y monitorear")))</f>
        <v/>
      </c>
      <c r="AI2153" s="21" t="n"/>
      <c r="AJ2153" s="21" t="n"/>
      <c r="AK2153" s="20" t="n"/>
      <c r="AL2153" s="77">
        <f>IFERROR(INDEX(MgAmenEfic,MATCH(SUBSTITUTE($H2153,"*","-"),MgAmenClave,0)),0)</f>
        <v/>
      </c>
    </row>
    <row r="2154" hidden="1" ht="60" customHeight="1" s="54">
      <c r="B2154" s="59" t="inlineStr">
        <is>
          <t>R-2149</t>
        </is>
      </c>
      <c r="C2154" s="59" t="inlineStr">
        <is>
          <t>FIN-22</t>
        </is>
      </c>
      <c r="D2154" s="64">
        <f>IFERROR(INDEX(MgNombre,MATCH($C2154,MgActId,0)),"")</f>
        <v/>
      </c>
      <c r="E2154" s="64">
        <f>IFERROR(INDEX(MgProceso,MATCH($C2154,MgActId,0)),"")</f>
        <v/>
      </c>
      <c r="F2154" s="64">
        <f>IFERROR(INDEX(MgTipo,MATCH($C2154,MgActId,0)),"")</f>
        <v/>
      </c>
      <c r="G2154" s="64">
        <f>IFERROR(INDEX(MgSubtipo,MATCH($C2154,MgActId,0)),"")</f>
        <v/>
      </c>
      <c r="H2154" s="59" t="inlineStr">
        <is>
          <t>A.9</t>
        </is>
      </c>
      <c r="I2154" s="64">
        <f>IFERROR(INDEX(MgAmenNombre,MATCH(SUBSTITUTE($H2154,"*","-"),MgAmenClave,0)),"")</f>
        <v/>
      </c>
      <c r="J2154" s="28">
        <f>IFERROR(INDEX(MgAmenGrupo,MATCH(SUBSTITUTE($H2154,"*","-"),MgAmenClave,0)),"")</f>
        <v/>
      </c>
      <c r="K2154" s="64">
        <f>IFERROR(INDEX('1. Matriz de Activos'!$Q$6:$Q$239,MATCH($C2154,MgActId,0)),"")</f>
        <v/>
      </c>
      <c r="L2154" s="64">
        <f>IFERROR(INDEX('1. Matriz de Activos'!$R$6:$R$239,MATCH($C2154,MgActId,0)),"")</f>
        <v/>
      </c>
      <c r="M2154" s="64">
        <f>IFERROR(INDEX('1. Matriz de Activos'!$S$6:$S$239,MATCH($C2154,MgActId,0)),"")</f>
        <v/>
      </c>
      <c r="N2154" s="28">
        <f>IFERROR(INDEX(MgAmenDegD,MATCH(SUBSTITUTE($H2154,"*","-"),MgAmenClave,0)),"No aplica")</f>
        <v/>
      </c>
      <c r="O2154" s="28">
        <f>IFERROR(INDEX(MgAmenDegI,MATCH(SUBSTITUTE($H2154,"*","-"),MgAmenClave,0)),"No aplica")</f>
        <v/>
      </c>
      <c r="P2154" s="28">
        <f>IFERROR(INDEX(MgAmenDegC,MATCH(SUBSTITUTE($H2154,"*","-"),MgAmenClave,0)),"No aplica")</f>
        <v/>
      </c>
      <c r="Q2154" s="29">
        <f>IFERROR(VLOOKUP(K2154,MgValor,2,0)*VLOOKUP(N2154,MgDeg,2,0),0)</f>
        <v/>
      </c>
      <c r="R2154" s="29">
        <f>IFERROR(VLOOKUP(L2154,MgValor,2,0)*VLOOKUP(O2154,MgDeg,2,0),0)</f>
        <v/>
      </c>
      <c r="S2154" s="29">
        <f>IFERROR(VLOOKUP(M2154,MgValor,2,0)*VLOOKUP(P2154,MgDeg,2,0),0)</f>
        <v/>
      </c>
      <c r="T2154" s="30">
        <f>MAX(Q2154:S2154)</f>
        <v/>
      </c>
      <c r="U2154" s="28">
        <f>IFERROR(LOOKUP(T2154,{0;0.5;1.5;3;4.5},{"Despreciable";"Bajo";"Medio";"Alto";"Muy alto"}),"")</f>
        <v/>
      </c>
      <c r="V2154" s="13">
        <f>IFERROR(INDEX(MgAmenFrec,MATCH(SUBSTITUTE($H2154,"*","-"),MgAmenClave,0)),"")</f>
        <v/>
      </c>
      <c r="W2154" s="28">
        <f>IFERROR(LOOKUP(X2154,{0;0.01;0.1;1;10;100},{"Muy baja";"Muy baja";"Baja";"Media";"Alta";"Muy alta"}),"")</f>
        <v/>
      </c>
      <c r="X2154" s="31">
        <f>IFERROR(VLOOKUP(V2154,MgFrec,2,0),0)</f>
        <v/>
      </c>
      <c r="Y2154" s="30">
        <f>T2154*X2154</f>
        <v/>
      </c>
      <c r="Z2154" s="28">
        <f>IFERROR(LOOKUP(Y2154,{0;0.5;5;25},{"Bajo";"Medio";"Alto";"Crítico"}),"")</f>
        <v/>
      </c>
      <c r="AA2154" s="64">
        <f>IF(T2154&gt;=3,IF(X2154&gt;=1,"Zona 1 — Crítica: impacto alto y ocurre al menos una vez al año","Zona 4 — Catastrófica poco probable: impacto alto pero excepcional"),IF(AND(T2154&lt;1.5,X2154&lt;1),"Zona 3 — Asumible: impacto bajo y muy poco frecuente","Zona 2 — Atención: riesgo intermedio"))</f>
        <v/>
      </c>
      <c r="AB2154" s="64">
        <f>IFERROR(INDEX(MgAmenCtrl,MATCH(SUBSTITUTE($H2154,"*","-"),MgAmenClave,0)),"")</f>
        <v/>
      </c>
      <c r="AC2154" s="20" t="n"/>
      <c r="AD2154" s="31">
        <f>IFERROR($X2154*(1-IF($AC2154="",$AL2154,VLOOKUP($AC2154,MgMad,2,0))),"")</f>
        <v/>
      </c>
      <c r="AE2154" s="28">
        <f>IFERROR(LOOKUP(AD2154,{0;0.01;0.1;1;10;100},{"Muy baja";"Muy baja";"Baja";"Media";"Alta";"Muy alta"}),"")</f>
        <v/>
      </c>
      <c r="AF2154" s="30">
        <f>T2154*AD2154</f>
        <v/>
      </c>
      <c r="AG2154" s="28">
        <f>IFERROR(LOOKUP(AF2154,{0;0.5;5;25},{"Bajo";"Medio";"Alto";"Crítico"}),"")</f>
        <v/>
      </c>
      <c r="AH2154" s="28">
        <f>IF(AG2154="","",IF(OR(AG2154="Crítico",AG2154="Alto"),"Mitigar",IF(AG2154="Medio","Mitigar","Aceptar y monitorear")))</f>
        <v/>
      </c>
      <c r="AI2154" s="21" t="n"/>
      <c r="AJ2154" s="21" t="n"/>
      <c r="AK2154" s="20" t="n"/>
      <c r="AL2154" s="77">
        <f>IFERROR(INDEX(MgAmenEfic,MATCH(SUBSTITUTE($H2154,"*","-"),MgAmenClave,0)),0)</f>
        <v/>
      </c>
    </row>
    <row r="2155" hidden="1" ht="45" customHeight="1" s="54">
      <c r="B2155" s="59" t="inlineStr">
        <is>
          <t>R-2150</t>
        </is>
      </c>
      <c r="C2155" s="59" t="inlineStr">
        <is>
          <t>FIN-22</t>
        </is>
      </c>
      <c r="D2155" s="64">
        <f>IFERROR(INDEX(MgNombre,MATCH($C2155,MgActId,0)),"")</f>
        <v/>
      </c>
      <c r="E2155" s="64">
        <f>IFERROR(INDEX(MgProceso,MATCH($C2155,MgActId,0)),"")</f>
        <v/>
      </c>
      <c r="F2155" s="64">
        <f>IFERROR(INDEX(MgTipo,MATCH($C2155,MgActId,0)),"")</f>
        <v/>
      </c>
      <c r="G2155" s="64">
        <f>IFERROR(INDEX(MgSubtipo,MATCH($C2155,MgActId,0)),"")</f>
        <v/>
      </c>
      <c r="H2155" s="59" t="inlineStr">
        <is>
          <t>A.10</t>
        </is>
      </c>
      <c r="I2155" s="64">
        <f>IFERROR(INDEX(MgAmenNombre,MATCH(SUBSTITUTE($H2155,"*","-"),MgAmenClave,0)),"")</f>
        <v/>
      </c>
      <c r="J2155" s="28">
        <f>IFERROR(INDEX(MgAmenGrupo,MATCH(SUBSTITUTE($H2155,"*","-"),MgAmenClave,0)),"")</f>
        <v/>
      </c>
      <c r="K2155" s="64">
        <f>IFERROR(INDEX('1. Matriz de Activos'!$Q$6:$Q$239,MATCH($C2155,MgActId,0)),"")</f>
        <v/>
      </c>
      <c r="L2155" s="64">
        <f>IFERROR(INDEX('1. Matriz de Activos'!$R$6:$R$239,MATCH($C2155,MgActId,0)),"")</f>
        <v/>
      </c>
      <c r="M2155" s="64">
        <f>IFERROR(INDEX('1. Matriz de Activos'!$S$6:$S$239,MATCH($C2155,MgActId,0)),"")</f>
        <v/>
      </c>
      <c r="N2155" s="28">
        <f>IFERROR(INDEX(MgAmenDegD,MATCH(SUBSTITUTE($H2155,"*","-"),MgAmenClave,0)),"No aplica")</f>
        <v/>
      </c>
      <c r="O2155" s="28">
        <f>IFERROR(INDEX(MgAmenDegI,MATCH(SUBSTITUTE($H2155,"*","-"),MgAmenClave,0)),"No aplica")</f>
        <v/>
      </c>
      <c r="P2155" s="28">
        <f>IFERROR(INDEX(MgAmenDegC,MATCH(SUBSTITUTE($H2155,"*","-"),MgAmenClave,0)),"No aplica")</f>
        <v/>
      </c>
      <c r="Q2155" s="29">
        <f>IFERROR(VLOOKUP(K2155,MgValor,2,0)*VLOOKUP(N2155,MgDeg,2,0),0)</f>
        <v/>
      </c>
      <c r="R2155" s="29">
        <f>IFERROR(VLOOKUP(L2155,MgValor,2,0)*VLOOKUP(O2155,MgDeg,2,0),0)</f>
        <v/>
      </c>
      <c r="S2155" s="29">
        <f>IFERROR(VLOOKUP(M2155,MgValor,2,0)*VLOOKUP(P2155,MgDeg,2,0),0)</f>
        <v/>
      </c>
      <c r="T2155" s="30">
        <f>MAX(Q2155:S2155)</f>
        <v/>
      </c>
      <c r="U2155" s="28">
        <f>IFERROR(LOOKUP(T2155,{0;0.5;1.5;3;4.5},{"Despreciable";"Bajo";"Medio";"Alto";"Muy alto"}),"")</f>
        <v/>
      </c>
      <c r="V2155" s="13">
        <f>IFERROR(INDEX(MgAmenFrec,MATCH(SUBSTITUTE($H2155,"*","-"),MgAmenClave,0)),"")</f>
        <v/>
      </c>
      <c r="W2155" s="28">
        <f>IFERROR(LOOKUP(X2155,{0;0.01;0.1;1;10;100},{"Muy baja";"Muy baja";"Baja";"Media";"Alta";"Muy alta"}),"")</f>
        <v/>
      </c>
      <c r="X2155" s="31">
        <f>IFERROR(VLOOKUP(V2155,MgFrec,2,0),0)</f>
        <v/>
      </c>
      <c r="Y2155" s="30">
        <f>T2155*X2155</f>
        <v/>
      </c>
      <c r="Z2155" s="28">
        <f>IFERROR(LOOKUP(Y2155,{0;0.5;5;25},{"Bajo";"Medio";"Alto";"Crítico"}),"")</f>
        <v/>
      </c>
      <c r="AA2155" s="64">
        <f>IF(T2155&gt;=3,IF(X2155&gt;=1,"Zona 1 — Crítica: impacto alto y ocurre al menos una vez al año","Zona 4 — Catastrófica poco probable: impacto alto pero excepcional"),IF(AND(T2155&lt;1.5,X2155&lt;1),"Zona 3 — Asumible: impacto bajo y muy poco frecuente","Zona 2 — Atención: riesgo intermedio"))</f>
        <v/>
      </c>
      <c r="AB2155" s="64">
        <f>IFERROR(INDEX(MgAmenCtrl,MATCH(SUBSTITUTE($H2155,"*","-"),MgAmenClave,0)),"")</f>
        <v/>
      </c>
      <c r="AC2155" s="20" t="n"/>
      <c r="AD2155" s="31">
        <f>IFERROR($X2155*(1-IF($AC2155="",$AL2155,VLOOKUP($AC2155,MgMad,2,0))),"")</f>
        <v/>
      </c>
      <c r="AE2155" s="28">
        <f>IFERROR(LOOKUP(AD2155,{0;0.01;0.1;1;10;100},{"Muy baja";"Muy baja";"Baja";"Media";"Alta";"Muy alta"}),"")</f>
        <v/>
      </c>
      <c r="AF2155" s="30">
        <f>T2155*AD2155</f>
        <v/>
      </c>
      <c r="AG2155" s="28">
        <f>IFERROR(LOOKUP(AF2155,{0;0.5;5;25},{"Bajo";"Medio";"Alto";"Crítico"}),"")</f>
        <v/>
      </c>
      <c r="AH2155" s="28">
        <f>IF(AG2155="","",IF(OR(AG2155="Crítico",AG2155="Alto"),"Mitigar",IF(AG2155="Medio","Mitigar","Aceptar y monitorear")))</f>
        <v/>
      </c>
      <c r="AI2155" s="21" t="n"/>
      <c r="AJ2155" s="21" t="n"/>
      <c r="AK2155" s="20" t="n"/>
      <c r="AL2155" s="77">
        <f>IFERROR(INDEX(MgAmenEfic,MATCH(SUBSTITUTE($H2155,"*","-"),MgAmenClave,0)),0)</f>
        <v/>
      </c>
    </row>
    <row r="2156" hidden="1" ht="120" customHeight="1" s="54">
      <c r="B2156" s="59" t="inlineStr">
        <is>
          <t>R-2151</t>
        </is>
      </c>
      <c r="C2156" s="59" t="inlineStr">
        <is>
          <t>FIN-22</t>
        </is>
      </c>
      <c r="D2156" s="64">
        <f>IFERROR(INDEX(MgNombre,MATCH($C2156,MgActId,0)),"")</f>
        <v/>
      </c>
      <c r="E2156" s="64">
        <f>IFERROR(INDEX(MgProceso,MATCH($C2156,MgActId,0)),"")</f>
        <v/>
      </c>
      <c r="F2156" s="64">
        <f>IFERROR(INDEX(MgTipo,MATCH($C2156,MgActId,0)),"")</f>
        <v/>
      </c>
      <c r="G2156" s="64">
        <f>IFERROR(INDEX(MgSubtipo,MATCH($C2156,MgActId,0)),"")</f>
        <v/>
      </c>
      <c r="H2156" s="59" t="inlineStr">
        <is>
          <t>A.11</t>
        </is>
      </c>
      <c r="I2156" s="64">
        <f>IFERROR(INDEX(MgAmenNombre,MATCH(SUBSTITUTE($H2156,"*","-"),MgAmenClave,0)),"")</f>
        <v/>
      </c>
      <c r="J2156" s="28">
        <f>IFERROR(INDEX(MgAmenGrupo,MATCH(SUBSTITUTE($H2156,"*","-"),MgAmenClave,0)),"")</f>
        <v/>
      </c>
      <c r="K2156" s="64">
        <f>IFERROR(INDEX('1. Matriz de Activos'!$Q$6:$Q$239,MATCH($C2156,MgActId,0)),"")</f>
        <v/>
      </c>
      <c r="L2156" s="64">
        <f>IFERROR(INDEX('1. Matriz de Activos'!$R$6:$R$239,MATCH($C2156,MgActId,0)),"")</f>
        <v/>
      </c>
      <c r="M2156" s="64">
        <f>IFERROR(INDEX('1. Matriz de Activos'!$S$6:$S$239,MATCH($C2156,MgActId,0)),"")</f>
        <v/>
      </c>
      <c r="N2156" s="28">
        <f>IFERROR(INDEX(MgAmenDegD,MATCH(SUBSTITUTE($H2156,"*","-"),MgAmenClave,0)),"No aplica")</f>
        <v/>
      </c>
      <c r="O2156" s="28">
        <f>IFERROR(INDEX(MgAmenDegI,MATCH(SUBSTITUTE($H2156,"*","-"),MgAmenClave,0)),"No aplica")</f>
        <v/>
      </c>
      <c r="P2156" s="28">
        <f>IFERROR(INDEX(MgAmenDegC,MATCH(SUBSTITUTE($H2156,"*","-"),MgAmenClave,0)),"No aplica")</f>
        <v/>
      </c>
      <c r="Q2156" s="29">
        <f>IFERROR(VLOOKUP(K2156,MgValor,2,0)*VLOOKUP(N2156,MgDeg,2,0),0)</f>
        <v/>
      </c>
      <c r="R2156" s="29">
        <f>IFERROR(VLOOKUP(L2156,MgValor,2,0)*VLOOKUP(O2156,MgDeg,2,0),0)</f>
        <v/>
      </c>
      <c r="S2156" s="29">
        <f>IFERROR(VLOOKUP(M2156,MgValor,2,0)*VLOOKUP(P2156,MgDeg,2,0),0)</f>
        <v/>
      </c>
      <c r="T2156" s="30">
        <f>MAX(Q2156:S2156)</f>
        <v/>
      </c>
      <c r="U2156" s="28">
        <f>IFERROR(LOOKUP(T2156,{0;0.5;1.5;3;4.5},{"Despreciable";"Bajo";"Medio";"Alto";"Muy alto"}),"")</f>
        <v/>
      </c>
      <c r="V2156" s="13">
        <f>IFERROR(INDEX(MgAmenFrec,MATCH(SUBSTITUTE($H2156,"*","-"),MgAmenClave,0)),"")</f>
        <v/>
      </c>
      <c r="W2156" s="28">
        <f>IFERROR(LOOKUP(X2156,{0;0.01;0.1;1;10;100},{"Muy baja";"Muy baja";"Baja";"Media";"Alta";"Muy alta"}),"")</f>
        <v/>
      </c>
      <c r="X2156" s="31">
        <f>IFERROR(VLOOKUP(V2156,MgFrec,2,0),0)</f>
        <v/>
      </c>
      <c r="Y2156" s="30">
        <f>T2156*X2156</f>
        <v/>
      </c>
      <c r="Z2156" s="28">
        <f>IFERROR(LOOKUP(Y2156,{0;0.5;5;25},{"Bajo";"Medio";"Alto";"Crítico"}),"")</f>
        <v/>
      </c>
      <c r="AA2156" s="64">
        <f>IF(T2156&gt;=3,IF(X2156&gt;=1,"Zona 1 — Crítica: impacto alto y ocurre al menos una vez al año","Zona 4 — Catastrófica poco probable: impacto alto pero excepcional"),IF(AND(T2156&lt;1.5,X2156&lt;1),"Zona 3 — Asumible: impacto bajo y muy poco frecuente","Zona 2 — Atención: riesgo intermedio"))</f>
        <v/>
      </c>
      <c r="AB2156" s="64">
        <f>IFERROR(INDEX(MgAmenCtrl,MATCH(SUBSTITUTE($H2156,"*","-"),MgAmenClave,0)),"")</f>
        <v/>
      </c>
      <c r="AC2156" s="20" t="n"/>
      <c r="AD2156" s="31">
        <f>IFERROR($X2156*(1-IF($AC2156="",$AL2156,VLOOKUP($AC2156,MgMad,2,0))),"")</f>
        <v/>
      </c>
      <c r="AE2156" s="28">
        <f>IFERROR(LOOKUP(AD2156,{0;0.01;0.1;1;10;100},{"Muy baja";"Muy baja";"Baja";"Media";"Alta";"Muy alta"}),"")</f>
        <v/>
      </c>
      <c r="AF2156" s="30">
        <f>T2156*AD2156</f>
        <v/>
      </c>
      <c r="AG2156" s="28">
        <f>IFERROR(LOOKUP(AF2156,{0;0.5;5;25},{"Bajo";"Medio";"Alto";"Crítico"}),"")</f>
        <v/>
      </c>
      <c r="AH2156" s="28">
        <f>IF(AG2156="","",IF(OR(AG2156="Crítico",AG2156="Alto"),"Mitigar",IF(AG2156="Medio","Mitigar","Aceptar y monitorear")))</f>
        <v/>
      </c>
      <c r="AI2156" s="21" t="n"/>
      <c r="AJ2156" s="21" t="n"/>
      <c r="AK2156" s="20" t="n"/>
      <c r="AL2156" s="77">
        <f>IFERROR(INDEX(MgAmenEfic,MATCH(SUBSTITUTE($H2156,"*","-"),MgAmenClave,0)),0)</f>
        <v/>
      </c>
    </row>
    <row r="2157" hidden="1" ht="90" customHeight="1" s="54">
      <c r="B2157" s="59" t="inlineStr">
        <is>
          <t>R-2152</t>
        </is>
      </c>
      <c r="C2157" s="59" t="inlineStr">
        <is>
          <t>FIN-22</t>
        </is>
      </c>
      <c r="D2157" s="64">
        <f>IFERROR(INDEX(MgNombre,MATCH($C2157,MgActId,0)),"")</f>
        <v/>
      </c>
      <c r="E2157" s="64">
        <f>IFERROR(INDEX(MgProceso,MATCH($C2157,MgActId,0)),"")</f>
        <v/>
      </c>
      <c r="F2157" s="64">
        <f>IFERROR(INDEX(MgTipo,MATCH($C2157,MgActId,0)),"")</f>
        <v/>
      </c>
      <c r="G2157" s="64">
        <f>IFERROR(INDEX(MgSubtipo,MATCH($C2157,MgActId,0)),"")</f>
        <v/>
      </c>
      <c r="H2157" s="59" t="inlineStr">
        <is>
          <t>A.13</t>
        </is>
      </c>
      <c r="I2157" s="64">
        <f>IFERROR(INDEX(MgAmenNombre,MATCH(SUBSTITUTE($H2157,"*","-"),MgAmenClave,0)),"")</f>
        <v/>
      </c>
      <c r="J2157" s="28">
        <f>IFERROR(INDEX(MgAmenGrupo,MATCH(SUBSTITUTE($H2157,"*","-"),MgAmenClave,0)),"")</f>
        <v/>
      </c>
      <c r="K2157" s="64">
        <f>IFERROR(INDEX('1. Matriz de Activos'!$Q$6:$Q$239,MATCH($C2157,MgActId,0)),"")</f>
        <v/>
      </c>
      <c r="L2157" s="64">
        <f>IFERROR(INDEX('1. Matriz de Activos'!$R$6:$R$239,MATCH($C2157,MgActId,0)),"")</f>
        <v/>
      </c>
      <c r="M2157" s="64">
        <f>IFERROR(INDEX('1. Matriz de Activos'!$S$6:$S$239,MATCH($C2157,MgActId,0)),"")</f>
        <v/>
      </c>
      <c r="N2157" s="28">
        <f>IFERROR(INDEX(MgAmenDegD,MATCH(SUBSTITUTE($H2157,"*","-"),MgAmenClave,0)),"No aplica")</f>
        <v/>
      </c>
      <c r="O2157" s="28">
        <f>IFERROR(INDEX(MgAmenDegI,MATCH(SUBSTITUTE($H2157,"*","-"),MgAmenClave,0)),"No aplica")</f>
        <v/>
      </c>
      <c r="P2157" s="28">
        <f>IFERROR(INDEX(MgAmenDegC,MATCH(SUBSTITUTE($H2157,"*","-"),MgAmenClave,0)),"No aplica")</f>
        <v/>
      </c>
      <c r="Q2157" s="29">
        <f>IFERROR(VLOOKUP(K2157,MgValor,2,0)*VLOOKUP(N2157,MgDeg,2,0),0)</f>
        <v/>
      </c>
      <c r="R2157" s="29">
        <f>IFERROR(VLOOKUP(L2157,MgValor,2,0)*VLOOKUP(O2157,MgDeg,2,0),0)</f>
        <v/>
      </c>
      <c r="S2157" s="29">
        <f>IFERROR(VLOOKUP(M2157,MgValor,2,0)*VLOOKUP(P2157,MgDeg,2,0),0)</f>
        <v/>
      </c>
      <c r="T2157" s="30">
        <f>MAX(Q2157:S2157)</f>
        <v/>
      </c>
      <c r="U2157" s="28">
        <f>IFERROR(LOOKUP(T2157,{0;0.5;1.5;3;4.5},{"Despreciable";"Bajo";"Medio";"Alto";"Muy alto"}),"")</f>
        <v/>
      </c>
      <c r="V2157" s="13">
        <f>IFERROR(INDEX(MgAmenFrec,MATCH(SUBSTITUTE($H2157,"*","-"),MgAmenClave,0)),"")</f>
        <v/>
      </c>
      <c r="W2157" s="28">
        <f>IFERROR(LOOKUP(X2157,{0;0.01;0.1;1;10;100},{"Muy baja";"Muy baja";"Baja";"Media";"Alta";"Muy alta"}),"")</f>
        <v/>
      </c>
      <c r="X2157" s="31">
        <f>IFERROR(VLOOKUP(V2157,MgFrec,2,0),0)</f>
        <v/>
      </c>
      <c r="Y2157" s="30">
        <f>T2157*X2157</f>
        <v/>
      </c>
      <c r="Z2157" s="28">
        <f>IFERROR(LOOKUP(Y2157,{0;0.5;5;25},{"Bajo";"Medio";"Alto";"Crítico"}),"")</f>
        <v/>
      </c>
      <c r="AA2157" s="64">
        <f>IF(T2157&gt;=3,IF(X2157&gt;=1,"Zona 1 — Crítica: impacto alto y ocurre al menos una vez al año","Zona 4 — Catastrófica poco probable: impacto alto pero excepcional"),IF(AND(T2157&lt;1.5,X2157&lt;1),"Zona 3 — Asumible: impacto bajo y muy poco frecuente","Zona 2 — Atención: riesgo intermedio"))</f>
        <v/>
      </c>
      <c r="AB2157" s="64">
        <f>IFERROR(INDEX(MgAmenCtrl,MATCH(SUBSTITUTE($H2157,"*","-"),MgAmenClave,0)),"")</f>
        <v/>
      </c>
      <c r="AC2157" s="20" t="n"/>
      <c r="AD2157" s="31">
        <f>IFERROR($X2157*(1-IF($AC2157="",$AL2157,VLOOKUP($AC2157,MgMad,2,0))),"")</f>
        <v/>
      </c>
      <c r="AE2157" s="28">
        <f>IFERROR(LOOKUP(AD2157,{0;0.01;0.1;1;10;100},{"Muy baja";"Muy baja";"Baja";"Media";"Alta";"Muy alta"}),"")</f>
        <v/>
      </c>
      <c r="AF2157" s="30">
        <f>T2157*AD2157</f>
        <v/>
      </c>
      <c r="AG2157" s="28">
        <f>IFERROR(LOOKUP(AF2157,{0;0.5;5;25},{"Bajo";"Medio";"Alto";"Crítico"}),"")</f>
        <v/>
      </c>
      <c r="AH2157" s="28">
        <f>IF(AG2157="","",IF(OR(AG2157="Crítico",AG2157="Alto"),"Mitigar",IF(AG2157="Medio","Mitigar","Aceptar y monitorear")))</f>
        <v/>
      </c>
      <c r="AI2157" s="21" t="n"/>
      <c r="AJ2157" s="21" t="n"/>
      <c r="AK2157" s="20" t="n"/>
      <c r="AL2157" s="77">
        <f>IFERROR(INDEX(MgAmenEfic,MATCH(SUBSTITUTE($H2157,"*","-"),MgAmenClave,0)),0)</f>
        <v/>
      </c>
    </row>
    <row r="2158" hidden="1" ht="60" customHeight="1" s="54">
      <c r="B2158" s="59" t="inlineStr">
        <is>
          <t>R-2153</t>
        </is>
      </c>
      <c r="C2158" s="59" t="inlineStr">
        <is>
          <t>FIN-22</t>
        </is>
      </c>
      <c r="D2158" s="64">
        <f>IFERROR(INDEX(MgNombre,MATCH($C2158,MgActId,0)),"")</f>
        <v/>
      </c>
      <c r="E2158" s="64">
        <f>IFERROR(INDEX(MgProceso,MATCH($C2158,MgActId,0)),"")</f>
        <v/>
      </c>
      <c r="F2158" s="64">
        <f>IFERROR(INDEX(MgTipo,MATCH($C2158,MgActId,0)),"")</f>
        <v/>
      </c>
      <c r="G2158" s="64">
        <f>IFERROR(INDEX(MgSubtipo,MATCH($C2158,MgActId,0)),"")</f>
        <v/>
      </c>
      <c r="H2158" s="59" t="inlineStr">
        <is>
          <t>A.15</t>
        </is>
      </c>
      <c r="I2158" s="64">
        <f>IFERROR(INDEX(MgAmenNombre,MATCH(SUBSTITUTE($H2158,"*","-"),MgAmenClave,0)),"")</f>
        <v/>
      </c>
      <c r="J2158" s="28">
        <f>IFERROR(INDEX(MgAmenGrupo,MATCH(SUBSTITUTE($H2158,"*","-"),MgAmenClave,0)),"")</f>
        <v/>
      </c>
      <c r="K2158" s="64">
        <f>IFERROR(INDEX('1. Matriz de Activos'!$Q$6:$Q$239,MATCH($C2158,MgActId,0)),"")</f>
        <v/>
      </c>
      <c r="L2158" s="64">
        <f>IFERROR(INDEX('1. Matriz de Activos'!$R$6:$R$239,MATCH($C2158,MgActId,0)),"")</f>
        <v/>
      </c>
      <c r="M2158" s="64">
        <f>IFERROR(INDEX('1. Matriz de Activos'!$S$6:$S$239,MATCH($C2158,MgActId,0)),"")</f>
        <v/>
      </c>
      <c r="N2158" s="28">
        <f>IFERROR(INDEX(MgAmenDegD,MATCH(SUBSTITUTE($H2158,"*","-"),MgAmenClave,0)),"No aplica")</f>
        <v/>
      </c>
      <c r="O2158" s="28">
        <f>IFERROR(INDEX(MgAmenDegI,MATCH(SUBSTITUTE($H2158,"*","-"),MgAmenClave,0)),"No aplica")</f>
        <v/>
      </c>
      <c r="P2158" s="28">
        <f>IFERROR(INDEX(MgAmenDegC,MATCH(SUBSTITUTE($H2158,"*","-"),MgAmenClave,0)),"No aplica")</f>
        <v/>
      </c>
      <c r="Q2158" s="29">
        <f>IFERROR(VLOOKUP(K2158,MgValor,2,0)*VLOOKUP(N2158,MgDeg,2,0),0)</f>
        <v/>
      </c>
      <c r="R2158" s="29">
        <f>IFERROR(VLOOKUP(L2158,MgValor,2,0)*VLOOKUP(O2158,MgDeg,2,0),0)</f>
        <v/>
      </c>
      <c r="S2158" s="29">
        <f>IFERROR(VLOOKUP(M2158,MgValor,2,0)*VLOOKUP(P2158,MgDeg,2,0),0)</f>
        <v/>
      </c>
      <c r="T2158" s="30">
        <f>MAX(Q2158:S2158)</f>
        <v/>
      </c>
      <c r="U2158" s="28">
        <f>IFERROR(LOOKUP(T2158,{0;0.5;1.5;3;4.5},{"Despreciable";"Bajo";"Medio";"Alto";"Muy alto"}),"")</f>
        <v/>
      </c>
      <c r="V2158" s="13">
        <f>IFERROR(INDEX(MgAmenFrec,MATCH(SUBSTITUTE($H2158,"*","-"),MgAmenClave,0)),"")</f>
        <v/>
      </c>
      <c r="W2158" s="28">
        <f>IFERROR(LOOKUP(X2158,{0;0.01;0.1;1;10;100},{"Muy baja";"Muy baja";"Baja";"Media";"Alta";"Muy alta"}),"")</f>
        <v/>
      </c>
      <c r="X2158" s="31">
        <f>IFERROR(VLOOKUP(V2158,MgFrec,2,0),0)</f>
        <v/>
      </c>
      <c r="Y2158" s="30">
        <f>T2158*X2158</f>
        <v/>
      </c>
      <c r="Z2158" s="28">
        <f>IFERROR(LOOKUP(Y2158,{0;0.5;5;25},{"Bajo";"Medio";"Alto";"Crítico"}),"")</f>
        <v/>
      </c>
      <c r="AA2158" s="64">
        <f>IF(T2158&gt;=3,IF(X2158&gt;=1,"Zona 1 — Crítica: impacto alto y ocurre al menos una vez al año","Zona 4 — Catastrófica poco probable: impacto alto pero excepcional"),IF(AND(T2158&lt;1.5,X2158&lt;1),"Zona 3 — Asumible: impacto bajo y muy poco frecuente","Zona 2 — Atención: riesgo intermedio"))</f>
        <v/>
      </c>
      <c r="AB2158" s="64">
        <f>IFERROR(INDEX(MgAmenCtrl,MATCH(SUBSTITUTE($H2158,"*","-"),MgAmenClave,0)),"")</f>
        <v/>
      </c>
      <c r="AC2158" s="20" t="n"/>
      <c r="AD2158" s="31">
        <f>IFERROR($X2158*(1-IF($AC2158="",$AL2158,VLOOKUP($AC2158,MgMad,2,0))),"")</f>
        <v/>
      </c>
      <c r="AE2158" s="28">
        <f>IFERROR(LOOKUP(AD2158,{0;0.01;0.1;1;10;100},{"Muy baja";"Muy baja";"Baja";"Media";"Alta";"Muy alta"}),"")</f>
        <v/>
      </c>
      <c r="AF2158" s="30">
        <f>T2158*AD2158</f>
        <v/>
      </c>
      <c r="AG2158" s="28">
        <f>IFERROR(LOOKUP(AF2158,{0;0.5;5;25},{"Bajo";"Medio";"Alto";"Crítico"}),"")</f>
        <v/>
      </c>
      <c r="AH2158" s="28">
        <f>IF(AG2158="","",IF(OR(AG2158="Crítico",AG2158="Alto"),"Mitigar",IF(AG2158="Medio","Mitigar","Aceptar y monitorear")))</f>
        <v/>
      </c>
      <c r="AI2158" s="21" t="n"/>
      <c r="AJ2158" s="21" t="n"/>
      <c r="AK2158" s="20" t="n"/>
      <c r="AL2158" s="77">
        <f>IFERROR(INDEX(MgAmenEfic,MATCH(SUBSTITUTE($H2158,"*","-"),MgAmenClave,0)),0)</f>
        <v/>
      </c>
    </row>
    <row r="2159" hidden="1" ht="60" customHeight="1" s="54">
      <c r="B2159" s="59" t="inlineStr">
        <is>
          <t>R-2154</t>
        </is>
      </c>
      <c r="C2159" s="59" t="inlineStr">
        <is>
          <t>FIN-22</t>
        </is>
      </c>
      <c r="D2159" s="64">
        <f>IFERROR(INDEX(MgNombre,MATCH($C2159,MgActId,0)),"")</f>
        <v/>
      </c>
      <c r="E2159" s="64">
        <f>IFERROR(INDEX(MgProceso,MATCH($C2159,MgActId,0)),"")</f>
        <v/>
      </c>
      <c r="F2159" s="64">
        <f>IFERROR(INDEX(MgTipo,MATCH($C2159,MgActId,0)),"")</f>
        <v/>
      </c>
      <c r="G2159" s="64">
        <f>IFERROR(INDEX(MgSubtipo,MATCH($C2159,MgActId,0)),"")</f>
        <v/>
      </c>
      <c r="H2159" s="59" t="inlineStr">
        <is>
          <t>A.18</t>
        </is>
      </c>
      <c r="I2159" s="64">
        <f>IFERROR(INDEX(MgAmenNombre,MATCH(SUBSTITUTE($H2159,"*","-"),MgAmenClave,0)),"")</f>
        <v/>
      </c>
      <c r="J2159" s="28">
        <f>IFERROR(INDEX(MgAmenGrupo,MATCH(SUBSTITUTE($H2159,"*","-"),MgAmenClave,0)),"")</f>
        <v/>
      </c>
      <c r="K2159" s="64">
        <f>IFERROR(INDEX('1. Matriz de Activos'!$Q$6:$Q$239,MATCH($C2159,MgActId,0)),"")</f>
        <v/>
      </c>
      <c r="L2159" s="64">
        <f>IFERROR(INDEX('1. Matriz de Activos'!$R$6:$R$239,MATCH($C2159,MgActId,0)),"")</f>
        <v/>
      </c>
      <c r="M2159" s="64">
        <f>IFERROR(INDEX('1. Matriz de Activos'!$S$6:$S$239,MATCH($C2159,MgActId,0)),"")</f>
        <v/>
      </c>
      <c r="N2159" s="28">
        <f>IFERROR(INDEX(MgAmenDegD,MATCH(SUBSTITUTE($H2159,"*","-"),MgAmenClave,0)),"No aplica")</f>
        <v/>
      </c>
      <c r="O2159" s="28">
        <f>IFERROR(INDEX(MgAmenDegI,MATCH(SUBSTITUTE($H2159,"*","-"),MgAmenClave,0)),"No aplica")</f>
        <v/>
      </c>
      <c r="P2159" s="28">
        <f>IFERROR(INDEX(MgAmenDegC,MATCH(SUBSTITUTE($H2159,"*","-"),MgAmenClave,0)),"No aplica")</f>
        <v/>
      </c>
      <c r="Q2159" s="29">
        <f>IFERROR(VLOOKUP(K2159,MgValor,2,0)*VLOOKUP(N2159,MgDeg,2,0),0)</f>
        <v/>
      </c>
      <c r="R2159" s="29">
        <f>IFERROR(VLOOKUP(L2159,MgValor,2,0)*VLOOKUP(O2159,MgDeg,2,0),0)</f>
        <v/>
      </c>
      <c r="S2159" s="29">
        <f>IFERROR(VLOOKUP(M2159,MgValor,2,0)*VLOOKUP(P2159,MgDeg,2,0),0)</f>
        <v/>
      </c>
      <c r="T2159" s="30">
        <f>MAX(Q2159:S2159)</f>
        <v/>
      </c>
      <c r="U2159" s="28">
        <f>IFERROR(LOOKUP(T2159,{0;0.5;1.5;3;4.5},{"Despreciable";"Bajo";"Medio";"Alto";"Muy alto"}),"")</f>
        <v/>
      </c>
      <c r="V2159" s="13">
        <f>IFERROR(INDEX(MgAmenFrec,MATCH(SUBSTITUTE($H2159,"*","-"),MgAmenClave,0)),"")</f>
        <v/>
      </c>
      <c r="W2159" s="28">
        <f>IFERROR(LOOKUP(X2159,{0;0.01;0.1;1;10;100},{"Muy baja";"Muy baja";"Baja";"Media";"Alta";"Muy alta"}),"")</f>
        <v/>
      </c>
      <c r="X2159" s="31">
        <f>IFERROR(VLOOKUP(V2159,MgFrec,2,0),0)</f>
        <v/>
      </c>
      <c r="Y2159" s="30">
        <f>T2159*X2159</f>
        <v/>
      </c>
      <c r="Z2159" s="28">
        <f>IFERROR(LOOKUP(Y2159,{0;0.5;5;25},{"Bajo";"Medio";"Alto";"Crítico"}),"")</f>
        <v/>
      </c>
      <c r="AA2159" s="64">
        <f>IF(T2159&gt;=3,IF(X2159&gt;=1,"Zona 1 — Crítica: impacto alto y ocurre al menos una vez al año","Zona 4 — Catastrófica poco probable: impacto alto pero excepcional"),IF(AND(T2159&lt;1.5,X2159&lt;1),"Zona 3 — Asumible: impacto bajo y muy poco frecuente","Zona 2 — Atención: riesgo intermedio"))</f>
        <v/>
      </c>
      <c r="AB2159" s="64">
        <f>IFERROR(INDEX(MgAmenCtrl,MATCH(SUBSTITUTE($H2159,"*","-"),MgAmenClave,0)),"")</f>
        <v/>
      </c>
      <c r="AC2159" s="20" t="n"/>
      <c r="AD2159" s="31">
        <f>IFERROR($X2159*(1-IF($AC2159="",$AL2159,VLOOKUP($AC2159,MgMad,2,0))),"")</f>
        <v/>
      </c>
      <c r="AE2159" s="28">
        <f>IFERROR(LOOKUP(AD2159,{0;0.01;0.1;1;10;100},{"Muy baja";"Muy baja";"Baja";"Media";"Alta";"Muy alta"}),"")</f>
        <v/>
      </c>
      <c r="AF2159" s="30">
        <f>T2159*AD2159</f>
        <v/>
      </c>
      <c r="AG2159" s="28">
        <f>IFERROR(LOOKUP(AF2159,{0;0.5;5;25},{"Bajo";"Medio";"Alto";"Crítico"}),"")</f>
        <v/>
      </c>
      <c r="AH2159" s="28">
        <f>IF(AG2159="","",IF(OR(AG2159="Crítico",AG2159="Alto"),"Mitigar",IF(AG2159="Medio","Mitigar","Aceptar y monitorear")))</f>
        <v/>
      </c>
      <c r="AI2159" s="21" t="n"/>
      <c r="AJ2159" s="21" t="n"/>
      <c r="AK2159" s="20" t="n"/>
      <c r="AL2159" s="77">
        <f>IFERROR(INDEX(MgAmenEfic,MATCH(SUBSTITUTE($H2159,"*","-"),MgAmenClave,0)),0)</f>
        <v/>
      </c>
    </row>
    <row r="2160" hidden="1" ht="120" customHeight="1" s="54">
      <c r="B2160" s="59" t="inlineStr">
        <is>
          <t>R-2155</t>
        </is>
      </c>
      <c r="C2160" s="59" t="inlineStr">
        <is>
          <t>FIN-22</t>
        </is>
      </c>
      <c r="D2160" s="64">
        <f>IFERROR(INDEX(MgNombre,MATCH($C2160,MgActId,0)),"")</f>
        <v/>
      </c>
      <c r="E2160" s="64">
        <f>IFERROR(INDEX(MgProceso,MATCH($C2160,MgActId,0)),"")</f>
        <v/>
      </c>
      <c r="F2160" s="64">
        <f>IFERROR(INDEX(MgTipo,MATCH($C2160,MgActId,0)),"")</f>
        <v/>
      </c>
      <c r="G2160" s="64">
        <f>IFERROR(INDEX(MgSubtipo,MATCH($C2160,MgActId,0)),"")</f>
        <v/>
      </c>
      <c r="H2160" s="59" t="inlineStr">
        <is>
          <t>A.19</t>
        </is>
      </c>
      <c r="I2160" s="64">
        <f>IFERROR(INDEX(MgAmenNombre,MATCH(SUBSTITUTE($H2160,"*","-"),MgAmenClave,0)),"")</f>
        <v/>
      </c>
      <c r="J2160" s="28">
        <f>IFERROR(INDEX(MgAmenGrupo,MATCH(SUBSTITUTE($H2160,"*","-"),MgAmenClave,0)),"")</f>
        <v/>
      </c>
      <c r="K2160" s="64">
        <f>IFERROR(INDEX('1. Matriz de Activos'!$Q$6:$Q$239,MATCH($C2160,MgActId,0)),"")</f>
        <v/>
      </c>
      <c r="L2160" s="64">
        <f>IFERROR(INDEX('1. Matriz de Activos'!$R$6:$R$239,MATCH($C2160,MgActId,0)),"")</f>
        <v/>
      </c>
      <c r="M2160" s="64">
        <f>IFERROR(INDEX('1. Matriz de Activos'!$S$6:$S$239,MATCH($C2160,MgActId,0)),"")</f>
        <v/>
      </c>
      <c r="N2160" s="28">
        <f>IFERROR(INDEX(MgAmenDegD,MATCH(SUBSTITUTE($H2160,"*","-"),MgAmenClave,0)),"No aplica")</f>
        <v/>
      </c>
      <c r="O2160" s="28">
        <f>IFERROR(INDEX(MgAmenDegI,MATCH(SUBSTITUTE($H2160,"*","-"),MgAmenClave,0)),"No aplica")</f>
        <v/>
      </c>
      <c r="P2160" s="28">
        <f>IFERROR(INDEX(MgAmenDegC,MATCH(SUBSTITUTE($H2160,"*","-"),MgAmenClave,0)),"No aplica")</f>
        <v/>
      </c>
      <c r="Q2160" s="29">
        <f>IFERROR(VLOOKUP(K2160,MgValor,2,0)*VLOOKUP(N2160,MgDeg,2,0),0)</f>
        <v/>
      </c>
      <c r="R2160" s="29">
        <f>IFERROR(VLOOKUP(L2160,MgValor,2,0)*VLOOKUP(O2160,MgDeg,2,0),0)</f>
        <v/>
      </c>
      <c r="S2160" s="29">
        <f>IFERROR(VLOOKUP(M2160,MgValor,2,0)*VLOOKUP(P2160,MgDeg,2,0),0)</f>
        <v/>
      </c>
      <c r="T2160" s="30">
        <f>MAX(Q2160:S2160)</f>
        <v/>
      </c>
      <c r="U2160" s="28">
        <f>IFERROR(LOOKUP(T2160,{0;0.5;1.5;3;4.5},{"Despreciable";"Bajo";"Medio";"Alto";"Muy alto"}),"")</f>
        <v/>
      </c>
      <c r="V2160" s="13">
        <f>IFERROR(INDEX(MgAmenFrec,MATCH(SUBSTITUTE($H2160,"*","-"),MgAmenClave,0)),"")</f>
        <v/>
      </c>
      <c r="W2160" s="28">
        <f>IFERROR(LOOKUP(X2160,{0;0.01;0.1;1;10;100},{"Muy baja";"Muy baja";"Baja";"Media";"Alta";"Muy alta"}),"")</f>
        <v/>
      </c>
      <c r="X2160" s="31">
        <f>IFERROR(VLOOKUP(V2160,MgFrec,2,0),0)</f>
        <v/>
      </c>
      <c r="Y2160" s="30">
        <f>T2160*X2160</f>
        <v/>
      </c>
      <c r="Z2160" s="28">
        <f>IFERROR(LOOKUP(Y2160,{0;0.5;5;25},{"Bajo";"Medio";"Alto";"Crítico"}),"")</f>
        <v/>
      </c>
      <c r="AA2160" s="64">
        <f>IF(T2160&gt;=3,IF(X2160&gt;=1,"Zona 1 — Crítica: impacto alto y ocurre al menos una vez al año","Zona 4 — Catastrófica poco probable: impacto alto pero excepcional"),IF(AND(T2160&lt;1.5,X2160&lt;1),"Zona 3 — Asumible: impacto bajo y muy poco frecuente","Zona 2 — Atención: riesgo intermedio"))</f>
        <v/>
      </c>
      <c r="AB2160" s="64">
        <f>IFERROR(INDEX(MgAmenCtrl,MATCH(SUBSTITUTE($H2160,"*","-"),MgAmenClave,0)),"")</f>
        <v/>
      </c>
      <c r="AC2160" s="20" t="n"/>
      <c r="AD2160" s="31">
        <f>IFERROR($X2160*(1-IF($AC2160="",$AL2160,VLOOKUP($AC2160,MgMad,2,0))),"")</f>
        <v/>
      </c>
      <c r="AE2160" s="28">
        <f>IFERROR(LOOKUP(AD2160,{0;0.01;0.1;1;10;100},{"Muy baja";"Muy baja";"Baja";"Media";"Alta";"Muy alta"}),"")</f>
        <v/>
      </c>
      <c r="AF2160" s="30">
        <f>T2160*AD2160</f>
        <v/>
      </c>
      <c r="AG2160" s="28">
        <f>IFERROR(LOOKUP(AF2160,{0;0.5;5;25},{"Bajo";"Medio";"Alto";"Crítico"}),"")</f>
        <v/>
      </c>
      <c r="AH2160" s="28">
        <f>IF(AG2160="","",IF(OR(AG2160="Crítico",AG2160="Alto"),"Mitigar",IF(AG2160="Medio","Mitigar","Aceptar y monitorear")))</f>
        <v/>
      </c>
      <c r="AI2160" s="21" t="n"/>
      <c r="AJ2160" s="21" t="n"/>
      <c r="AK2160" s="20" t="n"/>
      <c r="AL2160" s="77">
        <f>IFERROR(INDEX(MgAmenEfic,MATCH(SUBSTITUTE($H2160,"*","-"),MgAmenClave,0)),0)</f>
        <v/>
      </c>
    </row>
    <row r="2161" hidden="1" ht="60" customHeight="1" s="54">
      <c r="B2161" s="59" t="inlineStr">
        <is>
          <t>R-2156</t>
        </is>
      </c>
      <c r="C2161" s="59" t="inlineStr">
        <is>
          <t>FIN-22</t>
        </is>
      </c>
      <c r="D2161" s="64">
        <f>IFERROR(INDEX(MgNombre,MATCH($C2161,MgActId,0)),"")</f>
        <v/>
      </c>
      <c r="E2161" s="64">
        <f>IFERROR(INDEX(MgProceso,MATCH($C2161,MgActId,0)),"")</f>
        <v/>
      </c>
      <c r="F2161" s="64">
        <f>IFERROR(INDEX(MgTipo,MATCH($C2161,MgActId,0)),"")</f>
        <v/>
      </c>
      <c r="G2161" s="64">
        <f>IFERROR(INDEX(MgSubtipo,MATCH($C2161,MgActId,0)),"")</f>
        <v/>
      </c>
      <c r="H2161" s="59" t="inlineStr">
        <is>
          <t>A.24</t>
        </is>
      </c>
      <c r="I2161" s="64">
        <f>IFERROR(INDEX(MgAmenNombre,MATCH(SUBSTITUTE($H2161,"*","-"),MgAmenClave,0)),"")</f>
        <v/>
      </c>
      <c r="J2161" s="28">
        <f>IFERROR(INDEX(MgAmenGrupo,MATCH(SUBSTITUTE($H2161,"*","-"),MgAmenClave,0)),"")</f>
        <v/>
      </c>
      <c r="K2161" s="64">
        <f>IFERROR(INDEX('1. Matriz de Activos'!$Q$6:$Q$239,MATCH($C2161,MgActId,0)),"")</f>
        <v/>
      </c>
      <c r="L2161" s="64">
        <f>IFERROR(INDEX('1. Matriz de Activos'!$R$6:$R$239,MATCH($C2161,MgActId,0)),"")</f>
        <v/>
      </c>
      <c r="M2161" s="64">
        <f>IFERROR(INDEX('1. Matriz de Activos'!$S$6:$S$239,MATCH($C2161,MgActId,0)),"")</f>
        <v/>
      </c>
      <c r="N2161" s="28">
        <f>IFERROR(INDEX(MgAmenDegD,MATCH(SUBSTITUTE($H2161,"*","-"),MgAmenClave,0)),"No aplica")</f>
        <v/>
      </c>
      <c r="O2161" s="28">
        <f>IFERROR(INDEX(MgAmenDegI,MATCH(SUBSTITUTE($H2161,"*","-"),MgAmenClave,0)),"No aplica")</f>
        <v/>
      </c>
      <c r="P2161" s="28">
        <f>IFERROR(INDEX(MgAmenDegC,MATCH(SUBSTITUTE($H2161,"*","-"),MgAmenClave,0)),"No aplica")</f>
        <v/>
      </c>
      <c r="Q2161" s="29">
        <f>IFERROR(VLOOKUP(K2161,MgValor,2,0)*VLOOKUP(N2161,MgDeg,2,0),0)</f>
        <v/>
      </c>
      <c r="R2161" s="29">
        <f>IFERROR(VLOOKUP(L2161,MgValor,2,0)*VLOOKUP(O2161,MgDeg,2,0),0)</f>
        <v/>
      </c>
      <c r="S2161" s="29">
        <f>IFERROR(VLOOKUP(M2161,MgValor,2,0)*VLOOKUP(P2161,MgDeg,2,0),0)</f>
        <v/>
      </c>
      <c r="T2161" s="30">
        <f>MAX(Q2161:S2161)</f>
        <v/>
      </c>
      <c r="U2161" s="28">
        <f>IFERROR(LOOKUP(T2161,{0;0.5;1.5;3;4.5},{"Despreciable";"Bajo";"Medio";"Alto";"Muy alto"}),"")</f>
        <v/>
      </c>
      <c r="V2161" s="13">
        <f>IFERROR(INDEX(MgAmenFrec,MATCH(SUBSTITUTE($H2161,"*","-"),MgAmenClave,0)),"")</f>
        <v/>
      </c>
      <c r="W2161" s="28">
        <f>IFERROR(LOOKUP(X2161,{0;0.01;0.1;1;10;100},{"Muy baja";"Muy baja";"Baja";"Media";"Alta";"Muy alta"}),"")</f>
        <v/>
      </c>
      <c r="X2161" s="31">
        <f>IFERROR(VLOOKUP(V2161,MgFrec,2,0),0)</f>
        <v/>
      </c>
      <c r="Y2161" s="30">
        <f>T2161*X2161</f>
        <v/>
      </c>
      <c r="Z2161" s="28">
        <f>IFERROR(LOOKUP(Y2161,{0;0.5;5;25},{"Bajo";"Medio";"Alto";"Crítico"}),"")</f>
        <v/>
      </c>
      <c r="AA2161" s="64">
        <f>IF(T2161&gt;=3,IF(X2161&gt;=1,"Zona 1 — Crítica: impacto alto y ocurre al menos una vez al año","Zona 4 — Catastrófica poco probable: impacto alto pero excepcional"),IF(AND(T2161&lt;1.5,X2161&lt;1),"Zona 3 — Asumible: impacto bajo y muy poco frecuente","Zona 2 — Atención: riesgo intermedio"))</f>
        <v/>
      </c>
      <c r="AB2161" s="64">
        <f>IFERROR(INDEX(MgAmenCtrl,MATCH(SUBSTITUTE($H2161,"*","-"),MgAmenClave,0)),"")</f>
        <v/>
      </c>
      <c r="AC2161" s="20" t="n"/>
      <c r="AD2161" s="31">
        <f>IFERROR($X2161*(1-IF($AC2161="",$AL2161,VLOOKUP($AC2161,MgMad,2,0))),"")</f>
        <v/>
      </c>
      <c r="AE2161" s="28">
        <f>IFERROR(LOOKUP(AD2161,{0;0.01;0.1;1;10;100},{"Muy baja";"Muy baja";"Baja";"Media";"Alta";"Muy alta"}),"")</f>
        <v/>
      </c>
      <c r="AF2161" s="30">
        <f>T2161*AD2161</f>
        <v/>
      </c>
      <c r="AG2161" s="28">
        <f>IFERROR(LOOKUP(AF2161,{0;0.5;5;25},{"Bajo";"Medio";"Alto";"Crítico"}),"")</f>
        <v/>
      </c>
      <c r="AH2161" s="28">
        <f>IF(AG2161="","",IF(OR(AG2161="Crítico",AG2161="Alto"),"Mitigar",IF(AG2161="Medio","Mitigar","Aceptar y monitorear")))</f>
        <v/>
      </c>
      <c r="AI2161" s="21" t="n"/>
      <c r="AJ2161" s="21" t="n"/>
      <c r="AK2161" s="20" t="n"/>
      <c r="AL2161" s="77">
        <f>IFERROR(INDEX(MgAmenEfic,MATCH(SUBSTITUTE($H2161,"*","-"),MgAmenClave,0)),0)</f>
        <v/>
      </c>
    </row>
    <row r="2162" hidden="1" ht="105" customHeight="1" s="54">
      <c r="B2162" s="59" t="inlineStr">
        <is>
          <t>R-2157</t>
        </is>
      </c>
      <c r="C2162" s="59" t="inlineStr">
        <is>
          <t>FIN-24</t>
        </is>
      </c>
      <c r="D2162" s="64">
        <f>IFERROR(INDEX(MgNombre,MATCH($C2162,MgActId,0)),"")</f>
        <v/>
      </c>
      <c r="E2162" s="64">
        <f>IFERROR(INDEX(MgProceso,MATCH($C2162,MgActId,0)),"")</f>
        <v/>
      </c>
      <c r="F2162" s="64">
        <f>IFERROR(INDEX(MgTipo,MATCH($C2162,MgActId,0)),"")</f>
        <v/>
      </c>
      <c r="G2162" s="64">
        <f>IFERROR(INDEX(MgSubtipo,MATCH($C2162,MgActId,0)),"")</f>
        <v/>
      </c>
      <c r="H2162" s="59" t="inlineStr">
        <is>
          <t>E.1</t>
        </is>
      </c>
      <c r="I2162" s="64">
        <f>IFERROR(INDEX(MgAmenNombre,MATCH(SUBSTITUTE($H2162,"*","-"),MgAmenClave,0)),"")</f>
        <v/>
      </c>
      <c r="J2162" s="28">
        <f>IFERROR(INDEX(MgAmenGrupo,MATCH(SUBSTITUTE($H2162,"*","-"),MgAmenClave,0)),"")</f>
        <v/>
      </c>
      <c r="K2162" s="64">
        <f>IFERROR(INDEX('1. Matriz de Activos'!$Q$6:$Q$239,MATCH($C2162,MgActId,0)),"")</f>
        <v/>
      </c>
      <c r="L2162" s="64">
        <f>IFERROR(INDEX('1. Matriz de Activos'!$R$6:$R$239,MATCH($C2162,MgActId,0)),"")</f>
        <v/>
      </c>
      <c r="M2162" s="64">
        <f>IFERROR(INDEX('1. Matriz de Activos'!$S$6:$S$239,MATCH($C2162,MgActId,0)),"")</f>
        <v/>
      </c>
      <c r="N2162" s="28">
        <f>IFERROR(INDEX(MgAmenDegD,MATCH(SUBSTITUTE($H2162,"*","-"),MgAmenClave,0)),"No aplica")</f>
        <v/>
      </c>
      <c r="O2162" s="28">
        <f>IFERROR(INDEX(MgAmenDegI,MATCH(SUBSTITUTE($H2162,"*","-"),MgAmenClave,0)),"No aplica")</f>
        <v/>
      </c>
      <c r="P2162" s="28">
        <f>IFERROR(INDEX(MgAmenDegC,MATCH(SUBSTITUTE($H2162,"*","-"),MgAmenClave,0)),"No aplica")</f>
        <v/>
      </c>
      <c r="Q2162" s="29">
        <f>IFERROR(VLOOKUP(K2162,MgValor,2,0)*VLOOKUP(N2162,MgDeg,2,0),0)</f>
        <v/>
      </c>
      <c r="R2162" s="29">
        <f>IFERROR(VLOOKUP(L2162,MgValor,2,0)*VLOOKUP(O2162,MgDeg,2,0),0)</f>
        <v/>
      </c>
      <c r="S2162" s="29">
        <f>IFERROR(VLOOKUP(M2162,MgValor,2,0)*VLOOKUP(P2162,MgDeg,2,0),0)</f>
        <v/>
      </c>
      <c r="T2162" s="30">
        <f>MAX(Q2162:S2162)</f>
        <v/>
      </c>
      <c r="U2162" s="28">
        <f>IFERROR(LOOKUP(T2162,{0;0.5;1.5;3;4.5},{"Despreciable";"Bajo";"Medio";"Alto";"Muy alto"}),"")</f>
        <v/>
      </c>
      <c r="V2162" s="13">
        <f>IFERROR(INDEX(MgAmenFrec,MATCH(SUBSTITUTE($H2162,"*","-"),MgAmenClave,0)),"")</f>
        <v/>
      </c>
      <c r="W2162" s="28">
        <f>IFERROR(LOOKUP(X2162,{0;0.01;0.1;1;10;100},{"Muy baja";"Muy baja";"Baja";"Media";"Alta";"Muy alta"}),"")</f>
        <v/>
      </c>
      <c r="X2162" s="31">
        <f>IFERROR(VLOOKUP(V2162,MgFrec,2,0),0)</f>
        <v/>
      </c>
      <c r="Y2162" s="30">
        <f>T2162*X2162</f>
        <v/>
      </c>
      <c r="Z2162" s="28">
        <f>IFERROR(LOOKUP(Y2162,{0;0.5;5;25},{"Bajo";"Medio";"Alto";"Crítico"}),"")</f>
        <v/>
      </c>
      <c r="AA2162" s="64">
        <f>IF(T2162&gt;=3,IF(X2162&gt;=1,"Zona 1 — Crítica: impacto alto y ocurre al menos una vez al año","Zona 4 — Catastrófica poco probable: impacto alto pero excepcional"),IF(AND(T2162&lt;1.5,X2162&lt;1),"Zona 3 — Asumible: impacto bajo y muy poco frecuente","Zona 2 — Atención: riesgo intermedio"))</f>
        <v/>
      </c>
      <c r="AB2162" s="64">
        <f>IFERROR(INDEX(MgAmenCtrl,MATCH(SUBSTITUTE($H2162,"*","-"),MgAmenClave,0)),"")</f>
        <v/>
      </c>
      <c r="AC2162" s="20" t="n"/>
      <c r="AD2162" s="31">
        <f>IFERROR($X2162*(1-IF($AC2162="",$AL2162,VLOOKUP($AC2162,MgMad,2,0))),"")</f>
        <v/>
      </c>
      <c r="AE2162" s="28">
        <f>IFERROR(LOOKUP(AD2162,{0;0.01;0.1;1;10;100},{"Muy baja";"Muy baja";"Baja";"Media";"Alta";"Muy alta"}),"")</f>
        <v/>
      </c>
      <c r="AF2162" s="30">
        <f>T2162*AD2162</f>
        <v/>
      </c>
      <c r="AG2162" s="28">
        <f>IFERROR(LOOKUP(AF2162,{0;0.5;5;25},{"Bajo";"Medio";"Alto";"Crítico"}),"")</f>
        <v/>
      </c>
      <c r="AH2162" s="28">
        <f>IF(AG2162="","",IF(OR(AG2162="Crítico",AG2162="Alto"),"Mitigar",IF(AG2162="Medio","Mitigar","Aceptar y monitorear")))</f>
        <v/>
      </c>
      <c r="AI2162" s="21" t="n"/>
      <c r="AJ2162" s="21" t="n"/>
      <c r="AK2162" s="20" t="n"/>
      <c r="AL2162" s="77">
        <f>IFERROR(INDEX(MgAmenEfic,MATCH(SUBSTITUTE($H2162,"*","-"),MgAmenClave,0)),0)</f>
        <v/>
      </c>
    </row>
    <row r="2163" hidden="1" ht="120" customHeight="1" s="54">
      <c r="B2163" s="59" t="inlineStr">
        <is>
          <t>R-2158</t>
        </is>
      </c>
      <c r="C2163" s="59" t="inlineStr">
        <is>
          <t>FIN-24</t>
        </is>
      </c>
      <c r="D2163" s="64">
        <f>IFERROR(INDEX(MgNombre,MATCH($C2163,MgActId,0)),"")</f>
        <v/>
      </c>
      <c r="E2163" s="64">
        <f>IFERROR(INDEX(MgProceso,MATCH($C2163,MgActId,0)),"")</f>
        <v/>
      </c>
      <c r="F2163" s="64">
        <f>IFERROR(INDEX(MgTipo,MATCH($C2163,MgActId,0)),"")</f>
        <v/>
      </c>
      <c r="G2163" s="64">
        <f>IFERROR(INDEX(MgSubtipo,MATCH($C2163,MgActId,0)),"")</f>
        <v/>
      </c>
      <c r="H2163" s="59" t="inlineStr">
        <is>
          <t>E.2</t>
        </is>
      </c>
      <c r="I2163" s="64">
        <f>IFERROR(INDEX(MgAmenNombre,MATCH(SUBSTITUTE($H2163,"*","-"),MgAmenClave,0)),"")</f>
        <v/>
      </c>
      <c r="J2163" s="28">
        <f>IFERROR(INDEX(MgAmenGrupo,MATCH(SUBSTITUTE($H2163,"*","-"),MgAmenClave,0)),"")</f>
        <v/>
      </c>
      <c r="K2163" s="64">
        <f>IFERROR(INDEX('1. Matriz de Activos'!$Q$6:$Q$239,MATCH($C2163,MgActId,0)),"")</f>
        <v/>
      </c>
      <c r="L2163" s="64">
        <f>IFERROR(INDEX('1. Matriz de Activos'!$R$6:$R$239,MATCH($C2163,MgActId,0)),"")</f>
        <v/>
      </c>
      <c r="M2163" s="64">
        <f>IFERROR(INDEX('1. Matriz de Activos'!$S$6:$S$239,MATCH($C2163,MgActId,0)),"")</f>
        <v/>
      </c>
      <c r="N2163" s="28">
        <f>IFERROR(INDEX(MgAmenDegD,MATCH(SUBSTITUTE($H2163,"*","-"),MgAmenClave,0)),"No aplica")</f>
        <v/>
      </c>
      <c r="O2163" s="28">
        <f>IFERROR(INDEX(MgAmenDegI,MATCH(SUBSTITUTE($H2163,"*","-"),MgAmenClave,0)),"No aplica")</f>
        <v/>
      </c>
      <c r="P2163" s="28">
        <f>IFERROR(INDEX(MgAmenDegC,MATCH(SUBSTITUTE($H2163,"*","-"),MgAmenClave,0)),"No aplica")</f>
        <v/>
      </c>
      <c r="Q2163" s="29">
        <f>IFERROR(VLOOKUP(K2163,MgValor,2,0)*VLOOKUP(N2163,MgDeg,2,0),0)</f>
        <v/>
      </c>
      <c r="R2163" s="29">
        <f>IFERROR(VLOOKUP(L2163,MgValor,2,0)*VLOOKUP(O2163,MgDeg,2,0),0)</f>
        <v/>
      </c>
      <c r="S2163" s="29">
        <f>IFERROR(VLOOKUP(M2163,MgValor,2,0)*VLOOKUP(P2163,MgDeg,2,0),0)</f>
        <v/>
      </c>
      <c r="T2163" s="30">
        <f>MAX(Q2163:S2163)</f>
        <v/>
      </c>
      <c r="U2163" s="28">
        <f>IFERROR(LOOKUP(T2163,{0;0.5;1.5;3;4.5},{"Despreciable";"Bajo";"Medio";"Alto";"Muy alto"}),"")</f>
        <v/>
      </c>
      <c r="V2163" s="13">
        <f>IFERROR(INDEX(MgAmenFrec,MATCH(SUBSTITUTE($H2163,"*","-"),MgAmenClave,0)),"")</f>
        <v/>
      </c>
      <c r="W2163" s="28">
        <f>IFERROR(LOOKUP(X2163,{0;0.01;0.1;1;10;100},{"Muy baja";"Muy baja";"Baja";"Media";"Alta";"Muy alta"}),"")</f>
        <v/>
      </c>
      <c r="X2163" s="31">
        <f>IFERROR(VLOOKUP(V2163,MgFrec,2,0),0)</f>
        <v/>
      </c>
      <c r="Y2163" s="30">
        <f>T2163*X2163</f>
        <v/>
      </c>
      <c r="Z2163" s="28">
        <f>IFERROR(LOOKUP(Y2163,{0;0.5;5;25},{"Bajo";"Medio";"Alto";"Crítico"}),"")</f>
        <v/>
      </c>
      <c r="AA2163" s="64">
        <f>IF(T2163&gt;=3,IF(X2163&gt;=1,"Zona 1 — Crítica: impacto alto y ocurre al menos una vez al año","Zona 4 — Catastrófica poco probable: impacto alto pero excepcional"),IF(AND(T2163&lt;1.5,X2163&lt;1),"Zona 3 — Asumible: impacto bajo y muy poco frecuente","Zona 2 — Atención: riesgo intermedio"))</f>
        <v/>
      </c>
      <c r="AB2163" s="64">
        <f>IFERROR(INDEX(MgAmenCtrl,MATCH(SUBSTITUTE($H2163,"*","-"),MgAmenClave,0)),"")</f>
        <v/>
      </c>
      <c r="AC2163" s="20" t="n"/>
      <c r="AD2163" s="31">
        <f>IFERROR($X2163*(1-IF($AC2163="",$AL2163,VLOOKUP($AC2163,MgMad,2,0))),"")</f>
        <v/>
      </c>
      <c r="AE2163" s="28">
        <f>IFERROR(LOOKUP(AD2163,{0;0.01;0.1;1;10;100},{"Muy baja";"Muy baja";"Baja";"Media";"Alta";"Muy alta"}),"")</f>
        <v/>
      </c>
      <c r="AF2163" s="30">
        <f>T2163*AD2163</f>
        <v/>
      </c>
      <c r="AG2163" s="28">
        <f>IFERROR(LOOKUP(AF2163,{0;0.5;5;25},{"Bajo";"Medio";"Alto";"Crítico"}),"")</f>
        <v/>
      </c>
      <c r="AH2163" s="28">
        <f>IF(AG2163="","",IF(OR(AG2163="Crítico",AG2163="Alto"),"Mitigar",IF(AG2163="Medio","Mitigar","Aceptar y monitorear")))</f>
        <v/>
      </c>
      <c r="AI2163" s="21" t="n"/>
      <c r="AJ2163" s="21" t="n"/>
      <c r="AK2163" s="20" t="n"/>
      <c r="AL2163" s="77">
        <f>IFERROR(INDEX(MgAmenEfic,MATCH(SUBSTITUTE($H2163,"*","-"),MgAmenClave,0)),0)</f>
        <v/>
      </c>
    </row>
    <row r="2164" hidden="1" ht="60" customHeight="1" s="54">
      <c r="B2164" s="59" t="inlineStr">
        <is>
          <t>R-2159</t>
        </is>
      </c>
      <c r="C2164" s="59" t="inlineStr">
        <is>
          <t>FIN-24</t>
        </is>
      </c>
      <c r="D2164" s="64">
        <f>IFERROR(INDEX(MgNombre,MATCH($C2164,MgActId,0)),"")</f>
        <v/>
      </c>
      <c r="E2164" s="64">
        <f>IFERROR(INDEX(MgProceso,MATCH($C2164,MgActId,0)),"")</f>
        <v/>
      </c>
      <c r="F2164" s="64">
        <f>IFERROR(INDEX(MgTipo,MATCH($C2164,MgActId,0)),"")</f>
        <v/>
      </c>
      <c r="G2164" s="64">
        <f>IFERROR(INDEX(MgSubtipo,MATCH($C2164,MgActId,0)),"")</f>
        <v/>
      </c>
      <c r="H2164" s="59" t="inlineStr">
        <is>
          <t>E.9</t>
        </is>
      </c>
      <c r="I2164" s="64">
        <f>IFERROR(INDEX(MgAmenNombre,MATCH(SUBSTITUTE($H2164,"*","-"),MgAmenClave,0)),"")</f>
        <v/>
      </c>
      <c r="J2164" s="28">
        <f>IFERROR(INDEX(MgAmenGrupo,MATCH(SUBSTITUTE($H2164,"*","-"),MgAmenClave,0)),"")</f>
        <v/>
      </c>
      <c r="K2164" s="64">
        <f>IFERROR(INDEX('1. Matriz de Activos'!$Q$6:$Q$239,MATCH($C2164,MgActId,0)),"")</f>
        <v/>
      </c>
      <c r="L2164" s="64">
        <f>IFERROR(INDEX('1. Matriz de Activos'!$R$6:$R$239,MATCH($C2164,MgActId,0)),"")</f>
        <v/>
      </c>
      <c r="M2164" s="64">
        <f>IFERROR(INDEX('1. Matriz de Activos'!$S$6:$S$239,MATCH($C2164,MgActId,0)),"")</f>
        <v/>
      </c>
      <c r="N2164" s="28">
        <f>IFERROR(INDEX(MgAmenDegD,MATCH(SUBSTITUTE($H2164,"*","-"),MgAmenClave,0)),"No aplica")</f>
        <v/>
      </c>
      <c r="O2164" s="28">
        <f>IFERROR(INDEX(MgAmenDegI,MATCH(SUBSTITUTE($H2164,"*","-"),MgAmenClave,0)),"No aplica")</f>
        <v/>
      </c>
      <c r="P2164" s="28">
        <f>IFERROR(INDEX(MgAmenDegC,MATCH(SUBSTITUTE($H2164,"*","-"),MgAmenClave,0)),"No aplica")</f>
        <v/>
      </c>
      <c r="Q2164" s="29">
        <f>IFERROR(VLOOKUP(K2164,MgValor,2,0)*VLOOKUP(N2164,MgDeg,2,0),0)</f>
        <v/>
      </c>
      <c r="R2164" s="29">
        <f>IFERROR(VLOOKUP(L2164,MgValor,2,0)*VLOOKUP(O2164,MgDeg,2,0),0)</f>
        <v/>
      </c>
      <c r="S2164" s="29">
        <f>IFERROR(VLOOKUP(M2164,MgValor,2,0)*VLOOKUP(P2164,MgDeg,2,0),0)</f>
        <v/>
      </c>
      <c r="T2164" s="30">
        <f>MAX(Q2164:S2164)</f>
        <v/>
      </c>
      <c r="U2164" s="28">
        <f>IFERROR(LOOKUP(T2164,{0;0.5;1.5;3;4.5},{"Despreciable";"Bajo";"Medio";"Alto";"Muy alto"}),"")</f>
        <v/>
      </c>
      <c r="V2164" s="13">
        <f>IFERROR(INDEX(MgAmenFrec,MATCH(SUBSTITUTE($H2164,"*","-"),MgAmenClave,0)),"")</f>
        <v/>
      </c>
      <c r="W2164" s="28">
        <f>IFERROR(LOOKUP(X2164,{0;0.01;0.1;1;10;100},{"Muy baja";"Muy baja";"Baja";"Media";"Alta";"Muy alta"}),"")</f>
        <v/>
      </c>
      <c r="X2164" s="31">
        <f>IFERROR(VLOOKUP(V2164,MgFrec,2,0),0)</f>
        <v/>
      </c>
      <c r="Y2164" s="30">
        <f>T2164*X2164</f>
        <v/>
      </c>
      <c r="Z2164" s="28">
        <f>IFERROR(LOOKUP(Y2164,{0;0.5;5;25},{"Bajo";"Medio";"Alto";"Crítico"}),"")</f>
        <v/>
      </c>
      <c r="AA2164" s="64">
        <f>IF(T2164&gt;=3,IF(X2164&gt;=1,"Zona 1 — Crítica: impacto alto y ocurre al menos una vez al año","Zona 4 — Catastrófica poco probable: impacto alto pero excepcional"),IF(AND(T2164&lt;1.5,X2164&lt;1),"Zona 3 — Asumible: impacto bajo y muy poco frecuente","Zona 2 — Atención: riesgo intermedio"))</f>
        <v/>
      </c>
      <c r="AB2164" s="64">
        <f>IFERROR(INDEX(MgAmenCtrl,MATCH(SUBSTITUTE($H2164,"*","-"),MgAmenClave,0)),"")</f>
        <v/>
      </c>
      <c r="AC2164" s="20" t="n"/>
      <c r="AD2164" s="31">
        <f>IFERROR($X2164*(1-IF($AC2164="",$AL2164,VLOOKUP($AC2164,MgMad,2,0))),"")</f>
        <v/>
      </c>
      <c r="AE2164" s="28">
        <f>IFERROR(LOOKUP(AD2164,{0;0.01;0.1;1;10;100},{"Muy baja";"Muy baja";"Baja";"Media";"Alta";"Muy alta"}),"")</f>
        <v/>
      </c>
      <c r="AF2164" s="30">
        <f>T2164*AD2164</f>
        <v/>
      </c>
      <c r="AG2164" s="28">
        <f>IFERROR(LOOKUP(AF2164,{0;0.5;5;25},{"Bajo";"Medio";"Alto";"Crítico"}),"")</f>
        <v/>
      </c>
      <c r="AH2164" s="28">
        <f>IF(AG2164="","",IF(OR(AG2164="Crítico",AG2164="Alto"),"Mitigar",IF(AG2164="Medio","Mitigar","Aceptar y monitorear")))</f>
        <v/>
      </c>
      <c r="AI2164" s="21" t="n"/>
      <c r="AJ2164" s="21" t="n"/>
      <c r="AK2164" s="20" t="n"/>
      <c r="AL2164" s="77">
        <f>IFERROR(INDEX(MgAmenEfic,MATCH(SUBSTITUTE($H2164,"*","-"),MgAmenClave,0)),0)</f>
        <v/>
      </c>
    </row>
    <row r="2165" hidden="1" ht="90" customHeight="1" s="54">
      <c r="B2165" s="59" t="inlineStr">
        <is>
          <t>R-2160</t>
        </is>
      </c>
      <c r="C2165" s="59" t="inlineStr">
        <is>
          <t>FIN-24</t>
        </is>
      </c>
      <c r="D2165" s="64">
        <f>IFERROR(INDEX(MgNombre,MATCH($C2165,MgActId,0)),"")</f>
        <v/>
      </c>
      <c r="E2165" s="64">
        <f>IFERROR(INDEX(MgProceso,MATCH($C2165,MgActId,0)),"")</f>
        <v/>
      </c>
      <c r="F2165" s="64">
        <f>IFERROR(INDEX(MgTipo,MATCH($C2165,MgActId,0)),"")</f>
        <v/>
      </c>
      <c r="G2165" s="64">
        <f>IFERROR(INDEX(MgSubtipo,MATCH($C2165,MgActId,0)),"")</f>
        <v/>
      </c>
      <c r="H2165" s="59" t="inlineStr">
        <is>
          <t>E.10</t>
        </is>
      </c>
      <c r="I2165" s="64">
        <f>IFERROR(INDEX(MgAmenNombre,MATCH(SUBSTITUTE($H2165,"*","-"),MgAmenClave,0)),"")</f>
        <v/>
      </c>
      <c r="J2165" s="28">
        <f>IFERROR(INDEX(MgAmenGrupo,MATCH(SUBSTITUTE($H2165,"*","-"),MgAmenClave,0)),"")</f>
        <v/>
      </c>
      <c r="K2165" s="64">
        <f>IFERROR(INDEX('1. Matriz de Activos'!$Q$6:$Q$239,MATCH($C2165,MgActId,0)),"")</f>
        <v/>
      </c>
      <c r="L2165" s="64">
        <f>IFERROR(INDEX('1. Matriz de Activos'!$R$6:$R$239,MATCH($C2165,MgActId,0)),"")</f>
        <v/>
      </c>
      <c r="M2165" s="64">
        <f>IFERROR(INDEX('1. Matriz de Activos'!$S$6:$S$239,MATCH($C2165,MgActId,0)),"")</f>
        <v/>
      </c>
      <c r="N2165" s="28">
        <f>IFERROR(INDEX(MgAmenDegD,MATCH(SUBSTITUTE($H2165,"*","-"),MgAmenClave,0)),"No aplica")</f>
        <v/>
      </c>
      <c r="O2165" s="28">
        <f>IFERROR(INDEX(MgAmenDegI,MATCH(SUBSTITUTE($H2165,"*","-"),MgAmenClave,0)),"No aplica")</f>
        <v/>
      </c>
      <c r="P2165" s="28">
        <f>IFERROR(INDEX(MgAmenDegC,MATCH(SUBSTITUTE($H2165,"*","-"),MgAmenClave,0)),"No aplica")</f>
        <v/>
      </c>
      <c r="Q2165" s="29">
        <f>IFERROR(VLOOKUP(K2165,MgValor,2,0)*VLOOKUP(N2165,MgDeg,2,0),0)</f>
        <v/>
      </c>
      <c r="R2165" s="29">
        <f>IFERROR(VLOOKUP(L2165,MgValor,2,0)*VLOOKUP(O2165,MgDeg,2,0),0)</f>
        <v/>
      </c>
      <c r="S2165" s="29">
        <f>IFERROR(VLOOKUP(M2165,MgValor,2,0)*VLOOKUP(P2165,MgDeg,2,0),0)</f>
        <v/>
      </c>
      <c r="T2165" s="30">
        <f>MAX(Q2165:S2165)</f>
        <v/>
      </c>
      <c r="U2165" s="28">
        <f>IFERROR(LOOKUP(T2165,{0;0.5;1.5;3;4.5},{"Despreciable";"Bajo";"Medio";"Alto";"Muy alto"}),"")</f>
        <v/>
      </c>
      <c r="V2165" s="13">
        <f>IFERROR(INDEX(MgAmenFrec,MATCH(SUBSTITUTE($H2165,"*","-"),MgAmenClave,0)),"")</f>
        <v/>
      </c>
      <c r="W2165" s="28">
        <f>IFERROR(LOOKUP(X2165,{0;0.01;0.1;1;10;100},{"Muy baja";"Muy baja";"Baja";"Media";"Alta";"Muy alta"}),"")</f>
        <v/>
      </c>
      <c r="X2165" s="31">
        <f>IFERROR(VLOOKUP(V2165,MgFrec,2,0),0)</f>
        <v/>
      </c>
      <c r="Y2165" s="30">
        <f>T2165*X2165</f>
        <v/>
      </c>
      <c r="Z2165" s="28">
        <f>IFERROR(LOOKUP(Y2165,{0;0.5;5;25},{"Bajo";"Medio";"Alto";"Crítico"}),"")</f>
        <v/>
      </c>
      <c r="AA2165" s="64">
        <f>IF(T2165&gt;=3,IF(X2165&gt;=1,"Zona 1 — Crítica: impacto alto y ocurre al menos una vez al año","Zona 4 — Catastrófica poco probable: impacto alto pero excepcional"),IF(AND(T2165&lt;1.5,X2165&lt;1),"Zona 3 — Asumible: impacto bajo y muy poco frecuente","Zona 2 — Atención: riesgo intermedio"))</f>
        <v/>
      </c>
      <c r="AB2165" s="64">
        <f>IFERROR(INDEX(MgAmenCtrl,MATCH(SUBSTITUTE($H2165,"*","-"),MgAmenClave,0)),"")</f>
        <v/>
      </c>
      <c r="AC2165" s="20" t="n"/>
      <c r="AD2165" s="31">
        <f>IFERROR($X2165*(1-IF($AC2165="",$AL2165,VLOOKUP($AC2165,MgMad,2,0))),"")</f>
        <v/>
      </c>
      <c r="AE2165" s="28">
        <f>IFERROR(LOOKUP(AD2165,{0;0.01;0.1;1;10;100},{"Muy baja";"Muy baja";"Baja";"Media";"Alta";"Muy alta"}),"")</f>
        <v/>
      </c>
      <c r="AF2165" s="30">
        <f>T2165*AD2165</f>
        <v/>
      </c>
      <c r="AG2165" s="28">
        <f>IFERROR(LOOKUP(AF2165,{0;0.5;5;25},{"Bajo";"Medio";"Alto";"Crítico"}),"")</f>
        <v/>
      </c>
      <c r="AH2165" s="28">
        <f>IF(AG2165="","",IF(OR(AG2165="Crítico",AG2165="Alto"),"Mitigar",IF(AG2165="Medio","Mitigar","Aceptar y monitorear")))</f>
        <v/>
      </c>
      <c r="AI2165" s="21" t="n"/>
      <c r="AJ2165" s="21" t="n"/>
      <c r="AK2165" s="20" t="n"/>
      <c r="AL2165" s="77">
        <f>IFERROR(INDEX(MgAmenEfic,MATCH(SUBSTITUTE($H2165,"*","-"),MgAmenClave,0)),0)</f>
        <v/>
      </c>
    </row>
    <row r="2166" hidden="1" ht="90" customHeight="1" s="54">
      <c r="B2166" s="59" t="inlineStr">
        <is>
          <t>R-2161</t>
        </is>
      </c>
      <c r="C2166" s="59" t="inlineStr">
        <is>
          <t>FIN-24</t>
        </is>
      </c>
      <c r="D2166" s="64">
        <f>IFERROR(INDEX(MgNombre,MATCH($C2166,MgActId,0)),"")</f>
        <v/>
      </c>
      <c r="E2166" s="64">
        <f>IFERROR(INDEX(MgProceso,MATCH($C2166,MgActId,0)),"")</f>
        <v/>
      </c>
      <c r="F2166" s="64">
        <f>IFERROR(INDEX(MgTipo,MATCH($C2166,MgActId,0)),"")</f>
        <v/>
      </c>
      <c r="G2166" s="64">
        <f>IFERROR(INDEX(MgSubtipo,MATCH($C2166,MgActId,0)),"")</f>
        <v/>
      </c>
      <c r="H2166" s="59" t="inlineStr">
        <is>
          <t>E.14</t>
        </is>
      </c>
      <c r="I2166" s="64">
        <f>IFERROR(INDEX(MgAmenNombre,MATCH(SUBSTITUTE($H2166,"*","-"),MgAmenClave,0)),"")</f>
        <v/>
      </c>
      <c r="J2166" s="28">
        <f>IFERROR(INDEX(MgAmenGrupo,MATCH(SUBSTITUTE($H2166,"*","-"),MgAmenClave,0)),"")</f>
        <v/>
      </c>
      <c r="K2166" s="64">
        <f>IFERROR(INDEX('1. Matriz de Activos'!$Q$6:$Q$239,MATCH($C2166,MgActId,0)),"")</f>
        <v/>
      </c>
      <c r="L2166" s="64">
        <f>IFERROR(INDEX('1. Matriz de Activos'!$R$6:$R$239,MATCH($C2166,MgActId,0)),"")</f>
        <v/>
      </c>
      <c r="M2166" s="64">
        <f>IFERROR(INDEX('1. Matriz de Activos'!$S$6:$S$239,MATCH($C2166,MgActId,0)),"")</f>
        <v/>
      </c>
      <c r="N2166" s="28">
        <f>IFERROR(INDEX(MgAmenDegD,MATCH(SUBSTITUTE($H2166,"*","-"),MgAmenClave,0)),"No aplica")</f>
        <v/>
      </c>
      <c r="O2166" s="28">
        <f>IFERROR(INDEX(MgAmenDegI,MATCH(SUBSTITUTE($H2166,"*","-"),MgAmenClave,0)),"No aplica")</f>
        <v/>
      </c>
      <c r="P2166" s="28">
        <f>IFERROR(INDEX(MgAmenDegC,MATCH(SUBSTITUTE($H2166,"*","-"),MgAmenClave,0)),"No aplica")</f>
        <v/>
      </c>
      <c r="Q2166" s="29">
        <f>IFERROR(VLOOKUP(K2166,MgValor,2,0)*VLOOKUP(N2166,MgDeg,2,0),0)</f>
        <v/>
      </c>
      <c r="R2166" s="29">
        <f>IFERROR(VLOOKUP(L2166,MgValor,2,0)*VLOOKUP(O2166,MgDeg,2,0),0)</f>
        <v/>
      </c>
      <c r="S2166" s="29">
        <f>IFERROR(VLOOKUP(M2166,MgValor,2,0)*VLOOKUP(P2166,MgDeg,2,0),0)</f>
        <v/>
      </c>
      <c r="T2166" s="30">
        <f>MAX(Q2166:S2166)</f>
        <v/>
      </c>
      <c r="U2166" s="28">
        <f>IFERROR(LOOKUP(T2166,{0;0.5;1.5;3;4.5},{"Despreciable";"Bajo";"Medio";"Alto";"Muy alto"}),"")</f>
        <v/>
      </c>
      <c r="V2166" s="13">
        <f>IFERROR(INDEX(MgAmenFrec,MATCH(SUBSTITUTE($H2166,"*","-"),MgAmenClave,0)),"")</f>
        <v/>
      </c>
      <c r="W2166" s="28">
        <f>IFERROR(LOOKUP(X2166,{0;0.01;0.1;1;10;100},{"Muy baja";"Muy baja";"Baja";"Media";"Alta";"Muy alta"}),"")</f>
        <v/>
      </c>
      <c r="X2166" s="31">
        <f>IFERROR(VLOOKUP(V2166,MgFrec,2,0),0)</f>
        <v/>
      </c>
      <c r="Y2166" s="30">
        <f>T2166*X2166</f>
        <v/>
      </c>
      <c r="Z2166" s="28">
        <f>IFERROR(LOOKUP(Y2166,{0;0.5;5;25},{"Bajo";"Medio";"Alto";"Crítico"}),"")</f>
        <v/>
      </c>
      <c r="AA2166" s="64">
        <f>IF(T2166&gt;=3,IF(X2166&gt;=1,"Zona 1 — Crítica: impacto alto y ocurre al menos una vez al año","Zona 4 — Catastrófica poco probable: impacto alto pero excepcional"),IF(AND(T2166&lt;1.5,X2166&lt;1),"Zona 3 — Asumible: impacto bajo y muy poco frecuente","Zona 2 — Atención: riesgo intermedio"))</f>
        <v/>
      </c>
      <c r="AB2166" s="64">
        <f>IFERROR(INDEX(MgAmenCtrl,MATCH(SUBSTITUTE($H2166,"*","-"),MgAmenClave,0)),"")</f>
        <v/>
      </c>
      <c r="AC2166" s="20" t="n"/>
      <c r="AD2166" s="31">
        <f>IFERROR($X2166*(1-IF($AC2166="",$AL2166,VLOOKUP($AC2166,MgMad,2,0))),"")</f>
        <v/>
      </c>
      <c r="AE2166" s="28">
        <f>IFERROR(LOOKUP(AD2166,{0;0.01;0.1;1;10;100},{"Muy baja";"Muy baja";"Baja";"Media";"Alta";"Muy alta"}),"")</f>
        <v/>
      </c>
      <c r="AF2166" s="30">
        <f>T2166*AD2166</f>
        <v/>
      </c>
      <c r="AG2166" s="28">
        <f>IFERROR(LOOKUP(AF2166,{0;0.5;5;25},{"Bajo";"Medio";"Alto";"Crítico"}),"")</f>
        <v/>
      </c>
      <c r="AH2166" s="28">
        <f>IF(AG2166="","",IF(OR(AG2166="Crítico",AG2166="Alto"),"Mitigar",IF(AG2166="Medio","Mitigar","Aceptar y monitorear")))</f>
        <v/>
      </c>
      <c r="AI2166" s="21" t="n"/>
      <c r="AJ2166" s="21" t="n"/>
      <c r="AK2166" s="20" t="n"/>
      <c r="AL2166" s="77">
        <f>IFERROR(INDEX(MgAmenEfic,MATCH(SUBSTITUTE($H2166,"*","-"),MgAmenClave,0)),0)</f>
        <v/>
      </c>
    </row>
    <row r="2167" hidden="1" ht="90" customHeight="1" s="54">
      <c r="B2167" s="59" t="inlineStr">
        <is>
          <t>R-2162</t>
        </is>
      </c>
      <c r="C2167" s="59" t="inlineStr">
        <is>
          <t>FIN-24</t>
        </is>
      </c>
      <c r="D2167" s="64">
        <f>IFERROR(INDEX(MgNombre,MATCH($C2167,MgActId,0)),"")</f>
        <v/>
      </c>
      <c r="E2167" s="64">
        <f>IFERROR(INDEX(MgProceso,MATCH($C2167,MgActId,0)),"")</f>
        <v/>
      </c>
      <c r="F2167" s="64">
        <f>IFERROR(INDEX(MgTipo,MATCH($C2167,MgActId,0)),"")</f>
        <v/>
      </c>
      <c r="G2167" s="64">
        <f>IFERROR(INDEX(MgSubtipo,MATCH($C2167,MgActId,0)),"")</f>
        <v/>
      </c>
      <c r="H2167" s="59" t="inlineStr">
        <is>
          <t>E.15</t>
        </is>
      </c>
      <c r="I2167" s="64">
        <f>IFERROR(INDEX(MgAmenNombre,MATCH(SUBSTITUTE($H2167,"*","-"),MgAmenClave,0)),"")</f>
        <v/>
      </c>
      <c r="J2167" s="28">
        <f>IFERROR(INDEX(MgAmenGrupo,MATCH(SUBSTITUTE($H2167,"*","-"),MgAmenClave,0)),"")</f>
        <v/>
      </c>
      <c r="K2167" s="64">
        <f>IFERROR(INDEX('1. Matriz de Activos'!$Q$6:$Q$239,MATCH($C2167,MgActId,0)),"")</f>
        <v/>
      </c>
      <c r="L2167" s="64">
        <f>IFERROR(INDEX('1. Matriz de Activos'!$R$6:$R$239,MATCH($C2167,MgActId,0)),"")</f>
        <v/>
      </c>
      <c r="M2167" s="64">
        <f>IFERROR(INDEX('1. Matriz de Activos'!$S$6:$S$239,MATCH($C2167,MgActId,0)),"")</f>
        <v/>
      </c>
      <c r="N2167" s="28">
        <f>IFERROR(INDEX(MgAmenDegD,MATCH(SUBSTITUTE($H2167,"*","-"),MgAmenClave,0)),"No aplica")</f>
        <v/>
      </c>
      <c r="O2167" s="28">
        <f>IFERROR(INDEX(MgAmenDegI,MATCH(SUBSTITUTE($H2167,"*","-"),MgAmenClave,0)),"No aplica")</f>
        <v/>
      </c>
      <c r="P2167" s="28">
        <f>IFERROR(INDEX(MgAmenDegC,MATCH(SUBSTITUTE($H2167,"*","-"),MgAmenClave,0)),"No aplica")</f>
        <v/>
      </c>
      <c r="Q2167" s="29">
        <f>IFERROR(VLOOKUP(K2167,MgValor,2,0)*VLOOKUP(N2167,MgDeg,2,0),0)</f>
        <v/>
      </c>
      <c r="R2167" s="29">
        <f>IFERROR(VLOOKUP(L2167,MgValor,2,0)*VLOOKUP(O2167,MgDeg,2,0),0)</f>
        <v/>
      </c>
      <c r="S2167" s="29">
        <f>IFERROR(VLOOKUP(M2167,MgValor,2,0)*VLOOKUP(P2167,MgDeg,2,0),0)</f>
        <v/>
      </c>
      <c r="T2167" s="30">
        <f>MAX(Q2167:S2167)</f>
        <v/>
      </c>
      <c r="U2167" s="28">
        <f>IFERROR(LOOKUP(T2167,{0;0.5;1.5;3;4.5},{"Despreciable";"Bajo";"Medio";"Alto";"Muy alto"}),"")</f>
        <v/>
      </c>
      <c r="V2167" s="13">
        <f>IFERROR(INDEX(MgAmenFrec,MATCH(SUBSTITUTE($H2167,"*","-"),MgAmenClave,0)),"")</f>
        <v/>
      </c>
      <c r="W2167" s="28">
        <f>IFERROR(LOOKUP(X2167,{0;0.01;0.1;1;10;100},{"Muy baja";"Muy baja";"Baja";"Media";"Alta";"Muy alta"}),"")</f>
        <v/>
      </c>
      <c r="X2167" s="31">
        <f>IFERROR(VLOOKUP(V2167,MgFrec,2,0),0)</f>
        <v/>
      </c>
      <c r="Y2167" s="30">
        <f>T2167*X2167</f>
        <v/>
      </c>
      <c r="Z2167" s="28">
        <f>IFERROR(LOOKUP(Y2167,{0;0.5;5;25},{"Bajo";"Medio";"Alto";"Crítico"}),"")</f>
        <v/>
      </c>
      <c r="AA2167" s="64">
        <f>IF(T2167&gt;=3,IF(X2167&gt;=1,"Zona 1 — Crítica: impacto alto y ocurre al menos una vez al año","Zona 4 — Catastrófica poco probable: impacto alto pero excepcional"),IF(AND(T2167&lt;1.5,X2167&lt;1),"Zona 3 — Asumible: impacto bajo y muy poco frecuente","Zona 2 — Atención: riesgo intermedio"))</f>
        <v/>
      </c>
      <c r="AB2167" s="64">
        <f>IFERROR(INDEX(MgAmenCtrl,MATCH(SUBSTITUTE($H2167,"*","-"),MgAmenClave,0)),"")</f>
        <v/>
      </c>
      <c r="AC2167" s="20" t="n"/>
      <c r="AD2167" s="31">
        <f>IFERROR($X2167*(1-IF($AC2167="",$AL2167,VLOOKUP($AC2167,MgMad,2,0))),"")</f>
        <v/>
      </c>
      <c r="AE2167" s="28">
        <f>IFERROR(LOOKUP(AD2167,{0;0.01;0.1;1;10;100},{"Muy baja";"Muy baja";"Baja";"Media";"Alta";"Muy alta"}),"")</f>
        <v/>
      </c>
      <c r="AF2167" s="30">
        <f>T2167*AD2167</f>
        <v/>
      </c>
      <c r="AG2167" s="28">
        <f>IFERROR(LOOKUP(AF2167,{0;0.5;5;25},{"Bajo";"Medio";"Alto";"Crítico"}),"")</f>
        <v/>
      </c>
      <c r="AH2167" s="28">
        <f>IF(AG2167="","",IF(OR(AG2167="Crítico",AG2167="Alto"),"Mitigar",IF(AG2167="Medio","Mitigar","Aceptar y monitorear")))</f>
        <v/>
      </c>
      <c r="AI2167" s="21" t="n"/>
      <c r="AJ2167" s="21" t="n"/>
      <c r="AK2167" s="20" t="n"/>
      <c r="AL2167" s="77">
        <f>IFERROR(INDEX(MgAmenEfic,MATCH(SUBSTITUTE($H2167,"*","-"),MgAmenClave,0)),0)</f>
        <v/>
      </c>
    </row>
    <row r="2168" hidden="1" ht="60" customHeight="1" s="54">
      <c r="B2168" s="59" t="inlineStr">
        <is>
          <t>R-2163</t>
        </is>
      </c>
      <c r="C2168" s="59" t="inlineStr">
        <is>
          <t>FIN-24</t>
        </is>
      </c>
      <c r="D2168" s="64">
        <f>IFERROR(INDEX(MgNombre,MATCH($C2168,MgActId,0)),"")</f>
        <v/>
      </c>
      <c r="E2168" s="64">
        <f>IFERROR(INDEX(MgProceso,MATCH($C2168,MgActId,0)),"")</f>
        <v/>
      </c>
      <c r="F2168" s="64">
        <f>IFERROR(INDEX(MgTipo,MATCH($C2168,MgActId,0)),"")</f>
        <v/>
      </c>
      <c r="G2168" s="64">
        <f>IFERROR(INDEX(MgSubtipo,MATCH($C2168,MgActId,0)),"")</f>
        <v/>
      </c>
      <c r="H2168" s="59" t="inlineStr">
        <is>
          <t>E.18</t>
        </is>
      </c>
      <c r="I2168" s="64">
        <f>IFERROR(INDEX(MgAmenNombre,MATCH(SUBSTITUTE($H2168,"*","-"),MgAmenClave,0)),"")</f>
        <v/>
      </c>
      <c r="J2168" s="28">
        <f>IFERROR(INDEX(MgAmenGrupo,MATCH(SUBSTITUTE($H2168,"*","-"),MgAmenClave,0)),"")</f>
        <v/>
      </c>
      <c r="K2168" s="64">
        <f>IFERROR(INDEX('1. Matriz de Activos'!$Q$6:$Q$239,MATCH($C2168,MgActId,0)),"")</f>
        <v/>
      </c>
      <c r="L2168" s="64">
        <f>IFERROR(INDEX('1. Matriz de Activos'!$R$6:$R$239,MATCH($C2168,MgActId,0)),"")</f>
        <v/>
      </c>
      <c r="M2168" s="64">
        <f>IFERROR(INDEX('1. Matriz de Activos'!$S$6:$S$239,MATCH($C2168,MgActId,0)),"")</f>
        <v/>
      </c>
      <c r="N2168" s="28">
        <f>IFERROR(INDEX(MgAmenDegD,MATCH(SUBSTITUTE($H2168,"*","-"),MgAmenClave,0)),"No aplica")</f>
        <v/>
      </c>
      <c r="O2168" s="28">
        <f>IFERROR(INDEX(MgAmenDegI,MATCH(SUBSTITUTE($H2168,"*","-"),MgAmenClave,0)),"No aplica")</f>
        <v/>
      </c>
      <c r="P2168" s="28">
        <f>IFERROR(INDEX(MgAmenDegC,MATCH(SUBSTITUTE($H2168,"*","-"),MgAmenClave,0)),"No aplica")</f>
        <v/>
      </c>
      <c r="Q2168" s="29">
        <f>IFERROR(VLOOKUP(K2168,MgValor,2,0)*VLOOKUP(N2168,MgDeg,2,0),0)</f>
        <v/>
      </c>
      <c r="R2168" s="29">
        <f>IFERROR(VLOOKUP(L2168,MgValor,2,0)*VLOOKUP(O2168,MgDeg,2,0),0)</f>
        <v/>
      </c>
      <c r="S2168" s="29">
        <f>IFERROR(VLOOKUP(M2168,MgValor,2,0)*VLOOKUP(P2168,MgDeg,2,0),0)</f>
        <v/>
      </c>
      <c r="T2168" s="30">
        <f>MAX(Q2168:S2168)</f>
        <v/>
      </c>
      <c r="U2168" s="28">
        <f>IFERROR(LOOKUP(T2168,{0;0.5;1.5;3;4.5},{"Despreciable";"Bajo";"Medio";"Alto";"Muy alto"}),"")</f>
        <v/>
      </c>
      <c r="V2168" s="13">
        <f>IFERROR(INDEX(MgAmenFrec,MATCH(SUBSTITUTE($H2168,"*","-"),MgAmenClave,0)),"")</f>
        <v/>
      </c>
      <c r="W2168" s="28">
        <f>IFERROR(LOOKUP(X2168,{0;0.01;0.1;1;10;100},{"Muy baja";"Muy baja";"Baja";"Media";"Alta";"Muy alta"}),"")</f>
        <v/>
      </c>
      <c r="X2168" s="31">
        <f>IFERROR(VLOOKUP(V2168,MgFrec,2,0),0)</f>
        <v/>
      </c>
      <c r="Y2168" s="30">
        <f>T2168*X2168</f>
        <v/>
      </c>
      <c r="Z2168" s="28">
        <f>IFERROR(LOOKUP(Y2168,{0;0.5;5;25},{"Bajo";"Medio";"Alto";"Crítico"}),"")</f>
        <v/>
      </c>
      <c r="AA2168" s="64">
        <f>IF(T2168&gt;=3,IF(X2168&gt;=1,"Zona 1 — Crítica: impacto alto y ocurre al menos una vez al año","Zona 4 — Catastrófica poco probable: impacto alto pero excepcional"),IF(AND(T2168&lt;1.5,X2168&lt;1),"Zona 3 — Asumible: impacto bajo y muy poco frecuente","Zona 2 — Atención: riesgo intermedio"))</f>
        <v/>
      </c>
      <c r="AB2168" s="64">
        <f>IFERROR(INDEX(MgAmenCtrl,MATCH(SUBSTITUTE($H2168,"*","-"),MgAmenClave,0)),"")</f>
        <v/>
      </c>
      <c r="AC2168" s="20" t="n"/>
      <c r="AD2168" s="31">
        <f>IFERROR($X2168*(1-IF($AC2168="",$AL2168,VLOOKUP($AC2168,MgMad,2,0))),"")</f>
        <v/>
      </c>
      <c r="AE2168" s="28">
        <f>IFERROR(LOOKUP(AD2168,{0;0.01;0.1;1;10;100},{"Muy baja";"Muy baja";"Baja";"Media";"Alta";"Muy alta"}),"")</f>
        <v/>
      </c>
      <c r="AF2168" s="30">
        <f>T2168*AD2168</f>
        <v/>
      </c>
      <c r="AG2168" s="28">
        <f>IFERROR(LOOKUP(AF2168,{0;0.5;5;25},{"Bajo";"Medio";"Alto";"Crítico"}),"")</f>
        <v/>
      </c>
      <c r="AH2168" s="28">
        <f>IF(AG2168="","",IF(OR(AG2168="Crítico",AG2168="Alto"),"Mitigar",IF(AG2168="Medio","Mitigar","Aceptar y monitorear")))</f>
        <v/>
      </c>
      <c r="AI2168" s="21" t="n"/>
      <c r="AJ2168" s="21" t="n"/>
      <c r="AK2168" s="20" t="n"/>
      <c r="AL2168" s="77">
        <f>IFERROR(INDEX(MgAmenEfic,MATCH(SUBSTITUTE($H2168,"*","-"),MgAmenClave,0)),0)</f>
        <v/>
      </c>
    </row>
    <row r="2169" hidden="1" ht="105" customHeight="1" s="54">
      <c r="B2169" s="59" t="inlineStr">
        <is>
          <t>R-2164</t>
        </is>
      </c>
      <c r="C2169" s="59" t="inlineStr">
        <is>
          <t>FIN-24</t>
        </is>
      </c>
      <c r="D2169" s="64">
        <f>IFERROR(INDEX(MgNombre,MATCH($C2169,MgActId,0)),"")</f>
        <v/>
      </c>
      <c r="E2169" s="64">
        <f>IFERROR(INDEX(MgProceso,MATCH($C2169,MgActId,0)),"")</f>
        <v/>
      </c>
      <c r="F2169" s="64">
        <f>IFERROR(INDEX(MgTipo,MATCH($C2169,MgActId,0)),"")</f>
        <v/>
      </c>
      <c r="G2169" s="64">
        <f>IFERROR(INDEX(MgSubtipo,MATCH($C2169,MgActId,0)),"")</f>
        <v/>
      </c>
      <c r="H2169" s="59" t="inlineStr">
        <is>
          <t>E.19</t>
        </is>
      </c>
      <c r="I2169" s="64">
        <f>IFERROR(INDEX(MgAmenNombre,MATCH(SUBSTITUTE($H2169,"*","-"),MgAmenClave,0)),"")</f>
        <v/>
      </c>
      <c r="J2169" s="28">
        <f>IFERROR(INDEX(MgAmenGrupo,MATCH(SUBSTITUTE($H2169,"*","-"),MgAmenClave,0)),"")</f>
        <v/>
      </c>
      <c r="K2169" s="64">
        <f>IFERROR(INDEX('1. Matriz de Activos'!$Q$6:$Q$239,MATCH($C2169,MgActId,0)),"")</f>
        <v/>
      </c>
      <c r="L2169" s="64">
        <f>IFERROR(INDEX('1. Matriz de Activos'!$R$6:$R$239,MATCH($C2169,MgActId,0)),"")</f>
        <v/>
      </c>
      <c r="M2169" s="64">
        <f>IFERROR(INDEX('1. Matriz de Activos'!$S$6:$S$239,MATCH($C2169,MgActId,0)),"")</f>
        <v/>
      </c>
      <c r="N2169" s="28">
        <f>IFERROR(INDEX(MgAmenDegD,MATCH(SUBSTITUTE($H2169,"*","-"),MgAmenClave,0)),"No aplica")</f>
        <v/>
      </c>
      <c r="O2169" s="28">
        <f>IFERROR(INDEX(MgAmenDegI,MATCH(SUBSTITUTE($H2169,"*","-"),MgAmenClave,0)),"No aplica")</f>
        <v/>
      </c>
      <c r="P2169" s="28">
        <f>IFERROR(INDEX(MgAmenDegC,MATCH(SUBSTITUTE($H2169,"*","-"),MgAmenClave,0)),"No aplica")</f>
        <v/>
      </c>
      <c r="Q2169" s="29">
        <f>IFERROR(VLOOKUP(K2169,MgValor,2,0)*VLOOKUP(N2169,MgDeg,2,0),0)</f>
        <v/>
      </c>
      <c r="R2169" s="29">
        <f>IFERROR(VLOOKUP(L2169,MgValor,2,0)*VLOOKUP(O2169,MgDeg,2,0),0)</f>
        <v/>
      </c>
      <c r="S2169" s="29">
        <f>IFERROR(VLOOKUP(M2169,MgValor,2,0)*VLOOKUP(P2169,MgDeg,2,0),0)</f>
        <v/>
      </c>
      <c r="T2169" s="30">
        <f>MAX(Q2169:S2169)</f>
        <v/>
      </c>
      <c r="U2169" s="28">
        <f>IFERROR(LOOKUP(T2169,{0;0.5;1.5;3;4.5},{"Despreciable";"Bajo";"Medio";"Alto";"Muy alto"}),"")</f>
        <v/>
      </c>
      <c r="V2169" s="13">
        <f>IFERROR(INDEX(MgAmenFrec,MATCH(SUBSTITUTE($H2169,"*","-"),MgAmenClave,0)),"")</f>
        <v/>
      </c>
      <c r="W2169" s="28">
        <f>IFERROR(LOOKUP(X2169,{0;0.01;0.1;1;10;100},{"Muy baja";"Muy baja";"Baja";"Media";"Alta";"Muy alta"}),"")</f>
        <v/>
      </c>
      <c r="X2169" s="31">
        <f>IFERROR(VLOOKUP(V2169,MgFrec,2,0),0)</f>
        <v/>
      </c>
      <c r="Y2169" s="30">
        <f>T2169*X2169</f>
        <v/>
      </c>
      <c r="Z2169" s="28">
        <f>IFERROR(LOOKUP(Y2169,{0;0.5;5;25},{"Bajo";"Medio";"Alto";"Crítico"}),"")</f>
        <v/>
      </c>
      <c r="AA2169" s="64">
        <f>IF(T2169&gt;=3,IF(X2169&gt;=1,"Zona 1 — Crítica: impacto alto y ocurre al menos una vez al año","Zona 4 — Catastrófica poco probable: impacto alto pero excepcional"),IF(AND(T2169&lt;1.5,X2169&lt;1),"Zona 3 — Asumible: impacto bajo y muy poco frecuente","Zona 2 — Atención: riesgo intermedio"))</f>
        <v/>
      </c>
      <c r="AB2169" s="64">
        <f>IFERROR(INDEX(MgAmenCtrl,MATCH(SUBSTITUTE($H2169,"*","-"),MgAmenClave,0)),"")</f>
        <v/>
      </c>
      <c r="AC2169" s="20" t="n"/>
      <c r="AD2169" s="31">
        <f>IFERROR($X2169*(1-IF($AC2169="",$AL2169,VLOOKUP($AC2169,MgMad,2,0))),"")</f>
        <v/>
      </c>
      <c r="AE2169" s="28">
        <f>IFERROR(LOOKUP(AD2169,{0;0.01;0.1;1;10;100},{"Muy baja";"Muy baja";"Baja";"Media";"Alta";"Muy alta"}),"")</f>
        <v/>
      </c>
      <c r="AF2169" s="30">
        <f>T2169*AD2169</f>
        <v/>
      </c>
      <c r="AG2169" s="28">
        <f>IFERROR(LOOKUP(AF2169,{0;0.5;5;25},{"Bajo";"Medio";"Alto";"Crítico"}),"")</f>
        <v/>
      </c>
      <c r="AH2169" s="28">
        <f>IF(AG2169="","",IF(OR(AG2169="Crítico",AG2169="Alto"),"Mitigar",IF(AG2169="Medio","Mitigar","Aceptar y monitorear")))</f>
        <v/>
      </c>
      <c r="AI2169" s="21" t="n"/>
      <c r="AJ2169" s="21" t="n"/>
      <c r="AK2169" s="20" t="n"/>
      <c r="AL2169" s="77">
        <f>IFERROR(INDEX(MgAmenEfic,MATCH(SUBSTITUTE($H2169,"*","-"),MgAmenClave,0)),0)</f>
        <v/>
      </c>
    </row>
    <row r="2170" hidden="1" ht="45" customHeight="1" s="54">
      <c r="B2170" s="59" t="inlineStr">
        <is>
          <t>R-2165</t>
        </is>
      </c>
      <c r="C2170" s="59" t="inlineStr">
        <is>
          <t>FIN-24</t>
        </is>
      </c>
      <c r="D2170" s="64">
        <f>IFERROR(INDEX(MgNombre,MATCH($C2170,MgActId,0)),"")</f>
        <v/>
      </c>
      <c r="E2170" s="64">
        <f>IFERROR(INDEX(MgProceso,MATCH($C2170,MgActId,0)),"")</f>
        <v/>
      </c>
      <c r="F2170" s="64">
        <f>IFERROR(INDEX(MgTipo,MATCH($C2170,MgActId,0)),"")</f>
        <v/>
      </c>
      <c r="G2170" s="64">
        <f>IFERROR(INDEX(MgSubtipo,MATCH($C2170,MgActId,0)),"")</f>
        <v/>
      </c>
      <c r="H2170" s="59" t="inlineStr">
        <is>
          <t>E.24</t>
        </is>
      </c>
      <c r="I2170" s="64">
        <f>IFERROR(INDEX(MgAmenNombre,MATCH(SUBSTITUTE($H2170,"*","-"),MgAmenClave,0)),"")</f>
        <v/>
      </c>
      <c r="J2170" s="28">
        <f>IFERROR(INDEX(MgAmenGrupo,MATCH(SUBSTITUTE($H2170,"*","-"),MgAmenClave,0)),"")</f>
        <v/>
      </c>
      <c r="K2170" s="64">
        <f>IFERROR(INDEX('1. Matriz de Activos'!$Q$6:$Q$239,MATCH($C2170,MgActId,0)),"")</f>
        <v/>
      </c>
      <c r="L2170" s="64">
        <f>IFERROR(INDEX('1. Matriz de Activos'!$R$6:$R$239,MATCH($C2170,MgActId,0)),"")</f>
        <v/>
      </c>
      <c r="M2170" s="64">
        <f>IFERROR(INDEX('1. Matriz de Activos'!$S$6:$S$239,MATCH($C2170,MgActId,0)),"")</f>
        <v/>
      </c>
      <c r="N2170" s="28">
        <f>IFERROR(INDEX(MgAmenDegD,MATCH(SUBSTITUTE($H2170,"*","-"),MgAmenClave,0)),"No aplica")</f>
        <v/>
      </c>
      <c r="O2170" s="28">
        <f>IFERROR(INDEX(MgAmenDegI,MATCH(SUBSTITUTE($H2170,"*","-"),MgAmenClave,0)),"No aplica")</f>
        <v/>
      </c>
      <c r="P2170" s="28">
        <f>IFERROR(INDEX(MgAmenDegC,MATCH(SUBSTITUTE($H2170,"*","-"),MgAmenClave,0)),"No aplica")</f>
        <v/>
      </c>
      <c r="Q2170" s="29">
        <f>IFERROR(VLOOKUP(K2170,MgValor,2,0)*VLOOKUP(N2170,MgDeg,2,0),0)</f>
        <v/>
      </c>
      <c r="R2170" s="29">
        <f>IFERROR(VLOOKUP(L2170,MgValor,2,0)*VLOOKUP(O2170,MgDeg,2,0),0)</f>
        <v/>
      </c>
      <c r="S2170" s="29">
        <f>IFERROR(VLOOKUP(M2170,MgValor,2,0)*VLOOKUP(P2170,MgDeg,2,0),0)</f>
        <v/>
      </c>
      <c r="T2170" s="30">
        <f>MAX(Q2170:S2170)</f>
        <v/>
      </c>
      <c r="U2170" s="28">
        <f>IFERROR(LOOKUP(T2170,{0;0.5;1.5;3;4.5},{"Despreciable";"Bajo";"Medio";"Alto";"Muy alto"}),"")</f>
        <v/>
      </c>
      <c r="V2170" s="13">
        <f>IFERROR(INDEX(MgAmenFrec,MATCH(SUBSTITUTE($H2170,"*","-"),MgAmenClave,0)),"")</f>
        <v/>
      </c>
      <c r="W2170" s="28">
        <f>IFERROR(LOOKUP(X2170,{0;0.01;0.1;1;10;100},{"Muy baja";"Muy baja";"Baja";"Media";"Alta";"Muy alta"}),"")</f>
        <v/>
      </c>
      <c r="X2170" s="31">
        <f>IFERROR(VLOOKUP(V2170,MgFrec,2,0),0)</f>
        <v/>
      </c>
      <c r="Y2170" s="30">
        <f>T2170*X2170</f>
        <v/>
      </c>
      <c r="Z2170" s="28">
        <f>IFERROR(LOOKUP(Y2170,{0;0.5;5;25},{"Bajo";"Medio";"Alto";"Crítico"}),"")</f>
        <v/>
      </c>
      <c r="AA2170" s="64">
        <f>IF(T2170&gt;=3,IF(X2170&gt;=1,"Zona 1 — Crítica: impacto alto y ocurre al menos una vez al año","Zona 4 — Catastrófica poco probable: impacto alto pero excepcional"),IF(AND(T2170&lt;1.5,X2170&lt;1),"Zona 3 — Asumible: impacto bajo y muy poco frecuente","Zona 2 — Atención: riesgo intermedio"))</f>
        <v/>
      </c>
      <c r="AB2170" s="64">
        <f>IFERROR(INDEX(MgAmenCtrl,MATCH(SUBSTITUTE($H2170,"*","-"),MgAmenClave,0)),"")</f>
        <v/>
      </c>
      <c r="AC2170" s="20" t="n"/>
      <c r="AD2170" s="31">
        <f>IFERROR($X2170*(1-IF($AC2170="",$AL2170,VLOOKUP($AC2170,MgMad,2,0))),"")</f>
        <v/>
      </c>
      <c r="AE2170" s="28">
        <f>IFERROR(LOOKUP(AD2170,{0;0.01;0.1;1;10;100},{"Muy baja";"Muy baja";"Baja";"Media";"Alta";"Muy alta"}),"")</f>
        <v/>
      </c>
      <c r="AF2170" s="30">
        <f>T2170*AD2170</f>
        <v/>
      </c>
      <c r="AG2170" s="28">
        <f>IFERROR(LOOKUP(AF2170,{0;0.5;5;25},{"Bajo";"Medio";"Alto";"Crítico"}),"")</f>
        <v/>
      </c>
      <c r="AH2170" s="28">
        <f>IF(AG2170="","",IF(OR(AG2170="Crítico",AG2170="Alto"),"Mitigar",IF(AG2170="Medio","Mitigar","Aceptar y monitorear")))</f>
        <v/>
      </c>
      <c r="AI2170" s="21" t="n"/>
      <c r="AJ2170" s="21" t="n"/>
      <c r="AK2170" s="20" t="n"/>
      <c r="AL2170" s="77">
        <f>IFERROR(INDEX(MgAmenEfic,MATCH(SUBSTITUTE($H2170,"*","-"),MgAmenClave,0)),0)</f>
        <v/>
      </c>
    </row>
    <row r="2171" hidden="1" ht="75" customHeight="1" s="54">
      <c r="B2171" s="59" t="inlineStr">
        <is>
          <t>R-2166</t>
        </is>
      </c>
      <c r="C2171" s="59" t="inlineStr">
        <is>
          <t>FIN-24</t>
        </is>
      </c>
      <c r="D2171" s="64">
        <f>IFERROR(INDEX(MgNombre,MATCH($C2171,MgActId,0)),"")</f>
        <v/>
      </c>
      <c r="E2171" s="64">
        <f>IFERROR(INDEX(MgProceso,MATCH($C2171,MgActId,0)),"")</f>
        <v/>
      </c>
      <c r="F2171" s="64">
        <f>IFERROR(INDEX(MgTipo,MATCH($C2171,MgActId,0)),"")</f>
        <v/>
      </c>
      <c r="G2171" s="64">
        <f>IFERROR(INDEX(MgSubtipo,MATCH($C2171,MgActId,0)),"")</f>
        <v/>
      </c>
      <c r="H2171" s="59" t="inlineStr">
        <is>
          <t>A.5</t>
        </is>
      </c>
      <c r="I2171" s="64">
        <f>IFERROR(INDEX(MgAmenNombre,MATCH(SUBSTITUTE($H2171,"*","-"),MgAmenClave,0)),"")</f>
        <v/>
      </c>
      <c r="J2171" s="28">
        <f>IFERROR(INDEX(MgAmenGrupo,MATCH(SUBSTITUTE($H2171,"*","-"),MgAmenClave,0)),"")</f>
        <v/>
      </c>
      <c r="K2171" s="64">
        <f>IFERROR(INDEX('1. Matriz de Activos'!$Q$6:$Q$239,MATCH($C2171,MgActId,0)),"")</f>
        <v/>
      </c>
      <c r="L2171" s="64">
        <f>IFERROR(INDEX('1. Matriz de Activos'!$R$6:$R$239,MATCH($C2171,MgActId,0)),"")</f>
        <v/>
      </c>
      <c r="M2171" s="64">
        <f>IFERROR(INDEX('1. Matriz de Activos'!$S$6:$S$239,MATCH($C2171,MgActId,0)),"")</f>
        <v/>
      </c>
      <c r="N2171" s="28">
        <f>IFERROR(INDEX(MgAmenDegD,MATCH(SUBSTITUTE($H2171,"*","-"),MgAmenClave,0)),"No aplica")</f>
        <v/>
      </c>
      <c r="O2171" s="28">
        <f>IFERROR(INDEX(MgAmenDegI,MATCH(SUBSTITUTE($H2171,"*","-"),MgAmenClave,0)),"No aplica")</f>
        <v/>
      </c>
      <c r="P2171" s="28">
        <f>IFERROR(INDEX(MgAmenDegC,MATCH(SUBSTITUTE($H2171,"*","-"),MgAmenClave,0)),"No aplica")</f>
        <v/>
      </c>
      <c r="Q2171" s="29">
        <f>IFERROR(VLOOKUP(K2171,MgValor,2,0)*VLOOKUP(N2171,MgDeg,2,0),0)</f>
        <v/>
      </c>
      <c r="R2171" s="29">
        <f>IFERROR(VLOOKUP(L2171,MgValor,2,0)*VLOOKUP(O2171,MgDeg,2,0),0)</f>
        <v/>
      </c>
      <c r="S2171" s="29">
        <f>IFERROR(VLOOKUP(M2171,MgValor,2,0)*VLOOKUP(P2171,MgDeg,2,0),0)</f>
        <v/>
      </c>
      <c r="T2171" s="30">
        <f>MAX(Q2171:S2171)</f>
        <v/>
      </c>
      <c r="U2171" s="28">
        <f>IFERROR(LOOKUP(T2171,{0;0.5;1.5;3;4.5},{"Despreciable";"Bajo";"Medio";"Alto";"Muy alto"}),"")</f>
        <v/>
      </c>
      <c r="V2171" s="13">
        <f>IFERROR(INDEX(MgAmenFrec,MATCH(SUBSTITUTE($H2171,"*","-"),MgAmenClave,0)),"")</f>
        <v/>
      </c>
      <c r="W2171" s="28">
        <f>IFERROR(LOOKUP(X2171,{0;0.01;0.1;1;10;100},{"Muy baja";"Muy baja";"Baja";"Media";"Alta";"Muy alta"}),"")</f>
        <v/>
      </c>
      <c r="X2171" s="31">
        <f>IFERROR(VLOOKUP(V2171,MgFrec,2,0),0)</f>
        <v/>
      </c>
      <c r="Y2171" s="30">
        <f>T2171*X2171</f>
        <v/>
      </c>
      <c r="Z2171" s="28">
        <f>IFERROR(LOOKUP(Y2171,{0;0.5;5;25},{"Bajo";"Medio";"Alto";"Crítico"}),"")</f>
        <v/>
      </c>
      <c r="AA2171" s="64">
        <f>IF(T2171&gt;=3,IF(X2171&gt;=1,"Zona 1 — Crítica: impacto alto y ocurre al menos una vez al año","Zona 4 — Catastrófica poco probable: impacto alto pero excepcional"),IF(AND(T2171&lt;1.5,X2171&lt;1),"Zona 3 — Asumible: impacto bajo y muy poco frecuente","Zona 2 — Atención: riesgo intermedio"))</f>
        <v/>
      </c>
      <c r="AB2171" s="64">
        <f>IFERROR(INDEX(MgAmenCtrl,MATCH(SUBSTITUTE($H2171,"*","-"),MgAmenClave,0)),"")</f>
        <v/>
      </c>
      <c r="AC2171" s="20" t="n"/>
      <c r="AD2171" s="31">
        <f>IFERROR($X2171*(1-IF($AC2171="",$AL2171,VLOOKUP($AC2171,MgMad,2,0))),"")</f>
        <v/>
      </c>
      <c r="AE2171" s="28">
        <f>IFERROR(LOOKUP(AD2171,{0;0.01;0.1;1;10;100},{"Muy baja";"Muy baja";"Baja";"Media";"Alta";"Muy alta"}),"")</f>
        <v/>
      </c>
      <c r="AF2171" s="30">
        <f>T2171*AD2171</f>
        <v/>
      </c>
      <c r="AG2171" s="28">
        <f>IFERROR(LOOKUP(AF2171,{0;0.5;5;25},{"Bajo";"Medio";"Alto";"Crítico"}),"")</f>
        <v/>
      </c>
      <c r="AH2171" s="28">
        <f>IF(AG2171="","",IF(OR(AG2171="Crítico",AG2171="Alto"),"Mitigar",IF(AG2171="Medio","Mitigar","Aceptar y monitorear")))</f>
        <v/>
      </c>
      <c r="AI2171" s="21" t="n"/>
      <c r="AJ2171" s="21" t="n"/>
      <c r="AK2171" s="20" t="n"/>
      <c r="AL2171" s="77">
        <f>IFERROR(INDEX(MgAmenEfic,MATCH(SUBSTITUTE($H2171,"*","-"),MgAmenClave,0)),0)</f>
        <v/>
      </c>
    </row>
    <row r="2172" hidden="1" ht="105" customHeight="1" s="54">
      <c r="B2172" s="59" t="inlineStr">
        <is>
          <t>R-2167</t>
        </is>
      </c>
      <c r="C2172" s="59" t="inlineStr">
        <is>
          <t>FIN-24</t>
        </is>
      </c>
      <c r="D2172" s="64">
        <f>IFERROR(INDEX(MgNombre,MATCH($C2172,MgActId,0)),"")</f>
        <v/>
      </c>
      <c r="E2172" s="64">
        <f>IFERROR(INDEX(MgProceso,MATCH($C2172,MgActId,0)),"")</f>
        <v/>
      </c>
      <c r="F2172" s="64">
        <f>IFERROR(INDEX(MgTipo,MATCH($C2172,MgActId,0)),"")</f>
        <v/>
      </c>
      <c r="G2172" s="64">
        <f>IFERROR(INDEX(MgSubtipo,MATCH($C2172,MgActId,0)),"")</f>
        <v/>
      </c>
      <c r="H2172" s="59" t="inlineStr">
        <is>
          <t>A.6</t>
        </is>
      </c>
      <c r="I2172" s="64">
        <f>IFERROR(INDEX(MgAmenNombre,MATCH(SUBSTITUTE($H2172,"*","-"),MgAmenClave,0)),"")</f>
        <v/>
      </c>
      <c r="J2172" s="28">
        <f>IFERROR(INDEX(MgAmenGrupo,MATCH(SUBSTITUTE($H2172,"*","-"),MgAmenClave,0)),"")</f>
        <v/>
      </c>
      <c r="K2172" s="64">
        <f>IFERROR(INDEX('1. Matriz de Activos'!$Q$6:$Q$239,MATCH($C2172,MgActId,0)),"")</f>
        <v/>
      </c>
      <c r="L2172" s="64">
        <f>IFERROR(INDEX('1. Matriz de Activos'!$R$6:$R$239,MATCH($C2172,MgActId,0)),"")</f>
        <v/>
      </c>
      <c r="M2172" s="64">
        <f>IFERROR(INDEX('1. Matriz de Activos'!$S$6:$S$239,MATCH($C2172,MgActId,0)),"")</f>
        <v/>
      </c>
      <c r="N2172" s="28">
        <f>IFERROR(INDEX(MgAmenDegD,MATCH(SUBSTITUTE($H2172,"*","-"),MgAmenClave,0)),"No aplica")</f>
        <v/>
      </c>
      <c r="O2172" s="28">
        <f>IFERROR(INDEX(MgAmenDegI,MATCH(SUBSTITUTE($H2172,"*","-"),MgAmenClave,0)),"No aplica")</f>
        <v/>
      </c>
      <c r="P2172" s="28">
        <f>IFERROR(INDEX(MgAmenDegC,MATCH(SUBSTITUTE($H2172,"*","-"),MgAmenClave,0)),"No aplica")</f>
        <v/>
      </c>
      <c r="Q2172" s="29">
        <f>IFERROR(VLOOKUP(K2172,MgValor,2,0)*VLOOKUP(N2172,MgDeg,2,0),0)</f>
        <v/>
      </c>
      <c r="R2172" s="29">
        <f>IFERROR(VLOOKUP(L2172,MgValor,2,0)*VLOOKUP(O2172,MgDeg,2,0),0)</f>
        <v/>
      </c>
      <c r="S2172" s="29">
        <f>IFERROR(VLOOKUP(M2172,MgValor,2,0)*VLOOKUP(P2172,MgDeg,2,0),0)</f>
        <v/>
      </c>
      <c r="T2172" s="30">
        <f>MAX(Q2172:S2172)</f>
        <v/>
      </c>
      <c r="U2172" s="28">
        <f>IFERROR(LOOKUP(T2172,{0;0.5;1.5;3;4.5},{"Despreciable";"Bajo";"Medio";"Alto";"Muy alto"}),"")</f>
        <v/>
      </c>
      <c r="V2172" s="13">
        <f>IFERROR(INDEX(MgAmenFrec,MATCH(SUBSTITUTE($H2172,"*","-"),MgAmenClave,0)),"")</f>
        <v/>
      </c>
      <c r="W2172" s="28">
        <f>IFERROR(LOOKUP(X2172,{0;0.01;0.1;1;10;100},{"Muy baja";"Muy baja";"Baja";"Media";"Alta";"Muy alta"}),"")</f>
        <v/>
      </c>
      <c r="X2172" s="31">
        <f>IFERROR(VLOOKUP(V2172,MgFrec,2,0),0)</f>
        <v/>
      </c>
      <c r="Y2172" s="30">
        <f>T2172*X2172</f>
        <v/>
      </c>
      <c r="Z2172" s="28">
        <f>IFERROR(LOOKUP(Y2172,{0;0.5;5;25},{"Bajo";"Medio";"Alto";"Crítico"}),"")</f>
        <v/>
      </c>
      <c r="AA2172" s="64">
        <f>IF(T2172&gt;=3,IF(X2172&gt;=1,"Zona 1 — Crítica: impacto alto y ocurre al menos una vez al año","Zona 4 — Catastrófica poco probable: impacto alto pero excepcional"),IF(AND(T2172&lt;1.5,X2172&lt;1),"Zona 3 — Asumible: impacto bajo y muy poco frecuente","Zona 2 — Atención: riesgo intermedio"))</f>
        <v/>
      </c>
      <c r="AB2172" s="64">
        <f>IFERROR(INDEX(MgAmenCtrl,MATCH(SUBSTITUTE($H2172,"*","-"),MgAmenClave,0)),"")</f>
        <v/>
      </c>
      <c r="AC2172" s="20" t="n"/>
      <c r="AD2172" s="31">
        <f>IFERROR($X2172*(1-IF($AC2172="",$AL2172,VLOOKUP($AC2172,MgMad,2,0))),"")</f>
        <v/>
      </c>
      <c r="AE2172" s="28">
        <f>IFERROR(LOOKUP(AD2172,{0;0.01;0.1;1;10;100},{"Muy baja";"Muy baja";"Baja";"Media";"Alta";"Muy alta"}),"")</f>
        <v/>
      </c>
      <c r="AF2172" s="30">
        <f>T2172*AD2172</f>
        <v/>
      </c>
      <c r="AG2172" s="28">
        <f>IFERROR(LOOKUP(AF2172,{0;0.5;5;25},{"Bajo";"Medio";"Alto";"Crítico"}),"")</f>
        <v/>
      </c>
      <c r="AH2172" s="28">
        <f>IF(AG2172="","",IF(OR(AG2172="Crítico",AG2172="Alto"),"Mitigar",IF(AG2172="Medio","Mitigar","Aceptar y monitorear")))</f>
        <v/>
      </c>
      <c r="AI2172" s="21" t="n"/>
      <c r="AJ2172" s="21" t="n"/>
      <c r="AK2172" s="20" t="n"/>
      <c r="AL2172" s="77">
        <f>IFERROR(INDEX(MgAmenEfic,MATCH(SUBSTITUTE($H2172,"*","-"),MgAmenClave,0)),0)</f>
        <v/>
      </c>
    </row>
    <row r="2173" hidden="1" ht="60" customHeight="1" s="54">
      <c r="B2173" s="59" t="inlineStr">
        <is>
          <t>R-2168</t>
        </is>
      </c>
      <c r="C2173" s="59" t="inlineStr">
        <is>
          <t>FIN-24</t>
        </is>
      </c>
      <c r="D2173" s="64">
        <f>IFERROR(INDEX(MgNombre,MATCH($C2173,MgActId,0)),"")</f>
        <v/>
      </c>
      <c r="E2173" s="64">
        <f>IFERROR(INDEX(MgProceso,MATCH($C2173,MgActId,0)),"")</f>
        <v/>
      </c>
      <c r="F2173" s="64">
        <f>IFERROR(INDEX(MgTipo,MATCH($C2173,MgActId,0)),"")</f>
        <v/>
      </c>
      <c r="G2173" s="64">
        <f>IFERROR(INDEX(MgSubtipo,MATCH($C2173,MgActId,0)),"")</f>
        <v/>
      </c>
      <c r="H2173" s="59" t="inlineStr">
        <is>
          <t>A.7</t>
        </is>
      </c>
      <c r="I2173" s="64">
        <f>IFERROR(INDEX(MgAmenNombre,MATCH(SUBSTITUTE($H2173,"*","-"),MgAmenClave,0)),"")</f>
        <v/>
      </c>
      <c r="J2173" s="28">
        <f>IFERROR(INDEX(MgAmenGrupo,MATCH(SUBSTITUTE($H2173,"*","-"),MgAmenClave,0)),"")</f>
        <v/>
      </c>
      <c r="K2173" s="64">
        <f>IFERROR(INDEX('1. Matriz de Activos'!$Q$6:$Q$239,MATCH($C2173,MgActId,0)),"")</f>
        <v/>
      </c>
      <c r="L2173" s="64">
        <f>IFERROR(INDEX('1. Matriz de Activos'!$R$6:$R$239,MATCH($C2173,MgActId,0)),"")</f>
        <v/>
      </c>
      <c r="M2173" s="64">
        <f>IFERROR(INDEX('1. Matriz de Activos'!$S$6:$S$239,MATCH($C2173,MgActId,0)),"")</f>
        <v/>
      </c>
      <c r="N2173" s="28">
        <f>IFERROR(INDEX(MgAmenDegD,MATCH(SUBSTITUTE($H2173,"*","-"),MgAmenClave,0)),"No aplica")</f>
        <v/>
      </c>
      <c r="O2173" s="28">
        <f>IFERROR(INDEX(MgAmenDegI,MATCH(SUBSTITUTE($H2173,"*","-"),MgAmenClave,0)),"No aplica")</f>
        <v/>
      </c>
      <c r="P2173" s="28">
        <f>IFERROR(INDEX(MgAmenDegC,MATCH(SUBSTITUTE($H2173,"*","-"),MgAmenClave,0)),"No aplica")</f>
        <v/>
      </c>
      <c r="Q2173" s="29">
        <f>IFERROR(VLOOKUP(K2173,MgValor,2,0)*VLOOKUP(N2173,MgDeg,2,0),0)</f>
        <v/>
      </c>
      <c r="R2173" s="29">
        <f>IFERROR(VLOOKUP(L2173,MgValor,2,0)*VLOOKUP(O2173,MgDeg,2,0),0)</f>
        <v/>
      </c>
      <c r="S2173" s="29">
        <f>IFERROR(VLOOKUP(M2173,MgValor,2,0)*VLOOKUP(P2173,MgDeg,2,0),0)</f>
        <v/>
      </c>
      <c r="T2173" s="30">
        <f>MAX(Q2173:S2173)</f>
        <v/>
      </c>
      <c r="U2173" s="28">
        <f>IFERROR(LOOKUP(T2173,{0;0.5;1.5;3;4.5},{"Despreciable";"Bajo";"Medio";"Alto";"Muy alto"}),"")</f>
        <v/>
      </c>
      <c r="V2173" s="13">
        <f>IFERROR(INDEX(MgAmenFrec,MATCH(SUBSTITUTE($H2173,"*","-"),MgAmenClave,0)),"")</f>
        <v/>
      </c>
      <c r="W2173" s="28">
        <f>IFERROR(LOOKUP(X2173,{0;0.01;0.1;1;10;100},{"Muy baja";"Muy baja";"Baja";"Media";"Alta";"Muy alta"}),"")</f>
        <v/>
      </c>
      <c r="X2173" s="31">
        <f>IFERROR(VLOOKUP(V2173,MgFrec,2,0),0)</f>
        <v/>
      </c>
      <c r="Y2173" s="30">
        <f>T2173*X2173</f>
        <v/>
      </c>
      <c r="Z2173" s="28">
        <f>IFERROR(LOOKUP(Y2173,{0;0.5;5;25},{"Bajo";"Medio";"Alto";"Crítico"}),"")</f>
        <v/>
      </c>
      <c r="AA2173" s="64">
        <f>IF(T2173&gt;=3,IF(X2173&gt;=1,"Zona 1 — Crítica: impacto alto y ocurre al menos una vez al año","Zona 4 — Catastrófica poco probable: impacto alto pero excepcional"),IF(AND(T2173&lt;1.5,X2173&lt;1),"Zona 3 — Asumible: impacto bajo y muy poco frecuente","Zona 2 — Atención: riesgo intermedio"))</f>
        <v/>
      </c>
      <c r="AB2173" s="64">
        <f>IFERROR(INDEX(MgAmenCtrl,MATCH(SUBSTITUTE($H2173,"*","-"),MgAmenClave,0)),"")</f>
        <v/>
      </c>
      <c r="AC2173" s="20" t="n"/>
      <c r="AD2173" s="31">
        <f>IFERROR($X2173*(1-IF($AC2173="",$AL2173,VLOOKUP($AC2173,MgMad,2,0))),"")</f>
        <v/>
      </c>
      <c r="AE2173" s="28">
        <f>IFERROR(LOOKUP(AD2173,{0;0.01;0.1;1;10;100},{"Muy baja";"Muy baja";"Baja";"Media";"Alta";"Muy alta"}),"")</f>
        <v/>
      </c>
      <c r="AF2173" s="30">
        <f>T2173*AD2173</f>
        <v/>
      </c>
      <c r="AG2173" s="28">
        <f>IFERROR(LOOKUP(AF2173,{0;0.5;5;25},{"Bajo";"Medio";"Alto";"Crítico"}),"")</f>
        <v/>
      </c>
      <c r="AH2173" s="28">
        <f>IF(AG2173="","",IF(OR(AG2173="Crítico",AG2173="Alto"),"Mitigar",IF(AG2173="Medio","Mitigar","Aceptar y monitorear")))</f>
        <v/>
      </c>
      <c r="AI2173" s="21" t="n"/>
      <c r="AJ2173" s="21" t="n"/>
      <c r="AK2173" s="20" t="n"/>
      <c r="AL2173" s="77">
        <f>IFERROR(INDEX(MgAmenEfic,MATCH(SUBSTITUTE($H2173,"*","-"),MgAmenClave,0)),0)</f>
        <v/>
      </c>
    </row>
    <row r="2174" hidden="1" ht="60" customHeight="1" s="54">
      <c r="B2174" s="59" t="inlineStr">
        <is>
          <t>R-2169</t>
        </is>
      </c>
      <c r="C2174" s="59" t="inlineStr">
        <is>
          <t>FIN-24</t>
        </is>
      </c>
      <c r="D2174" s="64">
        <f>IFERROR(INDEX(MgNombre,MATCH($C2174,MgActId,0)),"")</f>
        <v/>
      </c>
      <c r="E2174" s="64">
        <f>IFERROR(INDEX(MgProceso,MATCH($C2174,MgActId,0)),"")</f>
        <v/>
      </c>
      <c r="F2174" s="64">
        <f>IFERROR(INDEX(MgTipo,MATCH($C2174,MgActId,0)),"")</f>
        <v/>
      </c>
      <c r="G2174" s="64">
        <f>IFERROR(INDEX(MgSubtipo,MATCH($C2174,MgActId,0)),"")</f>
        <v/>
      </c>
      <c r="H2174" s="59" t="inlineStr">
        <is>
          <t>A.9</t>
        </is>
      </c>
      <c r="I2174" s="64">
        <f>IFERROR(INDEX(MgAmenNombre,MATCH(SUBSTITUTE($H2174,"*","-"),MgAmenClave,0)),"")</f>
        <v/>
      </c>
      <c r="J2174" s="28">
        <f>IFERROR(INDEX(MgAmenGrupo,MATCH(SUBSTITUTE($H2174,"*","-"),MgAmenClave,0)),"")</f>
        <v/>
      </c>
      <c r="K2174" s="64">
        <f>IFERROR(INDEX('1. Matriz de Activos'!$Q$6:$Q$239,MATCH($C2174,MgActId,0)),"")</f>
        <v/>
      </c>
      <c r="L2174" s="64">
        <f>IFERROR(INDEX('1. Matriz de Activos'!$R$6:$R$239,MATCH($C2174,MgActId,0)),"")</f>
        <v/>
      </c>
      <c r="M2174" s="64">
        <f>IFERROR(INDEX('1. Matriz de Activos'!$S$6:$S$239,MATCH($C2174,MgActId,0)),"")</f>
        <v/>
      </c>
      <c r="N2174" s="28">
        <f>IFERROR(INDEX(MgAmenDegD,MATCH(SUBSTITUTE($H2174,"*","-"),MgAmenClave,0)),"No aplica")</f>
        <v/>
      </c>
      <c r="O2174" s="28">
        <f>IFERROR(INDEX(MgAmenDegI,MATCH(SUBSTITUTE($H2174,"*","-"),MgAmenClave,0)),"No aplica")</f>
        <v/>
      </c>
      <c r="P2174" s="28">
        <f>IFERROR(INDEX(MgAmenDegC,MATCH(SUBSTITUTE($H2174,"*","-"),MgAmenClave,0)),"No aplica")</f>
        <v/>
      </c>
      <c r="Q2174" s="29">
        <f>IFERROR(VLOOKUP(K2174,MgValor,2,0)*VLOOKUP(N2174,MgDeg,2,0),0)</f>
        <v/>
      </c>
      <c r="R2174" s="29">
        <f>IFERROR(VLOOKUP(L2174,MgValor,2,0)*VLOOKUP(O2174,MgDeg,2,0),0)</f>
        <v/>
      </c>
      <c r="S2174" s="29">
        <f>IFERROR(VLOOKUP(M2174,MgValor,2,0)*VLOOKUP(P2174,MgDeg,2,0),0)</f>
        <v/>
      </c>
      <c r="T2174" s="30">
        <f>MAX(Q2174:S2174)</f>
        <v/>
      </c>
      <c r="U2174" s="28">
        <f>IFERROR(LOOKUP(T2174,{0;0.5;1.5;3;4.5},{"Despreciable";"Bajo";"Medio";"Alto";"Muy alto"}),"")</f>
        <v/>
      </c>
      <c r="V2174" s="13">
        <f>IFERROR(INDEX(MgAmenFrec,MATCH(SUBSTITUTE($H2174,"*","-"),MgAmenClave,0)),"")</f>
        <v/>
      </c>
      <c r="W2174" s="28">
        <f>IFERROR(LOOKUP(X2174,{0;0.01;0.1;1;10;100},{"Muy baja";"Muy baja";"Baja";"Media";"Alta";"Muy alta"}),"")</f>
        <v/>
      </c>
      <c r="X2174" s="31">
        <f>IFERROR(VLOOKUP(V2174,MgFrec,2,0),0)</f>
        <v/>
      </c>
      <c r="Y2174" s="30">
        <f>T2174*X2174</f>
        <v/>
      </c>
      <c r="Z2174" s="28">
        <f>IFERROR(LOOKUP(Y2174,{0;0.5;5;25},{"Bajo";"Medio";"Alto";"Crítico"}),"")</f>
        <v/>
      </c>
      <c r="AA2174" s="64">
        <f>IF(T2174&gt;=3,IF(X2174&gt;=1,"Zona 1 — Crítica: impacto alto y ocurre al menos una vez al año","Zona 4 — Catastrófica poco probable: impacto alto pero excepcional"),IF(AND(T2174&lt;1.5,X2174&lt;1),"Zona 3 — Asumible: impacto bajo y muy poco frecuente","Zona 2 — Atención: riesgo intermedio"))</f>
        <v/>
      </c>
      <c r="AB2174" s="64">
        <f>IFERROR(INDEX(MgAmenCtrl,MATCH(SUBSTITUTE($H2174,"*","-"),MgAmenClave,0)),"")</f>
        <v/>
      </c>
      <c r="AC2174" s="20" t="n"/>
      <c r="AD2174" s="31">
        <f>IFERROR($X2174*(1-IF($AC2174="",$AL2174,VLOOKUP($AC2174,MgMad,2,0))),"")</f>
        <v/>
      </c>
      <c r="AE2174" s="28">
        <f>IFERROR(LOOKUP(AD2174,{0;0.01;0.1;1;10;100},{"Muy baja";"Muy baja";"Baja";"Media";"Alta";"Muy alta"}),"")</f>
        <v/>
      </c>
      <c r="AF2174" s="30">
        <f>T2174*AD2174</f>
        <v/>
      </c>
      <c r="AG2174" s="28">
        <f>IFERROR(LOOKUP(AF2174,{0;0.5;5;25},{"Bajo";"Medio";"Alto";"Crítico"}),"")</f>
        <v/>
      </c>
      <c r="AH2174" s="28">
        <f>IF(AG2174="","",IF(OR(AG2174="Crítico",AG2174="Alto"),"Mitigar",IF(AG2174="Medio","Mitigar","Aceptar y monitorear")))</f>
        <v/>
      </c>
      <c r="AI2174" s="21" t="n"/>
      <c r="AJ2174" s="21" t="n"/>
      <c r="AK2174" s="20" t="n"/>
      <c r="AL2174" s="77">
        <f>IFERROR(INDEX(MgAmenEfic,MATCH(SUBSTITUTE($H2174,"*","-"),MgAmenClave,0)),0)</f>
        <v/>
      </c>
    </row>
    <row r="2175" hidden="1" ht="45" customHeight="1" s="54">
      <c r="B2175" s="59" t="inlineStr">
        <is>
          <t>R-2170</t>
        </is>
      </c>
      <c r="C2175" s="59" t="inlineStr">
        <is>
          <t>FIN-24</t>
        </is>
      </c>
      <c r="D2175" s="64">
        <f>IFERROR(INDEX(MgNombre,MATCH($C2175,MgActId,0)),"")</f>
        <v/>
      </c>
      <c r="E2175" s="64">
        <f>IFERROR(INDEX(MgProceso,MATCH($C2175,MgActId,0)),"")</f>
        <v/>
      </c>
      <c r="F2175" s="64">
        <f>IFERROR(INDEX(MgTipo,MATCH($C2175,MgActId,0)),"")</f>
        <v/>
      </c>
      <c r="G2175" s="64">
        <f>IFERROR(INDEX(MgSubtipo,MATCH($C2175,MgActId,0)),"")</f>
        <v/>
      </c>
      <c r="H2175" s="59" t="inlineStr">
        <is>
          <t>A.10</t>
        </is>
      </c>
      <c r="I2175" s="64">
        <f>IFERROR(INDEX(MgAmenNombre,MATCH(SUBSTITUTE($H2175,"*","-"),MgAmenClave,0)),"")</f>
        <v/>
      </c>
      <c r="J2175" s="28">
        <f>IFERROR(INDEX(MgAmenGrupo,MATCH(SUBSTITUTE($H2175,"*","-"),MgAmenClave,0)),"")</f>
        <v/>
      </c>
      <c r="K2175" s="64">
        <f>IFERROR(INDEX('1. Matriz de Activos'!$Q$6:$Q$239,MATCH($C2175,MgActId,0)),"")</f>
        <v/>
      </c>
      <c r="L2175" s="64">
        <f>IFERROR(INDEX('1. Matriz de Activos'!$R$6:$R$239,MATCH($C2175,MgActId,0)),"")</f>
        <v/>
      </c>
      <c r="M2175" s="64">
        <f>IFERROR(INDEX('1. Matriz de Activos'!$S$6:$S$239,MATCH($C2175,MgActId,0)),"")</f>
        <v/>
      </c>
      <c r="N2175" s="28">
        <f>IFERROR(INDEX(MgAmenDegD,MATCH(SUBSTITUTE($H2175,"*","-"),MgAmenClave,0)),"No aplica")</f>
        <v/>
      </c>
      <c r="O2175" s="28">
        <f>IFERROR(INDEX(MgAmenDegI,MATCH(SUBSTITUTE($H2175,"*","-"),MgAmenClave,0)),"No aplica")</f>
        <v/>
      </c>
      <c r="P2175" s="28">
        <f>IFERROR(INDEX(MgAmenDegC,MATCH(SUBSTITUTE($H2175,"*","-"),MgAmenClave,0)),"No aplica")</f>
        <v/>
      </c>
      <c r="Q2175" s="29">
        <f>IFERROR(VLOOKUP(K2175,MgValor,2,0)*VLOOKUP(N2175,MgDeg,2,0),0)</f>
        <v/>
      </c>
      <c r="R2175" s="29">
        <f>IFERROR(VLOOKUP(L2175,MgValor,2,0)*VLOOKUP(O2175,MgDeg,2,0),0)</f>
        <v/>
      </c>
      <c r="S2175" s="29">
        <f>IFERROR(VLOOKUP(M2175,MgValor,2,0)*VLOOKUP(P2175,MgDeg,2,0),0)</f>
        <v/>
      </c>
      <c r="T2175" s="30">
        <f>MAX(Q2175:S2175)</f>
        <v/>
      </c>
      <c r="U2175" s="28">
        <f>IFERROR(LOOKUP(T2175,{0;0.5;1.5;3;4.5},{"Despreciable";"Bajo";"Medio";"Alto";"Muy alto"}),"")</f>
        <v/>
      </c>
      <c r="V2175" s="13">
        <f>IFERROR(INDEX(MgAmenFrec,MATCH(SUBSTITUTE($H2175,"*","-"),MgAmenClave,0)),"")</f>
        <v/>
      </c>
      <c r="W2175" s="28">
        <f>IFERROR(LOOKUP(X2175,{0;0.01;0.1;1;10;100},{"Muy baja";"Muy baja";"Baja";"Media";"Alta";"Muy alta"}),"")</f>
        <v/>
      </c>
      <c r="X2175" s="31">
        <f>IFERROR(VLOOKUP(V2175,MgFrec,2,0),0)</f>
        <v/>
      </c>
      <c r="Y2175" s="30">
        <f>T2175*X2175</f>
        <v/>
      </c>
      <c r="Z2175" s="28">
        <f>IFERROR(LOOKUP(Y2175,{0;0.5;5;25},{"Bajo";"Medio";"Alto";"Crítico"}),"")</f>
        <v/>
      </c>
      <c r="AA2175" s="64">
        <f>IF(T2175&gt;=3,IF(X2175&gt;=1,"Zona 1 — Crítica: impacto alto y ocurre al menos una vez al año","Zona 4 — Catastrófica poco probable: impacto alto pero excepcional"),IF(AND(T2175&lt;1.5,X2175&lt;1),"Zona 3 — Asumible: impacto bajo y muy poco frecuente","Zona 2 — Atención: riesgo intermedio"))</f>
        <v/>
      </c>
      <c r="AB2175" s="64">
        <f>IFERROR(INDEX(MgAmenCtrl,MATCH(SUBSTITUTE($H2175,"*","-"),MgAmenClave,0)),"")</f>
        <v/>
      </c>
      <c r="AC2175" s="20" t="n"/>
      <c r="AD2175" s="31">
        <f>IFERROR($X2175*(1-IF($AC2175="",$AL2175,VLOOKUP($AC2175,MgMad,2,0))),"")</f>
        <v/>
      </c>
      <c r="AE2175" s="28">
        <f>IFERROR(LOOKUP(AD2175,{0;0.01;0.1;1;10;100},{"Muy baja";"Muy baja";"Baja";"Media";"Alta";"Muy alta"}),"")</f>
        <v/>
      </c>
      <c r="AF2175" s="30">
        <f>T2175*AD2175</f>
        <v/>
      </c>
      <c r="AG2175" s="28">
        <f>IFERROR(LOOKUP(AF2175,{0;0.5;5;25},{"Bajo";"Medio";"Alto";"Crítico"}),"")</f>
        <v/>
      </c>
      <c r="AH2175" s="28">
        <f>IF(AG2175="","",IF(OR(AG2175="Crítico",AG2175="Alto"),"Mitigar",IF(AG2175="Medio","Mitigar","Aceptar y monitorear")))</f>
        <v/>
      </c>
      <c r="AI2175" s="21" t="n"/>
      <c r="AJ2175" s="21" t="n"/>
      <c r="AK2175" s="20" t="n"/>
      <c r="AL2175" s="77">
        <f>IFERROR(INDEX(MgAmenEfic,MATCH(SUBSTITUTE($H2175,"*","-"),MgAmenClave,0)),0)</f>
        <v/>
      </c>
    </row>
    <row r="2176" hidden="1" ht="120" customHeight="1" s="54">
      <c r="B2176" s="59" t="inlineStr">
        <is>
          <t>R-2171</t>
        </is>
      </c>
      <c r="C2176" s="59" t="inlineStr">
        <is>
          <t>FIN-24</t>
        </is>
      </c>
      <c r="D2176" s="64">
        <f>IFERROR(INDEX(MgNombre,MATCH($C2176,MgActId,0)),"")</f>
        <v/>
      </c>
      <c r="E2176" s="64">
        <f>IFERROR(INDEX(MgProceso,MATCH($C2176,MgActId,0)),"")</f>
        <v/>
      </c>
      <c r="F2176" s="64">
        <f>IFERROR(INDEX(MgTipo,MATCH($C2176,MgActId,0)),"")</f>
        <v/>
      </c>
      <c r="G2176" s="64">
        <f>IFERROR(INDEX(MgSubtipo,MATCH($C2176,MgActId,0)),"")</f>
        <v/>
      </c>
      <c r="H2176" s="59" t="inlineStr">
        <is>
          <t>A.11</t>
        </is>
      </c>
      <c r="I2176" s="64">
        <f>IFERROR(INDEX(MgAmenNombre,MATCH(SUBSTITUTE($H2176,"*","-"),MgAmenClave,0)),"")</f>
        <v/>
      </c>
      <c r="J2176" s="28">
        <f>IFERROR(INDEX(MgAmenGrupo,MATCH(SUBSTITUTE($H2176,"*","-"),MgAmenClave,0)),"")</f>
        <v/>
      </c>
      <c r="K2176" s="64">
        <f>IFERROR(INDEX('1. Matriz de Activos'!$Q$6:$Q$239,MATCH($C2176,MgActId,0)),"")</f>
        <v/>
      </c>
      <c r="L2176" s="64">
        <f>IFERROR(INDEX('1. Matriz de Activos'!$R$6:$R$239,MATCH($C2176,MgActId,0)),"")</f>
        <v/>
      </c>
      <c r="M2176" s="64">
        <f>IFERROR(INDEX('1. Matriz de Activos'!$S$6:$S$239,MATCH($C2176,MgActId,0)),"")</f>
        <v/>
      </c>
      <c r="N2176" s="28">
        <f>IFERROR(INDEX(MgAmenDegD,MATCH(SUBSTITUTE($H2176,"*","-"),MgAmenClave,0)),"No aplica")</f>
        <v/>
      </c>
      <c r="O2176" s="28">
        <f>IFERROR(INDEX(MgAmenDegI,MATCH(SUBSTITUTE($H2176,"*","-"),MgAmenClave,0)),"No aplica")</f>
        <v/>
      </c>
      <c r="P2176" s="28">
        <f>IFERROR(INDEX(MgAmenDegC,MATCH(SUBSTITUTE($H2176,"*","-"),MgAmenClave,0)),"No aplica")</f>
        <v/>
      </c>
      <c r="Q2176" s="29">
        <f>IFERROR(VLOOKUP(K2176,MgValor,2,0)*VLOOKUP(N2176,MgDeg,2,0),0)</f>
        <v/>
      </c>
      <c r="R2176" s="29">
        <f>IFERROR(VLOOKUP(L2176,MgValor,2,0)*VLOOKUP(O2176,MgDeg,2,0),0)</f>
        <v/>
      </c>
      <c r="S2176" s="29">
        <f>IFERROR(VLOOKUP(M2176,MgValor,2,0)*VLOOKUP(P2176,MgDeg,2,0),0)</f>
        <v/>
      </c>
      <c r="T2176" s="30">
        <f>MAX(Q2176:S2176)</f>
        <v/>
      </c>
      <c r="U2176" s="28">
        <f>IFERROR(LOOKUP(T2176,{0;0.5;1.5;3;4.5},{"Despreciable";"Bajo";"Medio";"Alto";"Muy alto"}),"")</f>
        <v/>
      </c>
      <c r="V2176" s="13">
        <f>IFERROR(INDEX(MgAmenFrec,MATCH(SUBSTITUTE($H2176,"*","-"),MgAmenClave,0)),"")</f>
        <v/>
      </c>
      <c r="W2176" s="28">
        <f>IFERROR(LOOKUP(X2176,{0;0.01;0.1;1;10;100},{"Muy baja";"Muy baja";"Baja";"Media";"Alta";"Muy alta"}),"")</f>
        <v/>
      </c>
      <c r="X2176" s="31">
        <f>IFERROR(VLOOKUP(V2176,MgFrec,2,0),0)</f>
        <v/>
      </c>
      <c r="Y2176" s="30">
        <f>T2176*X2176</f>
        <v/>
      </c>
      <c r="Z2176" s="28">
        <f>IFERROR(LOOKUP(Y2176,{0;0.5;5;25},{"Bajo";"Medio";"Alto";"Crítico"}),"")</f>
        <v/>
      </c>
      <c r="AA2176" s="64">
        <f>IF(T2176&gt;=3,IF(X2176&gt;=1,"Zona 1 — Crítica: impacto alto y ocurre al menos una vez al año","Zona 4 — Catastrófica poco probable: impacto alto pero excepcional"),IF(AND(T2176&lt;1.5,X2176&lt;1),"Zona 3 — Asumible: impacto bajo y muy poco frecuente","Zona 2 — Atención: riesgo intermedio"))</f>
        <v/>
      </c>
      <c r="AB2176" s="64">
        <f>IFERROR(INDEX(MgAmenCtrl,MATCH(SUBSTITUTE($H2176,"*","-"),MgAmenClave,0)),"")</f>
        <v/>
      </c>
      <c r="AC2176" s="20" t="n"/>
      <c r="AD2176" s="31">
        <f>IFERROR($X2176*(1-IF($AC2176="",$AL2176,VLOOKUP($AC2176,MgMad,2,0))),"")</f>
        <v/>
      </c>
      <c r="AE2176" s="28">
        <f>IFERROR(LOOKUP(AD2176,{0;0.01;0.1;1;10;100},{"Muy baja";"Muy baja";"Baja";"Media";"Alta";"Muy alta"}),"")</f>
        <v/>
      </c>
      <c r="AF2176" s="30">
        <f>T2176*AD2176</f>
        <v/>
      </c>
      <c r="AG2176" s="28">
        <f>IFERROR(LOOKUP(AF2176,{0;0.5;5;25},{"Bajo";"Medio";"Alto";"Crítico"}),"")</f>
        <v/>
      </c>
      <c r="AH2176" s="28">
        <f>IF(AG2176="","",IF(OR(AG2176="Crítico",AG2176="Alto"),"Mitigar",IF(AG2176="Medio","Mitigar","Aceptar y monitorear")))</f>
        <v/>
      </c>
      <c r="AI2176" s="21" t="n"/>
      <c r="AJ2176" s="21" t="n"/>
      <c r="AK2176" s="20" t="n"/>
      <c r="AL2176" s="77">
        <f>IFERROR(INDEX(MgAmenEfic,MATCH(SUBSTITUTE($H2176,"*","-"),MgAmenClave,0)),0)</f>
        <v/>
      </c>
    </row>
    <row r="2177" hidden="1" ht="90" customHeight="1" s="54">
      <c r="B2177" s="59" t="inlineStr">
        <is>
          <t>R-2172</t>
        </is>
      </c>
      <c r="C2177" s="59" t="inlineStr">
        <is>
          <t>FIN-24</t>
        </is>
      </c>
      <c r="D2177" s="64">
        <f>IFERROR(INDEX(MgNombre,MATCH($C2177,MgActId,0)),"")</f>
        <v/>
      </c>
      <c r="E2177" s="64">
        <f>IFERROR(INDEX(MgProceso,MATCH($C2177,MgActId,0)),"")</f>
        <v/>
      </c>
      <c r="F2177" s="64">
        <f>IFERROR(INDEX(MgTipo,MATCH($C2177,MgActId,0)),"")</f>
        <v/>
      </c>
      <c r="G2177" s="64">
        <f>IFERROR(INDEX(MgSubtipo,MATCH($C2177,MgActId,0)),"")</f>
        <v/>
      </c>
      <c r="H2177" s="59" t="inlineStr">
        <is>
          <t>A.13</t>
        </is>
      </c>
      <c r="I2177" s="64">
        <f>IFERROR(INDEX(MgAmenNombre,MATCH(SUBSTITUTE($H2177,"*","-"),MgAmenClave,0)),"")</f>
        <v/>
      </c>
      <c r="J2177" s="28">
        <f>IFERROR(INDEX(MgAmenGrupo,MATCH(SUBSTITUTE($H2177,"*","-"),MgAmenClave,0)),"")</f>
        <v/>
      </c>
      <c r="K2177" s="64">
        <f>IFERROR(INDEX('1. Matriz de Activos'!$Q$6:$Q$239,MATCH($C2177,MgActId,0)),"")</f>
        <v/>
      </c>
      <c r="L2177" s="64">
        <f>IFERROR(INDEX('1. Matriz de Activos'!$R$6:$R$239,MATCH($C2177,MgActId,0)),"")</f>
        <v/>
      </c>
      <c r="M2177" s="64">
        <f>IFERROR(INDEX('1. Matriz de Activos'!$S$6:$S$239,MATCH($C2177,MgActId,0)),"")</f>
        <v/>
      </c>
      <c r="N2177" s="28">
        <f>IFERROR(INDEX(MgAmenDegD,MATCH(SUBSTITUTE($H2177,"*","-"),MgAmenClave,0)),"No aplica")</f>
        <v/>
      </c>
      <c r="O2177" s="28">
        <f>IFERROR(INDEX(MgAmenDegI,MATCH(SUBSTITUTE($H2177,"*","-"),MgAmenClave,0)),"No aplica")</f>
        <v/>
      </c>
      <c r="P2177" s="28">
        <f>IFERROR(INDEX(MgAmenDegC,MATCH(SUBSTITUTE($H2177,"*","-"),MgAmenClave,0)),"No aplica")</f>
        <v/>
      </c>
      <c r="Q2177" s="29">
        <f>IFERROR(VLOOKUP(K2177,MgValor,2,0)*VLOOKUP(N2177,MgDeg,2,0),0)</f>
        <v/>
      </c>
      <c r="R2177" s="29">
        <f>IFERROR(VLOOKUP(L2177,MgValor,2,0)*VLOOKUP(O2177,MgDeg,2,0),0)</f>
        <v/>
      </c>
      <c r="S2177" s="29">
        <f>IFERROR(VLOOKUP(M2177,MgValor,2,0)*VLOOKUP(P2177,MgDeg,2,0),0)</f>
        <v/>
      </c>
      <c r="T2177" s="30">
        <f>MAX(Q2177:S2177)</f>
        <v/>
      </c>
      <c r="U2177" s="28">
        <f>IFERROR(LOOKUP(T2177,{0;0.5;1.5;3;4.5},{"Despreciable";"Bajo";"Medio";"Alto";"Muy alto"}),"")</f>
        <v/>
      </c>
      <c r="V2177" s="13">
        <f>IFERROR(INDEX(MgAmenFrec,MATCH(SUBSTITUTE($H2177,"*","-"),MgAmenClave,0)),"")</f>
        <v/>
      </c>
      <c r="W2177" s="28">
        <f>IFERROR(LOOKUP(X2177,{0;0.01;0.1;1;10;100},{"Muy baja";"Muy baja";"Baja";"Media";"Alta";"Muy alta"}),"")</f>
        <v/>
      </c>
      <c r="X2177" s="31">
        <f>IFERROR(VLOOKUP(V2177,MgFrec,2,0),0)</f>
        <v/>
      </c>
      <c r="Y2177" s="30">
        <f>T2177*X2177</f>
        <v/>
      </c>
      <c r="Z2177" s="28">
        <f>IFERROR(LOOKUP(Y2177,{0;0.5;5;25},{"Bajo";"Medio";"Alto";"Crítico"}),"")</f>
        <v/>
      </c>
      <c r="AA2177" s="64">
        <f>IF(T2177&gt;=3,IF(X2177&gt;=1,"Zona 1 — Crítica: impacto alto y ocurre al menos una vez al año","Zona 4 — Catastrófica poco probable: impacto alto pero excepcional"),IF(AND(T2177&lt;1.5,X2177&lt;1),"Zona 3 — Asumible: impacto bajo y muy poco frecuente","Zona 2 — Atención: riesgo intermedio"))</f>
        <v/>
      </c>
      <c r="AB2177" s="64">
        <f>IFERROR(INDEX(MgAmenCtrl,MATCH(SUBSTITUTE($H2177,"*","-"),MgAmenClave,0)),"")</f>
        <v/>
      </c>
      <c r="AC2177" s="20" t="n"/>
      <c r="AD2177" s="31">
        <f>IFERROR($X2177*(1-IF($AC2177="",$AL2177,VLOOKUP($AC2177,MgMad,2,0))),"")</f>
        <v/>
      </c>
      <c r="AE2177" s="28">
        <f>IFERROR(LOOKUP(AD2177,{0;0.01;0.1;1;10;100},{"Muy baja";"Muy baja";"Baja";"Media";"Alta";"Muy alta"}),"")</f>
        <v/>
      </c>
      <c r="AF2177" s="30">
        <f>T2177*AD2177</f>
        <v/>
      </c>
      <c r="AG2177" s="28">
        <f>IFERROR(LOOKUP(AF2177,{0;0.5;5;25},{"Bajo";"Medio";"Alto";"Crítico"}),"")</f>
        <v/>
      </c>
      <c r="AH2177" s="28">
        <f>IF(AG2177="","",IF(OR(AG2177="Crítico",AG2177="Alto"),"Mitigar",IF(AG2177="Medio","Mitigar","Aceptar y monitorear")))</f>
        <v/>
      </c>
      <c r="AI2177" s="21" t="n"/>
      <c r="AJ2177" s="21" t="n"/>
      <c r="AK2177" s="20" t="n"/>
      <c r="AL2177" s="77">
        <f>IFERROR(INDEX(MgAmenEfic,MATCH(SUBSTITUTE($H2177,"*","-"),MgAmenClave,0)),0)</f>
        <v/>
      </c>
    </row>
    <row r="2178" hidden="1" ht="60" customHeight="1" s="54">
      <c r="B2178" s="59" t="inlineStr">
        <is>
          <t>R-2173</t>
        </is>
      </c>
      <c r="C2178" s="59" t="inlineStr">
        <is>
          <t>FIN-24</t>
        </is>
      </c>
      <c r="D2178" s="64">
        <f>IFERROR(INDEX(MgNombre,MATCH($C2178,MgActId,0)),"")</f>
        <v/>
      </c>
      <c r="E2178" s="64">
        <f>IFERROR(INDEX(MgProceso,MATCH($C2178,MgActId,0)),"")</f>
        <v/>
      </c>
      <c r="F2178" s="64">
        <f>IFERROR(INDEX(MgTipo,MATCH($C2178,MgActId,0)),"")</f>
        <v/>
      </c>
      <c r="G2178" s="64">
        <f>IFERROR(INDEX(MgSubtipo,MATCH($C2178,MgActId,0)),"")</f>
        <v/>
      </c>
      <c r="H2178" s="59" t="inlineStr">
        <is>
          <t>A.15</t>
        </is>
      </c>
      <c r="I2178" s="64">
        <f>IFERROR(INDEX(MgAmenNombre,MATCH(SUBSTITUTE($H2178,"*","-"),MgAmenClave,0)),"")</f>
        <v/>
      </c>
      <c r="J2178" s="28">
        <f>IFERROR(INDEX(MgAmenGrupo,MATCH(SUBSTITUTE($H2178,"*","-"),MgAmenClave,0)),"")</f>
        <v/>
      </c>
      <c r="K2178" s="64">
        <f>IFERROR(INDEX('1. Matriz de Activos'!$Q$6:$Q$239,MATCH($C2178,MgActId,0)),"")</f>
        <v/>
      </c>
      <c r="L2178" s="64">
        <f>IFERROR(INDEX('1. Matriz de Activos'!$R$6:$R$239,MATCH($C2178,MgActId,0)),"")</f>
        <v/>
      </c>
      <c r="M2178" s="64">
        <f>IFERROR(INDEX('1. Matriz de Activos'!$S$6:$S$239,MATCH($C2178,MgActId,0)),"")</f>
        <v/>
      </c>
      <c r="N2178" s="28">
        <f>IFERROR(INDEX(MgAmenDegD,MATCH(SUBSTITUTE($H2178,"*","-"),MgAmenClave,0)),"No aplica")</f>
        <v/>
      </c>
      <c r="O2178" s="28">
        <f>IFERROR(INDEX(MgAmenDegI,MATCH(SUBSTITUTE($H2178,"*","-"),MgAmenClave,0)),"No aplica")</f>
        <v/>
      </c>
      <c r="P2178" s="28">
        <f>IFERROR(INDEX(MgAmenDegC,MATCH(SUBSTITUTE($H2178,"*","-"),MgAmenClave,0)),"No aplica")</f>
        <v/>
      </c>
      <c r="Q2178" s="29">
        <f>IFERROR(VLOOKUP(K2178,MgValor,2,0)*VLOOKUP(N2178,MgDeg,2,0),0)</f>
        <v/>
      </c>
      <c r="R2178" s="29">
        <f>IFERROR(VLOOKUP(L2178,MgValor,2,0)*VLOOKUP(O2178,MgDeg,2,0),0)</f>
        <v/>
      </c>
      <c r="S2178" s="29">
        <f>IFERROR(VLOOKUP(M2178,MgValor,2,0)*VLOOKUP(P2178,MgDeg,2,0),0)</f>
        <v/>
      </c>
      <c r="T2178" s="30">
        <f>MAX(Q2178:S2178)</f>
        <v/>
      </c>
      <c r="U2178" s="28">
        <f>IFERROR(LOOKUP(T2178,{0;0.5;1.5;3;4.5},{"Despreciable";"Bajo";"Medio";"Alto";"Muy alto"}),"")</f>
        <v/>
      </c>
      <c r="V2178" s="13">
        <f>IFERROR(INDEX(MgAmenFrec,MATCH(SUBSTITUTE($H2178,"*","-"),MgAmenClave,0)),"")</f>
        <v/>
      </c>
      <c r="W2178" s="28">
        <f>IFERROR(LOOKUP(X2178,{0;0.01;0.1;1;10;100},{"Muy baja";"Muy baja";"Baja";"Media";"Alta";"Muy alta"}),"")</f>
        <v/>
      </c>
      <c r="X2178" s="31">
        <f>IFERROR(VLOOKUP(V2178,MgFrec,2,0),0)</f>
        <v/>
      </c>
      <c r="Y2178" s="30">
        <f>T2178*X2178</f>
        <v/>
      </c>
      <c r="Z2178" s="28">
        <f>IFERROR(LOOKUP(Y2178,{0;0.5;5;25},{"Bajo";"Medio";"Alto";"Crítico"}),"")</f>
        <v/>
      </c>
      <c r="AA2178" s="64">
        <f>IF(T2178&gt;=3,IF(X2178&gt;=1,"Zona 1 — Crítica: impacto alto y ocurre al menos una vez al año","Zona 4 — Catastrófica poco probable: impacto alto pero excepcional"),IF(AND(T2178&lt;1.5,X2178&lt;1),"Zona 3 — Asumible: impacto bajo y muy poco frecuente","Zona 2 — Atención: riesgo intermedio"))</f>
        <v/>
      </c>
      <c r="AB2178" s="64">
        <f>IFERROR(INDEX(MgAmenCtrl,MATCH(SUBSTITUTE($H2178,"*","-"),MgAmenClave,0)),"")</f>
        <v/>
      </c>
      <c r="AC2178" s="20" t="n"/>
      <c r="AD2178" s="31">
        <f>IFERROR($X2178*(1-IF($AC2178="",$AL2178,VLOOKUP($AC2178,MgMad,2,0))),"")</f>
        <v/>
      </c>
      <c r="AE2178" s="28">
        <f>IFERROR(LOOKUP(AD2178,{0;0.01;0.1;1;10;100},{"Muy baja";"Muy baja";"Baja";"Media";"Alta";"Muy alta"}),"")</f>
        <v/>
      </c>
      <c r="AF2178" s="30">
        <f>T2178*AD2178</f>
        <v/>
      </c>
      <c r="AG2178" s="28">
        <f>IFERROR(LOOKUP(AF2178,{0;0.5;5;25},{"Bajo";"Medio";"Alto";"Crítico"}),"")</f>
        <v/>
      </c>
      <c r="AH2178" s="28">
        <f>IF(AG2178="","",IF(OR(AG2178="Crítico",AG2178="Alto"),"Mitigar",IF(AG2178="Medio","Mitigar","Aceptar y monitorear")))</f>
        <v/>
      </c>
      <c r="AI2178" s="21" t="n"/>
      <c r="AJ2178" s="21" t="n"/>
      <c r="AK2178" s="20" t="n"/>
      <c r="AL2178" s="77">
        <f>IFERROR(INDEX(MgAmenEfic,MATCH(SUBSTITUTE($H2178,"*","-"),MgAmenClave,0)),0)</f>
        <v/>
      </c>
    </row>
    <row r="2179" hidden="1" ht="60" customHeight="1" s="54">
      <c r="B2179" s="59" t="inlineStr">
        <is>
          <t>R-2174</t>
        </is>
      </c>
      <c r="C2179" s="59" t="inlineStr">
        <is>
          <t>FIN-24</t>
        </is>
      </c>
      <c r="D2179" s="64">
        <f>IFERROR(INDEX(MgNombre,MATCH($C2179,MgActId,0)),"")</f>
        <v/>
      </c>
      <c r="E2179" s="64">
        <f>IFERROR(INDEX(MgProceso,MATCH($C2179,MgActId,0)),"")</f>
        <v/>
      </c>
      <c r="F2179" s="64">
        <f>IFERROR(INDEX(MgTipo,MATCH($C2179,MgActId,0)),"")</f>
        <v/>
      </c>
      <c r="G2179" s="64">
        <f>IFERROR(INDEX(MgSubtipo,MATCH($C2179,MgActId,0)),"")</f>
        <v/>
      </c>
      <c r="H2179" s="59" t="inlineStr">
        <is>
          <t>A.18</t>
        </is>
      </c>
      <c r="I2179" s="64">
        <f>IFERROR(INDEX(MgAmenNombre,MATCH(SUBSTITUTE($H2179,"*","-"),MgAmenClave,0)),"")</f>
        <v/>
      </c>
      <c r="J2179" s="28">
        <f>IFERROR(INDEX(MgAmenGrupo,MATCH(SUBSTITUTE($H2179,"*","-"),MgAmenClave,0)),"")</f>
        <v/>
      </c>
      <c r="K2179" s="64">
        <f>IFERROR(INDEX('1. Matriz de Activos'!$Q$6:$Q$239,MATCH($C2179,MgActId,0)),"")</f>
        <v/>
      </c>
      <c r="L2179" s="64">
        <f>IFERROR(INDEX('1. Matriz de Activos'!$R$6:$R$239,MATCH($C2179,MgActId,0)),"")</f>
        <v/>
      </c>
      <c r="M2179" s="64">
        <f>IFERROR(INDEX('1. Matriz de Activos'!$S$6:$S$239,MATCH($C2179,MgActId,0)),"")</f>
        <v/>
      </c>
      <c r="N2179" s="28">
        <f>IFERROR(INDEX(MgAmenDegD,MATCH(SUBSTITUTE($H2179,"*","-"),MgAmenClave,0)),"No aplica")</f>
        <v/>
      </c>
      <c r="O2179" s="28">
        <f>IFERROR(INDEX(MgAmenDegI,MATCH(SUBSTITUTE($H2179,"*","-"),MgAmenClave,0)),"No aplica")</f>
        <v/>
      </c>
      <c r="P2179" s="28">
        <f>IFERROR(INDEX(MgAmenDegC,MATCH(SUBSTITUTE($H2179,"*","-"),MgAmenClave,0)),"No aplica")</f>
        <v/>
      </c>
      <c r="Q2179" s="29">
        <f>IFERROR(VLOOKUP(K2179,MgValor,2,0)*VLOOKUP(N2179,MgDeg,2,0),0)</f>
        <v/>
      </c>
      <c r="R2179" s="29">
        <f>IFERROR(VLOOKUP(L2179,MgValor,2,0)*VLOOKUP(O2179,MgDeg,2,0),0)</f>
        <v/>
      </c>
      <c r="S2179" s="29">
        <f>IFERROR(VLOOKUP(M2179,MgValor,2,0)*VLOOKUP(P2179,MgDeg,2,0),0)</f>
        <v/>
      </c>
      <c r="T2179" s="30">
        <f>MAX(Q2179:S2179)</f>
        <v/>
      </c>
      <c r="U2179" s="28">
        <f>IFERROR(LOOKUP(T2179,{0;0.5;1.5;3;4.5},{"Despreciable";"Bajo";"Medio";"Alto";"Muy alto"}),"")</f>
        <v/>
      </c>
      <c r="V2179" s="13">
        <f>IFERROR(INDEX(MgAmenFrec,MATCH(SUBSTITUTE($H2179,"*","-"),MgAmenClave,0)),"")</f>
        <v/>
      </c>
      <c r="W2179" s="28">
        <f>IFERROR(LOOKUP(X2179,{0;0.01;0.1;1;10;100},{"Muy baja";"Muy baja";"Baja";"Media";"Alta";"Muy alta"}),"")</f>
        <v/>
      </c>
      <c r="X2179" s="31">
        <f>IFERROR(VLOOKUP(V2179,MgFrec,2,0),0)</f>
        <v/>
      </c>
      <c r="Y2179" s="30">
        <f>T2179*X2179</f>
        <v/>
      </c>
      <c r="Z2179" s="28">
        <f>IFERROR(LOOKUP(Y2179,{0;0.5;5;25},{"Bajo";"Medio";"Alto";"Crítico"}),"")</f>
        <v/>
      </c>
      <c r="AA2179" s="64">
        <f>IF(T2179&gt;=3,IF(X2179&gt;=1,"Zona 1 — Crítica: impacto alto y ocurre al menos una vez al año","Zona 4 — Catastrófica poco probable: impacto alto pero excepcional"),IF(AND(T2179&lt;1.5,X2179&lt;1),"Zona 3 — Asumible: impacto bajo y muy poco frecuente","Zona 2 — Atención: riesgo intermedio"))</f>
        <v/>
      </c>
      <c r="AB2179" s="64">
        <f>IFERROR(INDEX(MgAmenCtrl,MATCH(SUBSTITUTE($H2179,"*","-"),MgAmenClave,0)),"")</f>
        <v/>
      </c>
      <c r="AC2179" s="20" t="n"/>
      <c r="AD2179" s="31">
        <f>IFERROR($X2179*(1-IF($AC2179="",$AL2179,VLOOKUP($AC2179,MgMad,2,0))),"")</f>
        <v/>
      </c>
      <c r="AE2179" s="28">
        <f>IFERROR(LOOKUP(AD2179,{0;0.01;0.1;1;10;100},{"Muy baja";"Muy baja";"Baja";"Media";"Alta";"Muy alta"}),"")</f>
        <v/>
      </c>
      <c r="AF2179" s="30">
        <f>T2179*AD2179</f>
        <v/>
      </c>
      <c r="AG2179" s="28">
        <f>IFERROR(LOOKUP(AF2179,{0;0.5;5;25},{"Bajo";"Medio";"Alto";"Crítico"}),"")</f>
        <v/>
      </c>
      <c r="AH2179" s="28">
        <f>IF(AG2179="","",IF(OR(AG2179="Crítico",AG2179="Alto"),"Mitigar",IF(AG2179="Medio","Mitigar","Aceptar y monitorear")))</f>
        <v/>
      </c>
      <c r="AI2179" s="21" t="n"/>
      <c r="AJ2179" s="21" t="n"/>
      <c r="AK2179" s="20" t="n"/>
      <c r="AL2179" s="77">
        <f>IFERROR(INDEX(MgAmenEfic,MATCH(SUBSTITUTE($H2179,"*","-"),MgAmenClave,0)),0)</f>
        <v/>
      </c>
    </row>
    <row r="2180" hidden="1" ht="120" customHeight="1" s="54">
      <c r="B2180" s="59" t="inlineStr">
        <is>
          <t>R-2175</t>
        </is>
      </c>
      <c r="C2180" s="59" t="inlineStr">
        <is>
          <t>FIN-24</t>
        </is>
      </c>
      <c r="D2180" s="64">
        <f>IFERROR(INDEX(MgNombre,MATCH($C2180,MgActId,0)),"")</f>
        <v/>
      </c>
      <c r="E2180" s="64">
        <f>IFERROR(INDEX(MgProceso,MATCH($C2180,MgActId,0)),"")</f>
        <v/>
      </c>
      <c r="F2180" s="64">
        <f>IFERROR(INDEX(MgTipo,MATCH($C2180,MgActId,0)),"")</f>
        <v/>
      </c>
      <c r="G2180" s="64">
        <f>IFERROR(INDEX(MgSubtipo,MATCH($C2180,MgActId,0)),"")</f>
        <v/>
      </c>
      <c r="H2180" s="59" t="inlineStr">
        <is>
          <t>A.19</t>
        </is>
      </c>
      <c r="I2180" s="64">
        <f>IFERROR(INDEX(MgAmenNombre,MATCH(SUBSTITUTE($H2180,"*","-"),MgAmenClave,0)),"")</f>
        <v/>
      </c>
      <c r="J2180" s="28">
        <f>IFERROR(INDEX(MgAmenGrupo,MATCH(SUBSTITUTE($H2180,"*","-"),MgAmenClave,0)),"")</f>
        <v/>
      </c>
      <c r="K2180" s="64">
        <f>IFERROR(INDEX('1. Matriz de Activos'!$Q$6:$Q$239,MATCH($C2180,MgActId,0)),"")</f>
        <v/>
      </c>
      <c r="L2180" s="64">
        <f>IFERROR(INDEX('1. Matriz de Activos'!$R$6:$R$239,MATCH($C2180,MgActId,0)),"")</f>
        <v/>
      </c>
      <c r="M2180" s="64">
        <f>IFERROR(INDEX('1. Matriz de Activos'!$S$6:$S$239,MATCH($C2180,MgActId,0)),"")</f>
        <v/>
      </c>
      <c r="N2180" s="28">
        <f>IFERROR(INDEX(MgAmenDegD,MATCH(SUBSTITUTE($H2180,"*","-"),MgAmenClave,0)),"No aplica")</f>
        <v/>
      </c>
      <c r="O2180" s="28">
        <f>IFERROR(INDEX(MgAmenDegI,MATCH(SUBSTITUTE($H2180,"*","-"),MgAmenClave,0)),"No aplica")</f>
        <v/>
      </c>
      <c r="P2180" s="28">
        <f>IFERROR(INDEX(MgAmenDegC,MATCH(SUBSTITUTE($H2180,"*","-"),MgAmenClave,0)),"No aplica")</f>
        <v/>
      </c>
      <c r="Q2180" s="29">
        <f>IFERROR(VLOOKUP(K2180,MgValor,2,0)*VLOOKUP(N2180,MgDeg,2,0),0)</f>
        <v/>
      </c>
      <c r="R2180" s="29">
        <f>IFERROR(VLOOKUP(L2180,MgValor,2,0)*VLOOKUP(O2180,MgDeg,2,0),0)</f>
        <v/>
      </c>
      <c r="S2180" s="29">
        <f>IFERROR(VLOOKUP(M2180,MgValor,2,0)*VLOOKUP(P2180,MgDeg,2,0),0)</f>
        <v/>
      </c>
      <c r="T2180" s="30">
        <f>MAX(Q2180:S2180)</f>
        <v/>
      </c>
      <c r="U2180" s="28">
        <f>IFERROR(LOOKUP(T2180,{0;0.5;1.5;3;4.5},{"Despreciable";"Bajo";"Medio";"Alto";"Muy alto"}),"")</f>
        <v/>
      </c>
      <c r="V2180" s="13">
        <f>IFERROR(INDEX(MgAmenFrec,MATCH(SUBSTITUTE($H2180,"*","-"),MgAmenClave,0)),"")</f>
        <v/>
      </c>
      <c r="W2180" s="28">
        <f>IFERROR(LOOKUP(X2180,{0;0.01;0.1;1;10;100},{"Muy baja";"Muy baja";"Baja";"Media";"Alta";"Muy alta"}),"")</f>
        <v/>
      </c>
      <c r="X2180" s="31">
        <f>IFERROR(VLOOKUP(V2180,MgFrec,2,0),0)</f>
        <v/>
      </c>
      <c r="Y2180" s="30">
        <f>T2180*X2180</f>
        <v/>
      </c>
      <c r="Z2180" s="28">
        <f>IFERROR(LOOKUP(Y2180,{0;0.5;5;25},{"Bajo";"Medio";"Alto";"Crítico"}),"")</f>
        <v/>
      </c>
      <c r="AA2180" s="64">
        <f>IF(T2180&gt;=3,IF(X2180&gt;=1,"Zona 1 — Crítica: impacto alto y ocurre al menos una vez al año","Zona 4 — Catastrófica poco probable: impacto alto pero excepcional"),IF(AND(T2180&lt;1.5,X2180&lt;1),"Zona 3 — Asumible: impacto bajo y muy poco frecuente","Zona 2 — Atención: riesgo intermedio"))</f>
        <v/>
      </c>
      <c r="AB2180" s="64">
        <f>IFERROR(INDEX(MgAmenCtrl,MATCH(SUBSTITUTE($H2180,"*","-"),MgAmenClave,0)),"")</f>
        <v/>
      </c>
      <c r="AC2180" s="20" t="n"/>
      <c r="AD2180" s="31">
        <f>IFERROR($X2180*(1-IF($AC2180="",$AL2180,VLOOKUP($AC2180,MgMad,2,0))),"")</f>
        <v/>
      </c>
      <c r="AE2180" s="28">
        <f>IFERROR(LOOKUP(AD2180,{0;0.01;0.1;1;10;100},{"Muy baja";"Muy baja";"Baja";"Media";"Alta";"Muy alta"}),"")</f>
        <v/>
      </c>
      <c r="AF2180" s="30">
        <f>T2180*AD2180</f>
        <v/>
      </c>
      <c r="AG2180" s="28">
        <f>IFERROR(LOOKUP(AF2180,{0;0.5;5;25},{"Bajo";"Medio";"Alto";"Crítico"}),"")</f>
        <v/>
      </c>
      <c r="AH2180" s="28">
        <f>IF(AG2180="","",IF(OR(AG2180="Crítico",AG2180="Alto"),"Mitigar",IF(AG2180="Medio","Mitigar","Aceptar y monitorear")))</f>
        <v/>
      </c>
      <c r="AI2180" s="21" t="n"/>
      <c r="AJ2180" s="21" t="n"/>
      <c r="AK2180" s="20" t="n"/>
      <c r="AL2180" s="77">
        <f>IFERROR(INDEX(MgAmenEfic,MATCH(SUBSTITUTE($H2180,"*","-"),MgAmenClave,0)),0)</f>
        <v/>
      </c>
    </row>
    <row r="2181" hidden="1" ht="60" customHeight="1" s="54">
      <c r="B2181" s="59" t="inlineStr">
        <is>
          <t>R-2176</t>
        </is>
      </c>
      <c r="C2181" s="59" t="inlineStr">
        <is>
          <t>FIN-24</t>
        </is>
      </c>
      <c r="D2181" s="64">
        <f>IFERROR(INDEX(MgNombre,MATCH($C2181,MgActId,0)),"")</f>
        <v/>
      </c>
      <c r="E2181" s="64">
        <f>IFERROR(INDEX(MgProceso,MATCH($C2181,MgActId,0)),"")</f>
        <v/>
      </c>
      <c r="F2181" s="64">
        <f>IFERROR(INDEX(MgTipo,MATCH($C2181,MgActId,0)),"")</f>
        <v/>
      </c>
      <c r="G2181" s="64">
        <f>IFERROR(INDEX(MgSubtipo,MATCH($C2181,MgActId,0)),"")</f>
        <v/>
      </c>
      <c r="H2181" s="59" t="inlineStr">
        <is>
          <t>A.24</t>
        </is>
      </c>
      <c r="I2181" s="64">
        <f>IFERROR(INDEX(MgAmenNombre,MATCH(SUBSTITUTE($H2181,"*","-"),MgAmenClave,0)),"")</f>
        <v/>
      </c>
      <c r="J2181" s="28">
        <f>IFERROR(INDEX(MgAmenGrupo,MATCH(SUBSTITUTE($H2181,"*","-"),MgAmenClave,0)),"")</f>
        <v/>
      </c>
      <c r="K2181" s="64">
        <f>IFERROR(INDEX('1. Matriz de Activos'!$Q$6:$Q$239,MATCH($C2181,MgActId,0)),"")</f>
        <v/>
      </c>
      <c r="L2181" s="64">
        <f>IFERROR(INDEX('1. Matriz de Activos'!$R$6:$R$239,MATCH($C2181,MgActId,0)),"")</f>
        <v/>
      </c>
      <c r="M2181" s="64">
        <f>IFERROR(INDEX('1. Matriz de Activos'!$S$6:$S$239,MATCH($C2181,MgActId,0)),"")</f>
        <v/>
      </c>
      <c r="N2181" s="28">
        <f>IFERROR(INDEX(MgAmenDegD,MATCH(SUBSTITUTE($H2181,"*","-"),MgAmenClave,0)),"No aplica")</f>
        <v/>
      </c>
      <c r="O2181" s="28">
        <f>IFERROR(INDEX(MgAmenDegI,MATCH(SUBSTITUTE($H2181,"*","-"),MgAmenClave,0)),"No aplica")</f>
        <v/>
      </c>
      <c r="P2181" s="28">
        <f>IFERROR(INDEX(MgAmenDegC,MATCH(SUBSTITUTE($H2181,"*","-"),MgAmenClave,0)),"No aplica")</f>
        <v/>
      </c>
      <c r="Q2181" s="29">
        <f>IFERROR(VLOOKUP(K2181,MgValor,2,0)*VLOOKUP(N2181,MgDeg,2,0),0)</f>
        <v/>
      </c>
      <c r="R2181" s="29">
        <f>IFERROR(VLOOKUP(L2181,MgValor,2,0)*VLOOKUP(O2181,MgDeg,2,0),0)</f>
        <v/>
      </c>
      <c r="S2181" s="29">
        <f>IFERROR(VLOOKUP(M2181,MgValor,2,0)*VLOOKUP(P2181,MgDeg,2,0),0)</f>
        <v/>
      </c>
      <c r="T2181" s="30">
        <f>MAX(Q2181:S2181)</f>
        <v/>
      </c>
      <c r="U2181" s="28">
        <f>IFERROR(LOOKUP(T2181,{0;0.5;1.5;3;4.5},{"Despreciable";"Bajo";"Medio";"Alto";"Muy alto"}),"")</f>
        <v/>
      </c>
      <c r="V2181" s="13">
        <f>IFERROR(INDEX(MgAmenFrec,MATCH(SUBSTITUTE($H2181,"*","-"),MgAmenClave,0)),"")</f>
        <v/>
      </c>
      <c r="W2181" s="28">
        <f>IFERROR(LOOKUP(X2181,{0;0.01;0.1;1;10;100},{"Muy baja";"Muy baja";"Baja";"Media";"Alta";"Muy alta"}),"")</f>
        <v/>
      </c>
      <c r="X2181" s="31">
        <f>IFERROR(VLOOKUP(V2181,MgFrec,2,0),0)</f>
        <v/>
      </c>
      <c r="Y2181" s="30">
        <f>T2181*X2181</f>
        <v/>
      </c>
      <c r="Z2181" s="28">
        <f>IFERROR(LOOKUP(Y2181,{0;0.5;5;25},{"Bajo";"Medio";"Alto";"Crítico"}),"")</f>
        <v/>
      </c>
      <c r="AA2181" s="64">
        <f>IF(T2181&gt;=3,IF(X2181&gt;=1,"Zona 1 — Crítica: impacto alto y ocurre al menos una vez al año","Zona 4 — Catastrófica poco probable: impacto alto pero excepcional"),IF(AND(T2181&lt;1.5,X2181&lt;1),"Zona 3 — Asumible: impacto bajo y muy poco frecuente","Zona 2 — Atención: riesgo intermedio"))</f>
        <v/>
      </c>
      <c r="AB2181" s="64">
        <f>IFERROR(INDEX(MgAmenCtrl,MATCH(SUBSTITUTE($H2181,"*","-"),MgAmenClave,0)),"")</f>
        <v/>
      </c>
      <c r="AC2181" s="20" t="n"/>
      <c r="AD2181" s="31">
        <f>IFERROR($X2181*(1-IF($AC2181="",$AL2181,VLOOKUP($AC2181,MgMad,2,0))),"")</f>
        <v/>
      </c>
      <c r="AE2181" s="28">
        <f>IFERROR(LOOKUP(AD2181,{0;0.01;0.1;1;10;100},{"Muy baja";"Muy baja";"Baja";"Media";"Alta";"Muy alta"}),"")</f>
        <v/>
      </c>
      <c r="AF2181" s="30">
        <f>T2181*AD2181</f>
        <v/>
      </c>
      <c r="AG2181" s="28">
        <f>IFERROR(LOOKUP(AF2181,{0;0.5;5;25},{"Bajo";"Medio";"Alto";"Crítico"}),"")</f>
        <v/>
      </c>
      <c r="AH2181" s="28">
        <f>IF(AG2181="","",IF(OR(AG2181="Crítico",AG2181="Alto"),"Mitigar",IF(AG2181="Medio","Mitigar","Aceptar y monitorear")))</f>
        <v/>
      </c>
      <c r="AI2181" s="21" t="n"/>
      <c r="AJ2181" s="21" t="n"/>
      <c r="AK2181" s="20" t="n"/>
      <c r="AL2181" s="77">
        <f>IFERROR(INDEX(MgAmenEfic,MATCH(SUBSTITUTE($H2181,"*","-"),MgAmenClave,0)),0)</f>
        <v/>
      </c>
    </row>
    <row r="2182" hidden="1" ht="105" customHeight="1" s="54">
      <c r="B2182" s="59" t="inlineStr">
        <is>
          <t>R-2177</t>
        </is>
      </c>
      <c r="C2182" s="59" t="inlineStr">
        <is>
          <t>MS-03</t>
        </is>
      </c>
      <c r="D2182" s="64">
        <f>IFERROR(INDEX(MgNombre,MATCH($C2182,MgActId,0)),"")</f>
        <v/>
      </c>
      <c r="E2182" s="64">
        <f>IFERROR(INDEX(MgProceso,MATCH($C2182,MgActId,0)),"")</f>
        <v/>
      </c>
      <c r="F2182" s="64">
        <f>IFERROR(INDEX(MgTipo,MATCH($C2182,MgActId,0)),"")</f>
        <v/>
      </c>
      <c r="G2182" s="64">
        <f>IFERROR(INDEX(MgSubtipo,MATCH($C2182,MgActId,0)),"")</f>
        <v/>
      </c>
      <c r="H2182" s="59" t="inlineStr">
        <is>
          <t>E.1</t>
        </is>
      </c>
      <c r="I2182" s="64">
        <f>IFERROR(INDEX(MgAmenNombre,MATCH(SUBSTITUTE($H2182,"*","-"),MgAmenClave,0)),"")</f>
        <v/>
      </c>
      <c r="J2182" s="28">
        <f>IFERROR(INDEX(MgAmenGrupo,MATCH(SUBSTITUTE($H2182,"*","-"),MgAmenClave,0)),"")</f>
        <v/>
      </c>
      <c r="K2182" s="64">
        <f>IFERROR(INDEX('1. Matriz de Activos'!$Q$6:$Q$239,MATCH($C2182,MgActId,0)),"")</f>
        <v/>
      </c>
      <c r="L2182" s="64">
        <f>IFERROR(INDEX('1. Matriz de Activos'!$R$6:$R$239,MATCH($C2182,MgActId,0)),"")</f>
        <v/>
      </c>
      <c r="M2182" s="64">
        <f>IFERROR(INDEX('1. Matriz de Activos'!$S$6:$S$239,MATCH($C2182,MgActId,0)),"")</f>
        <v/>
      </c>
      <c r="N2182" s="28">
        <f>IFERROR(INDEX(MgAmenDegD,MATCH(SUBSTITUTE($H2182,"*","-"),MgAmenClave,0)),"No aplica")</f>
        <v/>
      </c>
      <c r="O2182" s="28">
        <f>IFERROR(INDEX(MgAmenDegI,MATCH(SUBSTITUTE($H2182,"*","-"),MgAmenClave,0)),"No aplica")</f>
        <v/>
      </c>
      <c r="P2182" s="28">
        <f>IFERROR(INDEX(MgAmenDegC,MATCH(SUBSTITUTE($H2182,"*","-"),MgAmenClave,0)),"No aplica")</f>
        <v/>
      </c>
      <c r="Q2182" s="29">
        <f>IFERROR(VLOOKUP(K2182,MgValor,2,0)*VLOOKUP(N2182,MgDeg,2,0),0)</f>
        <v/>
      </c>
      <c r="R2182" s="29">
        <f>IFERROR(VLOOKUP(L2182,MgValor,2,0)*VLOOKUP(O2182,MgDeg,2,0),0)</f>
        <v/>
      </c>
      <c r="S2182" s="29">
        <f>IFERROR(VLOOKUP(M2182,MgValor,2,0)*VLOOKUP(P2182,MgDeg,2,0),0)</f>
        <v/>
      </c>
      <c r="T2182" s="30">
        <f>MAX(Q2182:S2182)</f>
        <v/>
      </c>
      <c r="U2182" s="28">
        <f>IFERROR(LOOKUP(T2182,{0;0.5;1.5;3;4.5},{"Despreciable";"Bajo";"Medio";"Alto";"Muy alto"}),"")</f>
        <v/>
      </c>
      <c r="V2182" s="13">
        <f>IFERROR(INDEX(MgAmenFrec,MATCH(SUBSTITUTE($H2182,"*","-"),MgAmenClave,0)),"")</f>
        <v/>
      </c>
      <c r="W2182" s="28">
        <f>IFERROR(LOOKUP(X2182,{0;0.01;0.1;1;10;100},{"Muy baja";"Muy baja";"Baja";"Media";"Alta";"Muy alta"}),"")</f>
        <v/>
      </c>
      <c r="X2182" s="31">
        <f>IFERROR(VLOOKUP(V2182,MgFrec,2,0),0)</f>
        <v/>
      </c>
      <c r="Y2182" s="30">
        <f>T2182*X2182</f>
        <v/>
      </c>
      <c r="Z2182" s="28">
        <f>IFERROR(LOOKUP(Y2182,{0;0.5;5;25},{"Bajo";"Medio";"Alto";"Crítico"}),"")</f>
        <v/>
      </c>
      <c r="AA2182" s="64">
        <f>IF(T2182&gt;=3,IF(X2182&gt;=1,"Zona 1 — Crítica: impacto alto y ocurre al menos una vez al año","Zona 4 — Catastrófica poco probable: impacto alto pero excepcional"),IF(AND(T2182&lt;1.5,X2182&lt;1),"Zona 3 — Asumible: impacto bajo y muy poco frecuente","Zona 2 — Atención: riesgo intermedio"))</f>
        <v/>
      </c>
      <c r="AB2182" s="64">
        <f>IFERROR(INDEX(MgAmenCtrl,MATCH(SUBSTITUTE($H2182,"*","-"),MgAmenClave,0)),"")</f>
        <v/>
      </c>
      <c r="AC2182" s="20" t="n"/>
      <c r="AD2182" s="31">
        <f>IFERROR($X2182*(1-IF($AC2182="",$AL2182,VLOOKUP($AC2182,MgMad,2,0))),"")</f>
        <v/>
      </c>
      <c r="AE2182" s="28">
        <f>IFERROR(LOOKUP(AD2182,{0;0.01;0.1;1;10;100},{"Muy baja";"Muy baja";"Baja";"Media";"Alta";"Muy alta"}),"")</f>
        <v/>
      </c>
      <c r="AF2182" s="30">
        <f>T2182*AD2182</f>
        <v/>
      </c>
      <c r="AG2182" s="28">
        <f>IFERROR(LOOKUP(AF2182,{0;0.5;5;25},{"Bajo";"Medio";"Alto";"Crítico"}),"")</f>
        <v/>
      </c>
      <c r="AH2182" s="28">
        <f>IF(AG2182="","",IF(OR(AG2182="Crítico",AG2182="Alto"),"Mitigar",IF(AG2182="Medio","Mitigar","Aceptar y monitorear")))</f>
        <v/>
      </c>
      <c r="AI2182" s="21" t="n"/>
      <c r="AJ2182" s="21" t="n"/>
      <c r="AK2182" s="20" t="n"/>
      <c r="AL2182" s="77">
        <f>IFERROR(INDEX(MgAmenEfic,MATCH(SUBSTITUTE($H2182,"*","-"),MgAmenClave,0)),0)</f>
        <v/>
      </c>
    </row>
    <row r="2183" hidden="1" ht="120" customHeight="1" s="54">
      <c r="B2183" s="59" t="inlineStr">
        <is>
          <t>R-2178</t>
        </is>
      </c>
      <c r="C2183" s="59" t="inlineStr">
        <is>
          <t>MS-03</t>
        </is>
      </c>
      <c r="D2183" s="64">
        <f>IFERROR(INDEX(MgNombre,MATCH($C2183,MgActId,0)),"")</f>
        <v/>
      </c>
      <c r="E2183" s="64">
        <f>IFERROR(INDEX(MgProceso,MATCH($C2183,MgActId,0)),"")</f>
        <v/>
      </c>
      <c r="F2183" s="64">
        <f>IFERROR(INDEX(MgTipo,MATCH($C2183,MgActId,0)),"")</f>
        <v/>
      </c>
      <c r="G2183" s="64">
        <f>IFERROR(INDEX(MgSubtipo,MATCH($C2183,MgActId,0)),"")</f>
        <v/>
      </c>
      <c r="H2183" s="59" t="inlineStr">
        <is>
          <t>E.2</t>
        </is>
      </c>
      <c r="I2183" s="64">
        <f>IFERROR(INDEX(MgAmenNombre,MATCH(SUBSTITUTE($H2183,"*","-"),MgAmenClave,0)),"")</f>
        <v/>
      </c>
      <c r="J2183" s="28">
        <f>IFERROR(INDEX(MgAmenGrupo,MATCH(SUBSTITUTE($H2183,"*","-"),MgAmenClave,0)),"")</f>
        <v/>
      </c>
      <c r="K2183" s="64">
        <f>IFERROR(INDEX('1. Matriz de Activos'!$Q$6:$Q$239,MATCH($C2183,MgActId,0)),"")</f>
        <v/>
      </c>
      <c r="L2183" s="64">
        <f>IFERROR(INDEX('1. Matriz de Activos'!$R$6:$R$239,MATCH($C2183,MgActId,0)),"")</f>
        <v/>
      </c>
      <c r="M2183" s="64">
        <f>IFERROR(INDEX('1. Matriz de Activos'!$S$6:$S$239,MATCH($C2183,MgActId,0)),"")</f>
        <v/>
      </c>
      <c r="N2183" s="28">
        <f>IFERROR(INDEX(MgAmenDegD,MATCH(SUBSTITUTE($H2183,"*","-"),MgAmenClave,0)),"No aplica")</f>
        <v/>
      </c>
      <c r="O2183" s="28">
        <f>IFERROR(INDEX(MgAmenDegI,MATCH(SUBSTITUTE($H2183,"*","-"),MgAmenClave,0)),"No aplica")</f>
        <v/>
      </c>
      <c r="P2183" s="28">
        <f>IFERROR(INDEX(MgAmenDegC,MATCH(SUBSTITUTE($H2183,"*","-"),MgAmenClave,0)),"No aplica")</f>
        <v/>
      </c>
      <c r="Q2183" s="29">
        <f>IFERROR(VLOOKUP(K2183,MgValor,2,0)*VLOOKUP(N2183,MgDeg,2,0),0)</f>
        <v/>
      </c>
      <c r="R2183" s="29">
        <f>IFERROR(VLOOKUP(L2183,MgValor,2,0)*VLOOKUP(O2183,MgDeg,2,0),0)</f>
        <v/>
      </c>
      <c r="S2183" s="29">
        <f>IFERROR(VLOOKUP(M2183,MgValor,2,0)*VLOOKUP(P2183,MgDeg,2,0),0)</f>
        <v/>
      </c>
      <c r="T2183" s="30">
        <f>MAX(Q2183:S2183)</f>
        <v/>
      </c>
      <c r="U2183" s="28">
        <f>IFERROR(LOOKUP(T2183,{0;0.5;1.5;3;4.5},{"Despreciable";"Bajo";"Medio";"Alto";"Muy alto"}),"")</f>
        <v/>
      </c>
      <c r="V2183" s="13">
        <f>IFERROR(INDEX(MgAmenFrec,MATCH(SUBSTITUTE($H2183,"*","-"),MgAmenClave,0)),"")</f>
        <v/>
      </c>
      <c r="W2183" s="28">
        <f>IFERROR(LOOKUP(X2183,{0;0.01;0.1;1;10;100},{"Muy baja";"Muy baja";"Baja";"Media";"Alta";"Muy alta"}),"")</f>
        <v/>
      </c>
      <c r="X2183" s="31">
        <f>IFERROR(VLOOKUP(V2183,MgFrec,2,0),0)</f>
        <v/>
      </c>
      <c r="Y2183" s="30">
        <f>T2183*X2183</f>
        <v/>
      </c>
      <c r="Z2183" s="28">
        <f>IFERROR(LOOKUP(Y2183,{0;0.5;5;25},{"Bajo";"Medio";"Alto";"Crítico"}),"")</f>
        <v/>
      </c>
      <c r="AA2183" s="64">
        <f>IF(T2183&gt;=3,IF(X2183&gt;=1,"Zona 1 — Crítica: impacto alto y ocurre al menos una vez al año","Zona 4 — Catastrófica poco probable: impacto alto pero excepcional"),IF(AND(T2183&lt;1.5,X2183&lt;1),"Zona 3 — Asumible: impacto bajo y muy poco frecuente","Zona 2 — Atención: riesgo intermedio"))</f>
        <v/>
      </c>
      <c r="AB2183" s="64">
        <f>IFERROR(INDEX(MgAmenCtrl,MATCH(SUBSTITUTE($H2183,"*","-"),MgAmenClave,0)),"")</f>
        <v/>
      </c>
      <c r="AC2183" s="20" t="n"/>
      <c r="AD2183" s="31">
        <f>IFERROR($X2183*(1-IF($AC2183="",$AL2183,VLOOKUP($AC2183,MgMad,2,0))),"")</f>
        <v/>
      </c>
      <c r="AE2183" s="28">
        <f>IFERROR(LOOKUP(AD2183,{0;0.01;0.1;1;10;100},{"Muy baja";"Muy baja";"Baja";"Media";"Alta";"Muy alta"}),"")</f>
        <v/>
      </c>
      <c r="AF2183" s="30">
        <f>T2183*AD2183</f>
        <v/>
      </c>
      <c r="AG2183" s="28">
        <f>IFERROR(LOOKUP(AF2183,{0;0.5;5;25},{"Bajo";"Medio";"Alto";"Crítico"}),"")</f>
        <v/>
      </c>
      <c r="AH2183" s="28">
        <f>IF(AG2183="","",IF(OR(AG2183="Crítico",AG2183="Alto"),"Mitigar",IF(AG2183="Medio","Mitigar","Aceptar y monitorear")))</f>
        <v/>
      </c>
      <c r="AI2183" s="21" t="n"/>
      <c r="AJ2183" s="21" t="n"/>
      <c r="AK2183" s="20" t="n"/>
      <c r="AL2183" s="77">
        <f>IFERROR(INDEX(MgAmenEfic,MATCH(SUBSTITUTE($H2183,"*","-"),MgAmenClave,0)),0)</f>
        <v/>
      </c>
    </row>
    <row r="2184" hidden="1" ht="60" customHeight="1" s="54">
      <c r="B2184" s="59" t="inlineStr">
        <is>
          <t>R-2179</t>
        </is>
      </c>
      <c r="C2184" s="59" t="inlineStr">
        <is>
          <t>MS-03</t>
        </is>
      </c>
      <c r="D2184" s="64">
        <f>IFERROR(INDEX(MgNombre,MATCH($C2184,MgActId,0)),"")</f>
        <v/>
      </c>
      <c r="E2184" s="64">
        <f>IFERROR(INDEX(MgProceso,MATCH($C2184,MgActId,0)),"")</f>
        <v/>
      </c>
      <c r="F2184" s="64">
        <f>IFERROR(INDEX(MgTipo,MATCH($C2184,MgActId,0)),"")</f>
        <v/>
      </c>
      <c r="G2184" s="64">
        <f>IFERROR(INDEX(MgSubtipo,MATCH($C2184,MgActId,0)),"")</f>
        <v/>
      </c>
      <c r="H2184" s="59" t="inlineStr">
        <is>
          <t>E.9</t>
        </is>
      </c>
      <c r="I2184" s="64">
        <f>IFERROR(INDEX(MgAmenNombre,MATCH(SUBSTITUTE($H2184,"*","-"),MgAmenClave,0)),"")</f>
        <v/>
      </c>
      <c r="J2184" s="28">
        <f>IFERROR(INDEX(MgAmenGrupo,MATCH(SUBSTITUTE($H2184,"*","-"),MgAmenClave,0)),"")</f>
        <v/>
      </c>
      <c r="K2184" s="64">
        <f>IFERROR(INDEX('1. Matriz de Activos'!$Q$6:$Q$239,MATCH($C2184,MgActId,0)),"")</f>
        <v/>
      </c>
      <c r="L2184" s="64">
        <f>IFERROR(INDEX('1. Matriz de Activos'!$R$6:$R$239,MATCH($C2184,MgActId,0)),"")</f>
        <v/>
      </c>
      <c r="M2184" s="64">
        <f>IFERROR(INDEX('1. Matriz de Activos'!$S$6:$S$239,MATCH($C2184,MgActId,0)),"")</f>
        <v/>
      </c>
      <c r="N2184" s="28">
        <f>IFERROR(INDEX(MgAmenDegD,MATCH(SUBSTITUTE($H2184,"*","-"),MgAmenClave,0)),"No aplica")</f>
        <v/>
      </c>
      <c r="O2184" s="28">
        <f>IFERROR(INDEX(MgAmenDegI,MATCH(SUBSTITUTE($H2184,"*","-"),MgAmenClave,0)),"No aplica")</f>
        <v/>
      </c>
      <c r="P2184" s="28">
        <f>IFERROR(INDEX(MgAmenDegC,MATCH(SUBSTITUTE($H2184,"*","-"),MgAmenClave,0)),"No aplica")</f>
        <v/>
      </c>
      <c r="Q2184" s="29">
        <f>IFERROR(VLOOKUP(K2184,MgValor,2,0)*VLOOKUP(N2184,MgDeg,2,0),0)</f>
        <v/>
      </c>
      <c r="R2184" s="29">
        <f>IFERROR(VLOOKUP(L2184,MgValor,2,0)*VLOOKUP(O2184,MgDeg,2,0),0)</f>
        <v/>
      </c>
      <c r="S2184" s="29">
        <f>IFERROR(VLOOKUP(M2184,MgValor,2,0)*VLOOKUP(P2184,MgDeg,2,0),0)</f>
        <v/>
      </c>
      <c r="T2184" s="30">
        <f>MAX(Q2184:S2184)</f>
        <v/>
      </c>
      <c r="U2184" s="28">
        <f>IFERROR(LOOKUP(T2184,{0;0.5;1.5;3;4.5},{"Despreciable";"Bajo";"Medio";"Alto";"Muy alto"}),"")</f>
        <v/>
      </c>
      <c r="V2184" s="13">
        <f>IFERROR(INDEX(MgAmenFrec,MATCH(SUBSTITUTE($H2184,"*","-"),MgAmenClave,0)),"")</f>
        <v/>
      </c>
      <c r="W2184" s="28">
        <f>IFERROR(LOOKUP(X2184,{0;0.01;0.1;1;10;100},{"Muy baja";"Muy baja";"Baja";"Media";"Alta";"Muy alta"}),"")</f>
        <v/>
      </c>
      <c r="X2184" s="31">
        <f>IFERROR(VLOOKUP(V2184,MgFrec,2,0),0)</f>
        <v/>
      </c>
      <c r="Y2184" s="30">
        <f>T2184*X2184</f>
        <v/>
      </c>
      <c r="Z2184" s="28">
        <f>IFERROR(LOOKUP(Y2184,{0;0.5;5;25},{"Bajo";"Medio";"Alto";"Crítico"}),"")</f>
        <v/>
      </c>
      <c r="AA2184" s="64">
        <f>IF(T2184&gt;=3,IF(X2184&gt;=1,"Zona 1 — Crítica: impacto alto y ocurre al menos una vez al año","Zona 4 — Catastrófica poco probable: impacto alto pero excepcional"),IF(AND(T2184&lt;1.5,X2184&lt;1),"Zona 3 — Asumible: impacto bajo y muy poco frecuente","Zona 2 — Atención: riesgo intermedio"))</f>
        <v/>
      </c>
      <c r="AB2184" s="64">
        <f>IFERROR(INDEX(MgAmenCtrl,MATCH(SUBSTITUTE($H2184,"*","-"),MgAmenClave,0)),"")</f>
        <v/>
      </c>
      <c r="AC2184" s="20" t="n"/>
      <c r="AD2184" s="31">
        <f>IFERROR($X2184*(1-IF($AC2184="",$AL2184,VLOOKUP($AC2184,MgMad,2,0))),"")</f>
        <v/>
      </c>
      <c r="AE2184" s="28">
        <f>IFERROR(LOOKUP(AD2184,{0;0.01;0.1;1;10;100},{"Muy baja";"Muy baja";"Baja";"Media";"Alta";"Muy alta"}),"")</f>
        <v/>
      </c>
      <c r="AF2184" s="30">
        <f>T2184*AD2184</f>
        <v/>
      </c>
      <c r="AG2184" s="28">
        <f>IFERROR(LOOKUP(AF2184,{0;0.5;5;25},{"Bajo";"Medio";"Alto";"Crítico"}),"")</f>
        <v/>
      </c>
      <c r="AH2184" s="28">
        <f>IF(AG2184="","",IF(OR(AG2184="Crítico",AG2184="Alto"),"Mitigar",IF(AG2184="Medio","Mitigar","Aceptar y monitorear")))</f>
        <v/>
      </c>
      <c r="AI2184" s="21" t="n"/>
      <c r="AJ2184" s="21" t="n"/>
      <c r="AK2184" s="20" t="n"/>
      <c r="AL2184" s="77">
        <f>IFERROR(INDEX(MgAmenEfic,MATCH(SUBSTITUTE($H2184,"*","-"),MgAmenClave,0)),0)</f>
        <v/>
      </c>
    </row>
    <row r="2185" hidden="1" ht="90" customHeight="1" s="54">
      <c r="B2185" s="59" t="inlineStr">
        <is>
          <t>R-2180</t>
        </is>
      </c>
      <c r="C2185" s="59" t="inlineStr">
        <is>
          <t>MS-03</t>
        </is>
      </c>
      <c r="D2185" s="64">
        <f>IFERROR(INDEX(MgNombre,MATCH($C2185,MgActId,0)),"")</f>
        <v/>
      </c>
      <c r="E2185" s="64">
        <f>IFERROR(INDEX(MgProceso,MATCH($C2185,MgActId,0)),"")</f>
        <v/>
      </c>
      <c r="F2185" s="64">
        <f>IFERROR(INDEX(MgTipo,MATCH($C2185,MgActId,0)),"")</f>
        <v/>
      </c>
      <c r="G2185" s="64">
        <f>IFERROR(INDEX(MgSubtipo,MATCH($C2185,MgActId,0)),"")</f>
        <v/>
      </c>
      <c r="H2185" s="59" t="inlineStr">
        <is>
          <t>E.10</t>
        </is>
      </c>
      <c r="I2185" s="64">
        <f>IFERROR(INDEX(MgAmenNombre,MATCH(SUBSTITUTE($H2185,"*","-"),MgAmenClave,0)),"")</f>
        <v/>
      </c>
      <c r="J2185" s="28">
        <f>IFERROR(INDEX(MgAmenGrupo,MATCH(SUBSTITUTE($H2185,"*","-"),MgAmenClave,0)),"")</f>
        <v/>
      </c>
      <c r="K2185" s="64">
        <f>IFERROR(INDEX('1. Matriz de Activos'!$Q$6:$Q$239,MATCH($C2185,MgActId,0)),"")</f>
        <v/>
      </c>
      <c r="L2185" s="64">
        <f>IFERROR(INDEX('1. Matriz de Activos'!$R$6:$R$239,MATCH($C2185,MgActId,0)),"")</f>
        <v/>
      </c>
      <c r="M2185" s="64">
        <f>IFERROR(INDEX('1. Matriz de Activos'!$S$6:$S$239,MATCH($C2185,MgActId,0)),"")</f>
        <v/>
      </c>
      <c r="N2185" s="28">
        <f>IFERROR(INDEX(MgAmenDegD,MATCH(SUBSTITUTE($H2185,"*","-"),MgAmenClave,0)),"No aplica")</f>
        <v/>
      </c>
      <c r="O2185" s="28">
        <f>IFERROR(INDEX(MgAmenDegI,MATCH(SUBSTITUTE($H2185,"*","-"),MgAmenClave,0)),"No aplica")</f>
        <v/>
      </c>
      <c r="P2185" s="28">
        <f>IFERROR(INDEX(MgAmenDegC,MATCH(SUBSTITUTE($H2185,"*","-"),MgAmenClave,0)),"No aplica")</f>
        <v/>
      </c>
      <c r="Q2185" s="29">
        <f>IFERROR(VLOOKUP(K2185,MgValor,2,0)*VLOOKUP(N2185,MgDeg,2,0),0)</f>
        <v/>
      </c>
      <c r="R2185" s="29">
        <f>IFERROR(VLOOKUP(L2185,MgValor,2,0)*VLOOKUP(O2185,MgDeg,2,0),0)</f>
        <v/>
      </c>
      <c r="S2185" s="29">
        <f>IFERROR(VLOOKUP(M2185,MgValor,2,0)*VLOOKUP(P2185,MgDeg,2,0),0)</f>
        <v/>
      </c>
      <c r="T2185" s="30">
        <f>MAX(Q2185:S2185)</f>
        <v/>
      </c>
      <c r="U2185" s="28">
        <f>IFERROR(LOOKUP(T2185,{0;0.5;1.5;3;4.5},{"Despreciable";"Bajo";"Medio";"Alto";"Muy alto"}),"")</f>
        <v/>
      </c>
      <c r="V2185" s="13">
        <f>IFERROR(INDEX(MgAmenFrec,MATCH(SUBSTITUTE($H2185,"*","-"),MgAmenClave,0)),"")</f>
        <v/>
      </c>
      <c r="W2185" s="28">
        <f>IFERROR(LOOKUP(X2185,{0;0.01;0.1;1;10;100},{"Muy baja";"Muy baja";"Baja";"Media";"Alta";"Muy alta"}),"")</f>
        <v/>
      </c>
      <c r="X2185" s="31">
        <f>IFERROR(VLOOKUP(V2185,MgFrec,2,0),0)</f>
        <v/>
      </c>
      <c r="Y2185" s="30">
        <f>T2185*X2185</f>
        <v/>
      </c>
      <c r="Z2185" s="28">
        <f>IFERROR(LOOKUP(Y2185,{0;0.5;5;25},{"Bajo";"Medio";"Alto";"Crítico"}),"")</f>
        <v/>
      </c>
      <c r="AA2185" s="64">
        <f>IF(T2185&gt;=3,IF(X2185&gt;=1,"Zona 1 — Crítica: impacto alto y ocurre al menos una vez al año","Zona 4 — Catastrófica poco probable: impacto alto pero excepcional"),IF(AND(T2185&lt;1.5,X2185&lt;1),"Zona 3 — Asumible: impacto bajo y muy poco frecuente","Zona 2 — Atención: riesgo intermedio"))</f>
        <v/>
      </c>
      <c r="AB2185" s="64">
        <f>IFERROR(INDEX(MgAmenCtrl,MATCH(SUBSTITUTE($H2185,"*","-"),MgAmenClave,0)),"")</f>
        <v/>
      </c>
      <c r="AC2185" s="20" t="n"/>
      <c r="AD2185" s="31">
        <f>IFERROR($X2185*(1-IF($AC2185="",$AL2185,VLOOKUP($AC2185,MgMad,2,0))),"")</f>
        <v/>
      </c>
      <c r="AE2185" s="28">
        <f>IFERROR(LOOKUP(AD2185,{0;0.01;0.1;1;10;100},{"Muy baja";"Muy baja";"Baja";"Media";"Alta";"Muy alta"}),"")</f>
        <v/>
      </c>
      <c r="AF2185" s="30">
        <f>T2185*AD2185</f>
        <v/>
      </c>
      <c r="AG2185" s="28">
        <f>IFERROR(LOOKUP(AF2185,{0;0.5;5;25},{"Bajo";"Medio";"Alto";"Crítico"}),"")</f>
        <v/>
      </c>
      <c r="AH2185" s="28">
        <f>IF(AG2185="","",IF(OR(AG2185="Crítico",AG2185="Alto"),"Mitigar",IF(AG2185="Medio","Mitigar","Aceptar y monitorear")))</f>
        <v/>
      </c>
      <c r="AI2185" s="21" t="n"/>
      <c r="AJ2185" s="21" t="n"/>
      <c r="AK2185" s="20" t="n"/>
      <c r="AL2185" s="77">
        <f>IFERROR(INDEX(MgAmenEfic,MATCH(SUBSTITUTE($H2185,"*","-"),MgAmenClave,0)),0)</f>
        <v/>
      </c>
    </row>
    <row r="2186" hidden="1" ht="90" customHeight="1" s="54">
      <c r="B2186" s="59" t="inlineStr">
        <is>
          <t>R-2181</t>
        </is>
      </c>
      <c r="C2186" s="59" t="inlineStr">
        <is>
          <t>MS-03</t>
        </is>
      </c>
      <c r="D2186" s="64">
        <f>IFERROR(INDEX(MgNombre,MATCH($C2186,MgActId,0)),"")</f>
        <v/>
      </c>
      <c r="E2186" s="64">
        <f>IFERROR(INDEX(MgProceso,MATCH($C2186,MgActId,0)),"")</f>
        <v/>
      </c>
      <c r="F2186" s="64">
        <f>IFERROR(INDEX(MgTipo,MATCH($C2186,MgActId,0)),"")</f>
        <v/>
      </c>
      <c r="G2186" s="64">
        <f>IFERROR(INDEX(MgSubtipo,MATCH($C2186,MgActId,0)),"")</f>
        <v/>
      </c>
      <c r="H2186" s="59" t="inlineStr">
        <is>
          <t>E.14</t>
        </is>
      </c>
      <c r="I2186" s="64">
        <f>IFERROR(INDEX(MgAmenNombre,MATCH(SUBSTITUTE($H2186,"*","-"),MgAmenClave,0)),"")</f>
        <v/>
      </c>
      <c r="J2186" s="28">
        <f>IFERROR(INDEX(MgAmenGrupo,MATCH(SUBSTITUTE($H2186,"*","-"),MgAmenClave,0)),"")</f>
        <v/>
      </c>
      <c r="K2186" s="64">
        <f>IFERROR(INDEX('1. Matriz de Activos'!$Q$6:$Q$239,MATCH($C2186,MgActId,0)),"")</f>
        <v/>
      </c>
      <c r="L2186" s="64">
        <f>IFERROR(INDEX('1. Matriz de Activos'!$R$6:$R$239,MATCH($C2186,MgActId,0)),"")</f>
        <v/>
      </c>
      <c r="M2186" s="64">
        <f>IFERROR(INDEX('1. Matriz de Activos'!$S$6:$S$239,MATCH($C2186,MgActId,0)),"")</f>
        <v/>
      </c>
      <c r="N2186" s="28">
        <f>IFERROR(INDEX(MgAmenDegD,MATCH(SUBSTITUTE($H2186,"*","-"),MgAmenClave,0)),"No aplica")</f>
        <v/>
      </c>
      <c r="O2186" s="28">
        <f>IFERROR(INDEX(MgAmenDegI,MATCH(SUBSTITUTE($H2186,"*","-"),MgAmenClave,0)),"No aplica")</f>
        <v/>
      </c>
      <c r="P2186" s="28">
        <f>IFERROR(INDEX(MgAmenDegC,MATCH(SUBSTITUTE($H2186,"*","-"),MgAmenClave,0)),"No aplica")</f>
        <v/>
      </c>
      <c r="Q2186" s="29">
        <f>IFERROR(VLOOKUP(K2186,MgValor,2,0)*VLOOKUP(N2186,MgDeg,2,0),0)</f>
        <v/>
      </c>
      <c r="R2186" s="29">
        <f>IFERROR(VLOOKUP(L2186,MgValor,2,0)*VLOOKUP(O2186,MgDeg,2,0),0)</f>
        <v/>
      </c>
      <c r="S2186" s="29">
        <f>IFERROR(VLOOKUP(M2186,MgValor,2,0)*VLOOKUP(P2186,MgDeg,2,0),0)</f>
        <v/>
      </c>
      <c r="T2186" s="30">
        <f>MAX(Q2186:S2186)</f>
        <v/>
      </c>
      <c r="U2186" s="28">
        <f>IFERROR(LOOKUP(T2186,{0;0.5;1.5;3;4.5},{"Despreciable";"Bajo";"Medio";"Alto";"Muy alto"}),"")</f>
        <v/>
      </c>
      <c r="V2186" s="13">
        <f>IFERROR(INDEX(MgAmenFrec,MATCH(SUBSTITUTE($H2186,"*","-"),MgAmenClave,0)),"")</f>
        <v/>
      </c>
      <c r="W2186" s="28">
        <f>IFERROR(LOOKUP(X2186,{0;0.01;0.1;1;10;100},{"Muy baja";"Muy baja";"Baja";"Media";"Alta";"Muy alta"}),"")</f>
        <v/>
      </c>
      <c r="X2186" s="31">
        <f>IFERROR(VLOOKUP(V2186,MgFrec,2,0),0)</f>
        <v/>
      </c>
      <c r="Y2186" s="30">
        <f>T2186*X2186</f>
        <v/>
      </c>
      <c r="Z2186" s="28">
        <f>IFERROR(LOOKUP(Y2186,{0;0.5;5;25},{"Bajo";"Medio";"Alto";"Crítico"}),"")</f>
        <v/>
      </c>
      <c r="AA2186" s="64">
        <f>IF(T2186&gt;=3,IF(X2186&gt;=1,"Zona 1 — Crítica: impacto alto y ocurre al menos una vez al año","Zona 4 — Catastrófica poco probable: impacto alto pero excepcional"),IF(AND(T2186&lt;1.5,X2186&lt;1),"Zona 3 — Asumible: impacto bajo y muy poco frecuente","Zona 2 — Atención: riesgo intermedio"))</f>
        <v/>
      </c>
      <c r="AB2186" s="64">
        <f>IFERROR(INDEX(MgAmenCtrl,MATCH(SUBSTITUTE($H2186,"*","-"),MgAmenClave,0)),"")</f>
        <v/>
      </c>
      <c r="AC2186" s="20" t="n"/>
      <c r="AD2186" s="31">
        <f>IFERROR($X2186*(1-IF($AC2186="",$AL2186,VLOOKUP($AC2186,MgMad,2,0))),"")</f>
        <v/>
      </c>
      <c r="AE2186" s="28">
        <f>IFERROR(LOOKUP(AD2186,{0;0.01;0.1;1;10;100},{"Muy baja";"Muy baja";"Baja";"Media";"Alta";"Muy alta"}),"")</f>
        <v/>
      </c>
      <c r="AF2186" s="30">
        <f>T2186*AD2186</f>
        <v/>
      </c>
      <c r="AG2186" s="28">
        <f>IFERROR(LOOKUP(AF2186,{0;0.5;5;25},{"Bajo";"Medio";"Alto";"Crítico"}),"")</f>
        <v/>
      </c>
      <c r="AH2186" s="28">
        <f>IF(AG2186="","",IF(OR(AG2186="Crítico",AG2186="Alto"),"Mitigar",IF(AG2186="Medio","Mitigar","Aceptar y monitorear")))</f>
        <v/>
      </c>
      <c r="AI2186" s="21" t="n"/>
      <c r="AJ2186" s="21" t="n"/>
      <c r="AK2186" s="20" t="n"/>
      <c r="AL2186" s="77">
        <f>IFERROR(INDEX(MgAmenEfic,MATCH(SUBSTITUTE($H2186,"*","-"),MgAmenClave,0)),0)</f>
        <v/>
      </c>
    </row>
    <row r="2187" hidden="1" ht="90" customHeight="1" s="54">
      <c r="B2187" s="59" t="inlineStr">
        <is>
          <t>R-2182</t>
        </is>
      </c>
      <c r="C2187" s="59" t="inlineStr">
        <is>
          <t>MS-03</t>
        </is>
      </c>
      <c r="D2187" s="64">
        <f>IFERROR(INDEX(MgNombre,MATCH($C2187,MgActId,0)),"")</f>
        <v/>
      </c>
      <c r="E2187" s="64">
        <f>IFERROR(INDEX(MgProceso,MATCH($C2187,MgActId,0)),"")</f>
        <v/>
      </c>
      <c r="F2187" s="64">
        <f>IFERROR(INDEX(MgTipo,MATCH($C2187,MgActId,0)),"")</f>
        <v/>
      </c>
      <c r="G2187" s="64">
        <f>IFERROR(INDEX(MgSubtipo,MATCH($C2187,MgActId,0)),"")</f>
        <v/>
      </c>
      <c r="H2187" s="59" t="inlineStr">
        <is>
          <t>E.15</t>
        </is>
      </c>
      <c r="I2187" s="64">
        <f>IFERROR(INDEX(MgAmenNombre,MATCH(SUBSTITUTE($H2187,"*","-"),MgAmenClave,0)),"")</f>
        <v/>
      </c>
      <c r="J2187" s="28">
        <f>IFERROR(INDEX(MgAmenGrupo,MATCH(SUBSTITUTE($H2187,"*","-"),MgAmenClave,0)),"")</f>
        <v/>
      </c>
      <c r="K2187" s="64">
        <f>IFERROR(INDEX('1. Matriz de Activos'!$Q$6:$Q$239,MATCH($C2187,MgActId,0)),"")</f>
        <v/>
      </c>
      <c r="L2187" s="64">
        <f>IFERROR(INDEX('1. Matriz de Activos'!$R$6:$R$239,MATCH($C2187,MgActId,0)),"")</f>
        <v/>
      </c>
      <c r="M2187" s="64">
        <f>IFERROR(INDEX('1. Matriz de Activos'!$S$6:$S$239,MATCH($C2187,MgActId,0)),"")</f>
        <v/>
      </c>
      <c r="N2187" s="28">
        <f>IFERROR(INDEX(MgAmenDegD,MATCH(SUBSTITUTE($H2187,"*","-"),MgAmenClave,0)),"No aplica")</f>
        <v/>
      </c>
      <c r="O2187" s="28">
        <f>IFERROR(INDEX(MgAmenDegI,MATCH(SUBSTITUTE($H2187,"*","-"),MgAmenClave,0)),"No aplica")</f>
        <v/>
      </c>
      <c r="P2187" s="28">
        <f>IFERROR(INDEX(MgAmenDegC,MATCH(SUBSTITUTE($H2187,"*","-"),MgAmenClave,0)),"No aplica")</f>
        <v/>
      </c>
      <c r="Q2187" s="29">
        <f>IFERROR(VLOOKUP(K2187,MgValor,2,0)*VLOOKUP(N2187,MgDeg,2,0),0)</f>
        <v/>
      </c>
      <c r="R2187" s="29">
        <f>IFERROR(VLOOKUP(L2187,MgValor,2,0)*VLOOKUP(O2187,MgDeg,2,0),0)</f>
        <v/>
      </c>
      <c r="S2187" s="29">
        <f>IFERROR(VLOOKUP(M2187,MgValor,2,0)*VLOOKUP(P2187,MgDeg,2,0),0)</f>
        <v/>
      </c>
      <c r="T2187" s="30">
        <f>MAX(Q2187:S2187)</f>
        <v/>
      </c>
      <c r="U2187" s="28">
        <f>IFERROR(LOOKUP(T2187,{0;0.5;1.5;3;4.5},{"Despreciable";"Bajo";"Medio";"Alto";"Muy alto"}),"")</f>
        <v/>
      </c>
      <c r="V2187" s="13">
        <f>IFERROR(INDEX(MgAmenFrec,MATCH(SUBSTITUTE($H2187,"*","-"),MgAmenClave,0)),"")</f>
        <v/>
      </c>
      <c r="W2187" s="28">
        <f>IFERROR(LOOKUP(X2187,{0;0.01;0.1;1;10;100},{"Muy baja";"Muy baja";"Baja";"Media";"Alta";"Muy alta"}),"")</f>
        <v/>
      </c>
      <c r="X2187" s="31">
        <f>IFERROR(VLOOKUP(V2187,MgFrec,2,0),0)</f>
        <v/>
      </c>
      <c r="Y2187" s="30">
        <f>T2187*X2187</f>
        <v/>
      </c>
      <c r="Z2187" s="28">
        <f>IFERROR(LOOKUP(Y2187,{0;0.5;5;25},{"Bajo";"Medio";"Alto";"Crítico"}),"")</f>
        <v/>
      </c>
      <c r="AA2187" s="64">
        <f>IF(T2187&gt;=3,IF(X2187&gt;=1,"Zona 1 — Crítica: impacto alto y ocurre al menos una vez al año","Zona 4 — Catastrófica poco probable: impacto alto pero excepcional"),IF(AND(T2187&lt;1.5,X2187&lt;1),"Zona 3 — Asumible: impacto bajo y muy poco frecuente","Zona 2 — Atención: riesgo intermedio"))</f>
        <v/>
      </c>
      <c r="AB2187" s="64">
        <f>IFERROR(INDEX(MgAmenCtrl,MATCH(SUBSTITUTE($H2187,"*","-"),MgAmenClave,0)),"")</f>
        <v/>
      </c>
      <c r="AC2187" s="20" t="n"/>
      <c r="AD2187" s="31">
        <f>IFERROR($X2187*(1-IF($AC2187="",$AL2187,VLOOKUP($AC2187,MgMad,2,0))),"")</f>
        <v/>
      </c>
      <c r="AE2187" s="28">
        <f>IFERROR(LOOKUP(AD2187,{0;0.01;0.1;1;10;100},{"Muy baja";"Muy baja";"Baja";"Media";"Alta";"Muy alta"}),"")</f>
        <v/>
      </c>
      <c r="AF2187" s="30">
        <f>T2187*AD2187</f>
        <v/>
      </c>
      <c r="AG2187" s="28">
        <f>IFERROR(LOOKUP(AF2187,{0;0.5;5;25},{"Bajo";"Medio";"Alto";"Crítico"}),"")</f>
        <v/>
      </c>
      <c r="AH2187" s="28">
        <f>IF(AG2187="","",IF(OR(AG2187="Crítico",AG2187="Alto"),"Mitigar",IF(AG2187="Medio","Mitigar","Aceptar y monitorear")))</f>
        <v/>
      </c>
      <c r="AI2187" s="21" t="n"/>
      <c r="AJ2187" s="21" t="n"/>
      <c r="AK2187" s="20" t="n"/>
      <c r="AL2187" s="77">
        <f>IFERROR(INDEX(MgAmenEfic,MATCH(SUBSTITUTE($H2187,"*","-"),MgAmenClave,0)),0)</f>
        <v/>
      </c>
    </row>
    <row r="2188" hidden="1" ht="60" customHeight="1" s="54">
      <c r="B2188" s="59" t="inlineStr">
        <is>
          <t>R-2183</t>
        </is>
      </c>
      <c r="C2188" s="59" t="inlineStr">
        <is>
          <t>MS-03</t>
        </is>
      </c>
      <c r="D2188" s="64">
        <f>IFERROR(INDEX(MgNombre,MATCH($C2188,MgActId,0)),"")</f>
        <v/>
      </c>
      <c r="E2188" s="64">
        <f>IFERROR(INDEX(MgProceso,MATCH($C2188,MgActId,0)),"")</f>
        <v/>
      </c>
      <c r="F2188" s="64">
        <f>IFERROR(INDEX(MgTipo,MATCH($C2188,MgActId,0)),"")</f>
        <v/>
      </c>
      <c r="G2188" s="64">
        <f>IFERROR(INDEX(MgSubtipo,MATCH($C2188,MgActId,0)),"")</f>
        <v/>
      </c>
      <c r="H2188" s="59" t="inlineStr">
        <is>
          <t>E.18</t>
        </is>
      </c>
      <c r="I2188" s="64">
        <f>IFERROR(INDEX(MgAmenNombre,MATCH(SUBSTITUTE($H2188,"*","-"),MgAmenClave,0)),"")</f>
        <v/>
      </c>
      <c r="J2188" s="28">
        <f>IFERROR(INDEX(MgAmenGrupo,MATCH(SUBSTITUTE($H2188,"*","-"),MgAmenClave,0)),"")</f>
        <v/>
      </c>
      <c r="K2188" s="64">
        <f>IFERROR(INDEX('1. Matriz de Activos'!$Q$6:$Q$239,MATCH($C2188,MgActId,0)),"")</f>
        <v/>
      </c>
      <c r="L2188" s="64">
        <f>IFERROR(INDEX('1. Matriz de Activos'!$R$6:$R$239,MATCH($C2188,MgActId,0)),"")</f>
        <v/>
      </c>
      <c r="M2188" s="64">
        <f>IFERROR(INDEX('1. Matriz de Activos'!$S$6:$S$239,MATCH($C2188,MgActId,0)),"")</f>
        <v/>
      </c>
      <c r="N2188" s="28">
        <f>IFERROR(INDEX(MgAmenDegD,MATCH(SUBSTITUTE($H2188,"*","-"),MgAmenClave,0)),"No aplica")</f>
        <v/>
      </c>
      <c r="O2188" s="28">
        <f>IFERROR(INDEX(MgAmenDegI,MATCH(SUBSTITUTE($H2188,"*","-"),MgAmenClave,0)),"No aplica")</f>
        <v/>
      </c>
      <c r="P2188" s="28">
        <f>IFERROR(INDEX(MgAmenDegC,MATCH(SUBSTITUTE($H2188,"*","-"),MgAmenClave,0)),"No aplica")</f>
        <v/>
      </c>
      <c r="Q2188" s="29">
        <f>IFERROR(VLOOKUP(K2188,MgValor,2,0)*VLOOKUP(N2188,MgDeg,2,0),0)</f>
        <v/>
      </c>
      <c r="R2188" s="29">
        <f>IFERROR(VLOOKUP(L2188,MgValor,2,0)*VLOOKUP(O2188,MgDeg,2,0),0)</f>
        <v/>
      </c>
      <c r="S2188" s="29">
        <f>IFERROR(VLOOKUP(M2188,MgValor,2,0)*VLOOKUP(P2188,MgDeg,2,0),0)</f>
        <v/>
      </c>
      <c r="T2188" s="30">
        <f>MAX(Q2188:S2188)</f>
        <v/>
      </c>
      <c r="U2188" s="28">
        <f>IFERROR(LOOKUP(T2188,{0;0.5;1.5;3;4.5},{"Despreciable";"Bajo";"Medio";"Alto";"Muy alto"}),"")</f>
        <v/>
      </c>
      <c r="V2188" s="13">
        <f>IFERROR(INDEX(MgAmenFrec,MATCH(SUBSTITUTE($H2188,"*","-"),MgAmenClave,0)),"")</f>
        <v/>
      </c>
      <c r="W2188" s="28">
        <f>IFERROR(LOOKUP(X2188,{0;0.01;0.1;1;10;100},{"Muy baja";"Muy baja";"Baja";"Media";"Alta";"Muy alta"}),"")</f>
        <v/>
      </c>
      <c r="X2188" s="31">
        <f>IFERROR(VLOOKUP(V2188,MgFrec,2,0),0)</f>
        <v/>
      </c>
      <c r="Y2188" s="30">
        <f>T2188*X2188</f>
        <v/>
      </c>
      <c r="Z2188" s="28">
        <f>IFERROR(LOOKUP(Y2188,{0;0.5;5;25},{"Bajo";"Medio";"Alto";"Crítico"}),"")</f>
        <v/>
      </c>
      <c r="AA2188" s="64">
        <f>IF(T2188&gt;=3,IF(X2188&gt;=1,"Zona 1 — Crítica: impacto alto y ocurre al menos una vez al año","Zona 4 — Catastrófica poco probable: impacto alto pero excepcional"),IF(AND(T2188&lt;1.5,X2188&lt;1),"Zona 3 — Asumible: impacto bajo y muy poco frecuente","Zona 2 — Atención: riesgo intermedio"))</f>
        <v/>
      </c>
      <c r="AB2188" s="64">
        <f>IFERROR(INDEX(MgAmenCtrl,MATCH(SUBSTITUTE($H2188,"*","-"),MgAmenClave,0)),"")</f>
        <v/>
      </c>
      <c r="AC2188" s="20" t="n"/>
      <c r="AD2188" s="31">
        <f>IFERROR($X2188*(1-IF($AC2188="",$AL2188,VLOOKUP($AC2188,MgMad,2,0))),"")</f>
        <v/>
      </c>
      <c r="AE2188" s="28">
        <f>IFERROR(LOOKUP(AD2188,{0;0.01;0.1;1;10;100},{"Muy baja";"Muy baja";"Baja";"Media";"Alta";"Muy alta"}),"")</f>
        <v/>
      </c>
      <c r="AF2188" s="30">
        <f>T2188*AD2188</f>
        <v/>
      </c>
      <c r="AG2188" s="28">
        <f>IFERROR(LOOKUP(AF2188,{0;0.5;5;25},{"Bajo";"Medio";"Alto";"Crítico"}),"")</f>
        <v/>
      </c>
      <c r="AH2188" s="28">
        <f>IF(AG2188="","",IF(OR(AG2188="Crítico",AG2188="Alto"),"Mitigar",IF(AG2188="Medio","Mitigar","Aceptar y monitorear")))</f>
        <v/>
      </c>
      <c r="AI2188" s="21" t="n"/>
      <c r="AJ2188" s="21" t="n"/>
      <c r="AK2188" s="20" t="n"/>
      <c r="AL2188" s="77">
        <f>IFERROR(INDEX(MgAmenEfic,MATCH(SUBSTITUTE($H2188,"*","-"),MgAmenClave,0)),0)</f>
        <v/>
      </c>
    </row>
    <row r="2189" hidden="1" ht="105" customHeight="1" s="54">
      <c r="B2189" s="59" t="inlineStr">
        <is>
          <t>R-2184</t>
        </is>
      </c>
      <c r="C2189" s="59" t="inlineStr">
        <is>
          <t>MS-03</t>
        </is>
      </c>
      <c r="D2189" s="64">
        <f>IFERROR(INDEX(MgNombre,MATCH($C2189,MgActId,0)),"")</f>
        <v/>
      </c>
      <c r="E2189" s="64">
        <f>IFERROR(INDEX(MgProceso,MATCH($C2189,MgActId,0)),"")</f>
        <v/>
      </c>
      <c r="F2189" s="64">
        <f>IFERROR(INDEX(MgTipo,MATCH($C2189,MgActId,0)),"")</f>
        <v/>
      </c>
      <c r="G2189" s="64">
        <f>IFERROR(INDEX(MgSubtipo,MATCH($C2189,MgActId,0)),"")</f>
        <v/>
      </c>
      <c r="H2189" s="59" t="inlineStr">
        <is>
          <t>E.19</t>
        </is>
      </c>
      <c r="I2189" s="64">
        <f>IFERROR(INDEX(MgAmenNombre,MATCH(SUBSTITUTE($H2189,"*","-"),MgAmenClave,0)),"")</f>
        <v/>
      </c>
      <c r="J2189" s="28">
        <f>IFERROR(INDEX(MgAmenGrupo,MATCH(SUBSTITUTE($H2189,"*","-"),MgAmenClave,0)),"")</f>
        <v/>
      </c>
      <c r="K2189" s="64">
        <f>IFERROR(INDEX('1. Matriz de Activos'!$Q$6:$Q$239,MATCH($C2189,MgActId,0)),"")</f>
        <v/>
      </c>
      <c r="L2189" s="64">
        <f>IFERROR(INDEX('1. Matriz de Activos'!$R$6:$R$239,MATCH($C2189,MgActId,0)),"")</f>
        <v/>
      </c>
      <c r="M2189" s="64">
        <f>IFERROR(INDEX('1. Matriz de Activos'!$S$6:$S$239,MATCH($C2189,MgActId,0)),"")</f>
        <v/>
      </c>
      <c r="N2189" s="28">
        <f>IFERROR(INDEX(MgAmenDegD,MATCH(SUBSTITUTE($H2189,"*","-"),MgAmenClave,0)),"No aplica")</f>
        <v/>
      </c>
      <c r="O2189" s="28">
        <f>IFERROR(INDEX(MgAmenDegI,MATCH(SUBSTITUTE($H2189,"*","-"),MgAmenClave,0)),"No aplica")</f>
        <v/>
      </c>
      <c r="P2189" s="28">
        <f>IFERROR(INDEX(MgAmenDegC,MATCH(SUBSTITUTE($H2189,"*","-"),MgAmenClave,0)),"No aplica")</f>
        <v/>
      </c>
      <c r="Q2189" s="29">
        <f>IFERROR(VLOOKUP(K2189,MgValor,2,0)*VLOOKUP(N2189,MgDeg,2,0),0)</f>
        <v/>
      </c>
      <c r="R2189" s="29">
        <f>IFERROR(VLOOKUP(L2189,MgValor,2,0)*VLOOKUP(O2189,MgDeg,2,0),0)</f>
        <v/>
      </c>
      <c r="S2189" s="29">
        <f>IFERROR(VLOOKUP(M2189,MgValor,2,0)*VLOOKUP(P2189,MgDeg,2,0),0)</f>
        <v/>
      </c>
      <c r="T2189" s="30">
        <f>MAX(Q2189:S2189)</f>
        <v/>
      </c>
      <c r="U2189" s="28">
        <f>IFERROR(LOOKUP(T2189,{0;0.5;1.5;3;4.5},{"Despreciable";"Bajo";"Medio";"Alto";"Muy alto"}),"")</f>
        <v/>
      </c>
      <c r="V2189" s="13">
        <f>IFERROR(INDEX(MgAmenFrec,MATCH(SUBSTITUTE($H2189,"*","-"),MgAmenClave,0)),"")</f>
        <v/>
      </c>
      <c r="W2189" s="28">
        <f>IFERROR(LOOKUP(X2189,{0;0.01;0.1;1;10;100},{"Muy baja";"Muy baja";"Baja";"Media";"Alta";"Muy alta"}),"")</f>
        <v/>
      </c>
      <c r="X2189" s="31">
        <f>IFERROR(VLOOKUP(V2189,MgFrec,2,0),0)</f>
        <v/>
      </c>
      <c r="Y2189" s="30">
        <f>T2189*X2189</f>
        <v/>
      </c>
      <c r="Z2189" s="28">
        <f>IFERROR(LOOKUP(Y2189,{0;0.5;5;25},{"Bajo";"Medio";"Alto";"Crítico"}),"")</f>
        <v/>
      </c>
      <c r="AA2189" s="64">
        <f>IF(T2189&gt;=3,IF(X2189&gt;=1,"Zona 1 — Crítica: impacto alto y ocurre al menos una vez al año","Zona 4 — Catastrófica poco probable: impacto alto pero excepcional"),IF(AND(T2189&lt;1.5,X2189&lt;1),"Zona 3 — Asumible: impacto bajo y muy poco frecuente","Zona 2 — Atención: riesgo intermedio"))</f>
        <v/>
      </c>
      <c r="AB2189" s="64">
        <f>IFERROR(INDEX(MgAmenCtrl,MATCH(SUBSTITUTE($H2189,"*","-"),MgAmenClave,0)),"")</f>
        <v/>
      </c>
      <c r="AC2189" s="20" t="n"/>
      <c r="AD2189" s="31">
        <f>IFERROR($X2189*(1-IF($AC2189="",$AL2189,VLOOKUP($AC2189,MgMad,2,0))),"")</f>
        <v/>
      </c>
      <c r="AE2189" s="28">
        <f>IFERROR(LOOKUP(AD2189,{0;0.01;0.1;1;10;100},{"Muy baja";"Muy baja";"Baja";"Media";"Alta";"Muy alta"}),"")</f>
        <v/>
      </c>
      <c r="AF2189" s="30">
        <f>T2189*AD2189</f>
        <v/>
      </c>
      <c r="AG2189" s="28">
        <f>IFERROR(LOOKUP(AF2189,{0;0.5;5;25},{"Bajo";"Medio";"Alto";"Crítico"}),"")</f>
        <v/>
      </c>
      <c r="AH2189" s="28">
        <f>IF(AG2189="","",IF(OR(AG2189="Crítico",AG2189="Alto"),"Mitigar",IF(AG2189="Medio","Mitigar","Aceptar y monitorear")))</f>
        <v/>
      </c>
      <c r="AI2189" s="21" t="n"/>
      <c r="AJ2189" s="21" t="n"/>
      <c r="AK2189" s="20" t="n"/>
      <c r="AL2189" s="77">
        <f>IFERROR(INDEX(MgAmenEfic,MATCH(SUBSTITUTE($H2189,"*","-"),MgAmenClave,0)),0)</f>
        <v/>
      </c>
    </row>
    <row r="2190" hidden="1" ht="45" customHeight="1" s="54">
      <c r="B2190" s="59" t="inlineStr">
        <is>
          <t>R-2185</t>
        </is>
      </c>
      <c r="C2190" s="59" t="inlineStr">
        <is>
          <t>MS-03</t>
        </is>
      </c>
      <c r="D2190" s="64">
        <f>IFERROR(INDEX(MgNombre,MATCH($C2190,MgActId,0)),"")</f>
        <v/>
      </c>
      <c r="E2190" s="64">
        <f>IFERROR(INDEX(MgProceso,MATCH($C2190,MgActId,0)),"")</f>
        <v/>
      </c>
      <c r="F2190" s="64">
        <f>IFERROR(INDEX(MgTipo,MATCH($C2190,MgActId,0)),"")</f>
        <v/>
      </c>
      <c r="G2190" s="64">
        <f>IFERROR(INDEX(MgSubtipo,MATCH($C2190,MgActId,0)),"")</f>
        <v/>
      </c>
      <c r="H2190" s="59" t="inlineStr">
        <is>
          <t>E.24</t>
        </is>
      </c>
      <c r="I2190" s="64">
        <f>IFERROR(INDEX(MgAmenNombre,MATCH(SUBSTITUTE($H2190,"*","-"),MgAmenClave,0)),"")</f>
        <v/>
      </c>
      <c r="J2190" s="28">
        <f>IFERROR(INDEX(MgAmenGrupo,MATCH(SUBSTITUTE($H2190,"*","-"),MgAmenClave,0)),"")</f>
        <v/>
      </c>
      <c r="K2190" s="64">
        <f>IFERROR(INDEX('1. Matriz de Activos'!$Q$6:$Q$239,MATCH($C2190,MgActId,0)),"")</f>
        <v/>
      </c>
      <c r="L2190" s="64">
        <f>IFERROR(INDEX('1. Matriz de Activos'!$R$6:$R$239,MATCH($C2190,MgActId,0)),"")</f>
        <v/>
      </c>
      <c r="M2190" s="64">
        <f>IFERROR(INDEX('1. Matriz de Activos'!$S$6:$S$239,MATCH($C2190,MgActId,0)),"")</f>
        <v/>
      </c>
      <c r="N2190" s="28">
        <f>IFERROR(INDEX(MgAmenDegD,MATCH(SUBSTITUTE($H2190,"*","-"),MgAmenClave,0)),"No aplica")</f>
        <v/>
      </c>
      <c r="O2190" s="28">
        <f>IFERROR(INDEX(MgAmenDegI,MATCH(SUBSTITUTE($H2190,"*","-"),MgAmenClave,0)),"No aplica")</f>
        <v/>
      </c>
      <c r="P2190" s="28">
        <f>IFERROR(INDEX(MgAmenDegC,MATCH(SUBSTITUTE($H2190,"*","-"),MgAmenClave,0)),"No aplica")</f>
        <v/>
      </c>
      <c r="Q2190" s="29">
        <f>IFERROR(VLOOKUP(K2190,MgValor,2,0)*VLOOKUP(N2190,MgDeg,2,0),0)</f>
        <v/>
      </c>
      <c r="R2190" s="29">
        <f>IFERROR(VLOOKUP(L2190,MgValor,2,0)*VLOOKUP(O2190,MgDeg,2,0),0)</f>
        <v/>
      </c>
      <c r="S2190" s="29">
        <f>IFERROR(VLOOKUP(M2190,MgValor,2,0)*VLOOKUP(P2190,MgDeg,2,0),0)</f>
        <v/>
      </c>
      <c r="T2190" s="30">
        <f>MAX(Q2190:S2190)</f>
        <v/>
      </c>
      <c r="U2190" s="28">
        <f>IFERROR(LOOKUP(T2190,{0;0.5;1.5;3;4.5},{"Despreciable";"Bajo";"Medio";"Alto";"Muy alto"}),"")</f>
        <v/>
      </c>
      <c r="V2190" s="13">
        <f>IFERROR(INDEX(MgAmenFrec,MATCH(SUBSTITUTE($H2190,"*","-"),MgAmenClave,0)),"")</f>
        <v/>
      </c>
      <c r="W2190" s="28">
        <f>IFERROR(LOOKUP(X2190,{0;0.01;0.1;1;10;100},{"Muy baja";"Muy baja";"Baja";"Media";"Alta";"Muy alta"}),"")</f>
        <v/>
      </c>
      <c r="X2190" s="31">
        <f>IFERROR(VLOOKUP(V2190,MgFrec,2,0),0)</f>
        <v/>
      </c>
      <c r="Y2190" s="30">
        <f>T2190*X2190</f>
        <v/>
      </c>
      <c r="Z2190" s="28">
        <f>IFERROR(LOOKUP(Y2190,{0;0.5;5;25},{"Bajo";"Medio";"Alto";"Crítico"}),"")</f>
        <v/>
      </c>
      <c r="AA2190" s="64">
        <f>IF(T2190&gt;=3,IF(X2190&gt;=1,"Zona 1 — Crítica: impacto alto y ocurre al menos una vez al año","Zona 4 — Catastrófica poco probable: impacto alto pero excepcional"),IF(AND(T2190&lt;1.5,X2190&lt;1),"Zona 3 — Asumible: impacto bajo y muy poco frecuente","Zona 2 — Atención: riesgo intermedio"))</f>
        <v/>
      </c>
      <c r="AB2190" s="64">
        <f>IFERROR(INDEX(MgAmenCtrl,MATCH(SUBSTITUTE($H2190,"*","-"),MgAmenClave,0)),"")</f>
        <v/>
      </c>
      <c r="AC2190" s="20" t="n"/>
      <c r="AD2190" s="31">
        <f>IFERROR($X2190*(1-IF($AC2190="",$AL2190,VLOOKUP($AC2190,MgMad,2,0))),"")</f>
        <v/>
      </c>
      <c r="AE2190" s="28">
        <f>IFERROR(LOOKUP(AD2190,{0;0.01;0.1;1;10;100},{"Muy baja";"Muy baja";"Baja";"Media";"Alta";"Muy alta"}),"")</f>
        <v/>
      </c>
      <c r="AF2190" s="30">
        <f>T2190*AD2190</f>
        <v/>
      </c>
      <c r="AG2190" s="28">
        <f>IFERROR(LOOKUP(AF2190,{0;0.5;5;25},{"Bajo";"Medio";"Alto";"Crítico"}),"")</f>
        <v/>
      </c>
      <c r="AH2190" s="28">
        <f>IF(AG2190="","",IF(OR(AG2190="Crítico",AG2190="Alto"),"Mitigar",IF(AG2190="Medio","Mitigar","Aceptar y monitorear")))</f>
        <v/>
      </c>
      <c r="AI2190" s="21" t="n"/>
      <c r="AJ2190" s="21" t="n"/>
      <c r="AK2190" s="20" t="n"/>
      <c r="AL2190" s="77">
        <f>IFERROR(INDEX(MgAmenEfic,MATCH(SUBSTITUTE($H2190,"*","-"),MgAmenClave,0)),0)</f>
        <v/>
      </c>
    </row>
    <row r="2191" hidden="1" ht="75" customHeight="1" s="54">
      <c r="B2191" s="59" t="inlineStr">
        <is>
          <t>R-2186</t>
        </is>
      </c>
      <c r="C2191" s="59" t="inlineStr">
        <is>
          <t>MS-03</t>
        </is>
      </c>
      <c r="D2191" s="64">
        <f>IFERROR(INDEX(MgNombre,MATCH($C2191,MgActId,0)),"")</f>
        <v/>
      </c>
      <c r="E2191" s="64">
        <f>IFERROR(INDEX(MgProceso,MATCH($C2191,MgActId,0)),"")</f>
        <v/>
      </c>
      <c r="F2191" s="64">
        <f>IFERROR(INDEX(MgTipo,MATCH($C2191,MgActId,0)),"")</f>
        <v/>
      </c>
      <c r="G2191" s="64">
        <f>IFERROR(INDEX(MgSubtipo,MATCH($C2191,MgActId,0)),"")</f>
        <v/>
      </c>
      <c r="H2191" s="59" t="inlineStr">
        <is>
          <t>A.5</t>
        </is>
      </c>
      <c r="I2191" s="64">
        <f>IFERROR(INDEX(MgAmenNombre,MATCH(SUBSTITUTE($H2191,"*","-"),MgAmenClave,0)),"")</f>
        <v/>
      </c>
      <c r="J2191" s="28">
        <f>IFERROR(INDEX(MgAmenGrupo,MATCH(SUBSTITUTE($H2191,"*","-"),MgAmenClave,0)),"")</f>
        <v/>
      </c>
      <c r="K2191" s="64">
        <f>IFERROR(INDEX('1. Matriz de Activos'!$Q$6:$Q$239,MATCH($C2191,MgActId,0)),"")</f>
        <v/>
      </c>
      <c r="L2191" s="64">
        <f>IFERROR(INDEX('1. Matriz de Activos'!$R$6:$R$239,MATCH($C2191,MgActId,0)),"")</f>
        <v/>
      </c>
      <c r="M2191" s="64">
        <f>IFERROR(INDEX('1. Matriz de Activos'!$S$6:$S$239,MATCH($C2191,MgActId,0)),"")</f>
        <v/>
      </c>
      <c r="N2191" s="28">
        <f>IFERROR(INDEX(MgAmenDegD,MATCH(SUBSTITUTE($H2191,"*","-"),MgAmenClave,0)),"No aplica")</f>
        <v/>
      </c>
      <c r="O2191" s="28">
        <f>IFERROR(INDEX(MgAmenDegI,MATCH(SUBSTITUTE($H2191,"*","-"),MgAmenClave,0)),"No aplica")</f>
        <v/>
      </c>
      <c r="P2191" s="28">
        <f>IFERROR(INDEX(MgAmenDegC,MATCH(SUBSTITUTE($H2191,"*","-"),MgAmenClave,0)),"No aplica")</f>
        <v/>
      </c>
      <c r="Q2191" s="29">
        <f>IFERROR(VLOOKUP(K2191,MgValor,2,0)*VLOOKUP(N2191,MgDeg,2,0),0)</f>
        <v/>
      </c>
      <c r="R2191" s="29">
        <f>IFERROR(VLOOKUP(L2191,MgValor,2,0)*VLOOKUP(O2191,MgDeg,2,0),0)</f>
        <v/>
      </c>
      <c r="S2191" s="29">
        <f>IFERROR(VLOOKUP(M2191,MgValor,2,0)*VLOOKUP(P2191,MgDeg,2,0),0)</f>
        <v/>
      </c>
      <c r="T2191" s="30">
        <f>MAX(Q2191:S2191)</f>
        <v/>
      </c>
      <c r="U2191" s="28">
        <f>IFERROR(LOOKUP(T2191,{0;0.5;1.5;3;4.5},{"Despreciable";"Bajo";"Medio";"Alto";"Muy alto"}),"")</f>
        <v/>
      </c>
      <c r="V2191" s="13">
        <f>IFERROR(INDEX(MgAmenFrec,MATCH(SUBSTITUTE($H2191,"*","-"),MgAmenClave,0)),"")</f>
        <v/>
      </c>
      <c r="W2191" s="28">
        <f>IFERROR(LOOKUP(X2191,{0;0.01;0.1;1;10;100},{"Muy baja";"Muy baja";"Baja";"Media";"Alta";"Muy alta"}),"")</f>
        <v/>
      </c>
      <c r="X2191" s="31">
        <f>IFERROR(VLOOKUP(V2191,MgFrec,2,0),0)</f>
        <v/>
      </c>
      <c r="Y2191" s="30">
        <f>T2191*X2191</f>
        <v/>
      </c>
      <c r="Z2191" s="28">
        <f>IFERROR(LOOKUP(Y2191,{0;0.5;5;25},{"Bajo";"Medio";"Alto";"Crítico"}),"")</f>
        <v/>
      </c>
      <c r="AA2191" s="64">
        <f>IF(T2191&gt;=3,IF(X2191&gt;=1,"Zona 1 — Crítica: impacto alto y ocurre al menos una vez al año","Zona 4 — Catastrófica poco probable: impacto alto pero excepcional"),IF(AND(T2191&lt;1.5,X2191&lt;1),"Zona 3 — Asumible: impacto bajo y muy poco frecuente","Zona 2 — Atención: riesgo intermedio"))</f>
        <v/>
      </c>
      <c r="AB2191" s="64">
        <f>IFERROR(INDEX(MgAmenCtrl,MATCH(SUBSTITUTE($H2191,"*","-"),MgAmenClave,0)),"")</f>
        <v/>
      </c>
      <c r="AC2191" s="20" t="n"/>
      <c r="AD2191" s="31">
        <f>IFERROR($X2191*(1-IF($AC2191="",$AL2191,VLOOKUP($AC2191,MgMad,2,0))),"")</f>
        <v/>
      </c>
      <c r="AE2191" s="28">
        <f>IFERROR(LOOKUP(AD2191,{0;0.01;0.1;1;10;100},{"Muy baja";"Muy baja";"Baja";"Media";"Alta";"Muy alta"}),"")</f>
        <v/>
      </c>
      <c r="AF2191" s="30">
        <f>T2191*AD2191</f>
        <v/>
      </c>
      <c r="AG2191" s="28">
        <f>IFERROR(LOOKUP(AF2191,{0;0.5;5;25},{"Bajo";"Medio";"Alto";"Crítico"}),"")</f>
        <v/>
      </c>
      <c r="AH2191" s="28">
        <f>IF(AG2191="","",IF(OR(AG2191="Crítico",AG2191="Alto"),"Mitigar",IF(AG2191="Medio","Mitigar","Aceptar y monitorear")))</f>
        <v/>
      </c>
      <c r="AI2191" s="21" t="n"/>
      <c r="AJ2191" s="21" t="n"/>
      <c r="AK2191" s="20" t="n"/>
      <c r="AL2191" s="77">
        <f>IFERROR(INDEX(MgAmenEfic,MATCH(SUBSTITUTE($H2191,"*","-"),MgAmenClave,0)),0)</f>
        <v/>
      </c>
    </row>
    <row r="2192" hidden="1" ht="105" customHeight="1" s="54">
      <c r="B2192" s="59" t="inlineStr">
        <is>
          <t>R-2187</t>
        </is>
      </c>
      <c r="C2192" s="59" t="inlineStr">
        <is>
          <t>MS-03</t>
        </is>
      </c>
      <c r="D2192" s="64">
        <f>IFERROR(INDEX(MgNombre,MATCH($C2192,MgActId,0)),"")</f>
        <v/>
      </c>
      <c r="E2192" s="64">
        <f>IFERROR(INDEX(MgProceso,MATCH($C2192,MgActId,0)),"")</f>
        <v/>
      </c>
      <c r="F2192" s="64">
        <f>IFERROR(INDEX(MgTipo,MATCH($C2192,MgActId,0)),"")</f>
        <v/>
      </c>
      <c r="G2192" s="64">
        <f>IFERROR(INDEX(MgSubtipo,MATCH($C2192,MgActId,0)),"")</f>
        <v/>
      </c>
      <c r="H2192" s="59" t="inlineStr">
        <is>
          <t>A.6</t>
        </is>
      </c>
      <c r="I2192" s="64">
        <f>IFERROR(INDEX(MgAmenNombre,MATCH(SUBSTITUTE($H2192,"*","-"),MgAmenClave,0)),"")</f>
        <v/>
      </c>
      <c r="J2192" s="28">
        <f>IFERROR(INDEX(MgAmenGrupo,MATCH(SUBSTITUTE($H2192,"*","-"),MgAmenClave,0)),"")</f>
        <v/>
      </c>
      <c r="K2192" s="64">
        <f>IFERROR(INDEX('1. Matriz de Activos'!$Q$6:$Q$239,MATCH($C2192,MgActId,0)),"")</f>
        <v/>
      </c>
      <c r="L2192" s="64">
        <f>IFERROR(INDEX('1. Matriz de Activos'!$R$6:$R$239,MATCH($C2192,MgActId,0)),"")</f>
        <v/>
      </c>
      <c r="M2192" s="64">
        <f>IFERROR(INDEX('1. Matriz de Activos'!$S$6:$S$239,MATCH($C2192,MgActId,0)),"")</f>
        <v/>
      </c>
      <c r="N2192" s="28">
        <f>IFERROR(INDEX(MgAmenDegD,MATCH(SUBSTITUTE($H2192,"*","-"),MgAmenClave,0)),"No aplica")</f>
        <v/>
      </c>
      <c r="O2192" s="28">
        <f>IFERROR(INDEX(MgAmenDegI,MATCH(SUBSTITUTE($H2192,"*","-"),MgAmenClave,0)),"No aplica")</f>
        <v/>
      </c>
      <c r="P2192" s="28">
        <f>IFERROR(INDEX(MgAmenDegC,MATCH(SUBSTITUTE($H2192,"*","-"),MgAmenClave,0)),"No aplica")</f>
        <v/>
      </c>
      <c r="Q2192" s="29">
        <f>IFERROR(VLOOKUP(K2192,MgValor,2,0)*VLOOKUP(N2192,MgDeg,2,0),0)</f>
        <v/>
      </c>
      <c r="R2192" s="29">
        <f>IFERROR(VLOOKUP(L2192,MgValor,2,0)*VLOOKUP(O2192,MgDeg,2,0),0)</f>
        <v/>
      </c>
      <c r="S2192" s="29">
        <f>IFERROR(VLOOKUP(M2192,MgValor,2,0)*VLOOKUP(P2192,MgDeg,2,0),0)</f>
        <v/>
      </c>
      <c r="T2192" s="30">
        <f>MAX(Q2192:S2192)</f>
        <v/>
      </c>
      <c r="U2192" s="28">
        <f>IFERROR(LOOKUP(T2192,{0;0.5;1.5;3;4.5},{"Despreciable";"Bajo";"Medio";"Alto";"Muy alto"}),"")</f>
        <v/>
      </c>
      <c r="V2192" s="13">
        <f>IFERROR(INDEX(MgAmenFrec,MATCH(SUBSTITUTE($H2192,"*","-"),MgAmenClave,0)),"")</f>
        <v/>
      </c>
      <c r="W2192" s="28">
        <f>IFERROR(LOOKUP(X2192,{0;0.01;0.1;1;10;100},{"Muy baja";"Muy baja";"Baja";"Media";"Alta";"Muy alta"}),"")</f>
        <v/>
      </c>
      <c r="X2192" s="31">
        <f>IFERROR(VLOOKUP(V2192,MgFrec,2,0),0)</f>
        <v/>
      </c>
      <c r="Y2192" s="30">
        <f>T2192*X2192</f>
        <v/>
      </c>
      <c r="Z2192" s="28">
        <f>IFERROR(LOOKUP(Y2192,{0;0.5;5;25},{"Bajo";"Medio";"Alto";"Crítico"}),"")</f>
        <v/>
      </c>
      <c r="AA2192" s="64">
        <f>IF(T2192&gt;=3,IF(X2192&gt;=1,"Zona 1 — Crítica: impacto alto y ocurre al menos una vez al año","Zona 4 — Catastrófica poco probable: impacto alto pero excepcional"),IF(AND(T2192&lt;1.5,X2192&lt;1),"Zona 3 — Asumible: impacto bajo y muy poco frecuente","Zona 2 — Atención: riesgo intermedio"))</f>
        <v/>
      </c>
      <c r="AB2192" s="64">
        <f>IFERROR(INDEX(MgAmenCtrl,MATCH(SUBSTITUTE($H2192,"*","-"),MgAmenClave,0)),"")</f>
        <v/>
      </c>
      <c r="AC2192" s="20" t="n"/>
      <c r="AD2192" s="31">
        <f>IFERROR($X2192*(1-IF($AC2192="",$AL2192,VLOOKUP($AC2192,MgMad,2,0))),"")</f>
        <v/>
      </c>
      <c r="AE2192" s="28">
        <f>IFERROR(LOOKUP(AD2192,{0;0.01;0.1;1;10;100},{"Muy baja";"Muy baja";"Baja";"Media";"Alta";"Muy alta"}),"")</f>
        <v/>
      </c>
      <c r="AF2192" s="30">
        <f>T2192*AD2192</f>
        <v/>
      </c>
      <c r="AG2192" s="28">
        <f>IFERROR(LOOKUP(AF2192,{0;0.5;5;25},{"Bajo";"Medio";"Alto";"Crítico"}),"")</f>
        <v/>
      </c>
      <c r="AH2192" s="28">
        <f>IF(AG2192="","",IF(OR(AG2192="Crítico",AG2192="Alto"),"Mitigar",IF(AG2192="Medio","Mitigar","Aceptar y monitorear")))</f>
        <v/>
      </c>
      <c r="AI2192" s="21" t="n"/>
      <c r="AJ2192" s="21" t="n"/>
      <c r="AK2192" s="20" t="n"/>
      <c r="AL2192" s="77">
        <f>IFERROR(INDEX(MgAmenEfic,MATCH(SUBSTITUTE($H2192,"*","-"),MgAmenClave,0)),0)</f>
        <v/>
      </c>
    </row>
    <row r="2193" hidden="1" ht="60" customHeight="1" s="54">
      <c r="B2193" s="59" t="inlineStr">
        <is>
          <t>R-2188</t>
        </is>
      </c>
      <c r="C2193" s="59" t="inlineStr">
        <is>
          <t>MS-03</t>
        </is>
      </c>
      <c r="D2193" s="64">
        <f>IFERROR(INDEX(MgNombre,MATCH($C2193,MgActId,0)),"")</f>
        <v/>
      </c>
      <c r="E2193" s="64">
        <f>IFERROR(INDEX(MgProceso,MATCH($C2193,MgActId,0)),"")</f>
        <v/>
      </c>
      <c r="F2193" s="64">
        <f>IFERROR(INDEX(MgTipo,MATCH($C2193,MgActId,0)),"")</f>
        <v/>
      </c>
      <c r="G2193" s="64">
        <f>IFERROR(INDEX(MgSubtipo,MATCH($C2193,MgActId,0)),"")</f>
        <v/>
      </c>
      <c r="H2193" s="59" t="inlineStr">
        <is>
          <t>A.7</t>
        </is>
      </c>
      <c r="I2193" s="64">
        <f>IFERROR(INDEX(MgAmenNombre,MATCH(SUBSTITUTE($H2193,"*","-"),MgAmenClave,0)),"")</f>
        <v/>
      </c>
      <c r="J2193" s="28">
        <f>IFERROR(INDEX(MgAmenGrupo,MATCH(SUBSTITUTE($H2193,"*","-"),MgAmenClave,0)),"")</f>
        <v/>
      </c>
      <c r="K2193" s="64">
        <f>IFERROR(INDEX('1. Matriz de Activos'!$Q$6:$Q$239,MATCH($C2193,MgActId,0)),"")</f>
        <v/>
      </c>
      <c r="L2193" s="64">
        <f>IFERROR(INDEX('1. Matriz de Activos'!$R$6:$R$239,MATCH($C2193,MgActId,0)),"")</f>
        <v/>
      </c>
      <c r="M2193" s="64">
        <f>IFERROR(INDEX('1. Matriz de Activos'!$S$6:$S$239,MATCH($C2193,MgActId,0)),"")</f>
        <v/>
      </c>
      <c r="N2193" s="28">
        <f>IFERROR(INDEX(MgAmenDegD,MATCH(SUBSTITUTE($H2193,"*","-"),MgAmenClave,0)),"No aplica")</f>
        <v/>
      </c>
      <c r="O2193" s="28">
        <f>IFERROR(INDEX(MgAmenDegI,MATCH(SUBSTITUTE($H2193,"*","-"),MgAmenClave,0)),"No aplica")</f>
        <v/>
      </c>
      <c r="P2193" s="28">
        <f>IFERROR(INDEX(MgAmenDegC,MATCH(SUBSTITUTE($H2193,"*","-"),MgAmenClave,0)),"No aplica")</f>
        <v/>
      </c>
      <c r="Q2193" s="29">
        <f>IFERROR(VLOOKUP(K2193,MgValor,2,0)*VLOOKUP(N2193,MgDeg,2,0),0)</f>
        <v/>
      </c>
      <c r="R2193" s="29">
        <f>IFERROR(VLOOKUP(L2193,MgValor,2,0)*VLOOKUP(O2193,MgDeg,2,0),0)</f>
        <v/>
      </c>
      <c r="S2193" s="29">
        <f>IFERROR(VLOOKUP(M2193,MgValor,2,0)*VLOOKUP(P2193,MgDeg,2,0),0)</f>
        <v/>
      </c>
      <c r="T2193" s="30">
        <f>MAX(Q2193:S2193)</f>
        <v/>
      </c>
      <c r="U2193" s="28">
        <f>IFERROR(LOOKUP(T2193,{0;0.5;1.5;3;4.5},{"Despreciable";"Bajo";"Medio";"Alto";"Muy alto"}),"")</f>
        <v/>
      </c>
      <c r="V2193" s="13">
        <f>IFERROR(INDEX(MgAmenFrec,MATCH(SUBSTITUTE($H2193,"*","-"),MgAmenClave,0)),"")</f>
        <v/>
      </c>
      <c r="W2193" s="28">
        <f>IFERROR(LOOKUP(X2193,{0;0.01;0.1;1;10;100},{"Muy baja";"Muy baja";"Baja";"Media";"Alta";"Muy alta"}),"")</f>
        <v/>
      </c>
      <c r="X2193" s="31">
        <f>IFERROR(VLOOKUP(V2193,MgFrec,2,0),0)</f>
        <v/>
      </c>
      <c r="Y2193" s="30">
        <f>T2193*X2193</f>
        <v/>
      </c>
      <c r="Z2193" s="28">
        <f>IFERROR(LOOKUP(Y2193,{0;0.5;5;25},{"Bajo";"Medio";"Alto";"Crítico"}),"")</f>
        <v/>
      </c>
      <c r="AA2193" s="64">
        <f>IF(T2193&gt;=3,IF(X2193&gt;=1,"Zona 1 — Crítica: impacto alto y ocurre al menos una vez al año","Zona 4 — Catastrófica poco probable: impacto alto pero excepcional"),IF(AND(T2193&lt;1.5,X2193&lt;1),"Zona 3 — Asumible: impacto bajo y muy poco frecuente","Zona 2 — Atención: riesgo intermedio"))</f>
        <v/>
      </c>
      <c r="AB2193" s="64">
        <f>IFERROR(INDEX(MgAmenCtrl,MATCH(SUBSTITUTE($H2193,"*","-"),MgAmenClave,0)),"")</f>
        <v/>
      </c>
      <c r="AC2193" s="20" t="n"/>
      <c r="AD2193" s="31">
        <f>IFERROR($X2193*(1-IF($AC2193="",$AL2193,VLOOKUP($AC2193,MgMad,2,0))),"")</f>
        <v/>
      </c>
      <c r="AE2193" s="28">
        <f>IFERROR(LOOKUP(AD2193,{0;0.01;0.1;1;10;100},{"Muy baja";"Muy baja";"Baja";"Media";"Alta";"Muy alta"}),"")</f>
        <v/>
      </c>
      <c r="AF2193" s="30">
        <f>T2193*AD2193</f>
        <v/>
      </c>
      <c r="AG2193" s="28">
        <f>IFERROR(LOOKUP(AF2193,{0;0.5;5;25},{"Bajo";"Medio";"Alto";"Crítico"}),"")</f>
        <v/>
      </c>
      <c r="AH2193" s="28">
        <f>IF(AG2193="","",IF(OR(AG2193="Crítico",AG2193="Alto"),"Mitigar",IF(AG2193="Medio","Mitigar","Aceptar y monitorear")))</f>
        <v/>
      </c>
      <c r="AI2193" s="21" t="n"/>
      <c r="AJ2193" s="21" t="n"/>
      <c r="AK2193" s="20" t="n"/>
      <c r="AL2193" s="77">
        <f>IFERROR(INDEX(MgAmenEfic,MATCH(SUBSTITUTE($H2193,"*","-"),MgAmenClave,0)),0)</f>
        <v/>
      </c>
    </row>
    <row r="2194" hidden="1" ht="60" customHeight="1" s="54">
      <c r="B2194" s="59" t="inlineStr">
        <is>
          <t>R-2189</t>
        </is>
      </c>
      <c r="C2194" s="59" t="inlineStr">
        <is>
          <t>MS-03</t>
        </is>
      </c>
      <c r="D2194" s="64">
        <f>IFERROR(INDEX(MgNombre,MATCH($C2194,MgActId,0)),"")</f>
        <v/>
      </c>
      <c r="E2194" s="64">
        <f>IFERROR(INDEX(MgProceso,MATCH($C2194,MgActId,0)),"")</f>
        <v/>
      </c>
      <c r="F2194" s="64">
        <f>IFERROR(INDEX(MgTipo,MATCH($C2194,MgActId,0)),"")</f>
        <v/>
      </c>
      <c r="G2194" s="64">
        <f>IFERROR(INDEX(MgSubtipo,MATCH($C2194,MgActId,0)),"")</f>
        <v/>
      </c>
      <c r="H2194" s="59" t="inlineStr">
        <is>
          <t>A.9</t>
        </is>
      </c>
      <c r="I2194" s="64">
        <f>IFERROR(INDEX(MgAmenNombre,MATCH(SUBSTITUTE($H2194,"*","-"),MgAmenClave,0)),"")</f>
        <v/>
      </c>
      <c r="J2194" s="28">
        <f>IFERROR(INDEX(MgAmenGrupo,MATCH(SUBSTITUTE($H2194,"*","-"),MgAmenClave,0)),"")</f>
        <v/>
      </c>
      <c r="K2194" s="64">
        <f>IFERROR(INDEX('1. Matriz de Activos'!$Q$6:$Q$239,MATCH($C2194,MgActId,0)),"")</f>
        <v/>
      </c>
      <c r="L2194" s="64">
        <f>IFERROR(INDEX('1. Matriz de Activos'!$R$6:$R$239,MATCH($C2194,MgActId,0)),"")</f>
        <v/>
      </c>
      <c r="M2194" s="64">
        <f>IFERROR(INDEX('1. Matriz de Activos'!$S$6:$S$239,MATCH($C2194,MgActId,0)),"")</f>
        <v/>
      </c>
      <c r="N2194" s="28">
        <f>IFERROR(INDEX(MgAmenDegD,MATCH(SUBSTITUTE($H2194,"*","-"),MgAmenClave,0)),"No aplica")</f>
        <v/>
      </c>
      <c r="O2194" s="28">
        <f>IFERROR(INDEX(MgAmenDegI,MATCH(SUBSTITUTE($H2194,"*","-"),MgAmenClave,0)),"No aplica")</f>
        <v/>
      </c>
      <c r="P2194" s="28">
        <f>IFERROR(INDEX(MgAmenDegC,MATCH(SUBSTITUTE($H2194,"*","-"),MgAmenClave,0)),"No aplica")</f>
        <v/>
      </c>
      <c r="Q2194" s="29">
        <f>IFERROR(VLOOKUP(K2194,MgValor,2,0)*VLOOKUP(N2194,MgDeg,2,0),0)</f>
        <v/>
      </c>
      <c r="R2194" s="29">
        <f>IFERROR(VLOOKUP(L2194,MgValor,2,0)*VLOOKUP(O2194,MgDeg,2,0),0)</f>
        <v/>
      </c>
      <c r="S2194" s="29">
        <f>IFERROR(VLOOKUP(M2194,MgValor,2,0)*VLOOKUP(P2194,MgDeg,2,0),0)</f>
        <v/>
      </c>
      <c r="T2194" s="30">
        <f>MAX(Q2194:S2194)</f>
        <v/>
      </c>
      <c r="U2194" s="28">
        <f>IFERROR(LOOKUP(T2194,{0;0.5;1.5;3;4.5},{"Despreciable";"Bajo";"Medio";"Alto";"Muy alto"}),"")</f>
        <v/>
      </c>
      <c r="V2194" s="13">
        <f>IFERROR(INDEX(MgAmenFrec,MATCH(SUBSTITUTE($H2194,"*","-"),MgAmenClave,0)),"")</f>
        <v/>
      </c>
      <c r="W2194" s="28">
        <f>IFERROR(LOOKUP(X2194,{0;0.01;0.1;1;10;100},{"Muy baja";"Muy baja";"Baja";"Media";"Alta";"Muy alta"}),"")</f>
        <v/>
      </c>
      <c r="X2194" s="31">
        <f>IFERROR(VLOOKUP(V2194,MgFrec,2,0),0)</f>
        <v/>
      </c>
      <c r="Y2194" s="30">
        <f>T2194*X2194</f>
        <v/>
      </c>
      <c r="Z2194" s="28">
        <f>IFERROR(LOOKUP(Y2194,{0;0.5;5;25},{"Bajo";"Medio";"Alto";"Crítico"}),"")</f>
        <v/>
      </c>
      <c r="AA2194" s="64">
        <f>IF(T2194&gt;=3,IF(X2194&gt;=1,"Zona 1 — Crítica: impacto alto y ocurre al menos una vez al año","Zona 4 — Catastrófica poco probable: impacto alto pero excepcional"),IF(AND(T2194&lt;1.5,X2194&lt;1),"Zona 3 — Asumible: impacto bajo y muy poco frecuente","Zona 2 — Atención: riesgo intermedio"))</f>
        <v/>
      </c>
      <c r="AB2194" s="64">
        <f>IFERROR(INDEX(MgAmenCtrl,MATCH(SUBSTITUTE($H2194,"*","-"),MgAmenClave,0)),"")</f>
        <v/>
      </c>
      <c r="AC2194" s="20" t="n"/>
      <c r="AD2194" s="31">
        <f>IFERROR($X2194*(1-IF($AC2194="",$AL2194,VLOOKUP($AC2194,MgMad,2,0))),"")</f>
        <v/>
      </c>
      <c r="AE2194" s="28">
        <f>IFERROR(LOOKUP(AD2194,{0;0.01;0.1;1;10;100},{"Muy baja";"Muy baja";"Baja";"Media";"Alta";"Muy alta"}),"")</f>
        <v/>
      </c>
      <c r="AF2194" s="30">
        <f>T2194*AD2194</f>
        <v/>
      </c>
      <c r="AG2194" s="28">
        <f>IFERROR(LOOKUP(AF2194,{0;0.5;5;25},{"Bajo";"Medio";"Alto";"Crítico"}),"")</f>
        <v/>
      </c>
      <c r="AH2194" s="28">
        <f>IF(AG2194="","",IF(OR(AG2194="Crítico",AG2194="Alto"),"Mitigar",IF(AG2194="Medio","Mitigar","Aceptar y monitorear")))</f>
        <v/>
      </c>
      <c r="AI2194" s="21" t="n"/>
      <c r="AJ2194" s="21" t="n"/>
      <c r="AK2194" s="20" t="n"/>
      <c r="AL2194" s="77">
        <f>IFERROR(INDEX(MgAmenEfic,MATCH(SUBSTITUTE($H2194,"*","-"),MgAmenClave,0)),0)</f>
        <v/>
      </c>
    </row>
    <row r="2195" hidden="1" ht="45" customHeight="1" s="54">
      <c r="B2195" s="59" t="inlineStr">
        <is>
          <t>R-2190</t>
        </is>
      </c>
      <c r="C2195" s="59" t="inlineStr">
        <is>
          <t>MS-03</t>
        </is>
      </c>
      <c r="D2195" s="64">
        <f>IFERROR(INDEX(MgNombre,MATCH($C2195,MgActId,0)),"")</f>
        <v/>
      </c>
      <c r="E2195" s="64">
        <f>IFERROR(INDEX(MgProceso,MATCH($C2195,MgActId,0)),"")</f>
        <v/>
      </c>
      <c r="F2195" s="64">
        <f>IFERROR(INDEX(MgTipo,MATCH($C2195,MgActId,0)),"")</f>
        <v/>
      </c>
      <c r="G2195" s="64">
        <f>IFERROR(INDEX(MgSubtipo,MATCH($C2195,MgActId,0)),"")</f>
        <v/>
      </c>
      <c r="H2195" s="59" t="inlineStr">
        <is>
          <t>A.10</t>
        </is>
      </c>
      <c r="I2195" s="64">
        <f>IFERROR(INDEX(MgAmenNombre,MATCH(SUBSTITUTE($H2195,"*","-"),MgAmenClave,0)),"")</f>
        <v/>
      </c>
      <c r="J2195" s="28">
        <f>IFERROR(INDEX(MgAmenGrupo,MATCH(SUBSTITUTE($H2195,"*","-"),MgAmenClave,0)),"")</f>
        <v/>
      </c>
      <c r="K2195" s="64">
        <f>IFERROR(INDEX('1. Matriz de Activos'!$Q$6:$Q$239,MATCH($C2195,MgActId,0)),"")</f>
        <v/>
      </c>
      <c r="L2195" s="64">
        <f>IFERROR(INDEX('1. Matriz de Activos'!$R$6:$R$239,MATCH($C2195,MgActId,0)),"")</f>
        <v/>
      </c>
      <c r="M2195" s="64">
        <f>IFERROR(INDEX('1. Matriz de Activos'!$S$6:$S$239,MATCH($C2195,MgActId,0)),"")</f>
        <v/>
      </c>
      <c r="N2195" s="28">
        <f>IFERROR(INDEX(MgAmenDegD,MATCH(SUBSTITUTE($H2195,"*","-"),MgAmenClave,0)),"No aplica")</f>
        <v/>
      </c>
      <c r="O2195" s="28">
        <f>IFERROR(INDEX(MgAmenDegI,MATCH(SUBSTITUTE($H2195,"*","-"),MgAmenClave,0)),"No aplica")</f>
        <v/>
      </c>
      <c r="P2195" s="28">
        <f>IFERROR(INDEX(MgAmenDegC,MATCH(SUBSTITUTE($H2195,"*","-"),MgAmenClave,0)),"No aplica")</f>
        <v/>
      </c>
      <c r="Q2195" s="29">
        <f>IFERROR(VLOOKUP(K2195,MgValor,2,0)*VLOOKUP(N2195,MgDeg,2,0),0)</f>
        <v/>
      </c>
      <c r="R2195" s="29">
        <f>IFERROR(VLOOKUP(L2195,MgValor,2,0)*VLOOKUP(O2195,MgDeg,2,0),0)</f>
        <v/>
      </c>
      <c r="S2195" s="29">
        <f>IFERROR(VLOOKUP(M2195,MgValor,2,0)*VLOOKUP(P2195,MgDeg,2,0),0)</f>
        <v/>
      </c>
      <c r="T2195" s="30">
        <f>MAX(Q2195:S2195)</f>
        <v/>
      </c>
      <c r="U2195" s="28">
        <f>IFERROR(LOOKUP(T2195,{0;0.5;1.5;3;4.5},{"Despreciable";"Bajo";"Medio";"Alto";"Muy alto"}),"")</f>
        <v/>
      </c>
      <c r="V2195" s="13">
        <f>IFERROR(INDEX(MgAmenFrec,MATCH(SUBSTITUTE($H2195,"*","-"),MgAmenClave,0)),"")</f>
        <v/>
      </c>
      <c r="W2195" s="28">
        <f>IFERROR(LOOKUP(X2195,{0;0.01;0.1;1;10;100},{"Muy baja";"Muy baja";"Baja";"Media";"Alta";"Muy alta"}),"")</f>
        <v/>
      </c>
      <c r="X2195" s="31">
        <f>IFERROR(VLOOKUP(V2195,MgFrec,2,0),0)</f>
        <v/>
      </c>
      <c r="Y2195" s="30">
        <f>T2195*X2195</f>
        <v/>
      </c>
      <c r="Z2195" s="28">
        <f>IFERROR(LOOKUP(Y2195,{0;0.5;5;25},{"Bajo";"Medio";"Alto";"Crítico"}),"")</f>
        <v/>
      </c>
      <c r="AA2195" s="64">
        <f>IF(T2195&gt;=3,IF(X2195&gt;=1,"Zona 1 — Crítica: impacto alto y ocurre al menos una vez al año","Zona 4 — Catastrófica poco probable: impacto alto pero excepcional"),IF(AND(T2195&lt;1.5,X2195&lt;1),"Zona 3 — Asumible: impacto bajo y muy poco frecuente","Zona 2 — Atención: riesgo intermedio"))</f>
        <v/>
      </c>
      <c r="AB2195" s="64">
        <f>IFERROR(INDEX(MgAmenCtrl,MATCH(SUBSTITUTE($H2195,"*","-"),MgAmenClave,0)),"")</f>
        <v/>
      </c>
      <c r="AC2195" s="20" t="n"/>
      <c r="AD2195" s="31">
        <f>IFERROR($X2195*(1-IF($AC2195="",$AL2195,VLOOKUP($AC2195,MgMad,2,0))),"")</f>
        <v/>
      </c>
      <c r="AE2195" s="28">
        <f>IFERROR(LOOKUP(AD2195,{0;0.01;0.1;1;10;100},{"Muy baja";"Muy baja";"Baja";"Media";"Alta";"Muy alta"}),"")</f>
        <v/>
      </c>
      <c r="AF2195" s="30">
        <f>T2195*AD2195</f>
        <v/>
      </c>
      <c r="AG2195" s="28">
        <f>IFERROR(LOOKUP(AF2195,{0;0.5;5;25},{"Bajo";"Medio";"Alto";"Crítico"}),"")</f>
        <v/>
      </c>
      <c r="AH2195" s="28">
        <f>IF(AG2195="","",IF(OR(AG2195="Crítico",AG2195="Alto"),"Mitigar",IF(AG2195="Medio","Mitigar","Aceptar y monitorear")))</f>
        <v/>
      </c>
      <c r="AI2195" s="21" t="n"/>
      <c r="AJ2195" s="21" t="n"/>
      <c r="AK2195" s="20" t="n"/>
      <c r="AL2195" s="77">
        <f>IFERROR(INDEX(MgAmenEfic,MATCH(SUBSTITUTE($H2195,"*","-"),MgAmenClave,0)),0)</f>
        <v/>
      </c>
    </row>
    <row r="2196" hidden="1" ht="120" customHeight="1" s="54">
      <c r="B2196" s="59" t="inlineStr">
        <is>
          <t>R-2191</t>
        </is>
      </c>
      <c r="C2196" s="59" t="inlineStr">
        <is>
          <t>MS-03</t>
        </is>
      </c>
      <c r="D2196" s="64">
        <f>IFERROR(INDEX(MgNombre,MATCH($C2196,MgActId,0)),"")</f>
        <v/>
      </c>
      <c r="E2196" s="64">
        <f>IFERROR(INDEX(MgProceso,MATCH($C2196,MgActId,0)),"")</f>
        <v/>
      </c>
      <c r="F2196" s="64">
        <f>IFERROR(INDEX(MgTipo,MATCH($C2196,MgActId,0)),"")</f>
        <v/>
      </c>
      <c r="G2196" s="64">
        <f>IFERROR(INDEX(MgSubtipo,MATCH($C2196,MgActId,0)),"")</f>
        <v/>
      </c>
      <c r="H2196" s="59" t="inlineStr">
        <is>
          <t>A.11</t>
        </is>
      </c>
      <c r="I2196" s="64">
        <f>IFERROR(INDEX(MgAmenNombre,MATCH(SUBSTITUTE($H2196,"*","-"),MgAmenClave,0)),"")</f>
        <v/>
      </c>
      <c r="J2196" s="28">
        <f>IFERROR(INDEX(MgAmenGrupo,MATCH(SUBSTITUTE($H2196,"*","-"),MgAmenClave,0)),"")</f>
        <v/>
      </c>
      <c r="K2196" s="64">
        <f>IFERROR(INDEX('1. Matriz de Activos'!$Q$6:$Q$239,MATCH($C2196,MgActId,0)),"")</f>
        <v/>
      </c>
      <c r="L2196" s="64">
        <f>IFERROR(INDEX('1. Matriz de Activos'!$R$6:$R$239,MATCH($C2196,MgActId,0)),"")</f>
        <v/>
      </c>
      <c r="M2196" s="64">
        <f>IFERROR(INDEX('1. Matriz de Activos'!$S$6:$S$239,MATCH($C2196,MgActId,0)),"")</f>
        <v/>
      </c>
      <c r="N2196" s="28">
        <f>IFERROR(INDEX(MgAmenDegD,MATCH(SUBSTITUTE($H2196,"*","-"),MgAmenClave,0)),"No aplica")</f>
        <v/>
      </c>
      <c r="O2196" s="28">
        <f>IFERROR(INDEX(MgAmenDegI,MATCH(SUBSTITUTE($H2196,"*","-"),MgAmenClave,0)),"No aplica")</f>
        <v/>
      </c>
      <c r="P2196" s="28">
        <f>IFERROR(INDEX(MgAmenDegC,MATCH(SUBSTITUTE($H2196,"*","-"),MgAmenClave,0)),"No aplica")</f>
        <v/>
      </c>
      <c r="Q2196" s="29">
        <f>IFERROR(VLOOKUP(K2196,MgValor,2,0)*VLOOKUP(N2196,MgDeg,2,0),0)</f>
        <v/>
      </c>
      <c r="R2196" s="29">
        <f>IFERROR(VLOOKUP(L2196,MgValor,2,0)*VLOOKUP(O2196,MgDeg,2,0),0)</f>
        <v/>
      </c>
      <c r="S2196" s="29">
        <f>IFERROR(VLOOKUP(M2196,MgValor,2,0)*VLOOKUP(P2196,MgDeg,2,0),0)</f>
        <v/>
      </c>
      <c r="T2196" s="30">
        <f>MAX(Q2196:S2196)</f>
        <v/>
      </c>
      <c r="U2196" s="28">
        <f>IFERROR(LOOKUP(T2196,{0;0.5;1.5;3;4.5},{"Despreciable";"Bajo";"Medio";"Alto";"Muy alto"}),"")</f>
        <v/>
      </c>
      <c r="V2196" s="13">
        <f>IFERROR(INDEX(MgAmenFrec,MATCH(SUBSTITUTE($H2196,"*","-"),MgAmenClave,0)),"")</f>
        <v/>
      </c>
      <c r="W2196" s="28">
        <f>IFERROR(LOOKUP(X2196,{0;0.01;0.1;1;10;100},{"Muy baja";"Muy baja";"Baja";"Media";"Alta";"Muy alta"}),"")</f>
        <v/>
      </c>
      <c r="X2196" s="31">
        <f>IFERROR(VLOOKUP(V2196,MgFrec,2,0),0)</f>
        <v/>
      </c>
      <c r="Y2196" s="30">
        <f>T2196*X2196</f>
        <v/>
      </c>
      <c r="Z2196" s="28">
        <f>IFERROR(LOOKUP(Y2196,{0;0.5;5;25},{"Bajo";"Medio";"Alto";"Crítico"}),"")</f>
        <v/>
      </c>
      <c r="AA2196" s="64">
        <f>IF(T2196&gt;=3,IF(X2196&gt;=1,"Zona 1 — Crítica: impacto alto y ocurre al menos una vez al año","Zona 4 — Catastrófica poco probable: impacto alto pero excepcional"),IF(AND(T2196&lt;1.5,X2196&lt;1),"Zona 3 — Asumible: impacto bajo y muy poco frecuente","Zona 2 — Atención: riesgo intermedio"))</f>
        <v/>
      </c>
      <c r="AB2196" s="64">
        <f>IFERROR(INDEX(MgAmenCtrl,MATCH(SUBSTITUTE($H2196,"*","-"),MgAmenClave,0)),"")</f>
        <v/>
      </c>
      <c r="AC2196" s="20" t="n"/>
      <c r="AD2196" s="31">
        <f>IFERROR($X2196*(1-IF($AC2196="",$AL2196,VLOOKUP($AC2196,MgMad,2,0))),"")</f>
        <v/>
      </c>
      <c r="AE2196" s="28">
        <f>IFERROR(LOOKUP(AD2196,{0;0.01;0.1;1;10;100},{"Muy baja";"Muy baja";"Baja";"Media";"Alta";"Muy alta"}),"")</f>
        <v/>
      </c>
      <c r="AF2196" s="30">
        <f>T2196*AD2196</f>
        <v/>
      </c>
      <c r="AG2196" s="28">
        <f>IFERROR(LOOKUP(AF2196,{0;0.5;5;25},{"Bajo";"Medio";"Alto";"Crítico"}),"")</f>
        <v/>
      </c>
      <c r="AH2196" s="28">
        <f>IF(AG2196="","",IF(OR(AG2196="Crítico",AG2196="Alto"),"Mitigar",IF(AG2196="Medio","Mitigar","Aceptar y monitorear")))</f>
        <v/>
      </c>
      <c r="AI2196" s="21" t="n"/>
      <c r="AJ2196" s="21" t="n"/>
      <c r="AK2196" s="20" t="n"/>
      <c r="AL2196" s="77">
        <f>IFERROR(INDEX(MgAmenEfic,MATCH(SUBSTITUTE($H2196,"*","-"),MgAmenClave,0)),0)</f>
        <v/>
      </c>
    </row>
    <row r="2197" hidden="1" ht="90" customHeight="1" s="54">
      <c r="B2197" s="59" t="inlineStr">
        <is>
          <t>R-2192</t>
        </is>
      </c>
      <c r="C2197" s="59" t="inlineStr">
        <is>
          <t>MS-03</t>
        </is>
      </c>
      <c r="D2197" s="64">
        <f>IFERROR(INDEX(MgNombre,MATCH($C2197,MgActId,0)),"")</f>
        <v/>
      </c>
      <c r="E2197" s="64">
        <f>IFERROR(INDEX(MgProceso,MATCH($C2197,MgActId,0)),"")</f>
        <v/>
      </c>
      <c r="F2197" s="64">
        <f>IFERROR(INDEX(MgTipo,MATCH($C2197,MgActId,0)),"")</f>
        <v/>
      </c>
      <c r="G2197" s="64">
        <f>IFERROR(INDEX(MgSubtipo,MATCH($C2197,MgActId,0)),"")</f>
        <v/>
      </c>
      <c r="H2197" s="59" t="inlineStr">
        <is>
          <t>A.13</t>
        </is>
      </c>
      <c r="I2197" s="64">
        <f>IFERROR(INDEX(MgAmenNombre,MATCH(SUBSTITUTE($H2197,"*","-"),MgAmenClave,0)),"")</f>
        <v/>
      </c>
      <c r="J2197" s="28">
        <f>IFERROR(INDEX(MgAmenGrupo,MATCH(SUBSTITUTE($H2197,"*","-"),MgAmenClave,0)),"")</f>
        <v/>
      </c>
      <c r="K2197" s="64">
        <f>IFERROR(INDEX('1. Matriz de Activos'!$Q$6:$Q$239,MATCH($C2197,MgActId,0)),"")</f>
        <v/>
      </c>
      <c r="L2197" s="64">
        <f>IFERROR(INDEX('1. Matriz de Activos'!$R$6:$R$239,MATCH($C2197,MgActId,0)),"")</f>
        <v/>
      </c>
      <c r="M2197" s="64">
        <f>IFERROR(INDEX('1. Matriz de Activos'!$S$6:$S$239,MATCH($C2197,MgActId,0)),"")</f>
        <v/>
      </c>
      <c r="N2197" s="28">
        <f>IFERROR(INDEX(MgAmenDegD,MATCH(SUBSTITUTE($H2197,"*","-"),MgAmenClave,0)),"No aplica")</f>
        <v/>
      </c>
      <c r="O2197" s="28">
        <f>IFERROR(INDEX(MgAmenDegI,MATCH(SUBSTITUTE($H2197,"*","-"),MgAmenClave,0)),"No aplica")</f>
        <v/>
      </c>
      <c r="P2197" s="28">
        <f>IFERROR(INDEX(MgAmenDegC,MATCH(SUBSTITUTE($H2197,"*","-"),MgAmenClave,0)),"No aplica")</f>
        <v/>
      </c>
      <c r="Q2197" s="29">
        <f>IFERROR(VLOOKUP(K2197,MgValor,2,0)*VLOOKUP(N2197,MgDeg,2,0),0)</f>
        <v/>
      </c>
      <c r="R2197" s="29">
        <f>IFERROR(VLOOKUP(L2197,MgValor,2,0)*VLOOKUP(O2197,MgDeg,2,0),0)</f>
        <v/>
      </c>
      <c r="S2197" s="29">
        <f>IFERROR(VLOOKUP(M2197,MgValor,2,0)*VLOOKUP(P2197,MgDeg,2,0),0)</f>
        <v/>
      </c>
      <c r="T2197" s="30">
        <f>MAX(Q2197:S2197)</f>
        <v/>
      </c>
      <c r="U2197" s="28">
        <f>IFERROR(LOOKUP(T2197,{0;0.5;1.5;3;4.5},{"Despreciable";"Bajo";"Medio";"Alto";"Muy alto"}),"")</f>
        <v/>
      </c>
      <c r="V2197" s="13">
        <f>IFERROR(INDEX(MgAmenFrec,MATCH(SUBSTITUTE($H2197,"*","-"),MgAmenClave,0)),"")</f>
        <v/>
      </c>
      <c r="W2197" s="28">
        <f>IFERROR(LOOKUP(X2197,{0;0.01;0.1;1;10;100},{"Muy baja";"Muy baja";"Baja";"Media";"Alta";"Muy alta"}),"")</f>
        <v/>
      </c>
      <c r="X2197" s="31">
        <f>IFERROR(VLOOKUP(V2197,MgFrec,2,0),0)</f>
        <v/>
      </c>
      <c r="Y2197" s="30">
        <f>T2197*X2197</f>
        <v/>
      </c>
      <c r="Z2197" s="28">
        <f>IFERROR(LOOKUP(Y2197,{0;0.5;5;25},{"Bajo";"Medio";"Alto";"Crítico"}),"")</f>
        <v/>
      </c>
      <c r="AA2197" s="64">
        <f>IF(T2197&gt;=3,IF(X2197&gt;=1,"Zona 1 — Crítica: impacto alto y ocurre al menos una vez al año","Zona 4 — Catastrófica poco probable: impacto alto pero excepcional"),IF(AND(T2197&lt;1.5,X2197&lt;1),"Zona 3 — Asumible: impacto bajo y muy poco frecuente","Zona 2 — Atención: riesgo intermedio"))</f>
        <v/>
      </c>
      <c r="AB2197" s="64">
        <f>IFERROR(INDEX(MgAmenCtrl,MATCH(SUBSTITUTE($H2197,"*","-"),MgAmenClave,0)),"")</f>
        <v/>
      </c>
      <c r="AC2197" s="20" t="n"/>
      <c r="AD2197" s="31">
        <f>IFERROR($X2197*(1-IF($AC2197="",$AL2197,VLOOKUP($AC2197,MgMad,2,0))),"")</f>
        <v/>
      </c>
      <c r="AE2197" s="28">
        <f>IFERROR(LOOKUP(AD2197,{0;0.01;0.1;1;10;100},{"Muy baja";"Muy baja";"Baja";"Media";"Alta";"Muy alta"}),"")</f>
        <v/>
      </c>
      <c r="AF2197" s="30">
        <f>T2197*AD2197</f>
        <v/>
      </c>
      <c r="AG2197" s="28">
        <f>IFERROR(LOOKUP(AF2197,{0;0.5;5;25},{"Bajo";"Medio";"Alto";"Crítico"}),"")</f>
        <v/>
      </c>
      <c r="AH2197" s="28">
        <f>IF(AG2197="","",IF(OR(AG2197="Crítico",AG2197="Alto"),"Mitigar",IF(AG2197="Medio","Mitigar","Aceptar y monitorear")))</f>
        <v/>
      </c>
      <c r="AI2197" s="21" t="n"/>
      <c r="AJ2197" s="21" t="n"/>
      <c r="AK2197" s="20" t="n"/>
      <c r="AL2197" s="77">
        <f>IFERROR(INDEX(MgAmenEfic,MATCH(SUBSTITUTE($H2197,"*","-"),MgAmenClave,0)),0)</f>
        <v/>
      </c>
    </row>
    <row r="2198" hidden="1" ht="60" customHeight="1" s="54">
      <c r="B2198" s="59" t="inlineStr">
        <is>
          <t>R-2193</t>
        </is>
      </c>
      <c r="C2198" s="59" t="inlineStr">
        <is>
          <t>MS-03</t>
        </is>
      </c>
      <c r="D2198" s="64">
        <f>IFERROR(INDEX(MgNombre,MATCH($C2198,MgActId,0)),"")</f>
        <v/>
      </c>
      <c r="E2198" s="64">
        <f>IFERROR(INDEX(MgProceso,MATCH($C2198,MgActId,0)),"")</f>
        <v/>
      </c>
      <c r="F2198" s="64">
        <f>IFERROR(INDEX(MgTipo,MATCH($C2198,MgActId,0)),"")</f>
        <v/>
      </c>
      <c r="G2198" s="64">
        <f>IFERROR(INDEX(MgSubtipo,MATCH($C2198,MgActId,0)),"")</f>
        <v/>
      </c>
      <c r="H2198" s="59" t="inlineStr">
        <is>
          <t>A.15</t>
        </is>
      </c>
      <c r="I2198" s="64">
        <f>IFERROR(INDEX(MgAmenNombre,MATCH(SUBSTITUTE($H2198,"*","-"),MgAmenClave,0)),"")</f>
        <v/>
      </c>
      <c r="J2198" s="28">
        <f>IFERROR(INDEX(MgAmenGrupo,MATCH(SUBSTITUTE($H2198,"*","-"),MgAmenClave,0)),"")</f>
        <v/>
      </c>
      <c r="K2198" s="64">
        <f>IFERROR(INDEX('1. Matriz de Activos'!$Q$6:$Q$239,MATCH($C2198,MgActId,0)),"")</f>
        <v/>
      </c>
      <c r="L2198" s="64">
        <f>IFERROR(INDEX('1. Matriz de Activos'!$R$6:$R$239,MATCH($C2198,MgActId,0)),"")</f>
        <v/>
      </c>
      <c r="M2198" s="64">
        <f>IFERROR(INDEX('1. Matriz de Activos'!$S$6:$S$239,MATCH($C2198,MgActId,0)),"")</f>
        <v/>
      </c>
      <c r="N2198" s="28">
        <f>IFERROR(INDEX(MgAmenDegD,MATCH(SUBSTITUTE($H2198,"*","-"),MgAmenClave,0)),"No aplica")</f>
        <v/>
      </c>
      <c r="O2198" s="28">
        <f>IFERROR(INDEX(MgAmenDegI,MATCH(SUBSTITUTE($H2198,"*","-"),MgAmenClave,0)),"No aplica")</f>
        <v/>
      </c>
      <c r="P2198" s="28">
        <f>IFERROR(INDEX(MgAmenDegC,MATCH(SUBSTITUTE($H2198,"*","-"),MgAmenClave,0)),"No aplica")</f>
        <v/>
      </c>
      <c r="Q2198" s="29">
        <f>IFERROR(VLOOKUP(K2198,MgValor,2,0)*VLOOKUP(N2198,MgDeg,2,0),0)</f>
        <v/>
      </c>
      <c r="R2198" s="29">
        <f>IFERROR(VLOOKUP(L2198,MgValor,2,0)*VLOOKUP(O2198,MgDeg,2,0),0)</f>
        <v/>
      </c>
      <c r="S2198" s="29">
        <f>IFERROR(VLOOKUP(M2198,MgValor,2,0)*VLOOKUP(P2198,MgDeg,2,0),0)</f>
        <v/>
      </c>
      <c r="T2198" s="30">
        <f>MAX(Q2198:S2198)</f>
        <v/>
      </c>
      <c r="U2198" s="28">
        <f>IFERROR(LOOKUP(T2198,{0;0.5;1.5;3;4.5},{"Despreciable";"Bajo";"Medio";"Alto";"Muy alto"}),"")</f>
        <v/>
      </c>
      <c r="V2198" s="13">
        <f>IFERROR(INDEX(MgAmenFrec,MATCH(SUBSTITUTE($H2198,"*","-"),MgAmenClave,0)),"")</f>
        <v/>
      </c>
      <c r="W2198" s="28">
        <f>IFERROR(LOOKUP(X2198,{0;0.01;0.1;1;10;100},{"Muy baja";"Muy baja";"Baja";"Media";"Alta";"Muy alta"}),"")</f>
        <v/>
      </c>
      <c r="X2198" s="31">
        <f>IFERROR(VLOOKUP(V2198,MgFrec,2,0),0)</f>
        <v/>
      </c>
      <c r="Y2198" s="30">
        <f>T2198*X2198</f>
        <v/>
      </c>
      <c r="Z2198" s="28">
        <f>IFERROR(LOOKUP(Y2198,{0;0.5;5;25},{"Bajo";"Medio";"Alto";"Crítico"}),"")</f>
        <v/>
      </c>
      <c r="AA2198" s="64">
        <f>IF(T2198&gt;=3,IF(X2198&gt;=1,"Zona 1 — Crítica: impacto alto y ocurre al menos una vez al año","Zona 4 — Catastrófica poco probable: impacto alto pero excepcional"),IF(AND(T2198&lt;1.5,X2198&lt;1),"Zona 3 — Asumible: impacto bajo y muy poco frecuente","Zona 2 — Atención: riesgo intermedio"))</f>
        <v/>
      </c>
      <c r="AB2198" s="64">
        <f>IFERROR(INDEX(MgAmenCtrl,MATCH(SUBSTITUTE($H2198,"*","-"),MgAmenClave,0)),"")</f>
        <v/>
      </c>
      <c r="AC2198" s="20" t="n"/>
      <c r="AD2198" s="31">
        <f>IFERROR($X2198*(1-IF($AC2198="",$AL2198,VLOOKUP($AC2198,MgMad,2,0))),"")</f>
        <v/>
      </c>
      <c r="AE2198" s="28">
        <f>IFERROR(LOOKUP(AD2198,{0;0.01;0.1;1;10;100},{"Muy baja";"Muy baja";"Baja";"Media";"Alta";"Muy alta"}),"")</f>
        <v/>
      </c>
      <c r="AF2198" s="30">
        <f>T2198*AD2198</f>
        <v/>
      </c>
      <c r="AG2198" s="28">
        <f>IFERROR(LOOKUP(AF2198,{0;0.5;5;25},{"Bajo";"Medio";"Alto";"Crítico"}),"")</f>
        <v/>
      </c>
      <c r="AH2198" s="28">
        <f>IF(AG2198="","",IF(OR(AG2198="Crítico",AG2198="Alto"),"Mitigar",IF(AG2198="Medio","Mitigar","Aceptar y monitorear")))</f>
        <v/>
      </c>
      <c r="AI2198" s="21" t="n"/>
      <c r="AJ2198" s="21" t="n"/>
      <c r="AK2198" s="20" t="n"/>
      <c r="AL2198" s="77">
        <f>IFERROR(INDEX(MgAmenEfic,MATCH(SUBSTITUTE($H2198,"*","-"),MgAmenClave,0)),0)</f>
        <v/>
      </c>
    </row>
    <row r="2199" hidden="1" ht="60" customHeight="1" s="54">
      <c r="B2199" s="59" t="inlineStr">
        <is>
          <t>R-2194</t>
        </is>
      </c>
      <c r="C2199" s="59" t="inlineStr">
        <is>
          <t>MS-03</t>
        </is>
      </c>
      <c r="D2199" s="64">
        <f>IFERROR(INDEX(MgNombre,MATCH($C2199,MgActId,0)),"")</f>
        <v/>
      </c>
      <c r="E2199" s="64">
        <f>IFERROR(INDEX(MgProceso,MATCH($C2199,MgActId,0)),"")</f>
        <v/>
      </c>
      <c r="F2199" s="64">
        <f>IFERROR(INDEX(MgTipo,MATCH($C2199,MgActId,0)),"")</f>
        <v/>
      </c>
      <c r="G2199" s="64">
        <f>IFERROR(INDEX(MgSubtipo,MATCH($C2199,MgActId,0)),"")</f>
        <v/>
      </c>
      <c r="H2199" s="59" t="inlineStr">
        <is>
          <t>A.18</t>
        </is>
      </c>
      <c r="I2199" s="64">
        <f>IFERROR(INDEX(MgAmenNombre,MATCH(SUBSTITUTE($H2199,"*","-"),MgAmenClave,0)),"")</f>
        <v/>
      </c>
      <c r="J2199" s="28">
        <f>IFERROR(INDEX(MgAmenGrupo,MATCH(SUBSTITUTE($H2199,"*","-"),MgAmenClave,0)),"")</f>
        <v/>
      </c>
      <c r="K2199" s="64">
        <f>IFERROR(INDEX('1. Matriz de Activos'!$Q$6:$Q$239,MATCH($C2199,MgActId,0)),"")</f>
        <v/>
      </c>
      <c r="L2199" s="64">
        <f>IFERROR(INDEX('1. Matriz de Activos'!$R$6:$R$239,MATCH($C2199,MgActId,0)),"")</f>
        <v/>
      </c>
      <c r="M2199" s="64">
        <f>IFERROR(INDEX('1. Matriz de Activos'!$S$6:$S$239,MATCH($C2199,MgActId,0)),"")</f>
        <v/>
      </c>
      <c r="N2199" s="28">
        <f>IFERROR(INDEX(MgAmenDegD,MATCH(SUBSTITUTE($H2199,"*","-"),MgAmenClave,0)),"No aplica")</f>
        <v/>
      </c>
      <c r="O2199" s="28">
        <f>IFERROR(INDEX(MgAmenDegI,MATCH(SUBSTITUTE($H2199,"*","-"),MgAmenClave,0)),"No aplica")</f>
        <v/>
      </c>
      <c r="P2199" s="28">
        <f>IFERROR(INDEX(MgAmenDegC,MATCH(SUBSTITUTE($H2199,"*","-"),MgAmenClave,0)),"No aplica")</f>
        <v/>
      </c>
      <c r="Q2199" s="29">
        <f>IFERROR(VLOOKUP(K2199,MgValor,2,0)*VLOOKUP(N2199,MgDeg,2,0),0)</f>
        <v/>
      </c>
      <c r="R2199" s="29">
        <f>IFERROR(VLOOKUP(L2199,MgValor,2,0)*VLOOKUP(O2199,MgDeg,2,0),0)</f>
        <v/>
      </c>
      <c r="S2199" s="29">
        <f>IFERROR(VLOOKUP(M2199,MgValor,2,0)*VLOOKUP(P2199,MgDeg,2,0),0)</f>
        <v/>
      </c>
      <c r="T2199" s="30">
        <f>MAX(Q2199:S2199)</f>
        <v/>
      </c>
      <c r="U2199" s="28">
        <f>IFERROR(LOOKUP(T2199,{0;0.5;1.5;3;4.5},{"Despreciable";"Bajo";"Medio";"Alto";"Muy alto"}),"")</f>
        <v/>
      </c>
      <c r="V2199" s="13">
        <f>IFERROR(INDEX(MgAmenFrec,MATCH(SUBSTITUTE($H2199,"*","-"),MgAmenClave,0)),"")</f>
        <v/>
      </c>
      <c r="W2199" s="28">
        <f>IFERROR(LOOKUP(X2199,{0;0.01;0.1;1;10;100},{"Muy baja";"Muy baja";"Baja";"Media";"Alta";"Muy alta"}),"")</f>
        <v/>
      </c>
      <c r="X2199" s="31">
        <f>IFERROR(VLOOKUP(V2199,MgFrec,2,0),0)</f>
        <v/>
      </c>
      <c r="Y2199" s="30">
        <f>T2199*X2199</f>
        <v/>
      </c>
      <c r="Z2199" s="28">
        <f>IFERROR(LOOKUP(Y2199,{0;0.5;5;25},{"Bajo";"Medio";"Alto";"Crítico"}),"")</f>
        <v/>
      </c>
      <c r="AA2199" s="64">
        <f>IF(T2199&gt;=3,IF(X2199&gt;=1,"Zona 1 — Crítica: impacto alto y ocurre al menos una vez al año","Zona 4 — Catastrófica poco probable: impacto alto pero excepcional"),IF(AND(T2199&lt;1.5,X2199&lt;1),"Zona 3 — Asumible: impacto bajo y muy poco frecuente","Zona 2 — Atención: riesgo intermedio"))</f>
        <v/>
      </c>
      <c r="AB2199" s="64">
        <f>IFERROR(INDEX(MgAmenCtrl,MATCH(SUBSTITUTE($H2199,"*","-"),MgAmenClave,0)),"")</f>
        <v/>
      </c>
      <c r="AC2199" s="20" t="n"/>
      <c r="AD2199" s="31">
        <f>IFERROR($X2199*(1-IF($AC2199="",$AL2199,VLOOKUP($AC2199,MgMad,2,0))),"")</f>
        <v/>
      </c>
      <c r="AE2199" s="28">
        <f>IFERROR(LOOKUP(AD2199,{0;0.01;0.1;1;10;100},{"Muy baja";"Muy baja";"Baja";"Media";"Alta";"Muy alta"}),"")</f>
        <v/>
      </c>
      <c r="AF2199" s="30">
        <f>T2199*AD2199</f>
        <v/>
      </c>
      <c r="AG2199" s="28">
        <f>IFERROR(LOOKUP(AF2199,{0;0.5;5;25},{"Bajo";"Medio";"Alto";"Crítico"}),"")</f>
        <v/>
      </c>
      <c r="AH2199" s="28">
        <f>IF(AG2199="","",IF(OR(AG2199="Crítico",AG2199="Alto"),"Mitigar",IF(AG2199="Medio","Mitigar","Aceptar y monitorear")))</f>
        <v/>
      </c>
      <c r="AI2199" s="21" t="n"/>
      <c r="AJ2199" s="21" t="n"/>
      <c r="AK2199" s="20" t="n"/>
      <c r="AL2199" s="77">
        <f>IFERROR(INDEX(MgAmenEfic,MATCH(SUBSTITUTE($H2199,"*","-"),MgAmenClave,0)),0)</f>
        <v/>
      </c>
    </row>
    <row r="2200" hidden="1" ht="120" customHeight="1" s="54">
      <c r="B2200" s="59" t="inlineStr">
        <is>
          <t>R-2195</t>
        </is>
      </c>
      <c r="C2200" s="59" t="inlineStr">
        <is>
          <t>MS-03</t>
        </is>
      </c>
      <c r="D2200" s="64">
        <f>IFERROR(INDEX(MgNombre,MATCH($C2200,MgActId,0)),"")</f>
        <v/>
      </c>
      <c r="E2200" s="64">
        <f>IFERROR(INDEX(MgProceso,MATCH($C2200,MgActId,0)),"")</f>
        <v/>
      </c>
      <c r="F2200" s="64">
        <f>IFERROR(INDEX(MgTipo,MATCH($C2200,MgActId,0)),"")</f>
        <v/>
      </c>
      <c r="G2200" s="64">
        <f>IFERROR(INDEX(MgSubtipo,MATCH($C2200,MgActId,0)),"")</f>
        <v/>
      </c>
      <c r="H2200" s="59" t="inlineStr">
        <is>
          <t>A.19</t>
        </is>
      </c>
      <c r="I2200" s="64">
        <f>IFERROR(INDEX(MgAmenNombre,MATCH(SUBSTITUTE($H2200,"*","-"),MgAmenClave,0)),"")</f>
        <v/>
      </c>
      <c r="J2200" s="28">
        <f>IFERROR(INDEX(MgAmenGrupo,MATCH(SUBSTITUTE($H2200,"*","-"),MgAmenClave,0)),"")</f>
        <v/>
      </c>
      <c r="K2200" s="64">
        <f>IFERROR(INDEX('1. Matriz de Activos'!$Q$6:$Q$239,MATCH($C2200,MgActId,0)),"")</f>
        <v/>
      </c>
      <c r="L2200" s="64">
        <f>IFERROR(INDEX('1. Matriz de Activos'!$R$6:$R$239,MATCH($C2200,MgActId,0)),"")</f>
        <v/>
      </c>
      <c r="M2200" s="64">
        <f>IFERROR(INDEX('1. Matriz de Activos'!$S$6:$S$239,MATCH($C2200,MgActId,0)),"")</f>
        <v/>
      </c>
      <c r="N2200" s="28">
        <f>IFERROR(INDEX(MgAmenDegD,MATCH(SUBSTITUTE($H2200,"*","-"),MgAmenClave,0)),"No aplica")</f>
        <v/>
      </c>
      <c r="O2200" s="28">
        <f>IFERROR(INDEX(MgAmenDegI,MATCH(SUBSTITUTE($H2200,"*","-"),MgAmenClave,0)),"No aplica")</f>
        <v/>
      </c>
      <c r="P2200" s="28">
        <f>IFERROR(INDEX(MgAmenDegC,MATCH(SUBSTITUTE($H2200,"*","-"),MgAmenClave,0)),"No aplica")</f>
        <v/>
      </c>
      <c r="Q2200" s="29">
        <f>IFERROR(VLOOKUP(K2200,MgValor,2,0)*VLOOKUP(N2200,MgDeg,2,0),0)</f>
        <v/>
      </c>
      <c r="R2200" s="29">
        <f>IFERROR(VLOOKUP(L2200,MgValor,2,0)*VLOOKUP(O2200,MgDeg,2,0),0)</f>
        <v/>
      </c>
      <c r="S2200" s="29">
        <f>IFERROR(VLOOKUP(M2200,MgValor,2,0)*VLOOKUP(P2200,MgDeg,2,0),0)</f>
        <v/>
      </c>
      <c r="T2200" s="30">
        <f>MAX(Q2200:S2200)</f>
        <v/>
      </c>
      <c r="U2200" s="28">
        <f>IFERROR(LOOKUP(T2200,{0;0.5;1.5;3;4.5},{"Despreciable";"Bajo";"Medio";"Alto";"Muy alto"}),"")</f>
        <v/>
      </c>
      <c r="V2200" s="13">
        <f>IFERROR(INDEX(MgAmenFrec,MATCH(SUBSTITUTE($H2200,"*","-"),MgAmenClave,0)),"")</f>
        <v/>
      </c>
      <c r="W2200" s="28">
        <f>IFERROR(LOOKUP(X2200,{0;0.01;0.1;1;10;100},{"Muy baja";"Muy baja";"Baja";"Media";"Alta";"Muy alta"}),"")</f>
        <v/>
      </c>
      <c r="X2200" s="31">
        <f>IFERROR(VLOOKUP(V2200,MgFrec,2,0),0)</f>
        <v/>
      </c>
      <c r="Y2200" s="30">
        <f>T2200*X2200</f>
        <v/>
      </c>
      <c r="Z2200" s="28">
        <f>IFERROR(LOOKUP(Y2200,{0;0.5;5;25},{"Bajo";"Medio";"Alto";"Crítico"}),"")</f>
        <v/>
      </c>
      <c r="AA2200" s="64">
        <f>IF(T2200&gt;=3,IF(X2200&gt;=1,"Zona 1 — Crítica: impacto alto y ocurre al menos una vez al año","Zona 4 — Catastrófica poco probable: impacto alto pero excepcional"),IF(AND(T2200&lt;1.5,X2200&lt;1),"Zona 3 — Asumible: impacto bajo y muy poco frecuente","Zona 2 — Atención: riesgo intermedio"))</f>
        <v/>
      </c>
      <c r="AB2200" s="64">
        <f>IFERROR(INDEX(MgAmenCtrl,MATCH(SUBSTITUTE($H2200,"*","-"),MgAmenClave,0)),"")</f>
        <v/>
      </c>
      <c r="AC2200" s="20" t="n"/>
      <c r="AD2200" s="31">
        <f>IFERROR($X2200*(1-IF($AC2200="",$AL2200,VLOOKUP($AC2200,MgMad,2,0))),"")</f>
        <v/>
      </c>
      <c r="AE2200" s="28">
        <f>IFERROR(LOOKUP(AD2200,{0;0.01;0.1;1;10;100},{"Muy baja";"Muy baja";"Baja";"Media";"Alta";"Muy alta"}),"")</f>
        <v/>
      </c>
      <c r="AF2200" s="30">
        <f>T2200*AD2200</f>
        <v/>
      </c>
      <c r="AG2200" s="28">
        <f>IFERROR(LOOKUP(AF2200,{0;0.5;5;25},{"Bajo";"Medio";"Alto";"Crítico"}),"")</f>
        <v/>
      </c>
      <c r="AH2200" s="28">
        <f>IF(AG2200="","",IF(OR(AG2200="Crítico",AG2200="Alto"),"Mitigar",IF(AG2200="Medio","Mitigar","Aceptar y monitorear")))</f>
        <v/>
      </c>
      <c r="AI2200" s="21" t="n"/>
      <c r="AJ2200" s="21" t="n"/>
      <c r="AK2200" s="20" t="n"/>
      <c r="AL2200" s="77">
        <f>IFERROR(INDEX(MgAmenEfic,MATCH(SUBSTITUTE($H2200,"*","-"),MgAmenClave,0)),0)</f>
        <v/>
      </c>
    </row>
    <row r="2201" hidden="1" ht="60" customHeight="1" s="54">
      <c r="B2201" s="59" t="inlineStr">
        <is>
          <t>R-2196</t>
        </is>
      </c>
      <c r="C2201" s="59" t="inlineStr">
        <is>
          <t>MS-03</t>
        </is>
      </c>
      <c r="D2201" s="64">
        <f>IFERROR(INDEX(MgNombre,MATCH($C2201,MgActId,0)),"")</f>
        <v/>
      </c>
      <c r="E2201" s="64">
        <f>IFERROR(INDEX(MgProceso,MATCH($C2201,MgActId,0)),"")</f>
        <v/>
      </c>
      <c r="F2201" s="64">
        <f>IFERROR(INDEX(MgTipo,MATCH($C2201,MgActId,0)),"")</f>
        <v/>
      </c>
      <c r="G2201" s="64">
        <f>IFERROR(INDEX(MgSubtipo,MATCH($C2201,MgActId,0)),"")</f>
        <v/>
      </c>
      <c r="H2201" s="59" t="inlineStr">
        <is>
          <t>A.24</t>
        </is>
      </c>
      <c r="I2201" s="64">
        <f>IFERROR(INDEX(MgAmenNombre,MATCH(SUBSTITUTE($H2201,"*","-"),MgAmenClave,0)),"")</f>
        <v/>
      </c>
      <c r="J2201" s="28">
        <f>IFERROR(INDEX(MgAmenGrupo,MATCH(SUBSTITUTE($H2201,"*","-"),MgAmenClave,0)),"")</f>
        <v/>
      </c>
      <c r="K2201" s="64">
        <f>IFERROR(INDEX('1. Matriz de Activos'!$Q$6:$Q$239,MATCH($C2201,MgActId,0)),"")</f>
        <v/>
      </c>
      <c r="L2201" s="64">
        <f>IFERROR(INDEX('1. Matriz de Activos'!$R$6:$R$239,MATCH($C2201,MgActId,0)),"")</f>
        <v/>
      </c>
      <c r="M2201" s="64">
        <f>IFERROR(INDEX('1. Matriz de Activos'!$S$6:$S$239,MATCH($C2201,MgActId,0)),"")</f>
        <v/>
      </c>
      <c r="N2201" s="28">
        <f>IFERROR(INDEX(MgAmenDegD,MATCH(SUBSTITUTE($H2201,"*","-"),MgAmenClave,0)),"No aplica")</f>
        <v/>
      </c>
      <c r="O2201" s="28">
        <f>IFERROR(INDEX(MgAmenDegI,MATCH(SUBSTITUTE($H2201,"*","-"),MgAmenClave,0)),"No aplica")</f>
        <v/>
      </c>
      <c r="P2201" s="28">
        <f>IFERROR(INDEX(MgAmenDegC,MATCH(SUBSTITUTE($H2201,"*","-"),MgAmenClave,0)),"No aplica")</f>
        <v/>
      </c>
      <c r="Q2201" s="29">
        <f>IFERROR(VLOOKUP(K2201,MgValor,2,0)*VLOOKUP(N2201,MgDeg,2,0),0)</f>
        <v/>
      </c>
      <c r="R2201" s="29">
        <f>IFERROR(VLOOKUP(L2201,MgValor,2,0)*VLOOKUP(O2201,MgDeg,2,0),0)</f>
        <v/>
      </c>
      <c r="S2201" s="29">
        <f>IFERROR(VLOOKUP(M2201,MgValor,2,0)*VLOOKUP(P2201,MgDeg,2,0),0)</f>
        <v/>
      </c>
      <c r="T2201" s="30">
        <f>MAX(Q2201:S2201)</f>
        <v/>
      </c>
      <c r="U2201" s="28">
        <f>IFERROR(LOOKUP(T2201,{0;0.5;1.5;3;4.5},{"Despreciable";"Bajo";"Medio";"Alto";"Muy alto"}),"")</f>
        <v/>
      </c>
      <c r="V2201" s="13">
        <f>IFERROR(INDEX(MgAmenFrec,MATCH(SUBSTITUTE($H2201,"*","-"),MgAmenClave,0)),"")</f>
        <v/>
      </c>
      <c r="W2201" s="28">
        <f>IFERROR(LOOKUP(X2201,{0;0.01;0.1;1;10;100},{"Muy baja";"Muy baja";"Baja";"Media";"Alta";"Muy alta"}),"")</f>
        <v/>
      </c>
      <c r="X2201" s="31">
        <f>IFERROR(VLOOKUP(V2201,MgFrec,2,0),0)</f>
        <v/>
      </c>
      <c r="Y2201" s="30">
        <f>T2201*X2201</f>
        <v/>
      </c>
      <c r="Z2201" s="28">
        <f>IFERROR(LOOKUP(Y2201,{0;0.5;5;25},{"Bajo";"Medio";"Alto";"Crítico"}),"")</f>
        <v/>
      </c>
      <c r="AA2201" s="64">
        <f>IF(T2201&gt;=3,IF(X2201&gt;=1,"Zona 1 — Crítica: impacto alto y ocurre al menos una vez al año","Zona 4 — Catastrófica poco probable: impacto alto pero excepcional"),IF(AND(T2201&lt;1.5,X2201&lt;1),"Zona 3 — Asumible: impacto bajo y muy poco frecuente","Zona 2 — Atención: riesgo intermedio"))</f>
        <v/>
      </c>
      <c r="AB2201" s="64">
        <f>IFERROR(INDEX(MgAmenCtrl,MATCH(SUBSTITUTE($H2201,"*","-"),MgAmenClave,0)),"")</f>
        <v/>
      </c>
      <c r="AC2201" s="20" t="n"/>
      <c r="AD2201" s="31">
        <f>IFERROR($X2201*(1-IF($AC2201="",$AL2201,VLOOKUP($AC2201,MgMad,2,0))),"")</f>
        <v/>
      </c>
      <c r="AE2201" s="28">
        <f>IFERROR(LOOKUP(AD2201,{0;0.01;0.1;1;10;100},{"Muy baja";"Muy baja";"Baja";"Media";"Alta";"Muy alta"}),"")</f>
        <v/>
      </c>
      <c r="AF2201" s="30">
        <f>T2201*AD2201</f>
        <v/>
      </c>
      <c r="AG2201" s="28">
        <f>IFERROR(LOOKUP(AF2201,{0;0.5;5;25},{"Bajo";"Medio";"Alto";"Crítico"}),"")</f>
        <v/>
      </c>
      <c r="AH2201" s="28">
        <f>IF(AG2201="","",IF(OR(AG2201="Crítico",AG2201="Alto"),"Mitigar",IF(AG2201="Medio","Mitigar","Aceptar y monitorear")))</f>
        <v/>
      </c>
      <c r="AI2201" s="21" t="n"/>
      <c r="AJ2201" s="21" t="n"/>
      <c r="AK2201" s="20" t="n"/>
      <c r="AL2201" s="77">
        <f>IFERROR(INDEX(MgAmenEfic,MATCH(SUBSTITUTE($H2201,"*","-"),MgAmenClave,0)),0)</f>
        <v/>
      </c>
    </row>
    <row r="2202" hidden="1" ht="105" customHeight="1" s="54">
      <c r="B2202" s="59" t="inlineStr">
        <is>
          <t>R-2197</t>
        </is>
      </c>
      <c r="C2202" s="59" t="inlineStr">
        <is>
          <t>MS-04</t>
        </is>
      </c>
      <c r="D2202" s="64">
        <f>IFERROR(INDEX(MgNombre,MATCH($C2202,MgActId,0)),"")</f>
        <v/>
      </c>
      <c r="E2202" s="64">
        <f>IFERROR(INDEX(MgProceso,MATCH($C2202,MgActId,0)),"")</f>
        <v/>
      </c>
      <c r="F2202" s="64">
        <f>IFERROR(INDEX(MgTipo,MATCH($C2202,MgActId,0)),"")</f>
        <v/>
      </c>
      <c r="G2202" s="64">
        <f>IFERROR(INDEX(MgSubtipo,MATCH($C2202,MgActId,0)),"")</f>
        <v/>
      </c>
      <c r="H2202" s="59" t="inlineStr">
        <is>
          <t>E.1</t>
        </is>
      </c>
      <c r="I2202" s="64">
        <f>IFERROR(INDEX(MgAmenNombre,MATCH(SUBSTITUTE($H2202,"*","-"),MgAmenClave,0)),"")</f>
        <v/>
      </c>
      <c r="J2202" s="28">
        <f>IFERROR(INDEX(MgAmenGrupo,MATCH(SUBSTITUTE($H2202,"*","-"),MgAmenClave,0)),"")</f>
        <v/>
      </c>
      <c r="K2202" s="64">
        <f>IFERROR(INDEX('1. Matriz de Activos'!$Q$6:$Q$239,MATCH($C2202,MgActId,0)),"")</f>
        <v/>
      </c>
      <c r="L2202" s="64">
        <f>IFERROR(INDEX('1. Matriz de Activos'!$R$6:$R$239,MATCH($C2202,MgActId,0)),"")</f>
        <v/>
      </c>
      <c r="M2202" s="64">
        <f>IFERROR(INDEX('1. Matriz de Activos'!$S$6:$S$239,MATCH($C2202,MgActId,0)),"")</f>
        <v/>
      </c>
      <c r="N2202" s="28">
        <f>IFERROR(INDEX(MgAmenDegD,MATCH(SUBSTITUTE($H2202,"*","-"),MgAmenClave,0)),"No aplica")</f>
        <v/>
      </c>
      <c r="O2202" s="28">
        <f>IFERROR(INDEX(MgAmenDegI,MATCH(SUBSTITUTE($H2202,"*","-"),MgAmenClave,0)),"No aplica")</f>
        <v/>
      </c>
      <c r="P2202" s="28">
        <f>IFERROR(INDEX(MgAmenDegC,MATCH(SUBSTITUTE($H2202,"*","-"),MgAmenClave,0)),"No aplica")</f>
        <v/>
      </c>
      <c r="Q2202" s="29">
        <f>IFERROR(VLOOKUP(K2202,MgValor,2,0)*VLOOKUP(N2202,MgDeg,2,0),0)</f>
        <v/>
      </c>
      <c r="R2202" s="29">
        <f>IFERROR(VLOOKUP(L2202,MgValor,2,0)*VLOOKUP(O2202,MgDeg,2,0),0)</f>
        <v/>
      </c>
      <c r="S2202" s="29">
        <f>IFERROR(VLOOKUP(M2202,MgValor,2,0)*VLOOKUP(P2202,MgDeg,2,0),0)</f>
        <v/>
      </c>
      <c r="T2202" s="30">
        <f>MAX(Q2202:S2202)</f>
        <v/>
      </c>
      <c r="U2202" s="28">
        <f>IFERROR(LOOKUP(T2202,{0;0.5;1.5;3;4.5},{"Despreciable";"Bajo";"Medio";"Alto";"Muy alto"}),"")</f>
        <v/>
      </c>
      <c r="V2202" s="13">
        <f>IFERROR(INDEX(MgAmenFrec,MATCH(SUBSTITUTE($H2202,"*","-"),MgAmenClave,0)),"")</f>
        <v/>
      </c>
      <c r="W2202" s="28">
        <f>IFERROR(LOOKUP(X2202,{0;0.01;0.1;1;10;100},{"Muy baja";"Muy baja";"Baja";"Media";"Alta";"Muy alta"}),"")</f>
        <v/>
      </c>
      <c r="X2202" s="31">
        <f>IFERROR(VLOOKUP(V2202,MgFrec,2,0),0)</f>
        <v/>
      </c>
      <c r="Y2202" s="30">
        <f>T2202*X2202</f>
        <v/>
      </c>
      <c r="Z2202" s="28">
        <f>IFERROR(LOOKUP(Y2202,{0;0.5;5;25},{"Bajo";"Medio";"Alto";"Crítico"}),"")</f>
        <v/>
      </c>
      <c r="AA2202" s="64">
        <f>IF(T2202&gt;=3,IF(X2202&gt;=1,"Zona 1 — Crítica: impacto alto y ocurre al menos una vez al año","Zona 4 — Catastrófica poco probable: impacto alto pero excepcional"),IF(AND(T2202&lt;1.5,X2202&lt;1),"Zona 3 — Asumible: impacto bajo y muy poco frecuente","Zona 2 — Atención: riesgo intermedio"))</f>
        <v/>
      </c>
      <c r="AB2202" s="64">
        <f>IFERROR(INDEX(MgAmenCtrl,MATCH(SUBSTITUTE($H2202,"*","-"),MgAmenClave,0)),"")</f>
        <v/>
      </c>
      <c r="AC2202" s="20" t="n"/>
      <c r="AD2202" s="31">
        <f>IFERROR($X2202*(1-IF($AC2202="",$AL2202,VLOOKUP($AC2202,MgMad,2,0))),"")</f>
        <v/>
      </c>
      <c r="AE2202" s="28">
        <f>IFERROR(LOOKUP(AD2202,{0;0.01;0.1;1;10;100},{"Muy baja";"Muy baja";"Baja";"Media";"Alta";"Muy alta"}),"")</f>
        <v/>
      </c>
      <c r="AF2202" s="30">
        <f>T2202*AD2202</f>
        <v/>
      </c>
      <c r="AG2202" s="28">
        <f>IFERROR(LOOKUP(AF2202,{0;0.5;5;25},{"Bajo";"Medio";"Alto";"Crítico"}),"")</f>
        <v/>
      </c>
      <c r="AH2202" s="28">
        <f>IF(AG2202="","",IF(OR(AG2202="Crítico",AG2202="Alto"),"Mitigar",IF(AG2202="Medio","Mitigar","Aceptar y monitorear")))</f>
        <v/>
      </c>
      <c r="AI2202" s="21" t="n"/>
      <c r="AJ2202" s="21" t="n"/>
      <c r="AK2202" s="20" t="n"/>
      <c r="AL2202" s="77">
        <f>IFERROR(INDEX(MgAmenEfic,MATCH(SUBSTITUTE($H2202,"*","-"),MgAmenClave,0)),0)</f>
        <v/>
      </c>
    </row>
    <row r="2203" hidden="1" ht="120" customHeight="1" s="54">
      <c r="B2203" s="59" t="inlineStr">
        <is>
          <t>R-2198</t>
        </is>
      </c>
      <c r="C2203" s="59" t="inlineStr">
        <is>
          <t>MS-04</t>
        </is>
      </c>
      <c r="D2203" s="64">
        <f>IFERROR(INDEX(MgNombre,MATCH($C2203,MgActId,0)),"")</f>
        <v/>
      </c>
      <c r="E2203" s="64">
        <f>IFERROR(INDEX(MgProceso,MATCH($C2203,MgActId,0)),"")</f>
        <v/>
      </c>
      <c r="F2203" s="64">
        <f>IFERROR(INDEX(MgTipo,MATCH($C2203,MgActId,0)),"")</f>
        <v/>
      </c>
      <c r="G2203" s="64">
        <f>IFERROR(INDEX(MgSubtipo,MATCH($C2203,MgActId,0)),"")</f>
        <v/>
      </c>
      <c r="H2203" s="59" t="inlineStr">
        <is>
          <t>E.2</t>
        </is>
      </c>
      <c r="I2203" s="64">
        <f>IFERROR(INDEX(MgAmenNombre,MATCH(SUBSTITUTE($H2203,"*","-"),MgAmenClave,0)),"")</f>
        <v/>
      </c>
      <c r="J2203" s="28">
        <f>IFERROR(INDEX(MgAmenGrupo,MATCH(SUBSTITUTE($H2203,"*","-"),MgAmenClave,0)),"")</f>
        <v/>
      </c>
      <c r="K2203" s="64">
        <f>IFERROR(INDEX('1. Matriz de Activos'!$Q$6:$Q$239,MATCH($C2203,MgActId,0)),"")</f>
        <v/>
      </c>
      <c r="L2203" s="64">
        <f>IFERROR(INDEX('1. Matriz de Activos'!$R$6:$R$239,MATCH($C2203,MgActId,0)),"")</f>
        <v/>
      </c>
      <c r="M2203" s="64">
        <f>IFERROR(INDEX('1. Matriz de Activos'!$S$6:$S$239,MATCH($C2203,MgActId,0)),"")</f>
        <v/>
      </c>
      <c r="N2203" s="28">
        <f>IFERROR(INDEX(MgAmenDegD,MATCH(SUBSTITUTE($H2203,"*","-"),MgAmenClave,0)),"No aplica")</f>
        <v/>
      </c>
      <c r="O2203" s="28">
        <f>IFERROR(INDEX(MgAmenDegI,MATCH(SUBSTITUTE($H2203,"*","-"),MgAmenClave,0)),"No aplica")</f>
        <v/>
      </c>
      <c r="P2203" s="28">
        <f>IFERROR(INDEX(MgAmenDegC,MATCH(SUBSTITUTE($H2203,"*","-"),MgAmenClave,0)),"No aplica")</f>
        <v/>
      </c>
      <c r="Q2203" s="29">
        <f>IFERROR(VLOOKUP(K2203,MgValor,2,0)*VLOOKUP(N2203,MgDeg,2,0),0)</f>
        <v/>
      </c>
      <c r="R2203" s="29">
        <f>IFERROR(VLOOKUP(L2203,MgValor,2,0)*VLOOKUP(O2203,MgDeg,2,0),0)</f>
        <v/>
      </c>
      <c r="S2203" s="29">
        <f>IFERROR(VLOOKUP(M2203,MgValor,2,0)*VLOOKUP(P2203,MgDeg,2,0),0)</f>
        <v/>
      </c>
      <c r="T2203" s="30">
        <f>MAX(Q2203:S2203)</f>
        <v/>
      </c>
      <c r="U2203" s="28">
        <f>IFERROR(LOOKUP(T2203,{0;0.5;1.5;3;4.5},{"Despreciable";"Bajo";"Medio";"Alto";"Muy alto"}),"")</f>
        <v/>
      </c>
      <c r="V2203" s="13">
        <f>IFERROR(INDEX(MgAmenFrec,MATCH(SUBSTITUTE($H2203,"*","-"),MgAmenClave,0)),"")</f>
        <v/>
      </c>
      <c r="W2203" s="28">
        <f>IFERROR(LOOKUP(X2203,{0;0.01;0.1;1;10;100},{"Muy baja";"Muy baja";"Baja";"Media";"Alta";"Muy alta"}),"")</f>
        <v/>
      </c>
      <c r="X2203" s="31">
        <f>IFERROR(VLOOKUP(V2203,MgFrec,2,0),0)</f>
        <v/>
      </c>
      <c r="Y2203" s="30">
        <f>T2203*X2203</f>
        <v/>
      </c>
      <c r="Z2203" s="28">
        <f>IFERROR(LOOKUP(Y2203,{0;0.5;5;25},{"Bajo";"Medio";"Alto";"Crítico"}),"")</f>
        <v/>
      </c>
      <c r="AA2203" s="64">
        <f>IF(T2203&gt;=3,IF(X2203&gt;=1,"Zona 1 — Crítica: impacto alto y ocurre al menos una vez al año","Zona 4 — Catastrófica poco probable: impacto alto pero excepcional"),IF(AND(T2203&lt;1.5,X2203&lt;1),"Zona 3 — Asumible: impacto bajo y muy poco frecuente","Zona 2 — Atención: riesgo intermedio"))</f>
        <v/>
      </c>
      <c r="AB2203" s="64">
        <f>IFERROR(INDEX(MgAmenCtrl,MATCH(SUBSTITUTE($H2203,"*","-"),MgAmenClave,0)),"")</f>
        <v/>
      </c>
      <c r="AC2203" s="20" t="n"/>
      <c r="AD2203" s="31">
        <f>IFERROR($X2203*(1-IF($AC2203="",$AL2203,VLOOKUP($AC2203,MgMad,2,0))),"")</f>
        <v/>
      </c>
      <c r="AE2203" s="28">
        <f>IFERROR(LOOKUP(AD2203,{0;0.01;0.1;1;10;100},{"Muy baja";"Muy baja";"Baja";"Media";"Alta";"Muy alta"}),"")</f>
        <v/>
      </c>
      <c r="AF2203" s="30">
        <f>T2203*AD2203</f>
        <v/>
      </c>
      <c r="AG2203" s="28">
        <f>IFERROR(LOOKUP(AF2203,{0;0.5;5;25},{"Bajo";"Medio";"Alto";"Crítico"}),"")</f>
        <v/>
      </c>
      <c r="AH2203" s="28">
        <f>IF(AG2203="","",IF(OR(AG2203="Crítico",AG2203="Alto"),"Mitigar",IF(AG2203="Medio","Mitigar","Aceptar y monitorear")))</f>
        <v/>
      </c>
      <c r="AI2203" s="21" t="n"/>
      <c r="AJ2203" s="21" t="n"/>
      <c r="AK2203" s="20" t="n"/>
      <c r="AL2203" s="77">
        <f>IFERROR(INDEX(MgAmenEfic,MATCH(SUBSTITUTE($H2203,"*","-"),MgAmenClave,0)),0)</f>
        <v/>
      </c>
    </row>
    <row r="2204" hidden="1" ht="60" customHeight="1" s="54">
      <c r="B2204" s="59" t="inlineStr">
        <is>
          <t>R-2199</t>
        </is>
      </c>
      <c r="C2204" s="59" t="inlineStr">
        <is>
          <t>MS-04</t>
        </is>
      </c>
      <c r="D2204" s="64">
        <f>IFERROR(INDEX(MgNombre,MATCH($C2204,MgActId,0)),"")</f>
        <v/>
      </c>
      <c r="E2204" s="64">
        <f>IFERROR(INDEX(MgProceso,MATCH($C2204,MgActId,0)),"")</f>
        <v/>
      </c>
      <c r="F2204" s="64">
        <f>IFERROR(INDEX(MgTipo,MATCH($C2204,MgActId,0)),"")</f>
        <v/>
      </c>
      <c r="G2204" s="64">
        <f>IFERROR(INDEX(MgSubtipo,MATCH($C2204,MgActId,0)),"")</f>
        <v/>
      </c>
      <c r="H2204" s="59" t="inlineStr">
        <is>
          <t>E.9</t>
        </is>
      </c>
      <c r="I2204" s="64">
        <f>IFERROR(INDEX(MgAmenNombre,MATCH(SUBSTITUTE($H2204,"*","-"),MgAmenClave,0)),"")</f>
        <v/>
      </c>
      <c r="J2204" s="28">
        <f>IFERROR(INDEX(MgAmenGrupo,MATCH(SUBSTITUTE($H2204,"*","-"),MgAmenClave,0)),"")</f>
        <v/>
      </c>
      <c r="K2204" s="64">
        <f>IFERROR(INDEX('1. Matriz de Activos'!$Q$6:$Q$239,MATCH($C2204,MgActId,0)),"")</f>
        <v/>
      </c>
      <c r="L2204" s="64">
        <f>IFERROR(INDEX('1. Matriz de Activos'!$R$6:$R$239,MATCH($C2204,MgActId,0)),"")</f>
        <v/>
      </c>
      <c r="M2204" s="64">
        <f>IFERROR(INDEX('1. Matriz de Activos'!$S$6:$S$239,MATCH($C2204,MgActId,0)),"")</f>
        <v/>
      </c>
      <c r="N2204" s="28">
        <f>IFERROR(INDEX(MgAmenDegD,MATCH(SUBSTITUTE($H2204,"*","-"),MgAmenClave,0)),"No aplica")</f>
        <v/>
      </c>
      <c r="O2204" s="28">
        <f>IFERROR(INDEX(MgAmenDegI,MATCH(SUBSTITUTE($H2204,"*","-"),MgAmenClave,0)),"No aplica")</f>
        <v/>
      </c>
      <c r="P2204" s="28">
        <f>IFERROR(INDEX(MgAmenDegC,MATCH(SUBSTITUTE($H2204,"*","-"),MgAmenClave,0)),"No aplica")</f>
        <v/>
      </c>
      <c r="Q2204" s="29">
        <f>IFERROR(VLOOKUP(K2204,MgValor,2,0)*VLOOKUP(N2204,MgDeg,2,0),0)</f>
        <v/>
      </c>
      <c r="R2204" s="29">
        <f>IFERROR(VLOOKUP(L2204,MgValor,2,0)*VLOOKUP(O2204,MgDeg,2,0),0)</f>
        <v/>
      </c>
      <c r="S2204" s="29">
        <f>IFERROR(VLOOKUP(M2204,MgValor,2,0)*VLOOKUP(P2204,MgDeg,2,0),0)</f>
        <v/>
      </c>
      <c r="T2204" s="30">
        <f>MAX(Q2204:S2204)</f>
        <v/>
      </c>
      <c r="U2204" s="28">
        <f>IFERROR(LOOKUP(T2204,{0;0.5;1.5;3;4.5},{"Despreciable";"Bajo";"Medio";"Alto";"Muy alto"}),"")</f>
        <v/>
      </c>
      <c r="V2204" s="13">
        <f>IFERROR(INDEX(MgAmenFrec,MATCH(SUBSTITUTE($H2204,"*","-"),MgAmenClave,0)),"")</f>
        <v/>
      </c>
      <c r="W2204" s="28">
        <f>IFERROR(LOOKUP(X2204,{0;0.01;0.1;1;10;100},{"Muy baja";"Muy baja";"Baja";"Media";"Alta";"Muy alta"}),"")</f>
        <v/>
      </c>
      <c r="X2204" s="31">
        <f>IFERROR(VLOOKUP(V2204,MgFrec,2,0),0)</f>
        <v/>
      </c>
      <c r="Y2204" s="30">
        <f>T2204*X2204</f>
        <v/>
      </c>
      <c r="Z2204" s="28">
        <f>IFERROR(LOOKUP(Y2204,{0;0.5;5;25},{"Bajo";"Medio";"Alto";"Crítico"}),"")</f>
        <v/>
      </c>
      <c r="AA2204" s="64">
        <f>IF(T2204&gt;=3,IF(X2204&gt;=1,"Zona 1 — Crítica: impacto alto y ocurre al menos una vez al año","Zona 4 — Catastrófica poco probable: impacto alto pero excepcional"),IF(AND(T2204&lt;1.5,X2204&lt;1),"Zona 3 — Asumible: impacto bajo y muy poco frecuente","Zona 2 — Atención: riesgo intermedio"))</f>
        <v/>
      </c>
      <c r="AB2204" s="64">
        <f>IFERROR(INDEX(MgAmenCtrl,MATCH(SUBSTITUTE($H2204,"*","-"),MgAmenClave,0)),"")</f>
        <v/>
      </c>
      <c r="AC2204" s="20" t="n"/>
      <c r="AD2204" s="31">
        <f>IFERROR($X2204*(1-IF($AC2204="",$AL2204,VLOOKUP($AC2204,MgMad,2,0))),"")</f>
        <v/>
      </c>
      <c r="AE2204" s="28">
        <f>IFERROR(LOOKUP(AD2204,{0;0.01;0.1;1;10;100},{"Muy baja";"Muy baja";"Baja";"Media";"Alta";"Muy alta"}),"")</f>
        <v/>
      </c>
      <c r="AF2204" s="30">
        <f>T2204*AD2204</f>
        <v/>
      </c>
      <c r="AG2204" s="28">
        <f>IFERROR(LOOKUP(AF2204,{0;0.5;5;25},{"Bajo";"Medio";"Alto";"Crítico"}),"")</f>
        <v/>
      </c>
      <c r="AH2204" s="28">
        <f>IF(AG2204="","",IF(OR(AG2204="Crítico",AG2204="Alto"),"Mitigar",IF(AG2204="Medio","Mitigar","Aceptar y monitorear")))</f>
        <v/>
      </c>
      <c r="AI2204" s="21" t="n"/>
      <c r="AJ2204" s="21" t="n"/>
      <c r="AK2204" s="20" t="n"/>
      <c r="AL2204" s="77">
        <f>IFERROR(INDEX(MgAmenEfic,MATCH(SUBSTITUTE($H2204,"*","-"),MgAmenClave,0)),0)</f>
        <v/>
      </c>
    </row>
    <row r="2205" hidden="1" ht="90" customHeight="1" s="54">
      <c r="B2205" s="59" t="inlineStr">
        <is>
          <t>R-2200</t>
        </is>
      </c>
      <c r="C2205" s="59" t="inlineStr">
        <is>
          <t>MS-04</t>
        </is>
      </c>
      <c r="D2205" s="64">
        <f>IFERROR(INDEX(MgNombre,MATCH($C2205,MgActId,0)),"")</f>
        <v/>
      </c>
      <c r="E2205" s="64">
        <f>IFERROR(INDEX(MgProceso,MATCH($C2205,MgActId,0)),"")</f>
        <v/>
      </c>
      <c r="F2205" s="64">
        <f>IFERROR(INDEX(MgTipo,MATCH($C2205,MgActId,0)),"")</f>
        <v/>
      </c>
      <c r="G2205" s="64">
        <f>IFERROR(INDEX(MgSubtipo,MATCH($C2205,MgActId,0)),"")</f>
        <v/>
      </c>
      <c r="H2205" s="59" t="inlineStr">
        <is>
          <t>E.10</t>
        </is>
      </c>
      <c r="I2205" s="64">
        <f>IFERROR(INDEX(MgAmenNombre,MATCH(SUBSTITUTE($H2205,"*","-"),MgAmenClave,0)),"")</f>
        <v/>
      </c>
      <c r="J2205" s="28">
        <f>IFERROR(INDEX(MgAmenGrupo,MATCH(SUBSTITUTE($H2205,"*","-"),MgAmenClave,0)),"")</f>
        <v/>
      </c>
      <c r="K2205" s="64">
        <f>IFERROR(INDEX('1. Matriz de Activos'!$Q$6:$Q$239,MATCH($C2205,MgActId,0)),"")</f>
        <v/>
      </c>
      <c r="L2205" s="64">
        <f>IFERROR(INDEX('1. Matriz de Activos'!$R$6:$R$239,MATCH($C2205,MgActId,0)),"")</f>
        <v/>
      </c>
      <c r="M2205" s="64">
        <f>IFERROR(INDEX('1. Matriz de Activos'!$S$6:$S$239,MATCH($C2205,MgActId,0)),"")</f>
        <v/>
      </c>
      <c r="N2205" s="28">
        <f>IFERROR(INDEX(MgAmenDegD,MATCH(SUBSTITUTE($H2205,"*","-"),MgAmenClave,0)),"No aplica")</f>
        <v/>
      </c>
      <c r="O2205" s="28">
        <f>IFERROR(INDEX(MgAmenDegI,MATCH(SUBSTITUTE($H2205,"*","-"),MgAmenClave,0)),"No aplica")</f>
        <v/>
      </c>
      <c r="P2205" s="28">
        <f>IFERROR(INDEX(MgAmenDegC,MATCH(SUBSTITUTE($H2205,"*","-"),MgAmenClave,0)),"No aplica")</f>
        <v/>
      </c>
      <c r="Q2205" s="29">
        <f>IFERROR(VLOOKUP(K2205,MgValor,2,0)*VLOOKUP(N2205,MgDeg,2,0),0)</f>
        <v/>
      </c>
      <c r="R2205" s="29">
        <f>IFERROR(VLOOKUP(L2205,MgValor,2,0)*VLOOKUP(O2205,MgDeg,2,0),0)</f>
        <v/>
      </c>
      <c r="S2205" s="29">
        <f>IFERROR(VLOOKUP(M2205,MgValor,2,0)*VLOOKUP(P2205,MgDeg,2,0),0)</f>
        <v/>
      </c>
      <c r="T2205" s="30">
        <f>MAX(Q2205:S2205)</f>
        <v/>
      </c>
      <c r="U2205" s="28">
        <f>IFERROR(LOOKUP(T2205,{0;0.5;1.5;3;4.5},{"Despreciable";"Bajo";"Medio";"Alto";"Muy alto"}),"")</f>
        <v/>
      </c>
      <c r="V2205" s="13">
        <f>IFERROR(INDEX(MgAmenFrec,MATCH(SUBSTITUTE($H2205,"*","-"),MgAmenClave,0)),"")</f>
        <v/>
      </c>
      <c r="W2205" s="28">
        <f>IFERROR(LOOKUP(X2205,{0;0.01;0.1;1;10;100},{"Muy baja";"Muy baja";"Baja";"Media";"Alta";"Muy alta"}),"")</f>
        <v/>
      </c>
      <c r="X2205" s="31">
        <f>IFERROR(VLOOKUP(V2205,MgFrec,2,0),0)</f>
        <v/>
      </c>
      <c r="Y2205" s="30">
        <f>T2205*X2205</f>
        <v/>
      </c>
      <c r="Z2205" s="28">
        <f>IFERROR(LOOKUP(Y2205,{0;0.5;5;25},{"Bajo";"Medio";"Alto";"Crítico"}),"")</f>
        <v/>
      </c>
      <c r="AA2205" s="64">
        <f>IF(T2205&gt;=3,IF(X2205&gt;=1,"Zona 1 — Crítica: impacto alto y ocurre al menos una vez al año","Zona 4 — Catastrófica poco probable: impacto alto pero excepcional"),IF(AND(T2205&lt;1.5,X2205&lt;1),"Zona 3 — Asumible: impacto bajo y muy poco frecuente","Zona 2 — Atención: riesgo intermedio"))</f>
        <v/>
      </c>
      <c r="AB2205" s="64">
        <f>IFERROR(INDEX(MgAmenCtrl,MATCH(SUBSTITUTE($H2205,"*","-"),MgAmenClave,0)),"")</f>
        <v/>
      </c>
      <c r="AC2205" s="20" t="n"/>
      <c r="AD2205" s="31">
        <f>IFERROR($X2205*(1-IF($AC2205="",$AL2205,VLOOKUP($AC2205,MgMad,2,0))),"")</f>
        <v/>
      </c>
      <c r="AE2205" s="28">
        <f>IFERROR(LOOKUP(AD2205,{0;0.01;0.1;1;10;100},{"Muy baja";"Muy baja";"Baja";"Media";"Alta";"Muy alta"}),"")</f>
        <v/>
      </c>
      <c r="AF2205" s="30">
        <f>T2205*AD2205</f>
        <v/>
      </c>
      <c r="AG2205" s="28">
        <f>IFERROR(LOOKUP(AF2205,{0;0.5;5;25},{"Bajo";"Medio";"Alto";"Crítico"}),"")</f>
        <v/>
      </c>
      <c r="AH2205" s="28">
        <f>IF(AG2205="","",IF(OR(AG2205="Crítico",AG2205="Alto"),"Mitigar",IF(AG2205="Medio","Mitigar","Aceptar y monitorear")))</f>
        <v/>
      </c>
      <c r="AI2205" s="21" t="n"/>
      <c r="AJ2205" s="21" t="n"/>
      <c r="AK2205" s="20" t="n"/>
      <c r="AL2205" s="77">
        <f>IFERROR(INDEX(MgAmenEfic,MATCH(SUBSTITUTE($H2205,"*","-"),MgAmenClave,0)),0)</f>
        <v/>
      </c>
    </row>
    <row r="2206" hidden="1" ht="90" customHeight="1" s="54">
      <c r="B2206" s="59" t="inlineStr">
        <is>
          <t>R-2201</t>
        </is>
      </c>
      <c r="C2206" s="59" t="inlineStr">
        <is>
          <t>MS-04</t>
        </is>
      </c>
      <c r="D2206" s="64">
        <f>IFERROR(INDEX(MgNombre,MATCH($C2206,MgActId,0)),"")</f>
        <v/>
      </c>
      <c r="E2206" s="64">
        <f>IFERROR(INDEX(MgProceso,MATCH($C2206,MgActId,0)),"")</f>
        <v/>
      </c>
      <c r="F2206" s="64">
        <f>IFERROR(INDEX(MgTipo,MATCH($C2206,MgActId,0)),"")</f>
        <v/>
      </c>
      <c r="G2206" s="64">
        <f>IFERROR(INDEX(MgSubtipo,MATCH($C2206,MgActId,0)),"")</f>
        <v/>
      </c>
      <c r="H2206" s="59" t="inlineStr">
        <is>
          <t>E.14</t>
        </is>
      </c>
      <c r="I2206" s="64">
        <f>IFERROR(INDEX(MgAmenNombre,MATCH(SUBSTITUTE($H2206,"*","-"),MgAmenClave,0)),"")</f>
        <v/>
      </c>
      <c r="J2206" s="28">
        <f>IFERROR(INDEX(MgAmenGrupo,MATCH(SUBSTITUTE($H2206,"*","-"),MgAmenClave,0)),"")</f>
        <v/>
      </c>
      <c r="K2206" s="64">
        <f>IFERROR(INDEX('1. Matriz de Activos'!$Q$6:$Q$239,MATCH($C2206,MgActId,0)),"")</f>
        <v/>
      </c>
      <c r="L2206" s="64">
        <f>IFERROR(INDEX('1. Matriz de Activos'!$R$6:$R$239,MATCH($C2206,MgActId,0)),"")</f>
        <v/>
      </c>
      <c r="M2206" s="64">
        <f>IFERROR(INDEX('1. Matriz de Activos'!$S$6:$S$239,MATCH($C2206,MgActId,0)),"")</f>
        <v/>
      </c>
      <c r="N2206" s="28">
        <f>IFERROR(INDEX(MgAmenDegD,MATCH(SUBSTITUTE($H2206,"*","-"),MgAmenClave,0)),"No aplica")</f>
        <v/>
      </c>
      <c r="O2206" s="28">
        <f>IFERROR(INDEX(MgAmenDegI,MATCH(SUBSTITUTE($H2206,"*","-"),MgAmenClave,0)),"No aplica")</f>
        <v/>
      </c>
      <c r="P2206" s="28">
        <f>IFERROR(INDEX(MgAmenDegC,MATCH(SUBSTITUTE($H2206,"*","-"),MgAmenClave,0)),"No aplica")</f>
        <v/>
      </c>
      <c r="Q2206" s="29">
        <f>IFERROR(VLOOKUP(K2206,MgValor,2,0)*VLOOKUP(N2206,MgDeg,2,0),0)</f>
        <v/>
      </c>
      <c r="R2206" s="29">
        <f>IFERROR(VLOOKUP(L2206,MgValor,2,0)*VLOOKUP(O2206,MgDeg,2,0),0)</f>
        <v/>
      </c>
      <c r="S2206" s="29">
        <f>IFERROR(VLOOKUP(M2206,MgValor,2,0)*VLOOKUP(P2206,MgDeg,2,0),0)</f>
        <v/>
      </c>
      <c r="T2206" s="30">
        <f>MAX(Q2206:S2206)</f>
        <v/>
      </c>
      <c r="U2206" s="28">
        <f>IFERROR(LOOKUP(T2206,{0;0.5;1.5;3;4.5},{"Despreciable";"Bajo";"Medio";"Alto";"Muy alto"}),"")</f>
        <v/>
      </c>
      <c r="V2206" s="13">
        <f>IFERROR(INDEX(MgAmenFrec,MATCH(SUBSTITUTE($H2206,"*","-"),MgAmenClave,0)),"")</f>
        <v/>
      </c>
      <c r="W2206" s="28">
        <f>IFERROR(LOOKUP(X2206,{0;0.01;0.1;1;10;100},{"Muy baja";"Muy baja";"Baja";"Media";"Alta";"Muy alta"}),"")</f>
        <v/>
      </c>
      <c r="X2206" s="31">
        <f>IFERROR(VLOOKUP(V2206,MgFrec,2,0),0)</f>
        <v/>
      </c>
      <c r="Y2206" s="30">
        <f>T2206*X2206</f>
        <v/>
      </c>
      <c r="Z2206" s="28">
        <f>IFERROR(LOOKUP(Y2206,{0;0.5;5;25},{"Bajo";"Medio";"Alto";"Crítico"}),"")</f>
        <v/>
      </c>
      <c r="AA2206" s="64">
        <f>IF(T2206&gt;=3,IF(X2206&gt;=1,"Zona 1 — Crítica: impacto alto y ocurre al menos una vez al año","Zona 4 — Catastrófica poco probable: impacto alto pero excepcional"),IF(AND(T2206&lt;1.5,X2206&lt;1),"Zona 3 — Asumible: impacto bajo y muy poco frecuente","Zona 2 — Atención: riesgo intermedio"))</f>
        <v/>
      </c>
      <c r="AB2206" s="64">
        <f>IFERROR(INDEX(MgAmenCtrl,MATCH(SUBSTITUTE($H2206,"*","-"),MgAmenClave,0)),"")</f>
        <v/>
      </c>
      <c r="AC2206" s="20" t="n"/>
      <c r="AD2206" s="31">
        <f>IFERROR($X2206*(1-IF($AC2206="",$AL2206,VLOOKUP($AC2206,MgMad,2,0))),"")</f>
        <v/>
      </c>
      <c r="AE2206" s="28">
        <f>IFERROR(LOOKUP(AD2206,{0;0.01;0.1;1;10;100},{"Muy baja";"Muy baja";"Baja";"Media";"Alta";"Muy alta"}),"")</f>
        <v/>
      </c>
      <c r="AF2206" s="30">
        <f>T2206*AD2206</f>
        <v/>
      </c>
      <c r="AG2206" s="28">
        <f>IFERROR(LOOKUP(AF2206,{0;0.5;5;25},{"Bajo";"Medio";"Alto";"Crítico"}),"")</f>
        <v/>
      </c>
      <c r="AH2206" s="28">
        <f>IF(AG2206="","",IF(OR(AG2206="Crítico",AG2206="Alto"),"Mitigar",IF(AG2206="Medio","Mitigar","Aceptar y monitorear")))</f>
        <v/>
      </c>
      <c r="AI2206" s="21" t="n"/>
      <c r="AJ2206" s="21" t="n"/>
      <c r="AK2206" s="20" t="n"/>
      <c r="AL2206" s="77">
        <f>IFERROR(INDEX(MgAmenEfic,MATCH(SUBSTITUTE($H2206,"*","-"),MgAmenClave,0)),0)</f>
        <v/>
      </c>
    </row>
    <row r="2207" hidden="1" ht="90" customHeight="1" s="54">
      <c r="B2207" s="59" t="inlineStr">
        <is>
          <t>R-2202</t>
        </is>
      </c>
      <c r="C2207" s="59" t="inlineStr">
        <is>
          <t>MS-04</t>
        </is>
      </c>
      <c r="D2207" s="64">
        <f>IFERROR(INDEX(MgNombre,MATCH($C2207,MgActId,0)),"")</f>
        <v/>
      </c>
      <c r="E2207" s="64">
        <f>IFERROR(INDEX(MgProceso,MATCH($C2207,MgActId,0)),"")</f>
        <v/>
      </c>
      <c r="F2207" s="64">
        <f>IFERROR(INDEX(MgTipo,MATCH($C2207,MgActId,0)),"")</f>
        <v/>
      </c>
      <c r="G2207" s="64">
        <f>IFERROR(INDEX(MgSubtipo,MATCH($C2207,MgActId,0)),"")</f>
        <v/>
      </c>
      <c r="H2207" s="59" t="inlineStr">
        <is>
          <t>E.15</t>
        </is>
      </c>
      <c r="I2207" s="64">
        <f>IFERROR(INDEX(MgAmenNombre,MATCH(SUBSTITUTE($H2207,"*","-"),MgAmenClave,0)),"")</f>
        <v/>
      </c>
      <c r="J2207" s="28">
        <f>IFERROR(INDEX(MgAmenGrupo,MATCH(SUBSTITUTE($H2207,"*","-"),MgAmenClave,0)),"")</f>
        <v/>
      </c>
      <c r="K2207" s="64">
        <f>IFERROR(INDEX('1. Matriz de Activos'!$Q$6:$Q$239,MATCH($C2207,MgActId,0)),"")</f>
        <v/>
      </c>
      <c r="L2207" s="64">
        <f>IFERROR(INDEX('1. Matriz de Activos'!$R$6:$R$239,MATCH($C2207,MgActId,0)),"")</f>
        <v/>
      </c>
      <c r="M2207" s="64">
        <f>IFERROR(INDEX('1. Matriz de Activos'!$S$6:$S$239,MATCH($C2207,MgActId,0)),"")</f>
        <v/>
      </c>
      <c r="N2207" s="28">
        <f>IFERROR(INDEX(MgAmenDegD,MATCH(SUBSTITUTE($H2207,"*","-"),MgAmenClave,0)),"No aplica")</f>
        <v/>
      </c>
      <c r="O2207" s="28">
        <f>IFERROR(INDEX(MgAmenDegI,MATCH(SUBSTITUTE($H2207,"*","-"),MgAmenClave,0)),"No aplica")</f>
        <v/>
      </c>
      <c r="P2207" s="28">
        <f>IFERROR(INDEX(MgAmenDegC,MATCH(SUBSTITUTE($H2207,"*","-"),MgAmenClave,0)),"No aplica")</f>
        <v/>
      </c>
      <c r="Q2207" s="29">
        <f>IFERROR(VLOOKUP(K2207,MgValor,2,0)*VLOOKUP(N2207,MgDeg,2,0),0)</f>
        <v/>
      </c>
      <c r="R2207" s="29">
        <f>IFERROR(VLOOKUP(L2207,MgValor,2,0)*VLOOKUP(O2207,MgDeg,2,0),0)</f>
        <v/>
      </c>
      <c r="S2207" s="29">
        <f>IFERROR(VLOOKUP(M2207,MgValor,2,0)*VLOOKUP(P2207,MgDeg,2,0),0)</f>
        <v/>
      </c>
      <c r="T2207" s="30">
        <f>MAX(Q2207:S2207)</f>
        <v/>
      </c>
      <c r="U2207" s="28">
        <f>IFERROR(LOOKUP(T2207,{0;0.5;1.5;3;4.5},{"Despreciable";"Bajo";"Medio";"Alto";"Muy alto"}),"")</f>
        <v/>
      </c>
      <c r="V2207" s="13">
        <f>IFERROR(INDEX(MgAmenFrec,MATCH(SUBSTITUTE($H2207,"*","-"),MgAmenClave,0)),"")</f>
        <v/>
      </c>
      <c r="W2207" s="28">
        <f>IFERROR(LOOKUP(X2207,{0;0.01;0.1;1;10;100},{"Muy baja";"Muy baja";"Baja";"Media";"Alta";"Muy alta"}),"")</f>
        <v/>
      </c>
      <c r="X2207" s="31">
        <f>IFERROR(VLOOKUP(V2207,MgFrec,2,0),0)</f>
        <v/>
      </c>
      <c r="Y2207" s="30">
        <f>T2207*X2207</f>
        <v/>
      </c>
      <c r="Z2207" s="28">
        <f>IFERROR(LOOKUP(Y2207,{0;0.5;5;25},{"Bajo";"Medio";"Alto";"Crítico"}),"")</f>
        <v/>
      </c>
      <c r="AA2207" s="64">
        <f>IF(T2207&gt;=3,IF(X2207&gt;=1,"Zona 1 — Crítica: impacto alto y ocurre al menos una vez al año","Zona 4 — Catastrófica poco probable: impacto alto pero excepcional"),IF(AND(T2207&lt;1.5,X2207&lt;1),"Zona 3 — Asumible: impacto bajo y muy poco frecuente","Zona 2 — Atención: riesgo intermedio"))</f>
        <v/>
      </c>
      <c r="AB2207" s="64">
        <f>IFERROR(INDEX(MgAmenCtrl,MATCH(SUBSTITUTE($H2207,"*","-"),MgAmenClave,0)),"")</f>
        <v/>
      </c>
      <c r="AC2207" s="20" t="n"/>
      <c r="AD2207" s="31">
        <f>IFERROR($X2207*(1-IF($AC2207="",$AL2207,VLOOKUP($AC2207,MgMad,2,0))),"")</f>
        <v/>
      </c>
      <c r="AE2207" s="28">
        <f>IFERROR(LOOKUP(AD2207,{0;0.01;0.1;1;10;100},{"Muy baja";"Muy baja";"Baja";"Media";"Alta";"Muy alta"}),"")</f>
        <v/>
      </c>
      <c r="AF2207" s="30">
        <f>T2207*AD2207</f>
        <v/>
      </c>
      <c r="AG2207" s="28">
        <f>IFERROR(LOOKUP(AF2207,{0;0.5;5;25},{"Bajo";"Medio";"Alto";"Crítico"}),"")</f>
        <v/>
      </c>
      <c r="AH2207" s="28">
        <f>IF(AG2207="","",IF(OR(AG2207="Crítico",AG2207="Alto"),"Mitigar",IF(AG2207="Medio","Mitigar","Aceptar y monitorear")))</f>
        <v/>
      </c>
      <c r="AI2207" s="21" t="n"/>
      <c r="AJ2207" s="21" t="n"/>
      <c r="AK2207" s="20" t="n"/>
      <c r="AL2207" s="77">
        <f>IFERROR(INDEX(MgAmenEfic,MATCH(SUBSTITUTE($H2207,"*","-"),MgAmenClave,0)),0)</f>
        <v/>
      </c>
    </row>
    <row r="2208" hidden="1" ht="60" customHeight="1" s="54">
      <c r="B2208" s="59" t="inlineStr">
        <is>
          <t>R-2203</t>
        </is>
      </c>
      <c r="C2208" s="59" t="inlineStr">
        <is>
          <t>MS-04</t>
        </is>
      </c>
      <c r="D2208" s="64">
        <f>IFERROR(INDEX(MgNombre,MATCH($C2208,MgActId,0)),"")</f>
        <v/>
      </c>
      <c r="E2208" s="64">
        <f>IFERROR(INDEX(MgProceso,MATCH($C2208,MgActId,0)),"")</f>
        <v/>
      </c>
      <c r="F2208" s="64">
        <f>IFERROR(INDEX(MgTipo,MATCH($C2208,MgActId,0)),"")</f>
        <v/>
      </c>
      <c r="G2208" s="64">
        <f>IFERROR(INDEX(MgSubtipo,MATCH($C2208,MgActId,0)),"")</f>
        <v/>
      </c>
      <c r="H2208" s="59" t="inlineStr">
        <is>
          <t>E.18</t>
        </is>
      </c>
      <c r="I2208" s="64">
        <f>IFERROR(INDEX(MgAmenNombre,MATCH(SUBSTITUTE($H2208,"*","-"),MgAmenClave,0)),"")</f>
        <v/>
      </c>
      <c r="J2208" s="28">
        <f>IFERROR(INDEX(MgAmenGrupo,MATCH(SUBSTITUTE($H2208,"*","-"),MgAmenClave,0)),"")</f>
        <v/>
      </c>
      <c r="K2208" s="64">
        <f>IFERROR(INDEX('1. Matriz de Activos'!$Q$6:$Q$239,MATCH($C2208,MgActId,0)),"")</f>
        <v/>
      </c>
      <c r="L2208" s="64">
        <f>IFERROR(INDEX('1. Matriz de Activos'!$R$6:$R$239,MATCH($C2208,MgActId,0)),"")</f>
        <v/>
      </c>
      <c r="M2208" s="64">
        <f>IFERROR(INDEX('1. Matriz de Activos'!$S$6:$S$239,MATCH($C2208,MgActId,0)),"")</f>
        <v/>
      </c>
      <c r="N2208" s="28">
        <f>IFERROR(INDEX(MgAmenDegD,MATCH(SUBSTITUTE($H2208,"*","-"),MgAmenClave,0)),"No aplica")</f>
        <v/>
      </c>
      <c r="O2208" s="28">
        <f>IFERROR(INDEX(MgAmenDegI,MATCH(SUBSTITUTE($H2208,"*","-"),MgAmenClave,0)),"No aplica")</f>
        <v/>
      </c>
      <c r="P2208" s="28">
        <f>IFERROR(INDEX(MgAmenDegC,MATCH(SUBSTITUTE($H2208,"*","-"),MgAmenClave,0)),"No aplica")</f>
        <v/>
      </c>
      <c r="Q2208" s="29">
        <f>IFERROR(VLOOKUP(K2208,MgValor,2,0)*VLOOKUP(N2208,MgDeg,2,0),0)</f>
        <v/>
      </c>
      <c r="R2208" s="29">
        <f>IFERROR(VLOOKUP(L2208,MgValor,2,0)*VLOOKUP(O2208,MgDeg,2,0),0)</f>
        <v/>
      </c>
      <c r="S2208" s="29">
        <f>IFERROR(VLOOKUP(M2208,MgValor,2,0)*VLOOKUP(P2208,MgDeg,2,0),0)</f>
        <v/>
      </c>
      <c r="T2208" s="30">
        <f>MAX(Q2208:S2208)</f>
        <v/>
      </c>
      <c r="U2208" s="28">
        <f>IFERROR(LOOKUP(T2208,{0;0.5;1.5;3;4.5},{"Despreciable";"Bajo";"Medio";"Alto";"Muy alto"}),"")</f>
        <v/>
      </c>
      <c r="V2208" s="13">
        <f>IFERROR(INDEX(MgAmenFrec,MATCH(SUBSTITUTE($H2208,"*","-"),MgAmenClave,0)),"")</f>
        <v/>
      </c>
      <c r="W2208" s="28">
        <f>IFERROR(LOOKUP(X2208,{0;0.01;0.1;1;10;100},{"Muy baja";"Muy baja";"Baja";"Media";"Alta";"Muy alta"}),"")</f>
        <v/>
      </c>
      <c r="X2208" s="31">
        <f>IFERROR(VLOOKUP(V2208,MgFrec,2,0),0)</f>
        <v/>
      </c>
      <c r="Y2208" s="30">
        <f>T2208*X2208</f>
        <v/>
      </c>
      <c r="Z2208" s="28">
        <f>IFERROR(LOOKUP(Y2208,{0;0.5;5;25},{"Bajo";"Medio";"Alto";"Crítico"}),"")</f>
        <v/>
      </c>
      <c r="AA2208" s="64">
        <f>IF(T2208&gt;=3,IF(X2208&gt;=1,"Zona 1 — Crítica: impacto alto y ocurre al menos una vez al año","Zona 4 — Catastrófica poco probable: impacto alto pero excepcional"),IF(AND(T2208&lt;1.5,X2208&lt;1),"Zona 3 — Asumible: impacto bajo y muy poco frecuente","Zona 2 — Atención: riesgo intermedio"))</f>
        <v/>
      </c>
      <c r="AB2208" s="64">
        <f>IFERROR(INDEX(MgAmenCtrl,MATCH(SUBSTITUTE($H2208,"*","-"),MgAmenClave,0)),"")</f>
        <v/>
      </c>
      <c r="AC2208" s="20" t="n"/>
      <c r="AD2208" s="31">
        <f>IFERROR($X2208*(1-IF($AC2208="",$AL2208,VLOOKUP($AC2208,MgMad,2,0))),"")</f>
        <v/>
      </c>
      <c r="AE2208" s="28">
        <f>IFERROR(LOOKUP(AD2208,{0;0.01;0.1;1;10;100},{"Muy baja";"Muy baja";"Baja";"Media";"Alta";"Muy alta"}),"")</f>
        <v/>
      </c>
      <c r="AF2208" s="30">
        <f>T2208*AD2208</f>
        <v/>
      </c>
      <c r="AG2208" s="28">
        <f>IFERROR(LOOKUP(AF2208,{0;0.5;5;25},{"Bajo";"Medio";"Alto";"Crítico"}),"")</f>
        <v/>
      </c>
      <c r="AH2208" s="28">
        <f>IF(AG2208="","",IF(OR(AG2208="Crítico",AG2208="Alto"),"Mitigar",IF(AG2208="Medio","Mitigar","Aceptar y monitorear")))</f>
        <v/>
      </c>
      <c r="AI2208" s="21" t="n"/>
      <c r="AJ2208" s="21" t="n"/>
      <c r="AK2208" s="20" t="n"/>
      <c r="AL2208" s="77">
        <f>IFERROR(INDEX(MgAmenEfic,MATCH(SUBSTITUTE($H2208,"*","-"),MgAmenClave,0)),0)</f>
        <v/>
      </c>
    </row>
    <row r="2209" hidden="1" ht="105" customHeight="1" s="54">
      <c r="B2209" s="59" t="inlineStr">
        <is>
          <t>R-2204</t>
        </is>
      </c>
      <c r="C2209" s="59" t="inlineStr">
        <is>
          <t>MS-04</t>
        </is>
      </c>
      <c r="D2209" s="64">
        <f>IFERROR(INDEX(MgNombre,MATCH($C2209,MgActId,0)),"")</f>
        <v/>
      </c>
      <c r="E2209" s="64">
        <f>IFERROR(INDEX(MgProceso,MATCH($C2209,MgActId,0)),"")</f>
        <v/>
      </c>
      <c r="F2209" s="64">
        <f>IFERROR(INDEX(MgTipo,MATCH($C2209,MgActId,0)),"")</f>
        <v/>
      </c>
      <c r="G2209" s="64">
        <f>IFERROR(INDEX(MgSubtipo,MATCH($C2209,MgActId,0)),"")</f>
        <v/>
      </c>
      <c r="H2209" s="59" t="inlineStr">
        <is>
          <t>E.19</t>
        </is>
      </c>
      <c r="I2209" s="64">
        <f>IFERROR(INDEX(MgAmenNombre,MATCH(SUBSTITUTE($H2209,"*","-"),MgAmenClave,0)),"")</f>
        <v/>
      </c>
      <c r="J2209" s="28">
        <f>IFERROR(INDEX(MgAmenGrupo,MATCH(SUBSTITUTE($H2209,"*","-"),MgAmenClave,0)),"")</f>
        <v/>
      </c>
      <c r="K2209" s="64">
        <f>IFERROR(INDEX('1. Matriz de Activos'!$Q$6:$Q$239,MATCH($C2209,MgActId,0)),"")</f>
        <v/>
      </c>
      <c r="L2209" s="64">
        <f>IFERROR(INDEX('1. Matriz de Activos'!$R$6:$R$239,MATCH($C2209,MgActId,0)),"")</f>
        <v/>
      </c>
      <c r="M2209" s="64">
        <f>IFERROR(INDEX('1. Matriz de Activos'!$S$6:$S$239,MATCH($C2209,MgActId,0)),"")</f>
        <v/>
      </c>
      <c r="N2209" s="28">
        <f>IFERROR(INDEX(MgAmenDegD,MATCH(SUBSTITUTE($H2209,"*","-"),MgAmenClave,0)),"No aplica")</f>
        <v/>
      </c>
      <c r="O2209" s="28">
        <f>IFERROR(INDEX(MgAmenDegI,MATCH(SUBSTITUTE($H2209,"*","-"),MgAmenClave,0)),"No aplica")</f>
        <v/>
      </c>
      <c r="P2209" s="28">
        <f>IFERROR(INDEX(MgAmenDegC,MATCH(SUBSTITUTE($H2209,"*","-"),MgAmenClave,0)),"No aplica")</f>
        <v/>
      </c>
      <c r="Q2209" s="29">
        <f>IFERROR(VLOOKUP(K2209,MgValor,2,0)*VLOOKUP(N2209,MgDeg,2,0),0)</f>
        <v/>
      </c>
      <c r="R2209" s="29">
        <f>IFERROR(VLOOKUP(L2209,MgValor,2,0)*VLOOKUP(O2209,MgDeg,2,0),0)</f>
        <v/>
      </c>
      <c r="S2209" s="29">
        <f>IFERROR(VLOOKUP(M2209,MgValor,2,0)*VLOOKUP(P2209,MgDeg,2,0),0)</f>
        <v/>
      </c>
      <c r="T2209" s="30">
        <f>MAX(Q2209:S2209)</f>
        <v/>
      </c>
      <c r="U2209" s="28">
        <f>IFERROR(LOOKUP(T2209,{0;0.5;1.5;3;4.5},{"Despreciable";"Bajo";"Medio";"Alto";"Muy alto"}),"")</f>
        <v/>
      </c>
      <c r="V2209" s="13">
        <f>IFERROR(INDEX(MgAmenFrec,MATCH(SUBSTITUTE($H2209,"*","-"),MgAmenClave,0)),"")</f>
        <v/>
      </c>
      <c r="W2209" s="28">
        <f>IFERROR(LOOKUP(X2209,{0;0.01;0.1;1;10;100},{"Muy baja";"Muy baja";"Baja";"Media";"Alta";"Muy alta"}),"")</f>
        <v/>
      </c>
      <c r="X2209" s="31">
        <f>IFERROR(VLOOKUP(V2209,MgFrec,2,0),0)</f>
        <v/>
      </c>
      <c r="Y2209" s="30">
        <f>T2209*X2209</f>
        <v/>
      </c>
      <c r="Z2209" s="28">
        <f>IFERROR(LOOKUP(Y2209,{0;0.5;5;25},{"Bajo";"Medio";"Alto";"Crítico"}),"")</f>
        <v/>
      </c>
      <c r="AA2209" s="64">
        <f>IF(T2209&gt;=3,IF(X2209&gt;=1,"Zona 1 — Crítica: impacto alto y ocurre al menos una vez al año","Zona 4 — Catastrófica poco probable: impacto alto pero excepcional"),IF(AND(T2209&lt;1.5,X2209&lt;1),"Zona 3 — Asumible: impacto bajo y muy poco frecuente","Zona 2 — Atención: riesgo intermedio"))</f>
        <v/>
      </c>
      <c r="AB2209" s="64">
        <f>IFERROR(INDEX(MgAmenCtrl,MATCH(SUBSTITUTE($H2209,"*","-"),MgAmenClave,0)),"")</f>
        <v/>
      </c>
      <c r="AC2209" s="20" t="n"/>
      <c r="AD2209" s="31">
        <f>IFERROR($X2209*(1-IF($AC2209="",$AL2209,VLOOKUP($AC2209,MgMad,2,0))),"")</f>
        <v/>
      </c>
      <c r="AE2209" s="28">
        <f>IFERROR(LOOKUP(AD2209,{0;0.01;0.1;1;10;100},{"Muy baja";"Muy baja";"Baja";"Media";"Alta";"Muy alta"}),"")</f>
        <v/>
      </c>
      <c r="AF2209" s="30">
        <f>T2209*AD2209</f>
        <v/>
      </c>
      <c r="AG2209" s="28">
        <f>IFERROR(LOOKUP(AF2209,{0;0.5;5;25},{"Bajo";"Medio";"Alto";"Crítico"}),"")</f>
        <v/>
      </c>
      <c r="AH2209" s="28">
        <f>IF(AG2209="","",IF(OR(AG2209="Crítico",AG2209="Alto"),"Mitigar",IF(AG2209="Medio","Mitigar","Aceptar y monitorear")))</f>
        <v/>
      </c>
      <c r="AI2209" s="21" t="n"/>
      <c r="AJ2209" s="21" t="n"/>
      <c r="AK2209" s="20" t="n"/>
      <c r="AL2209" s="77">
        <f>IFERROR(INDEX(MgAmenEfic,MATCH(SUBSTITUTE($H2209,"*","-"),MgAmenClave,0)),0)</f>
        <v/>
      </c>
    </row>
    <row r="2210" hidden="1" ht="45" customHeight="1" s="54">
      <c r="B2210" s="59" t="inlineStr">
        <is>
          <t>R-2205</t>
        </is>
      </c>
      <c r="C2210" s="59" t="inlineStr">
        <is>
          <t>MS-04</t>
        </is>
      </c>
      <c r="D2210" s="64">
        <f>IFERROR(INDEX(MgNombre,MATCH($C2210,MgActId,0)),"")</f>
        <v/>
      </c>
      <c r="E2210" s="64">
        <f>IFERROR(INDEX(MgProceso,MATCH($C2210,MgActId,0)),"")</f>
        <v/>
      </c>
      <c r="F2210" s="64">
        <f>IFERROR(INDEX(MgTipo,MATCH($C2210,MgActId,0)),"")</f>
        <v/>
      </c>
      <c r="G2210" s="64">
        <f>IFERROR(INDEX(MgSubtipo,MATCH($C2210,MgActId,0)),"")</f>
        <v/>
      </c>
      <c r="H2210" s="59" t="inlineStr">
        <is>
          <t>E.24</t>
        </is>
      </c>
      <c r="I2210" s="64">
        <f>IFERROR(INDEX(MgAmenNombre,MATCH(SUBSTITUTE($H2210,"*","-"),MgAmenClave,0)),"")</f>
        <v/>
      </c>
      <c r="J2210" s="28">
        <f>IFERROR(INDEX(MgAmenGrupo,MATCH(SUBSTITUTE($H2210,"*","-"),MgAmenClave,0)),"")</f>
        <v/>
      </c>
      <c r="K2210" s="64">
        <f>IFERROR(INDEX('1. Matriz de Activos'!$Q$6:$Q$239,MATCH($C2210,MgActId,0)),"")</f>
        <v/>
      </c>
      <c r="L2210" s="64">
        <f>IFERROR(INDEX('1. Matriz de Activos'!$R$6:$R$239,MATCH($C2210,MgActId,0)),"")</f>
        <v/>
      </c>
      <c r="M2210" s="64">
        <f>IFERROR(INDEX('1. Matriz de Activos'!$S$6:$S$239,MATCH($C2210,MgActId,0)),"")</f>
        <v/>
      </c>
      <c r="N2210" s="28">
        <f>IFERROR(INDEX(MgAmenDegD,MATCH(SUBSTITUTE($H2210,"*","-"),MgAmenClave,0)),"No aplica")</f>
        <v/>
      </c>
      <c r="O2210" s="28">
        <f>IFERROR(INDEX(MgAmenDegI,MATCH(SUBSTITUTE($H2210,"*","-"),MgAmenClave,0)),"No aplica")</f>
        <v/>
      </c>
      <c r="P2210" s="28">
        <f>IFERROR(INDEX(MgAmenDegC,MATCH(SUBSTITUTE($H2210,"*","-"),MgAmenClave,0)),"No aplica")</f>
        <v/>
      </c>
      <c r="Q2210" s="29">
        <f>IFERROR(VLOOKUP(K2210,MgValor,2,0)*VLOOKUP(N2210,MgDeg,2,0),0)</f>
        <v/>
      </c>
      <c r="R2210" s="29">
        <f>IFERROR(VLOOKUP(L2210,MgValor,2,0)*VLOOKUP(O2210,MgDeg,2,0),0)</f>
        <v/>
      </c>
      <c r="S2210" s="29">
        <f>IFERROR(VLOOKUP(M2210,MgValor,2,0)*VLOOKUP(P2210,MgDeg,2,0),0)</f>
        <v/>
      </c>
      <c r="T2210" s="30">
        <f>MAX(Q2210:S2210)</f>
        <v/>
      </c>
      <c r="U2210" s="28">
        <f>IFERROR(LOOKUP(T2210,{0;0.5;1.5;3;4.5},{"Despreciable";"Bajo";"Medio";"Alto";"Muy alto"}),"")</f>
        <v/>
      </c>
      <c r="V2210" s="13">
        <f>IFERROR(INDEX(MgAmenFrec,MATCH(SUBSTITUTE($H2210,"*","-"),MgAmenClave,0)),"")</f>
        <v/>
      </c>
      <c r="W2210" s="28">
        <f>IFERROR(LOOKUP(X2210,{0;0.01;0.1;1;10;100},{"Muy baja";"Muy baja";"Baja";"Media";"Alta";"Muy alta"}),"")</f>
        <v/>
      </c>
      <c r="X2210" s="31">
        <f>IFERROR(VLOOKUP(V2210,MgFrec,2,0),0)</f>
        <v/>
      </c>
      <c r="Y2210" s="30">
        <f>T2210*X2210</f>
        <v/>
      </c>
      <c r="Z2210" s="28">
        <f>IFERROR(LOOKUP(Y2210,{0;0.5;5;25},{"Bajo";"Medio";"Alto";"Crítico"}),"")</f>
        <v/>
      </c>
      <c r="AA2210" s="64">
        <f>IF(T2210&gt;=3,IF(X2210&gt;=1,"Zona 1 — Crítica: impacto alto y ocurre al menos una vez al año","Zona 4 — Catastrófica poco probable: impacto alto pero excepcional"),IF(AND(T2210&lt;1.5,X2210&lt;1),"Zona 3 — Asumible: impacto bajo y muy poco frecuente","Zona 2 — Atención: riesgo intermedio"))</f>
        <v/>
      </c>
      <c r="AB2210" s="64">
        <f>IFERROR(INDEX(MgAmenCtrl,MATCH(SUBSTITUTE($H2210,"*","-"),MgAmenClave,0)),"")</f>
        <v/>
      </c>
      <c r="AC2210" s="20" t="n"/>
      <c r="AD2210" s="31">
        <f>IFERROR($X2210*(1-IF($AC2210="",$AL2210,VLOOKUP($AC2210,MgMad,2,0))),"")</f>
        <v/>
      </c>
      <c r="AE2210" s="28">
        <f>IFERROR(LOOKUP(AD2210,{0;0.01;0.1;1;10;100},{"Muy baja";"Muy baja";"Baja";"Media";"Alta";"Muy alta"}),"")</f>
        <v/>
      </c>
      <c r="AF2210" s="30">
        <f>T2210*AD2210</f>
        <v/>
      </c>
      <c r="AG2210" s="28">
        <f>IFERROR(LOOKUP(AF2210,{0;0.5;5;25},{"Bajo";"Medio";"Alto";"Crítico"}),"")</f>
        <v/>
      </c>
      <c r="AH2210" s="28">
        <f>IF(AG2210="","",IF(OR(AG2210="Crítico",AG2210="Alto"),"Mitigar",IF(AG2210="Medio","Mitigar","Aceptar y monitorear")))</f>
        <v/>
      </c>
      <c r="AI2210" s="21" t="n"/>
      <c r="AJ2210" s="21" t="n"/>
      <c r="AK2210" s="20" t="n"/>
      <c r="AL2210" s="77">
        <f>IFERROR(INDEX(MgAmenEfic,MATCH(SUBSTITUTE($H2210,"*","-"),MgAmenClave,0)),0)</f>
        <v/>
      </c>
    </row>
    <row r="2211" hidden="1" ht="75" customHeight="1" s="54">
      <c r="B2211" s="59" t="inlineStr">
        <is>
          <t>R-2206</t>
        </is>
      </c>
      <c r="C2211" s="59" t="inlineStr">
        <is>
          <t>MS-04</t>
        </is>
      </c>
      <c r="D2211" s="64">
        <f>IFERROR(INDEX(MgNombre,MATCH($C2211,MgActId,0)),"")</f>
        <v/>
      </c>
      <c r="E2211" s="64">
        <f>IFERROR(INDEX(MgProceso,MATCH($C2211,MgActId,0)),"")</f>
        <v/>
      </c>
      <c r="F2211" s="64">
        <f>IFERROR(INDEX(MgTipo,MATCH($C2211,MgActId,0)),"")</f>
        <v/>
      </c>
      <c r="G2211" s="64">
        <f>IFERROR(INDEX(MgSubtipo,MATCH($C2211,MgActId,0)),"")</f>
        <v/>
      </c>
      <c r="H2211" s="59" t="inlineStr">
        <is>
          <t>A.5</t>
        </is>
      </c>
      <c r="I2211" s="64">
        <f>IFERROR(INDEX(MgAmenNombre,MATCH(SUBSTITUTE($H2211,"*","-"),MgAmenClave,0)),"")</f>
        <v/>
      </c>
      <c r="J2211" s="28">
        <f>IFERROR(INDEX(MgAmenGrupo,MATCH(SUBSTITUTE($H2211,"*","-"),MgAmenClave,0)),"")</f>
        <v/>
      </c>
      <c r="K2211" s="64">
        <f>IFERROR(INDEX('1. Matriz de Activos'!$Q$6:$Q$239,MATCH($C2211,MgActId,0)),"")</f>
        <v/>
      </c>
      <c r="L2211" s="64">
        <f>IFERROR(INDEX('1. Matriz de Activos'!$R$6:$R$239,MATCH($C2211,MgActId,0)),"")</f>
        <v/>
      </c>
      <c r="M2211" s="64">
        <f>IFERROR(INDEX('1. Matriz de Activos'!$S$6:$S$239,MATCH($C2211,MgActId,0)),"")</f>
        <v/>
      </c>
      <c r="N2211" s="28">
        <f>IFERROR(INDEX(MgAmenDegD,MATCH(SUBSTITUTE($H2211,"*","-"),MgAmenClave,0)),"No aplica")</f>
        <v/>
      </c>
      <c r="O2211" s="28">
        <f>IFERROR(INDEX(MgAmenDegI,MATCH(SUBSTITUTE($H2211,"*","-"),MgAmenClave,0)),"No aplica")</f>
        <v/>
      </c>
      <c r="P2211" s="28">
        <f>IFERROR(INDEX(MgAmenDegC,MATCH(SUBSTITUTE($H2211,"*","-"),MgAmenClave,0)),"No aplica")</f>
        <v/>
      </c>
      <c r="Q2211" s="29">
        <f>IFERROR(VLOOKUP(K2211,MgValor,2,0)*VLOOKUP(N2211,MgDeg,2,0),0)</f>
        <v/>
      </c>
      <c r="R2211" s="29">
        <f>IFERROR(VLOOKUP(L2211,MgValor,2,0)*VLOOKUP(O2211,MgDeg,2,0),0)</f>
        <v/>
      </c>
      <c r="S2211" s="29">
        <f>IFERROR(VLOOKUP(M2211,MgValor,2,0)*VLOOKUP(P2211,MgDeg,2,0),0)</f>
        <v/>
      </c>
      <c r="T2211" s="30">
        <f>MAX(Q2211:S2211)</f>
        <v/>
      </c>
      <c r="U2211" s="28">
        <f>IFERROR(LOOKUP(T2211,{0;0.5;1.5;3;4.5},{"Despreciable";"Bajo";"Medio";"Alto";"Muy alto"}),"")</f>
        <v/>
      </c>
      <c r="V2211" s="13">
        <f>IFERROR(INDEX(MgAmenFrec,MATCH(SUBSTITUTE($H2211,"*","-"),MgAmenClave,0)),"")</f>
        <v/>
      </c>
      <c r="W2211" s="28">
        <f>IFERROR(LOOKUP(X2211,{0;0.01;0.1;1;10;100},{"Muy baja";"Muy baja";"Baja";"Media";"Alta";"Muy alta"}),"")</f>
        <v/>
      </c>
      <c r="X2211" s="31">
        <f>IFERROR(VLOOKUP(V2211,MgFrec,2,0),0)</f>
        <v/>
      </c>
      <c r="Y2211" s="30">
        <f>T2211*X2211</f>
        <v/>
      </c>
      <c r="Z2211" s="28">
        <f>IFERROR(LOOKUP(Y2211,{0;0.5;5;25},{"Bajo";"Medio";"Alto";"Crítico"}),"")</f>
        <v/>
      </c>
      <c r="AA2211" s="64">
        <f>IF(T2211&gt;=3,IF(X2211&gt;=1,"Zona 1 — Crítica: impacto alto y ocurre al menos una vez al año","Zona 4 — Catastrófica poco probable: impacto alto pero excepcional"),IF(AND(T2211&lt;1.5,X2211&lt;1),"Zona 3 — Asumible: impacto bajo y muy poco frecuente","Zona 2 — Atención: riesgo intermedio"))</f>
        <v/>
      </c>
      <c r="AB2211" s="64">
        <f>IFERROR(INDEX(MgAmenCtrl,MATCH(SUBSTITUTE($H2211,"*","-"),MgAmenClave,0)),"")</f>
        <v/>
      </c>
      <c r="AC2211" s="20" t="n"/>
      <c r="AD2211" s="31">
        <f>IFERROR($X2211*(1-IF($AC2211="",$AL2211,VLOOKUP($AC2211,MgMad,2,0))),"")</f>
        <v/>
      </c>
      <c r="AE2211" s="28">
        <f>IFERROR(LOOKUP(AD2211,{0;0.01;0.1;1;10;100},{"Muy baja";"Muy baja";"Baja";"Media";"Alta";"Muy alta"}),"")</f>
        <v/>
      </c>
      <c r="AF2211" s="30">
        <f>T2211*AD2211</f>
        <v/>
      </c>
      <c r="AG2211" s="28">
        <f>IFERROR(LOOKUP(AF2211,{0;0.5;5;25},{"Bajo";"Medio";"Alto";"Crítico"}),"")</f>
        <v/>
      </c>
      <c r="AH2211" s="28">
        <f>IF(AG2211="","",IF(OR(AG2211="Crítico",AG2211="Alto"),"Mitigar",IF(AG2211="Medio","Mitigar","Aceptar y monitorear")))</f>
        <v/>
      </c>
      <c r="AI2211" s="21" t="n"/>
      <c r="AJ2211" s="21" t="n"/>
      <c r="AK2211" s="20" t="n"/>
      <c r="AL2211" s="77">
        <f>IFERROR(INDEX(MgAmenEfic,MATCH(SUBSTITUTE($H2211,"*","-"),MgAmenClave,0)),0)</f>
        <v/>
      </c>
    </row>
    <row r="2212" hidden="1" ht="105" customHeight="1" s="54">
      <c r="B2212" s="59" t="inlineStr">
        <is>
          <t>R-2207</t>
        </is>
      </c>
      <c r="C2212" s="59" t="inlineStr">
        <is>
          <t>MS-04</t>
        </is>
      </c>
      <c r="D2212" s="64">
        <f>IFERROR(INDEX(MgNombre,MATCH($C2212,MgActId,0)),"")</f>
        <v/>
      </c>
      <c r="E2212" s="64">
        <f>IFERROR(INDEX(MgProceso,MATCH($C2212,MgActId,0)),"")</f>
        <v/>
      </c>
      <c r="F2212" s="64">
        <f>IFERROR(INDEX(MgTipo,MATCH($C2212,MgActId,0)),"")</f>
        <v/>
      </c>
      <c r="G2212" s="64">
        <f>IFERROR(INDEX(MgSubtipo,MATCH($C2212,MgActId,0)),"")</f>
        <v/>
      </c>
      <c r="H2212" s="59" t="inlineStr">
        <is>
          <t>A.6</t>
        </is>
      </c>
      <c r="I2212" s="64">
        <f>IFERROR(INDEX(MgAmenNombre,MATCH(SUBSTITUTE($H2212,"*","-"),MgAmenClave,0)),"")</f>
        <v/>
      </c>
      <c r="J2212" s="28">
        <f>IFERROR(INDEX(MgAmenGrupo,MATCH(SUBSTITUTE($H2212,"*","-"),MgAmenClave,0)),"")</f>
        <v/>
      </c>
      <c r="K2212" s="64">
        <f>IFERROR(INDEX('1. Matriz de Activos'!$Q$6:$Q$239,MATCH($C2212,MgActId,0)),"")</f>
        <v/>
      </c>
      <c r="L2212" s="64">
        <f>IFERROR(INDEX('1. Matriz de Activos'!$R$6:$R$239,MATCH($C2212,MgActId,0)),"")</f>
        <v/>
      </c>
      <c r="M2212" s="64">
        <f>IFERROR(INDEX('1. Matriz de Activos'!$S$6:$S$239,MATCH($C2212,MgActId,0)),"")</f>
        <v/>
      </c>
      <c r="N2212" s="28">
        <f>IFERROR(INDEX(MgAmenDegD,MATCH(SUBSTITUTE($H2212,"*","-"),MgAmenClave,0)),"No aplica")</f>
        <v/>
      </c>
      <c r="O2212" s="28">
        <f>IFERROR(INDEX(MgAmenDegI,MATCH(SUBSTITUTE($H2212,"*","-"),MgAmenClave,0)),"No aplica")</f>
        <v/>
      </c>
      <c r="P2212" s="28">
        <f>IFERROR(INDEX(MgAmenDegC,MATCH(SUBSTITUTE($H2212,"*","-"),MgAmenClave,0)),"No aplica")</f>
        <v/>
      </c>
      <c r="Q2212" s="29">
        <f>IFERROR(VLOOKUP(K2212,MgValor,2,0)*VLOOKUP(N2212,MgDeg,2,0),0)</f>
        <v/>
      </c>
      <c r="R2212" s="29">
        <f>IFERROR(VLOOKUP(L2212,MgValor,2,0)*VLOOKUP(O2212,MgDeg,2,0),0)</f>
        <v/>
      </c>
      <c r="S2212" s="29">
        <f>IFERROR(VLOOKUP(M2212,MgValor,2,0)*VLOOKUP(P2212,MgDeg,2,0),0)</f>
        <v/>
      </c>
      <c r="T2212" s="30">
        <f>MAX(Q2212:S2212)</f>
        <v/>
      </c>
      <c r="U2212" s="28">
        <f>IFERROR(LOOKUP(T2212,{0;0.5;1.5;3;4.5},{"Despreciable";"Bajo";"Medio";"Alto";"Muy alto"}),"")</f>
        <v/>
      </c>
      <c r="V2212" s="13">
        <f>IFERROR(INDEX(MgAmenFrec,MATCH(SUBSTITUTE($H2212,"*","-"),MgAmenClave,0)),"")</f>
        <v/>
      </c>
      <c r="W2212" s="28">
        <f>IFERROR(LOOKUP(X2212,{0;0.01;0.1;1;10;100},{"Muy baja";"Muy baja";"Baja";"Media";"Alta";"Muy alta"}),"")</f>
        <v/>
      </c>
      <c r="X2212" s="31">
        <f>IFERROR(VLOOKUP(V2212,MgFrec,2,0),0)</f>
        <v/>
      </c>
      <c r="Y2212" s="30">
        <f>T2212*X2212</f>
        <v/>
      </c>
      <c r="Z2212" s="28">
        <f>IFERROR(LOOKUP(Y2212,{0;0.5;5;25},{"Bajo";"Medio";"Alto";"Crítico"}),"")</f>
        <v/>
      </c>
      <c r="AA2212" s="64">
        <f>IF(T2212&gt;=3,IF(X2212&gt;=1,"Zona 1 — Crítica: impacto alto y ocurre al menos una vez al año","Zona 4 — Catastrófica poco probable: impacto alto pero excepcional"),IF(AND(T2212&lt;1.5,X2212&lt;1),"Zona 3 — Asumible: impacto bajo y muy poco frecuente","Zona 2 — Atención: riesgo intermedio"))</f>
        <v/>
      </c>
      <c r="AB2212" s="64">
        <f>IFERROR(INDEX(MgAmenCtrl,MATCH(SUBSTITUTE($H2212,"*","-"),MgAmenClave,0)),"")</f>
        <v/>
      </c>
      <c r="AC2212" s="20" t="n"/>
      <c r="AD2212" s="31">
        <f>IFERROR($X2212*(1-IF($AC2212="",$AL2212,VLOOKUP($AC2212,MgMad,2,0))),"")</f>
        <v/>
      </c>
      <c r="AE2212" s="28">
        <f>IFERROR(LOOKUP(AD2212,{0;0.01;0.1;1;10;100},{"Muy baja";"Muy baja";"Baja";"Media";"Alta";"Muy alta"}),"")</f>
        <v/>
      </c>
      <c r="AF2212" s="30">
        <f>T2212*AD2212</f>
        <v/>
      </c>
      <c r="AG2212" s="28">
        <f>IFERROR(LOOKUP(AF2212,{0;0.5;5;25},{"Bajo";"Medio";"Alto";"Crítico"}),"")</f>
        <v/>
      </c>
      <c r="AH2212" s="28">
        <f>IF(AG2212="","",IF(OR(AG2212="Crítico",AG2212="Alto"),"Mitigar",IF(AG2212="Medio","Mitigar","Aceptar y monitorear")))</f>
        <v/>
      </c>
      <c r="AI2212" s="21" t="n"/>
      <c r="AJ2212" s="21" t="n"/>
      <c r="AK2212" s="20" t="n"/>
      <c r="AL2212" s="77">
        <f>IFERROR(INDEX(MgAmenEfic,MATCH(SUBSTITUTE($H2212,"*","-"),MgAmenClave,0)),0)</f>
        <v/>
      </c>
    </row>
    <row r="2213" hidden="1" ht="60" customHeight="1" s="54">
      <c r="B2213" s="59" t="inlineStr">
        <is>
          <t>R-2208</t>
        </is>
      </c>
      <c r="C2213" s="59" t="inlineStr">
        <is>
          <t>MS-04</t>
        </is>
      </c>
      <c r="D2213" s="64">
        <f>IFERROR(INDEX(MgNombre,MATCH($C2213,MgActId,0)),"")</f>
        <v/>
      </c>
      <c r="E2213" s="64">
        <f>IFERROR(INDEX(MgProceso,MATCH($C2213,MgActId,0)),"")</f>
        <v/>
      </c>
      <c r="F2213" s="64">
        <f>IFERROR(INDEX(MgTipo,MATCH($C2213,MgActId,0)),"")</f>
        <v/>
      </c>
      <c r="G2213" s="64">
        <f>IFERROR(INDEX(MgSubtipo,MATCH($C2213,MgActId,0)),"")</f>
        <v/>
      </c>
      <c r="H2213" s="59" t="inlineStr">
        <is>
          <t>A.7</t>
        </is>
      </c>
      <c r="I2213" s="64">
        <f>IFERROR(INDEX(MgAmenNombre,MATCH(SUBSTITUTE($H2213,"*","-"),MgAmenClave,0)),"")</f>
        <v/>
      </c>
      <c r="J2213" s="28">
        <f>IFERROR(INDEX(MgAmenGrupo,MATCH(SUBSTITUTE($H2213,"*","-"),MgAmenClave,0)),"")</f>
        <v/>
      </c>
      <c r="K2213" s="64">
        <f>IFERROR(INDEX('1. Matriz de Activos'!$Q$6:$Q$239,MATCH($C2213,MgActId,0)),"")</f>
        <v/>
      </c>
      <c r="L2213" s="64">
        <f>IFERROR(INDEX('1. Matriz de Activos'!$R$6:$R$239,MATCH($C2213,MgActId,0)),"")</f>
        <v/>
      </c>
      <c r="M2213" s="64">
        <f>IFERROR(INDEX('1. Matriz de Activos'!$S$6:$S$239,MATCH($C2213,MgActId,0)),"")</f>
        <v/>
      </c>
      <c r="N2213" s="28">
        <f>IFERROR(INDEX(MgAmenDegD,MATCH(SUBSTITUTE($H2213,"*","-"),MgAmenClave,0)),"No aplica")</f>
        <v/>
      </c>
      <c r="O2213" s="28">
        <f>IFERROR(INDEX(MgAmenDegI,MATCH(SUBSTITUTE($H2213,"*","-"),MgAmenClave,0)),"No aplica")</f>
        <v/>
      </c>
      <c r="P2213" s="28">
        <f>IFERROR(INDEX(MgAmenDegC,MATCH(SUBSTITUTE($H2213,"*","-"),MgAmenClave,0)),"No aplica")</f>
        <v/>
      </c>
      <c r="Q2213" s="29">
        <f>IFERROR(VLOOKUP(K2213,MgValor,2,0)*VLOOKUP(N2213,MgDeg,2,0),0)</f>
        <v/>
      </c>
      <c r="R2213" s="29">
        <f>IFERROR(VLOOKUP(L2213,MgValor,2,0)*VLOOKUP(O2213,MgDeg,2,0),0)</f>
        <v/>
      </c>
      <c r="S2213" s="29">
        <f>IFERROR(VLOOKUP(M2213,MgValor,2,0)*VLOOKUP(P2213,MgDeg,2,0),0)</f>
        <v/>
      </c>
      <c r="T2213" s="30">
        <f>MAX(Q2213:S2213)</f>
        <v/>
      </c>
      <c r="U2213" s="28">
        <f>IFERROR(LOOKUP(T2213,{0;0.5;1.5;3;4.5},{"Despreciable";"Bajo";"Medio";"Alto";"Muy alto"}),"")</f>
        <v/>
      </c>
      <c r="V2213" s="13">
        <f>IFERROR(INDEX(MgAmenFrec,MATCH(SUBSTITUTE($H2213,"*","-"),MgAmenClave,0)),"")</f>
        <v/>
      </c>
      <c r="W2213" s="28">
        <f>IFERROR(LOOKUP(X2213,{0;0.01;0.1;1;10;100},{"Muy baja";"Muy baja";"Baja";"Media";"Alta";"Muy alta"}),"")</f>
        <v/>
      </c>
      <c r="X2213" s="31">
        <f>IFERROR(VLOOKUP(V2213,MgFrec,2,0),0)</f>
        <v/>
      </c>
      <c r="Y2213" s="30">
        <f>T2213*X2213</f>
        <v/>
      </c>
      <c r="Z2213" s="28">
        <f>IFERROR(LOOKUP(Y2213,{0;0.5;5;25},{"Bajo";"Medio";"Alto";"Crítico"}),"")</f>
        <v/>
      </c>
      <c r="AA2213" s="64">
        <f>IF(T2213&gt;=3,IF(X2213&gt;=1,"Zona 1 — Crítica: impacto alto y ocurre al menos una vez al año","Zona 4 — Catastrófica poco probable: impacto alto pero excepcional"),IF(AND(T2213&lt;1.5,X2213&lt;1),"Zona 3 — Asumible: impacto bajo y muy poco frecuente","Zona 2 — Atención: riesgo intermedio"))</f>
        <v/>
      </c>
      <c r="AB2213" s="64">
        <f>IFERROR(INDEX(MgAmenCtrl,MATCH(SUBSTITUTE($H2213,"*","-"),MgAmenClave,0)),"")</f>
        <v/>
      </c>
      <c r="AC2213" s="20" t="n"/>
      <c r="AD2213" s="31">
        <f>IFERROR($X2213*(1-IF($AC2213="",$AL2213,VLOOKUP($AC2213,MgMad,2,0))),"")</f>
        <v/>
      </c>
      <c r="AE2213" s="28">
        <f>IFERROR(LOOKUP(AD2213,{0;0.01;0.1;1;10;100},{"Muy baja";"Muy baja";"Baja";"Media";"Alta";"Muy alta"}),"")</f>
        <v/>
      </c>
      <c r="AF2213" s="30">
        <f>T2213*AD2213</f>
        <v/>
      </c>
      <c r="AG2213" s="28">
        <f>IFERROR(LOOKUP(AF2213,{0;0.5;5;25},{"Bajo";"Medio";"Alto";"Crítico"}),"")</f>
        <v/>
      </c>
      <c r="AH2213" s="28">
        <f>IF(AG2213="","",IF(OR(AG2213="Crítico",AG2213="Alto"),"Mitigar",IF(AG2213="Medio","Mitigar","Aceptar y monitorear")))</f>
        <v/>
      </c>
      <c r="AI2213" s="21" t="n"/>
      <c r="AJ2213" s="21" t="n"/>
      <c r="AK2213" s="20" t="n"/>
      <c r="AL2213" s="77">
        <f>IFERROR(INDEX(MgAmenEfic,MATCH(SUBSTITUTE($H2213,"*","-"),MgAmenClave,0)),0)</f>
        <v/>
      </c>
    </row>
    <row r="2214" hidden="1" ht="60" customHeight="1" s="54">
      <c r="B2214" s="59" t="inlineStr">
        <is>
          <t>R-2209</t>
        </is>
      </c>
      <c r="C2214" s="59" t="inlineStr">
        <is>
          <t>MS-04</t>
        </is>
      </c>
      <c r="D2214" s="64">
        <f>IFERROR(INDEX(MgNombre,MATCH($C2214,MgActId,0)),"")</f>
        <v/>
      </c>
      <c r="E2214" s="64">
        <f>IFERROR(INDEX(MgProceso,MATCH($C2214,MgActId,0)),"")</f>
        <v/>
      </c>
      <c r="F2214" s="64">
        <f>IFERROR(INDEX(MgTipo,MATCH($C2214,MgActId,0)),"")</f>
        <v/>
      </c>
      <c r="G2214" s="64">
        <f>IFERROR(INDEX(MgSubtipo,MATCH($C2214,MgActId,0)),"")</f>
        <v/>
      </c>
      <c r="H2214" s="59" t="inlineStr">
        <is>
          <t>A.9</t>
        </is>
      </c>
      <c r="I2214" s="64">
        <f>IFERROR(INDEX(MgAmenNombre,MATCH(SUBSTITUTE($H2214,"*","-"),MgAmenClave,0)),"")</f>
        <v/>
      </c>
      <c r="J2214" s="28">
        <f>IFERROR(INDEX(MgAmenGrupo,MATCH(SUBSTITUTE($H2214,"*","-"),MgAmenClave,0)),"")</f>
        <v/>
      </c>
      <c r="K2214" s="64">
        <f>IFERROR(INDEX('1. Matriz de Activos'!$Q$6:$Q$239,MATCH($C2214,MgActId,0)),"")</f>
        <v/>
      </c>
      <c r="L2214" s="64">
        <f>IFERROR(INDEX('1. Matriz de Activos'!$R$6:$R$239,MATCH($C2214,MgActId,0)),"")</f>
        <v/>
      </c>
      <c r="M2214" s="64">
        <f>IFERROR(INDEX('1. Matriz de Activos'!$S$6:$S$239,MATCH($C2214,MgActId,0)),"")</f>
        <v/>
      </c>
      <c r="N2214" s="28">
        <f>IFERROR(INDEX(MgAmenDegD,MATCH(SUBSTITUTE($H2214,"*","-"),MgAmenClave,0)),"No aplica")</f>
        <v/>
      </c>
      <c r="O2214" s="28">
        <f>IFERROR(INDEX(MgAmenDegI,MATCH(SUBSTITUTE($H2214,"*","-"),MgAmenClave,0)),"No aplica")</f>
        <v/>
      </c>
      <c r="P2214" s="28">
        <f>IFERROR(INDEX(MgAmenDegC,MATCH(SUBSTITUTE($H2214,"*","-"),MgAmenClave,0)),"No aplica")</f>
        <v/>
      </c>
      <c r="Q2214" s="29">
        <f>IFERROR(VLOOKUP(K2214,MgValor,2,0)*VLOOKUP(N2214,MgDeg,2,0),0)</f>
        <v/>
      </c>
      <c r="R2214" s="29">
        <f>IFERROR(VLOOKUP(L2214,MgValor,2,0)*VLOOKUP(O2214,MgDeg,2,0),0)</f>
        <v/>
      </c>
      <c r="S2214" s="29">
        <f>IFERROR(VLOOKUP(M2214,MgValor,2,0)*VLOOKUP(P2214,MgDeg,2,0),0)</f>
        <v/>
      </c>
      <c r="T2214" s="30">
        <f>MAX(Q2214:S2214)</f>
        <v/>
      </c>
      <c r="U2214" s="28">
        <f>IFERROR(LOOKUP(T2214,{0;0.5;1.5;3;4.5},{"Despreciable";"Bajo";"Medio";"Alto";"Muy alto"}),"")</f>
        <v/>
      </c>
      <c r="V2214" s="13">
        <f>IFERROR(INDEX(MgAmenFrec,MATCH(SUBSTITUTE($H2214,"*","-"),MgAmenClave,0)),"")</f>
        <v/>
      </c>
      <c r="W2214" s="28">
        <f>IFERROR(LOOKUP(X2214,{0;0.01;0.1;1;10;100},{"Muy baja";"Muy baja";"Baja";"Media";"Alta";"Muy alta"}),"")</f>
        <v/>
      </c>
      <c r="X2214" s="31">
        <f>IFERROR(VLOOKUP(V2214,MgFrec,2,0),0)</f>
        <v/>
      </c>
      <c r="Y2214" s="30">
        <f>T2214*X2214</f>
        <v/>
      </c>
      <c r="Z2214" s="28">
        <f>IFERROR(LOOKUP(Y2214,{0;0.5;5;25},{"Bajo";"Medio";"Alto";"Crítico"}),"")</f>
        <v/>
      </c>
      <c r="AA2214" s="64">
        <f>IF(T2214&gt;=3,IF(X2214&gt;=1,"Zona 1 — Crítica: impacto alto y ocurre al menos una vez al año","Zona 4 — Catastrófica poco probable: impacto alto pero excepcional"),IF(AND(T2214&lt;1.5,X2214&lt;1),"Zona 3 — Asumible: impacto bajo y muy poco frecuente","Zona 2 — Atención: riesgo intermedio"))</f>
        <v/>
      </c>
      <c r="AB2214" s="64">
        <f>IFERROR(INDEX(MgAmenCtrl,MATCH(SUBSTITUTE($H2214,"*","-"),MgAmenClave,0)),"")</f>
        <v/>
      </c>
      <c r="AC2214" s="20" t="n"/>
      <c r="AD2214" s="31">
        <f>IFERROR($X2214*(1-IF($AC2214="",$AL2214,VLOOKUP($AC2214,MgMad,2,0))),"")</f>
        <v/>
      </c>
      <c r="AE2214" s="28">
        <f>IFERROR(LOOKUP(AD2214,{0;0.01;0.1;1;10;100},{"Muy baja";"Muy baja";"Baja";"Media";"Alta";"Muy alta"}),"")</f>
        <v/>
      </c>
      <c r="AF2214" s="30">
        <f>T2214*AD2214</f>
        <v/>
      </c>
      <c r="AG2214" s="28">
        <f>IFERROR(LOOKUP(AF2214,{0;0.5;5;25},{"Bajo";"Medio";"Alto";"Crítico"}),"")</f>
        <v/>
      </c>
      <c r="AH2214" s="28">
        <f>IF(AG2214="","",IF(OR(AG2214="Crítico",AG2214="Alto"),"Mitigar",IF(AG2214="Medio","Mitigar","Aceptar y monitorear")))</f>
        <v/>
      </c>
      <c r="AI2214" s="21" t="n"/>
      <c r="AJ2214" s="21" t="n"/>
      <c r="AK2214" s="20" t="n"/>
      <c r="AL2214" s="77">
        <f>IFERROR(INDEX(MgAmenEfic,MATCH(SUBSTITUTE($H2214,"*","-"),MgAmenClave,0)),0)</f>
        <v/>
      </c>
    </row>
    <row r="2215" hidden="1" ht="45" customHeight="1" s="54">
      <c r="B2215" s="59" t="inlineStr">
        <is>
          <t>R-2210</t>
        </is>
      </c>
      <c r="C2215" s="59" t="inlineStr">
        <is>
          <t>MS-04</t>
        </is>
      </c>
      <c r="D2215" s="64">
        <f>IFERROR(INDEX(MgNombre,MATCH($C2215,MgActId,0)),"")</f>
        <v/>
      </c>
      <c r="E2215" s="64">
        <f>IFERROR(INDEX(MgProceso,MATCH($C2215,MgActId,0)),"")</f>
        <v/>
      </c>
      <c r="F2215" s="64">
        <f>IFERROR(INDEX(MgTipo,MATCH($C2215,MgActId,0)),"")</f>
        <v/>
      </c>
      <c r="G2215" s="64">
        <f>IFERROR(INDEX(MgSubtipo,MATCH($C2215,MgActId,0)),"")</f>
        <v/>
      </c>
      <c r="H2215" s="59" t="inlineStr">
        <is>
          <t>A.10</t>
        </is>
      </c>
      <c r="I2215" s="64">
        <f>IFERROR(INDEX(MgAmenNombre,MATCH(SUBSTITUTE($H2215,"*","-"),MgAmenClave,0)),"")</f>
        <v/>
      </c>
      <c r="J2215" s="28">
        <f>IFERROR(INDEX(MgAmenGrupo,MATCH(SUBSTITUTE($H2215,"*","-"),MgAmenClave,0)),"")</f>
        <v/>
      </c>
      <c r="K2215" s="64">
        <f>IFERROR(INDEX('1. Matriz de Activos'!$Q$6:$Q$239,MATCH($C2215,MgActId,0)),"")</f>
        <v/>
      </c>
      <c r="L2215" s="64">
        <f>IFERROR(INDEX('1. Matriz de Activos'!$R$6:$R$239,MATCH($C2215,MgActId,0)),"")</f>
        <v/>
      </c>
      <c r="M2215" s="64">
        <f>IFERROR(INDEX('1. Matriz de Activos'!$S$6:$S$239,MATCH($C2215,MgActId,0)),"")</f>
        <v/>
      </c>
      <c r="N2215" s="28">
        <f>IFERROR(INDEX(MgAmenDegD,MATCH(SUBSTITUTE($H2215,"*","-"),MgAmenClave,0)),"No aplica")</f>
        <v/>
      </c>
      <c r="O2215" s="28">
        <f>IFERROR(INDEX(MgAmenDegI,MATCH(SUBSTITUTE($H2215,"*","-"),MgAmenClave,0)),"No aplica")</f>
        <v/>
      </c>
      <c r="P2215" s="28">
        <f>IFERROR(INDEX(MgAmenDegC,MATCH(SUBSTITUTE($H2215,"*","-"),MgAmenClave,0)),"No aplica")</f>
        <v/>
      </c>
      <c r="Q2215" s="29">
        <f>IFERROR(VLOOKUP(K2215,MgValor,2,0)*VLOOKUP(N2215,MgDeg,2,0),0)</f>
        <v/>
      </c>
      <c r="R2215" s="29">
        <f>IFERROR(VLOOKUP(L2215,MgValor,2,0)*VLOOKUP(O2215,MgDeg,2,0),0)</f>
        <v/>
      </c>
      <c r="S2215" s="29">
        <f>IFERROR(VLOOKUP(M2215,MgValor,2,0)*VLOOKUP(P2215,MgDeg,2,0),0)</f>
        <v/>
      </c>
      <c r="T2215" s="30">
        <f>MAX(Q2215:S2215)</f>
        <v/>
      </c>
      <c r="U2215" s="28">
        <f>IFERROR(LOOKUP(T2215,{0;0.5;1.5;3;4.5},{"Despreciable";"Bajo";"Medio";"Alto";"Muy alto"}),"")</f>
        <v/>
      </c>
      <c r="V2215" s="13">
        <f>IFERROR(INDEX(MgAmenFrec,MATCH(SUBSTITUTE($H2215,"*","-"),MgAmenClave,0)),"")</f>
        <v/>
      </c>
      <c r="W2215" s="28">
        <f>IFERROR(LOOKUP(X2215,{0;0.01;0.1;1;10;100},{"Muy baja";"Muy baja";"Baja";"Media";"Alta";"Muy alta"}),"")</f>
        <v/>
      </c>
      <c r="X2215" s="31">
        <f>IFERROR(VLOOKUP(V2215,MgFrec,2,0),0)</f>
        <v/>
      </c>
      <c r="Y2215" s="30">
        <f>T2215*X2215</f>
        <v/>
      </c>
      <c r="Z2215" s="28">
        <f>IFERROR(LOOKUP(Y2215,{0;0.5;5;25},{"Bajo";"Medio";"Alto";"Crítico"}),"")</f>
        <v/>
      </c>
      <c r="AA2215" s="64">
        <f>IF(T2215&gt;=3,IF(X2215&gt;=1,"Zona 1 — Crítica: impacto alto y ocurre al menos una vez al año","Zona 4 — Catastrófica poco probable: impacto alto pero excepcional"),IF(AND(T2215&lt;1.5,X2215&lt;1),"Zona 3 — Asumible: impacto bajo y muy poco frecuente","Zona 2 — Atención: riesgo intermedio"))</f>
        <v/>
      </c>
      <c r="AB2215" s="64">
        <f>IFERROR(INDEX(MgAmenCtrl,MATCH(SUBSTITUTE($H2215,"*","-"),MgAmenClave,0)),"")</f>
        <v/>
      </c>
      <c r="AC2215" s="20" t="n"/>
      <c r="AD2215" s="31">
        <f>IFERROR($X2215*(1-IF($AC2215="",$AL2215,VLOOKUP($AC2215,MgMad,2,0))),"")</f>
        <v/>
      </c>
      <c r="AE2215" s="28">
        <f>IFERROR(LOOKUP(AD2215,{0;0.01;0.1;1;10;100},{"Muy baja";"Muy baja";"Baja";"Media";"Alta";"Muy alta"}),"")</f>
        <v/>
      </c>
      <c r="AF2215" s="30">
        <f>T2215*AD2215</f>
        <v/>
      </c>
      <c r="AG2215" s="28">
        <f>IFERROR(LOOKUP(AF2215,{0;0.5;5;25},{"Bajo";"Medio";"Alto";"Crítico"}),"")</f>
        <v/>
      </c>
      <c r="AH2215" s="28">
        <f>IF(AG2215="","",IF(OR(AG2215="Crítico",AG2215="Alto"),"Mitigar",IF(AG2215="Medio","Mitigar","Aceptar y monitorear")))</f>
        <v/>
      </c>
      <c r="AI2215" s="21" t="n"/>
      <c r="AJ2215" s="21" t="n"/>
      <c r="AK2215" s="20" t="n"/>
      <c r="AL2215" s="77">
        <f>IFERROR(INDEX(MgAmenEfic,MATCH(SUBSTITUTE($H2215,"*","-"),MgAmenClave,0)),0)</f>
        <v/>
      </c>
    </row>
    <row r="2216" hidden="1" ht="120" customHeight="1" s="54">
      <c r="B2216" s="59" t="inlineStr">
        <is>
          <t>R-2211</t>
        </is>
      </c>
      <c r="C2216" s="59" t="inlineStr">
        <is>
          <t>MS-04</t>
        </is>
      </c>
      <c r="D2216" s="64">
        <f>IFERROR(INDEX(MgNombre,MATCH($C2216,MgActId,0)),"")</f>
        <v/>
      </c>
      <c r="E2216" s="64">
        <f>IFERROR(INDEX(MgProceso,MATCH($C2216,MgActId,0)),"")</f>
        <v/>
      </c>
      <c r="F2216" s="64">
        <f>IFERROR(INDEX(MgTipo,MATCH($C2216,MgActId,0)),"")</f>
        <v/>
      </c>
      <c r="G2216" s="64">
        <f>IFERROR(INDEX(MgSubtipo,MATCH($C2216,MgActId,0)),"")</f>
        <v/>
      </c>
      <c r="H2216" s="59" t="inlineStr">
        <is>
          <t>A.11</t>
        </is>
      </c>
      <c r="I2216" s="64">
        <f>IFERROR(INDEX(MgAmenNombre,MATCH(SUBSTITUTE($H2216,"*","-"),MgAmenClave,0)),"")</f>
        <v/>
      </c>
      <c r="J2216" s="28">
        <f>IFERROR(INDEX(MgAmenGrupo,MATCH(SUBSTITUTE($H2216,"*","-"),MgAmenClave,0)),"")</f>
        <v/>
      </c>
      <c r="K2216" s="64">
        <f>IFERROR(INDEX('1. Matriz de Activos'!$Q$6:$Q$239,MATCH($C2216,MgActId,0)),"")</f>
        <v/>
      </c>
      <c r="L2216" s="64">
        <f>IFERROR(INDEX('1. Matriz de Activos'!$R$6:$R$239,MATCH($C2216,MgActId,0)),"")</f>
        <v/>
      </c>
      <c r="M2216" s="64">
        <f>IFERROR(INDEX('1. Matriz de Activos'!$S$6:$S$239,MATCH($C2216,MgActId,0)),"")</f>
        <v/>
      </c>
      <c r="N2216" s="28">
        <f>IFERROR(INDEX(MgAmenDegD,MATCH(SUBSTITUTE($H2216,"*","-"),MgAmenClave,0)),"No aplica")</f>
        <v/>
      </c>
      <c r="O2216" s="28">
        <f>IFERROR(INDEX(MgAmenDegI,MATCH(SUBSTITUTE($H2216,"*","-"),MgAmenClave,0)),"No aplica")</f>
        <v/>
      </c>
      <c r="P2216" s="28">
        <f>IFERROR(INDEX(MgAmenDegC,MATCH(SUBSTITUTE($H2216,"*","-"),MgAmenClave,0)),"No aplica")</f>
        <v/>
      </c>
      <c r="Q2216" s="29">
        <f>IFERROR(VLOOKUP(K2216,MgValor,2,0)*VLOOKUP(N2216,MgDeg,2,0),0)</f>
        <v/>
      </c>
      <c r="R2216" s="29">
        <f>IFERROR(VLOOKUP(L2216,MgValor,2,0)*VLOOKUP(O2216,MgDeg,2,0),0)</f>
        <v/>
      </c>
      <c r="S2216" s="29">
        <f>IFERROR(VLOOKUP(M2216,MgValor,2,0)*VLOOKUP(P2216,MgDeg,2,0),0)</f>
        <v/>
      </c>
      <c r="T2216" s="30">
        <f>MAX(Q2216:S2216)</f>
        <v/>
      </c>
      <c r="U2216" s="28">
        <f>IFERROR(LOOKUP(T2216,{0;0.5;1.5;3;4.5},{"Despreciable";"Bajo";"Medio";"Alto";"Muy alto"}),"")</f>
        <v/>
      </c>
      <c r="V2216" s="13">
        <f>IFERROR(INDEX(MgAmenFrec,MATCH(SUBSTITUTE($H2216,"*","-"),MgAmenClave,0)),"")</f>
        <v/>
      </c>
      <c r="W2216" s="28">
        <f>IFERROR(LOOKUP(X2216,{0;0.01;0.1;1;10;100},{"Muy baja";"Muy baja";"Baja";"Media";"Alta";"Muy alta"}),"")</f>
        <v/>
      </c>
      <c r="X2216" s="31">
        <f>IFERROR(VLOOKUP(V2216,MgFrec,2,0),0)</f>
        <v/>
      </c>
      <c r="Y2216" s="30">
        <f>T2216*X2216</f>
        <v/>
      </c>
      <c r="Z2216" s="28">
        <f>IFERROR(LOOKUP(Y2216,{0;0.5;5;25},{"Bajo";"Medio";"Alto";"Crítico"}),"")</f>
        <v/>
      </c>
      <c r="AA2216" s="64">
        <f>IF(T2216&gt;=3,IF(X2216&gt;=1,"Zona 1 — Crítica: impacto alto y ocurre al menos una vez al año","Zona 4 — Catastrófica poco probable: impacto alto pero excepcional"),IF(AND(T2216&lt;1.5,X2216&lt;1),"Zona 3 — Asumible: impacto bajo y muy poco frecuente","Zona 2 — Atención: riesgo intermedio"))</f>
        <v/>
      </c>
      <c r="AB2216" s="64">
        <f>IFERROR(INDEX(MgAmenCtrl,MATCH(SUBSTITUTE($H2216,"*","-"),MgAmenClave,0)),"")</f>
        <v/>
      </c>
      <c r="AC2216" s="20" t="n"/>
      <c r="AD2216" s="31">
        <f>IFERROR($X2216*(1-IF($AC2216="",$AL2216,VLOOKUP($AC2216,MgMad,2,0))),"")</f>
        <v/>
      </c>
      <c r="AE2216" s="28">
        <f>IFERROR(LOOKUP(AD2216,{0;0.01;0.1;1;10;100},{"Muy baja";"Muy baja";"Baja";"Media";"Alta";"Muy alta"}),"")</f>
        <v/>
      </c>
      <c r="AF2216" s="30">
        <f>T2216*AD2216</f>
        <v/>
      </c>
      <c r="AG2216" s="28">
        <f>IFERROR(LOOKUP(AF2216,{0;0.5;5;25},{"Bajo";"Medio";"Alto";"Crítico"}),"")</f>
        <v/>
      </c>
      <c r="AH2216" s="28">
        <f>IF(AG2216="","",IF(OR(AG2216="Crítico",AG2216="Alto"),"Mitigar",IF(AG2216="Medio","Mitigar","Aceptar y monitorear")))</f>
        <v/>
      </c>
      <c r="AI2216" s="21" t="n"/>
      <c r="AJ2216" s="21" t="n"/>
      <c r="AK2216" s="20" t="n"/>
      <c r="AL2216" s="77">
        <f>IFERROR(INDEX(MgAmenEfic,MATCH(SUBSTITUTE($H2216,"*","-"),MgAmenClave,0)),0)</f>
        <v/>
      </c>
    </row>
    <row r="2217" hidden="1" ht="90" customHeight="1" s="54">
      <c r="B2217" s="59" t="inlineStr">
        <is>
          <t>R-2212</t>
        </is>
      </c>
      <c r="C2217" s="59" t="inlineStr">
        <is>
          <t>MS-04</t>
        </is>
      </c>
      <c r="D2217" s="64">
        <f>IFERROR(INDEX(MgNombre,MATCH($C2217,MgActId,0)),"")</f>
        <v/>
      </c>
      <c r="E2217" s="64">
        <f>IFERROR(INDEX(MgProceso,MATCH($C2217,MgActId,0)),"")</f>
        <v/>
      </c>
      <c r="F2217" s="64">
        <f>IFERROR(INDEX(MgTipo,MATCH($C2217,MgActId,0)),"")</f>
        <v/>
      </c>
      <c r="G2217" s="64">
        <f>IFERROR(INDEX(MgSubtipo,MATCH($C2217,MgActId,0)),"")</f>
        <v/>
      </c>
      <c r="H2217" s="59" t="inlineStr">
        <is>
          <t>A.13</t>
        </is>
      </c>
      <c r="I2217" s="64">
        <f>IFERROR(INDEX(MgAmenNombre,MATCH(SUBSTITUTE($H2217,"*","-"),MgAmenClave,0)),"")</f>
        <v/>
      </c>
      <c r="J2217" s="28">
        <f>IFERROR(INDEX(MgAmenGrupo,MATCH(SUBSTITUTE($H2217,"*","-"),MgAmenClave,0)),"")</f>
        <v/>
      </c>
      <c r="K2217" s="64">
        <f>IFERROR(INDEX('1. Matriz de Activos'!$Q$6:$Q$239,MATCH($C2217,MgActId,0)),"")</f>
        <v/>
      </c>
      <c r="L2217" s="64">
        <f>IFERROR(INDEX('1. Matriz de Activos'!$R$6:$R$239,MATCH($C2217,MgActId,0)),"")</f>
        <v/>
      </c>
      <c r="M2217" s="64">
        <f>IFERROR(INDEX('1. Matriz de Activos'!$S$6:$S$239,MATCH($C2217,MgActId,0)),"")</f>
        <v/>
      </c>
      <c r="N2217" s="28">
        <f>IFERROR(INDEX(MgAmenDegD,MATCH(SUBSTITUTE($H2217,"*","-"),MgAmenClave,0)),"No aplica")</f>
        <v/>
      </c>
      <c r="O2217" s="28">
        <f>IFERROR(INDEX(MgAmenDegI,MATCH(SUBSTITUTE($H2217,"*","-"),MgAmenClave,0)),"No aplica")</f>
        <v/>
      </c>
      <c r="P2217" s="28">
        <f>IFERROR(INDEX(MgAmenDegC,MATCH(SUBSTITUTE($H2217,"*","-"),MgAmenClave,0)),"No aplica")</f>
        <v/>
      </c>
      <c r="Q2217" s="29">
        <f>IFERROR(VLOOKUP(K2217,MgValor,2,0)*VLOOKUP(N2217,MgDeg,2,0),0)</f>
        <v/>
      </c>
      <c r="R2217" s="29">
        <f>IFERROR(VLOOKUP(L2217,MgValor,2,0)*VLOOKUP(O2217,MgDeg,2,0),0)</f>
        <v/>
      </c>
      <c r="S2217" s="29">
        <f>IFERROR(VLOOKUP(M2217,MgValor,2,0)*VLOOKUP(P2217,MgDeg,2,0),0)</f>
        <v/>
      </c>
      <c r="T2217" s="30">
        <f>MAX(Q2217:S2217)</f>
        <v/>
      </c>
      <c r="U2217" s="28">
        <f>IFERROR(LOOKUP(T2217,{0;0.5;1.5;3;4.5},{"Despreciable";"Bajo";"Medio";"Alto";"Muy alto"}),"")</f>
        <v/>
      </c>
      <c r="V2217" s="13">
        <f>IFERROR(INDEX(MgAmenFrec,MATCH(SUBSTITUTE($H2217,"*","-"),MgAmenClave,0)),"")</f>
        <v/>
      </c>
      <c r="W2217" s="28">
        <f>IFERROR(LOOKUP(X2217,{0;0.01;0.1;1;10;100},{"Muy baja";"Muy baja";"Baja";"Media";"Alta";"Muy alta"}),"")</f>
        <v/>
      </c>
      <c r="X2217" s="31">
        <f>IFERROR(VLOOKUP(V2217,MgFrec,2,0),0)</f>
        <v/>
      </c>
      <c r="Y2217" s="30">
        <f>T2217*X2217</f>
        <v/>
      </c>
      <c r="Z2217" s="28">
        <f>IFERROR(LOOKUP(Y2217,{0;0.5;5;25},{"Bajo";"Medio";"Alto";"Crítico"}),"")</f>
        <v/>
      </c>
      <c r="AA2217" s="64">
        <f>IF(T2217&gt;=3,IF(X2217&gt;=1,"Zona 1 — Crítica: impacto alto y ocurre al menos una vez al año","Zona 4 — Catastrófica poco probable: impacto alto pero excepcional"),IF(AND(T2217&lt;1.5,X2217&lt;1),"Zona 3 — Asumible: impacto bajo y muy poco frecuente","Zona 2 — Atención: riesgo intermedio"))</f>
        <v/>
      </c>
      <c r="AB2217" s="64">
        <f>IFERROR(INDEX(MgAmenCtrl,MATCH(SUBSTITUTE($H2217,"*","-"),MgAmenClave,0)),"")</f>
        <v/>
      </c>
      <c r="AC2217" s="20" t="n"/>
      <c r="AD2217" s="31">
        <f>IFERROR($X2217*(1-IF($AC2217="",$AL2217,VLOOKUP($AC2217,MgMad,2,0))),"")</f>
        <v/>
      </c>
      <c r="AE2217" s="28">
        <f>IFERROR(LOOKUP(AD2217,{0;0.01;0.1;1;10;100},{"Muy baja";"Muy baja";"Baja";"Media";"Alta";"Muy alta"}),"")</f>
        <v/>
      </c>
      <c r="AF2217" s="30">
        <f>T2217*AD2217</f>
        <v/>
      </c>
      <c r="AG2217" s="28">
        <f>IFERROR(LOOKUP(AF2217,{0;0.5;5;25},{"Bajo";"Medio";"Alto";"Crítico"}),"")</f>
        <v/>
      </c>
      <c r="AH2217" s="28">
        <f>IF(AG2217="","",IF(OR(AG2217="Crítico",AG2217="Alto"),"Mitigar",IF(AG2217="Medio","Mitigar","Aceptar y monitorear")))</f>
        <v/>
      </c>
      <c r="AI2217" s="21" t="n"/>
      <c r="AJ2217" s="21" t="n"/>
      <c r="AK2217" s="20" t="n"/>
      <c r="AL2217" s="77">
        <f>IFERROR(INDEX(MgAmenEfic,MATCH(SUBSTITUTE($H2217,"*","-"),MgAmenClave,0)),0)</f>
        <v/>
      </c>
    </row>
    <row r="2218" hidden="1" ht="60" customHeight="1" s="54">
      <c r="B2218" s="59" t="inlineStr">
        <is>
          <t>R-2213</t>
        </is>
      </c>
      <c r="C2218" s="59" t="inlineStr">
        <is>
          <t>MS-04</t>
        </is>
      </c>
      <c r="D2218" s="64">
        <f>IFERROR(INDEX(MgNombre,MATCH($C2218,MgActId,0)),"")</f>
        <v/>
      </c>
      <c r="E2218" s="64">
        <f>IFERROR(INDEX(MgProceso,MATCH($C2218,MgActId,0)),"")</f>
        <v/>
      </c>
      <c r="F2218" s="64">
        <f>IFERROR(INDEX(MgTipo,MATCH($C2218,MgActId,0)),"")</f>
        <v/>
      </c>
      <c r="G2218" s="64">
        <f>IFERROR(INDEX(MgSubtipo,MATCH($C2218,MgActId,0)),"")</f>
        <v/>
      </c>
      <c r="H2218" s="59" t="inlineStr">
        <is>
          <t>A.15</t>
        </is>
      </c>
      <c r="I2218" s="64">
        <f>IFERROR(INDEX(MgAmenNombre,MATCH(SUBSTITUTE($H2218,"*","-"),MgAmenClave,0)),"")</f>
        <v/>
      </c>
      <c r="J2218" s="28">
        <f>IFERROR(INDEX(MgAmenGrupo,MATCH(SUBSTITUTE($H2218,"*","-"),MgAmenClave,0)),"")</f>
        <v/>
      </c>
      <c r="K2218" s="64">
        <f>IFERROR(INDEX('1. Matriz de Activos'!$Q$6:$Q$239,MATCH($C2218,MgActId,0)),"")</f>
        <v/>
      </c>
      <c r="L2218" s="64">
        <f>IFERROR(INDEX('1. Matriz de Activos'!$R$6:$R$239,MATCH($C2218,MgActId,0)),"")</f>
        <v/>
      </c>
      <c r="M2218" s="64">
        <f>IFERROR(INDEX('1. Matriz de Activos'!$S$6:$S$239,MATCH($C2218,MgActId,0)),"")</f>
        <v/>
      </c>
      <c r="N2218" s="28">
        <f>IFERROR(INDEX(MgAmenDegD,MATCH(SUBSTITUTE($H2218,"*","-"),MgAmenClave,0)),"No aplica")</f>
        <v/>
      </c>
      <c r="O2218" s="28">
        <f>IFERROR(INDEX(MgAmenDegI,MATCH(SUBSTITUTE($H2218,"*","-"),MgAmenClave,0)),"No aplica")</f>
        <v/>
      </c>
      <c r="P2218" s="28">
        <f>IFERROR(INDEX(MgAmenDegC,MATCH(SUBSTITUTE($H2218,"*","-"),MgAmenClave,0)),"No aplica")</f>
        <v/>
      </c>
      <c r="Q2218" s="29">
        <f>IFERROR(VLOOKUP(K2218,MgValor,2,0)*VLOOKUP(N2218,MgDeg,2,0),0)</f>
        <v/>
      </c>
      <c r="R2218" s="29">
        <f>IFERROR(VLOOKUP(L2218,MgValor,2,0)*VLOOKUP(O2218,MgDeg,2,0),0)</f>
        <v/>
      </c>
      <c r="S2218" s="29">
        <f>IFERROR(VLOOKUP(M2218,MgValor,2,0)*VLOOKUP(P2218,MgDeg,2,0),0)</f>
        <v/>
      </c>
      <c r="T2218" s="30">
        <f>MAX(Q2218:S2218)</f>
        <v/>
      </c>
      <c r="U2218" s="28">
        <f>IFERROR(LOOKUP(T2218,{0;0.5;1.5;3;4.5},{"Despreciable";"Bajo";"Medio";"Alto";"Muy alto"}),"")</f>
        <v/>
      </c>
      <c r="V2218" s="13">
        <f>IFERROR(INDEX(MgAmenFrec,MATCH(SUBSTITUTE($H2218,"*","-"),MgAmenClave,0)),"")</f>
        <v/>
      </c>
      <c r="W2218" s="28">
        <f>IFERROR(LOOKUP(X2218,{0;0.01;0.1;1;10;100},{"Muy baja";"Muy baja";"Baja";"Media";"Alta";"Muy alta"}),"")</f>
        <v/>
      </c>
      <c r="X2218" s="31">
        <f>IFERROR(VLOOKUP(V2218,MgFrec,2,0),0)</f>
        <v/>
      </c>
      <c r="Y2218" s="30">
        <f>T2218*X2218</f>
        <v/>
      </c>
      <c r="Z2218" s="28">
        <f>IFERROR(LOOKUP(Y2218,{0;0.5;5;25},{"Bajo";"Medio";"Alto";"Crítico"}),"")</f>
        <v/>
      </c>
      <c r="AA2218" s="64">
        <f>IF(T2218&gt;=3,IF(X2218&gt;=1,"Zona 1 — Crítica: impacto alto y ocurre al menos una vez al año","Zona 4 — Catastrófica poco probable: impacto alto pero excepcional"),IF(AND(T2218&lt;1.5,X2218&lt;1),"Zona 3 — Asumible: impacto bajo y muy poco frecuente","Zona 2 — Atención: riesgo intermedio"))</f>
        <v/>
      </c>
      <c r="AB2218" s="64">
        <f>IFERROR(INDEX(MgAmenCtrl,MATCH(SUBSTITUTE($H2218,"*","-"),MgAmenClave,0)),"")</f>
        <v/>
      </c>
      <c r="AC2218" s="20" t="n"/>
      <c r="AD2218" s="31">
        <f>IFERROR($X2218*(1-IF($AC2218="",$AL2218,VLOOKUP($AC2218,MgMad,2,0))),"")</f>
        <v/>
      </c>
      <c r="AE2218" s="28">
        <f>IFERROR(LOOKUP(AD2218,{0;0.01;0.1;1;10;100},{"Muy baja";"Muy baja";"Baja";"Media";"Alta";"Muy alta"}),"")</f>
        <v/>
      </c>
      <c r="AF2218" s="30">
        <f>T2218*AD2218</f>
        <v/>
      </c>
      <c r="AG2218" s="28">
        <f>IFERROR(LOOKUP(AF2218,{0;0.5;5;25},{"Bajo";"Medio";"Alto";"Crítico"}),"")</f>
        <v/>
      </c>
      <c r="AH2218" s="28">
        <f>IF(AG2218="","",IF(OR(AG2218="Crítico",AG2218="Alto"),"Mitigar",IF(AG2218="Medio","Mitigar","Aceptar y monitorear")))</f>
        <v/>
      </c>
      <c r="AI2218" s="21" t="n"/>
      <c r="AJ2218" s="21" t="n"/>
      <c r="AK2218" s="20" t="n"/>
      <c r="AL2218" s="77">
        <f>IFERROR(INDEX(MgAmenEfic,MATCH(SUBSTITUTE($H2218,"*","-"),MgAmenClave,0)),0)</f>
        <v/>
      </c>
    </row>
    <row r="2219" hidden="1" ht="60" customHeight="1" s="54">
      <c r="B2219" s="59" t="inlineStr">
        <is>
          <t>R-2214</t>
        </is>
      </c>
      <c r="C2219" s="59" t="inlineStr">
        <is>
          <t>MS-04</t>
        </is>
      </c>
      <c r="D2219" s="64">
        <f>IFERROR(INDEX(MgNombre,MATCH($C2219,MgActId,0)),"")</f>
        <v/>
      </c>
      <c r="E2219" s="64">
        <f>IFERROR(INDEX(MgProceso,MATCH($C2219,MgActId,0)),"")</f>
        <v/>
      </c>
      <c r="F2219" s="64">
        <f>IFERROR(INDEX(MgTipo,MATCH($C2219,MgActId,0)),"")</f>
        <v/>
      </c>
      <c r="G2219" s="64">
        <f>IFERROR(INDEX(MgSubtipo,MATCH($C2219,MgActId,0)),"")</f>
        <v/>
      </c>
      <c r="H2219" s="59" t="inlineStr">
        <is>
          <t>A.18</t>
        </is>
      </c>
      <c r="I2219" s="64">
        <f>IFERROR(INDEX(MgAmenNombre,MATCH(SUBSTITUTE($H2219,"*","-"),MgAmenClave,0)),"")</f>
        <v/>
      </c>
      <c r="J2219" s="28">
        <f>IFERROR(INDEX(MgAmenGrupo,MATCH(SUBSTITUTE($H2219,"*","-"),MgAmenClave,0)),"")</f>
        <v/>
      </c>
      <c r="K2219" s="64">
        <f>IFERROR(INDEX('1. Matriz de Activos'!$Q$6:$Q$239,MATCH($C2219,MgActId,0)),"")</f>
        <v/>
      </c>
      <c r="L2219" s="64">
        <f>IFERROR(INDEX('1. Matriz de Activos'!$R$6:$R$239,MATCH($C2219,MgActId,0)),"")</f>
        <v/>
      </c>
      <c r="M2219" s="64">
        <f>IFERROR(INDEX('1. Matriz de Activos'!$S$6:$S$239,MATCH($C2219,MgActId,0)),"")</f>
        <v/>
      </c>
      <c r="N2219" s="28">
        <f>IFERROR(INDEX(MgAmenDegD,MATCH(SUBSTITUTE($H2219,"*","-"),MgAmenClave,0)),"No aplica")</f>
        <v/>
      </c>
      <c r="O2219" s="28">
        <f>IFERROR(INDEX(MgAmenDegI,MATCH(SUBSTITUTE($H2219,"*","-"),MgAmenClave,0)),"No aplica")</f>
        <v/>
      </c>
      <c r="P2219" s="28">
        <f>IFERROR(INDEX(MgAmenDegC,MATCH(SUBSTITUTE($H2219,"*","-"),MgAmenClave,0)),"No aplica")</f>
        <v/>
      </c>
      <c r="Q2219" s="29">
        <f>IFERROR(VLOOKUP(K2219,MgValor,2,0)*VLOOKUP(N2219,MgDeg,2,0),0)</f>
        <v/>
      </c>
      <c r="R2219" s="29">
        <f>IFERROR(VLOOKUP(L2219,MgValor,2,0)*VLOOKUP(O2219,MgDeg,2,0),0)</f>
        <v/>
      </c>
      <c r="S2219" s="29">
        <f>IFERROR(VLOOKUP(M2219,MgValor,2,0)*VLOOKUP(P2219,MgDeg,2,0),0)</f>
        <v/>
      </c>
      <c r="T2219" s="30">
        <f>MAX(Q2219:S2219)</f>
        <v/>
      </c>
      <c r="U2219" s="28">
        <f>IFERROR(LOOKUP(T2219,{0;0.5;1.5;3;4.5},{"Despreciable";"Bajo";"Medio";"Alto";"Muy alto"}),"")</f>
        <v/>
      </c>
      <c r="V2219" s="13">
        <f>IFERROR(INDEX(MgAmenFrec,MATCH(SUBSTITUTE($H2219,"*","-"),MgAmenClave,0)),"")</f>
        <v/>
      </c>
      <c r="W2219" s="28">
        <f>IFERROR(LOOKUP(X2219,{0;0.01;0.1;1;10;100},{"Muy baja";"Muy baja";"Baja";"Media";"Alta";"Muy alta"}),"")</f>
        <v/>
      </c>
      <c r="X2219" s="31">
        <f>IFERROR(VLOOKUP(V2219,MgFrec,2,0),0)</f>
        <v/>
      </c>
      <c r="Y2219" s="30">
        <f>T2219*X2219</f>
        <v/>
      </c>
      <c r="Z2219" s="28">
        <f>IFERROR(LOOKUP(Y2219,{0;0.5;5;25},{"Bajo";"Medio";"Alto";"Crítico"}),"")</f>
        <v/>
      </c>
      <c r="AA2219" s="64">
        <f>IF(T2219&gt;=3,IF(X2219&gt;=1,"Zona 1 — Crítica: impacto alto y ocurre al menos una vez al año","Zona 4 — Catastrófica poco probable: impacto alto pero excepcional"),IF(AND(T2219&lt;1.5,X2219&lt;1),"Zona 3 — Asumible: impacto bajo y muy poco frecuente","Zona 2 — Atención: riesgo intermedio"))</f>
        <v/>
      </c>
      <c r="AB2219" s="64">
        <f>IFERROR(INDEX(MgAmenCtrl,MATCH(SUBSTITUTE($H2219,"*","-"),MgAmenClave,0)),"")</f>
        <v/>
      </c>
      <c r="AC2219" s="20" t="n"/>
      <c r="AD2219" s="31">
        <f>IFERROR($X2219*(1-IF($AC2219="",$AL2219,VLOOKUP($AC2219,MgMad,2,0))),"")</f>
        <v/>
      </c>
      <c r="AE2219" s="28">
        <f>IFERROR(LOOKUP(AD2219,{0;0.01;0.1;1;10;100},{"Muy baja";"Muy baja";"Baja";"Media";"Alta";"Muy alta"}),"")</f>
        <v/>
      </c>
      <c r="AF2219" s="30">
        <f>T2219*AD2219</f>
        <v/>
      </c>
      <c r="AG2219" s="28">
        <f>IFERROR(LOOKUP(AF2219,{0;0.5;5;25},{"Bajo";"Medio";"Alto";"Crítico"}),"")</f>
        <v/>
      </c>
      <c r="AH2219" s="28">
        <f>IF(AG2219="","",IF(OR(AG2219="Crítico",AG2219="Alto"),"Mitigar",IF(AG2219="Medio","Mitigar","Aceptar y monitorear")))</f>
        <v/>
      </c>
      <c r="AI2219" s="21" t="n"/>
      <c r="AJ2219" s="21" t="n"/>
      <c r="AK2219" s="20" t="n"/>
      <c r="AL2219" s="77">
        <f>IFERROR(INDEX(MgAmenEfic,MATCH(SUBSTITUTE($H2219,"*","-"),MgAmenClave,0)),0)</f>
        <v/>
      </c>
    </row>
    <row r="2220" hidden="1" ht="120" customHeight="1" s="54">
      <c r="B2220" s="59" t="inlineStr">
        <is>
          <t>R-2215</t>
        </is>
      </c>
      <c r="C2220" s="59" t="inlineStr">
        <is>
          <t>MS-04</t>
        </is>
      </c>
      <c r="D2220" s="64">
        <f>IFERROR(INDEX(MgNombre,MATCH($C2220,MgActId,0)),"")</f>
        <v/>
      </c>
      <c r="E2220" s="64">
        <f>IFERROR(INDEX(MgProceso,MATCH($C2220,MgActId,0)),"")</f>
        <v/>
      </c>
      <c r="F2220" s="64">
        <f>IFERROR(INDEX(MgTipo,MATCH($C2220,MgActId,0)),"")</f>
        <v/>
      </c>
      <c r="G2220" s="64">
        <f>IFERROR(INDEX(MgSubtipo,MATCH($C2220,MgActId,0)),"")</f>
        <v/>
      </c>
      <c r="H2220" s="59" t="inlineStr">
        <is>
          <t>A.19</t>
        </is>
      </c>
      <c r="I2220" s="64">
        <f>IFERROR(INDEX(MgAmenNombre,MATCH(SUBSTITUTE($H2220,"*","-"),MgAmenClave,0)),"")</f>
        <v/>
      </c>
      <c r="J2220" s="28">
        <f>IFERROR(INDEX(MgAmenGrupo,MATCH(SUBSTITUTE($H2220,"*","-"),MgAmenClave,0)),"")</f>
        <v/>
      </c>
      <c r="K2220" s="64">
        <f>IFERROR(INDEX('1. Matriz de Activos'!$Q$6:$Q$239,MATCH($C2220,MgActId,0)),"")</f>
        <v/>
      </c>
      <c r="L2220" s="64">
        <f>IFERROR(INDEX('1. Matriz de Activos'!$R$6:$R$239,MATCH($C2220,MgActId,0)),"")</f>
        <v/>
      </c>
      <c r="M2220" s="64">
        <f>IFERROR(INDEX('1. Matriz de Activos'!$S$6:$S$239,MATCH($C2220,MgActId,0)),"")</f>
        <v/>
      </c>
      <c r="N2220" s="28">
        <f>IFERROR(INDEX(MgAmenDegD,MATCH(SUBSTITUTE($H2220,"*","-"),MgAmenClave,0)),"No aplica")</f>
        <v/>
      </c>
      <c r="O2220" s="28">
        <f>IFERROR(INDEX(MgAmenDegI,MATCH(SUBSTITUTE($H2220,"*","-"),MgAmenClave,0)),"No aplica")</f>
        <v/>
      </c>
      <c r="P2220" s="28">
        <f>IFERROR(INDEX(MgAmenDegC,MATCH(SUBSTITUTE($H2220,"*","-"),MgAmenClave,0)),"No aplica")</f>
        <v/>
      </c>
      <c r="Q2220" s="29">
        <f>IFERROR(VLOOKUP(K2220,MgValor,2,0)*VLOOKUP(N2220,MgDeg,2,0),0)</f>
        <v/>
      </c>
      <c r="R2220" s="29">
        <f>IFERROR(VLOOKUP(L2220,MgValor,2,0)*VLOOKUP(O2220,MgDeg,2,0),0)</f>
        <v/>
      </c>
      <c r="S2220" s="29">
        <f>IFERROR(VLOOKUP(M2220,MgValor,2,0)*VLOOKUP(P2220,MgDeg,2,0),0)</f>
        <v/>
      </c>
      <c r="T2220" s="30">
        <f>MAX(Q2220:S2220)</f>
        <v/>
      </c>
      <c r="U2220" s="28">
        <f>IFERROR(LOOKUP(T2220,{0;0.5;1.5;3;4.5},{"Despreciable";"Bajo";"Medio";"Alto";"Muy alto"}),"")</f>
        <v/>
      </c>
      <c r="V2220" s="13">
        <f>IFERROR(INDEX(MgAmenFrec,MATCH(SUBSTITUTE($H2220,"*","-"),MgAmenClave,0)),"")</f>
        <v/>
      </c>
      <c r="W2220" s="28">
        <f>IFERROR(LOOKUP(X2220,{0;0.01;0.1;1;10;100},{"Muy baja";"Muy baja";"Baja";"Media";"Alta";"Muy alta"}),"")</f>
        <v/>
      </c>
      <c r="X2220" s="31">
        <f>IFERROR(VLOOKUP(V2220,MgFrec,2,0),0)</f>
        <v/>
      </c>
      <c r="Y2220" s="30">
        <f>T2220*X2220</f>
        <v/>
      </c>
      <c r="Z2220" s="28">
        <f>IFERROR(LOOKUP(Y2220,{0;0.5;5;25},{"Bajo";"Medio";"Alto";"Crítico"}),"")</f>
        <v/>
      </c>
      <c r="AA2220" s="64">
        <f>IF(T2220&gt;=3,IF(X2220&gt;=1,"Zona 1 — Crítica: impacto alto y ocurre al menos una vez al año","Zona 4 — Catastrófica poco probable: impacto alto pero excepcional"),IF(AND(T2220&lt;1.5,X2220&lt;1),"Zona 3 — Asumible: impacto bajo y muy poco frecuente","Zona 2 — Atención: riesgo intermedio"))</f>
        <v/>
      </c>
      <c r="AB2220" s="64">
        <f>IFERROR(INDEX(MgAmenCtrl,MATCH(SUBSTITUTE($H2220,"*","-"),MgAmenClave,0)),"")</f>
        <v/>
      </c>
      <c r="AC2220" s="20" t="n"/>
      <c r="AD2220" s="31">
        <f>IFERROR($X2220*(1-IF($AC2220="",$AL2220,VLOOKUP($AC2220,MgMad,2,0))),"")</f>
        <v/>
      </c>
      <c r="AE2220" s="28">
        <f>IFERROR(LOOKUP(AD2220,{0;0.01;0.1;1;10;100},{"Muy baja";"Muy baja";"Baja";"Media";"Alta";"Muy alta"}),"")</f>
        <v/>
      </c>
      <c r="AF2220" s="30">
        <f>T2220*AD2220</f>
        <v/>
      </c>
      <c r="AG2220" s="28">
        <f>IFERROR(LOOKUP(AF2220,{0;0.5;5;25},{"Bajo";"Medio";"Alto";"Crítico"}),"")</f>
        <v/>
      </c>
      <c r="AH2220" s="28">
        <f>IF(AG2220="","",IF(OR(AG2220="Crítico",AG2220="Alto"),"Mitigar",IF(AG2220="Medio","Mitigar","Aceptar y monitorear")))</f>
        <v/>
      </c>
      <c r="AI2220" s="21" t="n"/>
      <c r="AJ2220" s="21" t="n"/>
      <c r="AK2220" s="20" t="n"/>
      <c r="AL2220" s="77">
        <f>IFERROR(INDEX(MgAmenEfic,MATCH(SUBSTITUTE($H2220,"*","-"),MgAmenClave,0)),0)</f>
        <v/>
      </c>
    </row>
    <row r="2221" hidden="1" ht="60" customHeight="1" s="54">
      <c r="B2221" s="59" t="inlineStr">
        <is>
          <t>R-2216</t>
        </is>
      </c>
      <c r="C2221" s="59" t="inlineStr">
        <is>
          <t>MS-04</t>
        </is>
      </c>
      <c r="D2221" s="64">
        <f>IFERROR(INDEX(MgNombre,MATCH($C2221,MgActId,0)),"")</f>
        <v/>
      </c>
      <c r="E2221" s="64">
        <f>IFERROR(INDEX(MgProceso,MATCH($C2221,MgActId,0)),"")</f>
        <v/>
      </c>
      <c r="F2221" s="64">
        <f>IFERROR(INDEX(MgTipo,MATCH($C2221,MgActId,0)),"")</f>
        <v/>
      </c>
      <c r="G2221" s="64">
        <f>IFERROR(INDEX(MgSubtipo,MATCH($C2221,MgActId,0)),"")</f>
        <v/>
      </c>
      <c r="H2221" s="59" t="inlineStr">
        <is>
          <t>A.24</t>
        </is>
      </c>
      <c r="I2221" s="64">
        <f>IFERROR(INDEX(MgAmenNombre,MATCH(SUBSTITUTE($H2221,"*","-"),MgAmenClave,0)),"")</f>
        <v/>
      </c>
      <c r="J2221" s="28">
        <f>IFERROR(INDEX(MgAmenGrupo,MATCH(SUBSTITUTE($H2221,"*","-"),MgAmenClave,0)),"")</f>
        <v/>
      </c>
      <c r="K2221" s="64">
        <f>IFERROR(INDEX('1. Matriz de Activos'!$Q$6:$Q$239,MATCH($C2221,MgActId,0)),"")</f>
        <v/>
      </c>
      <c r="L2221" s="64">
        <f>IFERROR(INDEX('1. Matriz de Activos'!$R$6:$R$239,MATCH($C2221,MgActId,0)),"")</f>
        <v/>
      </c>
      <c r="M2221" s="64">
        <f>IFERROR(INDEX('1. Matriz de Activos'!$S$6:$S$239,MATCH($C2221,MgActId,0)),"")</f>
        <v/>
      </c>
      <c r="N2221" s="28">
        <f>IFERROR(INDEX(MgAmenDegD,MATCH(SUBSTITUTE($H2221,"*","-"),MgAmenClave,0)),"No aplica")</f>
        <v/>
      </c>
      <c r="O2221" s="28">
        <f>IFERROR(INDEX(MgAmenDegI,MATCH(SUBSTITUTE($H2221,"*","-"),MgAmenClave,0)),"No aplica")</f>
        <v/>
      </c>
      <c r="P2221" s="28">
        <f>IFERROR(INDEX(MgAmenDegC,MATCH(SUBSTITUTE($H2221,"*","-"),MgAmenClave,0)),"No aplica")</f>
        <v/>
      </c>
      <c r="Q2221" s="29">
        <f>IFERROR(VLOOKUP(K2221,MgValor,2,0)*VLOOKUP(N2221,MgDeg,2,0),0)</f>
        <v/>
      </c>
      <c r="R2221" s="29">
        <f>IFERROR(VLOOKUP(L2221,MgValor,2,0)*VLOOKUP(O2221,MgDeg,2,0),0)</f>
        <v/>
      </c>
      <c r="S2221" s="29">
        <f>IFERROR(VLOOKUP(M2221,MgValor,2,0)*VLOOKUP(P2221,MgDeg,2,0),0)</f>
        <v/>
      </c>
      <c r="T2221" s="30">
        <f>MAX(Q2221:S2221)</f>
        <v/>
      </c>
      <c r="U2221" s="28">
        <f>IFERROR(LOOKUP(T2221,{0;0.5;1.5;3;4.5},{"Despreciable";"Bajo";"Medio";"Alto";"Muy alto"}),"")</f>
        <v/>
      </c>
      <c r="V2221" s="13">
        <f>IFERROR(INDEX(MgAmenFrec,MATCH(SUBSTITUTE($H2221,"*","-"),MgAmenClave,0)),"")</f>
        <v/>
      </c>
      <c r="W2221" s="28">
        <f>IFERROR(LOOKUP(X2221,{0;0.01;0.1;1;10;100},{"Muy baja";"Muy baja";"Baja";"Media";"Alta";"Muy alta"}),"")</f>
        <v/>
      </c>
      <c r="X2221" s="31">
        <f>IFERROR(VLOOKUP(V2221,MgFrec,2,0),0)</f>
        <v/>
      </c>
      <c r="Y2221" s="30">
        <f>T2221*X2221</f>
        <v/>
      </c>
      <c r="Z2221" s="28">
        <f>IFERROR(LOOKUP(Y2221,{0;0.5;5;25},{"Bajo";"Medio";"Alto";"Crítico"}),"")</f>
        <v/>
      </c>
      <c r="AA2221" s="64">
        <f>IF(T2221&gt;=3,IF(X2221&gt;=1,"Zona 1 — Crítica: impacto alto y ocurre al menos una vez al año","Zona 4 — Catastrófica poco probable: impacto alto pero excepcional"),IF(AND(T2221&lt;1.5,X2221&lt;1),"Zona 3 — Asumible: impacto bajo y muy poco frecuente","Zona 2 — Atención: riesgo intermedio"))</f>
        <v/>
      </c>
      <c r="AB2221" s="64">
        <f>IFERROR(INDEX(MgAmenCtrl,MATCH(SUBSTITUTE($H2221,"*","-"),MgAmenClave,0)),"")</f>
        <v/>
      </c>
      <c r="AC2221" s="20" t="n"/>
      <c r="AD2221" s="31">
        <f>IFERROR($X2221*(1-IF($AC2221="",$AL2221,VLOOKUP($AC2221,MgMad,2,0))),"")</f>
        <v/>
      </c>
      <c r="AE2221" s="28">
        <f>IFERROR(LOOKUP(AD2221,{0;0.01;0.1;1;10;100},{"Muy baja";"Muy baja";"Baja";"Media";"Alta";"Muy alta"}),"")</f>
        <v/>
      </c>
      <c r="AF2221" s="30">
        <f>T2221*AD2221</f>
        <v/>
      </c>
      <c r="AG2221" s="28">
        <f>IFERROR(LOOKUP(AF2221,{0;0.5;5;25},{"Bajo";"Medio";"Alto";"Crítico"}),"")</f>
        <v/>
      </c>
      <c r="AH2221" s="28">
        <f>IF(AG2221="","",IF(OR(AG2221="Crítico",AG2221="Alto"),"Mitigar",IF(AG2221="Medio","Mitigar","Aceptar y monitorear")))</f>
        <v/>
      </c>
      <c r="AI2221" s="21" t="n"/>
      <c r="AJ2221" s="21" t="n"/>
      <c r="AK2221" s="20" t="n"/>
      <c r="AL2221" s="77">
        <f>IFERROR(INDEX(MgAmenEfic,MATCH(SUBSTITUTE($H2221,"*","-"),MgAmenClave,0)),0)</f>
        <v/>
      </c>
    </row>
    <row r="2222" hidden="1" ht="105" customHeight="1" s="54">
      <c r="B2222" s="59" t="inlineStr">
        <is>
          <t>R-2217</t>
        </is>
      </c>
      <c r="C2222" s="59" t="inlineStr">
        <is>
          <t>SW-01</t>
        </is>
      </c>
      <c r="D2222" s="64">
        <f>IFERROR(INDEX(MgNombre,MATCH($C2222,MgActId,0)),"")</f>
        <v/>
      </c>
      <c r="E2222" s="64">
        <f>IFERROR(INDEX(MgProceso,MATCH($C2222,MgActId,0)),"")</f>
        <v/>
      </c>
      <c r="F2222" s="64">
        <f>IFERROR(INDEX(MgTipo,MATCH($C2222,MgActId,0)),"")</f>
        <v/>
      </c>
      <c r="G2222" s="64">
        <f>IFERROR(INDEX(MgSubtipo,MATCH($C2222,MgActId,0)),"")</f>
        <v/>
      </c>
      <c r="H2222" s="59" t="inlineStr">
        <is>
          <t>E.1</t>
        </is>
      </c>
      <c r="I2222" s="64">
        <f>IFERROR(INDEX(MgAmenNombre,MATCH(SUBSTITUTE($H2222,"*","-"),MgAmenClave,0)),"")</f>
        <v/>
      </c>
      <c r="J2222" s="28">
        <f>IFERROR(INDEX(MgAmenGrupo,MATCH(SUBSTITUTE($H2222,"*","-"),MgAmenClave,0)),"")</f>
        <v/>
      </c>
      <c r="K2222" s="64">
        <f>IFERROR(INDEX('1. Matriz de Activos'!$Q$6:$Q$239,MATCH($C2222,MgActId,0)),"")</f>
        <v/>
      </c>
      <c r="L2222" s="64">
        <f>IFERROR(INDEX('1. Matriz de Activos'!$R$6:$R$239,MATCH($C2222,MgActId,0)),"")</f>
        <v/>
      </c>
      <c r="M2222" s="64">
        <f>IFERROR(INDEX('1. Matriz de Activos'!$S$6:$S$239,MATCH($C2222,MgActId,0)),"")</f>
        <v/>
      </c>
      <c r="N2222" s="28">
        <f>IFERROR(INDEX(MgAmenDegD,MATCH(SUBSTITUTE($H2222,"*","-"),MgAmenClave,0)),"No aplica")</f>
        <v/>
      </c>
      <c r="O2222" s="28">
        <f>IFERROR(INDEX(MgAmenDegI,MATCH(SUBSTITUTE($H2222,"*","-"),MgAmenClave,0)),"No aplica")</f>
        <v/>
      </c>
      <c r="P2222" s="28">
        <f>IFERROR(INDEX(MgAmenDegC,MATCH(SUBSTITUTE($H2222,"*","-"),MgAmenClave,0)),"No aplica")</f>
        <v/>
      </c>
      <c r="Q2222" s="29">
        <f>IFERROR(VLOOKUP(K2222,MgValor,2,0)*VLOOKUP(N2222,MgDeg,2,0),0)</f>
        <v/>
      </c>
      <c r="R2222" s="29">
        <f>IFERROR(VLOOKUP(L2222,MgValor,2,0)*VLOOKUP(O2222,MgDeg,2,0),0)</f>
        <v/>
      </c>
      <c r="S2222" s="29">
        <f>IFERROR(VLOOKUP(M2222,MgValor,2,0)*VLOOKUP(P2222,MgDeg,2,0),0)</f>
        <v/>
      </c>
      <c r="T2222" s="30">
        <f>MAX(Q2222:S2222)</f>
        <v/>
      </c>
      <c r="U2222" s="28">
        <f>IFERROR(LOOKUP(T2222,{0;0.5;1.5;3;4.5},{"Despreciable";"Bajo";"Medio";"Alto";"Muy alto"}),"")</f>
        <v/>
      </c>
      <c r="V2222" s="13">
        <f>IFERROR(INDEX(MgAmenFrec,MATCH(SUBSTITUTE($H2222,"*","-"),MgAmenClave,0)),"")</f>
        <v/>
      </c>
      <c r="W2222" s="28">
        <f>IFERROR(LOOKUP(X2222,{0;0.01;0.1;1;10;100},{"Muy baja";"Muy baja";"Baja";"Media";"Alta";"Muy alta"}),"")</f>
        <v/>
      </c>
      <c r="X2222" s="31">
        <f>IFERROR(VLOOKUP(V2222,MgFrec,2,0),0)</f>
        <v/>
      </c>
      <c r="Y2222" s="30">
        <f>T2222*X2222</f>
        <v/>
      </c>
      <c r="Z2222" s="28">
        <f>IFERROR(LOOKUP(Y2222,{0;0.5;5;25},{"Bajo";"Medio";"Alto";"Crítico"}),"")</f>
        <v/>
      </c>
      <c r="AA2222" s="64">
        <f>IF(T2222&gt;=3,IF(X2222&gt;=1,"Zona 1 — Crítica: impacto alto y ocurre al menos una vez al año","Zona 4 — Catastrófica poco probable: impacto alto pero excepcional"),IF(AND(T2222&lt;1.5,X2222&lt;1),"Zona 3 — Asumible: impacto bajo y muy poco frecuente","Zona 2 — Atención: riesgo intermedio"))</f>
        <v/>
      </c>
      <c r="AB2222" s="64">
        <f>IFERROR(INDEX(MgAmenCtrl,MATCH(SUBSTITUTE($H2222,"*","-"),MgAmenClave,0)),"")</f>
        <v/>
      </c>
      <c r="AC2222" s="20" t="n"/>
      <c r="AD2222" s="31">
        <f>IFERROR($X2222*(1-IF($AC2222="",$AL2222,VLOOKUP($AC2222,MgMad,2,0))),"")</f>
        <v/>
      </c>
      <c r="AE2222" s="28">
        <f>IFERROR(LOOKUP(AD2222,{0;0.01;0.1;1;10;100},{"Muy baja";"Muy baja";"Baja";"Media";"Alta";"Muy alta"}),"")</f>
        <v/>
      </c>
      <c r="AF2222" s="30">
        <f>T2222*AD2222</f>
        <v/>
      </c>
      <c r="AG2222" s="28">
        <f>IFERROR(LOOKUP(AF2222,{0;0.5;5;25},{"Bajo";"Medio";"Alto";"Crítico"}),"")</f>
        <v/>
      </c>
      <c r="AH2222" s="28">
        <f>IF(AG2222="","",IF(OR(AG2222="Crítico",AG2222="Alto"),"Mitigar",IF(AG2222="Medio","Mitigar","Aceptar y monitorear")))</f>
        <v/>
      </c>
      <c r="AI2222" s="21" t="n"/>
      <c r="AJ2222" s="21" t="n"/>
      <c r="AK2222" s="20" t="n"/>
      <c r="AL2222" s="77">
        <f>IFERROR(INDEX(MgAmenEfic,MATCH(SUBSTITUTE($H2222,"*","-"),MgAmenClave,0)),0)</f>
        <v/>
      </c>
    </row>
    <row r="2223" hidden="1" ht="120" customHeight="1" s="54">
      <c r="B2223" s="59" t="inlineStr">
        <is>
          <t>R-2218</t>
        </is>
      </c>
      <c r="C2223" s="59" t="inlineStr">
        <is>
          <t>SW-01</t>
        </is>
      </c>
      <c r="D2223" s="64">
        <f>IFERROR(INDEX(MgNombre,MATCH($C2223,MgActId,0)),"")</f>
        <v/>
      </c>
      <c r="E2223" s="64">
        <f>IFERROR(INDEX(MgProceso,MATCH($C2223,MgActId,0)),"")</f>
        <v/>
      </c>
      <c r="F2223" s="64">
        <f>IFERROR(INDEX(MgTipo,MATCH($C2223,MgActId,0)),"")</f>
        <v/>
      </c>
      <c r="G2223" s="64">
        <f>IFERROR(INDEX(MgSubtipo,MATCH($C2223,MgActId,0)),"")</f>
        <v/>
      </c>
      <c r="H2223" s="59" t="inlineStr">
        <is>
          <t>E.2</t>
        </is>
      </c>
      <c r="I2223" s="64">
        <f>IFERROR(INDEX(MgAmenNombre,MATCH(SUBSTITUTE($H2223,"*","-"),MgAmenClave,0)),"")</f>
        <v/>
      </c>
      <c r="J2223" s="28">
        <f>IFERROR(INDEX(MgAmenGrupo,MATCH(SUBSTITUTE($H2223,"*","-"),MgAmenClave,0)),"")</f>
        <v/>
      </c>
      <c r="K2223" s="64">
        <f>IFERROR(INDEX('1. Matriz de Activos'!$Q$6:$Q$239,MATCH($C2223,MgActId,0)),"")</f>
        <v/>
      </c>
      <c r="L2223" s="64">
        <f>IFERROR(INDEX('1. Matriz de Activos'!$R$6:$R$239,MATCH($C2223,MgActId,0)),"")</f>
        <v/>
      </c>
      <c r="M2223" s="64">
        <f>IFERROR(INDEX('1. Matriz de Activos'!$S$6:$S$239,MATCH($C2223,MgActId,0)),"")</f>
        <v/>
      </c>
      <c r="N2223" s="28">
        <f>IFERROR(INDEX(MgAmenDegD,MATCH(SUBSTITUTE($H2223,"*","-"),MgAmenClave,0)),"No aplica")</f>
        <v/>
      </c>
      <c r="O2223" s="28">
        <f>IFERROR(INDEX(MgAmenDegI,MATCH(SUBSTITUTE($H2223,"*","-"),MgAmenClave,0)),"No aplica")</f>
        <v/>
      </c>
      <c r="P2223" s="28">
        <f>IFERROR(INDEX(MgAmenDegC,MATCH(SUBSTITUTE($H2223,"*","-"),MgAmenClave,0)),"No aplica")</f>
        <v/>
      </c>
      <c r="Q2223" s="29">
        <f>IFERROR(VLOOKUP(K2223,MgValor,2,0)*VLOOKUP(N2223,MgDeg,2,0),0)</f>
        <v/>
      </c>
      <c r="R2223" s="29">
        <f>IFERROR(VLOOKUP(L2223,MgValor,2,0)*VLOOKUP(O2223,MgDeg,2,0),0)</f>
        <v/>
      </c>
      <c r="S2223" s="29">
        <f>IFERROR(VLOOKUP(M2223,MgValor,2,0)*VLOOKUP(P2223,MgDeg,2,0),0)</f>
        <v/>
      </c>
      <c r="T2223" s="30">
        <f>MAX(Q2223:S2223)</f>
        <v/>
      </c>
      <c r="U2223" s="28">
        <f>IFERROR(LOOKUP(T2223,{0;0.5;1.5;3;4.5},{"Despreciable";"Bajo";"Medio";"Alto";"Muy alto"}),"")</f>
        <v/>
      </c>
      <c r="V2223" s="13">
        <f>IFERROR(INDEX(MgAmenFrec,MATCH(SUBSTITUTE($H2223,"*","-"),MgAmenClave,0)),"")</f>
        <v/>
      </c>
      <c r="W2223" s="28">
        <f>IFERROR(LOOKUP(X2223,{0;0.01;0.1;1;10;100},{"Muy baja";"Muy baja";"Baja";"Media";"Alta";"Muy alta"}),"")</f>
        <v/>
      </c>
      <c r="X2223" s="31">
        <f>IFERROR(VLOOKUP(V2223,MgFrec,2,0),0)</f>
        <v/>
      </c>
      <c r="Y2223" s="30">
        <f>T2223*X2223</f>
        <v/>
      </c>
      <c r="Z2223" s="28">
        <f>IFERROR(LOOKUP(Y2223,{0;0.5;5;25},{"Bajo";"Medio";"Alto";"Crítico"}),"")</f>
        <v/>
      </c>
      <c r="AA2223" s="64">
        <f>IF(T2223&gt;=3,IF(X2223&gt;=1,"Zona 1 — Crítica: impacto alto y ocurre al menos una vez al año","Zona 4 — Catastrófica poco probable: impacto alto pero excepcional"),IF(AND(T2223&lt;1.5,X2223&lt;1),"Zona 3 — Asumible: impacto bajo y muy poco frecuente","Zona 2 — Atención: riesgo intermedio"))</f>
        <v/>
      </c>
      <c r="AB2223" s="64">
        <f>IFERROR(INDEX(MgAmenCtrl,MATCH(SUBSTITUTE($H2223,"*","-"),MgAmenClave,0)),"")</f>
        <v/>
      </c>
      <c r="AC2223" s="20" t="n"/>
      <c r="AD2223" s="31">
        <f>IFERROR($X2223*(1-IF($AC2223="",$AL2223,VLOOKUP($AC2223,MgMad,2,0))),"")</f>
        <v/>
      </c>
      <c r="AE2223" s="28">
        <f>IFERROR(LOOKUP(AD2223,{0;0.01;0.1;1;10;100},{"Muy baja";"Muy baja";"Baja";"Media";"Alta";"Muy alta"}),"")</f>
        <v/>
      </c>
      <c r="AF2223" s="30">
        <f>T2223*AD2223</f>
        <v/>
      </c>
      <c r="AG2223" s="28">
        <f>IFERROR(LOOKUP(AF2223,{0;0.5;5;25},{"Bajo";"Medio";"Alto";"Crítico"}),"")</f>
        <v/>
      </c>
      <c r="AH2223" s="28">
        <f>IF(AG2223="","",IF(OR(AG2223="Crítico",AG2223="Alto"),"Mitigar",IF(AG2223="Medio","Mitigar","Aceptar y monitorear")))</f>
        <v/>
      </c>
      <c r="AI2223" s="21" t="n"/>
      <c r="AJ2223" s="21" t="n"/>
      <c r="AK2223" s="20" t="n"/>
      <c r="AL2223" s="77">
        <f>IFERROR(INDEX(MgAmenEfic,MATCH(SUBSTITUTE($H2223,"*","-"),MgAmenClave,0)),0)</f>
        <v/>
      </c>
    </row>
    <row r="2224" hidden="1" ht="60" customHeight="1" s="54">
      <c r="B2224" s="59" t="inlineStr">
        <is>
          <t>R-2219</t>
        </is>
      </c>
      <c r="C2224" s="59" t="inlineStr">
        <is>
          <t>SW-01</t>
        </is>
      </c>
      <c r="D2224" s="64">
        <f>IFERROR(INDEX(MgNombre,MATCH($C2224,MgActId,0)),"")</f>
        <v/>
      </c>
      <c r="E2224" s="64">
        <f>IFERROR(INDEX(MgProceso,MATCH($C2224,MgActId,0)),"")</f>
        <v/>
      </c>
      <c r="F2224" s="64">
        <f>IFERROR(INDEX(MgTipo,MATCH($C2224,MgActId,0)),"")</f>
        <v/>
      </c>
      <c r="G2224" s="64">
        <f>IFERROR(INDEX(MgSubtipo,MATCH($C2224,MgActId,0)),"")</f>
        <v/>
      </c>
      <c r="H2224" s="59" t="inlineStr">
        <is>
          <t>E.9</t>
        </is>
      </c>
      <c r="I2224" s="64">
        <f>IFERROR(INDEX(MgAmenNombre,MATCH(SUBSTITUTE($H2224,"*","-"),MgAmenClave,0)),"")</f>
        <v/>
      </c>
      <c r="J2224" s="28">
        <f>IFERROR(INDEX(MgAmenGrupo,MATCH(SUBSTITUTE($H2224,"*","-"),MgAmenClave,0)),"")</f>
        <v/>
      </c>
      <c r="K2224" s="64">
        <f>IFERROR(INDEX('1. Matriz de Activos'!$Q$6:$Q$239,MATCH($C2224,MgActId,0)),"")</f>
        <v/>
      </c>
      <c r="L2224" s="64">
        <f>IFERROR(INDEX('1. Matriz de Activos'!$R$6:$R$239,MATCH($C2224,MgActId,0)),"")</f>
        <v/>
      </c>
      <c r="M2224" s="64">
        <f>IFERROR(INDEX('1. Matriz de Activos'!$S$6:$S$239,MATCH($C2224,MgActId,0)),"")</f>
        <v/>
      </c>
      <c r="N2224" s="28">
        <f>IFERROR(INDEX(MgAmenDegD,MATCH(SUBSTITUTE($H2224,"*","-"),MgAmenClave,0)),"No aplica")</f>
        <v/>
      </c>
      <c r="O2224" s="28">
        <f>IFERROR(INDEX(MgAmenDegI,MATCH(SUBSTITUTE($H2224,"*","-"),MgAmenClave,0)),"No aplica")</f>
        <v/>
      </c>
      <c r="P2224" s="28">
        <f>IFERROR(INDEX(MgAmenDegC,MATCH(SUBSTITUTE($H2224,"*","-"),MgAmenClave,0)),"No aplica")</f>
        <v/>
      </c>
      <c r="Q2224" s="29">
        <f>IFERROR(VLOOKUP(K2224,MgValor,2,0)*VLOOKUP(N2224,MgDeg,2,0),0)</f>
        <v/>
      </c>
      <c r="R2224" s="29">
        <f>IFERROR(VLOOKUP(L2224,MgValor,2,0)*VLOOKUP(O2224,MgDeg,2,0),0)</f>
        <v/>
      </c>
      <c r="S2224" s="29">
        <f>IFERROR(VLOOKUP(M2224,MgValor,2,0)*VLOOKUP(P2224,MgDeg,2,0),0)</f>
        <v/>
      </c>
      <c r="T2224" s="30">
        <f>MAX(Q2224:S2224)</f>
        <v/>
      </c>
      <c r="U2224" s="28">
        <f>IFERROR(LOOKUP(T2224,{0;0.5;1.5;3;4.5},{"Despreciable";"Bajo";"Medio";"Alto";"Muy alto"}),"")</f>
        <v/>
      </c>
      <c r="V2224" s="13">
        <f>IFERROR(INDEX(MgAmenFrec,MATCH(SUBSTITUTE($H2224,"*","-"),MgAmenClave,0)),"")</f>
        <v/>
      </c>
      <c r="W2224" s="28">
        <f>IFERROR(LOOKUP(X2224,{0;0.01;0.1;1;10;100},{"Muy baja";"Muy baja";"Baja";"Media";"Alta";"Muy alta"}),"")</f>
        <v/>
      </c>
      <c r="X2224" s="31">
        <f>IFERROR(VLOOKUP(V2224,MgFrec,2,0),0)</f>
        <v/>
      </c>
      <c r="Y2224" s="30">
        <f>T2224*X2224</f>
        <v/>
      </c>
      <c r="Z2224" s="28">
        <f>IFERROR(LOOKUP(Y2224,{0;0.5;5;25},{"Bajo";"Medio";"Alto";"Crítico"}),"")</f>
        <v/>
      </c>
      <c r="AA2224" s="64">
        <f>IF(T2224&gt;=3,IF(X2224&gt;=1,"Zona 1 — Crítica: impacto alto y ocurre al menos una vez al año","Zona 4 — Catastrófica poco probable: impacto alto pero excepcional"),IF(AND(T2224&lt;1.5,X2224&lt;1),"Zona 3 — Asumible: impacto bajo y muy poco frecuente","Zona 2 — Atención: riesgo intermedio"))</f>
        <v/>
      </c>
      <c r="AB2224" s="64">
        <f>IFERROR(INDEX(MgAmenCtrl,MATCH(SUBSTITUTE($H2224,"*","-"),MgAmenClave,0)),"")</f>
        <v/>
      </c>
      <c r="AC2224" s="20" t="n"/>
      <c r="AD2224" s="31">
        <f>IFERROR($X2224*(1-IF($AC2224="",$AL2224,VLOOKUP($AC2224,MgMad,2,0))),"")</f>
        <v/>
      </c>
      <c r="AE2224" s="28">
        <f>IFERROR(LOOKUP(AD2224,{0;0.01;0.1;1;10;100},{"Muy baja";"Muy baja";"Baja";"Media";"Alta";"Muy alta"}),"")</f>
        <v/>
      </c>
      <c r="AF2224" s="30">
        <f>T2224*AD2224</f>
        <v/>
      </c>
      <c r="AG2224" s="28">
        <f>IFERROR(LOOKUP(AF2224,{0;0.5;5;25},{"Bajo";"Medio";"Alto";"Crítico"}),"")</f>
        <v/>
      </c>
      <c r="AH2224" s="28">
        <f>IF(AG2224="","",IF(OR(AG2224="Crítico",AG2224="Alto"),"Mitigar",IF(AG2224="Medio","Mitigar","Aceptar y monitorear")))</f>
        <v/>
      </c>
      <c r="AI2224" s="21" t="n"/>
      <c r="AJ2224" s="21" t="n"/>
      <c r="AK2224" s="20" t="n"/>
      <c r="AL2224" s="77">
        <f>IFERROR(INDEX(MgAmenEfic,MATCH(SUBSTITUTE($H2224,"*","-"),MgAmenClave,0)),0)</f>
        <v/>
      </c>
    </row>
    <row r="2225" hidden="1" ht="90" customHeight="1" s="54">
      <c r="B2225" s="59" t="inlineStr">
        <is>
          <t>R-2220</t>
        </is>
      </c>
      <c r="C2225" s="59" t="inlineStr">
        <is>
          <t>SW-01</t>
        </is>
      </c>
      <c r="D2225" s="64">
        <f>IFERROR(INDEX(MgNombre,MATCH($C2225,MgActId,0)),"")</f>
        <v/>
      </c>
      <c r="E2225" s="64">
        <f>IFERROR(INDEX(MgProceso,MATCH($C2225,MgActId,0)),"")</f>
        <v/>
      </c>
      <c r="F2225" s="64">
        <f>IFERROR(INDEX(MgTipo,MATCH($C2225,MgActId,0)),"")</f>
        <v/>
      </c>
      <c r="G2225" s="64">
        <f>IFERROR(INDEX(MgSubtipo,MATCH($C2225,MgActId,0)),"")</f>
        <v/>
      </c>
      <c r="H2225" s="59" t="inlineStr">
        <is>
          <t>E.10</t>
        </is>
      </c>
      <c r="I2225" s="64">
        <f>IFERROR(INDEX(MgAmenNombre,MATCH(SUBSTITUTE($H2225,"*","-"),MgAmenClave,0)),"")</f>
        <v/>
      </c>
      <c r="J2225" s="28">
        <f>IFERROR(INDEX(MgAmenGrupo,MATCH(SUBSTITUTE($H2225,"*","-"),MgAmenClave,0)),"")</f>
        <v/>
      </c>
      <c r="K2225" s="64">
        <f>IFERROR(INDEX('1. Matriz de Activos'!$Q$6:$Q$239,MATCH($C2225,MgActId,0)),"")</f>
        <v/>
      </c>
      <c r="L2225" s="64">
        <f>IFERROR(INDEX('1. Matriz de Activos'!$R$6:$R$239,MATCH($C2225,MgActId,0)),"")</f>
        <v/>
      </c>
      <c r="M2225" s="64">
        <f>IFERROR(INDEX('1. Matriz de Activos'!$S$6:$S$239,MATCH($C2225,MgActId,0)),"")</f>
        <v/>
      </c>
      <c r="N2225" s="28">
        <f>IFERROR(INDEX(MgAmenDegD,MATCH(SUBSTITUTE($H2225,"*","-"),MgAmenClave,0)),"No aplica")</f>
        <v/>
      </c>
      <c r="O2225" s="28">
        <f>IFERROR(INDEX(MgAmenDegI,MATCH(SUBSTITUTE($H2225,"*","-"),MgAmenClave,0)),"No aplica")</f>
        <v/>
      </c>
      <c r="P2225" s="28">
        <f>IFERROR(INDEX(MgAmenDegC,MATCH(SUBSTITUTE($H2225,"*","-"),MgAmenClave,0)),"No aplica")</f>
        <v/>
      </c>
      <c r="Q2225" s="29">
        <f>IFERROR(VLOOKUP(K2225,MgValor,2,0)*VLOOKUP(N2225,MgDeg,2,0),0)</f>
        <v/>
      </c>
      <c r="R2225" s="29">
        <f>IFERROR(VLOOKUP(L2225,MgValor,2,0)*VLOOKUP(O2225,MgDeg,2,0),0)</f>
        <v/>
      </c>
      <c r="S2225" s="29">
        <f>IFERROR(VLOOKUP(M2225,MgValor,2,0)*VLOOKUP(P2225,MgDeg,2,0),0)</f>
        <v/>
      </c>
      <c r="T2225" s="30">
        <f>MAX(Q2225:S2225)</f>
        <v/>
      </c>
      <c r="U2225" s="28">
        <f>IFERROR(LOOKUP(T2225,{0;0.5;1.5;3;4.5},{"Despreciable";"Bajo";"Medio";"Alto";"Muy alto"}),"")</f>
        <v/>
      </c>
      <c r="V2225" s="13">
        <f>IFERROR(INDEX(MgAmenFrec,MATCH(SUBSTITUTE($H2225,"*","-"),MgAmenClave,0)),"")</f>
        <v/>
      </c>
      <c r="W2225" s="28">
        <f>IFERROR(LOOKUP(X2225,{0;0.01;0.1;1;10;100},{"Muy baja";"Muy baja";"Baja";"Media";"Alta";"Muy alta"}),"")</f>
        <v/>
      </c>
      <c r="X2225" s="31">
        <f>IFERROR(VLOOKUP(V2225,MgFrec,2,0),0)</f>
        <v/>
      </c>
      <c r="Y2225" s="30">
        <f>T2225*X2225</f>
        <v/>
      </c>
      <c r="Z2225" s="28">
        <f>IFERROR(LOOKUP(Y2225,{0;0.5;5;25},{"Bajo";"Medio";"Alto";"Crítico"}),"")</f>
        <v/>
      </c>
      <c r="AA2225" s="64">
        <f>IF(T2225&gt;=3,IF(X2225&gt;=1,"Zona 1 — Crítica: impacto alto y ocurre al menos una vez al año","Zona 4 — Catastrófica poco probable: impacto alto pero excepcional"),IF(AND(T2225&lt;1.5,X2225&lt;1),"Zona 3 — Asumible: impacto bajo y muy poco frecuente","Zona 2 — Atención: riesgo intermedio"))</f>
        <v/>
      </c>
      <c r="AB2225" s="64">
        <f>IFERROR(INDEX(MgAmenCtrl,MATCH(SUBSTITUTE($H2225,"*","-"),MgAmenClave,0)),"")</f>
        <v/>
      </c>
      <c r="AC2225" s="20" t="n"/>
      <c r="AD2225" s="31">
        <f>IFERROR($X2225*(1-IF($AC2225="",$AL2225,VLOOKUP($AC2225,MgMad,2,0))),"")</f>
        <v/>
      </c>
      <c r="AE2225" s="28">
        <f>IFERROR(LOOKUP(AD2225,{0;0.01;0.1;1;10;100},{"Muy baja";"Muy baja";"Baja";"Media";"Alta";"Muy alta"}),"")</f>
        <v/>
      </c>
      <c r="AF2225" s="30">
        <f>T2225*AD2225</f>
        <v/>
      </c>
      <c r="AG2225" s="28">
        <f>IFERROR(LOOKUP(AF2225,{0;0.5;5;25},{"Bajo";"Medio";"Alto";"Crítico"}),"")</f>
        <v/>
      </c>
      <c r="AH2225" s="28">
        <f>IF(AG2225="","",IF(OR(AG2225="Crítico",AG2225="Alto"),"Mitigar",IF(AG2225="Medio","Mitigar","Aceptar y monitorear")))</f>
        <v/>
      </c>
      <c r="AI2225" s="21" t="n"/>
      <c r="AJ2225" s="21" t="n"/>
      <c r="AK2225" s="20" t="n"/>
      <c r="AL2225" s="77">
        <f>IFERROR(INDEX(MgAmenEfic,MATCH(SUBSTITUTE($H2225,"*","-"),MgAmenClave,0)),0)</f>
        <v/>
      </c>
    </row>
    <row r="2226" hidden="1" ht="90" customHeight="1" s="54">
      <c r="B2226" s="59" t="inlineStr">
        <is>
          <t>R-2221</t>
        </is>
      </c>
      <c r="C2226" s="59" t="inlineStr">
        <is>
          <t>SW-01</t>
        </is>
      </c>
      <c r="D2226" s="64">
        <f>IFERROR(INDEX(MgNombre,MATCH($C2226,MgActId,0)),"")</f>
        <v/>
      </c>
      <c r="E2226" s="64">
        <f>IFERROR(INDEX(MgProceso,MATCH($C2226,MgActId,0)),"")</f>
        <v/>
      </c>
      <c r="F2226" s="64">
        <f>IFERROR(INDEX(MgTipo,MATCH($C2226,MgActId,0)),"")</f>
        <v/>
      </c>
      <c r="G2226" s="64">
        <f>IFERROR(INDEX(MgSubtipo,MATCH($C2226,MgActId,0)),"")</f>
        <v/>
      </c>
      <c r="H2226" s="59" t="inlineStr">
        <is>
          <t>E.14</t>
        </is>
      </c>
      <c r="I2226" s="64">
        <f>IFERROR(INDEX(MgAmenNombre,MATCH(SUBSTITUTE($H2226,"*","-"),MgAmenClave,0)),"")</f>
        <v/>
      </c>
      <c r="J2226" s="28">
        <f>IFERROR(INDEX(MgAmenGrupo,MATCH(SUBSTITUTE($H2226,"*","-"),MgAmenClave,0)),"")</f>
        <v/>
      </c>
      <c r="K2226" s="64">
        <f>IFERROR(INDEX('1. Matriz de Activos'!$Q$6:$Q$239,MATCH($C2226,MgActId,0)),"")</f>
        <v/>
      </c>
      <c r="L2226" s="64">
        <f>IFERROR(INDEX('1. Matriz de Activos'!$R$6:$R$239,MATCH($C2226,MgActId,0)),"")</f>
        <v/>
      </c>
      <c r="M2226" s="64">
        <f>IFERROR(INDEX('1. Matriz de Activos'!$S$6:$S$239,MATCH($C2226,MgActId,0)),"")</f>
        <v/>
      </c>
      <c r="N2226" s="28">
        <f>IFERROR(INDEX(MgAmenDegD,MATCH(SUBSTITUTE($H2226,"*","-"),MgAmenClave,0)),"No aplica")</f>
        <v/>
      </c>
      <c r="O2226" s="28">
        <f>IFERROR(INDEX(MgAmenDegI,MATCH(SUBSTITUTE($H2226,"*","-"),MgAmenClave,0)),"No aplica")</f>
        <v/>
      </c>
      <c r="P2226" s="28">
        <f>IFERROR(INDEX(MgAmenDegC,MATCH(SUBSTITUTE($H2226,"*","-"),MgAmenClave,0)),"No aplica")</f>
        <v/>
      </c>
      <c r="Q2226" s="29">
        <f>IFERROR(VLOOKUP(K2226,MgValor,2,0)*VLOOKUP(N2226,MgDeg,2,0),0)</f>
        <v/>
      </c>
      <c r="R2226" s="29">
        <f>IFERROR(VLOOKUP(L2226,MgValor,2,0)*VLOOKUP(O2226,MgDeg,2,0),0)</f>
        <v/>
      </c>
      <c r="S2226" s="29">
        <f>IFERROR(VLOOKUP(M2226,MgValor,2,0)*VLOOKUP(P2226,MgDeg,2,0),0)</f>
        <v/>
      </c>
      <c r="T2226" s="30">
        <f>MAX(Q2226:S2226)</f>
        <v/>
      </c>
      <c r="U2226" s="28">
        <f>IFERROR(LOOKUP(T2226,{0;0.5;1.5;3;4.5},{"Despreciable";"Bajo";"Medio";"Alto";"Muy alto"}),"")</f>
        <v/>
      </c>
      <c r="V2226" s="13">
        <f>IFERROR(INDEX(MgAmenFrec,MATCH(SUBSTITUTE($H2226,"*","-"),MgAmenClave,0)),"")</f>
        <v/>
      </c>
      <c r="W2226" s="28">
        <f>IFERROR(LOOKUP(X2226,{0;0.01;0.1;1;10;100},{"Muy baja";"Muy baja";"Baja";"Media";"Alta";"Muy alta"}),"")</f>
        <v/>
      </c>
      <c r="X2226" s="31">
        <f>IFERROR(VLOOKUP(V2226,MgFrec,2,0),0)</f>
        <v/>
      </c>
      <c r="Y2226" s="30">
        <f>T2226*X2226</f>
        <v/>
      </c>
      <c r="Z2226" s="28">
        <f>IFERROR(LOOKUP(Y2226,{0;0.5;5;25},{"Bajo";"Medio";"Alto";"Crítico"}),"")</f>
        <v/>
      </c>
      <c r="AA2226" s="64">
        <f>IF(T2226&gt;=3,IF(X2226&gt;=1,"Zona 1 — Crítica: impacto alto y ocurre al menos una vez al año","Zona 4 — Catastrófica poco probable: impacto alto pero excepcional"),IF(AND(T2226&lt;1.5,X2226&lt;1),"Zona 3 — Asumible: impacto bajo y muy poco frecuente","Zona 2 — Atención: riesgo intermedio"))</f>
        <v/>
      </c>
      <c r="AB2226" s="64">
        <f>IFERROR(INDEX(MgAmenCtrl,MATCH(SUBSTITUTE($H2226,"*","-"),MgAmenClave,0)),"")</f>
        <v/>
      </c>
      <c r="AC2226" s="20" t="n"/>
      <c r="AD2226" s="31">
        <f>IFERROR($X2226*(1-IF($AC2226="",$AL2226,VLOOKUP($AC2226,MgMad,2,0))),"")</f>
        <v/>
      </c>
      <c r="AE2226" s="28">
        <f>IFERROR(LOOKUP(AD2226,{0;0.01;0.1;1;10;100},{"Muy baja";"Muy baja";"Baja";"Media";"Alta";"Muy alta"}),"")</f>
        <v/>
      </c>
      <c r="AF2226" s="30">
        <f>T2226*AD2226</f>
        <v/>
      </c>
      <c r="AG2226" s="28">
        <f>IFERROR(LOOKUP(AF2226,{0;0.5;5;25},{"Bajo";"Medio";"Alto";"Crítico"}),"")</f>
        <v/>
      </c>
      <c r="AH2226" s="28">
        <f>IF(AG2226="","",IF(OR(AG2226="Crítico",AG2226="Alto"),"Mitigar",IF(AG2226="Medio","Mitigar","Aceptar y monitorear")))</f>
        <v/>
      </c>
      <c r="AI2226" s="21" t="n"/>
      <c r="AJ2226" s="21" t="n"/>
      <c r="AK2226" s="20" t="n"/>
      <c r="AL2226" s="77">
        <f>IFERROR(INDEX(MgAmenEfic,MATCH(SUBSTITUTE($H2226,"*","-"),MgAmenClave,0)),0)</f>
        <v/>
      </c>
    </row>
    <row r="2227" hidden="1" ht="90" customHeight="1" s="54">
      <c r="B2227" s="59" t="inlineStr">
        <is>
          <t>R-2222</t>
        </is>
      </c>
      <c r="C2227" s="59" t="inlineStr">
        <is>
          <t>SW-01</t>
        </is>
      </c>
      <c r="D2227" s="64">
        <f>IFERROR(INDEX(MgNombre,MATCH($C2227,MgActId,0)),"")</f>
        <v/>
      </c>
      <c r="E2227" s="64">
        <f>IFERROR(INDEX(MgProceso,MATCH($C2227,MgActId,0)),"")</f>
        <v/>
      </c>
      <c r="F2227" s="64">
        <f>IFERROR(INDEX(MgTipo,MATCH($C2227,MgActId,0)),"")</f>
        <v/>
      </c>
      <c r="G2227" s="64">
        <f>IFERROR(INDEX(MgSubtipo,MATCH($C2227,MgActId,0)),"")</f>
        <v/>
      </c>
      <c r="H2227" s="59" t="inlineStr">
        <is>
          <t>E.15</t>
        </is>
      </c>
      <c r="I2227" s="64">
        <f>IFERROR(INDEX(MgAmenNombre,MATCH(SUBSTITUTE($H2227,"*","-"),MgAmenClave,0)),"")</f>
        <v/>
      </c>
      <c r="J2227" s="28">
        <f>IFERROR(INDEX(MgAmenGrupo,MATCH(SUBSTITUTE($H2227,"*","-"),MgAmenClave,0)),"")</f>
        <v/>
      </c>
      <c r="K2227" s="64">
        <f>IFERROR(INDEX('1. Matriz de Activos'!$Q$6:$Q$239,MATCH($C2227,MgActId,0)),"")</f>
        <v/>
      </c>
      <c r="L2227" s="64">
        <f>IFERROR(INDEX('1. Matriz de Activos'!$R$6:$R$239,MATCH($C2227,MgActId,0)),"")</f>
        <v/>
      </c>
      <c r="M2227" s="64">
        <f>IFERROR(INDEX('1. Matriz de Activos'!$S$6:$S$239,MATCH($C2227,MgActId,0)),"")</f>
        <v/>
      </c>
      <c r="N2227" s="28">
        <f>IFERROR(INDEX(MgAmenDegD,MATCH(SUBSTITUTE($H2227,"*","-"),MgAmenClave,0)),"No aplica")</f>
        <v/>
      </c>
      <c r="O2227" s="28">
        <f>IFERROR(INDEX(MgAmenDegI,MATCH(SUBSTITUTE($H2227,"*","-"),MgAmenClave,0)),"No aplica")</f>
        <v/>
      </c>
      <c r="P2227" s="28">
        <f>IFERROR(INDEX(MgAmenDegC,MATCH(SUBSTITUTE($H2227,"*","-"),MgAmenClave,0)),"No aplica")</f>
        <v/>
      </c>
      <c r="Q2227" s="29">
        <f>IFERROR(VLOOKUP(K2227,MgValor,2,0)*VLOOKUP(N2227,MgDeg,2,0),0)</f>
        <v/>
      </c>
      <c r="R2227" s="29">
        <f>IFERROR(VLOOKUP(L2227,MgValor,2,0)*VLOOKUP(O2227,MgDeg,2,0),0)</f>
        <v/>
      </c>
      <c r="S2227" s="29">
        <f>IFERROR(VLOOKUP(M2227,MgValor,2,0)*VLOOKUP(P2227,MgDeg,2,0),0)</f>
        <v/>
      </c>
      <c r="T2227" s="30">
        <f>MAX(Q2227:S2227)</f>
        <v/>
      </c>
      <c r="U2227" s="28">
        <f>IFERROR(LOOKUP(T2227,{0;0.5;1.5;3;4.5},{"Despreciable";"Bajo";"Medio";"Alto";"Muy alto"}),"")</f>
        <v/>
      </c>
      <c r="V2227" s="13">
        <f>IFERROR(INDEX(MgAmenFrec,MATCH(SUBSTITUTE($H2227,"*","-"),MgAmenClave,0)),"")</f>
        <v/>
      </c>
      <c r="W2227" s="28">
        <f>IFERROR(LOOKUP(X2227,{0;0.01;0.1;1;10;100},{"Muy baja";"Muy baja";"Baja";"Media";"Alta";"Muy alta"}),"")</f>
        <v/>
      </c>
      <c r="X2227" s="31">
        <f>IFERROR(VLOOKUP(V2227,MgFrec,2,0),0)</f>
        <v/>
      </c>
      <c r="Y2227" s="30">
        <f>T2227*X2227</f>
        <v/>
      </c>
      <c r="Z2227" s="28">
        <f>IFERROR(LOOKUP(Y2227,{0;0.5;5;25},{"Bajo";"Medio";"Alto";"Crítico"}),"")</f>
        <v/>
      </c>
      <c r="AA2227" s="64">
        <f>IF(T2227&gt;=3,IF(X2227&gt;=1,"Zona 1 — Crítica: impacto alto y ocurre al menos una vez al año","Zona 4 — Catastrófica poco probable: impacto alto pero excepcional"),IF(AND(T2227&lt;1.5,X2227&lt;1),"Zona 3 — Asumible: impacto bajo y muy poco frecuente","Zona 2 — Atención: riesgo intermedio"))</f>
        <v/>
      </c>
      <c r="AB2227" s="64">
        <f>IFERROR(INDEX(MgAmenCtrl,MATCH(SUBSTITUTE($H2227,"*","-"),MgAmenClave,0)),"")</f>
        <v/>
      </c>
      <c r="AC2227" s="20" t="n"/>
      <c r="AD2227" s="31">
        <f>IFERROR($X2227*(1-IF($AC2227="",$AL2227,VLOOKUP($AC2227,MgMad,2,0))),"")</f>
        <v/>
      </c>
      <c r="AE2227" s="28">
        <f>IFERROR(LOOKUP(AD2227,{0;0.01;0.1;1;10;100},{"Muy baja";"Muy baja";"Baja";"Media";"Alta";"Muy alta"}),"")</f>
        <v/>
      </c>
      <c r="AF2227" s="30">
        <f>T2227*AD2227</f>
        <v/>
      </c>
      <c r="AG2227" s="28">
        <f>IFERROR(LOOKUP(AF2227,{0;0.5;5;25},{"Bajo";"Medio";"Alto";"Crítico"}),"")</f>
        <v/>
      </c>
      <c r="AH2227" s="28">
        <f>IF(AG2227="","",IF(OR(AG2227="Crítico",AG2227="Alto"),"Mitigar",IF(AG2227="Medio","Mitigar","Aceptar y monitorear")))</f>
        <v/>
      </c>
      <c r="AI2227" s="21" t="n"/>
      <c r="AJ2227" s="21" t="n"/>
      <c r="AK2227" s="20" t="n"/>
      <c r="AL2227" s="77">
        <f>IFERROR(INDEX(MgAmenEfic,MATCH(SUBSTITUTE($H2227,"*","-"),MgAmenClave,0)),0)</f>
        <v/>
      </c>
    </row>
    <row r="2228" hidden="1" ht="60" customHeight="1" s="54">
      <c r="B2228" s="59" t="inlineStr">
        <is>
          <t>R-2223</t>
        </is>
      </c>
      <c r="C2228" s="59" t="inlineStr">
        <is>
          <t>SW-01</t>
        </is>
      </c>
      <c r="D2228" s="64">
        <f>IFERROR(INDEX(MgNombre,MATCH($C2228,MgActId,0)),"")</f>
        <v/>
      </c>
      <c r="E2228" s="64">
        <f>IFERROR(INDEX(MgProceso,MATCH($C2228,MgActId,0)),"")</f>
        <v/>
      </c>
      <c r="F2228" s="64">
        <f>IFERROR(INDEX(MgTipo,MATCH($C2228,MgActId,0)),"")</f>
        <v/>
      </c>
      <c r="G2228" s="64">
        <f>IFERROR(INDEX(MgSubtipo,MATCH($C2228,MgActId,0)),"")</f>
        <v/>
      </c>
      <c r="H2228" s="59" t="inlineStr">
        <is>
          <t>E.18</t>
        </is>
      </c>
      <c r="I2228" s="64">
        <f>IFERROR(INDEX(MgAmenNombre,MATCH(SUBSTITUTE($H2228,"*","-"),MgAmenClave,0)),"")</f>
        <v/>
      </c>
      <c r="J2228" s="28">
        <f>IFERROR(INDEX(MgAmenGrupo,MATCH(SUBSTITUTE($H2228,"*","-"),MgAmenClave,0)),"")</f>
        <v/>
      </c>
      <c r="K2228" s="64">
        <f>IFERROR(INDEX('1. Matriz de Activos'!$Q$6:$Q$239,MATCH($C2228,MgActId,0)),"")</f>
        <v/>
      </c>
      <c r="L2228" s="64">
        <f>IFERROR(INDEX('1. Matriz de Activos'!$R$6:$R$239,MATCH($C2228,MgActId,0)),"")</f>
        <v/>
      </c>
      <c r="M2228" s="64">
        <f>IFERROR(INDEX('1. Matriz de Activos'!$S$6:$S$239,MATCH($C2228,MgActId,0)),"")</f>
        <v/>
      </c>
      <c r="N2228" s="28">
        <f>IFERROR(INDEX(MgAmenDegD,MATCH(SUBSTITUTE($H2228,"*","-"),MgAmenClave,0)),"No aplica")</f>
        <v/>
      </c>
      <c r="O2228" s="28">
        <f>IFERROR(INDEX(MgAmenDegI,MATCH(SUBSTITUTE($H2228,"*","-"),MgAmenClave,0)),"No aplica")</f>
        <v/>
      </c>
      <c r="P2228" s="28">
        <f>IFERROR(INDEX(MgAmenDegC,MATCH(SUBSTITUTE($H2228,"*","-"),MgAmenClave,0)),"No aplica")</f>
        <v/>
      </c>
      <c r="Q2228" s="29">
        <f>IFERROR(VLOOKUP(K2228,MgValor,2,0)*VLOOKUP(N2228,MgDeg,2,0),0)</f>
        <v/>
      </c>
      <c r="R2228" s="29">
        <f>IFERROR(VLOOKUP(L2228,MgValor,2,0)*VLOOKUP(O2228,MgDeg,2,0),0)</f>
        <v/>
      </c>
      <c r="S2228" s="29">
        <f>IFERROR(VLOOKUP(M2228,MgValor,2,0)*VLOOKUP(P2228,MgDeg,2,0),0)</f>
        <v/>
      </c>
      <c r="T2228" s="30">
        <f>MAX(Q2228:S2228)</f>
        <v/>
      </c>
      <c r="U2228" s="28">
        <f>IFERROR(LOOKUP(T2228,{0;0.5;1.5;3;4.5},{"Despreciable";"Bajo";"Medio";"Alto";"Muy alto"}),"")</f>
        <v/>
      </c>
      <c r="V2228" s="13">
        <f>IFERROR(INDEX(MgAmenFrec,MATCH(SUBSTITUTE($H2228,"*","-"),MgAmenClave,0)),"")</f>
        <v/>
      </c>
      <c r="W2228" s="28">
        <f>IFERROR(LOOKUP(X2228,{0;0.01;0.1;1;10;100},{"Muy baja";"Muy baja";"Baja";"Media";"Alta";"Muy alta"}),"")</f>
        <v/>
      </c>
      <c r="X2228" s="31">
        <f>IFERROR(VLOOKUP(V2228,MgFrec,2,0),0)</f>
        <v/>
      </c>
      <c r="Y2228" s="30">
        <f>T2228*X2228</f>
        <v/>
      </c>
      <c r="Z2228" s="28">
        <f>IFERROR(LOOKUP(Y2228,{0;0.5;5;25},{"Bajo";"Medio";"Alto";"Crítico"}),"")</f>
        <v/>
      </c>
      <c r="AA2228" s="64">
        <f>IF(T2228&gt;=3,IF(X2228&gt;=1,"Zona 1 — Crítica: impacto alto y ocurre al menos una vez al año","Zona 4 — Catastrófica poco probable: impacto alto pero excepcional"),IF(AND(T2228&lt;1.5,X2228&lt;1),"Zona 3 — Asumible: impacto bajo y muy poco frecuente","Zona 2 — Atención: riesgo intermedio"))</f>
        <v/>
      </c>
      <c r="AB2228" s="64">
        <f>IFERROR(INDEX(MgAmenCtrl,MATCH(SUBSTITUTE($H2228,"*","-"),MgAmenClave,0)),"")</f>
        <v/>
      </c>
      <c r="AC2228" s="20" t="n"/>
      <c r="AD2228" s="31">
        <f>IFERROR($X2228*(1-IF($AC2228="",$AL2228,VLOOKUP($AC2228,MgMad,2,0))),"")</f>
        <v/>
      </c>
      <c r="AE2228" s="28">
        <f>IFERROR(LOOKUP(AD2228,{0;0.01;0.1;1;10;100},{"Muy baja";"Muy baja";"Baja";"Media";"Alta";"Muy alta"}),"")</f>
        <v/>
      </c>
      <c r="AF2228" s="30">
        <f>T2228*AD2228</f>
        <v/>
      </c>
      <c r="AG2228" s="28">
        <f>IFERROR(LOOKUP(AF2228,{0;0.5;5;25},{"Bajo";"Medio";"Alto";"Crítico"}),"")</f>
        <v/>
      </c>
      <c r="AH2228" s="28">
        <f>IF(AG2228="","",IF(OR(AG2228="Crítico",AG2228="Alto"),"Mitigar",IF(AG2228="Medio","Mitigar","Aceptar y monitorear")))</f>
        <v/>
      </c>
      <c r="AI2228" s="21" t="n"/>
      <c r="AJ2228" s="21" t="n"/>
      <c r="AK2228" s="20" t="n"/>
      <c r="AL2228" s="77">
        <f>IFERROR(INDEX(MgAmenEfic,MATCH(SUBSTITUTE($H2228,"*","-"),MgAmenClave,0)),0)</f>
        <v/>
      </c>
    </row>
    <row r="2229" hidden="1" ht="105" customHeight="1" s="54">
      <c r="B2229" s="59" t="inlineStr">
        <is>
          <t>R-2224</t>
        </is>
      </c>
      <c r="C2229" s="59" t="inlineStr">
        <is>
          <t>SW-01</t>
        </is>
      </c>
      <c r="D2229" s="64">
        <f>IFERROR(INDEX(MgNombre,MATCH($C2229,MgActId,0)),"")</f>
        <v/>
      </c>
      <c r="E2229" s="64">
        <f>IFERROR(INDEX(MgProceso,MATCH($C2229,MgActId,0)),"")</f>
        <v/>
      </c>
      <c r="F2229" s="64">
        <f>IFERROR(INDEX(MgTipo,MATCH($C2229,MgActId,0)),"")</f>
        <v/>
      </c>
      <c r="G2229" s="64">
        <f>IFERROR(INDEX(MgSubtipo,MATCH($C2229,MgActId,0)),"")</f>
        <v/>
      </c>
      <c r="H2229" s="59" t="inlineStr">
        <is>
          <t>E.19</t>
        </is>
      </c>
      <c r="I2229" s="64">
        <f>IFERROR(INDEX(MgAmenNombre,MATCH(SUBSTITUTE($H2229,"*","-"),MgAmenClave,0)),"")</f>
        <v/>
      </c>
      <c r="J2229" s="28">
        <f>IFERROR(INDEX(MgAmenGrupo,MATCH(SUBSTITUTE($H2229,"*","-"),MgAmenClave,0)),"")</f>
        <v/>
      </c>
      <c r="K2229" s="64">
        <f>IFERROR(INDEX('1. Matriz de Activos'!$Q$6:$Q$239,MATCH($C2229,MgActId,0)),"")</f>
        <v/>
      </c>
      <c r="L2229" s="64">
        <f>IFERROR(INDEX('1. Matriz de Activos'!$R$6:$R$239,MATCH($C2229,MgActId,0)),"")</f>
        <v/>
      </c>
      <c r="M2229" s="64">
        <f>IFERROR(INDEX('1. Matriz de Activos'!$S$6:$S$239,MATCH($C2229,MgActId,0)),"")</f>
        <v/>
      </c>
      <c r="N2229" s="28">
        <f>IFERROR(INDEX(MgAmenDegD,MATCH(SUBSTITUTE($H2229,"*","-"),MgAmenClave,0)),"No aplica")</f>
        <v/>
      </c>
      <c r="O2229" s="28">
        <f>IFERROR(INDEX(MgAmenDegI,MATCH(SUBSTITUTE($H2229,"*","-"),MgAmenClave,0)),"No aplica")</f>
        <v/>
      </c>
      <c r="P2229" s="28">
        <f>IFERROR(INDEX(MgAmenDegC,MATCH(SUBSTITUTE($H2229,"*","-"),MgAmenClave,0)),"No aplica")</f>
        <v/>
      </c>
      <c r="Q2229" s="29">
        <f>IFERROR(VLOOKUP(K2229,MgValor,2,0)*VLOOKUP(N2229,MgDeg,2,0),0)</f>
        <v/>
      </c>
      <c r="R2229" s="29">
        <f>IFERROR(VLOOKUP(L2229,MgValor,2,0)*VLOOKUP(O2229,MgDeg,2,0),0)</f>
        <v/>
      </c>
      <c r="S2229" s="29">
        <f>IFERROR(VLOOKUP(M2229,MgValor,2,0)*VLOOKUP(P2229,MgDeg,2,0),0)</f>
        <v/>
      </c>
      <c r="T2229" s="30">
        <f>MAX(Q2229:S2229)</f>
        <v/>
      </c>
      <c r="U2229" s="28">
        <f>IFERROR(LOOKUP(T2229,{0;0.5;1.5;3;4.5},{"Despreciable";"Bajo";"Medio";"Alto";"Muy alto"}),"")</f>
        <v/>
      </c>
      <c r="V2229" s="13">
        <f>IFERROR(INDEX(MgAmenFrec,MATCH(SUBSTITUTE($H2229,"*","-"),MgAmenClave,0)),"")</f>
        <v/>
      </c>
      <c r="W2229" s="28">
        <f>IFERROR(LOOKUP(X2229,{0;0.01;0.1;1;10;100},{"Muy baja";"Muy baja";"Baja";"Media";"Alta";"Muy alta"}),"")</f>
        <v/>
      </c>
      <c r="X2229" s="31">
        <f>IFERROR(VLOOKUP(V2229,MgFrec,2,0),0)</f>
        <v/>
      </c>
      <c r="Y2229" s="30">
        <f>T2229*X2229</f>
        <v/>
      </c>
      <c r="Z2229" s="28">
        <f>IFERROR(LOOKUP(Y2229,{0;0.5;5;25},{"Bajo";"Medio";"Alto";"Crítico"}),"")</f>
        <v/>
      </c>
      <c r="AA2229" s="64">
        <f>IF(T2229&gt;=3,IF(X2229&gt;=1,"Zona 1 — Crítica: impacto alto y ocurre al menos una vez al año","Zona 4 — Catastrófica poco probable: impacto alto pero excepcional"),IF(AND(T2229&lt;1.5,X2229&lt;1),"Zona 3 — Asumible: impacto bajo y muy poco frecuente","Zona 2 — Atención: riesgo intermedio"))</f>
        <v/>
      </c>
      <c r="AB2229" s="64">
        <f>IFERROR(INDEX(MgAmenCtrl,MATCH(SUBSTITUTE($H2229,"*","-"),MgAmenClave,0)),"")</f>
        <v/>
      </c>
      <c r="AC2229" s="20" t="n"/>
      <c r="AD2229" s="31">
        <f>IFERROR($X2229*(1-IF($AC2229="",$AL2229,VLOOKUP($AC2229,MgMad,2,0))),"")</f>
        <v/>
      </c>
      <c r="AE2229" s="28">
        <f>IFERROR(LOOKUP(AD2229,{0;0.01;0.1;1;10;100},{"Muy baja";"Muy baja";"Baja";"Media";"Alta";"Muy alta"}),"")</f>
        <v/>
      </c>
      <c r="AF2229" s="30">
        <f>T2229*AD2229</f>
        <v/>
      </c>
      <c r="AG2229" s="28">
        <f>IFERROR(LOOKUP(AF2229,{0;0.5;5;25},{"Bajo";"Medio";"Alto";"Crítico"}),"")</f>
        <v/>
      </c>
      <c r="AH2229" s="28">
        <f>IF(AG2229="","",IF(OR(AG2229="Crítico",AG2229="Alto"),"Mitigar",IF(AG2229="Medio","Mitigar","Aceptar y monitorear")))</f>
        <v/>
      </c>
      <c r="AI2229" s="21" t="n"/>
      <c r="AJ2229" s="21" t="n"/>
      <c r="AK2229" s="20" t="n"/>
      <c r="AL2229" s="77">
        <f>IFERROR(INDEX(MgAmenEfic,MATCH(SUBSTITUTE($H2229,"*","-"),MgAmenClave,0)),0)</f>
        <v/>
      </c>
    </row>
    <row r="2230" hidden="1" ht="45" customHeight="1" s="54">
      <c r="B2230" s="59" t="inlineStr">
        <is>
          <t>R-2225</t>
        </is>
      </c>
      <c r="C2230" s="59" t="inlineStr">
        <is>
          <t>SW-01</t>
        </is>
      </c>
      <c r="D2230" s="64">
        <f>IFERROR(INDEX(MgNombre,MATCH($C2230,MgActId,0)),"")</f>
        <v/>
      </c>
      <c r="E2230" s="64">
        <f>IFERROR(INDEX(MgProceso,MATCH($C2230,MgActId,0)),"")</f>
        <v/>
      </c>
      <c r="F2230" s="64">
        <f>IFERROR(INDEX(MgTipo,MATCH($C2230,MgActId,0)),"")</f>
        <v/>
      </c>
      <c r="G2230" s="64">
        <f>IFERROR(INDEX(MgSubtipo,MATCH($C2230,MgActId,0)),"")</f>
        <v/>
      </c>
      <c r="H2230" s="59" t="inlineStr">
        <is>
          <t>E.24</t>
        </is>
      </c>
      <c r="I2230" s="64">
        <f>IFERROR(INDEX(MgAmenNombre,MATCH(SUBSTITUTE($H2230,"*","-"),MgAmenClave,0)),"")</f>
        <v/>
      </c>
      <c r="J2230" s="28">
        <f>IFERROR(INDEX(MgAmenGrupo,MATCH(SUBSTITUTE($H2230,"*","-"),MgAmenClave,0)),"")</f>
        <v/>
      </c>
      <c r="K2230" s="64">
        <f>IFERROR(INDEX('1. Matriz de Activos'!$Q$6:$Q$239,MATCH($C2230,MgActId,0)),"")</f>
        <v/>
      </c>
      <c r="L2230" s="64">
        <f>IFERROR(INDEX('1. Matriz de Activos'!$R$6:$R$239,MATCH($C2230,MgActId,0)),"")</f>
        <v/>
      </c>
      <c r="M2230" s="64">
        <f>IFERROR(INDEX('1. Matriz de Activos'!$S$6:$S$239,MATCH($C2230,MgActId,0)),"")</f>
        <v/>
      </c>
      <c r="N2230" s="28">
        <f>IFERROR(INDEX(MgAmenDegD,MATCH(SUBSTITUTE($H2230,"*","-"),MgAmenClave,0)),"No aplica")</f>
        <v/>
      </c>
      <c r="O2230" s="28">
        <f>IFERROR(INDEX(MgAmenDegI,MATCH(SUBSTITUTE($H2230,"*","-"),MgAmenClave,0)),"No aplica")</f>
        <v/>
      </c>
      <c r="P2230" s="28">
        <f>IFERROR(INDEX(MgAmenDegC,MATCH(SUBSTITUTE($H2230,"*","-"),MgAmenClave,0)),"No aplica")</f>
        <v/>
      </c>
      <c r="Q2230" s="29">
        <f>IFERROR(VLOOKUP(K2230,MgValor,2,0)*VLOOKUP(N2230,MgDeg,2,0),0)</f>
        <v/>
      </c>
      <c r="R2230" s="29">
        <f>IFERROR(VLOOKUP(L2230,MgValor,2,0)*VLOOKUP(O2230,MgDeg,2,0),0)</f>
        <v/>
      </c>
      <c r="S2230" s="29">
        <f>IFERROR(VLOOKUP(M2230,MgValor,2,0)*VLOOKUP(P2230,MgDeg,2,0),0)</f>
        <v/>
      </c>
      <c r="T2230" s="30">
        <f>MAX(Q2230:S2230)</f>
        <v/>
      </c>
      <c r="U2230" s="28">
        <f>IFERROR(LOOKUP(T2230,{0;0.5;1.5;3;4.5},{"Despreciable";"Bajo";"Medio";"Alto";"Muy alto"}),"")</f>
        <v/>
      </c>
      <c r="V2230" s="13">
        <f>IFERROR(INDEX(MgAmenFrec,MATCH(SUBSTITUTE($H2230,"*","-"),MgAmenClave,0)),"")</f>
        <v/>
      </c>
      <c r="W2230" s="28">
        <f>IFERROR(LOOKUP(X2230,{0;0.01;0.1;1;10;100},{"Muy baja";"Muy baja";"Baja";"Media";"Alta";"Muy alta"}),"")</f>
        <v/>
      </c>
      <c r="X2230" s="31">
        <f>IFERROR(VLOOKUP(V2230,MgFrec,2,0),0)</f>
        <v/>
      </c>
      <c r="Y2230" s="30">
        <f>T2230*X2230</f>
        <v/>
      </c>
      <c r="Z2230" s="28">
        <f>IFERROR(LOOKUP(Y2230,{0;0.5;5;25},{"Bajo";"Medio";"Alto";"Crítico"}),"")</f>
        <v/>
      </c>
      <c r="AA2230" s="64">
        <f>IF(T2230&gt;=3,IF(X2230&gt;=1,"Zona 1 — Crítica: impacto alto y ocurre al menos una vez al año","Zona 4 — Catastrófica poco probable: impacto alto pero excepcional"),IF(AND(T2230&lt;1.5,X2230&lt;1),"Zona 3 — Asumible: impacto bajo y muy poco frecuente","Zona 2 — Atención: riesgo intermedio"))</f>
        <v/>
      </c>
      <c r="AB2230" s="64">
        <f>IFERROR(INDEX(MgAmenCtrl,MATCH(SUBSTITUTE($H2230,"*","-"),MgAmenClave,0)),"")</f>
        <v/>
      </c>
      <c r="AC2230" s="20" t="n"/>
      <c r="AD2230" s="31">
        <f>IFERROR($X2230*(1-IF($AC2230="",$AL2230,VLOOKUP($AC2230,MgMad,2,0))),"")</f>
        <v/>
      </c>
      <c r="AE2230" s="28">
        <f>IFERROR(LOOKUP(AD2230,{0;0.01;0.1;1;10;100},{"Muy baja";"Muy baja";"Baja";"Media";"Alta";"Muy alta"}),"")</f>
        <v/>
      </c>
      <c r="AF2230" s="30">
        <f>T2230*AD2230</f>
        <v/>
      </c>
      <c r="AG2230" s="28">
        <f>IFERROR(LOOKUP(AF2230,{0;0.5;5;25},{"Bajo";"Medio";"Alto";"Crítico"}),"")</f>
        <v/>
      </c>
      <c r="AH2230" s="28">
        <f>IF(AG2230="","",IF(OR(AG2230="Crítico",AG2230="Alto"),"Mitigar",IF(AG2230="Medio","Mitigar","Aceptar y monitorear")))</f>
        <v/>
      </c>
      <c r="AI2230" s="21" t="n"/>
      <c r="AJ2230" s="21" t="n"/>
      <c r="AK2230" s="20" t="n"/>
      <c r="AL2230" s="77">
        <f>IFERROR(INDEX(MgAmenEfic,MATCH(SUBSTITUTE($H2230,"*","-"),MgAmenClave,0)),0)</f>
        <v/>
      </c>
    </row>
    <row r="2231" hidden="1" ht="75" customHeight="1" s="54">
      <c r="B2231" s="59" t="inlineStr">
        <is>
          <t>R-2226</t>
        </is>
      </c>
      <c r="C2231" s="59" t="inlineStr">
        <is>
          <t>SW-01</t>
        </is>
      </c>
      <c r="D2231" s="64">
        <f>IFERROR(INDEX(MgNombre,MATCH($C2231,MgActId,0)),"")</f>
        <v/>
      </c>
      <c r="E2231" s="64">
        <f>IFERROR(INDEX(MgProceso,MATCH($C2231,MgActId,0)),"")</f>
        <v/>
      </c>
      <c r="F2231" s="64">
        <f>IFERROR(INDEX(MgTipo,MATCH($C2231,MgActId,0)),"")</f>
        <v/>
      </c>
      <c r="G2231" s="64">
        <f>IFERROR(INDEX(MgSubtipo,MATCH($C2231,MgActId,0)),"")</f>
        <v/>
      </c>
      <c r="H2231" s="59" t="inlineStr">
        <is>
          <t>A.5</t>
        </is>
      </c>
      <c r="I2231" s="64">
        <f>IFERROR(INDEX(MgAmenNombre,MATCH(SUBSTITUTE($H2231,"*","-"),MgAmenClave,0)),"")</f>
        <v/>
      </c>
      <c r="J2231" s="28">
        <f>IFERROR(INDEX(MgAmenGrupo,MATCH(SUBSTITUTE($H2231,"*","-"),MgAmenClave,0)),"")</f>
        <v/>
      </c>
      <c r="K2231" s="64">
        <f>IFERROR(INDEX('1. Matriz de Activos'!$Q$6:$Q$239,MATCH($C2231,MgActId,0)),"")</f>
        <v/>
      </c>
      <c r="L2231" s="64">
        <f>IFERROR(INDEX('1. Matriz de Activos'!$R$6:$R$239,MATCH($C2231,MgActId,0)),"")</f>
        <v/>
      </c>
      <c r="M2231" s="64">
        <f>IFERROR(INDEX('1. Matriz de Activos'!$S$6:$S$239,MATCH($C2231,MgActId,0)),"")</f>
        <v/>
      </c>
      <c r="N2231" s="28">
        <f>IFERROR(INDEX(MgAmenDegD,MATCH(SUBSTITUTE($H2231,"*","-"),MgAmenClave,0)),"No aplica")</f>
        <v/>
      </c>
      <c r="O2231" s="28">
        <f>IFERROR(INDEX(MgAmenDegI,MATCH(SUBSTITUTE($H2231,"*","-"),MgAmenClave,0)),"No aplica")</f>
        <v/>
      </c>
      <c r="P2231" s="28">
        <f>IFERROR(INDEX(MgAmenDegC,MATCH(SUBSTITUTE($H2231,"*","-"),MgAmenClave,0)),"No aplica")</f>
        <v/>
      </c>
      <c r="Q2231" s="29">
        <f>IFERROR(VLOOKUP(K2231,MgValor,2,0)*VLOOKUP(N2231,MgDeg,2,0),0)</f>
        <v/>
      </c>
      <c r="R2231" s="29">
        <f>IFERROR(VLOOKUP(L2231,MgValor,2,0)*VLOOKUP(O2231,MgDeg,2,0),0)</f>
        <v/>
      </c>
      <c r="S2231" s="29">
        <f>IFERROR(VLOOKUP(M2231,MgValor,2,0)*VLOOKUP(P2231,MgDeg,2,0),0)</f>
        <v/>
      </c>
      <c r="T2231" s="30">
        <f>MAX(Q2231:S2231)</f>
        <v/>
      </c>
      <c r="U2231" s="28">
        <f>IFERROR(LOOKUP(T2231,{0;0.5;1.5;3;4.5},{"Despreciable";"Bajo";"Medio";"Alto";"Muy alto"}),"")</f>
        <v/>
      </c>
      <c r="V2231" s="13">
        <f>IFERROR(INDEX(MgAmenFrec,MATCH(SUBSTITUTE($H2231,"*","-"),MgAmenClave,0)),"")</f>
        <v/>
      </c>
      <c r="W2231" s="28">
        <f>IFERROR(LOOKUP(X2231,{0;0.01;0.1;1;10;100},{"Muy baja";"Muy baja";"Baja";"Media";"Alta";"Muy alta"}),"")</f>
        <v/>
      </c>
      <c r="X2231" s="31">
        <f>IFERROR(VLOOKUP(V2231,MgFrec,2,0),0)</f>
        <v/>
      </c>
      <c r="Y2231" s="30">
        <f>T2231*X2231</f>
        <v/>
      </c>
      <c r="Z2231" s="28">
        <f>IFERROR(LOOKUP(Y2231,{0;0.5;5;25},{"Bajo";"Medio";"Alto";"Crítico"}),"")</f>
        <v/>
      </c>
      <c r="AA2231" s="64">
        <f>IF(T2231&gt;=3,IF(X2231&gt;=1,"Zona 1 — Crítica: impacto alto y ocurre al menos una vez al año","Zona 4 — Catastrófica poco probable: impacto alto pero excepcional"),IF(AND(T2231&lt;1.5,X2231&lt;1),"Zona 3 — Asumible: impacto bajo y muy poco frecuente","Zona 2 — Atención: riesgo intermedio"))</f>
        <v/>
      </c>
      <c r="AB2231" s="64">
        <f>IFERROR(INDEX(MgAmenCtrl,MATCH(SUBSTITUTE($H2231,"*","-"),MgAmenClave,0)),"")</f>
        <v/>
      </c>
      <c r="AC2231" s="20" t="n"/>
      <c r="AD2231" s="31">
        <f>IFERROR($X2231*(1-IF($AC2231="",$AL2231,VLOOKUP($AC2231,MgMad,2,0))),"")</f>
        <v/>
      </c>
      <c r="AE2231" s="28">
        <f>IFERROR(LOOKUP(AD2231,{0;0.01;0.1;1;10;100},{"Muy baja";"Muy baja";"Baja";"Media";"Alta";"Muy alta"}),"")</f>
        <v/>
      </c>
      <c r="AF2231" s="30">
        <f>T2231*AD2231</f>
        <v/>
      </c>
      <c r="AG2231" s="28">
        <f>IFERROR(LOOKUP(AF2231,{0;0.5;5;25},{"Bajo";"Medio";"Alto";"Crítico"}),"")</f>
        <v/>
      </c>
      <c r="AH2231" s="28">
        <f>IF(AG2231="","",IF(OR(AG2231="Crítico",AG2231="Alto"),"Mitigar",IF(AG2231="Medio","Mitigar","Aceptar y monitorear")))</f>
        <v/>
      </c>
      <c r="AI2231" s="21" t="n"/>
      <c r="AJ2231" s="21" t="n"/>
      <c r="AK2231" s="20" t="n"/>
      <c r="AL2231" s="77">
        <f>IFERROR(INDEX(MgAmenEfic,MATCH(SUBSTITUTE($H2231,"*","-"),MgAmenClave,0)),0)</f>
        <v/>
      </c>
    </row>
    <row r="2232" hidden="1" ht="105" customHeight="1" s="54">
      <c r="B2232" s="59" t="inlineStr">
        <is>
          <t>R-2227</t>
        </is>
      </c>
      <c r="C2232" s="59" t="inlineStr">
        <is>
          <t>SW-01</t>
        </is>
      </c>
      <c r="D2232" s="64">
        <f>IFERROR(INDEX(MgNombre,MATCH($C2232,MgActId,0)),"")</f>
        <v/>
      </c>
      <c r="E2232" s="64">
        <f>IFERROR(INDEX(MgProceso,MATCH($C2232,MgActId,0)),"")</f>
        <v/>
      </c>
      <c r="F2232" s="64">
        <f>IFERROR(INDEX(MgTipo,MATCH($C2232,MgActId,0)),"")</f>
        <v/>
      </c>
      <c r="G2232" s="64">
        <f>IFERROR(INDEX(MgSubtipo,MATCH($C2232,MgActId,0)),"")</f>
        <v/>
      </c>
      <c r="H2232" s="59" t="inlineStr">
        <is>
          <t>A.6</t>
        </is>
      </c>
      <c r="I2232" s="64">
        <f>IFERROR(INDEX(MgAmenNombre,MATCH(SUBSTITUTE($H2232,"*","-"),MgAmenClave,0)),"")</f>
        <v/>
      </c>
      <c r="J2232" s="28">
        <f>IFERROR(INDEX(MgAmenGrupo,MATCH(SUBSTITUTE($H2232,"*","-"),MgAmenClave,0)),"")</f>
        <v/>
      </c>
      <c r="K2232" s="64">
        <f>IFERROR(INDEX('1. Matriz de Activos'!$Q$6:$Q$239,MATCH($C2232,MgActId,0)),"")</f>
        <v/>
      </c>
      <c r="L2232" s="64">
        <f>IFERROR(INDEX('1. Matriz de Activos'!$R$6:$R$239,MATCH($C2232,MgActId,0)),"")</f>
        <v/>
      </c>
      <c r="M2232" s="64">
        <f>IFERROR(INDEX('1. Matriz de Activos'!$S$6:$S$239,MATCH($C2232,MgActId,0)),"")</f>
        <v/>
      </c>
      <c r="N2232" s="28">
        <f>IFERROR(INDEX(MgAmenDegD,MATCH(SUBSTITUTE($H2232,"*","-"),MgAmenClave,0)),"No aplica")</f>
        <v/>
      </c>
      <c r="O2232" s="28">
        <f>IFERROR(INDEX(MgAmenDegI,MATCH(SUBSTITUTE($H2232,"*","-"),MgAmenClave,0)),"No aplica")</f>
        <v/>
      </c>
      <c r="P2232" s="28">
        <f>IFERROR(INDEX(MgAmenDegC,MATCH(SUBSTITUTE($H2232,"*","-"),MgAmenClave,0)),"No aplica")</f>
        <v/>
      </c>
      <c r="Q2232" s="29">
        <f>IFERROR(VLOOKUP(K2232,MgValor,2,0)*VLOOKUP(N2232,MgDeg,2,0),0)</f>
        <v/>
      </c>
      <c r="R2232" s="29">
        <f>IFERROR(VLOOKUP(L2232,MgValor,2,0)*VLOOKUP(O2232,MgDeg,2,0),0)</f>
        <v/>
      </c>
      <c r="S2232" s="29">
        <f>IFERROR(VLOOKUP(M2232,MgValor,2,0)*VLOOKUP(P2232,MgDeg,2,0),0)</f>
        <v/>
      </c>
      <c r="T2232" s="30">
        <f>MAX(Q2232:S2232)</f>
        <v/>
      </c>
      <c r="U2232" s="28">
        <f>IFERROR(LOOKUP(T2232,{0;0.5;1.5;3;4.5},{"Despreciable";"Bajo";"Medio";"Alto";"Muy alto"}),"")</f>
        <v/>
      </c>
      <c r="V2232" s="13">
        <f>IFERROR(INDEX(MgAmenFrec,MATCH(SUBSTITUTE($H2232,"*","-"),MgAmenClave,0)),"")</f>
        <v/>
      </c>
      <c r="W2232" s="28">
        <f>IFERROR(LOOKUP(X2232,{0;0.01;0.1;1;10;100},{"Muy baja";"Muy baja";"Baja";"Media";"Alta";"Muy alta"}),"")</f>
        <v/>
      </c>
      <c r="X2232" s="31">
        <f>IFERROR(VLOOKUP(V2232,MgFrec,2,0),0)</f>
        <v/>
      </c>
      <c r="Y2232" s="30">
        <f>T2232*X2232</f>
        <v/>
      </c>
      <c r="Z2232" s="28">
        <f>IFERROR(LOOKUP(Y2232,{0;0.5;5;25},{"Bajo";"Medio";"Alto";"Crítico"}),"")</f>
        <v/>
      </c>
      <c r="AA2232" s="64">
        <f>IF(T2232&gt;=3,IF(X2232&gt;=1,"Zona 1 — Crítica: impacto alto y ocurre al menos una vez al año","Zona 4 — Catastrófica poco probable: impacto alto pero excepcional"),IF(AND(T2232&lt;1.5,X2232&lt;1),"Zona 3 — Asumible: impacto bajo y muy poco frecuente","Zona 2 — Atención: riesgo intermedio"))</f>
        <v/>
      </c>
      <c r="AB2232" s="64">
        <f>IFERROR(INDEX(MgAmenCtrl,MATCH(SUBSTITUTE($H2232,"*","-"),MgAmenClave,0)),"")</f>
        <v/>
      </c>
      <c r="AC2232" s="20" t="n"/>
      <c r="AD2232" s="31">
        <f>IFERROR($X2232*(1-IF($AC2232="",$AL2232,VLOOKUP($AC2232,MgMad,2,0))),"")</f>
        <v/>
      </c>
      <c r="AE2232" s="28">
        <f>IFERROR(LOOKUP(AD2232,{0;0.01;0.1;1;10;100},{"Muy baja";"Muy baja";"Baja";"Media";"Alta";"Muy alta"}),"")</f>
        <v/>
      </c>
      <c r="AF2232" s="30">
        <f>T2232*AD2232</f>
        <v/>
      </c>
      <c r="AG2232" s="28">
        <f>IFERROR(LOOKUP(AF2232,{0;0.5;5;25},{"Bajo";"Medio";"Alto";"Crítico"}),"")</f>
        <v/>
      </c>
      <c r="AH2232" s="28">
        <f>IF(AG2232="","",IF(OR(AG2232="Crítico",AG2232="Alto"),"Mitigar",IF(AG2232="Medio","Mitigar","Aceptar y monitorear")))</f>
        <v/>
      </c>
      <c r="AI2232" s="21" t="n"/>
      <c r="AJ2232" s="21" t="n"/>
      <c r="AK2232" s="20" t="n"/>
      <c r="AL2232" s="77">
        <f>IFERROR(INDEX(MgAmenEfic,MATCH(SUBSTITUTE($H2232,"*","-"),MgAmenClave,0)),0)</f>
        <v/>
      </c>
    </row>
    <row r="2233" hidden="1" ht="60" customHeight="1" s="54">
      <c r="B2233" s="59" t="inlineStr">
        <is>
          <t>R-2228</t>
        </is>
      </c>
      <c r="C2233" s="59" t="inlineStr">
        <is>
          <t>SW-01</t>
        </is>
      </c>
      <c r="D2233" s="64">
        <f>IFERROR(INDEX(MgNombre,MATCH($C2233,MgActId,0)),"")</f>
        <v/>
      </c>
      <c r="E2233" s="64">
        <f>IFERROR(INDEX(MgProceso,MATCH($C2233,MgActId,0)),"")</f>
        <v/>
      </c>
      <c r="F2233" s="64">
        <f>IFERROR(INDEX(MgTipo,MATCH($C2233,MgActId,0)),"")</f>
        <v/>
      </c>
      <c r="G2233" s="64">
        <f>IFERROR(INDEX(MgSubtipo,MATCH($C2233,MgActId,0)),"")</f>
        <v/>
      </c>
      <c r="H2233" s="59" t="inlineStr">
        <is>
          <t>A.7</t>
        </is>
      </c>
      <c r="I2233" s="64">
        <f>IFERROR(INDEX(MgAmenNombre,MATCH(SUBSTITUTE($H2233,"*","-"),MgAmenClave,0)),"")</f>
        <v/>
      </c>
      <c r="J2233" s="28">
        <f>IFERROR(INDEX(MgAmenGrupo,MATCH(SUBSTITUTE($H2233,"*","-"),MgAmenClave,0)),"")</f>
        <v/>
      </c>
      <c r="K2233" s="64">
        <f>IFERROR(INDEX('1. Matriz de Activos'!$Q$6:$Q$239,MATCH($C2233,MgActId,0)),"")</f>
        <v/>
      </c>
      <c r="L2233" s="64">
        <f>IFERROR(INDEX('1. Matriz de Activos'!$R$6:$R$239,MATCH($C2233,MgActId,0)),"")</f>
        <v/>
      </c>
      <c r="M2233" s="64">
        <f>IFERROR(INDEX('1. Matriz de Activos'!$S$6:$S$239,MATCH($C2233,MgActId,0)),"")</f>
        <v/>
      </c>
      <c r="N2233" s="28">
        <f>IFERROR(INDEX(MgAmenDegD,MATCH(SUBSTITUTE($H2233,"*","-"),MgAmenClave,0)),"No aplica")</f>
        <v/>
      </c>
      <c r="O2233" s="28">
        <f>IFERROR(INDEX(MgAmenDegI,MATCH(SUBSTITUTE($H2233,"*","-"),MgAmenClave,0)),"No aplica")</f>
        <v/>
      </c>
      <c r="P2233" s="28">
        <f>IFERROR(INDEX(MgAmenDegC,MATCH(SUBSTITUTE($H2233,"*","-"),MgAmenClave,0)),"No aplica")</f>
        <v/>
      </c>
      <c r="Q2233" s="29">
        <f>IFERROR(VLOOKUP(K2233,MgValor,2,0)*VLOOKUP(N2233,MgDeg,2,0),0)</f>
        <v/>
      </c>
      <c r="R2233" s="29">
        <f>IFERROR(VLOOKUP(L2233,MgValor,2,0)*VLOOKUP(O2233,MgDeg,2,0),0)</f>
        <v/>
      </c>
      <c r="S2233" s="29">
        <f>IFERROR(VLOOKUP(M2233,MgValor,2,0)*VLOOKUP(P2233,MgDeg,2,0),0)</f>
        <v/>
      </c>
      <c r="T2233" s="30">
        <f>MAX(Q2233:S2233)</f>
        <v/>
      </c>
      <c r="U2233" s="28">
        <f>IFERROR(LOOKUP(T2233,{0;0.5;1.5;3;4.5},{"Despreciable";"Bajo";"Medio";"Alto";"Muy alto"}),"")</f>
        <v/>
      </c>
      <c r="V2233" s="13">
        <f>IFERROR(INDEX(MgAmenFrec,MATCH(SUBSTITUTE($H2233,"*","-"),MgAmenClave,0)),"")</f>
        <v/>
      </c>
      <c r="W2233" s="28">
        <f>IFERROR(LOOKUP(X2233,{0;0.01;0.1;1;10;100},{"Muy baja";"Muy baja";"Baja";"Media";"Alta";"Muy alta"}),"")</f>
        <v/>
      </c>
      <c r="X2233" s="31">
        <f>IFERROR(VLOOKUP(V2233,MgFrec,2,0),0)</f>
        <v/>
      </c>
      <c r="Y2233" s="30">
        <f>T2233*X2233</f>
        <v/>
      </c>
      <c r="Z2233" s="28">
        <f>IFERROR(LOOKUP(Y2233,{0;0.5;5;25},{"Bajo";"Medio";"Alto";"Crítico"}),"")</f>
        <v/>
      </c>
      <c r="AA2233" s="64">
        <f>IF(T2233&gt;=3,IF(X2233&gt;=1,"Zona 1 — Crítica: impacto alto y ocurre al menos una vez al año","Zona 4 — Catastrófica poco probable: impacto alto pero excepcional"),IF(AND(T2233&lt;1.5,X2233&lt;1),"Zona 3 — Asumible: impacto bajo y muy poco frecuente","Zona 2 — Atención: riesgo intermedio"))</f>
        <v/>
      </c>
      <c r="AB2233" s="64">
        <f>IFERROR(INDEX(MgAmenCtrl,MATCH(SUBSTITUTE($H2233,"*","-"),MgAmenClave,0)),"")</f>
        <v/>
      </c>
      <c r="AC2233" s="20" t="n"/>
      <c r="AD2233" s="31">
        <f>IFERROR($X2233*(1-IF($AC2233="",$AL2233,VLOOKUP($AC2233,MgMad,2,0))),"")</f>
        <v/>
      </c>
      <c r="AE2233" s="28">
        <f>IFERROR(LOOKUP(AD2233,{0;0.01;0.1;1;10;100},{"Muy baja";"Muy baja";"Baja";"Media";"Alta";"Muy alta"}),"")</f>
        <v/>
      </c>
      <c r="AF2233" s="30">
        <f>T2233*AD2233</f>
        <v/>
      </c>
      <c r="AG2233" s="28">
        <f>IFERROR(LOOKUP(AF2233,{0;0.5;5;25},{"Bajo";"Medio";"Alto";"Crítico"}),"")</f>
        <v/>
      </c>
      <c r="AH2233" s="28">
        <f>IF(AG2233="","",IF(OR(AG2233="Crítico",AG2233="Alto"),"Mitigar",IF(AG2233="Medio","Mitigar","Aceptar y monitorear")))</f>
        <v/>
      </c>
      <c r="AI2233" s="21" t="n"/>
      <c r="AJ2233" s="21" t="n"/>
      <c r="AK2233" s="20" t="n"/>
      <c r="AL2233" s="77">
        <f>IFERROR(INDEX(MgAmenEfic,MATCH(SUBSTITUTE($H2233,"*","-"),MgAmenClave,0)),0)</f>
        <v/>
      </c>
    </row>
    <row r="2234" hidden="1" ht="60" customHeight="1" s="54">
      <c r="B2234" s="59" t="inlineStr">
        <is>
          <t>R-2229</t>
        </is>
      </c>
      <c r="C2234" s="59" t="inlineStr">
        <is>
          <t>SW-01</t>
        </is>
      </c>
      <c r="D2234" s="64">
        <f>IFERROR(INDEX(MgNombre,MATCH($C2234,MgActId,0)),"")</f>
        <v/>
      </c>
      <c r="E2234" s="64">
        <f>IFERROR(INDEX(MgProceso,MATCH($C2234,MgActId,0)),"")</f>
        <v/>
      </c>
      <c r="F2234" s="64">
        <f>IFERROR(INDEX(MgTipo,MATCH($C2234,MgActId,0)),"")</f>
        <v/>
      </c>
      <c r="G2234" s="64">
        <f>IFERROR(INDEX(MgSubtipo,MATCH($C2234,MgActId,0)),"")</f>
        <v/>
      </c>
      <c r="H2234" s="59" t="inlineStr">
        <is>
          <t>A.9</t>
        </is>
      </c>
      <c r="I2234" s="64">
        <f>IFERROR(INDEX(MgAmenNombre,MATCH(SUBSTITUTE($H2234,"*","-"),MgAmenClave,0)),"")</f>
        <v/>
      </c>
      <c r="J2234" s="28">
        <f>IFERROR(INDEX(MgAmenGrupo,MATCH(SUBSTITUTE($H2234,"*","-"),MgAmenClave,0)),"")</f>
        <v/>
      </c>
      <c r="K2234" s="64">
        <f>IFERROR(INDEX('1. Matriz de Activos'!$Q$6:$Q$239,MATCH($C2234,MgActId,0)),"")</f>
        <v/>
      </c>
      <c r="L2234" s="64">
        <f>IFERROR(INDEX('1. Matriz de Activos'!$R$6:$R$239,MATCH($C2234,MgActId,0)),"")</f>
        <v/>
      </c>
      <c r="M2234" s="64">
        <f>IFERROR(INDEX('1. Matriz de Activos'!$S$6:$S$239,MATCH($C2234,MgActId,0)),"")</f>
        <v/>
      </c>
      <c r="N2234" s="28">
        <f>IFERROR(INDEX(MgAmenDegD,MATCH(SUBSTITUTE($H2234,"*","-"),MgAmenClave,0)),"No aplica")</f>
        <v/>
      </c>
      <c r="O2234" s="28">
        <f>IFERROR(INDEX(MgAmenDegI,MATCH(SUBSTITUTE($H2234,"*","-"),MgAmenClave,0)),"No aplica")</f>
        <v/>
      </c>
      <c r="P2234" s="28">
        <f>IFERROR(INDEX(MgAmenDegC,MATCH(SUBSTITUTE($H2234,"*","-"),MgAmenClave,0)),"No aplica")</f>
        <v/>
      </c>
      <c r="Q2234" s="29">
        <f>IFERROR(VLOOKUP(K2234,MgValor,2,0)*VLOOKUP(N2234,MgDeg,2,0),0)</f>
        <v/>
      </c>
      <c r="R2234" s="29">
        <f>IFERROR(VLOOKUP(L2234,MgValor,2,0)*VLOOKUP(O2234,MgDeg,2,0),0)</f>
        <v/>
      </c>
      <c r="S2234" s="29">
        <f>IFERROR(VLOOKUP(M2234,MgValor,2,0)*VLOOKUP(P2234,MgDeg,2,0),0)</f>
        <v/>
      </c>
      <c r="T2234" s="30">
        <f>MAX(Q2234:S2234)</f>
        <v/>
      </c>
      <c r="U2234" s="28">
        <f>IFERROR(LOOKUP(T2234,{0;0.5;1.5;3;4.5},{"Despreciable";"Bajo";"Medio";"Alto";"Muy alto"}),"")</f>
        <v/>
      </c>
      <c r="V2234" s="13">
        <f>IFERROR(INDEX(MgAmenFrec,MATCH(SUBSTITUTE($H2234,"*","-"),MgAmenClave,0)),"")</f>
        <v/>
      </c>
      <c r="W2234" s="28">
        <f>IFERROR(LOOKUP(X2234,{0;0.01;0.1;1;10;100},{"Muy baja";"Muy baja";"Baja";"Media";"Alta";"Muy alta"}),"")</f>
        <v/>
      </c>
      <c r="X2234" s="31">
        <f>IFERROR(VLOOKUP(V2234,MgFrec,2,0),0)</f>
        <v/>
      </c>
      <c r="Y2234" s="30">
        <f>T2234*X2234</f>
        <v/>
      </c>
      <c r="Z2234" s="28">
        <f>IFERROR(LOOKUP(Y2234,{0;0.5;5;25},{"Bajo";"Medio";"Alto";"Crítico"}),"")</f>
        <v/>
      </c>
      <c r="AA2234" s="64">
        <f>IF(T2234&gt;=3,IF(X2234&gt;=1,"Zona 1 — Crítica: impacto alto y ocurre al menos una vez al año","Zona 4 — Catastrófica poco probable: impacto alto pero excepcional"),IF(AND(T2234&lt;1.5,X2234&lt;1),"Zona 3 — Asumible: impacto bajo y muy poco frecuente","Zona 2 — Atención: riesgo intermedio"))</f>
        <v/>
      </c>
      <c r="AB2234" s="64">
        <f>IFERROR(INDEX(MgAmenCtrl,MATCH(SUBSTITUTE($H2234,"*","-"),MgAmenClave,0)),"")</f>
        <v/>
      </c>
      <c r="AC2234" s="20" t="n"/>
      <c r="AD2234" s="31">
        <f>IFERROR($X2234*(1-IF($AC2234="",$AL2234,VLOOKUP($AC2234,MgMad,2,0))),"")</f>
        <v/>
      </c>
      <c r="AE2234" s="28">
        <f>IFERROR(LOOKUP(AD2234,{0;0.01;0.1;1;10;100},{"Muy baja";"Muy baja";"Baja";"Media";"Alta";"Muy alta"}),"")</f>
        <v/>
      </c>
      <c r="AF2234" s="30">
        <f>T2234*AD2234</f>
        <v/>
      </c>
      <c r="AG2234" s="28">
        <f>IFERROR(LOOKUP(AF2234,{0;0.5;5;25},{"Bajo";"Medio";"Alto";"Crítico"}),"")</f>
        <v/>
      </c>
      <c r="AH2234" s="28">
        <f>IF(AG2234="","",IF(OR(AG2234="Crítico",AG2234="Alto"),"Mitigar",IF(AG2234="Medio","Mitigar","Aceptar y monitorear")))</f>
        <v/>
      </c>
      <c r="AI2234" s="21" t="n"/>
      <c r="AJ2234" s="21" t="n"/>
      <c r="AK2234" s="20" t="n"/>
      <c r="AL2234" s="77">
        <f>IFERROR(INDEX(MgAmenEfic,MATCH(SUBSTITUTE($H2234,"*","-"),MgAmenClave,0)),0)</f>
        <v/>
      </c>
    </row>
    <row r="2235" hidden="1" ht="45" customHeight="1" s="54">
      <c r="B2235" s="59" t="inlineStr">
        <is>
          <t>R-2230</t>
        </is>
      </c>
      <c r="C2235" s="59" t="inlineStr">
        <is>
          <t>SW-01</t>
        </is>
      </c>
      <c r="D2235" s="64">
        <f>IFERROR(INDEX(MgNombre,MATCH($C2235,MgActId,0)),"")</f>
        <v/>
      </c>
      <c r="E2235" s="64">
        <f>IFERROR(INDEX(MgProceso,MATCH($C2235,MgActId,0)),"")</f>
        <v/>
      </c>
      <c r="F2235" s="64">
        <f>IFERROR(INDEX(MgTipo,MATCH($C2235,MgActId,0)),"")</f>
        <v/>
      </c>
      <c r="G2235" s="64">
        <f>IFERROR(INDEX(MgSubtipo,MATCH($C2235,MgActId,0)),"")</f>
        <v/>
      </c>
      <c r="H2235" s="59" t="inlineStr">
        <is>
          <t>A.10</t>
        </is>
      </c>
      <c r="I2235" s="64">
        <f>IFERROR(INDEX(MgAmenNombre,MATCH(SUBSTITUTE($H2235,"*","-"),MgAmenClave,0)),"")</f>
        <v/>
      </c>
      <c r="J2235" s="28">
        <f>IFERROR(INDEX(MgAmenGrupo,MATCH(SUBSTITUTE($H2235,"*","-"),MgAmenClave,0)),"")</f>
        <v/>
      </c>
      <c r="K2235" s="64">
        <f>IFERROR(INDEX('1. Matriz de Activos'!$Q$6:$Q$239,MATCH($C2235,MgActId,0)),"")</f>
        <v/>
      </c>
      <c r="L2235" s="64">
        <f>IFERROR(INDEX('1. Matriz de Activos'!$R$6:$R$239,MATCH($C2235,MgActId,0)),"")</f>
        <v/>
      </c>
      <c r="M2235" s="64">
        <f>IFERROR(INDEX('1. Matriz de Activos'!$S$6:$S$239,MATCH($C2235,MgActId,0)),"")</f>
        <v/>
      </c>
      <c r="N2235" s="28">
        <f>IFERROR(INDEX(MgAmenDegD,MATCH(SUBSTITUTE($H2235,"*","-"),MgAmenClave,0)),"No aplica")</f>
        <v/>
      </c>
      <c r="O2235" s="28">
        <f>IFERROR(INDEX(MgAmenDegI,MATCH(SUBSTITUTE($H2235,"*","-"),MgAmenClave,0)),"No aplica")</f>
        <v/>
      </c>
      <c r="P2235" s="28">
        <f>IFERROR(INDEX(MgAmenDegC,MATCH(SUBSTITUTE($H2235,"*","-"),MgAmenClave,0)),"No aplica")</f>
        <v/>
      </c>
      <c r="Q2235" s="29">
        <f>IFERROR(VLOOKUP(K2235,MgValor,2,0)*VLOOKUP(N2235,MgDeg,2,0),0)</f>
        <v/>
      </c>
      <c r="R2235" s="29">
        <f>IFERROR(VLOOKUP(L2235,MgValor,2,0)*VLOOKUP(O2235,MgDeg,2,0),0)</f>
        <v/>
      </c>
      <c r="S2235" s="29">
        <f>IFERROR(VLOOKUP(M2235,MgValor,2,0)*VLOOKUP(P2235,MgDeg,2,0),0)</f>
        <v/>
      </c>
      <c r="T2235" s="30">
        <f>MAX(Q2235:S2235)</f>
        <v/>
      </c>
      <c r="U2235" s="28">
        <f>IFERROR(LOOKUP(T2235,{0;0.5;1.5;3;4.5},{"Despreciable";"Bajo";"Medio";"Alto";"Muy alto"}),"")</f>
        <v/>
      </c>
      <c r="V2235" s="13">
        <f>IFERROR(INDEX(MgAmenFrec,MATCH(SUBSTITUTE($H2235,"*","-"),MgAmenClave,0)),"")</f>
        <v/>
      </c>
      <c r="W2235" s="28">
        <f>IFERROR(LOOKUP(X2235,{0;0.01;0.1;1;10;100},{"Muy baja";"Muy baja";"Baja";"Media";"Alta";"Muy alta"}),"")</f>
        <v/>
      </c>
      <c r="X2235" s="31">
        <f>IFERROR(VLOOKUP(V2235,MgFrec,2,0),0)</f>
        <v/>
      </c>
      <c r="Y2235" s="30">
        <f>T2235*X2235</f>
        <v/>
      </c>
      <c r="Z2235" s="28">
        <f>IFERROR(LOOKUP(Y2235,{0;0.5;5;25},{"Bajo";"Medio";"Alto";"Crítico"}),"")</f>
        <v/>
      </c>
      <c r="AA2235" s="64">
        <f>IF(T2235&gt;=3,IF(X2235&gt;=1,"Zona 1 — Crítica: impacto alto y ocurre al menos una vez al año","Zona 4 — Catastrófica poco probable: impacto alto pero excepcional"),IF(AND(T2235&lt;1.5,X2235&lt;1),"Zona 3 — Asumible: impacto bajo y muy poco frecuente","Zona 2 — Atención: riesgo intermedio"))</f>
        <v/>
      </c>
      <c r="AB2235" s="64">
        <f>IFERROR(INDEX(MgAmenCtrl,MATCH(SUBSTITUTE($H2235,"*","-"),MgAmenClave,0)),"")</f>
        <v/>
      </c>
      <c r="AC2235" s="20" t="n"/>
      <c r="AD2235" s="31">
        <f>IFERROR($X2235*(1-IF($AC2235="",$AL2235,VLOOKUP($AC2235,MgMad,2,0))),"")</f>
        <v/>
      </c>
      <c r="AE2235" s="28">
        <f>IFERROR(LOOKUP(AD2235,{0;0.01;0.1;1;10;100},{"Muy baja";"Muy baja";"Baja";"Media";"Alta";"Muy alta"}),"")</f>
        <v/>
      </c>
      <c r="AF2235" s="30">
        <f>T2235*AD2235</f>
        <v/>
      </c>
      <c r="AG2235" s="28">
        <f>IFERROR(LOOKUP(AF2235,{0;0.5;5;25},{"Bajo";"Medio";"Alto";"Crítico"}),"")</f>
        <v/>
      </c>
      <c r="AH2235" s="28">
        <f>IF(AG2235="","",IF(OR(AG2235="Crítico",AG2235="Alto"),"Mitigar",IF(AG2235="Medio","Mitigar","Aceptar y monitorear")))</f>
        <v/>
      </c>
      <c r="AI2235" s="21" t="n"/>
      <c r="AJ2235" s="21" t="n"/>
      <c r="AK2235" s="20" t="n"/>
      <c r="AL2235" s="77">
        <f>IFERROR(INDEX(MgAmenEfic,MATCH(SUBSTITUTE($H2235,"*","-"),MgAmenClave,0)),0)</f>
        <v/>
      </c>
    </row>
    <row r="2236" hidden="1" ht="120" customHeight="1" s="54">
      <c r="B2236" s="59" t="inlineStr">
        <is>
          <t>R-2231</t>
        </is>
      </c>
      <c r="C2236" s="59" t="inlineStr">
        <is>
          <t>SW-01</t>
        </is>
      </c>
      <c r="D2236" s="64">
        <f>IFERROR(INDEX(MgNombre,MATCH($C2236,MgActId,0)),"")</f>
        <v/>
      </c>
      <c r="E2236" s="64">
        <f>IFERROR(INDEX(MgProceso,MATCH($C2236,MgActId,0)),"")</f>
        <v/>
      </c>
      <c r="F2236" s="64">
        <f>IFERROR(INDEX(MgTipo,MATCH($C2236,MgActId,0)),"")</f>
        <v/>
      </c>
      <c r="G2236" s="64">
        <f>IFERROR(INDEX(MgSubtipo,MATCH($C2236,MgActId,0)),"")</f>
        <v/>
      </c>
      <c r="H2236" s="59" t="inlineStr">
        <is>
          <t>A.11</t>
        </is>
      </c>
      <c r="I2236" s="64">
        <f>IFERROR(INDEX(MgAmenNombre,MATCH(SUBSTITUTE($H2236,"*","-"),MgAmenClave,0)),"")</f>
        <v/>
      </c>
      <c r="J2236" s="28">
        <f>IFERROR(INDEX(MgAmenGrupo,MATCH(SUBSTITUTE($H2236,"*","-"),MgAmenClave,0)),"")</f>
        <v/>
      </c>
      <c r="K2236" s="64">
        <f>IFERROR(INDEX('1. Matriz de Activos'!$Q$6:$Q$239,MATCH($C2236,MgActId,0)),"")</f>
        <v/>
      </c>
      <c r="L2236" s="64">
        <f>IFERROR(INDEX('1. Matriz de Activos'!$R$6:$R$239,MATCH($C2236,MgActId,0)),"")</f>
        <v/>
      </c>
      <c r="M2236" s="64">
        <f>IFERROR(INDEX('1. Matriz de Activos'!$S$6:$S$239,MATCH($C2236,MgActId,0)),"")</f>
        <v/>
      </c>
      <c r="N2236" s="28">
        <f>IFERROR(INDEX(MgAmenDegD,MATCH(SUBSTITUTE($H2236,"*","-"),MgAmenClave,0)),"No aplica")</f>
        <v/>
      </c>
      <c r="O2236" s="28">
        <f>IFERROR(INDEX(MgAmenDegI,MATCH(SUBSTITUTE($H2236,"*","-"),MgAmenClave,0)),"No aplica")</f>
        <v/>
      </c>
      <c r="P2236" s="28">
        <f>IFERROR(INDEX(MgAmenDegC,MATCH(SUBSTITUTE($H2236,"*","-"),MgAmenClave,0)),"No aplica")</f>
        <v/>
      </c>
      <c r="Q2236" s="29">
        <f>IFERROR(VLOOKUP(K2236,MgValor,2,0)*VLOOKUP(N2236,MgDeg,2,0),0)</f>
        <v/>
      </c>
      <c r="R2236" s="29">
        <f>IFERROR(VLOOKUP(L2236,MgValor,2,0)*VLOOKUP(O2236,MgDeg,2,0),0)</f>
        <v/>
      </c>
      <c r="S2236" s="29">
        <f>IFERROR(VLOOKUP(M2236,MgValor,2,0)*VLOOKUP(P2236,MgDeg,2,0),0)</f>
        <v/>
      </c>
      <c r="T2236" s="30">
        <f>MAX(Q2236:S2236)</f>
        <v/>
      </c>
      <c r="U2236" s="28">
        <f>IFERROR(LOOKUP(T2236,{0;0.5;1.5;3;4.5},{"Despreciable";"Bajo";"Medio";"Alto";"Muy alto"}),"")</f>
        <v/>
      </c>
      <c r="V2236" s="13">
        <f>IFERROR(INDEX(MgAmenFrec,MATCH(SUBSTITUTE($H2236,"*","-"),MgAmenClave,0)),"")</f>
        <v/>
      </c>
      <c r="W2236" s="28">
        <f>IFERROR(LOOKUP(X2236,{0;0.01;0.1;1;10;100},{"Muy baja";"Muy baja";"Baja";"Media";"Alta";"Muy alta"}),"")</f>
        <v/>
      </c>
      <c r="X2236" s="31">
        <f>IFERROR(VLOOKUP(V2236,MgFrec,2,0),0)</f>
        <v/>
      </c>
      <c r="Y2236" s="30">
        <f>T2236*X2236</f>
        <v/>
      </c>
      <c r="Z2236" s="28">
        <f>IFERROR(LOOKUP(Y2236,{0;0.5;5;25},{"Bajo";"Medio";"Alto";"Crítico"}),"")</f>
        <v/>
      </c>
      <c r="AA2236" s="64">
        <f>IF(T2236&gt;=3,IF(X2236&gt;=1,"Zona 1 — Crítica: impacto alto y ocurre al menos una vez al año","Zona 4 — Catastrófica poco probable: impacto alto pero excepcional"),IF(AND(T2236&lt;1.5,X2236&lt;1),"Zona 3 — Asumible: impacto bajo y muy poco frecuente","Zona 2 — Atención: riesgo intermedio"))</f>
        <v/>
      </c>
      <c r="AB2236" s="64">
        <f>IFERROR(INDEX(MgAmenCtrl,MATCH(SUBSTITUTE($H2236,"*","-"),MgAmenClave,0)),"")</f>
        <v/>
      </c>
      <c r="AC2236" s="20" t="n"/>
      <c r="AD2236" s="31">
        <f>IFERROR($X2236*(1-IF($AC2236="",$AL2236,VLOOKUP($AC2236,MgMad,2,0))),"")</f>
        <v/>
      </c>
      <c r="AE2236" s="28">
        <f>IFERROR(LOOKUP(AD2236,{0;0.01;0.1;1;10;100},{"Muy baja";"Muy baja";"Baja";"Media";"Alta";"Muy alta"}),"")</f>
        <v/>
      </c>
      <c r="AF2236" s="30">
        <f>T2236*AD2236</f>
        <v/>
      </c>
      <c r="AG2236" s="28">
        <f>IFERROR(LOOKUP(AF2236,{0;0.5;5;25},{"Bajo";"Medio";"Alto";"Crítico"}),"")</f>
        <v/>
      </c>
      <c r="AH2236" s="28">
        <f>IF(AG2236="","",IF(OR(AG2236="Crítico",AG2236="Alto"),"Mitigar",IF(AG2236="Medio","Mitigar","Aceptar y monitorear")))</f>
        <v/>
      </c>
      <c r="AI2236" s="21" t="n"/>
      <c r="AJ2236" s="21" t="n"/>
      <c r="AK2236" s="20" t="n"/>
      <c r="AL2236" s="77">
        <f>IFERROR(INDEX(MgAmenEfic,MATCH(SUBSTITUTE($H2236,"*","-"),MgAmenClave,0)),0)</f>
        <v/>
      </c>
    </row>
    <row r="2237" hidden="1" ht="90" customHeight="1" s="54">
      <c r="B2237" s="59" t="inlineStr">
        <is>
          <t>R-2232</t>
        </is>
      </c>
      <c r="C2237" s="59" t="inlineStr">
        <is>
          <t>SW-01</t>
        </is>
      </c>
      <c r="D2237" s="64">
        <f>IFERROR(INDEX(MgNombre,MATCH($C2237,MgActId,0)),"")</f>
        <v/>
      </c>
      <c r="E2237" s="64">
        <f>IFERROR(INDEX(MgProceso,MATCH($C2237,MgActId,0)),"")</f>
        <v/>
      </c>
      <c r="F2237" s="64">
        <f>IFERROR(INDEX(MgTipo,MATCH($C2237,MgActId,0)),"")</f>
        <v/>
      </c>
      <c r="G2237" s="64">
        <f>IFERROR(INDEX(MgSubtipo,MATCH($C2237,MgActId,0)),"")</f>
        <v/>
      </c>
      <c r="H2237" s="59" t="inlineStr">
        <is>
          <t>A.13</t>
        </is>
      </c>
      <c r="I2237" s="64">
        <f>IFERROR(INDEX(MgAmenNombre,MATCH(SUBSTITUTE($H2237,"*","-"),MgAmenClave,0)),"")</f>
        <v/>
      </c>
      <c r="J2237" s="28">
        <f>IFERROR(INDEX(MgAmenGrupo,MATCH(SUBSTITUTE($H2237,"*","-"),MgAmenClave,0)),"")</f>
        <v/>
      </c>
      <c r="K2237" s="64">
        <f>IFERROR(INDEX('1. Matriz de Activos'!$Q$6:$Q$239,MATCH($C2237,MgActId,0)),"")</f>
        <v/>
      </c>
      <c r="L2237" s="64">
        <f>IFERROR(INDEX('1. Matriz de Activos'!$R$6:$R$239,MATCH($C2237,MgActId,0)),"")</f>
        <v/>
      </c>
      <c r="M2237" s="64">
        <f>IFERROR(INDEX('1. Matriz de Activos'!$S$6:$S$239,MATCH($C2237,MgActId,0)),"")</f>
        <v/>
      </c>
      <c r="N2237" s="28">
        <f>IFERROR(INDEX(MgAmenDegD,MATCH(SUBSTITUTE($H2237,"*","-"),MgAmenClave,0)),"No aplica")</f>
        <v/>
      </c>
      <c r="O2237" s="28">
        <f>IFERROR(INDEX(MgAmenDegI,MATCH(SUBSTITUTE($H2237,"*","-"),MgAmenClave,0)),"No aplica")</f>
        <v/>
      </c>
      <c r="P2237" s="28">
        <f>IFERROR(INDEX(MgAmenDegC,MATCH(SUBSTITUTE($H2237,"*","-"),MgAmenClave,0)),"No aplica")</f>
        <v/>
      </c>
      <c r="Q2237" s="29">
        <f>IFERROR(VLOOKUP(K2237,MgValor,2,0)*VLOOKUP(N2237,MgDeg,2,0),0)</f>
        <v/>
      </c>
      <c r="R2237" s="29">
        <f>IFERROR(VLOOKUP(L2237,MgValor,2,0)*VLOOKUP(O2237,MgDeg,2,0),0)</f>
        <v/>
      </c>
      <c r="S2237" s="29">
        <f>IFERROR(VLOOKUP(M2237,MgValor,2,0)*VLOOKUP(P2237,MgDeg,2,0),0)</f>
        <v/>
      </c>
      <c r="T2237" s="30">
        <f>MAX(Q2237:S2237)</f>
        <v/>
      </c>
      <c r="U2237" s="28">
        <f>IFERROR(LOOKUP(T2237,{0;0.5;1.5;3;4.5},{"Despreciable";"Bajo";"Medio";"Alto";"Muy alto"}),"")</f>
        <v/>
      </c>
      <c r="V2237" s="13">
        <f>IFERROR(INDEX(MgAmenFrec,MATCH(SUBSTITUTE($H2237,"*","-"),MgAmenClave,0)),"")</f>
        <v/>
      </c>
      <c r="W2237" s="28">
        <f>IFERROR(LOOKUP(X2237,{0;0.01;0.1;1;10;100},{"Muy baja";"Muy baja";"Baja";"Media";"Alta";"Muy alta"}),"")</f>
        <v/>
      </c>
      <c r="X2237" s="31">
        <f>IFERROR(VLOOKUP(V2237,MgFrec,2,0),0)</f>
        <v/>
      </c>
      <c r="Y2237" s="30">
        <f>T2237*X2237</f>
        <v/>
      </c>
      <c r="Z2237" s="28">
        <f>IFERROR(LOOKUP(Y2237,{0;0.5;5;25},{"Bajo";"Medio";"Alto";"Crítico"}),"")</f>
        <v/>
      </c>
      <c r="AA2237" s="64">
        <f>IF(T2237&gt;=3,IF(X2237&gt;=1,"Zona 1 — Crítica: impacto alto y ocurre al menos una vez al año","Zona 4 — Catastrófica poco probable: impacto alto pero excepcional"),IF(AND(T2237&lt;1.5,X2237&lt;1),"Zona 3 — Asumible: impacto bajo y muy poco frecuente","Zona 2 — Atención: riesgo intermedio"))</f>
        <v/>
      </c>
      <c r="AB2237" s="64">
        <f>IFERROR(INDEX(MgAmenCtrl,MATCH(SUBSTITUTE($H2237,"*","-"),MgAmenClave,0)),"")</f>
        <v/>
      </c>
      <c r="AC2237" s="20" t="n"/>
      <c r="AD2237" s="31">
        <f>IFERROR($X2237*(1-IF($AC2237="",$AL2237,VLOOKUP($AC2237,MgMad,2,0))),"")</f>
        <v/>
      </c>
      <c r="AE2237" s="28">
        <f>IFERROR(LOOKUP(AD2237,{0;0.01;0.1;1;10;100},{"Muy baja";"Muy baja";"Baja";"Media";"Alta";"Muy alta"}),"")</f>
        <v/>
      </c>
      <c r="AF2237" s="30">
        <f>T2237*AD2237</f>
        <v/>
      </c>
      <c r="AG2237" s="28">
        <f>IFERROR(LOOKUP(AF2237,{0;0.5;5;25},{"Bajo";"Medio";"Alto";"Crítico"}),"")</f>
        <v/>
      </c>
      <c r="AH2237" s="28">
        <f>IF(AG2237="","",IF(OR(AG2237="Crítico",AG2237="Alto"),"Mitigar",IF(AG2237="Medio","Mitigar","Aceptar y monitorear")))</f>
        <v/>
      </c>
      <c r="AI2237" s="21" t="n"/>
      <c r="AJ2237" s="21" t="n"/>
      <c r="AK2237" s="20" t="n"/>
      <c r="AL2237" s="77">
        <f>IFERROR(INDEX(MgAmenEfic,MATCH(SUBSTITUTE($H2237,"*","-"),MgAmenClave,0)),0)</f>
        <v/>
      </c>
    </row>
    <row r="2238" hidden="1" ht="60" customHeight="1" s="54">
      <c r="B2238" s="59" t="inlineStr">
        <is>
          <t>R-2233</t>
        </is>
      </c>
      <c r="C2238" s="59" t="inlineStr">
        <is>
          <t>SW-01</t>
        </is>
      </c>
      <c r="D2238" s="64">
        <f>IFERROR(INDEX(MgNombre,MATCH($C2238,MgActId,0)),"")</f>
        <v/>
      </c>
      <c r="E2238" s="64">
        <f>IFERROR(INDEX(MgProceso,MATCH($C2238,MgActId,0)),"")</f>
        <v/>
      </c>
      <c r="F2238" s="64">
        <f>IFERROR(INDEX(MgTipo,MATCH($C2238,MgActId,0)),"")</f>
        <v/>
      </c>
      <c r="G2238" s="64">
        <f>IFERROR(INDEX(MgSubtipo,MATCH($C2238,MgActId,0)),"")</f>
        <v/>
      </c>
      <c r="H2238" s="59" t="inlineStr">
        <is>
          <t>A.15</t>
        </is>
      </c>
      <c r="I2238" s="64">
        <f>IFERROR(INDEX(MgAmenNombre,MATCH(SUBSTITUTE($H2238,"*","-"),MgAmenClave,0)),"")</f>
        <v/>
      </c>
      <c r="J2238" s="28">
        <f>IFERROR(INDEX(MgAmenGrupo,MATCH(SUBSTITUTE($H2238,"*","-"),MgAmenClave,0)),"")</f>
        <v/>
      </c>
      <c r="K2238" s="64">
        <f>IFERROR(INDEX('1. Matriz de Activos'!$Q$6:$Q$239,MATCH($C2238,MgActId,0)),"")</f>
        <v/>
      </c>
      <c r="L2238" s="64">
        <f>IFERROR(INDEX('1. Matriz de Activos'!$R$6:$R$239,MATCH($C2238,MgActId,0)),"")</f>
        <v/>
      </c>
      <c r="M2238" s="64">
        <f>IFERROR(INDEX('1. Matriz de Activos'!$S$6:$S$239,MATCH($C2238,MgActId,0)),"")</f>
        <v/>
      </c>
      <c r="N2238" s="28">
        <f>IFERROR(INDEX(MgAmenDegD,MATCH(SUBSTITUTE($H2238,"*","-"),MgAmenClave,0)),"No aplica")</f>
        <v/>
      </c>
      <c r="O2238" s="28">
        <f>IFERROR(INDEX(MgAmenDegI,MATCH(SUBSTITUTE($H2238,"*","-"),MgAmenClave,0)),"No aplica")</f>
        <v/>
      </c>
      <c r="P2238" s="28">
        <f>IFERROR(INDEX(MgAmenDegC,MATCH(SUBSTITUTE($H2238,"*","-"),MgAmenClave,0)),"No aplica")</f>
        <v/>
      </c>
      <c r="Q2238" s="29">
        <f>IFERROR(VLOOKUP(K2238,MgValor,2,0)*VLOOKUP(N2238,MgDeg,2,0),0)</f>
        <v/>
      </c>
      <c r="R2238" s="29">
        <f>IFERROR(VLOOKUP(L2238,MgValor,2,0)*VLOOKUP(O2238,MgDeg,2,0),0)</f>
        <v/>
      </c>
      <c r="S2238" s="29">
        <f>IFERROR(VLOOKUP(M2238,MgValor,2,0)*VLOOKUP(P2238,MgDeg,2,0),0)</f>
        <v/>
      </c>
      <c r="T2238" s="30">
        <f>MAX(Q2238:S2238)</f>
        <v/>
      </c>
      <c r="U2238" s="28">
        <f>IFERROR(LOOKUP(T2238,{0;0.5;1.5;3;4.5},{"Despreciable";"Bajo";"Medio";"Alto";"Muy alto"}),"")</f>
        <v/>
      </c>
      <c r="V2238" s="13">
        <f>IFERROR(INDEX(MgAmenFrec,MATCH(SUBSTITUTE($H2238,"*","-"),MgAmenClave,0)),"")</f>
        <v/>
      </c>
      <c r="W2238" s="28">
        <f>IFERROR(LOOKUP(X2238,{0;0.01;0.1;1;10;100},{"Muy baja";"Muy baja";"Baja";"Media";"Alta";"Muy alta"}),"")</f>
        <v/>
      </c>
      <c r="X2238" s="31">
        <f>IFERROR(VLOOKUP(V2238,MgFrec,2,0),0)</f>
        <v/>
      </c>
      <c r="Y2238" s="30">
        <f>T2238*X2238</f>
        <v/>
      </c>
      <c r="Z2238" s="28">
        <f>IFERROR(LOOKUP(Y2238,{0;0.5;5;25},{"Bajo";"Medio";"Alto";"Crítico"}),"")</f>
        <v/>
      </c>
      <c r="AA2238" s="64">
        <f>IF(T2238&gt;=3,IF(X2238&gt;=1,"Zona 1 — Crítica: impacto alto y ocurre al menos una vez al año","Zona 4 — Catastrófica poco probable: impacto alto pero excepcional"),IF(AND(T2238&lt;1.5,X2238&lt;1),"Zona 3 — Asumible: impacto bajo y muy poco frecuente","Zona 2 — Atención: riesgo intermedio"))</f>
        <v/>
      </c>
      <c r="AB2238" s="64">
        <f>IFERROR(INDEX(MgAmenCtrl,MATCH(SUBSTITUTE($H2238,"*","-"),MgAmenClave,0)),"")</f>
        <v/>
      </c>
      <c r="AC2238" s="20" t="n"/>
      <c r="AD2238" s="31">
        <f>IFERROR($X2238*(1-IF($AC2238="",$AL2238,VLOOKUP($AC2238,MgMad,2,0))),"")</f>
        <v/>
      </c>
      <c r="AE2238" s="28">
        <f>IFERROR(LOOKUP(AD2238,{0;0.01;0.1;1;10;100},{"Muy baja";"Muy baja";"Baja";"Media";"Alta";"Muy alta"}),"")</f>
        <v/>
      </c>
      <c r="AF2238" s="30">
        <f>T2238*AD2238</f>
        <v/>
      </c>
      <c r="AG2238" s="28">
        <f>IFERROR(LOOKUP(AF2238,{0;0.5;5;25},{"Bajo";"Medio";"Alto";"Crítico"}),"")</f>
        <v/>
      </c>
      <c r="AH2238" s="28">
        <f>IF(AG2238="","",IF(OR(AG2238="Crítico",AG2238="Alto"),"Mitigar",IF(AG2238="Medio","Mitigar","Aceptar y monitorear")))</f>
        <v/>
      </c>
      <c r="AI2238" s="21" t="n"/>
      <c r="AJ2238" s="21" t="n"/>
      <c r="AK2238" s="20" t="n"/>
      <c r="AL2238" s="77">
        <f>IFERROR(INDEX(MgAmenEfic,MATCH(SUBSTITUTE($H2238,"*","-"),MgAmenClave,0)),0)</f>
        <v/>
      </c>
    </row>
    <row r="2239" hidden="1" ht="60" customHeight="1" s="54">
      <c r="B2239" s="59" t="inlineStr">
        <is>
          <t>R-2234</t>
        </is>
      </c>
      <c r="C2239" s="59" t="inlineStr">
        <is>
          <t>SW-01</t>
        </is>
      </c>
      <c r="D2239" s="64">
        <f>IFERROR(INDEX(MgNombre,MATCH($C2239,MgActId,0)),"")</f>
        <v/>
      </c>
      <c r="E2239" s="64">
        <f>IFERROR(INDEX(MgProceso,MATCH($C2239,MgActId,0)),"")</f>
        <v/>
      </c>
      <c r="F2239" s="64">
        <f>IFERROR(INDEX(MgTipo,MATCH($C2239,MgActId,0)),"")</f>
        <v/>
      </c>
      <c r="G2239" s="64">
        <f>IFERROR(INDEX(MgSubtipo,MATCH($C2239,MgActId,0)),"")</f>
        <v/>
      </c>
      <c r="H2239" s="59" t="inlineStr">
        <is>
          <t>A.18</t>
        </is>
      </c>
      <c r="I2239" s="64">
        <f>IFERROR(INDEX(MgAmenNombre,MATCH(SUBSTITUTE($H2239,"*","-"),MgAmenClave,0)),"")</f>
        <v/>
      </c>
      <c r="J2239" s="28">
        <f>IFERROR(INDEX(MgAmenGrupo,MATCH(SUBSTITUTE($H2239,"*","-"),MgAmenClave,0)),"")</f>
        <v/>
      </c>
      <c r="K2239" s="64">
        <f>IFERROR(INDEX('1. Matriz de Activos'!$Q$6:$Q$239,MATCH($C2239,MgActId,0)),"")</f>
        <v/>
      </c>
      <c r="L2239" s="64">
        <f>IFERROR(INDEX('1. Matriz de Activos'!$R$6:$R$239,MATCH($C2239,MgActId,0)),"")</f>
        <v/>
      </c>
      <c r="M2239" s="64">
        <f>IFERROR(INDEX('1. Matriz de Activos'!$S$6:$S$239,MATCH($C2239,MgActId,0)),"")</f>
        <v/>
      </c>
      <c r="N2239" s="28">
        <f>IFERROR(INDEX(MgAmenDegD,MATCH(SUBSTITUTE($H2239,"*","-"),MgAmenClave,0)),"No aplica")</f>
        <v/>
      </c>
      <c r="O2239" s="28">
        <f>IFERROR(INDEX(MgAmenDegI,MATCH(SUBSTITUTE($H2239,"*","-"),MgAmenClave,0)),"No aplica")</f>
        <v/>
      </c>
      <c r="P2239" s="28">
        <f>IFERROR(INDEX(MgAmenDegC,MATCH(SUBSTITUTE($H2239,"*","-"),MgAmenClave,0)),"No aplica")</f>
        <v/>
      </c>
      <c r="Q2239" s="29">
        <f>IFERROR(VLOOKUP(K2239,MgValor,2,0)*VLOOKUP(N2239,MgDeg,2,0),0)</f>
        <v/>
      </c>
      <c r="R2239" s="29">
        <f>IFERROR(VLOOKUP(L2239,MgValor,2,0)*VLOOKUP(O2239,MgDeg,2,0),0)</f>
        <v/>
      </c>
      <c r="S2239" s="29">
        <f>IFERROR(VLOOKUP(M2239,MgValor,2,0)*VLOOKUP(P2239,MgDeg,2,0),0)</f>
        <v/>
      </c>
      <c r="T2239" s="30">
        <f>MAX(Q2239:S2239)</f>
        <v/>
      </c>
      <c r="U2239" s="28">
        <f>IFERROR(LOOKUP(T2239,{0;0.5;1.5;3;4.5},{"Despreciable";"Bajo";"Medio";"Alto";"Muy alto"}),"")</f>
        <v/>
      </c>
      <c r="V2239" s="13">
        <f>IFERROR(INDEX(MgAmenFrec,MATCH(SUBSTITUTE($H2239,"*","-"),MgAmenClave,0)),"")</f>
        <v/>
      </c>
      <c r="W2239" s="28">
        <f>IFERROR(LOOKUP(X2239,{0;0.01;0.1;1;10;100},{"Muy baja";"Muy baja";"Baja";"Media";"Alta";"Muy alta"}),"")</f>
        <v/>
      </c>
      <c r="X2239" s="31">
        <f>IFERROR(VLOOKUP(V2239,MgFrec,2,0),0)</f>
        <v/>
      </c>
      <c r="Y2239" s="30">
        <f>T2239*X2239</f>
        <v/>
      </c>
      <c r="Z2239" s="28">
        <f>IFERROR(LOOKUP(Y2239,{0;0.5;5;25},{"Bajo";"Medio";"Alto";"Crítico"}),"")</f>
        <v/>
      </c>
      <c r="AA2239" s="64">
        <f>IF(T2239&gt;=3,IF(X2239&gt;=1,"Zona 1 — Crítica: impacto alto y ocurre al menos una vez al año","Zona 4 — Catastrófica poco probable: impacto alto pero excepcional"),IF(AND(T2239&lt;1.5,X2239&lt;1),"Zona 3 — Asumible: impacto bajo y muy poco frecuente","Zona 2 — Atención: riesgo intermedio"))</f>
        <v/>
      </c>
      <c r="AB2239" s="64">
        <f>IFERROR(INDEX(MgAmenCtrl,MATCH(SUBSTITUTE($H2239,"*","-"),MgAmenClave,0)),"")</f>
        <v/>
      </c>
      <c r="AC2239" s="20" t="n"/>
      <c r="AD2239" s="31">
        <f>IFERROR($X2239*(1-IF($AC2239="",$AL2239,VLOOKUP($AC2239,MgMad,2,0))),"")</f>
        <v/>
      </c>
      <c r="AE2239" s="28">
        <f>IFERROR(LOOKUP(AD2239,{0;0.01;0.1;1;10;100},{"Muy baja";"Muy baja";"Baja";"Media";"Alta";"Muy alta"}),"")</f>
        <v/>
      </c>
      <c r="AF2239" s="30">
        <f>T2239*AD2239</f>
        <v/>
      </c>
      <c r="AG2239" s="28">
        <f>IFERROR(LOOKUP(AF2239,{0;0.5;5;25},{"Bajo";"Medio";"Alto";"Crítico"}),"")</f>
        <v/>
      </c>
      <c r="AH2239" s="28">
        <f>IF(AG2239="","",IF(OR(AG2239="Crítico",AG2239="Alto"),"Mitigar",IF(AG2239="Medio","Mitigar","Aceptar y monitorear")))</f>
        <v/>
      </c>
      <c r="AI2239" s="21" t="n"/>
      <c r="AJ2239" s="21" t="n"/>
      <c r="AK2239" s="20" t="n"/>
      <c r="AL2239" s="77">
        <f>IFERROR(INDEX(MgAmenEfic,MATCH(SUBSTITUTE($H2239,"*","-"),MgAmenClave,0)),0)</f>
        <v/>
      </c>
    </row>
    <row r="2240" hidden="1" ht="120" customHeight="1" s="54">
      <c r="B2240" s="59" t="inlineStr">
        <is>
          <t>R-2235</t>
        </is>
      </c>
      <c r="C2240" s="59" t="inlineStr">
        <is>
          <t>SW-01</t>
        </is>
      </c>
      <c r="D2240" s="64">
        <f>IFERROR(INDEX(MgNombre,MATCH($C2240,MgActId,0)),"")</f>
        <v/>
      </c>
      <c r="E2240" s="64">
        <f>IFERROR(INDEX(MgProceso,MATCH($C2240,MgActId,0)),"")</f>
        <v/>
      </c>
      <c r="F2240" s="64">
        <f>IFERROR(INDEX(MgTipo,MATCH($C2240,MgActId,0)),"")</f>
        <v/>
      </c>
      <c r="G2240" s="64">
        <f>IFERROR(INDEX(MgSubtipo,MATCH($C2240,MgActId,0)),"")</f>
        <v/>
      </c>
      <c r="H2240" s="59" t="inlineStr">
        <is>
          <t>A.19</t>
        </is>
      </c>
      <c r="I2240" s="64">
        <f>IFERROR(INDEX(MgAmenNombre,MATCH(SUBSTITUTE($H2240,"*","-"),MgAmenClave,0)),"")</f>
        <v/>
      </c>
      <c r="J2240" s="28">
        <f>IFERROR(INDEX(MgAmenGrupo,MATCH(SUBSTITUTE($H2240,"*","-"),MgAmenClave,0)),"")</f>
        <v/>
      </c>
      <c r="K2240" s="64">
        <f>IFERROR(INDEX('1. Matriz de Activos'!$Q$6:$Q$239,MATCH($C2240,MgActId,0)),"")</f>
        <v/>
      </c>
      <c r="L2240" s="64">
        <f>IFERROR(INDEX('1. Matriz de Activos'!$R$6:$R$239,MATCH($C2240,MgActId,0)),"")</f>
        <v/>
      </c>
      <c r="M2240" s="64">
        <f>IFERROR(INDEX('1. Matriz de Activos'!$S$6:$S$239,MATCH($C2240,MgActId,0)),"")</f>
        <v/>
      </c>
      <c r="N2240" s="28">
        <f>IFERROR(INDEX(MgAmenDegD,MATCH(SUBSTITUTE($H2240,"*","-"),MgAmenClave,0)),"No aplica")</f>
        <v/>
      </c>
      <c r="O2240" s="28">
        <f>IFERROR(INDEX(MgAmenDegI,MATCH(SUBSTITUTE($H2240,"*","-"),MgAmenClave,0)),"No aplica")</f>
        <v/>
      </c>
      <c r="P2240" s="28">
        <f>IFERROR(INDEX(MgAmenDegC,MATCH(SUBSTITUTE($H2240,"*","-"),MgAmenClave,0)),"No aplica")</f>
        <v/>
      </c>
      <c r="Q2240" s="29">
        <f>IFERROR(VLOOKUP(K2240,MgValor,2,0)*VLOOKUP(N2240,MgDeg,2,0),0)</f>
        <v/>
      </c>
      <c r="R2240" s="29">
        <f>IFERROR(VLOOKUP(L2240,MgValor,2,0)*VLOOKUP(O2240,MgDeg,2,0),0)</f>
        <v/>
      </c>
      <c r="S2240" s="29">
        <f>IFERROR(VLOOKUP(M2240,MgValor,2,0)*VLOOKUP(P2240,MgDeg,2,0),0)</f>
        <v/>
      </c>
      <c r="T2240" s="30">
        <f>MAX(Q2240:S2240)</f>
        <v/>
      </c>
      <c r="U2240" s="28">
        <f>IFERROR(LOOKUP(T2240,{0;0.5;1.5;3;4.5},{"Despreciable";"Bajo";"Medio";"Alto";"Muy alto"}),"")</f>
        <v/>
      </c>
      <c r="V2240" s="13">
        <f>IFERROR(INDEX(MgAmenFrec,MATCH(SUBSTITUTE($H2240,"*","-"),MgAmenClave,0)),"")</f>
        <v/>
      </c>
      <c r="W2240" s="28">
        <f>IFERROR(LOOKUP(X2240,{0;0.01;0.1;1;10;100},{"Muy baja";"Muy baja";"Baja";"Media";"Alta";"Muy alta"}),"")</f>
        <v/>
      </c>
      <c r="X2240" s="31">
        <f>IFERROR(VLOOKUP(V2240,MgFrec,2,0),0)</f>
        <v/>
      </c>
      <c r="Y2240" s="30">
        <f>T2240*X2240</f>
        <v/>
      </c>
      <c r="Z2240" s="28">
        <f>IFERROR(LOOKUP(Y2240,{0;0.5;5;25},{"Bajo";"Medio";"Alto";"Crítico"}),"")</f>
        <v/>
      </c>
      <c r="AA2240" s="64">
        <f>IF(T2240&gt;=3,IF(X2240&gt;=1,"Zona 1 — Crítica: impacto alto y ocurre al menos una vez al año","Zona 4 — Catastrófica poco probable: impacto alto pero excepcional"),IF(AND(T2240&lt;1.5,X2240&lt;1),"Zona 3 — Asumible: impacto bajo y muy poco frecuente","Zona 2 — Atención: riesgo intermedio"))</f>
        <v/>
      </c>
      <c r="AB2240" s="64">
        <f>IFERROR(INDEX(MgAmenCtrl,MATCH(SUBSTITUTE($H2240,"*","-"),MgAmenClave,0)),"")</f>
        <v/>
      </c>
      <c r="AC2240" s="20" t="n"/>
      <c r="AD2240" s="31">
        <f>IFERROR($X2240*(1-IF($AC2240="",$AL2240,VLOOKUP($AC2240,MgMad,2,0))),"")</f>
        <v/>
      </c>
      <c r="AE2240" s="28">
        <f>IFERROR(LOOKUP(AD2240,{0;0.01;0.1;1;10;100},{"Muy baja";"Muy baja";"Baja";"Media";"Alta";"Muy alta"}),"")</f>
        <v/>
      </c>
      <c r="AF2240" s="30">
        <f>T2240*AD2240</f>
        <v/>
      </c>
      <c r="AG2240" s="28">
        <f>IFERROR(LOOKUP(AF2240,{0;0.5;5;25},{"Bajo";"Medio";"Alto";"Crítico"}),"")</f>
        <v/>
      </c>
      <c r="AH2240" s="28">
        <f>IF(AG2240="","",IF(OR(AG2240="Crítico",AG2240="Alto"),"Mitigar",IF(AG2240="Medio","Mitigar","Aceptar y monitorear")))</f>
        <v/>
      </c>
      <c r="AI2240" s="21" t="n"/>
      <c r="AJ2240" s="21" t="n"/>
      <c r="AK2240" s="20" t="n"/>
      <c r="AL2240" s="77">
        <f>IFERROR(INDEX(MgAmenEfic,MATCH(SUBSTITUTE($H2240,"*","-"),MgAmenClave,0)),0)</f>
        <v/>
      </c>
    </row>
    <row r="2241" hidden="1" ht="60" customHeight="1" s="54">
      <c r="B2241" s="59" t="inlineStr">
        <is>
          <t>R-2236</t>
        </is>
      </c>
      <c r="C2241" s="59" t="inlineStr">
        <is>
          <t>SW-01</t>
        </is>
      </c>
      <c r="D2241" s="64">
        <f>IFERROR(INDEX(MgNombre,MATCH($C2241,MgActId,0)),"")</f>
        <v/>
      </c>
      <c r="E2241" s="64">
        <f>IFERROR(INDEX(MgProceso,MATCH($C2241,MgActId,0)),"")</f>
        <v/>
      </c>
      <c r="F2241" s="64">
        <f>IFERROR(INDEX(MgTipo,MATCH($C2241,MgActId,0)),"")</f>
        <v/>
      </c>
      <c r="G2241" s="64">
        <f>IFERROR(INDEX(MgSubtipo,MATCH($C2241,MgActId,0)),"")</f>
        <v/>
      </c>
      <c r="H2241" s="59" t="inlineStr">
        <is>
          <t>A.24</t>
        </is>
      </c>
      <c r="I2241" s="64">
        <f>IFERROR(INDEX(MgAmenNombre,MATCH(SUBSTITUTE($H2241,"*","-"),MgAmenClave,0)),"")</f>
        <v/>
      </c>
      <c r="J2241" s="28">
        <f>IFERROR(INDEX(MgAmenGrupo,MATCH(SUBSTITUTE($H2241,"*","-"),MgAmenClave,0)),"")</f>
        <v/>
      </c>
      <c r="K2241" s="64">
        <f>IFERROR(INDEX('1. Matriz de Activos'!$Q$6:$Q$239,MATCH($C2241,MgActId,0)),"")</f>
        <v/>
      </c>
      <c r="L2241" s="64">
        <f>IFERROR(INDEX('1. Matriz de Activos'!$R$6:$R$239,MATCH($C2241,MgActId,0)),"")</f>
        <v/>
      </c>
      <c r="M2241" s="64">
        <f>IFERROR(INDEX('1. Matriz de Activos'!$S$6:$S$239,MATCH($C2241,MgActId,0)),"")</f>
        <v/>
      </c>
      <c r="N2241" s="28">
        <f>IFERROR(INDEX(MgAmenDegD,MATCH(SUBSTITUTE($H2241,"*","-"),MgAmenClave,0)),"No aplica")</f>
        <v/>
      </c>
      <c r="O2241" s="28">
        <f>IFERROR(INDEX(MgAmenDegI,MATCH(SUBSTITUTE($H2241,"*","-"),MgAmenClave,0)),"No aplica")</f>
        <v/>
      </c>
      <c r="P2241" s="28">
        <f>IFERROR(INDEX(MgAmenDegC,MATCH(SUBSTITUTE($H2241,"*","-"),MgAmenClave,0)),"No aplica")</f>
        <v/>
      </c>
      <c r="Q2241" s="29">
        <f>IFERROR(VLOOKUP(K2241,MgValor,2,0)*VLOOKUP(N2241,MgDeg,2,0),0)</f>
        <v/>
      </c>
      <c r="R2241" s="29">
        <f>IFERROR(VLOOKUP(L2241,MgValor,2,0)*VLOOKUP(O2241,MgDeg,2,0),0)</f>
        <v/>
      </c>
      <c r="S2241" s="29">
        <f>IFERROR(VLOOKUP(M2241,MgValor,2,0)*VLOOKUP(P2241,MgDeg,2,0),0)</f>
        <v/>
      </c>
      <c r="T2241" s="30">
        <f>MAX(Q2241:S2241)</f>
        <v/>
      </c>
      <c r="U2241" s="28">
        <f>IFERROR(LOOKUP(T2241,{0;0.5;1.5;3;4.5},{"Despreciable";"Bajo";"Medio";"Alto";"Muy alto"}),"")</f>
        <v/>
      </c>
      <c r="V2241" s="13">
        <f>IFERROR(INDEX(MgAmenFrec,MATCH(SUBSTITUTE($H2241,"*","-"),MgAmenClave,0)),"")</f>
        <v/>
      </c>
      <c r="W2241" s="28">
        <f>IFERROR(LOOKUP(X2241,{0;0.01;0.1;1;10;100},{"Muy baja";"Muy baja";"Baja";"Media";"Alta";"Muy alta"}),"")</f>
        <v/>
      </c>
      <c r="X2241" s="31">
        <f>IFERROR(VLOOKUP(V2241,MgFrec,2,0),0)</f>
        <v/>
      </c>
      <c r="Y2241" s="30">
        <f>T2241*X2241</f>
        <v/>
      </c>
      <c r="Z2241" s="28">
        <f>IFERROR(LOOKUP(Y2241,{0;0.5;5;25},{"Bajo";"Medio";"Alto";"Crítico"}),"")</f>
        <v/>
      </c>
      <c r="AA2241" s="64">
        <f>IF(T2241&gt;=3,IF(X2241&gt;=1,"Zona 1 — Crítica: impacto alto y ocurre al menos una vez al año","Zona 4 — Catastrófica poco probable: impacto alto pero excepcional"),IF(AND(T2241&lt;1.5,X2241&lt;1),"Zona 3 — Asumible: impacto bajo y muy poco frecuente","Zona 2 — Atención: riesgo intermedio"))</f>
        <v/>
      </c>
      <c r="AB2241" s="64">
        <f>IFERROR(INDEX(MgAmenCtrl,MATCH(SUBSTITUTE($H2241,"*","-"),MgAmenClave,0)),"")</f>
        <v/>
      </c>
      <c r="AC2241" s="20" t="n"/>
      <c r="AD2241" s="31">
        <f>IFERROR($X2241*(1-IF($AC2241="",$AL2241,VLOOKUP($AC2241,MgMad,2,0))),"")</f>
        <v/>
      </c>
      <c r="AE2241" s="28">
        <f>IFERROR(LOOKUP(AD2241,{0;0.01;0.1;1;10;100},{"Muy baja";"Muy baja";"Baja";"Media";"Alta";"Muy alta"}),"")</f>
        <v/>
      </c>
      <c r="AF2241" s="30">
        <f>T2241*AD2241</f>
        <v/>
      </c>
      <c r="AG2241" s="28">
        <f>IFERROR(LOOKUP(AF2241,{0;0.5;5;25},{"Bajo";"Medio";"Alto";"Crítico"}),"")</f>
        <v/>
      </c>
      <c r="AH2241" s="28">
        <f>IF(AG2241="","",IF(OR(AG2241="Crítico",AG2241="Alto"),"Mitigar",IF(AG2241="Medio","Mitigar","Aceptar y monitorear")))</f>
        <v/>
      </c>
      <c r="AI2241" s="21" t="n"/>
      <c r="AJ2241" s="21" t="n"/>
      <c r="AK2241" s="20" t="n"/>
      <c r="AL2241" s="77">
        <f>IFERROR(INDEX(MgAmenEfic,MATCH(SUBSTITUTE($H2241,"*","-"),MgAmenClave,0)),0)</f>
        <v/>
      </c>
    </row>
    <row r="2242" hidden="1" ht="105" customHeight="1" s="54">
      <c r="B2242" s="59" t="inlineStr">
        <is>
          <t>R-2237</t>
        </is>
      </c>
      <c r="C2242" s="59" t="inlineStr">
        <is>
          <t>FIN-26</t>
        </is>
      </c>
      <c r="D2242" s="64">
        <f>IFERROR(INDEX(MgNombre,MATCH($C2242,MgActId,0)),"")</f>
        <v/>
      </c>
      <c r="E2242" s="64">
        <f>IFERROR(INDEX(MgProceso,MATCH($C2242,MgActId,0)),"")</f>
        <v/>
      </c>
      <c r="F2242" s="64">
        <f>IFERROR(INDEX(MgTipo,MATCH($C2242,MgActId,0)),"")</f>
        <v/>
      </c>
      <c r="G2242" s="64">
        <f>IFERROR(INDEX(MgSubtipo,MATCH($C2242,MgActId,0)),"")</f>
        <v/>
      </c>
      <c r="H2242" s="59" t="inlineStr">
        <is>
          <t>E.1</t>
        </is>
      </c>
      <c r="I2242" s="64">
        <f>IFERROR(INDEX(MgAmenNombre,MATCH(SUBSTITUTE($H2242,"*","-"),MgAmenClave,0)),"")</f>
        <v/>
      </c>
      <c r="J2242" s="28">
        <f>IFERROR(INDEX(MgAmenGrupo,MATCH(SUBSTITUTE($H2242,"*","-"),MgAmenClave,0)),"")</f>
        <v/>
      </c>
      <c r="K2242" s="64">
        <f>IFERROR(INDEX('1. Matriz de Activos'!$Q$6:$Q$239,MATCH($C2242,MgActId,0)),"")</f>
        <v/>
      </c>
      <c r="L2242" s="64">
        <f>IFERROR(INDEX('1. Matriz de Activos'!$R$6:$R$239,MATCH($C2242,MgActId,0)),"")</f>
        <v/>
      </c>
      <c r="M2242" s="64">
        <f>IFERROR(INDEX('1. Matriz de Activos'!$S$6:$S$239,MATCH($C2242,MgActId,0)),"")</f>
        <v/>
      </c>
      <c r="N2242" s="28">
        <f>IFERROR(INDEX(MgAmenDegD,MATCH(SUBSTITUTE($H2242,"*","-"),MgAmenClave,0)),"No aplica")</f>
        <v/>
      </c>
      <c r="O2242" s="28">
        <f>IFERROR(INDEX(MgAmenDegI,MATCH(SUBSTITUTE($H2242,"*","-"),MgAmenClave,0)),"No aplica")</f>
        <v/>
      </c>
      <c r="P2242" s="28">
        <f>IFERROR(INDEX(MgAmenDegC,MATCH(SUBSTITUTE($H2242,"*","-"),MgAmenClave,0)),"No aplica")</f>
        <v/>
      </c>
      <c r="Q2242" s="29">
        <f>IFERROR(VLOOKUP(K2242,MgValor,2,0)*VLOOKUP(N2242,MgDeg,2,0),0)</f>
        <v/>
      </c>
      <c r="R2242" s="29">
        <f>IFERROR(VLOOKUP(L2242,MgValor,2,0)*VLOOKUP(O2242,MgDeg,2,0),0)</f>
        <v/>
      </c>
      <c r="S2242" s="29">
        <f>IFERROR(VLOOKUP(M2242,MgValor,2,0)*VLOOKUP(P2242,MgDeg,2,0),0)</f>
        <v/>
      </c>
      <c r="T2242" s="30">
        <f>MAX(Q2242:S2242)</f>
        <v/>
      </c>
      <c r="U2242" s="28">
        <f>IFERROR(LOOKUP(T2242,{0;0.5;1.5;3;4.5},{"Despreciable";"Bajo";"Medio";"Alto";"Muy alto"}),"")</f>
        <v/>
      </c>
      <c r="V2242" s="13">
        <f>IFERROR(INDEX(MgAmenFrec,MATCH(SUBSTITUTE($H2242,"*","-"),MgAmenClave,0)),"")</f>
        <v/>
      </c>
      <c r="W2242" s="28">
        <f>IFERROR(LOOKUP(X2242,{0;0.01;0.1;1;10;100},{"Muy baja";"Muy baja";"Baja";"Media";"Alta";"Muy alta"}),"")</f>
        <v/>
      </c>
      <c r="X2242" s="31">
        <f>IFERROR(VLOOKUP(V2242,MgFrec,2,0),0)</f>
        <v/>
      </c>
      <c r="Y2242" s="30">
        <f>T2242*X2242</f>
        <v/>
      </c>
      <c r="Z2242" s="28">
        <f>IFERROR(LOOKUP(Y2242,{0;0.5;5;25},{"Bajo";"Medio";"Alto";"Crítico"}),"")</f>
        <v/>
      </c>
      <c r="AA2242" s="64">
        <f>IF(T2242&gt;=3,IF(X2242&gt;=1,"Zona 1 — Crítica: impacto alto y ocurre al menos una vez al año","Zona 4 — Catastrófica poco probable: impacto alto pero excepcional"),IF(AND(T2242&lt;1.5,X2242&lt;1),"Zona 3 — Asumible: impacto bajo y muy poco frecuente","Zona 2 — Atención: riesgo intermedio"))</f>
        <v/>
      </c>
      <c r="AB2242" s="64">
        <f>IFERROR(INDEX(MgAmenCtrl,MATCH(SUBSTITUTE($H2242,"*","-"),MgAmenClave,0)),"")</f>
        <v/>
      </c>
      <c r="AC2242" s="20" t="n"/>
      <c r="AD2242" s="31">
        <f>IFERROR($X2242*(1-IF($AC2242="",$AL2242,VLOOKUP($AC2242,MgMad,2,0))),"")</f>
        <v/>
      </c>
      <c r="AE2242" s="28">
        <f>IFERROR(LOOKUP(AD2242,{0;0.01;0.1;1;10;100},{"Muy baja";"Muy baja";"Baja";"Media";"Alta";"Muy alta"}),"")</f>
        <v/>
      </c>
      <c r="AF2242" s="30">
        <f>T2242*AD2242</f>
        <v/>
      </c>
      <c r="AG2242" s="28">
        <f>IFERROR(LOOKUP(AF2242,{0;0.5;5;25},{"Bajo";"Medio";"Alto";"Crítico"}),"")</f>
        <v/>
      </c>
      <c r="AH2242" s="28">
        <f>IF(AG2242="","",IF(OR(AG2242="Crítico",AG2242="Alto"),"Mitigar",IF(AG2242="Medio","Mitigar","Aceptar y monitorear")))</f>
        <v/>
      </c>
      <c r="AI2242" s="21" t="n"/>
      <c r="AJ2242" s="21" t="n"/>
      <c r="AK2242" s="20" t="n"/>
      <c r="AL2242" s="77">
        <f>IFERROR(INDEX(MgAmenEfic,MATCH(SUBSTITUTE($H2242,"*","-"),MgAmenClave,0)),0)</f>
        <v/>
      </c>
    </row>
    <row r="2243" hidden="1" ht="120" customHeight="1" s="54">
      <c r="B2243" s="59" t="inlineStr">
        <is>
          <t>R-2238</t>
        </is>
      </c>
      <c r="C2243" s="59" t="inlineStr">
        <is>
          <t>FIN-26</t>
        </is>
      </c>
      <c r="D2243" s="64">
        <f>IFERROR(INDEX(MgNombre,MATCH($C2243,MgActId,0)),"")</f>
        <v/>
      </c>
      <c r="E2243" s="64">
        <f>IFERROR(INDEX(MgProceso,MATCH($C2243,MgActId,0)),"")</f>
        <v/>
      </c>
      <c r="F2243" s="64">
        <f>IFERROR(INDEX(MgTipo,MATCH($C2243,MgActId,0)),"")</f>
        <v/>
      </c>
      <c r="G2243" s="64">
        <f>IFERROR(INDEX(MgSubtipo,MATCH($C2243,MgActId,0)),"")</f>
        <v/>
      </c>
      <c r="H2243" s="59" t="inlineStr">
        <is>
          <t>E.2</t>
        </is>
      </c>
      <c r="I2243" s="64">
        <f>IFERROR(INDEX(MgAmenNombre,MATCH(SUBSTITUTE($H2243,"*","-"),MgAmenClave,0)),"")</f>
        <v/>
      </c>
      <c r="J2243" s="28">
        <f>IFERROR(INDEX(MgAmenGrupo,MATCH(SUBSTITUTE($H2243,"*","-"),MgAmenClave,0)),"")</f>
        <v/>
      </c>
      <c r="K2243" s="64">
        <f>IFERROR(INDEX('1. Matriz de Activos'!$Q$6:$Q$239,MATCH($C2243,MgActId,0)),"")</f>
        <v/>
      </c>
      <c r="L2243" s="64">
        <f>IFERROR(INDEX('1. Matriz de Activos'!$R$6:$R$239,MATCH($C2243,MgActId,0)),"")</f>
        <v/>
      </c>
      <c r="M2243" s="64">
        <f>IFERROR(INDEX('1. Matriz de Activos'!$S$6:$S$239,MATCH($C2243,MgActId,0)),"")</f>
        <v/>
      </c>
      <c r="N2243" s="28">
        <f>IFERROR(INDEX(MgAmenDegD,MATCH(SUBSTITUTE($H2243,"*","-"),MgAmenClave,0)),"No aplica")</f>
        <v/>
      </c>
      <c r="O2243" s="28">
        <f>IFERROR(INDEX(MgAmenDegI,MATCH(SUBSTITUTE($H2243,"*","-"),MgAmenClave,0)),"No aplica")</f>
        <v/>
      </c>
      <c r="P2243" s="28">
        <f>IFERROR(INDEX(MgAmenDegC,MATCH(SUBSTITUTE($H2243,"*","-"),MgAmenClave,0)),"No aplica")</f>
        <v/>
      </c>
      <c r="Q2243" s="29">
        <f>IFERROR(VLOOKUP(K2243,MgValor,2,0)*VLOOKUP(N2243,MgDeg,2,0),0)</f>
        <v/>
      </c>
      <c r="R2243" s="29">
        <f>IFERROR(VLOOKUP(L2243,MgValor,2,0)*VLOOKUP(O2243,MgDeg,2,0),0)</f>
        <v/>
      </c>
      <c r="S2243" s="29">
        <f>IFERROR(VLOOKUP(M2243,MgValor,2,0)*VLOOKUP(P2243,MgDeg,2,0),0)</f>
        <v/>
      </c>
      <c r="T2243" s="30">
        <f>MAX(Q2243:S2243)</f>
        <v/>
      </c>
      <c r="U2243" s="28">
        <f>IFERROR(LOOKUP(T2243,{0;0.5;1.5;3;4.5},{"Despreciable";"Bajo";"Medio";"Alto";"Muy alto"}),"")</f>
        <v/>
      </c>
      <c r="V2243" s="13">
        <f>IFERROR(INDEX(MgAmenFrec,MATCH(SUBSTITUTE($H2243,"*","-"),MgAmenClave,0)),"")</f>
        <v/>
      </c>
      <c r="W2243" s="28">
        <f>IFERROR(LOOKUP(X2243,{0;0.01;0.1;1;10;100},{"Muy baja";"Muy baja";"Baja";"Media";"Alta";"Muy alta"}),"")</f>
        <v/>
      </c>
      <c r="X2243" s="31">
        <f>IFERROR(VLOOKUP(V2243,MgFrec,2,0),0)</f>
        <v/>
      </c>
      <c r="Y2243" s="30">
        <f>T2243*X2243</f>
        <v/>
      </c>
      <c r="Z2243" s="28">
        <f>IFERROR(LOOKUP(Y2243,{0;0.5;5;25},{"Bajo";"Medio";"Alto";"Crítico"}),"")</f>
        <v/>
      </c>
      <c r="AA2243" s="64">
        <f>IF(T2243&gt;=3,IF(X2243&gt;=1,"Zona 1 — Crítica: impacto alto y ocurre al menos una vez al año","Zona 4 — Catastrófica poco probable: impacto alto pero excepcional"),IF(AND(T2243&lt;1.5,X2243&lt;1),"Zona 3 — Asumible: impacto bajo y muy poco frecuente","Zona 2 — Atención: riesgo intermedio"))</f>
        <v/>
      </c>
      <c r="AB2243" s="64">
        <f>IFERROR(INDEX(MgAmenCtrl,MATCH(SUBSTITUTE($H2243,"*","-"),MgAmenClave,0)),"")</f>
        <v/>
      </c>
      <c r="AC2243" s="20" t="n"/>
      <c r="AD2243" s="31">
        <f>IFERROR($X2243*(1-IF($AC2243="",$AL2243,VLOOKUP($AC2243,MgMad,2,0))),"")</f>
        <v/>
      </c>
      <c r="AE2243" s="28">
        <f>IFERROR(LOOKUP(AD2243,{0;0.01;0.1;1;10;100},{"Muy baja";"Muy baja";"Baja";"Media";"Alta";"Muy alta"}),"")</f>
        <v/>
      </c>
      <c r="AF2243" s="30">
        <f>T2243*AD2243</f>
        <v/>
      </c>
      <c r="AG2243" s="28">
        <f>IFERROR(LOOKUP(AF2243,{0;0.5;5;25},{"Bajo";"Medio";"Alto";"Crítico"}),"")</f>
        <v/>
      </c>
      <c r="AH2243" s="28">
        <f>IF(AG2243="","",IF(OR(AG2243="Crítico",AG2243="Alto"),"Mitigar",IF(AG2243="Medio","Mitigar","Aceptar y monitorear")))</f>
        <v/>
      </c>
      <c r="AI2243" s="21" t="n"/>
      <c r="AJ2243" s="21" t="n"/>
      <c r="AK2243" s="20" t="n"/>
      <c r="AL2243" s="77">
        <f>IFERROR(INDEX(MgAmenEfic,MATCH(SUBSTITUTE($H2243,"*","-"),MgAmenClave,0)),0)</f>
        <v/>
      </c>
    </row>
    <row r="2244" hidden="1" ht="60" customHeight="1" s="54">
      <c r="B2244" s="59" t="inlineStr">
        <is>
          <t>R-2239</t>
        </is>
      </c>
      <c r="C2244" s="59" t="inlineStr">
        <is>
          <t>FIN-26</t>
        </is>
      </c>
      <c r="D2244" s="64">
        <f>IFERROR(INDEX(MgNombre,MATCH($C2244,MgActId,0)),"")</f>
        <v/>
      </c>
      <c r="E2244" s="64">
        <f>IFERROR(INDEX(MgProceso,MATCH($C2244,MgActId,0)),"")</f>
        <v/>
      </c>
      <c r="F2244" s="64">
        <f>IFERROR(INDEX(MgTipo,MATCH($C2244,MgActId,0)),"")</f>
        <v/>
      </c>
      <c r="G2244" s="64">
        <f>IFERROR(INDEX(MgSubtipo,MATCH($C2244,MgActId,0)),"")</f>
        <v/>
      </c>
      <c r="H2244" s="59" t="inlineStr">
        <is>
          <t>E.9</t>
        </is>
      </c>
      <c r="I2244" s="64">
        <f>IFERROR(INDEX(MgAmenNombre,MATCH(SUBSTITUTE($H2244,"*","-"),MgAmenClave,0)),"")</f>
        <v/>
      </c>
      <c r="J2244" s="28">
        <f>IFERROR(INDEX(MgAmenGrupo,MATCH(SUBSTITUTE($H2244,"*","-"),MgAmenClave,0)),"")</f>
        <v/>
      </c>
      <c r="K2244" s="64">
        <f>IFERROR(INDEX('1. Matriz de Activos'!$Q$6:$Q$239,MATCH($C2244,MgActId,0)),"")</f>
        <v/>
      </c>
      <c r="L2244" s="64">
        <f>IFERROR(INDEX('1. Matriz de Activos'!$R$6:$R$239,MATCH($C2244,MgActId,0)),"")</f>
        <v/>
      </c>
      <c r="M2244" s="64">
        <f>IFERROR(INDEX('1. Matriz de Activos'!$S$6:$S$239,MATCH($C2244,MgActId,0)),"")</f>
        <v/>
      </c>
      <c r="N2244" s="28">
        <f>IFERROR(INDEX(MgAmenDegD,MATCH(SUBSTITUTE($H2244,"*","-"),MgAmenClave,0)),"No aplica")</f>
        <v/>
      </c>
      <c r="O2244" s="28">
        <f>IFERROR(INDEX(MgAmenDegI,MATCH(SUBSTITUTE($H2244,"*","-"),MgAmenClave,0)),"No aplica")</f>
        <v/>
      </c>
      <c r="P2244" s="28">
        <f>IFERROR(INDEX(MgAmenDegC,MATCH(SUBSTITUTE($H2244,"*","-"),MgAmenClave,0)),"No aplica")</f>
        <v/>
      </c>
      <c r="Q2244" s="29">
        <f>IFERROR(VLOOKUP(K2244,MgValor,2,0)*VLOOKUP(N2244,MgDeg,2,0),0)</f>
        <v/>
      </c>
      <c r="R2244" s="29">
        <f>IFERROR(VLOOKUP(L2244,MgValor,2,0)*VLOOKUP(O2244,MgDeg,2,0),0)</f>
        <v/>
      </c>
      <c r="S2244" s="29">
        <f>IFERROR(VLOOKUP(M2244,MgValor,2,0)*VLOOKUP(P2244,MgDeg,2,0),0)</f>
        <v/>
      </c>
      <c r="T2244" s="30">
        <f>MAX(Q2244:S2244)</f>
        <v/>
      </c>
      <c r="U2244" s="28">
        <f>IFERROR(LOOKUP(T2244,{0;0.5;1.5;3;4.5},{"Despreciable";"Bajo";"Medio";"Alto";"Muy alto"}),"")</f>
        <v/>
      </c>
      <c r="V2244" s="13">
        <f>IFERROR(INDEX(MgAmenFrec,MATCH(SUBSTITUTE($H2244,"*","-"),MgAmenClave,0)),"")</f>
        <v/>
      </c>
      <c r="W2244" s="28">
        <f>IFERROR(LOOKUP(X2244,{0;0.01;0.1;1;10;100},{"Muy baja";"Muy baja";"Baja";"Media";"Alta";"Muy alta"}),"")</f>
        <v/>
      </c>
      <c r="X2244" s="31">
        <f>IFERROR(VLOOKUP(V2244,MgFrec,2,0),0)</f>
        <v/>
      </c>
      <c r="Y2244" s="30">
        <f>T2244*X2244</f>
        <v/>
      </c>
      <c r="Z2244" s="28">
        <f>IFERROR(LOOKUP(Y2244,{0;0.5;5;25},{"Bajo";"Medio";"Alto";"Crítico"}),"")</f>
        <v/>
      </c>
      <c r="AA2244" s="64">
        <f>IF(T2244&gt;=3,IF(X2244&gt;=1,"Zona 1 — Crítica: impacto alto y ocurre al menos una vez al año","Zona 4 — Catastrófica poco probable: impacto alto pero excepcional"),IF(AND(T2244&lt;1.5,X2244&lt;1),"Zona 3 — Asumible: impacto bajo y muy poco frecuente","Zona 2 — Atención: riesgo intermedio"))</f>
        <v/>
      </c>
      <c r="AB2244" s="64">
        <f>IFERROR(INDEX(MgAmenCtrl,MATCH(SUBSTITUTE($H2244,"*","-"),MgAmenClave,0)),"")</f>
        <v/>
      </c>
      <c r="AC2244" s="20" t="n"/>
      <c r="AD2244" s="31">
        <f>IFERROR($X2244*(1-IF($AC2244="",$AL2244,VLOOKUP($AC2244,MgMad,2,0))),"")</f>
        <v/>
      </c>
      <c r="AE2244" s="28">
        <f>IFERROR(LOOKUP(AD2244,{0;0.01;0.1;1;10;100},{"Muy baja";"Muy baja";"Baja";"Media";"Alta";"Muy alta"}),"")</f>
        <v/>
      </c>
      <c r="AF2244" s="30">
        <f>T2244*AD2244</f>
        <v/>
      </c>
      <c r="AG2244" s="28">
        <f>IFERROR(LOOKUP(AF2244,{0;0.5;5;25},{"Bajo";"Medio";"Alto";"Crítico"}),"")</f>
        <v/>
      </c>
      <c r="AH2244" s="28">
        <f>IF(AG2244="","",IF(OR(AG2244="Crítico",AG2244="Alto"),"Mitigar",IF(AG2244="Medio","Mitigar","Aceptar y monitorear")))</f>
        <v/>
      </c>
      <c r="AI2244" s="21" t="n"/>
      <c r="AJ2244" s="21" t="n"/>
      <c r="AK2244" s="20" t="n"/>
      <c r="AL2244" s="77">
        <f>IFERROR(INDEX(MgAmenEfic,MATCH(SUBSTITUTE($H2244,"*","-"),MgAmenClave,0)),0)</f>
        <v/>
      </c>
    </row>
    <row r="2245" hidden="1" ht="90" customHeight="1" s="54">
      <c r="B2245" s="59" t="inlineStr">
        <is>
          <t>R-2240</t>
        </is>
      </c>
      <c r="C2245" s="59" t="inlineStr">
        <is>
          <t>FIN-26</t>
        </is>
      </c>
      <c r="D2245" s="64">
        <f>IFERROR(INDEX(MgNombre,MATCH($C2245,MgActId,0)),"")</f>
        <v/>
      </c>
      <c r="E2245" s="64">
        <f>IFERROR(INDEX(MgProceso,MATCH($C2245,MgActId,0)),"")</f>
        <v/>
      </c>
      <c r="F2245" s="64">
        <f>IFERROR(INDEX(MgTipo,MATCH($C2245,MgActId,0)),"")</f>
        <v/>
      </c>
      <c r="G2245" s="64">
        <f>IFERROR(INDEX(MgSubtipo,MATCH($C2245,MgActId,0)),"")</f>
        <v/>
      </c>
      <c r="H2245" s="59" t="inlineStr">
        <is>
          <t>E.10</t>
        </is>
      </c>
      <c r="I2245" s="64">
        <f>IFERROR(INDEX(MgAmenNombre,MATCH(SUBSTITUTE($H2245,"*","-"),MgAmenClave,0)),"")</f>
        <v/>
      </c>
      <c r="J2245" s="28">
        <f>IFERROR(INDEX(MgAmenGrupo,MATCH(SUBSTITUTE($H2245,"*","-"),MgAmenClave,0)),"")</f>
        <v/>
      </c>
      <c r="K2245" s="64">
        <f>IFERROR(INDEX('1. Matriz de Activos'!$Q$6:$Q$239,MATCH($C2245,MgActId,0)),"")</f>
        <v/>
      </c>
      <c r="L2245" s="64">
        <f>IFERROR(INDEX('1. Matriz de Activos'!$R$6:$R$239,MATCH($C2245,MgActId,0)),"")</f>
        <v/>
      </c>
      <c r="M2245" s="64">
        <f>IFERROR(INDEX('1. Matriz de Activos'!$S$6:$S$239,MATCH($C2245,MgActId,0)),"")</f>
        <v/>
      </c>
      <c r="N2245" s="28">
        <f>IFERROR(INDEX(MgAmenDegD,MATCH(SUBSTITUTE($H2245,"*","-"),MgAmenClave,0)),"No aplica")</f>
        <v/>
      </c>
      <c r="O2245" s="28">
        <f>IFERROR(INDEX(MgAmenDegI,MATCH(SUBSTITUTE($H2245,"*","-"),MgAmenClave,0)),"No aplica")</f>
        <v/>
      </c>
      <c r="P2245" s="28">
        <f>IFERROR(INDEX(MgAmenDegC,MATCH(SUBSTITUTE($H2245,"*","-"),MgAmenClave,0)),"No aplica")</f>
        <v/>
      </c>
      <c r="Q2245" s="29">
        <f>IFERROR(VLOOKUP(K2245,MgValor,2,0)*VLOOKUP(N2245,MgDeg,2,0),0)</f>
        <v/>
      </c>
      <c r="R2245" s="29">
        <f>IFERROR(VLOOKUP(L2245,MgValor,2,0)*VLOOKUP(O2245,MgDeg,2,0),0)</f>
        <v/>
      </c>
      <c r="S2245" s="29">
        <f>IFERROR(VLOOKUP(M2245,MgValor,2,0)*VLOOKUP(P2245,MgDeg,2,0),0)</f>
        <v/>
      </c>
      <c r="T2245" s="30">
        <f>MAX(Q2245:S2245)</f>
        <v/>
      </c>
      <c r="U2245" s="28">
        <f>IFERROR(LOOKUP(T2245,{0;0.5;1.5;3;4.5},{"Despreciable";"Bajo";"Medio";"Alto";"Muy alto"}),"")</f>
        <v/>
      </c>
      <c r="V2245" s="13">
        <f>IFERROR(INDEX(MgAmenFrec,MATCH(SUBSTITUTE($H2245,"*","-"),MgAmenClave,0)),"")</f>
        <v/>
      </c>
      <c r="W2245" s="28">
        <f>IFERROR(LOOKUP(X2245,{0;0.01;0.1;1;10;100},{"Muy baja";"Muy baja";"Baja";"Media";"Alta";"Muy alta"}),"")</f>
        <v/>
      </c>
      <c r="X2245" s="31">
        <f>IFERROR(VLOOKUP(V2245,MgFrec,2,0),0)</f>
        <v/>
      </c>
      <c r="Y2245" s="30">
        <f>T2245*X2245</f>
        <v/>
      </c>
      <c r="Z2245" s="28">
        <f>IFERROR(LOOKUP(Y2245,{0;0.5;5;25},{"Bajo";"Medio";"Alto";"Crítico"}),"")</f>
        <v/>
      </c>
      <c r="AA2245" s="64">
        <f>IF(T2245&gt;=3,IF(X2245&gt;=1,"Zona 1 — Crítica: impacto alto y ocurre al menos una vez al año","Zona 4 — Catastrófica poco probable: impacto alto pero excepcional"),IF(AND(T2245&lt;1.5,X2245&lt;1),"Zona 3 — Asumible: impacto bajo y muy poco frecuente","Zona 2 — Atención: riesgo intermedio"))</f>
        <v/>
      </c>
      <c r="AB2245" s="64">
        <f>IFERROR(INDEX(MgAmenCtrl,MATCH(SUBSTITUTE($H2245,"*","-"),MgAmenClave,0)),"")</f>
        <v/>
      </c>
      <c r="AC2245" s="20" t="n"/>
      <c r="AD2245" s="31">
        <f>IFERROR($X2245*(1-IF($AC2245="",$AL2245,VLOOKUP($AC2245,MgMad,2,0))),"")</f>
        <v/>
      </c>
      <c r="AE2245" s="28">
        <f>IFERROR(LOOKUP(AD2245,{0;0.01;0.1;1;10;100},{"Muy baja";"Muy baja";"Baja";"Media";"Alta";"Muy alta"}),"")</f>
        <v/>
      </c>
      <c r="AF2245" s="30">
        <f>T2245*AD2245</f>
        <v/>
      </c>
      <c r="AG2245" s="28">
        <f>IFERROR(LOOKUP(AF2245,{0;0.5;5;25},{"Bajo";"Medio";"Alto";"Crítico"}),"")</f>
        <v/>
      </c>
      <c r="AH2245" s="28">
        <f>IF(AG2245="","",IF(OR(AG2245="Crítico",AG2245="Alto"),"Mitigar",IF(AG2245="Medio","Mitigar","Aceptar y monitorear")))</f>
        <v/>
      </c>
      <c r="AI2245" s="21" t="n"/>
      <c r="AJ2245" s="21" t="n"/>
      <c r="AK2245" s="20" t="n"/>
      <c r="AL2245" s="77">
        <f>IFERROR(INDEX(MgAmenEfic,MATCH(SUBSTITUTE($H2245,"*","-"),MgAmenClave,0)),0)</f>
        <v/>
      </c>
    </row>
    <row r="2246" hidden="1" ht="90" customHeight="1" s="54">
      <c r="B2246" s="59" t="inlineStr">
        <is>
          <t>R-2241</t>
        </is>
      </c>
      <c r="C2246" s="59" t="inlineStr">
        <is>
          <t>FIN-26</t>
        </is>
      </c>
      <c r="D2246" s="64">
        <f>IFERROR(INDEX(MgNombre,MATCH($C2246,MgActId,0)),"")</f>
        <v/>
      </c>
      <c r="E2246" s="64">
        <f>IFERROR(INDEX(MgProceso,MATCH($C2246,MgActId,0)),"")</f>
        <v/>
      </c>
      <c r="F2246" s="64">
        <f>IFERROR(INDEX(MgTipo,MATCH($C2246,MgActId,0)),"")</f>
        <v/>
      </c>
      <c r="G2246" s="64">
        <f>IFERROR(INDEX(MgSubtipo,MATCH($C2246,MgActId,0)),"")</f>
        <v/>
      </c>
      <c r="H2246" s="59" t="inlineStr">
        <is>
          <t>E.14</t>
        </is>
      </c>
      <c r="I2246" s="64">
        <f>IFERROR(INDEX(MgAmenNombre,MATCH(SUBSTITUTE($H2246,"*","-"),MgAmenClave,0)),"")</f>
        <v/>
      </c>
      <c r="J2246" s="28">
        <f>IFERROR(INDEX(MgAmenGrupo,MATCH(SUBSTITUTE($H2246,"*","-"),MgAmenClave,0)),"")</f>
        <v/>
      </c>
      <c r="K2246" s="64">
        <f>IFERROR(INDEX('1. Matriz de Activos'!$Q$6:$Q$239,MATCH($C2246,MgActId,0)),"")</f>
        <v/>
      </c>
      <c r="L2246" s="64">
        <f>IFERROR(INDEX('1. Matriz de Activos'!$R$6:$R$239,MATCH($C2246,MgActId,0)),"")</f>
        <v/>
      </c>
      <c r="M2246" s="64">
        <f>IFERROR(INDEX('1. Matriz de Activos'!$S$6:$S$239,MATCH($C2246,MgActId,0)),"")</f>
        <v/>
      </c>
      <c r="N2246" s="28">
        <f>IFERROR(INDEX(MgAmenDegD,MATCH(SUBSTITUTE($H2246,"*","-"),MgAmenClave,0)),"No aplica")</f>
        <v/>
      </c>
      <c r="O2246" s="28">
        <f>IFERROR(INDEX(MgAmenDegI,MATCH(SUBSTITUTE($H2246,"*","-"),MgAmenClave,0)),"No aplica")</f>
        <v/>
      </c>
      <c r="P2246" s="28">
        <f>IFERROR(INDEX(MgAmenDegC,MATCH(SUBSTITUTE($H2246,"*","-"),MgAmenClave,0)),"No aplica")</f>
        <v/>
      </c>
      <c r="Q2246" s="29">
        <f>IFERROR(VLOOKUP(K2246,MgValor,2,0)*VLOOKUP(N2246,MgDeg,2,0),0)</f>
        <v/>
      </c>
      <c r="R2246" s="29">
        <f>IFERROR(VLOOKUP(L2246,MgValor,2,0)*VLOOKUP(O2246,MgDeg,2,0),0)</f>
        <v/>
      </c>
      <c r="S2246" s="29">
        <f>IFERROR(VLOOKUP(M2246,MgValor,2,0)*VLOOKUP(P2246,MgDeg,2,0),0)</f>
        <v/>
      </c>
      <c r="T2246" s="30">
        <f>MAX(Q2246:S2246)</f>
        <v/>
      </c>
      <c r="U2246" s="28">
        <f>IFERROR(LOOKUP(T2246,{0;0.5;1.5;3;4.5},{"Despreciable";"Bajo";"Medio";"Alto";"Muy alto"}),"")</f>
        <v/>
      </c>
      <c r="V2246" s="13">
        <f>IFERROR(INDEX(MgAmenFrec,MATCH(SUBSTITUTE($H2246,"*","-"),MgAmenClave,0)),"")</f>
        <v/>
      </c>
      <c r="W2246" s="28">
        <f>IFERROR(LOOKUP(X2246,{0;0.01;0.1;1;10;100},{"Muy baja";"Muy baja";"Baja";"Media";"Alta";"Muy alta"}),"")</f>
        <v/>
      </c>
      <c r="X2246" s="31">
        <f>IFERROR(VLOOKUP(V2246,MgFrec,2,0),0)</f>
        <v/>
      </c>
      <c r="Y2246" s="30">
        <f>T2246*X2246</f>
        <v/>
      </c>
      <c r="Z2246" s="28">
        <f>IFERROR(LOOKUP(Y2246,{0;0.5;5;25},{"Bajo";"Medio";"Alto";"Crítico"}),"")</f>
        <v/>
      </c>
      <c r="AA2246" s="64">
        <f>IF(T2246&gt;=3,IF(X2246&gt;=1,"Zona 1 — Crítica: impacto alto y ocurre al menos una vez al año","Zona 4 — Catastrófica poco probable: impacto alto pero excepcional"),IF(AND(T2246&lt;1.5,X2246&lt;1),"Zona 3 — Asumible: impacto bajo y muy poco frecuente","Zona 2 — Atención: riesgo intermedio"))</f>
        <v/>
      </c>
      <c r="AB2246" s="64">
        <f>IFERROR(INDEX(MgAmenCtrl,MATCH(SUBSTITUTE($H2246,"*","-"),MgAmenClave,0)),"")</f>
        <v/>
      </c>
      <c r="AC2246" s="20" t="n"/>
      <c r="AD2246" s="31">
        <f>IFERROR($X2246*(1-IF($AC2246="",$AL2246,VLOOKUP($AC2246,MgMad,2,0))),"")</f>
        <v/>
      </c>
      <c r="AE2246" s="28">
        <f>IFERROR(LOOKUP(AD2246,{0;0.01;0.1;1;10;100},{"Muy baja";"Muy baja";"Baja";"Media";"Alta";"Muy alta"}),"")</f>
        <v/>
      </c>
      <c r="AF2246" s="30">
        <f>T2246*AD2246</f>
        <v/>
      </c>
      <c r="AG2246" s="28">
        <f>IFERROR(LOOKUP(AF2246,{0;0.5;5;25},{"Bajo";"Medio";"Alto";"Crítico"}),"")</f>
        <v/>
      </c>
      <c r="AH2246" s="28">
        <f>IF(AG2246="","",IF(OR(AG2246="Crítico",AG2246="Alto"),"Mitigar",IF(AG2246="Medio","Mitigar","Aceptar y monitorear")))</f>
        <v/>
      </c>
      <c r="AI2246" s="21" t="n"/>
      <c r="AJ2246" s="21" t="n"/>
      <c r="AK2246" s="20" t="n"/>
      <c r="AL2246" s="77">
        <f>IFERROR(INDEX(MgAmenEfic,MATCH(SUBSTITUTE($H2246,"*","-"),MgAmenClave,0)),0)</f>
        <v/>
      </c>
    </row>
    <row r="2247" hidden="1" ht="90" customHeight="1" s="54">
      <c r="B2247" s="59" t="inlineStr">
        <is>
          <t>R-2242</t>
        </is>
      </c>
      <c r="C2247" s="59" t="inlineStr">
        <is>
          <t>FIN-26</t>
        </is>
      </c>
      <c r="D2247" s="64">
        <f>IFERROR(INDEX(MgNombre,MATCH($C2247,MgActId,0)),"")</f>
        <v/>
      </c>
      <c r="E2247" s="64">
        <f>IFERROR(INDEX(MgProceso,MATCH($C2247,MgActId,0)),"")</f>
        <v/>
      </c>
      <c r="F2247" s="64">
        <f>IFERROR(INDEX(MgTipo,MATCH($C2247,MgActId,0)),"")</f>
        <v/>
      </c>
      <c r="G2247" s="64">
        <f>IFERROR(INDEX(MgSubtipo,MATCH($C2247,MgActId,0)),"")</f>
        <v/>
      </c>
      <c r="H2247" s="59" t="inlineStr">
        <is>
          <t>E.15</t>
        </is>
      </c>
      <c r="I2247" s="64">
        <f>IFERROR(INDEX(MgAmenNombre,MATCH(SUBSTITUTE($H2247,"*","-"),MgAmenClave,0)),"")</f>
        <v/>
      </c>
      <c r="J2247" s="28">
        <f>IFERROR(INDEX(MgAmenGrupo,MATCH(SUBSTITUTE($H2247,"*","-"),MgAmenClave,0)),"")</f>
        <v/>
      </c>
      <c r="K2247" s="64">
        <f>IFERROR(INDEX('1. Matriz de Activos'!$Q$6:$Q$239,MATCH($C2247,MgActId,0)),"")</f>
        <v/>
      </c>
      <c r="L2247" s="64">
        <f>IFERROR(INDEX('1. Matriz de Activos'!$R$6:$R$239,MATCH($C2247,MgActId,0)),"")</f>
        <v/>
      </c>
      <c r="M2247" s="64">
        <f>IFERROR(INDEX('1. Matriz de Activos'!$S$6:$S$239,MATCH($C2247,MgActId,0)),"")</f>
        <v/>
      </c>
      <c r="N2247" s="28">
        <f>IFERROR(INDEX(MgAmenDegD,MATCH(SUBSTITUTE($H2247,"*","-"),MgAmenClave,0)),"No aplica")</f>
        <v/>
      </c>
      <c r="O2247" s="28">
        <f>IFERROR(INDEX(MgAmenDegI,MATCH(SUBSTITUTE($H2247,"*","-"),MgAmenClave,0)),"No aplica")</f>
        <v/>
      </c>
      <c r="P2247" s="28">
        <f>IFERROR(INDEX(MgAmenDegC,MATCH(SUBSTITUTE($H2247,"*","-"),MgAmenClave,0)),"No aplica")</f>
        <v/>
      </c>
      <c r="Q2247" s="29">
        <f>IFERROR(VLOOKUP(K2247,MgValor,2,0)*VLOOKUP(N2247,MgDeg,2,0),0)</f>
        <v/>
      </c>
      <c r="R2247" s="29">
        <f>IFERROR(VLOOKUP(L2247,MgValor,2,0)*VLOOKUP(O2247,MgDeg,2,0),0)</f>
        <v/>
      </c>
      <c r="S2247" s="29">
        <f>IFERROR(VLOOKUP(M2247,MgValor,2,0)*VLOOKUP(P2247,MgDeg,2,0),0)</f>
        <v/>
      </c>
      <c r="T2247" s="30">
        <f>MAX(Q2247:S2247)</f>
        <v/>
      </c>
      <c r="U2247" s="28">
        <f>IFERROR(LOOKUP(T2247,{0;0.5;1.5;3;4.5},{"Despreciable";"Bajo";"Medio";"Alto";"Muy alto"}),"")</f>
        <v/>
      </c>
      <c r="V2247" s="13">
        <f>IFERROR(INDEX(MgAmenFrec,MATCH(SUBSTITUTE($H2247,"*","-"),MgAmenClave,0)),"")</f>
        <v/>
      </c>
      <c r="W2247" s="28">
        <f>IFERROR(LOOKUP(X2247,{0;0.01;0.1;1;10;100},{"Muy baja";"Muy baja";"Baja";"Media";"Alta";"Muy alta"}),"")</f>
        <v/>
      </c>
      <c r="X2247" s="31">
        <f>IFERROR(VLOOKUP(V2247,MgFrec,2,0),0)</f>
        <v/>
      </c>
      <c r="Y2247" s="30">
        <f>T2247*X2247</f>
        <v/>
      </c>
      <c r="Z2247" s="28">
        <f>IFERROR(LOOKUP(Y2247,{0;0.5;5;25},{"Bajo";"Medio";"Alto";"Crítico"}),"")</f>
        <v/>
      </c>
      <c r="AA2247" s="64">
        <f>IF(T2247&gt;=3,IF(X2247&gt;=1,"Zona 1 — Crítica: impacto alto y ocurre al menos una vez al año","Zona 4 — Catastrófica poco probable: impacto alto pero excepcional"),IF(AND(T2247&lt;1.5,X2247&lt;1),"Zona 3 — Asumible: impacto bajo y muy poco frecuente","Zona 2 — Atención: riesgo intermedio"))</f>
        <v/>
      </c>
      <c r="AB2247" s="64">
        <f>IFERROR(INDEX(MgAmenCtrl,MATCH(SUBSTITUTE($H2247,"*","-"),MgAmenClave,0)),"")</f>
        <v/>
      </c>
      <c r="AC2247" s="20" t="n"/>
      <c r="AD2247" s="31">
        <f>IFERROR($X2247*(1-IF($AC2247="",$AL2247,VLOOKUP($AC2247,MgMad,2,0))),"")</f>
        <v/>
      </c>
      <c r="AE2247" s="28">
        <f>IFERROR(LOOKUP(AD2247,{0;0.01;0.1;1;10;100},{"Muy baja";"Muy baja";"Baja";"Media";"Alta";"Muy alta"}),"")</f>
        <v/>
      </c>
      <c r="AF2247" s="30">
        <f>T2247*AD2247</f>
        <v/>
      </c>
      <c r="AG2247" s="28">
        <f>IFERROR(LOOKUP(AF2247,{0;0.5;5;25},{"Bajo";"Medio";"Alto";"Crítico"}),"")</f>
        <v/>
      </c>
      <c r="AH2247" s="28">
        <f>IF(AG2247="","",IF(OR(AG2247="Crítico",AG2247="Alto"),"Mitigar",IF(AG2247="Medio","Mitigar","Aceptar y monitorear")))</f>
        <v/>
      </c>
      <c r="AI2247" s="21" t="n"/>
      <c r="AJ2247" s="21" t="n"/>
      <c r="AK2247" s="20" t="n"/>
      <c r="AL2247" s="77">
        <f>IFERROR(INDEX(MgAmenEfic,MATCH(SUBSTITUTE($H2247,"*","-"),MgAmenClave,0)),0)</f>
        <v/>
      </c>
    </row>
    <row r="2248" hidden="1" ht="60" customHeight="1" s="54">
      <c r="B2248" s="59" t="inlineStr">
        <is>
          <t>R-2243</t>
        </is>
      </c>
      <c r="C2248" s="59" t="inlineStr">
        <is>
          <t>FIN-26</t>
        </is>
      </c>
      <c r="D2248" s="64">
        <f>IFERROR(INDEX(MgNombre,MATCH($C2248,MgActId,0)),"")</f>
        <v/>
      </c>
      <c r="E2248" s="64">
        <f>IFERROR(INDEX(MgProceso,MATCH($C2248,MgActId,0)),"")</f>
        <v/>
      </c>
      <c r="F2248" s="64">
        <f>IFERROR(INDEX(MgTipo,MATCH($C2248,MgActId,0)),"")</f>
        <v/>
      </c>
      <c r="G2248" s="64">
        <f>IFERROR(INDEX(MgSubtipo,MATCH($C2248,MgActId,0)),"")</f>
        <v/>
      </c>
      <c r="H2248" s="59" t="inlineStr">
        <is>
          <t>E.18</t>
        </is>
      </c>
      <c r="I2248" s="64">
        <f>IFERROR(INDEX(MgAmenNombre,MATCH(SUBSTITUTE($H2248,"*","-"),MgAmenClave,0)),"")</f>
        <v/>
      </c>
      <c r="J2248" s="28">
        <f>IFERROR(INDEX(MgAmenGrupo,MATCH(SUBSTITUTE($H2248,"*","-"),MgAmenClave,0)),"")</f>
        <v/>
      </c>
      <c r="K2248" s="64">
        <f>IFERROR(INDEX('1. Matriz de Activos'!$Q$6:$Q$239,MATCH($C2248,MgActId,0)),"")</f>
        <v/>
      </c>
      <c r="L2248" s="64">
        <f>IFERROR(INDEX('1. Matriz de Activos'!$R$6:$R$239,MATCH($C2248,MgActId,0)),"")</f>
        <v/>
      </c>
      <c r="M2248" s="64">
        <f>IFERROR(INDEX('1. Matriz de Activos'!$S$6:$S$239,MATCH($C2248,MgActId,0)),"")</f>
        <v/>
      </c>
      <c r="N2248" s="28">
        <f>IFERROR(INDEX(MgAmenDegD,MATCH(SUBSTITUTE($H2248,"*","-"),MgAmenClave,0)),"No aplica")</f>
        <v/>
      </c>
      <c r="O2248" s="28">
        <f>IFERROR(INDEX(MgAmenDegI,MATCH(SUBSTITUTE($H2248,"*","-"),MgAmenClave,0)),"No aplica")</f>
        <v/>
      </c>
      <c r="P2248" s="28">
        <f>IFERROR(INDEX(MgAmenDegC,MATCH(SUBSTITUTE($H2248,"*","-"),MgAmenClave,0)),"No aplica")</f>
        <v/>
      </c>
      <c r="Q2248" s="29">
        <f>IFERROR(VLOOKUP(K2248,MgValor,2,0)*VLOOKUP(N2248,MgDeg,2,0),0)</f>
        <v/>
      </c>
      <c r="R2248" s="29">
        <f>IFERROR(VLOOKUP(L2248,MgValor,2,0)*VLOOKUP(O2248,MgDeg,2,0),0)</f>
        <v/>
      </c>
      <c r="S2248" s="29">
        <f>IFERROR(VLOOKUP(M2248,MgValor,2,0)*VLOOKUP(P2248,MgDeg,2,0),0)</f>
        <v/>
      </c>
      <c r="T2248" s="30">
        <f>MAX(Q2248:S2248)</f>
        <v/>
      </c>
      <c r="U2248" s="28">
        <f>IFERROR(LOOKUP(T2248,{0;0.5;1.5;3;4.5},{"Despreciable";"Bajo";"Medio";"Alto";"Muy alto"}),"")</f>
        <v/>
      </c>
      <c r="V2248" s="13">
        <f>IFERROR(INDEX(MgAmenFrec,MATCH(SUBSTITUTE($H2248,"*","-"),MgAmenClave,0)),"")</f>
        <v/>
      </c>
      <c r="W2248" s="28">
        <f>IFERROR(LOOKUP(X2248,{0;0.01;0.1;1;10;100},{"Muy baja";"Muy baja";"Baja";"Media";"Alta";"Muy alta"}),"")</f>
        <v/>
      </c>
      <c r="X2248" s="31">
        <f>IFERROR(VLOOKUP(V2248,MgFrec,2,0),0)</f>
        <v/>
      </c>
      <c r="Y2248" s="30">
        <f>T2248*X2248</f>
        <v/>
      </c>
      <c r="Z2248" s="28">
        <f>IFERROR(LOOKUP(Y2248,{0;0.5;5;25},{"Bajo";"Medio";"Alto";"Crítico"}),"")</f>
        <v/>
      </c>
      <c r="AA2248" s="64">
        <f>IF(T2248&gt;=3,IF(X2248&gt;=1,"Zona 1 — Crítica: impacto alto y ocurre al menos una vez al año","Zona 4 — Catastrófica poco probable: impacto alto pero excepcional"),IF(AND(T2248&lt;1.5,X2248&lt;1),"Zona 3 — Asumible: impacto bajo y muy poco frecuente","Zona 2 — Atención: riesgo intermedio"))</f>
        <v/>
      </c>
      <c r="AB2248" s="64">
        <f>IFERROR(INDEX(MgAmenCtrl,MATCH(SUBSTITUTE($H2248,"*","-"),MgAmenClave,0)),"")</f>
        <v/>
      </c>
      <c r="AC2248" s="20" t="n"/>
      <c r="AD2248" s="31">
        <f>IFERROR($X2248*(1-IF($AC2248="",$AL2248,VLOOKUP($AC2248,MgMad,2,0))),"")</f>
        <v/>
      </c>
      <c r="AE2248" s="28">
        <f>IFERROR(LOOKUP(AD2248,{0;0.01;0.1;1;10;100},{"Muy baja";"Muy baja";"Baja";"Media";"Alta";"Muy alta"}),"")</f>
        <v/>
      </c>
      <c r="AF2248" s="30">
        <f>T2248*AD2248</f>
        <v/>
      </c>
      <c r="AG2248" s="28">
        <f>IFERROR(LOOKUP(AF2248,{0;0.5;5;25},{"Bajo";"Medio";"Alto";"Crítico"}),"")</f>
        <v/>
      </c>
      <c r="AH2248" s="28">
        <f>IF(AG2248="","",IF(OR(AG2248="Crítico",AG2248="Alto"),"Mitigar",IF(AG2248="Medio","Mitigar","Aceptar y monitorear")))</f>
        <v/>
      </c>
      <c r="AI2248" s="21" t="n"/>
      <c r="AJ2248" s="21" t="n"/>
      <c r="AK2248" s="20" t="n"/>
      <c r="AL2248" s="77">
        <f>IFERROR(INDEX(MgAmenEfic,MATCH(SUBSTITUTE($H2248,"*","-"),MgAmenClave,0)),0)</f>
        <v/>
      </c>
    </row>
    <row r="2249" hidden="1" ht="105" customHeight="1" s="54">
      <c r="B2249" s="59" t="inlineStr">
        <is>
          <t>R-2244</t>
        </is>
      </c>
      <c r="C2249" s="59" t="inlineStr">
        <is>
          <t>FIN-26</t>
        </is>
      </c>
      <c r="D2249" s="64">
        <f>IFERROR(INDEX(MgNombre,MATCH($C2249,MgActId,0)),"")</f>
        <v/>
      </c>
      <c r="E2249" s="64">
        <f>IFERROR(INDEX(MgProceso,MATCH($C2249,MgActId,0)),"")</f>
        <v/>
      </c>
      <c r="F2249" s="64">
        <f>IFERROR(INDEX(MgTipo,MATCH($C2249,MgActId,0)),"")</f>
        <v/>
      </c>
      <c r="G2249" s="64">
        <f>IFERROR(INDEX(MgSubtipo,MATCH($C2249,MgActId,0)),"")</f>
        <v/>
      </c>
      <c r="H2249" s="59" t="inlineStr">
        <is>
          <t>E.19</t>
        </is>
      </c>
      <c r="I2249" s="64">
        <f>IFERROR(INDEX(MgAmenNombre,MATCH(SUBSTITUTE($H2249,"*","-"),MgAmenClave,0)),"")</f>
        <v/>
      </c>
      <c r="J2249" s="28">
        <f>IFERROR(INDEX(MgAmenGrupo,MATCH(SUBSTITUTE($H2249,"*","-"),MgAmenClave,0)),"")</f>
        <v/>
      </c>
      <c r="K2249" s="64">
        <f>IFERROR(INDEX('1. Matriz de Activos'!$Q$6:$Q$239,MATCH($C2249,MgActId,0)),"")</f>
        <v/>
      </c>
      <c r="L2249" s="64">
        <f>IFERROR(INDEX('1. Matriz de Activos'!$R$6:$R$239,MATCH($C2249,MgActId,0)),"")</f>
        <v/>
      </c>
      <c r="M2249" s="64">
        <f>IFERROR(INDEX('1. Matriz de Activos'!$S$6:$S$239,MATCH($C2249,MgActId,0)),"")</f>
        <v/>
      </c>
      <c r="N2249" s="28">
        <f>IFERROR(INDEX(MgAmenDegD,MATCH(SUBSTITUTE($H2249,"*","-"),MgAmenClave,0)),"No aplica")</f>
        <v/>
      </c>
      <c r="O2249" s="28">
        <f>IFERROR(INDEX(MgAmenDegI,MATCH(SUBSTITUTE($H2249,"*","-"),MgAmenClave,0)),"No aplica")</f>
        <v/>
      </c>
      <c r="P2249" s="28">
        <f>IFERROR(INDEX(MgAmenDegC,MATCH(SUBSTITUTE($H2249,"*","-"),MgAmenClave,0)),"No aplica")</f>
        <v/>
      </c>
      <c r="Q2249" s="29">
        <f>IFERROR(VLOOKUP(K2249,MgValor,2,0)*VLOOKUP(N2249,MgDeg,2,0),0)</f>
        <v/>
      </c>
      <c r="R2249" s="29">
        <f>IFERROR(VLOOKUP(L2249,MgValor,2,0)*VLOOKUP(O2249,MgDeg,2,0),0)</f>
        <v/>
      </c>
      <c r="S2249" s="29">
        <f>IFERROR(VLOOKUP(M2249,MgValor,2,0)*VLOOKUP(P2249,MgDeg,2,0),0)</f>
        <v/>
      </c>
      <c r="T2249" s="30">
        <f>MAX(Q2249:S2249)</f>
        <v/>
      </c>
      <c r="U2249" s="28">
        <f>IFERROR(LOOKUP(T2249,{0;0.5;1.5;3;4.5},{"Despreciable";"Bajo";"Medio";"Alto";"Muy alto"}),"")</f>
        <v/>
      </c>
      <c r="V2249" s="13">
        <f>IFERROR(INDEX(MgAmenFrec,MATCH(SUBSTITUTE($H2249,"*","-"),MgAmenClave,0)),"")</f>
        <v/>
      </c>
      <c r="W2249" s="28">
        <f>IFERROR(LOOKUP(X2249,{0;0.01;0.1;1;10;100},{"Muy baja";"Muy baja";"Baja";"Media";"Alta";"Muy alta"}),"")</f>
        <v/>
      </c>
      <c r="X2249" s="31">
        <f>IFERROR(VLOOKUP(V2249,MgFrec,2,0),0)</f>
        <v/>
      </c>
      <c r="Y2249" s="30">
        <f>T2249*X2249</f>
        <v/>
      </c>
      <c r="Z2249" s="28">
        <f>IFERROR(LOOKUP(Y2249,{0;0.5;5;25},{"Bajo";"Medio";"Alto";"Crítico"}),"")</f>
        <v/>
      </c>
      <c r="AA2249" s="64">
        <f>IF(T2249&gt;=3,IF(X2249&gt;=1,"Zona 1 — Crítica: impacto alto y ocurre al menos una vez al año","Zona 4 — Catastrófica poco probable: impacto alto pero excepcional"),IF(AND(T2249&lt;1.5,X2249&lt;1),"Zona 3 — Asumible: impacto bajo y muy poco frecuente","Zona 2 — Atención: riesgo intermedio"))</f>
        <v/>
      </c>
      <c r="AB2249" s="64">
        <f>IFERROR(INDEX(MgAmenCtrl,MATCH(SUBSTITUTE($H2249,"*","-"),MgAmenClave,0)),"")</f>
        <v/>
      </c>
      <c r="AC2249" s="20" t="n"/>
      <c r="AD2249" s="31">
        <f>IFERROR($X2249*(1-IF($AC2249="",$AL2249,VLOOKUP($AC2249,MgMad,2,0))),"")</f>
        <v/>
      </c>
      <c r="AE2249" s="28">
        <f>IFERROR(LOOKUP(AD2249,{0;0.01;0.1;1;10;100},{"Muy baja";"Muy baja";"Baja";"Media";"Alta";"Muy alta"}),"")</f>
        <v/>
      </c>
      <c r="AF2249" s="30">
        <f>T2249*AD2249</f>
        <v/>
      </c>
      <c r="AG2249" s="28">
        <f>IFERROR(LOOKUP(AF2249,{0;0.5;5;25},{"Bajo";"Medio";"Alto";"Crítico"}),"")</f>
        <v/>
      </c>
      <c r="AH2249" s="28">
        <f>IF(AG2249="","",IF(OR(AG2249="Crítico",AG2249="Alto"),"Mitigar",IF(AG2249="Medio","Mitigar","Aceptar y monitorear")))</f>
        <v/>
      </c>
      <c r="AI2249" s="21" t="n"/>
      <c r="AJ2249" s="21" t="n"/>
      <c r="AK2249" s="20" t="n"/>
      <c r="AL2249" s="77">
        <f>IFERROR(INDEX(MgAmenEfic,MATCH(SUBSTITUTE($H2249,"*","-"),MgAmenClave,0)),0)</f>
        <v/>
      </c>
    </row>
    <row r="2250" hidden="1" ht="45" customHeight="1" s="54">
      <c r="B2250" s="59" t="inlineStr">
        <is>
          <t>R-2245</t>
        </is>
      </c>
      <c r="C2250" s="59" t="inlineStr">
        <is>
          <t>FIN-26</t>
        </is>
      </c>
      <c r="D2250" s="64">
        <f>IFERROR(INDEX(MgNombre,MATCH($C2250,MgActId,0)),"")</f>
        <v/>
      </c>
      <c r="E2250" s="64">
        <f>IFERROR(INDEX(MgProceso,MATCH($C2250,MgActId,0)),"")</f>
        <v/>
      </c>
      <c r="F2250" s="64">
        <f>IFERROR(INDEX(MgTipo,MATCH($C2250,MgActId,0)),"")</f>
        <v/>
      </c>
      <c r="G2250" s="64">
        <f>IFERROR(INDEX(MgSubtipo,MATCH($C2250,MgActId,0)),"")</f>
        <v/>
      </c>
      <c r="H2250" s="59" t="inlineStr">
        <is>
          <t>E.24</t>
        </is>
      </c>
      <c r="I2250" s="64">
        <f>IFERROR(INDEX(MgAmenNombre,MATCH(SUBSTITUTE($H2250,"*","-"),MgAmenClave,0)),"")</f>
        <v/>
      </c>
      <c r="J2250" s="28">
        <f>IFERROR(INDEX(MgAmenGrupo,MATCH(SUBSTITUTE($H2250,"*","-"),MgAmenClave,0)),"")</f>
        <v/>
      </c>
      <c r="K2250" s="64">
        <f>IFERROR(INDEX('1. Matriz de Activos'!$Q$6:$Q$239,MATCH($C2250,MgActId,0)),"")</f>
        <v/>
      </c>
      <c r="L2250" s="64">
        <f>IFERROR(INDEX('1. Matriz de Activos'!$R$6:$R$239,MATCH($C2250,MgActId,0)),"")</f>
        <v/>
      </c>
      <c r="M2250" s="64">
        <f>IFERROR(INDEX('1. Matriz de Activos'!$S$6:$S$239,MATCH($C2250,MgActId,0)),"")</f>
        <v/>
      </c>
      <c r="N2250" s="28">
        <f>IFERROR(INDEX(MgAmenDegD,MATCH(SUBSTITUTE($H2250,"*","-"),MgAmenClave,0)),"No aplica")</f>
        <v/>
      </c>
      <c r="O2250" s="28">
        <f>IFERROR(INDEX(MgAmenDegI,MATCH(SUBSTITUTE($H2250,"*","-"),MgAmenClave,0)),"No aplica")</f>
        <v/>
      </c>
      <c r="P2250" s="28">
        <f>IFERROR(INDEX(MgAmenDegC,MATCH(SUBSTITUTE($H2250,"*","-"),MgAmenClave,0)),"No aplica")</f>
        <v/>
      </c>
      <c r="Q2250" s="29">
        <f>IFERROR(VLOOKUP(K2250,MgValor,2,0)*VLOOKUP(N2250,MgDeg,2,0),0)</f>
        <v/>
      </c>
      <c r="R2250" s="29">
        <f>IFERROR(VLOOKUP(L2250,MgValor,2,0)*VLOOKUP(O2250,MgDeg,2,0),0)</f>
        <v/>
      </c>
      <c r="S2250" s="29">
        <f>IFERROR(VLOOKUP(M2250,MgValor,2,0)*VLOOKUP(P2250,MgDeg,2,0),0)</f>
        <v/>
      </c>
      <c r="T2250" s="30">
        <f>MAX(Q2250:S2250)</f>
        <v/>
      </c>
      <c r="U2250" s="28">
        <f>IFERROR(LOOKUP(T2250,{0;0.5;1.5;3;4.5},{"Despreciable";"Bajo";"Medio";"Alto";"Muy alto"}),"")</f>
        <v/>
      </c>
      <c r="V2250" s="13">
        <f>IFERROR(INDEX(MgAmenFrec,MATCH(SUBSTITUTE($H2250,"*","-"),MgAmenClave,0)),"")</f>
        <v/>
      </c>
      <c r="W2250" s="28">
        <f>IFERROR(LOOKUP(X2250,{0;0.01;0.1;1;10;100},{"Muy baja";"Muy baja";"Baja";"Media";"Alta";"Muy alta"}),"")</f>
        <v/>
      </c>
      <c r="X2250" s="31">
        <f>IFERROR(VLOOKUP(V2250,MgFrec,2,0),0)</f>
        <v/>
      </c>
      <c r="Y2250" s="30">
        <f>T2250*X2250</f>
        <v/>
      </c>
      <c r="Z2250" s="28">
        <f>IFERROR(LOOKUP(Y2250,{0;0.5;5;25},{"Bajo";"Medio";"Alto";"Crítico"}),"")</f>
        <v/>
      </c>
      <c r="AA2250" s="64">
        <f>IF(T2250&gt;=3,IF(X2250&gt;=1,"Zona 1 — Crítica: impacto alto y ocurre al menos una vez al año","Zona 4 — Catastrófica poco probable: impacto alto pero excepcional"),IF(AND(T2250&lt;1.5,X2250&lt;1),"Zona 3 — Asumible: impacto bajo y muy poco frecuente","Zona 2 — Atención: riesgo intermedio"))</f>
        <v/>
      </c>
      <c r="AB2250" s="64">
        <f>IFERROR(INDEX(MgAmenCtrl,MATCH(SUBSTITUTE($H2250,"*","-"),MgAmenClave,0)),"")</f>
        <v/>
      </c>
      <c r="AC2250" s="20" t="n"/>
      <c r="AD2250" s="31">
        <f>IFERROR($X2250*(1-IF($AC2250="",$AL2250,VLOOKUP($AC2250,MgMad,2,0))),"")</f>
        <v/>
      </c>
      <c r="AE2250" s="28">
        <f>IFERROR(LOOKUP(AD2250,{0;0.01;0.1;1;10;100},{"Muy baja";"Muy baja";"Baja";"Media";"Alta";"Muy alta"}),"")</f>
        <v/>
      </c>
      <c r="AF2250" s="30">
        <f>T2250*AD2250</f>
        <v/>
      </c>
      <c r="AG2250" s="28">
        <f>IFERROR(LOOKUP(AF2250,{0;0.5;5;25},{"Bajo";"Medio";"Alto";"Crítico"}),"")</f>
        <v/>
      </c>
      <c r="AH2250" s="28">
        <f>IF(AG2250="","",IF(OR(AG2250="Crítico",AG2250="Alto"),"Mitigar",IF(AG2250="Medio","Mitigar","Aceptar y monitorear")))</f>
        <v/>
      </c>
      <c r="AI2250" s="21" t="n"/>
      <c r="AJ2250" s="21" t="n"/>
      <c r="AK2250" s="20" t="n"/>
      <c r="AL2250" s="77">
        <f>IFERROR(INDEX(MgAmenEfic,MATCH(SUBSTITUTE($H2250,"*","-"),MgAmenClave,0)),0)</f>
        <v/>
      </c>
    </row>
    <row r="2251" hidden="1" ht="75" customHeight="1" s="54">
      <c r="B2251" s="59" t="inlineStr">
        <is>
          <t>R-2246</t>
        </is>
      </c>
      <c r="C2251" s="59" t="inlineStr">
        <is>
          <t>FIN-26</t>
        </is>
      </c>
      <c r="D2251" s="64">
        <f>IFERROR(INDEX(MgNombre,MATCH($C2251,MgActId,0)),"")</f>
        <v/>
      </c>
      <c r="E2251" s="64">
        <f>IFERROR(INDEX(MgProceso,MATCH($C2251,MgActId,0)),"")</f>
        <v/>
      </c>
      <c r="F2251" s="64">
        <f>IFERROR(INDEX(MgTipo,MATCH($C2251,MgActId,0)),"")</f>
        <v/>
      </c>
      <c r="G2251" s="64">
        <f>IFERROR(INDEX(MgSubtipo,MATCH($C2251,MgActId,0)),"")</f>
        <v/>
      </c>
      <c r="H2251" s="59" t="inlineStr">
        <is>
          <t>A.5</t>
        </is>
      </c>
      <c r="I2251" s="64">
        <f>IFERROR(INDEX(MgAmenNombre,MATCH(SUBSTITUTE($H2251,"*","-"),MgAmenClave,0)),"")</f>
        <v/>
      </c>
      <c r="J2251" s="28">
        <f>IFERROR(INDEX(MgAmenGrupo,MATCH(SUBSTITUTE($H2251,"*","-"),MgAmenClave,0)),"")</f>
        <v/>
      </c>
      <c r="K2251" s="64">
        <f>IFERROR(INDEX('1. Matriz de Activos'!$Q$6:$Q$239,MATCH($C2251,MgActId,0)),"")</f>
        <v/>
      </c>
      <c r="L2251" s="64">
        <f>IFERROR(INDEX('1. Matriz de Activos'!$R$6:$R$239,MATCH($C2251,MgActId,0)),"")</f>
        <v/>
      </c>
      <c r="M2251" s="64">
        <f>IFERROR(INDEX('1. Matriz de Activos'!$S$6:$S$239,MATCH($C2251,MgActId,0)),"")</f>
        <v/>
      </c>
      <c r="N2251" s="28">
        <f>IFERROR(INDEX(MgAmenDegD,MATCH(SUBSTITUTE($H2251,"*","-"),MgAmenClave,0)),"No aplica")</f>
        <v/>
      </c>
      <c r="O2251" s="28">
        <f>IFERROR(INDEX(MgAmenDegI,MATCH(SUBSTITUTE($H2251,"*","-"),MgAmenClave,0)),"No aplica")</f>
        <v/>
      </c>
      <c r="P2251" s="28">
        <f>IFERROR(INDEX(MgAmenDegC,MATCH(SUBSTITUTE($H2251,"*","-"),MgAmenClave,0)),"No aplica")</f>
        <v/>
      </c>
      <c r="Q2251" s="29">
        <f>IFERROR(VLOOKUP(K2251,MgValor,2,0)*VLOOKUP(N2251,MgDeg,2,0),0)</f>
        <v/>
      </c>
      <c r="R2251" s="29">
        <f>IFERROR(VLOOKUP(L2251,MgValor,2,0)*VLOOKUP(O2251,MgDeg,2,0),0)</f>
        <v/>
      </c>
      <c r="S2251" s="29">
        <f>IFERROR(VLOOKUP(M2251,MgValor,2,0)*VLOOKUP(P2251,MgDeg,2,0),0)</f>
        <v/>
      </c>
      <c r="T2251" s="30">
        <f>MAX(Q2251:S2251)</f>
        <v/>
      </c>
      <c r="U2251" s="28">
        <f>IFERROR(LOOKUP(T2251,{0;0.5;1.5;3;4.5},{"Despreciable";"Bajo";"Medio";"Alto";"Muy alto"}),"")</f>
        <v/>
      </c>
      <c r="V2251" s="13">
        <f>IFERROR(INDEX(MgAmenFrec,MATCH(SUBSTITUTE($H2251,"*","-"),MgAmenClave,0)),"")</f>
        <v/>
      </c>
      <c r="W2251" s="28">
        <f>IFERROR(LOOKUP(X2251,{0;0.01;0.1;1;10;100},{"Muy baja";"Muy baja";"Baja";"Media";"Alta";"Muy alta"}),"")</f>
        <v/>
      </c>
      <c r="X2251" s="31">
        <f>IFERROR(VLOOKUP(V2251,MgFrec,2,0),0)</f>
        <v/>
      </c>
      <c r="Y2251" s="30">
        <f>T2251*X2251</f>
        <v/>
      </c>
      <c r="Z2251" s="28">
        <f>IFERROR(LOOKUP(Y2251,{0;0.5;5;25},{"Bajo";"Medio";"Alto";"Crítico"}),"")</f>
        <v/>
      </c>
      <c r="AA2251" s="64">
        <f>IF(T2251&gt;=3,IF(X2251&gt;=1,"Zona 1 — Crítica: impacto alto y ocurre al menos una vez al año","Zona 4 — Catastrófica poco probable: impacto alto pero excepcional"),IF(AND(T2251&lt;1.5,X2251&lt;1),"Zona 3 — Asumible: impacto bajo y muy poco frecuente","Zona 2 — Atención: riesgo intermedio"))</f>
        <v/>
      </c>
      <c r="AB2251" s="64">
        <f>IFERROR(INDEX(MgAmenCtrl,MATCH(SUBSTITUTE($H2251,"*","-"),MgAmenClave,0)),"")</f>
        <v/>
      </c>
      <c r="AC2251" s="20" t="n"/>
      <c r="AD2251" s="31">
        <f>IFERROR($X2251*(1-IF($AC2251="",$AL2251,VLOOKUP($AC2251,MgMad,2,0))),"")</f>
        <v/>
      </c>
      <c r="AE2251" s="28">
        <f>IFERROR(LOOKUP(AD2251,{0;0.01;0.1;1;10;100},{"Muy baja";"Muy baja";"Baja";"Media";"Alta";"Muy alta"}),"")</f>
        <v/>
      </c>
      <c r="AF2251" s="30">
        <f>T2251*AD2251</f>
        <v/>
      </c>
      <c r="AG2251" s="28">
        <f>IFERROR(LOOKUP(AF2251,{0;0.5;5;25},{"Bajo";"Medio";"Alto";"Crítico"}),"")</f>
        <v/>
      </c>
      <c r="AH2251" s="28">
        <f>IF(AG2251="","",IF(OR(AG2251="Crítico",AG2251="Alto"),"Mitigar",IF(AG2251="Medio","Mitigar","Aceptar y monitorear")))</f>
        <v/>
      </c>
      <c r="AI2251" s="21" t="n"/>
      <c r="AJ2251" s="21" t="n"/>
      <c r="AK2251" s="20" t="n"/>
      <c r="AL2251" s="77">
        <f>IFERROR(INDEX(MgAmenEfic,MATCH(SUBSTITUTE($H2251,"*","-"),MgAmenClave,0)),0)</f>
        <v/>
      </c>
    </row>
    <row r="2252" hidden="1" ht="105" customHeight="1" s="54">
      <c r="B2252" s="59" t="inlineStr">
        <is>
          <t>R-2247</t>
        </is>
      </c>
      <c r="C2252" s="59" t="inlineStr">
        <is>
          <t>FIN-26</t>
        </is>
      </c>
      <c r="D2252" s="64">
        <f>IFERROR(INDEX(MgNombre,MATCH($C2252,MgActId,0)),"")</f>
        <v/>
      </c>
      <c r="E2252" s="64">
        <f>IFERROR(INDEX(MgProceso,MATCH($C2252,MgActId,0)),"")</f>
        <v/>
      </c>
      <c r="F2252" s="64">
        <f>IFERROR(INDEX(MgTipo,MATCH($C2252,MgActId,0)),"")</f>
        <v/>
      </c>
      <c r="G2252" s="64">
        <f>IFERROR(INDEX(MgSubtipo,MATCH($C2252,MgActId,0)),"")</f>
        <v/>
      </c>
      <c r="H2252" s="59" t="inlineStr">
        <is>
          <t>A.6</t>
        </is>
      </c>
      <c r="I2252" s="64">
        <f>IFERROR(INDEX(MgAmenNombre,MATCH(SUBSTITUTE($H2252,"*","-"),MgAmenClave,0)),"")</f>
        <v/>
      </c>
      <c r="J2252" s="28">
        <f>IFERROR(INDEX(MgAmenGrupo,MATCH(SUBSTITUTE($H2252,"*","-"),MgAmenClave,0)),"")</f>
        <v/>
      </c>
      <c r="K2252" s="64">
        <f>IFERROR(INDEX('1. Matriz de Activos'!$Q$6:$Q$239,MATCH($C2252,MgActId,0)),"")</f>
        <v/>
      </c>
      <c r="L2252" s="64">
        <f>IFERROR(INDEX('1. Matriz de Activos'!$R$6:$R$239,MATCH($C2252,MgActId,0)),"")</f>
        <v/>
      </c>
      <c r="M2252" s="64">
        <f>IFERROR(INDEX('1. Matriz de Activos'!$S$6:$S$239,MATCH($C2252,MgActId,0)),"")</f>
        <v/>
      </c>
      <c r="N2252" s="28">
        <f>IFERROR(INDEX(MgAmenDegD,MATCH(SUBSTITUTE($H2252,"*","-"),MgAmenClave,0)),"No aplica")</f>
        <v/>
      </c>
      <c r="O2252" s="28">
        <f>IFERROR(INDEX(MgAmenDegI,MATCH(SUBSTITUTE($H2252,"*","-"),MgAmenClave,0)),"No aplica")</f>
        <v/>
      </c>
      <c r="P2252" s="28">
        <f>IFERROR(INDEX(MgAmenDegC,MATCH(SUBSTITUTE($H2252,"*","-"),MgAmenClave,0)),"No aplica")</f>
        <v/>
      </c>
      <c r="Q2252" s="29">
        <f>IFERROR(VLOOKUP(K2252,MgValor,2,0)*VLOOKUP(N2252,MgDeg,2,0),0)</f>
        <v/>
      </c>
      <c r="R2252" s="29">
        <f>IFERROR(VLOOKUP(L2252,MgValor,2,0)*VLOOKUP(O2252,MgDeg,2,0),0)</f>
        <v/>
      </c>
      <c r="S2252" s="29">
        <f>IFERROR(VLOOKUP(M2252,MgValor,2,0)*VLOOKUP(P2252,MgDeg,2,0),0)</f>
        <v/>
      </c>
      <c r="T2252" s="30">
        <f>MAX(Q2252:S2252)</f>
        <v/>
      </c>
      <c r="U2252" s="28">
        <f>IFERROR(LOOKUP(T2252,{0;0.5;1.5;3;4.5},{"Despreciable";"Bajo";"Medio";"Alto";"Muy alto"}),"")</f>
        <v/>
      </c>
      <c r="V2252" s="13">
        <f>IFERROR(INDEX(MgAmenFrec,MATCH(SUBSTITUTE($H2252,"*","-"),MgAmenClave,0)),"")</f>
        <v/>
      </c>
      <c r="W2252" s="28">
        <f>IFERROR(LOOKUP(X2252,{0;0.01;0.1;1;10;100},{"Muy baja";"Muy baja";"Baja";"Media";"Alta";"Muy alta"}),"")</f>
        <v/>
      </c>
      <c r="X2252" s="31">
        <f>IFERROR(VLOOKUP(V2252,MgFrec,2,0),0)</f>
        <v/>
      </c>
      <c r="Y2252" s="30">
        <f>T2252*X2252</f>
        <v/>
      </c>
      <c r="Z2252" s="28">
        <f>IFERROR(LOOKUP(Y2252,{0;0.5;5;25},{"Bajo";"Medio";"Alto";"Crítico"}),"")</f>
        <v/>
      </c>
      <c r="AA2252" s="64">
        <f>IF(T2252&gt;=3,IF(X2252&gt;=1,"Zona 1 — Crítica: impacto alto y ocurre al menos una vez al año","Zona 4 — Catastrófica poco probable: impacto alto pero excepcional"),IF(AND(T2252&lt;1.5,X2252&lt;1),"Zona 3 — Asumible: impacto bajo y muy poco frecuente","Zona 2 — Atención: riesgo intermedio"))</f>
        <v/>
      </c>
      <c r="AB2252" s="64">
        <f>IFERROR(INDEX(MgAmenCtrl,MATCH(SUBSTITUTE($H2252,"*","-"),MgAmenClave,0)),"")</f>
        <v/>
      </c>
      <c r="AC2252" s="20" t="n"/>
      <c r="AD2252" s="31">
        <f>IFERROR($X2252*(1-IF($AC2252="",$AL2252,VLOOKUP($AC2252,MgMad,2,0))),"")</f>
        <v/>
      </c>
      <c r="AE2252" s="28">
        <f>IFERROR(LOOKUP(AD2252,{0;0.01;0.1;1;10;100},{"Muy baja";"Muy baja";"Baja";"Media";"Alta";"Muy alta"}),"")</f>
        <v/>
      </c>
      <c r="AF2252" s="30">
        <f>T2252*AD2252</f>
        <v/>
      </c>
      <c r="AG2252" s="28">
        <f>IFERROR(LOOKUP(AF2252,{0;0.5;5;25},{"Bajo";"Medio";"Alto";"Crítico"}),"")</f>
        <v/>
      </c>
      <c r="AH2252" s="28">
        <f>IF(AG2252="","",IF(OR(AG2252="Crítico",AG2252="Alto"),"Mitigar",IF(AG2252="Medio","Mitigar","Aceptar y monitorear")))</f>
        <v/>
      </c>
      <c r="AI2252" s="21" t="n"/>
      <c r="AJ2252" s="21" t="n"/>
      <c r="AK2252" s="20" t="n"/>
      <c r="AL2252" s="77">
        <f>IFERROR(INDEX(MgAmenEfic,MATCH(SUBSTITUTE($H2252,"*","-"),MgAmenClave,0)),0)</f>
        <v/>
      </c>
    </row>
    <row r="2253" hidden="1" ht="60" customHeight="1" s="54">
      <c r="B2253" s="59" t="inlineStr">
        <is>
          <t>R-2248</t>
        </is>
      </c>
      <c r="C2253" s="59" t="inlineStr">
        <is>
          <t>FIN-26</t>
        </is>
      </c>
      <c r="D2253" s="64">
        <f>IFERROR(INDEX(MgNombre,MATCH($C2253,MgActId,0)),"")</f>
        <v/>
      </c>
      <c r="E2253" s="64">
        <f>IFERROR(INDEX(MgProceso,MATCH($C2253,MgActId,0)),"")</f>
        <v/>
      </c>
      <c r="F2253" s="64">
        <f>IFERROR(INDEX(MgTipo,MATCH($C2253,MgActId,0)),"")</f>
        <v/>
      </c>
      <c r="G2253" s="64">
        <f>IFERROR(INDEX(MgSubtipo,MATCH($C2253,MgActId,0)),"")</f>
        <v/>
      </c>
      <c r="H2253" s="59" t="inlineStr">
        <is>
          <t>A.7</t>
        </is>
      </c>
      <c r="I2253" s="64">
        <f>IFERROR(INDEX(MgAmenNombre,MATCH(SUBSTITUTE($H2253,"*","-"),MgAmenClave,0)),"")</f>
        <v/>
      </c>
      <c r="J2253" s="28">
        <f>IFERROR(INDEX(MgAmenGrupo,MATCH(SUBSTITUTE($H2253,"*","-"),MgAmenClave,0)),"")</f>
        <v/>
      </c>
      <c r="K2253" s="64">
        <f>IFERROR(INDEX('1. Matriz de Activos'!$Q$6:$Q$239,MATCH($C2253,MgActId,0)),"")</f>
        <v/>
      </c>
      <c r="L2253" s="64">
        <f>IFERROR(INDEX('1. Matriz de Activos'!$R$6:$R$239,MATCH($C2253,MgActId,0)),"")</f>
        <v/>
      </c>
      <c r="M2253" s="64">
        <f>IFERROR(INDEX('1. Matriz de Activos'!$S$6:$S$239,MATCH($C2253,MgActId,0)),"")</f>
        <v/>
      </c>
      <c r="N2253" s="28">
        <f>IFERROR(INDEX(MgAmenDegD,MATCH(SUBSTITUTE($H2253,"*","-"),MgAmenClave,0)),"No aplica")</f>
        <v/>
      </c>
      <c r="O2253" s="28">
        <f>IFERROR(INDEX(MgAmenDegI,MATCH(SUBSTITUTE($H2253,"*","-"),MgAmenClave,0)),"No aplica")</f>
        <v/>
      </c>
      <c r="P2253" s="28">
        <f>IFERROR(INDEX(MgAmenDegC,MATCH(SUBSTITUTE($H2253,"*","-"),MgAmenClave,0)),"No aplica")</f>
        <v/>
      </c>
      <c r="Q2253" s="29">
        <f>IFERROR(VLOOKUP(K2253,MgValor,2,0)*VLOOKUP(N2253,MgDeg,2,0),0)</f>
        <v/>
      </c>
      <c r="R2253" s="29">
        <f>IFERROR(VLOOKUP(L2253,MgValor,2,0)*VLOOKUP(O2253,MgDeg,2,0),0)</f>
        <v/>
      </c>
      <c r="S2253" s="29">
        <f>IFERROR(VLOOKUP(M2253,MgValor,2,0)*VLOOKUP(P2253,MgDeg,2,0),0)</f>
        <v/>
      </c>
      <c r="T2253" s="30">
        <f>MAX(Q2253:S2253)</f>
        <v/>
      </c>
      <c r="U2253" s="28">
        <f>IFERROR(LOOKUP(T2253,{0;0.5;1.5;3;4.5},{"Despreciable";"Bajo";"Medio";"Alto";"Muy alto"}),"")</f>
        <v/>
      </c>
      <c r="V2253" s="13">
        <f>IFERROR(INDEX(MgAmenFrec,MATCH(SUBSTITUTE($H2253,"*","-"),MgAmenClave,0)),"")</f>
        <v/>
      </c>
      <c r="W2253" s="28">
        <f>IFERROR(LOOKUP(X2253,{0;0.01;0.1;1;10;100},{"Muy baja";"Muy baja";"Baja";"Media";"Alta";"Muy alta"}),"")</f>
        <v/>
      </c>
      <c r="X2253" s="31">
        <f>IFERROR(VLOOKUP(V2253,MgFrec,2,0),0)</f>
        <v/>
      </c>
      <c r="Y2253" s="30">
        <f>T2253*X2253</f>
        <v/>
      </c>
      <c r="Z2253" s="28">
        <f>IFERROR(LOOKUP(Y2253,{0;0.5;5;25},{"Bajo";"Medio";"Alto";"Crítico"}),"")</f>
        <v/>
      </c>
      <c r="AA2253" s="64">
        <f>IF(T2253&gt;=3,IF(X2253&gt;=1,"Zona 1 — Crítica: impacto alto y ocurre al menos una vez al año","Zona 4 — Catastrófica poco probable: impacto alto pero excepcional"),IF(AND(T2253&lt;1.5,X2253&lt;1),"Zona 3 — Asumible: impacto bajo y muy poco frecuente","Zona 2 — Atención: riesgo intermedio"))</f>
        <v/>
      </c>
      <c r="AB2253" s="64">
        <f>IFERROR(INDEX(MgAmenCtrl,MATCH(SUBSTITUTE($H2253,"*","-"),MgAmenClave,0)),"")</f>
        <v/>
      </c>
      <c r="AC2253" s="20" t="n"/>
      <c r="AD2253" s="31">
        <f>IFERROR($X2253*(1-IF($AC2253="",$AL2253,VLOOKUP($AC2253,MgMad,2,0))),"")</f>
        <v/>
      </c>
      <c r="AE2253" s="28">
        <f>IFERROR(LOOKUP(AD2253,{0;0.01;0.1;1;10;100},{"Muy baja";"Muy baja";"Baja";"Media";"Alta";"Muy alta"}),"")</f>
        <v/>
      </c>
      <c r="AF2253" s="30">
        <f>T2253*AD2253</f>
        <v/>
      </c>
      <c r="AG2253" s="28">
        <f>IFERROR(LOOKUP(AF2253,{0;0.5;5;25},{"Bajo";"Medio";"Alto";"Crítico"}),"")</f>
        <v/>
      </c>
      <c r="AH2253" s="28">
        <f>IF(AG2253="","",IF(OR(AG2253="Crítico",AG2253="Alto"),"Mitigar",IF(AG2253="Medio","Mitigar","Aceptar y monitorear")))</f>
        <v/>
      </c>
      <c r="AI2253" s="21" t="n"/>
      <c r="AJ2253" s="21" t="n"/>
      <c r="AK2253" s="20" t="n"/>
      <c r="AL2253" s="77">
        <f>IFERROR(INDEX(MgAmenEfic,MATCH(SUBSTITUTE($H2253,"*","-"),MgAmenClave,0)),0)</f>
        <v/>
      </c>
    </row>
    <row r="2254" hidden="1" ht="60" customHeight="1" s="54">
      <c r="B2254" s="59" t="inlineStr">
        <is>
          <t>R-2249</t>
        </is>
      </c>
      <c r="C2254" s="59" t="inlineStr">
        <is>
          <t>FIN-26</t>
        </is>
      </c>
      <c r="D2254" s="64">
        <f>IFERROR(INDEX(MgNombre,MATCH($C2254,MgActId,0)),"")</f>
        <v/>
      </c>
      <c r="E2254" s="64">
        <f>IFERROR(INDEX(MgProceso,MATCH($C2254,MgActId,0)),"")</f>
        <v/>
      </c>
      <c r="F2254" s="64">
        <f>IFERROR(INDEX(MgTipo,MATCH($C2254,MgActId,0)),"")</f>
        <v/>
      </c>
      <c r="G2254" s="64">
        <f>IFERROR(INDEX(MgSubtipo,MATCH($C2254,MgActId,0)),"")</f>
        <v/>
      </c>
      <c r="H2254" s="59" t="inlineStr">
        <is>
          <t>A.9</t>
        </is>
      </c>
      <c r="I2254" s="64">
        <f>IFERROR(INDEX(MgAmenNombre,MATCH(SUBSTITUTE($H2254,"*","-"),MgAmenClave,0)),"")</f>
        <v/>
      </c>
      <c r="J2254" s="28">
        <f>IFERROR(INDEX(MgAmenGrupo,MATCH(SUBSTITUTE($H2254,"*","-"),MgAmenClave,0)),"")</f>
        <v/>
      </c>
      <c r="K2254" s="64">
        <f>IFERROR(INDEX('1. Matriz de Activos'!$Q$6:$Q$239,MATCH($C2254,MgActId,0)),"")</f>
        <v/>
      </c>
      <c r="L2254" s="64">
        <f>IFERROR(INDEX('1. Matriz de Activos'!$R$6:$R$239,MATCH($C2254,MgActId,0)),"")</f>
        <v/>
      </c>
      <c r="M2254" s="64">
        <f>IFERROR(INDEX('1. Matriz de Activos'!$S$6:$S$239,MATCH($C2254,MgActId,0)),"")</f>
        <v/>
      </c>
      <c r="N2254" s="28">
        <f>IFERROR(INDEX(MgAmenDegD,MATCH(SUBSTITUTE($H2254,"*","-"),MgAmenClave,0)),"No aplica")</f>
        <v/>
      </c>
      <c r="O2254" s="28">
        <f>IFERROR(INDEX(MgAmenDegI,MATCH(SUBSTITUTE($H2254,"*","-"),MgAmenClave,0)),"No aplica")</f>
        <v/>
      </c>
      <c r="P2254" s="28">
        <f>IFERROR(INDEX(MgAmenDegC,MATCH(SUBSTITUTE($H2254,"*","-"),MgAmenClave,0)),"No aplica")</f>
        <v/>
      </c>
      <c r="Q2254" s="29">
        <f>IFERROR(VLOOKUP(K2254,MgValor,2,0)*VLOOKUP(N2254,MgDeg,2,0),0)</f>
        <v/>
      </c>
      <c r="R2254" s="29">
        <f>IFERROR(VLOOKUP(L2254,MgValor,2,0)*VLOOKUP(O2254,MgDeg,2,0),0)</f>
        <v/>
      </c>
      <c r="S2254" s="29">
        <f>IFERROR(VLOOKUP(M2254,MgValor,2,0)*VLOOKUP(P2254,MgDeg,2,0),0)</f>
        <v/>
      </c>
      <c r="T2254" s="30">
        <f>MAX(Q2254:S2254)</f>
        <v/>
      </c>
      <c r="U2254" s="28">
        <f>IFERROR(LOOKUP(T2254,{0;0.5;1.5;3;4.5},{"Despreciable";"Bajo";"Medio";"Alto";"Muy alto"}),"")</f>
        <v/>
      </c>
      <c r="V2254" s="13">
        <f>IFERROR(INDEX(MgAmenFrec,MATCH(SUBSTITUTE($H2254,"*","-"),MgAmenClave,0)),"")</f>
        <v/>
      </c>
      <c r="W2254" s="28">
        <f>IFERROR(LOOKUP(X2254,{0;0.01;0.1;1;10;100},{"Muy baja";"Muy baja";"Baja";"Media";"Alta";"Muy alta"}),"")</f>
        <v/>
      </c>
      <c r="X2254" s="31">
        <f>IFERROR(VLOOKUP(V2254,MgFrec,2,0),0)</f>
        <v/>
      </c>
      <c r="Y2254" s="30">
        <f>T2254*X2254</f>
        <v/>
      </c>
      <c r="Z2254" s="28">
        <f>IFERROR(LOOKUP(Y2254,{0;0.5;5;25},{"Bajo";"Medio";"Alto";"Crítico"}),"")</f>
        <v/>
      </c>
      <c r="AA2254" s="64">
        <f>IF(T2254&gt;=3,IF(X2254&gt;=1,"Zona 1 — Crítica: impacto alto y ocurre al menos una vez al año","Zona 4 — Catastrófica poco probable: impacto alto pero excepcional"),IF(AND(T2254&lt;1.5,X2254&lt;1),"Zona 3 — Asumible: impacto bajo y muy poco frecuente","Zona 2 — Atención: riesgo intermedio"))</f>
        <v/>
      </c>
      <c r="AB2254" s="64">
        <f>IFERROR(INDEX(MgAmenCtrl,MATCH(SUBSTITUTE($H2254,"*","-"),MgAmenClave,0)),"")</f>
        <v/>
      </c>
      <c r="AC2254" s="20" t="n"/>
      <c r="AD2254" s="31">
        <f>IFERROR($X2254*(1-IF($AC2254="",$AL2254,VLOOKUP($AC2254,MgMad,2,0))),"")</f>
        <v/>
      </c>
      <c r="AE2254" s="28">
        <f>IFERROR(LOOKUP(AD2254,{0;0.01;0.1;1;10;100},{"Muy baja";"Muy baja";"Baja";"Media";"Alta";"Muy alta"}),"")</f>
        <v/>
      </c>
      <c r="AF2254" s="30">
        <f>T2254*AD2254</f>
        <v/>
      </c>
      <c r="AG2254" s="28">
        <f>IFERROR(LOOKUP(AF2254,{0;0.5;5;25},{"Bajo";"Medio";"Alto";"Crítico"}),"")</f>
        <v/>
      </c>
      <c r="AH2254" s="28">
        <f>IF(AG2254="","",IF(OR(AG2254="Crítico",AG2254="Alto"),"Mitigar",IF(AG2254="Medio","Mitigar","Aceptar y monitorear")))</f>
        <v/>
      </c>
      <c r="AI2254" s="21" t="n"/>
      <c r="AJ2254" s="21" t="n"/>
      <c r="AK2254" s="20" t="n"/>
      <c r="AL2254" s="77">
        <f>IFERROR(INDEX(MgAmenEfic,MATCH(SUBSTITUTE($H2254,"*","-"),MgAmenClave,0)),0)</f>
        <v/>
      </c>
    </row>
    <row r="2255" hidden="1" ht="45" customHeight="1" s="54">
      <c r="B2255" s="59" t="inlineStr">
        <is>
          <t>R-2250</t>
        </is>
      </c>
      <c r="C2255" s="59" t="inlineStr">
        <is>
          <t>FIN-26</t>
        </is>
      </c>
      <c r="D2255" s="64">
        <f>IFERROR(INDEX(MgNombre,MATCH($C2255,MgActId,0)),"")</f>
        <v/>
      </c>
      <c r="E2255" s="64">
        <f>IFERROR(INDEX(MgProceso,MATCH($C2255,MgActId,0)),"")</f>
        <v/>
      </c>
      <c r="F2255" s="64">
        <f>IFERROR(INDEX(MgTipo,MATCH($C2255,MgActId,0)),"")</f>
        <v/>
      </c>
      <c r="G2255" s="64">
        <f>IFERROR(INDEX(MgSubtipo,MATCH($C2255,MgActId,0)),"")</f>
        <v/>
      </c>
      <c r="H2255" s="59" t="inlineStr">
        <is>
          <t>A.10</t>
        </is>
      </c>
      <c r="I2255" s="64">
        <f>IFERROR(INDEX(MgAmenNombre,MATCH(SUBSTITUTE($H2255,"*","-"),MgAmenClave,0)),"")</f>
        <v/>
      </c>
      <c r="J2255" s="28">
        <f>IFERROR(INDEX(MgAmenGrupo,MATCH(SUBSTITUTE($H2255,"*","-"),MgAmenClave,0)),"")</f>
        <v/>
      </c>
      <c r="K2255" s="64">
        <f>IFERROR(INDEX('1. Matriz de Activos'!$Q$6:$Q$239,MATCH($C2255,MgActId,0)),"")</f>
        <v/>
      </c>
      <c r="L2255" s="64">
        <f>IFERROR(INDEX('1. Matriz de Activos'!$R$6:$R$239,MATCH($C2255,MgActId,0)),"")</f>
        <v/>
      </c>
      <c r="M2255" s="64">
        <f>IFERROR(INDEX('1. Matriz de Activos'!$S$6:$S$239,MATCH($C2255,MgActId,0)),"")</f>
        <v/>
      </c>
      <c r="N2255" s="28">
        <f>IFERROR(INDEX(MgAmenDegD,MATCH(SUBSTITUTE($H2255,"*","-"),MgAmenClave,0)),"No aplica")</f>
        <v/>
      </c>
      <c r="O2255" s="28">
        <f>IFERROR(INDEX(MgAmenDegI,MATCH(SUBSTITUTE($H2255,"*","-"),MgAmenClave,0)),"No aplica")</f>
        <v/>
      </c>
      <c r="P2255" s="28">
        <f>IFERROR(INDEX(MgAmenDegC,MATCH(SUBSTITUTE($H2255,"*","-"),MgAmenClave,0)),"No aplica")</f>
        <v/>
      </c>
      <c r="Q2255" s="29">
        <f>IFERROR(VLOOKUP(K2255,MgValor,2,0)*VLOOKUP(N2255,MgDeg,2,0),0)</f>
        <v/>
      </c>
      <c r="R2255" s="29">
        <f>IFERROR(VLOOKUP(L2255,MgValor,2,0)*VLOOKUP(O2255,MgDeg,2,0),0)</f>
        <v/>
      </c>
      <c r="S2255" s="29">
        <f>IFERROR(VLOOKUP(M2255,MgValor,2,0)*VLOOKUP(P2255,MgDeg,2,0),0)</f>
        <v/>
      </c>
      <c r="T2255" s="30">
        <f>MAX(Q2255:S2255)</f>
        <v/>
      </c>
      <c r="U2255" s="28">
        <f>IFERROR(LOOKUP(T2255,{0;0.5;1.5;3;4.5},{"Despreciable";"Bajo";"Medio";"Alto";"Muy alto"}),"")</f>
        <v/>
      </c>
      <c r="V2255" s="13">
        <f>IFERROR(INDEX(MgAmenFrec,MATCH(SUBSTITUTE($H2255,"*","-"),MgAmenClave,0)),"")</f>
        <v/>
      </c>
      <c r="W2255" s="28">
        <f>IFERROR(LOOKUP(X2255,{0;0.01;0.1;1;10;100},{"Muy baja";"Muy baja";"Baja";"Media";"Alta";"Muy alta"}),"")</f>
        <v/>
      </c>
      <c r="X2255" s="31">
        <f>IFERROR(VLOOKUP(V2255,MgFrec,2,0),0)</f>
        <v/>
      </c>
      <c r="Y2255" s="30">
        <f>T2255*X2255</f>
        <v/>
      </c>
      <c r="Z2255" s="28">
        <f>IFERROR(LOOKUP(Y2255,{0;0.5;5;25},{"Bajo";"Medio";"Alto";"Crítico"}),"")</f>
        <v/>
      </c>
      <c r="AA2255" s="64">
        <f>IF(T2255&gt;=3,IF(X2255&gt;=1,"Zona 1 — Crítica: impacto alto y ocurre al menos una vez al año","Zona 4 — Catastrófica poco probable: impacto alto pero excepcional"),IF(AND(T2255&lt;1.5,X2255&lt;1),"Zona 3 — Asumible: impacto bajo y muy poco frecuente","Zona 2 — Atención: riesgo intermedio"))</f>
        <v/>
      </c>
      <c r="AB2255" s="64">
        <f>IFERROR(INDEX(MgAmenCtrl,MATCH(SUBSTITUTE($H2255,"*","-"),MgAmenClave,0)),"")</f>
        <v/>
      </c>
      <c r="AC2255" s="20" t="n"/>
      <c r="AD2255" s="31">
        <f>IFERROR($X2255*(1-IF($AC2255="",$AL2255,VLOOKUP($AC2255,MgMad,2,0))),"")</f>
        <v/>
      </c>
      <c r="AE2255" s="28">
        <f>IFERROR(LOOKUP(AD2255,{0;0.01;0.1;1;10;100},{"Muy baja";"Muy baja";"Baja";"Media";"Alta";"Muy alta"}),"")</f>
        <v/>
      </c>
      <c r="AF2255" s="30">
        <f>T2255*AD2255</f>
        <v/>
      </c>
      <c r="AG2255" s="28">
        <f>IFERROR(LOOKUP(AF2255,{0;0.5;5;25},{"Bajo";"Medio";"Alto";"Crítico"}),"")</f>
        <v/>
      </c>
      <c r="AH2255" s="28">
        <f>IF(AG2255="","",IF(OR(AG2255="Crítico",AG2255="Alto"),"Mitigar",IF(AG2255="Medio","Mitigar","Aceptar y monitorear")))</f>
        <v/>
      </c>
      <c r="AI2255" s="21" t="n"/>
      <c r="AJ2255" s="21" t="n"/>
      <c r="AK2255" s="20" t="n"/>
      <c r="AL2255" s="77">
        <f>IFERROR(INDEX(MgAmenEfic,MATCH(SUBSTITUTE($H2255,"*","-"),MgAmenClave,0)),0)</f>
        <v/>
      </c>
    </row>
    <row r="2256" hidden="1" ht="120" customHeight="1" s="54">
      <c r="B2256" s="59" t="inlineStr">
        <is>
          <t>R-2251</t>
        </is>
      </c>
      <c r="C2256" s="59" t="inlineStr">
        <is>
          <t>FIN-26</t>
        </is>
      </c>
      <c r="D2256" s="64">
        <f>IFERROR(INDEX(MgNombre,MATCH($C2256,MgActId,0)),"")</f>
        <v/>
      </c>
      <c r="E2256" s="64">
        <f>IFERROR(INDEX(MgProceso,MATCH($C2256,MgActId,0)),"")</f>
        <v/>
      </c>
      <c r="F2256" s="64">
        <f>IFERROR(INDEX(MgTipo,MATCH($C2256,MgActId,0)),"")</f>
        <v/>
      </c>
      <c r="G2256" s="64">
        <f>IFERROR(INDEX(MgSubtipo,MATCH($C2256,MgActId,0)),"")</f>
        <v/>
      </c>
      <c r="H2256" s="59" t="inlineStr">
        <is>
          <t>A.11</t>
        </is>
      </c>
      <c r="I2256" s="64">
        <f>IFERROR(INDEX(MgAmenNombre,MATCH(SUBSTITUTE($H2256,"*","-"),MgAmenClave,0)),"")</f>
        <v/>
      </c>
      <c r="J2256" s="28">
        <f>IFERROR(INDEX(MgAmenGrupo,MATCH(SUBSTITUTE($H2256,"*","-"),MgAmenClave,0)),"")</f>
        <v/>
      </c>
      <c r="K2256" s="64">
        <f>IFERROR(INDEX('1. Matriz de Activos'!$Q$6:$Q$239,MATCH($C2256,MgActId,0)),"")</f>
        <v/>
      </c>
      <c r="L2256" s="64">
        <f>IFERROR(INDEX('1. Matriz de Activos'!$R$6:$R$239,MATCH($C2256,MgActId,0)),"")</f>
        <v/>
      </c>
      <c r="M2256" s="64">
        <f>IFERROR(INDEX('1. Matriz de Activos'!$S$6:$S$239,MATCH($C2256,MgActId,0)),"")</f>
        <v/>
      </c>
      <c r="N2256" s="28">
        <f>IFERROR(INDEX(MgAmenDegD,MATCH(SUBSTITUTE($H2256,"*","-"),MgAmenClave,0)),"No aplica")</f>
        <v/>
      </c>
      <c r="O2256" s="28">
        <f>IFERROR(INDEX(MgAmenDegI,MATCH(SUBSTITUTE($H2256,"*","-"),MgAmenClave,0)),"No aplica")</f>
        <v/>
      </c>
      <c r="P2256" s="28">
        <f>IFERROR(INDEX(MgAmenDegC,MATCH(SUBSTITUTE($H2256,"*","-"),MgAmenClave,0)),"No aplica")</f>
        <v/>
      </c>
      <c r="Q2256" s="29">
        <f>IFERROR(VLOOKUP(K2256,MgValor,2,0)*VLOOKUP(N2256,MgDeg,2,0),0)</f>
        <v/>
      </c>
      <c r="R2256" s="29">
        <f>IFERROR(VLOOKUP(L2256,MgValor,2,0)*VLOOKUP(O2256,MgDeg,2,0),0)</f>
        <v/>
      </c>
      <c r="S2256" s="29">
        <f>IFERROR(VLOOKUP(M2256,MgValor,2,0)*VLOOKUP(P2256,MgDeg,2,0),0)</f>
        <v/>
      </c>
      <c r="T2256" s="30">
        <f>MAX(Q2256:S2256)</f>
        <v/>
      </c>
      <c r="U2256" s="28">
        <f>IFERROR(LOOKUP(T2256,{0;0.5;1.5;3;4.5},{"Despreciable";"Bajo";"Medio";"Alto";"Muy alto"}),"")</f>
        <v/>
      </c>
      <c r="V2256" s="13">
        <f>IFERROR(INDEX(MgAmenFrec,MATCH(SUBSTITUTE($H2256,"*","-"),MgAmenClave,0)),"")</f>
        <v/>
      </c>
      <c r="W2256" s="28">
        <f>IFERROR(LOOKUP(X2256,{0;0.01;0.1;1;10;100},{"Muy baja";"Muy baja";"Baja";"Media";"Alta";"Muy alta"}),"")</f>
        <v/>
      </c>
      <c r="X2256" s="31">
        <f>IFERROR(VLOOKUP(V2256,MgFrec,2,0),0)</f>
        <v/>
      </c>
      <c r="Y2256" s="30">
        <f>T2256*X2256</f>
        <v/>
      </c>
      <c r="Z2256" s="28">
        <f>IFERROR(LOOKUP(Y2256,{0;0.5;5;25},{"Bajo";"Medio";"Alto";"Crítico"}),"")</f>
        <v/>
      </c>
      <c r="AA2256" s="64">
        <f>IF(T2256&gt;=3,IF(X2256&gt;=1,"Zona 1 — Crítica: impacto alto y ocurre al menos una vez al año","Zona 4 — Catastrófica poco probable: impacto alto pero excepcional"),IF(AND(T2256&lt;1.5,X2256&lt;1),"Zona 3 — Asumible: impacto bajo y muy poco frecuente","Zona 2 — Atención: riesgo intermedio"))</f>
        <v/>
      </c>
      <c r="AB2256" s="64">
        <f>IFERROR(INDEX(MgAmenCtrl,MATCH(SUBSTITUTE($H2256,"*","-"),MgAmenClave,0)),"")</f>
        <v/>
      </c>
      <c r="AC2256" s="20" t="n"/>
      <c r="AD2256" s="31">
        <f>IFERROR($X2256*(1-IF($AC2256="",$AL2256,VLOOKUP($AC2256,MgMad,2,0))),"")</f>
        <v/>
      </c>
      <c r="AE2256" s="28">
        <f>IFERROR(LOOKUP(AD2256,{0;0.01;0.1;1;10;100},{"Muy baja";"Muy baja";"Baja";"Media";"Alta";"Muy alta"}),"")</f>
        <v/>
      </c>
      <c r="AF2256" s="30">
        <f>T2256*AD2256</f>
        <v/>
      </c>
      <c r="AG2256" s="28">
        <f>IFERROR(LOOKUP(AF2256,{0;0.5;5;25},{"Bajo";"Medio";"Alto";"Crítico"}),"")</f>
        <v/>
      </c>
      <c r="AH2256" s="28">
        <f>IF(AG2256="","",IF(OR(AG2256="Crítico",AG2256="Alto"),"Mitigar",IF(AG2256="Medio","Mitigar","Aceptar y monitorear")))</f>
        <v/>
      </c>
      <c r="AI2256" s="21" t="n"/>
      <c r="AJ2256" s="21" t="n"/>
      <c r="AK2256" s="20" t="n"/>
      <c r="AL2256" s="77">
        <f>IFERROR(INDEX(MgAmenEfic,MATCH(SUBSTITUTE($H2256,"*","-"),MgAmenClave,0)),0)</f>
        <v/>
      </c>
    </row>
    <row r="2257" hidden="1" ht="90" customHeight="1" s="54">
      <c r="B2257" s="59" t="inlineStr">
        <is>
          <t>R-2252</t>
        </is>
      </c>
      <c r="C2257" s="59" t="inlineStr">
        <is>
          <t>FIN-26</t>
        </is>
      </c>
      <c r="D2257" s="64">
        <f>IFERROR(INDEX(MgNombre,MATCH($C2257,MgActId,0)),"")</f>
        <v/>
      </c>
      <c r="E2257" s="64">
        <f>IFERROR(INDEX(MgProceso,MATCH($C2257,MgActId,0)),"")</f>
        <v/>
      </c>
      <c r="F2257" s="64">
        <f>IFERROR(INDEX(MgTipo,MATCH($C2257,MgActId,0)),"")</f>
        <v/>
      </c>
      <c r="G2257" s="64">
        <f>IFERROR(INDEX(MgSubtipo,MATCH($C2257,MgActId,0)),"")</f>
        <v/>
      </c>
      <c r="H2257" s="59" t="inlineStr">
        <is>
          <t>A.13</t>
        </is>
      </c>
      <c r="I2257" s="64">
        <f>IFERROR(INDEX(MgAmenNombre,MATCH(SUBSTITUTE($H2257,"*","-"),MgAmenClave,0)),"")</f>
        <v/>
      </c>
      <c r="J2257" s="28">
        <f>IFERROR(INDEX(MgAmenGrupo,MATCH(SUBSTITUTE($H2257,"*","-"),MgAmenClave,0)),"")</f>
        <v/>
      </c>
      <c r="K2257" s="64">
        <f>IFERROR(INDEX('1. Matriz de Activos'!$Q$6:$Q$239,MATCH($C2257,MgActId,0)),"")</f>
        <v/>
      </c>
      <c r="L2257" s="64">
        <f>IFERROR(INDEX('1. Matriz de Activos'!$R$6:$R$239,MATCH($C2257,MgActId,0)),"")</f>
        <v/>
      </c>
      <c r="M2257" s="64">
        <f>IFERROR(INDEX('1. Matriz de Activos'!$S$6:$S$239,MATCH($C2257,MgActId,0)),"")</f>
        <v/>
      </c>
      <c r="N2257" s="28">
        <f>IFERROR(INDEX(MgAmenDegD,MATCH(SUBSTITUTE($H2257,"*","-"),MgAmenClave,0)),"No aplica")</f>
        <v/>
      </c>
      <c r="O2257" s="28">
        <f>IFERROR(INDEX(MgAmenDegI,MATCH(SUBSTITUTE($H2257,"*","-"),MgAmenClave,0)),"No aplica")</f>
        <v/>
      </c>
      <c r="P2257" s="28">
        <f>IFERROR(INDEX(MgAmenDegC,MATCH(SUBSTITUTE($H2257,"*","-"),MgAmenClave,0)),"No aplica")</f>
        <v/>
      </c>
      <c r="Q2257" s="29">
        <f>IFERROR(VLOOKUP(K2257,MgValor,2,0)*VLOOKUP(N2257,MgDeg,2,0),0)</f>
        <v/>
      </c>
      <c r="R2257" s="29">
        <f>IFERROR(VLOOKUP(L2257,MgValor,2,0)*VLOOKUP(O2257,MgDeg,2,0),0)</f>
        <v/>
      </c>
      <c r="S2257" s="29">
        <f>IFERROR(VLOOKUP(M2257,MgValor,2,0)*VLOOKUP(P2257,MgDeg,2,0),0)</f>
        <v/>
      </c>
      <c r="T2257" s="30">
        <f>MAX(Q2257:S2257)</f>
        <v/>
      </c>
      <c r="U2257" s="28">
        <f>IFERROR(LOOKUP(T2257,{0;0.5;1.5;3;4.5},{"Despreciable";"Bajo";"Medio";"Alto";"Muy alto"}),"")</f>
        <v/>
      </c>
      <c r="V2257" s="13">
        <f>IFERROR(INDEX(MgAmenFrec,MATCH(SUBSTITUTE($H2257,"*","-"),MgAmenClave,0)),"")</f>
        <v/>
      </c>
      <c r="W2257" s="28">
        <f>IFERROR(LOOKUP(X2257,{0;0.01;0.1;1;10;100},{"Muy baja";"Muy baja";"Baja";"Media";"Alta";"Muy alta"}),"")</f>
        <v/>
      </c>
      <c r="X2257" s="31">
        <f>IFERROR(VLOOKUP(V2257,MgFrec,2,0),0)</f>
        <v/>
      </c>
      <c r="Y2257" s="30">
        <f>T2257*X2257</f>
        <v/>
      </c>
      <c r="Z2257" s="28">
        <f>IFERROR(LOOKUP(Y2257,{0;0.5;5;25},{"Bajo";"Medio";"Alto";"Crítico"}),"")</f>
        <v/>
      </c>
      <c r="AA2257" s="64">
        <f>IF(T2257&gt;=3,IF(X2257&gt;=1,"Zona 1 — Crítica: impacto alto y ocurre al menos una vez al año","Zona 4 — Catastrófica poco probable: impacto alto pero excepcional"),IF(AND(T2257&lt;1.5,X2257&lt;1),"Zona 3 — Asumible: impacto bajo y muy poco frecuente","Zona 2 — Atención: riesgo intermedio"))</f>
        <v/>
      </c>
      <c r="AB2257" s="64">
        <f>IFERROR(INDEX(MgAmenCtrl,MATCH(SUBSTITUTE($H2257,"*","-"),MgAmenClave,0)),"")</f>
        <v/>
      </c>
      <c r="AC2257" s="20" t="n"/>
      <c r="AD2257" s="31">
        <f>IFERROR($X2257*(1-IF($AC2257="",$AL2257,VLOOKUP($AC2257,MgMad,2,0))),"")</f>
        <v/>
      </c>
      <c r="AE2257" s="28">
        <f>IFERROR(LOOKUP(AD2257,{0;0.01;0.1;1;10;100},{"Muy baja";"Muy baja";"Baja";"Media";"Alta";"Muy alta"}),"")</f>
        <v/>
      </c>
      <c r="AF2257" s="30">
        <f>T2257*AD2257</f>
        <v/>
      </c>
      <c r="AG2257" s="28">
        <f>IFERROR(LOOKUP(AF2257,{0;0.5;5;25},{"Bajo";"Medio";"Alto";"Crítico"}),"")</f>
        <v/>
      </c>
      <c r="AH2257" s="28">
        <f>IF(AG2257="","",IF(OR(AG2257="Crítico",AG2257="Alto"),"Mitigar",IF(AG2257="Medio","Mitigar","Aceptar y monitorear")))</f>
        <v/>
      </c>
      <c r="AI2257" s="21" t="n"/>
      <c r="AJ2257" s="21" t="n"/>
      <c r="AK2257" s="20" t="n"/>
      <c r="AL2257" s="77">
        <f>IFERROR(INDEX(MgAmenEfic,MATCH(SUBSTITUTE($H2257,"*","-"),MgAmenClave,0)),0)</f>
        <v/>
      </c>
    </row>
    <row r="2258" hidden="1" ht="60" customHeight="1" s="54">
      <c r="B2258" s="59" t="inlineStr">
        <is>
          <t>R-2253</t>
        </is>
      </c>
      <c r="C2258" s="59" t="inlineStr">
        <is>
          <t>FIN-26</t>
        </is>
      </c>
      <c r="D2258" s="64">
        <f>IFERROR(INDEX(MgNombre,MATCH($C2258,MgActId,0)),"")</f>
        <v/>
      </c>
      <c r="E2258" s="64">
        <f>IFERROR(INDEX(MgProceso,MATCH($C2258,MgActId,0)),"")</f>
        <v/>
      </c>
      <c r="F2258" s="64">
        <f>IFERROR(INDEX(MgTipo,MATCH($C2258,MgActId,0)),"")</f>
        <v/>
      </c>
      <c r="G2258" s="64">
        <f>IFERROR(INDEX(MgSubtipo,MATCH($C2258,MgActId,0)),"")</f>
        <v/>
      </c>
      <c r="H2258" s="59" t="inlineStr">
        <is>
          <t>A.15</t>
        </is>
      </c>
      <c r="I2258" s="64">
        <f>IFERROR(INDEX(MgAmenNombre,MATCH(SUBSTITUTE($H2258,"*","-"),MgAmenClave,0)),"")</f>
        <v/>
      </c>
      <c r="J2258" s="28">
        <f>IFERROR(INDEX(MgAmenGrupo,MATCH(SUBSTITUTE($H2258,"*","-"),MgAmenClave,0)),"")</f>
        <v/>
      </c>
      <c r="K2258" s="64">
        <f>IFERROR(INDEX('1. Matriz de Activos'!$Q$6:$Q$239,MATCH($C2258,MgActId,0)),"")</f>
        <v/>
      </c>
      <c r="L2258" s="64">
        <f>IFERROR(INDEX('1. Matriz de Activos'!$R$6:$R$239,MATCH($C2258,MgActId,0)),"")</f>
        <v/>
      </c>
      <c r="M2258" s="64">
        <f>IFERROR(INDEX('1. Matriz de Activos'!$S$6:$S$239,MATCH($C2258,MgActId,0)),"")</f>
        <v/>
      </c>
      <c r="N2258" s="28">
        <f>IFERROR(INDEX(MgAmenDegD,MATCH(SUBSTITUTE($H2258,"*","-"),MgAmenClave,0)),"No aplica")</f>
        <v/>
      </c>
      <c r="O2258" s="28">
        <f>IFERROR(INDEX(MgAmenDegI,MATCH(SUBSTITUTE($H2258,"*","-"),MgAmenClave,0)),"No aplica")</f>
        <v/>
      </c>
      <c r="P2258" s="28">
        <f>IFERROR(INDEX(MgAmenDegC,MATCH(SUBSTITUTE($H2258,"*","-"),MgAmenClave,0)),"No aplica")</f>
        <v/>
      </c>
      <c r="Q2258" s="29">
        <f>IFERROR(VLOOKUP(K2258,MgValor,2,0)*VLOOKUP(N2258,MgDeg,2,0),0)</f>
        <v/>
      </c>
      <c r="R2258" s="29">
        <f>IFERROR(VLOOKUP(L2258,MgValor,2,0)*VLOOKUP(O2258,MgDeg,2,0),0)</f>
        <v/>
      </c>
      <c r="S2258" s="29">
        <f>IFERROR(VLOOKUP(M2258,MgValor,2,0)*VLOOKUP(P2258,MgDeg,2,0),0)</f>
        <v/>
      </c>
      <c r="T2258" s="30">
        <f>MAX(Q2258:S2258)</f>
        <v/>
      </c>
      <c r="U2258" s="28">
        <f>IFERROR(LOOKUP(T2258,{0;0.5;1.5;3;4.5},{"Despreciable";"Bajo";"Medio";"Alto";"Muy alto"}),"")</f>
        <v/>
      </c>
      <c r="V2258" s="13">
        <f>IFERROR(INDEX(MgAmenFrec,MATCH(SUBSTITUTE($H2258,"*","-"),MgAmenClave,0)),"")</f>
        <v/>
      </c>
      <c r="W2258" s="28">
        <f>IFERROR(LOOKUP(X2258,{0;0.01;0.1;1;10;100},{"Muy baja";"Muy baja";"Baja";"Media";"Alta";"Muy alta"}),"")</f>
        <v/>
      </c>
      <c r="X2258" s="31">
        <f>IFERROR(VLOOKUP(V2258,MgFrec,2,0),0)</f>
        <v/>
      </c>
      <c r="Y2258" s="30">
        <f>T2258*X2258</f>
        <v/>
      </c>
      <c r="Z2258" s="28">
        <f>IFERROR(LOOKUP(Y2258,{0;0.5;5;25},{"Bajo";"Medio";"Alto";"Crítico"}),"")</f>
        <v/>
      </c>
      <c r="AA2258" s="64">
        <f>IF(T2258&gt;=3,IF(X2258&gt;=1,"Zona 1 — Crítica: impacto alto y ocurre al menos una vez al año","Zona 4 — Catastrófica poco probable: impacto alto pero excepcional"),IF(AND(T2258&lt;1.5,X2258&lt;1),"Zona 3 — Asumible: impacto bajo y muy poco frecuente","Zona 2 — Atención: riesgo intermedio"))</f>
        <v/>
      </c>
      <c r="AB2258" s="64">
        <f>IFERROR(INDEX(MgAmenCtrl,MATCH(SUBSTITUTE($H2258,"*","-"),MgAmenClave,0)),"")</f>
        <v/>
      </c>
      <c r="AC2258" s="20" t="n"/>
      <c r="AD2258" s="31">
        <f>IFERROR($X2258*(1-IF($AC2258="",$AL2258,VLOOKUP($AC2258,MgMad,2,0))),"")</f>
        <v/>
      </c>
      <c r="AE2258" s="28">
        <f>IFERROR(LOOKUP(AD2258,{0;0.01;0.1;1;10;100},{"Muy baja";"Muy baja";"Baja";"Media";"Alta";"Muy alta"}),"")</f>
        <v/>
      </c>
      <c r="AF2258" s="30">
        <f>T2258*AD2258</f>
        <v/>
      </c>
      <c r="AG2258" s="28">
        <f>IFERROR(LOOKUP(AF2258,{0;0.5;5;25},{"Bajo";"Medio";"Alto";"Crítico"}),"")</f>
        <v/>
      </c>
      <c r="AH2258" s="28">
        <f>IF(AG2258="","",IF(OR(AG2258="Crítico",AG2258="Alto"),"Mitigar",IF(AG2258="Medio","Mitigar","Aceptar y monitorear")))</f>
        <v/>
      </c>
      <c r="AI2258" s="21" t="n"/>
      <c r="AJ2258" s="21" t="n"/>
      <c r="AK2258" s="20" t="n"/>
      <c r="AL2258" s="77">
        <f>IFERROR(INDEX(MgAmenEfic,MATCH(SUBSTITUTE($H2258,"*","-"),MgAmenClave,0)),0)</f>
        <v/>
      </c>
    </row>
    <row r="2259" hidden="1" ht="60" customHeight="1" s="54">
      <c r="B2259" s="59" t="inlineStr">
        <is>
          <t>R-2254</t>
        </is>
      </c>
      <c r="C2259" s="59" t="inlineStr">
        <is>
          <t>FIN-26</t>
        </is>
      </c>
      <c r="D2259" s="64">
        <f>IFERROR(INDEX(MgNombre,MATCH($C2259,MgActId,0)),"")</f>
        <v/>
      </c>
      <c r="E2259" s="64">
        <f>IFERROR(INDEX(MgProceso,MATCH($C2259,MgActId,0)),"")</f>
        <v/>
      </c>
      <c r="F2259" s="64">
        <f>IFERROR(INDEX(MgTipo,MATCH($C2259,MgActId,0)),"")</f>
        <v/>
      </c>
      <c r="G2259" s="64">
        <f>IFERROR(INDEX(MgSubtipo,MATCH($C2259,MgActId,0)),"")</f>
        <v/>
      </c>
      <c r="H2259" s="59" t="inlineStr">
        <is>
          <t>A.18</t>
        </is>
      </c>
      <c r="I2259" s="64">
        <f>IFERROR(INDEX(MgAmenNombre,MATCH(SUBSTITUTE($H2259,"*","-"),MgAmenClave,0)),"")</f>
        <v/>
      </c>
      <c r="J2259" s="28">
        <f>IFERROR(INDEX(MgAmenGrupo,MATCH(SUBSTITUTE($H2259,"*","-"),MgAmenClave,0)),"")</f>
        <v/>
      </c>
      <c r="K2259" s="64">
        <f>IFERROR(INDEX('1. Matriz de Activos'!$Q$6:$Q$239,MATCH($C2259,MgActId,0)),"")</f>
        <v/>
      </c>
      <c r="L2259" s="64">
        <f>IFERROR(INDEX('1. Matriz de Activos'!$R$6:$R$239,MATCH($C2259,MgActId,0)),"")</f>
        <v/>
      </c>
      <c r="M2259" s="64">
        <f>IFERROR(INDEX('1. Matriz de Activos'!$S$6:$S$239,MATCH($C2259,MgActId,0)),"")</f>
        <v/>
      </c>
      <c r="N2259" s="28">
        <f>IFERROR(INDEX(MgAmenDegD,MATCH(SUBSTITUTE($H2259,"*","-"),MgAmenClave,0)),"No aplica")</f>
        <v/>
      </c>
      <c r="O2259" s="28">
        <f>IFERROR(INDEX(MgAmenDegI,MATCH(SUBSTITUTE($H2259,"*","-"),MgAmenClave,0)),"No aplica")</f>
        <v/>
      </c>
      <c r="P2259" s="28">
        <f>IFERROR(INDEX(MgAmenDegC,MATCH(SUBSTITUTE($H2259,"*","-"),MgAmenClave,0)),"No aplica")</f>
        <v/>
      </c>
      <c r="Q2259" s="29">
        <f>IFERROR(VLOOKUP(K2259,MgValor,2,0)*VLOOKUP(N2259,MgDeg,2,0),0)</f>
        <v/>
      </c>
      <c r="R2259" s="29">
        <f>IFERROR(VLOOKUP(L2259,MgValor,2,0)*VLOOKUP(O2259,MgDeg,2,0),0)</f>
        <v/>
      </c>
      <c r="S2259" s="29">
        <f>IFERROR(VLOOKUP(M2259,MgValor,2,0)*VLOOKUP(P2259,MgDeg,2,0),0)</f>
        <v/>
      </c>
      <c r="T2259" s="30">
        <f>MAX(Q2259:S2259)</f>
        <v/>
      </c>
      <c r="U2259" s="28">
        <f>IFERROR(LOOKUP(T2259,{0;0.5;1.5;3;4.5},{"Despreciable";"Bajo";"Medio";"Alto";"Muy alto"}),"")</f>
        <v/>
      </c>
      <c r="V2259" s="13">
        <f>IFERROR(INDEX(MgAmenFrec,MATCH(SUBSTITUTE($H2259,"*","-"),MgAmenClave,0)),"")</f>
        <v/>
      </c>
      <c r="W2259" s="28">
        <f>IFERROR(LOOKUP(X2259,{0;0.01;0.1;1;10;100},{"Muy baja";"Muy baja";"Baja";"Media";"Alta";"Muy alta"}),"")</f>
        <v/>
      </c>
      <c r="X2259" s="31">
        <f>IFERROR(VLOOKUP(V2259,MgFrec,2,0),0)</f>
        <v/>
      </c>
      <c r="Y2259" s="30">
        <f>T2259*X2259</f>
        <v/>
      </c>
      <c r="Z2259" s="28">
        <f>IFERROR(LOOKUP(Y2259,{0;0.5;5;25},{"Bajo";"Medio";"Alto";"Crítico"}),"")</f>
        <v/>
      </c>
      <c r="AA2259" s="64">
        <f>IF(T2259&gt;=3,IF(X2259&gt;=1,"Zona 1 — Crítica: impacto alto y ocurre al menos una vez al año","Zona 4 — Catastrófica poco probable: impacto alto pero excepcional"),IF(AND(T2259&lt;1.5,X2259&lt;1),"Zona 3 — Asumible: impacto bajo y muy poco frecuente","Zona 2 — Atención: riesgo intermedio"))</f>
        <v/>
      </c>
      <c r="AB2259" s="64">
        <f>IFERROR(INDEX(MgAmenCtrl,MATCH(SUBSTITUTE($H2259,"*","-"),MgAmenClave,0)),"")</f>
        <v/>
      </c>
      <c r="AC2259" s="20" t="n"/>
      <c r="AD2259" s="31">
        <f>IFERROR($X2259*(1-IF($AC2259="",$AL2259,VLOOKUP($AC2259,MgMad,2,0))),"")</f>
        <v/>
      </c>
      <c r="AE2259" s="28">
        <f>IFERROR(LOOKUP(AD2259,{0;0.01;0.1;1;10;100},{"Muy baja";"Muy baja";"Baja";"Media";"Alta";"Muy alta"}),"")</f>
        <v/>
      </c>
      <c r="AF2259" s="30">
        <f>T2259*AD2259</f>
        <v/>
      </c>
      <c r="AG2259" s="28">
        <f>IFERROR(LOOKUP(AF2259,{0;0.5;5;25},{"Bajo";"Medio";"Alto";"Crítico"}),"")</f>
        <v/>
      </c>
      <c r="AH2259" s="28">
        <f>IF(AG2259="","",IF(OR(AG2259="Crítico",AG2259="Alto"),"Mitigar",IF(AG2259="Medio","Mitigar","Aceptar y monitorear")))</f>
        <v/>
      </c>
      <c r="AI2259" s="21" t="n"/>
      <c r="AJ2259" s="21" t="n"/>
      <c r="AK2259" s="20" t="n"/>
      <c r="AL2259" s="77">
        <f>IFERROR(INDEX(MgAmenEfic,MATCH(SUBSTITUTE($H2259,"*","-"),MgAmenClave,0)),0)</f>
        <v/>
      </c>
    </row>
    <row r="2260" hidden="1" ht="120" customHeight="1" s="54">
      <c r="B2260" s="59" t="inlineStr">
        <is>
          <t>R-2255</t>
        </is>
      </c>
      <c r="C2260" s="59" t="inlineStr">
        <is>
          <t>FIN-26</t>
        </is>
      </c>
      <c r="D2260" s="64">
        <f>IFERROR(INDEX(MgNombre,MATCH($C2260,MgActId,0)),"")</f>
        <v/>
      </c>
      <c r="E2260" s="64">
        <f>IFERROR(INDEX(MgProceso,MATCH($C2260,MgActId,0)),"")</f>
        <v/>
      </c>
      <c r="F2260" s="64">
        <f>IFERROR(INDEX(MgTipo,MATCH($C2260,MgActId,0)),"")</f>
        <v/>
      </c>
      <c r="G2260" s="64">
        <f>IFERROR(INDEX(MgSubtipo,MATCH($C2260,MgActId,0)),"")</f>
        <v/>
      </c>
      <c r="H2260" s="59" t="inlineStr">
        <is>
          <t>A.19</t>
        </is>
      </c>
      <c r="I2260" s="64">
        <f>IFERROR(INDEX(MgAmenNombre,MATCH(SUBSTITUTE($H2260,"*","-"),MgAmenClave,0)),"")</f>
        <v/>
      </c>
      <c r="J2260" s="28">
        <f>IFERROR(INDEX(MgAmenGrupo,MATCH(SUBSTITUTE($H2260,"*","-"),MgAmenClave,0)),"")</f>
        <v/>
      </c>
      <c r="K2260" s="64">
        <f>IFERROR(INDEX('1. Matriz de Activos'!$Q$6:$Q$239,MATCH($C2260,MgActId,0)),"")</f>
        <v/>
      </c>
      <c r="L2260" s="64">
        <f>IFERROR(INDEX('1. Matriz de Activos'!$R$6:$R$239,MATCH($C2260,MgActId,0)),"")</f>
        <v/>
      </c>
      <c r="M2260" s="64">
        <f>IFERROR(INDEX('1. Matriz de Activos'!$S$6:$S$239,MATCH($C2260,MgActId,0)),"")</f>
        <v/>
      </c>
      <c r="N2260" s="28">
        <f>IFERROR(INDEX(MgAmenDegD,MATCH(SUBSTITUTE($H2260,"*","-"),MgAmenClave,0)),"No aplica")</f>
        <v/>
      </c>
      <c r="O2260" s="28">
        <f>IFERROR(INDEX(MgAmenDegI,MATCH(SUBSTITUTE($H2260,"*","-"),MgAmenClave,0)),"No aplica")</f>
        <v/>
      </c>
      <c r="P2260" s="28">
        <f>IFERROR(INDEX(MgAmenDegC,MATCH(SUBSTITUTE($H2260,"*","-"),MgAmenClave,0)),"No aplica")</f>
        <v/>
      </c>
      <c r="Q2260" s="29">
        <f>IFERROR(VLOOKUP(K2260,MgValor,2,0)*VLOOKUP(N2260,MgDeg,2,0),0)</f>
        <v/>
      </c>
      <c r="R2260" s="29">
        <f>IFERROR(VLOOKUP(L2260,MgValor,2,0)*VLOOKUP(O2260,MgDeg,2,0),0)</f>
        <v/>
      </c>
      <c r="S2260" s="29">
        <f>IFERROR(VLOOKUP(M2260,MgValor,2,0)*VLOOKUP(P2260,MgDeg,2,0),0)</f>
        <v/>
      </c>
      <c r="T2260" s="30">
        <f>MAX(Q2260:S2260)</f>
        <v/>
      </c>
      <c r="U2260" s="28">
        <f>IFERROR(LOOKUP(T2260,{0;0.5;1.5;3;4.5},{"Despreciable";"Bajo";"Medio";"Alto";"Muy alto"}),"")</f>
        <v/>
      </c>
      <c r="V2260" s="13">
        <f>IFERROR(INDEX(MgAmenFrec,MATCH(SUBSTITUTE($H2260,"*","-"),MgAmenClave,0)),"")</f>
        <v/>
      </c>
      <c r="W2260" s="28">
        <f>IFERROR(LOOKUP(X2260,{0;0.01;0.1;1;10;100},{"Muy baja";"Muy baja";"Baja";"Media";"Alta";"Muy alta"}),"")</f>
        <v/>
      </c>
      <c r="X2260" s="31">
        <f>IFERROR(VLOOKUP(V2260,MgFrec,2,0),0)</f>
        <v/>
      </c>
      <c r="Y2260" s="30">
        <f>T2260*X2260</f>
        <v/>
      </c>
      <c r="Z2260" s="28">
        <f>IFERROR(LOOKUP(Y2260,{0;0.5;5;25},{"Bajo";"Medio";"Alto";"Crítico"}),"")</f>
        <v/>
      </c>
      <c r="AA2260" s="64">
        <f>IF(T2260&gt;=3,IF(X2260&gt;=1,"Zona 1 — Crítica: impacto alto y ocurre al menos una vez al año","Zona 4 — Catastrófica poco probable: impacto alto pero excepcional"),IF(AND(T2260&lt;1.5,X2260&lt;1),"Zona 3 — Asumible: impacto bajo y muy poco frecuente","Zona 2 — Atención: riesgo intermedio"))</f>
        <v/>
      </c>
      <c r="AB2260" s="64">
        <f>IFERROR(INDEX(MgAmenCtrl,MATCH(SUBSTITUTE($H2260,"*","-"),MgAmenClave,0)),"")</f>
        <v/>
      </c>
      <c r="AC2260" s="20" t="n"/>
      <c r="AD2260" s="31">
        <f>IFERROR($X2260*(1-IF($AC2260="",$AL2260,VLOOKUP($AC2260,MgMad,2,0))),"")</f>
        <v/>
      </c>
      <c r="AE2260" s="28">
        <f>IFERROR(LOOKUP(AD2260,{0;0.01;0.1;1;10;100},{"Muy baja";"Muy baja";"Baja";"Media";"Alta";"Muy alta"}),"")</f>
        <v/>
      </c>
      <c r="AF2260" s="30">
        <f>T2260*AD2260</f>
        <v/>
      </c>
      <c r="AG2260" s="28">
        <f>IFERROR(LOOKUP(AF2260,{0;0.5;5;25},{"Bajo";"Medio";"Alto";"Crítico"}),"")</f>
        <v/>
      </c>
      <c r="AH2260" s="28">
        <f>IF(AG2260="","",IF(OR(AG2260="Crítico",AG2260="Alto"),"Mitigar",IF(AG2260="Medio","Mitigar","Aceptar y monitorear")))</f>
        <v/>
      </c>
      <c r="AI2260" s="21" t="n"/>
      <c r="AJ2260" s="21" t="n"/>
      <c r="AK2260" s="20" t="n"/>
      <c r="AL2260" s="77">
        <f>IFERROR(INDEX(MgAmenEfic,MATCH(SUBSTITUTE($H2260,"*","-"),MgAmenClave,0)),0)</f>
        <v/>
      </c>
    </row>
    <row r="2261" hidden="1" ht="60" customHeight="1" s="54">
      <c r="B2261" s="59" t="inlineStr">
        <is>
          <t>R-2256</t>
        </is>
      </c>
      <c r="C2261" s="59" t="inlineStr">
        <is>
          <t>FIN-26</t>
        </is>
      </c>
      <c r="D2261" s="64">
        <f>IFERROR(INDEX(MgNombre,MATCH($C2261,MgActId,0)),"")</f>
        <v/>
      </c>
      <c r="E2261" s="64">
        <f>IFERROR(INDEX(MgProceso,MATCH($C2261,MgActId,0)),"")</f>
        <v/>
      </c>
      <c r="F2261" s="64">
        <f>IFERROR(INDEX(MgTipo,MATCH($C2261,MgActId,0)),"")</f>
        <v/>
      </c>
      <c r="G2261" s="64">
        <f>IFERROR(INDEX(MgSubtipo,MATCH($C2261,MgActId,0)),"")</f>
        <v/>
      </c>
      <c r="H2261" s="59" t="inlineStr">
        <is>
          <t>A.24</t>
        </is>
      </c>
      <c r="I2261" s="64">
        <f>IFERROR(INDEX(MgAmenNombre,MATCH(SUBSTITUTE($H2261,"*","-"),MgAmenClave,0)),"")</f>
        <v/>
      </c>
      <c r="J2261" s="28">
        <f>IFERROR(INDEX(MgAmenGrupo,MATCH(SUBSTITUTE($H2261,"*","-"),MgAmenClave,0)),"")</f>
        <v/>
      </c>
      <c r="K2261" s="64">
        <f>IFERROR(INDEX('1. Matriz de Activos'!$Q$6:$Q$239,MATCH($C2261,MgActId,0)),"")</f>
        <v/>
      </c>
      <c r="L2261" s="64">
        <f>IFERROR(INDEX('1. Matriz de Activos'!$R$6:$R$239,MATCH($C2261,MgActId,0)),"")</f>
        <v/>
      </c>
      <c r="M2261" s="64">
        <f>IFERROR(INDEX('1. Matriz de Activos'!$S$6:$S$239,MATCH($C2261,MgActId,0)),"")</f>
        <v/>
      </c>
      <c r="N2261" s="28">
        <f>IFERROR(INDEX(MgAmenDegD,MATCH(SUBSTITUTE($H2261,"*","-"),MgAmenClave,0)),"No aplica")</f>
        <v/>
      </c>
      <c r="O2261" s="28">
        <f>IFERROR(INDEX(MgAmenDegI,MATCH(SUBSTITUTE($H2261,"*","-"),MgAmenClave,0)),"No aplica")</f>
        <v/>
      </c>
      <c r="P2261" s="28">
        <f>IFERROR(INDEX(MgAmenDegC,MATCH(SUBSTITUTE($H2261,"*","-"),MgAmenClave,0)),"No aplica")</f>
        <v/>
      </c>
      <c r="Q2261" s="29">
        <f>IFERROR(VLOOKUP(K2261,MgValor,2,0)*VLOOKUP(N2261,MgDeg,2,0),0)</f>
        <v/>
      </c>
      <c r="R2261" s="29">
        <f>IFERROR(VLOOKUP(L2261,MgValor,2,0)*VLOOKUP(O2261,MgDeg,2,0),0)</f>
        <v/>
      </c>
      <c r="S2261" s="29">
        <f>IFERROR(VLOOKUP(M2261,MgValor,2,0)*VLOOKUP(P2261,MgDeg,2,0),0)</f>
        <v/>
      </c>
      <c r="T2261" s="30">
        <f>MAX(Q2261:S2261)</f>
        <v/>
      </c>
      <c r="U2261" s="28">
        <f>IFERROR(LOOKUP(T2261,{0;0.5;1.5;3;4.5},{"Despreciable";"Bajo";"Medio";"Alto";"Muy alto"}),"")</f>
        <v/>
      </c>
      <c r="V2261" s="13">
        <f>IFERROR(INDEX(MgAmenFrec,MATCH(SUBSTITUTE($H2261,"*","-"),MgAmenClave,0)),"")</f>
        <v/>
      </c>
      <c r="W2261" s="28">
        <f>IFERROR(LOOKUP(X2261,{0;0.01;0.1;1;10;100},{"Muy baja";"Muy baja";"Baja";"Media";"Alta";"Muy alta"}),"")</f>
        <v/>
      </c>
      <c r="X2261" s="31">
        <f>IFERROR(VLOOKUP(V2261,MgFrec,2,0),0)</f>
        <v/>
      </c>
      <c r="Y2261" s="30">
        <f>T2261*X2261</f>
        <v/>
      </c>
      <c r="Z2261" s="28">
        <f>IFERROR(LOOKUP(Y2261,{0;0.5;5;25},{"Bajo";"Medio";"Alto";"Crítico"}),"")</f>
        <v/>
      </c>
      <c r="AA2261" s="64">
        <f>IF(T2261&gt;=3,IF(X2261&gt;=1,"Zona 1 — Crítica: impacto alto y ocurre al menos una vez al año","Zona 4 — Catastrófica poco probable: impacto alto pero excepcional"),IF(AND(T2261&lt;1.5,X2261&lt;1),"Zona 3 — Asumible: impacto bajo y muy poco frecuente","Zona 2 — Atención: riesgo intermedio"))</f>
        <v/>
      </c>
      <c r="AB2261" s="64">
        <f>IFERROR(INDEX(MgAmenCtrl,MATCH(SUBSTITUTE($H2261,"*","-"),MgAmenClave,0)),"")</f>
        <v/>
      </c>
      <c r="AC2261" s="20" t="n"/>
      <c r="AD2261" s="31">
        <f>IFERROR($X2261*(1-IF($AC2261="",$AL2261,VLOOKUP($AC2261,MgMad,2,0))),"")</f>
        <v/>
      </c>
      <c r="AE2261" s="28">
        <f>IFERROR(LOOKUP(AD2261,{0;0.01;0.1;1;10;100},{"Muy baja";"Muy baja";"Baja";"Media";"Alta";"Muy alta"}),"")</f>
        <v/>
      </c>
      <c r="AF2261" s="30">
        <f>T2261*AD2261</f>
        <v/>
      </c>
      <c r="AG2261" s="28">
        <f>IFERROR(LOOKUP(AF2261,{0;0.5;5;25},{"Bajo";"Medio";"Alto";"Crítico"}),"")</f>
        <v/>
      </c>
      <c r="AH2261" s="28">
        <f>IF(AG2261="","",IF(OR(AG2261="Crítico",AG2261="Alto"),"Mitigar",IF(AG2261="Medio","Mitigar","Aceptar y monitorear")))</f>
        <v/>
      </c>
      <c r="AI2261" s="21" t="n"/>
      <c r="AJ2261" s="21" t="n"/>
      <c r="AK2261" s="20" t="n"/>
      <c r="AL2261" s="77">
        <f>IFERROR(INDEX(MgAmenEfic,MATCH(SUBSTITUTE($H2261,"*","-"),MgAmenClave,0)),0)</f>
        <v/>
      </c>
    </row>
  </sheetData>
  <autoFilter ref="B5:AL2261">
    <filterColumn colId="1" hiddenButton="0" showButton="1">
      <filters>
        <filter val="COM-04"/>
      </filters>
    </filterColumn>
  </autoFilter>
  <mergeCells count="3">
    <mergeCell ref="C3:D3"/>
    <mergeCell ref="G3:H3"/>
    <mergeCell ref="E3:F3"/>
  </mergeCells>
  <conditionalFormatting sqref="K6:M2261">
    <cfRule type="expression" priority="11" dxfId="3">
      <formula>EXACT(K6,"6 — Alto: daño grave")</formula>
    </cfRule>
    <cfRule type="expression" priority="7" dxfId="4">
      <formula>EXACT(K6,"10 — Extremo: daño excepcionalmente grave")</formula>
    </cfRule>
    <cfRule type="expression" priority="8" dxfId="4">
      <formula>EXACT(K6,"9 — Muy alto: daño muy grave")</formula>
    </cfRule>
    <cfRule type="expression" priority="9" dxfId="3">
      <formula>EXACT(K6,"8 — Alto: daño grave")</formula>
    </cfRule>
    <cfRule type="expression" priority="10" dxfId="3">
      <formula>EXACT(K6,"7 — Alto: daño grave")</formula>
    </cfRule>
    <cfRule type="expression" priority="12" dxfId="2">
      <formula>EXACT(K6,"5 — Medio: daño importante")</formula>
    </cfRule>
    <cfRule type="expression" priority="13" dxfId="2">
      <formula>EXACT(K6,"4 — Medio: daño importante")</formula>
    </cfRule>
    <cfRule type="expression" priority="14" dxfId="2">
      <formula>EXACT(K6,"3 — Medio: daño importante")</formula>
    </cfRule>
    <cfRule type="expression" priority="15" dxfId="1">
      <formula>EXACT(K6,"2 — Bajo: daño menor")</formula>
    </cfRule>
    <cfRule type="expression" priority="16" dxfId="1">
      <formula>EXACT(K6,"1 — Bajo: daño menor")</formula>
    </cfRule>
    <cfRule type="expression" priority="17" dxfId="5">
      <formula>EXACT(K6,"0 — Despreciable: irrelevante en la práctica")</formula>
    </cfRule>
  </conditionalFormatting>
  <conditionalFormatting sqref="N6:P2261">
    <cfRule type="expression" priority="2" dxfId="3">
      <formula>EXACT(N6,"Alta")</formula>
    </cfRule>
    <cfRule type="expression" priority="3" dxfId="2">
      <formula>EXACT(N6,"Media")</formula>
    </cfRule>
    <cfRule type="expression" priority="4" dxfId="1">
      <formula>EXACT(N6,"Baja")</formula>
    </cfRule>
    <cfRule type="expression" priority="5" dxfId="0">
      <formula>EXACT(N6,"Muy baja")</formula>
    </cfRule>
    <cfRule type="expression" priority="1" dxfId="4">
      <formula>EXACT(N6,"Muy alta")</formula>
    </cfRule>
    <cfRule type="expression" priority="6" dxfId="5">
      <formula>EXACT(N6,"No aplica")</formula>
    </cfRule>
  </conditionalFormatting>
  <conditionalFormatting sqref="U6:U2261">
    <cfRule type="expression" priority="73" dxfId="4">
      <formula>EXACT(U6,"Muy alto")</formula>
    </cfRule>
    <cfRule type="expression" priority="69" dxfId="4">
      <formula>EXACT(U6,"Crítico")</formula>
    </cfRule>
    <cfRule type="expression" priority="70" dxfId="3">
      <formula>EXACT(U6,"Alto")</formula>
    </cfRule>
    <cfRule type="expression" priority="71" dxfId="2">
      <formula>EXACT(U6,"Medio")</formula>
    </cfRule>
    <cfRule type="expression" priority="72" dxfId="1">
      <formula>EXACT(U6,"Bajo")</formula>
    </cfRule>
    <cfRule type="expression" priority="74" dxfId="5">
      <formula>EXACT(U6,"Despreciable")</formula>
    </cfRule>
  </conditionalFormatting>
  <conditionalFormatting sqref="V6:V2261">
    <cfRule type="expression" priority="52" dxfId="4">
      <formula>EXACT(V6,"Muy alta — ocurre a diario")</formula>
    </cfRule>
    <cfRule type="expression" priority="53" dxfId="3">
      <formula>EXACT(V6,"Alta — ocurre cada mes")</formula>
    </cfRule>
    <cfRule type="expression" priority="54" dxfId="2">
      <formula>EXACT(V6,"Media — ocurre una vez al año")</formula>
    </cfRule>
    <cfRule type="expression" priority="55" dxfId="1">
      <formula>EXACT(V6,"Baja — ocurre cada varios años")</formula>
    </cfRule>
    <cfRule type="expression" priority="56" dxfId="0">
      <formula>EXACT(V6,"Muy baja — excepcional, cada muchos años")</formula>
    </cfRule>
  </conditionalFormatting>
  <conditionalFormatting sqref="Z6:Z2261">
    <cfRule type="expression" priority="57" dxfId="4">
      <formula>EXACT(Z6,"Crítico")</formula>
    </cfRule>
    <cfRule type="expression" priority="58" dxfId="3">
      <formula>EXACT(Z6,"Alto")</formula>
    </cfRule>
    <cfRule type="expression" priority="59" dxfId="2">
      <formula>EXACT(Z6,"Medio")</formula>
    </cfRule>
    <cfRule type="expression" priority="60" dxfId="1">
      <formula>EXACT(Z6,"Bajo")</formula>
    </cfRule>
    <cfRule type="expression" priority="61" dxfId="4">
      <formula>EXACT(Z6,"Muy alto")</formula>
    </cfRule>
    <cfRule type="expression" priority="62" dxfId="5">
      <formula>EXACT(Z6,"Despreciable")</formula>
    </cfRule>
  </conditionalFormatting>
  <conditionalFormatting sqref="AA6:AA2261">
    <cfRule type="expression" priority="78" dxfId="2">
      <formula>EXACT(AA6,"Zona 4 — Catastrófica poco probable: impacto alto pero excepcional")</formula>
    </cfRule>
    <cfRule type="expression" priority="75" dxfId="4">
      <formula>EXACT(AA6,"Zona 1 — Crítica: impacto alto y ocurre al menos una vez al año")</formula>
    </cfRule>
    <cfRule type="expression" priority="76" dxfId="3">
      <formula>EXACT(AA6,"Zona 2 — Atención: riesgo intermedio")</formula>
    </cfRule>
    <cfRule type="expression" priority="77" dxfId="1">
      <formula>EXACT(AA6,"Zona 3 — Asumible: impacto bajo y muy poco frecuente")</formula>
    </cfRule>
  </conditionalFormatting>
  <conditionalFormatting sqref="AG6:AG2261">
    <cfRule type="expression" priority="64" dxfId="3">
      <formula>EXACT(AG6,"Alto")</formula>
    </cfRule>
    <cfRule type="expression" priority="65" dxfId="2">
      <formula>EXACT(AG6,"Medio")</formula>
    </cfRule>
    <cfRule type="expression" priority="66" dxfId="1">
      <formula>EXACT(AG6,"Bajo")</formula>
    </cfRule>
    <cfRule type="expression" priority="67" dxfId="4">
      <formula>EXACT(AG6,"Muy alto")</formula>
    </cfRule>
    <cfRule type="expression" priority="63" dxfId="4">
      <formula>EXACT(AG6,"Crítico")</formula>
    </cfRule>
    <cfRule type="expression" priority="68" dxfId="5">
      <formula>EXACT(AG6,"Despreciable")</formula>
    </cfRule>
  </conditionalFormatting>
  <dataValidations count="3">
    <dataValidation sqref="AC6:AC2261" showDropDown="0" showInputMessage="0" showErrorMessage="0" allowBlank="1" type="list">
      <formula1>MgMadEt</formula1>
    </dataValidation>
    <dataValidation sqref="AI6:AI2261" showDropDown="0" showInputMessage="0" showErrorMessage="0" allowBlank="1" type="list">
      <formula1>LstCargo</formula1>
    </dataValidation>
    <dataValidation sqref="AJ6:AJ2261" showDropDown="0" showInputMessage="0" showErrorMessage="0" allowBlank="1" type="list">
      <formula1>LstEstado</formula1>
    </dataValidation>
  </dataValidations>
  <pageMargins left="0.75" right="0.75" top="1" bottom="1" header="0.5" footer="0.5"/>
  <headerFooter>
    <oddHeader/>
    <oddFooter>&amp;L&amp;"Aptos"&amp;10 &amp;K000000_x000d_# DOCUMENTO PRIVADO</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1:K29"/>
  <sheetViews>
    <sheetView showGridLines="0" topLeftCell="A5" workbookViewId="0">
      <selection activeCell="G9" sqref="G9"/>
    </sheetView>
  </sheetViews>
  <sheetFormatPr baseColWidth="10" defaultColWidth="8.7265625" defaultRowHeight="14.5"/>
  <cols>
    <col width="2.36328125" customWidth="1" style="54" min="1" max="1"/>
    <col width="26" customWidth="1" style="54" min="2" max="2"/>
    <col width="16" customWidth="1" style="54" min="3" max="7"/>
    <col width="20" customWidth="1" style="54" min="9" max="11"/>
  </cols>
  <sheetData>
    <row r="1" ht="21.5" customHeight="1" s="54">
      <c r="B1" s="1" t="inlineStr">
        <is>
          <t>MATRICES DE RIESGO INHERENTE Y RESIDUAL</t>
        </is>
      </c>
    </row>
    <row r="2" ht="15" customHeight="1" s="54">
      <c r="B2" s="2" t="inlineStr">
        <is>
          <t>Distribución de los riesgos según su nivel de impacto y la frecuencia con que se espera que ocurran. El color de cada casilla es el nivel de riesgo que resulta de esa combinación; el número es cuántos riesgos caen ahí.</t>
        </is>
      </c>
    </row>
    <row r="3" ht="28" customHeight="1" s="54">
      <c r="B3" s="17" t="inlineStr">
        <is>
          <t>Código de color:</t>
        </is>
      </c>
      <c r="C3" s="55" t="inlineStr">
        <is>
          <t>Amarillo = Campo de entrada — se selecciona de una lista</t>
        </is>
      </c>
      <c r="D3" s="56" t="n"/>
      <c r="E3" s="58" t="inlineStr">
        <is>
          <t>Lila = Calculado automáticamente — no escribir encima</t>
        </is>
      </c>
      <c r="F3" s="56" t="n"/>
      <c r="G3" s="57" t="inlineStr">
        <is>
          <t>Gris = Dato de la norma MAGERIT — no modificar</t>
        </is>
      </c>
      <c r="H3" s="56" t="n"/>
    </row>
    <row r="5" ht="20" customHeight="1" s="54">
      <c r="B5" s="3" t="inlineStr">
        <is>
          <t>MATRIZ DE RIESGO INHERENTE — antes de aplicar los controles</t>
        </is>
      </c>
      <c r="C5" s="4" t="n"/>
      <c r="D5" s="4" t="n"/>
      <c r="E5" s="4" t="n"/>
      <c r="F5" s="4" t="n"/>
      <c r="G5" s="4" t="n"/>
      <c r="I5" s="3" t="inlineStr">
        <is>
          <t>RECUENTO POR NIVEL DE RIESGO</t>
        </is>
      </c>
      <c r="J5" s="4" t="n"/>
      <c r="K5" s="4" t="n"/>
    </row>
    <row r="6" ht="32" customHeight="1" s="54">
      <c r="B6" s="5" t="inlineStr">
        <is>
          <t>Nivel de impacto  ↓          Frecuencia  →</t>
        </is>
      </c>
      <c r="C6" s="5" t="inlineStr">
        <is>
          <t>Muy baja</t>
        </is>
      </c>
      <c r="D6" s="5" t="inlineStr">
        <is>
          <t>Baja</t>
        </is>
      </c>
      <c r="E6" s="5" t="inlineStr">
        <is>
          <t>Media</t>
        </is>
      </c>
      <c r="F6" s="5" t="inlineStr">
        <is>
          <t>Alta</t>
        </is>
      </c>
      <c r="G6" s="5" t="inlineStr">
        <is>
          <t>Muy alta</t>
        </is>
      </c>
      <c r="I6" s="5" t="inlineStr">
        <is>
          <t>Nivel de riesgo</t>
        </is>
      </c>
      <c r="J6" s="5" t="inlineStr">
        <is>
          <t>Inherente</t>
        </is>
      </c>
      <c r="K6" s="5" t="inlineStr">
        <is>
          <t>Residual</t>
        </is>
      </c>
    </row>
    <row r="7" ht="24" customHeight="1" s="54">
      <c r="B7" s="5" t="inlineStr">
        <is>
          <t>Muy alto</t>
        </is>
      </c>
      <c r="C7" s="32">
        <f>COUNTIFS('2. Valoración '!$U$6:$U$2261,$B7,'2. Valoración '!$W$6:$W$2261,C$6)</f>
        <v/>
      </c>
      <c r="D7" s="32">
        <f>COUNTIFS('2. Valoración '!$U$6:$U$2261,$B7,'2. Valoración '!$W$6:$W$2261,D$6)</f>
        <v/>
      </c>
      <c r="E7" s="33">
        <f>COUNTIFS('2. Valoración '!$U$6:$U$2261,$B7,'2. Valoración '!$W$6:$W$2261,E$6)</f>
        <v/>
      </c>
      <c r="F7" s="34">
        <f>COUNTIFS('2. Valoración '!$U$6:$U$2261,$B7,'2. Valoración '!$W$6:$W$2261,F$6)</f>
        <v/>
      </c>
      <c r="G7" s="34">
        <f>COUNTIFS('2. Valoración '!$U$6:$U$2261,$B7,'2. Valoración '!$W$6:$W$2261,G$6)</f>
        <v/>
      </c>
      <c r="I7" s="34" t="inlineStr">
        <is>
          <t>Crítico</t>
        </is>
      </c>
      <c r="J7" s="28">
        <f>COUNTIF('2. Valoración '!$Z$6:$Z$2261,$I7)</f>
        <v/>
      </c>
      <c r="K7" s="28">
        <f>COUNTIF('2. Valoración '!$AG$6:$AG$2261,$I7)</f>
        <v/>
      </c>
    </row>
    <row r="8" ht="24" customHeight="1" s="54">
      <c r="B8" s="5" t="inlineStr">
        <is>
          <t>Alto</t>
        </is>
      </c>
      <c r="C8" s="32">
        <f>COUNTIFS('2. Valoración '!$U$6:$U$2261,$B8,'2. Valoración '!$W$6:$W$2261,C$6)</f>
        <v/>
      </c>
      <c r="D8" s="32">
        <f>COUNTIFS('2. Valoración '!$U$6:$U$2261,$B8,'2. Valoración '!$W$6:$W$2261,D$6)</f>
        <v/>
      </c>
      <c r="E8" s="33">
        <f>COUNTIFS('2. Valoración '!$U$6:$U$2261,$B8,'2. Valoración '!$W$6:$W$2261,E$6)</f>
        <v/>
      </c>
      <c r="F8" s="34">
        <f>COUNTIFS('2. Valoración '!$U$6:$U$2261,$B8,'2. Valoración '!$W$6:$W$2261,F$6)</f>
        <v/>
      </c>
      <c r="G8" s="34">
        <f>COUNTIFS('2. Valoración '!$U$6:$U$2261,$B8,'2. Valoración '!$W$6:$W$2261,G$6)</f>
        <v/>
      </c>
      <c r="I8" s="35" t="inlineStr">
        <is>
          <t>Alto</t>
        </is>
      </c>
      <c r="J8" s="28">
        <f>COUNTIF('2. Valoración '!$Z$6:$Z$2261,$I8)</f>
        <v/>
      </c>
      <c r="K8" s="28">
        <f>COUNTIF('2. Valoración '!$AG$6:$AG$2261,$I8)</f>
        <v/>
      </c>
    </row>
    <row r="9" ht="24" customHeight="1" s="54">
      <c r="B9" s="5" t="inlineStr">
        <is>
          <t>Medio</t>
        </is>
      </c>
      <c r="C9" s="32">
        <f>COUNTIFS('2. Valoración '!$U$6:$U$2261,$B9,'2. Valoración '!$W$6:$W$2261,C$6)</f>
        <v/>
      </c>
      <c r="D9" s="32">
        <f>COUNTIFS('2. Valoración '!$U$6:$U$2261,$B9,'2. Valoración '!$W$6:$W$2261,D$6)</f>
        <v/>
      </c>
      <c r="E9" s="33">
        <f>COUNTIFS('2. Valoración '!$U$6:$U$2261,$B9,'2. Valoración '!$W$6:$W$2261,E$6)</f>
        <v/>
      </c>
      <c r="F9" s="35">
        <f>COUNTIFS('2. Valoración '!$U$6:$U$2261,$B9,'2. Valoración '!$W$6:$W$2261,F$6)</f>
        <v/>
      </c>
      <c r="G9" s="34">
        <f>COUNTIFS('2. Valoración '!$U$6:$U$2261,$B9,'2. Valoración '!$W$6:$W$2261,G$6)</f>
        <v/>
      </c>
      <c r="I9" s="33" t="inlineStr">
        <is>
          <t>Medio</t>
        </is>
      </c>
      <c r="J9" s="28">
        <f>COUNTIF('2. Valoración '!$Z$6:$Z$2261,$I9)</f>
        <v/>
      </c>
      <c r="K9" s="28">
        <f>COUNTIF('2. Valoración '!$AG$6:$AG$2261,$I9)</f>
        <v/>
      </c>
    </row>
    <row r="10" ht="24" customHeight="1" s="54">
      <c r="B10" s="5" t="inlineStr">
        <is>
          <t>Bajo</t>
        </is>
      </c>
      <c r="C10" s="32">
        <f>COUNTIFS('2. Valoración '!$U$6:$U$2261,$B10,'2. Valoración '!$W$6:$W$2261,C$6)</f>
        <v/>
      </c>
      <c r="D10" s="32">
        <f>COUNTIFS('2. Valoración '!$U$6:$U$2261,$B10,'2. Valoración '!$W$6:$W$2261,D$6)</f>
        <v/>
      </c>
      <c r="E10" s="33">
        <f>COUNTIFS('2. Valoración '!$U$6:$U$2261,$B10,'2. Valoración '!$W$6:$W$2261,E$6)</f>
        <v/>
      </c>
      <c r="F10" s="35">
        <f>COUNTIFS('2. Valoración '!$U$6:$U$2261,$B10,'2. Valoración '!$W$6:$W$2261,F$6)</f>
        <v/>
      </c>
      <c r="G10" s="34">
        <f>COUNTIFS('2. Valoración '!$U$6:$U$2261,$B10,'2. Valoración '!$W$6:$W$2261,G$6)</f>
        <v/>
      </c>
      <c r="I10" s="32" t="inlineStr">
        <is>
          <t>Bajo</t>
        </is>
      </c>
      <c r="J10" s="28">
        <f>COUNTIF('2. Valoración '!$Z$6:$Z$2261,$I10)</f>
        <v/>
      </c>
      <c r="K10" s="28">
        <f>COUNTIF('2. Valoración '!$AG$6:$AG$2261,$I10)</f>
        <v/>
      </c>
    </row>
    <row r="11" ht="24" customHeight="1" s="54">
      <c r="B11" s="5" t="inlineStr">
        <is>
          <t>Despreciable</t>
        </is>
      </c>
      <c r="C11" s="32">
        <f>COUNTIFS('2. Valoración '!$U$6:$U$2261,$B11,'2. Valoración '!$W$6:$W$2261,C$6)</f>
        <v/>
      </c>
      <c r="D11" s="32">
        <f>COUNTIFS('2. Valoración '!$U$6:$U$2261,$B11,'2. Valoración '!$W$6:$W$2261,D$6)</f>
        <v/>
      </c>
      <c r="E11" s="32">
        <f>COUNTIFS('2. Valoración '!$U$6:$U$2261,$B11,'2. Valoración '!$W$6:$W$2261,E$6)</f>
        <v/>
      </c>
      <c r="F11" s="33">
        <f>COUNTIFS('2. Valoración '!$U$6:$U$2261,$B11,'2. Valoración '!$W$6:$W$2261,F$6)</f>
        <v/>
      </c>
      <c r="G11" s="34">
        <f>COUNTIFS('2. Valoración '!$U$6:$U$2261,$B11,'2. Valoración '!$W$6:$W$2261,G$6)</f>
        <v/>
      </c>
      <c r="I11" s="23" t="inlineStr">
        <is>
          <t>Total</t>
        </is>
      </c>
      <c r="J11" s="19">
        <f>SUM(J7:J10)</f>
        <v/>
      </c>
      <c r="K11" s="19">
        <f>SUM(K7:K10)</f>
        <v/>
      </c>
    </row>
    <row r="12" ht="15" customHeight="1" s="54">
      <c r="B12" s="23" t="inlineStr">
        <is>
          <t>Total</t>
        </is>
      </c>
      <c r="C12" s="19">
        <f>SUM(C7:G11)</f>
        <v/>
      </c>
    </row>
    <row r="13" ht="20" customHeight="1" s="54">
      <c r="I13" s="3" t="inlineStr">
        <is>
          <t>CRITERIO DE COLOR DE LAS CASILLAS</t>
        </is>
      </c>
      <c r="J13" s="4" t="n"/>
      <c r="K13" s="4" t="n"/>
    </row>
    <row r="14" ht="15" customHeight="1" s="54">
      <c r="I14" s="34" t="inlineStr">
        <is>
          <t>Crítico</t>
        </is>
      </c>
      <c r="J14" s="59" t="inlineStr">
        <is>
          <t>25 o más</t>
        </is>
      </c>
      <c r="K14" s="56" t="n"/>
    </row>
    <row r="15" ht="20" customHeight="1" s="54">
      <c r="B15" s="3" t="inlineStr">
        <is>
          <t>MATRIZ DE RIESGO RESIDUAL — después de aplicar los controles preventivos</t>
        </is>
      </c>
      <c r="C15" s="4" t="n"/>
      <c r="D15" s="4" t="n"/>
      <c r="E15" s="4" t="n"/>
      <c r="F15" s="4" t="n"/>
      <c r="G15" s="4" t="n"/>
      <c r="I15" s="35" t="inlineStr">
        <is>
          <t>Alto</t>
        </is>
      </c>
      <c r="J15" s="59" t="inlineStr">
        <is>
          <t>de 5 a menos de 25</t>
        </is>
      </c>
      <c r="K15" s="56" t="n"/>
    </row>
    <row r="16" ht="32" customHeight="1" s="54">
      <c r="B16" s="5" t="inlineStr">
        <is>
          <t>Nivel de impacto  ↓          Frecuencia  →</t>
        </is>
      </c>
      <c r="C16" s="5" t="inlineStr">
        <is>
          <t>Muy baja</t>
        </is>
      </c>
      <c r="D16" s="5" t="inlineStr">
        <is>
          <t>Baja</t>
        </is>
      </c>
      <c r="E16" s="5" t="inlineStr">
        <is>
          <t>Media</t>
        </is>
      </c>
      <c r="F16" s="5" t="inlineStr">
        <is>
          <t>Alta</t>
        </is>
      </c>
      <c r="G16" s="5" t="inlineStr">
        <is>
          <t>Muy alta</t>
        </is>
      </c>
      <c r="I16" s="33" t="inlineStr">
        <is>
          <t>Medio</t>
        </is>
      </c>
      <c r="J16" s="59" t="inlineStr">
        <is>
          <t>de 0,5 a menos de 5</t>
        </is>
      </c>
      <c r="K16" s="56" t="n"/>
    </row>
    <row r="17" ht="24" customHeight="1" s="54">
      <c r="B17" s="5" t="inlineStr">
        <is>
          <t>Muy alto</t>
        </is>
      </c>
      <c r="C17" s="32">
        <f>COUNTIFS('2. Valoración '!$U$6:$U$2261,$B17,'2. Valoración '!$AE$6:$AE$2261,C$16)</f>
        <v/>
      </c>
      <c r="D17" s="32">
        <f>COUNTIFS('2. Valoración '!$U$6:$U$2261,$B17,'2. Valoración '!$AE$6:$AE$2261,D$16)</f>
        <v/>
      </c>
      <c r="E17" s="33">
        <f>COUNTIFS('2. Valoración '!$U$6:$U$2261,$B17,'2. Valoración '!$AE$6:$AE$2261,E$16)</f>
        <v/>
      </c>
      <c r="F17" s="34">
        <f>COUNTIFS('2. Valoración '!$U$6:$U$2261,$B17,'2. Valoración '!$AE$6:$AE$2261,F$16)</f>
        <v/>
      </c>
      <c r="G17" s="34">
        <f>COUNTIFS('2. Valoración '!$U$6:$U$2261,$B17,'2. Valoración '!$AE$6:$AE$2261,G$16)</f>
        <v/>
      </c>
      <c r="I17" s="32" t="inlineStr">
        <is>
          <t>Bajo</t>
        </is>
      </c>
      <c r="J17" s="59" t="inlineStr">
        <is>
          <t>menos de 0,5</t>
        </is>
      </c>
      <c r="K17" s="56" t="n"/>
    </row>
    <row r="18" ht="24" customHeight="1" s="54">
      <c r="B18" s="5" t="inlineStr">
        <is>
          <t>Alto</t>
        </is>
      </c>
      <c r="C18" s="32">
        <f>COUNTIFS('2. Valoración '!$U$6:$U$2261,$B18,'2. Valoración '!$AE$6:$AE$2261,C$16)</f>
        <v/>
      </c>
      <c r="D18" s="32">
        <f>COUNTIFS('2. Valoración '!$U$6:$U$2261,$B18,'2. Valoración '!$AE$6:$AE$2261,D$16)</f>
        <v/>
      </c>
      <c r="E18" s="33">
        <f>COUNTIFS('2. Valoración '!$U$6:$U$2261,$B18,'2. Valoración '!$AE$6:$AE$2261,E$16)</f>
        <v/>
      </c>
      <c r="F18" s="34">
        <f>COUNTIFS('2. Valoración '!$U$6:$U$2261,$B18,'2. Valoración '!$AE$6:$AE$2261,F$16)</f>
        <v/>
      </c>
      <c r="G18" s="34">
        <f>COUNTIFS('2. Valoración '!$U$6:$U$2261,$B18,'2. Valoración '!$AE$6:$AE$2261,G$16)</f>
        <v/>
      </c>
    </row>
    <row r="19" ht="24" customHeight="1" s="54">
      <c r="B19" s="5" t="inlineStr">
        <is>
          <t>Medio</t>
        </is>
      </c>
      <c r="C19" s="32">
        <f>COUNTIFS('2. Valoración '!$U$6:$U$2261,$B19,'2. Valoración '!$AE$6:$AE$2261,C$16)</f>
        <v/>
      </c>
      <c r="D19" s="32">
        <f>COUNTIFS('2. Valoración '!$U$6:$U$2261,$B19,'2. Valoración '!$AE$6:$AE$2261,D$16)</f>
        <v/>
      </c>
      <c r="E19" s="33">
        <f>COUNTIFS('2. Valoración '!$U$6:$U$2261,$B19,'2. Valoración '!$AE$6:$AE$2261,E$16)</f>
        <v/>
      </c>
      <c r="F19" s="35">
        <f>COUNTIFS('2. Valoración '!$U$6:$U$2261,$B19,'2. Valoración '!$AE$6:$AE$2261,F$16)</f>
        <v/>
      </c>
      <c r="G19" s="34">
        <f>COUNTIFS('2. Valoración '!$U$6:$U$2261,$B19,'2. Valoración '!$AE$6:$AE$2261,G$16)</f>
        <v/>
      </c>
    </row>
    <row r="20" ht="24" customHeight="1" s="54">
      <c r="B20" s="5" t="inlineStr">
        <is>
          <t>Bajo</t>
        </is>
      </c>
      <c r="C20" s="32">
        <f>COUNTIFS('2. Valoración '!$U$6:$U$2261,$B20,'2. Valoración '!$AE$6:$AE$2261,C$16)</f>
        <v/>
      </c>
      <c r="D20" s="32">
        <f>COUNTIFS('2. Valoración '!$U$6:$U$2261,$B20,'2. Valoración '!$AE$6:$AE$2261,D$16)</f>
        <v/>
      </c>
      <c r="E20" s="33">
        <f>COUNTIFS('2. Valoración '!$U$6:$U$2261,$B20,'2. Valoración '!$AE$6:$AE$2261,E$16)</f>
        <v/>
      </c>
      <c r="F20" s="35">
        <f>COUNTIFS('2. Valoración '!$U$6:$U$2261,$B20,'2. Valoración '!$AE$6:$AE$2261,F$16)</f>
        <v/>
      </c>
      <c r="G20" s="34">
        <f>COUNTIFS('2. Valoración '!$U$6:$U$2261,$B20,'2. Valoración '!$AE$6:$AE$2261,G$16)</f>
        <v/>
      </c>
    </row>
    <row r="21" ht="24" customHeight="1" s="54">
      <c r="B21" s="5" t="inlineStr">
        <is>
          <t>Despreciable</t>
        </is>
      </c>
      <c r="C21" s="32">
        <f>COUNTIFS('2. Valoración '!$U$6:$U$2261,$B21,'2. Valoración '!$AE$6:$AE$2261,C$16)</f>
        <v/>
      </c>
      <c r="D21" s="32">
        <f>COUNTIFS('2. Valoración '!$U$6:$U$2261,$B21,'2. Valoración '!$AE$6:$AE$2261,D$16)</f>
        <v/>
      </c>
      <c r="E21" s="32">
        <f>COUNTIFS('2. Valoración '!$U$6:$U$2261,$B21,'2. Valoración '!$AE$6:$AE$2261,E$16)</f>
        <v/>
      </c>
      <c r="F21" s="33">
        <f>COUNTIFS('2. Valoración '!$U$6:$U$2261,$B21,'2. Valoración '!$AE$6:$AE$2261,F$16)</f>
        <v/>
      </c>
      <c r="G21" s="34">
        <f>COUNTIFS('2. Valoración '!$U$6:$U$2261,$B21,'2. Valoración '!$AE$6:$AE$2261,G$16)</f>
        <v/>
      </c>
    </row>
    <row r="22" ht="15" customHeight="1" s="54">
      <c r="B22" s="23" t="inlineStr">
        <is>
          <t>Total</t>
        </is>
      </c>
      <c r="C22" s="19">
        <f>SUM(C17:G21)</f>
        <v/>
      </c>
    </row>
    <row r="25" ht="16.5" customHeight="1" s="54">
      <c r="B25" s="3" t="inlineStr">
        <is>
          <t>Cómo leer las matrices</t>
        </is>
      </c>
      <c r="C25" s="36" t="n"/>
      <c r="D25" s="36" t="n"/>
      <c r="E25" s="36" t="n"/>
      <c r="F25" s="36" t="n"/>
      <c r="G25" s="36" t="n"/>
    </row>
    <row r="26" ht="30" customHeight="1" s="54">
      <c r="B26" s="51" t="inlineStr">
        <is>
          <t>El nivel de riesgo se obtiene multiplicando el impacto por las veces que se espera que la amenaza ocurra al año. Por eso un impacto moderado que ocurre todos los meses puede pesar más que un impacto muy alto que ocurre una vez cada cien años.</t>
        </is>
      </c>
    </row>
    <row r="27" ht="30" customHeight="1" s="54">
      <c r="B27" s="51" t="inlineStr">
        <is>
          <t>La matriz inherente muestra la situación sin ningún control. La residual muestra la misma población de riesgos después de descontar la eficacia de los controles preventivos, que actúan reduciendo la frecuencia con que la amenaza llega a materializarse.</t>
        </is>
      </c>
    </row>
    <row r="28" ht="30" customHeight="1" s="54">
      <c r="B28" s="51" t="inlineStr">
        <is>
          <t>El eje de impacto no cambia entre una matriz y otra: los controles que limitan el daño se reflejan bajando la degradación de la amenaza en la hoja «Amenazas MAGERIT», no en la eficacia. Mientras la madurez de los controles esté en «L0 — Inexistente», las dos matrices serán idénticas.</t>
        </is>
      </c>
    </row>
    <row r="29" ht="30" customHeight="1" s="54">
      <c r="B29" s="51" t="inlineStr">
        <is>
          <t>Ambas matrices se recalculan solas: cuentan directamente sobre la hoja «2. Valoración».</t>
        </is>
      </c>
    </row>
  </sheetData>
  <mergeCells count="11">
    <mergeCell ref="B28:G28"/>
    <mergeCell ref="J16:K16"/>
    <mergeCell ref="J14:K14"/>
    <mergeCell ref="J15:K15"/>
    <mergeCell ref="B27:G27"/>
    <mergeCell ref="B26:G26"/>
    <mergeCell ref="B29:G29"/>
    <mergeCell ref="C3:D3"/>
    <mergeCell ref="G3:H3"/>
    <mergeCell ref="E3:F3"/>
    <mergeCell ref="J17:K17"/>
  </mergeCells>
  <pageMargins left="0.75" right="0.75" top="1" bottom="1" header="0.5" footer="0.5"/>
  <headerFooter>
    <oddHeader/>
    <oddFooter>&amp;L&amp;"Aptos"&amp;10 &amp;K000000_x000d_# DOCUMENTO PRIVADO</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1:Z98"/>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4" customWidth="1" style="54" min="1" max="1"/>
    <col width="11" customWidth="1" style="54" min="2" max="2"/>
    <col width="52" customWidth="1" style="54" min="3" max="3"/>
    <col width="16" customWidth="1" style="54" min="4" max="4"/>
    <col width="30" customWidth="1" style="54" min="5" max="5"/>
    <col width="13" customWidth="1" style="54" min="6" max="6"/>
    <col width="30" customWidth="1" style="54" min="7" max="7"/>
    <col width="30" customWidth="1" style="54" min="8" max="8"/>
    <col width="30" customWidth="1" style="54" min="9" max="9"/>
    <col width="12" customWidth="1" style="54" min="10" max="10"/>
    <col width="10" customWidth="1" style="54" min="11" max="11"/>
    <col width="10" customWidth="1" style="54" min="12" max="12"/>
    <col width="11" customWidth="1" style="54" min="13" max="13"/>
    <col width="26" customWidth="1" style="54" min="14" max="14"/>
    <col width="13" customWidth="1" style="54" min="15" max="15"/>
    <col width="62" customWidth="1" style="54" min="16" max="16"/>
    <col width="20" customWidth="1" style="54" min="17" max="17"/>
    <col width="13" customWidth="1" style="54" min="18" max="18"/>
    <col width="34" customWidth="1" style="54" min="19" max="19"/>
    <col width="12" customWidth="1" style="54" min="20" max="20"/>
    <col hidden="1" width="13" customWidth="1" style="54" min="21" max="21"/>
    <col hidden="1" width="13" customWidth="1" style="54" min="22" max="22"/>
    <col hidden="1" width="13" customWidth="1" style="54" min="23" max="23"/>
    <col hidden="1" width="13" customWidth="1" style="54" min="24" max="24"/>
    <col hidden="1" width="13" customWidth="1" style="54" min="25" max="25"/>
    <col hidden="1" width="13" customWidth="1" style="54" min="26" max="26"/>
  </cols>
  <sheetData>
    <row r="1">
      <c r="B1" s="1" t="inlineStr">
        <is>
          <t>CONTROLES ISO/IEC 27001:2022 — EVALUACIÓN DE MADUREZ</t>
        </is>
      </c>
    </row>
    <row r="2">
      <c r="B2" s="2" t="inlineStr">
        <is>
          <t>Los 93 controles del Anexo A con su nivel de madurez CMM. La eficacia alimenta el riesgo residual de la hoja de Valoración. Corte de agosto de 2026, primer año de operación del SGSI.</t>
        </is>
      </c>
    </row>
    <row r="3" ht="28" customHeight="1" s="54">
      <c r="B3" s="17" t="inlineStr">
        <is>
          <t>Código de color:</t>
        </is>
      </c>
      <c r="C3" s="70" t="inlineStr">
        <is>
          <t>Amarillo = Campo de entrada — se selecciona de una lista</t>
        </is>
      </c>
      <c r="D3" s="56" t="n"/>
      <c r="E3" s="71" t="inlineStr">
        <is>
          <t>Lila = Calculado automáticamente — no escribir encima</t>
        </is>
      </c>
      <c r="F3" s="56" t="n"/>
      <c r="G3" s="72" t="inlineStr">
        <is>
          <t>Gris = Dato de la norma MAGERIT — no modificar</t>
        </is>
      </c>
      <c r="H3" s="56" t="n"/>
    </row>
    <row r="5" ht="48" customHeight="1" s="54">
      <c r="B5" s="68" t="inlineStr">
        <is>
          <t>Código</t>
        </is>
      </c>
      <c r="C5" s="68" t="inlineStr">
        <is>
          <t>Control</t>
        </is>
      </c>
      <c r="D5" s="68" t="inlineStr">
        <is>
          <t>Dominio</t>
        </is>
      </c>
      <c r="E5" s="68" t="inlineStr">
        <is>
          <t>Capacidad operativa</t>
        </is>
      </c>
      <c r="F5" s="68" t="inlineStr">
        <is>
          <t>¿Aplica?</t>
        </is>
      </c>
      <c r="G5" s="68" t="inlineStr">
        <is>
          <t>Madurez línea base</t>
        </is>
      </c>
      <c r="H5" s="68" t="inlineStr">
        <is>
          <t>Madurez actual</t>
        </is>
      </c>
      <c r="I5" s="68" t="inlineStr">
        <is>
          <t>Madurez objetivo</t>
        </is>
      </c>
      <c r="J5" s="68" t="inlineStr">
        <is>
          <t>Eficacia actual</t>
        </is>
      </c>
      <c r="K5" s="68" t="inlineStr">
        <is>
          <t>Nivel actual</t>
        </is>
      </c>
      <c r="L5" s="68" t="inlineStr">
        <is>
          <t>Nivel objetivo</t>
        </is>
      </c>
      <c r="M5" s="68" t="inlineStr">
        <is>
          <t>Brecha (niveles)</t>
        </is>
      </c>
      <c r="N5" s="68" t="inlineStr">
        <is>
          <t>Estado</t>
        </is>
      </c>
      <c r="O5" s="68" t="inlineStr">
        <is>
          <t>Avance desde la línea base</t>
        </is>
      </c>
      <c r="P5" s="68" t="inlineStr">
        <is>
          <t>Evidencia o justificación</t>
        </is>
      </c>
      <c r="Q5" s="68" t="inlineStr">
        <is>
          <t>Responsable</t>
        </is>
      </c>
      <c r="R5" s="68" t="inlineStr">
        <is>
          <t>Fecha objetivo</t>
        </is>
      </c>
      <c r="S5" s="68" t="inlineStr">
        <is>
          <t>Amenazas que mitiga</t>
        </is>
      </c>
      <c r="T5" s="68" t="inlineStr">
        <is>
          <t>N.º de riesgos que toca</t>
        </is>
      </c>
      <c r="U5" s="22" t="inlineStr">
        <is>
          <t>Nivel línea base (aux.)</t>
        </is>
      </c>
      <c r="V5" s="22" t="inlineStr">
        <is>
          <t>Nivel aplicable (aux.)</t>
        </is>
      </c>
      <c r="W5" s="22" t="inlineStr">
        <is>
          <t>Nivel Organizacional (aux.)</t>
        </is>
      </c>
      <c r="X5" s="22" t="inlineStr">
        <is>
          <t>Nivel Personas (aux.)</t>
        </is>
      </c>
      <c r="Y5" s="22" t="inlineStr">
        <is>
          <t>Nivel Físico (aux.)</t>
        </is>
      </c>
      <c r="Z5" s="22" t="inlineStr">
        <is>
          <t>Nivel Tecnológico (aux.)</t>
        </is>
      </c>
    </row>
    <row r="6">
      <c r="B6" s="73" t="inlineStr">
        <is>
          <t>A.5.1</t>
        </is>
      </c>
      <c r="C6" s="69" t="inlineStr">
        <is>
          <t>Políticas de seguridad de la información</t>
        </is>
      </c>
      <c r="D6" s="74" t="inlineStr">
        <is>
          <t>Organizacional</t>
        </is>
      </c>
      <c r="E6" s="69" t="inlineStr">
        <is>
          <t>Gobierno</t>
        </is>
      </c>
      <c r="F6" s="75" t="inlineStr">
        <is>
          <t>Aplica</t>
        </is>
      </c>
      <c r="G6" s="76" t="inlineStr">
        <is>
          <t>L0 — Inexistente</t>
        </is>
      </c>
      <c r="H6" s="76" t="inlineStr">
        <is>
          <t>L3 — Proceso definido</t>
        </is>
      </c>
      <c r="I6" s="76" t="inlineStr">
        <is>
          <t>L4 — Gestionado y medible</t>
        </is>
      </c>
      <c r="J6" s="77">
        <f>IF($F6="No aplica","",IFERROR(VLOOKUP(H6,MgMad,2,0),0))</f>
        <v/>
      </c>
      <c r="K6" s="78">
        <f>IF($F6="No aplica","",IFERROR(VALUE(MID(H6,2,1)),""))</f>
        <v/>
      </c>
      <c r="L6" s="78">
        <f>IF($F6="No aplica","",IFERROR(VALUE(MID(I6,2,1)),""))</f>
        <v/>
      </c>
      <c r="M6" s="78">
        <f>IF($F6="No aplica","",MAX(0,L6-K6))</f>
        <v/>
      </c>
      <c r="N6" s="79">
        <f>IF($F6="No aplica","No aplica",IF(M6=0,"Cumple el objetivo",IF(K6&gt;=3,"Gestionado, con brecha","Brecha prioritaria")))</f>
        <v/>
      </c>
      <c r="O6" s="78">
        <f>IF($F6="No aplica","",K6-IFERROR(VALUE(MID(G6,2,1)),0))</f>
        <v/>
      </c>
      <c r="P6" s="76" t="inlineStr">
        <is>
          <t>11 políticas aprobadas, publicadas en SharePoint y comunicadas. El primer ciclo de revisión anual aún no cierra.</t>
        </is>
      </c>
      <c r="Q6" s="75" t="inlineStr"/>
      <c r="R6" s="80" t="n"/>
      <c r="S6" s="69" t="inlineStr">
        <is>
          <t>E.1, E.7</t>
        </is>
      </c>
      <c r="T6" s="78">
        <f>SUMPRODUCT(--ISNUMBER(SEARCH($B6&amp;" — ",'2. Valoración '!$AB$6:$AB$2261)))</f>
        <v/>
      </c>
      <c r="U6">
        <f>IF($F6="No aplica","",IFERROR(VALUE(MID($G6,2,1)),""))</f>
        <v/>
      </c>
      <c r="V6">
        <f>IF($F6="Aplica",$K6,"")</f>
        <v/>
      </c>
      <c r="W6">
        <f>IF(AND($F6="Aplica",$D6="Organizacional"),$K6,"")</f>
        <v/>
      </c>
      <c r="X6">
        <f>IF(AND($F6="Aplica",$D6="Personas"),$K6,"")</f>
        <v/>
      </c>
      <c r="Y6">
        <f>IF(AND($F6="Aplica",$D6="Físico"),$K6,"")</f>
        <v/>
      </c>
      <c r="Z6">
        <f>IF(AND($F6="Aplica",$D6="Tecnológico"),$K6,"")</f>
        <v/>
      </c>
    </row>
    <row r="7">
      <c r="B7" s="73" t="inlineStr">
        <is>
          <t>A.5.2</t>
        </is>
      </c>
      <c r="C7" s="69" t="inlineStr">
        <is>
          <t>Roles y responsabilidades de la seguridad de la información</t>
        </is>
      </c>
      <c r="D7" s="74" t="inlineStr">
        <is>
          <t>Organizacional</t>
        </is>
      </c>
      <c r="E7" s="69" t="inlineStr">
        <is>
          <t>Gobierno</t>
        </is>
      </c>
      <c r="F7" s="75" t="inlineStr">
        <is>
          <t>Aplica</t>
        </is>
      </c>
      <c r="G7" s="76" t="inlineStr">
        <is>
          <t>L0 — Inexistente</t>
        </is>
      </c>
      <c r="H7" s="76" t="inlineStr">
        <is>
          <t>L3 — Proceso definido</t>
        </is>
      </c>
      <c r="I7" s="76" t="inlineStr">
        <is>
          <t>L4 — Gestionado y medible</t>
        </is>
      </c>
      <c r="J7" s="77">
        <f>IF($F7="No aplica","",IFERROR(VLOOKUP(H7,MgMad,2,0),0))</f>
        <v/>
      </c>
      <c r="K7" s="78">
        <f>IF($F7="No aplica","",IFERROR(VALUE(MID(H7,2,1)),""))</f>
        <v/>
      </c>
      <c r="L7" s="78">
        <f>IF($F7="No aplica","",IFERROR(VALUE(MID(I7,2,1)),""))</f>
        <v/>
      </c>
      <c r="M7" s="78">
        <f>IF($F7="No aplica","",MAX(0,L7-K7))</f>
        <v/>
      </c>
      <c r="N7" s="79">
        <f>IF($F7="No aplica","No aplica",IF(M7=0,"Cumple el objetivo",IF(K7&gt;=3,"Gestionado, con brecha","Brecha prioritaria")))</f>
        <v/>
      </c>
      <c r="O7" s="78">
        <f>IF($F7="No aplica","",K7-IFERROR(VALUE(MID(G7,2,1)),0))</f>
        <v/>
      </c>
      <c r="P7" s="76" t="inlineStr">
        <is>
          <t>Roles definidos en POL-SIG-02 y en la caracterización del proceso. Falta medición del desempeño del rol.</t>
        </is>
      </c>
      <c r="Q7" s="75" t="inlineStr"/>
      <c r="R7" s="80" t="n"/>
      <c r="S7" s="69" t="inlineStr">
        <is>
          <t>E.28, E.7</t>
        </is>
      </c>
      <c r="T7" s="78">
        <f>SUMPRODUCT(--ISNUMBER(SEARCH($B7&amp;" — ",'2. Valoración '!$AB$6:$AB$2261)))</f>
        <v/>
      </c>
      <c r="U7">
        <f>IF($F7="No aplica","",IFERROR(VALUE(MID($G7,2,1)),""))</f>
        <v/>
      </c>
      <c r="V7">
        <f>IF($F7="Aplica",$K7,"")</f>
        <v/>
      </c>
      <c r="W7">
        <f>IF(AND($F7="Aplica",$D7="Organizacional"),$K7,"")</f>
        <v/>
      </c>
      <c r="X7">
        <f>IF(AND($F7="Aplica",$D7="Personas"),$K7,"")</f>
        <v/>
      </c>
      <c r="Y7">
        <f>IF(AND($F7="Aplica",$D7="Físico"),$K7,"")</f>
        <v/>
      </c>
      <c r="Z7">
        <f>IF(AND($F7="Aplica",$D7="Tecnológico"),$K7,"")</f>
        <v/>
      </c>
    </row>
    <row r="8">
      <c r="B8" s="73" t="inlineStr">
        <is>
          <t>A.5.3</t>
        </is>
      </c>
      <c r="C8" s="69" t="inlineStr">
        <is>
          <t>Segregación de funciones</t>
        </is>
      </c>
      <c r="D8" s="74" t="inlineStr">
        <is>
          <t>Organizacional</t>
        </is>
      </c>
      <c r="E8" s="69" t="inlineStr">
        <is>
          <t>Gobierno</t>
        </is>
      </c>
      <c r="F8" s="75" t="inlineStr">
        <is>
          <t>Aplica</t>
        </is>
      </c>
      <c r="G8" s="76" t="inlineStr">
        <is>
          <t>L0 — Inexistente</t>
        </is>
      </c>
      <c r="H8" s="76" t="inlineStr">
        <is>
          <t>L3 — Proceso definido</t>
        </is>
      </c>
      <c r="I8" s="76" t="inlineStr">
        <is>
          <t>L4 — Gestionado y medible</t>
        </is>
      </c>
      <c r="J8" s="77">
        <f>IF($F8="No aplica","",IFERROR(VLOOKUP(H8,MgMad,2,0),0))</f>
        <v/>
      </c>
      <c r="K8" s="78">
        <f>IF($F8="No aplica","",IFERROR(VALUE(MID(H8,2,1)),""))</f>
        <v/>
      </c>
      <c r="L8" s="78">
        <f>IF($F8="No aplica","",IFERROR(VALUE(MID(I8,2,1)),""))</f>
        <v/>
      </c>
      <c r="M8" s="78">
        <f>IF($F8="No aplica","",MAX(0,L8-K8))</f>
        <v/>
      </c>
      <c r="N8" s="79">
        <f>IF($F8="No aplica","No aplica",IF(M8=0,"Cumple el objetivo",IF(K8&gt;=3,"Gestionado, con brecha","Brecha prioritaria")))</f>
        <v/>
      </c>
      <c r="O8" s="78">
        <f>IF($F8="No aplica","",K8-IFERROR(VALUE(MID(G8,2,1)),0))</f>
        <v/>
      </c>
      <c r="P8" s="76" t="inlineStr">
        <is>
          <t>Matriz de segregación de funciones A5.3 elaborada y vigente.</t>
        </is>
      </c>
      <c r="Q8" s="75" t="inlineStr"/>
      <c r="R8" s="80" t="n"/>
      <c r="S8" s="69" t="inlineStr">
        <is>
          <t>A.6, E.2, E.7</t>
        </is>
      </c>
      <c r="T8" s="78">
        <f>SUMPRODUCT(--ISNUMBER(SEARCH($B8&amp;" — ",'2. Valoración '!$AB$6:$AB$2261)))</f>
        <v/>
      </c>
      <c r="U8">
        <f>IF($F8="No aplica","",IFERROR(VALUE(MID($G8,2,1)),""))</f>
        <v/>
      </c>
      <c r="V8">
        <f>IF($F8="Aplica",$K8,"")</f>
        <v/>
      </c>
      <c r="W8">
        <f>IF(AND($F8="Aplica",$D8="Organizacional"),$K8,"")</f>
        <v/>
      </c>
      <c r="X8">
        <f>IF(AND($F8="Aplica",$D8="Personas"),$K8,"")</f>
        <v/>
      </c>
      <c r="Y8">
        <f>IF(AND($F8="Aplica",$D8="Físico"),$K8,"")</f>
        <v/>
      </c>
      <c r="Z8">
        <f>IF(AND($F8="Aplica",$D8="Tecnológico"),$K8,"")</f>
        <v/>
      </c>
    </row>
    <row r="9">
      <c r="B9" s="73" t="inlineStr">
        <is>
          <t>A.5.4</t>
        </is>
      </c>
      <c r="C9" s="69" t="inlineStr">
        <is>
          <t>Responsabilidades de la dirección</t>
        </is>
      </c>
      <c r="D9" s="74" t="inlineStr">
        <is>
          <t>Organizacional</t>
        </is>
      </c>
      <c r="E9" s="69" t="inlineStr">
        <is>
          <t>Gobierno</t>
        </is>
      </c>
      <c r="F9" s="75" t="inlineStr">
        <is>
          <t>Aplica</t>
        </is>
      </c>
      <c r="G9" s="76" t="inlineStr">
        <is>
          <t>L0 — Inexistente</t>
        </is>
      </c>
      <c r="H9" s="76" t="inlineStr">
        <is>
          <t>L4 — Gestionado y medible</t>
        </is>
      </c>
      <c r="I9" s="76" t="inlineStr">
        <is>
          <t>L4 — Gestionado y medible</t>
        </is>
      </c>
      <c r="J9" s="77">
        <f>IF($F9="No aplica","",IFERROR(VLOOKUP(H9,MgMad,2,0),0))</f>
        <v/>
      </c>
      <c r="K9" s="78">
        <f>IF($F9="No aplica","",IFERROR(VALUE(MID(H9,2,1)),""))</f>
        <v/>
      </c>
      <c r="L9" s="78">
        <f>IF($F9="No aplica","",IFERROR(VALUE(MID(I9,2,1)),""))</f>
        <v/>
      </c>
      <c r="M9" s="78">
        <f>IF($F9="No aplica","",MAX(0,L9-K9))</f>
        <v/>
      </c>
      <c r="N9" s="79">
        <f>IF($F9="No aplica","No aplica",IF(M9=0,"Cumple el objetivo",IF(K9&gt;=3,"Gestionado, con brecha","Brecha prioritaria")))</f>
        <v/>
      </c>
      <c r="O9" s="78">
        <f>IF($F9="No aplica","",K9-IFERROR(VALUE(MID(G9,2,1)),0))</f>
        <v/>
      </c>
      <c r="P9" s="76" t="inlineStr">
        <is>
          <t>Comité del SIG activo, con actas y revisión periódica de indicadores.</t>
        </is>
      </c>
      <c r="Q9" s="75" t="inlineStr"/>
      <c r="R9" s="80" t="n"/>
      <c r="S9" s="69" t="inlineStr">
        <is>
          <t>A.28, E.7</t>
        </is>
      </c>
      <c r="T9" s="78">
        <f>SUMPRODUCT(--ISNUMBER(SEARCH($B9&amp;" — ",'2. Valoración '!$AB$6:$AB$2261)))</f>
        <v/>
      </c>
      <c r="U9">
        <f>IF($F9="No aplica","",IFERROR(VALUE(MID($G9,2,1)),""))</f>
        <v/>
      </c>
      <c r="V9">
        <f>IF($F9="Aplica",$K9,"")</f>
        <v/>
      </c>
      <c r="W9">
        <f>IF(AND($F9="Aplica",$D9="Organizacional"),$K9,"")</f>
        <v/>
      </c>
      <c r="X9">
        <f>IF(AND($F9="Aplica",$D9="Personas"),$K9,"")</f>
        <v/>
      </c>
      <c r="Y9">
        <f>IF(AND($F9="Aplica",$D9="Físico"),$K9,"")</f>
        <v/>
      </c>
      <c r="Z9">
        <f>IF(AND($F9="Aplica",$D9="Tecnológico"),$K9,"")</f>
        <v/>
      </c>
    </row>
    <row r="10">
      <c r="B10" s="73" t="inlineStr">
        <is>
          <t>A.5.5</t>
        </is>
      </c>
      <c r="C10" s="69" t="inlineStr">
        <is>
          <t>Contacto con autoridades</t>
        </is>
      </c>
      <c r="D10" s="74" t="inlineStr">
        <is>
          <t>Organizacional</t>
        </is>
      </c>
      <c r="E10" s="69" t="inlineStr">
        <is>
          <t>Gobierno</t>
        </is>
      </c>
      <c r="F10" s="75" t="inlineStr">
        <is>
          <t>Aplica</t>
        </is>
      </c>
      <c r="G10" s="76" t="inlineStr">
        <is>
          <t>L0 — Inexistente</t>
        </is>
      </c>
      <c r="H10" s="76" t="inlineStr">
        <is>
          <t>L2 — Reproducible pero intuitivo</t>
        </is>
      </c>
      <c r="I10" s="76" t="inlineStr">
        <is>
          <t>L3 — Proceso definido</t>
        </is>
      </c>
      <c r="J10" s="77">
        <f>IF($F10="No aplica","",IFERROR(VLOOKUP(H10,MgMad,2,0),0))</f>
        <v/>
      </c>
      <c r="K10" s="78">
        <f>IF($F10="No aplica","",IFERROR(VALUE(MID(H10,2,1)),""))</f>
        <v/>
      </c>
      <c r="L10" s="78">
        <f>IF($F10="No aplica","",IFERROR(VALUE(MID(I10,2,1)),""))</f>
        <v/>
      </c>
      <c r="M10" s="78">
        <f>IF($F10="No aplica","",MAX(0,L10-K10))</f>
        <v/>
      </c>
      <c r="N10" s="79">
        <f>IF($F10="No aplica","No aplica",IF(M10=0,"Cumple el objetivo",IF(K10&gt;=3,"Gestionado, con brecha","Brecha prioritaria")))</f>
        <v/>
      </c>
      <c r="O10" s="78">
        <f>IF($F10="No aplica","",K10-IFERROR(VALUE(MID(G10,2,1)),0))</f>
        <v/>
      </c>
      <c r="P10" s="76" t="inlineStr">
        <is>
          <t>Matriz de contactos externos MAT-SIG-06 elaborada; no se ha ejercitado el contacto.</t>
        </is>
      </c>
      <c r="Q10" s="75" t="inlineStr"/>
      <c r="R10" s="80" t="n"/>
      <c r="S10" s="69" t="inlineStr">
        <is>
          <t>A.29</t>
        </is>
      </c>
      <c r="T10" s="78">
        <f>SUMPRODUCT(--ISNUMBER(SEARCH($B10&amp;" — ",'2. Valoración '!$AB$6:$AB$2261)))</f>
        <v/>
      </c>
      <c r="U10">
        <f>IF($F10="No aplica","",IFERROR(VALUE(MID($G10,2,1)),""))</f>
        <v/>
      </c>
      <c r="V10">
        <f>IF($F10="Aplica",$K10,"")</f>
        <v/>
      </c>
      <c r="W10">
        <f>IF(AND($F10="Aplica",$D10="Organizacional"),$K10,"")</f>
        <v/>
      </c>
      <c r="X10">
        <f>IF(AND($F10="Aplica",$D10="Personas"),$K10,"")</f>
        <v/>
      </c>
      <c r="Y10">
        <f>IF(AND($F10="Aplica",$D10="Físico"),$K10,"")</f>
        <v/>
      </c>
      <c r="Z10">
        <f>IF(AND($F10="Aplica",$D10="Tecnológico"),$K10,"")</f>
        <v/>
      </c>
    </row>
    <row r="11">
      <c r="B11" s="73" t="inlineStr">
        <is>
          <t>A.5.6</t>
        </is>
      </c>
      <c r="C11" s="69" t="inlineStr">
        <is>
          <t>Contacto con grupos de interés especial</t>
        </is>
      </c>
      <c r="D11" s="74" t="inlineStr">
        <is>
          <t>Organizacional</t>
        </is>
      </c>
      <c r="E11" s="69" t="inlineStr">
        <is>
          <t>Gobierno</t>
        </is>
      </c>
      <c r="F11" s="75" t="inlineStr">
        <is>
          <t>Aplica</t>
        </is>
      </c>
      <c r="G11" s="76" t="inlineStr">
        <is>
          <t>L0 — Inexistente</t>
        </is>
      </c>
      <c r="H11" s="76" t="inlineStr">
        <is>
          <t>L2 — Reproducible pero intuitivo</t>
        </is>
      </c>
      <c r="I11" s="76" t="inlineStr">
        <is>
          <t>L3 — Proceso definido</t>
        </is>
      </c>
      <c r="J11" s="77">
        <f>IF($F11="No aplica","",IFERROR(VLOOKUP(H11,MgMad,2,0),0))</f>
        <v/>
      </c>
      <c r="K11" s="78">
        <f>IF($F11="No aplica","",IFERROR(VALUE(MID(H11,2,1)),""))</f>
        <v/>
      </c>
      <c r="L11" s="78">
        <f>IF($F11="No aplica","",IFERROR(VALUE(MID(I11,2,1)),""))</f>
        <v/>
      </c>
      <c r="M11" s="78">
        <f>IF($F11="No aplica","",MAX(0,L11-K11))</f>
        <v/>
      </c>
      <c r="N11" s="79">
        <f>IF($F11="No aplica","No aplica",IF(M11=0,"Cumple el objetivo",IF(K11&gt;=3,"Gestionado, con brecha","Brecha prioritaria")))</f>
        <v/>
      </c>
      <c r="O11" s="78">
        <f>IF($F11="No aplica","",K11-IFERROR(VALUE(MID(G11,2,1)),0))</f>
        <v/>
      </c>
      <c r="P11" s="76" t="inlineStr">
        <is>
          <t>Participación informal en grupos del sector; sin membresías formalizadas.</t>
        </is>
      </c>
      <c r="Q11" s="75" t="inlineStr"/>
      <c r="R11" s="80" t="n"/>
      <c r="S11" s="69" t="inlineStr">
        <is>
          <t>A.30</t>
        </is>
      </c>
      <c r="T11" s="78">
        <f>SUMPRODUCT(--ISNUMBER(SEARCH($B11&amp;" — ",'2. Valoración '!$AB$6:$AB$2261)))</f>
        <v/>
      </c>
      <c r="U11">
        <f>IF($F11="No aplica","",IFERROR(VALUE(MID($G11,2,1)),""))</f>
        <v/>
      </c>
      <c r="V11">
        <f>IF($F11="Aplica",$K11,"")</f>
        <v/>
      </c>
      <c r="W11">
        <f>IF(AND($F11="Aplica",$D11="Organizacional"),$K11,"")</f>
        <v/>
      </c>
      <c r="X11">
        <f>IF(AND($F11="Aplica",$D11="Personas"),$K11,"")</f>
        <v/>
      </c>
      <c r="Y11">
        <f>IF(AND($F11="Aplica",$D11="Físico"),$K11,"")</f>
        <v/>
      </c>
      <c r="Z11">
        <f>IF(AND($F11="Aplica",$D11="Tecnológico"),$K11,"")</f>
        <v/>
      </c>
    </row>
    <row r="12">
      <c r="B12" s="73" t="inlineStr">
        <is>
          <t>A.5.7</t>
        </is>
      </c>
      <c r="C12" s="69" t="inlineStr">
        <is>
          <t>Inteligencia de amenazas</t>
        </is>
      </c>
      <c r="D12" s="74" t="inlineStr">
        <is>
          <t>Organizacional</t>
        </is>
      </c>
      <c r="E12" s="69" t="inlineStr">
        <is>
          <t>Gestión de amenazas y vulnerabilidades</t>
        </is>
      </c>
      <c r="F12" s="75" t="inlineStr">
        <is>
          <t>Aplica</t>
        </is>
      </c>
      <c r="G12" s="76" t="inlineStr">
        <is>
          <t>L0 — Inexistente</t>
        </is>
      </c>
      <c r="H12" s="76" t="inlineStr">
        <is>
          <t>L3 — Proceso definido</t>
        </is>
      </c>
      <c r="I12" s="76" t="inlineStr">
        <is>
          <t>L4 — Gestionado y medible</t>
        </is>
      </c>
      <c r="J12" s="77">
        <f>IF($F12="No aplica","",IFERROR(VLOOKUP(H12,MgMad,2,0),0))</f>
        <v/>
      </c>
      <c r="K12" s="78">
        <f>IF($F12="No aplica","",IFERROR(VALUE(MID(H12,2,1)),""))</f>
        <v/>
      </c>
      <c r="L12" s="78">
        <f>IF($F12="No aplica","",IFERROR(VALUE(MID(I12,2,1)),""))</f>
        <v/>
      </c>
      <c r="M12" s="78">
        <f>IF($F12="No aplica","",MAX(0,L12-K12))</f>
        <v/>
      </c>
      <c r="N12" s="79">
        <f>IF($F12="No aplica","No aplica",IF(M12=0,"Cumple el objetivo",IF(K12&gt;=3,"Gestionado, con brecha","Brecha prioritaria")))</f>
        <v/>
      </c>
      <c r="O12" s="78">
        <f>IF($F12="No aplica","",K12-IFERROR(VALUE(MID(G12,2,1)),0))</f>
        <v/>
      </c>
      <c r="P12" s="76" t="inlineStr">
        <is>
          <t>Informes de inteligencia de amenazas emitidos en mayo de 2026; periodicidad aún irregular.</t>
        </is>
      </c>
      <c r="Q12" s="75" t="inlineStr"/>
      <c r="R12" s="80" t="n"/>
      <c r="S12" s="69" t="inlineStr">
        <is>
          <t>A.30, A.8, E.8</t>
        </is>
      </c>
      <c r="T12" s="78">
        <f>SUMPRODUCT(--ISNUMBER(SEARCH($B12&amp;" — ",'2. Valoración '!$AB$6:$AB$2261)))</f>
        <v/>
      </c>
      <c r="U12">
        <f>IF($F12="No aplica","",IFERROR(VALUE(MID($G12,2,1)),""))</f>
        <v/>
      </c>
      <c r="V12">
        <f>IF($F12="Aplica",$K12,"")</f>
        <v/>
      </c>
      <c r="W12">
        <f>IF(AND($F12="Aplica",$D12="Organizacional"),$K12,"")</f>
        <v/>
      </c>
      <c r="X12">
        <f>IF(AND($F12="Aplica",$D12="Personas"),$K12,"")</f>
        <v/>
      </c>
      <c r="Y12">
        <f>IF(AND($F12="Aplica",$D12="Físico"),$K12,"")</f>
        <v/>
      </c>
      <c r="Z12">
        <f>IF(AND($F12="Aplica",$D12="Tecnológico"),$K12,"")</f>
        <v/>
      </c>
    </row>
    <row r="13">
      <c r="B13" s="73" t="inlineStr">
        <is>
          <t>A.5.8</t>
        </is>
      </c>
      <c r="C13" s="69" t="inlineStr">
        <is>
          <t>Seguridad de la información en la gestión de proyectos</t>
        </is>
      </c>
      <c r="D13" s="74" t="inlineStr">
        <is>
          <t>Organizacional</t>
        </is>
      </c>
      <c r="E13" s="69" t="inlineStr">
        <is>
          <t>Gobierno</t>
        </is>
      </c>
      <c r="F13" s="75" t="inlineStr">
        <is>
          <t>Aplica</t>
        </is>
      </c>
      <c r="G13" s="76" t="inlineStr">
        <is>
          <t>L0 — Inexistente</t>
        </is>
      </c>
      <c r="H13" s="76" t="inlineStr">
        <is>
          <t>L3 — Proceso definido</t>
        </is>
      </c>
      <c r="I13" s="76" t="inlineStr">
        <is>
          <t>L4 — Gestionado y medible</t>
        </is>
      </c>
      <c r="J13" s="77">
        <f>IF($F13="No aplica","",IFERROR(VLOOKUP(H13,MgMad,2,0),0))</f>
        <v/>
      </c>
      <c r="K13" s="78">
        <f>IF($F13="No aplica","",IFERROR(VALUE(MID(H13,2,1)),""))</f>
        <v/>
      </c>
      <c r="L13" s="78">
        <f>IF($F13="No aplica","",IFERROR(VALUE(MID(I13,2,1)),""))</f>
        <v/>
      </c>
      <c r="M13" s="78">
        <f>IF($F13="No aplica","",MAX(0,L13-K13))</f>
        <v/>
      </c>
      <c r="N13" s="79">
        <f>IF($F13="No aplica","No aplica",IF(M13=0,"Cumple el objetivo",IF(K13&gt;=3,"Gestionado, con brecha","Brecha prioritaria")))</f>
        <v/>
      </c>
      <c r="O13" s="78">
        <f>IF($F13="No aplica","",K13-IFERROR(VALUE(MID(G13,2,1)),0))</f>
        <v/>
      </c>
      <c r="P13" s="76" t="inlineStr">
        <is>
          <t>Matriz de riesgos de gestión de proyectos A5.8 en uso.</t>
        </is>
      </c>
      <c r="Q13" s="75" t="inlineStr"/>
      <c r="R13" s="80" t="n"/>
      <c r="S13" s="69" t="inlineStr">
        <is>
          <t>E.10, E.14, E.28</t>
        </is>
      </c>
      <c r="T13" s="78">
        <f>SUMPRODUCT(--ISNUMBER(SEARCH($B13&amp;" — ",'2. Valoración '!$AB$6:$AB$2261)))</f>
        <v/>
      </c>
      <c r="U13">
        <f>IF($F13="No aplica","",IFERROR(VALUE(MID($G13,2,1)),""))</f>
        <v/>
      </c>
      <c r="V13">
        <f>IF($F13="Aplica",$K13,"")</f>
        <v/>
      </c>
      <c r="W13">
        <f>IF(AND($F13="Aplica",$D13="Organizacional"),$K13,"")</f>
        <v/>
      </c>
      <c r="X13">
        <f>IF(AND($F13="Aplica",$D13="Personas"),$K13,"")</f>
        <v/>
      </c>
      <c r="Y13">
        <f>IF(AND($F13="Aplica",$D13="Físico"),$K13,"")</f>
        <v/>
      </c>
      <c r="Z13">
        <f>IF(AND($F13="Aplica",$D13="Tecnológico"),$K13,"")</f>
        <v/>
      </c>
    </row>
    <row r="14">
      <c r="B14" s="73" t="inlineStr">
        <is>
          <t>A.5.9</t>
        </is>
      </c>
      <c r="C14" s="69" t="inlineStr">
        <is>
          <t>Inventario de información y otros activos asociados</t>
        </is>
      </c>
      <c r="D14" s="74" t="inlineStr">
        <is>
          <t>Organizacional</t>
        </is>
      </c>
      <c r="E14" s="69" t="inlineStr">
        <is>
          <t>Gestión de activos</t>
        </is>
      </c>
      <c r="F14" s="75" t="inlineStr">
        <is>
          <t>Aplica</t>
        </is>
      </c>
      <c r="G14" s="76" t="inlineStr">
        <is>
          <t>L0 — Inexistente</t>
        </is>
      </c>
      <c r="H14" s="76" t="inlineStr">
        <is>
          <t>L4 — Gestionado y medible</t>
        </is>
      </c>
      <c r="I14" s="76" t="inlineStr">
        <is>
          <t>L5 — Optimizado</t>
        </is>
      </c>
      <c r="J14" s="77">
        <f>IF($F14="No aplica","",IFERROR(VLOOKUP(H14,MgMad,2,0),0))</f>
        <v/>
      </c>
      <c r="K14" s="78">
        <f>IF($F14="No aplica","",IFERROR(VALUE(MID(H14,2,1)),""))</f>
        <v/>
      </c>
      <c r="L14" s="78">
        <f>IF($F14="No aplica","",IFERROR(VALUE(MID(I14,2,1)),""))</f>
        <v/>
      </c>
      <c r="M14" s="78">
        <f>IF($F14="No aplica","",MAX(0,L14-K14))</f>
        <v/>
      </c>
      <c r="N14" s="79">
        <f>IF($F14="No aplica","No aplica",IF(M14=0,"Cumple el objetivo",IF(K14&gt;=3,"Gestionado, con brecha","Brecha prioritaria")))</f>
        <v/>
      </c>
      <c r="O14" s="78">
        <f>IF($F14="No aplica","",K14-IFERROR(VALUE(MID(G14,2,1)),0))</f>
        <v/>
      </c>
      <c r="P14" s="76" t="inlineStr">
        <is>
          <t>Inventario MAGERIT con 234 activos, metodología documentada MET-SIG-01 y revisión por proceso.</t>
        </is>
      </c>
      <c r="Q14" s="75" t="inlineStr"/>
      <c r="R14" s="80" t="n"/>
      <c r="S14" s="69" t="inlineStr">
        <is>
          <t>E.2, E.7</t>
        </is>
      </c>
      <c r="T14" s="78">
        <f>SUMPRODUCT(--ISNUMBER(SEARCH($B14&amp;" — ",'2. Valoración '!$AB$6:$AB$2261)))</f>
        <v/>
      </c>
      <c r="U14">
        <f>IF($F14="No aplica","",IFERROR(VALUE(MID($G14,2,1)),""))</f>
        <v/>
      </c>
      <c r="V14">
        <f>IF($F14="Aplica",$K14,"")</f>
        <v/>
      </c>
      <c r="W14">
        <f>IF(AND($F14="Aplica",$D14="Organizacional"),$K14,"")</f>
        <v/>
      </c>
      <c r="X14">
        <f>IF(AND($F14="Aplica",$D14="Personas"),$K14,"")</f>
        <v/>
      </c>
      <c r="Y14">
        <f>IF(AND($F14="Aplica",$D14="Físico"),$K14,"")</f>
        <v/>
      </c>
      <c r="Z14">
        <f>IF(AND($F14="Aplica",$D14="Tecnológico"),$K14,"")</f>
        <v/>
      </c>
    </row>
    <row r="15">
      <c r="B15" s="73" t="inlineStr">
        <is>
          <t>A.5.10</t>
        </is>
      </c>
      <c r="C15" s="69" t="inlineStr">
        <is>
          <t>Uso aceptable de la información y otros activos asociados</t>
        </is>
      </c>
      <c r="D15" s="74" t="inlineStr">
        <is>
          <t>Organizacional</t>
        </is>
      </c>
      <c r="E15" s="69" t="inlineStr">
        <is>
          <t>Gestión de activos</t>
        </is>
      </c>
      <c r="F15" s="75" t="inlineStr">
        <is>
          <t>Aplica</t>
        </is>
      </c>
      <c r="G15" s="76" t="inlineStr">
        <is>
          <t>L0 — Inexistente</t>
        </is>
      </c>
      <c r="H15" s="76" t="inlineStr">
        <is>
          <t>L3 — Proceso definido</t>
        </is>
      </c>
      <c r="I15" s="76" t="inlineStr">
        <is>
          <t>L4 — Gestionado y medible</t>
        </is>
      </c>
      <c r="J15" s="77">
        <f>IF($F15="No aplica","",IFERROR(VLOOKUP(H15,MgMad,2,0),0))</f>
        <v/>
      </c>
      <c r="K15" s="78">
        <f>IF($F15="No aplica","",IFERROR(VALUE(MID(H15,2,1)),""))</f>
        <v/>
      </c>
      <c r="L15" s="78">
        <f>IF($F15="No aplica","",IFERROR(VALUE(MID(I15,2,1)),""))</f>
        <v/>
      </c>
      <c r="M15" s="78">
        <f>IF($F15="No aplica","",MAX(0,L15-K15))</f>
        <v/>
      </c>
      <c r="N15" s="79">
        <f>IF($F15="No aplica","No aplica",IF(M15=0,"Cumple el objetivo",IF(K15&gt;=3,"Gestionado, con brecha","Brecha prioritaria")))</f>
        <v/>
      </c>
      <c r="O15" s="78">
        <f>IF($F15="No aplica","",K15-IFERROR(VALUE(MID(G15,2,1)),0))</f>
        <v/>
      </c>
      <c r="P15" s="76" t="inlineStr">
        <is>
          <t>POL-SIG-03 de gestión de activos y lineamientos de BYOD publicados.</t>
        </is>
      </c>
      <c r="Q15" s="75" t="inlineStr"/>
      <c r="R15" s="80" t="n"/>
      <c r="S15" s="69" t="inlineStr">
        <is>
          <t>A.7, E.1</t>
        </is>
      </c>
      <c r="T15" s="78">
        <f>SUMPRODUCT(--ISNUMBER(SEARCH($B15&amp;" — ",'2. Valoración '!$AB$6:$AB$2261)))</f>
        <v/>
      </c>
      <c r="U15">
        <f>IF($F15="No aplica","",IFERROR(VALUE(MID($G15,2,1)),""))</f>
        <v/>
      </c>
      <c r="V15">
        <f>IF($F15="Aplica",$K15,"")</f>
        <v/>
      </c>
      <c r="W15">
        <f>IF(AND($F15="Aplica",$D15="Organizacional"),$K15,"")</f>
        <v/>
      </c>
      <c r="X15">
        <f>IF(AND($F15="Aplica",$D15="Personas"),$K15,"")</f>
        <v/>
      </c>
      <c r="Y15">
        <f>IF(AND($F15="Aplica",$D15="Físico"),$K15,"")</f>
        <v/>
      </c>
      <c r="Z15">
        <f>IF(AND($F15="Aplica",$D15="Tecnológico"),$K15,"")</f>
        <v/>
      </c>
    </row>
    <row r="16">
      <c r="B16" s="73" t="inlineStr">
        <is>
          <t>A.5.11</t>
        </is>
      </c>
      <c r="C16" s="69" t="inlineStr">
        <is>
          <t>Devolución de activos</t>
        </is>
      </c>
      <c r="D16" s="74" t="inlineStr">
        <is>
          <t>Organizacional</t>
        </is>
      </c>
      <c r="E16" s="69" t="inlineStr">
        <is>
          <t>Gestión de activos</t>
        </is>
      </c>
      <c r="F16" s="75" t="inlineStr">
        <is>
          <t>Aplica</t>
        </is>
      </c>
      <c r="G16" s="76" t="inlineStr">
        <is>
          <t>L0 — Inexistente</t>
        </is>
      </c>
      <c r="H16" s="76" t="inlineStr">
        <is>
          <t>L3 — Proceso definido</t>
        </is>
      </c>
      <c r="I16" s="76" t="inlineStr">
        <is>
          <t>L4 — Gestionado y medible</t>
        </is>
      </c>
      <c r="J16" s="77">
        <f>IF($F16="No aplica","",IFERROR(VLOOKUP(H16,MgMad,2,0),0))</f>
        <v/>
      </c>
      <c r="K16" s="78">
        <f>IF($F16="No aplica","",IFERROR(VALUE(MID(H16,2,1)),""))</f>
        <v/>
      </c>
      <c r="L16" s="78">
        <f>IF($F16="No aplica","",IFERROR(VALUE(MID(I16,2,1)),""))</f>
        <v/>
      </c>
      <c r="M16" s="78">
        <f>IF($F16="No aplica","",MAX(0,L16-K16))</f>
        <v/>
      </c>
      <c r="N16" s="79">
        <f>IF($F16="No aplica","No aplica",IF(M16=0,"Cumple el objetivo",IF(K16&gt;=3,"Gestionado, con brecha","Brecha prioritaria")))</f>
        <v/>
      </c>
      <c r="O16" s="78">
        <f>IF($F16="No aplica","",K16-IFERROR(VALUE(MID(G16,2,1)),0))</f>
        <v/>
      </c>
      <c r="P16" s="76" t="inlineStr">
        <is>
          <t>Matriz A5.11 de devolución de activos con registro por desvinculación.</t>
        </is>
      </c>
      <c r="Q16" s="75" t="inlineStr"/>
      <c r="R16" s="80" t="n"/>
      <c r="S16" s="69" t="inlineStr">
        <is>
          <t>E.25</t>
        </is>
      </c>
      <c r="T16" s="78">
        <f>SUMPRODUCT(--ISNUMBER(SEARCH($B16&amp;" — ",'2. Valoración '!$AB$6:$AB$2261)))</f>
        <v/>
      </c>
      <c r="U16">
        <f>IF($F16="No aplica","",IFERROR(VALUE(MID($G16,2,1)),""))</f>
        <v/>
      </c>
      <c r="V16">
        <f>IF($F16="Aplica",$K16,"")</f>
        <v/>
      </c>
      <c r="W16">
        <f>IF(AND($F16="Aplica",$D16="Organizacional"),$K16,"")</f>
        <v/>
      </c>
      <c r="X16">
        <f>IF(AND($F16="Aplica",$D16="Personas"),$K16,"")</f>
        <v/>
      </c>
      <c r="Y16">
        <f>IF(AND($F16="Aplica",$D16="Físico"),$K16,"")</f>
        <v/>
      </c>
      <c r="Z16">
        <f>IF(AND($F16="Aplica",$D16="Tecnológico"),$K16,"")</f>
        <v/>
      </c>
    </row>
    <row r="17">
      <c r="B17" s="73" t="inlineStr">
        <is>
          <t>A.5.12</t>
        </is>
      </c>
      <c r="C17" s="69" t="inlineStr">
        <is>
          <t>Clasificación de la información</t>
        </is>
      </c>
      <c r="D17" s="74" t="inlineStr">
        <is>
          <t>Organizacional</t>
        </is>
      </c>
      <c r="E17" s="69" t="inlineStr">
        <is>
          <t>Protección de la información</t>
        </is>
      </c>
      <c r="F17" s="75" t="inlineStr">
        <is>
          <t>Aplica</t>
        </is>
      </c>
      <c r="G17" s="76" t="inlineStr">
        <is>
          <t>L0 — Inexistente</t>
        </is>
      </c>
      <c r="H17" s="76" t="inlineStr">
        <is>
          <t>L4 — Gestionado y medible</t>
        </is>
      </c>
      <c r="I17" s="76" t="inlineStr">
        <is>
          <t>L4 — Gestionado y medible</t>
        </is>
      </c>
      <c r="J17" s="77">
        <f>IF($F17="No aplica","",IFERROR(VLOOKUP(H17,MgMad,2,0),0))</f>
        <v/>
      </c>
      <c r="K17" s="78">
        <f>IF($F17="No aplica","",IFERROR(VALUE(MID(H17,2,1)),""))</f>
        <v/>
      </c>
      <c r="L17" s="78">
        <f>IF($F17="No aplica","",IFERROR(VALUE(MID(I17,2,1)),""))</f>
        <v/>
      </c>
      <c r="M17" s="78">
        <f>IF($F17="No aplica","",MAX(0,L17-K17))</f>
        <v/>
      </c>
      <c r="N17" s="79">
        <f>IF($F17="No aplica","No aplica",IF(M17=0,"Cumple el objetivo",IF(K17&gt;=3,"Gestionado, con brecha","Brecha prioritaria")))</f>
        <v/>
      </c>
      <c r="O17" s="78">
        <f>IF($F17="No aplica","",K17-IFERROR(VALUE(MID(G17,2,1)),0))</f>
        <v/>
      </c>
      <c r="P17" s="76" t="inlineStr">
        <is>
          <t>Procedimiento de clasificación vigente y etiquetas de sensibilidad de Purview desplegadas.</t>
        </is>
      </c>
      <c r="Q17" s="75" t="inlineStr"/>
      <c r="R17" s="80" t="n"/>
      <c r="S17" s="69" t="inlineStr">
        <is>
          <t>E.1</t>
        </is>
      </c>
      <c r="T17" s="78">
        <f>SUMPRODUCT(--ISNUMBER(SEARCH($B17&amp;" — ",'2. Valoración '!$AB$6:$AB$2261)))</f>
        <v/>
      </c>
      <c r="U17">
        <f>IF($F17="No aplica","",IFERROR(VALUE(MID($G17,2,1)),""))</f>
        <v/>
      </c>
      <c r="V17">
        <f>IF($F17="Aplica",$K17,"")</f>
        <v/>
      </c>
      <c r="W17">
        <f>IF(AND($F17="Aplica",$D17="Organizacional"),$K17,"")</f>
        <v/>
      </c>
      <c r="X17">
        <f>IF(AND($F17="Aplica",$D17="Personas"),$K17,"")</f>
        <v/>
      </c>
      <c r="Y17">
        <f>IF(AND($F17="Aplica",$D17="Físico"),$K17,"")</f>
        <v/>
      </c>
      <c r="Z17">
        <f>IF(AND($F17="Aplica",$D17="Tecnológico"),$K17,"")</f>
        <v/>
      </c>
    </row>
    <row r="18">
      <c r="B18" s="73" t="inlineStr">
        <is>
          <t>A.5.13</t>
        </is>
      </c>
      <c r="C18" s="69" t="inlineStr">
        <is>
          <t>Etiquetado de la información</t>
        </is>
      </c>
      <c r="D18" s="74" t="inlineStr">
        <is>
          <t>Organizacional</t>
        </is>
      </c>
      <c r="E18" s="69" t="inlineStr">
        <is>
          <t>Protección de la información</t>
        </is>
      </c>
      <c r="F18" s="75" t="inlineStr">
        <is>
          <t>Aplica</t>
        </is>
      </c>
      <c r="G18" s="76" t="inlineStr">
        <is>
          <t>L0 — Inexistente</t>
        </is>
      </c>
      <c r="H18" s="76" t="inlineStr">
        <is>
          <t>L4 — Gestionado y medible</t>
        </is>
      </c>
      <c r="I18" s="76" t="inlineStr">
        <is>
          <t>L4 — Gestionado y medible</t>
        </is>
      </c>
      <c r="J18" s="77">
        <f>IF($F18="No aplica","",IFERROR(VLOOKUP(H18,MgMad,2,0),0))</f>
        <v/>
      </c>
      <c r="K18" s="78">
        <f>IF($F18="No aplica","",IFERROR(VALUE(MID(H18,2,1)),""))</f>
        <v/>
      </c>
      <c r="L18" s="78">
        <f>IF($F18="No aplica","",IFERROR(VALUE(MID(I18,2,1)),""))</f>
        <v/>
      </c>
      <c r="M18" s="78">
        <f>IF($F18="No aplica","",MAX(0,L18-K18))</f>
        <v/>
      </c>
      <c r="N18" s="79">
        <f>IF($F18="No aplica","No aplica",IF(M18=0,"Cumple el objetivo",IF(K18&gt;=3,"Gestionado, con brecha","Brecha prioritaria")))</f>
        <v/>
      </c>
      <c r="O18" s="78">
        <f>IF($F18="No aplica","",K18-IFERROR(VALUE(MID(G18,2,1)),0))</f>
        <v/>
      </c>
      <c r="P18" s="76" t="inlineStr">
        <is>
          <t>Matriz de etiquetado y etiquetas automáticas de Purview en producción.</t>
        </is>
      </c>
      <c r="Q18" s="75" t="inlineStr"/>
      <c r="R18" s="80" t="n"/>
      <c r="S18" s="69" t="inlineStr">
        <is>
          <t>A.19, E.14</t>
        </is>
      </c>
      <c r="T18" s="78">
        <f>SUMPRODUCT(--ISNUMBER(SEARCH($B18&amp;" — ",'2. Valoración '!$AB$6:$AB$2261)))</f>
        <v/>
      </c>
      <c r="U18">
        <f>IF($F18="No aplica","",IFERROR(VALUE(MID($G18,2,1)),""))</f>
        <v/>
      </c>
      <c r="V18">
        <f>IF($F18="Aplica",$K18,"")</f>
        <v/>
      </c>
      <c r="W18">
        <f>IF(AND($F18="Aplica",$D18="Organizacional"),$K18,"")</f>
        <v/>
      </c>
      <c r="X18">
        <f>IF(AND($F18="Aplica",$D18="Personas"),$K18,"")</f>
        <v/>
      </c>
      <c r="Y18">
        <f>IF(AND($F18="Aplica",$D18="Físico"),$K18,"")</f>
        <v/>
      </c>
      <c r="Z18">
        <f>IF(AND($F18="Aplica",$D18="Tecnológico"),$K18,"")</f>
        <v/>
      </c>
    </row>
    <row r="19">
      <c r="B19" s="73" t="inlineStr">
        <is>
          <t>A.5.14</t>
        </is>
      </c>
      <c r="C19" s="69" t="inlineStr">
        <is>
          <t>Transferencia de información</t>
        </is>
      </c>
      <c r="D19" s="74" t="inlineStr">
        <is>
          <t>Organizacional</t>
        </is>
      </c>
      <c r="E19" s="69" t="inlineStr">
        <is>
          <t>Protección de la información</t>
        </is>
      </c>
      <c r="F19" s="75" t="inlineStr">
        <is>
          <t>Aplica</t>
        </is>
      </c>
      <c r="G19" s="76" t="inlineStr">
        <is>
          <t>L0 — Inexistente</t>
        </is>
      </c>
      <c r="H19" s="76" t="inlineStr">
        <is>
          <t>L3 — Proceso definido</t>
        </is>
      </c>
      <c r="I19" s="76" t="inlineStr">
        <is>
          <t>L4 — Gestionado y medible</t>
        </is>
      </c>
      <c r="J19" s="77">
        <f>IF($F19="No aplica","",IFERROR(VLOOKUP(H19,MgMad,2,0),0))</f>
        <v/>
      </c>
      <c r="K19" s="78">
        <f>IF($F19="No aplica","",IFERROR(VALUE(MID(H19,2,1)),""))</f>
        <v/>
      </c>
      <c r="L19" s="78">
        <f>IF($F19="No aplica","",IFERROR(VALUE(MID(I19,2,1)),""))</f>
        <v/>
      </c>
      <c r="M19" s="78">
        <f>IF($F19="No aplica","",MAX(0,L19-K19))</f>
        <v/>
      </c>
      <c r="N19" s="79">
        <f>IF($F19="No aplica","No aplica",IF(M19=0,"Cumple el objetivo",IF(K19&gt;=3,"Gestionado, con brecha","Brecha prioritaria")))</f>
        <v/>
      </c>
      <c r="O19" s="78">
        <f>IF($F19="No aplica","",K19-IFERROR(VALUE(MID(G19,2,1)),0))</f>
        <v/>
      </c>
      <c r="P19" s="76" t="inlineStr">
        <is>
          <t>Acuerdo de transferencia A5.14 y políticas DLP de Purview activas.</t>
        </is>
      </c>
      <c r="Q19" s="75" t="inlineStr"/>
      <c r="R19" s="80" t="n"/>
      <c r="S19" s="69" t="inlineStr">
        <is>
          <t>A.30, E.14, E.19</t>
        </is>
      </c>
      <c r="T19" s="78">
        <f>SUMPRODUCT(--ISNUMBER(SEARCH($B19&amp;" — ",'2. Valoración '!$AB$6:$AB$2261)))</f>
        <v/>
      </c>
      <c r="U19">
        <f>IF($F19="No aplica","",IFERROR(VALUE(MID($G19,2,1)),""))</f>
        <v/>
      </c>
      <c r="V19">
        <f>IF($F19="Aplica",$K19,"")</f>
        <v/>
      </c>
      <c r="W19">
        <f>IF(AND($F19="Aplica",$D19="Organizacional"),$K19,"")</f>
        <v/>
      </c>
      <c r="X19">
        <f>IF(AND($F19="Aplica",$D19="Personas"),$K19,"")</f>
        <v/>
      </c>
      <c r="Y19">
        <f>IF(AND($F19="Aplica",$D19="Físico"),$K19,"")</f>
        <v/>
      </c>
      <c r="Z19">
        <f>IF(AND($F19="Aplica",$D19="Tecnológico"),$K19,"")</f>
        <v/>
      </c>
    </row>
    <row r="20">
      <c r="B20" s="73" t="inlineStr">
        <is>
          <t>A.5.15</t>
        </is>
      </c>
      <c r="C20" s="69" t="inlineStr">
        <is>
          <t>Control de acceso</t>
        </is>
      </c>
      <c r="D20" s="74" t="inlineStr">
        <is>
          <t>Organizacional</t>
        </is>
      </c>
      <c r="E20" s="69" t="inlineStr">
        <is>
          <t>Gestión de identidad y acceso</t>
        </is>
      </c>
      <c r="F20" s="75" t="inlineStr">
        <is>
          <t>Aplica</t>
        </is>
      </c>
      <c r="G20" s="76" t="inlineStr">
        <is>
          <t>L0 — Inexistente</t>
        </is>
      </c>
      <c r="H20" s="76" t="inlineStr">
        <is>
          <t>L4 — Gestionado y medible</t>
        </is>
      </c>
      <c r="I20" s="76" t="inlineStr">
        <is>
          <t>L4 — Gestionado y medible</t>
        </is>
      </c>
      <c r="J20" s="77">
        <f>IF($F20="No aplica","",IFERROR(VLOOKUP(H20,MgMad,2,0),0))</f>
        <v/>
      </c>
      <c r="K20" s="78">
        <f>IF($F20="No aplica","",IFERROR(VALUE(MID(H20,2,1)),""))</f>
        <v/>
      </c>
      <c r="L20" s="78">
        <f>IF($F20="No aplica","",IFERROR(VALUE(MID(I20,2,1)),""))</f>
        <v/>
      </c>
      <c r="M20" s="78">
        <f>IF($F20="No aplica","",MAX(0,L20-K20))</f>
        <v/>
      </c>
      <c r="N20" s="79">
        <f>IF($F20="No aplica","No aplica",IF(M20=0,"Cumple el objetivo",IF(K20&gt;=3,"Gestionado, con brecha","Brecha prioritaria")))</f>
        <v/>
      </c>
      <c r="O20" s="78">
        <f>IF($F20="No aplica","",K20-IFERROR(VALUE(MID(G20,2,1)),0))</f>
        <v/>
      </c>
      <c r="P20" s="76" t="inlineStr">
        <is>
          <t>Entra ID con acceso condicional y revisión periódica de accesos ejecutada.</t>
        </is>
      </c>
      <c r="Q20" s="75" t="inlineStr"/>
      <c r="R20" s="80" t="n"/>
      <c r="S20" s="69" t="inlineStr">
        <is>
          <t>A.11</t>
        </is>
      </c>
      <c r="T20" s="78">
        <f>SUMPRODUCT(--ISNUMBER(SEARCH($B20&amp;" — ",'2. Valoración '!$AB$6:$AB$2261)))</f>
        <v/>
      </c>
      <c r="U20">
        <f>IF($F20="No aplica","",IFERROR(VALUE(MID($G20,2,1)),""))</f>
        <v/>
      </c>
      <c r="V20">
        <f>IF($F20="Aplica",$K20,"")</f>
        <v/>
      </c>
      <c r="W20">
        <f>IF(AND($F20="Aplica",$D20="Organizacional"),$K20,"")</f>
        <v/>
      </c>
      <c r="X20">
        <f>IF(AND($F20="Aplica",$D20="Personas"),$K20,"")</f>
        <v/>
      </c>
      <c r="Y20">
        <f>IF(AND($F20="Aplica",$D20="Físico"),$K20,"")</f>
        <v/>
      </c>
      <c r="Z20">
        <f>IF(AND($F20="Aplica",$D20="Tecnológico"),$K20,"")</f>
        <v/>
      </c>
    </row>
    <row r="21">
      <c r="B21" s="73" t="inlineStr">
        <is>
          <t>A.5.16</t>
        </is>
      </c>
      <c r="C21" s="69" t="inlineStr">
        <is>
          <t>Gestión de identidades</t>
        </is>
      </c>
      <c r="D21" s="74" t="inlineStr">
        <is>
          <t>Organizacional</t>
        </is>
      </c>
      <c r="E21" s="69" t="inlineStr">
        <is>
          <t>Gestión de identidad y acceso</t>
        </is>
      </c>
      <c r="F21" s="75" t="inlineStr">
        <is>
          <t>Aplica</t>
        </is>
      </c>
      <c r="G21" s="76" t="inlineStr">
        <is>
          <t>L0 — Inexistente</t>
        </is>
      </c>
      <c r="H21" s="76" t="inlineStr">
        <is>
          <t>L4 — Gestionado y medible</t>
        </is>
      </c>
      <c r="I21" s="76" t="inlineStr">
        <is>
          <t>L4 — Gestionado y medible</t>
        </is>
      </c>
      <c r="J21" s="77">
        <f>IF($F21="No aplica","",IFERROR(VLOOKUP(H21,MgMad,2,0),0))</f>
        <v/>
      </c>
      <c r="K21" s="78">
        <f>IF($F21="No aplica","",IFERROR(VALUE(MID(H21,2,1)),""))</f>
        <v/>
      </c>
      <c r="L21" s="78">
        <f>IF($F21="No aplica","",IFERROR(VALUE(MID(I21,2,1)),""))</f>
        <v/>
      </c>
      <c r="M21" s="78">
        <f>IF($F21="No aplica","",MAX(0,L21-K21))</f>
        <v/>
      </c>
      <c r="N21" s="79">
        <f>IF($F21="No aplica","No aplica",IF(M21=0,"Cumple el objetivo",IF(K21&gt;=3,"Gestionado, con brecha","Brecha prioritaria")))</f>
        <v/>
      </c>
      <c r="O21" s="78">
        <f>IF($F21="No aplica","",K21-IFERROR(VALUE(MID(G21,2,1)),0))</f>
        <v/>
      </c>
      <c r="P21" s="76" t="inlineStr">
        <is>
          <t>Ciclo de identidad gestionado en Entra ID, alta y baja ligadas a Talento Humano.</t>
        </is>
      </c>
      <c r="Q21" s="75" t="inlineStr"/>
      <c r="R21" s="80" t="n"/>
      <c r="S21" s="69" t="inlineStr">
        <is>
          <t>A.5</t>
        </is>
      </c>
      <c r="T21" s="78">
        <f>SUMPRODUCT(--ISNUMBER(SEARCH($B21&amp;" — ",'2. Valoración '!$AB$6:$AB$2261)))</f>
        <v/>
      </c>
      <c r="U21">
        <f>IF($F21="No aplica","",IFERROR(VALUE(MID($G21,2,1)),""))</f>
        <v/>
      </c>
      <c r="V21">
        <f>IF($F21="Aplica",$K21,"")</f>
        <v/>
      </c>
      <c r="W21">
        <f>IF(AND($F21="Aplica",$D21="Organizacional"),$K21,"")</f>
        <v/>
      </c>
      <c r="X21">
        <f>IF(AND($F21="Aplica",$D21="Personas"),$K21,"")</f>
        <v/>
      </c>
      <c r="Y21">
        <f>IF(AND($F21="Aplica",$D21="Físico"),$K21,"")</f>
        <v/>
      </c>
      <c r="Z21">
        <f>IF(AND($F21="Aplica",$D21="Tecnológico"),$K21,"")</f>
        <v/>
      </c>
    </row>
    <row r="22">
      <c r="B22" s="73" t="inlineStr">
        <is>
          <t>A.5.17</t>
        </is>
      </c>
      <c r="C22" s="69" t="inlineStr">
        <is>
          <t>Información de autenticación</t>
        </is>
      </c>
      <c r="D22" s="74" t="inlineStr">
        <is>
          <t>Organizacional</t>
        </is>
      </c>
      <c r="E22" s="69" t="inlineStr">
        <is>
          <t>Gestión de identidad y acceso</t>
        </is>
      </c>
      <c r="F22" s="75" t="inlineStr">
        <is>
          <t>Aplica</t>
        </is>
      </c>
      <c r="G22" s="76" t="inlineStr">
        <is>
          <t>L0 — Inexistente</t>
        </is>
      </c>
      <c r="H22" s="76" t="inlineStr">
        <is>
          <t>L4 — Gestionado y medible</t>
        </is>
      </c>
      <c r="I22" s="76" t="inlineStr">
        <is>
          <t>L4 — Gestionado y medible</t>
        </is>
      </c>
      <c r="J22" s="77">
        <f>IF($F22="No aplica","",IFERROR(VLOOKUP(H22,MgMad,2,0),0))</f>
        <v/>
      </c>
      <c r="K22" s="78">
        <f>IF($F22="No aplica","",IFERROR(VALUE(MID(H22,2,1)),""))</f>
        <v/>
      </c>
      <c r="L22" s="78">
        <f>IF($F22="No aplica","",IFERROR(VALUE(MID(I22,2,1)),""))</f>
        <v/>
      </c>
      <c r="M22" s="78">
        <f>IF($F22="No aplica","",MAX(0,L22-K22))</f>
        <v/>
      </c>
      <c r="N22" s="79">
        <f>IF($F22="No aplica","No aplica",IF(M22=0,"Cumple el objetivo",IF(K22&gt;=3,"Gestionado, con brecha","Brecha prioritaria")))</f>
        <v/>
      </c>
      <c r="O22" s="78">
        <f>IF($F22="No aplica","",K22-IFERROR(VALUE(MID(G22,2,1)),0))</f>
        <v/>
      </c>
      <c r="P22" s="76" t="inlineStr">
        <is>
          <t>MFA universal obligatorio; política de credenciales aplicada por Entra.</t>
        </is>
      </c>
      <c r="Q22" s="75" t="inlineStr"/>
      <c r="R22" s="80" t="n"/>
      <c r="S22" s="69" t="inlineStr">
        <is>
          <t>A.30, A.5</t>
        </is>
      </c>
      <c r="T22" s="78">
        <f>SUMPRODUCT(--ISNUMBER(SEARCH($B22&amp;" — ",'2. Valoración '!$AB$6:$AB$2261)))</f>
        <v/>
      </c>
      <c r="U22">
        <f>IF($F22="No aplica","",IFERROR(VALUE(MID($G22,2,1)),""))</f>
        <v/>
      </c>
      <c r="V22">
        <f>IF($F22="Aplica",$K22,"")</f>
        <v/>
      </c>
      <c r="W22">
        <f>IF(AND($F22="Aplica",$D22="Organizacional"),$K22,"")</f>
        <v/>
      </c>
      <c r="X22">
        <f>IF(AND($F22="Aplica",$D22="Personas"),$K22,"")</f>
        <v/>
      </c>
      <c r="Y22">
        <f>IF(AND($F22="Aplica",$D22="Físico"),$K22,"")</f>
        <v/>
      </c>
      <c r="Z22">
        <f>IF(AND($F22="Aplica",$D22="Tecnológico"),$K22,"")</f>
        <v/>
      </c>
    </row>
    <row r="23">
      <c r="B23" s="73" t="inlineStr">
        <is>
          <t>A.5.18</t>
        </is>
      </c>
      <c r="C23" s="69" t="inlineStr">
        <is>
          <t>Derechos de acceso</t>
        </is>
      </c>
      <c r="D23" s="74" t="inlineStr">
        <is>
          <t>Organizacional</t>
        </is>
      </c>
      <c r="E23" s="69" t="inlineStr">
        <is>
          <t>Gestión de identidad y acceso</t>
        </is>
      </c>
      <c r="F23" s="75" t="inlineStr">
        <is>
          <t>Aplica</t>
        </is>
      </c>
      <c r="G23" s="76" t="inlineStr">
        <is>
          <t>L0 — Inexistente</t>
        </is>
      </c>
      <c r="H23" s="76" t="inlineStr">
        <is>
          <t>L4 — Gestionado y medible</t>
        </is>
      </c>
      <c r="I23" s="76" t="inlineStr">
        <is>
          <t>L5 — Optimizado</t>
        </is>
      </c>
      <c r="J23" s="77">
        <f>IF($F23="No aplica","",IFERROR(VLOOKUP(H23,MgMad,2,0),0))</f>
        <v/>
      </c>
      <c r="K23" s="78">
        <f>IF($F23="No aplica","",IFERROR(VALUE(MID(H23,2,1)),""))</f>
        <v/>
      </c>
      <c r="L23" s="78">
        <f>IF($F23="No aplica","",IFERROR(VALUE(MID(I23,2,1)),""))</f>
        <v/>
      </c>
      <c r="M23" s="78">
        <f>IF($F23="No aplica","",MAX(0,L23-K23))</f>
        <v/>
      </c>
      <c r="N23" s="79">
        <f>IF($F23="No aplica","No aplica",IF(M23=0,"Cumple el objetivo",IF(K23&gt;=3,"Gestionado, con brecha","Brecha prioritaria")))</f>
        <v/>
      </c>
      <c r="O23" s="78">
        <f>IF($F23="No aplica","",K23-IFERROR(VALUE(MID(G23,2,1)),0))</f>
        <v/>
      </c>
      <c r="P23" s="76" t="inlineStr">
        <is>
          <t>Recertificación de accesos ejecutada con evidencia.</t>
        </is>
      </c>
      <c r="Q23" s="75" t="inlineStr"/>
      <c r="R23" s="80" t="n"/>
      <c r="S23" s="69" t="inlineStr">
        <is>
          <t>A.6</t>
        </is>
      </c>
      <c r="T23" s="78">
        <f>SUMPRODUCT(--ISNUMBER(SEARCH($B23&amp;" — ",'2. Valoración '!$AB$6:$AB$2261)))</f>
        <v/>
      </c>
      <c r="U23">
        <f>IF($F23="No aplica","",IFERROR(VALUE(MID($G23,2,1)),""))</f>
        <v/>
      </c>
      <c r="V23">
        <f>IF($F23="Aplica",$K23,"")</f>
        <v/>
      </c>
      <c r="W23">
        <f>IF(AND($F23="Aplica",$D23="Organizacional"),$K23,"")</f>
        <v/>
      </c>
      <c r="X23">
        <f>IF(AND($F23="Aplica",$D23="Personas"),$K23,"")</f>
        <v/>
      </c>
      <c r="Y23">
        <f>IF(AND($F23="Aplica",$D23="Físico"),$K23,"")</f>
        <v/>
      </c>
      <c r="Z23">
        <f>IF(AND($F23="Aplica",$D23="Tecnológico"),$K23,"")</f>
        <v/>
      </c>
    </row>
    <row r="24">
      <c r="B24" s="73" t="inlineStr">
        <is>
          <t>A.5.19</t>
        </is>
      </c>
      <c r="C24" s="69" t="inlineStr">
        <is>
          <t>Seguridad de la información en las relaciones con proveedores</t>
        </is>
      </c>
      <c r="D24" s="74" t="inlineStr">
        <is>
          <t>Organizacional</t>
        </is>
      </c>
      <c r="E24" s="69" t="inlineStr">
        <is>
          <t>Seguridad de proveedores</t>
        </is>
      </c>
      <c r="F24" s="75" t="inlineStr">
        <is>
          <t>Aplica</t>
        </is>
      </c>
      <c r="G24" s="76" t="inlineStr">
        <is>
          <t>L0 — Inexistente</t>
        </is>
      </c>
      <c r="H24" s="76" t="inlineStr">
        <is>
          <t>L3 — Proceso definido</t>
        </is>
      </c>
      <c r="I24" s="76" t="inlineStr">
        <is>
          <t>L4 — Gestionado y medible</t>
        </is>
      </c>
      <c r="J24" s="77">
        <f>IF($F24="No aplica","",IFERROR(VLOOKUP(H24,MgMad,2,0),0))</f>
        <v/>
      </c>
      <c r="K24" s="78">
        <f>IF($F24="No aplica","",IFERROR(VALUE(MID(H24,2,1)),""))</f>
        <v/>
      </c>
      <c r="L24" s="78">
        <f>IF($F24="No aplica","",IFERROR(VALUE(MID(I24,2,1)),""))</f>
        <v/>
      </c>
      <c r="M24" s="78">
        <f>IF($F24="No aplica","",MAX(0,L24-K24))</f>
        <v/>
      </c>
      <c r="N24" s="79">
        <f>IF($F24="No aplica","No aplica",IF(M24=0,"Cumple el objetivo",IF(K24&gt;=3,"Gestionado, con brecha","Brecha prioritaria")))</f>
        <v/>
      </c>
      <c r="O24" s="78">
        <f>IF($F24="No aplica","",K24-IFERROR(VALUE(MID(G24,2,1)),0))</f>
        <v/>
      </c>
      <c r="P24" s="76" t="inlineStr">
        <is>
          <t>PRO-LCO-01 de selección y contratación con criterios de seguridad.</t>
        </is>
      </c>
      <c r="Q24" s="75" t="inlineStr"/>
      <c r="R24" s="80" t="n"/>
      <c r="S24" s="69" t="inlineStr">
        <is>
          <t>I.9</t>
        </is>
      </c>
      <c r="T24" s="78">
        <f>SUMPRODUCT(--ISNUMBER(SEARCH($B24&amp;" — ",'2. Valoración '!$AB$6:$AB$2261)))</f>
        <v/>
      </c>
      <c r="U24">
        <f>IF($F24="No aplica","",IFERROR(VALUE(MID($G24,2,1)),""))</f>
        <v/>
      </c>
      <c r="V24">
        <f>IF($F24="Aplica",$K24,"")</f>
        <v/>
      </c>
      <c r="W24">
        <f>IF(AND($F24="Aplica",$D24="Organizacional"),$K24,"")</f>
        <v/>
      </c>
      <c r="X24">
        <f>IF(AND($F24="Aplica",$D24="Personas"),$K24,"")</f>
        <v/>
      </c>
      <c r="Y24">
        <f>IF(AND($F24="Aplica",$D24="Físico"),$K24,"")</f>
        <v/>
      </c>
      <c r="Z24">
        <f>IF(AND($F24="Aplica",$D24="Tecnológico"),$K24,"")</f>
        <v/>
      </c>
    </row>
    <row r="25">
      <c r="B25" s="73" t="inlineStr">
        <is>
          <t>A.5.20</t>
        </is>
      </c>
      <c r="C25" s="69" t="inlineStr">
        <is>
          <t>Tratamiento de la seguridad en los acuerdos con proveedores</t>
        </is>
      </c>
      <c r="D25" s="74" t="inlineStr">
        <is>
          <t>Organizacional</t>
        </is>
      </c>
      <c r="E25" s="69" t="inlineStr">
        <is>
          <t>Seguridad de proveedores</t>
        </is>
      </c>
      <c r="F25" s="75" t="inlineStr">
        <is>
          <t>Aplica</t>
        </is>
      </c>
      <c r="G25" s="76" t="inlineStr">
        <is>
          <t>L0 — Inexistente</t>
        </is>
      </c>
      <c r="H25" s="76" t="inlineStr">
        <is>
          <t>L3 — Proceso definido</t>
        </is>
      </c>
      <c r="I25" s="76" t="inlineStr">
        <is>
          <t>L4 — Gestionado y medible</t>
        </is>
      </c>
      <c r="J25" s="77">
        <f>IF($F25="No aplica","",IFERROR(VLOOKUP(H25,MgMad,2,0),0))</f>
        <v/>
      </c>
      <c r="K25" s="78">
        <f>IF($F25="No aplica","",IFERROR(VALUE(MID(H25,2,1)),""))</f>
        <v/>
      </c>
      <c r="L25" s="78">
        <f>IF($F25="No aplica","",IFERROR(VALUE(MID(I25,2,1)),""))</f>
        <v/>
      </c>
      <c r="M25" s="78">
        <f>IF($F25="No aplica","",MAX(0,L25-K25))</f>
        <v/>
      </c>
      <c r="N25" s="79">
        <f>IF($F25="No aplica","No aplica",IF(M25=0,"Cumple el objetivo",IF(K25&gt;=3,"Gestionado, con brecha","Brecha prioritaria")))</f>
        <v/>
      </c>
      <c r="O25" s="78">
        <f>IF($F25="No aplica","",K25-IFERROR(VALUE(MID(G25,2,1)),0))</f>
        <v/>
      </c>
      <c r="P25" s="76" t="inlineStr">
        <is>
          <t>Cláusulas de seguridad y confidencialidad en los contratos vigentes.</t>
        </is>
      </c>
      <c r="Q25" s="75" t="inlineStr"/>
      <c r="R25" s="80" t="n"/>
      <c r="S25" s="69" t="inlineStr">
        <is>
          <t>I.9</t>
        </is>
      </c>
      <c r="T25" s="78">
        <f>SUMPRODUCT(--ISNUMBER(SEARCH($B25&amp;" — ",'2. Valoración '!$AB$6:$AB$2261)))</f>
        <v/>
      </c>
      <c r="U25">
        <f>IF($F25="No aplica","",IFERROR(VALUE(MID($G25,2,1)),""))</f>
        <v/>
      </c>
      <c r="V25">
        <f>IF($F25="Aplica",$K25,"")</f>
        <v/>
      </c>
      <c r="W25">
        <f>IF(AND($F25="Aplica",$D25="Organizacional"),$K25,"")</f>
        <v/>
      </c>
      <c r="X25">
        <f>IF(AND($F25="Aplica",$D25="Personas"),$K25,"")</f>
        <v/>
      </c>
      <c r="Y25">
        <f>IF(AND($F25="Aplica",$D25="Físico"),$K25,"")</f>
        <v/>
      </c>
      <c r="Z25">
        <f>IF(AND($F25="Aplica",$D25="Tecnológico"),$K25,"")</f>
        <v/>
      </c>
    </row>
    <row r="26">
      <c r="B26" s="73" t="inlineStr">
        <is>
          <t>A.5.21</t>
        </is>
      </c>
      <c r="C26" s="69" t="inlineStr">
        <is>
          <t>Gestión de la seguridad en la cadena de suministro TIC</t>
        </is>
      </c>
      <c r="D26" s="74" t="inlineStr">
        <is>
          <t>Organizacional</t>
        </is>
      </c>
      <c r="E26" s="69" t="inlineStr">
        <is>
          <t>Seguridad de proveedores</t>
        </is>
      </c>
      <c r="F26" s="75" t="inlineStr">
        <is>
          <t>Aplica</t>
        </is>
      </c>
      <c r="G26" s="76" t="inlineStr">
        <is>
          <t>L0 — Inexistente</t>
        </is>
      </c>
      <c r="H26" s="76" t="inlineStr">
        <is>
          <t>L3 — Proceso definido</t>
        </is>
      </c>
      <c r="I26" s="76" t="inlineStr">
        <is>
          <t>L4 — Gestionado y medible</t>
        </is>
      </c>
      <c r="J26" s="77">
        <f>IF($F26="No aplica","",IFERROR(VLOOKUP(H26,MgMad,2,0),0))</f>
        <v/>
      </c>
      <c r="K26" s="78">
        <f>IF($F26="No aplica","",IFERROR(VALUE(MID(H26,2,1)),""))</f>
        <v/>
      </c>
      <c r="L26" s="78">
        <f>IF($F26="No aplica","",IFERROR(VALUE(MID(I26,2,1)),""))</f>
        <v/>
      </c>
      <c r="M26" s="78">
        <f>IF($F26="No aplica","",MAX(0,L26-K26))</f>
        <v/>
      </c>
      <c r="N26" s="79">
        <f>IF($F26="No aplica","No aplica",IF(M26=0,"Cumple el objetivo",IF(K26&gt;=3,"Gestionado, con brecha","Brecha prioritaria")))</f>
        <v/>
      </c>
      <c r="O26" s="78">
        <f>IF($F26="No aplica","",K26-IFERROR(VALUE(MID(G26,2,1)),0))</f>
        <v/>
      </c>
      <c r="P26" s="76" t="inlineStr">
        <is>
          <t>Análisis de composición de software en el pipeline cubre la cadena de suministro técnica; falta el tramo contractual.</t>
        </is>
      </c>
      <c r="Q26" s="75" t="inlineStr"/>
      <c r="R26" s="80" t="n"/>
      <c r="S26" s="69" t="inlineStr">
        <is>
          <t>A.22</t>
        </is>
      </c>
      <c r="T26" s="78">
        <f>SUMPRODUCT(--ISNUMBER(SEARCH($B26&amp;" — ",'2. Valoración '!$AB$6:$AB$2261)))</f>
        <v/>
      </c>
      <c r="U26">
        <f>IF($F26="No aplica","",IFERROR(VALUE(MID($G26,2,1)),""))</f>
        <v/>
      </c>
      <c r="V26">
        <f>IF($F26="Aplica",$K26,"")</f>
        <v/>
      </c>
      <c r="W26">
        <f>IF(AND($F26="Aplica",$D26="Organizacional"),$K26,"")</f>
        <v/>
      </c>
      <c r="X26">
        <f>IF(AND($F26="Aplica",$D26="Personas"),$K26,"")</f>
        <v/>
      </c>
      <c r="Y26">
        <f>IF(AND($F26="Aplica",$D26="Físico"),$K26,"")</f>
        <v/>
      </c>
      <c r="Z26">
        <f>IF(AND($F26="Aplica",$D26="Tecnológico"),$K26,"")</f>
        <v/>
      </c>
    </row>
    <row r="27">
      <c r="B27" s="73" t="inlineStr">
        <is>
          <t>A.5.22</t>
        </is>
      </c>
      <c r="C27" s="69" t="inlineStr">
        <is>
          <t>Seguimiento, revisión y gestión de cambios de servicios de proveedores</t>
        </is>
      </c>
      <c r="D27" s="74" t="inlineStr">
        <is>
          <t>Organizacional</t>
        </is>
      </c>
      <c r="E27" s="69" t="inlineStr">
        <is>
          <t>Seguridad de proveedores</t>
        </is>
      </c>
      <c r="F27" s="75" t="inlineStr">
        <is>
          <t>Aplica</t>
        </is>
      </c>
      <c r="G27" s="76" t="inlineStr">
        <is>
          <t>L0 — Inexistente</t>
        </is>
      </c>
      <c r="H27" s="76" t="inlineStr">
        <is>
          <t>L2 — Reproducible pero intuitivo</t>
        </is>
      </c>
      <c r="I27" s="76" t="inlineStr">
        <is>
          <t>L4 — Gestionado y medible</t>
        </is>
      </c>
      <c r="J27" s="77">
        <f>IF($F27="No aplica","",IFERROR(VLOOKUP(H27,MgMad,2,0),0))</f>
        <v/>
      </c>
      <c r="K27" s="78">
        <f>IF($F27="No aplica","",IFERROR(VALUE(MID(H27,2,1)),""))</f>
        <v/>
      </c>
      <c r="L27" s="78">
        <f>IF($F27="No aplica","",IFERROR(VALUE(MID(I27,2,1)),""))</f>
        <v/>
      </c>
      <c r="M27" s="78">
        <f>IF($F27="No aplica","",MAX(0,L27-K27))</f>
        <v/>
      </c>
      <c r="N27" s="79">
        <f>IF($F27="No aplica","No aplica",IF(M27=0,"Cumple el objetivo",IF(K27&gt;=3,"Gestionado, con brecha","Brecha prioritaria")))</f>
        <v/>
      </c>
      <c r="O27" s="78">
        <f>IF($F27="No aplica","",K27-IFERROR(VALUE(MID(G27,2,1)),0))</f>
        <v/>
      </c>
      <c r="P27" s="76" t="inlineStr">
        <is>
          <t>No hay seguimiento periódico del desempeño de los proveedores tecnológicos. Brecha principal del dominio.</t>
        </is>
      </c>
      <c r="Q27" s="75" t="inlineStr"/>
      <c r="R27" s="80" t="n"/>
      <c r="S27" s="69" t="inlineStr">
        <is>
          <t>I.8, I.9</t>
        </is>
      </c>
      <c r="T27" s="78">
        <f>SUMPRODUCT(--ISNUMBER(SEARCH($B27&amp;" — ",'2. Valoración '!$AB$6:$AB$2261)))</f>
        <v/>
      </c>
      <c r="U27">
        <f>IF($F27="No aplica","",IFERROR(VALUE(MID($G27,2,1)),""))</f>
        <v/>
      </c>
      <c r="V27">
        <f>IF($F27="Aplica",$K27,"")</f>
        <v/>
      </c>
      <c r="W27">
        <f>IF(AND($F27="Aplica",$D27="Organizacional"),$K27,"")</f>
        <v/>
      </c>
      <c r="X27">
        <f>IF(AND($F27="Aplica",$D27="Personas"),$K27,"")</f>
        <v/>
      </c>
      <c r="Y27">
        <f>IF(AND($F27="Aplica",$D27="Físico"),$K27,"")</f>
        <v/>
      </c>
      <c r="Z27">
        <f>IF(AND($F27="Aplica",$D27="Tecnológico"),$K27,"")</f>
        <v/>
      </c>
    </row>
    <row r="28">
      <c r="B28" s="73" t="inlineStr">
        <is>
          <t>A.5.23</t>
        </is>
      </c>
      <c r="C28" s="69" t="inlineStr">
        <is>
          <t>Seguridad de la información para el uso de servicios en la nube</t>
        </is>
      </c>
      <c r="D28" s="74" t="inlineStr">
        <is>
          <t>Organizacional</t>
        </is>
      </c>
      <c r="E28" s="69" t="inlineStr">
        <is>
          <t>Seguridad de proveedores</t>
        </is>
      </c>
      <c r="F28" s="75" t="inlineStr">
        <is>
          <t>Aplica</t>
        </is>
      </c>
      <c r="G28" s="76" t="inlineStr">
        <is>
          <t>L0 — Inexistente</t>
        </is>
      </c>
      <c r="H28" s="76" t="inlineStr">
        <is>
          <t>L3 — Proceso definido</t>
        </is>
      </c>
      <c r="I28" s="76" t="inlineStr">
        <is>
          <t>L4 — Gestionado y medible</t>
        </is>
      </c>
      <c r="J28" s="77">
        <f>IF($F28="No aplica","",IFERROR(VLOOKUP(H28,MgMad,2,0),0))</f>
        <v/>
      </c>
      <c r="K28" s="78">
        <f>IF($F28="No aplica","",IFERROR(VALUE(MID(H28,2,1)),""))</f>
        <v/>
      </c>
      <c r="L28" s="78">
        <f>IF($F28="No aplica","",IFERROR(VALUE(MID(I28,2,1)),""))</f>
        <v/>
      </c>
      <c r="M28" s="78">
        <f>IF($F28="No aplica","",MAX(0,L28-K28))</f>
        <v/>
      </c>
      <c r="N28" s="79">
        <f>IF($F28="No aplica","No aplica",IF(M28=0,"Cumple el objetivo",IF(K28&gt;=3,"Gestionado, con brecha","Brecha prioritaria")))</f>
        <v/>
      </c>
      <c r="O28" s="78">
        <f>IF($F28="No aplica","",K28-IFERROR(VALUE(MID(G28,2,1)),0))</f>
        <v/>
      </c>
      <c r="P28" s="76" t="inlineStr">
        <is>
          <t>Informes de evidencia ISO 27001 de AWS, Azure, GitHub, SharePoint y OneDrive archivados y revisados.</t>
        </is>
      </c>
      <c r="Q28" s="75" t="inlineStr"/>
      <c r="R28" s="80" t="n"/>
      <c r="S28" s="69" t="inlineStr">
        <is>
          <t>A.11, I.9</t>
        </is>
      </c>
      <c r="T28" s="78">
        <f>SUMPRODUCT(--ISNUMBER(SEARCH($B28&amp;" — ",'2. Valoración '!$AB$6:$AB$2261)))</f>
        <v/>
      </c>
      <c r="U28">
        <f>IF($F28="No aplica","",IFERROR(VALUE(MID($G28,2,1)),""))</f>
        <v/>
      </c>
      <c r="V28">
        <f>IF($F28="Aplica",$K28,"")</f>
        <v/>
      </c>
      <c r="W28">
        <f>IF(AND($F28="Aplica",$D28="Organizacional"),$K28,"")</f>
        <v/>
      </c>
      <c r="X28">
        <f>IF(AND($F28="Aplica",$D28="Personas"),$K28,"")</f>
        <v/>
      </c>
      <c r="Y28">
        <f>IF(AND($F28="Aplica",$D28="Físico"),$K28,"")</f>
        <v/>
      </c>
      <c r="Z28">
        <f>IF(AND($F28="Aplica",$D28="Tecnológico"),$K28,"")</f>
        <v/>
      </c>
    </row>
    <row r="29">
      <c r="B29" s="73" t="inlineStr">
        <is>
          <t>A.5.24</t>
        </is>
      </c>
      <c r="C29" s="69" t="inlineStr">
        <is>
          <t>Planificación y preparación de la gestión de incidentes</t>
        </is>
      </c>
      <c r="D29" s="74" t="inlineStr">
        <is>
          <t>Organizacional</t>
        </is>
      </c>
      <c r="E29" s="69" t="inlineStr">
        <is>
          <t>Gestión de eventos de seguridad</t>
        </is>
      </c>
      <c r="F29" s="75" t="inlineStr">
        <is>
          <t>Aplica</t>
        </is>
      </c>
      <c r="G29" s="76" t="inlineStr">
        <is>
          <t>L0 — Inexistente</t>
        </is>
      </c>
      <c r="H29" s="76" t="inlineStr">
        <is>
          <t>L4 — Gestionado y medible</t>
        </is>
      </c>
      <c r="I29" s="76" t="inlineStr">
        <is>
          <t>L4 — Gestionado y medible</t>
        </is>
      </c>
      <c r="J29" s="77">
        <f>IF($F29="No aplica","",IFERROR(VLOOKUP(H29,MgMad,2,0),0))</f>
        <v/>
      </c>
      <c r="K29" s="78">
        <f>IF($F29="No aplica","",IFERROR(VALUE(MID(H29,2,1)),""))</f>
        <v/>
      </c>
      <c r="L29" s="78">
        <f>IF($F29="No aplica","",IFERROR(VALUE(MID(I29,2,1)),""))</f>
        <v/>
      </c>
      <c r="M29" s="78">
        <f>IF($F29="No aplica","",MAX(0,L29-K29))</f>
        <v/>
      </c>
      <c r="N29" s="79">
        <f>IF($F29="No aplica","No aplica",IF(M29=0,"Cumple el objetivo",IF(K29&gt;=3,"Gestionado, con brecha","Brecha prioritaria")))</f>
        <v/>
      </c>
      <c r="O29" s="78">
        <f>IF($F29="No aplica","",K29-IFERROR(VALUE(MID(G29,2,1)),0))</f>
        <v/>
      </c>
      <c r="P29" s="76" t="inlineStr">
        <is>
          <t>POL-TEC-04 de gestión de incidentes con roles y escalamiento; ciclo ejercitado con casos reales.</t>
        </is>
      </c>
      <c r="Q29" s="75" t="inlineStr"/>
      <c r="R29" s="80" t="n"/>
      <c r="S29" s="69" t="inlineStr">
        <is>
          <t>A.11, A.8, E.3</t>
        </is>
      </c>
      <c r="T29" s="78">
        <f>SUMPRODUCT(--ISNUMBER(SEARCH($B29&amp;" — ",'2. Valoración '!$AB$6:$AB$2261)))</f>
        <v/>
      </c>
      <c r="U29">
        <f>IF($F29="No aplica","",IFERROR(VALUE(MID($G29,2,1)),""))</f>
        <v/>
      </c>
      <c r="V29">
        <f>IF($F29="Aplica",$K29,"")</f>
        <v/>
      </c>
      <c r="W29">
        <f>IF(AND($F29="Aplica",$D29="Organizacional"),$K29,"")</f>
        <v/>
      </c>
      <c r="X29">
        <f>IF(AND($F29="Aplica",$D29="Personas"),$K29,"")</f>
        <v/>
      </c>
      <c r="Y29">
        <f>IF(AND($F29="Aplica",$D29="Físico"),$K29,"")</f>
        <v/>
      </c>
      <c r="Z29">
        <f>IF(AND($F29="Aplica",$D29="Tecnológico"),$K29,"")</f>
        <v/>
      </c>
    </row>
    <row r="30">
      <c r="B30" s="73" t="inlineStr">
        <is>
          <t>A.5.25</t>
        </is>
      </c>
      <c r="C30" s="69" t="inlineStr">
        <is>
          <t>Evaluación y decisión sobre eventos de seguridad</t>
        </is>
      </c>
      <c r="D30" s="74" t="inlineStr">
        <is>
          <t>Organizacional</t>
        </is>
      </c>
      <c r="E30" s="69" t="inlineStr">
        <is>
          <t>Gestión de eventos de seguridad</t>
        </is>
      </c>
      <c r="F30" s="75" t="inlineStr">
        <is>
          <t>Aplica</t>
        </is>
      </c>
      <c r="G30" s="76" t="inlineStr">
        <is>
          <t>L0 — Inexistente</t>
        </is>
      </c>
      <c r="H30" s="76" t="inlineStr">
        <is>
          <t>L4 — Gestionado y medible</t>
        </is>
      </c>
      <c r="I30" s="76" t="inlineStr">
        <is>
          <t>L4 — Gestionado y medible</t>
        </is>
      </c>
      <c r="J30" s="77">
        <f>IF($F30="No aplica","",IFERROR(VLOOKUP(H30,MgMad,2,0),0))</f>
        <v/>
      </c>
      <c r="K30" s="78">
        <f>IF($F30="No aplica","",IFERROR(VALUE(MID(H30,2,1)),""))</f>
        <v/>
      </c>
      <c r="L30" s="78">
        <f>IF($F30="No aplica","",IFERROR(VALUE(MID(I30,2,1)),""))</f>
        <v/>
      </c>
      <c r="M30" s="78">
        <f>IF($F30="No aplica","",MAX(0,L30-K30))</f>
        <v/>
      </c>
      <c r="N30" s="79">
        <f>IF($F30="No aplica","No aplica",IF(M30=0,"Cumple el objetivo",IF(K30&gt;=3,"Gestionado, con brecha","Brecha prioritaria")))</f>
        <v/>
      </c>
      <c r="O30" s="78">
        <f>IF($F30="No aplica","",K30-IFERROR(VALUE(MID(G30,2,1)),0))</f>
        <v/>
      </c>
      <c r="P30" s="76" t="inlineStr">
        <is>
          <t>Microsoft Sentinel en producción con reglas de detección y triaje de eventos.</t>
        </is>
      </c>
      <c r="Q30" s="75" t="inlineStr"/>
      <c r="R30" s="80" t="n"/>
      <c r="S30" s="69" t="inlineStr">
        <is>
          <t>E.3</t>
        </is>
      </c>
      <c r="T30" s="78">
        <f>SUMPRODUCT(--ISNUMBER(SEARCH($B30&amp;" — ",'2. Valoración '!$AB$6:$AB$2261)))</f>
        <v/>
      </c>
      <c r="U30">
        <f>IF($F30="No aplica","",IFERROR(VALUE(MID($G30,2,1)),""))</f>
        <v/>
      </c>
      <c r="V30">
        <f>IF($F30="Aplica",$K30,"")</f>
        <v/>
      </c>
      <c r="W30">
        <f>IF(AND($F30="Aplica",$D30="Organizacional"),$K30,"")</f>
        <v/>
      </c>
      <c r="X30">
        <f>IF(AND($F30="Aplica",$D30="Personas"),$K30,"")</f>
        <v/>
      </c>
      <c r="Y30">
        <f>IF(AND($F30="Aplica",$D30="Físico"),$K30,"")</f>
        <v/>
      </c>
      <c r="Z30">
        <f>IF(AND($F30="Aplica",$D30="Tecnológico"),$K30,"")</f>
        <v/>
      </c>
    </row>
    <row r="31">
      <c r="B31" s="73" t="inlineStr">
        <is>
          <t>A.5.26</t>
        </is>
      </c>
      <c r="C31" s="69" t="inlineStr">
        <is>
          <t>Respuesta a incidentes de seguridad de la información</t>
        </is>
      </c>
      <c r="D31" s="74" t="inlineStr">
        <is>
          <t>Organizacional</t>
        </is>
      </c>
      <c r="E31" s="69" t="inlineStr">
        <is>
          <t>Gestión de eventos de seguridad</t>
        </is>
      </c>
      <c r="F31" s="75" t="inlineStr">
        <is>
          <t>Aplica</t>
        </is>
      </c>
      <c r="G31" s="76" t="inlineStr">
        <is>
          <t>L0 — Inexistente</t>
        </is>
      </c>
      <c r="H31" s="76" t="inlineStr">
        <is>
          <t>L4 — Gestionado y medible</t>
        </is>
      </c>
      <c r="I31" s="76" t="inlineStr">
        <is>
          <t>L4 — Gestionado y medible</t>
        </is>
      </c>
      <c r="J31" s="77">
        <f>IF($F31="No aplica","",IFERROR(VLOOKUP(H31,MgMad,2,0),0))</f>
        <v/>
      </c>
      <c r="K31" s="78">
        <f>IF($F31="No aplica","",IFERROR(VALUE(MID(H31,2,1)),""))</f>
        <v/>
      </c>
      <c r="L31" s="78">
        <f>IF($F31="No aplica","",IFERROR(VALUE(MID(I31,2,1)),""))</f>
        <v/>
      </c>
      <c r="M31" s="78">
        <f>IF($F31="No aplica","",MAX(0,L31-K31))</f>
        <v/>
      </c>
      <c r="N31" s="79">
        <f>IF($F31="No aplica","No aplica",IF(M31=0,"Cumple el objetivo",IF(K31&gt;=3,"Gestionado, con brecha","Brecha prioritaria")))</f>
        <v/>
      </c>
      <c r="O31" s="78">
        <f>IF($F31="No aplica","",K31-IFERROR(VALUE(MID(G31,2,1)),0))</f>
        <v/>
      </c>
      <c r="P31" s="76" t="inlineStr">
        <is>
          <t>Incidentes reales gestionados de punta a punta con registro.</t>
        </is>
      </c>
      <c r="Q31" s="75" t="inlineStr"/>
      <c r="R31" s="80" t="n"/>
      <c r="S31" s="69" t="inlineStr">
        <is>
          <t>A.18, A.24, A.29, A.8</t>
        </is>
      </c>
      <c r="T31" s="78">
        <f>SUMPRODUCT(--ISNUMBER(SEARCH($B31&amp;" — ",'2. Valoración '!$AB$6:$AB$2261)))</f>
        <v/>
      </c>
      <c r="U31">
        <f>IF($F31="No aplica","",IFERROR(VALUE(MID($G31,2,1)),""))</f>
        <v/>
      </c>
      <c r="V31">
        <f>IF($F31="Aplica",$K31,"")</f>
        <v/>
      </c>
      <c r="W31">
        <f>IF(AND($F31="Aplica",$D31="Organizacional"),$K31,"")</f>
        <v/>
      </c>
      <c r="X31">
        <f>IF(AND($F31="Aplica",$D31="Personas"),$K31,"")</f>
        <v/>
      </c>
      <c r="Y31">
        <f>IF(AND($F31="Aplica",$D31="Físico"),$K31,"")</f>
        <v/>
      </c>
      <c r="Z31">
        <f>IF(AND($F31="Aplica",$D31="Tecnológico"),$K31,"")</f>
        <v/>
      </c>
    </row>
    <row r="32">
      <c r="B32" s="73" t="inlineStr">
        <is>
          <t>A.5.27</t>
        </is>
      </c>
      <c r="C32" s="69" t="inlineStr">
        <is>
          <t>Aprendizaje de los incidentes de seguridad</t>
        </is>
      </c>
      <c r="D32" s="74" t="inlineStr">
        <is>
          <t>Organizacional</t>
        </is>
      </c>
      <c r="E32" s="69" t="inlineStr">
        <is>
          <t>Gestión de eventos de seguridad</t>
        </is>
      </c>
      <c r="F32" s="75" t="inlineStr">
        <is>
          <t>Aplica</t>
        </is>
      </c>
      <c r="G32" s="76" t="inlineStr">
        <is>
          <t>L0 — Inexistente</t>
        </is>
      </c>
      <c r="H32" s="76" t="inlineStr">
        <is>
          <t>L4 — Gestionado y medible</t>
        </is>
      </c>
      <c r="I32" s="76" t="inlineStr">
        <is>
          <t>L5 — Optimizado</t>
        </is>
      </c>
      <c r="J32" s="77">
        <f>IF($F32="No aplica","",IFERROR(VLOOKUP(H32,MgMad,2,0),0))</f>
        <v/>
      </c>
      <c r="K32" s="78">
        <f>IF($F32="No aplica","",IFERROR(VALUE(MID(H32,2,1)),""))</f>
        <v/>
      </c>
      <c r="L32" s="78">
        <f>IF($F32="No aplica","",IFERROR(VALUE(MID(I32,2,1)),""))</f>
        <v/>
      </c>
      <c r="M32" s="78">
        <f>IF($F32="No aplica","",MAX(0,L32-K32))</f>
        <v/>
      </c>
      <c r="N32" s="79">
        <f>IF($F32="No aplica","No aplica",IF(M32=0,"Cumple el objetivo",IF(K32&gt;=3,"Gestionado, con brecha","Brecha prioritaria")))</f>
        <v/>
      </c>
      <c r="O32" s="78">
        <f>IF($F32="No aplica","",K32-IFERROR(VALUE(MID(G32,2,1)),0))</f>
        <v/>
      </c>
      <c r="P32" s="76" t="inlineStr">
        <is>
          <t>Lecciones aprendidas documentadas y aplicadas a controles.</t>
        </is>
      </c>
      <c r="Q32" s="75" t="inlineStr"/>
      <c r="R32" s="80" t="n"/>
      <c r="S32" s="69" t="inlineStr">
        <is>
          <t>A.8</t>
        </is>
      </c>
      <c r="T32" s="78">
        <f>SUMPRODUCT(--ISNUMBER(SEARCH($B32&amp;" — ",'2. Valoración '!$AB$6:$AB$2261)))</f>
        <v/>
      </c>
      <c r="U32">
        <f>IF($F32="No aplica","",IFERROR(VALUE(MID($G32,2,1)),""))</f>
        <v/>
      </c>
      <c r="V32">
        <f>IF($F32="Aplica",$K32,"")</f>
        <v/>
      </c>
      <c r="W32">
        <f>IF(AND($F32="Aplica",$D32="Organizacional"),$K32,"")</f>
        <v/>
      </c>
      <c r="X32">
        <f>IF(AND($F32="Aplica",$D32="Personas"),$K32,"")</f>
        <v/>
      </c>
      <c r="Y32">
        <f>IF(AND($F32="Aplica",$D32="Físico"),$K32,"")</f>
        <v/>
      </c>
      <c r="Z32">
        <f>IF(AND($F32="Aplica",$D32="Tecnológico"),$K32,"")</f>
        <v/>
      </c>
    </row>
    <row r="33">
      <c r="B33" s="73" t="inlineStr">
        <is>
          <t>A.5.28</t>
        </is>
      </c>
      <c r="C33" s="69" t="inlineStr">
        <is>
          <t>Recolección de evidencia</t>
        </is>
      </c>
      <c r="D33" s="74" t="inlineStr">
        <is>
          <t>Organizacional</t>
        </is>
      </c>
      <c r="E33" s="69" t="inlineStr">
        <is>
          <t>Gestión de eventos de seguridad</t>
        </is>
      </c>
      <c r="F33" s="75" t="inlineStr">
        <is>
          <t>Aplica</t>
        </is>
      </c>
      <c r="G33" s="76" t="inlineStr">
        <is>
          <t>L0 — Inexistente</t>
        </is>
      </c>
      <c r="H33" s="76" t="inlineStr">
        <is>
          <t>L3 — Proceso definido</t>
        </is>
      </c>
      <c r="I33" s="76" t="inlineStr">
        <is>
          <t>L4 — Gestionado y medible</t>
        </is>
      </c>
      <c r="J33" s="77">
        <f>IF($F33="No aplica","",IFERROR(VLOOKUP(H33,MgMad,2,0),0))</f>
        <v/>
      </c>
      <c r="K33" s="78">
        <f>IF($F33="No aplica","",IFERROR(VALUE(MID(H33,2,1)),""))</f>
        <v/>
      </c>
      <c r="L33" s="78">
        <f>IF($F33="No aplica","",IFERROR(VALUE(MID(I33,2,1)),""))</f>
        <v/>
      </c>
      <c r="M33" s="78">
        <f>IF($F33="No aplica","",MAX(0,L33-K33))</f>
        <v/>
      </c>
      <c r="N33" s="79">
        <f>IF($F33="No aplica","No aplica",IF(M33=0,"Cumple el objetivo",IF(K33&gt;=3,"Gestionado, con brecha","Brecha prioritaria")))</f>
        <v/>
      </c>
      <c r="O33" s="78">
        <f>IF($F33="No aplica","",K33-IFERROR(VALUE(MID(G33,2,1)),0))</f>
        <v/>
      </c>
      <c r="P33" s="76" t="inlineStr">
        <is>
          <t>Retención de logs en Sentinel; falta procedimiento forense formalizado.</t>
        </is>
      </c>
      <c r="Q33" s="75" t="inlineStr"/>
      <c r="R33" s="80" t="n"/>
      <c r="S33" s="69" t="inlineStr">
        <is>
          <t>A.13, A.3</t>
        </is>
      </c>
      <c r="T33" s="78">
        <f>SUMPRODUCT(--ISNUMBER(SEARCH($B33&amp;" — ",'2. Valoración '!$AB$6:$AB$2261)))</f>
        <v/>
      </c>
      <c r="U33">
        <f>IF($F33="No aplica","",IFERROR(VALUE(MID($G33,2,1)),""))</f>
        <v/>
      </c>
      <c r="V33">
        <f>IF($F33="Aplica",$K33,"")</f>
        <v/>
      </c>
      <c r="W33">
        <f>IF(AND($F33="Aplica",$D33="Organizacional"),$K33,"")</f>
        <v/>
      </c>
      <c r="X33">
        <f>IF(AND($F33="Aplica",$D33="Personas"),$K33,"")</f>
        <v/>
      </c>
      <c r="Y33">
        <f>IF(AND($F33="Aplica",$D33="Físico"),$K33,"")</f>
        <v/>
      </c>
      <c r="Z33">
        <f>IF(AND($F33="Aplica",$D33="Tecnológico"),$K33,"")</f>
        <v/>
      </c>
    </row>
    <row r="34">
      <c r="B34" s="73" t="inlineStr">
        <is>
          <t>A.5.29</t>
        </is>
      </c>
      <c r="C34" s="69" t="inlineStr">
        <is>
          <t>Seguridad de la información durante la disrupción</t>
        </is>
      </c>
      <c r="D34" s="74" t="inlineStr">
        <is>
          <t>Organizacional</t>
        </is>
      </c>
      <c r="E34" s="69" t="inlineStr">
        <is>
          <t>Continuidad</t>
        </is>
      </c>
      <c r="F34" s="75" t="inlineStr">
        <is>
          <t>Aplica</t>
        </is>
      </c>
      <c r="G34" s="76" t="inlineStr">
        <is>
          <t>L0 — Inexistente</t>
        </is>
      </c>
      <c r="H34" s="76" t="inlineStr">
        <is>
          <t>L2 — Reproducible pero intuitivo</t>
        </is>
      </c>
      <c r="I34" s="76" t="inlineStr">
        <is>
          <t>L4 — Gestionado y medible</t>
        </is>
      </c>
      <c r="J34" s="77">
        <f>IF($F34="No aplica","",IFERROR(VLOOKUP(H34,MgMad,2,0),0))</f>
        <v/>
      </c>
      <c r="K34" s="78">
        <f>IF($F34="No aplica","",IFERROR(VALUE(MID(H34,2,1)),""))</f>
        <v/>
      </c>
      <c r="L34" s="78">
        <f>IF($F34="No aplica","",IFERROR(VALUE(MID(I34,2,1)),""))</f>
        <v/>
      </c>
      <c r="M34" s="78">
        <f>IF($F34="No aplica","",MAX(0,L34-K34))</f>
        <v/>
      </c>
      <c r="N34" s="79">
        <f>IF($F34="No aplica","No aplica",IF(M34=0,"Cumple el objetivo",IF(K34&gt;=3,"Gestionado, con brecha","Brecha prioritaria")))</f>
        <v/>
      </c>
      <c r="O34" s="78">
        <f>IF($F34="No aplica","",K34-IFERROR(VALUE(MID(G34,2,1)),0))</f>
        <v/>
      </c>
      <c r="P34" s="76" t="inlineStr">
        <is>
          <t>Política de continuidad documentada; sin simulacro ejecutado. Brecha principal del dominio.</t>
        </is>
      </c>
      <c r="Q34" s="75" t="inlineStr"/>
      <c r="R34" s="80" t="n"/>
      <c r="S34" s="69" t="inlineStr">
        <is>
          <t>A.18, A.26, A.27, A.28, E.28, I.*, I.1, N.*, N.1, N.2</t>
        </is>
      </c>
      <c r="T34" s="78">
        <f>SUMPRODUCT(--ISNUMBER(SEARCH($B34&amp;" — ",'2. Valoración '!$AB$6:$AB$2261)))</f>
        <v/>
      </c>
      <c r="U34">
        <f>IF($F34="No aplica","",IFERROR(VALUE(MID($G34,2,1)),""))</f>
        <v/>
      </c>
      <c r="V34">
        <f>IF($F34="Aplica",$K34,"")</f>
        <v/>
      </c>
      <c r="W34">
        <f>IF(AND($F34="Aplica",$D34="Organizacional"),$K34,"")</f>
        <v/>
      </c>
      <c r="X34">
        <f>IF(AND($F34="Aplica",$D34="Personas"),$K34,"")</f>
        <v/>
      </c>
      <c r="Y34">
        <f>IF(AND($F34="Aplica",$D34="Físico"),$K34,"")</f>
        <v/>
      </c>
      <c r="Z34">
        <f>IF(AND($F34="Aplica",$D34="Tecnológico"),$K34,"")</f>
        <v/>
      </c>
    </row>
    <row r="35">
      <c r="B35" s="73" t="inlineStr">
        <is>
          <t>A.5.30</t>
        </is>
      </c>
      <c r="C35" s="69" t="inlineStr">
        <is>
          <t>Preparación de las TIC para la continuidad del negocio</t>
        </is>
      </c>
      <c r="D35" s="74" t="inlineStr">
        <is>
          <t>Organizacional</t>
        </is>
      </c>
      <c r="E35" s="69" t="inlineStr">
        <is>
          <t>Continuidad</t>
        </is>
      </c>
      <c r="F35" s="75" t="inlineStr">
        <is>
          <t>Aplica</t>
        </is>
      </c>
      <c r="G35" s="76" t="inlineStr">
        <is>
          <t>L0 — Inexistente</t>
        </is>
      </c>
      <c r="H35" s="76" t="inlineStr">
        <is>
          <t>L3 — Proceso definido</t>
        </is>
      </c>
      <c r="I35" s="76" t="inlineStr">
        <is>
          <t>L4 — Gestionado y medible</t>
        </is>
      </c>
      <c r="J35" s="77">
        <f>IF($F35="No aplica","",IFERROR(VLOOKUP(H35,MgMad,2,0),0))</f>
        <v/>
      </c>
      <c r="K35" s="78">
        <f>IF($F35="No aplica","",IFERROR(VALUE(MID(H35,2,1)),""))</f>
        <v/>
      </c>
      <c r="L35" s="78">
        <f>IF($F35="No aplica","",IFERROR(VALUE(MID(I35,2,1)),""))</f>
        <v/>
      </c>
      <c r="M35" s="78">
        <f>IF($F35="No aplica","",MAX(0,L35-K35))</f>
        <v/>
      </c>
      <c r="N35" s="79">
        <f>IF($F35="No aplica","No aplica",IF(M35=0,"Cumple el objetivo",IF(K35&gt;=3,"Gestionado, con brecha","Brecha prioritaria")))</f>
        <v/>
      </c>
      <c r="O35" s="78">
        <f>IF($F35="No aplica","",K35-IFERROR(VALUE(MID(G35,2,1)),0))</f>
        <v/>
      </c>
      <c r="P35" s="76" t="inlineStr">
        <is>
          <t>Redundancia en AWS y respaldos probados; falta ejercitar el plan completo.</t>
        </is>
      </c>
      <c r="Q35" s="75" t="inlineStr"/>
      <c r="R35" s="80" t="n"/>
      <c r="S35" s="69" t="inlineStr">
        <is>
          <t>E.28, I.*, I.5, I.6, I.8, I.9, N.*, N.1</t>
        </is>
      </c>
      <c r="T35" s="78">
        <f>SUMPRODUCT(--ISNUMBER(SEARCH($B35&amp;" — ",'2. Valoración '!$AB$6:$AB$2261)))</f>
        <v/>
      </c>
      <c r="U35">
        <f>IF($F35="No aplica","",IFERROR(VALUE(MID($G35,2,1)),""))</f>
        <v/>
      </c>
      <c r="V35">
        <f>IF($F35="Aplica",$K35,"")</f>
        <v/>
      </c>
      <c r="W35">
        <f>IF(AND($F35="Aplica",$D35="Organizacional"),$K35,"")</f>
        <v/>
      </c>
      <c r="X35">
        <f>IF(AND($F35="Aplica",$D35="Personas"),$K35,"")</f>
        <v/>
      </c>
      <c r="Y35">
        <f>IF(AND($F35="Aplica",$D35="Físico"),$K35,"")</f>
        <v/>
      </c>
      <c r="Z35">
        <f>IF(AND($F35="Aplica",$D35="Tecnológico"),$K35,"")</f>
        <v/>
      </c>
    </row>
    <row r="36">
      <c r="B36" s="73" t="inlineStr">
        <is>
          <t>A.5.31</t>
        </is>
      </c>
      <c r="C36" s="69" t="inlineStr">
        <is>
          <t>Requisitos legales, estatutarios, reglamentarios y contractuales</t>
        </is>
      </c>
      <c r="D36" s="74" t="inlineStr">
        <is>
          <t>Organizacional</t>
        </is>
      </c>
      <c r="E36" s="69" t="inlineStr">
        <is>
          <t>Legal y cumplimiento</t>
        </is>
      </c>
      <c r="F36" s="75" t="inlineStr">
        <is>
          <t>Aplica</t>
        </is>
      </c>
      <c r="G36" s="76" t="inlineStr">
        <is>
          <t>L1 — Inicial / ad hoc</t>
        </is>
      </c>
      <c r="H36" s="76" t="inlineStr">
        <is>
          <t>L3 — Proceso definido</t>
        </is>
      </c>
      <c r="I36" s="76" t="inlineStr">
        <is>
          <t>L4 — Gestionado y medible</t>
        </is>
      </c>
      <c r="J36" s="77">
        <f>IF($F36="No aplica","",IFERROR(VLOOKUP(H36,MgMad,2,0),0))</f>
        <v/>
      </c>
      <c r="K36" s="78">
        <f>IF($F36="No aplica","",IFERROR(VALUE(MID(H36,2,1)),""))</f>
        <v/>
      </c>
      <c r="L36" s="78">
        <f>IF($F36="No aplica","",IFERROR(VALUE(MID(I36,2,1)),""))</f>
        <v/>
      </c>
      <c r="M36" s="78">
        <f>IF($F36="No aplica","",MAX(0,L36-K36))</f>
        <v/>
      </c>
      <c r="N36" s="79">
        <f>IF($F36="No aplica","No aplica",IF(M36=0,"Cumple el objetivo",IF(K36&gt;=3,"Gestionado, con brecha","Brecha prioritaria")))</f>
        <v/>
      </c>
      <c r="O36" s="78">
        <f>IF($F36="No aplica","",K36-IFERROR(VALUE(MID(G36,2,1)),0))</f>
        <v/>
      </c>
      <c r="P36" s="76" t="inlineStr">
        <is>
          <t>Matriz de requisitos legales A5.31 elaborada y vigente.</t>
        </is>
      </c>
      <c r="Q36" s="75" t="inlineStr"/>
      <c r="R36" s="80" t="n"/>
      <c r="S36" s="69" t="inlineStr">
        <is>
          <t>A.13, A.19, E.19</t>
        </is>
      </c>
      <c r="T36" s="78">
        <f>SUMPRODUCT(--ISNUMBER(SEARCH($B36&amp;" — ",'2. Valoración '!$AB$6:$AB$2261)))</f>
        <v/>
      </c>
      <c r="U36">
        <f>IF($F36="No aplica","",IFERROR(VALUE(MID($G36,2,1)),""))</f>
        <v/>
      </c>
      <c r="V36">
        <f>IF($F36="Aplica",$K36,"")</f>
        <v/>
      </c>
      <c r="W36">
        <f>IF(AND($F36="Aplica",$D36="Organizacional"),$K36,"")</f>
        <v/>
      </c>
      <c r="X36">
        <f>IF(AND($F36="Aplica",$D36="Personas"),$K36,"")</f>
        <v/>
      </c>
      <c r="Y36">
        <f>IF(AND($F36="Aplica",$D36="Físico"),$K36,"")</f>
        <v/>
      </c>
      <c r="Z36">
        <f>IF(AND($F36="Aplica",$D36="Tecnológico"),$K36,"")</f>
        <v/>
      </c>
    </row>
    <row r="37">
      <c r="B37" s="73" t="inlineStr">
        <is>
          <t>A.5.32</t>
        </is>
      </c>
      <c r="C37" s="69" t="inlineStr">
        <is>
          <t>Derechos de propiedad intelectual</t>
        </is>
      </c>
      <c r="D37" s="74" t="inlineStr">
        <is>
          <t>Organizacional</t>
        </is>
      </c>
      <c r="E37" s="69" t="inlineStr">
        <is>
          <t>Legal y cumplimiento</t>
        </is>
      </c>
      <c r="F37" s="75" t="inlineStr">
        <is>
          <t>Aplica</t>
        </is>
      </c>
      <c r="G37" s="76" t="inlineStr">
        <is>
          <t>L1 — Inicial / ad hoc</t>
        </is>
      </c>
      <c r="H37" s="76" t="inlineStr">
        <is>
          <t>L3 — Proceso definido</t>
        </is>
      </c>
      <c r="I37" s="76" t="inlineStr">
        <is>
          <t>L4 — Gestionado y medible</t>
        </is>
      </c>
      <c r="J37" s="77">
        <f>IF($F37="No aplica","",IFERROR(VLOOKUP(H37,MgMad,2,0),0))</f>
        <v/>
      </c>
      <c r="K37" s="78">
        <f>IF($F37="No aplica","",IFERROR(VALUE(MID(H37,2,1)),""))</f>
        <v/>
      </c>
      <c r="L37" s="78">
        <f>IF($F37="No aplica","",IFERROR(VALUE(MID(I37,2,1)),""))</f>
        <v/>
      </c>
      <c r="M37" s="78">
        <f>IF($F37="No aplica","",MAX(0,L37-K37))</f>
        <v/>
      </c>
      <c r="N37" s="79">
        <f>IF($F37="No aplica","No aplica",IF(M37=0,"Cumple el objetivo",IF(K37&gt;=3,"Gestionado, con brecha","Brecha prioritaria")))</f>
        <v/>
      </c>
      <c r="O37" s="78">
        <f>IF($F37="No aplica","",K37-IFERROR(VALUE(MID(G37,2,1)),0))</f>
        <v/>
      </c>
      <c r="P37" s="76" t="inlineStr">
        <is>
          <t>Titularidad de propiedad intelectual definida en contratos y en el inventario.</t>
        </is>
      </c>
      <c r="Q37" s="75" t="inlineStr"/>
      <c r="R37" s="80" t="n"/>
      <c r="S37" s="69" t="inlineStr">
        <is>
          <t>A.19</t>
        </is>
      </c>
      <c r="T37" s="78">
        <f>SUMPRODUCT(--ISNUMBER(SEARCH($B37&amp;" — ",'2. Valoración '!$AB$6:$AB$2261)))</f>
        <v/>
      </c>
      <c r="U37">
        <f>IF($F37="No aplica","",IFERROR(VALUE(MID($G37,2,1)),""))</f>
        <v/>
      </c>
      <c r="V37">
        <f>IF($F37="Aplica",$K37,"")</f>
        <v/>
      </c>
      <c r="W37">
        <f>IF(AND($F37="Aplica",$D37="Organizacional"),$K37,"")</f>
        <v/>
      </c>
      <c r="X37">
        <f>IF(AND($F37="Aplica",$D37="Personas"),$K37,"")</f>
        <v/>
      </c>
      <c r="Y37">
        <f>IF(AND($F37="Aplica",$D37="Físico"),$K37,"")</f>
        <v/>
      </c>
      <c r="Z37">
        <f>IF(AND($F37="Aplica",$D37="Tecnológico"),$K37,"")</f>
        <v/>
      </c>
    </row>
    <row r="38">
      <c r="B38" s="73" t="inlineStr">
        <is>
          <t>A.5.33</t>
        </is>
      </c>
      <c r="C38" s="69" t="inlineStr">
        <is>
          <t>Protección de registros</t>
        </is>
      </c>
      <c r="D38" s="74" t="inlineStr">
        <is>
          <t>Organizacional</t>
        </is>
      </c>
      <c r="E38" s="69" t="inlineStr">
        <is>
          <t>Protección de la información</t>
        </is>
      </c>
      <c r="F38" s="75" t="inlineStr">
        <is>
          <t>Aplica</t>
        </is>
      </c>
      <c r="G38" s="76" t="inlineStr">
        <is>
          <t>L0 — Inexistente</t>
        </is>
      </c>
      <c r="H38" s="76" t="inlineStr">
        <is>
          <t>L3 — Proceso definido</t>
        </is>
      </c>
      <c r="I38" s="76" t="inlineStr">
        <is>
          <t>L4 — Gestionado y medible</t>
        </is>
      </c>
      <c r="J38" s="77">
        <f>IF($F38="No aplica","",IFERROR(VLOOKUP(H38,MgMad,2,0),0))</f>
        <v/>
      </c>
      <c r="K38" s="78">
        <f>IF($F38="No aplica","",IFERROR(VALUE(MID(H38,2,1)),""))</f>
        <v/>
      </c>
      <c r="L38" s="78">
        <f>IF($F38="No aplica","",IFERROR(VALUE(MID(I38,2,1)),""))</f>
        <v/>
      </c>
      <c r="M38" s="78">
        <f>IF($F38="No aplica","",MAX(0,L38-K38))</f>
        <v/>
      </c>
      <c r="N38" s="79">
        <f>IF($F38="No aplica","No aplica",IF(M38=0,"Cumple el objetivo",IF(K38&gt;=3,"Gestionado, con brecha","Brecha prioritaria")))</f>
        <v/>
      </c>
      <c r="O38" s="78">
        <f>IF($F38="No aplica","",K38-IFERROR(VALUE(MID(G38,2,1)),0))</f>
        <v/>
      </c>
      <c r="P38" s="76" t="inlineStr">
        <is>
          <t>Política de retención y eliminación documentada; etiquetas de retención en Purview.</t>
        </is>
      </c>
      <c r="Q38" s="75" t="inlineStr"/>
      <c r="R38" s="80" t="n"/>
      <c r="S38" s="69" t="inlineStr">
        <is>
          <t>A.15, A.3, E.15, E.18</t>
        </is>
      </c>
      <c r="T38" s="78">
        <f>SUMPRODUCT(--ISNUMBER(SEARCH($B38&amp;" — ",'2. Valoración '!$AB$6:$AB$2261)))</f>
        <v/>
      </c>
      <c r="U38">
        <f>IF($F38="No aplica","",IFERROR(VALUE(MID($G38,2,1)),""))</f>
        <v/>
      </c>
      <c r="V38">
        <f>IF($F38="Aplica",$K38,"")</f>
        <v/>
      </c>
      <c r="W38">
        <f>IF(AND($F38="Aplica",$D38="Organizacional"),$K38,"")</f>
        <v/>
      </c>
      <c r="X38">
        <f>IF(AND($F38="Aplica",$D38="Personas"),$K38,"")</f>
        <v/>
      </c>
      <c r="Y38">
        <f>IF(AND($F38="Aplica",$D38="Físico"),$K38,"")</f>
        <v/>
      </c>
      <c r="Z38">
        <f>IF(AND($F38="Aplica",$D38="Tecnológico"),$K38,"")</f>
        <v/>
      </c>
    </row>
    <row r="39">
      <c r="B39" s="73" t="inlineStr">
        <is>
          <t>A.5.34</t>
        </is>
      </c>
      <c r="C39" s="69" t="inlineStr">
        <is>
          <t>Privacidad y protección de datos personales (PII)</t>
        </is>
      </c>
      <c r="D39" s="74" t="inlineStr">
        <is>
          <t>Organizacional</t>
        </is>
      </c>
      <c r="E39" s="69" t="inlineStr">
        <is>
          <t>Legal y cumplimiento</t>
        </is>
      </c>
      <c r="F39" s="75" t="inlineStr">
        <is>
          <t>Aplica</t>
        </is>
      </c>
      <c r="G39" s="76" t="inlineStr">
        <is>
          <t>L1 — Inicial / ad hoc</t>
        </is>
      </c>
      <c r="H39" s="76" t="inlineStr">
        <is>
          <t>L3 — Proceso definido</t>
        </is>
      </c>
      <c r="I39" s="76" t="inlineStr">
        <is>
          <t>L4 — Gestionado y medible</t>
        </is>
      </c>
      <c r="J39" s="77">
        <f>IF($F39="No aplica","",IFERROR(VLOOKUP(H39,MgMad,2,0),0))</f>
        <v/>
      </c>
      <c r="K39" s="78">
        <f>IF($F39="No aplica","",IFERROR(VALUE(MID(H39,2,1)),""))</f>
        <v/>
      </c>
      <c r="L39" s="78">
        <f>IF($F39="No aplica","",IFERROR(VALUE(MID(I39,2,1)),""))</f>
        <v/>
      </c>
      <c r="M39" s="78">
        <f>IF($F39="No aplica","",MAX(0,L39-K39))</f>
        <v/>
      </c>
      <c r="N39" s="79">
        <f>IF($F39="No aplica","No aplica",IF(M39=0,"Cumple el objetivo",IF(K39&gt;=3,"Gestionado, con brecha","Brecha prioritaria")))</f>
        <v/>
      </c>
      <c r="O39" s="78">
        <f>IF($F39="No aplica","",K39-IFERROR(VALUE(MID(G39,2,1)),0))</f>
        <v/>
      </c>
      <c r="P39" s="76" t="inlineStr">
        <is>
          <t>Registro de tratamiento de datos personales bajo la Ley 1581 elaborado.</t>
        </is>
      </c>
      <c r="Q39" s="75" t="inlineStr"/>
      <c r="R39" s="80" t="n"/>
      <c r="S39" s="69" t="inlineStr">
        <is>
          <t>A.19, E.19</t>
        </is>
      </c>
      <c r="T39" s="78">
        <f>SUMPRODUCT(--ISNUMBER(SEARCH($B39&amp;" — ",'2. Valoración '!$AB$6:$AB$2261)))</f>
        <v/>
      </c>
      <c r="U39">
        <f>IF($F39="No aplica","",IFERROR(VALUE(MID($G39,2,1)),""))</f>
        <v/>
      </c>
      <c r="V39">
        <f>IF($F39="Aplica",$K39,"")</f>
        <v/>
      </c>
      <c r="W39">
        <f>IF(AND($F39="Aplica",$D39="Organizacional"),$K39,"")</f>
        <v/>
      </c>
      <c r="X39">
        <f>IF(AND($F39="Aplica",$D39="Personas"),$K39,"")</f>
        <v/>
      </c>
      <c r="Y39">
        <f>IF(AND($F39="Aplica",$D39="Físico"),$K39,"")</f>
        <v/>
      </c>
      <c r="Z39">
        <f>IF(AND($F39="Aplica",$D39="Tecnológico"),$K39,"")</f>
        <v/>
      </c>
    </row>
    <row r="40">
      <c r="B40" s="73" t="inlineStr">
        <is>
          <t>A.5.35</t>
        </is>
      </c>
      <c r="C40" s="69" t="inlineStr">
        <is>
          <t>Revisión independiente de la seguridad de la información</t>
        </is>
      </c>
      <c r="D40" s="74" t="inlineStr">
        <is>
          <t>Organizacional</t>
        </is>
      </c>
      <c r="E40" s="69" t="inlineStr">
        <is>
          <t>Aseguramiento</t>
        </is>
      </c>
      <c r="F40" s="75" t="inlineStr">
        <is>
          <t>Aplica</t>
        </is>
      </c>
      <c r="G40" s="76" t="inlineStr">
        <is>
          <t>L0 — Inexistente</t>
        </is>
      </c>
      <c r="H40" s="76" t="inlineStr">
        <is>
          <t>L3 — Proceso definido</t>
        </is>
      </c>
      <c r="I40" s="76" t="inlineStr">
        <is>
          <t>L4 — Gestionado y medible</t>
        </is>
      </c>
      <c r="J40" s="77">
        <f>IF($F40="No aplica","",IFERROR(VLOOKUP(H40,MgMad,2,0),0))</f>
        <v/>
      </c>
      <c r="K40" s="78">
        <f>IF($F40="No aplica","",IFERROR(VALUE(MID(H40,2,1)),""))</f>
        <v/>
      </c>
      <c r="L40" s="78">
        <f>IF($F40="No aplica","",IFERROR(VALUE(MID(I40,2,1)),""))</f>
        <v/>
      </c>
      <c r="M40" s="78">
        <f>IF($F40="No aplica","",MAX(0,L40-K40))</f>
        <v/>
      </c>
      <c r="N40" s="79">
        <f>IF($F40="No aplica","No aplica",IF(M40=0,"Cumple el objetivo",IF(K40&gt;=3,"Gestionado, con brecha","Brecha prioritaria")))</f>
        <v/>
      </c>
      <c r="O40" s="78">
        <f>IF($F40="No aplica","",K40-IFERROR(VALUE(MID(G40,2,1)),0))</f>
        <v/>
      </c>
      <c r="P40" s="76" t="inlineStr">
        <is>
          <t>Revisión independiente parcial ejecutada; hallazgos aún sin cerrar.</t>
        </is>
      </c>
      <c r="Q40" s="75" t="inlineStr"/>
      <c r="R40" s="80" t="n"/>
      <c r="S40" s="69" t="inlineStr">
        <is>
          <t>E.15, E.7</t>
        </is>
      </c>
      <c r="T40" s="78">
        <f>SUMPRODUCT(--ISNUMBER(SEARCH($B40&amp;" — ",'2. Valoración '!$AB$6:$AB$2261)))</f>
        <v/>
      </c>
      <c r="U40">
        <f>IF($F40="No aplica","",IFERROR(VALUE(MID($G40,2,1)),""))</f>
        <v/>
      </c>
      <c r="V40">
        <f>IF($F40="Aplica",$K40,"")</f>
        <v/>
      </c>
      <c r="W40">
        <f>IF(AND($F40="Aplica",$D40="Organizacional"),$K40,"")</f>
        <v/>
      </c>
      <c r="X40">
        <f>IF(AND($F40="Aplica",$D40="Personas"),$K40,"")</f>
        <v/>
      </c>
      <c r="Y40">
        <f>IF(AND($F40="Aplica",$D40="Físico"),$K40,"")</f>
        <v/>
      </c>
      <c r="Z40">
        <f>IF(AND($F40="Aplica",$D40="Tecnológico"),$K40,"")</f>
        <v/>
      </c>
    </row>
    <row r="41">
      <c r="B41" s="73" t="inlineStr">
        <is>
          <t>A.5.36</t>
        </is>
      </c>
      <c r="C41" s="69" t="inlineStr">
        <is>
          <t>Cumplimiento de políticas, reglas y normas de seguridad</t>
        </is>
      </c>
      <c r="D41" s="74" t="inlineStr">
        <is>
          <t>Organizacional</t>
        </is>
      </c>
      <c r="E41" s="69" t="inlineStr">
        <is>
          <t>Aseguramiento</t>
        </is>
      </c>
      <c r="F41" s="75" t="inlineStr">
        <is>
          <t>Aplica</t>
        </is>
      </c>
      <c r="G41" s="76" t="inlineStr">
        <is>
          <t>L0 — Inexistente</t>
        </is>
      </c>
      <c r="H41" s="76" t="inlineStr">
        <is>
          <t>L3 — Proceso definido</t>
        </is>
      </c>
      <c r="I41" s="76" t="inlineStr">
        <is>
          <t>L4 — Gestionado y medible</t>
        </is>
      </c>
      <c r="J41" s="77">
        <f>IF($F41="No aplica","",IFERROR(VLOOKUP(H41,MgMad,2,0),0))</f>
        <v/>
      </c>
      <c r="K41" s="78">
        <f>IF($F41="No aplica","",IFERROR(VALUE(MID(H41,2,1)),""))</f>
        <v/>
      </c>
      <c r="L41" s="78">
        <f>IF($F41="No aplica","",IFERROR(VALUE(MID(I41,2,1)),""))</f>
        <v/>
      </c>
      <c r="M41" s="78">
        <f>IF($F41="No aplica","",MAX(0,L41-K41))</f>
        <v/>
      </c>
      <c r="N41" s="79">
        <f>IF($F41="No aplica","No aplica",IF(M41=0,"Cumple el objetivo",IF(K41&gt;=3,"Gestionado, con brecha","Brecha prioritaria")))</f>
        <v/>
      </c>
      <c r="O41" s="78">
        <f>IF($F41="No aplica","",K41-IFERROR(VALUE(MID(G41,2,1)),0))</f>
        <v/>
      </c>
      <c r="P41" s="76" t="inlineStr">
        <is>
          <t>Matriz A5.36 de revisión de cumplimiento; verificación aún no sistemática.</t>
        </is>
      </c>
      <c r="Q41" s="75" t="inlineStr"/>
      <c r="R41" s="80" t="n"/>
      <c r="S41" s="69" t="inlineStr">
        <is>
          <t>A.7, E.7</t>
        </is>
      </c>
      <c r="T41" s="78">
        <f>SUMPRODUCT(--ISNUMBER(SEARCH($B41&amp;" — ",'2. Valoración '!$AB$6:$AB$2261)))</f>
        <v/>
      </c>
      <c r="U41">
        <f>IF($F41="No aplica","",IFERROR(VALUE(MID($G41,2,1)),""))</f>
        <v/>
      </c>
      <c r="V41">
        <f>IF($F41="Aplica",$K41,"")</f>
        <v/>
      </c>
      <c r="W41">
        <f>IF(AND($F41="Aplica",$D41="Organizacional"),$K41,"")</f>
        <v/>
      </c>
      <c r="X41">
        <f>IF(AND($F41="Aplica",$D41="Personas"),$K41,"")</f>
        <v/>
      </c>
      <c r="Y41">
        <f>IF(AND($F41="Aplica",$D41="Físico"),$K41,"")</f>
        <v/>
      </c>
      <c r="Z41">
        <f>IF(AND($F41="Aplica",$D41="Tecnológico"),$K41,"")</f>
        <v/>
      </c>
    </row>
    <row r="42">
      <c r="B42" s="73" t="inlineStr">
        <is>
          <t>A.5.37</t>
        </is>
      </c>
      <c r="C42" s="69" t="inlineStr">
        <is>
          <t>Procedimientos operativos documentados</t>
        </is>
      </c>
      <c r="D42" s="74" t="inlineStr">
        <is>
          <t>Organizacional</t>
        </is>
      </c>
      <c r="E42" s="69" t="inlineStr">
        <is>
          <t>Gobierno</t>
        </is>
      </c>
      <c r="F42" s="75" t="inlineStr">
        <is>
          <t>Aplica</t>
        </is>
      </c>
      <c r="G42" s="76" t="inlineStr">
        <is>
          <t>L0 — Inexistente</t>
        </is>
      </c>
      <c r="H42" s="76" t="inlineStr">
        <is>
          <t>L4 — Gestionado y medible</t>
        </is>
      </c>
      <c r="I42" s="76" t="inlineStr">
        <is>
          <t>L4 — Gestionado y medible</t>
        </is>
      </c>
      <c r="J42" s="77">
        <f>IF($F42="No aplica","",IFERROR(VLOOKUP(H42,MgMad,2,0),0))</f>
        <v/>
      </c>
      <c r="K42" s="78">
        <f>IF($F42="No aplica","",IFERROR(VALUE(MID(H42,2,1)),""))</f>
        <v/>
      </c>
      <c r="L42" s="78">
        <f>IF($F42="No aplica","",IFERROR(VALUE(MID(I42,2,1)),""))</f>
        <v/>
      </c>
      <c r="M42" s="78">
        <f>IF($F42="No aplica","",MAX(0,L42-K42))</f>
        <v/>
      </c>
      <c r="N42" s="79">
        <f>IF($F42="No aplica","No aplica",IF(M42=0,"Cumple el objetivo",IF(K42&gt;=3,"Gestionado, con brecha","Brecha prioritaria")))</f>
        <v/>
      </c>
      <c r="O42" s="78">
        <f>IF($F42="No aplica","",K42-IFERROR(VALUE(MID(G42,2,1)),0))</f>
        <v/>
      </c>
      <c r="P42" s="76" t="inlineStr">
        <is>
          <t>Sistema Integrado de Gestión con procedimientos operativos documentados y controlados por versión.</t>
        </is>
      </c>
      <c r="Q42" s="75" t="inlineStr"/>
      <c r="R42" s="80" t="n"/>
      <c r="S42" s="69" t="inlineStr">
        <is>
          <t>E.7</t>
        </is>
      </c>
      <c r="T42" s="78">
        <f>SUMPRODUCT(--ISNUMBER(SEARCH($B42&amp;" — ",'2. Valoración '!$AB$6:$AB$2261)))</f>
        <v/>
      </c>
      <c r="U42">
        <f>IF($F42="No aplica","",IFERROR(VALUE(MID($G42,2,1)),""))</f>
        <v/>
      </c>
      <c r="V42">
        <f>IF($F42="Aplica",$K42,"")</f>
        <v/>
      </c>
      <c r="W42">
        <f>IF(AND($F42="Aplica",$D42="Organizacional"),$K42,"")</f>
        <v/>
      </c>
      <c r="X42">
        <f>IF(AND($F42="Aplica",$D42="Personas"),$K42,"")</f>
        <v/>
      </c>
      <c r="Y42">
        <f>IF(AND($F42="Aplica",$D42="Físico"),$K42,"")</f>
        <v/>
      </c>
      <c r="Z42">
        <f>IF(AND($F42="Aplica",$D42="Tecnológico"),$K42,"")</f>
        <v/>
      </c>
    </row>
    <row r="43">
      <c r="B43" s="73" t="inlineStr">
        <is>
          <t>A.6.1</t>
        </is>
      </c>
      <c r="C43" s="69" t="inlineStr">
        <is>
          <t>Investigación de antecedentes (screening)</t>
        </is>
      </c>
      <c r="D43" s="74" t="inlineStr">
        <is>
          <t>Personas</t>
        </is>
      </c>
      <c r="E43" s="69" t="inlineStr">
        <is>
          <t>Seguridad de recursos humanos</t>
        </is>
      </c>
      <c r="F43" s="75" t="inlineStr">
        <is>
          <t>Aplica</t>
        </is>
      </c>
      <c r="G43" s="76" t="inlineStr">
        <is>
          <t>L1 — Inicial / ad hoc</t>
        </is>
      </c>
      <c r="H43" s="76" t="inlineStr">
        <is>
          <t>L3 — Proceso definido</t>
        </is>
      </c>
      <c r="I43" s="76" t="inlineStr">
        <is>
          <t>L4 — Gestionado y medible</t>
        </is>
      </c>
      <c r="J43" s="77">
        <f>IF($F43="No aplica","",IFERROR(VLOOKUP(H43,MgMad,2,0),0))</f>
        <v/>
      </c>
      <c r="K43" s="78">
        <f>IF($F43="No aplica","",IFERROR(VALUE(MID(H43,2,1)),""))</f>
        <v/>
      </c>
      <c r="L43" s="78">
        <f>IF($F43="No aplica","",IFERROR(VALUE(MID(I43,2,1)),""))</f>
        <v/>
      </c>
      <c r="M43" s="78">
        <f>IF($F43="No aplica","",MAX(0,L43-K43))</f>
        <v/>
      </c>
      <c r="N43" s="79">
        <f>IF($F43="No aplica","No aplica",IF(M43=0,"Cumple el objetivo",IF(K43&gt;=3,"Gestionado, con brecha","Brecha prioritaria")))</f>
        <v/>
      </c>
      <c r="O43" s="78">
        <f>IF($F43="No aplica","",K43-IFERROR(VALUE(MID(G43,2,1)),0))</f>
        <v/>
      </c>
      <c r="P43" s="76" t="inlineStr">
        <is>
          <t>Procedimiento de selección y contratación con verificación de antecedentes.</t>
        </is>
      </c>
      <c r="Q43" s="75" t="inlineStr"/>
      <c r="R43" s="80" t="n"/>
      <c r="S43" s="69" t="inlineStr">
        <is>
          <t>E.28</t>
        </is>
      </c>
      <c r="T43" s="78">
        <f>SUMPRODUCT(--ISNUMBER(SEARCH($B43&amp;" — ",'2. Valoración '!$AB$6:$AB$2261)))</f>
        <v/>
      </c>
      <c r="U43">
        <f>IF($F43="No aplica","",IFERROR(VALUE(MID($G43,2,1)),""))</f>
        <v/>
      </c>
      <c r="V43">
        <f>IF($F43="Aplica",$K43,"")</f>
        <v/>
      </c>
      <c r="W43">
        <f>IF(AND($F43="Aplica",$D43="Organizacional"),$K43,"")</f>
        <v/>
      </c>
      <c r="X43">
        <f>IF(AND($F43="Aplica",$D43="Personas"),$K43,"")</f>
        <v/>
      </c>
      <c r="Y43">
        <f>IF(AND($F43="Aplica",$D43="Físico"),$K43,"")</f>
        <v/>
      </c>
      <c r="Z43">
        <f>IF(AND($F43="Aplica",$D43="Tecnológico"),$K43,"")</f>
        <v/>
      </c>
    </row>
    <row r="44">
      <c r="B44" s="73" t="inlineStr">
        <is>
          <t>A.6.2</t>
        </is>
      </c>
      <c r="C44" s="69" t="inlineStr">
        <is>
          <t>Términos y condiciones de empleo</t>
        </is>
      </c>
      <c r="D44" s="74" t="inlineStr">
        <is>
          <t>Personas</t>
        </is>
      </c>
      <c r="E44" s="69" t="inlineStr">
        <is>
          <t>Seguridad de recursos humanos</t>
        </is>
      </c>
      <c r="F44" s="75" t="inlineStr">
        <is>
          <t>Aplica</t>
        </is>
      </c>
      <c r="G44" s="76" t="inlineStr">
        <is>
          <t>L1 — Inicial / ad hoc</t>
        </is>
      </c>
      <c r="H44" s="76" t="inlineStr">
        <is>
          <t>L3 — Proceso definido</t>
        </is>
      </c>
      <c r="I44" s="76" t="inlineStr">
        <is>
          <t>L4 — Gestionado y medible</t>
        </is>
      </c>
      <c r="J44" s="77">
        <f>IF($F44="No aplica","",IFERROR(VLOOKUP(H44,MgMad,2,0),0))</f>
        <v/>
      </c>
      <c r="K44" s="78">
        <f>IF($F44="No aplica","",IFERROR(VALUE(MID(H44,2,1)),""))</f>
        <v/>
      </c>
      <c r="L44" s="78">
        <f>IF($F44="No aplica","",IFERROR(VALUE(MID(I44,2,1)),""))</f>
        <v/>
      </c>
      <c r="M44" s="78">
        <f>IF($F44="No aplica","",MAX(0,L44-K44))</f>
        <v/>
      </c>
      <c r="N44" s="79">
        <f>IF($F44="No aplica","No aplica",IF(M44=0,"Cumple el objetivo",IF(K44&gt;=3,"Gestionado, con brecha","Brecha prioritaria")))</f>
        <v/>
      </c>
      <c r="O44" s="78">
        <f>IF($F44="No aplica","",K44-IFERROR(VALUE(MID(G44,2,1)),0))</f>
        <v/>
      </c>
      <c r="P44" s="76" t="inlineStr">
        <is>
          <t>Cláusulas de seguridad de la información en los contratos laborales.</t>
        </is>
      </c>
      <c r="Q44" s="75" t="inlineStr"/>
      <c r="R44" s="80" t="n"/>
      <c r="S44" s="69" t="inlineStr">
        <is>
          <t>A.29, E.1, E.28</t>
        </is>
      </c>
      <c r="T44" s="78">
        <f>SUMPRODUCT(--ISNUMBER(SEARCH($B44&amp;" — ",'2. Valoración '!$AB$6:$AB$2261)))</f>
        <v/>
      </c>
      <c r="U44">
        <f>IF($F44="No aplica","",IFERROR(VALUE(MID($G44,2,1)),""))</f>
        <v/>
      </c>
      <c r="V44">
        <f>IF($F44="Aplica",$K44,"")</f>
        <v/>
      </c>
      <c r="W44">
        <f>IF(AND($F44="Aplica",$D44="Organizacional"),$K44,"")</f>
        <v/>
      </c>
      <c r="X44">
        <f>IF(AND($F44="Aplica",$D44="Personas"),$K44,"")</f>
        <v/>
      </c>
      <c r="Y44">
        <f>IF(AND($F44="Aplica",$D44="Físico"),$K44,"")</f>
        <v/>
      </c>
      <c r="Z44">
        <f>IF(AND($F44="Aplica",$D44="Tecnológico"),$K44,"")</f>
        <v/>
      </c>
    </row>
    <row r="45">
      <c r="B45" s="73" t="inlineStr">
        <is>
          <t>A.6.3</t>
        </is>
      </c>
      <c r="C45" s="69" t="inlineStr">
        <is>
          <t>Concienciación, educación y capacitación</t>
        </is>
      </c>
      <c r="D45" s="74" t="inlineStr">
        <is>
          <t>Personas</t>
        </is>
      </c>
      <c r="E45" s="69" t="inlineStr">
        <is>
          <t>Seguridad de recursos humanos</t>
        </is>
      </c>
      <c r="F45" s="75" t="inlineStr">
        <is>
          <t>Aplica</t>
        </is>
      </c>
      <c r="G45" s="76" t="inlineStr">
        <is>
          <t>L0 — Inexistente</t>
        </is>
      </c>
      <c r="H45" s="76" t="inlineStr">
        <is>
          <t>L3 — Proceso definido</t>
        </is>
      </c>
      <c r="I45" s="76" t="inlineStr">
        <is>
          <t>L4 — Gestionado y medible</t>
        </is>
      </c>
      <c r="J45" s="77">
        <f>IF($F45="No aplica","",IFERROR(VLOOKUP(H45,MgMad,2,0),0))</f>
        <v/>
      </c>
      <c r="K45" s="78">
        <f>IF($F45="No aplica","",IFERROR(VALUE(MID(H45,2,1)),""))</f>
        <v/>
      </c>
      <c r="L45" s="78">
        <f>IF($F45="No aplica","",IFERROR(VALUE(MID(I45,2,1)),""))</f>
        <v/>
      </c>
      <c r="M45" s="78">
        <f>IF($F45="No aplica","",MAX(0,L45-K45))</f>
        <v/>
      </c>
      <c r="N45" s="79">
        <f>IF($F45="No aplica","No aplica",IF(M45=0,"Cumple el objetivo",IF(K45&gt;=3,"Gestionado, con brecha","Brecha prioritaria")))</f>
        <v/>
      </c>
      <c r="O45" s="78">
        <f>IF($F45="No aplica","",K45-IFERROR(VALUE(MID(G45,2,1)),0))</f>
        <v/>
      </c>
      <c r="P45" s="76" t="inlineStr">
        <is>
          <t>Capacitaciones periódicas con registro de asistencia; sin simulacros de phishing ni métricas de comportamiento.</t>
        </is>
      </c>
      <c r="Q45" s="75" t="inlineStr"/>
      <c r="R45" s="80" t="n"/>
      <c r="S45" s="69" t="inlineStr">
        <is>
          <t>A.29, A.30, A.5, E.1, E.8</t>
        </is>
      </c>
      <c r="T45" s="78">
        <f>SUMPRODUCT(--ISNUMBER(SEARCH($B45&amp;" — ",'2. Valoración '!$AB$6:$AB$2261)))</f>
        <v/>
      </c>
      <c r="U45">
        <f>IF($F45="No aplica","",IFERROR(VALUE(MID($G45,2,1)),""))</f>
        <v/>
      </c>
      <c r="V45">
        <f>IF($F45="Aplica",$K45,"")</f>
        <v/>
      </c>
      <c r="W45">
        <f>IF(AND($F45="Aplica",$D45="Organizacional"),$K45,"")</f>
        <v/>
      </c>
      <c r="X45">
        <f>IF(AND($F45="Aplica",$D45="Personas"),$K45,"")</f>
        <v/>
      </c>
      <c r="Y45">
        <f>IF(AND($F45="Aplica",$D45="Físico"),$K45,"")</f>
        <v/>
      </c>
      <c r="Z45">
        <f>IF(AND($F45="Aplica",$D45="Tecnológico"),$K45,"")</f>
        <v/>
      </c>
    </row>
    <row r="46">
      <c r="B46" s="73" t="inlineStr">
        <is>
          <t>A.6.4</t>
        </is>
      </c>
      <c r="C46" s="69" t="inlineStr">
        <is>
          <t>Proceso disciplinario</t>
        </is>
      </c>
      <c r="D46" s="74" t="inlineStr">
        <is>
          <t>Personas</t>
        </is>
      </c>
      <c r="E46" s="69" t="inlineStr">
        <is>
          <t>Seguridad de recursos humanos</t>
        </is>
      </c>
      <c r="F46" s="75" t="inlineStr">
        <is>
          <t>Aplica</t>
        </is>
      </c>
      <c r="G46" s="76" t="inlineStr">
        <is>
          <t>L1 — Inicial / ad hoc</t>
        </is>
      </c>
      <c r="H46" s="76" t="inlineStr">
        <is>
          <t>L3 — Proceso definido</t>
        </is>
      </c>
      <c r="I46" s="76" t="inlineStr">
        <is>
          <t>L4 — Gestionado y medible</t>
        </is>
      </c>
      <c r="J46" s="77">
        <f>IF($F46="No aplica","",IFERROR(VLOOKUP(H46,MgMad,2,0),0))</f>
        <v/>
      </c>
      <c r="K46" s="78">
        <f>IF($F46="No aplica","",IFERROR(VALUE(MID(H46,2,1)),""))</f>
        <v/>
      </c>
      <c r="L46" s="78">
        <f>IF($F46="No aplica","",IFERROR(VALUE(MID(I46,2,1)),""))</f>
        <v/>
      </c>
      <c r="M46" s="78">
        <f>IF($F46="No aplica","",MAX(0,L46-K46))</f>
        <v/>
      </c>
      <c r="N46" s="79">
        <f>IF($F46="No aplica","No aplica",IF(M46=0,"Cumple el objetivo",IF(K46&gt;=3,"Gestionado, con brecha","Brecha prioritaria")))</f>
        <v/>
      </c>
      <c r="O46" s="78">
        <f>IF($F46="No aplica","",K46-IFERROR(VALUE(MID(G46,2,1)),0))</f>
        <v/>
      </c>
      <c r="P46" s="76" t="inlineStr">
        <is>
          <t>Proceso disciplinario definido, con actas de descargos registradas.</t>
        </is>
      </c>
      <c r="Q46" s="75" t="inlineStr"/>
      <c r="R46" s="80" t="n"/>
      <c r="S46" s="69" t="inlineStr">
        <is>
          <t>A.28, A.29</t>
        </is>
      </c>
      <c r="T46" s="78">
        <f>SUMPRODUCT(--ISNUMBER(SEARCH($B46&amp;" — ",'2. Valoración '!$AB$6:$AB$2261)))</f>
        <v/>
      </c>
      <c r="U46">
        <f>IF($F46="No aplica","",IFERROR(VALUE(MID($G46,2,1)),""))</f>
        <v/>
      </c>
      <c r="V46">
        <f>IF($F46="Aplica",$K46,"")</f>
        <v/>
      </c>
      <c r="W46">
        <f>IF(AND($F46="Aplica",$D46="Organizacional"),$K46,"")</f>
        <v/>
      </c>
      <c r="X46">
        <f>IF(AND($F46="Aplica",$D46="Personas"),$K46,"")</f>
        <v/>
      </c>
      <c r="Y46">
        <f>IF(AND($F46="Aplica",$D46="Físico"),$K46,"")</f>
        <v/>
      </c>
      <c r="Z46">
        <f>IF(AND($F46="Aplica",$D46="Tecnológico"),$K46,"")</f>
        <v/>
      </c>
    </row>
    <row r="47">
      <c r="B47" s="73" t="inlineStr">
        <is>
          <t>A.6.5</t>
        </is>
      </c>
      <c r="C47" s="69" t="inlineStr">
        <is>
          <t>Responsabilidades ante la finalización o cambio de empleo</t>
        </is>
      </c>
      <c r="D47" s="74" t="inlineStr">
        <is>
          <t>Personas</t>
        </is>
      </c>
      <c r="E47" s="69" t="inlineStr">
        <is>
          <t>Seguridad de recursos humanos</t>
        </is>
      </c>
      <c r="F47" s="75" t="inlineStr">
        <is>
          <t>Aplica</t>
        </is>
      </c>
      <c r="G47" s="76" t="inlineStr">
        <is>
          <t>L1 — Inicial / ad hoc</t>
        </is>
      </c>
      <c r="H47" s="76" t="inlineStr">
        <is>
          <t>L3 — Proceso definido</t>
        </is>
      </c>
      <c r="I47" s="76" t="inlineStr">
        <is>
          <t>L4 — Gestionado y medible</t>
        </is>
      </c>
      <c r="J47" s="77">
        <f>IF($F47="No aplica","",IFERROR(VLOOKUP(H47,MgMad,2,0),0))</f>
        <v/>
      </c>
      <c r="K47" s="78">
        <f>IF($F47="No aplica","",IFERROR(VALUE(MID(H47,2,1)),""))</f>
        <v/>
      </c>
      <c r="L47" s="78">
        <f>IF($F47="No aplica","",IFERROR(VALUE(MID(I47,2,1)),""))</f>
        <v/>
      </c>
      <c r="M47" s="78">
        <f>IF($F47="No aplica","",MAX(0,L47-K47))</f>
        <v/>
      </c>
      <c r="N47" s="79">
        <f>IF($F47="No aplica","No aplica",IF(M47=0,"Cumple el objetivo",IF(K47&gt;=3,"Gestionado, con brecha","Brecha prioritaria")))</f>
        <v/>
      </c>
      <c r="O47" s="78">
        <f>IF($F47="No aplica","",K47-IFERROR(VALUE(MID(G47,2,1)),0))</f>
        <v/>
      </c>
      <c r="P47" s="76" t="inlineStr">
        <is>
          <t>Procedimiento de desvinculación con revocación de accesos y devolución de activos.</t>
        </is>
      </c>
      <c r="Q47" s="75" t="inlineStr"/>
      <c r="R47" s="80" t="n"/>
      <c r="S47" s="69" t="inlineStr">
        <is>
          <t>A.28, E.28</t>
        </is>
      </c>
      <c r="T47" s="78">
        <f>SUMPRODUCT(--ISNUMBER(SEARCH($B47&amp;" — ",'2. Valoración '!$AB$6:$AB$2261)))</f>
        <v/>
      </c>
      <c r="U47">
        <f>IF($F47="No aplica","",IFERROR(VALUE(MID($G47,2,1)),""))</f>
        <v/>
      </c>
      <c r="V47">
        <f>IF($F47="Aplica",$K47,"")</f>
        <v/>
      </c>
      <c r="W47">
        <f>IF(AND($F47="Aplica",$D47="Organizacional"),$K47,"")</f>
        <v/>
      </c>
      <c r="X47">
        <f>IF(AND($F47="Aplica",$D47="Personas"),$K47,"")</f>
        <v/>
      </c>
      <c r="Y47">
        <f>IF(AND($F47="Aplica",$D47="Físico"),$K47,"")</f>
        <v/>
      </c>
      <c r="Z47">
        <f>IF(AND($F47="Aplica",$D47="Tecnológico"),$K47,"")</f>
        <v/>
      </c>
    </row>
    <row r="48">
      <c r="B48" s="73" t="inlineStr">
        <is>
          <t>A.6.6</t>
        </is>
      </c>
      <c r="C48" s="69" t="inlineStr">
        <is>
          <t>Acuerdos de confidencialidad o no divulgación</t>
        </is>
      </c>
      <c r="D48" s="74" t="inlineStr">
        <is>
          <t>Personas</t>
        </is>
      </c>
      <c r="E48" s="69" t="inlineStr">
        <is>
          <t>Seguridad de recursos humanos</t>
        </is>
      </c>
      <c r="F48" s="75" t="inlineStr">
        <is>
          <t>Aplica</t>
        </is>
      </c>
      <c r="G48" s="76" t="inlineStr">
        <is>
          <t>L1 — Inicial / ad hoc</t>
        </is>
      </c>
      <c r="H48" s="76" t="inlineStr">
        <is>
          <t>L4 — Gestionado y medible</t>
        </is>
      </c>
      <c r="I48" s="76" t="inlineStr">
        <is>
          <t>L4 — Gestionado y medible</t>
        </is>
      </c>
      <c r="J48" s="77">
        <f>IF($F48="No aplica","",IFERROR(VLOOKUP(H48,MgMad,2,0),0))</f>
        <v/>
      </c>
      <c r="K48" s="78">
        <f>IF($F48="No aplica","",IFERROR(VALUE(MID(H48,2,1)),""))</f>
        <v/>
      </c>
      <c r="L48" s="78">
        <f>IF($F48="No aplica","",IFERROR(VALUE(MID(I48,2,1)),""))</f>
        <v/>
      </c>
      <c r="M48" s="78">
        <f>IF($F48="No aplica","",MAX(0,L48-K48))</f>
        <v/>
      </c>
      <c r="N48" s="79">
        <f>IF($F48="No aplica","No aplica",IF(M48=0,"Cumple el objetivo",IF(K48&gt;=3,"Gestionado, con brecha","Brecha prioritaria")))</f>
        <v/>
      </c>
      <c r="O48" s="78">
        <f>IF($F48="No aplica","",K48-IFERROR(VALUE(MID(G48,2,1)),0))</f>
        <v/>
      </c>
      <c r="P48" s="76" t="inlineStr">
        <is>
          <t>Acuerdos de confidencialidad firmados de forma sistemática por colaboradores y contratistas.</t>
        </is>
      </c>
      <c r="Q48" s="75" t="inlineStr"/>
      <c r="R48" s="80" t="n"/>
      <c r="S48" s="69" t="inlineStr">
        <is>
          <t>A.19, A.29</t>
        </is>
      </c>
      <c r="T48" s="78">
        <f>SUMPRODUCT(--ISNUMBER(SEARCH($B48&amp;" — ",'2. Valoración '!$AB$6:$AB$2261)))</f>
        <v/>
      </c>
      <c r="U48">
        <f>IF($F48="No aplica","",IFERROR(VALUE(MID($G48,2,1)),""))</f>
        <v/>
      </c>
      <c r="V48">
        <f>IF($F48="Aplica",$K48,"")</f>
        <v/>
      </c>
      <c r="W48">
        <f>IF(AND($F48="Aplica",$D48="Organizacional"),$K48,"")</f>
        <v/>
      </c>
      <c r="X48">
        <f>IF(AND($F48="Aplica",$D48="Personas"),$K48,"")</f>
        <v/>
      </c>
      <c r="Y48">
        <f>IF(AND($F48="Aplica",$D48="Físico"),$K48,"")</f>
        <v/>
      </c>
      <c r="Z48">
        <f>IF(AND($F48="Aplica",$D48="Tecnológico"),$K48,"")</f>
        <v/>
      </c>
    </row>
    <row r="49">
      <c r="B49" s="73" t="inlineStr">
        <is>
          <t>A.6.7</t>
        </is>
      </c>
      <c r="C49" s="69" t="inlineStr">
        <is>
          <t>Trabajo remoto</t>
        </is>
      </c>
      <c r="D49" s="74" t="inlineStr">
        <is>
          <t>Personas</t>
        </is>
      </c>
      <c r="E49" s="69" t="inlineStr">
        <is>
          <t>Seguridad física</t>
        </is>
      </c>
      <c r="F49" s="75" t="inlineStr">
        <is>
          <t>Aplica</t>
        </is>
      </c>
      <c r="G49" s="76" t="inlineStr">
        <is>
          <t>L0 — Inexistente</t>
        </is>
      </c>
      <c r="H49" s="76" t="inlineStr">
        <is>
          <t>L4 — Gestionado y medible</t>
        </is>
      </c>
      <c r="I49" s="76" t="inlineStr">
        <is>
          <t>L4 — Gestionado y medible</t>
        </is>
      </c>
      <c r="J49" s="77">
        <f>IF($F49="No aplica","",IFERROR(VLOOKUP(H49,MgMad,2,0),0))</f>
        <v/>
      </c>
      <c r="K49" s="78">
        <f>IF($F49="No aplica","",IFERROR(VALUE(MID(H49,2,1)),""))</f>
        <v/>
      </c>
      <c r="L49" s="78">
        <f>IF($F49="No aplica","",IFERROR(VALUE(MID(I49,2,1)),""))</f>
        <v/>
      </c>
      <c r="M49" s="78">
        <f>IF($F49="No aplica","",MAX(0,L49-K49))</f>
        <v/>
      </c>
      <c r="N49" s="79">
        <f>IF($F49="No aplica","No aplica",IF(M49=0,"Cumple el objetivo",IF(K49&gt;=3,"Gestionado, con brecha","Brecha prioritaria")))</f>
        <v/>
      </c>
      <c r="O49" s="78">
        <f>IF($F49="No aplica","",K49-IFERROR(VALUE(MID(G49,2,1)),0))</f>
        <v/>
      </c>
      <c r="P49" s="76" t="inlineStr">
        <is>
          <t>El teletrabajo es el modelo operativo: lineamientos de BYOD, Intune y acceso condicional lo sostienen.</t>
        </is>
      </c>
      <c r="Q49" s="75" t="inlineStr"/>
      <c r="R49" s="80" t="n"/>
      <c r="S49" s="69" t="inlineStr">
        <is>
          <t>A.14</t>
        </is>
      </c>
      <c r="T49" s="78">
        <f>SUMPRODUCT(--ISNUMBER(SEARCH($B49&amp;" — ",'2. Valoración '!$AB$6:$AB$2261)))</f>
        <v/>
      </c>
      <c r="U49">
        <f>IF($F49="No aplica","",IFERROR(VALUE(MID($G49,2,1)),""))</f>
        <v/>
      </c>
      <c r="V49">
        <f>IF($F49="Aplica",$K49,"")</f>
        <v/>
      </c>
      <c r="W49">
        <f>IF(AND($F49="Aplica",$D49="Organizacional"),$K49,"")</f>
        <v/>
      </c>
      <c r="X49">
        <f>IF(AND($F49="Aplica",$D49="Personas"),$K49,"")</f>
        <v/>
      </c>
      <c r="Y49">
        <f>IF(AND($F49="Aplica",$D49="Físico"),$K49,"")</f>
        <v/>
      </c>
      <c r="Z49">
        <f>IF(AND($F49="Aplica",$D49="Tecnológico"),$K49,"")</f>
        <v/>
      </c>
    </row>
    <row r="50">
      <c r="B50" s="73" t="inlineStr">
        <is>
          <t>A.6.8</t>
        </is>
      </c>
      <c r="C50" s="69" t="inlineStr">
        <is>
          <t>Reporte de eventos de seguridad de la información</t>
        </is>
      </c>
      <c r="D50" s="74" t="inlineStr">
        <is>
          <t>Personas</t>
        </is>
      </c>
      <c r="E50" s="69" t="inlineStr">
        <is>
          <t>Gestión de eventos de seguridad</t>
        </is>
      </c>
      <c r="F50" s="75" t="inlineStr">
        <is>
          <t>Aplica</t>
        </is>
      </c>
      <c r="G50" s="76" t="inlineStr">
        <is>
          <t>L0 — Inexistente</t>
        </is>
      </c>
      <c r="H50" s="76" t="inlineStr">
        <is>
          <t>L3 — Proceso definido</t>
        </is>
      </c>
      <c r="I50" s="76" t="inlineStr">
        <is>
          <t>L4 — Gestionado y medible</t>
        </is>
      </c>
      <c r="J50" s="77">
        <f>IF($F50="No aplica","",IFERROR(VLOOKUP(H50,MgMad,2,0),0))</f>
        <v/>
      </c>
      <c r="K50" s="78">
        <f>IF($F50="No aplica","",IFERROR(VALUE(MID(H50,2,1)),""))</f>
        <v/>
      </c>
      <c r="L50" s="78">
        <f>IF($F50="No aplica","",IFERROR(VALUE(MID(I50,2,1)),""))</f>
        <v/>
      </c>
      <c r="M50" s="78">
        <f>IF($F50="No aplica","",MAX(0,L50-K50))</f>
        <v/>
      </c>
      <c r="N50" s="79">
        <f>IF($F50="No aplica","No aplica",IF(M50=0,"Cumple el objetivo",IF(K50&gt;=3,"Gestionado, con brecha","Brecha prioritaria")))</f>
        <v/>
      </c>
      <c r="O50" s="78">
        <f>IF($F50="No aplica","",K50-IFERROR(VALUE(MID(G50,2,1)),0))</f>
        <v/>
      </c>
      <c r="P50" s="76" t="inlineStr">
        <is>
          <t>Canal de reporte definido y comunicado; falta medir el uso.</t>
        </is>
      </c>
      <c r="Q50" s="75" t="inlineStr"/>
      <c r="R50" s="80" t="n"/>
      <c r="S50" s="69" t="inlineStr">
        <is>
          <t>A.30</t>
        </is>
      </c>
      <c r="T50" s="78">
        <f>SUMPRODUCT(--ISNUMBER(SEARCH($B50&amp;" — ",'2. Valoración '!$AB$6:$AB$2261)))</f>
        <v/>
      </c>
      <c r="U50">
        <f>IF($F50="No aplica","",IFERROR(VALUE(MID($G50,2,1)),""))</f>
        <v/>
      </c>
      <c r="V50">
        <f>IF($F50="Aplica",$K50,"")</f>
        <v/>
      </c>
      <c r="W50">
        <f>IF(AND($F50="Aplica",$D50="Organizacional"),$K50,"")</f>
        <v/>
      </c>
      <c r="X50">
        <f>IF(AND($F50="Aplica",$D50="Personas"),$K50,"")</f>
        <v/>
      </c>
      <c r="Y50">
        <f>IF(AND($F50="Aplica",$D50="Físico"),$K50,"")</f>
        <v/>
      </c>
      <c r="Z50">
        <f>IF(AND($F50="Aplica",$D50="Tecnológico"),$K50,"")</f>
        <v/>
      </c>
    </row>
    <row r="51">
      <c r="B51" s="73" t="inlineStr">
        <is>
          <t>A.7.1</t>
        </is>
      </c>
      <c r="C51" s="69" t="inlineStr">
        <is>
          <t>Perímetros de seguridad física</t>
        </is>
      </c>
      <c r="D51" s="74" t="inlineStr">
        <is>
          <t>Físico</t>
        </is>
      </c>
      <c r="E51" s="69" t="inlineStr">
        <is>
          <t>Seguridad física</t>
        </is>
      </c>
      <c r="F51" s="75" t="inlineStr">
        <is>
          <t>No aplica</t>
        </is>
      </c>
      <c r="G51" s="76" t="inlineStr"/>
      <c r="H51" s="76" t="inlineStr"/>
      <c r="I51" s="76" t="inlineStr"/>
      <c r="J51" s="77">
        <f>IF($F51="No aplica","",IFERROR(VLOOKUP(H51,MgMad,2,0),0))</f>
        <v/>
      </c>
      <c r="K51" s="78">
        <f>IF($F51="No aplica","",IFERROR(VALUE(MID(H51,2,1)),""))</f>
        <v/>
      </c>
      <c r="L51" s="78">
        <f>IF($F51="No aplica","",IFERROR(VALUE(MID(I51,2,1)),""))</f>
        <v/>
      </c>
      <c r="M51" s="78">
        <f>IF($F51="No aplica","",MAX(0,L51-K51))</f>
        <v/>
      </c>
      <c r="N51" s="79">
        <f>IF($F51="No aplica","No aplica",IF(M51=0,"Cumple el objetivo",IF(K51&gt;=3,"Gestionado, con brecha","Brecha prioritaria")))</f>
        <v/>
      </c>
      <c r="O51" s="78">
        <f>IF($F51="No aplica","",K51-IFERROR(VALUE(MID(G51,2,1)),0))</f>
        <v/>
      </c>
      <c r="P51" s="76" t="inlineStr">
        <is>
          <t>No aplica: Cuántico opera 100 % en teletrabajo y no cuenta con sede propia ni perímetro físico que proteger.</t>
        </is>
      </c>
      <c r="Q51" s="75" t="inlineStr"/>
      <c r="R51" s="80" t="n"/>
      <c r="S51" s="69" t="inlineStr">
        <is>
          <t>A.26, A.27</t>
        </is>
      </c>
      <c r="T51" s="78">
        <f>SUMPRODUCT(--ISNUMBER(SEARCH($B51&amp;" — ",'2. Valoración '!$AB$6:$AB$2261)))</f>
        <v/>
      </c>
      <c r="U51">
        <f>IF($F51="No aplica","",IFERROR(VALUE(MID($G51,2,1)),""))</f>
        <v/>
      </c>
      <c r="V51">
        <f>IF($F51="Aplica",$K51,"")</f>
        <v/>
      </c>
      <c r="W51">
        <f>IF(AND($F51="Aplica",$D51="Organizacional"),$K51,"")</f>
        <v/>
      </c>
      <c r="X51">
        <f>IF(AND($F51="Aplica",$D51="Personas"),$K51,"")</f>
        <v/>
      </c>
      <c r="Y51">
        <f>IF(AND($F51="Aplica",$D51="Físico"),$K51,"")</f>
        <v/>
      </c>
      <c r="Z51">
        <f>IF(AND($F51="Aplica",$D51="Tecnológico"),$K51,"")</f>
        <v/>
      </c>
    </row>
    <row r="52">
      <c r="B52" s="73" t="inlineStr">
        <is>
          <t>A.7.2</t>
        </is>
      </c>
      <c r="C52" s="69" t="inlineStr">
        <is>
          <t>Controles de entrada física</t>
        </is>
      </c>
      <c r="D52" s="74" t="inlineStr">
        <is>
          <t>Físico</t>
        </is>
      </c>
      <c r="E52" s="69" t="inlineStr">
        <is>
          <t>Seguridad física</t>
        </is>
      </c>
      <c r="F52" s="75" t="inlineStr">
        <is>
          <t>No aplica</t>
        </is>
      </c>
      <c r="G52" s="76" t="inlineStr"/>
      <c r="H52" s="76" t="inlineStr"/>
      <c r="I52" s="76" t="inlineStr"/>
      <c r="J52" s="77">
        <f>IF($F52="No aplica","",IFERROR(VLOOKUP(H52,MgMad,2,0),0))</f>
        <v/>
      </c>
      <c r="K52" s="78">
        <f>IF($F52="No aplica","",IFERROR(VALUE(MID(H52,2,1)),""))</f>
        <v/>
      </c>
      <c r="L52" s="78">
        <f>IF($F52="No aplica","",IFERROR(VALUE(MID(I52,2,1)),""))</f>
        <v/>
      </c>
      <c r="M52" s="78">
        <f>IF($F52="No aplica","",MAX(0,L52-K52))</f>
        <v/>
      </c>
      <c r="N52" s="79">
        <f>IF($F52="No aplica","No aplica",IF(M52=0,"Cumple el objetivo",IF(K52&gt;=3,"Gestionado, con brecha","Brecha prioritaria")))</f>
        <v/>
      </c>
      <c r="O52" s="78">
        <f>IF($F52="No aplica","",K52-IFERROR(VALUE(MID(G52,2,1)),0))</f>
        <v/>
      </c>
      <c r="P52" s="76" t="inlineStr">
        <is>
          <t>No aplica: sin instalaciones propias no hay control de entrada física que implementar.</t>
        </is>
      </c>
      <c r="Q52" s="75" t="inlineStr"/>
      <c r="R52" s="80" t="n"/>
      <c r="S52" s="69" t="inlineStr">
        <is>
          <t>A.23, A.25, A.26, A.27</t>
        </is>
      </c>
      <c r="T52" s="78">
        <f>SUMPRODUCT(--ISNUMBER(SEARCH($B52&amp;" — ",'2. Valoración '!$AB$6:$AB$2261)))</f>
        <v/>
      </c>
      <c r="U52">
        <f>IF($F52="No aplica","",IFERROR(VALUE(MID($G52,2,1)),""))</f>
        <v/>
      </c>
      <c r="V52">
        <f>IF($F52="Aplica",$K52,"")</f>
        <v/>
      </c>
      <c r="W52">
        <f>IF(AND($F52="Aplica",$D52="Organizacional"),$K52,"")</f>
        <v/>
      </c>
      <c r="X52">
        <f>IF(AND($F52="Aplica",$D52="Personas"),$K52,"")</f>
        <v/>
      </c>
      <c r="Y52">
        <f>IF(AND($F52="Aplica",$D52="Físico"),$K52,"")</f>
        <v/>
      </c>
      <c r="Z52">
        <f>IF(AND($F52="Aplica",$D52="Tecnológico"),$K52,"")</f>
        <v/>
      </c>
    </row>
    <row r="53">
      <c r="B53" s="73" t="inlineStr">
        <is>
          <t>A.7.3</t>
        </is>
      </c>
      <c r="C53" s="69" t="inlineStr">
        <is>
          <t>Seguridad de oficinas, recintos e instalaciones</t>
        </is>
      </c>
      <c r="D53" s="74" t="inlineStr">
        <is>
          <t>Físico</t>
        </is>
      </c>
      <c r="E53" s="69" t="inlineStr">
        <is>
          <t>Seguridad física</t>
        </is>
      </c>
      <c r="F53" s="75" t="inlineStr">
        <is>
          <t>No aplica</t>
        </is>
      </c>
      <c r="G53" s="76" t="inlineStr"/>
      <c r="H53" s="76" t="inlineStr"/>
      <c r="I53" s="76" t="inlineStr"/>
      <c r="J53" s="77">
        <f>IF($F53="No aplica","",IFERROR(VLOOKUP(H53,MgMad,2,0),0))</f>
        <v/>
      </c>
      <c r="K53" s="78">
        <f>IF($F53="No aplica","",IFERROR(VALUE(MID(H53,2,1)),""))</f>
        <v/>
      </c>
      <c r="L53" s="78">
        <f>IF($F53="No aplica","",IFERROR(VALUE(MID(I53,2,1)),""))</f>
        <v/>
      </c>
      <c r="M53" s="78">
        <f>IF($F53="No aplica","",MAX(0,L53-K53))</f>
        <v/>
      </c>
      <c r="N53" s="79">
        <f>IF($F53="No aplica","No aplica",IF(M53=0,"Cumple el objetivo",IF(K53&gt;=3,"Gestionado, con brecha","Brecha prioritaria")))</f>
        <v/>
      </c>
      <c r="O53" s="78">
        <f>IF($F53="No aplica","",K53-IFERROR(VALUE(MID(G53,2,1)),0))</f>
        <v/>
      </c>
      <c r="P53" s="76" t="inlineStr">
        <is>
          <t>No aplica: sin oficinas, recintos ni salas propias.</t>
        </is>
      </c>
      <c r="Q53" s="75" t="inlineStr"/>
      <c r="R53" s="80" t="n"/>
      <c r="S53" s="69" t="inlineStr">
        <is>
          <t>I.1, N.1</t>
        </is>
      </c>
      <c r="T53" s="78">
        <f>SUMPRODUCT(--ISNUMBER(SEARCH($B53&amp;" — ",'2. Valoración '!$AB$6:$AB$2261)))</f>
        <v/>
      </c>
      <c r="U53">
        <f>IF($F53="No aplica","",IFERROR(VALUE(MID($G53,2,1)),""))</f>
        <v/>
      </c>
      <c r="V53">
        <f>IF($F53="Aplica",$K53,"")</f>
        <v/>
      </c>
      <c r="W53">
        <f>IF(AND($F53="Aplica",$D53="Organizacional"),$K53,"")</f>
        <v/>
      </c>
      <c r="X53">
        <f>IF(AND($F53="Aplica",$D53="Personas"),$K53,"")</f>
        <v/>
      </c>
      <c r="Y53">
        <f>IF(AND($F53="Aplica",$D53="Físico"),$K53,"")</f>
        <v/>
      </c>
      <c r="Z53">
        <f>IF(AND($F53="Aplica",$D53="Tecnológico"),$K53,"")</f>
        <v/>
      </c>
    </row>
    <row r="54">
      <c r="B54" s="73" t="inlineStr">
        <is>
          <t>A.7.4</t>
        </is>
      </c>
      <c r="C54" s="69" t="inlineStr">
        <is>
          <t>Monitoreo de seguridad física</t>
        </is>
      </c>
      <c r="D54" s="74" t="inlineStr">
        <is>
          <t>Físico</t>
        </is>
      </c>
      <c r="E54" s="69" t="inlineStr">
        <is>
          <t>Seguridad física</t>
        </is>
      </c>
      <c r="F54" s="75" t="inlineStr">
        <is>
          <t>No aplica</t>
        </is>
      </c>
      <c r="G54" s="76" t="inlineStr"/>
      <c r="H54" s="76" t="inlineStr"/>
      <c r="I54" s="76" t="inlineStr"/>
      <c r="J54" s="77">
        <f>IF($F54="No aplica","",IFERROR(VLOOKUP(H54,MgMad,2,0),0))</f>
        <v/>
      </c>
      <c r="K54" s="78">
        <f>IF($F54="No aplica","",IFERROR(VALUE(MID(H54,2,1)),""))</f>
        <v/>
      </c>
      <c r="L54" s="78">
        <f>IF($F54="No aplica","",IFERROR(VALUE(MID(I54,2,1)),""))</f>
        <v/>
      </c>
      <c r="M54" s="78">
        <f>IF($F54="No aplica","",MAX(0,L54-K54))</f>
        <v/>
      </c>
      <c r="N54" s="79">
        <f>IF($F54="No aplica","No aplica",IF(M54=0,"Cumple el objetivo",IF(K54&gt;=3,"Gestionado, con brecha","Brecha prioritaria")))</f>
        <v/>
      </c>
      <c r="O54" s="78">
        <f>IF($F54="No aplica","",K54-IFERROR(VALUE(MID(G54,2,1)),0))</f>
        <v/>
      </c>
      <c r="P54" s="76" t="inlineStr">
        <is>
          <t>No aplica: no hay instalaciones propias que monitorear.</t>
        </is>
      </c>
      <c r="Q54" s="75" t="inlineStr"/>
      <c r="R54" s="80" t="n"/>
      <c r="S54" s="69" t="inlineStr">
        <is>
          <t>A.26</t>
        </is>
      </c>
      <c r="T54" s="78">
        <f>SUMPRODUCT(--ISNUMBER(SEARCH($B54&amp;" — ",'2. Valoración '!$AB$6:$AB$2261)))</f>
        <v/>
      </c>
      <c r="U54">
        <f>IF($F54="No aplica","",IFERROR(VALUE(MID($G54,2,1)),""))</f>
        <v/>
      </c>
      <c r="V54">
        <f>IF($F54="Aplica",$K54,"")</f>
        <v/>
      </c>
      <c r="W54">
        <f>IF(AND($F54="Aplica",$D54="Organizacional"),$K54,"")</f>
        <v/>
      </c>
      <c r="X54">
        <f>IF(AND($F54="Aplica",$D54="Personas"),$K54,"")</f>
        <v/>
      </c>
      <c r="Y54">
        <f>IF(AND($F54="Aplica",$D54="Físico"),$K54,"")</f>
        <v/>
      </c>
      <c r="Z54">
        <f>IF(AND($F54="Aplica",$D54="Tecnológico"),$K54,"")</f>
        <v/>
      </c>
    </row>
    <row r="55">
      <c r="B55" s="73" t="inlineStr">
        <is>
          <t>A.7.5</t>
        </is>
      </c>
      <c r="C55" s="69" t="inlineStr">
        <is>
          <t>Protección contra amenazas físicas y ambientales</t>
        </is>
      </c>
      <c r="D55" s="74" t="inlineStr">
        <is>
          <t>Físico</t>
        </is>
      </c>
      <c r="E55" s="69" t="inlineStr">
        <is>
          <t>Seguridad física</t>
        </is>
      </c>
      <c r="F55" s="75" t="inlineStr">
        <is>
          <t>Aplica</t>
        </is>
      </c>
      <c r="G55" s="76" t="inlineStr">
        <is>
          <t>L0 — Inexistente</t>
        </is>
      </c>
      <c r="H55" s="76" t="inlineStr">
        <is>
          <t>L2 — Reproducible pero intuitivo</t>
        </is>
      </c>
      <c r="I55" s="76" t="inlineStr">
        <is>
          <t>L3 — Proceso definido</t>
        </is>
      </c>
      <c r="J55" s="77">
        <f>IF($F55="No aplica","",IFERROR(VLOOKUP(H55,MgMad,2,0),0))</f>
        <v/>
      </c>
      <c r="K55" s="78">
        <f>IF($F55="No aplica","",IFERROR(VALUE(MID(H55,2,1)),""))</f>
        <v/>
      </c>
      <c r="L55" s="78">
        <f>IF($F55="No aplica","",IFERROR(VALUE(MID(I55,2,1)),""))</f>
        <v/>
      </c>
      <c r="M55" s="78">
        <f>IF($F55="No aplica","",MAX(0,L55-K55))</f>
        <v/>
      </c>
      <c r="N55" s="79">
        <f>IF($F55="No aplica","No aplica",IF(M55=0,"Cumple el objetivo",IF(K55&gt;=3,"Gestionado, con brecha","Brecha prioritaria")))</f>
        <v/>
      </c>
      <c r="O55" s="78">
        <f>IF($F55="No aplica","",K55-IFERROR(VALUE(MID(G55,2,1)),0))</f>
        <v/>
      </c>
      <c r="P55" s="76" t="inlineStr">
        <is>
          <t>El puesto de teletrabajo queda fuera del control directo; se cubre con lineamientos, no con medidas verificables.</t>
        </is>
      </c>
      <c r="Q55" s="75" t="inlineStr"/>
      <c r="R55" s="80" t="n"/>
      <c r="S55" s="69" t="inlineStr">
        <is>
          <t>I.*, I.1, I.11, I.2, I.3, I.4, I.7, N.*, N.1, N.2</t>
        </is>
      </c>
      <c r="T55" s="78">
        <f>SUMPRODUCT(--ISNUMBER(SEARCH($B55&amp;" — ",'2. Valoración '!$AB$6:$AB$2261)))</f>
        <v/>
      </c>
      <c r="U55">
        <f>IF($F55="No aplica","",IFERROR(VALUE(MID($G55,2,1)),""))</f>
        <v/>
      </c>
      <c r="V55">
        <f>IF($F55="Aplica",$K55,"")</f>
        <v/>
      </c>
      <c r="W55">
        <f>IF(AND($F55="Aplica",$D55="Organizacional"),$K55,"")</f>
        <v/>
      </c>
      <c r="X55">
        <f>IF(AND($F55="Aplica",$D55="Personas"),$K55,"")</f>
        <v/>
      </c>
      <c r="Y55">
        <f>IF(AND($F55="Aplica",$D55="Físico"),$K55,"")</f>
        <v/>
      </c>
      <c r="Z55">
        <f>IF(AND($F55="Aplica",$D55="Tecnológico"),$K55,"")</f>
        <v/>
      </c>
    </row>
    <row r="56">
      <c r="B56" s="73" t="inlineStr">
        <is>
          <t>A.7.6</t>
        </is>
      </c>
      <c r="C56" s="69" t="inlineStr">
        <is>
          <t>Trabajo en áreas seguras</t>
        </is>
      </c>
      <c r="D56" s="74" t="inlineStr">
        <is>
          <t>Físico</t>
        </is>
      </c>
      <c r="E56" s="69" t="inlineStr">
        <is>
          <t>Seguridad física</t>
        </is>
      </c>
      <c r="F56" s="75" t="inlineStr">
        <is>
          <t>No aplica</t>
        </is>
      </c>
      <c r="G56" s="76" t="inlineStr"/>
      <c r="H56" s="76" t="inlineStr"/>
      <c r="I56" s="76" t="inlineStr"/>
      <c r="J56" s="77">
        <f>IF($F56="No aplica","",IFERROR(VLOOKUP(H56,MgMad,2,0),0))</f>
        <v/>
      </c>
      <c r="K56" s="78">
        <f>IF($F56="No aplica","",IFERROR(VALUE(MID(H56,2,1)),""))</f>
        <v/>
      </c>
      <c r="L56" s="78">
        <f>IF($F56="No aplica","",IFERROR(VALUE(MID(I56,2,1)),""))</f>
        <v/>
      </c>
      <c r="M56" s="78">
        <f>IF($F56="No aplica","",MAX(0,L56-K56))</f>
        <v/>
      </c>
      <c r="N56" s="79">
        <f>IF($F56="No aplica","No aplica",IF(M56=0,"Cumple el objetivo",IF(K56&gt;=3,"Gestionado, con brecha","Brecha prioritaria")))</f>
        <v/>
      </c>
      <c r="O56" s="78">
        <f>IF($F56="No aplica","",K56-IFERROR(VALUE(MID(G56,2,1)),0))</f>
        <v/>
      </c>
      <c r="P56" s="76" t="inlineStr">
        <is>
          <t>No aplica: no existen áreas seguras propias.</t>
        </is>
      </c>
      <c r="Q56" s="75" t="inlineStr"/>
      <c r="R56" s="80" t="n"/>
      <c r="S56" s="69" t="inlineStr">
        <is>
          <t>A.27</t>
        </is>
      </c>
      <c r="T56" s="78">
        <f>SUMPRODUCT(--ISNUMBER(SEARCH($B56&amp;" — ",'2. Valoración '!$AB$6:$AB$2261)))</f>
        <v/>
      </c>
      <c r="U56">
        <f>IF($F56="No aplica","",IFERROR(VALUE(MID($G56,2,1)),""))</f>
        <v/>
      </c>
      <c r="V56">
        <f>IF($F56="Aplica",$K56,"")</f>
        <v/>
      </c>
      <c r="W56">
        <f>IF(AND($F56="Aplica",$D56="Organizacional"),$K56,"")</f>
        <v/>
      </c>
      <c r="X56">
        <f>IF(AND($F56="Aplica",$D56="Personas"),$K56,"")</f>
        <v/>
      </c>
      <c r="Y56">
        <f>IF(AND($F56="Aplica",$D56="Físico"),$K56,"")</f>
        <v/>
      </c>
      <c r="Z56">
        <f>IF(AND($F56="Aplica",$D56="Tecnológico"),$K56,"")</f>
        <v/>
      </c>
    </row>
    <row r="57">
      <c r="B57" s="73" t="inlineStr">
        <is>
          <t>A.7.7</t>
        </is>
      </c>
      <c r="C57" s="69" t="inlineStr">
        <is>
          <t>Escritorio despejado y pantalla despejada</t>
        </is>
      </c>
      <c r="D57" s="74" t="inlineStr">
        <is>
          <t>Físico</t>
        </is>
      </c>
      <c r="E57" s="69" t="inlineStr">
        <is>
          <t>Seguridad física</t>
        </is>
      </c>
      <c r="F57" s="75" t="inlineStr">
        <is>
          <t>Aplica</t>
        </is>
      </c>
      <c r="G57" s="76" t="inlineStr">
        <is>
          <t>L0 — Inexistente</t>
        </is>
      </c>
      <c r="H57" s="76" t="inlineStr">
        <is>
          <t>L3 — Proceso definido</t>
        </is>
      </c>
      <c r="I57" s="76" t="inlineStr">
        <is>
          <t>L4 — Gestionado y medible</t>
        </is>
      </c>
      <c r="J57" s="77">
        <f>IF($F57="No aplica","",IFERROR(VLOOKUP(H57,MgMad,2,0),0))</f>
        <v/>
      </c>
      <c r="K57" s="78">
        <f>IF($F57="No aplica","",IFERROR(VALUE(MID(H57,2,1)),""))</f>
        <v/>
      </c>
      <c r="L57" s="78">
        <f>IF($F57="No aplica","",IFERROR(VALUE(MID(I57,2,1)),""))</f>
        <v/>
      </c>
      <c r="M57" s="78">
        <f>IF($F57="No aplica","",MAX(0,L57-K57))</f>
        <v/>
      </c>
      <c r="N57" s="79">
        <f>IF($F57="No aplica","No aplica",IF(M57=0,"Cumple el objetivo",IF(K57&gt;=3,"Gestionado, con brecha","Brecha prioritaria")))</f>
        <v/>
      </c>
      <c r="O57" s="78">
        <f>IF($F57="No aplica","",K57-IFERROR(VALUE(MID(G57,2,1)),0))</f>
        <v/>
      </c>
      <c r="P57" s="76" t="inlineStr">
        <is>
          <t>Política de escritorio y pantalla limpia, con bloqueo automático de sesión forzado por Intune.</t>
        </is>
      </c>
      <c r="Q57" s="75" t="inlineStr"/>
      <c r="R57" s="80" t="n"/>
      <c r="S57" s="69" t="inlineStr">
        <is>
          <t>E.14</t>
        </is>
      </c>
      <c r="T57" s="78">
        <f>SUMPRODUCT(--ISNUMBER(SEARCH($B57&amp;" — ",'2. Valoración '!$AB$6:$AB$2261)))</f>
        <v/>
      </c>
      <c r="U57">
        <f>IF($F57="No aplica","",IFERROR(VALUE(MID($G57,2,1)),""))</f>
        <v/>
      </c>
      <c r="V57">
        <f>IF($F57="Aplica",$K57,"")</f>
        <v/>
      </c>
      <c r="W57">
        <f>IF(AND($F57="Aplica",$D57="Organizacional"),$K57,"")</f>
        <v/>
      </c>
      <c r="X57">
        <f>IF(AND($F57="Aplica",$D57="Personas"),$K57,"")</f>
        <v/>
      </c>
      <c r="Y57">
        <f>IF(AND($F57="Aplica",$D57="Físico"),$K57,"")</f>
        <v/>
      </c>
      <c r="Z57">
        <f>IF(AND($F57="Aplica",$D57="Tecnológico"),$K57,"")</f>
        <v/>
      </c>
    </row>
    <row r="58">
      <c r="B58" s="73" t="inlineStr">
        <is>
          <t>A.7.8</t>
        </is>
      </c>
      <c r="C58" s="69" t="inlineStr">
        <is>
          <t>Ubicación y protección de los equipos</t>
        </is>
      </c>
      <c r="D58" s="74" t="inlineStr">
        <is>
          <t>Físico</t>
        </is>
      </c>
      <c r="E58" s="69" t="inlineStr">
        <is>
          <t>Seguridad física</t>
        </is>
      </c>
      <c r="F58" s="75" t="inlineStr">
        <is>
          <t>Aplica</t>
        </is>
      </c>
      <c r="G58" s="76" t="inlineStr">
        <is>
          <t>L0 — Inexistente</t>
        </is>
      </c>
      <c r="H58" s="76" t="inlineStr">
        <is>
          <t>L2 — Reproducible pero intuitivo</t>
        </is>
      </c>
      <c r="I58" s="76" t="inlineStr">
        <is>
          <t>L3 — Proceso definido</t>
        </is>
      </c>
      <c r="J58" s="77">
        <f>IF($F58="No aplica","",IFERROR(VLOOKUP(H58,MgMad,2,0),0))</f>
        <v/>
      </c>
      <c r="K58" s="78">
        <f>IF($F58="No aplica","",IFERROR(VALUE(MID(H58,2,1)),""))</f>
        <v/>
      </c>
      <c r="L58" s="78">
        <f>IF($F58="No aplica","",IFERROR(VALUE(MID(I58,2,1)),""))</f>
        <v/>
      </c>
      <c r="M58" s="78">
        <f>IF($F58="No aplica","",MAX(0,L58-K58))</f>
        <v/>
      </c>
      <c r="N58" s="79">
        <f>IF($F58="No aplica","No aplica",IF(M58=0,"Cumple el objetivo",IF(K58&gt;=3,"Gestionado, con brecha","Brecha prioritaria")))</f>
        <v/>
      </c>
      <c r="O58" s="78">
        <f>IF($F58="No aplica","",K58-IFERROR(VALUE(MID(G58,2,1)),0))</f>
        <v/>
      </c>
      <c r="P58" s="76" t="inlineStr">
        <is>
          <t>La ubicación del equipo en el domicilio del colaborador no es verificable; se cubre por lineamiento.</t>
        </is>
      </c>
      <c r="Q58" s="75" t="inlineStr"/>
      <c r="R58" s="80" t="n"/>
      <c r="S58" s="69" t="inlineStr">
        <is>
          <t>A.23, I.2, I.3, I.4, I.7, N.2</t>
        </is>
      </c>
      <c r="T58" s="78">
        <f>SUMPRODUCT(--ISNUMBER(SEARCH($B58&amp;" — ",'2. Valoración '!$AB$6:$AB$2261)))</f>
        <v/>
      </c>
      <c r="U58">
        <f>IF($F58="No aplica","",IFERROR(VALUE(MID($G58,2,1)),""))</f>
        <v/>
      </c>
      <c r="V58">
        <f>IF($F58="Aplica",$K58,"")</f>
        <v/>
      </c>
      <c r="W58">
        <f>IF(AND($F58="Aplica",$D58="Organizacional"),$K58,"")</f>
        <v/>
      </c>
      <c r="X58">
        <f>IF(AND($F58="Aplica",$D58="Personas"),$K58,"")</f>
        <v/>
      </c>
      <c r="Y58">
        <f>IF(AND($F58="Aplica",$D58="Físico"),$K58,"")</f>
        <v/>
      </c>
      <c r="Z58">
        <f>IF(AND($F58="Aplica",$D58="Tecnológico"),$K58,"")</f>
        <v/>
      </c>
    </row>
    <row r="59">
      <c r="B59" s="73" t="inlineStr">
        <is>
          <t>A.7.9</t>
        </is>
      </c>
      <c r="C59" s="69" t="inlineStr">
        <is>
          <t>Seguridad de los activos fuera de las instalaciones</t>
        </is>
      </c>
      <c r="D59" s="74" t="inlineStr">
        <is>
          <t>Físico</t>
        </is>
      </c>
      <c r="E59" s="69" t="inlineStr">
        <is>
          <t>Seguridad física</t>
        </is>
      </c>
      <c r="F59" s="75" t="inlineStr">
        <is>
          <t>Aplica</t>
        </is>
      </c>
      <c r="G59" s="76" t="inlineStr">
        <is>
          <t>L0 — Inexistente</t>
        </is>
      </c>
      <c r="H59" s="76" t="inlineStr">
        <is>
          <t>L3 — Proceso definido</t>
        </is>
      </c>
      <c r="I59" s="76" t="inlineStr">
        <is>
          <t>L4 — Gestionado y medible</t>
        </is>
      </c>
      <c r="J59" s="77">
        <f>IF($F59="No aplica","",IFERROR(VLOOKUP(H59,MgMad,2,0),0))</f>
        <v/>
      </c>
      <c r="K59" s="78">
        <f>IF($F59="No aplica","",IFERROR(VALUE(MID(H59,2,1)),""))</f>
        <v/>
      </c>
      <c r="L59" s="78">
        <f>IF($F59="No aplica","",IFERROR(VALUE(MID(I59,2,1)),""))</f>
        <v/>
      </c>
      <c r="M59" s="78">
        <f>IF($F59="No aplica","",MAX(0,L59-K59))</f>
        <v/>
      </c>
      <c r="N59" s="79">
        <f>IF($F59="No aplica","No aplica",IF(M59=0,"Cumple el objetivo",IF(K59&gt;=3,"Gestionado, con brecha","Brecha prioritaria")))</f>
        <v/>
      </c>
      <c r="O59" s="78">
        <f>IF($F59="No aplica","",K59-IFERROR(VALUE(MID(G59,2,1)),0))</f>
        <v/>
      </c>
      <c r="P59" s="76" t="inlineStr">
        <is>
          <t>Cifrado de disco y gestión remota de los equipos fuera de instalaciones mediante Intune.</t>
        </is>
      </c>
      <c r="Q59" s="75" t="inlineStr"/>
      <c r="R59" s="80" t="n"/>
      <c r="S59" s="69" t="inlineStr">
        <is>
          <t>A.23, A.25, E.25</t>
        </is>
      </c>
      <c r="T59" s="78">
        <f>SUMPRODUCT(--ISNUMBER(SEARCH($B59&amp;" — ",'2. Valoración '!$AB$6:$AB$2261)))</f>
        <v/>
      </c>
      <c r="U59">
        <f>IF($F59="No aplica","",IFERROR(VALUE(MID($G59,2,1)),""))</f>
        <v/>
      </c>
      <c r="V59">
        <f>IF($F59="Aplica",$K59,"")</f>
        <v/>
      </c>
      <c r="W59">
        <f>IF(AND($F59="Aplica",$D59="Organizacional"),$K59,"")</f>
        <v/>
      </c>
      <c r="X59">
        <f>IF(AND($F59="Aplica",$D59="Personas"),$K59,"")</f>
        <v/>
      </c>
      <c r="Y59">
        <f>IF(AND($F59="Aplica",$D59="Físico"),$K59,"")</f>
        <v/>
      </c>
      <c r="Z59">
        <f>IF(AND($F59="Aplica",$D59="Tecnológico"),$K59,"")</f>
        <v/>
      </c>
    </row>
    <row r="60">
      <c r="B60" s="73" t="inlineStr">
        <is>
          <t>A.7.10</t>
        </is>
      </c>
      <c r="C60" s="69" t="inlineStr">
        <is>
          <t>Medios de almacenamiento</t>
        </is>
      </c>
      <c r="D60" s="74" t="inlineStr">
        <is>
          <t>Físico</t>
        </is>
      </c>
      <c r="E60" s="69" t="inlineStr">
        <is>
          <t>Seguridad física</t>
        </is>
      </c>
      <c r="F60" s="75" t="inlineStr">
        <is>
          <t>Aplica</t>
        </is>
      </c>
      <c r="G60" s="76" t="inlineStr">
        <is>
          <t>L0 — Inexistente</t>
        </is>
      </c>
      <c r="H60" s="76" t="inlineStr">
        <is>
          <t>L3 — Proceso definido</t>
        </is>
      </c>
      <c r="I60" s="76" t="inlineStr">
        <is>
          <t>L4 — Gestionado y medible</t>
        </is>
      </c>
      <c r="J60" s="77">
        <f>IF($F60="No aplica","",IFERROR(VLOOKUP(H60,MgMad,2,0),0))</f>
        <v/>
      </c>
      <c r="K60" s="78">
        <f>IF($F60="No aplica","",IFERROR(VALUE(MID(H60,2,1)),""))</f>
        <v/>
      </c>
      <c r="L60" s="78">
        <f>IF($F60="No aplica","",IFERROR(VALUE(MID(I60,2,1)),""))</f>
        <v/>
      </c>
      <c r="M60" s="78">
        <f>IF($F60="No aplica","",MAX(0,L60-K60))</f>
        <v/>
      </c>
      <c r="N60" s="79">
        <f>IF($F60="No aplica","No aplica",IF(M60=0,"Cumple el objetivo",IF(K60&gt;=3,"Gestionado, con brecha","Brecha prioritaria")))</f>
        <v/>
      </c>
      <c r="O60" s="78">
        <f>IF($F60="No aplica","",K60-IFERROR(VALUE(MID(G60,2,1)),0))</f>
        <v/>
      </c>
      <c r="P60" s="76" t="inlineStr">
        <is>
          <t>Control de medios extraíbles y cifrado aplicados por directiva de Intune.</t>
        </is>
      </c>
      <c r="Q60" s="75" t="inlineStr"/>
      <c r="R60" s="80" t="n"/>
      <c r="S60" s="69" t="inlineStr">
        <is>
          <t>A.25, E.25, I.10</t>
        </is>
      </c>
      <c r="T60" s="78">
        <f>SUMPRODUCT(--ISNUMBER(SEARCH($B60&amp;" — ",'2. Valoración '!$AB$6:$AB$2261)))</f>
        <v/>
      </c>
      <c r="U60">
        <f>IF($F60="No aplica","",IFERROR(VALUE(MID($G60,2,1)),""))</f>
        <v/>
      </c>
      <c r="V60">
        <f>IF($F60="Aplica",$K60,"")</f>
        <v/>
      </c>
      <c r="W60">
        <f>IF(AND($F60="Aplica",$D60="Organizacional"),$K60,"")</f>
        <v/>
      </c>
      <c r="X60">
        <f>IF(AND($F60="Aplica",$D60="Personas"),$K60,"")</f>
        <v/>
      </c>
      <c r="Y60">
        <f>IF(AND($F60="Aplica",$D60="Físico"),$K60,"")</f>
        <v/>
      </c>
      <c r="Z60">
        <f>IF(AND($F60="Aplica",$D60="Tecnológico"),$K60,"")</f>
        <v/>
      </c>
    </row>
    <row r="61">
      <c r="B61" s="73" t="inlineStr">
        <is>
          <t>A.7.11</t>
        </is>
      </c>
      <c r="C61" s="69" t="inlineStr">
        <is>
          <t>Servicios de suministro</t>
        </is>
      </c>
      <c r="D61" s="74" t="inlineStr">
        <is>
          <t>Físico</t>
        </is>
      </c>
      <c r="E61" s="69" t="inlineStr">
        <is>
          <t>Seguridad física</t>
        </is>
      </c>
      <c r="F61" s="75" t="inlineStr">
        <is>
          <t>No aplica</t>
        </is>
      </c>
      <c r="G61" s="76" t="inlineStr"/>
      <c r="H61" s="76" t="inlineStr"/>
      <c r="I61" s="76" t="inlineStr"/>
      <c r="J61" s="77">
        <f>IF($F61="No aplica","",IFERROR(VLOOKUP(H61,MgMad,2,0),0))</f>
        <v/>
      </c>
      <c r="K61" s="78">
        <f>IF($F61="No aplica","",IFERROR(VALUE(MID(H61,2,1)),""))</f>
        <v/>
      </c>
      <c r="L61" s="78">
        <f>IF($F61="No aplica","",IFERROR(VALUE(MID(I61,2,1)),""))</f>
        <v/>
      </c>
      <c r="M61" s="78">
        <f>IF($F61="No aplica","",MAX(0,L61-K61))</f>
        <v/>
      </c>
      <c r="N61" s="79">
        <f>IF($F61="No aplica","No aplica",IF(M61=0,"Cumple el objetivo",IF(K61&gt;=3,"Gestionado, con brecha","Brecha prioritaria")))</f>
        <v/>
      </c>
      <c r="O61" s="78">
        <f>IF($F61="No aplica","",K61-IFERROR(VALUE(MID(G61,2,1)),0))</f>
        <v/>
      </c>
      <c r="P61" s="76" t="inlineStr">
        <is>
          <t>No aplica: los servicios de suministro son responsabilidad del proveedor de nube y del domicilio del colaborador.</t>
        </is>
      </c>
      <c r="Q61" s="75" t="inlineStr"/>
      <c r="R61" s="80" t="n"/>
      <c r="S61" s="69" t="inlineStr">
        <is>
          <t>I.1, I.6, I.7, N.1</t>
        </is>
      </c>
      <c r="T61" s="78">
        <f>SUMPRODUCT(--ISNUMBER(SEARCH($B61&amp;" — ",'2. Valoración '!$AB$6:$AB$2261)))</f>
        <v/>
      </c>
      <c r="U61">
        <f>IF($F61="No aplica","",IFERROR(VALUE(MID($G61,2,1)),""))</f>
        <v/>
      </c>
      <c r="V61">
        <f>IF($F61="Aplica",$K61,"")</f>
        <v/>
      </c>
      <c r="W61">
        <f>IF(AND($F61="Aplica",$D61="Organizacional"),$K61,"")</f>
        <v/>
      </c>
      <c r="X61">
        <f>IF(AND($F61="Aplica",$D61="Personas"),$K61,"")</f>
        <v/>
      </c>
      <c r="Y61">
        <f>IF(AND($F61="Aplica",$D61="Físico"),$K61,"")</f>
        <v/>
      </c>
      <c r="Z61">
        <f>IF(AND($F61="Aplica",$D61="Tecnológico"),$K61,"")</f>
        <v/>
      </c>
    </row>
    <row r="62">
      <c r="B62" s="73" t="inlineStr">
        <is>
          <t>A.7.12</t>
        </is>
      </c>
      <c r="C62" s="69" t="inlineStr">
        <is>
          <t>Seguridad del cableado</t>
        </is>
      </c>
      <c r="D62" s="74" t="inlineStr">
        <is>
          <t>Físico</t>
        </is>
      </c>
      <c r="E62" s="69" t="inlineStr">
        <is>
          <t>Seguridad física</t>
        </is>
      </c>
      <c r="F62" s="75" t="inlineStr">
        <is>
          <t>No aplica</t>
        </is>
      </c>
      <c r="G62" s="76" t="inlineStr"/>
      <c r="H62" s="76" t="inlineStr"/>
      <c r="I62" s="76" t="inlineStr"/>
      <c r="J62" s="77">
        <f>IF($F62="No aplica","",IFERROR(VLOOKUP(H62,MgMad,2,0),0))</f>
        <v/>
      </c>
      <c r="K62" s="78">
        <f>IF($F62="No aplica","",IFERROR(VALUE(MID(H62,2,1)),""))</f>
        <v/>
      </c>
      <c r="L62" s="78">
        <f>IF($F62="No aplica","",IFERROR(VALUE(MID(I62,2,1)),""))</f>
        <v/>
      </c>
      <c r="M62" s="78">
        <f>IF($F62="No aplica","",MAX(0,L62-K62))</f>
        <v/>
      </c>
      <c r="N62" s="79">
        <f>IF($F62="No aplica","No aplica",IF(M62=0,"Cumple el objetivo",IF(K62&gt;=3,"Gestionado, con brecha","Brecha prioritaria")))</f>
        <v/>
      </c>
      <c r="O62" s="78">
        <f>IF($F62="No aplica","",K62-IFERROR(VALUE(MID(G62,2,1)),0))</f>
        <v/>
      </c>
      <c r="P62" s="76" t="inlineStr">
        <is>
          <t>No aplica: no hay cableado propio bajo control de la organización.</t>
        </is>
      </c>
      <c r="Q62" s="75" t="inlineStr"/>
      <c r="R62" s="80" t="n"/>
      <c r="S62" s="69" t="inlineStr">
        <is>
          <t>I.11, I.4</t>
        </is>
      </c>
      <c r="T62" s="78">
        <f>SUMPRODUCT(--ISNUMBER(SEARCH($B62&amp;" — ",'2. Valoración '!$AB$6:$AB$2261)))</f>
        <v/>
      </c>
      <c r="U62">
        <f>IF($F62="No aplica","",IFERROR(VALUE(MID($G62,2,1)),""))</f>
        <v/>
      </c>
      <c r="V62">
        <f>IF($F62="Aplica",$K62,"")</f>
        <v/>
      </c>
      <c r="W62">
        <f>IF(AND($F62="Aplica",$D62="Organizacional"),$K62,"")</f>
        <v/>
      </c>
      <c r="X62">
        <f>IF(AND($F62="Aplica",$D62="Personas"),$K62,"")</f>
        <v/>
      </c>
      <c r="Y62">
        <f>IF(AND($F62="Aplica",$D62="Físico"),$K62,"")</f>
        <v/>
      </c>
      <c r="Z62">
        <f>IF(AND($F62="Aplica",$D62="Tecnológico"),$K62,"")</f>
        <v/>
      </c>
    </row>
    <row r="63">
      <c r="B63" s="73" t="inlineStr">
        <is>
          <t>A.7.13</t>
        </is>
      </c>
      <c r="C63" s="69" t="inlineStr">
        <is>
          <t>Mantenimiento de los equipos</t>
        </is>
      </c>
      <c r="D63" s="74" t="inlineStr">
        <is>
          <t>Físico</t>
        </is>
      </c>
      <c r="E63" s="69" t="inlineStr">
        <is>
          <t>Seguridad física</t>
        </is>
      </c>
      <c r="F63" s="75" t="inlineStr">
        <is>
          <t>Aplica</t>
        </is>
      </c>
      <c r="G63" s="76" t="inlineStr">
        <is>
          <t>L0 — Inexistente</t>
        </is>
      </c>
      <c r="H63" s="76" t="inlineStr">
        <is>
          <t>L3 — Proceso definido</t>
        </is>
      </c>
      <c r="I63" s="76" t="inlineStr">
        <is>
          <t>L4 — Gestionado y medible</t>
        </is>
      </c>
      <c r="J63" s="77">
        <f>IF($F63="No aplica","",IFERROR(VLOOKUP(H63,MgMad,2,0),0))</f>
        <v/>
      </c>
      <c r="K63" s="78">
        <f>IF($F63="No aplica","",IFERROR(VALUE(MID(H63,2,1)),""))</f>
        <v/>
      </c>
      <c r="L63" s="78">
        <f>IF($F63="No aplica","",IFERROR(VALUE(MID(I63,2,1)),""))</f>
        <v/>
      </c>
      <c r="M63" s="78">
        <f>IF($F63="No aplica","",MAX(0,L63-K63))</f>
        <v/>
      </c>
      <c r="N63" s="79">
        <f>IF($F63="No aplica","No aplica",IF(M63=0,"Cumple el objetivo",IF(K63&gt;=3,"Gestionado, con brecha","Brecha prioritaria")))</f>
        <v/>
      </c>
      <c r="O63" s="78">
        <f>IF($F63="No aplica","",K63-IFERROR(VALUE(MID(G63,2,1)),0))</f>
        <v/>
      </c>
      <c r="P63" s="76" t="inlineStr">
        <is>
          <t>Registro de mantenimiento y supervisión de equipos de cómputo en operación.</t>
        </is>
      </c>
      <c r="Q63" s="75" t="inlineStr"/>
      <c r="R63" s="80" t="n"/>
      <c r="S63" s="69" t="inlineStr">
        <is>
          <t>E.23, I.3, I.5</t>
        </is>
      </c>
      <c r="T63" s="78">
        <f>SUMPRODUCT(--ISNUMBER(SEARCH($B63&amp;" — ",'2. Valoración '!$AB$6:$AB$2261)))</f>
        <v/>
      </c>
      <c r="U63">
        <f>IF($F63="No aplica","",IFERROR(VALUE(MID($G63,2,1)),""))</f>
        <v/>
      </c>
      <c r="V63">
        <f>IF($F63="Aplica",$K63,"")</f>
        <v/>
      </c>
      <c r="W63">
        <f>IF(AND($F63="Aplica",$D63="Organizacional"),$K63,"")</f>
        <v/>
      </c>
      <c r="X63">
        <f>IF(AND($F63="Aplica",$D63="Personas"),$K63,"")</f>
        <v/>
      </c>
      <c r="Y63">
        <f>IF(AND($F63="Aplica",$D63="Físico"),$K63,"")</f>
        <v/>
      </c>
      <c r="Z63">
        <f>IF(AND($F63="Aplica",$D63="Tecnológico"),$K63,"")</f>
        <v/>
      </c>
    </row>
    <row r="64">
      <c r="B64" s="73" t="inlineStr">
        <is>
          <t>A.7.14</t>
        </is>
      </c>
      <c r="C64" s="69" t="inlineStr">
        <is>
          <t>Eliminación o reutilización segura de equipos</t>
        </is>
      </c>
      <c r="D64" s="74" t="inlineStr">
        <is>
          <t>Físico</t>
        </is>
      </c>
      <c r="E64" s="69" t="inlineStr">
        <is>
          <t>Seguridad física</t>
        </is>
      </c>
      <c r="F64" s="75" t="inlineStr">
        <is>
          <t>Aplica</t>
        </is>
      </c>
      <c r="G64" s="76" t="inlineStr">
        <is>
          <t>L0 — Inexistente</t>
        </is>
      </c>
      <c r="H64" s="76" t="inlineStr">
        <is>
          <t>L2 — Reproducible pero intuitivo</t>
        </is>
      </c>
      <c r="I64" s="76" t="inlineStr">
        <is>
          <t>L4 — Gestionado y medible</t>
        </is>
      </c>
      <c r="J64" s="77">
        <f>IF($F64="No aplica","",IFERROR(VLOOKUP(H64,MgMad,2,0),0))</f>
        <v/>
      </c>
      <c r="K64" s="78">
        <f>IF($F64="No aplica","",IFERROR(VALUE(MID(H64,2,1)),""))</f>
        <v/>
      </c>
      <c r="L64" s="78">
        <f>IF($F64="No aplica","",IFERROR(VALUE(MID(I64,2,1)),""))</f>
        <v/>
      </c>
      <c r="M64" s="78">
        <f>IF($F64="No aplica","",MAX(0,L64-K64))</f>
        <v/>
      </c>
      <c r="N64" s="79">
        <f>IF($F64="No aplica","No aplica",IF(M64=0,"Cumple el objetivo",IF(K64&gt;=3,"Gestionado, con brecha","Brecha prioritaria")))</f>
        <v/>
      </c>
      <c r="O64" s="78">
        <f>IF($F64="No aplica","",K64-IFERROR(VALUE(MID(G64,2,1)),0))</f>
        <v/>
      </c>
      <c r="P64" s="76" t="inlineStr">
        <is>
          <t>El borrado seguro al reasignar o dar de baja un equipo no está formalizado.</t>
        </is>
      </c>
      <c r="Q64" s="75" t="inlineStr"/>
      <c r="R64" s="80" t="n"/>
      <c r="S64" s="69" t="inlineStr">
        <is>
          <t>I.10</t>
        </is>
      </c>
      <c r="T64" s="78">
        <f>SUMPRODUCT(--ISNUMBER(SEARCH($B64&amp;" — ",'2. Valoración '!$AB$6:$AB$2261)))</f>
        <v/>
      </c>
      <c r="U64">
        <f>IF($F64="No aplica","",IFERROR(VALUE(MID($G64,2,1)),""))</f>
        <v/>
      </c>
      <c r="V64">
        <f>IF($F64="Aplica",$K64,"")</f>
        <v/>
      </c>
      <c r="W64">
        <f>IF(AND($F64="Aplica",$D64="Organizacional"),$K64,"")</f>
        <v/>
      </c>
      <c r="X64">
        <f>IF(AND($F64="Aplica",$D64="Personas"),$K64,"")</f>
        <v/>
      </c>
      <c r="Y64">
        <f>IF(AND($F64="Aplica",$D64="Físico"),$K64,"")</f>
        <v/>
      </c>
      <c r="Z64">
        <f>IF(AND($F64="Aplica",$D64="Tecnológico"),$K64,"")</f>
        <v/>
      </c>
    </row>
    <row r="65">
      <c r="B65" s="73" t="inlineStr">
        <is>
          <t>A.8.1</t>
        </is>
      </c>
      <c r="C65" s="69" t="inlineStr">
        <is>
          <t>Dispositivos de punto final del usuario</t>
        </is>
      </c>
      <c r="D65" s="74" t="inlineStr">
        <is>
          <t>Tecnológico</t>
        </is>
      </c>
      <c r="E65" s="69" t="inlineStr">
        <is>
          <t>Configuración segura</t>
        </is>
      </c>
      <c r="F65" s="75" t="inlineStr">
        <is>
          <t>Aplica</t>
        </is>
      </c>
      <c r="G65" s="76" t="inlineStr">
        <is>
          <t>L0 — Inexistente</t>
        </is>
      </c>
      <c r="H65" s="76" t="inlineStr">
        <is>
          <t>L4 — Gestionado y medible</t>
        </is>
      </c>
      <c r="I65" s="76" t="inlineStr">
        <is>
          <t>L4 — Gestionado y medible</t>
        </is>
      </c>
      <c r="J65" s="77">
        <f>IF($F65="No aplica","",IFERROR(VLOOKUP(H65,MgMad,2,0),0))</f>
        <v/>
      </c>
      <c r="K65" s="78">
        <f>IF($F65="No aplica","",IFERROR(VALUE(MID(H65,2,1)),""))</f>
        <v/>
      </c>
      <c r="L65" s="78">
        <f>IF($F65="No aplica","",IFERROR(VALUE(MID(I65,2,1)),""))</f>
        <v/>
      </c>
      <c r="M65" s="78">
        <f>IF($F65="No aplica","",MAX(0,L65-K65))</f>
        <v/>
      </c>
      <c r="N65" s="79">
        <f>IF($F65="No aplica","No aplica",IF(M65=0,"Cumple el objetivo",IF(K65&gt;=3,"Gestionado, con brecha","Brecha prioritaria")))</f>
        <v/>
      </c>
      <c r="O65" s="78">
        <f>IF($F65="No aplica","",K65-IFERROR(VALUE(MID(G65,2,1)),0))</f>
        <v/>
      </c>
      <c r="P65" s="76" t="inlineStr">
        <is>
          <t>Microsoft Intune gestiona el 100 % de los dispositivos de punto final, con cumplimiento verificado.</t>
        </is>
      </c>
      <c r="Q65" s="75" t="inlineStr"/>
      <c r="R65" s="80" t="n"/>
      <c r="S65" s="69" t="inlineStr">
        <is>
          <t>A.23, A.25, E.25</t>
        </is>
      </c>
      <c r="T65" s="78">
        <f>SUMPRODUCT(--ISNUMBER(SEARCH($B65&amp;" — ",'2. Valoración '!$AB$6:$AB$2261)))</f>
        <v/>
      </c>
      <c r="U65">
        <f>IF($F65="No aplica","",IFERROR(VALUE(MID($G65,2,1)),""))</f>
        <v/>
      </c>
      <c r="V65">
        <f>IF($F65="Aplica",$K65,"")</f>
        <v/>
      </c>
      <c r="W65">
        <f>IF(AND($F65="Aplica",$D65="Organizacional"),$K65,"")</f>
        <v/>
      </c>
      <c r="X65">
        <f>IF(AND($F65="Aplica",$D65="Personas"),$K65,"")</f>
        <v/>
      </c>
      <c r="Y65">
        <f>IF(AND($F65="Aplica",$D65="Físico"),$K65,"")</f>
        <v/>
      </c>
      <c r="Z65">
        <f>IF(AND($F65="Aplica",$D65="Tecnológico"),$K65,"")</f>
        <v/>
      </c>
    </row>
    <row r="66">
      <c r="B66" s="73" t="inlineStr">
        <is>
          <t>A.8.2</t>
        </is>
      </c>
      <c r="C66" s="69" t="inlineStr">
        <is>
          <t>Derechos de acceso privilegiado</t>
        </is>
      </c>
      <c r="D66" s="74" t="inlineStr">
        <is>
          <t>Tecnológico</t>
        </is>
      </c>
      <c r="E66" s="69" t="inlineStr">
        <is>
          <t>Gestión de identidad y acceso</t>
        </is>
      </c>
      <c r="F66" s="75" t="inlineStr">
        <is>
          <t>Aplica</t>
        </is>
      </c>
      <c r="G66" s="76" t="inlineStr">
        <is>
          <t>L0 — Inexistente</t>
        </is>
      </c>
      <c r="H66" s="76" t="inlineStr">
        <is>
          <t>L3 — Proceso definido</t>
        </is>
      </c>
      <c r="I66" s="76" t="inlineStr">
        <is>
          <t>L4 — Gestionado y medible</t>
        </is>
      </c>
      <c r="J66" s="77">
        <f>IF($F66="No aplica","",IFERROR(VLOOKUP(H66,MgMad,2,0),0))</f>
        <v/>
      </c>
      <c r="K66" s="78">
        <f>IF($F66="No aplica","",IFERROR(VALUE(MID(H66,2,1)),""))</f>
        <v/>
      </c>
      <c r="L66" s="78">
        <f>IF($F66="No aplica","",IFERROR(VALUE(MID(I66,2,1)),""))</f>
        <v/>
      </c>
      <c r="M66" s="78">
        <f>IF($F66="No aplica","",MAX(0,L66-K66))</f>
        <v/>
      </c>
      <c r="N66" s="79">
        <f>IF($F66="No aplica","No aplica",IF(M66=0,"Cumple el objetivo",IF(K66&gt;=3,"Gestionado, con brecha","Brecha prioritaria")))</f>
        <v/>
      </c>
      <c r="O66" s="78">
        <f>IF($F66="No aplica","",K66-IFERROR(VALUE(MID(G66,2,1)),0))</f>
        <v/>
      </c>
      <c r="P66" s="76" t="inlineStr">
        <is>
          <t>Cuentas privilegiadas identificadas y con MFA; falta elevación temporal de privilegios con aprobación.</t>
        </is>
      </c>
      <c r="Q66" s="75" t="inlineStr"/>
      <c r="R66" s="80" t="n"/>
      <c r="S66" s="69" t="inlineStr">
        <is>
          <t>A.11, A.3, A.4, A.5, A.6, E.2</t>
        </is>
      </c>
      <c r="T66" s="78">
        <f>SUMPRODUCT(--ISNUMBER(SEARCH($B66&amp;" — ",'2. Valoración '!$AB$6:$AB$2261)))</f>
        <v/>
      </c>
      <c r="U66">
        <f>IF($F66="No aplica","",IFERROR(VALUE(MID($G66,2,1)),""))</f>
        <v/>
      </c>
      <c r="V66">
        <f>IF($F66="Aplica",$K66,"")</f>
        <v/>
      </c>
      <c r="W66">
        <f>IF(AND($F66="Aplica",$D66="Organizacional"),$K66,"")</f>
        <v/>
      </c>
      <c r="X66">
        <f>IF(AND($F66="Aplica",$D66="Personas"),$K66,"")</f>
        <v/>
      </c>
      <c r="Y66">
        <f>IF(AND($F66="Aplica",$D66="Físico"),$K66,"")</f>
        <v/>
      </c>
      <c r="Z66">
        <f>IF(AND($F66="Aplica",$D66="Tecnológico"),$K66,"")</f>
        <v/>
      </c>
    </row>
    <row r="67">
      <c r="B67" s="73" t="inlineStr">
        <is>
          <t>A.8.3</t>
        </is>
      </c>
      <c r="C67" s="69" t="inlineStr">
        <is>
          <t>Restricción del acceso a la información</t>
        </is>
      </c>
      <c r="D67" s="74" t="inlineStr">
        <is>
          <t>Tecnológico</t>
        </is>
      </c>
      <c r="E67" s="69" t="inlineStr">
        <is>
          <t>Gestión de identidad y acceso</t>
        </is>
      </c>
      <c r="F67" s="75" t="inlineStr">
        <is>
          <t>Aplica</t>
        </is>
      </c>
      <c r="G67" s="76" t="inlineStr">
        <is>
          <t>L0 — Inexistente</t>
        </is>
      </c>
      <c r="H67" s="76" t="inlineStr">
        <is>
          <t>L4 — Gestionado y medible</t>
        </is>
      </c>
      <c r="I67" s="76" t="inlineStr">
        <is>
          <t>L4 — Gestionado y medible</t>
        </is>
      </c>
      <c r="J67" s="77">
        <f>IF($F67="No aplica","",IFERROR(VLOOKUP(H67,MgMad,2,0),0))</f>
        <v/>
      </c>
      <c r="K67" s="78">
        <f>IF($F67="No aplica","",IFERROR(VALUE(MID(H67,2,1)),""))</f>
        <v/>
      </c>
      <c r="L67" s="78">
        <f>IF($F67="No aplica","",IFERROR(VALUE(MID(I67,2,1)),""))</f>
        <v/>
      </c>
      <c r="M67" s="78">
        <f>IF($F67="No aplica","",MAX(0,L67-K67))</f>
        <v/>
      </c>
      <c r="N67" s="79">
        <f>IF($F67="No aplica","No aplica",IF(M67=0,"Cumple el objetivo",IF(K67&gt;=3,"Gestionado, con brecha","Brecha prioritaria")))</f>
        <v/>
      </c>
      <c r="O67" s="78">
        <f>IF($F67="No aplica","",K67-IFERROR(VALUE(MID(G67,2,1)),0))</f>
        <v/>
      </c>
      <c r="P67" s="76" t="inlineStr">
        <is>
          <t>Restricción de acceso aplicada por Entra y por etiquetas de sensibilidad de Purview.</t>
        </is>
      </c>
      <c r="Q67" s="75" t="inlineStr"/>
      <c r="R67" s="80" t="n"/>
      <c r="S67" s="69" t="inlineStr">
        <is>
          <t>A.11, A.15, A.18, E.15, E.18</t>
        </is>
      </c>
      <c r="T67" s="78">
        <f>SUMPRODUCT(--ISNUMBER(SEARCH($B67&amp;" — ",'2. Valoración '!$AB$6:$AB$2261)))</f>
        <v/>
      </c>
      <c r="U67">
        <f>IF($F67="No aplica","",IFERROR(VALUE(MID($G67,2,1)),""))</f>
        <v/>
      </c>
      <c r="V67">
        <f>IF($F67="Aplica",$K67,"")</f>
        <v/>
      </c>
      <c r="W67">
        <f>IF(AND($F67="Aplica",$D67="Organizacional"),$K67,"")</f>
        <v/>
      </c>
      <c r="X67">
        <f>IF(AND($F67="Aplica",$D67="Personas"),$K67,"")</f>
        <v/>
      </c>
      <c r="Y67">
        <f>IF(AND($F67="Aplica",$D67="Físico"),$K67,"")</f>
        <v/>
      </c>
      <c r="Z67">
        <f>IF(AND($F67="Aplica",$D67="Tecnológico"),$K67,"")</f>
        <v/>
      </c>
    </row>
    <row r="68">
      <c r="B68" s="73" t="inlineStr">
        <is>
          <t>A.8.4</t>
        </is>
      </c>
      <c r="C68" s="69" t="inlineStr">
        <is>
          <t>Acceso al código fuente</t>
        </is>
      </c>
      <c r="D68" s="74" t="inlineStr">
        <is>
          <t>Tecnológico</t>
        </is>
      </c>
      <c r="E68" s="69" t="inlineStr">
        <is>
          <t>Seguridad de aplicaciones</t>
        </is>
      </c>
      <c r="F68" s="75" t="inlineStr">
        <is>
          <t>Aplica</t>
        </is>
      </c>
      <c r="G68" s="76" t="inlineStr">
        <is>
          <t>L0 — Inexistente</t>
        </is>
      </c>
      <c r="H68" s="76" t="inlineStr">
        <is>
          <t>L4 — Gestionado y medible</t>
        </is>
      </c>
      <c r="I68" s="76" t="inlineStr">
        <is>
          <t>L4 — Gestionado y medible</t>
        </is>
      </c>
      <c r="J68" s="77">
        <f>IF($F68="No aplica","",IFERROR(VLOOKUP(H68,MgMad,2,0),0))</f>
        <v/>
      </c>
      <c r="K68" s="78">
        <f>IF($F68="No aplica","",IFERROR(VALUE(MID(H68,2,1)),""))</f>
        <v/>
      </c>
      <c r="L68" s="78">
        <f>IF($F68="No aplica","",IFERROR(VALUE(MID(I68,2,1)),""))</f>
        <v/>
      </c>
      <c r="M68" s="78">
        <f>IF($F68="No aplica","",MAX(0,L68-K68))</f>
        <v/>
      </c>
      <c r="N68" s="79">
        <f>IF($F68="No aplica","No aplica",IF(M68=0,"Cumple el objetivo",IF(K68&gt;=3,"Gestionado, con brecha","Brecha prioritaria")))</f>
        <v/>
      </c>
      <c r="O68" s="78">
        <f>IF($F68="No aplica","",K68-IFERROR(VALUE(MID(G68,2,1)),0))</f>
        <v/>
      </c>
      <c r="P68" s="76" t="inlineStr">
        <is>
          <t>GitHub Enterprise con control de acceso por repositorio y protección de ramas.</t>
        </is>
      </c>
      <c r="Q68" s="75" t="inlineStr"/>
      <c r="R68" s="80" t="n"/>
      <c r="S68" s="69" t="inlineStr">
        <is>
          <t>A.22</t>
        </is>
      </c>
      <c r="T68" s="78">
        <f>SUMPRODUCT(--ISNUMBER(SEARCH($B68&amp;" — ",'2. Valoración '!$AB$6:$AB$2261)))</f>
        <v/>
      </c>
      <c r="U68">
        <f>IF($F68="No aplica","",IFERROR(VALUE(MID($G68,2,1)),""))</f>
        <v/>
      </c>
      <c r="V68">
        <f>IF($F68="Aplica",$K68,"")</f>
        <v/>
      </c>
      <c r="W68">
        <f>IF(AND($F68="Aplica",$D68="Organizacional"),$K68,"")</f>
        <v/>
      </c>
      <c r="X68">
        <f>IF(AND($F68="Aplica",$D68="Personas"),$K68,"")</f>
        <v/>
      </c>
      <c r="Y68">
        <f>IF(AND($F68="Aplica",$D68="Físico"),$K68,"")</f>
        <v/>
      </c>
      <c r="Z68">
        <f>IF(AND($F68="Aplica",$D68="Tecnológico"),$K68,"")</f>
        <v/>
      </c>
    </row>
    <row r="69">
      <c r="B69" s="73" t="inlineStr">
        <is>
          <t>A.8.5</t>
        </is>
      </c>
      <c r="C69" s="69" t="inlineStr">
        <is>
          <t>Autenticación segura</t>
        </is>
      </c>
      <c r="D69" s="74" t="inlineStr">
        <is>
          <t>Tecnológico</t>
        </is>
      </c>
      <c r="E69" s="69" t="inlineStr">
        <is>
          <t>Gestión de identidad y acceso</t>
        </is>
      </c>
      <c r="F69" s="75" t="inlineStr">
        <is>
          <t>Aplica</t>
        </is>
      </c>
      <c r="G69" s="76" t="inlineStr">
        <is>
          <t>L0 — Inexistente</t>
        </is>
      </c>
      <c r="H69" s="76" t="inlineStr">
        <is>
          <t>L4 — Gestionado y medible</t>
        </is>
      </c>
      <c r="I69" s="76" t="inlineStr">
        <is>
          <t>L5 — Optimizado</t>
        </is>
      </c>
      <c r="J69" s="77">
        <f>IF($F69="No aplica","",IFERROR(VLOOKUP(H69,MgMad,2,0),0))</f>
        <v/>
      </c>
      <c r="K69" s="78">
        <f>IF($F69="No aplica","",IFERROR(VALUE(MID(H69,2,1)),""))</f>
        <v/>
      </c>
      <c r="L69" s="78">
        <f>IF($F69="No aplica","",IFERROR(VALUE(MID(I69,2,1)),""))</f>
        <v/>
      </c>
      <c r="M69" s="78">
        <f>IF($F69="No aplica","",MAX(0,L69-K69))</f>
        <v/>
      </c>
      <c r="N69" s="79">
        <f>IF($F69="No aplica","No aplica",IF(M69=0,"Cumple el objetivo",IF(K69&gt;=3,"Gestionado, con brecha","Brecha prioritaria")))</f>
        <v/>
      </c>
      <c r="O69" s="78">
        <f>IF($F69="No aplica","",K69-IFERROR(VALUE(MID(G69,2,1)),0))</f>
        <v/>
      </c>
      <c r="P69" s="76" t="inlineStr">
        <is>
          <t>MFA universal y acceso condicional por riesgo de sesión en Entra ID.</t>
        </is>
      </c>
      <c r="Q69" s="75" t="inlineStr"/>
      <c r="R69" s="80" t="n"/>
      <c r="S69" s="69" t="inlineStr">
        <is>
          <t>A.11, A.30, A.5, E.1</t>
        </is>
      </c>
      <c r="T69" s="78">
        <f>SUMPRODUCT(--ISNUMBER(SEARCH($B69&amp;" — ",'2. Valoración '!$AB$6:$AB$2261)))</f>
        <v/>
      </c>
      <c r="U69">
        <f>IF($F69="No aplica","",IFERROR(VALUE(MID($G69,2,1)),""))</f>
        <v/>
      </c>
      <c r="V69">
        <f>IF($F69="Aplica",$K69,"")</f>
        <v/>
      </c>
      <c r="W69">
        <f>IF(AND($F69="Aplica",$D69="Organizacional"),$K69,"")</f>
        <v/>
      </c>
      <c r="X69">
        <f>IF(AND($F69="Aplica",$D69="Personas"),$K69,"")</f>
        <v/>
      </c>
      <c r="Y69">
        <f>IF(AND($F69="Aplica",$D69="Físico"),$K69,"")</f>
        <v/>
      </c>
      <c r="Z69">
        <f>IF(AND($F69="Aplica",$D69="Tecnológico"),$K69,"")</f>
        <v/>
      </c>
    </row>
    <row r="70">
      <c r="B70" s="73" t="inlineStr">
        <is>
          <t>A.8.6</t>
        </is>
      </c>
      <c r="C70" s="69" t="inlineStr">
        <is>
          <t>Gestión de la capacidad</t>
        </is>
      </c>
      <c r="D70" s="74" t="inlineStr">
        <is>
          <t>Tecnológico</t>
        </is>
      </c>
      <c r="E70" s="69" t="inlineStr">
        <is>
          <t>Continuidad</t>
        </is>
      </c>
      <c r="F70" s="75" t="inlineStr">
        <is>
          <t>Aplica</t>
        </is>
      </c>
      <c r="G70" s="76" t="inlineStr">
        <is>
          <t>L0 — Inexistente</t>
        </is>
      </c>
      <c r="H70" s="76" t="inlineStr">
        <is>
          <t>L3 — Proceso definido</t>
        </is>
      </c>
      <c r="I70" s="76" t="inlineStr">
        <is>
          <t>L4 — Gestionado y medible</t>
        </is>
      </c>
      <c r="J70" s="77">
        <f>IF($F70="No aplica","",IFERROR(VLOOKUP(H70,MgMad,2,0),0))</f>
        <v/>
      </c>
      <c r="K70" s="78">
        <f>IF($F70="No aplica","",IFERROR(VALUE(MID(H70,2,1)),""))</f>
        <v/>
      </c>
      <c r="L70" s="78">
        <f>IF($F70="No aplica","",IFERROR(VALUE(MID(I70,2,1)),""))</f>
        <v/>
      </c>
      <c r="M70" s="78">
        <f>IF($F70="No aplica","",MAX(0,L70-K70))</f>
        <v/>
      </c>
      <c r="N70" s="79">
        <f>IF($F70="No aplica","No aplica",IF(M70=0,"Cumple el objetivo",IF(K70&gt;=3,"Gestionado, con brecha","Brecha prioritaria")))</f>
        <v/>
      </c>
      <c r="O70" s="78">
        <f>IF($F70="No aplica","",K70-IFERROR(VALUE(MID(G70,2,1)),0))</f>
        <v/>
      </c>
      <c r="P70" s="76" t="inlineStr">
        <is>
          <t>Observabilidad con Grafana y agentes de IA; umbrales de capacidad aún sin formalizar.</t>
        </is>
      </c>
      <c r="Q70" s="75" t="inlineStr"/>
      <c r="R70" s="80" t="n"/>
      <c r="S70" s="69" t="inlineStr">
        <is>
          <t>A.24, E.24, I.5</t>
        </is>
      </c>
      <c r="T70" s="78">
        <f>SUMPRODUCT(--ISNUMBER(SEARCH($B70&amp;" — ",'2. Valoración '!$AB$6:$AB$2261)))</f>
        <v/>
      </c>
      <c r="U70">
        <f>IF($F70="No aplica","",IFERROR(VALUE(MID($G70,2,1)),""))</f>
        <v/>
      </c>
      <c r="V70">
        <f>IF($F70="Aplica",$K70,"")</f>
        <v/>
      </c>
      <c r="W70">
        <f>IF(AND($F70="Aplica",$D70="Organizacional"),$K70,"")</f>
        <v/>
      </c>
      <c r="X70">
        <f>IF(AND($F70="Aplica",$D70="Personas"),$K70,"")</f>
        <v/>
      </c>
      <c r="Y70">
        <f>IF(AND($F70="Aplica",$D70="Físico"),$K70,"")</f>
        <v/>
      </c>
      <c r="Z70">
        <f>IF(AND($F70="Aplica",$D70="Tecnológico"),$K70,"")</f>
        <v/>
      </c>
    </row>
    <row r="71">
      <c r="B71" s="73" t="inlineStr">
        <is>
          <t>A.8.7</t>
        </is>
      </c>
      <c r="C71" s="69" t="inlineStr">
        <is>
          <t>Protección contra software malicioso</t>
        </is>
      </c>
      <c r="D71" s="74" t="inlineStr">
        <is>
          <t>Tecnológico</t>
        </is>
      </c>
      <c r="E71" s="69" t="inlineStr">
        <is>
          <t>Gestión de amenazas y vulnerabilidades</t>
        </is>
      </c>
      <c r="F71" s="75" t="inlineStr">
        <is>
          <t>Aplica</t>
        </is>
      </c>
      <c r="G71" s="76" t="inlineStr">
        <is>
          <t>L1 — Inicial / ad hoc</t>
        </is>
      </c>
      <c r="H71" s="76" t="inlineStr">
        <is>
          <t>L4 — Gestionado y medible</t>
        </is>
      </c>
      <c r="I71" s="76" t="inlineStr">
        <is>
          <t>L4 — Gestionado y medible</t>
        </is>
      </c>
      <c r="J71" s="77">
        <f>IF($F71="No aplica","",IFERROR(VLOOKUP(H71,MgMad,2,0),0))</f>
        <v/>
      </c>
      <c r="K71" s="78">
        <f>IF($F71="No aplica","",IFERROR(VALUE(MID(H71,2,1)),""))</f>
        <v/>
      </c>
      <c r="L71" s="78">
        <f>IF($F71="No aplica","",IFERROR(VALUE(MID(I71,2,1)),""))</f>
        <v/>
      </c>
      <c r="M71" s="78">
        <f>IF($F71="No aplica","",MAX(0,L71-K71))</f>
        <v/>
      </c>
      <c r="N71" s="79">
        <f>IF($F71="No aplica","No aplica",IF(M71=0,"Cumple el objetivo",IF(K71&gt;=3,"Gestionado, con brecha","Brecha prioritaria")))</f>
        <v/>
      </c>
      <c r="O71" s="78">
        <f>IF($F71="No aplica","",K71-IFERROR(VALUE(MID(G71,2,1)),0))</f>
        <v/>
      </c>
      <c r="P71" s="76" t="inlineStr">
        <is>
          <t>Microsoft Defender desplegado sobre el 100 % del parque.</t>
        </is>
      </c>
      <c r="Q71" s="75" t="inlineStr"/>
      <c r="R71" s="80" t="n"/>
      <c r="S71" s="69" t="inlineStr">
        <is>
          <t>A.8, E.8</t>
        </is>
      </c>
      <c r="T71" s="78">
        <f>SUMPRODUCT(--ISNUMBER(SEARCH($B71&amp;" — ",'2. Valoración '!$AB$6:$AB$2261)))</f>
        <v/>
      </c>
      <c r="U71">
        <f>IF($F71="No aplica","",IFERROR(VALUE(MID($G71,2,1)),""))</f>
        <v/>
      </c>
      <c r="V71">
        <f>IF($F71="Aplica",$K71,"")</f>
        <v/>
      </c>
      <c r="W71">
        <f>IF(AND($F71="Aplica",$D71="Organizacional"),$K71,"")</f>
        <v/>
      </c>
      <c r="X71">
        <f>IF(AND($F71="Aplica",$D71="Personas"),$K71,"")</f>
        <v/>
      </c>
      <c r="Y71">
        <f>IF(AND($F71="Aplica",$D71="Físico"),$K71,"")</f>
        <v/>
      </c>
      <c r="Z71">
        <f>IF(AND($F71="Aplica",$D71="Tecnológico"),$K71,"")</f>
        <v/>
      </c>
    </row>
    <row r="72">
      <c r="B72" s="73" t="inlineStr">
        <is>
          <t>A.8.8</t>
        </is>
      </c>
      <c r="C72" s="69" t="inlineStr">
        <is>
          <t>Gestión de vulnerabilidades técnicas</t>
        </is>
      </c>
      <c r="D72" s="74" t="inlineStr">
        <is>
          <t>Tecnológico</t>
        </is>
      </c>
      <c r="E72" s="69" t="inlineStr">
        <is>
          <t>Gestión de amenazas y vulnerabilidades</t>
        </is>
      </c>
      <c r="F72" s="75" t="inlineStr">
        <is>
          <t>Aplica</t>
        </is>
      </c>
      <c r="G72" s="76" t="inlineStr">
        <is>
          <t>L0 — Inexistente</t>
        </is>
      </c>
      <c r="H72" s="76" t="inlineStr">
        <is>
          <t>L4 — Gestionado y medible</t>
        </is>
      </c>
      <c r="I72" s="76" t="inlineStr">
        <is>
          <t>L4 — Gestionado y medible</t>
        </is>
      </c>
      <c r="J72" s="77">
        <f>IF($F72="No aplica","",IFERROR(VLOOKUP(H72,MgMad,2,0),0))</f>
        <v/>
      </c>
      <c r="K72" s="78">
        <f>IF($F72="No aplica","",IFERROR(VALUE(MID(H72,2,1)),""))</f>
        <v/>
      </c>
      <c r="L72" s="78">
        <f>IF($F72="No aplica","",IFERROR(VALUE(MID(I72,2,1)),""))</f>
        <v/>
      </c>
      <c r="M72" s="78">
        <f>IF($F72="No aplica","",MAX(0,L72-K72))</f>
        <v/>
      </c>
      <c r="N72" s="79">
        <f>IF($F72="No aplica","No aplica",IF(M72=0,"Cumple el objetivo",IF(K72&gt;=3,"Gestionado, con brecha","Brecha prioritaria")))</f>
        <v/>
      </c>
      <c r="O72" s="78">
        <f>IF($F72="No aplica","",K72-IFERROR(VALUE(MID(G72,2,1)),0))</f>
        <v/>
      </c>
      <c r="P72" s="76" t="inlineStr">
        <is>
          <t>Gestión de vulnerabilidades de Defender más análisis de composición de software en el pipeline.</t>
        </is>
      </c>
      <c r="Q72" s="75" t="inlineStr"/>
      <c r="R72" s="80" t="n"/>
      <c r="S72" s="69" t="inlineStr">
        <is>
          <t>A.8, E.20, E.21, E.4</t>
        </is>
      </c>
      <c r="T72" s="78">
        <f>SUMPRODUCT(--ISNUMBER(SEARCH($B72&amp;" — ",'2. Valoración '!$AB$6:$AB$2261)))</f>
        <v/>
      </c>
      <c r="U72">
        <f>IF($F72="No aplica","",IFERROR(VALUE(MID($G72,2,1)),""))</f>
        <v/>
      </c>
      <c r="V72">
        <f>IF($F72="Aplica",$K72,"")</f>
        <v/>
      </c>
      <c r="W72">
        <f>IF(AND($F72="Aplica",$D72="Organizacional"),$K72,"")</f>
        <v/>
      </c>
      <c r="X72">
        <f>IF(AND($F72="Aplica",$D72="Personas"),$K72,"")</f>
        <v/>
      </c>
      <c r="Y72">
        <f>IF(AND($F72="Aplica",$D72="Físico"),$K72,"")</f>
        <v/>
      </c>
      <c r="Z72">
        <f>IF(AND($F72="Aplica",$D72="Tecnológico"),$K72,"")</f>
        <v/>
      </c>
    </row>
    <row r="73">
      <c r="B73" s="73" t="inlineStr">
        <is>
          <t>A.8.9</t>
        </is>
      </c>
      <c r="C73" s="69" t="inlineStr">
        <is>
          <t>Gestión de la configuración</t>
        </is>
      </c>
      <c r="D73" s="74" t="inlineStr">
        <is>
          <t>Tecnológico</t>
        </is>
      </c>
      <c r="E73" s="69" t="inlineStr">
        <is>
          <t>Configuración segura</t>
        </is>
      </c>
      <c r="F73" s="75" t="inlineStr">
        <is>
          <t>Aplica</t>
        </is>
      </c>
      <c r="G73" s="76" t="inlineStr">
        <is>
          <t>L0 — Inexistente</t>
        </is>
      </c>
      <c r="H73" s="76" t="inlineStr">
        <is>
          <t>L3 — Proceso definido</t>
        </is>
      </c>
      <c r="I73" s="76" t="inlineStr">
        <is>
          <t>L4 — Gestionado y medible</t>
        </is>
      </c>
      <c r="J73" s="77">
        <f>IF($F73="No aplica","",IFERROR(VLOOKUP(H73,MgMad,2,0),0))</f>
        <v/>
      </c>
      <c r="K73" s="78">
        <f>IF($F73="No aplica","",IFERROR(VALUE(MID(H73,2,1)),""))</f>
        <v/>
      </c>
      <c r="L73" s="78">
        <f>IF($F73="No aplica","",IFERROR(VALUE(MID(I73,2,1)),""))</f>
        <v/>
      </c>
      <c r="M73" s="78">
        <f>IF($F73="No aplica","",MAX(0,L73-K73))</f>
        <v/>
      </c>
      <c r="N73" s="79">
        <f>IF($F73="No aplica","No aplica",IF(M73=0,"Cumple el objetivo",IF(K73&gt;=3,"Gestionado, con brecha","Brecha prioritaria")))</f>
        <v/>
      </c>
      <c r="O73" s="78">
        <f>IF($F73="No aplica","",K73-IFERROR(VALUE(MID(G73,2,1)),0))</f>
        <v/>
      </c>
      <c r="P73" s="76" t="inlineStr">
        <is>
          <t>Líneas base de configuración en Intune e infraestructura como código; falta verificación de deriva.</t>
        </is>
      </c>
      <c r="Q73" s="75" t="inlineStr"/>
      <c r="R73" s="80" t="n"/>
      <c r="S73" s="69" t="inlineStr">
        <is>
          <t>A.4, E.15, E.2, E.23, E.4, E.9</t>
        </is>
      </c>
      <c r="T73" s="78">
        <f>SUMPRODUCT(--ISNUMBER(SEARCH($B73&amp;" — ",'2. Valoración '!$AB$6:$AB$2261)))</f>
        <v/>
      </c>
      <c r="U73">
        <f>IF($F73="No aplica","",IFERROR(VALUE(MID($G73,2,1)),""))</f>
        <v/>
      </c>
      <c r="V73">
        <f>IF($F73="Aplica",$K73,"")</f>
        <v/>
      </c>
      <c r="W73">
        <f>IF(AND($F73="Aplica",$D73="Organizacional"),$K73,"")</f>
        <v/>
      </c>
      <c r="X73">
        <f>IF(AND($F73="Aplica",$D73="Personas"),$K73,"")</f>
        <v/>
      </c>
      <c r="Y73">
        <f>IF(AND($F73="Aplica",$D73="Físico"),$K73,"")</f>
        <v/>
      </c>
      <c r="Z73">
        <f>IF(AND($F73="Aplica",$D73="Tecnológico"),$K73,"")</f>
        <v/>
      </c>
    </row>
    <row r="74">
      <c r="B74" s="73" t="inlineStr">
        <is>
          <t>A.8.10</t>
        </is>
      </c>
      <c r="C74" s="69" t="inlineStr">
        <is>
          <t>Borrado de información</t>
        </is>
      </c>
      <c r="D74" s="74" t="inlineStr">
        <is>
          <t>Tecnológico</t>
        </is>
      </c>
      <c r="E74" s="69" t="inlineStr">
        <is>
          <t>Protección de la información</t>
        </is>
      </c>
      <c r="F74" s="75" t="inlineStr">
        <is>
          <t>Aplica</t>
        </is>
      </c>
      <c r="G74" s="76" t="inlineStr">
        <is>
          <t>L0 — Inexistente</t>
        </is>
      </c>
      <c r="H74" s="76" t="inlineStr">
        <is>
          <t>L3 — Proceso definido</t>
        </is>
      </c>
      <c r="I74" s="76" t="inlineStr">
        <is>
          <t>L4 — Gestionado y medible</t>
        </is>
      </c>
      <c r="J74" s="77">
        <f>IF($F74="No aplica","",IFERROR(VLOOKUP(H74,MgMad,2,0),0))</f>
        <v/>
      </c>
      <c r="K74" s="78">
        <f>IF($F74="No aplica","",IFERROR(VALUE(MID(H74,2,1)),""))</f>
        <v/>
      </c>
      <c r="L74" s="78">
        <f>IF($F74="No aplica","",IFERROR(VALUE(MID(I74,2,1)),""))</f>
        <v/>
      </c>
      <c r="M74" s="78">
        <f>IF($F74="No aplica","",MAX(0,L74-K74))</f>
        <v/>
      </c>
      <c r="N74" s="79">
        <f>IF($F74="No aplica","No aplica",IF(M74=0,"Cumple el objetivo",IF(K74&gt;=3,"Gestionado, con brecha","Brecha prioritaria")))</f>
        <v/>
      </c>
      <c r="O74" s="78">
        <f>IF($F74="No aplica","",K74-IFERROR(VALUE(MID(G74,2,1)),0))</f>
        <v/>
      </c>
      <c r="P74" s="76" t="inlineStr">
        <is>
          <t>Etiquetas de retención y eliminación en Purview aplicadas.</t>
        </is>
      </c>
      <c r="Q74" s="75" t="inlineStr"/>
      <c r="R74" s="80" t="n"/>
      <c r="S74" s="69" t="inlineStr">
        <is>
          <t>E.18</t>
        </is>
      </c>
      <c r="T74" s="78">
        <f>SUMPRODUCT(--ISNUMBER(SEARCH($B74&amp;" — ",'2. Valoración '!$AB$6:$AB$2261)))</f>
        <v/>
      </c>
      <c r="U74">
        <f>IF($F74="No aplica","",IFERROR(VALUE(MID($G74,2,1)),""))</f>
        <v/>
      </c>
      <c r="V74">
        <f>IF($F74="Aplica",$K74,"")</f>
        <v/>
      </c>
      <c r="W74">
        <f>IF(AND($F74="Aplica",$D74="Organizacional"),$K74,"")</f>
        <v/>
      </c>
      <c r="X74">
        <f>IF(AND($F74="Aplica",$D74="Personas"),$K74,"")</f>
        <v/>
      </c>
      <c r="Y74">
        <f>IF(AND($F74="Aplica",$D74="Físico"),$K74,"")</f>
        <v/>
      </c>
      <c r="Z74">
        <f>IF(AND($F74="Aplica",$D74="Tecnológico"),$K74,"")</f>
        <v/>
      </c>
    </row>
    <row r="75">
      <c r="B75" s="73" t="inlineStr">
        <is>
          <t>A.8.11</t>
        </is>
      </c>
      <c r="C75" s="69" t="inlineStr">
        <is>
          <t>Enmascaramiento de datos</t>
        </is>
      </c>
      <c r="D75" s="74" t="inlineStr">
        <is>
          <t>Tecnológico</t>
        </is>
      </c>
      <c r="E75" s="69" t="inlineStr">
        <is>
          <t>Protección de la información</t>
        </is>
      </c>
      <c r="F75" s="75" t="inlineStr">
        <is>
          <t>Aplica</t>
        </is>
      </c>
      <c r="G75" s="76" t="inlineStr">
        <is>
          <t>L0 — Inexistente</t>
        </is>
      </c>
      <c r="H75" s="76" t="inlineStr">
        <is>
          <t>L2 — Reproducible pero intuitivo</t>
        </is>
      </c>
      <c r="I75" s="76" t="inlineStr">
        <is>
          <t>L3 — Proceso definido</t>
        </is>
      </c>
      <c r="J75" s="77">
        <f>IF($F75="No aplica","",IFERROR(VLOOKUP(H75,MgMad,2,0),0))</f>
        <v/>
      </c>
      <c r="K75" s="78">
        <f>IF($F75="No aplica","",IFERROR(VALUE(MID(H75,2,1)),""))</f>
        <v/>
      </c>
      <c r="L75" s="78">
        <f>IF($F75="No aplica","",IFERROR(VALUE(MID(I75,2,1)),""))</f>
        <v/>
      </c>
      <c r="M75" s="78">
        <f>IF($F75="No aplica","",MAX(0,L75-K75))</f>
        <v/>
      </c>
      <c r="N75" s="79">
        <f>IF($F75="No aplica","No aplica",IF(M75=0,"Cumple el objetivo",IF(K75&gt;=3,"Gestionado, con brecha","Brecha prioritaria")))</f>
        <v/>
      </c>
      <c r="O75" s="78">
        <f>IF($F75="No aplica","",K75-IFERROR(VALUE(MID(G75,2,1)),0))</f>
        <v/>
      </c>
      <c r="P75" s="76" t="inlineStr">
        <is>
          <t>El enmascaramiento de datos en entornos distintos de producción no está implementado.</t>
        </is>
      </c>
      <c r="Q75" s="75" t="inlineStr"/>
      <c r="R75" s="80" t="n"/>
      <c r="S75" s="69" t="inlineStr">
        <is>
          <t>E.14, E.19</t>
        </is>
      </c>
      <c r="T75" s="78">
        <f>SUMPRODUCT(--ISNUMBER(SEARCH($B75&amp;" — ",'2. Valoración '!$AB$6:$AB$2261)))</f>
        <v/>
      </c>
      <c r="U75">
        <f>IF($F75="No aplica","",IFERROR(VALUE(MID($G75,2,1)),""))</f>
        <v/>
      </c>
      <c r="V75">
        <f>IF($F75="Aplica",$K75,"")</f>
        <v/>
      </c>
      <c r="W75">
        <f>IF(AND($F75="Aplica",$D75="Organizacional"),$K75,"")</f>
        <v/>
      </c>
      <c r="X75">
        <f>IF(AND($F75="Aplica",$D75="Personas"),$K75,"")</f>
        <v/>
      </c>
      <c r="Y75">
        <f>IF(AND($F75="Aplica",$D75="Físico"),$K75,"")</f>
        <v/>
      </c>
      <c r="Z75">
        <f>IF(AND($F75="Aplica",$D75="Tecnológico"),$K75,"")</f>
        <v/>
      </c>
    </row>
    <row r="76">
      <c r="B76" s="73" t="inlineStr">
        <is>
          <t>A.8.12</t>
        </is>
      </c>
      <c r="C76" s="69" t="inlineStr">
        <is>
          <t>Prevención de fuga de datos (DLP)</t>
        </is>
      </c>
      <c r="D76" s="74" t="inlineStr">
        <is>
          <t>Tecnológico</t>
        </is>
      </c>
      <c r="E76" s="69" t="inlineStr">
        <is>
          <t>Protección de la información</t>
        </is>
      </c>
      <c r="F76" s="75" t="inlineStr">
        <is>
          <t>Aplica</t>
        </is>
      </c>
      <c r="G76" s="76" t="inlineStr">
        <is>
          <t>L0 — Inexistente</t>
        </is>
      </c>
      <c r="H76" s="76" t="inlineStr">
        <is>
          <t>L3 — Proceso definido</t>
        </is>
      </c>
      <c r="I76" s="76" t="inlineStr">
        <is>
          <t>L4 — Gestionado y medible</t>
        </is>
      </c>
      <c r="J76" s="77">
        <f>IF($F76="No aplica","",IFERROR(VLOOKUP(H76,MgMad,2,0),0))</f>
        <v/>
      </c>
      <c r="K76" s="78">
        <f>IF($F76="No aplica","",IFERROR(VALUE(MID(H76,2,1)),""))</f>
        <v/>
      </c>
      <c r="L76" s="78">
        <f>IF($F76="No aplica","",IFERROR(VALUE(MID(I76,2,1)),""))</f>
        <v/>
      </c>
      <c r="M76" s="78">
        <f>IF($F76="No aplica","",MAX(0,L76-K76))</f>
        <v/>
      </c>
      <c r="N76" s="79">
        <f>IF($F76="No aplica","No aplica",IF(M76=0,"Cumple el objetivo",IF(K76&gt;=3,"Gestionado, con brecha","Brecha prioritaria")))</f>
        <v/>
      </c>
      <c r="O76" s="78">
        <f>IF($F76="No aplica","",K76-IFERROR(VALUE(MID(G76,2,1)),0))</f>
        <v/>
      </c>
      <c r="P76" s="76" t="inlineStr">
        <is>
          <t>Políticas de prevención de fuga de datos activas en Purview; falta afinar y medir.</t>
        </is>
      </c>
      <c r="Q76" s="75" t="inlineStr"/>
      <c r="R76" s="80" t="n"/>
      <c r="S76" s="69" t="inlineStr">
        <is>
          <t>A.19, E.1, E.14, E.19</t>
        </is>
      </c>
      <c r="T76" s="78">
        <f>SUMPRODUCT(--ISNUMBER(SEARCH($B76&amp;" — ",'2. Valoración '!$AB$6:$AB$2261)))</f>
        <v/>
      </c>
      <c r="U76">
        <f>IF($F76="No aplica","",IFERROR(VALUE(MID($G76,2,1)),""))</f>
        <v/>
      </c>
      <c r="V76">
        <f>IF($F76="Aplica",$K76,"")</f>
        <v/>
      </c>
      <c r="W76">
        <f>IF(AND($F76="Aplica",$D76="Organizacional"),$K76,"")</f>
        <v/>
      </c>
      <c r="X76">
        <f>IF(AND($F76="Aplica",$D76="Personas"),$K76,"")</f>
        <v/>
      </c>
      <c r="Y76">
        <f>IF(AND($F76="Aplica",$D76="Físico"),$K76,"")</f>
        <v/>
      </c>
      <c r="Z76">
        <f>IF(AND($F76="Aplica",$D76="Tecnológico"),$K76,"")</f>
        <v/>
      </c>
    </row>
    <row r="77">
      <c r="B77" s="73" t="inlineStr">
        <is>
          <t>A.8.13</t>
        </is>
      </c>
      <c r="C77" s="69" t="inlineStr">
        <is>
          <t>Respaldo de la información</t>
        </is>
      </c>
      <c r="D77" s="74" t="inlineStr">
        <is>
          <t>Tecnológico</t>
        </is>
      </c>
      <c r="E77" s="69" t="inlineStr">
        <is>
          <t>Continuidad</t>
        </is>
      </c>
      <c r="F77" s="75" t="inlineStr">
        <is>
          <t>Aplica</t>
        </is>
      </c>
      <c r="G77" s="76" t="inlineStr">
        <is>
          <t>L1 — Inicial / ad hoc</t>
        </is>
      </c>
      <c r="H77" s="76" t="inlineStr">
        <is>
          <t>L4 — Gestionado y medible</t>
        </is>
      </c>
      <c r="I77" s="76" t="inlineStr">
        <is>
          <t>L4 — Gestionado y medible</t>
        </is>
      </c>
      <c r="J77" s="77">
        <f>IF($F77="No aplica","",IFERROR(VLOOKUP(H77,MgMad,2,0),0))</f>
        <v/>
      </c>
      <c r="K77" s="78">
        <f>IF($F77="No aplica","",IFERROR(VALUE(MID(H77,2,1)),""))</f>
        <v/>
      </c>
      <c r="L77" s="78">
        <f>IF($F77="No aplica","",IFERROR(VALUE(MID(I77,2,1)),""))</f>
        <v/>
      </c>
      <c r="M77" s="78">
        <f>IF($F77="No aplica","",MAX(0,L77-K77))</f>
        <v/>
      </c>
      <c r="N77" s="79">
        <f>IF($F77="No aplica","No aplica",IF(M77=0,"Cumple el objetivo",IF(K77&gt;=3,"Gestionado, con brecha","Brecha prioritaria")))</f>
        <v/>
      </c>
      <c r="O77" s="78">
        <f>IF($F77="No aplica","",K77-IFERROR(VALUE(MID(G77,2,1)),0))</f>
        <v/>
      </c>
      <c r="P77" s="76" t="inlineStr">
        <is>
          <t>Respaldos automáticos con pruebas de restauración ejecutadas y registradas.</t>
        </is>
      </c>
      <c r="Q77" s="75" t="inlineStr"/>
      <c r="R77" s="80" t="n"/>
      <c r="S77" s="69" t="inlineStr">
        <is>
          <t>A.18, A.8, E.15, E.18, I.1, I.10, I.2, I.5, I.6, N.*, N.1, N.2</t>
        </is>
      </c>
      <c r="T77" s="78">
        <f>SUMPRODUCT(--ISNUMBER(SEARCH($B77&amp;" — ",'2. Valoración '!$AB$6:$AB$2261)))</f>
        <v/>
      </c>
      <c r="U77">
        <f>IF($F77="No aplica","",IFERROR(VALUE(MID($G77,2,1)),""))</f>
        <v/>
      </c>
      <c r="V77">
        <f>IF($F77="Aplica",$K77,"")</f>
        <v/>
      </c>
      <c r="W77">
        <f>IF(AND($F77="Aplica",$D77="Organizacional"),$K77,"")</f>
        <v/>
      </c>
      <c r="X77">
        <f>IF(AND($F77="Aplica",$D77="Personas"),$K77,"")</f>
        <v/>
      </c>
      <c r="Y77">
        <f>IF(AND($F77="Aplica",$D77="Físico"),$K77,"")</f>
        <v/>
      </c>
      <c r="Z77">
        <f>IF(AND($F77="Aplica",$D77="Tecnológico"),$K77,"")</f>
        <v/>
      </c>
    </row>
    <row r="78">
      <c r="B78" s="73" t="inlineStr">
        <is>
          <t>A.8.14</t>
        </is>
      </c>
      <c r="C78" s="69" t="inlineStr">
        <is>
          <t>Redundancia de las instalaciones de procesamiento</t>
        </is>
      </c>
      <c r="D78" s="74" t="inlineStr">
        <is>
          <t>Tecnológico</t>
        </is>
      </c>
      <c r="E78" s="69" t="inlineStr">
        <is>
          <t>Continuidad</t>
        </is>
      </c>
      <c r="F78" s="75" t="inlineStr">
        <is>
          <t>Aplica</t>
        </is>
      </c>
      <c r="G78" s="76" t="inlineStr">
        <is>
          <t>L0 — Inexistente</t>
        </is>
      </c>
      <c r="H78" s="76" t="inlineStr">
        <is>
          <t>L3 — Proceso definido</t>
        </is>
      </c>
      <c r="I78" s="76" t="inlineStr">
        <is>
          <t>L4 — Gestionado y medible</t>
        </is>
      </c>
      <c r="J78" s="77">
        <f>IF($F78="No aplica","",IFERROR(VLOOKUP(H78,MgMad,2,0),0))</f>
        <v/>
      </c>
      <c r="K78" s="78">
        <f>IF($F78="No aplica","",IFERROR(VALUE(MID(H78,2,1)),""))</f>
        <v/>
      </c>
      <c r="L78" s="78">
        <f>IF($F78="No aplica","",IFERROR(VALUE(MID(I78,2,1)),""))</f>
        <v/>
      </c>
      <c r="M78" s="78">
        <f>IF($F78="No aplica","",MAX(0,L78-K78))</f>
        <v/>
      </c>
      <c r="N78" s="79">
        <f>IF($F78="No aplica","No aplica",IF(M78=0,"Cumple el objetivo",IF(K78&gt;=3,"Gestionado, con brecha","Brecha prioritaria")))</f>
        <v/>
      </c>
      <c r="O78" s="78">
        <f>IF($F78="No aplica","",K78-IFERROR(VALUE(MID(G78,2,1)),0))</f>
        <v/>
      </c>
      <c r="P78" s="76" t="inlineStr">
        <is>
          <t>Redundancia de infraestructura en AWS; sin prueba formal de conmutación.</t>
        </is>
      </c>
      <c r="Q78" s="75" t="inlineStr"/>
      <c r="R78" s="80" t="n"/>
      <c r="S78" s="69" t="inlineStr">
        <is>
          <t>A.24, E.24, I.*, I.5, I.6, I.8, I.9, N.*</t>
        </is>
      </c>
      <c r="T78" s="78">
        <f>SUMPRODUCT(--ISNUMBER(SEARCH($B78&amp;" — ",'2. Valoración '!$AB$6:$AB$2261)))</f>
        <v/>
      </c>
      <c r="U78">
        <f>IF($F78="No aplica","",IFERROR(VALUE(MID($G78,2,1)),""))</f>
        <v/>
      </c>
      <c r="V78">
        <f>IF($F78="Aplica",$K78,"")</f>
        <v/>
      </c>
      <c r="W78">
        <f>IF(AND($F78="Aplica",$D78="Organizacional"),$K78,"")</f>
        <v/>
      </c>
      <c r="X78">
        <f>IF(AND($F78="Aplica",$D78="Personas"),$K78,"")</f>
        <v/>
      </c>
      <c r="Y78">
        <f>IF(AND($F78="Aplica",$D78="Físico"),$K78,"")</f>
        <v/>
      </c>
      <c r="Z78">
        <f>IF(AND($F78="Aplica",$D78="Tecnológico"),$K78,"")</f>
        <v/>
      </c>
    </row>
    <row r="79">
      <c r="B79" s="73" t="inlineStr">
        <is>
          <t>A.8.15</t>
        </is>
      </c>
      <c r="C79" s="69" t="inlineStr">
        <is>
          <t>Registro de eventos (logging)</t>
        </is>
      </c>
      <c r="D79" s="74" t="inlineStr">
        <is>
          <t>Tecnológico</t>
        </is>
      </c>
      <c r="E79" s="69" t="inlineStr">
        <is>
          <t>Gestión de eventos de seguridad</t>
        </is>
      </c>
      <c r="F79" s="75" t="inlineStr">
        <is>
          <t>Aplica</t>
        </is>
      </c>
      <c r="G79" s="76" t="inlineStr">
        <is>
          <t>L0 — Inexistente</t>
        </is>
      </c>
      <c r="H79" s="76" t="inlineStr">
        <is>
          <t>L4 — Gestionado y medible</t>
        </is>
      </c>
      <c r="I79" s="76" t="inlineStr">
        <is>
          <t>L4 — Gestionado y medible</t>
        </is>
      </c>
      <c r="J79" s="77">
        <f>IF($F79="No aplica","",IFERROR(VLOOKUP(H79,MgMad,2,0),0))</f>
        <v/>
      </c>
      <c r="K79" s="78">
        <f>IF($F79="No aplica","",IFERROR(VALUE(MID(H79,2,1)),""))</f>
        <v/>
      </c>
      <c r="L79" s="78">
        <f>IF($F79="No aplica","",IFERROR(VALUE(MID(I79,2,1)),""))</f>
        <v/>
      </c>
      <c r="M79" s="78">
        <f>IF($F79="No aplica","",MAX(0,L79-K79))</f>
        <v/>
      </c>
      <c r="N79" s="79">
        <f>IF($F79="No aplica","No aplica",IF(M79=0,"Cumple el objetivo",IF(K79&gt;=3,"Gestionado, con brecha","Brecha prioritaria")))</f>
        <v/>
      </c>
      <c r="O79" s="78">
        <f>IF($F79="No aplica","",K79-IFERROR(VALUE(MID(G79,2,1)),0))</f>
        <v/>
      </c>
      <c r="P79" s="76" t="inlineStr">
        <is>
          <t>Registro centralizado en Sentinel y logs de aplicación en Grafana.</t>
        </is>
      </c>
      <c r="Q79" s="75" t="inlineStr"/>
      <c r="R79" s="80" t="n"/>
      <c r="S79" s="69" t="inlineStr">
        <is>
          <t>A.13, A.15, A.3, E.2, E.3</t>
        </is>
      </c>
      <c r="T79" s="78">
        <f>SUMPRODUCT(--ISNUMBER(SEARCH($B79&amp;" — ",'2. Valoración '!$AB$6:$AB$2261)))</f>
        <v/>
      </c>
      <c r="U79">
        <f>IF($F79="No aplica","",IFERROR(VALUE(MID($G79,2,1)),""))</f>
        <v/>
      </c>
      <c r="V79">
        <f>IF($F79="Aplica",$K79,"")</f>
        <v/>
      </c>
      <c r="W79">
        <f>IF(AND($F79="Aplica",$D79="Organizacional"),$K79,"")</f>
        <v/>
      </c>
      <c r="X79">
        <f>IF(AND($F79="Aplica",$D79="Personas"),$K79,"")</f>
        <v/>
      </c>
      <c r="Y79">
        <f>IF(AND($F79="Aplica",$D79="Físico"),$K79,"")</f>
        <v/>
      </c>
      <c r="Z79">
        <f>IF(AND($F79="Aplica",$D79="Tecnológico"),$K79,"")</f>
        <v/>
      </c>
    </row>
    <row r="80">
      <c r="B80" s="73" t="inlineStr">
        <is>
          <t>A.8.16</t>
        </is>
      </c>
      <c r="C80" s="69" t="inlineStr">
        <is>
          <t>Actividades de monitoreo</t>
        </is>
      </c>
      <c r="D80" s="74" t="inlineStr">
        <is>
          <t>Tecnológico</t>
        </is>
      </c>
      <c r="E80" s="69" t="inlineStr">
        <is>
          <t>Gestión de eventos de seguridad</t>
        </is>
      </c>
      <c r="F80" s="75" t="inlineStr">
        <is>
          <t>Aplica</t>
        </is>
      </c>
      <c r="G80" s="76" t="inlineStr">
        <is>
          <t>L0 — Inexistente</t>
        </is>
      </c>
      <c r="H80" s="76" t="inlineStr">
        <is>
          <t>L4 — Gestionado y medible</t>
        </is>
      </c>
      <c r="I80" s="76" t="inlineStr">
        <is>
          <t>L5 — Optimizado</t>
        </is>
      </c>
      <c r="J80" s="77">
        <f>IF($F80="No aplica","",IFERROR(VLOOKUP(H80,MgMad,2,0),0))</f>
        <v/>
      </c>
      <c r="K80" s="78">
        <f>IF($F80="No aplica","",IFERROR(VALUE(MID(H80,2,1)),""))</f>
        <v/>
      </c>
      <c r="L80" s="78">
        <f>IF($F80="No aplica","",IFERROR(VALUE(MID(I80,2,1)),""))</f>
        <v/>
      </c>
      <c r="M80" s="78">
        <f>IF($F80="No aplica","",MAX(0,L80-K80))</f>
        <v/>
      </c>
      <c r="N80" s="79">
        <f>IF($F80="No aplica","No aplica",IF(M80=0,"Cumple el objetivo",IF(K80&gt;=3,"Gestionado, con brecha","Brecha prioritaria")))</f>
        <v/>
      </c>
      <c r="O80" s="78">
        <f>IF($F80="No aplica","",K80-IFERROR(VALUE(MID(G80,2,1)),0))</f>
        <v/>
      </c>
      <c r="P80" s="76" t="inlineStr">
        <is>
          <t>Monitoreo continuo con Sentinel y agentes de IA de observabilidad.</t>
        </is>
      </c>
      <c r="Q80" s="75" t="inlineStr"/>
      <c r="R80" s="80" t="n"/>
      <c r="S80" s="69" t="inlineStr">
        <is>
          <t>A.4, A.6, E.24, E.3</t>
        </is>
      </c>
      <c r="T80" s="78">
        <f>SUMPRODUCT(--ISNUMBER(SEARCH($B80&amp;" — ",'2. Valoración '!$AB$6:$AB$2261)))</f>
        <v/>
      </c>
      <c r="U80">
        <f>IF($F80="No aplica","",IFERROR(VALUE(MID($G80,2,1)),""))</f>
        <v/>
      </c>
      <c r="V80">
        <f>IF($F80="Aplica",$K80,"")</f>
        <v/>
      </c>
      <c r="W80">
        <f>IF(AND($F80="Aplica",$D80="Organizacional"),$K80,"")</f>
        <v/>
      </c>
      <c r="X80">
        <f>IF(AND($F80="Aplica",$D80="Personas"),$K80,"")</f>
        <v/>
      </c>
      <c r="Y80">
        <f>IF(AND($F80="Aplica",$D80="Físico"),$K80,"")</f>
        <v/>
      </c>
      <c r="Z80">
        <f>IF(AND($F80="Aplica",$D80="Tecnológico"),$K80,"")</f>
        <v/>
      </c>
    </row>
    <row r="81">
      <c r="B81" s="73" t="inlineStr">
        <is>
          <t>A.8.17</t>
        </is>
      </c>
      <c r="C81" s="69" t="inlineStr">
        <is>
          <t>Sincronización de relojes</t>
        </is>
      </c>
      <c r="D81" s="74" t="inlineStr">
        <is>
          <t>Tecnológico</t>
        </is>
      </c>
      <c r="E81" s="69" t="inlineStr">
        <is>
          <t>Configuración segura</t>
        </is>
      </c>
      <c r="F81" s="75" t="inlineStr">
        <is>
          <t>Aplica</t>
        </is>
      </c>
      <c r="G81" s="76" t="inlineStr">
        <is>
          <t>L0 — Inexistente</t>
        </is>
      </c>
      <c r="H81" s="76" t="inlineStr">
        <is>
          <t>L3 — Proceso definido</t>
        </is>
      </c>
      <c r="I81" s="76" t="inlineStr">
        <is>
          <t>L4 — Gestionado y medible</t>
        </is>
      </c>
      <c r="J81" s="77">
        <f>IF($F81="No aplica","",IFERROR(VLOOKUP(H81,MgMad,2,0),0))</f>
        <v/>
      </c>
      <c r="K81" s="78">
        <f>IF($F81="No aplica","",IFERROR(VALUE(MID(H81,2,1)),""))</f>
        <v/>
      </c>
      <c r="L81" s="78">
        <f>IF($F81="No aplica","",IFERROR(VALUE(MID(I81,2,1)),""))</f>
        <v/>
      </c>
      <c r="M81" s="78">
        <f>IF($F81="No aplica","",MAX(0,L81-K81))</f>
        <v/>
      </c>
      <c r="N81" s="79">
        <f>IF($F81="No aplica","No aplica",IF(M81=0,"Cumple el objetivo",IF(K81&gt;=3,"Gestionado, con brecha","Brecha prioritaria")))</f>
        <v/>
      </c>
      <c r="O81" s="78">
        <f>IF($F81="No aplica","",K81-IFERROR(VALUE(MID(G81,2,1)),0))</f>
        <v/>
      </c>
      <c r="P81" s="76" t="inlineStr">
        <is>
          <t>Sincronización horaria provista por la plataforma de nube; sin verificación propia.</t>
        </is>
      </c>
      <c r="Q81" s="75" t="inlineStr"/>
      <c r="R81" s="80" t="n"/>
      <c r="S81" s="69" t="inlineStr">
        <is>
          <t>A.13, E.3</t>
        </is>
      </c>
      <c r="T81" s="78">
        <f>SUMPRODUCT(--ISNUMBER(SEARCH($B81&amp;" — ",'2. Valoración '!$AB$6:$AB$2261)))</f>
        <v/>
      </c>
      <c r="U81">
        <f>IF($F81="No aplica","",IFERROR(VALUE(MID($G81,2,1)),""))</f>
        <v/>
      </c>
      <c r="V81">
        <f>IF($F81="Aplica",$K81,"")</f>
        <v/>
      </c>
      <c r="W81">
        <f>IF(AND($F81="Aplica",$D81="Organizacional"),$K81,"")</f>
        <v/>
      </c>
      <c r="X81">
        <f>IF(AND($F81="Aplica",$D81="Personas"),$K81,"")</f>
        <v/>
      </c>
      <c r="Y81">
        <f>IF(AND($F81="Aplica",$D81="Físico"),$K81,"")</f>
        <v/>
      </c>
      <c r="Z81">
        <f>IF(AND($F81="Aplica",$D81="Tecnológico"),$K81,"")</f>
        <v/>
      </c>
    </row>
    <row r="82">
      <c r="B82" s="73" t="inlineStr">
        <is>
          <t>A.8.18</t>
        </is>
      </c>
      <c r="C82" s="69" t="inlineStr">
        <is>
          <t>Uso de programas utilitarios privilegiados</t>
        </is>
      </c>
      <c r="D82" s="74" t="inlineStr">
        <is>
          <t>Tecnológico</t>
        </is>
      </c>
      <c r="E82" s="69" t="inlineStr">
        <is>
          <t>Gestión de identidad y acceso</t>
        </is>
      </c>
      <c r="F82" s="75" t="inlineStr">
        <is>
          <t>Aplica</t>
        </is>
      </c>
      <c r="G82" s="76" t="inlineStr">
        <is>
          <t>L0 — Inexistente</t>
        </is>
      </c>
      <c r="H82" s="76" t="inlineStr">
        <is>
          <t>L3 — Proceso definido</t>
        </is>
      </c>
      <c r="I82" s="76" t="inlineStr">
        <is>
          <t>L4 — Gestionado y medible</t>
        </is>
      </c>
      <c r="J82" s="77">
        <f>IF($F82="No aplica","",IFERROR(VLOOKUP(H82,MgMad,2,0),0))</f>
        <v/>
      </c>
      <c r="K82" s="78">
        <f>IF($F82="No aplica","",IFERROR(VALUE(MID(H82,2,1)),""))</f>
        <v/>
      </c>
      <c r="L82" s="78">
        <f>IF($F82="No aplica","",IFERROR(VALUE(MID(I82,2,1)),""))</f>
        <v/>
      </c>
      <c r="M82" s="78">
        <f>IF($F82="No aplica","",MAX(0,L82-K82))</f>
        <v/>
      </c>
      <c r="N82" s="79">
        <f>IF($F82="No aplica","No aplica",IF(M82=0,"Cumple el objetivo",IF(K82&gt;=3,"Gestionado, con brecha","Brecha prioritaria")))</f>
        <v/>
      </c>
      <c r="O82" s="78">
        <f>IF($F82="No aplica","",K82-IFERROR(VALUE(MID(G82,2,1)),0))</f>
        <v/>
      </c>
      <c r="P82" s="76" t="inlineStr">
        <is>
          <t>Restricción de utilitarios privilegiados aplicada por directiva de Intune.</t>
        </is>
      </c>
      <c r="Q82" s="75" t="inlineStr"/>
      <c r="R82" s="80" t="n"/>
      <c r="S82" s="69" t="inlineStr">
        <is>
          <t>A.6</t>
        </is>
      </c>
      <c r="T82" s="78">
        <f>SUMPRODUCT(--ISNUMBER(SEARCH($B82&amp;" — ",'2. Valoración '!$AB$6:$AB$2261)))</f>
        <v/>
      </c>
      <c r="U82">
        <f>IF($F82="No aplica","",IFERROR(VALUE(MID($G82,2,1)),""))</f>
        <v/>
      </c>
      <c r="V82">
        <f>IF($F82="Aplica",$K82,"")</f>
        <v/>
      </c>
      <c r="W82">
        <f>IF(AND($F82="Aplica",$D82="Organizacional"),$K82,"")</f>
        <v/>
      </c>
      <c r="X82">
        <f>IF(AND($F82="Aplica",$D82="Personas"),$K82,"")</f>
        <v/>
      </c>
      <c r="Y82">
        <f>IF(AND($F82="Aplica",$D82="Físico"),$K82,"")</f>
        <v/>
      </c>
      <c r="Z82">
        <f>IF(AND($F82="Aplica",$D82="Tecnológico"),$K82,"")</f>
        <v/>
      </c>
    </row>
    <row r="83">
      <c r="B83" s="73" t="inlineStr">
        <is>
          <t>A.8.19</t>
        </is>
      </c>
      <c r="C83" s="69" t="inlineStr">
        <is>
          <t>Instalación de software en sistemas operativos</t>
        </is>
      </c>
      <c r="D83" s="74" t="inlineStr">
        <is>
          <t>Tecnológico</t>
        </is>
      </c>
      <c r="E83" s="69" t="inlineStr">
        <is>
          <t>Configuración segura</t>
        </is>
      </c>
      <c r="F83" s="75" t="inlineStr">
        <is>
          <t>Aplica</t>
        </is>
      </c>
      <c r="G83" s="76" t="inlineStr">
        <is>
          <t>L0 — Inexistente</t>
        </is>
      </c>
      <c r="H83" s="76" t="inlineStr">
        <is>
          <t>L4 — Gestionado y medible</t>
        </is>
      </c>
      <c r="I83" s="76" t="inlineStr">
        <is>
          <t>L4 — Gestionado y medible</t>
        </is>
      </c>
      <c r="J83" s="77">
        <f>IF($F83="No aplica","",IFERROR(VLOOKUP(H83,MgMad,2,0),0))</f>
        <v/>
      </c>
      <c r="K83" s="78">
        <f>IF($F83="No aplica","",IFERROR(VALUE(MID(H83,2,1)),""))</f>
        <v/>
      </c>
      <c r="L83" s="78">
        <f>IF($F83="No aplica","",IFERROR(VALUE(MID(I83,2,1)),""))</f>
        <v/>
      </c>
      <c r="M83" s="78">
        <f>IF($F83="No aplica","",MAX(0,L83-K83))</f>
        <v/>
      </c>
      <c r="N83" s="79">
        <f>IF($F83="No aplica","No aplica",IF(M83=0,"Cumple el objetivo",IF(K83&gt;=3,"Gestionado, con brecha","Brecha prioritaria")))</f>
        <v/>
      </c>
      <c r="O83" s="78">
        <f>IF($F83="No aplica","",K83-IFERROR(VALUE(MID(G83,2,1)),0))</f>
        <v/>
      </c>
      <c r="P83" s="76" t="inlineStr">
        <is>
          <t>Instalación de software controlada y catálogo corporativo gestionado por Intune.</t>
        </is>
      </c>
      <c r="Q83" s="75" t="inlineStr"/>
      <c r="R83" s="80" t="n"/>
      <c r="S83" s="69" t="inlineStr">
        <is>
          <t>A.7, A.8, E.21, E.8</t>
        </is>
      </c>
      <c r="T83" s="78">
        <f>SUMPRODUCT(--ISNUMBER(SEARCH($B83&amp;" — ",'2. Valoración '!$AB$6:$AB$2261)))</f>
        <v/>
      </c>
      <c r="U83">
        <f>IF($F83="No aplica","",IFERROR(VALUE(MID($G83,2,1)),""))</f>
        <v/>
      </c>
      <c r="V83">
        <f>IF($F83="Aplica",$K83,"")</f>
        <v/>
      </c>
      <c r="W83">
        <f>IF(AND($F83="Aplica",$D83="Organizacional"),$K83,"")</f>
        <v/>
      </c>
      <c r="X83">
        <f>IF(AND($F83="Aplica",$D83="Personas"),$K83,"")</f>
        <v/>
      </c>
      <c r="Y83">
        <f>IF(AND($F83="Aplica",$D83="Físico"),$K83,"")</f>
        <v/>
      </c>
      <c r="Z83">
        <f>IF(AND($F83="Aplica",$D83="Tecnológico"),$K83,"")</f>
        <v/>
      </c>
    </row>
    <row r="84">
      <c r="B84" s="73" t="inlineStr">
        <is>
          <t>A.8.20</t>
        </is>
      </c>
      <c r="C84" s="69" t="inlineStr">
        <is>
          <t>Seguridad de las redes</t>
        </is>
      </c>
      <c r="D84" s="74" t="inlineStr">
        <is>
          <t>Tecnológico</t>
        </is>
      </c>
      <c r="E84" s="69" t="inlineStr">
        <is>
          <t>Seguridad de sistemas y redes</t>
        </is>
      </c>
      <c r="F84" s="75" t="inlineStr">
        <is>
          <t>Aplica</t>
        </is>
      </c>
      <c r="G84" s="76" t="inlineStr">
        <is>
          <t>L0 — Inexistente</t>
        </is>
      </c>
      <c r="H84" s="76" t="inlineStr">
        <is>
          <t>L4 — Gestionado y medible</t>
        </is>
      </c>
      <c r="I84" s="76" t="inlineStr">
        <is>
          <t>L4 — Gestionado y medible</t>
        </is>
      </c>
      <c r="J84" s="77">
        <f>IF($F84="No aplica","",IFERROR(VLOOKUP(H84,MgMad,2,0),0))</f>
        <v/>
      </c>
      <c r="K84" s="78">
        <f>IF($F84="No aplica","",IFERROR(VALUE(MID(H84,2,1)),""))</f>
        <v/>
      </c>
      <c r="L84" s="78">
        <f>IF($F84="No aplica","",IFERROR(VALUE(MID(I84,2,1)),""))</f>
        <v/>
      </c>
      <c r="M84" s="78">
        <f>IF($F84="No aplica","",MAX(0,L84-K84))</f>
        <v/>
      </c>
      <c r="N84" s="79">
        <f>IF($F84="No aplica","No aplica",IF(M84=0,"Cumple el objetivo",IF(K84&gt;=3,"Gestionado, con brecha","Brecha prioritaria")))</f>
        <v/>
      </c>
      <c r="O84" s="78">
        <f>IF($F84="No aplica","",K84-IFERROR(VALUE(MID(G84,2,1)),0))</f>
        <v/>
      </c>
      <c r="P84" s="76" t="inlineStr">
        <is>
          <t>Segmentación de red implementada y controles de red en la nube.</t>
        </is>
      </c>
      <c r="Q84" s="75" t="inlineStr"/>
      <c r="R84" s="80" t="n"/>
      <c r="S84" s="69" t="inlineStr">
        <is>
          <t>A.11, A.12, A.14, A.24, A.9, E.9</t>
        </is>
      </c>
      <c r="T84" s="78">
        <f>SUMPRODUCT(--ISNUMBER(SEARCH($B84&amp;" — ",'2. Valoración '!$AB$6:$AB$2261)))</f>
        <v/>
      </c>
      <c r="U84">
        <f>IF($F84="No aplica","",IFERROR(VALUE(MID($G84,2,1)),""))</f>
        <v/>
      </c>
      <c r="V84">
        <f>IF($F84="Aplica",$K84,"")</f>
        <v/>
      </c>
      <c r="W84">
        <f>IF(AND($F84="Aplica",$D84="Organizacional"),$K84,"")</f>
        <v/>
      </c>
      <c r="X84">
        <f>IF(AND($F84="Aplica",$D84="Personas"),$K84,"")</f>
        <v/>
      </c>
      <c r="Y84">
        <f>IF(AND($F84="Aplica",$D84="Físico"),$K84,"")</f>
        <v/>
      </c>
      <c r="Z84">
        <f>IF(AND($F84="Aplica",$D84="Tecnológico"),$K84,"")</f>
        <v/>
      </c>
    </row>
    <row r="85">
      <c r="B85" s="73" t="inlineStr">
        <is>
          <t>A.8.21</t>
        </is>
      </c>
      <c r="C85" s="69" t="inlineStr">
        <is>
          <t>Seguridad de los servicios de red</t>
        </is>
      </c>
      <c r="D85" s="74" t="inlineStr">
        <is>
          <t>Tecnológico</t>
        </is>
      </c>
      <c r="E85" s="69" t="inlineStr">
        <is>
          <t>Seguridad de sistemas y redes</t>
        </is>
      </c>
      <c r="F85" s="75" t="inlineStr">
        <is>
          <t>Aplica</t>
        </is>
      </c>
      <c r="G85" s="76" t="inlineStr">
        <is>
          <t>L0 — Inexistente</t>
        </is>
      </c>
      <c r="H85" s="76" t="inlineStr">
        <is>
          <t>L3 — Proceso definido</t>
        </is>
      </c>
      <c r="I85" s="76" t="inlineStr">
        <is>
          <t>L4 — Gestionado y medible</t>
        </is>
      </c>
      <c r="J85" s="77">
        <f>IF($F85="No aplica","",IFERROR(VLOOKUP(H85,MgMad,2,0),0))</f>
        <v/>
      </c>
      <c r="K85" s="78">
        <f>IF($F85="No aplica","",IFERROR(VALUE(MID(H85,2,1)),""))</f>
        <v/>
      </c>
      <c r="L85" s="78">
        <f>IF($F85="No aplica","",IFERROR(VALUE(MID(I85,2,1)),""))</f>
        <v/>
      </c>
      <c r="M85" s="78">
        <f>IF($F85="No aplica","",MAX(0,L85-K85))</f>
        <v/>
      </c>
      <c r="N85" s="79">
        <f>IF($F85="No aplica","No aplica",IF(M85=0,"Cumple el objetivo",IF(K85&gt;=3,"Gestionado, con brecha","Brecha prioritaria")))</f>
        <v/>
      </c>
      <c r="O85" s="78">
        <f>IF($F85="No aplica","",K85-IFERROR(VALUE(MID(G85,2,1)),0))</f>
        <v/>
      </c>
      <c r="P85" s="76" t="inlineStr">
        <is>
          <t>Servicios de red seguros; acuerdos de nivel de servicio de seguridad aún no formalizados.</t>
        </is>
      </c>
      <c r="Q85" s="75" t="inlineStr"/>
      <c r="R85" s="80" t="n"/>
      <c r="S85" s="69" t="inlineStr">
        <is>
          <t>A.14, A.9, E.9, I.8</t>
        </is>
      </c>
      <c r="T85" s="78">
        <f>SUMPRODUCT(--ISNUMBER(SEARCH($B85&amp;" — ",'2. Valoración '!$AB$6:$AB$2261)))</f>
        <v/>
      </c>
      <c r="U85">
        <f>IF($F85="No aplica","",IFERROR(VALUE(MID($G85,2,1)),""))</f>
        <v/>
      </c>
      <c r="V85">
        <f>IF($F85="Aplica",$K85,"")</f>
        <v/>
      </c>
      <c r="W85">
        <f>IF(AND($F85="Aplica",$D85="Organizacional"),$K85,"")</f>
        <v/>
      </c>
      <c r="X85">
        <f>IF(AND($F85="Aplica",$D85="Personas"),$K85,"")</f>
        <v/>
      </c>
      <c r="Y85">
        <f>IF(AND($F85="Aplica",$D85="Físico"),$K85,"")</f>
        <v/>
      </c>
      <c r="Z85">
        <f>IF(AND($F85="Aplica",$D85="Tecnológico"),$K85,"")</f>
        <v/>
      </c>
    </row>
    <row r="86">
      <c r="B86" s="73" t="inlineStr">
        <is>
          <t>A.8.22</t>
        </is>
      </c>
      <c r="C86" s="69" t="inlineStr">
        <is>
          <t>Segregación de redes</t>
        </is>
      </c>
      <c r="D86" s="74" t="inlineStr">
        <is>
          <t>Tecnológico</t>
        </is>
      </c>
      <c r="E86" s="69" t="inlineStr">
        <is>
          <t>Seguridad de sistemas y redes</t>
        </is>
      </c>
      <c r="F86" s="75" t="inlineStr">
        <is>
          <t>Aplica</t>
        </is>
      </c>
      <c r="G86" s="76" t="inlineStr">
        <is>
          <t>L0 — Inexistente</t>
        </is>
      </c>
      <c r="H86" s="76" t="inlineStr">
        <is>
          <t>L4 — Gestionado y medible</t>
        </is>
      </c>
      <c r="I86" s="76" t="inlineStr">
        <is>
          <t>L4 — Gestionado y medible</t>
        </is>
      </c>
      <c r="J86" s="77">
        <f>IF($F86="No aplica","",IFERROR(VLOOKUP(H86,MgMad,2,0),0))</f>
        <v/>
      </c>
      <c r="K86" s="78">
        <f>IF($F86="No aplica","",IFERROR(VALUE(MID(H86,2,1)),""))</f>
        <v/>
      </c>
      <c r="L86" s="78">
        <f>IF($F86="No aplica","",IFERROR(VALUE(MID(I86,2,1)),""))</f>
        <v/>
      </c>
      <c r="M86" s="78">
        <f>IF($F86="No aplica","",MAX(0,L86-K86))</f>
        <v/>
      </c>
      <c r="N86" s="79">
        <f>IF($F86="No aplica","No aplica",IF(M86=0,"Cumple el objetivo",IF(K86&gt;=3,"Gestionado, con brecha","Brecha prioritaria")))</f>
        <v/>
      </c>
      <c r="O86" s="78">
        <f>IF($F86="No aplica","",K86-IFERROR(VALUE(MID(G86,2,1)),0))</f>
        <v/>
      </c>
      <c r="P86" s="76" t="inlineStr">
        <is>
          <t>Segregación de redes por entorno y por función.</t>
        </is>
      </c>
      <c r="Q86" s="75" t="inlineStr"/>
      <c r="R86" s="80" t="n"/>
      <c r="S86" s="69" t="inlineStr">
        <is>
          <t>A.12, A.9, E.9</t>
        </is>
      </c>
      <c r="T86" s="78">
        <f>SUMPRODUCT(--ISNUMBER(SEARCH($B86&amp;" — ",'2. Valoración '!$AB$6:$AB$2261)))</f>
        <v/>
      </c>
      <c r="U86">
        <f>IF($F86="No aplica","",IFERROR(VALUE(MID($G86,2,1)),""))</f>
        <v/>
      </c>
      <c r="V86">
        <f>IF($F86="Aplica",$K86,"")</f>
        <v/>
      </c>
      <c r="W86">
        <f>IF(AND($F86="Aplica",$D86="Organizacional"),$K86,"")</f>
        <v/>
      </c>
      <c r="X86">
        <f>IF(AND($F86="Aplica",$D86="Personas"),$K86,"")</f>
        <v/>
      </c>
      <c r="Y86">
        <f>IF(AND($F86="Aplica",$D86="Físico"),$K86,"")</f>
        <v/>
      </c>
      <c r="Z86">
        <f>IF(AND($F86="Aplica",$D86="Tecnológico"),$K86,"")</f>
        <v/>
      </c>
    </row>
    <row r="87">
      <c r="B87" s="73" t="inlineStr">
        <is>
          <t>A.8.23</t>
        </is>
      </c>
      <c r="C87" s="69" t="inlineStr">
        <is>
          <t>Filtrado web</t>
        </is>
      </c>
      <c r="D87" s="74" t="inlineStr">
        <is>
          <t>Tecnológico</t>
        </is>
      </c>
      <c r="E87" s="69" t="inlineStr">
        <is>
          <t>Seguridad de sistemas y redes</t>
        </is>
      </c>
      <c r="F87" s="75" t="inlineStr">
        <is>
          <t>Aplica</t>
        </is>
      </c>
      <c r="G87" s="76" t="inlineStr">
        <is>
          <t>L0 — Inexistente</t>
        </is>
      </c>
      <c r="H87" s="76" t="inlineStr">
        <is>
          <t>L4 — Gestionado y medible</t>
        </is>
      </c>
      <c r="I87" s="76" t="inlineStr">
        <is>
          <t>L4 — Gestionado y medible</t>
        </is>
      </c>
      <c r="J87" s="77">
        <f>IF($F87="No aplica","",IFERROR(VLOOKUP(H87,MgMad,2,0),0))</f>
        <v/>
      </c>
      <c r="K87" s="78">
        <f>IF($F87="No aplica","",IFERROR(VALUE(MID(H87,2,1)),""))</f>
        <v/>
      </c>
      <c r="L87" s="78">
        <f>IF($F87="No aplica","",IFERROR(VALUE(MID(I87,2,1)),""))</f>
        <v/>
      </c>
      <c r="M87" s="78">
        <f>IF($F87="No aplica","",MAX(0,L87-K87))</f>
        <v/>
      </c>
      <c r="N87" s="79">
        <f>IF($F87="No aplica","No aplica",IF(M87=0,"Cumple el objetivo",IF(K87&gt;=3,"Gestionado, con brecha","Brecha prioritaria")))</f>
        <v/>
      </c>
      <c r="O87" s="78">
        <f>IF($F87="No aplica","",K87-IFERROR(VALUE(MID(G87,2,1)),0))</f>
        <v/>
      </c>
      <c r="P87" s="76" t="inlineStr">
        <is>
          <t>Filtrado web aplicado por Defender for Endpoint.</t>
        </is>
      </c>
      <c r="Q87" s="75" t="inlineStr"/>
      <c r="R87" s="80" t="n"/>
      <c r="S87" s="69" t="inlineStr">
        <is>
          <t>A.7, E.8</t>
        </is>
      </c>
      <c r="T87" s="78">
        <f>SUMPRODUCT(--ISNUMBER(SEARCH($B87&amp;" — ",'2. Valoración '!$AB$6:$AB$2261)))</f>
        <v/>
      </c>
      <c r="U87">
        <f>IF($F87="No aplica","",IFERROR(VALUE(MID($G87,2,1)),""))</f>
        <v/>
      </c>
      <c r="V87">
        <f>IF($F87="Aplica",$K87,"")</f>
        <v/>
      </c>
      <c r="W87">
        <f>IF(AND($F87="Aplica",$D87="Organizacional"),$K87,"")</f>
        <v/>
      </c>
      <c r="X87">
        <f>IF(AND($F87="Aplica",$D87="Personas"),$K87,"")</f>
        <v/>
      </c>
      <c r="Y87">
        <f>IF(AND($F87="Aplica",$D87="Físico"),$K87,"")</f>
        <v/>
      </c>
      <c r="Z87">
        <f>IF(AND($F87="Aplica",$D87="Tecnológico"),$K87,"")</f>
        <v/>
      </c>
    </row>
    <row r="88">
      <c r="B88" s="73" t="inlineStr">
        <is>
          <t>A.8.24</t>
        </is>
      </c>
      <c r="C88" s="69" t="inlineStr">
        <is>
          <t>Uso de criptografía</t>
        </is>
      </c>
      <c r="D88" s="74" t="inlineStr">
        <is>
          <t>Tecnológico</t>
        </is>
      </c>
      <c r="E88" s="69" t="inlineStr">
        <is>
          <t>Protección de la información</t>
        </is>
      </c>
      <c r="F88" s="75" t="inlineStr">
        <is>
          <t>Aplica</t>
        </is>
      </c>
      <c r="G88" s="76" t="inlineStr">
        <is>
          <t>L1 — Inicial / ad hoc</t>
        </is>
      </c>
      <c r="H88" s="76" t="inlineStr">
        <is>
          <t>L3 — Proceso definido</t>
        </is>
      </c>
      <c r="I88" s="76" t="inlineStr">
        <is>
          <t>L4 — Gestionado y medible</t>
        </is>
      </c>
      <c r="J88" s="77">
        <f>IF($F88="No aplica","",IFERROR(VLOOKUP(H88,MgMad,2,0),0))</f>
        <v/>
      </c>
      <c r="K88" s="78">
        <f>IF($F88="No aplica","",IFERROR(VALUE(MID(H88,2,1)),""))</f>
        <v/>
      </c>
      <c r="L88" s="78">
        <f>IF($F88="No aplica","",IFERROR(VALUE(MID(I88,2,1)),""))</f>
        <v/>
      </c>
      <c r="M88" s="78">
        <f>IF($F88="No aplica","",MAX(0,L88-K88))</f>
        <v/>
      </c>
      <c r="N88" s="79">
        <f>IF($F88="No aplica","No aplica",IF(M88=0,"Cumple el objetivo",IF(K88&gt;=3,"Gestionado, con brecha","Brecha prioritaria")))</f>
        <v/>
      </c>
      <c r="O88" s="78">
        <f>IF($F88="No aplica","",K88-IFERROR(VALUE(MID(G88,2,1)),0))</f>
        <v/>
      </c>
      <c r="P88" s="76" t="inlineStr">
        <is>
          <t>Cifrado en tránsito y en reposo generalizado; la gestión del ciclo de vida de llaves no está formalizada.</t>
        </is>
      </c>
      <c r="Q88" s="75" t="inlineStr"/>
      <c r="R88" s="80" t="n"/>
      <c r="S88" s="69" t="inlineStr">
        <is>
          <t>A.10, A.12, A.13, A.14, A.15, A.19, A.25, A.9, E.25, I.11</t>
        </is>
      </c>
      <c r="T88" s="78">
        <f>SUMPRODUCT(--ISNUMBER(SEARCH($B88&amp;" — ",'2. Valoración '!$AB$6:$AB$2261)))</f>
        <v/>
      </c>
      <c r="U88">
        <f>IF($F88="No aplica","",IFERROR(VALUE(MID($G88,2,1)),""))</f>
        <v/>
      </c>
      <c r="V88">
        <f>IF($F88="Aplica",$K88,"")</f>
        <v/>
      </c>
      <c r="W88">
        <f>IF(AND($F88="Aplica",$D88="Organizacional"),$K88,"")</f>
        <v/>
      </c>
      <c r="X88">
        <f>IF(AND($F88="Aplica",$D88="Personas"),$K88,"")</f>
        <v/>
      </c>
      <c r="Y88">
        <f>IF(AND($F88="Aplica",$D88="Físico"),$K88,"")</f>
        <v/>
      </c>
      <c r="Z88">
        <f>IF(AND($F88="Aplica",$D88="Tecnológico"),$K88,"")</f>
        <v/>
      </c>
    </row>
    <row r="89">
      <c r="B89" s="73" t="inlineStr">
        <is>
          <t>A.8.25</t>
        </is>
      </c>
      <c r="C89" s="69" t="inlineStr">
        <is>
          <t>Ciclo de vida de desarrollo seguro</t>
        </is>
      </c>
      <c r="D89" s="74" t="inlineStr">
        <is>
          <t>Tecnológico</t>
        </is>
      </c>
      <c r="E89" s="69" t="inlineStr">
        <is>
          <t>Seguridad de aplicaciones</t>
        </is>
      </c>
      <c r="F89" s="75" t="inlineStr">
        <is>
          <t>Aplica</t>
        </is>
      </c>
      <c r="G89" s="76" t="inlineStr">
        <is>
          <t>L0 — Inexistente</t>
        </is>
      </c>
      <c r="H89" s="76" t="inlineStr">
        <is>
          <t>L4 — Gestionado y medible</t>
        </is>
      </c>
      <c r="I89" s="76" t="inlineStr">
        <is>
          <t>L4 — Gestionado y medible</t>
        </is>
      </c>
      <c r="J89" s="77">
        <f>IF($F89="No aplica","",IFERROR(VLOOKUP(H89,MgMad,2,0),0))</f>
        <v/>
      </c>
      <c r="K89" s="78">
        <f>IF($F89="No aplica","",IFERROR(VALUE(MID(H89,2,1)),""))</f>
        <v/>
      </c>
      <c r="L89" s="78">
        <f>IF($F89="No aplica","",IFERROR(VALUE(MID(I89,2,1)),""))</f>
        <v/>
      </c>
      <c r="M89" s="78">
        <f>IF($F89="No aplica","",MAX(0,L89-K89))</f>
        <v/>
      </c>
      <c r="N89" s="79">
        <f>IF($F89="No aplica","No aplica",IF(M89=0,"Cumple el objetivo",IF(K89&gt;=3,"Gestionado, con brecha","Brecha prioritaria")))</f>
        <v/>
      </c>
      <c r="O89" s="78">
        <f>IF($F89="No aplica","",K89-IFERROR(VALUE(MID(G89,2,1)),0))</f>
        <v/>
      </c>
      <c r="P89" s="76" t="inlineStr">
        <is>
          <t>Ciclo de desarrollo seguro con análisis estático, de dependencias y de secretos, bloqueantes en el pipeline.</t>
        </is>
      </c>
      <c r="Q89" s="75" t="inlineStr"/>
      <c r="R89" s="80" t="n"/>
      <c r="S89" s="69" t="inlineStr">
        <is>
          <t>A.22, E.10, E.20</t>
        </is>
      </c>
      <c r="T89" s="78">
        <f>SUMPRODUCT(--ISNUMBER(SEARCH($B89&amp;" — ",'2. Valoración '!$AB$6:$AB$2261)))</f>
        <v/>
      </c>
      <c r="U89">
        <f>IF($F89="No aplica","",IFERROR(VALUE(MID($G89,2,1)),""))</f>
        <v/>
      </c>
      <c r="V89">
        <f>IF($F89="Aplica",$K89,"")</f>
        <v/>
      </c>
      <c r="W89">
        <f>IF(AND($F89="Aplica",$D89="Organizacional"),$K89,"")</f>
        <v/>
      </c>
      <c r="X89">
        <f>IF(AND($F89="Aplica",$D89="Personas"),$K89,"")</f>
        <v/>
      </c>
      <c r="Y89">
        <f>IF(AND($F89="Aplica",$D89="Físico"),$K89,"")</f>
        <v/>
      </c>
      <c r="Z89">
        <f>IF(AND($F89="Aplica",$D89="Tecnológico"),$K89,"")</f>
        <v/>
      </c>
    </row>
    <row r="90">
      <c r="B90" s="73" t="inlineStr">
        <is>
          <t>A.8.26</t>
        </is>
      </c>
      <c r="C90" s="69" t="inlineStr">
        <is>
          <t>Requisitos de seguridad de las aplicaciones</t>
        </is>
      </c>
      <c r="D90" s="74" t="inlineStr">
        <is>
          <t>Tecnológico</t>
        </is>
      </c>
      <c r="E90" s="69" t="inlineStr">
        <is>
          <t>Seguridad de aplicaciones</t>
        </is>
      </c>
      <c r="F90" s="75" t="inlineStr">
        <is>
          <t>Aplica</t>
        </is>
      </c>
      <c r="G90" s="76" t="inlineStr">
        <is>
          <t>L0 — Inexistente</t>
        </is>
      </c>
      <c r="H90" s="76" t="inlineStr">
        <is>
          <t>L3 — Proceso definido</t>
        </is>
      </c>
      <c r="I90" s="76" t="inlineStr">
        <is>
          <t>L4 — Gestionado y medible</t>
        </is>
      </c>
      <c r="J90" s="77">
        <f>IF($F90="No aplica","",IFERROR(VLOOKUP(H90,MgMad,2,0),0))</f>
        <v/>
      </c>
      <c r="K90" s="78">
        <f>IF($F90="No aplica","",IFERROR(VALUE(MID(H90,2,1)),""))</f>
        <v/>
      </c>
      <c r="L90" s="78">
        <f>IF($F90="No aplica","",IFERROR(VALUE(MID(I90,2,1)),""))</f>
        <v/>
      </c>
      <c r="M90" s="78">
        <f>IF($F90="No aplica","",MAX(0,L90-K90))</f>
        <v/>
      </c>
      <c r="N90" s="79">
        <f>IF($F90="No aplica","No aplica",IF(M90=0,"Cumple el objetivo",IF(K90&gt;=3,"Gestionado, con brecha","Brecha prioritaria")))</f>
        <v/>
      </c>
      <c r="O90" s="78">
        <f>IF($F90="No aplica","",K90-IFERROR(VALUE(MID(G90,2,1)),0))</f>
        <v/>
      </c>
      <c r="P90" s="76" t="inlineStr">
        <is>
          <t>Requisitos de seguridad considerados en el diseño; sin criterios formalizados por historia.</t>
        </is>
      </c>
      <c r="Q90" s="75" t="inlineStr"/>
      <c r="R90" s="80" t="n"/>
      <c r="S90" s="69" t="inlineStr">
        <is>
          <t>A.10</t>
        </is>
      </c>
      <c r="T90" s="78">
        <f>SUMPRODUCT(--ISNUMBER(SEARCH($B90&amp;" — ",'2. Valoración '!$AB$6:$AB$2261)))</f>
        <v/>
      </c>
      <c r="U90">
        <f>IF($F90="No aplica","",IFERROR(VALUE(MID($G90,2,1)),""))</f>
        <v/>
      </c>
      <c r="V90">
        <f>IF($F90="Aplica",$K90,"")</f>
        <v/>
      </c>
      <c r="W90">
        <f>IF(AND($F90="Aplica",$D90="Organizacional"),$K90,"")</f>
        <v/>
      </c>
      <c r="X90">
        <f>IF(AND($F90="Aplica",$D90="Personas"),$K90,"")</f>
        <v/>
      </c>
      <c r="Y90">
        <f>IF(AND($F90="Aplica",$D90="Físico"),$K90,"")</f>
        <v/>
      </c>
      <c r="Z90">
        <f>IF(AND($F90="Aplica",$D90="Tecnológico"),$K90,"")</f>
        <v/>
      </c>
    </row>
    <row r="91">
      <c r="B91" s="73" t="inlineStr">
        <is>
          <t>A.8.27</t>
        </is>
      </c>
      <c r="C91" s="69" t="inlineStr">
        <is>
          <t>Arquitectura de sistemas seguros y principios de ingeniería</t>
        </is>
      </c>
      <c r="D91" s="74" t="inlineStr">
        <is>
          <t>Tecnológico</t>
        </is>
      </c>
      <c r="E91" s="69" t="inlineStr">
        <is>
          <t>Seguridad de aplicaciones</t>
        </is>
      </c>
      <c r="F91" s="75" t="inlineStr">
        <is>
          <t>Aplica</t>
        </is>
      </c>
      <c r="G91" s="76" t="inlineStr">
        <is>
          <t>L0 — Inexistente</t>
        </is>
      </c>
      <c r="H91" s="76" t="inlineStr">
        <is>
          <t>L3 — Proceso definido</t>
        </is>
      </c>
      <c r="I91" s="76" t="inlineStr">
        <is>
          <t>L4 — Gestionado y medible</t>
        </is>
      </c>
      <c r="J91" s="77">
        <f>IF($F91="No aplica","",IFERROR(VLOOKUP(H91,MgMad,2,0),0))</f>
        <v/>
      </c>
      <c r="K91" s="78">
        <f>IF($F91="No aplica","",IFERROR(VALUE(MID(H91,2,1)),""))</f>
        <v/>
      </c>
      <c r="L91" s="78">
        <f>IF($F91="No aplica","",IFERROR(VALUE(MID(I91,2,1)),""))</f>
        <v/>
      </c>
      <c r="M91" s="78">
        <f>IF($F91="No aplica","",MAX(0,L91-K91))</f>
        <v/>
      </c>
      <c r="N91" s="79">
        <f>IF($F91="No aplica","No aplica",IF(M91=0,"Cumple el objetivo",IF(K91&gt;=3,"Gestionado, con brecha","Brecha prioritaria")))</f>
        <v/>
      </c>
      <c r="O91" s="78">
        <f>IF($F91="No aplica","",K91-IFERROR(VALUE(MID(G91,2,1)),0))</f>
        <v/>
      </c>
      <c r="P91" s="76" t="inlineStr">
        <is>
          <t>Principios de arquitectura segura aplicados; sin revisión formal de arquitectura.</t>
        </is>
      </c>
      <c r="Q91" s="75" t="inlineStr"/>
      <c r="R91" s="80" t="n"/>
      <c r="S91" s="69" t="inlineStr">
        <is>
          <t>A.22, E.10, E.20</t>
        </is>
      </c>
      <c r="T91" s="78">
        <f>SUMPRODUCT(--ISNUMBER(SEARCH($B91&amp;" — ",'2. Valoración '!$AB$6:$AB$2261)))</f>
        <v/>
      </c>
      <c r="U91">
        <f>IF($F91="No aplica","",IFERROR(VALUE(MID($G91,2,1)),""))</f>
        <v/>
      </c>
      <c r="V91">
        <f>IF($F91="Aplica",$K91,"")</f>
        <v/>
      </c>
      <c r="W91">
        <f>IF(AND($F91="Aplica",$D91="Organizacional"),$K91,"")</f>
        <v/>
      </c>
      <c r="X91">
        <f>IF(AND($F91="Aplica",$D91="Personas"),$K91,"")</f>
        <v/>
      </c>
      <c r="Y91">
        <f>IF(AND($F91="Aplica",$D91="Físico"),$K91,"")</f>
        <v/>
      </c>
      <c r="Z91">
        <f>IF(AND($F91="Aplica",$D91="Tecnológico"),$K91,"")</f>
        <v/>
      </c>
    </row>
    <row r="92">
      <c r="B92" s="73" t="inlineStr">
        <is>
          <t>A.8.28</t>
        </is>
      </c>
      <c r="C92" s="69" t="inlineStr">
        <is>
          <t>Codificación segura</t>
        </is>
      </c>
      <c r="D92" s="74" t="inlineStr">
        <is>
          <t>Tecnológico</t>
        </is>
      </c>
      <c r="E92" s="69" t="inlineStr">
        <is>
          <t>Seguridad de aplicaciones</t>
        </is>
      </c>
      <c r="F92" s="75" t="inlineStr">
        <is>
          <t>Aplica</t>
        </is>
      </c>
      <c r="G92" s="76" t="inlineStr">
        <is>
          <t>L0 — Inexistente</t>
        </is>
      </c>
      <c r="H92" s="76" t="inlineStr">
        <is>
          <t>L4 — Gestionado y medible</t>
        </is>
      </c>
      <c r="I92" s="76" t="inlineStr">
        <is>
          <t>L4 — Gestionado y medible</t>
        </is>
      </c>
      <c r="J92" s="77">
        <f>IF($F92="No aplica","",IFERROR(VLOOKUP(H92,MgMad,2,0),0))</f>
        <v/>
      </c>
      <c r="K92" s="78">
        <f>IF($F92="No aplica","",IFERROR(VALUE(MID(H92,2,1)),""))</f>
        <v/>
      </c>
      <c r="L92" s="78">
        <f>IF($F92="No aplica","",IFERROR(VALUE(MID(I92,2,1)),""))</f>
        <v/>
      </c>
      <c r="M92" s="78">
        <f>IF($F92="No aplica","",MAX(0,L92-K92))</f>
        <v/>
      </c>
      <c r="N92" s="79">
        <f>IF($F92="No aplica","No aplica",IF(M92=0,"Cumple el objetivo",IF(K92&gt;=3,"Gestionado, con brecha","Brecha prioritaria")))</f>
        <v/>
      </c>
      <c r="O92" s="78">
        <f>IF($F92="No aplica","",K92-IFERROR(VALUE(MID(G92,2,1)),0))</f>
        <v/>
      </c>
      <c r="P92" s="76" t="inlineStr">
        <is>
          <t>Estándares de codificación segura verificados automáticamente en cada integración.</t>
        </is>
      </c>
      <c r="Q92" s="75" t="inlineStr"/>
      <c r="R92" s="80" t="n"/>
      <c r="S92" s="69" t="inlineStr">
        <is>
          <t>A.22, E.20</t>
        </is>
      </c>
      <c r="T92" s="78">
        <f>SUMPRODUCT(--ISNUMBER(SEARCH($B92&amp;" — ",'2. Valoración '!$AB$6:$AB$2261)))</f>
        <v/>
      </c>
      <c r="U92">
        <f>IF($F92="No aplica","",IFERROR(VALUE(MID($G92,2,1)),""))</f>
        <v/>
      </c>
      <c r="V92">
        <f>IF($F92="Aplica",$K92,"")</f>
        <v/>
      </c>
      <c r="W92">
        <f>IF(AND($F92="Aplica",$D92="Organizacional"),$K92,"")</f>
        <v/>
      </c>
      <c r="X92">
        <f>IF(AND($F92="Aplica",$D92="Personas"),$K92,"")</f>
        <v/>
      </c>
      <c r="Y92">
        <f>IF(AND($F92="Aplica",$D92="Físico"),$K92,"")</f>
        <v/>
      </c>
      <c r="Z92">
        <f>IF(AND($F92="Aplica",$D92="Tecnológico"),$K92,"")</f>
        <v/>
      </c>
    </row>
    <row r="93">
      <c r="B93" s="73" t="inlineStr">
        <is>
          <t>A.8.29</t>
        </is>
      </c>
      <c r="C93" s="69" t="inlineStr">
        <is>
          <t>Pruebas de seguridad en desarrollo y aceptación</t>
        </is>
      </c>
      <c r="D93" s="74" t="inlineStr">
        <is>
          <t>Tecnológico</t>
        </is>
      </c>
      <c r="E93" s="69" t="inlineStr">
        <is>
          <t>Seguridad de aplicaciones</t>
        </is>
      </c>
      <c r="F93" s="75" t="inlineStr">
        <is>
          <t>Aplica</t>
        </is>
      </c>
      <c r="G93" s="76" t="inlineStr">
        <is>
          <t>L0 — Inexistente</t>
        </is>
      </c>
      <c r="H93" s="76" t="inlineStr">
        <is>
          <t>L3 — Proceso definido</t>
        </is>
      </c>
      <c r="I93" s="76" t="inlineStr">
        <is>
          <t>L4 — Gestionado y medible</t>
        </is>
      </c>
      <c r="J93" s="77">
        <f>IF($F93="No aplica","",IFERROR(VLOOKUP(H93,MgMad,2,0),0))</f>
        <v/>
      </c>
      <c r="K93" s="78">
        <f>IF($F93="No aplica","",IFERROR(VALUE(MID(H93,2,1)),""))</f>
        <v/>
      </c>
      <c r="L93" s="78">
        <f>IF($F93="No aplica","",IFERROR(VALUE(MID(I93,2,1)),""))</f>
        <v/>
      </c>
      <c r="M93" s="78">
        <f>IF($F93="No aplica","",MAX(0,L93-K93))</f>
        <v/>
      </c>
      <c r="N93" s="79">
        <f>IF($F93="No aplica","No aplica",IF(M93=0,"Cumple el objetivo",IF(K93&gt;=3,"Gestionado, con brecha","Brecha prioritaria")))</f>
        <v/>
      </c>
      <c r="O93" s="78">
        <f>IF($F93="No aplica","",K93-IFERROR(VALUE(MID(G93,2,1)),0))</f>
        <v/>
      </c>
      <c r="P93" s="76" t="inlineStr">
        <is>
          <t>Pruebas automatizadas en el pipeline; sin pruebas dinámicas ni pentesting periódico.</t>
        </is>
      </c>
      <c r="Q93" s="75" t="inlineStr"/>
      <c r="R93" s="80" t="n"/>
      <c r="S93" s="69" t="inlineStr">
        <is>
          <t>A.10, E.10, E.20</t>
        </is>
      </c>
      <c r="T93" s="78">
        <f>SUMPRODUCT(--ISNUMBER(SEARCH($B93&amp;" — ",'2. Valoración '!$AB$6:$AB$2261)))</f>
        <v/>
      </c>
      <c r="U93">
        <f>IF($F93="No aplica","",IFERROR(VALUE(MID($G93,2,1)),""))</f>
        <v/>
      </c>
      <c r="V93">
        <f>IF($F93="Aplica",$K93,"")</f>
        <v/>
      </c>
      <c r="W93">
        <f>IF(AND($F93="Aplica",$D93="Organizacional"),$K93,"")</f>
        <v/>
      </c>
      <c r="X93">
        <f>IF(AND($F93="Aplica",$D93="Personas"),$K93,"")</f>
        <v/>
      </c>
      <c r="Y93">
        <f>IF(AND($F93="Aplica",$D93="Físico"),$K93,"")</f>
        <v/>
      </c>
      <c r="Z93">
        <f>IF(AND($F93="Aplica",$D93="Tecnológico"),$K93,"")</f>
        <v/>
      </c>
    </row>
    <row r="94">
      <c r="B94" s="73" t="inlineStr">
        <is>
          <t>A.8.30</t>
        </is>
      </c>
      <c r="C94" s="69" t="inlineStr">
        <is>
          <t>Desarrollo contratado externamente</t>
        </is>
      </c>
      <c r="D94" s="74" t="inlineStr">
        <is>
          <t>Tecnológico</t>
        </is>
      </c>
      <c r="E94" s="69" t="inlineStr">
        <is>
          <t>Seguridad de aplicaciones</t>
        </is>
      </c>
      <c r="F94" s="75" t="inlineStr">
        <is>
          <t>Aplica</t>
        </is>
      </c>
      <c r="G94" s="76" t="inlineStr">
        <is>
          <t>L0 — Inexistente</t>
        </is>
      </c>
      <c r="H94" s="76" t="inlineStr">
        <is>
          <t>L2 — Reproducible pero intuitivo</t>
        </is>
      </c>
      <c r="I94" s="76" t="inlineStr">
        <is>
          <t>L3 — Proceso definido</t>
        </is>
      </c>
      <c r="J94" s="77">
        <f>IF($F94="No aplica","",IFERROR(VLOOKUP(H94,MgMad,2,0),0))</f>
        <v/>
      </c>
      <c r="K94" s="78">
        <f>IF($F94="No aplica","",IFERROR(VALUE(MID(H94,2,1)),""))</f>
        <v/>
      </c>
      <c r="L94" s="78">
        <f>IF($F94="No aplica","",IFERROR(VALUE(MID(I94,2,1)),""))</f>
        <v/>
      </c>
      <c r="M94" s="78">
        <f>IF($F94="No aplica","",MAX(0,L94-K94))</f>
        <v/>
      </c>
      <c r="N94" s="79">
        <f>IF($F94="No aplica","No aplica",IF(M94=0,"Cumple el objetivo",IF(K94&gt;=3,"Gestionado, con brecha","Brecha prioritaria")))</f>
        <v/>
      </c>
      <c r="O94" s="78">
        <f>IF($F94="No aplica","",K94-IFERROR(VALUE(MID(G94,2,1)),0))</f>
        <v/>
      </c>
      <c r="P94" s="76" t="inlineStr">
        <is>
          <t>El desarrollo es propio; el control aplica de forma marginal a los componentes contratados.</t>
        </is>
      </c>
      <c r="Q94" s="75" t="inlineStr"/>
      <c r="R94" s="80" t="n"/>
      <c r="S94" s="69" t="inlineStr">
        <is>
          <t>A.22, E.20</t>
        </is>
      </c>
      <c r="T94" s="78">
        <f>SUMPRODUCT(--ISNUMBER(SEARCH($B94&amp;" — ",'2. Valoración '!$AB$6:$AB$2261)))</f>
        <v/>
      </c>
      <c r="U94">
        <f>IF($F94="No aplica","",IFERROR(VALUE(MID($G94,2,1)),""))</f>
        <v/>
      </c>
      <c r="V94">
        <f>IF($F94="Aplica",$K94,"")</f>
        <v/>
      </c>
      <c r="W94">
        <f>IF(AND($F94="Aplica",$D94="Organizacional"),$K94,"")</f>
        <v/>
      </c>
      <c r="X94">
        <f>IF(AND($F94="Aplica",$D94="Personas"),$K94,"")</f>
        <v/>
      </c>
      <c r="Y94">
        <f>IF(AND($F94="Aplica",$D94="Físico"),$K94,"")</f>
        <v/>
      </c>
      <c r="Z94">
        <f>IF(AND($F94="Aplica",$D94="Tecnológico"),$K94,"")</f>
        <v/>
      </c>
    </row>
    <row r="95">
      <c r="B95" s="73" t="inlineStr">
        <is>
          <t>A.8.31</t>
        </is>
      </c>
      <c r="C95" s="69" t="inlineStr">
        <is>
          <t>Separación de entornos de desarrollo, prueba y producción</t>
        </is>
      </c>
      <c r="D95" s="74" t="inlineStr">
        <is>
          <t>Tecnológico</t>
        </is>
      </c>
      <c r="E95" s="69" t="inlineStr">
        <is>
          <t>Seguridad de aplicaciones</t>
        </is>
      </c>
      <c r="F95" s="75" t="inlineStr">
        <is>
          <t>Aplica</t>
        </is>
      </c>
      <c r="G95" s="76" t="inlineStr">
        <is>
          <t>L0 — Inexistente</t>
        </is>
      </c>
      <c r="H95" s="76" t="inlineStr">
        <is>
          <t>L4 — Gestionado y medible</t>
        </is>
      </c>
      <c r="I95" s="76" t="inlineStr">
        <is>
          <t>L4 — Gestionado y medible</t>
        </is>
      </c>
      <c r="J95" s="77">
        <f>IF($F95="No aplica","",IFERROR(VLOOKUP(H95,MgMad,2,0),0))</f>
        <v/>
      </c>
      <c r="K95" s="78">
        <f>IF($F95="No aplica","",IFERROR(VALUE(MID(H95,2,1)),""))</f>
        <v/>
      </c>
      <c r="L95" s="78">
        <f>IF($F95="No aplica","",IFERROR(VALUE(MID(I95,2,1)),""))</f>
        <v/>
      </c>
      <c r="M95" s="78">
        <f>IF($F95="No aplica","",MAX(0,L95-K95))</f>
        <v/>
      </c>
      <c r="N95" s="79">
        <f>IF($F95="No aplica","No aplica",IF(M95=0,"Cumple el objetivo",IF(K95&gt;=3,"Gestionado, con brecha","Brecha prioritaria")))</f>
        <v/>
      </c>
      <c r="O95" s="78">
        <f>IF($F95="No aplica","",K95-IFERROR(VALUE(MID(G95,2,1)),0))</f>
        <v/>
      </c>
      <c r="P95" s="76" t="inlineStr">
        <is>
          <t>Entornos de desarrollo, staging y producción separados y declarados en el inventario.</t>
        </is>
      </c>
      <c r="Q95" s="75" t="inlineStr"/>
      <c r="R95" s="80" t="n"/>
      <c r="S95" s="69" t="inlineStr">
        <is>
          <t>A.22, E.21, E.4</t>
        </is>
      </c>
      <c r="T95" s="78">
        <f>SUMPRODUCT(--ISNUMBER(SEARCH($B95&amp;" — ",'2. Valoración '!$AB$6:$AB$2261)))</f>
        <v/>
      </c>
      <c r="U95">
        <f>IF($F95="No aplica","",IFERROR(VALUE(MID($G95,2,1)),""))</f>
        <v/>
      </c>
      <c r="V95">
        <f>IF($F95="Aplica",$K95,"")</f>
        <v/>
      </c>
      <c r="W95">
        <f>IF(AND($F95="Aplica",$D95="Organizacional"),$K95,"")</f>
        <v/>
      </c>
      <c r="X95">
        <f>IF(AND($F95="Aplica",$D95="Personas"),$K95,"")</f>
        <v/>
      </c>
      <c r="Y95">
        <f>IF(AND($F95="Aplica",$D95="Físico"),$K95,"")</f>
        <v/>
      </c>
      <c r="Z95">
        <f>IF(AND($F95="Aplica",$D95="Tecnológico"),$K95,"")</f>
        <v/>
      </c>
    </row>
    <row r="96">
      <c r="B96" s="73" t="inlineStr">
        <is>
          <t>A.8.32</t>
        </is>
      </c>
      <c r="C96" s="69" t="inlineStr">
        <is>
          <t>Gestión de cambios</t>
        </is>
      </c>
      <c r="D96" s="74" t="inlineStr">
        <is>
          <t>Tecnológico</t>
        </is>
      </c>
      <c r="E96" s="69" t="inlineStr">
        <is>
          <t>Configuración segura</t>
        </is>
      </c>
      <c r="F96" s="75" t="inlineStr">
        <is>
          <t>Aplica</t>
        </is>
      </c>
      <c r="G96" s="76" t="inlineStr">
        <is>
          <t>L0 — Inexistente</t>
        </is>
      </c>
      <c r="H96" s="76" t="inlineStr">
        <is>
          <t>L3 — Proceso definido</t>
        </is>
      </c>
      <c r="I96" s="76" t="inlineStr">
        <is>
          <t>L4 — Gestionado y medible</t>
        </is>
      </c>
      <c r="J96" s="77">
        <f>IF($F96="No aplica","",IFERROR(VLOOKUP(H96,MgMad,2,0),0))</f>
        <v/>
      </c>
      <c r="K96" s="78">
        <f>IF($F96="No aplica","",IFERROR(VALUE(MID(H96,2,1)),""))</f>
        <v/>
      </c>
      <c r="L96" s="78">
        <f>IF($F96="No aplica","",IFERROR(VALUE(MID(I96,2,1)),""))</f>
        <v/>
      </c>
      <c r="M96" s="78">
        <f>IF($F96="No aplica","",MAX(0,L96-K96))</f>
        <v/>
      </c>
      <c r="N96" s="79">
        <f>IF($F96="No aplica","No aplica",IF(M96=0,"Cumple el objetivo",IF(K96&gt;=3,"Gestionado, con brecha","Brecha prioritaria")))</f>
        <v/>
      </c>
      <c r="O96" s="78">
        <f>IF($F96="No aplica","",K96-IFERROR(VALUE(MID(G96,2,1)),0))</f>
        <v/>
      </c>
      <c r="P96" s="76" t="inlineStr">
        <is>
          <t>Matriz de gestión de cambios de TI en uso; falta métrica de cambios fallidos.</t>
        </is>
      </c>
      <c r="Q96" s="75" t="inlineStr"/>
      <c r="R96" s="80" t="n"/>
      <c r="S96" s="69" t="inlineStr">
        <is>
          <t>A.4, E.10, E.2, E.21, E.23, E.4</t>
        </is>
      </c>
      <c r="T96" s="78">
        <f>SUMPRODUCT(--ISNUMBER(SEARCH($B96&amp;" — ",'2. Valoración '!$AB$6:$AB$2261)))</f>
        <v/>
      </c>
      <c r="U96">
        <f>IF($F96="No aplica","",IFERROR(VALUE(MID($G96,2,1)),""))</f>
        <v/>
      </c>
      <c r="V96">
        <f>IF($F96="Aplica",$K96,"")</f>
        <v/>
      </c>
      <c r="W96">
        <f>IF(AND($F96="Aplica",$D96="Organizacional"),$K96,"")</f>
        <v/>
      </c>
      <c r="X96">
        <f>IF(AND($F96="Aplica",$D96="Personas"),$K96,"")</f>
        <v/>
      </c>
      <c r="Y96">
        <f>IF(AND($F96="Aplica",$D96="Físico"),$K96,"")</f>
        <v/>
      </c>
      <c r="Z96">
        <f>IF(AND($F96="Aplica",$D96="Tecnológico"),$K96,"")</f>
        <v/>
      </c>
    </row>
    <row r="97">
      <c r="B97" s="73" t="inlineStr">
        <is>
          <t>A.8.33</t>
        </is>
      </c>
      <c r="C97" s="69" t="inlineStr">
        <is>
          <t>Información de prueba</t>
        </is>
      </c>
      <c r="D97" s="74" t="inlineStr">
        <is>
          <t>Tecnológico</t>
        </is>
      </c>
      <c r="E97" s="69" t="inlineStr">
        <is>
          <t>Seguridad de aplicaciones</t>
        </is>
      </c>
      <c r="F97" s="75" t="inlineStr">
        <is>
          <t>Aplica</t>
        </is>
      </c>
      <c r="G97" s="76" t="inlineStr">
        <is>
          <t>L0 — Inexistente</t>
        </is>
      </c>
      <c r="H97" s="76" t="inlineStr">
        <is>
          <t>L2 — Reproducible pero intuitivo</t>
        </is>
      </c>
      <c r="I97" s="76" t="inlineStr">
        <is>
          <t>L4 — Gestionado y medible</t>
        </is>
      </c>
      <c r="J97" s="77">
        <f>IF($F97="No aplica","",IFERROR(VLOOKUP(H97,MgMad,2,0),0))</f>
        <v/>
      </c>
      <c r="K97" s="78">
        <f>IF($F97="No aplica","",IFERROR(VALUE(MID(H97,2,1)),""))</f>
        <v/>
      </c>
      <c r="L97" s="78">
        <f>IF($F97="No aplica","",IFERROR(VALUE(MID(I97,2,1)),""))</f>
        <v/>
      </c>
      <c r="M97" s="78">
        <f>IF($F97="No aplica","",MAX(0,L97-K97))</f>
        <v/>
      </c>
      <c r="N97" s="79">
        <f>IF($F97="No aplica","No aplica",IF(M97=0,"Cumple el objetivo",IF(K97&gt;=3,"Gestionado, con brecha","Brecha prioritaria")))</f>
        <v/>
      </c>
      <c r="O97" s="78">
        <f>IF($F97="No aplica","",K97-IFERROR(VALUE(MID(G97,2,1)),0))</f>
        <v/>
      </c>
      <c r="P97" s="76" t="inlineStr">
        <is>
          <t>No hay control formal sobre los datos usados en pruebas. Riesgo de datos personales en entornos no productivos.</t>
        </is>
      </c>
      <c r="Q97" s="75" t="inlineStr"/>
      <c r="R97" s="80" t="n"/>
      <c r="S97" s="69" t="inlineStr">
        <is>
          <t>E.19</t>
        </is>
      </c>
      <c r="T97" s="78">
        <f>SUMPRODUCT(--ISNUMBER(SEARCH($B97&amp;" — ",'2. Valoración '!$AB$6:$AB$2261)))</f>
        <v/>
      </c>
      <c r="U97">
        <f>IF($F97="No aplica","",IFERROR(VALUE(MID($G97,2,1)),""))</f>
        <v/>
      </c>
      <c r="V97">
        <f>IF($F97="Aplica",$K97,"")</f>
        <v/>
      </c>
      <c r="W97">
        <f>IF(AND($F97="Aplica",$D97="Organizacional"),$K97,"")</f>
        <v/>
      </c>
      <c r="X97">
        <f>IF(AND($F97="Aplica",$D97="Personas"),$K97,"")</f>
        <v/>
      </c>
      <c r="Y97">
        <f>IF(AND($F97="Aplica",$D97="Físico"),$K97,"")</f>
        <v/>
      </c>
      <c r="Z97">
        <f>IF(AND($F97="Aplica",$D97="Tecnológico"),$K97,"")</f>
        <v/>
      </c>
    </row>
    <row r="98">
      <c r="B98" s="73" t="inlineStr">
        <is>
          <t>A.8.34</t>
        </is>
      </c>
      <c r="C98" s="69" t="inlineStr">
        <is>
          <t>Protección de los sistemas de información durante auditorías</t>
        </is>
      </c>
      <c r="D98" s="74" t="inlineStr">
        <is>
          <t>Tecnológico</t>
        </is>
      </c>
      <c r="E98" s="69" t="inlineStr">
        <is>
          <t>Aseguramiento</t>
        </is>
      </c>
      <c r="F98" s="75" t="inlineStr">
        <is>
          <t>Aplica</t>
        </is>
      </c>
      <c r="G98" s="76" t="inlineStr">
        <is>
          <t>L0 — Inexistente</t>
        </is>
      </c>
      <c r="H98" s="76" t="inlineStr">
        <is>
          <t>L2 — Reproducible pero intuitivo</t>
        </is>
      </c>
      <c r="I98" s="76" t="inlineStr">
        <is>
          <t>L3 — Proceso definido</t>
        </is>
      </c>
      <c r="J98" s="77">
        <f>IF($F98="No aplica","",IFERROR(VLOOKUP(H98,MgMad,2,0),0))</f>
        <v/>
      </c>
      <c r="K98" s="78">
        <f>IF($F98="No aplica","",IFERROR(VALUE(MID(H98,2,1)),""))</f>
        <v/>
      </c>
      <c r="L98" s="78">
        <f>IF($F98="No aplica","",IFERROR(VALUE(MID(I98,2,1)),""))</f>
        <v/>
      </c>
      <c r="M98" s="78">
        <f>IF($F98="No aplica","",MAX(0,L98-K98))</f>
        <v/>
      </c>
      <c r="N98" s="79">
        <f>IF($F98="No aplica","No aplica",IF(M98=0,"Cumple el objetivo",IF(K98&gt;=3,"Gestionado, con brecha","Brecha prioritaria")))</f>
        <v/>
      </c>
      <c r="O98" s="78">
        <f>IF($F98="No aplica","",K98-IFERROR(VALUE(MID(G98,2,1)),0))</f>
        <v/>
      </c>
      <c r="P98" s="76" t="inlineStr">
        <is>
          <t>No se han formalizado las restricciones de acceso durante actividades de auditoría.</t>
        </is>
      </c>
      <c r="Q98" s="75" t="inlineStr"/>
      <c r="R98" s="80" t="n"/>
      <c r="S98" s="69" t="inlineStr">
        <is>
          <t>A.6, E.2</t>
        </is>
      </c>
      <c r="T98" s="78">
        <f>SUMPRODUCT(--ISNUMBER(SEARCH($B98&amp;" — ",'2. Valoración '!$AB$6:$AB$2261)))</f>
        <v/>
      </c>
      <c r="U98">
        <f>IF($F98="No aplica","",IFERROR(VALUE(MID($G98,2,1)),""))</f>
        <v/>
      </c>
      <c r="V98">
        <f>IF($F98="Aplica",$K98,"")</f>
        <v/>
      </c>
      <c r="W98">
        <f>IF(AND($F98="Aplica",$D98="Organizacional"),$K98,"")</f>
        <v/>
      </c>
      <c r="X98">
        <f>IF(AND($F98="Aplica",$D98="Personas"),$K98,"")</f>
        <v/>
      </c>
      <c r="Y98">
        <f>IF(AND($F98="Aplica",$D98="Físico"),$K98,"")</f>
        <v/>
      </c>
      <c r="Z98">
        <f>IF(AND($F98="Aplica",$D98="Tecnológico"),$K98,"")</f>
        <v/>
      </c>
    </row>
  </sheetData>
  <autoFilter ref="B5:T98"/>
  <mergeCells count="3">
    <mergeCell ref="C3:D3"/>
    <mergeCell ref="G3:H3"/>
    <mergeCell ref="E3:F3"/>
  </mergeCells>
  <conditionalFormatting sqref="G6:G98">
    <cfRule type="expression" priority="1" dxfId="5">
      <formula>LEFT(G6,2)="L0"</formula>
    </cfRule>
    <cfRule type="expression" priority="2" dxfId="4">
      <formula>LEFT(G6,2)="L1"</formula>
    </cfRule>
    <cfRule type="expression" priority="3" dxfId="3">
      <formula>LEFT(G6,2)="L2"</formula>
    </cfRule>
    <cfRule type="expression" priority="4" dxfId="2">
      <formula>LEFT(G6,2)="L3"</formula>
    </cfRule>
    <cfRule type="expression" priority="5" dxfId="1">
      <formula>LEFT(G6,2)="L4"</formula>
    </cfRule>
    <cfRule type="expression" priority="6" dxfId="0">
      <formula>LEFT(G6,2)="L5"</formula>
    </cfRule>
  </conditionalFormatting>
  <conditionalFormatting sqref="H6:H98">
    <cfRule type="expression" priority="7" dxfId="5">
      <formula>LEFT(H6,2)="L0"</formula>
    </cfRule>
    <cfRule type="expression" priority="8" dxfId="4">
      <formula>LEFT(H6,2)="L1"</formula>
    </cfRule>
    <cfRule type="expression" priority="9" dxfId="3">
      <formula>LEFT(H6,2)="L2"</formula>
    </cfRule>
    <cfRule type="expression" priority="10" dxfId="2">
      <formula>LEFT(H6,2)="L3"</formula>
    </cfRule>
    <cfRule type="expression" priority="11" dxfId="1">
      <formula>LEFT(H6,2)="L4"</formula>
    </cfRule>
    <cfRule type="expression" priority="12" dxfId="0">
      <formula>LEFT(H6,2)="L5"</formula>
    </cfRule>
  </conditionalFormatting>
  <conditionalFormatting sqref="I6:I98">
    <cfRule type="expression" priority="13" dxfId="5">
      <formula>LEFT(I6,2)="L0"</formula>
    </cfRule>
    <cfRule type="expression" priority="14" dxfId="4">
      <formula>LEFT(I6,2)="L1"</formula>
    </cfRule>
    <cfRule type="expression" priority="15" dxfId="3">
      <formula>LEFT(I6,2)="L2"</formula>
    </cfRule>
    <cfRule type="expression" priority="16" dxfId="2">
      <formula>LEFT(I6,2)="L3"</formula>
    </cfRule>
    <cfRule type="expression" priority="17" dxfId="1">
      <formula>LEFT(I6,2)="L4"</formula>
    </cfRule>
    <cfRule type="expression" priority="18" dxfId="0">
      <formula>LEFT(I6,2)="L5"</formula>
    </cfRule>
  </conditionalFormatting>
  <conditionalFormatting sqref="N6:N98">
    <cfRule type="expression" priority="19" dxfId="4">
      <formula>EXACT(N6,"Brecha prioritaria")</formula>
    </cfRule>
    <cfRule type="expression" priority="20" dxfId="2">
      <formula>EXACT(N6,"Gestionado, con brecha")</formula>
    </cfRule>
    <cfRule type="expression" priority="21" dxfId="0">
      <formula>EXACT(N6,"Cumple el objetivo")</formula>
    </cfRule>
    <cfRule type="expression" priority="22" dxfId="5">
      <formula>EXACT(N6,"No aplica")</formula>
    </cfRule>
  </conditionalFormatting>
  <dataValidations count="4">
    <dataValidation sqref="F6:F98" showDropDown="0" showInputMessage="0" showErrorMessage="0" allowBlank="1" type="list">
      <formula1>=LstAplica</formula1>
    </dataValidation>
    <dataValidation sqref="G6:I98" showDropDown="0" showInputMessage="0" showErrorMessage="0" allowBlank="1" type="list">
      <formula1>=LstMadurez</formula1>
    </dataValidation>
    <dataValidation sqref="E6:E98" showDropDown="0" showInputMessage="0" showErrorMessage="0" allowBlank="1" type="list">
      <formula1>=LstCapacidad</formula1>
    </dataValidation>
    <dataValidation sqref="Q6:Q98" showDropDown="0" showInputMessage="0" showErrorMessage="0" allowBlank="1" type="list">
      <formula1>=LstCargo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K59"/>
  <sheetViews>
    <sheetView showGridLines="0" workbookViewId="0">
      <selection activeCell="A1" sqref="A1"/>
    </sheetView>
  </sheetViews>
  <sheetFormatPr baseColWidth="8" defaultRowHeight="15"/>
  <cols>
    <col width="2.4" customWidth="1" style="54" min="1" max="1"/>
    <col width="38" customWidth="1" style="54" min="2" max="2"/>
    <col width="13" customWidth="1" style="54" min="3" max="3"/>
    <col width="13" customWidth="1" style="54" min="4" max="4"/>
    <col width="13" customWidth="1" style="54" min="5" max="5"/>
    <col width="13" customWidth="1" style="54" min="6" max="6"/>
    <col width="13" customWidth="1" style="54" min="7" max="7"/>
    <col width="4" customWidth="1" style="54" min="8" max="8"/>
    <col width="34" customWidth="1" style="54" min="9" max="9"/>
    <col width="13" customWidth="1" style="54" min="10" max="10"/>
    <col width="13" customWidth="1" style="54" min="11" max="11"/>
    <col width="13" customWidth="1" style="54" min="12" max="12"/>
  </cols>
  <sheetData>
    <row r="1">
      <c r="B1" s="1" t="inlineStr">
        <is>
          <t>MADUREZ DE LOS CONTROLES E INFORME DE PROGRESO</t>
        </is>
      </c>
    </row>
    <row r="2">
      <c r="B2" s="2" t="inlineStr">
        <is>
          <t>Los 93 controles del Anexo A, de los cuales 86 aplican. Todo se recalcula desde la hoja «4. Controles y Madurez».</t>
        </is>
      </c>
    </row>
    <row r="3" ht="28" customHeight="1" s="54">
      <c r="B3" s="17" t="inlineStr">
        <is>
          <t>Código de color:</t>
        </is>
      </c>
      <c r="C3" s="70" t="inlineStr">
        <is>
          <t>Amarillo = Campo de entrada — se selecciona de una lista</t>
        </is>
      </c>
      <c r="D3" s="56" t="n"/>
      <c r="E3" s="71" t="inlineStr">
        <is>
          <t>Lila = Calculado automáticamente — no escribir encima</t>
        </is>
      </c>
      <c r="F3" s="56" t="n"/>
      <c r="G3" s="72" t="inlineStr">
        <is>
          <t>Gris = Dato de la norma MAGERIT — no modificar</t>
        </is>
      </c>
      <c r="H3" s="56" t="n"/>
    </row>
    <row r="5" ht="20" customHeight="1" s="54">
      <c r="B5" s="99" t="inlineStr">
        <is>
          <t>INDICADORES DE MADUREZ</t>
        </is>
      </c>
      <c r="C5" s="82" t="n"/>
      <c r="D5" s="82" t="n"/>
      <c r="E5" s="82" t="n"/>
      <c r="F5" s="82" t="n"/>
    </row>
    <row r="6" ht="19" customHeight="1" s="54">
      <c r="B6" s="83" t="inlineStr">
        <is>
          <t>Controles del Anexo A</t>
        </is>
      </c>
      <c r="C6" s="84">
        <f>COUNTA('4. Controles y Madurez'!$B$6:$B$98)</f>
        <v/>
      </c>
      <c r="D6" s="56" t="n"/>
    </row>
    <row r="7" ht="20" customHeight="1" s="54">
      <c r="B7" s="83" t="inlineStr">
        <is>
          <t>Controles aplicables</t>
        </is>
      </c>
      <c r="C7" s="84">
        <f>COUNTIF('4. Controles y Madurez'!$F$6:$F$98,"Aplica")</f>
        <v/>
      </c>
      <c r="D7" s="56" t="n"/>
      <c r="H7" s="99" t="inlineStr">
        <is>
          <t>BRECHAS PRIORITARIAS — CONTROLES EN L2 O MENOS</t>
        </is>
      </c>
      <c r="I7" s="82" t="n"/>
      <c r="J7" s="82" t="n"/>
      <c r="K7" s="82" t="n"/>
    </row>
    <row r="8" ht="19" customHeight="1" s="54">
      <c r="B8" s="83" t="inlineStr">
        <is>
          <t>Controles no aplicables</t>
        </is>
      </c>
      <c r="C8" s="84">
        <f>COUNTIF('4. Controles y Madurez'!$F$6:$F$98,"No aplica")</f>
        <v/>
      </c>
      <c r="D8" s="56" t="n"/>
      <c r="H8" s="68" t="inlineStr">
        <is>
          <t>Control</t>
        </is>
      </c>
      <c r="I8" s="68" t="inlineStr">
        <is>
          <t>Nivel actual</t>
        </is>
      </c>
      <c r="J8" s="68" t="inlineStr">
        <is>
          <t>Objetivo</t>
        </is>
      </c>
      <c r="K8" s="68" t="inlineStr">
        <is>
          <t>Brecha</t>
        </is>
      </c>
    </row>
    <row r="9" ht="19" customHeight="1" s="54">
      <c r="B9" s="83" t="inlineStr">
        <is>
          <t>Índice de madurez — media de eficacia</t>
        </is>
      </c>
      <c r="C9" s="85">
        <f>IFERROR(AVERAGEIF('4. Controles y Madurez'!$F$6:$F$98,"Aplica",'4. Controles y Madurez'!$J$6:$J$98),0)</f>
        <v/>
      </c>
      <c r="D9" s="56" t="n"/>
      <c r="H9" s="86">
        <f>IFERROR(INDEX('4. Controles y Madurez'!$B$6:$B$98,MATCH("A.5.22",'4. Controles y Madurez'!$B$6:$B$98,0))&amp;"  ·  "&amp;INDEX('4. Controles y Madurez'!$C$6:$C$98,MATCH("A.5.22",'4. Controles y Madurez'!$B$6:$B$98,0)),"")</f>
        <v/>
      </c>
      <c r="I9" s="78">
        <f>IFERROR(INDEX('4. Controles y Madurez'!$K$6:$K$98,MATCH("A.5.22",'4. Controles y Madurez'!$B$6:$B$98,0)),"")</f>
        <v/>
      </c>
      <c r="J9" s="78">
        <f>IFERROR(INDEX('4. Controles y Madurez'!$L$6:$L$98,MATCH("A.5.22",'4. Controles y Madurez'!$B$6:$B$98,0)),"")</f>
        <v/>
      </c>
      <c r="K9" s="78">
        <f>IFERROR(INDEX('4. Controles y Madurez'!$M$6:$M$98,MATCH("A.5.22",'4. Controles y Madurez'!$B$6:$B$98,0)),"")</f>
        <v/>
      </c>
    </row>
    <row r="10" ht="19" customHeight="1" s="54">
      <c r="B10" s="83" t="inlineStr">
        <is>
          <t>Nivel típico — mediana del nivel</t>
        </is>
      </c>
      <c r="C10" s="87">
        <f>IFERROR(MEDIAN(NivAplic),0)</f>
        <v/>
      </c>
      <c r="D10" s="56" t="n"/>
      <c r="H10" s="86">
        <f>IFERROR(INDEX('4. Controles y Madurez'!$B$6:$B$98,MATCH("A.5.29",'4. Controles y Madurez'!$B$6:$B$98,0))&amp;"  ·  "&amp;INDEX('4. Controles y Madurez'!$C$6:$C$98,MATCH("A.5.29",'4. Controles y Madurez'!$B$6:$B$98,0)),"")</f>
        <v/>
      </c>
      <c r="I10" s="78">
        <f>IFERROR(INDEX('4. Controles y Madurez'!$K$6:$K$98,MATCH("A.5.29",'4. Controles y Madurez'!$B$6:$B$98,0)),"")</f>
        <v/>
      </c>
      <c r="J10" s="78">
        <f>IFERROR(INDEX('4. Controles y Madurez'!$L$6:$L$98,MATCH("A.5.29",'4. Controles y Madurez'!$B$6:$B$98,0)),"")</f>
        <v/>
      </c>
      <c r="K10" s="78">
        <f>IFERROR(INDEX('4. Controles y Madurez'!$M$6:$M$98,MATCH("A.5.29",'4. Controles y Madurez'!$B$6:$B$98,0)),"")</f>
        <v/>
      </c>
    </row>
    <row r="11" ht="19" customHeight="1" s="54">
      <c r="B11" s="83" t="inlineStr">
        <is>
          <t>Nivel medio (referencia)</t>
        </is>
      </c>
      <c r="C11" s="87">
        <f>IFERROR(AVERAGEIF('4. Controles y Madurez'!$F$6:$F$98,"Aplica",'4. Controles y Madurez'!$K$6:$K$98),0)</f>
        <v/>
      </c>
      <c r="D11" s="56" t="n"/>
      <c r="H11" s="86">
        <f>IFERROR(INDEX('4. Controles y Madurez'!$B$6:$B$98,MATCH("A.5.5",'4. Controles y Madurez'!$B$6:$B$98,0))&amp;"  ·  "&amp;INDEX('4. Controles y Madurez'!$C$6:$C$98,MATCH("A.5.5",'4. Controles y Madurez'!$B$6:$B$98,0)),"")</f>
        <v/>
      </c>
      <c r="I11" s="78">
        <f>IFERROR(INDEX('4. Controles y Madurez'!$K$6:$K$98,MATCH("A.5.5",'4. Controles y Madurez'!$B$6:$B$98,0)),"")</f>
        <v/>
      </c>
      <c r="J11" s="78">
        <f>IFERROR(INDEX('4. Controles y Madurez'!$L$6:$L$98,MATCH("A.5.5",'4. Controles y Madurez'!$B$6:$B$98,0)),"")</f>
        <v/>
      </c>
      <c r="K11" s="78">
        <f>IFERROR(INDEX('4. Controles y Madurez'!$M$6:$M$98,MATCH("A.5.5",'4. Controles y Madurez'!$B$6:$B$98,0)),"")</f>
        <v/>
      </c>
    </row>
    <row r="12" ht="19" customHeight="1" s="54">
      <c r="B12" s="83" t="inlineStr">
        <is>
          <t>Controles gestionados — en L3 o superior</t>
        </is>
      </c>
      <c r="C12" s="84">
        <f>COUNTIFS('4. Controles y Madurez'!$F$6:$F$98,"Aplica",'4. Controles y Madurez'!$K$6:$K$98,"&gt;=3")</f>
        <v/>
      </c>
      <c r="D12" s="56" t="n"/>
      <c r="H12" s="86">
        <f>IFERROR(INDEX('4. Controles y Madurez'!$B$6:$B$98,MATCH("A.5.6",'4. Controles y Madurez'!$B$6:$B$98,0))&amp;"  ·  "&amp;INDEX('4. Controles y Madurez'!$C$6:$C$98,MATCH("A.5.6",'4. Controles y Madurez'!$B$6:$B$98,0)),"")</f>
        <v/>
      </c>
      <c r="I12" s="78">
        <f>IFERROR(INDEX('4. Controles y Madurez'!$K$6:$K$98,MATCH("A.5.6",'4. Controles y Madurez'!$B$6:$B$98,0)),"")</f>
        <v/>
      </c>
      <c r="J12" s="78">
        <f>IFERROR(INDEX('4. Controles y Madurez'!$L$6:$L$98,MATCH("A.5.6",'4. Controles y Madurez'!$B$6:$B$98,0)),"")</f>
        <v/>
      </c>
      <c r="K12" s="78">
        <f>IFERROR(INDEX('4. Controles y Madurez'!$M$6:$M$98,MATCH("A.5.6",'4. Controles y Madurez'!$B$6:$B$98,0)),"")</f>
        <v/>
      </c>
    </row>
    <row r="13" ht="19" customHeight="1" s="54">
      <c r="B13" s="83" t="inlineStr">
        <is>
          <t>Porcentaje en L3 o superior</t>
        </is>
      </c>
      <c r="C13" s="85">
        <f>IFERROR(COUNTIFS('4. Controles y Madurez'!$F$6:$F$98,"Aplica",'4. Controles y Madurez'!$K$6:$K$98,"&gt;=3")/COUNTIF('4. Controles y Madurez'!$F$6:$F$98,"Aplica"),0)</f>
        <v/>
      </c>
      <c r="D13" s="56" t="n"/>
      <c r="H13" s="86">
        <f>IFERROR(INDEX('4. Controles y Madurez'!$B$6:$B$98,MATCH("A.7.14",'4. Controles y Madurez'!$B$6:$B$98,0))&amp;"  ·  "&amp;INDEX('4. Controles y Madurez'!$C$6:$C$98,MATCH("A.7.14",'4. Controles y Madurez'!$B$6:$B$98,0)),"")</f>
        <v/>
      </c>
      <c r="I13" s="78">
        <f>IFERROR(INDEX('4. Controles y Madurez'!$K$6:$K$98,MATCH("A.7.14",'4. Controles y Madurez'!$B$6:$B$98,0)),"")</f>
        <v/>
      </c>
      <c r="J13" s="78">
        <f>IFERROR(INDEX('4. Controles y Madurez'!$L$6:$L$98,MATCH("A.7.14",'4. Controles y Madurez'!$B$6:$B$98,0)),"")</f>
        <v/>
      </c>
      <c r="K13" s="78">
        <f>IFERROR(INDEX('4. Controles y Madurez'!$M$6:$M$98,MATCH("A.7.14",'4. Controles y Madurez'!$B$6:$B$98,0)),"")</f>
        <v/>
      </c>
    </row>
    <row r="14" ht="19" customHeight="1" s="54">
      <c r="B14" s="83" t="inlineStr">
        <is>
          <t>Controles que cumplen su objetivo</t>
        </is>
      </c>
      <c r="C14" s="84">
        <f>COUNTIF('4. Controles y Madurez'!$N$6:$N$98,"Cumple el objetivo")</f>
        <v/>
      </c>
      <c r="D14" s="56" t="n"/>
      <c r="H14" s="86">
        <f>IFERROR(INDEX('4. Controles y Madurez'!$B$6:$B$98,MATCH("A.7.5",'4. Controles y Madurez'!$B$6:$B$98,0))&amp;"  ·  "&amp;INDEX('4. Controles y Madurez'!$C$6:$C$98,MATCH("A.7.5",'4. Controles y Madurez'!$B$6:$B$98,0)),"")</f>
        <v/>
      </c>
      <c r="I14" s="78">
        <f>IFERROR(INDEX('4. Controles y Madurez'!$K$6:$K$98,MATCH("A.7.5",'4. Controles y Madurez'!$B$6:$B$98,0)),"")</f>
        <v/>
      </c>
      <c r="J14" s="78">
        <f>IFERROR(INDEX('4. Controles y Madurez'!$L$6:$L$98,MATCH("A.7.5",'4. Controles y Madurez'!$B$6:$B$98,0)),"")</f>
        <v/>
      </c>
      <c r="K14" s="78">
        <f>IFERROR(INDEX('4. Controles y Madurez'!$M$6:$M$98,MATCH("A.7.5",'4. Controles y Madurez'!$B$6:$B$98,0)),"")</f>
        <v/>
      </c>
    </row>
    <row r="15" ht="19" customHeight="1" s="54">
      <c r="B15" s="83" t="inlineStr">
        <is>
          <t>Brechas prioritarias — en L2 o menos</t>
        </is>
      </c>
      <c r="C15" s="84">
        <f>COUNTIF('4. Controles y Madurez'!$N$6:$N$98,"Brecha prioritaria")</f>
        <v/>
      </c>
      <c r="D15" s="56" t="n"/>
      <c r="H15" s="86">
        <f>IFERROR(INDEX('4. Controles y Madurez'!$B$6:$B$98,MATCH("A.7.8",'4. Controles y Madurez'!$B$6:$B$98,0))&amp;"  ·  "&amp;INDEX('4. Controles y Madurez'!$C$6:$C$98,MATCH("A.7.8",'4. Controles y Madurez'!$B$6:$B$98,0)),"")</f>
        <v/>
      </c>
      <c r="I15" s="78">
        <f>IFERROR(INDEX('4. Controles y Madurez'!$K$6:$K$98,MATCH("A.7.8",'4. Controles y Madurez'!$B$6:$B$98,0)),"")</f>
        <v/>
      </c>
      <c r="J15" s="78">
        <f>IFERROR(INDEX('4. Controles y Madurez'!$L$6:$L$98,MATCH("A.7.8",'4. Controles y Madurez'!$B$6:$B$98,0)),"")</f>
        <v/>
      </c>
      <c r="K15" s="78">
        <f>IFERROR(INDEX('4. Controles y Madurez'!$M$6:$M$98,MATCH("A.7.8",'4. Controles y Madurez'!$B$6:$B$98,0)),"")</f>
        <v/>
      </c>
    </row>
    <row r="16" ht="19" customHeight="1" s="54">
      <c r="B16" s="83" t="inlineStr">
        <is>
          <t>Avance medio desde la línea base (niveles)</t>
        </is>
      </c>
      <c r="C16" s="87">
        <f>IFERROR(AVERAGEIF('4. Controles y Madurez'!$F$6:$F$98,"Aplica",'4. Controles y Madurez'!$O$6:$O$98),0)</f>
        <v/>
      </c>
      <c r="D16" s="56" t="n"/>
      <c r="H16" s="86">
        <f>IFERROR(INDEX('4. Controles y Madurez'!$B$6:$B$98,MATCH("A.8.11",'4. Controles y Madurez'!$B$6:$B$98,0))&amp;"  ·  "&amp;INDEX('4. Controles y Madurez'!$C$6:$C$98,MATCH("A.8.11",'4. Controles y Madurez'!$B$6:$B$98,0)),"")</f>
        <v/>
      </c>
      <c r="I16" s="78">
        <f>IFERROR(INDEX('4. Controles y Madurez'!$K$6:$K$98,MATCH("A.8.11",'4. Controles y Madurez'!$B$6:$B$98,0)),"")</f>
        <v/>
      </c>
      <c r="J16" s="78">
        <f>IFERROR(INDEX('4. Controles y Madurez'!$L$6:$L$98,MATCH("A.8.11",'4. Controles y Madurez'!$B$6:$B$98,0)),"")</f>
        <v/>
      </c>
      <c r="K16" s="78">
        <f>IFERROR(INDEX('4. Controles y Madurez'!$M$6:$M$98,MATCH("A.8.11",'4. Controles y Madurez'!$B$6:$B$98,0)),"")</f>
        <v/>
      </c>
    </row>
    <row r="17" ht="19" customHeight="1" s="54">
      <c r="B17" s="83" t="inlineStr">
        <is>
          <t>Brecha total hasta el objetivo (niveles)</t>
        </is>
      </c>
      <c r="C17" s="84">
        <f>SUMIF('4. Controles y Madurez'!$F$6:$F$98,"Aplica",'4. Controles y Madurez'!$M$6:$M$98)</f>
        <v/>
      </c>
      <c r="D17" s="56" t="n"/>
      <c r="H17" s="86">
        <f>IFERROR(INDEX('4. Controles y Madurez'!$B$6:$B$98,MATCH("A.8.30",'4. Controles y Madurez'!$B$6:$B$98,0))&amp;"  ·  "&amp;INDEX('4. Controles y Madurez'!$C$6:$C$98,MATCH("A.8.30",'4. Controles y Madurez'!$B$6:$B$98,0)),"")</f>
        <v/>
      </c>
      <c r="I17" s="78">
        <f>IFERROR(INDEX('4. Controles y Madurez'!$K$6:$K$98,MATCH("A.8.30",'4. Controles y Madurez'!$B$6:$B$98,0)),"")</f>
        <v/>
      </c>
      <c r="J17" s="78">
        <f>IFERROR(INDEX('4. Controles y Madurez'!$L$6:$L$98,MATCH("A.8.30",'4. Controles y Madurez'!$B$6:$B$98,0)),"")</f>
        <v/>
      </c>
      <c r="K17" s="78">
        <f>IFERROR(INDEX('4. Controles y Madurez'!$M$6:$M$98,MATCH("A.8.30",'4. Controles y Madurez'!$B$6:$B$98,0)),"")</f>
        <v/>
      </c>
    </row>
    <row r="18">
      <c r="H18" s="86">
        <f>IFERROR(INDEX('4. Controles y Madurez'!$B$6:$B$98,MATCH("A.8.33",'4. Controles y Madurez'!$B$6:$B$98,0))&amp;"  ·  "&amp;INDEX('4. Controles y Madurez'!$C$6:$C$98,MATCH("A.8.33",'4. Controles y Madurez'!$B$6:$B$98,0)),"")</f>
        <v/>
      </c>
      <c r="I18" s="78">
        <f>IFERROR(INDEX('4. Controles y Madurez'!$K$6:$K$98,MATCH("A.8.33",'4. Controles y Madurez'!$B$6:$B$98,0)),"")</f>
        <v/>
      </c>
      <c r="J18" s="78">
        <f>IFERROR(INDEX('4. Controles y Madurez'!$L$6:$L$98,MATCH("A.8.33",'4. Controles y Madurez'!$B$6:$B$98,0)),"")</f>
        <v/>
      </c>
      <c r="K18" s="78">
        <f>IFERROR(INDEX('4. Controles y Madurez'!$M$6:$M$98,MATCH("A.8.33",'4. Controles y Madurez'!$B$6:$B$98,0)),"")</f>
        <v/>
      </c>
    </row>
    <row r="19" ht="20" customHeight="1" s="54">
      <c r="B19" s="99" t="inlineStr">
        <is>
          <t>DISTRIBUCIÓN DE LOS CONTROLES POR NIVEL DE MADUREZ</t>
        </is>
      </c>
      <c r="C19" s="82" t="n"/>
      <c r="D19" s="82" t="n"/>
      <c r="E19" s="82" t="n"/>
      <c r="F19" s="82" t="n"/>
      <c r="H19" s="86">
        <f>IFERROR(INDEX('4. Controles y Madurez'!$B$6:$B$98,MATCH("A.8.34",'4. Controles y Madurez'!$B$6:$B$98,0))&amp;"  ·  "&amp;INDEX('4. Controles y Madurez'!$C$6:$C$98,MATCH("A.8.34",'4. Controles y Madurez'!$B$6:$B$98,0)),"")</f>
        <v/>
      </c>
      <c r="I19" s="78">
        <f>IFERROR(INDEX('4. Controles y Madurez'!$K$6:$K$98,MATCH("A.8.34",'4. Controles y Madurez'!$B$6:$B$98,0)),"")</f>
        <v/>
      </c>
      <c r="J19" s="78">
        <f>IFERROR(INDEX('4. Controles y Madurez'!$L$6:$L$98,MATCH("A.8.34",'4. Controles y Madurez'!$B$6:$B$98,0)),"")</f>
        <v/>
      </c>
      <c r="K19" s="78">
        <f>IFERROR(INDEX('4. Controles y Madurez'!$M$6:$M$98,MATCH("A.8.34",'4. Controles y Madurez'!$B$6:$B$98,0)),"")</f>
        <v/>
      </c>
    </row>
    <row r="20">
      <c r="B20" s="68" t="inlineStr">
        <is>
          <t>Nivel</t>
        </is>
      </c>
      <c r="C20" s="68" t="inlineStr">
        <is>
          <t>Línea base</t>
        </is>
      </c>
      <c r="D20" s="68" t="inlineStr">
        <is>
          <t>Actual</t>
        </is>
      </c>
      <c r="E20" s="68" t="inlineStr">
        <is>
          <t>Objetivo</t>
        </is>
      </c>
      <c r="F20" s="68" t="inlineStr">
        <is>
          <t>% actual</t>
        </is>
      </c>
    </row>
    <row r="21">
      <c r="B21" s="88" t="inlineStr">
        <is>
          <t>L0 — Inexistente</t>
        </is>
      </c>
      <c r="C21" s="89">
        <f>COUNTIFS('4. Controles y Madurez'!$F$6:$F$98,"Aplica",'4. Controles y Madurez'!$G$6:$G$98,$B21)</f>
        <v/>
      </c>
      <c r="D21" s="89">
        <f>COUNTIFS('4. Controles y Madurez'!$F$6:$F$98,"Aplica",'4. Controles y Madurez'!$H$6:$H$98,$B21)</f>
        <v/>
      </c>
      <c r="E21" s="89">
        <f>COUNTIFS('4. Controles y Madurez'!$F$6:$F$98,"Aplica",'4. Controles y Madurez'!$I$6:$I$98,$B21)</f>
        <v/>
      </c>
      <c r="F21" s="90">
        <f>IFERROR(D21/COUNTIF('4. Controles y Madurez'!$F$6:$F$98,"Aplica"),0)</f>
        <v/>
      </c>
    </row>
    <row r="22">
      <c r="B22" s="91" t="inlineStr">
        <is>
          <t>L1 — Inicial / ad hoc</t>
        </is>
      </c>
      <c r="C22" s="89">
        <f>COUNTIFS('4. Controles y Madurez'!$F$6:$F$98,"Aplica",'4. Controles y Madurez'!$G$6:$G$98,$B22)</f>
        <v/>
      </c>
      <c r="D22" s="89">
        <f>COUNTIFS('4. Controles y Madurez'!$F$6:$F$98,"Aplica",'4. Controles y Madurez'!$H$6:$H$98,$B22)</f>
        <v/>
      </c>
      <c r="E22" s="89">
        <f>COUNTIFS('4. Controles y Madurez'!$F$6:$F$98,"Aplica",'4. Controles y Madurez'!$I$6:$I$98,$B22)</f>
        <v/>
      </c>
      <c r="F22" s="90">
        <f>IFERROR(D22/COUNTIF('4. Controles y Madurez'!$F$6:$F$98,"Aplica"),0)</f>
        <v/>
      </c>
    </row>
    <row r="23">
      <c r="B23" s="92" t="inlineStr">
        <is>
          <t>L2 — Reproducible pero intuitivo</t>
        </is>
      </c>
      <c r="C23" s="89">
        <f>COUNTIFS('4. Controles y Madurez'!$F$6:$F$98,"Aplica",'4. Controles y Madurez'!$G$6:$G$98,$B23)</f>
        <v/>
      </c>
      <c r="D23" s="89">
        <f>COUNTIFS('4. Controles y Madurez'!$F$6:$F$98,"Aplica",'4. Controles y Madurez'!$H$6:$H$98,$B23)</f>
        <v/>
      </c>
      <c r="E23" s="89">
        <f>COUNTIFS('4. Controles y Madurez'!$F$6:$F$98,"Aplica",'4. Controles y Madurez'!$I$6:$I$98,$B23)</f>
        <v/>
      </c>
      <c r="F23" s="90">
        <f>IFERROR(D23/COUNTIF('4. Controles y Madurez'!$F$6:$F$98,"Aplica"),0)</f>
        <v/>
      </c>
    </row>
    <row r="24">
      <c r="B24" s="93" t="inlineStr">
        <is>
          <t>L3 — Proceso definido</t>
        </is>
      </c>
      <c r="C24" s="89">
        <f>COUNTIFS('4. Controles y Madurez'!$F$6:$F$98,"Aplica",'4. Controles y Madurez'!$G$6:$G$98,$B24)</f>
        <v/>
      </c>
      <c r="D24" s="89">
        <f>COUNTIFS('4. Controles y Madurez'!$F$6:$F$98,"Aplica",'4. Controles y Madurez'!$H$6:$H$98,$B24)</f>
        <v/>
      </c>
      <c r="E24" s="89">
        <f>COUNTIFS('4. Controles y Madurez'!$F$6:$F$98,"Aplica",'4. Controles y Madurez'!$I$6:$I$98,$B24)</f>
        <v/>
      </c>
      <c r="F24" s="90">
        <f>IFERROR(D24/COUNTIF('4. Controles y Madurez'!$F$6:$F$98,"Aplica"),0)</f>
        <v/>
      </c>
    </row>
    <row r="25">
      <c r="B25" s="94" t="inlineStr">
        <is>
          <t>L4 — Gestionado y medible</t>
        </is>
      </c>
      <c r="C25" s="89">
        <f>COUNTIFS('4. Controles y Madurez'!$F$6:$F$98,"Aplica",'4. Controles y Madurez'!$G$6:$G$98,$B25)</f>
        <v/>
      </c>
      <c r="D25" s="89">
        <f>COUNTIFS('4. Controles y Madurez'!$F$6:$F$98,"Aplica",'4. Controles y Madurez'!$H$6:$H$98,$B25)</f>
        <v/>
      </c>
      <c r="E25" s="89">
        <f>COUNTIFS('4. Controles y Madurez'!$F$6:$F$98,"Aplica",'4. Controles y Madurez'!$I$6:$I$98,$B25)</f>
        <v/>
      </c>
      <c r="F25" s="90">
        <f>IFERROR(D25/COUNTIF('4. Controles y Madurez'!$F$6:$F$98,"Aplica"),0)</f>
        <v/>
      </c>
    </row>
    <row r="26">
      <c r="B26" s="95" t="inlineStr">
        <is>
          <t>L5 — Optimizado</t>
        </is>
      </c>
      <c r="C26" s="89">
        <f>COUNTIFS('4. Controles y Madurez'!$F$6:$F$98,"Aplica",'4. Controles y Madurez'!$G$6:$G$98,$B26)</f>
        <v/>
      </c>
      <c r="D26" s="89">
        <f>COUNTIFS('4. Controles y Madurez'!$F$6:$F$98,"Aplica",'4. Controles y Madurez'!$H$6:$H$98,$B26)</f>
        <v/>
      </c>
      <c r="E26" s="89">
        <f>COUNTIFS('4. Controles y Madurez'!$F$6:$F$98,"Aplica",'4. Controles y Madurez'!$I$6:$I$98,$B26)</f>
        <v/>
      </c>
      <c r="F26" s="90">
        <f>IFERROR(D26/COUNTIF('4. Controles y Madurez'!$F$6:$F$98,"Aplica"),0)</f>
        <v/>
      </c>
    </row>
    <row r="28" ht="20" customHeight="1" s="54">
      <c r="B28" s="99" t="inlineStr">
        <is>
          <t>MADUREZ POR DOMINIO DEL ANEXO A</t>
        </is>
      </c>
      <c r="C28" s="82" t="n"/>
      <c r="D28" s="82" t="n"/>
      <c r="E28" s="82" t="n"/>
      <c r="F28" s="82" t="n"/>
    </row>
    <row r="29">
      <c r="B29" s="68" t="inlineStr">
        <is>
          <t>Dominio</t>
        </is>
      </c>
      <c r="C29" s="68" t="inlineStr">
        <is>
          <t>Aplicables</t>
        </is>
      </c>
      <c r="D29" s="68" t="inlineStr">
        <is>
          <t>Mediana</t>
        </is>
      </c>
      <c r="E29" s="68" t="inlineStr">
        <is>
          <t>Eficacia media</t>
        </is>
      </c>
      <c r="F29" s="68" t="inlineStr">
        <is>
          <t>% en L3 o más</t>
        </is>
      </c>
    </row>
    <row r="30">
      <c r="B30" s="83" t="inlineStr">
        <is>
          <t>Organizacional</t>
        </is>
      </c>
      <c r="C30" s="89">
        <f>COUNTIFS('4. Controles y Madurez'!$D$6:$D$98,$B30,'4. Controles y Madurez'!$F$6:$F$98,"Aplica")</f>
        <v/>
      </c>
      <c r="D30" s="89">
        <f>IFERROR(MEDIAN(NivOrg),0)</f>
        <v/>
      </c>
      <c r="E30" s="90">
        <f>IFERROR(AVERAGEIFS('4. Controles y Madurez'!$J$6:$J$98,'4. Controles y Madurez'!$D$6:$D$98,$B30,'4. Controles y Madurez'!$F$6:$F$98,"Aplica"),0)</f>
        <v/>
      </c>
      <c r="F30" s="90">
        <f>IFERROR(COUNTIFS('4. Controles y Madurez'!$D$6:$D$98,$B30,'4. Controles y Madurez'!$F$6:$F$98,"Aplica",'4. Controles y Madurez'!$K$6:$K$98,"&gt;=3")/COUNTIFS('4. Controles y Madurez'!$D$6:$D$98,$B30,'4. Controles y Madurez'!$F$6:$F$98,"Aplica"),0)</f>
        <v/>
      </c>
    </row>
    <row r="31">
      <c r="B31" s="83" t="inlineStr">
        <is>
          <t>Personas</t>
        </is>
      </c>
      <c r="C31" s="89">
        <f>COUNTIFS('4. Controles y Madurez'!$D$6:$D$98,$B31,'4. Controles y Madurez'!$F$6:$F$98,"Aplica")</f>
        <v/>
      </c>
      <c r="D31" s="89">
        <f>IFERROR(MEDIAN(NivPer),0)</f>
        <v/>
      </c>
      <c r="E31" s="90">
        <f>IFERROR(AVERAGEIFS('4. Controles y Madurez'!$J$6:$J$98,'4. Controles y Madurez'!$D$6:$D$98,$B31,'4. Controles y Madurez'!$F$6:$F$98,"Aplica"),0)</f>
        <v/>
      </c>
      <c r="F31" s="90">
        <f>IFERROR(COUNTIFS('4. Controles y Madurez'!$D$6:$D$98,$B31,'4. Controles y Madurez'!$F$6:$F$98,"Aplica",'4. Controles y Madurez'!$K$6:$K$98,"&gt;=3")/COUNTIFS('4. Controles y Madurez'!$D$6:$D$98,$B31,'4. Controles y Madurez'!$F$6:$F$98,"Aplica"),0)</f>
        <v/>
      </c>
    </row>
    <row r="32">
      <c r="B32" s="83" t="inlineStr">
        <is>
          <t>Físico</t>
        </is>
      </c>
      <c r="C32" s="89">
        <f>COUNTIFS('4. Controles y Madurez'!$D$6:$D$98,$B32,'4. Controles y Madurez'!$F$6:$F$98,"Aplica")</f>
        <v/>
      </c>
      <c r="D32" s="89">
        <f>IFERROR(MEDIAN(NivFis),0)</f>
        <v/>
      </c>
      <c r="E32" s="90">
        <f>IFERROR(AVERAGEIFS('4. Controles y Madurez'!$J$6:$J$98,'4. Controles y Madurez'!$D$6:$D$98,$B32,'4. Controles y Madurez'!$F$6:$F$98,"Aplica"),0)</f>
        <v/>
      </c>
      <c r="F32" s="90">
        <f>IFERROR(COUNTIFS('4. Controles y Madurez'!$D$6:$D$98,$B32,'4. Controles y Madurez'!$F$6:$F$98,"Aplica",'4. Controles y Madurez'!$K$6:$K$98,"&gt;=3")/COUNTIFS('4. Controles y Madurez'!$D$6:$D$98,$B32,'4. Controles y Madurez'!$F$6:$F$98,"Aplica"),0)</f>
        <v/>
      </c>
    </row>
    <row r="33">
      <c r="B33" s="83" t="inlineStr">
        <is>
          <t>Tecnológico</t>
        </is>
      </c>
      <c r="C33" s="89">
        <f>COUNTIFS('4. Controles y Madurez'!$D$6:$D$98,$B33,'4. Controles y Madurez'!$F$6:$F$98,"Aplica")</f>
        <v/>
      </c>
      <c r="D33" s="89">
        <f>IFERROR(MEDIAN(NivTec),0)</f>
        <v/>
      </c>
      <c r="E33" s="90">
        <f>IFERROR(AVERAGEIFS('4. Controles y Madurez'!$J$6:$J$98,'4. Controles y Madurez'!$D$6:$D$98,$B33,'4. Controles y Madurez'!$F$6:$F$98,"Aplica"),0)</f>
        <v/>
      </c>
      <c r="F33" s="90">
        <f>IFERROR(COUNTIFS('4. Controles y Madurez'!$D$6:$D$98,$B33,'4. Controles y Madurez'!$F$6:$F$98,"Aplica",'4. Controles y Madurez'!$K$6:$K$98,"&gt;=3")/COUNTIFS('4. Controles y Madurez'!$D$6:$D$98,$B33,'4. Controles y Madurez'!$F$6:$F$98,"Aplica"),0)</f>
        <v/>
      </c>
    </row>
    <row r="35" ht="20" customHeight="1" s="54">
      <c r="B35" s="99" t="inlineStr">
        <is>
          <t>MADUREZ POR CAPACIDAD OPERATIVA (ISO/IEC 27002:2022) — DATOS DEL DIAGRAMA DE ARAÑA</t>
        </is>
      </c>
      <c r="C35" s="82" t="n"/>
      <c r="D35" s="82" t="n"/>
      <c r="E35" s="82" t="n"/>
      <c r="F35" s="82" t="n"/>
    </row>
    <row r="36">
      <c r="B36" s="68" t="inlineStr">
        <is>
          <t>Capacidad operativa</t>
        </is>
      </c>
      <c r="C36" s="68" t="inlineStr">
        <is>
          <t>Línea base</t>
        </is>
      </c>
      <c r="D36" s="68" t="inlineStr">
        <is>
          <t>Actual</t>
        </is>
      </c>
      <c r="E36" s="68" t="inlineStr">
        <is>
          <t>Objetivo</t>
        </is>
      </c>
      <c r="F36" s="68" t="inlineStr">
        <is>
          <t>Controles</t>
        </is>
      </c>
    </row>
    <row r="37">
      <c r="B37" s="69" t="inlineStr">
        <is>
          <t>Gobierno</t>
        </is>
      </c>
      <c r="C37" s="96">
        <f>IFERROR(AVERAGEIFS(CtrlNivBase,'4. Controles y Madurez'!$E$6:$E$98,$B37,'4. Controles y Madurez'!$F$6:$F$98,"Aplica"),0)</f>
        <v/>
      </c>
      <c r="D37" s="96">
        <f>IFERROR(AVERAGEIFS('4. Controles y Madurez'!$K$6:$K$98,'4. Controles y Madurez'!$E$6:$E$98,$B37,'4. Controles y Madurez'!$F$6:$F$98,"Aplica"),0)</f>
        <v/>
      </c>
      <c r="E37" s="96">
        <f>IFERROR(AVERAGEIFS('4. Controles y Madurez'!$L$6:$L$98,'4. Controles y Madurez'!$E$6:$E$98,$B37,'4. Controles y Madurez'!$F$6:$F$98,"Aplica"),0)</f>
        <v/>
      </c>
      <c r="F37" s="89">
        <f>COUNTIFS('4. Controles y Madurez'!$E$6:$E$98,$B37,'4. Controles y Madurez'!$F$6:$F$98,"Aplica")</f>
        <v/>
      </c>
    </row>
    <row r="38">
      <c r="B38" s="69" t="inlineStr">
        <is>
          <t>Gestión de activos</t>
        </is>
      </c>
      <c r="C38" s="96">
        <f>IFERROR(AVERAGEIFS(CtrlNivBase,'4. Controles y Madurez'!$E$6:$E$98,$B38,'4. Controles y Madurez'!$F$6:$F$98,"Aplica"),0)</f>
        <v/>
      </c>
      <c r="D38" s="96">
        <f>IFERROR(AVERAGEIFS('4. Controles y Madurez'!$K$6:$K$98,'4. Controles y Madurez'!$E$6:$E$98,$B38,'4. Controles y Madurez'!$F$6:$F$98,"Aplica"),0)</f>
        <v/>
      </c>
      <c r="E38" s="96">
        <f>IFERROR(AVERAGEIFS('4. Controles y Madurez'!$L$6:$L$98,'4. Controles y Madurez'!$E$6:$E$98,$B38,'4. Controles y Madurez'!$F$6:$F$98,"Aplica"),0)</f>
        <v/>
      </c>
      <c r="F38" s="89">
        <f>COUNTIFS('4. Controles y Madurez'!$E$6:$E$98,$B38,'4. Controles y Madurez'!$F$6:$F$98,"Aplica")</f>
        <v/>
      </c>
    </row>
    <row r="39">
      <c r="B39" s="69" t="inlineStr">
        <is>
          <t>Protección de la información</t>
        </is>
      </c>
      <c r="C39" s="96">
        <f>IFERROR(AVERAGEIFS(CtrlNivBase,'4. Controles y Madurez'!$E$6:$E$98,$B39,'4. Controles y Madurez'!$F$6:$F$98,"Aplica"),0)</f>
        <v/>
      </c>
      <c r="D39" s="96">
        <f>IFERROR(AVERAGEIFS('4. Controles y Madurez'!$K$6:$K$98,'4. Controles y Madurez'!$E$6:$E$98,$B39,'4. Controles y Madurez'!$F$6:$F$98,"Aplica"),0)</f>
        <v/>
      </c>
      <c r="E39" s="96">
        <f>IFERROR(AVERAGEIFS('4. Controles y Madurez'!$L$6:$L$98,'4. Controles y Madurez'!$E$6:$E$98,$B39,'4. Controles y Madurez'!$F$6:$F$98,"Aplica"),0)</f>
        <v/>
      </c>
      <c r="F39" s="89">
        <f>COUNTIFS('4. Controles y Madurez'!$E$6:$E$98,$B39,'4. Controles y Madurez'!$F$6:$F$98,"Aplica")</f>
        <v/>
      </c>
    </row>
    <row r="40">
      <c r="B40" s="69" t="inlineStr">
        <is>
          <t>Gestión de identidad y acceso</t>
        </is>
      </c>
      <c r="C40" s="96">
        <f>IFERROR(AVERAGEIFS(CtrlNivBase,'4. Controles y Madurez'!$E$6:$E$98,$B40,'4. Controles y Madurez'!$F$6:$F$98,"Aplica"),0)</f>
        <v/>
      </c>
      <c r="D40" s="96">
        <f>IFERROR(AVERAGEIFS('4. Controles y Madurez'!$K$6:$K$98,'4. Controles y Madurez'!$E$6:$E$98,$B40,'4. Controles y Madurez'!$F$6:$F$98,"Aplica"),0)</f>
        <v/>
      </c>
      <c r="E40" s="96">
        <f>IFERROR(AVERAGEIFS('4. Controles y Madurez'!$L$6:$L$98,'4. Controles y Madurez'!$E$6:$E$98,$B40,'4. Controles y Madurez'!$F$6:$F$98,"Aplica"),0)</f>
        <v/>
      </c>
      <c r="F40" s="89">
        <f>COUNTIFS('4. Controles y Madurez'!$E$6:$E$98,$B40,'4. Controles y Madurez'!$F$6:$F$98,"Aplica")</f>
        <v/>
      </c>
    </row>
    <row r="41">
      <c r="B41" s="69" t="inlineStr">
        <is>
          <t>Seguridad de sistemas y redes</t>
        </is>
      </c>
      <c r="C41" s="96">
        <f>IFERROR(AVERAGEIFS(CtrlNivBase,'4. Controles y Madurez'!$E$6:$E$98,$B41,'4. Controles y Madurez'!$F$6:$F$98,"Aplica"),0)</f>
        <v/>
      </c>
      <c r="D41" s="96">
        <f>IFERROR(AVERAGEIFS('4. Controles y Madurez'!$K$6:$K$98,'4. Controles y Madurez'!$E$6:$E$98,$B41,'4. Controles y Madurez'!$F$6:$F$98,"Aplica"),0)</f>
        <v/>
      </c>
      <c r="E41" s="96">
        <f>IFERROR(AVERAGEIFS('4. Controles y Madurez'!$L$6:$L$98,'4. Controles y Madurez'!$E$6:$E$98,$B41,'4. Controles y Madurez'!$F$6:$F$98,"Aplica"),0)</f>
        <v/>
      </c>
      <c r="F41" s="89">
        <f>COUNTIFS('4. Controles y Madurez'!$E$6:$E$98,$B41,'4. Controles y Madurez'!$F$6:$F$98,"Aplica")</f>
        <v/>
      </c>
    </row>
    <row r="42">
      <c r="B42" s="69" t="inlineStr">
        <is>
          <t>Seguridad de aplicaciones</t>
        </is>
      </c>
      <c r="C42" s="96">
        <f>IFERROR(AVERAGEIFS(CtrlNivBase,'4. Controles y Madurez'!$E$6:$E$98,$B42,'4. Controles y Madurez'!$F$6:$F$98,"Aplica"),0)</f>
        <v/>
      </c>
      <c r="D42" s="96">
        <f>IFERROR(AVERAGEIFS('4. Controles y Madurez'!$K$6:$K$98,'4. Controles y Madurez'!$E$6:$E$98,$B42,'4. Controles y Madurez'!$F$6:$F$98,"Aplica"),0)</f>
        <v/>
      </c>
      <c r="E42" s="96">
        <f>IFERROR(AVERAGEIFS('4. Controles y Madurez'!$L$6:$L$98,'4. Controles y Madurez'!$E$6:$E$98,$B42,'4. Controles y Madurez'!$F$6:$F$98,"Aplica"),0)</f>
        <v/>
      </c>
      <c r="F42" s="89">
        <f>COUNTIFS('4. Controles y Madurez'!$E$6:$E$98,$B42,'4. Controles y Madurez'!$F$6:$F$98,"Aplica")</f>
        <v/>
      </c>
    </row>
    <row r="43">
      <c r="B43" s="69" t="inlineStr">
        <is>
          <t>Configuración segura</t>
        </is>
      </c>
      <c r="C43" s="96">
        <f>IFERROR(AVERAGEIFS(CtrlNivBase,'4. Controles y Madurez'!$E$6:$E$98,$B43,'4. Controles y Madurez'!$F$6:$F$98,"Aplica"),0)</f>
        <v/>
      </c>
      <c r="D43" s="96">
        <f>IFERROR(AVERAGEIFS('4. Controles y Madurez'!$K$6:$K$98,'4. Controles y Madurez'!$E$6:$E$98,$B43,'4. Controles y Madurez'!$F$6:$F$98,"Aplica"),0)</f>
        <v/>
      </c>
      <c r="E43" s="96">
        <f>IFERROR(AVERAGEIFS('4. Controles y Madurez'!$L$6:$L$98,'4. Controles y Madurez'!$E$6:$E$98,$B43,'4. Controles y Madurez'!$F$6:$F$98,"Aplica"),0)</f>
        <v/>
      </c>
      <c r="F43" s="89">
        <f>COUNTIFS('4. Controles y Madurez'!$E$6:$E$98,$B43,'4. Controles y Madurez'!$F$6:$F$98,"Aplica")</f>
        <v/>
      </c>
    </row>
    <row r="44">
      <c r="B44" s="69" t="inlineStr">
        <is>
          <t>Gestión de amenazas y vulnerabilidades</t>
        </is>
      </c>
      <c r="C44" s="96">
        <f>IFERROR(AVERAGEIFS(CtrlNivBase,'4. Controles y Madurez'!$E$6:$E$98,$B44,'4. Controles y Madurez'!$F$6:$F$98,"Aplica"),0)</f>
        <v/>
      </c>
      <c r="D44" s="96">
        <f>IFERROR(AVERAGEIFS('4. Controles y Madurez'!$K$6:$K$98,'4. Controles y Madurez'!$E$6:$E$98,$B44,'4. Controles y Madurez'!$F$6:$F$98,"Aplica"),0)</f>
        <v/>
      </c>
      <c r="E44" s="96">
        <f>IFERROR(AVERAGEIFS('4. Controles y Madurez'!$L$6:$L$98,'4. Controles y Madurez'!$E$6:$E$98,$B44,'4. Controles y Madurez'!$F$6:$F$98,"Aplica"),0)</f>
        <v/>
      </c>
      <c r="F44" s="89">
        <f>COUNTIFS('4. Controles y Madurez'!$E$6:$E$98,$B44,'4. Controles y Madurez'!$F$6:$F$98,"Aplica")</f>
        <v/>
      </c>
    </row>
    <row r="45">
      <c r="B45" s="69" t="inlineStr">
        <is>
          <t>Gestión de eventos de seguridad</t>
        </is>
      </c>
      <c r="C45" s="96">
        <f>IFERROR(AVERAGEIFS(CtrlNivBase,'4. Controles y Madurez'!$E$6:$E$98,$B45,'4. Controles y Madurez'!$F$6:$F$98,"Aplica"),0)</f>
        <v/>
      </c>
      <c r="D45" s="96">
        <f>IFERROR(AVERAGEIFS('4. Controles y Madurez'!$K$6:$K$98,'4. Controles y Madurez'!$E$6:$E$98,$B45,'4. Controles y Madurez'!$F$6:$F$98,"Aplica"),0)</f>
        <v/>
      </c>
      <c r="E45" s="96">
        <f>IFERROR(AVERAGEIFS('4. Controles y Madurez'!$L$6:$L$98,'4. Controles y Madurez'!$E$6:$E$98,$B45,'4. Controles y Madurez'!$F$6:$F$98,"Aplica"),0)</f>
        <v/>
      </c>
      <c r="F45" s="89">
        <f>COUNTIFS('4. Controles y Madurez'!$E$6:$E$98,$B45,'4. Controles y Madurez'!$F$6:$F$98,"Aplica")</f>
        <v/>
      </c>
    </row>
    <row r="46">
      <c r="B46" s="69" t="inlineStr">
        <is>
          <t>Continuidad</t>
        </is>
      </c>
      <c r="C46" s="96">
        <f>IFERROR(AVERAGEIFS(CtrlNivBase,'4. Controles y Madurez'!$E$6:$E$98,$B46,'4. Controles y Madurez'!$F$6:$F$98,"Aplica"),0)</f>
        <v/>
      </c>
      <c r="D46" s="96">
        <f>IFERROR(AVERAGEIFS('4. Controles y Madurez'!$K$6:$K$98,'4. Controles y Madurez'!$E$6:$E$98,$B46,'4. Controles y Madurez'!$F$6:$F$98,"Aplica"),0)</f>
        <v/>
      </c>
      <c r="E46" s="96">
        <f>IFERROR(AVERAGEIFS('4. Controles y Madurez'!$L$6:$L$98,'4. Controles y Madurez'!$E$6:$E$98,$B46,'4. Controles y Madurez'!$F$6:$F$98,"Aplica"),0)</f>
        <v/>
      </c>
      <c r="F46" s="89">
        <f>COUNTIFS('4. Controles y Madurez'!$E$6:$E$98,$B46,'4. Controles y Madurez'!$F$6:$F$98,"Aplica")</f>
        <v/>
      </c>
    </row>
    <row r="47">
      <c r="B47" s="69" t="inlineStr">
        <is>
          <t>Seguridad de proveedores</t>
        </is>
      </c>
      <c r="C47" s="96">
        <f>IFERROR(AVERAGEIFS(CtrlNivBase,'4. Controles y Madurez'!$E$6:$E$98,$B47,'4. Controles y Madurez'!$F$6:$F$98,"Aplica"),0)</f>
        <v/>
      </c>
      <c r="D47" s="96">
        <f>IFERROR(AVERAGEIFS('4. Controles y Madurez'!$K$6:$K$98,'4. Controles y Madurez'!$E$6:$E$98,$B47,'4. Controles y Madurez'!$F$6:$F$98,"Aplica"),0)</f>
        <v/>
      </c>
      <c r="E47" s="96">
        <f>IFERROR(AVERAGEIFS('4. Controles y Madurez'!$L$6:$L$98,'4. Controles y Madurez'!$E$6:$E$98,$B47,'4. Controles y Madurez'!$F$6:$F$98,"Aplica"),0)</f>
        <v/>
      </c>
      <c r="F47" s="89">
        <f>COUNTIFS('4. Controles y Madurez'!$E$6:$E$98,$B47,'4. Controles y Madurez'!$F$6:$F$98,"Aplica")</f>
        <v/>
      </c>
    </row>
    <row r="48">
      <c r="B48" s="69" t="inlineStr">
        <is>
          <t>Seguridad de recursos humanos</t>
        </is>
      </c>
      <c r="C48" s="96">
        <f>IFERROR(AVERAGEIFS(CtrlNivBase,'4. Controles y Madurez'!$E$6:$E$98,$B48,'4. Controles y Madurez'!$F$6:$F$98,"Aplica"),0)</f>
        <v/>
      </c>
      <c r="D48" s="96">
        <f>IFERROR(AVERAGEIFS('4. Controles y Madurez'!$K$6:$K$98,'4. Controles y Madurez'!$E$6:$E$98,$B48,'4. Controles y Madurez'!$F$6:$F$98,"Aplica"),0)</f>
        <v/>
      </c>
      <c r="E48" s="96">
        <f>IFERROR(AVERAGEIFS('4. Controles y Madurez'!$L$6:$L$98,'4. Controles y Madurez'!$E$6:$E$98,$B48,'4. Controles y Madurez'!$F$6:$F$98,"Aplica"),0)</f>
        <v/>
      </c>
      <c r="F48" s="89">
        <f>COUNTIFS('4. Controles y Madurez'!$E$6:$E$98,$B48,'4. Controles y Madurez'!$F$6:$F$98,"Aplica")</f>
        <v/>
      </c>
    </row>
    <row r="49">
      <c r="B49" s="69" t="inlineStr">
        <is>
          <t>Seguridad física</t>
        </is>
      </c>
      <c r="C49" s="96">
        <f>IFERROR(AVERAGEIFS(CtrlNivBase,'4. Controles y Madurez'!$E$6:$E$98,$B49,'4. Controles y Madurez'!$F$6:$F$98,"Aplica"),0)</f>
        <v/>
      </c>
      <c r="D49" s="96">
        <f>IFERROR(AVERAGEIFS('4. Controles y Madurez'!$K$6:$K$98,'4. Controles y Madurez'!$E$6:$E$98,$B49,'4. Controles y Madurez'!$F$6:$F$98,"Aplica"),0)</f>
        <v/>
      </c>
      <c r="E49" s="96">
        <f>IFERROR(AVERAGEIFS('4. Controles y Madurez'!$L$6:$L$98,'4. Controles y Madurez'!$E$6:$E$98,$B49,'4. Controles y Madurez'!$F$6:$F$98,"Aplica"),0)</f>
        <v/>
      </c>
      <c r="F49" s="89">
        <f>COUNTIFS('4. Controles y Madurez'!$E$6:$E$98,$B49,'4. Controles y Madurez'!$F$6:$F$98,"Aplica")</f>
        <v/>
      </c>
    </row>
    <row r="50">
      <c r="B50" s="69" t="inlineStr">
        <is>
          <t>Legal y cumplimiento</t>
        </is>
      </c>
      <c r="C50" s="96">
        <f>IFERROR(AVERAGEIFS(CtrlNivBase,'4. Controles y Madurez'!$E$6:$E$98,$B50,'4. Controles y Madurez'!$F$6:$F$98,"Aplica"),0)</f>
        <v/>
      </c>
      <c r="D50" s="96">
        <f>IFERROR(AVERAGEIFS('4. Controles y Madurez'!$K$6:$K$98,'4. Controles y Madurez'!$E$6:$E$98,$B50,'4. Controles y Madurez'!$F$6:$F$98,"Aplica"),0)</f>
        <v/>
      </c>
      <c r="E50" s="96">
        <f>IFERROR(AVERAGEIFS('4. Controles y Madurez'!$L$6:$L$98,'4. Controles y Madurez'!$E$6:$E$98,$B50,'4. Controles y Madurez'!$F$6:$F$98,"Aplica"),0)</f>
        <v/>
      </c>
      <c r="F50" s="89">
        <f>COUNTIFS('4. Controles y Madurez'!$E$6:$E$98,$B50,'4. Controles y Madurez'!$F$6:$F$98,"Aplica")</f>
        <v/>
      </c>
    </row>
    <row r="51">
      <c r="B51" s="69" t="inlineStr">
        <is>
          <t>Aseguramiento</t>
        </is>
      </c>
      <c r="C51" s="96">
        <f>IFERROR(AVERAGEIFS(CtrlNivBase,'4. Controles y Madurez'!$E$6:$E$98,$B51,'4. Controles y Madurez'!$F$6:$F$98,"Aplica"),0)</f>
        <v/>
      </c>
      <c r="D51" s="96">
        <f>IFERROR(AVERAGEIFS('4. Controles y Madurez'!$K$6:$K$98,'4. Controles y Madurez'!$E$6:$E$98,$B51,'4. Controles y Madurez'!$F$6:$F$98,"Aplica"),0)</f>
        <v/>
      </c>
      <c r="E51" s="96">
        <f>IFERROR(AVERAGEIFS('4. Controles y Madurez'!$L$6:$L$98,'4. Controles y Madurez'!$E$6:$E$98,$B51,'4. Controles y Madurez'!$F$6:$F$98,"Aplica"),0)</f>
        <v/>
      </c>
      <c r="F51" s="89">
        <f>COUNTIFS('4. Controles y Madurez'!$E$6:$E$98,$B51,'4. Controles y Madurez'!$F$6:$F$98,"Aplica")</f>
        <v/>
      </c>
    </row>
    <row r="54" ht="20" customHeight="1" s="54">
      <c r="B54" s="99" t="inlineStr">
        <is>
          <t>QUÉ MÉTRICA USAR PARA EL INFORME</t>
        </is>
      </c>
      <c r="C54" s="82" t="n"/>
      <c r="D54" s="82" t="n"/>
      <c r="E54" s="82" t="n"/>
      <c r="F54" s="82" t="n"/>
    </row>
    <row r="55" ht="46" customHeight="1" s="54">
      <c r="B55" s="53" t="inlineStr">
        <is>
          <t>Índice de madurez = media de la EFICACIA, no del nivel. La eficacia (0 %, 10 %, 50 %, 90 %, 95 %, 100 %) es una escala de razón y se puede promediar; el nivel L0-L5 es ordinal y promediarlo es, en rigor, incorrecto. Además la eficacia es la que ya alimenta el riesgo residual, así que la métrica de madurez y la de riesgo hablan el mismo idioma.</t>
        </is>
      </c>
    </row>
    <row r="56" ht="46" customHeight="1" s="54">
      <c r="B56" s="53" t="inlineStr">
        <is>
          <t>Nivel típico = mediana, no moda. La mediana es el estadístico correcto para una escala ordinal y resiste los valores extremos. La moda se descarta para un informe de progreso: es insensible al avance —se pueden subir ocho controles de L1 a L2 sin que la moda se mueva— y con 86 controles repartidos en seis niveles resulta inestable.</t>
        </is>
      </c>
    </row>
    <row r="57" ht="46" customHeight="1" s="54">
      <c r="B57" s="53" t="inlineStr">
        <is>
          <t>El titular del informe = porcentaje de controles en L3 o superior. Es el número que un Comité entiende sin explicación y sobre el que se puede comprometer una meta. L3 es el umbral significativo: por debajo el control existe pero no es un proceso definido.</t>
        </is>
      </c>
    </row>
    <row r="58" ht="46" customHeight="1" s="54">
      <c r="B58" s="53" t="inlineStr">
        <is>
          <t>El nivel medio se conserva solo como referencia comparativa entre periodos. No debe presentarse como «la madurez de la organización»: un L5 compensando un L0 esconde precisamente lo que hay que gestionar.</t>
        </is>
      </c>
    </row>
    <row r="59" ht="46" customHeight="1" s="54">
      <c r="B59" s="53" t="inlineStr">
        <is>
          <t>La lista de brechas nunca se agrega. Un control en L1 es una acción concreta con dueño y fecha, no un decimal dentro de un promedio.</t>
        </is>
      </c>
    </row>
  </sheetData>
  <mergeCells count="20">
    <mergeCell ref="C6:D6"/>
    <mergeCell ref="C15:D15"/>
    <mergeCell ref="B59:F59"/>
    <mergeCell ref="C14:D14"/>
    <mergeCell ref="B56:F56"/>
    <mergeCell ref="B58:F58"/>
    <mergeCell ref="C10:D10"/>
    <mergeCell ref="C16:D16"/>
    <mergeCell ref="C9:D9"/>
    <mergeCell ref="G3:H3"/>
    <mergeCell ref="B57:F57"/>
    <mergeCell ref="C12:D12"/>
    <mergeCell ref="C11:D11"/>
    <mergeCell ref="C17:D17"/>
    <mergeCell ref="C8:D8"/>
    <mergeCell ref="B55:F55"/>
    <mergeCell ref="C7:D7"/>
    <mergeCell ref="C13:D13"/>
    <mergeCell ref="C3:D3"/>
    <mergeCell ref="E3:F3"/>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B1:X58"/>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4" customWidth="1" style="54" min="1" max="1"/>
    <col width="11" customWidth="1" style="54" min="2" max="2"/>
    <col width="46" customWidth="1" style="54" min="3" max="3"/>
    <col width="18" customWidth="1" style="54" min="4" max="4"/>
    <col width="13" customWidth="1" style="54" min="5" max="5"/>
    <col width="42" customWidth="1" style="54" min="6" max="6"/>
    <col width="60" customWidth="1" style="54" min="7" max="7"/>
    <col width="30" customWidth="1" style="54" min="8" max="8"/>
    <col width="30" customWidth="1" style="54" min="9" max="9"/>
    <col width="8" customWidth="1" style="54" min="10" max="10"/>
    <col width="12" customWidth="1" style="54" min="11" max="11"/>
    <col width="13" customWidth="1" style="54" min="12" max="12"/>
    <col width="24" customWidth="1" style="54" min="13" max="13"/>
    <col width="24" customWidth="1" style="54" min="14" max="14"/>
    <col width="14" customWidth="1" style="54" min="15" max="15"/>
    <col width="14" customWidth="1" style="54" min="16" max="16"/>
    <col width="22" customWidth="1" style="54" min="17" max="17"/>
    <col width="18" customWidth="1" style="54" min="18" max="18"/>
    <col width="10" customWidth="1" style="54" min="19" max="19"/>
    <col width="34" customWidth="1" style="54" min="20" max="20"/>
    <col width="14" customWidth="1" style="54" min="21" max="21"/>
    <col width="30" customWidth="1" style="54" min="22" max="22"/>
    <col width="24" customWidth="1" style="54" min="23" max="23"/>
    <col width="30" customWidth="1" style="54" min="24" max="24"/>
  </cols>
  <sheetData>
    <row r="1">
      <c r="B1" s="1" t="inlineStr">
        <is>
          <t>PLAN DE TRATAMIENTO DE RIESGOS</t>
        </is>
      </c>
    </row>
    <row r="2">
      <c r="B2" s="2" t="inlineStr">
        <is>
          <t>Una fila por acción, no por riesgo. La unidad de gestión es la mejora de un control: al subir su madurez bajan de golpe todos los riesgos que ese control mitiga. Cumple ISO/IEC 27001:2022, cláusulas 6.1.3 y 8.3.</t>
        </is>
      </c>
    </row>
    <row r="3" ht="28" customHeight="1" s="54">
      <c r="B3" s="17" t="inlineStr">
        <is>
          <t>Código de color:</t>
        </is>
      </c>
      <c r="C3" s="70" t="inlineStr">
        <is>
          <t>Amarillo = Campo de entrada — se selecciona de una lista</t>
        </is>
      </c>
      <c r="D3" s="56" t="n"/>
      <c r="E3" s="71" t="inlineStr">
        <is>
          <t>Lila = Calculado automáticamente — no escribir encima</t>
        </is>
      </c>
      <c r="F3" s="56" t="n"/>
      <c r="G3" s="72" t="inlineStr">
        <is>
          <t>Gris = Dato de la norma MAGERIT — no modificar</t>
        </is>
      </c>
      <c r="H3" s="56" t="n"/>
    </row>
    <row r="5" ht="54" customHeight="1" s="54">
      <c r="B5" s="68" t="inlineStr">
        <is>
          <t>Código</t>
        </is>
      </c>
      <c r="C5" s="68" t="inlineStr">
        <is>
          <t>Acción</t>
        </is>
      </c>
      <c r="D5" s="68" t="inlineStr">
        <is>
          <t>Tipo de tratamiento</t>
        </is>
      </c>
      <c r="E5" s="68" t="inlineStr">
        <is>
          <t>Control asociado</t>
        </is>
      </c>
      <c r="F5" s="68" t="inlineStr">
        <is>
          <t>Nombre del control</t>
        </is>
      </c>
      <c r="G5" s="68" t="inlineStr">
        <is>
          <t>Origen y justificación</t>
        </is>
      </c>
      <c r="H5" s="68" t="inlineStr">
        <is>
          <t>Madurez actual</t>
        </is>
      </c>
      <c r="I5" s="68" t="inlineStr">
        <is>
          <t>Madurez objetivo</t>
        </is>
      </c>
      <c r="J5" s="68" t="inlineStr">
        <is>
          <t>Salto</t>
        </is>
      </c>
      <c r="K5" s="68" t="inlineStr">
        <is>
          <t>Riesgos que mueve</t>
        </is>
      </c>
      <c r="L5" s="68" t="inlineStr">
        <is>
          <t>De ellos, residual Medio o superior</t>
        </is>
      </c>
      <c r="M5" s="68" t="inlineStr">
        <is>
          <t>Responsable de la ejecución</t>
        </is>
      </c>
      <c r="N5" s="68" t="inlineStr">
        <is>
          <t>Propietario del riesgo que aprueba</t>
        </is>
      </c>
      <c r="O5" s="68" t="inlineStr">
        <is>
          <t>Fecha de aprobación</t>
        </is>
      </c>
      <c r="P5" s="68" t="inlineStr">
        <is>
          <t>Fecha objetivo</t>
        </is>
      </c>
      <c r="Q5" s="68" t="inlineStr">
        <is>
          <t>Recursos o presupuesto</t>
        </is>
      </c>
      <c r="R5" s="68" t="inlineStr">
        <is>
          <t>Estado</t>
        </is>
      </c>
      <c r="S5" s="68" t="inlineStr">
        <is>
          <t>Avance</t>
        </is>
      </c>
      <c r="T5" s="68" t="inlineStr">
        <is>
          <t>Evidencia</t>
        </is>
      </c>
      <c r="U5" s="68" t="inlineStr">
        <is>
          <t>Fecha real de cierre</t>
        </is>
      </c>
      <c r="V5" s="68" t="inlineStr">
        <is>
          <t>Madurez alcanzada</t>
        </is>
      </c>
      <c r="W5" s="68" t="inlineStr">
        <is>
          <t>Verificación de eficacia</t>
        </is>
      </c>
      <c r="X5" s="68" t="inlineStr">
        <is>
          <t>Observación</t>
        </is>
      </c>
    </row>
    <row r="6">
      <c r="B6" s="74" t="inlineStr">
        <is>
          <t>PT-001</t>
        </is>
      </c>
      <c r="C6" s="76" t="inlineStr">
        <is>
          <t>Implementar enmascaramiento de datos en entornos no productivos</t>
        </is>
      </c>
      <c r="D6" s="75" t="inlineStr">
        <is>
          <t>Mitigar</t>
        </is>
      </c>
      <c r="E6" s="75" t="inlineStr">
        <is>
          <t>A.8.11</t>
        </is>
      </c>
      <c r="F6" s="86">
        <f>IFERROR(INDEX('4. Controles y Madurez'!$C$6:$C$98,MATCH($E6,CtrlCod,0)),"")</f>
        <v/>
      </c>
      <c r="G6" s="76" t="inlineStr">
        <is>
          <t>El control está en L2 y toca 244 riesgos. Los datos de clientes y datos personales pueden estar viajando a desarrollo y staging sin ofuscar.</t>
        </is>
      </c>
      <c r="H6" s="86">
        <f>IF(IFERROR(INDEX(CtrlAplica,MATCH($E6,CtrlCod,0)),"")="No aplica","No aplica",IFERROR(INDEX('4. Controles y Madurez'!$H$6:$H$98,MATCH($E6,CtrlCod,0)),""))</f>
        <v/>
      </c>
      <c r="I6" s="86">
        <f>IF(IFERROR(INDEX(CtrlAplica,MATCH($E6,CtrlCod,0)),"")="No aplica","No aplica",IFERROR(INDEX('4. Controles y Madurez'!$I$6:$I$98,MATCH($E6,CtrlCod,0)),""))</f>
        <v/>
      </c>
      <c r="J6" s="78">
        <f>IF(IFERROR(INDEX(CtrlAplica,MATCH($E6,CtrlCod,0)),"")="No aplica","—",IFERROR(INDEX('4. Controles y Madurez'!$M$6:$M$98,MATCH($E6,CtrlCod,0)),""))</f>
        <v/>
      </c>
      <c r="K6" s="78">
        <f>IF(IFERROR(INDEX(CtrlAplica,MATCH($E6,CtrlCod,0)),"")="No aplica",0,IFERROR(INDEX('4. Controles y Madurez'!$T$6:$T$98,MATCH($E6,CtrlCod,0)),0))</f>
        <v/>
      </c>
      <c r="L6" s="78">
        <f>IF(IFERROR(INDEX(CtrlAplica,MATCH($E6,CtrlCod,0)),"")="No aplica",0,SUMPRODUCT(--ISNUMBER(SEARCH($E6&amp;" — ",'2. Valoración '!$AB$6:$AB$2261)),--('2. Valoración '!$AG$6:$AG$2261&lt;&gt;"Bajo")))</f>
        <v/>
      </c>
      <c r="M6" s="75" t="inlineStr">
        <is>
          <t>Gestión Tecnológica</t>
        </is>
      </c>
      <c r="N6" s="75" t="inlineStr">
        <is>
          <t>Líder del SIG</t>
        </is>
      </c>
      <c r="O6" s="80" t="n"/>
      <c r="P6" s="80" t="n">
        <v>46374</v>
      </c>
      <c r="Q6" s="75" t="n"/>
      <c r="R6" s="75" t="inlineStr">
        <is>
          <t>No iniciada</t>
        </is>
      </c>
      <c r="S6" s="98" t="n">
        <v>0</v>
      </c>
      <c r="T6" s="75" t="n"/>
      <c r="U6" s="80" t="n"/>
      <c r="V6" s="75" t="n"/>
      <c r="W6" s="75" t="inlineStr">
        <is>
          <t>Pendiente</t>
        </is>
      </c>
      <c r="X6" s="75" t="n"/>
    </row>
    <row r="7">
      <c r="B7" s="74" t="inlineStr">
        <is>
          <t>PT-002</t>
        </is>
      </c>
      <c r="C7" s="76" t="inlineStr">
        <is>
          <t>Formalizar las restricciones de acceso durante actividades de auditoría</t>
        </is>
      </c>
      <c r="D7" s="75" t="inlineStr">
        <is>
          <t>Mitigar</t>
        </is>
      </c>
      <c r="E7" s="75" t="inlineStr">
        <is>
          <t>A.8.34</t>
        </is>
      </c>
      <c r="F7" s="86">
        <f>IFERROR(INDEX('4. Controles y Madurez'!$C$6:$C$98,MATCH($E7,CtrlCod,0)),"")</f>
        <v/>
      </c>
      <c r="G7" s="76" t="inlineStr">
        <is>
          <t>Control en L2 con alcance sobre 228 riesgos. No hay procedimiento que limite qué puede tocar un auditor sobre sistemas productivos.</t>
        </is>
      </c>
      <c r="H7" s="86">
        <f>IF(IFERROR(INDEX(CtrlAplica,MATCH($E7,CtrlCod,0)),"")="No aplica","No aplica",IFERROR(INDEX('4. Controles y Madurez'!$H$6:$H$98,MATCH($E7,CtrlCod,0)),""))</f>
        <v/>
      </c>
      <c r="I7" s="86">
        <f>IF(IFERROR(INDEX(CtrlAplica,MATCH($E7,CtrlCod,0)),"")="No aplica","No aplica",IFERROR(INDEX('4. Controles y Madurez'!$I$6:$I$98,MATCH($E7,CtrlCod,0)),""))</f>
        <v/>
      </c>
      <c r="J7" s="78">
        <f>IF(IFERROR(INDEX(CtrlAplica,MATCH($E7,CtrlCod,0)),"")="No aplica","—",IFERROR(INDEX('4. Controles y Madurez'!$M$6:$M$98,MATCH($E7,CtrlCod,0)),""))</f>
        <v/>
      </c>
      <c r="K7" s="78">
        <f>IF(IFERROR(INDEX(CtrlAplica,MATCH($E7,CtrlCod,0)),"")="No aplica",0,IFERROR(INDEX('4. Controles y Madurez'!$T$6:$T$98,MATCH($E7,CtrlCod,0)),0))</f>
        <v/>
      </c>
      <c r="L7" s="78">
        <f>IF(IFERROR(INDEX(CtrlAplica,MATCH($E7,CtrlCod,0)),"")="No aplica",0,SUMPRODUCT(--ISNUMBER(SEARCH($E7&amp;" — ",'2. Valoración '!$AB$6:$AB$2261)),--('2. Valoración '!$AG$6:$AG$2261&lt;&gt;"Bajo")))</f>
        <v/>
      </c>
      <c r="M7" s="75" t="inlineStr">
        <is>
          <t>Líder del SIG</t>
        </is>
      </c>
      <c r="N7" s="75" t="inlineStr">
        <is>
          <t>Líder del SIG</t>
        </is>
      </c>
      <c r="O7" s="80" t="n"/>
      <c r="P7" s="80" t="n">
        <v>46344</v>
      </c>
      <c r="Q7" s="75" t="n"/>
      <c r="R7" s="75" t="inlineStr">
        <is>
          <t>No iniciada</t>
        </is>
      </c>
      <c r="S7" s="98" t="n">
        <v>0</v>
      </c>
      <c r="T7" s="75" t="n"/>
      <c r="U7" s="80" t="n"/>
      <c r="V7" s="75" t="n"/>
      <c r="W7" s="75" t="inlineStr">
        <is>
          <t>Pendiente</t>
        </is>
      </c>
      <c r="X7" s="75" t="n"/>
    </row>
    <row r="8">
      <c r="B8" s="74" t="inlineStr">
        <is>
          <t>PT-003</t>
        </is>
      </c>
      <c r="C8" s="76" t="inlineStr">
        <is>
          <t>Ejecutar el primer simulacro de continuidad y cerrar el plan</t>
        </is>
      </c>
      <c r="D8" s="75" t="inlineStr">
        <is>
          <t>Mitigar</t>
        </is>
      </c>
      <c r="E8" s="75" t="inlineStr">
        <is>
          <t>A.5.29</t>
        </is>
      </c>
      <c r="F8" s="86">
        <f>IFERROR(INDEX('4. Controles y Madurez'!$C$6:$C$98,MATCH($E8,CtrlCod,0)),"")</f>
        <v/>
      </c>
      <c r="G8" s="76" t="inlineStr">
        <is>
          <t>El plan existe pero nunca se ha ejercitado. Es la mayor brecha del dominio de continuidad y afecta 171 riesgos.</t>
        </is>
      </c>
      <c r="H8" s="86">
        <f>IF(IFERROR(INDEX(CtrlAplica,MATCH($E8,CtrlCod,0)),"")="No aplica","No aplica",IFERROR(INDEX('4. Controles y Madurez'!$H$6:$H$98,MATCH($E8,CtrlCod,0)),""))</f>
        <v/>
      </c>
      <c r="I8" s="86">
        <f>IF(IFERROR(INDEX(CtrlAplica,MATCH($E8,CtrlCod,0)),"")="No aplica","No aplica",IFERROR(INDEX('4. Controles y Madurez'!$I$6:$I$98,MATCH($E8,CtrlCod,0)),""))</f>
        <v/>
      </c>
      <c r="J8" s="78">
        <f>IF(IFERROR(INDEX(CtrlAplica,MATCH($E8,CtrlCod,0)),"")="No aplica","—",IFERROR(INDEX('4. Controles y Madurez'!$M$6:$M$98,MATCH($E8,CtrlCod,0)),""))</f>
        <v/>
      </c>
      <c r="K8" s="78">
        <f>IF(IFERROR(INDEX(CtrlAplica,MATCH($E8,CtrlCod,0)),"")="No aplica",0,IFERROR(INDEX('4. Controles y Madurez'!$T$6:$T$98,MATCH($E8,CtrlCod,0)),0))</f>
        <v/>
      </c>
      <c r="L8" s="78">
        <f>IF(IFERROR(INDEX(CtrlAplica,MATCH($E8,CtrlCod,0)),"")="No aplica",0,SUMPRODUCT(--ISNUMBER(SEARCH($E8&amp;" — ",'2. Valoración '!$AB$6:$AB$2261)),--('2. Valoración '!$AG$6:$AG$2261&lt;&gt;"Bajo")))</f>
        <v/>
      </c>
      <c r="M8" s="75" t="inlineStr">
        <is>
          <t>Chief Operating Officer</t>
        </is>
      </c>
      <c r="N8" s="75" t="inlineStr">
        <is>
          <t>Líder del SIG</t>
        </is>
      </c>
      <c r="O8" s="80" t="n"/>
      <c r="P8" s="80" t="n">
        <v>46434</v>
      </c>
      <c r="Q8" s="75" t="n"/>
      <c r="R8" s="75" t="inlineStr">
        <is>
          <t>No iniciada</t>
        </is>
      </c>
      <c r="S8" s="98" t="n">
        <v>0</v>
      </c>
      <c r="T8" s="75" t="n"/>
      <c r="U8" s="80" t="n"/>
      <c r="V8" s="75" t="n"/>
      <c r="W8" s="75" t="inlineStr">
        <is>
          <t>Pendiente</t>
        </is>
      </c>
      <c r="X8" s="75" t="n"/>
    </row>
    <row r="9">
      <c r="B9" s="74" t="inlineStr">
        <is>
          <t>PT-004</t>
        </is>
      </c>
      <c r="C9" s="76" t="inlineStr">
        <is>
          <t>Definir y controlar los datos utilizados en pruebas</t>
        </is>
      </c>
      <c r="D9" s="75" t="inlineStr">
        <is>
          <t>Mitigar</t>
        </is>
      </c>
      <c r="E9" s="75" t="inlineStr">
        <is>
          <t>A.8.33</t>
        </is>
      </c>
      <c r="F9" s="86">
        <f>IFERROR(INDEX('4. Controles y Madurez'!$C$6:$C$98,MATCH($E9,CtrlCod,0)),"")</f>
        <v/>
      </c>
      <c r="G9" s="76" t="inlineStr">
        <is>
          <t>Control en L2 sobre 122 riesgos. Riesgo directo de datos personales en entornos no productivos, con exposición bajo la Ley 1581.</t>
        </is>
      </c>
      <c r="H9" s="86">
        <f>IF(IFERROR(INDEX(CtrlAplica,MATCH($E9,CtrlCod,0)),"")="No aplica","No aplica",IFERROR(INDEX('4. Controles y Madurez'!$H$6:$H$98,MATCH($E9,CtrlCod,0)),""))</f>
        <v/>
      </c>
      <c r="I9" s="86">
        <f>IF(IFERROR(INDEX(CtrlAplica,MATCH($E9,CtrlCod,0)),"")="No aplica","No aplica",IFERROR(INDEX('4. Controles y Madurez'!$I$6:$I$98,MATCH($E9,CtrlCod,0)),""))</f>
        <v/>
      </c>
      <c r="J9" s="78">
        <f>IF(IFERROR(INDEX(CtrlAplica,MATCH($E9,CtrlCod,0)),"")="No aplica","—",IFERROR(INDEX('4. Controles y Madurez'!$M$6:$M$98,MATCH($E9,CtrlCod,0)),""))</f>
        <v/>
      </c>
      <c r="K9" s="78">
        <f>IF(IFERROR(INDEX(CtrlAplica,MATCH($E9,CtrlCod,0)),"")="No aplica",0,IFERROR(INDEX('4. Controles y Madurez'!$T$6:$T$98,MATCH($E9,CtrlCod,0)),0))</f>
        <v/>
      </c>
      <c r="L9" s="78">
        <f>IF(IFERROR(INDEX(CtrlAplica,MATCH($E9,CtrlCod,0)),"")="No aplica",0,SUMPRODUCT(--ISNUMBER(SEARCH($E9&amp;" — ",'2. Valoración '!$AB$6:$AB$2261)),--('2. Valoración '!$AG$6:$AG$2261&lt;&gt;"Bajo")))</f>
        <v/>
      </c>
      <c r="M9" s="75" t="inlineStr">
        <is>
          <t>Gestión Tecnológica</t>
        </is>
      </c>
      <c r="N9" s="75" t="inlineStr">
        <is>
          <t>Líder del SIG</t>
        </is>
      </c>
      <c r="O9" s="80" t="n"/>
      <c r="P9" s="80" t="n">
        <v>46374</v>
      </c>
      <c r="Q9" s="75" t="n"/>
      <c r="R9" s="75" t="inlineStr">
        <is>
          <t>No iniciada</t>
        </is>
      </c>
      <c r="S9" s="98" t="n">
        <v>0</v>
      </c>
      <c r="T9" s="75" t="n"/>
      <c r="U9" s="80" t="n"/>
      <c r="V9" s="75" t="n"/>
      <c r="W9" s="75" t="inlineStr">
        <is>
          <t>Pendiente</t>
        </is>
      </c>
      <c r="X9" s="75" t="n"/>
    </row>
    <row r="10">
      <c r="B10" s="74" t="inlineStr">
        <is>
          <t>PT-005</t>
        </is>
      </c>
      <c r="C10" s="76" t="inlineStr">
        <is>
          <t>Publicar y verificar lineamientos del puesto de teletrabajo</t>
        </is>
      </c>
      <c r="D10" s="75" t="inlineStr">
        <is>
          <t>Mitigar</t>
        </is>
      </c>
      <c r="E10" s="75" t="inlineStr">
        <is>
          <t>A.7.5</t>
        </is>
      </c>
      <c r="F10" s="86">
        <f>IFERROR(INDEX('4. Controles y Madurez'!$C$6:$C$98,MATCH($E10,CtrlCod,0)),"")</f>
        <v/>
      </c>
      <c r="G10" s="76" t="inlineStr">
        <is>
          <t>El puesto del colaborador queda fuera de control directo. Se cubre con lineamiento pero sin verificación.</t>
        </is>
      </c>
      <c r="H10" s="86">
        <f>IF(IFERROR(INDEX(CtrlAplica,MATCH($E10,CtrlCod,0)),"")="No aplica","No aplica",IFERROR(INDEX('4. Controles y Madurez'!$H$6:$H$98,MATCH($E10,CtrlCod,0)),""))</f>
        <v/>
      </c>
      <c r="I10" s="86">
        <f>IF(IFERROR(INDEX(CtrlAplica,MATCH($E10,CtrlCod,0)),"")="No aplica","No aplica",IFERROR(INDEX('4. Controles y Madurez'!$I$6:$I$98,MATCH($E10,CtrlCod,0)),""))</f>
        <v/>
      </c>
      <c r="J10" s="78">
        <f>IF(IFERROR(INDEX(CtrlAplica,MATCH($E10,CtrlCod,0)),"")="No aplica","—",IFERROR(INDEX('4. Controles y Madurez'!$M$6:$M$98,MATCH($E10,CtrlCod,0)),""))</f>
        <v/>
      </c>
      <c r="K10" s="78">
        <f>IF(IFERROR(INDEX(CtrlAplica,MATCH($E10,CtrlCod,0)),"")="No aplica",0,IFERROR(INDEX('4. Controles y Madurez'!$T$6:$T$98,MATCH($E10,CtrlCod,0)),0))</f>
        <v/>
      </c>
      <c r="L10" s="78">
        <f>IF(IFERROR(INDEX(CtrlAplica,MATCH($E10,CtrlCod,0)),"")="No aplica",0,SUMPRODUCT(--ISNUMBER(SEARCH($E10&amp;" — ",'2. Valoración '!$AB$6:$AB$2261)),--('2. Valoración '!$AG$6:$AG$2261&lt;&gt;"Bajo")))</f>
        <v/>
      </c>
      <c r="M10" s="75" t="inlineStr">
        <is>
          <t>Talento Humano</t>
        </is>
      </c>
      <c r="N10" s="75" t="inlineStr">
        <is>
          <t>Líder del SIG</t>
        </is>
      </c>
      <c r="O10" s="80" t="n"/>
      <c r="P10" s="80" t="n">
        <v>46344</v>
      </c>
      <c r="Q10" s="75" t="n"/>
      <c r="R10" s="75" t="inlineStr">
        <is>
          <t>No iniciada</t>
        </is>
      </c>
      <c r="S10" s="98" t="n">
        <v>0</v>
      </c>
      <c r="T10" s="75" t="n"/>
      <c r="U10" s="80" t="n"/>
      <c r="V10" s="75" t="n"/>
      <c r="W10" s="75" t="inlineStr">
        <is>
          <t>Pendiente</t>
        </is>
      </c>
      <c r="X10" s="75" t="n"/>
    </row>
    <row r="11">
      <c r="B11" s="74" t="inlineStr">
        <is>
          <t>PT-006</t>
        </is>
      </c>
      <c r="C11" s="76" t="inlineStr">
        <is>
          <t>Incorporar la autoevaluación del puesto de trabajo remoto</t>
        </is>
      </c>
      <c r="D11" s="75" t="inlineStr">
        <is>
          <t>Mitigar</t>
        </is>
      </c>
      <c r="E11" s="75" t="inlineStr">
        <is>
          <t>A.7.8</t>
        </is>
      </c>
      <c r="F11" s="86">
        <f>IFERROR(INDEX('4. Controles y Madurez'!$C$6:$C$98,MATCH($E11,CtrlCod,0)),"")</f>
        <v/>
      </c>
      <c r="G11" s="76" t="inlineStr">
        <is>
          <t>No hay forma de verificar la ubicación y protección del equipo en el domicilio. Se propone autoevaluación anual con evidencia.</t>
        </is>
      </c>
      <c r="H11" s="86">
        <f>IF(IFERROR(INDEX(CtrlAplica,MATCH($E11,CtrlCod,0)),"")="No aplica","No aplica",IFERROR(INDEX('4. Controles y Madurez'!$H$6:$H$98,MATCH($E11,CtrlCod,0)),""))</f>
        <v/>
      </c>
      <c r="I11" s="86">
        <f>IF(IFERROR(INDEX(CtrlAplica,MATCH($E11,CtrlCod,0)),"")="No aplica","No aplica",IFERROR(INDEX('4. Controles y Madurez'!$I$6:$I$98,MATCH($E11,CtrlCod,0)),""))</f>
        <v/>
      </c>
      <c r="J11" s="78">
        <f>IF(IFERROR(INDEX(CtrlAplica,MATCH($E11,CtrlCod,0)),"")="No aplica","—",IFERROR(INDEX('4. Controles y Madurez'!$M$6:$M$98,MATCH($E11,CtrlCod,0)),""))</f>
        <v/>
      </c>
      <c r="K11" s="78">
        <f>IF(IFERROR(INDEX(CtrlAplica,MATCH($E11,CtrlCod,0)),"")="No aplica",0,IFERROR(INDEX('4. Controles y Madurez'!$T$6:$T$98,MATCH($E11,CtrlCod,0)),0))</f>
        <v/>
      </c>
      <c r="L11" s="78">
        <f>IF(IFERROR(INDEX(CtrlAplica,MATCH($E11,CtrlCod,0)),"")="No aplica",0,SUMPRODUCT(--ISNUMBER(SEARCH($E11&amp;" — ",'2. Valoración '!$AB$6:$AB$2261)),--('2. Valoración '!$AG$6:$AG$2261&lt;&gt;"Bajo")))</f>
        <v/>
      </c>
      <c r="M11" s="75" t="inlineStr">
        <is>
          <t>Talento Humano</t>
        </is>
      </c>
      <c r="N11" s="75" t="inlineStr">
        <is>
          <t>Líder del SIG</t>
        </is>
      </c>
      <c r="O11" s="80" t="n"/>
      <c r="P11" s="80" t="n">
        <v>46374</v>
      </c>
      <c r="Q11" s="75" t="n"/>
      <c r="R11" s="75" t="inlineStr">
        <is>
          <t>No iniciada</t>
        </is>
      </c>
      <c r="S11" s="98" t="n">
        <v>0</v>
      </c>
      <c r="T11" s="75" t="n"/>
      <c r="U11" s="80" t="n"/>
      <c r="V11" s="75" t="n"/>
      <c r="W11" s="75" t="inlineStr">
        <is>
          <t>Pendiente</t>
        </is>
      </c>
      <c r="X11" s="75" t="n"/>
    </row>
    <row r="12">
      <c r="B12" s="74" t="inlineStr">
        <is>
          <t>PT-007</t>
        </is>
      </c>
      <c r="C12" s="76" t="inlineStr">
        <is>
          <t>Establecer el seguimiento periódico a proveedores tecnológicos</t>
        </is>
      </c>
      <c r="D12" s="75" t="inlineStr">
        <is>
          <t>Mitigar</t>
        </is>
      </c>
      <c r="E12" s="75" t="inlineStr">
        <is>
          <t>A.5.22</t>
        </is>
      </c>
      <c r="F12" s="86">
        <f>IFERROR(INDEX('4. Controles y Madurez'!$C$6:$C$98,MATCH($E12,CtrlCod,0)),"")</f>
        <v/>
      </c>
      <c r="G12" s="76" t="inlineStr">
        <is>
          <t>Se evalúa al contratar pero nadie revisa después. Es la brecha principal del dominio de proveedores.</t>
        </is>
      </c>
      <c r="H12" s="86">
        <f>IF(IFERROR(INDEX(CtrlAplica,MATCH($E12,CtrlCod,0)),"")="No aplica","No aplica",IFERROR(INDEX('4. Controles y Madurez'!$H$6:$H$98,MATCH($E12,CtrlCod,0)),""))</f>
        <v/>
      </c>
      <c r="I12" s="86">
        <f>IF(IFERROR(INDEX(CtrlAplica,MATCH($E12,CtrlCod,0)),"")="No aplica","No aplica",IFERROR(INDEX('4. Controles y Madurez'!$I$6:$I$98,MATCH($E12,CtrlCod,0)),""))</f>
        <v/>
      </c>
      <c r="J12" s="78">
        <f>IF(IFERROR(INDEX(CtrlAplica,MATCH($E12,CtrlCod,0)),"")="No aplica","—",IFERROR(INDEX('4. Controles y Madurez'!$M$6:$M$98,MATCH($E12,CtrlCod,0)),""))</f>
        <v/>
      </c>
      <c r="K12" s="78">
        <f>IF(IFERROR(INDEX(CtrlAplica,MATCH($E12,CtrlCod,0)),"")="No aplica",0,IFERROR(INDEX('4. Controles y Madurez'!$T$6:$T$98,MATCH($E12,CtrlCod,0)),0))</f>
        <v/>
      </c>
      <c r="L12" s="78">
        <f>IF(IFERROR(INDEX(CtrlAplica,MATCH($E12,CtrlCod,0)),"")="No aplica",0,SUMPRODUCT(--ISNUMBER(SEARCH($E12&amp;" — ",'2. Valoración '!$AB$6:$AB$2261)),--('2. Valoración '!$AG$6:$AG$2261&lt;&gt;"Bajo")))</f>
        <v/>
      </c>
      <c r="M12" s="75" t="inlineStr">
        <is>
          <t>Chief Legal Officer</t>
        </is>
      </c>
      <c r="N12" s="75" t="inlineStr">
        <is>
          <t>Líder del SIG</t>
        </is>
      </c>
      <c r="O12" s="80" t="n"/>
      <c r="P12" s="80" t="n">
        <v>46404</v>
      </c>
      <c r="Q12" s="75" t="n"/>
      <c r="R12" s="75" t="inlineStr">
        <is>
          <t>No iniciada</t>
        </is>
      </c>
      <c r="S12" s="98" t="n">
        <v>0</v>
      </c>
      <c r="T12" s="75" t="n"/>
      <c r="U12" s="80" t="n"/>
      <c r="V12" s="75" t="n"/>
      <c r="W12" s="75" t="inlineStr">
        <is>
          <t>Pendiente</t>
        </is>
      </c>
      <c r="X12" s="75" t="n"/>
    </row>
    <row r="13">
      <c r="B13" s="74" t="inlineStr">
        <is>
          <t>PT-008</t>
        </is>
      </c>
      <c r="C13" s="76" t="inlineStr">
        <is>
          <t>Definir criterios de seguridad para desarrollo contratado</t>
        </is>
      </c>
      <c r="D13" s="75" t="inlineStr">
        <is>
          <t>Mitigar</t>
        </is>
      </c>
      <c r="E13" s="75" t="inlineStr">
        <is>
          <t>A.8.30</t>
        </is>
      </c>
      <c r="F13" s="86">
        <f>IFERROR(INDEX('4. Controles y Madurez'!$C$6:$C$98,MATCH($E13,CtrlCod,0)),"")</f>
        <v/>
      </c>
      <c r="G13" s="76" t="inlineStr">
        <is>
          <t>El desarrollo es propio, pero los componentes contratados no tienen criterios de seguridad exigibles.</t>
        </is>
      </c>
      <c r="H13" s="86">
        <f>IF(IFERROR(INDEX(CtrlAplica,MATCH($E13,CtrlCod,0)),"")="No aplica","No aplica",IFERROR(INDEX('4. Controles y Madurez'!$H$6:$H$98,MATCH($E13,CtrlCod,0)),""))</f>
        <v/>
      </c>
      <c r="I13" s="86">
        <f>IF(IFERROR(INDEX(CtrlAplica,MATCH($E13,CtrlCod,0)),"")="No aplica","No aplica",IFERROR(INDEX('4. Controles y Madurez'!$I$6:$I$98,MATCH($E13,CtrlCod,0)),""))</f>
        <v/>
      </c>
      <c r="J13" s="78">
        <f>IF(IFERROR(INDEX(CtrlAplica,MATCH($E13,CtrlCod,0)),"")="No aplica","—",IFERROR(INDEX('4. Controles y Madurez'!$M$6:$M$98,MATCH($E13,CtrlCod,0)),""))</f>
        <v/>
      </c>
      <c r="K13" s="78">
        <f>IF(IFERROR(INDEX(CtrlAplica,MATCH($E13,CtrlCod,0)),"")="No aplica",0,IFERROR(INDEX('4. Controles y Madurez'!$T$6:$T$98,MATCH($E13,CtrlCod,0)),0))</f>
        <v/>
      </c>
      <c r="L13" s="78">
        <f>IF(IFERROR(INDEX(CtrlAplica,MATCH($E13,CtrlCod,0)),"")="No aplica",0,SUMPRODUCT(--ISNUMBER(SEARCH($E13&amp;" — ",'2. Valoración '!$AB$6:$AB$2261)),--('2. Valoración '!$AG$6:$AG$2261&lt;&gt;"Bajo")))</f>
        <v/>
      </c>
      <c r="M13" s="75" t="inlineStr">
        <is>
          <t>Gestión Tecnológica</t>
        </is>
      </c>
      <c r="N13" s="75" t="inlineStr">
        <is>
          <t>Líder del SIG</t>
        </is>
      </c>
      <c r="O13" s="80" t="n"/>
      <c r="P13" s="80" t="n">
        <v>46404</v>
      </c>
      <c r="Q13" s="75" t="n"/>
      <c r="R13" s="75" t="inlineStr">
        <is>
          <t>No iniciada</t>
        </is>
      </c>
      <c r="S13" s="98" t="n">
        <v>0</v>
      </c>
      <c r="T13" s="75" t="n"/>
      <c r="U13" s="80" t="n"/>
      <c r="V13" s="75" t="n"/>
      <c r="W13" s="75" t="inlineStr">
        <is>
          <t>Pendiente</t>
        </is>
      </c>
      <c r="X13" s="75" t="n"/>
    </row>
    <row r="14">
      <c r="B14" s="74" t="inlineStr">
        <is>
          <t>PT-009</t>
        </is>
      </c>
      <c r="C14" s="76" t="inlineStr">
        <is>
          <t>Formalizar y ejercitar el contacto con autoridades</t>
        </is>
      </c>
      <c r="D14" s="75" t="inlineStr">
        <is>
          <t>Mitigar</t>
        </is>
      </c>
      <c r="E14" s="75" t="inlineStr">
        <is>
          <t>A.5.5</t>
        </is>
      </c>
      <c r="F14" s="86">
        <f>IFERROR(INDEX('4. Controles y Madurez'!$C$6:$C$98,MATCH($E14,CtrlCod,0)),"")</f>
        <v/>
      </c>
      <c r="G14" s="76" t="inlineStr">
        <is>
          <t>La matriz de contactos existe pero nunca se ha ejercitado el canal con la SIC ni con el ColCERT.</t>
        </is>
      </c>
      <c r="H14" s="86">
        <f>IF(IFERROR(INDEX(CtrlAplica,MATCH($E14,CtrlCod,0)),"")="No aplica","No aplica",IFERROR(INDEX('4. Controles y Madurez'!$H$6:$H$98,MATCH($E14,CtrlCod,0)),""))</f>
        <v/>
      </c>
      <c r="I14" s="86">
        <f>IF(IFERROR(INDEX(CtrlAplica,MATCH($E14,CtrlCod,0)),"")="No aplica","No aplica",IFERROR(INDEX('4. Controles y Madurez'!$I$6:$I$98,MATCH($E14,CtrlCod,0)),""))</f>
        <v/>
      </c>
      <c r="J14" s="78">
        <f>IF(IFERROR(INDEX(CtrlAplica,MATCH($E14,CtrlCod,0)),"")="No aplica","—",IFERROR(INDEX('4. Controles y Madurez'!$M$6:$M$98,MATCH($E14,CtrlCod,0)),""))</f>
        <v/>
      </c>
      <c r="K14" s="78">
        <f>IF(IFERROR(INDEX(CtrlAplica,MATCH($E14,CtrlCod,0)),"")="No aplica",0,IFERROR(INDEX('4. Controles y Madurez'!$T$6:$T$98,MATCH($E14,CtrlCod,0)),0))</f>
        <v/>
      </c>
      <c r="L14" s="78">
        <f>IF(IFERROR(INDEX(CtrlAplica,MATCH($E14,CtrlCod,0)),"")="No aplica",0,SUMPRODUCT(--ISNUMBER(SEARCH($E14&amp;" — ",'2. Valoración '!$AB$6:$AB$2261)),--('2. Valoración '!$AG$6:$AG$2261&lt;&gt;"Bajo")))</f>
        <v/>
      </c>
      <c r="M14" s="75" t="inlineStr">
        <is>
          <t>Chief Legal Officer</t>
        </is>
      </c>
      <c r="N14" s="75" t="inlineStr">
        <is>
          <t>Líder del SIG</t>
        </is>
      </c>
      <c r="O14" s="80" t="n"/>
      <c r="P14" s="80" t="n">
        <v>46344</v>
      </c>
      <c r="Q14" s="75" t="n"/>
      <c r="R14" s="75" t="inlineStr">
        <is>
          <t>No iniciada</t>
        </is>
      </c>
      <c r="S14" s="98" t="n">
        <v>0</v>
      </c>
      <c r="T14" s="75" t="n"/>
      <c r="U14" s="80" t="n"/>
      <c r="V14" s="75" t="n"/>
      <c r="W14" s="75" t="inlineStr">
        <is>
          <t>Pendiente</t>
        </is>
      </c>
      <c r="X14" s="75" t="n"/>
    </row>
    <row r="15">
      <c r="B15" s="74" t="inlineStr">
        <is>
          <t>PT-010</t>
        </is>
      </c>
      <c r="C15" s="76" t="inlineStr">
        <is>
          <t>Formalizar la participación en grupos de interés del sector</t>
        </is>
      </c>
      <c r="D15" s="75" t="inlineStr">
        <is>
          <t>Mitigar</t>
        </is>
      </c>
      <c r="E15" s="75" t="inlineStr">
        <is>
          <t>A.5.6</t>
        </is>
      </c>
      <c r="F15" s="86">
        <f>IFERROR(INDEX('4. Controles y Madurez'!$C$6:$C$98,MATCH($E15,CtrlCod,0)),"")</f>
        <v/>
      </c>
      <c r="G15" s="76" t="inlineStr">
        <is>
          <t>La participación es informal. Se propone membresía formal en al menos un grupo sectorial de ciberseguridad.</t>
        </is>
      </c>
      <c r="H15" s="86">
        <f>IF(IFERROR(INDEX(CtrlAplica,MATCH($E15,CtrlCod,0)),"")="No aplica","No aplica",IFERROR(INDEX('4. Controles y Madurez'!$H$6:$H$98,MATCH($E15,CtrlCod,0)),""))</f>
        <v/>
      </c>
      <c r="I15" s="86">
        <f>IF(IFERROR(INDEX(CtrlAplica,MATCH($E15,CtrlCod,0)),"")="No aplica","No aplica",IFERROR(INDEX('4. Controles y Madurez'!$I$6:$I$98,MATCH($E15,CtrlCod,0)),""))</f>
        <v/>
      </c>
      <c r="J15" s="78">
        <f>IF(IFERROR(INDEX(CtrlAplica,MATCH($E15,CtrlCod,0)),"")="No aplica","—",IFERROR(INDEX('4. Controles y Madurez'!$M$6:$M$98,MATCH($E15,CtrlCod,0)),""))</f>
        <v/>
      </c>
      <c r="K15" s="78">
        <f>IF(IFERROR(INDEX(CtrlAplica,MATCH($E15,CtrlCod,0)),"")="No aplica",0,IFERROR(INDEX('4. Controles y Madurez'!$T$6:$T$98,MATCH($E15,CtrlCod,0)),0))</f>
        <v/>
      </c>
      <c r="L15" s="78">
        <f>IF(IFERROR(INDEX(CtrlAplica,MATCH($E15,CtrlCod,0)),"")="No aplica",0,SUMPRODUCT(--ISNUMBER(SEARCH($E15&amp;" — ",'2. Valoración '!$AB$6:$AB$2261)),--('2. Valoración '!$AG$6:$AG$2261&lt;&gt;"Bajo")))</f>
        <v/>
      </c>
      <c r="M15" s="75" t="inlineStr">
        <is>
          <t>Líder del SIG</t>
        </is>
      </c>
      <c r="N15" s="75" t="inlineStr">
        <is>
          <t>Líder del SIG</t>
        </is>
      </c>
      <c r="O15" s="80" t="n"/>
      <c r="P15" s="80" t="n">
        <v>46374</v>
      </c>
      <c r="Q15" s="75" t="n"/>
      <c r="R15" s="75" t="inlineStr">
        <is>
          <t>No iniciada</t>
        </is>
      </c>
      <c r="S15" s="98" t="n">
        <v>0</v>
      </c>
      <c r="T15" s="75" t="n"/>
      <c r="U15" s="80" t="n"/>
      <c r="V15" s="75" t="n"/>
      <c r="W15" s="75" t="inlineStr">
        <is>
          <t>Pendiente</t>
        </is>
      </c>
      <c r="X15" s="75" t="n"/>
    </row>
    <row r="16">
      <c r="B16" s="74" t="inlineStr">
        <is>
          <t>PT-011</t>
        </is>
      </c>
      <c r="C16" s="76" t="inlineStr">
        <is>
          <t>Formalizar el borrado seguro en baja y reasignación de equipos</t>
        </is>
      </c>
      <c r="D16" s="75" t="inlineStr">
        <is>
          <t>Mitigar</t>
        </is>
      </c>
      <c r="E16" s="75" t="inlineStr">
        <is>
          <t>A.7.14</t>
        </is>
      </c>
      <c r="F16" s="86">
        <f>IFERROR(INDEX('4. Controles y Madurez'!$C$6:$C$98,MATCH($E16,CtrlCod,0)),"")</f>
        <v/>
      </c>
      <c r="G16" s="76" t="inlineStr">
        <is>
          <t>No hay procedimiento de borrado seguro documentado ni registro de ejecución.</t>
        </is>
      </c>
      <c r="H16" s="86">
        <f>IF(IFERROR(INDEX(CtrlAplica,MATCH($E16,CtrlCod,0)),"")="No aplica","No aplica",IFERROR(INDEX('4. Controles y Madurez'!$H$6:$H$98,MATCH($E16,CtrlCod,0)),""))</f>
        <v/>
      </c>
      <c r="I16" s="86">
        <f>IF(IFERROR(INDEX(CtrlAplica,MATCH($E16,CtrlCod,0)),"")="No aplica","No aplica",IFERROR(INDEX('4. Controles y Madurez'!$I$6:$I$98,MATCH($E16,CtrlCod,0)),""))</f>
        <v/>
      </c>
      <c r="J16" s="78">
        <f>IF(IFERROR(INDEX(CtrlAplica,MATCH($E16,CtrlCod,0)),"")="No aplica","—",IFERROR(INDEX('4. Controles y Madurez'!$M$6:$M$98,MATCH($E16,CtrlCod,0)),""))</f>
        <v/>
      </c>
      <c r="K16" s="78">
        <f>IF(IFERROR(INDEX(CtrlAplica,MATCH($E16,CtrlCod,0)),"")="No aplica",0,IFERROR(INDEX('4. Controles y Madurez'!$T$6:$T$98,MATCH($E16,CtrlCod,0)),0))</f>
        <v/>
      </c>
      <c r="L16" s="78">
        <f>IF(IFERROR(INDEX(CtrlAplica,MATCH($E16,CtrlCod,0)),"")="No aplica",0,SUMPRODUCT(--ISNUMBER(SEARCH($E16&amp;" — ",'2. Valoración '!$AB$6:$AB$2261)),--('2. Valoración '!$AG$6:$AG$2261&lt;&gt;"Bajo")))</f>
        <v/>
      </c>
      <c r="M16" s="75" t="inlineStr">
        <is>
          <t>Gestión Tecnológica</t>
        </is>
      </c>
      <c r="N16" s="75" t="inlineStr">
        <is>
          <t>Líder del SIG</t>
        </is>
      </c>
      <c r="O16" s="80" t="n"/>
      <c r="P16" s="80" t="n">
        <v>46344</v>
      </c>
      <c r="Q16" s="75" t="n"/>
      <c r="R16" s="75" t="inlineStr">
        <is>
          <t>No iniciada</t>
        </is>
      </c>
      <c r="S16" s="98" t="n">
        <v>0</v>
      </c>
      <c r="T16" s="75" t="n"/>
      <c r="U16" s="80" t="n"/>
      <c r="V16" s="75" t="n"/>
      <c r="W16" s="75" t="inlineStr">
        <is>
          <t>Pendiente</t>
        </is>
      </c>
      <c r="X16" s="75" t="n"/>
    </row>
    <row r="17">
      <c r="B17" s="74" t="inlineStr">
        <is>
          <t>PT-012</t>
        </is>
      </c>
      <c r="C17" s="76" t="inlineStr">
        <is>
          <t>Implantar simulacros de phishing con métricas de comportamiento</t>
        </is>
      </c>
      <c r="D17" s="75" t="inlineStr">
        <is>
          <t>Mitigar</t>
        </is>
      </c>
      <c r="E17" s="75" t="inlineStr">
        <is>
          <t>A.6.3</t>
        </is>
      </c>
      <c r="F17" s="86">
        <f>IFERROR(INDEX('4. Controles y Madurez'!$C$6:$C$98,MATCH($E17,CtrlCod,0)),"")</f>
        <v/>
      </c>
      <c r="G17" s="76" t="inlineStr">
        <is>
          <t>La concienciación está en L3 con registro de asistencia. Medir el comportamiento real es lo que la lleva a L4 y reduce E.1 y A.30.</t>
        </is>
      </c>
      <c r="H17" s="86">
        <f>IF(IFERROR(INDEX(CtrlAplica,MATCH($E17,CtrlCod,0)),"")="No aplica","No aplica",IFERROR(INDEX('4. Controles y Madurez'!$H$6:$H$98,MATCH($E17,CtrlCod,0)),""))</f>
        <v/>
      </c>
      <c r="I17" s="86">
        <f>IF(IFERROR(INDEX(CtrlAplica,MATCH($E17,CtrlCod,0)),"")="No aplica","No aplica",IFERROR(INDEX('4. Controles y Madurez'!$I$6:$I$98,MATCH($E17,CtrlCod,0)),""))</f>
        <v/>
      </c>
      <c r="J17" s="78">
        <f>IF(IFERROR(INDEX(CtrlAplica,MATCH($E17,CtrlCod,0)),"")="No aplica","—",IFERROR(INDEX('4. Controles y Madurez'!$M$6:$M$98,MATCH($E17,CtrlCod,0)),""))</f>
        <v/>
      </c>
      <c r="K17" s="78">
        <f>IF(IFERROR(INDEX(CtrlAplica,MATCH($E17,CtrlCod,0)),"")="No aplica",0,IFERROR(INDEX('4. Controles y Madurez'!$T$6:$T$98,MATCH($E17,CtrlCod,0)),0))</f>
        <v/>
      </c>
      <c r="L17" s="78">
        <f>IF(IFERROR(INDEX(CtrlAplica,MATCH($E17,CtrlCod,0)),"")="No aplica",0,SUMPRODUCT(--ISNUMBER(SEARCH($E17&amp;" — ",'2. Valoración '!$AB$6:$AB$2261)),--('2. Valoración '!$AG$6:$AG$2261&lt;&gt;"Bajo")))</f>
        <v/>
      </c>
      <c r="M17" s="75" t="inlineStr">
        <is>
          <t>Talento Humano</t>
        </is>
      </c>
      <c r="N17" s="75" t="inlineStr">
        <is>
          <t>Líder del SIG</t>
        </is>
      </c>
      <c r="O17" s="80" t="n"/>
      <c r="P17" s="80" t="n">
        <v>46404</v>
      </c>
      <c r="Q17" s="75" t="n"/>
      <c r="R17" s="75" t="inlineStr">
        <is>
          <t>No iniciada</t>
        </is>
      </c>
      <c r="S17" s="98" t="n">
        <v>0</v>
      </c>
      <c r="T17" s="75" t="n"/>
      <c r="U17" s="80" t="n"/>
      <c r="V17" s="75" t="n"/>
      <c r="W17" s="75" t="inlineStr">
        <is>
          <t>Pendiente</t>
        </is>
      </c>
      <c r="X17" s="75" t="n"/>
    </row>
    <row r="18">
      <c r="B18" s="74" t="inlineStr">
        <is>
          <t>PT-013</t>
        </is>
      </c>
      <c r="C18" s="76" t="inlineStr">
        <is>
          <t>Activar elevación temporal de privilegios con aprobación</t>
        </is>
      </c>
      <c r="D18" s="75" t="inlineStr">
        <is>
          <t>Mitigar</t>
        </is>
      </c>
      <c r="E18" s="75" t="inlineStr">
        <is>
          <t>A.8.2</t>
        </is>
      </c>
      <c r="F18" s="86">
        <f>IFERROR(INDEX('4. Controles y Madurez'!$C$6:$C$98,MATCH($E18,CtrlCod,0)),"")</f>
        <v/>
      </c>
      <c r="G18" s="76" t="inlineStr">
        <is>
          <t>Las cuentas privilegiadas tienen MFA pero no elevación temporal. Es el salto que lleva el control a L4 y reduce A.6 y A.11.</t>
        </is>
      </c>
      <c r="H18" s="86">
        <f>IF(IFERROR(INDEX(CtrlAplica,MATCH($E18,CtrlCod,0)),"")="No aplica","No aplica",IFERROR(INDEX('4. Controles y Madurez'!$H$6:$H$98,MATCH($E18,CtrlCod,0)),""))</f>
        <v/>
      </c>
      <c r="I18" s="86">
        <f>IF(IFERROR(INDEX(CtrlAplica,MATCH($E18,CtrlCod,0)),"")="No aplica","No aplica",IFERROR(INDEX('4. Controles y Madurez'!$I$6:$I$98,MATCH($E18,CtrlCod,0)),""))</f>
        <v/>
      </c>
      <c r="J18" s="78">
        <f>IF(IFERROR(INDEX(CtrlAplica,MATCH($E18,CtrlCod,0)),"")="No aplica","—",IFERROR(INDEX('4. Controles y Madurez'!$M$6:$M$98,MATCH($E18,CtrlCod,0)),""))</f>
        <v/>
      </c>
      <c r="K18" s="78">
        <f>IF(IFERROR(INDEX(CtrlAplica,MATCH($E18,CtrlCod,0)),"")="No aplica",0,IFERROR(INDEX('4. Controles y Madurez'!$T$6:$T$98,MATCH($E18,CtrlCod,0)),0))</f>
        <v/>
      </c>
      <c r="L18" s="78">
        <f>IF(IFERROR(INDEX(CtrlAplica,MATCH($E18,CtrlCod,0)),"")="No aplica",0,SUMPRODUCT(--ISNUMBER(SEARCH($E18&amp;" — ",'2. Valoración '!$AB$6:$AB$2261)),--('2. Valoración '!$AG$6:$AG$2261&lt;&gt;"Bajo")))</f>
        <v/>
      </c>
      <c r="M18" s="75" t="inlineStr">
        <is>
          <t>Gestión Tecnológica</t>
        </is>
      </c>
      <c r="N18" s="75" t="inlineStr">
        <is>
          <t>Líder del SIG</t>
        </is>
      </c>
      <c r="O18" s="80" t="n"/>
      <c r="P18" s="80" t="n">
        <v>46374</v>
      </c>
      <c r="Q18" s="75" t="n"/>
      <c r="R18" s="75" t="inlineStr">
        <is>
          <t>No iniciada</t>
        </is>
      </c>
      <c r="S18" s="98" t="n">
        <v>0</v>
      </c>
      <c r="T18" s="75" t="n"/>
      <c r="U18" s="80" t="n"/>
      <c r="V18" s="75" t="n"/>
      <c r="W18" s="75" t="inlineStr">
        <is>
          <t>Pendiente</t>
        </is>
      </c>
      <c r="X18" s="75" t="n"/>
    </row>
    <row r="19">
      <c r="B19" s="74" t="inlineStr">
        <is>
          <t>PT-014</t>
        </is>
      </c>
      <c r="C19" s="76" t="inlineStr">
        <is>
          <t>Cerrar el primer ciclo de revisión anual de las políticas</t>
        </is>
      </c>
      <c r="D19" s="75" t="inlineStr">
        <is>
          <t>Mitigar</t>
        </is>
      </c>
      <c r="E19" s="75" t="inlineStr">
        <is>
          <t>A.5.1</t>
        </is>
      </c>
      <c r="F19" s="86">
        <f>IFERROR(INDEX('4. Controles y Madurez'!$C$6:$C$98,MATCH($E19,CtrlCod,0)),"")</f>
        <v/>
      </c>
      <c r="G19" s="76" t="inlineStr">
        <is>
          <t>Las políticas están aprobadas y comunicadas; falta ejecutar y evidenciar la revisión anual.</t>
        </is>
      </c>
      <c r="H19" s="86">
        <f>IF(IFERROR(INDEX(CtrlAplica,MATCH($E19,CtrlCod,0)),"")="No aplica","No aplica",IFERROR(INDEX('4. Controles y Madurez'!$H$6:$H$98,MATCH($E19,CtrlCod,0)),""))</f>
        <v/>
      </c>
      <c r="I19" s="86">
        <f>IF(IFERROR(INDEX(CtrlAplica,MATCH($E19,CtrlCod,0)),"")="No aplica","No aplica",IFERROR(INDEX('4. Controles y Madurez'!$I$6:$I$98,MATCH($E19,CtrlCod,0)),""))</f>
        <v/>
      </c>
      <c r="J19" s="78">
        <f>IF(IFERROR(INDEX(CtrlAplica,MATCH($E19,CtrlCod,0)),"")="No aplica","—",IFERROR(INDEX('4. Controles y Madurez'!$M$6:$M$98,MATCH($E19,CtrlCod,0)),""))</f>
        <v/>
      </c>
      <c r="K19" s="78">
        <f>IF(IFERROR(INDEX(CtrlAplica,MATCH($E19,CtrlCod,0)),"")="No aplica",0,IFERROR(INDEX('4. Controles y Madurez'!$T$6:$T$98,MATCH($E19,CtrlCod,0)),0))</f>
        <v/>
      </c>
      <c r="L19" s="78">
        <f>IF(IFERROR(INDEX(CtrlAplica,MATCH($E19,CtrlCod,0)),"")="No aplica",0,SUMPRODUCT(--ISNUMBER(SEARCH($E19&amp;" — ",'2. Valoración '!$AB$6:$AB$2261)),--('2. Valoración '!$AG$6:$AG$2261&lt;&gt;"Bajo")))</f>
        <v/>
      </c>
      <c r="M19" s="75" t="inlineStr">
        <is>
          <t>Líder del SIG</t>
        </is>
      </c>
      <c r="N19" s="75" t="inlineStr">
        <is>
          <t>Líder del SIG</t>
        </is>
      </c>
      <c r="O19" s="80" t="n"/>
      <c r="P19" s="80" t="n">
        <v>46344</v>
      </c>
      <c r="Q19" s="75" t="n"/>
      <c r="R19" s="75" t="inlineStr">
        <is>
          <t>No iniciada</t>
        </is>
      </c>
      <c r="S19" s="98" t="n">
        <v>0</v>
      </c>
      <c r="T19" s="75" t="n"/>
      <c r="U19" s="80" t="n"/>
      <c r="V19" s="75" t="n"/>
      <c r="W19" s="75" t="inlineStr">
        <is>
          <t>Pendiente</t>
        </is>
      </c>
      <c r="X19" s="75" t="n"/>
    </row>
    <row r="20">
      <c r="B20" s="74" t="inlineStr">
        <is>
          <t>PT-015</t>
        </is>
      </c>
      <c r="C20" s="76" t="inlineStr">
        <is>
          <t>Cerrar los hallazgos de la revisión independiente</t>
        </is>
      </c>
      <c r="D20" s="75" t="inlineStr">
        <is>
          <t>Mitigar</t>
        </is>
      </c>
      <c r="E20" s="75" t="inlineStr">
        <is>
          <t>A.5.35</t>
        </is>
      </c>
      <c r="F20" s="86">
        <f>IFERROR(INDEX('4. Controles y Madurez'!$C$6:$C$98,MATCH($E20,CtrlCod,0)),"")</f>
        <v/>
      </c>
      <c r="G20" s="76" t="inlineStr">
        <is>
          <t>La revisión se ejecutó parcialmente y los hallazgos siguen abiertos. Sin cierre no hay ciclo de aseguramiento.</t>
        </is>
      </c>
      <c r="H20" s="86">
        <f>IF(IFERROR(INDEX(CtrlAplica,MATCH($E20,CtrlCod,0)),"")="No aplica","No aplica",IFERROR(INDEX('4. Controles y Madurez'!$H$6:$H$98,MATCH($E20,CtrlCod,0)),""))</f>
        <v/>
      </c>
      <c r="I20" s="86">
        <f>IF(IFERROR(INDEX(CtrlAplica,MATCH($E20,CtrlCod,0)),"")="No aplica","No aplica",IFERROR(INDEX('4. Controles y Madurez'!$I$6:$I$98,MATCH($E20,CtrlCod,0)),""))</f>
        <v/>
      </c>
      <c r="J20" s="78">
        <f>IF(IFERROR(INDEX(CtrlAplica,MATCH($E20,CtrlCod,0)),"")="No aplica","—",IFERROR(INDEX('4. Controles y Madurez'!$M$6:$M$98,MATCH($E20,CtrlCod,0)),""))</f>
        <v/>
      </c>
      <c r="K20" s="78">
        <f>IF(IFERROR(INDEX(CtrlAplica,MATCH($E20,CtrlCod,0)),"")="No aplica",0,IFERROR(INDEX('4. Controles y Madurez'!$T$6:$T$98,MATCH($E20,CtrlCod,0)),0))</f>
        <v/>
      </c>
      <c r="L20" s="78">
        <f>IF(IFERROR(INDEX(CtrlAplica,MATCH($E20,CtrlCod,0)),"")="No aplica",0,SUMPRODUCT(--ISNUMBER(SEARCH($E20&amp;" — ",'2. Valoración '!$AB$6:$AB$2261)),--('2. Valoración '!$AG$6:$AG$2261&lt;&gt;"Bajo")))</f>
        <v/>
      </c>
      <c r="M20" s="75" t="inlineStr">
        <is>
          <t>Líder del SIG</t>
        </is>
      </c>
      <c r="N20" s="75" t="inlineStr">
        <is>
          <t>Líder del SIG</t>
        </is>
      </c>
      <c r="O20" s="80" t="n"/>
      <c r="P20" s="80" t="n">
        <v>46374</v>
      </c>
      <c r="Q20" s="75" t="n"/>
      <c r="R20" s="75" t="inlineStr">
        <is>
          <t>No iniciada</t>
        </is>
      </c>
      <c r="S20" s="98" t="n">
        <v>0</v>
      </c>
      <c r="T20" s="75" t="n"/>
      <c r="U20" s="80" t="n"/>
      <c r="V20" s="75" t="n"/>
      <c r="W20" s="75" t="inlineStr">
        <is>
          <t>Pendiente</t>
        </is>
      </c>
      <c r="X20" s="75" t="n"/>
    </row>
    <row r="21">
      <c r="B21" s="74" t="inlineStr">
        <is>
          <t>PT-016</t>
        </is>
      </c>
      <c r="C21" s="76" t="inlineStr">
        <is>
          <t>Afinar y medir las políticas de prevención de fuga de datos</t>
        </is>
      </c>
      <c r="D21" s="75" t="inlineStr">
        <is>
          <t>Mitigar</t>
        </is>
      </c>
      <c r="E21" s="75" t="inlineStr">
        <is>
          <t>A.8.12</t>
        </is>
      </c>
      <c r="F21" s="86">
        <f>IFERROR(INDEX('4. Controles y Madurez'!$C$6:$C$98,MATCH($E21,CtrlCod,0)),"")</f>
        <v/>
      </c>
      <c r="G21" s="76" t="inlineStr">
        <is>
          <t>Las políticas de Purview están activas pero sin afinar ni medir. Es el control principal frente a E.14 y E.19.</t>
        </is>
      </c>
      <c r="H21" s="86">
        <f>IF(IFERROR(INDEX(CtrlAplica,MATCH($E21,CtrlCod,0)),"")="No aplica","No aplica",IFERROR(INDEX('4. Controles y Madurez'!$H$6:$H$98,MATCH($E21,CtrlCod,0)),""))</f>
        <v/>
      </c>
      <c r="I21" s="86">
        <f>IF(IFERROR(INDEX(CtrlAplica,MATCH($E21,CtrlCod,0)),"")="No aplica","No aplica",IFERROR(INDEX('4. Controles y Madurez'!$I$6:$I$98,MATCH($E21,CtrlCod,0)),""))</f>
        <v/>
      </c>
      <c r="J21" s="78">
        <f>IF(IFERROR(INDEX(CtrlAplica,MATCH($E21,CtrlCod,0)),"")="No aplica","—",IFERROR(INDEX('4. Controles y Madurez'!$M$6:$M$98,MATCH($E21,CtrlCod,0)),""))</f>
        <v/>
      </c>
      <c r="K21" s="78">
        <f>IF(IFERROR(INDEX(CtrlAplica,MATCH($E21,CtrlCod,0)),"")="No aplica",0,IFERROR(INDEX('4. Controles y Madurez'!$T$6:$T$98,MATCH($E21,CtrlCod,0)),0))</f>
        <v/>
      </c>
      <c r="L21" s="78">
        <f>IF(IFERROR(INDEX(CtrlAplica,MATCH($E21,CtrlCod,0)),"")="No aplica",0,SUMPRODUCT(--ISNUMBER(SEARCH($E21&amp;" — ",'2. Valoración '!$AB$6:$AB$2261)),--('2. Valoración '!$AG$6:$AG$2261&lt;&gt;"Bajo")))</f>
        <v/>
      </c>
      <c r="M21" s="75" t="inlineStr">
        <is>
          <t>Gestión Tecnológica</t>
        </is>
      </c>
      <c r="N21" s="75" t="inlineStr">
        <is>
          <t>Líder del SIG</t>
        </is>
      </c>
      <c r="O21" s="80" t="n"/>
      <c r="P21" s="80" t="n">
        <v>46404</v>
      </c>
      <c r="Q21" s="75" t="n"/>
      <c r="R21" s="75" t="inlineStr">
        <is>
          <t>No iniciada</t>
        </is>
      </c>
      <c r="S21" s="98" t="n">
        <v>0</v>
      </c>
      <c r="T21" s="75" t="n"/>
      <c r="U21" s="80" t="n"/>
      <c r="V21" s="75" t="n"/>
      <c r="W21" s="75" t="inlineStr">
        <is>
          <t>Pendiente</t>
        </is>
      </c>
      <c r="X21" s="75" t="n"/>
    </row>
    <row r="22">
      <c r="B22" s="74" t="inlineStr">
        <is>
          <t>PT-017</t>
        </is>
      </c>
      <c r="C22" s="76" t="inlineStr">
        <is>
          <t>Formalizar la gestión del ciclo de vida de las llaves criptográficas</t>
        </is>
      </c>
      <c r="D22" s="75" t="inlineStr">
        <is>
          <t>Mitigar</t>
        </is>
      </c>
      <c r="E22" s="75" t="inlineStr">
        <is>
          <t>A.8.24</t>
        </is>
      </c>
      <c r="F22" s="86">
        <f>IFERROR(INDEX('4. Controles y Madurez'!$C$6:$C$98,MATCH($E22,CtrlCod,0)),"")</f>
        <v/>
      </c>
      <c r="G22" s="76" t="inlineStr">
        <is>
          <t>El cifrado está generalizado pero la rotación, custodia y revocación de llaves no está documentada.</t>
        </is>
      </c>
      <c r="H22" s="86">
        <f>IF(IFERROR(INDEX(CtrlAplica,MATCH($E22,CtrlCod,0)),"")="No aplica","No aplica",IFERROR(INDEX('4. Controles y Madurez'!$H$6:$H$98,MATCH($E22,CtrlCod,0)),""))</f>
        <v/>
      </c>
      <c r="I22" s="86">
        <f>IF(IFERROR(INDEX(CtrlAplica,MATCH($E22,CtrlCod,0)),"")="No aplica","No aplica",IFERROR(INDEX('4. Controles y Madurez'!$I$6:$I$98,MATCH($E22,CtrlCod,0)),""))</f>
        <v/>
      </c>
      <c r="J22" s="78">
        <f>IF(IFERROR(INDEX(CtrlAplica,MATCH($E22,CtrlCod,0)),"")="No aplica","—",IFERROR(INDEX('4. Controles y Madurez'!$M$6:$M$98,MATCH($E22,CtrlCod,0)),""))</f>
        <v/>
      </c>
      <c r="K22" s="78">
        <f>IF(IFERROR(INDEX(CtrlAplica,MATCH($E22,CtrlCod,0)),"")="No aplica",0,IFERROR(INDEX('4. Controles y Madurez'!$T$6:$T$98,MATCH($E22,CtrlCod,0)),0))</f>
        <v/>
      </c>
      <c r="L22" s="78">
        <f>IF(IFERROR(INDEX(CtrlAplica,MATCH($E22,CtrlCod,0)),"")="No aplica",0,SUMPRODUCT(--ISNUMBER(SEARCH($E22&amp;" — ",'2. Valoración '!$AB$6:$AB$2261)),--('2. Valoración '!$AG$6:$AG$2261&lt;&gt;"Bajo")))</f>
        <v/>
      </c>
      <c r="M22" s="75" t="inlineStr">
        <is>
          <t>Gestión Tecnológica</t>
        </is>
      </c>
      <c r="N22" s="75" t="inlineStr">
        <is>
          <t>Líder del SIG</t>
        </is>
      </c>
      <c r="O22" s="80" t="n"/>
      <c r="P22" s="80" t="n">
        <v>46404</v>
      </c>
      <c r="Q22" s="75" t="n"/>
      <c r="R22" s="75" t="inlineStr">
        <is>
          <t>No iniciada</t>
        </is>
      </c>
      <c r="S22" s="98" t="n">
        <v>0</v>
      </c>
      <c r="T22" s="75" t="n"/>
      <c r="U22" s="80" t="n"/>
      <c r="V22" s="75" t="n"/>
      <c r="W22" s="75" t="inlineStr">
        <is>
          <t>Pendiente</t>
        </is>
      </c>
      <c r="X22" s="75" t="n"/>
    </row>
    <row r="23">
      <c r="B23" s="74" t="inlineStr">
        <is>
          <t>PT-018</t>
        </is>
      </c>
      <c r="C23" s="76" t="inlineStr">
        <is>
          <t>Ejecutar prueba de conmutación de la infraestructura en la nube</t>
        </is>
      </c>
      <c r="D23" s="75" t="inlineStr">
        <is>
          <t>Mitigar</t>
        </is>
      </c>
      <c r="E23" s="75" t="inlineStr">
        <is>
          <t>A.5.30</t>
        </is>
      </c>
      <c r="F23" s="86">
        <f>IFERROR(INDEX('4. Controles y Madurez'!$C$6:$C$98,MATCH($E23,CtrlCod,0)),"")</f>
        <v/>
      </c>
      <c r="G23" s="76" t="inlineStr">
        <is>
          <t>La redundancia existe en AWS pero nunca se ha probado formalmente una conmutación.</t>
        </is>
      </c>
      <c r="H23" s="86">
        <f>IF(IFERROR(INDEX(CtrlAplica,MATCH($E23,CtrlCod,0)),"")="No aplica","No aplica",IFERROR(INDEX('4. Controles y Madurez'!$H$6:$H$98,MATCH($E23,CtrlCod,0)),""))</f>
        <v/>
      </c>
      <c r="I23" s="86">
        <f>IF(IFERROR(INDEX(CtrlAplica,MATCH($E23,CtrlCod,0)),"")="No aplica","No aplica",IFERROR(INDEX('4. Controles y Madurez'!$I$6:$I$98,MATCH($E23,CtrlCod,0)),""))</f>
        <v/>
      </c>
      <c r="J23" s="78">
        <f>IF(IFERROR(INDEX(CtrlAplica,MATCH($E23,CtrlCod,0)),"")="No aplica","—",IFERROR(INDEX('4. Controles y Madurez'!$M$6:$M$98,MATCH($E23,CtrlCod,0)),""))</f>
        <v/>
      </c>
      <c r="K23" s="78">
        <f>IF(IFERROR(INDEX(CtrlAplica,MATCH($E23,CtrlCod,0)),"")="No aplica",0,IFERROR(INDEX('4. Controles y Madurez'!$T$6:$T$98,MATCH($E23,CtrlCod,0)),0))</f>
        <v/>
      </c>
      <c r="L23" s="78">
        <f>IF(IFERROR(INDEX(CtrlAplica,MATCH($E23,CtrlCod,0)),"")="No aplica",0,SUMPRODUCT(--ISNUMBER(SEARCH($E23&amp;" — ",'2. Valoración '!$AB$6:$AB$2261)),--('2. Valoración '!$AG$6:$AG$2261&lt;&gt;"Bajo")))</f>
        <v/>
      </c>
      <c r="M23" s="75" t="inlineStr">
        <is>
          <t>Gestión Tecnológica</t>
        </is>
      </c>
      <c r="N23" s="75" t="inlineStr">
        <is>
          <t>Líder del SIG</t>
        </is>
      </c>
      <c r="O23" s="80" t="n"/>
      <c r="P23" s="80" t="n">
        <v>46434</v>
      </c>
      <c r="Q23" s="75" t="n"/>
      <c r="R23" s="75" t="inlineStr">
        <is>
          <t>No iniciada</t>
        </is>
      </c>
      <c r="S23" s="98" t="n">
        <v>0</v>
      </c>
      <c r="T23" s="75" t="n"/>
      <c r="U23" s="80" t="n"/>
      <c r="V23" s="75" t="n"/>
      <c r="W23" s="75" t="inlineStr">
        <is>
          <t>Pendiente</t>
        </is>
      </c>
      <c r="X23" s="75" t="n"/>
    </row>
    <row r="24">
      <c r="B24" s="74" t="inlineStr">
        <is>
          <t>PT-019</t>
        </is>
      </c>
      <c r="C24" s="76" t="inlineStr">
        <is>
          <t>Declarar no aplicable: perímetros de seguridad física</t>
        </is>
      </c>
      <c r="D24" s="75" t="inlineStr">
        <is>
          <t>Aceptar</t>
        </is>
      </c>
      <c r="E24" s="75" t="inlineStr">
        <is>
          <t>A.7.1</t>
        </is>
      </c>
      <c r="F24" s="86">
        <f>IFERROR(INDEX('4. Controles y Madurez'!$C$6:$C$98,MATCH($E24,CtrlCod,0)),"")</f>
        <v/>
      </c>
      <c r="G24" s="76" t="inlineStr">
        <is>
          <t>Cuántico opera 100 % en teletrabajo y no cuenta con sede propia ni perímetro físico bajo su control.</t>
        </is>
      </c>
      <c r="H24" s="86">
        <f>IF(IFERROR(INDEX(CtrlAplica,MATCH($E24,CtrlCod,0)),"")="No aplica","No aplica",IFERROR(INDEX('4. Controles y Madurez'!$H$6:$H$98,MATCH($E24,CtrlCod,0)),""))</f>
        <v/>
      </c>
      <c r="I24" s="86">
        <f>IF(IFERROR(INDEX(CtrlAplica,MATCH($E24,CtrlCod,0)),"")="No aplica","No aplica",IFERROR(INDEX('4. Controles y Madurez'!$I$6:$I$98,MATCH($E24,CtrlCod,0)),""))</f>
        <v/>
      </c>
      <c r="J24" s="78">
        <f>IF(IFERROR(INDEX(CtrlAplica,MATCH($E24,CtrlCod,0)),"")="No aplica","—",IFERROR(INDEX('4. Controles y Madurez'!$M$6:$M$98,MATCH($E24,CtrlCod,0)),""))</f>
        <v/>
      </c>
      <c r="K24" s="78">
        <f>IF(IFERROR(INDEX(CtrlAplica,MATCH($E24,CtrlCod,0)),"")="No aplica",0,IFERROR(INDEX('4. Controles y Madurez'!$T$6:$T$98,MATCH($E24,CtrlCod,0)),0))</f>
        <v/>
      </c>
      <c r="L24" s="78">
        <f>IF(IFERROR(INDEX(CtrlAplica,MATCH($E24,CtrlCod,0)),"")="No aplica",0,SUMPRODUCT(--ISNUMBER(SEARCH($E24&amp;" — ",'2. Valoración '!$AB$6:$AB$2261)),--('2. Valoración '!$AG$6:$AG$2261&lt;&gt;"Bajo")))</f>
        <v/>
      </c>
      <c r="M24" s="75" t="inlineStr">
        <is>
          <t>Comité del SIG</t>
        </is>
      </c>
      <c r="N24" s="75" t="inlineStr">
        <is>
          <t>Comité del SIG</t>
        </is>
      </c>
      <c r="O24" s="80" t="n"/>
      <c r="P24" s="80" t="n"/>
      <c r="Q24" s="75" t="n"/>
      <c r="R24" s="75" t="inlineStr">
        <is>
          <t>Cerrada</t>
        </is>
      </c>
      <c r="S24" s="98" t="n">
        <v>1</v>
      </c>
      <c r="T24" s="75" t="n"/>
      <c r="U24" s="80" t="n"/>
      <c r="V24" s="75" t="n"/>
      <c r="W24" s="75" t="inlineStr">
        <is>
          <t>No aplica</t>
        </is>
      </c>
      <c r="X24" s="75" t="n"/>
    </row>
    <row r="25">
      <c r="B25" s="74" t="inlineStr">
        <is>
          <t>PT-020</t>
        </is>
      </c>
      <c r="C25" s="76" t="inlineStr">
        <is>
          <t>Declarar no aplicable: controles de entrada física</t>
        </is>
      </c>
      <c r="D25" s="75" t="inlineStr">
        <is>
          <t>Aceptar</t>
        </is>
      </c>
      <c r="E25" s="75" t="inlineStr">
        <is>
          <t>A.7.2</t>
        </is>
      </c>
      <c r="F25" s="86">
        <f>IFERROR(INDEX('4. Controles y Madurez'!$C$6:$C$98,MATCH($E25,CtrlCod,0)),"")</f>
        <v/>
      </c>
      <c r="G25" s="76" t="inlineStr">
        <is>
          <t>Sin instalaciones propias no existe punto de entrada física que controlar.</t>
        </is>
      </c>
      <c r="H25" s="86">
        <f>IF(IFERROR(INDEX(CtrlAplica,MATCH($E25,CtrlCod,0)),"")="No aplica","No aplica",IFERROR(INDEX('4. Controles y Madurez'!$H$6:$H$98,MATCH($E25,CtrlCod,0)),""))</f>
        <v/>
      </c>
      <c r="I25" s="86">
        <f>IF(IFERROR(INDEX(CtrlAplica,MATCH($E25,CtrlCod,0)),"")="No aplica","No aplica",IFERROR(INDEX('4. Controles y Madurez'!$I$6:$I$98,MATCH($E25,CtrlCod,0)),""))</f>
        <v/>
      </c>
      <c r="J25" s="78">
        <f>IF(IFERROR(INDEX(CtrlAplica,MATCH($E25,CtrlCod,0)),"")="No aplica","—",IFERROR(INDEX('4. Controles y Madurez'!$M$6:$M$98,MATCH($E25,CtrlCod,0)),""))</f>
        <v/>
      </c>
      <c r="K25" s="78">
        <f>IF(IFERROR(INDEX(CtrlAplica,MATCH($E25,CtrlCod,0)),"")="No aplica",0,IFERROR(INDEX('4. Controles y Madurez'!$T$6:$T$98,MATCH($E25,CtrlCod,0)),0))</f>
        <v/>
      </c>
      <c r="L25" s="78">
        <f>IF(IFERROR(INDEX(CtrlAplica,MATCH($E25,CtrlCod,0)),"")="No aplica",0,SUMPRODUCT(--ISNUMBER(SEARCH($E25&amp;" — ",'2. Valoración '!$AB$6:$AB$2261)),--('2. Valoración '!$AG$6:$AG$2261&lt;&gt;"Bajo")))</f>
        <v/>
      </c>
      <c r="M25" s="75" t="inlineStr">
        <is>
          <t>Comité del SIG</t>
        </is>
      </c>
      <c r="N25" s="75" t="inlineStr">
        <is>
          <t>Comité del SIG</t>
        </is>
      </c>
      <c r="O25" s="80" t="n"/>
      <c r="P25" s="80" t="n"/>
      <c r="Q25" s="75" t="n"/>
      <c r="R25" s="75" t="inlineStr">
        <is>
          <t>Cerrada</t>
        </is>
      </c>
      <c r="S25" s="98" t="n">
        <v>1</v>
      </c>
      <c r="T25" s="75" t="n"/>
      <c r="U25" s="80" t="n"/>
      <c r="V25" s="75" t="n"/>
      <c r="W25" s="75" t="inlineStr">
        <is>
          <t>No aplica</t>
        </is>
      </c>
      <c r="X25" s="75" t="n"/>
    </row>
    <row r="26">
      <c r="B26" s="74" t="inlineStr">
        <is>
          <t>PT-021</t>
        </is>
      </c>
      <c r="C26" s="76" t="inlineStr">
        <is>
          <t>Declarar no aplicable: seguridad de oficinas y recintos</t>
        </is>
      </c>
      <c r="D26" s="75" t="inlineStr">
        <is>
          <t>Aceptar</t>
        </is>
      </c>
      <c r="E26" s="75" t="inlineStr">
        <is>
          <t>A.7.3</t>
        </is>
      </c>
      <c r="F26" s="86">
        <f>IFERROR(INDEX('4. Controles y Madurez'!$C$6:$C$98,MATCH($E26,CtrlCod,0)),"")</f>
        <v/>
      </c>
      <c r="G26" s="76" t="inlineStr">
        <is>
          <t>No existen oficinas, recintos ni salas bajo control de la organización.</t>
        </is>
      </c>
      <c r="H26" s="86">
        <f>IF(IFERROR(INDEX(CtrlAplica,MATCH($E26,CtrlCod,0)),"")="No aplica","No aplica",IFERROR(INDEX('4. Controles y Madurez'!$H$6:$H$98,MATCH($E26,CtrlCod,0)),""))</f>
        <v/>
      </c>
      <c r="I26" s="86">
        <f>IF(IFERROR(INDEX(CtrlAplica,MATCH($E26,CtrlCod,0)),"")="No aplica","No aplica",IFERROR(INDEX('4. Controles y Madurez'!$I$6:$I$98,MATCH($E26,CtrlCod,0)),""))</f>
        <v/>
      </c>
      <c r="J26" s="78">
        <f>IF(IFERROR(INDEX(CtrlAplica,MATCH($E26,CtrlCod,0)),"")="No aplica","—",IFERROR(INDEX('4. Controles y Madurez'!$M$6:$M$98,MATCH($E26,CtrlCod,0)),""))</f>
        <v/>
      </c>
      <c r="K26" s="78">
        <f>IF(IFERROR(INDEX(CtrlAplica,MATCH($E26,CtrlCod,0)),"")="No aplica",0,IFERROR(INDEX('4. Controles y Madurez'!$T$6:$T$98,MATCH($E26,CtrlCod,0)),0))</f>
        <v/>
      </c>
      <c r="L26" s="78">
        <f>IF(IFERROR(INDEX(CtrlAplica,MATCH($E26,CtrlCod,0)),"")="No aplica",0,SUMPRODUCT(--ISNUMBER(SEARCH($E26&amp;" — ",'2. Valoración '!$AB$6:$AB$2261)),--('2. Valoración '!$AG$6:$AG$2261&lt;&gt;"Bajo")))</f>
        <v/>
      </c>
      <c r="M26" s="75" t="inlineStr">
        <is>
          <t>Comité del SIG</t>
        </is>
      </c>
      <c r="N26" s="75" t="inlineStr">
        <is>
          <t>Comité del SIG</t>
        </is>
      </c>
      <c r="O26" s="80" t="n"/>
      <c r="P26" s="80" t="n"/>
      <c r="Q26" s="75" t="n"/>
      <c r="R26" s="75" t="inlineStr">
        <is>
          <t>Cerrada</t>
        </is>
      </c>
      <c r="S26" s="98" t="n">
        <v>1</v>
      </c>
      <c r="T26" s="75" t="n"/>
      <c r="U26" s="80" t="n"/>
      <c r="V26" s="75" t="n"/>
      <c r="W26" s="75" t="inlineStr">
        <is>
          <t>No aplica</t>
        </is>
      </c>
      <c r="X26" s="75" t="n"/>
    </row>
    <row r="27">
      <c r="B27" s="74" t="inlineStr">
        <is>
          <t>PT-022</t>
        </is>
      </c>
      <c r="C27" s="76" t="inlineStr">
        <is>
          <t>Declarar no aplicable: monitoreo de seguridad física</t>
        </is>
      </c>
      <c r="D27" s="75" t="inlineStr">
        <is>
          <t>Aceptar</t>
        </is>
      </c>
      <c r="E27" s="75" t="inlineStr">
        <is>
          <t>A.7.4</t>
        </is>
      </c>
      <c r="F27" s="86">
        <f>IFERROR(INDEX('4. Controles y Madurez'!$C$6:$C$98,MATCH($E27,CtrlCod,0)),"")</f>
        <v/>
      </c>
      <c r="G27" s="76" t="inlineStr">
        <is>
          <t>No hay instalaciones propias que monitorear.</t>
        </is>
      </c>
      <c r="H27" s="86">
        <f>IF(IFERROR(INDEX(CtrlAplica,MATCH($E27,CtrlCod,0)),"")="No aplica","No aplica",IFERROR(INDEX('4. Controles y Madurez'!$H$6:$H$98,MATCH($E27,CtrlCod,0)),""))</f>
        <v/>
      </c>
      <c r="I27" s="86">
        <f>IF(IFERROR(INDEX(CtrlAplica,MATCH($E27,CtrlCod,0)),"")="No aplica","No aplica",IFERROR(INDEX('4. Controles y Madurez'!$I$6:$I$98,MATCH($E27,CtrlCod,0)),""))</f>
        <v/>
      </c>
      <c r="J27" s="78">
        <f>IF(IFERROR(INDEX(CtrlAplica,MATCH($E27,CtrlCod,0)),"")="No aplica","—",IFERROR(INDEX('4. Controles y Madurez'!$M$6:$M$98,MATCH($E27,CtrlCod,0)),""))</f>
        <v/>
      </c>
      <c r="K27" s="78">
        <f>IF(IFERROR(INDEX(CtrlAplica,MATCH($E27,CtrlCod,0)),"")="No aplica",0,IFERROR(INDEX('4. Controles y Madurez'!$T$6:$T$98,MATCH($E27,CtrlCod,0)),0))</f>
        <v/>
      </c>
      <c r="L27" s="78">
        <f>IF(IFERROR(INDEX(CtrlAplica,MATCH($E27,CtrlCod,0)),"")="No aplica",0,SUMPRODUCT(--ISNUMBER(SEARCH($E27&amp;" — ",'2. Valoración '!$AB$6:$AB$2261)),--('2. Valoración '!$AG$6:$AG$2261&lt;&gt;"Bajo")))</f>
        <v/>
      </c>
      <c r="M27" s="75" t="inlineStr">
        <is>
          <t>Comité del SIG</t>
        </is>
      </c>
      <c r="N27" s="75" t="inlineStr">
        <is>
          <t>Comité del SIG</t>
        </is>
      </c>
      <c r="O27" s="80" t="n"/>
      <c r="P27" s="80" t="n"/>
      <c r="Q27" s="75" t="n"/>
      <c r="R27" s="75" t="inlineStr">
        <is>
          <t>Cerrada</t>
        </is>
      </c>
      <c r="S27" s="98" t="n">
        <v>1</v>
      </c>
      <c r="T27" s="75" t="n"/>
      <c r="U27" s="80" t="n"/>
      <c r="V27" s="75" t="n"/>
      <c r="W27" s="75" t="inlineStr">
        <is>
          <t>No aplica</t>
        </is>
      </c>
      <c r="X27" s="75" t="n"/>
    </row>
    <row r="28">
      <c r="B28" s="74" t="inlineStr">
        <is>
          <t>PT-023</t>
        </is>
      </c>
      <c r="C28" s="76" t="inlineStr">
        <is>
          <t>Declarar no aplicable: trabajo en áreas seguras</t>
        </is>
      </c>
      <c r="D28" s="75" t="inlineStr">
        <is>
          <t>Aceptar</t>
        </is>
      </c>
      <c r="E28" s="75" t="inlineStr">
        <is>
          <t>A.7.6</t>
        </is>
      </c>
      <c r="F28" s="86">
        <f>IFERROR(INDEX('4. Controles y Madurez'!$C$6:$C$98,MATCH($E28,CtrlCod,0)),"")</f>
        <v/>
      </c>
      <c r="G28" s="76" t="inlineStr">
        <is>
          <t>No existen áreas seguras propias definidas.</t>
        </is>
      </c>
      <c r="H28" s="86">
        <f>IF(IFERROR(INDEX(CtrlAplica,MATCH($E28,CtrlCod,0)),"")="No aplica","No aplica",IFERROR(INDEX('4. Controles y Madurez'!$H$6:$H$98,MATCH($E28,CtrlCod,0)),""))</f>
        <v/>
      </c>
      <c r="I28" s="86">
        <f>IF(IFERROR(INDEX(CtrlAplica,MATCH($E28,CtrlCod,0)),"")="No aplica","No aplica",IFERROR(INDEX('4. Controles y Madurez'!$I$6:$I$98,MATCH($E28,CtrlCod,0)),""))</f>
        <v/>
      </c>
      <c r="J28" s="78">
        <f>IF(IFERROR(INDEX(CtrlAplica,MATCH($E28,CtrlCod,0)),"")="No aplica","—",IFERROR(INDEX('4. Controles y Madurez'!$M$6:$M$98,MATCH($E28,CtrlCod,0)),""))</f>
        <v/>
      </c>
      <c r="K28" s="78">
        <f>IF(IFERROR(INDEX(CtrlAplica,MATCH($E28,CtrlCod,0)),"")="No aplica",0,IFERROR(INDEX('4. Controles y Madurez'!$T$6:$T$98,MATCH($E28,CtrlCod,0)),0))</f>
        <v/>
      </c>
      <c r="L28" s="78">
        <f>IF(IFERROR(INDEX(CtrlAplica,MATCH($E28,CtrlCod,0)),"")="No aplica",0,SUMPRODUCT(--ISNUMBER(SEARCH($E28&amp;" — ",'2. Valoración '!$AB$6:$AB$2261)),--('2. Valoración '!$AG$6:$AG$2261&lt;&gt;"Bajo")))</f>
        <v/>
      </c>
      <c r="M28" s="75" t="inlineStr">
        <is>
          <t>Comité del SIG</t>
        </is>
      </c>
      <c r="N28" s="75" t="inlineStr">
        <is>
          <t>Comité del SIG</t>
        </is>
      </c>
      <c r="O28" s="80" t="n"/>
      <c r="P28" s="80" t="n"/>
      <c r="Q28" s="75" t="n"/>
      <c r="R28" s="75" t="inlineStr">
        <is>
          <t>Cerrada</t>
        </is>
      </c>
      <c r="S28" s="98" t="n">
        <v>1</v>
      </c>
      <c r="T28" s="75" t="n"/>
      <c r="U28" s="80" t="n"/>
      <c r="V28" s="75" t="n"/>
      <c r="W28" s="75" t="inlineStr">
        <is>
          <t>No aplica</t>
        </is>
      </c>
      <c r="X28" s="75" t="n"/>
    </row>
    <row r="29">
      <c r="B29" s="74" t="inlineStr">
        <is>
          <t>PT-024</t>
        </is>
      </c>
      <c r="C29" s="76" t="inlineStr">
        <is>
          <t>Declarar no aplicable: servicios de suministro</t>
        </is>
      </c>
      <c r="D29" s="75" t="inlineStr">
        <is>
          <t>Aceptar</t>
        </is>
      </c>
      <c r="E29" s="75" t="inlineStr">
        <is>
          <t>A.7.11</t>
        </is>
      </c>
      <c r="F29" s="86">
        <f>IFERROR(INDEX('4. Controles y Madurez'!$C$6:$C$98,MATCH($E29,CtrlCod,0)),"")</f>
        <v/>
      </c>
      <c r="G29" s="76" t="inlineStr">
        <is>
          <t>Los servicios de suministro son responsabilidad del proveedor de nube y del domicilio del colaborador.</t>
        </is>
      </c>
      <c r="H29" s="86">
        <f>IF(IFERROR(INDEX(CtrlAplica,MATCH($E29,CtrlCod,0)),"")="No aplica","No aplica",IFERROR(INDEX('4. Controles y Madurez'!$H$6:$H$98,MATCH($E29,CtrlCod,0)),""))</f>
        <v/>
      </c>
      <c r="I29" s="86">
        <f>IF(IFERROR(INDEX(CtrlAplica,MATCH($E29,CtrlCod,0)),"")="No aplica","No aplica",IFERROR(INDEX('4. Controles y Madurez'!$I$6:$I$98,MATCH($E29,CtrlCod,0)),""))</f>
        <v/>
      </c>
      <c r="J29" s="78">
        <f>IF(IFERROR(INDEX(CtrlAplica,MATCH($E29,CtrlCod,0)),"")="No aplica","—",IFERROR(INDEX('4. Controles y Madurez'!$M$6:$M$98,MATCH($E29,CtrlCod,0)),""))</f>
        <v/>
      </c>
      <c r="K29" s="78">
        <f>IF(IFERROR(INDEX(CtrlAplica,MATCH($E29,CtrlCod,0)),"")="No aplica",0,IFERROR(INDEX('4. Controles y Madurez'!$T$6:$T$98,MATCH($E29,CtrlCod,0)),0))</f>
        <v/>
      </c>
      <c r="L29" s="78">
        <f>IF(IFERROR(INDEX(CtrlAplica,MATCH($E29,CtrlCod,0)),"")="No aplica",0,SUMPRODUCT(--ISNUMBER(SEARCH($E29&amp;" — ",'2. Valoración '!$AB$6:$AB$2261)),--('2. Valoración '!$AG$6:$AG$2261&lt;&gt;"Bajo")))</f>
        <v/>
      </c>
      <c r="M29" s="75" t="inlineStr">
        <is>
          <t>Comité del SIG</t>
        </is>
      </c>
      <c r="N29" s="75" t="inlineStr">
        <is>
          <t>Comité del SIG</t>
        </is>
      </c>
      <c r="O29" s="80" t="n"/>
      <c r="P29" s="80" t="n"/>
      <c r="Q29" s="75" t="n"/>
      <c r="R29" s="75" t="inlineStr">
        <is>
          <t>Cerrada</t>
        </is>
      </c>
      <c r="S29" s="98" t="n">
        <v>1</v>
      </c>
      <c r="T29" s="75" t="n"/>
      <c r="U29" s="80" t="n"/>
      <c r="V29" s="75" t="n"/>
      <c r="W29" s="75" t="inlineStr">
        <is>
          <t>No aplica</t>
        </is>
      </c>
      <c r="X29" s="75" t="n"/>
    </row>
    <row r="30">
      <c r="B30" s="74" t="inlineStr">
        <is>
          <t>PT-025</t>
        </is>
      </c>
      <c r="C30" s="76" t="inlineStr">
        <is>
          <t>Declarar no aplicable: seguridad del cableado</t>
        </is>
      </c>
      <c r="D30" s="75" t="inlineStr">
        <is>
          <t>Aceptar</t>
        </is>
      </c>
      <c r="E30" s="75" t="inlineStr">
        <is>
          <t>A.7.12</t>
        </is>
      </c>
      <c r="F30" s="86">
        <f>IFERROR(INDEX('4. Controles y Madurez'!$C$6:$C$98,MATCH($E30,CtrlCod,0)),"")</f>
        <v/>
      </c>
      <c r="G30" s="76" t="inlineStr">
        <is>
          <t>No hay cableado propio bajo control de la organización.</t>
        </is>
      </c>
      <c r="H30" s="86">
        <f>IF(IFERROR(INDEX(CtrlAplica,MATCH($E30,CtrlCod,0)),"")="No aplica","No aplica",IFERROR(INDEX('4. Controles y Madurez'!$H$6:$H$98,MATCH($E30,CtrlCod,0)),""))</f>
        <v/>
      </c>
      <c r="I30" s="86">
        <f>IF(IFERROR(INDEX(CtrlAplica,MATCH($E30,CtrlCod,0)),"")="No aplica","No aplica",IFERROR(INDEX('4. Controles y Madurez'!$I$6:$I$98,MATCH($E30,CtrlCod,0)),""))</f>
        <v/>
      </c>
      <c r="J30" s="78">
        <f>IF(IFERROR(INDEX(CtrlAplica,MATCH($E30,CtrlCod,0)),"")="No aplica","—",IFERROR(INDEX('4. Controles y Madurez'!$M$6:$M$98,MATCH($E30,CtrlCod,0)),""))</f>
        <v/>
      </c>
      <c r="K30" s="78">
        <f>IF(IFERROR(INDEX(CtrlAplica,MATCH($E30,CtrlCod,0)),"")="No aplica",0,IFERROR(INDEX('4. Controles y Madurez'!$T$6:$T$98,MATCH($E30,CtrlCod,0)),0))</f>
        <v/>
      </c>
      <c r="L30" s="78">
        <f>IF(IFERROR(INDEX(CtrlAplica,MATCH($E30,CtrlCod,0)),"")="No aplica",0,SUMPRODUCT(--ISNUMBER(SEARCH($E30&amp;" — ",'2. Valoración '!$AB$6:$AB$2261)),--('2. Valoración '!$AG$6:$AG$2261&lt;&gt;"Bajo")))</f>
        <v/>
      </c>
      <c r="M30" s="75" t="inlineStr">
        <is>
          <t>Comité del SIG</t>
        </is>
      </c>
      <c r="N30" s="75" t="inlineStr">
        <is>
          <t>Comité del SIG</t>
        </is>
      </c>
      <c r="O30" s="80" t="n"/>
      <c r="P30" s="80" t="n"/>
      <c r="Q30" s="75" t="n"/>
      <c r="R30" s="75" t="inlineStr">
        <is>
          <t>Cerrada</t>
        </is>
      </c>
      <c r="S30" s="98" t="n">
        <v>1</v>
      </c>
      <c r="T30" s="75" t="n"/>
      <c r="U30" s="80" t="n"/>
      <c r="V30" s="75" t="n"/>
      <c r="W30" s="75" t="inlineStr">
        <is>
          <t>No aplica</t>
        </is>
      </c>
      <c r="X30" s="75" t="n"/>
    </row>
    <row r="33" ht="20" customHeight="1" s="54">
      <c r="B33" s="101" t="inlineStr">
        <is>
          <t>SEGUIMIENTO DEL PLAN</t>
        </is>
      </c>
      <c r="C33" s="82" t="n"/>
      <c r="D33" s="82" t="n"/>
      <c r="E33" s="82" t="n"/>
      <c r="F33" s="82" t="n"/>
    </row>
    <row r="34" ht="19" customHeight="1" s="54">
      <c r="B34" s="83" t="inlineStr">
        <is>
          <t>Acciones registradas</t>
        </is>
      </c>
      <c r="C34" s="84">
        <f>COUNTA('6. Plan de Tratamiento'!$B$6:$B$30)</f>
        <v/>
      </c>
      <c r="D34" s="56" t="n"/>
    </row>
    <row r="35" ht="19" customHeight="1" s="54">
      <c r="B35" s="83" t="inlineStr">
        <is>
          <t>Acciones de mejora (Mitigar)</t>
        </is>
      </c>
      <c r="C35" s="84">
        <f>COUNTIF('6. Plan de Tratamiento'!$D$6:$D$30,"Mitigar")</f>
        <v/>
      </c>
      <c r="D35" s="56" t="n"/>
    </row>
    <row r="36" ht="19" customHeight="1" s="54">
      <c r="B36" s="83" t="inlineStr">
        <is>
          <t>Declaraciones de no aplicabilidad</t>
        </is>
      </c>
      <c r="C36" s="84">
        <f>COUNTIF('6. Plan de Tratamiento'!$D$6:$D$30,"Aceptar")</f>
        <v/>
      </c>
      <c r="D36" s="56" t="n"/>
    </row>
    <row r="37" ht="19" customHeight="1" s="54">
      <c r="B37" s="83" t="inlineStr">
        <is>
          <t>Acciones cerradas</t>
        </is>
      </c>
      <c r="C37" s="84">
        <f>COUNTIF('6. Plan de Tratamiento'!$R$6:$R$30,"Cerrada")</f>
        <v/>
      </c>
      <c r="D37" s="56" t="n"/>
    </row>
    <row r="38" ht="19" customHeight="1" s="54">
      <c r="B38" s="83" t="inlineStr">
        <is>
          <t>Acciones vencidas sin cerrar</t>
        </is>
      </c>
      <c r="C38" s="84">
        <f>SUMPRODUCT(--('6. Plan de Tratamiento'!$P$6:$P$30&lt;&gt;""),--('6. Plan de Tratamiento'!$P$6:$P$30&lt;TODAY()),--('6. Plan de Tratamiento'!$R$6:$R$30&lt;&gt;"Cerrada"))</f>
        <v/>
      </c>
      <c r="D38" s="56" t="n"/>
    </row>
    <row r="39" ht="19" customHeight="1" s="54">
      <c r="B39" s="83" t="inlineStr">
        <is>
          <t>Avance medio del plan</t>
        </is>
      </c>
      <c r="C39" s="100">
        <f>IFERROR(AVERAGE('6. Plan de Tratamiento'!$S$6:$S$30),0)</f>
        <v/>
      </c>
      <c r="D39" s="56" t="n"/>
    </row>
    <row r="40" ht="19" customHeight="1" s="54">
      <c r="B40" s="83" t="inlineStr">
        <is>
          <t>Riesgos alcanzados por el plan</t>
        </is>
      </c>
      <c r="C40" s="84">
        <f>SUM('6. Plan de Tratamiento'!$K$6:$K$30)</f>
        <v/>
      </c>
      <c r="D40" s="56" t="n"/>
    </row>
    <row r="41" ht="19" customHeight="1" s="54">
      <c r="B41" s="83" t="inlineStr">
        <is>
          <t>Saltos de madurez comprometidos</t>
        </is>
      </c>
      <c r="C41" s="84">
        <f>SUMPRODUCT(--ISNUMBER('6. Plan de Tratamiento'!$J$6:$J$30),IFERROR('6. Plan de Tratamiento'!$J$6:$J$30,0))</f>
        <v/>
      </c>
      <c r="D41" s="56" t="n"/>
    </row>
    <row r="43" ht="20" customHeight="1" s="54">
      <c r="B43" s="101" t="inlineStr">
        <is>
          <t>ACCIONES POR ESTADO</t>
        </is>
      </c>
      <c r="C43" s="82" t="n"/>
      <c r="D43" s="82" t="n"/>
    </row>
    <row r="44">
      <c r="B44" s="68" t="inlineStr">
        <is>
          <t>Estado</t>
        </is>
      </c>
      <c r="C44" s="68" t="inlineStr">
        <is>
          <t>Acciones</t>
        </is>
      </c>
      <c r="D44" s="68" t="inlineStr">
        <is>
          <t>% del plan</t>
        </is>
      </c>
    </row>
    <row r="45">
      <c r="B45" s="69" t="inlineStr">
        <is>
          <t>No iniciada</t>
        </is>
      </c>
      <c r="C45" s="89">
        <f>COUNTIF('6. Plan de Tratamiento'!$R$6:$R$30,$B45)</f>
        <v/>
      </c>
      <c r="D45" s="90">
        <f>IFERROR(C45/COUNTA('6. Plan de Tratamiento'!$B$6:$B$30),0)</f>
        <v/>
      </c>
    </row>
    <row r="46">
      <c r="B46" s="69" t="inlineStr">
        <is>
          <t>En ejecución</t>
        </is>
      </c>
      <c r="C46" s="89">
        <f>COUNTIF('6. Plan de Tratamiento'!$R$6:$R$30,$B46)</f>
        <v/>
      </c>
      <c r="D46" s="90">
        <f>IFERROR(C46/COUNTA('6. Plan de Tratamiento'!$B$6:$B$30),0)</f>
        <v/>
      </c>
    </row>
    <row r="47">
      <c r="B47" s="69" t="inlineStr">
        <is>
          <t>En verificación</t>
        </is>
      </c>
      <c r="C47" s="89">
        <f>COUNTIF('6. Plan de Tratamiento'!$R$6:$R$30,$B47)</f>
        <v/>
      </c>
      <c r="D47" s="90">
        <f>IFERROR(C47/COUNTA('6. Plan de Tratamiento'!$B$6:$B$30),0)</f>
        <v/>
      </c>
    </row>
    <row r="48">
      <c r="B48" s="69" t="inlineStr">
        <is>
          <t>Cerrada</t>
        </is>
      </c>
      <c r="C48" s="89">
        <f>COUNTIF('6. Plan de Tratamiento'!$R$6:$R$30,$B48)</f>
        <v/>
      </c>
      <c r="D48" s="90">
        <f>IFERROR(C48/COUNTA('6. Plan de Tratamiento'!$B$6:$B$30),0)</f>
        <v/>
      </c>
    </row>
    <row r="49">
      <c r="B49" s="69" t="inlineStr">
        <is>
          <t>Cancelada</t>
        </is>
      </c>
      <c r="C49" s="89">
        <f>COUNTIF('6. Plan de Tratamiento'!$R$6:$R$30,$B49)</f>
        <v/>
      </c>
      <c r="D49" s="90">
        <f>IFERROR(C49/COUNTA('6. Plan de Tratamiento'!$B$6:$B$30),0)</f>
        <v/>
      </c>
    </row>
    <row r="52" ht="20" customHeight="1" s="54">
      <c r="B52" s="101" t="inlineStr">
        <is>
          <t>CÓMO SE REGISTRA UNA ACCIÓN</t>
        </is>
      </c>
      <c r="C52" s="82" t="n"/>
      <c r="D52" s="82" t="n"/>
      <c r="E52" s="82" t="n"/>
      <c r="F52" s="82" t="n"/>
    </row>
    <row r="53" ht="42" customHeight="1" s="54">
      <c r="B53" s="53" t="inlineStr">
        <is>
          <t>La unidad del plan es la acción sobre un control, no el riesgo. Con 2.256 riesgos un plan por riesgo es inmanejable, y además incorrecto: desde que la eficacia sale de la madurez de los controles, un riesgo individual no se puede bajar por separado.</t>
        </is>
      </c>
    </row>
    <row r="54" ht="42" customHeight="1" s="54">
      <c r="B54" s="53" t="inlineStr">
        <is>
          <t>El «antes y después» no se escribe, se calcula. Las columnas lila muestran la madurez actual, la objetivo, el salto comprometido y cuántos riesgos mueve la acción. Si alguien teclea esos números, en el siguiente corte estarán mintiendo.</t>
        </is>
      </c>
    </row>
    <row r="55" ht="42" customHeight="1" s="54">
      <c r="B55" s="53" t="inlineStr">
        <is>
          <t>Toda acción tiene dos personas distintas: quien la ejecuta y el propietario del riesgo que la aprueba. ISO/IEC 27001 cláusula 6.1.3 exige la aprobación del propietario del riesgo, no basta con asignar un responsable.</t>
        </is>
      </c>
    </row>
    <row r="56" ht="42" customHeight="1" s="54">
      <c r="B56" s="53" t="inlineStr">
        <is>
          <t>Aceptar un riesgo también es una acción y se registra. Necesita justificación escrita, aprobación del Comité y fecha de revisión. Un riesgo aceptado sin fecha de caducidad no es una decisión: es un olvido con formato.</t>
        </is>
      </c>
    </row>
    <row r="57" ht="42" customHeight="1" s="54">
      <c r="B57" s="53" t="inlineStr">
        <is>
          <t>Transferir se registra con el instrumento —póliza o cláusula contractual— y con el riesgo remanente, porque transferir nunca transfiere todo: un seguro cubre la pérdida financiera, no la reputacional ni la sanción.</t>
        </is>
      </c>
    </row>
    <row r="58" ht="42" customHeight="1" s="54">
      <c r="B58" s="53" t="inlineStr">
        <is>
          <t>El cierre exige verificación de eficacia, no solo evidencia de ejecución. La reevaluación de la madurez del control en el siguiente corte es esa verificación: si el control subió de nivel, la acción funcionó; si sigue igual, no.</t>
        </is>
      </c>
    </row>
  </sheetData>
  <autoFilter ref="B5:X30"/>
  <mergeCells count="17">
    <mergeCell ref="C34:D34"/>
    <mergeCell ref="C38:D38"/>
    <mergeCell ref="B56:H56"/>
    <mergeCell ref="B57:H57"/>
    <mergeCell ref="B58:H58"/>
    <mergeCell ref="B53:H53"/>
    <mergeCell ref="C41:D41"/>
    <mergeCell ref="C37:D37"/>
    <mergeCell ref="B55:H55"/>
    <mergeCell ref="C36:D36"/>
    <mergeCell ref="B54:H54"/>
    <mergeCell ref="C40:D40"/>
    <mergeCell ref="C3:D3"/>
    <mergeCell ref="C39:D39"/>
    <mergeCell ref="G3:H3"/>
    <mergeCell ref="E3:F3"/>
    <mergeCell ref="C35:D35"/>
  </mergeCells>
  <conditionalFormatting sqref="R6:R30">
    <cfRule type="expression" priority="1" dxfId="5">
      <formula>EXACT(R6,"No iniciada")</formula>
    </cfRule>
    <cfRule type="expression" priority="2" dxfId="2">
      <formula>EXACT(R6,"En ejecución")</formula>
    </cfRule>
    <cfRule type="expression" priority="3" dxfId="3">
      <formula>EXACT(R6,"En verificación")</formula>
    </cfRule>
    <cfRule type="expression" priority="4" dxfId="0">
      <formula>EXACT(R6,"Cerrada")</formula>
    </cfRule>
    <cfRule type="expression" priority="5" dxfId="79">
      <formula>EXACT(R6,"Cancelada")</formula>
    </cfRule>
  </conditionalFormatting>
  <conditionalFormatting sqref="P6:P30">
    <cfRule type="expression" priority="6" dxfId="80">
      <formula>AND(P6&lt;&gt;"",P6&lt;TODAY(),R6&lt;&gt;"Cerrada")</formula>
    </cfRule>
  </conditionalFormatting>
  <dataValidations count="6">
    <dataValidation sqref="D6:D30" showDropDown="0" showInputMessage="0" showErrorMessage="0" allowBlank="1" type="list">
      <formula1>=LstTipoTto</formula1>
    </dataValidation>
    <dataValidation sqref="E6:E30" showDropDown="0" showInputMessage="0" showErrorMessage="0" allowBlank="1" type="list">
      <formula1>=CtrlCod</formula1>
    </dataValidation>
    <dataValidation sqref="M6:N30" showDropDown="0" showInputMessage="0" showErrorMessage="0" allowBlank="1" type="list">
      <formula1>=LstCargo</formula1>
    </dataValidation>
    <dataValidation sqref="R6:R30" showDropDown="0" showInputMessage="0" showErrorMessage="0" allowBlank="1" type="list">
      <formula1>=LstEstadoAcc</formula1>
    </dataValidation>
    <dataValidation sqref="V6:V30" showDropDown="0" showInputMessage="0" showErrorMessage="0" allowBlank="1" type="list">
      <formula1>=LstMadurez</formula1>
    </dataValidation>
    <dataValidation sqref="W6:W30" showDropDown="0" showInputMessage="0" showErrorMessage="0" allowBlank="1" type="list">
      <formula1>=LstVerif</formula1>
    </dataValidation>
  </dataValidation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filterMode="1">
    <outlinePr summaryBelow="1" summaryRight="1"/>
    <pageSetUpPr/>
  </sheetPr>
  <dimension ref="B1:AX62"/>
  <sheetViews>
    <sheetView showGridLines="0" tabSelected="1" zoomScale="57" zoomScaleNormal="40" workbookViewId="0">
      <pane xSplit="3" ySplit="5" topLeftCell="D21" activePane="bottomRight" state="frozen"/>
      <selection pane="topRight" activeCell="A1" sqref="A1"/>
      <selection pane="bottomLeft" activeCell="A1" sqref="A1"/>
      <selection pane="bottomRight" activeCell="G5" sqref="G5"/>
    </sheetView>
  </sheetViews>
  <sheetFormatPr baseColWidth="10" defaultColWidth="8.7265625" defaultRowHeight="14.5"/>
  <cols>
    <col width="2.36328125" customWidth="1" style="54" min="1" max="1"/>
    <col width="13" customWidth="1" style="54" min="2" max="2"/>
    <col width="38" customWidth="1" style="54" min="3" max="3"/>
    <col width="30" customWidth="1" style="54" min="4" max="4"/>
    <col width="17" customWidth="1" style="54" min="5" max="14"/>
    <col width="30" customWidth="1" style="54" min="15" max="17"/>
    <col width="34" customWidth="1" style="54" min="18" max="18"/>
    <col width="62" customWidth="1" style="54" min="19" max="19"/>
    <col width="54" customWidth="1" style="54" min="20" max="20"/>
    <col hidden="1" width="13" customWidth="1" style="54" min="22" max="22"/>
    <col hidden="1" width="13" customWidth="1" style="54" min="40" max="41"/>
    <col hidden="1" width="13" customWidth="1" style="54" min="50" max="50"/>
  </cols>
  <sheetData>
    <row r="1" ht="21.5" customHeight="1" s="54">
      <c r="B1" s="1" t="inlineStr">
        <is>
          <t>CATÁLOGO DE AMENAZAS — MAGERIT v3.0, LIBRO II, CAP. 5</t>
        </is>
      </c>
    </row>
    <row r="2" ht="15" customHeight="1" s="54">
      <c r="B2" s="2" t="inlineStr">
        <is>
          <t>Las 57 amenazas oficiales. Las columnas de tipo de activo indican, con «Sí», a qué tipos aplica cada amenaza según la norma. La degradación y la frecuencia son la propuesta inicial para Cuántico y se pueden ajustar.</t>
        </is>
      </c>
    </row>
    <row r="3" ht="28" customHeight="1" s="54">
      <c r="B3" s="17" t="inlineStr">
        <is>
          <t>Código de color:</t>
        </is>
      </c>
      <c r="C3" s="55" t="inlineStr">
        <is>
          <t>Amarillo = Campo de entrada — se selecciona de una lista</t>
        </is>
      </c>
      <c r="D3" s="56" t="n"/>
      <c r="E3" s="58" t="inlineStr">
        <is>
          <t>Lila = Calculado automáticamente — no escribir encima</t>
        </is>
      </c>
      <c r="F3" s="56" t="n"/>
      <c r="G3" s="57" t="inlineStr">
        <is>
          <t>Gris = Dato de la norma MAGERIT — no modificar</t>
        </is>
      </c>
      <c r="H3" s="56" t="n"/>
    </row>
    <row r="5" ht="56" customHeight="1" s="54">
      <c r="B5" s="5" t="inlineStr">
        <is>
          <t>Código de la amenaza</t>
        </is>
      </c>
      <c r="C5" s="5" t="inlineStr">
        <is>
          <t>Amenaza</t>
        </is>
      </c>
      <c r="D5" s="5" t="inlineStr">
        <is>
          <t>Grupo MAGERIT</t>
        </is>
      </c>
      <c r="E5" s="5" t="inlineStr">
        <is>
          <t>[D] Datos / Información</t>
        </is>
      </c>
      <c r="F5" s="5" t="inlineStr">
        <is>
          <t>[K] Claves criptográficas</t>
        </is>
      </c>
      <c r="G5" s="5" t="inlineStr">
        <is>
          <t>[S] Servicios</t>
        </is>
      </c>
      <c r="H5" s="5" t="inlineStr">
        <is>
          <t>[SW] Aplicaciones (software)</t>
        </is>
      </c>
      <c r="I5" s="5" t="inlineStr">
        <is>
          <t>[HW] Equipamiento informático (hardware)</t>
        </is>
      </c>
      <c r="J5" s="5" t="inlineStr">
        <is>
          <t>[COM] Redes de comunicaciones</t>
        </is>
      </c>
      <c r="K5" s="5" t="inlineStr">
        <is>
          <t>[Media] Soportes de información</t>
        </is>
      </c>
      <c r="L5" s="5" t="inlineStr">
        <is>
          <t>[AUX] Equipamiento auxiliar</t>
        </is>
      </c>
      <c r="M5" s="5" t="inlineStr">
        <is>
          <t>[L] Instalaciones</t>
        </is>
      </c>
      <c r="N5" s="5" t="inlineStr">
        <is>
          <t>[P] Personal</t>
        </is>
      </c>
      <c r="O5" s="5" t="inlineStr">
        <is>
          <t>Degradación en Disponibilidad</t>
        </is>
      </c>
      <c r="P5" s="5" t="inlineStr">
        <is>
          <t>Degradación en Integridad</t>
        </is>
      </c>
      <c r="Q5" s="5" t="inlineStr">
        <is>
          <t>Degradación en Confidencialidad</t>
        </is>
      </c>
      <c r="R5" s="5" t="inlineStr">
        <is>
          <t>Frecuencia esperada</t>
        </is>
      </c>
      <c r="S5" s="5" t="inlineStr">
        <is>
          <t>Controles ISO 27001 sugeridos</t>
        </is>
      </c>
      <c r="T5" s="5" t="inlineStr">
        <is>
          <t>Aplicación en el escenario de Cuántico</t>
        </is>
      </c>
      <c r="V5" s="22" t="inlineStr">
        <is>
          <t>Clave de búsqueda (auxiliar)</t>
        </is>
      </c>
      <c r="AN5" s="22" t="inlineStr">
        <is>
          <t>Ranking del proceso (auxiliar)</t>
        </is>
      </c>
      <c r="AO5" s="22" t="inlineStr">
        <is>
          <t>Riesgos totales del proceso (auxiliar)</t>
        </is>
      </c>
      <c r="AR5" s="22" t="inlineStr">
        <is>
          <t>Subtipos cubiertos (auxiliar)</t>
        </is>
      </c>
      <c r="AX5" s="22" t="inlineStr">
        <is>
          <t>Eficacia media de sus controles (aux.)</t>
        </is>
      </c>
    </row>
    <row r="6" hidden="1" ht="90" customHeight="1" s="54">
      <c r="B6" s="23" t="inlineStr">
        <is>
          <t>N.1</t>
        </is>
      </c>
      <c r="C6" s="13" t="inlineStr">
        <is>
          <t>Fuego</t>
        </is>
      </c>
      <c r="D6" s="59" t="inlineStr">
        <is>
          <t>[N] Desastres naturales</t>
        </is>
      </c>
      <c r="E6" s="24" t="inlineStr">
        <is>
          <t>—</t>
        </is>
      </c>
      <c r="F6" s="24" t="inlineStr">
        <is>
          <t>—</t>
        </is>
      </c>
      <c r="G6" s="24" t="inlineStr">
        <is>
          <t>—</t>
        </is>
      </c>
      <c r="H6" s="24" t="inlineStr">
        <is>
          <t>—</t>
        </is>
      </c>
      <c r="I6" s="25" t="inlineStr">
        <is>
          <t>Sí</t>
        </is>
      </c>
      <c r="J6" s="24" t="inlineStr">
        <is>
          <t>—</t>
        </is>
      </c>
      <c r="K6" s="25" t="inlineStr">
        <is>
          <t>Sí</t>
        </is>
      </c>
      <c r="L6" s="25" t="inlineStr">
        <is>
          <t>Sí</t>
        </is>
      </c>
      <c r="M6" s="25" t="inlineStr">
        <is>
          <t>Sí</t>
        </is>
      </c>
      <c r="N6" s="24" t="inlineStr">
        <is>
          <t>—</t>
        </is>
      </c>
      <c r="O6" s="21" t="inlineStr">
        <is>
          <t>Muy alta</t>
        </is>
      </c>
      <c r="P6" s="21" t="inlineStr">
        <is>
          <t>No aplica</t>
        </is>
      </c>
      <c r="Q6" s="21" t="inlineStr">
        <is>
          <t>No aplica</t>
        </is>
      </c>
      <c r="R6" s="21" t="inlineStr">
        <is>
          <t>Muy baja — excepcional, cada muchos años</t>
        </is>
      </c>
      <c r="S6" s="13" t="inlineStr">
        <is>
          <t>A.7.5 — Protección contra amenazas físicas y ambientales
A.7.11 — Servicios de suministro
A.8.13 — Respaldo de la información
A.5.29 — Seguridad de la información durante la disrupción
A.5.30 — Preparación de las TIC para la continuidad del negocio
A.7.3 — Seguridad de oficinas, recintos e instalaciones</t>
        </is>
      </c>
      <c r="T6" s="13" t="inlineStr">
        <is>
          <t>Incendio en sede u hogar del teletrabajador. Solo afecta activos con soporte físico.</t>
        </is>
      </c>
      <c r="V6" s="26">
        <f>SUBSTITUTE($B6,"*","-")</f>
        <v/>
      </c>
      <c r="AN6">
        <f>IF(Dashboard!$C$5="(Todos los procesos)",COUNTIFS('2. Valoración '!$H$6:$H$2261,$B6,'2. Valoración '!$Z$6:$Z$2261,"Alto")+COUNTIFS('2. Valoración '!$H$6:$H$2261,$B6,'2. Valoración '!$Z$6:$Z$2261,"Crítico"),COUNTIFS('2. Valoración '!$E$6:$E$2261,Dashboard!$C$5,'2. Valoración '!$H$6:$H$2261,$B6,'2. Valoración '!$Z$6:$Z$2261,"Alto")+COUNTIFS('2. Valoración '!$E$6:$E$2261,Dashboard!$C$5,'2. Valoración '!$H$6:$H$2261,$B6,'2. Valoración '!$Z$6:$Z$2261,"Crítico"))+0/1000</f>
        <v/>
      </c>
      <c r="AO6">
        <f>IF(Dashboard!$C$5="(Todos los procesos)",COUNTIF('2. Valoración '!$H$6:$H$2261,$B6),COUNTIFS('2. Valoración '!$E$6:$E$2261,Dashboard!$C$5,'2. Valoración '!$H$6:$H$2261,$B6))</f>
        <v/>
      </c>
      <c r="AX6" s="97">
        <f>IFERROR(AVERAGE('4. Controles y Madurez'!$J$55,'4. Controles y Madurez'!$J$61,'4. Controles y Madurez'!$J$77,'4. Controles y Madurez'!$J$34,'4. Controles y Madurez'!$J$35,'4. Controles y Madurez'!$J$53),0)</f>
        <v/>
      </c>
    </row>
    <row r="7" hidden="1" ht="60" customHeight="1" s="54">
      <c r="B7" s="23" t="inlineStr">
        <is>
          <t>N.2</t>
        </is>
      </c>
      <c r="C7" s="13" t="inlineStr">
        <is>
          <t>Daños por agua</t>
        </is>
      </c>
      <c r="D7" s="59" t="inlineStr">
        <is>
          <t>[N] Desastres naturales</t>
        </is>
      </c>
      <c r="E7" s="24" t="inlineStr">
        <is>
          <t>—</t>
        </is>
      </c>
      <c r="F7" s="24" t="inlineStr">
        <is>
          <t>—</t>
        </is>
      </c>
      <c r="G7" s="24" t="inlineStr">
        <is>
          <t>—</t>
        </is>
      </c>
      <c r="H7" s="24" t="inlineStr">
        <is>
          <t>—</t>
        </is>
      </c>
      <c r="I7" s="25" t="inlineStr">
        <is>
          <t>Sí</t>
        </is>
      </c>
      <c r="J7" s="24" t="inlineStr">
        <is>
          <t>—</t>
        </is>
      </c>
      <c r="K7" s="25" t="inlineStr">
        <is>
          <t>Sí</t>
        </is>
      </c>
      <c r="L7" s="25" t="inlineStr">
        <is>
          <t>Sí</t>
        </is>
      </c>
      <c r="M7" s="25" t="inlineStr">
        <is>
          <t>Sí</t>
        </is>
      </c>
      <c r="N7" s="24" t="inlineStr">
        <is>
          <t>—</t>
        </is>
      </c>
      <c r="O7" s="21" t="inlineStr">
        <is>
          <t>Alta</t>
        </is>
      </c>
      <c r="P7" s="21" t="inlineStr">
        <is>
          <t>No aplica</t>
        </is>
      </c>
      <c r="Q7" s="21" t="inlineStr">
        <is>
          <t>No aplica</t>
        </is>
      </c>
      <c r="R7" s="21" t="inlineStr">
        <is>
          <t>Muy baja — excepcional, cada muchos años</t>
        </is>
      </c>
      <c r="S7" s="13" t="inlineStr">
        <is>
          <t>A.7.5 — Protección contra amenazas físicas y ambientales
A.7.8 — Ubicación y protección de los equipos
A.8.13 — Respaldo de la información
A.5.29 — Seguridad de la información durante la disrupción</t>
        </is>
      </c>
      <c r="T7" s="13" t="inlineStr">
        <is>
          <t>Inundación o filtración sobre equipos, soportes o instalaciones.</t>
        </is>
      </c>
      <c r="V7" s="26">
        <f>SUBSTITUTE($B7,"*","-")</f>
        <v/>
      </c>
      <c r="AN7">
        <f>IF(Dashboard!$C$5="(Todos los procesos)",COUNTIFS('2. Valoración '!$H$6:$H$2261,$B7,'2. Valoración '!$Z$6:$Z$2261,"Alto")+COUNTIFS('2. Valoración '!$H$6:$H$2261,$B7,'2. Valoración '!$Z$6:$Z$2261,"Crítico"),COUNTIFS('2. Valoración '!$E$6:$E$2261,Dashboard!$C$5,'2. Valoración '!$H$6:$H$2261,$B7,'2. Valoración '!$Z$6:$Z$2261,"Alto")+COUNTIFS('2. Valoración '!$E$6:$E$2261,Dashboard!$C$5,'2. Valoración '!$H$6:$H$2261,$B7,'2. Valoración '!$Z$6:$Z$2261,"Crítico"))+1/1000</f>
        <v/>
      </c>
      <c r="AO7">
        <f>IF(Dashboard!$C$5="(Todos los procesos)",COUNTIF('2. Valoración '!$H$6:$H$2261,$B7),COUNTIFS('2. Valoración '!$E$6:$E$2261,Dashboard!$C$5,'2. Valoración '!$H$6:$H$2261,$B7))</f>
        <v/>
      </c>
      <c r="AX7" s="97">
        <f>IFERROR(AVERAGE('4. Controles y Madurez'!$J$55,'4. Controles y Madurez'!$J$58,'4. Controles y Madurez'!$J$77,'4. Controles y Madurez'!$J$34),0)</f>
        <v/>
      </c>
    </row>
    <row r="8" hidden="1" ht="75" customHeight="1" s="54">
      <c r="B8" s="23" t="inlineStr">
        <is>
          <t>N.*</t>
        </is>
      </c>
      <c r="C8" s="13" t="inlineStr">
        <is>
          <t>Desastres naturales</t>
        </is>
      </c>
      <c r="D8" s="59" t="inlineStr">
        <is>
          <t>[N] Desastres naturales</t>
        </is>
      </c>
      <c r="E8" s="24" t="inlineStr">
        <is>
          <t>—</t>
        </is>
      </c>
      <c r="F8" s="24" t="inlineStr">
        <is>
          <t>—</t>
        </is>
      </c>
      <c r="G8" s="24" t="inlineStr">
        <is>
          <t>—</t>
        </is>
      </c>
      <c r="H8" s="24" t="inlineStr">
        <is>
          <t>—</t>
        </is>
      </c>
      <c r="I8" s="25" t="inlineStr">
        <is>
          <t>Sí</t>
        </is>
      </c>
      <c r="J8" s="24" t="inlineStr">
        <is>
          <t>—</t>
        </is>
      </c>
      <c r="K8" s="25" t="inlineStr">
        <is>
          <t>Sí</t>
        </is>
      </c>
      <c r="L8" s="25" t="inlineStr">
        <is>
          <t>Sí</t>
        </is>
      </c>
      <c r="M8" s="25" t="inlineStr">
        <is>
          <t>Sí</t>
        </is>
      </c>
      <c r="N8" s="24" t="inlineStr">
        <is>
          <t>—</t>
        </is>
      </c>
      <c r="O8" s="21" t="inlineStr">
        <is>
          <t>Muy alta</t>
        </is>
      </c>
      <c r="P8" s="21" t="inlineStr">
        <is>
          <t>No aplica</t>
        </is>
      </c>
      <c r="Q8" s="21" t="inlineStr">
        <is>
          <t>No aplica</t>
        </is>
      </c>
      <c r="R8" s="21" t="inlineStr">
        <is>
          <t>Muy baja — excepcional, cada muchos años</t>
        </is>
      </c>
      <c r="S8" s="13" t="inlineStr">
        <is>
          <t>A.7.5 — Protección contra amenazas físicas y ambientales
A.5.29 — Seguridad de la información durante la disrupción
A.5.30 — Preparación de las TIC para la continuidad del negocio
A.8.13 — Respaldo de la información
A.8.14 — Redundancia de las instalaciones de procesamiento</t>
        </is>
      </c>
      <c r="T8" s="13" t="inlineStr">
        <is>
          <t>Sismo (Colombia, zona sísmica), tormenta, deslizamiento.</t>
        </is>
      </c>
      <c r="V8" s="26">
        <f>SUBSTITUTE($B8,"*","-")</f>
        <v/>
      </c>
      <c r="AN8">
        <f>IF(Dashboard!$C$5="(Todos los procesos)",COUNTIFS('2. Valoración '!$H$6:$H$2261,$B8,'2. Valoración '!$Z$6:$Z$2261,"Alto")+COUNTIFS('2. Valoración '!$H$6:$H$2261,$B8,'2. Valoración '!$Z$6:$Z$2261,"Crítico"),COUNTIFS('2. Valoración '!$E$6:$E$2261,Dashboard!$C$5,'2. Valoración '!$H$6:$H$2261,$B8,'2. Valoración '!$Z$6:$Z$2261,"Alto")+COUNTIFS('2. Valoración '!$E$6:$E$2261,Dashboard!$C$5,'2. Valoración '!$H$6:$H$2261,$B8,'2. Valoración '!$Z$6:$Z$2261,"Crítico"))+2/1000</f>
        <v/>
      </c>
      <c r="AO8">
        <f>IF(Dashboard!$C$5="(Todos los procesos)",COUNTIF('2. Valoración '!$H$6:$H$2261,$B8),COUNTIFS('2. Valoración '!$E$6:$E$2261,Dashboard!$C$5,'2. Valoración '!$H$6:$H$2261,$B8))</f>
        <v/>
      </c>
      <c r="AX8" s="97">
        <f>IFERROR(AVERAGE('4. Controles y Madurez'!$J$55,'4. Controles y Madurez'!$J$34,'4. Controles y Madurez'!$J$35,'4. Controles y Madurez'!$J$77,'4. Controles y Madurez'!$J$78),0)</f>
        <v/>
      </c>
    </row>
    <row r="9" hidden="1" ht="75" customHeight="1" s="54">
      <c r="B9" s="23" t="inlineStr">
        <is>
          <t>I.1</t>
        </is>
      </c>
      <c r="C9" s="13" t="inlineStr">
        <is>
          <t>Fuego</t>
        </is>
      </c>
      <c r="D9" s="59" t="inlineStr">
        <is>
          <t>[I] De origen industrial</t>
        </is>
      </c>
      <c r="E9" s="24" t="inlineStr">
        <is>
          <t>—</t>
        </is>
      </c>
      <c r="F9" s="24" t="inlineStr">
        <is>
          <t>—</t>
        </is>
      </c>
      <c r="G9" s="24" t="inlineStr">
        <is>
          <t>—</t>
        </is>
      </c>
      <c r="H9" s="24" t="inlineStr">
        <is>
          <t>—</t>
        </is>
      </c>
      <c r="I9" s="25" t="inlineStr">
        <is>
          <t>Sí</t>
        </is>
      </c>
      <c r="J9" s="24" t="inlineStr">
        <is>
          <t>—</t>
        </is>
      </c>
      <c r="K9" s="25" t="inlineStr">
        <is>
          <t>Sí</t>
        </is>
      </c>
      <c r="L9" s="25" t="inlineStr">
        <is>
          <t>Sí</t>
        </is>
      </c>
      <c r="M9" s="25" t="inlineStr">
        <is>
          <t>Sí</t>
        </is>
      </c>
      <c r="N9" s="24" t="inlineStr">
        <is>
          <t>—</t>
        </is>
      </c>
      <c r="O9" s="21" t="inlineStr">
        <is>
          <t>Muy alta</t>
        </is>
      </c>
      <c r="P9" s="21" t="inlineStr">
        <is>
          <t>No aplica</t>
        </is>
      </c>
      <c r="Q9" s="21" t="inlineStr">
        <is>
          <t>No aplica</t>
        </is>
      </c>
      <c r="R9" s="21" t="inlineStr">
        <is>
          <t>Muy baja — excepcional, cada muchos años</t>
        </is>
      </c>
      <c r="S9" s="13" t="inlineStr">
        <is>
          <t>A.7.5 — Protección contra amenazas físicas y ambientales
A.7.11 — Servicios de suministro
A.8.13 — Respaldo de la información
A.5.29 — Seguridad de la información durante la disrupción
A.7.3 — Seguridad de oficinas, recintos e instalaciones</t>
        </is>
      </c>
      <c r="T9" s="13" t="inlineStr">
        <is>
          <t>Incendio de causa eléctrica o industrial.</t>
        </is>
      </c>
      <c r="V9" s="26">
        <f>SUBSTITUTE($B9,"*","-")</f>
        <v/>
      </c>
      <c r="AN9">
        <f>IF(Dashboard!$C$5="(Todos los procesos)",COUNTIFS('2. Valoración '!$H$6:$H$2261,$B9,'2. Valoración '!$Z$6:$Z$2261,"Alto")+COUNTIFS('2. Valoración '!$H$6:$H$2261,$B9,'2. Valoración '!$Z$6:$Z$2261,"Crítico"),COUNTIFS('2. Valoración '!$E$6:$E$2261,Dashboard!$C$5,'2. Valoración '!$H$6:$H$2261,$B9,'2. Valoración '!$Z$6:$Z$2261,"Alto")+COUNTIFS('2. Valoración '!$E$6:$E$2261,Dashboard!$C$5,'2. Valoración '!$H$6:$H$2261,$B9,'2. Valoración '!$Z$6:$Z$2261,"Crítico"))+3/1000</f>
        <v/>
      </c>
      <c r="AO9">
        <f>IF(Dashboard!$C$5="(Todos los procesos)",COUNTIF('2. Valoración '!$H$6:$H$2261,$B9),COUNTIFS('2. Valoración '!$E$6:$E$2261,Dashboard!$C$5,'2. Valoración '!$H$6:$H$2261,$B9))</f>
        <v/>
      </c>
      <c r="AX9" s="97">
        <f>IFERROR(AVERAGE('4. Controles y Madurez'!$J$55,'4. Controles y Madurez'!$J$61,'4. Controles y Madurez'!$J$77,'4. Controles y Madurez'!$J$34,'4. Controles y Madurez'!$J$53),0)</f>
        <v/>
      </c>
    </row>
    <row r="10" hidden="1" ht="45" customHeight="1" s="54">
      <c r="B10" s="23" t="inlineStr">
        <is>
          <t>I.2</t>
        </is>
      </c>
      <c r="C10" s="13" t="inlineStr">
        <is>
          <t>Daños por agua</t>
        </is>
      </c>
      <c r="D10" s="59" t="inlineStr">
        <is>
          <t>[I] De origen industrial</t>
        </is>
      </c>
      <c r="E10" s="24" t="inlineStr">
        <is>
          <t>—</t>
        </is>
      </c>
      <c r="F10" s="24" t="inlineStr">
        <is>
          <t>—</t>
        </is>
      </c>
      <c r="G10" s="24" t="inlineStr">
        <is>
          <t>—</t>
        </is>
      </c>
      <c r="H10" s="24" t="inlineStr">
        <is>
          <t>—</t>
        </is>
      </c>
      <c r="I10" s="25" t="inlineStr">
        <is>
          <t>Sí</t>
        </is>
      </c>
      <c r="J10" s="24" t="inlineStr">
        <is>
          <t>—</t>
        </is>
      </c>
      <c r="K10" s="25" t="inlineStr">
        <is>
          <t>Sí</t>
        </is>
      </c>
      <c r="L10" s="25" t="inlineStr">
        <is>
          <t>Sí</t>
        </is>
      </c>
      <c r="M10" s="25" t="inlineStr">
        <is>
          <t>Sí</t>
        </is>
      </c>
      <c r="N10" s="24" t="inlineStr">
        <is>
          <t>—</t>
        </is>
      </c>
      <c r="O10" s="21" t="inlineStr">
        <is>
          <t>Alta</t>
        </is>
      </c>
      <c r="P10" s="21" t="inlineStr">
        <is>
          <t>No aplica</t>
        </is>
      </c>
      <c r="Q10" s="21" t="inlineStr">
        <is>
          <t>No aplica</t>
        </is>
      </c>
      <c r="R10" s="21" t="inlineStr">
        <is>
          <t>Muy baja — excepcional, cada muchos años</t>
        </is>
      </c>
      <c r="S10" s="13" t="inlineStr">
        <is>
          <t>A.7.5 — Protección contra amenazas físicas y ambientales
A.7.8 — Ubicación y protección de los equipos
A.8.13 — Respaldo de la información</t>
        </is>
      </c>
      <c r="T10" s="13" t="inlineStr">
        <is>
          <t>Fuga de tubería, climatización o rociadores.</t>
        </is>
      </c>
      <c r="V10" s="26">
        <f>SUBSTITUTE($B10,"*","-")</f>
        <v/>
      </c>
      <c r="AN10">
        <f>IF(Dashboard!$C$5="(Todos los procesos)",COUNTIFS('2. Valoración '!$H$6:$H$2261,$B10,'2. Valoración '!$Z$6:$Z$2261,"Alto")+COUNTIFS('2. Valoración '!$H$6:$H$2261,$B10,'2. Valoración '!$Z$6:$Z$2261,"Crítico"),COUNTIFS('2. Valoración '!$E$6:$E$2261,Dashboard!$C$5,'2. Valoración '!$H$6:$H$2261,$B10,'2. Valoración '!$Z$6:$Z$2261,"Alto")+COUNTIFS('2. Valoración '!$E$6:$E$2261,Dashboard!$C$5,'2. Valoración '!$H$6:$H$2261,$B10,'2. Valoración '!$Z$6:$Z$2261,"Crítico"))+4/1000</f>
        <v/>
      </c>
      <c r="AO10">
        <f>IF(Dashboard!$C$5="(Todos los procesos)",COUNTIF('2. Valoración '!$H$6:$H$2261,$B10),COUNTIFS('2. Valoración '!$E$6:$E$2261,Dashboard!$C$5,'2. Valoración '!$H$6:$H$2261,$B10))</f>
        <v/>
      </c>
      <c r="AX10" s="97">
        <f>IFERROR(AVERAGE('4. Controles y Madurez'!$J$55,'4. Controles y Madurez'!$J$58,'4. Controles y Madurez'!$J$77),0)</f>
        <v/>
      </c>
    </row>
    <row r="11" hidden="1" ht="60" customHeight="1" s="54">
      <c r="B11" s="23" t="inlineStr">
        <is>
          <t>I.*</t>
        </is>
      </c>
      <c r="C11" s="13" t="inlineStr">
        <is>
          <t>Desastres industriales</t>
        </is>
      </c>
      <c r="D11" s="59" t="inlineStr">
        <is>
          <t>[I] De origen industrial</t>
        </is>
      </c>
      <c r="E11" s="24" t="inlineStr">
        <is>
          <t>—</t>
        </is>
      </c>
      <c r="F11" s="24" t="inlineStr">
        <is>
          <t>—</t>
        </is>
      </c>
      <c r="G11" s="24" t="inlineStr">
        <is>
          <t>—</t>
        </is>
      </c>
      <c r="H11" s="24" t="inlineStr">
        <is>
          <t>—</t>
        </is>
      </c>
      <c r="I11" s="25" t="inlineStr">
        <is>
          <t>Sí</t>
        </is>
      </c>
      <c r="J11" s="24" t="inlineStr">
        <is>
          <t>—</t>
        </is>
      </c>
      <c r="K11" s="25" t="inlineStr">
        <is>
          <t>Sí</t>
        </is>
      </c>
      <c r="L11" s="25" t="inlineStr">
        <is>
          <t>Sí</t>
        </is>
      </c>
      <c r="M11" s="25" t="inlineStr">
        <is>
          <t>Sí</t>
        </is>
      </c>
      <c r="N11" s="24" t="inlineStr">
        <is>
          <t>—</t>
        </is>
      </c>
      <c r="O11" s="21" t="inlineStr">
        <is>
          <t>Muy alta</t>
        </is>
      </c>
      <c r="P11" s="21" t="inlineStr">
        <is>
          <t>No aplica</t>
        </is>
      </c>
      <c r="Q11" s="21" t="inlineStr">
        <is>
          <t>No aplica</t>
        </is>
      </c>
      <c r="R11" s="21" t="inlineStr">
        <is>
          <t>Muy baja — excepcional, cada muchos años</t>
        </is>
      </c>
      <c r="S11" s="13" t="inlineStr">
        <is>
          <t>A.7.5 — Protección contra amenazas físicas y ambientales
A.5.29 — Seguridad de la información durante la disrupción
A.5.30 — Preparación de las TIC para la continuidad del negocio
A.8.14 — Redundancia de las instalaciones de procesamiento</t>
        </is>
      </c>
      <c r="T11" s="13" t="inlineStr">
        <is>
          <t>Explosión, derrumbe o contaminación química en el entorno.</t>
        </is>
      </c>
      <c r="V11" s="26">
        <f>SUBSTITUTE($B11,"*","-")</f>
        <v/>
      </c>
      <c r="AN11">
        <f>IF(Dashboard!$C$5="(Todos los procesos)",COUNTIFS('2. Valoración '!$H$6:$H$2261,$B11,'2. Valoración '!$Z$6:$Z$2261,"Alto")+COUNTIFS('2. Valoración '!$H$6:$H$2261,$B11,'2. Valoración '!$Z$6:$Z$2261,"Crítico"),COUNTIFS('2. Valoración '!$E$6:$E$2261,Dashboard!$C$5,'2. Valoración '!$H$6:$H$2261,$B11,'2. Valoración '!$Z$6:$Z$2261,"Alto")+COUNTIFS('2. Valoración '!$E$6:$E$2261,Dashboard!$C$5,'2. Valoración '!$H$6:$H$2261,$B11,'2. Valoración '!$Z$6:$Z$2261,"Crítico"))+5/1000</f>
        <v/>
      </c>
      <c r="AO11">
        <f>IF(Dashboard!$C$5="(Todos los procesos)",COUNTIF('2. Valoración '!$H$6:$H$2261,$B11),COUNTIFS('2. Valoración '!$E$6:$E$2261,Dashboard!$C$5,'2. Valoración '!$H$6:$H$2261,$B11))</f>
        <v/>
      </c>
      <c r="AX11" s="97">
        <f>IFERROR(AVERAGE('4. Controles y Madurez'!$J$55,'4. Controles y Madurez'!$J$34,'4. Controles y Madurez'!$J$35,'4. Controles y Madurez'!$J$78),0)</f>
        <v/>
      </c>
    </row>
    <row r="12" hidden="1" ht="45" customHeight="1" s="54">
      <c r="B12" s="23" t="inlineStr">
        <is>
          <t>I.3</t>
        </is>
      </c>
      <c r="C12" s="13" t="inlineStr">
        <is>
          <t>Contaminación mecánica</t>
        </is>
      </c>
      <c r="D12" s="59" t="inlineStr">
        <is>
          <t>[I] De origen industrial</t>
        </is>
      </c>
      <c r="E12" s="24" t="inlineStr">
        <is>
          <t>—</t>
        </is>
      </c>
      <c r="F12" s="24" t="inlineStr">
        <is>
          <t>—</t>
        </is>
      </c>
      <c r="G12" s="24" t="inlineStr">
        <is>
          <t>—</t>
        </is>
      </c>
      <c r="H12" s="24" t="inlineStr">
        <is>
          <t>—</t>
        </is>
      </c>
      <c r="I12" s="25" t="inlineStr">
        <is>
          <t>Sí</t>
        </is>
      </c>
      <c r="J12" s="24" t="inlineStr">
        <is>
          <t>—</t>
        </is>
      </c>
      <c r="K12" s="25" t="inlineStr">
        <is>
          <t>Sí</t>
        </is>
      </c>
      <c r="L12" s="25" t="inlineStr">
        <is>
          <t>Sí</t>
        </is>
      </c>
      <c r="M12" s="24" t="inlineStr">
        <is>
          <t>—</t>
        </is>
      </c>
      <c r="N12" s="24" t="inlineStr">
        <is>
          <t>—</t>
        </is>
      </c>
      <c r="O12" s="21" t="inlineStr">
        <is>
          <t>Media</t>
        </is>
      </c>
      <c r="P12" s="21" t="inlineStr">
        <is>
          <t>No aplica</t>
        </is>
      </c>
      <c r="Q12" s="21" t="inlineStr">
        <is>
          <t>No aplica</t>
        </is>
      </c>
      <c r="R12" s="21" t="inlineStr">
        <is>
          <t>Baja — ocurre cada varios años</t>
        </is>
      </c>
      <c r="S12" s="13" t="inlineStr">
        <is>
          <t>A.7.5 — Protección contra amenazas físicas y ambientales
A.7.8 — Ubicación y protección de los equipos
A.7.13 — Mantenimiento de los equipos</t>
        </is>
      </c>
      <c r="T12" s="13" t="inlineStr">
        <is>
          <t>Vibraciones, polvo y suciedad sobre equipos.</t>
        </is>
      </c>
      <c r="V12" s="26">
        <f>SUBSTITUTE($B12,"*","-")</f>
        <v/>
      </c>
      <c r="AN12">
        <f>IF(Dashboard!$C$5="(Todos los procesos)",COUNTIFS('2. Valoración '!$H$6:$H$2261,$B12,'2. Valoración '!$Z$6:$Z$2261,"Alto")+COUNTIFS('2. Valoración '!$H$6:$H$2261,$B12,'2. Valoración '!$Z$6:$Z$2261,"Crítico"),COUNTIFS('2. Valoración '!$E$6:$E$2261,Dashboard!$C$5,'2. Valoración '!$H$6:$H$2261,$B12,'2. Valoración '!$Z$6:$Z$2261,"Alto")+COUNTIFS('2. Valoración '!$E$6:$E$2261,Dashboard!$C$5,'2. Valoración '!$H$6:$H$2261,$B12,'2. Valoración '!$Z$6:$Z$2261,"Crítico"))+6/1000</f>
        <v/>
      </c>
      <c r="AO12">
        <f>IF(Dashboard!$C$5="(Todos los procesos)",COUNTIF('2. Valoración '!$H$6:$H$2261,$B12),COUNTIFS('2. Valoración '!$E$6:$E$2261,Dashboard!$C$5,'2. Valoración '!$H$6:$H$2261,$B12))</f>
        <v/>
      </c>
      <c r="AX12" s="97">
        <f>IFERROR(AVERAGE('4. Controles y Madurez'!$J$55,'4. Controles y Madurez'!$J$58,'4. Controles y Madurez'!$J$63),0)</f>
        <v/>
      </c>
    </row>
    <row r="13" hidden="1" ht="45" customHeight="1" s="54">
      <c r="B13" s="23" t="inlineStr">
        <is>
          <t>I.4</t>
        </is>
      </c>
      <c r="C13" s="13" t="inlineStr">
        <is>
          <t>Contaminación electromagnética</t>
        </is>
      </c>
      <c r="D13" s="59" t="inlineStr">
        <is>
          <t>[I] De origen industrial</t>
        </is>
      </c>
      <c r="E13" s="24" t="inlineStr">
        <is>
          <t>—</t>
        </is>
      </c>
      <c r="F13" s="24" t="inlineStr">
        <is>
          <t>—</t>
        </is>
      </c>
      <c r="G13" s="24" t="inlineStr">
        <is>
          <t>—</t>
        </is>
      </c>
      <c r="H13" s="24" t="inlineStr">
        <is>
          <t>—</t>
        </is>
      </c>
      <c r="I13" s="25" t="inlineStr">
        <is>
          <t>Sí</t>
        </is>
      </c>
      <c r="J13" s="24" t="inlineStr">
        <is>
          <t>—</t>
        </is>
      </c>
      <c r="K13" s="25" t="inlineStr">
        <is>
          <t>Sí</t>
        </is>
      </c>
      <c r="L13" s="25" t="inlineStr">
        <is>
          <t>Sí</t>
        </is>
      </c>
      <c r="M13" s="24" t="inlineStr">
        <is>
          <t>—</t>
        </is>
      </c>
      <c r="N13" s="24" t="inlineStr">
        <is>
          <t>—</t>
        </is>
      </c>
      <c r="O13" s="21" t="inlineStr">
        <is>
          <t>Media</t>
        </is>
      </c>
      <c r="P13" s="21" t="inlineStr">
        <is>
          <t>No aplica</t>
        </is>
      </c>
      <c r="Q13" s="21" t="inlineStr">
        <is>
          <t>No aplica</t>
        </is>
      </c>
      <c r="R13" s="21" t="inlineStr">
        <is>
          <t>Muy baja — excepcional, cada muchos años</t>
        </is>
      </c>
      <c r="S13" s="13" t="inlineStr">
        <is>
          <t>A.7.5 — Protección contra amenazas físicas y ambientales
A.7.8 — Ubicación y protección de los equipos
A.7.12 — Seguridad del cableado</t>
        </is>
      </c>
      <c r="T13" s="13" t="inlineStr">
        <is>
          <t>Interferencias sobre equipos y soportes.</t>
        </is>
      </c>
      <c r="V13" s="26">
        <f>SUBSTITUTE($B13,"*","-")</f>
        <v/>
      </c>
      <c r="AN13">
        <f>IF(Dashboard!$C$5="(Todos los procesos)",COUNTIFS('2. Valoración '!$H$6:$H$2261,$B13,'2. Valoración '!$Z$6:$Z$2261,"Alto")+COUNTIFS('2. Valoración '!$H$6:$H$2261,$B13,'2. Valoración '!$Z$6:$Z$2261,"Crítico"),COUNTIFS('2. Valoración '!$E$6:$E$2261,Dashboard!$C$5,'2. Valoración '!$H$6:$H$2261,$B13,'2. Valoración '!$Z$6:$Z$2261,"Alto")+COUNTIFS('2. Valoración '!$E$6:$E$2261,Dashboard!$C$5,'2. Valoración '!$H$6:$H$2261,$B13,'2. Valoración '!$Z$6:$Z$2261,"Crítico"))+7/1000</f>
        <v/>
      </c>
      <c r="AO13">
        <f>IF(Dashboard!$C$5="(Todos los procesos)",COUNTIF('2. Valoración '!$H$6:$H$2261,$B13),COUNTIFS('2. Valoración '!$E$6:$E$2261,Dashboard!$C$5,'2. Valoración '!$H$6:$H$2261,$B13))</f>
        <v/>
      </c>
      <c r="AX13" s="97">
        <f>IFERROR(AVERAGE('4. Controles y Madurez'!$J$55,'4. Controles y Madurez'!$J$58,'4. Controles y Madurez'!$J$62),0)</f>
        <v/>
      </c>
    </row>
    <row r="14" hidden="1" ht="75" customHeight="1" s="54">
      <c r="B14" s="23" t="inlineStr">
        <is>
          <t>I.5</t>
        </is>
      </c>
      <c r="C14" s="13" t="inlineStr">
        <is>
          <t>Avería de origen físico o lógico</t>
        </is>
      </c>
      <c r="D14" s="59" t="inlineStr">
        <is>
          <t>[I] De origen industrial</t>
        </is>
      </c>
      <c r="E14" s="24" t="inlineStr">
        <is>
          <t>—</t>
        </is>
      </c>
      <c r="F14" s="24" t="inlineStr">
        <is>
          <t>—</t>
        </is>
      </c>
      <c r="G14" s="24" t="inlineStr">
        <is>
          <t>—</t>
        </is>
      </c>
      <c r="H14" s="25" t="inlineStr">
        <is>
          <t>Sí</t>
        </is>
      </c>
      <c r="I14" s="25" t="inlineStr">
        <is>
          <t>Sí</t>
        </is>
      </c>
      <c r="J14" s="24" t="inlineStr">
        <is>
          <t>—</t>
        </is>
      </c>
      <c r="K14" s="25" t="inlineStr">
        <is>
          <t>Sí</t>
        </is>
      </c>
      <c r="L14" s="25" t="inlineStr">
        <is>
          <t>Sí</t>
        </is>
      </c>
      <c r="M14" s="24" t="inlineStr">
        <is>
          <t>—</t>
        </is>
      </c>
      <c r="N14" s="24" t="inlineStr">
        <is>
          <t>—</t>
        </is>
      </c>
      <c r="O14" s="21" t="inlineStr">
        <is>
          <t>Alta</t>
        </is>
      </c>
      <c r="P14" s="21" t="inlineStr">
        <is>
          <t>No aplica</t>
        </is>
      </c>
      <c r="Q14" s="21" t="inlineStr">
        <is>
          <t>No aplica</t>
        </is>
      </c>
      <c r="R14" s="21" t="inlineStr">
        <is>
          <t>Media — ocurre una vez al año</t>
        </is>
      </c>
      <c r="S14" s="13" t="inlineStr">
        <is>
          <t>A.7.13 — Mantenimiento de los equipos
A.8.6 — Gestión de la capacidad
A.8.13 — Respaldo de la información
A.8.14 — Redundancia de las instalaciones de procesamiento
A.5.30 — Preparación de las TIC para la continuidad del negocio</t>
        </is>
      </c>
      <c r="T14" s="13" t="inlineStr">
        <is>
          <t>Fallo de hardware o defecto de software que deja el activo fuera de servicio.</t>
        </is>
      </c>
      <c r="V14" s="26">
        <f>SUBSTITUTE($B14,"*","-")</f>
        <v/>
      </c>
      <c r="AN14">
        <f>IF(Dashboard!$C$5="(Todos los procesos)",COUNTIFS('2. Valoración '!$H$6:$H$2261,$B14,'2. Valoración '!$Z$6:$Z$2261,"Alto")+COUNTIFS('2. Valoración '!$H$6:$H$2261,$B14,'2. Valoración '!$Z$6:$Z$2261,"Crítico"),COUNTIFS('2. Valoración '!$E$6:$E$2261,Dashboard!$C$5,'2. Valoración '!$H$6:$H$2261,$B14,'2. Valoración '!$Z$6:$Z$2261,"Alto")+COUNTIFS('2. Valoración '!$E$6:$E$2261,Dashboard!$C$5,'2. Valoración '!$H$6:$H$2261,$B14,'2. Valoración '!$Z$6:$Z$2261,"Crítico"))+8/1000</f>
        <v/>
      </c>
      <c r="AO14">
        <f>IF(Dashboard!$C$5="(Todos los procesos)",COUNTIF('2. Valoración '!$H$6:$H$2261,$B14),COUNTIFS('2. Valoración '!$E$6:$E$2261,Dashboard!$C$5,'2. Valoración '!$H$6:$H$2261,$B14))</f>
        <v/>
      </c>
      <c r="AX14" s="97">
        <f>IFERROR(AVERAGE('4. Controles y Madurez'!$J$63,'4. Controles y Madurez'!$J$70,'4. Controles y Madurez'!$J$77,'4. Controles y Madurez'!$J$78,'4. Controles y Madurez'!$J$35),0)</f>
        <v/>
      </c>
    </row>
    <row r="15" hidden="1" ht="60" customHeight="1" s="54">
      <c r="B15" s="23" t="inlineStr">
        <is>
          <t>I.6</t>
        </is>
      </c>
      <c r="C15" s="13" t="inlineStr">
        <is>
          <t>Corte del suministro eléctrico</t>
        </is>
      </c>
      <c r="D15" s="59" t="inlineStr">
        <is>
          <t>[I] De origen industrial</t>
        </is>
      </c>
      <c r="E15" s="24" t="inlineStr">
        <is>
          <t>—</t>
        </is>
      </c>
      <c r="F15" s="24" t="inlineStr">
        <is>
          <t>—</t>
        </is>
      </c>
      <c r="G15" s="24" t="inlineStr">
        <is>
          <t>—</t>
        </is>
      </c>
      <c r="H15" s="24" t="inlineStr">
        <is>
          <t>—</t>
        </is>
      </c>
      <c r="I15" s="25" t="inlineStr">
        <is>
          <t>Sí</t>
        </is>
      </c>
      <c r="J15" s="24" t="inlineStr">
        <is>
          <t>—</t>
        </is>
      </c>
      <c r="K15" s="25" t="inlineStr">
        <is>
          <t>Sí</t>
        </is>
      </c>
      <c r="L15" s="25" t="inlineStr">
        <is>
          <t>Sí</t>
        </is>
      </c>
      <c r="M15" s="24" t="inlineStr">
        <is>
          <t>—</t>
        </is>
      </c>
      <c r="N15" s="24" t="inlineStr">
        <is>
          <t>—</t>
        </is>
      </c>
      <c r="O15" s="21" t="inlineStr">
        <is>
          <t>Alta</t>
        </is>
      </c>
      <c r="P15" s="21" t="inlineStr">
        <is>
          <t>No aplica</t>
        </is>
      </c>
      <c r="Q15" s="21" t="inlineStr">
        <is>
          <t>No aplica</t>
        </is>
      </c>
      <c r="R15" s="21" t="inlineStr">
        <is>
          <t>Media — ocurre una vez al año</t>
        </is>
      </c>
      <c r="S15" s="13" t="inlineStr">
        <is>
          <t>A.7.11 — Servicios de suministro
A.8.14 — Redundancia de las instalaciones de procesamiento
A.5.30 — Preparación de las TIC para la continuidad del negocio
A.8.13 — Respaldo de la información</t>
        </is>
      </c>
      <c r="T15" s="13" t="inlineStr">
        <is>
          <t>Apagón en oficina o vivienda del teletrabajador.</t>
        </is>
      </c>
      <c r="V15" s="26">
        <f>SUBSTITUTE($B15,"*","-")</f>
        <v/>
      </c>
      <c r="AN15">
        <f>IF(Dashboard!$C$5="(Todos los procesos)",COUNTIFS('2. Valoración '!$H$6:$H$2261,$B15,'2. Valoración '!$Z$6:$Z$2261,"Alto")+COUNTIFS('2. Valoración '!$H$6:$H$2261,$B15,'2. Valoración '!$Z$6:$Z$2261,"Crítico"),COUNTIFS('2. Valoración '!$E$6:$E$2261,Dashboard!$C$5,'2. Valoración '!$H$6:$H$2261,$B15,'2. Valoración '!$Z$6:$Z$2261,"Alto")+COUNTIFS('2. Valoración '!$E$6:$E$2261,Dashboard!$C$5,'2. Valoración '!$H$6:$H$2261,$B15,'2. Valoración '!$Z$6:$Z$2261,"Crítico"))+9/1000</f>
        <v/>
      </c>
      <c r="AO15">
        <f>IF(Dashboard!$C$5="(Todos los procesos)",COUNTIF('2. Valoración '!$H$6:$H$2261,$B15),COUNTIFS('2. Valoración '!$E$6:$E$2261,Dashboard!$C$5,'2. Valoración '!$H$6:$H$2261,$B15))</f>
        <v/>
      </c>
      <c r="AX15" s="97">
        <f>IFERROR(AVERAGE('4. Controles y Madurez'!$J$61,'4. Controles y Madurez'!$J$78,'4. Controles y Madurez'!$J$35,'4. Controles y Madurez'!$J$77),0)</f>
        <v/>
      </c>
    </row>
    <row r="16" hidden="1" ht="45" customHeight="1" s="54">
      <c r="B16" s="23" t="inlineStr">
        <is>
          <t>I.7</t>
        </is>
      </c>
      <c r="C16" s="13" t="inlineStr">
        <is>
          <t>Condiciones inadecuadas de temperatura o humedad</t>
        </is>
      </c>
      <c r="D16" s="59" t="inlineStr">
        <is>
          <t>[I] De origen industrial</t>
        </is>
      </c>
      <c r="E16" s="24" t="inlineStr">
        <is>
          <t>—</t>
        </is>
      </c>
      <c r="F16" s="24" t="inlineStr">
        <is>
          <t>—</t>
        </is>
      </c>
      <c r="G16" s="24" t="inlineStr">
        <is>
          <t>—</t>
        </is>
      </c>
      <c r="H16" s="24" t="inlineStr">
        <is>
          <t>—</t>
        </is>
      </c>
      <c r="I16" s="25" t="inlineStr">
        <is>
          <t>Sí</t>
        </is>
      </c>
      <c r="J16" s="24" t="inlineStr">
        <is>
          <t>—</t>
        </is>
      </c>
      <c r="K16" s="25" t="inlineStr">
        <is>
          <t>Sí</t>
        </is>
      </c>
      <c r="L16" s="25" t="inlineStr">
        <is>
          <t>Sí</t>
        </is>
      </c>
      <c r="M16" s="24" t="inlineStr">
        <is>
          <t>—</t>
        </is>
      </c>
      <c r="N16" s="24" t="inlineStr">
        <is>
          <t>—</t>
        </is>
      </c>
      <c r="O16" s="21" t="inlineStr">
        <is>
          <t>Media</t>
        </is>
      </c>
      <c r="P16" s="21" t="inlineStr">
        <is>
          <t>No aplica</t>
        </is>
      </c>
      <c r="Q16" s="21" t="inlineStr">
        <is>
          <t>No aplica</t>
        </is>
      </c>
      <c r="R16" s="21" t="inlineStr">
        <is>
          <t>Baja — ocurre cada varios años</t>
        </is>
      </c>
      <c r="S16" s="13" t="inlineStr">
        <is>
          <t>A.7.5 — Protección contra amenazas físicas y ambientales
A.7.8 — Ubicación y protección de los equipos
A.7.11 — Servicios de suministro</t>
        </is>
      </c>
      <c r="T16" s="13" t="inlineStr">
        <is>
          <t>Fallo de climatización en sala de equipos.</t>
        </is>
      </c>
      <c r="V16" s="26">
        <f>SUBSTITUTE($B16,"*","-")</f>
        <v/>
      </c>
      <c r="AN16">
        <f>IF(Dashboard!$C$5="(Todos los procesos)",COUNTIFS('2. Valoración '!$H$6:$H$2261,$B16,'2. Valoración '!$Z$6:$Z$2261,"Alto")+COUNTIFS('2. Valoración '!$H$6:$H$2261,$B16,'2. Valoración '!$Z$6:$Z$2261,"Crítico"),COUNTIFS('2. Valoración '!$E$6:$E$2261,Dashboard!$C$5,'2. Valoración '!$H$6:$H$2261,$B16,'2. Valoración '!$Z$6:$Z$2261,"Alto")+COUNTIFS('2. Valoración '!$E$6:$E$2261,Dashboard!$C$5,'2. Valoración '!$H$6:$H$2261,$B16,'2. Valoración '!$Z$6:$Z$2261,"Crítico"))+10/1000</f>
        <v/>
      </c>
      <c r="AO16">
        <f>IF(Dashboard!$C$5="(Todos los procesos)",COUNTIF('2. Valoración '!$H$6:$H$2261,$B16),COUNTIFS('2. Valoración '!$E$6:$E$2261,Dashboard!$C$5,'2. Valoración '!$H$6:$H$2261,$B16))</f>
        <v/>
      </c>
      <c r="AX16" s="97">
        <f>IFERROR(AVERAGE('4. Controles y Madurez'!$J$55,'4. Controles y Madurez'!$J$58,'4. Controles y Madurez'!$J$61),0)</f>
        <v/>
      </c>
    </row>
    <row r="17" hidden="1" ht="75" customHeight="1" s="54">
      <c r="B17" s="23" t="inlineStr">
        <is>
          <t>I.8</t>
        </is>
      </c>
      <c r="C17" s="13" t="inlineStr">
        <is>
          <t>Fallo de servicios de comunicaciones</t>
        </is>
      </c>
      <c r="D17" s="59" t="inlineStr">
        <is>
          <t>[I] De origen industrial</t>
        </is>
      </c>
      <c r="E17" s="24" t="inlineStr">
        <is>
          <t>—</t>
        </is>
      </c>
      <c r="F17" s="24" t="inlineStr">
        <is>
          <t>—</t>
        </is>
      </c>
      <c r="G17" s="24" t="inlineStr">
        <is>
          <t>—</t>
        </is>
      </c>
      <c r="H17" s="24" t="inlineStr">
        <is>
          <t>—</t>
        </is>
      </c>
      <c r="I17" s="24" t="inlineStr">
        <is>
          <t>—</t>
        </is>
      </c>
      <c r="J17" s="25" t="inlineStr">
        <is>
          <t>Sí</t>
        </is>
      </c>
      <c r="K17" s="24" t="inlineStr">
        <is>
          <t>—</t>
        </is>
      </c>
      <c r="L17" s="24" t="inlineStr">
        <is>
          <t>—</t>
        </is>
      </c>
      <c r="M17" s="24" t="inlineStr">
        <is>
          <t>—</t>
        </is>
      </c>
      <c r="N17" s="24" t="inlineStr">
        <is>
          <t>—</t>
        </is>
      </c>
      <c r="O17" s="21" t="inlineStr">
        <is>
          <t>Alta</t>
        </is>
      </c>
      <c r="P17" s="21" t="inlineStr">
        <is>
          <t>No aplica</t>
        </is>
      </c>
      <c r="Q17" s="21" t="inlineStr">
        <is>
          <t>No aplica</t>
        </is>
      </c>
      <c r="R17" s="21" t="inlineStr">
        <is>
          <t>Media — ocurre una vez al año</t>
        </is>
      </c>
      <c r="S17" s="13" t="inlineStr">
        <is>
          <t>A.8.21 — Seguridad de los servicios de red
A.8.14 — Redundancia de las instalaciones de procesamiento
A.5.30 — Preparación de las TIC para la continuidad del negocio
A.5.22 — Seguimiento, revisión y gestión de cambios de servicios de proveedores</t>
        </is>
      </c>
      <c r="T17" s="13" t="inlineStr">
        <is>
          <t>Caída del ISP. Crítico en un modelo 100% teletrabajo.</t>
        </is>
      </c>
      <c r="V17" s="26">
        <f>SUBSTITUTE($B17,"*","-")</f>
        <v/>
      </c>
      <c r="AN17">
        <f>IF(Dashboard!$C$5="(Todos los procesos)",COUNTIFS('2. Valoración '!$H$6:$H$2261,$B17,'2. Valoración '!$Z$6:$Z$2261,"Alto")+COUNTIFS('2. Valoración '!$H$6:$H$2261,$B17,'2. Valoración '!$Z$6:$Z$2261,"Crítico"),COUNTIFS('2. Valoración '!$E$6:$E$2261,Dashboard!$C$5,'2. Valoración '!$H$6:$H$2261,$B17,'2. Valoración '!$Z$6:$Z$2261,"Alto")+COUNTIFS('2. Valoración '!$E$6:$E$2261,Dashboard!$C$5,'2. Valoración '!$H$6:$H$2261,$B17,'2. Valoración '!$Z$6:$Z$2261,"Crítico"))+11/1000</f>
        <v/>
      </c>
      <c r="AO17">
        <f>IF(Dashboard!$C$5="(Todos los procesos)",COUNTIF('2. Valoración '!$H$6:$H$2261,$B17),COUNTIFS('2. Valoración '!$E$6:$E$2261,Dashboard!$C$5,'2. Valoración '!$H$6:$H$2261,$B17))</f>
        <v/>
      </c>
      <c r="AX17" s="97">
        <f>IFERROR(AVERAGE('4. Controles y Madurez'!$J$85,'4. Controles y Madurez'!$J$78,'4. Controles y Madurez'!$J$35,'4. Controles y Madurez'!$J$27),0)</f>
        <v/>
      </c>
    </row>
    <row r="18" hidden="1" ht="150" customHeight="1" s="54">
      <c r="B18" s="23" t="inlineStr">
        <is>
          <t>I.9</t>
        </is>
      </c>
      <c r="C18" s="13" t="inlineStr">
        <is>
          <t>Interrupción de otros servicios y suministros esenciales</t>
        </is>
      </c>
      <c r="D18" s="59" t="inlineStr">
        <is>
          <t>[I] De origen industrial</t>
        </is>
      </c>
      <c r="E18" s="24" t="inlineStr">
        <is>
          <t>—</t>
        </is>
      </c>
      <c r="F18" s="24" t="inlineStr">
        <is>
          <t>—</t>
        </is>
      </c>
      <c r="G18" s="24" t="inlineStr">
        <is>
          <t>—</t>
        </is>
      </c>
      <c r="H18" s="24" t="inlineStr">
        <is>
          <t>—</t>
        </is>
      </c>
      <c r="I18" s="24" t="inlineStr">
        <is>
          <t>—</t>
        </is>
      </c>
      <c r="J18" s="24" t="inlineStr">
        <is>
          <t>—</t>
        </is>
      </c>
      <c r="K18" s="24" t="inlineStr">
        <is>
          <t>—</t>
        </is>
      </c>
      <c r="L18" s="25" t="inlineStr">
        <is>
          <t>Sí</t>
        </is>
      </c>
      <c r="M18" s="24" t="inlineStr">
        <is>
          <t>—</t>
        </is>
      </c>
      <c r="N18" s="24" t="inlineStr">
        <is>
          <t>—</t>
        </is>
      </c>
      <c r="O18" s="21" t="inlineStr">
        <is>
          <t>Media</t>
        </is>
      </c>
      <c r="P18" s="21" t="inlineStr">
        <is>
          <t>No aplica</t>
        </is>
      </c>
      <c r="Q18" s="21" t="inlineStr">
        <is>
          <t>No aplica</t>
        </is>
      </c>
      <c r="R18" s="21" t="inlineStr">
        <is>
          <t>Baja — ocurre cada varios años</t>
        </is>
      </c>
      <c r="S18" s="13" t="inlineStr">
        <is>
          <t>A.5.22 — Seguimiento, revisión y gestión de cambios de servicios de proveedores
A.5.30 — Preparación de las TIC para la continuidad del negocio
A.8.14 — Redundancia de las instalaciones de procesamiento
A.5.19 — Seguridad de la información en las relaciones con proveedores
A.5.20 — Tratamiento de la seguridad en los acuerdos con proveedores
A.5.23 — Seguridad de la información para el uso de servicios en la nube</t>
        </is>
      </c>
      <c r="T18" s="13" t="inlineStr">
        <is>
          <t>Interrupción de suministros esenciales de los que depende la operación.</t>
        </is>
      </c>
      <c r="V18" s="26">
        <f>SUBSTITUTE($B18,"*","-")</f>
        <v/>
      </c>
      <c r="AN18">
        <f>IF(Dashboard!$C$5="(Todos los procesos)",COUNTIFS('2. Valoración '!$H$6:$H$2261,$B18,'2. Valoración '!$Z$6:$Z$2261,"Alto")+COUNTIFS('2. Valoración '!$H$6:$H$2261,$B18,'2. Valoración '!$Z$6:$Z$2261,"Crítico"),COUNTIFS('2. Valoración '!$E$6:$E$2261,Dashboard!$C$5,'2. Valoración '!$H$6:$H$2261,$B18,'2. Valoración '!$Z$6:$Z$2261,"Alto")+COUNTIFS('2. Valoración '!$E$6:$E$2261,Dashboard!$C$5,'2. Valoración '!$H$6:$H$2261,$B18,'2. Valoración '!$Z$6:$Z$2261,"Crítico"))+12/1000</f>
        <v/>
      </c>
      <c r="AO18">
        <f>IF(Dashboard!$C$5="(Todos los procesos)",COUNTIF('2. Valoración '!$H$6:$H$2261,$B18),COUNTIFS('2. Valoración '!$E$6:$E$2261,Dashboard!$C$5,'2. Valoración '!$H$6:$H$2261,$B18))</f>
        <v/>
      </c>
      <c r="AX18" s="97">
        <f>IFERROR(AVERAGE('4. Controles y Madurez'!$J$27,'4. Controles y Madurez'!$J$35,'4. Controles y Madurez'!$J$78,'4. Controles y Madurez'!$J$24,'4. Controles y Madurez'!$J$25,'4. Controles y Madurez'!$J$28),0)</f>
        <v/>
      </c>
    </row>
    <row r="19" hidden="1" ht="45" customHeight="1" s="54">
      <c r="B19" s="23" t="inlineStr">
        <is>
          <t>I.10</t>
        </is>
      </c>
      <c r="C19" s="13" t="inlineStr">
        <is>
          <t>Degradación de los soportes de almacenamiento</t>
        </is>
      </c>
      <c r="D19" s="59" t="inlineStr">
        <is>
          <t>[I] De origen industrial</t>
        </is>
      </c>
      <c r="E19" s="24" t="inlineStr">
        <is>
          <t>—</t>
        </is>
      </c>
      <c r="F19" s="24" t="inlineStr">
        <is>
          <t>—</t>
        </is>
      </c>
      <c r="G19" s="24" t="inlineStr">
        <is>
          <t>—</t>
        </is>
      </c>
      <c r="H19" s="24" t="inlineStr">
        <is>
          <t>—</t>
        </is>
      </c>
      <c r="I19" s="24" t="inlineStr">
        <is>
          <t>—</t>
        </is>
      </c>
      <c r="J19" s="24" t="inlineStr">
        <is>
          <t>—</t>
        </is>
      </c>
      <c r="K19" s="25" t="inlineStr">
        <is>
          <t>Sí</t>
        </is>
      </c>
      <c r="L19" s="24" t="inlineStr">
        <is>
          <t>—</t>
        </is>
      </c>
      <c r="M19" s="24" t="inlineStr">
        <is>
          <t>—</t>
        </is>
      </c>
      <c r="N19" s="24" t="inlineStr">
        <is>
          <t>—</t>
        </is>
      </c>
      <c r="O19" s="21" t="inlineStr">
        <is>
          <t>Media</t>
        </is>
      </c>
      <c r="P19" s="21" t="inlineStr">
        <is>
          <t>Media</t>
        </is>
      </c>
      <c r="Q19" s="21" t="inlineStr">
        <is>
          <t>No aplica</t>
        </is>
      </c>
      <c r="R19" s="21" t="inlineStr">
        <is>
          <t>Baja — ocurre cada varios años</t>
        </is>
      </c>
      <c r="S19" s="13" t="inlineStr">
        <is>
          <t>A.7.10 — Medios de almacenamiento
A.8.13 — Respaldo de la información
A.7.14 — Eliminación o reutilización segura de equipos</t>
        </is>
      </c>
      <c r="T19" s="13" t="inlineStr">
        <is>
          <t>Desgaste de discos y soportes. Mitigado con replicación y respaldo.</t>
        </is>
      </c>
      <c r="V19" s="26">
        <f>SUBSTITUTE($B19,"*","-")</f>
        <v/>
      </c>
      <c r="AN19">
        <f>IF(Dashboard!$C$5="(Todos los procesos)",COUNTIFS('2. Valoración '!$H$6:$H$2261,$B19,'2. Valoración '!$Z$6:$Z$2261,"Alto")+COUNTIFS('2. Valoración '!$H$6:$H$2261,$B19,'2. Valoración '!$Z$6:$Z$2261,"Crítico"),COUNTIFS('2. Valoración '!$E$6:$E$2261,Dashboard!$C$5,'2. Valoración '!$H$6:$H$2261,$B19,'2. Valoración '!$Z$6:$Z$2261,"Alto")+COUNTIFS('2. Valoración '!$E$6:$E$2261,Dashboard!$C$5,'2. Valoración '!$H$6:$H$2261,$B19,'2. Valoración '!$Z$6:$Z$2261,"Crítico"))+13/1000</f>
        <v/>
      </c>
      <c r="AO19">
        <f>IF(Dashboard!$C$5="(Todos los procesos)",COUNTIF('2. Valoración '!$H$6:$H$2261,$B19),COUNTIFS('2. Valoración '!$E$6:$E$2261,Dashboard!$C$5,'2. Valoración '!$H$6:$H$2261,$B19))</f>
        <v/>
      </c>
      <c r="AX19" s="97">
        <f>IFERROR(AVERAGE('4. Controles y Madurez'!$J$60,'4. Controles y Madurez'!$J$77,'4. Controles y Madurez'!$J$64),0)</f>
        <v/>
      </c>
    </row>
    <row r="20" hidden="1" ht="45" customHeight="1" s="54">
      <c r="B20" s="23" t="inlineStr">
        <is>
          <t>I.11</t>
        </is>
      </c>
      <c r="C20" s="13" t="inlineStr">
        <is>
          <t>Emanaciones electromagnéticas</t>
        </is>
      </c>
      <c r="D20" s="59" t="inlineStr">
        <is>
          <t>[I] De origen industrial</t>
        </is>
      </c>
      <c r="E20" s="24" t="inlineStr">
        <is>
          <t>—</t>
        </is>
      </c>
      <c r="F20" s="24" t="inlineStr">
        <is>
          <t>—</t>
        </is>
      </c>
      <c r="G20" s="24" t="inlineStr">
        <is>
          <t>—</t>
        </is>
      </c>
      <c r="H20" s="24" t="inlineStr">
        <is>
          <t>—</t>
        </is>
      </c>
      <c r="I20" s="25" t="inlineStr">
        <is>
          <t>Sí</t>
        </is>
      </c>
      <c r="J20" s="25" t="inlineStr">
        <is>
          <t>Sí</t>
        </is>
      </c>
      <c r="K20" s="25" t="inlineStr">
        <is>
          <t>Sí</t>
        </is>
      </c>
      <c r="L20" s="25" t="inlineStr">
        <is>
          <t>Sí</t>
        </is>
      </c>
      <c r="M20" s="25" t="inlineStr">
        <is>
          <t>Sí</t>
        </is>
      </c>
      <c r="N20" s="24" t="inlineStr">
        <is>
          <t>—</t>
        </is>
      </c>
      <c r="O20" s="21" t="inlineStr">
        <is>
          <t>No aplica</t>
        </is>
      </c>
      <c r="P20" s="21" t="inlineStr">
        <is>
          <t>No aplica</t>
        </is>
      </c>
      <c r="Q20" s="21" t="inlineStr">
        <is>
          <t>Baja</t>
        </is>
      </c>
      <c r="R20" s="21" t="inlineStr">
        <is>
          <t>Muy baja — excepcional, cada muchos años</t>
        </is>
      </c>
      <c r="S20" s="13" t="inlineStr">
        <is>
          <t>A.7.5 — Protección contra amenazas físicas y ambientales
A.7.12 — Seguridad del cableado
A.8.24 — Uso de criptografía</t>
        </is>
      </c>
      <c r="T20" s="13" t="inlineStr">
        <is>
          <t>Riesgo residual en entorno corporativo civil; se documenta por completitud.</t>
        </is>
      </c>
      <c r="V20" s="26">
        <f>SUBSTITUTE($B20,"*","-")</f>
        <v/>
      </c>
      <c r="AN20">
        <f>IF(Dashboard!$C$5="(Todos los procesos)",COUNTIFS('2. Valoración '!$H$6:$H$2261,$B20,'2. Valoración '!$Z$6:$Z$2261,"Alto")+COUNTIFS('2. Valoración '!$H$6:$H$2261,$B20,'2. Valoración '!$Z$6:$Z$2261,"Crítico"),COUNTIFS('2. Valoración '!$E$6:$E$2261,Dashboard!$C$5,'2. Valoración '!$H$6:$H$2261,$B20,'2. Valoración '!$Z$6:$Z$2261,"Alto")+COUNTIFS('2. Valoración '!$E$6:$E$2261,Dashboard!$C$5,'2. Valoración '!$H$6:$H$2261,$B20,'2. Valoración '!$Z$6:$Z$2261,"Crítico"))+14/1000</f>
        <v/>
      </c>
      <c r="AO20">
        <f>IF(Dashboard!$C$5="(Todos los procesos)",COUNTIF('2. Valoración '!$H$6:$H$2261,$B20),COUNTIFS('2. Valoración '!$E$6:$E$2261,Dashboard!$C$5,'2. Valoración '!$H$6:$H$2261,$B20))</f>
        <v/>
      </c>
      <c r="AX20" s="97">
        <f>IFERROR(AVERAGE('4. Controles y Madurez'!$J$55,'4. Controles y Madurez'!$J$62,'4. Controles y Madurez'!$J$88),0)</f>
        <v/>
      </c>
    </row>
    <row r="21" ht="120" customHeight="1" s="54">
      <c r="B21" s="23" t="inlineStr">
        <is>
          <t>E.1</t>
        </is>
      </c>
      <c r="C21" s="13" t="inlineStr">
        <is>
          <t>Errores de los usuarios</t>
        </is>
      </c>
      <c r="D21" s="59" t="inlineStr">
        <is>
          <t>[E] Errores y fallos no intencionados</t>
        </is>
      </c>
      <c r="E21" s="25" t="inlineStr">
        <is>
          <t>Sí</t>
        </is>
      </c>
      <c r="F21" s="25" t="inlineStr">
        <is>
          <t>Sí</t>
        </is>
      </c>
      <c r="G21" s="25" t="inlineStr">
        <is>
          <t>Sí</t>
        </is>
      </c>
      <c r="H21" s="25" t="inlineStr">
        <is>
          <t>Sí</t>
        </is>
      </c>
      <c r="I21" s="24" t="inlineStr">
        <is>
          <t>—</t>
        </is>
      </c>
      <c r="J21" s="24" t="inlineStr">
        <is>
          <t>—</t>
        </is>
      </c>
      <c r="K21" s="25" t="inlineStr">
        <is>
          <t>Sí</t>
        </is>
      </c>
      <c r="L21" s="24" t="inlineStr">
        <is>
          <t>—</t>
        </is>
      </c>
      <c r="M21" s="24" t="inlineStr">
        <is>
          <t>—</t>
        </is>
      </c>
      <c r="N21" s="24" t="inlineStr">
        <is>
          <t>—</t>
        </is>
      </c>
      <c r="O21" s="21" t="inlineStr">
        <is>
          <t>Media</t>
        </is>
      </c>
      <c r="P21" s="21" t="inlineStr">
        <is>
          <t>Media</t>
        </is>
      </c>
      <c r="Q21" s="21" t="inlineStr">
        <is>
          <t>Media</t>
        </is>
      </c>
      <c r="R21" s="21" t="inlineStr">
        <is>
          <t>Alta — ocurre cada mes</t>
        </is>
      </c>
      <c r="S21" s="13" t="inlineStr">
        <is>
          <t>A.6.3 — Concienciación, educación y capacitación
A.5.10 — Uso aceptable de la información y otros activos asociados
A.8.12 — Prevención de fuga de datos (DLP)
A.5.12 — Clasificación de la información
A.8.5 — Autenticación segura
A.6.2 — Términos y condiciones de empleo
A.5.1 — Políticas de seguridad de la información</t>
        </is>
      </c>
      <c r="T21" s="13" t="inlineStr">
        <is>
          <t>Clic en phishing, envío a destinatario errado, borrado o edición indebida.</t>
        </is>
      </c>
      <c r="V21" s="26">
        <f>SUBSTITUTE($B21,"*","-")</f>
        <v/>
      </c>
      <c r="AN21">
        <f>IF(Dashboard!$C$5="(Todos los procesos)",COUNTIFS('2. Valoración '!$H$6:$H$2261,$B21,'2. Valoración '!$Z$6:$Z$2261,"Alto")+COUNTIFS('2. Valoración '!$H$6:$H$2261,$B21,'2. Valoración '!$Z$6:$Z$2261,"Crítico"),COUNTIFS('2. Valoración '!$E$6:$E$2261,Dashboard!$C$5,'2. Valoración '!$H$6:$H$2261,$B21,'2. Valoración '!$Z$6:$Z$2261,"Alto")+COUNTIFS('2. Valoración '!$E$6:$E$2261,Dashboard!$C$5,'2. Valoración '!$H$6:$H$2261,$B21,'2. Valoración '!$Z$6:$Z$2261,"Crítico"))+15/1000</f>
        <v/>
      </c>
      <c r="AO21">
        <f>IF(Dashboard!$C$5="(Todos los procesos)",COUNTIF('2. Valoración '!$H$6:$H$2261,$B21),COUNTIFS('2. Valoración '!$E$6:$E$2261,Dashboard!$C$5,'2. Valoración '!$H$6:$H$2261,$B21))</f>
        <v/>
      </c>
      <c r="AX21" s="97">
        <f>IFERROR(AVERAGE('4. Controles y Madurez'!$J$45,'4. Controles y Madurez'!$J$15,'4. Controles y Madurez'!$J$76,'4. Controles y Madurez'!$J$17,'4. Controles y Madurez'!$J$69,'4. Controles y Madurez'!$J$44,'4. Controles y Madurez'!$J$6),0)</f>
        <v/>
      </c>
    </row>
    <row r="22" ht="120" customHeight="1" s="54">
      <c r="B22" s="23" t="inlineStr">
        <is>
          <t>E.2</t>
        </is>
      </c>
      <c r="C22" s="13" t="inlineStr">
        <is>
          <t>Errores del administrador</t>
        </is>
      </c>
      <c r="D22" s="59" t="inlineStr">
        <is>
          <t>[E] Errores y fallos no intencionados</t>
        </is>
      </c>
      <c r="E22" s="25" t="inlineStr">
        <is>
          <t>Sí</t>
        </is>
      </c>
      <c r="F22" s="25" t="inlineStr">
        <is>
          <t>Sí</t>
        </is>
      </c>
      <c r="G22" s="25" t="inlineStr">
        <is>
          <t>Sí</t>
        </is>
      </c>
      <c r="H22" s="25" t="inlineStr">
        <is>
          <t>Sí</t>
        </is>
      </c>
      <c r="I22" s="25" t="inlineStr">
        <is>
          <t>Sí</t>
        </is>
      </c>
      <c r="J22" s="25" t="inlineStr">
        <is>
          <t>Sí</t>
        </is>
      </c>
      <c r="K22" s="25" t="inlineStr">
        <is>
          <t>Sí</t>
        </is>
      </c>
      <c r="L22" s="24" t="inlineStr">
        <is>
          <t>—</t>
        </is>
      </c>
      <c r="M22" s="24" t="inlineStr">
        <is>
          <t>—</t>
        </is>
      </c>
      <c r="N22" s="24" t="inlineStr">
        <is>
          <t>—</t>
        </is>
      </c>
      <c r="O22" s="21" t="inlineStr">
        <is>
          <t>Alta</t>
        </is>
      </c>
      <c r="P22" s="21" t="inlineStr">
        <is>
          <t>Alta</t>
        </is>
      </c>
      <c r="Q22" s="21" t="inlineStr">
        <is>
          <t>Alta</t>
        </is>
      </c>
      <c r="R22" s="21" t="inlineStr">
        <is>
          <t>Media — ocurre una vez al año</t>
        </is>
      </c>
      <c r="S22" s="13" t="inlineStr">
        <is>
          <t>A.8.2 — Derechos de acceso privilegiado
A.8.9 — Gestión de la configuración
A.8.32 — Gestión de cambios
A.8.15 — Registro de eventos (logging)
A.5.3 — Segregación de funciones
A.8.34 — Protección de los sistemas de información durante auditorías
A.5.9 — Inventario de información y otros activos asociados</t>
        </is>
      </c>
      <c r="T22" s="13" t="inlineStr">
        <is>
          <t>Configuración errónea en la nube (buckets públicos, security groups abiertos), permisos mal otorgados.</t>
        </is>
      </c>
      <c r="V22" s="26">
        <f>SUBSTITUTE($B22,"*","-")</f>
        <v/>
      </c>
      <c r="AN22">
        <f>IF(Dashboard!$C$5="(Todos los procesos)",COUNTIFS('2. Valoración '!$H$6:$H$2261,$B22,'2. Valoración '!$Z$6:$Z$2261,"Alto")+COUNTIFS('2. Valoración '!$H$6:$H$2261,$B22,'2. Valoración '!$Z$6:$Z$2261,"Crítico"),COUNTIFS('2. Valoración '!$E$6:$E$2261,Dashboard!$C$5,'2. Valoración '!$H$6:$H$2261,$B22,'2. Valoración '!$Z$6:$Z$2261,"Alto")+COUNTIFS('2. Valoración '!$E$6:$E$2261,Dashboard!$C$5,'2. Valoración '!$H$6:$H$2261,$B22,'2. Valoración '!$Z$6:$Z$2261,"Crítico"))+16/1000</f>
        <v/>
      </c>
      <c r="AO22">
        <f>IF(Dashboard!$C$5="(Todos los procesos)",COUNTIF('2. Valoración '!$H$6:$H$2261,$B22),COUNTIFS('2. Valoración '!$E$6:$E$2261,Dashboard!$C$5,'2. Valoración '!$H$6:$H$2261,$B22))</f>
        <v/>
      </c>
      <c r="AX22" s="97">
        <f>IFERROR(AVERAGE('4. Controles y Madurez'!$J$66,'4. Controles y Madurez'!$J$73,'4. Controles y Madurez'!$J$96,'4. Controles y Madurez'!$J$79,'4. Controles y Madurez'!$J$8,'4. Controles y Madurez'!$J$98,'4. Controles y Madurez'!$J$14),0)</f>
        <v/>
      </c>
    </row>
    <row r="23" ht="75" customHeight="1" s="54">
      <c r="B23" s="23" t="inlineStr">
        <is>
          <t>E.3</t>
        </is>
      </c>
      <c r="C23" s="13" t="inlineStr">
        <is>
          <t>Errores de monitorización (log)</t>
        </is>
      </c>
      <c r="D23" s="59" t="inlineStr">
        <is>
          <t>[E] Errores y fallos no intencionados</t>
        </is>
      </c>
      <c r="E23" s="25" t="inlineStr">
        <is>
          <t>Sí</t>
        </is>
      </c>
      <c r="F23" s="24" t="inlineStr">
        <is>
          <t>—</t>
        </is>
      </c>
      <c r="G23" s="24" t="inlineStr">
        <is>
          <t>—</t>
        </is>
      </c>
      <c r="H23" s="24" t="inlineStr">
        <is>
          <t>—</t>
        </is>
      </c>
      <c r="I23" s="24" t="inlineStr">
        <is>
          <t>—</t>
        </is>
      </c>
      <c r="J23" s="24" t="inlineStr">
        <is>
          <t>—</t>
        </is>
      </c>
      <c r="K23" s="24" t="inlineStr">
        <is>
          <t>—</t>
        </is>
      </c>
      <c r="L23" s="24" t="inlineStr">
        <is>
          <t>—</t>
        </is>
      </c>
      <c r="M23" s="24" t="inlineStr">
        <is>
          <t>—</t>
        </is>
      </c>
      <c r="N23" s="24" t="inlineStr">
        <is>
          <t>—</t>
        </is>
      </c>
      <c r="O23" s="21" t="inlineStr">
        <is>
          <t>No aplica</t>
        </is>
      </c>
      <c r="P23" s="21" t="inlineStr">
        <is>
          <t>Alta</t>
        </is>
      </c>
      <c r="Q23" s="21" t="inlineStr">
        <is>
          <t>No aplica</t>
        </is>
      </c>
      <c r="R23" s="21" t="inlineStr">
        <is>
          <t>Media — ocurre una vez al año</t>
        </is>
      </c>
      <c r="S23" s="13" t="inlineStr">
        <is>
          <t>A.8.15 — Registro de eventos (logging)
A.8.16 — Actividades de monitoreo
A.8.17 — Sincronización de relojes
A.5.25 — Evaluación y decisión sobre eventos de seguridad
A.5.24 — Planificación y preparación de la gestión de incidentes</t>
        </is>
      </c>
      <c r="T23" s="13" t="inlineStr">
        <is>
          <t>Aplica al subtipo [D][log]. Logs no recolectados o alertas mal configuradas.</t>
        </is>
      </c>
      <c r="V23" s="26">
        <f>SUBSTITUTE($B23,"*","-")</f>
        <v/>
      </c>
      <c r="AN23">
        <f>IF(Dashboard!$C$5="(Todos los procesos)",COUNTIFS('2. Valoración '!$H$6:$H$2261,$B23,'2. Valoración '!$Z$6:$Z$2261,"Alto")+COUNTIFS('2. Valoración '!$H$6:$H$2261,$B23,'2. Valoración '!$Z$6:$Z$2261,"Crítico"),COUNTIFS('2. Valoración '!$E$6:$E$2261,Dashboard!$C$5,'2. Valoración '!$H$6:$H$2261,$B23,'2. Valoración '!$Z$6:$Z$2261,"Alto")+COUNTIFS('2. Valoración '!$E$6:$E$2261,Dashboard!$C$5,'2. Valoración '!$H$6:$H$2261,$B23,'2. Valoración '!$Z$6:$Z$2261,"Crítico"))+17/1000</f>
        <v/>
      </c>
      <c r="AO23">
        <f>IF(Dashboard!$C$5="(Todos los procesos)",COUNTIF('2. Valoración '!$H$6:$H$2261,$B23),COUNTIFS('2. Valoración '!$E$6:$E$2261,Dashboard!$C$5,'2. Valoración '!$H$6:$H$2261,$B23))</f>
        <v/>
      </c>
      <c r="AX23" s="97">
        <f>IFERROR(AVERAGE('4. Controles y Madurez'!$J$79,'4. Controles y Madurez'!$J$80,'4. Controles y Madurez'!$J$81,'4. Controles y Madurez'!$J$30,'4. Controles y Madurez'!$J$29),0)</f>
        <v/>
      </c>
    </row>
    <row r="24" ht="75" customHeight="1" s="54">
      <c r="B24" s="23" t="inlineStr">
        <is>
          <t>E.4</t>
        </is>
      </c>
      <c r="C24" s="13" t="inlineStr">
        <is>
          <t>Errores de configuración</t>
        </is>
      </c>
      <c r="D24" s="59" t="inlineStr">
        <is>
          <t>[E] Errores y fallos no intencionados</t>
        </is>
      </c>
      <c r="E24" s="25" t="inlineStr">
        <is>
          <t>Sí</t>
        </is>
      </c>
      <c r="F24" s="24" t="inlineStr">
        <is>
          <t>—</t>
        </is>
      </c>
      <c r="G24" s="24" t="inlineStr">
        <is>
          <t>—</t>
        </is>
      </c>
      <c r="H24" s="24" t="inlineStr">
        <is>
          <t>—</t>
        </is>
      </c>
      <c r="I24" s="24" t="inlineStr">
        <is>
          <t>—</t>
        </is>
      </c>
      <c r="J24" s="24" t="inlineStr">
        <is>
          <t>—</t>
        </is>
      </c>
      <c r="K24" s="24" t="inlineStr">
        <is>
          <t>—</t>
        </is>
      </c>
      <c r="L24" s="24" t="inlineStr">
        <is>
          <t>—</t>
        </is>
      </c>
      <c r="M24" s="24" t="inlineStr">
        <is>
          <t>—</t>
        </is>
      </c>
      <c r="N24" s="24" t="inlineStr">
        <is>
          <t>—</t>
        </is>
      </c>
      <c r="O24" s="21" t="inlineStr">
        <is>
          <t>No aplica</t>
        </is>
      </c>
      <c r="P24" s="21" t="inlineStr">
        <is>
          <t>Alta</t>
        </is>
      </c>
      <c r="Q24" s="21" t="inlineStr">
        <is>
          <t>No aplica</t>
        </is>
      </c>
      <c r="R24" s="21" t="inlineStr">
        <is>
          <t>Media — ocurre una vez al año</t>
        </is>
      </c>
      <c r="S24" s="13" t="inlineStr">
        <is>
          <t>A.8.9 — Gestión de la configuración
A.8.32 — Gestión de cambios
A.8.31 — Separación de entornos de desarrollo, prueba y producción
A.8.8 — Gestión de vulnerabilidades técnicas</t>
        </is>
      </c>
      <c r="T24" s="13" t="inlineStr">
        <is>
          <t>Aplica al subtipo [D][conf]. Parámetros incorrectos o inseguros por defecto.</t>
        </is>
      </c>
      <c r="V24" s="26">
        <f>SUBSTITUTE($B24,"*","-")</f>
        <v/>
      </c>
      <c r="AN24">
        <f>IF(Dashboard!$C$5="(Todos los procesos)",COUNTIFS('2. Valoración '!$H$6:$H$2261,$B24,'2. Valoración '!$Z$6:$Z$2261,"Alto")+COUNTIFS('2. Valoración '!$H$6:$H$2261,$B24,'2. Valoración '!$Z$6:$Z$2261,"Crítico"),COUNTIFS('2. Valoración '!$E$6:$E$2261,Dashboard!$C$5,'2. Valoración '!$H$6:$H$2261,$B24,'2. Valoración '!$Z$6:$Z$2261,"Alto")+COUNTIFS('2. Valoración '!$E$6:$E$2261,Dashboard!$C$5,'2. Valoración '!$H$6:$H$2261,$B24,'2. Valoración '!$Z$6:$Z$2261,"Crítico"))+18/1000</f>
        <v/>
      </c>
      <c r="AO24">
        <f>IF(Dashboard!$C$5="(Todos los procesos)",COUNTIF('2. Valoración '!$H$6:$H$2261,$B24),COUNTIFS('2. Valoración '!$E$6:$E$2261,Dashboard!$C$5,'2. Valoración '!$H$6:$H$2261,$B24))</f>
        <v/>
      </c>
      <c r="AX24" s="97">
        <f>IFERROR(AVERAGE('4. Controles y Madurez'!$J$73,'4. Controles y Madurez'!$J$96,'4. Controles y Madurez'!$J$95,'4. Controles y Madurez'!$J$72),0)</f>
        <v/>
      </c>
    </row>
    <row r="25" hidden="1" ht="165" customHeight="1" s="54">
      <c r="B25" s="23" t="inlineStr">
        <is>
          <t>E.7</t>
        </is>
      </c>
      <c r="C25" s="13" t="inlineStr">
        <is>
          <t>Deficiencias en la organización</t>
        </is>
      </c>
      <c r="D25" s="59" t="inlineStr">
        <is>
          <t>[E] Errores y fallos no intencionados</t>
        </is>
      </c>
      <c r="E25" s="24" t="inlineStr">
        <is>
          <t>—</t>
        </is>
      </c>
      <c r="F25" s="24" t="inlineStr">
        <is>
          <t>—</t>
        </is>
      </c>
      <c r="G25" s="24" t="inlineStr">
        <is>
          <t>—</t>
        </is>
      </c>
      <c r="H25" s="24" t="inlineStr">
        <is>
          <t>—</t>
        </is>
      </c>
      <c r="I25" s="24" t="inlineStr">
        <is>
          <t>—</t>
        </is>
      </c>
      <c r="J25" s="24" t="inlineStr">
        <is>
          <t>—</t>
        </is>
      </c>
      <c r="K25" s="24" t="inlineStr">
        <is>
          <t>—</t>
        </is>
      </c>
      <c r="L25" s="24" t="inlineStr">
        <is>
          <t>—</t>
        </is>
      </c>
      <c r="M25" s="24" t="inlineStr">
        <is>
          <t>—</t>
        </is>
      </c>
      <c r="N25" s="25" t="inlineStr">
        <is>
          <t>Sí</t>
        </is>
      </c>
      <c r="O25" s="21" t="inlineStr">
        <is>
          <t>Media</t>
        </is>
      </c>
      <c r="P25" s="21" t="inlineStr">
        <is>
          <t>No aplica</t>
        </is>
      </c>
      <c r="Q25" s="21" t="inlineStr">
        <is>
          <t>No aplica</t>
        </is>
      </c>
      <c r="R25" s="21" t="inlineStr">
        <is>
          <t>Media — ocurre una vez al año</t>
        </is>
      </c>
      <c r="S25" s="13" t="inlineStr">
        <is>
          <t>A.5.2 — Roles y responsabilidades de la seguridad de la información
A.5.3 — Segregación de funciones
A.5.4 — Responsabilidades de la dirección
A.5.37 — Procedimientos operativos documentados
A.5.36 — Cumplimiento de políticas, reglas y normas de seguridad
A.5.1 — Políticas de seguridad de la información
A.5.9 — Inventario de información y otros activos asociados
A.5.35 — Revisión independiente de la seguridad de la información</t>
        </is>
      </c>
      <c r="T25" s="13" t="inlineStr">
        <is>
          <t>Roles sin asignar, procesos sin dueño, ciclo de vida de credenciales sin responsable.</t>
        </is>
      </c>
      <c r="V25" s="26">
        <f>SUBSTITUTE($B25,"*","-")</f>
        <v/>
      </c>
      <c r="AN25">
        <f>IF(Dashboard!$C$5="(Todos los procesos)",COUNTIFS('2. Valoración '!$H$6:$H$2261,$B25,'2. Valoración '!$Z$6:$Z$2261,"Alto")+COUNTIFS('2. Valoración '!$H$6:$H$2261,$B25,'2. Valoración '!$Z$6:$Z$2261,"Crítico"),COUNTIFS('2. Valoración '!$E$6:$E$2261,Dashboard!$C$5,'2. Valoración '!$H$6:$H$2261,$B25,'2. Valoración '!$Z$6:$Z$2261,"Alto")+COUNTIFS('2. Valoración '!$E$6:$E$2261,Dashboard!$C$5,'2. Valoración '!$H$6:$H$2261,$B25,'2. Valoración '!$Z$6:$Z$2261,"Crítico"))+19/1000</f>
        <v/>
      </c>
      <c r="AO25">
        <f>IF(Dashboard!$C$5="(Todos los procesos)",COUNTIF('2. Valoración '!$H$6:$H$2261,$B25),COUNTIFS('2. Valoración '!$E$6:$E$2261,Dashboard!$C$5,'2. Valoración '!$H$6:$H$2261,$B25))</f>
        <v/>
      </c>
      <c r="AX25" s="97">
        <f>IFERROR(AVERAGE('4. Controles y Madurez'!$J$7,'4. Controles y Madurez'!$J$8,'4. Controles y Madurez'!$J$9,'4. Controles y Madurez'!$J$42,'4. Controles y Madurez'!$J$41,'4. Controles y Madurez'!$J$6,'4. Controles y Madurez'!$J$14,'4. Controles y Madurez'!$J$40),0)</f>
        <v/>
      </c>
    </row>
    <row r="26" hidden="1" ht="75" customHeight="1" s="54">
      <c r="B26" s="23" t="inlineStr">
        <is>
          <t>E.8</t>
        </is>
      </c>
      <c r="C26" s="13" t="inlineStr">
        <is>
          <t>Difusión de software dañino</t>
        </is>
      </c>
      <c r="D26" s="59" t="inlineStr">
        <is>
          <t>[E] Errores y fallos no intencionados</t>
        </is>
      </c>
      <c r="E26" s="24" t="inlineStr">
        <is>
          <t>—</t>
        </is>
      </c>
      <c r="F26" s="24" t="inlineStr">
        <is>
          <t>—</t>
        </is>
      </c>
      <c r="G26" s="24" t="inlineStr">
        <is>
          <t>—</t>
        </is>
      </c>
      <c r="H26" s="25" t="inlineStr">
        <is>
          <t>Sí</t>
        </is>
      </c>
      <c r="I26" s="24" t="inlineStr">
        <is>
          <t>—</t>
        </is>
      </c>
      <c r="J26" s="24" t="inlineStr">
        <is>
          <t>—</t>
        </is>
      </c>
      <c r="K26" s="24" t="inlineStr">
        <is>
          <t>—</t>
        </is>
      </c>
      <c r="L26" s="24" t="inlineStr">
        <is>
          <t>—</t>
        </is>
      </c>
      <c r="M26" s="24" t="inlineStr">
        <is>
          <t>—</t>
        </is>
      </c>
      <c r="N26" s="24" t="inlineStr">
        <is>
          <t>—</t>
        </is>
      </c>
      <c r="O26" s="21" t="inlineStr">
        <is>
          <t>Alta</t>
        </is>
      </c>
      <c r="P26" s="21" t="inlineStr">
        <is>
          <t>Alta</t>
        </is>
      </c>
      <c r="Q26" s="21" t="inlineStr">
        <is>
          <t>Alta</t>
        </is>
      </c>
      <c r="R26" s="21" t="inlineStr">
        <is>
          <t>Media — ocurre una vez al año</t>
        </is>
      </c>
      <c r="S26" s="13" t="inlineStr">
        <is>
          <t>A.8.7 — Protección contra software malicioso
A.8.19 — Instalación de software en sistemas operativos
A.6.3 — Concienciación, educación y capacitación
A.8.23 — Filtrado web
A.5.7 — Inteligencia de amenazas</t>
        </is>
      </c>
      <c r="T26" s="13" t="inlineStr">
        <is>
          <t>Propagación no intencionada de malware.</t>
        </is>
      </c>
      <c r="V26" s="26">
        <f>SUBSTITUTE($B26,"*","-")</f>
        <v/>
      </c>
      <c r="AN26">
        <f>IF(Dashboard!$C$5="(Todos los procesos)",COUNTIFS('2. Valoración '!$H$6:$H$2261,$B26,'2. Valoración '!$Z$6:$Z$2261,"Alto")+COUNTIFS('2. Valoración '!$H$6:$H$2261,$B26,'2. Valoración '!$Z$6:$Z$2261,"Crítico"),COUNTIFS('2. Valoración '!$E$6:$E$2261,Dashboard!$C$5,'2. Valoración '!$H$6:$H$2261,$B26,'2. Valoración '!$Z$6:$Z$2261,"Alto")+COUNTIFS('2. Valoración '!$E$6:$E$2261,Dashboard!$C$5,'2. Valoración '!$H$6:$H$2261,$B26,'2. Valoración '!$Z$6:$Z$2261,"Crítico"))+20/1000</f>
        <v/>
      </c>
      <c r="AO26">
        <f>IF(Dashboard!$C$5="(Todos los procesos)",COUNTIF('2. Valoración '!$H$6:$H$2261,$B26),COUNTIFS('2. Valoración '!$E$6:$E$2261,Dashboard!$C$5,'2. Valoración '!$H$6:$H$2261,$B26))</f>
        <v/>
      </c>
      <c r="AX26" s="97">
        <f>IFERROR(AVERAGE('4. Controles y Madurez'!$J$71,'4. Controles y Madurez'!$J$83,'4. Controles y Madurez'!$J$45,'4. Controles y Madurez'!$J$87,'4. Controles y Madurez'!$J$12),0)</f>
        <v/>
      </c>
    </row>
    <row r="27" hidden="1" ht="60" customHeight="1" s="54">
      <c r="B27" s="23" t="inlineStr">
        <is>
          <t>E.9</t>
        </is>
      </c>
      <c r="C27" s="13" t="inlineStr">
        <is>
          <t>Errores de [re-]encaminamiento</t>
        </is>
      </c>
      <c r="D27" s="59" t="inlineStr">
        <is>
          <t>[E] Errores y fallos no intencionados</t>
        </is>
      </c>
      <c r="E27" s="24" t="inlineStr">
        <is>
          <t>—</t>
        </is>
      </c>
      <c r="F27" s="24" t="inlineStr">
        <is>
          <t>—</t>
        </is>
      </c>
      <c r="G27" s="25" t="inlineStr">
        <is>
          <t>Sí</t>
        </is>
      </c>
      <c r="H27" s="25" t="inlineStr">
        <is>
          <t>Sí</t>
        </is>
      </c>
      <c r="I27" s="24" t="inlineStr">
        <is>
          <t>—</t>
        </is>
      </c>
      <c r="J27" s="25" t="inlineStr">
        <is>
          <t>Sí</t>
        </is>
      </c>
      <c r="K27" s="24" t="inlineStr">
        <is>
          <t>—</t>
        </is>
      </c>
      <c r="L27" s="24" t="inlineStr">
        <is>
          <t>—</t>
        </is>
      </c>
      <c r="M27" s="24" t="inlineStr">
        <is>
          <t>—</t>
        </is>
      </c>
      <c r="N27" s="24" t="inlineStr">
        <is>
          <t>—</t>
        </is>
      </c>
      <c r="O27" s="21" t="inlineStr">
        <is>
          <t>No aplica</t>
        </is>
      </c>
      <c r="P27" s="21" t="inlineStr">
        <is>
          <t>No aplica</t>
        </is>
      </c>
      <c r="Q27" s="21" t="inlineStr">
        <is>
          <t>Media</t>
        </is>
      </c>
      <c r="R27" s="21" t="inlineStr">
        <is>
          <t>Baja — ocurre cada varios años</t>
        </is>
      </c>
      <c r="S27" s="13" t="inlineStr">
        <is>
          <t>A.8.20 — Seguridad de las redes
A.8.21 — Seguridad de los servicios de red
A.8.22 — Segregación de redes
A.8.9 — Gestión de la configuración</t>
        </is>
      </c>
      <c r="T27" s="13" t="inlineStr">
        <is>
          <t>Tráfico o correo mal enrutado por configuración errónea de VPN o DNS.</t>
        </is>
      </c>
      <c r="V27" s="26">
        <f>SUBSTITUTE($B27,"*","-")</f>
        <v/>
      </c>
      <c r="AN27">
        <f>IF(Dashboard!$C$5="(Todos los procesos)",COUNTIFS('2. Valoración '!$H$6:$H$2261,$B27,'2. Valoración '!$Z$6:$Z$2261,"Alto")+COUNTIFS('2. Valoración '!$H$6:$H$2261,$B27,'2. Valoración '!$Z$6:$Z$2261,"Crítico"),COUNTIFS('2. Valoración '!$E$6:$E$2261,Dashboard!$C$5,'2. Valoración '!$H$6:$H$2261,$B27,'2. Valoración '!$Z$6:$Z$2261,"Alto")+COUNTIFS('2. Valoración '!$E$6:$E$2261,Dashboard!$C$5,'2. Valoración '!$H$6:$H$2261,$B27,'2. Valoración '!$Z$6:$Z$2261,"Crítico"))+21/1000</f>
        <v/>
      </c>
      <c r="AO27">
        <f>IF(Dashboard!$C$5="(Todos los procesos)",COUNTIF('2. Valoración '!$H$6:$H$2261,$B27),COUNTIFS('2. Valoración '!$E$6:$E$2261,Dashboard!$C$5,'2. Valoración '!$H$6:$H$2261,$B27))</f>
        <v/>
      </c>
      <c r="AX27" s="97">
        <f>IFERROR(AVERAGE('4. Controles y Madurez'!$J$84,'4. Controles y Madurez'!$J$85,'4. Controles y Madurez'!$J$86,'4. Controles y Madurez'!$J$73),0)</f>
        <v/>
      </c>
    </row>
    <row r="28" hidden="1" ht="90" customHeight="1" s="54">
      <c r="B28" s="23" t="inlineStr">
        <is>
          <t>E.10</t>
        </is>
      </c>
      <c r="C28" s="13" t="inlineStr">
        <is>
          <t>Errores de secuencia</t>
        </is>
      </c>
      <c r="D28" s="59" t="inlineStr">
        <is>
          <t>[E] Errores y fallos no intencionados</t>
        </is>
      </c>
      <c r="E28" s="24" t="inlineStr">
        <is>
          <t>—</t>
        </is>
      </c>
      <c r="F28" s="24" t="inlineStr">
        <is>
          <t>—</t>
        </is>
      </c>
      <c r="G28" s="25" t="inlineStr">
        <is>
          <t>Sí</t>
        </is>
      </c>
      <c r="H28" s="25" t="inlineStr">
        <is>
          <t>Sí</t>
        </is>
      </c>
      <c r="I28" s="24" t="inlineStr">
        <is>
          <t>—</t>
        </is>
      </c>
      <c r="J28" s="25" t="inlineStr">
        <is>
          <t>Sí</t>
        </is>
      </c>
      <c r="K28" s="24" t="inlineStr">
        <is>
          <t>—</t>
        </is>
      </c>
      <c r="L28" s="24" t="inlineStr">
        <is>
          <t>—</t>
        </is>
      </c>
      <c r="M28" s="24" t="inlineStr">
        <is>
          <t>—</t>
        </is>
      </c>
      <c r="N28" s="24" t="inlineStr">
        <is>
          <t>—</t>
        </is>
      </c>
      <c r="O28" s="21" t="inlineStr">
        <is>
          <t>No aplica</t>
        </is>
      </c>
      <c r="P28" s="21" t="inlineStr">
        <is>
          <t>Media</t>
        </is>
      </c>
      <c r="Q28" s="21" t="inlineStr">
        <is>
          <t>No aplica</t>
        </is>
      </c>
      <c r="R28" s="21" t="inlineStr">
        <is>
          <t>Baja — ocurre cada varios años</t>
        </is>
      </c>
      <c r="S28" s="13" t="inlineStr">
        <is>
          <t>A.8.25 — Ciclo de vida de desarrollo seguro
A.8.29 — Pruebas de seguridad en desarrollo y aceptación
A.8.32 — Gestión de cambios
A.5.8 — Seguridad de la información en la gestión de proyectos
A.8.27 — Arquitectura de sistemas seguros y principios de ingeniería</t>
        </is>
      </c>
      <c r="T28" s="13" t="inlineStr">
        <is>
          <t>Ejecución fuera de orden en pipelines, automatizaciones o transacciones.</t>
        </is>
      </c>
      <c r="V28" s="26">
        <f>SUBSTITUTE($B28,"*","-")</f>
        <v/>
      </c>
      <c r="AN28">
        <f>IF(Dashboard!$C$5="(Todos los procesos)",COUNTIFS('2. Valoración '!$H$6:$H$2261,$B28,'2. Valoración '!$Z$6:$Z$2261,"Alto")+COUNTIFS('2. Valoración '!$H$6:$H$2261,$B28,'2. Valoración '!$Z$6:$Z$2261,"Crítico"),COUNTIFS('2. Valoración '!$E$6:$E$2261,Dashboard!$C$5,'2. Valoración '!$H$6:$H$2261,$B28,'2. Valoración '!$Z$6:$Z$2261,"Alto")+COUNTIFS('2. Valoración '!$E$6:$E$2261,Dashboard!$C$5,'2. Valoración '!$H$6:$H$2261,$B28,'2. Valoración '!$Z$6:$Z$2261,"Crítico"))+22/1000</f>
        <v/>
      </c>
      <c r="AO28">
        <f>IF(Dashboard!$C$5="(Todos los procesos)",COUNTIF('2. Valoración '!$H$6:$H$2261,$B28),COUNTIFS('2. Valoración '!$E$6:$E$2261,Dashboard!$C$5,'2. Valoración '!$H$6:$H$2261,$B28))</f>
        <v/>
      </c>
      <c r="AX28" s="97">
        <f>IFERROR(AVERAGE('4. Controles y Madurez'!$J$89,'4. Controles y Madurez'!$J$93,'4. Controles y Madurez'!$J$96,'4. Controles y Madurez'!$J$13,'4. Controles y Madurez'!$J$91),0)</f>
        <v/>
      </c>
    </row>
    <row r="29" ht="90" customHeight="1" s="54">
      <c r="B29" s="23" t="inlineStr">
        <is>
          <t>E.14</t>
        </is>
      </c>
      <c r="C29" s="13" t="inlineStr">
        <is>
          <t>Escapes de información</t>
        </is>
      </c>
      <c r="D29" s="59" t="inlineStr">
        <is>
          <t>[E] Errores y fallos no intencionados</t>
        </is>
      </c>
      <c r="E29" s="25" t="inlineStr">
        <is>
          <t>Sí</t>
        </is>
      </c>
      <c r="F29" s="25" t="inlineStr">
        <is>
          <t>Sí</t>
        </is>
      </c>
      <c r="G29" s="25" t="inlineStr">
        <is>
          <t>Sí</t>
        </is>
      </c>
      <c r="H29" s="25" t="inlineStr">
        <is>
          <t>Sí</t>
        </is>
      </c>
      <c r="I29" s="25" t="inlineStr">
        <is>
          <t>Sí</t>
        </is>
      </c>
      <c r="J29" s="25" t="inlineStr">
        <is>
          <t>Sí</t>
        </is>
      </c>
      <c r="K29" s="25" t="inlineStr">
        <is>
          <t>Sí</t>
        </is>
      </c>
      <c r="L29" s="24" t="inlineStr">
        <is>
          <t>—</t>
        </is>
      </c>
      <c r="M29" s="25" t="inlineStr">
        <is>
          <t>Sí</t>
        </is>
      </c>
      <c r="N29" s="25" t="inlineStr">
        <is>
          <t>Sí</t>
        </is>
      </c>
      <c r="O29" s="21" t="inlineStr">
        <is>
          <t>No aplica</t>
        </is>
      </c>
      <c r="P29" s="21" t="inlineStr">
        <is>
          <t>No aplica</t>
        </is>
      </c>
      <c r="Q29" s="21" t="inlineStr">
        <is>
          <t>Alta</t>
        </is>
      </c>
      <c r="R29" s="21" t="inlineStr">
        <is>
          <t>Media — ocurre una vez al año</t>
        </is>
      </c>
      <c r="S29" s="13" t="inlineStr">
        <is>
          <t>A.8.12 — Prevención de fuga de datos (DLP)
A.5.14 — Transferencia de información
A.7.7 — Escritorio despejado y pantalla despejada
A.5.13 — Etiquetado de la información
A.8.11 — Enmascaramiento de datos
A.5.8 — Seguridad de la información en la gestión de proyectos</t>
        </is>
      </c>
      <c r="T29" s="13" t="inlineStr">
        <is>
          <t>Fuga por canales no controlados: impresiones, capturas, copias locales, secretos en repositorios.</t>
        </is>
      </c>
      <c r="V29" s="26">
        <f>SUBSTITUTE($B29,"*","-")</f>
        <v/>
      </c>
      <c r="AN29">
        <f>IF(Dashboard!$C$5="(Todos los procesos)",COUNTIFS('2. Valoración '!$H$6:$H$2261,$B29,'2. Valoración '!$Z$6:$Z$2261,"Alto")+COUNTIFS('2. Valoración '!$H$6:$H$2261,$B29,'2. Valoración '!$Z$6:$Z$2261,"Crítico"),COUNTIFS('2. Valoración '!$E$6:$E$2261,Dashboard!$C$5,'2. Valoración '!$H$6:$H$2261,$B29,'2. Valoración '!$Z$6:$Z$2261,"Alto")+COUNTIFS('2. Valoración '!$E$6:$E$2261,Dashboard!$C$5,'2. Valoración '!$H$6:$H$2261,$B29,'2. Valoración '!$Z$6:$Z$2261,"Crítico"))+23/1000</f>
        <v/>
      </c>
      <c r="AO29">
        <f>IF(Dashboard!$C$5="(Todos los procesos)",COUNTIF('2. Valoración '!$H$6:$H$2261,$B29),COUNTIFS('2. Valoración '!$E$6:$E$2261,Dashboard!$C$5,'2. Valoración '!$H$6:$H$2261,$B29))</f>
        <v/>
      </c>
      <c r="AX29" s="97">
        <f>IFERROR(AVERAGE('4. Controles y Madurez'!$J$76,'4. Controles y Madurez'!$J$19,'4. Controles y Madurez'!$J$57,'4. Controles y Madurez'!$J$18,'4. Controles y Madurez'!$J$75,'4. Controles y Madurez'!$J$13),0)</f>
        <v/>
      </c>
    </row>
    <row r="30" ht="90" customHeight="1" s="54">
      <c r="B30" s="23" t="inlineStr">
        <is>
          <t>E.15</t>
        </is>
      </c>
      <c r="C30" s="13" t="inlineStr">
        <is>
          <t>Alteración accidental de la información</t>
        </is>
      </c>
      <c r="D30" s="59" t="inlineStr">
        <is>
          <t>[E] Errores y fallos no intencionados</t>
        </is>
      </c>
      <c r="E30" s="25" t="inlineStr">
        <is>
          <t>Sí</t>
        </is>
      </c>
      <c r="F30" s="25" t="inlineStr">
        <is>
          <t>Sí</t>
        </is>
      </c>
      <c r="G30" s="25" t="inlineStr">
        <is>
          <t>Sí</t>
        </is>
      </c>
      <c r="H30" s="25" t="inlineStr">
        <is>
          <t>Sí</t>
        </is>
      </c>
      <c r="I30" s="24" t="inlineStr">
        <is>
          <t>—</t>
        </is>
      </c>
      <c r="J30" s="25" t="inlineStr">
        <is>
          <t>Sí</t>
        </is>
      </c>
      <c r="K30" s="25" t="inlineStr">
        <is>
          <t>Sí</t>
        </is>
      </c>
      <c r="L30" s="24" t="inlineStr">
        <is>
          <t>—</t>
        </is>
      </c>
      <c r="M30" s="25" t="inlineStr">
        <is>
          <t>Sí</t>
        </is>
      </c>
      <c r="N30" s="24" t="inlineStr">
        <is>
          <t>—</t>
        </is>
      </c>
      <c r="O30" s="21" t="inlineStr">
        <is>
          <t>No aplica</t>
        </is>
      </c>
      <c r="P30" s="21" t="inlineStr">
        <is>
          <t>Alta</t>
        </is>
      </c>
      <c r="Q30" s="21" t="inlineStr">
        <is>
          <t>No aplica</t>
        </is>
      </c>
      <c r="R30" s="21" t="inlineStr">
        <is>
          <t>Media — ocurre una vez al año</t>
        </is>
      </c>
      <c r="S30" s="13" t="inlineStr">
        <is>
          <t>A.8.13 — Respaldo de la información
A.8.9 — Gestión de la configuración
A.8.3 — Restricción del acceso a la información
A.5.33 — Protección de registros
A.5.35 — Revisión independiente de la seguridad de la información</t>
        </is>
      </c>
      <c r="T30" s="13" t="inlineStr">
        <is>
          <t>Modificación errónea en bases de datos productivas, documentos o registros.</t>
        </is>
      </c>
      <c r="V30" s="26">
        <f>SUBSTITUTE($B30,"*","-")</f>
        <v/>
      </c>
      <c r="AN30">
        <f>IF(Dashboard!$C$5="(Todos los procesos)",COUNTIFS('2. Valoración '!$H$6:$H$2261,$B30,'2. Valoración '!$Z$6:$Z$2261,"Alto")+COUNTIFS('2. Valoración '!$H$6:$H$2261,$B30,'2. Valoración '!$Z$6:$Z$2261,"Crítico"),COUNTIFS('2. Valoración '!$E$6:$E$2261,Dashboard!$C$5,'2. Valoración '!$H$6:$H$2261,$B30,'2. Valoración '!$Z$6:$Z$2261,"Alto")+COUNTIFS('2. Valoración '!$E$6:$E$2261,Dashboard!$C$5,'2. Valoración '!$H$6:$H$2261,$B30,'2. Valoración '!$Z$6:$Z$2261,"Crítico"))+24/1000</f>
        <v/>
      </c>
      <c r="AO30">
        <f>IF(Dashboard!$C$5="(Todos los procesos)",COUNTIF('2. Valoración '!$H$6:$H$2261,$B30),COUNTIFS('2. Valoración '!$E$6:$E$2261,Dashboard!$C$5,'2. Valoración '!$H$6:$H$2261,$B30))</f>
        <v/>
      </c>
      <c r="AX30" s="97">
        <f>IFERROR(AVERAGE('4. Controles y Madurez'!$J$77,'4. Controles y Madurez'!$J$73,'4. Controles y Madurez'!$J$67,'4. Controles y Madurez'!$J$38,'4. Controles y Madurez'!$J$40),0)</f>
        <v/>
      </c>
    </row>
    <row r="31" ht="60" customHeight="1" s="54">
      <c r="B31" s="23" t="inlineStr">
        <is>
          <t>E.18</t>
        </is>
      </c>
      <c r="C31" s="13" t="inlineStr">
        <is>
          <t>Destrucción de información</t>
        </is>
      </c>
      <c r="D31" s="59" t="inlineStr">
        <is>
          <t>[E] Errores y fallos no intencionados</t>
        </is>
      </c>
      <c r="E31" s="25" t="inlineStr">
        <is>
          <t>Sí</t>
        </is>
      </c>
      <c r="F31" s="25" t="inlineStr">
        <is>
          <t>Sí</t>
        </is>
      </c>
      <c r="G31" s="25" t="inlineStr">
        <is>
          <t>Sí</t>
        </is>
      </c>
      <c r="H31" s="25" t="inlineStr">
        <is>
          <t>Sí</t>
        </is>
      </c>
      <c r="I31" s="24" t="inlineStr">
        <is>
          <t>—</t>
        </is>
      </c>
      <c r="J31" s="25" t="inlineStr">
        <is>
          <t>Sí</t>
        </is>
      </c>
      <c r="K31" s="25" t="inlineStr">
        <is>
          <t>Sí</t>
        </is>
      </c>
      <c r="L31" s="24" t="inlineStr">
        <is>
          <t>—</t>
        </is>
      </c>
      <c r="M31" s="25" t="inlineStr">
        <is>
          <t>Sí</t>
        </is>
      </c>
      <c r="N31" s="24" t="inlineStr">
        <is>
          <t>—</t>
        </is>
      </c>
      <c r="O31" s="21" t="inlineStr">
        <is>
          <t>Muy alta</t>
        </is>
      </c>
      <c r="P31" s="21" t="inlineStr">
        <is>
          <t>No aplica</t>
        </is>
      </c>
      <c r="Q31" s="21" t="inlineStr">
        <is>
          <t>No aplica</t>
        </is>
      </c>
      <c r="R31" s="21" t="inlineStr">
        <is>
          <t>Baja — ocurre cada varios años</t>
        </is>
      </c>
      <c r="S31" s="13" t="inlineStr">
        <is>
          <t>A.8.13 — Respaldo de la información
A.5.33 — Protección de registros
A.8.10 — Borrado de información
A.8.3 — Restricción del acceso a la información</t>
        </is>
      </c>
      <c r="T31" s="13" t="inlineStr">
        <is>
          <t>Borrado accidental de datos, snapshots, repositorios o llaves criptográficas.</t>
        </is>
      </c>
      <c r="V31" s="26">
        <f>SUBSTITUTE($B31,"*","-")</f>
        <v/>
      </c>
      <c r="AN31">
        <f>IF(Dashboard!$C$5="(Todos los procesos)",COUNTIFS('2. Valoración '!$H$6:$H$2261,$B31,'2. Valoración '!$Z$6:$Z$2261,"Alto")+COUNTIFS('2. Valoración '!$H$6:$H$2261,$B31,'2. Valoración '!$Z$6:$Z$2261,"Crítico"),COUNTIFS('2. Valoración '!$E$6:$E$2261,Dashboard!$C$5,'2. Valoración '!$H$6:$H$2261,$B31,'2. Valoración '!$Z$6:$Z$2261,"Alto")+COUNTIFS('2. Valoración '!$E$6:$E$2261,Dashboard!$C$5,'2. Valoración '!$H$6:$H$2261,$B31,'2. Valoración '!$Z$6:$Z$2261,"Crítico"))+25/1000</f>
        <v/>
      </c>
      <c r="AO31">
        <f>IF(Dashboard!$C$5="(Todos los procesos)",COUNTIF('2. Valoración '!$H$6:$H$2261,$B31),COUNTIFS('2. Valoración '!$E$6:$E$2261,Dashboard!$C$5,'2. Valoración '!$H$6:$H$2261,$B31))</f>
        <v/>
      </c>
      <c r="AX31" s="97">
        <f>IFERROR(AVERAGE('4. Controles y Madurez'!$J$77,'4. Controles y Madurez'!$J$38,'4. Controles y Madurez'!$J$74,'4. Controles y Madurez'!$J$67),0)</f>
        <v/>
      </c>
    </row>
    <row r="32" ht="105" customHeight="1" s="54">
      <c r="B32" s="23" t="inlineStr">
        <is>
          <t>E.19</t>
        </is>
      </c>
      <c r="C32" s="13" t="inlineStr">
        <is>
          <t>Fugas de información</t>
        </is>
      </c>
      <c r="D32" s="59" t="inlineStr">
        <is>
          <t>[E] Errores y fallos no intencionados</t>
        </is>
      </c>
      <c r="E32" s="25" t="inlineStr">
        <is>
          <t>Sí</t>
        </is>
      </c>
      <c r="F32" s="25" t="inlineStr">
        <is>
          <t>Sí</t>
        </is>
      </c>
      <c r="G32" s="25" t="inlineStr">
        <is>
          <t>Sí</t>
        </is>
      </c>
      <c r="H32" s="25" t="inlineStr">
        <is>
          <t>Sí</t>
        </is>
      </c>
      <c r="I32" s="25" t="inlineStr">
        <is>
          <t>Sí</t>
        </is>
      </c>
      <c r="J32" s="25" t="inlineStr">
        <is>
          <t>Sí</t>
        </is>
      </c>
      <c r="K32" s="25" t="inlineStr">
        <is>
          <t>Sí</t>
        </is>
      </c>
      <c r="L32" s="24" t="inlineStr">
        <is>
          <t>—</t>
        </is>
      </c>
      <c r="M32" s="25" t="inlineStr">
        <is>
          <t>Sí</t>
        </is>
      </c>
      <c r="N32" s="25" t="inlineStr">
        <is>
          <t>Sí</t>
        </is>
      </c>
      <c r="O32" s="21" t="inlineStr">
        <is>
          <t>No aplica</t>
        </is>
      </c>
      <c r="P32" s="21" t="inlineStr">
        <is>
          <t>No aplica</t>
        </is>
      </c>
      <c r="Q32" s="21" t="inlineStr">
        <is>
          <t>Alta</t>
        </is>
      </c>
      <c r="R32" s="21" t="inlineStr">
        <is>
          <t>Media — ocurre una vez al año</t>
        </is>
      </c>
      <c r="S32" s="13" t="inlineStr">
        <is>
          <t>A.8.12 — Prevención de fuga de datos (DLP)
A.5.34 — Privacidad y protección de datos personales (PII)
A.8.11 — Enmascaramiento de datos
A.5.14 — Transferencia de información
A.8.33 — Información de prueba
A.5.31 — Requisitos legales, estatutarios, reglamentarios y contractuales</t>
        </is>
      </c>
      <c r="T32" s="13" t="inlineStr">
        <is>
          <t>Datos personales en entornos de prueba, compartición indebida.</t>
        </is>
      </c>
      <c r="V32" s="26">
        <f>SUBSTITUTE($B32,"*","-")</f>
        <v/>
      </c>
      <c r="AN32">
        <f>IF(Dashboard!$C$5="(Todos los procesos)",COUNTIFS('2. Valoración '!$H$6:$H$2261,$B32,'2. Valoración '!$Z$6:$Z$2261,"Alto")+COUNTIFS('2. Valoración '!$H$6:$H$2261,$B32,'2. Valoración '!$Z$6:$Z$2261,"Crítico"),COUNTIFS('2. Valoración '!$E$6:$E$2261,Dashboard!$C$5,'2. Valoración '!$H$6:$H$2261,$B32,'2. Valoración '!$Z$6:$Z$2261,"Alto")+COUNTIFS('2. Valoración '!$E$6:$E$2261,Dashboard!$C$5,'2. Valoración '!$H$6:$H$2261,$B32,'2. Valoración '!$Z$6:$Z$2261,"Crítico"))+26/1000</f>
        <v/>
      </c>
      <c r="AO32">
        <f>IF(Dashboard!$C$5="(Todos los procesos)",COUNTIF('2. Valoración '!$H$6:$H$2261,$B32),COUNTIFS('2. Valoración '!$E$6:$E$2261,Dashboard!$C$5,'2. Valoración '!$H$6:$H$2261,$B32))</f>
        <v/>
      </c>
      <c r="AX32" s="97">
        <f>IFERROR(AVERAGE('4. Controles y Madurez'!$J$76,'4. Controles y Madurez'!$J$39,'4. Controles y Madurez'!$J$75,'4. Controles y Madurez'!$J$19,'4. Controles y Madurez'!$J$97,'4. Controles y Madurez'!$J$36),0)</f>
        <v/>
      </c>
    </row>
    <row r="33" hidden="1" ht="105" customHeight="1" s="54">
      <c r="B33" s="23" t="inlineStr">
        <is>
          <t>E.20</t>
        </is>
      </c>
      <c r="C33" s="13" t="inlineStr">
        <is>
          <t>Vulnerabilidades de los programas</t>
        </is>
      </c>
      <c r="D33" s="59" t="inlineStr">
        <is>
          <t>[E] Errores y fallos no intencionados</t>
        </is>
      </c>
      <c r="E33" s="24" t="inlineStr">
        <is>
          <t>—</t>
        </is>
      </c>
      <c r="F33" s="24" t="inlineStr">
        <is>
          <t>—</t>
        </is>
      </c>
      <c r="G33" s="24" t="inlineStr">
        <is>
          <t>—</t>
        </is>
      </c>
      <c r="H33" s="25" t="inlineStr">
        <is>
          <t>Sí</t>
        </is>
      </c>
      <c r="I33" s="24" t="inlineStr">
        <is>
          <t>—</t>
        </is>
      </c>
      <c r="J33" s="24" t="inlineStr">
        <is>
          <t>—</t>
        </is>
      </c>
      <c r="K33" s="24" t="inlineStr">
        <is>
          <t>—</t>
        </is>
      </c>
      <c r="L33" s="24" t="inlineStr">
        <is>
          <t>—</t>
        </is>
      </c>
      <c r="M33" s="24" t="inlineStr">
        <is>
          <t>—</t>
        </is>
      </c>
      <c r="N33" s="24" t="inlineStr">
        <is>
          <t>—</t>
        </is>
      </c>
      <c r="O33" s="21" t="inlineStr">
        <is>
          <t>Media</t>
        </is>
      </c>
      <c r="P33" s="21" t="inlineStr">
        <is>
          <t>Media</t>
        </is>
      </c>
      <c r="Q33" s="21" t="inlineStr">
        <is>
          <t>Media</t>
        </is>
      </c>
      <c r="R33" s="21" t="inlineStr">
        <is>
          <t>Media — ocurre una vez al año</t>
        </is>
      </c>
      <c r="S33" s="13" t="inlineStr">
        <is>
          <t>A.8.8 — Gestión de vulnerabilidades técnicas
A.8.25 — Ciclo de vida de desarrollo seguro
A.8.28 — Codificación segura
A.8.29 — Pruebas de seguridad en desarrollo y aceptación
A.8.27 — Arquitectura de sistemas seguros y principios de ingeniería
A.8.30 — Desarrollo contratado externamente</t>
        </is>
      </c>
      <c r="T33" s="13" t="inlineStr">
        <is>
          <t>Defectos explotables en software propio o de terceros.</t>
        </is>
      </c>
      <c r="V33" s="26">
        <f>SUBSTITUTE($B33,"*","-")</f>
        <v/>
      </c>
      <c r="AN33">
        <f>IF(Dashboard!$C$5="(Todos los procesos)",COUNTIFS('2. Valoración '!$H$6:$H$2261,$B33,'2. Valoración '!$Z$6:$Z$2261,"Alto")+COUNTIFS('2. Valoración '!$H$6:$H$2261,$B33,'2. Valoración '!$Z$6:$Z$2261,"Crítico"),COUNTIFS('2. Valoración '!$E$6:$E$2261,Dashboard!$C$5,'2. Valoración '!$H$6:$H$2261,$B33,'2. Valoración '!$Z$6:$Z$2261,"Alto")+COUNTIFS('2. Valoración '!$E$6:$E$2261,Dashboard!$C$5,'2. Valoración '!$H$6:$H$2261,$B33,'2. Valoración '!$Z$6:$Z$2261,"Crítico"))+27/1000</f>
        <v/>
      </c>
      <c r="AO33">
        <f>IF(Dashboard!$C$5="(Todos los procesos)",COUNTIF('2. Valoración '!$H$6:$H$2261,$B33),COUNTIFS('2. Valoración '!$E$6:$E$2261,Dashboard!$C$5,'2. Valoración '!$H$6:$H$2261,$B33))</f>
        <v/>
      </c>
      <c r="AX33" s="97">
        <f>IFERROR(AVERAGE('4. Controles y Madurez'!$J$72,'4. Controles y Madurez'!$J$89,'4. Controles y Madurez'!$J$92,'4. Controles y Madurez'!$J$93,'4. Controles y Madurez'!$J$91,'4. Controles y Madurez'!$J$94),0)</f>
        <v/>
      </c>
    </row>
    <row r="34" hidden="1" ht="75" customHeight="1" s="54">
      <c r="B34" s="23" t="inlineStr">
        <is>
          <t>E.21</t>
        </is>
      </c>
      <c r="C34" s="13" t="inlineStr">
        <is>
          <t>Errores de mantenimiento / actualización de programas</t>
        </is>
      </c>
      <c r="D34" s="59" t="inlineStr">
        <is>
          <t>[E] Errores y fallos no intencionados</t>
        </is>
      </c>
      <c r="E34" s="24" t="inlineStr">
        <is>
          <t>—</t>
        </is>
      </c>
      <c r="F34" s="24" t="inlineStr">
        <is>
          <t>—</t>
        </is>
      </c>
      <c r="G34" s="24" t="inlineStr">
        <is>
          <t>—</t>
        </is>
      </c>
      <c r="H34" s="25" t="inlineStr">
        <is>
          <t>Sí</t>
        </is>
      </c>
      <c r="I34" s="24" t="inlineStr">
        <is>
          <t>—</t>
        </is>
      </c>
      <c r="J34" s="24" t="inlineStr">
        <is>
          <t>—</t>
        </is>
      </c>
      <c r="K34" s="24" t="inlineStr">
        <is>
          <t>—</t>
        </is>
      </c>
      <c r="L34" s="24" t="inlineStr">
        <is>
          <t>—</t>
        </is>
      </c>
      <c r="M34" s="24" t="inlineStr">
        <is>
          <t>—</t>
        </is>
      </c>
      <c r="N34" s="24" t="inlineStr">
        <is>
          <t>—</t>
        </is>
      </c>
      <c r="O34" s="21" t="inlineStr">
        <is>
          <t>Media</t>
        </is>
      </c>
      <c r="P34" s="21" t="inlineStr">
        <is>
          <t>Media</t>
        </is>
      </c>
      <c r="Q34" s="21" t="inlineStr">
        <is>
          <t>No aplica</t>
        </is>
      </c>
      <c r="R34" s="21" t="inlineStr">
        <is>
          <t>Media — ocurre una vez al año</t>
        </is>
      </c>
      <c r="S34" s="13" t="inlineStr">
        <is>
          <t>A.8.32 — Gestión de cambios
A.8.31 — Separación de entornos de desarrollo, prueba y producción
A.8.19 — Instalación de software en sistemas operativos
A.8.8 — Gestión de vulnerabilidades técnicas</t>
        </is>
      </c>
      <c r="T34" s="13" t="inlineStr">
        <is>
          <t>Parches que rompen funcionalidad, actualizaciones sin pruebas.</t>
        </is>
      </c>
      <c r="V34" s="26">
        <f>SUBSTITUTE($B34,"*","-")</f>
        <v/>
      </c>
      <c r="AN34">
        <f>IF(Dashboard!$C$5="(Todos los procesos)",COUNTIFS('2. Valoración '!$H$6:$H$2261,$B34,'2. Valoración '!$Z$6:$Z$2261,"Alto")+COUNTIFS('2. Valoración '!$H$6:$H$2261,$B34,'2. Valoración '!$Z$6:$Z$2261,"Crítico"),COUNTIFS('2. Valoración '!$E$6:$E$2261,Dashboard!$C$5,'2. Valoración '!$H$6:$H$2261,$B34,'2. Valoración '!$Z$6:$Z$2261,"Alto")+COUNTIFS('2. Valoración '!$E$6:$E$2261,Dashboard!$C$5,'2. Valoración '!$H$6:$H$2261,$B34,'2. Valoración '!$Z$6:$Z$2261,"Crítico"))+28/1000</f>
        <v/>
      </c>
      <c r="AO34">
        <f>IF(Dashboard!$C$5="(Todos los procesos)",COUNTIF('2. Valoración '!$H$6:$H$2261,$B34),COUNTIFS('2. Valoración '!$E$6:$E$2261,Dashboard!$C$5,'2. Valoración '!$H$6:$H$2261,$B34))</f>
        <v/>
      </c>
      <c r="AX34" s="97">
        <f>IFERROR(AVERAGE('4. Controles y Madurez'!$J$96,'4. Controles y Madurez'!$J$95,'4. Controles y Madurez'!$J$83,'4. Controles y Madurez'!$J$72),0)</f>
        <v/>
      </c>
    </row>
    <row r="35" hidden="1" ht="45" customHeight="1" s="54">
      <c r="B35" s="23" t="inlineStr">
        <is>
          <t>E.23</t>
        </is>
      </c>
      <c r="C35" s="13" t="inlineStr">
        <is>
          <t>Errores de mantenimiento / actualización de equipos</t>
        </is>
      </c>
      <c r="D35" s="59" t="inlineStr">
        <is>
          <t>[E] Errores y fallos no intencionados</t>
        </is>
      </c>
      <c r="E35" s="24" t="inlineStr">
        <is>
          <t>—</t>
        </is>
      </c>
      <c r="F35" s="24" t="inlineStr">
        <is>
          <t>—</t>
        </is>
      </c>
      <c r="G35" s="24" t="inlineStr">
        <is>
          <t>—</t>
        </is>
      </c>
      <c r="H35" s="24" t="inlineStr">
        <is>
          <t>—</t>
        </is>
      </c>
      <c r="I35" s="25" t="inlineStr">
        <is>
          <t>Sí</t>
        </is>
      </c>
      <c r="J35" s="24" t="inlineStr">
        <is>
          <t>—</t>
        </is>
      </c>
      <c r="K35" s="25" t="inlineStr">
        <is>
          <t>Sí</t>
        </is>
      </c>
      <c r="L35" s="25" t="inlineStr">
        <is>
          <t>Sí</t>
        </is>
      </c>
      <c r="M35" s="24" t="inlineStr">
        <is>
          <t>—</t>
        </is>
      </c>
      <c r="N35" s="24" t="inlineStr">
        <is>
          <t>—</t>
        </is>
      </c>
      <c r="O35" s="21" t="inlineStr">
        <is>
          <t>Media</t>
        </is>
      </c>
      <c r="P35" s="21" t="inlineStr">
        <is>
          <t>No aplica</t>
        </is>
      </c>
      <c r="Q35" s="21" t="inlineStr">
        <is>
          <t>No aplica</t>
        </is>
      </c>
      <c r="R35" s="21" t="inlineStr">
        <is>
          <t>Baja — ocurre cada varios años</t>
        </is>
      </c>
      <c r="S35" s="13" t="inlineStr">
        <is>
          <t>A.7.13 — Mantenimiento de los equipos
A.8.32 — Gestión de cambios
A.8.9 — Gestión de la configuración</t>
        </is>
      </c>
      <c r="T35" s="13" t="inlineStr">
        <is>
          <t>Firmware mal aplicado, mantenimiento deficiente.</t>
        </is>
      </c>
      <c r="V35" s="26">
        <f>SUBSTITUTE($B35,"*","-")</f>
        <v/>
      </c>
      <c r="AN35">
        <f>IF(Dashboard!$C$5="(Todos los procesos)",COUNTIFS('2. Valoración '!$H$6:$H$2261,$B35,'2. Valoración '!$Z$6:$Z$2261,"Alto")+COUNTIFS('2. Valoración '!$H$6:$H$2261,$B35,'2. Valoración '!$Z$6:$Z$2261,"Crítico"),COUNTIFS('2. Valoración '!$E$6:$E$2261,Dashboard!$C$5,'2. Valoración '!$H$6:$H$2261,$B35,'2. Valoración '!$Z$6:$Z$2261,"Alto")+COUNTIFS('2. Valoración '!$E$6:$E$2261,Dashboard!$C$5,'2. Valoración '!$H$6:$H$2261,$B35,'2. Valoración '!$Z$6:$Z$2261,"Crítico"))+29/1000</f>
        <v/>
      </c>
      <c r="AO35">
        <f>IF(Dashboard!$C$5="(Todos los procesos)",COUNTIF('2. Valoración '!$H$6:$H$2261,$B35),COUNTIFS('2. Valoración '!$E$6:$E$2261,Dashboard!$C$5,'2. Valoración '!$H$6:$H$2261,$B35))</f>
        <v/>
      </c>
      <c r="AX35" s="97">
        <f>IFERROR(AVERAGE('4. Controles y Madurez'!$J$63,'4. Controles y Madurez'!$J$96,'4. Controles y Madurez'!$J$73),0)</f>
        <v/>
      </c>
    </row>
    <row r="36" hidden="1" ht="45" customHeight="1" s="54">
      <c r="B36" s="23" t="inlineStr">
        <is>
          <t>E.24</t>
        </is>
      </c>
      <c r="C36" s="13" t="inlineStr">
        <is>
          <t>Caída del sistema por agotamiento de recursos</t>
        </is>
      </c>
      <c r="D36" s="59" t="inlineStr">
        <is>
          <t>[E] Errores y fallos no intencionados</t>
        </is>
      </c>
      <c r="E36" s="24" t="inlineStr">
        <is>
          <t>—</t>
        </is>
      </c>
      <c r="F36" s="24" t="inlineStr">
        <is>
          <t>—</t>
        </is>
      </c>
      <c r="G36" s="25" t="inlineStr">
        <is>
          <t>Sí</t>
        </is>
      </c>
      <c r="H36" s="24" t="inlineStr">
        <is>
          <t>—</t>
        </is>
      </c>
      <c r="I36" s="25" t="inlineStr">
        <is>
          <t>Sí</t>
        </is>
      </c>
      <c r="J36" s="25" t="inlineStr">
        <is>
          <t>Sí</t>
        </is>
      </c>
      <c r="K36" s="24" t="inlineStr">
        <is>
          <t>—</t>
        </is>
      </c>
      <c r="L36" s="24" t="inlineStr">
        <is>
          <t>—</t>
        </is>
      </c>
      <c r="M36" s="24" t="inlineStr">
        <is>
          <t>—</t>
        </is>
      </c>
      <c r="N36" s="24" t="inlineStr">
        <is>
          <t>—</t>
        </is>
      </c>
      <c r="O36" s="21" t="inlineStr">
        <is>
          <t>Alta</t>
        </is>
      </c>
      <c r="P36" s="21" t="inlineStr">
        <is>
          <t>No aplica</t>
        </is>
      </c>
      <c r="Q36" s="21" t="inlineStr">
        <is>
          <t>No aplica</t>
        </is>
      </c>
      <c r="R36" s="21" t="inlineStr">
        <is>
          <t>Media — ocurre una vez al año</t>
        </is>
      </c>
      <c r="S36" s="13" t="inlineStr">
        <is>
          <t>A.8.6 — Gestión de la capacidad
A.8.16 — Actividades de monitoreo
A.8.14 — Redundancia de las instalaciones de procesamiento</t>
        </is>
      </c>
      <c r="T36" s="13" t="inlineStr">
        <is>
          <t>Memoria agotada, disco lleno, cuotas de nube consumidas.</t>
        </is>
      </c>
      <c r="V36" s="26">
        <f>SUBSTITUTE($B36,"*","-")</f>
        <v/>
      </c>
      <c r="AN36">
        <f>IF(Dashboard!$C$5="(Todos los procesos)",COUNTIFS('2. Valoración '!$H$6:$H$2261,$B36,'2. Valoración '!$Z$6:$Z$2261,"Alto")+COUNTIFS('2. Valoración '!$H$6:$H$2261,$B36,'2. Valoración '!$Z$6:$Z$2261,"Crítico"),COUNTIFS('2. Valoración '!$E$6:$E$2261,Dashboard!$C$5,'2. Valoración '!$H$6:$H$2261,$B36,'2. Valoración '!$Z$6:$Z$2261,"Alto")+COUNTIFS('2. Valoración '!$E$6:$E$2261,Dashboard!$C$5,'2. Valoración '!$H$6:$H$2261,$B36,'2. Valoración '!$Z$6:$Z$2261,"Crítico"))+30/1000</f>
        <v/>
      </c>
      <c r="AO36">
        <f>IF(Dashboard!$C$5="(Todos los procesos)",COUNTIF('2. Valoración '!$H$6:$H$2261,$B36),COUNTIFS('2. Valoración '!$E$6:$E$2261,Dashboard!$C$5,'2. Valoración '!$H$6:$H$2261,$B36))</f>
        <v/>
      </c>
      <c r="AX36" s="97">
        <f>IFERROR(AVERAGE('4. Controles y Madurez'!$J$70,'4. Controles y Madurez'!$J$80,'4. Controles y Madurez'!$J$78),0)</f>
        <v/>
      </c>
    </row>
    <row r="37" hidden="1" ht="75" customHeight="1" s="54">
      <c r="B37" s="23" t="inlineStr">
        <is>
          <t>E.25</t>
        </is>
      </c>
      <c r="C37" s="13" t="inlineStr">
        <is>
          <t>Pérdida de equipos</t>
        </is>
      </c>
      <c r="D37" s="59" t="inlineStr">
        <is>
          <t>[E] Errores y fallos no intencionados</t>
        </is>
      </c>
      <c r="E37" s="24" t="inlineStr">
        <is>
          <t>—</t>
        </is>
      </c>
      <c r="F37" s="24" t="inlineStr">
        <is>
          <t>—</t>
        </is>
      </c>
      <c r="G37" s="24" t="inlineStr">
        <is>
          <t>—</t>
        </is>
      </c>
      <c r="H37" s="24" t="inlineStr">
        <is>
          <t>—</t>
        </is>
      </c>
      <c r="I37" s="25" t="inlineStr">
        <is>
          <t>Sí</t>
        </is>
      </c>
      <c r="J37" s="24" t="inlineStr">
        <is>
          <t>—</t>
        </is>
      </c>
      <c r="K37" s="25" t="inlineStr">
        <is>
          <t>Sí</t>
        </is>
      </c>
      <c r="L37" s="25" t="inlineStr">
        <is>
          <t>Sí</t>
        </is>
      </c>
      <c r="M37" s="24" t="inlineStr">
        <is>
          <t>—</t>
        </is>
      </c>
      <c r="N37" s="24" t="inlineStr">
        <is>
          <t>—</t>
        </is>
      </c>
      <c r="O37" s="21" t="inlineStr">
        <is>
          <t>Muy alta</t>
        </is>
      </c>
      <c r="P37" s="21" t="inlineStr">
        <is>
          <t>No aplica</t>
        </is>
      </c>
      <c r="Q37" s="21" t="inlineStr">
        <is>
          <t>Alta</t>
        </is>
      </c>
      <c r="R37" s="21" t="inlineStr">
        <is>
          <t>Baja — ocurre cada varios años</t>
        </is>
      </c>
      <c r="S37" s="13" t="inlineStr">
        <is>
          <t>A.7.9 — Seguridad de los activos fuera de las instalaciones
A.8.1 — Dispositivos de punto final del usuario
A.8.24 — Uso de criptografía
A.5.11 — Devolución de activos
A.7.10 — Medios de almacenamiento</t>
        </is>
      </c>
      <c r="T37" s="13" t="inlineStr">
        <is>
          <t>Extravío de portátiles, celulares o tokens de segundo factor.</t>
        </is>
      </c>
      <c r="V37" s="26">
        <f>SUBSTITUTE($B37,"*","-")</f>
        <v/>
      </c>
      <c r="AN37">
        <f>IF(Dashboard!$C$5="(Todos los procesos)",COUNTIFS('2. Valoración '!$H$6:$H$2261,$B37,'2. Valoración '!$Z$6:$Z$2261,"Alto")+COUNTIFS('2. Valoración '!$H$6:$H$2261,$B37,'2. Valoración '!$Z$6:$Z$2261,"Crítico"),COUNTIFS('2. Valoración '!$E$6:$E$2261,Dashboard!$C$5,'2. Valoración '!$H$6:$H$2261,$B37,'2. Valoración '!$Z$6:$Z$2261,"Alto")+COUNTIFS('2. Valoración '!$E$6:$E$2261,Dashboard!$C$5,'2. Valoración '!$H$6:$H$2261,$B37,'2. Valoración '!$Z$6:$Z$2261,"Crítico"))+31/1000</f>
        <v/>
      </c>
      <c r="AO37">
        <f>IF(Dashboard!$C$5="(Todos los procesos)",COUNTIF('2. Valoración '!$H$6:$H$2261,$B37),COUNTIFS('2. Valoración '!$E$6:$E$2261,Dashboard!$C$5,'2. Valoración '!$H$6:$H$2261,$B37))</f>
        <v/>
      </c>
      <c r="AX37" s="97">
        <f>IFERROR(AVERAGE('4. Controles y Madurez'!$J$59,'4. Controles y Madurez'!$J$65,'4. Controles y Madurez'!$J$88,'4. Controles y Madurez'!$J$16,'4. Controles y Madurez'!$J$60),0)</f>
        <v/>
      </c>
    </row>
    <row r="38" hidden="1" ht="135" customHeight="1" s="54">
      <c r="B38" s="23" t="inlineStr">
        <is>
          <t>E.28</t>
        </is>
      </c>
      <c r="C38" s="13" t="inlineStr">
        <is>
          <t>Indisponibilidad del personal</t>
        </is>
      </c>
      <c r="D38" s="59" t="inlineStr">
        <is>
          <t>[E] Errores y fallos no intencionados</t>
        </is>
      </c>
      <c r="E38" s="24" t="inlineStr">
        <is>
          <t>—</t>
        </is>
      </c>
      <c r="F38" s="24" t="inlineStr">
        <is>
          <t>—</t>
        </is>
      </c>
      <c r="G38" s="24" t="inlineStr">
        <is>
          <t>—</t>
        </is>
      </c>
      <c r="H38" s="24" t="inlineStr">
        <is>
          <t>—</t>
        </is>
      </c>
      <c r="I38" s="24" t="inlineStr">
        <is>
          <t>—</t>
        </is>
      </c>
      <c r="J38" s="24" t="inlineStr">
        <is>
          <t>—</t>
        </is>
      </c>
      <c r="K38" s="24" t="inlineStr">
        <is>
          <t>—</t>
        </is>
      </c>
      <c r="L38" s="24" t="inlineStr">
        <is>
          <t>—</t>
        </is>
      </c>
      <c r="M38" s="24" t="inlineStr">
        <is>
          <t>—</t>
        </is>
      </c>
      <c r="N38" s="25" t="inlineStr">
        <is>
          <t>Sí</t>
        </is>
      </c>
      <c r="O38" s="21" t="inlineStr">
        <is>
          <t>Alta</t>
        </is>
      </c>
      <c r="P38" s="21" t="inlineStr">
        <is>
          <t>No aplica</t>
        </is>
      </c>
      <c r="Q38" s="21" t="inlineStr">
        <is>
          <t>No aplica</t>
        </is>
      </c>
      <c r="R38" s="21" t="inlineStr">
        <is>
          <t>Media — ocurre una vez al año</t>
        </is>
      </c>
      <c r="S38" s="13" t="inlineStr">
        <is>
          <t>A.6.5 — Responsabilidades ante la finalización o cambio de empleo
A.5.2 — Roles y responsabilidades de la seguridad de la información
A.5.29 — Seguridad de la información durante la disrupción
A.5.30 — Preparación de las TIC para la continuidad del negocio
A.6.1 — Investigación de antecedentes (screening)
A.6.2 — Términos y condiciones de empleo
A.5.8 — Seguridad de la información en la gestión de proyectos</t>
        </is>
      </c>
      <c r="T38" s="13" t="inlineStr">
        <is>
          <t>Enfermedad, renuncia o vacaciones sin backup de rol.</t>
        </is>
      </c>
      <c r="V38" s="26">
        <f>SUBSTITUTE($B38,"*","-")</f>
        <v/>
      </c>
      <c r="AN38">
        <f>IF(Dashboard!$C$5="(Todos los procesos)",COUNTIFS('2. Valoración '!$H$6:$H$2261,$B38,'2. Valoración '!$Z$6:$Z$2261,"Alto")+COUNTIFS('2. Valoración '!$H$6:$H$2261,$B38,'2. Valoración '!$Z$6:$Z$2261,"Crítico"),COUNTIFS('2. Valoración '!$E$6:$E$2261,Dashboard!$C$5,'2. Valoración '!$H$6:$H$2261,$B38,'2. Valoración '!$Z$6:$Z$2261,"Alto")+COUNTIFS('2. Valoración '!$E$6:$E$2261,Dashboard!$C$5,'2. Valoración '!$H$6:$H$2261,$B38,'2. Valoración '!$Z$6:$Z$2261,"Crítico"))+32/1000</f>
        <v/>
      </c>
      <c r="AO38">
        <f>IF(Dashboard!$C$5="(Todos los procesos)",COUNTIF('2. Valoración '!$H$6:$H$2261,$B38),COUNTIFS('2. Valoración '!$E$6:$E$2261,Dashboard!$C$5,'2. Valoración '!$H$6:$H$2261,$B38))</f>
        <v/>
      </c>
      <c r="AX38" s="97">
        <f>IFERROR(AVERAGE('4. Controles y Madurez'!$J$47,'4. Controles y Madurez'!$J$7,'4. Controles y Madurez'!$J$34,'4. Controles y Madurez'!$J$35,'4. Controles y Madurez'!$J$43,'4. Controles y Madurez'!$J$44,'4. Controles y Madurez'!$J$13),0)</f>
        <v/>
      </c>
    </row>
    <row r="39" ht="60" customHeight="1" s="54">
      <c r="B39" s="23" t="inlineStr">
        <is>
          <t>A.3</t>
        </is>
      </c>
      <c r="C39" s="13" t="inlineStr">
        <is>
          <t>Manipulación de los registros de actividad (log)</t>
        </is>
      </c>
      <c r="D39" s="59" t="inlineStr">
        <is>
          <t>[A] Ataques intencionados</t>
        </is>
      </c>
      <c r="E39" s="25" t="inlineStr">
        <is>
          <t>Sí</t>
        </is>
      </c>
      <c r="F39" s="24" t="inlineStr">
        <is>
          <t>—</t>
        </is>
      </c>
      <c r="G39" s="24" t="inlineStr">
        <is>
          <t>—</t>
        </is>
      </c>
      <c r="H39" s="24" t="inlineStr">
        <is>
          <t>—</t>
        </is>
      </c>
      <c r="I39" s="24" t="inlineStr">
        <is>
          <t>—</t>
        </is>
      </c>
      <c r="J39" s="24" t="inlineStr">
        <is>
          <t>—</t>
        </is>
      </c>
      <c r="K39" s="24" t="inlineStr">
        <is>
          <t>—</t>
        </is>
      </c>
      <c r="L39" s="24" t="inlineStr">
        <is>
          <t>—</t>
        </is>
      </c>
      <c r="M39" s="24" t="inlineStr">
        <is>
          <t>—</t>
        </is>
      </c>
      <c r="N39" s="24" t="inlineStr">
        <is>
          <t>—</t>
        </is>
      </c>
      <c r="O39" s="21" t="inlineStr">
        <is>
          <t>No aplica</t>
        </is>
      </c>
      <c r="P39" s="21" t="inlineStr">
        <is>
          <t>Muy alta</t>
        </is>
      </c>
      <c r="Q39" s="21" t="inlineStr">
        <is>
          <t>No aplica</t>
        </is>
      </c>
      <c r="R39" s="21" t="inlineStr">
        <is>
          <t>Baja — ocurre cada varios años</t>
        </is>
      </c>
      <c r="S39" s="13" t="inlineStr">
        <is>
          <t>A.8.15 — Registro de eventos (logging)
A.5.28 — Recolección de evidencia
A.8.2 — Derechos de acceso privilegiado
A.5.33 — Protección de registros</t>
        </is>
      </c>
      <c r="T39" s="13" t="inlineStr">
        <is>
          <t>Aplica al subtipo [D][log]. Borrado o alteración de trazas para ocultar un acceso.</t>
        </is>
      </c>
      <c r="V39" s="26">
        <f>SUBSTITUTE($B39,"*","-")</f>
        <v/>
      </c>
      <c r="AN39">
        <f>IF(Dashboard!$C$5="(Todos los procesos)",COUNTIFS('2. Valoración '!$H$6:$H$2261,$B39,'2. Valoración '!$Z$6:$Z$2261,"Alto")+COUNTIFS('2. Valoración '!$H$6:$H$2261,$B39,'2. Valoración '!$Z$6:$Z$2261,"Crítico"),COUNTIFS('2. Valoración '!$E$6:$E$2261,Dashboard!$C$5,'2. Valoración '!$H$6:$H$2261,$B39,'2. Valoración '!$Z$6:$Z$2261,"Alto")+COUNTIFS('2. Valoración '!$E$6:$E$2261,Dashboard!$C$5,'2. Valoración '!$H$6:$H$2261,$B39,'2. Valoración '!$Z$6:$Z$2261,"Crítico"))+33/1000</f>
        <v/>
      </c>
      <c r="AO39">
        <f>IF(Dashboard!$C$5="(Todos los procesos)",COUNTIF('2. Valoración '!$H$6:$H$2261,$B39),COUNTIFS('2. Valoración '!$E$6:$E$2261,Dashboard!$C$5,'2. Valoración '!$H$6:$H$2261,$B39))</f>
        <v/>
      </c>
      <c r="AX39" s="97">
        <f>IFERROR(AVERAGE('4. Controles y Madurez'!$J$79,'4. Controles y Madurez'!$J$33,'4. Controles y Madurez'!$J$66,'4. Controles y Madurez'!$J$38),0)</f>
        <v/>
      </c>
    </row>
    <row r="40" ht="60" customHeight="1" s="54">
      <c r="B40" s="23" t="inlineStr">
        <is>
          <t>A.4</t>
        </is>
      </c>
      <c r="C40" s="13" t="inlineStr">
        <is>
          <t>Manipulación de la configuración</t>
        </is>
      </c>
      <c r="D40" s="59" t="inlineStr">
        <is>
          <t>[A] Ataques intencionados</t>
        </is>
      </c>
      <c r="E40" s="25" t="inlineStr">
        <is>
          <t>Sí</t>
        </is>
      </c>
      <c r="F40" s="24" t="inlineStr">
        <is>
          <t>—</t>
        </is>
      </c>
      <c r="G40" s="24" t="inlineStr">
        <is>
          <t>—</t>
        </is>
      </c>
      <c r="H40" s="24" t="inlineStr">
        <is>
          <t>—</t>
        </is>
      </c>
      <c r="I40" s="24" t="inlineStr">
        <is>
          <t>—</t>
        </is>
      </c>
      <c r="J40" s="24" t="inlineStr">
        <is>
          <t>—</t>
        </is>
      </c>
      <c r="K40" s="24" t="inlineStr">
        <is>
          <t>—</t>
        </is>
      </c>
      <c r="L40" s="24" t="inlineStr">
        <is>
          <t>—</t>
        </is>
      </c>
      <c r="M40" s="24" t="inlineStr">
        <is>
          <t>—</t>
        </is>
      </c>
      <c r="N40" s="24" t="inlineStr">
        <is>
          <t>—</t>
        </is>
      </c>
      <c r="O40" s="21" t="inlineStr">
        <is>
          <t>Alta</t>
        </is>
      </c>
      <c r="P40" s="21" t="inlineStr">
        <is>
          <t>Alta</t>
        </is>
      </c>
      <c r="Q40" s="21" t="inlineStr">
        <is>
          <t>Alta</t>
        </is>
      </c>
      <c r="R40" s="21" t="inlineStr">
        <is>
          <t>Baja — ocurre cada varios años</t>
        </is>
      </c>
      <c r="S40" s="13" t="inlineStr">
        <is>
          <t>A.8.9 — Gestión de la configuración
A.8.32 — Gestión de cambios
A.8.2 — Derechos de acceso privilegiado
A.8.16 — Actividades de monitoreo</t>
        </is>
      </c>
      <c r="T40" s="13" t="inlineStr">
        <is>
          <t>Aplica al subtipo [D][conf]. Cambios maliciosos en IAM, firewall o aplicaciones.</t>
        </is>
      </c>
      <c r="V40" s="26">
        <f>SUBSTITUTE($B40,"*","-")</f>
        <v/>
      </c>
      <c r="AN40">
        <f>IF(Dashboard!$C$5="(Todos los procesos)",COUNTIFS('2. Valoración '!$H$6:$H$2261,$B40,'2. Valoración '!$Z$6:$Z$2261,"Alto")+COUNTIFS('2. Valoración '!$H$6:$H$2261,$B40,'2. Valoración '!$Z$6:$Z$2261,"Crítico"),COUNTIFS('2. Valoración '!$E$6:$E$2261,Dashboard!$C$5,'2. Valoración '!$H$6:$H$2261,$B40,'2. Valoración '!$Z$6:$Z$2261,"Alto")+COUNTIFS('2. Valoración '!$E$6:$E$2261,Dashboard!$C$5,'2. Valoración '!$H$6:$H$2261,$B40,'2. Valoración '!$Z$6:$Z$2261,"Crítico"))+34/1000</f>
        <v/>
      </c>
      <c r="AO40">
        <f>IF(Dashboard!$C$5="(Todos los procesos)",COUNTIF('2. Valoración '!$H$6:$H$2261,$B40),COUNTIFS('2. Valoración '!$E$6:$E$2261,Dashboard!$C$5,'2. Valoración '!$H$6:$H$2261,$B40))</f>
        <v/>
      </c>
      <c r="AX40" s="97">
        <f>IFERROR(AVERAGE('4. Controles y Madurez'!$J$73,'4. Controles y Madurez'!$J$96,'4. Controles y Madurez'!$J$66,'4. Controles y Madurez'!$J$80),0)</f>
        <v/>
      </c>
    </row>
    <row r="41" ht="75" customHeight="1" s="54">
      <c r="B41" s="23" t="inlineStr">
        <is>
          <t>A.5</t>
        </is>
      </c>
      <c r="C41" s="13" t="inlineStr">
        <is>
          <t>Suplantación de la identidad del usuario</t>
        </is>
      </c>
      <c r="D41" s="59" t="inlineStr">
        <is>
          <t>[A] Ataques intencionados</t>
        </is>
      </c>
      <c r="E41" s="25" t="inlineStr">
        <is>
          <t>Sí</t>
        </is>
      </c>
      <c r="F41" s="25" t="inlineStr">
        <is>
          <t>Sí</t>
        </is>
      </c>
      <c r="G41" s="25" t="inlineStr">
        <is>
          <t>Sí</t>
        </is>
      </c>
      <c r="H41" s="25" t="inlineStr">
        <is>
          <t>Sí</t>
        </is>
      </c>
      <c r="I41" s="24" t="inlineStr">
        <is>
          <t>—</t>
        </is>
      </c>
      <c r="J41" s="25" t="inlineStr">
        <is>
          <t>Sí</t>
        </is>
      </c>
      <c r="K41" s="24" t="inlineStr">
        <is>
          <t>—</t>
        </is>
      </c>
      <c r="L41" s="24" t="inlineStr">
        <is>
          <t>—</t>
        </is>
      </c>
      <c r="M41" s="24" t="inlineStr">
        <is>
          <t>—</t>
        </is>
      </c>
      <c r="N41" s="24" t="inlineStr">
        <is>
          <t>—</t>
        </is>
      </c>
      <c r="O41" s="21" t="inlineStr">
        <is>
          <t>No aplica</t>
        </is>
      </c>
      <c r="P41" s="21" t="inlineStr">
        <is>
          <t>Alta</t>
        </is>
      </c>
      <c r="Q41" s="21" t="inlineStr">
        <is>
          <t>Alta</t>
        </is>
      </c>
      <c r="R41" s="21" t="inlineStr">
        <is>
          <t>Alta — ocurre cada mes</t>
        </is>
      </c>
      <c r="S41" s="13" t="inlineStr">
        <is>
          <t>A.8.5 — Autenticación segura
A.5.17 — Información de autenticación
A.5.16 — Gestión de identidades
A.8.2 — Derechos de acceso privilegiado
A.6.3 — Concienciación, educación y capacitación</t>
        </is>
      </c>
      <c r="T41" s="13" t="inlineStr">
        <is>
          <t>Phishing, credential stuffing, robo de token de sesión, MFA fatigue.</t>
        </is>
      </c>
      <c r="V41" s="26">
        <f>SUBSTITUTE($B41,"*","-")</f>
        <v/>
      </c>
      <c r="AN41">
        <f>IF(Dashboard!$C$5="(Todos los procesos)",COUNTIFS('2. Valoración '!$H$6:$H$2261,$B41,'2. Valoración '!$Z$6:$Z$2261,"Alto")+COUNTIFS('2. Valoración '!$H$6:$H$2261,$B41,'2. Valoración '!$Z$6:$Z$2261,"Crítico"),COUNTIFS('2. Valoración '!$E$6:$E$2261,Dashboard!$C$5,'2. Valoración '!$H$6:$H$2261,$B41,'2. Valoración '!$Z$6:$Z$2261,"Alto")+COUNTIFS('2. Valoración '!$E$6:$E$2261,Dashboard!$C$5,'2. Valoración '!$H$6:$H$2261,$B41,'2. Valoración '!$Z$6:$Z$2261,"Crítico"))+35/1000</f>
        <v/>
      </c>
      <c r="AO41">
        <f>IF(Dashboard!$C$5="(Todos los procesos)",COUNTIF('2. Valoración '!$H$6:$H$2261,$B41),COUNTIFS('2. Valoración '!$E$6:$E$2261,Dashboard!$C$5,'2. Valoración '!$H$6:$H$2261,$B41))</f>
        <v/>
      </c>
      <c r="AX41" s="97">
        <f>IFERROR(AVERAGE('4. Controles y Madurez'!$J$69,'4. Controles y Madurez'!$J$22,'4. Controles y Madurez'!$J$21,'4. Controles y Madurez'!$J$66,'4. Controles y Madurez'!$J$45),0)</f>
        <v/>
      </c>
    </row>
    <row r="42" ht="105" customHeight="1" s="54">
      <c r="B42" s="23" t="inlineStr">
        <is>
          <t>A.6</t>
        </is>
      </c>
      <c r="C42" s="13" t="inlineStr">
        <is>
          <t>Abuso de privilegios de acceso</t>
        </is>
      </c>
      <c r="D42" s="59" t="inlineStr">
        <is>
          <t>[A] Ataques intencionados</t>
        </is>
      </c>
      <c r="E42" s="25" t="inlineStr">
        <is>
          <t>Sí</t>
        </is>
      </c>
      <c r="F42" s="25" t="inlineStr">
        <is>
          <t>Sí</t>
        </is>
      </c>
      <c r="G42" s="25" t="inlineStr">
        <is>
          <t>Sí</t>
        </is>
      </c>
      <c r="H42" s="25" t="inlineStr">
        <is>
          <t>Sí</t>
        </is>
      </c>
      <c r="I42" s="25" t="inlineStr">
        <is>
          <t>Sí</t>
        </is>
      </c>
      <c r="J42" s="25" t="inlineStr">
        <is>
          <t>Sí</t>
        </is>
      </c>
      <c r="K42" s="24" t="inlineStr">
        <is>
          <t>—</t>
        </is>
      </c>
      <c r="L42" s="24" t="inlineStr">
        <is>
          <t>—</t>
        </is>
      </c>
      <c r="M42" s="24" t="inlineStr">
        <is>
          <t>—</t>
        </is>
      </c>
      <c r="N42" s="24" t="inlineStr">
        <is>
          <t>—</t>
        </is>
      </c>
      <c r="O42" s="21" t="inlineStr">
        <is>
          <t>Media</t>
        </is>
      </c>
      <c r="P42" s="21" t="inlineStr">
        <is>
          <t>Media</t>
        </is>
      </c>
      <c r="Q42" s="21" t="inlineStr">
        <is>
          <t>Alta</t>
        </is>
      </c>
      <c r="R42" s="21" t="inlineStr">
        <is>
          <t>Media — ocurre una vez al año</t>
        </is>
      </c>
      <c r="S42" s="13" t="inlineStr">
        <is>
          <t>A.8.2 — Derechos de acceso privilegiado
A.5.18 — Derechos de acceso
A.8.18 — Uso de programas utilitarios privilegiados
A.5.3 — Segregación de funciones
A.8.16 — Actividades de monitoreo
A.8.34 — Protección de los sistemas de información durante auditorías</t>
        </is>
      </c>
      <c r="T42" s="13" t="inlineStr">
        <is>
          <t>Insider o cuenta de servicio con permisos excesivos.</t>
        </is>
      </c>
      <c r="V42" s="26">
        <f>SUBSTITUTE($B42,"*","-")</f>
        <v/>
      </c>
      <c r="AN42">
        <f>IF(Dashboard!$C$5="(Todos los procesos)",COUNTIFS('2. Valoración '!$H$6:$H$2261,$B42,'2. Valoración '!$Z$6:$Z$2261,"Alto")+COUNTIFS('2. Valoración '!$H$6:$H$2261,$B42,'2. Valoración '!$Z$6:$Z$2261,"Crítico"),COUNTIFS('2. Valoración '!$E$6:$E$2261,Dashboard!$C$5,'2. Valoración '!$H$6:$H$2261,$B42,'2. Valoración '!$Z$6:$Z$2261,"Alto")+COUNTIFS('2. Valoración '!$E$6:$E$2261,Dashboard!$C$5,'2. Valoración '!$H$6:$H$2261,$B42,'2. Valoración '!$Z$6:$Z$2261,"Crítico"))+36/1000</f>
        <v/>
      </c>
      <c r="AO42">
        <f>IF(Dashboard!$C$5="(Todos los procesos)",COUNTIF('2. Valoración '!$H$6:$H$2261,$B42),COUNTIFS('2. Valoración '!$E$6:$E$2261,Dashboard!$C$5,'2. Valoración '!$H$6:$H$2261,$B42))</f>
        <v/>
      </c>
      <c r="AX42" s="97">
        <f>IFERROR(AVERAGE('4. Controles y Madurez'!$J$66,'4. Controles y Madurez'!$J$23,'4. Controles y Madurez'!$J$82,'4. Controles y Madurez'!$J$8,'4. Controles y Madurez'!$J$80,'4. Controles y Madurez'!$J$98),0)</f>
        <v/>
      </c>
    </row>
    <row r="43" hidden="1" ht="90" customHeight="1" s="54">
      <c r="B43" s="23" t="inlineStr">
        <is>
          <t>A.7</t>
        </is>
      </c>
      <c r="C43" s="13" t="inlineStr">
        <is>
          <t>Uso no previsto</t>
        </is>
      </c>
      <c r="D43" s="59" t="inlineStr">
        <is>
          <t>[A] Ataques intencionados</t>
        </is>
      </c>
      <c r="E43" s="24" t="inlineStr">
        <is>
          <t>—</t>
        </is>
      </c>
      <c r="F43" s="24" t="inlineStr">
        <is>
          <t>—</t>
        </is>
      </c>
      <c r="G43" s="25" t="inlineStr">
        <is>
          <t>Sí</t>
        </is>
      </c>
      <c r="H43" s="25" t="inlineStr">
        <is>
          <t>Sí</t>
        </is>
      </c>
      <c r="I43" s="25" t="inlineStr">
        <is>
          <t>Sí</t>
        </is>
      </c>
      <c r="J43" s="25" t="inlineStr">
        <is>
          <t>Sí</t>
        </is>
      </c>
      <c r="K43" s="25" t="inlineStr">
        <is>
          <t>Sí</t>
        </is>
      </c>
      <c r="L43" s="25" t="inlineStr">
        <is>
          <t>Sí</t>
        </is>
      </c>
      <c r="M43" s="25" t="inlineStr">
        <is>
          <t>Sí</t>
        </is>
      </c>
      <c r="N43" s="24" t="inlineStr">
        <is>
          <t>—</t>
        </is>
      </c>
      <c r="O43" s="21" t="inlineStr">
        <is>
          <t>Media</t>
        </is>
      </c>
      <c r="P43" s="21" t="inlineStr">
        <is>
          <t>Baja</t>
        </is>
      </c>
      <c r="Q43" s="21" t="inlineStr">
        <is>
          <t>Baja</t>
        </is>
      </c>
      <c r="R43" s="21" t="inlineStr">
        <is>
          <t>Baja — ocurre cada varios años</t>
        </is>
      </c>
      <c r="S43" s="13" t="inlineStr">
        <is>
          <t>A.5.10 — Uso aceptable de la información y otros activos asociados
A.8.19 — Instalación de software en sistemas operativos
A.8.23 — Filtrado web
A.5.36 — Cumplimiento de políticas, reglas y normas de seguridad</t>
        </is>
      </c>
      <c r="T43" s="13" t="inlineStr">
        <is>
          <t>Uso de recursos corporativos para fines ajenos (minería, alojamiento de terceros).</t>
        </is>
      </c>
      <c r="V43" s="26">
        <f>SUBSTITUTE($B43,"*","-")</f>
        <v/>
      </c>
      <c r="AN43">
        <f>IF(Dashboard!$C$5="(Todos los procesos)",COUNTIFS('2. Valoración '!$H$6:$H$2261,$B43,'2. Valoración '!$Z$6:$Z$2261,"Alto")+COUNTIFS('2. Valoración '!$H$6:$H$2261,$B43,'2. Valoración '!$Z$6:$Z$2261,"Crítico"),COUNTIFS('2. Valoración '!$E$6:$E$2261,Dashboard!$C$5,'2. Valoración '!$H$6:$H$2261,$B43,'2. Valoración '!$Z$6:$Z$2261,"Alto")+COUNTIFS('2. Valoración '!$E$6:$E$2261,Dashboard!$C$5,'2. Valoración '!$H$6:$H$2261,$B43,'2. Valoración '!$Z$6:$Z$2261,"Crítico"))+37/1000</f>
        <v/>
      </c>
      <c r="AO43">
        <f>IF(Dashboard!$C$5="(Todos los procesos)",COUNTIF('2. Valoración '!$H$6:$H$2261,$B43),COUNTIFS('2. Valoración '!$E$6:$E$2261,Dashboard!$C$5,'2. Valoración '!$H$6:$H$2261,$B43))</f>
        <v/>
      </c>
      <c r="AX43" s="97">
        <f>IFERROR(AVERAGE('4. Controles y Madurez'!$J$15,'4. Controles y Madurez'!$J$83,'4. Controles y Madurez'!$J$87,'4. Controles y Madurez'!$J$41),0)</f>
        <v/>
      </c>
    </row>
    <row r="44" hidden="1" ht="120" customHeight="1" s="54">
      <c r="B44" s="23" t="inlineStr">
        <is>
          <t>A.8</t>
        </is>
      </c>
      <c r="C44" s="13" t="inlineStr">
        <is>
          <t>Difusión de software dañino</t>
        </is>
      </c>
      <c r="D44" s="59" t="inlineStr">
        <is>
          <t>[A] Ataques intencionados</t>
        </is>
      </c>
      <c r="E44" s="24" t="inlineStr">
        <is>
          <t>—</t>
        </is>
      </c>
      <c r="F44" s="24" t="inlineStr">
        <is>
          <t>—</t>
        </is>
      </c>
      <c r="G44" s="24" t="inlineStr">
        <is>
          <t>—</t>
        </is>
      </c>
      <c r="H44" s="25" t="inlineStr">
        <is>
          <t>Sí</t>
        </is>
      </c>
      <c r="I44" s="24" t="inlineStr">
        <is>
          <t>—</t>
        </is>
      </c>
      <c r="J44" s="24" t="inlineStr">
        <is>
          <t>—</t>
        </is>
      </c>
      <c r="K44" s="24" t="inlineStr">
        <is>
          <t>—</t>
        </is>
      </c>
      <c r="L44" s="24" t="inlineStr">
        <is>
          <t>—</t>
        </is>
      </c>
      <c r="M44" s="24" t="inlineStr">
        <is>
          <t>—</t>
        </is>
      </c>
      <c r="N44" s="24" t="inlineStr">
        <is>
          <t>—</t>
        </is>
      </c>
      <c r="O44" s="21" t="inlineStr">
        <is>
          <t>Muy alta</t>
        </is>
      </c>
      <c r="P44" s="21" t="inlineStr">
        <is>
          <t>Muy alta</t>
        </is>
      </c>
      <c r="Q44" s="21" t="inlineStr">
        <is>
          <t>Alta</t>
        </is>
      </c>
      <c r="R44" s="21" t="inlineStr">
        <is>
          <t>Alta — ocurre cada mes</t>
        </is>
      </c>
      <c r="S44" s="13" t="inlineStr">
        <is>
          <t>A.8.7 — Protección contra software malicioso
A.8.8 — Gestión de vulnerabilidades técnicas
A.8.13 — Respaldo de la información
A.8.19 — Instalación de software en sistemas operativos
A.5.26 — Respuesta a incidentes de seguridad de la información
A.5.7 — Inteligencia de amenazas
A.5.24 — Planificación y preparación de la gestión de incidentes
A.5.27 — Aprendizaje de los incidentes de seguridad</t>
        </is>
      </c>
      <c r="T44" s="13" t="inlineStr">
        <is>
          <t>Malware dirigido y ransomware — amenaza principal del sector GovTech.</t>
        </is>
      </c>
      <c r="V44" s="26">
        <f>SUBSTITUTE($B44,"*","-")</f>
        <v/>
      </c>
      <c r="AN44">
        <f>IF(Dashboard!$C$5="(Todos los procesos)",COUNTIFS('2. Valoración '!$H$6:$H$2261,$B44,'2. Valoración '!$Z$6:$Z$2261,"Alto")+COUNTIFS('2. Valoración '!$H$6:$H$2261,$B44,'2. Valoración '!$Z$6:$Z$2261,"Crítico"),COUNTIFS('2. Valoración '!$E$6:$E$2261,Dashboard!$C$5,'2. Valoración '!$H$6:$H$2261,$B44,'2. Valoración '!$Z$6:$Z$2261,"Alto")+COUNTIFS('2. Valoración '!$E$6:$E$2261,Dashboard!$C$5,'2. Valoración '!$H$6:$H$2261,$B44,'2. Valoración '!$Z$6:$Z$2261,"Crítico"))+38/1000</f>
        <v/>
      </c>
      <c r="AO44">
        <f>IF(Dashboard!$C$5="(Todos los procesos)",COUNTIF('2. Valoración '!$H$6:$H$2261,$B44),COUNTIFS('2. Valoración '!$E$6:$E$2261,Dashboard!$C$5,'2. Valoración '!$H$6:$H$2261,$B44))</f>
        <v/>
      </c>
      <c r="AX44" s="97">
        <f>IFERROR(AVERAGE('4. Controles y Madurez'!$J$71,'4. Controles y Madurez'!$J$72,'4. Controles y Madurez'!$J$77,'4. Controles y Madurez'!$J$83,'4. Controles y Madurez'!$J$31,'4. Controles y Madurez'!$J$12,'4. Controles y Madurez'!$J$29,'4. Controles y Madurez'!$J$32),0)</f>
        <v/>
      </c>
    </row>
    <row r="45" hidden="1" ht="60" customHeight="1" s="54">
      <c r="B45" s="23" t="inlineStr">
        <is>
          <t>A.9</t>
        </is>
      </c>
      <c r="C45" s="13" t="inlineStr">
        <is>
          <t>[Re-]encaminamiento de mensajes</t>
        </is>
      </c>
      <c r="D45" s="59" t="inlineStr">
        <is>
          <t>[A] Ataques intencionados</t>
        </is>
      </c>
      <c r="E45" s="24" t="inlineStr">
        <is>
          <t>—</t>
        </is>
      </c>
      <c r="F45" s="24" t="inlineStr">
        <is>
          <t>—</t>
        </is>
      </c>
      <c r="G45" s="25" t="inlineStr">
        <is>
          <t>Sí</t>
        </is>
      </c>
      <c r="H45" s="25" t="inlineStr">
        <is>
          <t>Sí</t>
        </is>
      </c>
      <c r="I45" s="24" t="inlineStr">
        <is>
          <t>—</t>
        </is>
      </c>
      <c r="J45" s="25" t="inlineStr">
        <is>
          <t>Sí</t>
        </is>
      </c>
      <c r="K45" s="24" t="inlineStr">
        <is>
          <t>—</t>
        </is>
      </c>
      <c r="L45" s="24" t="inlineStr">
        <is>
          <t>—</t>
        </is>
      </c>
      <c r="M45" s="24" t="inlineStr">
        <is>
          <t>—</t>
        </is>
      </c>
      <c r="N45" s="24" t="inlineStr">
        <is>
          <t>—</t>
        </is>
      </c>
      <c r="O45" s="21" t="inlineStr">
        <is>
          <t>No aplica</t>
        </is>
      </c>
      <c r="P45" s="21" t="inlineStr">
        <is>
          <t>No aplica</t>
        </is>
      </c>
      <c r="Q45" s="21" t="inlineStr">
        <is>
          <t>Alta</t>
        </is>
      </c>
      <c r="R45" s="21" t="inlineStr">
        <is>
          <t>Baja — ocurre cada varios años</t>
        </is>
      </c>
      <c r="S45" s="13" t="inlineStr">
        <is>
          <t>A.8.20 — Seguridad de las redes
A.8.21 — Seguridad de los servicios de red
A.8.24 — Uso de criptografía
A.8.22 — Segregación de redes</t>
        </is>
      </c>
      <c r="T45" s="13" t="inlineStr">
        <is>
          <t>Desvío malicioso de tráfico o correo (secuestro de DNS, reglas de reenvío ocultas).</t>
        </is>
      </c>
      <c r="V45" s="26">
        <f>SUBSTITUTE($B45,"*","-")</f>
        <v/>
      </c>
      <c r="AN45">
        <f>IF(Dashboard!$C$5="(Todos los procesos)",COUNTIFS('2. Valoración '!$H$6:$H$2261,$B45,'2. Valoración '!$Z$6:$Z$2261,"Alto")+COUNTIFS('2. Valoración '!$H$6:$H$2261,$B45,'2. Valoración '!$Z$6:$Z$2261,"Crítico"),COUNTIFS('2. Valoración '!$E$6:$E$2261,Dashboard!$C$5,'2. Valoración '!$H$6:$H$2261,$B45,'2. Valoración '!$Z$6:$Z$2261,"Alto")+COUNTIFS('2. Valoración '!$E$6:$E$2261,Dashboard!$C$5,'2. Valoración '!$H$6:$H$2261,$B45,'2. Valoración '!$Z$6:$Z$2261,"Crítico"))+39/1000</f>
        <v/>
      </c>
      <c r="AO45">
        <f>IF(Dashboard!$C$5="(Todos los procesos)",COUNTIF('2. Valoración '!$H$6:$H$2261,$B45),COUNTIFS('2. Valoración '!$E$6:$E$2261,Dashboard!$C$5,'2. Valoración '!$H$6:$H$2261,$B45))</f>
        <v/>
      </c>
      <c r="AX45" s="97">
        <f>IFERROR(AVERAGE('4. Controles y Madurez'!$J$84,'4. Controles y Madurez'!$J$85,'4. Controles y Madurez'!$J$88,'4. Controles y Madurez'!$J$86),0)</f>
        <v/>
      </c>
    </row>
    <row r="46" hidden="1" ht="45" customHeight="1" s="54">
      <c r="B46" s="23" t="inlineStr">
        <is>
          <t>A.10</t>
        </is>
      </c>
      <c r="C46" s="13" t="inlineStr">
        <is>
          <t>Alteración de secuencia</t>
        </is>
      </c>
      <c r="D46" s="59" t="inlineStr">
        <is>
          <t>[A] Ataques intencionados</t>
        </is>
      </c>
      <c r="E46" s="24" t="inlineStr">
        <is>
          <t>—</t>
        </is>
      </c>
      <c r="F46" s="24" t="inlineStr">
        <is>
          <t>—</t>
        </is>
      </c>
      <c r="G46" s="25" t="inlineStr">
        <is>
          <t>Sí</t>
        </is>
      </c>
      <c r="H46" s="25" t="inlineStr">
        <is>
          <t>Sí</t>
        </is>
      </c>
      <c r="I46" s="24" t="inlineStr">
        <is>
          <t>—</t>
        </is>
      </c>
      <c r="J46" s="25" t="inlineStr">
        <is>
          <t>Sí</t>
        </is>
      </c>
      <c r="K46" s="24" t="inlineStr">
        <is>
          <t>—</t>
        </is>
      </c>
      <c r="L46" s="24" t="inlineStr">
        <is>
          <t>—</t>
        </is>
      </c>
      <c r="M46" s="24" t="inlineStr">
        <is>
          <t>—</t>
        </is>
      </c>
      <c r="N46" s="24" t="inlineStr">
        <is>
          <t>—</t>
        </is>
      </c>
      <c r="O46" s="21" t="inlineStr">
        <is>
          <t>No aplica</t>
        </is>
      </c>
      <c r="P46" s="21" t="inlineStr">
        <is>
          <t>Media</t>
        </is>
      </c>
      <c r="Q46" s="21" t="inlineStr">
        <is>
          <t>No aplica</t>
        </is>
      </c>
      <c r="R46" s="21" t="inlineStr">
        <is>
          <t>Baja — ocurre cada varios años</t>
        </is>
      </c>
      <c r="S46" s="13" t="inlineStr">
        <is>
          <t>A.8.24 — Uso de criptografía
A.8.26 — Requisitos de seguridad de las aplicaciones
A.8.29 — Pruebas de seguridad en desarrollo y aceptación</t>
        </is>
      </c>
      <c r="T46" s="13" t="inlineStr">
        <is>
          <t>Reenvío o reordenamiento de transacciones (replay).</t>
        </is>
      </c>
      <c r="V46" s="26">
        <f>SUBSTITUTE($B46,"*","-")</f>
        <v/>
      </c>
      <c r="AN46">
        <f>IF(Dashboard!$C$5="(Todos los procesos)",COUNTIFS('2. Valoración '!$H$6:$H$2261,$B46,'2. Valoración '!$Z$6:$Z$2261,"Alto")+COUNTIFS('2. Valoración '!$H$6:$H$2261,$B46,'2. Valoración '!$Z$6:$Z$2261,"Crítico"),COUNTIFS('2. Valoración '!$E$6:$E$2261,Dashboard!$C$5,'2. Valoración '!$H$6:$H$2261,$B46,'2. Valoración '!$Z$6:$Z$2261,"Alto")+COUNTIFS('2. Valoración '!$E$6:$E$2261,Dashboard!$C$5,'2. Valoración '!$H$6:$H$2261,$B46,'2. Valoración '!$Z$6:$Z$2261,"Crítico"))+40/1000</f>
        <v/>
      </c>
      <c r="AO46">
        <f>IF(Dashboard!$C$5="(Todos los procesos)",COUNTIF('2. Valoración '!$H$6:$H$2261,$B46),COUNTIFS('2. Valoración '!$E$6:$E$2261,Dashboard!$C$5,'2. Valoración '!$H$6:$H$2261,$B46))</f>
        <v/>
      </c>
      <c r="AX46" s="97">
        <f>IFERROR(AVERAGE('4. Controles y Madurez'!$J$88,'4. Controles y Madurez'!$J$90,'4. Controles y Madurez'!$J$93),0)</f>
        <v/>
      </c>
    </row>
    <row r="47" ht="120" customHeight="1" s="54">
      <c r="B47" s="23" t="inlineStr">
        <is>
          <t>A.11</t>
        </is>
      </c>
      <c r="C47" s="13" t="inlineStr">
        <is>
          <t>Acceso no autorizado</t>
        </is>
      </c>
      <c r="D47" s="59" t="inlineStr">
        <is>
          <t>[A] Ataques intencionados</t>
        </is>
      </c>
      <c r="E47" s="25" t="inlineStr">
        <is>
          <t>Sí</t>
        </is>
      </c>
      <c r="F47" s="25" t="inlineStr">
        <is>
          <t>Sí</t>
        </is>
      </c>
      <c r="G47" s="25" t="inlineStr">
        <is>
          <t>Sí</t>
        </is>
      </c>
      <c r="H47" s="25" t="inlineStr">
        <is>
          <t>Sí</t>
        </is>
      </c>
      <c r="I47" s="25" t="inlineStr">
        <is>
          <t>Sí</t>
        </is>
      </c>
      <c r="J47" s="25" t="inlineStr">
        <is>
          <t>Sí</t>
        </is>
      </c>
      <c r="K47" s="25" t="inlineStr">
        <is>
          <t>Sí</t>
        </is>
      </c>
      <c r="L47" s="25" t="inlineStr">
        <is>
          <t>Sí</t>
        </is>
      </c>
      <c r="M47" s="25" t="inlineStr">
        <is>
          <t>Sí</t>
        </is>
      </c>
      <c r="N47" s="24" t="inlineStr">
        <is>
          <t>—</t>
        </is>
      </c>
      <c r="O47" s="21" t="inlineStr">
        <is>
          <t>No aplica</t>
        </is>
      </c>
      <c r="P47" s="21" t="inlineStr">
        <is>
          <t>Alta</t>
        </is>
      </c>
      <c r="Q47" s="21" t="inlineStr">
        <is>
          <t>Alta</t>
        </is>
      </c>
      <c r="R47" s="21" t="inlineStr">
        <is>
          <t>Alta — ocurre cada mes</t>
        </is>
      </c>
      <c r="S47" s="13" t="inlineStr">
        <is>
          <t>A.8.3 — Restricción del acceso a la información
A.5.15 — Control de acceso
A.8.5 — Autenticación segura
A.8.20 — Seguridad de las redes
A.8.2 — Derechos de acceso privilegiado
A.5.24 — Planificación y preparación de la gestión de incidentes
A.5.23 — Seguridad de la información para el uso de servicios en la nube</t>
        </is>
      </c>
      <c r="T47" s="13" t="inlineStr">
        <is>
          <t>Fuerza bruta, explotación de vulnerabilidades, compromiso de VPN o consola cloud.</t>
        </is>
      </c>
      <c r="V47" s="26">
        <f>SUBSTITUTE($B47,"*","-")</f>
        <v/>
      </c>
      <c r="AN47">
        <f>IF(Dashboard!$C$5="(Todos los procesos)",COUNTIFS('2. Valoración '!$H$6:$H$2261,$B47,'2. Valoración '!$Z$6:$Z$2261,"Alto")+COUNTIFS('2. Valoración '!$H$6:$H$2261,$B47,'2. Valoración '!$Z$6:$Z$2261,"Crítico"),COUNTIFS('2. Valoración '!$E$6:$E$2261,Dashboard!$C$5,'2. Valoración '!$H$6:$H$2261,$B47,'2. Valoración '!$Z$6:$Z$2261,"Alto")+COUNTIFS('2. Valoración '!$E$6:$E$2261,Dashboard!$C$5,'2. Valoración '!$H$6:$H$2261,$B47,'2. Valoración '!$Z$6:$Z$2261,"Crítico"))+41/1000</f>
        <v/>
      </c>
      <c r="AO47">
        <f>IF(Dashboard!$C$5="(Todos los procesos)",COUNTIF('2. Valoración '!$H$6:$H$2261,$B47),COUNTIFS('2. Valoración '!$E$6:$E$2261,Dashboard!$C$5,'2. Valoración '!$H$6:$H$2261,$B47))</f>
        <v/>
      </c>
      <c r="AX47" s="97">
        <f>IFERROR(AVERAGE('4. Controles y Madurez'!$J$67,'4. Controles y Madurez'!$J$20,'4. Controles y Madurez'!$J$69,'4. Controles y Madurez'!$J$84,'4. Controles y Madurez'!$J$66,'4. Controles y Madurez'!$J$29,'4. Controles y Madurez'!$J$28),0)</f>
        <v/>
      </c>
    </row>
    <row r="48" hidden="1" ht="45" customHeight="1" s="54">
      <c r="B48" s="23" t="inlineStr">
        <is>
          <t>A.12</t>
        </is>
      </c>
      <c r="C48" s="13" t="inlineStr">
        <is>
          <t>Análisis de tráfico</t>
        </is>
      </c>
      <c r="D48" s="59" t="inlineStr">
        <is>
          <t>[A] Ataques intencionados</t>
        </is>
      </c>
      <c r="E48" s="24" t="inlineStr">
        <is>
          <t>—</t>
        </is>
      </c>
      <c r="F48" s="24" t="inlineStr">
        <is>
          <t>—</t>
        </is>
      </c>
      <c r="G48" s="24" t="inlineStr">
        <is>
          <t>—</t>
        </is>
      </c>
      <c r="H48" s="24" t="inlineStr">
        <is>
          <t>—</t>
        </is>
      </c>
      <c r="I48" s="24" t="inlineStr">
        <is>
          <t>—</t>
        </is>
      </c>
      <c r="J48" s="25" t="inlineStr">
        <is>
          <t>Sí</t>
        </is>
      </c>
      <c r="K48" s="24" t="inlineStr">
        <is>
          <t>—</t>
        </is>
      </c>
      <c r="L48" s="24" t="inlineStr">
        <is>
          <t>—</t>
        </is>
      </c>
      <c r="M48" s="24" t="inlineStr">
        <is>
          <t>—</t>
        </is>
      </c>
      <c r="N48" s="24" t="inlineStr">
        <is>
          <t>—</t>
        </is>
      </c>
      <c r="O48" s="21" t="inlineStr">
        <is>
          <t>No aplica</t>
        </is>
      </c>
      <c r="P48" s="21" t="inlineStr">
        <is>
          <t>No aplica</t>
        </is>
      </c>
      <c r="Q48" s="21" t="inlineStr">
        <is>
          <t>Media</t>
        </is>
      </c>
      <c r="R48" s="21" t="inlineStr">
        <is>
          <t>Baja — ocurre cada varios años</t>
        </is>
      </c>
      <c r="S48" s="13" t="inlineStr">
        <is>
          <t>A.8.24 — Uso de criptografía
A.8.20 — Seguridad de las redes
A.8.22 — Segregación de redes</t>
        </is>
      </c>
      <c r="T48" s="13" t="inlineStr">
        <is>
          <t>Inferencia de información a partir de metadatos de red.</t>
        </is>
      </c>
      <c r="V48" s="26">
        <f>SUBSTITUTE($B48,"*","-")</f>
        <v/>
      </c>
      <c r="AN48">
        <f>IF(Dashboard!$C$5="(Todos los procesos)",COUNTIFS('2. Valoración '!$H$6:$H$2261,$B48,'2. Valoración '!$Z$6:$Z$2261,"Alto")+COUNTIFS('2. Valoración '!$H$6:$H$2261,$B48,'2. Valoración '!$Z$6:$Z$2261,"Crítico"),COUNTIFS('2. Valoración '!$E$6:$E$2261,Dashboard!$C$5,'2. Valoración '!$H$6:$H$2261,$B48,'2. Valoración '!$Z$6:$Z$2261,"Alto")+COUNTIFS('2. Valoración '!$E$6:$E$2261,Dashboard!$C$5,'2. Valoración '!$H$6:$H$2261,$B48,'2. Valoración '!$Z$6:$Z$2261,"Crítico"))+42/1000</f>
        <v/>
      </c>
      <c r="AO48">
        <f>IF(Dashboard!$C$5="(Todos los procesos)",COUNTIF('2. Valoración '!$H$6:$H$2261,$B48),COUNTIFS('2. Valoración '!$E$6:$E$2261,Dashboard!$C$5,'2. Valoración '!$H$6:$H$2261,$B48))</f>
        <v/>
      </c>
      <c r="AX48" s="97">
        <f>IFERROR(AVERAGE('4. Controles y Madurez'!$J$88,'4. Controles y Madurez'!$J$84,'4. Controles y Madurez'!$J$86),0)</f>
        <v/>
      </c>
    </row>
    <row r="49" ht="90" customHeight="1" s="54">
      <c r="B49" s="23" t="inlineStr">
        <is>
          <t>A.13</t>
        </is>
      </c>
      <c r="C49" s="13" t="inlineStr">
        <is>
          <t>Repudio</t>
        </is>
      </c>
      <c r="D49" s="59" t="inlineStr">
        <is>
          <t>[A] Ataques intencionados</t>
        </is>
      </c>
      <c r="E49" s="25" t="inlineStr">
        <is>
          <t>Sí</t>
        </is>
      </c>
      <c r="F49" s="24" t="inlineStr">
        <is>
          <t>—</t>
        </is>
      </c>
      <c r="G49" s="25" t="inlineStr">
        <is>
          <t>Sí</t>
        </is>
      </c>
      <c r="H49" s="24" t="inlineStr">
        <is>
          <t>—</t>
        </is>
      </c>
      <c r="I49" s="24" t="inlineStr">
        <is>
          <t>—</t>
        </is>
      </c>
      <c r="J49" s="24" t="inlineStr">
        <is>
          <t>—</t>
        </is>
      </c>
      <c r="K49" s="24" t="inlineStr">
        <is>
          <t>—</t>
        </is>
      </c>
      <c r="L49" s="24" t="inlineStr">
        <is>
          <t>—</t>
        </is>
      </c>
      <c r="M49" s="24" t="inlineStr">
        <is>
          <t>—</t>
        </is>
      </c>
      <c r="N49" s="24" t="inlineStr">
        <is>
          <t>—</t>
        </is>
      </c>
      <c r="O49" s="21" t="inlineStr">
        <is>
          <t>No aplica</t>
        </is>
      </c>
      <c r="P49" s="21" t="inlineStr">
        <is>
          <t>Alta</t>
        </is>
      </c>
      <c r="Q49" s="21" t="inlineStr">
        <is>
          <t>No aplica</t>
        </is>
      </c>
      <c r="R49" s="21" t="inlineStr">
        <is>
          <t>Baja — ocurre cada varios años</t>
        </is>
      </c>
      <c r="S49" s="13" t="inlineStr">
        <is>
          <t>A.8.15 — Registro de eventos (logging)
A.5.28 — Recolección de evidencia
A.8.17 — Sincronización de relojes
A.8.24 — Uso de criptografía
A.5.31 — Requisitos legales, estatutarios, reglamentarios y contractuales</t>
        </is>
      </c>
      <c r="T49" s="13" t="inlineStr">
        <is>
          <t>Negación de acciones ejecutadas; se mitiga con trazas íntegras y firma electrónica.</t>
        </is>
      </c>
      <c r="V49" s="26">
        <f>SUBSTITUTE($B49,"*","-")</f>
        <v/>
      </c>
      <c r="AN49">
        <f>IF(Dashboard!$C$5="(Todos los procesos)",COUNTIFS('2. Valoración '!$H$6:$H$2261,$B49,'2. Valoración '!$Z$6:$Z$2261,"Alto")+COUNTIFS('2. Valoración '!$H$6:$H$2261,$B49,'2. Valoración '!$Z$6:$Z$2261,"Crítico"),COUNTIFS('2. Valoración '!$E$6:$E$2261,Dashboard!$C$5,'2. Valoración '!$H$6:$H$2261,$B49,'2. Valoración '!$Z$6:$Z$2261,"Alto")+COUNTIFS('2. Valoración '!$E$6:$E$2261,Dashboard!$C$5,'2. Valoración '!$H$6:$H$2261,$B49,'2. Valoración '!$Z$6:$Z$2261,"Crítico"))+43/1000</f>
        <v/>
      </c>
      <c r="AO49">
        <f>IF(Dashboard!$C$5="(Todos los procesos)",COUNTIF('2. Valoración '!$H$6:$H$2261,$B49),COUNTIFS('2. Valoración '!$E$6:$E$2261,Dashboard!$C$5,'2. Valoración '!$H$6:$H$2261,$B49))</f>
        <v/>
      </c>
      <c r="AX49" s="97">
        <f>IFERROR(AVERAGE('4. Controles y Madurez'!$J$79,'4. Controles y Madurez'!$J$33,'4. Controles y Madurez'!$J$81,'4. Controles y Madurez'!$J$88,'4. Controles y Madurez'!$J$36),0)</f>
        <v/>
      </c>
    </row>
    <row r="50" hidden="1" ht="60" customHeight="1" s="54">
      <c r="B50" s="23" t="inlineStr">
        <is>
          <t>A.14</t>
        </is>
      </c>
      <c r="C50" s="13" t="inlineStr">
        <is>
          <t>Interceptación de información (escucha)</t>
        </is>
      </c>
      <c r="D50" s="59" t="inlineStr">
        <is>
          <t>[A] Ataques intencionados</t>
        </is>
      </c>
      <c r="E50" s="24" t="inlineStr">
        <is>
          <t>—</t>
        </is>
      </c>
      <c r="F50" s="24" t="inlineStr">
        <is>
          <t>—</t>
        </is>
      </c>
      <c r="G50" s="24" t="inlineStr">
        <is>
          <t>—</t>
        </is>
      </c>
      <c r="H50" s="24" t="inlineStr">
        <is>
          <t>—</t>
        </is>
      </c>
      <c r="I50" s="24" t="inlineStr">
        <is>
          <t>—</t>
        </is>
      </c>
      <c r="J50" s="25" t="inlineStr">
        <is>
          <t>Sí</t>
        </is>
      </c>
      <c r="K50" s="24" t="inlineStr">
        <is>
          <t>—</t>
        </is>
      </c>
      <c r="L50" s="24" t="inlineStr">
        <is>
          <t>—</t>
        </is>
      </c>
      <c r="M50" s="24" t="inlineStr">
        <is>
          <t>—</t>
        </is>
      </c>
      <c r="N50" s="24" t="inlineStr">
        <is>
          <t>—</t>
        </is>
      </c>
      <c r="O50" s="21" t="inlineStr">
        <is>
          <t>No aplica</t>
        </is>
      </c>
      <c r="P50" s="21" t="inlineStr">
        <is>
          <t>No aplica</t>
        </is>
      </c>
      <c r="Q50" s="21" t="inlineStr">
        <is>
          <t>Alta</t>
        </is>
      </c>
      <c r="R50" s="21" t="inlineStr">
        <is>
          <t>Media — ocurre una vez al año</t>
        </is>
      </c>
      <c r="S50" s="13" t="inlineStr">
        <is>
          <t>A.8.24 — Uso de criptografía
A.8.20 — Seguridad de las redes
A.8.21 — Seguridad de los servicios de red
A.6.7 — Trabajo remoto</t>
        </is>
      </c>
      <c r="T50" s="13" t="inlineStr">
        <is>
          <t>Man-in-the-middle en WiFi pública sin VPN, captura de tráfico.</t>
        </is>
      </c>
      <c r="V50" s="26">
        <f>SUBSTITUTE($B50,"*","-")</f>
        <v/>
      </c>
      <c r="AN50">
        <f>IF(Dashboard!$C$5="(Todos los procesos)",COUNTIFS('2. Valoración '!$H$6:$H$2261,$B50,'2. Valoración '!$Z$6:$Z$2261,"Alto")+COUNTIFS('2. Valoración '!$H$6:$H$2261,$B50,'2. Valoración '!$Z$6:$Z$2261,"Crítico"),COUNTIFS('2. Valoración '!$E$6:$E$2261,Dashboard!$C$5,'2. Valoración '!$H$6:$H$2261,$B50,'2. Valoración '!$Z$6:$Z$2261,"Alto")+COUNTIFS('2. Valoración '!$E$6:$E$2261,Dashboard!$C$5,'2. Valoración '!$H$6:$H$2261,$B50,'2. Valoración '!$Z$6:$Z$2261,"Crítico"))+44/1000</f>
        <v/>
      </c>
      <c r="AO50">
        <f>IF(Dashboard!$C$5="(Todos los procesos)",COUNTIF('2. Valoración '!$H$6:$H$2261,$B50),COUNTIFS('2. Valoración '!$E$6:$E$2261,Dashboard!$C$5,'2. Valoración '!$H$6:$H$2261,$B50))</f>
        <v/>
      </c>
      <c r="AX50" s="97">
        <f>IFERROR(AVERAGE('4. Controles y Madurez'!$J$88,'4. Controles y Madurez'!$J$84,'4. Controles y Madurez'!$J$85,'4. Controles y Madurez'!$J$49),0)</f>
        <v/>
      </c>
    </row>
    <row r="51" ht="60" customHeight="1" s="54">
      <c r="B51" s="23" t="inlineStr">
        <is>
          <t>A.15</t>
        </is>
      </c>
      <c r="C51" s="13" t="inlineStr">
        <is>
          <t>Modificación deliberada de la información</t>
        </is>
      </c>
      <c r="D51" s="59" t="inlineStr">
        <is>
          <t>[A] Ataques intencionados</t>
        </is>
      </c>
      <c r="E51" s="25" t="inlineStr">
        <is>
          <t>Sí</t>
        </is>
      </c>
      <c r="F51" s="25" t="inlineStr">
        <is>
          <t>Sí</t>
        </is>
      </c>
      <c r="G51" s="25" t="inlineStr">
        <is>
          <t>Sí</t>
        </is>
      </c>
      <c r="H51" s="25" t="inlineStr">
        <is>
          <t>Sí</t>
        </is>
      </c>
      <c r="I51" s="24" t="inlineStr">
        <is>
          <t>—</t>
        </is>
      </c>
      <c r="J51" s="25" t="inlineStr">
        <is>
          <t>Sí</t>
        </is>
      </c>
      <c r="K51" s="25" t="inlineStr">
        <is>
          <t>Sí</t>
        </is>
      </c>
      <c r="L51" s="24" t="inlineStr">
        <is>
          <t>—</t>
        </is>
      </c>
      <c r="M51" s="25" t="inlineStr">
        <is>
          <t>Sí</t>
        </is>
      </c>
      <c r="N51" s="24" t="inlineStr">
        <is>
          <t>—</t>
        </is>
      </c>
      <c r="O51" s="21" t="inlineStr">
        <is>
          <t>No aplica</t>
        </is>
      </c>
      <c r="P51" s="21" t="inlineStr">
        <is>
          <t>Muy alta</t>
        </is>
      </c>
      <c r="Q51" s="21" t="inlineStr">
        <is>
          <t>No aplica</t>
        </is>
      </c>
      <c r="R51" s="21" t="inlineStr">
        <is>
          <t>Baja — ocurre cada varios años</t>
        </is>
      </c>
      <c r="S51" s="13" t="inlineStr">
        <is>
          <t>A.8.3 — Restricción del acceso a la información
A.8.24 — Uso de criptografía
A.5.33 — Protección de registros
A.8.15 — Registro de eventos (logging)</t>
        </is>
      </c>
      <c r="T51" s="13" t="inlineStr">
        <is>
          <t>Manipulación de datos en bases, repositorios o configuraciones.</t>
        </is>
      </c>
      <c r="V51" s="26">
        <f>SUBSTITUTE($B51,"*","-")</f>
        <v/>
      </c>
      <c r="AN51">
        <f>IF(Dashboard!$C$5="(Todos los procesos)",COUNTIFS('2. Valoración '!$H$6:$H$2261,$B51,'2. Valoración '!$Z$6:$Z$2261,"Alto")+COUNTIFS('2. Valoración '!$H$6:$H$2261,$B51,'2. Valoración '!$Z$6:$Z$2261,"Crítico"),COUNTIFS('2. Valoración '!$E$6:$E$2261,Dashboard!$C$5,'2. Valoración '!$H$6:$H$2261,$B51,'2. Valoración '!$Z$6:$Z$2261,"Alto")+COUNTIFS('2. Valoración '!$E$6:$E$2261,Dashboard!$C$5,'2. Valoración '!$H$6:$H$2261,$B51,'2. Valoración '!$Z$6:$Z$2261,"Crítico"))+45/1000</f>
        <v/>
      </c>
      <c r="AO51">
        <f>IF(Dashboard!$C$5="(Todos los procesos)",COUNTIF('2. Valoración '!$H$6:$H$2261,$B51),COUNTIFS('2. Valoración '!$E$6:$E$2261,Dashboard!$C$5,'2. Valoración '!$H$6:$H$2261,$B51))</f>
        <v/>
      </c>
      <c r="AX51" s="97">
        <f>IFERROR(AVERAGE('4. Controles y Madurez'!$J$67,'4. Controles y Madurez'!$J$88,'4. Controles y Madurez'!$J$38,'4. Controles y Madurez'!$J$79),0)</f>
        <v/>
      </c>
    </row>
    <row r="52" ht="60" customHeight="1" s="54">
      <c r="B52" s="23" t="inlineStr">
        <is>
          <t>A.18</t>
        </is>
      </c>
      <c r="C52" s="13" t="inlineStr">
        <is>
          <t>Destrucción de información</t>
        </is>
      </c>
      <c r="D52" s="59" t="inlineStr">
        <is>
          <t>[A] Ataques intencionados</t>
        </is>
      </c>
      <c r="E52" s="25" t="inlineStr">
        <is>
          <t>Sí</t>
        </is>
      </c>
      <c r="F52" s="25" t="inlineStr">
        <is>
          <t>Sí</t>
        </is>
      </c>
      <c r="G52" s="25" t="inlineStr">
        <is>
          <t>Sí</t>
        </is>
      </c>
      <c r="H52" s="25" t="inlineStr">
        <is>
          <t>Sí</t>
        </is>
      </c>
      <c r="I52" s="24" t="inlineStr">
        <is>
          <t>—</t>
        </is>
      </c>
      <c r="J52" s="25" t="inlineStr">
        <is>
          <t>Sí</t>
        </is>
      </c>
      <c r="K52" s="25" t="inlineStr">
        <is>
          <t>Sí</t>
        </is>
      </c>
      <c r="L52" s="24" t="inlineStr">
        <is>
          <t>—</t>
        </is>
      </c>
      <c r="M52" s="25" t="inlineStr">
        <is>
          <t>Sí</t>
        </is>
      </c>
      <c r="N52" s="24" t="inlineStr">
        <is>
          <t>—</t>
        </is>
      </c>
      <c r="O52" s="21" t="inlineStr">
        <is>
          <t>Muy alta</t>
        </is>
      </c>
      <c r="P52" s="21" t="inlineStr">
        <is>
          <t>No aplica</t>
        </is>
      </c>
      <c r="Q52" s="21" t="inlineStr">
        <is>
          <t>No aplica</t>
        </is>
      </c>
      <c r="R52" s="21" t="inlineStr">
        <is>
          <t>Media — ocurre una vez al año</t>
        </is>
      </c>
      <c r="S52" s="13" t="inlineStr">
        <is>
          <t>A.8.13 — Respaldo de la información
A.5.29 — Seguridad de la información durante la disrupción
A.5.26 — Respuesta a incidentes de seguridad de la información
A.8.3 — Restricción del acceso a la información</t>
        </is>
      </c>
      <c r="T52" s="13" t="inlineStr">
        <is>
          <t>Ransomware, wipers y sabotaje de respaldos.</t>
        </is>
      </c>
      <c r="V52" s="26">
        <f>SUBSTITUTE($B52,"*","-")</f>
        <v/>
      </c>
      <c r="AN52">
        <f>IF(Dashboard!$C$5="(Todos los procesos)",COUNTIFS('2. Valoración '!$H$6:$H$2261,$B52,'2. Valoración '!$Z$6:$Z$2261,"Alto")+COUNTIFS('2. Valoración '!$H$6:$H$2261,$B52,'2. Valoración '!$Z$6:$Z$2261,"Crítico"),COUNTIFS('2. Valoración '!$E$6:$E$2261,Dashboard!$C$5,'2. Valoración '!$H$6:$H$2261,$B52,'2. Valoración '!$Z$6:$Z$2261,"Alto")+COUNTIFS('2. Valoración '!$E$6:$E$2261,Dashboard!$C$5,'2. Valoración '!$H$6:$H$2261,$B52,'2. Valoración '!$Z$6:$Z$2261,"Crítico"))+46/1000</f>
        <v/>
      </c>
      <c r="AO52">
        <f>IF(Dashboard!$C$5="(Todos los procesos)",COUNTIF('2. Valoración '!$H$6:$H$2261,$B52),COUNTIFS('2. Valoración '!$E$6:$E$2261,Dashboard!$C$5,'2. Valoración '!$H$6:$H$2261,$B52))</f>
        <v/>
      </c>
      <c r="AX52" s="97">
        <f>IFERROR(AVERAGE('4. Controles y Madurez'!$J$77,'4. Controles y Madurez'!$J$34,'4. Controles y Madurez'!$J$31,'4. Controles y Madurez'!$J$67),0)</f>
        <v/>
      </c>
    </row>
    <row r="53" ht="120" customHeight="1" s="54">
      <c r="B53" s="23" t="inlineStr">
        <is>
          <t>A.19</t>
        </is>
      </c>
      <c r="C53" s="13" t="inlineStr">
        <is>
          <t>Divulgación de información</t>
        </is>
      </c>
      <c r="D53" s="59" t="inlineStr">
        <is>
          <t>[A] Ataques intencionados</t>
        </is>
      </c>
      <c r="E53" s="25" t="inlineStr">
        <is>
          <t>Sí</t>
        </is>
      </c>
      <c r="F53" s="25" t="inlineStr">
        <is>
          <t>Sí</t>
        </is>
      </c>
      <c r="G53" s="25" t="inlineStr">
        <is>
          <t>Sí</t>
        </is>
      </c>
      <c r="H53" s="25" t="inlineStr">
        <is>
          <t>Sí</t>
        </is>
      </c>
      <c r="I53" s="24" t="inlineStr">
        <is>
          <t>—</t>
        </is>
      </c>
      <c r="J53" s="25" t="inlineStr">
        <is>
          <t>Sí</t>
        </is>
      </c>
      <c r="K53" s="25" t="inlineStr">
        <is>
          <t>Sí</t>
        </is>
      </c>
      <c r="L53" s="24" t="inlineStr">
        <is>
          <t>—</t>
        </is>
      </c>
      <c r="M53" s="25" t="inlineStr">
        <is>
          <t>Sí</t>
        </is>
      </c>
      <c r="N53" s="24" t="inlineStr">
        <is>
          <t>—</t>
        </is>
      </c>
      <c r="O53" s="21" t="inlineStr">
        <is>
          <t>No aplica</t>
        </is>
      </c>
      <c r="P53" s="21" t="inlineStr">
        <is>
          <t>No aplica</t>
        </is>
      </c>
      <c r="Q53" s="21" t="inlineStr">
        <is>
          <t>Muy alta</t>
        </is>
      </c>
      <c r="R53" s="21" t="inlineStr">
        <is>
          <t>Media — ocurre una vez al año</t>
        </is>
      </c>
      <c r="S53" s="13" t="inlineStr">
        <is>
          <t>A.8.12 — Prevención de fuga de datos (DLP)
A.5.34 — Privacidad y protección de datos personales (PII)
A.6.6 — Acuerdos de confidencialidad o no divulgación
A.5.13 — Etiquetado de la información
A.8.24 — Uso de criptografía
A.5.32 — Derechos de propiedad intelectual
A.5.31 — Requisitos legales, estatutarios, reglamentarios y contractuales</t>
        </is>
      </c>
      <c r="T53" s="13" t="inlineStr">
        <is>
          <t>Filtración intencional, extorsión con datos, publicación de secretos.</t>
        </is>
      </c>
      <c r="V53" s="26">
        <f>SUBSTITUTE($B53,"*","-")</f>
        <v/>
      </c>
      <c r="AN53">
        <f>IF(Dashboard!$C$5="(Todos los procesos)",COUNTIFS('2. Valoración '!$H$6:$H$2261,$B53,'2. Valoración '!$Z$6:$Z$2261,"Alto")+COUNTIFS('2. Valoración '!$H$6:$H$2261,$B53,'2. Valoración '!$Z$6:$Z$2261,"Crítico"),COUNTIFS('2. Valoración '!$E$6:$E$2261,Dashboard!$C$5,'2. Valoración '!$H$6:$H$2261,$B53,'2. Valoración '!$Z$6:$Z$2261,"Alto")+COUNTIFS('2. Valoración '!$E$6:$E$2261,Dashboard!$C$5,'2. Valoración '!$H$6:$H$2261,$B53,'2. Valoración '!$Z$6:$Z$2261,"Crítico"))+47/1000</f>
        <v/>
      </c>
      <c r="AO53">
        <f>IF(Dashboard!$C$5="(Todos los procesos)",COUNTIF('2. Valoración '!$H$6:$H$2261,$B53),COUNTIFS('2. Valoración '!$E$6:$E$2261,Dashboard!$C$5,'2. Valoración '!$H$6:$H$2261,$B53))</f>
        <v/>
      </c>
      <c r="AX53" s="97">
        <f>IFERROR(AVERAGE('4. Controles y Madurez'!$J$76,'4. Controles y Madurez'!$J$39,'4. Controles y Madurez'!$J$48,'4. Controles y Madurez'!$J$18,'4. Controles y Madurez'!$J$88,'4. Controles y Madurez'!$J$37,'4. Controles y Madurez'!$J$36),0)</f>
        <v/>
      </c>
    </row>
    <row r="54" hidden="1" ht="135" customHeight="1" s="54">
      <c r="B54" s="23" t="inlineStr">
        <is>
          <t>A.22</t>
        </is>
      </c>
      <c r="C54" s="13" t="inlineStr">
        <is>
          <t>Manipulación de programas</t>
        </is>
      </c>
      <c r="D54" s="59" t="inlineStr">
        <is>
          <t>[A] Ataques intencionados</t>
        </is>
      </c>
      <c r="E54" s="24" t="inlineStr">
        <is>
          <t>—</t>
        </is>
      </c>
      <c r="F54" s="24" t="inlineStr">
        <is>
          <t>—</t>
        </is>
      </c>
      <c r="G54" s="24" t="inlineStr">
        <is>
          <t>—</t>
        </is>
      </c>
      <c r="H54" s="25" t="inlineStr">
        <is>
          <t>Sí</t>
        </is>
      </c>
      <c r="I54" s="24" t="inlineStr">
        <is>
          <t>—</t>
        </is>
      </c>
      <c r="J54" s="24" t="inlineStr">
        <is>
          <t>—</t>
        </is>
      </c>
      <c r="K54" s="24" t="inlineStr">
        <is>
          <t>—</t>
        </is>
      </c>
      <c r="L54" s="24" t="inlineStr">
        <is>
          <t>—</t>
        </is>
      </c>
      <c r="M54" s="24" t="inlineStr">
        <is>
          <t>—</t>
        </is>
      </c>
      <c r="N54" s="24" t="inlineStr">
        <is>
          <t>—</t>
        </is>
      </c>
      <c r="O54" s="21" t="inlineStr">
        <is>
          <t>Alta</t>
        </is>
      </c>
      <c r="P54" s="21" t="inlineStr">
        <is>
          <t>Muy alta</t>
        </is>
      </c>
      <c r="Q54" s="21" t="inlineStr">
        <is>
          <t>Alta</t>
        </is>
      </c>
      <c r="R54" s="21" t="inlineStr">
        <is>
          <t>Media — ocurre una vez al año</t>
        </is>
      </c>
      <c r="S54" s="13" t="inlineStr">
        <is>
          <t>A.8.25 — Ciclo de vida de desarrollo seguro
A.8.28 — Codificación segura
A.5.21 — Gestión de la seguridad en la cadena de suministro TIC
A.8.31 — Separación de entornos de desarrollo, prueba y producción
A.8.4 — Acceso al código fuente
A.8.30 — Desarrollo contratado externamente
A.8.27 — Arquitectura de sistemas seguros y principios de ingeniería</t>
        </is>
      </c>
      <c r="T54" s="13" t="inlineStr">
        <is>
          <t>Puertas traseras en dependencias; ataque a la cadena de suministro de software.</t>
        </is>
      </c>
      <c r="V54" s="26">
        <f>SUBSTITUTE($B54,"*","-")</f>
        <v/>
      </c>
      <c r="AN54">
        <f>IF(Dashboard!$C$5="(Todos los procesos)",COUNTIFS('2. Valoración '!$H$6:$H$2261,$B54,'2. Valoración '!$Z$6:$Z$2261,"Alto")+COUNTIFS('2. Valoración '!$H$6:$H$2261,$B54,'2. Valoración '!$Z$6:$Z$2261,"Crítico"),COUNTIFS('2. Valoración '!$E$6:$E$2261,Dashboard!$C$5,'2. Valoración '!$H$6:$H$2261,$B54,'2. Valoración '!$Z$6:$Z$2261,"Alto")+COUNTIFS('2. Valoración '!$E$6:$E$2261,Dashboard!$C$5,'2. Valoración '!$H$6:$H$2261,$B54,'2. Valoración '!$Z$6:$Z$2261,"Crítico"))+48/1000</f>
        <v/>
      </c>
      <c r="AO54">
        <f>IF(Dashboard!$C$5="(Todos los procesos)",COUNTIF('2. Valoración '!$H$6:$H$2261,$B54),COUNTIFS('2. Valoración '!$E$6:$E$2261,Dashboard!$C$5,'2. Valoración '!$H$6:$H$2261,$B54))</f>
        <v/>
      </c>
      <c r="AX54" s="97">
        <f>IFERROR(AVERAGE('4. Controles y Madurez'!$J$89,'4. Controles y Madurez'!$J$92,'4. Controles y Madurez'!$J$26,'4. Controles y Madurez'!$J$95,'4. Controles y Madurez'!$J$68,'4. Controles y Madurez'!$J$94,'4. Controles y Madurez'!$J$91),0)</f>
        <v/>
      </c>
    </row>
    <row r="55" hidden="1" ht="60" customHeight="1" s="54">
      <c r="B55" s="23" t="inlineStr">
        <is>
          <t>A.23</t>
        </is>
      </c>
      <c r="C55" s="13" t="inlineStr">
        <is>
          <t>Manipulación de los equipos</t>
        </is>
      </c>
      <c r="D55" s="59" t="inlineStr">
        <is>
          <t>[A] Ataques intencionados</t>
        </is>
      </c>
      <c r="E55" s="24" t="inlineStr">
        <is>
          <t>—</t>
        </is>
      </c>
      <c r="F55" s="24" t="inlineStr">
        <is>
          <t>—</t>
        </is>
      </c>
      <c r="G55" s="24" t="inlineStr">
        <is>
          <t>—</t>
        </is>
      </c>
      <c r="H55" s="24" t="inlineStr">
        <is>
          <t>—</t>
        </is>
      </c>
      <c r="I55" s="25" t="inlineStr">
        <is>
          <t>Sí</t>
        </is>
      </c>
      <c r="J55" s="24" t="inlineStr">
        <is>
          <t>—</t>
        </is>
      </c>
      <c r="K55" s="25" t="inlineStr">
        <is>
          <t>Sí</t>
        </is>
      </c>
      <c r="L55" s="25" t="inlineStr">
        <is>
          <t>Sí</t>
        </is>
      </c>
      <c r="M55" s="24" t="inlineStr">
        <is>
          <t>—</t>
        </is>
      </c>
      <c r="N55" s="24" t="inlineStr">
        <is>
          <t>—</t>
        </is>
      </c>
      <c r="O55" s="21" t="inlineStr">
        <is>
          <t>Media</t>
        </is>
      </c>
      <c r="P55" s="21" t="inlineStr">
        <is>
          <t>No aplica</t>
        </is>
      </c>
      <c r="Q55" s="21" t="inlineStr">
        <is>
          <t>Alta</t>
        </is>
      </c>
      <c r="R55" s="21" t="inlineStr">
        <is>
          <t>Muy baja — excepcional, cada muchos años</t>
        </is>
      </c>
      <c r="S55" s="13" t="inlineStr">
        <is>
          <t>A.7.8 — Ubicación y protección de los equipos
A.7.9 — Seguridad de los activos fuera de las instalaciones
A.8.1 — Dispositivos de punto final del usuario
A.7.2 — Controles de entrada física</t>
        </is>
      </c>
      <c r="T55" s="13" t="inlineStr">
        <is>
          <t>Alteración física de equipos, implantes de hardware, keyloggers.</t>
        </is>
      </c>
      <c r="V55" s="26">
        <f>SUBSTITUTE($B55,"*","-")</f>
        <v/>
      </c>
      <c r="AN55">
        <f>IF(Dashboard!$C$5="(Todos los procesos)",COUNTIFS('2. Valoración '!$H$6:$H$2261,$B55,'2. Valoración '!$Z$6:$Z$2261,"Alto")+COUNTIFS('2. Valoración '!$H$6:$H$2261,$B55,'2. Valoración '!$Z$6:$Z$2261,"Crítico"),COUNTIFS('2. Valoración '!$E$6:$E$2261,Dashboard!$C$5,'2. Valoración '!$H$6:$H$2261,$B55,'2. Valoración '!$Z$6:$Z$2261,"Alto")+COUNTIFS('2. Valoración '!$E$6:$E$2261,Dashboard!$C$5,'2. Valoración '!$H$6:$H$2261,$B55,'2. Valoración '!$Z$6:$Z$2261,"Crítico"))+49/1000</f>
        <v/>
      </c>
      <c r="AO55">
        <f>IF(Dashboard!$C$5="(Todos los procesos)",COUNTIF('2. Valoración '!$H$6:$H$2261,$B55),COUNTIFS('2. Valoración '!$E$6:$E$2261,Dashboard!$C$5,'2. Valoración '!$H$6:$H$2261,$B55))</f>
        <v/>
      </c>
      <c r="AX55" s="97">
        <f>IFERROR(AVERAGE('4. Controles y Madurez'!$J$58,'4. Controles y Madurez'!$J$59,'4. Controles y Madurez'!$J$65,'4. Controles y Madurez'!$J$52),0)</f>
        <v/>
      </c>
    </row>
    <row r="56" hidden="1" ht="60" customHeight="1" s="54">
      <c r="B56" s="23" t="inlineStr">
        <is>
          <t>A.24</t>
        </is>
      </c>
      <c r="C56" s="13" t="inlineStr">
        <is>
          <t>Denegación de servicio</t>
        </is>
      </c>
      <c r="D56" s="59" t="inlineStr">
        <is>
          <t>[A] Ataques intencionados</t>
        </is>
      </c>
      <c r="E56" s="24" t="inlineStr">
        <is>
          <t>—</t>
        </is>
      </c>
      <c r="F56" s="24" t="inlineStr">
        <is>
          <t>—</t>
        </is>
      </c>
      <c r="G56" s="25" t="inlineStr">
        <is>
          <t>Sí</t>
        </is>
      </c>
      <c r="H56" s="24" t="inlineStr">
        <is>
          <t>—</t>
        </is>
      </c>
      <c r="I56" s="25" t="inlineStr">
        <is>
          <t>Sí</t>
        </is>
      </c>
      <c r="J56" s="25" t="inlineStr">
        <is>
          <t>Sí</t>
        </is>
      </c>
      <c r="K56" s="24" t="inlineStr">
        <is>
          <t>—</t>
        </is>
      </c>
      <c r="L56" s="24" t="inlineStr">
        <is>
          <t>—</t>
        </is>
      </c>
      <c r="M56" s="24" t="inlineStr">
        <is>
          <t>—</t>
        </is>
      </c>
      <c r="N56" s="24" t="inlineStr">
        <is>
          <t>—</t>
        </is>
      </c>
      <c r="O56" s="21" t="inlineStr">
        <is>
          <t>Muy alta</t>
        </is>
      </c>
      <c r="P56" s="21" t="inlineStr">
        <is>
          <t>No aplica</t>
        </is>
      </c>
      <c r="Q56" s="21" t="inlineStr">
        <is>
          <t>No aplica</t>
        </is>
      </c>
      <c r="R56" s="21" t="inlineStr">
        <is>
          <t>Media — ocurre una vez al año</t>
        </is>
      </c>
      <c r="S56" s="13" t="inlineStr">
        <is>
          <t>A.8.6 — Gestión de la capacidad
A.8.20 — Seguridad de las redes
A.8.14 — Redundancia de las instalaciones de procesamiento
A.5.26 — Respuesta a incidentes de seguridad de la información</t>
        </is>
      </c>
      <c r="T56" s="13" t="inlineStr">
        <is>
          <t>DDoS volumétrico o aplicacional contra las plataformas de Cuántico.</t>
        </is>
      </c>
      <c r="V56" s="26">
        <f>SUBSTITUTE($B56,"*","-")</f>
        <v/>
      </c>
      <c r="AN56">
        <f>IF(Dashboard!$C$5="(Todos los procesos)",COUNTIFS('2. Valoración '!$H$6:$H$2261,$B56,'2. Valoración '!$Z$6:$Z$2261,"Alto")+COUNTIFS('2. Valoración '!$H$6:$H$2261,$B56,'2. Valoración '!$Z$6:$Z$2261,"Crítico"),COUNTIFS('2. Valoración '!$E$6:$E$2261,Dashboard!$C$5,'2. Valoración '!$H$6:$H$2261,$B56,'2. Valoración '!$Z$6:$Z$2261,"Alto")+COUNTIFS('2. Valoración '!$E$6:$E$2261,Dashboard!$C$5,'2. Valoración '!$H$6:$H$2261,$B56,'2. Valoración '!$Z$6:$Z$2261,"Crítico"))+50/1000</f>
        <v/>
      </c>
      <c r="AO56">
        <f>IF(Dashboard!$C$5="(Todos los procesos)",COUNTIF('2. Valoración '!$H$6:$H$2261,$B56),COUNTIFS('2. Valoración '!$E$6:$E$2261,Dashboard!$C$5,'2. Valoración '!$H$6:$H$2261,$B56))</f>
        <v/>
      </c>
      <c r="AX56" s="97">
        <f>IFERROR(AVERAGE('4. Controles y Madurez'!$J$70,'4. Controles y Madurez'!$J$84,'4. Controles y Madurez'!$J$78,'4. Controles y Madurez'!$J$31),0)</f>
        <v/>
      </c>
    </row>
    <row r="57" hidden="1" ht="75" customHeight="1" s="54">
      <c r="B57" s="23" t="inlineStr">
        <is>
          <t>A.25</t>
        </is>
      </c>
      <c r="C57" s="13" t="inlineStr">
        <is>
          <t>Robo</t>
        </is>
      </c>
      <c r="D57" s="59" t="inlineStr">
        <is>
          <t>[A] Ataques intencionados</t>
        </is>
      </c>
      <c r="E57" s="24" t="inlineStr">
        <is>
          <t>—</t>
        </is>
      </c>
      <c r="F57" s="24" t="inlineStr">
        <is>
          <t>—</t>
        </is>
      </c>
      <c r="G57" s="24" t="inlineStr">
        <is>
          <t>—</t>
        </is>
      </c>
      <c r="H57" s="24" t="inlineStr">
        <is>
          <t>—</t>
        </is>
      </c>
      <c r="I57" s="25" t="inlineStr">
        <is>
          <t>Sí</t>
        </is>
      </c>
      <c r="J57" s="24" t="inlineStr">
        <is>
          <t>—</t>
        </is>
      </c>
      <c r="K57" s="25" t="inlineStr">
        <is>
          <t>Sí</t>
        </is>
      </c>
      <c r="L57" s="25" t="inlineStr">
        <is>
          <t>Sí</t>
        </is>
      </c>
      <c r="M57" s="24" t="inlineStr">
        <is>
          <t>—</t>
        </is>
      </c>
      <c r="N57" s="24" t="inlineStr">
        <is>
          <t>—</t>
        </is>
      </c>
      <c r="O57" s="21" t="inlineStr">
        <is>
          <t>Muy alta</t>
        </is>
      </c>
      <c r="P57" s="21" t="inlineStr">
        <is>
          <t>No aplica</t>
        </is>
      </c>
      <c r="Q57" s="21" t="inlineStr">
        <is>
          <t>Alta</t>
        </is>
      </c>
      <c r="R57" s="21" t="inlineStr">
        <is>
          <t>Baja — ocurre cada varios años</t>
        </is>
      </c>
      <c r="S57" s="13" t="inlineStr">
        <is>
          <t>A.7.9 — Seguridad de los activos fuera de las instalaciones
A.7.2 — Controles de entrada física
A.8.1 — Dispositivos de punto final del usuario
A.7.10 — Medios de almacenamiento
A.8.24 — Uso de criptografía</t>
        </is>
      </c>
      <c r="T57" s="13" t="inlineStr">
        <is>
          <t>Hurto de portátiles, dispositivos móviles, soportes o tokens físicos.</t>
        </is>
      </c>
      <c r="V57" s="26">
        <f>SUBSTITUTE($B57,"*","-")</f>
        <v/>
      </c>
      <c r="AN57">
        <f>IF(Dashboard!$C$5="(Todos los procesos)",COUNTIFS('2. Valoración '!$H$6:$H$2261,$B57,'2. Valoración '!$Z$6:$Z$2261,"Alto")+COUNTIFS('2. Valoración '!$H$6:$H$2261,$B57,'2. Valoración '!$Z$6:$Z$2261,"Crítico"),COUNTIFS('2. Valoración '!$E$6:$E$2261,Dashboard!$C$5,'2. Valoración '!$H$6:$H$2261,$B57,'2. Valoración '!$Z$6:$Z$2261,"Alto")+COUNTIFS('2. Valoración '!$E$6:$E$2261,Dashboard!$C$5,'2. Valoración '!$H$6:$H$2261,$B57,'2. Valoración '!$Z$6:$Z$2261,"Crítico"))+51/1000</f>
        <v/>
      </c>
      <c r="AO57">
        <f>IF(Dashboard!$C$5="(Todos los procesos)",COUNTIF('2. Valoración '!$H$6:$H$2261,$B57),COUNTIFS('2. Valoración '!$E$6:$E$2261,Dashboard!$C$5,'2. Valoración '!$H$6:$H$2261,$B57))</f>
        <v/>
      </c>
      <c r="AX57" s="97">
        <f>IFERROR(AVERAGE('4. Controles y Madurez'!$J$59,'4. Controles y Madurez'!$J$52,'4. Controles y Madurez'!$J$65,'4. Controles y Madurez'!$J$60,'4. Controles y Madurez'!$J$88),0)</f>
        <v/>
      </c>
    </row>
    <row r="58" hidden="1" ht="60" customHeight="1" s="54">
      <c r="B58" s="23" t="inlineStr">
        <is>
          <t>A.26</t>
        </is>
      </c>
      <c r="C58" s="13" t="inlineStr">
        <is>
          <t>Ataque destructivo</t>
        </is>
      </c>
      <c r="D58" s="59" t="inlineStr">
        <is>
          <t>[A] Ataques intencionados</t>
        </is>
      </c>
      <c r="E58" s="24" t="inlineStr">
        <is>
          <t>—</t>
        </is>
      </c>
      <c r="F58" s="24" t="inlineStr">
        <is>
          <t>—</t>
        </is>
      </c>
      <c r="G58" s="24" t="inlineStr">
        <is>
          <t>—</t>
        </is>
      </c>
      <c r="H58" s="24" t="inlineStr">
        <is>
          <t>—</t>
        </is>
      </c>
      <c r="I58" s="25" t="inlineStr">
        <is>
          <t>Sí</t>
        </is>
      </c>
      <c r="J58" s="24" t="inlineStr">
        <is>
          <t>—</t>
        </is>
      </c>
      <c r="K58" s="25" t="inlineStr">
        <is>
          <t>Sí</t>
        </is>
      </c>
      <c r="L58" s="25" t="inlineStr">
        <is>
          <t>Sí</t>
        </is>
      </c>
      <c r="M58" s="25" t="inlineStr">
        <is>
          <t>Sí</t>
        </is>
      </c>
      <c r="N58" s="24" t="inlineStr">
        <is>
          <t>—</t>
        </is>
      </c>
      <c r="O58" s="21" t="inlineStr">
        <is>
          <t>Muy alta</t>
        </is>
      </c>
      <c r="P58" s="21" t="inlineStr">
        <is>
          <t>No aplica</t>
        </is>
      </c>
      <c r="Q58" s="21" t="inlineStr">
        <is>
          <t>No aplica</t>
        </is>
      </c>
      <c r="R58" s="21" t="inlineStr">
        <is>
          <t>Muy baja — excepcional, cada muchos años</t>
        </is>
      </c>
      <c r="S58" s="13" t="inlineStr">
        <is>
          <t>A.7.1 — Perímetros de seguridad física
A.7.2 — Controles de entrada física
A.7.4 — Monitoreo de seguridad física
A.5.29 — Seguridad de la información durante la disrupción</t>
        </is>
      </c>
      <c r="T58" s="13" t="inlineStr">
        <is>
          <t>Vandalismo o sabotaje físico de instalaciones y equipos.</t>
        </is>
      </c>
      <c r="V58" s="26">
        <f>SUBSTITUTE($B58,"*","-")</f>
        <v/>
      </c>
      <c r="AN58">
        <f>IF(Dashboard!$C$5="(Todos los procesos)",COUNTIFS('2. Valoración '!$H$6:$H$2261,$B58,'2. Valoración '!$Z$6:$Z$2261,"Alto")+COUNTIFS('2. Valoración '!$H$6:$H$2261,$B58,'2. Valoración '!$Z$6:$Z$2261,"Crítico"),COUNTIFS('2. Valoración '!$E$6:$E$2261,Dashboard!$C$5,'2. Valoración '!$H$6:$H$2261,$B58,'2. Valoración '!$Z$6:$Z$2261,"Alto")+COUNTIFS('2. Valoración '!$E$6:$E$2261,Dashboard!$C$5,'2. Valoración '!$H$6:$H$2261,$B58,'2. Valoración '!$Z$6:$Z$2261,"Crítico"))+52/1000</f>
        <v/>
      </c>
      <c r="AO58">
        <f>IF(Dashboard!$C$5="(Todos los procesos)",COUNTIF('2. Valoración '!$H$6:$H$2261,$B58),COUNTIFS('2. Valoración '!$E$6:$E$2261,Dashboard!$C$5,'2. Valoración '!$H$6:$H$2261,$B58))</f>
        <v/>
      </c>
      <c r="AX58" s="97">
        <f>IFERROR(AVERAGE('4. Controles y Madurez'!$J$51,'4. Controles y Madurez'!$J$52,'4. Controles y Madurez'!$J$54,'4. Controles y Madurez'!$J$34),0)</f>
        <v/>
      </c>
    </row>
    <row r="59" hidden="1" ht="60" customHeight="1" s="54">
      <c r="B59" s="23" t="inlineStr">
        <is>
          <t>A.27</t>
        </is>
      </c>
      <c r="C59" s="13" t="inlineStr">
        <is>
          <t>Ocupación enemiga</t>
        </is>
      </c>
      <c r="D59" s="59" t="inlineStr">
        <is>
          <t>[A] Ataques intencionados</t>
        </is>
      </c>
      <c r="E59" s="24" t="inlineStr">
        <is>
          <t>—</t>
        </is>
      </c>
      <c r="F59" s="24" t="inlineStr">
        <is>
          <t>—</t>
        </is>
      </c>
      <c r="G59" s="24" t="inlineStr">
        <is>
          <t>—</t>
        </is>
      </c>
      <c r="H59" s="24" t="inlineStr">
        <is>
          <t>—</t>
        </is>
      </c>
      <c r="I59" s="24" t="inlineStr">
        <is>
          <t>—</t>
        </is>
      </c>
      <c r="J59" s="24" t="inlineStr">
        <is>
          <t>—</t>
        </is>
      </c>
      <c r="K59" s="24" t="inlineStr">
        <is>
          <t>—</t>
        </is>
      </c>
      <c r="L59" s="24" t="inlineStr">
        <is>
          <t>—</t>
        </is>
      </c>
      <c r="M59" s="25" t="inlineStr">
        <is>
          <t>Sí</t>
        </is>
      </c>
      <c r="N59" s="24" t="inlineStr">
        <is>
          <t>—</t>
        </is>
      </c>
      <c r="O59" s="21" t="inlineStr">
        <is>
          <t>Muy alta</t>
        </is>
      </c>
      <c r="P59" s="21" t="inlineStr">
        <is>
          <t>No aplica</t>
        </is>
      </c>
      <c r="Q59" s="21" t="inlineStr">
        <is>
          <t>Muy alta</t>
        </is>
      </c>
      <c r="R59" s="21" t="inlineStr">
        <is>
          <t>Muy baja — excepcional, cada muchos años</t>
        </is>
      </c>
      <c r="S59" s="13" t="inlineStr">
        <is>
          <t>A.7.1 — Perímetros de seguridad física
A.7.2 — Controles de entrada física
A.7.6 — Trabajo en áreas seguras
A.5.29 — Seguridad de la información durante la disrupción</t>
        </is>
      </c>
      <c r="T59" s="13" t="inlineStr">
        <is>
          <t>Aplica a instalaciones propias; se documenta por completitud del catálogo.</t>
        </is>
      </c>
      <c r="V59" s="26">
        <f>SUBSTITUTE($B59,"*","-")</f>
        <v/>
      </c>
      <c r="AN59">
        <f>IF(Dashboard!$C$5="(Todos los procesos)",COUNTIFS('2. Valoración '!$H$6:$H$2261,$B59,'2. Valoración '!$Z$6:$Z$2261,"Alto")+COUNTIFS('2. Valoración '!$H$6:$H$2261,$B59,'2. Valoración '!$Z$6:$Z$2261,"Crítico"),COUNTIFS('2. Valoración '!$E$6:$E$2261,Dashboard!$C$5,'2. Valoración '!$H$6:$H$2261,$B59,'2. Valoración '!$Z$6:$Z$2261,"Alto")+COUNTIFS('2. Valoración '!$E$6:$E$2261,Dashboard!$C$5,'2. Valoración '!$H$6:$H$2261,$B59,'2. Valoración '!$Z$6:$Z$2261,"Crítico"))+53/1000</f>
        <v/>
      </c>
      <c r="AO59">
        <f>IF(Dashboard!$C$5="(Todos los procesos)",COUNTIF('2. Valoración '!$H$6:$H$2261,$B59),COUNTIFS('2. Valoración '!$E$6:$E$2261,Dashboard!$C$5,'2. Valoración '!$H$6:$H$2261,$B59))</f>
        <v/>
      </c>
      <c r="AX59" s="97">
        <f>IFERROR(AVERAGE('4. Controles y Madurez'!$J$51,'4. Controles y Madurez'!$J$52,'4. Controles y Madurez'!$J$56,'4. Controles y Madurez'!$J$34),0)</f>
        <v/>
      </c>
    </row>
    <row r="60" hidden="1" ht="75" customHeight="1" s="54">
      <c r="B60" s="23" t="inlineStr">
        <is>
          <t>A.28</t>
        </is>
      </c>
      <c r="C60" s="13" t="inlineStr">
        <is>
          <t>Indisponibilidad del personal</t>
        </is>
      </c>
      <c r="D60" s="59" t="inlineStr">
        <is>
          <t>[A] Ataques intencionados</t>
        </is>
      </c>
      <c r="E60" s="24" t="inlineStr">
        <is>
          <t>—</t>
        </is>
      </c>
      <c r="F60" s="24" t="inlineStr">
        <is>
          <t>—</t>
        </is>
      </c>
      <c r="G60" s="24" t="inlineStr">
        <is>
          <t>—</t>
        </is>
      </c>
      <c r="H60" s="24" t="inlineStr">
        <is>
          <t>—</t>
        </is>
      </c>
      <c r="I60" s="24" t="inlineStr">
        <is>
          <t>—</t>
        </is>
      </c>
      <c r="J60" s="24" t="inlineStr">
        <is>
          <t>—</t>
        </is>
      </c>
      <c r="K60" s="24" t="inlineStr">
        <is>
          <t>—</t>
        </is>
      </c>
      <c r="L60" s="24" t="inlineStr">
        <is>
          <t>—</t>
        </is>
      </c>
      <c r="M60" s="24" t="inlineStr">
        <is>
          <t>—</t>
        </is>
      </c>
      <c r="N60" s="25" t="inlineStr">
        <is>
          <t>Sí</t>
        </is>
      </c>
      <c r="O60" s="21" t="inlineStr">
        <is>
          <t>Alta</t>
        </is>
      </c>
      <c r="P60" s="21" t="inlineStr">
        <is>
          <t>No aplica</t>
        </is>
      </c>
      <c r="Q60" s="21" t="inlineStr">
        <is>
          <t>No aplica</t>
        </is>
      </c>
      <c r="R60" s="21" t="inlineStr">
        <is>
          <t>Baja — ocurre cada varios años</t>
        </is>
      </c>
      <c r="S60" s="13" t="inlineStr">
        <is>
          <t>A.6.4 — Proceso disciplinario
A.6.5 — Responsabilidades ante la finalización o cambio de empleo
A.5.4 — Responsabilidades de la dirección
A.5.29 — Seguridad de la información durante la disrupción</t>
        </is>
      </c>
      <c r="T60" s="13" t="inlineStr">
        <is>
          <t>Ausencia deliberada, huelga o abandono del puesto en funciones críticas.</t>
        </is>
      </c>
      <c r="V60" s="26">
        <f>SUBSTITUTE($B60,"*","-")</f>
        <v/>
      </c>
      <c r="AN60">
        <f>IF(Dashboard!$C$5="(Todos los procesos)",COUNTIFS('2. Valoración '!$H$6:$H$2261,$B60,'2. Valoración '!$Z$6:$Z$2261,"Alto")+COUNTIFS('2. Valoración '!$H$6:$H$2261,$B60,'2. Valoración '!$Z$6:$Z$2261,"Crítico"),COUNTIFS('2. Valoración '!$E$6:$E$2261,Dashboard!$C$5,'2. Valoración '!$H$6:$H$2261,$B60,'2. Valoración '!$Z$6:$Z$2261,"Alto")+COUNTIFS('2. Valoración '!$E$6:$E$2261,Dashboard!$C$5,'2. Valoración '!$H$6:$H$2261,$B60,'2. Valoración '!$Z$6:$Z$2261,"Crítico"))+54/1000</f>
        <v/>
      </c>
      <c r="AO60">
        <f>IF(Dashboard!$C$5="(Todos los procesos)",COUNTIF('2. Valoración '!$H$6:$H$2261,$B60),COUNTIFS('2. Valoración '!$E$6:$E$2261,Dashboard!$C$5,'2. Valoración '!$H$6:$H$2261,$B60))</f>
        <v/>
      </c>
      <c r="AX60" s="97">
        <f>IFERROR(AVERAGE('4. Controles y Madurez'!$J$46,'4. Controles y Madurez'!$J$47,'4. Controles y Madurez'!$J$9,'4. Controles y Madurez'!$J$34),0)</f>
        <v/>
      </c>
    </row>
    <row r="61" hidden="1" ht="90" customHeight="1" s="54">
      <c r="B61" s="23" t="inlineStr">
        <is>
          <t>A.29</t>
        </is>
      </c>
      <c r="C61" s="13" t="inlineStr">
        <is>
          <t>Extorsión</t>
        </is>
      </c>
      <c r="D61" s="59" t="inlineStr">
        <is>
          <t>[A] Ataques intencionados</t>
        </is>
      </c>
      <c r="E61" s="24" t="inlineStr">
        <is>
          <t>—</t>
        </is>
      </c>
      <c r="F61" s="24" t="inlineStr">
        <is>
          <t>—</t>
        </is>
      </c>
      <c r="G61" s="24" t="inlineStr">
        <is>
          <t>—</t>
        </is>
      </c>
      <c r="H61" s="24" t="inlineStr">
        <is>
          <t>—</t>
        </is>
      </c>
      <c r="I61" s="24" t="inlineStr">
        <is>
          <t>—</t>
        </is>
      </c>
      <c r="J61" s="24" t="inlineStr">
        <is>
          <t>—</t>
        </is>
      </c>
      <c r="K61" s="24" t="inlineStr">
        <is>
          <t>—</t>
        </is>
      </c>
      <c r="L61" s="24" t="inlineStr">
        <is>
          <t>—</t>
        </is>
      </c>
      <c r="M61" s="24" t="inlineStr">
        <is>
          <t>—</t>
        </is>
      </c>
      <c r="N61" s="25" t="inlineStr">
        <is>
          <t>Sí</t>
        </is>
      </c>
      <c r="O61" s="21" t="inlineStr">
        <is>
          <t>Media</t>
        </is>
      </c>
      <c r="P61" s="21" t="inlineStr">
        <is>
          <t>Media</t>
        </is>
      </c>
      <c r="Q61" s="21" t="inlineStr">
        <is>
          <t>Alta</t>
        </is>
      </c>
      <c r="R61" s="21" t="inlineStr">
        <is>
          <t>Muy baja — excepcional, cada muchos años</t>
        </is>
      </c>
      <c r="S61" s="13" t="inlineStr">
        <is>
          <t>A.6.3 — Concienciación, educación y capacitación
A.6.6 — Acuerdos de confidencialidad o no divulgación
A.5.5 — Contacto con autoridades
A.5.26 — Respuesta a incidentes de seguridad de la información
A.6.4 — Proceso disciplinario
A.6.2 — Términos y condiciones de empleo</t>
        </is>
      </c>
      <c r="T61" s="13" t="inlineStr">
        <is>
          <t>Presión sobre personal con acceso privilegiado.</t>
        </is>
      </c>
      <c r="V61" s="26">
        <f>SUBSTITUTE($B61,"*","-")</f>
        <v/>
      </c>
      <c r="AN61">
        <f>IF(Dashboard!$C$5="(Todos los procesos)",COUNTIFS('2. Valoración '!$H$6:$H$2261,$B61,'2. Valoración '!$Z$6:$Z$2261,"Alto")+COUNTIFS('2. Valoración '!$H$6:$H$2261,$B61,'2. Valoración '!$Z$6:$Z$2261,"Crítico"),COUNTIFS('2. Valoración '!$E$6:$E$2261,Dashboard!$C$5,'2. Valoración '!$H$6:$H$2261,$B61,'2. Valoración '!$Z$6:$Z$2261,"Alto")+COUNTIFS('2. Valoración '!$E$6:$E$2261,Dashboard!$C$5,'2. Valoración '!$H$6:$H$2261,$B61,'2. Valoración '!$Z$6:$Z$2261,"Crítico"))+55/1000</f>
        <v/>
      </c>
      <c r="AO61">
        <f>IF(Dashboard!$C$5="(Todos los procesos)",COUNTIF('2. Valoración '!$H$6:$H$2261,$B61),COUNTIFS('2. Valoración '!$E$6:$E$2261,Dashboard!$C$5,'2. Valoración '!$H$6:$H$2261,$B61))</f>
        <v/>
      </c>
      <c r="AX61" s="97">
        <f>IFERROR(AVERAGE('4. Controles y Madurez'!$J$45,'4. Controles y Madurez'!$J$48,'4. Controles y Madurez'!$J$10,'4. Controles y Madurez'!$J$31,'4. Controles y Madurez'!$J$46,'4. Controles y Madurez'!$J$44),0)</f>
        <v/>
      </c>
    </row>
    <row r="62" hidden="1" ht="105" customHeight="1" s="54">
      <c r="B62" s="23" t="inlineStr">
        <is>
          <t>A.30</t>
        </is>
      </c>
      <c r="C62" s="13" t="inlineStr">
        <is>
          <t>Ingeniería social (picaresca)</t>
        </is>
      </c>
      <c r="D62" s="59" t="inlineStr">
        <is>
          <t>[A] Ataques intencionados</t>
        </is>
      </c>
      <c r="E62" s="24" t="inlineStr">
        <is>
          <t>—</t>
        </is>
      </c>
      <c r="F62" s="24" t="inlineStr">
        <is>
          <t>—</t>
        </is>
      </c>
      <c r="G62" s="24" t="inlineStr">
        <is>
          <t>—</t>
        </is>
      </c>
      <c r="H62" s="24" t="inlineStr">
        <is>
          <t>—</t>
        </is>
      </c>
      <c r="I62" s="24" t="inlineStr">
        <is>
          <t>—</t>
        </is>
      </c>
      <c r="J62" s="24" t="inlineStr">
        <is>
          <t>—</t>
        </is>
      </c>
      <c r="K62" s="24" t="inlineStr">
        <is>
          <t>—</t>
        </is>
      </c>
      <c r="L62" s="24" t="inlineStr">
        <is>
          <t>—</t>
        </is>
      </c>
      <c r="M62" s="24" t="inlineStr">
        <is>
          <t>—</t>
        </is>
      </c>
      <c r="N62" s="25" t="inlineStr">
        <is>
          <t>Sí</t>
        </is>
      </c>
      <c r="O62" s="21" t="inlineStr">
        <is>
          <t>Media</t>
        </is>
      </c>
      <c r="P62" s="21" t="inlineStr">
        <is>
          <t>Media</t>
        </is>
      </c>
      <c r="Q62" s="21" t="inlineStr">
        <is>
          <t>Alta</t>
        </is>
      </c>
      <c r="R62" s="21" t="inlineStr">
        <is>
          <t>Alta — ocurre cada mes</t>
        </is>
      </c>
      <c r="S62" s="13" t="inlineStr">
        <is>
          <t>A.6.3 — Concienciación, educación y capacitación
A.8.5 — Autenticación segura
A.5.17 — Información de autenticación
A.6.8 — Reporte de eventos de seguridad de la información
A.5.14 — Transferencia de información
A.5.6 — Contacto con grupos de interés especial
A.5.7 — Inteligencia de amenazas</t>
        </is>
      </c>
      <c r="T62" s="13" t="inlineStr">
        <is>
          <t>Pretexting, vishing y fraude del CEO (BEC).</t>
        </is>
      </c>
      <c r="V62" s="26">
        <f>SUBSTITUTE($B62,"*","-")</f>
        <v/>
      </c>
      <c r="AN62">
        <f>IF(Dashboard!$C$5="(Todos los procesos)",COUNTIFS('2. Valoración '!$H$6:$H$2261,$B62,'2. Valoración '!$Z$6:$Z$2261,"Alto")+COUNTIFS('2. Valoración '!$H$6:$H$2261,$B62,'2. Valoración '!$Z$6:$Z$2261,"Crítico"),COUNTIFS('2. Valoración '!$E$6:$E$2261,Dashboard!$C$5,'2. Valoración '!$H$6:$H$2261,$B62,'2. Valoración '!$Z$6:$Z$2261,"Alto")+COUNTIFS('2. Valoración '!$E$6:$E$2261,Dashboard!$C$5,'2. Valoración '!$H$6:$H$2261,$B62,'2. Valoración '!$Z$6:$Z$2261,"Crítico"))+56/1000</f>
        <v/>
      </c>
      <c r="AO62">
        <f>IF(Dashboard!$C$5="(Todos los procesos)",COUNTIF('2. Valoración '!$H$6:$H$2261,$B62),COUNTIFS('2. Valoración '!$E$6:$E$2261,Dashboard!$C$5,'2. Valoración '!$H$6:$H$2261,$B62))</f>
        <v/>
      </c>
      <c r="AX62" s="97">
        <f>IFERROR(AVERAGE('4. Controles y Madurez'!$J$45,'4. Controles y Madurez'!$J$69,'4. Controles y Madurez'!$J$22,'4. Controles y Madurez'!$J$50,'4. Controles y Madurez'!$J$19,'4. Controles y Madurez'!$J$11,'4. Controles y Madurez'!$J$12),0)</f>
        <v/>
      </c>
    </row>
  </sheetData>
  <autoFilter ref="B5:T62">
    <filterColumn colId="3" hiddenButton="0" showButton="1">
      <filters>
        <filter val="Sí"/>
      </filters>
    </filterColumn>
  </autoFilter>
  <mergeCells count="3">
    <mergeCell ref="C3:D3"/>
    <mergeCell ref="G3:H3"/>
    <mergeCell ref="E3:F3"/>
  </mergeCells>
  <conditionalFormatting sqref="O6:Q62">
    <cfRule type="expression" priority="1" dxfId="4">
      <formula>EXACT(O6,"Muy alta")</formula>
    </cfRule>
    <cfRule type="expression" priority="2" dxfId="3">
      <formula>EXACT(O6,"Alta")</formula>
    </cfRule>
    <cfRule type="expression" priority="3" dxfId="2">
      <formula>EXACT(O6,"Media")</formula>
    </cfRule>
    <cfRule type="expression" priority="4" dxfId="1">
      <formula>EXACT(O6,"Baja")</formula>
    </cfRule>
    <cfRule type="expression" priority="5" dxfId="0">
      <formula>EXACT(O6,"Muy baja")</formula>
    </cfRule>
    <cfRule type="expression" priority="6" dxfId="5">
      <formula>EXACT(O6,"No aplica")</formula>
    </cfRule>
  </conditionalFormatting>
  <conditionalFormatting sqref="R6:R62">
    <cfRule type="expression" priority="19" dxfId="4">
      <formula>EXACT(R6,"Muy alta — ocurre a diario")</formula>
    </cfRule>
    <cfRule type="expression" priority="20" dxfId="3">
      <formula>EXACT(R6,"Alta — ocurre cada mes")</formula>
    </cfRule>
    <cfRule type="expression" priority="21" dxfId="2">
      <formula>EXACT(R6,"Media — ocurre una vez al año")</formula>
    </cfRule>
    <cfRule type="expression" priority="22" dxfId="1">
      <formula>EXACT(R6,"Baja — ocurre cada varios años")</formula>
    </cfRule>
    <cfRule type="expression" priority="23" dxfId="0">
      <formula>EXACT(R6,"Muy baja — excepcional, cada muchos años")</formula>
    </cfRule>
  </conditionalFormatting>
  <dataValidations count="2">
    <dataValidation sqref="O6:Q62" showDropDown="0" showInputMessage="0" showErrorMessage="0" allowBlank="1" type="list">
      <formula1>MgDegEt</formula1>
    </dataValidation>
    <dataValidation sqref="R6:R62" showDropDown="0" showInputMessage="0" showErrorMessage="0" allowBlank="1" type="list">
      <formula1>MgFrecEt</formula1>
    </dataValidation>
  </dataValidations>
  <pageMargins left="0.75" right="0.75" top="1" bottom="1" header="0.5" footer="0.5"/>
  <headerFooter>
    <oddHeader/>
    <oddFooter>&amp;L&amp;"Aptos"&amp;10 &amp;K000000_x000d_# DOCUMENTO PRIVADO</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B1:H152"/>
  <sheetViews>
    <sheetView showGridLines="0" workbookViewId="0">
      <pane xSplit="1" ySplit="5" topLeftCell="B85" activePane="bottomRight" state="frozen"/>
      <selection pane="topRight" activeCell="A1" sqref="A1"/>
      <selection pane="bottomLeft" activeCell="A1" sqref="A1"/>
      <selection pane="bottomRight" activeCell="B69" sqref="B69"/>
    </sheetView>
  </sheetViews>
  <sheetFormatPr baseColWidth="10" defaultColWidth="8.7265625" defaultRowHeight="14.5"/>
  <cols>
    <col width="2.36328125" customWidth="1" style="54" min="1" max="1"/>
    <col width="44" customWidth="1" style="54" min="2" max="2"/>
    <col width="46" customWidth="1" style="54" min="3" max="3"/>
    <col width="12" customWidth="1" style="54" min="4" max="4"/>
    <col width="58" customWidth="1" style="54" min="5" max="5"/>
  </cols>
  <sheetData>
    <row r="1" ht="21.5" customHeight="1" s="54">
      <c r="B1" s="1" t="inlineStr">
        <is>
          <t>TAXONOMÍA DE ACTIVOS — MAGERIT v3.0, LIBRO II, CAP. 2</t>
        </is>
      </c>
    </row>
    <row r="2" ht="15" customHeight="1" s="54">
      <c r="B2" s="2" t="inlineStr">
        <is>
          <t>Los 10 tipos oficiales y sus 137 subtipos. Cada celda lleva el código y su descripción completa.</t>
        </is>
      </c>
    </row>
    <row r="3" ht="28" customHeight="1" s="54">
      <c r="B3" s="17" t="inlineStr">
        <is>
          <t>Código de color:</t>
        </is>
      </c>
      <c r="C3" s="55" t="inlineStr">
        <is>
          <t>Amarillo = Campo de entrada — se selecciona de una lista</t>
        </is>
      </c>
      <c r="D3" s="56" t="n"/>
      <c r="E3" s="58" t="inlineStr">
        <is>
          <t>Lila = Calculado automáticamente — no escribir encima</t>
        </is>
      </c>
      <c r="F3" s="56" t="n"/>
      <c r="G3" s="57" t="inlineStr">
        <is>
          <t>Gris = Dato de la norma MAGERIT — no modificar</t>
        </is>
      </c>
      <c r="H3" s="56" t="n"/>
    </row>
    <row r="5" ht="30" customHeight="1" s="54">
      <c r="B5" s="5" t="inlineStr">
        <is>
          <t>Tipo de activo</t>
        </is>
      </c>
      <c r="C5" s="5" t="inlineStr">
        <is>
          <t>Subtipo</t>
        </is>
      </c>
      <c r="D5" s="5" t="inlineStr">
        <is>
          <t>Cantidad</t>
        </is>
      </c>
      <c r="E5" s="5" t="inlineStr">
        <is>
          <t>Equivalente en el catálogo anterior de Cuántico</t>
        </is>
      </c>
    </row>
    <row r="6" ht="20" customHeight="1" s="54">
      <c r="B6" s="3" t="inlineStr">
        <is>
          <t>[D] Datos / Información</t>
        </is>
      </c>
      <c r="C6" s="4" t="n"/>
      <c r="D6" s="4" t="n"/>
      <c r="E6" s="4" t="n"/>
    </row>
    <row r="7" ht="45" customHeight="1" s="54">
      <c r="B7" s="11" t="inlineStr">
        <is>
          <t>[D] Datos / Información</t>
        </is>
      </c>
      <c r="C7" s="18" t="inlineStr">
        <is>
          <t>[files] Archivos</t>
        </is>
      </c>
      <c r="D7" s="19">
        <f>COUNTIFS(MgTipo,$B7,MgSubtipo,$C7)</f>
        <v/>
      </c>
      <c r="E7" s="13" t="inlineStr">
        <is>
          <t>Información / Actas y documentos legales · Información / Contratos · Información / Datos privados y semiprivados · Información / Repositorios documentales</t>
        </is>
      </c>
    </row>
    <row r="8" ht="15" customHeight="1" s="54">
      <c r="B8" s="11" t="inlineStr">
        <is>
          <t>[D] Datos / Información</t>
        </is>
      </c>
      <c r="C8" s="18" t="inlineStr">
        <is>
          <t>[backup] Copias de respaldo</t>
        </is>
      </c>
      <c r="D8" s="19">
        <f>COUNTIFS(MgTipo,$B8,MgSubtipo,$C8)</f>
        <v/>
      </c>
      <c r="E8" s="13" t="inlineStr">
        <is>
          <t>Servicios / Backups</t>
        </is>
      </c>
    </row>
    <row r="9" ht="15" customHeight="1" s="54">
      <c r="B9" s="11" t="inlineStr">
        <is>
          <t>[D] Datos / Información</t>
        </is>
      </c>
      <c r="C9" s="18" t="inlineStr">
        <is>
          <t>[conf] Datos de configuración</t>
        </is>
      </c>
      <c r="D9" s="19">
        <f>COUNTIFS(MgTipo,$B9,MgSubtipo,$C9)</f>
        <v/>
      </c>
      <c r="E9" s="13" t="inlineStr">
        <is>
          <t>—</t>
        </is>
      </c>
    </row>
    <row r="10" ht="75" customHeight="1" s="54">
      <c r="B10" s="11" t="inlineStr">
        <is>
          <t>[D] Datos / Información</t>
        </is>
      </c>
      <c r="C10" s="18" t="inlineStr">
        <is>
          <t>[int] Datos de gestión interna</t>
        </is>
      </c>
      <c r="D10" s="19">
        <f>COUNTIFS(MgTipo,$B10,MgSubtipo,$C10)</f>
        <v/>
      </c>
      <c r="E10" s="13" t="inlineStr">
        <is>
          <t>Información / Caracterización · Información / Información estratégica · Información / Informes gerenciales · Información / Manuales · Información / Marca corporativa · Información / Normativas · Información / Politicas internas · Información / Procedimientos</t>
        </is>
      </c>
    </row>
    <row r="11" ht="15" customHeight="1" s="54">
      <c r="B11" s="11" t="inlineStr">
        <is>
          <t>[D] Datos / Información</t>
        </is>
      </c>
      <c r="C11" s="18" t="inlineStr">
        <is>
          <t>[password] Credenciales (contraseñas)</t>
        </is>
      </c>
      <c r="D11" s="19">
        <f>COUNTIFS(MgTipo,$B11,MgSubtipo,$C11)</f>
        <v/>
      </c>
      <c r="E11" s="13" t="inlineStr">
        <is>
          <t>—</t>
        </is>
      </c>
    </row>
    <row r="12" ht="15" customHeight="1" s="54">
      <c r="B12" s="11" t="inlineStr">
        <is>
          <t>[D] Datos / Información</t>
        </is>
      </c>
      <c r="C12" s="18" t="inlineStr">
        <is>
          <t>[auth] Datos de validación de credenciales</t>
        </is>
      </c>
      <c r="D12" s="19">
        <f>COUNTIFS(MgTipo,$B12,MgSubtipo,$C12)</f>
        <v/>
      </c>
      <c r="E12" s="13" t="inlineStr">
        <is>
          <t>—</t>
        </is>
      </c>
    </row>
    <row r="13" ht="15" customHeight="1" s="54">
      <c r="B13" s="11" t="inlineStr">
        <is>
          <t>[D] Datos / Información</t>
        </is>
      </c>
      <c r="C13" s="18" t="inlineStr">
        <is>
          <t>[acl] Datos de control de acceso</t>
        </is>
      </c>
      <c r="D13" s="19">
        <f>COUNTIFS(MgTipo,$B13,MgSubtipo,$C13)</f>
        <v/>
      </c>
      <c r="E13" s="13" t="inlineStr">
        <is>
          <t>—</t>
        </is>
      </c>
    </row>
    <row r="14" ht="15" customHeight="1" s="54">
      <c r="B14" s="11" t="inlineStr">
        <is>
          <t>[D] Datos / Información</t>
        </is>
      </c>
      <c r="C14" s="18" t="inlineStr">
        <is>
          <t>[log] Registro de actividad (log)</t>
        </is>
      </c>
      <c r="D14" s="19">
        <f>COUNTIFS(MgTipo,$B14,MgSubtipo,$C14)</f>
        <v/>
      </c>
      <c r="E14" s="13" t="inlineStr">
        <is>
          <t>—</t>
        </is>
      </c>
    </row>
    <row r="15" ht="15" customHeight="1" s="54">
      <c r="B15" s="11" t="inlineStr">
        <is>
          <t>[D] Datos / Información</t>
        </is>
      </c>
      <c r="C15" s="18" t="inlineStr">
        <is>
          <t>[source] Código fuente</t>
        </is>
      </c>
      <c r="D15" s="19">
        <f>COUNTIFS(MgTipo,$B15,MgSubtipo,$C15)</f>
        <v/>
      </c>
      <c r="E15" s="13" t="inlineStr">
        <is>
          <t>Software / GitHub Enterprise</t>
        </is>
      </c>
    </row>
    <row r="16" ht="15" customHeight="1" s="54">
      <c r="B16" s="11" t="inlineStr">
        <is>
          <t>[D] Datos / Información</t>
        </is>
      </c>
      <c r="C16" s="18" t="inlineStr">
        <is>
          <t>[exe] Código ejecutable</t>
        </is>
      </c>
      <c r="D16" s="19">
        <f>COUNTIFS(MgTipo,$B16,MgSubtipo,$C16)</f>
        <v/>
      </c>
      <c r="E16" s="13" t="inlineStr">
        <is>
          <t>Software / GitHub Enterprise</t>
        </is>
      </c>
    </row>
    <row r="17" ht="15" customHeight="1" s="54">
      <c r="B17" s="11" t="inlineStr">
        <is>
          <t>[D] Datos / Información</t>
        </is>
      </c>
      <c r="C17" s="18" t="inlineStr">
        <is>
          <t>[test] Datos de prueba</t>
        </is>
      </c>
      <c r="D17" s="19">
        <f>COUNTIFS(MgTipo,$B17,MgSubtipo,$C17)</f>
        <v/>
      </c>
      <c r="E17" s="13" t="inlineStr">
        <is>
          <t>—</t>
        </is>
      </c>
    </row>
    <row r="18" ht="20" customHeight="1" s="54">
      <c r="B18" s="3" t="inlineStr">
        <is>
          <t>[K] Claves criptográficas</t>
        </is>
      </c>
      <c r="C18" s="4" t="n"/>
      <c r="D18" s="4" t="n"/>
      <c r="E18" s="4" t="n"/>
    </row>
    <row r="19" ht="15" customHeight="1" s="54">
      <c r="B19" s="11" t="inlineStr">
        <is>
          <t>[K] Claves criptográficas</t>
        </is>
      </c>
      <c r="C19" s="18" t="inlineStr">
        <is>
          <t>[info] Protección de la información</t>
        </is>
      </c>
      <c r="D19" s="19">
        <f>COUNTIFS(MgTipo,$B19,MgSubtipo,$C19)</f>
        <v/>
      </c>
      <c r="E19" s="13" t="inlineStr">
        <is>
          <t>—</t>
        </is>
      </c>
    </row>
    <row r="20" ht="15" customHeight="1" s="54">
      <c r="B20" s="11" t="inlineStr">
        <is>
          <t>[K] Claves criptográficas</t>
        </is>
      </c>
      <c r="C20" s="18" t="inlineStr">
        <is>
          <t>[encrypt] Claves de cifra</t>
        </is>
      </c>
      <c r="D20" s="19">
        <f>COUNTIFS(MgTipo,$B20,MgSubtipo,$C20)</f>
        <v/>
      </c>
      <c r="E20" s="13" t="inlineStr">
        <is>
          <t>—</t>
        </is>
      </c>
    </row>
    <row r="21" ht="30" customHeight="1" s="54">
      <c r="B21" s="11" t="inlineStr">
        <is>
          <t>[K] Claves criptográficas</t>
        </is>
      </c>
      <c r="C21" s="18" t="inlineStr">
        <is>
          <t>[shared_secret] Secreto compartido (clave simétrica)</t>
        </is>
      </c>
      <c r="D21" s="19">
        <f>COUNTIFS(MgTipo,$B21,MgSubtipo,$C21)</f>
        <v/>
      </c>
      <c r="E21" s="13" t="inlineStr">
        <is>
          <t>—</t>
        </is>
      </c>
    </row>
    <row r="22" ht="15" customHeight="1" s="54">
      <c r="B22" s="11" t="inlineStr">
        <is>
          <t>[K] Claves criptográficas</t>
        </is>
      </c>
      <c r="C22" s="18" t="inlineStr">
        <is>
          <t>[public_encryption] Clave pública de cifra</t>
        </is>
      </c>
      <c r="D22" s="19">
        <f>COUNTIFS(MgTipo,$B22,MgSubtipo,$C22)</f>
        <v/>
      </c>
      <c r="E22" s="13" t="inlineStr">
        <is>
          <t>—</t>
        </is>
      </c>
    </row>
    <row r="23" ht="30" customHeight="1" s="54">
      <c r="B23" s="11" t="inlineStr">
        <is>
          <t>[K] Claves criptográficas</t>
        </is>
      </c>
      <c r="C23" s="18" t="inlineStr">
        <is>
          <t>[public_decryption] Clave privada de descifrado</t>
        </is>
      </c>
      <c r="D23" s="19">
        <f>COUNTIFS(MgTipo,$B23,MgSubtipo,$C23)</f>
        <v/>
      </c>
      <c r="E23" s="13" t="inlineStr">
        <is>
          <t>—</t>
        </is>
      </c>
    </row>
    <row r="24" ht="15" customHeight="1" s="54">
      <c r="B24" s="11" t="inlineStr">
        <is>
          <t>[K] Claves criptográficas</t>
        </is>
      </c>
      <c r="C24" s="18" t="inlineStr">
        <is>
          <t>[sign] Claves de firma</t>
        </is>
      </c>
      <c r="D24" s="19">
        <f>COUNTIFS(MgTipo,$B24,MgSubtipo,$C24)</f>
        <v/>
      </c>
      <c r="E24" s="13" t="inlineStr">
        <is>
          <t>—</t>
        </is>
      </c>
    </row>
    <row r="25" ht="15" customHeight="1" s="54">
      <c r="B25" s="11" t="inlineStr">
        <is>
          <t>[K] Claves criptográficas</t>
        </is>
      </c>
      <c r="C25" s="18" t="inlineStr">
        <is>
          <t>[public_signature] Clave privada de firma</t>
        </is>
      </c>
      <c r="D25" s="19">
        <f>COUNTIFS(MgTipo,$B25,MgSubtipo,$C25)</f>
        <v/>
      </c>
      <c r="E25" s="13" t="inlineStr">
        <is>
          <t>—</t>
        </is>
      </c>
    </row>
    <row r="26" ht="30" customHeight="1" s="54">
      <c r="B26" s="11" t="inlineStr">
        <is>
          <t>[K] Claves criptográficas</t>
        </is>
      </c>
      <c r="C26" s="18" t="inlineStr">
        <is>
          <t>[public_verification] Clave pública de verificación de firma</t>
        </is>
      </c>
      <c r="D26" s="19">
        <f>COUNTIFS(MgTipo,$B26,MgSubtipo,$C26)</f>
        <v/>
      </c>
      <c r="E26" s="13" t="inlineStr">
        <is>
          <t>—</t>
        </is>
      </c>
    </row>
    <row r="27" ht="15" customHeight="1" s="54">
      <c r="B27" s="11" t="inlineStr">
        <is>
          <t>[K] Claves criptográficas</t>
        </is>
      </c>
      <c r="C27" s="18" t="inlineStr">
        <is>
          <t>[com] Protección de las comunicaciones</t>
        </is>
      </c>
      <c r="D27" s="19">
        <f>COUNTIFS(MgTipo,$B27,MgSubtipo,$C27)</f>
        <v/>
      </c>
      <c r="E27" s="13" t="inlineStr">
        <is>
          <t>—</t>
        </is>
      </c>
    </row>
    <row r="28" ht="15" customHeight="1" s="54">
      <c r="B28" s="11" t="inlineStr">
        <is>
          <t>[K] Claves criptográficas</t>
        </is>
      </c>
      <c r="C28" s="18" t="inlineStr">
        <is>
          <t>[channel] Claves de cifrado del canal</t>
        </is>
      </c>
      <c r="D28" s="19">
        <f>COUNTIFS(MgTipo,$B28,MgSubtipo,$C28)</f>
        <v/>
      </c>
      <c r="E28" s="13" t="inlineStr">
        <is>
          <t>—</t>
        </is>
      </c>
    </row>
    <row r="29" ht="15" customHeight="1" s="54">
      <c r="B29" s="11" t="inlineStr">
        <is>
          <t>[K] Claves criptográficas</t>
        </is>
      </c>
      <c r="C29" s="18" t="inlineStr">
        <is>
          <t>[authentication] Claves de autenticación</t>
        </is>
      </c>
      <c r="D29" s="19">
        <f>COUNTIFS(MgTipo,$B29,MgSubtipo,$C29)</f>
        <v/>
      </c>
      <c r="E29" s="13" t="inlineStr">
        <is>
          <t>—</t>
        </is>
      </c>
    </row>
    <row r="30" ht="30" customHeight="1" s="54">
      <c r="B30" s="11" t="inlineStr">
        <is>
          <t>[K] Claves criptográficas</t>
        </is>
      </c>
      <c r="C30" s="18" t="inlineStr">
        <is>
          <t>[verification] Claves de verificación de autenticación</t>
        </is>
      </c>
      <c r="D30" s="19">
        <f>COUNTIFS(MgTipo,$B30,MgSubtipo,$C30)</f>
        <v/>
      </c>
      <c r="E30" s="13" t="inlineStr">
        <is>
          <t>—</t>
        </is>
      </c>
    </row>
    <row r="31" ht="15" customHeight="1" s="54">
      <c r="B31" s="11" t="inlineStr">
        <is>
          <t>[K] Claves criptográficas</t>
        </is>
      </c>
      <c r="C31" s="18" t="inlineStr">
        <is>
          <t>[disk] Cifrado de soportes de información</t>
        </is>
      </c>
      <c r="D31" s="19">
        <f>COUNTIFS(MgTipo,$B31,MgSubtipo,$C31)</f>
        <v/>
      </c>
      <c r="E31" s="13" t="inlineStr">
        <is>
          <t>—</t>
        </is>
      </c>
    </row>
    <row r="32" ht="15" customHeight="1" s="54">
      <c r="B32" s="11" t="inlineStr">
        <is>
          <t>[K] Claves criptográficas</t>
        </is>
      </c>
      <c r="C32" s="18" t="inlineStr">
        <is>
          <t>[x509] Certificados de clave pública</t>
        </is>
      </c>
      <c r="D32" s="19">
        <f>COUNTIFS(MgTipo,$B32,MgSubtipo,$C32)</f>
        <v/>
      </c>
      <c r="E32" s="13" t="inlineStr">
        <is>
          <t>—</t>
        </is>
      </c>
    </row>
    <row r="33" ht="20" customHeight="1" s="54">
      <c r="B33" s="3" t="inlineStr">
        <is>
          <t>[S] Servicios</t>
        </is>
      </c>
      <c r="C33" s="4" t="n"/>
      <c r="D33" s="4" t="n"/>
      <c r="E33" s="4" t="n"/>
    </row>
    <row r="34" ht="15" customHeight="1" s="54">
      <c r="B34" s="11" t="inlineStr">
        <is>
          <t>[S] Servicios</t>
        </is>
      </c>
      <c r="C34" s="18" t="inlineStr">
        <is>
          <t>[anon] Anónimo (sin requerir identificación)</t>
        </is>
      </c>
      <c r="D34" s="19">
        <f>COUNTIFS(MgTipo,$B34,MgSubtipo,$C34)</f>
        <v/>
      </c>
      <c r="E34" s="13" t="inlineStr">
        <is>
          <t>—</t>
        </is>
      </c>
    </row>
    <row r="35" ht="15" customHeight="1" s="54">
      <c r="B35" s="11" t="inlineStr">
        <is>
          <t>[S] Servicios</t>
        </is>
      </c>
      <c r="C35" s="18" t="inlineStr">
        <is>
          <t>[pub] Al público en general</t>
        </is>
      </c>
      <c r="D35" s="19">
        <f>COUNTIFS(MgTipo,$B35,MgSubtipo,$C35)</f>
        <v/>
      </c>
      <c r="E35" s="13" t="inlineStr">
        <is>
          <t>—</t>
        </is>
      </c>
    </row>
    <row r="36" ht="30" customHeight="1" s="54">
      <c r="B36" s="11" t="inlineStr">
        <is>
          <t>[S] Servicios</t>
        </is>
      </c>
      <c r="C36" s="18" t="inlineStr">
        <is>
          <t>[ext] A usuarios externos bajo una relación contractual</t>
        </is>
      </c>
      <c r="D36" s="19">
        <f>COUNTIFS(MgTipo,$B36,MgSubtipo,$C36)</f>
        <v/>
      </c>
      <c r="E36" s="13" t="inlineStr">
        <is>
          <t>Nube / Servicios SaaS · Servicios / Hosting · Software / Aplicativos SaaS · Software / Microsoft 365</t>
        </is>
      </c>
    </row>
    <row r="37" ht="30" customHeight="1" s="54">
      <c r="B37" s="11" t="inlineStr">
        <is>
          <t>[S] Servicios</t>
        </is>
      </c>
      <c r="C37" s="18" t="inlineStr">
        <is>
          <t>[int] Interno (a usuarios de la organización)</t>
        </is>
      </c>
      <c r="D37" s="19">
        <f>COUNTIFS(MgTipo,$B37,MgSubtipo,$C37)</f>
        <v/>
      </c>
      <c r="E37" s="13" t="inlineStr">
        <is>
          <t>Servicios / Monitoreo · Servicios / None · Servicios / Servicios DevOps</t>
        </is>
      </c>
    </row>
    <row r="38" ht="15" customHeight="1" s="54">
      <c r="B38" s="11" t="inlineStr">
        <is>
          <t>[S] Servicios</t>
        </is>
      </c>
      <c r="C38" s="18" t="inlineStr">
        <is>
          <t>[www] World Wide Web</t>
        </is>
      </c>
      <c r="D38" s="19">
        <f>COUNTIFS(MgTipo,$B38,MgSubtipo,$C38)</f>
        <v/>
      </c>
      <c r="E38" s="13" t="inlineStr">
        <is>
          <t>—</t>
        </is>
      </c>
    </row>
    <row r="39" ht="15" customHeight="1" s="54">
      <c r="B39" s="11" t="inlineStr">
        <is>
          <t>[S] Servicios</t>
        </is>
      </c>
      <c r="C39" s="18" t="inlineStr">
        <is>
          <t>[telnet] Acceso remoto a cuenta local</t>
        </is>
      </c>
      <c r="D39" s="19">
        <f>COUNTIFS(MgTipo,$B39,MgSubtipo,$C39)</f>
        <v/>
      </c>
      <c r="E39" s="13" t="inlineStr">
        <is>
          <t>—</t>
        </is>
      </c>
    </row>
    <row r="40" ht="15" customHeight="1" s="54">
      <c r="B40" s="11" t="inlineStr">
        <is>
          <t>[S] Servicios</t>
        </is>
      </c>
      <c r="C40" s="18" t="inlineStr">
        <is>
          <t>[email] Correo electrónico</t>
        </is>
      </c>
      <c r="D40" s="19">
        <f>COUNTIFS(MgTipo,$B40,MgSubtipo,$C40)</f>
        <v/>
      </c>
      <c r="E40" s="13" t="inlineStr">
        <is>
          <t>—</t>
        </is>
      </c>
    </row>
    <row r="41" ht="15" customHeight="1" s="54">
      <c r="B41" s="11" t="inlineStr">
        <is>
          <t>[S] Servicios</t>
        </is>
      </c>
      <c r="C41" s="18" t="inlineStr">
        <is>
          <t>[file] Almacenamiento de ficheros</t>
        </is>
      </c>
      <c r="D41" s="19">
        <f>COUNTIFS(MgTipo,$B41,MgSubtipo,$C41)</f>
        <v/>
      </c>
      <c r="E41" s="13" t="inlineStr">
        <is>
          <t>—</t>
        </is>
      </c>
    </row>
    <row r="42" ht="15" customHeight="1" s="54">
      <c r="B42" s="11" t="inlineStr">
        <is>
          <t>[S] Servicios</t>
        </is>
      </c>
      <c r="C42" s="18" t="inlineStr">
        <is>
          <t>[ftp] Transferencia de ficheros</t>
        </is>
      </c>
      <c r="D42" s="19">
        <f>COUNTIFS(MgTipo,$B42,MgSubtipo,$C42)</f>
        <v/>
      </c>
      <c r="E42" s="13" t="inlineStr">
        <is>
          <t>—</t>
        </is>
      </c>
    </row>
    <row r="43" ht="15" customHeight="1" s="54">
      <c r="B43" s="11" t="inlineStr">
        <is>
          <t>[S] Servicios</t>
        </is>
      </c>
      <c r="C43" s="18" t="inlineStr">
        <is>
          <t>[edi] Intercambio electrónico de datos</t>
        </is>
      </c>
      <c r="D43" s="19">
        <f>COUNTIFS(MgTipo,$B43,MgSubtipo,$C43)</f>
        <v/>
      </c>
      <c r="E43" s="13" t="inlineStr">
        <is>
          <t>—</t>
        </is>
      </c>
    </row>
    <row r="44" ht="15" customHeight="1" s="54">
      <c r="B44" s="11" t="inlineStr">
        <is>
          <t>[S] Servicios</t>
        </is>
      </c>
      <c r="C44" s="18" t="inlineStr">
        <is>
          <t>[dir] Servicio de directorio</t>
        </is>
      </c>
      <c r="D44" s="19">
        <f>COUNTIFS(MgTipo,$B44,MgSubtipo,$C44)</f>
        <v/>
      </c>
      <c r="E44" s="13" t="inlineStr">
        <is>
          <t>—</t>
        </is>
      </c>
    </row>
    <row r="45" ht="15" customHeight="1" s="54">
      <c r="B45" s="11" t="inlineStr">
        <is>
          <t>[S] Servicios</t>
        </is>
      </c>
      <c r="C45" s="18" t="inlineStr">
        <is>
          <t>[idm] Gestión de identidades</t>
        </is>
      </c>
      <c r="D45" s="19">
        <f>COUNTIFS(MgTipo,$B45,MgSubtipo,$C45)</f>
        <v/>
      </c>
      <c r="E45" s="13" t="inlineStr">
        <is>
          <t>—</t>
        </is>
      </c>
    </row>
    <row r="46" ht="15" customHeight="1" s="54">
      <c r="B46" s="11" t="inlineStr">
        <is>
          <t>[S] Servicios</t>
        </is>
      </c>
      <c r="C46" s="18" t="inlineStr">
        <is>
          <t>[ipm] Gestión de privilegios</t>
        </is>
      </c>
      <c r="D46" s="19">
        <f>COUNTIFS(MgTipo,$B46,MgSubtipo,$C46)</f>
        <v/>
      </c>
      <c r="E46" s="13" t="inlineStr">
        <is>
          <t>—</t>
        </is>
      </c>
    </row>
    <row r="47" ht="15" customHeight="1" s="54">
      <c r="B47" s="11" t="inlineStr">
        <is>
          <t>[S] Servicios</t>
        </is>
      </c>
      <c r="C47" s="18" t="inlineStr">
        <is>
          <t>[pki] Infraestructura de clave pública (PKI)</t>
        </is>
      </c>
      <c r="D47" s="19">
        <f>COUNTIFS(MgTipo,$B47,MgSubtipo,$C47)</f>
        <v/>
      </c>
      <c r="E47" s="13" t="inlineStr">
        <is>
          <t>—</t>
        </is>
      </c>
    </row>
    <row r="48" ht="20" customHeight="1" s="54">
      <c r="B48" s="3" t="inlineStr">
        <is>
          <t>[SW] Aplicaciones (software)</t>
        </is>
      </c>
      <c r="C48" s="4" t="n"/>
      <c r="D48" s="4" t="n"/>
      <c r="E48" s="4" t="n"/>
    </row>
    <row r="49" ht="30" customHeight="1" s="54">
      <c r="B49" s="11" t="inlineStr">
        <is>
          <t>[SW] Aplicaciones (software)</t>
        </is>
      </c>
      <c r="C49" s="18" t="inlineStr">
        <is>
          <t>[prp] Desarrollo propio (in house)</t>
        </is>
      </c>
      <c r="D49" s="19">
        <f>COUNTIFS(MgTipo,$B49,MgSubtipo,$C49)</f>
        <v/>
      </c>
      <c r="E49" s="13" t="inlineStr">
        <is>
          <t>Nube / Plataformas Cloud · Software / APIs · Software / Aplicacion Cuantico · Software / Aplicaciones Propias</t>
        </is>
      </c>
    </row>
    <row r="50" ht="15" customHeight="1" s="54">
      <c r="B50" s="11" t="inlineStr">
        <is>
          <t>[SW] Aplicaciones (software)</t>
        </is>
      </c>
      <c r="C50" s="18" t="inlineStr">
        <is>
          <t>[sub] Desarrollo a medida (subcontratado)</t>
        </is>
      </c>
      <c r="D50" s="19">
        <f>COUNTIFS(MgTipo,$B50,MgSubtipo,$C50)</f>
        <v/>
      </c>
      <c r="E50" s="13" t="inlineStr">
        <is>
          <t>—</t>
        </is>
      </c>
    </row>
    <row r="51" ht="30" customHeight="1" s="54">
      <c r="B51" s="11" t="inlineStr">
        <is>
          <t>[SW] Aplicaciones (software)</t>
        </is>
      </c>
      <c r="C51" s="18" t="inlineStr">
        <is>
          <t>[std] Estándar (off the shelf)</t>
        </is>
      </c>
      <c r="D51" s="19">
        <f>COUNTIFS(MgTipo,$B51,MgSubtipo,$C51)</f>
        <v/>
      </c>
      <c r="E51" s="13" t="inlineStr">
        <is>
          <t>Software / Aplicativos SaaS · Software / CRM · Software / ERP · Software / Software contable</t>
        </is>
      </c>
    </row>
    <row r="52" ht="15" customHeight="1" s="54">
      <c r="B52" s="11" t="inlineStr">
        <is>
          <t>[SW] Aplicaciones (software)</t>
        </is>
      </c>
      <c r="C52" s="18" t="inlineStr">
        <is>
          <t>[browser] Navegador web</t>
        </is>
      </c>
      <c r="D52" s="19">
        <f>COUNTIFS(MgTipo,$B52,MgSubtipo,$C52)</f>
        <v/>
      </c>
      <c r="E52" s="13" t="inlineStr">
        <is>
          <t>—</t>
        </is>
      </c>
    </row>
    <row r="53" ht="15" customHeight="1" s="54">
      <c r="B53" s="11" t="inlineStr">
        <is>
          <t>[SW] Aplicaciones (software)</t>
        </is>
      </c>
      <c r="C53" s="18" t="inlineStr">
        <is>
          <t>[www] Servidor de presentación</t>
        </is>
      </c>
      <c r="D53" s="19">
        <f>COUNTIFS(MgTipo,$B53,MgSubtipo,$C53)</f>
        <v/>
      </c>
      <c r="E53" s="13" t="inlineStr">
        <is>
          <t>Software / Portales web · Software / WordPress</t>
        </is>
      </c>
    </row>
    <row r="54" ht="15" customHeight="1" s="54">
      <c r="B54" s="11" t="inlineStr">
        <is>
          <t>[SW] Aplicaciones (software)</t>
        </is>
      </c>
      <c r="C54" s="18" t="inlineStr">
        <is>
          <t>[app] Servidor de aplicaciones</t>
        </is>
      </c>
      <c r="D54" s="19">
        <f>COUNTIFS(MgTipo,$B54,MgSubtipo,$C54)</f>
        <v/>
      </c>
      <c r="E54" s="13" t="inlineStr">
        <is>
          <t>—</t>
        </is>
      </c>
    </row>
    <row r="55" ht="15" customHeight="1" s="54">
      <c r="B55" s="11" t="inlineStr">
        <is>
          <t>[SW] Aplicaciones (software)</t>
        </is>
      </c>
      <c r="C55" s="18" t="inlineStr">
        <is>
          <t>[email_client] Cliente de correo electrónico</t>
        </is>
      </c>
      <c r="D55" s="19">
        <f>COUNTIFS(MgTipo,$B55,MgSubtipo,$C55)</f>
        <v/>
      </c>
      <c r="E55" s="13" t="inlineStr">
        <is>
          <t>—</t>
        </is>
      </c>
    </row>
    <row r="56" ht="15" customHeight="1" s="54">
      <c r="B56" s="11" t="inlineStr">
        <is>
          <t>[SW] Aplicaciones (software)</t>
        </is>
      </c>
      <c r="C56" s="18" t="inlineStr">
        <is>
          <t>[email_server] Servidor de correo electrónico</t>
        </is>
      </c>
      <c r="D56" s="19">
        <f>COUNTIFS(MgTipo,$B56,MgSubtipo,$C56)</f>
        <v/>
      </c>
      <c r="E56" s="13" t="inlineStr">
        <is>
          <t>—</t>
        </is>
      </c>
    </row>
    <row r="57" ht="15" customHeight="1" s="54">
      <c r="B57" s="11" t="inlineStr">
        <is>
          <t>[SW] Aplicaciones (software)</t>
        </is>
      </c>
      <c r="C57" s="18" t="inlineStr">
        <is>
          <t>[file] Servidor de ficheros</t>
        </is>
      </c>
      <c r="D57" s="19">
        <f>COUNTIFS(MgTipo,$B57,MgSubtipo,$C57)</f>
        <v/>
      </c>
      <c r="E57" s="13" t="inlineStr">
        <is>
          <t>—</t>
        </is>
      </c>
    </row>
    <row r="58" ht="15" customHeight="1" s="54">
      <c r="B58" s="11" t="inlineStr">
        <is>
          <t>[SW] Aplicaciones (software)</t>
        </is>
      </c>
      <c r="C58" s="18" t="inlineStr">
        <is>
          <t>[dbms] Sistema de gestión de bases de datos</t>
        </is>
      </c>
      <c r="D58" s="19">
        <f>COUNTIFS(MgTipo,$B58,MgSubtipo,$C58)</f>
        <v/>
      </c>
      <c r="E58" s="13" t="inlineStr">
        <is>
          <t>Software / Base de datos</t>
        </is>
      </c>
    </row>
    <row r="59" ht="15" customHeight="1" s="54">
      <c r="B59" s="11" t="inlineStr">
        <is>
          <t>[SW] Aplicaciones (software)</t>
        </is>
      </c>
      <c r="C59" s="18" t="inlineStr">
        <is>
          <t>[tm] Monitor transaccional</t>
        </is>
      </c>
      <c r="D59" s="19">
        <f>COUNTIFS(MgTipo,$B59,MgSubtipo,$C59)</f>
        <v/>
      </c>
      <c r="E59" s="13" t="inlineStr">
        <is>
          <t>—</t>
        </is>
      </c>
    </row>
    <row r="60" ht="15" customHeight="1" s="54">
      <c r="B60" s="11" t="inlineStr">
        <is>
          <t>[SW] Aplicaciones (software)</t>
        </is>
      </c>
      <c r="C60" s="18" t="inlineStr">
        <is>
          <t>[office] Ofimática</t>
        </is>
      </c>
      <c r="D60" s="19">
        <f>COUNTIFS(MgTipo,$B60,MgSubtipo,$C60)</f>
        <v/>
      </c>
      <c r="E60" s="13" t="inlineStr">
        <is>
          <t>—</t>
        </is>
      </c>
    </row>
    <row r="61" ht="15" customHeight="1" s="54">
      <c r="B61" s="11" t="inlineStr">
        <is>
          <t>[SW] Aplicaciones (software)</t>
        </is>
      </c>
      <c r="C61" s="18" t="inlineStr">
        <is>
          <t>[av] Antivirus</t>
        </is>
      </c>
      <c r="D61" s="19">
        <f>COUNTIFS(MgTipo,$B61,MgSubtipo,$C61)</f>
        <v/>
      </c>
      <c r="E61" s="13" t="inlineStr">
        <is>
          <t>—</t>
        </is>
      </c>
    </row>
    <row r="62" ht="15" customHeight="1" s="54">
      <c r="B62" s="11" t="inlineStr">
        <is>
          <t>[SW] Aplicaciones (software)</t>
        </is>
      </c>
      <c r="C62" s="18" t="inlineStr">
        <is>
          <t>[os] Sistema operativo</t>
        </is>
      </c>
      <c r="D62" s="19">
        <f>COUNTIFS(MgTipo,$B62,MgSubtipo,$C62)</f>
        <v/>
      </c>
      <c r="E62" s="13" t="inlineStr">
        <is>
          <t>—</t>
        </is>
      </c>
    </row>
    <row r="63" ht="15" customHeight="1" s="54">
      <c r="B63" s="11" t="inlineStr">
        <is>
          <t>[SW] Aplicaciones (software)</t>
        </is>
      </c>
      <c r="C63" s="18" t="inlineStr">
        <is>
          <t>[hypervisor] Gestor de máquinas virtuales</t>
        </is>
      </c>
      <c r="D63" s="19">
        <f>COUNTIFS(MgTipo,$B63,MgSubtipo,$C63)</f>
        <v/>
      </c>
      <c r="E63" s="13" t="inlineStr">
        <is>
          <t>—</t>
        </is>
      </c>
    </row>
    <row r="64" ht="15" customHeight="1" s="54">
      <c r="B64" s="11" t="inlineStr">
        <is>
          <t>[SW] Aplicaciones (software)</t>
        </is>
      </c>
      <c r="C64" s="18" t="inlineStr">
        <is>
          <t>[ts] Servidor de terminales</t>
        </is>
      </c>
      <c r="D64" s="19">
        <f>COUNTIFS(MgTipo,$B64,MgSubtipo,$C64)</f>
        <v/>
      </c>
      <c r="E64" s="13" t="inlineStr">
        <is>
          <t>—</t>
        </is>
      </c>
    </row>
    <row r="65" ht="15" customHeight="1" s="54">
      <c r="B65" s="11" t="inlineStr">
        <is>
          <t>[SW] Aplicaciones (software)</t>
        </is>
      </c>
      <c r="C65" s="18" t="inlineStr">
        <is>
          <t>[backup] Sistema de backup</t>
        </is>
      </c>
      <c r="D65" s="19">
        <f>COUNTIFS(MgTipo,$B65,MgSubtipo,$C65)</f>
        <v/>
      </c>
      <c r="E65" s="13" t="inlineStr">
        <is>
          <t>—</t>
        </is>
      </c>
    </row>
    <row r="66" ht="20" customHeight="1" s="54">
      <c r="B66" s="3" t="inlineStr">
        <is>
          <t>[HW] Equipamiento informático (hardware)</t>
        </is>
      </c>
      <c r="C66" s="4" t="n"/>
      <c r="D66" s="4" t="n"/>
      <c r="E66" s="4" t="n"/>
    </row>
    <row r="67" ht="15" customHeight="1" s="54">
      <c r="B67" s="11" t="inlineStr">
        <is>
          <t>[HW] Equipamiento informático (hardware)</t>
        </is>
      </c>
      <c r="C67" s="18" t="inlineStr">
        <is>
          <t>[host] Grandes equipos</t>
        </is>
      </c>
      <c r="D67" s="19">
        <f>COUNTIFS(MgTipo,$B67,MgSubtipo,$C67)</f>
        <v/>
      </c>
      <c r="E67" s="13" t="inlineStr">
        <is>
          <t>—</t>
        </is>
      </c>
    </row>
    <row r="68" ht="15" customHeight="1" s="54">
      <c r="B68" s="11" t="inlineStr">
        <is>
          <t>[HW] Equipamiento informático (hardware)</t>
        </is>
      </c>
      <c r="C68" s="18" t="inlineStr">
        <is>
          <t>[mid] Equipos medios</t>
        </is>
      </c>
      <c r="D68" s="19">
        <f>COUNTIFS(MgTipo,$B68,MgSubtipo,$C68)</f>
        <v/>
      </c>
      <c r="E68" s="13" t="inlineStr">
        <is>
          <t>—</t>
        </is>
      </c>
    </row>
    <row r="69" ht="15" customHeight="1" s="54">
      <c r="B69" s="11" t="inlineStr">
        <is>
          <t>[HW] Equipamiento informático (hardware)</t>
        </is>
      </c>
      <c r="C69" s="18" t="inlineStr">
        <is>
          <t>[pc] Informática personal</t>
        </is>
      </c>
      <c r="D69" s="19">
        <f>COUNTIFS(MgTipo,$B69,MgSubtipo,$C69)</f>
        <v/>
      </c>
      <c r="E69" s="13" t="inlineStr">
        <is>
          <t>Hardware / Portatiles</t>
        </is>
      </c>
    </row>
    <row r="70" ht="15" customHeight="1" s="54">
      <c r="B70" s="11" t="inlineStr">
        <is>
          <t>[HW] Equipamiento informático (hardware)</t>
        </is>
      </c>
      <c r="C70" s="18" t="inlineStr">
        <is>
          <t>[mobile] Informática móvil</t>
        </is>
      </c>
      <c r="D70" s="19">
        <f>COUNTIFS(MgTipo,$B70,MgSubtipo,$C70)</f>
        <v/>
      </c>
      <c r="E70" s="13" t="inlineStr">
        <is>
          <t>—</t>
        </is>
      </c>
    </row>
    <row r="71" ht="15" customHeight="1" s="54">
      <c r="B71" s="11" t="inlineStr">
        <is>
          <t>[HW] Equipamiento informático (hardware)</t>
        </is>
      </c>
      <c r="C71" s="18" t="inlineStr">
        <is>
          <t>[pda] Agendas electrónicas</t>
        </is>
      </c>
      <c r="D71" s="19">
        <f>COUNTIFS(MgTipo,$B71,MgSubtipo,$C71)</f>
        <v/>
      </c>
      <c r="E71" s="13" t="inlineStr">
        <is>
          <t>—</t>
        </is>
      </c>
    </row>
    <row r="72" ht="15" customHeight="1" s="54">
      <c r="B72" s="11" t="inlineStr">
        <is>
          <t>[HW] Equipamiento informático (hardware)</t>
        </is>
      </c>
      <c r="C72" s="18" t="inlineStr">
        <is>
          <t>[vhost] Equipo virtual</t>
        </is>
      </c>
      <c r="D72" s="19">
        <f>COUNTIFS(MgTipo,$B72,MgSubtipo,$C72)</f>
        <v/>
      </c>
      <c r="E72" s="13" t="inlineStr">
        <is>
          <t>Hardware / Blade servers · Nube / Instancia EC2</t>
        </is>
      </c>
    </row>
    <row r="73" ht="15" customHeight="1" s="54">
      <c r="B73" s="11" t="inlineStr">
        <is>
          <t>[HW] Equipamiento informático (hardware)</t>
        </is>
      </c>
      <c r="C73" s="18" t="inlineStr">
        <is>
          <t>[backup] Equipamiento de respaldo</t>
        </is>
      </c>
      <c r="D73" s="19">
        <f>COUNTIFS(MgTipo,$B73,MgSubtipo,$C73)</f>
        <v/>
      </c>
      <c r="E73" s="13" t="inlineStr">
        <is>
          <t>—</t>
        </is>
      </c>
    </row>
    <row r="74" ht="15" customHeight="1" s="54">
      <c r="B74" s="11" t="inlineStr">
        <is>
          <t>[HW] Equipamiento informático (hardware)</t>
        </is>
      </c>
      <c r="C74" s="18" t="inlineStr">
        <is>
          <t>[peripheral] Periféricos</t>
        </is>
      </c>
      <c r="D74" s="19">
        <f>COUNTIFS(MgTipo,$B74,MgSubtipo,$C74)</f>
        <v/>
      </c>
      <c r="E74" s="13" t="inlineStr">
        <is>
          <t>—</t>
        </is>
      </c>
    </row>
    <row r="75" ht="15" customHeight="1" s="54">
      <c r="B75" s="11" t="inlineStr">
        <is>
          <t>[HW] Equipamiento informático (hardware)</t>
        </is>
      </c>
      <c r="C75" s="18" t="inlineStr">
        <is>
          <t>[print] Medios de impresión</t>
        </is>
      </c>
      <c r="D75" s="19">
        <f>COUNTIFS(MgTipo,$B75,MgSubtipo,$C75)</f>
        <v/>
      </c>
      <c r="E75" s="13" t="inlineStr">
        <is>
          <t>—</t>
        </is>
      </c>
    </row>
    <row r="76" ht="15" customHeight="1" s="54">
      <c r="B76" s="11" t="inlineStr">
        <is>
          <t>[HW] Equipamiento informático (hardware)</t>
        </is>
      </c>
      <c r="C76" s="18" t="inlineStr">
        <is>
          <t>[scan] Escáneres</t>
        </is>
      </c>
      <c r="D76" s="19">
        <f>COUNTIFS(MgTipo,$B76,MgSubtipo,$C76)</f>
        <v/>
      </c>
      <c r="E76" s="13" t="inlineStr">
        <is>
          <t>—</t>
        </is>
      </c>
    </row>
    <row r="77" ht="15" customHeight="1" s="54">
      <c r="B77" s="11" t="inlineStr">
        <is>
          <t>[HW] Equipamiento informático (hardware)</t>
        </is>
      </c>
      <c r="C77" s="18" t="inlineStr">
        <is>
          <t>[crypto] Dispositivos criptográficos</t>
        </is>
      </c>
      <c r="D77" s="19">
        <f>COUNTIFS(MgTipo,$B77,MgSubtipo,$C77)</f>
        <v/>
      </c>
      <c r="E77" s="13" t="inlineStr">
        <is>
          <t>Hardware / Tokens</t>
        </is>
      </c>
    </row>
    <row r="78" ht="15" customHeight="1" s="54">
      <c r="B78" s="11" t="inlineStr">
        <is>
          <t>[HW] Equipamiento informático (hardware)</t>
        </is>
      </c>
      <c r="C78" s="18" t="inlineStr">
        <is>
          <t>[bp] Dispositivo de frontera (bastion host)</t>
        </is>
      </c>
      <c r="D78" s="19">
        <f>COUNTIFS(MgTipo,$B78,MgSubtipo,$C78)</f>
        <v/>
      </c>
      <c r="E78" s="13" t="inlineStr">
        <is>
          <t>—</t>
        </is>
      </c>
    </row>
    <row r="79" ht="15" customHeight="1" s="54">
      <c r="B79" s="11" t="inlineStr">
        <is>
          <t>[HW] Equipamiento informático (hardware)</t>
        </is>
      </c>
      <c r="C79" s="18" t="inlineStr">
        <is>
          <t>[network] Soporte de la red</t>
        </is>
      </c>
      <c r="D79" s="19">
        <f>COUNTIFS(MgTipo,$B79,MgSubtipo,$C79)</f>
        <v/>
      </c>
      <c r="E79" s="13" t="inlineStr">
        <is>
          <t>—</t>
        </is>
      </c>
    </row>
    <row r="80" ht="15" customHeight="1" s="54">
      <c r="B80" s="11" t="inlineStr">
        <is>
          <t>[HW] Equipamiento informático (hardware)</t>
        </is>
      </c>
      <c r="C80" s="18" t="inlineStr">
        <is>
          <t>[modem] Módems</t>
        </is>
      </c>
      <c r="D80" s="19">
        <f>COUNTIFS(MgTipo,$B80,MgSubtipo,$C80)</f>
        <v/>
      </c>
      <c r="E80" s="13" t="inlineStr">
        <is>
          <t>—</t>
        </is>
      </c>
    </row>
    <row r="81" ht="15" customHeight="1" s="54">
      <c r="B81" s="11" t="inlineStr">
        <is>
          <t>[HW] Equipamiento informático (hardware)</t>
        </is>
      </c>
      <c r="C81" s="18" t="inlineStr">
        <is>
          <t>[hub] Concentradores</t>
        </is>
      </c>
      <c r="D81" s="19">
        <f>COUNTIFS(MgTipo,$B81,MgSubtipo,$C81)</f>
        <v/>
      </c>
      <c r="E81" s="13" t="inlineStr">
        <is>
          <t>—</t>
        </is>
      </c>
    </row>
    <row r="82" ht="15" customHeight="1" s="54">
      <c r="B82" s="11" t="inlineStr">
        <is>
          <t>[HW] Equipamiento informático (hardware)</t>
        </is>
      </c>
      <c r="C82" s="18" t="inlineStr">
        <is>
          <t>[switch] Conmutadores</t>
        </is>
      </c>
      <c r="D82" s="19">
        <f>COUNTIFS(MgTipo,$B82,MgSubtipo,$C82)</f>
        <v/>
      </c>
      <c r="E82" s="13" t="inlineStr">
        <is>
          <t>—</t>
        </is>
      </c>
    </row>
    <row r="83" ht="15" customHeight="1" s="54">
      <c r="B83" s="11" t="inlineStr">
        <is>
          <t>[HW] Equipamiento informático (hardware)</t>
        </is>
      </c>
      <c r="C83" s="18" t="inlineStr">
        <is>
          <t>[router] Encaminadores</t>
        </is>
      </c>
      <c r="D83" s="19">
        <f>COUNTIFS(MgTipo,$B83,MgSubtipo,$C83)</f>
        <v/>
      </c>
      <c r="E83" s="13" t="inlineStr">
        <is>
          <t>—</t>
        </is>
      </c>
    </row>
    <row r="84" ht="15" customHeight="1" s="54">
      <c r="B84" s="11" t="inlineStr">
        <is>
          <t>[HW] Equipamiento informático (hardware)</t>
        </is>
      </c>
      <c r="C84" s="18" t="inlineStr">
        <is>
          <t>[bridge] Pasarelas</t>
        </is>
      </c>
      <c r="D84" s="19">
        <f>COUNTIFS(MgTipo,$B84,MgSubtipo,$C84)</f>
        <v/>
      </c>
      <c r="E84" s="13" t="inlineStr">
        <is>
          <t>—</t>
        </is>
      </c>
    </row>
    <row r="85" ht="15" customHeight="1" s="54">
      <c r="B85" s="11" t="inlineStr">
        <is>
          <t>[HW] Equipamiento informático (hardware)</t>
        </is>
      </c>
      <c r="C85" s="18" t="inlineStr">
        <is>
          <t>[firewall] Cortafuegos</t>
        </is>
      </c>
      <c r="D85" s="19">
        <f>COUNTIFS(MgTipo,$B85,MgSubtipo,$C85)</f>
        <v/>
      </c>
      <c r="E85" s="13" t="inlineStr">
        <is>
          <t>Hardware / Firewalls</t>
        </is>
      </c>
    </row>
    <row r="86" ht="15" customHeight="1" s="54">
      <c r="B86" s="11" t="inlineStr">
        <is>
          <t>[HW] Equipamiento informático (hardware)</t>
        </is>
      </c>
      <c r="C86" s="18" t="inlineStr">
        <is>
          <t>[wap] Punto de acceso inalámbrico</t>
        </is>
      </c>
      <c r="D86" s="19">
        <f>COUNTIFS(MgTipo,$B86,MgSubtipo,$C86)</f>
        <v/>
      </c>
      <c r="E86" s="13" t="inlineStr">
        <is>
          <t>—</t>
        </is>
      </c>
    </row>
    <row r="87" ht="15" customHeight="1" s="54">
      <c r="B87" s="11" t="inlineStr">
        <is>
          <t>[HW] Equipamiento informático (hardware)</t>
        </is>
      </c>
      <c r="C87" s="18" t="inlineStr">
        <is>
          <t>[pabx] Centralita telefónica</t>
        </is>
      </c>
      <c r="D87" s="19">
        <f>COUNTIFS(MgTipo,$B87,MgSubtipo,$C87)</f>
        <v/>
      </c>
      <c r="E87" s="13" t="inlineStr">
        <is>
          <t>—</t>
        </is>
      </c>
    </row>
    <row r="88" ht="15" customHeight="1" s="54">
      <c r="B88" s="11" t="inlineStr">
        <is>
          <t>[HW] Equipamiento informático (hardware)</t>
        </is>
      </c>
      <c r="C88" s="18" t="inlineStr">
        <is>
          <t>[ipphone] Teléfono IP</t>
        </is>
      </c>
      <c r="D88" s="19">
        <f>COUNTIFS(MgTipo,$B88,MgSubtipo,$C88)</f>
        <v/>
      </c>
      <c r="E88" s="13" t="inlineStr">
        <is>
          <t>—</t>
        </is>
      </c>
    </row>
    <row r="89" ht="20" customHeight="1" s="54">
      <c r="B89" s="3" t="inlineStr">
        <is>
          <t>[COM] Redes de comunicaciones</t>
        </is>
      </c>
      <c r="C89" s="4" t="n"/>
      <c r="D89" s="4" t="n"/>
      <c r="E89" s="4" t="n"/>
    </row>
    <row r="90" ht="15" customHeight="1" s="54">
      <c r="B90" s="11" t="inlineStr">
        <is>
          <t>[COM] Redes de comunicaciones</t>
        </is>
      </c>
      <c r="C90" s="18" t="inlineStr">
        <is>
          <t>[PSTN] Red telefónica</t>
        </is>
      </c>
      <c r="D90" s="19">
        <f>COUNTIFS(MgTipo,$B90,MgSubtipo,$C90)</f>
        <v/>
      </c>
      <c r="E90" s="13" t="inlineStr">
        <is>
          <t>—</t>
        </is>
      </c>
    </row>
    <row r="91" ht="15" customHeight="1" s="54">
      <c r="B91" s="11" t="inlineStr">
        <is>
          <t>[COM] Redes de comunicaciones</t>
        </is>
      </c>
      <c r="C91" s="18" t="inlineStr">
        <is>
          <t>[ISDN] RDSI (red digital)</t>
        </is>
      </c>
      <c r="D91" s="19">
        <f>COUNTIFS(MgTipo,$B91,MgSubtipo,$C91)</f>
        <v/>
      </c>
      <c r="E91" s="13" t="inlineStr">
        <is>
          <t>—</t>
        </is>
      </c>
    </row>
    <row r="92" ht="15" customHeight="1" s="54">
      <c r="B92" s="11" t="inlineStr">
        <is>
          <t>[COM] Redes de comunicaciones</t>
        </is>
      </c>
      <c r="C92" s="18" t="inlineStr">
        <is>
          <t>[X25] Red de datos X25</t>
        </is>
      </c>
      <c r="D92" s="19">
        <f>COUNTIFS(MgTipo,$B92,MgSubtipo,$C92)</f>
        <v/>
      </c>
      <c r="E92" s="13" t="inlineStr">
        <is>
          <t>—</t>
        </is>
      </c>
    </row>
    <row r="93" ht="15" customHeight="1" s="54">
      <c r="B93" s="11" t="inlineStr">
        <is>
          <t>[COM] Redes de comunicaciones</t>
        </is>
      </c>
      <c r="C93" s="18" t="inlineStr">
        <is>
          <t>[ADSL] ADSL</t>
        </is>
      </c>
      <c r="D93" s="19">
        <f>COUNTIFS(MgTipo,$B93,MgSubtipo,$C93)</f>
        <v/>
      </c>
      <c r="E93" s="13" t="inlineStr">
        <is>
          <t>—</t>
        </is>
      </c>
    </row>
    <row r="94" ht="15" customHeight="1" s="54">
      <c r="B94" s="11" t="inlineStr">
        <is>
          <t>[COM] Redes de comunicaciones</t>
        </is>
      </c>
      <c r="C94" s="18" t="inlineStr">
        <is>
          <t>[pp] Punto a punto</t>
        </is>
      </c>
      <c r="D94" s="19">
        <f>COUNTIFS(MgTipo,$B94,MgSubtipo,$C94)</f>
        <v/>
      </c>
      <c r="E94" s="13" t="inlineStr">
        <is>
          <t>—</t>
        </is>
      </c>
    </row>
    <row r="95" ht="15" customHeight="1" s="54">
      <c r="B95" s="11" t="inlineStr">
        <is>
          <t>[COM] Redes de comunicaciones</t>
        </is>
      </c>
      <c r="C95" s="18" t="inlineStr">
        <is>
          <t>[radio] Comunicaciones por radio</t>
        </is>
      </c>
      <c r="D95" s="19">
        <f>COUNTIFS(MgTipo,$B95,MgSubtipo,$C95)</f>
        <v/>
      </c>
      <c r="E95" s="13" t="inlineStr">
        <is>
          <t>—</t>
        </is>
      </c>
    </row>
    <row r="96" ht="15" customHeight="1" s="54">
      <c r="B96" s="11" t="inlineStr">
        <is>
          <t>[COM] Redes de comunicaciones</t>
        </is>
      </c>
      <c r="C96" s="18" t="inlineStr">
        <is>
          <t>[wifi] Red inalámbrica</t>
        </is>
      </c>
      <c r="D96" s="19">
        <f>COUNTIFS(MgTipo,$B96,MgSubtipo,$C96)</f>
        <v/>
      </c>
      <c r="E96" s="13" t="inlineStr">
        <is>
          <t>—</t>
        </is>
      </c>
    </row>
    <row r="97" ht="15" customHeight="1" s="54">
      <c r="B97" s="11" t="inlineStr">
        <is>
          <t>[COM] Redes de comunicaciones</t>
        </is>
      </c>
      <c r="C97" s="18" t="inlineStr">
        <is>
          <t>[mobile] Telefonía móvil</t>
        </is>
      </c>
      <c r="D97" s="19">
        <f>COUNTIFS(MgTipo,$B97,MgSubtipo,$C97)</f>
        <v/>
      </c>
      <c r="E97" s="13" t="inlineStr">
        <is>
          <t>—</t>
        </is>
      </c>
    </row>
    <row r="98" ht="15" customHeight="1" s="54">
      <c r="B98" s="11" t="inlineStr">
        <is>
          <t>[COM] Redes de comunicaciones</t>
        </is>
      </c>
      <c r="C98" s="18" t="inlineStr">
        <is>
          <t>[sat] Comunicaciones por satélite</t>
        </is>
      </c>
      <c r="D98" s="19">
        <f>COUNTIFS(MgTipo,$B98,MgSubtipo,$C98)</f>
        <v/>
      </c>
      <c r="E98" s="13" t="inlineStr">
        <is>
          <t>—</t>
        </is>
      </c>
    </row>
    <row r="99" ht="15" customHeight="1" s="54">
      <c r="B99" s="11" t="inlineStr">
        <is>
          <t>[COM] Redes de comunicaciones</t>
        </is>
      </c>
      <c r="C99" s="18" t="inlineStr">
        <is>
          <t>[LAN] Red local</t>
        </is>
      </c>
      <c r="D99" s="19">
        <f>COUNTIFS(MgTipo,$B99,MgSubtipo,$C99)</f>
        <v/>
      </c>
      <c r="E99" s="13" t="inlineStr">
        <is>
          <t>Hardware / Switches · Nube / VPC</t>
        </is>
      </c>
    </row>
    <row r="100" ht="15" customHeight="1" s="54">
      <c r="B100" s="11" t="inlineStr">
        <is>
          <t>[COM] Redes de comunicaciones</t>
        </is>
      </c>
      <c r="C100" s="18" t="inlineStr">
        <is>
          <t>[MAN] Red metropolitana</t>
        </is>
      </c>
      <c r="D100" s="19">
        <f>COUNTIFS(MgTipo,$B100,MgSubtipo,$C100)</f>
        <v/>
      </c>
      <c r="E100" s="13" t="inlineStr">
        <is>
          <t>—</t>
        </is>
      </c>
    </row>
    <row r="101" ht="15" customHeight="1" s="54">
      <c r="B101" s="11" t="inlineStr">
        <is>
          <t>[COM] Redes de comunicaciones</t>
        </is>
      </c>
      <c r="C101" s="18" t="inlineStr">
        <is>
          <t>[Internet] Internet</t>
        </is>
      </c>
      <c r="D101" s="19">
        <f>COUNTIFS(MgTipo,$B101,MgSubtipo,$C101)</f>
        <v/>
      </c>
      <c r="E101" s="13" t="inlineStr">
        <is>
          <t>Servicios / Dominios</t>
        </is>
      </c>
    </row>
    <row r="102" ht="20" customHeight="1" s="54">
      <c r="B102" s="3" t="inlineStr">
        <is>
          <t>[Media] Soportes de información</t>
        </is>
      </c>
      <c r="C102" s="4" t="n"/>
      <c r="D102" s="4" t="n"/>
      <c r="E102" s="4" t="n"/>
    </row>
    <row r="103" ht="15" customHeight="1" s="54">
      <c r="B103" s="11" t="inlineStr">
        <is>
          <t>[Media] Soportes de información</t>
        </is>
      </c>
      <c r="C103" s="18" t="inlineStr">
        <is>
          <t>[electronic] Electrónicos</t>
        </is>
      </c>
      <c r="D103" s="19">
        <f>COUNTIFS(MgTipo,$B103,MgSubtipo,$C103)</f>
        <v/>
      </c>
      <c r="E103" s="13" t="inlineStr">
        <is>
          <t>—</t>
        </is>
      </c>
    </row>
    <row r="104" ht="15" customHeight="1" s="54">
      <c r="B104" s="11" t="inlineStr">
        <is>
          <t>[Media] Soportes de información</t>
        </is>
      </c>
      <c r="C104" s="18" t="inlineStr">
        <is>
          <t>[disk] Discos</t>
        </is>
      </c>
      <c r="D104" s="19">
        <f>COUNTIFS(MgTipo,$B104,MgSubtipo,$C104)</f>
        <v/>
      </c>
      <c r="E104" s="13" t="inlineStr">
        <is>
          <t>—</t>
        </is>
      </c>
    </row>
    <row r="105" ht="15" customHeight="1" s="54">
      <c r="B105" s="11" t="inlineStr">
        <is>
          <t>[Media] Soportes de información</t>
        </is>
      </c>
      <c r="C105" s="18" t="inlineStr">
        <is>
          <t>[vdisk] Discos virtuales</t>
        </is>
      </c>
      <c r="D105" s="19">
        <f>COUNTIFS(MgTipo,$B105,MgSubtipo,$C105)</f>
        <v/>
      </c>
      <c r="E105" s="13" t="inlineStr">
        <is>
          <t>Nube / Buckets</t>
        </is>
      </c>
    </row>
    <row r="106" ht="15" customHeight="1" s="54">
      <c r="B106" s="11" t="inlineStr">
        <is>
          <t>[Media] Soportes de información</t>
        </is>
      </c>
      <c r="C106" s="18" t="inlineStr">
        <is>
          <t>[san] Almacenamiento en red</t>
        </is>
      </c>
      <c r="D106" s="19">
        <f>COUNTIFS(MgTipo,$B106,MgSubtipo,$C106)</f>
        <v/>
      </c>
      <c r="E106" s="13" t="inlineStr">
        <is>
          <t>—</t>
        </is>
      </c>
    </row>
    <row r="107" ht="15" customHeight="1" s="54">
      <c r="B107" s="11" t="inlineStr">
        <is>
          <t>[Media] Soportes de información</t>
        </is>
      </c>
      <c r="C107" s="18" t="inlineStr">
        <is>
          <t>[disquette] Disquetes</t>
        </is>
      </c>
      <c r="D107" s="19">
        <f>COUNTIFS(MgTipo,$B107,MgSubtipo,$C107)</f>
        <v/>
      </c>
      <c r="E107" s="13" t="inlineStr">
        <is>
          <t>—</t>
        </is>
      </c>
    </row>
    <row r="108" ht="15" customHeight="1" s="54">
      <c r="B108" s="11" t="inlineStr">
        <is>
          <t>[Media] Soportes de información</t>
        </is>
      </c>
      <c r="C108" s="18" t="inlineStr">
        <is>
          <t>[cd] CD-ROM</t>
        </is>
      </c>
      <c r="D108" s="19">
        <f>COUNTIFS(MgTipo,$B108,MgSubtipo,$C108)</f>
        <v/>
      </c>
      <c r="E108" s="13" t="inlineStr">
        <is>
          <t>—</t>
        </is>
      </c>
    </row>
    <row r="109" ht="15" customHeight="1" s="54">
      <c r="B109" s="11" t="inlineStr">
        <is>
          <t>[Media] Soportes de información</t>
        </is>
      </c>
      <c r="C109" s="18" t="inlineStr">
        <is>
          <t>[usb] Memorias USB</t>
        </is>
      </c>
      <c r="D109" s="19">
        <f>COUNTIFS(MgTipo,$B109,MgSubtipo,$C109)</f>
        <v/>
      </c>
      <c r="E109" s="13" t="inlineStr">
        <is>
          <t>—</t>
        </is>
      </c>
    </row>
    <row r="110" ht="15" customHeight="1" s="54">
      <c r="B110" s="11" t="inlineStr">
        <is>
          <t>[Media] Soportes de información</t>
        </is>
      </c>
      <c r="C110" s="18" t="inlineStr">
        <is>
          <t>[dvd] DVD</t>
        </is>
      </c>
      <c r="D110" s="19">
        <f>COUNTIFS(MgTipo,$B110,MgSubtipo,$C110)</f>
        <v/>
      </c>
      <c r="E110" s="13" t="inlineStr">
        <is>
          <t>—</t>
        </is>
      </c>
    </row>
    <row r="111" ht="15" customHeight="1" s="54">
      <c r="B111" s="11" t="inlineStr">
        <is>
          <t>[Media] Soportes de información</t>
        </is>
      </c>
      <c r="C111" s="18" t="inlineStr">
        <is>
          <t>[tape] Cintas magnéticas</t>
        </is>
      </c>
      <c r="D111" s="19">
        <f>COUNTIFS(MgTipo,$B111,MgSubtipo,$C111)</f>
        <v/>
      </c>
      <c r="E111" s="13" t="inlineStr">
        <is>
          <t>—</t>
        </is>
      </c>
    </row>
    <row r="112" ht="15" customHeight="1" s="54">
      <c r="B112" s="11" t="inlineStr">
        <is>
          <t>[Media] Soportes de información</t>
        </is>
      </c>
      <c r="C112" s="18" t="inlineStr">
        <is>
          <t>[mc] Tarjetas de memoria</t>
        </is>
      </c>
      <c r="D112" s="19">
        <f>COUNTIFS(MgTipo,$B112,MgSubtipo,$C112)</f>
        <v/>
      </c>
      <c r="E112" s="13" t="inlineStr">
        <is>
          <t>—</t>
        </is>
      </c>
    </row>
    <row r="113" ht="15" customHeight="1" s="54">
      <c r="B113" s="11" t="inlineStr">
        <is>
          <t>[Media] Soportes de información</t>
        </is>
      </c>
      <c r="C113" s="18" t="inlineStr">
        <is>
          <t>[ic] Tarjetas inteligentes</t>
        </is>
      </c>
      <c r="D113" s="19">
        <f>COUNTIFS(MgTipo,$B113,MgSubtipo,$C113)</f>
        <v/>
      </c>
      <c r="E113" s="13" t="inlineStr">
        <is>
          <t>—</t>
        </is>
      </c>
    </row>
    <row r="114" ht="15" customHeight="1" s="54">
      <c r="B114" s="11" t="inlineStr">
        <is>
          <t>[Media] Soportes de información</t>
        </is>
      </c>
      <c r="C114" s="18" t="inlineStr">
        <is>
          <t>[non_electronic] No electrónicos</t>
        </is>
      </c>
      <c r="D114" s="19">
        <f>COUNTIFS(MgTipo,$B114,MgSubtipo,$C114)</f>
        <v/>
      </c>
      <c r="E114" s="13" t="inlineStr">
        <is>
          <t>—</t>
        </is>
      </c>
    </row>
    <row r="115" ht="15" customHeight="1" s="54">
      <c r="B115" s="11" t="inlineStr">
        <is>
          <t>[Media] Soportes de información</t>
        </is>
      </c>
      <c r="C115" s="18" t="inlineStr">
        <is>
          <t>[printed] Material impreso</t>
        </is>
      </c>
      <c r="D115" s="19">
        <f>COUNTIFS(MgTipo,$B115,MgSubtipo,$C115)</f>
        <v/>
      </c>
      <c r="E115" s="13" t="inlineStr">
        <is>
          <t>Información / Archivo físico contable</t>
        </is>
      </c>
    </row>
    <row r="116" ht="15" customHeight="1" s="54">
      <c r="B116" s="11" t="inlineStr">
        <is>
          <t>[Media] Soportes de información</t>
        </is>
      </c>
      <c r="C116" s="18" t="inlineStr">
        <is>
          <t>[film] Microfilm</t>
        </is>
      </c>
      <c r="D116" s="19">
        <f>COUNTIFS(MgTipo,$B116,MgSubtipo,$C116)</f>
        <v/>
      </c>
      <c r="E116" s="13" t="inlineStr">
        <is>
          <t>—</t>
        </is>
      </c>
    </row>
    <row r="117" ht="15" customHeight="1" s="54">
      <c r="B117" s="11" t="inlineStr">
        <is>
          <t>[Media] Soportes de información</t>
        </is>
      </c>
      <c r="C117" s="18" t="inlineStr">
        <is>
          <t>[cards] Tarjetas perforadas</t>
        </is>
      </c>
      <c r="D117" s="19">
        <f>COUNTIFS(MgTipo,$B117,MgSubtipo,$C117)</f>
        <v/>
      </c>
      <c r="E117" s="13" t="inlineStr">
        <is>
          <t>—</t>
        </is>
      </c>
    </row>
    <row r="118" ht="20" customHeight="1" s="54">
      <c r="B118" s="3" t="inlineStr">
        <is>
          <t>[AUX] Equipamiento auxiliar</t>
        </is>
      </c>
      <c r="C118" s="4" t="n"/>
      <c r="D118" s="4" t="n"/>
      <c r="E118" s="4" t="n"/>
    </row>
    <row r="119" ht="15" customHeight="1" s="54">
      <c r="B119" s="11" t="inlineStr">
        <is>
          <t>[AUX] Equipamiento auxiliar</t>
        </is>
      </c>
      <c r="C119" s="18" t="inlineStr">
        <is>
          <t>[power] Fuentes de alimentación</t>
        </is>
      </c>
      <c r="D119" s="19">
        <f>COUNTIFS(MgTipo,$B119,MgSubtipo,$C119)</f>
        <v/>
      </c>
      <c r="E119" s="13" t="inlineStr">
        <is>
          <t>—</t>
        </is>
      </c>
    </row>
    <row r="120" ht="30" customHeight="1" s="54">
      <c r="B120" s="11" t="inlineStr">
        <is>
          <t>[AUX] Equipamiento auxiliar</t>
        </is>
      </c>
      <c r="C120" s="18" t="inlineStr">
        <is>
          <t>[ups] Sistemas de alimentación ininterrumpida</t>
        </is>
      </c>
      <c r="D120" s="19">
        <f>COUNTIFS(MgTipo,$B120,MgSubtipo,$C120)</f>
        <v/>
      </c>
      <c r="E120" s="13" t="inlineStr">
        <is>
          <t>—</t>
        </is>
      </c>
    </row>
    <row r="121" ht="15" customHeight="1" s="54">
      <c r="B121" s="11" t="inlineStr">
        <is>
          <t>[AUX] Equipamiento auxiliar</t>
        </is>
      </c>
      <c r="C121" s="18" t="inlineStr">
        <is>
          <t>[gen] Generadores eléctricos</t>
        </is>
      </c>
      <c r="D121" s="19">
        <f>COUNTIFS(MgTipo,$B121,MgSubtipo,$C121)</f>
        <v/>
      </c>
      <c r="E121" s="13" t="inlineStr">
        <is>
          <t>—</t>
        </is>
      </c>
    </row>
    <row r="122" ht="15" customHeight="1" s="54">
      <c r="B122" s="11" t="inlineStr">
        <is>
          <t>[AUX] Equipamiento auxiliar</t>
        </is>
      </c>
      <c r="C122" s="18" t="inlineStr">
        <is>
          <t>[ac] Equipos de climatización</t>
        </is>
      </c>
      <c r="D122" s="19">
        <f>COUNTIFS(MgTipo,$B122,MgSubtipo,$C122)</f>
        <v/>
      </c>
      <c r="E122" s="13" t="inlineStr">
        <is>
          <t>—</t>
        </is>
      </c>
    </row>
    <row r="123" ht="15" customHeight="1" s="54">
      <c r="B123" s="11" t="inlineStr">
        <is>
          <t>[AUX] Equipamiento auxiliar</t>
        </is>
      </c>
      <c r="C123" s="18" t="inlineStr">
        <is>
          <t>[cabling] Cableado</t>
        </is>
      </c>
      <c r="D123" s="19">
        <f>COUNTIFS(MgTipo,$B123,MgSubtipo,$C123)</f>
        <v/>
      </c>
      <c r="E123" s="13" t="inlineStr">
        <is>
          <t>—</t>
        </is>
      </c>
    </row>
    <row r="124" ht="15" customHeight="1" s="54">
      <c r="B124" s="11" t="inlineStr">
        <is>
          <t>[AUX] Equipamiento auxiliar</t>
        </is>
      </c>
      <c r="C124" s="18" t="inlineStr">
        <is>
          <t>[wire] Cable eléctrico</t>
        </is>
      </c>
      <c r="D124" s="19">
        <f>COUNTIFS(MgTipo,$B124,MgSubtipo,$C124)</f>
        <v/>
      </c>
      <c r="E124" s="13" t="inlineStr">
        <is>
          <t>—</t>
        </is>
      </c>
    </row>
    <row r="125" ht="15" customHeight="1" s="54">
      <c r="B125" s="11" t="inlineStr">
        <is>
          <t>[AUX] Equipamiento auxiliar</t>
        </is>
      </c>
      <c r="C125" s="18" t="inlineStr">
        <is>
          <t>[fiber] Fibra óptica</t>
        </is>
      </c>
      <c r="D125" s="19">
        <f>COUNTIFS(MgTipo,$B125,MgSubtipo,$C125)</f>
        <v/>
      </c>
      <c r="E125" s="13" t="inlineStr">
        <is>
          <t>—</t>
        </is>
      </c>
    </row>
    <row r="126" ht="15" customHeight="1" s="54">
      <c r="B126" s="11" t="inlineStr">
        <is>
          <t>[AUX] Equipamiento auxiliar</t>
        </is>
      </c>
      <c r="C126" s="18" t="inlineStr">
        <is>
          <t>[robot] Robots (cintas / discos)</t>
        </is>
      </c>
      <c r="D126" s="19">
        <f>COUNTIFS(MgTipo,$B126,MgSubtipo,$C126)</f>
        <v/>
      </c>
      <c r="E126" s="13" t="inlineStr">
        <is>
          <t>—</t>
        </is>
      </c>
    </row>
    <row r="127" ht="15" customHeight="1" s="54">
      <c r="B127" s="11" t="inlineStr">
        <is>
          <t>[AUX] Equipamiento auxiliar</t>
        </is>
      </c>
      <c r="C127" s="18" t="inlineStr">
        <is>
          <t>[supply] Suministros esenciales</t>
        </is>
      </c>
      <c r="D127" s="19">
        <f>COUNTIFS(MgTipo,$B127,MgSubtipo,$C127)</f>
        <v/>
      </c>
      <c r="E127" s="13" t="inlineStr">
        <is>
          <t>—</t>
        </is>
      </c>
    </row>
    <row r="128" ht="15" customHeight="1" s="54">
      <c r="B128" s="11" t="inlineStr">
        <is>
          <t>[AUX] Equipamiento auxiliar</t>
        </is>
      </c>
      <c r="C128" s="18" t="inlineStr">
        <is>
          <t>[destroy] Equipos de destrucción de soportes</t>
        </is>
      </c>
      <c r="D128" s="19">
        <f>COUNTIFS(MgTipo,$B128,MgSubtipo,$C128)</f>
        <v/>
      </c>
      <c r="E128" s="13" t="inlineStr">
        <is>
          <t>—</t>
        </is>
      </c>
    </row>
    <row r="129" ht="15" customHeight="1" s="54">
      <c r="B129" s="11" t="inlineStr">
        <is>
          <t>[AUX] Equipamiento auxiliar</t>
        </is>
      </c>
      <c r="C129" s="18" t="inlineStr">
        <is>
          <t>[furniture] Mobiliario</t>
        </is>
      </c>
      <c r="D129" s="19">
        <f>COUNTIFS(MgTipo,$B129,MgSubtipo,$C129)</f>
        <v/>
      </c>
      <c r="E129" s="13" t="inlineStr">
        <is>
          <t>—</t>
        </is>
      </c>
    </row>
    <row r="130" ht="15" customHeight="1" s="54">
      <c r="B130" s="11" t="inlineStr">
        <is>
          <t>[AUX] Equipamiento auxiliar</t>
        </is>
      </c>
      <c r="C130" s="18" t="inlineStr">
        <is>
          <t>[safe] Cajas fuertes</t>
        </is>
      </c>
      <c r="D130" s="19">
        <f>COUNTIFS(MgTipo,$B130,MgSubtipo,$C130)</f>
        <v/>
      </c>
      <c r="E130" s="13" t="inlineStr">
        <is>
          <t>—</t>
        </is>
      </c>
    </row>
    <row r="131" ht="20" customHeight="1" s="54">
      <c r="B131" s="3" t="inlineStr">
        <is>
          <t>[L] Instalaciones</t>
        </is>
      </c>
      <c r="C131" s="4" t="n"/>
      <c r="D131" s="4" t="n"/>
      <c r="E131" s="4" t="n"/>
    </row>
    <row r="132" ht="15" customHeight="1" s="54">
      <c r="B132" s="11" t="inlineStr">
        <is>
          <t>[L] Instalaciones</t>
        </is>
      </c>
      <c r="C132" s="18" t="inlineStr">
        <is>
          <t>[site] Recinto</t>
        </is>
      </c>
      <c r="D132" s="19">
        <f>COUNTIFS(MgTipo,$B132,MgSubtipo,$C132)</f>
        <v/>
      </c>
      <c r="E132" s="13" t="inlineStr">
        <is>
          <t>—</t>
        </is>
      </c>
    </row>
    <row r="133" ht="15" customHeight="1" s="54">
      <c r="B133" s="11" t="inlineStr">
        <is>
          <t>[L] Instalaciones</t>
        </is>
      </c>
      <c r="C133" s="18" t="inlineStr">
        <is>
          <t>[building] Edificio</t>
        </is>
      </c>
      <c r="D133" s="19">
        <f>COUNTIFS(MgTipo,$B133,MgSubtipo,$C133)</f>
        <v/>
      </c>
      <c r="E133" s="13" t="inlineStr">
        <is>
          <t>—</t>
        </is>
      </c>
    </row>
    <row r="134" ht="15" customHeight="1" s="54">
      <c r="B134" s="11" t="inlineStr">
        <is>
          <t>[L] Instalaciones</t>
        </is>
      </c>
      <c r="C134" s="18" t="inlineStr">
        <is>
          <t>[local] Cuarto</t>
        </is>
      </c>
      <c r="D134" s="19">
        <f>COUNTIFS(MgTipo,$B134,MgSubtipo,$C134)</f>
        <v/>
      </c>
      <c r="E134" s="13" t="inlineStr">
        <is>
          <t>—</t>
        </is>
      </c>
    </row>
    <row r="135" ht="15" customHeight="1" s="54">
      <c r="B135" s="11" t="inlineStr">
        <is>
          <t>[L] Instalaciones</t>
        </is>
      </c>
      <c r="C135" s="18" t="inlineStr">
        <is>
          <t>[mobile] Plataformas móviles</t>
        </is>
      </c>
      <c r="D135" s="19">
        <f>COUNTIFS(MgTipo,$B135,MgSubtipo,$C135)</f>
        <v/>
      </c>
      <c r="E135" s="13" t="inlineStr">
        <is>
          <t>—</t>
        </is>
      </c>
    </row>
    <row r="136" ht="15" customHeight="1" s="54">
      <c r="B136" s="11" t="inlineStr">
        <is>
          <t>[L] Instalaciones</t>
        </is>
      </c>
      <c r="C136" s="18" t="inlineStr">
        <is>
          <t>[car] Vehículo terrestre</t>
        </is>
      </c>
      <c r="D136" s="19">
        <f>COUNTIFS(MgTipo,$B136,MgSubtipo,$C136)</f>
        <v/>
      </c>
      <c r="E136" s="13" t="inlineStr">
        <is>
          <t>—</t>
        </is>
      </c>
    </row>
    <row r="137" ht="15" customHeight="1" s="54">
      <c r="B137" s="11" t="inlineStr">
        <is>
          <t>[L] Instalaciones</t>
        </is>
      </c>
      <c r="C137" s="18" t="inlineStr">
        <is>
          <t>[plane] Vehículo aéreo</t>
        </is>
      </c>
      <c r="D137" s="19">
        <f>COUNTIFS(MgTipo,$B137,MgSubtipo,$C137)</f>
        <v/>
      </c>
      <c r="E137" s="13" t="inlineStr">
        <is>
          <t>—</t>
        </is>
      </c>
    </row>
    <row r="138" ht="15" customHeight="1" s="54">
      <c r="B138" s="11" t="inlineStr">
        <is>
          <t>[L] Instalaciones</t>
        </is>
      </c>
      <c r="C138" s="18" t="inlineStr">
        <is>
          <t>[ship] Vehículo marítimo</t>
        </is>
      </c>
      <c r="D138" s="19">
        <f>COUNTIFS(MgTipo,$B138,MgSubtipo,$C138)</f>
        <v/>
      </c>
      <c r="E138" s="13" t="inlineStr">
        <is>
          <t>—</t>
        </is>
      </c>
    </row>
    <row r="139" ht="15" customHeight="1" s="54">
      <c r="B139" s="11" t="inlineStr">
        <is>
          <t>[L] Instalaciones</t>
        </is>
      </c>
      <c r="C139" s="18" t="inlineStr">
        <is>
          <t>[shelter] Contenedor / caseta</t>
        </is>
      </c>
      <c r="D139" s="19">
        <f>COUNTIFS(MgTipo,$B139,MgSubtipo,$C139)</f>
        <v/>
      </c>
      <c r="E139" s="13" t="inlineStr">
        <is>
          <t>—</t>
        </is>
      </c>
    </row>
    <row r="140" ht="15" customHeight="1" s="54">
      <c r="B140" s="11" t="inlineStr">
        <is>
          <t>[L] Instalaciones</t>
        </is>
      </c>
      <c r="C140" s="18" t="inlineStr">
        <is>
          <t>[channel] Canalización</t>
        </is>
      </c>
      <c r="D140" s="19">
        <f>COUNTIFS(MgTipo,$B140,MgSubtipo,$C140)</f>
        <v/>
      </c>
      <c r="E140" s="13" t="inlineStr">
        <is>
          <t>—</t>
        </is>
      </c>
    </row>
    <row r="141" ht="15" customHeight="1" s="54">
      <c r="B141" s="11" t="inlineStr">
        <is>
          <t>[L] Instalaciones</t>
        </is>
      </c>
      <c r="C141" s="18" t="inlineStr">
        <is>
          <t>[backup] Instalaciones de respaldo</t>
        </is>
      </c>
      <c r="D141" s="19">
        <f>COUNTIFS(MgTipo,$B141,MgSubtipo,$C141)</f>
        <v/>
      </c>
      <c r="E141" s="13" t="inlineStr">
        <is>
          <t>—</t>
        </is>
      </c>
    </row>
    <row r="142" ht="20" customHeight="1" s="54">
      <c r="B142" s="3" t="inlineStr">
        <is>
          <t>[P] Personal</t>
        </is>
      </c>
      <c r="C142" s="4" t="n"/>
      <c r="D142" s="4" t="n"/>
      <c r="E142" s="4" t="n"/>
    </row>
    <row r="143" ht="15" customHeight="1" s="54">
      <c r="B143" s="11" t="inlineStr">
        <is>
          <t>[P] Personal</t>
        </is>
      </c>
      <c r="C143" s="18" t="inlineStr">
        <is>
          <t>[ue] Usuarios externos</t>
        </is>
      </c>
      <c r="D143" s="19">
        <f>COUNTIFS(MgTipo,$B143,MgSubtipo,$C143)</f>
        <v/>
      </c>
      <c r="E143" s="13" t="inlineStr">
        <is>
          <t>—</t>
        </is>
      </c>
    </row>
    <row r="144" ht="30" customHeight="1" s="54">
      <c r="B144" s="11" t="inlineStr">
        <is>
          <t>[P] Personal</t>
        </is>
      </c>
      <c r="C144" s="18" t="inlineStr">
        <is>
          <t>[ui] Usuarios internos</t>
        </is>
      </c>
      <c r="D144" s="19">
        <f>COUNTIFS(MgTipo,$B144,MgSubtipo,$C144)</f>
        <v/>
      </c>
      <c r="E144" s="13" t="inlineStr">
        <is>
          <t>Personas_y_Conocimiento / Capacidades especializadas · Personas_y_Conocimiento / Conocimiento</t>
        </is>
      </c>
    </row>
    <row r="145" ht="15" customHeight="1" s="54">
      <c r="B145" s="11" t="inlineStr">
        <is>
          <t>[P] Personal</t>
        </is>
      </c>
      <c r="C145" s="18" t="inlineStr">
        <is>
          <t>[op] Operadores</t>
        </is>
      </c>
      <c r="D145" s="19">
        <f>COUNTIFS(MgTipo,$B145,MgSubtipo,$C145)</f>
        <v/>
      </c>
      <c r="E145" s="13" t="inlineStr">
        <is>
          <t>—</t>
        </is>
      </c>
    </row>
    <row r="146" ht="15" customHeight="1" s="54">
      <c r="B146" s="11" t="inlineStr">
        <is>
          <t>[P] Personal</t>
        </is>
      </c>
      <c r="C146" s="18" t="inlineStr">
        <is>
          <t>[adm] Administradores de sistemas</t>
        </is>
      </c>
      <c r="D146" s="19">
        <f>COUNTIFS(MgTipo,$B146,MgSubtipo,$C146)</f>
        <v/>
      </c>
      <c r="E146" s="13" t="inlineStr">
        <is>
          <t>—</t>
        </is>
      </c>
    </row>
    <row r="147" ht="15" customHeight="1" s="54">
      <c r="B147" s="11" t="inlineStr">
        <is>
          <t>[P] Personal</t>
        </is>
      </c>
      <c r="C147" s="18" t="inlineStr">
        <is>
          <t>[com] Administradores de comunicaciones</t>
        </is>
      </c>
      <c r="D147" s="19">
        <f>COUNTIFS(MgTipo,$B147,MgSubtipo,$C147)</f>
        <v/>
      </c>
      <c r="E147" s="13" t="inlineStr">
        <is>
          <t>—</t>
        </is>
      </c>
    </row>
    <row r="148" ht="15" customHeight="1" s="54">
      <c r="B148" s="11" t="inlineStr">
        <is>
          <t>[P] Personal</t>
        </is>
      </c>
      <c r="C148" s="18" t="inlineStr">
        <is>
          <t>[dba] Administradores de bases de datos</t>
        </is>
      </c>
      <c r="D148" s="19">
        <f>COUNTIFS(MgTipo,$B148,MgSubtipo,$C148)</f>
        <v/>
      </c>
      <c r="E148" s="13" t="inlineStr">
        <is>
          <t>—</t>
        </is>
      </c>
    </row>
    <row r="149" ht="15" customHeight="1" s="54">
      <c r="B149" s="11" t="inlineStr">
        <is>
          <t>[P] Personal</t>
        </is>
      </c>
      <c r="C149" s="18" t="inlineStr">
        <is>
          <t>[sec] Administradores de seguridad</t>
        </is>
      </c>
      <c r="D149" s="19">
        <f>COUNTIFS(MgTipo,$B149,MgSubtipo,$C149)</f>
        <v/>
      </c>
      <c r="E149" s="13" t="inlineStr">
        <is>
          <t>—</t>
        </is>
      </c>
    </row>
    <row r="150" ht="15" customHeight="1" s="54">
      <c r="B150" s="11" t="inlineStr">
        <is>
          <t>[P] Personal</t>
        </is>
      </c>
      <c r="C150" s="18" t="inlineStr">
        <is>
          <t>[des] Desarrolladores / programadores</t>
        </is>
      </c>
      <c r="D150" s="19">
        <f>COUNTIFS(MgTipo,$B150,MgSubtipo,$C150)</f>
        <v/>
      </c>
      <c r="E150" s="13" t="inlineStr">
        <is>
          <t>—</t>
        </is>
      </c>
    </row>
    <row r="151" ht="30" customHeight="1" s="54">
      <c r="B151" s="11" t="inlineStr">
        <is>
          <t>[P] Personal</t>
        </is>
      </c>
      <c r="C151" s="18" t="inlineStr">
        <is>
          <t>[sub] Subcontratas</t>
        </is>
      </c>
      <c r="D151" s="19">
        <f>COUNTIFS(MgTipo,$B151,MgSubtipo,$C151)</f>
        <v/>
      </c>
      <c r="E151" s="13" t="inlineStr">
        <is>
          <t>Personas_y_Conocimiento / Consultores · Personas_y_Conocimiento / Contratistas</t>
        </is>
      </c>
    </row>
    <row r="152" ht="15" customHeight="1" s="54">
      <c r="B152" s="11" t="inlineStr">
        <is>
          <t>[P] Personal</t>
        </is>
      </c>
      <c r="C152" s="18" t="inlineStr">
        <is>
          <t>[prov] Proveedores</t>
        </is>
      </c>
      <c r="D152" s="19">
        <f>COUNTIFS(MgTipo,$B152,MgSubtipo,$C152)</f>
        <v/>
      </c>
      <c r="E152" s="13" t="inlineStr">
        <is>
          <t>—</t>
        </is>
      </c>
    </row>
  </sheetData>
  <autoFilter ref="B5:E152"/>
  <mergeCells count="3">
    <mergeCell ref="C3:D3"/>
    <mergeCell ref="G3:H3"/>
    <mergeCell ref="E3:F3"/>
  </mergeCells>
  <pageMargins left="0.75" right="0.75" top="1" bottom="1" header="0.5" footer="0.5"/>
  <headerFooter>
    <oddHeader/>
    <oddFooter>&amp;L&amp;"Aptos"&amp;10 &amp;K000000_x000d_# DOCUMENTO PRIVADO</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B1:H64"/>
  <sheetViews>
    <sheetView showGridLines="0" topLeftCell="A18" workbookViewId="0">
      <selection activeCell="C20" sqref="C20:C24"/>
    </sheetView>
  </sheetViews>
  <sheetFormatPr baseColWidth="10" defaultColWidth="8.7265625" defaultRowHeight="14.5"/>
  <cols>
    <col width="2.36328125" customWidth="1" style="54" min="1" max="1"/>
    <col width="46" customWidth="1" style="54" min="2" max="2"/>
    <col width="16" customWidth="1" style="54" min="3" max="3"/>
    <col width="44" customWidth="1" style="54" min="4" max="4"/>
    <col width="4" customWidth="1" style="54" min="5" max="5"/>
    <col width="40" customWidth="1" style="54" min="6" max="6"/>
    <col width="12" customWidth="1" style="54" min="7" max="10"/>
  </cols>
  <sheetData>
    <row r="1" ht="21.5" customHeight="1" s="54">
      <c r="B1" s="1" t="inlineStr">
        <is>
          <t>ESCALAS Y REGLAS DE CÁLCULO — MAGERIT v3.0</t>
        </is>
      </c>
    </row>
    <row r="2" ht="15" customHeight="1" s="54">
      <c r="B2" s="2" t="inlineStr">
        <is>
          <t>Todas las listas desplegables del archivo salen de aquí. Cambiar un valor recalcula la valoración completa.</t>
        </is>
      </c>
    </row>
    <row r="4" ht="20" customHeight="1" s="54">
      <c r="B4" s="3" t="inlineStr">
        <is>
          <t>VALOR DE UN ACTIVO EN UNA DIMENSIÓN — escala 0 a 5 (adaptada de MAGERIT, Libro II cap. 4)</t>
        </is>
      </c>
      <c r="C4" s="4" t="n"/>
      <c r="F4" s="3" t="inlineStr">
        <is>
          <t>NIVEL DE IMPACTO</t>
        </is>
      </c>
      <c r="G4" s="4" t="n"/>
      <c r="H4" s="4" t="n"/>
    </row>
    <row r="5" ht="24" customHeight="1" s="54">
      <c r="B5" s="5" t="inlineStr">
        <is>
          <t>Etiqueta (esto es lo que se selecciona en las listas)</t>
        </is>
      </c>
      <c r="C5" s="5" t="inlineStr">
        <is>
          <t>Valor numérico</t>
        </is>
      </c>
      <c r="F5" s="5" t="inlineStr">
        <is>
          <t>Nivel</t>
        </is>
      </c>
      <c r="G5" s="5" t="inlineStr">
        <is>
          <t>Desde</t>
        </is>
      </c>
      <c r="H5" s="5" t="inlineStr">
        <is>
          <t>Hasta</t>
        </is>
      </c>
    </row>
    <row r="6" ht="15" customHeight="1" s="54">
      <c r="B6" s="6" t="inlineStr">
        <is>
          <t>5 — Muy Alto</t>
        </is>
      </c>
      <c r="C6" s="59" t="n">
        <v>5</v>
      </c>
      <c r="F6" s="6" t="inlineStr">
        <is>
          <t>Muy alto</t>
        </is>
      </c>
      <c r="G6" s="59" t="n">
        <v>4.5</v>
      </c>
      <c r="H6" s="59" t="n">
        <v>5</v>
      </c>
    </row>
    <row r="7" ht="15" customHeight="1" s="54">
      <c r="B7" s="6" t="inlineStr">
        <is>
          <t>4 — Alto</t>
        </is>
      </c>
      <c r="C7" s="59" t="n">
        <v>4</v>
      </c>
      <c r="F7" s="8" t="inlineStr">
        <is>
          <t>Alto</t>
        </is>
      </c>
      <c r="G7" s="59" t="n">
        <v>3</v>
      </c>
      <c r="H7" s="59" t="n">
        <v>4.499</v>
      </c>
    </row>
    <row r="8" ht="15" customHeight="1" s="54">
      <c r="B8" s="8" t="inlineStr">
        <is>
          <t>3 — Medio</t>
        </is>
      </c>
      <c r="C8" s="59" t="n">
        <v>3</v>
      </c>
      <c r="F8" s="9" t="inlineStr">
        <is>
          <t>Medio</t>
        </is>
      </c>
      <c r="G8" s="59" t="n">
        <v>1.5</v>
      </c>
      <c r="H8" s="59" t="n">
        <v>2.999</v>
      </c>
    </row>
    <row r="9" ht="15" customHeight="1" s="54">
      <c r="B9" s="8" t="inlineStr">
        <is>
          <t>2 — Bajo</t>
        </is>
      </c>
      <c r="C9" s="59" t="n">
        <v>2</v>
      </c>
      <c r="F9" s="10" t="inlineStr">
        <is>
          <t>Bajo</t>
        </is>
      </c>
      <c r="G9" s="59" t="n">
        <v>0.5</v>
      </c>
      <c r="H9" s="59" t="n">
        <v>1.499</v>
      </c>
    </row>
    <row r="10" ht="15" customHeight="1" s="54">
      <c r="B10" s="8" t="inlineStr">
        <is>
          <t>1 — Muy Bajo</t>
        </is>
      </c>
      <c r="C10" s="59" t="n">
        <v>1</v>
      </c>
      <c r="F10" s="11" t="inlineStr">
        <is>
          <t>Despreciable</t>
        </is>
      </c>
      <c r="G10" s="59" t="n">
        <v>0</v>
      </c>
      <c r="H10" s="59" t="n">
        <v>0.499</v>
      </c>
    </row>
    <row r="11" ht="15" customHeight="1" s="54">
      <c r="B11" s="49" t="inlineStr">
        <is>
          <t>0 — Irrelevante</t>
        </is>
      </c>
      <c r="C11" s="50" t="n">
        <v>0</v>
      </c>
    </row>
    <row r="12" ht="15" customHeight="1" s="54">
      <c r="B12" s="51" t="n"/>
      <c r="C12" s="47" t="n"/>
    </row>
    <row r="13" ht="20" customHeight="1" s="54">
      <c r="B13" s="51" t="n"/>
      <c r="C13" s="47" t="n"/>
      <c r="F13" s="3" t="inlineStr">
        <is>
          <t>NIVEL DE RIESGO — impacto × veces por año</t>
        </is>
      </c>
      <c r="G13" s="4" t="n"/>
      <c r="H13" s="4" t="n"/>
    </row>
    <row r="14" ht="24" customHeight="1" s="54">
      <c r="B14" s="51" t="n"/>
      <c r="C14" s="47" t="n"/>
      <c r="F14" s="5" t="inlineStr">
        <is>
          <t>Nivel</t>
        </is>
      </c>
      <c r="G14" s="5" t="inlineStr">
        <is>
          <t>Desde</t>
        </is>
      </c>
      <c r="H14" s="5" t="inlineStr">
        <is>
          <t>Hasta</t>
        </is>
      </c>
    </row>
    <row r="15" ht="15" customHeight="1" s="54">
      <c r="B15" s="51" t="n"/>
      <c r="C15" s="47" t="n"/>
      <c r="F15" s="6" t="inlineStr">
        <is>
          <t>Crítico</t>
        </is>
      </c>
      <c r="G15" s="59" t="n">
        <v>25</v>
      </c>
      <c r="H15" s="59" t="n">
        <v>100000</v>
      </c>
    </row>
    <row r="16" ht="15" customHeight="1" s="54">
      <c r="B16" s="51" t="n"/>
      <c r="C16" s="47" t="n"/>
      <c r="F16" s="8" t="inlineStr">
        <is>
          <t>Alto</t>
        </is>
      </c>
      <c r="G16" s="59" t="n">
        <v>5</v>
      </c>
      <c r="H16" s="59" t="n">
        <v>24.999</v>
      </c>
    </row>
    <row r="17" ht="15" customHeight="1" s="54">
      <c r="F17" s="9" t="inlineStr">
        <is>
          <t>Medio</t>
        </is>
      </c>
      <c r="G17" s="59" t="n">
        <v>0.5</v>
      </c>
      <c r="H17" s="59" t="n">
        <v>4.999</v>
      </c>
    </row>
    <row r="18" ht="20" customHeight="1" s="54">
      <c r="B18" s="3" t="inlineStr">
        <is>
          <t>DEGRADACIÓN — cuánto valor pierde el activo si la amenaza se materializa</t>
        </is>
      </c>
      <c r="C18" s="4" t="n"/>
      <c r="D18" s="4" t="n"/>
      <c r="F18" s="10" t="inlineStr">
        <is>
          <t>Bajo</t>
        </is>
      </c>
      <c r="G18" s="59" t="n">
        <v>0</v>
      </c>
      <c r="H18" s="59" t="n">
        <v>0.499</v>
      </c>
    </row>
    <row r="19" ht="24" customHeight="1" s="54">
      <c r="B19" s="5" t="inlineStr">
        <is>
          <t>Grado de degradación</t>
        </is>
      </c>
      <c r="C19" s="5" t="inlineStr">
        <is>
          <t>Fracción del valor que se pierde</t>
        </is>
      </c>
      <c r="D19" s="5" t="inlineStr">
        <is>
          <t>Lectura</t>
        </is>
      </c>
    </row>
    <row r="20" ht="15" customHeight="1" s="54">
      <c r="B20" s="6" t="inlineStr">
        <is>
          <t>Muy alta</t>
        </is>
      </c>
      <c r="C20" s="12" t="n">
        <v>1</v>
      </c>
      <c r="D20" s="13" t="inlineStr">
        <is>
          <t>El activo queda inservible en esa dimensión</t>
        </is>
      </c>
    </row>
    <row r="21" ht="20" customHeight="1" s="54">
      <c r="B21" s="8" t="inlineStr">
        <is>
          <t>Alta</t>
        </is>
      </c>
      <c r="C21" s="12" t="n">
        <v>0.8</v>
      </c>
      <c r="D21" s="13" t="inlineStr">
        <is>
          <t>Daño muy significativo</t>
        </is>
      </c>
      <c r="F21" s="3" t="inlineStr">
        <is>
          <t>ZONAS DE RIESGO (MAGERIT, Libro I cap. 3)</t>
        </is>
      </c>
      <c r="G21" s="4" t="n"/>
      <c r="H21" s="4" t="n"/>
    </row>
    <row r="22" ht="24" customHeight="1" s="54">
      <c r="B22" s="9" t="inlineStr">
        <is>
          <t>Media</t>
        </is>
      </c>
      <c r="C22" s="12" t="n">
        <v>0.5</v>
      </c>
      <c r="D22" s="59" t="inlineStr">
        <is>
          <t>Daño moderado</t>
        </is>
      </c>
      <c r="F22" s="5" t="inlineStr">
        <is>
          <t>Zona</t>
        </is>
      </c>
      <c r="G22" s="5" t="n"/>
      <c r="H22" s="5" t="n"/>
    </row>
    <row r="23" ht="30" customHeight="1" s="54">
      <c r="B23" s="10" t="inlineStr">
        <is>
          <t>Baja</t>
        </is>
      </c>
      <c r="C23" s="12" t="n">
        <v>0.2</v>
      </c>
      <c r="D23" s="59" t="inlineStr">
        <is>
          <t>Daño pequeño</t>
        </is>
      </c>
      <c r="F23" s="6" t="inlineStr">
        <is>
          <t>Zona 1 — Crítica: impacto alto y ocurre al menos una vez al año</t>
        </is>
      </c>
      <c r="G23" s="59" t="n"/>
      <c r="H23" s="59" t="n"/>
    </row>
    <row r="24" ht="15" customHeight="1" s="54">
      <c r="B24" s="14" t="inlineStr">
        <is>
          <t>Muy baja</t>
        </is>
      </c>
      <c r="C24" s="12" t="n">
        <v>0.05</v>
      </c>
      <c r="D24" s="59" t="inlineStr">
        <is>
          <t>Daño mínimo</t>
        </is>
      </c>
      <c r="F24" s="8" t="inlineStr">
        <is>
          <t>Zona 2 — Atención: riesgo intermedio</t>
        </is>
      </c>
      <c r="G24" s="59" t="n"/>
      <c r="H24" s="59" t="n"/>
    </row>
    <row r="25" ht="30" customHeight="1" s="54">
      <c r="B25" s="11" t="inlineStr">
        <is>
          <t>No aplica</t>
        </is>
      </c>
      <c r="C25" s="12" t="n">
        <v>0</v>
      </c>
      <c r="D25" s="13" t="inlineStr">
        <is>
          <t>La amenaza no afecta esta dimensión</t>
        </is>
      </c>
      <c r="F25" s="10" t="inlineStr">
        <is>
          <t>Zona 3 — Asumible: impacto bajo y muy poco frecuente</t>
        </is>
      </c>
      <c r="G25" s="59" t="n"/>
      <c r="H25" s="59" t="n"/>
    </row>
    <row r="26" ht="30" customHeight="1" s="54">
      <c r="F26" s="9" t="inlineStr">
        <is>
          <t>Zona 4 — Catastrófica poco probable: impacto alto pero excepcional</t>
        </is>
      </c>
      <c r="G26" s="59" t="n"/>
      <c r="H26" s="59" t="n"/>
    </row>
    <row r="28" ht="20" customHeight="1" s="54">
      <c r="B28" s="3" t="inlineStr">
        <is>
          <t>FRECUENCIA — cuántas veces al año se espera que ocurra la amenaza</t>
        </is>
      </c>
      <c r="C28" s="4" t="n"/>
      <c r="D28" s="4" t="n"/>
    </row>
    <row r="29" ht="20" customHeight="1" s="54">
      <c r="B29" s="5" t="inlineStr">
        <is>
          <t>Frecuencia</t>
        </is>
      </c>
      <c r="C29" s="5" t="inlineStr">
        <is>
          <t>Veces por año</t>
        </is>
      </c>
      <c r="D29" s="5" t="inlineStr">
        <is>
          <t>Lectura</t>
        </is>
      </c>
      <c r="F29" s="3" t="inlineStr">
        <is>
          <t>DIMENSIONES DE SEGURIDAD EN USO</t>
        </is>
      </c>
      <c r="G29" s="4" t="n"/>
      <c r="H29" s="4" t="n"/>
    </row>
    <row r="30" ht="24" customHeight="1" s="54">
      <c r="B30" s="6" t="inlineStr">
        <is>
          <t>Muy alta — ocurre a diario</t>
        </is>
      </c>
      <c r="C30" s="59" t="n">
        <v>100</v>
      </c>
      <c r="D30" s="13" t="inlineStr">
        <is>
          <t>Prácticamente permanente</t>
        </is>
      </c>
      <c r="F30" s="5" t="inlineStr">
        <is>
          <t>Dimensión</t>
        </is>
      </c>
      <c r="G30" s="5" t="inlineStr">
        <is>
          <t>Código</t>
        </is>
      </c>
      <c r="H30" s="5" t="n"/>
    </row>
    <row r="31" ht="15" customHeight="1" s="54">
      <c r="B31" s="8" t="inlineStr">
        <is>
          <t>Alta — ocurre cada mes</t>
        </is>
      </c>
      <c r="C31" s="59" t="n">
        <v>10</v>
      </c>
      <c r="D31" s="59" t="inlineStr">
        <is>
          <t>Varias veces al año</t>
        </is>
      </c>
      <c r="F31" s="11" t="inlineStr">
        <is>
          <t>Disponibilidad</t>
        </is>
      </c>
      <c r="G31" s="59" t="inlineStr">
        <is>
          <t>[D]</t>
        </is>
      </c>
      <c r="H31" s="59" t="n"/>
    </row>
    <row r="32" ht="15" customHeight="1" s="54">
      <c r="B32" s="9" t="inlineStr">
        <is>
          <t>Media — ocurre una vez al año</t>
        </is>
      </c>
      <c r="C32" s="59" t="n">
        <v>1</v>
      </c>
      <c r="D32" s="59" t="inlineStr">
        <is>
          <t>Frecuencia típica</t>
        </is>
      </c>
      <c r="F32" s="11" t="inlineStr">
        <is>
          <t>Integridad</t>
        </is>
      </c>
      <c r="G32" s="59" t="inlineStr">
        <is>
          <t>[I]</t>
        </is>
      </c>
      <c r="H32" s="59" t="n"/>
    </row>
    <row r="33" ht="15" customHeight="1" s="54">
      <c r="B33" s="10" t="inlineStr">
        <is>
          <t>Baja — ocurre cada varios años</t>
        </is>
      </c>
      <c r="C33" s="59" t="n">
        <v>0.1</v>
      </c>
      <c r="D33" s="59" t="inlineStr">
        <is>
          <t>Poco frecuente</t>
        </is>
      </c>
      <c r="F33" s="11" t="inlineStr">
        <is>
          <t>Confidencialidad</t>
        </is>
      </c>
      <c r="G33" s="59" t="inlineStr">
        <is>
          <t>[C]</t>
        </is>
      </c>
      <c r="H33" s="59" t="n"/>
    </row>
    <row r="34" ht="15" customHeight="1" s="54">
      <c r="B34" s="14" t="inlineStr">
        <is>
          <t>Muy baja — excepcional, cada muchos años</t>
        </is>
      </c>
      <c r="C34" s="59" t="n">
        <v>0.01</v>
      </c>
      <c r="D34" s="13" t="inlineStr">
        <is>
          <t>Prácticamente improbable</t>
        </is>
      </c>
    </row>
    <row r="38" ht="20" customHeight="1" s="54">
      <c r="B38" s="3" t="inlineStr">
        <is>
          <t>MADUREZ DE LOS CONTROLES — modelo CMM, determina su eficacia</t>
        </is>
      </c>
      <c r="C38" s="4" t="n"/>
      <c r="D38" s="4" t="n"/>
    </row>
    <row r="39" ht="24" customHeight="1" s="54">
      <c r="B39" s="5" t="inlineStr">
        <is>
          <t>Nivel de madurez</t>
        </is>
      </c>
      <c r="C39" s="5" t="inlineStr">
        <is>
          <t>Eficacia</t>
        </is>
      </c>
      <c r="D39" s="5" t="inlineStr">
        <is>
          <t>Lectura</t>
        </is>
      </c>
    </row>
    <row r="40" ht="15" customHeight="1" s="54">
      <c r="B40" s="11" t="inlineStr">
        <is>
          <t>L0 — Inexistente</t>
        </is>
      </c>
      <c r="C40" s="12" t="n">
        <v>0</v>
      </c>
      <c r="D40" s="59" t="inlineStr">
        <is>
          <t>No existe el control</t>
        </is>
      </c>
    </row>
    <row r="41" ht="15" customHeight="1" s="54">
      <c r="B41" s="10" t="inlineStr">
        <is>
          <t>L1 — Inicial / ad hoc</t>
        </is>
      </c>
      <c r="C41" s="12" t="n">
        <v>0.1</v>
      </c>
      <c r="D41" s="13" t="inlineStr">
        <is>
          <t>Se hace, pero sin método ni constancia</t>
        </is>
      </c>
    </row>
    <row r="42" ht="15" customHeight="1" s="54">
      <c r="B42" s="9" t="inlineStr">
        <is>
          <t>L2 — Reproducible pero intuitivo</t>
        </is>
      </c>
      <c r="C42" s="12" t="n">
        <v>0.5</v>
      </c>
      <c r="D42" s="13" t="inlineStr">
        <is>
          <t>Se repite, sin estar documentado</t>
        </is>
      </c>
    </row>
    <row r="43" ht="15" customHeight="1" s="54">
      <c r="B43" s="8" t="inlineStr">
        <is>
          <t>L3 — Proceso definido</t>
        </is>
      </c>
      <c r="C43" s="12" t="n">
        <v>0.9</v>
      </c>
      <c r="D43" s="13" t="inlineStr">
        <is>
          <t>Documentado, comunicado y aplicado</t>
        </is>
      </c>
    </row>
    <row r="44" ht="15" customHeight="1" s="54">
      <c r="B44" s="14" t="inlineStr">
        <is>
          <t>L4 — Gestionado y medible</t>
        </is>
      </c>
      <c r="C44" s="12" t="n">
        <v>0.95</v>
      </c>
      <c r="D44" s="13" t="inlineStr">
        <is>
          <t>Se mide su desempeño y se corrige</t>
        </is>
      </c>
    </row>
    <row r="45" ht="15" customHeight="1" s="54">
      <c r="B45" s="14" t="inlineStr">
        <is>
          <t>L5 — Optimizado</t>
        </is>
      </c>
      <c r="C45" s="12" t="n">
        <v>1</v>
      </c>
      <c r="D45" s="13" t="inlineStr">
        <is>
          <t>Mejora continua sobre la medición</t>
        </is>
      </c>
    </row>
    <row r="47" ht="20" customHeight="1" s="54">
      <c r="B47" s="3" t="inlineStr">
        <is>
          <t>REGLAS DE CÁLCULO</t>
        </is>
      </c>
      <c r="C47" s="4" t="n"/>
      <c r="D47" s="4" t="n"/>
      <c r="E47" s="4" t="n"/>
      <c r="F47" s="4" t="n"/>
      <c r="G47" s="4" t="n"/>
      <c r="H47" s="4" t="n"/>
    </row>
    <row r="48" ht="15" customHeight="1" s="54">
      <c r="B48" s="15" t="inlineStr">
        <is>
          <t>Valor del activo = el mayor de sus tres dimensiones: Disponibilidad, Integridad y Confidencialidad.</t>
        </is>
      </c>
    </row>
    <row r="49" ht="15" customHeight="1" s="54">
      <c r="B49" s="15" t="inlineStr">
        <is>
          <t>Impacto en una dimensión = Valor de esa dimensión × Fracción de degradación que la amenaza causa en esa dimensión.</t>
        </is>
      </c>
    </row>
    <row r="50" ht="15" customHeight="1" s="54">
      <c r="B50" s="15" t="inlineStr">
        <is>
          <t>Impacto acumulado = el mayor de los impactos por dimensión. Queda en la misma escala 0 a 5 del valor.</t>
        </is>
      </c>
    </row>
    <row r="51" ht="15" customHeight="1" s="54">
      <c r="B51" s="15" t="inlineStr">
        <is>
          <t>Riesgo potencial = Impacto acumulado × Veces por año de la amenaza.</t>
        </is>
      </c>
    </row>
    <row r="52" ht="15" customHeight="1" s="54">
      <c r="B52" s="15" t="inlineStr">
        <is>
          <t>Impacto residual = Impacto potencial × (1 − eficacia de los controles que LIMITAN el daño).</t>
        </is>
      </c>
    </row>
    <row r="53" ht="15" customHeight="1" s="54">
      <c r="B53" s="15" t="inlineStr">
        <is>
          <t>Veces por año residual = Veces por año × (1 − eficacia de los controles que PREVIENEN la amenaza).</t>
        </is>
      </c>
    </row>
    <row r="54" ht="15" customHeight="1" s="54">
      <c r="B54" s="15" t="inlineStr">
        <is>
          <t>Riesgo residual = Impacto residual × Veces por año residual.</t>
        </is>
      </c>
    </row>
    <row r="57" ht="20" customHeight="1" s="54">
      <c r="B57" s="3" t="inlineStr">
        <is>
          <t>DESVIACIÓN DECLARADA RESPECTO DE LA NORMA</t>
        </is>
      </c>
      <c r="C57" s="4" t="n"/>
      <c r="D57" s="4" t="n"/>
      <c r="E57" s="4" t="n"/>
      <c r="F57" s="4" t="n"/>
      <c r="G57" s="4" t="n"/>
      <c r="H57" s="4" t="n"/>
    </row>
    <row r="58" ht="15" customHeight="1" s="54">
      <c r="B58" s="15" t="inlineStr">
        <is>
          <t>MAGERIT v3.0 define cinco dimensiones de seguridad: Disponibilidad, Integridad, Confidencialidad, Autenticidad y Trazabilidad.</t>
        </is>
      </c>
    </row>
    <row r="59" ht="15" customHeight="1" s="54">
      <c r="B59" s="15" t="inlineStr">
        <is>
          <t>Cuántico decide trabajar con tres — Disponibilidad, Integridad y Confidencialidad — por coherencia con el inventario FOR-SIG-12 vigente y con ISO/IEC 27001.</t>
        </is>
      </c>
    </row>
    <row r="60" ht="15" customHeight="1" s="54">
      <c r="B60" s="15" t="inlineStr">
        <is>
          <t>Consecuencia: cuatro amenazas que la norma dirige a Autenticidad o Trazabilidad se reasignan a Integridad, para que su riesgo no desaparezca del análisis:</t>
        </is>
      </c>
    </row>
    <row r="61" ht="15" customHeight="1" s="54">
      <c r="B61" s="16" t="inlineStr">
        <is>
          <t xml:space="preserve">      E.3 Errores de monitorización (log) · A.3 Manipulación de los registros de actividad · A.5 Suplantación de la identidad del usuario · A.13 Repudio.</t>
        </is>
      </c>
    </row>
    <row r="62" ht="15" customHeight="1" s="54">
      <c r="B62" s="15" t="inlineStr">
        <is>
          <t>Esta desviación debe quedar declarada en la metodología de gestión de riesgos aprobada por el Comité, para que el auditor la vea documentada y no como un olvido.</t>
        </is>
      </c>
    </row>
    <row r="63" ht="15" customHeight="1" s="54">
      <c r="B63" s="15" t="inlineStr">
        <is>
          <t>Segunda desviación: la escala de valor de los activos se reduce de 0–10 a 0–5 — 0 Irrelevante · 1 Muy Bajo · 2 Bajo · 3 Medio · 4 Alto · 5 Muy Alto. Los umbrales de nivel de impacto, nivel de riesgo y zonas se reescalaron en la misma proporción, de modo que la clasificación de los riesgos se conserva.</t>
        </is>
      </c>
    </row>
    <row r="64" ht="15" customHeight="1" s="54">
      <c r="B64" s="2" t="inlineStr">
        <is>
          <t>Fuentes: MAGERIT v3.0 Libro I «Método» cap. 3 y Libro II «Catálogo de Elementos» caps. 2, 4 y 5 (Ministerio de Hacienda y Administraciones Públicas de España, octubre de 2012).</t>
        </is>
      </c>
    </row>
  </sheetData>
  <pageMargins left="0.75" right="0.75" top="1" bottom="1" header="0.5" footer="0.5"/>
  <headerFooter>
    <oddHeader/>
    <oddFooter>&amp;L&amp;"Aptos"&amp;10 &amp;K000000_x000d_# DOCUMENTO PRIVADO</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B1:AW238"/>
  <sheetViews>
    <sheetView showGridLines="0" topLeftCell="U1" workbookViewId="0">
      <selection activeCell="U1" sqref="A1:XFD1048576"/>
    </sheetView>
  </sheetViews>
  <sheetFormatPr baseColWidth="10" defaultColWidth="8.7265625" defaultRowHeight="14.5"/>
  <cols>
    <col width="2.36328125" customWidth="1" style="54" min="1" max="1"/>
    <col width="34" customWidth="1" style="54" min="2" max="3"/>
    <col width="30" customWidth="1" style="54" min="4" max="4"/>
    <col width="18" customWidth="1" style="54" min="5" max="5"/>
    <col width="14" customWidth="1" style="54" min="6" max="6"/>
    <col width="22" customWidth="1" style="54" min="7" max="7"/>
    <col width="24" customWidth="1" style="54" min="8" max="8"/>
    <col width="40" customWidth="1" style="54" min="9" max="19"/>
    <col width="34" customWidth="1" style="54" min="21" max="21"/>
    <col width="44" customWidth="1" style="54" min="23" max="24"/>
    <col width="52" customWidth="1" style="54" min="25" max="25"/>
    <col width="40" customWidth="1" style="54" min="27" max="27"/>
    <col width="18" customWidth="1" style="54" min="28" max="28"/>
    <col width="34" customWidth="1" style="54" min="30" max="30"/>
    <col width="44" customWidth="1" style="54" min="32" max="33"/>
    <col width="52" customWidth="1" style="54" min="34" max="34"/>
    <col width="40" customWidth="1" style="54" min="36" max="36"/>
    <col width="18" customWidth="1" style="54" min="37" max="37"/>
    <col width="34" customWidth="1" style="54" min="39" max="39"/>
    <col width="16" customWidth="1" style="54" min="40" max="40"/>
    <col width="36" customWidth="1" style="54" min="41" max="41"/>
    <col width="22" customWidth="1" style="54" min="43" max="43"/>
    <col width="22" customWidth="1" style="54" min="44" max="44"/>
    <col width="26" customWidth="1" style="54" min="45" max="45"/>
    <col width="22" customWidth="1" style="54" min="47" max="47"/>
    <col width="22" customWidth="1" style="54" min="48" max="48"/>
    <col width="26" customWidth="1" style="54" min="49" max="49"/>
  </cols>
  <sheetData>
    <row r="1" ht="21.5" customHeight="1" s="54">
      <c r="B1" s="1" t="inlineStr">
        <is>
          <t>LISTAS DE APOYO</t>
        </is>
      </c>
    </row>
    <row r="2" ht="15" customHeight="1" s="54">
      <c r="B2" s="2" t="inlineStr">
        <is>
          <t>Alimenta los desplegables del archivo. No modificar sin autorización.</t>
        </is>
      </c>
    </row>
    <row r="4" ht="30" customHeight="1" s="54">
      <c r="B4" s="5" t="inlineStr">
        <is>
          <t>Procesos</t>
        </is>
      </c>
      <c r="C4" s="5" t="inlineStr">
        <is>
          <t>Cargos responsables</t>
        </is>
      </c>
      <c r="D4" s="5" t="inlineStr">
        <is>
          <t>Proveedores</t>
        </is>
      </c>
      <c r="E4" s="5" t="inlineStr">
        <is>
          <t>Entornos</t>
        </is>
      </c>
      <c r="F4" s="5" t="inlineStr">
        <is>
          <t>Sí / No</t>
        </is>
      </c>
      <c r="G4" s="5" t="inlineStr">
        <is>
          <t>Estado del tratamiento</t>
        </is>
      </c>
      <c r="H4" s="5" t="inlineStr">
        <is>
          <t>Tratamiento</t>
        </is>
      </c>
      <c r="I4" s="5" t="inlineStr">
        <is>
          <t>Tipos de activo MAGERIT</t>
        </is>
      </c>
      <c r="J4" s="5" t="inlineStr">
        <is>
          <t>Subtipos de [D]</t>
        </is>
      </c>
      <c r="K4" s="5" t="inlineStr">
        <is>
          <t>Subtipos de [K]</t>
        </is>
      </c>
      <c r="L4" s="5" t="inlineStr">
        <is>
          <t>Subtipos de [S]</t>
        </is>
      </c>
      <c r="M4" s="5" t="inlineStr">
        <is>
          <t>Subtipos de [SW]</t>
        </is>
      </c>
      <c r="N4" s="5" t="inlineStr">
        <is>
          <t>Subtipos de [HW]</t>
        </is>
      </c>
      <c r="O4" s="5" t="inlineStr">
        <is>
          <t>Subtipos de [COM]</t>
        </is>
      </c>
      <c r="P4" s="5" t="inlineStr">
        <is>
          <t>Subtipos de [Media]</t>
        </is>
      </c>
      <c r="Q4" s="5" t="inlineStr">
        <is>
          <t>Subtipos de [AUX]</t>
        </is>
      </c>
      <c r="R4" s="5" t="inlineStr">
        <is>
          <t>Subtipos de [L]</t>
        </is>
      </c>
      <c r="S4" s="5" t="inlineStr">
        <is>
          <t>Subtipos de [P]</t>
        </is>
      </c>
      <c r="U4" s="5" t="inlineStr">
        <is>
          <t>Procesos + Todos</t>
        </is>
      </c>
      <c r="W4" s="5" t="inlineStr">
        <is>
          <t>Tipos + Todos</t>
        </is>
      </c>
      <c r="X4" s="5" t="inlineStr">
        <is>
          <t>Subtipos + Todos</t>
        </is>
      </c>
      <c r="Y4" s="5" t="inlineStr">
        <is>
          <t>Activos</t>
        </is>
      </c>
      <c r="AA4" s="5" t="inlineStr">
        <is>
          <t>Subtipo</t>
        </is>
      </c>
      <c r="AB4" s="5" t="inlineStr">
        <is>
          <t>Amenazas aplicables</t>
        </is>
      </c>
      <c r="AD4" s="5" t="inlineStr">
        <is>
          <t>Procesos + Todos</t>
        </is>
      </c>
      <c r="AF4" s="5" t="inlineStr">
        <is>
          <t>Tipos + Todos</t>
        </is>
      </c>
      <c r="AG4" s="5" t="inlineStr">
        <is>
          <t>Subtipos + Todos</t>
        </is>
      </c>
      <c r="AH4" s="5" t="inlineStr">
        <is>
          <t>Activos</t>
        </is>
      </c>
      <c r="AJ4" s="5" t="inlineStr">
        <is>
          <t>Subtipo</t>
        </is>
      </c>
      <c r="AK4" s="5" t="inlineStr">
        <is>
          <t>Amenazas aplicables</t>
        </is>
      </c>
      <c r="AM4" s="68" t="inlineStr">
        <is>
          <t>Madurez (L0-L5)</t>
        </is>
      </c>
      <c r="AN4" s="68" t="inlineStr">
        <is>
          <t>Aplicabilidad</t>
        </is>
      </c>
      <c r="AO4" s="68" t="inlineStr">
        <is>
          <t>Capacidad operativa</t>
        </is>
      </c>
      <c r="AQ4" s="68" t="inlineStr">
        <is>
          <t>Tipo de tratamiento</t>
        </is>
      </c>
      <c r="AR4" s="68" t="inlineStr">
        <is>
          <t>Estado de la acción</t>
        </is>
      </c>
      <c r="AS4" s="68" t="inlineStr">
        <is>
          <t>Verificación de eficacia</t>
        </is>
      </c>
      <c r="AU4" s="68" t="inlineStr">
        <is>
          <t>Tipo de tratamiento</t>
        </is>
      </c>
      <c r="AV4" s="68" t="inlineStr">
        <is>
          <t>Estado de la acción</t>
        </is>
      </c>
      <c r="AW4" s="68" t="inlineStr">
        <is>
          <t>Verificación de eficacia</t>
        </is>
      </c>
    </row>
    <row r="5" ht="30" customHeight="1" s="54">
      <c r="B5" s="13" t="inlineStr">
        <is>
          <t>Gestión Comercial</t>
        </is>
      </c>
      <c r="C5" s="13" t="inlineStr">
        <is>
          <t>CEO</t>
        </is>
      </c>
      <c r="D5" s="13" t="inlineStr">
        <is>
          <t>Amazon Web Services</t>
        </is>
      </c>
      <c r="E5" s="13" t="inlineStr">
        <is>
          <t>Producción</t>
        </is>
      </c>
      <c r="F5" s="13" t="inlineStr">
        <is>
          <t>Sí</t>
        </is>
      </c>
      <c r="G5" s="13" t="inlineStr">
        <is>
          <t>No iniciado</t>
        </is>
      </c>
      <c r="H5" s="13" t="inlineStr">
        <is>
          <t>Mitigar</t>
        </is>
      </c>
      <c r="I5" s="13" t="inlineStr">
        <is>
          <t>[D] Datos / Información</t>
        </is>
      </c>
      <c r="J5" s="13" t="inlineStr">
        <is>
          <t>[files] Archivos</t>
        </is>
      </c>
      <c r="K5" s="13" t="inlineStr">
        <is>
          <t>[info] Protección de la información</t>
        </is>
      </c>
      <c r="L5" s="13" t="inlineStr">
        <is>
          <t>[anon] Anónimo (sin requerir identificación)</t>
        </is>
      </c>
      <c r="M5" s="13" t="inlineStr">
        <is>
          <t>[prp] Desarrollo propio (in house)</t>
        </is>
      </c>
      <c r="N5" s="13" t="inlineStr">
        <is>
          <t>[host] Grandes equipos</t>
        </is>
      </c>
      <c r="O5" s="13" t="inlineStr">
        <is>
          <t>[PSTN] Red telefónica</t>
        </is>
      </c>
      <c r="P5" s="13" t="inlineStr">
        <is>
          <t>[electronic] Electrónicos</t>
        </is>
      </c>
      <c r="Q5" s="13" t="inlineStr">
        <is>
          <t>[power] Fuentes de alimentación</t>
        </is>
      </c>
      <c r="R5" s="13" t="inlineStr">
        <is>
          <t>[site] Recinto</t>
        </is>
      </c>
      <c r="S5" s="13" t="inlineStr">
        <is>
          <t>[ue] Usuarios externos</t>
        </is>
      </c>
      <c r="U5" s="13" t="inlineStr">
        <is>
          <t>(Todos los procesos)</t>
        </is>
      </c>
      <c r="W5" s="13" t="inlineStr">
        <is>
          <t>(Todos los tipos)</t>
        </is>
      </c>
      <c r="X5" s="13" t="inlineStr">
        <is>
          <t>(Todos los subtipos)</t>
        </is>
      </c>
      <c r="Y5" s="13" t="inlineStr">
        <is>
          <t>COM-01 — Caracterización Gestión Comercial (CAR-COM-01)</t>
        </is>
      </c>
      <c r="AA5" s="13" t="inlineStr">
        <is>
          <t>[files] Archivos</t>
        </is>
      </c>
      <c r="AB5" s="59" t="n">
        <v>17</v>
      </c>
      <c r="AD5" s="13" t="inlineStr">
        <is>
          <t>(Todos los procesos)</t>
        </is>
      </c>
      <c r="AF5" s="13" t="inlineStr">
        <is>
          <t>(Todos los tipos)</t>
        </is>
      </c>
      <c r="AG5" s="13" t="inlineStr">
        <is>
          <t>(Todos los subtipos)</t>
        </is>
      </c>
      <c r="AH5" s="13" t="inlineStr">
        <is>
          <t>COM-01 — Caracterización Gestión Comercial (CAR-COM-01)</t>
        </is>
      </c>
      <c r="AJ5" s="13" t="inlineStr">
        <is>
          <t>[files] Archivos</t>
        </is>
      </c>
      <c r="AK5" s="59" t="n">
        <v>17</v>
      </c>
      <c r="AM5" s="69" t="inlineStr">
        <is>
          <t>L0 — Inexistente</t>
        </is>
      </c>
      <c r="AN5" s="69" t="inlineStr">
        <is>
          <t>Aplica</t>
        </is>
      </c>
      <c r="AO5" s="69" t="inlineStr">
        <is>
          <t>Gobierno</t>
        </is>
      </c>
      <c r="AQ5" s="69" t="inlineStr">
        <is>
          <t>Mitigar</t>
        </is>
      </c>
      <c r="AR5" s="69" t="inlineStr">
        <is>
          <t>No iniciada</t>
        </is>
      </c>
      <c r="AS5" s="69" t="inlineStr">
        <is>
          <t>Pendiente</t>
        </is>
      </c>
      <c r="AU5" s="69" t="inlineStr">
        <is>
          <t>Mitigar</t>
        </is>
      </c>
      <c r="AV5" s="69" t="inlineStr">
        <is>
          <t>No iniciada</t>
        </is>
      </c>
      <c r="AW5" s="69" t="inlineStr">
        <is>
          <t>Pendiente</t>
        </is>
      </c>
    </row>
    <row r="6" ht="30" customHeight="1" s="54">
      <c r="B6" s="13" t="inlineStr">
        <is>
          <t>Gestión Financiera</t>
        </is>
      </c>
      <c r="C6" s="13" t="inlineStr">
        <is>
          <t>Chief Commercial Officer</t>
        </is>
      </c>
      <c r="D6" s="13" t="inlineStr">
        <is>
          <t>Microsoft</t>
        </is>
      </c>
      <c r="E6" s="13" t="inlineStr">
        <is>
          <t>Staging</t>
        </is>
      </c>
      <c r="F6" s="13" t="inlineStr">
        <is>
          <t>No</t>
        </is>
      </c>
      <c r="G6" s="13" t="inlineStr">
        <is>
          <t>En ejecución</t>
        </is>
      </c>
      <c r="H6" s="13" t="inlineStr">
        <is>
          <t>Transferir</t>
        </is>
      </c>
      <c r="I6" s="13" t="inlineStr">
        <is>
          <t>[K] Claves criptográficas</t>
        </is>
      </c>
      <c r="J6" s="13" t="inlineStr">
        <is>
          <t>[backup] Copias de respaldo</t>
        </is>
      </c>
      <c r="K6" s="13" t="inlineStr">
        <is>
          <t>[encrypt] Claves de cifra</t>
        </is>
      </c>
      <c r="L6" s="13" t="inlineStr">
        <is>
          <t>[pub] Al público en general</t>
        </is>
      </c>
      <c r="M6" s="13" t="inlineStr">
        <is>
          <t>[sub] Desarrollo a medida (subcontratado)</t>
        </is>
      </c>
      <c r="N6" s="13" t="inlineStr">
        <is>
          <t>[mid] Equipos medios</t>
        </is>
      </c>
      <c r="O6" s="13" t="inlineStr">
        <is>
          <t>[ISDN] RDSI (red digital)</t>
        </is>
      </c>
      <c r="P6" s="13" t="inlineStr">
        <is>
          <t>[disk] Discos</t>
        </is>
      </c>
      <c r="Q6" s="13" t="inlineStr">
        <is>
          <t>[ups] Sistemas de alimentación ininterrumpida</t>
        </is>
      </c>
      <c r="R6" s="13" t="inlineStr">
        <is>
          <t>[building] Edificio</t>
        </is>
      </c>
      <c r="S6" s="13" t="inlineStr">
        <is>
          <t>[ui] Usuarios internos</t>
        </is>
      </c>
      <c r="U6" s="13" t="inlineStr">
        <is>
          <t>Gestión Comercial</t>
        </is>
      </c>
      <c r="W6" s="13" t="inlineStr">
        <is>
          <t>[D] Datos / Información</t>
        </is>
      </c>
      <c r="X6" s="13" t="inlineStr">
        <is>
          <t>[files] Archivos</t>
        </is>
      </c>
      <c r="Y6" s="13" t="inlineStr">
        <is>
          <t>COM-02 — Procedimiento Gestión de Mercadeo (PRO-COM-01)</t>
        </is>
      </c>
      <c r="AA6" s="13" t="inlineStr">
        <is>
          <t>[backup] Copias de respaldo</t>
        </is>
      </c>
      <c r="AB6" s="59" t="n">
        <v>17</v>
      </c>
      <c r="AD6" s="13" t="inlineStr">
        <is>
          <t>Gestión Comercial</t>
        </is>
      </c>
      <c r="AF6" s="13" t="inlineStr">
        <is>
          <t>[D] Datos / Información</t>
        </is>
      </c>
      <c r="AG6" s="13" t="inlineStr">
        <is>
          <t>[files] Archivos</t>
        </is>
      </c>
      <c r="AH6" s="13" t="inlineStr">
        <is>
          <t>COM-02 — Procedimiento Gestión de Mercadeo (PRO-COM-01)</t>
        </is>
      </c>
      <c r="AJ6" s="13" t="inlineStr">
        <is>
          <t>[backup] Copias de respaldo</t>
        </is>
      </c>
      <c r="AK6" s="59" t="n">
        <v>17</v>
      </c>
      <c r="AM6" s="69" t="inlineStr">
        <is>
          <t>L1 — Inicial / ad hoc</t>
        </is>
      </c>
      <c r="AN6" s="69" t="inlineStr">
        <is>
          <t>No aplica</t>
        </is>
      </c>
      <c r="AO6" s="69" t="inlineStr">
        <is>
          <t>Gestión de activos</t>
        </is>
      </c>
      <c r="AQ6" s="69" t="inlineStr">
        <is>
          <t>Transferir</t>
        </is>
      </c>
      <c r="AR6" s="69" t="inlineStr">
        <is>
          <t>En ejecución</t>
        </is>
      </c>
      <c r="AS6" s="69" t="inlineStr">
        <is>
          <t>Verificada — eficaz</t>
        </is>
      </c>
      <c r="AU6" s="69" t="inlineStr">
        <is>
          <t>Transferir</t>
        </is>
      </c>
      <c r="AV6" s="69" t="inlineStr">
        <is>
          <t>En ejecución</t>
        </is>
      </c>
      <c r="AW6" s="69" t="inlineStr">
        <is>
          <t>Verificada — eficaz</t>
        </is>
      </c>
    </row>
    <row r="7" ht="30" customHeight="1" s="54">
      <c r="B7" s="13" t="inlineStr">
        <is>
          <t>Gestión Legal y Compras</t>
        </is>
      </c>
      <c r="C7" s="13" t="inlineStr">
        <is>
          <t>Chief Operating Officer</t>
        </is>
      </c>
      <c r="D7" s="13" t="inlineStr">
        <is>
          <t>GitHub</t>
        </is>
      </c>
      <c r="E7" s="13" t="inlineStr">
        <is>
          <t>Desarrollo</t>
        </is>
      </c>
      <c r="F7" s="13" t="inlineStr">
        <is>
          <t>Por definir</t>
        </is>
      </c>
      <c r="G7" s="13" t="inlineStr">
        <is>
          <t>Implementado</t>
        </is>
      </c>
      <c r="H7" s="13" t="inlineStr">
        <is>
          <t>Evitar</t>
        </is>
      </c>
      <c r="I7" s="13" t="inlineStr">
        <is>
          <t>[S] Servicios</t>
        </is>
      </c>
      <c r="J7" s="13" t="inlineStr">
        <is>
          <t>[conf] Datos de configuración</t>
        </is>
      </c>
      <c r="K7" s="13" t="inlineStr">
        <is>
          <t>[shared_secret] Secreto compartido (clave simétrica)</t>
        </is>
      </c>
      <c r="L7" s="13" t="inlineStr">
        <is>
          <t>[ext] A usuarios externos bajo una relación contractual</t>
        </is>
      </c>
      <c r="M7" s="13" t="inlineStr">
        <is>
          <t>[std] Estándar (off the shelf)</t>
        </is>
      </c>
      <c r="N7" s="13" t="inlineStr">
        <is>
          <t>[pc] Informática personal</t>
        </is>
      </c>
      <c r="O7" s="13" t="inlineStr">
        <is>
          <t>[X25] Red de datos X25</t>
        </is>
      </c>
      <c r="P7" s="13" t="inlineStr">
        <is>
          <t>[vdisk] Discos virtuales</t>
        </is>
      </c>
      <c r="Q7" s="13" t="inlineStr">
        <is>
          <t>[gen] Generadores eléctricos</t>
        </is>
      </c>
      <c r="R7" s="13" t="inlineStr">
        <is>
          <t>[local] Cuarto</t>
        </is>
      </c>
      <c r="S7" s="13" t="inlineStr">
        <is>
          <t>[op] Operadores</t>
        </is>
      </c>
      <c r="U7" s="13" t="inlineStr">
        <is>
          <t>Gestión Financiera</t>
        </is>
      </c>
      <c r="W7" s="13" t="inlineStr">
        <is>
          <t>[K] Claves criptográficas</t>
        </is>
      </c>
      <c r="X7" s="13" t="inlineStr">
        <is>
          <t>[backup] Copias de respaldo</t>
        </is>
      </c>
      <c r="Y7" s="13" t="inlineStr">
        <is>
          <t>COM-03 — Procedimiento Gestión Comercial (PRO-COM-02)</t>
        </is>
      </c>
      <c r="AA7" s="13" t="inlineStr">
        <is>
          <t>[conf] Datos de configuración</t>
        </is>
      </c>
      <c r="AB7" s="59" t="n">
        <v>17</v>
      </c>
      <c r="AD7" s="13" t="inlineStr">
        <is>
          <t>Gestión Financiera</t>
        </is>
      </c>
      <c r="AF7" s="13" t="inlineStr">
        <is>
          <t>[K] Claves criptográficas</t>
        </is>
      </c>
      <c r="AG7" s="13" t="inlineStr">
        <is>
          <t>[backup] Copias de respaldo</t>
        </is>
      </c>
      <c r="AH7" s="13" t="inlineStr">
        <is>
          <t>COM-03 — Procedimiento Gestión Comercial (PRO-COM-02)</t>
        </is>
      </c>
      <c r="AJ7" s="13" t="inlineStr">
        <is>
          <t>[conf] Datos de configuración</t>
        </is>
      </c>
      <c r="AK7" s="59" t="n">
        <v>17</v>
      </c>
      <c r="AM7" s="69" t="inlineStr">
        <is>
          <t>L2 — Reproducible pero intuitivo</t>
        </is>
      </c>
      <c r="AO7" s="69" t="inlineStr">
        <is>
          <t>Protección de la información</t>
        </is>
      </c>
      <c r="AQ7" s="69" t="inlineStr">
        <is>
          <t>Evitar</t>
        </is>
      </c>
      <c r="AR7" s="69" t="inlineStr">
        <is>
          <t>En verificación</t>
        </is>
      </c>
      <c r="AS7" s="69" t="inlineStr">
        <is>
          <t>Verificada — no eficaz</t>
        </is>
      </c>
      <c r="AU7" s="69" t="inlineStr">
        <is>
          <t>Evitar</t>
        </is>
      </c>
      <c r="AV7" s="69" t="inlineStr">
        <is>
          <t>En verificación</t>
        </is>
      </c>
      <c r="AW7" s="69" t="inlineStr">
        <is>
          <t>Verificada — no eficaz</t>
        </is>
      </c>
    </row>
    <row r="8" ht="30" customHeight="1" s="54">
      <c r="B8" s="13" t="inlineStr">
        <is>
          <t>Gestión Tecnológica</t>
        </is>
      </c>
      <c r="C8" s="13" t="inlineStr">
        <is>
          <t>Chief Legal Officer</t>
        </is>
      </c>
      <c r="D8" s="13" t="inlineStr">
        <is>
          <t>Zoho</t>
        </is>
      </c>
      <c r="E8" s="13" t="inlineStr">
        <is>
          <t>No aplica</t>
        </is>
      </c>
      <c r="G8" s="13" t="inlineStr">
        <is>
          <t>Cerrado</t>
        </is>
      </c>
      <c r="H8" s="13" t="inlineStr">
        <is>
          <t>Aceptar y monitorear</t>
        </is>
      </c>
      <c r="I8" s="13" t="inlineStr">
        <is>
          <t>[SW] Aplicaciones (software)</t>
        </is>
      </c>
      <c r="J8" s="13" t="inlineStr">
        <is>
          <t>[int] Datos de gestión interna</t>
        </is>
      </c>
      <c r="K8" s="13" t="inlineStr">
        <is>
          <t>[public_encryption] Clave pública de cifra</t>
        </is>
      </c>
      <c r="L8" s="13" t="inlineStr">
        <is>
          <t>[int] Interno (a usuarios de la organización)</t>
        </is>
      </c>
      <c r="M8" s="13" t="inlineStr">
        <is>
          <t>[browser] Navegador web</t>
        </is>
      </c>
      <c r="N8" s="13" t="inlineStr">
        <is>
          <t>[mobile] Informática móvil</t>
        </is>
      </c>
      <c r="O8" s="13" t="inlineStr">
        <is>
          <t>[ADSL] ADSL</t>
        </is>
      </c>
      <c r="P8" s="13" t="inlineStr">
        <is>
          <t>[san] Almacenamiento en red</t>
        </is>
      </c>
      <c r="Q8" s="13" t="inlineStr">
        <is>
          <t>[ac] Equipos de climatización</t>
        </is>
      </c>
      <c r="R8" s="13" t="inlineStr">
        <is>
          <t>[mobile] Plataformas móviles</t>
        </is>
      </c>
      <c r="S8" s="13" t="inlineStr">
        <is>
          <t>[adm] Administradores de sistemas</t>
        </is>
      </c>
      <c r="U8" s="13" t="inlineStr">
        <is>
          <t>Gestión Legal y Compras</t>
        </is>
      </c>
      <c r="W8" s="13" t="inlineStr">
        <is>
          <t>[S] Servicios</t>
        </is>
      </c>
      <c r="X8" s="13" t="inlineStr">
        <is>
          <t>[conf] Datos de configuración</t>
        </is>
      </c>
      <c r="Y8" s="13" t="inlineStr">
        <is>
          <t>COM-04 — Manual de Marca Cuantico (MAN-COM-01)</t>
        </is>
      </c>
      <c r="AA8" s="13" t="inlineStr">
        <is>
          <t>[int] Datos de gestión interna</t>
        </is>
      </c>
      <c r="AB8" s="59" t="n">
        <v>17</v>
      </c>
      <c r="AD8" s="13" t="inlineStr">
        <is>
          <t>Gestión Legal y Compras</t>
        </is>
      </c>
      <c r="AF8" s="13" t="inlineStr">
        <is>
          <t>[S] Servicios</t>
        </is>
      </c>
      <c r="AG8" s="13" t="inlineStr">
        <is>
          <t>[conf] Datos de configuración</t>
        </is>
      </c>
      <c r="AH8" s="13" t="inlineStr">
        <is>
          <t>COM-04 — Manual de Marca Cuantico (MAN-COM-01)</t>
        </is>
      </c>
      <c r="AJ8" s="13" t="inlineStr">
        <is>
          <t>[int] Datos de gestión interna</t>
        </is>
      </c>
      <c r="AK8" s="59" t="n">
        <v>17</v>
      </c>
      <c r="AM8" s="69" t="inlineStr">
        <is>
          <t>L3 — Proceso definido</t>
        </is>
      </c>
      <c r="AO8" s="69" t="inlineStr">
        <is>
          <t>Gestión de identidad y acceso</t>
        </is>
      </c>
      <c r="AQ8" s="69" t="inlineStr">
        <is>
          <t>Aceptar</t>
        </is>
      </c>
      <c r="AR8" s="69" t="inlineStr">
        <is>
          <t>Cerrada</t>
        </is>
      </c>
      <c r="AS8" s="69" t="inlineStr">
        <is>
          <t>No aplica</t>
        </is>
      </c>
      <c r="AU8" s="69" t="inlineStr">
        <is>
          <t>Aceptar</t>
        </is>
      </c>
      <c r="AV8" s="69" t="inlineStr">
        <is>
          <t>Cerrada</t>
        </is>
      </c>
      <c r="AW8" s="69" t="inlineStr">
        <is>
          <t>No aplica</t>
        </is>
      </c>
    </row>
    <row r="9" ht="30" customHeight="1" s="54">
      <c r="B9" s="13" t="inlineStr">
        <is>
          <t>Talento Humano</t>
        </is>
      </c>
      <c r="C9" s="13" t="inlineStr">
        <is>
          <t>Operations &amp; Services Manager</t>
        </is>
      </c>
      <c r="D9" s="13" t="inlineStr">
        <is>
          <t>Siigo</t>
        </is>
      </c>
      <c r="I9" s="13" t="inlineStr">
        <is>
          <t>[HW] Equipamiento informático (hardware)</t>
        </is>
      </c>
      <c r="J9" s="13" t="inlineStr">
        <is>
          <t>[password] Credenciales (contraseñas)</t>
        </is>
      </c>
      <c r="K9" s="13" t="inlineStr">
        <is>
          <t>[public_decryption] Clave privada de descifrado</t>
        </is>
      </c>
      <c r="L9" s="13" t="inlineStr">
        <is>
          <t>[www] World Wide Web</t>
        </is>
      </c>
      <c r="M9" s="13" t="inlineStr">
        <is>
          <t>[www] Servidor de presentación</t>
        </is>
      </c>
      <c r="N9" s="13" t="inlineStr">
        <is>
          <t>[pda] Agendas electrónicas</t>
        </is>
      </c>
      <c r="O9" s="13" t="inlineStr">
        <is>
          <t>[pp] Punto a punto</t>
        </is>
      </c>
      <c r="P9" s="13" t="inlineStr">
        <is>
          <t>[disquette] Disquetes</t>
        </is>
      </c>
      <c r="Q9" s="13" t="inlineStr">
        <is>
          <t>[cabling] Cableado</t>
        </is>
      </c>
      <c r="R9" s="13" t="inlineStr">
        <is>
          <t>[car] Vehículo terrestre</t>
        </is>
      </c>
      <c r="S9" s="13" t="inlineStr">
        <is>
          <t>[com] Administradores de comunicaciones</t>
        </is>
      </c>
      <c r="U9" s="13" t="inlineStr">
        <is>
          <t>Gestión Tecnológica</t>
        </is>
      </c>
      <c r="W9" s="13" t="inlineStr">
        <is>
          <t>[SW] Aplicaciones (software)</t>
        </is>
      </c>
      <c r="X9" s="13" t="inlineStr">
        <is>
          <t>[int] Datos de gestión interna</t>
        </is>
      </c>
      <c r="Y9" s="13" t="inlineStr">
        <is>
          <t>COM-05 — Forecast (FOR-COM-01)</t>
        </is>
      </c>
      <c r="AA9" s="13" t="inlineStr">
        <is>
          <t>[password] Credenciales (contraseñas)</t>
        </is>
      </c>
      <c r="AB9" s="59" t="n">
        <v>17</v>
      </c>
      <c r="AD9" s="13" t="inlineStr">
        <is>
          <t>Gestión Tecnológica</t>
        </is>
      </c>
      <c r="AF9" s="13" t="inlineStr">
        <is>
          <t>[SW] Aplicaciones (software)</t>
        </is>
      </c>
      <c r="AG9" s="13" t="inlineStr">
        <is>
          <t>[int] Datos de gestión interna</t>
        </is>
      </c>
      <c r="AH9" s="13" t="inlineStr">
        <is>
          <t>COM-05 — Forecast (FOR-COM-01)</t>
        </is>
      </c>
      <c r="AJ9" s="13" t="inlineStr">
        <is>
          <t>[password] Credenciales (contraseñas)</t>
        </is>
      </c>
      <c r="AK9" s="59" t="n">
        <v>17</v>
      </c>
      <c r="AM9" s="69" t="inlineStr">
        <is>
          <t>L4 — Gestionado y medible</t>
        </is>
      </c>
      <c r="AO9" s="69" t="inlineStr">
        <is>
          <t>Seguridad de sistemas y redes</t>
        </is>
      </c>
      <c r="AR9" s="69" t="inlineStr">
        <is>
          <t>Cancelada</t>
        </is>
      </c>
      <c r="AV9" s="69" t="inlineStr">
        <is>
          <t>Cancelada</t>
        </is>
      </c>
    </row>
    <row r="10" ht="30" customHeight="1" s="54">
      <c r="C10" s="13" t="inlineStr">
        <is>
          <t>Finance and Administrative Manager</t>
        </is>
      </c>
      <c r="D10" s="13" t="inlineStr">
        <is>
          <t>Google</t>
        </is>
      </c>
      <c r="I10" s="13" t="inlineStr">
        <is>
          <t>[COM] Redes de comunicaciones</t>
        </is>
      </c>
      <c r="J10" s="13" t="inlineStr">
        <is>
          <t>[auth] Datos de validación de credenciales</t>
        </is>
      </c>
      <c r="K10" s="13" t="inlineStr">
        <is>
          <t>[sign] Claves de firma</t>
        </is>
      </c>
      <c r="L10" s="13" t="inlineStr">
        <is>
          <t>[telnet] Acceso remoto a cuenta local</t>
        </is>
      </c>
      <c r="M10" s="13" t="inlineStr">
        <is>
          <t>[app] Servidor de aplicaciones</t>
        </is>
      </c>
      <c r="N10" s="13" t="inlineStr">
        <is>
          <t>[vhost] Equipo virtual</t>
        </is>
      </c>
      <c r="O10" s="13" t="inlineStr">
        <is>
          <t>[radio] Comunicaciones por radio</t>
        </is>
      </c>
      <c r="P10" s="13" t="inlineStr">
        <is>
          <t>[cd] CD-ROM</t>
        </is>
      </c>
      <c r="Q10" s="13" t="inlineStr">
        <is>
          <t>[wire] Cable eléctrico</t>
        </is>
      </c>
      <c r="R10" s="13" t="inlineStr">
        <is>
          <t>[plane] Vehículo aéreo</t>
        </is>
      </c>
      <c r="S10" s="13" t="inlineStr">
        <is>
          <t>[dba] Administradores de bases de datos</t>
        </is>
      </c>
      <c r="U10" s="13" t="inlineStr">
        <is>
          <t>Talento Humano</t>
        </is>
      </c>
      <c r="W10" s="13" t="inlineStr">
        <is>
          <t>[HW] Equipamiento informático (hardware)</t>
        </is>
      </c>
      <c r="X10" s="13" t="inlineStr">
        <is>
          <t>[password] Credenciales (contraseñas)</t>
        </is>
      </c>
      <c r="Y10" s="13" t="inlineStr">
        <is>
          <t>COM-06 — Plan de marketing</t>
        </is>
      </c>
      <c r="AA10" s="13" t="inlineStr">
        <is>
          <t>[auth] Datos de validación de credenciales</t>
        </is>
      </c>
      <c r="AB10" s="59" t="n">
        <v>17</v>
      </c>
      <c r="AD10" s="13" t="inlineStr">
        <is>
          <t>Talento Humano</t>
        </is>
      </c>
      <c r="AF10" s="13" t="inlineStr">
        <is>
          <t>[HW] Equipamiento informático (hardware)</t>
        </is>
      </c>
      <c r="AG10" s="13" t="inlineStr">
        <is>
          <t>[password] Credenciales (contraseñas)</t>
        </is>
      </c>
      <c r="AH10" s="13" t="inlineStr">
        <is>
          <t>COM-06 — Plan de marketing</t>
        </is>
      </c>
      <c r="AJ10" s="13" t="inlineStr">
        <is>
          <t>[auth] Datos de validación de credenciales</t>
        </is>
      </c>
      <c r="AK10" s="59" t="n">
        <v>17</v>
      </c>
      <c r="AM10" s="69" t="inlineStr">
        <is>
          <t>L5 — Optimizado</t>
        </is>
      </c>
      <c r="AO10" s="69" t="inlineStr">
        <is>
          <t>Seguridad de aplicaciones</t>
        </is>
      </c>
    </row>
    <row r="11" ht="30" customHeight="1" s="54">
      <c r="C11" s="13" t="inlineStr">
        <is>
          <t>Líder del SIG</t>
        </is>
      </c>
      <c r="D11" s="13" t="inlineStr">
        <is>
          <t>Goodady</t>
        </is>
      </c>
      <c r="I11" s="13" t="inlineStr">
        <is>
          <t>[Media] Soportes de información</t>
        </is>
      </c>
      <c r="J11" s="13" t="inlineStr">
        <is>
          <t>[acl] Datos de control de acceso</t>
        </is>
      </c>
      <c r="K11" s="13" t="inlineStr">
        <is>
          <t>[public_signature] Clave privada de firma</t>
        </is>
      </c>
      <c r="L11" s="13" t="inlineStr">
        <is>
          <t>[email] Correo electrónico</t>
        </is>
      </c>
      <c r="M11" s="13" t="inlineStr">
        <is>
          <t>[email_client] Cliente de correo electrónico</t>
        </is>
      </c>
      <c r="N11" s="13" t="inlineStr">
        <is>
          <t>[backup] Equipamiento de respaldo</t>
        </is>
      </c>
      <c r="O11" s="13" t="inlineStr">
        <is>
          <t>[wifi] Red inalámbrica</t>
        </is>
      </c>
      <c r="P11" s="13" t="inlineStr">
        <is>
          <t>[usb] Memorias USB</t>
        </is>
      </c>
      <c r="Q11" s="13" t="inlineStr">
        <is>
          <t>[fiber] Fibra óptica</t>
        </is>
      </c>
      <c r="R11" s="13" t="inlineStr">
        <is>
          <t>[ship] Vehículo marítimo</t>
        </is>
      </c>
      <c r="S11" s="13" t="inlineStr">
        <is>
          <t>[sec] Administradores de seguridad</t>
        </is>
      </c>
      <c r="U11" s="13" t="inlineStr">
        <is>
          <t>Gestión Estratégica</t>
        </is>
      </c>
      <c r="W11" s="13" t="inlineStr">
        <is>
          <t>[COM] Redes de comunicaciones</t>
        </is>
      </c>
      <c r="X11" s="13" t="inlineStr">
        <is>
          <t>[auth] Datos de validación de credenciales</t>
        </is>
      </c>
      <c r="Y11" s="13" t="inlineStr">
        <is>
          <t>COM-07 — Marketing</t>
        </is>
      </c>
      <c r="AA11" s="13" t="inlineStr">
        <is>
          <t>[acl] Datos de control de acceso</t>
        </is>
      </c>
      <c r="AB11" s="59" t="n">
        <v>17</v>
      </c>
      <c r="AF11" s="13" t="inlineStr">
        <is>
          <t>[COM] Redes de comunicaciones</t>
        </is>
      </c>
      <c r="AG11" s="13" t="inlineStr">
        <is>
          <t>[auth] Datos de validación de credenciales</t>
        </is>
      </c>
      <c r="AH11" s="13" t="inlineStr">
        <is>
          <t>COM-07 — Marketing</t>
        </is>
      </c>
      <c r="AJ11" s="13" t="inlineStr">
        <is>
          <t>[acl] Datos de control de acceso</t>
        </is>
      </c>
      <c r="AK11" s="59" t="n">
        <v>17</v>
      </c>
      <c r="AO11" s="69" t="inlineStr">
        <is>
          <t>Configuración segura</t>
        </is>
      </c>
    </row>
    <row r="12" ht="30" customHeight="1" s="54">
      <c r="C12" s="13" t="inlineStr">
        <is>
          <t>Gestión Tecnológica</t>
        </is>
      </c>
      <c r="D12" s="13" t="n"/>
      <c r="I12" s="13" t="inlineStr">
        <is>
          <t>[AUX] Equipamiento auxiliar</t>
        </is>
      </c>
      <c r="J12" s="13" t="inlineStr">
        <is>
          <t>[log] Registro de actividad (log)</t>
        </is>
      </c>
      <c r="K12" s="13" t="inlineStr">
        <is>
          <t>[public_verification] Clave pública de verificación de firma</t>
        </is>
      </c>
      <c r="L12" s="13" t="inlineStr">
        <is>
          <t>[file] Almacenamiento de ficheros</t>
        </is>
      </c>
      <c r="M12" s="13" t="inlineStr">
        <is>
          <t>[email_server] Servidor de correo electrónico</t>
        </is>
      </c>
      <c r="N12" s="13" t="inlineStr">
        <is>
          <t>[peripheral] Periféricos</t>
        </is>
      </c>
      <c r="O12" s="13" t="inlineStr">
        <is>
          <t>[mobile] Telefonía móvil</t>
        </is>
      </c>
      <c r="P12" s="13" t="inlineStr">
        <is>
          <t>[dvd] DVD</t>
        </is>
      </c>
      <c r="Q12" s="13" t="inlineStr">
        <is>
          <t>[robot] Robots (cintas / discos)</t>
        </is>
      </c>
      <c r="R12" s="13" t="inlineStr">
        <is>
          <t>[shelter] Contenedor / caseta</t>
        </is>
      </c>
      <c r="S12" s="13" t="inlineStr">
        <is>
          <t>[des] Desarrolladores / programadores</t>
        </is>
      </c>
      <c r="U12" s="52" t="inlineStr">
        <is>
          <t>Gestió de Proyectos</t>
        </is>
      </c>
      <c r="W12" s="13" t="inlineStr">
        <is>
          <t>[Media] Soportes de información</t>
        </is>
      </c>
      <c r="X12" s="13" t="inlineStr">
        <is>
          <t>[acl] Datos de control de acceso</t>
        </is>
      </c>
      <c r="Y12" s="13" t="inlineStr">
        <is>
          <t>COM-08 — Informes de seguimiento y métricas de mercadeo</t>
        </is>
      </c>
      <c r="AA12" s="13" t="inlineStr">
        <is>
          <t>[log] Registro de actividad (log)</t>
        </is>
      </c>
      <c r="AB12" s="59" t="n">
        <v>17</v>
      </c>
      <c r="AF12" s="13" t="inlineStr">
        <is>
          <t>[Media] Soportes de información</t>
        </is>
      </c>
      <c r="AG12" s="13" t="inlineStr">
        <is>
          <t>[acl] Datos de control de acceso</t>
        </is>
      </c>
      <c r="AH12" s="13" t="inlineStr">
        <is>
          <t>COM-08 — Informes de seguimiento y métricas de mercadeo</t>
        </is>
      </c>
      <c r="AJ12" s="13" t="inlineStr">
        <is>
          <t>[log] Registro de actividad (log)</t>
        </is>
      </c>
      <c r="AK12" s="59" t="n">
        <v>17</v>
      </c>
      <c r="AO12" s="69" t="inlineStr">
        <is>
          <t>Gestión de amenazas y vulnerabilidades</t>
        </is>
      </c>
    </row>
    <row r="13" ht="15" customHeight="1" s="54">
      <c r="C13" s="13" t="inlineStr">
        <is>
          <t>Talento Humano</t>
        </is>
      </c>
      <c r="D13" s="13" t="n"/>
      <c r="I13" s="13" t="inlineStr">
        <is>
          <t>[L] Instalaciones</t>
        </is>
      </c>
      <c r="J13" s="13" t="inlineStr">
        <is>
          <t>[source] Código fuente</t>
        </is>
      </c>
      <c r="K13" s="13" t="inlineStr">
        <is>
          <t>[com] Protección de las comunicaciones</t>
        </is>
      </c>
      <c r="L13" s="13" t="inlineStr">
        <is>
          <t>[ftp] Transferencia de ficheros</t>
        </is>
      </c>
      <c r="M13" s="13" t="inlineStr">
        <is>
          <t>[file] Servidor de ficheros</t>
        </is>
      </c>
      <c r="N13" s="13" t="inlineStr">
        <is>
          <t>[print] Medios de impresión</t>
        </is>
      </c>
      <c r="O13" s="13" t="inlineStr">
        <is>
          <t>[sat] Comunicaciones por satélite</t>
        </is>
      </c>
      <c r="P13" s="13" t="inlineStr">
        <is>
          <t>[tape] Cintas magnéticas</t>
        </is>
      </c>
      <c r="Q13" s="13" t="inlineStr">
        <is>
          <t>[supply] Suministros esenciales</t>
        </is>
      </c>
      <c r="R13" s="13" t="inlineStr">
        <is>
          <t>[channel] Canalización</t>
        </is>
      </c>
      <c r="S13" s="13" t="inlineStr">
        <is>
          <t>[sub] Subcontratistas</t>
        </is>
      </c>
      <c r="U13" s="52" t="inlineStr">
        <is>
          <t>Sistema Integrado de Gestión (SIG)</t>
        </is>
      </c>
      <c r="W13" s="13" t="inlineStr">
        <is>
          <t>[AUX] Equipamiento auxiliar</t>
        </is>
      </c>
      <c r="X13" s="13" t="inlineStr">
        <is>
          <t>[log] Registro de actividad (log)</t>
        </is>
      </c>
      <c r="Y13" s="13" t="inlineStr">
        <is>
          <t>COM-09 — Matriz Propiedad del Cliente (MAT-PRO-01)</t>
        </is>
      </c>
      <c r="AA13" s="13" t="inlineStr">
        <is>
          <t>[source] Código fuente</t>
        </is>
      </c>
      <c r="AB13" s="59" t="n">
        <v>17</v>
      </c>
      <c r="AF13" s="13" t="inlineStr">
        <is>
          <t>[AUX] Equipamiento auxiliar</t>
        </is>
      </c>
      <c r="AG13" s="13" t="inlineStr">
        <is>
          <t>[log] Registro de actividad (log)</t>
        </is>
      </c>
      <c r="AH13" s="13" t="inlineStr">
        <is>
          <t>COM-09 — Matriz Propiedad del Cliente (MAT-PRO-01)</t>
        </is>
      </c>
      <c r="AJ13" s="13" t="inlineStr">
        <is>
          <t>[source] Código fuente</t>
        </is>
      </c>
      <c r="AK13" s="59" t="n">
        <v>17</v>
      </c>
      <c r="AO13" s="69" t="inlineStr">
        <is>
          <t>Gestión de eventos de seguridad</t>
        </is>
      </c>
    </row>
    <row r="14" ht="30" customHeight="1" s="54">
      <c r="C14" s="13" t="inlineStr">
        <is>
          <t>Por asignar</t>
        </is>
      </c>
      <c r="D14" s="13" t="n"/>
      <c r="I14" s="13" t="inlineStr">
        <is>
          <t>[P] Personal</t>
        </is>
      </c>
      <c r="J14" s="13" t="inlineStr">
        <is>
          <t>[exe] Código ejecutable</t>
        </is>
      </c>
      <c r="K14" s="13" t="inlineStr">
        <is>
          <t>[channel] Claves de cifrado del canal</t>
        </is>
      </c>
      <c r="L14" s="13" t="inlineStr">
        <is>
          <t>[edi] Intercambio electrónico de datos</t>
        </is>
      </c>
      <c r="M14" s="13" t="inlineStr">
        <is>
          <t>[dbms] Sistema de gestión de bases de datos</t>
        </is>
      </c>
      <c r="N14" s="13" t="inlineStr">
        <is>
          <t>[scan] Escáneres</t>
        </is>
      </c>
      <c r="O14" s="13" t="inlineStr">
        <is>
          <t>[LAN] Red local</t>
        </is>
      </c>
      <c r="P14" s="13" t="inlineStr">
        <is>
          <t>[mc] Tarjetas de memoria</t>
        </is>
      </c>
      <c r="Q14" s="13" t="inlineStr">
        <is>
          <t>[destroy] Equipos de destrucción de soportes</t>
        </is>
      </c>
      <c r="R14" s="13" t="inlineStr">
        <is>
          <t>[backup] Instalaciones de respaldo</t>
        </is>
      </c>
      <c r="S14" s="13" t="inlineStr">
        <is>
          <t>[prov] Proveedores</t>
        </is>
      </c>
      <c r="U14" s="52" t="inlineStr">
        <is>
          <t>Soporte y Servicio al Cliente</t>
        </is>
      </c>
      <c r="W14" s="13" t="inlineStr">
        <is>
          <t>[L] Instalaciones</t>
        </is>
      </c>
      <c r="X14" s="13" t="inlineStr">
        <is>
          <t>[source] Código fuente</t>
        </is>
      </c>
      <c r="Y14" s="13" t="inlineStr">
        <is>
          <t>COM-10 — Gerente Comercial</t>
        </is>
      </c>
      <c r="AA14" s="13" t="inlineStr">
        <is>
          <t>[exe] Código ejecutable</t>
        </is>
      </c>
      <c r="AB14" s="59" t="n">
        <v>17</v>
      </c>
      <c r="AF14" s="13" t="inlineStr">
        <is>
          <t>[L] Instalaciones</t>
        </is>
      </c>
      <c r="AG14" s="13" t="inlineStr">
        <is>
          <t>[source] Código fuente</t>
        </is>
      </c>
      <c r="AH14" s="13" t="inlineStr">
        <is>
          <t>COM-10 — Gerente Comercial</t>
        </is>
      </c>
      <c r="AJ14" s="13" t="inlineStr">
        <is>
          <t>[exe] Código ejecutable</t>
        </is>
      </c>
      <c r="AK14" s="59" t="n">
        <v>17</v>
      </c>
      <c r="AO14" s="69" t="inlineStr">
        <is>
          <t>Continuidad</t>
        </is>
      </c>
    </row>
    <row r="15" ht="15" customHeight="1" s="54">
      <c r="D15" s="13" t="n"/>
      <c r="J15" s="13" t="inlineStr">
        <is>
          <t>[test] Datos de prueba</t>
        </is>
      </c>
      <c r="K15" s="13" t="inlineStr">
        <is>
          <t>[authentication] Claves de autenticación</t>
        </is>
      </c>
      <c r="L15" s="13" t="inlineStr">
        <is>
          <t>[dir] Servicio de directorio</t>
        </is>
      </c>
      <c r="M15" s="13" t="inlineStr">
        <is>
          <t>[tm] Monitor transaccional</t>
        </is>
      </c>
      <c r="N15" s="13" t="inlineStr">
        <is>
          <t>[crypto] Dispositivos criptográficos</t>
        </is>
      </c>
      <c r="O15" s="13" t="inlineStr">
        <is>
          <t>[MAN] Red metropolitana</t>
        </is>
      </c>
      <c r="P15" s="13" t="inlineStr">
        <is>
          <t>[ic] Tarjetas inteligentes</t>
        </is>
      </c>
      <c r="Q15" s="13" t="inlineStr">
        <is>
          <t>[furniture] Mobiliario</t>
        </is>
      </c>
      <c r="W15" s="13" t="inlineStr">
        <is>
          <t>[P] Personal</t>
        </is>
      </c>
      <c r="X15" s="13" t="inlineStr">
        <is>
          <t>[exe] Código ejecutable</t>
        </is>
      </c>
      <c r="Y15" s="13" t="inlineStr">
        <is>
          <t>COM-11 — Director de Estrategia</t>
        </is>
      </c>
      <c r="AA15" s="13" t="inlineStr">
        <is>
          <t>[test] Datos de prueba</t>
        </is>
      </c>
      <c r="AB15" s="59" t="n">
        <v>17</v>
      </c>
      <c r="AF15" s="13" t="inlineStr">
        <is>
          <t>[P] Personal</t>
        </is>
      </c>
      <c r="AG15" s="13" t="inlineStr">
        <is>
          <t>[exe] Código ejecutable</t>
        </is>
      </c>
      <c r="AH15" s="13" t="inlineStr">
        <is>
          <t>COM-11 — Director de Estrategia</t>
        </is>
      </c>
      <c r="AJ15" s="13" t="inlineStr">
        <is>
          <t>[test] Datos de prueba</t>
        </is>
      </c>
      <c r="AK15" s="59" t="n">
        <v>17</v>
      </c>
      <c r="AO15" s="69" t="inlineStr">
        <is>
          <t>Seguridad de proveedores</t>
        </is>
      </c>
    </row>
    <row r="16" ht="30" customHeight="1" s="54">
      <c r="D16" s="13" t="n"/>
      <c r="K16" s="13" t="inlineStr">
        <is>
          <t>[verification] Claves de verificación de autenticación</t>
        </is>
      </c>
      <c r="L16" s="13" t="inlineStr">
        <is>
          <t>[idm] Gestión de identidades</t>
        </is>
      </c>
      <c r="M16" s="13" t="inlineStr">
        <is>
          <t>[office] Ofimática</t>
        </is>
      </c>
      <c r="N16" s="13" t="inlineStr">
        <is>
          <t>[bp] Dispositivo de frontera (bastion host)</t>
        </is>
      </c>
      <c r="O16" s="13" t="inlineStr">
        <is>
          <t>[Internet] Internet</t>
        </is>
      </c>
      <c r="P16" s="13" t="inlineStr">
        <is>
          <t>[non_electronic] No electrónicos</t>
        </is>
      </c>
      <c r="Q16" s="13" t="inlineStr">
        <is>
          <t>[safe] Cajas fuertes</t>
        </is>
      </c>
      <c r="X16" s="13" t="inlineStr">
        <is>
          <t>[test] Datos de prueba</t>
        </is>
      </c>
      <c r="Y16" s="13" t="inlineStr">
        <is>
          <t>COM-12 — Director de Ventas Nacional</t>
        </is>
      </c>
      <c r="AA16" s="13" t="inlineStr">
        <is>
          <t>[info] Protección de la información</t>
        </is>
      </c>
      <c r="AB16" s="59" t="n">
        <v>12</v>
      </c>
      <c r="AG16" s="13" t="inlineStr">
        <is>
          <t>[test] Datos de prueba</t>
        </is>
      </c>
      <c r="AH16" s="13" t="inlineStr">
        <is>
          <t>COM-12 — Director de Ventas Nacional</t>
        </is>
      </c>
      <c r="AJ16" s="13" t="inlineStr">
        <is>
          <t>[info] Protección de la información</t>
        </is>
      </c>
      <c r="AK16" s="59" t="n">
        <v>12</v>
      </c>
      <c r="AO16" s="69" t="inlineStr">
        <is>
          <t>Seguridad de recursos humanos</t>
        </is>
      </c>
    </row>
    <row r="17" ht="15" customHeight="1" s="54">
      <c r="D17" s="13" t="n"/>
      <c r="K17" s="13" t="inlineStr">
        <is>
          <t>[disk] Cifrado de soportes de información</t>
        </is>
      </c>
      <c r="L17" s="13" t="inlineStr">
        <is>
          <t>[ipm] Gestión de privilegios</t>
        </is>
      </c>
      <c r="M17" s="13" t="inlineStr">
        <is>
          <t>[av] Antivirus</t>
        </is>
      </c>
      <c r="N17" s="13" t="inlineStr">
        <is>
          <t>[network] Soporte de la red</t>
        </is>
      </c>
      <c r="P17" s="13" t="inlineStr">
        <is>
          <t>[printed] Material impreso</t>
        </is>
      </c>
      <c r="X17" s="13" t="inlineStr">
        <is>
          <t>[info] Protección de la información</t>
        </is>
      </c>
      <c r="Y17" s="13" t="inlineStr">
        <is>
          <t>COM-13 — Director Comercial de Gobierno Digital</t>
        </is>
      </c>
      <c r="AA17" s="13" t="inlineStr">
        <is>
          <t>[encrypt] Claves de cifra</t>
        </is>
      </c>
      <c r="AB17" s="59" t="n">
        <v>12</v>
      </c>
      <c r="AG17" s="13" t="inlineStr">
        <is>
          <t>[info] Protección de la información</t>
        </is>
      </c>
      <c r="AH17" s="13" t="inlineStr">
        <is>
          <t>COM-13 — Director Comercial de Gobierno Digital</t>
        </is>
      </c>
      <c r="AJ17" s="13" t="inlineStr">
        <is>
          <t>[encrypt] Claves de cifra</t>
        </is>
      </c>
      <c r="AK17" s="59" t="n">
        <v>12</v>
      </c>
      <c r="AO17" s="69" t="inlineStr">
        <is>
          <t>Seguridad física</t>
        </is>
      </c>
    </row>
    <row r="18" ht="30" customHeight="1" s="54">
      <c r="D18" s="13" t="n"/>
      <c r="K18" s="13" t="inlineStr">
        <is>
          <t>[x509] Certificados de clave pública</t>
        </is>
      </c>
      <c r="L18" s="13" t="inlineStr">
        <is>
          <t>[pki] Infraestructura de clave pública (PKI)</t>
        </is>
      </c>
      <c r="M18" s="13" t="inlineStr">
        <is>
          <t>[os] Sistema operativo</t>
        </is>
      </c>
      <c r="N18" s="13" t="inlineStr">
        <is>
          <t>[modem] Módems</t>
        </is>
      </c>
      <c r="P18" s="13" t="inlineStr">
        <is>
          <t>[film] Microfilm</t>
        </is>
      </c>
      <c r="X18" s="13" t="inlineStr">
        <is>
          <t>[encrypt] Claves de cifra</t>
        </is>
      </c>
      <c r="Y18" s="13" t="inlineStr">
        <is>
          <t>COM-14 — CRM comercial de MinTrace.</t>
        </is>
      </c>
      <c r="AA18" s="13" t="inlineStr">
        <is>
          <t>[shared_secret] Secreto compartido (clave simétrica)</t>
        </is>
      </c>
      <c r="AB18" s="59" t="n">
        <v>12</v>
      </c>
      <c r="AG18" s="13" t="inlineStr">
        <is>
          <t>[encrypt] Claves de cifra</t>
        </is>
      </c>
      <c r="AH18" s="13" t="inlineStr">
        <is>
          <t>COM-14 — CRM comercial de MinTrace.</t>
        </is>
      </c>
      <c r="AJ18" s="13" t="inlineStr">
        <is>
          <t>[shared_secret] Secreto compartido (clave simétrica)</t>
        </is>
      </c>
      <c r="AK18" s="59" t="n">
        <v>12</v>
      </c>
      <c r="AO18" s="69" t="inlineStr">
        <is>
          <t>Legal y cumplimiento</t>
        </is>
      </c>
    </row>
    <row r="19" ht="30" customHeight="1" s="54">
      <c r="M19" s="13" t="inlineStr">
        <is>
          <t>[hypervisor] Gestor de máquinas virtuales</t>
        </is>
      </c>
      <c r="N19" s="13" t="inlineStr">
        <is>
          <t>[hub] Concentradores</t>
        </is>
      </c>
      <c r="P19" s="13" t="inlineStr">
        <is>
          <t>[cards] Tarjetas perforadas</t>
        </is>
      </c>
      <c r="X19" s="13" t="inlineStr">
        <is>
          <t>[shared_secret] Secreto compartido (clave simétrica)</t>
        </is>
      </c>
      <c r="Y19" s="13" t="inlineStr">
        <is>
          <t>COM-15 — Cuantico Verify.</t>
        </is>
      </c>
      <c r="AA19" s="13" t="inlineStr">
        <is>
          <t>[public_encryption] Clave pública de cifra</t>
        </is>
      </c>
      <c r="AB19" s="59" t="n">
        <v>12</v>
      </c>
      <c r="AG19" s="13" t="inlineStr">
        <is>
          <t>[shared_secret] Secreto compartido (clave simétrica)</t>
        </is>
      </c>
      <c r="AH19" s="13" t="inlineStr">
        <is>
          <t>COM-15 — Cuantico Verify.</t>
        </is>
      </c>
      <c r="AJ19" s="13" t="inlineStr">
        <is>
          <t>[public_encryption] Clave pública de cifra</t>
        </is>
      </c>
      <c r="AK19" s="59" t="n">
        <v>12</v>
      </c>
      <c r="AO19" s="69" t="inlineStr">
        <is>
          <t>Aseguramiento</t>
        </is>
      </c>
    </row>
    <row r="20" ht="30" customHeight="1" s="54">
      <c r="M20" s="13" t="inlineStr">
        <is>
          <t>[ts] Servidor de terminales</t>
        </is>
      </c>
      <c r="N20" s="13" t="inlineStr">
        <is>
          <t>[switch] Conmutadores</t>
        </is>
      </c>
      <c r="X20" s="13" t="inlineStr">
        <is>
          <t>[public_encryption] Clave pública de cifra</t>
        </is>
      </c>
      <c r="Y20" s="13" t="inlineStr">
        <is>
          <t>COM-16 — Base de datos de prospectos de MinTrace</t>
        </is>
      </c>
      <c r="AA20" s="13" t="inlineStr">
        <is>
          <t>[public_decryption] Clave privada de descifrado</t>
        </is>
      </c>
      <c r="AB20" s="59" t="n">
        <v>12</v>
      </c>
      <c r="AG20" s="13" t="inlineStr">
        <is>
          <t>[public_encryption] Clave pública de cifra</t>
        </is>
      </c>
      <c r="AH20" s="13" t="inlineStr">
        <is>
          <t>COM-16 — Base de datos de prospectos de MinTrace</t>
        </is>
      </c>
      <c r="AJ20" s="13" t="inlineStr">
        <is>
          <t>[public_decryption] Clave privada de descifrado</t>
        </is>
      </c>
      <c r="AK20" s="59" t="n">
        <v>12</v>
      </c>
    </row>
    <row r="21" ht="30" customHeight="1" s="54">
      <c r="M21" s="13" t="inlineStr">
        <is>
          <t>[backup] Sistema de backup</t>
        </is>
      </c>
      <c r="N21" s="13" t="inlineStr">
        <is>
          <t>[router] Encaminadores</t>
        </is>
      </c>
      <c r="X21" s="13" t="inlineStr">
        <is>
          <t>[public_decryption] Clave privada de descifrado</t>
        </is>
      </c>
      <c r="Y21" s="13" t="inlineStr">
        <is>
          <t>COM-17 — Propuesta Comercial Cuantico</t>
        </is>
      </c>
      <c r="AA21" s="13" t="inlineStr">
        <is>
          <t>[sign] Claves de firma</t>
        </is>
      </c>
      <c r="AB21" s="59" t="n">
        <v>12</v>
      </c>
      <c r="AG21" s="13" t="inlineStr">
        <is>
          <t>[public_decryption] Clave privada de descifrado</t>
        </is>
      </c>
      <c r="AH21" s="13" t="inlineStr">
        <is>
          <t>COM-17 — Propuesta Comercial Cuantico</t>
        </is>
      </c>
      <c r="AJ21" s="13" t="inlineStr">
        <is>
          <t>[sign] Claves de firma</t>
        </is>
      </c>
      <c r="AK21" s="59" t="n">
        <v>12</v>
      </c>
    </row>
    <row r="22" ht="15" customHeight="1" s="54">
      <c r="N22" s="13" t="inlineStr">
        <is>
          <t>[bridge] Pasarelas</t>
        </is>
      </c>
      <c r="X22" s="13" t="inlineStr">
        <is>
          <t>[sign] Claves de firma</t>
        </is>
      </c>
      <c r="Y22" s="13" t="inlineStr">
        <is>
          <t>COM-18 — Equipo de Trabajo</t>
        </is>
      </c>
      <c r="AA22" s="13" t="inlineStr">
        <is>
          <t>[public_signature] Clave privada de firma</t>
        </is>
      </c>
      <c r="AB22" s="59" t="n">
        <v>12</v>
      </c>
      <c r="AG22" s="13" t="inlineStr">
        <is>
          <t>[sign] Claves de firma</t>
        </is>
      </c>
      <c r="AH22" s="13" t="inlineStr">
        <is>
          <t>COM-18 — Equipo de Trabajo</t>
        </is>
      </c>
      <c r="AJ22" s="13" t="inlineStr">
        <is>
          <t>[public_signature] Clave privada de firma</t>
        </is>
      </c>
      <c r="AK22" s="59" t="n">
        <v>12</v>
      </c>
    </row>
    <row r="23" ht="30" customHeight="1" s="54">
      <c r="N23" s="13" t="inlineStr">
        <is>
          <t>[firewall] Cortafuegos</t>
        </is>
      </c>
      <c r="X23" s="13" t="inlineStr">
        <is>
          <t>[public_signature] Clave privada de firma</t>
        </is>
      </c>
      <c r="Y23" s="13" t="inlineStr">
        <is>
          <t>COM-19 — Experiencia</t>
        </is>
      </c>
      <c r="AA23" s="13" t="inlineStr">
        <is>
          <t>[public_verification] Clave pública de verificación de firma</t>
        </is>
      </c>
      <c r="AB23" s="59" t="n">
        <v>12</v>
      </c>
      <c r="AG23" s="13" t="inlineStr">
        <is>
          <t>[public_signature] Clave privada de firma</t>
        </is>
      </c>
      <c r="AH23" s="13" t="inlineStr">
        <is>
          <t>COM-19 — Experiencia</t>
        </is>
      </c>
      <c r="AJ23" s="13" t="inlineStr">
        <is>
          <t>[public_verification] Clave pública de verificación de firma</t>
        </is>
      </c>
      <c r="AK23" s="59" t="n">
        <v>12</v>
      </c>
    </row>
    <row r="24" ht="30" customHeight="1" s="54">
      <c r="N24" s="13" t="inlineStr">
        <is>
          <t>[wap] Punto de acceso inalámbrico</t>
        </is>
      </c>
      <c r="X24" s="13" t="inlineStr">
        <is>
          <t>[public_verification] Clave pública de verificación de firma</t>
        </is>
      </c>
      <c r="Y24" s="13" t="inlineStr">
        <is>
          <t>COM-20 — Presentaciones</t>
        </is>
      </c>
      <c r="AA24" s="13" t="inlineStr">
        <is>
          <t>[com] Protección de las comunicaciones</t>
        </is>
      </c>
      <c r="AB24" s="59" t="n">
        <v>12</v>
      </c>
      <c r="AG24" s="13" t="inlineStr">
        <is>
          <t>[public_verification] Clave pública de verificación de firma</t>
        </is>
      </c>
      <c r="AH24" s="13" t="inlineStr">
        <is>
          <t>COM-20 — Presentaciones</t>
        </is>
      </c>
      <c r="AJ24" s="13" t="inlineStr">
        <is>
          <t>[com] Protección de las comunicaciones</t>
        </is>
      </c>
      <c r="AK24" s="59" t="n">
        <v>12</v>
      </c>
    </row>
    <row r="25" ht="15" customHeight="1" s="54">
      <c r="N25" s="13" t="inlineStr">
        <is>
          <t>[pabx] Centralita telefónica</t>
        </is>
      </c>
      <c r="X25" s="13" t="inlineStr">
        <is>
          <t>[com] Protección de las comunicaciones</t>
        </is>
      </c>
      <c r="Y25" s="13" t="inlineStr">
        <is>
          <t>COM-21 — Capacitaciones</t>
        </is>
      </c>
      <c r="AA25" s="13" t="inlineStr">
        <is>
          <t>[channel] Claves de cifrado del canal</t>
        </is>
      </c>
      <c r="AB25" s="59" t="n">
        <v>12</v>
      </c>
      <c r="AG25" s="13" t="inlineStr">
        <is>
          <t>[com] Protección de las comunicaciones</t>
        </is>
      </c>
      <c r="AH25" s="13" t="inlineStr">
        <is>
          <t>COM-21 — Capacitaciones</t>
        </is>
      </c>
      <c r="AJ25" s="13" t="inlineStr">
        <is>
          <t>[channel] Claves de cifrado del canal</t>
        </is>
      </c>
      <c r="AK25" s="59" t="n">
        <v>12</v>
      </c>
    </row>
    <row r="26" ht="15" customHeight="1" s="54">
      <c r="N26" s="13" t="inlineStr">
        <is>
          <t>[ipphone] Teléfono IP</t>
        </is>
      </c>
      <c r="X26" s="13" t="inlineStr">
        <is>
          <t>[channel] Claves de cifrado del canal</t>
        </is>
      </c>
      <c r="Y26" s="13" t="inlineStr">
        <is>
          <t>DO-01 — cuantico.com</t>
        </is>
      </c>
      <c r="AA26" s="13" t="inlineStr">
        <is>
          <t>[authentication] Claves de autenticación</t>
        </is>
      </c>
      <c r="AB26" s="59" t="n">
        <v>12</v>
      </c>
      <c r="AG26" s="13" t="inlineStr">
        <is>
          <t>[channel] Claves de cifrado del canal</t>
        </is>
      </c>
      <c r="AH26" s="13" t="inlineStr">
        <is>
          <t>DO-01 — cuantico.com</t>
        </is>
      </c>
      <c r="AJ26" s="13" t="inlineStr">
        <is>
          <t>[authentication] Claves de autenticación</t>
        </is>
      </c>
      <c r="AK26" s="59" t="n">
        <v>12</v>
      </c>
    </row>
    <row r="27" ht="30" customHeight="1" s="54">
      <c r="X27" s="13" t="inlineStr">
        <is>
          <t>[authentication] Claves de autenticación</t>
        </is>
      </c>
      <c r="Y27" s="13" t="inlineStr">
        <is>
          <t>DO-02 — cuanticore.com</t>
        </is>
      </c>
      <c r="AA27" s="13" t="inlineStr">
        <is>
          <t>[verification] Claves de verificación de autenticación</t>
        </is>
      </c>
      <c r="AB27" s="59" t="n">
        <v>12</v>
      </c>
      <c r="AG27" s="13" t="inlineStr">
        <is>
          <t>[authentication] Claves de autenticación</t>
        </is>
      </c>
      <c r="AH27" s="13" t="inlineStr">
        <is>
          <t>DO-02 — cuanticore.com</t>
        </is>
      </c>
      <c r="AJ27" s="13" t="inlineStr">
        <is>
          <t>[verification] Claves de verificación de autenticación</t>
        </is>
      </c>
      <c r="AK27" s="59" t="n">
        <v>12</v>
      </c>
    </row>
    <row r="28" ht="30" customHeight="1" s="54">
      <c r="X28" s="13" t="inlineStr">
        <is>
          <t>[verification] Claves de verificación de autenticación</t>
        </is>
      </c>
      <c r="Y28" s="13" t="inlineStr">
        <is>
          <t>DO-03 — innovaciencia.com</t>
        </is>
      </c>
      <c r="AA28" s="13" t="inlineStr">
        <is>
          <t>[disk] Cifrado de soportes de información</t>
        </is>
      </c>
      <c r="AB28" s="59" t="n">
        <v>12</v>
      </c>
      <c r="AG28" s="13" t="inlineStr">
        <is>
          <t>[verification] Claves de verificación de autenticación</t>
        </is>
      </c>
      <c r="AH28" s="13" t="inlineStr">
        <is>
          <t>DO-03 — innovaciencia.com</t>
        </is>
      </c>
      <c r="AJ28" s="13" t="inlineStr">
        <is>
          <t>[disk] Cifrado de soportes de información</t>
        </is>
      </c>
      <c r="AK28" s="59" t="n">
        <v>12</v>
      </c>
    </row>
    <row r="29" ht="15" customHeight="1" s="54">
      <c r="X29" s="13" t="inlineStr">
        <is>
          <t>[disk] Cifrado de soportes de información</t>
        </is>
      </c>
      <c r="Y29" s="13" t="inlineStr">
        <is>
          <t>DO-04 — govtechcolombia.com</t>
        </is>
      </c>
      <c r="AA29" s="13" t="inlineStr">
        <is>
          <t>[x509] Certificados de clave pública</t>
        </is>
      </c>
      <c r="AB29" s="59" t="n">
        <v>12</v>
      </c>
      <c r="AG29" s="13" t="inlineStr">
        <is>
          <t>[disk] Cifrado de soportes de información</t>
        </is>
      </c>
      <c r="AH29" s="13" t="inlineStr">
        <is>
          <t>DO-04 — govtechcolombia.com</t>
        </is>
      </c>
      <c r="AJ29" s="13" t="inlineStr">
        <is>
          <t>[x509] Certificados de clave pública</t>
        </is>
      </c>
      <c r="AK29" s="59" t="n">
        <v>12</v>
      </c>
    </row>
    <row r="30" ht="30" customHeight="1" s="54">
      <c r="X30" s="13" t="inlineStr">
        <is>
          <t>[x509] Certificados de clave pública</t>
        </is>
      </c>
      <c r="Y30" s="13" t="inlineStr">
        <is>
          <t>DO-05 — cuantaia.com</t>
        </is>
      </c>
      <c r="AA30" s="13" t="inlineStr">
        <is>
          <t>[anon] Anónimo (sin requerir identificación)</t>
        </is>
      </c>
      <c r="AB30" s="59" t="n">
        <v>20</v>
      </c>
      <c r="AG30" s="13" t="inlineStr">
        <is>
          <t>[x509] Certificados de clave pública</t>
        </is>
      </c>
      <c r="AH30" s="13" t="inlineStr">
        <is>
          <t>DO-05 — cuantaia.com</t>
        </is>
      </c>
      <c r="AJ30" s="13" t="inlineStr">
        <is>
          <t>[anon] Anónimo (sin requerir identificación)</t>
        </is>
      </c>
      <c r="AK30" s="59" t="n">
        <v>20</v>
      </c>
    </row>
    <row r="31" ht="15" customHeight="1" s="54">
      <c r="X31" s="13" t="inlineStr">
        <is>
          <t>[anon] Anónimo (sin requerir identificación)</t>
        </is>
      </c>
      <c r="Y31" s="13" t="inlineStr">
        <is>
          <t>DO-06 — Territoriosia.com</t>
        </is>
      </c>
      <c r="AA31" s="13" t="inlineStr">
        <is>
          <t>[pub] Al público en general</t>
        </is>
      </c>
      <c r="AB31" s="59" t="n">
        <v>20</v>
      </c>
      <c r="AG31" s="13" t="inlineStr">
        <is>
          <t>[anon] Anónimo (sin requerir identificación)</t>
        </is>
      </c>
      <c r="AH31" s="13" t="inlineStr">
        <is>
          <t>DO-06 — Territoriosia.com</t>
        </is>
      </c>
      <c r="AJ31" s="13" t="inlineStr">
        <is>
          <t>[pub] Al público en general</t>
        </is>
      </c>
      <c r="AK31" s="59" t="n">
        <v>20</v>
      </c>
    </row>
    <row r="32" ht="30" customHeight="1" s="54">
      <c r="X32" s="13" t="inlineStr">
        <is>
          <t>[pub] Al público en general</t>
        </is>
      </c>
      <c r="Y32" s="13" t="inlineStr">
        <is>
          <t>DO-07 — gerenciapublicatic.com</t>
        </is>
      </c>
      <c r="AA32" s="13" t="inlineStr">
        <is>
          <t>[ext] A usuarios externos bajo una relación contractual</t>
        </is>
      </c>
      <c r="AB32" s="59" t="n">
        <v>20</v>
      </c>
      <c r="AG32" s="13" t="inlineStr">
        <is>
          <t>[pub] Al público en general</t>
        </is>
      </c>
      <c r="AH32" s="13" t="inlineStr">
        <is>
          <t>DO-07 — gerenciapublicatic.com</t>
        </is>
      </c>
      <c r="AJ32" s="13" t="inlineStr">
        <is>
          <t>[ext] A usuarios externos bajo una relación contractual</t>
        </is>
      </c>
      <c r="AK32" s="59" t="n">
        <v>20</v>
      </c>
    </row>
    <row r="33" ht="30" customHeight="1" s="54">
      <c r="X33" s="13" t="inlineStr">
        <is>
          <t>[ext] A usuarios externos bajo una relación contractual</t>
        </is>
      </c>
      <c r="Y33" s="13" t="inlineStr">
        <is>
          <t>DO-08 — Mintrace.co</t>
        </is>
      </c>
      <c r="AA33" s="13" t="inlineStr">
        <is>
          <t>[int] Interno (a usuarios de la organización)</t>
        </is>
      </c>
      <c r="AB33" s="59" t="n">
        <v>20</v>
      </c>
      <c r="AG33" s="13" t="inlineStr">
        <is>
          <t>[ext] A usuarios externos bajo una relación contractual</t>
        </is>
      </c>
      <c r="AH33" s="13" t="inlineStr">
        <is>
          <t>DO-08 — Mintrace.co</t>
        </is>
      </c>
      <c r="AJ33" s="13" t="inlineStr">
        <is>
          <t>[int] Interno (a usuarios de la organización)</t>
        </is>
      </c>
      <c r="AK33" s="59" t="n">
        <v>20</v>
      </c>
    </row>
    <row r="34" ht="15" customHeight="1" s="54">
      <c r="X34" s="13" t="inlineStr">
        <is>
          <t>[int] Interno (a usuarios de la organización)</t>
        </is>
      </c>
      <c r="Y34" s="13" t="inlineStr">
        <is>
          <t>DO-09 — Mauriciolizcano.co</t>
        </is>
      </c>
      <c r="AA34" s="13" t="inlineStr">
        <is>
          <t>[www] World Wide Web</t>
        </is>
      </c>
      <c r="AB34" s="59" t="n">
        <v>20</v>
      </c>
      <c r="AG34" s="13" t="inlineStr">
        <is>
          <t>[int] Interno (a usuarios de la organización)</t>
        </is>
      </c>
      <c r="AH34" s="13" t="inlineStr">
        <is>
          <t>DO-09 — Mauriciolizcano.co</t>
        </is>
      </c>
      <c r="AJ34" s="13" t="inlineStr">
        <is>
          <t>[www] World Wide Web</t>
        </is>
      </c>
      <c r="AK34" s="59" t="n">
        <v>20</v>
      </c>
    </row>
    <row r="35" ht="15" customHeight="1" s="54">
      <c r="X35" s="13" t="inlineStr">
        <is>
          <t>[www] World Wide Web</t>
        </is>
      </c>
      <c r="Y35" s="13" t="inlineStr">
        <is>
          <t>DO-10 — Mintrace.com</t>
        </is>
      </c>
      <c r="AA35" s="13" t="inlineStr">
        <is>
          <t>[telnet] Acceso remoto a cuenta local</t>
        </is>
      </c>
      <c r="AB35" s="59" t="n">
        <v>20</v>
      </c>
      <c r="AG35" s="13" t="inlineStr">
        <is>
          <t>[www] World Wide Web</t>
        </is>
      </c>
      <c r="AH35" s="13" t="inlineStr">
        <is>
          <t>DO-10 — Mintrace.com</t>
        </is>
      </c>
      <c r="AJ35" s="13" t="inlineStr">
        <is>
          <t>[telnet] Acceso remoto a cuenta local</t>
        </is>
      </c>
      <c r="AK35" s="59" t="n">
        <v>20</v>
      </c>
    </row>
    <row r="36" ht="15" customHeight="1" s="54">
      <c r="X36" s="13" t="inlineStr">
        <is>
          <t>[telnet] Acceso remoto a cuenta local</t>
        </is>
      </c>
      <c r="Y36" s="13" t="inlineStr">
        <is>
          <t>DO-11 — Mauriciolizcano.com</t>
        </is>
      </c>
      <c r="AA36" s="13" t="inlineStr">
        <is>
          <t>[email] Correo electrónico</t>
        </is>
      </c>
      <c r="AB36" s="59" t="n">
        <v>20</v>
      </c>
      <c r="AG36" s="13" t="inlineStr">
        <is>
          <t>[telnet] Acceso remoto a cuenta local</t>
        </is>
      </c>
      <c r="AH36" s="13" t="inlineStr">
        <is>
          <t>DO-11 — Mauriciolizcano.com</t>
        </is>
      </c>
      <c r="AJ36" s="13" t="inlineStr">
        <is>
          <t>[email] Correo electrónico</t>
        </is>
      </c>
      <c r="AK36" s="59" t="n">
        <v>20</v>
      </c>
    </row>
    <row r="37" ht="15" customHeight="1" s="54">
      <c r="X37" s="13" t="inlineStr">
        <is>
          <t>[email] Correo electrónico</t>
        </is>
      </c>
      <c r="Y37" s="13" t="inlineStr">
        <is>
          <t>DO-12 — Mauriciolizcano.co</t>
        </is>
      </c>
      <c r="AA37" s="13" t="inlineStr">
        <is>
          <t>[file] Almacenamiento de ficheros</t>
        </is>
      </c>
      <c r="AB37" s="59" t="n">
        <v>20</v>
      </c>
      <c r="AG37" s="13" t="inlineStr">
        <is>
          <t>[email] Correo electrónico</t>
        </is>
      </c>
      <c r="AH37" s="13" t="inlineStr">
        <is>
          <t>DO-12 — Mauriciolizcano.co</t>
        </is>
      </c>
      <c r="AJ37" s="13" t="inlineStr">
        <is>
          <t>[file] Almacenamiento de ficheros</t>
        </is>
      </c>
      <c r="AK37" s="59" t="n">
        <v>20</v>
      </c>
    </row>
    <row r="38" ht="15" customHeight="1" s="54">
      <c r="X38" s="13" t="inlineStr">
        <is>
          <t>[file] Almacenamiento de ficheros</t>
        </is>
      </c>
      <c r="Y38" s="13" t="inlineStr">
        <is>
          <t>DO-13 — ConducePro.com</t>
        </is>
      </c>
      <c r="AA38" s="13" t="inlineStr">
        <is>
          <t>[ftp] Transferencia de ficheros</t>
        </is>
      </c>
      <c r="AB38" s="59" t="n">
        <v>20</v>
      </c>
      <c r="AG38" s="13" t="inlineStr">
        <is>
          <t>[file] Almacenamiento de ficheros</t>
        </is>
      </c>
      <c r="AH38" s="13" t="inlineStr">
        <is>
          <t>DO-13 — ConducePro.com</t>
        </is>
      </c>
      <c r="AJ38" s="13" t="inlineStr">
        <is>
          <t>[ftp] Transferencia de ficheros</t>
        </is>
      </c>
      <c r="AK38" s="59" t="n">
        <v>20</v>
      </c>
    </row>
    <row r="39" ht="15" customHeight="1" s="54">
      <c r="X39" s="13" t="inlineStr">
        <is>
          <t>[ftp] Transferencia de ficheros</t>
        </is>
      </c>
      <c r="Y39" s="13" t="inlineStr">
        <is>
          <t>DO-14 — Conduce.pro</t>
        </is>
      </c>
      <c r="AA39" s="13" t="inlineStr">
        <is>
          <t>[edi] Intercambio electrónico de datos</t>
        </is>
      </c>
      <c r="AB39" s="59" t="n">
        <v>20</v>
      </c>
      <c r="AG39" s="13" t="inlineStr">
        <is>
          <t>[ftp] Transferencia de ficheros</t>
        </is>
      </c>
      <c r="AH39" s="13" t="inlineStr">
        <is>
          <t>DO-14 — Conduce.pro</t>
        </is>
      </c>
      <c r="AJ39" s="13" t="inlineStr">
        <is>
          <t>[edi] Intercambio electrónico de datos</t>
        </is>
      </c>
      <c r="AK39" s="59" t="n">
        <v>20</v>
      </c>
    </row>
    <row r="40" ht="15" customHeight="1" s="54">
      <c r="X40" s="13" t="inlineStr">
        <is>
          <t>[edi] Intercambio electrónico de datos</t>
        </is>
      </c>
      <c r="Y40" s="13" t="inlineStr">
        <is>
          <t>DO-15 — ConducePro.com.co</t>
        </is>
      </c>
      <c r="AA40" s="13" t="inlineStr">
        <is>
          <t>[dir] Servicio de directorio</t>
        </is>
      </c>
      <c r="AB40" s="59" t="n">
        <v>20</v>
      </c>
      <c r="AG40" s="13" t="inlineStr">
        <is>
          <t>[edi] Intercambio electrónico de datos</t>
        </is>
      </c>
      <c r="AH40" s="13" t="inlineStr">
        <is>
          <t>DO-15 — ConducePro.com.co</t>
        </is>
      </c>
      <c r="AJ40" s="13" t="inlineStr">
        <is>
          <t>[dir] Servicio de directorio</t>
        </is>
      </c>
      <c r="AK40" s="59" t="n">
        <v>20</v>
      </c>
    </row>
    <row r="41" ht="15" customHeight="1" s="54">
      <c r="X41" s="13" t="inlineStr">
        <is>
          <t>[dir] Servicio de directorio</t>
        </is>
      </c>
      <c r="Y41" s="13" t="inlineStr">
        <is>
          <t>DO-16 — Rapivolt.com</t>
        </is>
      </c>
      <c r="AA41" s="13" t="inlineStr">
        <is>
          <t>[idm] Gestión de identidades</t>
        </is>
      </c>
      <c r="AB41" s="59" t="n">
        <v>20</v>
      </c>
      <c r="AG41" s="13" t="inlineStr">
        <is>
          <t>[dir] Servicio de directorio</t>
        </is>
      </c>
      <c r="AH41" s="13" t="inlineStr">
        <is>
          <t>DO-16 — Rapivolt.com</t>
        </is>
      </c>
      <c r="AJ41" s="13" t="inlineStr">
        <is>
          <t>[idm] Gestión de identidades</t>
        </is>
      </c>
      <c r="AK41" s="59" t="n">
        <v>20</v>
      </c>
    </row>
    <row r="42" ht="30" customHeight="1" s="54">
      <c r="X42" s="13" t="inlineStr">
        <is>
          <t>[idm] Gestión de identidades</t>
        </is>
      </c>
      <c r="Y42" s="13" t="inlineStr">
        <is>
          <t>FIN-01 — Caracterización Gestión Financiera (CAR-FIN-01)</t>
        </is>
      </c>
      <c r="AA42" s="13" t="inlineStr">
        <is>
          <t>[ipm] Gestión de privilegios</t>
        </is>
      </c>
      <c r="AB42" s="59" t="n">
        <v>20</v>
      </c>
      <c r="AG42" s="13" t="inlineStr">
        <is>
          <t>[idm] Gestión de identidades</t>
        </is>
      </c>
      <c r="AH42" s="13" t="inlineStr">
        <is>
          <t>FIN-01 — Caracterización Gestión Financiera (CAR-FIN-01)</t>
        </is>
      </c>
      <c r="AJ42" s="13" t="inlineStr">
        <is>
          <t>[ipm] Gestión de privilegios</t>
        </is>
      </c>
      <c r="AK42" s="59" t="n">
        <v>20</v>
      </c>
    </row>
    <row r="43" ht="30" customHeight="1" s="54">
      <c r="X43" s="13" t="inlineStr">
        <is>
          <t>[ipm] Gestión de privilegios</t>
        </is>
      </c>
      <c r="Y43" s="13" t="inlineStr">
        <is>
          <t>FIN-02 — Procedimiento Gestión contable y tributaria (PRO-FIN-02)</t>
        </is>
      </c>
      <c r="AA43" s="13" t="inlineStr">
        <is>
          <t>[pki] Infraestructura de clave pública (PKI)</t>
        </is>
      </c>
      <c r="AB43" s="59" t="n">
        <v>20</v>
      </c>
      <c r="AG43" s="13" t="inlineStr">
        <is>
          <t>[ipm] Gestión de privilegios</t>
        </is>
      </c>
      <c r="AH43" s="13" t="inlineStr">
        <is>
          <t>FIN-02 — Procedimiento Gestión contable y tributaria (PRO-FIN-02)</t>
        </is>
      </c>
      <c r="AJ43" s="13" t="inlineStr">
        <is>
          <t>[pki] Infraestructura de clave pública (PKI)</t>
        </is>
      </c>
      <c r="AK43" s="59" t="n">
        <v>20</v>
      </c>
    </row>
    <row r="44" ht="30" customHeight="1" s="54">
      <c r="X44" s="13" t="inlineStr">
        <is>
          <t>[pki] Infraestructura de clave pública (PKI)</t>
        </is>
      </c>
      <c r="Y44" s="13" t="inlineStr">
        <is>
          <t>FIN-03 — Procedimiento Gestión de tesorería (PRO-FIN-03)</t>
        </is>
      </c>
      <c r="AA44" s="13" t="inlineStr">
        <is>
          <t>[prp] Desarrollo propio (in house)</t>
        </is>
      </c>
      <c r="AB44" s="59" t="n">
        <v>23</v>
      </c>
      <c r="AG44" s="13" t="inlineStr">
        <is>
          <t>[pki] Infraestructura de clave pública (PKI)</t>
        </is>
      </c>
      <c r="AH44" s="13" t="inlineStr">
        <is>
          <t>FIN-03 — Procedimiento Gestión de tesorería (PRO-FIN-03)</t>
        </is>
      </c>
      <c r="AJ44" s="13" t="inlineStr">
        <is>
          <t>[prp] Desarrollo propio (in house)</t>
        </is>
      </c>
      <c r="AK44" s="59" t="n">
        <v>23</v>
      </c>
    </row>
    <row r="45" ht="30" customHeight="1" s="54">
      <c r="X45" s="13" t="inlineStr">
        <is>
          <t>[prp] Desarrollo propio (in house)</t>
        </is>
      </c>
      <c r="Y45" s="13" t="inlineStr">
        <is>
          <t>FIN-04 — Política de Viáticos Cuantico (POL-FIN-01)</t>
        </is>
      </c>
      <c r="AA45" s="13" t="inlineStr">
        <is>
          <t>[sub] Desarrollo a medida (subcontratado)</t>
        </is>
      </c>
      <c r="AB45" s="59" t="n">
        <v>23</v>
      </c>
      <c r="AG45" s="13" t="inlineStr">
        <is>
          <t>[prp] Desarrollo propio (in house)</t>
        </is>
      </c>
      <c r="AH45" s="13" t="inlineStr">
        <is>
          <t>FIN-04 — Política de Viáticos Cuantico (POL-FIN-01)</t>
        </is>
      </c>
      <c r="AJ45" s="13" t="inlineStr">
        <is>
          <t>[sub] Desarrollo a medida (subcontratado)</t>
        </is>
      </c>
      <c r="AK45" s="59" t="n">
        <v>23</v>
      </c>
    </row>
    <row r="46" ht="15" customHeight="1" s="54">
      <c r="X46" s="13" t="inlineStr">
        <is>
          <t>[sub] Desarrollo a medida (subcontratado)</t>
        </is>
      </c>
      <c r="Y46" s="13" t="inlineStr">
        <is>
          <t>FIN-05 — Formato Solicitud de viáticos (FOR-FIN-01)</t>
        </is>
      </c>
      <c r="AA46" s="13" t="inlineStr">
        <is>
          <t>[std] Estándar (off the shelf)</t>
        </is>
      </c>
      <c r="AB46" s="59" t="n">
        <v>23</v>
      </c>
      <c r="AG46" s="13" t="inlineStr">
        <is>
          <t>[sub] Desarrollo a medida (subcontratado)</t>
        </is>
      </c>
      <c r="AH46" s="13" t="inlineStr">
        <is>
          <t>FIN-05 — Formato Solicitud de viáticos (FOR-FIN-01)</t>
        </is>
      </c>
      <c r="AJ46" s="13" t="inlineStr">
        <is>
          <t>[std] Estándar (off the shelf)</t>
        </is>
      </c>
      <c r="AK46" s="59" t="n">
        <v>23</v>
      </c>
    </row>
    <row r="47" ht="30" customHeight="1" s="54">
      <c r="X47" s="13" t="inlineStr">
        <is>
          <t>[std] Estándar (off the shelf)</t>
        </is>
      </c>
      <c r="Y47" s="13" t="inlineStr">
        <is>
          <t>FIN-06 — Consolidado control financiero Egresos (FOR-FIN-03)</t>
        </is>
      </c>
      <c r="AA47" s="13" t="inlineStr">
        <is>
          <t>[browser] Navegador web</t>
        </is>
      </c>
      <c r="AB47" s="59" t="n">
        <v>23</v>
      </c>
      <c r="AG47" s="13" t="inlineStr">
        <is>
          <t>[std] Estándar (off the shelf)</t>
        </is>
      </c>
      <c r="AH47" s="13" t="inlineStr">
        <is>
          <t>FIN-06 — Consolidado control financiero Egresos (FOR-FIN-03)</t>
        </is>
      </c>
      <c r="AJ47" s="13" t="inlineStr">
        <is>
          <t>[browser] Navegador web</t>
        </is>
      </c>
      <c r="AK47" s="59" t="n">
        <v>23</v>
      </c>
    </row>
    <row r="48" ht="30" customHeight="1" s="54">
      <c r="X48" s="13" t="inlineStr">
        <is>
          <t>[browser] Navegador web</t>
        </is>
      </c>
      <c r="Y48" s="13" t="inlineStr">
        <is>
          <t>FIN-07 — Consolidado control financiero Ingresos (FOR-FIN-05)</t>
        </is>
      </c>
      <c r="AA48" s="13" t="inlineStr">
        <is>
          <t>[www] Servidor de presentación</t>
        </is>
      </c>
      <c r="AB48" s="59" t="n">
        <v>23</v>
      </c>
      <c r="AG48" s="13" t="inlineStr">
        <is>
          <t>[browser] Navegador web</t>
        </is>
      </c>
      <c r="AH48" s="13" t="inlineStr">
        <is>
          <t>FIN-07 — Consolidado control financiero Ingresos (FOR-FIN-05)</t>
        </is>
      </c>
      <c r="AJ48" s="13" t="inlineStr">
        <is>
          <t>[www] Servidor de presentación</t>
        </is>
      </c>
      <c r="AK48" s="59" t="n">
        <v>23</v>
      </c>
    </row>
    <row r="49" ht="15" customHeight="1" s="54">
      <c r="X49" s="13" t="inlineStr">
        <is>
          <t>[www] Servidor de presentación</t>
        </is>
      </c>
      <c r="Y49" s="13" t="inlineStr">
        <is>
          <t>FIN-08 — Formato Planeación ventas (FOR-FIN-06)</t>
        </is>
      </c>
      <c r="AA49" s="13" t="inlineStr">
        <is>
          <t>[app] Servidor de aplicaciones</t>
        </is>
      </c>
      <c r="AB49" s="59" t="n">
        <v>23</v>
      </c>
      <c r="AG49" s="13" t="inlineStr">
        <is>
          <t>[www] Servidor de presentación</t>
        </is>
      </c>
      <c r="AH49" s="13" t="inlineStr">
        <is>
          <t>FIN-08 — Formato Planeación ventas (FOR-FIN-06)</t>
        </is>
      </c>
      <c r="AJ49" s="13" t="inlineStr">
        <is>
          <t>[app] Servidor de aplicaciones</t>
        </is>
      </c>
      <c r="AK49" s="59" t="n">
        <v>23</v>
      </c>
    </row>
    <row r="50" ht="30" customHeight="1" s="54">
      <c r="X50" s="13" t="inlineStr">
        <is>
          <t>[app] Servidor de aplicaciones</t>
        </is>
      </c>
      <c r="Y50" s="13" t="inlineStr">
        <is>
          <t>FIN-09 — Formato Egresos (FOR-FIN-07)</t>
        </is>
      </c>
      <c r="AA50" s="13" t="inlineStr">
        <is>
          <t>[email_client] Cliente de correo electrónico</t>
        </is>
      </c>
      <c r="AB50" s="59" t="n">
        <v>23</v>
      </c>
      <c r="AG50" s="13" t="inlineStr">
        <is>
          <t>[app] Servidor de aplicaciones</t>
        </is>
      </c>
      <c r="AH50" s="13" t="inlineStr">
        <is>
          <t>FIN-09 — Formato Egresos (FOR-FIN-07)</t>
        </is>
      </c>
      <c r="AJ50" s="13" t="inlineStr">
        <is>
          <t>[email_client] Cliente de correo electrónico</t>
        </is>
      </c>
      <c r="AK50" s="59" t="n">
        <v>23</v>
      </c>
    </row>
    <row r="51" ht="30" customHeight="1" s="54">
      <c r="X51" s="13" t="inlineStr">
        <is>
          <t>[email_client] Cliente de correo electrónico</t>
        </is>
      </c>
      <c r="Y51" s="13" t="inlineStr">
        <is>
          <t>FIN-10 — Información de nómina</t>
        </is>
      </c>
      <c r="AA51" s="13" t="inlineStr">
        <is>
          <t>[email_server] Servidor de correo electrónico</t>
        </is>
      </c>
      <c r="AB51" s="59" t="n">
        <v>23</v>
      </c>
      <c r="AG51" s="13" t="inlineStr">
        <is>
          <t>[email_client] Cliente de correo electrónico</t>
        </is>
      </c>
      <c r="AH51" s="13" t="inlineStr">
        <is>
          <t>FIN-10 — Información de nómina</t>
        </is>
      </c>
      <c r="AJ51" s="13" t="inlineStr">
        <is>
          <t>[email_server] Servidor de correo electrónico</t>
        </is>
      </c>
      <c r="AK51" s="59" t="n">
        <v>23</v>
      </c>
    </row>
    <row r="52" ht="15" customHeight="1" s="54">
      <c r="X52" s="13" t="inlineStr">
        <is>
          <t>[email_server] Servidor de correo electrónico</t>
        </is>
      </c>
      <c r="Y52" s="13" t="inlineStr">
        <is>
          <t>FIN-11 — Informes financieros e intercompañía</t>
        </is>
      </c>
      <c r="AA52" s="13" t="inlineStr">
        <is>
          <t>[file] Servidor de ficheros</t>
        </is>
      </c>
      <c r="AB52" s="59" t="n">
        <v>23</v>
      </c>
      <c r="AG52" s="13" t="inlineStr">
        <is>
          <t>[email_server] Servidor de correo electrónico</t>
        </is>
      </c>
      <c r="AH52" s="13" t="inlineStr">
        <is>
          <t>FIN-11 — Informes financieros e intercompañía</t>
        </is>
      </c>
      <c r="AJ52" s="13" t="inlineStr">
        <is>
          <t>[file] Servidor de ficheros</t>
        </is>
      </c>
      <c r="AK52" s="59" t="n">
        <v>23</v>
      </c>
    </row>
    <row r="53" ht="30" customHeight="1" s="54">
      <c r="X53" s="13" t="inlineStr">
        <is>
          <t>[file] Servidor de ficheros</t>
        </is>
      </c>
      <c r="Y53" s="13" t="inlineStr">
        <is>
          <t>FIN-12 — Flujos de caja y presupuestos</t>
        </is>
      </c>
      <c r="AA53" s="13" t="inlineStr">
        <is>
          <t>[dbms] Sistema de gestión de bases de datos</t>
        </is>
      </c>
      <c r="AB53" s="59" t="n">
        <v>23</v>
      </c>
      <c r="AG53" s="13" t="inlineStr">
        <is>
          <t>[file] Servidor de ficheros</t>
        </is>
      </c>
      <c r="AH53" s="13" t="inlineStr">
        <is>
          <t>FIN-12 — Flujos de caja y presupuestos</t>
        </is>
      </c>
      <c r="AJ53" s="13" t="inlineStr">
        <is>
          <t>[dbms] Sistema de gestión de bases de datos</t>
        </is>
      </c>
      <c r="AK53" s="59" t="n">
        <v>23</v>
      </c>
    </row>
    <row r="54" ht="15" customHeight="1" s="54">
      <c r="X54" s="13" t="inlineStr">
        <is>
          <t>[dbms] Sistema de gestión de bases de datos</t>
        </is>
      </c>
      <c r="Y54" s="13" t="inlineStr">
        <is>
          <t>FIN-13 — Repositorios documentales</t>
        </is>
      </c>
      <c r="AA54" s="13" t="inlineStr">
        <is>
          <t>[tm] Monitor transaccional</t>
        </is>
      </c>
      <c r="AB54" s="59" t="n">
        <v>23</v>
      </c>
      <c r="AG54" s="13" t="inlineStr">
        <is>
          <t>[dbms] Sistema de gestión de bases de datos</t>
        </is>
      </c>
      <c r="AH54" s="13" t="inlineStr">
        <is>
          <t>FIN-13 — Repositorios documentales</t>
        </is>
      </c>
      <c r="AJ54" s="13" t="inlineStr">
        <is>
          <t>[tm] Monitor transaccional</t>
        </is>
      </c>
      <c r="AK54" s="59" t="n">
        <v>23</v>
      </c>
    </row>
    <row r="55" ht="15" customHeight="1" s="54">
      <c r="X55" s="13" t="inlineStr">
        <is>
          <t>[tm] Monitor transaccional</t>
        </is>
      </c>
      <c r="Y55" s="13" t="inlineStr">
        <is>
          <t>FIN-14 — Finance and Administrative Manager</t>
        </is>
      </c>
      <c r="AA55" s="13" t="inlineStr">
        <is>
          <t>[office] Ofimática</t>
        </is>
      </c>
      <c r="AB55" s="59" t="n">
        <v>23</v>
      </c>
      <c r="AG55" s="13" t="inlineStr">
        <is>
          <t>[tm] Monitor transaccional</t>
        </is>
      </c>
      <c r="AH55" s="13" t="inlineStr">
        <is>
          <t>FIN-14 — Finance and Administrative Manager</t>
        </is>
      </c>
      <c r="AJ55" s="13" t="inlineStr">
        <is>
          <t>[office] Ofimática</t>
        </is>
      </c>
      <c r="AK55" s="59" t="n">
        <v>23</v>
      </c>
    </row>
    <row r="56" ht="15" customHeight="1" s="54">
      <c r="X56" s="13" t="inlineStr">
        <is>
          <t>[office] Ofimática</t>
        </is>
      </c>
      <c r="Y56" s="13" t="inlineStr">
        <is>
          <t>FIN-15 — Proveedor contable externo</t>
        </is>
      </c>
      <c r="AA56" s="13" t="inlineStr">
        <is>
          <t>[av] Antivirus</t>
        </is>
      </c>
      <c r="AB56" s="59" t="n">
        <v>23</v>
      </c>
      <c r="AG56" s="13" t="inlineStr">
        <is>
          <t>[office] Ofimática</t>
        </is>
      </c>
      <c r="AH56" s="13" t="inlineStr">
        <is>
          <t>FIN-15 — Proveedor contable externo</t>
        </is>
      </c>
      <c r="AJ56" s="13" t="inlineStr">
        <is>
          <t>[av] Antivirus</t>
        </is>
      </c>
      <c r="AK56" s="59" t="n">
        <v>23</v>
      </c>
    </row>
    <row r="57" ht="15" customHeight="1" s="54">
      <c r="X57" s="13" t="inlineStr">
        <is>
          <t>[av] Antivirus</t>
        </is>
      </c>
      <c r="Y57" s="13" t="inlineStr">
        <is>
          <t>FIN-16 — Revisoría fiscal</t>
        </is>
      </c>
      <c r="AA57" s="13" t="inlineStr">
        <is>
          <t>[os] Sistema operativo</t>
        </is>
      </c>
      <c r="AB57" s="59" t="n">
        <v>23</v>
      </c>
      <c r="AG57" s="13" t="inlineStr">
        <is>
          <t>[av] Antivirus</t>
        </is>
      </c>
      <c r="AH57" s="13" t="inlineStr">
        <is>
          <t>FIN-16 — Revisoría fiscal</t>
        </is>
      </c>
      <c r="AJ57" s="13" t="inlineStr">
        <is>
          <t>[os] Sistema operativo</t>
        </is>
      </c>
      <c r="AK57" s="59" t="n">
        <v>23</v>
      </c>
    </row>
    <row r="58" ht="15" customHeight="1" s="54">
      <c r="X58" s="13" t="inlineStr">
        <is>
          <t>[os] Sistema operativo</t>
        </is>
      </c>
      <c r="Y58" s="13" t="inlineStr">
        <is>
          <t>FIN-17 — Auxiliar Contable</t>
        </is>
      </c>
      <c r="AA58" s="13" t="inlineStr">
        <is>
          <t>[hypervisor] Gestor de máquinas virtuales</t>
        </is>
      </c>
      <c r="AB58" s="59" t="n">
        <v>23</v>
      </c>
      <c r="AG58" s="13" t="inlineStr">
        <is>
          <t>[os] Sistema operativo</t>
        </is>
      </c>
      <c r="AH58" s="13" t="inlineStr">
        <is>
          <t>FIN-17 — Auxiliar Contable</t>
        </is>
      </c>
      <c r="AJ58" s="13" t="inlineStr">
        <is>
          <t>[hypervisor] Gestor de máquinas virtuales</t>
        </is>
      </c>
      <c r="AK58" s="59" t="n">
        <v>23</v>
      </c>
    </row>
    <row r="59" ht="15" customHeight="1" s="54">
      <c r="X59" s="13" t="inlineStr">
        <is>
          <t>[hypervisor] Gestor de máquinas virtuales</t>
        </is>
      </c>
      <c r="Y59" s="13" t="inlineStr">
        <is>
          <t>FIN-18 — Auxiliar Administrativo I</t>
        </is>
      </c>
      <c r="AA59" s="13" t="inlineStr">
        <is>
          <t>[ts] Servidor de terminales</t>
        </is>
      </c>
      <c r="AB59" s="59" t="n">
        <v>23</v>
      </c>
      <c r="AG59" s="13" t="inlineStr">
        <is>
          <t>[hypervisor] Gestor de máquinas virtuales</t>
        </is>
      </c>
      <c r="AH59" s="13" t="inlineStr">
        <is>
          <t>FIN-18 — Auxiliar Administrativo I</t>
        </is>
      </c>
      <c r="AJ59" s="13" t="inlineStr">
        <is>
          <t>[ts] Servidor de terminales</t>
        </is>
      </c>
      <c r="AK59" s="59" t="n">
        <v>23</v>
      </c>
    </row>
    <row r="60" ht="15" customHeight="1" s="54">
      <c r="X60" s="13" t="inlineStr">
        <is>
          <t>[ts] Servidor de terminales</t>
        </is>
      </c>
      <c r="Y60" s="13" t="inlineStr">
        <is>
          <t>FIN-19 — Auxiliar Administrativo II</t>
        </is>
      </c>
      <c r="AA60" s="13" t="inlineStr">
        <is>
          <t>[backup] Sistema de backup</t>
        </is>
      </c>
      <c r="AB60" s="59" t="n">
        <v>23</v>
      </c>
      <c r="AG60" s="13" t="inlineStr">
        <is>
          <t>[ts] Servidor de terminales</t>
        </is>
      </c>
      <c r="AH60" s="13" t="inlineStr">
        <is>
          <t>FIN-19 — Auxiliar Administrativo II</t>
        </is>
      </c>
      <c r="AJ60" s="13" t="inlineStr">
        <is>
          <t>[backup] Sistema de backup</t>
        </is>
      </c>
      <c r="AK60" s="59" t="n">
        <v>23</v>
      </c>
    </row>
    <row r="61" ht="15" customHeight="1" s="54">
      <c r="X61" s="13" t="inlineStr">
        <is>
          <t>[backup] Sistema de backup</t>
        </is>
      </c>
      <c r="Y61" s="13" t="inlineStr">
        <is>
          <t>FIN-20 — Siigo (factura electronica)</t>
        </is>
      </c>
      <c r="AA61" s="13" t="inlineStr">
        <is>
          <t>[host] Grandes equipos</t>
        </is>
      </c>
      <c r="AB61" s="59" t="n">
        <v>25</v>
      </c>
      <c r="AG61" s="13" t="inlineStr">
        <is>
          <t>[backup] Sistema de backup</t>
        </is>
      </c>
      <c r="AH61" s="13" t="inlineStr">
        <is>
          <t>FIN-20 — Siigo (factura electronica)</t>
        </is>
      </c>
      <c r="AJ61" s="13" t="inlineStr">
        <is>
          <t>[host] Grandes equipos</t>
        </is>
      </c>
      <c r="AK61" s="59" t="n">
        <v>25</v>
      </c>
    </row>
    <row r="62" ht="15" customHeight="1" s="54">
      <c r="X62" s="13" t="inlineStr">
        <is>
          <t>[host] Grandes equipos</t>
        </is>
      </c>
      <c r="Y62" s="13" t="inlineStr">
        <is>
          <t>FIN-21 — Usuarios y credenciales de Siigo</t>
        </is>
      </c>
      <c r="AA62" s="13" t="inlineStr">
        <is>
          <t>[mid] Equipos medios</t>
        </is>
      </c>
      <c r="AB62" s="59" t="n">
        <v>25</v>
      </c>
      <c r="AG62" s="13" t="inlineStr">
        <is>
          <t>[host] Grandes equipos</t>
        </is>
      </c>
      <c r="AH62" s="13" t="inlineStr">
        <is>
          <t>FIN-21 — Usuarios y credenciales de Siigo</t>
        </is>
      </c>
      <c r="AJ62" s="13" t="inlineStr">
        <is>
          <t>[mid] Equipos medios</t>
        </is>
      </c>
      <c r="AK62" s="59" t="n">
        <v>25</v>
      </c>
    </row>
    <row r="63" ht="30" customHeight="1" s="54">
      <c r="X63" s="13" t="inlineStr">
        <is>
          <t>[mid] Equipos medios</t>
        </is>
      </c>
      <c r="Y63" s="13" t="inlineStr">
        <is>
          <t>FIN-22 — Portal bancario Colpatria (Cuantico Corporation)</t>
        </is>
      </c>
      <c r="AA63" s="13" t="inlineStr">
        <is>
          <t>[pc] Informática personal</t>
        </is>
      </c>
      <c r="AB63" s="59" t="n">
        <v>25</v>
      </c>
      <c r="AG63" s="13" t="inlineStr">
        <is>
          <t>[mid] Equipos medios</t>
        </is>
      </c>
      <c r="AH63" s="13" t="inlineStr">
        <is>
          <t>FIN-22 — Portal bancario Colpatria (Cuantico Corporation)</t>
        </is>
      </c>
      <c r="AJ63" s="13" t="inlineStr">
        <is>
          <t>[pc] Informática personal</t>
        </is>
      </c>
      <c r="AK63" s="59" t="n">
        <v>25</v>
      </c>
    </row>
    <row r="64" ht="15" customHeight="1" s="54">
      <c r="X64" s="13" t="inlineStr">
        <is>
          <t>[pc] Informática personal</t>
        </is>
      </c>
      <c r="Y64" s="13" t="inlineStr">
        <is>
          <t>FIN-23 — Portal bancario (Innovaciencia)</t>
        </is>
      </c>
      <c r="AA64" s="13" t="inlineStr">
        <is>
          <t>[mobile] Informática móvil</t>
        </is>
      </c>
      <c r="AB64" s="59" t="n">
        <v>25</v>
      </c>
      <c r="AG64" s="13" t="inlineStr">
        <is>
          <t>[pc] Informática personal</t>
        </is>
      </c>
      <c r="AH64" s="13" t="inlineStr">
        <is>
          <t>FIN-23 — Portal bancario (Innovaciencia)</t>
        </is>
      </c>
      <c r="AJ64" s="13" t="inlineStr">
        <is>
          <t>[mobile] Informática móvil</t>
        </is>
      </c>
      <c r="AK64" s="59" t="n">
        <v>25</v>
      </c>
    </row>
    <row r="65" ht="30" customHeight="1" s="54">
      <c r="X65" s="13" t="inlineStr">
        <is>
          <t>[mobile] Informática móvil</t>
        </is>
      </c>
      <c r="Y65" s="13" t="inlineStr">
        <is>
          <t>FIN-24 — Portal(es) bancario(s) — GovTech / otras entidades</t>
        </is>
      </c>
      <c r="AA65" s="13" t="inlineStr">
        <is>
          <t>[pda] Agendas electrónicas</t>
        </is>
      </c>
      <c r="AB65" s="59" t="n">
        <v>25</v>
      </c>
      <c r="AG65" s="13" t="inlineStr">
        <is>
          <t>[mobile] Informática móvil</t>
        </is>
      </c>
      <c r="AH65" s="13" t="inlineStr">
        <is>
          <t>FIN-24 — Portal(es) bancario(s) — GovTech / otras entidades</t>
        </is>
      </c>
      <c r="AJ65" s="13" t="inlineStr">
        <is>
          <t>[pda] Agendas electrónicas</t>
        </is>
      </c>
      <c r="AK65" s="59" t="n">
        <v>25</v>
      </c>
    </row>
    <row r="66" ht="15" customHeight="1" s="54">
      <c r="X66" s="13" t="inlineStr">
        <is>
          <t>[pda] Agendas electrónicas</t>
        </is>
      </c>
      <c r="Y66" s="13" t="inlineStr">
        <is>
          <t>FIN-25 — Tokens/dispositivos de autorización bancaria</t>
        </is>
      </c>
      <c r="AA66" s="13" t="inlineStr">
        <is>
          <t>[vhost] Equipo virtual</t>
        </is>
      </c>
      <c r="AB66" s="59" t="n">
        <v>25</v>
      </c>
      <c r="AG66" s="13" t="inlineStr">
        <is>
          <t>[pda] Agendas electrónicas</t>
        </is>
      </c>
      <c r="AH66" s="13" t="inlineStr">
        <is>
          <t>FIN-25 — Tokens/dispositivos de autorización bancaria</t>
        </is>
      </c>
      <c r="AJ66" s="13" t="inlineStr">
        <is>
          <t>[vhost] Equipo virtual</t>
        </is>
      </c>
      <c r="AK66" s="59" t="n">
        <v>25</v>
      </c>
    </row>
    <row r="67" ht="15" customHeight="1" s="54">
      <c r="X67" s="13" t="inlineStr">
        <is>
          <t>[vhost] Equipo virtual</t>
        </is>
      </c>
      <c r="Y67" s="13" t="inlineStr">
        <is>
          <t>FIN-26 — Firma electrónica DIAN (por entidad)</t>
        </is>
      </c>
      <c r="AA67" s="13" t="inlineStr">
        <is>
          <t>[backup] Equipamiento de respaldo</t>
        </is>
      </c>
      <c r="AB67" s="59" t="n">
        <v>25</v>
      </c>
      <c r="AG67" s="13" t="inlineStr">
        <is>
          <t>[vhost] Equipo virtual</t>
        </is>
      </c>
      <c r="AH67" s="13" t="inlineStr">
        <is>
          <t>FIN-26 — Firma electrónica DIAN (por entidad)</t>
        </is>
      </c>
      <c r="AJ67" s="13" t="inlineStr">
        <is>
          <t>[backup] Equipamiento de respaldo</t>
        </is>
      </c>
      <c r="AK67" s="59" t="n">
        <v>25</v>
      </c>
    </row>
    <row r="68" ht="15" customHeight="1" s="54">
      <c r="X68" s="13" t="inlineStr">
        <is>
          <t>[backup] Equipamiento de respaldo</t>
        </is>
      </c>
      <c r="Y68" s="13" t="inlineStr">
        <is>
          <t>FIN-27 — Facturación electrónica DIAN / RADIAN</t>
        </is>
      </c>
      <c r="AA68" s="13" t="inlineStr">
        <is>
          <t>[peripheral] Periféricos</t>
        </is>
      </c>
      <c r="AB68" s="59" t="n">
        <v>25</v>
      </c>
      <c r="AG68" s="13" t="inlineStr">
        <is>
          <t>[backup] Equipamiento de respaldo</t>
        </is>
      </c>
      <c r="AH68" s="13" t="inlineStr">
        <is>
          <t>FIN-27 — Facturación electrónica DIAN / RADIAN</t>
        </is>
      </c>
      <c r="AJ68" s="13" t="inlineStr">
        <is>
          <t>[peripheral] Periféricos</t>
        </is>
      </c>
      <c r="AK68" s="59" t="n">
        <v>25</v>
      </c>
    </row>
    <row r="69" ht="15" customHeight="1" s="54">
      <c r="X69" s="13" t="inlineStr">
        <is>
          <t>[peripheral] Periféricos</t>
        </is>
      </c>
      <c r="Y69" s="13" t="inlineStr">
        <is>
          <t>FIN-28 — Plataforma de seguridad social (PILA)</t>
        </is>
      </c>
      <c r="AA69" s="13" t="inlineStr">
        <is>
          <t>[print] Medios de impresión</t>
        </is>
      </c>
      <c r="AB69" s="59" t="n">
        <v>25</v>
      </c>
      <c r="AG69" s="13" t="inlineStr">
        <is>
          <t>[peripheral] Periféricos</t>
        </is>
      </c>
      <c r="AH69" s="13" t="inlineStr">
        <is>
          <t>FIN-28 — Plataforma de seguridad social (PILA)</t>
        </is>
      </c>
      <c r="AJ69" s="13" t="inlineStr">
        <is>
          <t>[print] Medios de impresión</t>
        </is>
      </c>
      <c r="AK69" s="59" t="n">
        <v>25</v>
      </c>
    </row>
    <row r="70" ht="15" customHeight="1" s="54">
      <c r="X70" s="13" t="inlineStr">
        <is>
          <t>[print] Medios de impresión</t>
        </is>
      </c>
      <c r="Y70" s="13" t="inlineStr">
        <is>
          <t>FIN-29 — Repositorio financiero SharePoint/OneDrive</t>
        </is>
      </c>
      <c r="AA70" s="13" t="inlineStr">
        <is>
          <t>[scan] Escáneres</t>
        </is>
      </c>
      <c r="AB70" s="59" t="n">
        <v>25</v>
      </c>
      <c r="AG70" s="13" t="inlineStr">
        <is>
          <t>[print] Medios de impresión</t>
        </is>
      </c>
      <c r="AH70" s="13" t="inlineStr">
        <is>
          <t>FIN-29 — Repositorio financiero SharePoint/OneDrive</t>
        </is>
      </c>
      <c r="AJ70" s="13" t="inlineStr">
        <is>
          <t>[scan] Escáneres</t>
        </is>
      </c>
      <c r="AK70" s="59" t="n">
        <v>25</v>
      </c>
    </row>
    <row r="71" ht="15" customHeight="1" s="54">
      <c r="X71" s="13" t="inlineStr">
        <is>
          <t>[scan] Escáneres</t>
        </is>
      </c>
      <c r="Y71" s="13" t="inlineStr">
        <is>
          <t>GH-001 — cuantico-crm-pry-l</t>
        </is>
      </c>
      <c r="AA71" s="13" t="inlineStr">
        <is>
          <t>[crypto] Dispositivos criptográficos</t>
        </is>
      </c>
      <c r="AB71" s="59" t="n">
        <v>25</v>
      </c>
      <c r="AG71" s="13" t="inlineStr">
        <is>
          <t>[scan] Escáneres</t>
        </is>
      </c>
      <c r="AH71" s="13" t="inlineStr">
        <is>
          <t>GH-001 — cuantico-crm-pry-l</t>
        </is>
      </c>
      <c r="AJ71" s="13" t="inlineStr">
        <is>
          <t>[crypto] Dispositivos criptográficos</t>
        </is>
      </c>
      <c r="AK71" s="59" t="n">
        <v>25</v>
      </c>
    </row>
    <row r="72" ht="15" customHeight="1" s="54">
      <c r="X72" s="13" t="inlineStr">
        <is>
          <t>[crypto] Dispositivos criptográficos</t>
        </is>
      </c>
      <c r="Y72" s="13" t="inlineStr">
        <is>
          <t>GH-002 — powerbi_reports</t>
        </is>
      </c>
      <c r="AA72" s="13" t="inlineStr">
        <is>
          <t>[bp] Dispositivo de frontera (bastion host)</t>
        </is>
      </c>
      <c r="AB72" s="59" t="n">
        <v>25</v>
      </c>
      <c r="AG72" s="13" t="inlineStr">
        <is>
          <t>[crypto] Dispositivos criptográficos</t>
        </is>
      </c>
      <c r="AH72" s="13" t="inlineStr">
        <is>
          <t>GH-002 — powerbi_reports</t>
        </is>
      </c>
      <c r="AJ72" s="13" t="inlineStr">
        <is>
          <t>[bp] Dispositivo de frontera (bastion host)</t>
        </is>
      </c>
      <c r="AK72" s="59" t="n">
        <v>25</v>
      </c>
    </row>
    <row r="73" ht="15" customHeight="1" s="54">
      <c r="X73" s="13" t="inlineStr">
        <is>
          <t>[bp] Dispositivo de frontera (bastion host)</t>
        </is>
      </c>
      <c r="Y73" s="13" t="inlineStr">
        <is>
          <t>GH-003 — sicov-back-identidades</t>
        </is>
      </c>
      <c r="AA73" s="13" t="inlineStr">
        <is>
          <t>[network] Soporte de la red</t>
        </is>
      </c>
      <c r="AB73" s="59" t="n">
        <v>25</v>
      </c>
      <c r="AG73" s="13" t="inlineStr">
        <is>
          <t>[bp] Dispositivo de frontera (bastion host)</t>
        </is>
      </c>
      <c r="AH73" s="13" t="inlineStr">
        <is>
          <t>GH-003 — sicov-back-identidades</t>
        </is>
      </c>
      <c r="AJ73" s="13" t="inlineStr">
        <is>
          <t>[network] Soporte de la red</t>
        </is>
      </c>
      <c r="AK73" s="59" t="n">
        <v>25</v>
      </c>
    </row>
    <row r="74" ht="15" customHeight="1" s="54">
      <c r="X74" s="13" t="inlineStr">
        <is>
          <t>[network] Soporte de la red</t>
        </is>
      </c>
      <c r="Y74" s="13" t="inlineStr">
        <is>
          <t>GH-004 — mintrace-back-core-n</t>
        </is>
      </c>
      <c r="AA74" s="13" t="inlineStr">
        <is>
          <t>[modem] Módems</t>
        </is>
      </c>
      <c r="AB74" s="59" t="n">
        <v>25</v>
      </c>
      <c r="AG74" s="13" t="inlineStr">
        <is>
          <t>[network] Soporte de la red</t>
        </is>
      </c>
      <c r="AH74" s="13" t="inlineStr">
        <is>
          <t>GH-004 — mintrace-back-core-n</t>
        </is>
      </c>
      <c r="AJ74" s="13" t="inlineStr">
        <is>
          <t>[modem] Módems</t>
        </is>
      </c>
      <c r="AK74" s="59" t="n">
        <v>25</v>
      </c>
    </row>
    <row r="75" ht="15" customHeight="1" s="54">
      <c r="X75" s="13" t="inlineStr">
        <is>
          <t>[modem] Módems</t>
        </is>
      </c>
      <c r="Y75" s="13" t="inlineStr">
        <is>
          <t>GH-005 — rpa_sig</t>
        </is>
      </c>
      <c r="AA75" s="13" t="inlineStr">
        <is>
          <t>[hub] Concentradores</t>
        </is>
      </c>
      <c r="AB75" s="59" t="n">
        <v>25</v>
      </c>
      <c r="AG75" s="13" t="inlineStr">
        <is>
          <t>[modem] Módems</t>
        </is>
      </c>
      <c r="AH75" s="13" t="inlineStr">
        <is>
          <t>GH-005 — rpa_sig</t>
        </is>
      </c>
      <c r="AJ75" s="13" t="inlineStr">
        <is>
          <t>[hub] Concentradores</t>
        </is>
      </c>
      <c r="AK75" s="59" t="n">
        <v>25</v>
      </c>
    </row>
    <row r="76" ht="15" customHeight="1" s="54">
      <c r="X76" s="13" t="inlineStr">
        <is>
          <t>[hub] Concentradores</t>
        </is>
      </c>
      <c r="Y76" s="13" t="inlineStr">
        <is>
          <t>GH-006 — mop_bot</t>
        </is>
      </c>
      <c r="AA76" s="13" t="inlineStr">
        <is>
          <t>[switch] Conmutadores</t>
        </is>
      </c>
      <c r="AB76" s="59" t="n">
        <v>25</v>
      </c>
      <c r="AG76" s="13" t="inlineStr">
        <is>
          <t>[hub] Concentradores</t>
        </is>
      </c>
      <c r="AH76" s="13" t="inlineStr">
        <is>
          <t>GH-006 — mop_bot</t>
        </is>
      </c>
      <c r="AJ76" s="13" t="inlineStr">
        <is>
          <t>[switch] Conmutadores</t>
        </is>
      </c>
      <c r="AK76" s="59" t="n">
        <v>25</v>
      </c>
    </row>
    <row r="77" ht="15" customHeight="1" s="54">
      <c r="X77" s="13" t="inlineStr">
        <is>
          <t>[switch] Conmutadores</t>
        </is>
      </c>
      <c r="Y77" s="13" t="inlineStr">
        <is>
          <t>GH-007 — ottm-wp-base-theme</t>
        </is>
      </c>
      <c r="AA77" s="13" t="inlineStr">
        <is>
          <t>[router] Encaminadores</t>
        </is>
      </c>
      <c r="AB77" s="59" t="n">
        <v>25</v>
      </c>
      <c r="AG77" s="13" t="inlineStr">
        <is>
          <t>[switch] Conmutadores</t>
        </is>
      </c>
      <c r="AH77" s="13" t="inlineStr">
        <is>
          <t>GH-007 — ottm-wp-base-theme</t>
        </is>
      </c>
      <c r="AJ77" s="13" t="inlineStr">
        <is>
          <t>[router] Encaminadores</t>
        </is>
      </c>
      <c r="AK77" s="59" t="n">
        <v>25</v>
      </c>
    </row>
    <row r="78" ht="15" customHeight="1" s="54">
      <c r="X78" s="13" t="inlineStr">
        <is>
          <t>[router] Encaminadores</t>
        </is>
      </c>
      <c r="Y78" s="13" t="inlineStr">
        <is>
          <t>GH-008 — mintrace-back-rabbitmq-n</t>
        </is>
      </c>
      <c r="AA78" s="13" t="inlineStr">
        <is>
          <t>[bridge] Pasarelas</t>
        </is>
      </c>
      <c r="AB78" s="59" t="n">
        <v>25</v>
      </c>
      <c r="AG78" s="13" t="inlineStr">
        <is>
          <t>[router] Encaminadores</t>
        </is>
      </c>
      <c r="AH78" s="13" t="inlineStr">
        <is>
          <t>GH-008 — mintrace-back-rabbitmq-n</t>
        </is>
      </c>
      <c r="AJ78" s="13" t="inlineStr">
        <is>
          <t>[bridge] Pasarelas</t>
        </is>
      </c>
      <c r="AK78" s="59" t="n">
        <v>25</v>
      </c>
    </row>
    <row r="79" ht="15" customHeight="1" s="54">
      <c r="X79" s="13" t="inlineStr">
        <is>
          <t>[bridge] Pasarelas</t>
        </is>
      </c>
      <c r="Y79" s="13" t="inlineStr">
        <is>
          <t>GH-009 — mintrace-back-gateway-api-n</t>
        </is>
      </c>
      <c r="AA79" s="13" t="inlineStr">
        <is>
          <t>[firewall] Cortafuegos</t>
        </is>
      </c>
      <c r="AB79" s="59" t="n">
        <v>25</v>
      </c>
      <c r="AG79" s="13" t="inlineStr">
        <is>
          <t>[bridge] Pasarelas</t>
        </is>
      </c>
      <c r="AH79" s="13" t="inlineStr">
        <is>
          <t>GH-009 — mintrace-back-gateway-api-n</t>
        </is>
      </c>
      <c r="AJ79" s="13" t="inlineStr">
        <is>
          <t>[firewall] Cortafuegos</t>
        </is>
      </c>
      <c r="AK79" s="59" t="n">
        <v>25</v>
      </c>
    </row>
    <row r="80" ht="15" customHeight="1" s="54">
      <c r="X80" s="13" t="inlineStr">
        <is>
          <t>[firewall] Cortafuegos</t>
        </is>
      </c>
      <c r="Y80" s="13" t="inlineStr">
        <is>
          <t>GH-010 — sicov-integrado-cea-data-gateway-front</t>
        </is>
      </c>
      <c r="AA80" s="13" t="inlineStr">
        <is>
          <t>[wap] Punto de acceso inalámbrico</t>
        </is>
      </c>
      <c r="AB80" s="59" t="n">
        <v>25</v>
      </c>
      <c r="AG80" s="13" t="inlineStr">
        <is>
          <t>[firewall] Cortafuegos</t>
        </is>
      </c>
      <c r="AH80" s="13" t="inlineStr">
        <is>
          <t>GH-010 — sicov-integrado-cea-data-gateway-front</t>
        </is>
      </c>
      <c r="AJ80" s="13" t="inlineStr">
        <is>
          <t>[wap] Punto de acceso inalámbrico</t>
        </is>
      </c>
      <c r="AK80" s="59" t="n">
        <v>25</v>
      </c>
    </row>
    <row r="81" ht="15" customHeight="1" s="54">
      <c r="X81" s="13" t="inlineStr">
        <is>
          <t>[wap] Punto de acceso inalámbrico</t>
        </is>
      </c>
      <c r="Y81" s="13" t="inlineStr">
        <is>
          <t>GH-011 — sicov-integrado-cea-desktop-agent</t>
        </is>
      </c>
      <c r="AA81" s="13" t="inlineStr">
        <is>
          <t>[pabx] Centralita telefónica</t>
        </is>
      </c>
      <c r="AB81" s="59" t="n">
        <v>25</v>
      </c>
      <c r="AG81" s="13" t="inlineStr">
        <is>
          <t>[wap] Punto de acceso inalámbrico</t>
        </is>
      </c>
      <c r="AH81" s="13" t="inlineStr">
        <is>
          <t>GH-011 — sicov-integrado-cea-desktop-agent</t>
        </is>
      </c>
      <c r="AJ81" s="13" t="inlineStr">
        <is>
          <t>[pabx] Centralita telefónica</t>
        </is>
      </c>
      <c r="AK81" s="59" t="n">
        <v>25</v>
      </c>
    </row>
    <row r="82" ht="15" customHeight="1" s="54">
      <c r="X82" s="13" t="inlineStr">
        <is>
          <t>[pabx] Centralita telefónica</t>
        </is>
      </c>
      <c r="Y82" s="13" t="inlineStr">
        <is>
          <t>GH-012 — sicov-integrado-cea-data-vault</t>
        </is>
      </c>
      <c r="AA82" s="13" t="inlineStr">
        <is>
          <t>[ipphone] Teléfono IP</t>
        </is>
      </c>
      <c r="AB82" s="59" t="n">
        <v>25</v>
      </c>
      <c r="AG82" s="13" t="inlineStr">
        <is>
          <t>[pabx] Centralita telefónica</t>
        </is>
      </c>
      <c r="AH82" s="13" t="inlineStr">
        <is>
          <t>GH-012 — sicov-integrado-cea-data-vault</t>
        </is>
      </c>
      <c r="AJ82" s="13" t="inlineStr">
        <is>
          <t>[ipphone] Teléfono IP</t>
        </is>
      </c>
      <c r="AK82" s="59" t="n">
        <v>25</v>
      </c>
    </row>
    <row r="83" ht="15" customHeight="1" s="54">
      <c r="X83" s="13" t="inlineStr">
        <is>
          <t>[ipphone] Teléfono IP</t>
        </is>
      </c>
      <c r="Y83" s="13" t="inlineStr">
        <is>
          <t>GH-013 — sicov-integrado-cea-data-gateway</t>
        </is>
      </c>
      <c r="AA83" s="13" t="inlineStr">
        <is>
          <t>[PSTN] Red telefónica</t>
        </is>
      </c>
      <c r="AB83" s="59" t="n">
        <v>22</v>
      </c>
      <c r="AG83" s="13" t="inlineStr">
        <is>
          <t>[ipphone] Teléfono IP</t>
        </is>
      </c>
      <c r="AH83" s="13" t="inlineStr">
        <is>
          <t>GH-013 — sicov-integrado-cea-data-gateway</t>
        </is>
      </c>
      <c r="AJ83" s="13" t="inlineStr">
        <is>
          <t>[PSTN] Red telefónica</t>
        </is>
      </c>
      <c r="AK83" s="59" t="n">
        <v>22</v>
      </c>
    </row>
    <row r="84" ht="15" customHeight="1" s="54">
      <c r="X84" s="13" t="inlineStr">
        <is>
          <t>[PSTN] Red telefónica</t>
        </is>
      </c>
      <c r="Y84" s="13" t="inlineStr">
        <is>
          <t>GH-014 — mintrace-back-ptm-n</t>
        </is>
      </c>
      <c r="AA84" s="13" t="inlineStr">
        <is>
          <t>[ISDN] RDSI (red digital)</t>
        </is>
      </c>
      <c r="AB84" s="59" t="n">
        <v>22</v>
      </c>
      <c r="AG84" s="13" t="inlineStr">
        <is>
          <t>[PSTN] Red telefónica</t>
        </is>
      </c>
      <c r="AH84" s="13" t="inlineStr">
        <is>
          <t>GH-014 — mintrace-back-ptm-n</t>
        </is>
      </c>
      <c r="AJ84" s="13" t="inlineStr">
        <is>
          <t>[ISDN] RDSI (red digital)</t>
        </is>
      </c>
      <c r="AK84" s="59" t="n">
        <v>22</v>
      </c>
    </row>
    <row r="85" ht="15" customHeight="1" s="54">
      <c r="X85" s="13" t="inlineStr">
        <is>
          <t>[ISDN] RDSI (red digital)</t>
        </is>
      </c>
      <c r="Y85" s="13" t="inlineStr">
        <is>
          <t>GH-015 — automatizcion_inc</t>
        </is>
      </c>
      <c r="AA85" s="13" t="inlineStr">
        <is>
          <t>[X25] Red de datos X25</t>
        </is>
      </c>
      <c r="AB85" s="59" t="n">
        <v>22</v>
      </c>
      <c r="AG85" s="13" t="inlineStr">
        <is>
          <t>[ISDN] RDSI (red digital)</t>
        </is>
      </c>
      <c r="AH85" s="13" t="inlineStr">
        <is>
          <t>GH-015 — automatizcion_inc</t>
        </is>
      </c>
      <c r="AJ85" s="13" t="inlineStr">
        <is>
          <t>[X25] Red de datos X25</t>
        </is>
      </c>
      <c r="AK85" s="59" t="n">
        <v>22</v>
      </c>
    </row>
    <row r="86" ht="15" customHeight="1" s="54">
      <c r="X86" s="13" t="inlineStr">
        <is>
          <t>[X25] Red de datos X25</t>
        </is>
      </c>
      <c r="Y86" s="13" t="inlineStr">
        <is>
          <t>GH-016 — mintrace-admin</t>
        </is>
      </c>
      <c r="AA86" s="13" t="inlineStr">
        <is>
          <t>[ADSL] ADSL</t>
        </is>
      </c>
      <c r="AB86" s="59" t="n">
        <v>22</v>
      </c>
      <c r="AG86" s="13" t="inlineStr">
        <is>
          <t>[X25] Red de datos X25</t>
        </is>
      </c>
      <c r="AH86" s="13" t="inlineStr">
        <is>
          <t>GH-016 — mintrace-admin</t>
        </is>
      </c>
      <c r="AJ86" s="13" t="inlineStr">
        <is>
          <t>[ADSL] ADSL</t>
        </is>
      </c>
      <c r="AK86" s="59" t="n">
        <v>22</v>
      </c>
    </row>
    <row r="87" ht="15" customHeight="1" s="54">
      <c r="X87" s="13" t="inlineStr">
        <is>
          <t>[ADSL] ADSL</t>
        </is>
      </c>
      <c r="Y87" s="13" t="inlineStr">
        <is>
          <t>GH-017 — cuantico_start_project</t>
        </is>
      </c>
      <c r="AA87" s="13" t="inlineStr">
        <is>
          <t>[pp] Punto a punto</t>
        </is>
      </c>
      <c r="AB87" s="59" t="n">
        <v>22</v>
      </c>
      <c r="AG87" s="13" t="inlineStr">
        <is>
          <t>[ADSL] ADSL</t>
        </is>
      </c>
      <c r="AH87" s="13" t="inlineStr">
        <is>
          <t>GH-017 — cuantico_start_project</t>
        </is>
      </c>
      <c r="AJ87" s="13" t="inlineStr">
        <is>
          <t>[pp] Punto a punto</t>
        </is>
      </c>
      <c r="AK87" s="59" t="n">
        <v>22</v>
      </c>
    </row>
    <row r="88" ht="15" customHeight="1" s="54">
      <c r="X88" s="13" t="inlineStr">
        <is>
          <t>[pp] Punto a punto</t>
        </is>
      </c>
      <c r="Y88" s="13" t="inlineStr">
        <is>
          <t>GH-018 — rpa-impoconsumo</t>
        </is>
      </c>
      <c r="AA88" s="13" t="inlineStr">
        <is>
          <t>[radio] Comunicaciones por radio</t>
        </is>
      </c>
      <c r="AB88" s="59" t="n">
        <v>22</v>
      </c>
      <c r="AG88" s="13" t="inlineStr">
        <is>
          <t>[pp] Punto a punto</t>
        </is>
      </c>
      <c r="AH88" s="13" t="inlineStr">
        <is>
          <t>GH-018 — rpa-impoconsumo</t>
        </is>
      </c>
      <c r="AJ88" s="13" t="inlineStr">
        <is>
          <t>[radio] Comunicaciones por radio</t>
        </is>
      </c>
      <c r="AK88" s="59" t="n">
        <v>22</v>
      </c>
    </row>
    <row r="89" ht="15" customHeight="1" s="54">
      <c r="X89" s="13" t="inlineStr">
        <is>
          <t>[radio] Comunicaciones por radio</t>
        </is>
      </c>
      <c r="Y89" s="13" t="inlineStr">
        <is>
          <t>GH-019 — bot-almera</t>
        </is>
      </c>
      <c r="AA89" s="13" t="inlineStr">
        <is>
          <t>[wifi] Red inalámbrica</t>
        </is>
      </c>
      <c r="AB89" s="59" t="n">
        <v>22</v>
      </c>
      <c r="AG89" s="13" t="inlineStr">
        <is>
          <t>[radio] Comunicaciones por radio</t>
        </is>
      </c>
      <c r="AH89" s="13" t="inlineStr">
        <is>
          <t>GH-019 — bot-almera</t>
        </is>
      </c>
      <c r="AJ89" s="13" t="inlineStr">
        <is>
          <t>[wifi] Red inalámbrica</t>
        </is>
      </c>
      <c r="AK89" s="59" t="n">
        <v>22</v>
      </c>
    </row>
    <row r="90" ht="15" customHeight="1" s="54">
      <c r="X90" s="13" t="inlineStr">
        <is>
          <t>[wifi] Red inalámbrica</t>
        </is>
      </c>
      <c r="Y90" s="13" t="inlineStr">
        <is>
          <t>GH-020 — cuantico-ceo-agent</t>
        </is>
      </c>
      <c r="AA90" s="13" t="inlineStr">
        <is>
          <t>[mobile] Telefonía móvil</t>
        </is>
      </c>
      <c r="AB90" s="59" t="n">
        <v>22</v>
      </c>
      <c r="AG90" s="13" t="inlineStr">
        <is>
          <t>[wifi] Red inalámbrica</t>
        </is>
      </c>
      <c r="AH90" s="13" t="inlineStr">
        <is>
          <t>GH-020 — cuantico-ceo-agent</t>
        </is>
      </c>
      <c r="AJ90" s="13" t="inlineStr">
        <is>
          <t>[mobile] Telefonía móvil</t>
        </is>
      </c>
      <c r="AK90" s="59" t="n">
        <v>22</v>
      </c>
    </row>
    <row r="91" ht="15" customHeight="1" s="54">
      <c r="X91" s="13" t="inlineStr">
        <is>
          <t>[mobile] Telefonía móvil</t>
        </is>
      </c>
      <c r="Y91" s="13" t="inlineStr">
        <is>
          <t>GH-021 — hub-analytics-ilc</t>
        </is>
      </c>
      <c r="AA91" s="13" t="inlineStr">
        <is>
          <t>[sat] Comunicaciones por satélite</t>
        </is>
      </c>
      <c r="AB91" s="59" t="n">
        <v>22</v>
      </c>
      <c r="AG91" s="13" t="inlineStr">
        <is>
          <t>[mobile] Telefonía móvil</t>
        </is>
      </c>
      <c r="AH91" s="13" t="inlineStr">
        <is>
          <t>GH-021 — hub-analytics-ilc</t>
        </is>
      </c>
      <c r="AJ91" s="13" t="inlineStr">
        <is>
          <t>[sat] Comunicaciones por satélite</t>
        </is>
      </c>
      <c r="AK91" s="59" t="n">
        <v>22</v>
      </c>
    </row>
    <row r="92" ht="15" customHeight="1" s="54">
      <c r="X92" s="13" t="inlineStr">
        <is>
          <t>[sat] Comunicaciones por satélite</t>
        </is>
      </c>
      <c r="Y92" s="13" t="inlineStr">
        <is>
          <t>GH-022 — ai-specs</t>
        </is>
      </c>
      <c r="AA92" s="13" t="inlineStr">
        <is>
          <t>[LAN] Red local</t>
        </is>
      </c>
      <c r="AB92" s="59" t="n">
        <v>22</v>
      </c>
      <c r="AG92" s="13" t="inlineStr">
        <is>
          <t>[sat] Comunicaciones por satélite</t>
        </is>
      </c>
      <c r="AH92" s="13" t="inlineStr">
        <is>
          <t>GH-022 — ai-specs</t>
        </is>
      </c>
      <c r="AJ92" s="13" t="inlineStr">
        <is>
          <t>[LAN] Red local</t>
        </is>
      </c>
      <c r="AK92" s="59" t="n">
        <v>22</v>
      </c>
    </row>
    <row r="93" ht="15" customHeight="1" s="54">
      <c r="X93" s="13" t="inlineStr">
        <is>
          <t>[LAN] Red local</t>
        </is>
      </c>
      <c r="Y93" s="13" t="inlineStr">
        <is>
          <t>GH-023 — sgi-cuantico</t>
        </is>
      </c>
      <c r="AA93" s="13" t="inlineStr">
        <is>
          <t>[MAN] Red metropolitana</t>
        </is>
      </c>
      <c r="AB93" s="59" t="n">
        <v>22</v>
      </c>
      <c r="AG93" s="13" t="inlineStr">
        <is>
          <t>[LAN] Red local</t>
        </is>
      </c>
      <c r="AH93" s="13" t="inlineStr">
        <is>
          <t>GH-023 — sgi-cuantico</t>
        </is>
      </c>
      <c r="AJ93" s="13" t="inlineStr">
        <is>
          <t>[MAN] Red metropolitana</t>
        </is>
      </c>
      <c r="AK93" s="59" t="n">
        <v>22</v>
      </c>
    </row>
    <row r="94" ht="15" customHeight="1" s="54">
      <c r="X94" s="13" t="inlineStr">
        <is>
          <t>[MAN] Red metropolitana</t>
        </is>
      </c>
      <c r="Y94" s="13" t="inlineStr">
        <is>
          <t>GH-024 — rpa-secop-sia</t>
        </is>
      </c>
      <c r="AA94" s="13" t="inlineStr">
        <is>
          <t>[Internet] Internet</t>
        </is>
      </c>
      <c r="AB94" s="59" t="n">
        <v>22</v>
      </c>
      <c r="AG94" s="13" t="inlineStr">
        <is>
          <t>[MAN] Red metropolitana</t>
        </is>
      </c>
      <c r="AH94" s="13" t="inlineStr">
        <is>
          <t>GH-024 — rpa-secop-sia</t>
        </is>
      </c>
      <c r="AJ94" s="13" t="inlineStr">
        <is>
          <t>[Internet] Internet</t>
        </is>
      </c>
      <c r="AK94" s="59" t="n">
        <v>22</v>
      </c>
    </row>
    <row r="95" ht="15" customHeight="1" s="54">
      <c r="X95" s="13" t="inlineStr">
        <is>
          <t>[Internet] Internet</t>
        </is>
      </c>
      <c r="Y95" s="13" t="inlineStr">
        <is>
          <t>GH-025 — mintrace-back-webhoohs-logs-n</t>
        </is>
      </c>
      <c r="AA95" s="13" t="inlineStr">
        <is>
          <t>[electronic] Electrónicos</t>
        </is>
      </c>
      <c r="AB95" s="59" t="n">
        <v>29</v>
      </c>
      <c r="AG95" s="13" t="inlineStr">
        <is>
          <t>[Internet] Internet</t>
        </is>
      </c>
      <c r="AH95" s="13" t="inlineStr">
        <is>
          <t>GH-025 — mintrace-back-webhoohs-logs-n</t>
        </is>
      </c>
      <c r="AJ95" s="13" t="inlineStr">
        <is>
          <t>[electronic] Electrónicos</t>
        </is>
      </c>
      <c r="AK95" s="59" t="n">
        <v>29</v>
      </c>
    </row>
    <row r="96" ht="15" customHeight="1" s="54">
      <c r="X96" s="13" t="inlineStr">
        <is>
          <t>[electronic] Electrónicos</t>
        </is>
      </c>
      <c r="Y96" s="13" t="inlineStr">
        <is>
          <t>GH-026 — mintrace-public-service-api</t>
        </is>
      </c>
      <c r="AA96" s="13" t="inlineStr">
        <is>
          <t>[disk] Discos</t>
        </is>
      </c>
      <c r="AB96" s="59" t="n">
        <v>29</v>
      </c>
      <c r="AG96" s="13" t="inlineStr">
        <is>
          <t>[electronic] Electrónicos</t>
        </is>
      </c>
      <c r="AH96" s="13" t="inlineStr">
        <is>
          <t>GH-026 — mintrace-public-service-api</t>
        </is>
      </c>
      <c r="AJ96" s="13" t="inlineStr">
        <is>
          <t>[disk] Discos</t>
        </is>
      </c>
      <c r="AK96" s="59" t="n">
        <v>29</v>
      </c>
    </row>
    <row r="97" ht="15" customHeight="1" s="54">
      <c r="X97" s="13" t="inlineStr">
        <is>
          <t>[disk] Discos</t>
        </is>
      </c>
      <c r="Y97" s="13" t="inlineStr">
        <is>
          <t>GH-027 — mintrace-plugin-async-a</t>
        </is>
      </c>
      <c r="AA97" s="13" t="inlineStr">
        <is>
          <t>[vdisk] Discos virtuales</t>
        </is>
      </c>
      <c r="AB97" s="59" t="n">
        <v>29</v>
      </c>
      <c r="AG97" s="13" t="inlineStr">
        <is>
          <t>[disk] Discos</t>
        </is>
      </c>
      <c r="AH97" s="13" t="inlineStr">
        <is>
          <t>GH-027 — mintrace-plugin-async-a</t>
        </is>
      </c>
      <c r="AJ97" s="13" t="inlineStr">
        <is>
          <t>[vdisk] Discos virtuales</t>
        </is>
      </c>
      <c r="AK97" s="59" t="n">
        <v>29</v>
      </c>
    </row>
    <row r="98" ht="15" customHeight="1" s="54">
      <c r="X98" s="13" t="inlineStr">
        <is>
          <t>[vdisk] Discos virtuales</t>
        </is>
      </c>
      <c r="Y98" s="13" t="inlineStr">
        <is>
          <t>GH-028 — panel_admin</t>
        </is>
      </c>
      <c r="AA98" s="13" t="inlineStr">
        <is>
          <t>[san] Almacenamiento en red</t>
        </is>
      </c>
      <c r="AB98" s="59" t="n">
        <v>29</v>
      </c>
      <c r="AG98" s="13" t="inlineStr">
        <is>
          <t>[vdisk] Discos virtuales</t>
        </is>
      </c>
      <c r="AH98" s="13" t="inlineStr">
        <is>
          <t>GH-028 — panel_admin</t>
        </is>
      </c>
      <c r="AJ98" s="13" t="inlineStr">
        <is>
          <t>[san] Almacenamiento en red</t>
        </is>
      </c>
      <c r="AK98" s="59" t="n">
        <v>29</v>
      </c>
    </row>
    <row r="99" ht="15" customHeight="1" s="54">
      <c r="X99" s="13" t="inlineStr">
        <is>
          <t>[san] Almacenamiento en red</t>
        </is>
      </c>
      <c r="Y99" s="13" t="inlineStr">
        <is>
          <t>GH-029 — mintrace-powwi-api-n</t>
        </is>
      </c>
      <c r="AA99" s="13" t="inlineStr">
        <is>
          <t>[disquette] Disquetes</t>
        </is>
      </c>
      <c r="AB99" s="59" t="n">
        <v>29</v>
      </c>
      <c r="AG99" s="13" t="inlineStr">
        <is>
          <t>[san] Almacenamiento en red</t>
        </is>
      </c>
      <c r="AH99" s="13" t="inlineStr">
        <is>
          <t>GH-029 — mintrace-powwi-api-n</t>
        </is>
      </c>
      <c r="AJ99" s="13" t="inlineStr">
        <is>
          <t>[disquette] Disquetes</t>
        </is>
      </c>
      <c r="AK99" s="59" t="n">
        <v>29</v>
      </c>
    </row>
    <row r="100" ht="15" customHeight="1" s="54">
      <c r="X100" s="13" t="inlineStr">
        <is>
          <t>[disquette] Disquetes</t>
        </is>
      </c>
      <c r="Y100" s="13" t="inlineStr">
        <is>
          <t>GH-030 — oee-dashboard</t>
        </is>
      </c>
      <c r="AA100" s="13" t="inlineStr">
        <is>
          <t>[cd] CD-ROM</t>
        </is>
      </c>
      <c r="AB100" s="59" t="n">
        <v>29</v>
      </c>
      <c r="AG100" s="13" t="inlineStr">
        <is>
          <t>[disquette] Disquetes</t>
        </is>
      </c>
      <c r="AH100" s="13" t="inlineStr">
        <is>
          <t>GH-030 — oee-dashboard</t>
        </is>
      </c>
      <c r="AJ100" s="13" t="inlineStr">
        <is>
          <t>[cd] CD-ROM</t>
        </is>
      </c>
      <c r="AK100" s="59" t="n">
        <v>29</v>
      </c>
    </row>
    <row r="101" ht="15" customHeight="1" s="54">
      <c r="X101" s="13" t="inlineStr">
        <is>
          <t>[cd] CD-ROM</t>
        </is>
      </c>
      <c r="Y101" s="13" t="inlineStr">
        <is>
          <t>GH-031 — mintrace-plugin-autoregistro-wp-b</t>
        </is>
      </c>
      <c r="AA101" s="13" t="inlineStr">
        <is>
          <t>[usb] Memorias USB</t>
        </is>
      </c>
      <c r="AB101" s="59" t="n">
        <v>29</v>
      </c>
      <c r="AG101" s="13" t="inlineStr">
        <is>
          <t>[cd] CD-ROM</t>
        </is>
      </c>
      <c r="AH101" s="13" t="inlineStr">
        <is>
          <t>GH-031 — mintrace-plugin-autoregistro-wp-b</t>
        </is>
      </c>
      <c r="AJ101" s="13" t="inlineStr">
        <is>
          <t>[usb] Memorias USB</t>
        </is>
      </c>
      <c r="AK101" s="59" t="n">
        <v>29</v>
      </c>
    </row>
    <row r="102" ht="15" customHeight="1" s="54">
      <c r="X102" s="13" t="inlineStr">
        <is>
          <t>[usb] Memorias USB</t>
        </is>
      </c>
      <c r="Y102" s="13" t="inlineStr">
        <is>
          <t>GH-032 — dashboard_mintrace</t>
        </is>
      </c>
      <c r="AA102" s="13" t="inlineStr">
        <is>
          <t>[dvd] DVD</t>
        </is>
      </c>
      <c r="AB102" s="59" t="n">
        <v>29</v>
      </c>
      <c r="AG102" s="13" t="inlineStr">
        <is>
          <t>[usb] Memorias USB</t>
        </is>
      </c>
      <c r="AH102" s="13" t="inlineStr">
        <is>
          <t>GH-032 — dashboard_mintrace</t>
        </is>
      </c>
      <c r="AJ102" s="13" t="inlineStr">
        <is>
          <t>[dvd] DVD</t>
        </is>
      </c>
      <c r="AK102" s="59" t="n">
        <v>29</v>
      </c>
    </row>
    <row r="103" ht="15" customHeight="1" s="54">
      <c r="X103" s="13" t="inlineStr">
        <is>
          <t>[dvd] DVD</t>
        </is>
      </c>
      <c r="Y103" s="13" t="inlineStr">
        <is>
          <t>GH-033 — pruebas_mintrace</t>
        </is>
      </c>
      <c r="AA103" s="13" t="inlineStr">
        <is>
          <t>[tape] Cintas magnéticas</t>
        </is>
      </c>
      <c r="AB103" s="59" t="n">
        <v>29</v>
      </c>
      <c r="AG103" s="13" t="inlineStr">
        <is>
          <t>[dvd] DVD</t>
        </is>
      </c>
      <c r="AH103" s="13" t="inlineStr">
        <is>
          <t>GH-033 — pruebas_mintrace</t>
        </is>
      </c>
      <c r="AJ103" s="13" t="inlineStr">
        <is>
          <t>[tape] Cintas magnéticas</t>
        </is>
      </c>
      <c r="AK103" s="59" t="n">
        <v>29</v>
      </c>
    </row>
    <row r="104" ht="15" customHeight="1" s="54">
      <c r="X104" s="13" t="inlineStr">
        <is>
          <t>[tape] Cintas magnéticas</t>
        </is>
      </c>
      <c r="Y104" s="13" t="inlineStr">
        <is>
          <t>GH-034 — cuantico-node-whatsapp-masiv-grange</t>
        </is>
      </c>
      <c r="AA104" s="13" t="inlineStr">
        <is>
          <t>[mc] Tarjetas de memoria</t>
        </is>
      </c>
      <c r="AB104" s="59" t="n">
        <v>29</v>
      </c>
      <c r="AG104" s="13" t="inlineStr">
        <is>
          <t>[tape] Cintas magnéticas</t>
        </is>
      </c>
      <c r="AH104" s="13" t="inlineStr">
        <is>
          <t>GH-034 — cuantico-node-whatsapp-masiv-grange</t>
        </is>
      </c>
      <c r="AJ104" s="13" t="inlineStr">
        <is>
          <t>[mc] Tarjetas de memoria</t>
        </is>
      </c>
      <c r="AK104" s="59" t="n">
        <v>29</v>
      </c>
    </row>
    <row r="105" ht="15" customHeight="1" s="54">
      <c r="X105" s="13" t="inlineStr">
        <is>
          <t>[mc] Tarjetas de memoria</t>
        </is>
      </c>
      <c r="Y105" s="13" t="inlineStr">
        <is>
          <t>GH-035 — data_analisis</t>
        </is>
      </c>
      <c r="AA105" s="13" t="inlineStr">
        <is>
          <t>[ic] Tarjetas inteligentes</t>
        </is>
      </c>
      <c r="AB105" s="59" t="n">
        <v>29</v>
      </c>
      <c r="AG105" s="13" t="inlineStr">
        <is>
          <t>[mc] Tarjetas de memoria</t>
        </is>
      </c>
      <c r="AH105" s="13" t="inlineStr">
        <is>
          <t>GH-035 — data_analisis</t>
        </is>
      </c>
      <c r="AJ105" s="13" t="inlineStr">
        <is>
          <t>[ic] Tarjetas inteligentes</t>
        </is>
      </c>
      <c r="AK105" s="59" t="n">
        <v>29</v>
      </c>
    </row>
    <row r="106" ht="15" customHeight="1" s="54">
      <c r="X106" s="13" t="inlineStr">
        <is>
          <t>[ic] Tarjetas inteligentes</t>
        </is>
      </c>
      <c r="Y106" s="13" t="inlineStr">
        <is>
          <t>GH-036 — ottm-wp-plugin-autoregistro-a</t>
        </is>
      </c>
      <c r="AA106" s="13" t="inlineStr">
        <is>
          <t>[non_electronic] No electrónicos</t>
        </is>
      </c>
      <c r="AB106" s="59" t="n">
        <v>29</v>
      </c>
      <c r="AG106" s="13" t="inlineStr">
        <is>
          <t>[ic] Tarjetas inteligentes</t>
        </is>
      </c>
      <c r="AH106" s="13" t="inlineStr">
        <is>
          <t>GH-036 — ottm-wp-plugin-autoregistro-a</t>
        </is>
      </c>
      <c r="AJ106" s="13" t="inlineStr">
        <is>
          <t>[non_electronic] No electrónicos</t>
        </is>
      </c>
      <c r="AK106" s="59" t="n">
        <v>29</v>
      </c>
    </row>
    <row r="107" ht="15" customHeight="1" s="54">
      <c r="X107" s="13" t="inlineStr">
        <is>
          <t>[non_electronic] No electrónicos</t>
        </is>
      </c>
      <c r="Y107" s="13" t="inlineStr">
        <is>
          <t>GH-037 — cuant-payments-wp-1cero1</t>
        </is>
      </c>
      <c r="AA107" s="13" t="inlineStr">
        <is>
          <t>[printed] Material impreso</t>
        </is>
      </c>
      <c r="AB107" s="59" t="n">
        <v>29</v>
      </c>
      <c r="AG107" s="13" t="inlineStr">
        <is>
          <t>[non_electronic] No electrónicos</t>
        </is>
      </c>
      <c r="AH107" s="13" t="inlineStr">
        <is>
          <t>GH-037 — cuant-payments-wp-1cero1</t>
        </is>
      </c>
      <c r="AJ107" s="13" t="inlineStr">
        <is>
          <t>[printed] Material impreso</t>
        </is>
      </c>
      <c r="AK107" s="59" t="n">
        <v>29</v>
      </c>
    </row>
    <row r="108" ht="15" customHeight="1" s="54">
      <c r="X108" s="13" t="inlineStr">
        <is>
          <t>[printed] Material impreso</t>
        </is>
      </c>
      <c r="Y108" s="13" t="inlineStr">
        <is>
          <t>GH-038 — mintrace-back-wallets-n</t>
        </is>
      </c>
      <c r="AA108" s="13" t="inlineStr">
        <is>
          <t>[film] Microfilm</t>
        </is>
      </c>
      <c r="AB108" s="59" t="n">
        <v>29</v>
      </c>
      <c r="AG108" s="13" t="inlineStr">
        <is>
          <t>[printed] Material impreso</t>
        </is>
      </c>
      <c r="AH108" s="13" t="inlineStr">
        <is>
          <t>GH-038 — mintrace-back-wallets-n</t>
        </is>
      </c>
      <c r="AJ108" s="13" t="inlineStr">
        <is>
          <t>[film] Microfilm</t>
        </is>
      </c>
      <c r="AK108" s="59" t="n">
        <v>29</v>
      </c>
    </row>
    <row r="109" ht="15" customHeight="1" s="54">
      <c r="X109" s="13" t="inlineStr">
        <is>
          <t>[film] Microfilm</t>
        </is>
      </c>
      <c r="Y109" s="13" t="inlineStr">
        <is>
          <t>GH-039 — cuantico-wp-whatsapp-masiv-plg</t>
        </is>
      </c>
      <c r="AA109" s="13" t="inlineStr">
        <is>
          <t>[cards] Tarjetas perforadas</t>
        </is>
      </c>
      <c r="AB109" s="59" t="n">
        <v>29</v>
      </c>
      <c r="AG109" s="13" t="inlineStr">
        <is>
          <t>[film] Microfilm</t>
        </is>
      </c>
      <c r="AH109" s="13" t="inlineStr">
        <is>
          <t>GH-039 — cuantico-wp-whatsapp-masiv-plg</t>
        </is>
      </c>
      <c r="AJ109" s="13" t="inlineStr">
        <is>
          <t>[cards] Tarjetas perforadas</t>
        </is>
      </c>
      <c r="AK109" s="59" t="n">
        <v>29</v>
      </c>
    </row>
    <row r="110" ht="15" customHeight="1" s="54">
      <c r="X110" s="13" t="inlineStr">
        <is>
          <t>[cards] Tarjetas perforadas</t>
        </is>
      </c>
      <c r="Y110" s="13" t="inlineStr">
        <is>
          <t>GH-040 — sicov-back-api-gateway-n</t>
        </is>
      </c>
      <c r="AA110" s="13" t="inlineStr">
        <is>
          <t>[power] Fuentes de alimentación</t>
        </is>
      </c>
      <c r="AB110" s="59" t="n">
        <v>20</v>
      </c>
      <c r="AG110" s="13" t="inlineStr">
        <is>
          <t>[cards] Tarjetas perforadas</t>
        </is>
      </c>
      <c r="AH110" s="13" t="inlineStr">
        <is>
          <t>GH-040 — sicov-back-api-gateway-n</t>
        </is>
      </c>
      <c r="AJ110" s="13" t="inlineStr">
        <is>
          <t>[power] Fuentes de alimentación</t>
        </is>
      </c>
      <c r="AK110" s="59" t="n">
        <v>20</v>
      </c>
    </row>
    <row r="111" ht="30" customHeight="1" s="54">
      <c r="X111" s="13" t="inlineStr">
        <is>
          <t>[power] Fuentes de alimentación</t>
        </is>
      </c>
      <c r="Y111" s="13" t="inlineStr">
        <is>
          <t>GH-041 — sicov-back-recaudo</t>
        </is>
      </c>
      <c r="AA111" s="13" t="inlineStr">
        <is>
          <t>[ups] Sistemas de alimentación ininterrumpida</t>
        </is>
      </c>
      <c r="AB111" s="59" t="n">
        <v>20</v>
      </c>
      <c r="AG111" s="13" t="inlineStr">
        <is>
          <t>[power] Fuentes de alimentación</t>
        </is>
      </c>
      <c r="AH111" s="13" t="inlineStr">
        <is>
          <t>GH-041 — sicov-back-recaudo</t>
        </is>
      </c>
      <c r="AJ111" s="13" t="inlineStr">
        <is>
          <t>[ups] Sistemas de alimentación ininterrumpida</t>
        </is>
      </c>
      <c r="AK111" s="59" t="n">
        <v>20</v>
      </c>
    </row>
    <row r="112" ht="30" customHeight="1" s="54">
      <c r="X112" s="13" t="inlineStr">
        <is>
          <t>[ups] Sistemas de alimentación ininterrumpida</t>
        </is>
      </c>
      <c r="Y112" s="13" t="inlineStr">
        <is>
          <t>GH-042 — mintrace-registro-automatico-plg</t>
        </is>
      </c>
      <c r="AA112" s="13" t="inlineStr">
        <is>
          <t>[gen] Generadores eléctricos</t>
        </is>
      </c>
      <c r="AB112" s="59" t="n">
        <v>20</v>
      </c>
      <c r="AG112" s="13" t="inlineStr">
        <is>
          <t>[ups] Sistemas de alimentación ininterrumpida</t>
        </is>
      </c>
      <c r="AH112" s="13" t="inlineStr">
        <is>
          <t>GH-042 — mintrace-registro-automatico-plg</t>
        </is>
      </c>
      <c r="AJ112" s="13" t="inlineStr">
        <is>
          <t>[gen] Generadores eléctricos</t>
        </is>
      </c>
      <c r="AK112" s="59" t="n">
        <v>20</v>
      </c>
    </row>
    <row r="113" ht="15" customHeight="1" s="54">
      <c r="X113" s="13" t="inlineStr">
        <is>
          <t>[gen] Generadores eléctricos</t>
        </is>
      </c>
      <c r="Y113" s="13" t="inlineStr">
        <is>
          <t>GH-043 — sicov-back-negocio-core</t>
        </is>
      </c>
      <c r="AA113" s="13" t="inlineStr">
        <is>
          <t>[ac] Equipos de climatización</t>
        </is>
      </c>
      <c r="AB113" s="59" t="n">
        <v>20</v>
      </c>
      <c r="AG113" s="13" t="inlineStr">
        <is>
          <t>[gen] Generadores eléctricos</t>
        </is>
      </c>
      <c r="AH113" s="13" t="inlineStr">
        <is>
          <t>GH-043 — sicov-back-negocio-core</t>
        </is>
      </c>
      <c r="AJ113" s="13" t="inlineStr">
        <is>
          <t>[ac] Equipos de climatización</t>
        </is>
      </c>
      <c r="AK113" s="59" t="n">
        <v>20</v>
      </c>
    </row>
    <row r="114" ht="15" customHeight="1" s="54">
      <c r="X114" s="13" t="inlineStr">
        <is>
          <t>[ac] Equipos de climatización</t>
        </is>
      </c>
      <c r="Y114" s="13" t="inlineStr">
        <is>
          <t>GH-044 — cuantico-agente-conversacional-ilc</t>
        </is>
      </c>
      <c r="AA114" s="13" t="inlineStr">
        <is>
          <t>[cabling] Cableado</t>
        </is>
      </c>
      <c r="AB114" s="59" t="n">
        <v>20</v>
      </c>
      <c r="AG114" s="13" t="inlineStr">
        <is>
          <t>[ac] Equipos de climatización</t>
        </is>
      </c>
      <c r="AH114" s="13" t="inlineStr">
        <is>
          <t>GH-044 — cuantico-agente-conversacional-ilc</t>
        </is>
      </c>
      <c r="AJ114" s="13" t="inlineStr">
        <is>
          <t>[cabling] Cableado</t>
        </is>
      </c>
      <c r="AK114" s="59" t="n">
        <v>20</v>
      </c>
    </row>
    <row r="115" ht="15" customHeight="1" s="54">
      <c r="X115" s="13" t="inlineStr">
        <is>
          <t>[cabling] Cableado</t>
        </is>
      </c>
      <c r="Y115" s="13" t="inlineStr">
        <is>
          <t>GH-045 — cuantico-automatizaciones-flujos-n8n</t>
        </is>
      </c>
      <c r="AA115" s="13" t="inlineStr">
        <is>
          <t>[wire] Cable eléctrico</t>
        </is>
      </c>
      <c r="AB115" s="59" t="n">
        <v>20</v>
      </c>
      <c r="AG115" s="13" t="inlineStr">
        <is>
          <t>[cabling] Cableado</t>
        </is>
      </c>
      <c r="AH115" s="13" t="inlineStr">
        <is>
          <t>GH-045 — cuantico-automatizaciones-flujos-n8n</t>
        </is>
      </c>
      <c r="AJ115" s="13" t="inlineStr">
        <is>
          <t>[wire] Cable eléctrico</t>
        </is>
      </c>
      <c r="AK115" s="59" t="n">
        <v>20</v>
      </c>
    </row>
    <row r="116" ht="15" customHeight="1" s="54">
      <c r="X116" s="13" t="inlineStr">
        <is>
          <t>[wire] Cable eléctrico</t>
        </is>
      </c>
      <c r="Y116" s="13" t="inlineStr">
        <is>
          <t>GH-046 — sicov-back-instructor</t>
        </is>
      </c>
      <c r="AA116" s="13" t="inlineStr">
        <is>
          <t>[fiber] Fibra óptica</t>
        </is>
      </c>
      <c r="AB116" s="59" t="n">
        <v>20</v>
      </c>
      <c r="AG116" s="13" t="inlineStr">
        <is>
          <t>[wire] Cable eléctrico</t>
        </is>
      </c>
      <c r="AH116" s="13" t="inlineStr">
        <is>
          <t>GH-046 — sicov-back-instructor</t>
        </is>
      </c>
      <c r="AJ116" s="13" t="inlineStr">
        <is>
          <t>[fiber] Fibra óptica</t>
        </is>
      </c>
      <c r="AK116" s="59" t="n">
        <v>20</v>
      </c>
    </row>
    <row r="117" ht="15" customHeight="1" s="54">
      <c r="X117" s="13" t="inlineStr">
        <is>
          <t>[fiber] Fibra óptica</t>
        </is>
      </c>
      <c r="Y117" s="13" t="inlineStr">
        <is>
          <t>GH-047 — sicov-wp-cea-control</t>
        </is>
      </c>
      <c r="AA117" s="13" t="inlineStr">
        <is>
          <t>[robot] Robots (cintas / discos)</t>
        </is>
      </c>
      <c r="AB117" s="59" t="n">
        <v>20</v>
      </c>
      <c r="AG117" s="13" t="inlineStr">
        <is>
          <t>[fiber] Fibra óptica</t>
        </is>
      </c>
      <c r="AH117" s="13" t="inlineStr">
        <is>
          <t>GH-047 — sicov-wp-cea-control</t>
        </is>
      </c>
      <c r="AJ117" s="13" t="inlineStr">
        <is>
          <t>[robot] Robots (cintas / discos)</t>
        </is>
      </c>
      <c r="AK117" s="59" t="n">
        <v>20</v>
      </c>
    </row>
    <row r="118" ht="15" customHeight="1" s="54">
      <c r="X118" s="13" t="inlineStr">
        <is>
          <t>[robot] Robots (cintas / discos)</t>
        </is>
      </c>
      <c r="Y118" s="13" t="inlineStr">
        <is>
          <t>GH-048 — sicov-app-instructor-f</t>
        </is>
      </c>
      <c r="AA118" s="13" t="inlineStr">
        <is>
          <t>[supply] Suministros esenciales</t>
        </is>
      </c>
      <c r="AB118" s="59" t="n">
        <v>20</v>
      </c>
      <c r="AG118" s="13" t="inlineStr">
        <is>
          <t>[robot] Robots (cintas / discos)</t>
        </is>
      </c>
      <c r="AH118" s="13" t="inlineStr">
        <is>
          <t>GH-048 — sicov-app-instructor-f</t>
        </is>
      </c>
      <c r="AJ118" s="13" t="inlineStr">
        <is>
          <t>[supply] Suministros esenciales</t>
        </is>
      </c>
      <c r="AK118" s="59" t="n">
        <v>20</v>
      </c>
    </row>
    <row r="119" ht="30" customHeight="1" s="54">
      <c r="X119" s="13" t="inlineStr">
        <is>
          <t>[supply] Suministros esenciales</t>
        </is>
      </c>
      <c r="Y119" s="13" t="inlineStr">
        <is>
          <t>GH-049 — sicov-wp-portal-ciudadano-t</t>
        </is>
      </c>
      <c r="AA119" s="13" t="inlineStr">
        <is>
          <t>[destroy] Equipos de destrucción de soportes</t>
        </is>
      </c>
      <c r="AB119" s="59" t="n">
        <v>20</v>
      </c>
      <c r="AG119" s="13" t="inlineStr">
        <is>
          <t>[supply] Suministros esenciales</t>
        </is>
      </c>
      <c r="AH119" s="13" t="inlineStr">
        <is>
          <t>GH-049 — sicov-wp-portal-ciudadano-t</t>
        </is>
      </c>
      <c r="AJ119" s="13" t="inlineStr">
        <is>
          <t>[destroy] Equipos de destrucción de soportes</t>
        </is>
      </c>
      <c r="AK119" s="59" t="n">
        <v>20</v>
      </c>
    </row>
    <row r="120" ht="15" customHeight="1" s="54">
      <c r="X120" s="13" t="inlineStr">
        <is>
          <t>[destroy] Equipos de destrucción de soportes</t>
        </is>
      </c>
      <c r="Y120" s="13" t="inlineStr">
        <is>
          <t>GH-050 — ottm-back-ptm</t>
        </is>
      </c>
      <c r="AA120" s="13" t="inlineStr">
        <is>
          <t>[furniture] Mobiliario</t>
        </is>
      </c>
      <c r="AB120" s="59" t="n">
        <v>20</v>
      </c>
      <c r="AG120" s="13" t="inlineStr">
        <is>
          <t>[destroy] Equipos de destrucción de soportes</t>
        </is>
      </c>
      <c r="AH120" s="13" t="inlineStr">
        <is>
          <t>GH-050 — ottm-back-ptm</t>
        </is>
      </c>
      <c r="AJ120" s="13" t="inlineStr">
        <is>
          <t>[furniture] Mobiliario</t>
        </is>
      </c>
      <c r="AK120" s="59" t="n">
        <v>20</v>
      </c>
    </row>
    <row r="121" ht="15" customHeight="1" s="54">
      <c r="X121" s="13" t="inlineStr">
        <is>
          <t>[furniture] Mobiliario</t>
        </is>
      </c>
      <c r="Y121" s="13" t="inlineStr">
        <is>
          <t>GH-051 — sicov-integrado-cea-service-master</t>
        </is>
      </c>
      <c r="AA121" s="13" t="inlineStr">
        <is>
          <t>[safe] Cajas fuertes</t>
        </is>
      </c>
      <c r="AB121" s="59" t="n">
        <v>20</v>
      </c>
      <c r="AG121" s="13" t="inlineStr">
        <is>
          <t>[furniture] Mobiliario</t>
        </is>
      </c>
      <c r="AH121" s="13" t="inlineStr">
        <is>
          <t>GH-051 — sicov-integrado-cea-service-master</t>
        </is>
      </c>
      <c r="AJ121" s="13" t="inlineStr">
        <is>
          <t>[safe] Cajas fuertes</t>
        </is>
      </c>
      <c r="AK121" s="59" t="n">
        <v>20</v>
      </c>
    </row>
    <row r="122" ht="15" customHeight="1" s="54">
      <c r="X122" s="13" t="inlineStr">
        <is>
          <t>[safe] Cajas fuertes</t>
        </is>
      </c>
      <c r="Y122" s="13" t="inlineStr">
        <is>
          <t>GH-052 — sicov-wp-ciudadano-calculadora</t>
        </is>
      </c>
      <c r="AA122" s="13" t="inlineStr">
        <is>
          <t>[site] Recinto</t>
        </is>
      </c>
      <c r="AB122" s="59" t="n">
        <v>18</v>
      </c>
      <c r="AG122" s="13" t="inlineStr">
        <is>
          <t>[safe] Cajas fuertes</t>
        </is>
      </c>
      <c r="AH122" s="13" t="inlineStr">
        <is>
          <t>GH-052 — sicov-wp-ciudadano-calculadora</t>
        </is>
      </c>
      <c r="AJ122" s="13" t="inlineStr">
        <is>
          <t>[site] Recinto</t>
        </is>
      </c>
      <c r="AK122" s="59" t="n">
        <v>18</v>
      </c>
    </row>
    <row r="123" ht="15" customHeight="1" s="54">
      <c r="X123" s="13" t="inlineStr">
        <is>
          <t>[site] Recinto</t>
        </is>
      </c>
      <c r="Y123" s="13" t="inlineStr">
        <is>
          <t>GH-053 — sicov-wp-ciudadano-calculadora-lib</t>
        </is>
      </c>
      <c r="AA123" s="13" t="inlineStr">
        <is>
          <t>[building] Edificio</t>
        </is>
      </c>
      <c r="AB123" s="59" t="n">
        <v>18</v>
      </c>
      <c r="AG123" s="13" t="inlineStr">
        <is>
          <t>[site] Recinto</t>
        </is>
      </c>
      <c r="AH123" s="13" t="inlineStr">
        <is>
          <t>GH-053 — sicov-wp-ciudadano-calculadora-lib</t>
        </is>
      </c>
      <c r="AJ123" s="13" t="inlineStr">
        <is>
          <t>[building] Edificio</t>
        </is>
      </c>
      <c r="AK123" s="59" t="n">
        <v>18</v>
      </c>
    </row>
    <row r="124" ht="15" customHeight="1" s="54">
      <c r="X124" s="13" t="inlineStr">
        <is>
          <t>[building] Edificio</t>
        </is>
      </c>
      <c r="Y124" s="13" t="inlineStr">
        <is>
          <t>GH-054 — cuantico-wp-whatsapp-plg</t>
        </is>
      </c>
      <c r="AA124" s="13" t="inlineStr">
        <is>
          <t>[local] Cuarto</t>
        </is>
      </c>
      <c r="AB124" s="59" t="n">
        <v>18</v>
      </c>
      <c r="AG124" s="13" t="inlineStr">
        <is>
          <t>[building] Edificio</t>
        </is>
      </c>
      <c r="AH124" s="13" t="inlineStr">
        <is>
          <t>GH-054 — cuantico-wp-whatsapp-plg</t>
        </is>
      </c>
      <c r="AJ124" s="13" t="inlineStr">
        <is>
          <t>[local] Cuarto</t>
        </is>
      </c>
      <c r="AK124" s="59" t="n">
        <v>18</v>
      </c>
    </row>
    <row r="125" ht="15" customHeight="1" s="54">
      <c r="X125" s="13" t="inlineStr">
        <is>
          <t>[local] Cuarto</t>
        </is>
      </c>
      <c r="Y125" s="13" t="inlineStr">
        <is>
          <t>GH-055 — cuant-lizca-wp-a</t>
        </is>
      </c>
      <c r="AA125" s="13" t="inlineStr">
        <is>
          <t>[mobile] Plataformas móviles</t>
        </is>
      </c>
      <c r="AB125" s="59" t="n">
        <v>18</v>
      </c>
      <c r="AG125" s="13" t="inlineStr">
        <is>
          <t>[local] Cuarto</t>
        </is>
      </c>
      <c r="AH125" s="13" t="inlineStr">
        <is>
          <t>GH-055 — cuant-lizca-wp-a</t>
        </is>
      </c>
      <c r="AJ125" s="13" t="inlineStr">
        <is>
          <t>[mobile] Plataformas móviles</t>
        </is>
      </c>
      <c r="AK125" s="59" t="n">
        <v>18</v>
      </c>
    </row>
    <row r="126" ht="15" customHeight="1" s="54">
      <c r="X126" s="13" t="inlineStr">
        <is>
          <t>[mobile] Plataformas móviles</t>
        </is>
      </c>
      <c r="Y126" s="13" t="inlineStr">
        <is>
          <t>GH-056 — sicov-wp-calculadora-plg</t>
        </is>
      </c>
      <c r="AA126" s="13" t="inlineStr">
        <is>
          <t>[car] Vehículo terrestre</t>
        </is>
      </c>
      <c r="AB126" s="59" t="n">
        <v>18</v>
      </c>
      <c r="AG126" s="13" t="inlineStr">
        <is>
          <t>[mobile] Plataformas móviles</t>
        </is>
      </c>
      <c r="AH126" s="13" t="inlineStr">
        <is>
          <t>GH-056 — sicov-wp-calculadora-plg</t>
        </is>
      </c>
      <c r="AJ126" s="13" t="inlineStr">
        <is>
          <t>[car] Vehículo terrestre</t>
        </is>
      </c>
      <c r="AK126" s="59" t="n">
        <v>18</v>
      </c>
    </row>
    <row r="127" ht="15" customHeight="1" s="54">
      <c r="X127" s="13" t="inlineStr">
        <is>
          <t>[car] Vehículo terrestre</t>
        </is>
      </c>
      <c r="Y127" s="13" t="inlineStr">
        <is>
          <t>GH-057 — rpa-impoconsumo-releases</t>
        </is>
      </c>
      <c r="AA127" s="13" t="inlineStr">
        <is>
          <t>[plane] Vehículo aéreo</t>
        </is>
      </c>
      <c r="AB127" s="59" t="n">
        <v>18</v>
      </c>
      <c r="AG127" s="13" t="inlineStr">
        <is>
          <t>[car] Vehículo terrestre</t>
        </is>
      </c>
      <c r="AH127" s="13" t="inlineStr">
        <is>
          <t>GH-057 — rpa-impoconsumo-releases</t>
        </is>
      </c>
      <c r="AJ127" s="13" t="inlineStr">
        <is>
          <t>[plane] Vehículo aéreo</t>
        </is>
      </c>
      <c r="AK127" s="59" t="n">
        <v>18</v>
      </c>
    </row>
    <row r="128" ht="30" customHeight="1" s="54">
      <c r="X128" s="13" t="inlineStr">
        <is>
          <t>[plane] Vehículo aéreo</t>
        </is>
      </c>
      <c r="Y128" s="13" t="inlineStr">
        <is>
          <t>LCO-01 — Caracterización Gestión Legal y Compras (CAR-LCO-01)</t>
        </is>
      </c>
      <c r="AA128" s="13" t="inlineStr">
        <is>
          <t>[ship] Vehículo marítimo</t>
        </is>
      </c>
      <c r="AB128" s="59" t="n">
        <v>18</v>
      </c>
      <c r="AG128" s="13" t="inlineStr">
        <is>
          <t>[plane] Vehículo aéreo</t>
        </is>
      </c>
      <c r="AH128" s="13" t="inlineStr">
        <is>
          <t>LCO-01 — Caracterización Gestión Legal y Compras (CAR-LCO-01)</t>
        </is>
      </c>
      <c r="AJ128" s="13" t="inlineStr">
        <is>
          <t>[ship] Vehículo marítimo</t>
        </is>
      </c>
      <c r="AK128" s="59" t="n">
        <v>18</v>
      </c>
    </row>
    <row r="129" ht="30" customHeight="1" s="54">
      <c r="X129" s="13" t="inlineStr">
        <is>
          <t>[ship] Vehículo marítimo</t>
        </is>
      </c>
      <c r="Y129" s="13" t="inlineStr">
        <is>
          <t>LCO-02 — Procedimiento selección y contratación de proveedores (PRO-LCO-01)</t>
        </is>
      </c>
      <c r="AA129" s="13" t="inlineStr">
        <is>
          <t>[shelter] Contenedor / caseta</t>
        </is>
      </c>
      <c r="AB129" s="59" t="n">
        <v>18</v>
      </c>
      <c r="AG129" s="13" t="inlineStr">
        <is>
          <t>[ship] Vehículo marítimo</t>
        </is>
      </c>
      <c r="AH129" s="13" t="inlineStr">
        <is>
          <t>LCO-02 — Procedimiento selección y contratación de proveedores (PRO-LCO-01)</t>
        </is>
      </c>
      <c r="AJ129" s="13" t="inlineStr">
        <is>
          <t>[shelter] Contenedor / caseta</t>
        </is>
      </c>
      <c r="AK129" s="59" t="n">
        <v>18</v>
      </c>
    </row>
    <row r="130" ht="30" customHeight="1" s="54">
      <c r="X130" s="13" t="inlineStr">
        <is>
          <t>[shelter] Contenedor / caseta</t>
        </is>
      </c>
      <c r="Y130" s="13" t="inlineStr">
        <is>
          <t>LCO-03 — Procedimiento evaluación y reevaluación de proveedores (PRO-LCO-02)</t>
        </is>
      </c>
      <c r="AA130" s="13" t="inlineStr">
        <is>
          <t>[channel] Canalización</t>
        </is>
      </c>
      <c r="AB130" s="59" t="n">
        <v>18</v>
      </c>
      <c r="AG130" s="13" t="inlineStr">
        <is>
          <t>[shelter] Contenedor / caseta</t>
        </is>
      </c>
      <c r="AH130" s="13" t="inlineStr">
        <is>
          <t>LCO-03 — Procedimiento evaluación y reevaluación de proveedores (PRO-LCO-02)</t>
        </is>
      </c>
      <c r="AJ130" s="13" t="inlineStr">
        <is>
          <t>[channel] Canalización</t>
        </is>
      </c>
      <c r="AK130" s="59" t="n">
        <v>18</v>
      </c>
    </row>
    <row r="131" ht="30" customHeight="1" s="54">
      <c r="X131" s="13" t="inlineStr">
        <is>
          <t>[channel] Canalización</t>
        </is>
      </c>
      <c r="Y131" s="13" t="inlineStr">
        <is>
          <t>LCO-04 — Formato Relación de Proveedores (FOR-LCO-01)</t>
        </is>
      </c>
      <c r="AA131" s="13" t="inlineStr">
        <is>
          <t>[backup] Instalaciones de respaldo</t>
        </is>
      </c>
      <c r="AB131" s="59" t="n">
        <v>18</v>
      </c>
      <c r="AG131" s="13" t="inlineStr">
        <is>
          <t>[channel] Canalización</t>
        </is>
      </c>
      <c r="AH131" s="13" t="inlineStr">
        <is>
          <t>LCO-04 — Formato Relación de Proveedores (FOR-LCO-01)</t>
        </is>
      </c>
      <c r="AJ131" s="13" t="inlineStr">
        <is>
          <t>[backup] Instalaciones de respaldo</t>
        </is>
      </c>
      <c r="AK131" s="59" t="n">
        <v>18</v>
      </c>
    </row>
    <row r="132" ht="30" customHeight="1" s="54">
      <c r="X132" s="13" t="inlineStr">
        <is>
          <t>[backup] Instalaciones de respaldo</t>
        </is>
      </c>
      <c r="Y132" s="13" t="inlineStr">
        <is>
          <t>LCO-05 — Formato Selección de Proveedores (FOR-LCO-02)</t>
        </is>
      </c>
      <c r="AA132" s="13" t="inlineStr">
        <is>
          <t>[ue] Usuarios externos</t>
        </is>
      </c>
      <c r="AB132" s="59" t="n">
        <v>7</v>
      </c>
      <c r="AG132" s="13" t="inlineStr">
        <is>
          <t>[backup] Instalaciones de respaldo</t>
        </is>
      </c>
      <c r="AH132" s="13" t="inlineStr">
        <is>
          <t>LCO-05 — Formato Selección de Proveedores (FOR-LCO-02)</t>
        </is>
      </c>
      <c r="AJ132" s="13" t="inlineStr">
        <is>
          <t>[ue] Usuarios externos</t>
        </is>
      </c>
      <c r="AK132" s="59" t="n">
        <v>7</v>
      </c>
    </row>
    <row r="133" ht="30" customHeight="1" s="54">
      <c r="X133" s="13" t="inlineStr">
        <is>
          <t>[ue] Usuarios externos</t>
        </is>
      </c>
      <c r="Y133" s="13" t="inlineStr">
        <is>
          <t>LCO-06 — Formato Control de Contratos (FOR-LCO-03)</t>
        </is>
      </c>
      <c r="AA133" s="13" t="inlineStr">
        <is>
          <t>[ui] Usuarios internos</t>
        </is>
      </c>
      <c r="AB133" s="59" t="n">
        <v>7</v>
      </c>
      <c r="AG133" s="13" t="inlineStr">
        <is>
          <t>[ue] Usuarios externos</t>
        </is>
      </c>
      <c r="AH133" s="13" t="inlineStr">
        <is>
          <t>LCO-06 — Formato Control de Contratos (FOR-LCO-03)</t>
        </is>
      </c>
      <c r="AJ133" s="13" t="inlineStr">
        <is>
          <t>[ui] Usuarios internos</t>
        </is>
      </c>
      <c r="AK133" s="59" t="n">
        <v>7</v>
      </c>
    </row>
    <row r="134" ht="30" customHeight="1" s="54">
      <c r="X134" s="13" t="inlineStr">
        <is>
          <t>[ui] Usuarios internos</t>
        </is>
      </c>
      <c r="Y134" s="13" t="inlineStr">
        <is>
          <t>LCO-07 — Formato Evaluación de Proveedores (FOR-LCO-04)</t>
        </is>
      </c>
      <c r="AA134" s="13" t="inlineStr">
        <is>
          <t>[op] Operadores</t>
        </is>
      </c>
      <c r="AB134" s="59" t="n">
        <v>7</v>
      </c>
      <c r="AG134" s="13" t="inlineStr">
        <is>
          <t>[ui] Usuarios internos</t>
        </is>
      </c>
      <c r="AH134" s="13" t="inlineStr">
        <is>
          <t>LCO-07 — Formato Evaluación de Proveedores (FOR-LCO-04)</t>
        </is>
      </c>
      <c r="AJ134" s="13" t="inlineStr">
        <is>
          <t>[op] Operadores</t>
        </is>
      </c>
      <c r="AK134" s="59" t="n">
        <v>7</v>
      </c>
    </row>
    <row r="135" ht="30" customHeight="1" s="54">
      <c r="X135" s="13" t="inlineStr">
        <is>
          <t>[op] Operadores</t>
        </is>
      </c>
      <c r="Y135" s="13" t="inlineStr">
        <is>
          <t>LCO-08 — Documentación de contratistas (hojas de vida, cédula, RUT, certificaciones)</t>
        </is>
      </c>
      <c r="AA135" s="13" t="inlineStr">
        <is>
          <t>[adm] Administradores de sistemas</t>
        </is>
      </c>
      <c r="AB135" s="59" t="n">
        <v>7</v>
      </c>
      <c r="AG135" s="13" t="inlineStr">
        <is>
          <t>[op] Operadores</t>
        </is>
      </c>
      <c r="AH135" s="13" t="inlineStr">
        <is>
          <t>LCO-08 — Documentación de contratistas (hojas de vida, cédula, RUT, certificaciones)</t>
        </is>
      </c>
      <c r="AJ135" s="13" t="inlineStr">
        <is>
          <t>[adm] Administradores de sistemas</t>
        </is>
      </c>
      <c r="AK135" s="59" t="n">
        <v>7</v>
      </c>
    </row>
    <row r="136" ht="30" customHeight="1" s="54">
      <c r="X136" s="13" t="inlineStr">
        <is>
          <t>[adm] Administradores de sistemas</t>
        </is>
      </c>
      <c r="Y136" s="13" t="inlineStr">
        <is>
          <t>LCO-09 — Chief Legal Officer</t>
        </is>
      </c>
      <c r="AA136" s="13" t="inlineStr">
        <is>
          <t>[com] Administradores de comunicaciones</t>
        </is>
      </c>
      <c r="AB136" s="59" t="n">
        <v>7</v>
      </c>
      <c r="AG136" s="13" t="inlineStr">
        <is>
          <t>[adm] Administradores de sistemas</t>
        </is>
      </c>
      <c r="AH136" s="13" t="inlineStr">
        <is>
          <t>LCO-09 — Chief Legal Officer</t>
        </is>
      </c>
      <c r="AJ136" s="13" t="inlineStr">
        <is>
          <t>[com] Administradores de comunicaciones</t>
        </is>
      </c>
      <c r="AK136" s="59" t="n">
        <v>7</v>
      </c>
    </row>
    <row r="137" ht="15" customHeight="1" s="54">
      <c r="X137" s="13" t="inlineStr">
        <is>
          <t>[com] Administradores de comunicaciones</t>
        </is>
      </c>
      <c r="Y137" s="13" t="inlineStr">
        <is>
          <t>LCO-10 — Conocimiento normativo</t>
        </is>
      </c>
      <c r="AA137" s="13" t="inlineStr">
        <is>
          <t>[dba] Administradores de bases de datos</t>
        </is>
      </c>
      <c r="AB137" s="59" t="n">
        <v>7</v>
      </c>
      <c r="AG137" s="13" t="inlineStr">
        <is>
          <t>[com] Administradores de comunicaciones</t>
        </is>
      </c>
      <c r="AH137" s="13" t="inlineStr">
        <is>
          <t>LCO-10 — Conocimiento normativo</t>
        </is>
      </c>
      <c r="AJ137" s="13" t="inlineStr">
        <is>
          <t>[dba] Administradores de bases de datos</t>
        </is>
      </c>
      <c r="AK137" s="59" t="n">
        <v>7</v>
      </c>
    </row>
    <row r="138" ht="15" customHeight="1" s="54">
      <c r="X138" s="13" t="inlineStr">
        <is>
          <t>[dba] Administradores de bases de datos</t>
        </is>
      </c>
      <c r="Y138" s="13" t="inlineStr">
        <is>
          <t>LCO-11 — Abogados externos</t>
        </is>
      </c>
      <c r="AA138" s="13" t="inlineStr">
        <is>
          <t>[sec] Administradores de seguridad</t>
        </is>
      </c>
      <c r="AB138" s="59" t="n">
        <v>7</v>
      </c>
      <c r="AG138" s="13" t="inlineStr">
        <is>
          <t>[dba] Administradores de bases de datos</t>
        </is>
      </c>
      <c r="AH138" s="13" t="inlineStr">
        <is>
          <t>LCO-11 — Abogados externos</t>
        </is>
      </c>
      <c r="AJ138" s="13" t="inlineStr">
        <is>
          <t>[sec] Administradores de seguridad</t>
        </is>
      </c>
      <c r="AK138" s="59" t="n">
        <v>7</v>
      </c>
    </row>
    <row r="139" ht="15" customHeight="1" s="54">
      <c r="X139" s="13" t="inlineStr">
        <is>
          <t>[sec] Administradores de seguridad</t>
        </is>
      </c>
      <c r="Y139" s="13" t="inlineStr">
        <is>
          <t>LCO-12 — Personal externo</t>
        </is>
      </c>
      <c r="AA139" s="13" t="inlineStr">
        <is>
          <t>[des] Desarrolladores / programadores</t>
        </is>
      </c>
      <c r="AB139" s="59" t="n">
        <v>7</v>
      </c>
      <c r="AG139" s="13" t="inlineStr">
        <is>
          <t>[sec] Administradores de seguridad</t>
        </is>
      </c>
      <c r="AH139" s="13" t="inlineStr">
        <is>
          <t>LCO-12 — Personal externo</t>
        </is>
      </c>
      <c r="AJ139" s="13" t="inlineStr">
        <is>
          <t>[des] Desarrolladores / programadores</t>
        </is>
      </c>
      <c r="AK139" s="59" t="n">
        <v>7</v>
      </c>
    </row>
    <row r="140" ht="15" customHeight="1" s="54">
      <c r="X140" s="13" t="inlineStr">
        <is>
          <t>[des] Desarrolladores / programadores</t>
        </is>
      </c>
      <c r="Y140" s="13" t="inlineStr">
        <is>
          <t>MS-01 — Exchange Online (Plan 1)</t>
        </is>
      </c>
      <c r="AA140" s="13" t="inlineStr">
        <is>
          <t>[sub] Subcontratas</t>
        </is>
      </c>
      <c r="AB140" s="59" t="n">
        <v>7</v>
      </c>
      <c r="AG140" s="13" t="inlineStr">
        <is>
          <t>[des] Desarrolladores / programadores</t>
        </is>
      </c>
      <c r="AH140" s="13" t="inlineStr">
        <is>
          <t>MS-01 — Exchange Online (Plan 1)</t>
        </is>
      </c>
      <c r="AJ140" s="13" t="inlineStr">
        <is>
          <t>[sub] Subcontratas</t>
        </is>
      </c>
      <c r="AK140" s="59" t="n">
        <v>7</v>
      </c>
    </row>
    <row r="141" ht="15" customHeight="1" s="54">
      <c r="X141" s="13" t="inlineStr">
        <is>
          <t>[sub] Subcontratas</t>
        </is>
      </c>
      <c r="Y141" s="13" t="inlineStr">
        <is>
          <t>MS-02 — Microsoft 365 Business Standard</t>
        </is>
      </c>
      <c r="AA141" s="13" t="inlineStr">
        <is>
          <t>[prov] Proveedores</t>
        </is>
      </c>
      <c r="AB141" s="59" t="n">
        <v>7</v>
      </c>
      <c r="AG141" s="13" t="inlineStr">
        <is>
          <t>[sub] Subcontratas</t>
        </is>
      </c>
      <c r="AH141" s="13" t="inlineStr">
        <is>
          <t>MS-02 — Microsoft 365 Business Standard</t>
        </is>
      </c>
      <c r="AJ141" s="13" t="inlineStr">
        <is>
          <t>[prov] Proveedores</t>
        </is>
      </c>
      <c r="AK141" s="59" t="n">
        <v>7</v>
      </c>
    </row>
    <row r="142" ht="15" customHeight="1" s="54">
      <c r="X142" s="13" t="inlineStr">
        <is>
          <t>[prov] Proveedores</t>
        </is>
      </c>
      <c r="Y142" s="13" t="inlineStr">
        <is>
          <t>MS-03 — Power BI Premium Per User Add-On</t>
        </is>
      </c>
      <c r="AG142" s="13" t="inlineStr">
        <is>
          <t>[prov] Proveedores</t>
        </is>
      </c>
      <c r="AH142" s="13" t="inlineStr">
        <is>
          <t>MS-03 — Power BI Premium Per User Add-On</t>
        </is>
      </c>
    </row>
    <row r="143" ht="15" customHeight="1" s="54">
      <c r="Y143" s="13" t="inlineStr">
        <is>
          <t>MS-04 — Power BI Pro</t>
        </is>
      </c>
      <c r="AH143" s="13" t="inlineStr">
        <is>
          <t>MS-04 — Power BI Pro</t>
        </is>
      </c>
    </row>
    <row r="144" ht="15" customHeight="1" s="54">
      <c r="Y144" s="13" t="inlineStr">
        <is>
          <t>SW-01 — Zohodesk</t>
        </is>
      </c>
      <c r="AH144" s="13" t="inlineStr">
        <is>
          <t>SW-01 — Zohodesk</t>
        </is>
      </c>
    </row>
    <row r="145" ht="30" customHeight="1" s="54">
      <c r="Y145" s="13" t="inlineStr">
        <is>
          <t>TAL-01 — Caracterización Talento Humano (CAR-TAL-01)</t>
        </is>
      </c>
      <c r="AH145" s="13" t="inlineStr">
        <is>
          <t>TAL-01 — Caracterización Talento Humano (CAR-TAL-01)</t>
        </is>
      </c>
    </row>
    <row r="146" ht="30" customHeight="1" s="54">
      <c r="Y146" s="13" t="inlineStr">
        <is>
          <t>TAL-02 — Procedimiento Gestión del Talento Humano (PRO-TAL-01)</t>
        </is>
      </c>
      <c r="AH146" s="13" t="inlineStr">
        <is>
          <t>TAL-02 — Procedimiento Gestión del Talento Humano (PRO-TAL-01)</t>
        </is>
      </c>
    </row>
    <row r="147" ht="30" customHeight="1" s="54">
      <c r="Y147" s="13" t="inlineStr">
        <is>
          <t>TAL-03 — Procedimiento Planeación y Desarrollo del Talento Humano (PRO-TAL-02)</t>
        </is>
      </c>
      <c r="AH147" s="13" t="inlineStr">
        <is>
          <t>TAL-03 — Procedimiento Planeación y Desarrollo del Talento Humano (PRO-TAL-02)</t>
        </is>
      </c>
    </row>
    <row r="148" ht="30" customHeight="1" s="54">
      <c r="Y148" s="13" t="inlineStr">
        <is>
          <t>TAL-04 — Procedimiento Desvinculación de personal (PRO-TAL-03)</t>
        </is>
      </c>
      <c r="AH148" s="13" t="inlineStr">
        <is>
          <t>TAL-04 — Procedimiento Desvinculación de personal (PRO-TAL-03)</t>
        </is>
      </c>
    </row>
    <row r="149" ht="30" customHeight="1" s="54">
      <c r="Y149" s="13" t="inlineStr">
        <is>
          <t>TAL-05 — Procedimiento Formación y Capacitación de Personal (PRO-TAL-04)</t>
        </is>
      </c>
      <c r="AH149" s="13" t="inlineStr">
        <is>
          <t>TAL-05 — Procedimiento Formación y Capacitación de Personal (PRO-TAL-04)</t>
        </is>
      </c>
    </row>
    <row r="150" ht="15" customHeight="1" s="54">
      <c r="Y150" s="13" t="inlineStr">
        <is>
          <t>TAL-06 — Manual de Perfiles de Cargo (MAN-TAL-01)</t>
        </is>
      </c>
      <c r="AH150" s="13" t="inlineStr">
        <is>
          <t>TAL-06 — Manual de Perfiles de Cargo (MAN-TAL-01)</t>
        </is>
      </c>
    </row>
    <row r="151" ht="30" customHeight="1" s="54">
      <c r="Y151" s="13" t="inlineStr">
        <is>
          <t>TAL-07 — Formato Plan de Formación y Capacitación (FOR-TAL-01)</t>
        </is>
      </c>
      <c r="AH151" s="13" t="inlineStr">
        <is>
          <t>TAL-07 — Formato Plan de Formación y Capacitación (FOR-TAL-01)</t>
        </is>
      </c>
    </row>
    <row r="152" ht="30" customHeight="1" s="54">
      <c r="Y152" s="13" t="inlineStr">
        <is>
          <t>TAL-08 — Formato Evaluación del Desempeño (FOR-TAL-02)</t>
        </is>
      </c>
      <c r="AH152" s="13" t="inlineStr">
        <is>
          <t>TAL-08 — Formato Evaluación del Desempeño (FOR-TAL-02)</t>
        </is>
      </c>
    </row>
    <row r="153" ht="15" customHeight="1" s="54">
      <c r="Y153" s="13" t="inlineStr">
        <is>
          <t>TAL-09 — Formato Paz y Salvo (FOR-TAL-03)</t>
        </is>
      </c>
      <c r="AH153" s="13" t="inlineStr">
        <is>
          <t>TAL-09 — Formato Paz y Salvo (FOR-TAL-03)</t>
        </is>
      </c>
    </row>
    <row r="154" ht="15" customHeight="1" s="54">
      <c r="Y154" s="13" t="inlineStr">
        <is>
          <t>TAL-10 — Reglamento Interno de Trabajo</t>
        </is>
      </c>
      <c r="AH154" s="13" t="inlineStr">
        <is>
          <t>TAL-10 — Reglamento Interno de Trabajo</t>
        </is>
      </c>
    </row>
    <row r="155" ht="15" customHeight="1" s="54">
      <c r="Y155" s="13" t="inlineStr">
        <is>
          <t>TAL-11 — Actas de descargos / procesos disciplinarios</t>
        </is>
      </c>
      <c r="AH155" s="13" t="inlineStr">
        <is>
          <t>TAL-11 — Actas de descargos / procesos disciplinarios</t>
        </is>
      </c>
    </row>
    <row r="156" ht="15" customHeight="1" s="54">
      <c r="Y156" s="13" t="inlineStr">
        <is>
          <t>TAL-12 — Carpeta de ingreso de colaborador</t>
        </is>
      </c>
      <c r="AH156" s="13" t="inlineStr">
        <is>
          <t>TAL-12 — Carpeta de ingreso de colaborador</t>
        </is>
      </c>
    </row>
    <row r="157" ht="15" customHeight="1" s="54">
      <c r="Y157" s="13" t="inlineStr">
        <is>
          <t>TAL-13 — Carpeta de desvinculación</t>
        </is>
      </c>
      <c r="AH157" s="13" t="inlineStr">
        <is>
          <t>TAL-13 — Carpeta de desvinculación</t>
        </is>
      </c>
    </row>
    <row r="158" ht="15" customHeight="1" s="54">
      <c r="Y158" s="13" t="inlineStr">
        <is>
          <t>TAL-14 — Matriz de Planeación de Talento Humano</t>
        </is>
      </c>
      <c r="AH158" s="13" t="inlineStr">
        <is>
          <t>TAL-14 — Matriz de Planeación de Talento Humano</t>
        </is>
      </c>
    </row>
    <row r="159" ht="15" customHeight="1" s="54">
      <c r="Y159" s="13" t="inlineStr">
        <is>
          <t>TAL-15 — Finance and Administrative Manager</t>
        </is>
      </c>
      <c r="AH159" s="13" t="inlineStr">
        <is>
          <t>TAL-15 — Finance and Administrative Manager</t>
        </is>
      </c>
    </row>
    <row r="160" ht="30" customHeight="1" s="54">
      <c r="Y160" s="13" t="inlineStr">
        <is>
          <t>TAL-16 — Proveedor contable externo (liquidación de retiro)</t>
        </is>
      </c>
      <c r="AH160" s="13" t="inlineStr">
        <is>
          <t>TAL-16 — Proveedor contable externo (liquidación de retiro)</t>
        </is>
      </c>
    </row>
    <row r="161" ht="15" customHeight="1" s="54">
      <c r="Y161" s="13" t="inlineStr">
        <is>
          <t>TAL-17 — Proveedor SG-SST / ARL</t>
        </is>
      </c>
      <c r="AH161" s="13" t="inlineStr">
        <is>
          <t>TAL-17 — Proveedor SG-SST / ARL</t>
        </is>
      </c>
    </row>
    <row r="162" ht="15" customHeight="1" s="54">
      <c r="Y162" s="13" t="inlineStr">
        <is>
          <t>TAL-18 — Proveedor de reclutamiento externo</t>
        </is>
      </c>
      <c r="AH162" s="13" t="inlineStr">
        <is>
          <t>TAL-18 — Proveedor de reclutamiento externo</t>
        </is>
      </c>
    </row>
    <row r="163" ht="15" customHeight="1" s="54">
      <c r="Y163" s="13" t="inlineStr">
        <is>
          <t>TAL-19 — Auxiliar Administrativo II</t>
        </is>
      </c>
      <c r="AH163" s="13" t="inlineStr">
        <is>
          <t>TAL-19 — Auxiliar Administrativo II</t>
        </is>
      </c>
    </row>
    <row r="164" ht="15" customHeight="1" s="54">
      <c r="Y164" s="13" t="inlineStr">
        <is>
          <t>TEC-001 — API-Gateway</t>
        </is>
      </c>
      <c r="AH164" s="13" t="inlineStr">
        <is>
          <t>TEC-001 — API-Gateway</t>
        </is>
      </c>
    </row>
    <row r="165" ht="15" customHeight="1" s="54">
      <c r="Y165" s="13" t="inlineStr">
        <is>
          <t>TEC-002 — BD-Postgres-Main</t>
        </is>
      </c>
      <c r="AH165" s="13" t="inlineStr">
        <is>
          <t>TEC-002 — BD-Postgres-Main</t>
        </is>
      </c>
    </row>
    <row r="166" ht="15" customHeight="1" s="54">
      <c r="Y166" s="13" t="inlineStr">
        <is>
          <t>TEC-003 — ERP-Financiero</t>
        </is>
      </c>
      <c r="AH166" s="13" t="inlineStr">
        <is>
          <t>TEC-003 — ERP-Financiero</t>
        </is>
      </c>
    </row>
    <row r="167" ht="15" customHeight="1" s="54">
      <c r="Y167" s="13" t="inlineStr">
        <is>
          <t>TEC-004 — FW-CORE-01</t>
        </is>
      </c>
      <c r="AH167" s="13" t="inlineStr">
        <is>
          <t>TEC-004 — FW-CORE-01</t>
        </is>
      </c>
    </row>
    <row r="168" ht="15" customHeight="1" s="54">
      <c r="Y168" s="13" t="inlineStr">
        <is>
          <t>TEC-005 — SRV-DB-01</t>
        </is>
      </c>
      <c r="AH168" s="13" t="inlineStr">
        <is>
          <t>TEC-005 — SRV-DB-01</t>
        </is>
      </c>
    </row>
    <row r="169" ht="15" customHeight="1" s="54">
      <c r="Y169" s="13" t="inlineStr">
        <is>
          <t>TEC-006 — SRV-PROD-01</t>
        </is>
      </c>
      <c r="AH169" s="13" t="inlineStr">
        <is>
          <t>TEC-006 — SRV-PROD-01</t>
        </is>
      </c>
    </row>
    <row r="170" ht="15" customHeight="1" s="54">
      <c r="Y170" s="13" t="inlineStr">
        <is>
          <t>TEC-007 — AWS-Prod</t>
        </is>
      </c>
      <c r="AH170" s="13" t="inlineStr">
        <is>
          <t>TEC-007 — AWS-Prod</t>
        </is>
      </c>
    </row>
    <row r="171" ht="15" customHeight="1" s="54">
      <c r="Y171" s="13" t="inlineStr">
        <is>
          <t>TEC-008 — Backups-Diarios</t>
        </is>
      </c>
      <c r="AH171" s="13" t="inlineStr">
        <is>
          <t>TEC-008 — Backups-Diarios</t>
        </is>
      </c>
    </row>
    <row r="172" ht="15" customHeight="1" s="54">
      <c r="Y172" s="13" t="inlineStr">
        <is>
          <t>TEC-009 — CRM-Cuántico</t>
        </is>
      </c>
      <c r="AH172" s="13" t="inlineStr">
        <is>
          <t>TEC-009 — CRM-Cuántico</t>
        </is>
      </c>
    </row>
    <row r="173" ht="15" customHeight="1" s="54">
      <c r="Y173" s="13" t="inlineStr">
        <is>
          <t>TEC-010 — DNS-Cuántico</t>
        </is>
      </c>
      <c r="AH173" s="13" t="inlineStr">
        <is>
          <t>TEC-010 — DNS-Cuántico</t>
        </is>
      </c>
    </row>
    <row r="174" ht="15" customHeight="1" s="54">
      <c r="Y174" s="13" t="inlineStr">
        <is>
          <t>TEC-011 — Portal-Clientes</t>
        </is>
      </c>
      <c r="AH174" s="13" t="inlineStr">
        <is>
          <t>TEC-011 — Portal-Clientes</t>
        </is>
      </c>
    </row>
    <row r="175" ht="15" customHeight="1" s="54">
      <c r="Y175" s="13" t="inlineStr">
        <is>
          <t>TEC-012 — S3-Backups</t>
        </is>
      </c>
      <c r="AH175" s="13" t="inlineStr">
        <is>
          <t>TEC-012 — S3-Backups</t>
        </is>
      </c>
    </row>
    <row r="176" ht="15" customHeight="1" s="54">
      <c r="Y176" s="13" t="inlineStr">
        <is>
          <t>TEC-013 — SW-CORE-01</t>
        </is>
      </c>
      <c r="AH176" s="13" t="inlineStr">
        <is>
          <t>TEC-013 — SW-CORE-01</t>
        </is>
      </c>
    </row>
    <row r="177" ht="15" customHeight="1" s="54">
      <c r="Y177" s="13" t="inlineStr">
        <is>
          <t>TEC-014 — Hosting-Web</t>
        </is>
      </c>
      <c r="AH177" s="13" t="inlineStr">
        <is>
          <t>TEC-014 — Hosting-Web</t>
        </is>
      </c>
    </row>
    <row r="178" ht="15" customHeight="1" s="54">
      <c r="Y178" s="13" t="inlineStr">
        <is>
          <t>TEC-015 — LAP-JT-001</t>
        </is>
      </c>
      <c r="AH178" s="13" t="inlineStr">
        <is>
          <t>TEC-015 — LAP-JT-001</t>
        </is>
      </c>
    </row>
    <row r="179" ht="15" customHeight="1" s="54">
      <c r="Y179" s="13" t="inlineStr">
        <is>
          <t>TEC-016 — aws-cost-reports-cuantico</t>
        </is>
      </c>
      <c r="AH179" s="13" t="inlineStr">
        <is>
          <t>TEC-016 — aws-cost-reports-cuantico</t>
        </is>
      </c>
    </row>
    <row r="180" ht="15" customHeight="1" s="54">
      <c r="Y180" s="13" t="inlineStr">
        <is>
          <t>TEC-017 — bck-ml-sftp-space</t>
        </is>
      </c>
      <c r="AH180" s="13" t="inlineStr">
        <is>
          <t>TEC-017 — bck-ml-sftp-space</t>
        </is>
      </c>
    </row>
    <row r="181" ht="15" customHeight="1" s="54">
      <c r="Y181" s="13" t="inlineStr">
        <is>
          <t>TEC-018 — crm-app</t>
        </is>
      </c>
      <c r="AH181" s="13" t="inlineStr">
        <is>
          <t>TEC-018 — crm-app</t>
        </is>
      </c>
    </row>
    <row r="182" ht="15" customHeight="1" s="54">
      <c r="Y182" s="13" t="inlineStr">
        <is>
          <t>TEC-019 — cuantai-bck-cluster</t>
        </is>
      </c>
      <c r="AH182" s="13" t="inlineStr">
        <is>
          <t>TEC-019 — cuantai-bck-cluster</t>
        </is>
      </c>
    </row>
    <row r="183" ht="15" customHeight="1" s="54">
      <c r="Y183" s="13" t="inlineStr">
        <is>
          <t>TEC-020 — cuantaia-bck-ec2</t>
        </is>
      </c>
      <c r="AH183" s="13" t="inlineStr">
        <is>
          <t>TEC-020 — cuantaia-bck-ec2</t>
        </is>
      </c>
    </row>
    <row r="184" ht="15" customHeight="1" s="54">
      <c r="Y184" s="13" t="inlineStr">
        <is>
          <t>TEC-021 — cuantico-backup-sharepoint</t>
        </is>
      </c>
      <c r="AH184" s="13" t="inlineStr">
        <is>
          <t>TEC-021 — cuantico-backup-sharepoint</t>
        </is>
      </c>
    </row>
    <row r="185" ht="15" customHeight="1" s="54">
      <c r="Y185" s="13" t="inlineStr">
        <is>
          <t>TEC-022 — cuantico-ilc-backup</t>
        </is>
      </c>
      <c r="AH185" s="13" t="inlineStr">
        <is>
          <t>TEC-022 — cuantico-ilc-backup</t>
        </is>
      </c>
    </row>
    <row r="186" ht="15" customHeight="1" s="54">
      <c r="Y186" s="13" t="inlineStr">
        <is>
          <t>TEC-023 — database-log-collect</t>
        </is>
      </c>
      <c r="AH186" s="13" t="inlineStr">
        <is>
          <t>TEC-023 — database-log-collect</t>
        </is>
      </c>
    </row>
    <row r="187" ht="15" customHeight="1" s="54">
      <c r="Y187" s="13" t="inlineStr">
        <is>
          <t>TEC-024 — evolution-api-uehp2jesgnh7cfzl6sy…</t>
        </is>
      </c>
      <c r="AH187" s="13" t="inlineStr">
        <is>
          <t>TEC-024 — evolution-api-uehp2jesgnh7cfzl6sy…</t>
        </is>
      </c>
    </row>
    <row r="188" ht="15" customHeight="1" s="54">
      <c r="Y188" s="13" t="inlineStr">
        <is>
          <t>TEC-025 — gateway-admin-dev</t>
        </is>
      </c>
      <c r="AH188" s="13" t="inlineStr">
        <is>
          <t>TEC-025 — gateway-admin-dev</t>
        </is>
      </c>
    </row>
    <row r="189" ht="15" customHeight="1" s="54">
      <c r="Y189" s="13" t="inlineStr">
        <is>
          <t>TEC-026 — gateway-admin-staging</t>
        </is>
      </c>
      <c r="AH189" s="13" t="inlineStr">
        <is>
          <t>TEC-026 — gateway-admin-staging</t>
        </is>
      </c>
    </row>
    <row r="190" ht="15" customHeight="1" s="54">
      <c r="Y190" s="13" t="inlineStr">
        <is>
          <t>TEC-027 — gateway-api-dev</t>
        </is>
      </c>
      <c r="AH190" s="13" t="inlineStr">
        <is>
          <t>TEC-027 — gateway-api-dev</t>
        </is>
      </c>
    </row>
    <row r="191" ht="15" customHeight="1" s="54">
      <c r="Y191" s="13" t="inlineStr">
        <is>
          <t>TEC-028 — gateway-api-staging</t>
        </is>
      </c>
      <c r="AH191" s="13" t="inlineStr">
        <is>
          <t>TEC-028 — gateway-api-staging</t>
        </is>
      </c>
    </row>
    <row r="192" ht="15" customHeight="1" s="54">
      <c r="Y192" s="13" t="inlineStr">
        <is>
          <t>TEC-029 — grafana-with-postgresql-stt1myj34…</t>
        </is>
      </c>
      <c r="AH192" s="13" t="inlineStr">
        <is>
          <t>TEC-029 — grafana-with-postgresql-stt1myj34…</t>
        </is>
      </c>
    </row>
    <row r="193" ht="15" customHeight="1" s="54">
      <c r="Y193" s="13" t="inlineStr">
        <is>
          <t>TEC-030 — localhost</t>
        </is>
      </c>
      <c r="AH193" s="13" t="inlineStr">
        <is>
          <t>TEC-030 — localhost</t>
        </is>
      </c>
    </row>
    <row r="194" ht="15" customHeight="1" s="54">
      <c r="Y194" s="13" t="inlineStr">
        <is>
          <t>TEC-031 — mintrace-bucket</t>
        </is>
      </c>
      <c r="AH194" s="13" t="inlineStr">
        <is>
          <t>TEC-031 — mintrace-bucket</t>
        </is>
      </c>
    </row>
    <row r="195" ht="15" customHeight="1" s="54">
      <c r="Y195" s="13" t="inlineStr">
        <is>
          <t>TEC-032 — monitor-agents</t>
        </is>
      </c>
      <c r="AH195" s="13" t="inlineStr">
        <is>
          <t>TEC-032 — monitor-agents</t>
        </is>
      </c>
    </row>
    <row r="196" ht="15" customHeight="1" s="54">
      <c r="Y196" s="13" t="inlineStr">
        <is>
          <t>TEC-033 — monitor-api</t>
        </is>
      </c>
      <c r="AH196" s="13" t="inlineStr">
        <is>
          <t>TEC-033 — monitor-api</t>
        </is>
      </c>
    </row>
    <row r="197" ht="15" customHeight="1" s="54">
      <c r="Y197" s="13" t="inlineStr">
        <is>
          <t>TEC-034 — monitor-celery</t>
        </is>
      </c>
      <c r="AH197" s="13" t="inlineStr">
        <is>
          <t>TEC-034 — monitor-celery</t>
        </is>
      </c>
    </row>
    <row r="198" ht="15" customHeight="1" s="54">
      <c r="Y198" s="13" t="inlineStr">
        <is>
          <t>TEC-035 — monitor-cuantico</t>
        </is>
      </c>
      <c r="AH198" s="13" t="inlineStr">
        <is>
          <t>TEC-035 — monitor-cuantico</t>
        </is>
      </c>
    </row>
    <row r="199" ht="15" customHeight="1" s="54">
      <c r="Y199" s="13" t="inlineStr">
        <is>
          <t>TEC-036 — monitor-frontend</t>
        </is>
      </c>
      <c r="AH199" s="13" t="inlineStr">
        <is>
          <t>TEC-036 — monitor-frontend</t>
        </is>
      </c>
    </row>
    <row r="200" ht="15" customHeight="1" s="54">
      <c r="Y200" s="13" t="inlineStr">
        <is>
          <t>TEC-037 — n8n-with-postgres-and-worker-o48w…</t>
        </is>
      </c>
      <c r="AH200" s="13" t="inlineStr">
        <is>
          <t>TEC-037 — n8n-with-postgres-and-worker-o48w…</t>
        </is>
      </c>
    </row>
    <row r="201" ht="15" customHeight="1" s="54">
      <c r="Y201" s="13" t="inlineStr">
        <is>
          <t>TEC-038 — ottm-bucket</t>
        </is>
      </c>
      <c r="AH201" s="13" t="inlineStr">
        <is>
          <t>TEC-038 — ottm-bucket</t>
        </is>
      </c>
    </row>
    <row r="202" ht="15" customHeight="1" s="54">
      <c r="Y202" s="13" t="inlineStr">
        <is>
          <t>TEC-039 — plane-q08s8ccksok44w8k4cs0ow0g</t>
        </is>
      </c>
      <c r="AH202" s="13" t="inlineStr">
        <is>
          <t>TEC-039 — plane-q08s8ccksok44w8k4cs0ow0g</t>
        </is>
      </c>
    </row>
    <row r="203" ht="15" customHeight="1" s="54">
      <c r="Y203" s="13" t="inlineStr">
        <is>
          <t>TEC-040 — projectflow</t>
        </is>
      </c>
      <c r="AH203" s="13" t="inlineStr">
        <is>
          <t>TEC-040 — projectflow</t>
        </is>
      </c>
    </row>
    <row r="204" ht="15" customHeight="1" s="54">
      <c r="Y204" s="13" t="inlineStr">
        <is>
          <t>TEC-041 — service-ucsoggg4w400swcskwsookkw</t>
        </is>
      </c>
      <c r="AH204" s="13" t="inlineStr">
        <is>
          <t>TEC-041 — service-ucsoggg4w400swcskwsookkw</t>
        </is>
      </c>
    </row>
    <row r="205" ht="15" customHeight="1" s="54">
      <c r="Y205" s="13" t="inlineStr">
        <is>
          <t>TEC-042 — sgi-cuantico</t>
        </is>
      </c>
      <c r="AH205" s="13" t="inlineStr">
        <is>
          <t>TEC-042 — sgi-cuantico</t>
        </is>
      </c>
    </row>
    <row r="206" ht="15" customHeight="1" s="54">
      <c r="Y206" s="13" t="inlineStr">
        <is>
          <t>TEC-043 — srv-cuantaia-front</t>
        </is>
      </c>
      <c r="AH206" s="13" t="inlineStr">
        <is>
          <t>TEC-043 — srv-cuantaia-front</t>
        </is>
      </c>
    </row>
    <row r="207" ht="15" customHeight="1" s="54">
      <c r="Y207" s="13" t="inlineStr">
        <is>
          <t>TEC-044 — srv-cuantaia-front</t>
        </is>
      </c>
      <c r="AH207" s="13" t="inlineStr">
        <is>
          <t>TEC-044 — srv-cuantaia-front</t>
        </is>
      </c>
    </row>
    <row r="208" ht="15" customHeight="1" s="54">
      <c r="Y208" s="13" t="inlineStr">
        <is>
          <t>TEC-045 — srv-cuantico-bots-n8n-a</t>
        </is>
      </c>
      <c r="AH208" s="13" t="inlineStr">
        <is>
          <t>TEC-045 — srv-cuantico-bots-n8n-a</t>
        </is>
      </c>
    </row>
    <row r="209" ht="15" customHeight="1" s="54">
      <c r="Y209" s="13" t="inlineStr">
        <is>
          <t>TEC-046 — srv-cuantico-bots-n8n-a</t>
        </is>
      </c>
      <c r="AH209" s="13" t="inlineStr">
        <is>
          <t>TEC-046 — srv-cuantico-bots-n8n-a</t>
        </is>
      </c>
    </row>
    <row r="210" ht="15" customHeight="1" s="54">
      <c r="Y210" s="13" t="inlineStr">
        <is>
          <t>TEC-047 — srv-cuantico-stack</t>
        </is>
      </c>
      <c r="AH210" s="13" t="inlineStr">
        <is>
          <t>TEC-047 — srv-cuantico-stack</t>
        </is>
      </c>
    </row>
    <row r="211" ht="15" customHeight="1" s="54">
      <c r="Y211" s="13" t="inlineStr">
        <is>
          <t>TEC-048 — srv-cuantico-stack</t>
        </is>
      </c>
      <c r="AH211" s="13" t="inlineStr">
        <is>
          <t>TEC-048 — srv-cuantico-stack</t>
        </is>
      </c>
    </row>
    <row r="212" ht="15" customHeight="1" s="54">
      <c r="Y212" s="13" t="inlineStr">
        <is>
          <t>TEC-049 — srv-mintrace-prod-master-n</t>
        </is>
      </c>
      <c r="AH212" s="13" t="inlineStr">
        <is>
          <t>TEC-049 — srv-mintrace-prod-master-n</t>
        </is>
      </c>
    </row>
    <row r="213" ht="15" customHeight="1" s="54">
      <c r="Y213" s="13" t="inlineStr">
        <is>
          <t>TEC-050 — srv-mintrace-prod-master-n</t>
        </is>
      </c>
      <c r="AH213" s="13" t="inlineStr">
        <is>
          <t>TEC-050 — srv-mintrace-prod-master-n</t>
        </is>
      </c>
    </row>
    <row r="214" ht="15" customHeight="1" s="54">
      <c r="Y214" s="13" t="inlineStr">
        <is>
          <t>TEC-051 — srv-ottm-db-cluster</t>
        </is>
      </c>
      <c r="AH214" s="13" t="inlineStr">
        <is>
          <t>TEC-051 — srv-ottm-db-cluster</t>
        </is>
      </c>
    </row>
    <row r="215" ht="15" customHeight="1" s="54">
      <c r="Y215" s="13" t="inlineStr">
        <is>
          <t>TEC-052 — srv-ottm-db-cluster</t>
        </is>
      </c>
      <c r="AH215" s="13" t="inlineStr">
        <is>
          <t>TEC-052 — srv-ottm-db-cluster</t>
        </is>
      </c>
    </row>
    <row r="216" ht="15" customHeight="1" s="54">
      <c r="Y216" s="13" t="inlineStr">
        <is>
          <t>TEC-053 — srv-sicov-matcher-facial</t>
        </is>
      </c>
      <c r="AH216" s="13" t="inlineStr">
        <is>
          <t>TEC-053 — srv-sicov-matcher-facial</t>
        </is>
      </c>
    </row>
    <row r="217" ht="15" customHeight="1" s="54">
      <c r="Y217" s="13" t="inlineStr">
        <is>
          <t>TEC-054 — srv-sicov-matcher-facial</t>
        </is>
      </c>
      <c r="AH217" s="13" t="inlineStr">
        <is>
          <t>TEC-054 — srv-sicov-matcher-facial</t>
        </is>
      </c>
    </row>
    <row r="218" ht="15" customHeight="1" s="54">
      <c r="Y218" s="13" t="inlineStr">
        <is>
          <t>TEC-055 — stack-backups-coolify</t>
        </is>
      </c>
      <c r="AH218" s="13" t="inlineStr">
        <is>
          <t>TEC-055 — stack-backups-coolify</t>
        </is>
      </c>
    </row>
    <row r="219" ht="15" customHeight="1" s="54">
      <c r="Y219" s="13" t="inlineStr">
        <is>
          <t>TEC-056 — superset-with-postgresql-e0kg480c…</t>
        </is>
      </c>
      <c r="AH219" s="13" t="inlineStr">
        <is>
          <t>TEC-056 — superset-with-postgresql-e0kg480c…</t>
        </is>
      </c>
    </row>
    <row r="220" ht="15" customHeight="1" s="54">
      <c r="Y220" s="13" t="inlineStr">
        <is>
          <t>TEC-057 — superset-with-postgresql-f0o8co0w…</t>
        </is>
      </c>
      <c r="AH220" s="13" t="inlineStr">
        <is>
          <t>TEC-057 — superset-with-postgresql-f0o8co0w…</t>
        </is>
      </c>
    </row>
    <row r="221" ht="15" customHeight="1" s="54">
      <c r="Y221" s="13" t="inlineStr">
        <is>
          <t>TEC-058 — territorios-lbd-agro-clima-presen…</t>
        </is>
      </c>
      <c r="AH221" s="13" t="inlineStr">
        <is>
          <t>TEC-058 — territorios-lbd-agro-clima-presen…</t>
        </is>
      </c>
    </row>
    <row r="222" ht="15" customHeight="1" s="54">
      <c r="Y222" s="13" t="inlineStr">
        <is>
          <t>TEC-059 — territorios-lbd-indicador-agro-cl…</t>
        </is>
      </c>
      <c r="AH222" s="13" t="inlineStr">
        <is>
          <t>TEC-059 — territorios-lbd-indicador-agro-cl…</t>
        </is>
      </c>
    </row>
    <row r="223" ht="15" customHeight="1" s="54">
      <c r="Y223" s="13" t="inlineStr">
        <is>
          <t>TEC-060 — territorios-lbd-indicador-agro-cu…</t>
        </is>
      </c>
      <c r="AH223" s="13" t="inlineStr">
        <is>
          <t>TEC-060 — territorios-lbd-indicador-agro-cu…</t>
        </is>
      </c>
    </row>
    <row r="224" ht="15" customHeight="1" s="54">
      <c r="Y224" s="13" t="inlineStr">
        <is>
          <t>TEC-061 — territorios-lbd-indicador-agro-de…</t>
        </is>
      </c>
      <c r="AH224" s="13" t="inlineStr">
        <is>
          <t>TEC-061 — territorios-lbd-indicador-agro-de…</t>
        </is>
      </c>
    </row>
    <row r="225" ht="15" customHeight="1" s="54">
      <c r="Y225" s="13" t="inlineStr">
        <is>
          <t>TEC-062 — territorios-lbd-indicador-agro-hi…</t>
        </is>
      </c>
      <c r="AH225" s="13" t="inlineStr">
        <is>
          <t>TEC-062 — territorios-lbd-indicador-agro-hi…</t>
        </is>
      </c>
    </row>
    <row r="226" ht="15" customHeight="1" s="54">
      <c r="Y226" s="13" t="inlineStr">
        <is>
          <t>TEC-063 — territorios-lbd-indicador-agro-na…</t>
        </is>
      </c>
      <c r="AH226" s="13" t="inlineStr">
        <is>
          <t>TEC-063 — territorios-lbd-indicador-agro-na…</t>
        </is>
      </c>
    </row>
    <row r="227" ht="15" customHeight="1" s="54">
      <c r="Y227" s="13" t="inlineStr">
        <is>
          <t>TEC-064 — territorios-lbd-indicador-compra-…</t>
        </is>
      </c>
      <c r="AH227" s="13" t="inlineStr">
        <is>
          <t>TEC-064 — territorios-lbd-indicador-compra-…</t>
        </is>
      </c>
    </row>
    <row r="228" ht="15" customHeight="1" s="54">
      <c r="Y228" s="13" t="inlineStr">
        <is>
          <t>TEC-065 — territorios-lbd-indicador-compra-…</t>
        </is>
      </c>
      <c r="AH228" s="13" t="inlineStr">
        <is>
          <t>TEC-065 — territorios-lbd-indicador-compra-…</t>
        </is>
      </c>
    </row>
    <row r="229" ht="15" customHeight="1" s="54">
      <c r="Y229" s="13" t="inlineStr">
        <is>
          <t>TEC-066 — territorios-lbd-indicador-general…</t>
        </is>
      </c>
      <c r="AH229" s="13" t="inlineStr">
        <is>
          <t>TEC-066 — territorios-lbd-indicador-general…</t>
        </is>
      </c>
    </row>
    <row r="230" ht="15" customHeight="1" s="54">
      <c r="Y230" s="13" t="inlineStr">
        <is>
          <t>TEC-067 — territorios-lbd-indicador-movilid…</t>
        </is>
      </c>
      <c r="AH230" s="13" t="inlineStr">
        <is>
          <t>TEC-067 — territorios-lbd-indicador-movilid…</t>
        </is>
      </c>
    </row>
    <row r="231" ht="15" customHeight="1" s="54">
      <c r="Y231" s="13" t="inlineStr">
        <is>
          <t>TEC-068 — territorios-lbd-indicador-segurid…</t>
        </is>
      </c>
      <c r="AH231" s="13" t="inlineStr">
        <is>
          <t>TEC-068 — territorios-lbd-indicador-segurid…</t>
        </is>
      </c>
    </row>
    <row r="232" ht="15" customHeight="1" s="54">
      <c r="Y232" s="13" t="inlineStr">
        <is>
          <t>TEC-069 — territorios-lbd-waze-procesar-tra…</t>
        </is>
      </c>
      <c r="AH232" s="13" t="inlineStr">
        <is>
          <t>TEC-069 — territorios-lbd-waze-procesar-tra…</t>
        </is>
      </c>
    </row>
    <row r="233" ht="15" customHeight="1" s="54">
      <c r="Y233" s="13" t="inlineStr">
        <is>
          <t>TEC-070 — umami-vf22xvxrc2a08lc8nl6vmtyt</t>
        </is>
      </c>
      <c r="AH233" s="13" t="inlineStr">
        <is>
          <t>TEC-070 — umami-vf22xvxrc2a08lc8nl6vmtyt</t>
        </is>
      </c>
    </row>
    <row r="234" ht="15" customHeight="1" s="54">
      <c r="Y234" s="13" t="inlineStr">
        <is>
          <t>TEC-071 — valida</t>
        </is>
      </c>
      <c r="AH234" s="13" t="inlineStr">
        <is>
          <t>TEC-071 — valida</t>
        </is>
      </c>
    </row>
    <row r="235" ht="15" customHeight="1" s="54">
      <c r="Y235" s="13" t="inlineStr">
        <is>
          <t>TEC-072 — vpc-055a42a5c0e126779</t>
        </is>
      </c>
      <c r="AH235" s="13" t="inlineStr">
        <is>
          <t>TEC-072 — vpc-055a42a5c0e126779</t>
        </is>
      </c>
    </row>
    <row r="236" ht="15" customHeight="1" s="54">
      <c r="Y236" s="13" t="inlineStr">
        <is>
          <t>TEC-073 — vpc-055a42a5c0e126779</t>
        </is>
      </c>
      <c r="AH236" s="13" t="inlineStr">
        <is>
          <t>TEC-073 — vpc-055a42a5c0e126779</t>
        </is>
      </c>
    </row>
    <row r="237" ht="15" customHeight="1" s="54">
      <c r="Y237" s="13" t="inlineStr">
        <is>
          <t>TEC-074 — wordpress-qa-junta</t>
        </is>
      </c>
      <c r="AH237" s="13" t="inlineStr">
        <is>
          <t>TEC-074 — wordpress-qa-junta</t>
        </is>
      </c>
    </row>
    <row r="238" ht="15" customHeight="1" s="54">
      <c r="Y238" s="13" t="inlineStr">
        <is>
          <t>TEC-075 — wordpress-with-mysql-n0o08kw0004c…</t>
        </is>
      </c>
      <c r="AH238" s="13" t="inlineStr">
        <is>
          <t>TEC-075 — wordpress-with-mysql-n0o08kw0004c…</t>
        </is>
      </c>
    </row>
  </sheetData>
  <pageMargins left="0.75" right="0.75" top="1" bottom="1" header="0.5" footer="0.5"/>
  <headerFooter>
    <oddHeader/>
    <oddFooter>&amp;L&amp;"Aptos"&amp;10 &amp;K000000_x000d_# DOCUMENTO PRIVADO</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2026-08-20T14:26:01Z</dcterms:created>
  <dcterms:modified xmlns:dcterms="http://purl.org/dc/terms/" xmlns:xsi="http://www.w3.org/2001/XMLSchema-instance" xsi:type="dcterms:W3CDTF">2026-08-22T16:00:49Z</dcterms:modified>
  <cp:lastModifiedBy>Daniel Medina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0x010100672A28E2D97363449F2D63E82204CC21</vt:lpwstr>
  </property>
  <property name="TaxKeyword" fmtid="{D5CDD505-2E9C-101B-9397-08002B2CF9AE}" pid="3">
    <vt:lpwstr xmlns:vt="http://schemas.openxmlformats.org/officeDocument/2006/docPropsVTypes"/>
  </property>
  <property name="MediaServiceImageTags" fmtid="{D5CDD505-2E9C-101B-9397-08002B2CF9AE}" pid="4">
    <vt:lpwstr xmlns:vt="http://schemas.openxmlformats.org/officeDocument/2006/docPropsVTypes"/>
  </property>
  <property name="_dlc_policyId" fmtid="{D5CDD505-2E9C-101B-9397-08002B2CF9AE}" pid="5">
    <vt:lpwstr xmlns:vt="http://schemas.openxmlformats.org/officeDocument/2006/docPropsVTypes">0x010100672A28E2D97363449F2D63E82204CC21</vt:lpwstr>
  </property>
  <property name="ItemRetentionFormula" fmtid="{D5CDD505-2E9C-101B-9397-08002B2CF9AE}" pid="6">
    <vt:lpwstr xmlns:vt="http://schemas.openxmlformats.org/officeDocument/2006/docPropsVTypes">&lt;formula id="Microsoft.Office.RecordsManagement.PolicyFeatures.Expiration.Formula.BuiltIn"&gt;&lt;number&gt;10&lt;/number&gt;&lt;property&gt;Created&lt;/property&gt;&lt;propertyId&gt;8c06beca-0777-48f7-91c7-6da68bc07b69&lt;/propertyId&gt;&lt;period&gt;years&lt;/period&gt;&lt;/formula&gt;</vt:lpwstr>
  </property>
</Properties>
</file>